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28.xml" ContentType="application/vnd.openxmlformats-officedocument.spreadsheetml.comments+xml"/>
  <Override PartName="/xl/comments27.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10.xml" ContentType="application/vnd.openxmlformats-officedocument.spreadsheetml.comments+xml"/>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2.vml" ContentType="application/vnd.openxmlformats-officedocument.vmlDrawing"/>
  <Override PartName="/xl/drawings/vmlDrawing4.vml" ContentType="application/vnd.openxmlformats-officedocument.vmlDrawing"/>
  <Override PartName="/xl/drawings/drawing2.xml" ContentType="application/vnd.openxmlformats-officedocument.drawing+xml"/>
  <Override PartName="/xl/drawings/vmlDrawing1.vml" ContentType="application/vnd.openxmlformats-officedocument.vmlDrawing"/>
  <Override PartName="/xl/drawings/vmlDrawing3.vml" ContentType="application/vnd.openxmlformats-officedocument.vmlDrawing"/>
  <Override PartName="/xl/drawings/drawing1.xml" ContentType="application/vnd.openxmlformats-officedocument.drawing+xml"/>
  <Override PartName="/xl/drawings/vmlDrawing11.vml" ContentType="application/vnd.openxmlformats-officedocument.vmlDrawing"/>
  <Override PartName="/xl/drawings/vmlDrawing12.vml" ContentType="application/vnd.openxmlformats-officedocument.vmlDrawing"/>
  <Override PartName="/xl/drawings/vmlDrawing25.vml" ContentType="application/vnd.openxmlformats-officedocument.vmlDrawing"/>
  <Override PartName="/xl/drawings/vmlDrawing13.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16.vml" ContentType="application/vnd.openxmlformats-officedocument.vmlDrawing"/>
  <Override PartName="/xl/drawings/vmlDrawing15.vml" ContentType="application/vnd.openxmlformats-officedocument.vmlDrawing"/>
  <Override PartName="/xl/drawings/vmlDrawing14.vml" ContentType="application/vnd.openxmlformats-officedocument.vmlDrawing"/>
  <Override PartName="/xl/comments24.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comments9.xml" ContentType="application/vnd.openxmlformats-officedocument.spreadsheetml.comments+xml"/>
  <Override PartName="/xl/worksheets/_rels/sheet16.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9.xml.rels" ContentType="application/vnd.openxmlformats-package.relationships+xml"/>
  <Override PartName="/xl/worksheets/_rels/sheet17.xml.rels" ContentType="application/vnd.openxmlformats-package.relationships+xml"/>
  <Override PartName="/xl/worksheets/_rels/sheet27.xml.rels" ContentType="application/vnd.openxmlformats-package.relationships+xml"/>
  <Override PartName="/xl/worksheets/_rels/sheet2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sheet29.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28.xml" ContentType="application/vnd.openxmlformats-officedocument.spreadsheetml.worksheet+xml"/>
  <Override PartName="/xl/worksheets/sheet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omments19.xml" ContentType="application/vnd.openxmlformats-officedocument.spreadsheetml.comments+xml"/>
  <Override PartName="/xl/comments21.xml" ContentType="application/vnd.openxmlformats-officedocument.spreadsheetml.comments+xml"/>
  <Override PartName="/xl/comments16.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15.xml" ContentType="application/vnd.openxmlformats-officedocument.spreadsheetml.comments+xml"/>
  <Override PartName="/xl/comments17.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xl/comments2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Dashboard" sheetId="2" state="visible" r:id="rId4"/>
    <sheet name="Flights" sheetId="3" state="visible" r:id="rId5"/>
    <sheet name="Checks" sheetId="4" state="visible" r:id="rId6"/>
    <sheet name="Documents" sheetId="5" state="visible" r:id="rId7"/>
    <sheet name="ISOP Register" sheetId="6" state="visible" r:id="rId8"/>
    <sheet name="Requirements" sheetId="7" state="visible" r:id="rId9"/>
    <sheet name="Settings" sheetId="8" state="visible" r:id="rId10"/>
    <sheet name="P01 MH0001 08OCT" sheetId="9" state="visible" r:id="rId11"/>
    <sheet name="P02 MH0727 09OCT" sheetId="10" state="visible" r:id="rId12"/>
    <sheet name="P03 MH0720 10OCT" sheetId="11" state="visible" r:id="rId13"/>
    <sheet name="P04 MH0088 10OCT" sheetId="12" state="visible" r:id="rId14"/>
    <sheet name="P05 MH0089 15OCT" sheetId="13" state="visible" r:id="rId15"/>
    <sheet name="P06 MH0002 15OCT" sheetId="14" state="visible" r:id="rId16"/>
    <sheet name="P07 MH0003 09OCT" sheetId="15" state="visible" r:id="rId17"/>
    <sheet name="P08 MH0752 10OCT" sheetId="16" state="visible" r:id="rId18"/>
    <sheet name="P09 MH0753 11OCT" sheetId="17" state="visible" r:id="rId19"/>
    <sheet name="P10 MH1140 12OCT" sheetId="18" state="visible" r:id="rId20"/>
    <sheet name="P11 MH1149 12OCT" sheetId="19" state="visible" r:id="rId21"/>
    <sheet name="P12 MH0139 12OCT" sheetId="20" state="visible" r:id="rId22"/>
    <sheet name="P13 MH0138 14OCT" sheetId="21" state="visible" r:id="rId23"/>
    <sheet name="P14 MH0004 15OCT" sheetId="22" state="visible" r:id="rId24"/>
    <sheet name="P15 MH0003 25OCT" sheetId="23" state="visible" r:id="rId25"/>
    <sheet name="P16 MH0072 26OCT" sheetId="24" state="visible" r:id="rId26"/>
    <sheet name="P17 MH0073 27OCT" sheetId="25" state="visible" r:id="rId27"/>
    <sheet name="P18 MH0052 27OCT" sheetId="26" state="visible" r:id="rId28"/>
    <sheet name="P19 MH0053 29OCT" sheetId="27" state="visible" r:id="rId29"/>
    <sheet name="P20 MH1450 29OCT" sheetId="28" state="visible" r:id="rId30"/>
    <sheet name="P21 MH1437 30OCT" sheetId="29" state="visible" r:id="rId31"/>
    <sheet name="P22 MH0002 30OCT" sheetId="30" state="visible" r:id="rId32"/>
  </sheets>
  <definedNames>
    <definedName function="false" hidden="false" localSheetId="3" name="_xlnm.Print_Area" vbProcedure="false">Checks!$A$1:$AH$748</definedName>
    <definedName function="false" hidden="false" localSheetId="3" name="_xlnm.Print_Titles" vbProcedure="false">Checks!$A:$C,Checks!$4:$4</definedName>
    <definedName function="false" hidden="true" localSheetId="3" name="_xlnm._FilterDatabase" vbProcedure="false">Checks!$A$4:$AS$748</definedName>
    <definedName function="false" hidden="false" localSheetId="1" name="_xlnm.Print_Area" vbProcedure="false">Dashboard!$B$1:$R$94</definedName>
    <definedName function="false" hidden="false" localSheetId="4" name="_xlnm.Print_Titles" vbProcedure="false">Documents!$A:$B,Documents!$4:$4</definedName>
    <definedName function="false" hidden="false" localSheetId="2" name="_xlnm.Print_Titles" vbProcedure="false">Flights!$A:$F,Flights!$4:$4</definedName>
    <definedName function="false" hidden="true" localSheetId="2" name="_xlnm._FilterDatabase" vbProcedure="false">Flights!$A$4:$BA$26</definedName>
    <definedName function="false" hidden="false" localSheetId="5" name="_xlnm.Print_Titles" vbProcedure="false">'ISOP Register'!$4:$4</definedName>
    <definedName function="false" hidden="false" localSheetId="8" name="_xlnm.Print_Area" vbProcedure="false">'P01 MH0001 08OCT'!$A$1:$H$50</definedName>
    <definedName function="false" hidden="false" localSheetId="8" name="_xlnm.Print_Titles" vbProcedure="false">'P01 MH0001 08OCT'!$21:$21</definedName>
    <definedName function="false" hidden="false" localSheetId="9" name="_xlnm.Print_Area" vbProcedure="false">'P02 MH0727 09OCT'!$A$1:$H$64</definedName>
    <definedName function="false" hidden="false" localSheetId="9" name="_xlnm.Print_Titles" vbProcedure="false">'P02 MH0727 09OCT'!$21:$21</definedName>
    <definedName function="false" hidden="false" localSheetId="10" name="_xlnm.Print_Area" vbProcedure="false">'P03 MH0720 10OCT'!$A$1:$H$46</definedName>
    <definedName function="false" hidden="false" localSheetId="10" name="_xlnm.Print_Titles" vbProcedure="false">'P03 MH0720 10OCT'!$21:$21</definedName>
    <definedName function="false" hidden="false" localSheetId="11" name="_xlnm.Print_Area" vbProcedure="false">'P04 MH0088 10OCT'!$A$1:$H$72</definedName>
    <definedName function="false" hidden="false" localSheetId="11" name="_xlnm.Print_Titles" vbProcedure="false">'P04 MH0088 10OCT'!$21:$21</definedName>
    <definedName function="false" hidden="false" localSheetId="12" name="_xlnm.Print_Area" vbProcedure="false">'P05 MH0089 15OCT'!$A$1:$H$55</definedName>
    <definedName function="false" hidden="false" localSheetId="12" name="_xlnm.Print_Titles" vbProcedure="false">'P05 MH0089 15OCT'!$22:$22</definedName>
    <definedName function="false" hidden="false" localSheetId="13" name="_xlnm.Print_Area" vbProcedure="false">'P06 MH0002 15OCT'!$A$1:$H$72</definedName>
    <definedName function="false" hidden="false" localSheetId="13" name="_xlnm.Print_Titles" vbProcedure="false">'P06 MH0002 15OCT'!$21:$21</definedName>
    <definedName function="false" hidden="false" localSheetId="14" name="_xlnm.Print_Area" vbProcedure="false">'P07 MH0003 09OCT'!$A$1:$H$75</definedName>
    <definedName function="false" hidden="false" localSheetId="14" name="_xlnm.Print_Titles" vbProcedure="false">'P07 MH0003 09OCT'!$22:$22</definedName>
    <definedName function="false" hidden="false" localSheetId="15" name="_xlnm.Print_Area" vbProcedure="false">'P08 MH0752 10OCT'!$A$1:$H$46</definedName>
    <definedName function="false" hidden="false" localSheetId="15" name="_xlnm.Print_Titles" vbProcedure="false">'P08 MH0752 10OCT'!$21:$21</definedName>
    <definedName function="false" hidden="false" localSheetId="16" name="_xlnm.Print_Area" vbProcedure="false">'P09 MH0753 11OCT'!$A$1:$H$64</definedName>
    <definedName function="false" hidden="false" localSheetId="16" name="_xlnm.Print_Titles" vbProcedure="false">'P09 MH0753 11OCT'!$21:$21</definedName>
    <definedName function="false" hidden="false" localSheetId="17" name="_xlnm.Print_Area" vbProcedure="false">'P10 MH1140 12OCT'!$A$1:$H$60</definedName>
    <definedName function="false" hidden="false" localSheetId="17" name="_xlnm.Print_Titles" vbProcedure="false">'P10 MH1140 12OCT'!$21:$21</definedName>
    <definedName function="false" hidden="false" localSheetId="18" name="_xlnm.Print_Area" vbProcedure="false">'P11 MH1149 12OCT'!$A$1:$H$49</definedName>
    <definedName function="false" hidden="false" localSheetId="18" name="_xlnm.Print_Titles" vbProcedure="false">'P11 MH1149 12OCT'!$22:$22</definedName>
    <definedName function="false" hidden="false" localSheetId="19" name="_xlnm.Print_Area" vbProcedure="false">'P12 MH0139 12OCT'!$A$1:$H$72</definedName>
    <definedName function="false" hidden="false" localSheetId="19" name="_xlnm.Print_Titles" vbProcedure="false">'P12 MH0139 12OCT'!$21:$21</definedName>
    <definedName function="false" hidden="false" localSheetId="20" name="_xlnm.Print_Area" vbProcedure="false">'P13 MH0138 14OCT'!$A$1:$H$55</definedName>
    <definedName function="false" hidden="false" localSheetId="20" name="_xlnm.Print_Titles" vbProcedure="false">'P13 MH0138 14OCT'!$22:$22</definedName>
    <definedName function="false" hidden="false" localSheetId="21" name="_xlnm.Print_Area" vbProcedure="false">'P14 MH0004 15OCT'!$A$1:$H$50</definedName>
    <definedName function="false" hidden="false" localSheetId="21" name="_xlnm.Print_Titles" vbProcedure="false">'P14 MH0004 15OCT'!$21:$21</definedName>
    <definedName function="false" hidden="false" localSheetId="22" name="_xlnm.Print_Area" vbProcedure="false">'P15 MH0003 25OCT'!$A$1:$H$50</definedName>
    <definedName function="false" hidden="false" localSheetId="22" name="_xlnm.Print_Titles" vbProcedure="false">'P15 MH0003 25OCT'!$21:$21</definedName>
    <definedName function="false" hidden="false" localSheetId="23" name="_xlnm.Print_Area" vbProcedure="false">'P16 MH0072 26OCT'!$A$1:$H$50</definedName>
    <definedName function="false" hidden="false" localSheetId="23" name="_xlnm.Print_Titles" vbProcedure="false">'P16 MH0072 26OCT'!$21:$21</definedName>
    <definedName function="false" hidden="false" localSheetId="24" name="_xlnm.Print_Area" vbProcedure="false">'P17 MH0073 27OCT'!$A$1:$H$69</definedName>
    <definedName function="false" hidden="false" localSheetId="24" name="_xlnm.Print_Titles" vbProcedure="false">'P17 MH0073 27OCT'!$22:$22</definedName>
    <definedName function="false" hidden="false" localSheetId="25" name="_xlnm.Print_Area" vbProcedure="false">'P18 MH0052 27OCT'!$A$1:$H$70</definedName>
    <definedName function="false" hidden="false" localSheetId="25" name="_xlnm.Print_Titles" vbProcedure="false">'P18 MH0052 27OCT'!$21:$21</definedName>
    <definedName function="false" hidden="false" localSheetId="26" name="_xlnm.Print_Area" vbProcedure="false">'P19 MH0053 29OCT'!$A$1:$H$50</definedName>
    <definedName function="false" hidden="false" localSheetId="26" name="_xlnm.Print_Titles" vbProcedure="false">'P19 MH0053 29OCT'!$21:$21</definedName>
    <definedName function="false" hidden="false" localSheetId="27" name="_xlnm.Print_Area" vbProcedure="false">'P20 MH1450 29OCT'!$A$1:$H$46</definedName>
    <definedName function="false" hidden="false" localSheetId="27" name="_xlnm.Print_Titles" vbProcedure="false">'P20 MH1450 29OCT'!$21:$21</definedName>
    <definedName function="false" hidden="false" localSheetId="28" name="_xlnm.Print_Area" vbProcedure="false">'P21 MH1437 30OCT'!$A$1:$H$63</definedName>
    <definedName function="false" hidden="false" localSheetId="28" name="_xlnm.Print_Titles" vbProcedure="false">'P21 MH1437 30OCT'!$22:$22</definedName>
    <definedName function="false" hidden="false" localSheetId="29" name="_xlnm.Print_Area" vbProcedure="false">'P22 MH0002 30OCT'!$A$1:$H$72</definedName>
    <definedName function="false" hidden="false" localSheetId="29" name="_xlnm.Print_Titles" vbProcedure="false">'P22 MH0002 30OCT'!$21:$21</definedName>
    <definedName function="false" hidden="false" localSheetId="6" name="_xlnm.Print_Titles" vbProcedure="false">Requirements!$A:$B,Requirements!$4:$4</definedName>
    <definedName function="false" hidden="true" localSheetId="6" name="_xlnm._FilterDatabase" vbProcedure="false">Requirements!$A$4:$N$161</definedName>
    <definedName function="false" hidden="false" localSheetId="7" name="_xlnm.Print_Area" vbProcedure="false">Settings!$A$1:$F$23</definedName>
    <definedName function="false" hidden="false" name="AsOfUTC" vbProcedure="false">Settings!$B$6</definedName>
    <definedName function="false" hidden="false" name="L_CA" vbProcedure="false">Settings!$I$4:$I$5</definedName>
    <definedName function="false" hidden="false" name="L_EvidencePhrase" vbProcedure="false">Settings!$L$4:$L$23</definedName>
    <definedName function="false" hidden="false" name="L_Placeholder" vbProcedure="false">Settings!$K$4:$K$37</definedName>
    <definedName function="false" hidden="false" name="L_ResultBad" vbProcedure="false">Settings!$M$4:$M$17</definedName>
    <definedName function="false" hidden="false" name="L_Status" vbProcedure="false">Settings!$H$4:$H$9</definedName>
    <definedName function="false" hidden="false" name="T12EarlyH" vbProcedure="false">Settings!$C$9</definedName>
    <definedName function="false" hidden="false" name="T24EarlyH" vbProcedure="false">Settings!$C$8</definedName>
    <definedName function="false" hidden="false" name="T7EarlyD" vbProcedure="false">Settings!$C$10</definedName>
    <definedName function="false" hidden="false" name="TZ_DST" vbProcedure="false">Settings!$D$13:$D$22</definedName>
    <definedName function="false" hidden="false" name="TZ_DSTE" vbProcedure="false">Settings!$F$13:$F$22</definedName>
    <definedName function="false" hidden="false" name="TZ_DSTS" vbProcedure="false">Settings!$E$13:$E$22</definedName>
    <definedName function="false" hidden="false" name="TZ_STD" vbProcedure="false">Settings!$C$13:$C$22</definedName>
    <definedName function="false" hidden="false" name="TZ_STN" vbProcedure="false">Settings!$A$13:$A$22</definedName>
    <definedName function="false" hidden="false" name="UpliftWindowH" vbProcedure="false">Settings!$C$7</definedName>
    <definedName function="false" hidden="false" localSheetId="2" name="_xlnm.Print_Titles" vbProcedure="false">Flights!$4:$4,Flights!$A:$F</definedName>
    <definedName function="false" hidden="false" localSheetId="3" name="_xlnm.Print_Titles" vbProcedure="false">Checks!$4:$4,Checks!$A:$C</definedName>
    <definedName function="false" hidden="false" localSheetId="4" name="_xlnm.Print_Titles" vbProcedure="false">Documents!$4:$4,Documents!$A:$B</definedName>
    <definedName function="false" hidden="false" localSheetId="6" name="_xlnm.Print_Titles" vbProcedure="false">Requirements!$4:$4,Requirements!$A:$B</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L4" authorId="0">
      <text>
        <r>
          <rPr>
            <sz val="10"/>
            <rFont val="Arial"/>
            <family val="2"/>
          </rPr>
          <t xml:space="preserve">Editable: if an equipment change occurs, update the fleet – the A339 IFE-menu rule follows this cell.</t>
        </r>
      </text>
    </comment>
    <comment ref="W15" authorId="0">
      <text>
        <r>
          <rPr>
            <sz val="10"/>
            <rFont val="Arial"/>
            <family val="2"/>
          </rPr>
          <t xml:space="preserve">Round-trip catered: reference uplift stn for this sector is KUL only, so return catering is loaded at KUL on MH1140. Preparation checks must finish before that loading window. Enter the actual carrying flight's KUL departure (UTC) in column AX; the deadlines follow it.</t>
        </r>
      </text>
    </comment>
    <comment ref="W25" authorId="0">
      <text>
        <r>
          <rPr>
            <sz val="10"/>
            <rFont val="Arial"/>
            <family val="2"/>
          </rPr>
          <t xml:space="preserve">Round-trip catered: reference uplift stn for this sector is KUL only, so return catering is loaded at KUL on MH1450. Preparation checks must finish before that loading window. Enter the actual carrying flight's KUL departure (UTC) in column AX; the deadlines follow it.</t>
        </r>
      </text>
    </comment>
    <comment ref="AX9"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17"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1"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 ref="AX25" authorId="0">
      <text>
        <r>
          <rPr>
            <sz val="10"/>
            <rFont val="Arial"/>
            <family val="2"/>
          </rPr>
          <t xml:space="preserve">Enter the UTC departure from KUL of the flight that carries this leg's KUL-sourced items. Until entered, the loading deadline assumes the latest possible departure (STD minus shortest agenda block).</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X24" authorId="0">
      <text>
        <r>
          <rPr>
            <sz val="10"/>
            <rFont val="Arial"/>
            <family val="2"/>
          </rPr>
          <t xml:space="preserve">Follows the tail on Flights N: 9M-MAH = 280 pcs, other A350 (A359) = 260 pcs (SEAT LINEN!B76:C77). Blank until the tail is entered.</t>
        </r>
      </text>
    </comment>
    <comment ref="X29" authorId="0">
      <text>
        <r>
          <rPr>
            <sz val="10"/>
            <rFont val="Arial"/>
            <family val="2"/>
          </rPr>
          <t xml:space="preserve">Follows the tail on Flights N: 9M-MAH = 280 pcs, other A350 (A359) = 260 pcs (SEAT LINEN!B76:C77). Blank until the tail is entered.</t>
        </r>
      </text>
    </comment>
    <comment ref="X157" authorId="0">
      <text>
        <r>
          <rPr>
            <sz val="10"/>
            <rFont val="Arial"/>
            <family val="2"/>
          </rPr>
          <t xml:space="preserve">Follows the tail on Flights N: 9M-MAH = 280 pcs, other A350 (A359) = 260 pcs (SEAT LINEN!B76:C77). Blank until the tail is entered.</t>
        </r>
      </text>
    </comment>
    <comment ref="X164" authorId="0">
      <text>
        <r>
          <rPr>
            <sz val="10"/>
            <rFont val="Arial"/>
            <family val="2"/>
          </rPr>
          <t xml:space="preserve">Follows the tail on Flights N: 9M-MAH = 280 pcs, other A350 (A359) = 260 pcs (SEAT LINEN!B76:C77). Blank until the tail is entered.</t>
        </r>
      </text>
    </comment>
    <comment ref="X447" authorId="0">
      <text>
        <r>
          <rPr>
            <sz val="10"/>
            <rFont val="Arial"/>
            <family val="2"/>
          </rPr>
          <t xml:space="preserve">Pre-filled from reference: STD UPLIFT INFORMATION.xlsx &gt; SEAT LINEN!J9</t>
        </r>
      </text>
    </comment>
    <comment ref="X454" authorId="0">
      <text>
        <r>
          <rPr>
            <sz val="10"/>
            <rFont val="Arial"/>
            <family val="2"/>
          </rPr>
          <t xml:space="preserve">Pre-filled from reference: STD UPLIFT INFORMATION.xlsx &gt; SEAT LINEN!J9</t>
        </r>
      </text>
    </comment>
    <comment ref="X475" authorId="0">
      <text>
        <r>
          <rPr>
            <sz val="10"/>
            <rFont val="Arial"/>
            <family val="2"/>
          </rPr>
          <t xml:space="preserve">Follows the tail on Flights N: 9M-MAH = 280 pcs, other A350 (A359) = 260 pcs (SEAT LINEN!B76:C77). Blank until the tail is entered.</t>
        </r>
      </text>
    </comment>
    <comment ref="X480" authorId="0">
      <text>
        <r>
          <rPr>
            <sz val="10"/>
            <rFont val="Arial"/>
            <family val="2"/>
          </rPr>
          <t xml:space="preserve">Follows the tail on Flights N: 9M-MAH = 280 pcs, other A350 (A359) = 260 pcs (SEAT LINEN!B76:C77). Blank until the tail is entered.</t>
        </r>
      </text>
    </comment>
    <comment ref="X500" authorId="0">
      <text>
        <r>
          <rPr>
            <sz val="10"/>
            <rFont val="Arial"/>
            <family val="2"/>
          </rPr>
          <t xml:space="preserve">Follows the tail on Flights N: 9M-MAH = 280 pcs, other A350 (A359) = 260 pcs (SEAT LINEN!B76:C77). Blank until the tail is entered.</t>
        </r>
      </text>
    </comment>
    <comment ref="X505" authorId="0">
      <text>
        <r>
          <rPr>
            <sz val="10"/>
            <rFont val="Arial"/>
            <family val="2"/>
          </rPr>
          <t xml:space="preserve">Follows the tail on Flights N: 9M-MAH = 280 pcs, other A350 (A359) = 260 pcs (SEAT LINEN!B76:C77). Blank until the tail is entered.</t>
        </r>
      </text>
    </comment>
    <comment ref="X637" authorId="0">
      <text>
        <r>
          <rPr>
            <sz val="10"/>
            <rFont val="Arial"/>
            <family val="2"/>
          </rPr>
          <t xml:space="preserve">Pre-filled from reference: STD UPLIFT INFORMATION.xlsx &gt; SEAT LINEN!J15</t>
        </r>
      </text>
    </comment>
    <comment ref="X642" authorId="0">
      <text>
        <r>
          <rPr>
            <sz val="10"/>
            <rFont val="Arial"/>
            <family val="2"/>
          </rPr>
          <t xml:space="preserve">Pre-filled from reference: STD UPLIFT INFORMATION.xlsx &gt; SEAT LINEN!J15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B4" authorId="0">
      <text>
        <r>
          <rPr>
            <sz val="10"/>
            <rFont val="Arial"/>
            <family val="2"/>
          </rPr>
          <t xml:space="preserve">Blank = live. Example: 2026-10-09 12:00 to see what is overdue at that UTC time.</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A17" authorId="0">
      <text>
        <r>
          <rPr>
            <sz val="10"/>
            <rFont val="Arial"/>
            <family val="2"/>
          </rPr>
          <t xml:space="preserve">Excel only: insert the GLD / menu checklist image (Insert &gt; Picture) in the insertion area after the checklist table; it is not printed.</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A16" authorId="0">
      <text>
        <r>
          <rPr>
            <sz val="10"/>
            <rFont val="Arial"/>
            <family val="2"/>
          </rPr>
          <t xml:space="preserve">Excel only: insert the GLD / menu checklist image (Insert &gt; Picture) in the insertion area after the checklist table; it is not printed.</t>
        </r>
      </text>
    </comment>
  </commentList>
</comments>
</file>

<file path=xl/sharedStrings.xml><?xml version="1.0" encoding="utf-8"?>
<sst xmlns="http://schemas.openxmlformats.org/spreadsheetml/2006/main" count="12425" uniqueCount="1739">
  <si>
    <t xml:space="preserve">MAGCS Inflight Catering – Skytrax 2026 Readiness Checklist &amp; Monitor</t>
  </si>
  <si>
    <t xml:space="preserve">Built from: Skytrax Agenda 2026 (22 legs, 3 itineraries) and STD UPLIFT INFORMATION.xlsx (aircraft data: Update as @20JUL26).</t>
  </si>
  <si>
    <t xml:space="preserve">How to use this workbook</t>
  </si>
  <si>
    <t xml:space="preserve">Purpose: monitor MAGCS inflight-catering readiness for all 22 legs of the Skytrax Agenda 2026 audit itineraries, with three checkpoints per flight calculated from scheduled departure (STD) in the correct station time zone: T-7D, T-24H and T-12H. T-12H is recorded in two parts: the preparation check at the caterer (T-12H PREP) and the physical on-board uplift confirmation before departure (UPLIFT), so dashboards show four columns.</t>
  </si>
  <si>
    <t xml:space="preserve">Sheets</t>
  </si>
  <si>
    <t xml:space="preserve">•  Dashboard – checkpoint completion, overdue actions, outstanding discrepancies and readiness per flight.</t>
  </si>
  <si>
    <t xml:space="preserve">•  Flights – the 22 legs as scheduled. Enter Tail/Reg, Caterer and Flight PIC (yellow). Due times: T-7D, T-24H, T-12H prep and uplift (= STD).</t>
  </si>
  <si>
    <t xml:space="preserve">•  Checks – one row per check per flight. THE ONLY PLACE TO RECORD RESULTS (yellow columns T–AE).</t>
  </si>
  <si>
    <t xml:space="preserve">•  Documents – galley loading diagram and menu checklist per flight (doc no, revision, date, attachment). ISOP Register – ISOP revisions communicated to caterers.</t>
  </si>
  <si>
    <t xml:space="preserve">•  Requirements – uplift requirements derived from STD UPLIFT INFORMATION.xlsx per flight, with source cell for each.</t>
  </si>
  <si>
    <t xml:space="preserve">•  Settings – as-of time, PC clock offset, validity windows, station time-zone table.</t>
  </si>
  <si>
    <t xml:space="preserve">•  P01–P22 – printable pack per flight (formula views of Checks, A4 landscape). Page 1 is a cover sheet with the flight's due times, readiness, the attachments register (A1 galley loading diagram, A2 menu checklist – staple behind, flagged OUTSTANDING until on file) and sign-off; the checklist starts on page 2. Print one flight's sheet on its own so page numbers run per flight.</t>
  </si>
  <si>
    <t xml:space="preserve">Recording a check (Checks sheet)</t>
  </si>
  <si>
    <t xml:space="preserve">1. Filter column B (Flight ID) or G (Checkpoint). Enter PIC (T).</t>
  </si>
  <si>
    <t xml:space="preserve">2. Record Result (V), Evidence ref (Z), Completion time in LOCAL time of the check station shown in column P (AD) and Verifier (AE).</t>
  </si>
  <si>
    <t xml:space="preserve">3. T-24H sensory: Batch ID (W) is mandatory. Status Pass = batch accepted; Fail = rejected (enter corrective action AA and CA status AB).</t>
  </si>
  <si>
    <t xml:space="preserve">4. Quantity lines: enter Expected (X, from menu checklist / GLD) and Actual (Y). A variance cannot be 'Pass' – use Fail, then 'Pass after CA' once the corrective action is recorded and Closed.</t>
  </si>
  <si>
    <t xml:space="preserve">5. Set Status (U) last. The Record state (AH) tells you whether the entry is accepted.</t>
  </si>
  <si>
    <t xml:space="preserve">6. N/A only with a written justification (AC), PIC (T) and verifier (AE), and only on rows where N/A is permitted. Rule-based N/A (digital IFE menu on non-A339) is automatic and excluded from completion rates.</t>
  </si>
  <si>
    <t xml:space="preserve">Rules built into the formulas</t>
  </si>
  <si>
    <t xml:space="preserve">•  Blank or 'Not started'/'In progress' never counts as complete. 'Pass' without completion time, PIC, evidence or verifier (blank or spaces) shows INVALID and does not count.</t>
  </si>
  <si>
    <t xml:space="preserve">•  A check completed after the flight's departure never counts (INVALID – completed after departure). A check completed after its due time but before departure counts as COMPLETE – LATE.</t>
  </si>
  <si>
    <t xml:space="preserve">•  N/A is only accepted where it can legitimately apply: printed menu cards, reference-derived uplift items and clarification items. Mandatory checks (sensory tests, catering officer, ISOP, GLD, menu checklist, meal/equipment preparation and physical uplift) cannot be N/A'd.</t>
  </si>
  <si>
    <t xml:space="preserve">•  Completion % = complete ÷ in-scope checks; justified and rule-based N/A are removed from both, so they neither raise nor lower the rate.</t>
  </si>
  <si>
    <t xml:space="preserve">•  Preparation checks (T-12H PREP, at the caterer) never confirm loading. Physical uplift rows (UPLIFT) are only accepted when the completion time is inside the uplift window before STD (Settings B7) – an earlier entry shows 'INVALID – before uplift window'.</t>
  </si>
  <si>
    <t xml:space="preserve">•  Completion times in the future, before the valid window or after departure (uplift) are rejected.</t>
  </si>
  <si>
    <t xml:space="preserve">•  GLD / menu-checklist checks cannot be passed until the Documents row is ON FILE (doc no, revision, date and attachment all present).</t>
  </si>
  <si>
    <t xml:space="preserve">•  Readiness order: NOT READY – OVERDUE, – DISCREPANCY, – INVALID ENTRY, – DOCUMENTS (GLD / menu checklist not on file), – CLARIFICATION (reference question open), then PREP DONE – AWAITING UPLIFT, IN PROGRESS or NOT STARTED.</t>
  </si>
  <si>
    <t xml:space="preserve">•  READY only when every in-scope check (including physical uplift) is complete, with zero open discrepancies, zero invalid entries and both documents on file. 'Clarification required' rows (reference ambiguous) also block READY until confirmed (Pass) or justified N/A.</t>
  </si>
  <si>
    <t xml:space="preserve">•  Overdue = not complete and the effective as-of time is past the due time. Settings B4 is an optional override (UTC); when blank the live clock is used. The effective as-of time is shown in Settings B6.</t>
  </si>
  <si>
    <t xml:space="preserve">•  Sheets are protected without a password so formulas cannot be overtyped by accident; yellow input cells stay editable and filtering, row sizing and inserting pictures still work. Do not sort the Checks sheet – the P-sheets read fixed rows; use the filters instead. Review &gt; Unprotect Sheet if a structural change is needed.</t>
  </si>
  <si>
    <t xml:space="preserve">•  Placeholder text (e.g. '-', '?', 'TBC', 'n/a', 'pending' – list on Settings K) never counts as evidence, PIC, verifier, result or batch ID. N/A needs a real justification of at least 15 characters and is only permitted on clarification items and on printed menu cards for refreshment-only flights.</t>
  </si>
  <si>
    <t xml:space="preserve">•  Preparation checks must be completed before the catering is loaded: before the first on-board confirmation for the flight, or for KUL-loaded items before the carrying flight leaves KUL. On-board checks at an outstation are only valid once the carrying flight could have arrived.</t>
  </si>
  <si>
    <t xml:space="preserve">•  Quantity lines: after a corrective action, update Actual to the corrected quantity; 'Pass after CA' requires Actual = Expected.</t>
  </si>
  <si>
    <t xml:space="preserve">•  PIC and verifier must be different people. Every Pass needs a result/assessment. T-7D evidence older than the Settings B10 window is rejected as stale.</t>
  </si>
  <si>
    <t xml:space="preserve">•  Row heights do not grow automatically for long typed entries: after entering long text, select the rows and use Home &gt; Format &gt; AutoFit Row Height.</t>
  </si>
  <si>
    <t xml:space="preserve">Time zones &amp; special cases</t>
  </si>
  <si>
    <t xml:space="preserve">•  Due times are computed from STD converted to UTC, then shown in local time of the check station. LHR changes from BST to GMT on 25-Oct-2026; ADL is on ACDT (UTC+10:30) from 4-Oct-2026.</t>
  </si>
  <si>
    <t xml:space="preserve">•  MH1149 PEN-KUL and MH1437 LGK-KUL: the reference lists KUL as the only uplift station, so all their catering is loaded at KUL on a carrying flight (agenda candidates MH1140 / MH1450 shown in Flights W). Enter the actual carrying flight's KUL departure (UTC) in Flights AX: T-24H, T-12H prep and the KUL loading-confirmation line are capped at that departure minus the uplift window. Until entered they assume the agenda candidate's KUL departure.</t>
  </si>
  <si>
    <t xml:space="preserve">•  Outstation departures that carry KUL-sourced items (e.g. MH0003 LHR-KUL: pajamas, slippers, signature drinks) have a clarification check to identify the inbound KUL flight. Enter its KUL departure (UTC) on Flights column AX: the preparation due and the KUL loading-confirmation line (UPLIFT, station KUL) follow it. Until entered, they assume the latest possible KUL departure.</t>
  </si>
  <si>
    <t xml:space="preserve">•  Items whose uplift station differs from the departure station (e.g. signature drinks and slippers for LHR-KUL and HKG-KUL are uplifted at KUL) show the item uplift station in Checks column M. Their preparation due time is capped at the KUL loading deadline on Flights AY (carrying flight's KUL departure in AX minus the uplift window).</t>
  </si>
  <si>
    <t xml:space="preserve">Outstanding inputs at issue</t>
  </si>
  <si>
    <t xml:space="preserve">•  Galley loading diagrams and menu checklists were not supplied – all 44 are flagged OUTSTANDING (Documents sheet, Dashboard and each P-sheet cover). Record doc no, revision, revision date and file location on Documents; in Excel you may also insert the image in the area after each P-sheet's checklist.</t>
  </si>
  <si>
    <t xml:space="preserve">•  A350 tail (A359 vs 9M-MAH) decides sales-cart location and EY blanket quantity – enter Tail/Reg on Flights.</t>
  </si>
  <si>
    <t xml:space="preserve">•  Caterer per station, ISOP revision numbers and expected meal/equipment quantities come from the caterer/MAGCS documents – not invented here.</t>
  </si>
  <si>
    <t xml:space="preserve">Illustrative entry (example only – not recorded anywhere in this workbook)</t>
  </si>
  <si>
    <t xml:space="preserve">Check F02-T24-01 · PIC: A. Rahman · Status: Pass · Result: Panel score 4.5/5, texture &amp; temperature OK · Batch ID: PASB-261008-BC-017 · Evidence: SENS-261008-017.pdf · Completion time: 08-Oct-26 20:10 (KUL) · Verifier: N. Ismail</t>
  </si>
  <si>
    <t xml:space="preserve">Colour key</t>
  </si>
  <si>
    <t xml:space="preserve">Yellow cell = input – enter data here</t>
  </si>
  <si>
    <t xml:space="preserve">Grey cell = formula – do not overwrite</t>
  </si>
  <si>
    <t xml:space="preserve">Light blue cell = requirement text derived from STD UPLIFT INFORMATION.xlsx</t>
  </si>
  <si>
    <t xml:space="preserve">Blue text = value transcribed from a reference (schedule, time-zone table, reference quantity)</t>
  </si>
  <si>
    <t xml:space="preserve">MAGCS Inflight Catering – Skytrax 2026 Readiness Dashboard</t>
  </si>
  <si>
    <t xml:space="preserve">As of (UTC)</t>
  </si>
  <si>
    <t xml:space="preserve">As of (MYT)</t>
  </si>
  <si>
    <t xml:space="preserve">Key indicators</t>
  </si>
  <si>
    <t xml:space="preserve">Flights</t>
  </si>
  <si>
    <t xml:space="preserve">Flights READY</t>
  </si>
  <si>
    <t xml:space="preserve">Overall completion</t>
  </si>
  <si>
    <t xml:space="preserve">Overdue actions</t>
  </si>
  <si>
    <t xml:space="preserve">Open discrepancies</t>
  </si>
  <si>
    <t xml:space="preserve">Docs outstanding</t>
  </si>
  <si>
    <t xml:space="preserve">Clarifications open</t>
  </si>
  <si>
    <t xml:space="preserve">Invalid entries</t>
  </si>
  <si>
    <t xml:space="preserve">legs on the agenda</t>
  </si>
  <si>
    <t xml:space="preserve">past due, not complete</t>
  </si>
  <si>
    <t xml:space="preserve">fail, qty variance or CA open</t>
  </si>
  <si>
    <t xml:space="preserve">GLD + menu checklist</t>
  </si>
  <si>
    <t xml:space="preserve">awaiting reference answer</t>
  </si>
  <si>
    <t xml:space="preserve">entries failing validation rules</t>
  </si>
  <si>
    <t xml:space="preserve">Checkpoint summary</t>
  </si>
  <si>
    <t xml:space="preserve">Checkpoint</t>
  </si>
  <si>
    <t xml:space="preserve">In scope</t>
  </si>
  <si>
    <t xml:space="preserve">Complete</t>
  </si>
  <si>
    <t xml:space="preserve">N/A (justified + rule)</t>
  </si>
  <si>
    <t xml:space="preserve">Open</t>
  </si>
  <si>
    <t xml:space="preserve">Overdue</t>
  </si>
  <si>
    <t xml:space="preserve">Completion</t>
  </si>
  <si>
    <t xml:space="preserve">What is checked</t>
  </si>
  <si>
    <t xml:space="preserve">T-7D</t>
  </si>
  <si>
    <t xml:space="preserve">Preparation checks due 7 days before STD</t>
  </si>
  <si>
    <t xml:space="preserve">T-24H</t>
  </si>
  <si>
    <t xml:space="preserve">Preparation checks due 24 hours before STD</t>
  </si>
  <si>
    <t xml:space="preserve">T-12H prep</t>
  </si>
  <si>
    <t xml:space="preserve">Preparation checks due 12 hours before STD</t>
  </si>
  <si>
    <t xml:space="preserve">Uplift</t>
  </si>
  <si>
    <t xml:space="preserve">Physical uplift / on-board confirmation, due at STD</t>
  </si>
  <si>
    <t xml:space="preserve">All</t>
  </si>
  <si>
    <t xml:space="preserve">Open = in scope − complete (includes overdue).</t>
  </si>
  <si>
    <t xml:space="preserve">How the figures are calculated</t>
  </si>
  <si>
    <t xml:space="preserve">Blank checks</t>
  </si>
  <si>
    <t xml:space="preserve">A check line with no Status / completion entry never counts as complete. It stays OPEN until its due time, then becomes OVERDUE.</t>
  </si>
  <si>
    <t xml:space="preserve">N/A</t>
  </si>
  <si>
    <t xml:space="preserve">N/A only removes a check from the denominator when it is either rule-based (applicability “N/A – rule”, e.g. fleet-specific items) or JUSTIFIED: Status N/A with a written N/A justification AND a named verifier. An unjustified or unverified N/A is flagged INVALID and still counts as open.</t>
  </si>
  <si>
    <t xml:space="preserve">Status Pass or Pass after CA, with a completion time, evidence ref and verifier; plus the batch ID on T-24H lines and expected + actual quantity on quantity lines. A quantity variance is only accepted as Pass after CA with the CA status Closed. GLD / menu-checklist lines also need the document ON FILE (Documents sheet). The completion time must not be in the future or before the valid window, and uplift lines can only be completed within the uplift window before STD (Settings B7). Anything else is OPEN, OVERDUE or INVALID.</t>
  </si>
  <si>
    <t xml:space="preserve">Discrepancy</t>
  </si>
  <si>
    <t xml:space="preserve">An in-scope check is an open discrepancy when its Status is Fail, OR its CA status is Open, OR its quantity variance is not zero (unless Status is Pass after CA). It clears once the corrective action is recorded and closed.</t>
  </si>
  <si>
    <t xml:space="preserve">READY</t>
  </si>
  <si>
    <t xml:space="preserve">A flight is READY only when every in-scope check at all four checkpoints is complete – including the physical uplift confirmation – with zero open discrepancies, the GLD and menu checklist on file (Documents sheet) and no invalid entries. PREP DONE – AWAITING UPLIFT means all preparation checks are complete but the physical uplift is not yet confirmed.</t>
  </si>
  <si>
    <t xml:space="preserve">Lists</t>
  </si>
  <si>
    <t xml:space="preserve">The overdue and discrepancy pages list the first 18 / 18 lines in Checks order. Long text there is shortened with “…” – the full text is on the Checks sheet.</t>
  </si>
  <si>
    <t xml:space="preserve">Time basis</t>
  </si>
  <si>
    <t xml:space="preserve">Due times are computed in UTC from STD and shown in local time at the check station. As-of time is Settings B6: the override in B4 if set, otherwise the PC clock adjusted by the offset in B5.</t>
  </si>
  <si>
    <t xml:space="preserve">Per-flight readiness</t>
  </si>
  <si>
    <t xml:space="preserve">Itin</t>
  </si>
  <si>
    <t xml:space="preserve">Flight</t>
  </si>
  <si>
    <t xml:space="preserve">Date</t>
  </si>
  <si>
    <t xml:space="preserve">Sector</t>
  </si>
  <si>
    <t xml:space="preserve">Cls</t>
  </si>
  <si>
    <t xml:space="preserve">Fleet</t>
  </si>
  <si>
    <t xml:space="preserve">STD local</t>
  </si>
  <si>
    <t xml:space="preserve">Overall</t>
  </si>
  <si>
    <t xml:space="preserve">Over-due</t>
  </si>
  <si>
    <t xml:space="preserve">Dis-crep.</t>
  </si>
  <si>
    <t xml:space="preserve">Docs out</t>
  </si>
  <si>
    <t xml:space="preserve">Clarif. open</t>
  </si>
  <si>
    <t xml:space="preserve">Readiness</t>
  </si>
  <si>
    <t xml:space="preserve">T-7D / T-24H / T-12H prep / Uplift / Overall = % of in-scope checks complete (“n/a” = no in-scope checks). Over-due, Dis-crep., Docs out, Clarif. open are counts; above zero shown in red. Source: Flights sheet rows 5–26.</t>
  </si>
  <si>
    <t xml:space="preserve">Overdue actions (first 18)</t>
  </si>
  <si>
    <t xml:space="preserve">#</t>
  </si>
  <si>
    <t xml:space="preserve">CheckID</t>
  </si>
  <si>
    <t xml:space="preserve">Check item</t>
  </si>
  <si>
    <t xml:space="preserve">Due local @ stn</t>
  </si>
  <si>
    <t xml:space="preserve">PIC</t>
  </si>
  <si>
    <t xml:space="preserve">Record state</t>
  </si>
  <si>
    <t xml:space="preserve">Checks row</t>
  </si>
  <si>
    <t xml:space="preserve">Outstanding discrepancies (first 18)</t>
  </si>
  <si>
    <t xml:space="preserve">Status</t>
  </si>
  <si>
    <t xml:space="preserve">Exp. qty</t>
  </si>
  <si>
    <t xml:space="preserve">Act. qty</t>
  </si>
  <si>
    <t xml:space="preserve">Vari-ance</t>
  </si>
  <si>
    <t xml:space="preserve">CA status</t>
  </si>
  <si>
    <t xml:space="preserve">Corrective action</t>
  </si>
  <si>
    <t xml:space="preserve">Flight register</t>
  </si>
  <si>
    <t xml:space="preserve">Source: Skytrax Agenda 2026 slide (schedule) and STD UPLIFT INFORMATION.xlsx (uplift). Yellow = input. Times: STD/STA in local time of the departure/arrival station; due times computed from STD in UTC.</t>
  </si>
  <si>
    <t xml:space="preserve">Flight ID</t>
  </si>
  <si>
    <t xml:space="preserve">Seq</t>
  </si>
  <si>
    <t xml:space="preserve">Day</t>
  </si>
  <si>
    <t xml:space="preserve">Flight No</t>
  </si>
  <si>
    <t xml:space="preserve">Dep</t>
  </si>
  <si>
    <t xml:space="preserve">Arr</t>
  </si>
  <si>
    <t xml:space="preserve">STA local</t>
  </si>
  <si>
    <t xml:space="preserve">Class assessed</t>
  </si>
  <si>
    <t xml:space="preserve">Fleet (schedule)</t>
  </si>
  <si>
    <t xml:space="preserve">Aircraft ref type (STD UPLIFT INFO)</t>
  </si>
  <si>
    <t xml:space="preserve">Tail / Reg (input)</t>
  </si>
  <si>
    <t xml:space="preserve">Seat</t>
  </si>
  <si>
    <t xml:space="preserve">Transit</t>
  </si>
  <si>
    <t xml:space="preserve">Remark</t>
  </si>
  <si>
    <t xml:space="preserve">Sector key</t>
  </si>
  <si>
    <t xml:space="preserve">Region</t>
  </si>
  <si>
    <t xml:space="preserve">Service (ref)</t>
  </si>
  <si>
    <t xml:space="preserve">Ref uplift stns</t>
  </si>
  <si>
    <t xml:space="preserve">Meal uplift stn</t>
  </si>
  <si>
    <t xml:space="preserve">Round-trip catered from KUL: agenda candidate carrying flight</t>
  </si>
  <si>
    <t xml:space="preserve">Caterer (input)</t>
  </si>
  <si>
    <t xml:space="preserve">Flight PIC (input)</t>
  </si>
  <si>
    <t xml:space="preserve">Dep UTC offset (h)</t>
  </si>
  <si>
    <t xml:space="preserve">STD UTC</t>
  </si>
  <si>
    <t xml:space="preserve">Block time (h)</t>
  </si>
  <si>
    <t xml:space="preserve">T-7D due UTC</t>
  </si>
  <si>
    <t xml:space="preserve">T-24H due UTC</t>
  </si>
  <si>
    <t xml:space="preserve">T-12H prep due UTC</t>
  </si>
  <si>
    <t xml:space="preserve">Uplift due UTC (= STD)</t>
  </si>
  <si>
    <t xml:space="preserve">T-7D due local (meal uplift stn)</t>
  </si>
  <si>
    <t xml:space="preserve">T-24H due local</t>
  </si>
  <si>
    <t xml:space="preserve">T-12H prep due local</t>
  </si>
  <si>
    <t xml:space="preserve">T-7D %</t>
  </si>
  <si>
    <t xml:space="preserve">T-24H %</t>
  </si>
  <si>
    <t xml:space="preserve">T-12H prep %</t>
  </si>
  <si>
    <t xml:space="preserve">Uplift %</t>
  </si>
  <si>
    <t xml:space="preserve">Overall %</t>
  </si>
  <si>
    <t xml:space="preserve">Open required checks</t>
  </si>
  <si>
    <t xml:space="preserve">READINESS</t>
  </si>
  <si>
    <t xml:space="preserve">Checks completed</t>
  </si>
  <si>
    <t xml:space="preserve">Checks in scope</t>
  </si>
  <si>
    <t xml:space="preserve">Inbound carrying flight: KUL departure (UTC, input)</t>
  </si>
  <si>
    <t xml:space="preserve">KUL loading deadline for KUL-sourced items (UTC)</t>
  </si>
  <si>
    <t xml:space="preserve">Carrying flight earliest arrival at departure stn (UTC)</t>
  </si>
  <si>
    <t xml:space="preserve">First on-board confirmation (UTC)</t>
  </si>
  <si>
    <t xml:space="preserve">F01</t>
  </si>
  <si>
    <t xml:space="preserve">THU</t>
  </si>
  <si>
    <t xml:space="preserve">MH0001</t>
  </si>
  <si>
    <t xml:space="preserve">LHR</t>
  </si>
  <si>
    <t xml:space="preserve">KUL</t>
  </si>
  <si>
    <t xml:space="preserve">EY</t>
  </si>
  <si>
    <t xml:space="preserve">A350</t>
  </si>
  <si>
    <t xml:space="preserve">A350-900: A359 (9M-MAB..MAG, row 6) or A350 9M-MAH (row 7) - tail to confirm</t>
  </si>
  <si>
    <t xml:space="preserve">14C</t>
  </si>
  <si>
    <t xml:space="preserve">-</t>
  </si>
  <si>
    <t xml:space="preserve">KUL/LHR/KUL</t>
  </si>
  <si>
    <t xml:space="preserve">EUR</t>
  </si>
  <si>
    <t xml:space="preserve">2.5 Meal (Meal)</t>
  </si>
  <si>
    <t xml:space="preserve">KUL/LHR</t>
  </si>
  <si>
    <t xml:space="preserve">n/a</t>
  </si>
  <si>
    <t xml:space="preserve">F02</t>
  </si>
  <si>
    <t xml:space="preserve">FRI</t>
  </si>
  <si>
    <t xml:space="preserve">MH0727</t>
  </si>
  <si>
    <t xml:space="preserve">CGK</t>
  </si>
  <si>
    <t xml:space="preserve">BC</t>
  </si>
  <si>
    <t xml:space="preserve">B738MAX</t>
  </si>
  <si>
    <t xml:space="preserve">B737-8 (B7M8)</t>
  </si>
  <si>
    <t xml:space="preserve">1C</t>
  </si>
  <si>
    <t xml:space="preserve">4H 00M</t>
  </si>
  <si>
    <t xml:space="preserve">Overnight CGK</t>
  </si>
  <si>
    <t xml:space="preserve">KUL/CGK/KUL</t>
  </si>
  <si>
    <t xml:space="preserve">ASEAN</t>
  </si>
  <si>
    <t xml:space="preserve">1 Meal (Meal)</t>
  </si>
  <si>
    <t xml:space="preserve">KUL/CGK</t>
  </si>
  <si>
    <t xml:space="preserve">F03</t>
  </si>
  <si>
    <t xml:space="preserve">SAT</t>
  </si>
  <si>
    <t xml:space="preserve">MH0720</t>
  </si>
  <si>
    <t xml:space="preserve">A333</t>
  </si>
  <si>
    <t xml:space="preserve">A330-300 (A333)</t>
  </si>
  <si>
    <t xml:space="preserve">11C</t>
  </si>
  <si>
    <t xml:space="preserve">F04</t>
  </si>
  <si>
    <t xml:space="preserve">MH0088</t>
  </si>
  <si>
    <t xml:space="preserve">NRT</t>
  </si>
  <si>
    <t xml:space="preserve">1A</t>
  </si>
  <si>
    <t xml:space="preserve">4H 05M</t>
  </si>
  <si>
    <t xml:space="preserve">Overnight NRT</t>
  </si>
  <si>
    <t xml:space="preserve">KUL/NRT/KUL</t>
  </si>
  <si>
    <t xml:space="preserve">NORTH ASIA</t>
  </si>
  <si>
    <t xml:space="preserve">1.5 Meal (Meal)</t>
  </si>
  <si>
    <t xml:space="preserve">KUL/NRT</t>
  </si>
  <si>
    <t xml:space="preserve">F05</t>
  </si>
  <si>
    <t xml:space="preserve">MH0089</t>
  </si>
  <si>
    <t xml:space="preserve">9K</t>
  </si>
  <si>
    <t xml:space="preserve">F06</t>
  </si>
  <si>
    <t xml:space="preserve">MH0002</t>
  </si>
  <si>
    <t xml:space="preserve">2K</t>
  </si>
  <si>
    <t xml:space="preserve">6H 35M</t>
  </si>
  <si>
    <t xml:space="preserve">F07</t>
  </si>
  <si>
    <t xml:space="preserve">MH0003</t>
  </si>
  <si>
    <t xml:space="preserve">2A</t>
  </si>
  <si>
    <t xml:space="preserve">F08</t>
  </si>
  <si>
    <t xml:space="preserve">MH0752</t>
  </si>
  <si>
    <t xml:space="preserve">HAN</t>
  </si>
  <si>
    <t xml:space="preserve">4A</t>
  </si>
  <si>
    <t xml:space="preserve">2H 50M</t>
  </si>
  <si>
    <t xml:space="preserve">Overnight HAN</t>
  </si>
  <si>
    <t xml:space="preserve">KUL/HAN/KUL</t>
  </si>
  <si>
    <t xml:space="preserve">KUL/HAN</t>
  </si>
  <si>
    <t xml:space="preserve">F09</t>
  </si>
  <si>
    <t xml:space="preserve">SUN</t>
  </si>
  <si>
    <t xml:space="preserve">MH0753</t>
  </si>
  <si>
    <t xml:space="preserve">1F</t>
  </si>
  <si>
    <t xml:space="preserve">Overnight KUL</t>
  </si>
  <si>
    <t xml:space="preserve">F10</t>
  </si>
  <si>
    <t xml:space="preserve">MON</t>
  </si>
  <si>
    <t xml:space="preserve">MH1140</t>
  </si>
  <si>
    <t xml:space="preserve">PEN</t>
  </si>
  <si>
    <t xml:space="preserve">KUL/PEN/KUL</t>
  </si>
  <si>
    <t xml:space="preserve">DOMESTIC</t>
  </si>
  <si>
    <t xml:space="preserve">Refreshment (Peanut &amp; Water)</t>
  </si>
  <si>
    <t xml:space="preserve">F11</t>
  </si>
  <si>
    <t xml:space="preserve">MH1149</t>
  </si>
  <si>
    <t xml:space="preserve">3H 05M</t>
  </si>
  <si>
    <t xml:space="preserve">F12</t>
  </si>
  <si>
    <t xml:space="preserve">MH0139</t>
  </si>
  <si>
    <t xml:space="preserve">ADL</t>
  </si>
  <si>
    <t xml:space="preserve">A339</t>
  </si>
  <si>
    <t xml:space="preserve">A330-900 (A339)</t>
  </si>
  <si>
    <t xml:space="preserve">1K</t>
  </si>
  <si>
    <t xml:space="preserve">5H 30M</t>
  </si>
  <si>
    <t xml:space="preserve">Overnight ADL</t>
  </si>
  <si>
    <t xml:space="preserve">KUL/ADL/KUL</t>
  </si>
  <si>
    <t xml:space="preserve">ANZ</t>
  </si>
  <si>
    <t xml:space="preserve">KUL/ADL</t>
  </si>
  <si>
    <t xml:space="preserve">F13</t>
  </si>
  <si>
    <t xml:space="preserve">WED</t>
  </si>
  <si>
    <t xml:space="preserve">MH0138</t>
  </si>
  <si>
    <t xml:space="preserve">11K</t>
  </si>
  <si>
    <t xml:space="preserve">F14</t>
  </si>
  <si>
    <t xml:space="preserve">MH0004</t>
  </si>
  <si>
    <t xml:space="preserve">F15</t>
  </si>
  <si>
    <t xml:space="preserve">12H</t>
  </si>
  <si>
    <t xml:space="preserve">F16</t>
  </si>
  <si>
    <t xml:space="preserve">MH0072</t>
  </si>
  <si>
    <t xml:space="preserve">HKG</t>
  </si>
  <si>
    <t xml:space="preserve">4C</t>
  </si>
  <si>
    <t xml:space="preserve">2H 25M</t>
  </si>
  <si>
    <t xml:space="preserve">Overnight HKG</t>
  </si>
  <si>
    <t xml:space="preserve">KUL/HKG/KUL</t>
  </si>
  <si>
    <t xml:space="preserve">ORIENTAL</t>
  </si>
  <si>
    <t xml:space="preserve">1 Meal + DAT(Noodles Svc) (Meal)</t>
  </si>
  <si>
    <t xml:space="preserve">KUL/HKG</t>
  </si>
  <si>
    <t xml:space="preserve">F17</t>
  </si>
  <si>
    <t xml:space="preserve">TUE</t>
  </si>
  <si>
    <t xml:space="preserve">MH0073</t>
  </si>
  <si>
    <t xml:space="preserve">F18</t>
  </si>
  <si>
    <t xml:space="preserve">MH0052</t>
  </si>
  <si>
    <t xml:space="preserve">KIX</t>
  </si>
  <si>
    <t xml:space="preserve">1D</t>
  </si>
  <si>
    <t xml:space="preserve">3H 30M</t>
  </si>
  <si>
    <t xml:space="preserve">Overnight KIX</t>
  </si>
  <si>
    <t xml:space="preserve">KUL/KIX/KUL</t>
  </si>
  <si>
    <t xml:space="preserve">KUL/KIX</t>
  </si>
  <si>
    <t xml:space="preserve">F19</t>
  </si>
  <si>
    <t xml:space="preserve">MH0053</t>
  </si>
  <si>
    <t xml:space="preserve">9C</t>
  </si>
  <si>
    <t xml:space="preserve">F20</t>
  </si>
  <si>
    <t xml:space="preserve">MH1450</t>
  </si>
  <si>
    <t xml:space="preserve">LGK</t>
  </si>
  <si>
    <t xml:space="preserve">1H 45M</t>
  </si>
  <si>
    <t xml:space="preserve">Overnight LGK</t>
  </si>
  <si>
    <t xml:space="preserve">KUL/LGK/KUL</t>
  </si>
  <si>
    <t xml:space="preserve">F21</t>
  </si>
  <si>
    <t xml:space="preserve">MH1437</t>
  </si>
  <si>
    <t xml:space="preserve">F22</t>
  </si>
  <si>
    <t xml:space="preserve">5A</t>
  </si>
  <si>
    <t xml:space="preserve">7H 15M</t>
  </si>
  <si>
    <t xml:space="preserve">Check register</t>
  </si>
  <si>
    <t xml:space="preserve">Every readiness record for every flight (single source of truth). Enter results only in the yellow columns T–AE. Blank never counts as complete. Pass requires completion time, evidence and verifier (plus batch ID / quantities where required). N/A requires justification and verifier.</t>
  </si>
  <si>
    <t xml:space="preserve">Check ID</t>
  </si>
  <si>
    <t xml:space="preserve">Class</t>
  </si>
  <si>
    <t xml:space="preserve">Check type</t>
  </si>
  <si>
    <t xml:space="preserve">Category</t>
  </si>
  <si>
    <t xml:space="preserve">Requirement / expected (reference)</t>
  </si>
  <si>
    <t xml:space="preserve">Source reference</t>
  </si>
  <si>
    <t xml:space="preserve">Item uplift stn</t>
  </si>
  <si>
    <t xml:space="preserve">Applicability</t>
  </si>
  <si>
    <t xml:space="preserve">Rule note / clarification question</t>
  </si>
  <si>
    <t xml:space="preserve">Check station</t>
  </si>
  <si>
    <t xml:space="preserve">Due (UTC)</t>
  </si>
  <si>
    <t xml:space="preserve">Due (local @ check stn)</t>
  </si>
  <si>
    <t xml:space="preserve">Earliest valid (UTC)</t>
  </si>
  <si>
    <t xml:space="preserve">Result / assessment</t>
  </si>
  <si>
    <t xml:space="preserve">Batch ID (T-24H)</t>
  </si>
  <si>
    <t xml:space="preserve">Expected qty</t>
  </si>
  <si>
    <t xml:space="preserve">Actual qty</t>
  </si>
  <si>
    <t xml:space="preserve">Evidence ref</t>
  </si>
  <si>
    <t xml:space="preserve">N/A justification</t>
  </si>
  <si>
    <t xml:space="preserve">Completion time (local @ check stn)</t>
  </si>
  <si>
    <t xml:space="preserve">Verifier</t>
  </si>
  <si>
    <t xml:space="preserve">Qty variance</t>
  </si>
  <si>
    <t xml:space="preserve">Completion (UTC)</t>
  </si>
  <si>
    <t xml:space="preserve">RECORD STATE</t>
  </si>
  <si>
    <t xml:space="preserve">Open discrepancy</t>
  </si>
  <si>
    <t xml:space="preserve">Invalid</t>
  </si>
  <si>
    <t xml:space="preserve">Clarification open</t>
  </si>
  <si>
    <t xml:space="preserve">Overdue seq</t>
  </si>
  <si>
    <t xml:space="preserve">Discrepancy seq</t>
  </si>
  <si>
    <t xml:space="preserve">Req batch</t>
  </si>
  <si>
    <t xml:space="preserve">Req qty</t>
  </si>
  <si>
    <t xml:space="preserve">Req doc</t>
  </si>
  <si>
    <t xml:space="preserve">N/A permitted</t>
  </si>
  <si>
    <t xml:space="preserve">n PIC</t>
  </si>
  <si>
    <t xml:space="preserve">n Result</t>
  </si>
  <si>
    <t xml:space="preserve">n Evidence</t>
  </si>
  <si>
    <t xml:space="preserve">n Verifier</t>
  </si>
  <si>
    <t xml:space="preserve">n Batch</t>
  </si>
  <si>
    <t xml:space="preserve">n N/A just.</t>
  </si>
  <si>
    <t xml:space="preserve">n CA</t>
  </si>
  <si>
    <t xml:space="preserve">CA / qty messages</t>
  </si>
  <si>
    <t xml:space="preserve">F01-T7-01</t>
  </si>
  <si>
    <t xml:space="preserve">Preparation</t>
  </si>
  <si>
    <t xml:space="preserve">Meal</t>
  </si>
  <si>
    <t xml:space="preserve">Meal sensory testing completed for this flight's menu cycle (assessed class)</t>
  </si>
  <si>
    <t xml:space="preserve">Record panel result / score in Result</t>
  </si>
  <si>
    <t xml:space="preserve">User brief (T-7 days)</t>
  </si>
  <si>
    <t xml:space="preserve">Required</t>
  </si>
  <si>
    <t xml:space="preserve">F01-T7-02</t>
  </si>
  <si>
    <t xml:space="preserve">Menu</t>
  </si>
  <si>
    <t xml:space="preserve">Printed menu cards confirmed (content, cycle, language, quantity)</t>
  </si>
  <si>
    <t xml:space="preserve">Menu card matches approved menu for this flight</t>
  </si>
  <si>
    <t xml:space="preserve">F01-T7-03</t>
  </si>
  <si>
    <t xml:space="preserve">IFE</t>
  </si>
  <si>
    <t xml:space="preserve">Digital menu in IFE confirmed (A339 only)</t>
  </si>
  <si>
    <t xml:space="preserve">Applies when fleet = A339</t>
  </si>
  <si>
    <t xml:space="preserve">Digital IFE menu applies to A339 only (user brief). Applicability follows the Fleet cell on Flights.</t>
  </si>
  <si>
    <t xml:space="preserve">F01-T7-04</t>
  </si>
  <si>
    <t xml:space="preserve">Staffing</t>
  </si>
  <si>
    <t xml:space="preserve">Experienced catering officer assigned to this flight</t>
  </si>
  <si>
    <t xml:space="preserve">Record officer name in Result</t>
  </si>
  <si>
    <t xml:space="preserve">F01-T7-05</t>
  </si>
  <si>
    <t xml:space="preserve">ISOP</t>
  </si>
  <si>
    <t xml:space="preserve">All latest applicable ISOP revisions communicated to caterer</t>
  </si>
  <si>
    <t xml:space="preserve">List revision numbers in Result (see ISOP register)</t>
  </si>
  <si>
    <t xml:space="preserve">F01-T7-06</t>
  </si>
  <si>
    <t xml:space="preserve">Caterer acknowledgement of ISOP revisions recorded</t>
  </si>
  <si>
    <t xml:space="preserve">Record acknowledgement ref in Evidence</t>
  </si>
  <si>
    <t xml:space="preserve">F01-T7-07</t>
  </si>
  <si>
    <t xml:space="preserve">Documents</t>
  </si>
  <si>
    <t xml:space="preserve">Galley loading diagram (GLD) received, revision recorded &amp; attached</t>
  </si>
  <si>
    <t xml:space="preserve">Documents sheet row complete</t>
  </si>
  <si>
    <t xml:space="preserve">F01-T7-08</t>
  </si>
  <si>
    <t xml:space="preserve">Menu checklist received, revision recorded &amp; attached</t>
  </si>
  <si>
    <t xml:space="preserve">F01-T7-09</t>
  </si>
  <si>
    <t xml:space="preserve">Uplift plan</t>
  </si>
  <si>
    <t xml:space="preserve">Uplift plan confirmed with caterer vs STD Uplift Information</t>
  </si>
  <si>
    <t xml:space="preserve">Service: 2.5 Meal (Meal); meal uplift stn LHR (ref lists KUL/LHR)</t>
  </si>
  <si>
    <t xml:space="preserve">STD UPLIFT INFORMATION.xlsx &gt; CATERING UPLIFT STN!C9:G9</t>
  </si>
  <si>
    <t xml:space="preserve">F01-T24-01</t>
  </si>
  <si>
    <t xml:space="preserve">Sensory test repeated on ACTUAL production batch for this flight</t>
  </si>
  <si>
    <t xml:space="preserve">Batch ID, result, CA and acceptance mandatory</t>
  </si>
  <si>
    <t xml:space="preserve">User brief (T-24 hours)</t>
  </si>
  <si>
    <t xml:space="preserve">F01-T12-01</t>
  </si>
  <si>
    <t xml:space="preserve">T-12H PREP</t>
  </si>
  <si>
    <t xml:space="preserve">Meal quality vs menu checklist</t>
  </si>
  <si>
    <t xml:space="preserve">User brief (T-12 hours)</t>
  </si>
  <si>
    <t xml:space="preserve">Preparation check at caterer - does NOT confirm loading.</t>
  </si>
  <si>
    <t xml:space="preserve">F01-T12-02</t>
  </si>
  <si>
    <t xml:space="preserve">Meal quantities vs menu checklist</t>
  </si>
  <si>
    <t xml:space="preserve">Enter expected &amp; actual</t>
  </si>
  <si>
    <t xml:space="preserve">F01-T12-03</t>
  </si>
  <si>
    <t xml:space="preserve">Equipment</t>
  </si>
  <si>
    <t xml:space="preserve">Equipment cleanliness vs GLD</t>
  </si>
  <si>
    <t xml:space="preserve">F01-T12-04</t>
  </si>
  <si>
    <t xml:space="preserve">Equipment presentation vs GLD</t>
  </si>
  <si>
    <t xml:space="preserve">F01-T12-05</t>
  </si>
  <si>
    <t xml:space="preserve">Equipment serviceability vs GLD</t>
  </si>
  <si>
    <t xml:space="preserve">F01-T12-06</t>
  </si>
  <si>
    <t xml:space="preserve">Equipment quantities vs GLD</t>
  </si>
  <si>
    <t xml:space="preserve">Enter expected &amp; actual. Aircraft galley data: A350-900 (A359): carts 50.5, SU 70, ovens 14, warming ovens 3, fridges 3, water heaters 7, beverage makers -, espresso 2, folding trolleys 4, headsets BC &amp; EY: Dual Pin (AIRCRAFT TYPE!C6:R6) | A350-900 (A350): carts 41.5, SU 52, ovens 14, warming ovens 0, fridges 1, water heaters 11, beverage makers -, espresso 1, folding trolleys 3, headsets BC: Dual Pin/ EY: Single Pin (AIRCRAFT TYPE!C7:R7)</t>
  </si>
  <si>
    <t xml:space="preserve">F01-T12-07</t>
  </si>
  <si>
    <t xml:space="preserve">Loading positions planned vs GLD</t>
  </si>
  <si>
    <t xml:space="preserve">F01-T12-08</t>
  </si>
  <si>
    <t xml:space="preserve">Amenities</t>
  </si>
  <si>
    <t xml:space="preserve">Toiletry kits - prepared</t>
  </si>
  <si>
    <t xml:space="preserve">Available for sector (ticked in reference)</t>
  </si>
  <si>
    <t xml:space="preserve">STD UPLIFT INFORMATION.xlsx &gt; AMENITIES!D12 / H12</t>
  </si>
  <si>
    <t xml:space="preserve">Clarification required</t>
  </si>
  <si>
    <t xml:space="preserve">Reference does not state the cabin class for toiletry kits. Confirm whether EY receives them; if not, mark N/A with the confirmation as justification.</t>
  </si>
  <si>
    <t xml:space="preserve">F01-T12-09</t>
  </si>
  <si>
    <t xml:space="preserve">Seat Linen</t>
  </si>
  <si>
    <t xml:space="preserve">Seat pillow (EY) - prepared</t>
  </si>
  <si>
    <t xml:space="preserve">Available 100% (ticked in reference)</t>
  </si>
  <si>
    <t xml:space="preserve">STD UPLIFT INFORMATION.xlsx &gt; SEAT LINEN!I7</t>
  </si>
  <si>
    <t xml:space="preserve">Not stated in reference</t>
  </si>
  <si>
    <t xml:space="preserve">Reference gives no uplift stn for this item: preparation checked at the meal uplift stn (LHR) - confirm with caterer.</t>
  </si>
  <si>
    <t xml:space="preserve">F01-T12-10</t>
  </si>
  <si>
    <t xml:space="preserve">Blanket (EY) - prepared</t>
  </si>
  <si>
    <t xml:space="preserve">Available 100% (ticked in reference); qty 280 (A350 9M-MAH) / 260 (A359) - per tail</t>
  </si>
  <si>
    <t xml:space="preserve">STD UPLIFT INFORMATION.xlsx &gt; SEAT LINEN!J7</t>
  </si>
  <si>
    <t xml:space="preserve">EY blanket: flight above 3 hours excl. Regional (SEAT LINEN!B74:C74); block 13.25 h. Qty per tail: A350 280 pcs (SEAT LINEN!B76:C76), A359 260 pcs (SEAT LINEN!B77:C77). Reference gives no uplift stn for this item: preparation checked at the meal uplift stn (LHR) - confirm with caterer.</t>
  </si>
  <si>
    <t xml:space="preserve">F01-UPL-01</t>
  </si>
  <si>
    <t xml:space="preserve">UPLIFT</t>
  </si>
  <si>
    <t xml:space="preserve">Physical uplift</t>
  </si>
  <si>
    <t xml:space="preserve">Meals physically uplifted on board - quantity vs menu checklist</t>
  </si>
  <si>
    <t xml:space="preserve">User brief (T-12 hours - physical uplift)</t>
  </si>
  <si>
    <t xml:space="preserve">Confirm on board before departure; completion time must fall inside the uplift window.</t>
  </si>
  <si>
    <t xml:space="preserve">F01-UPL-02</t>
  </si>
  <si>
    <t xml:space="preserve">Equipment physically loaded at GLD positions - quantity &amp; positions</t>
  </si>
  <si>
    <t xml:space="preserve">F01-UPL-03</t>
  </si>
  <si>
    <t xml:space="preserve">Toiletry kits - on board</t>
  </si>
  <si>
    <t xml:space="preserve">F01-UPL-04</t>
  </si>
  <si>
    <t xml:space="preserve">Seat pillow (EY) - on board</t>
  </si>
  <si>
    <t xml:space="preserve">F01-UPL-05</t>
  </si>
  <si>
    <t xml:space="preserve">Blanket (EY) - on board</t>
  </si>
  <si>
    <t xml:space="preserve">EY blanket: flight above 3 hours excl. Regional (SEAT LINEN!B74:C74); block 13.25 h. Qty per tail: A350 280 pcs (SEAT LINEN!B76:C76), A359 260 pcs (SEAT LINEN!B77:C77).</t>
  </si>
  <si>
    <t xml:space="preserve">F02-T7-01</t>
  </si>
  <si>
    <t xml:space="preserve">F02-T7-02</t>
  </si>
  <si>
    <t xml:space="preserve">F02-T7-03</t>
  </si>
  <si>
    <t xml:space="preserve">F02-T7-04</t>
  </si>
  <si>
    <t xml:space="preserve">F02-T7-05</t>
  </si>
  <si>
    <t xml:space="preserve">F02-T7-06</t>
  </si>
  <si>
    <t xml:space="preserve">F02-T7-07</t>
  </si>
  <si>
    <t xml:space="preserve">F02-T7-08</t>
  </si>
  <si>
    <t xml:space="preserve">F02-T7-09</t>
  </si>
  <si>
    <t xml:space="preserve">Service: 1 Meal (Meal); meal uplift stn KUL (ref lists KUL/CGK)</t>
  </si>
  <si>
    <t xml:space="preserve">STD UPLIFT INFORMATION.xlsx &gt; CATERING UPLIFT STN!C47:G47</t>
  </si>
  <si>
    <t xml:space="preserve">F02-T24-01</t>
  </si>
  <si>
    <t xml:space="preserve">F02-T12-01</t>
  </si>
  <si>
    <t xml:space="preserve">F02-T12-02</t>
  </si>
  <si>
    <t xml:space="preserve">F02-T12-03</t>
  </si>
  <si>
    <t xml:space="preserve">F02-T12-04</t>
  </si>
  <si>
    <t xml:space="preserve">F02-T12-05</t>
  </si>
  <si>
    <t xml:space="preserve">F02-T12-06</t>
  </si>
  <si>
    <t xml:space="preserve">Enter expected &amp; actual. Aircraft galley data: B737-8 (B7M8): carts 10.5, SU 25, ovens 6, warming ovens -, fridges -, water heaters 3, beverage makers -, espresso -, folding trolleys -, headsets - (AIRCRAFT TYPE!C16:R16)</t>
  </si>
  <si>
    <t xml:space="preserve">F02-T12-07</t>
  </si>
  <si>
    <t xml:space="preserve">F02-T12-08</t>
  </si>
  <si>
    <t xml:space="preserve">Disposable slippers in DAM cart (BC, on request) - prepared</t>
  </si>
  <si>
    <t xml:space="preserve">Available in DAM cart on request basis</t>
  </si>
  <si>
    <t xml:space="preserve">STD UPLIFT INFORMATION.xlsx &gt; AMENITIES!G52 / C83</t>
  </si>
  <si>
    <t xml:space="preserve">Sector has no BC slippers; note C83: disposable slipper available in DAM cart (on request basis). Reference gives no uplift stn for this item: preparation checked at the meal uplift stn (KUL) - confirm with caterer.</t>
  </si>
  <si>
    <t xml:space="preserve">F02-T12-09</t>
  </si>
  <si>
    <t xml:space="preserve">F&amp;B Linen</t>
  </si>
  <si>
    <t xml:space="preserve">Towel - prepared</t>
  </si>
  <si>
    <t xml:space="preserve">Available (ticked in reference)</t>
  </si>
  <si>
    <t xml:space="preserve">STD UPLIFT INFORMATION.xlsx &gt; F&amp;B LINEN!D44</t>
  </si>
  <si>
    <t xml:space="preserve">Reference gives no uplift stn for this item: preparation checked at the meal uplift stn (KUL) - confirm with caterer.</t>
  </si>
  <si>
    <t xml:space="preserve">F02-T12-10</t>
  </si>
  <si>
    <t xml:space="preserve">Tray cloth - prepared</t>
  </si>
  <si>
    <t xml:space="preserve">STD UPLIFT INFORMATION.xlsx &gt; F&amp;B LINEN!E44</t>
  </si>
  <si>
    <t xml:space="preserve">F02-T12-11</t>
  </si>
  <si>
    <t xml:space="preserve">Napkin - prepared</t>
  </si>
  <si>
    <t xml:space="preserve">STD UPLIFT INFORMATION.xlsx &gt; F&amp;B LINEN!F44</t>
  </si>
  <si>
    <t xml:space="preserve">F02-T12-12</t>
  </si>
  <si>
    <t xml:space="preserve">Table cloth - prepared</t>
  </si>
  <si>
    <t xml:space="preserve">STD UPLIFT INFORMATION.xlsx &gt; F&amp;B LINEN!G44</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</si>
  <si>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t>
  </si>
  <si>
    <t xml:space="preserve">F02-T12-13</t>
  </si>
  <si>
    <t xml:space="preserve">Bread linen (using table cloth) - prepared</t>
  </si>
  <si>
    <t xml:space="preserve">STD UPLIFT INFORMATION.xlsx &gt; F&amp;B LINEN!H44</t>
  </si>
  <si>
    <t xml:space="preserve">F02-T12-14</t>
  </si>
  <si>
    <t xml:space="preserve">Trolley cloth - prepared</t>
  </si>
  <si>
    <t xml:space="preserve">Narrow body: Top only</t>
  </si>
  <si>
    <t xml:space="preserve">STD UPLIFT INFORMATION.xlsx &gt; F&amp;B LINEN!I44</t>
  </si>
  <si>
    <t xml:space="preserve">Per note F&amp;B LINEN!B79:C80. Reference gives no uplift stn for this item: preparation checked at the meal uplift stn (KUL) - confirm with caterer.</t>
  </si>
  <si>
    <t xml:space="preserve">F02-T12-15</t>
  </si>
  <si>
    <t xml:space="preserve">Linen bag - prepared</t>
  </si>
  <si>
    <t xml:space="preserve">STD UPLIFT INFORMATION.xlsx &gt; F&amp;B LINEN!J44</t>
  </si>
  <si>
    <t xml:space="preserve">F02-T12-16</t>
  </si>
  <si>
    <t xml:space="preserve">Seat pillow (BS &amp; BC) - prepared</t>
  </si>
  <si>
    <t xml:space="preserve">STD UPLIFT INFORMATION.xlsx &gt; SEAT LINEN!E42</t>
  </si>
  <si>
    <t xml:space="preserve">F02-T12-17</t>
  </si>
  <si>
    <t xml:space="preserve">Blanket (BS &amp; BC) - prepared</t>
  </si>
  <si>
    <t xml:space="preserve">STD UPLIFT INFORMATION.xlsx &gt; SEAT LINEN!H42</t>
  </si>
  <si>
    <t xml:space="preserve">F02-UPL-01</t>
  </si>
  <si>
    <t xml:space="preserve">F02-UPL-02</t>
  </si>
  <si>
    <t xml:space="preserve">F02-UPL-03</t>
  </si>
  <si>
    <t xml:space="preserve">Disposable slippers in DAM cart (BC, on request) - on board</t>
  </si>
  <si>
    <t xml:space="preserve">Sector has no BC slippers; note C83: disposable slipper available in DAM cart (on request basis).</t>
  </si>
  <si>
    <t xml:space="preserve">F02-UPL-04</t>
  </si>
  <si>
    <t xml:space="preserve">Towel - on board</t>
  </si>
  <si>
    <t xml:space="preserve">F02-UPL-05</t>
  </si>
  <si>
    <t xml:space="preserve">Tray cloth - on board</t>
  </si>
  <si>
    <t xml:space="preserve">F02-UPL-06</t>
  </si>
  <si>
    <t xml:space="preserve">Napkin - on board</t>
  </si>
  <si>
    <t xml:space="preserve">F02-UPL-07</t>
  </si>
  <si>
    <t xml:space="preserve">Table cloth - on board</t>
  </si>
  <si>
    <t xml:space="preserve">Reference contradicts itself: matrix shows a tick for this sector but note F&amp;B LINEN!B78:C78 says table cloth is 'Not Applicable for Domestic/Asean &amp; Regional' (ASEAN). Confirm before loading; if not carried, mark N/A with the confirmation as justification.</t>
  </si>
  <si>
    <t xml:space="preserve">F02-UPL-08</t>
  </si>
  <si>
    <t xml:space="preserve">Bread linen (using table cloth) - on board</t>
  </si>
  <si>
    <t xml:space="preserve">F02-UPL-09</t>
  </si>
  <si>
    <t xml:space="preserve">Trolley cloth - on board</t>
  </si>
  <si>
    <t xml:space="preserve">Per note F&amp;B LINEN!B79:C80.</t>
  </si>
  <si>
    <t xml:space="preserve">F02-UPL-10</t>
  </si>
  <si>
    <t xml:space="preserve">Linen bag - on board</t>
  </si>
  <si>
    <t xml:space="preserve">F02-UPL-11</t>
  </si>
  <si>
    <t xml:space="preserve">Seat pillow (BS &amp; BC) - on board</t>
  </si>
  <si>
    <t xml:space="preserve">F02-UPL-12</t>
  </si>
  <si>
    <t xml:space="preserve">Blanket (BS &amp; BC) - on board</t>
  </si>
  <si>
    <t xml:space="preserve">F03-T7-01</t>
  </si>
  <si>
    <t xml:space="preserve">F03-T7-02</t>
  </si>
  <si>
    <t xml:space="preserve">F03-T7-03</t>
  </si>
  <si>
    <t xml:space="preserve">F03-T7-04</t>
  </si>
  <si>
    <t xml:space="preserve">F03-T7-05</t>
  </si>
  <si>
    <t xml:space="preserve">F03-T7-06</t>
  </si>
  <si>
    <t xml:space="preserve">F03-T7-07</t>
  </si>
  <si>
    <t xml:space="preserve">F03-T7-08</t>
  </si>
  <si>
    <t xml:space="preserve">F03-T7-09</t>
  </si>
  <si>
    <t xml:space="preserve">Service: 1 Meal (Meal); meal uplift stn CGK (ref lists KUL/CGK)</t>
  </si>
  <si>
    <t xml:space="preserve">F03-T24-01</t>
  </si>
  <si>
    <t xml:space="preserve">F03-T12-01</t>
  </si>
  <si>
    <t xml:space="preserve">F03-T12-02</t>
  </si>
  <si>
    <t xml:space="preserve">F03-T12-03</t>
  </si>
  <si>
    <t xml:space="preserve">F03-T12-04</t>
  </si>
  <si>
    <t xml:space="preserve">F03-T12-05</t>
  </si>
  <si>
    <t xml:space="preserve">F03-T12-06</t>
  </si>
  <si>
    <t xml:space="preserve">Enter expected &amp; actual. Aircraft galley data: A330-300 (A333): carts 42.5, SU 100, ovens 12, warming ovens 4, fridges 4, water heaters 6, beverage makers -, espresso -, folding trolleys 4, headsets BC &amp; EY: Dual Pin (AIRCRAFT TYPE!C9:R9)</t>
  </si>
  <si>
    <t xml:space="preserve">F03-T12-07</t>
  </si>
  <si>
    <t xml:space="preserve">F03-T12-08</t>
  </si>
  <si>
    <t xml:space="preserve">STD UPLIFT INFORMATION.xlsx &gt; SEAT LINEN!I42</t>
  </si>
  <si>
    <t xml:space="preserve">Reference gives no uplift stn for this item: preparation checked at the meal uplift stn (CGK) - confirm with caterer.</t>
  </si>
  <si>
    <t xml:space="preserve">F03-UPL-01</t>
  </si>
  <si>
    <t xml:space="preserve">F03-UPL-02</t>
  </si>
  <si>
    <t xml:space="preserve">F03-UPL-03</t>
  </si>
  <si>
    <t xml:space="preserve">F04-T7-01</t>
  </si>
  <si>
    <t xml:space="preserve">F04-T7-02</t>
  </si>
  <si>
    <t xml:space="preserve">F04-T7-03</t>
  </si>
  <si>
    <t xml:space="preserve">F04-T7-04</t>
  </si>
  <si>
    <t xml:space="preserve">F04-T7-05</t>
  </si>
  <si>
    <t xml:space="preserve">F04-T7-06</t>
  </si>
  <si>
    <t xml:space="preserve">F04-T7-07</t>
  </si>
  <si>
    <t xml:space="preserve">F04-T7-08</t>
  </si>
  <si>
    <t xml:space="preserve">F04-T7-09</t>
  </si>
  <si>
    <t xml:space="preserve">Service: 1.5 Meal (Meal); meal uplift stn KUL (ref lists KUL/NRT)</t>
  </si>
  <si>
    <t xml:space="preserve">STD UPLIFT INFORMATION.xlsx &gt; CATERING UPLIFT STN!C16:G16</t>
  </si>
  <si>
    <t xml:space="preserve">F04-T24-01</t>
  </si>
  <si>
    <t xml:space="preserve">F04-T12-01</t>
  </si>
  <si>
    <t xml:space="preserve">F04-T12-02</t>
  </si>
  <si>
    <t xml:space="preserve">F04-T12-03</t>
  </si>
  <si>
    <t xml:space="preserve">F04-T12-04</t>
  </si>
  <si>
    <t xml:space="preserve">F04-T12-05</t>
  </si>
  <si>
    <t xml:space="preserve">F04-T12-06</t>
  </si>
  <si>
    <t xml:space="preserve">F04-T12-07</t>
  </si>
  <si>
    <t xml:space="preserve">F04-T12-08</t>
  </si>
  <si>
    <t xml:space="preserve">STD UPLIFT INFORMATION.xlsx &gt; AMENITIES!D23 / H23</t>
  </si>
  <si>
    <t xml:space="preserve">F04-T12-09</t>
  </si>
  <si>
    <t xml:space="preserve">Slippers (BS/BC) - prepared</t>
  </si>
  <si>
    <t xml:space="preserve">STD UPLIFT INFORMATION.xlsx &gt; AMENITIES!G23 / H23</t>
  </si>
  <si>
    <t xml:space="preserve">F04-T12-10</t>
  </si>
  <si>
    <t xml:space="preserve">STD UPLIFT INFORMATION.xlsx &gt; F&amp;B LINEN!D14</t>
  </si>
  <si>
    <t xml:space="preserve">F04-T12-11</t>
  </si>
  <si>
    <t xml:space="preserve">STD UPLIFT INFORMATION.xlsx &gt; F&amp;B LINEN!E14</t>
  </si>
  <si>
    <t xml:space="preserve">F04-T12-12</t>
  </si>
  <si>
    <t xml:space="preserve">STD UPLIFT INFORMATION.xlsx &gt; F&amp;B LINEN!F14</t>
  </si>
  <si>
    <t xml:space="preserve">F04-T12-13</t>
  </si>
  <si>
    <t xml:space="preserve">STD UPLIFT INFORMATION.xlsx &gt; F&amp;B LINEN!G14</t>
  </si>
  <si>
    <t xml:space="preserve">F04-T12-14</t>
  </si>
  <si>
    <t xml:space="preserve">STD UPLIFT INFORMATION.xlsx &gt; F&amp;B LINEN!H14</t>
  </si>
  <si>
    <t xml:space="preserve">F04-T12-15</t>
  </si>
  <si>
    <t xml:space="preserve">Wide body: Top/Middle &amp; Bottom</t>
  </si>
  <si>
    <t xml:space="preserve">STD UPLIFT INFORMATION.xlsx &gt; F&amp;B LINEN!I14</t>
  </si>
  <si>
    <t xml:space="preserve">F04-T12-16</t>
  </si>
  <si>
    <t xml:space="preserve">STD UPLIFT INFORMATION.xlsx &gt; F&amp;B LINEN!J14</t>
  </si>
  <si>
    <t xml:space="preserve">F04-T12-17</t>
  </si>
  <si>
    <t xml:space="preserve">STD UPLIFT INFORMATION.xlsx &gt; SEAT LINEN!E14</t>
  </si>
  <si>
    <t xml:space="preserve">F04-T12-18</t>
  </si>
  <si>
    <t xml:space="preserve">Duvet (BS &amp; BC) - prepared</t>
  </si>
  <si>
    <t xml:space="preserve">STD UPLIFT INFORMATION.xlsx &gt; SEAT LINEN!F14</t>
  </si>
  <si>
    <t xml:space="preserve">F04-T12-19</t>
  </si>
  <si>
    <t xml:space="preserve">Mattress (BS &amp; BC) - prepared</t>
  </si>
  <si>
    <t xml:space="preserve">STD UPLIFT INFORMATION.xlsx &gt; SEAT LINEN!G14</t>
  </si>
  <si>
    <t xml:space="preserve">F04-T12-20</t>
  </si>
  <si>
    <t xml:space="preserve">Signature Drinks</t>
  </si>
  <si>
    <t xml:space="preserve">Signature drink &amp; garnish (BC) - prepared</t>
  </si>
  <si>
    <t xml:space="preserve">STD UPLIFT INFORMATION.xlsx &gt; Signature Drinks!F14 / G14 / D79</t>
  </si>
  <si>
    <t xml:space="preserve">Signature drinks &amp; garnish uplifted from KUL (note D79).</t>
  </si>
  <si>
    <t xml:space="preserve">F04-T12-21</t>
  </si>
  <si>
    <t xml:space="preserve">Sales Cart</t>
  </si>
  <si>
    <t xml:space="preserve">Sales cart (caterer PASB) - prepared</t>
  </si>
  <si>
    <t xml:space="preserve">A359: 5R41A &amp; 5R42A (not applicable for LHR) (full cart); 9M-MAH: G4F13A (half cart) - per tail</t>
  </si>
  <si>
    <t xml:space="preserve">STD UPLIFT INFORMATION.xlsx &gt; SALES CART!K7:K14 / L9 / C9 / O8:R12</t>
  </si>
  <si>
    <t xml:space="preserve">Block 7.17 h &gt;= 4 h. Location depends on tail. Reference gives no uplift stn for this item: preparation checked at the meal uplift stn (KUL) - confirm with caterer.</t>
  </si>
  <si>
    <t xml:space="preserve">F04-UPL-01</t>
  </si>
  <si>
    <t xml:space="preserve">F04-UPL-02</t>
  </si>
  <si>
    <t xml:space="preserve">F04-UPL-03</t>
  </si>
  <si>
    <t xml:space="preserve">F04-UPL-04</t>
  </si>
  <si>
    <t xml:space="preserve">Slippers (BS/BC) - on board</t>
  </si>
  <si>
    <t xml:space="preserve">F04-UPL-05</t>
  </si>
  <si>
    <t xml:space="preserve">F04-UPL-06</t>
  </si>
  <si>
    <t xml:space="preserve">F04-UPL-07</t>
  </si>
  <si>
    <t xml:space="preserve">F04-UPL-08</t>
  </si>
  <si>
    <t xml:space="preserve">F04-UPL-09</t>
  </si>
  <si>
    <t xml:space="preserve">F04-UPL-10</t>
  </si>
  <si>
    <t xml:space="preserve">F04-UPL-11</t>
  </si>
  <si>
    <t xml:space="preserve">F04-UPL-12</t>
  </si>
  <si>
    <t xml:space="preserve">F04-UPL-13</t>
  </si>
  <si>
    <t xml:space="preserve">Duvet (BS &amp; BC) - on board</t>
  </si>
  <si>
    <t xml:space="preserve">F04-UPL-14</t>
  </si>
  <si>
    <t xml:space="preserve">Mattress (BS &amp; BC) - on board</t>
  </si>
  <si>
    <t xml:space="preserve">F04-UPL-15</t>
  </si>
  <si>
    <t xml:space="preserve">Signature drink &amp; garnish (BC) - on board</t>
  </si>
  <si>
    <t xml:space="preserve">F04-UPL-16</t>
  </si>
  <si>
    <t xml:space="preserve">Sales cart (caterer PASB) - on board</t>
  </si>
  <si>
    <t xml:space="preserve">Block 7.17 h &gt;= 4 h. Location depends on tail.</t>
  </si>
  <si>
    <t xml:space="preserve">F05-T7-01</t>
  </si>
  <si>
    <t xml:space="preserve">F05-T7-02</t>
  </si>
  <si>
    <t xml:space="preserve">F05-T7-03</t>
  </si>
  <si>
    <t xml:space="preserve">F05-T7-04</t>
  </si>
  <si>
    <t xml:space="preserve">F05-T7-05</t>
  </si>
  <si>
    <t xml:space="preserve">F05-T7-06</t>
  </si>
  <si>
    <t xml:space="preserve">F05-T7-07</t>
  </si>
  <si>
    <t xml:space="preserve">F05-T7-08</t>
  </si>
  <si>
    <t xml:space="preserve">F05-T7-09</t>
  </si>
  <si>
    <t xml:space="preserve">Service: 1.5 Meal (Meal); meal uplift stn NRT (ref lists KUL/NRT)</t>
  </si>
  <si>
    <t xml:space="preserve">F05-T7-10</t>
  </si>
  <si>
    <t xml:space="preserve">Inbound KUL-NRT flight carrying KUL-sourced items identified and its KUL departure (UTC) entered on Flights col AX</t>
  </si>
  <si>
    <t xml:space="preserve">KUL-sourced items (Toiletry kits) travel on the inbound KUL-NRT sector</t>
  </si>
  <si>
    <t xml:space="preserve">STD UPLIFT INFORMATION.xlsx &gt; item uplift stn columns (see Requirements)</t>
  </si>
  <si>
    <t xml:space="preserve">Cannot be passed until Flights AX holds the carrying flight's KUL departure (agenda candidate MH0088 10-Oct (F04)). Until then the prep and KUL-loading dues assume the agenda candidate's KUL departure, or if none, the latest possible one (STD minus the shortest agenda KUL-NRT block).</t>
  </si>
  <si>
    <t xml:space="preserve">F05-T24-01</t>
  </si>
  <si>
    <t xml:space="preserve">F05-T12-01</t>
  </si>
  <si>
    <t xml:space="preserve">F05-T12-02</t>
  </si>
  <si>
    <t xml:space="preserve">F05-T12-03</t>
  </si>
  <si>
    <t xml:space="preserve">F05-T12-04</t>
  </si>
  <si>
    <t xml:space="preserve">F05-T12-05</t>
  </si>
  <si>
    <t xml:space="preserve">F05-T12-06</t>
  </si>
  <si>
    <t xml:space="preserve">F05-T12-07</t>
  </si>
  <si>
    <t xml:space="preserve">F05-T12-08</t>
  </si>
  <si>
    <t xml:space="preserve">Reference does not state the cabin class for toiletry kits. Confirm whether EY receives them; if not, mark N/A with the confirmation as justification. Loaded at KUL on the inbound KUL-NRT flight: due = that flight's KUL departure (Flights AX) minus the uplift window.</t>
  </si>
  <si>
    <t xml:space="preserve">F05-T12-09</t>
  </si>
  <si>
    <t xml:space="preserve">STD UPLIFT INFORMATION.xlsx &gt; SEAT LINEN!I14</t>
  </si>
  <si>
    <t xml:space="preserve">Reference gives no uplift stn for this item: preparation checked at the meal uplift stn (NRT) - confirm with caterer.</t>
  </si>
  <si>
    <t xml:space="preserve">F05-T12-10</t>
  </si>
  <si>
    <t xml:space="preserve">STD UPLIFT INFORMATION.xlsx &gt; SEAT LINEN!J14</t>
  </si>
  <si>
    <t xml:space="preserve">EY blanket: flight above 3 hours excl. Regional (SEAT LINEN!B74:C74); block 7.67 h. Qty per tail: A350 280 pcs (SEAT LINEN!B76:C76), A359 260 pcs (SEAT LINEN!B77:C77). Reference gives no uplift stn for this item: preparation checked at the meal uplift stn (NRT) - confirm with caterer.</t>
  </si>
  <si>
    <t xml:space="preserve">F05-T12-11</t>
  </si>
  <si>
    <t xml:space="preserve">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t>
  </si>
  <si>
    <t xml:space="preserve">F05-UPL-01</t>
  </si>
  <si>
    <t xml:space="preserve">F05-UPL-02</t>
  </si>
  <si>
    <t xml:space="preserve">F05-UPL-03</t>
  </si>
  <si>
    <t xml:space="preserve">KUL-sourced items physically loaded at KUL on the inbound KUL-NRT flight</t>
  </si>
  <si>
    <t xml:space="preserve">Items: Toiletry kits. Quantities as per Requirements</t>
  </si>
  <si>
    <t xml:space="preserve">STD UPLIFT INFORMATION.xlsx &gt; item uplift stn columns</t>
  </si>
  <si>
    <t xml:space="preserve">Confirmed at KUL inside the uplift window before the carrying flight's KUL departure (Flights AX).</t>
  </si>
  <si>
    <t xml:space="preserve">F05-UPL-04</t>
  </si>
  <si>
    <t xml:space="preserve">F05-UPL-05</t>
  </si>
  <si>
    <t xml:space="preserve">F05-UPL-06</t>
  </si>
  <si>
    <t xml:space="preserve">EY blanket: flight above 3 hours excl. Regional (SEAT LINEN!B74:C74); block 7.67 h. Qty per tail: A350 280 pcs (SEAT LINEN!B76:C76), A359 260 pcs (SEAT LINEN!B77:C77).</t>
  </si>
  <si>
    <t xml:space="preserve">F05-UPL-07</t>
  </si>
  <si>
    <t xml:space="preserve">Block 7.67 h &gt;= 4 h. Location depends on tail. Reference names caterer PASB for the KUL/NRT/KUL sector but no uplift station: confirm whether the NRT-KUL sales cart is loaded at KUL (round trip) or at NRT.</t>
  </si>
  <si>
    <t xml:space="preserve">F06-T7-01</t>
  </si>
  <si>
    <t xml:space="preserve">F06-T7-02</t>
  </si>
  <si>
    <t xml:space="preserve">F06-T7-03</t>
  </si>
  <si>
    <t xml:space="preserve">F06-T7-04</t>
  </si>
  <si>
    <t xml:space="preserve">F06-T7-05</t>
  </si>
  <si>
    <t xml:space="preserve">F06-T7-06</t>
  </si>
  <si>
    <t xml:space="preserve">F06-T7-07</t>
  </si>
  <si>
    <t xml:space="preserve">F06-T7-08</t>
  </si>
  <si>
    <t xml:space="preserve">F06-T7-09</t>
  </si>
  <si>
    <t xml:space="preserve">Service: 2.5 Meal (Meal); meal uplift stn KUL (ref lists KUL/LHR)</t>
  </si>
  <si>
    <t xml:space="preserve">F06-T24-01</t>
  </si>
  <si>
    <t xml:space="preserve">F06-T12-01</t>
  </si>
  <si>
    <t xml:space="preserve">F06-T12-02</t>
  </si>
  <si>
    <t xml:space="preserve">F06-T12-03</t>
  </si>
  <si>
    <t xml:space="preserve">F06-T12-04</t>
  </si>
  <si>
    <t xml:space="preserve">F06-T12-05</t>
  </si>
  <si>
    <t xml:space="preserve">F06-T12-06</t>
  </si>
  <si>
    <t xml:space="preserve">F06-T12-07</t>
  </si>
  <si>
    <t xml:space="preserve">F06-T12-08</t>
  </si>
  <si>
    <t xml:space="preserve">LHR or KUL - confirm</t>
  </si>
  <si>
    <t xml:space="preserve">A350 row AMENITIES!C12 names LHR as the toiletry-kit uplift stn, but this leg departs KUL (general row C11: uplift stn H11 = KUL). Confirm where toiletry kits for this KUL-LHR BC leg are uplifted; if at LHR they travel on the inbound LHR-KUL sector and must be verified at KUL before this departure.</t>
  </si>
  <si>
    <t xml:space="preserve">F06-T12-09</t>
  </si>
  <si>
    <t xml:space="preserve">Pajamas (BC) - prepared</t>
  </si>
  <si>
    <t xml:space="preserve">Available - BC red-eye only</t>
  </si>
  <si>
    <t xml:space="preserve">STD UPLIFT INFORMATION.xlsx &gt; AMENITIES!F13 / H13</t>
  </si>
  <si>
    <t xml:space="preserve">Red-eye departure 2320 local.</t>
  </si>
  <si>
    <t xml:space="preserve">F06-T12-10</t>
  </si>
  <si>
    <t xml:space="preserve">STD UPLIFT INFORMATION.xlsx &gt; AMENITIES!G13 / H13</t>
  </si>
  <si>
    <t xml:space="preserve">F06-T12-11</t>
  </si>
  <si>
    <t xml:space="preserve">STD UPLIFT INFORMATION.xlsx &gt; F&amp;B LINEN!D7</t>
  </si>
  <si>
    <t xml:space="preserve">F06-T12-12</t>
  </si>
  <si>
    <t xml:space="preserve">STD UPLIFT INFORMATION.xlsx &gt; F&amp;B LINEN!E7</t>
  </si>
  <si>
    <t xml:space="preserve">F06-T12-13</t>
  </si>
  <si>
    <t xml:space="preserve">STD UPLIFT INFORMATION.xlsx &gt; F&amp;B LINEN!F7</t>
  </si>
  <si>
    <t xml:space="preserve">F06-T12-14</t>
  </si>
  <si>
    <t xml:space="preserve">STD UPLIFT INFORMATION.xlsx &gt; F&amp;B LINEN!G7</t>
  </si>
  <si>
    <t xml:space="preserve">F06-T12-15</t>
  </si>
  <si>
    <t xml:space="preserve">STD UPLIFT INFORMATION.xlsx &gt; F&amp;B LINEN!H7</t>
  </si>
  <si>
    <t xml:space="preserve">F06-T12-16</t>
  </si>
  <si>
    <t xml:space="preserve">STD UPLIFT INFORMATION.xlsx &gt; F&amp;B LINEN!I7</t>
  </si>
  <si>
    <t xml:space="preserve">F06-T12-17</t>
  </si>
  <si>
    <t xml:space="preserve">STD UPLIFT INFORMATION.xlsx &gt; F&amp;B LINEN!J7</t>
  </si>
  <si>
    <t xml:space="preserve">F06-T12-18</t>
  </si>
  <si>
    <t xml:space="preserve">STD UPLIFT INFORMATION.xlsx &gt; SEAT LINEN!E7</t>
  </si>
  <si>
    <t xml:space="preserve">F06-T12-19</t>
  </si>
  <si>
    <t xml:space="preserve">STD UPLIFT INFORMATION.xlsx &gt; SEAT LINEN!F7</t>
  </si>
  <si>
    <t xml:space="preserve">F06-T12-20</t>
  </si>
  <si>
    <t xml:space="preserve">STD UPLIFT INFORMATION.xlsx &gt; SEAT LINEN!G7</t>
  </si>
  <si>
    <t xml:space="preserve">F06-T12-21</t>
  </si>
  <si>
    <t xml:space="preserve">STD UPLIFT INFORMATION.xlsx &gt; Signature Drinks!F6 / G6 / D79</t>
  </si>
  <si>
    <t xml:space="preserve">F06-UPL-01</t>
  </si>
  <si>
    <t xml:space="preserve">F06-UPL-02</t>
  </si>
  <si>
    <t xml:space="preserve">F06-UPL-03</t>
  </si>
  <si>
    <t xml:space="preserve">F06-UPL-04</t>
  </si>
  <si>
    <t xml:space="preserve">Pajamas (BC) - on board</t>
  </si>
  <si>
    <t xml:space="preserve">F06-UPL-05</t>
  </si>
  <si>
    <t xml:space="preserve">F06-UPL-06</t>
  </si>
  <si>
    <t xml:space="preserve">F06-UPL-07</t>
  </si>
  <si>
    <t xml:space="preserve">F06-UPL-08</t>
  </si>
  <si>
    <t xml:space="preserve">F06-UPL-09</t>
  </si>
  <si>
    <t xml:space="preserve">F06-UPL-10</t>
  </si>
  <si>
    <t xml:space="preserve">F06-UPL-11</t>
  </si>
  <si>
    <t xml:space="preserve">F06-UPL-12</t>
  </si>
  <si>
    <t xml:space="preserve">F06-UPL-13</t>
  </si>
  <si>
    <t xml:space="preserve">F06-UPL-14</t>
  </si>
  <si>
    <t xml:space="preserve">F06-UPL-15</t>
  </si>
  <si>
    <t xml:space="preserve">F06-UPL-16</t>
  </si>
  <si>
    <t xml:space="preserve">F07-T7-01</t>
  </si>
  <si>
    <t xml:space="preserve">F07-T7-02</t>
  </si>
  <si>
    <t xml:space="preserve">F07-T7-03</t>
  </si>
  <si>
    <t xml:space="preserve">F07-T7-04</t>
  </si>
  <si>
    <t xml:space="preserve">F07-T7-05</t>
  </si>
  <si>
    <t xml:space="preserve">F07-T7-06</t>
  </si>
  <si>
    <t xml:space="preserve">F07-T7-07</t>
  </si>
  <si>
    <t xml:space="preserve">F07-T7-08</t>
  </si>
  <si>
    <t xml:space="preserve">F07-T7-09</t>
  </si>
  <si>
    <t xml:space="preserve">F07-T7-10</t>
  </si>
  <si>
    <t xml:space="preserve">Inbound KUL-LHR flight carrying KUL-sourced items identified and its KUL departure (UTC) entered on Flights col AX</t>
  </si>
  <si>
    <t xml:space="preserve">KUL-sourced items (Pajamas (BC), Slippers (BS/BC), Signature drink &amp; garnish (BC)) travel on the inbound KUL-LHR sector</t>
  </si>
  <si>
    <t xml:space="preserve">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t>
  </si>
  <si>
    <t xml:space="preserve">F07-T24-01</t>
  </si>
  <si>
    <t xml:space="preserve">F07-T12-01</t>
  </si>
  <si>
    <t xml:space="preserve">F07-T12-02</t>
  </si>
  <si>
    <t xml:space="preserve">F07-T12-03</t>
  </si>
  <si>
    <t xml:space="preserve">F07-T12-04</t>
  </si>
  <si>
    <t xml:space="preserve">F07-T12-05</t>
  </si>
  <si>
    <t xml:space="preserve">F07-T12-06</t>
  </si>
  <si>
    <t xml:space="preserve">F07-T12-07</t>
  </si>
  <si>
    <t xml:space="preserve">F07-T12-08</t>
  </si>
  <si>
    <t xml:space="preserve">F07-T12-09</t>
  </si>
  <si>
    <t xml:space="preserve">Reference limits BC pajamas to red-eye flights; STD 1100 local arriving 0645+1 - confirm whether this leg counts as red-eye. Loaded at KUL on the inbound KUL-LHR flight: due = that flight's KUL departure (Flights AX) minus the uplift window.</t>
  </si>
  <si>
    <t xml:space="preserve">F07-T12-10</t>
  </si>
  <si>
    <t xml:space="preserve">Loaded at KUL on the inbound KUL-LHR flight: due = that flight's KUL departure (Flights AX) minus the uplift window.</t>
  </si>
  <si>
    <t xml:space="preserve">F07-T12-11</t>
  </si>
  <si>
    <t xml:space="preserve">F07-T12-12</t>
  </si>
  <si>
    <t xml:space="preserve">F07-T12-13</t>
  </si>
  <si>
    <t xml:space="preserve">F07-T12-14</t>
  </si>
  <si>
    <t xml:space="preserve">F07-T12-15</t>
  </si>
  <si>
    <t xml:space="preserve">F07-T12-16</t>
  </si>
  <si>
    <t xml:space="preserve">Per note F&amp;B LINEN!B79:C80. Reference gives no uplift stn for this item: preparation checked at the meal uplift stn (LHR) - confirm with caterer.</t>
  </si>
  <si>
    <t xml:space="preserve">F07-T12-17</t>
  </si>
  <si>
    <t xml:space="preserve">F07-T12-18</t>
  </si>
  <si>
    <t xml:space="preserve">F07-T12-19</t>
  </si>
  <si>
    <t xml:space="preserve">F07-T12-20</t>
  </si>
  <si>
    <t xml:space="preserve">F07-T12-21</t>
  </si>
  <si>
    <t xml:space="preserve">Signature drinks &amp; garnish uplifted from KUL (note D79). Loaded at KUL on the inbound KUL-LHR flight: due = that flight's KUL departure (Flights AX) minus the uplift window.</t>
  </si>
  <si>
    <t xml:space="preserve">F07-UPL-01</t>
  </si>
  <si>
    <t xml:space="preserve">F07-UPL-02</t>
  </si>
  <si>
    <t xml:space="preserve">F07-UPL-03</t>
  </si>
  <si>
    <t xml:space="preserve">KUL-sourced items physically loaded at KUL on the inbound KUL-LHR flight</t>
  </si>
  <si>
    <t xml:space="preserve">Items: Pajamas (BC), Slippers (BS/BC), Signature drink &amp; garnish (BC). Quantities as per Requirements</t>
  </si>
  <si>
    <t xml:space="preserve">F07-UPL-04</t>
  </si>
  <si>
    <t xml:space="preserve">F07-UPL-05</t>
  </si>
  <si>
    <t xml:space="preserve">Reference limits BC pajamas to red-eye flights; STD 1100 local arriving 0645+1 - confirm whether this leg counts as red-eye.</t>
  </si>
  <si>
    <t xml:space="preserve">F07-UPL-06</t>
  </si>
  <si>
    <t xml:space="preserve">F07-UPL-07</t>
  </si>
  <si>
    <t xml:space="preserve">F07-UPL-08</t>
  </si>
  <si>
    <t xml:space="preserve">F07-UPL-09</t>
  </si>
  <si>
    <t xml:space="preserve">F07-UPL-10</t>
  </si>
  <si>
    <t xml:space="preserve">F07-UPL-11</t>
  </si>
  <si>
    <t xml:space="preserve">F07-UPL-12</t>
  </si>
  <si>
    <t xml:space="preserve">F07-UPL-13</t>
  </si>
  <si>
    <t xml:space="preserve">F07-UPL-14</t>
  </si>
  <si>
    <t xml:space="preserve">F07-UPL-15</t>
  </si>
  <si>
    <t xml:space="preserve">F07-UPL-16</t>
  </si>
  <si>
    <t xml:space="preserve">F07-UPL-17</t>
  </si>
  <si>
    <t xml:space="preserve">F08-T7-01</t>
  </si>
  <si>
    <t xml:space="preserve">F08-T7-02</t>
  </si>
  <si>
    <t xml:space="preserve">F08-T7-03</t>
  </si>
  <si>
    <t xml:space="preserve">F08-T7-04</t>
  </si>
  <si>
    <t xml:space="preserve">F08-T7-05</t>
  </si>
  <si>
    <t xml:space="preserve">F08-T7-06</t>
  </si>
  <si>
    <t xml:space="preserve">F08-T7-07</t>
  </si>
  <si>
    <t xml:space="preserve">F08-T7-08</t>
  </si>
  <si>
    <t xml:space="preserve">F08-T7-09</t>
  </si>
  <si>
    <t xml:space="preserve">Service: 1 Meal (Meal); meal uplift stn KUL (ref lists KUL/HAN)</t>
  </si>
  <si>
    <t xml:space="preserve">STD UPLIFT INFORMATION.xlsx &gt; CATERING UPLIFT STN!C51:G51</t>
  </si>
  <si>
    <t xml:space="preserve">F08-T24-01</t>
  </si>
  <si>
    <t xml:space="preserve">F08-T12-01</t>
  </si>
  <si>
    <t xml:space="preserve">F08-T12-02</t>
  </si>
  <si>
    <t xml:space="preserve">F08-T12-03</t>
  </si>
  <si>
    <t xml:space="preserve">F08-T12-04</t>
  </si>
  <si>
    <t xml:space="preserve">F08-T12-05</t>
  </si>
  <si>
    <t xml:space="preserve">F08-T12-06</t>
  </si>
  <si>
    <t xml:space="preserve">F08-T12-07</t>
  </si>
  <si>
    <t xml:space="preserve">F08-T12-08</t>
  </si>
  <si>
    <t xml:space="preserve">STD UPLIFT INFORMATION.xlsx &gt; SEAT LINEN!I46</t>
  </si>
  <si>
    <t xml:space="preserve">F08-UPL-01</t>
  </si>
  <si>
    <t xml:space="preserve">F08-UPL-02</t>
  </si>
  <si>
    <t xml:space="preserve">F08-UPL-03</t>
  </si>
  <si>
    <t xml:space="preserve">F09-T7-01</t>
  </si>
  <si>
    <t xml:space="preserve">F09-T7-02</t>
  </si>
  <si>
    <t xml:space="preserve">F09-T7-03</t>
  </si>
  <si>
    <t xml:space="preserve">F09-T7-04</t>
  </si>
  <si>
    <t xml:space="preserve">F09-T7-05</t>
  </si>
  <si>
    <t xml:space="preserve">F09-T7-06</t>
  </si>
  <si>
    <t xml:space="preserve">F09-T7-07</t>
  </si>
  <si>
    <t xml:space="preserve">F09-T7-08</t>
  </si>
  <si>
    <t xml:space="preserve">F09-T7-09</t>
  </si>
  <si>
    <t xml:space="preserve">Service: 1 Meal (Meal); meal uplift stn HAN (ref lists KUL/HAN)</t>
  </si>
  <si>
    <t xml:space="preserve">F09-T24-01</t>
  </si>
  <si>
    <t xml:space="preserve">F09-T12-01</t>
  </si>
  <si>
    <t xml:space="preserve">F09-T12-02</t>
  </si>
  <si>
    <t xml:space="preserve">F09-T12-03</t>
  </si>
  <si>
    <t xml:space="preserve">F09-T12-04</t>
  </si>
  <si>
    <t xml:space="preserve">F09-T12-05</t>
  </si>
  <si>
    <t xml:space="preserve">F09-T12-06</t>
  </si>
  <si>
    <t xml:space="preserve">F09-T12-07</t>
  </si>
  <si>
    <t xml:space="preserve">F09-T12-08</t>
  </si>
  <si>
    <t xml:space="preserve">STD UPLIFT INFORMATION.xlsx &gt; AMENITIES!G56 / C83</t>
  </si>
  <si>
    <t xml:space="preserve">Sector has no BC slippers; note C83: disposable slipper available in DAM cart (on request basis). Reference gives no uplift stn for this item: preparation checked at the meal uplift stn (HAN) - confirm with caterer.</t>
  </si>
  <si>
    <t xml:space="preserve">F09-T12-09</t>
  </si>
  <si>
    <t xml:space="preserve">STD UPLIFT INFORMATION.xlsx &gt; F&amp;B LINEN!D48</t>
  </si>
  <si>
    <t xml:space="preserve">Reference gives no uplift stn for this item: preparation checked at the meal uplift stn (HAN) - confirm with caterer.</t>
  </si>
  <si>
    <t xml:space="preserve">F09-T12-10</t>
  </si>
  <si>
    <t xml:space="preserve">STD UPLIFT INFORMATION.xlsx &gt; F&amp;B LINEN!E48</t>
  </si>
  <si>
    <t xml:space="preserve">F09-T12-11</t>
  </si>
  <si>
    <t xml:space="preserve">STD UPLIFT INFORMATION.xlsx &gt; F&amp;B LINEN!F48</t>
  </si>
  <si>
    <t xml:space="preserve">F09-T12-12</t>
  </si>
  <si>
    <t xml:space="preserve">STD UPLIFT INFORMATION.xlsx &gt; F&amp;B LINEN!G48</t>
  </si>
  <si>
    <t xml:space="preserve">Reference contradicts itself: matrix shows a tick for this sector but note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t>
  </si>
  <si>
    <t xml:space="preserve">F09-T12-13</t>
  </si>
  <si>
    <t xml:space="preserve">STD UPLIFT INFORMATION.xlsx &gt; F&amp;B LINEN!H48</t>
  </si>
  <si>
    <t xml:space="preserve">F09-T12-14</t>
  </si>
  <si>
    <t xml:space="preserve">STD UPLIFT INFORMATION.xlsx &gt; F&amp;B LINEN!I48</t>
  </si>
  <si>
    <t xml:space="preserve">Per note F&amp;B LINEN!B79:C80. Reference gives no uplift stn for this item: preparation checked at the meal uplift stn (HAN) - confirm with caterer.</t>
  </si>
  <si>
    <t xml:space="preserve">F09-T12-15</t>
  </si>
  <si>
    <t xml:space="preserve">STD UPLIFT INFORMATION.xlsx &gt; F&amp;B LINEN!J48</t>
  </si>
  <si>
    <t xml:space="preserve">F09-T12-16</t>
  </si>
  <si>
    <t xml:space="preserve">STD UPLIFT INFORMATION.xlsx &gt; SEAT LINEN!E46</t>
  </si>
  <si>
    <t xml:space="preserve">F09-T12-17</t>
  </si>
  <si>
    <t xml:space="preserve">STD UPLIFT INFORMATION.xlsx &gt; SEAT LINEN!H46</t>
  </si>
  <si>
    <t xml:space="preserve">F09-UPL-01</t>
  </si>
  <si>
    <t xml:space="preserve">F09-UPL-02</t>
  </si>
  <si>
    <t xml:space="preserve">F09-UPL-03</t>
  </si>
  <si>
    <t xml:space="preserve">F09-UPL-04</t>
  </si>
  <si>
    <t xml:space="preserve">F09-UPL-05</t>
  </si>
  <si>
    <t xml:space="preserve">F09-UPL-06</t>
  </si>
  <si>
    <t xml:space="preserve">F09-UPL-07</t>
  </si>
  <si>
    <t xml:space="preserve">F09-UPL-08</t>
  </si>
  <si>
    <t xml:space="preserve">F09-UPL-09</t>
  </si>
  <si>
    <t xml:space="preserve">F09-UPL-10</t>
  </si>
  <si>
    <t xml:space="preserve">F09-UPL-11</t>
  </si>
  <si>
    <t xml:space="preserve">F09-UPL-12</t>
  </si>
  <si>
    <t xml:space="preserve">F10-T7-01</t>
  </si>
  <si>
    <t xml:space="preserve">Refreshment service: sensory test covers the refreshment items.</t>
  </si>
  <si>
    <t xml:space="preserve">F10-T7-02</t>
  </si>
  <si>
    <t xml:space="preserve">Refreshment service (peanut &amp; water). If no printed menu card is used, mark N/A with the confirmation as justification.</t>
  </si>
  <si>
    <t xml:space="preserve">F10-T7-03</t>
  </si>
  <si>
    <t xml:space="preserve">F10-T7-04</t>
  </si>
  <si>
    <t xml:space="preserve">F10-T7-05</t>
  </si>
  <si>
    <t xml:space="preserve">F10-T7-06</t>
  </si>
  <si>
    <t xml:space="preserve">F10-T7-07</t>
  </si>
  <si>
    <t xml:space="preserve">F10-T7-08</t>
  </si>
  <si>
    <t xml:space="preserve">F10-T7-09</t>
  </si>
  <si>
    <t xml:space="preserve">Service: Refreshment (Peanut &amp; Water); meal uplift stn KUL (ref lists KUL)</t>
  </si>
  <si>
    <t xml:space="preserve">STD UPLIFT INFORMATION.xlsx &gt; CATERING UPLIFT STN!C68:G68</t>
  </si>
  <si>
    <t xml:space="preserve">F10-T24-01</t>
  </si>
  <si>
    <t xml:space="preserve">F10-T12-01</t>
  </si>
  <si>
    <t xml:space="preserve">F10-T12-02</t>
  </si>
  <si>
    <t xml:space="preserve">F10-T12-03</t>
  </si>
  <si>
    <t xml:space="preserve">F10-T12-04</t>
  </si>
  <si>
    <t xml:space="preserve">F10-T12-05</t>
  </si>
  <si>
    <t xml:space="preserve">F10-T12-06</t>
  </si>
  <si>
    <t xml:space="preserve">F10-T12-07</t>
  </si>
  <si>
    <t xml:space="preserve">F10-T12-08</t>
  </si>
  <si>
    <t xml:space="preserve">STD UPLIFT INFORMATION.xlsx &gt; AMENITIES!G72 / C83</t>
  </si>
  <si>
    <t xml:space="preserve">F10-T12-09</t>
  </si>
  <si>
    <t xml:space="preserve">STD UPLIFT INFORMATION.xlsx &gt; F&amp;B LINEN!D66</t>
  </si>
  <si>
    <t xml:space="preserve">F10-T12-10</t>
  </si>
  <si>
    <t xml:space="preserve">STD UPLIFT INFORMATION.xlsx &gt; F&amp;B LINEN!E66</t>
  </si>
  <si>
    <t xml:space="preserve">F10-T12-11</t>
  </si>
  <si>
    <t xml:space="preserve">STD UPLIFT INFORMATION.xlsx &gt; F&amp;B LINEN!F66</t>
  </si>
  <si>
    <t xml:space="preserve">F10-T12-12</t>
  </si>
  <si>
    <t xml:space="preserve">STD UPLIFT INFORMATION.xlsx &gt; F&amp;B LINEN!I66</t>
  </si>
  <si>
    <t xml:space="preserve">F10-T12-13</t>
  </si>
  <si>
    <t xml:space="preserve">STD UPLIFT INFORMATION.xlsx &gt; F&amp;B LINEN!J66</t>
  </si>
  <si>
    <t xml:space="preserve">F10-T12-14</t>
  </si>
  <si>
    <t xml:space="preserve">STD UPLIFT INFORMATION.xlsx &gt; SEAT LINEN!E62</t>
  </si>
  <si>
    <t xml:space="preserve">F10-T12-15</t>
  </si>
  <si>
    <t xml:space="preserve">STD UPLIFT INFORMATION.xlsx &gt; SEAT LINEN!H62</t>
  </si>
  <si>
    <t xml:space="preserve">F10-UPL-01</t>
  </si>
  <si>
    <t xml:space="preserve">F10-UPL-02</t>
  </si>
  <si>
    <t xml:space="preserve">F10-UPL-03</t>
  </si>
  <si>
    <t xml:space="preserve">F10-UPL-04</t>
  </si>
  <si>
    <t xml:space="preserve">F10-UPL-05</t>
  </si>
  <si>
    <t xml:space="preserve">F10-UPL-06</t>
  </si>
  <si>
    <t xml:space="preserve">F10-UPL-07</t>
  </si>
  <si>
    <t xml:space="preserve">F10-UPL-08</t>
  </si>
  <si>
    <t xml:space="preserve">F10-UPL-09</t>
  </si>
  <si>
    <t xml:space="preserve">F10-UPL-10</t>
  </si>
  <si>
    <t xml:space="preserve">F11-T7-01</t>
  </si>
  <si>
    <t xml:space="preserve">F11-T7-02</t>
  </si>
  <si>
    <t xml:space="preserve">F11-T7-03</t>
  </si>
  <si>
    <t xml:space="preserve">F11-T7-04</t>
  </si>
  <si>
    <t xml:space="preserve">F11-T7-05</t>
  </si>
  <si>
    <t xml:space="preserve">F11-T7-06</t>
  </si>
  <si>
    <t xml:space="preserve">F11-T7-07</t>
  </si>
  <si>
    <t xml:space="preserve">F11-T7-08</t>
  </si>
  <si>
    <t xml:space="preserve">F11-T7-09</t>
  </si>
  <si>
    <t xml:space="preserve">Return catering uplifted at KUL on the outbound rotation (ref uplift stn = KUL). Confirm aircraft rotation.</t>
  </si>
  <si>
    <t xml:space="preserve">F11-T7-10</t>
  </si>
  <si>
    <t xml:space="preserve">Carrying flight for this leg's return catering identified and its KUL departure (UTC) entered on Flights col AX</t>
  </si>
  <si>
    <t xml:space="preserve">All catering for MH1149 PEN-KUL is uplifted at KUL (ref uplift stn KUL only)</t>
  </si>
  <si>
    <t xml:space="preserve">PEN does not cater. Agenda candidate: MH1140 (F10, KUL 1145 local) - confirm the aircraft rotation and enter the actual KUL departure in Flights AX (cannot be passed until entered). Until then, T-24H, T-12H prep and the KUL loading line assume the candidate's KUL departure.</t>
  </si>
  <si>
    <t xml:space="preserve">F11-T24-01</t>
  </si>
  <si>
    <t xml:space="preserve">Round-trip catered from KUL: due capped at the KUL loading deadline (Flights AY).</t>
  </si>
  <si>
    <t xml:space="preserve">F11-T12-01</t>
  </si>
  <si>
    <t xml:space="preserve">Preparation check at caterer - does NOT confirm loading. Round-trip catered from KUL: due capped at the KUL loading deadline (Flights AY).</t>
  </si>
  <si>
    <t xml:space="preserve">F11-T12-02</t>
  </si>
  <si>
    <t xml:space="preserve">F11-T12-03</t>
  </si>
  <si>
    <t xml:space="preserve">F11-T12-04</t>
  </si>
  <si>
    <t xml:space="preserve">F11-T12-05</t>
  </si>
  <si>
    <t xml:space="preserve">F11-T12-06</t>
  </si>
  <si>
    <t xml:space="preserve">F11-T12-07</t>
  </si>
  <si>
    <t xml:space="preserve">F11-T12-08</t>
  </si>
  <si>
    <t xml:space="preserve">STD UPLIFT INFORMATION.xlsx &gt; SEAT LINEN!I62</t>
  </si>
  <si>
    <t xml:space="preserve">Reference gives no uplift stn for this item: preparation checked at the meal uplift stn (KUL) - confirm with caterer. Round-trip catered from KUL: due capped at the KUL loading deadline (Flights AY).</t>
  </si>
  <si>
    <t xml:space="preserve">F11-UPL-01</t>
  </si>
  <si>
    <t xml:space="preserve">F11-UPL-02</t>
  </si>
  <si>
    <t xml:space="preserve">F11-UPL-03</t>
  </si>
  <si>
    <t xml:space="preserve">Return catering for MH1149 physically loaded at KUL on the carrying flight (meals, equipment and all items below)</t>
  </si>
  <si>
    <t xml:space="preserve">Items: meals / refreshment, equipment, Seat pillow (EY). Quantities as per menu checklist, GLD and Requirements</t>
  </si>
  <si>
    <t xml:space="preserve">User brief (physical uplift) + CATERING UPLIFT STN (KUL only)</t>
  </si>
  <si>
    <t xml:space="preserve">Loading happens at KUL, so it is confirmed at KUL inside the uplift window before the carrying flight's KUL departure (Flights AX). The on-board lines below are then re-checked at the departure station.</t>
  </si>
  <si>
    <t xml:space="preserve">F11-UPL-04</t>
  </si>
  <si>
    <t xml:space="preserve">F12-T7-01</t>
  </si>
  <si>
    <t xml:space="preserve">F12-T7-02</t>
  </si>
  <si>
    <t xml:space="preserve">F12-T7-03</t>
  </si>
  <si>
    <t xml:space="preserve">F12-T7-04</t>
  </si>
  <si>
    <t xml:space="preserve">F12-T7-05</t>
  </si>
  <si>
    <t xml:space="preserve">F12-T7-06</t>
  </si>
  <si>
    <t xml:space="preserve">F12-T7-07</t>
  </si>
  <si>
    <t xml:space="preserve">F12-T7-08</t>
  </si>
  <si>
    <t xml:space="preserve">F12-T7-09</t>
  </si>
  <si>
    <t xml:space="preserve">Service: 1.5 Meal (Meal); meal uplift stn KUL (ref lists KUL/ADL)</t>
  </si>
  <si>
    <t xml:space="preserve">STD UPLIFT INFORMATION.xlsx &gt; CATERING UPLIFT STN!C11:G11</t>
  </si>
  <si>
    <t xml:space="preserve">F12-T24-01</t>
  </si>
  <si>
    <t xml:space="preserve">F12-T12-01</t>
  </si>
  <si>
    <t xml:space="preserve">F12-T12-02</t>
  </si>
  <si>
    <t xml:space="preserve">F12-T12-03</t>
  </si>
  <si>
    <t xml:space="preserve">F12-T12-04</t>
  </si>
  <si>
    <t xml:space="preserve">F12-T12-05</t>
  </si>
  <si>
    <t xml:space="preserve">F12-T12-06</t>
  </si>
  <si>
    <t xml:space="preserve">Enter expected &amp; actual. Aircraft galley data: A330-900 (A339): carts 43.5, SU 111, ovens 13, warming ovens 4, fridges 2, water heaters 6, beverage makers -, espresso 1, folding trolleys 4, headsets BC: Dual Pin/ EY: Single Pin (AIRCRAFT TYPE!C8:R8)</t>
  </si>
  <si>
    <t xml:space="preserve">F12-T12-07</t>
  </si>
  <si>
    <t xml:space="preserve">F12-T12-08</t>
  </si>
  <si>
    <t xml:space="preserve">STD UPLIFT INFORMATION.xlsx &gt; AMENITIES!D18 / H18</t>
  </si>
  <si>
    <t xml:space="preserve">F12-T12-09</t>
  </si>
  <si>
    <t xml:space="preserve">STD UPLIFT INFORMATION.xlsx &gt; AMENITIES!G18 / H18</t>
  </si>
  <si>
    <t xml:space="preserve">F12-T12-10</t>
  </si>
  <si>
    <t xml:space="preserve">STD UPLIFT INFORMATION.xlsx &gt; F&amp;B LINEN!D9</t>
  </si>
  <si>
    <t xml:space="preserve">F12-T12-11</t>
  </si>
  <si>
    <t xml:space="preserve">STD UPLIFT INFORMATION.xlsx &gt; F&amp;B LINEN!E9</t>
  </si>
  <si>
    <t xml:space="preserve">F12-T12-12</t>
  </si>
  <si>
    <t xml:space="preserve">STD UPLIFT INFORMATION.xlsx &gt; F&amp;B LINEN!F9</t>
  </si>
  <si>
    <t xml:space="preserve">F12-T12-13</t>
  </si>
  <si>
    <t xml:space="preserve">STD UPLIFT INFORMATION.xlsx &gt; F&amp;B LINEN!G9</t>
  </si>
  <si>
    <t xml:space="preserve">F12-T12-14</t>
  </si>
  <si>
    <t xml:space="preserve">STD UPLIFT INFORMATION.xlsx &gt; F&amp;B LINEN!H9</t>
  </si>
  <si>
    <t xml:space="preserve">F12-T12-15</t>
  </si>
  <si>
    <t xml:space="preserve">STD UPLIFT INFORMATION.xlsx &gt; F&amp;B LINEN!I9</t>
  </si>
  <si>
    <t xml:space="preserve">F12-T12-16</t>
  </si>
  <si>
    <t xml:space="preserve">STD UPLIFT INFORMATION.xlsx &gt; F&amp;B LINEN!J9</t>
  </si>
  <si>
    <t xml:space="preserve">F12-T12-17</t>
  </si>
  <si>
    <t xml:space="preserve">STD UPLIFT INFORMATION.xlsx &gt; SEAT LINEN!E9</t>
  </si>
  <si>
    <t xml:space="preserve">F12-T12-18</t>
  </si>
  <si>
    <t xml:space="preserve">STD UPLIFT INFORMATION.xlsx &gt; SEAT LINEN!F9</t>
  </si>
  <si>
    <t xml:space="preserve">F12-T12-19</t>
  </si>
  <si>
    <t xml:space="preserve">STD UPLIFT INFORMATION.xlsx &gt; SEAT LINEN!G9</t>
  </si>
  <si>
    <t xml:space="preserve">F12-T12-20</t>
  </si>
  <si>
    <t xml:space="preserve">STD UPLIFT INFORMATION.xlsx &gt; Signature Drinks!F9 / G9 / D79</t>
  </si>
  <si>
    <t xml:space="preserve">F12-T12-21</t>
  </si>
  <si>
    <t xml:space="preserve">Location 241 &amp; 947 (A339)</t>
  </si>
  <si>
    <t xml:space="preserve">STD UPLIFT INFORMATION.xlsx &gt; SALES CART!J8:J17 / C13 / C40</t>
  </si>
  <si>
    <t xml:space="preserve">Block 7.08 h &gt;= 4 h. Reference gives no uplift stn for this item: preparation checked at the meal uplift stn (KUL) - confirm with caterer.</t>
  </si>
  <si>
    <t xml:space="preserve">F12-UPL-01</t>
  </si>
  <si>
    <t xml:space="preserve">F12-UPL-02</t>
  </si>
  <si>
    <t xml:space="preserve">F12-UPL-03</t>
  </si>
  <si>
    <t xml:space="preserve">F12-UPL-04</t>
  </si>
  <si>
    <t xml:space="preserve">F12-UPL-05</t>
  </si>
  <si>
    <t xml:space="preserve">F12-UPL-06</t>
  </si>
  <si>
    <t xml:space="preserve">F12-UPL-07</t>
  </si>
  <si>
    <t xml:space="preserve">F12-UPL-08</t>
  </si>
  <si>
    <t xml:space="preserve">F12-UPL-09</t>
  </si>
  <si>
    <t xml:space="preserve">F12-UPL-10</t>
  </si>
  <si>
    <t xml:space="preserve">F12-UPL-11</t>
  </si>
  <si>
    <t xml:space="preserve">F12-UPL-12</t>
  </si>
  <si>
    <t xml:space="preserve">F12-UPL-13</t>
  </si>
  <si>
    <t xml:space="preserve">F12-UPL-14</t>
  </si>
  <si>
    <t xml:space="preserve">F12-UPL-15</t>
  </si>
  <si>
    <t xml:space="preserve">F12-UPL-16</t>
  </si>
  <si>
    <t xml:space="preserve">Block 7.08 h &gt;= 4 h.</t>
  </si>
  <si>
    <t xml:space="preserve">F13-T7-01</t>
  </si>
  <si>
    <t xml:space="preserve">F13-T7-02</t>
  </si>
  <si>
    <t xml:space="preserve">F13-T7-03</t>
  </si>
  <si>
    <t xml:space="preserve">F13-T7-04</t>
  </si>
  <si>
    <t xml:space="preserve">F13-T7-05</t>
  </si>
  <si>
    <t xml:space="preserve">F13-T7-06</t>
  </si>
  <si>
    <t xml:space="preserve">F13-T7-07</t>
  </si>
  <si>
    <t xml:space="preserve">F13-T7-08</t>
  </si>
  <si>
    <t xml:space="preserve">F13-T7-09</t>
  </si>
  <si>
    <t xml:space="preserve">Service: 1.5 Meal (Meal); meal uplift stn ADL (ref lists KUL/ADL)</t>
  </si>
  <si>
    <t xml:space="preserve">F13-T7-10</t>
  </si>
  <si>
    <t xml:space="preserve">Inbound KUL-ADL flight carrying KUL-sourced items identified and its KUL departure (UTC) entered on Flights col AX</t>
  </si>
  <si>
    <t xml:space="preserve">KUL-sourced items (Toiletry kits) travel on the inbound KUL-ADL sector</t>
  </si>
  <si>
    <t xml:space="preserve">Cannot be passed until Flights AX holds the carrying flight's KUL departure (agenda candidate MH0139 12-Oct (F12)). Until then the prep and KUL-loading dues assume the agenda candidate's KUL departure, or if none, the latest possible one (STD minus the shortest agenda KUL-ADL block).</t>
  </si>
  <si>
    <t xml:space="preserve">F13-T24-01</t>
  </si>
  <si>
    <t xml:space="preserve">F13-T12-01</t>
  </si>
  <si>
    <t xml:space="preserve">F13-T12-02</t>
  </si>
  <si>
    <t xml:space="preserve">F13-T12-03</t>
  </si>
  <si>
    <t xml:space="preserve">F13-T12-04</t>
  </si>
  <si>
    <t xml:space="preserve">F13-T12-05</t>
  </si>
  <si>
    <t xml:space="preserve">F13-T12-06</t>
  </si>
  <si>
    <t xml:space="preserve">F13-T12-07</t>
  </si>
  <si>
    <t xml:space="preserve">F13-T12-08</t>
  </si>
  <si>
    <t xml:space="preserve">Reference does not state the cabin class for toiletry kits. Confirm whether EY receives them; if not, mark N/A with the confirmation as justification. Loaded at KUL on the inbound KUL-ADL flight: due = that flight's KUL departure (Flights AX) minus the uplift window.</t>
  </si>
  <si>
    <t xml:space="preserve">F13-T12-09</t>
  </si>
  <si>
    <t xml:space="preserve">STD UPLIFT INFORMATION.xlsx &gt; SEAT LINEN!I9</t>
  </si>
  <si>
    <t xml:space="preserve">Reference gives no uplift stn for this item: preparation checked at the meal uplift stn (ADL) - confirm with caterer.</t>
  </si>
  <si>
    <t xml:space="preserve">F13-T12-10</t>
  </si>
  <si>
    <t xml:space="preserve">Available 100% (ticked in reference); qty 280</t>
  </si>
  <si>
    <t xml:space="preserve">STD UPLIFT INFORMATION.xlsx &gt; SEAT LINEN!J9</t>
  </si>
  <si>
    <t xml:space="preserve">EY blanket: flight above 3 hours excl. Regional (SEAT LINEN!B74:C74); block 7.75 h. Qty 280 pcs (14 bundles) for A332/A333/A339 (SEAT LINEN!B75:C75). Reference gives no uplift stn for this item: preparation checked at the meal uplift stn (ADL) - confirm with caterer.</t>
  </si>
  <si>
    <t xml:space="preserve">F13-T12-11</t>
  </si>
  <si>
    <t xml:space="preserve">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t>
  </si>
  <si>
    <t xml:space="preserve">F13-UPL-01</t>
  </si>
  <si>
    <t xml:space="preserve">F13-UPL-02</t>
  </si>
  <si>
    <t xml:space="preserve">F13-UPL-03</t>
  </si>
  <si>
    <t xml:space="preserve">KUL-sourced items physically loaded at KUL on the inbound KUL-ADL flight</t>
  </si>
  <si>
    <t xml:space="preserve">F13-UPL-04</t>
  </si>
  <si>
    <t xml:space="preserve">F13-UPL-05</t>
  </si>
  <si>
    <t xml:space="preserve">F13-UPL-06</t>
  </si>
  <si>
    <t xml:space="preserve">EY blanket: flight above 3 hours excl. Regional (SEAT LINEN!B74:C74); block 7.75 h. Qty 280 pcs (14 bundles) for A332/A333/A339 (SEAT LINEN!B75:C75).</t>
  </si>
  <si>
    <t xml:space="preserve">F13-UPL-07</t>
  </si>
  <si>
    <t xml:space="preserve">Block 7.75 h &gt;= 4 h. Reference names caterer PASB for the KUL/ADL/KUL sector but no uplift station: confirm whether the ADL-KUL sales cart is loaded at KUL (round trip) or at ADL.</t>
  </si>
  <si>
    <t xml:space="preserve">F14-T7-01</t>
  </si>
  <si>
    <t xml:space="preserve">F14-T7-02</t>
  </si>
  <si>
    <t xml:space="preserve">F14-T7-03</t>
  </si>
  <si>
    <t xml:space="preserve">F14-T7-04</t>
  </si>
  <si>
    <t xml:space="preserve">F14-T7-05</t>
  </si>
  <si>
    <t xml:space="preserve">F14-T7-06</t>
  </si>
  <si>
    <t xml:space="preserve">F14-T7-07</t>
  </si>
  <si>
    <t xml:space="preserve">F14-T7-08</t>
  </si>
  <si>
    <t xml:space="preserve">F14-T7-09</t>
  </si>
  <si>
    <t xml:space="preserve">F14-T24-01</t>
  </si>
  <si>
    <t xml:space="preserve">F14-T12-01</t>
  </si>
  <si>
    <t xml:space="preserve">F14-T12-02</t>
  </si>
  <si>
    <t xml:space="preserve">F14-T12-03</t>
  </si>
  <si>
    <t xml:space="preserve">F14-T12-04</t>
  </si>
  <si>
    <t xml:space="preserve">F14-T12-05</t>
  </si>
  <si>
    <t xml:space="preserve">F14-T12-06</t>
  </si>
  <si>
    <t xml:space="preserve">F14-T12-07</t>
  </si>
  <si>
    <t xml:space="preserve">F14-T12-08</t>
  </si>
  <si>
    <t xml:space="preserve">A350 row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t>
  </si>
  <si>
    <t xml:space="preserve">F14-T12-09</t>
  </si>
  <si>
    <t xml:space="preserve">F14-T12-10</t>
  </si>
  <si>
    <t xml:space="preserve">EY blanket: flight above 3 hours excl. Regional (SEAT LINEN!B74:C74); block 13.75 h. Qty per tail: A350 280 pcs (SEAT LINEN!B76:C76), A359 260 pcs (SEAT LINEN!B77:C77). Reference gives no uplift stn for this item: preparation checked at the meal uplift stn (KUL) - confirm with caterer.</t>
  </si>
  <si>
    <t xml:space="preserve">F14-UPL-01</t>
  </si>
  <si>
    <t xml:space="preserve">F14-UPL-02</t>
  </si>
  <si>
    <t xml:space="preserve">F14-UPL-03</t>
  </si>
  <si>
    <t xml:space="preserve">F14-UPL-04</t>
  </si>
  <si>
    <t xml:space="preserve">F14-UPL-05</t>
  </si>
  <si>
    <t xml:space="preserve">EY blanket: flight above 3 hours excl. Regional (SEAT LINEN!B74:C74); block 13.75 h. Qty per tail: A350 280 pcs (SEAT LINEN!B76:C76), A359 260 pcs (SEAT LINEN!B77:C77).</t>
  </si>
  <si>
    <t xml:space="preserve">F15-T7-01</t>
  </si>
  <si>
    <t xml:space="preserve">Clock change: LHR local time changes between this due time and departure, so the due time shows a different clock hour than STD (168 h before STD is still correct).</t>
  </si>
  <si>
    <t xml:space="preserve">F15-T7-02</t>
  </si>
  <si>
    <t xml:space="preserve">F15-T7-03</t>
  </si>
  <si>
    <t xml:space="preserve">F15-T7-04</t>
  </si>
  <si>
    <t xml:space="preserve">F15-T7-05</t>
  </si>
  <si>
    <t xml:space="preserve">F15-T7-06</t>
  </si>
  <si>
    <t xml:space="preserve">F15-T7-07</t>
  </si>
  <si>
    <t xml:space="preserve">F15-T7-08</t>
  </si>
  <si>
    <t xml:space="preserve">F15-T7-09</t>
  </si>
  <si>
    <t xml:space="preserve">F15-T24-01</t>
  </si>
  <si>
    <t xml:space="preserve">Clock change: LHR local time changes between this due time and departure, so the due time shows a different clock hour than STD (24 h before STD is still correct).</t>
  </si>
  <si>
    <t xml:space="preserve">F15-T12-01</t>
  </si>
  <si>
    <t xml:space="preserve">Preparation check at caterer - does NOT confirm loading. Clock change: LHR local time changes between this due time and departure, so the due time shows a different clock hour than STD (12 h before STD is still correct).</t>
  </si>
  <si>
    <t xml:space="preserve">F15-T12-02</t>
  </si>
  <si>
    <t xml:space="preserve">F15-T12-03</t>
  </si>
  <si>
    <t xml:space="preserve">F15-T12-04</t>
  </si>
  <si>
    <t xml:space="preserve">F15-T12-05</t>
  </si>
  <si>
    <t xml:space="preserve">F15-T12-06</t>
  </si>
  <si>
    <t xml:space="preserve">F15-T12-07</t>
  </si>
  <si>
    <t xml:space="preserve">F15-T12-08</t>
  </si>
  <si>
    <t xml:space="preserve">F15-T12-09</t>
  </si>
  <si>
    <t xml:space="preserve">F15-T12-10</t>
  </si>
  <si>
    <t xml:space="preserve">EY blanket: flight above 3 hours excl. Regional (SEAT LINEN!B74:C74); block 11.75 h. Qty per tail: A350 280 pcs (SEAT LINEN!B76:C76), A359 260 pcs (SEAT LINEN!B77:C77). Reference gives no uplift stn for this item: preparation checked at the meal uplift stn (LHR) - confirm with caterer.</t>
  </si>
  <si>
    <t xml:space="preserve">F15-UPL-01</t>
  </si>
  <si>
    <t xml:space="preserve">F15-UPL-02</t>
  </si>
  <si>
    <t xml:space="preserve">F15-UPL-03</t>
  </si>
  <si>
    <t xml:space="preserve">F15-UPL-04</t>
  </si>
  <si>
    <t xml:space="preserve">F15-UPL-05</t>
  </si>
  <si>
    <t xml:space="preserve">EY blanket: flight above 3 hours excl. Regional (SEAT LINEN!B74:C74); block 11.75 h. Qty per tail: A350 280 pcs (SEAT LINEN!B76:C76), A359 260 pcs (SEAT LINEN!B77:C77).</t>
  </si>
  <si>
    <t xml:space="preserve">F16-T7-01</t>
  </si>
  <si>
    <t xml:space="preserve">F16-T7-02</t>
  </si>
  <si>
    <t xml:space="preserve">F16-T7-03</t>
  </si>
  <si>
    <t xml:space="preserve">F16-T7-04</t>
  </si>
  <si>
    <t xml:space="preserve">F16-T7-05</t>
  </si>
  <si>
    <t xml:space="preserve">F16-T7-06</t>
  </si>
  <si>
    <t xml:space="preserve">F16-T7-07</t>
  </si>
  <si>
    <t xml:space="preserve">F16-T7-08</t>
  </si>
  <si>
    <t xml:space="preserve">F16-T7-09</t>
  </si>
  <si>
    <t xml:space="preserve">Service: 1 Meal + DAT(Noodles Svc) (Meal); meal uplift stn KUL (ref lists KUL/HKG)</t>
  </si>
  <si>
    <t xml:space="preserve">STD UPLIFT INFORMATION.xlsx &gt; CATERING UPLIFT STN!C34:G34</t>
  </si>
  <si>
    <t xml:space="preserve">F16-T24-01</t>
  </si>
  <si>
    <t xml:space="preserve">F16-T12-01</t>
  </si>
  <si>
    <t xml:space="preserve">F16-T12-02</t>
  </si>
  <si>
    <t xml:space="preserve">F16-T12-03</t>
  </si>
  <si>
    <t xml:space="preserve">F16-T12-04</t>
  </si>
  <si>
    <t xml:space="preserve">F16-T12-05</t>
  </si>
  <si>
    <t xml:space="preserve">F16-T12-06</t>
  </si>
  <si>
    <t xml:space="preserve">F16-T12-07</t>
  </si>
  <si>
    <t xml:space="preserve">F16-T12-08</t>
  </si>
  <si>
    <t xml:space="preserve">STD UPLIFT INFORMATION.xlsx &gt; SEAT LINEN!I30</t>
  </si>
  <si>
    <t xml:space="preserve">F16-T12-09</t>
  </si>
  <si>
    <t xml:space="preserve">STD UPLIFT INFORMATION.xlsx &gt; SEAT LINEN!J30</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</si>
  <si>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t>
  </si>
  <si>
    <t xml:space="preserve">F16-T12-10</t>
  </si>
  <si>
    <t xml:space="preserve">Sales cart (caterer MCAT) - prepared</t>
  </si>
  <si>
    <t xml:space="preserve">Location 210A (B7M8)</t>
  </si>
  <si>
    <t xml:space="preserve">STD UPLIFT INFORMATION.xlsx &gt; SALES CART!F21:F35 / C28 / M7:M37 / C40</t>
  </si>
  <si>
    <t xml:space="preserve">Block 4.08 h &gt;= 4 h (note SALES CART!C40). Reference gives no uplift stn for this item: preparation checked at the meal uplift stn (KUL) - confirm with caterer.</t>
  </si>
  <si>
    <t xml:space="preserve">F16-UPL-01</t>
  </si>
  <si>
    <t xml:space="preserve">F16-UPL-02</t>
  </si>
  <si>
    <t xml:space="preserve">F16-UPL-03</t>
  </si>
  <si>
    <t xml:space="preserve">F16-UPL-04</t>
  </si>
  <si>
    <t xml:space="preserve">EY blanket: flight above 3 hours excl. Regional (SEAT LINEN!B74:C74); block 4.08 h. Matrix shows a tick for this ORIENTAL sector but B74 excludes 'Regional sectors' without defining them - confirm whether this sector counts as Regional. Quantity for this aircraft not stated in reference.</t>
  </si>
  <si>
    <t xml:space="preserve">F16-UPL-05</t>
  </si>
  <si>
    <t xml:space="preserve">Sales cart (caterer MCAT) - on board</t>
  </si>
  <si>
    <t xml:space="preserve">Block 4.08 h &gt;= 4 h (note SALES CART!C40).</t>
  </si>
  <si>
    <t xml:space="preserve">F17-T7-01</t>
  </si>
  <si>
    <t xml:space="preserve">F17-T7-02</t>
  </si>
  <si>
    <t xml:space="preserve">F17-T7-03</t>
  </si>
  <si>
    <t xml:space="preserve">F17-T7-04</t>
  </si>
  <si>
    <t xml:space="preserve">F17-T7-05</t>
  </si>
  <si>
    <t xml:space="preserve">F17-T7-06</t>
  </si>
  <si>
    <t xml:space="preserve">F17-T7-07</t>
  </si>
  <si>
    <t xml:space="preserve">F17-T7-08</t>
  </si>
  <si>
    <t xml:space="preserve">F17-T7-09</t>
  </si>
  <si>
    <t xml:space="preserve">Service: 1 Meal + DAT(Noodles Svc) (Meal); meal uplift stn HKG (ref lists KUL/HKG)</t>
  </si>
  <si>
    <t xml:space="preserve">F17-T7-10</t>
  </si>
  <si>
    <t xml:space="preserve">Inbound KUL-HKG flight carrying KUL-sourced items identified and its KUL departure (UTC) entered on Flights col AX</t>
  </si>
  <si>
    <t xml:space="preserve">KUL-sourced items (Slippers (BS/BC) - Dispo slipper) travel on the inbound KUL-HKG sector</t>
  </si>
  <si>
    <t xml:space="preserve">Cannot be passed until Flights AX holds the carrying flight's KUL departure (agenda candidate MH0072 26-Oct (F16)). Until then the prep and KUL-loading dues assume the agenda candidate's KUL departure, or if none, the latest possible one (STD minus the shortest agenda KUL-HKG block).</t>
  </si>
  <si>
    <t xml:space="preserve">F17-T24-01</t>
  </si>
  <si>
    <t xml:space="preserve">F17-T12-01</t>
  </si>
  <si>
    <t xml:space="preserve">F17-T12-02</t>
  </si>
  <si>
    <t xml:space="preserve">F17-T12-03</t>
  </si>
  <si>
    <t xml:space="preserve">F17-T12-04</t>
  </si>
  <si>
    <t xml:space="preserve">F17-T12-05</t>
  </si>
  <si>
    <t xml:space="preserve">F17-T12-06</t>
  </si>
  <si>
    <t xml:space="preserve">F17-T12-07</t>
  </si>
  <si>
    <t xml:space="preserve">F17-T12-08</t>
  </si>
  <si>
    <t xml:space="preserve">Slippers (BS/BC) - Dispo slipper - prepared</t>
  </si>
  <si>
    <t xml:space="preserve">STD UPLIFT INFORMATION.xlsx &gt; AMENITIES!G39 / H39 / I39</t>
  </si>
  <si>
    <t xml:space="preserve">Loaded at KUL on the inbound KUL-HKG flight: due = that flight's KUL departure (Flights AX) minus the uplift window.</t>
  </si>
  <si>
    <t xml:space="preserve">F17-T12-09</t>
  </si>
  <si>
    <t xml:space="preserve">STD UPLIFT INFORMATION.xlsx &gt; F&amp;B LINEN!D31</t>
  </si>
  <si>
    <t xml:space="preserve">Reference gives no uplift stn for this item: preparation checked at the meal uplift stn (HKG) - confirm with caterer.</t>
  </si>
  <si>
    <t xml:space="preserve">F17-T12-10</t>
  </si>
  <si>
    <t xml:space="preserve">STD UPLIFT INFORMATION.xlsx &gt; F&amp;B LINEN!E31</t>
  </si>
  <si>
    <t xml:space="preserve">F17-T12-11</t>
  </si>
  <si>
    <t xml:space="preserve">STD UPLIFT INFORMATION.xlsx &gt; F&amp;B LINEN!F31</t>
  </si>
  <si>
    <t xml:space="preserve">F17-T12-12</t>
  </si>
  <si>
    <t xml:space="preserve">STD UPLIFT INFORMATION.xlsx &gt; F&amp;B LINEN!G31</t>
  </si>
  <si>
    <t xml:space="preserve">Reference contradicts itself: matrix shows a tick for this sector but note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t>
  </si>
  <si>
    <t xml:space="preserve">F17-T12-13</t>
  </si>
  <si>
    <t xml:space="preserve">STD UPLIFT INFORMATION.xlsx &gt; F&amp;B LINEN!H31</t>
  </si>
  <si>
    <t xml:space="preserve">F17-T12-14</t>
  </si>
  <si>
    <t xml:space="preserve">STD UPLIFT INFORMATION.xlsx &gt; F&amp;B LINEN!I31</t>
  </si>
  <si>
    <t xml:space="preserve">Per note F&amp;B LINEN!B79:C80. Reference gives no uplift stn for this item: preparation checked at the meal uplift stn (HKG) - confirm with caterer.</t>
  </si>
  <si>
    <t xml:space="preserve">F17-T12-15</t>
  </si>
  <si>
    <t xml:space="preserve">STD UPLIFT INFORMATION.xlsx &gt; F&amp;B LINEN!J31</t>
  </si>
  <si>
    <t xml:space="preserve">F17-T12-16</t>
  </si>
  <si>
    <t xml:space="preserve">STD UPLIFT INFORMATION.xlsx &gt; SEAT LINEN!E30</t>
  </si>
  <si>
    <t xml:space="preserve">F17-T12-17</t>
  </si>
  <si>
    <t xml:space="preserve">STD UPLIFT INFORMATION.xlsx &gt; SEAT LINEN!H30</t>
  </si>
  <si>
    <t xml:space="preserve">F17-T12-18</t>
  </si>
  <si>
    <t xml:space="preserve">Block 4.08 h &gt;= 4 h (note SALES CART!C40). Reference names caterer MCAT for the KUL/HKG/KUL sector but no uplift station: confirm whether the HKG-KUL sales cart is loaded at KUL (round trip) or at HKG. Reference gives no uplift stn for this item: preparation checked at the meal uplift stn (HKG) - confirm with caterer.</t>
  </si>
  <si>
    <t xml:space="preserve">F17-UPL-01</t>
  </si>
  <si>
    <t xml:space="preserve">F17-UPL-02</t>
  </si>
  <si>
    <t xml:space="preserve">F17-UPL-03</t>
  </si>
  <si>
    <t xml:space="preserve">KUL-sourced items physically loaded at KUL on the inbound KUL-HKG flight</t>
  </si>
  <si>
    <t xml:space="preserve">Items: Slippers (BS/BC) - Dispo slipper. Quantities as per Requirements</t>
  </si>
  <si>
    <t xml:space="preserve">F17-UPL-04</t>
  </si>
  <si>
    <t xml:space="preserve">Slippers (BS/BC) - Dispo slipper - on board</t>
  </si>
  <si>
    <t xml:space="preserve">F17-UPL-05</t>
  </si>
  <si>
    <t xml:space="preserve">F17-UPL-06</t>
  </si>
  <si>
    <t xml:space="preserve">F17-UPL-07</t>
  </si>
  <si>
    <t xml:space="preserve">F17-UPL-08</t>
  </si>
  <si>
    <t xml:space="preserve">Reference contradicts itself: matrix shows a tick for this sector but note F&amp;B LINEN!B78:C78 says table cloth is 'Not Applicable for Domestic/Asean &amp; Regional' (ORIENTAL). Confirm before loading; if not carried, mark N/A with the confirmation as justification.</t>
  </si>
  <si>
    <t xml:space="preserve">F17-UPL-09</t>
  </si>
  <si>
    <t xml:space="preserve">F17-UPL-10</t>
  </si>
  <si>
    <t xml:space="preserve">F17-UPL-11</t>
  </si>
  <si>
    <t xml:space="preserve">F17-UPL-12</t>
  </si>
  <si>
    <t xml:space="preserve">F17-UPL-13</t>
  </si>
  <si>
    <t xml:space="preserve">F17-UPL-14</t>
  </si>
  <si>
    <t xml:space="preserve">Block 4.08 h &gt;= 4 h (note SALES CART!C40). Reference names caterer MCAT for the KUL/HKG/KUL sector but no uplift station: confirm whether the HKG-KUL sales cart is loaded at KUL (round trip) or at HKG.</t>
  </si>
  <si>
    <t xml:space="preserve">F18-T7-01</t>
  </si>
  <si>
    <t xml:space="preserve">F18-T7-02</t>
  </si>
  <si>
    <t xml:space="preserve">F18-T7-03</t>
  </si>
  <si>
    <t xml:space="preserve">F18-T7-04</t>
  </si>
  <si>
    <t xml:space="preserve">F18-T7-05</t>
  </si>
  <si>
    <t xml:space="preserve">F18-T7-06</t>
  </si>
  <si>
    <t xml:space="preserve">F18-T7-07</t>
  </si>
  <si>
    <t xml:space="preserve">F18-T7-08</t>
  </si>
  <si>
    <t xml:space="preserve">F18-T7-09</t>
  </si>
  <si>
    <t xml:space="preserve">Service: 1.5 Meal (Meal); meal uplift stn KUL (ref lists KUL/KIX)</t>
  </si>
  <si>
    <t xml:space="preserve">STD UPLIFT INFORMATION.xlsx &gt; CATERING UPLIFT STN!C17:G17</t>
  </si>
  <si>
    <t xml:space="preserve">F18-T24-01</t>
  </si>
  <si>
    <t xml:space="preserve">F18-T12-01</t>
  </si>
  <si>
    <t xml:space="preserve">F18-T12-02</t>
  </si>
  <si>
    <t xml:space="preserve">F18-T12-03</t>
  </si>
  <si>
    <t xml:space="preserve">F18-T12-04</t>
  </si>
  <si>
    <t xml:space="preserve">F18-T12-05</t>
  </si>
  <si>
    <t xml:space="preserve">F18-T12-06</t>
  </si>
  <si>
    <t xml:space="preserve">F18-T12-07</t>
  </si>
  <si>
    <t xml:space="preserve">F18-T12-08</t>
  </si>
  <si>
    <t xml:space="preserve">STD UPLIFT INFORMATION.xlsx &gt; AMENITIES!G24 / H24</t>
  </si>
  <si>
    <t xml:space="preserve">F18-T12-09</t>
  </si>
  <si>
    <t xml:space="preserve">STD UPLIFT INFORMATION.xlsx &gt; F&amp;B LINEN!D15</t>
  </si>
  <si>
    <t xml:space="preserve">F18-T12-10</t>
  </si>
  <si>
    <t xml:space="preserve">STD UPLIFT INFORMATION.xlsx &gt; F&amp;B LINEN!E15</t>
  </si>
  <si>
    <t xml:space="preserve">F18-T12-11</t>
  </si>
  <si>
    <t xml:space="preserve">STD UPLIFT INFORMATION.xlsx &gt; F&amp;B LINEN!F15</t>
  </si>
  <si>
    <t xml:space="preserve">F18-T12-12</t>
  </si>
  <si>
    <t xml:space="preserve">STD UPLIFT INFORMATION.xlsx &gt; F&amp;B LINEN!G15</t>
  </si>
  <si>
    <t xml:space="preserve">F18-T12-13</t>
  </si>
  <si>
    <t xml:space="preserve">STD UPLIFT INFORMATION.xlsx &gt; F&amp;B LINEN!H15</t>
  </si>
  <si>
    <t xml:space="preserve">F18-T12-14</t>
  </si>
  <si>
    <t xml:space="preserve">STD UPLIFT INFORMATION.xlsx &gt; F&amp;B LINEN!I15</t>
  </si>
  <si>
    <t xml:space="preserve">F18-T12-15</t>
  </si>
  <si>
    <t xml:space="preserve">STD UPLIFT INFORMATION.xlsx &gt; F&amp;B LINEN!J15</t>
  </si>
  <si>
    <t xml:space="preserve">F18-T12-16</t>
  </si>
  <si>
    <t xml:space="preserve">STD UPLIFT INFORMATION.xlsx &gt; SEAT LINEN!E15</t>
  </si>
  <si>
    <t xml:space="preserve">F18-T12-17</t>
  </si>
  <si>
    <t xml:space="preserve">STD UPLIFT INFORMATION.xlsx &gt; SEAT LINEN!F15</t>
  </si>
  <si>
    <t xml:space="preserve">F18-T12-18</t>
  </si>
  <si>
    <t xml:space="preserve">STD UPLIFT INFORMATION.xlsx &gt; SEAT LINEN!G15</t>
  </si>
  <si>
    <t xml:space="preserve">F18-T12-19</t>
  </si>
  <si>
    <t xml:space="preserve">STD UPLIFT INFORMATION.xlsx &gt; Signature Drinks!F15 / G15 / D79</t>
  </si>
  <si>
    <t xml:space="preserve">F18-T12-20</t>
  </si>
  <si>
    <t xml:space="preserve">Location 643 &amp; 947 (A333, full cart)</t>
  </si>
  <si>
    <t xml:space="preserve">STD UPLIFT INFORMATION.xlsx &gt; SALES CART!I8:I37 / C12 / C40</t>
  </si>
  <si>
    <t xml:space="preserve">Block 6.50 h &gt;= 4 h. Reference gives no uplift stn for this item: preparation checked at the meal uplift stn (KUL) - confirm with caterer.</t>
  </si>
  <si>
    <t xml:space="preserve">F18-UPL-01</t>
  </si>
  <si>
    <t xml:space="preserve">F18-UPL-02</t>
  </si>
  <si>
    <t xml:space="preserve">F18-UPL-03</t>
  </si>
  <si>
    <t xml:space="preserve">F18-UPL-04</t>
  </si>
  <si>
    <t xml:space="preserve">F18-UPL-05</t>
  </si>
  <si>
    <t xml:space="preserve">F18-UPL-06</t>
  </si>
  <si>
    <t xml:space="preserve">F18-UPL-07</t>
  </si>
  <si>
    <t xml:space="preserve">F18-UPL-08</t>
  </si>
  <si>
    <t xml:space="preserve">F18-UPL-09</t>
  </si>
  <si>
    <t xml:space="preserve">F18-UPL-10</t>
  </si>
  <si>
    <t xml:space="preserve">F18-UPL-11</t>
  </si>
  <si>
    <t xml:space="preserve">F18-UPL-12</t>
  </si>
  <si>
    <t xml:space="preserve">F18-UPL-13</t>
  </si>
  <si>
    <t xml:space="preserve">F18-UPL-14</t>
  </si>
  <si>
    <t xml:space="preserve">F18-UPL-15</t>
  </si>
  <si>
    <t xml:space="preserve">Block 6.50 h &gt;= 4 h.</t>
  </si>
  <si>
    <t xml:space="preserve">F19-T7-01</t>
  </si>
  <si>
    <t xml:space="preserve">F19-T7-02</t>
  </si>
  <si>
    <t xml:space="preserve">F19-T7-03</t>
  </si>
  <si>
    <t xml:space="preserve">F19-T7-04</t>
  </si>
  <si>
    <t xml:space="preserve">F19-T7-05</t>
  </si>
  <si>
    <t xml:space="preserve">F19-T7-06</t>
  </si>
  <si>
    <t xml:space="preserve">F19-T7-07</t>
  </si>
  <si>
    <t xml:space="preserve">F19-T7-08</t>
  </si>
  <si>
    <t xml:space="preserve">F19-T7-09</t>
  </si>
  <si>
    <t xml:space="preserve">Service: 1.5 Meal (Meal); meal uplift stn KIX (ref lists KUL/KIX)</t>
  </si>
  <si>
    <t xml:space="preserve">F19-T24-01</t>
  </si>
  <si>
    <t xml:space="preserve">F19-T12-01</t>
  </si>
  <si>
    <t xml:space="preserve">F19-T12-02</t>
  </si>
  <si>
    <t xml:space="preserve">F19-T12-03</t>
  </si>
  <si>
    <t xml:space="preserve">F19-T12-04</t>
  </si>
  <si>
    <t xml:space="preserve">F19-T12-05</t>
  </si>
  <si>
    <t xml:space="preserve">F19-T12-06</t>
  </si>
  <si>
    <t xml:space="preserve">F19-T12-07</t>
  </si>
  <si>
    <t xml:space="preserve">F19-T12-08</t>
  </si>
  <si>
    <t xml:space="preserve">STD UPLIFT INFORMATION.xlsx &gt; SEAT LINEN!I15</t>
  </si>
  <si>
    <t xml:space="preserve">Reference gives no uplift stn for this item: preparation checked at the meal uplift stn (KIX) - confirm with caterer.</t>
  </si>
  <si>
    <t xml:space="preserve">F19-T12-09</t>
  </si>
  <si>
    <t xml:space="preserve">STD UPLIFT INFORMATION.xlsx &gt; SEAT LINEN!J15</t>
  </si>
  <si>
    <t xml:space="preserve">EY blanket: flight above 3 hours excl. Regional (SEAT LINEN!B74:C74); block 8.08 h. Qty 280 pcs (14 bundles) for A332/A333/A339 (SEAT LINEN!B75:C75). Reference gives no uplift stn for this item: preparation checked at the meal uplift stn (KIX) - confirm with caterer.</t>
  </si>
  <si>
    <t xml:space="preserve">F19-T12-10</t>
  </si>
  <si>
    <t xml:space="preserve">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t>
  </si>
  <si>
    <t xml:space="preserve">F19-UPL-01</t>
  </si>
  <si>
    <t xml:space="preserve">F19-UPL-02</t>
  </si>
  <si>
    <t xml:space="preserve">F19-UPL-03</t>
  </si>
  <si>
    <t xml:space="preserve">F19-UPL-04</t>
  </si>
  <si>
    <t xml:space="preserve">EY blanket: flight above 3 hours excl. Regional (SEAT LINEN!B74:C74); block 8.08 h. Qty 280 pcs (14 bundles) for A332/A333/A339 (SEAT LINEN!B75:C75).</t>
  </si>
  <si>
    <t xml:space="preserve">F19-UPL-05</t>
  </si>
  <si>
    <t xml:space="preserve">Block 8.08 h &gt;= 4 h. Reference names caterer PASB for the KUL/KIX/KUL sector but no uplift station: confirm whether the KIX-KUL sales cart is loaded at KUL (round trip) or at KIX.</t>
  </si>
  <si>
    <t xml:space="preserve">F20-T7-01</t>
  </si>
  <si>
    <t xml:space="preserve">F20-T7-02</t>
  </si>
  <si>
    <t xml:space="preserve">F20-T7-03</t>
  </si>
  <si>
    <t xml:space="preserve">F20-T7-04</t>
  </si>
  <si>
    <t xml:space="preserve">F20-T7-05</t>
  </si>
  <si>
    <t xml:space="preserve">F20-T7-06</t>
  </si>
  <si>
    <t xml:space="preserve">F20-T7-07</t>
  </si>
  <si>
    <t xml:space="preserve">F20-T7-08</t>
  </si>
  <si>
    <t xml:space="preserve">F20-T7-09</t>
  </si>
  <si>
    <t xml:space="preserve">STD UPLIFT INFORMATION.xlsx &gt; CATERING UPLIFT STN!C70:G70</t>
  </si>
  <si>
    <t xml:space="preserve">F20-T24-01</t>
  </si>
  <si>
    <t xml:space="preserve">F20-T12-01</t>
  </si>
  <si>
    <t xml:space="preserve">F20-T12-02</t>
  </si>
  <si>
    <t xml:space="preserve">F20-T12-03</t>
  </si>
  <si>
    <t xml:space="preserve">F20-T12-04</t>
  </si>
  <si>
    <t xml:space="preserve">F20-T12-05</t>
  </si>
  <si>
    <t xml:space="preserve">F20-T12-06</t>
  </si>
  <si>
    <t xml:space="preserve">F20-T12-07</t>
  </si>
  <si>
    <t xml:space="preserve">F20-T12-08</t>
  </si>
  <si>
    <t xml:space="preserve">STD UPLIFT INFORMATION.xlsx &gt; SEAT LINEN!I64</t>
  </si>
  <si>
    <t xml:space="preserve">F20-UPL-01</t>
  </si>
  <si>
    <t xml:space="preserve">F20-UPL-02</t>
  </si>
  <si>
    <t xml:space="preserve">F20-UPL-03</t>
  </si>
  <si>
    <t xml:space="preserve">F21-T7-01</t>
  </si>
  <si>
    <t xml:space="preserve">F21-T7-02</t>
  </si>
  <si>
    <t xml:space="preserve">F21-T7-03</t>
  </si>
  <si>
    <t xml:space="preserve">F21-T7-04</t>
  </si>
  <si>
    <t xml:space="preserve">F21-T7-05</t>
  </si>
  <si>
    <t xml:space="preserve">F21-T7-06</t>
  </si>
  <si>
    <t xml:space="preserve">F21-T7-07</t>
  </si>
  <si>
    <t xml:space="preserve">F21-T7-08</t>
  </si>
  <si>
    <t xml:space="preserve">F21-T7-09</t>
  </si>
  <si>
    <t xml:space="preserve">F21-T7-10</t>
  </si>
  <si>
    <t xml:space="preserve">All catering for MH1437 LGK-KUL is uplifted at KUL (ref uplift stn KUL only)</t>
  </si>
  <si>
    <t xml:space="preserve">LGK does not cater. Agenda candidate: MH1450 (F20, KUL 1830 local) - confirm the aircraft rotation and enter the actual KUL departure in Flights AX (cannot be passed until entered). Until then, T-24H, T-12H prep and the KUL loading line assume the candidate's KUL departure.</t>
  </si>
  <si>
    <t xml:space="preserve">F21-T24-01</t>
  </si>
  <si>
    <t xml:space="preserve">F21-T12-01</t>
  </si>
  <si>
    <t xml:space="preserve">F21-T12-02</t>
  </si>
  <si>
    <t xml:space="preserve">F21-T12-03</t>
  </si>
  <si>
    <t xml:space="preserve">F21-T12-04</t>
  </si>
  <si>
    <t xml:space="preserve">F21-T12-05</t>
  </si>
  <si>
    <t xml:space="preserve">F21-T12-06</t>
  </si>
  <si>
    <t xml:space="preserve">F21-T12-07</t>
  </si>
  <si>
    <t xml:space="preserve">F21-T12-08</t>
  </si>
  <si>
    <t xml:space="preserve">STD UPLIFT INFORMATION.xlsx &gt; AMENITIES!G74 / C83</t>
  </si>
  <si>
    <t xml:space="preserve">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t>
  </si>
  <si>
    <t xml:space="preserve">F21-T12-09</t>
  </si>
  <si>
    <t xml:space="preserve">STD UPLIFT INFORMATION.xlsx &gt; F&amp;B LINEN!D68</t>
  </si>
  <si>
    <t xml:space="preserve">F21-T12-10</t>
  </si>
  <si>
    <t xml:space="preserve">STD UPLIFT INFORMATION.xlsx &gt; F&amp;B LINEN!E68</t>
  </si>
  <si>
    <t xml:space="preserve">F21-T12-11</t>
  </si>
  <si>
    <t xml:space="preserve">STD UPLIFT INFORMATION.xlsx &gt; F&amp;B LINEN!F68</t>
  </si>
  <si>
    <t xml:space="preserve">F21-T12-12</t>
  </si>
  <si>
    <t xml:space="preserve">STD UPLIFT INFORMATION.xlsx &gt; F&amp;B LINEN!I68</t>
  </si>
  <si>
    <t xml:space="preserve">Per note F&amp;B LINEN!B79:C80. Reference gives no uplift stn for this item: preparation checked at the meal uplift stn (KUL) - confirm with caterer. Round-trip catered from KUL: due capped at the KUL loading deadline (Flights AY).</t>
  </si>
  <si>
    <t xml:space="preserve">F21-T12-13</t>
  </si>
  <si>
    <t xml:space="preserve">STD UPLIFT INFORMATION.xlsx &gt; F&amp;B LINEN!J68</t>
  </si>
  <si>
    <t xml:space="preserve">F21-T12-14</t>
  </si>
  <si>
    <t xml:space="preserve">STD UPLIFT INFORMATION.xlsx &gt; SEAT LINEN!E64</t>
  </si>
  <si>
    <t xml:space="preserve">F21-T12-15</t>
  </si>
  <si>
    <t xml:space="preserve">STD UPLIFT INFORMATION.xlsx &gt; SEAT LINEN!H64</t>
  </si>
  <si>
    <t xml:space="preserve">F21-UPL-01</t>
  </si>
  <si>
    <t xml:space="preserve">F21-UPL-02</t>
  </si>
  <si>
    <t xml:space="preserve">F21-UPL-03</t>
  </si>
  <si>
    <t xml:space="preserve">Return catering for MH1437 physically loaded at KUL on the carrying flight (meals, equipment and all items below)</t>
  </si>
  <si>
    <t xml:space="preserve">Items: meals / refreshment, equipment, Disposable slippers in DAM cart (BC, on request), Towel, Tray cloth, Napkin, Trolley cloth, Linen bag, Seat pillow (BS &amp; BC), Blanket (BS &amp; BC). Quantities as per menu checklist, GLD and Requirements</t>
  </si>
  <si>
    <t xml:space="preserve">F21-UPL-04</t>
  </si>
  <si>
    <t xml:space="preserve">F21-UPL-05</t>
  </si>
  <si>
    <t xml:space="preserve">F21-UPL-06</t>
  </si>
  <si>
    <t xml:space="preserve">F21-UPL-07</t>
  </si>
  <si>
    <t xml:space="preserve">F21-UPL-08</t>
  </si>
  <si>
    <t xml:space="preserve">F21-UPL-09</t>
  </si>
  <si>
    <t xml:space="preserve">F21-UPL-10</t>
  </si>
  <si>
    <t xml:space="preserve">F21-UPL-11</t>
  </si>
  <si>
    <t xml:space="preserve">F22-T7-01</t>
  </si>
  <si>
    <t xml:space="preserve">F22-T7-02</t>
  </si>
  <si>
    <t xml:space="preserve">F22-T7-03</t>
  </si>
  <si>
    <t xml:space="preserve">F22-T7-04</t>
  </si>
  <si>
    <t xml:space="preserve">F22-T7-05</t>
  </si>
  <si>
    <t xml:space="preserve">F22-T7-06</t>
  </si>
  <si>
    <t xml:space="preserve">F22-T7-07</t>
  </si>
  <si>
    <t xml:space="preserve">F22-T7-08</t>
  </si>
  <si>
    <t xml:space="preserve">F22-T7-09</t>
  </si>
  <si>
    <t xml:space="preserve">F22-T24-01</t>
  </si>
  <si>
    <t xml:space="preserve">F22-T12-01</t>
  </si>
  <si>
    <t xml:space="preserve">F22-T12-02</t>
  </si>
  <si>
    <t xml:space="preserve">F22-T12-03</t>
  </si>
  <si>
    <t xml:space="preserve">F22-T12-04</t>
  </si>
  <si>
    <t xml:space="preserve">F22-T12-05</t>
  </si>
  <si>
    <t xml:space="preserve">F22-T12-06</t>
  </si>
  <si>
    <t xml:space="preserve">F22-T12-07</t>
  </si>
  <si>
    <t xml:space="preserve">F22-T12-08</t>
  </si>
  <si>
    <t xml:space="preserve">F22-T12-09</t>
  </si>
  <si>
    <t xml:space="preserve">F22-T12-10</t>
  </si>
  <si>
    <t xml:space="preserve">F22-T12-11</t>
  </si>
  <si>
    <t xml:space="preserve">F22-T12-12</t>
  </si>
  <si>
    <t xml:space="preserve">F22-T12-13</t>
  </si>
  <si>
    <t xml:space="preserve">F22-T12-14</t>
  </si>
  <si>
    <t xml:space="preserve">F22-T12-15</t>
  </si>
  <si>
    <t xml:space="preserve">F22-T12-16</t>
  </si>
  <si>
    <t xml:space="preserve">F22-T12-17</t>
  </si>
  <si>
    <t xml:space="preserve">F22-T12-18</t>
  </si>
  <si>
    <t xml:space="preserve">F22-T12-19</t>
  </si>
  <si>
    <t xml:space="preserve">F22-T12-20</t>
  </si>
  <si>
    <t xml:space="preserve">F22-T12-21</t>
  </si>
  <si>
    <t xml:space="preserve">F22-UPL-01</t>
  </si>
  <si>
    <t xml:space="preserve">F22-UPL-02</t>
  </si>
  <si>
    <t xml:space="preserve">F22-UPL-03</t>
  </si>
  <si>
    <t xml:space="preserve">F22-UPL-04</t>
  </si>
  <si>
    <t xml:space="preserve">F22-UPL-05</t>
  </si>
  <si>
    <t xml:space="preserve">F22-UPL-06</t>
  </si>
  <si>
    <t xml:space="preserve">F22-UPL-07</t>
  </si>
  <si>
    <t xml:space="preserve">F22-UPL-08</t>
  </si>
  <si>
    <t xml:space="preserve">F22-UPL-09</t>
  </si>
  <si>
    <t xml:space="preserve">F22-UPL-10</t>
  </si>
  <si>
    <t xml:space="preserve">F22-UPL-11</t>
  </si>
  <si>
    <t xml:space="preserve">F22-UPL-12</t>
  </si>
  <si>
    <t xml:space="preserve">F22-UPL-13</t>
  </si>
  <si>
    <t xml:space="preserve">F22-UPL-14</t>
  </si>
  <si>
    <t xml:space="preserve">F22-UPL-15</t>
  </si>
  <si>
    <t xml:space="preserve">F22-UPL-16</t>
  </si>
  <si>
    <t xml:space="preserve">PIC reference documents: galley loading diagrams (GLD) and menu checklists. No GLD or menu checklist was supplied with the brief: every row starts OUTSTANDING. A row is ON FILE only with a real doc no, revision, a revision date between 2020 and the flight date, and an attachment location. Enter doc no, revision, revision date and attachment location/link (or embed on the flight's P-sheet) to clear it.</t>
  </si>
  <si>
    <t xml:space="preserve">GLD doc no</t>
  </si>
  <si>
    <t xml:space="preserve">GLD revision</t>
  </si>
  <si>
    <t xml:space="preserve">GLD rev date</t>
  </si>
  <si>
    <t xml:space="preserve">GLD attachment (link / location)</t>
  </si>
  <si>
    <t xml:space="preserve">GLD status</t>
  </si>
  <si>
    <t xml:space="preserve">Menu checklist doc no</t>
  </si>
  <si>
    <t xml:space="preserve">Menu checklist revision</t>
  </si>
  <si>
    <t xml:space="preserve">Menu checklist rev date</t>
  </si>
  <si>
    <t xml:space="preserve">Menu checklist attachment (link / location)</t>
  </si>
  <si>
    <t xml:space="preserve">Menu checklist status</t>
  </si>
  <si>
    <t xml:space="preserve">Outstanding</t>
  </si>
  <si>
    <t xml:space="preserve">Notes</t>
  </si>
  <si>
    <t xml:space="preserve">Not supplied with brief – obtain from caterer / MAGCS.</t>
  </si>
  <si>
    <t xml:space="preserve">Not supplied with brief – obtain from caterer / MAGCS. Return catering loaded at KUL: GLD must show return-leg stowage.</t>
  </si>
  <si>
    <t xml:space="preserve">ISOP revision register</t>
  </si>
  <si>
    <t xml:space="preserve">Record every applicable In-flight Service Operating Procedure revision communicated to caterers. The T-7D ISOP checks on each flight should quote the revision numbers listed here.</t>
  </si>
  <si>
    <t xml:space="preserve">ISOP doc / section</t>
  </si>
  <si>
    <t xml:space="preserve">Revision</t>
  </si>
  <si>
    <t xml:space="preserve">Effective date</t>
  </si>
  <si>
    <t xml:space="preserve">Title / change summary</t>
  </si>
  <si>
    <t xml:space="preserve">Applies to stations</t>
  </si>
  <si>
    <t xml:space="preserve">Communicated on</t>
  </si>
  <si>
    <t xml:space="preserve">Communicated by</t>
  </si>
  <si>
    <t xml:space="preserve">Caterer acknowledgement ref</t>
  </si>
  <si>
    <t xml:space="preserve">Requirements</t>
  </si>
  <si>
    <t xml:space="preserve">Uplift requirements by flight, derived from STD UPLIFT INFORMATION.xlsx. Applied by sector, aircraft, assessed cabin class and uplift station. 'Not stated in reference' = the reference gives no uplift station for that item. Clarification rows block READY until resolved (Pass or justified N/A).</t>
  </si>
  <si>
    <t xml:space="preserve">Item</t>
  </si>
  <si>
    <t xml:space="preserve">Expected</t>
  </si>
  <si>
    <t xml:space="preserve">Qty</t>
  </si>
  <si>
    <t xml:space="preserve">Uplift stn</t>
  </si>
  <si>
    <t xml:space="preserve">Note / open question</t>
  </si>
  <si>
    <t xml:space="preserve">Source cell</t>
  </si>
  <si>
    <t xml:space="preserve">LHR-KUL</t>
  </si>
  <si>
    <t xml:space="preserve">Toiletry kits</t>
  </si>
  <si>
    <t xml:space="preserve">Seat pillow (EY)</t>
  </si>
  <si>
    <t xml:space="preserve">Blanket (EY)</t>
  </si>
  <si>
    <t xml:space="preserve">280 (A350 9M-MAH) / 260 (A359) - per tail</t>
  </si>
  <si>
    <t xml:space="preserve">KUL-CGK</t>
  </si>
  <si>
    <t xml:space="preserve">Disposable slippers in DAM cart (BC, on request)</t>
  </si>
  <si>
    <t xml:space="preserve">Towel</t>
  </si>
  <si>
    <t xml:space="preserve">Tray cloth</t>
  </si>
  <si>
    <t xml:space="preserve">Napkin</t>
  </si>
  <si>
    <t xml:space="preserve">Table cloth</t>
  </si>
  <si>
    <t xml:space="preserve">Bread linen (using table cloth)</t>
  </si>
  <si>
    <t xml:space="preserve">Trolley cloth</t>
  </si>
  <si>
    <t xml:space="preserve">Linen bag</t>
  </si>
  <si>
    <t xml:space="preserve">Seat pillow (BS &amp; BC)</t>
  </si>
  <si>
    <t xml:space="preserve">Blanket (BS &amp; BC)</t>
  </si>
  <si>
    <t xml:space="preserve">CGK-KUL</t>
  </si>
  <si>
    <t xml:space="preserve">KUL-NRT</t>
  </si>
  <si>
    <t xml:space="preserve">Slippers (BS/BC)</t>
  </si>
  <si>
    <t xml:space="preserve">Duvet (BS &amp; BC)</t>
  </si>
  <si>
    <t xml:space="preserve">Mattress (BS &amp; BC)</t>
  </si>
  <si>
    <t xml:space="preserve">Signature drink &amp; garnish (BC)</t>
  </si>
  <si>
    <t xml:space="preserve">Sales cart (caterer PASB)</t>
  </si>
  <si>
    <t xml:space="preserve">NRT-KUL</t>
  </si>
  <si>
    <t xml:space="preserve">KUL-LHR</t>
  </si>
  <si>
    <t xml:space="preserve">Pajamas (BC)</t>
  </si>
  <si>
    <t xml:space="preserve">KUL-HAN</t>
  </si>
  <si>
    <t xml:space="preserve">HAN-KUL</t>
  </si>
  <si>
    <t xml:space="preserve">KUL-PEN</t>
  </si>
  <si>
    <t xml:space="preserve">PEN-KUL</t>
  </si>
  <si>
    <t xml:space="preserve">KUL-ADL</t>
  </si>
  <si>
    <t xml:space="preserve">ADL-KUL</t>
  </si>
  <si>
    <t xml:space="preserve">280</t>
  </si>
  <si>
    <t xml:space="preserve">KUL-HKG</t>
  </si>
  <si>
    <t xml:space="preserve">Sales cart (caterer MCAT)</t>
  </si>
  <si>
    <t xml:space="preserve">HKG-KUL</t>
  </si>
  <si>
    <t xml:space="preserve">Slippers (BS/BC) - Dispo slipper</t>
  </si>
  <si>
    <t xml:space="preserve">KUL-KIX</t>
  </si>
  <si>
    <t xml:space="preserve">KIX-KUL</t>
  </si>
  <si>
    <t xml:space="preserve">KUL-LGK</t>
  </si>
  <si>
    <t xml:space="preserve">LGK-KUL</t>
  </si>
  <si>
    <t xml:space="preserve">Items the reference marks NOT provided (X / blank) for each flight – listed for traceability, no check line created</t>
  </si>
  <si>
    <t xml:space="preserve">No sales cart location on LHR sector (A359 'not applicable for LHR'; 9M-MAH '-')</t>
  </si>
  <si>
    <t xml:space="preserve">STD UPLIFT INFORMATION.xlsx &gt; SALES CART!K7:K14 / L7</t>
  </si>
  <si>
    <t xml:space="preserve">STD UPLIFT INFORMATION.xlsx &gt; AMENITIES!D52</t>
  </si>
  <si>
    <t xml:space="preserve">Pajamas (BC red-eye)</t>
  </si>
  <si>
    <t xml:space="preserve">STD UPLIFT INFORMATION.xlsx &gt; AMENITIES!F52</t>
  </si>
  <si>
    <t xml:space="preserve">STD UPLIFT INFORMATION.xlsx &gt; AMENITIES!G52</t>
  </si>
  <si>
    <t xml:space="preserve">Signature drink (BCL)</t>
  </si>
  <si>
    <t xml:space="preserve">STD UPLIFT INFORMATION.xlsx &gt; Signature Drinks!F47</t>
  </si>
  <si>
    <t xml:space="preserve">Duvet</t>
  </si>
  <si>
    <t xml:space="preserve">STD UPLIFT INFORMATION.xlsx &gt; SEAT LINEN!F42 (blank)</t>
  </si>
  <si>
    <t xml:space="preserve">Mattress</t>
  </si>
  <si>
    <t xml:space="preserve">STD UPLIFT INFORMATION.xlsx &gt; SEAT LINEN!G42 (blank)</t>
  </si>
  <si>
    <t xml:space="preserve">Sector not listed</t>
  </si>
  <si>
    <t xml:space="preserve">STD UPLIFT INFORMATION.xlsx &gt; SALES CART!D7:D37</t>
  </si>
  <si>
    <t xml:space="preserve">STD UPLIFT INFORMATION.xlsx &gt; SEAT LINEN!J36:J69 (blank)</t>
  </si>
  <si>
    <t xml:space="preserve">STD UPLIFT INFORMATION.xlsx &gt; AMENITIES!F23</t>
  </si>
  <si>
    <t xml:space="preserve">Blanket</t>
  </si>
  <si>
    <t xml:space="preserve">STD UPLIFT INFORMATION.xlsx &gt; SEAT LINEN!H14 (blank)</t>
  </si>
  <si>
    <t xml:space="preserve">STD UPLIFT INFORMATION.xlsx &gt; SEAT LINEN!H7 (blank)</t>
  </si>
  <si>
    <t xml:space="preserve">STD UPLIFT INFORMATION.xlsx &gt; AMENITIES!D56</t>
  </si>
  <si>
    <t xml:space="preserve">STD UPLIFT INFORMATION.xlsx &gt; AMENITIES!F56</t>
  </si>
  <si>
    <t xml:space="preserve">STD UPLIFT INFORMATION.xlsx &gt; AMENITIES!G56</t>
  </si>
  <si>
    <t xml:space="preserve">STD UPLIFT INFORMATION.xlsx &gt; Signature Drinks!F51</t>
  </si>
  <si>
    <t xml:space="preserve">STD UPLIFT INFORMATION.xlsx &gt; SEAT LINEN!F46 (blank)</t>
  </si>
  <si>
    <t xml:space="preserve">STD UPLIFT INFORMATION.xlsx &gt; SEAT LINEN!G46 (blank)</t>
  </si>
  <si>
    <t xml:space="preserve">STD UPLIFT INFORMATION.xlsx &gt; AMENITIES!D72</t>
  </si>
  <si>
    <t xml:space="preserve">STD UPLIFT INFORMATION.xlsx &gt; AMENITIES!F72</t>
  </si>
  <si>
    <t xml:space="preserve">STD UPLIFT INFORMATION.xlsx &gt; AMENITIES!G72</t>
  </si>
  <si>
    <t xml:space="preserve">STD UPLIFT INFORMATION.xlsx &gt; F&amp;B LINEN!G66</t>
  </si>
  <si>
    <t xml:space="preserve">Bread linen</t>
  </si>
  <si>
    <t xml:space="preserve">STD UPLIFT INFORMATION.xlsx &gt; F&amp;B LINEN!H66</t>
  </si>
  <si>
    <t xml:space="preserve">STD UPLIFT INFORMATION.xlsx &gt; Signature Drinks!F67</t>
  </si>
  <si>
    <t xml:space="preserve">STD UPLIFT INFORMATION.xlsx &gt; SEAT LINEN!F62 (blank)</t>
  </si>
  <si>
    <t xml:space="preserve">STD UPLIFT INFORMATION.xlsx &gt; SEAT LINEN!G62 (blank)</t>
  </si>
  <si>
    <t xml:space="preserve">STD UPLIFT INFORMATION.xlsx &gt; AMENITIES!F18</t>
  </si>
  <si>
    <t xml:space="preserve">STD UPLIFT INFORMATION.xlsx &gt; SEAT LINEN!H9 (blank)</t>
  </si>
  <si>
    <t xml:space="preserve">STD UPLIFT INFORMATION.xlsx &gt; AMENITIES!D39</t>
  </si>
  <si>
    <t xml:space="preserve">STD UPLIFT INFORMATION.xlsx &gt; AMENITIES!F39</t>
  </si>
  <si>
    <t xml:space="preserve">STD UPLIFT INFORMATION.xlsx &gt; Signature Drinks!F34</t>
  </si>
  <si>
    <t xml:space="preserve">STD UPLIFT INFORMATION.xlsx &gt; SEAT LINEN!F30 (blank)</t>
  </si>
  <si>
    <t xml:space="preserve">STD UPLIFT INFORMATION.xlsx &gt; SEAT LINEN!G30 (blank)</t>
  </si>
  <si>
    <t xml:space="preserve">STD UPLIFT INFORMATION.xlsx &gt; AMENITIES!D24</t>
  </si>
  <si>
    <t xml:space="preserve">STD UPLIFT INFORMATION.xlsx &gt; AMENITIES!F24</t>
  </si>
  <si>
    <t xml:space="preserve">STD UPLIFT INFORMATION.xlsx &gt; SEAT LINEN!H15 (blank)</t>
  </si>
  <si>
    <t xml:space="preserve">STD UPLIFT INFORMATION.xlsx &gt; AMENITIES!D74</t>
  </si>
  <si>
    <t xml:space="preserve">STD UPLIFT INFORMATION.xlsx &gt; AMENITIES!F74</t>
  </si>
  <si>
    <t xml:space="preserve">STD UPLIFT INFORMATION.xlsx &gt; AMENITIES!G74</t>
  </si>
  <si>
    <t xml:space="preserve">STD UPLIFT INFORMATION.xlsx &gt; F&amp;B LINEN!G68</t>
  </si>
  <si>
    <t xml:space="preserve">STD UPLIFT INFORMATION.xlsx &gt; F&amp;B LINEN!H68</t>
  </si>
  <si>
    <t xml:space="preserve">STD UPLIFT INFORMATION.xlsx &gt; Signature Drinks!F69</t>
  </si>
  <si>
    <t xml:space="preserve">STD UPLIFT INFORMATION.xlsx &gt; SEAT LINEN!F64 (blank)</t>
  </si>
  <si>
    <t xml:space="preserve">STD UPLIFT INFORMATION.xlsx &gt; SEAT LINEN!G64 (blank)</t>
  </si>
  <si>
    <t xml:space="preserve">Settings &amp; reference tables</t>
  </si>
  <si>
    <t xml:space="preserve">Yellow cells are editable. Everything else is referenced by formulas.</t>
  </si>
  <si>
    <t xml:space="preserve">Status list</t>
  </si>
  <si>
    <t xml:space="preserve">CA status list</t>
  </si>
  <si>
    <t xml:space="preserve">Placeholder words rejected (compared after removing spaces &amp; punctuation, any case)</t>
  </si>
  <si>
    <t xml:space="preserve">Evidence phrases rejected (anywhere in text)</t>
  </si>
  <si>
    <t xml:space="preserve">Result words that cannot be a plain Pass</t>
  </si>
  <si>
    <t xml:space="preserve">As-of override (UTC). Leave blank for the live clock; enter a UTC date-time to review the workbook as at that moment.</t>
  </si>
  <si>
    <t xml:space="preserve">Not started</t>
  </si>
  <si>
    <t xml:space="preserve">na</t>
  </si>
  <si>
    <t xml:space="preserve">tbc</t>
  </si>
  <si>
    <t xml:space="preserve">reject</t>
  </si>
  <si>
    <t xml:space="preserve">This PC's clock offset from UTC (hours). 8 = Malaysia (MYT). Used to convert NOW() to UTC.</t>
  </si>
  <si>
    <t xml:space="preserve">In progress</t>
  </si>
  <si>
    <t xml:space="preserve">Closed</t>
  </si>
  <si>
    <t xml:space="preserve">tbd</t>
  </si>
  <si>
    <t xml:space="preserve">fail</t>
  </si>
  <si>
    <t xml:space="preserve">Effective as-of time (UTC) used for all overdue tests</t>
  </si>
  <si>
    <t xml:space="preserve">← as-of in MYT</t>
  </si>
  <si>
    <t xml:space="preserve">Pass</t>
  </si>
  <si>
    <t xml:space="preserve">tba</t>
  </si>
  <si>
    <t xml:space="preserve">pending</t>
  </si>
  <si>
    <t xml:space="preserve">discrepan</t>
  </si>
  <si>
    <t xml:space="preserve">Physical-uplift window: on-board confirmation is valid only within this many hours before STD, and not before a carrying flight could have arrived (assumption – adjust to station loading practice; max 10)</t>
  </si>
  <si>
    <t xml:space="preserve">← value in use (limited to 1–10)</t>
  </si>
  <si>
    <t xml:space="preserve">Pass after CA</t>
  </si>
  <si>
    <t xml:space="preserve">tofollow</t>
  </si>
  <si>
    <t xml:space="preserve">notok</t>
  </si>
  <si>
    <t xml:space="preserve">T-24H sensory test: earliest valid completion, hours before its due time (assumption – production batch must exist)</t>
  </si>
  <si>
    <t xml:space="preserve">← value in use (limited to 1–72)</t>
  </si>
  <si>
    <t xml:space="preserve">Fail</t>
  </si>
  <si>
    <t xml:space="preserve">tbconfirmed</t>
  </si>
  <si>
    <t xml:space="preserve">willfollow</t>
  </si>
  <si>
    <t xml:space="preserve">unsatisf</t>
  </si>
  <si>
    <t xml:space="preserve">T-12H preparation check: earliest valid completion, hours before its due time (assumption)</t>
  </si>
  <si>
    <t xml:space="preserve">← value in use (limited to 1–48)</t>
  </si>
  <si>
    <t xml:space="preserve">tobeconfirmed</t>
  </si>
  <si>
    <t xml:space="preserve">willupload</t>
  </si>
  <si>
    <t xml:space="preserve">notaccept</t>
  </si>
  <si>
    <t xml:space="preserve">T-7D checks: earliest valid completion, days before the T-7D due time (assumption – older evidence is stale)</t>
  </si>
  <si>
    <t xml:space="preserve">← value in use (limited to 1–60)</t>
  </si>
  <si>
    <t xml:space="preserve">tobeadvised</t>
  </si>
  <si>
    <t xml:space="preserve">tobeupload</t>
  </si>
  <si>
    <t xml:space="preserve">unaccept</t>
  </si>
  <si>
    <t xml:space="preserve">Station time zones (IANA tz database rules; DST windows cover the Oct-2026 programme)</t>
  </si>
  <si>
    <t xml:space="preserve">uploadlater</t>
  </si>
  <si>
    <t xml:space="preserve">notsatisf</t>
  </si>
  <si>
    <t xml:space="preserve">Station</t>
  </si>
  <si>
    <t xml:space="preserve">IANA zone</t>
  </si>
  <si>
    <t xml:space="preserve">Std offset (h)</t>
  </si>
  <si>
    <t xml:space="preserve">DST offset (h)</t>
  </si>
  <si>
    <t xml:space="preserve">DST start (UTC)</t>
  </si>
  <si>
    <t xml:space="preserve">DST end (UTC)</t>
  </si>
  <si>
    <t xml:space="preserve">awaiting</t>
  </si>
  <si>
    <t xml:space="preserve">sendlater</t>
  </si>
  <si>
    <t xml:space="preserve">belowstandard</t>
  </si>
  <si>
    <t xml:space="preserve">Asia/Kuala_Lumpur</t>
  </si>
  <si>
    <t xml:space="preserve">none</t>
  </si>
  <si>
    <t xml:space="preserve">shortfall</t>
  </si>
  <si>
    <t xml:space="preserve">nil</t>
  </si>
  <si>
    <t xml:space="preserve">notyet</t>
  </si>
  <si>
    <t xml:space="preserve">nonconform</t>
  </si>
  <si>
    <t xml:space="preserve">null</t>
  </si>
  <si>
    <t xml:space="preserve">nophoto</t>
  </si>
  <si>
    <t xml:space="preserve">notcompliant</t>
  </si>
  <si>
    <t xml:space="preserve">Europe/London</t>
  </si>
  <si>
    <t xml:space="preserve">same</t>
  </si>
  <si>
    <t xml:space="preserve">noevidence</t>
  </si>
  <si>
    <t xml:space="preserve">noncompliant</t>
  </si>
  <si>
    <t xml:space="preserve">Asia/Jakarta</t>
  </si>
  <si>
    <t xml:space="preserve">later</t>
  </si>
  <si>
    <t xml:space="preserve">notavailable</t>
  </si>
  <si>
    <t xml:space="preserve">defect</t>
  </si>
  <si>
    <t xml:space="preserve">Asia/Ho_Chi_Minh</t>
  </si>
  <si>
    <t xml:space="preserve">unknown</t>
  </si>
  <si>
    <t xml:space="preserve">notattached</t>
  </si>
  <si>
    <t xml:space="preserve">Asia/Tokyo</t>
  </si>
  <si>
    <t xml:space="preserve">x</t>
  </si>
  <si>
    <t xml:space="preserve">asabove</t>
  </si>
  <si>
    <t xml:space="preserve">xx</t>
  </si>
  <si>
    <t xml:space="preserve">seeabove</t>
  </si>
  <si>
    <t xml:space="preserve">Asia/Hong_Kong</t>
  </si>
  <si>
    <t xml:space="preserve">xxx</t>
  </si>
  <si>
    <t xml:space="preserve">ditto</t>
  </si>
  <si>
    <t xml:space="preserve">Australia/Adelaide</t>
  </si>
  <si>
    <t xml:space="preserve">0</t>
  </si>
  <si>
    <t xml:space="preserve">tobeprovided</t>
  </si>
  <si>
    <t xml:space="preserve">Source: IANA tz database. Europe/London BST ends Sun 25-Oct-2026 01:00 UTC; Australia/Adelaide ACDT (UTC+10:30) starts Sun 4-Oct-2026 02:00 local (03-Oct 16:30 UTC). No DST at other stations.</t>
  </si>
  <si>
    <t xml:space="preserve">test</t>
  </si>
  <si>
    <t xml:space="preserve">willsend</t>
  </si>
  <si>
    <t xml:space="preserve">dummy</t>
  </si>
  <si>
    <t xml:space="preserve">notapplicable</t>
  </si>
  <si>
    <t xml:space="preserve">done</t>
  </si>
  <si>
    <t xml:space="preserve">yes</t>
  </si>
  <si>
    <t xml:space="preserve">checked</t>
  </si>
  <si>
    <t xml:space="preserve">ok</t>
  </si>
  <si>
    <t xml:space="preserve">okay</t>
  </si>
  <si>
    <t xml:space="preserve">visual</t>
  </si>
  <si>
    <t xml:space="preserve">verbal</t>
  </si>
  <si>
    <t xml:space="preserve">naverbal</t>
  </si>
  <si>
    <t xml:space="preserve">photo</t>
  </si>
  <si>
    <t xml:space="preserve">email</t>
  </si>
  <si>
    <t xml:space="preserve">seen</t>
  </si>
  <si>
    <t xml:space="preserve">fine</t>
  </si>
  <si>
    <t xml:space="preserve">Flight / date</t>
  </si>
  <si>
    <t xml:space="preserve">READINESS STATUS</t>
  </si>
  <si>
    <t xml:space="preserve">Sector / class / seat</t>
  </si>
  <si>
    <t xml:space="preserve">Due (local)</t>
  </si>
  <si>
    <t xml:space="preserve">% complete</t>
  </si>
  <si>
    <t xml:space="preserve">STD → STA (local)</t>
  </si>
  <si>
    <t xml:space="preserve">T-7D – 7 days before departure</t>
  </si>
  <si>
    <t xml:space="preserve">Fleet / aircraft ref</t>
  </si>
  <si>
    <t xml:space="preserve">T-24H – production batch sensory</t>
  </si>
  <si>
    <t xml:space="preserve">Tail / Reg</t>
  </si>
  <si>
    <t xml:space="preserve">T-12H PREP – caterer prep only</t>
  </si>
  <si>
    <t xml:space="preserve">Service type</t>
  </si>
  <si>
    <t xml:space="preserve">UPLIFT – on-board confirmation</t>
  </si>
  <si>
    <t xml:space="preserve">OVERALL (all checkpoints)</t>
  </si>
  <si>
    <t xml:space="preserve">–</t>
  </si>
  <si>
    <t xml:space="preserve">Transit / remark</t>
  </si>
  <si>
    <t xml:space="preserve">Overdue / discrep. / invalid</t>
  </si>
  <si>
    <t xml:space="preserve">Caterer</t>
  </si>
  <si>
    <t xml:space="preserve">Open reqd / clarif. / docs out</t>
  </si>
  <si>
    <t xml:space="preserve">Flight PIC</t>
  </si>
  <si>
    <t xml:space="preserve">Done / in scope | as of UTC</t>
  </si>
  <si>
    <t xml:space="preserve">T-12H PREP = preparation at the caterer only; loading is confirmed solely by the UPLIFT on-board check.  Record-state legend →</t>
  </si>
  <si>
    <t xml:space="preserve">COMPLETE</t>
  </si>
  <si>
    <t xml:space="preserve">OPEN</t>
  </si>
  <si>
    <t xml:space="preserve">OVERDUE / FAIL / INVALID</t>
  </si>
  <si>
    <t xml:space="preserve">Attachments</t>
  </si>
  <si>
    <t xml:space="preserve">Doc no</t>
  </si>
  <si>
    <t xml:space="preserve">Rev / rev date</t>
  </si>
  <si>
    <t xml:space="preserve">Status (from Documents sheet)</t>
  </si>
  <si>
    <t xml:space="preserve">Paper pack instruction / location</t>
  </si>
  <si>
    <t xml:space="preserve">A1  Galley Loading Diagram</t>
  </si>
  <si>
    <t xml:space="preserve">A2  Menu Checklist</t>
  </si>
  <si>
    <t xml:space="preserve">Document notes</t>
  </si>
  <si>
    <t xml:space="preserve">SIGN-OFF – Flight PIC</t>
  </si>
  <si>
    <t xml:space="preserve">SIGN-OFF – Verifier</t>
  </si>
  <si>
    <t xml:space="preserve">SIGN-OFF – Station catering officer</t>
  </si>
  <si>
    <t xml:space="preserve">Signature / date-time:</t>
  </si>
  <si>
    <t xml:space="preserve">Cover sheet – checklist starts on page 2 (staple attachments A1 / A2 behind this pack).</t>
  </si>
  <si>
    <t xml:space="preserve">Check ID / item</t>
  </si>
  <si>
    <t xml:space="preserve">Requirement / expected</t>
  </si>
  <si>
    <t xml:space="preserve">Applic. / due (local)</t>
  </si>
  <si>
    <t xml:space="preserve">Status (CA)</t>
  </si>
  <si>
    <t xml:space="preserve">Result  |  batch  |  exp / act qty</t>
  </si>
  <si>
    <t xml:space="preserve">Evidence  |  corrective action</t>
  </si>
  <si>
    <t xml:space="preserve">Done (local) / verifier / PIC</t>
  </si>
  <si>
    <t xml:space="preserve">EXCEL INSERTION AREA (on-screen only, not printed) – A1 Galley Loading Diagram: Insert &gt; Picture here. On paper: staple behind this sheet as page A1.</t>
  </si>
  <si>
    <t xml:space="preserve">EXCEL INSERTION AREA (on-screen only, not printed) – A2 Menu Checklist: Insert &gt; Picture here. On paper: staple behind this sheet as page A2.</t>
  </si>
</sst>
</file>

<file path=xl/styles.xml><?xml version="1.0" encoding="utf-8"?>
<styleSheet xmlns="http://schemas.openxmlformats.org/spreadsheetml/2006/main">
  <numFmts count="11">
    <numFmt numFmtId="164" formatCode="General"/>
    <numFmt numFmtId="165" formatCode="dd\-mmm\-yy\ hh:mm"/>
    <numFmt numFmtId="166" formatCode="0"/>
    <numFmt numFmtId="167" formatCode="0.0%"/>
    <numFmt numFmtId="168" formatCode="dd\-mmm"/>
    <numFmt numFmtId="169" formatCode="dd\-mmm\ hh:mm"/>
    <numFmt numFmtId="170" formatCode="0%"/>
    <numFmt numFmtId="171" formatCode="#,##0;\-#,##0;0"/>
    <numFmt numFmtId="172" formatCode="dd\-mmm\-yy"/>
    <numFmt numFmtId="173" formatCode="General"/>
    <numFmt numFmtId="174" formatCode="0.00"/>
  </numFmts>
  <fonts count="4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9"/>
      <color rgb="FF595959"/>
      <name val="Arial"/>
      <family val="0"/>
      <charset val="1"/>
    </font>
    <font>
      <b val="true"/>
      <sz val="13"/>
      <color rgb="FF1F3864"/>
      <name val="Arial"/>
      <family val="0"/>
      <charset val="1"/>
    </font>
    <font>
      <sz val="10"/>
      <color rgb="FF000000"/>
      <name val="Arial"/>
      <family val="0"/>
      <charset val="1"/>
    </font>
    <font>
      <b val="true"/>
      <sz val="11"/>
      <color rgb="FF1F3864"/>
      <name val="Arial"/>
      <family val="0"/>
      <charset val="1"/>
    </font>
    <font>
      <sz val="10"/>
      <color rgb="FF0000FF"/>
      <name val="Arial"/>
      <family val="0"/>
      <charset val="1"/>
    </font>
    <font>
      <b val="true"/>
      <sz val="16"/>
      <color rgb="FFFFFFFF"/>
      <name val="Arial"/>
      <family val="0"/>
      <charset val="1"/>
    </font>
    <font>
      <b val="true"/>
      <sz val="10"/>
      <color rgb="FF595959"/>
      <name val="Arial"/>
      <family val="0"/>
      <charset val="1"/>
    </font>
    <font>
      <b val="true"/>
      <sz val="10"/>
      <color rgb="FF1F3864"/>
      <name val="Arial"/>
      <family val="0"/>
      <charset val="1"/>
    </font>
    <font>
      <b val="true"/>
      <sz val="12"/>
      <color rgb="FFFFFFFF"/>
      <name val="Arial"/>
      <family val="0"/>
      <charset val="1"/>
    </font>
    <font>
      <b val="true"/>
      <sz val="20"/>
      <color rgb="FF1F3864"/>
      <name val="Arial"/>
      <family val="0"/>
      <charset val="1"/>
    </font>
    <font>
      <b val="true"/>
      <sz val="10"/>
      <color rgb="FFFFFFFF"/>
      <name val="Arial"/>
      <family val="0"/>
      <charset val="1"/>
    </font>
    <font>
      <sz val="10"/>
      <color rgb="FF595959"/>
      <name val="Arial"/>
      <family val="0"/>
      <charset val="1"/>
    </font>
    <font>
      <b val="true"/>
      <sz val="10"/>
      <color rgb="FF000000"/>
      <name val="Arial"/>
      <family val="0"/>
      <charset val="1"/>
    </font>
    <font>
      <i val="true"/>
      <sz val="10"/>
      <color rgb="FF595959"/>
      <name val="Arial"/>
      <family val="0"/>
      <charset val="1"/>
    </font>
    <font>
      <i val="true"/>
      <sz val="9"/>
      <color rgb="FFFFFFFF"/>
      <name val="Arial"/>
      <family val="0"/>
      <charset val="1"/>
    </font>
    <font>
      <b val="true"/>
      <sz val="9"/>
      <color rgb="FF000000"/>
      <name val="Arial"/>
      <family val="0"/>
      <charset val="1"/>
    </font>
    <font>
      <sz val="8"/>
      <color rgb="FF595959"/>
      <name val="Arial"/>
      <family val="0"/>
      <charset val="1"/>
    </font>
    <font>
      <sz val="9"/>
      <color rgb="FF595959"/>
      <name val="Arial"/>
      <family val="0"/>
      <charset val="1"/>
    </font>
    <font>
      <b val="true"/>
      <i val="true"/>
      <sz val="9"/>
      <color rgb="FF006100"/>
      <name val="Arial"/>
      <family val="0"/>
      <charset val="1"/>
    </font>
    <font>
      <b val="true"/>
      <sz val="14"/>
      <color rgb="FF1F3864"/>
      <name val="Arial"/>
      <family val="0"/>
      <charset val="1"/>
    </font>
    <font>
      <b val="true"/>
      <sz val="9"/>
      <color rgb="FFFFFFFF"/>
      <name val="Arial"/>
      <family val="0"/>
      <charset val="1"/>
    </font>
    <font>
      <sz val="9"/>
      <color rgb="FF000000"/>
      <name val="Arial"/>
      <family val="0"/>
      <charset val="1"/>
    </font>
    <font>
      <sz val="10"/>
      <name val="Arial"/>
      <family val="2"/>
    </font>
    <font>
      <sz val="9"/>
      <color rgb="FF0000FF"/>
      <name val="Arial"/>
      <family val="0"/>
      <charset val="1"/>
    </font>
    <font>
      <b val="true"/>
      <sz val="9"/>
      <color rgb="FFC00000"/>
      <name val="Arial"/>
      <family val="0"/>
      <charset val="1"/>
    </font>
    <font>
      <b val="true"/>
      <sz val="9"/>
      <color rgb="FF1F3864"/>
      <name val="Arial"/>
      <family val="0"/>
      <charset val="1"/>
    </font>
    <font>
      <b val="true"/>
      <sz val="10"/>
      <color rgb="FF0000FF"/>
      <name val="Arial"/>
      <family val="0"/>
      <charset val="1"/>
    </font>
    <font>
      <i val="true"/>
      <sz val="8"/>
      <color rgb="FF595959"/>
      <name val="Arial"/>
      <family val="0"/>
      <charset val="1"/>
    </font>
    <font>
      <b val="true"/>
      <sz val="8.5"/>
      <color rgb="FF000000"/>
      <name val="Arial"/>
      <family val="0"/>
      <charset val="1"/>
    </font>
    <font>
      <b val="true"/>
      <sz val="8.5"/>
      <color rgb="FFFFFFFF"/>
      <name val="Arial"/>
      <family val="0"/>
      <charset val="1"/>
    </font>
    <font>
      <sz val="8"/>
      <color rgb="FF000000"/>
      <name val="Arial"/>
      <family val="0"/>
      <charset val="1"/>
    </font>
    <font>
      <b val="true"/>
      <sz val="8.5"/>
      <color rgb="FFC00000"/>
      <name val="Arial"/>
      <family val="0"/>
      <charset val="1"/>
    </font>
    <font>
      <b val="true"/>
      <sz val="8"/>
      <color rgb="FF000000"/>
      <name val="Arial"/>
      <family val="0"/>
      <charset val="1"/>
    </font>
    <font>
      <sz val="8.5"/>
      <color rgb="FF000000"/>
      <name val="Arial"/>
      <family val="0"/>
      <charset val="1"/>
    </font>
    <font>
      <i val="true"/>
      <sz val="8"/>
      <color rgb="FF7F7F7F"/>
      <name val="Arial"/>
      <family val="0"/>
      <charset val="1"/>
    </font>
    <font>
      <b val="true"/>
      <sz val="8.5"/>
      <color rgb="FF1F3864"/>
      <name val="Arial"/>
      <family val="0"/>
      <charset val="1"/>
    </font>
    <font>
      <b val="true"/>
      <sz val="8.5"/>
      <color rgb="FF7F4F00"/>
      <name val="Arial"/>
      <family val="0"/>
      <charset val="1"/>
    </font>
  </fonts>
  <fills count="12">
    <fill>
      <patternFill patternType="none"/>
    </fill>
    <fill>
      <patternFill patternType="gray125"/>
    </fill>
    <fill>
      <patternFill patternType="solid">
        <fgColor rgb="FFFFF2CC"/>
        <bgColor rgb="FFF2F2F2"/>
      </patternFill>
    </fill>
    <fill>
      <patternFill patternType="solid">
        <fgColor rgb="FFF2F2F2"/>
        <bgColor rgb="FFE8EEF7"/>
      </patternFill>
    </fill>
    <fill>
      <patternFill patternType="solid">
        <fgColor rgb="FFE8EEF7"/>
        <bgColor rgb="FFF2F2F2"/>
      </patternFill>
    </fill>
    <fill>
      <patternFill patternType="solid">
        <fgColor rgb="FF1F3864"/>
        <bgColor rgb="FF404040"/>
      </patternFill>
    </fill>
    <fill>
      <patternFill patternType="solid">
        <fgColor rgb="FF2F5597"/>
        <bgColor rgb="FF1F3864"/>
      </patternFill>
    </fill>
    <fill>
      <patternFill patternType="solid">
        <fgColor rgb="FFD9E1F2"/>
        <bgColor rgb="FFD9D9D9"/>
      </patternFill>
    </fill>
    <fill>
      <patternFill patternType="solid">
        <fgColor rgb="FFC6EFCE"/>
        <bgColor rgb="FFD9E1F2"/>
      </patternFill>
    </fill>
    <fill>
      <patternFill patternType="solid">
        <fgColor rgb="FFFFEB9C"/>
        <bgColor rgb="FFFFE699"/>
      </patternFill>
    </fill>
    <fill>
      <patternFill patternType="solid">
        <fgColor rgb="FFD9D9D9"/>
        <bgColor rgb="FFD9E1F2"/>
      </patternFill>
    </fill>
    <fill>
      <patternFill patternType="solid">
        <fgColor rgb="FFFFC7CE"/>
        <bgColor rgb="FFF8CBAD"/>
      </patternFill>
    </fill>
  </fills>
  <borders count="6">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medium">
        <color rgb="FF1F3864"/>
      </left>
      <right style="medium">
        <color rgb="FF1F3864"/>
      </right>
      <top style="medium">
        <color rgb="FF1F3864"/>
      </top>
      <bottom/>
      <diagonal/>
    </border>
    <border diagonalUp="false" diagonalDown="false">
      <left style="medium">
        <color rgb="FF1F3864"/>
      </left>
      <right style="medium">
        <color rgb="FF1F3864"/>
      </right>
      <top/>
      <bottom style="medium">
        <color rgb="FF1F386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top" textRotation="0" wrapText="true" indent="0" shrinkToFit="false"/>
      <protection locked="fals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5" borderId="0" xfId="0" applyFont="true" applyBorder="true" applyAlignment="true" applyProtection="false">
      <alignment horizontal="left" vertical="center" textRotation="0" wrapText="false" indent="1" shrinkToFit="false"/>
      <protection locked="true" hidden="false"/>
    </xf>
    <xf numFmtId="164" fontId="11" fillId="3" borderId="0" xfId="0" applyFont="true" applyBorder="true" applyAlignment="true" applyProtection="false">
      <alignment horizontal="left" vertical="center" textRotation="0" wrapText="false" indent="1" shrinkToFit="false"/>
      <protection locked="true" hidden="false"/>
    </xf>
    <xf numFmtId="165" fontId="12" fillId="3" borderId="0" xfId="0" applyFont="true" applyBorder="true" applyAlignment="true" applyProtection="false">
      <alignment horizontal="left" vertical="center" textRotation="0" wrapText="false" indent="1" shrinkToFit="false"/>
      <protection locked="true" hidden="false"/>
    </xf>
    <xf numFmtId="164" fontId="5" fillId="3" borderId="0" xfId="0" applyFont="true" applyBorder="true" applyAlignment="true" applyProtection="false">
      <alignment horizontal="left" vertical="center" textRotation="0" wrapText="true" indent="1" shrinkToFit="false"/>
      <protection locked="true" hidden="false"/>
    </xf>
    <xf numFmtId="164" fontId="13" fillId="6" borderId="0" xfId="0" applyFont="true" applyBorder="true" applyAlignment="true" applyProtection="false">
      <alignment horizontal="left" vertical="center" textRotation="0" wrapText="false" indent="1" shrinkToFit="false"/>
      <protection locked="true" hidden="false"/>
    </xf>
    <xf numFmtId="164" fontId="12" fillId="7" borderId="0" xfId="0" applyFont="true" applyBorder="true" applyAlignment="true" applyProtection="false">
      <alignment horizontal="center" vertical="center" textRotation="0" wrapText="true" indent="0" shrinkToFit="false"/>
      <protection locked="true" hidden="false"/>
    </xf>
    <xf numFmtId="166" fontId="14" fillId="3" borderId="0" xfId="0" applyFont="true" applyBorder="true" applyAlignment="true" applyProtection="false">
      <alignment horizontal="center" vertical="center" textRotation="0" wrapText="false" indent="0" shrinkToFit="false"/>
      <protection locked="true" hidden="false"/>
    </xf>
    <xf numFmtId="167" fontId="14" fillId="3" borderId="0" xfId="0" applyFont="true" applyBorder="true" applyAlignment="true" applyProtection="false">
      <alignment horizontal="center" vertical="center" textRotation="0" wrapText="false" indent="0" shrinkToFit="false"/>
      <protection locked="true" hidden="false"/>
    </xf>
    <xf numFmtId="164" fontId="5" fillId="3" borderId="0" xfId="0" applyFont="true" applyBorder="true" applyAlignment="true" applyProtection="false">
      <alignment horizontal="center" vertical="top" textRotation="0" wrapText="true" indent="0" shrinkToFit="false"/>
      <protection locked="true" hidden="false"/>
    </xf>
    <xf numFmtId="164" fontId="15" fillId="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center" textRotation="0" wrapText="false" indent="1"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6" fontId="17" fillId="7" borderId="1" xfId="0" applyFont="true" applyBorder="true" applyAlignment="true" applyProtection="false">
      <alignment horizontal="center" vertical="center" textRotation="0" wrapText="false" indent="0" shrinkToFit="false"/>
      <protection locked="true" hidden="false"/>
    </xf>
    <xf numFmtId="167" fontId="17" fillId="7" borderId="1" xfId="0" applyFont="true" applyBorder="true" applyAlignment="true" applyProtection="false">
      <alignment horizontal="center" vertical="center" textRotation="0" wrapText="false" indent="0" shrinkToFit="false"/>
      <protection locked="true" hidden="false"/>
    </xf>
    <xf numFmtId="164" fontId="18" fillId="7" borderId="1" xfId="0" applyFont="true" applyBorder="true" applyAlignment="true" applyProtection="false">
      <alignment horizontal="left" vertical="center" textRotation="0" wrapText="false" indent="1" shrinkToFit="false"/>
      <protection locked="true" hidden="false"/>
    </xf>
    <xf numFmtId="164" fontId="12" fillId="7" borderId="1" xfId="0" applyFont="true" applyBorder="true" applyAlignment="true" applyProtection="false">
      <alignment horizontal="left" vertical="top" textRotation="0" wrapText="true" indent="1" shrinkToFit="false"/>
      <protection locked="true" hidden="false"/>
    </xf>
    <xf numFmtId="164" fontId="7" fillId="0" borderId="1" xfId="0" applyFont="true" applyBorder="true" applyAlignment="true" applyProtection="false">
      <alignment horizontal="left" vertical="top" textRotation="0" wrapText="true" indent="1" shrinkToFit="false"/>
      <protection locked="true" hidden="false"/>
    </xf>
    <xf numFmtId="164" fontId="19" fillId="6" borderId="0" xfId="0" applyFont="true" applyBorder="true" applyAlignment="true" applyProtection="false">
      <alignment horizontal="right" vertical="center" textRotation="0" wrapText="false" indent="1" shrinkToFit="false"/>
      <protection locked="true" hidden="false"/>
    </xf>
    <xf numFmtId="164" fontId="17" fillId="0" borderId="1" xfId="0" applyFont="true" applyBorder="true" applyAlignment="true" applyProtection="false">
      <alignment horizontal="left" vertical="center" textRotation="0" wrapText="false" indent="1"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9" fontId="7" fillId="0" borderId="1" xfId="0" applyFont="true" applyBorder="true" applyAlignment="true" applyProtection="false">
      <alignment horizontal="center" vertical="center" textRotation="0" wrapText="false" indent="0" shrinkToFit="false"/>
      <protection locked="true" hidden="false"/>
    </xf>
    <xf numFmtId="170" fontId="7" fillId="0" borderId="1" xfId="0" applyFont="true" applyBorder="true" applyAlignment="true" applyProtection="false">
      <alignment horizontal="center" vertical="center" textRotation="0" wrapText="false" indent="0" shrinkToFit="false"/>
      <protection locked="true" hidden="false"/>
    </xf>
    <xf numFmtId="164" fontId="20" fillId="0" borderId="1" xfId="0" applyFont="true" applyBorder="true" applyAlignment="true" applyProtection="false">
      <alignment horizontal="left" vertical="center" textRotation="0" wrapText="false" indent="1" shrinkToFit="false"/>
      <protection locked="true" hidden="false"/>
    </xf>
    <xf numFmtId="166" fontId="7" fillId="3" borderId="1" xfId="0" applyFont="true" applyBorder="true" applyAlignment="true" applyProtection="false">
      <alignment horizontal="center" vertical="center" textRotation="0" wrapText="false" indent="0" shrinkToFit="false"/>
      <protection locked="true" hidden="false"/>
    </xf>
    <xf numFmtId="164" fontId="17" fillId="3" borderId="1" xfId="0" applyFont="true" applyBorder="true" applyAlignment="true" applyProtection="false">
      <alignment horizontal="left" vertical="center" textRotation="0" wrapText="false" indent="1" shrinkToFit="false"/>
      <protection locked="true" hidden="false"/>
    </xf>
    <xf numFmtId="168"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9" fontId="7" fillId="3" borderId="1" xfId="0" applyFont="true" applyBorder="true" applyAlignment="true" applyProtection="false">
      <alignment horizontal="center" vertical="center" textRotation="0" wrapText="false" indent="0" shrinkToFit="false"/>
      <protection locked="true" hidden="false"/>
    </xf>
    <xf numFmtId="170" fontId="7" fillId="3" borderId="1" xfId="0" applyFont="true" applyBorder="true" applyAlignment="true" applyProtection="false">
      <alignment horizontal="center" vertical="center" textRotation="0" wrapText="false" indent="0" shrinkToFit="false"/>
      <protection locked="true" hidden="false"/>
    </xf>
    <xf numFmtId="164" fontId="20" fillId="3"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top" textRotation="0" wrapText="true" indent="1"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22" fillId="3" borderId="1" xfId="0" applyFont="true" applyBorder="true" applyAlignment="true" applyProtection="false">
      <alignment horizontal="center" vertical="top" textRotation="0" wrapText="false" indent="0" shrinkToFit="false"/>
      <protection locked="true" hidden="false"/>
    </xf>
    <xf numFmtId="164" fontId="7" fillId="3" borderId="1" xfId="0" applyFont="true" applyBorder="true" applyAlignment="true" applyProtection="false">
      <alignment horizontal="left" vertical="top" textRotation="0" wrapText="true" indent="1"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23" fillId="0" borderId="0" xfId="0" applyFont="true" applyBorder="true" applyAlignment="true" applyProtection="false">
      <alignment horizontal="left" vertical="center" textRotation="0" wrapText="false" indent="1" shrinkToFit="false"/>
      <protection locked="true" hidden="false"/>
    </xf>
    <xf numFmtId="171" fontId="7" fillId="0" borderId="1" xfId="0" applyFont="true" applyBorder="true" applyAlignment="true" applyProtection="false">
      <alignment horizontal="center" vertical="top" textRotation="0" wrapText="true" indent="0" shrinkToFit="false"/>
      <protection locked="true" hidden="false"/>
    </xf>
    <xf numFmtId="171" fontId="7" fillId="3" borderId="1" xfId="0" applyFont="true" applyBorder="true" applyAlignment="true" applyProtection="false">
      <alignment horizontal="center" vertical="top"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25" fillId="5" borderId="2" xfId="0" applyFont="true" applyBorder="true" applyAlignment="true" applyProtection="false">
      <alignment horizontal="center" vertical="center" textRotation="0" wrapText="true" indent="0" shrinkToFit="false"/>
      <protection locked="true" hidden="false"/>
    </xf>
    <xf numFmtId="164" fontId="26" fillId="0" borderId="2" xfId="0" applyFont="true" applyBorder="true" applyAlignment="true" applyProtection="false">
      <alignment horizontal="general" vertical="top" textRotation="0" wrapText="true" indent="0" shrinkToFit="false"/>
      <protection locked="true" hidden="false"/>
    </xf>
    <xf numFmtId="172" fontId="26" fillId="0" borderId="2" xfId="0" applyFont="true" applyBorder="true" applyAlignment="true" applyProtection="false">
      <alignment horizontal="general" vertical="top" textRotation="0" wrapText="true" indent="0" shrinkToFit="false"/>
      <protection locked="true" hidden="false"/>
    </xf>
    <xf numFmtId="165" fontId="26" fillId="0" borderId="2" xfId="0" applyFont="true" applyBorder="true" applyAlignment="true" applyProtection="false">
      <alignment horizontal="general" vertical="top" textRotation="0" wrapText="true" indent="0" shrinkToFit="false"/>
      <protection locked="true" hidden="false"/>
    </xf>
    <xf numFmtId="164" fontId="26" fillId="2" borderId="2" xfId="0" applyFont="true" applyBorder="true" applyAlignment="true" applyProtection="true">
      <alignment horizontal="general" vertical="top" textRotation="0" wrapText="true" indent="0" shrinkToFit="false"/>
      <protection locked="false" hidden="false"/>
    </xf>
    <xf numFmtId="173" fontId="26" fillId="3" borderId="2" xfId="0" applyFont="true" applyBorder="true" applyAlignment="true" applyProtection="false">
      <alignment horizontal="general" vertical="top" textRotation="0" wrapText="true" indent="0" shrinkToFit="false"/>
      <protection locked="true" hidden="false"/>
    </xf>
    <xf numFmtId="165" fontId="26" fillId="3" borderId="2" xfId="0" applyFont="true" applyBorder="true" applyAlignment="true" applyProtection="false">
      <alignment horizontal="general" vertical="top" textRotation="0" wrapText="true" indent="0" shrinkToFit="false"/>
      <protection locked="true" hidden="false"/>
    </xf>
    <xf numFmtId="174" fontId="26" fillId="3" borderId="2" xfId="0" applyFont="true" applyBorder="true" applyAlignment="true" applyProtection="false">
      <alignment horizontal="general" vertical="top" textRotation="0" wrapText="true" indent="0" shrinkToFit="false"/>
      <protection locked="true" hidden="false"/>
    </xf>
    <xf numFmtId="170" fontId="26" fillId="3" borderId="2" xfId="0" applyFont="true" applyBorder="true" applyAlignment="true" applyProtection="false">
      <alignment horizontal="right" vertical="bottom" textRotation="0" wrapText="false" indent="0" shrinkToFit="false"/>
      <protection locked="true" hidden="false"/>
    </xf>
    <xf numFmtId="164" fontId="20" fillId="3" borderId="2" xfId="0" applyFont="true" applyBorder="true" applyAlignment="true" applyProtection="false">
      <alignment horizontal="general" vertical="top" textRotation="0" wrapText="true" indent="0" shrinkToFit="false"/>
      <protection locked="true" hidden="false"/>
    </xf>
    <xf numFmtId="165" fontId="26" fillId="2" borderId="2" xfId="0" applyFont="true" applyBorder="true" applyAlignment="true" applyProtection="true">
      <alignment horizontal="general" vertical="top" textRotation="0" wrapText="true" indent="0" shrinkToFit="false"/>
      <protection locked="false" hidden="false"/>
    </xf>
    <xf numFmtId="164" fontId="26" fillId="4" borderId="2" xfId="0" applyFont="true" applyBorder="true" applyAlignment="true" applyProtection="false">
      <alignment horizontal="general" vertical="top" textRotation="0" wrapText="true" indent="0" shrinkToFit="false"/>
      <protection locked="true" hidden="false"/>
    </xf>
    <xf numFmtId="164" fontId="28" fillId="4" borderId="2" xfId="0" applyFont="true" applyBorder="true" applyAlignment="true" applyProtection="false">
      <alignment horizontal="general" vertical="top" textRotation="0" wrapText="true" indent="0" shrinkToFit="false"/>
      <protection locked="true" hidden="false"/>
    </xf>
    <xf numFmtId="164" fontId="26" fillId="0" borderId="2" xfId="0" applyFont="true" applyBorder="true" applyAlignment="true" applyProtection="false">
      <alignment horizontal="center" vertical="top" textRotation="0" wrapText="true" indent="0" shrinkToFit="false"/>
      <protection locked="true" hidden="false"/>
    </xf>
    <xf numFmtId="172" fontId="26" fillId="0" borderId="2" xfId="0" applyFont="true" applyBorder="true" applyAlignment="true" applyProtection="false">
      <alignment horizontal="center" vertical="top" textRotation="0" wrapText="true" indent="0" shrinkToFit="false"/>
      <protection locked="true" hidden="false"/>
    </xf>
    <xf numFmtId="172" fontId="26" fillId="2" borderId="2" xfId="0" applyFont="true" applyBorder="true" applyAlignment="true" applyProtection="true">
      <alignment horizontal="general" vertical="top" textRotation="0" wrapText="true" indent="0" shrinkToFit="false"/>
      <protection locked="false" hidden="false"/>
    </xf>
    <xf numFmtId="164" fontId="26" fillId="3" borderId="2" xfId="0" applyFont="true" applyBorder="true" applyAlignment="true" applyProtection="false">
      <alignment horizontal="center" vertical="top" textRotation="0" wrapText="true" indent="0" shrinkToFit="false"/>
      <protection locked="true" hidden="false"/>
    </xf>
    <xf numFmtId="173" fontId="26" fillId="3" borderId="2" xfId="0" applyFont="true" applyBorder="true" applyAlignment="true" applyProtection="false">
      <alignment horizontal="center" vertical="top" textRotation="0" wrapText="true" indent="0" shrinkToFit="false"/>
      <protection locked="true" hidden="false"/>
    </xf>
    <xf numFmtId="164" fontId="29" fillId="0" borderId="2"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22" fillId="0" borderId="2" xfId="0" applyFont="true" applyBorder="true" applyAlignment="true" applyProtection="false">
      <alignment horizontal="general" vertical="top" textRotation="0" wrapText="true" indent="0" shrinkToFit="false"/>
      <protection locked="true" hidden="false"/>
    </xf>
    <xf numFmtId="172" fontId="22" fillId="0" borderId="2" xfId="0" applyFont="true" applyBorder="true" applyAlignment="true" applyProtection="false">
      <alignment horizontal="general" vertical="top"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31" fillId="2" borderId="2" xfId="0" applyFont="true" applyBorder="true" applyAlignment="false" applyProtection="true">
      <alignment horizontal="general" vertical="bottom" textRotation="0" wrapText="false" indent="0" shrinkToFit="false"/>
      <protection locked="fals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31" fillId="2" borderId="2" xfId="0" applyFont="true" applyBorder="true" applyAlignment="false" applyProtection="true">
      <alignment horizontal="general" vertical="bottom" textRotation="0" wrapText="false" indent="0" shrinkToFit="false"/>
      <protection locked="false" hidden="false"/>
    </xf>
    <xf numFmtId="165" fontId="17" fillId="3" borderId="2" xfId="0" applyFont="true" applyBorder="tru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73" fontId="1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28" fillId="0" borderId="2"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true" applyProtection="false">
      <alignment horizontal="general" vertical="top" textRotation="0" wrapText="true" indent="0" shrinkToFit="false"/>
      <protection locked="true" hidden="false"/>
    </xf>
    <xf numFmtId="164" fontId="13" fillId="5" borderId="3" xfId="0" applyFont="true" applyBorder="true" applyAlignment="true" applyProtection="false">
      <alignment horizontal="left" vertical="center" textRotation="0" wrapText="true" indent="0" shrinkToFit="false"/>
      <protection locked="true" hidden="false"/>
    </xf>
    <xf numFmtId="164" fontId="33" fillId="3"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center" vertical="center" textRotation="0" wrapText="true" indent="0" shrinkToFit="false"/>
      <protection locked="true" hidden="false"/>
    </xf>
    <xf numFmtId="164" fontId="17" fillId="0"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center" vertical="center" textRotation="0" wrapText="true" indent="0" shrinkToFit="false"/>
      <protection locked="true" hidden="false"/>
    </xf>
    <xf numFmtId="170" fontId="20" fillId="0" borderId="3" xfId="0" applyFont="true" applyBorder="true" applyAlignment="true" applyProtection="false">
      <alignment horizontal="center" vertical="center" textRotation="0" wrapText="true" indent="0" shrinkToFit="false"/>
      <protection locked="true" hidden="false"/>
    </xf>
    <xf numFmtId="164" fontId="26" fillId="0" borderId="3" xfId="0" applyFont="true" applyBorder="true" applyAlignment="true" applyProtection="false">
      <alignment horizontal="center" vertical="center" textRotation="0" wrapText="true" indent="0" shrinkToFit="false"/>
      <protection locked="true" hidden="false"/>
    </xf>
    <xf numFmtId="173" fontId="17" fillId="0" borderId="3" xfId="0" applyFont="true" applyBorder="true" applyAlignment="true" applyProtection="false">
      <alignment horizontal="center" vertical="center" textRotation="0" wrapText="true" indent="0" shrinkToFit="false"/>
      <protection locked="true" hidden="false"/>
    </xf>
    <xf numFmtId="164" fontId="35" fillId="0" borderId="3" xfId="0" applyFont="true" applyBorder="true" applyAlignment="true" applyProtection="false">
      <alignment horizontal="center" vertical="center" textRotation="0" wrapText="true" indent="0" shrinkToFit="false"/>
      <protection locked="true" hidden="false"/>
    </xf>
    <xf numFmtId="164" fontId="36" fillId="0" borderId="3" xfId="0" applyFont="true" applyBorder="true" applyAlignment="true" applyProtection="false">
      <alignment horizontal="left" vertical="center" textRotation="0" wrapText="true" indent="0" shrinkToFit="false"/>
      <protection locked="true" hidden="false"/>
    </xf>
    <xf numFmtId="164" fontId="37" fillId="8" borderId="3" xfId="0" applyFont="true" applyBorder="true" applyAlignment="true" applyProtection="false">
      <alignment horizontal="center" vertical="center" textRotation="0" wrapText="true" indent="0" shrinkToFit="false"/>
      <protection locked="true" hidden="false"/>
    </xf>
    <xf numFmtId="164" fontId="37" fillId="9" borderId="3" xfId="0" applyFont="true" applyBorder="true" applyAlignment="true" applyProtection="false">
      <alignment horizontal="center" vertical="center" textRotation="0" wrapText="true" indent="0" shrinkToFit="false"/>
      <protection locked="true" hidden="false"/>
    </xf>
    <xf numFmtId="164" fontId="37" fillId="10" borderId="3" xfId="0" applyFont="true" applyBorder="true" applyAlignment="true" applyProtection="false">
      <alignment horizontal="center" vertical="center" textRotation="0" wrapText="true" indent="0" shrinkToFit="false"/>
      <protection locked="true" hidden="false"/>
    </xf>
    <xf numFmtId="164" fontId="37" fillId="11" borderId="3" xfId="0" applyFont="true" applyBorder="true" applyAlignment="true" applyProtection="false">
      <alignment horizontal="center" vertical="center" textRotation="0" wrapText="true" indent="0" shrinkToFit="false"/>
      <protection locked="true" hidden="false"/>
    </xf>
    <xf numFmtId="164" fontId="20" fillId="0" borderId="3" xfId="0" applyFont="true" applyBorder="true" applyAlignment="true" applyProtection="false">
      <alignment horizontal="left" vertical="center" textRotation="0" wrapText="true" indent="0" shrinkToFit="false"/>
      <protection locked="true" hidden="false"/>
    </xf>
    <xf numFmtId="164" fontId="38" fillId="0" borderId="3" xfId="0" applyFont="true" applyBorder="true" applyAlignment="true" applyProtection="false">
      <alignment horizontal="left" vertical="center" textRotation="0" wrapText="true" indent="0" shrinkToFit="false"/>
      <protection locked="true" hidden="false"/>
    </xf>
    <xf numFmtId="164" fontId="35" fillId="0" borderId="3" xfId="0" applyFont="true" applyBorder="true" applyAlignment="true" applyProtection="false">
      <alignment horizontal="left" vertical="center" textRotation="0" wrapText="true" indent="0" shrinkToFit="false"/>
      <protection locked="true" hidden="false"/>
    </xf>
    <xf numFmtId="164" fontId="34" fillId="5" borderId="3" xfId="0" applyFont="true" applyBorder="true" applyAlignment="true" applyProtection="false">
      <alignment horizontal="left" vertical="center" textRotation="0" wrapText="true" indent="0" shrinkToFit="false"/>
      <protection locked="true" hidden="false"/>
    </xf>
    <xf numFmtId="164" fontId="39" fillId="0" borderId="3"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30" fillId="7" borderId="3" xfId="0" applyFont="true" applyBorder="true" applyAlignment="true" applyProtection="false">
      <alignment horizontal="left" vertical="center" textRotation="0" wrapText="true" indent="0" shrinkToFit="false"/>
      <protection locked="true" hidden="false"/>
    </xf>
    <xf numFmtId="164" fontId="26" fillId="0" borderId="3" xfId="0" applyFont="true" applyBorder="true" applyAlignment="true" applyProtection="false">
      <alignment horizontal="left" vertical="top" textRotation="0" wrapText="true" indent="0" shrinkToFit="false"/>
      <protection locked="true" hidden="false"/>
    </xf>
    <xf numFmtId="164" fontId="33" fillId="0" borderId="3" xfId="0" applyFont="true" applyBorder="true" applyAlignment="true" applyProtection="false">
      <alignment horizontal="left" vertical="top" textRotation="0" wrapText="true" indent="0" shrinkToFit="false"/>
      <protection locked="true" hidden="false"/>
    </xf>
    <xf numFmtId="164" fontId="40" fillId="7" borderId="4" xfId="0" applyFont="true" applyBorder="true" applyAlignment="true" applyProtection="false">
      <alignment horizontal="left" vertical="center" textRotation="0" wrapText="true" indent="0" shrinkToFit="false"/>
      <protection locked="true" hidden="false"/>
    </xf>
    <xf numFmtId="164" fontId="0" fillId="0" borderId="5" xfId="0" applyFont="false" applyBorder="true" applyAlignment="true" applyProtection="false">
      <alignment horizontal="center" vertical="center" textRotation="0" wrapText="true" indent="0" shrinkToFit="false"/>
      <protection locked="true" hidden="false"/>
    </xf>
    <xf numFmtId="164" fontId="41" fillId="9" borderId="3"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ont>
        <name val="Arial"/>
        <charset val="1"/>
        <family val="0"/>
        <b val="1"/>
        <color rgb="FFC00000"/>
      </font>
    </dxf>
    <dxf>
      <font>
        <name val="Arial"/>
        <charset val="1"/>
        <family val="0"/>
        <b val="1"/>
        <color rgb="FF006100"/>
      </font>
    </dxf>
    <dxf>
      <font>
        <name val="Arial"/>
        <charset val="1"/>
        <family val="0"/>
        <b val="1"/>
        <color rgb="FF006100"/>
      </font>
      <fill>
        <patternFill>
          <bgColor rgb="FFC6EFCE"/>
        </patternFill>
      </fill>
    </dxf>
    <dxf>
      <font>
        <name val="Arial"/>
        <charset val="1"/>
        <family val="0"/>
        <b val="1"/>
        <color rgb="FFC00000"/>
      </font>
      <fill>
        <patternFill>
          <bgColor rgb="FFF8CBAD"/>
        </patternFill>
      </fill>
    </dxf>
    <dxf>
      <font>
        <name val="Arial"/>
        <charset val="1"/>
        <family val="0"/>
        <b val="1"/>
        <color rgb="FF7F6000"/>
      </font>
      <fill>
        <patternFill>
          <bgColor rgb="FFFFE699"/>
        </patternFill>
      </fill>
    </dxf>
    <dxf>
      <font>
        <name val="Arial"/>
        <charset val="1"/>
        <family val="0"/>
        <b val="1"/>
        <color rgb="FF595959"/>
      </font>
      <fill>
        <patternFill>
          <bgColor rgb="FFD9D9D9"/>
        </patternFill>
      </fill>
    </dxf>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2F2F2"/>
          <bgColor rgb="FF000000"/>
        </patternFill>
      </fill>
    </dxf>
    <dxf>
      <fill>
        <patternFill patternType="solid">
          <fgColor rgb="FFC00000"/>
          <bgColor rgb="FF000000"/>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FFEB9C"/>
        </patternFill>
      </fill>
    </dxf>
    <dxf>
      <fill>
        <patternFill patternType="solid">
          <fgColor rgb="FF808080"/>
          <bgColor rgb="FF000000"/>
        </patternFill>
      </fill>
    </dxf>
    <dxf>
      <fill>
        <patternFill patternType="solid">
          <fgColor rgb="FFE8EEF7"/>
          <bgColor rgb="FF000000"/>
        </patternFill>
      </fill>
    </dxf>
    <dxf>
      <fill>
        <patternFill patternType="solid">
          <fgColor rgb="FF0000FF"/>
          <bgColor rgb="FF000000"/>
        </patternFill>
      </fill>
    </dxf>
    <dxf>
      <fill>
        <patternFill patternType="solid">
          <fgColor rgb="FFD9D9D9"/>
          <bgColor rgb="FF000000"/>
        </patternFill>
      </fill>
    </dxf>
    <dxf>
      <fill>
        <patternFill patternType="solid">
          <fgColor rgb="FFFFEB9C"/>
          <bgColor rgb="FF000000"/>
        </patternFill>
      </fill>
    </dxf>
    <dxf>
      <fill>
        <patternFill>
          <bgColor rgb="FFC6EFCE"/>
        </patternFill>
      </fill>
    </dxf>
    <dxf>
      <fill>
        <patternFill>
          <bgColor rgb="FFFFC7CE"/>
        </patternFill>
      </fill>
    </dxf>
    <dxf>
      <fill>
        <patternFill>
          <bgColor rgb="FFD9D9D9"/>
        </patternFill>
      </fill>
    </dxf>
    <dxf>
      <font>
        <name val="Arial"/>
        <charset val="1"/>
        <family val="0"/>
        <color rgb="FF808080"/>
      </font>
    </dxf>
    <dxf>
      <fill>
        <patternFill>
          <bgColor rgb="FFC6EFCE"/>
        </patternFill>
      </fill>
    </dxf>
    <dxf>
      <font>
        <b val="1"/>
        <color rgb="FF9C0006"/>
      </font>
      <fill>
        <patternFill>
          <bgColor rgb="FFFFC7CE"/>
        </patternFill>
      </fill>
    </dxf>
    <dxf>
      <fill>
        <patternFill>
          <bgColor rgb="FFFFEB9C"/>
        </patternFill>
      </fill>
    </dxf>
    <dxf>
      <font>
        <b val="1"/>
        <color rgb="FFFFFFFF"/>
      </font>
      <fill>
        <patternFill>
          <bgColor rgb="FFC00000"/>
        </patternFill>
      </fill>
    </dxf>
    <dxf>
      <font>
        <b val="1"/>
        <color rgb="FF006100"/>
      </font>
      <fill>
        <patternFill>
          <bgColor rgb="FFC6EFCE"/>
        </patternFill>
      </fill>
    </dxf>
    <dxf>
      <font>
        <b val="1"/>
        <color rgb="FF9C5700"/>
      </font>
      <fill>
        <patternFill>
          <bgColor rgb="FFFFEB9C"/>
        </patternFill>
      </fill>
    </dxf>
    <dxf>
      <font>
        <b val="1"/>
        <color rgb="FF404040"/>
      </font>
      <fill>
        <patternFill>
          <bgColor rgb="FFD9D9D9"/>
        </patternFill>
      </fill>
    </dxf>
    <dxf>
      <font>
        <color rgb="FF808080"/>
      </font>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808080"/>
      <rgbColor rgb="FF9999FF"/>
      <rgbColor rgb="FF9C5700"/>
      <rgbColor rgb="FFFFF2CC"/>
      <rgbColor rgb="FFE8EE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B9C"/>
      <rgbColor rgb="FFD9E1F2"/>
      <rgbColor rgb="FFFFC7CE"/>
      <rgbColor rgb="FFCC99FF"/>
      <rgbColor rgb="FFF8CBAD"/>
      <rgbColor rgb="FF3366FF"/>
      <rgbColor rgb="FF33CCCC"/>
      <rgbColor rgb="FF99CC00"/>
      <rgbColor rgb="FFFFCC00"/>
      <rgbColor rgb="FFFF9900"/>
      <rgbColor rgb="FFFF6600"/>
      <rgbColor rgb="FF595959"/>
      <rgbColor rgb="FF7F7F7F"/>
      <rgbColor rgb="FF1F3864"/>
      <rgbColor rgb="FF339966"/>
      <rgbColor rgb="FF003300"/>
      <rgbColor rgb="FF333300"/>
      <rgbColor rgb="FF7F4F00"/>
      <rgbColor rgb="FF993366"/>
      <rgbColor rgb="FF2F5597"/>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5.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6.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7.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8.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9.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0.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1.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2.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3.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4.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5.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6.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7.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8.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9.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0.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1.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2.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3.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4.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5.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B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88"/>
  </cols>
  <sheetData>
    <row r="1" customFormat="false" ht="25.5" hidden="false" customHeight="true" outlineLevel="0" collapsed="false">
      <c r="B1" s="1" t="s">
        <v>0</v>
      </c>
    </row>
    <row r="2" customFormat="false" ht="15" hidden="false" customHeight="false" outlineLevel="0" collapsed="false">
      <c r="B2" s="2" t="s">
        <v>1</v>
      </c>
    </row>
    <row r="4" customFormat="false" ht="16.15" hidden="false" customHeight="false" outlineLevel="0" collapsed="false">
      <c r="B4" s="3" t="s">
        <v>2</v>
      </c>
    </row>
    <row r="5" customFormat="false" ht="84" hidden="false" customHeight="true" outlineLevel="0" collapsed="false">
      <c r="B5" s="4" t="s">
        <v>3</v>
      </c>
    </row>
    <row r="6" customFormat="false" ht="21.75" hidden="false" customHeight="true" outlineLevel="0" collapsed="false">
      <c r="B6" s="5" t="s">
        <v>4</v>
      </c>
    </row>
    <row r="7" customFormat="false" ht="30" hidden="false" customHeight="true" outlineLevel="0" collapsed="false">
      <c r="B7" s="4" t="s">
        <v>5</v>
      </c>
    </row>
    <row r="8" customFormat="false" ht="30" hidden="false" customHeight="true" outlineLevel="0" collapsed="false">
      <c r="B8" s="4" t="s">
        <v>6</v>
      </c>
    </row>
    <row r="9" customFormat="false" ht="30" hidden="false" customHeight="true" outlineLevel="0" collapsed="false">
      <c r="B9" s="4" t="s">
        <v>7</v>
      </c>
    </row>
    <row r="10" customFormat="false" ht="30" hidden="false" customHeight="true" outlineLevel="0" collapsed="false">
      <c r="B10" s="4" t="s">
        <v>8</v>
      </c>
    </row>
    <row r="11" customFormat="false" ht="30" hidden="false" customHeight="true" outlineLevel="0" collapsed="false">
      <c r="B11" s="4" t="s">
        <v>9</v>
      </c>
    </row>
    <row r="12" customFormat="false" ht="16.5" hidden="false" customHeight="true" outlineLevel="0" collapsed="false">
      <c r="B12" s="4" t="s">
        <v>10</v>
      </c>
    </row>
    <row r="13" customFormat="false" ht="70.5" hidden="false" customHeight="true" outlineLevel="0" collapsed="false">
      <c r="B13" s="4" t="s">
        <v>11</v>
      </c>
    </row>
    <row r="14" customFormat="false" ht="21.75" hidden="false" customHeight="true" outlineLevel="0" collapsed="false">
      <c r="B14" s="5" t="s">
        <v>12</v>
      </c>
    </row>
    <row r="15" customFormat="false" ht="16.5" hidden="false" customHeight="true" outlineLevel="0" collapsed="false">
      <c r="B15" s="4" t="s">
        <v>13</v>
      </c>
    </row>
    <row r="16" customFormat="false" ht="30" hidden="false" customHeight="true" outlineLevel="0" collapsed="false">
      <c r="B16" s="4" t="s">
        <v>14</v>
      </c>
    </row>
    <row r="17" customFormat="false" ht="30" hidden="false" customHeight="true" outlineLevel="0" collapsed="false">
      <c r="B17" s="4" t="s">
        <v>15</v>
      </c>
    </row>
    <row r="18" customFormat="false" ht="43.5" hidden="false" customHeight="true" outlineLevel="0" collapsed="false">
      <c r="B18" s="4" t="s">
        <v>16</v>
      </c>
    </row>
    <row r="19" customFormat="false" ht="30" hidden="false" customHeight="true" outlineLevel="0" collapsed="false">
      <c r="B19" s="4" t="s">
        <v>17</v>
      </c>
    </row>
    <row r="20" customFormat="false" ht="43.5" hidden="false" customHeight="true" outlineLevel="0" collapsed="false">
      <c r="B20" s="4" t="s">
        <v>18</v>
      </c>
    </row>
    <row r="21" customFormat="false" ht="21.75" hidden="false" customHeight="true" outlineLevel="0" collapsed="false">
      <c r="B21" s="5" t="s">
        <v>19</v>
      </c>
    </row>
    <row r="22" customFormat="false" ht="43.5" hidden="false" customHeight="true" outlineLevel="0" collapsed="false">
      <c r="B22" s="4" t="s">
        <v>20</v>
      </c>
    </row>
    <row r="23" customFormat="false" ht="43.5" hidden="false" customHeight="true" outlineLevel="0" collapsed="false">
      <c r="B23" s="4" t="s">
        <v>21</v>
      </c>
    </row>
    <row r="24" customFormat="false" ht="57" hidden="false" customHeight="true" outlineLevel="0" collapsed="false">
      <c r="B24" s="4" t="s">
        <v>22</v>
      </c>
    </row>
    <row r="25" customFormat="false" ht="30" hidden="false" customHeight="true" outlineLevel="0" collapsed="false">
      <c r="B25" s="4" t="s">
        <v>23</v>
      </c>
    </row>
    <row r="26" customFormat="false" ht="57" hidden="false" customHeight="true" outlineLevel="0" collapsed="false">
      <c r="B26" s="4" t="s">
        <v>24</v>
      </c>
    </row>
    <row r="27" customFormat="false" ht="30" hidden="false" customHeight="true" outlineLevel="0" collapsed="false">
      <c r="B27" s="4" t="s">
        <v>25</v>
      </c>
    </row>
    <row r="28" customFormat="false" ht="30" hidden="false" customHeight="true" outlineLevel="0" collapsed="false">
      <c r="B28" s="4" t="s">
        <v>26</v>
      </c>
    </row>
    <row r="29" customFormat="false" ht="43.5" hidden="false" customHeight="true" outlineLevel="0" collapsed="false">
      <c r="B29" s="4" t="s">
        <v>27</v>
      </c>
    </row>
    <row r="30" customFormat="false" ht="57" hidden="false" customHeight="true" outlineLevel="0" collapsed="false">
      <c r="B30" s="4" t="s">
        <v>28</v>
      </c>
    </row>
    <row r="31" customFormat="false" ht="43.5" hidden="false" customHeight="true" outlineLevel="0" collapsed="false">
      <c r="B31" s="4" t="s">
        <v>29</v>
      </c>
    </row>
    <row r="32" customFormat="false" ht="57" hidden="false" customHeight="true" outlineLevel="0" collapsed="false">
      <c r="B32" s="4" t="s">
        <v>30</v>
      </c>
    </row>
    <row r="33" customFormat="false" ht="57" hidden="false" customHeight="true" outlineLevel="0" collapsed="false">
      <c r="B33" s="4" t="s">
        <v>31</v>
      </c>
    </row>
    <row r="34" customFormat="false" ht="57" hidden="false" customHeight="true" outlineLevel="0" collapsed="false">
      <c r="B34" s="4" t="s">
        <v>32</v>
      </c>
    </row>
    <row r="35" customFormat="false" ht="30" hidden="false" customHeight="true" outlineLevel="0" collapsed="false">
      <c r="B35" s="4" t="s">
        <v>33</v>
      </c>
    </row>
    <row r="36" customFormat="false" ht="30" hidden="false" customHeight="true" outlineLevel="0" collapsed="false">
      <c r="B36" s="4" t="s">
        <v>34</v>
      </c>
    </row>
    <row r="37" customFormat="false" ht="30" hidden="false" customHeight="true" outlineLevel="0" collapsed="false">
      <c r="B37" s="4" t="s">
        <v>35</v>
      </c>
    </row>
    <row r="38" customFormat="false" ht="21.75" hidden="false" customHeight="true" outlineLevel="0" collapsed="false">
      <c r="B38" s="5" t="s">
        <v>36</v>
      </c>
    </row>
    <row r="39" customFormat="false" ht="43.5" hidden="false" customHeight="true" outlineLevel="0" collapsed="false">
      <c r="B39" s="4" t="s">
        <v>37</v>
      </c>
    </row>
    <row r="40" customFormat="false" ht="84" hidden="false" customHeight="true" outlineLevel="0" collapsed="false">
      <c r="B40" s="4" t="s">
        <v>38</v>
      </c>
    </row>
    <row r="41" customFormat="false" ht="70.5" hidden="false" customHeight="true" outlineLevel="0" collapsed="false">
      <c r="B41" s="4" t="s">
        <v>39</v>
      </c>
    </row>
    <row r="42" customFormat="false" ht="57" hidden="false" customHeight="true" outlineLevel="0" collapsed="false">
      <c r="B42" s="4" t="s">
        <v>40</v>
      </c>
    </row>
    <row r="43" customFormat="false" ht="21.75" hidden="false" customHeight="true" outlineLevel="0" collapsed="false">
      <c r="B43" s="5" t="s">
        <v>41</v>
      </c>
    </row>
    <row r="44" customFormat="false" ht="57" hidden="false" customHeight="true" outlineLevel="0" collapsed="false">
      <c r="B44" s="4" t="s">
        <v>42</v>
      </c>
    </row>
    <row r="45" customFormat="false" ht="30" hidden="false" customHeight="true" outlineLevel="0" collapsed="false">
      <c r="B45" s="4" t="s">
        <v>43</v>
      </c>
    </row>
    <row r="46" customFormat="false" ht="30" hidden="false" customHeight="true" outlineLevel="0" collapsed="false">
      <c r="B46" s="4" t="s">
        <v>44</v>
      </c>
    </row>
    <row r="47" customFormat="false" ht="21.75" hidden="false" customHeight="true" outlineLevel="0" collapsed="false">
      <c r="B47" s="5" t="s">
        <v>45</v>
      </c>
    </row>
    <row r="48" customFormat="false" ht="43.5" hidden="false" customHeight="true" outlineLevel="0" collapsed="false">
      <c r="B48" s="4" t="s">
        <v>46</v>
      </c>
    </row>
    <row r="49" customFormat="false" ht="21.75" hidden="false" customHeight="true" outlineLevel="0" collapsed="false">
      <c r="B49" s="5" t="s">
        <v>47</v>
      </c>
    </row>
    <row r="50" customFormat="false" ht="16.5" hidden="false" customHeight="true" outlineLevel="0" collapsed="false">
      <c r="B50" s="6" t="s">
        <v>48</v>
      </c>
    </row>
    <row r="51" customFormat="false" ht="16.5" hidden="false" customHeight="true" outlineLevel="0" collapsed="false">
      <c r="B51" s="7" t="s">
        <v>49</v>
      </c>
    </row>
    <row r="52" customFormat="false" ht="16.5" hidden="false" customHeight="true" outlineLevel="0" collapsed="false">
      <c r="B52" s="8" t="s">
        <v>50</v>
      </c>
    </row>
    <row r="53" customFormat="false" ht="30" hidden="false" customHeight="true" outlineLevel="0" collapsed="false">
      <c r="B53" s="9" t="s">
        <v>51</v>
      </c>
    </row>
  </sheetData>
  <sheetProtection sheet="true" formatCells="false" formatColumns="false" formatRows="false" autoFilter="false"/>
  <printOptions headings="false" gridLines="false" gridLinesSet="true" horizontalCentered="false" verticalCentered="false"/>
  <pageMargins left="0.3" right="0.3" top="1" bottom="1" header="0.511811023622047" footer="0.5"/>
  <pageSetup paperSize="9" scale="100" fitToWidth="1" fitToHeight="0" pageOrder="downThenOver" orientation="portrait" blackAndWhite="false" draft="false" cellComments="none" horizontalDpi="300" verticalDpi="300" copies="1"/>
  <headerFooter differentFirst="false" differentOddEven="false">
    <oddHeader/>
    <oddFooter>&amp;C&amp;8 &amp;A  |  Page &amp;P of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T94"/>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9"/>
    <col collapsed="false" customWidth="true" hidden="false" outlineLevel="0" max="4" min="4" style="0" width="8"/>
    <col collapsed="false" customWidth="true" hidden="false" outlineLevel="0" max="5" min="5" style="0" width="9"/>
    <col collapsed="false" customWidth="true" hidden="false" outlineLevel="0" max="6" min="6" style="0" width="5"/>
    <col collapsed="false" customWidth="true" hidden="false" outlineLevel="0" max="7" min="7" style="0" width="10"/>
    <col collapsed="false" customWidth="true" hidden="false" outlineLevel="0" max="8" min="8" style="0" width="14"/>
    <col collapsed="false" customWidth="true" hidden="false" outlineLevel="0" max="12" min="9" style="0" width="8"/>
    <col collapsed="false" customWidth="true" hidden="false" outlineLevel="0" max="13" min="13" style="0" width="9"/>
    <col collapsed="false" customWidth="true" hidden="false" outlineLevel="0" max="17" min="14" style="0" width="8"/>
    <col collapsed="false" customWidth="true" hidden="false" outlineLevel="0" max="18" min="18" style="0" width="30"/>
    <col collapsed="false" customWidth="true" hidden="false" outlineLevel="0" max="19" min="19" style="0" width="2"/>
    <col collapsed="false" customWidth="true" hidden="true" outlineLevel="0" max="20" min="20" style="0" width="8"/>
  </cols>
  <sheetData>
    <row r="1" customFormat="false" ht="30" hidden="false" customHeight="true" outlineLevel="0" collapsed="false">
      <c r="B1" s="10" t="s">
        <v>52</v>
      </c>
      <c r="C1" s="10"/>
      <c r="D1" s="10"/>
      <c r="E1" s="10"/>
      <c r="F1" s="10"/>
      <c r="G1" s="10"/>
      <c r="H1" s="10"/>
      <c r="I1" s="10"/>
      <c r="J1" s="10"/>
      <c r="K1" s="10"/>
      <c r="L1" s="10"/>
      <c r="M1" s="10"/>
      <c r="N1" s="10"/>
      <c r="O1" s="10"/>
      <c r="P1" s="10"/>
      <c r="Q1" s="10"/>
      <c r="R1" s="10"/>
    </row>
    <row r="2" customFormat="false" ht="14.25" hidden="false" customHeight="true" outlineLevel="0" collapsed="false">
      <c r="B2" s="11" t="s">
        <v>53</v>
      </c>
      <c r="C2" s="11"/>
      <c r="D2" s="12" t="n">
        <f aca="false">AsOfUTC</f>
        <v>46294.018157638</v>
      </c>
      <c r="E2" s="12"/>
      <c r="F2" s="11" t="s">
        <v>54</v>
      </c>
      <c r="G2" s="11"/>
      <c r="H2" s="12" t="n">
        <f aca="false">AsOfUTC+8/24</f>
        <v>46294.3514909714</v>
      </c>
      <c r="I2" s="12"/>
      <c r="J2" s="13" t="str">
        <f aca="false">IF(Settings!$B$4&lt;&gt;"","Settings B4 (override) is set → as-of time is fixed","Settings B4 (override) blank → live clock (recalculate to refresh)")&amp;"; effective as-of shown in Settings B6."</f>
        <v>Settings B4 (override) blank → live clock (recalculate to refresh); effective as-of shown in Settings B6.</v>
      </c>
      <c r="K2" s="13"/>
      <c r="L2" s="13"/>
      <c r="M2" s="13"/>
      <c r="N2" s="13"/>
      <c r="O2" s="13"/>
      <c r="P2" s="13"/>
      <c r="Q2" s="13"/>
      <c r="R2" s="13"/>
    </row>
    <row r="3" customFormat="false" ht="6" hidden="false" customHeight="true" outlineLevel="0" collapsed="false"/>
    <row r="4" customFormat="false" ht="21.75" hidden="false" customHeight="true" outlineLevel="0" collapsed="false">
      <c r="B4" s="14" t="s">
        <v>55</v>
      </c>
      <c r="C4" s="14"/>
      <c r="D4" s="14"/>
      <c r="E4" s="14"/>
      <c r="F4" s="14"/>
      <c r="G4" s="14"/>
      <c r="H4" s="14"/>
      <c r="I4" s="14"/>
      <c r="J4" s="14"/>
      <c r="K4" s="14"/>
      <c r="L4" s="14"/>
      <c r="M4" s="14"/>
      <c r="N4" s="14"/>
      <c r="O4" s="14"/>
      <c r="P4" s="14"/>
      <c r="Q4" s="14"/>
      <c r="R4" s="14"/>
    </row>
    <row r="5" customFormat="false" ht="27.75" hidden="false" customHeight="true" outlineLevel="0" collapsed="false">
      <c r="B5" s="15" t="s">
        <v>56</v>
      </c>
      <c r="C5" s="15"/>
      <c r="D5" s="15" t="s">
        <v>57</v>
      </c>
      <c r="E5" s="15"/>
      <c r="F5" s="15" t="s">
        <v>58</v>
      </c>
      <c r="G5" s="15"/>
      <c r="H5" s="15" t="s">
        <v>59</v>
      </c>
      <c r="I5" s="15"/>
      <c r="J5" s="15" t="s">
        <v>60</v>
      </c>
      <c r="K5" s="15"/>
      <c r="L5" s="15" t="s">
        <v>61</v>
      </c>
      <c r="M5" s="15"/>
      <c r="N5" s="15" t="s">
        <v>62</v>
      </c>
      <c r="O5" s="15"/>
      <c r="P5" s="15" t="s">
        <v>63</v>
      </c>
      <c r="Q5" s="15"/>
      <c r="R5" s="15"/>
    </row>
    <row r="6" customFormat="false" ht="31.5" hidden="false" customHeight="true" outlineLevel="0" collapsed="false">
      <c r="B6" s="16" t="n">
        <f aca="false">COUNTA(Flights!$A$5:$A$26)</f>
        <v>22</v>
      </c>
      <c r="C6" s="16"/>
      <c r="D6" s="16" t="n">
        <f aca="false">COUNTIF(Flights!$AT$5:$AT$26,"READY")</f>
        <v>0</v>
      </c>
      <c r="E6" s="16"/>
      <c r="F6" s="17" t="n">
        <f aca="false">IF(SUM(Checks!$AI$5:$AI$748)=0,"n/a",SUM(Checks!$AJ$5:$AJ$748)/SUM(Checks!$AI$5:$AI$748))</f>
        <v>0</v>
      </c>
      <c r="G6" s="17"/>
      <c r="H6" s="16" t="n">
        <f aca="false">SUM(Checks!$AK$5:$AK$748)</f>
        <v>0</v>
      </c>
      <c r="I6" s="16"/>
      <c r="J6" s="16" t="n">
        <f aca="false">SUM(Checks!$AL$5:$AL$748)</f>
        <v>0</v>
      </c>
      <c r="K6" s="16"/>
      <c r="L6" s="16" t="n">
        <f aca="false">SUM(Flights!$AR$5:$AR$26)</f>
        <v>44</v>
      </c>
      <c r="M6" s="16"/>
      <c r="N6" s="16" t="n">
        <f aca="false">SUM(Checks!$AN$5:$AN$748)</f>
        <v>44</v>
      </c>
      <c r="O6" s="16"/>
      <c r="P6" s="16" t="n">
        <f aca="false">SUM(Checks!$AM$5:$AM$748)</f>
        <v>0</v>
      </c>
      <c r="Q6" s="16"/>
      <c r="R6" s="16"/>
    </row>
    <row r="7" customFormat="false" ht="36" hidden="false" customHeight="true" outlineLevel="0" collapsed="false">
      <c r="B7" s="18" t="s">
        <v>64</v>
      </c>
      <c r="C7" s="18"/>
      <c r="D7" s="18" t="str">
        <f aca="false">"of "&amp;COUNTA(Flights!$A$5:$A$26)&amp;" flights"</f>
        <v>of 22 flights</v>
      </c>
      <c r="E7" s="18"/>
      <c r="F7" s="18" t="str">
        <f aca="false">SUM(Checks!$AJ$5:$AJ$748)&amp;" of "&amp;SUM(Checks!$AI$5:$AI$748)&amp;" checks"</f>
        <v>0 of 724 checks</v>
      </c>
      <c r="G7" s="18"/>
      <c r="H7" s="18" t="s">
        <v>65</v>
      </c>
      <c r="I7" s="18"/>
      <c r="J7" s="18" t="s">
        <v>66</v>
      </c>
      <c r="K7" s="18"/>
      <c r="L7" s="18" t="s">
        <v>67</v>
      </c>
      <c r="M7" s="18"/>
      <c r="N7" s="18" t="s">
        <v>68</v>
      </c>
      <c r="O7" s="18"/>
      <c r="P7" s="18" t="s">
        <v>69</v>
      </c>
      <c r="Q7" s="18"/>
      <c r="R7" s="18"/>
    </row>
    <row r="8" customFormat="false" ht="7.5" hidden="false" customHeight="true" outlineLevel="0" collapsed="false"/>
    <row r="9" customFormat="false" ht="21.75" hidden="false" customHeight="true" outlineLevel="0" collapsed="false">
      <c r="B9" s="14" t="s">
        <v>70</v>
      </c>
      <c r="C9" s="14"/>
      <c r="D9" s="14"/>
      <c r="E9" s="14"/>
      <c r="F9" s="14"/>
      <c r="G9" s="14"/>
      <c r="H9" s="14"/>
      <c r="I9" s="14"/>
      <c r="J9" s="14"/>
      <c r="K9" s="14"/>
      <c r="L9" s="14"/>
      <c r="M9" s="14"/>
      <c r="N9" s="14"/>
      <c r="O9" s="14"/>
      <c r="P9" s="14"/>
      <c r="Q9" s="14"/>
      <c r="R9" s="14"/>
    </row>
    <row r="10" customFormat="false" ht="39.75" hidden="false" customHeight="true" outlineLevel="0" collapsed="false">
      <c r="B10" s="19" t="s">
        <v>71</v>
      </c>
      <c r="C10" s="19"/>
      <c r="D10" s="19" t="s">
        <v>72</v>
      </c>
      <c r="E10" s="19"/>
      <c r="F10" s="19" t="s">
        <v>73</v>
      </c>
      <c r="G10" s="19"/>
      <c r="H10" s="19" t="s">
        <v>74</v>
      </c>
      <c r="I10" s="19" t="s">
        <v>75</v>
      </c>
      <c r="J10" s="19" t="s">
        <v>76</v>
      </c>
      <c r="K10" s="19"/>
      <c r="L10" s="19" t="s">
        <v>77</v>
      </c>
      <c r="M10" s="19"/>
      <c r="N10" s="19" t="s">
        <v>78</v>
      </c>
      <c r="O10" s="19"/>
      <c r="P10" s="19"/>
      <c r="Q10" s="19"/>
      <c r="R10" s="19"/>
    </row>
    <row r="11" customFormat="false" ht="18" hidden="false" customHeight="true" outlineLevel="0" collapsed="false">
      <c r="B11" s="20" t="s">
        <v>79</v>
      </c>
      <c r="C11" s="20"/>
      <c r="D11" s="21" t="n">
        <f aca="false">SUMIFS(Checks!$AI$5:$AI$748,Checks!$G$5:$G$748,"T-7D")</f>
        <v>184</v>
      </c>
      <c r="E11" s="21"/>
      <c r="F11" s="21" t="n">
        <f aca="false">SUMIFS(Checks!$AJ$5:$AJ$748,Checks!$G$5:$G$748,"T-7D")</f>
        <v>0</v>
      </c>
      <c r="G11" s="21"/>
      <c r="H11" s="21" t="n">
        <f aca="false">COUNTIFS(Checks!$G$5:$G$748,"T-7D",Checks!$AH$5:$AH$748,"N/A – JUSTIFIED*")+COUNTIFS(Checks!$G$5:$G$748,"T-7D",Checks!$AH$5:$AH$748,"N/A – RULE*")</f>
        <v>20</v>
      </c>
      <c r="I11" s="21" t="n">
        <f aca="false">D11-F11</f>
        <v>184</v>
      </c>
      <c r="J11" s="21" t="n">
        <f aca="false">SUMIFS(Checks!$AK$5:$AK$748,Checks!$G$5:$G$748,"T-7D")</f>
        <v>0</v>
      </c>
      <c r="K11" s="21"/>
      <c r="L11" s="22" t="n">
        <f aca="false">IF(D11=0,"n/a",F11/D11)</f>
        <v>0</v>
      </c>
      <c r="M11" s="22"/>
      <c r="N11" s="23" t="s">
        <v>80</v>
      </c>
      <c r="O11" s="23"/>
      <c r="P11" s="23"/>
      <c r="Q11" s="23"/>
      <c r="R11" s="23"/>
    </row>
    <row r="12" customFormat="false" ht="18" hidden="false" customHeight="true" outlineLevel="0" collapsed="false">
      <c r="B12" s="20" t="s">
        <v>81</v>
      </c>
      <c r="C12" s="20"/>
      <c r="D12" s="21" t="n">
        <f aca="false">SUMIFS(Checks!$AI$5:$AI$748,Checks!$G$5:$G$748,"T-24H")</f>
        <v>22</v>
      </c>
      <c r="E12" s="21"/>
      <c r="F12" s="21" t="n">
        <f aca="false">SUMIFS(Checks!$AJ$5:$AJ$748,Checks!$G$5:$G$748,"T-24H")</f>
        <v>0</v>
      </c>
      <c r="G12" s="21"/>
      <c r="H12" s="21" t="n">
        <f aca="false">COUNTIFS(Checks!$G$5:$G$748,"T-24H",Checks!$AH$5:$AH$748,"N/A – JUSTIFIED*")+COUNTIFS(Checks!$G$5:$G$748,"T-24H",Checks!$AH$5:$AH$748,"N/A – RULE*")</f>
        <v>0</v>
      </c>
      <c r="I12" s="21" t="n">
        <f aca="false">D12-F12</f>
        <v>22</v>
      </c>
      <c r="J12" s="21" t="n">
        <f aca="false">SUMIFS(Checks!$AK$5:$AK$748,Checks!$G$5:$G$748,"T-24H")</f>
        <v>0</v>
      </c>
      <c r="K12" s="21"/>
      <c r="L12" s="22" t="n">
        <f aca="false">IF(D12=0,"n/a",F12/D12)</f>
        <v>0</v>
      </c>
      <c r="M12" s="22"/>
      <c r="N12" s="23" t="s">
        <v>82</v>
      </c>
      <c r="O12" s="23"/>
      <c r="P12" s="23"/>
      <c r="Q12" s="23"/>
      <c r="R12" s="23"/>
    </row>
    <row r="13" customFormat="false" ht="18" hidden="false" customHeight="true" outlineLevel="0" collapsed="false">
      <c r="B13" s="20" t="s">
        <v>83</v>
      </c>
      <c r="C13" s="20"/>
      <c r="D13" s="21" t="n">
        <f aca="false">SUMIFS(Checks!$AI$5:$AI$748,Checks!$G$5:$G$748,"T-12H PREP")</f>
        <v>311</v>
      </c>
      <c r="E13" s="21"/>
      <c r="F13" s="21" t="n">
        <f aca="false">SUMIFS(Checks!$AJ$5:$AJ$748,Checks!$G$5:$G$748,"T-12H PREP")</f>
        <v>0</v>
      </c>
      <c r="G13" s="21"/>
      <c r="H13" s="21" t="n">
        <f aca="false">COUNTIFS(Checks!$G$5:$G$748,"T-12H PREP",Checks!$AH$5:$AH$748,"N/A – JUSTIFIED*")+COUNTIFS(Checks!$G$5:$G$748,"T-12H PREP",Checks!$AH$5:$AH$748,"N/A – RULE*")</f>
        <v>0</v>
      </c>
      <c r="I13" s="21" t="n">
        <f aca="false">D13-F13</f>
        <v>311</v>
      </c>
      <c r="J13" s="21" t="n">
        <f aca="false">SUMIFS(Checks!$AK$5:$AK$748,Checks!$G$5:$G$748,"T-12H PREP")</f>
        <v>0</v>
      </c>
      <c r="K13" s="21"/>
      <c r="L13" s="22" t="n">
        <f aca="false">IF(D13=0,"n/a",F13/D13)</f>
        <v>0</v>
      </c>
      <c r="M13" s="22"/>
      <c r="N13" s="23" t="s">
        <v>84</v>
      </c>
      <c r="O13" s="23"/>
      <c r="P13" s="23"/>
      <c r="Q13" s="23"/>
      <c r="R13" s="23"/>
    </row>
    <row r="14" customFormat="false" ht="18" hidden="false" customHeight="true" outlineLevel="0" collapsed="false">
      <c r="B14" s="20" t="s">
        <v>85</v>
      </c>
      <c r="C14" s="20"/>
      <c r="D14" s="21" t="n">
        <f aca="false">SUMIFS(Checks!$AI$5:$AI$748,Checks!$G$5:$G$748,"UPLIFT")</f>
        <v>207</v>
      </c>
      <c r="E14" s="21"/>
      <c r="F14" s="21" t="n">
        <f aca="false">SUMIFS(Checks!$AJ$5:$AJ$748,Checks!$G$5:$G$748,"UPLIFT")</f>
        <v>0</v>
      </c>
      <c r="G14" s="21"/>
      <c r="H14" s="21" t="n">
        <f aca="false">COUNTIFS(Checks!$G$5:$G$748,"UPLIFT",Checks!$AH$5:$AH$748,"N/A – JUSTIFIED*")+COUNTIFS(Checks!$G$5:$G$748,"UPLIFT",Checks!$AH$5:$AH$748,"N/A – RULE*")</f>
        <v>0</v>
      </c>
      <c r="I14" s="21" t="n">
        <f aca="false">D14-F14</f>
        <v>207</v>
      </c>
      <c r="J14" s="21" t="n">
        <f aca="false">SUMIFS(Checks!$AK$5:$AK$748,Checks!$G$5:$G$748,"UPLIFT")</f>
        <v>0</v>
      </c>
      <c r="K14" s="21"/>
      <c r="L14" s="22" t="n">
        <f aca="false">IF(D14=0,"n/a",F14/D14)</f>
        <v>0</v>
      </c>
      <c r="M14" s="22"/>
      <c r="N14" s="23" t="s">
        <v>86</v>
      </c>
      <c r="O14" s="23"/>
      <c r="P14" s="23"/>
      <c r="Q14" s="23"/>
      <c r="R14" s="23"/>
    </row>
    <row r="15" customFormat="false" ht="18" hidden="false" customHeight="true" outlineLevel="0" collapsed="false">
      <c r="B15" s="24" t="s">
        <v>87</v>
      </c>
      <c r="C15" s="24"/>
      <c r="D15" s="25" t="n">
        <f aca="false">SUM(D11:D14)</f>
        <v>724</v>
      </c>
      <c r="E15" s="25"/>
      <c r="F15" s="25" t="n">
        <f aca="false">SUM(F11:F14)</f>
        <v>0</v>
      </c>
      <c r="G15" s="25"/>
      <c r="H15" s="25" t="n">
        <f aca="false">SUM(H11:H14)</f>
        <v>20</v>
      </c>
      <c r="I15" s="25" t="n">
        <f aca="false">SUM(I11:I14)</f>
        <v>724</v>
      </c>
      <c r="J15" s="25" t="n">
        <f aca="false">SUM(J11:J14)</f>
        <v>0</v>
      </c>
      <c r="K15" s="25"/>
      <c r="L15" s="26" t="n">
        <f aca="false">IF(D15=0,"n/a",F15/D15)</f>
        <v>0</v>
      </c>
      <c r="M15" s="26"/>
      <c r="N15" s="27" t="s">
        <v>88</v>
      </c>
      <c r="O15" s="27"/>
      <c r="P15" s="27"/>
      <c r="Q15" s="27"/>
      <c r="R15" s="27"/>
    </row>
    <row r="16" customFormat="false" ht="7.5" hidden="false" customHeight="true" outlineLevel="0" collapsed="false"/>
    <row r="17" customFormat="false" ht="21.75" hidden="false" customHeight="true" outlineLevel="0" collapsed="false">
      <c r="B17" s="14" t="s">
        <v>89</v>
      </c>
      <c r="C17" s="14"/>
      <c r="D17" s="14"/>
      <c r="E17" s="14"/>
      <c r="F17" s="14"/>
      <c r="G17" s="14"/>
      <c r="H17" s="14"/>
      <c r="I17" s="14"/>
      <c r="J17" s="14"/>
      <c r="K17" s="14"/>
      <c r="L17" s="14"/>
      <c r="M17" s="14"/>
      <c r="N17" s="14"/>
      <c r="O17" s="14"/>
      <c r="P17" s="14"/>
      <c r="Q17" s="14"/>
      <c r="R17" s="14"/>
    </row>
    <row r="18" customFormat="false" ht="15.75" hidden="false" customHeight="true" outlineLevel="0" collapsed="false">
      <c r="B18" s="28" t="s">
        <v>90</v>
      </c>
      <c r="C18" s="28"/>
      <c r="D18" s="28"/>
      <c r="E18" s="29" t="s">
        <v>91</v>
      </c>
      <c r="F18" s="29"/>
      <c r="G18" s="29"/>
      <c r="H18" s="29"/>
      <c r="I18" s="29"/>
      <c r="J18" s="29"/>
      <c r="K18" s="29"/>
      <c r="L18" s="29"/>
      <c r="M18" s="29"/>
      <c r="N18" s="29"/>
      <c r="O18" s="29"/>
      <c r="P18" s="29"/>
      <c r="Q18" s="29"/>
      <c r="R18" s="29"/>
    </row>
    <row r="19" customFormat="false" ht="27.75" hidden="false" customHeight="true" outlineLevel="0" collapsed="false">
      <c r="B19" s="28" t="s">
        <v>92</v>
      </c>
      <c r="C19" s="28"/>
      <c r="D19" s="28"/>
      <c r="E19" s="29" t="s">
        <v>93</v>
      </c>
      <c r="F19" s="29"/>
      <c r="G19" s="29"/>
      <c r="H19" s="29"/>
      <c r="I19" s="29"/>
      <c r="J19" s="29"/>
      <c r="K19" s="29"/>
      <c r="L19" s="29"/>
      <c r="M19" s="29"/>
      <c r="N19" s="29"/>
      <c r="O19" s="29"/>
      <c r="P19" s="29"/>
      <c r="Q19" s="29"/>
      <c r="R19" s="29"/>
    </row>
    <row r="20" customFormat="false" ht="51.75" hidden="false" customHeight="true" outlineLevel="0" collapsed="false">
      <c r="B20" s="28" t="s">
        <v>73</v>
      </c>
      <c r="C20" s="28"/>
      <c r="D20" s="28"/>
      <c r="E20" s="29" t="s">
        <v>94</v>
      </c>
      <c r="F20" s="29"/>
      <c r="G20" s="29"/>
      <c r="H20" s="29"/>
      <c r="I20" s="29"/>
      <c r="J20" s="29"/>
      <c r="K20" s="29"/>
      <c r="L20" s="29"/>
      <c r="M20" s="29"/>
      <c r="N20" s="29"/>
      <c r="O20" s="29"/>
      <c r="P20" s="29"/>
      <c r="Q20" s="29"/>
      <c r="R20" s="29"/>
    </row>
    <row r="21" customFormat="false" ht="27.75" hidden="false" customHeight="true" outlineLevel="0" collapsed="false">
      <c r="B21" s="28" t="s">
        <v>95</v>
      </c>
      <c r="C21" s="28"/>
      <c r="D21" s="28"/>
      <c r="E21" s="29" t="s">
        <v>96</v>
      </c>
      <c r="F21" s="29"/>
      <c r="G21" s="29"/>
      <c r="H21" s="29"/>
      <c r="I21" s="29"/>
      <c r="J21" s="29"/>
      <c r="K21" s="29"/>
      <c r="L21" s="29"/>
      <c r="M21" s="29"/>
      <c r="N21" s="29"/>
      <c r="O21" s="29"/>
      <c r="P21" s="29"/>
      <c r="Q21" s="29"/>
      <c r="R21" s="29"/>
    </row>
    <row r="22" customFormat="false" ht="39.75" hidden="false" customHeight="true" outlineLevel="0" collapsed="false">
      <c r="B22" s="28" t="s">
        <v>97</v>
      </c>
      <c r="C22" s="28"/>
      <c r="D22" s="28"/>
      <c r="E22" s="29" t="s">
        <v>98</v>
      </c>
      <c r="F22" s="29"/>
      <c r="G22" s="29"/>
      <c r="H22" s="29"/>
      <c r="I22" s="29"/>
      <c r="J22" s="29"/>
      <c r="K22" s="29"/>
      <c r="L22" s="29"/>
      <c r="M22" s="29"/>
      <c r="N22" s="29"/>
      <c r="O22" s="29"/>
      <c r="P22" s="29"/>
      <c r="Q22" s="29"/>
      <c r="R22" s="29"/>
    </row>
    <row r="23" customFormat="false" ht="27.75" hidden="false" customHeight="true" outlineLevel="0" collapsed="false">
      <c r="B23" s="28" t="s">
        <v>99</v>
      </c>
      <c r="C23" s="28"/>
      <c r="D23" s="28"/>
      <c r="E23" s="29" t="s">
        <v>100</v>
      </c>
      <c r="F23" s="29"/>
      <c r="G23" s="29"/>
      <c r="H23" s="29"/>
      <c r="I23" s="29"/>
      <c r="J23" s="29"/>
      <c r="K23" s="29"/>
      <c r="L23" s="29"/>
      <c r="M23" s="29"/>
      <c r="N23" s="29"/>
      <c r="O23" s="29"/>
      <c r="P23" s="29"/>
      <c r="Q23" s="29"/>
      <c r="R23" s="29"/>
    </row>
    <row r="24" customFormat="false" ht="27.75" hidden="false" customHeight="true" outlineLevel="0" collapsed="false">
      <c r="B24" s="28" t="s">
        <v>101</v>
      </c>
      <c r="C24" s="28"/>
      <c r="D24" s="28"/>
      <c r="E24" s="29" t="s">
        <v>102</v>
      </c>
      <c r="F24" s="29"/>
      <c r="G24" s="29"/>
      <c r="H24" s="29"/>
      <c r="I24" s="29"/>
      <c r="J24" s="29"/>
      <c r="K24" s="29"/>
      <c r="L24" s="29"/>
      <c r="M24" s="29"/>
      <c r="N24" s="29"/>
      <c r="O24" s="29"/>
      <c r="P24" s="29"/>
      <c r="Q24" s="29"/>
      <c r="R24" s="29"/>
    </row>
    <row r="26" customFormat="false" ht="21.75" hidden="false" customHeight="true" outlineLevel="0" collapsed="false">
      <c r="B26" s="14" t="s">
        <v>103</v>
      </c>
      <c r="C26" s="14"/>
      <c r="D26" s="14"/>
      <c r="E26" s="14"/>
      <c r="F26" s="14"/>
      <c r="G26" s="14"/>
      <c r="H26" s="14"/>
      <c r="I26" s="14"/>
      <c r="J26" s="14"/>
      <c r="K26" s="14"/>
      <c r="L26" s="30" t="str">
        <f aca="false">"As of "&amp;TEXT(AsOfUTC+8/24,"dd-mmm-yy hh:mm")&amp;" MYT"</f>
        <v>As of 29-Sep-26 08:26 MYT</v>
      </c>
      <c r="M26" s="30"/>
      <c r="N26" s="30"/>
      <c r="O26" s="30"/>
      <c r="P26" s="30"/>
      <c r="Q26" s="30"/>
      <c r="R26" s="30"/>
    </row>
    <row r="27" customFormat="false" ht="27.75" hidden="false" customHeight="true" outlineLevel="0" collapsed="false">
      <c r="B27" s="19" t="s">
        <v>104</v>
      </c>
      <c r="C27" s="19" t="s">
        <v>105</v>
      </c>
      <c r="D27" s="19" t="s">
        <v>106</v>
      </c>
      <c r="E27" s="19" t="s">
        <v>107</v>
      </c>
      <c r="F27" s="19" t="s">
        <v>108</v>
      </c>
      <c r="G27" s="19" t="s">
        <v>109</v>
      </c>
      <c r="H27" s="19" t="s">
        <v>110</v>
      </c>
      <c r="I27" s="19" t="s">
        <v>79</v>
      </c>
      <c r="J27" s="19" t="s">
        <v>81</v>
      </c>
      <c r="K27" s="19" t="s">
        <v>83</v>
      </c>
      <c r="L27" s="19" t="s">
        <v>85</v>
      </c>
      <c r="M27" s="19" t="s">
        <v>111</v>
      </c>
      <c r="N27" s="19" t="s">
        <v>112</v>
      </c>
      <c r="O27" s="19" t="s">
        <v>113</v>
      </c>
      <c r="P27" s="19" t="s">
        <v>114</v>
      </c>
      <c r="Q27" s="19" t="s">
        <v>115</v>
      </c>
      <c r="R27" s="19" t="s">
        <v>116</v>
      </c>
    </row>
    <row r="28" customFormat="false" ht="18.75" hidden="false" customHeight="true" outlineLevel="0" collapsed="false">
      <c r="B28" s="21" t="n">
        <f aca="false">IF(Flights!$B$5="","",Flights!$B$5)</f>
        <v>1</v>
      </c>
      <c r="C28" s="31" t="str">
        <f aca="false">IF(Flights!$F$5="","",Flights!$F$5)</f>
        <v>MH0001</v>
      </c>
      <c r="D28" s="32" t="n">
        <f aca="false">IF(Flights!$D$5="","",Flights!$D$5)</f>
        <v>46303</v>
      </c>
      <c r="E28" s="33" t="str">
        <f aca="false">IF(Flights!$G$5="","",Flights!$G$5&amp;"-"&amp;Flights!$H$5)</f>
        <v>LHR-KUL</v>
      </c>
      <c r="F28" s="33" t="str">
        <f aca="false">IF(Flights!$K$5="","",Flights!$K$5)</f>
        <v>EY</v>
      </c>
      <c r="G28" s="33" t="str">
        <f aca="false">IF(Flights!$L$5="","",Flights!$L$5)</f>
        <v>A350</v>
      </c>
      <c r="H28" s="34" t="n">
        <f aca="false">IF(Flights!$I$5="","",Flights!$I$5)</f>
        <v>46303.8993055556</v>
      </c>
      <c r="I28" s="35" t="n">
        <f aca="false">IF(Flights!$AJ$5="","",Flights!$AJ$5)</f>
        <v>0</v>
      </c>
      <c r="J28" s="35" t="n">
        <f aca="false">IF(Flights!$AK$5="","",Flights!$AK$5)</f>
        <v>0</v>
      </c>
      <c r="K28" s="35" t="n">
        <f aca="false">IF(Flights!$AL$5="","",Flights!$AL$5)</f>
        <v>0</v>
      </c>
      <c r="L28" s="35" t="n">
        <f aca="false">IF(Flights!$AM$5="","",Flights!$AM$5)</f>
        <v>0</v>
      </c>
      <c r="M28" s="35" t="n">
        <f aca="false">IF(Flights!$AN$5="","",Flights!$AN$5)</f>
        <v>0</v>
      </c>
      <c r="N28" s="21" t="n">
        <f aca="false">IF(Flights!$AP$5="","",Flights!$AP$5)</f>
        <v>0</v>
      </c>
      <c r="O28" s="21" t="n">
        <f aca="false">IF(Flights!$AQ$5="","",Flights!$AQ$5)</f>
        <v>0</v>
      </c>
      <c r="P28" s="21" t="n">
        <f aca="false">IF(Flights!$AR$5="","",Flights!$AR$5)</f>
        <v>2</v>
      </c>
      <c r="Q28" s="21" t="n">
        <f aca="false">IF(Flights!$AS$5="","",Flights!$AS$5)</f>
        <v>1</v>
      </c>
      <c r="R28" s="36" t="str">
        <f aca="false">IF(Flights!$AT$5="","",Flights!$AT$5)</f>
        <v>NOT READY – DOCUMENTS</v>
      </c>
    </row>
    <row r="29" customFormat="false" ht="18.75" hidden="false" customHeight="true" outlineLevel="0" collapsed="false">
      <c r="B29" s="37" t="n">
        <f aca="false">IF(Flights!$B$6="","",Flights!$B$6)</f>
        <v>1</v>
      </c>
      <c r="C29" s="38" t="str">
        <f aca="false">IF(Flights!$F$6="","",Flights!$F$6)</f>
        <v>MH0727</v>
      </c>
      <c r="D29" s="39" t="n">
        <f aca="false">IF(Flights!$D$6="","",Flights!$D$6)</f>
        <v>46304</v>
      </c>
      <c r="E29" s="40" t="str">
        <f aca="false">IF(Flights!$G$6="","",Flights!$G$6&amp;"-"&amp;Flights!$H$6)</f>
        <v>KUL-CGK</v>
      </c>
      <c r="F29" s="40" t="str">
        <f aca="false">IF(Flights!$K$6="","",Flights!$K$6)</f>
        <v>BC</v>
      </c>
      <c r="G29" s="40" t="str">
        <f aca="false">IF(Flights!$L$6="","",Flights!$L$6)</f>
        <v>B738MAX</v>
      </c>
      <c r="H29" s="41" t="n">
        <f aca="false">IF(Flights!$I$6="","",Flights!$I$6)</f>
        <v>46304.9097222222</v>
      </c>
      <c r="I29" s="42" t="n">
        <f aca="false">IF(Flights!$AJ$6="","",Flights!$AJ$6)</f>
        <v>0</v>
      </c>
      <c r="J29" s="42" t="n">
        <f aca="false">IF(Flights!$AK$6="","",Flights!$AK$6)</f>
        <v>0</v>
      </c>
      <c r="K29" s="42" t="n">
        <f aca="false">IF(Flights!$AL$6="","",Flights!$AL$6)</f>
        <v>0</v>
      </c>
      <c r="L29" s="42" t="n">
        <f aca="false">IF(Flights!$AM$6="","",Flights!$AM$6)</f>
        <v>0</v>
      </c>
      <c r="M29" s="42" t="n">
        <f aca="false">IF(Flights!$AN$6="","",Flights!$AN$6)</f>
        <v>0</v>
      </c>
      <c r="N29" s="37" t="n">
        <f aca="false">IF(Flights!$AP$6="","",Flights!$AP$6)</f>
        <v>0</v>
      </c>
      <c r="O29" s="37" t="n">
        <f aca="false">IF(Flights!$AQ$6="","",Flights!$AQ$6)</f>
        <v>0</v>
      </c>
      <c r="P29" s="37" t="n">
        <f aca="false">IF(Flights!$AR$6="","",Flights!$AR$6)</f>
        <v>2</v>
      </c>
      <c r="Q29" s="37" t="n">
        <f aca="false">IF(Flights!$AS$6="","",Flights!$AS$6)</f>
        <v>2</v>
      </c>
      <c r="R29" s="43" t="str">
        <f aca="false">IF(Flights!$AT$6="","",Flights!$AT$6)</f>
        <v>NOT READY – DOCUMENTS</v>
      </c>
    </row>
    <row r="30" customFormat="false" ht="18.75" hidden="false" customHeight="true" outlineLevel="0" collapsed="false">
      <c r="B30" s="21" t="n">
        <f aca="false">IF(Flights!$B$7="","",Flights!$B$7)</f>
        <v>1</v>
      </c>
      <c r="C30" s="31" t="str">
        <f aca="false">IF(Flights!$F$7="","",Flights!$F$7)</f>
        <v>MH0720</v>
      </c>
      <c r="D30" s="32" t="n">
        <f aca="false">IF(Flights!$D$7="","",Flights!$D$7)</f>
        <v>46305</v>
      </c>
      <c r="E30" s="33" t="str">
        <f aca="false">IF(Flights!$G$7="","",Flights!$G$7&amp;"-"&amp;Flights!$H$7)</f>
        <v>CGK-KUL</v>
      </c>
      <c r="F30" s="33" t="str">
        <f aca="false">IF(Flights!$K$7="","",Flights!$K$7)</f>
        <v>EY</v>
      </c>
      <c r="G30" s="33" t="str">
        <f aca="false">IF(Flights!$L$7="","",Flights!$L$7)</f>
        <v>A333</v>
      </c>
      <c r="H30" s="34" t="n">
        <f aca="false">IF(Flights!$I$7="","",Flights!$I$7)</f>
        <v>46305.6701388889</v>
      </c>
      <c r="I30" s="35" t="n">
        <f aca="false">IF(Flights!$AJ$7="","",Flights!$AJ$7)</f>
        <v>0</v>
      </c>
      <c r="J30" s="35" t="n">
        <f aca="false">IF(Flights!$AK$7="","",Flights!$AK$7)</f>
        <v>0</v>
      </c>
      <c r="K30" s="35" t="n">
        <f aca="false">IF(Flights!$AL$7="","",Flights!$AL$7)</f>
        <v>0</v>
      </c>
      <c r="L30" s="35" t="n">
        <f aca="false">IF(Flights!$AM$7="","",Flights!$AM$7)</f>
        <v>0</v>
      </c>
      <c r="M30" s="35" t="n">
        <f aca="false">IF(Flights!$AN$7="","",Flights!$AN$7)</f>
        <v>0</v>
      </c>
      <c r="N30" s="21" t="n">
        <f aca="false">IF(Flights!$AP$7="","",Flights!$AP$7)</f>
        <v>0</v>
      </c>
      <c r="O30" s="21" t="n">
        <f aca="false">IF(Flights!$AQ$7="","",Flights!$AQ$7)</f>
        <v>0</v>
      </c>
      <c r="P30" s="21" t="n">
        <f aca="false">IF(Flights!$AR$7="","",Flights!$AR$7)</f>
        <v>2</v>
      </c>
      <c r="Q30" s="21" t="n">
        <f aca="false">IF(Flights!$AS$7="","",Flights!$AS$7)</f>
        <v>0</v>
      </c>
      <c r="R30" s="36" t="str">
        <f aca="false">IF(Flights!$AT$7="","",Flights!$AT$7)</f>
        <v>NOT READY – DOCUMENTS</v>
      </c>
    </row>
    <row r="31" customFormat="false" ht="18.75" hidden="false" customHeight="true" outlineLevel="0" collapsed="false">
      <c r="B31" s="37" t="n">
        <f aca="false">IF(Flights!$B$8="","",Flights!$B$8)</f>
        <v>1</v>
      </c>
      <c r="C31" s="38" t="str">
        <f aca="false">IF(Flights!$F$8="","",Flights!$F$8)</f>
        <v>MH0088</v>
      </c>
      <c r="D31" s="39" t="n">
        <f aca="false">IF(Flights!$D$8="","",Flights!$D$8)</f>
        <v>46305</v>
      </c>
      <c r="E31" s="40" t="str">
        <f aca="false">IF(Flights!$G$8="","",Flights!$G$8&amp;"-"&amp;Flights!$H$8)</f>
        <v>KUL-NRT</v>
      </c>
      <c r="F31" s="40" t="str">
        <f aca="false">IF(Flights!$K$8="","",Flights!$K$8)</f>
        <v>BC</v>
      </c>
      <c r="G31" s="40" t="str">
        <f aca="false">IF(Flights!$L$8="","",Flights!$L$8)</f>
        <v>A350</v>
      </c>
      <c r="H31" s="41" t="n">
        <f aca="false">IF(Flights!$I$8="","",Flights!$I$8)</f>
        <v>46305.9791666667</v>
      </c>
      <c r="I31" s="42" t="n">
        <f aca="false">IF(Flights!$AJ$8="","",Flights!$AJ$8)</f>
        <v>0</v>
      </c>
      <c r="J31" s="42" t="n">
        <f aca="false">IF(Flights!$AK$8="","",Flights!$AK$8)</f>
        <v>0</v>
      </c>
      <c r="K31" s="42" t="n">
        <f aca="false">IF(Flights!$AL$8="","",Flights!$AL$8)</f>
        <v>0</v>
      </c>
      <c r="L31" s="42" t="n">
        <f aca="false">IF(Flights!$AM$8="","",Flights!$AM$8)</f>
        <v>0</v>
      </c>
      <c r="M31" s="42" t="n">
        <f aca="false">IF(Flights!$AN$8="","",Flights!$AN$8)</f>
        <v>0</v>
      </c>
      <c r="N31" s="37" t="n">
        <f aca="false">IF(Flights!$AP$8="","",Flights!$AP$8)</f>
        <v>0</v>
      </c>
      <c r="O31" s="37" t="n">
        <f aca="false">IF(Flights!$AQ$8="","",Flights!$AQ$8)</f>
        <v>0</v>
      </c>
      <c r="P31" s="37" t="n">
        <f aca="false">IF(Flights!$AR$8="","",Flights!$AR$8)</f>
        <v>2</v>
      </c>
      <c r="Q31" s="37" t="n">
        <f aca="false">IF(Flights!$AS$8="","",Flights!$AS$8)</f>
        <v>0</v>
      </c>
      <c r="R31" s="43" t="str">
        <f aca="false">IF(Flights!$AT$8="","",Flights!$AT$8)</f>
        <v>NOT READY – DOCUMENTS</v>
      </c>
    </row>
    <row r="32" customFormat="false" ht="18.75" hidden="false" customHeight="true" outlineLevel="0" collapsed="false">
      <c r="B32" s="21" t="n">
        <f aca="false">IF(Flights!$B$9="","",Flights!$B$9)</f>
        <v>1</v>
      </c>
      <c r="C32" s="31" t="str">
        <f aca="false">IF(Flights!$F$9="","",Flights!$F$9)</f>
        <v>MH0089</v>
      </c>
      <c r="D32" s="32" t="n">
        <f aca="false">IF(Flights!$D$9="","",Flights!$D$9)</f>
        <v>46310</v>
      </c>
      <c r="E32" s="33" t="str">
        <f aca="false">IF(Flights!$G$9="","",Flights!$G$9&amp;"-"&amp;Flights!$H$9)</f>
        <v>NRT-KUL</v>
      </c>
      <c r="F32" s="33" t="str">
        <f aca="false">IF(Flights!$K$9="","",Flights!$K$9)</f>
        <v>EY</v>
      </c>
      <c r="G32" s="33" t="str">
        <f aca="false">IF(Flights!$L$9="","",Flights!$L$9)</f>
        <v>A350</v>
      </c>
      <c r="H32" s="34" t="n">
        <f aca="false">IF(Flights!$I$9="","",Flights!$I$9)</f>
        <v>46310.4201388889</v>
      </c>
      <c r="I32" s="35" t="n">
        <f aca="false">IF(Flights!$AJ$9="","",Flights!$AJ$9)</f>
        <v>0</v>
      </c>
      <c r="J32" s="35" t="n">
        <f aca="false">IF(Flights!$AK$9="","",Flights!$AK$9)</f>
        <v>0</v>
      </c>
      <c r="K32" s="35" t="n">
        <f aca="false">IF(Flights!$AL$9="","",Flights!$AL$9)</f>
        <v>0</v>
      </c>
      <c r="L32" s="35" t="n">
        <f aca="false">IF(Flights!$AM$9="","",Flights!$AM$9)</f>
        <v>0</v>
      </c>
      <c r="M32" s="35" t="n">
        <f aca="false">IF(Flights!$AN$9="","",Flights!$AN$9)</f>
        <v>0</v>
      </c>
      <c r="N32" s="21" t="n">
        <f aca="false">IF(Flights!$AP$9="","",Flights!$AP$9)</f>
        <v>0</v>
      </c>
      <c r="O32" s="21" t="n">
        <f aca="false">IF(Flights!$AQ$9="","",Flights!$AQ$9)</f>
        <v>0</v>
      </c>
      <c r="P32" s="21" t="n">
        <f aca="false">IF(Flights!$AR$9="","",Flights!$AR$9)</f>
        <v>2</v>
      </c>
      <c r="Q32" s="21" t="n">
        <f aca="false">IF(Flights!$AS$9="","",Flights!$AS$9)</f>
        <v>3</v>
      </c>
      <c r="R32" s="36" t="str">
        <f aca="false">IF(Flights!$AT$9="","",Flights!$AT$9)</f>
        <v>NOT READY – DOCUMENTS</v>
      </c>
    </row>
    <row r="33" customFormat="false" ht="18.75" hidden="false" customHeight="true" outlineLevel="0" collapsed="false">
      <c r="B33" s="37" t="n">
        <f aca="false">IF(Flights!$B$10="","",Flights!$B$10)</f>
        <v>1</v>
      </c>
      <c r="C33" s="38" t="str">
        <f aca="false">IF(Flights!$F$10="","",Flights!$F$10)</f>
        <v>MH0002</v>
      </c>
      <c r="D33" s="39" t="n">
        <f aca="false">IF(Flights!$D$10="","",Flights!$D$10)</f>
        <v>46310</v>
      </c>
      <c r="E33" s="40" t="str">
        <f aca="false">IF(Flights!$G$10="","",Flights!$G$10&amp;"-"&amp;Flights!$H$10)</f>
        <v>KUL-LHR</v>
      </c>
      <c r="F33" s="40" t="str">
        <f aca="false">IF(Flights!$K$10="","",Flights!$K$10)</f>
        <v>BC</v>
      </c>
      <c r="G33" s="40" t="str">
        <f aca="false">IF(Flights!$L$10="","",Flights!$L$10)</f>
        <v>A350</v>
      </c>
      <c r="H33" s="41" t="n">
        <f aca="false">IF(Flights!$I$10="","",Flights!$I$10)</f>
        <v>46310.9722222222</v>
      </c>
      <c r="I33" s="42" t="n">
        <f aca="false">IF(Flights!$AJ$10="","",Flights!$AJ$10)</f>
        <v>0</v>
      </c>
      <c r="J33" s="42" t="n">
        <f aca="false">IF(Flights!$AK$10="","",Flights!$AK$10)</f>
        <v>0</v>
      </c>
      <c r="K33" s="42" t="n">
        <f aca="false">IF(Flights!$AL$10="","",Flights!$AL$10)</f>
        <v>0</v>
      </c>
      <c r="L33" s="42" t="n">
        <f aca="false">IF(Flights!$AM$10="","",Flights!$AM$10)</f>
        <v>0</v>
      </c>
      <c r="M33" s="42" t="n">
        <f aca="false">IF(Flights!$AN$10="","",Flights!$AN$10)</f>
        <v>0</v>
      </c>
      <c r="N33" s="37" t="n">
        <f aca="false">IF(Flights!$AP$10="","",Flights!$AP$10)</f>
        <v>0</v>
      </c>
      <c r="O33" s="37" t="n">
        <f aca="false">IF(Flights!$AQ$10="","",Flights!$AQ$10)</f>
        <v>0</v>
      </c>
      <c r="P33" s="37" t="n">
        <f aca="false">IF(Flights!$AR$10="","",Flights!$AR$10)</f>
        <v>2</v>
      </c>
      <c r="Q33" s="37" t="n">
        <f aca="false">IF(Flights!$AS$10="","",Flights!$AS$10)</f>
        <v>1</v>
      </c>
      <c r="R33" s="43" t="str">
        <f aca="false">IF(Flights!$AT$10="","",Flights!$AT$10)</f>
        <v>NOT READY – DOCUMENTS</v>
      </c>
    </row>
    <row r="34" customFormat="false" ht="18.75" hidden="false" customHeight="true" outlineLevel="0" collapsed="false">
      <c r="B34" s="21" t="n">
        <f aca="false">IF(Flights!$B$11="","",Flights!$B$11)</f>
        <v>2</v>
      </c>
      <c r="C34" s="31" t="str">
        <f aca="false">IF(Flights!$F$11="","",Flights!$F$11)</f>
        <v>MH0003</v>
      </c>
      <c r="D34" s="32" t="n">
        <f aca="false">IF(Flights!$D$11="","",Flights!$D$11)</f>
        <v>46304</v>
      </c>
      <c r="E34" s="33" t="str">
        <f aca="false">IF(Flights!$G$11="","",Flights!$G$11&amp;"-"&amp;Flights!$H$11)</f>
        <v>LHR-KUL</v>
      </c>
      <c r="F34" s="33" t="str">
        <f aca="false">IF(Flights!$K$11="","",Flights!$K$11)</f>
        <v>BC</v>
      </c>
      <c r="G34" s="33" t="str">
        <f aca="false">IF(Flights!$L$11="","",Flights!$L$11)</f>
        <v>A350</v>
      </c>
      <c r="H34" s="34" t="n">
        <f aca="false">IF(Flights!$I$11="","",Flights!$I$11)</f>
        <v>46304.4583333333</v>
      </c>
      <c r="I34" s="35" t="n">
        <f aca="false">IF(Flights!$AJ$11="","",Flights!$AJ$11)</f>
        <v>0</v>
      </c>
      <c r="J34" s="35" t="n">
        <f aca="false">IF(Flights!$AK$11="","",Flights!$AK$11)</f>
        <v>0</v>
      </c>
      <c r="K34" s="35" t="n">
        <f aca="false">IF(Flights!$AL$11="","",Flights!$AL$11)</f>
        <v>0</v>
      </c>
      <c r="L34" s="35" t="n">
        <f aca="false">IF(Flights!$AM$11="","",Flights!$AM$11)</f>
        <v>0</v>
      </c>
      <c r="M34" s="35" t="n">
        <f aca="false">IF(Flights!$AN$11="","",Flights!$AN$11)</f>
        <v>0</v>
      </c>
      <c r="N34" s="21" t="n">
        <f aca="false">IF(Flights!$AP$11="","",Flights!$AP$11)</f>
        <v>0</v>
      </c>
      <c r="O34" s="21" t="n">
        <f aca="false">IF(Flights!$AQ$11="","",Flights!$AQ$11)</f>
        <v>0</v>
      </c>
      <c r="P34" s="21" t="n">
        <f aca="false">IF(Flights!$AR$11="","",Flights!$AR$11)</f>
        <v>2</v>
      </c>
      <c r="Q34" s="21" t="n">
        <f aca="false">IF(Flights!$AS$11="","",Flights!$AS$11)</f>
        <v>2</v>
      </c>
      <c r="R34" s="36" t="str">
        <f aca="false">IF(Flights!$AT$11="","",Flights!$AT$11)</f>
        <v>NOT READY – DOCUMENTS</v>
      </c>
    </row>
    <row r="35" customFormat="false" ht="18.75" hidden="false" customHeight="true" outlineLevel="0" collapsed="false">
      <c r="B35" s="37" t="n">
        <f aca="false">IF(Flights!$B$12="","",Flights!$B$12)</f>
        <v>2</v>
      </c>
      <c r="C35" s="38" t="str">
        <f aca="false">IF(Flights!$F$12="","",Flights!$F$12)</f>
        <v>MH0752</v>
      </c>
      <c r="D35" s="39" t="n">
        <f aca="false">IF(Flights!$D$12="","",Flights!$D$12)</f>
        <v>46305</v>
      </c>
      <c r="E35" s="40" t="str">
        <f aca="false">IF(Flights!$G$12="","",Flights!$G$12&amp;"-"&amp;Flights!$H$12)</f>
        <v>KUL-HAN</v>
      </c>
      <c r="F35" s="40" t="str">
        <f aca="false">IF(Flights!$K$12="","",Flights!$K$12)</f>
        <v>EY</v>
      </c>
      <c r="G35" s="40" t="str">
        <f aca="false">IF(Flights!$L$12="","",Flights!$L$12)</f>
        <v>B738MAX</v>
      </c>
      <c r="H35" s="41" t="n">
        <f aca="false">IF(Flights!$I$12="","",Flights!$I$12)</f>
        <v>46305.3993055556</v>
      </c>
      <c r="I35" s="42" t="n">
        <f aca="false">IF(Flights!$AJ$12="","",Flights!$AJ$12)</f>
        <v>0</v>
      </c>
      <c r="J35" s="42" t="n">
        <f aca="false">IF(Flights!$AK$12="","",Flights!$AK$12)</f>
        <v>0</v>
      </c>
      <c r="K35" s="42" t="n">
        <f aca="false">IF(Flights!$AL$12="","",Flights!$AL$12)</f>
        <v>0</v>
      </c>
      <c r="L35" s="42" t="n">
        <f aca="false">IF(Flights!$AM$12="","",Flights!$AM$12)</f>
        <v>0</v>
      </c>
      <c r="M35" s="42" t="n">
        <f aca="false">IF(Flights!$AN$12="","",Flights!$AN$12)</f>
        <v>0</v>
      </c>
      <c r="N35" s="37" t="n">
        <f aca="false">IF(Flights!$AP$12="","",Flights!$AP$12)</f>
        <v>0</v>
      </c>
      <c r="O35" s="37" t="n">
        <f aca="false">IF(Flights!$AQ$12="","",Flights!$AQ$12)</f>
        <v>0</v>
      </c>
      <c r="P35" s="37" t="n">
        <f aca="false">IF(Flights!$AR$12="","",Flights!$AR$12)</f>
        <v>2</v>
      </c>
      <c r="Q35" s="37" t="n">
        <f aca="false">IF(Flights!$AS$12="","",Flights!$AS$12)</f>
        <v>0</v>
      </c>
      <c r="R35" s="43" t="str">
        <f aca="false">IF(Flights!$AT$12="","",Flights!$AT$12)</f>
        <v>NOT READY – DOCUMENTS</v>
      </c>
    </row>
    <row r="36" customFormat="false" ht="18.75" hidden="false" customHeight="true" outlineLevel="0" collapsed="false">
      <c r="B36" s="21" t="n">
        <f aca="false">IF(Flights!$B$13="","",Flights!$B$13)</f>
        <v>2</v>
      </c>
      <c r="C36" s="31" t="str">
        <f aca="false">IF(Flights!$F$13="","",Flights!$F$13)</f>
        <v>MH0753</v>
      </c>
      <c r="D36" s="32" t="n">
        <f aca="false">IF(Flights!$D$13="","",Flights!$D$13)</f>
        <v>46306</v>
      </c>
      <c r="E36" s="33" t="str">
        <f aca="false">IF(Flights!$G$13="","",Flights!$G$13&amp;"-"&amp;Flights!$H$13)</f>
        <v>HAN-KUL</v>
      </c>
      <c r="F36" s="33" t="str">
        <f aca="false">IF(Flights!$K$13="","",Flights!$K$13)</f>
        <v>BC</v>
      </c>
      <c r="G36" s="33" t="str">
        <f aca="false">IF(Flights!$L$13="","",Flights!$L$13)</f>
        <v>B738MAX</v>
      </c>
      <c r="H36" s="34" t="n">
        <f aca="false">IF(Flights!$I$13="","",Flights!$I$13)</f>
        <v>46306.5451388889</v>
      </c>
      <c r="I36" s="35" t="n">
        <f aca="false">IF(Flights!$AJ$13="","",Flights!$AJ$13)</f>
        <v>0</v>
      </c>
      <c r="J36" s="35" t="n">
        <f aca="false">IF(Flights!$AK$13="","",Flights!$AK$13)</f>
        <v>0</v>
      </c>
      <c r="K36" s="35" t="n">
        <f aca="false">IF(Flights!$AL$13="","",Flights!$AL$13)</f>
        <v>0</v>
      </c>
      <c r="L36" s="35" t="n">
        <f aca="false">IF(Flights!$AM$13="","",Flights!$AM$13)</f>
        <v>0</v>
      </c>
      <c r="M36" s="35" t="n">
        <f aca="false">IF(Flights!$AN$13="","",Flights!$AN$13)</f>
        <v>0</v>
      </c>
      <c r="N36" s="21" t="n">
        <f aca="false">IF(Flights!$AP$13="","",Flights!$AP$13)</f>
        <v>0</v>
      </c>
      <c r="O36" s="21" t="n">
        <f aca="false">IF(Flights!$AQ$13="","",Flights!$AQ$13)</f>
        <v>0</v>
      </c>
      <c r="P36" s="21" t="n">
        <f aca="false">IF(Flights!$AR$13="","",Flights!$AR$13)</f>
        <v>2</v>
      </c>
      <c r="Q36" s="21" t="n">
        <f aca="false">IF(Flights!$AS$13="","",Flights!$AS$13)</f>
        <v>2</v>
      </c>
      <c r="R36" s="36" t="str">
        <f aca="false">IF(Flights!$AT$13="","",Flights!$AT$13)</f>
        <v>NOT READY – DOCUMENTS</v>
      </c>
    </row>
    <row r="37" customFormat="false" ht="18.75" hidden="false" customHeight="true" outlineLevel="0" collapsed="false">
      <c r="B37" s="37" t="n">
        <f aca="false">IF(Flights!$B$14="","",Flights!$B$14)</f>
        <v>2</v>
      </c>
      <c r="C37" s="38" t="str">
        <f aca="false">IF(Flights!$F$14="","",Flights!$F$14)</f>
        <v>MH1140</v>
      </c>
      <c r="D37" s="39" t="n">
        <f aca="false">IF(Flights!$D$14="","",Flights!$D$14)</f>
        <v>46307</v>
      </c>
      <c r="E37" s="40" t="str">
        <f aca="false">IF(Flights!$G$14="","",Flights!$G$14&amp;"-"&amp;Flights!$H$14)</f>
        <v>KUL-PEN</v>
      </c>
      <c r="F37" s="40" t="str">
        <f aca="false">IF(Flights!$K$14="","",Flights!$K$14)</f>
        <v>BC</v>
      </c>
      <c r="G37" s="40" t="str">
        <f aca="false">IF(Flights!$L$14="","",Flights!$L$14)</f>
        <v>B738MAX</v>
      </c>
      <c r="H37" s="41" t="n">
        <f aca="false">IF(Flights!$I$14="","",Flights!$I$14)</f>
        <v>46307.4895833333</v>
      </c>
      <c r="I37" s="42" t="n">
        <f aca="false">IF(Flights!$AJ$14="","",Flights!$AJ$14)</f>
        <v>0</v>
      </c>
      <c r="J37" s="42" t="n">
        <f aca="false">IF(Flights!$AK$14="","",Flights!$AK$14)</f>
        <v>0</v>
      </c>
      <c r="K37" s="42" t="n">
        <f aca="false">IF(Flights!$AL$14="","",Flights!$AL$14)</f>
        <v>0</v>
      </c>
      <c r="L37" s="42" t="n">
        <f aca="false">IF(Flights!$AM$14="","",Flights!$AM$14)</f>
        <v>0</v>
      </c>
      <c r="M37" s="42" t="n">
        <f aca="false">IF(Flights!$AN$14="","",Flights!$AN$14)</f>
        <v>0</v>
      </c>
      <c r="N37" s="37" t="n">
        <f aca="false">IF(Flights!$AP$14="","",Flights!$AP$14)</f>
        <v>0</v>
      </c>
      <c r="O37" s="37" t="n">
        <f aca="false">IF(Flights!$AQ$14="","",Flights!$AQ$14)</f>
        <v>0</v>
      </c>
      <c r="P37" s="37" t="n">
        <f aca="false">IF(Flights!$AR$14="","",Flights!$AR$14)</f>
        <v>2</v>
      </c>
      <c r="Q37" s="37" t="n">
        <f aca="false">IF(Flights!$AS$14="","",Flights!$AS$14)</f>
        <v>0</v>
      </c>
      <c r="R37" s="43" t="str">
        <f aca="false">IF(Flights!$AT$14="","",Flights!$AT$14)</f>
        <v>NOT READY – DOCUMENTS</v>
      </c>
    </row>
    <row r="38" customFormat="false" ht="18.75" hidden="false" customHeight="true" outlineLevel="0" collapsed="false">
      <c r="B38" s="21" t="n">
        <f aca="false">IF(Flights!$B$15="","",Flights!$B$15)</f>
        <v>2</v>
      </c>
      <c r="C38" s="31" t="str">
        <f aca="false">IF(Flights!$F$15="","",Flights!$F$15)</f>
        <v>MH1149</v>
      </c>
      <c r="D38" s="32" t="n">
        <f aca="false">IF(Flights!$D$15="","",Flights!$D$15)</f>
        <v>46307</v>
      </c>
      <c r="E38" s="33" t="str">
        <f aca="false">IF(Flights!$G$15="","",Flights!$G$15&amp;"-"&amp;Flights!$H$15)</f>
        <v>PEN-KUL</v>
      </c>
      <c r="F38" s="33" t="str">
        <f aca="false">IF(Flights!$K$15="","",Flights!$K$15)</f>
        <v>EY</v>
      </c>
      <c r="G38" s="33" t="str">
        <f aca="false">IF(Flights!$L$15="","",Flights!$L$15)</f>
        <v>B738MAX</v>
      </c>
      <c r="H38" s="34" t="n">
        <f aca="false">IF(Flights!$I$15="","",Flights!$I$15)</f>
        <v>46307.6597222222</v>
      </c>
      <c r="I38" s="35" t="n">
        <f aca="false">IF(Flights!$AJ$15="","",Flights!$AJ$15)</f>
        <v>0</v>
      </c>
      <c r="J38" s="35" t="n">
        <f aca="false">IF(Flights!$AK$15="","",Flights!$AK$15)</f>
        <v>0</v>
      </c>
      <c r="K38" s="35" t="n">
        <f aca="false">IF(Flights!$AL$15="","",Flights!$AL$15)</f>
        <v>0</v>
      </c>
      <c r="L38" s="35" t="n">
        <f aca="false">IF(Flights!$AM$15="","",Flights!$AM$15)</f>
        <v>0</v>
      </c>
      <c r="M38" s="35" t="n">
        <f aca="false">IF(Flights!$AN$15="","",Flights!$AN$15)</f>
        <v>0</v>
      </c>
      <c r="N38" s="21" t="n">
        <f aca="false">IF(Flights!$AP$15="","",Flights!$AP$15)</f>
        <v>0</v>
      </c>
      <c r="O38" s="21" t="n">
        <f aca="false">IF(Flights!$AQ$15="","",Flights!$AQ$15)</f>
        <v>0</v>
      </c>
      <c r="P38" s="21" t="n">
        <f aca="false">IF(Flights!$AR$15="","",Flights!$AR$15)</f>
        <v>2</v>
      </c>
      <c r="Q38" s="21" t="n">
        <f aca="false">IF(Flights!$AS$15="","",Flights!$AS$15)</f>
        <v>1</v>
      </c>
      <c r="R38" s="36" t="str">
        <f aca="false">IF(Flights!$AT$15="","",Flights!$AT$15)</f>
        <v>NOT READY – DOCUMENTS</v>
      </c>
    </row>
    <row r="39" customFormat="false" ht="18.75" hidden="false" customHeight="true" outlineLevel="0" collapsed="false">
      <c r="B39" s="37" t="n">
        <f aca="false">IF(Flights!$B$16="","",Flights!$B$16)</f>
        <v>2</v>
      </c>
      <c r="C39" s="38" t="str">
        <f aca="false">IF(Flights!$F$16="","",Flights!$F$16)</f>
        <v>MH0139</v>
      </c>
      <c r="D39" s="39" t="n">
        <f aca="false">IF(Flights!$D$16="","",Flights!$D$16)</f>
        <v>46307</v>
      </c>
      <c r="E39" s="40" t="str">
        <f aca="false">IF(Flights!$G$16="","",Flights!$G$16&amp;"-"&amp;Flights!$H$16)</f>
        <v>KUL-ADL</v>
      </c>
      <c r="F39" s="40" t="str">
        <f aca="false">IF(Flights!$K$16="","",Flights!$K$16)</f>
        <v>BC</v>
      </c>
      <c r="G39" s="40" t="str">
        <f aca="false">IF(Flights!$L$16="","",Flights!$L$16)</f>
        <v>A339</v>
      </c>
      <c r="H39" s="41" t="n">
        <f aca="false">IF(Flights!$I$16="","",Flights!$I$16)</f>
        <v>46307.9340277778</v>
      </c>
      <c r="I39" s="42" t="n">
        <f aca="false">IF(Flights!$AJ$16="","",Flights!$AJ$16)</f>
        <v>0</v>
      </c>
      <c r="J39" s="42" t="n">
        <f aca="false">IF(Flights!$AK$16="","",Flights!$AK$16)</f>
        <v>0</v>
      </c>
      <c r="K39" s="42" t="n">
        <f aca="false">IF(Flights!$AL$16="","",Flights!$AL$16)</f>
        <v>0</v>
      </c>
      <c r="L39" s="42" t="n">
        <f aca="false">IF(Flights!$AM$16="","",Flights!$AM$16)</f>
        <v>0</v>
      </c>
      <c r="M39" s="42" t="n">
        <f aca="false">IF(Flights!$AN$16="","",Flights!$AN$16)</f>
        <v>0</v>
      </c>
      <c r="N39" s="37" t="n">
        <f aca="false">IF(Flights!$AP$16="","",Flights!$AP$16)</f>
        <v>0</v>
      </c>
      <c r="O39" s="37" t="n">
        <f aca="false">IF(Flights!$AQ$16="","",Flights!$AQ$16)</f>
        <v>0</v>
      </c>
      <c r="P39" s="37" t="n">
        <f aca="false">IF(Flights!$AR$16="","",Flights!$AR$16)</f>
        <v>2</v>
      </c>
      <c r="Q39" s="37" t="n">
        <f aca="false">IF(Flights!$AS$16="","",Flights!$AS$16)</f>
        <v>0</v>
      </c>
      <c r="R39" s="43" t="str">
        <f aca="false">IF(Flights!$AT$16="","",Flights!$AT$16)</f>
        <v>NOT READY – DOCUMENTS</v>
      </c>
    </row>
    <row r="40" customFormat="false" ht="18.75" hidden="false" customHeight="true" outlineLevel="0" collapsed="false">
      <c r="B40" s="21" t="n">
        <f aca="false">IF(Flights!$B$17="","",Flights!$B$17)</f>
        <v>2</v>
      </c>
      <c r="C40" s="31" t="str">
        <f aca="false">IF(Flights!$F$17="","",Flights!$F$17)</f>
        <v>MH0138</v>
      </c>
      <c r="D40" s="32" t="n">
        <f aca="false">IF(Flights!$D$17="","",Flights!$D$17)</f>
        <v>46309</v>
      </c>
      <c r="E40" s="33" t="str">
        <f aca="false">IF(Flights!$G$17="","",Flights!$G$17&amp;"-"&amp;Flights!$H$17)</f>
        <v>ADL-KUL</v>
      </c>
      <c r="F40" s="33" t="str">
        <f aca="false">IF(Flights!$K$17="","",Flights!$K$17)</f>
        <v>EY</v>
      </c>
      <c r="G40" s="33" t="str">
        <f aca="false">IF(Flights!$L$17="","",Flights!$L$17)</f>
        <v>A339</v>
      </c>
      <c r="H40" s="34" t="n">
        <f aca="false">IF(Flights!$I$17="","",Flights!$I$17)</f>
        <v>46309.4479166667</v>
      </c>
      <c r="I40" s="35" t="n">
        <f aca="false">IF(Flights!$AJ$17="","",Flights!$AJ$17)</f>
        <v>0</v>
      </c>
      <c r="J40" s="35" t="n">
        <f aca="false">IF(Flights!$AK$17="","",Flights!$AK$17)</f>
        <v>0</v>
      </c>
      <c r="K40" s="35" t="n">
        <f aca="false">IF(Flights!$AL$17="","",Flights!$AL$17)</f>
        <v>0</v>
      </c>
      <c r="L40" s="35" t="n">
        <f aca="false">IF(Flights!$AM$17="","",Flights!$AM$17)</f>
        <v>0</v>
      </c>
      <c r="M40" s="35" t="n">
        <f aca="false">IF(Flights!$AN$17="","",Flights!$AN$17)</f>
        <v>0</v>
      </c>
      <c r="N40" s="21" t="n">
        <f aca="false">IF(Flights!$AP$17="","",Flights!$AP$17)</f>
        <v>0</v>
      </c>
      <c r="O40" s="21" t="n">
        <f aca="false">IF(Flights!$AQ$17="","",Flights!$AQ$17)</f>
        <v>0</v>
      </c>
      <c r="P40" s="21" t="n">
        <f aca="false">IF(Flights!$AR$17="","",Flights!$AR$17)</f>
        <v>2</v>
      </c>
      <c r="Q40" s="21" t="n">
        <f aca="false">IF(Flights!$AS$17="","",Flights!$AS$17)</f>
        <v>3</v>
      </c>
      <c r="R40" s="36" t="str">
        <f aca="false">IF(Flights!$AT$17="","",Flights!$AT$17)</f>
        <v>NOT READY – DOCUMENTS</v>
      </c>
    </row>
    <row r="41" customFormat="false" ht="18.75" hidden="false" customHeight="true" outlineLevel="0" collapsed="false">
      <c r="B41" s="37" t="n">
        <f aca="false">IF(Flights!$B$18="","",Flights!$B$18)</f>
        <v>2</v>
      </c>
      <c r="C41" s="38" t="str">
        <f aca="false">IF(Flights!$F$18="","",Flights!$F$18)</f>
        <v>MH0004</v>
      </c>
      <c r="D41" s="39" t="n">
        <f aca="false">IF(Flights!$D$18="","",Flights!$D$18)</f>
        <v>46310</v>
      </c>
      <c r="E41" s="40" t="str">
        <f aca="false">IF(Flights!$G$18="","",Flights!$G$18&amp;"-"&amp;Flights!$H$18)</f>
        <v>KUL-LHR</v>
      </c>
      <c r="F41" s="40" t="str">
        <f aca="false">IF(Flights!$K$18="","",Flights!$K$18)</f>
        <v>EY</v>
      </c>
      <c r="G41" s="40" t="str">
        <f aca="false">IF(Flights!$L$18="","",Flights!$L$18)</f>
        <v>A350</v>
      </c>
      <c r="H41" s="41" t="n">
        <f aca="false">IF(Flights!$I$18="","",Flights!$I$18)</f>
        <v>46310.4097222222</v>
      </c>
      <c r="I41" s="42" t="n">
        <f aca="false">IF(Flights!$AJ$18="","",Flights!$AJ$18)</f>
        <v>0</v>
      </c>
      <c r="J41" s="42" t="n">
        <f aca="false">IF(Flights!$AK$18="","",Flights!$AK$18)</f>
        <v>0</v>
      </c>
      <c r="K41" s="42" t="n">
        <f aca="false">IF(Flights!$AL$18="","",Flights!$AL$18)</f>
        <v>0</v>
      </c>
      <c r="L41" s="42" t="n">
        <f aca="false">IF(Flights!$AM$18="","",Flights!$AM$18)</f>
        <v>0</v>
      </c>
      <c r="M41" s="42" t="n">
        <f aca="false">IF(Flights!$AN$18="","",Flights!$AN$18)</f>
        <v>0</v>
      </c>
      <c r="N41" s="37" t="n">
        <f aca="false">IF(Flights!$AP$18="","",Flights!$AP$18)</f>
        <v>0</v>
      </c>
      <c r="O41" s="37" t="n">
        <f aca="false">IF(Flights!$AQ$18="","",Flights!$AQ$18)</f>
        <v>0</v>
      </c>
      <c r="P41" s="37" t="n">
        <f aca="false">IF(Flights!$AR$18="","",Flights!$AR$18)</f>
        <v>2</v>
      </c>
      <c r="Q41" s="37" t="n">
        <f aca="false">IF(Flights!$AS$18="","",Flights!$AS$18)</f>
        <v>1</v>
      </c>
      <c r="R41" s="43" t="str">
        <f aca="false">IF(Flights!$AT$18="","",Flights!$AT$18)</f>
        <v>NOT READY – DOCUMENTS</v>
      </c>
    </row>
    <row r="42" customFormat="false" ht="18.75" hidden="false" customHeight="true" outlineLevel="0" collapsed="false">
      <c r="B42" s="21" t="n">
        <f aca="false">IF(Flights!$B$19="","",Flights!$B$19)</f>
        <v>3</v>
      </c>
      <c r="C42" s="31" t="str">
        <f aca="false">IF(Flights!$F$19="","",Flights!$F$19)</f>
        <v>MH0003</v>
      </c>
      <c r="D42" s="32" t="n">
        <f aca="false">IF(Flights!$D$19="","",Flights!$D$19)</f>
        <v>46320</v>
      </c>
      <c r="E42" s="33" t="str">
        <f aca="false">IF(Flights!$G$19="","",Flights!$G$19&amp;"-"&amp;Flights!$H$19)</f>
        <v>LHR-KUL</v>
      </c>
      <c r="F42" s="33" t="str">
        <f aca="false">IF(Flights!$K$19="","",Flights!$K$19)</f>
        <v>EY</v>
      </c>
      <c r="G42" s="33" t="str">
        <f aca="false">IF(Flights!$L$19="","",Flights!$L$19)</f>
        <v>A350</v>
      </c>
      <c r="H42" s="34" t="n">
        <f aca="false">IF(Flights!$I$19="","",Flights!$I$19)</f>
        <v>46320.4583333333</v>
      </c>
      <c r="I42" s="35" t="n">
        <f aca="false">IF(Flights!$AJ$19="","",Flights!$AJ$19)</f>
        <v>0</v>
      </c>
      <c r="J42" s="35" t="n">
        <f aca="false">IF(Flights!$AK$19="","",Flights!$AK$19)</f>
        <v>0</v>
      </c>
      <c r="K42" s="35" t="n">
        <f aca="false">IF(Flights!$AL$19="","",Flights!$AL$19)</f>
        <v>0</v>
      </c>
      <c r="L42" s="35" t="n">
        <f aca="false">IF(Flights!$AM$19="","",Flights!$AM$19)</f>
        <v>0</v>
      </c>
      <c r="M42" s="35" t="n">
        <f aca="false">IF(Flights!$AN$19="","",Flights!$AN$19)</f>
        <v>0</v>
      </c>
      <c r="N42" s="21" t="n">
        <f aca="false">IF(Flights!$AP$19="","",Flights!$AP$19)</f>
        <v>0</v>
      </c>
      <c r="O42" s="21" t="n">
        <f aca="false">IF(Flights!$AQ$19="","",Flights!$AQ$19)</f>
        <v>0</v>
      </c>
      <c r="P42" s="21" t="n">
        <f aca="false">IF(Flights!$AR$19="","",Flights!$AR$19)</f>
        <v>2</v>
      </c>
      <c r="Q42" s="21" t="n">
        <f aca="false">IF(Flights!$AS$19="","",Flights!$AS$19)</f>
        <v>1</v>
      </c>
      <c r="R42" s="36" t="str">
        <f aca="false">IF(Flights!$AT$19="","",Flights!$AT$19)</f>
        <v>NOT READY – DOCUMENTS</v>
      </c>
    </row>
    <row r="43" customFormat="false" ht="18.75" hidden="false" customHeight="true" outlineLevel="0" collapsed="false">
      <c r="B43" s="37" t="n">
        <f aca="false">IF(Flights!$B$20="","",Flights!$B$20)</f>
        <v>3</v>
      </c>
      <c r="C43" s="38" t="str">
        <f aca="false">IF(Flights!$F$20="","",Flights!$F$20)</f>
        <v>MH0072</v>
      </c>
      <c r="D43" s="39" t="n">
        <f aca="false">IF(Flights!$D$20="","",Flights!$D$20)</f>
        <v>46321</v>
      </c>
      <c r="E43" s="40" t="str">
        <f aca="false">IF(Flights!$G$20="","",Flights!$G$20&amp;"-"&amp;Flights!$H$20)</f>
        <v>KUL-HKG</v>
      </c>
      <c r="F43" s="40" t="str">
        <f aca="false">IF(Flights!$K$20="","",Flights!$K$20)</f>
        <v>EY</v>
      </c>
      <c r="G43" s="40" t="str">
        <f aca="false">IF(Flights!$L$20="","",Flights!$L$20)</f>
        <v>B738MAX</v>
      </c>
      <c r="H43" s="41" t="n">
        <f aca="false">IF(Flights!$I$20="","",Flights!$I$20)</f>
        <v>46321.3819444445</v>
      </c>
      <c r="I43" s="42" t="n">
        <f aca="false">IF(Flights!$AJ$20="","",Flights!$AJ$20)</f>
        <v>0</v>
      </c>
      <c r="J43" s="42" t="n">
        <f aca="false">IF(Flights!$AK$20="","",Flights!$AK$20)</f>
        <v>0</v>
      </c>
      <c r="K43" s="42" t="n">
        <f aca="false">IF(Flights!$AL$20="","",Flights!$AL$20)</f>
        <v>0</v>
      </c>
      <c r="L43" s="42" t="n">
        <f aca="false">IF(Flights!$AM$20="","",Flights!$AM$20)</f>
        <v>0</v>
      </c>
      <c r="M43" s="42" t="n">
        <f aca="false">IF(Flights!$AN$20="","",Flights!$AN$20)</f>
        <v>0</v>
      </c>
      <c r="N43" s="37" t="n">
        <f aca="false">IF(Flights!$AP$20="","",Flights!$AP$20)</f>
        <v>0</v>
      </c>
      <c r="O43" s="37" t="n">
        <f aca="false">IF(Flights!$AQ$20="","",Flights!$AQ$20)</f>
        <v>0</v>
      </c>
      <c r="P43" s="37" t="n">
        <f aca="false">IF(Flights!$AR$20="","",Flights!$AR$20)</f>
        <v>2</v>
      </c>
      <c r="Q43" s="37" t="n">
        <f aca="false">IF(Flights!$AS$20="","",Flights!$AS$20)</f>
        <v>1</v>
      </c>
      <c r="R43" s="43" t="str">
        <f aca="false">IF(Flights!$AT$20="","",Flights!$AT$20)</f>
        <v>NOT READY – DOCUMENTS</v>
      </c>
    </row>
    <row r="44" customFormat="false" ht="18.75" hidden="false" customHeight="true" outlineLevel="0" collapsed="false">
      <c r="B44" s="21" t="n">
        <f aca="false">IF(Flights!$B$21="","",Flights!$B$21)</f>
        <v>3</v>
      </c>
      <c r="C44" s="31" t="str">
        <f aca="false">IF(Flights!$F$21="","",Flights!$F$21)</f>
        <v>MH0073</v>
      </c>
      <c r="D44" s="32" t="n">
        <f aca="false">IF(Flights!$D$21="","",Flights!$D$21)</f>
        <v>46322</v>
      </c>
      <c r="E44" s="33" t="str">
        <f aca="false">IF(Flights!$G$21="","",Flights!$G$21&amp;"-"&amp;Flights!$H$21)</f>
        <v>HKG-KUL</v>
      </c>
      <c r="F44" s="33" t="str">
        <f aca="false">IF(Flights!$K$21="","",Flights!$K$21)</f>
        <v>BC</v>
      </c>
      <c r="G44" s="33" t="str">
        <f aca="false">IF(Flights!$L$21="","",Flights!$L$21)</f>
        <v>B738MAX</v>
      </c>
      <c r="H44" s="34" t="n">
        <f aca="false">IF(Flights!$I$21="","",Flights!$I$21)</f>
        <v>46322.6180555556</v>
      </c>
      <c r="I44" s="35" t="n">
        <f aca="false">IF(Flights!$AJ$21="","",Flights!$AJ$21)</f>
        <v>0</v>
      </c>
      <c r="J44" s="35" t="n">
        <f aca="false">IF(Flights!$AK$21="","",Flights!$AK$21)</f>
        <v>0</v>
      </c>
      <c r="K44" s="35" t="n">
        <f aca="false">IF(Flights!$AL$21="","",Flights!$AL$21)</f>
        <v>0</v>
      </c>
      <c r="L44" s="35" t="n">
        <f aca="false">IF(Flights!$AM$21="","",Flights!$AM$21)</f>
        <v>0</v>
      </c>
      <c r="M44" s="35" t="n">
        <f aca="false">IF(Flights!$AN$21="","",Flights!$AN$21)</f>
        <v>0</v>
      </c>
      <c r="N44" s="21" t="n">
        <f aca="false">IF(Flights!$AP$21="","",Flights!$AP$21)</f>
        <v>0</v>
      </c>
      <c r="O44" s="21" t="n">
        <f aca="false">IF(Flights!$AQ$21="","",Flights!$AQ$21)</f>
        <v>0</v>
      </c>
      <c r="P44" s="21" t="n">
        <f aca="false">IF(Flights!$AR$21="","",Flights!$AR$21)</f>
        <v>2</v>
      </c>
      <c r="Q44" s="21" t="n">
        <f aca="false">IF(Flights!$AS$21="","",Flights!$AS$21)</f>
        <v>4</v>
      </c>
      <c r="R44" s="36" t="str">
        <f aca="false">IF(Flights!$AT$21="","",Flights!$AT$21)</f>
        <v>NOT READY – DOCUMENTS</v>
      </c>
    </row>
    <row r="45" customFormat="false" ht="18.75" hidden="false" customHeight="true" outlineLevel="0" collapsed="false">
      <c r="B45" s="37" t="n">
        <f aca="false">IF(Flights!$B$22="","",Flights!$B$22)</f>
        <v>3</v>
      </c>
      <c r="C45" s="38" t="str">
        <f aca="false">IF(Flights!$F$22="","",Flights!$F$22)</f>
        <v>MH0052</v>
      </c>
      <c r="D45" s="39" t="n">
        <f aca="false">IF(Flights!$D$22="","",Flights!$D$22)</f>
        <v>46322</v>
      </c>
      <c r="E45" s="40" t="str">
        <f aca="false">IF(Flights!$G$22="","",Flights!$G$22&amp;"-"&amp;Flights!$H$22)</f>
        <v>KUL-KIX</v>
      </c>
      <c r="F45" s="40" t="str">
        <f aca="false">IF(Flights!$K$22="","",Flights!$K$22)</f>
        <v>BC</v>
      </c>
      <c r="G45" s="40" t="str">
        <f aca="false">IF(Flights!$L$22="","",Flights!$L$22)</f>
        <v>A333</v>
      </c>
      <c r="H45" s="41" t="n">
        <f aca="false">IF(Flights!$I$22="","",Flights!$I$22)</f>
        <v>46322.9340277778</v>
      </c>
      <c r="I45" s="42" t="n">
        <f aca="false">IF(Flights!$AJ$22="","",Flights!$AJ$22)</f>
        <v>0</v>
      </c>
      <c r="J45" s="42" t="n">
        <f aca="false">IF(Flights!$AK$22="","",Flights!$AK$22)</f>
        <v>0</v>
      </c>
      <c r="K45" s="42" t="n">
        <f aca="false">IF(Flights!$AL$22="","",Flights!$AL$22)</f>
        <v>0</v>
      </c>
      <c r="L45" s="42" t="n">
        <f aca="false">IF(Flights!$AM$22="","",Flights!$AM$22)</f>
        <v>0</v>
      </c>
      <c r="M45" s="42" t="n">
        <f aca="false">IF(Flights!$AN$22="","",Flights!$AN$22)</f>
        <v>0</v>
      </c>
      <c r="N45" s="37" t="n">
        <f aca="false">IF(Flights!$AP$22="","",Flights!$AP$22)</f>
        <v>0</v>
      </c>
      <c r="O45" s="37" t="n">
        <f aca="false">IF(Flights!$AQ$22="","",Flights!$AQ$22)</f>
        <v>0</v>
      </c>
      <c r="P45" s="37" t="n">
        <f aca="false">IF(Flights!$AR$22="","",Flights!$AR$22)</f>
        <v>2</v>
      </c>
      <c r="Q45" s="37" t="n">
        <f aca="false">IF(Flights!$AS$22="","",Flights!$AS$22)</f>
        <v>0</v>
      </c>
      <c r="R45" s="43" t="str">
        <f aca="false">IF(Flights!$AT$22="","",Flights!$AT$22)</f>
        <v>NOT READY – DOCUMENTS</v>
      </c>
    </row>
    <row r="46" customFormat="false" ht="18.75" hidden="false" customHeight="true" outlineLevel="0" collapsed="false">
      <c r="B46" s="21" t="n">
        <f aca="false">IF(Flights!$B$23="","",Flights!$B$23)</f>
        <v>3</v>
      </c>
      <c r="C46" s="31" t="str">
        <f aca="false">IF(Flights!$F$23="","",Flights!$F$23)</f>
        <v>MH0053</v>
      </c>
      <c r="D46" s="32" t="n">
        <f aca="false">IF(Flights!$D$23="","",Flights!$D$23)</f>
        <v>46324</v>
      </c>
      <c r="E46" s="33" t="str">
        <f aca="false">IF(Flights!$G$23="","",Flights!$G$23&amp;"-"&amp;Flights!$H$23)</f>
        <v>KIX-KUL</v>
      </c>
      <c r="F46" s="33" t="str">
        <f aca="false">IF(Flights!$K$23="","",Flights!$K$23)</f>
        <v>EY</v>
      </c>
      <c r="G46" s="33" t="str">
        <f aca="false">IF(Flights!$L$23="","",Flights!$L$23)</f>
        <v>A333</v>
      </c>
      <c r="H46" s="34" t="n">
        <f aca="false">IF(Flights!$I$23="","",Flights!$I$23)</f>
        <v>46324.4027777778</v>
      </c>
      <c r="I46" s="35" t="n">
        <f aca="false">IF(Flights!$AJ$23="","",Flights!$AJ$23)</f>
        <v>0</v>
      </c>
      <c r="J46" s="35" t="n">
        <f aca="false">IF(Flights!$AK$23="","",Flights!$AK$23)</f>
        <v>0</v>
      </c>
      <c r="K46" s="35" t="n">
        <f aca="false">IF(Flights!$AL$23="","",Flights!$AL$23)</f>
        <v>0</v>
      </c>
      <c r="L46" s="35" t="n">
        <f aca="false">IF(Flights!$AM$23="","",Flights!$AM$23)</f>
        <v>0</v>
      </c>
      <c r="M46" s="35" t="n">
        <f aca="false">IF(Flights!$AN$23="","",Flights!$AN$23)</f>
        <v>0</v>
      </c>
      <c r="N46" s="21" t="n">
        <f aca="false">IF(Flights!$AP$23="","",Flights!$AP$23)</f>
        <v>0</v>
      </c>
      <c r="O46" s="21" t="n">
        <f aca="false">IF(Flights!$AQ$23="","",Flights!$AQ$23)</f>
        <v>0</v>
      </c>
      <c r="P46" s="21" t="n">
        <f aca="false">IF(Flights!$AR$23="","",Flights!$AR$23)</f>
        <v>2</v>
      </c>
      <c r="Q46" s="21" t="n">
        <f aca="false">IF(Flights!$AS$23="","",Flights!$AS$23)</f>
        <v>1</v>
      </c>
      <c r="R46" s="36" t="str">
        <f aca="false">IF(Flights!$AT$23="","",Flights!$AT$23)</f>
        <v>NOT READY – DOCUMENTS</v>
      </c>
    </row>
    <row r="47" customFormat="false" ht="18.75" hidden="false" customHeight="true" outlineLevel="0" collapsed="false">
      <c r="B47" s="37" t="n">
        <f aca="false">IF(Flights!$B$24="","",Flights!$B$24)</f>
        <v>3</v>
      </c>
      <c r="C47" s="38" t="str">
        <f aca="false">IF(Flights!$F$24="","",Flights!$F$24)</f>
        <v>MH1450</v>
      </c>
      <c r="D47" s="39" t="n">
        <f aca="false">IF(Flights!$D$24="","",Flights!$D$24)</f>
        <v>46324</v>
      </c>
      <c r="E47" s="40" t="str">
        <f aca="false">IF(Flights!$G$24="","",Flights!$G$24&amp;"-"&amp;Flights!$H$24)</f>
        <v>KUL-LGK</v>
      </c>
      <c r="F47" s="40" t="str">
        <f aca="false">IF(Flights!$K$24="","",Flights!$K$24)</f>
        <v>EY</v>
      </c>
      <c r="G47" s="40" t="str">
        <f aca="false">IF(Flights!$L$24="","",Flights!$L$24)</f>
        <v>B738MAX</v>
      </c>
      <c r="H47" s="41" t="n">
        <f aca="false">IF(Flights!$I$24="","",Flights!$I$24)</f>
        <v>46324.7708333333</v>
      </c>
      <c r="I47" s="42" t="n">
        <f aca="false">IF(Flights!$AJ$24="","",Flights!$AJ$24)</f>
        <v>0</v>
      </c>
      <c r="J47" s="42" t="n">
        <f aca="false">IF(Flights!$AK$24="","",Flights!$AK$24)</f>
        <v>0</v>
      </c>
      <c r="K47" s="42" t="n">
        <f aca="false">IF(Flights!$AL$24="","",Flights!$AL$24)</f>
        <v>0</v>
      </c>
      <c r="L47" s="42" t="n">
        <f aca="false">IF(Flights!$AM$24="","",Flights!$AM$24)</f>
        <v>0</v>
      </c>
      <c r="M47" s="42" t="n">
        <f aca="false">IF(Flights!$AN$24="","",Flights!$AN$24)</f>
        <v>0</v>
      </c>
      <c r="N47" s="37" t="n">
        <f aca="false">IF(Flights!$AP$24="","",Flights!$AP$24)</f>
        <v>0</v>
      </c>
      <c r="O47" s="37" t="n">
        <f aca="false">IF(Flights!$AQ$24="","",Flights!$AQ$24)</f>
        <v>0</v>
      </c>
      <c r="P47" s="37" t="n">
        <f aca="false">IF(Flights!$AR$24="","",Flights!$AR$24)</f>
        <v>2</v>
      </c>
      <c r="Q47" s="37" t="n">
        <f aca="false">IF(Flights!$AS$24="","",Flights!$AS$24)</f>
        <v>0</v>
      </c>
      <c r="R47" s="43" t="str">
        <f aca="false">IF(Flights!$AT$24="","",Flights!$AT$24)</f>
        <v>NOT READY – DOCUMENTS</v>
      </c>
    </row>
    <row r="48" customFormat="false" ht="18.75" hidden="false" customHeight="true" outlineLevel="0" collapsed="false">
      <c r="B48" s="21" t="n">
        <f aca="false">IF(Flights!$B$25="","",Flights!$B$25)</f>
        <v>3</v>
      </c>
      <c r="C48" s="31" t="str">
        <f aca="false">IF(Flights!$F$25="","",Flights!$F$25)</f>
        <v>MH1437</v>
      </c>
      <c r="D48" s="32" t="n">
        <f aca="false">IF(Flights!$D$25="","",Flights!$D$25)</f>
        <v>46325</v>
      </c>
      <c r="E48" s="33" t="str">
        <f aca="false">IF(Flights!$G$25="","",Flights!$G$25&amp;"-"&amp;Flights!$H$25)</f>
        <v>LGK-KUL</v>
      </c>
      <c r="F48" s="33" t="str">
        <f aca="false">IF(Flights!$K$25="","",Flights!$K$25)</f>
        <v>BC</v>
      </c>
      <c r="G48" s="33" t="str">
        <f aca="false">IF(Flights!$L$25="","",Flights!$L$25)</f>
        <v>B738MAX</v>
      </c>
      <c r="H48" s="34" t="n">
        <f aca="false">IF(Flights!$I$25="","",Flights!$I$25)</f>
        <v>46325.6145833333</v>
      </c>
      <c r="I48" s="35" t="n">
        <f aca="false">IF(Flights!$AJ$25="","",Flights!$AJ$25)</f>
        <v>0</v>
      </c>
      <c r="J48" s="35" t="n">
        <f aca="false">IF(Flights!$AK$25="","",Flights!$AK$25)</f>
        <v>0</v>
      </c>
      <c r="K48" s="35" t="n">
        <f aca="false">IF(Flights!$AL$25="","",Flights!$AL$25)</f>
        <v>0</v>
      </c>
      <c r="L48" s="35" t="n">
        <f aca="false">IF(Flights!$AM$25="","",Flights!$AM$25)</f>
        <v>0</v>
      </c>
      <c r="M48" s="35" t="n">
        <f aca="false">IF(Flights!$AN$25="","",Flights!$AN$25)</f>
        <v>0</v>
      </c>
      <c r="N48" s="21" t="n">
        <f aca="false">IF(Flights!$AP$25="","",Flights!$AP$25)</f>
        <v>0</v>
      </c>
      <c r="O48" s="21" t="n">
        <f aca="false">IF(Flights!$AQ$25="","",Flights!$AQ$25)</f>
        <v>0</v>
      </c>
      <c r="P48" s="21" t="n">
        <f aca="false">IF(Flights!$AR$25="","",Flights!$AR$25)</f>
        <v>2</v>
      </c>
      <c r="Q48" s="21" t="n">
        <f aca="false">IF(Flights!$AS$25="","",Flights!$AS$25)</f>
        <v>1</v>
      </c>
      <c r="R48" s="36" t="str">
        <f aca="false">IF(Flights!$AT$25="","",Flights!$AT$25)</f>
        <v>NOT READY – DOCUMENTS</v>
      </c>
    </row>
    <row r="49" customFormat="false" ht="18.75" hidden="false" customHeight="true" outlineLevel="0" collapsed="false">
      <c r="B49" s="37" t="n">
        <f aca="false">IF(Flights!$B$26="","",Flights!$B$26)</f>
        <v>3</v>
      </c>
      <c r="C49" s="38" t="str">
        <f aca="false">IF(Flights!$F$26="","",Flights!$F$26)</f>
        <v>MH0002</v>
      </c>
      <c r="D49" s="39" t="n">
        <f aca="false">IF(Flights!$D$26="","",Flights!$D$26)</f>
        <v>46325</v>
      </c>
      <c r="E49" s="40" t="str">
        <f aca="false">IF(Flights!$G$26="","",Flights!$G$26&amp;"-"&amp;Flights!$H$26)</f>
        <v>KUL-LHR</v>
      </c>
      <c r="F49" s="40" t="str">
        <f aca="false">IF(Flights!$K$26="","",Flights!$K$26)</f>
        <v>BC</v>
      </c>
      <c r="G49" s="40" t="str">
        <f aca="false">IF(Flights!$L$26="","",Flights!$L$26)</f>
        <v>A350</v>
      </c>
      <c r="H49" s="41" t="n">
        <f aca="false">IF(Flights!$I$26="","",Flights!$I$26)</f>
        <v>46325.9722222222</v>
      </c>
      <c r="I49" s="42" t="n">
        <f aca="false">IF(Flights!$AJ$26="","",Flights!$AJ$26)</f>
        <v>0</v>
      </c>
      <c r="J49" s="42" t="n">
        <f aca="false">IF(Flights!$AK$26="","",Flights!$AK$26)</f>
        <v>0</v>
      </c>
      <c r="K49" s="42" t="n">
        <f aca="false">IF(Flights!$AL$26="","",Flights!$AL$26)</f>
        <v>0</v>
      </c>
      <c r="L49" s="42" t="n">
        <f aca="false">IF(Flights!$AM$26="","",Flights!$AM$26)</f>
        <v>0</v>
      </c>
      <c r="M49" s="42" t="n">
        <f aca="false">IF(Flights!$AN$26="","",Flights!$AN$26)</f>
        <v>0</v>
      </c>
      <c r="N49" s="37" t="n">
        <f aca="false">IF(Flights!$AP$26="","",Flights!$AP$26)</f>
        <v>0</v>
      </c>
      <c r="O49" s="37" t="n">
        <f aca="false">IF(Flights!$AQ$26="","",Flights!$AQ$26)</f>
        <v>0</v>
      </c>
      <c r="P49" s="37" t="n">
        <f aca="false">IF(Flights!$AR$26="","",Flights!$AR$26)</f>
        <v>2</v>
      </c>
      <c r="Q49" s="37" t="n">
        <f aca="false">IF(Flights!$AS$26="","",Flights!$AS$26)</f>
        <v>1</v>
      </c>
      <c r="R49" s="43" t="str">
        <f aca="false">IF(Flights!$AT$26="","",Flights!$AT$26)</f>
        <v>NOT READY – DOCUMENTS</v>
      </c>
    </row>
    <row r="50" customFormat="false" ht="25.5" hidden="false" customHeight="true" outlineLevel="0" collapsed="false">
      <c r="B50" s="44" t="s">
        <v>117</v>
      </c>
      <c r="C50" s="44"/>
      <c r="D50" s="44"/>
      <c r="E50" s="44"/>
      <c r="F50" s="44"/>
      <c r="G50" s="44"/>
      <c r="H50" s="44"/>
      <c r="I50" s="44"/>
      <c r="J50" s="44"/>
      <c r="K50" s="44"/>
      <c r="L50" s="44"/>
      <c r="M50" s="44"/>
      <c r="N50" s="44"/>
      <c r="O50" s="44"/>
      <c r="P50" s="44"/>
      <c r="Q50" s="44"/>
      <c r="R50" s="44"/>
    </row>
    <row r="52" customFormat="false" ht="21.75" hidden="false" customHeight="true" outlineLevel="0" collapsed="false">
      <c r="B52" s="14" t="s">
        <v>118</v>
      </c>
      <c r="C52" s="14"/>
      <c r="D52" s="14"/>
      <c r="E52" s="14"/>
      <c r="F52" s="14"/>
      <c r="G52" s="14"/>
      <c r="H52" s="14"/>
      <c r="I52" s="14"/>
      <c r="J52" s="14"/>
      <c r="K52" s="14"/>
      <c r="L52" s="30" t="str">
        <f aca="false">"Showing "&amp;MIN(18,SUM(Checks!$AK$5:$AK$748))&amp;" of "&amp;SUM(Checks!$AK$5:$AK$748)&amp;"  •  as of "&amp;TEXT(AsOfUTC+8/24,"dd-mmm-yy hh:mm")&amp;" MYT"</f>
        <v>Showing 0 of 0  •  as of 29-Sep-26 08:26 MYT</v>
      </c>
      <c r="M52" s="30"/>
      <c r="N52" s="30"/>
      <c r="O52" s="30"/>
      <c r="P52" s="30"/>
      <c r="Q52" s="30"/>
      <c r="R52" s="30"/>
    </row>
    <row r="53" customFormat="false" ht="27.75" hidden="false" customHeight="true" outlineLevel="0" collapsed="false">
      <c r="B53" s="19" t="s">
        <v>119</v>
      </c>
      <c r="C53" s="19" t="s">
        <v>120</v>
      </c>
      <c r="D53" s="19"/>
      <c r="E53" s="19" t="s">
        <v>105</v>
      </c>
      <c r="F53" s="19" t="s">
        <v>71</v>
      </c>
      <c r="G53" s="19"/>
      <c r="H53" s="19" t="s">
        <v>121</v>
      </c>
      <c r="I53" s="19"/>
      <c r="J53" s="19"/>
      <c r="K53" s="19"/>
      <c r="L53" s="19"/>
      <c r="M53" s="19"/>
      <c r="N53" s="19" t="s">
        <v>122</v>
      </c>
      <c r="O53" s="19"/>
      <c r="P53" s="19" t="s">
        <v>123</v>
      </c>
      <c r="Q53" s="19"/>
      <c r="R53" s="19" t="s">
        <v>124</v>
      </c>
      <c r="T53" s="45" t="s">
        <v>125</v>
      </c>
    </row>
    <row r="54" customFormat="false" ht="27.75" hidden="false" customHeight="true" outlineLevel="0" collapsed="false">
      <c r="B54" s="46" t="str">
        <f aca="false">IF($T54="","",1)</f>
        <v/>
      </c>
      <c r="C54" s="29" t="str">
        <f aca="false">IF($T54="","",IF(LEN(INDEX(Checks!$A$5:$A$748,$T54))&gt;28,LEFT(INDEX(Checks!$A$5:$A$748,$T54),27)&amp;"…",INDEX(Checks!$A$5:$A$748,$T54)&amp;""))</f>
        <v/>
      </c>
      <c r="D54" s="29"/>
      <c r="E54" s="47" t="str">
        <f aca="false">IF($T54="","",IF(LEN(INDEX(Checks!$C$5:$C$748,$T54))&gt;14,LEFT(INDEX(Checks!$C$5:$C$748,$T54),13)&amp;"…",INDEX(Checks!$C$5:$C$748,$T54)&amp;""))</f>
        <v/>
      </c>
      <c r="F54" s="29" t="str">
        <f aca="false">IF($T54="","",IF(LEN(INDEX(Checks!$G$5:$G$748,$T54))&gt;25,LEFT(INDEX(Checks!$G$5:$G$748,$T54),24)&amp;"…",INDEX(Checks!$G$5:$G$748,$T54)&amp;""))</f>
        <v/>
      </c>
      <c r="G54" s="29"/>
      <c r="H54" s="29" t="str">
        <f aca="false">IF($T54="","",IF(LEN(INDEX(Checks!$J$5:$J$748,$T54))&gt;100,LEFT(INDEX(Checks!$J$5:$J$748,$T54),99)&amp;"…",INDEX(Checks!$J$5:$J$748,$T54)&amp;""))</f>
        <v/>
      </c>
      <c r="I54" s="29"/>
      <c r="J54" s="29"/>
      <c r="K54" s="29"/>
      <c r="L54" s="29"/>
      <c r="M54" s="29"/>
      <c r="N54" s="47" t="str">
        <f aca="false">IF($T54="","",IF(ISNUMBER(INDEX(Checks!$R$5:$R$748,$T54)),TEXT(INDEX(Checks!$R$5:$R$748,$T54),"dd-mmm hh:mm"),"")&amp;" "&amp;INDEX(Checks!$P$5:$P$748,$T54))</f>
        <v/>
      </c>
      <c r="O54" s="47"/>
      <c r="P54" s="29" t="str">
        <f aca="false">IF($T54="","",IF(LEN(INDEX(Checks!$T$5:$T$748,$T54))&gt;27,LEFT(INDEX(Checks!$T$5:$T$748,$T54),26)&amp;"…",INDEX(Checks!$T$5:$T$748,$T54)&amp;""))</f>
        <v/>
      </c>
      <c r="Q54" s="29"/>
      <c r="R54" s="29" t="str">
        <f aca="false">IF($T54="","",IF(LEN(INDEX(Checks!$AH$5:$AH$748,$T54))&gt;53,LEFT(INDEX(Checks!$AH$5:$AH$748,$T54),52)&amp;"…",INDEX(Checks!$AH$5:$AH$748,$T54)&amp;""))</f>
        <v/>
      </c>
      <c r="T54" s="45" t="str">
        <f aca="false">IFERROR(MATCH(1,Checks!$AO$5:$AO$748,0),"")</f>
        <v/>
      </c>
    </row>
    <row r="55" customFormat="false" ht="27.75" hidden="false" customHeight="true" outlineLevel="0" collapsed="false">
      <c r="B55" s="48" t="str">
        <f aca="false">IF($T55="","",2)</f>
        <v/>
      </c>
      <c r="C55" s="49" t="str">
        <f aca="false">IF($T55="","",IF(LEN(INDEX(Checks!$A$5:$A$748,$T55))&gt;28,LEFT(INDEX(Checks!$A$5:$A$748,$T55),27)&amp;"…",INDEX(Checks!$A$5:$A$748,$T55)&amp;""))</f>
        <v/>
      </c>
      <c r="D55" s="49"/>
      <c r="E55" s="50" t="str">
        <f aca="false">IF($T55="","",IF(LEN(INDEX(Checks!$C$5:$C$748,$T55))&gt;14,LEFT(INDEX(Checks!$C$5:$C$748,$T55),13)&amp;"…",INDEX(Checks!$C$5:$C$748,$T55)&amp;""))</f>
        <v/>
      </c>
      <c r="F55" s="49" t="str">
        <f aca="false">IF($T55="","",IF(LEN(INDEX(Checks!$G$5:$G$748,$T55))&gt;25,LEFT(INDEX(Checks!$G$5:$G$748,$T55),24)&amp;"…",INDEX(Checks!$G$5:$G$748,$T55)&amp;""))</f>
        <v/>
      </c>
      <c r="G55" s="49"/>
      <c r="H55" s="49" t="str">
        <f aca="false">IF($T55="","",IF(LEN(INDEX(Checks!$J$5:$J$748,$T55))&gt;100,LEFT(INDEX(Checks!$J$5:$J$748,$T55),99)&amp;"…",INDEX(Checks!$J$5:$J$748,$T55)&amp;""))</f>
        <v/>
      </c>
      <c r="I55" s="49"/>
      <c r="J55" s="49"/>
      <c r="K55" s="49"/>
      <c r="L55" s="49"/>
      <c r="M55" s="49"/>
      <c r="N55" s="50" t="str">
        <f aca="false">IF($T55="","",IF(ISNUMBER(INDEX(Checks!$R$5:$R$748,$T55)),TEXT(INDEX(Checks!$R$5:$R$748,$T55),"dd-mmm hh:mm"),"")&amp;" "&amp;INDEX(Checks!$P$5:$P$748,$T55))</f>
        <v/>
      </c>
      <c r="O55" s="50"/>
      <c r="P55" s="49" t="str">
        <f aca="false">IF($T55="","",IF(LEN(INDEX(Checks!$T$5:$T$748,$T55))&gt;27,LEFT(INDEX(Checks!$T$5:$T$748,$T55),26)&amp;"…",INDEX(Checks!$T$5:$T$748,$T55)&amp;""))</f>
        <v/>
      </c>
      <c r="Q55" s="49"/>
      <c r="R55" s="49" t="str">
        <f aca="false">IF($T55="","",IF(LEN(INDEX(Checks!$AH$5:$AH$748,$T55))&gt;53,LEFT(INDEX(Checks!$AH$5:$AH$748,$T55),52)&amp;"…",INDEX(Checks!$AH$5:$AH$748,$T55)&amp;""))</f>
        <v/>
      </c>
      <c r="T55" s="45" t="str">
        <f aca="false">IFERROR(MATCH(2,Checks!$AO$5:$AO$748,0),"")</f>
        <v/>
      </c>
    </row>
    <row r="56" customFormat="false" ht="27.75" hidden="false" customHeight="true" outlineLevel="0" collapsed="false">
      <c r="B56" s="46" t="str">
        <f aca="false">IF($T56="","",3)</f>
        <v/>
      </c>
      <c r="C56" s="29" t="str">
        <f aca="false">IF($T56="","",IF(LEN(INDEX(Checks!$A$5:$A$748,$T56))&gt;28,LEFT(INDEX(Checks!$A$5:$A$748,$T56),27)&amp;"…",INDEX(Checks!$A$5:$A$748,$T56)&amp;""))</f>
        <v/>
      </c>
      <c r="D56" s="29"/>
      <c r="E56" s="47" t="str">
        <f aca="false">IF($T56="","",IF(LEN(INDEX(Checks!$C$5:$C$748,$T56))&gt;14,LEFT(INDEX(Checks!$C$5:$C$748,$T56),13)&amp;"…",INDEX(Checks!$C$5:$C$748,$T56)&amp;""))</f>
        <v/>
      </c>
      <c r="F56" s="29" t="str">
        <f aca="false">IF($T56="","",IF(LEN(INDEX(Checks!$G$5:$G$748,$T56))&gt;25,LEFT(INDEX(Checks!$G$5:$G$748,$T56),24)&amp;"…",INDEX(Checks!$G$5:$G$748,$T56)&amp;""))</f>
        <v/>
      </c>
      <c r="G56" s="29"/>
      <c r="H56" s="29" t="str">
        <f aca="false">IF($T56="","",IF(LEN(INDEX(Checks!$J$5:$J$748,$T56))&gt;100,LEFT(INDEX(Checks!$J$5:$J$748,$T56),99)&amp;"…",INDEX(Checks!$J$5:$J$748,$T56)&amp;""))</f>
        <v/>
      </c>
      <c r="I56" s="29"/>
      <c r="J56" s="29"/>
      <c r="K56" s="29"/>
      <c r="L56" s="29"/>
      <c r="M56" s="29"/>
      <c r="N56" s="47" t="str">
        <f aca="false">IF($T56="","",IF(ISNUMBER(INDEX(Checks!$R$5:$R$748,$T56)),TEXT(INDEX(Checks!$R$5:$R$748,$T56),"dd-mmm hh:mm"),"")&amp;" "&amp;INDEX(Checks!$P$5:$P$748,$T56))</f>
        <v/>
      </c>
      <c r="O56" s="47"/>
      <c r="P56" s="29" t="str">
        <f aca="false">IF($T56="","",IF(LEN(INDEX(Checks!$T$5:$T$748,$T56))&gt;27,LEFT(INDEX(Checks!$T$5:$T$748,$T56),26)&amp;"…",INDEX(Checks!$T$5:$T$748,$T56)&amp;""))</f>
        <v/>
      </c>
      <c r="Q56" s="29"/>
      <c r="R56" s="29" t="str">
        <f aca="false">IF($T56="","",IF(LEN(INDEX(Checks!$AH$5:$AH$748,$T56))&gt;53,LEFT(INDEX(Checks!$AH$5:$AH$748,$T56),52)&amp;"…",INDEX(Checks!$AH$5:$AH$748,$T56)&amp;""))</f>
        <v/>
      </c>
      <c r="T56" s="45" t="str">
        <f aca="false">IFERROR(MATCH(3,Checks!$AO$5:$AO$748,0),"")</f>
        <v/>
      </c>
    </row>
    <row r="57" customFormat="false" ht="27.75" hidden="false" customHeight="true" outlineLevel="0" collapsed="false">
      <c r="B57" s="48" t="str">
        <f aca="false">IF($T57="","",4)</f>
        <v/>
      </c>
      <c r="C57" s="49" t="str">
        <f aca="false">IF($T57="","",IF(LEN(INDEX(Checks!$A$5:$A$748,$T57))&gt;28,LEFT(INDEX(Checks!$A$5:$A$748,$T57),27)&amp;"…",INDEX(Checks!$A$5:$A$748,$T57)&amp;""))</f>
        <v/>
      </c>
      <c r="D57" s="49"/>
      <c r="E57" s="50" t="str">
        <f aca="false">IF($T57="","",IF(LEN(INDEX(Checks!$C$5:$C$748,$T57))&gt;14,LEFT(INDEX(Checks!$C$5:$C$748,$T57),13)&amp;"…",INDEX(Checks!$C$5:$C$748,$T57)&amp;""))</f>
        <v/>
      </c>
      <c r="F57" s="49" t="str">
        <f aca="false">IF($T57="","",IF(LEN(INDEX(Checks!$G$5:$G$748,$T57))&gt;25,LEFT(INDEX(Checks!$G$5:$G$748,$T57),24)&amp;"…",INDEX(Checks!$G$5:$G$748,$T57)&amp;""))</f>
        <v/>
      </c>
      <c r="G57" s="49"/>
      <c r="H57" s="49" t="str">
        <f aca="false">IF($T57="","",IF(LEN(INDEX(Checks!$J$5:$J$748,$T57))&gt;100,LEFT(INDEX(Checks!$J$5:$J$748,$T57),99)&amp;"…",INDEX(Checks!$J$5:$J$748,$T57)&amp;""))</f>
        <v/>
      </c>
      <c r="I57" s="49"/>
      <c r="J57" s="49"/>
      <c r="K57" s="49"/>
      <c r="L57" s="49"/>
      <c r="M57" s="49"/>
      <c r="N57" s="50" t="str">
        <f aca="false">IF($T57="","",IF(ISNUMBER(INDEX(Checks!$R$5:$R$748,$T57)),TEXT(INDEX(Checks!$R$5:$R$748,$T57),"dd-mmm hh:mm"),"")&amp;" "&amp;INDEX(Checks!$P$5:$P$748,$T57))</f>
        <v/>
      </c>
      <c r="O57" s="50"/>
      <c r="P57" s="49" t="str">
        <f aca="false">IF($T57="","",IF(LEN(INDEX(Checks!$T$5:$T$748,$T57))&gt;27,LEFT(INDEX(Checks!$T$5:$T$748,$T57),26)&amp;"…",INDEX(Checks!$T$5:$T$748,$T57)&amp;""))</f>
        <v/>
      </c>
      <c r="Q57" s="49"/>
      <c r="R57" s="49" t="str">
        <f aca="false">IF($T57="","",IF(LEN(INDEX(Checks!$AH$5:$AH$748,$T57))&gt;53,LEFT(INDEX(Checks!$AH$5:$AH$748,$T57),52)&amp;"…",INDEX(Checks!$AH$5:$AH$748,$T57)&amp;""))</f>
        <v/>
      </c>
      <c r="T57" s="45" t="str">
        <f aca="false">IFERROR(MATCH(4,Checks!$AO$5:$AO$748,0),"")</f>
        <v/>
      </c>
    </row>
    <row r="58" customFormat="false" ht="27.75" hidden="false" customHeight="true" outlineLevel="0" collapsed="false">
      <c r="B58" s="46" t="str">
        <f aca="false">IF($T58="","",5)</f>
        <v/>
      </c>
      <c r="C58" s="29" t="str">
        <f aca="false">IF($T58="","",IF(LEN(INDEX(Checks!$A$5:$A$748,$T58))&gt;28,LEFT(INDEX(Checks!$A$5:$A$748,$T58),27)&amp;"…",INDEX(Checks!$A$5:$A$748,$T58)&amp;""))</f>
        <v/>
      </c>
      <c r="D58" s="29"/>
      <c r="E58" s="47" t="str">
        <f aca="false">IF($T58="","",IF(LEN(INDEX(Checks!$C$5:$C$748,$T58))&gt;14,LEFT(INDEX(Checks!$C$5:$C$748,$T58),13)&amp;"…",INDEX(Checks!$C$5:$C$748,$T58)&amp;""))</f>
        <v/>
      </c>
      <c r="F58" s="29" t="str">
        <f aca="false">IF($T58="","",IF(LEN(INDEX(Checks!$G$5:$G$748,$T58))&gt;25,LEFT(INDEX(Checks!$G$5:$G$748,$T58),24)&amp;"…",INDEX(Checks!$G$5:$G$748,$T58)&amp;""))</f>
        <v/>
      </c>
      <c r="G58" s="29"/>
      <c r="H58" s="29" t="str">
        <f aca="false">IF($T58="","",IF(LEN(INDEX(Checks!$J$5:$J$748,$T58))&gt;100,LEFT(INDEX(Checks!$J$5:$J$748,$T58),99)&amp;"…",INDEX(Checks!$J$5:$J$748,$T58)&amp;""))</f>
        <v/>
      </c>
      <c r="I58" s="29"/>
      <c r="J58" s="29"/>
      <c r="K58" s="29"/>
      <c r="L58" s="29"/>
      <c r="M58" s="29"/>
      <c r="N58" s="47" t="str">
        <f aca="false">IF($T58="","",IF(ISNUMBER(INDEX(Checks!$R$5:$R$748,$T58)),TEXT(INDEX(Checks!$R$5:$R$748,$T58),"dd-mmm hh:mm"),"")&amp;" "&amp;INDEX(Checks!$P$5:$P$748,$T58))</f>
        <v/>
      </c>
      <c r="O58" s="47"/>
      <c r="P58" s="29" t="str">
        <f aca="false">IF($T58="","",IF(LEN(INDEX(Checks!$T$5:$T$748,$T58))&gt;27,LEFT(INDEX(Checks!$T$5:$T$748,$T58),26)&amp;"…",INDEX(Checks!$T$5:$T$748,$T58)&amp;""))</f>
        <v/>
      </c>
      <c r="Q58" s="29"/>
      <c r="R58" s="29" t="str">
        <f aca="false">IF($T58="","",IF(LEN(INDEX(Checks!$AH$5:$AH$748,$T58))&gt;53,LEFT(INDEX(Checks!$AH$5:$AH$748,$T58),52)&amp;"…",INDEX(Checks!$AH$5:$AH$748,$T58)&amp;""))</f>
        <v/>
      </c>
      <c r="T58" s="45" t="str">
        <f aca="false">IFERROR(MATCH(5,Checks!$AO$5:$AO$748,0),"")</f>
        <v/>
      </c>
    </row>
    <row r="59" customFormat="false" ht="27.75" hidden="false" customHeight="true" outlineLevel="0" collapsed="false">
      <c r="B59" s="48" t="str">
        <f aca="false">IF($T59="","",6)</f>
        <v/>
      </c>
      <c r="C59" s="49" t="str">
        <f aca="false">IF($T59="","",IF(LEN(INDEX(Checks!$A$5:$A$748,$T59))&gt;28,LEFT(INDEX(Checks!$A$5:$A$748,$T59),27)&amp;"…",INDEX(Checks!$A$5:$A$748,$T59)&amp;""))</f>
        <v/>
      </c>
      <c r="D59" s="49"/>
      <c r="E59" s="50" t="str">
        <f aca="false">IF($T59="","",IF(LEN(INDEX(Checks!$C$5:$C$748,$T59))&gt;14,LEFT(INDEX(Checks!$C$5:$C$748,$T59),13)&amp;"…",INDEX(Checks!$C$5:$C$748,$T59)&amp;""))</f>
        <v/>
      </c>
      <c r="F59" s="49" t="str">
        <f aca="false">IF($T59="","",IF(LEN(INDEX(Checks!$G$5:$G$748,$T59))&gt;25,LEFT(INDEX(Checks!$G$5:$G$748,$T59),24)&amp;"…",INDEX(Checks!$G$5:$G$748,$T59)&amp;""))</f>
        <v/>
      </c>
      <c r="G59" s="49"/>
      <c r="H59" s="49" t="str">
        <f aca="false">IF($T59="","",IF(LEN(INDEX(Checks!$J$5:$J$748,$T59))&gt;100,LEFT(INDEX(Checks!$J$5:$J$748,$T59),99)&amp;"…",INDEX(Checks!$J$5:$J$748,$T59)&amp;""))</f>
        <v/>
      </c>
      <c r="I59" s="49"/>
      <c r="J59" s="49"/>
      <c r="K59" s="49"/>
      <c r="L59" s="49"/>
      <c r="M59" s="49"/>
      <c r="N59" s="50" t="str">
        <f aca="false">IF($T59="","",IF(ISNUMBER(INDEX(Checks!$R$5:$R$748,$T59)),TEXT(INDEX(Checks!$R$5:$R$748,$T59),"dd-mmm hh:mm"),"")&amp;" "&amp;INDEX(Checks!$P$5:$P$748,$T59))</f>
        <v/>
      </c>
      <c r="O59" s="50"/>
      <c r="P59" s="49" t="str">
        <f aca="false">IF($T59="","",IF(LEN(INDEX(Checks!$T$5:$T$748,$T59))&gt;27,LEFT(INDEX(Checks!$T$5:$T$748,$T59),26)&amp;"…",INDEX(Checks!$T$5:$T$748,$T59)&amp;""))</f>
        <v/>
      </c>
      <c r="Q59" s="49"/>
      <c r="R59" s="49" t="str">
        <f aca="false">IF($T59="","",IF(LEN(INDEX(Checks!$AH$5:$AH$748,$T59))&gt;53,LEFT(INDEX(Checks!$AH$5:$AH$748,$T59),52)&amp;"…",INDEX(Checks!$AH$5:$AH$748,$T59)&amp;""))</f>
        <v/>
      </c>
      <c r="T59" s="45" t="str">
        <f aca="false">IFERROR(MATCH(6,Checks!$AO$5:$AO$748,0),"")</f>
        <v/>
      </c>
    </row>
    <row r="60" customFormat="false" ht="27.75" hidden="false" customHeight="true" outlineLevel="0" collapsed="false">
      <c r="B60" s="46" t="str">
        <f aca="false">IF($T60="","",7)</f>
        <v/>
      </c>
      <c r="C60" s="29" t="str">
        <f aca="false">IF($T60="","",IF(LEN(INDEX(Checks!$A$5:$A$748,$T60))&gt;28,LEFT(INDEX(Checks!$A$5:$A$748,$T60),27)&amp;"…",INDEX(Checks!$A$5:$A$748,$T60)&amp;""))</f>
        <v/>
      </c>
      <c r="D60" s="29"/>
      <c r="E60" s="47" t="str">
        <f aca="false">IF($T60="","",IF(LEN(INDEX(Checks!$C$5:$C$748,$T60))&gt;14,LEFT(INDEX(Checks!$C$5:$C$748,$T60),13)&amp;"…",INDEX(Checks!$C$5:$C$748,$T60)&amp;""))</f>
        <v/>
      </c>
      <c r="F60" s="29" t="str">
        <f aca="false">IF($T60="","",IF(LEN(INDEX(Checks!$G$5:$G$748,$T60))&gt;25,LEFT(INDEX(Checks!$G$5:$G$748,$T60),24)&amp;"…",INDEX(Checks!$G$5:$G$748,$T60)&amp;""))</f>
        <v/>
      </c>
      <c r="G60" s="29"/>
      <c r="H60" s="29" t="str">
        <f aca="false">IF($T60="","",IF(LEN(INDEX(Checks!$J$5:$J$748,$T60))&gt;100,LEFT(INDEX(Checks!$J$5:$J$748,$T60),99)&amp;"…",INDEX(Checks!$J$5:$J$748,$T60)&amp;""))</f>
        <v/>
      </c>
      <c r="I60" s="29"/>
      <c r="J60" s="29"/>
      <c r="K60" s="29"/>
      <c r="L60" s="29"/>
      <c r="M60" s="29"/>
      <c r="N60" s="47" t="str">
        <f aca="false">IF($T60="","",IF(ISNUMBER(INDEX(Checks!$R$5:$R$748,$T60)),TEXT(INDEX(Checks!$R$5:$R$748,$T60),"dd-mmm hh:mm"),"")&amp;" "&amp;INDEX(Checks!$P$5:$P$748,$T60))</f>
        <v/>
      </c>
      <c r="O60" s="47"/>
      <c r="P60" s="29" t="str">
        <f aca="false">IF($T60="","",IF(LEN(INDEX(Checks!$T$5:$T$748,$T60))&gt;27,LEFT(INDEX(Checks!$T$5:$T$748,$T60),26)&amp;"…",INDEX(Checks!$T$5:$T$748,$T60)&amp;""))</f>
        <v/>
      </c>
      <c r="Q60" s="29"/>
      <c r="R60" s="29" t="str">
        <f aca="false">IF($T60="","",IF(LEN(INDEX(Checks!$AH$5:$AH$748,$T60))&gt;53,LEFT(INDEX(Checks!$AH$5:$AH$748,$T60),52)&amp;"…",INDEX(Checks!$AH$5:$AH$748,$T60)&amp;""))</f>
        <v/>
      </c>
      <c r="T60" s="45" t="str">
        <f aca="false">IFERROR(MATCH(7,Checks!$AO$5:$AO$748,0),"")</f>
        <v/>
      </c>
    </row>
    <row r="61" customFormat="false" ht="27.75" hidden="false" customHeight="true" outlineLevel="0" collapsed="false">
      <c r="B61" s="48" t="str">
        <f aca="false">IF($T61="","",8)</f>
        <v/>
      </c>
      <c r="C61" s="49" t="str">
        <f aca="false">IF($T61="","",IF(LEN(INDEX(Checks!$A$5:$A$748,$T61))&gt;28,LEFT(INDEX(Checks!$A$5:$A$748,$T61),27)&amp;"…",INDEX(Checks!$A$5:$A$748,$T61)&amp;""))</f>
        <v/>
      </c>
      <c r="D61" s="49"/>
      <c r="E61" s="50" t="str">
        <f aca="false">IF($T61="","",IF(LEN(INDEX(Checks!$C$5:$C$748,$T61))&gt;14,LEFT(INDEX(Checks!$C$5:$C$748,$T61),13)&amp;"…",INDEX(Checks!$C$5:$C$748,$T61)&amp;""))</f>
        <v/>
      </c>
      <c r="F61" s="49" t="str">
        <f aca="false">IF($T61="","",IF(LEN(INDEX(Checks!$G$5:$G$748,$T61))&gt;25,LEFT(INDEX(Checks!$G$5:$G$748,$T61),24)&amp;"…",INDEX(Checks!$G$5:$G$748,$T61)&amp;""))</f>
        <v/>
      </c>
      <c r="G61" s="49"/>
      <c r="H61" s="49" t="str">
        <f aca="false">IF($T61="","",IF(LEN(INDEX(Checks!$J$5:$J$748,$T61))&gt;100,LEFT(INDEX(Checks!$J$5:$J$748,$T61),99)&amp;"…",INDEX(Checks!$J$5:$J$748,$T61)&amp;""))</f>
        <v/>
      </c>
      <c r="I61" s="49"/>
      <c r="J61" s="49"/>
      <c r="K61" s="49"/>
      <c r="L61" s="49"/>
      <c r="M61" s="49"/>
      <c r="N61" s="50" t="str">
        <f aca="false">IF($T61="","",IF(ISNUMBER(INDEX(Checks!$R$5:$R$748,$T61)),TEXT(INDEX(Checks!$R$5:$R$748,$T61),"dd-mmm hh:mm"),"")&amp;" "&amp;INDEX(Checks!$P$5:$P$748,$T61))</f>
        <v/>
      </c>
      <c r="O61" s="50"/>
      <c r="P61" s="49" t="str">
        <f aca="false">IF($T61="","",IF(LEN(INDEX(Checks!$T$5:$T$748,$T61))&gt;27,LEFT(INDEX(Checks!$T$5:$T$748,$T61),26)&amp;"…",INDEX(Checks!$T$5:$T$748,$T61)&amp;""))</f>
        <v/>
      </c>
      <c r="Q61" s="49"/>
      <c r="R61" s="49" t="str">
        <f aca="false">IF($T61="","",IF(LEN(INDEX(Checks!$AH$5:$AH$748,$T61))&gt;53,LEFT(INDEX(Checks!$AH$5:$AH$748,$T61),52)&amp;"…",INDEX(Checks!$AH$5:$AH$748,$T61)&amp;""))</f>
        <v/>
      </c>
      <c r="T61" s="45" t="str">
        <f aca="false">IFERROR(MATCH(8,Checks!$AO$5:$AO$748,0),"")</f>
        <v/>
      </c>
    </row>
    <row r="62" customFormat="false" ht="27.75" hidden="false" customHeight="true" outlineLevel="0" collapsed="false">
      <c r="B62" s="46" t="str">
        <f aca="false">IF($T62="","",9)</f>
        <v/>
      </c>
      <c r="C62" s="29" t="str">
        <f aca="false">IF($T62="","",IF(LEN(INDEX(Checks!$A$5:$A$748,$T62))&gt;28,LEFT(INDEX(Checks!$A$5:$A$748,$T62),27)&amp;"…",INDEX(Checks!$A$5:$A$748,$T62)&amp;""))</f>
        <v/>
      </c>
      <c r="D62" s="29"/>
      <c r="E62" s="47" t="str">
        <f aca="false">IF($T62="","",IF(LEN(INDEX(Checks!$C$5:$C$748,$T62))&gt;14,LEFT(INDEX(Checks!$C$5:$C$748,$T62),13)&amp;"…",INDEX(Checks!$C$5:$C$748,$T62)&amp;""))</f>
        <v/>
      </c>
      <c r="F62" s="29" t="str">
        <f aca="false">IF($T62="","",IF(LEN(INDEX(Checks!$G$5:$G$748,$T62))&gt;25,LEFT(INDEX(Checks!$G$5:$G$748,$T62),24)&amp;"…",INDEX(Checks!$G$5:$G$748,$T62)&amp;""))</f>
        <v/>
      </c>
      <c r="G62" s="29"/>
      <c r="H62" s="29" t="str">
        <f aca="false">IF($T62="","",IF(LEN(INDEX(Checks!$J$5:$J$748,$T62))&gt;100,LEFT(INDEX(Checks!$J$5:$J$748,$T62),99)&amp;"…",INDEX(Checks!$J$5:$J$748,$T62)&amp;""))</f>
        <v/>
      </c>
      <c r="I62" s="29"/>
      <c r="J62" s="29"/>
      <c r="K62" s="29"/>
      <c r="L62" s="29"/>
      <c r="M62" s="29"/>
      <c r="N62" s="47" t="str">
        <f aca="false">IF($T62="","",IF(ISNUMBER(INDEX(Checks!$R$5:$R$748,$T62)),TEXT(INDEX(Checks!$R$5:$R$748,$T62),"dd-mmm hh:mm"),"")&amp;" "&amp;INDEX(Checks!$P$5:$P$748,$T62))</f>
        <v/>
      </c>
      <c r="O62" s="47"/>
      <c r="P62" s="29" t="str">
        <f aca="false">IF($T62="","",IF(LEN(INDEX(Checks!$T$5:$T$748,$T62))&gt;27,LEFT(INDEX(Checks!$T$5:$T$748,$T62),26)&amp;"…",INDEX(Checks!$T$5:$T$748,$T62)&amp;""))</f>
        <v/>
      </c>
      <c r="Q62" s="29"/>
      <c r="R62" s="29" t="str">
        <f aca="false">IF($T62="","",IF(LEN(INDEX(Checks!$AH$5:$AH$748,$T62))&gt;53,LEFT(INDEX(Checks!$AH$5:$AH$748,$T62),52)&amp;"…",INDEX(Checks!$AH$5:$AH$748,$T62)&amp;""))</f>
        <v/>
      </c>
      <c r="T62" s="45" t="str">
        <f aca="false">IFERROR(MATCH(9,Checks!$AO$5:$AO$748,0),"")</f>
        <v/>
      </c>
    </row>
    <row r="63" customFormat="false" ht="27.75" hidden="false" customHeight="true" outlineLevel="0" collapsed="false">
      <c r="B63" s="48" t="str">
        <f aca="false">IF($T63="","",10)</f>
        <v/>
      </c>
      <c r="C63" s="49" t="str">
        <f aca="false">IF($T63="","",IF(LEN(INDEX(Checks!$A$5:$A$748,$T63))&gt;28,LEFT(INDEX(Checks!$A$5:$A$748,$T63),27)&amp;"…",INDEX(Checks!$A$5:$A$748,$T63)&amp;""))</f>
        <v/>
      </c>
      <c r="D63" s="49"/>
      <c r="E63" s="50" t="str">
        <f aca="false">IF($T63="","",IF(LEN(INDEX(Checks!$C$5:$C$748,$T63))&gt;14,LEFT(INDEX(Checks!$C$5:$C$748,$T63),13)&amp;"…",INDEX(Checks!$C$5:$C$748,$T63)&amp;""))</f>
        <v/>
      </c>
      <c r="F63" s="49" t="str">
        <f aca="false">IF($T63="","",IF(LEN(INDEX(Checks!$G$5:$G$748,$T63))&gt;25,LEFT(INDEX(Checks!$G$5:$G$748,$T63),24)&amp;"…",INDEX(Checks!$G$5:$G$748,$T63)&amp;""))</f>
        <v/>
      </c>
      <c r="G63" s="49"/>
      <c r="H63" s="49" t="str">
        <f aca="false">IF($T63="","",IF(LEN(INDEX(Checks!$J$5:$J$748,$T63))&gt;100,LEFT(INDEX(Checks!$J$5:$J$748,$T63),99)&amp;"…",INDEX(Checks!$J$5:$J$748,$T63)&amp;""))</f>
        <v/>
      </c>
      <c r="I63" s="49"/>
      <c r="J63" s="49"/>
      <c r="K63" s="49"/>
      <c r="L63" s="49"/>
      <c r="M63" s="49"/>
      <c r="N63" s="50" t="str">
        <f aca="false">IF($T63="","",IF(ISNUMBER(INDEX(Checks!$R$5:$R$748,$T63)),TEXT(INDEX(Checks!$R$5:$R$748,$T63),"dd-mmm hh:mm"),"")&amp;" "&amp;INDEX(Checks!$P$5:$P$748,$T63))</f>
        <v/>
      </c>
      <c r="O63" s="50"/>
      <c r="P63" s="49" t="str">
        <f aca="false">IF($T63="","",IF(LEN(INDEX(Checks!$T$5:$T$748,$T63))&gt;27,LEFT(INDEX(Checks!$T$5:$T$748,$T63),26)&amp;"…",INDEX(Checks!$T$5:$T$748,$T63)&amp;""))</f>
        <v/>
      </c>
      <c r="Q63" s="49"/>
      <c r="R63" s="49" t="str">
        <f aca="false">IF($T63="","",IF(LEN(INDEX(Checks!$AH$5:$AH$748,$T63))&gt;53,LEFT(INDEX(Checks!$AH$5:$AH$748,$T63),52)&amp;"…",INDEX(Checks!$AH$5:$AH$748,$T63)&amp;""))</f>
        <v/>
      </c>
      <c r="T63" s="45" t="str">
        <f aca="false">IFERROR(MATCH(10,Checks!$AO$5:$AO$748,0),"")</f>
        <v/>
      </c>
    </row>
    <row r="64" customFormat="false" ht="27.75" hidden="false" customHeight="true" outlineLevel="0" collapsed="false">
      <c r="B64" s="46" t="str">
        <f aca="false">IF($T64="","",11)</f>
        <v/>
      </c>
      <c r="C64" s="29" t="str">
        <f aca="false">IF($T64="","",IF(LEN(INDEX(Checks!$A$5:$A$748,$T64))&gt;28,LEFT(INDEX(Checks!$A$5:$A$748,$T64),27)&amp;"…",INDEX(Checks!$A$5:$A$748,$T64)&amp;""))</f>
        <v/>
      </c>
      <c r="D64" s="29"/>
      <c r="E64" s="47" t="str">
        <f aca="false">IF($T64="","",IF(LEN(INDEX(Checks!$C$5:$C$748,$T64))&gt;14,LEFT(INDEX(Checks!$C$5:$C$748,$T64),13)&amp;"…",INDEX(Checks!$C$5:$C$748,$T64)&amp;""))</f>
        <v/>
      </c>
      <c r="F64" s="29" t="str">
        <f aca="false">IF($T64="","",IF(LEN(INDEX(Checks!$G$5:$G$748,$T64))&gt;25,LEFT(INDEX(Checks!$G$5:$G$748,$T64),24)&amp;"…",INDEX(Checks!$G$5:$G$748,$T64)&amp;""))</f>
        <v/>
      </c>
      <c r="G64" s="29"/>
      <c r="H64" s="29" t="str">
        <f aca="false">IF($T64="","",IF(LEN(INDEX(Checks!$J$5:$J$748,$T64))&gt;100,LEFT(INDEX(Checks!$J$5:$J$748,$T64),99)&amp;"…",INDEX(Checks!$J$5:$J$748,$T64)&amp;""))</f>
        <v/>
      </c>
      <c r="I64" s="29"/>
      <c r="J64" s="29"/>
      <c r="K64" s="29"/>
      <c r="L64" s="29"/>
      <c r="M64" s="29"/>
      <c r="N64" s="47" t="str">
        <f aca="false">IF($T64="","",IF(ISNUMBER(INDEX(Checks!$R$5:$R$748,$T64)),TEXT(INDEX(Checks!$R$5:$R$748,$T64),"dd-mmm hh:mm"),"")&amp;" "&amp;INDEX(Checks!$P$5:$P$748,$T64))</f>
        <v/>
      </c>
      <c r="O64" s="47"/>
      <c r="P64" s="29" t="str">
        <f aca="false">IF($T64="","",IF(LEN(INDEX(Checks!$T$5:$T$748,$T64))&gt;27,LEFT(INDEX(Checks!$T$5:$T$748,$T64),26)&amp;"…",INDEX(Checks!$T$5:$T$748,$T64)&amp;""))</f>
        <v/>
      </c>
      <c r="Q64" s="29"/>
      <c r="R64" s="29" t="str">
        <f aca="false">IF($T64="","",IF(LEN(INDEX(Checks!$AH$5:$AH$748,$T64))&gt;53,LEFT(INDEX(Checks!$AH$5:$AH$748,$T64),52)&amp;"…",INDEX(Checks!$AH$5:$AH$748,$T64)&amp;""))</f>
        <v/>
      </c>
      <c r="T64" s="45" t="str">
        <f aca="false">IFERROR(MATCH(11,Checks!$AO$5:$AO$748,0),"")</f>
        <v/>
      </c>
    </row>
    <row r="65" customFormat="false" ht="27.75" hidden="false" customHeight="true" outlineLevel="0" collapsed="false">
      <c r="B65" s="48" t="str">
        <f aca="false">IF($T65="","",12)</f>
        <v/>
      </c>
      <c r="C65" s="49" t="str">
        <f aca="false">IF($T65="","",IF(LEN(INDEX(Checks!$A$5:$A$748,$T65))&gt;28,LEFT(INDEX(Checks!$A$5:$A$748,$T65),27)&amp;"…",INDEX(Checks!$A$5:$A$748,$T65)&amp;""))</f>
        <v/>
      </c>
      <c r="D65" s="49"/>
      <c r="E65" s="50" t="str">
        <f aca="false">IF($T65="","",IF(LEN(INDEX(Checks!$C$5:$C$748,$T65))&gt;14,LEFT(INDEX(Checks!$C$5:$C$748,$T65),13)&amp;"…",INDEX(Checks!$C$5:$C$748,$T65)&amp;""))</f>
        <v/>
      </c>
      <c r="F65" s="49" t="str">
        <f aca="false">IF($T65="","",IF(LEN(INDEX(Checks!$G$5:$G$748,$T65))&gt;25,LEFT(INDEX(Checks!$G$5:$G$748,$T65),24)&amp;"…",INDEX(Checks!$G$5:$G$748,$T65)&amp;""))</f>
        <v/>
      </c>
      <c r="G65" s="49"/>
      <c r="H65" s="49" t="str">
        <f aca="false">IF($T65="","",IF(LEN(INDEX(Checks!$J$5:$J$748,$T65))&gt;100,LEFT(INDEX(Checks!$J$5:$J$748,$T65),99)&amp;"…",INDEX(Checks!$J$5:$J$748,$T65)&amp;""))</f>
        <v/>
      </c>
      <c r="I65" s="49"/>
      <c r="J65" s="49"/>
      <c r="K65" s="49"/>
      <c r="L65" s="49"/>
      <c r="M65" s="49"/>
      <c r="N65" s="50" t="str">
        <f aca="false">IF($T65="","",IF(ISNUMBER(INDEX(Checks!$R$5:$R$748,$T65)),TEXT(INDEX(Checks!$R$5:$R$748,$T65),"dd-mmm hh:mm"),"")&amp;" "&amp;INDEX(Checks!$P$5:$P$748,$T65))</f>
        <v/>
      </c>
      <c r="O65" s="50"/>
      <c r="P65" s="49" t="str">
        <f aca="false">IF($T65="","",IF(LEN(INDEX(Checks!$T$5:$T$748,$T65))&gt;27,LEFT(INDEX(Checks!$T$5:$T$748,$T65),26)&amp;"…",INDEX(Checks!$T$5:$T$748,$T65)&amp;""))</f>
        <v/>
      </c>
      <c r="Q65" s="49"/>
      <c r="R65" s="49" t="str">
        <f aca="false">IF($T65="","",IF(LEN(INDEX(Checks!$AH$5:$AH$748,$T65))&gt;53,LEFT(INDEX(Checks!$AH$5:$AH$748,$T65),52)&amp;"…",INDEX(Checks!$AH$5:$AH$748,$T65)&amp;""))</f>
        <v/>
      </c>
      <c r="T65" s="45" t="str">
        <f aca="false">IFERROR(MATCH(12,Checks!$AO$5:$AO$748,0),"")</f>
        <v/>
      </c>
    </row>
    <row r="66" customFormat="false" ht="27.75" hidden="false" customHeight="true" outlineLevel="0" collapsed="false">
      <c r="B66" s="46" t="str">
        <f aca="false">IF($T66="","",13)</f>
        <v/>
      </c>
      <c r="C66" s="29" t="str">
        <f aca="false">IF($T66="","",IF(LEN(INDEX(Checks!$A$5:$A$748,$T66))&gt;28,LEFT(INDEX(Checks!$A$5:$A$748,$T66),27)&amp;"…",INDEX(Checks!$A$5:$A$748,$T66)&amp;""))</f>
        <v/>
      </c>
      <c r="D66" s="29"/>
      <c r="E66" s="47" t="str">
        <f aca="false">IF($T66="","",IF(LEN(INDEX(Checks!$C$5:$C$748,$T66))&gt;14,LEFT(INDEX(Checks!$C$5:$C$748,$T66),13)&amp;"…",INDEX(Checks!$C$5:$C$748,$T66)&amp;""))</f>
        <v/>
      </c>
      <c r="F66" s="29" t="str">
        <f aca="false">IF($T66="","",IF(LEN(INDEX(Checks!$G$5:$G$748,$T66))&gt;25,LEFT(INDEX(Checks!$G$5:$G$748,$T66),24)&amp;"…",INDEX(Checks!$G$5:$G$748,$T66)&amp;""))</f>
        <v/>
      </c>
      <c r="G66" s="29"/>
      <c r="H66" s="29" t="str">
        <f aca="false">IF($T66="","",IF(LEN(INDEX(Checks!$J$5:$J$748,$T66))&gt;100,LEFT(INDEX(Checks!$J$5:$J$748,$T66),99)&amp;"…",INDEX(Checks!$J$5:$J$748,$T66)&amp;""))</f>
        <v/>
      </c>
      <c r="I66" s="29"/>
      <c r="J66" s="29"/>
      <c r="K66" s="29"/>
      <c r="L66" s="29"/>
      <c r="M66" s="29"/>
      <c r="N66" s="47" t="str">
        <f aca="false">IF($T66="","",IF(ISNUMBER(INDEX(Checks!$R$5:$R$748,$T66)),TEXT(INDEX(Checks!$R$5:$R$748,$T66),"dd-mmm hh:mm"),"")&amp;" "&amp;INDEX(Checks!$P$5:$P$748,$T66))</f>
        <v/>
      </c>
      <c r="O66" s="47"/>
      <c r="P66" s="29" t="str">
        <f aca="false">IF($T66="","",IF(LEN(INDEX(Checks!$T$5:$T$748,$T66))&gt;27,LEFT(INDEX(Checks!$T$5:$T$748,$T66),26)&amp;"…",INDEX(Checks!$T$5:$T$748,$T66)&amp;""))</f>
        <v/>
      </c>
      <c r="Q66" s="29"/>
      <c r="R66" s="29" t="str">
        <f aca="false">IF($T66="","",IF(LEN(INDEX(Checks!$AH$5:$AH$748,$T66))&gt;53,LEFT(INDEX(Checks!$AH$5:$AH$748,$T66),52)&amp;"…",INDEX(Checks!$AH$5:$AH$748,$T66)&amp;""))</f>
        <v/>
      </c>
      <c r="T66" s="45" t="str">
        <f aca="false">IFERROR(MATCH(13,Checks!$AO$5:$AO$748,0),"")</f>
        <v/>
      </c>
    </row>
    <row r="67" customFormat="false" ht="27.75" hidden="false" customHeight="true" outlineLevel="0" collapsed="false">
      <c r="B67" s="48" t="str">
        <f aca="false">IF($T67="","",14)</f>
        <v/>
      </c>
      <c r="C67" s="49" t="str">
        <f aca="false">IF($T67="","",IF(LEN(INDEX(Checks!$A$5:$A$748,$T67))&gt;28,LEFT(INDEX(Checks!$A$5:$A$748,$T67),27)&amp;"…",INDEX(Checks!$A$5:$A$748,$T67)&amp;""))</f>
        <v/>
      </c>
      <c r="D67" s="49"/>
      <c r="E67" s="50" t="str">
        <f aca="false">IF($T67="","",IF(LEN(INDEX(Checks!$C$5:$C$748,$T67))&gt;14,LEFT(INDEX(Checks!$C$5:$C$748,$T67),13)&amp;"…",INDEX(Checks!$C$5:$C$748,$T67)&amp;""))</f>
        <v/>
      </c>
      <c r="F67" s="49" t="str">
        <f aca="false">IF($T67="","",IF(LEN(INDEX(Checks!$G$5:$G$748,$T67))&gt;25,LEFT(INDEX(Checks!$G$5:$G$748,$T67),24)&amp;"…",INDEX(Checks!$G$5:$G$748,$T67)&amp;""))</f>
        <v/>
      </c>
      <c r="G67" s="49"/>
      <c r="H67" s="49" t="str">
        <f aca="false">IF($T67="","",IF(LEN(INDEX(Checks!$J$5:$J$748,$T67))&gt;100,LEFT(INDEX(Checks!$J$5:$J$748,$T67),99)&amp;"…",INDEX(Checks!$J$5:$J$748,$T67)&amp;""))</f>
        <v/>
      </c>
      <c r="I67" s="49"/>
      <c r="J67" s="49"/>
      <c r="K67" s="49"/>
      <c r="L67" s="49"/>
      <c r="M67" s="49"/>
      <c r="N67" s="50" t="str">
        <f aca="false">IF($T67="","",IF(ISNUMBER(INDEX(Checks!$R$5:$R$748,$T67)),TEXT(INDEX(Checks!$R$5:$R$748,$T67),"dd-mmm hh:mm"),"")&amp;" "&amp;INDEX(Checks!$P$5:$P$748,$T67))</f>
        <v/>
      </c>
      <c r="O67" s="50"/>
      <c r="P67" s="49" t="str">
        <f aca="false">IF($T67="","",IF(LEN(INDEX(Checks!$T$5:$T$748,$T67))&gt;27,LEFT(INDEX(Checks!$T$5:$T$748,$T67),26)&amp;"…",INDEX(Checks!$T$5:$T$748,$T67)&amp;""))</f>
        <v/>
      </c>
      <c r="Q67" s="49"/>
      <c r="R67" s="49" t="str">
        <f aca="false">IF($T67="","",IF(LEN(INDEX(Checks!$AH$5:$AH$748,$T67))&gt;53,LEFT(INDEX(Checks!$AH$5:$AH$748,$T67),52)&amp;"…",INDEX(Checks!$AH$5:$AH$748,$T67)&amp;""))</f>
        <v/>
      </c>
      <c r="T67" s="45" t="str">
        <f aca="false">IFERROR(MATCH(14,Checks!$AO$5:$AO$748,0),"")</f>
        <v/>
      </c>
    </row>
    <row r="68" customFormat="false" ht="27.75" hidden="false" customHeight="true" outlineLevel="0" collapsed="false">
      <c r="B68" s="46" t="str">
        <f aca="false">IF($T68="","",15)</f>
        <v/>
      </c>
      <c r="C68" s="29" t="str">
        <f aca="false">IF($T68="","",IF(LEN(INDEX(Checks!$A$5:$A$748,$T68))&gt;28,LEFT(INDEX(Checks!$A$5:$A$748,$T68),27)&amp;"…",INDEX(Checks!$A$5:$A$748,$T68)&amp;""))</f>
        <v/>
      </c>
      <c r="D68" s="29"/>
      <c r="E68" s="47" t="str">
        <f aca="false">IF($T68="","",IF(LEN(INDEX(Checks!$C$5:$C$748,$T68))&gt;14,LEFT(INDEX(Checks!$C$5:$C$748,$T68),13)&amp;"…",INDEX(Checks!$C$5:$C$748,$T68)&amp;""))</f>
        <v/>
      </c>
      <c r="F68" s="29" t="str">
        <f aca="false">IF($T68="","",IF(LEN(INDEX(Checks!$G$5:$G$748,$T68))&gt;25,LEFT(INDEX(Checks!$G$5:$G$748,$T68),24)&amp;"…",INDEX(Checks!$G$5:$G$748,$T68)&amp;""))</f>
        <v/>
      </c>
      <c r="G68" s="29"/>
      <c r="H68" s="29" t="str">
        <f aca="false">IF($T68="","",IF(LEN(INDEX(Checks!$J$5:$J$748,$T68))&gt;100,LEFT(INDEX(Checks!$J$5:$J$748,$T68),99)&amp;"…",INDEX(Checks!$J$5:$J$748,$T68)&amp;""))</f>
        <v/>
      </c>
      <c r="I68" s="29"/>
      <c r="J68" s="29"/>
      <c r="K68" s="29"/>
      <c r="L68" s="29"/>
      <c r="M68" s="29"/>
      <c r="N68" s="47" t="str">
        <f aca="false">IF($T68="","",IF(ISNUMBER(INDEX(Checks!$R$5:$R$748,$T68)),TEXT(INDEX(Checks!$R$5:$R$748,$T68),"dd-mmm hh:mm"),"")&amp;" "&amp;INDEX(Checks!$P$5:$P$748,$T68))</f>
        <v/>
      </c>
      <c r="O68" s="47"/>
      <c r="P68" s="29" t="str">
        <f aca="false">IF($T68="","",IF(LEN(INDEX(Checks!$T$5:$T$748,$T68))&gt;27,LEFT(INDEX(Checks!$T$5:$T$748,$T68),26)&amp;"…",INDEX(Checks!$T$5:$T$748,$T68)&amp;""))</f>
        <v/>
      </c>
      <c r="Q68" s="29"/>
      <c r="R68" s="29" t="str">
        <f aca="false">IF($T68="","",IF(LEN(INDEX(Checks!$AH$5:$AH$748,$T68))&gt;53,LEFT(INDEX(Checks!$AH$5:$AH$748,$T68),52)&amp;"…",INDEX(Checks!$AH$5:$AH$748,$T68)&amp;""))</f>
        <v/>
      </c>
      <c r="T68" s="45" t="str">
        <f aca="false">IFERROR(MATCH(15,Checks!$AO$5:$AO$748,0),"")</f>
        <v/>
      </c>
    </row>
    <row r="69" customFormat="false" ht="27.75" hidden="false" customHeight="true" outlineLevel="0" collapsed="false">
      <c r="B69" s="48" t="str">
        <f aca="false">IF($T69="","",16)</f>
        <v/>
      </c>
      <c r="C69" s="49" t="str">
        <f aca="false">IF($T69="","",IF(LEN(INDEX(Checks!$A$5:$A$748,$T69))&gt;28,LEFT(INDEX(Checks!$A$5:$A$748,$T69),27)&amp;"…",INDEX(Checks!$A$5:$A$748,$T69)&amp;""))</f>
        <v/>
      </c>
      <c r="D69" s="49"/>
      <c r="E69" s="50" t="str">
        <f aca="false">IF($T69="","",IF(LEN(INDEX(Checks!$C$5:$C$748,$T69))&gt;14,LEFT(INDEX(Checks!$C$5:$C$748,$T69),13)&amp;"…",INDEX(Checks!$C$5:$C$748,$T69)&amp;""))</f>
        <v/>
      </c>
      <c r="F69" s="49" t="str">
        <f aca="false">IF($T69="","",IF(LEN(INDEX(Checks!$G$5:$G$748,$T69))&gt;25,LEFT(INDEX(Checks!$G$5:$G$748,$T69),24)&amp;"…",INDEX(Checks!$G$5:$G$748,$T69)&amp;""))</f>
        <v/>
      </c>
      <c r="G69" s="49"/>
      <c r="H69" s="49" t="str">
        <f aca="false">IF($T69="","",IF(LEN(INDEX(Checks!$J$5:$J$748,$T69))&gt;100,LEFT(INDEX(Checks!$J$5:$J$748,$T69),99)&amp;"…",INDEX(Checks!$J$5:$J$748,$T69)&amp;""))</f>
        <v/>
      </c>
      <c r="I69" s="49"/>
      <c r="J69" s="49"/>
      <c r="K69" s="49"/>
      <c r="L69" s="49"/>
      <c r="M69" s="49"/>
      <c r="N69" s="50" t="str">
        <f aca="false">IF($T69="","",IF(ISNUMBER(INDEX(Checks!$R$5:$R$748,$T69)),TEXT(INDEX(Checks!$R$5:$R$748,$T69),"dd-mmm hh:mm"),"")&amp;" "&amp;INDEX(Checks!$P$5:$P$748,$T69))</f>
        <v/>
      </c>
      <c r="O69" s="50"/>
      <c r="P69" s="49" t="str">
        <f aca="false">IF($T69="","",IF(LEN(INDEX(Checks!$T$5:$T$748,$T69))&gt;27,LEFT(INDEX(Checks!$T$5:$T$748,$T69),26)&amp;"…",INDEX(Checks!$T$5:$T$748,$T69)&amp;""))</f>
        <v/>
      </c>
      <c r="Q69" s="49"/>
      <c r="R69" s="49" t="str">
        <f aca="false">IF($T69="","",IF(LEN(INDEX(Checks!$AH$5:$AH$748,$T69))&gt;53,LEFT(INDEX(Checks!$AH$5:$AH$748,$T69),52)&amp;"…",INDEX(Checks!$AH$5:$AH$748,$T69)&amp;""))</f>
        <v/>
      </c>
      <c r="T69" s="45" t="str">
        <f aca="false">IFERROR(MATCH(16,Checks!$AO$5:$AO$748,0),"")</f>
        <v/>
      </c>
    </row>
    <row r="70" customFormat="false" ht="27.75" hidden="false" customHeight="true" outlineLevel="0" collapsed="false">
      <c r="B70" s="46" t="str">
        <f aca="false">IF($T70="","",17)</f>
        <v/>
      </c>
      <c r="C70" s="29" t="str">
        <f aca="false">IF($T70="","",IF(LEN(INDEX(Checks!$A$5:$A$748,$T70))&gt;28,LEFT(INDEX(Checks!$A$5:$A$748,$T70),27)&amp;"…",INDEX(Checks!$A$5:$A$748,$T70)&amp;""))</f>
        <v/>
      </c>
      <c r="D70" s="29"/>
      <c r="E70" s="47" t="str">
        <f aca="false">IF($T70="","",IF(LEN(INDEX(Checks!$C$5:$C$748,$T70))&gt;14,LEFT(INDEX(Checks!$C$5:$C$748,$T70),13)&amp;"…",INDEX(Checks!$C$5:$C$748,$T70)&amp;""))</f>
        <v/>
      </c>
      <c r="F70" s="29" t="str">
        <f aca="false">IF($T70="","",IF(LEN(INDEX(Checks!$G$5:$G$748,$T70))&gt;25,LEFT(INDEX(Checks!$G$5:$G$748,$T70),24)&amp;"…",INDEX(Checks!$G$5:$G$748,$T70)&amp;""))</f>
        <v/>
      </c>
      <c r="G70" s="29"/>
      <c r="H70" s="29" t="str">
        <f aca="false">IF($T70="","",IF(LEN(INDEX(Checks!$J$5:$J$748,$T70))&gt;100,LEFT(INDEX(Checks!$J$5:$J$748,$T70),99)&amp;"…",INDEX(Checks!$J$5:$J$748,$T70)&amp;""))</f>
        <v/>
      </c>
      <c r="I70" s="29"/>
      <c r="J70" s="29"/>
      <c r="K70" s="29"/>
      <c r="L70" s="29"/>
      <c r="M70" s="29"/>
      <c r="N70" s="47" t="str">
        <f aca="false">IF($T70="","",IF(ISNUMBER(INDEX(Checks!$R$5:$R$748,$T70)),TEXT(INDEX(Checks!$R$5:$R$748,$T70),"dd-mmm hh:mm"),"")&amp;" "&amp;INDEX(Checks!$P$5:$P$748,$T70))</f>
        <v/>
      </c>
      <c r="O70" s="47"/>
      <c r="P70" s="29" t="str">
        <f aca="false">IF($T70="","",IF(LEN(INDEX(Checks!$T$5:$T$748,$T70))&gt;27,LEFT(INDEX(Checks!$T$5:$T$748,$T70),26)&amp;"…",INDEX(Checks!$T$5:$T$748,$T70)&amp;""))</f>
        <v/>
      </c>
      <c r="Q70" s="29"/>
      <c r="R70" s="29" t="str">
        <f aca="false">IF($T70="","",IF(LEN(INDEX(Checks!$AH$5:$AH$748,$T70))&gt;53,LEFT(INDEX(Checks!$AH$5:$AH$748,$T70),52)&amp;"…",INDEX(Checks!$AH$5:$AH$748,$T70)&amp;""))</f>
        <v/>
      </c>
      <c r="T70" s="45" t="str">
        <f aca="false">IFERROR(MATCH(17,Checks!$AO$5:$AO$748,0),"")</f>
        <v/>
      </c>
    </row>
    <row r="71" customFormat="false" ht="27.75" hidden="false" customHeight="true" outlineLevel="0" collapsed="false">
      <c r="B71" s="48" t="str">
        <f aca="false">IF($T71="","",18)</f>
        <v/>
      </c>
      <c r="C71" s="49" t="str">
        <f aca="false">IF($T71="","",IF(LEN(INDEX(Checks!$A$5:$A$748,$T71))&gt;28,LEFT(INDEX(Checks!$A$5:$A$748,$T71),27)&amp;"…",INDEX(Checks!$A$5:$A$748,$T71)&amp;""))</f>
        <v/>
      </c>
      <c r="D71" s="49"/>
      <c r="E71" s="50" t="str">
        <f aca="false">IF($T71="","",IF(LEN(INDEX(Checks!$C$5:$C$748,$T71))&gt;14,LEFT(INDEX(Checks!$C$5:$C$748,$T71),13)&amp;"…",INDEX(Checks!$C$5:$C$748,$T71)&amp;""))</f>
        <v/>
      </c>
      <c r="F71" s="49" t="str">
        <f aca="false">IF($T71="","",IF(LEN(INDEX(Checks!$G$5:$G$748,$T71))&gt;25,LEFT(INDEX(Checks!$G$5:$G$748,$T71),24)&amp;"…",INDEX(Checks!$G$5:$G$748,$T71)&amp;""))</f>
        <v/>
      </c>
      <c r="G71" s="49"/>
      <c r="H71" s="49" t="str">
        <f aca="false">IF($T71="","",IF(LEN(INDEX(Checks!$J$5:$J$748,$T71))&gt;100,LEFT(INDEX(Checks!$J$5:$J$748,$T71),99)&amp;"…",INDEX(Checks!$J$5:$J$748,$T71)&amp;""))</f>
        <v/>
      </c>
      <c r="I71" s="49"/>
      <c r="J71" s="49"/>
      <c r="K71" s="49"/>
      <c r="L71" s="49"/>
      <c r="M71" s="49"/>
      <c r="N71" s="50" t="str">
        <f aca="false">IF($T71="","",IF(ISNUMBER(INDEX(Checks!$R$5:$R$748,$T71)),TEXT(INDEX(Checks!$R$5:$R$748,$T71),"dd-mmm hh:mm"),"")&amp;" "&amp;INDEX(Checks!$P$5:$P$748,$T71))</f>
        <v/>
      </c>
      <c r="O71" s="50"/>
      <c r="P71" s="49" t="str">
        <f aca="false">IF($T71="","",IF(LEN(INDEX(Checks!$T$5:$T$748,$T71))&gt;27,LEFT(INDEX(Checks!$T$5:$T$748,$T71),26)&amp;"…",INDEX(Checks!$T$5:$T$748,$T71)&amp;""))</f>
        <v/>
      </c>
      <c r="Q71" s="49"/>
      <c r="R71" s="49" t="str">
        <f aca="false">IF($T71="","",IF(LEN(INDEX(Checks!$AH$5:$AH$748,$T71))&gt;53,LEFT(INDEX(Checks!$AH$5:$AH$748,$T71),52)&amp;"…",INDEX(Checks!$AH$5:$AH$748,$T71)&amp;""))</f>
        <v/>
      </c>
      <c r="T71" s="45" t="str">
        <f aca="false">IFERROR(MATCH(18,Checks!$AO$5:$AO$748,0),"")</f>
        <v/>
      </c>
    </row>
    <row r="72" customFormat="false" ht="15.75" hidden="false" customHeight="true" outlineLevel="0" collapsed="false">
      <c r="B72" s="51" t="str">
        <f aca="false">IF(SUM(Checks!$AK$5:$AK$748)=0,"No overdue actions at the as-of time.",IF(SUM(Checks!$AK$5:$AK$748)&gt;18,"+"&amp;(SUM(Checks!$AK$5:$AK$748)-18)&amp;" more overdue actions not shown – see Checks sheet (filter on column AO).",""))</f>
        <v>No overdue actions at the as-of time.</v>
      </c>
      <c r="C72" s="51"/>
      <c r="D72" s="51"/>
      <c r="E72" s="51"/>
      <c r="F72" s="51"/>
      <c r="G72" s="51"/>
      <c r="H72" s="51"/>
      <c r="I72" s="51"/>
      <c r="J72" s="51"/>
      <c r="K72" s="51"/>
      <c r="L72" s="51"/>
      <c r="M72" s="51"/>
      <c r="N72" s="51"/>
      <c r="O72" s="51"/>
      <c r="P72" s="51"/>
      <c r="Q72" s="51"/>
      <c r="R72" s="51"/>
    </row>
    <row r="74" customFormat="false" ht="21.75" hidden="false" customHeight="true" outlineLevel="0" collapsed="false">
      <c r="B74" s="14" t="s">
        <v>126</v>
      </c>
      <c r="C74" s="14"/>
      <c r="D74" s="14"/>
      <c r="E74" s="14"/>
      <c r="F74" s="14"/>
      <c r="G74" s="14"/>
      <c r="H74" s="14"/>
      <c r="I74" s="14"/>
      <c r="J74" s="14"/>
      <c r="K74" s="14"/>
      <c r="L74" s="30" t="str">
        <f aca="false">"Showing "&amp;MIN(18,SUM(Checks!$AL$5:$AL$748))&amp;" of "&amp;SUM(Checks!$AL$5:$AL$748)&amp;"  •  as of "&amp;TEXT(AsOfUTC+8/24,"dd-mmm-yy hh:mm")&amp;" MYT"</f>
        <v>Showing 0 of 0  •  as of 29-Sep-26 08:26 MYT</v>
      </c>
      <c r="M74" s="30"/>
      <c r="N74" s="30"/>
      <c r="O74" s="30"/>
      <c r="P74" s="30"/>
      <c r="Q74" s="30"/>
      <c r="R74" s="30"/>
    </row>
    <row r="75" customFormat="false" ht="27.75" hidden="false" customHeight="true" outlineLevel="0" collapsed="false">
      <c r="B75" s="19" t="s">
        <v>119</v>
      </c>
      <c r="C75" s="19" t="s">
        <v>120</v>
      </c>
      <c r="D75" s="19"/>
      <c r="E75" s="19" t="s">
        <v>105</v>
      </c>
      <c r="F75" s="19" t="s">
        <v>71</v>
      </c>
      <c r="G75" s="19"/>
      <c r="H75" s="19" t="s">
        <v>121</v>
      </c>
      <c r="I75" s="19"/>
      <c r="J75" s="19"/>
      <c r="K75" s="19"/>
      <c r="L75" s="19" t="s">
        <v>127</v>
      </c>
      <c r="M75" s="19" t="s">
        <v>128</v>
      </c>
      <c r="N75" s="19" t="s">
        <v>129</v>
      </c>
      <c r="O75" s="19" t="s">
        <v>130</v>
      </c>
      <c r="P75" s="19" t="s">
        <v>131</v>
      </c>
      <c r="Q75" s="19" t="s">
        <v>132</v>
      </c>
      <c r="R75" s="19"/>
      <c r="T75" s="45" t="s">
        <v>125</v>
      </c>
    </row>
    <row r="76" customFormat="false" ht="27.75" hidden="false" customHeight="true" outlineLevel="0" collapsed="false">
      <c r="B76" s="46" t="str">
        <f aca="false">IF($T76="","",1)</f>
        <v/>
      </c>
      <c r="C76" s="29" t="str">
        <f aca="false">IF($T76="","",IF(LEN(INDEX(Checks!$A$5:$A$748,$T76))&gt;28,LEFT(INDEX(Checks!$A$5:$A$748,$T76),27)&amp;"…",INDEX(Checks!$A$5:$A$748,$T76)&amp;""))</f>
        <v/>
      </c>
      <c r="D76" s="29"/>
      <c r="E76" s="47" t="str">
        <f aca="false">IF($T76="","",IF(LEN(INDEX(Checks!$C$5:$C$748,$T76))&gt;14,LEFT(INDEX(Checks!$C$5:$C$748,$T76),13)&amp;"…",INDEX(Checks!$C$5:$C$748,$T76)&amp;""))</f>
        <v/>
      </c>
      <c r="F76" s="29" t="str">
        <f aca="false">IF($T76="","",IF(LEN(INDEX(Checks!$G$5:$G$748,$T76))&gt;25,LEFT(INDEX(Checks!$G$5:$G$748,$T76),24)&amp;"…",INDEX(Checks!$G$5:$G$748,$T76)&amp;""))</f>
        <v/>
      </c>
      <c r="G76" s="29"/>
      <c r="H76" s="29" t="str">
        <f aca="false">IF($T76="","",IF(LEN(INDEX(Checks!$J$5:$J$748,$T76))&gt;68,LEFT(INDEX(Checks!$J$5:$J$748,$T76),67)&amp;"…",INDEX(Checks!$J$5:$J$748,$T76)&amp;""))</f>
        <v/>
      </c>
      <c r="I76" s="29"/>
      <c r="J76" s="29"/>
      <c r="K76" s="29"/>
      <c r="L76" s="47" t="str">
        <f aca="false">IF($T76="","",IF(LEN(INDEX(Checks!$U$5:$U$748,$T76))&gt;12,LEFT(INDEX(Checks!$U$5:$U$748,$T76),11)&amp;"…",INDEX(Checks!$U$5:$U$748,$T76)&amp;""))</f>
        <v/>
      </c>
      <c r="M76" s="52" t="str">
        <f aca="false">IF($T76="","",IF(INDEX(Checks!$X$5:$X$748,$T76)="","",INDEX(Checks!$X$5:$X$748,$T76)))</f>
        <v/>
      </c>
      <c r="N76" s="52" t="str">
        <f aca="false">IF($T76="","",IF(INDEX(Checks!$Y$5:$Y$748,$T76)="","",INDEX(Checks!$Y$5:$Y$748,$T76)))</f>
        <v/>
      </c>
      <c r="O76" s="52" t="str">
        <f aca="false">IF($T76="","",IF(INDEX(Checks!$AF$5:$AF$748,$T76)="","",INDEX(Checks!$AF$5:$AF$748,$T76)))</f>
        <v/>
      </c>
      <c r="P76" s="47" t="str">
        <f aca="false">IF($T76="","",IF(LEN(INDEX(Checks!$AB$5:$AB$748,$T76))&gt;12,LEFT(INDEX(Checks!$AB$5:$AB$748,$T76),11)&amp;"…",INDEX(Checks!$AB$5:$AB$748,$T76)&amp;""))</f>
        <v/>
      </c>
      <c r="Q76" s="29" t="str">
        <f aca="false">IF($T76="","",IF(LEN(INDEX(Checks!$AA$5:$AA$748,$T76))&gt;68,LEFT(INDEX(Checks!$AA$5:$AA$748,$T76),67)&amp;"…",INDEX(Checks!$AA$5:$AA$748,$T76)&amp;""))</f>
        <v/>
      </c>
      <c r="R76" s="29"/>
      <c r="T76" s="45" t="str">
        <f aca="false">IFERROR(MATCH(1,Checks!$AP$5:$AP$748,0),"")</f>
        <v/>
      </c>
    </row>
    <row r="77" customFormat="false" ht="27.75" hidden="false" customHeight="true" outlineLevel="0" collapsed="false">
      <c r="B77" s="48" t="str">
        <f aca="false">IF($T77="","",2)</f>
        <v/>
      </c>
      <c r="C77" s="49" t="str">
        <f aca="false">IF($T77="","",IF(LEN(INDEX(Checks!$A$5:$A$748,$T77))&gt;28,LEFT(INDEX(Checks!$A$5:$A$748,$T77),27)&amp;"…",INDEX(Checks!$A$5:$A$748,$T77)&amp;""))</f>
        <v/>
      </c>
      <c r="D77" s="49"/>
      <c r="E77" s="50" t="str">
        <f aca="false">IF($T77="","",IF(LEN(INDEX(Checks!$C$5:$C$748,$T77))&gt;14,LEFT(INDEX(Checks!$C$5:$C$748,$T77),13)&amp;"…",INDEX(Checks!$C$5:$C$748,$T77)&amp;""))</f>
        <v/>
      </c>
      <c r="F77" s="49" t="str">
        <f aca="false">IF($T77="","",IF(LEN(INDEX(Checks!$G$5:$G$748,$T77))&gt;25,LEFT(INDEX(Checks!$G$5:$G$748,$T77),24)&amp;"…",INDEX(Checks!$G$5:$G$748,$T77)&amp;""))</f>
        <v/>
      </c>
      <c r="G77" s="49"/>
      <c r="H77" s="49" t="str">
        <f aca="false">IF($T77="","",IF(LEN(INDEX(Checks!$J$5:$J$748,$T77))&gt;68,LEFT(INDEX(Checks!$J$5:$J$748,$T77),67)&amp;"…",INDEX(Checks!$J$5:$J$748,$T77)&amp;""))</f>
        <v/>
      </c>
      <c r="I77" s="49"/>
      <c r="J77" s="49"/>
      <c r="K77" s="49"/>
      <c r="L77" s="50" t="str">
        <f aca="false">IF($T77="","",IF(LEN(INDEX(Checks!$U$5:$U$748,$T77))&gt;12,LEFT(INDEX(Checks!$U$5:$U$748,$T77),11)&amp;"…",INDEX(Checks!$U$5:$U$748,$T77)&amp;""))</f>
        <v/>
      </c>
      <c r="M77" s="53" t="str">
        <f aca="false">IF($T77="","",IF(INDEX(Checks!$X$5:$X$748,$T77)="","",INDEX(Checks!$X$5:$X$748,$T77)))</f>
        <v/>
      </c>
      <c r="N77" s="53" t="str">
        <f aca="false">IF($T77="","",IF(INDEX(Checks!$Y$5:$Y$748,$T77)="","",INDEX(Checks!$Y$5:$Y$748,$T77)))</f>
        <v/>
      </c>
      <c r="O77" s="53" t="str">
        <f aca="false">IF($T77="","",IF(INDEX(Checks!$AF$5:$AF$748,$T77)="","",INDEX(Checks!$AF$5:$AF$748,$T77)))</f>
        <v/>
      </c>
      <c r="P77" s="50" t="str">
        <f aca="false">IF($T77="","",IF(LEN(INDEX(Checks!$AB$5:$AB$748,$T77))&gt;12,LEFT(INDEX(Checks!$AB$5:$AB$748,$T77),11)&amp;"…",INDEX(Checks!$AB$5:$AB$748,$T77)&amp;""))</f>
        <v/>
      </c>
      <c r="Q77" s="49" t="str">
        <f aca="false">IF($T77="","",IF(LEN(INDEX(Checks!$AA$5:$AA$748,$T77))&gt;68,LEFT(INDEX(Checks!$AA$5:$AA$748,$T77),67)&amp;"…",INDEX(Checks!$AA$5:$AA$748,$T77)&amp;""))</f>
        <v/>
      </c>
      <c r="R77" s="49"/>
      <c r="T77" s="45" t="str">
        <f aca="false">IFERROR(MATCH(2,Checks!$AP$5:$AP$748,0),"")</f>
        <v/>
      </c>
    </row>
    <row r="78" customFormat="false" ht="27.75" hidden="false" customHeight="true" outlineLevel="0" collapsed="false">
      <c r="B78" s="46" t="str">
        <f aca="false">IF($T78="","",3)</f>
        <v/>
      </c>
      <c r="C78" s="29" t="str">
        <f aca="false">IF($T78="","",IF(LEN(INDEX(Checks!$A$5:$A$748,$T78))&gt;28,LEFT(INDEX(Checks!$A$5:$A$748,$T78),27)&amp;"…",INDEX(Checks!$A$5:$A$748,$T78)&amp;""))</f>
        <v/>
      </c>
      <c r="D78" s="29"/>
      <c r="E78" s="47" t="str">
        <f aca="false">IF($T78="","",IF(LEN(INDEX(Checks!$C$5:$C$748,$T78))&gt;14,LEFT(INDEX(Checks!$C$5:$C$748,$T78),13)&amp;"…",INDEX(Checks!$C$5:$C$748,$T78)&amp;""))</f>
        <v/>
      </c>
      <c r="F78" s="29" t="str">
        <f aca="false">IF($T78="","",IF(LEN(INDEX(Checks!$G$5:$G$748,$T78))&gt;25,LEFT(INDEX(Checks!$G$5:$G$748,$T78),24)&amp;"…",INDEX(Checks!$G$5:$G$748,$T78)&amp;""))</f>
        <v/>
      </c>
      <c r="G78" s="29"/>
      <c r="H78" s="29" t="str">
        <f aca="false">IF($T78="","",IF(LEN(INDEX(Checks!$J$5:$J$748,$T78))&gt;68,LEFT(INDEX(Checks!$J$5:$J$748,$T78),67)&amp;"…",INDEX(Checks!$J$5:$J$748,$T78)&amp;""))</f>
        <v/>
      </c>
      <c r="I78" s="29"/>
      <c r="J78" s="29"/>
      <c r="K78" s="29"/>
      <c r="L78" s="47" t="str">
        <f aca="false">IF($T78="","",IF(LEN(INDEX(Checks!$U$5:$U$748,$T78))&gt;12,LEFT(INDEX(Checks!$U$5:$U$748,$T78),11)&amp;"…",INDEX(Checks!$U$5:$U$748,$T78)&amp;""))</f>
        <v/>
      </c>
      <c r="M78" s="52" t="str">
        <f aca="false">IF($T78="","",IF(INDEX(Checks!$X$5:$X$748,$T78)="","",INDEX(Checks!$X$5:$X$748,$T78)))</f>
        <v/>
      </c>
      <c r="N78" s="52" t="str">
        <f aca="false">IF($T78="","",IF(INDEX(Checks!$Y$5:$Y$748,$T78)="","",INDEX(Checks!$Y$5:$Y$748,$T78)))</f>
        <v/>
      </c>
      <c r="O78" s="52" t="str">
        <f aca="false">IF($T78="","",IF(INDEX(Checks!$AF$5:$AF$748,$T78)="","",INDEX(Checks!$AF$5:$AF$748,$T78)))</f>
        <v/>
      </c>
      <c r="P78" s="47" t="str">
        <f aca="false">IF($T78="","",IF(LEN(INDEX(Checks!$AB$5:$AB$748,$T78))&gt;12,LEFT(INDEX(Checks!$AB$5:$AB$748,$T78),11)&amp;"…",INDEX(Checks!$AB$5:$AB$748,$T78)&amp;""))</f>
        <v/>
      </c>
      <c r="Q78" s="29" t="str">
        <f aca="false">IF($T78="","",IF(LEN(INDEX(Checks!$AA$5:$AA$748,$T78))&gt;68,LEFT(INDEX(Checks!$AA$5:$AA$748,$T78),67)&amp;"…",INDEX(Checks!$AA$5:$AA$748,$T78)&amp;""))</f>
        <v/>
      </c>
      <c r="R78" s="29"/>
      <c r="T78" s="45" t="str">
        <f aca="false">IFERROR(MATCH(3,Checks!$AP$5:$AP$748,0),"")</f>
        <v/>
      </c>
    </row>
    <row r="79" customFormat="false" ht="27.75" hidden="false" customHeight="true" outlineLevel="0" collapsed="false">
      <c r="B79" s="48" t="str">
        <f aca="false">IF($T79="","",4)</f>
        <v/>
      </c>
      <c r="C79" s="49" t="str">
        <f aca="false">IF($T79="","",IF(LEN(INDEX(Checks!$A$5:$A$748,$T79))&gt;28,LEFT(INDEX(Checks!$A$5:$A$748,$T79),27)&amp;"…",INDEX(Checks!$A$5:$A$748,$T79)&amp;""))</f>
        <v/>
      </c>
      <c r="D79" s="49"/>
      <c r="E79" s="50" t="str">
        <f aca="false">IF($T79="","",IF(LEN(INDEX(Checks!$C$5:$C$748,$T79))&gt;14,LEFT(INDEX(Checks!$C$5:$C$748,$T79),13)&amp;"…",INDEX(Checks!$C$5:$C$748,$T79)&amp;""))</f>
        <v/>
      </c>
      <c r="F79" s="49" t="str">
        <f aca="false">IF($T79="","",IF(LEN(INDEX(Checks!$G$5:$G$748,$T79))&gt;25,LEFT(INDEX(Checks!$G$5:$G$748,$T79),24)&amp;"…",INDEX(Checks!$G$5:$G$748,$T79)&amp;""))</f>
        <v/>
      </c>
      <c r="G79" s="49"/>
      <c r="H79" s="49" t="str">
        <f aca="false">IF($T79="","",IF(LEN(INDEX(Checks!$J$5:$J$748,$T79))&gt;68,LEFT(INDEX(Checks!$J$5:$J$748,$T79),67)&amp;"…",INDEX(Checks!$J$5:$J$748,$T79)&amp;""))</f>
        <v/>
      </c>
      <c r="I79" s="49"/>
      <c r="J79" s="49"/>
      <c r="K79" s="49"/>
      <c r="L79" s="50" t="str">
        <f aca="false">IF($T79="","",IF(LEN(INDEX(Checks!$U$5:$U$748,$T79))&gt;12,LEFT(INDEX(Checks!$U$5:$U$748,$T79),11)&amp;"…",INDEX(Checks!$U$5:$U$748,$T79)&amp;""))</f>
        <v/>
      </c>
      <c r="M79" s="53" t="str">
        <f aca="false">IF($T79="","",IF(INDEX(Checks!$X$5:$X$748,$T79)="","",INDEX(Checks!$X$5:$X$748,$T79)))</f>
        <v/>
      </c>
      <c r="N79" s="53" t="str">
        <f aca="false">IF($T79="","",IF(INDEX(Checks!$Y$5:$Y$748,$T79)="","",INDEX(Checks!$Y$5:$Y$748,$T79)))</f>
        <v/>
      </c>
      <c r="O79" s="53" t="str">
        <f aca="false">IF($T79="","",IF(INDEX(Checks!$AF$5:$AF$748,$T79)="","",INDEX(Checks!$AF$5:$AF$748,$T79)))</f>
        <v/>
      </c>
      <c r="P79" s="50" t="str">
        <f aca="false">IF($T79="","",IF(LEN(INDEX(Checks!$AB$5:$AB$748,$T79))&gt;12,LEFT(INDEX(Checks!$AB$5:$AB$748,$T79),11)&amp;"…",INDEX(Checks!$AB$5:$AB$748,$T79)&amp;""))</f>
        <v/>
      </c>
      <c r="Q79" s="49" t="str">
        <f aca="false">IF($T79="","",IF(LEN(INDEX(Checks!$AA$5:$AA$748,$T79))&gt;68,LEFT(INDEX(Checks!$AA$5:$AA$748,$T79),67)&amp;"…",INDEX(Checks!$AA$5:$AA$748,$T79)&amp;""))</f>
        <v/>
      </c>
      <c r="R79" s="49"/>
      <c r="T79" s="45" t="str">
        <f aca="false">IFERROR(MATCH(4,Checks!$AP$5:$AP$748,0),"")</f>
        <v/>
      </c>
    </row>
    <row r="80" customFormat="false" ht="27.75" hidden="false" customHeight="true" outlineLevel="0" collapsed="false">
      <c r="B80" s="46" t="str">
        <f aca="false">IF($T80="","",5)</f>
        <v/>
      </c>
      <c r="C80" s="29" t="str">
        <f aca="false">IF($T80="","",IF(LEN(INDEX(Checks!$A$5:$A$748,$T80))&gt;28,LEFT(INDEX(Checks!$A$5:$A$748,$T80),27)&amp;"…",INDEX(Checks!$A$5:$A$748,$T80)&amp;""))</f>
        <v/>
      </c>
      <c r="D80" s="29"/>
      <c r="E80" s="47" t="str">
        <f aca="false">IF($T80="","",IF(LEN(INDEX(Checks!$C$5:$C$748,$T80))&gt;14,LEFT(INDEX(Checks!$C$5:$C$748,$T80),13)&amp;"…",INDEX(Checks!$C$5:$C$748,$T80)&amp;""))</f>
        <v/>
      </c>
      <c r="F80" s="29" t="str">
        <f aca="false">IF($T80="","",IF(LEN(INDEX(Checks!$G$5:$G$748,$T80))&gt;25,LEFT(INDEX(Checks!$G$5:$G$748,$T80),24)&amp;"…",INDEX(Checks!$G$5:$G$748,$T80)&amp;""))</f>
        <v/>
      </c>
      <c r="G80" s="29"/>
      <c r="H80" s="29" t="str">
        <f aca="false">IF($T80="","",IF(LEN(INDEX(Checks!$J$5:$J$748,$T80))&gt;68,LEFT(INDEX(Checks!$J$5:$J$748,$T80),67)&amp;"…",INDEX(Checks!$J$5:$J$748,$T80)&amp;""))</f>
        <v/>
      </c>
      <c r="I80" s="29"/>
      <c r="J80" s="29"/>
      <c r="K80" s="29"/>
      <c r="L80" s="47" t="str">
        <f aca="false">IF($T80="","",IF(LEN(INDEX(Checks!$U$5:$U$748,$T80))&gt;12,LEFT(INDEX(Checks!$U$5:$U$748,$T80),11)&amp;"…",INDEX(Checks!$U$5:$U$748,$T80)&amp;""))</f>
        <v/>
      </c>
      <c r="M80" s="52" t="str">
        <f aca="false">IF($T80="","",IF(INDEX(Checks!$X$5:$X$748,$T80)="","",INDEX(Checks!$X$5:$X$748,$T80)))</f>
        <v/>
      </c>
      <c r="N80" s="52" t="str">
        <f aca="false">IF($T80="","",IF(INDEX(Checks!$Y$5:$Y$748,$T80)="","",INDEX(Checks!$Y$5:$Y$748,$T80)))</f>
        <v/>
      </c>
      <c r="O80" s="52" t="str">
        <f aca="false">IF($T80="","",IF(INDEX(Checks!$AF$5:$AF$748,$T80)="","",INDEX(Checks!$AF$5:$AF$748,$T80)))</f>
        <v/>
      </c>
      <c r="P80" s="47" t="str">
        <f aca="false">IF($T80="","",IF(LEN(INDEX(Checks!$AB$5:$AB$748,$T80))&gt;12,LEFT(INDEX(Checks!$AB$5:$AB$748,$T80),11)&amp;"…",INDEX(Checks!$AB$5:$AB$748,$T80)&amp;""))</f>
        <v/>
      </c>
      <c r="Q80" s="29" t="str">
        <f aca="false">IF($T80="","",IF(LEN(INDEX(Checks!$AA$5:$AA$748,$T80))&gt;68,LEFT(INDEX(Checks!$AA$5:$AA$748,$T80),67)&amp;"…",INDEX(Checks!$AA$5:$AA$748,$T80)&amp;""))</f>
        <v/>
      </c>
      <c r="R80" s="29"/>
      <c r="T80" s="45" t="str">
        <f aca="false">IFERROR(MATCH(5,Checks!$AP$5:$AP$748,0),"")</f>
        <v/>
      </c>
    </row>
    <row r="81" customFormat="false" ht="27.75" hidden="false" customHeight="true" outlineLevel="0" collapsed="false">
      <c r="B81" s="48" t="str">
        <f aca="false">IF($T81="","",6)</f>
        <v/>
      </c>
      <c r="C81" s="49" t="str">
        <f aca="false">IF($T81="","",IF(LEN(INDEX(Checks!$A$5:$A$748,$T81))&gt;28,LEFT(INDEX(Checks!$A$5:$A$748,$T81),27)&amp;"…",INDEX(Checks!$A$5:$A$748,$T81)&amp;""))</f>
        <v/>
      </c>
      <c r="D81" s="49"/>
      <c r="E81" s="50" t="str">
        <f aca="false">IF($T81="","",IF(LEN(INDEX(Checks!$C$5:$C$748,$T81))&gt;14,LEFT(INDEX(Checks!$C$5:$C$748,$T81),13)&amp;"…",INDEX(Checks!$C$5:$C$748,$T81)&amp;""))</f>
        <v/>
      </c>
      <c r="F81" s="49" t="str">
        <f aca="false">IF($T81="","",IF(LEN(INDEX(Checks!$G$5:$G$748,$T81))&gt;25,LEFT(INDEX(Checks!$G$5:$G$748,$T81),24)&amp;"…",INDEX(Checks!$G$5:$G$748,$T81)&amp;""))</f>
        <v/>
      </c>
      <c r="G81" s="49"/>
      <c r="H81" s="49" t="str">
        <f aca="false">IF($T81="","",IF(LEN(INDEX(Checks!$J$5:$J$748,$T81))&gt;68,LEFT(INDEX(Checks!$J$5:$J$748,$T81),67)&amp;"…",INDEX(Checks!$J$5:$J$748,$T81)&amp;""))</f>
        <v/>
      </c>
      <c r="I81" s="49"/>
      <c r="J81" s="49"/>
      <c r="K81" s="49"/>
      <c r="L81" s="50" t="str">
        <f aca="false">IF($T81="","",IF(LEN(INDEX(Checks!$U$5:$U$748,$T81))&gt;12,LEFT(INDEX(Checks!$U$5:$U$748,$T81),11)&amp;"…",INDEX(Checks!$U$5:$U$748,$T81)&amp;""))</f>
        <v/>
      </c>
      <c r="M81" s="53" t="str">
        <f aca="false">IF($T81="","",IF(INDEX(Checks!$X$5:$X$748,$T81)="","",INDEX(Checks!$X$5:$X$748,$T81)))</f>
        <v/>
      </c>
      <c r="N81" s="53" t="str">
        <f aca="false">IF($T81="","",IF(INDEX(Checks!$Y$5:$Y$748,$T81)="","",INDEX(Checks!$Y$5:$Y$748,$T81)))</f>
        <v/>
      </c>
      <c r="O81" s="53" t="str">
        <f aca="false">IF($T81="","",IF(INDEX(Checks!$AF$5:$AF$748,$T81)="","",INDEX(Checks!$AF$5:$AF$748,$T81)))</f>
        <v/>
      </c>
      <c r="P81" s="50" t="str">
        <f aca="false">IF($T81="","",IF(LEN(INDEX(Checks!$AB$5:$AB$748,$T81))&gt;12,LEFT(INDEX(Checks!$AB$5:$AB$748,$T81),11)&amp;"…",INDEX(Checks!$AB$5:$AB$748,$T81)&amp;""))</f>
        <v/>
      </c>
      <c r="Q81" s="49" t="str">
        <f aca="false">IF($T81="","",IF(LEN(INDEX(Checks!$AA$5:$AA$748,$T81))&gt;68,LEFT(INDEX(Checks!$AA$5:$AA$748,$T81),67)&amp;"…",INDEX(Checks!$AA$5:$AA$748,$T81)&amp;""))</f>
        <v/>
      </c>
      <c r="R81" s="49"/>
      <c r="T81" s="45" t="str">
        <f aca="false">IFERROR(MATCH(6,Checks!$AP$5:$AP$748,0),"")</f>
        <v/>
      </c>
    </row>
    <row r="82" customFormat="false" ht="27.75" hidden="false" customHeight="true" outlineLevel="0" collapsed="false">
      <c r="B82" s="46" t="str">
        <f aca="false">IF($T82="","",7)</f>
        <v/>
      </c>
      <c r="C82" s="29" t="str">
        <f aca="false">IF($T82="","",IF(LEN(INDEX(Checks!$A$5:$A$748,$T82))&gt;28,LEFT(INDEX(Checks!$A$5:$A$748,$T82),27)&amp;"…",INDEX(Checks!$A$5:$A$748,$T82)&amp;""))</f>
        <v/>
      </c>
      <c r="D82" s="29"/>
      <c r="E82" s="47" t="str">
        <f aca="false">IF($T82="","",IF(LEN(INDEX(Checks!$C$5:$C$748,$T82))&gt;14,LEFT(INDEX(Checks!$C$5:$C$748,$T82),13)&amp;"…",INDEX(Checks!$C$5:$C$748,$T82)&amp;""))</f>
        <v/>
      </c>
      <c r="F82" s="29" t="str">
        <f aca="false">IF($T82="","",IF(LEN(INDEX(Checks!$G$5:$G$748,$T82))&gt;25,LEFT(INDEX(Checks!$G$5:$G$748,$T82),24)&amp;"…",INDEX(Checks!$G$5:$G$748,$T82)&amp;""))</f>
        <v/>
      </c>
      <c r="G82" s="29"/>
      <c r="H82" s="29" t="str">
        <f aca="false">IF($T82="","",IF(LEN(INDEX(Checks!$J$5:$J$748,$T82))&gt;68,LEFT(INDEX(Checks!$J$5:$J$748,$T82),67)&amp;"…",INDEX(Checks!$J$5:$J$748,$T82)&amp;""))</f>
        <v/>
      </c>
      <c r="I82" s="29"/>
      <c r="J82" s="29"/>
      <c r="K82" s="29"/>
      <c r="L82" s="47" t="str">
        <f aca="false">IF($T82="","",IF(LEN(INDEX(Checks!$U$5:$U$748,$T82))&gt;12,LEFT(INDEX(Checks!$U$5:$U$748,$T82),11)&amp;"…",INDEX(Checks!$U$5:$U$748,$T82)&amp;""))</f>
        <v/>
      </c>
      <c r="M82" s="52" t="str">
        <f aca="false">IF($T82="","",IF(INDEX(Checks!$X$5:$X$748,$T82)="","",INDEX(Checks!$X$5:$X$748,$T82)))</f>
        <v/>
      </c>
      <c r="N82" s="52" t="str">
        <f aca="false">IF($T82="","",IF(INDEX(Checks!$Y$5:$Y$748,$T82)="","",INDEX(Checks!$Y$5:$Y$748,$T82)))</f>
        <v/>
      </c>
      <c r="O82" s="52" t="str">
        <f aca="false">IF($T82="","",IF(INDEX(Checks!$AF$5:$AF$748,$T82)="","",INDEX(Checks!$AF$5:$AF$748,$T82)))</f>
        <v/>
      </c>
      <c r="P82" s="47" t="str">
        <f aca="false">IF($T82="","",IF(LEN(INDEX(Checks!$AB$5:$AB$748,$T82))&gt;12,LEFT(INDEX(Checks!$AB$5:$AB$748,$T82),11)&amp;"…",INDEX(Checks!$AB$5:$AB$748,$T82)&amp;""))</f>
        <v/>
      </c>
      <c r="Q82" s="29" t="str">
        <f aca="false">IF($T82="","",IF(LEN(INDEX(Checks!$AA$5:$AA$748,$T82))&gt;68,LEFT(INDEX(Checks!$AA$5:$AA$748,$T82),67)&amp;"…",INDEX(Checks!$AA$5:$AA$748,$T82)&amp;""))</f>
        <v/>
      </c>
      <c r="R82" s="29"/>
      <c r="T82" s="45" t="str">
        <f aca="false">IFERROR(MATCH(7,Checks!$AP$5:$AP$748,0),"")</f>
        <v/>
      </c>
    </row>
    <row r="83" customFormat="false" ht="27.75" hidden="false" customHeight="true" outlineLevel="0" collapsed="false">
      <c r="B83" s="48" t="str">
        <f aca="false">IF($T83="","",8)</f>
        <v/>
      </c>
      <c r="C83" s="49" t="str">
        <f aca="false">IF($T83="","",IF(LEN(INDEX(Checks!$A$5:$A$748,$T83))&gt;28,LEFT(INDEX(Checks!$A$5:$A$748,$T83),27)&amp;"…",INDEX(Checks!$A$5:$A$748,$T83)&amp;""))</f>
        <v/>
      </c>
      <c r="D83" s="49"/>
      <c r="E83" s="50" t="str">
        <f aca="false">IF($T83="","",IF(LEN(INDEX(Checks!$C$5:$C$748,$T83))&gt;14,LEFT(INDEX(Checks!$C$5:$C$748,$T83),13)&amp;"…",INDEX(Checks!$C$5:$C$748,$T83)&amp;""))</f>
        <v/>
      </c>
      <c r="F83" s="49" t="str">
        <f aca="false">IF($T83="","",IF(LEN(INDEX(Checks!$G$5:$G$748,$T83))&gt;25,LEFT(INDEX(Checks!$G$5:$G$748,$T83),24)&amp;"…",INDEX(Checks!$G$5:$G$748,$T83)&amp;""))</f>
        <v/>
      </c>
      <c r="G83" s="49"/>
      <c r="H83" s="49" t="str">
        <f aca="false">IF($T83="","",IF(LEN(INDEX(Checks!$J$5:$J$748,$T83))&gt;68,LEFT(INDEX(Checks!$J$5:$J$748,$T83),67)&amp;"…",INDEX(Checks!$J$5:$J$748,$T83)&amp;""))</f>
        <v/>
      </c>
      <c r="I83" s="49"/>
      <c r="J83" s="49"/>
      <c r="K83" s="49"/>
      <c r="L83" s="50" t="str">
        <f aca="false">IF($T83="","",IF(LEN(INDEX(Checks!$U$5:$U$748,$T83))&gt;12,LEFT(INDEX(Checks!$U$5:$U$748,$T83),11)&amp;"…",INDEX(Checks!$U$5:$U$748,$T83)&amp;""))</f>
        <v/>
      </c>
      <c r="M83" s="53" t="str">
        <f aca="false">IF($T83="","",IF(INDEX(Checks!$X$5:$X$748,$T83)="","",INDEX(Checks!$X$5:$X$748,$T83)))</f>
        <v/>
      </c>
      <c r="N83" s="53" t="str">
        <f aca="false">IF($T83="","",IF(INDEX(Checks!$Y$5:$Y$748,$T83)="","",INDEX(Checks!$Y$5:$Y$748,$T83)))</f>
        <v/>
      </c>
      <c r="O83" s="53" t="str">
        <f aca="false">IF($T83="","",IF(INDEX(Checks!$AF$5:$AF$748,$T83)="","",INDEX(Checks!$AF$5:$AF$748,$T83)))</f>
        <v/>
      </c>
      <c r="P83" s="50" t="str">
        <f aca="false">IF($T83="","",IF(LEN(INDEX(Checks!$AB$5:$AB$748,$T83))&gt;12,LEFT(INDEX(Checks!$AB$5:$AB$748,$T83),11)&amp;"…",INDEX(Checks!$AB$5:$AB$748,$T83)&amp;""))</f>
        <v/>
      </c>
      <c r="Q83" s="49" t="str">
        <f aca="false">IF($T83="","",IF(LEN(INDEX(Checks!$AA$5:$AA$748,$T83))&gt;68,LEFT(INDEX(Checks!$AA$5:$AA$748,$T83),67)&amp;"…",INDEX(Checks!$AA$5:$AA$748,$T83)&amp;""))</f>
        <v/>
      </c>
      <c r="R83" s="49"/>
      <c r="T83" s="45" t="str">
        <f aca="false">IFERROR(MATCH(8,Checks!$AP$5:$AP$748,0),"")</f>
        <v/>
      </c>
    </row>
    <row r="84" customFormat="false" ht="27.75" hidden="false" customHeight="true" outlineLevel="0" collapsed="false">
      <c r="B84" s="46" t="str">
        <f aca="false">IF($T84="","",9)</f>
        <v/>
      </c>
      <c r="C84" s="29" t="str">
        <f aca="false">IF($T84="","",IF(LEN(INDEX(Checks!$A$5:$A$748,$T84))&gt;28,LEFT(INDEX(Checks!$A$5:$A$748,$T84),27)&amp;"…",INDEX(Checks!$A$5:$A$748,$T84)&amp;""))</f>
        <v/>
      </c>
      <c r="D84" s="29"/>
      <c r="E84" s="47" t="str">
        <f aca="false">IF($T84="","",IF(LEN(INDEX(Checks!$C$5:$C$748,$T84))&gt;14,LEFT(INDEX(Checks!$C$5:$C$748,$T84),13)&amp;"…",INDEX(Checks!$C$5:$C$748,$T84)&amp;""))</f>
        <v/>
      </c>
      <c r="F84" s="29" t="str">
        <f aca="false">IF($T84="","",IF(LEN(INDEX(Checks!$G$5:$G$748,$T84))&gt;25,LEFT(INDEX(Checks!$G$5:$G$748,$T84),24)&amp;"…",INDEX(Checks!$G$5:$G$748,$T84)&amp;""))</f>
        <v/>
      </c>
      <c r="G84" s="29"/>
      <c r="H84" s="29" t="str">
        <f aca="false">IF($T84="","",IF(LEN(INDEX(Checks!$J$5:$J$748,$T84))&gt;68,LEFT(INDEX(Checks!$J$5:$J$748,$T84),67)&amp;"…",INDEX(Checks!$J$5:$J$748,$T84)&amp;""))</f>
        <v/>
      </c>
      <c r="I84" s="29"/>
      <c r="J84" s="29"/>
      <c r="K84" s="29"/>
      <c r="L84" s="47" t="str">
        <f aca="false">IF($T84="","",IF(LEN(INDEX(Checks!$U$5:$U$748,$T84))&gt;12,LEFT(INDEX(Checks!$U$5:$U$748,$T84),11)&amp;"…",INDEX(Checks!$U$5:$U$748,$T84)&amp;""))</f>
        <v/>
      </c>
      <c r="M84" s="52" t="str">
        <f aca="false">IF($T84="","",IF(INDEX(Checks!$X$5:$X$748,$T84)="","",INDEX(Checks!$X$5:$X$748,$T84)))</f>
        <v/>
      </c>
      <c r="N84" s="52" t="str">
        <f aca="false">IF($T84="","",IF(INDEX(Checks!$Y$5:$Y$748,$T84)="","",INDEX(Checks!$Y$5:$Y$748,$T84)))</f>
        <v/>
      </c>
      <c r="O84" s="52" t="str">
        <f aca="false">IF($T84="","",IF(INDEX(Checks!$AF$5:$AF$748,$T84)="","",INDEX(Checks!$AF$5:$AF$748,$T84)))</f>
        <v/>
      </c>
      <c r="P84" s="47" t="str">
        <f aca="false">IF($T84="","",IF(LEN(INDEX(Checks!$AB$5:$AB$748,$T84))&gt;12,LEFT(INDEX(Checks!$AB$5:$AB$748,$T84),11)&amp;"…",INDEX(Checks!$AB$5:$AB$748,$T84)&amp;""))</f>
        <v/>
      </c>
      <c r="Q84" s="29" t="str">
        <f aca="false">IF($T84="","",IF(LEN(INDEX(Checks!$AA$5:$AA$748,$T84))&gt;68,LEFT(INDEX(Checks!$AA$5:$AA$748,$T84),67)&amp;"…",INDEX(Checks!$AA$5:$AA$748,$T84)&amp;""))</f>
        <v/>
      </c>
      <c r="R84" s="29"/>
      <c r="T84" s="45" t="str">
        <f aca="false">IFERROR(MATCH(9,Checks!$AP$5:$AP$748,0),"")</f>
        <v/>
      </c>
    </row>
    <row r="85" customFormat="false" ht="27.75" hidden="false" customHeight="true" outlineLevel="0" collapsed="false">
      <c r="B85" s="48" t="str">
        <f aca="false">IF($T85="","",10)</f>
        <v/>
      </c>
      <c r="C85" s="49" t="str">
        <f aca="false">IF($T85="","",IF(LEN(INDEX(Checks!$A$5:$A$748,$T85))&gt;28,LEFT(INDEX(Checks!$A$5:$A$748,$T85),27)&amp;"…",INDEX(Checks!$A$5:$A$748,$T85)&amp;""))</f>
        <v/>
      </c>
      <c r="D85" s="49"/>
      <c r="E85" s="50" t="str">
        <f aca="false">IF($T85="","",IF(LEN(INDEX(Checks!$C$5:$C$748,$T85))&gt;14,LEFT(INDEX(Checks!$C$5:$C$748,$T85),13)&amp;"…",INDEX(Checks!$C$5:$C$748,$T85)&amp;""))</f>
        <v/>
      </c>
      <c r="F85" s="49" t="str">
        <f aca="false">IF($T85="","",IF(LEN(INDEX(Checks!$G$5:$G$748,$T85))&gt;25,LEFT(INDEX(Checks!$G$5:$G$748,$T85),24)&amp;"…",INDEX(Checks!$G$5:$G$748,$T85)&amp;""))</f>
        <v/>
      </c>
      <c r="G85" s="49"/>
      <c r="H85" s="49" t="str">
        <f aca="false">IF($T85="","",IF(LEN(INDEX(Checks!$J$5:$J$748,$T85))&gt;68,LEFT(INDEX(Checks!$J$5:$J$748,$T85),67)&amp;"…",INDEX(Checks!$J$5:$J$748,$T85)&amp;""))</f>
        <v/>
      </c>
      <c r="I85" s="49"/>
      <c r="J85" s="49"/>
      <c r="K85" s="49"/>
      <c r="L85" s="50" t="str">
        <f aca="false">IF($T85="","",IF(LEN(INDEX(Checks!$U$5:$U$748,$T85))&gt;12,LEFT(INDEX(Checks!$U$5:$U$748,$T85),11)&amp;"…",INDEX(Checks!$U$5:$U$748,$T85)&amp;""))</f>
        <v/>
      </c>
      <c r="M85" s="53" t="str">
        <f aca="false">IF($T85="","",IF(INDEX(Checks!$X$5:$X$748,$T85)="","",INDEX(Checks!$X$5:$X$748,$T85)))</f>
        <v/>
      </c>
      <c r="N85" s="53" t="str">
        <f aca="false">IF($T85="","",IF(INDEX(Checks!$Y$5:$Y$748,$T85)="","",INDEX(Checks!$Y$5:$Y$748,$T85)))</f>
        <v/>
      </c>
      <c r="O85" s="53" t="str">
        <f aca="false">IF($T85="","",IF(INDEX(Checks!$AF$5:$AF$748,$T85)="","",INDEX(Checks!$AF$5:$AF$748,$T85)))</f>
        <v/>
      </c>
      <c r="P85" s="50" t="str">
        <f aca="false">IF($T85="","",IF(LEN(INDEX(Checks!$AB$5:$AB$748,$T85))&gt;12,LEFT(INDEX(Checks!$AB$5:$AB$748,$T85),11)&amp;"…",INDEX(Checks!$AB$5:$AB$748,$T85)&amp;""))</f>
        <v/>
      </c>
      <c r="Q85" s="49" t="str">
        <f aca="false">IF($T85="","",IF(LEN(INDEX(Checks!$AA$5:$AA$748,$T85))&gt;68,LEFT(INDEX(Checks!$AA$5:$AA$748,$T85),67)&amp;"…",INDEX(Checks!$AA$5:$AA$748,$T85)&amp;""))</f>
        <v/>
      </c>
      <c r="R85" s="49"/>
      <c r="T85" s="45" t="str">
        <f aca="false">IFERROR(MATCH(10,Checks!$AP$5:$AP$748,0),"")</f>
        <v/>
      </c>
    </row>
    <row r="86" customFormat="false" ht="27.75" hidden="false" customHeight="true" outlineLevel="0" collapsed="false">
      <c r="B86" s="46" t="str">
        <f aca="false">IF($T86="","",11)</f>
        <v/>
      </c>
      <c r="C86" s="29" t="str">
        <f aca="false">IF($T86="","",IF(LEN(INDEX(Checks!$A$5:$A$748,$T86))&gt;28,LEFT(INDEX(Checks!$A$5:$A$748,$T86),27)&amp;"…",INDEX(Checks!$A$5:$A$748,$T86)&amp;""))</f>
        <v/>
      </c>
      <c r="D86" s="29"/>
      <c r="E86" s="47" t="str">
        <f aca="false">IF($T86="","",IF(LEN(INDEX(Checks!$C$5:$C$748,$T86))&gt;14,LEFT(INDEX(Checks!$C$5:$C$748,$T86),13)&amp;"…",INDEX(Checks!$C$5:$C$748,$T86)&amp;""))</f>
        <v/>
      </c>
      <c r="F86" s="29" t="str">
        <f aca="false">IF($T86="","",IF(LEN(INDEX(Checks!$G$5:$G$748,$T86))&gt;25,LEFT(INDEX(Checks!$G$5:$G$748,$T86),24)&amp;"…",INDEX(Checks!$G$5:$G$748,$T86)&amp;""))</f>
        <v/>
      </c>
      <c r="G86" s="29"/>
      <c r="H86" s="29" t="str">
        <f aca="false">IF($T86="","",IF(LEN(INDEX(Checks!$J$5:$J$748,$T86))&gt;68,LEFT(INDEX(Checks!$J$5:$J$748,$T86),67)&amp;"…",INDEX(Checks!$J$5:$J$748,$T86)&amp;""))</f>
        <v/>
      </c>
      <c r="I86" s="29"/>
      <c r="J86" s="29"/>
      <c r="K86" s="29"/>
      <c r="L86" s="47" t="str">
        <f aca="false">IF($T86="","",IF(LEN(INDEX(Checks!$U$5:$U$748,$T86))&gt;12,LEFT(INDEX(Checks!$U$5:$U$748,$T86),11)&amp;"…",INDEX(Checks!$U$5:$U$748,$T86)&amp;""))</f>
        <v/>
      </c>
      <c r="M86" s="52" t="str">
        <f aca="false">IF($T86="","",IF(INDEX(Checks!$X$5:$X$748,$T86)="","",INDEX(Checks!$X$5:$X$748,$T86)))</f>
        <v/>
      </c>
      <c r="N86" s="52" t="str">
        <f aca="false">IF($T86="","",IF(INDEX(Checks!$Y$5:$Y$748,$T86)="","",INDEX(Checks!$Y$5:$Y$748,$T86)))</f>
        <v/>
      </c>
      <c r="O86" s="52" t="str">
        <f aca="false">IF($T86="","",IF(INDEX(Checks!$AF$5:$AF$748,$T86)="","",INDEX(Checks!$AF$5:$AF$748,$T86)))</f>
        <v/>
      </c>
      <c r="P86" s="47" t="str">
        <f aca="false">IF($T86="","",IF(LEN(INDEX(Checks!$AB$5:$AB$748,$T86))&gt;12,LEFT(INDEX(Checks!$AB$5:$AB$748,$T86),11)&amp;"…",INDEX(Checks!$AB$5:$AB$748,$T86)&amp;""))</f>
        <v/>
      </c>
      <c r="Q86" s="29" t="str">
        <f aca="false">IF($T86="","",IF(LEN(INDEX(Checks!$AA$5:$AA$748,$T86))&gt;68,LEFT(INDEX(Checks!$AA$5:$AA$748,$T86),67)&amp;"…",INDEX(Checks!$AA$5:$AA$748,$T86)&amp;""))</f>
        <v/>
      </c>
      <c r="R86" s="29"/>
      <c r="T86" s="45" t="str">
        <f aca="false">IFERROR(MATCH(11,Checks!$AP$5:$AP$748,0),"")</f>
        <v/>
      </c>
    </row>
    <row r="87" customFormat="false" ht="27.75" hidden="false" customHeight="true" outlineLevel="0" collapsed="false">
      <c r="B87" s="48" t="str">
        <f aca="false">IF($T87="","",12)</f>
        <v/>
      </c>
      <c r="C87" s="49" t="str">
        <f aca="false">IF($T87="","",IF(LEN(INDEX(Checks!$A$5:$A$748,$T87))&gt;28,LEFT(INDEX(Checks!$A$5:$A$748,$T87),27)&amp;"…",INDEX(Checks!$A$5:$A$748,$T87)&amp;""))</f>
        <v/>
      </c>
      <c r="D87" s="49"/>
      <c r="E87" s="50" t="str">
        <f aca="false">IF($T87="","",IF(LEN(INDEX(Checks!$C$5:$C$748,$T87))&gt;14,LEFT(INDEX(Checks!$C$5:$C$748,$T87),13)&amp;"…",INDEX(Checks!$C$5:$C$748,$T87)&amp;""))</f>
        <v/>
      </c>
      <c r="F87" s="49" t="str">
        <f aca="false">IF($T87="","",IF(LEN(INDEX(Checks!$G$5:$G$748,$T87))&gt;25,LEFT(INDEX(Checks!$G$5:$G$748,$T87),24)&amp;"…",INDEX(Checks!$G$5:$G$748,$T87)&amp;""))</f>
        <v/>
      </c>
      <c r="G87" s="49"/>
      <c r="H87" s="49" t="str">
        <f aca="false">IF($T87="","",IF(LEN(INDEX(Checks!$J$5:$J$748,$T87))&gt;68,LEFT(INDEX(Checks!$J$5:$J$748,$T87),67)&amp;"…",INDEX(Checks!$J$5:$J$748,$T87)&amp;""))</f>
        <v/>
      </c>
      <c r="I87" s="49"/>
      <c r="J87" s="49"/>
      <c r="K87" s="49"/>
      <c r="L87" s="50" t="str">
        <f aca="false">IF($T87="","",IF(LEN(INDEX(Checks!$U$5:$U$748,$T87))&gt;12,LEFT(INDEX(Checks!$U$5:$U$748,$T87),11)&amp;"…",INDEX(Checks!$U$5:$U$748,$T87)&amp;""))</f>
        <v/>
      </c>
      <c r="M87" s="53" t="str">
        <f aca="false">IF($T87="","",IF(INDEX(Checks!$X$5:$X$748,$T87)="","",INDEX(Checks!$X$5:$X$748,$T87)))</f>
        <v/>
      </c>
      <c r="N87" s="53" t="str">
        <f aca="false">IF($T87="","",IF(INDEX(Checks!$Y$5:$Y$748,$T87)="","",INDEX(Checks!$Y$5:$Y$748,$T87)))</f>
        <v/>
      </c>
      <c r="O87" s="53" t="str">
        <f aca="false">IF($T87="","",IF(INDEX(Checks!$AF$5:$AF$748,$T87)="","",INDEX(Checks!$AF$5:$AF$748,$T87)))</f>
        <v/>
      </c>
      <c r="P87" s="50" t="str">
        <f aca="false">IF($T87="","",IF(LEN(INDEX(Checks!$AB$5:$AB$748,$T87))&gt;12,LEFT(INDEX(Checks!$AB$5:$AB$748,$T87),11)&amp;"…",INDEX(Checks!$AB$5:$AB$748,$T87)&amp;""))</f>
        <v/>
      </c>
      <c r="Q87" s="49" t="str">
        <f aca="false">IF($T87="","",IF(LEN(INDEX(Checks!$AA$5:$AA$748,$T87))&gt;68,LEFT(INDEX(Checks!$AA$5:$AA$748,$T87),67)&amp;"…",INDEX(Checks!$AA$5:$AA$748,$T87)&amp;""))</f>
        <v/>
      </c>
      <c r="R87" s="49"/>
      <c r="T87" s="45" t="str">
        <f aca="false">IFERROR(MATCH(12,Checks!$AP$5:$AP$748,0),"")</f>
        <v/>
      </c>
    </row>
    <row r="88" customFormat="false" ht="27.75" hidden="false" customHeight="true" outlineLevel="0" collapsed="false">
      <c r="B88" s="46" t="str">
        <f aca="false">IF($T88="","",13)</f>
        <v/>
      </c>
      <c r="C88" s="29" t="str">
        <f aca="false">IF($T88="","",IF(LEN(INDEX(Checks!$A$5:$A$748,$T88))&gt;28,LEFT(INDEX(Checks!$A$5:$A$748,$T88),27)&amp;"…",INDEX(Checks!$A$5:$A$748,$T88)&amp;""))</f>
        <v/>
      </c>
      <c r="D88" s="29"/>
      <c r="E88" s="47" t="str">
        <f aca="false">IF($T88="","",IF(LEN(INDEX(Checks!$C$5:$C$748,$T88))&gt;14,LEFT(INDEX(Checks!$C$5:$C$748,$T88),13)&amp;"…",INDEX(Checks!$C$5:$C$748,$T88)&amp;""))</f>
        <v/>
      </c>
      <c r="F88" s="29" t="str">
        <f aca="false">IF($T88="","",IF(LEN(INDEX(Checks!$G$5:$G$748,$T88))&gt;25,LEFT(INDEX(Checks!$G$5:$G$748,$T88),24)&amp;"…",INDEX(Checks!$G$5:$G$748,$T88)&amp;""))</f>
        <v/>
      </c>
      <c r="G88" s="29"/>
      <c r="H88" s="29" t="str">
        <f aca="false">IF($T88="","",IF(LEN(INDEX(Checks!$J$5:$J$748,$T88))&gt;68,LEFT(INDEX(Checks!$J$5:$J$748,$T88),67)&amp;"…",INDEX(Checks!$J$5:$J$748,$T88)&amp;""))</f>
        <v/>
      </c>
      <c r="I88" s="29"/>
      <c r="J88" s="29"/>
      <c r="K88" s="29"/>
      <c r="L88" s="47" t="str">
        <f aca="false">IF($T88="","",IF(LEN(INDEX(Checks!$U$5:$U$748,$T88))&gt;12,LEFT(INDEX(Checks!$U$5:$U$748,$T88),11)&amp;"…",INDEX(Checks!$U$5:$U$748,$T88)&amp;""))</f>
        <v/>
      </c>
      <c r="M88" s="52" t="str">
        <f aca="false">IF($T88="","",IF(INDEX(Checks!$X$5:$X$748,$T88)="","",INDEX(Checks!$X$5:$X$748,$T88)))</f>
        <v/>
      </c>
      <c r="N88" s="52" t="str">
        <f aca="false">IF($T88="","",IF(INDEX(Checks!$Y$5:$Y$748,$T88)="","",INDEX(Checks!$Y$5:$Y$748,$T88)))</f>
        <v/>
      </c>
      <c r="O88" s="52" t="str">
        <f aca="false">IF($T88="","",IF(INDEX(Checks!$AF$5:$AF$748,$T88)="","",INDEX(Checks!$AF$5:$AF$748,$T88)))</f>
        <v/>
      </c>
      <c r="P88" s="47" t="str">
        <f aca="false">IF($T88="","",IF(LEN(INDEX(Checks!$AB$5:$AB$748,$T88))&gt;12,LEFT(INDEX(Checks!$AB$5:$AB$748,$T88),11)&amp;"…",INDEX(Checks!$AB$5:$AB$748,$T88)&amp;""))</f>
        <v/>
      </c>
      <c r="Q88" s="29" t="str">
        <f aca="false">IF($T88="","",IF(LEN(INDEX(Checks!$AA$5:$AA$748,$T88))&gt;68,LEFT(INDEX(Checks!$AA$5:$AA$748,$T88),67)&amp;"…",INDEX(Checks!$AA$5:$AA$748,$T88)&amp;""))</f>
        <v/>
      </c>
      <c r="R88" s="29"/>
      <c r="T88" s="45" t="str">
        <f aca="false">IFERROR(MATCH(13,Checks!$AP$5:$AP$748,0),"")</f>
        <v/>
      </c>
    </row>
    <row r="89" customFormat="false" ht="27.75" hidden="false" customHeight="true" outlineLevel="0" collapsed="false">
      <c r="B89" s="48" t="str">
        <f aca="false">IF($T89="","",14)</f>
        <v/>
      </c>
      <c r="C89" s="49" t="str">
        <f aca="false">IF($T89="","",IF(LEN(INDEX(Checks!$A$5:$A$748,$T89))&gt;28,LEFT(INDEX(Checks!$A$5:$A$748,$T89),27)&amp;"…",INDEX(Checks!$A$5:$A$748,$T89)&amp;""))</f>
        <v/>
      </c>
      <c r="D89" s="49"/>
      <c r="E89" s="50" t="str">
        <f aca="false">IF($T89="","",IF(LEN(INDEX(Checks!$C$5:$C$748,$T89))&gt;14,LEFT(INDEX(Checks!$C$5:$C$748,$T89),13)&amp;"…",INDEX(Checks!$C$5:$C$748,$T89)&amp;""))</f>
        <v/>
      </c>
      <c r="F89" s="49" t="str">
        <f aca="false">IF($T89="","",IF(LEN(INDEX(Checks!$G$5:$G$748,$T89))&gt;25,LEFT(INDEX(Checks!$G$5:$G$748,$T89),24)&amp;"…",INDEX(Checks!$G$5:$G$748,$T89)&amp;""))</f>
        <v/>
      </c>
      <c r="G89" s="49"/>
      <c r="H89" s="49" t="str">
        <f aca="false">IF($T89="","",IF(LEN(INDEX(Checks!$J$5:$J$748,$T89))&gt;68,LEFT(INDEX(Checks!$J$5:$J$748,$T89),67)&amp;"…",INDEX(Checks!$J$5:$J$748,$T89)&amp;""))</f>
        <v/>
      </c>
      <c r="I89" s="49"/>
      <c r="J89" s="49"/>
      <c r="K89" s="49"/>
      <c r="L89" s="50" t="str">
        <f aca="false">IF($T89="","",IF(LEN(INDEX(Checks!$U$5:$U$748,$T89))&gt;12,LEFT(INDEX(Checks!$U$5:$U$748,$T89),11)&amp;"…",INDEX(Checks!$U$5:$U$748,$T89)&amp;""))</f>
        <v/>
      </c>
      <c r="M89" s="53" t="str">
        <f aca="false">IF($T89="","",IF(INDEX(Checks!$X$5:$X$748,$T89)="","",INDEX(Checks!$X$5:$X$748,$T89)))</f>
        <v/>
      </c>
      <c r="N89" s="53" t="str">
        <f aca="false">IF($T89="","",IF(INDEX(Checks!$Y$5:$Y$748,$T89)="","",INDEX(Checks!$Y$5:$Y$748,$T89)))</f>
        <v/>
      </c>
      <c r="O89" s="53" t="str">
        <f aca="false">IF($T89="","",IF(INDEX(Checks!$AF$5:$AF$748,$T89)="","",INDEX(Checks!$AF$5:$AF$748,$T89)))</f>
        <v/>
      </c>
      <c r="P89" s="50" t="str">
        <f aca="false">IF($T89="","",IF(LEN(INDEX(Checks!$AB$5:$AB$748,$T89))&gt;12,LEFT(INDEX(Checks!$AB$5:$AB$748,$T89),11)&amp;"…",INDEX(Checks!$AB$5:$AB$748,$T89)&amp;""))</f>
        <v/>
      </c>
      <c r="Q89" s="49" t="str">
        <f aca="false">IF($T89="","",IF(LEN(INDEX(Checks!$AA$5:$AA$748,$T89))&gt;68,LEFT(INDEX(Checks!$AA$5:$AA$748,$T89),67)&amp;"…",INDEX(Checks!$AA$5:$AA$748,$T89)&amp;""))</f>
        <v/>
      </c>
      <c r="R89" s="49"/>
      <c r="T89" s="45" t="str">
        <f aca="false">IFERROR(MATCH(14,Checks!$AP$5:$AP$748,0),"")</f>
        <v/>
      </c>
    </row>
    <row r="90" customFormat="false" ht="27.75" hidden="false" customHeight="true" outlineLevel="0" collapsed="false">
      <c r="B90" s="46" t="str">
        <f aca="false">IF($T90="","",15)</f>
        <v/>
      </c>
      <c r="C90" s="29" t="str">
        <f aca="false">IF($T90="","",IF(LEN(INDEX(Checks!$A$5:$A$748,$T90))&gt;28,LEFT(INDEX(Checks!$A$5:$A$748,$T90),27)&amp;"…",INDEX(Checks!$A$5:$A$748,$T90)&amp;""))</f>
        <v/>
      </c>
      <c r="D90" s="29"/>
      <c r="E90" s="47" t="str">
        <f aca="false">IF($T90="","",IF(LEN(INDEX(Checks!$C$5:$C$748,$T90))&gt;14,LEFT(INDEX(Checks!$C$5:$C$748,$T90),13)&amp;"…",INDEX(Checks!$C$5:$C$748,$T90)&amp;""))</f>
        <v/>
      </c>
      <c r="F90" s="29" t="str">
        <f aca="false">IF($T90="","",IF(LEN(INDEX(Checks!$G$5:$G$748,$T90))&gt;25,LEFT(INDEX(Checks!$G$5:$G$748,$T90),24)&amp;"…",INDEX(Checks!$G$5:$G$748,$T90)&amp;""))</f>
        <v/>
      </c>
      <c r="G90" s="29"/>
      <c r="H90" s="29" t="str">
        <f aca="false">IF($T90="","",IF(LEN(INDEX(Checks!$J$5:$J$748,$T90))&gt;68,LEFT(INDEX(Checks!$J$5:$J$748,$T90),67)&amp;"…",INDEX(Checks!$J$5:$J$748,$T90)&amp;""))</f>
        <v/>
      </c>
      <c r="I90" s="29"/>
      <c r="J90" s="29"/>
      <c r="K90" s="29"/>
      <c r="L90" s="47" t="str">
        <f aca="false">IF($T90="","",IF(LEN(INDEX(Checks!$U$5:$U$748,$T90))&gt;12,LEFT(INDEX(Checks!$U$5:$U$748,$T90),11)&amp;"…",INDEX(Checks!$U$5:$U$748,$T90)&amp;""))</f>
        <v/>
      </c>
      <c r="M90" s="52" t="str">
        <f aca="false">IF($T90="","",IF(INDEX(Checks!$X$5:$X$748,$T90)="","",INDEX(Checks!$X$5:$X$748,$T90)))</f>
        <v/>
      </c>
      <c r="N90" s="52" t="str">
        <f aca="false">IF($T90="","",IF(INDEX(Checks!$Y$5:$Y$748,$T90)="","",INDEX(Checks!$Y$5:$Y$748,$T90)))</f>
        <v/>
      </c>
      <c r="O90" s="52" t="str">
        <f aca="false">IF($T90="","",IF(INDEX(Checks!$AF$5:$AF$748,$T90)="","",INDEX(Checks!$AF$5:$AF$748,$T90)))</f>
        <v/>
      </c>
      <c r="P90" s="47" t="str">
        <f aca="false">IF($T90="","",IF(LEN(INDEX(Checks!$AB$5:$AB$748,$T90))&gt;12,LEFT(INDEX(Checks!$AB$5:$AB$748,$T90),11)&amp;"…",INDEX(Checks!$AB$5:$AB$748,$T90)&amp;""))</f>
        <v/>
      </c>
      <c r="Q90" s="29" t="str">
        <f aca="false">IF($T90="","",IF(LEN(INDEX(Checks!$AA$5:$AA$748,$T90))&gt;68,LEFT(INDEX(Checks!$AA$5:$AA$748,$T90),67)&amp;"…",INDEX(Checks!$AA$5:$AA$748,$T90)&amp;""))</f>
        <v/>
      </c>
      <c r="R90" s="29"/>
      <c r="T90" s="45" t="str">
        <f aca="false">IFERROR(MATCH(15,Checks!$AP$5:$AP$748,0),"")</f>
        <v/>
      </c>
    </row>
    <row r="91" customFormat="false" ht="27.75" hidden="false" customHeight="true" outlineLevel="0" collapsed="false">
      <c r="B91" s="48" t="str">
        <f aca="false">IF($T91="","",16)</f>
        <v/>
      </c>
      <c r="C91" s="49" t="str">
        <f aca="false">IF($T91="","",IF(LEN(INDEX(Checks!$A$5:$A$748,$T91))&gt;28,LEFT(INDEX(Checks!$A$5:$A$748,$T91),27)&amp;"…",INDEX(Checks!$A$5:$A$748,$T91)&amp;""))</f>
        <v/>
      </c>
      <c r="D91" s="49"/>
      <c r="E91" s="50" t="str">
        <f aca="false">IF($T91="","",IF(LEN(INDEX(Checks!$C$5:$C$748,$T91))&gt;14,LEFT(INDEX(Checks!$C$5:$C$748,$T91),13)&amp;"…",INDEX(Checks!$C$5:$C$748,$T91)&amp;""))</f>
        <v/>
      </c>
      <c r="F91" s="49" t="str">
        <f aca="false">IF($T91="","",IF(LEN(INDEX(Checks!$G$5:$G$748,$T91))&gt;25,LEFT(INDEX(Checks!$G$5:$G$748,$T91),24)&amp;"…",INDEX(Checks!$G$5:$G$748,$T91)&amp;""))</f>
        <v/>
      </c>
      <c r="G91" s="49"/>
      <c r="H91" s="49" t="str">
        <f aca="false">IF($T91="","",IF(LEN(INDEX(Checks!$J$5:$J$748,$T91))&gt;68,LEFT(INDEX(Checks!$J$5:$J$748,$T91),67)&amp;"…",INDEX(Checks!$J$5:$J$748,$T91)&amp;""))</f>
        <v/>
      </c>
      <c r="I91" s="49"/>
      <c r="J91" s="49"/>
      <c r="K91" s="49"/>
      <c r="L91" s="50" t="str">
        <f aca="false">IF($T91="","",IF(LEN(INDEX(Checks!$U$5:$U$748,$T91))&gt;12,LEFT(INDEX(Checks!$U$5:$U$748,$T91),11)&amp;"…",INDEX(Checks!$U$5:$U$748,$T91)&amp;""))</f>
        <v/>
      </c>
      <c r="M91" s="53" t="str">
        <f aca="false">IF($T91="","",IF(INDEX(Checks!$X$5:$X$748,$T91)="","",INDEX(Checks!$X$5:$X$748,$T91)))</f>
        <v/>
      </c>
      <c r="N91" s="53" t="str">
        <f aca="false">IF($T91="","",IF(INDEX(Checks!$Y$5:$Y$748,$T91)="","",INDEX(Checks!$Y$5:$Y$748,$T91)))</f>
        <v/>
      </c>
      <c r="O91" s="53" t="str">
        <f aca="false">IF($T91="","",IF(INDEX(Checks!$AF$5:$AF$748,$T91)="","",INDEX(Checks!$AF$5:$AF$748,$T91)))</f>
        <v/>
      </c>
      <c r="P91" s="50" t="str">
        <f aca="false">IF($T91="","",IF(LEN(INDEX(Checks!$AB$5:$AB$748,$T91))&gt;12,LEFT(INDEX(Checks!$AB$5:$AB$748,$T91),11)&amp;"…",INDEX(Checks!$AB$5:$AB$748,$T91)&amp;""))</f>
        <v/>
      </c>
      <c r="Q91" s="49" t="str">
        <f aca="false">IF($T91="","",IF(LEN(INDEX(Checks!$AA$5:$AA$748,$T91))&gt;68,LEFT(INDEX(Checks!$AA$5:$AA$748,$T91),67)&amp;"…",INDEX(Checks!$AA$5:$AA$748,$T91)&amp;""))</f>
        <v/>
      </c>
      <c r="R91" s="49"/>
      <c r="T91" s="45" t="str">
        <f aca="false">IFERROR(MATCH(16,Checks!$AP$5:$AP$748,0),"")</f>
        <v/>
      </c>
    </row>
    <row r="92" customFormat="false" ht="27.75" hidden="false" customHeight="true" outlineLevel="0" collapsed="false">
      <c r="B92" s="46" t="str">
        <f aca="false">IF($T92="","",17)</f>
        <v/>
      </c>
      <c r="C92" s="29" t="str">
        <f aca="false">IF($T92="","",IF(LEN(INDEX(Checks!$A$5:$A$748,$T92))&gt;28,LEFT(INDEX(Checks!$A$5:$A$748,$T92),27)&amp;"…",INDEX(Checks!$A$5:$A$748,$T92)&amp;""))</f>
        <v/>
      </c>
      <c r="D92" s="29"/>
      <c r="E92" s="47" t="str">
        <f aca="false">IF($T92="","",IF(LEN(INDEX(Checks!$C$5:$C$748,$T92))&gt;14,LEFT(INDEX(Checks!$C$5:$C$748,$T92),13)&amp;"…",INDEX(Checks!$C$5:$C$748,$T92)&amp;""))</f>
        <v/>
      </c>
      <c r="F92" s="29" t="str">
        <f aca="false">IF($T92="","",IF(LEN(INDEX(Checks!$G$5:$G$748,$T92))&gt;25,LEFT(INDEX(Checks!$G$5:$G$748,$T92),24)&amp;"…",INDEX(Checks!$G$5:$G$748,$T92)&amp;""))</f>
        <v/>
      </c>
      <c r="G92" s="29"/>
      <c r="H92" s="29" t="str">
        <f aca="false">IF($T92="","",IF(LEN(INDEX(Checks!$J$5:$J$748,$T92))&gt;68,LEFT(INDEX(Checks!$J$5:$J$748,$T92),67)&amp;"…",INDEX(Checks!$J$5:$J$748,$T92)&amp;""))</f>
        <v/>
      </c>
      <c r="I92" s="29"/>
      <c r="J92" s="29"/>
      <c r="K92" s="29"/>
      <c r="L92" s="47" t="str">
        <f aca="false">IF($T92="","",IF(LEN(INDEX(Checks!$U$5:$U$748,$T92))&gt;12,LEFT(INDEX(Checks!$U$5:$U$748,$T92),11)&amp;"…",INDEX(Checks!$U$5:$U$748,$T92)&amp;""))</f>
        <v/>
      </c>
      <c r="M92" s="52" t="str">
        <f aca="false">IF($T92="","",IF(INDEX(Checks!$X$5:$X$748,$T92)="","",INDEX(Checks!$X$5:$X$748,$T92)))</f>
        <v/>
      </c>
      <c r="N92" s="52" t="str">
        <f aca="false">IF($T92="","",IF(INDEX(Checks!$Y$5:$Y$748,$T92)="","",INDEX(Checks!$Y$5:$Y$748,$T92)))</f>
        <v/>
      </c>
      <c r="O92" s="52" t="str">
        <f aca="false">IF($T92="","",IF(INDEX(Checks!$AF$5:$AF$748,$T92)="","",INDEX(Checks!$AF$5:$AF$748,$T92)))</f>
        <v/>
      </c>
      <c r="P92" s="47" t="str">
        <f aca="false">IF($T92="","",IF(LEN(INDEX(Checks!$AB$5:$AB$748,$T92))&gt;12,LEFT(INDEX(Checks!$AB$5:$AB$748,$T92),11)&amp;"…",INDEX(Checks!$AB$5:$AB$748,$T92)&amp;""))</f>
        <v/>
      </c>
      <c r="Q92" s="29" t="str">
        <f aca="false">IF($T92="","",IF(LEN(INDEX(Checks!$AA$5:$AA$748,$T92))&gt;68,LEFT(INDEX(Checks!$AA$5:$AA$748,$T92),67)&amp;"…",INDEX(Checks!$AA$5:$AA$748,$T92)&amp;""))</f>
        <v/>
      </c>
      <c r="R92" s="29"/>
      <c r="T92" s="45" t="str">
        <f aca="false">IFERROR(MATCH(17,Checks!$AP$5:$AP$748,0),"")</f>
        <v/>
      </c>
    </row>
    <row r="93" customFormat="false" ht="27.75" hidden="false" customHeight="true" outlineLevel="0" collapsed="false">
      <c r="B93" s="48" t="str">
        <f aca="false">IF($T93="","",18)</f>
        <v/>
      </c>
      <c r="C93" s="49" t="str">
        <f aca="false">IF($T93="","",IF(LEN(INDEX(Checks!$A$5:$A$748,$T93))&gt;28,LEFT(INDEX(Checks!$A$5:$A$748,$T93),27)&amp;"…",INDEX(Checks!$A$5:$A$748,$T93)&amp;""))</f>
        <v/>
      </c>
      <c r="D93" s="49"/>
      <c r="E93" s="50" t="str">
        <f aca="false">IF($T93="","",IF(LEN(INDEX(Checks!$C$5:$C$748,$T93))&gt;14,LEFT(INDEX(Checks!$C$5:$C$748,$T93),13)&amp;"…",INDEX(Checks!$C$5:$C$748,$T93)&amp;""))</f>
        <v/>
      </c>
      <c r="F93" s="49" t="str">
        <f aca="false">IF($T93="","",IF(LEN(INDEX(Checks!$G$5:$G$748,$T93))&gt;25,LEFT(INDEX(Checks!$G$5:$G$748,$T93),24)&amp;"…",INDEX(Checks!$G$5:$G$748,$T93)&amp;""))</f>
        <v/>
      </c>
      <c r="G93" s="49"/>
      <c r="H93" s="49" t="str">
        <f aca="false">IF($T93="","",IF(LEN(INDEX(Checks!$J$5:$J$748,$T93))&gt;68,LEFT(INDEX(Checks!$J$5:$J$748,$T93),67)&amp;"…",INDEX(Checks!$J$5:$J$748,$T93)&amp;""))</f>
        <v/>
      </c>
      <c r="I93" s="49"/>
      <c r="J93" s="49"/>
      <c r="K93" s="49"/>
      <c r="L93" s="50" t="str">
        <f aca="false">IF($T93="","",IF(LEN(INDEX(Checks!$U$5:$U$748,$T93))&gt;12,LEFT(INDEX(Checks!$U$5:$U$748,$T93),11)&amp;"…",INDEX(Checks!$U$5:$U$748,$T93)&amp;""))</f>
        <v/>
      </c>
      <c r="M93" s="53" t="str">
        <f aca="false">IF($T93="","",IF(INDEX(Checks!$X$5:$X$748,$T93)="","",INDEX(Checks!$X$5:$X$748,$T93)))</f>
        <v/>
      </c>
      <c r="N93" s="53" t="str">
        <f aca="false">IF($T93="","",IF(INDEX(Checks!$Y$5:$Y$748,$T93)="","",INDEX(Checks!$Y$5:$Y$748,$T93)))</f>
        <v/>
      </c>
      <c r="O93" s="53" t="str">
        <f aca="false">IF($T93="","",IF(INDEX(Checks!$AF$5:$AF$748,$T93)="","",INDEX(Checks!$AF$5:$AF$748,$T93)))</f>
        <v/>
      </c>
      <c r="P93" s="50" t="str">
        <f aca="false">IF($T93="","",IF(LEN(INDEX(Checks!$AB$5:$AB$748,$T93))&gt;12,LEFT(INDEX(Checks!$AB$5:$AB$748,$T93),11)&amp;"…",INDEX(Checks!$AB$5:$AB$748,$T93)&amp;""))</f>
        <v/>
      </c>
      <c r="Q93" s="49" t="str">
        <f aca="false">IF($T93="","",IF(LEN(INDEX(Checks!$AA$5:$AA$748,$T93))&gt;68,LEFT(INDEX(Checks!$AA$5:$AA$748,$T93),67)&amp;"…",INDEX(Checks!$AA$5:$AA$748,$T93)&amp;""))</f>
        <v/>
      </c>
      <c r="R93" s="49"/>
      <c r="T93" s="45" t="str">
        <f aca="false">IFERROR(MATCH(18,Checks!$AP$5:$AP$748,0),"")</f>
        <v/>
      </c>
    </row>
    <row r="94" customFormat="false" ht="15.75" hidden="false" customHeight="true" outlineLevel="0" collapsed="false">
      <c r="B94" s="51" t="str">
        <f aca="false">IF(SUM(Checks!$AL$5:$AL$748)=0,"No outstanding discrepancies at the as-of time.",IF(SUM(Checks!$AL$5:$AL$748)&gt;18,"+"&amp;(SUM(Checks!$AL$5:$AL$748)-18)&amp;" more outstanding discrepancies not shown – see Checks sheet (filter on column AP).",""))</f>
        <v>No outstanding discrepancies at the as-of time.</v>
      </c>
      <c r="C94" s="51"/>
      <c r="D94" s="51"/>
      <c r="E94" s="51"/>
      <c r="F94" s="51"/>
      <c r="G94" s="51"/>
      <c r="H94" s="51"/>
      <c r="I94" s="51"/>
      <c r="J94" s="51"/>
      <c r="K94" s="51"/>
      <c r="L94" s="51"/>
      <c r="M94" s="51"/>
      <c r="N94" s="51"/>
      <c r="O94" s="51"/>
      <c r="P94" s="51"/>
      <c r="Q94" s="51"/>
      <c r="R94" s="51"/>
    </row>
  </sheetData>
  <sheetProtection sheet="true" formatCells="false" formatColumns="false" formatRows="false" autoFilter="false"/>
  <mergeCells count="263">
    <mergeCell ref="B1:R1"/>
    <mergeCell ref="B2:C2"/>
    <mergeCell ref="D2:E2"/>
    <mergeCell ref="F2:G2"/>
    <mergeCell ref="H2:I2"/>
    <mergeCell ref="J2:R2"/>
    <mergeCell ref="B4:R4"/>
    <mergeCell ref="B5:C5"/>
    <mergeCell ref="D5:E5"/>
    <mergeCell ref="F5:G5"/>
    <mergeCell ref="H5:I5"/>
    <mergeCell ref="J5:K5"/>
    <mergeCell ref="L5:M5"/>
    <mergeCell ref="N5:O5"/>
    <mergeCell ref="P5:R5"/>
    <mergeCell ref="B6:C6"/>
    <mergeCell ref="D6:E6"/>
    <mergeCell ref="F6:G6"/>
    <mergeCell ref="H6:I6"/>
    <mergeCell ref="J6:K6"/>
    <mergeCell ref="L6:M6"/>
    <mergeCell ref="N6:O6"/>
    <mergeCell ref="P6:R6"/>
    <mergeCell ref="B7:C7"/>
    <mergeCell ref="D7:E7"/>
    <mergeCell ref="F7:G7"/>
    <mergeCell ref="H7:I7"/>
    <mergeCell ref="J7:K7"/>
    <mergeCell ref="L7:M7"/>
    <mergeCell ref="N7:O7"/>
    <mergeCell ref="P7:R7"/>
    <mergeCell ref="B9:R9"/>
    <mergeCell ref="B10:C10"/>
    <mergeCell ref="D10:E10"/>
    <mergeCell ref="F10:G10"/>
    <mergeCell ref="J10:K10"/>
    <mergeCell ref="L10:M10"/>
    <mergeCell ref="N10:R10"/>
    <mergeCell ref="B11:C11"/>
    <mergeCell ref="D11:E11"/>
    <mergeCell ref="F11:G11"/>
    <mergeCell ref="J11:K11"/>
    <mergeCell ref="L11:M11"/>
    <mergeCell ref="N11:R11"/>
    <mergeCell ref="B12:C12"/>
    <mergeCell ref="D12:E12"/>
    <mergeCell ref="F12:G12"/>
    <mergeCell ref="J12:K12"/>
    <mergeCell ref="L12:M12"/>
    <mergeCell ref="N12:R12"/>
    <mergeCell ref="B13:C13"/>
    <mergeCell ref="D13:E13"/>
    <mergeCell ref="F13:G13"/>
    <mergeCell ref="J13:K13"/>
    <mergeCell ref="L13:M13"/>
    <mergeCell ref="N13:R13"/>
    <mergeCell ref="B14:C14"/>
    <mergeCell ref="D14:E14"/>
    <mergeCell ref="F14:G14"/>
    <mergeCell ref="J14:K14"/>
    <mergeCell ref="L14:M14"/>
    <mergeCell ref="N14:R14"/>
    <mergeCell ref="B15:C15"/>
    <mergeCell ref="D15:E15"/>
    <mergeCell ref="F15:G15"/>
    <mergeCell ref="J15:K15"/>
    <mergeCell ref="L15:M15"/>
    <mergeCell ref="N15:R15"/>
    <mergeCell ref="B17:R17"/>
    <mergeCell ref="B18:D18"/>
    <mergeCell ref="E18:R18"/>
    <mergeCell ref="B19:D19"/>
    <mergeCell ref="E19:R19"/>
    <mergeCell ref="B20:D20"/>
    <mergeCell ref="E20:R20"/>
    <mergeCell ref="B21:D21"/>
    <mergeCell ref="E21:R21"/>
    <mergeCell ref="B22:D22"/>
    <mergeCell ref="E22:R22"/>
    <mergeCell ref="B23:D23"/>
    <mergeCell ref="E23:R23"/>
    <mergeCell ref="B24:D24"/>
    <mergeCell ref="E24:R24"/>
    <mergeCell ref="B26:K26"/>
    <mergeCell ref="L26:R26"/>
    <mergeCell ref="B50:R50"/>
    <mergeCell ref="B52:K52"/>
    <mergeCell ref="L52:R52"/>
    <mergeCell ref="C53:D53"/>
    <mergeCell ref="F53:G53"/>
    <mergeCell ref="H53:M53"/>
    <mergeCell ref="N53:O53"/>
    <mergeCell ref="P53:Q53"/>
    <mergeCell ref="C54:D54"/>
    <mergeCell ref="F54:G54"/>
    <mergeCell ref="H54:M54"/>
    <mergeCell ref="N54:O54"/>
    <mergeCell ref="P54:Q54"/>
    <mergeCell ref="C55:D55"/>
    <mergeCell ref="F55:G55"/>
    <mergeCell ref="H55:M55"/>
    <mergeCell ref="N55:O55"/>
    <mergeCell ref="P55:Q55"/>
    <mergeCell ref="C56:D56"/>
    <mergeCell ref="F56:G56"/>
    <mergeCell ref="H56:M56"/>
    <mergeCell ref="N56:O56"/>
    <mergeCell ref="P56:Q56"/>
    <mergeCell ref="C57:D57"/>
    <mergeCell ref="F57:G57"/>
    <mergeCell ref="H57:M57"/>
    <mergeCell ref="N57:O57"/>
    <mergeCell ref="P57:Q57"/>
    <mergeCell ref="C58:D58"/>
    <mergeCell ref="F58:G58"/>
    <mergeCell ref="H58:M58"/>
    <mergeCell ref="N58:O58"/>
    <mergeCell ref="P58:Q58"/>
    <mergeCell ref="C59:D59"/>
    <mergeCell ref="F59:G59"/>
    <mergeCell ref="H59:M59"/>
    <mergeCell ref="N59:O59"/>
    <mergeCell ref="P59:Q59"/>
    <mergeCell ref="C60:D60"/>
    <mergeCell ref="F60:G60"/>
    <mergeCell ref="H60:M60"/>
    <mergeCell ref="N60:O60"/>
    <mergeCell ref="P60:Q60"/>
    <mergeCell ref="C61:D61"/>
    <mergeCell ref="F61:G61"/>
    <mergeCell ref="H61:M61"/>
    <mergeCell ref="N61:O61"/>
    <mergeCell ref="P61:Q61"/>
    <mergeCell ref="C62:D62"/>
    <mergeCell ref="F62:G62"/>
    <mergeCell ref="H62:M62"/>
    <mergeCell ref="N62:O62"/>
    <mergeCell ref="P62:Q62"/>
    <mergeCell ref="C63:D63"/>
    <mergeCell ref="F63:G63"/>
    <mergeCell ref="H63:M63"/>
    <mergeCell ref="N63:O63"/>
    <mergeCell ref="P63:Q63"/>
    <mergeCell ref="C64:D64"/>
    <mergeCell ref="F64:G64"/>
    <mergeCell ref="H64:M64"/>
    <mergeCell ref="N64:O64"/>
    <mergeCell ref="P64:Q64"/>
    <mergeCell ref="C65:D65"/>
    <mergeCell ref="F65:G65"/>
    <mergeCell ref="H65:M65"/>
    <mergeCell ref="N65:O65"/>
    <mergeCell ref="P65:Q65"/>
    <mergeCell ref="C66:D66"/>
    <mergeCell ref="F66:G66"/>
    <mergeCell ref="H66:M66"/>
    <mergeCell ref="N66:O66"/>
    <mergeCell ref="P66:Q66"/>
    <mergeCell ref="C67:D67"/>
    <mergeCell ref="F67:G67"/>
    <mergeCell ref="H67:M67"/>
    <mergeCell ref="N67:O67"/>
    <mergeCell ref="P67:Q67"/>
    <mergeCell ref="C68:D68"/>
    <mergeCell ref="F68:G68"/>
    <mergeCell ref="H68:M68"/>
    <mergeCell ref="N68:O68"/>
    <mergeCell ref="P68:Q68"/>
    <mergeCell ref="C69:D69"/>
    <mergeCell ref="F69:G69"/>
    <mergeCell ref="H69:M69"/>
    <mergeCell ref="N69:O69"/>
    <mergeCell ref="P69:Q69"/>
    <mergeCell ref="C70:D70"/>
    <mergeCell ref="F70:G70"/>
    <mergeCell ref="H70:M70"/>
    <mergeCell ref="N70:O70"/>
    <mergeCell ref="P70:Q70"/>
    <mergeCell ref="C71:D71"/>
    <mergeCell ref="F71:G71"/>
    <mergeCell ref="H71:M71"/>
    <mergeCell ref="N71:O71"/>
    <mergeCell ref="P71:Q71"/>
    <mergeCell ref="B72:R72"/>
    <mergeCell ref="B74:K74"/>
    <mergeCell ref="L74:R74"/>
    <mergeCell ref="C75:D75"/>
    <mergeCell ref="F75:G75"/>
    <mergeCell ref="H75:K75"/>
    <mergeCell ref="Q75:R75"/>
    <mergeCell ref="C76:D76"/>
    <mergeCell ref="F76:G76"/>
    <mergeCell ref="H76:K76"/>
    <mergeCell ref="Q76:R76"/>
    <mergeCell ref="C77:D77"/>
    <mergeCell ref="F77:G77"/>
    <mergeCell ref="H77:K77"/>
    <mergeCell ref="Q77:R77"/>
    <mergeCell ref="C78:D78"/>
    <mergeCell ref="F78:G78"/>
    <mergeCell ref="H78:K78"/>
    <mergeCell ref="Q78:R78"/>
    <mergeCell ref="C79:D79"/>
    <mergeCell ref="F79:G79"/>
    <mergeCell ref="H79:K79"/>
    <mergeCell ref="Q79:R79"/>
    <mergeCell ref="C80:D80"/>
    <mergeCell ref="F80:G80"/>
    <mergeCell ref="H80:K80"/>
    <mergeCell ref="Q80:R80"/>
    <mergeCell ref="C81:D81"/>
    <mergeCell ref="F81:G81"/>
    <mergeCell ref="H81:K81"/>
    <mergeCell ref="Q81:R81"/>
    <mergeCell ref="C82:D82"/>
    <mergeCell ref="F82:G82"/>
    <mergeCell ref="H82:K82"/>
    <mergeCell ref="Q82:R82"/>
    <mergeCell ref="C83:D83"/>
    <mergeCell ref="F83:G83"/>
    <mergeCell ref="H83:K83"/>
    <mergeCell ref="Q83:R83"/>
    <mergeCell ref="C84:D84"/>
    <mergeCell ref="F84:G84"/>
    <mergeCell ref="H84:K84"/>
    <mergeCell ref="Q84:R84"/>
    <mergeCell ref="C85:D85"/>
    <mergeCell ref="F85:G85"/>
    <mergeCell ref="H85:K85"/>
    <mergeCell ref="Q85:R85"/>
    <mergeCell ref="C86:D86"/>
    <mergeCell ref="F86:G86"/>
    <mergeCell ref="H86:K86"/>
    <mergeCell ref="Q86:R86"/>
    <mergeCell ref="C87:D87"/>
    <mergeCell ref="F87:G87"/>
    <mergeCell ref="H87:K87"/>
    <mergeCell ref="Q87:R87"/>
    <mergeCell ref="C88:D88"/>
    <mergeCell ref="F88:G88"/>
    <mergeCell ref="H88:K88"/>
    <mergeCell ref="Q88:R88"/>
    <mergeCell ref="C89:D89"/>
    <mergeCell ref="F89:G89"/>
    <mergeCell ref="H89:K89"/>
    <mergeCell ref="Q89:R89"/>
    <mergeCell ref="C90:D90"/>
    <mergeCell ref="F90:G90"/>
    <mergeCell ref="H90:K90"/>
    <mergeCell ref="Q90:R90"/>
    <mergeCell ref="C91:D91"/>
    <mergeCell ref="F91:G91"/>
    <mergeCell ref="H91:K91"/>
    <mergeCell ref="Q91:R91"/>
    <mergeCell ref="C92:D92"/>
    <mergeCell ref="F92:G92"/>
    <mergeCell ref="H92:K92"/>
    <mergeCell ref="Q92:R92"/>
    <mergeCell ref="C93:D93"/>
    <mergeCell ref="F93:G93"/>
    <mergeCell ref="H93:K93"/>
    <mergeCell ref="Q93:R93"/>
    <mergeCell ref="B94:R94"/>
  </mergeCells>
  <conditionalFormatting sqref="H6:I6">
    <cfRule type="cellIs" priority="2" operator="greaterThan" aboveAverage="0" equalAverage="0" bottom="0" percent="0" rank="0" text="" dxfId="0">
      <formula>0</formula>
    </cfRule>
  </conditionalFormatting>
  <conditionalFormatting sqref="J6:K6">
    <cfRule type="cellIs" priority="3" operator="greaterThan" aboveAverage="0" equalAverage="0" bottom="0" percent="0" rank="0" text="" dxfId="0">
      <formula>0</formula>
    </cfRule>
  </conditionalFormatting>
  <conditionalFormatting sqref="L6:M6">
    <cfRule type="cellIs" priority="4" operator="greaterThan" aboveAverage="0" equalAverage="0" bottom="0" percent="0" rank="0" text="" dxfId="0">
      <formula>0</formula>
    </cfRule>
  </conditionalFormatting>
  <conditionalFormatting sqref="N6:O6">
    <cfRule type="cellIs" priority="5" operator="greaterThan" aboveAverage="0" equalAverage="0" bottom="0" percent="0" rank="0" text="" dxfId="0">
      <formula>0</formula>
    </cfRule>
  </conditionalFormatting>
  <conditionalFormatting sqref="P6:R6">
    <cfRule type="cellIs" priority="6" operator="greaterThan" aboveAverage="0" equalAverage="0" bottom="0" percent="0" rank="0" text="" dxfId="0">
      <formula>0</formula>
    </cfRule>
  </conditionalFormatting>
  <conditionalFormatting sqref="F6:G6">
    <cfRule type="expression" priority="7" aboveAverage="0" equalAverage="0" bottom="0" percent="0" rank="0" text="" dxfId="1">
      <formula>AND(ISNUMBER($F$6),$F$6&gt;=1)</formula>
    </cfRule>
  </conditionalFormatting>
  <conditionalFormatting sqref="L11:L15">
    <cfRule type="dataBar" priority="8">
      <dataBar showValue="1" minLength="10" maxLength="90">
        <cfvo type="num" val="0"/>
        <cfvo type="num" val="1"/>
        <color rgb="FF8EA9DB"/>
      </dataBar>
      <extLst>
        <ext xmlns:x14="http://schemas.microsoft.com/office/spreadsheetml/2009/9/main" uri="{B025F937-C7B1-47D3-B67F-A62EFF666E3E}">
          <x14:id>{8B271110-902F-4F4F-81FC-4BD2A4954166}</x14:id>
        </ext>
      </extLst>
    </cfRule>
  </conditionalFormatting>
  <conditionalFormatting sqref="J11:J15">
    <cfRule type="cellIs" priority="9" operator="greaterThan" aboveAverage="0" equalAverage="0" bottom="0" percent="0" rank="0" text="" dxfId="0">
      <formula>0</formula>
    </cfRule>
  </conditionalFormatting>
  <conditionalFormatting sqref="I28:M49">
    <cfRule type="dataBar" priority="10">
      <dataBar showValue="1" minLength="10" maxLength="90">
        <cfvo type="num" val="0"/>
        <cfvo type="num" val="1"/>
        <color rgb="FF8EA9DB"/>
      </dataBar>
      <extLst>
        <ext xmlns:x14="http://schemas.microsoft.com/office/spreadsheetml/2009/9/main" uri="{B025F937-C7B1-47D3-B67F-A62EFF666E3E}">
          <x14:id>{22CAC219-86EF-4DDF-ACBF-C460608DBEBF}</x14:id>
        </ext>
      </extLst>
    </cfRule>
  </conditionalFormatting>
  <conditionalFormatting sqref="N28:Q49">
    <cfRule type="cellIs" priority="11" operator="greaterThan" aboveAverage="0" equalAverage="0" bottom="0" percent="0" rank="0" text="" dxfId="0">
      <formula>0</formula>
    </cfRule>
  </conditionalFormatting>
  <conditionalFormatting sqref="R28:R49">
    <cfRule type="expression" priority="12" aboveAverage="0" equalAverage="0" bottom="0" percent="0" rank="0" text="" dxfId="2">
      <formula>$R28="READY"</formula>
    </cfRule>
    <cfRule type="expression" priority="13" aboveAverage="0" equalAverage="0" bottom="0" percent="0" rank="0" text="" dxfId="3">
      <formula>LEFT($R28,9)="NOT READY"</formula>
    </cfRule>
    <cfRule type="expression" priority="14" aboveAverage="0" equalAverage="0" bottom="0" percent="0" rank="0" text="" dxfId="4">
      <formula>LEFT($R28,9)="PREP DONE"</formula>
    </cfRule>
    <cfRule type="expression" priority="15" aboveAverage="0" equalAverage="0" bottom="0" percent="0" rank="0" text="" dxfId="5">
      <formula>OR($R28="IN PROGRESS",$R28="NOT STARTED")</formula>
    </cfRule>
  </conditionalFormatting>
  <conditionalFormatting sqref="B72">
    <cfRule type="expression" priority="16" aboveAverage="0" equalAverage="0" bottom="0" percent="0" rank="0" text="" dxfId="0">
      <formula>LEFT($B$72,1)="+"</formula>
    </cfRule>
  </conditionalFormatting>
  <conditionalFormatting sqref="B94">
    <cfRule type="expression" priority="17" aboveAverage="0" equalAverage="0" bottom="0" percent="0" rank="0" text="" dxfId="0">
      <formula>LEFT($B$94,1)="+"</formula>
    </cfRule>
  </conditionalFormatting>
  <printOptions headings="false" gridLines="false" gridLinesSet="true" horizontalCentered="true" verticalCentered="false"/>
  <pageMargins left="0.25" right="0.25" top="0.35" bottom="0.45" header="0.511811023622047" footer="0.15"/>
  <pageSetup paperSize="9" scale="100" fitToWidth="1" fitToHeight="0" pageOrder="downThenOver" orientation="landscape" blackAndWhite="false" draft="false" cellComments="none" horizontalDpi="300" verticalDpi="300" copies="1"/>
  <headerFooter differentFirst="false" differentOddEven="false">
    <oddHeader/>
    <oddFooter>&amp;L&amp;8 MAGCS – Skytrax 2026 catering readiness – Dashboard&amp;R&amp;8 Page &amp;P of &amp;N</oddFooter>
  </headerFooter>
  <rowBreaks count="3" manualBreakCount="3">
    <brk id="25" man="true" max="16383" min="0"/>
    <brk id="51" man="true" max="16383" min="0"/>
    <brk id="73" man="true" max="16383" min="0"/>
  </rowBreaks>
  <extLst>
    <ext xmlns:x14="http://schemas.microsoft.com/office/spreadsheetml/2009/9/main" uri="{78C0D931-6437-407d-A8EE-F0AAD7539E65}">
      <x14:conditionalFormattings>
        <x14:conditionalFormatting xmlns:xm="http://schemas.microsoft.com/office/excel/2006/main">
          <x14:cfRule type="dataBar" id="{8B271110-902F-4F4F-81FC-4BD2A4954166}">
            <x14:dataBar minLength="10" maxLength="90" axisPosition="none" gradient="true">
              <x14:cfvo type="num">
                <xm:f>0</xm:f>
              </x14:cfvo>
              <x14:cfvo type="num">
                <xm:f>1</xm:f>
              </x14:cfvo>
              <x14:negativeFillColor rgb="FF8EA9DB"/>
              <x14:axisColor rgb="FF000000"/>
            </x14:dataBar>
          </x14:cfRule>
          <xm:sqref>L11:L15</xm:sqref>
        </x14:conditionalFormatting>
        <x14:conditionalFormatting xmlns:xm="http://schemas.microsoft.com/office/excel/2006/main">
          <x14:cfRule type="dataBar" id="{22CAC219-86EF-4DDF-ACBF-C460608DBEBF}">
            <x14:dataBar minLength="10" maxLength="90" axisPosition="none" gradient="true">
              <x14:cfvo type="num">
                <xm:f>0</xm:f>
              </x14:cfvo>
              <x14:cfvo type="num">
                <xm:f>1</xm:f>
              </x14:cfvo>
              <x14:negativeFillColor rgb="FF8EA9DB"/>
              <x14:axisColor rgb="FF000000"/>
            </x14:dataBar>
          </x14:cfRule>
          <xm:sqref>I28:M49</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A26"/>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5"/>
    <col collapsed="false" customWidth="true" hidden="false" outlineLevel="0" max="4" min="4" style="0" width="10"/>
    <col collapsed="false" customWidth="true" hidden="false" outlineLevel="0" max="5" min="5" style="0" width="6"/>
    <col collapsed="false" customWidth="true" hidden="false" outlineLevel="0" max="6" min="6" style="0" width="9"/>
    <col collapsed="false" customWidth="true" hidden="false" outlineLevel="0" max="8" min="7" style="0" width="6"/>
    <col collapsed="false" customWidth="true" hidden="false" outlineLevel="0" max="10" min="9" style="0" width="15"/>
    <col collapsed="false" customWidth="true" hidden="false" outlineLevel="0" max="11" min="11" style="0" width="8"/>
    <col collapsed="false" customWidth="true" hidden="false" outlineLevel="0" max="12" min="12" style="0" width="9"/>
    <col collapsed="false" customWidth="true" hidden="false" outlineLevel="0" max="13" min="13" style="0" width="30"/>
    <col collapsed="false" customWidth="true" hidden="false" outlineLevel="0" max="14" min="14" style="0" width="12"/>
    <col collapsed="false" customWidth="true" hidden="false" outlineLevel="0" max="15" min="15" style="0" width="6"/>
    <col collapsed="false" customWidth="true" hidden="false" outlineLevel="0" max="16" min="16" style="0" width="8"/>
    <col collapsed="false" customWidth="true" hidden="false" outlineLevel="0" max="17" min="17" style="0" width="14"/>
    <col collapsed="false" customWidth="true" hidden="false" outlineLevel="0" max="18" min="18" style="0" width="13"/>
    <col collapsed="false" customWidth="true" hidden="false" outlineLevel="0" max="19" min="19" style="0" width="12"/>
    <col collapsed="false" customWidth="true" hidden="false" outlineLevel="0" max="20" min="20" style="0" width="22"/>
    <col collapsed="false" customWidth="true" hidden="false" outlineLevel="0" max="21" min="21" style="0" width="11"/>
    <col collapsed="false" customWidth="true" hidden="false" outlineLevel="0" max="22" min="22" style="0" width="9"/>
    <col collapsed="false" customWidth="true" hidden="false" outlineLevel="0" max="23" min="23" style="0" width="16"/>
    <col collapsed="false" customWidth="true" hidden="false" outlineLevel="0" max="24" min="24" style="0" width="14"/>
    <col collapsed="false" customWidth="true" hidden="false" outlineLevel="0" max="25" min="25" style="0" width="16"/>
    <col collapsed="false" customWidth="true" hidden="false" outlineLevel="0" max="26" min="26" style="0" width="8"/>
    <col collapsed="false" customWidth="true" hidden="false" outlineLevel="0" max="27" min="27" style="0" width="15"/>
    <col collapsed="false" customWidth="true" hidden="false" outlineLevel="0" max="28" min="28" style="0" width="8"/>
    <col collapsed="false" customWidth="true" hidden="false" outlineLevel="0" max="35" min="29" style="0" width="15"/>
    <col collapsed="false" customWidth="true" hidden="false" outlineLevel="0" max="40" min="36" style="0" width="8"/>
    <col collapsed="false" customWidth="true" hidden="false" outlineLevel="0" max="41" min="41" style="0" width="9"/>
    <col collapsed="false" customWidth="true" hidden="false" outlineLevel="0" max="42" min="42" style="0" width="8"/>
    <col collapsed="false" customWidth="true" hidden="false" outlineLevel="0" max="45" min="43" style="0" width="9"/>
    <col collapsed="false" customWidth="true" hidden="false" outlineLevel="0" max="46" min="46" style="0" width="26"/>
    <col collapsed="false" customWidth="true" hidden="false" outlineLevel="0" max="47" min="47" style="0" width="8"/>
    <col collapsed="false" customWidth="true" hidden="false" outlineLevel="0" max="49" min="48" style="0" width="9"/>
    <col collapsed="false" customWidth="true" hidden="false" outlineLevel="0" max="52" min="50" style="0" width="17"/>
    <col collapsed="false" customWidth="true" hidden="false" outlineLevel="0" max="53" min="53" style="0" width="15"/>
  </cols>
  <sheetData>
    <row r="1" customFormat="false" ht="24" hidden="false" customHeight="true" outlineLevel="0" collapsed="false">
      <c r="A1" s="54" t="s">
        <v>133</v>
      </c>
    </row>
    <row r="2" customFormat="false" ht="28.5" hidden="false" customHeight="true" outlineLevel="0" collapsed="false">
      <c r="G2" s="55" t="s">
        <v>134</v>
      </c>
      <c r="H2" s="55"/>
      <c r="I2" s="55"/>
      <c r="J2" s="55"/>
      <c r="K2" s="55"/>
      <c r="L2" s="55"/>
      <c r="M2" s="55"/>
    </row>
    <row r="4" customFormat="false" ht="54" hidden="false" customHeight="true" outlineLevel="0" collapsed="false">
      <c r="A4" s="56" t="s">
        <v>135</v>
      </c>
      <c r="B4" s="56" t="s">
        <v>104</v>
      </c>
      <c r="C4" s="56" t="s">
        <v>136</v>
      </c>
      <c r="D4" s="56" t="s">
        <v>106</v>
      </c>
      <c r="E4" s="56" t="s">
        <v>137</v>
      </c>
      <c r="F4" s="56" t="s">
        <v>138</v>
      </c>
      <c r="G4" s="56" t="s">
        <v>139</v>
      </c>
      <c r="H4" s="56" t="s">
        <v>140</v>
      </c>
      <c r="I4" s="56" t="s">
        <v>110</v>
      </c>
      <c r="J4" s="56" t="s">
        <v>141</v>
      </c>
      <c r="K4" s="56" t="s">
        <v>142</v>
      </c>
      <c r="L4" s="56" t="s">
        <v>143</v>
      </c>
      <c r="M4" s="56" t="s">
        <v>144</v>
      </c>
      <c r="N4" s="56" t="s">
        <v>145</v>
      </c>
      <c r="O4" s="56" t="s">
        <v>146</v>
      </c>
      <c r="P4" s="56" t="s">
        <v>147</v>
      </c>
      <c r="Q4" s="56" t="s">
        <v>148</v>
      </c>
      <c r="R4" s="56" t="s">
        <v>149</v>
      </c>
      <c r="S4" s="56" t="s">
        <v>150</v>
      </c>
      <c r="T4" s="56" t="s">
        <v>151</v>
      </c>
      <c r="U4" s="56" t="s">
        <v>152</v>
      </c>
      <c r="V4" s="56" t="s">
        <v>153</v>
      </c>
      <c r="W4" s="56" t="s">
        <v>154</v>
      </c>
      <c r="X4" s="56" t="s">
        <v>155</v>
      </c>
      <c r="Y4" s="56" t="s">
        <v>156</v>
      </c>
      <c r="Z4" s="56" t="s">
        <v>157</v>
      </c>
      <c r="AA4" s="56" t="s">
        <v>158</v>
      </c>
      <c r="AB4" s="56" t="s">
        <v>159</v>
      </c>
      <c r="AC4" s="56" t="s">
        <v>160</v>
      </c>
      <c r="AD4" s="56" t="s">
        <v>161</v>
      </c>
      <c r="AE4" s="56" t="s">
        <v>162</v>
      </c>
      <c r="AF4" s="56" t="s">
        <v>163</v>
      </c>
      <c r="AG4" s="56" t="s">
        <v>164</v>
      </c>
      <c r="AH4" s="56" t="s">
        <v>165</v>
      </c>
      <c r="AI4" s="56" t="s">
        <v>166</v>
      </c>
      <c r="AJ4" s="56" t="s">
        <v>167</v>
      </c>
      <c r="AK4" s="56" t="s">
        <v>168</v>
      </c>
      <c r="AL4" s="56" t="s">
        <v>169</v>
      </c>
      <c r="AM4" s="56" t="s">
        <v>170</v>
      </c>
      <c r="AN4" s="56" t="s">
        <v>171</v>
      </c>
      <c r="AO4" s="56" t="s">
        <v>172</v>
      </c>
      <c r="AP4" s="56" t="s">
        <v>76</v>
      </c>
      <c r="AQ4" s="56" t="s">
        <v>60</v>
      </c>
      <c r="AR4" s="56" t="s">
        <v>61</v>
      </c>
      <c r="AS4" s="56" t="s">
        <v>62</v>
      </c>
      <c r="AT4" s="56" t="s">
        <v>173</v>
      </c>
      <c r="AU4" s="56" t="s">
        <v>63</v>
      </c>
      <c r="AV4" s="56" t="s">
        <v>174</v>
      </c>
      <c r="AW4" s="56" t="s">
        <v>175</v>
      </c>
      <c r="AX4" s="56" t="s">
        <v>176</v>
      </c>
      <c r="AY4" s="56" t="s">
        <v>177</v>
      </c>
      <c r="AZ4" s="56" t="s">
        <v>178</v>
      </c>
      <c r="BA4" s="56" t="s">
        <v>179</v>
      </c>
    </row>
    <row r="5" customFormat="false" ht="36" hidden="false" customHeight="true" outlineLevel="0" collapsed="false">
      <c r="A5" s="57" t="s">
        <v>180</v>
      </c>
      <c r="B5" s="57" t="n">
        <v>1</v>
      </c>
      <c r="C5" s="57" t="n">
        <v>1</v>
      </c>
      <c r="D5" s="58" t="n">
        <v>46303</v>
      </c>
      <c r="E5" s="57" t="s">
        <v>181</v>
      </c>
      <c r="F5" s="57" t="s">
        <v>182</v>
      </c>
      <c r="G5" s="57" t="s">
        <v>183</v>
      </c>
      <c r="H5" s="57" t="s">
        <v>184</v>
      </c>
      <c r="I5" s="59" t="n">
        <v>46303.8993055556</v>
      </c>
      <c r="J5" s="59" t="n">
        <v>46304.7430555556</v>
      </c>
      <c r="K5" s="57" t="s">
        <v>185</v>
      </c>
      <c r="L5" s="60" t="s">
        <v>186</v>
      </c>
      <c r="M5" s="57" t="s">
        <v>187</v>
      </c>
      <c r="N5" s="60"/>
      <c r="O5" s="57" t="s">
        <v>188</v>
      </c>
      <c r="P5" s="57" t="s">
        <v>189</v>
      </c>
      <c r="Q5" s="57"/>
      <c r="R5" s="57" t="s">
        <v>190</v>
      </c>
      <c r="S5" s="57" t="s">
        <v>191</v>
      </c>
      <c r="T5" s="57" t="s">
        <v>192</v>
      </c>
      <c r="U5" s="57" t="s">
        <v>193</v>
      </c>
      <c r="V5" s="57" t="s">
        <v>183</v>
      </c>
      <c r="W5" s="57"/>
      <c r="X5" s="60"/>
      <c r="Y5" s="60"/>
      <c r="Z5" s="61" t="n">
        <f aca="false">IF(AND(INDEX(TZ_DSTS,MATCH(G5,TZ_STN,0))&lt;&gt;"",(I5-INDEX(TZ_STD,MATCH(G5,TZ_STN,0))/24)&gt;=INDEX(TZ_DSTS,MATCH(G5,TZ_STN,0)),(I5-INDEX(TZ_STD,MATCH(G5,TZ_STN,0))/24)&lt;INDEX(TZ_DSTE,MATCH(G5,TZ_STN,0))),INDEX(TZ_DST,MATCH(G5,TZ_STN,0)),INDEX(TZ_STD,MATCH(G5,TZ_STN,0)))</f>
        <v>1</v>
      </c>
      <c r="AA5" s="62" t="n">
        <f aca="false">I5-Z5/24</f>
        <v>46303.8576388889</v>
      </c>
      <c r="AB5" s="63" t="n">
        <f aca="false">(J5-(IF(AND(INDEX(TZ_DSTS,MATCH(H5,TZ_STN,0))&lt;&gt;"",(J5-INDEX(TZ_STD,MATCH(H5,TZ_STN,0))/24)&gt;=INDEX(TZ_DSTS,MATCH(H5,TZ_STN,0)),(J5-INDEX(TZ_STD,MATCH(H5,TZ_STN,0))/24)&lt;INDEX(TZ_DSTE,MATCH(H5,TZ_STN,0))),INDEX(TZ_DST,MATCH(H5,TZ_STN,0)),INDEX(TZ_STD,MATCH(H5,TZ_STN,0))))/24-AA5)*24</f>
        <v>13.25</v>
      </c>
      <c r="AC5" s="62" t="n">
        <f aca="false">AA5-7</f>
        <v>46296.8576388889</v>
      </c>
      <c r="AD5" s="62" t="n">
        <f aca="false">AA5-1</f>
        <v>46302.8576388889</v>
      </c>
      <c r="AE5" s="62" t="n">
        <f aca="false">AA5-0.5</f>
        <v>46303.3576388889</v>
      </c>
      <c r="AF5" s="62" t="n">
        <f aca="false">AA5</f>
        <v>46303.8576388889</v>
      </c>
      <c r="AG5" s="62" t="n">
        <f aca="false">AC5+(IF(AND(INDEX(TZ_DSTS,MATCH(V5,TZ_STN,0))&lt;&gt;"",AC5&gt;=INDEX(TZ_DSTS,MATCH(V5,TZ_STN,0)),AC5&lt;INDEX(TZ_DSTE,MATCH(V5,TZ_STN,0))),INDEX(TZ_DST,MATCH(V5,TZ_STN,0)),INDEX(TZ_STD,MATCH(V5,TZ_STN,0))))/24</f>
        <v>46296.8993055556</v>
      </c>
      <c r="AH5" s="62" t="n">
        <f aca="false">AD5+(IF(AND(INDEX(TZ_DSTS,MATCH(V5,TZ_STN,0))&lt;&gt;"",AD5&gt;=INDEX(TZ_DSTS,MATCH(V5,TZ_STN,0)),AD5&lt;INDEX(TZ_DSTE,MATCH(V5,TZ_STN,0))),INDEX(TZ_DST,MATCH(V5,TZ_STN,0)),INDEX(TZ_STD,MATCH(V5,TZ_STN,0))))/24</f>
        <v>46302.8993055556</v>
      </c>
      <c r="AI5" s="62" t="n">
        <f aca="false">AE5+(IF(AND(INDEX(TZ_DSTS,MATCH(V5,TZ_STN,0))&lt;&gt;"",AE5&gt;=INDEX(TZ_DSTS,MATCH(V5,TZ_STN,0)),AE5&lt;INDEX(TZ_DSTE,MATCH(V5,TZ_STN,0))),INDEX(TZ_DST,MATCH(V5,TZ_STN,0)),INDEX(TZ_STD,MATCH(V5,TZ_STN,0))))/24</f>
        <v>46303.3993055556</v>
      </c>
      <c r="AJ5" s="64" t="n">
        <f aca="false">IFERROR(SUMIFS(Checks!$AJ$5:$AJ$748,Checks!$B$5:$B$748,$A5,Checks!$G$5:$G$748,"T-7D")/SUMIFS(Checks!$AI$5:$AI$748,Checks!$B$5:$B$748,$A5,Checks!$G$5:$G$748,"T-7D"),"n/a")</f>
        <v>0</v>
      </c>
      <c r="AK5" s="64" t="n">
        <f aca="false">IFERROR(SUMIFS(Checks!$AJ$5:$AJ$748,Checks!$B$5:$B$748,$A5,Checks!$G$5:$G$748,"T-24H")/SUMIFS(Checks!$AI$5:$AI$748,Checks!$B$5:$B$748,$A5,Checks!$G$5:$G$748,"T-24H"),"n/a")</f>
        <v>0</v>
      </c>
      <c r="AL5" s="64" t="n">
        <f aca="false">IFERROR(SUMIFS(Checks!$AJ$5:$AJ$748,Checks!$B$5:$B$748,$A5,Checks!$G$5:$G$748,"T-12H PREP")/SUMIFS(Checks!$AI$5:$AI$748,Checks!$B$5:$B$748,$A5,Checks!$G$5:$G$748,"T-12H PREP"),"n/a")</f>
        <v>0</v>
      </c>
      <c r="AM5" s="64" t="n">
        <f aca="false">IFERROR(SUMIFS(Checks!$AJ$5:$AJ$748,Checks!$B$5:$B$748,$A5,Checks!$G$5:$G$748,"UPLIFT")/SUMIFS(Checks!$AI$5:$AI$748,Checks!$B$5:$B$748,$A5,Checks!$G$5:$G$748,"UPLIFT"),"n/a")</f>
        <v>0</v>
      </c>
      <c r="AN5" s="64" t="n">
        <f aca="false">IFERROR(SUMIFS(Checks!$AJ$5:$AJ$748,Checks!$B$5:$B$748,$A5)/SUMIFS(Checks!$AI$5:$AI$748,Checks!$B$5:$B$748,$A5),"n/a")</f>
        <v>0</v>
      </c>
      <c r="AO5" s="61" t="n">
        <f aca="false">AW5-AV5</f>
        <v>24</v>
      </c>
      <c r="AP5" s="61" t="n">
        <f aca="false">SUMIFS(Checks!$AK$5:$AK$748,Checks!$B$5:$B$748,$A5)</f>
        <v>0</v>
      </c>
      <c r="AQ5" s="61" t="n">
        <f aca="false">SUMIFS(Checks!$AL$5:$AL$748,Checks!$B$5:$B$748,$A5)</f>
        <v>0</v>
      </c>
      <c r="AR5" s="61" t="n">
        <f aca="false">Documents!P5</f>
        <v>2</v>
      </c>
      <c r="AS5" s="61" t="n">
        <f aca="false">SUMIFS(Checks!$AN$5:$AN$748,Checks!$B$5:$B$748,$A5,Checks!$H$5:$H$748,"Preparation")</f>
        <v>1</v>
      </c>
      <c r="AT5" s="65" t="str">
        <f aca="false">IF(AND(AW5&gt;0,AO5=0,AQ5=0,AR5=0,AU5=0),"READY",IF(AP5&gt;0,"NOT READY – OVERDUE",IF(AQ5&gt;0,"NOT READY – DISCREPANCY",IF(AU5&gt;0,"NOT READY – INVALID ENTRY",IF(AR5&gt;0,"NOT READY – DOCUMENTS",IF(AS5&gt;0,"NOT READY – CLARIFICATION",IF(AND(AV5&gt;0,SUMIFS(Checks!$AJ$5:$AJ$748,Checks!$B$5:$B$748,$A5,Checks!$H$5:$H$748,"Preparation")=SUMIFS(Checks!$AI$5:$AI$748,Checks!$B$5:$B$748,$A5,Checks!$H$5:$H$748,"Preparation")),"PREP DONE – AWAITING UPLIFT",IF(AV5=0,"NOT STARTED","IN PROGRESS"))))))))</f>
        <v>NOT READY – DOCUMENTS</v>
      </c>
      <c r="AU5" s="61" t="n">
        <f aca="false">SUMIFS(Checks!$AM$5:$AM$748,Checks!$B$5:$B$748,$A5)</f>
        <v>0</v>
      </c>
      <c r="AV5" s="61" t="n">
        <f aca="false">SUMIFS(Checks!$AJ$5:$AJ$748,Checks!$B$5:$B$748,$A5)</f>
        <v>0</v>
      </c>
      <c r="AW5" s="61" t="n">
        <f aca="false">SUMIFS(Checks!$AI$5:$AI$748,Checks!$B$5:$B$748,$A5)</f>
        <v>24</v>
      </c>
      <c r="AX5" s="62" t="s">
        <v>194</v>
      </c>
      <c r="AY5" s="62" t="s">
        <v>194</v>
      </c>
      <c r="AZ5" s="62" t="s">
        <v>194</v>
      </c>
      <c r="BA5" s="62" t="str">
        <f aca="false">IFERROR(1/(1/_xlfn.MINIFS(Checks!$AG$5:$AG$748,Checks!$B$5:$B$748,$A5,Checks!$H$5:$H$748,"Physical uplift",Checks!$P$5:$P$748,$G5)),"")</f>
        <v/>
      </c>
    </row>
    <row r="6" customFormat="false" ht="36" hidden="false" customHeight="true" outlineLevel="0" collapsed="false">
      <c r="A6" s="57" t="s">
        <v>195</v>
      </c>
      <c r="B6" s="57" t="n">
        <v>1</v>
      </c>
      <c r="C6" s="57" t="n">
        <v>2</v>
      </c>
      <c r="D6" s="58" t="n">
        <v>46304</v>
      </c>
      <c r="E6" s="57" t="s">
        <v>196</v>
      </c>
      <c r="F6" s="57" t="s">
        <v>197</v>
      </c>
      <c r="G6" s="57" t="s">
        <v>184</v>
      </c>
      <c r="H6" s="57" t="s">
        <v>198</v>
      </c>
      <c r="I6" s="59" t="n">
        <v>46304.9097222222</v>
      </c>
      <c r="J6" s="59" t="n">
        <v>46304.9618055556</v>
      </c>
      <c r="K6" s="57" t="s">
        <v>199</v>
      </c>
      <c r="L6" s="60" t="s">
        <v>200</v>
      </c>
      <c r="M6" s="57" t="s">
        <v>201</v>
      </c>
      <c r="N6" s="60"/>
      <c r="O6" s="57" t="s">
        <v>202</v>
      </c>
      <c r="P6" s="57" t="s">
        <v>203</v>
      </c>
      <c r="Q6" s="57" t="s">
        <v>204</v>
      </c>
      <c r="R6" s="57" t="s">
        <v>205</v>
      </c>
      <c r="S6" s="57" t="s">
        <v>206</v>
      </c>
      <c r="T6" s="57" t="s">
        <v>207</v>
      </c>
      <c r="U6" s="57" t="s">
        <v>208</v>
      </c>
      <c r="V6" s="57" t="s">
        <v>184</v>
      </c>
      <c r="W6" s="57"/>
      <c r="X6" s="60"/>
      <c r="Y6" s="60"/>
      <c r="Z6" s="61" t="n">
        <f aca="false">IF(AND(INDEX(TZ_DSTS,MATCH(G6,TZ_STN,0))&lt;&gt;"",(I6-INDEX(TZ_STD,MATCH(G6,TZ_STN,0))/24)&gt;=INDEX(TZ_DSTS,MATCH(G6,TZ_STN,0)),(I6-INDEX(TZ_STD,MATCH(G6,TZ_STN,0))/24)&lt;INDEX(TZ_DSTE,MATCH(G6,TZ_STN,0))),INDEX(TZ_DST,MATCH(G6,TZ_STN,0)),INDEX(TZ_STD,MATCH(G6,TZ_STN,0)))</f>
        <v>8</v>
      </c>
      <c r="AA6" s="62" t="n">
        <f aca="false">I6-Z6/24</f>
        <v>46304.5763888889</v>
      </c>
      <c r="AB6" s="63" t="n">
        <f aca="false">(J6-(IF(AND(INDEX(TZ_DSTS,MATCH(H6,TZ_STN,0))&lt;&gt;"",(J6-INDEX(TZ_STD,MATCH(H6,TZ_STN,0))/24)&gt;=INDEX(TZ_DSTS,MATCH(H6,TZ_STN,0)),(J6-INDEX(TZ_STD,MATCH(H6,TZ_STN,0))/24)&lt;INDEX(TZ_DSTE,MATCH(H6,TZ_STN,0))),INDEX(TZ_DST,MATCH(H6,TZ_STN,0)),INDEX(TZ_STD,MATCH(H6,TZ_STN,0))))/24-AA6)*24</f>
        <v>2.25</v>
      </c>
      <c r="AC6" s="62" t="n">
        <f aca="false">AA6-7</f>
        <v>46297.5763888889</v>
      </c>
      <c r="AD6" s="62" t="n">
        <f aca="false">AA6-1</f>
        <v>46303.5763888889</v>
      </c>
      <c r="AE6" s="62" t="n">
        <f aca="false">AA6-0.5</f>
        <v>46304.0763888889</v>
      </c>
      <c r="AF6" s="62" t="n">
        <f aca="false">AA6</f>
        <v>46304.5763888889</v>
      </c>
      <c r="AG6" s="62" t="n">
        <f aca="false">AC6+(IF(AND(INDEX(TZ_DSTS,MATCH(V6,TZ_STN,0))&lt;&gt;"",AC6&gt;=INDEX(TZ_DSTS,MATCH(V6,TZ_STN,0)),AC6&lt;INDEX(TZ_DSTE,MATCH(V6,TZ_STN,0))),INDEX(TZ_DST,MATCH(V6,TZ_STN,0)),INDEX(TZ_STD,MATCH(V6,TZ_STN,0))))/24</f>
        <v>46297.9097222222</v>
      </c>
      <c r="AH6" s="62" t="n">
        <f aca="false">AD6+(IF(AND(INDEX(TZ_DSTS,MATCH(V6,TZ_STN,0))&lt;&gt;"",AD6&gt;=INDEX(TZ_DSTS,MATCH(V6,TZ_STN,0)),AD6&lt;INDEX(TZ_DSTE,MATCH(V6,TZ_STN,0))),INDEX(TZ_DST,MATCH(V6,TZ_STN,0)),INDEX(TZ_STD,MATCH(V6,TZ_STN,0))))/24</f>
        <v>46303.9097222222</v>
      </c>
      <c r="AI6" s="62" t="n">
        <f aca="false">AE6+(IF(AND(INDEX(TZ_DSTS,MATCH(V6,TZ_STN,0))&lt;&gt;"",AE6&gt;=INDEX(TZ_DSTS,MATCH(V6,TZ_STN,0)),AE6&lt;INDEX(TZ_DSTE,MATCH(V6,TZ_STN,0))),INDEX(TZ_DST,MATCH(V6,TZ_STN,0)),INDEX(TZ_STD,MATCH(V6,TZ_STN,0))))/24</f>
        <v>46304.4097222222</v>
      </c>
      <c r="AJ6" s="64" t="n">
        <f aca="false">IFERROR(SUMIFS(Checks!$AJ$5:$AJ$748,Checks!$B$5:$B$748,$A6,Checks!$G$5:$G$748,"T-7D")/SUMIFS(Checks!$AI$5:$AI$748,Checks!$B$5:$B$748,$A6,Checks!$G$5:$G$748,"T-7D"),"n/a")</f>
        <v>0</v>
      </c>
      <c r="AK6" s="64" t="n">
        <f aca="false">IFERROR(SUMIFS(Checks!$AJ$5:$AJ$748,Checks!$B$5:$B$748,$A6,Checks!$G$5:$G$748,"T-24H")/SUMIFS(Checks!$AI$5:$AI$748,Checks!$B$5:$B$748,$A6,Checks!$G$5:$G$748,"T-24H"),"n/a")</f>
        <v>0</v>
      </c>
      <c r="AL6" s="64" t="n">
        <f aca="false">IFERROR(SUMIFS(Checks!$AJ$5:$AJ$748,Checks!$B$5:$B$748,$A6,Checks!$G$5:$G$748,"T-12H PREP")/SUMIFS(Checks!$AI$5:$AI$748,Checks!$B$5:$B$748,$A6,Checks!$G$5:$G$748,"T-12H PREP"),"n/a")</f>
        <v>0</v>
      </c>
      <c r="AM6" s="64" t="n">
        <f aca="false">IFERROR(SUMIFS(Checks!$AJ$5:$AJ$748,Checks!$B$5:$B$748,$A6,Checks!$G$5:$G$748,"UPLIFT")/SUMIFS(Checks!$AI$5:$AI$748,Checks!$B$5:$B$748,$A6,Checks!$G$5:$G$748,"UPLIFT"),"n/a")</f>
        <v>0</v>
      </c>
      <c r="AN6" s="64" t="n">
        <f aca="false">IFERROR(SUMIFS(Checks!$AJ$5:$AJ$748,Checks!$B$5:$B$748,$A6)/SUMIFS(Checks!$AI$5:$AI$748,Checks!$B$5:$B$748,$A6),"n/a")</f>
        <v>0</v>
      </c>
      <c r="AO6" s="61" t="n">
        <f aca="false">AW6-AV6</f>
        <v>38</v>
      </c>
      <c r="AP6" s="61" t="n">
        <f aca="false">SUMIFS(Checks!$AK$5:$AK$748,Checks!$B$5:$B$748,$A6)</f>
        <v>0</v>
      </c>
      <c r="AQ6" s="61" t="n">
        <f aca="false">SUMIFS(Checks!$AL$5:$AL$748,Checks!$B$5:$B$748,$A6)</f>
        <v>0</v>
      </c>
      <c r="AR6" s="61" t="n">
        <f aca="false">Documents!P6</f>
        <v>2</v>
      </c>
      <c r="AS6" s="61" t="n">
        <f aca="false">SUMIFS(Checks!$AN$5:$AN$748,Checks!$B$5:$B$748,$A6,Checks!$H$5:$H$748,"Preparation")</f>
        <v>2</v>
      </c>
      <c r="AT6" s="65" t="str">
        <f aca="false">IF(AND(AW6&gt;0,AO6=0,AQ6=0,AR6=0,AU6=0),"READY",IF(AP6&gt;0,"NOT READY – OVERDUE",IF(AQ6&gt;0,"NOT READY – DISCREPANCY",IF(AU6&gt;0,"NOT READY – INVALID ENTRY",IF(AR6&gt;0,"NOT READY – DOCUMENTS",IF(AS6&gt;0,"NOT READY – CLARIFICATION",IF(AND(AV6&gt;0,SUMIFS(Checks!$AJ$5:$AJ$748,Checks!$B$5:$B$748,$A6,Checks!$H$5:$H$748,"Preparation")=SUMIFS(Checks!$AI$5:$AI$748,Checks!$B$5:$B$748,$A6,Checks!$H$5:$H$748,"Preparation")),"PREP DONE – AWAITING UPLIFT",IF(AV6=0,"NOT STARTED","IN PROGRESS"))))))))</f>
        <v>NOT READY – DOCUMENTS</v>
      </c>
      <c r="AU6" s="61" t="n">
        <f aca="false">SUMIFS(Checks!$AM$5:$AM$748,Checks!$B$5:$B$748,$A6)</f>
        <v>0</v>
      </c>
      <c r="AV6" s="61" t="n">
        <f aca="false">SUMIFS(Checks!$AJ$5:$AJ$748,Checks!$B$5:$B$748,$A6)</f>
        <v>0</v>
      </c>
      <c r="AW6" s="61" t="n">
        <f aca="false">SUMIFS(Checks!$AI$5:$AI$748,Checks!$B$5:$B$748,$A6)</f>
        <v>38</v>
      </c>
      <c r="AX6" s="62" t="s">
        <v>194</v>
      </c>
      <c r="AY6" s="62" t="s">
        <v>194</v>
      </c>
      <c r="AZ6" s="62" t="s">
        <v>194</v>
      </c>
      <c r="BA6" s="62" t="str">
        <f aca="false">IFERROR(1/(1/_xlfn.MINIFS(Checks!$AG$5:$AG$748,Checks!$B$5:$B$748,$A6,Checks!$H$5:$H$748,"Physical uplift",Checks!$P$5:$P$748,$G6)),"")</f>
        <v/>
      </c>
    </row>
    <row r="7" customFormat="false" ht="36" hidden="false" customHeight="true" outlineLevel="0" collapsed="false">
      <c r="A7" s="57" t="s">
        <v>209</v>
      </c>
      <c r="B7" s="57" t="n">
        <v>1</v>
      </c>
      <c r="C7" s="57" t="n">
        <v>3</v>
      </c>
      <c r="D7" s="58" t="n">
        <v>46305</v>
      </c>
      <c r="E7" s="57" t="s">
        <v>210</v>
      </c>
      <c r="F7" s="57" t="s">
        <v>211</v>
      </c>
      <c r="G7" s="57" t="s">
        <v>198</v>
      </c>
      <c r="H7" s="57" t="s">
        <v>184</v>
      </c>
      <c r="I7" s="59" t="n">
        <v>46305.6701388889</v>
      </c>
      <c r="J7" s="59" t="n">
        <v>46305.8090277778</v>
      </c>
      <c r="K7" s="57" t="s">
        <v>185</v>
      </c>
      <c r="L7" s="60" t="s">
        <v>212</v>
      </c>
      <c r="M7" s="57" t="s">
        <v>213</v>
      </c>
      <c r="N7" s="60"/>
      <c r="O7" s="57" t="s">
        <v>214</v>
      </c>
      <c r="P7" s="57" t="s">
        <v>189</v>
      </c>
      <c r="Q7" s="57"/>
      <c r="R7" s="57" t="s">
        <v>205</v>
      </c>
      <c r="S7" s="57" t="s">
        <v>206</v>
      </c>
      <c r="T7" s="57" t="s">
        <v>207</v>
      </c>
      <c r="U7" s="57" t="s">
        <v>208</v>
      </c>
      <c r="V7" s="57" t="s">
        <v>198</v>
      </c>
      <c r="W7" s="57"/>
      <c r="X7" s="60"/>
      <c r="Y7" s="60"/>
      <c r="Z7" s="61" t="n">
        <f aca="false">IF(AND(INDEX(TZ_DSTS,MATCH(G7,TZ_STN,0))&lt;&gt;"",(I7-INDEX(TZ_STD,MATCH(G7,TZ_STN,0))/24)&gt;=INDEX(TZ_DSTS,MATCH(G7,TZ_STN,0)),(I7-INDEX(TZ_STD,MATCH(G7,TZ_STN,0))/24)&lt;INDEX(TZ_DSTE,MATCH(G7,TZ_STN,0))),INDEX(TZ_DST,MATCH(G7,TZ_STN,0)),INDEX(TZ_STD,MATCH(G7,TZ_STN,0)))</f>
        <v>7</v>
      </c>
      <c r="AA7" s="62" t="n">
        <f aca="false">I7-Z7/24</f>
        <v>46305.3784722222</v>
      </c>
      <c r="AB7" s="63" t="n">
        <f aca="false">(J7-(IF(AND(INDEX(TZ_DSTS,MATCH(H7,TZ_STN,0))&lt;&gt;"",(J7-INDEX(TZ_STD,MATCH(H7,TZ_STN,0))/24)&gt;=INDEX(TZ_DSTS,MATCH(H7,TZ_STN,0)),(J7-INDEX(TZ_STD,MATCH(H7,TZ_STN,0))/24)&lt;INDEX(TZ_DSTE,MATCH(H7,TZ_STN,0))),INDEX(TZ_DST,MATCH(H7,TZ_STN,0)),INDEX(TZ_STD,MATCH(H7,TZ_STN,0))))/24-AA7)*24</f>
        <v>2.33333333333333</v>
      </c>
      <c r="AC7" s="62" t="n">
        <f aca="false">AA7-7</f>
        <v>46298.3784722222</v>
      </c>
      <c r="AD7" s="62" t="n">
        <f aca="false">AA7-1</f>
        <v>46304.3784722222</v>
      </c>
      <c r="AE7" s="62" t="n">
        <f aca="false">AA7-0.5</f>
        <v>46304.8784722222</v>
      </c>
      <c r="AF7" s="62" t="n">
        <f aca="false">AA7</f>
        <v>46305.3784722222</v>
      </c>
      <c r="AG7" s="62" t="n">
        <f aca="false">AC7+(IF(AND(INDEX(TZ_DSTS,MATCH(V7,TZ_STN,0))&lt;&gt;"",AC7&gt;=INDEX(TZ_DSTS,MATCH(V7,TZ_STN,0)),AC7&lt;INDEX(TZ_DSTE,MATCH(V7,TZ_STN,0))),INDEX(TZ_DST,MATCH(V7,TZ_STN,0)),INDEX(TZ_STD,MATCH(V7,TZ_STN,0))))/24</f>
        <v>46298.6701388889</v>
      </c>
      <c r="AH7" s="62" t="n">
        <f aca="false">AD7+(IF(AND(INDEX(TZ_DSTS,MATCH(V7,TZ_STN,0))&lt;&gt;"",AD7&gt;=INDEX(TZ_DSTS,MATCH(V7,TZ_STN,0)),AD7&lt;INDEX(TZ_DSTE,MATCH(V7,TZ_STN,0))),INDEX(TZ_DST,MATCH(V7,TZ_STN,0)),INDEX(TZ_STD,MATCH(V7,TZ_STN,0))))/24</f>
        <v>46304.6701388889</v>
      </c>
      <c r="AI7" s="62" t="n">
        <f aca="false">AE7+(IF(AND(INDEX(TZ_DSTS,MATCH(V7,TZ_STN,0))&lt;&gt;"",AE7&gt;=INDEX(TZ_DSTS,MATCH(V7,TZ_STN,0)),AE7&lt;INDEX(TZ_DSTE,MATCH(V7,TZ_STN,0))),INDEX(TZ_DST,MATCH(V7,TZ_STN,0)),INDEX(TZ_STD,MATCH(V7,TZ_STN,0))))/24</f>
        <v>46305.1701388889</v>
      </c>
      <c r="AJ7" s="64" t="n">
        <f aca="false">IFERROR(SUMIFS(Checks!$AJ$5:$AJ$748,Checks!$B$5:$B$748,$A7,Checks!$G$5:$G$748,"T-7D")/SUMIFS(Checks!$AI$5:$AI$748,Checks!$B$5:$B$748,$A7,Checks!$G$5:$G$748,"T-7D"),"n/a")</f>
        <v>0</v>
      </c>
      <c r="AK7" s="64" t="n">
        <f aca="false">IFERROR(SUMIFS(Checks!$AJ$5:$AJ$748,Checks!$B$5:$B$748,$A7,Checks!$G$5:$G$748,"T-24H")/SUMIFS(Checks!$AI$5:$AI$748,Checks!$B$5:$B$748,$A7,Checks!$G$5:$G$748,"T-24H"),"n/a")</f>
        <v>0</v>
      </c>
      <c r="AL7" s="64" t="n">
        <f aca="false">IFERROR(SUMIFS(Checks!$AJ$5:$AJ$748,Checks!$B$5:$B$748,$A7,Checks!$G$5:$G$748,"T-12H PREP")/SUMIFS(Checks!$AI$5:$AI$748,Checks!$B$5:$B$748,$A7,Checks!$G$5:$G$748,"T-12H PREP"),"n/a")</f>
        <v>0</v>
      </c>
      <c r="AM7" s="64" t="n">
        <f aca="false">IFERROR(SUMIFS(Checks!$AJ$5:$AJ$748,Checks!$B$5:$B$748,$A7,Checks!$G$5:$G$748,"UPLIFT")/SUMIFS(Checks!$AI$5:$AI$748,Checks!$B$5:$B$748,$A7,Checks!$G$5:$G$748,"UPLIFT"),"n/a")</f>
        <v>0</v>
      </c>
      <c r="AN7" s="64" t="n">
        <f aca="false">IFERROR(SUMIFS(Checks!$AJ$5:$AJ$748,Checks!$B$5:$B$748,$A7)/SUMIFS(Checks!$AI$5:$AI$748,Checks!$B$5:$B$748,$A7),"n/a")</f>
        <v>0</v>
      </c>
      <c r="AO7" s="61" t="n">
        <f aca="false">AW7-AV7</f>
        <v>20</v>
      </c>
      <c r="AP7" s="61" t="n">
        <f aca="false">SUMIFS(Checks!$AK$5:$AK$748,Checks!$B$5:$B$748,$A7)</f>
        <v>0</v>
      </c>
      <c r="AQ7" s="61" t="n">
        <f aca="false">SUMIFS(Checks!$AL$5:$AL$748,Checks!$B$5:$B$748,$A7)</f>
        <v>0</v>
      </c>
      <c r="AR7" s="61" t="n">
        <f aca="false">Documents!P7</f>
        <v>2</v>
      </c>
      <c r="AS7" s="61" t="n">
        <f aca="false">SUMIFS(Checks!$AN$5:$AN$748,Checks!$B$5:$B$748,$A7,Checks!$H$5:$H$748,"Preparation")</f>
        <v>0</v>
      </c>
      <c r="AT7" s="65" t="str">
        <f aca="false">IF(AND(AW7&gt;0,AO7=0,AQ7=0,AR7=0,AU7=0),"READY",IF(AP7&gt;0,"NOT READY – OVERDUE",IF(AQ7&gt;0,"NOT READY – DISCREPANCY",IF(AU7&gt;0,"NOT READY – INVALID ENTRY",IF(AR7&gt;0,"NOT READY – DOCUMENTS",IF(AS7&gt;0,"NOT READY – CLARIFICATION",IF(AND(AV7&gt;0,SUMIFS(Checks!$AJ$5:$AJ$748,Checks!$B$5:$B$748,$A7,Checks!$H$5:$H$748,"Preparation")=SUMIFS(Checks!$AI$5:$AI$748,Checks!$B$5:$B$748,$A7,Checks!$H$5:$H$748,"Preparation")),"PREP DONE – AWAITING UPLIFT",IF(AV7=0,"NOT STARTED","IN PROGRESS"))))))))</f>
        <v>NOT READY – DOCUMENTS</v>
      </c>
      <c r="AU7" s="61" t="n">
        <f aca="false">SUMIFS(Checks!$AM$5:$AM$748,Checks!$B$5:$B$748,$A7)</f>
        <v>0</v>
      </c>
      <c r="AV7" s="61" t="n">
        <f aca="false">SUMIFS(Checks!$AJ$5:$AJ$748,Checks!$B$5:$B$748,$A7)</f>
        <v>0</v>
      </c>
      <c r="AW7" s="61" t="n">
        <f aca="false">SUMIFS(Checks!$AI$5:$AI$748,Checks!$B$5:$B$748,$A7)</f>
        <v>20</v>
      </c>
      <c r="AX7" s="62" t="s">
        <v>194</v>
      </c>
      <c r="AY7" s="62" t="s">
        <v>194</v>
      </c>
      <c r="AZ7" s="62" t="s">
        <v>194</v>
      </c>
      <c r="BA7" s="62" t="str">
        <f aca="false">IFERROR(1/(1/_xlfn.MINIFS(Checks!$AG$5:$AG$748,Checks!$B$5:$B$748,$A7,Checks!$H$5:$H$748,"Physical uplift",Checks!$P$5:$P$748,$G7)),"")</f>
        <v/>
      </c>
    </row>
    <row r="8" customFormat="false" ht="36" hidden="false" customHeight="true" outlineLevel="0" collapsed="false">
      <c r="A8" s="57" t="s">
        <v>215</v>
      </c>
      <c r="B8" s="57" t="n">
        <v>1</v>
      </c>
      <c r="C8" s="57" t="n">
        <v>4</v>
      </c>
      <c r="D8" s="58" t="n">
        <v>46305</v>
      </c>
      <c r="E8" s="57" t="s">
        <v>210</v>
      </c>
      <c r="F8" s="57" t="s">
        <v>216</v>
      </c>
      <c r="G8" s="57" t="s">
        <v>184</v>
      </c>
      <c r="H8" s="57" t="s">
        <v>217</v>
      </c>
      <c r="I8" s="59" t="n">
        <v>46305.9791666667</v>
      </c>
      <c r="J8" s="59" t="n">
        <v>46306.3194444445</v>
      </c>
      <c r="K8" s="57" t="s">
        <v>199</v>
      </c>
      <c r="L8" s="60" t="s">
        <v>186</v>
      </c>
      <c r="M8" s="57" t="s">
        <v>187</v>
      </c>
      <c r="N8" s="60"/>
      <c r="O8" s="57" t="s">
        <v>218</v>
      </c>
      <c r="P8" s="57" t="s">
        <v>219</v>
      </c>
      <c r="Q8" s="57" t="s">
        <v>220</v>
      </c>
      <c r="R8" s="57" t="s">
        <v>221</v>
      </c>
      <c r="S8" s="57" t="s">
        <v>222</v>
      </c>
      <c r="T8" s="57" t="s">
        <v>223</v>
      </c>
      <c r="U8" s="57" t="s">
        <v>224</v>
      </c>
      <c r="V8" s="57" t="s">
        <v>184</v>
      </c>
      <c r="W8" s="57"/>
      <c r="X8" s="60"/>
      <c r="Y8" s="60"/>
      <c r="Z8" s="61" t="n">
        <f aca="false">IF(AND(INDEX(TZ_DSTS,MATCH(G8,TZ_STN,0))&lt;&gt;"",(I8-INDEX(TZ_STD,MATCH(G8,TZ_STN,0))/24)&gt;=INDEX(TZ_DSTS,MATCH(G8,TZ_STN,0)),(I8-INDEX(TZ_STD,MATCH(G8,TZ_STN,0))/24)&lt;INDEX(TZ_DSTE,MATCH(G8,TZ_STN,0))),INDEX(TZ_DST,MATCH(G8,TZ_STN,0)),INDEX(TZ_STD,MATCH(G8,TZ_STN,0)))</f>
        <v>8</v>
      </c>
      <c r="AA8" s="62" t="n">
        <f aca="false">I8-Z8/24</f>
        <v>46305.6458333333</v>
      </c>
      <c r="AB8" s="63" t="n">
        <f aca="false">(J8-(IF(AND(INDEX(TZ_DSTS,MATCH(H8,TZ_STN,0))&lt;&gt;"",(J8-INDEX(TZ_STD,MATCH(H8,TZ_STN,0))/24)&gt;=INDEX(TZ_DSTS,MATCH(H8,TZ_STN,0)),(J8-INDEX(TZ_STD,MATCH(H8,TZ_STN,0))/24)&lt;INDEX(TZ_DSTE,MATCH(H8,TZ_STN,0))),INDEX(TZ_DST,MATCH(H8,TZ_STN,0)),INDEX(TZ_STD,MATCH(H8,TZ_STN,0))))/24-AA8)*24</f>
        <v>7.16666666697695</v>
      </c>
      <c r="AC8" s="62" t="n">
        <f aca="false">AA8-7</f>
        <v>46298.6458333333</v>
      </c>
      <c r="AD8" s="62" t="n">
        <f aca="false">AA8-1</f>
        <v>46304.6458333333</v>
      </c>
      <c r="AE8" s="62" t="n">
        <f aca="false">AA8-0.5</f>
        <v>46305.1458333333</v>
      </c>
      <c r="AF8" s="62" t="n">
        <f aca="false">AA8</f>
        <v>46305.6458333333</v>
      </c>
      <c r="AG8" s="62" t="n">
        <f aca="false">AC8+(IF(AND(INDEX(TZ_DSTS,MATCH(V8,TZ_STN,0))&lt;&gt;"",AC8&gt;=INDEX(TZ_DSTS,MATCH(V8,TZ_STN,0)),AC8&lt;INDEX(TZ_DSTE,MATCH(V8,TZ_STN,0))),INDEX(TZ_DST,MATCH(V8,TZ_STN,0)),INDEX(TZ_STD,MATCH(V8,TZ_STN,0))))/24</f>
        <v>46298.9791666667</v>
      </c>
      <c r="AH8" s="62" t="n">
        <f aca="false">AD8+(IF(AND(INDEX(TZ_DSTS,MATCH(V8,TZ_STN,0))&lt;&gt;"",AD8&gt;=INDEX(TZ_DSTS,MATCH(V8,TZ_STN,0)),AD8&lt;INDEX(TZ_DSTE,MATCH(V8,TZ_STN,0))),INDEX(TZ_DST,MATCH(V8,TZ_STN,0)),INDEX(TZ_STD,MATCH(V8,TZ_STN,0))))/24</f>
        <v>46304.9791666667</v>
      </c>
      <c r="AI8" s="62" t="n">
        <f aca="false">AE8+(IF(AND(INDEX(TZ_DSTS,MATCH(V8,TZ_STN,0))&lt;&gt;"",AE8&gt;=INDEX(TZ_DSTS,MATCH(V8,TZ_STN,0)),AE8&lt;INDEX(TZ_DSTE,MATCH(V8,TZ_STN,0))),INDEX(TZ_DST,MATCH(V8,TZ_STN,0)),INDEX(TZ_STD,MATCH(V8,TZ_STN,0))))/24</f>
        <v>46305.4791666667</v>
      </c>
      <c r="AJ8" s="64" t="n">
        <f aca="false">IFERROR(SUMIFS(Checks!$AJ$5:$AJ$748,Checks!$B$5:$B$748,$A8,Checks!$G$5:$G$748,"T-7D")/SUMIFS(Checks!$AI$5:$AI$748,Checks!$B$5:$B$748,$A8,Checks!$G$5:$G$748,"T-7D"),"n/a")</f>
        <v>0</v>
      </c>
      <c r="AK8" s="64" t="n">
        <f aca="false">IFERROR(SUMIFS(Checks!$AJ$5:$AJ$748,Checks!$B$5:$B$748,$A8,Checks!$G$5:$G$748,"T-24H")/SUMIFS(Checks!$AI$5:$AI$748,Checks!$B$5:$B$748,$A8,Checks!$G$5:$G$748,"T-24H"),"n/a")</f>
        <v>0</v>
      </c>
      <c r="AL8" s="64" t="n">
        <f aca="false">IFERROR(SUMIFS(Checks!$AJ$5:$AJ$748,Checks!$B$5:$B$748,$A8,Checks!$G$5:$G$748,"T-12H PREP")/SUMIFS(Checks!$AI$5:$AI$748,Checks!$B$5:$B$748,$A8,Checks!$G$5:$G$748,"T-12H PREP"),"n/a")</f>
        <v>0</v>
      </c>
      <c r="AM8" s="64" t="n">
        <f aca="false">IFERROR(SUMIFS(Checks!$AJ$5:$AJ$748,Checks!$B$5:$B$748,$A8,Checks!$G$5:$G$748,"UPLIFT")/SUMIFS(Checks!$AI$5:$AI$748,Checks!$B$5:$B$748,$A8,Checks!$G$5:$G$748,"UPLIFT"),"n/a")</f>
        <v>0</v>
      </c>
      <c r="AN8" s="64" t="n">
        <f aca="false">IFERROR(SUMIFS(Checks!$AJ$5:$AJ$748,Checks!$B$5:$B$748,$A8)/SUMIFS(Checks!$AI$5:$AI$748,Checks!$B$5:$B$748,$A8),"n/a")</f>
        <v>0</v>
      </c>
      <c r="AO8" s="61" t="n">
        <f aca="false">AW8-AV8</f>
        <v>46</v>
      </c>
      <c r="AP8" s="61" t="n">
        <f aca="false">SUMIFS(Checks!$AK$5:$AK$748,Checks!$B$5:$B$748,$A8)</f>
        <v>0</v>
      </c>
      <c r="AQ8" s="61" t="n">
        <f aca="false">SUMIFS(Checks!$AL$5:$AL$748,Checks!$B$5:$B$748,$A8)</f>
        <v>0</v>
      </c>
      <c r="AR8" s="61" t="n">
        <f aca="false">Documents!P8</f>
        <v>2</v>
      </c>
      <c r="AS8" s="61" t="n">
        <f aca="false">SUMIFS(Checks!$AN$5:$AN$748,Checks!$B$5:$B$748,$A8,Checks!$H$5:$H$748,"Preparation")</f>
        <v>0</v>
      </c>
      <c r="AT8" s="65" t="str">
        <f aca="false">IF(AND(AW8&gt;0,AO8=0,AQ8=0,AR8=0,AU8=0),"READY",IF(AP8&gt;0,"NOT READY – OVERDUE",IF(AQ8&gt;0,"NOT READY – DISCREPANCY",IF(AU8&gt;0,"NOT READY – INVALID ENTRY",IF(AR8&gt;0,"NOT READY – DOCUMENTS",IF(AS8&gt;0,"NOT READY – CLARIFICATION",IF(AND(AV8&gt;0,SUMIFS(Checks!$AJ$5:$AJ$748,Checks!$B$5:$B$748,$A8,Checks!$H$5:$H$748,"Preparation")=SUMIFS(Checks!$AI$5:$AI$748,Checks!$B$5:$B$748,$A8,Checks!$H$5:$H$748,"Preparation")),"PREP DONE – AWAITING UPLIFT",IF(AV8=0,"NOT STARTED","IN PROGRESS"))))))))</f>
        <v>NOT READY – DOCUMENTS</v>
      </c>
      <c r="AU8" s="61" t="n">
        <f aca="false">SUMIFS(Checks!$AM$5:$AM$748,Checks!$B$5:$B$748,$A8)</f>
        <v>0</v>
      </c>
      <c r="AV8" s="61" t="n">
        <f aca="false">SUMIFS(Checks!$AJ$5:$AJ$748,Checks!$B$5:$B$748,$A8)</f>
        <v>0</v>
      </c>
      <c r="AW8" s="61" t="n">
        <f aca="false">SUMIFS(Checks!$AI$5:$AI$748,Checks!$B$5:$B$748,$A8)</f>
        <v>46</v>
      </c>
      <c r="AX8" s="62" t="s">
        <v>194</v>
      </c>
      <c r="AY8" s="62" t="s">
        <v>194</v>
      </c>
      <c r="AZ8" s="62" t="s">
        <v>194</v>
      </c>
      <c r="BA8" s="62" t="str">
        <f aca="false">IFERROR(1/(1/_xlfn.MINIFS(Checks!$AG$5:$AG$748,Checks!$B$5:$B$748,$A8,Checks!$H$5:$H$748,"Physical uplift",Checks!$P$5:$P$748,$G8)),"")</f>
        <v/>
      </c>
    </row>
    <row r="9" customFormat="false" ht="36" hidden="false" customHeight="true" outlineLevel="0" collapsed="false">
      <c r="A9" s="57" t="s">
        <v>225</v>
      </c>
      <c r="B9" s="57" t="n">
        <v>1</v>
      </c>
      <c r="C9" s="57" t="n">
        <v>5</v>
      </c>
      <c r="D9" s="58" t="n">
        <v>46310</v>
      </c>
      <c r="E9" s="57" t="s">
        <v>181</v>
      </c>
      <c r="F9" s="57" t="s">
        <v>226</v>
      </c>
      <c r="G9" s="57" t="s">
        <v>217</v>
      </c>
      <c r="H9" s="57" t="s">
        <v>184</v>
      </c>
      <c r="I9" s="59" t="n">
        <v>46310.4201388889</v>
      </c>
      <c r="J9" s="59" t="n">
        <v>46310.6979166667</v>
      </c>
      <c r="K9" s="57" t="s">
        <v>185</v>
      </c>
      <c r="L9" s="60" t="s">
        <v>186</v>
      </c>
      <c r="M9" s="57" t="s">
        <v>187</v>
      </c>
      <c r="N9" s="60"/>
      <c r="O9" s="57" t="s">
        <v>227</v>
      </c>
      <c r="P9" s="57" t="s">
        <v>189</v>
      </c>
      <c r="Q9" s="57"/>
      <c r="R9" s="57" t="s">
        <v>221</v>
      </c>
      <c r="S9" s="57" t="s">
        <v>222</v>
      </c>
      <c r="T9" s="57" t="s">
        <v>223</v>
      </c>
      <c r="U9" s="57" t="s">
        <v>224</v>
      </c>
      <c r="V9" s="57" t="s">
        <v>217</v>
      </c>
      <c r="W9" s="57"/>
      <c r="X9" s="60"/>
      <c r="Y9" s="60"/>
      <c r="Z9" s="61" t="n">
        <f aca="false">IF(AND(INDEX(TZ_DSTS,MATCH(G9,TZ_STN,0))&lt;&gt;"",(I9-INDEX(TZ_STD,MATCH(G9,TZ_STN,0))/24)&gt;=INDEX(TZ_DSTS,MATCH(G9,TZ_STN,0)),(I9-INDEX(TZ_STD,MATCH(G9,TZ_STN,0))/24)&lt;INDEX(TZ_DSTE,MATCH(G9,TZ_STN,0))),INDEX(TZ_DST,MATCH(G9,TZ_STN,0)),INDEX(TZ_STD,MATCH(G9,TZ_STN,0)))</f>
        <v>9</v>
      </c>
      <c r="AA9" s="62" t="n">
        <f aca="false">I9-Z9/24</f>
        <v>46310.0451388889</v>
      </c>
      <c r="AB9" s="63" t="n">
        <f aca="false">(J9-(IF(AND(INDEX(TZ_DSTS,MATCH(H9,TZ_STN,0))&lt;&gt;"",(J9-INDEX(TZ_STD,MATCH(H9,TZ_STN,0))/24)&gt;=INDEX(TZ_DSTS,MATCH(H9,TZ_STN,0)),(J9-INDEX(TZ_STD,MATCH(H9,TZ_STN,0))/24)&lt;INDEX(TZ_DSTE,MATCH(H9,TZ_STN,0))),INDEX(TZ_DST,MATCH(H9,TZ_STN,0)),INDEX(TZ_STD,MATCH(H9,TZ_STN,0))))/24-AA9)*24</f>
        <v>7.66666666633667</v>
      </c>
      <c r="AC9" s="62" t="n">
        <f aca="false">AA9-7</f>
        <v>46303.0451388889</v>
      </c>
      <c r="AD9" s="62" t="n">
        <f aca="false">AA9-1</f>
        <v>46309.0451388889</v>
      </c>
      <c r="AE9" s="62" t="n">
        <f aca="false">AA9-0.5</f>
        <v>46309.5451388889</v>
      </c>
      <c r="AF9" s="62" t="n">
        <f aca="false">AA9</f>
        <v>46310.0451388889</v>
      </c>
      <c r="AG9" s="62" t="n">
        <f aca="false">AC9+(IF(AND(INDEX(TZ_DSTS,MATCH(V9,TZ_STN,0))&lt;&gt;"",AC9&gt;=INDEX(TZ_DSTS,MATCH(V9,TZ_STN,0)),AC9&lt;INDEX(TZ_DSTE,MATCH(V9,TZ_STN,0))),INDEX(TZ_DST,MATCH(V9,TZ_STN,0)),INDEX(TZ_STD,MATCH(V9,TZ_STN,0))))/24</f>
        <v>46303.4201388889</v>
      </c>
      <c r="AH9" s="62" t="n">
        <f aca="false">AD9+(IF(AND(INDEX(TZ_DSTS,MATCH(V9,TZ_STN,0))&lt;&gt;"",AD9&gt;=INDEX(TZ_DSTS,MATCH(V9,TZ_STN,0)),AD9&lt;INDEX(TZ_DSTE,MATCH(V9,TZ_STN,0))),INDEX(TZ_DST,MATCH(V9,TZ_STN,0)),INDEX(TZ_STD,MATCH(V9,TZ_STN,0))))/24</f>
        <v>46309.4201388889</v>
      </c>
      <c r="AI9" s="62" t="n">
        <f aca="false">AE9+(IF(AND(INDEX(TZ_DSTS,MATCH(V9,TZ_STN,0))&lt;&gt;"",AE9&gt;=INDEX(TZ_DSTS,MATCH(V9,TZ_STN,0)),AE9&lt;INDEX(TZ_DSTE,MATCH(V9,TZ_STN,0))),INDEX(TZ_DST,MATCH(V9,TZ_STN,0)),INDEX(TZ_STD,MATCH(V9,TZ_STN,0))))/24</f>
        <v>46309.9201388889</v>
      </c>
      <c r="AJ9" s="64" t="n">
        <f aca="false">IFERROR(SUMIFS(Checks!$AJ$5:$AJ$748,Checks!$B$5:$B$748,$A9,Checks!$G$5:$G$748,"T-7D")/SUMIFS(Checks!$AI$5:$AI$748,Checks!$B$5:$B$748,$A9,Checks!$G$5:$G$748,"T-7D"),"n/a")</f>
        <v>0</v>
      </c>
      <c r="AK9" s="64" t="n">
        <f aca="false">IFERROR(SUMIFS(Checks!$AJ$5:$AJ$748,Checks!$B$5:$B$748,$A9,Checks!$G$5:$G$748,"T-24H")/SUMIFS(Checks!$AI$5:$AI$748,Checks!$B$5:$B$748,$A9,Checks!$G$5:$G$748,"T-24H"),"n/a")</f>
        <v>0</v>
      </c>
      <c r="AL9" s="64" t="n">
        <f aca="false">IFERROR(SUMIFS(Checks!$AJ$5:$AJ$748,Checks!$B$5:$B$748,$A9,Checks!$G$5:$G$748,"T-12H PREP")/SUMIFS(Checks!$AI$5:$AI$748,Checks!$B$5:$B$748,$A9,Checks!$G$5:$G$748,"T-12H PREP"),"n/a")</f>
        <v>0</v>
      </c>
      <c r="AM9" s="64" t="n">
        <f aca="false">IFERROR(SUMIFS(Checks!$AJ$5:$AJ$748,Checks!$B$5:$B$748,$A9,Checks!$G$5:$G$748,"UPLIFT")/SUMIFS(Checks!$AI$5:$AI$748,Checks!$B$5:$B$748,$A9,Checks!$G$5:$G$748,"UPLIFT"),"n/a")</f>
        <v>0</v>
      </c>
      <c r="AN9" s="64" t="n">
        <f aca="false">IFERROR(SUMIFS(Checks!$AJ$5:$AJ$748,Checks!$B$5:$B$748,$A9)/SUMIFS(Checks!$AI$5:$AI$748,Checks!$B$5:$B$748,$A9),"n/a")</f>
        <v>0</v>
      </c>
      <c r="AO9" s="61" t="n">
        <f aca="false">AW9-AV9</f>
        <v>28</v>
      </c>
      <c r="AP9" s="61" t="n">
        <f aca="false">SUMIFS(Checks!$AK$5:$AK$748,Checks!$B$5:$B$748,$A9)</f>
        <v>0</v>
      </c>
      <c r="AQ9" s="61" t="n">
        <f aca="false">SUMIFS(Checks!$AL$5:$AL$748,Checks!$B$5:$B$748,$A9)</f>
        <v>0</v>
      </c>
      <c r="AR9" s="61" t="n">
        <f aca="false">Documents!P9</f>
        <v>2</v>
      </c>
      <c r="AS9" s="61" t="n">
        <f aca="false">SUMIFS(Checks!$AN$5:$AN$748,Checks!$B$5:$B$748,$A9,Checks!$H$5:$H$748,"Preparation")</f>
        <v>3</v>
      </c>
      <c r="AT9" s="65" t="str">
        <f aca="false">IF(AND(AW9&gt;0,AO9=0,AQ9=0,AR9=0,AU9=0),"READY",IF(AP9&gt;0,"NOT READY – OVERDUE",IF(AQ9&gt;0,"NOT READY – DISCREPANCY",IF(AU9&gt;0,"NOT READY – INVALID ENTRY",IF(AR9&gt;0,"NOT READY – DOCUMENTS",IF(AS9&gt;0,"NOT READY – CLARIFICATION",IF(AND(AV9&gt;0,SUMIFS(Checks!$AJ$5:$AJ$748,Checks!$B$5:$B$748,$A9,Checks!$H$5:$H$748,"Preparation")=SUMIFS(Checks!$AI$5:$AI$748,Checks!$B$5:$B$748,$A9,Checks!$H$5:$H$748,"Preparation")),"PREP DONE – AWAITING UPLIFT",IF(AV9=0,"NOT STARTED","IN PROGRESS"))))))))</f>
        <v>NOT READY – DOCUMENTS</v>
      </c>
      <c r="AU9" s="61" t="n">
        <f aca="false">SUMIFS(Checks!$AM$5:$AM$748,Checks!$B$5:$B$748,$A9)</f>
        <v>0</v>
      </c>
      <c r="AV9" s="61" t="n">
        <f aca="false">SUMIFS(Checks!$AJ$5:$AJ$748,Checks!$B$5:$B$748,$A9)</f>
        <v>0</v>
      </c>
      <c r="AW9" s="61" t="n">
        <f aca="false">SUMIFS(Checks!$AI$5:$AI$748,Checks!$B$5:$B$748,$A9)</f>
        <v>28</v>
      </c>
      <c r="AX9" s="66"/>
      <c r="AY9" s="62" t="n">
        <f aca="false">ROUND((IF(ISNUMBER(AX9),AX9,$AA$8)-UpliftWindowH/24)*1440,0)/1440</f>
        <v>46305.3958333333</v>
      </c>
      <c r="AZ9" s="62" t="n">
        <f aca="false">ROUND((AY9+UpliftWindowH/24+MIN($AB$8)/24)*1440,0)/1440</f>
        <v>46305.9444444444</v>
      </c>
      <c r="BA9" s="62" t="str">
        <f aca="false">IFERROR(1/(1/_xlfn.MINIFS(Checks!$AG$5:$AG$748,Checks!$B$5:$B$748,$A9,Checks!$H$5:$H$748,"Physical uplift",Checks!$P$5:$P$748,$G9)),"")</f>
        <v/>
      </c>
    </row>
    <row r="10" customFormat="false" ht="36" hidden="false" customHeight="true" outlineLevel="0" collapsed="false">
      <c r="A10" s="57" t="s">
        <v>228</v>
      </c>
      <c r="B10" s="57" t="n">
        <v>1</v>
      </c>
      <c r="C10" s="57" t="n">
        <v>6</v>
      </c>
      <c r="D10" s="58" t="n">
        <v>46310</v>
      </c>
      <c r="E10" s="57" t="s">
        <v>181</v>
      </c>
      <c r="F10" s="57" t="s">
        <v>229</v>
      </c>
      <c r="G10" s="57" t="s">
        <v>184</v>
      </c>
      <c r="H10" s="57" t="s">
        <v>183</v>
      </c>
      <c r="I10" s="59" t="n">
        <v>46310.9722222222</v>
      </c>
      <c r="J10" s="59" t="n">
        <v>46311.2465277778</v>
      </c>
      <c r="K10" s="57" t="s">
        <v>199</v>
      </c>
      <c r="L10" s="60" t="s">
        <v>186</v>
      </c>
      <c r="M10" s="57" t="s">
        <v>187</v>
      </c>
      <c r="N10" s="60"/>
      <c r="O10" s="57" t="s">
        <v>230</v>
      </c>
      <c r="P10" s="57" t="s">
        <v>231</v>
      </c>
      <c r="Q10" s="57"/>
      <c r="R10" s="57" t="s">
        <v>190</v>
      </c>
      <c r="S10" s="57" t="s">
        <v>191</v>
      </c>
      <c r="T10" s="57" t="s">
        <v>192</v>
      </c>
      <c r="U10" s="57" t="s">
        <v>193</v>
      </c>
      <c r="V10" s="57" t="s">
        <v>184</v>
      </c>
      <c r="W10" s="57"/>
      <c r="X10" s="60"/>
      <c r="Y10" s="60"/>
      <c r="Z10" s="61" t="n">
        <f aca="false">IF(AND(INDEX(TZ_DSTS,MATCH(G10,TZ_STN,0))&lt;&gt;"",(I10-INDEX(TZ_STD,MATCH(G10,TZ_STN,0))/24)&gt;=INDEX(TZ_DSTS,MATCH(G10,TZ_STN,0)),(I10-INDEX(TZ_STD,MATCH(G10,TZ_STN,0))/24)&lt;INDEX(TZ_DSTE,MATCH(G10,TZ_STN,0))),INDEX(TZ_DST,MATCH(G10,TZ_STN,0)),INDEX(TZ_STD,MATCH(G10,TZ_STN,0)))</f>
        <v>8</v>
      </c>
      <c r="AA10" s="62" t="n">
        <f aca="false">I10-Z10/24</f>
        <v>46310.6388888889</v>
      </c>
      <c r="AB10" s="63" t="n">
        <f aca="false">(J10-(IF(AND(INDEX(TZ_DSTS,MATCH(H10,TZ_STN,0))&lt;&gt;"",(J10-INDEX(TZ_STD,MATCH(H10,TZ_STN,0))/24)&gt;=INDEX(TZ_DSTS,MATCH(H10,TZ_STN,0)),(J10-INDEX(TZ_STD,MATCH(H10,TZ_STN,0))/24)&lt;INDEX(TZ_DSTE,MATCH(H10,TZ_STN,0))),INDEX(TZ_DST,MATCH(H10,TZ_STN,0)),INDEX(TZ_STD,MATCH(H10,TZ_STN,0))))/24-AA10)*24</f>
        <v>13.5833333333333</v>
      </c>
      <c r="AC10" s="62" t="n">
        <f aca="false">AA10-7</f>
        <v>46303.6388888889</v>
      </c>
      <c r="AD10" s="62" t="n">
        <f aca="false">AA10-1</f>
        <v>46309.6388888889</v>
      </c>
      <c r="AE10" s="62" t="n">
        <f aca="false">AA10-0.5</f>
        <v>46310.1388888889</v>
      </c>
      <c r="AF10" s="62" t="n">
        <f aca="false">AA10</f>
        <v>46310.6388888889</v>
      </c>
      <c r="AG10" s="62" t="n">
        <f aca="false">AC10+(IF(AND(INDEX(TZ_DSTS,MATCH(V10,TZ_STN,0))&lt;&gt;"",AC10&gt;=INDEX(TZ_DSTS,MATCH(V10,TZ_STN,0)),AC10&lt;INDEX(TZ_DSTE,MATCH(V10,TZ_STN,0))),INDEX(TZ_DST,MATCH(V10,TZ_STN,0)),INDEX(TZ_STD,MATCH(V10,TZ_STN,0))))/24</f>
        <v>46303.9722222222</v>
      </c>
      <c r="AH10" s="62" t="n">
        <f aca="false">AD10+(IF(AND(INDEX(TZ_DSTS,MATCH(V10,TZ_STN,0))&lt;&gt;"",AD10&gt;=INDEX(TZ_DSTS,MATCH(V10,TZ_STN,0)),AD10&lt;INDEX(TZ_DSTE,MATCH(V10,TZ_STN,0))),INDEX(TZ_DST,MATCH(V10,TZ_STN,0)),INDEX(TZ_STD,MATCH(V10,TZ_STN,0))))/24</f>
        <v>46309.9722222222</v>
      </c>
      <c r="AI10" s="62" t="n">
        <f aca="false">AE10+(IF(AND(INDEX(TZ_DSTS,MATCH(V10,TZ_STN,0))&lt;&gt;"",AE10&gt;=INDEX(TZ_DSTS,MATCH(V10,TZ_STN,0)),AE10&lt;INDEX(TZ_DSTE,MATCH(V10,TZ_STN,0))),INDEX(TZ_DST,MATCH(V10,TZ_STN,0)),INDEX(TZ_STD,MATCH(V10,TZ_STN,0))))/24</f>
        <v>46310.4722222222</v>
      </c>
      <c r="AJ10" s="64" t="n">
        <f aca="false">IFERROR(SUMIFS(Checks!$AJ$5:$AJ$748,Checks!$B$5:$B$748,$A10,Checks!$G$5:$G$748,"T-7D")/SUMIFS(Checks!$AI$5:$AI$748,Checks!$B$5:$B$748,$A10,Checks!$G$5:$G$748,"T-7D"),"n/a")</f>
        <v>0</v>
      </c>
      <c r="AK10" s="64" t="n">
        <f aca="false">IFERROR(SUMIFS(Checks!$AJ$5:$AJ$748,Checks!$B$5:$B$748,$A10,Checks!$G$5:$G$748,"T-24H")/SUMIFS(Checks!$AI$5:$AI$748,Checks!$B$5:$B$748,$A10,Checks!$G$5:$G$748,"T-24H"),"n/a")</f>
        <v>0</v>
      </c>
      <c r="AL10" s="64" t="n">
        <f aca="false">IFERROR(SUMIFS(Checks!$AJ$5:$AJ$748,Checks!$B$5:$B$748,$A10,Checks!$G$5:$G$748,"T-12H PREP")/SUMIFS(Checks!$AI$5:$AI$748,Checks!$B$5:$B$748,$A10,Checks!$G$5:$G$748,"T-12H PREP"),"n/a")</f>
        <v>0</v>
      </c>
      <c r="AM10" s="64" t="n">
        <f aca="false">IFERROR(SUMIFS(Checks!$AJ$5:$AJ$748,Checks!$B$5:$B$748,$A10,Checks!$G$5:$G$748,"UPLIFT")/SUMIFS(Checks!$AI$5:$AI$748,Checks!$B$5:$B$748,$A10,Checks!$G$5:$G$748,"UPLIFT"),"n/a")</f>
        <v>0</v>
      </c>
      <c r="AN10" s="64" t="n">
        <f aca="false">IFERROR(SUMIFS(Checks!$AJ$5:$AJ$748,Checks!$B$5:$B$748,$A10)/SUMIFS(Checks!$AI$5:$AI$748,Checks!$B$5:$B$748,$A10),"n/a")</f>
        <v>0</v>
      </c>
      <c r="AO10" s="61" t="n">
        <f aca="false">AW10-AV10</f>
        <v>46</v>
      </c>
      <c r="AP10" s="61" t="n">
        <f aca="false">SUMIFS(Checks!$AK$5:$AK$748,Checks!$B$5:$B$748,$A10)</f>
        <v>0</v>
      </c>
      <c r="AQ10" s="61" t="n">
        <f aca="false">SUMIFS(Checks!$AL$5:$AL$748,Checks!$B$5:$B$748,$A10)</f>
        <v>0</v>
      </c>
      <c r="AR10" s="61" t="n">
        <f aca="false">Documents!P10</f>
        <v>2</v>
      </c>
      <c r="AS10" s="61" t="n">
        <f aca="false">SUMIFS(Checks!$AN$5:$AN$748,Checks!$B$5:$B$748,$A10,Checks!$H$5:$H$748,"Preparation")</f>
        <v>1</v>
      </c>
      <c r="AT10" s="65" t="str">
        <f aca="false">IF(AND(AW10&gt;0,AO10=0,AQ10=0,AR10=0,AU10=0),"READY",IF(AP10&gt;0,"NOT READY – OVERDUE",IF(AQ10&gt;0,"NOT READY – DISCREPANCY",IF(AU10&gt;0,"NOT READY – INVALID ENTRY",IF(AR10&gt;0,"NOT READY – DOCUMENTS",IF(AS10&gt;0,"NOT READY – CLARIFICATION",IF(AND(AV10&gt;0,SUMIFS(Checks!$AJ$5:$AJ$748,Checks!$B$5:$B$748,$A10,Checks!$H$5:$H$748,"Preparation")=SUMIFS(Checks!$AI$5:$AI$748,Checks!$B$5:$B$748,$A10,Checks!$H$5:$H$748,"Preparation")),"PREP DONE – AWAITING UPLIFT",IF(AV10=0,"NOT STARTED","IN PROGRESS"))))))))</f>
        <v>NOT READY – DOCUMENTS</v>
      </c>
      <c r="AU10" s="61" t="n">
        <f aca="false">SUMIFS(Checks!$AM$5:$AM$748,Checks!$B$5:$B$748,$A10)</f>
        <v>0</v>
      </c>
      <c r="AV10" s="61" t="n">
        <f aca="false">SUMIFS(Checks!$AJ$5:$AJ$748,Checks!$B$5:$B$748,$A10)</f>
        <v>0</v>
      </c>
      <c r="AW10" s="61" t="n">
        <f aca="false">SUMIFS(Checks!$AI$5:$AI$748,Checks!$B$5:$B$748,$A10)</f>
        <v>46</v>
      </c>
      <c r="AX10" s="62" t="s">
        <v>194</v>
      </c>
      <c r="AY10" s="62" t="s">
        <v>194</v>
      </c>
      <c r="AZ10" s="62" t="s">
        <v>194</v>
      </c>
      <c r="BA10" s="62" t="str">
        <f aca="false">IFERROR(1/(1/_xlfn.MINIFS(Checks!$AG$5:$AG$748,Checks!$B$5:$B$748,$A10,Checks!$H$5:$H$748,"Physical uplift",Checks!$P$5:$P$748,$G10)),"")</f>
        <v/>
      </c>
    </row>
    <row r="11" customFormat="false" ht="36" hidden="false" customHeight="true" outlineLevel="0" collapsed="false">
      <c r="A11" s="57" t="s">
        <v>232</v>
      </c>
      <c r="B11" s="57" t="n">
        <v>2</v>
      </c>
      <c r="C11" s="57" t="n">
        <v>7</v>
      </c>
      <c r="D11" s="58" t="n">
        <v>46304</v>
      </c>
      <c r="E11" s="57" t="s">
        <v>196</v>
      </c>
      <c r="F11" s="57" t="s">
        <v>233</v>
      </c>
      <c r="G11" s="57" t="s">
        <v>183</v>
      </c>
      <c r="H11" s="57" t="s">
        <v>184</v>
      </c>
      <c r="I11" s="59" t="n">
        <v>46304.4583333333</v>
      </c>
      <c r="J11" s="59" t="n">
        <v>46305.28125</v>
      </c>
      <c r="K11" s="57" t="s">
        <v>199</v>
      </c>
      <c r="L11" s="60" t="s">
        <v>186</v>
      </c>
      <c r="M11" s="57" t="s">
        <v>187</v>
      </c>
      <c r="N11" s="60"/>
      <c r="O11" s="57" t="s">
        <v>234</v>
      </c>
      <c r="P11" s="57" t="s">
        <v>189</v>
      </c>
      <c r="Q11" s="57"/>
      <c r="R11" s="57" t="s">
        <v>190</v>
      </c>
      <c r="S11" s="57" t="s">
        <v>191</v>
      </c>
      <c r="T11" s="57" t="s">
        <v>192</v>
      </c>
      <c r="U11" s="57" t="s">
        <v>193</v>
      </c>
      <c r="V11" s="57" t="s">
        <v>183</v>
      </c>
      <c r="W11" s="57"/>
      <c r="X11" s="60"/>
      <c r="Y11" s="60"/>
      <c r="Z11" s="61" t="n">
        <f aca="false">IF(AND(INDEX(TZ_DSTS,MATCH(G11,TZ_STN,0))&lt;&gt;"",(I11-INDEX(TZ_STD,MATCH(G11,TZ_STN,0))/24)&gt;=INDEX(TZ_DSTS,MATCH(G11,TZ_STN,0)),(I11-INDEX(TZ_STD,MATCH(G11,TZ_STN,0))/24)&lt;INDEX(TZ_DSTE,MATCH(G11,TZ_STN,0))),INDEX(TZ_DST,MATCH(G11,TZ_STN,0)),INDEX(TZ_STD,MATCH(G11,TZ_STN,0)))</f>
        <v>1</v>
      </c>
      <c r="AA11" s="62" t="n">
        <f aca="false">I11-Z11/24</f>
        <v>46304.4166666667</v>
      </c>
      <c r="AB11" s="63" t="n">
        <f aca="false">(J11-(IF(AND(INDEX(TZ_DSTS,MATCH(H11,TZ_STN,0))&lt;&gt;"",(J11-INDEX(TZ_STD,MATCH(H11,TZ_STN,0))/24)&gt;=INDEX(TZ_DSTS,MATCH(H11,TZ_STN,0)),(J11-INDEX(TZ_STD,MATCH(H11,TZ_STN,0))/24)&lt;INDEX(TZ_DSTE,MATCH(H11,TZ_STN,0))),INDEX(TZ_DST,MATCH(H11,TZ_STN,0)),INDEX(TZ_STD,MATCH(H11,TZ_STN,0))))/24-AA11)*24</f>
        <v>12.7499999996506</v>
      </c>
      <c r="AC11" s="62" t="n">
        <f aca="false">AA11-7</f>
        <v>46297.4166666667</v>
      </c>
      <c r="AD11" s="62" t="n">
        <f aca="false">AA11-1</f>
        <v>46303.4166666667</v>
      </c>
      <c r="AE11" s="62" t="n">
        <f aca="false">AA11-0.5</f>
        <v>46303.9166666667</v>
      </c>
      <c r="AF11" s="62" t="n">
        <f aca="false">AA11</f>
        <v>46304.4166666667</v>
      </c>
      <c r="AG11" s="62" t="n">
        <f aca="false">AC11+(IF(AND(INDEX(TZ_DSTS,MATCH(V11,TZ_STN,0))&lt;&gt;"",AC11&gt;=INDEX(TZ_DSTS,MATCH(V11,TZ_STN,0)),AC11&lt;INDEX(TZ_DSTE,MATCH(V11,TZ_STN,0))),INDEX(TZ_DST,MATCH(V11,TZ_STN,0)),INDEX(TZ_STD,MATCH(V11,TZ_STN,0))))/24</f>
        <v>46297.4583333333</v>
      </c>
      <c r="AH11" s="62" t="n">
        <f aca="false">AD11+(IF(AND(INDEX(TZ_DSTS,MATCH(V11,TZ_STN,0))&lt;&gt;"",AD11&gt;=INDEX(TZ_DSTS,MATCH(V11,TZ_STN,0)),AD11&lt;INDEX(TZ_DSTE,MATCH(V11,TZ_STN,0))),INDEX(TZ_DST,MATCH(V11,TZ_STN,0)),INDEX(TZ_STD,MATCH(V11,TZ_STN,0))))/24</f>
        <v>46303.4583333333</v>
      </c>
      <c r="AI11" s="62" t="n">
        <f aca="false">AE11+(IF(AND(INDEX(TZ_DSTS,MATCH(V11,TZ_STN,0))&lt;&gt;"",AE11&gt;=INDEX(TZ_DSTS,MATCH(V11,TZ_STN,0)),AE11&lt;INDEX(TZ_DSTE,MATCH(V11,TZ_STN,0))),INDEX(TZ_DST,MATCH(V11,TZ_STN,0)),INDEX(TZ_STD,MATCH(V11,TZ_STN,0))))/24</f>
        <v>46303.9583333333</v>
      </c>
      <c r="AJ11" s="64" t="n">
        <f aca="false">IFERROR(SUMIFS(Checks!$AJ$5:$AJ$748,Checks!$B$5:$B$748,$A11,Checks!$G$5:$G$748,"T-7D")/SUMIFS(Checks!$AI$5:$AI$748,Checks!$B$5:$B$748,$A11,Checks!$G$5:$G$748,"T-7D"),"n/a")</f>
        <v>0</v>
      </c>
      <c r="AK11" s="64" t="n">
        <f aca="false">IFERROR(SUMIFS(Checks!$AJ$5:$AJ$748,Checks!$B$5:$B$748,$A11,Checks!$G$5:$G$748,"T-24H")/SUMIFS(Checks!$AI$5:$AI$748,Checks!$B$5:$B$748,$A11,Checks!$G$5:$G$748,"T-24H"),"n/a")</f>
        <v>0</v>
      </c>
      <c r="AL11" s="64" t="n">
        <f aca="false">IFERROR(SUMIFS(Checks!$AJ$5:$AJ$748,Checks!$B$5:$B$748,$A11,Checks!$G$5:$G$748,"T-12H PREP")/SUMIFS(Checks!$AI$5:$AI$748,Checks!$B$5:$B$748,$A11,Checks!$G$5:$G$748,"T-12H PREP"),"n/a")</f>
        <v>0</v>
      </c>
      <c r="AM11" s="64" t="n">
        <f aca="false">IFERROR(SUMIFS(Checks!$AJ$5:$AJ$748,Checks!$B$5:$B$748,$A11,Checks!$G$5:$G$748,"UPLIFT")/SUMIFS(Checks!$AI$5:$AI$748,Checks!$B$5:$B$748,$A11,Checks!$G$5:$G$748,"UPLIFT"),"n/a")</f>
        <v>0</v>
      </c>
      <c r="AN11" s="64" t="n">
        <f aca="false">IFERROR(SUMIFS(Checks!$AJ$5:$AJ$748,Checks!$B$5:$B$748,$A11)/SUMIFS(Checks!$AI$5:$AI$748,Checks!$B$5:$B$748,$A11),"n/a")</f>
        <v>0</v>
      </c>
      <c r="AO11" s="61" t="n">
        <f aca="false">AW11-AV11</f>
        <v>48</v>
      </c>
      <c r="AP11" s="61" t="n">
        <f aca="false">SUMIFS(Checks!$AK$5:$AK$748,Checks!$B$5:$B$748,$A11)</f>
        <v>0</v>
      </c>
      <c r="AQ11" s="61" t="n">
        <f aca="false">SUMIFS(Checks!$AL$5:$AL$748,Checks!$B$5:$B$748,$A11)</f>
        <v>0</v>
      </c>
      <c r="AR11" s="61" t="n">
        <f aca="false">Documents!P11</f>
        <v>2</v>
      </c>
      <c r="AS11" s="61" t="n">
        <f aca="false">SUMIFS(Checks!$AN$5:$AN$748,Checks!$B$5:$B$748,$A11,Checks!$H$5:$H$748,"Preparation")</f>
        <v>2</v>
      </c>
      <c r="AT11" s="65" t="str">
        <f aca="false">IF(AND(AW11&gt;0,AO11=0,AQ11=0,AR11=0,AU11=0),"READY",IF(AP11&gt;0,"NOT READY – OVERDUE",IF(AQ11&gt;0,"NOT READY – DISCREPANCY",IF(AU11&gt;0,"NOT READY – INVALID ENTRY",IF(AR11&gt;0,"NOT READY – DOCUMENTS",IF(AS11&gt;0,"NOT READY – CLARIFICATION",IF(AND(AV11&gt;0,SUMIFS(Checks!$AJ$5:$AJ$748,Checks!$B$5:$B$748,$A11,Checks!$H$5:$H$748,"Preparation")=SUMIFS(Checks!$AI$5:$AI$748,Checks!$B$5:$B$748,$A11,Checks!$H$5:$H$748,"Preparation")),"PREP DONE – AWAITING UPLIFT",IF(AV11=0,"NOT STARTED","IN PROGRESS"))))))))</f>
        <v>NOT READY – DOCUMENTS</v>
      </c>
      <c r="AU11" s="61" t="n">
        <f aca="false">SUMIFS(Checks!$AM$5:$AM$748,Checks!$B$5:$B$748,$A11)</f>
        <v>0</v>
      </c>
      <c r="AV11" s="61" t="n">
        <f aca="false">SUMIFS(Checks!$AJ$5:$AJ$748,Checks!$B$5:$B$748,$A11)</f>
        <v>0</v>
      </c>
      <c r="AW11" s="61" t="n">
        <f aca="false">SUMIFS(Checks!$AI$5:$AI$748,Checks!$B$5:$B$748,$A11)</f>
        <v>48</v>
      </c>
      <c r="AX11" s="66"/>
      <c r="AY11" s="62" t="n">
        <f aca="false">ROUND((IF(ISNUMBER(AX11),AX11,AA11-MIN($AB$10,$AB$18,$AB$26)/24)-UpliftWindowH/24)*1440,0)/1440</f>
        <v>46303.6006944444</v>
      </c>
      <c r="AZ11" s="62" t="n">
        <f aca="false">ROUND((AY11+UpliftWindowH/24+MIN($AB$10,$AB$18,$AB$26)/24)*1440,0)/1440</f>
        <v>46304.4166666667</v>
      </c>
      <c r="BA11" s="62" t="str">
        <f aca="false">IFERROR(1/(1/_xlfn.MINIFS(Checks!$AG$5:$AG$748,Checks!$B$5:$B$748,$A11,Checks!$H$5:$H$748,"Physical uplift",Checks!$P$5:$P$748,$G11)),"")</f>
        <v/>
      </c>
    </row>
    <row r="12" customFormat="false" ht="36" hidden="false" customHeight="true" outlineLevel="0" collapsed="false">
      <c r="A12" s="57" t="s">
        <v>235</v>
      </c>
      <c r="B12" s="57" t="n">
        <v>2</v>
      </c>
      <c r="C12" s="57" t="n">
        <v>8</v>
      </c>
      <c r="D12" s="58" t="n">
        <v>46305</v>
      </c>
      <c r="E12" s="57" t="s">
        <v>210</v>
      </c>
      <c r="F12" s="57" t="s">
        <v>236</v>
      </c>
      <c r="G12" s="57" t="s">
        <v>184</v>
      </c>
      <c r="H12" s="57" t="s">
        <v>237</v>
      </c>
      <c r="I12" s="59" t="n">
        <v>46305.3993055556</v>
      </c>
      <c r="J12" s="59" t="n">
        <v>46305.5104166667</v>
      </c>
      <c r="K12" s="57" t="s">
        <v>185</v>
      </c>
      <c r="L12" s="60" t="s">
        <v>200</v>
      </c>
      <c r="M12" s="57" t="s">
        <v>201</v>
      </c>
      <c r="N12" s="60"/>
      <c r="O12" s="57" t="s">
        <v>238</v>
      </c>
      <c r="P12" s="57" t="s">
        <v>239</v>
      </c>
      <c r="Q12" s="57" t="s">
        <v>240</v>
      </c>
      <c r="R12" s="57" t="s">
        <v>241</v>
      </c>
      <c r="S12" s="57" t="s">
        <v>206</v>
      </c>
      <c r="T12" s="57" t="s">
        <v>207</v>
      </c>
      <c r="U12" s="57" t="s">
        <v>242</v>
      </c>
      <c r="V12" s="57" t="s">
        <v>184</v>
      </c>
      <c r="W12" s="57"/>
      <c r="X12" s="60"/>
      <c r="Y12" s="60"/>
      <c r="Z12" s="61" t="n">
        <f aca="false">IF(AND(INDEX(TZ_DSTS,MATCH(G12,TZ_STN,0))&lt;&gt;"",(I12-INDEX(TZ_STD,MATCH(G12,TZ_STN,0))/24)&gt;=INDEX(TZ_DSTS,MATCH(G12,TZ_STN,0)),(I12-INDEX(TZ_STD,MATCH(G12,TZ_STN,0))/24)&lt;INDEX(TZ_DSTE,MATCH(G12,TZ_STN,0))),INDEX(TZ_DST,MATCH(G12,TZ_STN,0)),INDEX(TZ_STD,MATCH(G12,TZ_STN,0)))</f>
        <v>8</v>
      </c>
      <c r="AA12" s="62" t="n">
        <f aca="false">I12-Z12/24</f>
        <v>46305.0659722222</v>
      </c>
      <c r="AB12" s="63" t="n">
        <f aca="false">(J12-(IF(AND(INDEX(TZ_DSTS,MATCH(H12,TZ_STN,0))&lt;&gt;"",(J12-INDEX(TZ_STD,MATCH(H12,TZ_STN,0))/24)&gt;=INDEX(TZ_DSTS,MATCH(H12,TZ_STN,0)),(J12-INDEX(TZ_STD,MATCH(H12,TZ_STN,0))/24)&lt;INDEX(TZ_DSTE,MATCH(H12,TZ_STN,0))),INDEX(TZ_DST,MATCH(H12,TZ_STN,0)),INDEX(TZ_STD,MATCH(H12,TZ_STN,0))))/24-AA12)*24</f>
        <v>3.66666666666667</v>
      </c>
      <c r="AC12" s="62" t="n">
        <f aca="false">AA12-7</f>
        <v>46298.0659722222</v>
      </c>
      <c r="AD12" s="62" t="n">
        <f aca="false">AA12-1</f>
        <v>46304.0659722222</v>
      </c>
      <c r="AE12" s="62" t="n">
        <f aca="false">AA12-0.5</f>
        <v>46304.5659722222</v>
      </c>
      <c r="AF12" s="62" t="n">
        <f aca="false">AA12</f>
        <v>46305.0659722222</v>
      </c>
      <c r="AG12" s="62" t="n">
        <f aca="false">AC12+(IF(AND(INDEX(TZ_DSTS,MATCH(V12,TZ_STN,0))&lt;&gt;"",AC12&gt;=INDEX(TZ_DSTS,MATCH(V12,TZ_STN,0)),AC12&lt;INDEX(TZ_DSTE,MATCH(V12,TZ_STN,0))),INDEX(TZ_DST,MATCH(V12,TZ_STN,0)),INDEX(TZ_STD,MATCH(V12,TZ_STN,0))))/24</f>
        <v>46298.3993055556</v>
      </c>
      <c r="AH12" s="62" t="n">
        <f aca="false">AD12+(IF(AND(INDEX(TZ_DSTS,MATCH(V12,TZ_STN,0))&lt;&gt;"",AD12&gt;=INDEX(TZ_DSTS,MATCH(V12,TZ_STN,0)),AD12&lt;INDEX(TZ_DSTE,MATCH(V12,TZ_STN,0))),INDEX(TZ_DST,MATCH(V12,TZ_STN,0)),INDEX(TZ_STD,MATCH(V12,TZ_STN,0))))/24</f>
        <v>46304.3993055556</v>
      </c>
      <c r="AI12" s="62" t="n">
        <f aca="false">AE12+(IF(AND(INDEX(TZ_DSTS,MATCH(V12,TZ_STN,0))&lt;&gt;"",AE12&gt;=INDEX(TZ_DSTS,MATCH(V12,TZ_STN,0)),AE12&lt;INDEX(TZ_DSTE,MATCH(V12,TZ_STN,0))),INDEX(TZ_DST,MATCH(V12,TZ_STN,0)),INDEX(TZ_STD,MATCH(V12,TZ_STN,0))))/24</f>
        <v>46304.8993055556</v>
      </c>
      <c r="AJ12" s="64" t="n">
        <f aca="false">IFERROR(SUMIFS(Checks!$AJ$5:$AJ$748,Checks!$B$5:$B$748,$A12,Checks!$G$5:$G$748,"T-7D")/SUMIFS(Checks!$AI$5:$AI$748,Checks!$B$5:$B$748,$A12,Checks!$G$5:$G$748,"T-7D"),"n/a")</f>
        <v>0</v>
      </c>
      <c r="AK12" s="64" t="n">
        <f aca="false">IFERROR(SUMIFS(Checks!$AJ$5:$AJ$748,Checks!$B$5:$B$748,$A12,Checks!$G$5:$G$748,"T-24H")/SUMIFS(Checks!$AI$5:$AI$748,Checks!$B$5:$B$748,$A12,Checks!$G$5:$G$748,"T-24H"),"n/a")</f>
        <v>0</v>
      </c>
      <c r="AL12" s="64" t="n">
        <f aca="false">IFERROR(SUMIFS(Checks!$AJ$5:$AJ$748,Checks!$B$5:$B$748,$A12,Checks!$G$5:$G$748,"T-12H PREP")/SUMIFS(Checks!$AI$5:$AI$748,Checks!$B$5:$B$748,$A12,Checks!$G$5:$G$748,"T-12H PREP"),"n/a")</f>
        <v>0</v>
      </c>
      <c r="AM12" s="64" t="n">
        <f aca="false">IFERROR(SUMIFS(Checks!$AJ$5:$AJ$748,Checks!$B$5:$B$748,$A12,Checks!$G$5:$G$748,"UPLIFT")/SUMIFS(Checks!$AI$5:$AI$748,Checks!$B$5:$B$748,$A12,Checks!$G$5:$G$748,"UPLIFT"),"n/a")</f>
        <v>0</v>
      </c>
      <c r="AN12" s="64" t="n">
        <f aca="false">IFERROR(SUMIFS(Checks!$AJ$5:$AJ$748,Checks!$B$5:$B$748,$A12)/SUMIFS(Checks!$AI$5:$AI$748,Checks!$B$5:$B$748,$A12),"n/a")</f>
        <v>0</v>
      </c>
      <c r="AO12" s="61" t="n">
        <f aca="false">AW12-AV12</f>
        <v>20</v>
      </c>
      <c r="AP12" s="61" t="n">
        <f aca="false">SUMIFS(Checks!$AK$5:$AK$748,Checks!$B$5:$B$748,$A12)</f>
        <v>0</v>
      </c>
      <c r="AQ12" s="61" t="n">
        <f aca="false">SUMIFS(Checks!$AL$5:$AL$748,Checks!$B$5:$B$748,$A12)</f>
        <v>0</v>
      </c>
      <c r="AR12" s="61" t="n">
        <f aca="false">Documents!P12</f>
        <v>2</v>
      </c>
      <c r="AS12" s="61" t="n">
        <f aca="false">SUMIFS(Checks!$AN$5:$AN$748,Checks!$B$5:$B$748,$A12,Checks!$H$5:$H$748,"Preparation")</f>
        <v>0</v>
      </c>
      <c r="AT12" s="65" t="str">
        <f aca="false">IF(AND(AW12&gt;0,AO12=0,AQ12=0,AR12=0,AU12=0),"READY",IF(AP12&gt;0,"NOT READY – OVERDUE",IF(AQ12&gt;0,"NOT READY – DISCREPANCY",IF(AU12&gt;0,"NOT READY – INVALID ENTRY",IF(AR12&gt;0,"NOT READY – DOCUMENTS",IF(AS12&gt;0,"NOT READY – CLARIFICATION",IF(AND(AV12&gt;0,SUMIFS(Checks!$AJ$5:$AJ$748,Checks!$B$5:$B$748,$A12,Checks!$H$5:$H$748,"Preparation")=SUMIFS(Checks!$AI$5:$AI$748,Checks!$B$5:$B$748,$A12,Checks!$H$5:$H$748,"Preparation")),"PREP DONE – AWAITING UPLIFT",IF(AV12=0,"NOT STARTED","IN PROGRESS"))))))))</f>
        <v>NOT READY – DOCUMENTS</v>
      </c>
      <c r="AU12" s="61" t="n">
        <f aca="false">SUMIFS(Checks!$AM$5:$AM$748,Checks!$B$5:$B$748,$A12)</f>
        <v>0</v>
      </c>
      <c r="AV12" s="61" t="n">
        <f aca="false">SUMIFS(Checks!$AJ$5:$AJ$748,Checks!$B$5:$B$748,$A12)</f>
        <v>0</v>
      </c>
      <c r="AW12" s="61" t="n">
        <f aca="false">SUMIFS(Checks!$AI$5:$AI$748,Checks!$B$5:$B$748,$A12)</f>
        <v>20</v>
      </c>
      <c r="AX12" s="62" t="s">
        <v>194</v>
      </c>
      <c r="AY12" s="62" t="s">
        <v>194</v>
      </c>
      <c r="AZ12" s="62" t="s">
        <v>194</v>
      </c>
      <c r="BA12" s="62" t="str">
        <f aca="false">IFERROR(1/(1/_xlfn.MINIFS(Checks!$AG$5:$AG$748,Checks!$B$5:$B$748,$A12,Checks!$H$5:$H$748,"Physical uplift",Checks!$P$5:$P$748,$G12)),"")</f>
        <v/>
      </c>
    </row>
    <row r="13" customFormat="false" ht="36" hidden="false" customHeight="true" outlineLevel="0" collapsed="false">
      <c r="A13" s="57" t="s">
        <v>243</v>
      </c>
      <c r="B13" s="57" t="n">
        <v>2</v>
      </c>
      <c r="C13" s="57" t="n">
        <v>9</v>
      </c>
      <c r="D13" s="58" t="n">
        <v>46306</v>
      </c>
      <c r="E13" s="57" t="s">
        <v>244</v>
      </c>
      <c r="F13" s="57" t="s">
        <v>245</v>
      </c>
      <c r="G13" s="57" t="s">
        <v>237</v>
      </c>
      <c r="H13" s="57" t="s">
        <v>184</v>
      </c>
      <c r="I13" s="59" t="n">
        <v>46306.5451388889</v>
      </c>
      <c r="J13" s="59" t="n">
        <v>46306.7291666667</v>
      </c>
      <c r="K13" s="57" t="s">
        <v>199</v>
      </c>
      <c r="L13" s="60" t="s">
        <v>200</v>
      </c>
      <c r="M13" s="57" t="s">
        <v>201</v>
      </c>
      <c r="N13" s="60"/>
      <c r="O13" s="57" t="s">
        <v>246</v>
      </c>
      <c r="P13" s="57" t="s">
        <v>189</v>
      </c>
      <c r="Q13" s="57" t="s">
        <v>247</v>
      </c>
      <c r="R13" s="57" t="s">
        <v>241</v>
      </c>
      <c r="S13" s="57" t="s">
        <v>206</v>
      </c>
      <c r="T13" s="57" t="s">
        <v>207</v>
      </c>
      <c r="U13" s="57" t="s">
        <v>242</v>
      </c>
      <c r="V13" s="57" t="s">
        <v>237</v>
      </c>
      <c r="W13" s="57"/>
      <c r="X13" s="60"/>
      <c r="Y13" s="60"/>
      <c r="Z13" s="61" t="n">
        <f aca="false">IF(AND(INDEX(TZ_DSTS,MATCH(G13,TZ_STN,0))&lt;&gt;"",(I13-INDEX(TZ_STD,MATCH(G13,TZ_STN,0))/24)&gt;=INDEX(TZ_DSTS,MATCH(G13,TZ_STN,0)),(I13-INDEX(TZ_STD,MATCH(G13,TZ_STN,0))/24)&lt;INDEX(TZ_DSTE,MATCH(G13,TZ_STN,0))),INDEX(TZ_DST,MATCH(G13,TZ_STN,0)),INDEX(TZ_STD,MATCH(G13,TZ_STN,0)))</f>
        <v>7</v>
      </c>
      <c r="AA13" s="62" t="n">
        <f aca="false">I13-Z13/24</f>
        <v>46306.2534722222</v>
      </c>
      <c r="AB13" s="63" t="n">
        <f aca="false">(J13-(IF(AND(INDEX(TZ_DSTS,MATCH(H13,TZ_STN,0))&lt;&gt;"",(J13-INDEX(TZ_STD,MATCH(H13,TZ_STN,0))/24)&gt;=INDEX(TZ_DSTS,MATCH(H13,TZ_STN,0)),(J13-INDEX(TZ_STD,MATCH(H13,TZ_STN,0))/24)&lt;INDEX(TZ_DSTE,MATCH(H13,TZ_STN,0))),INDEX(TZ_DST,MATCH(H13,TZ_STN,0)),INDEX(TZ_STD,MATCH(H13,TZ_STN,0))))/24-AA13)*24</f>
        <v>3.41666666666667</v>
      </c>
      <c r="AC13" s="62" t="n">
        <f aca="false">AA13-7</f>
        <v>46299.2534722222</v>
      </c>
      <c r="AD13" s="62" t="n">
        <f aca="false">AA13-1</f>
        <v>46305.2534722222</v>
      </c>
      <c r="AE13" s="62" t="n">
        <f aca="false">AA13-0.5</f>
        <v>46305.7534722222</v>
      </c>
      <c r="AF13" s="62" t="n">
        <f aca="false">AA13</f>
        <v>46306.2534722222</v>
      </c>
      <c r="AG13" s="62" t="n">
        <f aca="false">AC13+(IF(AND(INDEX(TZ_DSTS,MATCH(V13,TZ_STN,0))&lt;&gt;"",AC13&gt;=INDEX(TZ_DSTS,MATCH(V13,TZ_STN,0)),AC13&lt;INDEX(TZ_DSTE,MATCH(V13,TZ_STN,0))),INDEX(TZ_DST,MATCH(V13,TZ_STN,0)),INDEX(TZ_STD,MATCH(V13,TZ_STN,0))))/24</f>
        <v>46299.5451388889</v>
      </c>
      <c r="AH13" s="62" t="n">
        <f aca="false">AD13+(IF(AND(INDEX(TZ_DSTS,MATCH(V13,TZ_STN,0))&lt;&gt;"",AD13&gt;=INDEX(TZ_DSTS,MATCH(V13,TZ_STN,0)),AD13&lt;INDEX(TZ_DSTE,MATCH(V13,TZ_STN,0))),INDEX(TZ_DST,MATCH(V13,TZ_STN,0)),INDEX(TZ_STD,MATCH(V13,TZ_STN,0))))/24</f>
        <v>46305.5451388889</v>
      </c>
      <c r="AI13" s="62" t="n">
        <f aca="false">AE13+(IF(AND(INDEX(TZ_DSTS,MATCH(V13,TZ_STN,0))&lt;&gt;"",AE13&gt;=INDEX(TZ_DSTS,MATCH(V13,TZ_STN,0)),AE13&lt;INDEX(TZ_DSTE,MATCH(V13,TZ_STN,0))),INDEX(TZ_DST,MATCH(V13,TZ_STN,0)),INDEX(TZ_STD,MATCH(V13,TZ_STN,0))))/24</f>
        <v>46306.0451388889</v>
      </c>
      <c r="AJ13" s="64" t="n">
        <f aca="false">IFERROR(SUMIFS(Checks!$AJ$5:$AJ$748,Checks!$B$5:$B$748,$A13,Checks!$G$5:$G$748,"T-7D")/SUMIFS(Checks!$AI$5:$AI$748,Checks!$B$5:$B$748,$A13,Checks!$G$5:$G$748,"T-7D"),"n/a")</f>
        <v>0</v>
      </c>
      <c r="AK13" s="64" t="n">
        <f aca="false">IFERROR(SUMIFS(Checks!$AJ$5:$AJ$748,Checks!$B$5:$B$748,$A13,Checks!$G$5:$G$748,"T-24H")/SUMIFS(Checks!$AI$5:$AI$748,Checks!$B$5:$B$748,$A13,Checks!$G$5:$G$748,"T-24H"),"n/a")</f>
        <v>0</v>
      </c>
      <c r="AL13" s="64" t="n">
        <f aca="false">IFERROR(SUMIFS(Checks!$AJ$5:$AJ$748,Checks!$B$5:$B$748,$A13,Checks!$G$5:$G$748,"T-12H PREP")/SUMIFS(Checks!$AI$5:$AI$748,Checks!$B$5:$B$748,$A13,Checks!$G$5:$G$748,"T-12H PREP"),"n/a")</f>
        <v>0</v>
      </c>
      <c r="AM13" s="64" t="n">
        <f aca="false">IFERROR(SUMIFS(Checks!$AJ$5:$AJ$748,Checks!$B$5:$B$748,$A13,Checks!$G$5:$G$748,"UPLIFT")/SUMIFS(Checks!$AI$5:$AI$748,Checks!$B$5:$B$748,$A13,Checks!$G$5:$G$748,"UPLIFT"),"n/a")</f>
        <v>0</v>
      </c>
      <c r="AN13" s="64" t="n">
        <f aca="false">IFERROR(SUMIFS(Checks!$AJ$5:$AJ$748,Checks!$B$5:$B$748,$A13)/SUMIFS(Checks!$AI$5:$AI$748,Checks!$B$5:$B$748,$A13),"n/a")</f>
        <v>0</v>
      </c>
      <c r="AO13" s="61" t="n">
        <f aca="false">AW13-AV13</f>
        <v>38</v>
      </c>
      <c r="AP13" s="61" t="n">
        <f aca="false">SUMIFS(Checks!$AK$5:$AK$748,Checks!$B$5:$B$748,$A13)</f>
        <v>0</v>
      </c>
      <c r="AQ13" s="61" t="n">
        <f aca="false">SUMIFS(Checks!$AL$5:$AL$748,Checks!$B$5:$B$748,$A13)</f>
        <v>0</v>
      </c>
      <c r="AR13" s="61" t="n">
        <f aca="false">Documents!P13</f>
        <v>2</v>
      </c>
      <c r="AS13" s="61" t="n">
        <f aca="false">SUMIFS(Checks!$AN$5:$AN$748,Checks!$B$5:$B$748,$A13,Checks!$H$5:$H$748,"Preparation")</f>
        <v>2</v>
      </c>
      <c r="AT13" s="65" t="str">
        <f aca="false">IF(AND(AW13&gt;0,AO13=0,AQ13=0,AR13=0,AU13=0),"READY",IF(AP13&gt;0,"NOT READY – OVERDUE",IF(AQ13&gt;0,"NOT READY – DISCREPANCY",IF(AU13&gt;0,"NOT READY – INVALID ENTRY",IF(AR13&gt;0,"NOT READY – DOCUMENTS",IF(AS13&gt;0,"NOT READY – CLARIFICATION",IF(AND(AV13&gt;0,SUMIFS(Checks!$AJ$5:$AJ$748,Checks!$B$5:$B$748,$A13,Checks!$H$5:$H$748,"Preparation")=SUMIFS(Checks!$AI$5:$AI$748,Checks!$B$5:$B$748,$A13,Checks!$H$5:$H$748,"Preparation")),"PREP DONE – AWAITING UPLIFT",IF(AV13=0,"NOT STARTED","IN PROGRESS"))))))))</f>
        <v>NOT READY – DOCUMENTS</v>
      </c>
      <c r="AU13" s="61" t="n">
        <f aca="false">SUMIFS(Checks!$AM$5:$AM$748,Checks!$B$5:$B$748,$A13)</f>
        <v>0</v>
      </c>
      <c r="AV13" s="61" t="n">
        <f aca="false">SUMIFS(Checks!$AJ$5:$AJ$748,Checks!$B$5:$B$748,$A13)</f>
        <v>0</v>
      </c>
      <c r="AW13" s="61" t="n">
        <f aca="false">SUMIFS(Checks!$AI$5:$AI$748,Checks!$B$5:$B$748,$A13)</f>
        <v>38</v>
      </c>
      <c r="AX13" s="62" t="s">
        <v>194</v>
      </c>
      <c r="AY13" s="62" t="s">
        <v>194</v>
      </c>
      <c r="AZ13" s="62" t="s">
        <v>194</v>
      </c>
      <c r="BA13" s="62" t="str">
        <f aca="false">IFERROR(1/(1/_xlfn.MINIFS(Checks!$AG$5:$AG$748,Checks!$B$5:$B$748,$A13,Checks!$H$5:$H$748,"Physical uplift",Checks!$P$5:$P$748,$G13)),"")</f>
        <v/>
      </c>
    </row>
    <row r="14" customFormat="false" ht="36" hidden="false" customHeight="true" outlineLevel="0" collapsed="false">
      <c r="A14" s="57" t="s">
        <v>248</v>
      </c>
      <c r="B14" s="57" t="n">
        <v>2</v>
      </c>
      <c r="C14" s="57" t="n">
        <v>10</v>
      </c>
      <c r="D14" s="58" t="n">
        <v>46307</v>
      </c>
      <c r="E14" s="57" t="s">
        <v>249</v>
      </c>
      <c r="F14" s="57" t="s">
        <v>250</v>
      </c>
      <c r="G14" s="57" t="s">
        <v>184</v>
      </c>
      <c r="H14" s="57" t="s">
        <v>251</v>
      </c>
      <c r="I14" s="59" t="n">
        <v>46307.4895833333</v>
      </c>
      <c r="J14" s="59" t="n">
        <v>46307.53125</v>
      </c>
      <c r="K14" s="57" t="s">
        <v>199</v>
      </c>
      <c r="L14" s="60" t="s">
        <v>200</v>
      </c>
      <c r="M14" s="57" t="s">
        <v>201</v>
      </c>
      <c r="N14" s="60"/>
      <c r="O14" s="57" t="s">
        <v>246</v>
      </c>
      <c r="P14" s="57" t="s">
        <v>189</v>
      </c>
      <c r="Q14" s="57"/>
      <c r="R14" s="57" t="s">
        <v>252</v>
      </c>
      <c r="S14" s="57" t="s">
        <v>253</v>
      </c>
      <c r="T14" s="57" t="s">
        <v>254</v>
      </c>
      <c r="U14" s="57" t="s">
        <v>184</v>
      </c>
      <c r="V14" s="57" t="s">
        <v>184</v>
      </c>
      <c r="W14" s="57"/>
      <c r="X14" s="60"/>
      <c r="Y14" s="60"/>
      <c r="Z14" s="61" t="n">
        <f aca="false">IF(AND(INDEX(TZ_DSTS,MATCH(G14,TZ_STN,0))&lt;&gt;"",(I14-INDEX(TZ_STD,MATCH(G14,TZ_STN,0))/24)&gt;=INDEX(TZ_DSTS,MATCH(G14,TZ_STN,0)),(I14-INDEX(TZ_STD,MATCH(G14,TZ_STN,0))/24)&lt;INDEX(TZ_DSTE,MATCH(G14,TZ_STN,0))),INDEX(TZ_DST,MATCH(G14,TZ_STN,0)),INDEX(TZ_STD,MATCH(G14,TZ_STN,0)))</f>
        <v>8</v>
      </c>
      <c r="AA14" s="62" t="n">
        <f aca="false">I14-Z14/24</f>
        <v>46307.15625</v>
      </c>
      <c r="AB14" s="63" t="n">
        <f aca="false">(J14-(IF(AND(INDEX(TZ_DSTS,MATCH(H14,TZ_STN,0))&lt;&gt;"",(J14-INDEX(TZ_STD,MATCH(H14,TZ_STN,0))/24)&gt;=INDEX(TZ_DSTS,MATCH(H14,TZ_STN,0)),(J14-INDEX(TZ_STD,MATCH(H14,TZ_STN,0))/24)&lt;INDEX(TZ_DSTE,MATCH(H14,TZ_STN,0))),INDEX(TZ_DST,MATCH(H14,TZ_STN,0)),INDEX(TZ_STD,MATCH(H14,TZ_STN,0))))/24-AA14)*24</f>
        <v>1</v>
      </c>
      <c r="AC14" s="62" t="n">
        <f aca="false">AA14-7</f>
        <v>46300.15625</v>
      </c>
      <c r="AD14" s="62" t="n">
        <f aca="false">AA14-1</f>
        <v>46306.15625</v>
      </c>
      <c r="AE14" s="62" t="n">
        <f aca="false">AA14-0.5</f>
        <v>46306.65625</v>
      </c>
      <c r="AF14" s="62" t="n">
        <f aca="false">AA14</f>
        <v>46307.15625</v>
      </c>
      <c r="AG14" s="62" t="n">
        <f aca="false">AC14+(IF(AND(INDEX(TZ_DSTS,MATCH(V14,TZ_STN,0))&lt;&gt;"",AC14&gt;=INDEX(TZ_DSTS,MATCH(V14,TZ_STN,0)),AC14&lt;INDEX(TZ_DSTE,MATCH(V14,TZ_STN,0))),INDEX(TZ_DST,MATCH(V14,TZ_STN,0)),INDEX(TZ_STD,MATCH(V14,TZ_STN,0))))/24</f>
        <v>46300.4895833333</v>
      </c>
      <c r="AH14" s="62" t="n">
        <f aca="false">AD14+(IF(AND(INDEX(TZ_DSTS,MATCH(V14,TZ_STN,0))&lt;&gt;"",AD14&gt;=INDEX(TZ_DSTS,MATCH(V14,TZ_STN,0)),AD14&lt;INDEX(TZ_DSTE,MATCH(V14,TZ_STN,0))),INDEX(TZ_DST,MATCH(V14,TZ_STN,0)),INDEX(TZ_STD,MATCH(V14,TZ_STN,0))))/24</f>
        <v>46306.4895833333</v>
      </c>
      <c r="AI14" s="62" t="n">
        <f aca="false">AE14+(IF(AND(INDEX(TZ_DSTS,MATCH(V14,TZ_STN,0))&lt;&gt;"",AE14&gt;=INDEX(TZ_DSTS,MATCH(V14,TZ_STN,0)),AE14&lt;INDEX(TZ_DSTE,MATCH(V14,TZ_STN,0))),INDEX(TZ_DST,MATCH(V14,TZ_STN,0)),INDEX(TZ_STD,MATCH(V14,TZ_STN,0))))/24</f>
        <v>46306.9895833333</v>
      </c>
      <c r="AJ14" s="64" t="n">
        <f aca="false">IFERROR(SUMIFS(Checks!$AJ$5:$AJ$748,Checks!$B$5:$B$748,$A14,Checks!$G$5:$G$748,"T-7D")/SUMIFS(Checks!$AI$5:$AI$748,Checks!$B$5:$B$748,$A14,Checks!$G$5:$G$748,"T-7D"),"n/a")</f>
        <v>0</v>
      </c>
      <c r="AK14" s="64" t="n">
        <f aca="false">IFERROR(SUMIFS(Checks!$AJ$5:$AJ$748,Checks!$B$5:$B$748,$A14,Checks!$G$5:$G$748,"T-24H")/SUMIFS(Checks!$AI$5:$AI$748,Checks!$B$5:$B$748,$A14,Checks!$G$5:$G$748,"T-24H"),"n/a")</f>
        <v>0</v>
      </c>
      <c r="AL14" s="64" t="n">
        <f aca="false">IFERROR(SUMIFS(Checks!$AJ$5:$AJ$748,Checks!$B$5:$B$748,$A14,Checks!$G$5:$G$748,"T-12H PREP")/SUMIFS(Checks!$AI$5:$AI$748,Checks!$B$5:$B$748,$A14,Checks!$G$5:$G$748,"T-12H PREP"),"n/a")</f>
        <v>0</v>
      </c>
      <c r="AM14" s="64" t="n">
        <f aca="false">IFERROR(SUMIFS(Checks!$AJ$5:$AJ$748,Checks!$B$5:$B$748,$A14,Checks!$G$5:$G$748,"UPLIFT")/SUMIFS(Checks!$AI$5:$AI$748,Checks!$B$5:$B$748,$A14,Checks!$G$5:$G$748,"UPLIFT"),"n/a")</f>
        <v>0</v>
      </c>
      <c r="AN14" s="64" t="n">
        <f aca="false">IFERROR(SUMIFS(Checks!$AJ$5:$AJ$748,Checks!$B$5:$B$748,$A14)/SUMIFS(Checks!$AI$5:$AI$748,Checks!$B$5:$B$748,$A14),"n/a")</f>
        <v>0</v>
      </c>
      <c r="AO14" s="61" t="n">
        <f aca="false">AW14-AV14</f>
        <v>34</v>
      </c>
      <c r="AP14" s="61" t="n">
        <f aca="false">SUMIFS(Checks!$AK$5:$AK$748,Checks!$B$5:$B$748,$A14)</f>
        <v>0</v>
      </c>
      <c r="AQ14" s="61" t="n">
        <f aca="false">SUMIFS(Checks!$AL$5:$AL$748,Checks!$B$5:$B$748,$A14)</f>
        <v>0</v>
      </c>
      <c r="AR14" s="61" t="n">
        <f aca="false">Documents!P14</f>
        <v>2</v>
      </c>
      <c r="AS14" s="61" t="n">
        <f aca="false">SUMIFS(Checks!$AN$5:$AN$748,Checks!$B$5:$B$748,$A14,Checks!$H$5:$H$748,"Preparation")</f>
        <v>0</v>
      </c>
      <c r="AT14" s="65" t="str">
        <f aca="false">IF(AND(AW14&gt;0,AO14=0,AQ14=0,AR14=0,AU14=0),"READY",IF(AP14&gt;0,"NOT READY – OVERDUE",IF(AQ14&gt;0,"NOT READY – DISCREPANCY",IF(AU14&gt;0,"NOT READY – INVALID ENTRY",IF(AR14&gt;0,"NOT READY – DOCUMENTS",IF(AS14&gt;0,"NOT READY – CLARIFICATION",IF(AND(AV14&gt;0,SUMIFS(Checks!$AJ$5:$AJ$748,Checks!$B$5:$B$748,$A14,Checks!$H$5:$H$748,"Preparation")=SUMIFS(Checks!$AI$5:$AI$748,Checks!$B$5:$B$748,$A14,Checks!$H$5:$H$748,"Preparation")),"PREP DONE – AWAITING UPLIFT",IF(AV14=0,"NOT STARTED","IN PROGRESS"))))))))</f>
        <v>NOT READY – DOCUMENTS</v>
      </c>
      <c r="AU14" s="61" t="n">
        <f aca="false">SUMIFS(Checks!$AM$5:$AM$748,Checks!$B$5:$B$748,$A14)</f>
        <v>0</v>
      </c>
      <c r="AV14" s="61" t="n">
        <f aca="false">SUMIFS(Checks!$AJ$5:$AJ$748,Checks!$B$5:$B$748,$A14)</f>
        <v>0</v>
      </c>
      <c r="AW14" s="61" t="n">
        <f aca="false">SUMIFS(Checks!$AI$5:$AI$748,Checks!$B$5:$B$748,$A14)</f>
        <v>34</v>
      </c>
      <c r="AX14" s="62" t="s">
        <v>194</v>
      </c>
      <c r="AY14" s="62" t="s">
        <v>194</v>
      </c>
      <c r="AZ14" s="62" t="s">
        <v>194</v>
      </c>
      <c r="BA14" s="62" t="str">
        <f aca="false">IFERROR(1/(1/_xlfn.MINIFS(Checks!$AG$5:$AG$748,Checks!$B$5:$B$748,$A14,Checks!$H$5:$H$748,"Physical uplift",Checks!$P$5:$P$748,$G14)),"")</f>
        <v/>
      </c>
    </row>
    <row r="15" customFormat="false" ht="36" hidden="false" customHeight="true" outlineLevel="0" collapsed="false">
      <c r="A15" s="57" t="s">
        <v>255</v>
      </c>
      <c r="B15" s="57" t="n">
        <v>2</v>
      </c>
      <c r="C15" s="57" t="n">
        <v>11</v>
      </c>
      <c r="D15" s="58" t="n">
        <v>46307</v>
      </c>
      <c r="E15" s="57" t="s">
        <v>249</v>
      </c>
      <c r="F15" s="57" t="s">
        <v>256</v>
      </c>
      <c r="G15" s="57" t="s">
        <v>251</v>
      </c>
      <c r="H15" s="57" t="s">
        <v>184</v>
      </c>
      <c r="I15" s="59" t="n">
        <v>46307.6597222222</v>
      </c>
      <c r="J15" s="59" t="n">
        <v>46307.7048611111</v>
      </c>
      <c r="K15" s="57" t="s">
        <v>185</v>
      </c>
      <c r="L15" s="60" t="s">
        <v>200</v>
      </c>
      <c r="M15" s="57" t="s">
        <v>201</v>
      </c>
      <c r="N15" s="60"/>
      <c r="O15" s="57" t="s">
        <v>238</v>
      </c>
      <c r="P15" s="57" t="s">
        <v>257</v>
      </c>
      <c r="Q15" s="57"/>
      <c r="R15" s="57" t="s">
        <v>252</v>
      </c>
      <c r="S15" s="57" t="s">
        <v>253</v>
      </c>
      <c r="T15" s="57" t="s">
        <v>254</v>
      </c>
      <c r="U15" s="57" t="s">
        <v>184</v>
      </c>
      <c r="V15" s="57" t="s">
        <v>184</v>
      </c>
      <c r="W15" s="57" t="s">
        <v>248</v>
      </c>
      <c r="X15" s="60"/>
      <c r="Y15" s="60"/>
      <c r="Z15" s="61" t="n">
        <f aca="false">IF(AND(INDEX(TZ_DSTS,MATCH(G15,TZ_STN,0))&lt;&gt;"",(I15-INDEX(TZ_STD,MATCH(G15,TZ_STN,0))/24)&gt;=INDEX(TZ_DSTS,MATCH(G15,TZ_STN,0)),(I15-INDEX(TZ_STD,MATCH(G15,TZ_STN,0))/24)&lt;INDEX(TZ_DSTE,MATCH(G15,TZ_STN,0))),INDEX(TZ_DST,MATCH(G15,TZ_STN,0)),INDEX(TZ_STD,MATCH(G15,TZ_STN,0)))</f>
        <v>8</v>
      </c>
      <c r="AA15" s="62" t="n">
        <f aca="false">I15-Z15/24</f>
        <v>46307.3263888889</v>
      </c>
      <c r="AB15" s="63" t="n">
        <f aca="false">(J15-(IF(AND(INDEX(TZ_DSTS,MATCH(H15,TZ_STN,0))&lt;&gt;"",(J15-INDEX(TZ_STD,MATCH(H15,TZ_STN,0))/24)&gt;=INDEX(TZ_DSTS,MATCH(H15,TZ_STN,0)),(J15-INDEX(TZ_STD,MATCH(H15,TZ_STN,0))/24)&lt;INDEX(TZ_DSTE,MATCH(H15,TZ_STN,0))),INDEX(TZ_DST,MATCH(H15,TZ_STN,0)),INDEX(TZ_STD,MATCH(H15,TZ_STN,0))))/24-AA15)*24</f>
        <v>1.08333333333333</v>
      </c>
      <c r="AC15" s="62" t="n">
        <f aca="false">AA15-7</f>
        <v>46300.3263888889</v>
      </c>
      <c r="AD15" s="62" t="n">
        <f aca="false">MIN(AA15-1,AY15)</f>
        <v>46306.3263888889</v>
      </c>
      <c r="AE15" s="62" t="n">
        <f aca="false">MIN(AA15-0.5,AY15)</f>
        <v>46306.8263888889</v>
      </c>
      <c r="AF15" s="62" t="n">
        <f aca="false">AA15</f>
        <v>46307.3263888889</v>
      </c>
      <c r="AG15" s="62" t="n">
        <f aca="false">AC15+(IF(AND(INDEX(TZ_DSTS,MATCH(V15,TZ_STN,0))&lt;&gt;"",AC15&gt;=INDEX(TZ_DSTS,MATCH(V15,TZ_STN,0)),AC15&lt;INDEX(TZ_DSTE,MATCH(V15,TZ_STN,0))),INDEX(TZ_DST,MATCH(V15,TZ_STN,0)),INDEX(TZ_STD,MATCH(V15,TZ_STN,0))))/24</f>
        <v>46300.6597222222</v>
      </c>
      <c r="AH15" s="62" t="n">
        <f aca="false">AD15+(IF(AND(INDEX(TZ_DSTS,MATCH(V15,TZ_STN,0))&lt;&gt;"",AD15&gt;=INDEX(TZ_DSTS,MATCH(V15,TZ_STN,0)),AD15&lt;INDEX(TZ_DSTE,MATCH(V15,TZ_STN,0))),INDEX(TZ_DST,MATCH(V15,TZ_STN,0)),INDEX(TZ_STD,MATCH(V15,TZ_STN,0))))/24</f>
        <v>46306.6597222222</v>
      </c>
      <c r="AI15" s="62" t="n">
        <f aca="false">AE15+(IF(AND(INDEX(TZ_DSTS,MATCH(V15,TZ_STN,0))&lt;&gt;"",AE15&gt;=INDEX(TZ_DSTS,MATCH(V15,TZ_STN,0)),AE15&lt;INDEX(TZ_DSTE,MATCH(V15,TZ_STN,0))),INDEX(TZ_DST,MATCH(V15,TZ_STN,0)),INDEX(TZ_STD,MATCH(V15,TZ_STN,0))))/24</f>
        <v>46307.1597222222</v>
      </c>
      <c r="AJ15" s="64" t="n">
        <f aca="false">IFERROR(SUMIFS(Checks!$AJ$5:$AJ$748,Checks!$B$5:$B$748,$A15,Checks!$G$5:$G$748,"T-7D")/SUMIFS(Checks!$AI$5:$AI$748,Checks!$B$5:$B$748,$A15,Checks!$G$5:$G$748,"T-7D"),"n/a")</f>
        <v>0</v>
      </c>
      <c r="AK15" s="64" t="n">
        <f aca="false">IFERROR(SUMIFS(Checks!$AJ$5:$AJ$748,Checks!$B$5:$B$748,$A15,Checks!$G$5:$G$748,"T-24H")/SUMIFS(Checks!$AI$5:$AI$748,Checks!$B$5:$B$748,$A15,Checks!$G$5:$G$748,"T-24H"),"n/a")</f>
        <v>0</v>
      </c>
      <c r="AL15" s="64" t="n">
        <f aca="false">IFERROR(SUMIFS(Checks!$AJ$5:$AJ$748,Checks!$B$5:$B$748,$A15,Checks!$G$5:$G$748,"T-12H PREP")/SUMIFS(Checks!$AI$5:$AI$748,Checks!$B$5:$B$748,$A15,Checks!$G$5:$G$748,"T-12H PREP"),"n/a")</f>
        <v>0</v>
      </c>
      <c r="AM15" s="64" t="n">
        <f aca="false">IFERROR(SUMIFS(Checks!$AJ$5:$AJ$748,Checks!$B$5:$B$748,$A15,Checks!$G$5:$G$748,"UPLIFT")/SUMIFS(Checks!$AI$5:$AI$748,Checks!$B$5:$B$748,$A15,Checks!$G$5:$G$748,"UPLIFT"),"n/a")</f>
        <v>0</v>
      </c>
      <c r="AN15" s="64" t="n">
        <f aca="false">IFERROR(SUMIFS(Checks!$AJ$5:$AJ$748,Checks!$B$5:$B$748,$A15)/SUMIFS(Checks!$AI$5:$AI$748,Checks!$B$5:$B$748,$A15),"n/a")</f>
        <v>0</v>
      </c>
      <c r="AO15" s="61" t="n">
        <f aca="false">AW15-AV15</f>
        <v>22</v>
      </c>
      <c r="AP15" s="61" t="n">
        <f aca="false">SUMIFS(Checks!$AK$5:$AK$748,Checks!$B$5:$B$748,$A15)</f>
        <v>0</v>
      </c>
      <c r="AQ15" s="61" t="n">
        <f aca="false">SUMIFS(Checks!$AL$5:$AL$748,Checks!$B$5:$B$748,$A15)</f>
        <v>0</v>
      </c>
      <c r="AR15" s="61" t="n">
        <f aca="false">Documents!P15</f>
        <v>2</v>
      </c>
      <c r="AS15" s="61" t="n">
        <f aca="false">SUMIFS(Checks!$AN$5:$AN$748,Checks!$B$5:$B$748,$A15,Checks!$H$5:$H$748,"Preparation")</f>
        <v>1</v>
      </c>
      <c r="AT15" s="65" t="str">
        <f aca="false">IF(AND(AW15&gt;0,AO15=0,AQ15=0,AR15=0,AU15=0),"READY",IF(AP15&gt;0,"NOT READY – OVERDUE",IF(AQ15&gt;0,"NOT READY – DISCREPANCY",IF(AU15&gt;0,"NOT READY – INVALID ENTRY",IF(AR15&gt;0,"NOT READY – DOCUMENTS",IF(AS15&gt;0,"NOT READY – CLARIFICATION",IF(AND(AV15&gt;0,SUMIFS(Checks!$AJ$5:$AJ$748,Checks!$B$5:$B$748,$A15,Checks!$H$5:$H$748,"Preparation")=SUMIFS(Checks!$AI$5:$AI$748,Checks!$B$5:$B$748,$A15,Checks!$H$5:$H$748,"Preparation")),"PREP DONE – AWAITING UPLIFT",IF(AV15=0,"NOT STARTED","IN PROGRESS"))))))))</f>
        <v>NOT READY – DOCUMENTS</v>
      </c>
      <c r="AU15" s="61" t="n">
        <f aca="false">SUMIFS(Checks!$AM$5:$AM$748,Checks!$B$5:$B$748,$A15)</f>
        <v>0</v>
      </c>
      <c r="AV15" s="61" t="n">
        <f aca="false">SUMIFS(Checks!$AJ$5:$AJ$748,Checks!$B$5:$B$748,$A15)</f>
        <v>0</v>
      </c>
      <c r="AW15" s="61" t="n">
        <f aca="false">SUMIFS(Checks!$AI$5:$AI$748,Checks!$B$5:$B$748,$A15)</f>
        <v>22</v>
      </c>
      <c r="AX15" s="66"/>
      <c r="AY15" s="62" t="n">
        <f aca="false">ROUND((IF(ISNUMBER(AX15),AX15,$AA$14)-UpliftWindowH/24)*1440,0)/1440</f>
        <v>46306.90625</v>
      </c>
      <c r="AZ15" s="62" t="n">
        <f aca="false">ROUND((AY15+UpliftWindowH/24+MIN($AB$14)/24)*1440,0)/1440</f>
        <v>46307.1979166667</v>
      </c>
      <c r="BA15" s="62" t="str">
        <f aca="false">IFERROR(1/(1/_xlfn.MINIFS(Checks!$AG$5:$AG$748,Checks!$B$5:$B$748,$A15,Checks!$H$5:$H$748,"Physical uplift",Checks!$P$5:$P$748,$G15)),"")</f>
        <v/>
      </c>
    </row>
    <row r="16" customFormat="false" ht="36" hidden="false" customHeight="true" outlineLevel="0" collapsed="false">
      <c r="A16" s="57" t="s">
        <v>258</v>
      </c>
      <c r="B16" s="57" t="n">
        <v>2</v>
      </c>
      <c r="C16" s="57" t="n">
        <v>12</v>
      </c>
      <c r="D16" s="58" t="n">
        <v>46307</v>
      </c>
      <c r="E16" s="57" t="s">
        <v>249</v>
      </c>
      <c r="F16" s="57" t="s">
        <v>259</v>
      </c>
      <c r="G16" s="57" t="s">
        <v>184</v>
      </c>
      <c r="H16" s="57" t="s">
        <v>260</v>
      </c>
      <c r="I16" s="59" t="n">
        <v>46307.9340277778</v>
      </c>
      <c r="J16" s="59" t="n">
        <v>46308.3333333333</v>
      </c>
      <c r="K16" s="57" t="s">
        <v>199</v>
      </c>
      <c r="L16" s="60" t="s">
        <v>261</v>
      </c>
      <c r="M16" s="57" t="s">
        <v>262</v>
      </c>
      <c r="N16" s="60"/>
      <c r="O16" s="57" t="s">
        <v>263</v>
      </c>
      <c r="P16" s="57" t="s">
        <v>264</v>
      </c>
      <c r="Q16" s="57" t="s">
        <v>265</v>
      </c>
      <c r="R16" s="57" t="s">
        <v>266</v>
      </c>
      <c r="S16" s="57" t="s">
        <v>267</v>
      </c>
      <c r="T16" s="57" t="s">
        <v>223</v>
      </c>
      <c r="U16" s="57" t="s">
        <v>268</v>
      </c>
      <c r="V16" s="57" t="s">
        <v>184</v>
      </c>
      <c r="W16" s="57"/>
      <c r="X16" s="60"/>
      <c r="Y16" s="60"/>
      <c r="Z16" s="61" t="n">
        <f aca="false">IF(AND(INDEX(TZ_DSTS,MATCH(G16,TZ_STN,0))&lt;&gt;"",(I16-INDEX(TZ_STD,MATCH(G16,TZ_STN,0))/24)&gt;=INDEX(TZ_DSTS,MATCH(G16,TZ_STN,0)),(I16-INDEX(TZ_STD,MATCH(G16,TZ_STN,0))/24)&lt;INDEX(TZ_DSTE,MATCH(G16,TZ_STN,0))),INDEX(TZ_DST,MATCH(G16,TZ_STN,0)),INDEX(TZ_STD,MATCH(G16,TZ_STN,0)))</f>
        <v>8</v>
      </c>
      <c r="AA16" s="62" t="n">
        <f aca="false">I16-Z16/24</f>
        <v>46307.6006944444</v>
      </c>
      <c r="AB16" s="63" t="n">
        <f aca="false">(J16-(IF(AND(INDEX(TZ_DSTS,MATCH(H16,TZ_STN,0))&lt;&gt;"",(J16-INDEX(TZ_STD,MATCH(H16,TZ_STN,0))/24)&gt;=INDEX(TZ_DSTS,MATCH(H16,TZ_STN,0)),(J16-INDEX(TZ_STD,MATCH(H16,TZ_STN,0))/24)&lt;INDEX(TZ_DSTE,MATCH(H16,TZ_STN,0))),INDEX(TZ_DST,MATCH(H16,TZ_STN,0)),INDEX(TZ_STD,MATCH(H16,TZ_STN,0))))/24-AA16)*24</f>
        <v>7.08333333333333</v>
      </c>
      <c r="AC16" s="62" t="n">
        <f aca="false">AA16-7</f>
        <v>46300.6006944444</v>
      </c>
      <c r="AD16" s="62" t="n">
        <f aca="false">AA16-1</f>
        <v>46306.6006944444</v>
      </c>
      <c r="AE16" s="62" t="n">
        <f aca="false">AA16-0.5</f>
        <v>46307.1006944444</v>
      </c>
      <c r="AF16" s="62" t="n">
        <f aca="false">AA16</f>
        <v>46307.6006944444</v>
      </c>
      <c r="AG16" s="62" t="n">
        <f aca="false">AC16+(IF(AND(INDEX(TZ_DSTS,MATCH(V16,TZ_STN,0))&lt;&gt;"",AC16&gt;=INDEX(TZ_DSTS,MATCH(V16,TZ_STN,0)),AC16&lt;INDEX(TZ_DSTE,MATCH(V16,TZ_STN,0))),INDEX(TZ_DST,MATCH(V16,TZ_STN,0)),INDEX(TZ_STD,MATCH(V16,TZ_STN,0))))/24</f>
        <v>46300.9340277778</v>
      </c>
      <c r="AH16" s="62" t="n">
        <f aca="false">AD16+(IF(AND(INDEX(TZ_DSTS,MATCH(V16,TZ_STN,0))&lt;&gt;"",AD16&gt;=INDEX(TZ_DSTS,MATCH(V16,TZ_STN,0)),AD16&lt;INDEX(TZ_DSTE,MATCH(V16,TZ_STN,0))),INDEX(TZ_DST,MATCH(V16,TZ_STN,0)),INDEX(TZ_STD,MATCH(V16,TZ_STN,0))))/24</f>
        <v>46306.9340277778</v>
      </c>
      <c r="AI16" s="62" t="n">
        <f aca="false">AE16+(IF(AND(INDEX(TZ_DSTS,MATCH(V16,TZ_STN,0))&lt;&gt;"",AE16&gt;=INDEX(TZ_DSTS,MATCH(V16,TZ_STN,0)),AE16&lt;INDEX(TZ_DSTE,MATCH(V16,TZ_STN,0))),INDEX(TZ_DST,MATCH(V16,TZ_STN,0)),INDEX(TZ_STD,MATCH(V16,TZ_STN,0))))/24</f>
        <v>46307.4340277778</v>
      </c>
      <c r="AJ16" s="64" t="n">
        <f aca="false">IFERROR(SUMIFS(Checks!$AJ$5:$AJ$748,Checks!$B$5:$B$748,$A16,Checks!$G$5:$G$748,"T-7D")/SUMIFS(Checks!$AI$5:$AI$748,Checks!$B$5:$B$748,$A16,Checks!$G$5:$G$748,"T-7D"),"n/a")</f>
        <v>0</v>
      </c>
      <c r="AK16" s="64" t="n">
        <f aca="false">IFERROR(SUMIFS(Checks!$AJ$5:$AJ$748,Checks!$B$5:$B$748,$A16,Checks!$G$5:$G$748,"T-24H")/SUMIFS(Checks!$AI$5:$AI$748,Checks!$B$5:$B$748,$A16,Checks!$G$5:$G$748,"T-24H"),"n/a")</f>
        <v>0</v>
      </c>
      <c r="AL16" s="64" t="n">
        <f aca="false">IFERROR(SUMIFS(Checks!$AJ$5:$AJ$748,Checks!$B$5:$B$748,$A16,Checks!$G$5:$G$748,"T-12H PREP")/SUMIFS(Checks!$AI$5:$AI$748,Checks!$B$5:$B$748,$A16,Checks!$G$5:$G$748,"T-12H PREP"),"n/a")</f>
        <v>0</v>
      </c>
      <c r="AM16" s="64" t="n">
        <f aca="false">IFERROR(SUMIFS(Checks!$AJ$5:$AJ$748,Checks!$B$5:$B$748,$A16,Checks!$G$5:$G$748,"UPLIFT")/SUMIFS(Checks!$AI$5:$AI$748,Checks!$B$5:$B$748,$A16,Checks!$G$5:$G$748,"UPLIFT"),"n/a")</f>
        <v>0</v>
      </c>
      <c r="AN16" s="64" t="n">
        <f aca="false">IFERROR(SUMIFS(Checks!$AJ$5:$AJ$748,Checks!$B$5:$B$748,$A16)/SUMIFS(Checks!$AI$5:$AI$748,Checks!$B$5:$B$748,$A16),"n/a")</f>
        <v>0</v>
      </c>
      <c r="AO16" s="61" t="n">
        <f aca="false">AW16-AV16</f>
        <v>47</v>
      </c>
      <c r="AP16" s="61" t="n">
        <f aca="false">SUMIFS(Checks!$AK$5:$AK$748,Checks!$B$5:$B$748,$A16)</f>
        <v>0</v>
      </c>
      <c r="AQ16" s="61" t="n">
        <f aca="false">SUMIFS(Checks!$AL$5:$AL$748,Checks!$B$5:$B$748,$A16)</f>
        <v>0</v>
      </c>
      <c r="AR16" s="61" t="n">
        <f aca="false">Documents!P16</f>
        <v>2</v>
      </c>
      <c r="AS16" s="61" t="n">
        <f aca="false">SUMIFS(Checks!$AN$5:$AN$748,Checks!$B$5:$B$748,$A16,Checks!$H$5:$H$748,"Preparation")</f>
        <v>0</v>
      </c>
      <c r="AT16" s="65" t="str">
        <f aca="false">IF(AND(AW16&gt;0,AO16=0,AQ16=0,AR16=0,AU16=0),"READY",IF(AP16&gt;0,"NOT READY – OVERDUE",IF(AQ16&gt;0,"NOT READY – DISCREPANCY",IF(AU16&gt;0,"NOT READY – INVALID ENTRY",IF(AR16&gt;0,"NOT READY – DOCUMENTS",IF(AS16&gt;0,"NOT READY – CLARIFICATION",IF(AND(AV16&gt;0,SUMIFS(Checks!$AJ$5:$AJ$748,Checks!$B$5:$B$748,$A16,Checks!$H$5:$H$748,"Preparation")=SUMIFS(Checks!$AI$5:$AI$748,Checks!$B$5:$B$748,$A16,Checks!$H$5:$H$748,"Preparation")),"PREP DONE – AWAITING UPLIFT",IF(AV16=0,"NOT STARTED","IN PROGRESS"))))))))</f>
        <v>NOT READY – DOCUMENTS</v>
      </c>
      <c r="AU16" s="61" t="n">
        <f aca="false">SUMIFS(Checks!$AM$5:$AM$748,Checks!$B$5:$B$748,$A16)</f>
        <v>0</v>
      </c>
      <c r="AV16" s="61" t="n">
        <f aca="false">SUMIFS(Checks!$AJ$5:$AJ$748,Checks!$B$5:$B$748,$A16)</f>
        <v>0</v>
      </c>
      <c r="AW16" s="61" t="n">
        <f aca="false">SUMIFS(Checks!$AI$5:$AI$748,Checks!$B$5:$B$748,$A16)</f>
        <v>47</v>
      </c>
      <c r="AX16" s="62" t="s">
        <v>194</v>
      </c>
      <c r="AY16" s="62" t="s">
        <v>194</v>
      </c>
      <c r="AZ16" s="62" t="s">
        <v>194</v>
      </c>
      <c r="BA16" s="62" t="str">
        <f aca="false">IFERROR(1/(1/_xlfn.MINIFS(Checks!$AG$5:$AG$748,Checks!$B$5:$B$748,$A16,Checks!$H$5:$H$748,"Physical uplift",Checks!$P$5:$P$748,$G16)),"")</f>
        <v/>
      </c>
    </row>
    <row r="17" customFormat="false" ht="36" hidden="false" customHeight="true" outlineLevel="0" collapsed="false">
      <c r="A17" s="57" t="s">
        <v>269</v>
      </c>
      <c r="B17" s="57" t="n">
        <v>2</v>
      </c>
      <c r="C17" s="57" t="n">
        <v>13</v>
      </c>
      <c r="D17" s="58" t="n">
        <v>46309</v>
      </c>
      <c r="E17" s="57" t="s">
        <v>270</v>
      </c>
      <c r="F17" s="57" t="s">
        <v>271</v>
      </c>
      <c r="G17" s="57" t="s">
        <v>260</v>
      </c>
      <c r="H17" s="57" t="s">
        <v>184</v>
      </c>
      <c r="I17" s="59" t="n">
        <v>46309.4479166667</v>
      </c>
      <c r="J17" s="59" t="n">
        <v>46309.6666666667</v>
      </c>
      <c r="K17" s="57" t="s">
        <v>185</v>
      </c>
      <c r="L17" s="60" t="s">
        <v>261</v>
      </c>
      <c r="M17" s="57" t="s">
        <v>262</v>
      </c>
      <c r="N17" s="60"/>
      <c r="O17" s="57" t="s">
        <v>272</v>
      </c>
      <c r="P17" s="57" t="s">
        <v>189</v>
      </c>
      <c r="Q17" s="57" t="s">
        <v>247</v>
      </c>
      <c r="R17" s="57" t="s">
        <v>266</v>
      </c>
      <c r="S17" s="57" t="s">
        <v>267</v>
      </c>
      <c r="T17" s="57" t="s">
        <v>223</v>
      </c>
      <c r="U17" s="57" t="s">
        <v>268</v>
      </c>
      <c r="V17" s="57" t="s">
        <v>260</v>
      </c>
      <c r="W17" s="57"/>
      <c r="X17" s="60"/>
      <c r="Y17" s="60"/>
      <c r="Z17" s="61" t="n">
        <f aca="false">IF(AND(INDEX(TZ_DSTS,MATCH(G17,TZ_STN,0))&lt;&gt;"",(I17-INDEX(TZ_STD,MATCH(G17,TZ_STN,0))/24)&gt;=INDEX(TZ_DSTS,MATCH(G17,TZ_STN,0)),(I17-INDEX(TZ_STD,MATCH(G17,TZ_STN,0))/24)&lt;INDEX(TZ_DSTE,MATCH(G17,TZ_STN,0))),INDEX(TZ_DST,MATCH(G17,TZ_STN,0)),INDEX(TZ_STD,MATCH(G17,TZ_STN,0)))</f>
        <v>10.5</v>
      </c>
      <c r="AA17" s="62" t="n">
        <f aca="false">I17-Z17/24</f>
        <v>46309.0104166667</v>
      </c>
      <c r="AB17" s="63" t="n">
        <f aca="false">(J17-(IF(AND(INDEX(TZ_DSTS,MATCH(H17,TZ_STN,0))&lt;&gt;"",(J17-INDEX(TZ_STD,MATCH(H17,TZ_STN,0))/24)&gt;=INDEX(TZ_DSTS,MATCH(H17,TZ_STN,0)),(J17-INDEX(TZ_STD,MATCH(H17,TZ_STN,0))/24)&lt;INDEX(TZ_DSTE,MATCH(H17,TZ_STN,0))),INDEX(TZ_DST,MATCH(H17,TZ_STN,0)),INDEX(TZ_STD,MATCH(H17,TZ_STN,0))))/24-AA17)*24</f>
        <v>7.75</v>
      </c>
      <c r="AC17" s="62" t="n">
        <f aca="false">AA17-7</f>
        <v>46302.0104166667</v>
      </c>
      <c r="AD17" s="62" t="n">
        <f aca="false">AA17-1</f>
        <v>46308.0104166667</v>
      </c>
      <c r="AE17" s="62" t="n">
        <f aca="false">AA17-0.5</f>
        <v>46308.5104166667</v>
      </c>
      <c r="AF17" s="62" t="n">
        <f aca="false">AA17</f>
        <v>46309.0104166667</v>
      </c>
      <c r="AG17" s="62" t="n">
        <f aca="false">AC17+(IF(AND(INDEX(TZ_DSTS,MATCH(V17,TZ_STN,0))&lt;&gt;"",AC17&gt;=INDEX(TZ_DSTS,MATCH(V17,TZ_STN,0)),AC17&lt;INDEX(TZ_DSTE,MATCH(V17,TZ_STN,0))),INDEX(TZ_DST,MATCH(V17,TZ_STN,0)),INDEX(TZ_STD,MATCH(V17,TZ_STN,0))))/24</f>
        <v>46302.4479166667</v>
      </c>
      <c r="AH17" s="62" t="n">
        <f aca="false">AD17+(IF(AND(INDEX(TZ_DSTS,MATCH(V17,TZ_STN,0))&lt;&gt;"",AD17&gt;=INDEX(TZ_DSTS,MATCH(V17,TZ_STN,0)),AD17&lt;INDEX(TZ_DSTE,MATCH(V17,TZ_STN,0))),INDEX(TZ_DST,MATCH(V17,TZ_STN,0)),INDEX(TZ_STD,MATCH(V17,TZ_STN,0))))/24</f>
        <v>46308.4479166667</v>
      </c>
      <c r="AI17" s="62" t="n">
        <f aca="false">AE17+(IF(AND(INDEX(TZ_DSTS,MATCH(V17,TZ_STN,0))&lt;&gt;"",AE17&gt;=INDEX(TZ_DSTS,MATCH(V17,TZ_STN,0)),AE17&lt;INDEX(TZ_DSTE,MATCH(V17,TZ_STN,0))),INDEX(TZ_DST,MATCH(V17,TZ_STN,0)),INDEX(TZ_STD,MATCH(V17,TZ_STN,0))))/24</f>
        <v>46308.9479166667</v>
      </c>
      <c r="AJ17" s="64" t="n">
        <f aca="false">IFERROR(SUMIFS(Checks!$AJ$5:$AJ$748,Checks!$B$5:$B$748,$A17,Checks!$G$5:$G$748,"T-7D")/SUMIFS(Checks!$AI$5:$AI$748,Checks!$B$5:$B$748,$A17,Checks!$G$5:$G$748,"T-7D"),"n/a")</f>
        <v>0</v>
      </c>
      <c r="AK17" s="64" t="n">
        <f aca="false">IFERROR(SUMIFS(Checks!$AJ$5:$AJ$748,Checks!$B$5:$B$748,$A17,Checks!$G$5:$G$748,"T-24H")/SUMIFS(Checks!$AI$5:$AI$748,Checks!$B$5:$B$748,$A17,Checks!$G$5:$G$748,"T-24H"),"n/a")</f>
        <v>0</v>
      </c>
      <c r="AL17" s="64" t="n">
        <f aca="false">IFERROR(SUMIFS(Checks!$AJ$5:$AJ$748,Checks!$B$5:$B$748,$A17,Checks!$G$5:$G$748,"T-12H PREP")/SUMIFS(Checks!$AI$5:$AI$748,Checks!$B$5:$B$748,$A17,Checks!$G$5:$G$748,"T-12H PREP"),"n/a")</f>
        <v>0</v>
      </c>
      <c r="AM17" s="64" t="n">
        <f aca="false">IFERROR(SUMIFS(Checks!$AJ$5:$AJ$748,Checks!$B$5:$B$748,$A17,Checks!$G$5:$G$748,"UPLIFT")/SUMIFS(Checks!$AI$5:$AI$748,Checks!$B$5:$B$748,$A17,Checks!$G$5:$G$748,"UPLIFT"),"n/a")</f>
        <v>0</v>
      </c>
      <c r="AN17" s="64" t="n">
        <f aca="false">IFERROR(SUMIFS(Checks!$AJ$5:$AJ$748,Checks!$B$5:$B$748,$A17)/SUMIFS(Checks!$AI$5:$AI$748,Checks!$B$5:$B$748,$A17),"n/a")</f>
        <v>0</v>
      </c>
      <c r="AO17" s="61" t="n">
        <f aca="false">AW17-AV17</f>
        <v>29</v>
      </c>
      <c r="AP17" s="61" t="n">
        <f aca="false">SUMIFS(Checks!$AK$5:$AK$748,Checks!$B$5:$B$748,$A17)</f>
        <v>0</v>
      </c>
      <c r="AQ17" s="61" t="n">
        <f aca="false">SUMIFS(Checks!$AL$5:$AL$748,Checks!$B$5:$B$748,$A17)</f>
        <v>0</v>
      </c>
      <c r="AR17" s="61" t="n">
        <f aca="false">Documents!P17</f>
        <v>2</v>
      </c>
      <c r="AS17" s="61" t="n">
        <f aca="false">SUMIFS(Checks!$AN$5:$AN$748,Checks!$B$5:$B$748,$A17,Checks!$H$5:$H$748,"Preparation")</f>
        <v>3</v>
      </c>
      <c r="AT17" s="65" t="str">
        <f aca="false">IF(AND(AW17&gt;0,AO17=0,AQ17=0,AR17=0,AU17=0),"READY",IF(AP17&gt;0,"NOT READY – OVERDUE",IF(AQ17&gt;0,"NOT READY – DISCREPANCY",IF(AU17&gt;0,"NOT READY – INVALID ENTRY",IF(AR17&gt;0,"NOT READY – DOCUMENTS",IF(AS17&gt;0,"NOT READY – CLARIFICATION",IF(AND(AV17&gt;0,SUMIFS(Checks!$AJ$5:$AJ$748,Checks!$B$5:$B$748,$A17,Checks!$H$5:$H$748,"Preparation")=SUMIFS(Checks!$AI$5:$AI$748,Checks!$B$5:$B$748,$A17,Checks!$H$5:$H$748,"Preparation")),"PREP DONE – AWAITING UPLIFT",IF(AV17=0,"NOT STARTED","IN PROGRESS"))))))))</f>
        <v>NOT READY – DOCUMENTS</v>
      </c>
      <c r="AU17" s="61" t="n">
        <f aca="false">SUMIFS(Checks!$AM$5:$AM$748,Checks!$B$5:$B$748,$A17)</f>
        <v>0</v>
      </c>
      <c r="AV17" s="61" t="n">
        <f aca="false">SUMIFS(Checks!$AJ$5:$AJ$748,Checks!$B$5:$B$748,$A17)</f>
        <v>0</v>
      </c>
      <c r="AW17" s="61" t="n">
        <f aca="false">SUMIFS(Checks!$AI$5:$AI$748,Checks!$B$5:$B$748,$A17)</f>
        <v>29</v>
      </c>
      <c r="AX17" s="66"/>
      <c r="AY17" s="62" t="n">
        <f aca="false">ROUND((IF(ISNUMBER(AX17),AX17,$AA$16)-UpliftWindowH/24)*1440,0)/1440</f>
        <v>46307.3506944444</v>
      </c>
      <c r="AZ17" s="62" t="n">
        <f aca="false">ROUND((AY17+UpliftWindowH/24+MIN($AB$16)/24)*1440,0)/1440</f>
        <v>46307.8958333333</v>
      </c>
      <c r="BA17" s="62" t="str">
        <f aca="false">IFERROR(1/(1/_xlfn.MINIFS(Checks!$AG$5:$AG$748,Checks!$B$5:$B$748,$A17,Checks!$H$5:$H$748,"Physical uplift",Checks!$P$5:$P$748,$G17)),"")</f>
        <v/>
      </c>
    </row>
    <row r="18" customFormat="false" ht="36" hidden="false" customHeight="true" outlineLevel="0" collapsed="false">
      <c r="A18" s="57" t="s">
        <v>273</v>
      </c>
      <c r="B18" s="57" t="n">
        <v>2</v>
      </c>
      <c r="C18" s="57" t="n">
        <v>14</v>
      </c>
      <c r="D18" s="58" t="n">
        <v>46310</v>
      </c>
      <c r="E18" s="57" t="s">
        <v>181</v>
      </c>
      <c r="F18" s="57" t="s">
        <v>274</v>
      </c>
      <c r="G18" s="57" t="s">
        <v>184</v>
      </c>
      <c r="H18" s="57" t="s">
        <v>183</v>
      </c>
      <c r="I18" s="59" t="n">
        <v>46310.4097222222</v>
      </c>
      <c r="J18" s="59" t="n">
        <v>46310.6909722222</v>
      </c>
      <c r="K18" s="57" t="s">
        <v>185</v>
      </c>
      <c r="L18" s="60" t="s">
        <v>186</v>
      </c>
      <c r="M18" s="57" t="s">
        <v>187</v>
      </c>
      <c r="N18" s="60"/>
      <c r="O18" s="57" t="s">
        <v>188</v>
      </c>
      <c r="P18" s="57" t="s">
        <v>189</v>
      </c>
      <c r="Q18" s="57"/>
      <c r="R18" s="57" t="s">
        <v>190</v>
      </c>
      <c r="S18" s="57" t="s">
        <v>191</v>
      </c>
      <c r="T18" s="57" t="s">
        <v>192</v>
      </c>
      <c r="U18" s="57" t="s">
        <v>193</v>
      </c>
      <c r="V18" s="57" t="s">
        <v>184</v>
      </c>
      <c r="W18" s="57"/>
      <c r="X18" s="60"/>
      <c r="Y18" s="60"/>
      <c r="Z18" s="61" t="n">
        <f aca="false">IF(AND(INDEX(TZ_DSTS,MATCH(G18,TZ_STN,0))&lt;&gt;"",(I18-INDEX(TZ_STD,MATCH(G18,TZ_STN,0))/24)&gt;=INDEX(TZ_DSTS,MATCH(G18,TZ_STN,0)),(I18-INDEX(TZ_STD,MATCH(G18,TZ_STN,0))/24)&lt;INDEX(TZ_DSTE,MATCH(G18,TZ_STN,0))),INDEX(TZ_DST,MATCH(G18,TZ_STN,0)),INDEX(TZ_STD,MATCH(G18,TZ_STN,0)))</f>
        <v>8</v>
      </c>
      <c r="AA18" s="62" t="n">
        <f aca="false">I18-Z18/24</f>
        <v>46310.0763888889</v>
      </c>
      <c r="AB18" s="63" t="n">
        <f aca="false">(J18-(IF(AND(INDEX(TZ_DSTS,MATCH(H18,TZ_STN,0))&lt;&gt;"",(J18-INDEX(TZ_STD,MATCH(H18,TZ_STN,0))/24)&gt;=INDEX(TZ_DSTS,MATCH(H18,TZ_STN,0)),(J18-INDEX(TZ_STD,MATCH(H18,TZ_STN,0))/24)&lt;INDEX(TZ_DSTE,MATCH(H18,TZ_STN,0))),INDEX(TZ_DST,MATCH(H18,TZ_STN,0)),INDEX(TZ_STD,MATCH(H18,TZ_STN,0))))/24-AA18)*24</f>
        <v>13.75</v>
      </c>
      <c r="AC18" s="62" t="n">
        <f aca="false">AA18-7</f>
        <v>46303.0763888889</v>
      </c>
      <c r="AD18" s="62" t="n">
        <f aca="false">AA18-1</f>
        <v>46309.0763888889</v>
      </c>
      <c r="AE18" s="62" t="n">
        <f aca="false">AA18-0.5</f>
        <v>46309.5763888889</v>
      </c>
      <c r="AF18" s="62" t="n">
        <f aca="false">AA18</f>
        <v>46310.0763888889</v>
      </c>
      <c r="AG18" s="62" t="n">
        <f aca="false">AC18+(IF(AND(INDEX(TZ_DSTS,MATCH(V18,TZ_STN,0))&lt;&gt;"",AC18&gt;=INDEX(TZ_DSTS,MATCH(V18,TZ_STN,0)),AC18&lt;INDEX(TZ_DSTE,MATCH(V18,TZ_STN,0))),INDEX(TZ_DST,MATCH(V18,TZ_STN,0)),INDEX(TZ_STD,MATCH(V18,TZ_STN,0))))/24</f>
        <v>46303.4097222222</v>
      </c>
      <c r="AH18" s="62" t="n">
        <f aca="false">AD18+(IF(AND(INDEX(TZ_DSTS,MATCH(V18,TZ_STN,0))&lt;&gt;"",AD18&gt;=INDEX(TZ_DSTS,MATCH(V18,TZ_STN,0)),AD18&lt;INDEX(TZ_DSTE,MATCH(V18,TZ_STN,0))),INDEX(TZ_DST,MATCH(V18,TZ_STN,0)),INDEX(TZ_STD,MATCH(V18,TZ_STN,0))))/24</f>
        <v>46309.4097222222</v>
      </c>
      <c r="AI18" s="62" t="n">
        <f aca="false">AE18+(IF(AND(INDEX(TZ_DSTS,MATCH(V18,TZ_STN,0))&lt;&gt;"",AE18&gt;=INDEX(TZ_DSTS,MATCH(V18,TZ_STN,0)),AE18&lt;INDEX(TZ_DSTE,MATCH(V18,TZ_STN,0))),INDEX(TZ_DST,MATCH(V18,TZ_STN,0)),INDEX(TZ_STD,MATCH(V18,TZ_STN,0))))/24</f>
        <v>46309.9097222222</v>
      </c>
      <c r="AJ18" s="64" t="n">
        <f aca="false">IFERROR(SUMIFS(Checks!$AJ$5:$AJ$748,Checks!$B$5:$B$748,$A18,Checks!$G$5:$G$748,"T-7D")/SUMIFS(Checks!$AI$5:$AI$748,Checks!$B$5:$B$748,$A18,Checks!$G$5:$G$748,"T-7D"),"n/a")</f>
        <v>0</v>
      </c>
      <c r="AK18" s="64" t="n">
        <f aca="false">IFERROR(SUMIFS(Checks!$AJ$5:$AJ$748,Checks!$B$5:$B$748,$A18,Checks!$G$5:$G$748,"T-24H")/SUMIFS(Checks!$AI$5:$AI$748,Checks!$B$5:$B$748,$A18,Checks!$G$5:$G$748,"T-24H"),"n/a")</f>
        <v>0</v>
      </c>
      <c r="AL18" s="64" t="n">
        <f aca="false">IFERROR(SUMIFS(Checks!$AJ$5:$AJ$748,Checks!$B$5:$B$748,$A18,Checks!$G$5:$G$748,"T-12H PREP")/SUMIFS(Checks!$AI$5:$AI$748,Checks!$B$5:$B$748,$A18,Checks!$G$5:$G$748,"T-12H PREP"),"n/a")</f>
        <v>0</v>
      </c>
      <c r="AM18" s="64" t="n">
        <f aca="false">IFERROR(SUMIFS(Checks!$AJ$5:$AJ$748,Checks!$B$5:$B$748,$A18,Checks!$G$5:$G$748,"UPLIFT")/SUMIFS(Checks!$AI$5:$AI$748,Checks!$B$5:$B$748,$A18,Checks!$G$5:$G$748,"UPLIFT"),"n/a")</f>
        <v>0</v>
      </c>
      <c r="AN18" s="64" t="n">
        <f aca="false">IFERROR(SUMIFS(Checks!$AJ$5:$AJ$748,Checks!$B$5:$B$748,$A18)/SUMIFS(Checks!$AI$5:$AI$748,Checks!$B$5:$B$748,$A18),"n/a")</f>
        <v>0</v>
      </c>
      <c r="AO18" s="61" t="n">
        <f aca="false">AW18-AV18</f>
        <v>24</v>
      </c>
      <c r="AP18" s="61" t="n">
        <f aca="false">SUMIFS(Checks!$AK$5:$AK$748,Checks!$B$5:$B$748,$A18)</f>
        <v>0</v>
      </c>
      <c r="AQ18" s="61" t="n">
        <f aca="false">SUMIFS(Checks!$AL$5:$AL$748,Checks!$B$5:$B$748,$A18)</f>
        <v>0</v>
      </c>
      <c r="AR18" s="61" t="n">
        <f aca="false">Documents!P18</f>
        <v>2</v>
      </c>
      <c r="AS18" s="61" t="n">
        <f aca="false">SUMIFS(Checks!$AN$5:$AN$748,Checks!$B$5:$B$748,$A18,Checks!$H$5:$H$748,"Preparation")</f>
        <v>1</v>
      </c>
      <c r="AT18" s="65" t="str">
        <f aca="false">IF(AND(AW18&gt;0,AO18=0,AQ18=0,AR18=0,AU18=0),"READY",IF(AP18&gt;0,"NOT READY – OVERDUE",IF(AQ18&gt;0,"NOT READY – DISCREPANCY",IF(AU18&gt;0,"NOT READY – INVALID ENTRY",IF(AR18&gt;0,"NOT READY – DOCUMENTS",IF(AS18&gt;0,"NOT READY – CLARIFICATION",IF(AND(AV18&gt;0,SUMIFS(Checks!$AJ$5:$AJ$748,Checks!$B$5:$B$748,$A18,Checks!$H$5:$H$748,"Preparation")=SUMIFS(Checks!$AI$5:$AI$748,Checks!$B$5:$B$748,$A18,Checks!$H$5:$H$748,"Preparation")),"PREP DONE – AWAITING UPLIFT",IF(AV18=0,"NOT STARTED","IN PROGRESS"))))))))</f>
        <v>NOT READY – DOCUMENTS</v>
      </c>
      <c r="AU18" s="61" t="n">
        <f aca="false">SUMIFS(Checks!$AM$5:$AM$748,Checks!$B$5:$B$748,$A18)</f>
        <v>0</v>
      </c>
      <c r="AV18" s="61" t="n">
        <f aca="false">SUMIFS(Checks!$AJ$5:$AJ$748,Checks!$B$5:$B$748,$A18)</f>
        <v>0</v>
      </c>
      <c r="AW18" s="61" t="n">
        <f aca="false">SUMIFS(Checks!$AI$5:$AI$748,Checks!$B$5:$B$748,$A18)</f>
        <v>24</v>
      </c>
      <c r="AX18" s="62" t="s">
        <v>194</v>
      </c>
      <c r="AY18" s="62" t="s">
        <v>194</v>
      </c>
      <c r="AZ18" s="62" t="s">
        <v>194</v>
      </c>
      <c r="BA18" s="62" t="str">
        <f aca="false">IFERROR(1/(1/_xlfn.MINIFS(Checks!$AG$5:$AG$748,Checks!$B$5:$B$748,$A18,Checks!$H$5:$H$748,"Physical uplift",Checks!$P$5:$P$748,$G18)),"")</f>
        <v/>
      </c>
    </row>
    <row r="19" customFormat="false" ht="36" hidden="false" customHeight="true" outlineLevel="0" collapsed="false">
      <c r="A19" s="57" t="s">
        <v>275</v>
      </c>
      <c r="B19" s="57" t="n">
        <v>3</v>
      </c>
      <c r="C19" s="57" t="n">
        <v>15</v>
      </c>
      <c r="D19" s="58" t="n">
        <v>46320</v>
      </c>
      <c r="E19" s="57" t="s">
        <v>244</v>
      </c>
      <c r="F19" s="57" t="s">
        <v>233</v>
      </c>
      <c r="G19" s="57" t="s">
        <v>183</v>
      </c>
      <c r="H19" s="57" t="s">
        <v>184</v>
      </c>
      <c r="I19" s="59" t="n">
        <v>46320.4583333333</v>
      </c>
      <c r="J19" s="59" t="n">
        <v>46321.28125</v>
      </c>
      <c r="K19" s="57" t="s">
        <v>185</v>
      </c>
      <c r="L19" s="60" t="s">
        <v>186</v>
      </c>
      <c r="M19" s="57" t="s">
        <v>187</v>
      </c>
      <c r="N19" s="60"/>
      <c r="O19" s="57" t="s">
        <v>276</v>
      </c>
      <c r="P19" s="57" t="s">
        <v>189</v>
      </c>
      <c r="Q19" s="57"/>
      <c r="R19" s="57" t="s">
        <v>190</v>
      </c>
      <c r="S19" s="57" t="s">
        <v>191</v>
      </c>
      <c r="T19" s="57" t="s">
        <v>192</v>
      </c>
      <c r="U19" s="57" t="s">
        <v>193</v>
      </c>
      <c r="V19" s="57" t="s">
        <v>183</v>
      </c>
      <c r="W19" s="57"/>
      <c r="X19" s="60"/>
      <c r="Y19" s="60"/>
      <c r="Z19" s="61" t="n">
        <f aca="false">IF(AND(INDEX(TZ_DSTS,MATCH(G19,TZ_STN,0))&lt;&gt;"",(I19-INDEX(TZ_STD,MATCH(G19,TZ_STN,0))/24)&gt;=INDEX(TZ_DSTS,MATCH(G19,TZ_STN,0)),(I19-INDEX(TZ_STD,MATCH(G19,TZ_STN,0))/24)&lt;INDEX(TZ_DSTE,MATCH(G19,TZ_STN,0))),INDEX(TZ_DST,MATCH(G19,TZ_STN,0)),INDEX(TZ_STD,MATCH(G19,TZ_STN,0)))</f>
        <v>0</v>
      </c>
      <c r="AA19" s="62" t="n">
        <f aca="false">I19-Z19/24</f>
        <v>46320.4583333333</v>
      </c>
      <c r="AB19" s="63" t="n">
        <f aca="false">(J19-(IF(AND(INDEX(TZ_DSTS,MATCH(H19,TZ_STN,0))&lt;&gt;"",(J19-INDEX(TZ_STD,MATCH(H19,TZ_STN,0))/24)&gt;=INDEX(TZ_DSTS,MATCH(H19,TZ_STN,0)),(J19-INDEX(TZ_STD,MATCH(H19,TZ_STN,0))/24)&lt;INDEX(TZ_DSTE,MATCH(H19,TZ_STN,0))),INDEX(TZ_DST,MATCH(H19,TZ_STN,0)),INDEX(TZ_STD,MATCH(H19,TZ_STN,0))))/24-AA19)*24</f>
        <v>11.75</v>
      </c>
      <c r="AC19" s="62" t="n">
        <f aca="false">AA19-7</f>
        <v>46313.4583333333</v>
      </c>
      <c r="AD19" s="62" t="n">
        <f aca="false">AA19-1</f>
        <v>46319.4583333333</v>
      </c>
      <c r="AE19" s="62" t="n">
        <f aca="false">AA19-0.5</f>
        <v>46319.9583333333</v>
      </c>
      <c r="AF19" s="62" t="n">
        <f aca="false">AA19</f>
        <v>46320.4583333333</v>
      </c>
      <c r="AG19" s="62" t="n">
        <f aca="false">AC19+(IF(AND(INDEX(TZ_DSTS,MATCH(V19,TZ_STN,0))&lt;&gt;"",AC19&gt;=INDEX(TZ_DSTS,MATCH(V19,TZ_STN,0)),AC19&lt;INDEX(TZ_DSTE,MATCH(V19,TZ_STN,0))),INDEX(TZ_DST,MATCH(V19,TZ_STN,0)),INDEX(TZ_STD,MATCH(V19,TZ_STN,0))))/24</f>
        <v>46313.5</v>
      </c>
      <c r="AH19" s="62" t="n">
        <f aca="false">AD19+(IF(AND(INDEX(TZ_DSTS,MATCH(V19,TZ_STN,0))&lt;&gt;"",AD19&gt;=INDEX(TZ_DSTS,MATCH(V19,TZ_STN,0)),AD19&lt;INDEX(TZ_DSTE,MATCH(V19,TZ_STN,0))),INDEX(TZ_DST,MATCH(V19,TZ_STN,0)),INDEX(TZ_STD,MATCH(V19,TZ_STN,0))))/24</f>
        <v>46319.5</v>
      </c>
      <c r="AI19" s="62" t="n">
        <f aca="false">AE19+(IF(AND(INDEX(TZ_DSTS,MATCH(V19,TZ_STN,0))&lt;&gt;"",AE19&gt;=INDEX(TZ_DSTS,MATCH(V19,TZ_STN,0)),AE19&lt;INDEX(TZ_DSTE,MATCH(V19,TZ_STN,0))),INDEX(TZ_DST,MATCH(V19,TZ_STN,0)),INDEX(TZ_STD,MATCH(V19,TZ_STN,0))))/24</f>
        <v>46320</v>
      </c>
      <c r="AJ19" s="64" t="n">
        <f aca="false">IFERROR(SUMIFS(Checks!$AJ$5:$AJ$748,Checks!$B$5:$B$748,$A19,Checks!$G$5:$G$748,"T-7D")/SUMIFS(Checks!$AI$5:$AI$748,Checks!$B$5:$B$748,$A19,Checks!$G$5:$G$748,"T-7D"),"n/a")</f>
        <v>0</v>
      </c>
      <c r="AK19" s="64" t="n">
        <f aca="false">IFERROR(SUMIFS(Checks!$AJ$5:$AJ$748,Checks!$B$5:$B$748,$A19,Checks!$G$5:$G$748,"T-24H")/SUMIFS(Checks!$AI$5:$AI$748,Checks!$B$5:$B$748,$A19,Checks!$G$5:$G$748,"T-24H"),"n/a")</f>
        <v>0</v>
      </c>
      <c r="AL19" s="64" t="n">
        <f aca="false">IFERROR(SUMIFS(Checks!$AJ$5:$AJ$748,Checks!$B$5:$B$748,$A19,Checks!$G$5:$G$748,"T-12H PREP")/SUMIFS(Checks!$AI$5:$AI$748,Checks!$B$5:$B$748,$A19,Checks!$G$5:$G$748,"T-12H PREP"),"n/a")</f>
        <v>0</v>
      </c>
      <c r="AM19" s="64" t="n">
        <f aca="false">IFERROR(SUMIFS(Checks!$AJ$5:$AJ$748,Checks!$B$5:$B$748,$A19,Checks!$G$5:$G$748,"UPLIFT")/SUMIFS(Checks!$AI$5:$AI$748,Checks!$B$5:$B$748,$A19,Checks!$G$5:$G$748,"UPLIFT"),"n/a")</f>
        <v>0</v>
      </c>
      <c r="AN19" s="64" t="n">
        <f aca="false">IFERROR(SUMIFS(Checks!$AJ$5:$AJ$748,Checks!$B$5:$B$748,$A19)/SUMIFS(Checks!$AI$5:$AI$748,Checks!$B$5:$B$748,$A19),"n/a")</f>
        <v>0</v>
      </c>
      <c r="AO19" s="61" t="n">
        <f aca="false">AW19-AV19</f>
        <v>24</v>
      </c>
      <c r="AP19" s="61" t="n">
        <f aca="false">SUMIFS(Checks!$AK$5:$AK$748,Checks!$B$5:$B$748,$A19)</f>
        <v>0</v>
      </c>
      <c r="AQ19" s="61" t="n">
        <f aca="false">SUMIFS(Checks!$AL$5:$AL$748,Checks!$B$5:$B$748,$A19)</f>
        <v>0</v>
      </c>
      <c r="AR19" s="61" t="n">
        <f aca="false">Documents!P19</f>
        <v>2</v>
      </c>
      <c r="AS19" s="61" t="n">
        <f aca="false">SUMIFS(Checks!$AN$5:$AN$748,Checks!$B$5:$B$748,$A19,Checks!$H$5:$H$748,"Preparation")</f>
        <v>1</v>
      </c>
      <c r="AT19" s="65" t="str">
        <f aca="false">IF(AND(AW19&gt;0,AO19=0,AQ19=0,AR19=0,AU19=0),"READY",IF(AP19&gt;0,"NOT READY – OVERDUE",IF(AQ19&gt;0,"NOT READY – DISCREPANCY",IF(AU19&gt;0,"NOT READY – INVALID ENTRY",IF(AR19&gt;0,"NOT READY – DOCUMENTS",IF(AS19&gt;0,"NOT READY – CLARIFICATION",IF(AND(AV19&gt;0,SUMIFS(Checks!$AJ$5:$AJ$748,Checks!$B$5:$B$748,$A19,Checks!$H$5:$H$748,"Preparation")=SUMIFS(Checks!$AI$5:$AI$748,Checks!$B$5:$B$748,$A19,Checks!$H$5:$H$748,"Preparation")),"PREP DONE – AWAITING UPLIFT",IF(AV19=0,"NOT STARTED","IN PROGRESS"))))))))</f>
        <v>NOT READY – DOCUMENTS</v>
      </c>
      <c r="AU19" s="61" t="n">
        <f aca="false">SUMIFS(Checks!$AM$5:$AM$748,Checks!$B$5:$B$748,$A19)</f>
        <v>0</v>
      </c>
      <c r="AV19" s="61" t="n">
        <f aca="false">SUMIFS(Checks!$AJ$5:$AJ$748,Checks!$B$5:$B$748,$A19)</f>
        <v>0</v>
      </c>
      <c r="AW19" s="61" t="n">
        <f aca="false">SUMIFS(Checks!$AI$5:$AI$748,Checks!$B$5:$B$748,$A19)</f>
        <v>24</v>
      </c>
      <c r="AX19" s="62" t="s">
        <v>194</v>
      </c>
      <c r="AY19" s="62" t="s">
        <v>194</v>
      </c>
      <c r="AZ19" s="62" t="s">
        <v>194</v>
      </c>
      <c r="BA19" s="62" t="str">
        <f aca="false">IFERROR(1/(1/_xlfn.MINIFS(Checks!$AG$5:$AG$748,Checks!$B$5:$B$748,$A19,Checks!$H$5:$H$748,"Physical uplift",Checks!$P$5:$P$748,$G19)),"")</f>
        <v/>
      </c>
    </row>
    <row r="20" customFormat="false" ht="36" hidden="false" customHeight="true" outlineLevel="0" collapsed="false">
      <c r="A20" s="57" t="s">
        <v>277</v>
      </c>
      <c r="B20" s="57" t="n">
        <v>3</v>
      </c>
      <c r="C20" s="57" t="n">
        <v>16</v>
      </c>
      <c r="D20" s="58" t="n">
        <v>46321</v>
      </c>
      <c r="E20" s="57" t="s">
        <v>249</v>
      </c>
      <c r="F20" s="57" t="s">
        <v>278</v>
      </c>
      <c r="G20" s="57" t="s">
        <v>184</v>
      </c>
      <c r="H20" s="57" t="s">
        <v>279</v>
      </c>
      <c r="I20" s="59" t="n">
        <v>46321.3819444445</v>
      </c>
      <c r="J20" s="59" t="n">
        <v>46321.5520833333</v>
      </c>
      <c r="K20" s="57" t="s">
        <v>185</v>
      </c>
      <c r="L20" s="60" t="s">
        <v>200</v>
      </c>
      <c r="M20" s="57" t="s">
        <v>201</v>
      </c>
      <c r="N20" s="60"/>
      <c r="O20" s="57" t="s">
        <v>280</v>
      </c>
      <c r="P20" s="57" t="s">
        <v>281</v>
      </c>
      <c r="Q20" s="57" t="s">
        <v>282</v>
      </c>
      <c r="R20" s="57" t="s">
        <v>283</v>
      </c>
      <c r="S20" s="57" t="s">
        <v>284</v>
      </c>
      <c r="T20" s="57" t="s">
        <v>285</v>
      </c>
      <c r="U20" s="57" t="s">
        <v>286</v>
      </c>
      <c r="V20" s="57" t="s">
        <v>184</v>
      </c>
      <c r="W20" s="57"/>
      <c r="X20" s="60"/>
      <c r="Y20" s="60"/>
      <c r="Z20" s="61" t="n">
        <f aca="false">IF(AND(INDEX(TZ_DSTS,MATCH(G20,TZ_STN,0))&lt;&gt;"",(I20-INDEX(TZ_STD,MATCH(G20,TZ_STN,0))/24)&gt;=INDEX(TZ_DSTS,MATCH(G20,TZ_STN,0)),(I20-INDEX(TZ_STD,MATCH(G20,TZ_STN,0))/24)&lt;INDEX(TZ_DSTE,MATCH(G20,TZ_STN,0))),INDEX(TZ_DST,MATCH(G20,TZ_STN,0)),INDEX(TZ_STD,MATCH(G20,TZ_STN,0)))</f>
        <v>8</v>
      </c>
      <c r="AA20" s="62" t="n">
        <f aca="false">I20-Z20/24</f>
        <v>46321.0486111111</v>
      </c>
      <c r="AB20" s="63" t="n">
        <f aca="false">(J20-(IF(AND(INDEX(TZ_DSTS,MATCH(H20,TZ_STN,0))&lt;&gt;"",(J20-INDEX(TZ_STD,MATCH(H20,TZ_STN,0))/24)&gt;=INDEX(TZ_DSTS,MATCH(H20,TZ_STN,0)),(J20-INDEX(TZ_STD,MATCH(H20,TZ_STN,0))/24)&lt;INDEX(TZ_DSTE,MATCH(H20,TZ_STN,0))),INDEX(TZ_DST,MATCH(H20,TZ_STN,0)),INDEX(TZ_STD,MATCH(H20,TZ_STN,0))))/24-AA20)*24</f>
        <v>4.08333333333333</v>
      </c>
      <c r="AC20" s="62" t="n">
        <f aca="false">AA20-7</f>
        <v>46314.0486111111</v>
      </c>
      <c r="AD20" s="62" t="n">
        <f aca="false">AA20-1</f>
        <v>46320.0486111111</v>
      </c>
      <c r="AE20" s="62" t="n">
        <f aca="false">AA20-0.5</f>
        <v>46320.5486111111</v>
      </c>
      <c r="AF20" s="62" t="n">
        <f aca="false">AA20</f>
        <v>46321.0486111111</v>
      </c>
      <c r="AG20" s="62" t="n">
        <f aca="false">AC20+(IF(AND(INDEX(TZ_DSTS,MATCH(V20,TZ_STN,0))&lt;&gt;"",AC20&gt;=INDEX(TZ_DSTS,MATCH(V20,TZ_STN,0)),AC20&lt;INDEX(TZ_DSTE,MATCH(V20,TZ_STN,0))),INDEX(TZ_DST,MATCH(V20,TZ_STN,0)),INDEX(TZ_STD,MATCH(V20,TZ_STN,0))))/24</f>
        <v>46314.3819444444</v>
      </c>
      <c r="AH20" s="62" t="n">
        <f aca="false">AD20+(IF(AND(INDEX(TZ_DSTS,MATCH(V20,TZ_STN,0))&lt;&gt;"",AD20&gt;=INDEX(TZ_DSTS,MATCH(V20,TZ_STN,0)),AD20&lt;INDEX(TZ_DSTE,MATCH(V20,TZ_STN,0))),INDEX(TZ_DST,MATCH(V20,TZ_STN,0)),INDEX(TZ_STD,MATCH(V20,TZ_STN,0))))/24</f>
        <v>46320.3819444444</v>
      </c>
      <c r="AI20" s="62" t="n">
        <f aca="false">AE20+(IF(AND(INDEX(TZ_DSTS,MATCH(V20,TZ_STN,0))&lt;&gt;"",AE20&gt;=INDEX(TZ_DSTS,MATCH(V20,TZ_STN,0)),AE20&lt;INDEX(TZ_DSTE,MATCH(V20,TZ_STN,0))),INDEX(TZ_DST,MATCH(V20,TZ_STN,0)),INDEX(TZ_STD,MATCH(V20,TZ_STN,0))))/24</f>
        <v>46320.8819444444</v>
      </c>
      <c r="AJ20" s="64" t="n">
        <f aca="false">IFERROR(SUMIFS(Checks!$AJ$5:$AJ$748,Checks!$B$5:$B$748,$A20,Checks!$G$5:$G$748,"T-7D")/SUMIFS(Checks!$AI$5:$AI$748,Checks!$B$5:$B$748,$A20,Checks!$G$5:$G$748,"T-7D"),"n/a")</f>
        <v>0</v>
      </c>
      <c r="AK20" s="64" t="n">
        <f aca="false">IFERROR(SUMIFS(Checks!$AJ$5:$AJ$748,Checks!$B$5:$B$748,$A20,Checks!$G$5:$G$748,"T-24H")/SUMIFS(Checks!$AI$5:$AI$748,Checks!$B$5:$B$748,$A20,Checks!$G$5:$G$748,"T-24H"),"n/a")</f>
        <v>0</v>
      </c>
      <c r="AL20" s="64" t="n">
        <f aca="false">IFERROR(SUMIFS(Checks!$AJ$5:$AJ$748,Checks!$B$5:$B$748,$A20,Checks!$G$5:$G$748,"T-12H PREP")/SUMIFS(Checks!$AI$5:$AI$748,Checks!$B$5:$B$748,$A20,Checks!$G$5:$G$748,"T-12H PREP"),"n/a")</f>
        <v>0</v>
      </c>
      <c r="AM20" s="64" t="n">
        <f aca="false">IFERROR(SUMIFS(Checks!$AJ$5:$AJ$748,Checks!$B$5:$B$748,$A20,Checks!$G$5:$G$748,"UPLIFT")/SUMIFS(Checks!$AI$5:$AI$748,Checks!$B$5:$B$748,$A20,Checks!$G$5:$G$748,"UPLIFT"),"n/a")</f>
        <v>0</v>
      </c>
      <c r="AN20" s="64" t="n">
        <f aca="false">IFERROR(SUMIFS(Checks!$AJ$5:$AJ$748,Checks!$B$5:$B$748,$A20)/SUMIFS(Checks!$AI$5:$AI$748,Checks!$B$5:$B$748,$A20),"n/a")</f>
        <v>0</v>
      </c>
      <c r="AO20" s="61" t="n">
        <f aca="false">AW20-AV20</f>
        <v>24</v>
      </c>
      <c r="AP20" s="61" t="n">
        <f aca="false">SUMIFS(Checks!$AK$5:$AK$748,Checks!$B$5:$B$748,$A20)</f>
        <v>0</v>
      </c>
      <c r="AQ20" s="61" t="n">
        <f aca="false">SUMIFS(Checks!$AL$5:$AL$748,Checks!$B$5:$B$748,$A20)</f>
        <v>0</v>
      </c>
      <c r="AR20" s="61" t="n">
        <f aca="false">Documents!P20</f>
        <v>2</v>
      </c>
      <c r="AS20" s="61" t="n">
        <f aca="false">SUMIFS(Checks!$AN$5:$AN$748,Checks!$B$5:$B$748,$A20,Checks!$H$5:$H$748,"Preparation")</f>
        <v>1</v>
      </c>
      <c r="AT20" s="65" t="str">
        <f aca="false">IF(AND(AW20&gt;0,AO20=0,AQ20=0,AR20=0,AU20=0),"READY",IF(AP20&gt;0,"NOT READY – OVERDUE",IF(AQ20&gt;0,"NOT READY – DISCREPANCY",IF(AU20&gt;0,"NOT READY – INVALID ENTRY",IF(AR20&gt;0,"NOT READY – DOCUMENTS",IF(AS20&gt;0,"NOT READY – CLARIFICATION",IF(AND(AV20&gt;0,SUMIFS(Checks!$AJ$5:$AJ$748,Checks!$B$5:$B$748,$A20,Checks!$H$5:$H$748,"Preparation")=SUMIFS(Checks!$AI$5:$AI$748,Checks!$B$5:$B$748,$A20,Checks!$H$5:$H$748,"Preparation")),"PREP DONE – AWAITING UPLIFT",IF(AV20=0,"NOT STARTED","IN PROGRESS"))))))))</f>
        <v>NOT READY – DOCUMENTS</v>
      </c>
      <c r="AU20" s="61" t="n">
        <f aca="false">SUMIFS(Checks!$AM$5:$AM$748,Checks!$B$5:$B$748,$A20)</f>
        <v>0</v>
      </c>
      <c r="AV20" s="61" t="n">
        <f aca="false">SUMIFS(Checks!$AJ$5:$AJ$748,Checks!$B$5:$B$748,$A20)</f>
        <v>0</v>
      </c>
      <c r="AW20" s="61" t="n">
        <f aca="false">SUMIFS(Checks!$AI$5:$AI$748,Checks!$B$5:$B$748,$A20)</f>
        <v>24</v>
      </c>
      <c r="AX20" s="62" t="s">
        <v>194</v>
      </c>
      <c r="AY20" s="62" t="s">
        <v>194</v>
      </c>
      <c r="AZ20" s="62" t="s">
        <v>194</v>
      </c>
      <c r="BA20" s="62" t="str">
        <f aca="false">IFERROR(1/(1/_xlfn.MINIFS(Checks!$AG$5:$AG$748,Checks!$B$5:$B$748,$A20,Checks!$H$5:$H$748,"Physical uplift",Checks!$P$5:$P$748,$G20)),"")</f>
        <v/>
      </c>
    </row>
    <row r="21" customFormat="false" ht="36" hidden="false" customHeight="true" outlineLevel="0" collapsed="false">
      <c r="A21" s="57" t="s">
        <v>287</v>
      </c>
      <c r="B21" s="57" t="n">
        <v>3</v>
      </c>
      <c r="C21" s="57" t="n">
        <v>17</v>
      </c>
      <c r="D21" s="58" t="n">
        <v>46322</v>
      </c>
      <c r="E21" s="57" t="s">
        <v>288</v>
      </c>
      <c r="F21" s="57" t="s">
        <v>289</v>
      </c>
      <c r="G21" s="57" t="s">
        <v>279</v>
      </c>
      <c r="H21" s="57" t="s">
        <v>184</v>
      </c>
      <c r="I21" s="59" t="n">
        <v>46322.6180555556</v>
      </c>
      <c r="J21" s="59" t="n">
        <v>46322.7881944445</v>
      </c>
      <c r="K21" s="57" t="s">
        <v>199</v>
      </c>
      <c r="L21" s="60" t="s">
        <v>200</v>
      </c>
      <c r="M21" s="57" t="s">
        <v>201</v>
      </c>
      <c r="N21" s="60"/>
      <c r="O21" s="57" t="s">
        <v>202</v>
      </c>
      <c r="P21" s="57" t="s">
        <v>189</v>
      </c>
      <c r="Q21" s="57"/>
      <c r="R21" s="57" t="s">
        <v>283</v>
      </c>
      <c r="S21" s="57" t="s">
        <v>284</v>
      </c>
      <c r="T21" s="57" t="s">
        <v>285</v>
      </c>
      <c r="U21" s="57" t="s">
        <v>286</v>
      </c>
      <c r="V21" s="57" t="s">
        <v>279</v>
      </c>
      <c r="W21" s="57"/>
      <c r="X21" s="60"/>
      <c r="Y21" s="60"/>
      <c r="Z21" s="61" t="n">
        <f aca="false">IF(AND(INDEX(TZ_DSTS,MATCH(G21,TZ_STN,0))&lt;&gt;"",(I21-INDEX(TZ_STD,MATCH(G21,TZ_STN,0))/24)&gt;=INDEX(TZ_DSTS,MATCH(G21,TZ_STN,0)),(I21-INDEX(TZ_STD,MATCH(G21,TZ_STN,0))/24)&lt;INDEX(TZ_DSTE,MATCH(G21,TZ_STN,0))),INDEX(TZ_DST,MATCH(G21,TZ_STN,0)),INDEX(TZ_STD,MATCH(G21,TZ_STN,0)))</f>
        <v>8</v>
      </c>
      <c r="AA21" s="62" t="n">
        <f aca="false">I21-Z21/24</f>
        <v>46322.2847222222</v>
      </c>
      <c r="AB21" s="63" t="n">
        <f aca="false">(J21-(IF(AND(INDEX(TZ_DSTS,MATCH(H21,TZ_STN,0))&lt;&gt;"",(J21-INDEX(TZ_STD,MATCH(H21,TZ_STN,0))/24)&gt;=INDEX(TZ_DSTS,MATCH(H21,TZ_STN,0)),(J21-INDEX(TZ_STD,MATCH(H21,TZ_STN,0))/24)&lt;INDEX(TZ_DSTE,MATCH(H21,TZ_STN,0))),INDEX(TZ_DST,MATCH(H21,TZ_STN,0)),INDEX(TZ_STD,MATCH(H21,TZ_STN,0))))/24-AA21)*24</f>
        <v>4.08333333333333</v>
      </c>
      <c r="AC21" s="62" t="n">
        <f aca="false">AA21-7</f>
        <v>46315.2847222222</v>
      </c>
      <c r="AD21" s="62" t="n">
        <f aca="false">AA21-1</f>
        <v>46321.2847222222</v>
      </c>
      <c r="AE21" s="62" t="n">
        <f aca="false">AA21-0.5</f>
        <v>46321.7847222222</v>
      </c>
      <c r="AF21" s="62" t="n">
        <f aca="false">AA21</f>
        <v>46322.2847222222</v>
      </c>
      <c r="AG21" s="62" t="n">
        <f aca="false">AC21+(IF(AND(INDEX(TZ_DSTS,MATCH(V21,TZ_STN,0))&lt;&gt;"",AC21&gt;=INDEX(TZ_DSTS,MATCH(V21,TZ_STN,0)),AC21&lt;INDEX(TZ_DSTE,MATCH(V21,TZ_STN,0))),INDEX(TZ_DST,MATCH(V21,TZ_STN,0)),INDEX(TZ_STD,MATCH(V21,TZ_STN,0))))/24</f>
        <v>46315.6180555556</v>
      </c>
      <c r="AH21" s="62" t="n">
        <f aca="false">AD21+(IF(AND(INDEX(TZ_DSTS,MATCH(V21,TZ_STN,0))&lt;&gt;"",AD21&gt;=INDEX(TZ_DSTS,MATCH(V21,TZ_STN,0)),AD21&lt;INDEX(TZ_DSTE,MATCH(V21,TZ_STN,0))),INDEX(TZ_DST,MATCH(V21,TZ_STN,0)),INDEX(TZ_STD,MATCH(V21,TZ_STN,0))))/24</f>
        <v>46321.6180555556</v>
      </c>
      <c r="AI21" s="62" t="n">
        <f aca="false">AE21+(IF(AND(INDEX(TZ_DSTS,MATCH(V21,TZ_STN,0))&lt;&gt;"",AE21&gt;=INDEX(TZ_DSTS,MATCH(V21,TZ_STN,0)),AE21&lt;INDEX(TZ_DSTE,MATCH(V21,TZ_STN,0))),INDEX(TZ_DST,MATCH(V21,TZ_STN,0)),INDEX(TZ_STD,MATCH(V21,TZ_STN,0))))/24</f>
        <v>46322.1180555556</v>
      </c>
      <c r="AJ21" s="64" t="n">
        <f aca="false">IFERROR(SUMIFS(Checks!$AJ$5:$AJ$748,Checks!$B$5:$B$748,$A21,Checks!$G$5:$G$748,"T-7D")/SUMIFS(Checks!$AI$5:$AI$748,Checks!$B$5:$B$748,$A21,Checks!$G$5:$G$748,"T-7D"),"n/a")</f>
        <v>0</v>
      </c>
      <c r="AK21" s="64" t="n">
        <f aca="false">IFERROR(SUMIFS(Checks!$AJ$5:$AJ$748,Checks!$B$5:$B$748,$A21,Checks!$G$5:$G$748,"T-24H")/SUMIFS(Checks!$AI$5:$AI$748,Checks!$B$5:$B$748,$A21,Checks!$G$5:$G$748,"T-24H"),"n/a")</f>
        <v>0</v>
      </c>
      <c r="AL21" s="64" t="n">
        <f aca="false">IFERROR(SUMIFS(Checks!$AJ$5:$AJ$748,Checks!$B$5:$B$748,$A21,Checks!$G$5:$G$748,"T-12H PREP")/SUMIFS(Checks!$AI$5:$AI$748,Checks!$B$5:$B$748,$A21,Checks!$G$5:$G$748,"T-12H PREP"),"n/a")</f>
        <v>0</v>
      </c>
      <c r="AM21" s="64" t="n">
        <f aca="false">IFERROR(SUMIFS(Checks!$AJ$5:$AJ$748,Checks!$B$5:$B$748,$A21,Checks!$G$5:$G$748,"UPLIFT")/SUMIFS(Checks!$AI$5:$AI$748,Checks!$B$5:$B$748,$A21,Checks!$G$5:$G$748,"UPLIFT"),"n/a")</f>
        <v>0</v>
      </c>
      <c r="AN21" s="64" t="n">
        <f aca="false">IFERROR(SUMIFS(Checks!$AJ$5:$AJ$748,Checks!$B$5:$B$748,$A21)/SUMIFS(Checks!$AI$5:$AI$748,Checks!$B$5:$B$748,$A21),"n/a")</f>
        <v>0</v>
      </c>
      <c r="AO21" s="61" t="n">
        <f aca="false">AW21-AV21</f>
        <v>42</v>
      </c>
      <c r="AP21" s="61" t="n">
        <f aca="false">SUMIFS(Checks!$AK$5:$AK$748,Checks!$B$5:$B$748,$A21)</f>
        <v>0</v>
      </c>
      <c r="AQ21" s="61" t="n">
        <f aca="false">SUMIFS(Checks!$AL$5:$AL$748,Checks!$B$5:$B$748,$A21)</f>
        <v>0</v>
      </c>
      <c r="AR21" s="61" t="n">
        <f aca="false">Documents!P21</f>
        <v>2</v>
      </c>
      <c r="AS21" s="61" t="n">
        <f aca="false">SUMIFS(Checks!$AN$5:$AN$748,Checks!$B$5:$B$748,$A21,Checks!$H$5:$H$748,"Preparation")</f>
        <v>4</v>
      </c>
      <c r="AT21" s="65" t="str">
        <f aca="false">IF(AND(AW21&gt;0,AO21=0,AQ21=0,AR21=0,AU21=0),"READY",IF(AP21&gt;0,"NOT READY – OVERDUE",IF(AQ21&gt;0,"NOT READY – DISCREPANCY",IF(AU21&gt;0,"NOT READY – INVALID ENTRY",IF(AR21&gt;0,"NOT READY – DOCUMENTS",IF(AS21&gt;0,"NOT READY – CLARIFICATION",IF(AND(AV21&gt;0,SUMIFS(Checks!$AJ$5:$AJ$748,Checks!$B$5:$B$748,$A21,Checks!$H$5:$H$748,"Preparation")=SUMIFS(Checks!$AI$5:$AI$748,Checks!$B$5:$B$748,$A21,Checks!$H$5:$H$748,"Preparation")),"PREP DONE – AWAITING UPLIFT",IF(AV21=0,"NOT STARTED","IN PROGRESS"))))))))</f>
        <v>NOT READY – DOCUMENTS</v>
      </c>
      <c r="AU21" s="61" t="n">
        <f aca="false">SUMIFS(Checks!$AM$5:$AM$748,Checks!$B$5:$B$748,$A21)</f>
        <v>0</v>
      </c>
      <c r="AV21" s="61" t="n">
        <f aca="false">SUMIFS(Checks!$AJ$5:$AJ$748,Checks!$B$5:$B$748,$A21)</f>
        <v>0</v>
      </c>
      <c r="AW21" s="61" t="n">
        <f aca="false">SUMIFS(Checks!$AI$5:$AI$748,Checks!$B$5:$B$748,$A21)</f>
        <v>42</v>
      </c>
      <c r="AX21" s="66"/>
      <c r="AY21" s="62" t="n">
        <f aca="false">ROUND((IF(ISNUMBER(AX21),AX21,$AA$20)-UpliftWindowH/24)*1440,0)/1440</f>
        <v>46320.7986111111</v>
      </c>
      <c r="AZ21" s="62" t="n">
        <f aca="false">ROUND((AY21+UpliftWindowH/24+MIN($AB$20)/24)*1440,0)/1440</f>
        <v>46321.21875</v>
      </c>
      <c r="BA21" s="62" t="str">
        <f aca="false">IFERROR(1/(1/_xlfn.MINIFS(Checks!$AG$5:$AG$748,Checks!$B$5:$B$748,$A21,Checks!$H$5:$H$748,"Physical uplift",Checks!$P$5:$P$748,$G21)),"")</f>
        <v/>
      </c>
    </row>
    <row r="22" customFormat="false" ht="36" hidden="false" customHeight="true" outlineLevel="0" collapsed="false">
      <c r="A22" s="57" t="s">
        <v>290</v>
      </c>
      <c r="B22" s="57" t="n">
        <v>3</v>
      </c>
      <c r="C22" s="57" t="n">
        <v>18</v>
      </c>
      <c r="D22" s="58" t="n">
        <v>46322</v>
      </c>
      <c r="E22" s="57" t="s">
        <v>288</v>
      </c>
      <c r="F22" s="57" t="s">
        <v>291</v>
      </c>
      <c r="G22" s="57" t="s">
        <v>184</v>
      </c>
      <c r="H22" s="57" t="s">
        <v>292</v>
      </c>
      <c r="I22" s="59" t="n">
        <v>46322.9340277778</v>
      </c>
      <c r="J22" s="59" t="n">
        <v>46323.2465277778</v>
      </c>
      <c r="K22" s="57" t="s">
        <v>199</v>
      </c>
      <c r="L22" s="60" t="s">
        <v>212</v>
      </c>
      <c r="M22" s="57" t="s">
        <v>213</v>
      </c>
      <c r="N22" s="60"/>
      <c r="O22" s="57" t="s">
        <v>293</v>
      </c>
      <c r="P22" s="57" t="s">
        <v>294</v>
      </c>
      <c r="Q22" s="57" t="s">
        <v>295</v>
      </c>
      <c r="R22" s="57" t="s">
        <v>296</v>
      </c>
      <c r="S22" s="57" t="s">
        <v>222</v>
      </c>
      <c r="T22" s="57" t="s">
        <v>223</v>
      </c>
      <c r="U22" s="57" t="s">
        <v>297</v>
      </c>
      <c r="V22" s="57" t="s">
        <v>184</v>
      </c>
      <c r="W22" s="57"/>
      <c r="X22" s="60"/>
      <c r="Y22" s="60"/>
      <c r="Z22" s="61" t="n">
        <f aca="false">IF(AND(INDEX(TZ_DSTS,MATCH(G22,TZ_STN,0))&lt;&gt;"",(I22-INDEX(TZ_STD,MATCH(G22,TZ_STN,0))/24)&gt;=INDEX(TZ_DSTS,MATCH(G22,TZ_STN,0)),(I22-INDEX(TZ_STD,MATCH(G22,TZ_STN,0))/24)&lt;INDEX(TZ_DSTE,MATCH(G22,TZ_STN,0))),INDEX(TZ_DST,MATCH(G22,TZ_STN,0)),INDEX(TZ_STD,MATCH(G22,TZ_STN,0)))</f>
        <v>8</v>
      </c>
      <c r="AA22" s="62" t="n">
        <f aca="false">I22-Z22/24</f>
        <v>46322.6006944444</v>
      </c>
      <c r="AB22" s="63" t="n">
        <f aca="false">(J22-(IF(AND(INDEX(TZ_DSTS,MATCH(H22,TZ_STN,0))&lt;&gt;"",(J22-INDEX(TZ_STD,MATCH(H22,TZ_STN,0))/24)&gt;=INDEX(TZ_DSTS,MATCH(H22,TZ_STN,0)),(J22-INDEX(TZ_STD,MATCH(H22,TZ_STN,0))/24)&lt;INDEX(TZ_DSTE,MATCH(H22,TZ_STN,0))),INDEX(TZ_DST,MATCH(H22,TZ_STN,0)),INDEX(TZ_STD,MATCH(H22,TZ_STN,0))))/24-AA22)*24</f>
        <v>6.5</v>
      </c>
      <c r="AC22" s="62" t="n">
        <f aca="false">AA22-7</f>
        <v>46315.6006944444</v>
      </c>
      <c r="AD22" s="62" t="n">
        <f aca="false">AA22-1</f>
        <v>46321.6006944444</v>
      </c>
      <c r="AE22" s="62" t="n">
        <f aca="false">AA22-0.5</f>
        <v>46322.1006944444</v>
      </c>
      <c r="AF22" s="62" t="n">
        <f aca="false">AA22</f>
        <v>46322.6006944444</v>
      </c>
      <c r="AG22" s="62" t="n">
        <f aca="false">AC22+(IF(AND(INDEX(TZ_DSTS,MATCH(V22,TZ_STN,0))&lt;&gt;"",AC22&gt;=INDEX(TZ_DSTS,MATCH(V22,TZ_STN,0)),AC22&lt;INDEX(TZ_DSTE,MATCH(V22,TZ_STN,0))),INDEX(TZ_DST,MATCH(V22,TZ_STN,0)),INDEX(TZ_STD,MATCH(V22,TZ_STN,0))))/24</f>
        <v>46315.9340277778</v>
      </c>
      <c r="AH22" s="62" t="n">
        <f aca="false">AD22+(IF(AND(INDEX(TZ_DSTS,MATCH(V22,TZ_STN,0))&lt;&gt;"",AD22&gt;=INDEX(TZ_DSTS,MATCH(V22,TZ_STN,0)),AD22&lt;INDEX(TZ_DSTE,MATCH(V22,TZ_STN,0))),INDEX(TZ_DST,MATCH(V22,TZ_STN,0)),INDEX(TZ_STD,MATCH(V22,TZ_STN,0))))/24</f>
        <v>46321.9340277778</v>
      </c>
      <c r="AI22" s="62" t="n">
        <f aca="false">AE22+(IF(AND(INDEX(TZ_DSTS,MATCH(V22,TZ_STN,0))&lt;&gt;"",AE22&gt;=INDEX(TZ_DSTS,MATCH(V22,TZ_STN,0)),AE22&lt;INDEX(TZ_DSTE,MATCH(V22,TZ_STN,0))),INDEX(TZ_DST,MATCH(V22,TZ_STN,0)),INDEX(TZ_STD,MATCH(V22,TZ_STN,0))))/24</f>
        <v>46322.4340277778</v>
      </c>
      <c r="AJ22" s="64" t="n">
        <f aca="false">IFERROR(SUMIFS(Checks!$AJ$5:$AJ$748,Checks!$B$5:$B$748,$A22,Checks!$G$5:$G$748,"T-7D")/SUMIFS(Checks!$AI$5:$AI$748,Checks!$B$5:$B$748,$A22,Checks!$G$5:$G$748,"T-7D"),"n/a")</f>
        <v>0</v>
      </c>
      <c r="AK22" s="64" t="n">
        <f aca="false">IFERROR(SUMIFS(Checks!$AJ$5:$AJ$748,Checks!$B$5:$B$748,$A22,Checks!$G$5:$G$748,"T-24H")/SUMIFS(Checks!$AI$5:$AI$748,Checks!$B$5:$B$748,$A22,Checks!$G$5:$G$748,"T-24H"),"n/a")</f>
        <v>0</v>
      </c>
      <c r="AL22" s="64" t="n">
        <f aca="false">IFERROR(SUMIFS(Checks!$AJ$5:$AJ$748,Checks!$B$5:$B$748,$A22,Checks!$G$5:$G$748,"T-12H PREP")/SUMIFS(Checks!$AI$5:$AI$748,Checks!$B$5:$B$748,$A22,Checks!$G$5:$G$748,"T-12H PREP"),"n/a")</f>
        <v>0</v>
      </c>
      <c r="AM22" s="64" t="n">
        <f aca="false">IFERROR(SUMIFS(Checks!$AJ$5:$AJ$748,Checks!$B$5:$B$748,$A22,Checks!$G$5:$G$748,"UPLIFT")/SUMIFS(Checks!$AI$5:$AI$748,Checks!$B$5:$B$748,$A22,Checks!$G$5:$G$748,"UPLIFT"),"n/a")</f>
        <v>0</v>
      </c>
      <c r="AN22" s="64" t="n">
        <f aca="false">IFERROR(SUMIFS(Checks!$AJ$5:$AJ$748,Checks!$B$5:$B$748,$A22)/SUMIFS(Checks!$AI$5:$AI$748,Checks!$B$5:$B$748,$A22),"n/a")</f>
        <v>0</v>
      </c>
      <c r="AO22" s="61" t="n">
        <f aca="false">AW22-AV22</f>
        <v>44</v>
      </c>
      <c r="AP22" s="61" t="n">
        <f aca="false">SUMIFS(Checks!$AK$5:$AK$748,Checks!$B$5:$B$748,$A22)</f>
        <v>0</v>
      </c>
      <c r="AQ22" s="61" t="n">
        <f aca="false">SUMIFS(Checks!$AL$5:$AL$748,Checks!$B$5:$B$748,$A22)</f>
        <v>0</v>
      </c>
      <c r="AR22" s="61" t="n">
        <f aca="false">Documents!P22</f>
        <v>2</v>
      </c>
      <c r="AS22" s="61" t="n">
        <f aca="false">SUMIFS(Checks!$AN$5:$AN$748,Checks!$B$5:$B$748,$A22,Checks!$H$5:$H$748,"Preparation")</f>
        <v>0</v>
      </c>
      <c r="AT22" s="65" t="str">
        <f aca="false">IF(AND(AW22&gt;0,AO22=0,AQ22=0,AR22=0,AU22=0),"READY",IF(AP22&gt;0,"NOT READY – OVERDUE",IF(AQ22&gt;0,"NOT READY – DISCREPANCY",IF(AU22&gt;0,"NOT READY – INVALID ENTRY",IF(AR22&gt;0,"NOT READY – DOCUMENTS",IF(AS22&gt;0,"NOT READY – CLARIFICATION",IF(AND(AV22&gt;0,SUMIFS(Checks!$AJ$5:$AJ$748,Checks!$B$5:$B$748,$A22,Checks!$H$5:$H$748,"Preparation")=SUMIFS(Checks!$AI$5:$AI$748,Checks!$B$5:$B$748,$A22,Checks!$H$5:$H$748,"Preparation")),"PREP DONE – AWAITING UPLIFT",IF(AV22=0,"NOT STARTED","IN PROGRESS"))))))))</f>
        <v>NOT READY – DOCUMENTS</v>
      </c>
      <c r="AU22" s="61" t="n">
        <f aca="false">SUMIFS(Checks!$AM$5:$AM$748,Checks!$B$5:$B$748,$A22)</f>
        <v>0</v>
      </c>
      <c r="AV22" s="61" t="n">
        <f aca="false">SUMIFS(Checks!$AJ$5:$AJ$748,Checks!$B$5:$B$748,$A22)</f>
        <v>0</v>
      </c>
      <c r="AW22" s="61" t="n">
        <f aca="false">SUMIFS(Checks!$AI$5:$AI$748,Checks!$B$5:$B$748,$A22)</f>
        <v>44</v>
      </c>
      <c r="AX22" s="62" t="s">
        <v>194</v>
      </c>
      <c r="AY22" s="62" t="s">
        <v>194</v>
      </c>
      <c r="AZ22" s="62" t="s">
        <v>194</v>
      </c>
      <c r="BA22" s="62" t="str">
        <f aca="false">IFERROR(1/(1/_xlfn.MINIFS(Checks!$AG$5:$AG$748,Checks!$B$5:$B$748,$A22,Checks!$H$5:$H$748,"Physical uplift",Checks!$P$5:$P$748,$G22)),"")</f>
        <v/>
      </c>
    </row>
    <row r="23" customFormat="false" ht="36" hidden="false" customHeight="true" outlineLevel="0" collapsed="false">
      <c r="A23" s="57" t="s">
        <v>298</v>
      </c>
      <c r="B23" s="57" t="n">
        <v>3</v>
      </c>
      <c r="C23" s="57" t="n">
        <v>19</v>
      </c>
      <c r="D23" s="58" t="n">
        <v>46324</v>
      </c>
      <c r="E23" s="57" t="s">
        <v>181</v>
      </c>
      <c r="F23" s="57" t="s">
        <v>299</v>
      </c>
      <c r="G23" s="57" t="s">
        <v>292</v>
      </c>
      <c r="H23" s="57" t="s">
        <v>184</v>
      </c>
      <c r="I23" s="59" t="n">
        <v>46324.4027777778</v>
      </c>
      <c r="J23" s="59" t="n">
        <v>46324.6979166667</v>
      </c>
      <c r="K23" s="57" t="s">
        <v>185</v>
      </c>
      <c r="L23" s="60" t="s">
        <v>212</v>
      </c>
      <c r="M23" s="57" t="s">
        <v>213</v>
      </c>
      <c r="N23" s="60"/>
      <c r="O23" s="57" t="s">
        <v>300</v>
      </c>
      <c r="P23" s="57" t="s">
        <v>189</v>
      </c>
      <c r="Q23" s="57"/>
      <c r="R23" s="57" t="s">
        <v>296</v>
      </c>
      <c r="S23" s="57" t="s">
        <v>222</v>
      </c>
      <c r="T23" s="57" t="s">
        <v>223</v>
      </c>
      <c r="U23" s="57" t="s">
        <v>297</v>
      </c>
      <c r="V23" s="57" t="s">
        <v>292</v>
      </c>
      <c r="W23" s="57"/>
      <c r="X23" s="60"/>
      <c r="Y23" s="60"/>
      <c r="Z23" s="61" t="n">
        <f aca="false">IF(AND(INDEX(TZ_DSTS,MATCH(G23,TZ_STN,0))&lt;&gt;"",(I23-INDEX(TZ_STD,MATCH(G23,TZ_STN,0))/24)&gt;=INDEX(TZ_DSTS,MATCH(G23,TZ_STN,0)),(I23-INDEX(TZ_STD,MATCH(G23,TZ_STN,0))/24)&lt;INDEX(TZ_DSTE,MATCH(G23,TZ_STN,0))),INDEX(TZ_DST,MATCH(G23,TZ_STN,0)),INDEX(TZ_STD,MATCH(G23,TZ_STN,0)))</f>
        <v>9</v>
      </c>
      <c r="AA23" s="62" t="n">
        <f aca="false">I23-Z23/24</f>
        <v>46324.0277777778</v>
      </c>
      <c r="AB23" s="63" t="n">
        <f aca="false">(J23-(IF(AND(INDEX(TZ_DSTS,MATCH(H23,TZ_STN,0))&lt;&gt;"",(J23-INDEX(TZ_STD,MATCH(H23,TZ_STN,0))/24)&gt;=INDEX(TZ_DSTS,MATCH(H23,TZ_STN,0)),(J23-INDEX(TZ_STD,MATCH(H23,TZ_STN,0))/24)&lt;INDEX(TZ_DSTE,MATCH(H23,TZ_STN,0))),INDEX(TZ_DST,MATCH(H23,TZ_STN,0)),INDEX(TZ_STD,MATCH(H23,TZ_STN,0))))/24-AA23)*24</f>
        <v>8.08333333296444</v>
      </c>
      <c r="AC23" s="62" t="n">
        <f aca="false">AA23-7</f>
        <v>46317.0277777778</v>
      </c>
      <c r="AD23" s="62" t="n">
        <f aca="false">AA23-1</f>
        <v>46323.0277777778</v>
      </c>
      <c r="AE23" s="62" t="n">
        <f aca="false">AA23-0.5</f>
        <v>46323.5277777778</v>
      </c>
      <c r="AF23" s="62" t="n">
        <f aca="false">AA23</f>
        <v>46324.0277777778</v>
      </c>
      <c r="AG23" s="62" t="n">
        <f aca="false">AC23+(IF(AND(INDEX(TZ_DSTS,MATCH(V23,TZ_STN,0))&lt;&gt;"",AC23&gt;=INDEX(TZ_DSTS,MATCH(V23,TZ_STN,0)),AC23&lt;INDEX(TZ_DSTE,MATCH(V23,TZ_STN,0))),INDEX(TZ_DST,MATCH(V23,TZ_STN,0)),INDEX(TZ_STD,MATCH(V23,TZ_STN,0))))/24</f>
        <v>46317.4027777778</v>
      </c>
      <c r="AH23" s="62" t="n">
        <f aca="false">AD23+(IF(AND(INDEX(TZ_DSTS,MATCH(V23,TZ_STN,0))&lt;&gt;"",AD23&gt;=INDEX(TZ_DSTS,MATCH(V23,TZ_STN,0)),AD23&lt;INDEX(TZ_DSTE,MATCH(V23,TZ_STN,0))),INDEX(TZ_DST,MATCH(V23,TZ_STN,0)),INDEX(TZ_STD,MATCH(V23,TZ_STN,0))))/24</f>
        <v>46323.4027777778</v>
      </c>
      <c r="AI23" s="62" t="n">
        <f aca="false">AE23+(IF(AND(INDEX(TZ_DSTS,MATCH(V23,TZ_STN,0))&lt;&gt;"",AE23&gt;=INDEX(TZ_DSTS,MATCH(V23,TZ_STN,0)),AE23&lt;INDEX(TZ_DSTE,MATCH(V23,TZ_STN,0))),INDEX(TZ_DST,MATCH(V23,TZ_STN,0)),INDEX(TZ_STD,MATCH(V23,TZ_STN,0))))/24</f>
        <v>46323.9027777778</v>
      </c>
      <c r="AJ23" s="64" t="n">
        <f aca="false">IFERROR(SUMIFS(Checks!$AJ$5:$AJ$748,Checks!$B$5:$B$748,$A23,Checks!$G$5:$G$748,"T-7D")/SUMIFS(Checks!$AI$5:$AI$748,Checks!$B$5:$B$748,$A23,Checks!$G$5:$G$748,"T-7D"),"n/a")</f>
        <v>0</v>
      </c>
      <c r="AK23" s="64" t="n">
        <f aca="false">IFERROR(SUMIFS(Checks!$AJ$5:$AJ$748,Checks!$B$5:$B$748,$A23,Checks!$G$5:$G$748,"T-24H")/SUMIFS(Checks!$AI$5:$AI$748,Checks!$B$5:$B$748,$A23,Checks!$G$5:$G$748,"T-24H"),"n/a")</f>
        <v>0</v>
      </c>
      <c r="AL23" s="64" t="n">
        <f aca="false">IFERROR(SUMIFS(Checks!$AJ$5:$AJ$748,Checks!$B$5:$B$748,$A23,Checks!$G$5:$G$748,"T-12H PREP")/SUMIFS(Checks!$AI$5:$AI$748,Checks!$B$5:$B$748,$A23,Checks!$G$5:$G$748,"T-12H PREP"),"n/a")</f>
        <v>0</v>
      </c>
      <c r="AM23" s="64" t="n">
        <f aca="false">IFERROR(SUMIFS(Checks!$AJ$5:$AJ$748,Checks!$B$5:$B$748,$A23,Checks!$G$5:$G$748,"UPLIFT")/SUMIFS(Checks!$AI$5:$AI$748,Checks!$B$5:$B$748,$A23,Checks!$G$5:$G$748,"UPLIFT"),"n/a")</f>
        <v>0</v>
      </c>
      <c r="AN23" s="64" t="n">
        <f aca="false">IFERROR(SUMIFS(Checks!$AJ$5:$AJ$748,Checks!$B$5:$B$748,$A23)/SUMIFS(Checks!$AI$5:$AI$748,Checks!$B$5:$B$748,$A23),"n/a")</f>
        <v>0</v>
      </c>
      <c r="AO23" s="61" t="n">
        <f aca="false">AW23-AV23</f>
        <v>24</v>
      </c>
      <c r="AP23" s="61" t="n">
        <f aca="false">SUMIFS(Checks!$AK$5:$AK$748,Checks!$B$5:$B$748,$A23)</f>
        <v>0</v>
      </c>
      <c r="AQ23" s="61" t="n">
        <f aca="false">SUMIFS(Checks!$AL$5:$AL$748,Checks!$B$5:$B$748,$A23)</f>
        <v>0</v>
      </c>
      <c r="AR23" s="61" t="n">
        <f aca="false">Documents!P23</f>
        <v>2</v>
      </c>
      <c r="AS23" s="61" t="n">
        <f aca="false">SUMIFS(Checks!$AN$5:$AN$748,Checks!$B$5:$B$748,$A23,Checks!$H$5:$H$748,"Preparation")</f>
        <v>1</v>
      </c>
      <c r="AT23" s="65" t="str">
        <f aca="false">IF(AND(AW23&gt;0,AO23=0,AQ23=0,AR23=0,AU23=0),"READY",IF(AP23&gt;0,"NOT READY – OVERDUE",IF(AQ23&gt;0,"NOT READY – DISCREPANCY",IF(AU23&gt;0,"NOT READY – INVALID ENTRY",IF(AR23&gt;0,"NOT READY – DOCUMENTS",IF(AS23&gt;0,"NOT READY – CLARIFICATION",IF(AND(AV23&gt;0,SUMIFS(Checks!$AJ$5:$AJ$748,Checks!$B$5:$B$748,$A23,Checks!$H$5:$H$748,"Preparation")=SUMIFS(Checks!$AI$5:$AI$748,Checks!$B$5:$B$748,$A23,Checks!$H$5:$H$748,"Preparation")),"PREP DONE – AWAITING UPLIFT",IF(AV23=0,"NOT STARTED","IN PROGRESS"))))))))</f>
        <v>NOT READY – DOCUMENTS</v>
      </c>
      <c r="AU23" s="61" t="n">
        <f aca="false">SUMIFS(Checks!$AM$5:$AM$748,Checks!$B$5:$B$748,$A23)</f>
        <v>0</v>
      </c>
      <c r="AV23" s="61" t="n">
        <f aca="false">SUMIFS(Checks!$AJ$5:$AJ$748,Checks!$B$5:$B$748,$A23)</f>
        <v>0</v>
      </c>
      <c r="AW23" s="61" t="n">
        <f aca="false">SUMIFS(Checks!$AI$5:$AI$748,Checks!$B$5:$B$748,$A23)</f>
        <v>24</v>
      </c>
      <c r="AX23" s="62" t="s">
        <v>194</v>
      </c>
      <c r="AY23" s="62" t="s">
        <v>194</v>
      </c>
      <c r="AZ23" s="62" t="s">
        <v>194</v>
      </c>
      <c r="BA23" s="62" t="str">
        <f aca="false">IFERROR(1/(1/_xlfn.MINIFS(Checks!$AG$5:$AG$748,Checks!$B$5:$B$748,$A23,Checks!$H$5:$H$748,"Physical uplift",Checks!$P$5:$P$748,$G23)),"")</f>
        <v/>
      </c>
    </row>
    <row r="24" customFormat="false" ht="36" hidden="false" customHeight="true" outlineLevel="0" collapsed="false">
      <c r="A24" s="57" t="s">
        <v>301</v>
      </c>
      <c r="B24" s="57" t="n">
        <v>3</v>
      </c>
      <c r="C24" s="57" t="n">
        <v>20</v>
      </c>
      <c r="D24" s="58" t="n">
        <v>46324</v>
      </c>
      <c r="E24" s="57" t="s">
        <v>181</v>
      </c>
      <c r="F24" s="57" t="s">
        <v>302</v>
      </c>
      <c r="G24" s="57" t="s">
        <v>184</v>
      </c>
      <c r="H24" s="57" t="s">
        <v>303</v>
      </c>
      <c r="I24" s="59" t="n">
        <v>46324.7708333333</v>
      </c>
      <c r="J24" s="59" t="n">
        <v>46324.8333333333</v>
      </c>
      <c r="K24" s="57" t="s">
        <v>185</v>
      </c>
      <c r="L24" s="60" t="s">
        <v>200</v>
      </c>
      <c r="M24" s="57" t="s">
        <v>201</v>
      </c>
      <c r="N24" s="60"/>
      <c r="O24" s="57" t="s">
        <v>238</v>
      </c>
      <c r="P24" s="57" t="s">
        <v>304</v>
      </c>
      <c r="Q24" s="57" t="s">
        <v>305</v>
      </c>
      <c r="R24" s="57" t="s">
        <v>306</v>
      </c>
      <c r="S24" s="57" t="s">
        <v>253</v>
      </c>
      <c r="T24" s="57" t="s">
        <v>254</v>
      </c>
      <c r="U24" s="57" t="s">
        <v>184</v>
      </c>
      <c r="V24" s="57" t="s">
        <v>184</v>
      </c>
      <c r="W24" s="57"/>
      <c r="X24" s="60"/>
      <c r="Y24" s="60"/>
      <c r="Z24" s="61" t="n">
        <f aca="false">IF(AND(INDEX(TZ_DSTS,MATCH(G24,TZ_STN,0))&lt;&gt;"",(I24-INDEX(TZ_STD,MATCH(G24,TZ_STN,0))/24)&gt;=INDEX(TZ_DSTS,MATCH(G24,TZ_STN,0)),(I24-INDEX(TZ_STD,MATCH(G24,TZ_STN,0))/24)&lt;INDEX(TZ_DSTE,MATCH(G24,TZ_STN,0))),INDEX(TZ_DST,MATCH(G24,TZ_STN,0)),INDEX(TZ_STD,MATCH(G24,TZ_STN,0)))</f>
        <v>8</v>
      </c>
      <c r="AA24" s="62" t="n">
        <f aca="false">I24-Z24/24</f>
        <v>46324.4375</v>
      </c>
      <c r="AB24" s="63" t="n">
        <f aca="false">(J24-(IF(AND(INDEX(TZ_DSTS,MATCH(H24,TZ_STN,0))&lt;&gt;"",(J24-INDEX(TZ_STD,MATCH(H24,TZ_STN,0))/24)&gt;=INDEX(TZ_DSTS,MATCH(H24,TZ_STN,0)),(J24-INDEX(TZ_STD,MATCH(H24,TZ_STN,0))/24)&lt;INDEX(TZ_DSTE,MATCH(H24,TZ_STN,0))),INDEX(TZ_DST,MATCH(H24,TZ_STN,0)),INDEX(TZ_STD,MATCH(H24,TZ_STN,0))))/24-AA24)*24</f>
        <v>1.5</v>
      </c>
      <c r="AC24" s="62" t="n">
        <f aca="false">AA24-7</f>
        <v>46317.4375</v>
      </c>
      <c r="AD24" s="62" t="n">
        <f aca="false">AA24-1</f>
        <v>46323.4375</v>
      </c>
      <c r="AE24" s="62" t="n">
        <f aca="false">AA24-0.5</f>
        <v>46323.9375</v>
      </c>
      <c r="AF24" s="62" t="n">
        <f aca="false">AA24</f>
        <v>46324.4375</v>
      </c>
      <c r="AG24" s="62" t="n">
        <f aca="false">AC24+(IF(AND(INDEX(TZ_DSTS,MATCH(V24,TZ_STN,0))&lt;&gt;"",AC24&gt;=INDEX(TZ_DSTS,MATCH(V24,TZ_STN,0)),AC24&lt;INDEX(TZ_DSTE,MATCH(V24,TZ_STN,0))),INDEX(TZ_DST,MATCH(V24,TZ_STN,0)),INDEX(TZ_STD,MATCH(V24,TZ_STN,0))))/24</f>
        <v>46317.7708333333</v>
      </c>
      <c r="AH24" s="62" t="n">
        <f aca="false">AD24+(IF(AND(INDEX(TZ_DSTS,MATCH(V24,TZ_STN,0))&lt;&gt;"",AD24&gt;=INDEX(TZ_DSTS,MATCH(V24,TZ_STN,0)),AD24&lt;INDEX(TZ_DSTE,MATCH(V24,TZ_STN,0))),INDEX(TZ_DST,MATCH(V24,TZ_STN,0)),INDEX(TZ_STD,MATCH(V24,TZ_STN,0))))/24</f>
        <v>46323.7708333333</v>
      </c>
      <c r="AI24" s="62" t="n">
        <f aca="false">AE24+(IF(AND(INDEX(TZ_DSTS,MATCH(V24,TZ_STN,0))&lt;&gt;"",AE24&gt;=INDEX(TZ_DSTS,MATCH(V24,TZ_STN,0)),AE24&lt;INDEX(TZ_DSTE,MATCH(V24,TZ_STN,0))),INDEX(TZ_DST,MATCH(V24,TZ_STN,0)),INDEX(TZ_STD,MATCH(V24,TZ_STN,0))))/24</f>
        <v>46324.2708333333</v>
      </c>
      <c r="AJ24" s="64" t="n">
        <f aca="false">IFERROR(SUMIFS(Checks!$AJ$5:$AJ$748,Checks!$B$5:$B$748,$A24,Checks!$G$5:$G$748,"T-7D")/SUMIFS(Checks!$AI$5:$AI$748,Checks!$B$5:$B$748,$A24,Checks!$G$5:$G$748,"T-7D"),"n/a")</f>
        <v>0</v>
      </c>
      <c r="AK24" s="64" t="n">
        <f aca="false">IFERROR(SUMIFS(Checks!$AJ$5:$AJ$748,Checks!$B$5:$B$748,$A24,Checks!$G$5:$G$748,"T-24H")/SUMIFS(Checks!$AI$5:$AI$748,Checks!$B$5:$B$748,$A24,Checks!$G$5:$G$748,"T-24H"),"n/a")</f>
        <v>0</v>
      </c>
      <c r="AL24" s="64" t="n">
        <f aca="false">IFERROR(SUMIFS(Checks!$AJ$5:$AJ$748,Checks!$B$5:$B$748,$A24,Checks!$G$5:$G$748,"T-12H PREP")/SUMIFS(Checks!$AI$5:$AI$748,Checks!$B$5:$B$748,$A24,Checks!$G$5:$G$748,"T-12H PREP"),"n/a")</f>
        <v>0</v>
      </c>
      <c r="AM24" s="64" t="n">
        <f aca="false">IFERROR(SUMIFS(Checks!$AJ$5:$AJ$748,Checks!$B$5:$B$748,$A24,Checks!$G$5:$G$748,"UPLIFT")/SUMIFS(Checks!$AI$5:$AI$748,Checks!$B$5:$B$748,$A24,Checks!$G$5:$G$748,"UPLIFT"),"n/a")</f>
        <v>0</v>
      </c>
      <c r="AN24" s="64" t="n">
        <f aca="false">IFERROR(SUMIFS(Checks!$AJ$5:$AJ$748,Checks!$B$5:$B$748,$A24)/SUMIFS(Checks!$AI$5:$AI$748,Checks!$B$5:$B$748,$A24),"n/a")</f>
        <v>0</v>
      </c>
      <c r="AO24" s="61" t="n">
        <f aca="false">AW24-AV24</f>
        <v>20</v>
      </c>
      <c r="AP24" s="61" t="n">
        <f aca="false">SUMIFS(Checks!$AK$5:$AK$748,Checks!$B$5:$B$748,$A24)</f>
        <v>0</v>
      </c>
      <c r="AQ24" s="61" t="n">
        <f aca="false">SUMIFS(Checks!$AL$5:$AL$748,Checks!$B$5:$B$748,$A24)</f>
        <v>0</v>
      </c>
      <c r="AR24" s="61" t="n">
        <f aca="false">Documents!P24</f>
        <v>2</v>
      </c>
      <c r="AS24" s="61" t="n">
        <f aca="false">SUMIFS(Checks!$AN$5:$AN$748,Checks!$B$5:$B$748,$A24,Checks!$H$5:$H$748,"Preparation")</f>
        <v>0</v>
      </c>
      <c r="AT24" s="65" t="str">
        <f aca="false">IF(AND(AW24&gt;0,AO24=0,AQ24=0,AR24=0,AU24=0),"READY",IF(AP24&gt;0,"NOT READY – OVERDUE",IF(AQ24&gt;0,"NOT READY – DISCREPANCY",IF(AU24&gt;0,"NOT READY – INVALID ENTRY",IF(AR24&gt;0,"NOT READY – DOCUMENTS",IF(AS24&gt;0,"NOT READY – CLARIFICATION",IF(AND(AV24&gt;0,SUMIFS(Checks!$AJ$5:$AJ$748,Checks!$B$5:$B$748,$A24,Checks!$H$5:$H$748,"Preparation")=SUMIFS(Checks!$AI$5:$AI$748,Checks!$B$5:$B$748,$A24,Checks!$H$5:$H$748,"Preparation")),"PREP DONE – AWAITING UPLIFT",IF(AV24=0,"NOT STARTED","IN PROGRESS"))))))))</f>
        <v>NOT READY – DOCUMENTS</v>
      </c>
      <c r="AU24" s="61" t="n">
        <f aca="false">SUMIFS(Checks!$AM$5:$AM$748,Checks!$B$5:$B$748,$A24)</f>
        <v>0</v>
      </c>
      <c r="AV24" s="61" t="n">
        <f aca="false">SUMIFS(Checks!$AJ$5:$AJ$748,Checks!$B$5:$B$748,$A24)</f>
        <v>0</v>
      </c>
      <c r="AW24" s="61" t="n">
        <f aca="false">SUMIFS(Checks!$AI$5:$AI$748,Checks!$B$5:$B$748,$A24)</f>
        <v>20</v>
      </c>
      <c r="AX24" s="62" t="s">
        <v>194</v>
      </c>
      <c r="AY24" s="62" t="s">
        <v>194</v>
      </c>
      <c r="AZ24" s="62" t="s">
        <v>194</v>
      </c>
      <c r="BA24" s="62" t="str">
        <f aca="false">IFERROR(1/(1/_xlfn.MINIFS(Checks!$AG$5:$AG$748,Checks!$B$5:$B$748,$A24,Checks!$H$5:$H$748,"Physical uplift",Checks!$P$5:$P$748,$G24)),"")</f>
        <v/>
      </c>
    </row>
    <row r="25" customFormat="false" ht="36" hidden="false" customHeight="true" outlineLevel="0" collapsed="false">
      <c r="A25" s="57" t="s">
        <v>307</v>
      </c>
      <c r="B25" s="57" t="n">
        <v>3</v>
      </c>
      <c r="C25" s="57" t="n">
        <v>21</v>
      </c>
      <c r="D25" s="58" t="n">
        <v>46325</v>
      </c>
      <c r="E25" s="57" t="s">
        <v>196</v>
      </c>
      <c r="F25" s="57" t="s">
        <v>308</v>
      </c>
      <c r="G25" s="57" t="s">
        <v>303</v>
      </c>
      <c r="H25" s="57" t="s">
        <v>184</v>
      </c>
      <c r="I25" s="59" t="n">
        <v>46325.6145833333</v>
      </c>
      <c r="J25" s="59" t="n">
        <v>46325.6701388889</v>
      </c>
      <c r="K25" s="57" t="s">
        <v>199</v>
      </c>
      <c r="L25" s="60" t="s">
        <v>200</v>
      </c>
      <c r="M25" s="57" t="s">
        <v>201</v>
      </c>
      <c r="N25" s="60"/>
      <c r="O25" s="57" t="s">
        <v>202</v>
      </c>
      <c r="P25" s="57" t="s">
        <v>189</v>
      </c>
      <c r="Q25" s="57"/>
      <c r="R25" s="57" t="s">
        <v>306</v>
      </c>
      <c r="S25" s="57" t="s">
        <v>253</v>
      </c>
      <c r="T25" s="57" t="s">
        <v>254</v>
      </c>
      <c r="U25" s="57" t="s">
        <v>184</v>
      </c>
      <c r="V25" s="57" t="s">
        <v>184</v>
      </c>
      <c r="W25" s="57" t="s">
        <v>301</v>
      </c>
      <c r="X25" s="60"/>
      <c r="Y25" s="60"/>
      <c r="Z25" s="61" t="n">
        <f aca="false">IF(AND(INDEX(TZ_DSTS,MATCH(G25,TZ_STN,0))&lt;&gt;"",(I25-INDEX(TZ_STD,MATCH(G25,TZ_STN,0))/24)&gt;=INDEX(TZ_DSTS,MATCH(G25,TZ_STN,0)),(I25-INDEX(TZ_STD,MATCH(G25,TZ_STN,0))/24)&lt;INDEX(TZ_DSTE,MATCH(G25,TZ_STN,0))),INDEX(TZ_DST,MATCH(G25,TZ_STN,0)),INDEX(TZ_STD,MATCH(G25,TZ_STN,0)))</f>
        <v>8</v>
      </c>
      <c r="AA25" s="62" t="n">
        <f aca="false">I25-Z25/24</f>
        <v>46325.28125</v>
      </c>
      <c r="AB25" s="63" t="n">
        <f aca="false">(J25-(IF(AND(INDEX(TZ_DSTS,MATCH(H25,TZ_STN,0))&lt;&gt;"",(J25-INDEX(TZ_STD,MATCH(H25,TZ_STN,0))/24)&gt;=INDEX(TZ_DSTS,MATCH(H25,TZ_STN,0)),(J25-INDEX(TZ_STD,MATCH(H25,TZ_STN,0))/24)&lt;INDEX(TZ_DSTE,MATCH(H25,TZ_STN,0))),INDEX(TZ_DST,MATCH(H25,TZ_STN,0)),INDEX(TZ_STD,MATCH(H25,TZ_STN,0))))/24-AA25)*24</f>
        <v>1.33333333333333</v>
      </c>
      <c r="AC25" s="62" t="n">
        <f aca="false">AA25-7</f>
        <v>46318.28125</v>
      </c>
      <c r="AD25" s="62" t="n">
        <f aca="false">MIN(AA25-1,AY25)</f>
        <v>46324.1875</v>
      </c>
      <c r="AE25" s="62" t="n">
        <f aca="false">MIN(AA25-0.5,AY25)</f>
        <v>46324.1875</v>
      </c>
      <c r="AF25" s="62" t="n">
        <f aca="false">AA25</f>
        <v>46325.28125</v>
      </c>
      <c r="AG25" s="62" t="n">
        <f aca="false">AC25+(IF(AND(INDEX(TZ_DSTS,MATCH(V25,TZ_STN,0))&lt;&gt;"",AC25&gt;=INDEX(TZ_DSTS,MATCH(V25,TZ_STN,0)),AC25&lt;INDEX(TZ_DSTE,MATCH(V25,TZ_STN,0))),INDEX(TZ_DST,MATCH(V25,TZ_STN,0)),INDEX(TZ_STD,MATCH(V25,TZ_STN,0))))/24</f>
        <v>46318.6145833333</v>
      </c>
      <c r="AH25" s="62" t="n">
        <f aca="false">AD25+(IF(AND(INDEX(TZ_DSTS,MATCH(V25,TZ_STN,0))&lt;&gt;"",AD25&gt;=INDEX(TZ_DSTS,MATCH(V25,TZ_STN,0)),AD25&lt;INDEX(TZ_DSTE,MATCH(V25,TZ_STN,0))),INDEX(TZ_DST,MATCH(V25,TZ_STN,0)),INDEX(TZ_STD,MATCH(V25,TZ_STN,0))))/24</f>
        <v>46324.5208333333</v>
      </c>
      <c r="AI25" s="62" t="n">
        <f aca="false">AE25+(IF(AND(INDEX(TZ_DSTS,MATCH(V25,TZ_STN,0))&lt;&gt;"",AE25&gt;=INDEX(TZ_DSTS,MATCH(V25,TZ_STN,0)),AE25&lt;INDEX(TZ_DSTE,MATCH(V25,TZ_STN,0))),INDEX(TZ_DST,MATCH(V25,TZ_STN,0)),INDEX(TZ_STD,MATCH(V25,TZ_STN,0))))/24</f>
        <v>46324.5208333333</v>
      </c>
      <c r="AJ25" s="64" t="n">
        <f aca="false">IFERROR(SUMIFS(Checks!$AJ$5:$AJ$748,Checks!$B$5:$B$748,$A25,Checks!$G$5:$G$748,"T-7D")/SUMIFS(Checks!$AI$5:$AI$748,Checks!$B$5:$B$748,$A25,Checks!$G$5:$G$748,"T-7D"),"n/a")</f>
        <v>0</v>
      </c>
      <c r="AK25" s="64" t="n">
        <f aca="false">IFERROR(SUMIFS(Checks!$AJ$5:$AJ$748,Checks!$B$5:$B$748,$A25,Checks!$G$5:$G$748,"T-24H")/SUMIFS(Checks!$AI$5:$AI$748,Checks!$B$5:$B$748,$A25,Checks!$G$5:$G$748,"T-24H"),"n/a")</f>
        <v>0</v>
      </c>
      <c r="AL25" s="64" t="n">
        <f aca="false">IFERROR(SUMIFS(Checks!$AJ$5:$AJ$748,Checks!$B$5:$B$748,$A25,Checks!$G$5:$G$748,"T-12H PREP")/SUMIFS(Checks!$AI$5:$AI$748,Checks!$B$5:$B$748,$A25,Checks!$G$5:$G$748,"T-12H PREP"),"n/a")</f>
        <v>0</v>
      </c>
      <c r="AM25" s="64" t="n">
        <f aca="false">IFERROR(SUMIFS(Checks!$AJ$5:$AJ$748,Checks!$B$5:$B$748,$A25,Checks!$G$5:$G$748,"UPLIFT")/SUMIFS(Checks!$AI$5:$AI$748,Checks!$B$5:$B$748,$A25,Checks!$G$5:$G$748,"UPLIFT"),"n/a")</f>
        <v>0</v>
      </c>
      <c r="AN25" s="64" t="n">
        <f aca="false">IFERROR(SUMIFS(Checks!$AJ$5:$AJ$748,Checks!$B$5:$B$748,$A25)/SUMIFS(Checks!$AI$5:$AI$748,Checks!$B$5:$B$748,$A25),"n/a")</f>
        <v>0</v>
      </c>
      <c r="AO25" s="61" t="n">
        <f aca="false">AW25-AV25</f>
        <v>36</v>
      </c>
      <c r="AP25" s="61" t="n">
        <f aca="false">SUMIFS(Checks!$AK$5:$AK$748,Checks!$B$5:$B$748,$A25)</f>
        <v>0</v>
      </c>
      <c r="AQ25" s="61" t="n">
        <f aca="false">SUMIFS(Checks!$AL$5:$AL$748,Checks!$B$5:$B$748,$A25)</f>
        <v>0</v>
      </c>
      <c r="AR25" s="61" t="n">
        <f aca="false">Documents!P25</f>
        <v>2</v>
      </c>
      <c r="AS25" s="61" t="n">
        <f aca="false">SUMIFS(Checks!$AN$5:$AN$748,Checks!$B$5:$B$748,$A25,Checks!$H$5:$H$748,"Preparation")</f>
        <v>1</v>
      </c>
      <c r="AT25" s="65" t="str">
        <f aca="false">IF(AND(AW25&gt;0,AO25=0,AQ25=0,AR25=0,AU25=0),"READY",IF(AP25&gt;0,"NOT READY – OVERDUE",IF(AQ25&gt;0,"NOT READY – DISCREPANCY",IF(AU25&gt;0,"NOT READY – INVALID ENTRY",IF(AR25&gt;0,"NOT READY – DOCUMENTS",IF(AS25&gt;0,"NOT READY – CLARIFICATION",IF(AND(AV25&gt;0,SUMIFS(Checks!$AJ$5:$AJ$748,Checks!$B$5:$B$748,$A25,Checks!$H$5:$H$748,"Preparation")=SUMIFS(Checks!$AI$5:$AI$748,Checks!$B$5:$B$748,$A25,Checks!$H$5:$H$748,"Preparation")),"PREP DONE – AWAITING UPLIFT",IF(AV25=0,"NOT STARTED","IN PROGRESS"))))))))</f>
        <v>NOT READY – DOCUMENTS</v>
      </c>
      <c r="AU25" s="61" t="n">
        <f aca="false">SUMIFS(Checks!$AM$5:$AM$748,Checks!$B$5:$B$748,$A25)</f>
        <v>0</v>
      </c>
      <c r="AV25" s="61" t="n">
        <f aca="false">SUMIFS(Checks!$AJ$5:$AJ$748,Checks!$B$5:$B$748,$A25)</f>
        <v>0</v>
      </c>
      <c r="AW25" s="61" t="n">
        <f aca="false">SUMIFS(Checks!$AI$5:$AI$748,Checks!$B$5:$B$748,$A25)</f>
        <v>36</v>
      </c>
      <c r="AX25" s="66"/>
      <c r="AY25" s="62" t="n">
        <f aca="false">ROUND((IF(ISNUMBER(AX25),AX25,$AA$24)-UpliftWindowH/24)*1440,0)/1440</f>
        <v>46324.1875</v>
      </c>
      <c r="AZ25" s="62" t="n">
        <f aca="false">ROUND((AY25+UpliftWindowH/24+MIN($AB$24)/24)*1440,0)/1440</f>
        <v>46324.5</v>
      </c>
      <c r="BA25" s="62" t="str">
        <f aca="false">IFERROR(1/(1/_xlfn.MINIFS(Checks!$AG$5:$AG$748,Checks!$B$5:$B$748,$A25,Checks!$H$5:$H$748,"Physical uplift",Checks!$P$5:$P$748,$G25)),"")</f>
        <v/>
      </c>
    </row>
    <row r="26" customFormat="false" ht="36" hidden="false" customHeight="true" outlineLevel="0" collapsed="false">
      <c r="A26" s="57" t="s">
        <v>309</v>
      </c>
      <c r="B26" s="57" t="n">
        <v>3</v>
      </c>
      <c r="C26" s="57" t="n">
        <v>22</v>
      </c>
      <c r="D26" s="58" t="n">
        <v>46325</v>
      </c>
      <c r="E26" s="57" t="s">
        <v>196</v>
      </c>
      <c r="F26" s="57" t="s">
        <v>229</v>
      </c>
      <c r="G26" s="57" t="s">
        <v>184</v>
      </c>
      <c r="H26" s="57" t="s">
        <v>183</v>
      </c>
      <c r="I26" s="59" t="n">
        <v>46325.9722222222</v>
      </c>
      <c r="J26" s="59" t="n">
        <v>46326.2465277778</v>
      </c>
      <c r="K26" s="57" t="s">
        <v>199</v>
      </c>
      <c r="L26" s="60" t="s">
        <v>186</v>
      </c>
      <c r="M26" s="57" t="s">
        <v>187</v>
      </c>
      <c r="N26" s="60"/>
      <c r="O26" s="57" t="s">
        <v>310</v>
      </c>
      <c r="P26" s="57" t="s">
        <v>311</v>
      </c>
      <c r="Q26" s="57"/>
      <c r="R26" s="57" t="s">
        <v>190</v>
      </c>
      <c r="S26" s="57" t="s">
        <v>191</v>
      </c>
      <c r="T26" s="57" t="s">
        <v>192</v>
      </c>
      <c r="U26" s="57" t="s">
        <v>193</v>
      </c>
      <c r="V26" s="57" t="s">
        <v>184</v>
      </c>
      <c r="W26" s="57"/>
      <c r="X26" s="60"/>
      <c r="Y26" s="60"/>
      <c r="Z26" s="61" t="n">
        <f aca="false">IF(AND(INDEX(TZ_DSTS,MATCH(G26,TZ_STN,0))&lt;&gt;"",(I26-INDEX(TZ_STD,MATCH(G26,TZ_STN,0))/24)&gt;=INDEX(TZ_DSTS,MATCH(G26,TZ_STN,0)),(I26-INDEX(TZ_STD,MATCH(G26,TZ_STN,0))/24)&lt;INDEX(TZ_DSTE,MATCH(G26,TZ_STN,0))),INDEX(TZ_DST,MATCH(G26,TZ_STN,0)),INDEX(TZ_STD,MATCH(G26,TZ_STN,0)))</f>
        <v>8</v>
      </c>
      <c r="AA26" s="62" t="n">
        <f aca="false">I26-Z26/24</f>
        <v>46325.6388888889</v>
      </c>
      <c r="AB26" s="63" t="n">
        <f aca="false">(J26-(IF(AND(INDEX(TZ_DSTS,MATCH(H26,TZ_STN,0))&lt;&gt;"",(J26-INDEX(TZ_STD,MATCH(H26,TZ_STN,0))/24)&gt;=INDEX(TZ_DSTS,MATCH(H26,TZ_STN,0)),(J26-INDEX(TZ_STD,MATCH(H26,TZ_STN,0))/24)&lt;INDEX(TZ_DSTE,MATCH(H26,TZ_STN,0))),INDEX(TZ_DST,MATCH(H26,TZ_STN,0)),INDEX(TZ_STD,MATCH(H26,TZ_STN,0))))/24-AA26)*24</f>
        <v>14.5833333333333</v>
      </c>
      <c r="AC26" s="62" t="n">
        <f aca="false">AA26-7</f>
        <v>46318.6388888889</v>
      </c>
      <c r="AD26" s="62" t="n">
        <f aca="false">AA26-1</f>
        <v>46324.6388888889</v>
      </c>
      <c r="AE26" s="62" t="n">
        <f aca="false">AA26-0.5</f>
        <v>46325.1388888889</v>
      </c>
      <c r="AF26" s="62" t="n">
        <f aca="false">AA26</f>
        <v>46325.6388888889</v>
      </c>
      <c r="AG26" s="62" t="n">
        <f aca="false">AC26+(IF(AND(INDEX(TZ_DSTS,MATCH(V26,TZ_STN,0))&lt;&gt;"",AC26&gt;=INDEX(TZ_DSTS,MATCH(V26,TZ_STN,0)),AC26&lt;INDEX(TZ_DSTE,MATCH(V26,TZ_STN,0))),INDEX(TZ_DST,MATCH(V26,TZ_STN,0)),INDEX(TZ_STD,MATCH(V26,TZ_STN,0))))/24</f>
        <v>46318.9722222222</v>
      </c>
      <c r="AH26" s="62" t="n">
        <f aca="false">AD26+(IF(AND(INDEX(TZ_DSTS,MATCH(V26,TZ_STN,0))&lt;&gt;"",AD26&gt;=INDEX(TZ_DSTS,MATCH(V26,TZ_STN,0)),AD26&lt;INDEX(TZ_DSTE,MATCH(V26,TZ_STN,0))),INDEX(TZ_DST,MATCH(V26,TZ_STN,0)),INDEX(TZ_STD,MATCH(V26,TZ_STN,0))))/24</f>
        <v>46324.9722222222</v>
      </c>
      <c r="AI26" s="62" t="n">
        <f aca="false">AE26+(IF(AND(INDEX(TZ_DSTS,MATCH(V26,TZ_STN,0))&lt;&gt;"",AE26&gt;=INDEX(TZ_DSTS,MATCH(V26,TZ_STN,0)),AE26&lt;INDEX(TZ_DSTE,MATCH(V26,TZ_STN,0))),INDEX(TZ_DST,MATCH(V26,TZ_STN,0)),INDEX(TZ_STD,MATCH(V26,TZ_STN,0))))/24</f>
        <v>46325.4722222222</v>
      </c>
      <c r="AJ26" s="64" t="n">
        <f aca="false">IFERROR(SUMIFS(Checks!$AJ$5:$AJ$748,Checks!$B$5:$B$748,$A26,Checks!$G$5:$G$748,"T-7D")/SUMIFS(Checks!$AI$5:$AI$748,Checks!$B$5:$B$748,$A26,Checks!$G$5:$G$748,"T-7D"),"n/a")</f>
        <v>0</v>
      </c>
      <c r="AK26" s="64" t="n">
        <f aca="false">IFERROR(SUMIFS(Checks!$AJ$5:$AJ$748,Checks!$B$5:$B$748,$A26,Checks!$G$5:$G$748,"T-24H")/SUMIFS(Checks!$AI$5:$AI$748,Checks!$B$5:$B$748,$A26,Checks!$G$5:$G$748,"T-24H"),"n/a")</f>
        <v>0</v>
      </c>
      <c r="AL26" s="64" t="n">
        <f aca="false">IFERROR(SUMIFS(Checks!$AJ$5:$AJ$748,Checks!$B$5:$B$748,$A26,Checks!$G$5:$G$748,"T-12H PREP")/SUMIFS(Checks!$AI$5:$AI$748,Checks!$B$5:$B$748,$A26,Checks!$G$5:$G$748,"T-12H PREP"),"n/a")</f>
        <v>0</v>
      </c>
      <c r="AM26" s="64" t="n">
        <f aca="false">IFERROR(SUMIFS(Checks!$AJ$5:$AJ$748,Checks!$B$5:$B$748,$A26,Checks!$G$5:$G$748,"UPLIFT")/SUMIFS(Checks!$AI$5:$AI$748,Checks!$B$5:$B$748,$A26,Checks!$G$5:$G$748,"UPLIFT"),"n/a")</f>
        <v>0</v>
      </c>
      <c r="AN26" s="64" t="n">
        <f aca="false">IFERROR(SUMIFS(Checks!$AJ$5:$AJ$748,Checks!$B$5:$B$748,$A26)/SUMIFS(Checks!$AI$5:$AI$748,Checks!$B$5:$B$748,$A26),"n/a")</f>
        <v>0</v>
      </c>
      <c r="AO26" s="61" t="n">
        <f aca="false">AW26-AV26</f>
        <v>46</v>
      </c>
      <c r="AP26" s="61" t="n">
        <f aca="false">SUMIFS(Checks!$AK$5:$AK$748,Checks!$B$5:$B$748,$A26)</f>
        <v>0</v>
      </c>
      <c r="AQ26" s="61" t="n">
        <f aca="false">SUMIFS(Checks!$AL$5:$AL$748,Checks!$B$5:$B$748,$A26)</f>
        <v>0</v>
      </c>
      <c r="AR26" s="61" t="n">
        <f aca="false">Documents!P26</f>
        <v>2</v>
      </c>
      <c r="AS26" s="61" t="n">
        <f aca="false">SUMIFS(Checks!$AN$5:$AN$748,Checks!$B$5:$B$748,$A26,Checks!$H$5:$H$748,"Preparation")</f>
        <v>1</v>
      </c>
      <c r="AT26" s="65" t="str">
        <f aca="false">IF(AND(AW26&gt;0,AO26=0,AQ26=0,AR26=0,AU26=0),"READY",IF(AP26&gt;0,"NOT READY – OVERDUE",IF(AQ26&gt;0,"NOT READY – DISCREPANCY",IF(AU26&gt;0,"NOT READY – INVALID ENTRY",IF(AR26&gt;0,"NOT READY – DOCUMENTS",IF(AS26&gt;0,"NOT READY – CLARIFICATION",IF(AND(AV26&gt;0,SUMIFS(Checks!$AJ$5:$AJ$748,Checks!$B$5:$B$748,$A26,Checks!$H$5:$H$748,"Preparation")=SUMIFS(Checks!$AI$5:$AI$748,Checks!$B$5:$B$748,$A26,Checks!$H$5:$H$748,"Preparation")),"PREP DONE – AWAITING UPLIFT",IF(AV26=0,"NOT STARTED","IN PROGRESS"))))))))</f>
        <v>NOT READY – DOCUMENTS</v>
      </c>
      <c r="AU26" s="61" t="n">
        <f aca="false">SUMIFS(Checks!$AM$5:$AM$748,Checks!$B$5:$B$748,$A26)</f>
        <v>0</v>
      </c>
      <c r="AV26" s="61" t="n">
        <f aca="false">SUMIFS(Checks!$AJ$5:$AJ$748,Checks!$B$5:$B$748,$A26)</f>
        <v>0</v>
      </c>
      <c r="AW26" s="61" t="n">
        <f aca="false">SUMIFS(Checks!$AI$5:$AI$748,Checks!$B$5:$B$748,$A26)</f>
        <v>46</v>
      </c>
      <c r="AX26" s="62" t="s">
        <v>194</v>
      </c>
      <c r="AY26" s="62" t="s">
        <v>194</v>
      </c>
      <c r="AZ26" s="62" t="s">
        <v>194</v>
      </c>
      <c r="BA26" s="62" t="str">
        <f aca="false">IFERROR(1/(1/_xlfn.MINIFS(Checks!$AG$5:$AG$748,Checks!$B$5:$B$748,$A26,Checks!$H$5:$H$748,"Physical uplift",Checks!$P$5:$P$748,$G26)),"")</f>
        <v/>
      </c>
    </row>
  </sheetData>
  <sheetProtection sheet="true" formatCells="false" formatColumns="false" formatRows="false" autoFilter="false"/>
  <autoFilter ref="A4:BA26"/>
  <mergeCells count="1">
    <mergeCell ref="G2:M2"/>
  </mergeCells>
  <conditionalFormatting sqref="AT5:AT26">
    <cfRule type="cellIs" priority="2" operator="equal" aboveAverage="0" equalAverage="0" bottom="0" percent="0" rank="0" text="" dxfId="15">
      <formula>"READY"</formula>
    </cfRule>
    <cfRule type="expression" priority="3" aboveAverage="0" equalAverage="0" bottom="0" percent="0" rank="0" text="" dxfId="16">
      <formula>LEFT(AT5,9)="NOT READY"</formula>
    </cfRule>
    <cfRule type="expression" priority="4" aboveAverage="0" equalAverage="0" bottom="0" percent="0" rank="0" text="" dxfId="17">
      <formula>LEFT(AT5,9)="PREP DONE"</formula>
    </cfRule>
  </conditionalFormatting>
  <conditionalFormatting sqref="AP5:AS26">
    <cfRule type="cellIs" priority="5" operator="greaterThan" aboveAverage="0" equalAverage="0" bottom="0" percent="0" rank="0" text="" dxfId="0">
      <formula>0</formula>
    </cfRule>
  </conditionalFormatting>
  <dataValidations count="2">
    <dataValidation allowBlank="false" error="Choose the fleet from the list (schedule values)." errorStyle="stop" errorTitle="Fleet" operator="between" showDropDown="false" showErrorMessage="true" showInputMessage="false" sqref="L5:L26" type="list">
      <formula1>"A350,A333,A339,B738MAX"</formula1>
      <formula2>0</formula2>
    </dataValidation>
    <dataValidation allowBlank="true" error="Enter the carrying flight's KUL departure as a UTC date-time (Jul 2026 - Jan 2027)." errorStyle="stop" operator="between" showDropDown="false" showErrorMessage="true" showInputMessage="false" sqref="AX5:AX26" type="decimal">
      <formula1>46204</formula1>
      <formula2>46419</formula2>
    </dataValidation>
  </dataValidations>
  <printOptions headings="false" gridLines="false" gridLinesSet="true" horizontalCentered="false" verticalCentered="false"/>
  <pageMargins left="0.3" right="0.3" top="1" bottom="1" header="0.511811023622047" footer="0.5"/>
  <pageSetup paperSize="9" scale="100" fitToWidth="7"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B748"/>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10" ySplit="4" topLeftCell="K5" activePane="bottomRight" state="frozen"/>
      <selection pane="topLeft" activeCell="A1" activeCellId="0" sqref="A1"/>
      <selection pane="topRight" activeCell="K1" activeCellId="0" sqref="K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6"/>
    <col collapsed="false" customWidth="true" hidden="false" outlineLevel="0" max="3" min="3" style="0" width="9"/>
    <col collapsed="false" customWidth="true" hidden="false" outlineLevel="0" max="4" min="4" style="0" width="10"/>
    <col collapsed="false" customWidth="true" hidden="false" outlineLevel="0" max="5" min="5" style="0" width="9"/>
    <col collapsed="false" customWidth="true" hidden="false" outlineLevel="0" max="6" min="6" style="0" width="6"/>
    <col collapsed="false" customWidth="true" hidden="false" outlineLevel="0" max="8" min="7" style="0" width="11"/>
    <col collapsed="false" customWidth="true" hidden="false" outlineLevel="0" max="9" min="9" style="0" width="12"/>
    <col collapsed="false" customWidth="true" hidden="false" outlineLevel="0" max="11" min="10" style="0" width="38"/>
    <col collapsed="false" customWidth="true" hidden="false" outlineLevel="0" max="12" min="12" style="0" width="30"/>
    <col collapsed="false" customWidth="true" hidden="false" outlineLevel="0" max="13" min="13" style="0" width="9"/>
    <col collapsed="false" customWidth="true" hidden="false" outlineLevel="0" max="14" min="14" style="0" width="13"/>
    <col collapsed="false" customWidth="true" hidden="false" outlineLevel="0" max="15" min="15" style="0" width="40"/>
    <col collapsed="false" customWidth="true" hidden="false" outlineLevel="0" max="16" min="16" style="0" width="8"/>
    <col collapsed="false" customWidth="true" hidden="false" outlineLevel="0" max="19" min="17" style="0" width="15"/>
    <col collapsed="false" customWidth="true" hidden="false" outlineLevel="0" max="20" min="20" style="0" width="14"/>
    <col collapsed="false" customWidth="true" hidden="false" outlineLevel="0" max="21" min="21" style="0" width="13"/>
    <col collapsed="false" customWidth="true" hidden="false" outlineLevel="0" max="22" min="22" style="0" width="40"/>
    <col collapsed="false" customWidth="true" hidden="false" outlineLevel="0" max="23" min="23" style="0" width="16"/>
    <col collapsed="false" customWidth="true" hidden="false" outlineLevel="0" max="25" min="24" style="0" width="9"/>
    <col collapsed="false" customWidth="true" hidden="false" outlineLevel="0" max="26" min="26" style="0" width="22"/>
    <col collapsed="false" customWidth="true" hidden="false" outlineLevel="0" max="27" min="27" style="0" width="40"/>
    <col collapsed="false" customWidth="true" hidden="false" outlineLevel="0" max="28" min="28" style="0" width="9"/>
    <col collapsed="false" customWidth="true" hidden="false" outlineLevel="0" max="29" min="29" style="0" width="26"/>
    <col collapsed="false" customWidth="true" hidden="false" outlineLevel="0" max="30" min="30" style="0" width="17"/>
    <col collapsed="false" customWidth="true" hidden="false" outlineLevel="0" max="31" min="31" style="0" width="18"/>
    <col collapsed="false" customWidth="true" hidden="false" outlineLevel="0" max="32" min="32" style="0" width="9"/>
    <col collapsed="false" customWidth="true" hidden="false" outlineLevel="0" max="33" min="33" style="0" width="15"/>
    <col collapsed="false" customWidth="true" hidden="false" outlineLevel="0" max="34" min="34" style="0" width="34"/>
    <col collapsed="false" customWidth="true" hidden="false" outlineLevel="0" max="35" min="35" style="0" width="6"/>
    <col collapsed="false" customWidth="true" hidden="false" outlineLevel="0" max="37" min="36" style="0" width="7"/>
    <col collapsed="false" customWidth="true" hidden="false" outlineLevel="0" max="38" min="38" style="0" width="9"/>
    <col collapsed="false" customWidth="true" hidden="false" outlineLevel="0" max="39" min="39" style="0" width="7"/>
    <col collapsed="false" customWidth="true" hidden="false" outlineLevel="0" max="40" min="40" style="0" width="9"/>
    <col collapsed="false" customWidth="true" hidden="false" outlineLevel="0" max="41" min="41" style="0" width="8"/>
    <col collapsed="false" customWidth="true" hidden="false" outlineLevel="0" max="42" min="42" style="0" width="9"/>
    <col collapsed="false" customWidth="true" hidden="true" outlineLevel="0" max="45" min="43" style="0" width="6"/>
    <col collapsed="false" customWidth="true" hidden="true" outlineLevel="0" max="53" min="46" style="0" width="8"/>
    <col collapsed="false" customWidth="true" hidden="true" outlineLevel="0" max="54" min="54" style="0" width="20"/>
  </cols>
  <sheetData>
    <row r="1" customFormat="false" ht="24" hidden="false" customHeight="true" outlineLevel="0" collapsed="false">
      <c r="A1" s="54" t="s">
        <v>312</v>
      </c>
    </row>
    <row r="2" customFormat="false" ht="41.25" hidden="false" customHeight="true" outlineLevel="0" collapsed="false">
      <c r="D2" s="55" t="s">
        <v>313</v>
      </c>
      <c r="E2" s="55"/>
      <c r="F2" s="55"/>
      <c r="G2" s="55"/>
      <c r="H2" s="55"/>
      <c r="I2" s="55"/>
      <c r="J2" s="55"/>
    </row>
    <row r="4" customFormat="false" ht="54" hidden="false" customHeight="true" outlineLevel="0" collapsed="false">
      <c r="A4" s="56" t="s">
        <v>314</v>
      </c>
      <c r="B4" s="56" t="s">
        <v>135</v>
      </c>
      <c r="C4" s="56" t="s">
        <v>138</v>
      </c>
      <c r="D4" s="56" t="s">
        <v>106</v>
      </c>
      <c r="E4" s="56" t="s">
        <v>107</v>
      </c>
      <c r="F4" s="56" t="s">
        <v>315</v>
      </c>
      <c r="G4" s="56" t="s">
        <v>71</v>
      </c>
      <c r="H4" s="56" t="s">
        <v>316</v>
      </c>
      <c r="I4" s="56" t="s">
        <v>317</v>
      </c>
      <c r="J4" s="56" t="s">
        <v>121</v>
      </c>
      <c r="K4" s="56" t="s">
        <v>318</v>
      </c>
      <c r="L4" s="56" t="s">
        <v>319</v>
      </c>
      <c r="M4" s="56" t="s">
        <v>320</v>
      </c>
      <c r="N4" s="56" t="s">
        <v>321</v>
      </c>
      <c r="O4" s="56" t="s">
        <v>322</v>
      </c>
      <c r="P4" s="56" t="s">
        <v>323</v>
      </c>
      <c r="Q4" s="56" t="s">
        <v>324</v>
      </c>
      <c r="R4" s="56" t="s">
        <v>325</v>
      </c>
      <c r="S4" s="56" t="s">
        <v>326</v>
      </c>
      <c r="T4" s="56" t="s">
        <v>123</v>
      </c>
      <c r="U4" s="56" t="s">
        <v>127</v>
      </c>
      <c r="V4" s="56" t="s">
        <v>327</v>
      </c>
      <c r="W4" s="56" t="s">
        <v>328</v>
      </c>
      <c r="X4" s="56" t="s">
        <v>329</v>
      </c>
      <c r="Y4" s="56" t="s">
        <v>330</v>
      </c>
      <c r="Z4" s="56" t="s">
        <v>331</v>
      </c>
      <c r="AA4" s="56" t="s">
        <v>132</v>
      </c>
      <c r="AB4" s="56" t="s">
        <v>131</v>
      </c>
      <c r="AC4" s="56" t="s">
        <v>332</v>
      </c>
      <c r="AD4" s="56" t="s">
        <v>333</v>
      </c>
      <c r="AE4" s="56" t="s">
        <v>334</v>
      </c>
      <c r="AF4" s="56" t="s">
        <v>335</v>
      </c>
      <c r="AG4" s="56" t="s">
        <v>336</v>
      </c>
      <c r="AH4" s="56" t="s">
        <v>337</v>
      </c>
      <c r="AI4" s="56" t="s">
        <v>72</v>
      </c>
      <c r="AJ4" s="56" t="s">
        <v>73</v>
      </c>
      <c r="AK4" s="56" t="s">
        <v>76</v>
      </c>
      <c r="AL4" s="56" t="s">
        <v>338</v>
      </c>
      <c r="AM4" s="56" t="s">
        <v>339</v>
      </c>
      <c r="AN4" s="56" t="s">
        <v>340</v>
      </c>
      <c r="AO4" s="56" t="s">
        <v>341</v>
      </c>
      <c r="AP4" s="56" t="s">
        <v>342</v>
      </c>
      <c r="AQ4" s="56" t="s">
        <v>343</v>
      </c>
      <c r="AR4" s="56" t="s">
        <v>344</v>
      </c>
      <c r="AS4" s="56" t="s">
        <v>345</v>
      </c>
      <c r="AT4" s="56" t="s">
        <v>346</v>
      </c>
      <c r="AU4" s="56" t="s">
        <v>347</v>
      </c>
      <c r="AV4" s="56" t="s">
        <v>348</v>
      </c>
      <c r="AW4" s="56" t="s">
        <v>349</v>
      </c>
      <c r="AX4" s="56" t="s">
        <v>350</v>
      </c>
      <c r="AY4" s="56" t="s">
        <v>351</v>
      </c>
      <c r="AZ4" s="56" t="s">
        <v>352</v>
      </c>
      <c r="BA4" s="56" t="s">
        <v>353</v>
      </c>
      <c r="BB4" s="56" t="s">
        <v>354</v>
      </c>
    </row>
    <row r="5" customFormat="false" ht="39.75" hidden="false" customHeight="true" outlineLevel="0" collapsed="false">
      <c r="A5" s="57" t="s">
        <v>355</v>
      </c>
      <c r="B5" s="57" t="s">
        <v>180</v>
      </c>
      <c r="C5" s="57" t="str">
        <f aca="false">Flights!$F$5</f>
        <v>MH0001</v>
      </c>
      <c r="D5" s="58" t="n">
        <f aca="false">Flights!$D$5</f>
        <v>46303</v>
      </c>
      <c r="E5" s="57" t="str">
        <f aca="false">Flights!$G$5&amp;"-"&amp;Flights!$H$5</f>
        <v>LHR-KUL</v>
      </c>
      <c r="F5" s="57" t="str">
        <f aca="false">Flights!$K$5</f>
        <v>EY</v>
      </c>
      <c r="G5" s="57" t="s">
        <v>79</v>
      </c>
      <c r="H5" s="57" t="s">
        <v>356</v>
      </c>
      <c r="I5" s="57" t="s">
        <v>357</v>
      </c>
      <c r="J5" s="57" t="s">
        <v>358</v>
      </c>
      <c r="K5" s="67" t="s">
        <v>359</v>
      </c>
      <c r="L5" s="67" t="s">
        <v>360</v>
      </c>
      <c r="M5" s="67"/>
      <c r="N5" s="67" t="s">
        <v>361</v>
      </c>
      <c r="O5" s="67"/>
      <c r="P5" s="57" t="s">
        <v>183</v>
      </c>
      <c r="Q5" s="59" t="n">
        <f aca="false">ROUND((Flights!$AC$5)*1440,0)/1440</f>
        <v>46296.8576388889</v>
      </c>
      <c r="R5" s="59" t="n">
        <f aca="false">Q5+(IF(AND(INDEX(TZ_DSTS,MATCH(P5,TZ_STN,0))&lt;&gt;"",Q5&gt;=INDEX(TZ_DSTS,MATCH(P5,TZ_STN,0)),Q5&lt;INDEX(TZ_DSTE,MATCH(P5,TZ_STN,0))),INDEX(TZ_DST,MATCH(P5,TZ_STN,0)),INDEX(TZ_STD,MATCH(P5,TZ_STN,0))))/24</f>
        <v>46296.8993055556</v>
      </c>
      <c r="S5" s="59" t="n">
        <f aca="false">Q5-T7EarlyD*24/24</f>
        <v>46282.8576388889</v>
      </c>
      <c r="T5" s="60"/>
      <c r="U5" s="60"/>
      <c r="V5" s="60"/>
      <c r="W5" s="61"/>
      <c r="X5" s="60"/>
      <c r="Y5" s="60"/>
      <c r="Z5" s="60"/>
      <c r="AA5" s="60"/>
      <c r="AB5" s="60"/>
      <c r="AC5" s="60"/>
      <c r="AD5" s="66"/>
      <c r="AE5" s="60"/>
      <c r="AF5" s="61" t="str">
        <f aca="false">IF(AND(ISNUMBER(X5),ISNUMBER(Y5)),Y5-X5,"")</f>
        <v/>
      </c>
      <c r="AG5" s="62" t="str">
        <f aca="false">IF(ISNUMBER(AD5),AD5-(IF(AND(INDEX(TZ_DSTS,MATCH(P5,TZ_STN,0))&lt;&gt;"",(AD5-INDEX(TZ_STD,MATCH(P5,TZ_STN,0))/24)&gt;=INDEX(TZ_DSTS,MATCH(P5,TZ_STN,0)),(AD5-INDEX(TZ_STD,MATCH(P5,TZ_STN,0))/24)&lt;INDEX(TZ_DSTE,MATCH(P5,TZ_STN,0))),INDEX(TZ_DST,MATCH(P5,TZ_STN,0)),INDEX(TZ_STD,MATCH(P5,TZ_STN,0))))/24,"")</f>
        <v/>
      </c>
      <c r="AH5" s="65" t="str">
        <f aca="false">IFERROR(IF(N5="N/A – rule","N/A – RULE",IF(TRIM(U5)="N/A",IF(AT5=0,"INVALID – N/A not permitted for this check",IF(AND(TRIM(AB5)&lt;&gt;"",TRIM(AB5)&lt;&gt;"Closed"),"INVALID – corrective action still open",IF(AND(NOT(OR(LEN(AZ5)&lt;15,ISNUMBER(MATCH(AZ5,L_Placeholder,0)))),NOT(OR(LEN(AU5)&lt;2,ISNUMBER(MATCH(AU5,L_Placeholder,0)))),NOT(OR(LEN(AX5)&lt;2,ISNUMBER(MATCH(AX5,L_Placeholder,0)))),TRIM(AE5)&lt;&gt;TRIM(T5)),"N/A – JUSTIFIED","INVALID – N/A needs a real justification (15+ chars), PIC and a different verifier"))),IF(OR(TRIM(U5)="Pass",TRIM(U5)="Pass after CA"),IF(NOT(ISNUMBER(AD5)),"INVALID – completion time missing",IF(OR(LEN(AU5)&lt;2,ISNUMBER(MATCH(AU5,L_Placeholder,0))),"INVALID – PIC missing",IF(OR(LEN(AV5)&lt;2,ISNUMBER(MATCH(AV5,L_Placeholder,0))),"INVALID – result / assessment missing",IF(OR(OR(LEN(AW5)&lt;3,ISNUMBER(MATCH(AW5,L_Placeholder,0))),SUMPRODUCT(--ISNUMBER(SEARCH(L_EvidencePhrase,AW5)))&gt;0),"INVALID – evidence missing, placeholder or not yet on file",IF(OR(LEN(AX5)&lt;2,ISNUMBER(MATCH(AX5,L_Placeholder,0))),"INVALID – verifier missing",IF(AX5=AU5,"INVALID – verifier must be someone other than the PIC",IF(AND(TRIM(U5)="Pass",SUMPRODUCT(--ISNUMBER(SEARCH(L_ResultBad,AV5)))&gt;0),"INVALID – result describes a problem: use Fail, then Pass after CA",IF(AND(AQ5=1,OR(LEN(AY5)&lt;3,ISNUMBER(MATCH(AY5,L_Placeholder,0)))),"INVALID – batch ID missing or placeholder",IF(AND(AR5=1,OR(NOT(ISNUMBER(X5)),NOT(ISNUMBER(Y5)))),"INVALID – expected/actual qty missing",IF(AND(AR5=1,OR(X5&lt;=0,Y5&lt;0)),"INVALID – expected qty must be above 0 and actual not negative",IF(BB5&lt;&gt;"",BB5,IF(AND(AS5=1,Documents!$J$5&lt;&gt;"ON FILE"),"INVALID – GLD not on file (Documents sheet)",IF(AND(AS5=2,Documents!$O$5&lt;&gt;"ON FILE"),"INVALID – menu checklist not on file (Documents sheet)",IF(AND(AS5=3,NOT(ISNUMBER(Flights!$AX$5))),"INVALID – enter carrying flight KUL departure (Flights AX)",IF(AND(AS5=3,OR(Flights!$AZ$5&gt;Flights!$AA$5,Flights!$AX$5&lt;Flights!$AA$5-3)),"INVALID – carrying flight (Flights AX) cannot arrive before this leg's STD, or is over 3 days early",IF(AG5&gt;AsOfUTC,"INVALID – completion time is in the future",IF(AND(ISNUMBER(S5),AG5&lt;S5),IF(H5="Physical uplift","INVALID – before uplift window (cannot confirm loading)","INVALID – before valid window"),IF(AG5&gt;Flights!$AA$5,"INVALID – completed after departure (cannot establish readiness)",IF(AND(H5="Preparation",AG5&gt;IF(ISNUMBER(Flights!$BA$5),MIN(Flights!$BA$5,Flights!$AA$5),Flights!$AA$5)),"INVALID – completed after loading / departure (cannot establish readiness)",IF(AND(H5="Physical uplift",AG5&gt;Q5),"INVALID – recorded after the loading flight departed",IF(AG5&gt;Q5,"COMPLETE – LATE","COMPLETE"))))))))))))))))))))),IF(TRIM(U5)="Fail","FAIL – DISCREPANCY",IF(AND(TRIM(U5)&lt;&gt;"",TRIM(U5)&lt;&gt;"Not started",TRIM(U5)&lt;&gt;"In progress"),"INVALID – unrecognised status (use the list)",IF(AsOfUTC&gt;Q5,"OVERDUE",IF(N5="Clarification required","OPEN – CLARIFICATION","OPEN"))))))),"INVALID – error value in an input cell")</f>
        <v>OPEN</v>
      </c>
      <c r="AI5" s="61" t="n">
        <f aca="false">IF(OR(AH5="N/A – RULE",AH5="N/A – JUSTIFIED"),0,1)</f>
        <v>1</v>
      </c>
      <c r="AJ5" s="61" t="n">
        <f aca="false">IF(LEFT(AH5,8)="COMPLETE",1,0)</f>
        <v>0</v>
      </c>
      <c r="AK5" s="61" t="n">
        <f aca="false">IF(AND(AI5=1,AJ5=0,AsOfUTC&gt;Q5),1,0)</f>
        <v>0</v>
      </c>
      <c r="AL5" s="61" t="n">
        <f aca="false">IFERROR(IF(AND(AI5=1,OR(TRIM(U5)="Fail",AND(TRIM(AB5)&lt;&gt;"",TRIM(AB5)&lt;&gt;"Closed"),AND(ISNUMBER(AF5),AF5&lt;&gt;0,TRIM(U5)&lt;&gt;"Pass after CA"))),1,0),1)</f>
        <v>0</v>
      </c>
      <c r="AM5" s="61" t="n">
        <f aca="false">IF(LEFT(AH5,7)="INVALID",1,0)</f>
        <v>0</v>
      </c>
      <c r="AN5" s="61" t="n">
        <f aca="false">IF(AND(N5="Clarification required",AI5=1,AJ5=0),1,0)</f>
        <v>0</v>
      </c>
      <c r="AO5" s="61" t="str">
        <f aca="false">IF(AK5=1,SUM(AK$5:AK5),"")</f>
        <v/>
      </c>
      <c r="AP5" s="61" t="str">
        <f aca="false">IF(AL5=1,SUM(AL$5:AL5),"")</f>
        <v/>
      </c>
      <c r="AQ5" s="61" t="n">
        <v>0</v>
      </c>
      <c r="AR5" s="61" t="n">
        <v>0</v>
      </c>
      <c r="AS5" s="61" t="n">
        <v>0</v>
      </c>
      <c r="AT5" s="61" t="n">
        <v>0</v>
      </c>
      <c r="AU5" s="61" t="str">
        <f aca="false">SUBSTITUTE(SUBSTITUTE(SUBSTITUTE(SUBSTITUTE(SUBSTITUTE(SUBSTITUTE(SUBSTITUTE(SUBSTITUTE(SUBSTITUTE(SUBSTITUTE(SUBSTITUTE(SUBSTITUTE(SUBSTITUTE(LOWER(T5&amp;""),CHAR(160),"")," ",""),".",""),"-",""),"/",""),"?",""),"_",""),",",""),"[",""),"]",""),"(",""),")",""),"*","")</f>
        <v/>
      </c>
      <c r="AV5" s="61" t="str">
        <f aca="false">SUBSTITUTE(SUBSTITUTE(SUBSTITUTE(SUBSTITUTE(SUBSTITUTE(SUBSTITUTE(SUBSTITUTE(SUBSTITUTE(SUBSTITUTE(SUBSTITUTE(SUBSTITUTE(SUBSTITUTE(SUBSTITUTE(LOWER(V5&amp;""),CHAR(160),"")," ",""),".",""),"-",""),"/",""),"?",""),"_",""),",",""),"[",""),"]",""),"(",""),")",""),"*","")</f>
        <v/>
      </c>
      <c r="AW5" s="61" t="str">
        <f aca="false">SUBSTITUTE(SUBSTITUTE(SUBSTITUTE(SUBSTITUTE(SUBSTITUTE(SUBSTITUTE(SUBSTITUTE(SUBSTITUTE(SUBSTITUTE(SUBSTITUTE(SUBSTITUTE(SUBSTITUTE(SUBSTITUTE(LOWER(Z5&amp;""),CHAR(160),"")," ",""),".",""),"-",""),"/",""),"?",""),"_",""),",",""),"[",""),"]",""),"(",""),")",""),"*","")</f>
        <v/>
      </c>
      <c r="AX5" s="61" t="str">
        <f aca="false">SUBSTITUTE(SUBSTITUTE(SUBSTITUTE(SUBSTITUTE(SUBSTITUTE(SUBSTITUTE(SUBSTITUTE(SUBSTITUTE(SUBSTITUTE(SUBSTITUTE(SUBSTITUTE(SUBSTITUTE(SUBSTITUTE(LOWER(AE5&amp;""),CHAR(160),"")," ",""),".",""),"-",""),"/",""),"?",""),"_",""),",",""),"[",""),"]",""),"(",""),")",""),"*","")</f>
        <v/>
      </c>
      <c r="AY5" s="61" t="str">
        <f aca="false">SUBSTITUTE(SUBSTITUTE(SUBSTITUTE(SUBSTITUTE(SUBSTITUTE(SUBSTITUTE(SUBSTITUTE(SUBSTITUTE(SUBSTITUTE(SUBSTITUTE(SUBSTITUTE(SUBSTITUTE(SUBSTITUTE(LOWER(W5&amp;""),CHAR(160),"")," ",""),".",""),"-",""),"/",""),"?",""),"_",""),",",""),"[",""),"]",""),"(",""),")",""),"*","")</f>
        <v/>
      </c>
      <c r="AZ5" s="61" t="str">
        <f aca="false">SUBSTITUTE(SUBSTITUTE(SUBSTITUTE(SUBSTITUTE(SUBSTITUTE(SUBSTITUTE(SUBSTITUTE(SUBSTITUTE(SUBSTITUTE(SUBSTITUTE(SUBSTITUTE(SUBSTITUTE(SUBSTITUTE(LOWER(AC5&amp;""),CHAR(160),"")," ",""),".",""),"-",""),"/",""),"?",""),"_",""),",",""),"[",""),"]",""),"(",""),")",""),"*","")</f>
        <v/>
      </c>
      <c r="BA5" s="61" t="str">
        <f aca="false">SUBSTITUTE(SUBSTITUTE(SUBSTITUTE(SUBSTITUTE(SUBSTITUTE(SUBSTITUTE(SUBSTITUTE(SUBSTITUTE(SUBSTITUTE(SUBSTITUTE(SUBSTITUTE(SUBSTITUTE(SUBSTITUTE(LOWER(AA5&amp;""),CHAR(160),"")," ",""),".",""),"-",""),"/",""),"?",""),"_",""),",",""),"[",""),"]",""),"(",""),")",""),"*","")</f>
        <v/>
      </c>
      <c r="BB5" s="61" t="str">
        <f aca="false">IF(AND(TRIM(U5)="Pass",ISNUMBER(AF5)),IF(AF5&lt;&gt;0,"INVALID – qty variance: use Fail or Pass after CA",""),"")&amp;IF(AND(TRIM(U5)="Pass after CA",ISNUMBER(AF5)),IF(AF5&lt;&gt;0,"INVALID – after the corrective action the actual qty must equal expected (update Actual)",""),"")&amp;IF(AND(TRIM(U5)="Pass",TRIM(AB5)&lt;&gt;"",TRIM(AB5)&lt;&gt;"Closed"),"INVALID – corrective action not closed: use Fail, then Pass after CA","")&amp;IF(AND(TRIM(AA5)&lt;&gt;"",TRIM(AB5)=""),"INVALID – CA status missing for the recorded corrective action","")&amp;IF(AND(TRIM(U5)="Pass after CA",OR(OR(LEN(BA5)&lt;5,ISNUMBER(MATCH(BA5,L_Placeholder,0))),TRIM(AB5)&lt;&gt;"Closed")),"INVALID – corrective action not recorded/closed","")</f>
        <v/>
      </c>
    </row>
    <row r="6" customFormat="false" ht="39.75" hidden="false" customHeight="true" outlineLevel="0" collapsed="false">
      <c r="A6" s="57" t="s">
        <v>362</v>
      </c>
      <c r="B6" s="57" t="s">
        <v>180</v>
      </c>
      <c r="C6" s="57" t="str">
        <f aca="false">Flights!$F$5</f>
        <v>MH0001</v>
      </c>
      <c r="D6" s="58" t="n">
        <f aca="false">Flights!$D$5</f>
        <v>46303</v>
      </c>
      <c r="E6" s="57" t="str">
        <f aca="false">Flights!$G$5&amp;"-"&amp;Flights!$H$5</f>
        <v>LHR-KUL</v>
      </c>
      <c r="F6" s="57" t="str">
        <f aca="false">Flights!$K$5</f>
        <v>EY</v>
      </c>
      <c r="G6" s="57" t="s">
        <v>79</v>
      </c>
      <c r="H6" s="57" t="s">
        <v>356</v>
      </c>
      <c r="I6" s="57" t="s">
        <v>363</v>
      </c>
      <c r="J6" s="57" t="s">
        <v>364</v>
      </c>
      <c r="K6" s="67" t="s">
        <v>365</v>
      </c>
      <c r="L6" s="67" t="s">
        <v>360</v>
      </c>
      <c r="M6" s="67"/>
      <c r="N6" s="67" t="s">
        <v>361</v>
      </c>
      <c r="O6" s="67"/>
      <c r="P6" s="57" t="s">
        <v>183</v>
      </c>
      <c r="Q6" s="59" t="n">
        <f aca="false">ROUND((Flights!$AC$5)*1440,0)/1440</f>
        <v>46296.8576388889</v>
      </c>
      <c r="R6" s="59" t="n">
        <f aca="false">Q6+(IF(AND(INDEX(TZ_DSTS,MATCH(P6,TZ_STN,0))&lt;&gt;"",Q6&gt;=INDEX(TZ_DSTS,MATCH(P6,TZ_STN,0)),Q6&lt;INDEX(TZ_DSTE,MATCH(P6,TZ_STN,0))),INDEX(TZ_DST,MATCH(P6,TZ_STN,0)),INDEX(TZ_STD,MATCH(P6,TZ_STN,0))))/24</f>
        <v>46296.8993055556</v>
      </c>
      <c r="S6" s="59" t="n">
        <f aca="false">Q6-T7EarlyD*24/24</f>
        <v>46282.8576388889</v>
      </c>
      <c r="T6" s="60"/>
      <c r="U6" s="60"/>
      <c r="V6" s="60"/>
      <c r="W6" s="61"/>
      <c r="X6" s="60"/>
      <c r="Y6" s="60"/>
      <c r="Z6" s="60"/>
      <c r="AA6" s="60"/>
      <c r="AB6" s="60"/>
      <c r="AC6" s="60"/>
      <c r="AD6" s="66"/>
      <c r="AE6" s="60"/>
      <c r="AF6" s="61" t="str">
        <f aca="false">IF(AND(ISNUMBER(X6),ISNUMBER(Y6)),Y6-X6,"")</f>
        <v/>
      </c>
      <c r="AG6" s="62" t="str">
        <f aca="false">IF(ISNUMBER(AD6),AD6-(IF(AND(INDEX(TZ_DSTS,MATCH(P6,TZ_STN,0))&lt;&gt;"",(AD6-INDEX(TZ_STD,MATCH(P6,TZ_STN,0))/24)&gt;=INDEX(TZ_DSTS,MATCH(P6,TZ_STN,0)),(AD6-INDEX(TZ_STD,MATCH(P6,TZ_STN,0))/24)&lt;INDEX(TZ_DSTE,MATCH(P6,TZ_STN,0))),INDEX(TZ_DST,MATCH(P6,TZ_STN,0)),INDEX(TZ_STD,MATCH(P6,TZ_STN,0))))/24,"")</f>
        <v/>
      </c>
      <c r="AH6" s="65" t="str">
        <f aca="false">IFERROR(IF(N6="N/A – rule","N/A – RULE",IF(TRIM(U6)="N/A",IF(AT6=0,"INVALID – N/A not permitted for this check",IF(AND(TRIM(AB6)&lt;&gt;"",TRIM(AB6)&lt;&gt;"Closed"),"INVALID – corrective action still open",IF(AND(NOT(OR(LEN(AZ6)&lt;15,ISNUMBER(MATCH(AZ6,L_Placeholder,0)))),NOT(OR(LEN(AU6)&lt;2,ISNUMBER(MATCH(AU6,L_Placeholder,0)))),NOT(OR(LEN(AX6)&lt;2,ISNUMBER(MATCH(AX6,L_Placeholder,0)))),TRIM(AE6)&lt;&gt;TRIM(T6)),"N/A – JUSTIFIED","INVALID – N/A needs a real justification (15+ chars), PIC and a different verifier"))),IF(OR(TRIM(U6)="Pass",TRIM(U6)="Pass after CA"),IF(NOT(ISNUMBER(AD6)),"INVALID – completion time missing",IF(OR(LEN(AU6)&lt;2,ISNUMBER(MATCH(AU6,L_Placeholder,0))),"INVALID – PIC missing",IF(OR(LEN(AV6)&lt;2,ISNUMBER(MATCH(AV6,L_Placeholder,0))),"INVALID – result / assessment missing",IF(OR(OR(LEN(AW6)&lt;3,ISNUMBER(MATCH(AW6,L_Placeholder,0))),SUMPRODUCT(--ISNUMBER(SEARCH(L_EvidencePhrase,AW6)))&gt;0),"INVALID – evidence missing, placeholder or not yet on file",IF(OR(LEN(AX6)&lt;2,ISNUMBER(MATCH(AX6,L_Placeholder,0))),"INVALID – verifier missing",IF(AX6=AU6,"INVALID – verifier must be someone other than the PIC",IF(AND(TRIM(U6)="Pass",SUMPRODUCT(--ISNUMBER(SEARCH(L_ResultBad,AV6)))&gt;0),"INVALID – result describes a problem: use Fail, then Pass after CA",IF(AND(AQ6=1,OR(LEN(AY6)&lt;3,ISNUMBER(MATCH(AY6,L_Placeholder,0)))),"INVALID – batch ID missing or placeholder",IF(AND(AR6=1,OR(NOT(ISNUMBER(X6)),NOT(ISNUMBER(Y6)))),"INVALID – expected/actual qty missing",IF(AND(AR6=1,OR(X6&lt;=0,Y6&lt;0)),"INVALID – expected qty must be above 0 and actual not negative",IF(BB6&lt;&gt;"",BB6,IF(AND(AS6=1,Documents!$J$5&lt;&gt;"ON FILE"),"INVALID – GLD not on file (Documents sheet)",IF(AND(AS6=2,Documents!$O$5&lt;&gt;"ON FILE"),"INVALID – menu checklist not on file (Documents sheet)",IF(AND(AS6=3,NOT(ISNUMBER(Flights!$AX$5))),"INVALID – enter carrying flight KUL departure (Flights AX)",IF(AND(AS6=3,OR(Flights!$AZ$5&gt;Flights!$AA$5,Flights!$AX$5&lt;Flights!$AA$5-3)),"INVALID – carrying flight (Flights AX) cannot arrive before this leg's STD, or is over 3 days early",IF(AG6&gt;AsOfUTC,"INVALID – completion time is in the future",IF(AND(ISNUMBER(S6),AG6&lt;S6),IF(H6="Physical uplift","INVALID – before uplift window (cannot confirm loading)","INVALID – before valid window"),IF(AG6&gt;Flights!$AA$5,"INVALID – completed after departure (cannot establish readiness)",IF(AND(H6="Preparation",AG6&gt;IF(ISNUMBER(Flights!$BA$5),MIN(Flights!$BA$5,Flights!$AA$5),Flights!$AA$5)),"INVALID – completed after loading / departure (cannot establish readiness)",IF(AND(H6="Physical uplift",AG6&gt;Q6),"INVALID – recorded after the loading flight departed",IF(AG6&gt;Q6,"COMPLETE – LATE","COMPLETE"))))))))))))))))))))),IF(TRIM(U6)="Fail","FAIL – DISCREPANCY",IF(AND(TRIM(U6)&lt;&gt;"",TRIM(U6)&lt;&gt;"Not started",TRIM(U6)&lt;&gt;"In progress"),"INVALID – unrecognised status (use the list)",IF(AsOfUTC&gt;Q6,"OVERDUE",IF(N6="Clarification required","OPEN – CLARIFICATION","OPEN"))))))),"INVALID – error value in an input cell")</f>
        <v>OPEN</v>
      </c>
      <c r="AI6" s="61" t="n">
        <f aca="false">IF(OR(AH6="N/A – RULE",AH6="N/A – JUSTIFIED"),0,1)</f>
        <v>1</v>
      </c>
      <c r="AJ6" s="61" t="n">
        <f aca="false">IF(LEFT(AH6,8)="COMPLETE",1,0)</f>
        <v>0</v>
      </c>
      <c r="AK6" s="61" t="n">
        <f aca="false">IF(AND(AI6=1,AJ6=0,AsOfUTC&gt;Q6),1,0)</f>
        <v>0</v>
      </c>
      <c r="AL6" s="61" t="n">
        <f aca="false">IFERROR(IF(AND(AI6=1,OR(TRIM(U6)="Fail",AND(TRIM(AB6)&lt;&gt;"",TRIM(AB6)&lt;&gt;"Closed"),AND(ISNUMBER(AF6),AF6&lt;&gt;0,TRIM(U6)&lt;&gt;"Pass after CA"))),1,0),1)</f>
        <v>0</v>
      </c>
      <c r="AM6" s="61" t="n">
        <f aca="false">IF(LEFT(AH6,7)="INVALID",1,0)</f>
        <v>0</v>
      </c>
      <c r="AN6" s="61" t="n">
        <f aca="false">IF(AND(N6="Clarification required",AI6=1,AJ6=0),1,0)</f>
        <v>0</v>
      </c>
      <c r="AO6" s="61" t="str">
        <f aca="false">IF(AK6=1,SUM(AK$5:AK6),"")</f>
        <v/>
      </c>
      <c r="AP6" s="61" t="str">
        <f aca="false">IF(AL6=1,SUM(AL$5:AL6),"")</f>
        <v/>
      </c>
      <c r="AQ6" s="61" t="n">
        <v>0</v>
      </c>
      <c r="AR6" s="61" t="n">
        <v>0</v>
      </c>
      <c r="AS6" s="61" t="n">
        <v>0</v>
      </c>
      <c r="AT6" s="61" t="n">
        <v>0</v>
      </c>
      <c r="AU6" s="61" t="str">
        <f aca="false">SUBSTITUTE(SUBSTITUTE(SUBSTITUTE(SUBSTITUTE(SUBSTITUTE(SUBSTITUTE(SUBSTITUTE(SUBSTITUTE(SUBSTITUTE(SUBSTITUTE(SUBSTITUTE(SUBSTITUTE(SUBSTITUTE(LOWER(T6&amp;""),CHAR(160),"")," ",""),".",""),"-",""),"/",""),"?",""),"_",""),",",""),"[",""),"]",""),"(",""),")",""),"*","")</f>
        <v/>
      </c>
      <c r="AV6" s="61" t="str">
        <f aca="false">SUBSTITUTE(SUBSTITUTE(SUBSTITUTE(SUBSTITUTE(SUBSTITUTE(SUBSTITUTE(SUBSTITUTE(SUBSTITUTE(SUBSTITUTE(SUBSTITUTE(SUBSTITUTE(SUBSTITUTE(SUBSTITUTE(LOWER(V6&amp;""),CHAR(160),"")," ",""),".",""),"-",""),"/",""),"?",""),"_",""),",",""),"[",""),"]",""),"(",""),")",""),"*","")</f>
        <v/>
      </c>
      <c r="AW6" s="61" t="str">
        <f aca="false">SUBSTITUTE(SUBSTITUTE(SUBSTITUTE(SUBSTITUTE(SUBSTITUTE(SUBSTITUTE(SUBSTITUTE(SUBSTITUTE(SUBSTITUTE(SUBSTITUTE(SUBSTITUTE(SUBSTITUTE(SUBSTITUTE(LOWER(Z6&amp;""),CHAR(160),"")," ",""),".",""),"-",""),"/",""),"?",""),"_",""),",",""),"[",""),"]",""),"(",""),")",""),"*","")</f>
        <v/>
      </c>
      <c r="AX6" s="61" t="str">
        <f aca="false">SUBSTITUTE(SUBSTITUTE(SUBSTITUTE(SUBSTITUTE(SUBSTITUTE(SUBSTITUTE(SUBSTITUTE(SUBSTITUTE(SUBSTITUTE(SUBSTITUTE(SUBSTITUTE(SUBSTITUTE(SUBSTITUTE(LOWER(AE6&amp;""),CHAR(160),"")," ",""),".",""),"-",""),"/",""),"?",""),"_",""),",",""),"[",""),"]",""),"(",""),")",""),"*","")</f>
        <v/>
      </c>
      <c r="AY6" s="61" t="str">
        <f aca="false">SUBSTITUTE(SUBSTITUTE(SUBSTITUTE(SUBSTITUTE(SUBSTITUTE(SUBSTITUTE(SUBSTITUTE(SUBSTITUTE(SUBSTITUTE(SUBSTITUTE(SUBSTITUTE(SUBSTITUTE(SUBSTITUTE(LOWER(W6&amp;""),CHAR(160),"")," ",""),".",""),"-",""),"/",""),"?",""),"_",""),",",""),"[",""),"]",""),"(",""),")",""),"*","")</f>
        <v/>
      </c>
      <c r="AZ6" s="61" t="str">
        <f aca="false">SUBSTITUTE(SUBSTITUTE(SUBSTITUTE(SUBSTITUTE(SUBSTITUTE(SUBSTITUTE(SUBSTITUTE(SUBSTITUTE(SUBSTITUTE(SUBSTITUTE(SUBSTITUTE(SUBSTITUTE(SUBSTITUTE(LOWER(AC6&amp;""),CHAR(160),"")," ",""),".",""),"-",""),"/",""),"?",""),"_",""),",",""),"[",""),"]",""),"(",""),")",""),"*","")</f>
        <v/>
      </c>
      <c r="BA6" s="61" t="str">
        <f aca="false">SUBSTITUTE(SUBSTITUTE(SUBSTITUTE(SUBSTITUTE(SUBSTITUTE(SUBSTITUTE(SUBSTITUTE(SUBSTITUTE(SUBSTITUTE(SUBSTITUTE(SUBSTITUTE(SUBSTITUTE(SUBSTITUTE(LOWER(AA6&amp;""),CHAR(160),"")," ",""),".",""),"-",""),"/",""),"?",""),"_",""),",",""),"[",""),"]",""),"(",""),")",""),"*","")</f>
        <v/>
      </c>
      <c r="BB6" s="61" t="str">
        <f aca="false">IF(AND(TRIM(U6)="Pass",ISNUMBER(AF6)),IF(AF6&lt;&gt;0,"INVALID – qty variance: use Fail or Pass after CA",""),"")&amp;IF(AND(TRIM(U6)="Pass after CA",ISNUMBER(AF6)),IF(AF6&lt;&gt;0,"INVALID – after the corrective action the actual qty must equal expected (update Actual)",""),"")&amp;IF(AND(TRIM(U6)="Pass",TRIM(AB6)&lt;&gt;"",TRIM(AB6)&lt;&gt;"Closed"),"INVALID – corrective action not closed: use Fail, then Pass after CA","")&amp;IF(AND(TRIM(AA6)&lt;&gt;"",TRIM(AB6)=""),"INVALID – CA status missing for the recorded corrective action","")&amp;IF(AND(TRIM(U6)="Pass after CA",OR(OR(LEN(BA6)&lt;5,ISNUMBER(MATCH(BA6,L_Placeholder,0))),TRIM(AB6)&lt;&gt;"Closed")),"INVALID – corrective action not recorded/closed","")</f>
        <v/>
      </c>
    </row>
    <row r="7" customFormat="false" ht="41.25" hidden="false" customHeight="true" outlineLevel="0" collapsed="false">
      <c r="A7" s="57" t="s">
        <v>366</v>
      </c>
      <c r="B7" s="57" t="s">
        <v>180</v>
      </c>
      <c r="C7" s="57" t="str">
        <f aca="false">Flights!$F$5</f>
        <v>MH0001</v>
      </c>
      <c r="D7" s="58" t="n">
        <f aca="false">Flights!$D$5</f>
        <v>46303</v>
      </c>
      <c r="E7" s="57" t="str">
        <f aca="false">Flights!$G$5&amp;"-"&amp;Flights!$H$5</f>
        <v>LHR-KUL</v>
      </c>
      <c r="F7" s="57" t="str">
        <f aca="false">Flights!$K$5</f>
        <v>EY</v>
      </c>
      <c r="G7" s="57" t="s">
        <v>79</v>
      </c>
      <c r="H7" s="57" t="s">
        <v>356</v>
      </c>
      <c r="I7" s="57" t="s">
        <v>367</v>
      </c>
      <c r="J7" s="57" t="s">
        <v>368</v>
      </c>
      <c r="K7" s="67" t="s">
        <v>369</v>
      </c>
      <c r="L7" s="67" t="s">
        <v>360</v>
      </c>
      <c r="M7" s="67"/>
      <c r="N7" s="67" t="str">
        <f aca="false">IF(TRIM(Flights!$L$5)="A339","Required","N/A – rule")</f>
        <v>N/A – rule</v>
      </c>
      <c r="O7" s="67" t="s">
        <v>370</v>
      </c>
      <c r="P7" s="57" t="s">
        <v>183</v>
      </c>
      <c r="Q7" s="59" t="n">
        <f aca="false">ROUND((Flights!$AC$5)*1440,0)/1440</f>
        <v>46296.8576388889</v>
      </c>
      <c r="R7" s="59" t="n">
        <f aca="false">Q7+(IF(AND(INDEX(TZ_DSTS,MATCH(P7,TZ_STN,0))&lt;&gt;"",Q7&gt;=INDEX(TZ_DSTS,MATCH(P7,TZ_STN,0)),Q7&lt;INDEX(TZ_DSTE,MATCH(P7,TZ_STN,0))),INDEX(TZ_DST,MATCH(P7,TZ_STN,0)),INDEX(TZ_STD,MATCH(P7,TZ_STN,0))))/24</f>
        <v>46296.8993055556</v>
      </c>
      <c r="S7" s="59" t="n">
        <f aca="false">Q7-T7EarlyD*24/24</f>
        <v>46282.8576388889</v>
      </c>
      <c r="T7" s="60"/>
      <c r="U7" s="60"/>
      <c r="V7" s="60"/>
      <c r="W7" s="61"/>
      <c r="X7" s="60"/>
      <c r="Y7" s="60"/>
      <c r="Z7" s="60"/>
      <c r="AA7" s="60"/>
      <c r="AB7" s="60"/>
      <c r="AC7" s="60"/>
      <c r="AD7" s="66"/>
      <c r="AE7" s="60"/>
      <c r="AF7" s="61" t="str">
        <f aca="false">IF(AND(ISNUMBER(X7),ISNUMBER(Y7)),Y7-X7,"")</f>
        <v/>
      </c>
      <c r="AG7" s="62" t="str">
        <f aca="false">IF(ISNUMBER(AD7),AD7-(IF(AND(INDEX(TZ_DSTS,MATCH(P7,TZ_STN,0))&lt;&gt;"",(AD7-INDEX(TZ_STD,MATCH(P7,TZ_STN,0))/24)&gt;=INDEX(TZ_DSTS,MATCH(P7,TZ_STN,0)),(AD7-INDEX(TZ_STD,MATCH(P7,TZ_STN,0))/24)&lt;INDEX(TZ_DSTE,MATCH(P7,TZ_STN,0))),INDEX(TZ_DST,MATCH(P7,TZ_STN,0)),INDEX(TZ_STD,MATCH(P7,TZ_STN,0))))/24,"")</f>
        <v/>
      </c>
      <c r="AH7" s="65" t="str">
        <f aca="false">IFERROR(IF(N7="N/A – rule","N/A – RULE",IF(TRIM(U7)="N/A",IF(AT7=0,"INVALID – N/A not permitted for this check",IF(AND(TRIM(AB7)&lt;&gt;"",TRIM(AB7)&lt;&gt;"Closed"),"INVALID – corrective action still open",IF(AND(NOT(OR(LEN(AZ7)&lt;15,ISNUMBER(MATCH(AZ7,L_Placeholder,0)))),NOT(OR(LEN(AU7)&lt;2,ISNUMBER(MATCH(AU7,L_Placeholder,0)))),NOT(OR(LEN(AX7)&lt;2,ISNUMBER(MATCH(AX7,L_Placeholder,0)))),TRIM(AE7)&lt;&gt;TRIM(T7)),"N/A – JUSTIFIED","INVALID – N/A needs a real justification (15+ chars), PIC and a different verifier"))),IF(OR(TRIM(U7)="Pass",TRIM(U7)="Pass after CA"),IF(NOT(ISNUMBER(AD7)),"INVALID – completion time missing",IF(OR(LEN(AU7)&lt;2,ISNUMBER(MATCH(AU7,L_Placeholder,0))),"INVALID – PIC missing",IF(OR(LEN(AV7)&lt;2,ISNUMBER(MATCH(AV7,L_Placeholder,0))),"INVALID – result / assessment missing",IF(OR(OR(LEN(AW7)&lt;3,ISNUMBER(MATCH(AW7,L_Placeholder,0))),SUMPRODUCT(--ISNUMBER(SEARCH(L_EvidencePhrase,AW7)))&gt;0),"INVALID – evidence missing, placeholder or not yet on file",IF(OR(LEN(AX7)&lt;2,ISNUMBER(MATCH(AX7,L_Placeholder,0))),"INVALID – verifier missing",IF(AX7=AU7,"INVALID – verifier must be someone other than the PIC",IF(AND(TRIM(U7)="Pass",SUMPRODUCT(--ISNUMBER(SEARCH(L_ResultBad,AV7)))&gt;0),"INVALID – result describes a problem: use Fail, then Pass after CA",IF(AND(AQ7=1,OR(LEN(AY7)&lt;3,ISNUMBER(MATCH(AY7,L_Placeholder,0)))),"INVALID – batch ID missing or placeholder",IF(AND(AR7=1,OR(NOT(ISNUMBER(X7)),NOT(ISNUMBER(Y7)))),"INVALID – expected/actual qty missing",IF(AND(AR7=1,OR(X7&lt;=0,Y7&lt;0)),"INVALID – expected qty must be above 0 and actual not negative",IF(BB7&lt;&gt;"",BB7,IF(AND(AS7=1,Documents!$J$5&lt;&gt;"ON FILE"),"INVALID – GLD not on file (Documents sheet)",IF(AND(AS7=2,Documents!$O$5&lt;&gt;"ON FILE"),"INVALID – menu checklist not on file (Documents sheet)",IF(AND(AS7=3,NOT(ISNUMBER(Flights!$AX$5))),"INVALID – enter carrying flight KUL departure (Flights AX)",IF(AND(AS7=3,OR(Flights!$AZ$5&gt;Flights!$AA$5,Flights!$AX$5&lt;Flights!$AA$5-3)),"INVALID – carrying flight (Flights AX) cannot arrive before this leg's STD, or is over 3 days early",IF(AG7&gt;AsOfUTC,"INVALID – completion time is in the future",IF(AND(ISNUMBER(S7),AG7&lt;S7),IF(H7="Physical uplift","INVALID – before uplift window (cannot confirm loading)","INVALID – before valid window"),IF(AG7&gt;Flights!$AA$5,"INVALID – completed after departure (cannot establish readiness)",IF(AND(H7="Preparation",AG7&gt;IF(ISNUMBER(Flights!$BA$5),MIN(Flights!$BA$5,Flights!$AA$5),Flights!$AA$5)),"INVALID – completed after loading / departure (cannot establish readiness)",IF(AND(H7="Physical uplift",AG7&gt;Q7),"INVALID – recorded after the loading flight departed",IF(AG7&gt;Q7,"COMPLETE – LATE","COMPLETE"))))))))))))))))))))),IF(TRIM(U7)="Fail","FAIL – DISCREPANCY",IF(AND(TRIM(U7)&lt;&gt;"",TRIM(U7)&lt;&gt;"Not started",TRIM(U7)&lt;&gt;"In progress"),"INVALID – unrecognised status (use the list)",IF(AsOfUTC&gt;Q7,"OVERDUE",IF(N7="Clarification required","OPEN – CLARIFICATION","OPEN"))))))),"INVALID – error value in an input cell")</f>
        <v>N/A – RULE</v>
      </c>
      <c r="AI7" s="61" t="n">
        <f aca="false">IF(OR(AH7="N/A – RULE",AH7="N/A – JUSTIFIED"),0,1)</f>
        <v>0</v>
      </c>
      <c r="AJ7" s="61" t="n">
        <f aca="false">IF(LEFT(AH7,8)="COMPLETE",1,0)</f>
        <v>0</v>
      </c>
      <c r="AK7" s="61" t="n">
        <f aca="false">IF(AND(AI7=1,AJ7=0,AsOfUTC&gt;Q7),1,0)</f>
        <v>0</v>
      </c>
      <c r="AL7" s="61" t="n">
        <f aca="false">IFERROR(IF(AND(AI7=1,OR(TRIM(U7)="Fail",AND(TRIM(AB7)&lt;&gt;"",TRIM(AB7)&lt;&gt;"Closed"),AND(ISNUMBER(AF7),AF7&lt;&gt;0,TRIM(U7)&lt;&gt;"Pass after CA"))),1,0),1)</f>
        <v>0</v>
      </c>
      <c r="AM7" s="61" t="n">
        <f aca="false">IF(LEFT(AH7,7)="INVALID",1,0)</f>
        <v>0</v>
      </c>
      <c r="AN7" s="61" t="n">
        <f aca="false">IF(AND(N7="Clarification required",AI7=1,AJ7=0),1,0)</f>
        <v>0</v>
      </c>
      <c r="AO7" s="61" t="str">
        <f aca="false">IF(AK7=1,SUM(AK$5:AK7),"")</f>
        <v/>
      </c>
      <c r="AP7" s="61" t="str">
        <f aca="false">IF(AL7=1,SUM(AL$5:AL7),"")</f>
        <v/>
      </c>
      <c r="AQ7" s="61" t="n">
        <v>0</v>
      </c>
      <c r="AR7" s="61" t="n">
        <v>0</v>
      </c>
      <c r="AS7" s="61" t="n">
        <v>0</v>
      </c>
      <c r="AT7" s="61" t="n">
        <v>0</v>
      </c>
      <c r="AU7" s="61" t="str">
        <f aca="false">SUBSTITUTE(SUBSTITUTE(SUBSTITUTE(SUBSTITUTE(SUBSTITUTE(SUBSTITUTE(SUBSTITUTE(SUBSTITUTE(SUBSTITUTE(SUBSTITUTE(SUBSTITUTE(SUBSTITUTE(SUBSTITUTE(LOWER(T7&amp;""),CHAR(160),"")," ",""),".",""),"-",""),"/",""),"?",""),"_",""),",",""),"[",""),"]",""),"(",""),")",""),"*","")</f>
        <v/>
      </c>
      <c r="AV7" s="61" t="str">
        <f aca="false">SUBSTITUTE(SUBSTITUTE(SUBSTITUTE(SUBSTITUTE(SUBSTITUTE(SUBSTITUTE(SUBSTITUTE(SUBSTITUTE(SUBSTITUTE(SUBSTITUTE(SUBSTITUTE(SUBSTITUTE(SUBSTITUTE(LOWER(V7&amp;""),CHAR(160),"")," ",""),".",""),"-",""),"/",""),"?",""),"_",""),",",""),"[",""),"]",""),"(",""),")",""),"*","")</f>
        <v/>
      </c>
      <c r="AW7" s="61" t="str">
        <f aca="false">SUBSTITUTE(SUBSTITUTE(SUBSTITUTE(SUBSTITUTE(SUBSTITUTE(SUBSTITUTE(SUBSTITUTE(SUBSTITUTE(SUBSTITUTE(SUBSTITUTE(SUBSTITUTE(SUBSTITUTE(SUBSTITUTE(LOWER(Z7&amp;""),CHAR(160),"")," ",""),".",""),"-",""),"/",""),"?",""),"_",""),",",""),"[",""),"]",""),"(",""),")",""),"*","")</f>
        <v/>
      </c>
      <c r="AX7" s="61" t="str">
        <f aca="false">SUBSTITUTE(SUBSTITUTE(SUBSTITUTE(SUBSTITUTE(SUBSTITUTE(SUBSTITUTE(SUBSTITUTE(SUBSTITUTE(SUBSTITUTE(SUBSTITUTE(SUBSTITUTE(SUBSTITUTE(SUBSTITUTE(LOWER(AE7&amp;""),CHAR(160),"")," ",""),".",""),"-",""),"/",""),"?",""),"_",""),",",""),"[",""),"]",""),"(",""),")",""),"*","")</f>
        <v/>
      </c>
      <c r="AY7" s="61" t="str">
        <f aca="false">SUBSTITUTE(SUBSTITUTE(SUBSTITUTE(SUBSTITUTE(SUBSTITUTE(SUBSTITUTE(SUBSTITUTE(SUBSTITUTE(SUBSTITUTE(SUBSTITUTE(SUBSTITUTE(SUBSTITUTE(SUBSTITUTE(LOWER(W7&amp;""),CHAR(160),"")," ",""),".",""),"-",""),"/",""),"?",""),"_",""),",",""),"[",""),"]",""),"(",""),")",""),"*","")</f>
        <v/>
      </c>
      <c r="AZ7" s="61" t="str">
        <f aca="false">SUBSTITUTE(SUBSTITUTE(SUBSTITUTE(SUBSTITUTE(SUBSTITUTE(SUBSTITUTE(SUBSTITUTE(SUBSTITUTE(SUBSTITUTE(SUBSTITUTE(SUBSTITUTE(SUBSTITUTE(SUBSTITUTE(LOWER(AC7&amp;""),CHAR(160),"")," ",""),".",""),"-",""),"/",""),"?",""),"_",""),",",""),"[",""),"]",""),"(",""),")",""),"*","")</f>
        <v/>
      </c>
      <c r="BA7" s="61" t="str">
        <f aca="false">SUBSTITUTE(SUBSTITUTE(SUBSTITUTE(SUBSTITUTE(SUBSTITUTE(SUBSTITUTE(SUBSTITUTE(SUBSTITUTE(SUBSTITUTE(SUBSTITUTE(SUBSTITUTE(SUBSTITUTE(SUBSTITUTE(LOWER(AA7&amp;""),CHAR(160),"")," ",""),".",""),"-",""),"/",""),"?",""),"_",""),",",""),"[",""),"]",""),"(",""),")",""),"*","")</f>
        <v/>
      </c>
      <c r="BB7" s="61" t="str">
        <f aca="false">IF(AND(TRIM(U7)="Pass",ISNUMBER(AF7)),IF(AF7&lt;&gt;0,"INVALID – qty variance: use Fail or Pass after CA",""),"")&amp;IF(AND(TRIM(U7)="Pass after CA",ISNUMBER(AF7)),IF(AF7&lt;&gt;0,"INVALID – after the corrective action the actual qty must equal expected (update Actual)",""),"")&amp;IF(AND(TRIM(U7)="Pass",TRIM(AB7)&lt;&gt;"",TRIM(AB7)&lt;&gt;"Closed"),"INVALID – corrective action not closed: use Fail, then Pass after CA","")&amp;IF(AND(TRIM(AA7)&lt;&gt;"",TRIM(AB7)=""),"INVALID – CA status missing for the recorded corrective action","")&amp;IF(AND(TRIM(U7)="Pass after CA",OR(OR(LEN(BA7)&lt;5,ISNUMBER(MATCH(BA7,L_Placeholder,0))),TRIM(AB7)&lt;&gt;"Closed")),"INVALID – corrective action not recorded/closed","")</f>
        <v/>
      </c>
    </row>
    <row r="8" customFormat="false" ht="39.75" hidden="false" customHeight="true" outlineLevel="0" collapsed="false">
      <c r="A8" s="57" t="s">
        <v>371</v>
      </c>
      <c r="B8" s="57" t="s">
        <v>180</v>
      </c>
      <c r="C8" s="57" t="str">
        <f aca="false">Flights!$F$5</f>
        <v>MH0001</v>
      </c>
      <c r="D8" s="58" t="n">
        <f aca="false">Flights!$D$5</f>
        <v>46303</v>
      </c>
      <c r="E8" s="57" t="str">
        <f aca="false">Flights!$G$5&amp;"-"&amp;Flights!$H$5</f>
        <v>LHR-KUL</v>
      </c>
      <c r="F8" s="57" t="str">
        <f aca="false">Flights!$K$5</f>
        <v>EY</v>
      </c>
      <c r="G8" s="57" t="s">
        <v>79</v>
      </c>
      <c r="H8" s="57" t="s">
        <v>356</v>
      </c>
      <c r="I8" s="57" t="s">
        <v>372</v>
      </c>
      <c r="J8" s="57" t="s">
        <v>373</v>
      </c>
      <c r="K8" s="67" t="s">
        <v>374</v>
      </c>
      <c r="L8" s="67" t="s">
        <v>360</v>
      </c>
      <c r="M8" s="67"/>
      <c r="N8" s="67" t="s">
        <v>361</v>
      </c>
      <c r="O8" s="67"/>
      <c r="P8" s="57" t="s">
        <v>183</v>
      </c>
      <c r="Q8" s="59" t="n">
        <f aca="false">ROUND((Flights!$AC$5)*1440,0)/1440</f>
        <v>46296.8576388889</v>
      </c>
      <c r="R8" s="59" t="n">
        <f aca="false">Q8+(IF(AND(INDEX(TZ_DSTS,MATCH(P8,TZ_STN,0))&lt;&gt;"",Q8&gt;=INDEX(TZ_DSTS,MATCH(P8,TZ_STN,0)),Q8&lt;INDEX(TZ_DSTE,MATCH(P8,TZ_STN,0))),INDEX(TZ_DST,MATCH(P8,TZ_STN,0)),INDEX(TZ_STD,MATCH(P8,TZ_STN,0))))/24</f>
        <v>46296.8993055556</v>
      </c>
      <c r="S8" s="59" t="n">
        <f aca="false">Q8-T7EarlyD*24/24</f>
        <v>46282.8576388889</v>
      </c>
      <c r="T8" s="60"/>
      <c r="U8" s="60"/>
      <c r="V8" s="60"/>
      <c r="W8" s="61"/>
      <c r="X8" s="60"/>
      <c r="Y8" s="60"/>
      <c r="Z8" s="60"/>
      <c r="AA8" s="60"/>
      <c r="AB8" s="60"/>
      <c r="AC8" s="60"/>
      <c r="AD8" s="66"/>
      <c r="AE8" s="60"/>
      <c r="AF8" s="61" t="str">
        <f aca="false">IF(AND(ISNUMBER(X8),ISNUMBER(Y8)),Y8-X8,"")</f>
        <v/>
      </c>
      <c r="AG8" s="62" t="str">
        <f aca="false">IF(ISNUMBER(AD8),AD8-(IF(AND(INDEX(TZ_DSTS,MATCH(P8,TZ_STN,0))&lt;&gt;"",(AD8-INDEX(TZ_STD,MATCH(P8,TZ_STN,0))/24)&gt;=INDEX(TZ_DSTS,MATCH(P8,TZ_STN,0)),(AD8-INDEX(TZ_STD,MATCH(P8,TZ_STN,0))/24)&lt;INDEX(TZ_DSTE,MATCH(P8,TZ_STN,0))),INDEX(TZ_DST,MATCH(P8,TZ_STN,0)),INDEX(TZ_STD,MATCH(P8,TZ_STN,0))))/24,"")</f>
        <v/>
      </c>
      <c r="AH8" s="65" t="str">
        <f aca="false">IFERROR(IF(N8="N/A – rule","N/A – RULE",IF(TRIM(U8)="N/A",IF(AT8=0,"INVALID – N/A not permitted for this check",IF(AND(TRIM(AB8)&lt;&gt;"",TRIM(AB8)&lt;&gt;"Closed"),"INVALID – corrective action still open",IF(AND(NOT(OR(LEN(AZ8)&lt;15,ISNUMBER(MATCH(AZ8,L_Placeholder,0)))),NOT(OR(LEN(AU8)&lt;2,ISNUMBER(MATCH(AU8,L_Placeholder,0)))),NOT(OR(LEN(AX8)&lt;2,ISNUMBER(MATCH(AX8,L_Placeholder,0)))),TRIM(AE8)&lt;&gt;TRIM(T8)),"N/A – JUSTIFIED","INVALID – N/A needs a real justification (15+ chars), PIC and a different verifier"))),IF(OR(TRIM(U8)="Pass",TRIM(U8)="Pass after CA"),IF(NOT(ISNUMBER(AD8)),"INVALID – completion time missing",IF(OR(LEN(AU8)&lt;2,ISNUMBER(MATCH(AU8,L_Placeholder,0))),"INVALID – PIC missing",IF(OR(LEN(AV8)&lt;2,ISNUMBER(MATCH(AV8,L_Placeholder,0))),"INVALID – result / assessment missing",IF(OR(OR(LEN(AW8)&lt;3,ISNUMBER(MATCH(AW8,L_Placeholder,0))),SUMPRODUCT(--ISNUMBER(SEARCH(L_EvidencePhrase,AW8)))&gt;0),"INVALID – evidence missing, placeholder or not yet on file",IF(OR(LEN(AX8)&lt;2,ISNUMBER(MATCH(AX8,L_Placeholder,0))),"INVALID – verifier missing",IF(AX8=AU8,"INVALID – verifier must be someone other than the PIC",IF(AND(TRIM(U8)="Pass",SUMPRODUCT(--ISNUMBER(SEARCH(L_ResultBad,AV8)))&gt;0),"INVALID – result describes a problem: use Fail, then Pass after CA",IF(AND(AQ8=1,OR(LEN(AY8)&lt;3,ISNUMBER(MATCH(AY8,L_Placeholder,0)))),"INVALID – batch ID missing or placeholder",IF(AND(AR8=1,OR(NOT(ISNUMBER(X8)),NOT(ISNUMBER(Y8)))),"INVALID – expected/actual qty missing",IF(AND(AR8=1,OR(X8&lt;=0,Y8&lt;0)),"INVALID – expected qty must be above 0 and actual not negative",IF(BB8&lt;&gt;"",BB8,IF(AND(AS8=1,Documents!$J$5&lt;&gt;"ON FILE"),"INVALID – GLD not on file (Documents sheet)",IF(AND(AS8=2,Documents!$O$5&lt;&gt;"ON FILE"),"INVALID – menu checklist not on file (Documents sheet)",IF(AND(AS8=3,NOT(ISNUMBER(Flights!$AX$5))),"INVALID – enter carrying flight KUL departure (Flights AX)",IF(AND(AS8=3,OR(Flights!$AZ$5&gt;Flights!$AA$5,Flights!$AX$5&lt;Flights!$AA$5-3)),"INVALID – carrying flight (Flights AX) cannot arrive before this leg's STD, or is over 3 days early",IF(AG8&gt;AsOfUTC,"INVALID – completion time is in the future",IF(AND(ISNUMBER(S8),AG8&lt;S8),IF(H8="Physical uplift","INVALID – before uplift window (cannot confirm loading)","INVALID – before valid window"),IF(AG8&gt;Flights!$AA$5,"INVALID – completed after departure (cannot establish readiness)",IF(AND(H8="Preparation",AG8&gt;IF(ISNUMBER(Flights!$BA$5),MIN(Flights!$BA$5,Flights!$AA$5),Flights!$AA$5)),"INVALID – completed after loading / departure (cannot establish readiness)",IF(AND(H8="Physical uplift",AG8&gt;Q8),"INVALID – recorded after the loading flight departed",IF(AG8&gt;Q8,"COMPLETE – LATE","COMPLETE"))))))))))))))))))))),IF(TRIM(U8)="Fail","FAIL – DISCREPANCY",IF(AND(TRIM(U8)&lt;&gt;"",TRIM(U8)&lt;&gt;"Not started",TRIM(U8)&lt;&gt;"In progress"),"INVALID – unrecognised status (use the list)",IF(AsOfUTC&gt;Q8,"OVERDUE",IF(N8="Clarification required","OPEN – CLARIFICATION","OPEN"))))))),"INVALID – error value in an input cell")</f>
        <v>OPEN</v>
      </c>
      <c r="AI8" s="61" t="n">
        <f aca="false">IF(OR(AH8="N/A – RULE",AH8="N/A – JUSTIFIED"),0,1)</f>
        <v>1</v>
      </c>
      <c r="AJ8" s="61" t="n">
        <f aca="false">IF(LEFT(AH8,8)="COMPLETE",1,0)</f>
        <v>0</v>
      </c>
      <c r="AK8" s="61" t="n">
        <f aca="false">IF(AND(AI8=1,AJ8=0,AsOfUTC&gt;Q8),1,0)</f>
        <v>0</v>
      </c>
      <c r="AL8" s="61" t="n">
        <f aca="false">IFERROR(IF(AND(AI8=1,OR(TRIM(U8)="Fail",AND(TRIM(AB8)&lt;&gt;"",TRIM(AB8)&lt;&gt;"Closed"),AND(ISNUMBER(AF8),AF8&lt;&gt;0,TRIM(U8)&lt;&gt;"Pass after CA"))),1,0),1)</f>
        <v>0</v>
      </c>
      <c r="AM8" s="61" t="n">
        <f aca="false">IF(LEFT(AH8,7)="INVALID",1,0)</f>
        <v>0</v>
      </c>
      <c r="AN8" s="61" t="n">
        <f aca="false">IF(AND(N8="Clarification required",AI8=1,AJ8=0),1,0)</f>
        <v>0</v>
      </c>
      <c r="AO8" s="61" t="str">
        <f aca="false">IF(AK8=1,SUM(AK$5:AK8),"")</f>
        <v/>
      </c>
      <c r="AP8" s="61" t="str">
        <f aca="false">IF(AL8=1,SUM(AL$5:AL8),"")</f>
        <v/>
      </c>
      <c r="AQ8" s="61" t="n">
        <v>0</v>
      </c>
      <c r="AR8" s="61" t="n">
        <v>0</v>
      </c>
      <c r="AS8" s="61" t="n">
        <v>0</v>
      </c>
      <c r="AT8" s="61" t="n">
        <v>0</v>
      </c>
      <c r="AU8" s="61" t="str">
        <f aca="false">SUBSTITUTE(SUBSTITUTE(SUBSTITUTE(SUBSTITUTE(SUBSTITUTE(SUBSTITUTE(SUBSTITUTE(SUBSTITUTE(SUBSTITUTE(SUBSTITUTE(SUBSTITUTE(SUBSTITUTE(SUBSTITUTE(LOWER(T8&amp;""),CHAR(160),"")," ",""),".",""),"-",""),"/",""),"?",""),"_",""),",",""),"[",""),"]",""),"(",""),")",""),"*","")</f>
        <v/>
      </c>
      <c r="AV8" s="61" t="str">
        <f aca="false">SUBSTITUTE(SUBSTITUTE(SUBSTITUTE(SUBSTITUTE(SUBSTITUTE(SUBSTITUTE(SUBSTITUTE(SUBSTITUTE(SUBSTITUTE(SUBSTITUTE(SUBSTITUTE(SUBSTITUTE(SUBSTITUTE(LOWER(V8&amp;""),CHAR(160),"")," ",""),".",""),"-",""),"/",""),"?",""),"_",""),",",""),"[",""),"]",""),"(",""),")",""),"*","")</f>
        <v/>
      </c>
      <c r="AW8" s="61" t="str">
        <f aca="false">SUBSTITUTE(SUBSTITUTE(SUBSTITUTE(SUBSTITUTE(SUBSTITUTE(SUBSTITUTE(SUBSTITUTE(SUBSTITUTE(SUBSTITUTE(SUBSTITUTE(SUBSTITUTE(SUBSTITUTE(SUBSTITUTE(LOWER(Z8&amp;""),CHAR(160),"")," ",""),".",""),"-",""),"/",""),"?",""),"_",""),",",""),"[",""),"]",""),"(",""),")",""),"*","")</f>
        <v/>
      </c>
      <c r="AX8" s="61" t="str">
        <f aca="false">SUBSTITUTE(SUBSTITUTE(SUBSTITUTE(SUBSTITUTE(SUBSTITUTE(SUBSTITUTE(SUBSTITUTE(SUBSTITUTE(SUBSTITUTE(SUBSTITUTE(SUBSTITUTE(SUBSTITUTE(SUBSTITUTE(LOWER(AE8&amp;""),CHAR(160),"")," ",""),".",""),"-",""),"/",""),"?",""),"_",""),",",""),"[",""),"]",""),"(",""),")",""),"*","")</f>
        <v/>
      </c>
      <c r="AY8" s="61" t="str">
        <f aca="false">SUBSTITUTE(SUBSTITUTE(SUBSTITUTE(SUBSTITUTE(SUBSTITUTE(SUBSTITUTE(SUBSTITUTE(SUBSTITUTE(SUBSTITUTE(SUBSTITUTE(SUBSTITUTE(SUBSTITUTE(SUBSTITUTE(LOWER(W8&amp;""),CHAR(160),"")," ",""),".",""),"-",""),"/",""),"?",""),"_",""),",",""),"[",""),"]",""),"(",""),")",""),"*","")</f>
        <v/>
      </c>
      <c r="AZ8" s="61" t="str">
        <f aca="false">SUBSTITUTE(SUBSTITUTE(SUBSTITUTE(SUBSTITUTE(SUBSTITUTE(SUBSTITUTE(SUBSTITUTE(SUBSTITUTE(SUBSTITUTE(SUBSTITUTE(SUBSTITUTE(SUBSTITUTE(SUBSTITUTE(LOWER(AC8&amp;""),CHAR(160),"")," ",""),".",""),"-",""),"/",""),"?",""),"_",""),",",""),"[",""),"]",""),"(",""),")",""),"*","")</f>
        <v/>
      </c>
      <c r="BA8" s="61" t="str">
        <f aca="false">SUBSTITUTE(SUBSTITUTE(SUBSTITUTE(SUBSTITUTE(SUBSTITUTE(SUBSTITUTE(SUBSTITUTE(SUBSTITUTE(SUBSTITUTE(SUBSTITUTE(SUBSTITUTE(SUBSTITUTE(SUBSTITUTE(LOWER(AA8&amp;""),CHAR(160),"")," ",""),".",""),"-",""),"/",""),"?",""),"_",""),",",""),"[",""),"]",""),"(",""),")",""),"*","")</f>
        <v/>
      </c>
      <c r="BB8" s="61" t="str">
        <f aca="false">IF(AND(TRIM(U8)="Pass",ISNUMBER(AF8)),IF(AF8&lt;&gt;0,"INVALID – qty variance: use Fail or Pass after CA",""),"")&amp;IF(AND(TRIM(U8)="Pass after CA",ISNUMBER(AF8)),IF(AF8&lt;&gt;0,"INVALID – after the corrective action the actual qty must equal expected (update Actual)",""),"")&amp;IF(AND(TRIM(U8)="Pass",TRIM(AB8)&lt;&gt;"",TRIM(AB8)&lt;&gt;"Closed"),"INVALID – corrective action not closed: use Fail, then Pass after CA","")&amp;IF(AND(TRIM(AA8)&lt;&gt;"",TRIM(AB8)=""),"INVALID – CA status missing for the recorded corrective action","")&amp;IF(AND(TRIM(U8)="Pass after CA",OR(OR(LEN(BA8)&lt;5,ISNUMBER(MATCH(BA8,L_Placeholder,0))),TRIM(AB8)&lt;&gt;"Closed")),"INVALID – corrective action not recorded/closed","")</f>
        <v/>
      </c>
    </row>
    <row r="9" customFormat="false" ht="39.75" hidden="false" customHeight="true" outlineLevel="0" collapsed="false">
      <c r="A9" s="57" t="s">
        <v>375</v>
      </c>
      <c r="B9" s="57" t="s">
        <v>180</v>
      </c>
      <c r="C9" s="57" t="str">
        <f aca="false">Flights!$F$5</f>
        <v>MH0001</v>
      </c>
      <c r="D9" s="58" t="n">
        <f aca="false">Flights!$D$5</f>
        <v>46303</v>
      </c>
      <c r="E9" s="57" t="str">
        <f aca="false">Flights!$G$5&amp;"-"&amp;Flights!$H$5</f>
        <v>LHR-KUL</v>
      </c>
      <c r="F9" s="57" t="str">
        <f aca="false">Flights!$K$5</f>
        <v>EY</v>
      </c>
      <c r="G9" s="57" t="s">
        <v>79</v>
      </c>
      <c r="H9" s="57" t="s">
        <v>356</v>
      </c>
      <c r="I9" s="57" t="s">
        <v>376</v>
      </c>
      <c r="J9" s="57" t="s">
        <v>377</v>
      </c>
      <c r="K9" s="67" t="s">
        <v>378</v>
      </c>
      <c r="L9" s="67" t="s">
        <v>360</v>
      </c>
      <c r="M9" s="67"/>
      <c r="N9" s="67" t="s">
        <v>361</v>
      </c>
      <c r="O9" s="67"/>
      <c r="P9" s="57" t="s">
        <v>183</v>
      </c>
      <c r="Q9" s="59" t="n">
        <f aca="false">ROUND((Flights!$AC$5)*1440,0)/1440</f>
        <v>46296.8576388889</v>
      </c>
      <c r="R9" s="59" t="n">
        <f aca="false">Q9+(IF(AND(INDEX(TZ_DSTS,MATCH(P9,TZ_STN,0))&lt;&gt;"",Q9&gt;=INDEX(TZ_DSTS,MATCH(P9,TZ_STN,0)),Q9&lt;INDEX(TZ_DSTE,MATCH(P9,TZ_STN,0))),INDEX(TZ_DST,MATCH(P9,TZ_STN,0)),INDEX(TZ_STD,MATCH(P9,TZ_STN,0))))/24</f>
        <v>46296.8993055556</v>
      </c>
      <c r="S9" s="59" t="n">
        <f aca="false">Q9-T7EarlyD*24/24</f>
        <v>46282.8576388889</v>
      </c>
      <c r="T9" s="60"/>
      <c r="U9" s="60"/>
      <c r="V9" s="60"/>
      <c r="W9" s="61"/>
      <c r="X9" s="60"/>
      <c r="Y9" s="60"/>
      <c r="Z9" s="60"/>
      <c r="AA9" s="60"/>
      <c r="AB9" s="60"/>
      <c r="AC9" s="60"/>
      <c r="AD9" s="66"/>
      <c r="AE9" s="60"/>
      <c r="AF9" s="61" t="str">
        <f aca="false">IF(AND(ISNUMBER(X9),ISNUMBER(Y9)),Y9-X9,"")</f>
        <v/>
      </c>
      <c r="AG9" s="62" t="str">
        <f aca="false">IF(ISNUMBER(AD9),AD9-(IF(AND(INDEX(TZ_DSTS,MATCH(P9,TZ_STN,0))&lt;&gt;"",(AD9-INDEX(TZ_STD,MATCH(P9,TZ_STN,0))/24)&gt;=INDEX(TZ_DSTS,MATCH(P9,TZ_STN,0)),(AD9-INDEX(TZ_STD,MATCH(P9,TZ_STN,0))/24)&lt;INDEX(TZ_DSTE,MATCH(P9,TZ_STN,0))),INDEX(TZ_DST,MATCH(P9,TZ_STN,0)),INDEX(TZ_STD,MATCH(P9,TZ_STN,0))))/24,"")</f>
        <v/>
      </c>
      <c r="AH9" s="65" t="str">
        <f aca="false">IFERROR(IF(N9="N/A – rule","N/A – RULE",IF(TRIM(U9)="N/A",IF(AT9=0,"INVALID – N/A not permitted for this check",IF(AND(TRIM(AB9)&lt;&gt;"",TRIM(AB9)&lt;&gt;"Closed"),"INVALID – corrective action still open",IF(AND(NOT(OR(LEN(AZ9)&lt;15,ISNUMBER(MATCH(AZ9,L_Placeholder,0)))),NOT(OR(LEN(AU9)&lt;2,ISNUMBER(MATCH(AU9,L_Placeholder,0)))),NOT(OR(LEN(AX9)&lt;2,ISNUMBER(MATCH(AX9,L_Placeholder,0)))),TRIM(AE9)&lt;&gt;TRIM(T9)),"N/A – JUSTIFIED","INVALID – N/A needs a real justification (15+ chars), PIC and a different verifier"))),IF(OR(TRIM(U9)="Pass",TRIM(U9)="Pass after CA"),IF(NOT(ISNUMBER(AD9)),"INVALID – completion time missing",IF(OR(LEN(AU9)&lt;2,ISNUMBER(MATCH(AU9,L_Placeholder,0))),"INVALID – PIC missing",IF(OR(LEN(AV9)&lt;2,ISNUMBER(MATCH(AV9,L_Placeholder,0))),"INVALID – result / assessment missing",IF(OR(OR(LEN(AW9)&lt;3,ISNUMBER(MATCH(AW9,L_Placeholder,0))),SUMPRODUCT(--ISNUMBER(SEARCH(L_EvidencePhrase,AW9)))&gt;0),"INVALID – evidence missing, placeholder or not yet on file",IF(OR(LEN(AX9)&lt;2,ISNUMBER(MATCH(AX9,L_Placeholder,0))),"INVALID – verifier missing",IF(AX9=AU9,"INVALID – verifier must be someone other than the PIC",IF(AND(TRIM(U9)="Pass",SUMPRODUCT(--ISNUMBER(SEARCH(L_ResultBad,AV9)))&gt;0),"INVALID – result describes a problem: use Fail, then Pass after CA",IF(AND(AQ9=1,OR(LEN(AY9)&lt;3,ISNUMBER(MATCH(AY9,L_Placeholder,0)))),"INVALID – batch ID missing or placeholder",IF(AND(AR9=1,OR(NOT(ISNUMBER(X9)),NOT(ISNUMBER(Y9)))),"INVALID – expected/actual qty missing",IF(AND(AR9=1,OR(X9&lt;=0,Y9&lt;0)),"INVALID – expected qty must be above 0 and actual not negative",IF(BB9&lt;&gt;"",BB9,IF(AND(AS9=1,Documents!$J$5&lt;&gt;"ON FILE"),"INVALID – GLD not on file (Documents sheet)",IF(AND(AS9=2,Documents!$O$5&lt;&gt;"ON FILE"),"INVALID – menu checklist not on file (Documents sheet)",IF(AND(AS9=3,NOT(ISNUMBER(Flights!$AX$5))),"INVALID – enter carrying flight KUL departure (Flights AX)",IF(AND(AS9=3,OR(Flights!$AZ$5&gt;Flights!$AA$5,Flights!$AX$5&lt;Flights!$AA$5-3)),"INVALID – carrying flight (Flights AX) cannot arrive before this leg's STD, or is over 3 days early",IF(AG9&gt;AsOfUTC,"INVALID – completion time is in the future",IF(AND(ISNUMBER(S9),AG9&lt;S9),IF(H9="Physical uplift","INVALID – before uplift window (cannot confirm loading)","INVALID – before valid window"),IF(AG9&gt;Flights!$AA$5,"INVALID – completed after departure (cannot establish readiness)",IF(AND(H9="Preparation",AG9&gt;IF(ISNUMBER(Flights!$BA$5),MIN(Flights!$BA$5,Flights!$AA$5),Flights!$AA$5)),"INVALID – completed after loading / departure (cannot establish readiness)",IF(AND(H9="Physical uplift",AG9&gt;Q9),"INVALID – recorded after the loading flight departed",IF(AG9&gt;Q9,"COMPLETE – LATE","COMPLETE"))))))))))))))))))))),IF(TRIM(U9)="Fail","FAIL – DISCREPANCY",IF(AND(TRIM(U9)&lt;&gt;"",TRIM(U9)&lt;&gt;"Not started",TRIM(U9)&lt;&gt;"In progress"),"INVALID – unrecognised status (use the list)",IF(AsOfUTC&gt;Q9,"OVERDUE",IF(N9="Clarification required","OPEN – CLARIFICATION","OPEN"))))))),"INVALID – error value in an input cell")</f>
        <v>OPEN</v>
      </c>
      <c r="AI9" s="61" t="n">
        <f aca="false">IF(OR(AH9="N/A – RULE",AH9="N/A – JUSTIFIED"),0,1)</f>
        <v>1</v>
      </c>
      <c r="AJ9" s="61" t="n">
        <f aca="false">IF(LEFT(AH9,8)="COMPLETE",1,0)</f>
        <v>0</v>
      </c>
      <c r="AK9" s="61" t="n">
        <f aca="false">IF(AND(AI9=1,AJ9=0,AsOfUTC&gt;Q9),1,0)</f>
        <v>0</v>
      </c>
      <c r="AL9" s="61" t="n">
        <f aca="false">IFERROR(IF(AND(AI9=1,OR(TRIM(U9)="Fail",AND(TRIM(AB9)&lt;&gt;"",TRIM(AB9)&lt;&gt;"Closed"),AND(ISNUMBER(AF9),AF9&lt;&gt;0,TRIM(U9)&lt;&gt;"Pass after CA"))),1,0),1)</f>
        <v>0</v>
      </c>
      <c r="AM9" s="61" t="n">
        <f aca="false">IF(LEFT(AH9,7)="INVALID",1,0)</f>
        <v>0</v>
      </c>
      <c r="AN9" s="61" t="n">
        <f aca="false">IF(AND(N9="Clarification required",AI9=1,AJ9=0),1,0)</f>
        <v>0</v>
      </c>
      <c r="AO9" s="61" t="str">
        <f aca="false">IF(AK9=1,SUM(AK$5:AK9),"")</f>
        <v/>
      </c>
      <c r="AP9" s="61" t="str">
        <f aca="false">IF(AL9=1,SUM(AL$5:AL9),"")</f>
        <v/>
      </c>
      <c r="AQ9" s="61" t="n">
        <v>0</v>
      </c>
      <c r="AR9" s="61" t="n">
        <v>0</v>
      </c>
      <c r="AS9" s="61" t="n">
        <v>0</v>
      </c>
      <c r="AT9" s="61" t="n">
        <v>0</v>
      </c>
      <c r="AU9" s="61" t="str">
        <f aca="false">SUBSTITUTE(SUBSTITUTE(SUBSTITUTE(SUBSTITUTE(SUBSTITUTE(SUBSTITUTE(SUBSTITUTE(SUBSTITUTE(SUBSTITUTE(SUBSTITUTE(SUBSTITUTE(SUBSTITUTE(SUBSTITUTE(LOWER(T9&amp;""),CHAR(160),"")," ",""),".",""),"-",""),"/",""),"?",""),"_",""),",",""),"[",""),"]",""),"(",""),")",""),"*","")</f>
        <v/>
      </c>
      <c r="AV9" s="61" t="str">
        <f aca="false">SUBSTITUTE(SUBSTITUTE(SUBSTITUTE(SUBSTITUTE(SUBSTITUTE(SUBSTITUTE(SUBSTITUTE(SUBSTITUTE(SUBSTITUTE(SUBSTITUTE(SUBSTITUTE(SUBSTITUTE(SUBSTITUTE(LOWER(V9&amp;""),CHAR(160),"")," ",""),".",""),"-",""),"/",""),"?",""),"_",""),",",""),"[",""),"]",""),"(",""),")",""),"*","")</f>
        <v/>
      </c>
      <c r="AW9" s="61" t="str">
        <f aca="false">SUBSTITUTE(SUBSTITUTE(SUBSTITUTE(SUBSTITUTE(SUBSTITUTE(SUBSTITUTE(SUBSTITUTE(SUBSTITUTE(SUBSTITUTE(SUBSTITUTE(SUBSTITUTE(SUBSTITUTE(SUBSTITUTE(LOWER(Z9&amp;""),CHAR(160),"")," ",""),".",""),"-",""),"/",""),"?",""),"_",""),",",""),"[",""),"]",""),"(",""),")",""),"*","")</f>
        <v/>
      </c>
      <c r="AX9" s="61" t="str">
        <f aca="false">SUBSTITUTE(SUBSTITUTE(SUBSTITUTE(SUBSTITUTE(SUBSTITUTE(SUBSTITUTE(SUBSTITUTE(SUBSTITUTE(SUBSTITUTE(SUBSTITUTE(SUBSTITUTE(SUBSTITUTE(SUBSTITUTE(LOWER(AE9&amp;""),CHAR(160),"")," ",""),".",""),"-",""),"/",""),"?",""),"_",""),",",""),"[",""),"]",""),"(",""),")",""),"*","")</f>
        <v/>
      </c>
      <c r="AY9" s="61" t="str">
        <f aca="false">SUBSTITUTE(SUBSTITUTE(SUBSTITUTE(SUBSTITUTE(SUBSTITUTE(SUBSTITUTE(SUBSTITUTE(SUBSTITUTE(SUBSTITUTE(SUBSTITUTE(SUBSTITUTE(SUBSTITUTE(SUBSTITUTE(LOWER(W9&amp;""),CHAR(160),"")," ",""),".",""),"-",""),"/",""),"?",""),"_",""),",",""),"[",""),"]",""),"(",""),")",""),"*","")</f>
        <v/>
      </c>
      <c r="AZ9" s="61" t="str">
        <f aca="false">SUBSTITUTE(SUBSTITUTE(SUBSTITUTE(SUBSTITUTE(SUBSTITUTE(SUBSTITUTE(SUBSTITUTE(SUBSTITUTE(SUBSTITUTE(SUBSTITUTE(SUBSTITUTE(SUBSTITUTE(SUBSTITUTE(LOWER(AC9&amp;""),CHAR(160),"")," ",""),".",""),"-",""),"/",""),"?",""),"_",""),",",""),"[",""),"]",""),"(",""),")",""),"*","")</f>
        <v/>
      </c>
      <c r="BA9" s="61" t="str">
        <f aca="false">SUBSTITUTE(SUBSTITUTE(SUBSTITUTE(SUBSTITUTE(SUBSTITUTE(SUBSTITUTE(SUBSTITUTE(SUBSTITUTE(SUBSTITUTE(SUBSTITUTE(SUBSTITUTE(SUBSTITUTE(SUBSTITUTE(LOWER(AA9&amp;""),CHAR(160),"")," ",""),".",""),"-",""),"/",""),"?",""),"_",""),",",""),"[",""),"]",""),"(",""),")",""),"*","")</f>
        <v/>
      </c>
      <c r="BB9" s="61" t="str">
        <f aca="false">IF(AND(TRIM(U9)="Pass",ISNUMBER(AF9)),IF(AF9&lt;&gt;0,"INVALID – qty variance: use Fail or Pass after CA",""),"")&amp;IF(AND(TRIM(U9)="Pass after CA",ISNUMBER(AF9)),IF(AF9&lt;&gt;0,"INVALID – after the corrective action the actual qty must equal expected (update Actual)",""),"")&amp;IF(AND(TRIM(U9)="Pass",TRIM(AB9)&lt;&gt;"",TRIM(AB9)&lt;&gt;"Closed"),"INVALID – corrective action not closed: use Fail, then Pass after CA","")&amp;IF(AND(TRIM(AA9)&lt;&gt;"",TRIM(AB9)=""),"INVALID – CA status missing for the recorded corrective action","")&amp;IF(AND(TRIM(U9)="Pass after CA",OR(OR(LEN(BA9)&lt;5,ISNUMBER(MATCH(BA9,L_Placeholder,0))),TRIM(AB9)&lt;&gt;"Closed")),"INVALID – corrective action not recorded/closed","")</f>
        <v/>
      </c>
    </row>
    <row r="10" customFormat="false" ht="39.75" hidden="false" customHeight="true" outlineLevel="0" collapsed="false">
      <c r="A10" s="57" t="s">
        <v>379</v>
      </c>
      <c r="B10" s="57" t="s">
        <v>180</v>
      </c>
      <c r="C10" s="57" t="str">
        <f aca="false">Flights!$F$5</f>
        <v>MH0001</v>
      </c>
      <c r="D10" s="58" t="n">
        <f aca="false">Flights!$D$5</f>
        <v>46303</v>
      </c>
      <c r="E10" s="57" t="str">
        <f aca="false">Flights!$G$5&amp;"-"&amp;Flights!$H$5</f>
        <v>LHR-KUL</v>
      </c>
      <c r="F10" s="57" t="str">
        <f aca="false">Flights!$K$5</f>
        <v>EY</v>
      </c>
      <c r="G10" s="57" t="s">
        <v>79</v>
      </c>
      <c r="H10" s="57" t="s">
        <v>356</v>
      </c>
      <c r="I10" s="57" t="s">
        <v>376</v>
      </c>
      <c r="J10" s="57" t="s">
        <v>380</v>
      </c>
      <c r="K10" s="67" t="s">
        <v>381</v>
      </c>
      <c r="L10" s="67" t="s">
        <v>360</v>
      </c>
      <c r="M10" s="67"/>
      <c r="N10" s="67" t="s">
        <v>361</v>
      </c>
      <c r="O10" s="67"/>
      <c r="P10" s="57" t="s">
        <v>183</v>
      </c>
      <c r="Q10" s="59" t="n">
        <f aca="false">ROUND((Flights!$AC$5)*1440,0)/1440</f>
        <v>46296.8576388889</v>
      </c>
      <c r="R10" s="59" t="n">
        <f aca="false">Q10+(IF(AND(INDEX(TZ_DSTS,MATCH(P10,TZ_STN,0))&lt;&gt;"",Q10&gt;=INDEX(TZ_DSTS,MATCH(P10,TZ_STN,0)),Q10&lt;INDEX(TZ_DSTE,MATCH(P10,TZ_STN,0))),INDEX(TZ_DST,MATCH(P10,TZ_STN,0)),INDEX(TZ_STD,MATCH(P10,TZ_STN,0))))/24</f>
        <v>46296.8993055556</v>
      </c>
      <c r="S10" s="59" t="n">
        <f aca="false">Q10-T7EarlyD*24/24</f>
        <v>46282.8576388889</v>
      </c>
      <c r="T10" s="60"/>
      <c r="U10" s="60"/>
      <c r="V10" s="60"/>
      <c r="W10" s="61"/>
      <c r="X10" s="60"/>
      <c r="Y10" s="60"/>
      <c r="Z10" s="60"/>
      <c r="AA10" s="60"/>
      <c r="AB10" s="60"/>
      <c r="AC10" s="60"/>
      <c r="AD10" s="66"/>
      <c r="AE10" s="60"/>
      <c r="AF10" s="61" t="str">
        <f aca="false">IF(AND(ISNUMBER(X10),ISNUMBER(Y10)),Y10-X10,"")</f>
        <v/>
      </c>
      <c r="AG10" s="62" t="str">
        <f aca="false">IF(ISNUMBER(AD10),AD10-(IF(AND(INDEX(TZ_DSTS,MATCH(P10,TZ_STN,0))&lt;&gt;"",(AD10-INDEX(TZ_STD,MATCH(P10,TZ_STN,0))/24)&gt;=INDEX(TZ_DSTS,MATCH(P10,TZ_STN,0)),(AD10-INDEX(TZ_STD,MATCH(P10,TZ_STN,0))/24)&lt;INDEX(TZ_DSTE,MATCH(P10,TZ_STN,0))),INDEX(TZ_DST,MATCH(P10,TZ_STN,0)),INDEX(TZ_STD,MATCH(P10,TZ_STN,0))))/24,"")</f>
        <v/>
      </c>
      <c r="AH10" s="65" t="str">
        <f aca="false">IFERROR(IF(N10="N/A – rule","N/A – RULE",IF(TRIM(U10)="N/A",IF(AT10=0,"INVALID – N/A not permitted for this check",IF(AND(TRIM(AB10)&lt;&gt;"",TRIM(AB10)&lt;&gt;"Closed"),"INVALID – corrective action still open",IF(AND(NOT(OR(LEN(AZ10)&lt;15,ISNUMBER(MATCH(AZ10,L_Placeholder,0)))),NOT(OR(LEN(AU10)&lt;2,ISNUMBER(MATCH(AU10,L_Placeholder,0)))),NOT(OR(LEN(AX10)&lt;2,ISNUMBER(MATCH(AX10,L_Placeholder,0)))),TRIM(AE10)&lt;&gt;TRIM(T10)),"N/A – JUSTIFIED","INVALID – N/A needs a real justification (15+ chars), PIC and a different verifier"))),IF(OR(TRIM(U10)="Pass",TRIM(U10)="Pass after CA"),IF(NOT(ISNUMBER(AD10)),"INVALID – completion time missing",IF(OR(LEN(AU10)&lt;2,ISNUMBER(MATCH(AU10,L_Placeholder,0))),"INVALID – PIC missing",IF(OR(LEN(AV10)&lt;2,ISNUMBER(MATCH(AV10,L_Placeholder,0))),"INVALID – result / assessment missing",IF(OR(OR(LEN(AW10)&lt;3,ISNUMBER(MATCH(AW10,L_Placeholder,0))),SUMPRODUCT(--ISNUMBER(SEARCH(L_EvidencePhrase,AW10)))&gt;0),"INVALID – evidence missing, placeholder or not yet on file",IF(OR(LEN(AX10)&lt;2,ISNUMBER(MATCH(AX10,L_Placeholder,0))),"INVALID – verifier missing",IF(AX10=AU10,"INVALID – verifier must be someone other than the PIC",IF(AND(TRIM(U10)="Pass",SUMPRODUCT(--ISNUMBER(SEARCH(L_ResultBad,AV10)))&gt;0),"INVALID – result describes a problem: use Fail, then Pass after CA",IF(AND(AQ10=1,OR(LEN(AY10)&lt;3,ISNUMBER(MATCH(AY10,L_Placeholder,0)))),"INVALID – batch ID missing or placeholder",IF(AND(AR10=1,OR(NOT(ISNUMBER(X10)),NOT(ISNUMBER(Y10)))),"INVALID – expected/actual qty missing",IF(AND(AR10=1,OR(X10&lt;=0,Y10&lt;0)),"INVALID – expected qty must be above 0 and actual not negative",IF(BB10&lt;&gt;"",BB10,IF(AND(AS10=1,Documents!$J$5&lt;&gt;"ON FILE"),"INVALID – GLD not on file (Documents sheet)",IF(AND(AS10=2,Documents!$O$5&lt;&gt;"ON FILE"),"INVALID – menu checklist not on file (Documents sheet)",IF(AND(AS10=3,NOT(ISNUMBER(Flights!$AX$5))),"INVALID – enter carrying flight KUL departure (Flights AX)",IF(AND(AS10=3,OR(Flights!$AZ$5&gt;Flights!$AA$5,Flights!$AX$5&lt;Flights!$AA$5-3)),"INVALID – carrying flight (Flights AX) cannot arrive before this leg's STD, or is over 3 days early",IF(AG10&gt;AsOfUTC,"INVALID – completion time is in the future",IF(AND(ISNUMBER(S10),AG10&lt;S10),IF(H10="Physical uplift","INVALID – before uplift window (cannot confirm loading)","INVALID – before valid window"),IF(AG10&gt;Flights!$AA$5,"INVALID – completed after departure (cannot establish readiness)",IF(AND(H10="Preparation",AG10&gt;IF(ISNUMBER(Flights!$BA$5),MIN(Flights!$BA$5,Flights!$AA$5),Flights!$AA$5)),"INVALID – completed after loading / departure (cannot establish readiness)",IF(AND(H10="Physical uplift",AG10&gt;Q10),"INVALID – recorded after the loading flight departed",IF(AG10&gt;Q10,"COMPLETE – LATE","COMPLETE"))))))))))))))))))))),IF(TRIM(U10)="Fail","FAIL – DISCREPANCY",IF(AND(TRIM(U10)&lt;&gt;"",TRIM(U10)&lt;&gt;"Not started",TRIM(U10)&lt;&gt;"In progress"),"INVALID – unrecognised status (use the list)",IF(AsOfUTC&gt;Q10,"OVERDUE",IF(N10="Clarification required","OPEN – CLARIFICATION","OPEN"))))))),"INVALID – error value in an input cell")</f>
        <v>OPEN</v>
      </c>
      <c r="AI10" s="61" t="n">
        <f aca="false">IF(OR(AH10="N/A – RULE",AH10="N/A – JUSTIFIED"),0,1)</f>
        <v>1</v>
      </c>
      <c r="AJ10" s="61" t="n">
        <f aca="false">IF(LEFT(AH10,8)="COMPLETE",1,0)</f>
        <v>0</v>
      </c>
      <c r="AK10" s="61" t="n">
        <f aca="false">IF(AND(AI10=1,AJ10=0,AsOfUTC&gt;Q10),1,0)</f>
        <v>0</v>
      </c>
      <c r="AL10" s="61" t="n">
        <f aca="false">IFERROR(IF(AND(AI10=1,OR(TRIM(U10)="Fail",AND(TRIM(AB10)&lt;&gt;"",TRIM(AB10)&lt;&gt;"Closed"),AND(ISNUMBER(AF10),AF10&lt;&gt;0,TRIM(U10)&lt;&gt;"Pass after CA"))),1,0),1)</f>
        <v>0</v>
      </c>
      <c r="AM10" s="61" t="n">
        <f aca="false">IF(LEFT(AH10,7)="INVALID",1,0)</f>
        <v>0</v>
      </c>
      <c r="AN10" s="61" t="n">
        <f aca="false">IF(AND(N10="Clarification required",AI10=1,AJ10=0),1,0)</f>
        <v>0</v>
      </c>
      <c r="AO10" s="61" t="str">
        <f aca="false">IF(AK10=1,SUM(AK$5:AK10),"")</f>
        <v/>
      </c>
      <c r="AP10" s="61" t="str">
        <f aca="false">IF(AL10=1,SUM(AL$5:AL10),"")</f>
        <v/>
      </c>
      <c r="AQ10" s="61" t="n">
        <v>0</v>
      </c>
      <c r="AR10" s="61" t="n">
        <v>0</v>
      </c>
      <c r="AS10" s="61" t="n">
        <v>0</v>
      </c>
      <c r="AT10" s="61" t="n">
        <v>0</v>
      </c>
      <c r="AU10" s="61" t="str">
        <f aca="false">SUBSTITUTE(SUBSTITUTE(SUBSTITUTE(SUBSTITUTE(SUBSTITUTE(SUBSTITUTE(SUBSTITUTE(SUBSTITUTE(SUBSTITUTE(SUBSTITUTE(SUBSTITUTE(SUBSTITUTE(SUBSTITUTE(LOWER(T10&amp;""),CHAR(160),"")," ",""),".",""),"-",""),"/",""),"?",""),"_",""),",",""),"[",""),"]",""),"(",""),")",""),"*","")</f>
        <v/>
      </c>
      <c r="AV10" s="61" t="str">
        <f aca="false">SUBSTITUTE(SUBSTITUTE(SUBSTITUTE(SUBSTITUTE(SUBSTITUTE(SUBSTITUTE(SUBSTITUTE(SUBSTITUTE(SUBSTITUTE(SUBSTITUTE(SUBSTITUTE(SUBSTITUTE(SUBSTITUTE(LOWER(V10&amp;""),CHAR(160),"")," ",""),".",""),"-",""),"/",""),"?",""),"_",""),",",""),"[",""),"]",""),"(",""),")",""),"*","")</f>
        <v/>
      </c>
      <c r="AW10" s="61" t="str">
        <f aca="false">SUBSTITUTE(SUBSTITUTE(SUBSTITUTE(SUBSTITUTE(SUBSTITUTE(SUBSTITUTE(SUBSTITUTE(SUBSTITUTE(SUBSTITUTE(SUBSTITUTE(SUBSTITUTE(SUBSTITUTE(SUBSTITUTE(LOWER(Z10&amp;""),CHAR(160),"")," ",""),".",""),"-",""),"/",""),"?",""),"_",""),",",""),"[",""),"]",""),"(",""),")",""),"*","")</f>
        <v/>
      </c>
      <c r="AX10" s="61" t="str">
        <f aca="false">SUBSTITUTE(SUBSTITUTE(SUBSTITUTE(SUBSTITUTE(SUBSTITUTE(SUBSTITUTE(SUBSTITUTE(SUBSTITUTE(SUBSTITUTE(SUBSTITUTE(SUBSTITUTE(SUBSTITUTE(SUBSTITUTE(LOWER(AE10&amp;""),CHAR(160),"")," ",""),".",""),"-",""),"/",""),"?",""),"_",""),",",""),"[",""),"]",""),"(",""),")",""),"*","")</f>
        <v/>
      </c>
      <c r="AY10" s="61" t="str">
        <f aca="false">SUBSTITUTE(SUBSTITUTE(SUBSTITUTE(SUBSTITUTE(SUBSTITUTE(SUBSTITUTE(SUBSTITUTE(SUBSTITUTE(SUBSTITUTE(SUBSTITUTE(SUBSTITUTE(SUBSTITUTE(SUBSTITUTE(LOWER(W10&amp;""),CHAR(160),"")," ",""),".",""),"-",""),"/",""),"?",""),"_",""),",",""),"[",""),"]",""),"(",""),")",""),"*","")</f>
        <v/>
      </c>
      <c r="AZ10" s="61" t="str">
        <f aca="false">SUBSTITUTE(SUBSTITUTE(SUBSTITUTE(SUBSTITUTE(SUBSTITUTE(SUBSTITUTE(SUBSTITUTE(SUBSTITUTE(SUBSTITUTE(SUBSTITUTE(SUBSTITUTE(SUBSTITUTE(SUBSTITUTE(LOWER(AC10&amp;""),CHAR(160),"")," ",""),".",""),"-",""),"/",""),"?",""),"_",""),",",""),"[",""),"]",""),"(",""),")",""),"*","")</f>
        <v/>
      </c>
      <c r="BA10" s="61" t="str">
        <f aca="false">SUBSTITUTE(SUBSTITUTE(SUBSTITUTE(SUBSTITUTE(SUBSTITUTE(SUBSTITUTE(SUBSTITUTE(SUBSTITUTE(SUBSTITUTE(SUBSTITUTE(SUBSTITUTE(SUBSTITUTE(SUBSTITUTE(LOWER(AA10&amp;""),CHAR(160),"")," ",""),".",""),"-",""),"/",""),"?",""),"_",""),",",""),"[",""),"]",""),"(",""),")",""),"*","")</f>
        <v/>
      </c>
      <c r="BB10" s="61" t="str">
        <f aca="false">IF(AND(TRIM(U10)="Pass",ISNUMBER(AF10)),IF(AF10&lt;&gt;0,"INVALID – qty variance: use Fail or Pass after CA",""),"")&amp;IF(AND(TRIM(U10)="Pass after CA",ISNUMBER(AF10)),IF(AF10&lt;&gt;0,"INVALID – after the corrective action the actual qty must equal expected (update Actual)",""),"")&amp;IF(AND(TRIM(U10)="Pass",TRIM(AB10)&lt;&gt;"",TRIM(AB10)&lt;&gt;"Closed"),"INVALID – corrective action not closed: use Fail, then Pass after CA","")&amp;IF(AND(TRIM(AA10)&lt;&gt;"",TRIM(AB10)=""),"INVALID – CA status missing for the recorded corrective action","")&amp;IF(AND(TRIM(U10)="Pass after CA",OR(OR(LEN(BA10)&lt;5,ISNUMBER(MATCH(BA10,L_Placeholder,0))),TRIM(AB10)&lt;&gt;"Closed")),"INVALID – corrective action not recorded/closed","")</f>
        <v/>
      </c>
    </row>
    <row r="11" customFormat="false" ht="39.75" hidden="false" customHeight="true" outlineLevel="0" collapsed="false">
      <c r="A11" s="57" t="s">
        <v>382</v>
      </c>
      <c r="B11" s="57" t="s">
        <v>180</v>
      </c>
      <c r="C11" s="57" t="str">
        <f aca="false">Flights!$F$5</f>
        <v>MH0001</v>
      </c>
      <c r="D11" s="58" t="n">
        <f aca="false">Flights!$D$5</f>
        <v>46303</v>
      </c>
      <c r="E11" s="57" t="str">
        <f aca="false">Flights!$G$5&amp;"-"&amp;Flights!$H$5</f>
        <v>LHR-KUL</v>
      </c>
      <c r="F11" s="57" t="str">
        <f aca="false">Flights!$K$5</f>
        <v>EY</v>
      </c>
      <c r="G11" s="57" t="s">
        <v>79</v>
      </c>
      <c r="H11" s="57" t="s">
        <v>356</v>
      </c>
      <c r="I11" s="57" t="s">
        <v>383</v>
      </c>
      <c r="J11" s="57" t="s">
        <v>384</v>
      </c>
      <c r="K11" s="67" t="s">
        <v>385</v>
      </c>
      <c r="L11" s="67" t="s">
        <v>360</v>
      </c>
      <c r="M11" s="67"/>
      <c r="N11" s="67" t="s">
        <v>361</v>
      </c>
      <c r="O11" s="67"/>
      <c r="P11" s="57" t="s">
        <v>183</v>
      </c>
      <c r="Q11" s="59" t="n">
        <f aca="false">ROUND((Flights!$AC$5)*1440,0)/1440</f>
        <v>46296.8576388889</v>
      </c>
      <c r="R11" s="59" t="n">
        <f aca="false">Q11+(IF(AND(INDEX(TZ_DSTS,MATCH(P11,TZ_STN,0))&lt;&gt;"",Q11&gt;=INDEX(TZ_DSTS,MATCH(P11,TZ_STN,0)),Q11&lt;INDEX(TZ_DSTE,MATCH(P11,TZ_STN,0))),INDEX(TZ_DST,MATCH(P11,TZ_STN,0)),INDEX(TZ_STD,MATCH(P11,TZ_STN,0))))/24</f>
        <v>46296.8993055556</v>
      </c>
      <c r="S11" s="59" t="n">
        <f aca="false">Q11-T7EarlyD*24/24</f>
        <v>46282.8576388889</v>
      </c>
      <c r="T11" s="60"/>
      <c r="U11" s="60"/>
      <c r="V11" s="60"/>
      <c r="W11" s="61"/>
      <c r="X11" s="60"/>
      <c r="Y11" s="60"/>
      <c r="Z11" s="60"/>
      <c r="AA11" s="60"/>
      <c r="AB11" s="60"/>
      <c r="AC11" s="60"/>
      <c r="AD11" s="66"/>
      <c r="AE11" s="60"/>
      <c r="AF11" s="61" t="str">
        <f aca="false">IF(AND(ISNUMBER(X11),ISNUMBER(Y11)),Y11-X11,"")</f>
        <v/>
      </c>
      <c r="AG11" s="62" t="str">
        <f aca="false">IF(ISNUMBER(AD11),AD11-(IF(AND(INDEX(TZ_DSTS,MATCH(P11,TZ_STN,0))&lt;&gt;"",(AD11-INDEX(TZ_STD,MATCH(P11,TZ_STN,0))/24)&gt;=INDEX(TZ_DSTS,MATCH(P11,TZ_STN,0)),(AD11-INDEX(TZ_STD,MATCH(P11,TZ_STN,0))/24)&lt;INDEX(TZ_DSTE,MATCH(P11,TZ_STN,0))),INDEX(TZ_DST,MATCH(P11,TZ_STN,0)),INDEX(TZ_STD,MATCH(P11,TZ_STN,0))))/24,"")</f>
        <v/>
      </c>
      <c r="AH11" s="65" t="str">
        <f aca="false">IFERROR(IF(N11="N/A – rule","N/A – RULE",IF(TRIM(U11)="N/A",IF(AT11=0,"INVALID – N/A not permitted for this check",IF(AND(TRIM(AB11)&lt;&gt;"",TRIM(AB11)&lt;&gt;"Closed"),"INVALID – corrective action still open",IF(AND(NOT(OR(LEN(AZ11)&lt;15,ISNUMBER(MATCH(AZ11,L_Placeholder,0)))),NOT(OR(LEN(AU11)&lt;2,ISNUMBER(MATCH(AU11,L_Placeholder,0)))),NOT(OR(LEN(AX11)&lt;2,ISNUMBER(MATCH(AX11,L_Placeholder,0)))),TRIM(AE11)&lt;&gt;TRIM(T11)),"N/A – JUSTIFIED","INVALID – N/A needs a real justification (15+ chars), PIC and a different verifier"))),IF(OR(TRIM(U11)="Pass",TRIM(U11)="Pass after CA"),IF(NOT(ISNUMBER(AD11)),"INVALID – completion time missing",IF(OR(LEN(AU11)&lt;2,ISNUMBER(MATCH(AU11,L_Placeholder,0))),"INVALID – PIC missing",IF(OR(LEN(AV11)&lt;2,ISNUMBER(MATCH(AV11,L_Placeholder,0))),"INVALID – result / assessment missing",IF(OR(OR(LEN(AW11)&lt;3,ISNUMBER(MATCH(AW11,L_Placeholder,0))),SUMPRODUCT(--ISNUMBER(SEARCH(L_EvidencePhrase,AW11)))&gt;0),"INVALID – evidence missing, placeholder or not yet on file",IF(OR(LEN(AX11)&lt;2,ISNUMBER(MATCH(AX11,L_Placeholder,0))),"INVALID – verifier missing",IF(AX11=AU11,"INVALID – verifier must be someone other than the PIC",IF(AND(TRIM(U11)="Pass",SUMPRODUCT(--ISNUMBER(SEARCH(L_ResultBad,AV11)))&gt;0),"INVALID – result describes a problem: use Fail, then Pass after CA",IF(AND(AQ11=1,OR(LEN(AY11)&lt;3,ISNUMBER(MATCH(AY11,L_Placeholder,0)))),"INVALID – batch ID missing or placeholder",IF(AND(AR11=1,OR(NOT(ISNUMBER(X11)),NOT(ISNUMBER(Y11)))),"INVALID – expected/actual qty missing",IF(AND(AR11=1,OR(X11&lt;=0,Y11&lt;0)),"INVALID – expected qty must be above 0 and actual not negative",IF(BB11&lt;&gt;"",BB11,IF(AND(AS11=1,Documents!$J$5&lt;&gt;"ON FILE"),"INVALID – GLD not on file (Documents sheet)",IF(AND(AS11=2,Documents!$O$5&lt;&gt;"ON FILE"),"INVALID – menu checklist not on file (Documents sheet)",IF(AND(AS11=3,NOT(ISNUMBER(Flights!$AX$5))),"INVALID – enter carrying flight KUL departure (Flights AX)",IF(AND(AS11=3,OR(Flights!$AZ$5&gt;Flights!$AA$5,Flights!$AX$5&lt;Flights!$AA$5-3)),"INVALID – carrying flight (Flights AX) cannot arrive before this leg's STD, or is over 3 days early",IF(AG11&gt;AsOfUTC,"INVALID – completion time is in the future",IF(AND(ISNUMBER(S11),AG11&lt;S11),IF(H11="Physical uplift","INVALID – before uplift window (cannot confirm loading)","INVALID – before valid window"),IF(AG11&gt;Flights!$AA$5,"INVALID – completed after departure (cannot establish readiness)",IF(AND(H11="Preparation",AG11&gt;IF(ISNUMBER(Flights!$BA$5),MIN(Flights!$BA$5,Flights!$AA$5),Flights!$AA$5)),"INVALID – completed after loading / departure (cannot establish readiness)",IF(AND(H11="Physical uplift",AG11&gt;Q11),"INVALID – recorded after the loading flight departed",IF(AG11&gt;Q11,"COMPLETE – LATE","COMPLETE"))))))))))))))))))))),IF(TRIM(U11)="Fail","FAIL – DISCREPANCY",IF(AND(TRIM(U11)&lt;&gt;"",TRIM(U11)&lt;&gt;"Not started",TRIM(U11)&lt;&gt;"In progress"),"INVALID – unrecognised status (use the list)",IF(AsOfUTC&gt;Q11,"OVERDUE",IF(N11="Clarification required","OPEN – CLARIFICATION","OPEN"))))))),"INVALID – error value in an input cell")</f>
        <v>OPEN</v>
      </c>
      <c r="AI11" s="61" t="n">
        <f aca="false">IF(OR(AH11="N/A – RULE",AH11="N/A – JUSTIFIED"),0,1)</f>
        <v>1</v>
      </c>
      <c r="AJ11" s="61" t="n">
        <f aca="false">IF(LEFT(AH11,8)="COMPLETE",1,0)</f>
        <v>0</v>
      </c>
      <c r="AK11" s="61" t="n">
        <f aca="false">IF(AND(AI11=1,AJ11=0,AsOfUTC&gt;Q11),1,0)</f>
        <v>0</v>
      </c>
      <c r="AL11" s="61" t="n">
        <f aca="false">IFERROR(IF(AND(AI11=1,OR(TRIM(U11)="Fail",AND(TRIM(AB11)&lt;&gt;"",TRIM(AB11)&lt;&gt;"Closed"),AND(ISNUMBER(AF11),AF11&lt;&gt;0,TRIM(U11)&lt;&gt;"Pass after CA"))),1,0),1)</f>
        <v>0</v>
      </c>
      <c r="AM11" s="61" t="n">
        <f aca="false">IF(LEFT(AH11,7)="INVALID",1,0)</f>
        <v>0</v>
      </c>
      <c r="AN11" s="61" t="n">
        <f aca="false">IF(AND(N11="Clarification required",AI11=1,AJ11=0),1,0)</f>
        <v>0</v>
      </c>
      <c r="AO11" s="61" t="str">
        <f aca="false">IF(AK11=1,SUM(AK$5:AK11),"")</f>
        <v/>
      </c>
      <c r="AP11" s="61" t="str">
        <f aca="false">IF(AL11=1,SUM(AL$5:AL11),"")</f>
        <v/>
      </c>
      <c r="AQ11" s="61" t="n">
        <v>0</v>
      </c>
      <c r="AR11" s="61" t="n">
        <v>0</v>
      </c>
      <c r="AS11" s="61" t="n">
        <v>1</v>
      </c>
      <c r="AT11" s="61" t="n">
        <v>0</v>
      </c>
      <c r="AU11" s="61" t="str">
        <f aca="false">SUBSTITUTE(SUBSTITUTE(SUBSTITUTE(SUBSTITUTE(SUBSTITUTE(SUBSTITUTE(SUBSTITUTE(SUBSTITUTE(SUBSTITUTE(SUBSTITUTE(SUBSTITUTE(SUBSTITUTE(SUBSTITUTE(LOWER(T11&amp;""),CHAR(160),"")," ",""),".",""),"-",""),"/",""),"?",""),"_",""),",",""),"[",""),"]",""),"(",""),")",""),"*","")</f>
        <v/>
      </c>
      <c r="AV11" s="61" t="str">
        <f aca="false">SUBSTITUTE(SUBSTITUTE(SUBSTITUTE(SUBSTITUTE(SUBSTITUTE(SUBSTITUTE(SUBSTITUTE(SUBSTITUTE(SUBSTITUTE(SUBSTITUTE(SUBSTITUTE(SUBSTITUTE(SUBSTITUTE(LOWER(V11&amp;""),CHAR(160),"")," ",""),".",""),"-",""),"/",""),"?",""),"_",""),",",""),"[",""),"]",""),"(",""),")",""),"*","")</f>
        <v/>
      </c>
      <c r="AW11" s="61" t="str">
        <f aca="false">SUBSTITUTE(SUBSTITUTE(SUBSTITUTE(SUBSTITUTE(SUBSTITUTE(SUBSTITUTE(SUBSTITUTE(SUBSTITUTE(SUBSTITUTE(SUBSTITUTE(SUBSTITUTE(SUBSTITUTE(SUBSTITUTE(LOWER(Z11&amp;""),CHAR(160),"")," ",""),".",""),"-",""),"/",""),"?",""),"_",""),",",""),"[",""),"]",""),"(",""),")",""),"*","")</f>
        <v/>
      </c>
      <c r="AX11" s="61" t="str">
        <f aca="false">SUBSTITUTE(SUBSTITUTE(SUBSTITUTE(SUBSTITUTE(SUBSTITUTE(SUBSTITUTE(SUBSTITUTE(SUBSTITUTE(SUBSTITUTE(SUBSTITUTE(SUBSTITUTE(SUBSTITUTE(SUBSTITUTE(LOWER(AE11&amp;""),CHAR(160),"")," ",""),".",""),"-",""),"/",""),"?",""),"_",""),",",""),"[",""),"]",""),"(",""),")",""),"*","")</f>
        <v/>
      </c>
      <c r="AY11" s="61" t="str">
        <f aca="false">SUBSTITUTE(SUBSTITUTE(SUBSTITUTE(SUBSTITUTE(SUBSTITUTE(SUBSTITUTE(SUBSTITUTE(SUBSTITUTE(SUBSTITUTE(SUBSTITUTE(SUBSTITUTE(SUBSTITUTE(SUBSTITUTE(LOWER(W11&amp;""),CHAR(160),"")," ",""),".",""),"-",""),"/",""),"?",""),"_",""),",",""),"[",""),"]",""),"(",""),")",""),"*","")</f>
        <v/>
      </c>
      <c r="AZ11" s="61" t="str">
        <f aca="false">SUBSTITUTE(SUBSTITUTE(SUBSTITUTE(SUBSTITUTE(SUBSTITUTE(SUBSTITUTE(SUBSTITUTE(SUBSTITUTE(SUBSTITUTE(SUBSTITUTE(SUBSTITUTE(SUBSTITUTE(SUBSTITUTE(LOWER(AC11&amp;""),CHAR(160),"")," ",""),".",""),"-",""),"/",""),"?",""),"_",""),",",""),"[",""),"]",""),"(",""),")",""),"*","")</f>
        <v/>
      </c>
      <c r="BA11" s="61" t="str">
        <f aca="false">SUBSTITUTE(SUBSTITUTE(SUBSTITUTE(SUBSTITUTE(SUBSTITUTE(SUBSTITUTE(SUBSTITUTE(SUBSTITUTE(SUBSTITUTE(SUBSTITUTE(SUBSTITUTE(SUBSTITUTE(SUBSTITUTE(LOWER(AA11&amp;""),CHAR(160),"")," ",""),".",""),"-",""),"/",""),"?",""),"_",""),",",""),"[",""),"]",""),"(",""),")",""),"*","")</f>
        <v/>
      </c>
      <c r="BB11" s="61" t="str">
        <f aca="false">IF(AND(TRIM(U11)="Pass",ISNUMBER(AF11)),IF(AF11&lt;&gt;0,"INVALID – qty variance: use Fail or Pass after CA",""),"")&amp;IF(AND(TRIM(U11)="Pass after CA",ISNUMBER(AF11)),IF(AF11&lt;&gt;0,"INVALID – after the corrective action the actual qty must equal expected (update Actual)",""),"")&amp;IF(AND(TRIM(U11)="Pass",TRIM(AB11)&lt;&gt;"",TRIM(AB11)&lt;&gt;"Closed"),"INVALID – corrective action not closed: use Fail, then Pass after CA","")&amp;IF(AND(TRIM(AA11)&lt;&gt;"",TRIM(AB11)=""),"INVALID – CA status missing for the recorded corrective action","")&amp;IF(AND(TRIM(U11)="Pass after CA",OR(OR(LEN(BA11)&lt;5,ISNUMBER(MATCH(BA11,L_Placeholder,0))),TRIM(AB11)&lt;&gt;"Closed")),"INVALID – corrective action not recorded/closed","")</f>
        <v/>
      </c>
    </row>
    <row r="12" customFormat="false" ht="39.75" hidden="false" customHeight="true" outlineLevel="0" collapsed="false">
      <c r="A12" s="57" t="s">
        <v>386</v>
      </c>
      <c r="B12" s="57" t="s">
        <v>180</v>
      </c>
      <c r="C12" s="57" t="str">
        <f aca="false">Flights!$F$5</f>
        <v>MH0001</v>
      </c>
      <c r="D12" s="58" t="n">
        <f aca="false">Flights!$D$5</f>
        <v>46303</v>
      </c>
      <c r="E12" s="57" t="str">
        <f aca="false">Flights!$G$5&amp;"-"&amp;Flights!$H$5</f>
        <v>LHR-KUL</v>
      </c>
      <c r="F12" s="57" t="str">
        <f aca="false">Flights!$K$5</f>
        <v>EY</v>
      </c>
      <c r="G12" s="57" t="s">
        <v>79</v>
      </c>
      <c r="H12" s="57" t="s">
        <v>356</v>
      </c>
      <c r="I12" s="57" t="s">
        <v>383</v>
      </c>
      <c r="J12" s="57" t="s">
        <v>387</v>
      </c>
      <c r="K12" s="67" t="s">
        <v>385</v>
      </c>
      <c r="L12" s="67" t="s">
        <v>360</v>
      </c>
      <c r="M12" s="67"/>
      <c r="N12" s="67" t="s">
        <v>361</v>
      </c>
      <c r="O12" s="67"/>
      <c r="P12" s="57" t="s">
        <v>183</v>
      </c>
      <c r="Q12" s="59" t="n">
        <f aca="false">ROUND((Flights!$AC$5)*1440,0)/1440</f>
        <v>46296.8576388889</v>
      </c>
      <c r="R12" s="59" t="n">
        <f aca="false">Q12+(IF(AND(INDEX(TZ_DSTS,MATCH(P12,TZ_STN,0))&lt;&gt;"",Q12&gt;=INDEX(TZ_DSTS,MATCH(P12,TZ_STN,0)),Q12&lt;INDEX(TZ_DSTE,MATCH(P12,TZ_STN,0))),INDEX(TZ_DST,MATCH(P12,TZ_STN,0)),INDEX(TZ_STD,MATCH(P12,TZ_STN,0))))/24</f>
        <v>46296.8993055556</v>
      </c>
      <c r="S12" s="59" t="n">
        <f aca="false">Q12-T7EarlyD*24/24</f>
        <v>46282.8576388889</v>
      </c>
      <c r="T12" s="60"/>
      <c r="U12" s="60"/>
      <c r="V12" s="60"/>
      <c r="W12" s="61"/>
      <c r="X12" s="60"/>
      <c r="Y12" s="60"/>
      <c r="Z12" s="60"/>
      <c r="AA12" s="60"/>
      <c r="AB12" s="60"/>
      <c r="AC12" s="60"/>
      <c r="AD12" s="66"/>
      <c r="AE12" s="60"/>
      <c r="AF12" s="61" t="str">
        <f aca="false">IF(AND(ISNUMBER(X12),ISNUMBER(Y12)),Y12-X12,"")</f>
        <v/>
      </c>
      <c r="AG12" s="62" t="str">
        <f aca="false">IF(ISNUMBER(AD12),AD12-(IF(AND(INDEX(TZ_DSTS,MATCH(P12,TZ_STN,0))&lt;&gt;"",(AD12-INDEX(TZ_STD,MATCH(P12,TZ_STN,0))/24)&gt;=INDEX(TZ_DSTS,MATCH(P12,TZ_STN,0)),(AD12-INDEX(TZ_STD,MATCH(P12,TZ_STN,0))/24)&lt;INDEX(TZ_DSTE,MATCH(P12,TZ_STN,0))),INDEX(TZ_DST,MATCH(P12,TZ_STN,0)),INDEX(TZ_STD,MATCH(P12,TZ_STN,0))))/24,"")</f>
        <v/>
      </c>
      <c r="AH12" s="65" t="str">
        <f aca="false">IFERROR(IF(N12="N/A – rule","N/A – RULE",IF(TRIM(U12)="N/A",IF(AT12=0,"INVALID – N/A not permitted for this check",IF(AND(TRIM(AB12)&lt;&gt;"",TRIM(AB12)&lt;&gt;"Closed"),"INVALID – corrective action still open",IF(AND(NOT(OR(LEN(AZ12)&lt;15,ISNUMBER(MATCH(AZ12,L_Placeholder,0)))),NOT(OR(LEN(AU12)&lt;2,ISNUMBER(MATCH(AU12,L_Placeholder,0)))),NOT(OR(LEN(AX12)&lt;2,ISNUMBER(MATCH(AX12,L_Placeholder,0)))),TRIM(AE12)&lt;&gt;TRIM(T12)),"N/A – JUSTIFIED","INVALID – N/A needs a real justification (15+ chars), PIC and a different verifier"))),IF(OR(TRIM(U12)="Pass",TRIM(U12)="Pass after CA"),IF(NOT(ISNUMBER(AD12)),"INVALID – completion time missing",IF(OR(LEN(AU12)&lt;2,ISNUMBER(MATCH(AU12,L_Placeholder,0))),"INVALID – PIC missing",IF(OR(LEN(AV12)&lt;2,ISNUMBER(MATCH(AV12,L_Placeholder,0))),"INVALID – result / assessment missing",IF(OR(OR(LEN(AW12)&lt;3,ISNUMBER(MATCH(AW12,L_Placeholder,0))),SUMPRODUCT(--ISNUMBER(SEARCH(L_EvidencePhrase,AW12)))&gt;0),"INVALID – evidence missing, placeholder or not yet on file",IF(OR(LEN(AX12)&lt;2,ISNUMBER(MATCH(AX12,L_Placeholder,0))),"INVALID – verifier missing",IF(AX12=AU12,"INVALID – verifier must be someone other than the PIC",IF(AND(TRIM(U12)="Pass",SUMPRODUCT(--ISNUMBER(SEARCH(L_ResultBad,AV12)))&gt;0),"INVALID – result describes a problem: use Fail, then Pass after CA",IF(AND(AQ12=1,OR(LEN(AY12)&lt;3,ISNUMBER(MATCH(AY12,L_Placeholder,0)))),"INVALID – batch ID missing or placeholder",IF(AND(AR12=1,OR(NOT(ISNUMBER(X12)),NOT(ISNUMBER(Y12)))),"INVALID – expected/actual qty missing",IF(AND(AR12=1,OR(X12&lt;=0,Y12&lt;0)),"INVALID – expected qty must be above 0 and actual not negative",IF(BB12&lt;&gt;"",BB12,IF(AND(AS12=1,Documents!$J$5&lt;&gt;"ON FILE"),"INVALID – GLD not on file (Documents sheet)",IF(AND(AS12=2,Documents!$O$5&lt;&gt;"ON FILE"),"INVALID – menu checklist not on file (Documents sheet)",IF(AND(AS12=3,NOT(ISNUMBER(Flights!$AX$5))),"INVALID – enter carrying flight KUL departure (Flights AX)",IF(AND(AS12=3,OR(Flights!$AZ$5&gt;Flights!$AA$5,Flights!$AX$5&lt;Flights!$AA$5-3)),"INVALID – carrying flight (Flights AX) cannot arrive before this leg's STD, or is over 3 days early",IF(AG12&gt;AsOfUTC,"INVALID – completion time is in the future",IF(AND(ISNUMBER(S12),AG12&lt;S12),IF(H12="Physical uplift","INVALID – before uplift window (cannot confirm loading)","INVALID – before valid window"),IF(AG12&gt;Flights!$AA$5,"INVALID – completed after departure (cannot establish readiness)",IF(AND(H12="Preparation",AG12&gt;IF(ISNUMBER(Flights!$BA$5),MIN(Flights!$BA$5,Flights!$AA$5),Flights!$AA$5)),"INVALID – completed after loading / departure (cannot establish readiness)",IF(AND(H12="Physical uplift",AG12&gt;Q12),"INVALID – recorded after the loading flight departed",IF(AG12&gt;Q12,"COMPLETE – LATE","COMPLETE"))))))))))))))))))))),IF(TRIM(U12)="Fail","FAIL – DISCREPANCY",IF(AND(TRIM(U12)&lt;&gt;"",TRIM(U12)&lt;&gt;"Not started",TRIM(U12)&lt;&gt;"In progress"),"INVALID – unrecognised status (use the list)",IF(AsOfUTC&gt;Q12,"OVERDUE",IF(N12="Clarification required","OPEN – CLARIFICATION","OPEN"))))))),"INVALID – error value in an input cell")</f>
        <v>OPEN</v>
      </c>
      <c r="AI12" s="61" t="n">
        <f aca="false">IF(OR(AH12="N/A – RULE",AH12="N/A – JUSTIFIED"),0,1)</f>
        <v>1</v>
      </c>
      <c r="AJ12" s="61" t="n">
        <f aca="false">IF(LEFT(AH12,8)="COMPLETE",1,0)</f>
        <v>0</v>
      </c>
      <c r="AK12" s="61" t="n">
        <f aca="false">IF(AND(AI12=1,AJ12=0,AsOfUTC&gt;Q12),1,0)</f>
        <v>0</v>
      </c>
      <c r="AL12" s="61" t="n">
        <f aca="false">IFERROR(IF(AND(AI12=1,OR(TRIM(U12)="Fail",AND(TRIM(AB12)&lt;&gt;"",TRIM(AB12)&lt;&gt;"Closed"),AND(ISNUMBER(AF12),AF12&lt;&gt;0,TRIM(U12)&lt;&gt;"Pass after CA"))),1,0),1)</f>
        <v>0</v>
      </c>
      <c r="AM12" s="61" t="n">
        <f aca="false">IF(LEFT(AH12,7)="INVALID",1,0)</f>
        <v>0</v>
      </c>
      <c r="AN12" s="61" t="n">
        <f aca="false">IF(AND(N12="Clarification required",AI12=1,AJ12=0),1,0)</f>
        <v>0</v>
      </c>
      <c r="AO12" s="61" t="str">
        <f aca="false">IF(AK12=1,SUM(AK$5:AK12),"")</f>
        <v/>
      </c>
      <c r="AP12" s="61" t="str">
        <f aca="false">IF(AL12=1,SUM(AL$5:AL12),"")</f>
        <v/>
      </c>
      <c r="AQ12" s="61" t="n">
        <v>0</v>
      </c>
      <c r="AR12" s="61" t="n">
        <v>0</v>
      </c>
      <c r="AS12" s="61" t="n">
        <v>2</v>
      </c>
      <c r="AT12" s="61" t="n">
        <v>0</v>
      </c>
      <c r="AU12" s="61" t="str">
        <f aca="false">SUBSTITUTE(SUBSTITUTE(SUBSTITUTE(SUBSTITUTE(SUBSTITUTE(SUBSTITUTE(SUBSTITUTE(SUBSTITUTE(SUBSTITUTE(SUBSTITUTE(SUBSTITUTE(SUBSTITUTE(SUBSTITUTE(LOWER(T12&amp;""),CHAR(160),"")," ",""),".",""),"-",""),"/",""),"?",""),"_",""),",",""),"[",""),"]",""),"(",""),")",""),"*","")</f>
        <v/>
      </c>
      <c r="AV12" s="61" t="str">
        <f aca="false">SUBSTITUTE(SUBSTITUTE(SUBSTITUTE(SUBSTITUTE(SUBSTITUTE(SUBSTITUTE(SUBSTITUTE(SUBSTITUTE(SUBSTITUTE(SUBSTITUTE(SUBSTITUTE(SUBSTITUTE(SUBSTITUTE(LOWER(V12&amp;""),CHAR(160),"")," ",""),".",""),"-",""),"/",""),"?",""),"_",""),",",""),"[",""),"]",""),"(",""),")",""),"*","")</f>
        <v/>
      </c>
      <c r="AW12" s="61" t="str">
        <f aca="false">SUBSTITUTE(SUBSTITUTE(SUBSTITUTE(SUBSTITUTE(SUBSTITUTE(SUBSTITUTE(SUBSTITUTE(SUBSTITUTE(SUBSTITUTE(SUBSTITUTE(SUBSTITUTE(SUBSTITUTE(SUBSTITUTE(LOWER(Z12&amp;""),CHAR(160),"")," ",""),".",""),"-",""),"/",""),"?",""),"_",""),",",""),"[",""),"]",""),"(",""),")",""),"*","")</f>
        <v/>
      </c>
      <c r="AX12" s="61" t="str">
        <f aca="false">SUBSTITUTE(SUBSTITUTE(SUBSTITUTE(SUBSTITUTE(SUBSTITUTE(SUBSTITUTE(SUBSTITUTE(SUBSTITUTE(SUBSTITUTE(SUBSTITUTE(SUBSTITUTE(SUBSTITUTE(SUBSTITUTE(LOWER(AE12&amp;""),CHAR(160),"")," ",""),".",""),"-",""),"/",""),"?",""),"_",""),",",""),"[",""),"]",""),"(",""),")",""),"*","")</f>
        <v/>
      </c>
      <c r="AY12" s="61" t="str">
        <f aca="false">SUBSTITUTE(SUBSTITUTE(SUBSTITUTE(SUBSTITUTE(SUBSTITUTE(SUBSTITUTE(SUBSTITUTE(SUBSTITUTE(SUBSTITUTE(SUBSTITUTE(SUBSTITUTE(SUBSTITUTE(SUBSTITUTE(LOWER(W12&amp;""),CHAR(160),"")," ",""),".",""),"-",""),"/",""),"?",""),"_",""),",",""),"[",""),"]",""),"(",""),")",""),"*","")</f>
        <v/>
      </c>
      <c r="AZ12" s="61" t="str">
        <f aca="false">SUBSTITUTE(SUBSTITUTE(SUBSTITUTE(SUBSTITUTE(SUBSTITUTE(SUBSTITUTE(SUBSTITUTE(SUBSTITUTE(SUBSTITUTE(SUBSTITUTE(SUBSTITUTE(SUBSTITUTE(SUBSTITUTE(LOWER(AC12&amp;""),CHAR(160),"")," ",""),".",""),"-",""),"/",""),"?",""),"_",""),",",""),"[",""),"]",""),"(",""),")",""),"*","")</f>
        <v/>
      </c>
      <c r="BA12" s="61" t="str">
        <f aca="false">SUBSTITUTE(SUBSTITUTE(SUBSTITUTE(SUBSTITUTE(SUBSTITUTE(SUBSTITUTE(SUBSTITUTE(SUBSTITUTE(SUBSTITUTE(SUBSTITUTE(SUBSTITUTE(SUBSTITUTE(SUBSTITUTE(LOWER(AA12&amp;""),CHAR(160),"")," ",""),".",""),"-",""),"/",""),"?",""),"_",""),",",""),"[",""),"]",""),"(",""),")",""),"*","")</f>
        <v/>
      </c>
      <c r="BB12" s="61" t="str">
        <f aca="false">IF(AND(TRIM(U12)="Pass",ISNUMBER(AF12)),IF(AF12&lt;&gt;0,"INVALID – qty variance: use Fail or Pass after CA",""),"")&amp;IF(AND(TRIM(U12)="Pass after CA",ISNUMBER(AF12)),IF(AF12&lt;&gt;0,"INVALID – after the corrective action the actual qty must equal expected (update Actual)",""),"")&amp;IF(AND(TRIM(U12)="Pass",TRIM(AB12)&lt;&gt;"",TRIM(AB12)&lt;&gt;"Closed"),"INVALID – corrective action not closed: use Fail, then Pass after CA","")&amp;IF(AND(TRIM(AA12)&lt;&gt;"",TRIM(AB12)=""),"INVALID – CA status missing for the recorded corrective action","")&amp;IF(AND(TRIM(U12)="Pass after CA",OR(OR(LEN(BA12)&lt;5,ISNUMBER(MATCH(BA12,L_Placeholder,0))),TRIM(AB12)&lt;&gt;"Closed")),"INVALID – corrective action not recorded/closed","")</f>
        <v/>
      </c>
    </row>
    <row r="13" customFormat="false" ht="39.75" hidden="false" customHeight="true" outlineLevel="0" collapsed="false">
      <c r="A13" s="57" t="s">
        <v>388</v>
      </c>
      <c r="B13" s="57" t="s">
        <v>180</v>
      </c>
      <c r="C13" s="57" t="str">
        <f aca="false">Flights!$F$5</f>
        <v>MH0001</v>
      </c>
      <c r="D13" s="58" t="n">
        <f aca="false">Flights!$D$5</f>
        <v>46303</v>
      </c>
      <c r="E13" s="57" t="str">
        <f aca="false">Flights!$G$5&amp;"-"&amp;Flights!$H$5</f>
        <v>LHR-KUL</v>
      </c>
      <c r="F13" s="57" t="str">
        <f aca="false">Flights!$K$5</f>
        <v>EY</v>
      </c>
      <c r="G13" s="57" t="s">
        <v>79</v>
      </c>
      <c r="H13" s="57" t="s">
        <v>356</v>
      </c>
      <c r="I13" s="57" t="s">
        <v>389</v>
      </c>
      <c r="J13" s="57" t="s">
        <v>390</v>
      </c>
      <c r="K13" s="67" t="s">
        <v>391</v>
      </c>
      <c r="L13" s="67" t="s">
        <v>392</v>
      </c>
      <c r="M13" s="67"/>
      <c r="N13" s="67" t="s">
        <v>361</v>
      </c>
      <c r="O13" s="67"/>
      <c r="P13" s="57" t="s">
        <v>183</v>
      </c>
      <c r="Q13" s="59" t="n">
        <f aca="false">ROUND((Flights!$AC$5)*1440,0)/1440</f>
        <v>46296.8576388889</v>
      </c>
      <c r="R13" s="59" t="n">
        <f aca="false">Q13+(IF(AND(INDEX(TZ_DSTS,MATCH(P13,TZ_STN,0))&lt;&gt;"",Q13&gt;=INDEX(TZ_DSTS,MATCH(P13,TZ_STN,0)),Q13&lt;INDEX(TZ_DSTE,MATCH(P13,TZ_STN,0))),INDEX(TZ_DST,MATCH(P13,TZ_STN,0)),INDEX(TZ_STD,MATCH(P13,TZ_STN,0))))/24</f>
        <v>46296.8993055556</v>
      </c>
      <c r="S13" s="59" t="n">
        <f aca="false">Q13-T7EarlyD*24/24</f>
        <v>46282.8576388889</v>
      </c>
      <c r="T13" s="60"/>
      <c r="U13" s="60"/>
      <c r="V13" s="60"/>
      <c r="W13" s="61"/>
      <c r="X13" s="60"/>
      <c r="Y13" s="60"/>
      <c r="Z13" s="60"/>
      <c r="AA13" s="60"/>
      <c r="AB13" s="60"/>
      <c r="AC13" s="60"/>
      <c r="AD13" s="66"/>
      <c r="AE13" s="60"/>
      <c r="AF13" s="61" t="str">
        <f aca="false">IF(AND(ISNUMBER(X13),ISNUMBER(Y13)),Y13-X13,"")</f>
        <v/>
      </c>
      <c r="AG13" s="62" t="str">
        <f aca="false">IF(ISNUMBER(AD13),AD13-(IF(AND(INDEX(TZ_DSTS,MATCH(P13,TZ_STN,0))&lt;&gt;"",(AD13-INDEX(TZ_STD,MATCH(P13,TZ_STN,0))/24)&gt;=INDEX(TZ_DSTS,MATCH(P13,TZ_STN,0)),(AD13-INDEX(TZ_STD,MATCH(P13,TZ_STN,0))/24)&lt;INDEX(TZ_DSTE,MATCH(P13,TZ_STN,0))),INDEX(TZ_DST,MATCH(P13,TZ_STN,0)),INDEX(TZ_STD,MATCH(P13,TZ_STN,0))))/24,"")</f>
        <v/>
      </c>
      <c r="AH13" s="65" t="str">
        <f aca="false">IFERROR(IF(N13="N/A – rule","N/A – RULE",IF(TRIM(U13)="N/A",IF(AT13=0,"INVALID – N/A not permitted for this check",IF(AND(TRIM(AB13)&lt;&gt;"",TRIM(AB13)&lt;&gt;"Closed"),"INVALID – corrective action still open",IF(AND(NOT(OR(LEN(AZ13)&lt;15,ISNUMBER(MATCH(AZ13,L_Placeholder,0)))),NOT(OR(LEN(AU13)&lt;2,ISNUMBER(MATCH(AU13,L_Placeholder,0)))),NOT(OR(LEN(AX13)&lt;2,ISNUMBER(MATCH(AX13,L_Placeholder,0)))),TRIM(AE13)&lt;&gt;TRIM(T13)),"N/A – JUSTIFIED","INVALID – N/A needs a real justification (15+ chars), PIC and a different verifier"))),IF(OR(TRIM(U13)="Pass",TRIM(U13)="Pass after CA"),IF(NOT(ISNUMBER(AD13)),"INVALID – completion time missing",IF(OR(LEN(AU13)&lt;2,ISNUMBER(MATCH(AU13,L_Placeholder,0))),"INVALID – PIC missing",IF(OR(LEN(AV13)&lt;2,ISNUMBER(MATCH(AV13,L_Placeholder,0))),"INVALID – result / assessment missing",IF(OR(OR(LEN(AW13)&lt;3,ISNUMBER(MATCH(AW13,L_Placeholder,0))),SUMPRODUCT(--ISNUMBER(SEARCH(L_EvidencePhrase,AW13)))&gt;0),"INVALID – evidence missing, placeholder or not yet on file",IF(OR(LEN(AX13)&lt;2,ISNUMBER(MATCH(AX13,L_Placeholder,0))),"INVALID – verifier missing",IF(AX13=AU13,"INVALID – verifier must be someone other than the PIC",IF(AND(TRIM(U13)="Pass",SUMPRODUCT(--ISNUMBER(SEARCH(L_ResultBad,AV13)))&gt;0),"INVALID – result describes a problem: use Fail, then Pass after CA",IF(AND(AQ13=1,OR(LEN(AY13)&lt;3,ISNUMBER(MATCH(AY13,L_Placeholder,0)))),"INVALID – batch ID missing or placeholder",IF(AND(AR13=1,OR(NOT(ISNUMBER(X13)),NOT(ISNUMBER(Y13)))),"INVALID – expected/actual qty missing",IF(AND(AR13=1,OR(X13&lt;=0,Y13&lt;0)),"INVALID – expected qty must be above 0 and actual not negative",IF(BB13&lt;&gt;"",BB13,IF(AND(AS13=1,Documents!$J$5&lt;&gt;"ON FILE"),"INVALID – GLD not on file (Documents sheet)",IF(AND(AS13=2,Documents!$O$5&lt;&gt;"ON FILE"),"INVALID – menu checklist not on file (Documents sheet)",IF(AND(AS13=3,NOT(ISNUMBER(Flights!$AX$5))),"INVALID – enter carrying flight KUL departure (Flights AX)",IF(AND(AS13=3,OR(Flights!$AZ$5&gt;Flights!$AA$5,Flights!$AX$5&lt;Flights!$AA$5-3)),"INVALID – carrying flight (Flights AX) cannot arrive before this leg's STD, or is over 3 days early",IF(AG13&gt;AsOfUTC,"INVALID – completion time is in the future",IF(AND(ISNUMBER(S13),AG13&lt;S13),IF(H13="Physical uplift","INVALID – before uplift window (cannot confirm loading)","INVALID – before valid window"),IF(AG13&gt;Flights!$AA$5,"INVALID – completed after departure (cannot establish readiness)",IF(AND(H13="Preparation",AG13&gt;IF(ISNUMBER(Flights!$BA$5),MIN(Flights!$BA$5,Flights!$AA$5),Flights!$AA$5)),"INVALID – completed after loading / departure (cannot establish readiness)",IF(AND(H13="Physical uplift",AG13&gt;Q13),"INVALID – recorded after the loading flight departed",IF(AG13&gt;Q13,"COMPLETE – LATE","COMPLETE"))))))))))))))))))))),IF(TRIM(U13)="Fail","FAIL – DISCREPANCY",IF(AND(TRIM(U13)&lt;&gt;"",TRIM(U13)&lt;&gt;"Not started",TRIM(U13)&lt;&gt;"In progress"),"INVALID – unrecognised status (use the list)",IF(AsOfUTC&gt;Q13,"OVERDUE",IF(N13="Clarification required","OPEN – CLARIFICATION","OPEN"))))))),"INVALID – error value in an input cell")</f>
        <v>OPEN</v>
      </c>
      <c r="AI13" s="61" t="n">
        <f aca="false">IF(OR(AH13="N/A – RULE",AH13="N/A – JUSTIFIED"),0,1)</f>
        <v>1</v>
      </c>
      <c r="AJ13" s="61" t="n">
        <f aca="false">IF(LEFT(AH13,8)="COMPLETE",1,0)</f>
        <v>0</v>
      </c>
      <c r="AK13" s="61" t="n">
        <f aca="false">IF(AND(AI13=1,AJ13=0,AsOfUTC&gt;Q13),1,0)</f>
        <v>0</v>
      </c>
      <c r="AL13" s="61" t="n">
        <f aca="false">IFERROR(IF(AND(AI13=1,OR(TRIM(U13)="Fail",AND(TRIM(AB13)&lt;&gt;"",TRIM(AB13)&lt;&gt;"Closed"),AND(ISNUMBER(AF13),AF13&lt;&gt;0,TRIM(U13)&lt;&gt;"Pass after CA"))),1,0),1)</f>
        <v>0</v>
      </c>
      <c r="AM13" s="61" t="n">
        <f aca="false">IF(LEFT(AH13,7)="INVALID",1,0)</f>
        <v>0</v>
      </c>
      <c r="AN13" s="61" t="n">
        <f aca="false">IF(AND(N13="Clarification required",AI13=1,AJ13=0),1,0)</f>
        <v>0</v>
      </c>
      <c r="AO13" s="61" t="str">
        <f aca="false">IF(AK13=1,SUM(AK$5:AK13),"")</f>
        <v/>
      </c>
      <c r="AP13" s="61" t="str">
        <f aca="false">IF(AL13=1,SUM(AL$5:AL13),"")</f>
        <v/>
      </c>
      <c r="AQ13" s="61" t="n">
        <v>0</v>
      </c>
      <c r="AR13" s="61" t="n">
        <v>0</v>
      </c>
      <c r="AS13" s="61" t="n">
        <v>0</v>
      </c>
      <c r="AT13" s="61" t="n">
        <v>0</v>
      </c>
      <c r="AU13" s="61" t="str">
        <f aca="false">SUBSTITUTE(SUBSTITUTE(SUBSTITUTE(SUBSTITUTE(SUBSTITUTE(SUBSTITUTE(SUBSTITUTE(SUBSTITUTE(SUBSTITUTE(SUBSTITUTE(SUBSTITUTE(SUBSTITUTE(SUBSTITUTE(LOWER(T13&amp;""),CHAR(160),"")," ",""),".",""),"-",""),"/",""),"?",""),"_",""),",",""),"[",""),"]",""),"(",""),")",""),"*","")</f>
        <v/>
      </c>
      <c r="AV13" s="61" t="str">
        <f aca="false">SUBSTITUTE(SUBSTITUTE(SUBSTITUTE(SUBSTITUTE(SUBSTITUTE(SUBSTITUTE(SUBSTITUTE(SUBSTITUTE(SUBSTITUTE(SUBSTITUTE(SUBSTITUTE(SUBSTITUTE(SUBSTITUTE(LOWER(V13&amp;""),CHAR(160),"")," ",""),".",""),"-",""),"/",""),"?",""),"_",""),",",""),"[",""),"]",""),"(",""),")",""),"*","")</f>
        <v/>
      </c>
      <c r="AW13" s="61" t="str">
        <f aca="false">SUBSTITUTE(SUBSTITUTE(SUBSTITUTE(SUBSTITUTE(SUBSTITUTE(SUBSTITUTE(SUBSTITUTE(SUBSTITUTE(SUBSTITUTE(SUBSTITUTE(SUBSTITUTE(SUBSTITUTE(SUBSTITUTE(LOWER(Z13&amp;""),CHAR(160),"")," ",""),".",""),"-",""),"/",""),"?",""),"_",""),",",""),"[",""),"]",""),"(",""),")",""),"*","")</f>
        <v/>
      </c>
      <c r="AX13" s="61" t="str">
        <f aca="false">SUBSTITUTE(SUBSTITUTE(SUBSTITUTE(SUBSTITUTE(SUBSTITUTE(SUBSTITUTE(SUBSTITUTE(SUBSTITUTE(SUBSTITUTE(SUBSTITUTE(SUBSTITUTE(SUBSTITUTE(SUBSTITUTE(LOWER(AE13&amp;""),CHAR(160),"")," ",""),".",""),"-",""),"/",""),"?",""),"_",""),",",""),"[",""),"]",""),"(",""),")",""),"*","")</f>
        <v/>
      </c>
      <c r="AY13" s="61" t="str">
        <f aca="false">SUBSTITUTE(SUBSTITUTE(SUBSTITUTE(SUBSTITUTE(SUBSTITUTE(SUBSTITUTE(SUBSTITUTE(SUBSTITUTE(SUBSTITUTE(SUBSTITUTE(SUBSTITUTE(SUBSTITUTE(SUBSTITUTE(LOWER(W13&amp;""),CHAR(160),"")," ",""),".",""),"-",""),"/",""),"?",""),"_",""),",",""),"[",""),"]",""),"(",""),")",""),"*","")</f>
        <v/>
      </c>
      <c r="AZ13" s="61" t="str">
        <f aca="false">SUBSTITUTE(SUBSTITUTE(SUBSTITUTE(SUBSTITUTE(SUBSTITUTE(SUBSTITUTE(SUBSTITUTE(SUBSTITUTE(SUBSTITUTE(SUBSTITUTE(SUBSTITUTE(SUBSTITUTE(SUBSTITUTE(LOWER(AC13&amp;""),CHAR(160),"")," ",""),".",""),"-",""),"/",""),"?",""),"_",""),",",""),"[",""),"]",""),"(",""),")",""),"*","")</f>
        <v/>
      </c>
      <c r="BA13" s="61" t="str">
        <f aca="false">SUBSTITUTE(SUBSTITUTE(SUBSTITUTE(SUBSTITUTE(SUBSTITUTE(SUBSTITUTE(SUBSTITUTE(SUBSTITUTE(SUBSTITUTE(SUBSTITUTE(SUBSTITUTE(SUBSTITUTE(SUBSTITUTE(LOWER(AA13&amp;""),CHAR(160),"")," ",""),".",""),"-",""),"/",""),"?",""),"_",""),",",""),"[",""),"]",""),"(",""),")",""),"*","")</f>
        <v/>
      </c>
      <c r="BB13" s="61" t="str">
        <f aca="false">IF(AND(TRIM(U13)="Pass",ISNUMBER(AF13)),IF(AF13&lt;&gt;0,"INVALID – qty variance: use Fail or Pass after CA",""),"")&amp;IF(AND(TRIM(U13)="Pass after CA",ISNUMBER(AF13)),IF(AF13&lt;&gt;0,"INVALID – after the corrective action the actual qty must equal expected (update Actual)",""),"")&amp;IF(AND(TRIM(U13)="Pass",TRIM(AB13)&lt;&gt;"",TRIM(AB13)&lt;&gt;"Closed"),"INVALID – corrective action not closed: use Fail, then Pass after CA","")&amp;IF(AND(TRIM(AA13)&lt;&gt;"",TRIM(AB13)=""),"INVALID – CA status missing for the recorded corrective action","")&amp;IF(AND(TRIM(U13)="Pass after CA",OR(OR(LEN(BA13)&lt;5,ISNUMBER(MATCH(BA13,L_Placeholder,0))),TRIM(AB13)&lt;&gt;"Closed")),"INVALID – corrective action not recorded/closed","")</f>
        <v/>
      </c>
    </row>
    <row r="14" customFormat="false" ht="39.75" hidden="false" customHeight="true" outlineLevel="0" collapsed="false">
      <c r="A14" s="57" t="s">
        <v>393</v>
      </c>
      <c r="B14" s="57" t="s">
        <v>180</v>
      </c>
      <c r="C14" s="57" t="str">
        <f aca="false">Flights!$F$5</f>
        <v>MH0001</v>
      </c>
      <c r="D14" s="58" t="n">
        <f aca="false">Flights!$D$5</f>
        <v>46303</v>
      </c>
      <c r="E14" s="57" t="str">
        <f aca="false">Flights!$G$5&amp;"-"&amp;Flights!$H$5</f>
        <v>LHR-KUL</v>
      </c>
      <c r="F14" s="57" t="str">
        <f aca="false">Flights!$K$5</f>
        <v>EY</v>
      </c>
      <c r="G14" s="57" t="s">
        <v>81</v>
      </c>
      <c r="H14" s="57" t="s">
        <v>356</v>
      </c>
      <c r="I14" s="57" t="s">
        <v>357</v>
      </c>
      <c r="J14" s="57" t="s">
        <v>394</v>
      </c>
      <c r="K14" s="67" t="s">
        <v>395</v>
      </c>
      <c r="L14" s="67" t="s">
        <v>396</v>
      </c>
      <c r="M14" s="67"/>
      <c r="N14" s="67" t="s">
        <v>361</v>
      </c>
      <c r="O14" s="67"/>
      <c r="P14" s="57" t="s">
        <v>183</v>
      </c>
      <c r="Q14" s="59" t="n">
        <f aca="false">ROUND((Flights!$AD$5)*1440,0)/1440</f>
        <v>46302.8576388889</v>
      </c>
      <c r="R14" s="59" t="n">
        <f aca="false">Q14+(IF(AND(INDEX(TZ_DSTS,MATCH(P14,TZ_STN,0))&lt;&gt;"",Q14&gt;=INDEX(TZ_DSTS,MATCH(P14,TZ_STN,0)),Q14&lt;INDEX(TZ_DSTE,MATCH(P14,TZ_STN,0))),INDEX(TZ_DST,MATCH(P14,TZ_STN,0)),INDEX(TZ_STD,MATCH(P14,TZ_STN,0))))/24</f>
        <v>46302.8993055556</v>
      </c>
      <c r="S14" s="59" t="n">
        <f aca="false">Q14-T24EarlyH/24</f>
        <v>46301.8576388889</v>
      </c>
      <c r="T14" s="60"/>
      <c r="U14" s="60"/>
      <c r="V14" s="60"/>
      <c r="W14" s="60"/>
      <c r="X14" s="60"/>
      <c r="Y14" s="60"/>
      <c r="Z14" s="60"/>
      <c r="AA14" s="60"/>
      <c r="AB14" s="60"/>
      <c r="AC14" s="60"/>
      <c r="AD14" s="66"/>
      <c r="AE14" s="60"/>
      <c r="AF14" s="61" t="str">
        <f aca="false">IF(AND(ISNUMBER(X14),ISNUMBER(Y14)),Y14-X14,"")</f>
        <v/>
      </c>
      <c r="AG14" s="62" t="str">
        <f aca="false">IF(ISNUMBER(AD14),AD14-(IF(AND(INDEX(TZ_DSTS,MATCH(P14,TZ_STN,0))&lt;&gt;"",(AD14-INDEX(TZ_STD,MATCH(P14,TZ_STN,0))/24)&gt;=INDEX(TZ_DSTS,MATCH(P14,TZ_STN,0)),(AD14-INDEX(TZ_STD,MATCH(P14,TZ_STN,0))/24)&lt;INDEX(TZ_DSTE,MATCH(P14,TZ_STN,0))),INDEX(TZ_DST,MATCH(P14,TZ_STN,0)),INDEX(TZ_STD,MATCH(P14,TZ_STN,0))))/24,"")</f>
        <v/>
      </c>
      <c r="AH14" s="65" t="str">
        <f aca="false">IFERROR(IF(N14="N/A – rule","N/A – RULE",IF(TRIM(U14)="N/A",IF(AT14=0,"INVALID – N/A not permitted for this check",IF(AND(TRIM(AB14)&lt;&gt;"",TRIM(AB14)&lt;&gt;"Closed"),"INVALID – corrective action still open",IF(AND(NOT(OR(LEN(AZ14)&lt;15,ISNUMBER(MATCH(AZ14,L_Placeholder,0)))),NOT(OR(LEN(AU14)&lt;2,ISNUMBER(MATCH(AU14,L_Placeholder,0)))),NOT(OR(LEN(AX14)&lt;2,ISNUMBER(MATCH(AX14,L_Placeholder,0)))),TRIM(AE14)&lt;&gt;TRIM(T14)),"N/A – JUSTIFIED","INVALID – N/A needs a real justification (15+ chars), PIC and a different verifier"))),IF(OR(TRIM(U14)="Pass",TRIM(U14)="Pass after CA"),IF(NOT(ISNUMBER(AD14)),"INVALID – completion time missing",IF(OR(LEN(AU14)&lt;2,ISNUMBER(MATCH(AU14,L_Placeholder,0))),"INVALID – PIC missing",IF(OR(LEN(AV14)&lt;2,ISNUMBER(MATCH(AV14,L_Placeholder,0))),"INVALID – result / assessment missing",IF(OR(OR(LEN(AW14)&lt;3,ISNUMBER(MATCH(AW14,L_Placeholder,0))),SUMPRODUCT(--ISNUMBER(SEARCH(L_EvidencePhrase,AW14)))&gt;0),"INVALID – evidence missing, placeholder or not yet on file",IF(OR(LEN(AX14)&lt;2,ISNUMBER(MATCH(AX14,L_Placeholder,0))),"INVALID – verifier missing",IF(AX14=AU14,"INVALID – verifier must be someone other than the PIC",IF(AND(TRIM(U14)="Pass",SUMPRODUCT(--ISNUMBER(SEARCH(L_ResultBad,AV14)))&gt;0),"INVALID – result describes a problem: use Fail, then Pass after CA",IF(AND(AQ14=1,OR(LEN(AY14)&lt;3,ISNUMBER(MATCH(AY14,L_Placeholder,0)))),"INVALID – batch ID missing or placeholder",IF(AND(AR14=1,OR(NOT(ISNUMBER(X14)),NOT(ISNUMBER(Y14)))),"INVALID – expected/actual qty missing",IF(AND(AR14=1,OR(X14&lt;=0,Y14&lt;0)),"INVALID – expected qty must be above 0 and actual not negative",IF(BB14&lt;&gt;"",BB14,IF(AND(AS14=1,Documents!$J$5&lt;&gt;"ON FILE"),"INVALID – GLD not on file (Documents sheet)",IF(AND(AS14=2,Documents!$O$5&lt;&gt;"ON FILE"),"INVALID – menu checklist not on file (Documents sheet)",IF(AND(AS14=3,NOT(ISNUMBER(Flights!$AX$5))),"INVALID – enter carrying flight KUL departure (Flights AX)",IF(AND(AS14=3,OR(Flights!$AZ$5&gt;Flights!$AA$5,Flights!$AX$5&lt;Flights!$AA$5-3)),"INVALID – carrying flight (Flights AX) cannot arrive before this leg's STD, or is over 3 days early",IF(AG14&gt;AsOfUTC,"INVALID – completion time is in the future",IF(AND(ISNUMBER(S14),AG14&lt;S14),IF(H14="Physical uplift","INVALID – before uplift window (cannot confirm loading)","INVALID – before valid window"),IF(AG14&gt;Flights!$AA$5,"INVALID – completed after departure (cannot establish readiness)",IF(AND(H14="Preparation",AG14&gt;IF(ISNUMBER(Flights!$BA$5),MIN(Flights!$BA$5,Flights!$AA$5),Flights!$AA$5)),"INVALID – completed after loading / departure (cannot establish readiness)",IF(AND(H14="Physical uplift",AG14&gt;Q14),"INVALID – recorded after the loading flight departed",IF(AG14&gt;Q14,"COMPLETE – LATE","COMPLETE"))))))))))))))))))))),IF(TRIM(U14)="Fail","FAIL – DISCREPANCY",IF(AND(TRIM(U14)&lt;&gt;"",TRIM(U14)&lt;&gt;"Not started",TRIM(U14)&lt;&gt;"In progress"),"INVALID – unrecognised status (use the list)",IF(AsOfUTC&gt;Q14,"OVERDUE",IF(N14="Clarification required","OPEN – CLARIFICATION","OPEN"))))))),"INVALID – error value in an input cell")</f>
        <v>OPEN</v>
      </c>
      <c r="AI14" s="61" t="n">
        <f aca="false">IF(OR(AH14="N/A – RULE",AH14="N/A – JUSTIFIED"),0,1)</f>
        <v>1</v>
      </c>
      <c r="AJ14" s="61" t="n">
        <f aca="false">IF(LEFT(AH14,8)="COMPLETE",1,0)</f>
        <v>0</v>
      </c>
      <c r="AK14" s="61" t="n">
        <f aca="false">IF(AND(AI14=1,AJ14=0,AsOfUTC&gt;Q14),1,0)</f>
        <v>0</v>
      </c>
      <c r="AL14" s="61" t="n">
        <f aca="false">IFERROR(IF(AND(AI14=1,OR(TRIM(U14)="Fail",AND(TRIM(AB14)&lt;&gt;"",TRIM(AB14)&lt;&gt;"Closed"),AND(ISNUMBER(AF14),AF14&lt;&gt;0,TRIM(U14)&lt;&gt;"Pass after CA"))),1,0),1)</f>
        <v>0</v>
      </c>
      <c r="AM14" s="61" t="n">
        <f aca="false">IF(LEFT(AH14,7)="INVALID",1,0)</f>
        <v>0</v>
      </c>
      <c r="AN14" s="61" t="n">
        <f aca="false">IF(AND(N14="Clarification required",AI14=1,AJ14=0),1,0)</f>
        <v>0</v>
      </c>
      <c r="AO14" s="61" t="str">
        <f aca="false">IF(AK14=1,SUM(AK$5:AK14),"")</f>
        <v/>
      </c>
      <c r="AP14" s="61" t="str">
        <f aca="false">IF(AL14=1,SUM(AL$5:AL14),"")</f>
        <v/>
      </c>
      <c r="AQ14" s="61" t="n">
        <v>1</v>
      </c>
      <c r="AR14" s="61" t="n">
        <v>0</v>
      </c>
      <c r="AS14" s="61" t="n">
        <v>0</v>
      </c>
      <c r="AT14" s="61" t="n">
        <v>0</v>
      </c>
      <c r="AU14" s="61" t="str">
        <f aca="false">SUBSTITUTE(SUBSTITUTE(SUBSTITUTE(SUBSTITUTE(SUBSTITUTE(SUBSTITUTE(SUBSTITUTE(SUBSTITUTE(SUBSTITUTE(SUBSTITUTE(SUBSTITUTE(SUBSTITUTE(SUBSTITUTE(LOWER(T14&amp;""),CHAR(160),"")," ",""),".",""),"-",""),"/",""),"?",""),"_",""),",",""),"[",""),"]",""),"(",""),")",""),"*","")</f>
        <v/>
      </c>
      <c r="AV14" s="61" t="str">
        <f aca="false">SUBSTITUTE(SUBSTITUTE(SUBSTITUTE(SUBSTITUTE(SUBSTITUTE(SUBSTITUTE(SUBSTITUTE(SUBSTITUTE(SUBSTITUTE(SUBSTITUTE(SUBSTITUTE(SUBSTITUTE(SUBSTITUTE(LOWER(V14&amp;""),CHAR(160),"")," ",""),".",""),"-",""),"/",""),"?",""),"_",""),",",""),"[",""),"]",""),"(",""),")",""),"*","")</f>
        <v/>
      </c>
      <c r="AW14" s="61" t="str">
        <f aca="false">SUBSTITUTE(SUBSTITUTE(SUBSTITUTE(SUBSTITUTE(SUBSTITUTE(SUBSTITUTE(SUBSTITUTE(SUBSTITUTE(SUBSTITUTE(SUBSTITUTE(SUBSTITUTE(SUBSTITUTE(SUBSTITUTE(LOWER(Z14&amp;""),CHAR(160),"")," ",""),".",""),"-",""),"/",""),"?",""),"_",""),",",""),"[",""),"]",""),"(",""),")",""),"*","")</f>
        <v/>
      </c>
      <c r="AX14" s="61" t="str">
        <f aca="false">SUBSTITUTE(SUBSTITUTE(SUBSTITUTE(SUBSTITUTE(SUBSTITUTE(SUBSTITUTE(SUBSTITUTE(SUBSTITUTE(SUBSTITUTE(SUBSTITUTE(SUBSTITUTE(SUBSTITUTE(SUBSTITUTE(LOWER(AE14&amp;""),CHAR(160),"")," ",""),".",""),"-",""),"/",""),"?",""),"_",""),",",""),"[",""),"]",""),"(",""),")",""),"*","")</f>
        <v/>
      </c>
      <c r="AY14" s="61" t="str">
        <f aca="false">SUBSTITUTE(SUBSTITUTE(SUBSTITUTE(SUBSTITUTE(SUBSTITUTE(SUBSTITUTE(SUBSTITUTE(SUBSTITUTE(SUBSTITUTE(SUBSTITUTE(SUBSTITUTE(SUBSTITUTE(SUBSTITUTE(LOWER(W14&amp;""),CHAR(160),"")," ",""),".",""),"-",""),"/",""),"?",""),"_",""),",",""),"[",""),"]",""),"(",""),")",""),"*","")</f>
        <v/>
      </c>
      <c r="AZ14" s="61" t="str">
        <f aca="false">SUBSTITUTE(SUBSTITUTE(SUBSTITUTE(SUBSTITUTE(SUBSTITUTE(SUBSTITUTE(SUBSTITUTE(SUBSTITUTE(SUBSTITUTE(SUBSTITUTE(SUBSTITUTE(SUBSTITUTE(SUBSTITUTE(LOWER(AC14&amp;""),CHAR(160),"")," ",""),".",""),"-",""),"/",""),"?",""),"_",""),",",""),"[",""),"]",""),"(",""),")",""),"*","")</f>
        <v/>
      </c>
      <c r="BA14" s="61" t="str">
        <f aca="false">SUBSTITUTE(SUBSTITUTE(SUBSTITUTE(SUBSTITUTE(SUBSTITUTE(SUBSTITUTE(SUBSTITUTE(SUBSTITUTE(SUBSTITUTE(SUBSTITUTE(SUBSTITUTE(SUBSTITUTE(SUBSTITUTE(LOWER(AA14&amp;""),CHAR(160),"")," ",""),".",""),"-",""),"/",""),"?",""),"_",""),",",""),"[",""),"]",""),"(",""),")",""),"*","")</f>
        <v/>
      </c>
      <c r="BB14" s="61" t="str">
        <f aca="false">IF(AND(TRIM(U14)="Pass",ISNUMBER(AF14)),IF(AF14&lt;&gt;0,"INVALID – qty variance: use Fail or Pass after CA",""),"")&amp;IF(AND(TRIM(U14)="Pass after CA",ISNUMBER(AF14)),IF(AF14&lt;&gt;0,"INVALID – after the corrective action the actual qty must equal expected (update Actual)",""),"")&amp;IF(AND(TRIM(U14)="Pass",TRIM(AB14)&lt;&gt;"",TRIM(AB14)&lt;&gt;"Closed"),"INVALID – corrective action not closed: use Fail, then Pass after CA","")&amp;IF(AND(TRIM(AA14)&lt;&gt;"",TRIM(AB14)=""),"INVALID – CA status missing for the recorded corrective action","")&amp;IF(AND(TRIM(U14)="Pass after CA",OR(OR(LEN(BA14)&lt;5,ISNUMBER(MATCH(BA14,L_Placeholder,0))),TRIM(AB14)&lt;&gt;"Closed")),"INVALID – corrective action not recorded/closed","")</f>
        <v/>
      </c>
    </row>
    <row r="15" customFormat="false" ht="39.75" hidden="false" customHeight="true" outlineLevel="0" collapsed="false">
      <c r="A15" s="57" t="s">
        <v>397</v>
      </c>
      <c r="B15" s="57" t="s">
        <v>180</v>
      </c>
      <c r="C15" s="57" t="str">
        <f aca="false">Flights!$F$5</f>
        <v>MH0001</v>
      </c>
      <c r="D15" s="58" t="n">
        <f aca="false">Flights!$D$5</f>
        <v>46303</v>
      </c>
      <c r="E15" s="57" t="str">
        <f aca="false">Flights!$G$5&amp;"-"&amp;Flights!$H$5</f>
        <v>LHR-KUL</v>
      </c>
      <c r="F15" s="57" t="str">
        <f aca="false">Flights!$K$5</f>
        <v>EY</v>
      </c>
      <c r="G15" s="57" t="s">
        <v>398</v>
      </c>
      <c r="H15" s="57" t="s">
        <v>356</v>
      </c>
      <c r="I15" s="57" t="s">
        <v>357</v>
      </c>
      <c r="J15" s="57" t="s">
        <v>399</v>
      </c>
      <c r="K15" s="67"/>
      <c r="L15" s="67" t="s">
        <v>400</v>
      </c>
      <c r="M15" s="67"/>
      <c r="N15" s="67" t="s">
        <v>361</v>
      </c>
      <c r="O15" s="67" t="s">
        <v>401</v>
      </c>
      <c r="P15" s="57" t="s">
        <v>183</v>
      </c>
      <c r="Q15" s="59" t="n">
        <f aca="false">ROUND((Flights!$AE$5)*1440,0)/1440</f>
        <v>46303.3576388889</v>
      </c>
      <c r="R15" s="59" t="n">
        <f aca="false">Q15+(IF(AND(INDEX(TZ_DSTS,MATCH(P15,TZ_STN,0))&lt;&gt;"",Q15&gt;=INDEX(TZ_DSTS,MATCH(P15,TZ_STN,0)),Q15&lt;INDEX(TZ_DSTE,MATCH(P15,TZ_STN,0))),INDEX(TZ_DST,MATCH(P15,TZ_STN,0)),INDEX(TZ_STD,MATCH(P15,TZ_STN,0))))/24</f>
        <v>46303.3993055556</v>
      </c>
      <c r="S15" s="59" t="n">
        <f aca="false">Q15-T12EarlyH/24</f>
        <v>46302.8576388889</v>
      </c>
      <c r="T15" s="60"/>
      <c r="U15" s="60"/>
      <c r="V15" s="60"/>
      <c r="W15" s="61"/>
      <c r="X15" s="60"/>
      <c r="Y15" s="60"/>
      <c r="Z15" s="60"/>
      <c r="AA15" s="60"/>
      <c r="AB15" s="60"/>
      <c r="AC15" s="60"/>
      <c r="AD15" s="66"/>
      <c r="AE15" s="60"/>
      <c r="AF15" s="61" t="str">
        <f aca="false">IF(AND(ISNUMBER(X15),ISNUMBER(Y15)),Y15-X15,"")</f>
        <v/>
      </c>
      <c r="AG15" s="62" t="str">
        <f aca="false">IF(ISNUMBER(AD15),AD15-(IF(AND(INDEX(TZ_DSTS,MATCH(P15,TZ_STN,0))&lt;&gt;"",(AD15-INDEX(TZ_STD,MATCH(P15,TZ_STN,0))/24)&gt;=INDEX(TZ_DSTS,MATCH(P15,TZ_STN,0)),(AD15-INDEX(TZ_STD,MATCH(P15,TZ_STN,0))/24)&lt;INDEX(TZ_DSTE,MATCH(P15,TZ_STN,0))),INDEX(TZ_DST,MATCH(P15,TZ_STN,0)),INDEX(TZ_STD,MATCH(P15,TZ_STN,0))))/24,"")</f>
        <v/>
      </c>
      <c r="AH15" s="65" t="str">
        <f aca="false">IFERROR(IF(N15="N/A – rule","N/A – RULE",IF(TRIM(U15)="N/A",IF(AT15=0,"INVALID – N/A not permitted for this check",IF(AND(TRIM(AB15)&lt;&gt;"",TRIM(AB15)&lt;&gt;"Closed"),"INVALID – corrective action still open",IF(AND(NOT(OR(LEN(AZ15)&lt;15,ISNUMBER(MATCH(AZ15,L_Placeholder,0)))),NOT(OR(LEN(AU15)&lt;2,ISNUMBER(MATCH(AU15,L_Placeholder,0)))),NOT(OR(LEN(AX15)&lt;2,ISNUMBER(MATCH(AX15,L_Placeholder,0)))),TRIM(AE15)&lt;&gt;TRIM(T15)),"N/A – JUSTIFIED","INVALID – N/A needs a real justification (15+ chars), PIC and a different verifier"))),IF(OR(TRIM(U15)="Pass",TRIM(U15)="Pass after CA"),IF(NOT(ISNUMBER(AD15)),"INVALID – completion time missing",IF(OR(LEN(AU15)&lt;2,ISNUMBER(MATCH(AU15,L_Placeholder,0))),"INVALID – PIC missing",IF(OR(LEN(AV15)&lt;2,ISNUMBER(MATCH(AV15,L_Placeholder,0))),"INVALID – result / assessment missing",IF(OR(OR(LEN(AW15)&lt;3,ISNUMBER(MATCH(AW15,L_Placeholder,0))),SUMPRODUCT(--ISNUMBER(SEARCH(L_EvidencePhrase,AW15)))&gt;0),"INVALID – evidence missing, placeholder or not yet on file",IF(OR(LEN(AX15)&lt;2,ISNUMBER(MATCH(AX15,L_Placeholder,0))),"INVALID – verifier missing",IF(AX15=AU15,"INVALID – verifier must be someone other than the PIC",IF(AND(TRIM(U15)="Pass",SUMPRODUCT(--ISNUMBER(SEARCH(L_ResultBad,AV15)))&gt;0),"INVALID – result describes a problem: use Fail, then Pass after CA",IF(AND(AQ15=1,OR(LEN(AY15)&lt;3,ISNUMBER(MATCH(AY15,L_Placeholder,0)))),"INVALID – batch ID missing or placeholder",IF(AND(AR15=1,OR(NOT(ISNUMBER(X15)),NOT(ISNUMBER(Y15)))),"INVALID – expected/actual qty missing",IF(AND(AR15=1,OR(X15&lt;=0,Y15&lt;0)),"INVALID – expected qty must be above 0 and actual not negative",IF(BB15&lt;&gt;"",BB15,IF(AND(AS15=1,Documents!$J$5&lt;&gt;"ON FILE"),"INVALID – GLD not on file (Documents sheet)",IF(AND(AS15=2,Documents!$O$5&lt;&gt;"ON FILE"),"INVALID – menu checklist not on file (Documents sheet)",IF(AND(AS15=3,NOT(ISNUMBER(Flights!$AX$5))),"INVALID – enter carrying flight KUL departure (Flights AX)",IF(AND(AS15=3,OR(Flights!$AZ$5&gt;Flights!$AA$5,Flights!$AX$5&lt;Flights!$AA$5-3)),"INVALID – carrying flight (Flights AX) cannot arrive before this leg's STD, or is over 3 days early",IF(AG15&gt;AsOfUTC,"INVALID – completion time is in the future",IF(AND(ISNUMBER(S15),AG15&lt;S15),IF(H15="Physical uplift","INVALID – before uplift window (cannot confirm loading)","INVALID – before valid window"),IF(AG15&gt;Flights!$AA$5,"INVALID – completed after departure (cannot establish readiness)",IF(AND(H15="Preparation",AG15&gt;IF(ISNUMBER(Flights!$BA$5),MIN(Flights!$BA$5,Flights!$AA$5),Flights!$AA$5)),"INVALID – completed after loading / departure (cannot establish readiness)",IF(AND(H15="Physical uplift",AG15&gt;Q15),"INVALID – recorded after the loading flight departed",IF(AG15&gt;Q15,"COMPLETE – LATE","COMPLETE"))))))))))))))))))))),IF(TRIM(U15)="Fail","FAIL – DISCREPANCY",IF(AND(TRIM(U15)&lt;&gt;"",TRIM(U15)&lt;&gt;"Not started",TRIM(U15)&lt;&gt;"In progress"),"INVALID – unrecognised status (use the list)",IF(AsOfUTC&gt;Q15,"OVERDUE",IF(N15="Clarification required","OPEN – CLARIFICATION","OPEN"))))))),"INVALID – error value in an input cell")</f>
        <v>OPEN</v>
      </c>
      <c r="AI15" s="61" t="n">
        <f aca="false">IF(OR(AH15="N/A – RULE",AH15="N/A – JUSTIFIED"),0,1)</f>
        <v>1</v>
      </c>
      <c r="AJ15" s="61" t="n">
        <f aca="false">IF(LEFT(AH15,8)="COMPLETE",1,0)</f>
        <v>0</v>
      </c>
      <c r="AK15" s="61" t="n">
        <f aca="false">IF(AND(AI15=1,AJ15=0,AsOfUTC&gt;Q15),1,0)</f>
        <v>0</v>
      </c>
      <c r="AL15" s="61" t="n">
        <f aca="false">IFERROR(IF(AND(AI15=1,OR(TRIM(U15)="Fail",AND(TRIM(AB15)&lt;&gt;"",TRIM(AB15)&lt;&gt;"Closed"),AND(ISNUMBER(AF15),AF15&lt;&gt;0,TRIM(U15)&lt;&gt;"Pass after CA"))),1,0),1)</f>
        <v>0</v>
      </c>
      <c r="AM15" s="61" t="n">
        <f aca="false">IF(LEFT(AH15,7)="INVALID",1,0)</f>
        <v>0</v>
      </c>
      <c r="AN15" s="61" t="n">
        <f aca="false">IF(AND(N15="Clarification required",AI15=1,AJ15=0),1,0)</f>
        <v>0</v>
      </c>
      <c r="AO15" s="61" t="str">
        <f aca="false">IF(AK15=1,SUM(AK$5:AK15),"")</f>
        <v/>
      </c>
      <c r="AP15" s="61" t="str">
        <f aca="false">IF(AL15=1,SUM(AL$5:AL15),"")</f>
        <v/>
      </c>
      <c r="AQ15" s="61" t="n">
        <v>0</v>
      </c>
      <c r="AR15" s="61" t="n">
        <v>0</v>
      </c>
      <c r="AS15" s="61" t="n">
        <v>0</v>
      </c>
      <c r="AT15" s="61" t="n">
        <v>0</v>
      </c>
      <c r="AU15" s="61" t="str">
        <f aca="false">SUBSTITUTE(SUBSTITUTE(SUBSTITUTE(SUBSTITUTE(SUBSTITUTE(SUBSTITUTE(SUBSTITUTE(SUBSTITUTE(SUBSTITUTE(SUBSTITUTE(SUBSTITUTE(SUBSTITUTE(SUBSTITUTE(LOWER(T15&amp;""),CHAR(160),"")," ",""),".",""),"-",""),"/",""),"?",""),"_",""),",",""),"[",""),"]",""),"(",""),")",""),"*","")</f>
        <v/>
      </c>
      <c r="AV15" s="61" t="str">
        <f aca="false">SUBSTITUTE(SUBSTITUTE(SUBSTITUTE(SUBSTITUTE(SUBSTITUTE(SUBSTITUTE(SUBSTITUTE(SUBSTITUTE(SUBSTITUTE(SUBSTITUTE(SUBSTITUTE(SUBSTITUTE(SUBSTITUTE(LOWER(V15&amp;""),CHAR(160),"")," ",""),".",""),"-",""),"/",""),"?",""),"_",""),",",""),"[",""),"]",""),"(",""),")",""),"*","")</f>
        <v/>
      </c>
      <c r="AW15" s="61" t="str">
        <f aca="false">SUBSTITUTE(SUBSTITUTE(SUBSTITUTE(SUBSTITUTE(SUBSTITUTE(SUBSTITUTE(SUBSTITUTE(SUBSTITUTE(SUBSTITUTE(SUBSTITUTE(SUBSTITUTE(SUBSTITUTE(SUBSTITUTE(LOWER(Z15&amp;""),CHAR(160),"")," ",""),".",""),"-",""),"/",""),"?",""),"_",""),",",""),"[",""),"]",""),"(",""),")",""),"*","")</f>
        <v/>
      </c>
      <c r="AX15" s="61" t="str">
        <f aca="false">SUBSTITUTE(SUBSTITUTE(SUBSTITUTE(SUBSTITUTE(SUBSTITUTE(SUBSTITUTE(SUBSTITUTE(SUBSTITUTE(SUBSTITUTE(SUBSTITUTE(SUBSTITUTE(SUBSTITUTE(SUBSTITUTE(LOWER(AE15&amp;""),CHAR(160),"")," ",""),".",""),"-",""),"/",""),"?",""),"_",""),",",""),"[",""),"]",""),"(",""),")",""),"*","")</f>
        <v/>
      </c>
      <c r="AY15" s="61" t="str">
        <f aca="false">SUBSTITUTE(SUBSTITUTE(SUBSTITUTE(SUBSTITUTE(SUBSTITUTE(SUBSTITUTE(SUBSTITUTE(SUBSTITUTE(SUBSTITUTE(SUBSTITUTE(SUBSTITUTE(SUBSTITUTE(SUBSTITUTE(LOWER(W15&amp;""),CHAR(160),"")," ",""),".",""),"-",""),"/",""),"?",""),"_",""),",",""),"[",""),"]",""),"(",""),")",""),"*","")</f>
        <v/>
      </c>
      <c r="AZ15" s="61" t="str">
        <f aca="false">SUBSTITUTE(SUBSTITUTE(SUBSTITUTE(SUBSTITUTE(SUBSTITUTE(SUBSTITUTE(SUBSTITUTE(SUBSTITUTE(SUBSTITUTE(SUBSTITUTE(SUBSTITUTE(SUBSTITUTE(SUBSTITUTE(LOWER(AC15&amp;""),CHAR(160),"")," ",""),".",""),"-",""),"/",""),"?",""),"_",""),",",""),"[",""),"]",""),"(",""),")",""),"*","")</f>
        <v/>
      </c>
      <c r="BA15" s="61" t="str">
        <f aca="false">SUBSTITUTE(SUBSTITUTE(SUBSTITUTE(SUBSTITUTE(SUBSTITUTE(SUBSTITUTE(SUBSTITUTE(SUBSTITUTE(SUBSTITUTE(SUBSTITUTE(SUBSTITUTE(SUBSTITUTE(SUBSTITUTE(LOWER(AA15&amp;""),CHAR(160),"")," ",""),".",""),"-",""),"/",""),"?",""),"_",""),",",""),"[",""),"]",""),"(",""),")",""),"*","")</f>
        <v/>
      </c>
      <c r="BB15" s="61" t="str">
        <f aca="false">IF(AND(TRIM(U15)="Pass",ISNUMBER(AF15)),IF(AF15&lt;&gt;0,"INVALID – qty variance: use Fail or Pass after CA",""),"")&amp;IF(AND(TRIM(U15)="Pass after CA",ISNUMBER(AF15)),IF(AF15&lt;&gt;0,"INVALID – after the corrective action the actual qty must equal expected (update Actual)",""),"")&amp;IF(AND(TRIM(U15)="Pass",TRIM(AB15)&lt;&gt;"",TRIM(AB15)&lt;&gt;"Closed"),"INVALID – corrective action not closed: use Fail, then Pass after CA","")&amp;IF(AND(TRIM(AA15)&lt;&gt;"",TRIM(AB15)=""),"INVALID – CA status missing for the recorded corrective action","")&amp;IF(AND(TRIM(U15)="Pass after CA",OR(OR(LEN(BA15)&lt;5,ISNUMBER(MATCH(BA15,L_Placeholder,0))),TRIM(AB15)&lt;&gt;"Closed")),"INVALID – corrective action not recorded/closed","")</f>
        <v/>
      </c>
    </row>
    <row r="16" customFormat="false" ht="39.75" hidden="false" customHeight="true" outlineLevel="0" collapsed="false">
      <c r="A16" s="57" t="s">
        <v>402</v>
      </c>
      <c r="B16" s="57" t="s">
        <v>180</v>
      </c>
      <c r="C16" s="57" t="str">
        <f aca="false">Flights!$F$5</f>
        <v>MH0001</v>
      </c>
      <c r="D16" s="58" t="n">
        <f aca="false">Flights!$D$5</f>
        <v>46303</v>
      </c>
      <c r="E16" s="57" t="str">
        <f aca="false">Flights!$G$5&amp;"-"&amp;Flights!$H$5</f>
        <v>LHR-KUL</v>
      </c>
      <c r="F16" s="57" t="str">
        <f aca="false">Flights!$K$5</f>
        <v>EY</v>
      </c>
      <c r="G16" s="57" t="s">
        <v>398</v>
      </c>
      <c r="H16" s="57" t="s">
        <v>356</v>
      </c>
      <c r="I16" s="57" t="s">
        <v>357</v>
      </c>
      <c r="J16" s="57" t="s">
        <v>403</v>
      </c>
      <c r="K16" s="67" t="s">
        <v>404</v>
      </c>
      <c r="L16" s="67" t="s">
        <v>400</v>
      </c>
      <c r="M16" s="67"/>
      <c r="N16" s="67" t="s">
        <v>361</v>
      </c>
      <c r="O16" s="67" t="s">
        <v>401</v>
      </c>
      <c r="P16" s="57" t="s">
        <v>183</v>
      </c>
      <c r="Q16" s="59" t="n">
        <f aca="false">ROUND((Flights!$AE$5)*1440,0)/1440</f>
        <v>46303.3576388889</v>
      </c>
      <c r="R16" s="59" t="n">
        <f aca="false">Q16+(IF(AND(INDEX(TZ_DSTS,MATCH(P16,TZ_STN,0))&lt;&gt;"",Q16&gt;=INDEX(TZ_DSTS,MATCH(P16,TZ_STN,0)),Q16&lt;INDEX(TZ_DSTE,MATCH(P16,TZ_STN,0))),INDEX(TZ_DST,MATCH(P16,TZ_STN,0)),INDEX(TZ_STD,MATCH(P16,TZ_STN,0))))/24</f>
        <v>46303.3993055556</v>
      </c>
      <c r="S16" s="59" t="n">
        <f aca="false">Q16-T12EarlyH/24</f>
        <v>46302.8576388889</v>
      </c>
      <c r="T16" s="60"/>
      <c r="U16" s="60"/>
      <c r="V16" s="60"/>
      <c r="W16" s="61"/>
      <c r="X16" s="60"/>
      <c r="Y16" s="60"/>
      <c r="Z16" s="60"/>
      <c r="AA16" s="60"/>
      <c r="AB16" s="60"/>
      <c r="AC16" s="60"/>
      <c r="AD16" s="66"/>
      <c r="AE16" s="60"/>
      <c r="AF16" s="61" t="str">
        <f aca="false">IF(AND(ISNUMBER(X16),ISNUMBER(Y16)),Y16-X16,"")</f>
        <v/>
      </c>
      <c r="AG16" s="62" t="str">
        <f aca="false">IF(ISNUMBER(AD16),AD16-(IF(AND(INDEX(TZ_DSTS,MATCH(P16,TZ_STN,0))&lt;&gt;"",(AD16-INDEX(TZ_STD,MATCH(P16,TZ_STN,0))/24)&gt;=INDEX(TZ_DSTS,MATCH(P16,TZ_STN,0)),(AD16-INDEX(TZ_STD,MATCH(P16,TZ_STN,0))/24)&lt;INDEX(TZ_DSTE,MATCH(P16,TZ_STN,0))),INDEX(TZ_DST,MATCH(P16,TZ_STN,0)),INDEX(TZ_STD,MATCH(P16,TZ_STN,0))))/24,"")</f>
        <v/>
      </c>
      <c r="AH16" s="65" t="str">
        <f aca="false">IFERROR(IF(N16="N/A – rule","N/A – RULE",IF(TRIM(U16)="N/A",IF(AT16=0,"INVALID – N/A not permitted for this check",IF(AND(TRIM(AB16)&lt;&gt;"",TRIM(AB16)&lt;&gt;"Closed"),"INVALID – corrective action still open",IF(AND(NOT(OR(LEN(AZ16)&lt;15,ISNUMBER(MATCH(AZ16,L_Placeholder,0)))),NOT(OR(LEN(AU16)&lt;2,ISNUMBER(MATCH(AU16,L_Placeholder,0)))),NOT(OR(LEN(AX16)&lt;2,ISNUMBER(MATCH(AX16,L_Placeholder,0)))),TRIM(AE16)&lt;&gt;TRIM(T16)),"N/A – JUSTIFIED","INVALID – N/A needs a real justification (15+ chars), PIC and a different verifier"))),IF(OR(TRIM(U16)="Pass",TRIM(U16)="Pass after CA"),IF(NOT(ISNUMBER(AD16)),"INVALID – completion time missing",IF(OR(LEN(AU16)&lt;2,ISNUMBER(MATCH(AU16,L_Placeholder,0))),"INVALID – PIC missing",IF(OR(LEN(AV16)&lt;2,ISNUMBER(MATCH(AV16,L_Placeholder,0))),"INVALID – result / assessment missing",IF(OR(OR(LEN(AW16)&lt;3,ISNUMBER(MATCH(AW16,L_Placeholder,0))),SUMPRODUCT(--ISNUMBER(SEARCH(L_EvidencePhrase,AW16)))&gt;0),"INVALID – evidence missing, placeholder or not yet on file",IF(OR(LEN(AX16)&lt;2,ISNUMBER(MATCH(AX16,L_Placeholder,0))),"INVALID – verifier missing",IF(AX16=AU16,"INVALID – verifier must be someone other than the PIC",IF(AND(TRIM(U16)="Pass",SUMPRODUCT(--ISNUMBER(SEARCH(L_ResultBad,AV16)))&gt;0),"INVALID – result describes a problem: use Fail, then Pass after CA",IF(AND(AQ16=1,OR(LEN(AY16)&lt;3,ISNUMBER(MATCH(AY16,L_Placeholder,0)))),"INVALID – batch ID missing or placeholder",IF(AND(AR16=1,OR(NOT(ISNUMBER(X16)),NOT(ISNUMBER(Y16)))),"INVALID – expected/actual qty missing",IF(AND(AR16=1,OR(X16&lt;=0,Y16&lt;0)),"INVALID – expected qty must be above 0 and actual not negative",IF(BB16&lt;&gt;"",BB16,IF(AND(AS16=1,Documents!$J$5&lt;&gt;"ON FILE"),"INVALID – GLD not on file (Documents sheet)",IF(AND(AS16=2,Documents!$O$5&lt;&gt;"ON FILE"),"INVALID – menu checklist not on file (Documents sheet)",IF(AND(AS16=3,NOT(ISNUMBER(Flights!$AX$5))),"INVALID – enter carrying flight KUL departure (Flights AX)",IF(AND(AS16=3,OR(Flights!$AZ$5&gt;Flights!$AA$5,Flights!$AX$5&lt;Flights!$AA$5-3)),"INVALID – carrying flight (Flights AX) cannot arrive before this leg's STD, or is over 3 days early",IF(AG16&gt;AsOfUTC,"INVALID – completion time is in the future",IF(AND(ISNUMBER(S16),AG16&lt;S16),IF(H16="Physical uplift","INVALID – before uplift window (cannot confirm loading)","INVALID – before valid window"),IF(AG16&gt;Flights!$AA$5,"INVALID – completed after departure (cannot establish readiness)",IF(AND(H16="Preparation",AG16&gt;IF(ISNUMBER(Flights!$BA$5),MIN(Flights!$BA$5,Flights!$AA$5),Flights!$AA$5)),"INVALID – completed after loading / departure (cannot establish readiness)",IF(AND(H16="Physical uplift",AG16&gt;Q16),"INVALID – recorded after the loading flight departed",IF(AG16&gt;Q16,"COMPLETE – LATE","COMPLETE"))))))))))))))))))))),IF(TRIM(U16)="Fail","FAIL – DISCREPANCY",IF(AND(TRIM(U16)&lt;&gt;"",TRIM(U16)&lt;&gt;"Not started",TRIM(U16)&lt;&gt;"In progress"),"INVALID – unrecognised status (use the list)",IF(AsOfUTC&gt;Q16,"OVERDUE",IF(N16="Clarification required","OPEN – CLARIFICATION","OPEN"))))))),"INVALID – error value in an input cell")</f>
        <v>OPEN</v>
      </c>
      <c r="AI16" s="61" t="n">
        <f aca="false">IF(OR(AH16="N/A – RULE",AH16="N/A – JUSTIFIED"),0,1)</f>
        <v>1</v>
      </c>
      <c r="AJ16" s="61" t="n">
        <f aca="false">IF(LEFT(AH16,8)="COMPLETE",1,0)</f>
        <v>0</v>
      </c>
      <c r="AK16" s="61" t="n">
        <f aca="false">IF(AND(AI16=1,AJ16=0,AsOfUTC&gt;Q16),1,0)</f>
        <v>0</v>
      </c>
      <c r="AL16" s="61" t="n">
        <f aca="false">IFERROR(IF(AND(AI16=1,OR(TRIM(U16)="Fail",AND(TRIM(AB16)&lt;&gt;"",TRIM(AB16)&lt;&gt;"Closed"),AND(ISNUMBER(AF16),AF16&lt;&gt;0,TRIM(U16)&lt;&gt;"Pass after CA"))),1,0),1)</f>
        <v>0</v>
      </c>
      <c r="AM16" s="61" t="n">
        <f aca="false">IF(LEFT(AH16,7)="INVALID",1,0)</f>
        <v>0</v>
      </c>
      <c r="AN16" s="61" t="n">
        <f aca="false">IF(AND(N16="Clarification required",AI16=1,AJ16=0),1,0)</f>
        <v>0</v>
      </c>
      <c r="AO16" s="61" t="str">
        <f aca="false">IF(AK16=1,SUM(AK$5:AK16),"")</f>
        <v/>
      </c>
      <c r="AP16" s="61" t="str">
        <f aca="false">IF(AL16=1,SUM(AL$5:AL16),"")</f>
        <v/>
      </c>
      <c r="AQ16" s="61" t="n">
        <v>0</v>
      </c>
      <c r="AR16" s="61" t="n">
        <v>1</v>
      </c>
      <c r="AS16" s="61" t="n">
        <v>0</v>
      </c>
      <c r="AT16" s="61" t="n">
        <v>0</v>
      </c>
      <c r="AU16" s="61" t="str">
        <f aca="false">SUBSTITUTE(SUBSTITUTE(SUBSTITUTE(SUBSTITUTE(SUBSTITUTE(SUBSTITUTE(SUBSTITUTE(SUBSTITUTE(SUBSTITUTE(SUBSTITUTE(SUBSTITUTE(SUBSTITUTE(SUBSTITUTE(LOWER(T16&amp;""),CHAR(160),"")," ",""),".",""),"-",""),"/",""),"?",""),"_",""),",",""),"[",""),"]",""),"(",""),")",""),"*","")</f>
        <v/>
      </c>
      <c r="AV16" s="61" t="str">
        <f aca="false">SUBSTITUTE(SUBSTITUTE(SUBSTITUTE(SUBSTITUTE(SUBSTITUTE(SUBSTITUTE(SUBSTITUTE(SUBSTITUTE(SUBSTITUTE(SUBSTITUTE(SUBSTITUTE(SUBSTITUTE(SUBSTITUTE(LOWER(V16&amp;""),CHAR(160),"")," ",""),".",""),"-",""),"/",""),"?",""),"_",""),",",""),"[",""),"]",""),"(",""),")",""),"*","")</f>
        <v/>
      </c>
      <c r="AW16" s="61" t="str">
        <f aca="false">SUBSTITUTE(SUBSTITUTE(SUBSTITUTE(SUBSTITUTE(SUBSTITUTE(SUBSTITUTE(SUBSTITUTE(SUBSTITUTE(SUBSTITUTE(SUBSTITUTE(SUBSTITUTE(SUBSTITUTE(SUBSTITUTE(LOWER(Z16&amp;""),CHAR(160),"")," ",""),".",""),"-",""),"/",""),"?",""),"_",""),",",""),"[",""),"]",""),"(",""),")",""),"*","")</f>
        <v/>
      </c>
      <c r="AX16" s="61" t="str">
        <f aca="false">SUBSTITUTE(SUBSTITUTE(SUBSTITUTE(SUBSTITUTE(SUBSTITUTE(SUBSTITUTE(SUBSTITUTE(SUBSTITUTE(SUBSTITUTE(SUBSTITUTE(SUBSTITUTE(SUBSTITUTE(SUBSTITUTE(LOWER(AE16&amp;""),CHAR(160),"")," ",""),".",""),"-",""),"/",""),"?",""),"_",""),",",""),"[",""),"]",""),"(",""),")",""),"*","")</f>
        <v/>
      </c>
      <c r="AY16" s="61" t="str">
        <f aca="false">SUBSTITUTE(SUBSTITUTE(SUBSTITUTE(SUBSTITUTE(SUBSTITUTE(SUBSTITUTE(SUBSTITUTE(SUBSTITUTE(SUBSTITUTE(SUBSTITUTE(SUBSTITUTE(SUBSTITUTE(SUBSTITUTE(LOWER(W16&amp;""),CHAR(160),"")," ",""),".",""),"-",""),"/",""),"?",""),"_",""),",",""),"[",""),"]",""),"(",""),")",""),"*","")</f>
        <v/>
      </c>
      <c r="AZ16" s="61" t="str">
        <f aca="false">SUBSTITUTE(SUBSTITUTE(SUBSTITUTE(SUBSTITUTE(SUBSTITUTE(SUBSTITUTE(SUBSTITUTE(SUBSTITUTE(SUBSTITUTE(SUBSTITUTE(SUBSTITUTE(SUBSTITUTE(SUBSTITUTE(LOWER(AC16&amp;""),CHAR(160),"")," ",""),".",""),"-",""),"/",""),"?",""),"_",""),",",""),"[",""),"]",""),"(",""),")",""),"*","")</f>
        <v/>
      </c>
      <c r="BA16" s="61" t="str">
        <f aca="false">SUBSTITUTE(SUBSTITUTE(SUBSTITUTE(SUBSTITUTE(SUBSTITUTE(SUBSTITUTE(SUBSTITUTE(SUBSTITUTE(SUBSTITUTE(SUBSTITUTE(SUBSTITUTE(SUBSTITUTE(SUBSTITUTE(LOWER(AA16&amp;""),CHAR(160),"")," ",""),".",""),"-",""),"/",""),"?",""),"_",""),",",""),"[",""),"]",""),"(",""),")",""),"*","")</f>
        <v/>
      </c>
      <c r="BB16" s="61" t="str">
        <f aca="false">IF(AND(TRIM(U16)="Pass",ISNUMBER(AF16)),IF(AF16&lt;&gt;0,"INVALID – qty variance: use Fail or Pass after CA",""),"")&amp;IF(AND(TRIM(U16)="Pass after CA",ISNUMBER(AF16)),IF(AF16&lt;&gt;0,"INVALID – after the corrective action the actual qty must equal expected (update Actual)",""),"")&amp;IF(AND(TRIM(U16)="Pass",TRIM(AB16)&lt;&gt;"",TRIM(AB16)&lt;&gt;"Closed"),"INVALID – corrective action not closed: use Fail, then Pass after CA","")&amp;IF(AND(TRIM(AA16)&lt;&gt;"",TRIM(AB16)=""),"INVALID – CA status missing for the recorded corrective action","")&amp;IF(AND(TRIM(U16)="Pass after CA",OR(OR(LEN(BA16)&lt;5,ISNUMBER(MATCH(BA16,L_Placeholder,0))),TRIM(AB16)&lt;&gt;"Closed")),"INVALID – corrective action not recorded/closed","")</f>
        <v/>
      </c>
    </row>
    <row r="17" customFormat="false" ht="39.75" hidden="false" customHeight="true" outlineLevel="0" collapsed="false">
      <c r="A17" s="57" t="s">
        <v>405</v>
      </c>
      <c r="B17" s="57" t="s">
        <v>180</v>
      </c>
      <c r="C17" s="57" t="str">
        <f aca="false">Flights!$F$5</f>
        <v>MH0001</v>
      </c>
      <c r="D17" s="58" t="n">
        <f aca="false">Flights!$D$5</f>
        <v>46303</v>
      </c>
      <c r="E17" s="57" t="str">
        <f aca="false">Flights!$G$5&amp;"-"&amp;Flights!$H$5</f>
        <v>LHR-KUL</v>
      </c>
      <c r="F17" s="57" t="str">
        <f aca="false">Flights!$K$5</f>
        <v>EY</v>
      </c>
      <c r="G17" s="57" t="s">
        <v>398</v>
      </c>
      <c r="H17" s="57" t="s">
        <v>356</v>
      </c>
      <c r="I17" s="57" t="s">
        <v>406</v>
      </c>
      <c r="J17" s="57" t="s">
        <v>407</v>
      </c>
      <c r="K17" s="67"/>
      <c r="L17" s="67" t="s">
        <v>400</v>
      </c>
      <c r="M17" s="67"/>
      <c r="N17" s="67" t="s">
        <v>361</v>
      </c>
      <c r="O17" s="67" t="s">
        <v>401</v>
      </c>
      <c r="P17" s="57" t="s">
        <v>183</v>
      </c>
      <c r="Q17" s="59" t="n">
        <f aca="false">ROUND((Flights!$AE$5)*1440,0)/1440</f>
        <v>46303.3576388889</v>
      </c>
      <c r="R17" s="59" t="n">
        <f aca="false">Q17+(IF(AND(INDEX(TZ_DSTS,MATCH(P17,TZ_STN,0))&lt;&gt;"",Q17&gt;=INDEX(TZ_DSTS,MATCH(P17,TZ_STN,0)),Q17&lt;INDEX(TZ_DSTE,MATCH(P17,TZ_STN,0))),INDEX(TZ_DST,MATCH(P17,TZ_STN,0)),INDEX(TZ_STD,MATCH(P17,TZ_STN,0))))/24</f>
        <v>46303.3993055556</v>
      </c>
      <c r="S17" s="59" t="n">
        <f aca="false">Q17-T12EarlyH/24</f>
        <v>46302.8576388889</v>
      </c>
      <c r="T17" s="60"/>
      <c r="U17" s="60"/>
      <c r="V17" s="60"/>
      <c r="W17" s="61"/>
      <c r="X17" s="60"/>
      <c r="Y17" s="60"/>
      <c r="Z17" s="60"/>
      <c r="AA17" s="60"/>
      <c r="AB17" s="60"/>
      <c r="AC17" s="60"/>
      <c r="AD17" s="66"/>
      <c r="AE17" s="60"/>
      <c r="AF17" s="61" t="str">
        <f aca="false">IF(AND(ISNUMBER(X17),ISNUMBER(Y17)),Y17-X17,"")</f>
        <v/>
      </c>
      <c r="AG17" s="62" t="str">
        <f aca="false">IF(ISNUMBER(AD17),AD17-(IF(AND(INDEX(TZ_DSTS,MATCH(P17,TZ_STN,0))&lt;&gt;"",(AD17-INDEX(TZ_STD,MATCH(P17,TZ_STN,0))/24)&gt;=INDEX(TZ_DSTS,MATCH(P17,TZ_STN,0)),(AD17-INDEX(TZ_STD,MATCH(P17,TZ_STN,0))/24)&lt;INDEX(TZ_DSTE,MATCH(P17,TZ_STN,0))),INDEX(TZ_DST,MATCH(P17,TZ_STN,0)),INDEX(TZ_STD,MATCH(P17,TZ_STN,0))))/24,"")</f>
        <v/>
      </c>
      <c r="AH17" s="65" t="str">
        <f aca="false">IFERROR(IF(N17="N/A – rule","N/A – RULE",IF(TRIM(U17)="N/A",IF(AT17=0,"INVALID – N/A not permitted for this check",IF(AND(TRIM(AB17)&lt;&gt;"",TRIM(AB17)&lt;&gt;"Closed"),"INVALID – corrective action still open",IF(AND(NOT(OR(LEN(AZ17)&lt;15,ISNUMBER(MATCH(AZ17,L_Placeholder,0)))),NOT(OR(LEN(AU17)&lt;2,ISNUMBER(MATCH(AU17,L_Placeholder,0)))),NOT(OR(LEN(AX17)&lt;2,ISNUMBER(MATCH(AX17,L_Placeholder,0)))),TRIM(AE17)&lt;&gt;TRIM(T17)),"N/A – JUSTIFIED","INVALID – N/A needs a real justification (15+ chars), PIC and a different verifier"))),IF(OR(TRIM(U17)="Pass",TRIM(U17)="Pass after CA"),IF(NOT(ISNUMBER(AD17)),"INVALID – completion time missing",IF(OR(LEN(AU17)&lt;2,ISNUMBER(MATCH(AU17,L_Placeholder,0))),"INVALID – PIC missing",IF(OR(LEN(AV17)&lt;2,ISNUMBER(MATCH(AV17,L_Placeholder,0))),"INVALID – result / assessment missing",IF(OR(OR(LEN(AW17)&lt;3,ISNUMBER(MATCH(AW17,L_Placeholder,0))),SUMPRODUCT(--ISNUMBER(SEARCH(L_EvidencePhrase,AW17)))&gt;0),"INVALID – evidence missing, placeholder or not yet on file",IF(OR(LEN(AX17)&lt;2,ISNUMBER(MATCH(AX17,L_Placeholder,0))),"INVALID – verifier missing",IF(AX17=AU17,"INVALID – verifier must be someone other than the PIC",IF(AND(TRIM(U17)="Pass",SUMPRODUCT(--ISNUMBER(SEARCH(L_ResultBad,AV17)))&gt;0),"INVALID – result describes a problem: use Fail, then Pass after CA",IF(AND(AQ17=1,OR(LEN(AY17)&lt;3,ISNUMBER(MATCH(AY17,L_Placeholder,0)))),"INVALID – batch ID missing or placeholder",IF(AND(AR17=1,OR(NOT(ISNUMBER(X17)),NOT(ISNUMBER(Y17)))),"INVALID – expected/actual qty missing",IF(AND(AR17=1,OR(X17&lt;=0,Y17&lt;0)),"INVALID – expected qty must be above 0 and actual not negative",IF(BB17&lt;&gt;"",BB17,IF(AND(AS17=1,Documents!$J$5&lt;&gt;"ON FILE"),"INVALID – GLD not on file (Documents sheet)",IF(AND(AS17=2,Documents!$O$5&lt;&gt;"ON FILE"),"INVALID – menu checklist not on file (Documents sheet)",IF(AND(AS17=3,NOT(ISNUMBER(Flights!$AX$5))),"INVALID – enter carrying flight KUL departure (Flights AX)",IF(AND(AS17=3,OR(Flights!$AZ$5&gt;Flights!$AA$5,Flights!$AX$5&lt;Flights!$AA$5-3)),"INVALID – carrying flight (Flights AX) cannot arrive before this leg's STD, or is over 3 days early",IF(AG17&gt;AsOfUTC,"INVALID – completion time is in the future",IF(AND(ISNUMBER(S17),AG17&lt;S17),IF(H17="Physical uplift","INVALID – before uplift window (cannot confirm loading)","INVALID – before valid window"),IF(AG17&gt;Flights!$AA$5,"INVALID – completed after departure (cannot establish readiness)",IF(AND(H17="Preparation",AG17&gt;IF(ISNUMBER(Flights!$BA$5),MIN(Flights!$BA$5,Flights!$AA$5),Flights!$AA$5)),"INVALID – completed after loading / departure (cannot establish readiness)",IF(AND(H17="Physical uplift",AG17&gt;Q17),"INVALID – recorded after the loading flight departed",IF(AG17&gt;Q17,"COMPLETE – LATE","COMPLETE"))))))))))))))))))))),IF(TRIM(U17)="Fail","FAIL – DISCREPANCY",IF(AND(TRIM(U17)&lt;&gt;"",TRIM(U17)&lt;&gt;"Not started",TRIM(U17)&lt;&gt;"In progress"),"INVALID – unrecognised status (use the list)",IF(AsOfUTC&gt;Q17,"OVERDUE",IF(N17="Clarification required","OPEN – CLARIFICATION","OPEN"))))))),"INVALID – error value in an input cell")</f>
        <v>OPEN</v>
      </c>
      <c r="AI17" s="61" t="n">
        <f aca="false">IF(OR(AH17="N/A – RULE",AH17="N/A – JUSTIFIED"),0,1)</f>
        <v>1</v>
      </c>
      <c r="AJ17" s="61" t="n">
        <f aca="false">IF(LEFT(AH17,8)="COMPLETE",1,0)</f>
        <v>0</v>
      </c>
      <c r="AK17" s="61" t="n">
        <f aca="false">IF(AND(AI17=1,AJ17=0,AsOfUTC&gt;Q17),1,0)</f>
        <v>0</v>
      </c>
      <c r="AL17" s="61" t="n">
        <f aca="false">IFERROR(IF(AND(AI17=1,OR(TRIM(U17)="Fail",AND(TRIM(AB17)&lt;&gt;"",TRIM(AB17)&lt;&gt;"Closed"),AND(ISNUMBER(AF17),AF17&lt;&gt;0,TRIM(U17)&lt;&gt;"Pass after CA"))),1,0),1)</f>
        <v>0</v>
      </c>
      <c r="AM17" s="61" t="n">
        <f aca="false">IF(LEFT(AH17,7)="INVALID",1,0)</f>
        <v>0</v>
      </c>
      <c r="AN17" s="61" t="n">
        <f aca="false">IF(AND(N17="Clarification required",AI17=1,AJ17=0),1,0)</f>
        <v>0</v>
      </c>
      <c r="AO17" s="61" t="str">
        <f aca="false">IF(AK17=1,SUM(AK$5:AK17),"")</f>
        <v/>
      </c>
      <c r="AP17" s="61" t="str">
        <f aca="false">IF(AL17=1,SUM(AL$5:AL17),"")</f>
        <v/>
      </c>
      <c r="AQ17" s="61" t="n">
        <v>0</v>
      </c>
      <c r="AR17" s="61" t="n">
        <v>0</v>
      </c>
      <c r="AS17" s="61" t="n">
        <v>0</v>
      </c>
      <c r="AT17" s="61" t="n">
        <v>0</v>
      </c>
      <c r="AU17" s="61" t="str">
        <f aca="false">SUBSTITUTE(SUBSTITUTE(SUBSTITUTE(SUBSTITUTE(SUBSTITUTE(SUBSTITUTE(SUBSTITUTE(SUBSTITUTE(SUBSTITUTE(SUBSTITUTE(SUBSTITUTE(SUBSTITUTE(SUBSTITUTE(LOWER(T17&amp;""),CHAR(160),"")," ",""),".",""),"-",""),"/",""),"?",""),"_",""),",",""),"[",""),"]",""),"(",""),")",""),"*","")</f>
        <v/>
      </c>
      <c r="AV17" s="61" t="str">
        <f aca="false">SUBSTITUTE(SUBSTITUTE(SUBSTITUTE(SUBSTITUTE(SUBSTITUTE(SUBSTITUTE(SUBSTITUTE(SUBSTITUTE(SUBSTITUTE(SUBSTITUTE(SUBSTITUTE(SUBSTITUTE(SUBSTITUTE(LOWER(V17&amp;""),CHAR(160),"")," ",""),".",""),"-",""),"/",""),"?",""),"_",""),",",""),"[",""),"]",""),"(",""),")",""),"*","")</f>
        <v/>
      </c>
      <c r="AW17" s="61" t="str">
        <f aca="false">SUBSTITUTE(SUBSTITUTE(SUBSTITUTE(SUBSTITUTE(SUBSTITUTE(SUBSTITUTE(SUBSTITUTE(SUBSTITUTE(SUBSTITUTE(SUBSTITUTE(SUBSTITUTE(SUBSTITUTE(SUBSTITUTE(LOWER(Z17&amp;""),CHAR(160),"")," ",""),".",""),"-",""),"/",""),"?",""),"_",""),",",""),"[",""),"]",""),"(",""),")",""),"*","")</f>
        <v/>
      </c>
      <c r="AX17" s="61" t="str">
        <f aca="false">SUBSTITUTE(SUBSTITUTE(SUBSTITUTE(SUBSTITUTE(SUBSTITUTE(SUBSTITUTE(SUBSTITUTE(SUBSTITUTE(SUBSTITUTE(SUBSTITUTE(SUBSTITUTE(SUBSTITUTE(SUBSTITUTE(LOWER(AE17&amp;""),CHAR(160),"")," ",""),".",""),"-",""),"/",""),"?",""),"_",""),",",""),"[",""),"]",""),"(",""),")",""),"*","")</f>
        <v/>
      </c>
      <c r="AY17" s="61" t="str">
        <f aca="false">SUBSTITUTE(SUBSTITUTE(SUBSTITUTE(SUBSTITUTE(SUBSTITUTE(SUBSTITUTE(SUBSTITUTE(SUBSTITUTE(SUBSTITUTE(SUBSTITUTE(SUBSTITUTE(SUBSTITUTE(SUBSTITUTE(LOWER(W17&amp;""),CHAR(160),"")," ",""),".",""),"-",""),"/",""),"?",""),"_",""),",",""),"[",""),"]",""),"(",""),")",""),"*","")</f>
        <v/>
      </c>
      <c r="AZ17" s="61" t="str">
        <f aca="false">SUBSTITUTE(SUBSTITUTE(SUBSTITUTE(SUBSTITUTE(SUBSTITUTE(SUBSTITUTE(SUBSTITUTE(SUBSTITUTE(SUBSTITUTE(SUBSTITUTE(SUBSTITUTE(SUBSTITUTE(SUBSTITUTE(LOWER(AC17&amp;""),CHAR(160),"")," ",""),".",""),"-",""),"/",""),"?",""),"_",""),",",""),"[",""),"]",""),"(",""),")",""),"*","")</f>
        <v/>
      </c>
      <c r="BA17" s="61" t="str">
        <f aca="false">SUBSTITUTE(SUBSTITUTE(SUBSTITUTE(SUBSTITUTE(SUBSTITUTE(SUBSTITUTE(SUBSTITUTE(SUBSTITUTE(SUBSTITUTE(SUBSTITUTE(SUBSTITUTE(SUBSTITUTE(SUBSTITUTE(LOWER(AA17&amp;""),CHAR(160),"")," ",""),".",""),"-",""),"/",""),"?",""),"_",""),",",""),"[",""),"]",""),"(",""),")",""),"*","")</f>
        <v/>
      </c>
      <c r="BB17" s="61" t="str">
        <f aca="false">IF(AND(TRIM(U17)="Pass",ISNUMBER(AF17)),IF(AF17&lt;&gt;0,"INVALID – qty variance: use Fail or Pass after CA",""),"")&amp;IF(AND(TRIM(U17)="Pass after CA",ISNUMBER(AF17)),IF(AF17&lt;&gt;0,"INVALID – after the corrective action the actual qty must equal expected (update Actual)",""),"")&amp;IF(AND(TRIM(U17)="Pass",TRIM(AB17)&lt;&gt;"",TRIM(AB17)&lt;&gt;"Closed"),"INVALID – corrective action not closed: use Fail, then Pass after CA","")&amp;IF(AND(TRIM(AA17)&lt;&gt;"",TRIM(AB17)=""),"INVALID – CA status missing for the recorded corrective action","")&amp;IF(AND(TRIM(U17)="Pass after CA",OR(OR(LEN(BA17)&lt;5,ISNUMBER(MATCH(BA17,L_Placeholder,0))),TRIM(AB17)&lt;&gt;"Closed")),"INVALID – corrective action not recorded/closed","")</f>
        <v/>
      </c>
    </row>
    <row r="18" customFormat="false" ht="39.75" hidden="false" customHeight="true" outlineLevel="0" collapsed="false">
      <c r="A18" s="57" t="s">
        <v>408</v>
      </c>
      <c r="B18" s="57" t="s">
        <v>180</v>
      </c>
      <c r="C18" s="57" t="str">
        <f aca="false">Flights!$F$5</f>
        <v>MH0001</v>
      </c>
      <c r="D18" s="58" t="n">
        <f aca="false">Flights!$D$5</f>
        <v>46303</v>
      </c>
      <c r="E18" s="57" t="str">
        <f aca="false">Flights!$G$5&amp;"-"&amp;Flights!$H$5</f>
        <v>LHR-KUL</v>
      </c>
      <c r="F18" s="57" t="str">
        <f aca="false">Flights!$K$5</f>
        <v>EY</v>
      </c>
      <c r="G18" s="57" t="s">
        <v>398</v>
      </c>
      <c r="H18" s="57" t="s">
        <v>356</v>
      </c>
      <c r="I18" s="57" t="s">
        <v>406</v>
      </c>
      <c r="J18" s="57" t="s">
        <v>409</v>
      </c>
      <c r="K18" s="67"/>
      <c r="L18" s="67" t="s">
        <v>400</v>
      </c>
      <c r="M18" s="67"/>
      <c r="N18" s="67" t="s">
        <v>361</v>
      </c>
      <c r="O18" s="67" t="s">
        <v>401</v>
      </c>
      <c r="P18" s="57" t="s">
        <v>183</v>
      </c>
      <c r="Q18" s="59" t="n">
        <f aca="false">ROUND((Flights!$AE$5)*1440,0)/1440</f>
        <v>46303.3576388889</v>
      </c>
      <c r="R18" s="59" t="n">
        <f aca="false">Q18+(IF(AND(INDEX(TZ_DSTS,MATCH(P18,TZ_STN,0))&lt;&gt;"",Q18&gt;=INDEX(TZ_DSTS,MATCH(P18,TZ_STN,0)),Q18&lt;INDEX(TZ_DSTE,MATCH(P18,TZ_STN,0))),INDEX(TZ_DST,MATCH(P18,TZ_STN,0)),INDEX(TZ_STD,MATCH(P18,TZ_STN,0))))/24</f>
        <v>46303.3993055556</v>
      </c>
      <c r="S18" s="59" t="n">
        <f aca="false">Q18-T12EarlyH/24</f>
        <v>46302.8576388889</v>
      </c>
      <c r="T18" s="60"/>
      <c r="U18" s="60"/>
      <c r="V18" s="60"/>
      <c r="W18" s="61"/>
      <c r="X18" s="60"/>
      <c r="Y18" s="60"/>
      <c r="Z18" s="60"/>
      <c r="AA18" s="60"/>
      <c r="AB18" s="60"/>
      <c r="AC18" s="60"/>
      <c r="AD18" s="66"/>
      <c r="AE18" s="60"/>
      <c r="AF18" s="61" t="str">
        <f aca="false">IF(AND(ISNUMBER(X18),ISNUMBER(Y18)),Y18-X18,"")</f>
        <v/>
      </c>
      <c r="AG18" s="62" t="str">
        <f aca="false">IF(ISNUMBER(AD18),AD18-(IF(AND(INDEX(TZ_DSTS,MATCH(P18,TZ_STN,0))&lt;&gt;"",(AD18-INDEX(TZ_STD,MATCH(P18,TZ_STN,0))/24)&gt;=INDEX(TZ_DSTS,MATCH(P18,TZ_STN,0)),(AD18-INDEX(TZ_STD,MATCH(P18,TZ_STN,0))/24)&lt;INDEX(TZ_DSTE,MATCH(P18,TZ_STN,0))),INDEX(TZ_DST,MATCH(P18,TZ_STN,0)),INDEX(TZ_STD,MATCH(P18,TZ_STN,0))))/24,"")</f>
        <v/>
      </c>
      <c r="AH18" s="65" t="str">
        <f aca="false">IFERROR(IF(N18="N/A – rule","N/A – RULE",IF(TRIM(U18)="N/A",IF(AT18=0,"INVALID – N/A not permitted for this check",IF(AND(TRIM(AB18)&lt;&gt;"",TRIM(AB18)&lt;&gt;"Closed"),"INVALID – corrective action still open",IF(AND(NOT(OR(LEN(AZ18)&lt;15,ISNUMBER(MATCH(AZ18,L_Placeholder,0)))),NOT(OR(LEN(AU18)&lt;2,ISNUMBER(MATCH(AU18,L_Placeholder,0)))),NOT(OR(LEN(AX18)&lt;2,ISNUMBER(MATCH(AX18,L_Placeholder,0)))),TRIM(AE18)&lt;&gt;TRIM(T18)),"N/A – JUSTIFIED","INVALID – N/A needs a real justification (15+ chars), PIC and a different verifier"))),IF(OR(TRIM(U18)="Pass",TRIM(U18)="Pass after CA"),IF(NOT(ISNUMBER(AD18)),"INVALID – completion time missing",IF(OR(LEN(AU18)&lt;2,ISNUMBER(MATCH(AU18,L_Placeholder,0))),"INVALID – PIC missing",IF(OR(LEN(AV18)&lt;2,ISNUMBER(MATCH(AV18,L_Placeholder,0))),"INVALID – result / assessment missing",IF(OR(OR(LEN(AW18)&lt;3,ISNUMBER(MATCH(AW18,L_Placeholder,0))),SUMPRODUCT(--ISNUMBER(SEARCH(L_EvidencePhrase,AW18)))&gt;0),"INVALID – evidence missing, placeholder or not yet on file",IF(OR(LEN(AX18)&lt;2,ISNUMBER(MATCH(AX18,L_Placeholder,0))),"INVALID – verifier missing",IF(AX18=AU18,"INVALID – verifier must be someone other than the PIC",IF(AND(TRIM(U18)="Pass",SUMPRODUCT(--ISNUMBER(SEARCH(L_ResultBad,AV18)))&gt;0),"INVALID – result describes a problem: use Fail, then Pass after CA",IF(AND(AQ18=1,OR(LEN(AY18)&lt;3,ISNUMBER(MATCH(AY18,L_Placeholder,0)))),"INVALID – batch ID missing or placeholder",IF(AND(AR18=1,OR(NOT(ISNUMBER(X18)),NOT(ISNUMBER(Y18)))),"INVALID – expected/actual qty missing",IF(AND(AR18=1,OR(X18&lt;=0,Y18&lt;0)),"INVALID – expected qty must be above 0 and actual not negative",IF(BB18&lt;&gt;"",BB18,IF(AND(AS18=1,Documents!$J$5&lt;&gt;"ON FILE"),"INVALID – GLD not on file (Documents sheet)",IF(AND(AS18=2,Documents!$O$5&lt;&gt;"ON FILE"),"INVALID – menu checklist not on file (Documents sheet)",IF(AND(AS18=3,NOT(ISNUMBER(Flights!$AX$5))),"INVALID – enter carrying flight KUL departure (Flights AX)",IF(AND(AS18=3,OR(Flights!$AZ$5&gt;Flights!$AA$5,Flights!$AX$5&lt;Flights!$AA$5-3)),"INVALID – carrying flight (Flights AX) cannot arrive before this leg's STD, or is over 3 days early",IF(AG18&gt;AsOfUTC,"INVALID – completion time is in the future",IF(AND(ISNUMBER(S18),AG18&lt;S18),IF(H18="Physical uplift","INVALID – before uplift window (cannot confirm loading)","INVALID – before valid window"),IF(AG18&gt;Flights!$AA$5,"INVALID – completed after departure (cannot establish readiness)",IF(AND(H18="Preparation",AG18&gt;IF(ISNUMBER(Flights!$BA$5),MIN(Flights!$BA$5,Flights!$AA$5),Flights!$AA$5)),"INVALID – completed after loading / departure (cannot establish readiness)",IF(AND(H18="Physical uplift",AG18&gt;Q18),"INVALID – recorded after the loading flight departed",IF(AG18&gt;Q18,"COMPLETE – LATE","COMPLETE"))))))))))))))))))))),IF(TRIM(U18)="Fail","FAIL – DISCREPANCY",IF(AND(TRIM(U18)&lt;&gt;"",TRIM(U18)&lt;&gt;"Not started",TRIM(U18)&lt;&gt;"In progress"),"INVALID – unrecognised status (use the list)",IF(AsOfUTC&gt;Q18,"OVERDUE",IF(N18="Clarification required","OPEN – CLARIFICATION","OPEN"))))))),"INVALID – error value in an input cell")</f>
        <v>OPEN</v>
      </c>
      <c r="AI18" s="61" t="n">
        <f aca="false">IF(OR(AH18="N/A – RULE",AH18="N/A – JUSTIFIED"),0,1)</f>
        <v>1</v>
      </c>
      <c r="AJ18" s="61" t="n">
        <f aca="false">IF(LEFT(AH18,8)="COMPLETE",1,0)</f>
        <v>0</v>
      </c>
      <c r="AK18" s="61" t="n">
        <f aca="false">IF(AND(AI18=1,AJ18=0,AsOfUTC&gt;Q18),1,0)</f>
        <v>0</v>
      </c>
      <c r="AL18" s="61" t="n">
        <f aca="false">IFERROR(IF(AND(AI18=1,OR(TRIM(U18)="Fail",AND(TRIM(AB18)&lt;&gt;"",TRIM(AB18)&lt;&gt;"Closed"),AND(ISNUMBER(AF18),AF18&lt;&gt;0,TRIM(U18)&lt;&gt;"Pass after CA"))),1,0),1)</f>
        <v>0</v>
      </c>
      <c r="AM18" s="61" t="n">
        <f aca="false">IF(LEFT(AH18,7)="INVALID",1,0)</f>
        <v>0</v>
      </c>
      <c r="AN18" s="61" t="n">
        <f aca="false">IF(AND(N18="Clarification required",AI18=1,AJ18=0),1,0)</f>
        <v>0</v>
      </c>
      <c r="AO18" s="61" t="str">
        <f aca="false">IF(AK18=1,SUM(AK$5:AK18),"")</f>
        <v/>
      </c>
      <c r="AP18" s="61" t="str">
        <f aca="false">IF(AL18=1,SUM(AL$5:AL18),"")</f>
        <v/>
      </c>
      <c r="AQ18" s="61" t="n">
        <v>0</v>
      </c>
      <c r="AR18" s="61" t="n">
        <v>0</v>
      </c>
      <c r="AS18" s="61" t="n">
        <v>0</v>
      </c>
      <c r="AT18" s="61" t="n">
        <v>0</v>
      </c>
      <c r="AU18" s="61" t="str">
        <f aca="false">SUBSTITUTE(SUBSTITUTE(SUBSTITUTE(SUBSTITUTE(SUBSTITUTE(SUBSTITUTE(SUBSTITUTE(SUBSTITUTE(SUBSTITUTE(SUBSTITUTE(SUBSTITUTE(SUBSTITUTE(SUBSTITUTE(LOWER(T18&amp;""),CHAR(160),"")," ",""),".",""),"-",""),"/",""),"?",""),"_",""),",",""),"[",""),"]",""),"(",""),")",""),"*","")</f>
        <v/>
      </c>
      <c r="AV18" s="61" t="str">
        <f aca="false">SUBSTITUTE(SUBSTITUTE(SUBSTITUTE(SUBSTITUTE(SUBSTITUTE(SUBSTITUTE(SUBSTITUTE(SUBSTITUTE(SUBSTITUTE(SUBSTITUTE(SUBSTITUTE(SUBSTITUTE(SUBSTITUTE(LOWER(V18&amp;""),CHAR(160),"")," ",""),".",""),"-",""),"/",""),"?",""),"_",""),",",""),"[",""),"]",""),"(",""),")",""),"*","")</f>
        <v/>
      </c>
      <c r="AW18" s="61" t="str">
        <f aca="false">SUBSTITUTE(SUBSTITUTE(SUBSTITUTE(SUBSTITUTE(SUBSTITUTE(SUBSTITUTE(SUBSTITUTE(SUBSTITUTE(SUBSTITUTE(SUBSTITUTE(SUBSTITUTE(SUBSTITUTE(SUBSTITUTE(LOWER(Z18&amp;""),CHAR(160),"")," ",""),".",""),"-",""),"/",""),"?",""),"_",""),",",""),"[",""),"]",""),"(",""),")",""),"*","")</f>
        <v/>
      </c>
      <c r="AX18" s="61" t="str">
        <f aca="false">SUBSTITUTE(SUBSTITUTE(SUBSTITUTE(SUBSTITUTE(SUBSTITUTE(SUBSTITUTE(SUBSTITUTE(SUBSTITUTE(SUBSTITUTE(SUBSTITUTE(SUBSTITUTE(SUBSTITUTE(SUBSTITUTE(LOWER(AE18&amp;""),CHAR(160),"")," ",""),".",""),"-",""),"/",""),"?",""),"_",""),",",""),"[",""),"]",""),"(",""),")",""),"*","")</f>
        <v/>
      </c>
      <c r="AY18" s="61" t="str">
        <f aca="false">SUBSTITUTE(SUBSTITUTE(SUBSTITUTE(SUBSTITUTE(SUBSTITUTE(SUBSTITUTE(SUBSTITUTE(SUBSTITUTE(SUBSTITUTE(SUBSTITUTE(SUBSTITUTE(SUBSTITUTE(SUBSTITUTE(LOWER(W18&amp;""),CHAR(160),"")," ",""),".",""),"-",""),"/",""),"?",""),"_",""),",",""),"[",""),"]",""),"(",""),")",""),"*","")</f>
        <v/>
      </c>
      <c r="AZ18" s="61" t="str">
        <f aca="false">SUBSTITUTE(SUBSTITUTE(SUBSTITUTE(SUBSTITUTE(SUBSTITUTE(SUBSTITUTE(SUBSTITUTE(SUBSTITUTE(SUBSTITUTE(SUBSTITUTE(SUBSTITUTE(SUBSTITUTE(SUBSTITUTE(LOWER(AC18&amp;""),CHAR(160),"")," ",""),".",""),"-",""),"/",""),"?",""),"_",""),",",""),"[",""),"]",""),"(",""),")",""),"*","")</f>
        <v/>
      </c>
      <c r="BA18" s="61" t="str">
        <f aca="false">SUBSTITUTE(SUBSTITUTE(SUBSTITUTE(SUBSTITUTE(SUBSTITUTE(SUBSTITUTE(SUBSTITUTE(SUBSTITUTE(SUBSTITUTE(SUBSTITUTE(SUBSTITUTE(SUBSTITUTE(SUBSTITUTE(LOWER(AA18&amp;""),CHAR(160),"")," ",""),".",""),"-",""),"/",""),"?",""),"_",""),",",""),"[",""),"]",""),"(",""),")",""),"*","")</f>
        <v/>
      </c>
      <c r="BB18" s="61" t="str">
        <f aca="false">IF(AND(TRIM(U18)="Pass",ISNUMBER(AF18)),IF(AF18&lt;&gt;0,"INVALID – qty variance: use Fail or Pass after CA",""),"")&amp;IF(AND(TRIM(U18)="Pass after CA",ISNUMBER(AF18)),IF(AF18&lt;&gt;0,"INVALID – after the corrective action the actual qty must equal expected (update Actual)",""),"")&amp;IF(AND(TRIM(U18)="Pass",TRIM(AB18)&lt;&gt;"",TRIM(AB18)&lt;&gt;"Closed"),"INVALID – corrective action not closed: use Fail, then Pass after CA","")&amp;IF(AND(TRIM(AA18)&lt;&gt;"",TRIM(AB18)=""),"INVALID – CA status missing for the recorded corrective action","")&amp;IF(AND(TRIM(U18)="Pass after CA",OR(OR(LEN(BA18)&lt;5,ISNUMBER(MATCH(BA18,L_Placeholder,0))),TRIM(AB18)&lt;&gt;"Closed")),"INVALID – corrective action not recorded/closed","")</f>
        <v/>
      </c>
    </row>
    <row r="19" customFormat="false" ht="39.75" hidden="false" customHeight="true" outlineLevel="0" collapsed="false">
      <c r="A19" s="57" t="s">
        <v>410</v>
      </c>
      <c r="B19" s="57" t="s">
        <v>180</v>
      </c>
      <c r="C19" s="57" t="str">
        <f aca="false">Flights!$F$5</f>
        <v>MH0001</v>
      </c>
      <c r="D19" s="58" t="n">
        <f aca="false">Flights!$D$5</f>
        <v>46303</v>
      </c>
      <c r="E19" s="57" t="str">
        <f aca="false">Flights!$G$5&amp;"-"&amp;Flights!$H$5</f>
        <v>LHR-KUL</v>
      </c>
      <c r="F19" s="57" t="str">
        <f aca="false">Flights!$K$5</f>
        <v>EY</v>
      </c>
      <c r="G19" s="57" t="s">
        <v>398</v>
      </c>
      <c r="H19" s="57" t="s">
        <v>356</v>
      </c>
      <c r="I19" s="57" t="s">
        <v>406</v>
      </c>
      <c r="J19" s="57" t="s">
        <v>411</v>
      </c>
      <c r="K19" s="67"/>
      <c r="L19" s="67" t="s">
        <v>400</v>
      </c>
      <c r="M19" s="67"/>
      <c r="N19" s="67" t="s">
        <v>361</v>
      </c>
      <c r="O19" s="67" t="s">
        <v>401</v>
      </c>
      <c r="P19" s="57" t="s">
        <v>183</v>
      </c>
      <c r="Q19" s="59" t="n">
        <f aca="false">ROUND((Flights!$AE$5)*1440,0)/1440</f>
        <v>46303.3576388889</v>
      </c>
      <c r="R19" s="59" t="n">
        <f aca="false">Q19+(IF(AND(INDEX(TZ_DSTS,MATCH(P19,TZ_STN,0))&lt;&gt;"",Q19&gt;=INDEX(TZ_DSTS,MATCH(P19,TZ_STN,0)),Q19&lt;INDEX(TZ_DSTE,MATCH(P19,TZ_STN,0))),INDEX(TZ_DST,MATCH(P19,TZ_STN,0)),INDEX(TZ_STD,MATCH(P19,TZ_STN,0))))/24</f>
        <v>46303.3993055556</v>
      </c>
      <c r="S19" s="59" t="n">
        <f aca="false">Q19-T12EarlyH/24</f>
        <v>46302.8576388889</v>
      </c>
      <c r="T19" s="60"/>
      <c r="U19" s="60"/>
      <c r="V19" s="60"/>
      <c r="W19" s="61"/>
      <c r="X19" s="60"/>
      <c r="Y19" s="60"/>
      <c r="Z19" s="60"/>
      <c r="AA19" s="60"/>
      <c r="AB19" s="60"/>
      <c r="AC19" s="60"/>
      <c r="AD19" s="66"/>
      <c r="AE19" s="60"/>
      <c r="AF19" s="61" t="str">
        <f aca="false">IF(AND(ISNUMBER(X19),ISNUMBER(Y19)),Y19-X19,"")</f>
        <v/>
      </c>
      <c r="AG19" s="62" t="str">
        <f aca="false">IF(ISNUMBER(AD19),AD19-(IF(AND(INDEX(TZ_DSTS,MATCH(P19,TZ_STN,0))&lt;&gt;"",(AD19-INDEX(TZ_STD,MATCH(P19,TZ_STN,0))/24)&gt;=INDEX(TZ_DSTS,MATCH(P19,TZ_STN,0)),(AD19-INDEX(TZ_STD,MATCH(P19,TZ_STN,0))/24)&lt;INDEX(TZ_DSTE,MATCH(P19,TZ_STN,0))),INDEX(TZ_DST,MATCH(P19,TZ_STN,0)),INDEX(TZ_STD,MATCH(P19,TZ_STN,0))))/24,"")</f>
        <v/>
      </c>
      <c r="AH19" s="65" t="str">
        <f aca="false">IFERROR(IF(N19="N/A – rule","N/A – RULE",IF(TRIM(U19)="N/A",IF(AT19=0,"INVALID – N/A not permitted for this check",IF(AND(TRIM(AB19)&lt;&gt;"",TRIM(AB19)&lt;&gt;"Closed"),"INVALID – corrective action still open",IF(AND(NOT(OR(LEN(AZ19)&lt;15,ISNUMBER(MATCH(AZ19,L_Placeholder,0)))),NOT(OR(LEN(AU19)&lt;2,ISNUMBER(MATCH(AU19,L_Placeholder,0)))),NOT(OR(LEN(AX19)&lt;2,ISNUMBER(MATCH(AX19,L_Placeholder,0)))),TRIM(AE19)&lt;&gt;TRIM(T19)),"N/A – JUSTIFIED","INVALID – N/A needs a real justification (15+ chars), PIC and a different verifier"))),IF(OR(TRIM(U19)="Pass",TRIM(U19)="Pass after CA"),IF(NOT(ISNUMBER(AD19)),"INVALID – completion time missing",IF(OR(LEN(AU19)&lt;2,ISNUMBER(MATCH(AU19,L_Placeholder,0))),"INVALID – PIC missing",IF(OR(LEN(AV19)&lt;2,ISNUMBER(MATCH(AV19,L_Placeholder,0))),"INVALID – result / assessment missing",IF(OR(OR(LEN(AW19)&lt;3,ISNUMBER(MATCH(AW19,L_Placeholder,0))),SUMPRODUCT(--ISNUMBER(SEARCH(L_EvidencePhrase,AW19)))&gt;0),"INVALID – evidence missing, placeholder or not yet on file",IF(OR(LEN(AX19)&lt;2,ISNUMBER(MATCH(AX19,L_Placeholder,0))),"INVALID – verifier missing",IF(AX19=AU19,"INVALID – verifier must be someone other than the PIC",IF(AND(TRIM(U19)="Pass",SUMPRODUCT(--ISNUMBER(SEARCH(L_ResultBad,AV19)))&gt;0),"INVALID – result describes a problem: use Fail, then Pass after CA",IF(AND(AQ19=1,OR(LEN(AY19)&lt;3,ISNUMBER(MATCH(AY19,L_Placeholder,0)))),"INVALID – batch ID missing or placeholder",IF(AND(AR19=1,OR(NOT(ISNUMBER(X19)),NOT(ISNUMBER(Y19)))),"INVALID – expected/actual qty missing",IF(AND(AR19=1,OR(X19&lt;=0,Y19&lt;0)),"INVALID – expected qty must be above 0 and actual not negative",IF(BB19&lt;&gt;"",BB19,IF(AND(AS19=1,Documents!$J$5&lt;&gt;"ON FILE"),"INVALID – GLD not on file (Documents sheet)",IF(AND(AS19=2,Documents!$O$5&lt;&gt;"ON FILE"),"INVALID – menu checklist not on file (Documents sheet)",IF(AND(AS19=3,NOT(ISNUMBER(Flights!$AX$5))),"INVALID – enter carrying flight KUL departure (Flights AX)",IF(AND(AS19=3,OR(Flights!$AZ$5&gt;Flights!$AA$5,Flights!$AX$5&lt;Flights!$AA$5-3)),"INVALID – carrying flight (Flights AX) cannot arrive before this leg's STD, or is over 3 days early",IF(AG19&gt;AsOfUTC,"INVALID – completion time is in the future",IF(AND(ISNUMBER(S19),AG19&lt;S19),IF(H19="Physical uplift","INVALID – before uplift window (cannot confirm loading)","INVALID – before valid window"),IF(AG19&gt;Flights!$AA$5,"INVALID – completed after departure (cannot establish readiness)",IF(AND(H19="Preparation",AG19&gt;IF(ISNUMBER(Flights!$BA$5),MIN(Flights!$BA$5,Flights!$AA$5),Flights!$AA$5)),"INVALID – completed after loading / departure (cannot establish readiness)",IF(AND(H19="Physical uplift",AG19&gt;Q19),"INVALID – recorded after the loading flight departed",IF(AG19&gt;Q19,"COMPLETE – LATE","COMPLETE"))))))))))))))))))))),IF(TRIM(U19)="Fail","FAIL – DISCREPANCY",IF(AND(TRIM(U19)&lt;&gt;"",TRIM(U19)&lt;&gt;"Not started",TRIM(U19)&lt;&gt;"In progress"),"INVALID – unrecognised status (use the list)",IF(AsOfUTC&gt;Q19,"OVERDUE",IF(N19="Clarification required","OPEN – CLARIFICATION","OPEN"))))))),"INVALID – error value in an input cell")</f>
        <v>OPEN</v>
      </c>
      <c r="AI19" s="61" t="n">
        <f aca="false">IF(OR(AH19="N/A – RULE",AH19="N/A – JUSTIFIED"),0,1)</f>
        <v>1</v>
      </c>
      <c r="AJ19" s="61" t="n">
        <f aca="false">IF(LEFT(AH19,8)="COMPLETE",1,0)</f>
        <v>0</v>
      </c>
      <c r="AK19" s="61" t="n">
        <f aca="false">IF(AND(AI19=1,AJ19=0,AsOfUTC&gt;Q19),1,0)</f>
        <v>0</v>
      </c>
      <c r="AL19" s="61" t="n">
        <f aca="false">IFERROR(IF(AND(AI19=1,OR(TRIM(U19)="Fail",AND(TRIM(AB19)&lt;&gt;"",TRIM(AB19)&lt;&gt;"Closed"),AND(ISNUMBER(AF19),AF19&lt;&gt;0,TRIM(U19)&lt;&gt;"Pass after CA"))),1,0),1)</f>
        <v>0</v>
      </c>
      <c r="AM19" s="61" t="n">
        <f aca="false">IF(LEFT(AH19,7)="INVALID",1,0)</f>
        <v>0</v>
      </c>
      <c r="AN19" s="61" t="n">
        <f aca="false">IF(AND(N19="Clarification required",AI19=1,AJ19=0),1,0)</f>
        <v>0</v>
      </c>
      <c r="AO19" s="61" t="str">
        <f aca="false">IF(AK19=1,SUM(AK$5:AK19),"")</f>
        <v/>
      </c>
      <c r="AP19" s="61" t="str">
        <f aca="false">IF(AL19=1,SUM(AL$5:AL19),"")</f>
        <v/>
      </c>
      <c r="AQ19" s="61" t="n">
        <v>0</v>
      </c>
      <c r="AR19" s="61" t="n">
        <v>0</v>
      </c>
      <c r="AS19" s="61" t="n">
        <v>0</v>
      </c>
      <c r="AT19" s="61" t="n">
        <v>0</v>
      </c>
      <c r="AU19" s="61" t="str">
        <f aca="false">SUBSTITUTE(SUBSTITUTE(SUBSTITUTE(SUBSTITUTE(SUBSTITUTE(SUBSTITUTE(SUBSTITUTE(SUBSTITUTE(SUBSTITUTE(SUBSTITUTE(SUBSTITUTE(SUBSTITUTE(SUBSTITUTE(LOWER(T19&amp;""),CHAR(160),"")," ",""),".",""),"-",""),"/",""),"?",""),"_",""),",",""),"[",""),"]",""),"(",""),")",""),"*","")</f>
        <v/>
      </c>
      <c r="AV19" s="61" t="str">
        <f aca="false">SUBSTITUTE(SUBSTITUTE(SUBSTITUTE(SUBSTITUTE(SUBSTITUTE(SUBSTITUTE(SUBSTITUTE(SUBSTITUTE(SUBSTITUTE(SUBSTITUTE(SUBSTITUTE(SUBSTITUTE(SUBSTITUTE(LOWER(V19&amp;""),CHAR(160),"")," ",""),".",""),"-",""),"/",""),"?",""),"_",""),",",""),"[",""),"]",""),"(",""),")",""),"*","")</f>
        <v/>
      </c>
      <c r="AW19" s="61" t="str">
        <f aca="false">SUBSTITUTE(SUBSTITUTE(SUBSTITUTE(SUBSTITUTE(SUBSTITUTE(SUBSTITUTE(SUBSTITUTE(SUBSTITUTE(SUBSTITUTE(SUBSTITUTE(SUBSTITUTE(SUBSTITUTE(SUBSTITUTE(LOWER(Z19&amp;""),CHAR(160),"")," ",""),".",""),"-",""),"/",""),"?",""),"_",""),",",""),"[",""),"]",""),"(",""),")",""),"*","")</f>
        <v/>
      </c>
      <c r="AX19" s="61" t="str">
        <f aca="false">SUBSTITUTE(SUBSTITUTE(SUBSTITUTE(SUBSTITUTE(SUBSTITUTE(SUBSTITUTE(SUBSTITUTE(SUBSTITUTE(SUBSTITUTE(SUBSTITUTE(SUBSTITUTE(SUBSTITUTE(SUBSTITUTE(LOWER(AE19&amp;""),CHAR(160),"")," ",""),".",""),"-",""),"/",""),"?",""),"_",""),",",""),"[",""),"]",""),"(",""),")",""),"*","")</f>
        <v/>
      </c>
      <c r="AY19" s="61" t="str">
        <f aca="false">SUBSTITUTE(SUBSTITUTE(SUBSTITUTE(SUBSTITUTE(SUBSTITUTE(SUBSTITUTE(SUBSTITUTE(SUBSTITUTE(SUBSTITUTE(SUBSTITUTE(SUBSTITUTE(SUBSTITUTE(SUBSTITUTE(LOWER(W19&amp;""),CHAR(160),"")," ",""),".",""),"-",""),"/",""),"?",""),"_",""),",",""),"[",""),"]",""),"(",""),")",""),"*","")</f>
        <v/>
      </c>
      <c r="AZ19" s="61" t="str">
        <f aca="false">SUBSTITUTE(SUBSTITUTE(SUBSTITUTE(SUBSTITUTE(SUBSTITUTE(SUBSTITUTE(SUBSTITUTE(SUBSTITUTE(SUBSTITUTE(SUBSTITUTE(SUBSTITUTE(SUBSTITUTE(SUBSTITUTE(LOWER(AC19&amp;""),CHAR(160),"")," ",""),".",""),"-",""),"/",""),"?",""),"_",""),",",""),"[",""),"]",""),"(",""),")",""),"*","")</f>
        <v/>
      </c>
      <c r="BA19" s="61" t="str">
        <f aca="false">SUBSTITUTE(SUBSTITUTE(SUBSTITUTE(SUBSTITUTE(SUBSTITUTE(SUBSTITUTE(SUBSTITUTE(SUBSTITUTE(SUBSTITUTE(SUBSTITUTE(SUBSTITUTE(SUBSTITUTE(SUBSTITUTE(LOWER(AA19&amp;""),CHAR(160),"")," ",""),".",""),"-",""),"/",""),"?",""),"_",""),",",""),"[",""),"]",""),"(",""),")",""),"*","")</f>
        <v/>
      </c>
      <c r="BB19" s="61" t="str">
        <f aca="false">IF(AND(TRIM(U19)="Pass",ISNUMBER(AF19)),IF(AF19&lt;&gt;0,"INVALID – qty variance: use Fail or Pass after CA",""),"")&amp;IF(AND(TRIM(U19)="Pass after CA",ISNUMBER(AF19)),IF(AF19&lt;&gt;0,"INVALID – after the corrective action the actual qty must equal expected (update Actual)",""),"")&amp;IF(AND(TRIM(U19)="Pass",TRIM(AB19)&lt;&gt;"",TRIM(AB19)&lt;&gt;"Closed"),"INVALID – corrective action not closed: use Fail, then Pass after CA","")&amp;IF(AND(TRIM(AA19)&lt;&gt;"",TRIM(AB19)=""),"INVALID – CA status missing for the recorded corrective action","")&amp;IF(AND(TRIM(U19)="Pass after CA",OR(OR(LEN(BA19)&lt;5,ISNUMBER(MATCH(BA19,L_Placeholder,0))),TRIM(AB19)&lt;&gt;"Closed")),"INVALID – corrective action not recorded/closed","")</f>
        <v/>
      </c>
    </row>
    <row r="20" customFormat="false" ht="141" hidden="false" customHeight="true" outlineLevel="0" collapsed="false">
      <c r="A20" s="57" t="s">
        <v>412</v>
      </c>
      <c r="B20" s="57" t="s">
        <v>180</v>
      </c>
      <c r="C20" s="57" t="str">
        <f aca="false">Flights!$F$5</f>
        <v>MH0001</v>
      </c>
      <c r="D20" s="58" t="n">
        <f aca="false">Flights!$D$5</f>
        <v>46303</v>
      </c>
      <c r="E20" s="57" t="str">
        <f aca="false">Flights!$G$5&amp;"-"&amp;Flights!$H$5</f>
        <v>LHR-KUL</v>
      </c>
      <c r="F20" s="57" t="str">
        <f aca="false">Flights!$K$5</f>
        <v>EY</v>
      </c>
      <c r="G20" s="57" t="s">
        <v>398</v>
      </c>
      <c r="H20" s="57" t="s">
        <v>356</v>
      </c>
      <c r="I20" s="57" t="s">
        <v>406</v>
      </c>
      <c r="J20" s="57" t="s">
        <v>413</v>
      </c>
      <c r="K20" s="67" t="s">
        <v>414</v>
      </c>
      <c r="L20" s="67" t="s">
        <v>400</v>
      </c>
      <c r="M20" s="67"/>
      <c r="N20" s="67" t="s">
        <v>361</v>
      </c>
      <c r="O20" s="67" t="s">
        <v>401</v>
      </c>
      <c r="P20" s="57" t="s">
        <v>183</v>
      </c>
      <c r="Q20" s="59" t="n">
        <f aca="false">ROUND((Flights!$AE$5)*1440,0)/1440</f>
        <v>46303.3576388889</v>
      </c>
      <c r="R20" s="59" t="n">
        <f aca="false">Q20+(IF(AND(INDEX(TZ_DSTS,MATCH(P20,TZ_STN,0))&lt;&gt;"",Q20&gt;=INDEX(TZ_DSTS,MATCH(P20,TZ_STN,0)),Q20&lt;INDEX(TZ_DSTE,MATCH(P20,TZ_STN,0))),INDEX(TZ_DST,MATCH(P20,TZ_STN,0)),INDEX(TZ_STD,MATCH(P20,TZ_STN,0))))/24</f>
        <v>46303.3993055556</v>
      </c>
      <c r="S20" s="59" t="n">
        <f aca="false">Q20-T12EarlyH/24</f>
        <v>46302.8576388889</v>
      </c>
      <c r="T20" s="60"/>
      <c r="U20" s="60"/>
      <c r="V20" s="60"/>
      <c r="W20" s="61"/>
      <c r="X20" s="60"/>
      <c r="Y20" s="60"/>
      <c r="Z20" s="60"/>
      <c r="AA20" s="60"/>
      <c r="AB20" s="60"/>
      <c r="AC20" s="60"/>
      <c r="AD20" s="66"/>
      <c r="AE20" s="60"/>
      <c r="AF20" s="61" t="str">
        <f aca="false">IF(AND(ISNUMBER(X20),ISNUMBER(Y20)),Y20-X20,"")</f>
        <v/>
      </c>
      <c r="AG20" s="62" t="str">
        <f aca="false">IF(ISNUMBER(AD20),AD20-(IF(AND(INDEX(TZ_DSTS,MATCH(P20,TZ_STN,0))&lt;&gt;"",(AD20-INDEX(TZ_STD,MATCH(P20,TZ_STN,0))/24)&gt;=INDEX(TZ_DSTS,MATCH(P20,TZ_STN,0)),(AD20-INDEX(TZ_STD,MATCH(P20,TZ_STN,0))/24)&lt;INDEX(TZ_DSTE,MATCH(P20,TZ_STN,0))),INDEX(TZ_DST,MATCH(P20,TZ_STN,0)),INDEX(TZ_STD,MATCH(P20,TZ_STN,0))))/24,"")</f>
        <v/>
      </c>
      <c r="AH20" s="65" t="str">
        <f aca="false">IFERROR(IF(N20="N/A – rule","N/A – RULE",IF(TRIM(U20)="N/A",IF(AT20=0,"INVALID – N/A not permitted for this check",IF(AND(TRIM(AB20)&lt;&gt;"",TRIM(AB20)&lt;&gt;"Closed"),"INVALID – corrective action still open",IF(AND(NOT(OR(LEN(AZ20)&lt;15,ISNUMBER(MATCH(AZ20,L_Placeholder,0)))),NOT(OR(LEN(AU20)&lt;2,ISNUMBER(MATCH(AU20,L_Placeholder,0)))),NOT(OR(LEN(AX20)&lt;2,ISNUMBER(MATCH(AX20,L_Placeholder,0)))),TRIM(AE20)&lt;&gt;TRIM(T20)),"N/A – JUSTIFIED","INVALID – N/A needs a real justification (15+ chars), PIC and a different verifier"))),IF(OR(TRIM(U20)="Pass",TRIM(U20)="Pass after CA"),IF(NOT(ISNUMBER(AD20)),"INVALID – completion time missing",IF(OR(LEN(AU20)&lt;2,ISNUMBER(MATCH(AU20,L_Placeholder,0))),"INVALID – PIC missing",IF(OR(LEN(AV20)&lt;2,ISNUMBER(MATCH(AV20,L_Placeholder,0))),"INVALID – result / assessment missing",IF(OR(OR(LEN(AW20)&lt;3,ISNUMBER(MATCH(AW20,L_Placeholder,0))),SUMPRODUCT(--ISNUMBER(SEARCH(L_EvidencePhrase,AW20)))&gt;0),"INVALID – evidence missing, placeholder or not yet on file",IF(OR(LEN(AX20)&lt;2,ISNUMBER(MATCH(AX20,L_Placeholder,0))),"INVALID – verifier missing",IF(AX20=AU20,"INVALID – verifier must be someone other than the PIC",IF(AND(TRIM(U20)="Pass",SUMPRODUCT(--ISNUMBER(SEARCH(L_ResultBad,AV20)))&gt;0),"INVALID – result describes a problem: use Fail, then Pass after CA",IF(AND(AQ20=1,OR(LEN(AY20)&lt;3,ISNUMBER(MATCH(AY20,L_Placeholder,0)))),"INVALID – batch ID missing or placeholder",IF(AND(AR20=1,OR(NOT(ISNUMBER(X20)),NOT(ISNUMBER(Y20)))),"INVALID – expected/actual qty missing",IF(AND(AR20=1,OR(X20&lt;=0,Y20&lt;0)),"INVALID – expected qty must be above 0 and actual not negative",IF(BB20&lt;&gt;"",BB20,IF(AND(AS20=1,Documents!$J$5&lt;&gt;"ON FILE"),"INVALID – GLD not on file (Documents sheet)",IF(AND(AS20=2,Documents!$O$5&lt;&gt;"ON FILE"),"INVALID – menu checklist not on file (Documents sheet)",IF(AND(AS20=3,NOT(ISNUMBER(Flights!$AX$5))),"INVALID – enter carrying flight KUL departure (Flights AX)",IF(AND(AS20=3,OR(Flights!$AZ$5&gt;Flights!$AA$5,Flights!$AX$5&lt;Flights!$AA$5-3)),"INVALID – carrying flight (Flights AX) cannot arrive before this leg's STD, or is over 3 days early",IF(AG20&gt;AsOfUTC,"INVALID – completion time is in the future",IF(AND(ISNUMBER(S20),AG20&lt;S20),IF(H20="Physical uplift","INVALID – before uplift window (cannot confirm loading)","INVALID – before valid window"),IF(AG20&gt;Flights!$AA$5,"INVALID – completed after departure (cannot establish readiness)",IF(AND(H20="Preparation",AG20&gt;IF(ISNUMBER(Flights!$BA$5),MIN(Flights!$BA$5,Flights!$AA$5),Flights!$AA$5)),"INVALID – completed after loading / departure (cannot establish readiness)",IF(AND(H20="Physical uplift",AG20&gt;Q20),"INVALID – recorded after the loading flight departed",IF(AG20&gt;Q20,"COMPLETE – LATE","COMPLETE"))))))))))))))))))))),IF(TRIM(U20)="Fail","FAIL – DISCREPANCY",IF(AND(TRIM(U20)&lt;&gt;"",TRIM(U20)&lt;&gt;"Not started",TRIM(U20)&lt;&gt;"In progress"),"INVALID – unrecognised status (use the list)",IF(AsOfUTC&gt;Q20,"OVERDUE",IF(N20="Clarification required","OPEN – CLARIFICATION","OPEN"))))))),"INVALID – error value in an input cell")</f>
        <v>OPEN</v>
      </c>
      <c r="AI20" s="61" t="n">
        <f aca="false">IF(OR(AH20="N/A – RULE",AH20="N/A – JUSTIFIED"),0,1)</f>
        <v>1</v>
      </c>
      <c r="AJ20" s="61" t="n">
        <f aca="false">IF(LEFT(AH20,8)="COMPLETE",1,0)</f>
        <v>0</v>
      </c>
      <c r="AK20" s="61" t="n">
        <f aca="false">IF(AND(AI20=1,AJ20=0,AsOfUTC&gt;Q20),1,0)</f>
        <v>0</v>
      </c>
      <c r="AL20" s="61" t="n">
        <f aca="false">IFERROR(IF(AND(AI20=1,OR(TRIM(U20)="Fail",AND(TRIM(AB20)&lt;&gt;"",TRIM(AB20)&lt;&gt;"Closed"),AND(ISNUMBER(AF20),AF20&lt;&gt;0,TRIM(U20)&lt;&gt;"Pass after CA"))),1,0),1)</f>
        <v>0</v>
      </c>
      <c r="AM20" s="61" t="n">
        <f aca="false">IF(LEFT(AH20,7)="INVALID",1,0)</f>
        <v>0</v>
      </c>
      <c r="AN20" s="61" t="n">
        <f aca="false">IF(AND(N20="Clarification required",AI20=1,AJ20=0),1,0)</f>
        <v>0</v>
      </c>
      <c r="AO20" s="61" t="str">
        <f aca="false">IF(AK20=1,SUM(AK$5:AK20),"")</f>
        <v/>
      </c>
      <c r="AP20" s="61" t="str">
        <f aca="false">IF(AL20=1,SUM(AL$5:AL20),"")</f>
        <v/>
      </c>
      <c r="AQ20" s="61" t="n">
        <v>0</v>
      </c>
      <c r="AR20" s="61" t="n">
        <v>1</v>
      </c>
      <c r="AS20" s="61" t="n">
        <v>0</v>
      </c>
      <c r="AT20" s="61" t="n">
        <v>0</v>
      </c>
      <c r="AU20" s="61" t="str">
        <f aca="false">SUBSTITUTE(SUBSTITUTE(SUBSTITUTE(SUBSTITUTE(SUBSTITUTE(SUBSTITUTE(SUBSTITUTE(SUBSTITUTE(SUBSTITUTE(SUBSTITUTE(SUBSTITUTE(SUBSTITUTE(SUBSTITUTE(LOWER(T20&amp;""),CHAR(160),"")," ",""),".",""),"-",""),"/",""),"?",""),"_",""),",",""),"[",""),"]",""),"(",""),")",""),"*","")</f>
        <v/>
      </c>
      <c r="AV20" s="61" t="str">
        <f aca="false">SUBSTITUTE(SUBSTITUTE(SUBSTITUTE(SUBSTITUTE(SUBSTITUTE(SUBSTITUTE(SUBSTITUTE(SUBSTITUTE(SUBSTITUTE(SUBSTITUTE(SUBSTITUTE(SUBSTITUTE(SUBSTITUTE(LOWER(V20&amp;""),CHAR(160),"")," ",""),".",""),"-",""),"/",""),"?",""),"_",""),",",""),"[",""),"]",""),"(",""),")",""),"*","")</f>
        <v/>
      </c>
      <c r="AW20" s="61" t="str">
        <f aca="false">SUBSTITUTE(SUBSTITUTE(SUBSTITUTE(SUBSTITUTE(SUBSTITUTE(SUBSTITUTE(SUBSTITUTE(SUBSTITUTE(SUBSTITUTE(SUBSTITUTE(SUBSTITUTE(SUBSTITUTE(SUBSTITUTE(LOWER(Z20&amp;""),CHAR(160),"")," ",""),".",""),"-",""),"/",""),"?",""),"_",""),",",""),"[",""),"]",""),"(",""),")",""),"*","")</f>
        <v/>
      </c>
      <c r="AX20" s="61" t="str">
        <f aca="false">SUBSTITUTE(SUBSTITUTE(SUBSTITUTE(SUBSTITUTE(SUBSTITUTE(SUBSTITUTE(SUBSTITUTE(SUBSTITUTE(SUBSTITUTE(SUBSTITUTE(SUBSTITUTE(SUBSTITUTE(SUBSTITUTE(LOWER(AE20&amp;""),CHAR(160),"")," ",""),".",""),"-",""),"/",""),"?",""),"_",""),",",""),"[",""),"]",""),"(",""),")",""),"*","")</f>
        <v/>
      </c>
      <c r="AY20" s="61" t="str">
        <f aca="false">SUBSTITUTE(SUBSTITUTE(SUBSTITUTE(SUBSTITUTE(SUBSTITUTE(SUBSTITUTE(SUBSTITUTE(SUBSTITUTE(SUBSTITUTE(SUBSTITUTE(SUBSTITUTE(SUBSTITUTE(SUBSTITUTE(LOWER(W20&amp;""),CHAR(160),"")," ",""),".",""),"-",""),"/",""),"?",""),"_",""),",",""),"[",""),"]",""),"(",""),")",""),"*","")</f>
        <v/>
      </c>
      <c r="AZ20" s="61" t="str">
        <f aca="false">SUBSTITUTE(SUBSTITUTE(SUBSTITUTE(SUBSTITUTE(SUBSTITUTE(SUBSTITUTE(SUBSTITUTE(SUBSTITUTE(SUBSTITUTE(SUBSTITUTE(SUBSTITUTE(SUBSTITUTE(SUBSTITUTE(LOWER(AC20&amp;""),CHAR(160),"")," ",""),".",""),"-",""),"/",""),"?",""),"_",""),",",""),"[",""),"]",""),"(",""),")",""),"*","")</f>
        <v/>
      </c>
      <c r="BA20" s="61" t="str">
        <f aca="false">SUBSTITUTE(SUBSTITUTE(SUBSTITUTE(SUBSTITUTE(SUBSTITUTE(SUBSTITUTE(SUBSTITUTE(SUBSTITUTE(SUBSTITUTE(SUBSTITUTE(SUBSTITUTE(SUBSTITUTE(SUBSTITUTE(LOWER(AA20&amp;""),CHAR(160),"")," ",""),".",""),"-",""),"/",""),"?",""),"_",""),",",""),"[",""),"]",""),"(",""),")",""),"*","")</f>
        <v/>
      </c>
      <c r="BB20" s="61" t="str">
        <f aca="false">IF(AND(TRIM(U20)="Pass",ISNUMBER(AF20)),IF(AF20&lt;&gt;0,"INVALID – qty variance: use Fail or Pass after CA",""),"")&amp;IF(AND(TRIM(U20)="Pass after CA",ISNUMBER(AF20)),IF(AF20&lt;&gt;0,"INVALID – after the corrective action the actual qty must equal expected (update Actual)",""),"")&amp;IF(AND(TRIM(U20)="Pass",TRIM(AB20)&lt;&gt;"",TRIM(AB20)&lt;&gt;"Closed"),"INVALID – corrective action not closed: use Fail, then Pass after CA","")&amp;IF(AND(TRIM(AA20)&lt;&gt;"",TRIM(AB20)=""),"INVALID – CA status missing for the recorded corrective action","")&amp;IF(AND(TRIM(U20)="Pass after CA",OR(OR(LEN(BA20)&lt;5,ISNUMBER(MATCH(BA20,L_Placeholder,0))),TRIM(AB20)&lt;&gt;"Closed")),"INVALID – corrective action not recorded/closed","")</f>
        <v/>
      </c>
    </row>
    <row r="21" customFormat="false" ht="39.75" hidden="false" customHeight="true" outlineLevel="0" collapsed="false">
      <c r="A21" s="57" t="s">
        <v>415</v>
      </c>
      <c r="B21" s="57" t="s">
        <v>180</v>
      </c>
      <c r="C21" s="57" t="str">
        <f aca="false">Flights!$F$5</f>
        <v>MH0001</v>
      </c>
      <c r="D21" s="58" t="n">
        <f aca="false">Flights!$D$5</f>
        <v>46303</v>
      </c>
      <c r="E21" s="57" t="str">
        <f aca="false">Flights!$G$5&amp;"-"&amp;Flights!$H$5</f>
        <v>LHR-KUL</v>
      </c>
      <c r="F21" s="57" t="str">
        <f aca="false">Flights!$K$5</f>
        <v>EY</v>
      </c>
      <c r="G21" s="57" t="s">
        <v>398</v>
      </c>
      <c r="H21" s="57" t="s">
        <v>356</v>
      </c>
      <c r="I21" s="57" t="s">
        <v>406</v>
      </c>
      <c r="J21" s="57" t="s">
        <v>416</v>
      </c>
      <c r="K21" s="67"/>
      <c r="L21" s="67" t="s">
        <v>400</v>
      </c>
      <c r="M21" s="67"/>
      <c r="N21" s="67" t="s">
        <v>361</v>
      </c>
      <c r="O21" s="67" t="s">
        <v>401</v>
      </c>
      <c r="P21" s="57" t="s">
        <v>183</v>
      </c>
      <c r="Q21" s="59" t="n">
        <f aca="false">ROUND((Flights!$AE$5)*1440,0)/1440</f>
        <v>46303.3576388889</v>
      </c>
      <c r="R21" s="59" t="n">
        <f aca="false">Q21+(IF(AND(INDEX(TZ_DSTS,MATCH(P21,TZ_STN,0))&lt;&gt;"",Q21&gt;=INDEX(TZ_DSTS,MATCH(P21,TZ_STN,0)),Q21&lt;INDEX(TZ_DSTE,MATCH(P21,TZ_STN,0))),INDEX(TZ_DST,MATCH(P21,TZ_STN,0)),INDEX(TZ_STD,MATCH(P21,TZ_STN,0))))/24</f>
        <v>46303.3993055556</v>
      </c>
      <c r="S21" s="59" t="n">
        <f aca="false">Q21-T12EarlyH/24</f>
        <v>46302.8576388889</v>
      </c>
      <c r="T21" s="60"/>
      <c r="U21" s="60"/>
      <c r="V21" s="60"/>
      <c r="W21" s="61"/>
      <c r="X21" s="60"/>
      <c r="Y21" s="60"/>
      <c r="Z21" s="60"/>
      <c r="AA21" s="60"/>
      <c r="AB21" s="60"/>
      <c r="AC21" s="60"/>
      <c r="AD21" s="66"/>
      <c r="AE21" s="60"/>
      <c r="AF21" s="61" t="str">
        <f aca="false">IF(AND(ISNUMBER(X21),ISNUMBER(Y21)),Y21-X21,"")</f>
        <v/>
      </c>
      <c r="AG21" s="62" t="str">
        <f aca="false">IF(ISNUMBER(AD21),AD21-(IF(AND(INDEX(TZ_DSTS,MATCH(P21,TZ_STN,0))&lt;&gt;"",(AD21-INDEX(TZ_STD,MATCH(P21,TZ_STN,0))/24)&gt;=INDEX(TZ_DSTS,MATCH(P21,TZ_STN,0)),(AD21-INDEX(TZ_STD,MATCH(P21,TZ_STN,0))/24)&lt;INDEX(TZ_DSTE,MATCH(P21,TZ_STN,0))),INDEX(TZ_DST,MATCH(P21,TZ_STN,0)),INDEX(TZ_STD,MATCH(P21,TZ_STN,0))))/24,"")</f>
        <v/>
      </c>
      <c r="AH21" s="65" t="str">
        <f aca="false">IFERROR(IF(N21="N/A – rule","N/A – RULE",IF(TRIM(U21)="N/A",IF(AT21=0,"INVALID – N/A not permitted for this check",IF(AND(TRIM(AB21)&lt;&gt;"",TRIM(AB21)&lt;&gt;"Closed"),"INVALID – corrective action still open",IF(AND(NOT(OR(LEN(AZ21)&lt;15,ISNUMBER(MATCH(AZ21,L_Placeholder,0)))),NOT(OR(LEN(AU21)&lt;2,ISNUMBER(MATCH(AU21,L_Placeholder,0)))),NOT(OR(LEN(AX21)&lt;2,ISNUMBER(MATCH(AX21,L_Placeholder,0)))),TRIM(AE21)&lt;&gt;TRIM(T21)),"N/A – JUSTIFIED","INVALID – N/A needs a real justification (15+ chars), PIC and a different verifier"))),IF(OR(TRIM(U21)="Pass",TRIM(U21)="Pass after CA"),IF(NOT(ISNUMBER(AD21)),"INVALID – completion time missing",IF(OR(LEN(AU21)&lt;2,ISNUMBER(MATCH(AU21,L_Placeholder,0))),"INVALID – PIC missing",IF(OR(LEN(AV21)&lt;2,ISNUMBER(MATCH(AV21,L_Placeholder,0))),"INVALID – result / assessment missing",IF(OR(OR(LEN(AW21)&lt;3,ISNUMBER(MATCH(AW21,L_Placeholder,0))),SUMPRODUCT(--ISNUMBER(SEARCH(L_EvidencePhrase,AW21)))&gt;0),"INVALID – evidence missing, placeholder or not yet on file",IF(OR(LEN(AX21)&lt;2,ISNUMBER(MATCH(AX21,L_Placeholder,0))),"INVALID – verifier missing",IF(AX21=AU21,"INVALID – verifier must be someone other than the PIC",IF(AND(TRIM(U21)="Pass",SUMPRODUCT(--ISNUMBER(SEARCH(L_ResultBad,AV21)))&gt;0),"INVALID – result describes a problem: use Fail, then Pass after CA",IF(AND(AQ21=1,OR(LEN(AY21)&lt;3,ISNUMBER(MATCH(AY21,L_Placeholder,0)))),"INVALID – batch ID missing or placeholder",IF(AND(AR21=1,OR(NOT(ISNUMBER(X21)),NOT(ISNUMBER(Y21)))),"INVALID – expected/actual qty missing",IF(AND(AR21=1,OR(X21&lt;=0,Y21&lt;0)),"INVALID – expected qty must be above 0 and actual not negative",IF(BB21&lt;&gt;"",BB21,IF(AND(AS21=1,Documents!$J$5&lt;&gt;"ON FILE"),"INVALID – GLD not on file (Documents sheet)",IF(AND(AS21=2,Documents!$O$5&lt;&gt;"ON FILE"),"INVALID – menu checklist not on file (Documents sheet)",IF(AND(AS21=3,NOT(ISNUMBER(Flights!$AX$5))),"INVALID – enter carrying flight KUL departure (Flights AX)",IF(AND(AS21=3,OR(Flights!$AZ$5&gt;Flights!$AA$5,Flights!$AX$5&lt;Flights!$AA$5-3)),"INVALID – carrying flight (Flights AX) cannot arrive before this leg's STD, or is over 3 days early",IF(AG21&gt;AsOfUTC,"INVALID – completion time is in the future",IF(AND(ISNUMBER(S21),AG21&lt;S21),IF(H21="Physical uplift","INVALID – before uplift window (cannot confirm loading)","INVALID – before valid window"),IF(AG21&gt;Flights!$AA$5,"INVALID – completed after departure (cannot establish readiness)",IF(AND(H21="Preparation",AG21&gt;IF(ISNUMBER(Flights!$BA$5),MIN(Flights!$BA$5,Flights!$AA$5),Flights!$AA$5)),"INVALID – completed after loading / departure (cannot establish readiness)",IF(AND(H21="Physical uplift",AG21&gt;Q21),"INVALID – recorded after the loading flight departed",IF(AG21&gt;Q21,"COMPLETE – LATE","COMPLETE"))))))))))))))))))))),IF(TRIM(U21)="Fail","FAIL – DISCREPANCY",IF(AND(TRIM(U21)&lt;&gt;"",TRIM(U21)&lt;&gt;"Not started",TRIM(U21)&lt;&gt;"In progress"),"INVALID – unrecognised status (use the list)",IF(AsOfUTC&gt;Q21,"OVERDUE",IF(N21="Clarification required","OPEN – CLARIFICATION","OPEN"))))))),"INVALID – error value in an input cell")</f>
        <v>OPEN</v>
      </c>
      <c r="AI21" s="61" t="n">
        <f aca="false">IF(OR(AH21="N/A – RULE",AH21="N/A – JUSTIFIED"),0,1)</f>
        <v>1</v>
      </c>
      <c r="AJ21" s="61" t="n">
        <f aca="false">IF(LEFT(AH21,8)="COMPLETE",1,0)</f>
        <v>0</v>
      </c>
      <c r="AK21" s="61" t="n">
        <f aca="false">IF(AND(AI21=1,AJ21=0,AsOfUTC&gt;Q21),1,0)</f>
        <v>0</v>
      </c>
      <c r="AL21" s="61" t="n">
        <f aca="false">IFERROR(IF(AND(AI21=1,OR(TRIM(U21)="Fail",AND(TRIM(AB21)&lt;&gt;"",TRIM(AB21)&lt;&gt;"Closed"),AND(ISNUMBER(AF21),AF21&lt;&gt;0,TRIM(U21)&lt;&gt;"Pass after CA"))),1,0),1)</f>
        <v>0</v>
      </c>
      <c r="AM21" s="61" t="n">
        <f aca="false">IF(LEFT(AH21,7)="INVALID",1,0)</f>
        <v>0</v>
      </c>
      <c r="AN21" s="61" t="n">
        <f aca="false">IF(AND(N21="Clarification required",AI21=1,AJ21=0),1,0)</f>
        <v>0</v>
      </c>
      <c r="AO21" s="61" t="str">
        <f aca="false">IF(AK21=1,SUM(AK$5:AK21),"")</f>
        <v/>
      </c>
      <c r="AP21" s="61" t="str">
        <f aca="false">IF(AL21=1,SUM(AL$5:AL21),"")</f>
        <v/>
      </c>
      <c r="AQ21" s="61" t="n">
        <v>0</v>
      </c>
      <c r="AR21" s="61" t="n">
        <v>0</v>
      </c>
      <c r="AS21" s="61" t="n">
        <v>0</v>
      </c>
      <c r="AT21" s="61" t="n">
        <v>0</v>
      </c>
      <c r="AU21" s="61" t="str">
        <f aca="false">SUBSTITUTE(SUBSTITUTE(SUBSTITUTE(SUBSTITUTE(SUBSTITUTE(SUBSTITUTE(SUBSTITUTE(SUBSTITUTE(SUBSTITUTE(SUBSTITUTE(SUBSTITUTE(SUBSTITUTE(SUBSTITUTE(LOWER(T21&amp;""),CHAR(160),"")," ",""),".",""),"-",""),"/",""),"?",""),"_",""),",",""),"[",""),"]",""),"(",""),")",""),"*","")</f>
        <v/>
      </c>
      <c r="AV21" s="61" t="str">
        <f aca="false">SUBSTITUTE(SUBSTITUTE(SUBSTITUTE(SUBSTITUTE(SUBSTITUTE(SUBSTITUTE(SUBSTITUTE(SUBSTITUTE(SUBSTITUTE(SUBSTITUTE(SUBSTITUTE(SUBSTITUTE(SUBSTITUTE(LOWER(V21&amp;""),CHAR(160),"")," ",""),".",""),"-",""),"/",""),"?",""),"_",""),",",""),"[",""),"]",""),"(",""),")",""),"*","")</f>
        <v/>
      </c>
      <c r="AW21" s="61" t="str">
        <f aca="false">SUBSTITUTE(SUBSTITUTE(SUBSTITUTE(SUBSTITUTE(SUBSTITUTE(SUBSTITUTE(SUBSTITUTE(SUBSTITUTE(SUBSTITUTE(SUBSTITUTE(SUBSTITUTE(SUBSTITUTE(SUBSTITUTE(LOWER(Z21&amp;""),CHAR(160),"")," ",""),".",""),"-",""),"/",""),"?",""),"_",""),",",""),"[",""),"]",""),"(",""),")",""),"*","")</f>
        <v/>
      </c>
      <c r="AX21" s="61" t="str">
        <f aca="false">SUBSTITUTE(SUBSTITUTE(SUBSTITUTE(SUBSTITUTE(SUBSTITUTE(SUBSTITUTE(SUBSTITUTE(SUBSTITUTE(SUBSTITUTE(SUBSTITUTE(SUBSTITUTE(SUBSTITUTE(SUBSTITUTE(LOWER(AE21&amp;""),CHAR(160),"")," ",""),".",""),"-",""),"/",""),"?",""),"_",""),",",""),"[",""),"]",""),"(",""),")",""),"*","")</f>
        <v/>
      </c>
      <c r="AY21" s="61" t="str">
        <f aca="false">SUBSTITUTE(SUBSTITUTE(SUBSTITUTE(SUBSTITUTE(SUBSTITUTE(SUBSTITUTE(SUBSTITUTE(SUBSTITUTE(SUBSTITUTE(SUBSTITUTE(SUBSTITUTE(SUBSTITUTE(SUBSTITUTE(LOWER(W21&amp;""),CHAR(160),"")," ",""),".",""),"-",""),"/",""),"?",""),"_",""),",",""),"[",""),"]",""),"(",""),")",""),"*","")</f>
        <v/>
      </c>
      <c r="AZ21" s="61" t="str">
        <f aca="false">SUBSTITUTE(SUBSTITUTE(SUBSTITUTE(SUBSTITUTE(SUBSTITUTE(SUBSTITUTE(SUBSTITUTE(SUBSTITUTE(SUBSTITUTE(SUBSTITUTE(SUBSTITUTE(SUBSTITUTE(SUBSTITUTE(LOWER(AC21&amp;""),CHAR(160),"")," ",""),".",""),"-",""),"/",""),"?",""),"_",""),",",""),"[",""),"]",""),"(",""),")",""),"*","")</f>
        <v/>
      </c>
      <c r="BA21" s="61" t="str">
        <f aca="false">SUBSTITUTE(SUBSTITUTE(SUBSTITUTE(SUBSTITUTE(SUBSTITUTE(SUBSTITUTE(SUBSTITUTE(SUBSTITUTE(SUBSTITUTE(SUBSTITUTE(SUBSTITUTE(SUBSTITUTE(SUBSTITUTE(LOWER(AA21&amp;""),CHAR(160),"")," ",""),".",""),"-",""),"/",""),"?",""),"_",""),",",""),"[",""),"]",""),"(",""),")",""),"*","")</f>
        <v/>
      </c>
      <c r="BB21" s="61" t="str">
        <f aca="false">IF(AND(TRIM(U21)="Pass",ISNUMBER(AF21)),IF(AF21&lt;&gt;0,"INVALID – qty variance: use Fail or Pass after CA",""),"")&amp;IF(AND(TRIM(U21)="Pass after CA",ISNUMBER(AF21)),IF(AF21&lt;&gt;0,"INVALID – after the corrective action the actual qty must equal expected (update Actual)",""),"")&amp;IF(AND(TRIM(U21)="Pass",TRIM(AB21)&lt;&gt;"",TRIM(AB21)&lt;&gt;"Closed"),"INVALID – corrective action not closed: use Fail, then Pass after CA","")&amp;IF(AND(TRIM(AA21)&lt;&gt;"",TRIM(AB21)=""),"INVALID – CA status missing for the recorded corrective action","")&amp;IF(AND(TRIM(U21)="Pass after CA",OR(OR(LEN(BA21)&lt;5,ISNUMBER(MATCH(BA21,L_Placeholder,0))),TRIM(AB21)&lt;&gt;"Closed")),"INVALID – corrective action not recorded/closed","")</f>
        <v/>
      </c>
    </row>
    <row r="22" customFormat="false" ht="54" hidden="false" customHeight="true" outlineLevel="0" collapsed="false">
      <c r="A22" s="57" t="s">
        <v>417</v>
      </c>
      <c r="B22" s="57" t="s">
        <v>180</v>
      </c>
      <c r="C22" s="57" t="str">
        <f aca="false">Flights!$F$5</f>
        <v>MH0001</v>
      </c>
      <c r="D22" s="58" t="n">
        <f aca="false">Flights!$D$5</f>
        <v>46303</v>
      </c>
      <c r="E22" s="57" t="str">
        <f aca="false">Flights!$G$5&amp;"-"&amp;Flights!$H$5</f>
        <v>LHR-KUL</v>
      </c>
      <c r="F22" s="57" t="str">
        <f aca="false">Flights!$K$5</f>
        <v>EY</v>
      </c>
      <c r="G22" s="57" t="s">
        <v>398</v>
      </c>
      <c r="H22" s="57" t="s">
        <v>356</v>
      </c>
      <c r="I22" s="57" t="s">
        <v>418</v>
      </c>
      <c r="J22" s="57" t="s">
        <v>419</v>
      </c>
      <c r="K22" s="67" t="s">
        <v>420</v>
      </c>
      <c r="L22" s="67" t="s">
        <v>421</v>
      </c>
      <c r="M22" s="67" t="s">
        <v>183</v>
      </c>
      <c r="N22" s="67" t="s">
        <v>422</v>
      </c>
      <c r="O22" s="67" t="s">
        <v>423</v>
      </c>
      <c r="P22" s="57" t="s">
        <v>183</v>
      </c>
      <c r="Q22" s="59" t="n">
        <f aca="false">ROUND((Flights!$AE$5)*1440,0)/1440</f>
        <v>46303.3576388889</v>
      </c>
      <c r="R22" s="59" t="n">
        <f aca="false">Q22+(IF(AND(INDEX(TZ_DSTS,MATCH(P22,TZ_STN,0))&lt;&gt;"",Q22&gt;=INDEX(TZ_DSTS,MATCH(P22,TZ_STN,0)),Q22&lt;INDEX(TZ_DSTE,MATCH(P22,TZ_STN,0))),INDEX(TZ_DST,MATCH(P22,TZ_STN,0)),INDEX(TZ_STD,MATCH(P22,TZ_STN,0))))/24</f>
        <v>46303.3993055556</v>
      </c>
      <c r="S22" s="59" t="n">
        <f aca="false">Q22-T12EarlyH/24</f>
        <v>46302.8576388889</v>
      </c>
      <c r="T22" s="60"/>
      <c r="U22" s="60"/>
      <c r="V22" s="60"/>
      <c r="W22" s="61"/>
      <c r="X22" s="60"/>
      <c r="Y22" s="60"/>
      <c r="Z22" s="60"/>
      <c r="AA22" s="60"/>
      <c r="AB22" s="60"/>
      <c r="AC22" s="60"/>
      <c r="AD22" s="66"/>
      <c r="AE22" s="60"/>
      <c r="AF22" s="61" t="str">
        <f aca="false">IF(AND(ISNUMBER(X22),ISNUMBER(Y22)),Y22-X22,"")</f>
        <v/>
      </c>
      <c r="AG22" s="62" t="str">
        <f aca="false">IF(ISNUMBER(AD22),AD22-(IF(AND(INDEX(TZ_DSTS,MATCH(P22,TZ_STN,0))&lt;&gt;"",(AD22-INDEX(TZ_STD,MATCH(P22,TZ_STN,0))/24)&gt;=INDEX(TZ_DSTS,MATCH(P22,TZ_STN,0)),(AD22-INDEX(TZ_STD,MATCH(P22,TZ_STN,0))/24)&lt;INDEX(TZ_DSTE,MATCH(P22,TZ_STN,0))),INDEX(TZ_DST,MATCH(P22,TZ_STN,0)),INDEX(TZ_STD,MATCH(P22,TZ_STN,0))))/24,"")</f>
        <v/>
      </c>
      <c r="AH22" s="65" t="str">
        <f aca="false">IFERROR(IF(N22="N/A – rule","N/A – RULE",IF(TRIM(U22)="N/A",IF(AT22=0,"INVALID – N/A not permitted for this check",IF(AND(TRIM(AB22)&lt;&gt;"",TRIM(AB22)&lt;&gt;"Closed"),"INVALID – corrective action still open",IF(AND(NOT(OR(LEN(AZ22)&lt;15,ISNUMBER(MATCH(AZ22,L_Placeholder,0)))),NOT(OR(LEN(AU22)&lt;2,ISNUMBER(MATCH(AU22,L_Placeholder,0)))),NOT(OR(LEN(AX22)&lt;2,ISNUMBER(MATCH(AX22,L_Placeholder,0)))),TRIM(AE22)&lt;&gt;TRIM(T22)),"N/A – JUSTIFIED","INVALID – N/A needs a real justification (15+ chars), PIC and a different verifier"))),IF(OR(TRIM(U22)="Pass",TRIM(U22)="Pass after CA"),IF(NOT(ISNUMBER(AD22)),"INVALID – completion time missing",IF(OR(LEN(AU22)&lt;2,ISNUMBER(MATCH(AU22,L_Placeholder,0))),"INVALID – PIC missing",IF(OR(LEN(AV22)&lt;2,ISNUMBER(MATCH(AV22,L_Placeholder,0))),"INVALID – result / assessment missing",IF(OR(OR(LEN(AW22)&lt;3,ISNUMBER(MATCH(AW22,L_Placeholder,0))),SUMPRODUCT(--ISNUMBER(SEARCH(L_EvidencePhrase,AW22)))&gt;0),"INVALID – evidence missing, placeholder or not yet on file",IF(OR(LEN(AX22)&lt;2,ISNUMBER(MATCH(AX22,L_Placeholder,0))),"INVALID – verifier missing",IF(AX22=AU22,"INVALID – verifier must be someone other than the PIC",IF(AND(TRIM(U22)="Pass",SUMPRODUCT(--ISNUMBER(SEARCH(L_ResultBad,AV22)))&gt;0),"INVALID – result describes a problem: use Fail, then Pass after CA",IF(AND(AQ22=1,OR(LEN(AY22)&lt;3,ISNUMBER(MATCH(AY22,L_Placeholder,0)))),"INVALID – batch ID missing or placeholder",IF(AND(AR22=1,OR(NOT(ISNUMBER(X22)),NOT(ISNUMBER(Y22)))),"INVALID – expected/actual qty missing",IF(AND(AR22=1,OR(X22&lt;=0,Y22&lt;0)),"INVALID – expected qty must be above 0 and actual not negative",IF(BB22&lt;&gt;"",BB22,IF(AND(AS22=1,Documents!$J$5&lt;&gt;"ON FILE"),"INVALID – GLD not on file (Documents sheet)",IF(AND(AS22=2,Documents!$O$5&lt;&gt;"ON FILE"),"INVALID – menu checklist not on file (Documents sheet)",IF(AND(AS22=3,NOT(ISNUMBER(Flights!$AX$5))),"INVALID – enter carrying flight KUL departure (Flights AX)",IF(AND(AS22=3,OR(Flights!$AZ$5&gt;Flights!$AA$5,Flights!$AX$5&lt;Flights!$AA$5-3)),"INVALID – carrying flight (Flights AX) cannot arrive before this leg's STD, or is over 3 days early",IF(AG22&gt;AsOfUTC,"INVALID – completion time is in the future",IF(AND(ISNUMBER(S22),AG22&lt;S22),IF(H22="Physical uplift","INVALID – before uplift window (cannot confirm loading)","INVALID – before valid window"),IF(AG22&gt;Flights!$AA$5,"INVALID – completed after departure (cannot establish readiness)",IF(AND(H22="Preparation",AG22&gt;IF(ISNUMBER(Flights!$BA$5),MIN(Flights!$BA$5,Flights!$AA$5),Flights!$AA$5)),"INVALID – completed after loading / departure (cannot establish readiness)",IF(AND(H22="Physical uplift",AG22&gt;Q22),"INVALID – recorded after the loading flight departed",IF(AG22&gt;Q22,"COMPLETE – LATE","COMPLETE"))))))))))))))))))))),IF(TRIM(U22)="Fail","FAIL – DISCREPANCY",IF(AND(TRIM(U22)&lt;&gt;"",TRIM(U22)&lt;&gt;"Not started",TRIM(U22)&lt;&gt;"In progress"),"INVALID – unrecognised status (use the list)",IF(AsOfUTC&gt;Q22,"OVERDUE",IF(N22="Clarification required","OPEN – CLARIFICATION","OPEN"))))))),"INVALID – error value in an input cell")</f>
        <v>OPEN – CLARIFICATION</v>
      </c>
      <c r="AI22" s="61" t="n">
        <f aca="false">IF(OR(AH22="N/A – RULE",AH22="N/A – JUSTIFIED"),0,1)</f>
        <v>1</v>
      </c>
      <c r="AJ22" s="61" t="n">
        <f aca="false">IF(LEFT(AH22,8)="COMPLETE",1,0)</f>
        <v>0</v>
      </c>
      <c r="AK22" s="61" t="n">
        <f aca="false">IF(AND(AI22=1,AJ22=0,AsOfUTC&gt;Q22),1,0)</f>
        <v>0</v>
      </c>
      <c r="AL22" s="61" t="n">
        <f aca="false">IFERROR(IF(AND(AI22=1,OR(TRIM(U22)="Fail",AND(TRIM(AB22)&lt;&gt;"",TRIM(AB22)&lt;&gt;"Closed"),AND(ISNUMBER(AF22),AF22&lt;&gt;0,TRIM(U22)&lt;&gt;"Pass after CA"))),1,0),1)</f>
        <v>0</v>
      </c>
      <c r="AM22" s="61" t="n">
        <f aca="false">IF(LEFT(AH22,7)="INVALID",1,0)</f>
        <v>0</v>
      </c>
      <c r="AN22" s="61" t="n">
        <f aca="false">IF(AND(N22="Clarification required",AI22=1,AJ22=0),1,0)</f>
        <v>1</v>
      </c>
      <c r="AO22" s="61" t="str">
        <f aca="false">IF(AK22=1,SUM(AK$5:AK22),"")</f>
        <v/>
      </c>
      <c r="AP22" s="61" t="str">
        <f aca="false">IF(AL22=1,SUM(AL$5:AL22),"")</f>
        <v/>
      </c>
      <c r="AQ22" s="61" t="n">
        <v>0</v>
      </c>
      <c r="AR22" s="61" t="n">
        <v>0</v>
      </c>
      <c r="AS22" s="61" t="n">
        <v>0</v>
      </c>
      <c r="AT22" s="61" t="n">
        <v>1</v>
      </c>
      <c r="AU22" s="61" t="str">
        <f aca="false">SUBSTITUTE(SUBSTITUTE(SUBSTITUTE(SUBSTITUTE(SUBSTITUTE(SUBSTITUTE(SUBSTITUTE(SUBSTITUTE(SUBSTITUTE(SUBSTITUTE(SUBSTITUTE(SUBSTITUTE(SUBSTITUTE(LOWER(T22&amp;""),CHAR(160),"")," ",""),".",""),"-",""),"/",""),"?",""),"_",""),",",""),"[",""),"]",""),"(",""),")",""),"*","")</f>
        <v/>
      </c>
      <c r="AV22" s="61" t="str">
        <f aca="false">SUBSTITUTE(SUBSTITUTE(SUBSTITUTE(SUBSTITUTE(SUBSTITUTE(SUBSTITUTE(SUBSTITUTE(SUBSTITUTE(SUBSTITUTE(SUBSTITUTE(SUBSTITUTE(SUBSTITUTE(SUBSTITUTE(LOWER(V22&amp;""),CHAR(160),"")," ",""),".",""),"-",""),"/",""),"?",""),"_",""),",",""),"[",""),"]",""),"(",""),")",""),"*","")</f>
        <v/>
      </c>
      <c r="AW22" s="61" t="str">
        <f aca="false">SUBSTITUTE(SUBSTITUTE(SUBSTITUTE(SUBSTITUTE(SUBSTITUTE(SUBSTITUTE(SUBSTITUTE(SUBSTITUTE(SUBSTITUTE(SUBSTITUTE(SUBSTITUTE(SUBSTITUTE(SUBSTITUTE(LOWER(Z22&amp;""),CHAR(160),"")," ",""),".",""),"-",""),"/",""),"?",""),"_",""),",",""),"[",""),"]",""),"(",""),")",""),"*","")</f>
        <v/>
      </c>
      <c r="AX22" s="61" t="str">
        <f aca="false">SUBSTITUTE(SUBSTITUTE(SUBSTITUTE(SUBSTITUTE(SUBSTITUTE(SUBSTITUTE(SUBSTITUTE(SUBSTITUTE(SUBSTITUTE(SUBSTITUTE(SUBSTITUTE(SUBSTITUTE(SUBSTITUTE(LOWER(AE22&amp;""),CHAR(160),"")," ",""),".",""),"-",""),"/",""),"?",""),"_",""),",",""),"[",""),"]",""),"(",""),")",""),"*","")</f>
        <v/>
      </c>
      <c r="AY22" s="61" t="str">
        <f aca="false">SUBSTITUTE(SUBSTITUTE(SUBSTITUTE(SUBSTITUTE(SUBSTITUTE(SUBSTITUTE(SUBSTITUTE(SUBSTITUTE(SUBSTITUTE(SUBSTITUTE(SUBSTITUTE(SUBSTITUTE(SUBSTITUTE(LOWER(W22&amp;""),CHAR(160),"")," ",""),".",""),"-",""),"/",""),"?",""),"_",""),",",""),"[",""),"]",""),"(",""),")",""),"*","")</f>
        <v/>
      </c>
      <c r="AZ22" s="61" t="str">
        <f aca="false">SUBSTITUTE(SUBSTITUTE(SUBSTITUTE(SUBSTITUTE(SUBSTITUTE(SUBSTITUTE(SUBSTITUTE(SUBSTITUTE(SUBSTITUTE(SUBSTITUTE(SUBSTITUTE(SUBSTITUTE(SUBSTITUTE(LOWER(AC22&amp;""),CHAR(160),"")," ",""),".",""),"-",""),"/",""),"?",""),"_",""),",",""),"[",""),"]",""),"(",""),")",""),"*","")</f>
        <v/>
      </c>
      <c r="BA22" s="61" t="str">
        <f aca="false">SUBSTITUTE(SUBSTITUTE(SUBSTITUTE(SUBSTITUTE(SUBSTITUTE(SUBSTITUTE(SUBSTITUTE(SUBSTITUTE(SUBSTITUTE(SUBSTITUTE(SUBSTITUTE(SUBSTITUTE(SUBSTITUTE(LOWER(AA22&amp;""),CHAR(160),"")," ",""),".",""),"-",""),"/",""),"?",""),"_",""),",",""),"[",""),"]",""),"(",""),")",""),"*","")</f>
        <v/>
      </c>
      <c r="BB22" s="61" t="str">
        <f aca="false">IF(AND(TRIM(U22)="Pass",ISNUMBER(AF22)),IF(AF22&lt;&gt;0,"INVALID – qty variance: use Fail or Pass after CA",""),"")&amp;IF(AND(TRIM(U22)="Pass after CA",ISNUMBER(AF22)),IF(AF22&lt;&gt;0,"INVALID – after the corrective action the actual qty must equal expected (update Actual)",""),"")&amp;IF(AND(TRIM(U22)="Pass",TRIM(AB22)&lt;&gt;"",TRIM(AB22)&lt;&gt;"Closed"),"INVALID – corrective action not closed: use Fail, then Pass after CA","")&amp;IF(AND(TRIM(AA22)&lt;&gt;"",TRIM(AB22)=""),"INVALID – CA status missing for the recorded corrective action","")&amp;IF(AND(TRIM(U22)="Pass after CA",OR(OR(LEN(BA22)&lt;5,ISNUMBER(MATCH(BA22,L_Placeholder,0))),TRIM(AB22)&lt;&gt;"Closed")),"INVALID – corrective action not recorded/closed","")</f>
        <v/>
      </c>
    </row>
    <row r="23" customFormat="false" ht="41.25" hidden="false" customHeight="true" outlineLevel="0" collapsed="false">
      <c r="A23" s="57" t="s">
        <v>424</v>
      </c>
      <c r="B23" s="57" t="s">
        <v>180</v>
      </c>
      <c r="C23" s="57" t="str">
        <f aca="false">Flights!$F$5</f>
        <v>MH0001</v>
      </c>
      <c r="D23" s="58" t="n">
        <f aca="false">Flights!$D$5</f>
        <v>46303</v>
      </c>
      <c r="E23" s="57" t="str">
        <f aca="false">Flights!$G$5&amp;"-"&amp;Flights!$H$5</f>
        <v>LHR-KUL</v>
      </c>
      <c r="F23" s="57" t="str">
        <f aca="false">Flights!$K$5</f>
        <v>EY</v>
      </c>
      <c r="G23" s="57" t="s">
        <v>398</v>
      </c>
      <c r="H23" s="57" t="s">
        <v>356</v>
      </c>
      <c r="I23" s="57" t="s">
        <v>425</v>
      </c>
      <c r="J23" s="57" t="s">
        <v>426</v>
      </c>
      <c r="K23" s="67" t="s">
        <v>427</v>
      </c>
      <c r="L23" s="67" t="s">
        <v>428</v>
      </c>
      <c r="M23" s="67" t="s">
        <v>429</v>
      </c>
      <c r="N23" s="67" t="s">
        <v>361</v>
      </c>
      <c r="O23" s="67" t="s">
        <v>430</v>
      </c>
      <c r="P23" s="57" t="s">
        <v>183</v>
      </c>
      <c r="Q23" s="59" t="n">
        <f aca="false">ROUND((Flights!$AE$5)*1440,0)/1440</f>
        <v>46303.3576388889</v>
      </c>
      <c r="R23" s="59" t="n">
        <f aca="false">Q23+(IF(AND(INDEX(TZ_DSTS,MATCH(P23,TZ_STN,0))&lt;&gt;"",Q23&gt;=INDEX(TZ_DSTS,MATCH(P23,TZ_STN,0)),Q23&lt;INDEX(TZ_DSTE,MATCH(P23,TZ_STN,0))),INDEX(TZ_DST,MATCH(P23,TZ_STN,0)),INDEX(TZ_STD,MATCH(P23,TZ_STN,0))))/24</f>
        <v>46303.3993055556</v>
      </c>
      <c r="S23" s="59" t="n">
        <f aca="false">Q23-T12EarlyH/24</f>
        <v>46302.8576388889</v>
      </c>
      <c r="T23" s="60"/>
      <c r="U23" s="60"/>
      <c r="V23" s="60"/>
      <c r="W23" s="61"/>
      <c r="X23" s="60"/>
      <c r="Y23" s="60"/>
      <c r="Z23" s="60"/>
      <c r="AA23" s="60"/>
      <c r="AB23" s="60"/>
      <c r="AC23" s="60"/>
      <c r="AD23" s="66"/>
      <c r="AE23" s="60"/>
      <c r="AF23" s="61" t="str">
        <f aca="false">IF(AND(ISNUMBER(X23),ISNUMBER(Y23)),Y23-X23,"")</f>
        <v/>
      </c>
      <c r="AG23" s="62" t="str">
        <f aca="false">IF(ISNUMBER(AD23),AD23-(IF(AND(INDEX(TZ_DSTS,MATCH(P23,TZ_STN,0))&lt;&gt;"",(AD23-INDEX(TZ_STD,MATCH(P23,TZ_STN,0))/24)&gt;=INDEX(TZ_DSTS,MATCH(P23,TZ_STN,0)),(AD23-INDEX(TZ_STD,MATCH(P23,TZ_STN,0))/24)&lt;INDEX(TZ_DSTE,MATCH(P23,TZ_STN,0))),INDEX(TZ_DST,MATCH(P23,TZ_STN,0)),INDEX(TZ_STD,MATCH(P23,TZ_STN,0))))/24,"")</f>
        <v/>
      </c>
      <c r="AH23" s="65" t="str">
        <f aca="false">IFERROR(IF(N23="N/A – rule","N/A – RULE",IF(TRIM(U23)="N/A",IF(AT23=0,"INVALID – N/A not permitted for this check",IF(AND(TRIM(AB23)&lt;&gt;"",TRIM(AB23)&lt;&gt;"Closed"),"INVALID – corrective action still open",IF(AND(NOT(OR(LEN(AZ23)&lt;15,ISNUMBER(MATCH(AZ23,L_Placeholder,0)))),NOT(OR(LEN(AU23)&lt;2,ISNUMBER(MATCH(AU23,L_Placeholder,0)))),NOT(OR(LEN(AX23)&lt;2,ISNUMBER(MATCH(AX23,L_Placeholder,0)))),TRIM(AE23)&lt;&gt;TRIM(T23)),"N/A – JUSTIFIED","INVALID – N/A needs a real justification (15+ chars), PIC and a different verifier"))),IF(OR(TRIM(U23)="Pass",TRIM(U23)="Pass after CA"),IF(NOT(ISNUMBER(AD23)),"INVALID – completion time missing",IF(OR(LEN(AU23)&lt;2,ISNUMBER(MATCH(AU23,L_Placeholder,0))),"INVALID – PIC missing",IF(OR(LEN(AV23)&lt;2,ISNUMBER(MATCH(AV23,L_Placeholder,0))),"INVALID – result / assessment missing",IF(OR(OR(LEN(AW23)&lt;3,ISNUMBER(MATCH(AW23,L_Placeholder,0))),SUMPRODUCT(--ISNUMBER(SEARCH(L_EvidencePhrase,AW23)))&gt;0),"INVALID – evidence missing, placeholder or not yet on file",IF(OR(LEN(AX23)&lt;2,ISNUMBER(MATCH(AX23,L_Placeholder,0))),"INVALID – verifier missing",IF(AX23=AU23,"INVALID – verifier must be someone other than the PIC",IF(AND(TRIM(U23)="Pass",SUMPRODUCT(--ISNUMBER(SEARCH(L_ResultBad,AV23)))&gt;0),"INVALID – result describes a problem: use Fail, then Pass after CA",IF(AND(AQ23=1,OR(LEN(AY23)&lt;3,ISNUMBER(MATCH(AY23,L_Placeholder,0)))),"INVALID – batch ID missing or placeholder",IF(AND(AR23=1,OR(NOT(ISNUMBER(X23)),NOT(ISNUMBER(Y23)))),"INVALID – expected/actual qty missing",IF(AND(AR23=1,OR(X23&lt;=0,Y23&lt;0)),"INVALID – expected qty must be above 0 and actual not negative",IF(BB23&lt;&gt;"",BB23,IF(AND(AS23=1,Documents!$J$5&lt;&gt;"ON FILE"),"INVALID – GLD not on file (Documents sheet)",IF(AND(AS23=2,Documents!$O$5&lt;&gt;"ON FILE"),"INVALID – menu checklist not on file (Documents sheet)",IF(AND(AS23=3,NOT(ISNUMBER(Flights!$AX$5))),"INVALID – enter carrying flight KUL departure (Flights AX)",IF(AND(AS23=3,OR(Flights!$AZ$5&gt;Flights!$AA$5,Flights!$AX$5&lt;Flights!$AA$5-3)),"INVALID – carrying flight (Flights AX) cannot arrive before this leg's STD, or is over 3 days early",IF(AG23&gt;AsOfUTC,"INVALID – completion time is in the future",IF(AND(ISNUMBER(S23),AG23&lt;S23),IF(H23="Physical uplift","INVALID – before uplift window (cannot confirm loading)","INVALID – before valid window"),IF(AG23&gt;Flights!$AA$5,"INVALID – completed after departure (cannot establish readiness)",IF(AND(H23="Preparation",AG23&gt;IF(ISNUMBER(Flights!$BA$5),MIN(Flights!$BA$5,Flights!$AA$5),Flights!$AA$5)),"INVALID – completed after loading / departure (cannot establish readiness)",IF(AND(H23="Physical uplift",AG23&gt;Q23),"INVALID – recorded after the loading flight departed",IF(AG23&gt;Q23,"COMPLETE – LATE","COMPLETE"))))))))))))))))))))),IF(TRIM(U23)="Fail","FAIL – DISCREPANCY",IF(AND(TRIM(U23)&lt;&gt;"",TRIM(U23)&lt;&gt;"Not started",TRIM(U23)&lt;&gt;"In progress"),"INVALID – unrecognised status (use the list)",IF(AsOfUTC&gt;Q23,"OVERDUE",IF(N23="Clarification required","OPEN – CLARIFICATION","OPEN"))))))),"INVALID – error value in an input cell")</f>
        <v>OPEN</v>
      </c>
      <c r="AI23" s="61" t="n">
        <f aca="false">IF(OR(AH23="N/A – RULE",AH23="N/A – JUSTIFIED"),0,1)</f>
        <v>1</v>
      </c>
      <c r="AJ23" s="61" t="n">
        <f aca="false">IF(LEFT(AH23,8)="COMPLETE",1,0)</f>
        <v>0</v>
      </c>
      <c r="AK23" s="61" t="n">
        <f aca="false">IF(AND(AI23=1,AJ23=0,AsOfUTC&gt;Q23),1,0)</f>
        <v>0</v>
      </c>
      <c r="AL23" s="61" t="n">
        <f aca="false">IFERROR(IF(AND(AI23=1,OR(TRIM(U23)="Fail",AND(TRIM(AB23)&lt;&gt;"",TRIM(AB23)&lt;&gt;"Closed"),AND(ISNUMBER(AF23),AF23&lt;&gt;0,TRIM(U23)&lt;&gt;"Pass after CA"))),1,0),1)</f>
        <v>0</v>
      </c>
      <c r="AM23" s="61" t="n">
        <f aca="false">IF(LEFT(AH23,7)="INVALID",1,0)</f>
        <v>0</v>
      </c>
      <c r="AN23" s="61" t="n">
        <f aca="false">IF(AND(N23="Clarification required",AI23=1,AJ23=0),1,0)</f>
        <v>0</v>
      </c>
      <c r="AO23" s="61" t="str">
        <f aca="false">IF(AK23=1,SUM(AK$5:AK23),"")</f>
        <v/>
      </c>
      <c r="AP23" s="61" t="str">
        <f aca="false">IF(AL23=1,SUM(AL$5:AL23),"")</f>
        <v/>
      </c>
      <c r="AQ23" s="61" t="n">
        <v>0</v>
      </c>
      <c r="AR23" s="61" t="n">
        <v>0</v>
      </c>
      <c r="AS23" s="61" t="n">
        <v>0</v>
      </c>
      <c r="AT23" s="61" t="n">
        <v>0</v>
      </c>
      <c r="AU23" s="61" t="str">
        <f aca="false">SUBSTITUTE(SUBSTITUTE(SUBSTITUTE(SUBSTITUTE(SUBSTITUTE(SUBSTITUTE(SUBSTITUTE(SUBSTITUTE(SUBSTITUTE(SUBSTITUTE(SUBSTITUTE(SUBSTITUTE(SUBSTITUTE(LOWER(T23&amp;""),CHAR(160),"")," ",""),".",""),"-",""),"/",""),"?",""),"_",""),",",""),"[",""),"]",""),"(",""),")",""),"*","")</f>
        <v/>
      </c>
      <c r="AV23" s="61" t="str">
        <f aca="false">SUBSTITUTE(SUBSTITUTE(SUBSTITUTE(SUBSTITUTE(SUBSTITUTE(SUBSTITUTE(SUBSTITUTE(SUBSTITUTE(SUBSTITUTE(SUBSTITUTE(SUBSTITUTE(SUBSTITUTE(SUBSTITUTE(LOWER(V23&amp;""),CHAR(160),"")," ",""),".",""),"-",""),"/",""),"?",""),"_",""),",",""),"[",""),"]",""),"(",""),")",""),"*","")</f>
        <v/>
      </c>
      <c r="AW23" s="61" t="str">
        <f aca="false">SUBSTITUTE(SUBSTITUTE(SUBSTITUTE(SUBSTITUTE(SUBSTITUTE(SUBSTITUTE(SUBSTITUTE(SUBSTITUTE(SUBSTITUTE(SUBSTITUTE(SUBSTITUTE(SUBSTITUTE(SUBSTITUTE(LOWER(Z23&amp;""),CHAR(160),"")," ",""),".",""),"-",""),"/",""),"?",""),"_",""),",",""),"[",""),"]",""),"(",""),")",""),"*","")</f>
        <v/>
      </c>
      <c r="AX23" s="61" t="str">
        <f aca="false">SUBSTITUTE(SUBSTITUTE(SUBSTITUTE(SUBSTITUTE(SUBSTITUTE(SUBSTITUTE(SUBSTITUTE(SUBSTITUTE(SUBSTITUTE(SUBSTITUTE(SUBSTITUTE(SUBSTITUTE(SUBSTITUTE(LOWER(AE23&amp;""),CHAR(160),"")," ",""),".",""),"-",""),"/",""),"?",""),"_",""),",",""),"[",""),"]",""),"(",""),")",""),"*","")</f>
        <v/>
      </c>
      <c r="AY23" s="61" t="str">
        <f aca="false">SUBSTITUTE(SUBSTITUTE(SUBSTITUTE(SUBSTITUTE(SUBSTITUTE(SUBSTITUTE(SUBSTITUTE(SUBSTITUTE(SUBSTITUTE(SUBSTITUTE(SUBSTITUTE(SUBSTITUTE(SUBSTITUTE(LOWER(W23&amp;""),CHAR(160),"")," ",""),".",""),"-",""),"/",""),"?",""),"_",""),",",""),"[",""),"]",""),"(",""),")",""),"*","")</f>
        <v/>
      </c>
      <c r="AZ23" s="61" t="str">
        <f aca="false">SUBSTITUTE(SUBSTITUTE(SUBSTITUTE(SUBSTITUTE(SUBSTITUTE(SUBSTITUTE(SUBSTITUTE(SUBSTITUTE(SUBSTITUTE(SUBSTITUTE(SUBSTITUTE(SUBSTITUTE(SUBSTITUTE(LOWER(AC23&amp;""),CHAR(160),"")," ",""),".",""),"-",""),"/",""),"?",""),"_",""),",",""),"[",""),"]",""),"(",""),")",""),"*","")</f>
        <v/>
      </c>
      <c r="BA23" s="61" t="str">
        <f aca="false">SUBSTITUTE(SUBSTITUTE(SUBSTITUTE(SUBSTITUTE(SUBSTITUTE(SUBSTITUTE(SUBSTITUTE(SUBSTITUTE(SUBSTITUTE(SUBSTITUTE(SUBSTITUTE(SUBSTITUTE(SUBSTITUTE(LOWER(AA23&amp;""),CHAR(160),"")," ",""),".",""),"-",""),"/",""),"?",""),"_",""),",",""),"[",""),"]",""),"(",""),")",""),"*","")</f>
        <v/>
      </c>
      <c r="BB23" s="61" t="str">
        <f aca="false">IF(AND(TRIM(U23)="Pass",ISNUMBER(AF23)),IF(AF23&lt;&gt;0,"INVALID – qty variance: use Fail or Pass after CA",""),"")&amp;IF(AND(TRIM(U23)="Pass after CA",ISNUMBER(AF23)),IF(AF23&lt;&gt;0,"INVALID – after the corrective action the actual qty must equal expected (update Actual)",""),"")&amp;IF(AND(TRIM(U23)="Pass",TRIM(AB23)&lt;&gt;"",TRIM(AB23)&lt;&gt;"Closed"),"INVALID – corrective action not closed: use Fail, then Pass after CA","")&amp;IF(AND(TRIM(AA23)&lt;&gt;"",TRIM(AB23)=""),"INVALID – CA status missing for the recorded corrective action","")&amp;IF(AND(TRIM(U23)="Pass after CA",OR(OR(LEN(BA23)&lt;5,ISNUMBER(MATCH(BA23,L_Placeholder,0))),TRIM(AB23)&lt;&gt;"Closed")),"INVALID – corrective action not recorded/closed","")</f>
        <v/>
      </c>
    </row>
    <row r="24" customFormat="false" ht="91.5" hidden="false" customHeight="true" outlineLevel="0" collapsed="false">
      <c r="A24" s="57" t="s">
        <v>431</v>
      </c>
      <c r="B24" s="57" t="s">
        <v>180</v>
      </c>
      <c r="C24" s="57" t="str">
        <f aca="false">Flights!$F$5</f>
        <v>MH0001</v>
      </c>
      <c r="D24" s="58" t="n">
        <f aca="false">Flights!$D$5</f>
        <v>46303</v>
      </c>
      <c r="E24" s="57" t="str">
        <f aca="false">Flights!$G$5&amp;"-"&amp;Flights!$H$5</f>
        <v>LHR-KUL</v>
      </c>
      <c r="F24" s="57" t="str">
        <f aca="false">Flights!$K$5</f>
        <v>EY</v>
      </c>
      <c r="G24" s="57" t="s">
        <v>398</v>
      </c>
      <c r="H24" s="57" t="s">
        <v>356</v>
      </c>
      <c r="I24" s="57" t="s">
        <v>425</v>
      </c>
      <c r="J24" s="57" t="s">
        <v>432</v>
      </c>
      <c r="K24" s="67" t="s">
        <v>433</v>
      </c>
      <c r="L24" s="67" t="s">
        <v>434</v>
      </c>
      <c r="M24" s="67" t="s">
        <v>429</v>
      </c>
      <c r="N24" s="67" t="s">
        <v>361</v>
      </c>
      <c r="O24" s="67" t="s">
        <v>435</v>
      </c>
      <c r="P24" s="57" t="s">
        <v>183</v>
      </c>
      <c r="Q24" s="59" t="n">
        <f aca="false">ROUND((Flights!$AE$5)*1440,0)/1440</f>
        <v>46303.3576388889</v>
      </c>
      <c r="R24" s="59" t="n">
        <f aca="false">Q24+(IF(AND(INDEX(TZ_DSTS,MATCH(P24,TZ_STN,0))&lt;&gt;"",Q24&gt;=INDEX(TZ_DSTS,MATCH(P24,TZ_STN,0)),Q24&lt;INDEX(TZ_DSTE,MATCH(P24,TZ_STN,0))),INDEX(TZ_DST,MATCH(P24,TZ_STN,0)),INDEX(TZ_STD,MATCH(P24,TZ_STN,0))))/24</f>
        <v>46303.3993055556</v>
      </c>
      <c r="S24" s="59" t="n">
        <f aca="false">Q24-T12EarlyH/24</f>
        <v>46302.8576388889</v>
      </c>
      <c r="T24" s="60"/>
      <c r="U24" s="60"/>
      <c r="V24" s="60"/>
      <c r="W24" s="61"/>
      <c r="X24" s="68" t="str">
        <f aca="false">IF(TRIM(Flights!$N$5)="","",IF(ISNUMBER(SEARCH("MAH",Flights!$N$5)),280,260))</f>
        <v/>
      </c>
      <c r="Y24" s="60"/>
      <c r="Z24" s="60"/>
      <c r="AA24" s="60"/>
      <c r="AB24" s="60"/>
      <c r="AC24" s="60"/>
      <c r="AD24" s="66"/>
      <c r="AE24" s="60"/>
      <c r="AF24" s="61" t="str">
        <f aca="false">IF(AND(ISNUMBER(X24),ISNUMBER(Y24)),Y24-X24,"")</f>
        <v/>
      </c>
      <c r="AG24" s="62" t="str">
        <f aca="false">IF(ISNUMBER(AD24),AD24-(IF(AND(INDEX(TZ_DSTS,MATCH(P24,TZ_STN,0))&lt;&gt;"",(AD24-INDEX(TZ_STD,MATCH(P24,TZ_STN,0))/24)&gt;=INDEX(TZ_DSTS,MATCH(P24,TZ_STN,0)),(AD24-INDEX(TZ_STD,MATCH(P24,TZ_STN,0))/24)&lt;INDEX(TZ_DSTE,MATCH(P24,TZ_STN,0))),INDEX(TZ_DST,MATCH(P24,TZ_STN,0)),INDEX(TZ_STD,MATCH(P24,TZ_STN,0))))/24,"")</f>
        <v/>
      </c>
      <c r="AH24" s="65" t="str">
        <f aca="false">IFERROR(IF(N24="N/A – rule","N/A – RULE",IF(TRIM(U24)="N/A",IF(AT24=0,"INVALID – N/A not permitted for this check",IF(AND(TRIM(AB24)&lt;&gt;"",TRIM(AB24)&lt;&gt;"Closed"),"INVALID – corrective action still open",IF(AND(NOT(OR(LEN(AZ24)&lt;15,ISNUMBER(MATCH(AZ24,L_Placeholder,0)))),NOT(OR(LEN(AU24)&lt;2,ISNUMBER(MATCH(AU24,L_Placeholder,0)))),NOT(OR(LEN(AX24)&lt;2,ISNUMBER(MATCH(AX24,L_Placeholder,0)))),TRIM(AE24)&lt;&gt;TRIM(T24)),"N/A – JUSTIFIED","INVALID – N/A needs a real justification (15+ chars), PIC and a different verifier"))),IF(OR(TRIM(U24)="Pass",TRIM(U24)="Pass after CA"),IF(NOT(ISNUMBER(AD24)),"INVALID – completion time missing",IF(OR(LEN(AU24)&lt;2,ISNUMBER(MATCH(AU24,L_Placeholder,0))),"INVALID – PIC missing",IF(OR(LEN(AV24)&lt;2,ISNUMBER(MATCH(AV24,L_Placeholder,0))),"INVALID – result / assessment missing",IF(OR(OR(LEN(AW24)&lt;3,ISNUMBER(MATCH(AW24,L_Placeholder,0))),SUMPRODUCT(--ISNUMBER(SEARCH(L_EvidencePhrase,AW24)))&gt;0),"INVALID – evidence missing, placeholder or not yet on file",IF(OR(LEN(AX24)&lt;2,ISNUMBER(MATCH(AX24,L_Placeholder,0))),"INVALID – verifier missing",IF(AX24=AU24,"INVALID – verifier must be someone other than the PIC",IF(AND(TRIM(U24)="Pass",SUMPRODUCT(--ISNUMBER(SEARCH(L_ResultBad,AV24)))&gt;0),"INVALID – result describes a problem: use Fail, then Pass after CA",IF(AND(AQ24=1,OR(LEN(AY24)&lt;3,ISNUMBER(MATCH(AY24,L_Placeholder,0)))),"INVALID – batch ID missing or placeholder",IF(AND(AR24=1,OR(NOT(ISNUMBER(X24)),NOT(ISNUMBER(Y24)))),"INVALID – expected/actual qty missing",IF(AND(AR24=1,OR(X24&lt;=0,Y24&lt;0)),"INVALID – expected qty must be above 0 and actual not negative",IF(BB24&lt;&gt;"",BB24,IF(AND(AS24=1,Documents!$J$5&lt;&gt;"ON FILE"),"INVALID – GLD not on file (Documents sheet)",IF(AND(AS24=2,Documents!$O$5&lt;&gt;"ON FILE"),"INVALID – menu checklist not on file (Documents sheet)",IF(AND(AS24=3,NOT(ISNUMBER(Flights!$AX$5))),"INVALID – enter carrying flight KUL departure (Flights AX)",IF(AND(AS24=3,OR(Flights!$AZ$5&gt;Flights!$AA$5,Flights!$AX$5&lt;Flights!$AA$5-3)),"INVALID – carrying flight (Flights AX) cannot arrive before this leg's STD, or is over 3 days early",IF(AG24&gt;AsOfUTC,"INVALID – completion time is in the future",IF(AND(ISNUMBER(S24),AG24&lt;S24),IF(H24="Physical uplift","INVALID – before uplift window (cannot confirm loading)","INVALID – before valid window"),IF(AG24&gt;Flights!$AA$5,"INVALID – completed after departure (cannot establish readiness)",IF(AND(H24="Preparation",AG24&gt;IF(ISNUMBER(Flights!$BA$5),MIN(Flights!$BA$5,Flights!$AA$5),Flights!$AA$5)),"INVALID – completed after loading / departure (cannot establish readiness)",IF(AND(H24="Physical uplift",AG24&gt;Q24),"INVALID – recorded after the loading flight departed",IF(AG24&gt;Q24,"COMPLETE – LATE","COMPLETE"))))))))))))))))))))),IF(TRIM(U24)="Fail","FAIL – DISCREPANCY",IF(AND(TRIM(U24)&lt;&gt;"",TRIM(U24)&lt;&gt;"Not started",TRIM(U24)&lt;&gt;"In progress"),"INVALID – unrecognised status (use the list)",IF(AsOfUTC&gt;Q24,"OVERDUE",IF(N24="Clarification required","OPEN – CLARIFICATION","OPEN"))))))),"INVALID – error value in an input cell")</f>
        <v>OPEN</v>
      </c>
      <c r="AI24" s="61" t="n">
        <f aca="false">IF(OR(AH24="N/A – RULE",AH24="N/A – JUSTIFIED"),0,1)</f>
        <v>1</v>
      </c>
      <c r="AJ24" s="61" t="n">
        <f aca="false">IF(LEFT(AH24,8)="COMPLETE",1,0)</f>
        <v>0</v>
      </c>
      <c r="AK24" s="61" t="n">
        <f aca="false">IF(AND(AI24=1,AJ24=0,AsOfUTC&gt;Q24),1,0)</f>
        <v>0</v>
      </c>
      <c r="AL24" s="61" t="n">
        <f aca="false">IFERROR(IF(AND(AI24=1,OR(TRIM(U24)="Fail",AND(TRIM(AB24)&lt;&gt;"",TRIM(AB24)&lt;&gt;"Closed"),AND(ISNUMBER(AF24),AF24&lt;&gt;0,TRIM(U24)&lt;&gt;"Pass after CA"))),1,0),1)</f>
        <v>0</v>
      </c>
      <c r="AM24" s="61" t="n">
        <f aca="false">IF(LEFT(AH24,7)="INVALID",1,0)</f>
        <v>0</v>
      </c>
      <c r="AN24" s="61" t="n">
        <f aca="false">IF(AND(N24="Clarification required",AI24=1,AJ24=0),1,0)</f>
        <v>0</v>
      </c>
      <c r="AO24" s="61" t="str">
        <f aca="false">IF(AK24=1,SUM(AK$5:AK24),"")</f>
        <v/>
      </c>
      <c r="AP24" s="61" t="str">
        <f aca="false">IF(AL24=1,SUM(AL$5:AL24),"")</f>
        <v/>
      </c>
      <c r="AQ24" s="61" t="n">
        <v>0</v>
      </c>
      <c r="AR24" s="61" t="n">
        <v>1</v>
      </c>
      <c r="AS24" s="61" t="n">
        <v>0</v>
      </c>
      <c r="AT24" s="61" t="n">
        <v>0</v>
      </c>
      <c r="AU24" s="61" t="str">
        <f aca="false">SUBSTITUTE(SUBSTITUTE(SUBSTITUTE(SUBSTITUTE(SUBSTITUTE(SUBSTITUTE(SUBSTITUTE(SUBSTITUTE(SUBSTITUTE(SUBSTITUTE(SUBSTITUTE(SUBSTITUTE(SUBSTITUTE(LOWER(T24&amp;""),CHAR(160),"")," ",""),".",""),"-",""),"/",""),"?",""),"_",""),",",""),"[",""),"]",""),"(",""),")",""),"*","")</f>
        <v/>
      </c>
      <c r="AV24" s="61" t="str">
        <f aca="false">SUBSTITUTE(SUBSTITUTE(SUBSTITUTE(SUBSTITUTE(SUBSTITUTE(SUBSTITUTE(SUBSTITUTE(SUBSTITUTE(SUBSTITUTE(SUBSTITUTE(SUBSTITUTE(SUBSTITUTE(SUBSTITUTE(LOWER(V24&amp;""),CHAR(160),"")," ",""),".",""),"-",""),"/",""),"?",""),"_",""),",",""),"[",""),"]",""),"(",""),")",""),"*","")</f>
        <v/>
      </c>
      <c r="AW24" s="61" t="str">
        <f aca="false">SUBSTITUTE(SUBSTITUTE(SUBSTITUTE(SUBSTITUTE(SUBSTITUTE(SUBSTITUTE(SUBSTITUTE(SUBSTITUTE(SUBSTITUTE(SUBSTITUTE(SUBSTITUTE(SUBSTITUTE(SUBSTITUTE(LOWER(Z24&amp;""),CHAR(160),"")," ",""),".",""),"-",""),"/",""),"?",""),"_",""),",",""),"[",""),"]",""),"(",""),")",""),"*","")</f>
        <v/>
      </c>
      <c r="AX24" s="61" t="str">
        <f aca="false">SUBSTITUTE(SUBSTITUTE(SUBSTITUTE(SUBSTITUTE(SUBSTITUTE(SUBSTITUTE(SUBSTITUTE(SUBSTITUTE(SUBSTITUTE(SUBSTITUTE(SUBSTITUTE(SUBSTITUTE(SUBSTITUTE(LOWER(AE24&amp;""),CHAR(160),"")," ",""),".",""),"-",""),"/",""),"?",""),"_",""),",",""),"[",""),"]",""),"(",""),")",""),"*","")</f>
        <v/>
      </c>
      <c r="AY24" s="61" t="str">
        <f aca="false">SUBSTITUTE(SUBSTITUTE(SUBSTITUTE(SUBSTITUTE(SUBSTITUTE(SUBSTITUTE(SUBSTITUTE(SUBSTITUTE(SUBSTITUTE(SUBSTITUTE(SUBSTITUTE(SUBSTITUTE(SUBSTITUTE(LOWER(W24&amp;""),CHAR(160),"")," ",""),".",""),"-",""),"/",""),"?",""),"_",""),",",""),"[",""),"]",""),"(",""),")",""),"*","")</f>
        <v/>
      </c>
      <c r="AZ24" s="61" t="str">
        <f aca="false">SUBSTITUTE(SUBSTITUTE(SUBSTITUTE(SUBSTITUTE(SUBSTITUTE(SUBSTITUTE(SUBSTITUTE(SUBSTITUTE(SUBSTITUTE(SUBSTITUTE(SUBSTITUTE(SUBSTITUTE(SUBSTITUTE(LOWER(AC24&amp;""),CHAR(160),"")," ",""),".",""),"-",""),"/",""),"?",""),"_",""),",",""),"[",""),"]",""),"(",""),")",""),"*","")</f>
        <v/>
      </c>
      <c r="BA24" s="61" t="str">
        <f aca="false">SUBSTITUTE(SUBSTITUTE(SUBSTITUTE(SUBSTITUTE(SUBSTITUTE(SUBSTITUTE(SUBSTITUTE(SUBSTITUTE(SUBSTITUTE(SUBSTITUTE(SUBSTITUTE(SUBSTITUTE(SUBSTITUTE(LOWER(AA24&amp;""),CHAR(160),"")," ",""),".",""),"-",""),"/",""),"?",""),"_",""),",",""),"[",""),"]",""),"(",""),")",""),"*","")</f>
        <v/>
      </c>
      <c r="BB24" s="61" t="str">
        <f aca="false">IF(AND(TRIM(U24)="Pass",ISNUMBER(AF24)),IF(AF24&lt;&gt;0,"INVALID – qty variance: use Fail or Pass after CA",""),"")&amp;IF(AND(TRIM(U24)="Pass after CA",ISNUMBER(AF24)),IF(AF24&lt;&gt;0,"INVALID – after the corrective action the actual qty must equal expected (update Actual)",""),"")&amp;IF(AND(TRIM(U24)="Pass",TRIM(AB24)&lt;&gt;"",TRIM(AB24)&lt;&gt;"Closed"),"INVALID – corrective action not closed: use Fail, then Pass after CA","")&amp;IF(AND(TRIM(AA24)&lt;&gt;"",TRIM(AB24)=""),"INVALID – CA status missing for the recorded corrective action","")&amp;IF(AND(TRIM(U24)="Pass after CA",OR(OR(LEN(BA24)&lt;5,ISNUMBER(MATCH(BA24,L_Placeholder,0))),TRIM(AB24)&lt;&gt;"Closed")),"INVALID – corrective action not recorded/closed","")</f>
        <v/>
      </c>
    </row>
    <row r="25" customFormat="false" ht="39.75" hidden="false" customHeight="true" outlineLevel="0" collapsed="false">
      <c r="A25" s="57" t="s">
        <v>436</v>
      </c>
      <c r="B25" s="57" t="s">
        <v>180</v>
      </c>
      <c r="C25" s="57" t="str">
        <f aca="false">Flights!$F$5</f>
        <v>MH0001</v>
      </c>
      <c r="D25" s="58" t="n">
        <f aca="false">Flights!$D$5</f>
        <v>46303</v>
      </c>
      <c r="E25" s="57" t="str">
        <f aca="false">Flights!$G$5&amp;"-"&amp;Flights!$H$5</f>
        <v>LHR-KUL</v>
      </c>
      <c r="F25" s="57" t="str">
        <f aca="false">Flights!$K$5</f>
        <v>EY</v>
      </c>
      <c r="G25" s="57" t="s">
        <v>437</v>
      </c>
      <c r="H25" s="57" t="s">
        <v>438</v>
      </c>
      <c r="I25" s="57" t="s">
        <v>357</v>
      </c>
      <c r="J25" s="57" t="s">
        <v>439</v>
      </c>
      <c r="K25" s="67" t="s">
        <v>404</v>
      </c>
      <c r="L25" s="67" t="s">
        <v>440</v>
      </c>
      <c r="M25" s="67"/>
      <c r="N25" s="67" t="s">
        <v>361</v>
      </c>
      <c r="O25" s="67" t="s">
        <v>441</v>
      </c>
      <c r="P25" s="57" t="s">
        <v>183</v>
      </c>
      <c r="Q25" s="59" t="n">
        <f aca="false">ROUND((Flights!$AF$5)*1440,0)/1440</f>
        <v>46303.8576388889</v>
      </c>
      <c r="R25" s="59" t="n">
        <f aca="false">Q25+(IF(AND(INDEX(TZ_DSTS,MATCH(P25,TZ_STN,0))&lt;&gt;"",Q25&gt;=INDEX(TZ_DSTS,MATCH(P25,TZ_STN,0)),Q25&lt;INDEX(TZ_DSTE,MATCH(P25,TZ_STN,0))),INDEX(TZ_DST,MATCH(P25,TZ_STN,0)),INDEX(TZ_STD,MATCH(P25,TZ_STN,0))))/24</f>
        <v>46303.8993055556</v>
      </c>
      <c r="S25" s="59" t="n">
        <f aca="false">IF(ISNUMBER(Flights!$AZ$5),MAX(Q25-UpliftWindowH/24,Flights!$AZ$5),Q25-UpliftWindowH/24)</f>
        <v>46303.6076388889</v>
      </c>
      <c r="T25" s="60"/>
      <c r="U25" s="60"/>
      <c r="V25" s="60"/>
      <c r="W25" s="61"/>
      <c r="X25" s="60"/>
      <c r="Y25" s="60"/>
      <c r="Z25" s="60"/>
      <c r="AA25" s="60"/>
      <c r="AB25" s="60"/>
      <c r="AC25" s="60"/>
      <c r="AD25" s="66"/>
      <c r="AE25" s="60"/>
      <c r="AF25" s="61" t="str">
        <f aca="false">IF(AND(ISNUMBER(X25),ISNUMBER(Y25)),Y25-X25,"")</f>
        <v/>
      </c>
      <c r="AG25" s="62" t="str">
        <f aca="false">IF(ISNUMBER(AD25),AD25-(IF(AND(INDEX(TZ_DSTS,MATCH(P25,TZ_STN,0))&lt;&gt;"",(AD25-INDEX(TZ_STD,MATCH(P25,TZ_STN,0))/24)&gt;=INDEX(TZ_DSTS,MATCH(P25,TZ_STN,0)),(AD25-INDEX(TZ_STD,MATCH(P25,TZ_STN,0))/24)&lt;INDEX(TZ_DSTE,MATCH(P25,TZ_STN,0))),INDEX(TZ_DST,MATCH(P25,TZ_STN,0)),INDEX(TZ_STD,MATCH(P25,TZ_STN,0))))/24,"")</f>
        <v/>
      </c>
      <c r="AH25" s="65" t="str">
        <f aca="false">IFERROR(IF(N25="N/A – rule","N/A – RULE",IF(TRIM(U25)="N/A",IF(AT25=0,"INVALID – N/A not permitted for this check",IF(AND(TRIM(AB25)&lt;&gt;"",TRIM(AB25)&lt;&gt;"Closed"),"INVALID – corrective action still open",IF(AND(NOT(OR(LEN(AZ25)&lt;15,ISNUMBER(MATCH(AZ25,L_Placeholder,0)))),NOT(OR(LEN(AU25)&lt;2,ISNUMBER(MATCH(AU25,L_Placeholder,0)))),NOT(OR(LEN(AX25)&lt;2,ISNUMBER(MATCH(AX25,L_Placeholder,0)))),TRIM(AE25)&lt;&gt;TRIM(T25)),"N/A – JUSTIFIED","INVALID – N/A needs a real justification (15+ chars), PIC and a different verifier"))),IF(OR(TRIM(U25)="Pass",TRIM(U25)="Pass after CA"),IF(NOT(ISNUMBER(AD25)),"INVALID – completion time missing",IF(OR(LEN(AU25)&lt;2,ISNUMBER(MATCH(AU25,L_Placeholder,0))),"INVALID – PIC missing",IF(OR(LEN(AV25)&lt;2,ISNUMBER(MATCH(AV25,L_Placeholder,0))),"INVALID – result / assessment missing",IF(OR(OR(LEN(AW25)&lt;3,ISNUMBER(MATCH(AW25,L_Placeholder,0))),SUMPRODUCT(--ISNUMBER(SEARCH(L_EvidencePhrase,AW25)))&gt;0),"INVALID – evidence missing, placeholder or not yet on file",IF(OR(LEN(AX25)&lt;2,ISNUMBER(MATCH(AX25,L_Placeholder,0))),"INVALID – verifier missing",IF(AX25=AU25,"INVALID – verifier must be someone other than the PIC",IF(AND(TRIM(U25)="Pass",SUMPRODUCT(--ISNUMBER(SEARCH(L_ResultBad,AV25)))&gt;0),"INVALID – result describes a problem: use Fail, then Pass after CA",IF(AND(AQ25=1,OR(LEN(AY25)&lt;3,ISNUMBER(MATCH(AY25,L_Placeholder,0)))),"INVALID – batch ID missing or placeholder",IF(AND(AR25=1,OR(NOT(ISNUMBER(X25)),NOT(ISNUMBER(Y25)))),"INVALID – expected/actual qty missing",IF(AND(AR25=1,OR(X25&lt;=0,Y25&lt;0)),"INVALID – expected qty must be above 0 and actual not negative",IF(AH16="N/A – JUSTIFIED","INVALID – preparation row F01-T12-02 is N/A",IF(AND(AR25=1,ISNUMBER(X16),X25&lt;&gt;X16),"INVALID – expected qty differs from preparation check F01-T12-02",IF(BB25&lt;&gt;"",BB25,IF(AND(AS25=1,Documents!$J$5&lt;&gt;"ON FILE"),"INVALID – GLD not on file (Documents sheet)",IF(AND(AS25=2,Documents!$O$5&lt;&gt;"ON FILE"),"INVALID – menu checklist not on file (Documents sheet)",IF(AND(AS25=3,NOT(ISNUMBER(Flights!$AX$5))),"INVALID – enter carrying flight KUL departure (Flights AX)",IF(AND(AS25=3,OR(Flights!$AZ$5&gt;Flights!$AA$5,Flights!$AX$5&lt;Flights!$AA$5-3)),"INVALID – carrying flight (Flights AX) cannot arrive before this leg's STD, or is over 3 days early",IF(AG25&gt;AsOfUTC,"INVALID – completion time is in the future",IF(AND(ISNUMBER(S25),AG25&lt;S25),IF(H25="Physical uplift","INVALID – before uplift window (cannot confirm loading)","INVALID – before valid window"),IF(AG25&gt;Flights!$AA$5,"INVALID – completed after departure (cannot establish readiness)",IF(AND(H25="Preparation",AG25&gt;IF(ISNUMBER(Flights!$BA$5),MIN(Flights!$BA$5,Flights!$AA$5),Flights!$AA$5)),"INVALID – completed after loading / departure (cannot establish readiness)",IF(AND(H25="Physical uplift",AG25&gt;Q25),"INVALID – recorded after the loading flight departed",IF(AG25&gt;Q25,"COMPLETE – LATE","COMPLETE"))))))))))))))))))))))),IF(TRIM(U25)="Fail","FAIL – DISCREPANCY",IF(AND(TRIM(U25)&lt;&gt;"",TRIM(U25)&lt;&gt;"Not started",TRIM(U25)&lt;&gt;"In progress"),"INVALID – unrecognised status (use the list)",IF(AsOfUTC&gt;Q25,"OVERDUE",IF(N25="Clarification required","OPEN – CLARIFICATION","OPEN"))))))),"INVALID – error value in an input cell")</f>
        <v>OPEN</v>
      </c>
      <c r="AI25" s="61" t="n">
        <f aca="false">IF(OR(AH25="N/A – RULE",AH25="N/A – JUSTIFIED"),0,1)</f>
        <v>1</v>
      </c>
      <c r="AJ25" s="61" t="n">
        <f aca="false">IF(LEFT(AH25,8)="COMPLETE",1,0)</f>
        <v>0</v>
      </c>
      <c r="AK25" s="61" t="n">
        <f aca="false">IF(AND(AI25=1,AJ25=0,AsOfUTC&gt;Q25),1,0)</f>
        <v>0</v>
      </c>
      <c r="AL25" s="61" t="n">
        <f aca="false">IFERROR(IF(AND(AI25=1,OR(TRIM(U25)="Fail",AND(TRIM(AB25)&lt;&gt;"",TRIM(AB25)&lt;&gt;"Closed"),AND(ISNUMBER(AF25),AF25&lt;&gt;0,TRIM(U25)&lt;&gt;"Pass after CA"))),1,0),1)</f>
        <v>0</v>
      </c>
      <c r="AM25" s="61" t="n">
        <f aca="false">IF(LEFT(AH25,7)="INVALID",1,0)</f>
        <v>0</v>
      </c>
      <c r="AN25" s="61" t="n">
        <f aca="false">IF(AND(N25="Clarification required",AI25=1,AJ25=0),1,0)</f>
        <v>0</v>
      </c>
      <c r="AO25" s="61" t="str">
        <f aca="false">IF(AK25=1,SUM(AK$5:AK25),"")</f>
        <v/>
      </c>
      <c r="AP25" s="61" t="str">
        <f aca="false">IF(AL25=1,SUM(AL$5:AL25),"")</f>
        <v/>
      </c>
      <c r="AQ25" s="61" t="n">
        <v>0</v>
      </c>
      <c r="AR25" s="61" t="n">
        <v>1</v>
      </c>
      <c r="AS25" s="61" t="n">
        <v>0</v>
      </c>
      <c r="AT25" s="61" t="n">
        <v>0</v>
      </c>
      <c r="AU25" s="61" t="str">
        <f aca="false">SUBSTITUTE(SUBSTITUTE(SUBSTITUTE(SUBSTITUTE(SUBSTITUTE(SUBSTITUTE(SUBSTITUTE(SUBSTITUTE(SUBSTITUTE(SUBSTITUTE(SUBSTITUTE(SUBSTITUTE(SUBSTITUTE(LOWER(T25&amp;""),CHAR(160),"")," ",""),".",""),"-",""),"/",""),"?",""),"_",""),",",""),"[",""),"]",""),"(",""),")",""),"*","")</f>
        <v/>
      </c>
      <c r="AV25" s="61" t="str">
        <f aca="false">SUBSTITUTE(SUBSTITUTE(SUBSTITUTE(SUBSTITUTE(SUBSTITUTE(SUBSTITUTE(SUBSTITUTE(SUBSTITUTE(SUBSTITUTE(SUBSTITUTE(SUBSTITUTE(SUBSTITUTE(SUBSTITUTE(LOWER(V25&amp;""),CHAR(160),"")," ",""),".",""),"-",""),"/",""),"?",""),"_",""),",",""),"[",""),"]",""),"(",""),")",""),"*","")</f>
        <v/>
      </c>
      <c r="AW25" s="61" t="str">
        <f aca="false">SUBSTITUTE(SUBSTITUTE(SUBSTITUTE(SUBSTITUTE(SUBSTITUTE(SUBSTITUTE(SUBSTITUTE(SUBSTITUTE(SUBSTITUTE(SUBSTITUTE(SUBSTITUTE(SUBSTITUTE(SUBSTITUTE(LOWER(Z25&amp;""),CHAR(160),"")," ",""),".",""),"-",""),"/",""),"?",""),"_",""),",",""),"[",""),"]",""),"(",""),")",""),"*","")</f>
        <v/>
      </c>
      <c r="AX25" s="61" t="str">
        <f aca="false">SUBSTITUTE(SUBSTITUTE(SUBSTITUTE(SUBSTITUTE(SUBSTITUTE(SUBSTITUTE(SUBSTITUTE(SUBSTITUTE(SUBSTITUTE(SUBSTITUTE(SUBSTITUTE(SUBSTITUTE(SUBSTITUTE(LOWER(AE25&amp;""),CHAR(160),"")," ",""),".",""),"-",""),"/",""),"?",""),"_",""),",",""),"[",""),"]",""),"(",""),")",""),"*","")</f>
        <v/>
      </c>
      <c r="AY25" s="61" t="str">
        <f aca="false">SUBSTITUTE(SUBSTITUTE(SUBSTITUTE(SUBSTITUTE(SUBSTITUTE(SUBSTITUTE(SUBSTITUTE(SUBSTITUTE(SUBSTITUTE(SUBSTITUTE(SUBSTITUTE(SUBSTITUTE(SUBSTITUTE(LOWER(W25&amp;""),CHAR(160),"")," ",""),".",""),"-",""),"/",""),"?",""),"_",""),",",""),"[",""),"]",""),"(",""),")",""),"*","")</f>
        <v/>
      </c>
      <c r="AZ25" s="61" t="str">
        <f aca="false">SUBSTITUTE(SUBSTITUTE(SUBSTITUTE(SUBSTITUTE(SUBSTITUTE(SUBSTITUTE(SUBSTITUTE(SUBSTITUTE(SUBSTITUTE(SUBSTITUTE(SUBSTITUTE(SUBSTITUTE(SUBSTITUTE(LOWER(AC25&amp;""),CHAR(160),"")," ",""),".",""),"-",""),"/",""),"?",""),"_",""),",",""),"[",""),"]",""),"(",""),")",""),"*","")</f>
        <v/>
      </c>
      <c r="BA25" s="61" t="str">
        <f aca="false">SUBSTITUTE(SUBSTITUTE(SUBSTITUTE(SUBSTITUTE(SUBSTITUTE(SUBSTITUTE(SUBSTITUTE(SUBSTITUTE(SUBSTITUTE(SUBSTITUTE(SUBSTITUTE(SUBSTITUTE(SUBSTITUTE(LOWER(AA25&amp;""),CHAR(160),"")," ",""),".",""),"-",""),"/",""),"?",""),"_",""),",",""),"[",""),"]",""),"(",""),")",""),"*","")</f>
        <v/>
      </c>
      <c r="BB25" s="61" t="str">
        <f aca="false">IF(AND(TRIM(U25)="Pass",ISNUMBER(AF25)),IF(AF25&lt;&gt;0,"INVALID – qty variance: use Fail or Pass after CA",""),"")&amp;IF(AND(TRIM(U25)="Pass after CA",ISNUMBER(AF25)),IF(AF25&lt;&gt;0,"INVALID – after the corrective action the actual qty must equal expected (update Actual)",""),"")&amp;IF(AND(TRIM(U25)="Pass",TRIM(AB25)&lt;&gt;"",TRIM(AB25)&lt;&gt;"Closed"),"INVALID – corrective action not closed: use Fail, then Pass after CA","")&amp;IF(AND(TRIM(AA25)&lt;&gt;"",TRIM(AB25)=""),"INVALID – CA status missing for the recorded corrective action","")&amp;IF(AND(TRIM(U25)="Pass after CA",OR(OR(LEN(BA25)&lt;5,ISNUMBER(MATCH(BA25,L_Placeholder,0))),TRIM(AB25)&lt;&gt;"Closed")),"INVALID – corrective action not recorded/closed","")</f>
        <v/>
      </c>
    </row>
    <row r="26" customFormat="false" ht="39.75" hidden="false" customHeight="true" outlineLevel="0" collapsed="false">
      <c r="A26" s="57" t="s">
        <v>442</v>
      </c>
      <c r="B26" s="57" t="s">
        <v>180</v>
      </c>
      <c r="C26" s="57" t="str">
        <f aca="false">Flights!$F$5</f>
        <v>MH0001</v>
      </c>
      <c r="D26" s="58" t="n">
        <f aca="false">Flights!$D$5</f>
        <v>46303</v>
      </c>
      <c r="E26" s="57" t="str">
        <f aca="false">Flights!$G$5&amp;"-"&amp;Flights!$H$5</f>
        <v>LHR-KUL</v>
      </c>
      <c r="F26" s="57" t="str">
        <f aca="false">Flights!$K$5</f>
        <v>EY</v>
      </c>
      <c r="G26" s="57" t="s">
        <v>437</v>
      </c>
      <c r="H26" s="57" t="s">
        <v>438</v>
      </c>
      <c r="I26" s="57" t="s">
        <v>406</v>
      </c>
      <c r="J26" s="57" t="s">
        <v>443</v>
      </c>
      <c r="K26" s="67" t="s">
        <v>404</v>
      </c>
      <c r="L26" s="67" t="s">
        <v>440</v>
      </c>
      <c r="M26" s="67"/>
      <c r="N26" s="67" t="s">
        <v>361</v>
      </c>
      <c r="O26" s="67" t="s">
        <v>441</v>
      </c>
      <c r="P26" s="57" t="s">
        <v>183</v>
      </c>
      <c r="Q26" s="59" t="n">
        <f aca="false">ROUND((Flights!$AF$5)*1440,0)/1440</f>
        <v>46303.8576388889</v>
      </c>
      <c r="R26" s="59" t="n">
        <f aca="false">Q26+(IF(AND(INDEX(TZ_DSTS,MATCH(P26,TZ_STN,0))&lt;&gt;"",Q26&gt;=INDEX(TZ_DSTS,MATCH(P26,TZ_STN,0)),Q26&lt;INDEX(TZ_DSTE,MATCH(P26,TZ_STN,0))),INDEX(TZ_DST,MATCH(P26,TZ_STN,0)),INDEX(TZ_STD,MATCH(P26,TZ_STN,0))))/24</f>
        <v>46303.8993055556</v>
      </c>
      <c r="S26" s="59" t="n">
        <f aca="false">IF(ISNUMBER(Flights!$AZ$5),MAX(Q26-UpliftWindowH/24,Flights!$AZ$5),Q26-UpliftWindowH/24)</f>
        <v>46303.6076388889</v>
      </c>
      <c r="T26" s="60"/>
      <c r="U26" s="60"/>
      <c r="V26" s="60"/>
      <c r="W26" s="61"/>
      <c r="X26" s="60"/>
      <c r="Y26" s="60"/>
      <c r="Z26" s="60"/>
      <c r="AA26" s="60"/>
      <c r="AB26" s="60"/>
      <c r="AC26" s="60"/>
      <c r="AD26" s="66"/>
      <c r="AE26" s="60"/>
      <c r="AF26" s="61" t="str">
        <f aca="false">IF(AND(ISNUMBER(X26),ISNUMBER(Y26)),Y26-X26,"")</f>
        <v/>
      </c>
      <c r="AG26" s="62" t="str">
        <f aca="false">IF(ISNUMBER(AD26),AD26-(IF(AND(INDEX(TZ_DSTS,MATCH(P26,TZ_STN,0))&lt;&gt;"",(AD26-INDEX(TZ_STD,MATCH(P26,TZ_STN,0))/24)&gt;=INDEX(TZ_DSTS,MATCH(P26,TZ_STN,0)),(AD26-INDEX(TZ_STD,MATCH(P26,TZ_STN,0))/24)&lt;INDEX(TZ_DSTE,MATCH(P26,TZ_STN,0))),INDEX(TZ_DST,MATCH(P26,TZ_STN,0)),INDEX(TZ_STD,MATCH(P26,TZ_STN,0))))/24,"")</f>
        <v/>
      </c>
      <c r="AH26" s="65" t="str">
        <f aca="false">IFERROR(IF(N26="N/A – rule","N/A – RULE",IF(TRIM(U26)="N/A",IF(AT26=0,"INVALID – N/A not permitted for this check",IF(AND(TRIM(AB26)&lt;&gt;"",TRIM(AB26)&lt;&gt;"Closed"),"INVALID – corrective action still open",IF(AND(NOT(OR(LEN(AZ26)&lt;15,ISNUMBER(MATCH(AZ26,L_Placeholder,0)))),NOT(OR(LEN(AU26)&lt;2,ISNUMBER(MATCH(AU26,L_Placeholder,0)))),NOT(OR(LEN(AX26)&lt;2,ISNUMBER(MATCH(AX26,L_Placeholder,0)))),TRIM(AE26)&lt;&gt;TRIM(T26)),"N/A – JUSTIFIED","INVALID – N/A needs a real justification (15+ chars), PIC and a different verifier"))),IF(OR(TRIM(U26)="Pass",TRIM(U26)="Pass after CA"),IF(NOT(ISNUMBER(AD26)),"INVALID – completion time missing",IF(OR(LEN(AU26)&lt;2,ISNUMBER(MATCH(AU26,L_Placeholder,0))),"INVALID – PIC missing",IF(OR(LEN(AV26)&lt;2,ISNUMBER(MATCH(AV26,L_Placeholder,0))),"INVALID – result / assessment missing",IF(OR(OR(LEN(AW26)&lt;3,ISNUMBER(MATCH(AW26,L_Placeholder,0))),SUMPRODUCT(--ISNUMBER(SEARCH(L_EvidencePhrase,AW26)))&gt;0),"INVALID – evidence missing, placeholder or not yet on file",IF(OR(LEN(AX26)&lt;2,ISNUMBER(MATCH(AX26,L_Placeholder,0))),"INVALID – verifier missing",IF(AX26=AU26,"INVALID – verifier must be someone other than the PIC",IF(AND(TRIM(U26)="Pass",SUMPRODUCT(--ISNUMBER(SEARCH(L_ResultBad,AV26)))&gt;0),"INVALID – result describes a problem: use Fail, then Pass after CA",IF(AND(AQ26=1,OR(LEN(AY26)&lt;3,ISNUMBER(MATCH(AY26,L_Placeholder,0)))),"INVALID – batch ID missing or placeholder",IF(AND(AR26=1,OR(NOT(ISNUMBER(X26)),NOT(ISNUMBER(Y26)))),"INVALID – expected/actual qty missing",IF(AND(AR26=1,OR(X26&lt;=0,Y26&lt;0)),"INVALID – expected qty must be above 0 and actual not negative",IF(AH20="N/A – JUSTIFIED","INVALID – preparation row F01-T12-06 is N/A",IF(AND(AR26=1,ISNUMBER(X20),X26&lt;&gt;X20),"INVALID – expected qty differs from preparation check F01-T12-06",IF(BB26&lt;&gt;"",BB26,IF(AND(AS26=1,Documents!$J$5&lt;&gt;"ON FILE"),"INVALID – GLD not on file (Documents sheet)",IF(AND(AS26=2,Documents!$O$5&lt;&gt;"ON FILE"),"INVALID – menu checklist not on file (Documents sheet)",IF(AND(AS26=3,NOT(ISNUMBER(Flights!$AX$5))),"INVALID – enter carrying flight KUL departure (Flights AX)",IF(AND(AS26=3,OR(Flights!$AZ$5&gt;Flights!$AA$5,Flights!$AX$5&lt;Flights!$AA$5-3)),"INVALID – carrying flight (Flights AX) cannot arrive before this leg's STD, or is over 3 days early",IF(AG26&gt;AsOfUTC,"INVALID – completion time is in the future",IF(AND(ISNUMBER(S26),AG26&lt;S26),IF(H26="Physical uplift","INVALID – before uplift window (cannot confirm loading)","INVALID – before valid window"),IF(AG26&gt;Flights!$AA$5,"INVALID – completed after departure (cannot establish readiness)",IF(AND(H26="Preparation",AG26&gt;IF(ISNUMBER(Flights!$BA$5),MIN(Flights!$BA$5,Flights!$AA$5),Flights!$AA$5)),"INVALID – completed after loading / departure (cannot establish readiness)",IF(AND(H26="Physical uplift",AG26&gt;Q26),"INVALID – recorded after the loading flight departed",IF(AG26&gt;Q26,"COMPLETE – LATE","COMPLETE"))))))))))))))))))))))),IF(TRIM(U26)="Fail","FAIL – DISCREPANCY",IF(AND(TRIM(U26)&lt;&gt;"",TRIM(U26)&lt;&gt;"Not started",TRIM(U26)&lt;&gt;"In progress"),"INVALID – unrecognised status (use the list)",IF(AsOfUTC&gt;Q26,"OVERDUE",IF(N26="Clarification required","OPEN – CLARIFICATION","OPEN"))))))),"INVALID – error value in an input cell")</f>
        <v>OPEN</v>
      </c>
      <c r="AI26" s="61" t="n">
        <f aca="false">IF(OR(AH26="N/A – RULE",AH26="N/A – JUSTIFIED"),0,1)</f>
        <v>1</v>
      </c>
      <c r="AJ26" s="61" t="n">
        <f aca="false">IF(LEFT(AH26,8)="COMPLETE",1,0)</f>
        <v>0</v>
      </c>
      <c r="AK26" s="61" t="n">
        <f aca="false">IF(AND(AI26=1,AJ26=0,AsOfUTC&gt;Q26),1,0)</f>
        <v>0</v>
      </c>
      <c r="AL26" s="61" t="n">
        <f aca="false">IFERROR(IF(AND(AI26=1,OR(TRIM(U26)="Fail",AND(TRIM(AB26)&lt;&gt;"",TRIM(AB26)&lt;&gt;"Closed"),AND(ISNUMBER(AF26),AF26&lt;&gt;0,TRIM(U26)&lt;&gt;"Pass after CA"))),1,0),1)</f>
        <v>0</v>
      </c>
      <c r="AM26" s="61" t="n">
        <f aca="false">IF(LEFT(AH26,7)="INVALID",1,0)</f>
        <v>0</v>
      </c>
      <c r="AN26" s="61" t="n">
        <f aca="false">IF(AND(N26="Clarification required",AI26=1,AJ26=0),1,0)</f>
        <v>0</v>
      </c>
      <c r="AO26" s="61" t="str">
        <f aca="false">IF(AK26=1,SUM(AK$5:AK26),"")</f>
        <v/>
      </c>
      <c r="AP26" s="61" t="str">
        <f aca="false">IF(AL26=1,SUM(AL$5:AL26),"")</f>
        <v/>
      </c>
      <c r="AQ26" s="61" t="n">
        <v>0</v>
      </c>
      <c r="AR26" s="61" t="n">
        <v>1</v>
      </c>
      <c r="AS26" s="61" t="n">
        <v>0</v>
      </c>
      <c r="AT26" s="61" t="n">
        <v>0</v>
      </c>
      <c r="AU26" s="61" t="str">
        <f aca="false">SUBSTITUTE(SUBSTITUTE(SUBSTITUTE(SUBSTITUTE(SUBSTITUTE(SUBSTITUTE(SUBSTITUTE(SUBSTITUTE(SUBSTITUTE(SUBSTITUTE(SUBSTITUTE(SUBSTITUTE(SUBSTITUTE(LOWER(T26&amp;""),CHAR(160),"")," ",""),".",""),"-",""),"/",""),"?",""),"_",""),",",""),"[",""),"]",""),"(",""),")",""),"*","")</f>
        <v/>
      </c>
      <c r="AV26" s="61" t="str">
        <f aca="false">SUBSTITUTE(SUBSTITUTE(SUBSTITUTE(SUBSTITUTE(SUBSTITUTE(SUBSTITUTE(SUBSTITUTE(SUBSTITUTE(SUBSTITUTE(SUBSTITUTE(SUBSTITUTE(SUBSTITUTE(SUBSTITUTE(LOWER(V26&amp;""),CHAR(160),"")," ",""),".",""),"-",""),"/",""),"?",""),"_",""),",",""),"[",""),"]",""),"(",""),")",""),"*","")</f>
        <v/>
      </c>
      <c r="AW26" s="61" t="str">
        <f aca="false">SUBSTITUTE(SUBSTITUTE(SUBSTITUTE(SUBSTITUTE(SUBSTITUTE(SUBSTITUTE(SUBSTITUTE(SUBSTITUTE(SUBSTITUTE(SUBSTITUTE(SUBSTITUTE(SUBSTITUTE(SUBSTITUTE(LOWER(Z26&amp;""),CHAR(160),"")," ",""),".",""),"-",""),"/",""),"?",""),"_",""),",",""),"[",""),"]",""),"(",""),")",""),"*","")</f>
        <v/>
      </c>
      <c r="AX26" s="61" t="str">
        <f aca="false">SUBSTITUTE(SUBSTITUTE(SUBSTITUTE(SUBSTITUTE(SUBSTITUTE(SUBSTITUTE(SUBSTITUTE(SUBSTITUTE(SUBSTITUTE(SUBSTITUTE(SUBSTITUTE(SUBSTITUTE(SUBSTITUTE(LOWER(AE26&amp;""),CHAR(160),"")," ",""),".",""),"-",""),"/",""),"?",""),"_",""),",",""),"[",""),"]",""),"(",""),")",""),"*","")</f>
        <v/>
      </c>
      <c r="AY26" s="61" t="str">
        <f aca="false">SUBSTITUTE(SUBSTITUTE(SUBSTITUTE(SUBSTITUTE(SUBSTITUTE(SUBSTITUTE(SUBSTITUTE(SUBSTITUTE(SUBSTITUTE(SUBSTITUTE(SUBSTITUTE(SUBSTITUTE(SUBSTITUTE(LOWER(W26&amp;""),CHAR(160),"")," ",""),".",""),"-",""),"/",""),"?",""),"_",""),",",""),"[",""),"]",""),"(",""),")",""),"*","")</f>
        <v/>
      </c>
      <c r="AZ26" s="61" t="str">
        <f aca="false">SUBSTITUTE(SUBSTITUTE(SUBSTITUTE(SUBSTITUTE(SUBSTITUTE(SUBSTITUTE(SUBSTITUTE(SUBSTITUTE(SUBSTITUTE(SUBSTITUTE(SUBSTITUTE(SUBSTITUTE(SUBSTITUTE(LOWER(AC26&amp;""),CHAR(160),"")," ",""),".",""),"-",""),"/",""),"?",""),"_",""),",",""),"[",""),"]",""),"(",""),")",""),"*","")</f>
        <v/>
      </c>
      <c r="BA26" s="61" t="str">
        <f aca="false">SUBSTITUTE(SUBSTITUTE(SUBSTITUTE(SUBSTITUTE(SUBSTITUTE(SUBSTITUTE(SUBSTITUTE(SUBSTITUTE(SUBSTITUTE(SUBSTITUTE(SUBSTITUTE(SUBSTITUTE(SUBSTITUTE(LOWER(AA26&amp;""),CHAR(160),"")," ",""),".",""),"-",""),"/",""),"?",""),"_",""),",",""),"[",""),"]",""),"(",""),")",""),"*","")</f>
        <v/>
      </c>
      <c r="BB26" s="61" t="str">
        <f aca="false">IF(AND(TRIM(U26)="Pass",ISNUMBER(AF26)),IF(AF26&lt;&gt;0,"INVALID – qty variance: use Fail or Pass after CA",""),"")&amp;IF(AND(TRIM(U26)="Pass after CA",ISNUMBER(AF26)),IF(AF26&lt;&gt;0,"INVALID – after the corrective action the actual qty must equal expected (update Actual)",""),"")&amp;IF(AND(TRIM(U26)="Pass",TRIM(AB26)&lt;&gt;"",TRIM(AB26)&lt;&gt;"Closed"),"INVALID – corrective action not closed: use Fail, then Pass after CA","")&amp;IF(AND(TRIM(AA26)&lt;&gt;"",TRIM(AB26)=""),"INVALID – CA status missing for the recorded corrective action","")&amp;IF(AND(TRIM(U26)="Pass after CA",OR(OR(LEN(BA26)&lt;5,ISNUMBER(MATCH(BA26,L_Placeholder,0))),TRIM(AB26)&lt;&gt;"Closed")),"INVALID – corrective action not recorded/closed","")</f>
        <v/>
      </c>
    </row>
    <row r="27" customFormat="false" ht="54" hidden="false" customHeight="true" outlineLevel="0" collapsed="false">
      <c r="A27" s="57" t="s">
        <v>444</v>
      </c>
      <c r="B27" s="57" t="s">
        <v>180</v>
      </c>
      <c r="C27" s="57" t="str">
        <f aca="false">Flights!$F$5</f>
        <v>MH0001</v>
      </c>
      <c r="D27" s="58" t="n">
        <f aca="false">Flights!$D$5</f>
        <v>46303</v>
      </c>
      <c r="E27" s="57" t="str">
        <f aca="false">Flights!$G$5&amp;"-"&amp;Flights!$H$5</f>
        <v>LHR-KUL</v>
      </c>
      <c r="F27" s="57" t="str">
        <f aca="false">Flights!$K$5</f>
        <v>EY</v>
      </c>
      <c r="G27" s="57" t="s">
        <v>437</v>
      </c>
      <c r="H27" s="57" t="s">
        <v>438</v>
      </c>
      <c r="I27" s="57" t="s">
        <v>418</v>
      </c>
      <c r="J27" s="57" t="s">
        <v>445</v>
      </c>
      <c r="K27" s="67" t="s">
        <v>420</v>
      </c>
      <c r="L27" s="67" t="s">
        <v>421</v>
      </c>
      <c r="M27" s="67" t="s">
        <v>183</v>
      </c>
      <c r="N27" s="67" t="s">
        <v>422</v>
      </c>
      <c r="O27" s="67" t="s">
        <v>423</v>
      </c>
      <c r="P27" s="57" t="s">
        <v>183</v>
      </c>
      <c r="Q27" s="59" t="n">
        <f aca="false">ROUND((Flights!$AF$5)*1440,0)/1440</f>
        <v>46303.8576388889</v>
      </c>
      <c r="R27" s="59" t="n">
        <f aca="false">Q27+(IF(AND(INDEX(TZ_DSTS,MATCH(P27,TZ_STN,0))&lt;&gt;"",Q27&gt;=INDEX(TZ_DSTS,MATCH(P27,TZ_STN,0)),Q27&lt;INDEX(TZ_DSTE,MATCH(P27,TZ_STN,0))),INDEX(TZ_DST,MATCH(P27,TZ_STN,0)),INDEX(TZ_STD,MATCH(P27,TZ_STN,0))))/24</f>
        <v>46303.8993055556</v>
      </c>
      <c r="S27" s="59" t="n">
        <f aca="false">IF(ISNUMBER(Flights!$AZ$5),MAX(Q27-UpliftWindowH/24,Flights!$AZ$5),Q27-UpliftWindowH/24)</f>
        <v>46303.6076388889</v>
      </c>
      <c r="T27" s="60"/>
      <c r="U27" s="60"/>
      <c r="V27" s="60"/>
      <c r="W27" s="61"/>
      <c r="X27" s="60"/>
      <c r="Y27" s="60"/>
      <c r="Z27" s="60"/>
      <c r="AA27" s="60"/>
      <c r="AB27" s="60"/>
      <c r="AC27" s="60"/>
      <c r="AD27" s="66"/>
      <c r="AE27" s="60"/>
      <c r="AF27" s="61" t="str">
        <f aca="false">IF(AND(ISNUMBER(X27),ISNUMBER(Y27)),Y27-X27,"")</f>
        <v/>
      </c>
      <c r="AG27" s="62" t="str">
        <f aca="false">IF(ISNUMBER(AD27),AD27-(IF(AND(INDEX(TZ_DSTS,MATCH(P27,TZ_STN,0))&lt;&gt;"",(AD27-INDEX(TZ_STD,MATCH(P27,TZ_STN,0))/24)&gt;=INDEX(TZ_DSTS,MATCH(P27,TZ_STN,0)),(AD27-INDEX(TZ_STD,MATCH(P27,TZ_STN,0))/24)&lt;INDEX(TZ_DSTE,MATCH(P27,TZ_STN,0))),INDEX(TZ_DST,MATCH(P27,TZ_STN,0)),INDEX(TZ_STD,MATCH(P27,TZ_STN,0))))/24,"")</f>
        <v/>
      </c>
      <c r="AH27" s="65" t="str">
        <f aca="false">IFERROR(IF(N27="N/A – rule","N/A – RULE",IF(TRIM(U27)="N/A",IF(AT27=0,"INVALID – N/A not permitted for this check",IF(AND(TRIM(AB27)&lt;&gt;"",TRIM(AB27)&lt;&gt;"Closed"),"INVALID – corrective action still open",IF(AND(NOT(OR(LEN(AZ27)&lt;15,ISNUMBER(MATCH(AZ27,L_Placeholder,0)))),NOT(OR(LEN(AU27)&lt;2,ISNUMBER(MATCH(AU27,L_Placeholder,0)))),NOT(OR(LEN(AX27)&lt;2,ISNUMBER(MATCH(AX27,L_Placeholder,0)))),TRIM(AE27)&lt;&gt;TRIM(T27)),"N/A – JUSTIFIED","INVALID – N/A needs a real justification (15+ chars), PIC and a different verifier"))),IF(OR(TRIM(U27)="Pass",TRIM(U27)="Pass after CA"),IF(NOT(ISNUMBER(AD27)),"INVALID – completion time missing",IF(OR(LEN(AU27)&lt;2,ISNUMBER(MATCH(AU27,L_Placeholder,0))),"INVALID – PIC missing",IF(OR(LEN(AV27)&lt;2,ISNUMBER(MATCH(AV27,L_Placeholder,0))),"INVALID – result / assessment missing",IF(OR(OR(LEN(AW27)&lt;3,ISNUMBER(MATCH(AW27,L_Placeholder,0))),SUMPRODUCT(--ISNUMBER(SEARCH(L_EvidencePhrase,AW27)))&gt;0),"INVALID – evidence missing, placeholder or not yet on file",IF(OR(LEN(AX27)&lt;2,ISNUMBER(MATCH(AX27,L_Placeholder,0))),"INVALID – verifier missing",IF(AX27=AU27,"INVALID – verifier must be someone other than the PIC",IF(AND(TRIM(U27)="Pass",SUMPRODUCT(--ISNUMBER(SEARCH(L_ResultBad,AV27)))&gt;0),"INVALID – result describes a problem: use Fail, then Pass after CA",IF(AND(AQ27=1,OR(LEN(AY27)&lt;3,ISNUMBER(MATCH(AY27,L_Placeholder,0)))),"INVALID – batch ID missing or placeholder",IF(AND(AR27=1,OR(NOT(ISNUMBER(X27)),NOT(ISNUMBER(Y27)))),"INVALID – expected/actual qty missing",IF(AND(AR27=1,OR(X27&lt;=0,Y27&lt;0)),"INVALID – expected qty must be above 0 and actual not negative",IF(AH22="N/A – JUSTIFIED","INVALID – preparation row F01-T12-08 is N/A",IF(AND(AR27=1,ISNUMBER(X22),X27&lt;&gt;X22),"INVALID – expected qty differs from preparation check F01-T12-08",IF(BB27&lt;&gt;"",BB27,IF(AND(AS27=1,Documents!$J$5&lt;&gt;"ON FILE"),"INVALID – GLD not on file (Documents sheet)",IF(AND(AS27=2,Documents!$O$5&lt;&gt;"ON FILE"),"INVALID – menu checklist not on file (Documents sheet)",IF(AND(AS27=3,NOT(ISNUMBER(Flights!$AX$5))),"INVALID – enter carrying flight KUL departure (Flights AX)",IF(AND(AS27=3,OR(Flights!$AZ$5&gt;Flights!$AA$5,Flights!$AX$5&lt;Flights!$AA$5-3)),"INVALID – carrying flight (Flights AX) cannot arrive before this leg's STD, or is over 3 days early",IF(AG27&gt;AsOfUTC,"INVALID – completion time is in the future",IF(AND(ISNUMBER(S27),AG27&lt;S27),IF(H27="Physical uplift","INVALID – before uplift window (cannot confirm loading)","INVALID – before valid window"),IF(AG27&gt;Flights!$AA$5,"INVALID – completed after departure (cannot establish readiness)",IF(AND(H27="Preparation",AG27&gt;IF(ISNUMBER(Flights!$BA$5),MIN(Flights!$BA$5,Flights!$AA$5),Flights!$AA$5)),"INVALID – completed after loading / departure (cannot establish readiness)",IF(AND(H27="Physical uplift",AG27&gt;Q27),"INVALID – recorded after the loading flight departed",IF(AG27&gt;Q27,"COMPLETE – LATE","COMPLETE"))))))))))))))))))))))),IF(TRIM(U27)="Fail","FAIL – DISCREPANCY",IF(AND(TRIM(U27)&lt;&gt;"",TRIM(U27)&lt;&gt;"Not started",TRIM(U27)&lt;&gt;"In progress"),"INVALID – unrecognised status (use the list)",IF(AsOfUTC&gt;Q27,"OVERDUE",IF(N27="Clarification required","OPEN – CLARIFICATION","OPEN"))))))),"INVALID – error value in an input cell")</f>
        <v>OPEN – CLARIFICATION</v>
      </c>
      <c r="AI27" s="61" t="n">
        <f aca="false">IF(OR(AH27="N/A – RULE",AH27="N/A – JUSTIFIED"),0,1)</f>
        <v>1</v>
      </c>
      <c r="AJ27" s="61" t="n">
        <f aca="false">IF(LEFT(AH27,8)="COMPLETE",1,0)</f>
        <v>0</v>
      </c>
      <c r="AK27" s="61" t="n">
        <f aca="false">IF(AND(AI27=1,AJ27=0,AsOfUTC&gt;Q27),1,0)</f>
        <v>0</v>
      </c>
      <c r="AL27" s="61" t="n">
        <f aca="false">IFERROR(IF(AND(AI27=1,OR(TRIM(U27)="Fail",AND(TRIM(AB27)&lt;&gt;"",TRIM(AB27)&lt;&gt;"Closed"),AND(ISNUMBER(AF27),AF27&lt;&gt;0,TRIM(U27)&lt;&gt;"Pass after CA"))),1,0),1)</f>
        <v>0</v>
      </c>
      <c r="AM27" s="61" t="n">
        <f aca="false">IF(LEFT(AH27,7)="INVALID",1,0)</f>
        <v>0</v>
      </c>
      <c r="AN27" s="61" t="n">
        <f aca="false">IF(AND(N27="Clarification required",AI27=1,AJ27=0),1,0)</f>
        <v>1</v>
      </c>
      <c r="AO27" s="61" t="str">
        <f aca="false">IF(AK27=1,SUM(AK$5:AK27),"")</f>
        <v/>
      </c>
      <c r="AP27" s="61" t="str">
        <f aca="false">IF(AL27=1,SUM(AL$5:AL27),"")</f>
        <v/>
      </c>
      <c r="AQ27" s="61" t="n">
        <v>0</v>
      </c>
      <c r="AR27" s="61" t="n">
        <v>0</v>
      </c>
      <c r="AS27" s="61" t="n">
        <v>0</v>
      </c>
      <c r="AT27" s="61" t="n">
        <v>1</v>
      </c>
      <c r="AU27" s="61" t="str">
        <f aca="false">SUBSTITUTE(SUBSTITUTE(SUBSTITUTE(SUBSTITUTE(SUBSTITUTE(SUBSTITUTE(SUBSTITUTE(SUBSTITUTE(SUBSTITUTE(SUBSTITUTE(SUBSTITUTE(SUBSTITUTE(SUBSTITUTE(LOWER(T27&amp;""),CHAR(160),"")," ",""),".",""),"-",""),"/",""),"?",""),"_",""),",",""),"[",""),"]",""),"(",""),")",""),"*","")</f>
        <v/>
      </c>
      <c r="AV27" s="61" t="str">
        <f aca="false">SUBSTITUTE(SUBSTITUTE(SUBSTITUTE(SUBSTITUTE(SUBSTITUTE(SUBSTITUTE(SUBSTITUTE(SUBSTITUTE(SUBSTITUTE(SUBSTITUTE(SUBSTITUTE(SUBSTITUTE(SUBSTITUTE(LOWER(V27&amp;""),CHAR(160),"")," ",""),".",""),"-",""),"/",""),"?",""),"_",""),",",""),"[",""),"]",""),"(",""),")",""),"*","")</f>
        <v/>
      </c>
      <c r="AW27" s="61" t="str">
        <f aca="false">SUBSTITUTE(SUBSTITUTE(SUBSTITUTE(SUBSTITUTE(SUBSTITUTE(SUBSTITUTE(SUBSTITUTE(SUBSTITUTE(SUBSTITUTE(SUBSTITUTE(SUBSTITUTE(SUBSTITUTE(SUBSTITUTE(LOWER(Z27&amp;""),CHAR(160),"")," ",""),".",""),"-",""),"/",""),"?",""),"_",""),",",""),"[",""),"]",""),"(",""),")",""),"*","")</f>
        <v/>
      </c>
      <c r="AX27" s="61" t="str">
        <f aca="false">SUBSTITUTE(SUBSTITUTE(SUBSTITUTE(SUBSTITUTE(SUBSTITUTE(SUBSTITUTE(SUBSTITUTE(SUBSTITUTE(SUBSTITUTE(SUBSTITUTE(SUBSTITUTE(SUBSTITUTE(SUBSTITUTE(LOWER(AE27&amp;""),CHAR(160),"")," ",""),".",""),"-",""),"/",""),"?",""),"_",""),",",""),"[",""),"]",""),"(",""),")",""),"*","")</f>
        <v/>
      </c>
      <c r="AY27" s="61" t="str">
        <f aca="false">SUBSTITUTE(SUBSTITUTE(SUBSTITUTE(SUBSTITUTE(SUBSTITUTE(SUBSTITUTE(SUBSTITUTE(SUBSTITUTE(SUBSTITUTE(SUBSTITUTE(SUBSTITUTE(SUBSTITUTE(SUBSTITUTE(LOWER(W27&amp;""),CHAR(160),"")," ",""),".",""),"-",""),"/",""),"?",""),"_",""),",",""),"[",""),"]",""),"(",""),")",""),"*","")</f>
        <v/>
      </c>
      <c r="AZ27" s="61" t="str">
        <f aca="false">SUBSTITUTE(SUBSTITUTE(SUBSTITUTE(SUBSTITUTE(SUBSTITUTE(SUBSTITUTE(SUBSTITUTE(SUBSTITUTE(SUBSTITUTE(SUBSTITUTE(SUBSTITUTE(SUBSTITUTE(SUBSTITUTE(LOWER(AC27&amp;""),CHAR(160),"")," ",""),".",""),"-",""),"/",""),"?",""),"_",""),",",""),"[",""),"]",""),"(",""),")",""),"*","")</f>
        <v/>
      </c>
      <c r="BA27" s="61" t="str">
        <f aca="false">SUBSTITUTE(SUBSTITUTE(SUBSTITUTE(SUBSTITUTE(SUBSTITUTE(SUBSTITUTE(SUBSTITUTE(SUBSTITUTE(SUBSTITUTE(SUBSTITUTE(SUBSTITUTE(SUBSTITUTE(SUBSTITUTE(LOWER(AA27&amp;""),CHAR(160),"")," ",""),".",""),"-",""),"/",""),"?",""),"_",""),",",""),"[",""),"]",""),"(",""),")",""),"*","")</f>
        <v/>
      </c>
      <c r="BB27" s="61" t="str">
        <f aca="false">IF(AND(TRIM(U27)="Pass",ISNUMBER(AF27)),IF(AF27&lt;&gt;0,"INVALID – qty variance: use Fail or Pass after CA",""),"")&amp;IF(AND(TRIM(U27)="Pass after CA",ISNUMBER(AF27)),IF(AF27&lt;&gt;0,"INVALID – after the corrective action the actual qty must equal expected (update Actual)",""),"")&amp;IF(AND(TRIM(U27)="Pass",TRIM(AB27)&lt;&gt;"",TRIM(AB27)&lt;&gt;"Closed"),"INVALID – corrective action not closed: use Fail, then Pass after CA","")&amp;IF(AND(TRIM(AA27)&lt;&gt;"",TRIM(AB27)=""),"INVALID – CA status missing for the recorded corrective action","")&amp;IF(AND(TRIM(U27)="Pass after CA",OR(OR(LEN(BA27)&lt;5,ISNUMBER(MATCH(BA27,L_Placeholder,0))),TRIM(AB27)&lt;&gt;"Closed")),"INVALID – corrective action not recorded/closed","")</f>
        <v/>
      </c>
    </row>
    <row r="28" customFormat="false" ht="39.75" hidden="false" customHeight="true" outlineLevel="0" collapsed="false">
      <c r="A28" s="57" t="s">
        <v>446</v>
      </c>
      <c r="B28" s="57" t="s">
        <v>180</v>
      </c>
      <c r="C28" s="57" t="str">
        <f aca="false">Flights!$F$5</f>
        <v>MH0001</v>
      </c>
      <c r="D28" s="58" t="n">
        <f aca="false">Flights!$D$5</f>
        <v>46303</v>
      </c>
      <c r="E28" s="57" t="str">
        <f aca="false">Flights!$G$5&amp;"-"&amp;Flights!$H$5</f>
        <v>LHR-KUL</v>
      </c>
      <c r="F28" s="57" t="str">
        <f aca="false">Flights!$K$5</f>
        <v>EY</v>
      </c>
      <c r="G28" s="57" t="s">
        <v>437</v>
      </c>
      <c r="H28" s="57" t="s">
        <v>438</v>
      </c>
      <c r="I28" s="57" t="s">
        <v>425</v>
      </c>
      <c r="J28" s="57" t="s">
        <v>447</v>
      </c>
      <c r="K28" s="67" t="s">
        <v>427</v>
      </c>
      <c r="L28" s="67" t="s">
        <v>428</v>
      </c>
      <c r="M28" s="67" t="s">
        <v>429</v>
      </c>
      <c r="N28" s="67" t="s">
        <v>361</v>
      </c>
      <c r="O28" s="67"/>
      <c r="P28" s="57" t="s">
        <v>183</v>
      </c>
      <c r="Q28" s="59" t="n">
        <f aca="false">ROUND((Flights!$AF$5)*1440,0)/1440</f>
        <v>46303.8576388889</v>
      </c>
      <c r="R28" s="59" t="n">
        <f aca="false">Q28+(IF(AND(INDEX(TZ_DSTS,MATCH(P28,TZ_STN,0))&lt;&gt;"",Q28&gt;=INDEX(TZ_DSTS,MATCH(P28,TZ_STN,0)),Q28&lt;INDEX(TZ_DSTE,MATCH(P28,TZ_STN,0))),INDEX(TZ_DST,MATCH(P28,TZ_STN,0)),INDEX(TZ_STD,MATCH(P28,TZ_STN,0))))/24</f>
        <v>46303.8993055556</v>
      </c>
      <c r="S28" s="59" t="n">
        <f aca="false">IF(ISNUMBER(Flights!$AZ$5),MAX(Q28-UpliftWindowH/24,Flights!$AZ$5),Q28-UpliftWindowH/24)</f>
        <v>46303.6076388889</v>
      </c>
      <c r="T28" s="60"/>
      <c r="U28" s="60"/>
      <c r="V28" s="60"/>
      <c r="W28" s="61"/>
      <c r="X28" s="60"/>
      <c r="Y28" s="60"/>
      <c r="Z28" s="60"/>
      <c r="AA28" s="60"/>
      <c r="AB28" s="60"/>
      <c r="AC28" s="60"/>
      <c r="AD28" s="66"/>
      <c r="AE28" s="60"/>
      <c r="AF28" s="61" t="str">
        <f aca="false">IF(AND(ISNUMBER(X28),ISNUMBER(Y28)),Y28-X28,"")</f>
        <v/>
      </c>
      <c r="AG28" s="62" t="str">
        <f aca="false">IF(ISNUMBER(AD28),AD28-(IF(AND(INDEX(TZ_DSTS,MATCH(P28,TZ_STN,0))&lt;&gt;"",(AD28-INDEX(TZ_STD,MATCH(P28,TZ_STN,0))/24)&gt;=INDEX(TZ_DSTS,MATCH(P28,TZ_STN,0)),(AD28-INDEX(TZ_STD,MATCH(P28,TZ_STN,0))/24)&lt;INDEX(TZ_DSTE,MATCH(P28,TZ_STN,0))),INDEX(TZ_DST,MATCH(P28,TZ_STN,0)),INDEX(TZ_STD,MATCH(P28,TZ_STN,0))))/24,"")</f>
        <v/>
      </c>
      <c r="AH28" s="65" t="str">
        <f aca="false">IFERROR(IF(N28="N/A – rule","N/A – RULE",IF(TRIM(U28)="N/A",IF(AT28=0,"INVALID – N/A not permitted for this check",IF(AND(TRIM(AB28)&lt;&gt;"",TRIM(AB28)&lt;&gt;"Closed"),"INVALID – corrective action still open",IF(AND(NOT(OR(LEN(AZ28)&lt;15,ISNUMBER(MATCH(AZ28,L_Placeholder,0)))),NOT(OR(LEN(AU28)&lt;2,ISNUMBER(MATCH(AU28,L_Placeholder,0)))),NOT(OR(LEN(AX28)&lt;2,ISNUMBER(MATCH(AX28,L_Placeholder,0)))),TRIM(AE28)&lt;&gt;TRIM(T28)),"N/A – JUSTIFIED","INVALID – N/A needs a real justification (15+ chars), PIC and a different verifier"))),IF(OR(TRIM(U28)="Pass",TRIM(U28)="Pass after CA"),IF(NOT(ISNUMBER(AD28)),"INVALID – completion time missing",IF(OR(LEN(AU28)&lt;2,ISNUMBER(MATCH(AU28,L_Placeholder,0))),"INVALID – PIC missing",IF(OR(LEN(AV28)&lt;2,ISNUMBER(MATCH(AV28,L_Placeholder,0))),"INVALID – result / assessment missing",IF(OR(OR(LEN(AW28)&lt;3,ISNUMBER(MATCH(AW28,L_Placeholder,0))),SUMPRODUCT(--ISNUMBER(SEARCH(L_EvidencePhrase,AW28)))&gt;0),"INVALID – evidence missing, placeholder or not yet on file",IF(OR(LEN(AX28)&lt;2,ISNUMBER(MATCH(AX28,L_Placeholder,0))),"INVALID – verifier missing",IF(AX28=AU28,"INVALID – verifier must be someone other than the PIC",IF(AND(TRIM(U28)="Pass",SUMPRODUCT(--ISNUMBER(SEARCH(L_ResultBad,AV28)))&gt;0),"INVALID – result describes a problem: use Fail, then Pass after CA",IF(AND(AQ28=1,OR(LEN(AY28)&lt;3,ISNUMBER(MATCH(AY28,L_Placeholder,0)))),"INVALID – batch ID missing or placeholder",IF(AND(AR28=1,OR(NOT(ISNUMBER(X28)),NOT(ISNUMBER(Y28)))),"INVALID – expected/actual qty missing",IF(AND(AR28=1,OR(X28&lt;=0,Y28&lt;0)),"INVALID – expected qty must be above 0 and actual not negative",IF(AH23="N/A – JUSTIFIED","INVALID – preparation row F01-T12-09 is N/A",IF(AND(AR28=1,ISNUMBER(X23),X28&lt;&gt;X23),"INVALID – expected qty differs from preparation check F01-T12-09",IF(BB28&lt;&gt;"",BB28,IF(AND(AS28=1,Documents!$J$5&lt;&gt;"ON FILE"),"INVALID – GLD not on file (Documents sheet)",IF(AND(AS28=2,Documents!$O$5&lt;&gt;"ON FILE"),"INVALID – menu checklist not on file (Documents sheet)",IF(AND(AS28=3,NOT(ISNUMBER(Flights!$AX$5))),"INVALID – enter carrying flight KUL departure (Flights AX)",IF(AND(AS28=3,OR(Flights!$AZ$5&gt;Flights!$AA$5,Flights!$AX$5&lt;Flights!$AA$5-3)),"INVALID – carrying flight (Flights AX) cannot arrive before this leg's STD, or is over 3 days early",IF(AG28&gt;AsOfUTC,"INVALID – completion time is in the future",IF(AND(ISNUMBER(S28),AG28&lt;S28),IF(H28="Physical uplift","INVALID – before uplift window (cannot confirm loading)","INVALID – before valid window"),IF(AG28&gt;Flights!$AA$5,"INVALID – completed after departure (cannot establish readiness)",IF(AND(H28="Preparation",AG28&gt;IF(ISNUMBER(Flights!$BA$5),MIN(Flights!$BA$5,Flights!$AA$5),Flights!$AA$5)),"INVALID – completed after loading / departure (cannot establish readiness)",IF(AND(H28="Physical uplift",AG28&gt;Q28),"INVALID – recorded after the loading flight departed",IF(AG28&gt;Q28,"COMPLETE – LATE","COMPLETE"))))))))))))))))))))))),IF(TRIM(U28)="Fail","FAIL – DISCREPANCY",IF(AND(TRIM(U28)&lt;&gt;"",TRIM(U28)&lt;&gt;"Not started",TRIM(U28)&lt;&gt;"In progress"),"INVALID – unrecognised status (use the list)",IF(AsOfUTC&gt;Q28,"OVERDUE",IF(N28="Clarification required","OPEN – CLARIFICATION","OPEN"))))))),"INVALID – error value in an input cell")</f>
        <v>OPEN</v>
      </c>
      <c r="AI28" s="61" t="n">
        <f aca="false">IF(OR(AH28="N/A – RULE",AH28="N/A – JUSTIFIED"),0,1)</f>
        <v>1</v>
      </c>
      <c r="AJ28" s="61" t="n">
        <f aca="false">IF(LEFT(AH28,8)="COMPLETE",1,0)</f>
        <v>0</v>
      </c>
      <c r="AK28" s="61" t="n">
        <f aca="false">IF(AND(AI28=1,AJ28=0,AsOfUTC&gt;Q28),1,0)</f>
        <v>0</v>
      </c>
      <c r="AL28" s="61" t="n">
        <f aca="false">IFERROR(IF(AND(AI28=1,OR(TRIM(U28)="Fail",AND(TRIM(AB28)&lt;&gt;"",TRIM(AB28)&lt;&gt;"Closed"),AND(ISNUMBER(AF28),AF28&lt;&gt;0,TRIM(U28)&lt;&gt;"Pass after CA"))),1,0),1)</f>
        <v>0</v>
      </c>
      <c r="AM28" s="61" t="n">
        <f aca="false">IF(LEFT(AH28,7)="INVALID",1,0)</f>
        <v>0</v>
      </c>
      <c r="AN28" s="61" t="n">
        <f aca="false">IF(AND(N28="Clarification required",AI28=1,AJ28=0),1,0)</f>
        <v>0</v>
      </c>
      <c r="AO28" s="61" t="str">
        <f aca="false">IF(AK28=1,SUM(AK$5:AK28),"")</f>
        <v/>
      </c>
      <c r="AP28" s="61" t="str">
        <f aca="false">IF(AL28=1,SUM(AL$5:AL28),"")</f>
        <v/>
      </c>
      <c r="AQ28" s="61" t="n">
        <v>0</v>
      </c>
      <c r="AR28" s="61" t="n">
        <v>0</v>
      </c>
      <c r="AS28" s="61" t="n">
        <v>0</v>
      </c>
      <c r="AT28" s="61" t="n">
        <v>0</v>
      </c>
      <c r="AU28" s="61" t="str">
        <f aca="false">SUBSTITUTE(SUBSTITUTE(SUBSTITUTE(SUBSTITUTE(SUBSTITUTE(SUBSTITUTE(SUBSTITUTE(SUBSTITUTE(SUBSTITUTE(SUBSTITUTE(SUBSTITUTE(SUBSTITUTE(SUBSTITUTE(LOWER(T28&amp;""),CHAR(160),"")," ",""),".",""),"-",""),"/",""),"?",""),"_",""),",",""),"[",""),"]",""),"(",""),")",""),"*","")</f>
        <v/>
      </c>
      <c r="AV28" s="61" t="str">
        <f aca="false">SUBSTITUTE(SUBSTITUTE(SUBSTITUTE(SUBSTITUTE(SUBSTITUTE(SUBSTITUTE(SUBSTITUTE(SUBSTITUTE(SUBSTITUTE(SUBSTITUTE(SUBSTITUTE(SUBSTITUTE(SUBSTITUTE(LOWER(V28&amp;""),CHAR(160),"")," ",""),".",""),"-",""),"/",""),"?",""),"_",""),",",""),"[",""),"]",""),"(",""),")",""),"*","")</f>
        <v/>
      </c>
      <c r="AW28" s="61" t="str">
        <f aca="false">SUBSTITUTE(SUBSTITUTE(SUBSTITUTE(SUBSTITUTE(SUBSTITUTE(SUBSTITUTE(SUBSTITUTE(SUBSTITUTE(SUBSTITUTE(SUBSTITUTE(SUBSTITUTE(SUBSTITUTE(SUBSTITUTE(LOWER(Z28&amp;""),CHAR(160),"")," ",""),".",""),"-",""),"/",""),"?",""),"_",""),",",""),"[",""),"]",""),"(",""),")",""),"*","")</f>
        <v/>
      </c>
      <c r="AX28" s="61" t="str">
        <f aca="false">SUBSTITUTE(SUBSTITUTE(SUBSTITUTE(SUBSTITUTE(SUBSTITUTE(SUBSTITUTE(SUBSTITUTE(SUBSTITUTE(SUBSTITUTE(SUBSTITUTE(SUBSTITUTE(SUBSTITUTE(SUBSTITUTE(LOWER(AE28&amp;""),CHAR(160),"")," ",""),".",""),"-",""),"/",""),"?",""),"_",""),",",""),"[",""),"]",""),"(",""),")",""),"*","")</f>
        <v/>
      </c>
      <c r="AY28" s="61" t="str">
        <f aca="false">SUBSTITUTE(SUBSTITUTE(SUBSTITUTE(SUBSTITUTE(SUBSTITUTE(SUBSTITUTE(SUBSTITUTE(SUBSTITUTE(SUBSTITUTE(SUBSTITUTE(SUBSTITUTE(SUBSTITUTE(SUBSTITUTE(LOWER(W28&amp;""),CHAR(160),"")," ",""),".",""),"-",""),"/",""),"?",""),"_",""),",",""),"[",""),"]",""),"(",""),")",""),"*","")</f>
        <v/>
      </c>
      <c r="AZ28" s="61" t="str">
        <f aca="false">SUBSTITUTE(SUBSTITUTE(SUBSTITUTE(SUBSTITUTE(SUBSTITUTE(SUBSTITUTE(SUBSTITUTE(SUBSTITUTE(SUBSTITUTE(SUBSTITUTE(SUBSTITUTE(SUBSTITUTE(SUBSTITUTE(LOWER(AC28&amp;""),CHAR(160),"")," ",""),".",""),"-",""),"/",""),"?",""),"_",""),",",""),"[",""),"]",""),"(",""),")",""),"*","")</f>
        <v/>
      </c>
      <c r="BA28" s="61" t="str">
        <f aca="false">SUBSTITUTE(SUBSTITUTE(SUBSTITUTE(SUBSTITUTE(SUBSTITUTE(SUBSTITUTE(SUBSTITUTE(SUBSTITUTE(SUBSTITUTE(SUBSTITUTE(SUBSTITUTE(SUBSTITUTE(SUBSTITUTE(LOWER(AA28&amp;""),CHAR(160),"")," ",""),".",""),"-",""),"/",""),"?",""),"_",""),",",""),"[",""),"]",""),"(",""),")",""),"*","")</f>
        <v/>
      </c>
      <c r="BB28" s="61" t="str">
        <f aca="false">IF(AND(TRIM(U28)="Pass",ISNUMBER(AF28)),IF(AF28&lt;&gt;0,"INVALID – qty variance: use Fail or Pass after CA",""),"")&amp;IF(AND(TRIM(U28)="Pass after CA",ISNUMBER(AF28)),IF(AF28&lt;&gt;0,"INVALID – after the corrective action the actual qty must equal expected (update Actual)",""),"")&amp;IF(AND(TRIM(U28)="Pass",TRIM(AB28)&lt;&gt;"",TRIM(AB28)&lt;&gt;"Closed"),"INVALID – corrective action not closed: use Fail, then Pass after CA","")&amp;IF(AND(TRIM(AA28)&lt;&gt;"",TRIM(AB28)=""),"INVALID – CA status missing for the recorded corrective action","")&amp;IF(AND(TRIM(U28)="Pass after CA",OR(OR(LEN(BA28)&lt;5,ISNUMBER(MATCH(BA28,L_Placeholder,0))),TRIM(AB28)&lt;&gt;"Closed")),"INVALID – corrective action not recorded/closed","")</f>
        <v/>
      </c>
    </row>
    <row r="29" customFormat="false" ht="54" hidden="false" customHeight="true" outlineLevel="0" collapsed="false">
      <c r="A29" s="57" t="s">
        <v>448</v>
      </c>
      <c r="B29" s="57" t="s">
        <v>180</v>
      </c>
      <c r="C29" s="57" t="str">
        <f aca="false">Flights!$F$5</f>
        <v>MH0001</v>
      </c>
      <c r="D29" s="58" t="n">
        <f aca="false">Flights!$D$5</f>
        <v>46303</v>
      </c>
      <c r="E29" s="57" t="str">
        <f aca="false">Flights!$G$5&amp;"-"&amp;Flights!$H$5</f>
        <v>LHR-KUL</v>
      </c>
      <c r="F29" s="57" t="str">
        <f aca="false">Flights!$K$5</f>
        <v>EY</v>
      </c>
      <c r="G29" s="57" t="s">
        <v>437</v>
      </c>
      <c r="H29" s="57" t="s">
        <v>438</v>
      </c>
      <c r="I29" s="57" t="s">
        <v>425</v>
      </c>
      <c r="J29" s="57" t="s">
        <v>449</v>
      </c>
      <c r="K29" s="67" t="s">
        <v>433</v>
      </c>
      <c r="L29" s="67" t="s">
        <v>434</v>
      </c>
      <c r="M29" s="67" t="s">
        <v>429</v>
      </c>
      <c r="N29" s="67" t="s">
        <v>361</v>
      </c>
      <c r="O29" s="67" t="s">
        <v>450</v>
      </c>
      <c r="P29" s="57" t="s">
        <v>183</v>
      </c>
      <c r="Q29" s="59" t="n">
        <f aca="false">ROUND((Flights!$AF$5)*1440,0)/1440</f>
        <v>46303.8576388889</v>
      </c>
      <c r="R29" s="59" t="n">
        <f aca="false">Q29+(IF(AND(INDEX(TZ_DSTS,MATCH(P29,TZ_STN,0))&lt;&gt;"",Q29&gt;=INDEX(TZ_DSTS,MATCH(P29,TZ_STN,0)),Q29&lt;INDEX(TZ_DSTE,MATCH(P29,TZ_STN,0))),INDEX(TZ_DST,MATCH(P29,TZ_STN,0)),INDEX(TZ_STD,MATCH(P29,TZ_STN,0))))/24</f>
        <v>46303.8993055556</v>
      </c>
      <c r="S29" s="59" t="n">
        <f aca="false">IF(ISNUMBER(Flights!$AZ$5),MAX(Q29-UpliftWindowH/24,Flights!$AZ$5),Q29-UpliftWindowH/24)</f>
        <v>46303.6076388889</v>
      </c>
      <c r="T29" s="60"/>
      <c r="U29" s="60"/>
      <c r="V29" s="60"/>
      <c r="W29" s="61"/>
      <c r="X29" s="68" t="str">
        <f aca="false">IF(TRIM(Flights!$N$5)="","",IF(ISNUMBER(SEARCH("MAH",Flights!$N$5)),280,260))</f>
        <v/>
      </c>
      <c r="Y29" s="60"/>
      <c r="Z29" s="60"/>
      <c r="AA29" s="60"/>
      <c r="AB29" s="60"/>
      <c r="AC29" s="60"/>
      <c r="AD29" s="66"/>
      <c r="AE29" s="60"/>
      <c r="AF29" s="61" t="str">
        <f aca="false">IF(AND(ISNUMBER(X29),ISNUMBER(Y29)),Y29-X29,"")</f>
        <v/>
      </c>
      <c r="AG29" s="62" t="str">
        <f aca="false">IF(ISNUMBER(AD29),AD29-(IF(AND(INDEX(TZ_DSTS,MATCH(P29,TZ_STN,0))&lt;&gt;"",(AD29-INDEX(TZ_STD,MATCH(P29,TZ_STN,0))/24)&gt;=INDEX(TZ_DSTS,MATCH(P29,TZ_STN,0)),(AD29-INDEX(TZ_STD,MATCH(P29,TZ_STN,0))/24)&lt;INDEX(TZ_DSTE,MATCH(P29,TZ_STN,0))),INDEX(TZ_DST,MATCH(P29,TZ_STN,0)),INDEX(TZ_STD,MATCH(P29,TZ_STN,0))))/24,"")</f>
        <v/>
      </c>
      <c r="AH29" s="65" t="str">
        <f aca="false">IFERROR(IF(N29="N/A – rule","N/A – RULE",IF(TRIM(U29)="N/A",IF(AT29=0,"INVALID – N/A not permitted for this check",IF(AND(TRIM(AB29)&lt;&gt;"",TRIM(AB29)&lt;&gt;"Closed"),"INVALID – corrective action still open",IF(AND(NOT(OR(LEN(AZ29)&lt;15,ISNUMBER(MATCH(AZ29,L_Placeholder,0)))),NOT(OR(LEN(AU29)&lt;2,ISNUMBER(MATCH(AU29,L_Placeholder,0)))),NOT(OR(LEN(AX29)&lt;2,ISNUMBER(MATCH(AX29,L_Placeholder,0)))),TRIM(AE29)&lt;&gt;TRIM(T29)),"N/A – JUSTIFIED","INVALID – N/A needs a real justification (15+ chars), PIC and a different verifier"))),IF(OR(TRIM(U29)="Pass",TRIM(U29)="Pass after CA"),IF(NOT(ISNUMBER(AD29)),"INVALID – completion time missing",IF(OR(LEN(AU29)&lt;2,ISNUMBER(MATCH(AU29,L_Placeholder,0))),"INVALID – PIC missing",IF(OR(LEN(AV29)&lt;2,ISNUMBER(MATCH(AV29,L_Placeholder,0))),"INVALID – result / assessment missing",IF(OR(OR(LEN(AW29)&lt;3,ISNUMBER(MATCH(AW29,L_Placeholder,0))),SUMPRODUCT(--ISNUMBER(SEARCH(L_EvidencePhrase,AW29)))&gt;0),"INVALID – evidence missing, placeholder or not yet on file",IF(OR(LEN(AX29)&lt;2,ISNUMBER(MATCH(AX29,L_Placeholder,0))),"INVALID – verifier missing",IF(AX29=AU29,"INVALID – verifier must be someone other than the PIC",IF(AND(TRIM(U29)="Pass",SUMPRODUCT(--ISNUMBER(SEARCH(L_ResultBad,AV29)))&gt;0),"INVALID – result describes a problem: use Fail, then Pass after CA",IF(AND(AQ29=1,OR(LEN(AY29)&lt;3,ISNUMBER(MATCH(AY29,L_Placeholder,0)))),"INVALID – batch ID missing or placeholder",IF(AND(AR29=1,OR(NOT(ISNUMBER(X29)),NOT(ISNUMBER(Y29)))),"INVALID – expected/actual qty missing",IF(AND(AR29=1,OR(X29&lt;=0,Y29&lt;0)),"INVALID – expected qty must be above 0 and actual not negative",IF(AH24="N/A – JUSTIFIED","INVALID – preparation row F01-T12-10 is N/A",IF(AND(AR29=1,ISNUMBER(X24),X29&lt;&gt;X24),"INVALID – expected qty differs from preparation check F01-T12-10",IF(BB29&lt;&gt;"",BB29,IF(AND(AS29=1,Documents!$J$5&lt;&gt;"ON FILE"),"INVALID – GLD not on file (Documents sheet)",IF(AND(AS29=2,Documents!$O$5&lt;&gt;"ON FILE"),"INVALID – menu checklist not on file (Documents sheet)",IF(AND(AS29=3,NOT(ISNUMBER(Flights!$AX$5))),"INVALID – enter carrying flight KUL departure (Flights AX)",IF(AND(AS29=3,OR(Flights!$AZ$5&gt;Flights!$AA$5,Flights!$AX$5&lt;Flights!$AA$5-3)),"INVALID – carrying flight (Flights AX) cannot arrive before this leg's STD, or is over 3 days early",IF(AG29&gt;AsOfUTC,"INVALID – completion time is in the future",IF(AND(ISNUMBER(S29),AG29&lt;S29),IF(H29="Physical uplift","INVALID – before uplift window (cannot confirm loading)","INVALID – before valid window"),IF(AG29&gt;Flights!$AA$5,"INVALID – completed after departure (cannot establish readiness)",IF(AND(H29="Preparation",AG29&gt;IF(ISNUMBER(Flights!$BA$5),MIN(Flights!$BA$5,Flights!$AA$5),Flights!$AA$5)),"INVALID – completed after loading / departure (cannot establish readiness)",IF(AND(H29="Physical uplift",AG29&gt;Q29),"INVALID – recorded after the loading flight departed",IF(AG29&gt;Q29,"COMPLETE – LATE","COMPLETE"))))))))))))))))))))))),IF(TRIM(U29)="Fail","FAIL – DISCREPANCY",IF(AND(TRIM(U29)&lt;&gt;"",TRIM(U29)&lt;&gt;"Not started",TRIM(U29)&lt;&gt;"In progress"),"INVALID – unrecognised status (use the list)",IF(AsOfUTC&gt;Q29,"OVERDUE",IF(N29="Clarification required","OPEN – CLARIFICATION","OPEN"))))))),"INVALID – error value in an input cell")</f>
        <v>OPEN</v>
      </c>
      <c r="AI29" s="61" t="n">
        <f aca="false">IF(OR(AH29="N/A – RULE",AH29="N/A – JUSTIFIED"),0,1)</f>
        <v>1</v>
      </c>
      <c r="AJ29" s="61" t="n">
        <f aca="false">IF(LEFT(AH29,8)="COMPLETE",1,0)</f>
        <v>0</v>
      </c>
      <c r="AK29" s="61" t="n">
        <f aca="false">IF(AND(AI29=1,AJ29=0,AsOfUTC&gt;Q29),1,0)</f>
        <v>0</v>
      </c>
      <c r="AL29" s="61" t="n">
        <f aca="false">IFERROR(IF(AND(AI29=1,OR(TRIM(U29)="Fail",AND(TRIM(AB29)&lt;&gt;"",TRIM(AB29)&lt;&gt;"Closed"),AND(ISNUMBER(AF29),AF29&lt;&gt;0,TRIM(U29)&lt;&gt;"Pass after CA"))),1,0),1)</f>
        <v>0</v>
      </c>
      <c r="AM29" s="61" t="n">
        <f aca="false">IF(LEFT(AH29,7)="INVALID",1,0)</f>
        <v>0</v>
      </c>
      <c r="AN29" s="61" t="n">
        <f aca="false">IF(AND(N29="Clarification required",AI29=1,AJ29=0),1,0)</f>
        <v>0</v>
      </c>
      <c r="AO29" s="61" t="str">
        <f aca="false">IF(AK29=1,SUM(AK$5:AK29),"")</f>
        <v/>
      </c>
      <c r="AP29" s="61" t="str">
        <f aca="false">IF(AL29=1,SUM(AL$5:AL29),"")</f>
        <v/>
      </c>
      <c r="AQ29" s="61" t="n">
        <v>0</v>
      </c>
      <c r="AR29" s="61" t="n">
        <v>1</v>
      </c>
      <c r="AS29" s="61" t="n">
        <v>0</v>
      </c>
      <c r="AT29" s="61" t="n">
        <v>0</v>
      </c>
      <c r="AU29" s="61" t="str">
        <f aca="false">SUBSTITUTE(SUBSTITUTE(SUBSTITUTE(SUBSTITUTE(SUBSTITUTE(SUBSTITUTE(SUBSTITUTE(SUBSTITUTE(SUBSTITUTE(SUBSTITUTE(SUBSTITUTE(SUBSTITUTE(SUBSTITUTE(LOWER(T29&amp;""),CHAR(160),"")," ",""),".",""),"-",""),"/",""),"?",""),"_",""),",",""),"[",""),"]",""),"(",""),")",""),"*","")</f>
        <v/>
      </c>
      <c r="AV29" s="61" t="str">
        <f aca="false">SUBSTITUTE(SUBSTITUTE(SUBSTITUTE(SUBSTITUTE(SUBSTITUTE(SUBSTITUTE(SUBSTITUTE(SUBSTITUTE(SUBSTITUTE(SUBSTITUTE(SUBSTITUTE(SUBSTITUTE(SUBSTITUTE(LOWER(V29&amp;""),CHAR(160),"")," ",""),".",""),"-",""),"/",""),"?",""),"_",""),",",""),"[",""),"]",""),"(",""),")",""),"*","")</f>
        <v/>
      </c>
      <c r="AW29" s="61" t="str">
        <f aca="false">SUBSTITUTE(SUBSTITUTE(SUBSTITUTE(SUBSTITUTE(SUBSTITUTE(SUBSTITUTE(SUBSTITUTE(SUBSTITUTE(SUBSTITUTE(SUBSTITUTE(SUBSTITUTE(SUBSTITUTE(SUBSTITUTE(LOWER(Z29&amp;""),CHAR(160),"")," ",""),".",""),"-",""),"/",""),"?",""),"_",""),",",""),"[",""),"]",""),"(",""),")",""),"*","")</f>
        <v/>
      </c>
      <c r="AX29" s="61" t="str">
        <f aca="false">SUBSTITUTE(SUBSTITUTE(SUBSTITUTE(SUBSTITUTE(SUBSTITUTE(SUBSTITUTE(SUBSTITUTE(SUBSTITUTE(SUBSTITUTE(SUBSTITUTE(SUBSTITUTE(SUBSTITUTE(SUBSTITUTE(LOWER(AE29&amp;""),CHAR(160),"")," ",""),".",""),"-",""),"/",""),"?",""),"_",""),",",""),"[",""),"]",""),"(",""),")",""),"*","")</f>
        <v/>
      </c>
      <c r="AY29" s="61" t="str">
        <f aca="false">SUBSTITUTE(SUBSTITUTE(SUBSTITUTE(SUBSTITUTE(SUBSTITUTE(SUBSTITUTE(SUBSTITUTE(SUBSTITUTE(SUBSTITUTE(SUBSTITUTE(SUBSTITUTE(SUBSTITUTE(SUBSTITUTE(LOWER(W29&amp;""),CHAR(160),"")," ",""),".",""),"-",""),"/",""),"?",""),"_",""),",",""),"[",""),"]",""),"(",""),")",""),"*","")</f>
        <v/>
      </c>
      <c r="AZ29" s="61" t="str">
        <f aca="false">SUBSTITUTE(SUBSTITUTE(SUBSTITUTE(SUBSTITUTE(SUBSTITUTE(SUBSTITUTE(SUBSTITUTE(SUBSTITUTE(SUBSTITUTE(SUBSTITUTE(SUBSTITUTE(SUBSTITUTE(SUBSTITUTE(LOWER(AC29&amp;""),CHAR(160),"")," ",""),".",""),"-",""),"/",""),"?",""),"_",""),",",""),"[",""),"]",""),"(",""),")",""),"*","")</f>
        <v/>
      </c>
      <c r="BA29" s="61" t="str">
        <f aca="false">SUBSTITUTE(SUBSTITUTE(SUBSTITUTE(SUBSTITUTE(SUBSTITUTE(SUBSTITUTE(SUBSTITUTE(SUBSTITUTE(SUBSTITUTE(SUBSTITUTE(SUBSTITUTE(SUBSTITUTE(SUBSTITUTE(LOWER(AA29&amp;""),CHAR(160),"")," ",""),".",""),"-",""),"/",""),"?",""),"_",""),",",""),"[",""),"]",""),"(",""),")",""),"*","")</f>
        <v/>
      </c>
      <c r="BB29" s="61" t="str">
        <f aca="false">IF(AND(TRIM(U29)="Pass",ISNUMBER(AF29)),IF(AF29&lt;&gt;0,"INVALID – qty variance: use Fail or Pass after CA",""),"")&amp;IF(AND(TRIM(U29)="Pass after CA",ISNUMBER(AF29)),IF(AF29&lt;&gt;0,"INVALID – after the corrective action the actual qty must equal expected (update Actual)",""),"")&amp;IF(AND(TRIM(U29)="Pass",TRIM(AB29)&lt;&gt;"",TRIM(AB29)&lt;&gt;"Closed"),"INVALID – corrective action not closed: use Fail, then Pass after CA","")&amp;IF(AND(TRIM(AA29)&lt;&gt;"",TRIM(AB29)=""),"INVALID – CA status missing for the recorded corrective action","")&amp;IF(AND(TRIM(U29)="Pass after CA",OR(OR(LEN(BA29)&lt;5,ISNUMBER(MATCH(BA29,L_Placeholder,0))),TRIM(AB29)&lt;&gt;"Closed")),"INVALID – corrective action not recorded/closed","")</f>
        <v/>
      </c>
    </row>
    <row r="30" customFormat="false" ht="39.75" hidden="false" customHeight="true" outlineLevel="0" collapsed="false">
      <c r="A30" s="57" t="s">
        <v>451</v>
      </c>
      <c r="B30" s="57" t="s">
        <v>195</v>
      </c>
      <c r="C30" s="57" t="str">
        <f aca="false">Flights!$F$6</f>
        <v>MH0727</v>
      </c>
      <c r="D30" s="58" t="n">
        <f aca="false">Flights!$D$6</f>
        <v>46304</v>
      </c>
      <c r="E30" s="57" t="str">
        <f aca="false">Flights!$G$6&amp;"-"&amp;Flights!$H$6</f>
        <v>KUL-CGK</v>
      </c>
      <c r="F30" s="57" t="str">
        <f aca="false">Flights!$K$6</f>
        <v>BC</v>
      </c>
      <c r="G30" s="57" t="s">
        <v>79</v>
      </c>
      <c r="H30" s="57" t="s">
        <v>356</v>
      </c>
      <c r="I30" s="57" t="s">
        <v>357</v>
      </c>
      <c r="J30" s="57" t="s">
        <v>358</v>
      </c>
      <c r="K30" s="67" t="s">
        <v>359</v>
      </c>
      <c r="L30" s="67" t="s">
        <v>360</v>
      </c>
      <c r="M30" s="67"/>
      <c r="N30" s="67" t="s">
        <v>361</v>
      </c>
      <c r="O30" s="67"/>
      <c r="P30" s="57" t="s">
        <v>184</v>
      </c>
      <c r="Q30" s="59" t="n">
        <f aca="false">ROUND((Flights!$AC$6)*1440,0)/1440</f>
        <v>46297.5763888889</v>
      </c>
      <c r="R30" s="59" t="n">
        <f aca="false">Q30+(IF(AND(INDEX(TZ_DSTS,MATCH(P30,TZ_STN,0))&lt;&gt;"",Q30&gt;=INDEX(TZ_DSTS,MATCH(P30,TZ_STN,0)),Q30&lt;INDEX(TZ_DSTE,MATCH(P30,TZ_STN,0))),INDEX(TZ_DST,MATCH(P30,TZ_STN,0)),INDEX(TZ_STD,MATCH(P30,TZ_STN,0))))/24</f>
        <v>46297.9097222222</v>
      </c>
      <c r="S30" s="59" t="n">
        <f aca="false">Q30-T7EarlyD*24/24</f>
        <v>46283.5763888889</v>
      </c>
      <c r="T30" s="60"/>
      <c r="U30" s="60"/>
      <c r="V30" s="60"/>
      <c r="W30" s="61"/>
      <c r="X30" s="60"/>
      <c r="Y30" s="60"/>
      <c r="Z30" s="60"/>
      <c r="AA30" s="60"/>
      <c r="AB30" s="60"/>
      <c r="AC30" s="60"/>
      <c r="AD30" s="66"/>
      <c r="AE30" s="60"/>
      <c r="AF30" s="61" t="str">
        <f aca="false">IF(AND(ISNUMBER(X30),ISNUMBER(Y30)),Y30-X30,"")</f>
        <v/>
      </c>
      <c r="AG30" s="62" t="str">
        <f aca="false">IF(ISNUMBER(AD30),AD30-(IF(AND(INDEX(TZ_DSTS,MATCH(P30,TZ_STN,0))&lt;&gt;"",(AD30-INDEX(TZ_STD,MATCH(P30,TZ_STN,0))/24)&gt;=INDEX(TZ_DSTS,MATCH(P30,TZ_STN,0)),(AD30-INDEX(TZ_STD,MATCH(P30,TZ_STN,0))/24)&lt;INDEX(TZ_DSTE,MATCH(P30,TZ_STN,0))),INDEX(TZ_DST,MATCH(P30,TZ_STN,0)),INDEX(TZ_STD,MATCH(P30,TZ_STN,0))))/24,"")</f>
        <v/>
      </c>
      <c r="AH30" s="65" t="str">
        <f aca="false">IFERROR(IF(N30="N/A – rule","N/A – RULE",IF(TRIM(U30)="N/A",IF(AT30=0,"INVALID – N/A not permitted for this check",IF(AND(TRIM(AB30)&lt;&gt;"",TRIM(AB30)&lt;&gt;"Closed"),"INVALID – corrective action still open",IF(AND(NOT(OR(LEN(AZ30)&lt;15,ISNUMBER(MATCH(AZ30,L_Placeholder,0)))),NOT(OR(LEN(AU30)&lt;2,ISNUMBER(MATCH(AU30,L_Placeholder,0)))),NOT(OR(LEN(AX30)&lt;2,ISNUMBER(MATCH(AX30,L_Placeholder,0)))),TRIM(AE30)&lt;&gt;TRIM(T30)),"N/A – JUSTIFIED","INVALID – N/A needs a real justification (15+ chars), PIC and a different verifier"))),IF(OR(TRIM(U30)="Pass",TRIM(U30)="Pass after CA"),IF(NOT(ISNUMBER(AD30)),"INVALID – completion time missing",IF(OR(LEN(AU30)&lt;2,ISNUMBER(MATCH(AU30,L_Placeholder,0))),"INVALID – PIC missing",IF(OR(LEN(AV30)&lt;2,ISNUMBER(MATCH(AV30,L_Placeholder,0))),"INVALID – result / assessment missing",IF(OR(OR(LEN(AW30)&lt;3,ISNUMBER(MATCH(AW30,L_Placeholder,0))),SUMPRODUCT(--ISNUMBER(SEARCH(L_EvidencePhrase,AW30)))&gt;0),"INVALID – evidence missing, placeholder or not yet on file",IF(OR(LEN(AX30)&lt;2,ISNUMBER(MATCH(AX30,L_Placeholder,0))),"INVALID – verifier missing",IF(AX30=AU30,"INVALID – verifier must be someone other than the PIC",IF(AND(TRIM(U30)="Pass",SUMPRODUCT(--ISNUMBER(SEARCH(L_ResultBad,AV30)))&gt;0),"INVALID – result describes a problem: use Fail, then Pass after CA",IF(AND(AQ30=1,OR(LEN(AY30)&lt;3,ISNUMBER(MATCH(AY30,L_Placeholder,0)))),"INVALID – batch ID missing or placeholder",IF(AND(AR30=1,OR(NOT(ISNUMBER(X30)),NOT(ISNUMBER(Y30)))),"INVALID – expected/actual qty missing",IF(AND(AR30=1,OR(X30&lt;=0,Y30&lt;0)),"INVALID – expected qty must be above 0 and actual not negative",IF(BB30&lt;&gt;"",BB30,IF(AND(AS30=1,Documents!$J$6&lt;&gt;"ON FILE"),"INVALID – GLD not on file (Documents sheet)",IF(AND(AS30=2,Documents!$O$6&lt;&gt;"ON FILE"),"INVALID – menu checklist not on file (Documents sheet)",IF(AND(AS30=3,NOT(ISNUMBER(Flights!$AX$6))),"INVALID – enter carrying flight KUL departure (Flights AX)",IF(AND(AS30=3,OR(Flights!$AZ$6&gt;Flights!$AA$6,Flights!$AX$6&lt;Flights!$AA$6-3)),"INVALID – carrying flight (Flights AX) cannot arrive before this leg's STD, or is over 3 days early",IF(AG30&gt;AsOfUTC,"INVALID – completion time is in the future",IF(AND(ISNUMBER(S30),AG30&lt;S30),IF(H30="Physical uplift","INVALID – before uplift window (cannot confirm loading)","INVALID – before valid window"),IF(AG30&gt;Flights!$AA$6,"INVALID – completed after departure (cannot establish readiness)",IF(AND(H30="Preparation",AG30&gt;IF(ISNUMBER(Flights!$BA$6),MIN(Flights!$BA$6,Flights!$AA$6),Flights!$AA$6)),"INVALID – completed after loading / departure (cannot establish readiness)",IF(AND(H30="Physical uplift",AG30&gt;Q30),"INVALID – recorded after the loading flight departed",IF(AG30&gt;Q30,"COMPLETE – LATE","COMPLETE"))))))))))))))))))))),IF(TRIM(U30)="Fail","FAIL – DISCREPANCY",IF(AND(TRIM(U30)&lt;&gt;"",TRIM(U30)&lt;&gt;"Not started",TRIM(U30)&lt;&gt;"In progress"),"INVALID – unrecognised status (use the list)",IF(AsOfUTC&gt;Q30,"OVERDUE",IF(N30="Clarification required","OPEN – CLARIFICATION","OPEN"))))))),"INVALID – error value in an input cell")</f>
        <v>OPEN</v>
      </c>
      <c r="AI30" s="61" t="n">
        <f aca="false">IF(OR(AH30="N/A – RULE",AH30="N/A – JUSTIFIED"),0,1)</f>
        <v>1</v>
      </c>
      <c r="AJ30" s="61" t="n">
        <f aca="false">IF(LEFT(AH30,8)="COMPLETE",1,0)</f>
        <v>0</v>
      </c>
      <c r="AK30" s="61" t="n">
        <f aca="false">IF(AND(AI30=1,AJ30=0,AsOfUTC&gt;Q30),1,0)</f>
        <v>0</v>
      </c>
      <c r="AL30" s="61" t="n">
        <f aca="false">IFERROR(IF(AND(AI30=1,OR(TRIM(U30)="Fail",AND(TRIM(AB30)&lt;&gt;"",TRIM(AB30)&lt;&gt;"Closed"),AND(ISNUMBER(AF30),AF30&lt;&gt;0,TRIM(U30)&lt;&gt;"Pass after CA"))),1,0),1)</f>
        <v>0</v>
      </c>
      <c r="AM30" s="61" t="n">
        <f aca="false">IF(LEFT(AH30,7)="INVALID",1,0)</f>
        <v>0</v>
      </c>
      <c r="AN30" s="61" t="n">
        <f aca="false">IF(AND(N30="Clarification required",AI30=1,AJ30=0),1,0)</f>
        <v>0</v>
      </c>
      <c r="AO30" s="61" t="str">
        <f aca="false">IF(AK30=1,SUM(AK$5:AK30),"")</f>
        <v/>
      </c>
      <c r="AP30" s="61" t="str">
        <f aca="false">IF(AL30=1,SUM(AL$5:AL30),"")</f>
        <v/>
      </c>
      <c r="AQ30" s="61" t="n">
        <v>0</v>
      </c>
      <c r="AR30" s="61" t="n">
        <v>0</v>
      </c>
      <c r="AS30" s="61" t="n">
        <v>0</v>
      </c>
      <c r="AT30" s="61" t="n">
        <v>0</v>
      </c>
      <c r="AU30" s="61" t="str">
        <f aca="false">SUBSTITUTE(SUBSTITUTE(SUBSTITUTE(SUBSTITUTE(SUBSTITUTE(SUBSTITUTE(SUBSTITUTE(SUBSTITUTE(SUBSTITUTE(SUBSTITUTE(SUBSTITUTE(SUBSTITUTE(SUBSTITUTE(LOWER(T30&amp;""),CHAR(160),"")," ",""),".",""),"-",""),"/",""),"?",""),"_",""),",",""),"[",""),"]",""),"(",""),")",""),"*","")</f>
        <v/>
      </c>
      <c r="AV30" s="61" t="str">
        <f aca="false">SUBSTITUTE(SUBSTITUTE(SUBSTITUTE(SUBSTITUTE(SUBSTITUTE(SUBSTITUTE(SUBSTITUTE(SUBSTITUTE(SUBSTITUTE(SUBSTITUTE(SUBSTITUTE(SUBSTITUTE(SUBSTITUTE(LOWER(V30&amp;""),CHAR(160),"")," ",""),".",""),"-",""),"/",""),"?",""),"_",""),",",""),"[",""),"]",""),"(",""),")",""),"*","")</f>
        <v/>
      </c>
      <c r="AW30" s="61" t="str">
        <f aca="false">SUBSTITUTE(SUBSTITUTE(SUBSTITUTE(SUBSTITUTE(SUBSTITUTE(SUBSTITUTE(SUBSTITUTE(SUBSTITUTE(SUBSTITUTE(SUBSTITUTE(SUBSTITUTE(SUBSTITUTE(SUBSTITUTE(LOWER(Z30&amp;""),CHAR(160),"")," ",""),".",""),"-",""),"/",""),"?",""),"_",""),",",""),"[",""),"]",""),"(",""),")",""),"*","")</f>
        <v/>
      </c>
      <c r="AX30" s="61" t="str">
        <f aca="false">SUBSTITUTE(SUBSTITUTE(SUBSTITUTE(SUBSTITUTE(SUBSTITUTE(SUBSTITUTE(SUBSTITUTE(SUBSTITUTE(SUBSTITUTE(SUBSTITUTE(SUBSTITUTE(SUBSTITUTE(SUBSTITUTE(LOWER(AE30&amp;""),CHAR(160),"")," ",""),".",""),"-",""),"/",""),"?",""),"_",""),",",""),"[",""),"]",""),"(",""),")",""),"*","")</f>
        <v/>
      </c>
      <c r="AY30" s="61" t="str">
        <f aca="false">SUBSTITUTE(SUBSTITUTE(SUBSTITUTE(SUBSTITUTE(SUBSTITUTE(SUBSTITUTE(SUBSTITUTE(SUBSTITUTE(SUBSTITUTE(SUBSTITUTE(SUBSTITUTE(SUBSTITUTE(SUBSTITUTE(LOWER(W30&amp;""),CHAR(160),"")," ",""),".",""),"-",""),"/",""),"?",""),"_",""),",",""),"[",""),"]",""),"(",""),")",""),"*","")</f>
        <v/>
      </c>
      <c r="AZ30" s="61" t="str">
        <f aca="false">SUBSTITUTE(SUBSTITUTE(SUBSTITUTE(SUBSTITUTE(SUBSTITUTE(SUBSTITUTE(SUBSTITUTE(SUBSTITUTE(SUBSTITUTE(SUBSTITUTE(SUBSTITUTE(SUBSTITUTE(SUBSTITUTE(LOWER(AC30&amp;""),CHAR(160),"")," ",""),".",""),"-",""),"/",""),"?",""),"_",""),",",""),"[",""),"]",""),"(",""),")",""),"*","")</f>
        <v/>
      </c>
      <c r="BA30" s="61" t="str">
        <f aca="false">SUBSTITUTE(SUBSTITUTE(SUBSTITUTE(SUBSTITUTE(SUBSTITUTE(SUBSTITUTE(SUBSTITUTE(SUBSTITUTE(SUBSTITUTE(SUBSTITUTE(SUBSTITUTE(SUBSTITUTE(SUBSTITUTE(LOWER(AA30&amp;""),CHAR(160),"")," ",""),".",""),"-",""),"/",""),"?",""),"_",""),",",""),"[",""),"]",""),"(",""),")",""),"*","")</f>
        <v/>
      </c>
      <c r="BB30" s="61" t="str">
        <f aca="false">IF(AND(TRIM(U30)="Pass",ISNUMBER(AF30)),IF(AF30&lt;&gt;0,"INVALID – qty variance: use Fail or Pass after CA",""),"")&amp;IF(AND(TRIM(U30)="Pass after CA",ISNUMBER(AF30)),IF(AF30&lt;&gt;0,"INVALID – after the corrective action the actual qty must equal expected (update Actual)",""),"")&amp;IF(AND(TRIM(U30)="Pass",TRIM(AB30)&lt;&gt;"",TRIM(AB30)&lt;&gt;"Closed"),"INVALID – corrective action not closed: use Fail, then Pass after CA","")&amp;IF(AND(TRIM(AA30)&lt;&gt;"",TRIM(AB30)=""),"INVALID – CA status missing for the recorded corrective action","")&amp;IF(AND(TRIM(U30)="Pass after CA",OR(OR(LEN(BA30)&lt;5,ISNUMBER(MATCH(BA30,L_Placeholder,0))),TRIM(AB30)&lt;&gt;"Closed")),"INVALID – corrective action not recorded/closed","")</f>
        <v/>
      </c>
    </row>
    <row r="31" customFormat="false" ht="39.75" hidden="false" customHeight="true" outlineLevel="0" collapsed="false">
      <c r="A31" s="57" t="s">
        <v>452</v>
      </c>
      <c r="B31" s="57" t="s">
        <v>195</v>
      </c>
      <c r="C31" s="57" t="str">
        <f aca="false">Flights!$F$6</f>
        <v>MH0727</v>
      </c>
      <c r="D31" s="58" t="n">
        <f aca="false">Flights!$D$6</f>
        <v>46304</v>
      </c>
      <c r="E31" s="57" t="str">
        <f aca="false">Flights!$G$6&amp;"-"&amp;Flights!$H$6</f>
        <v>KUL-CGK</v>
      </c>
      <c r="F31" s="57" t="str">
        <f aca="false">Flights!$K$6</f>
        <v>BC</v>
      </c>
      <c r="G31" s="57" t="s">
        <v>79</v>
      </c>
      <c r="H31" s="57" t="s">
        <v>356</v>
      </c>
      <c r="I31" s="57" t="s">
        <v>363</v>
      </c>
      <c r="J31" s="57" t="s">
        <v>364</v>
      </c>
      <c r="K31" s="67" t="s">
        <v>365</v>
      </c>
      <c r="L31" s="67" t="s">
        <v>360</v>
      </c>
      <c r="M31" s="67"/>
      <c r="N31" s="67" t="s">
        <v>361</v>
      </c>
      <c r="O31" s="67"/>
      <c r="P31" s="57" t="s">
        <v>184</v>
      </c>
      <c r="Q31" s="59" t="n">
        <f aca="false">ROUND((Flights!$AC$6)*1440,0)/1440</f>
        <v>46297.5763888889</v>
      </c>
      <c r="R31" s="59" t="n">
        <f aca="false">Q31+(IF(AND(INDEX(TZ_DSTS,MATCH(P31,TZ_STN,0))&lt;&gt;"",Q31&gt;=INDEX(TZ_DSTS,MATCH(P31,TZ_STN,0)),Q31&lt;INDEX(TZ_DSTE,MATCH(P31,TZ_STN,0))),INDEX(TZ_DST,MATCH(P31,TZ_STN,0)),INDEX(TZ_STD,MATCH(P31,TZ_STN,0))))/24</f>
        <v>46297.9097222222</v>
      </c>
      <c r="S31" s="59" t="n">
        <f aca="false">Q31-T7EarlyD*24/24</f>
        <v>46283.5763888889</v>
      </c>
      <c r="T31" s="60"/>
      <c r="U31" s="60"/>
      <c r="V31" s="60"/>
      <c r="W31" s="61"/>
      <c r="X31" s="60"/>
      <c r="Y31" s="60"/>
      <c r="Z31" s="60"/>
      <c r="AA31" s="60"/>
      <c r="AB31" s="60"/>
      <c r="AC31" s="60"/>
      <c r="AD31" s="66"/>
      <c r="AE31" s="60"/>
      <c r="AF31" s="61" t="str">
        <f aca="false">IF(AND(ISNUMBER(X31),ISNUMBER(Y31)),Y31-X31,"")</f>
        <v/>
      </c>
      <c r="AG31" s="62" t="str">
        <f aca="false">IF(ISNUMBER(AD31),AD31-(IF(AND(INDEX(TZ_DSTS,MATCH(P31,TZ_STN,0))&lt;&gt;"",(AD31-INDEX(TZ_STD,MATCH(P31,TZ_STN,0))/24)&gt;=INDEX(TZ_DSTS,MATCH(P31,TZ_STN,0)),(AD31-INDEX(TZ_STD,MATCH(P31,TZ_STN,0))/24)&lt;INDEX(TZ_DSTE,MATCH(P31,TZ_STN,0))),INDEX(TZ_DST,MATCH(P31,TZ_STN,0)),INDEX(TZ_STD,MATCH(P31,TZ_STN,0))))/24,"")</f>
        <v/>
      </c>
      <c r="AH31" s="65" t="str">
        <f aca="false">IFERROR(IF(N31="N/A – rule","N/A – RULE",IF(TRIM(U31)="N/A",IF(AT31=0,"INVALID – N/A not permitted for this check",IF(AND(TRIM(AB31)&lt;&gt;"",TRIM(AB31)&lt;&gt;"Closed"),"INVALID – corrective action still open",IF(AND(NOT(OR(LEN(AZ31)&lt;15,ISNUMBER(MATCH(AZ31,L_Placeholder,0)))),NOT(OR(LEN(AU31)&lt;2,ISNUMBER(MATCH(AU31,L_Placeholder,0)))),NOT(OR(LEN(AX31)&lt;2,ISNUMBER(MATCH(AX31,L_Placeholder,0)))),TRIM(AE31)&lt;&gt;TRIM(T31)),"N/A – JUSTIFIED","INVALID – N/A needs a real justification (15+ chars), PIC and a different verifier"))),IF(OR(TRIM(U31)="Pass",TRIM(U31)="Pass after CA"),IF(NOT(ISNUMBER(AD31)),"INVALID – completion time missing",IF(OR(LEN(AU31)&lt;2,ISNUMBER(MATCH(AU31,L_Placeholder,0))),"INVALID – PIC missing",IF(OR(LEN(AV31)&lt;2,ISNUMBER(MATCH(AV31,L_Placeholder,0))),"INVALID – result / assessment missing",IF(OR(OR(LEN(AW31)&lt;3,ISNUMBER(MATCH(AW31,L_Placeholder,0))),SUMPRODUCT(--ISNUMBER(SEARCH(L_EvidencePhrase,AW31)))&gt;0),"INVALID – evidence missing, placeholder or not yet on file",IF(OR(LEN(AX31)&lt;2,ISNUMBER(MATCH(AX31,L_Placeholder,0))),"INVALID – verifier missing",IF(AX31=AU31,"INVALID – verifier must be someone other than the PIC",IF(AND(TRIM(U31)="Pass",SUMPRODUCT(--ISNUMBER(SEARCH(L_ResultBad,AV31)))&gt;0),"INVALID – result describes a problem: use Fail, then Pass after CA",IF(AND(AQ31=1,OR(LEN(AY31)&lt;3,ISNUMBER(MATCH(AY31,L_Placeholder,0)))),"INVALID – batch ID missing or placeholder",IF(AND(AR31=1,OR(NOT(ISNUMBER(X31)),NOT(ISNUMBER(Y31)))),"INVALID – expected/actual qty missing",IF(AND(AR31=1,OR(X31&lt;=0,Y31&lt;0)),"INVALID – expected qty must be above 0 and actual not negative",IF(BB31&lt;&gt;"",BB31,IF(AND(AS31=1,Documents!$J$6&lt;&gt;"ON FILE"),"INVALID – GLD not on file (Documents sheet)",IF(AND(AS31=2,Documents!$O$6&lt;&gt;"ON FILE"),"INVALID – menu checklist not on file (Documents sheet)",IF(AND(AS31=3,NOT(ISNUMBER(Flights!$AX$6))),"INVALID – enter carrying flight KUL departure (Flights AX)",IF(AND(AS31=3,OR(Flights!$AZ$6&gt;Flights!$AA$6,Flights!$AX$6&lt;Flights!$AA$6-3)),"INVALID – carrying flight (Flights AX) cannot arrive before this leg's STD, or is over 3 days early",IF(AG31&gt;AsOfUTC,"INVALID – completion time is in the future",IF(AND(ISNUMBER(S31),AG31&lt;S31),IF(H31="Physical uplift","INVALID – before uplift window (cannot confirm loading)","INVALID – before valid window"),IF(AG31&gt;Flights!$AA$6,"INVALID – completed after departure (cannot establish readiness)",IF(AND(H31="Preparation",AG31&gt;IF(ISNUMBER(Flights!$BA$6),MIN(Flights!$BA$6,Flights!$AA$6),Flights!$AA$6)),"INVALID – completed after loading / departure (cannot establish readiness)",IF(AND(H31="Physical uplift",AG31&gt;Q31),"INVALID – recorded after the loading flight departed",IF(AG31&gt;Q31,"COMPLETE – LATE","COMPLETE"))))))))))))))))))))),IF(TRIM(U31)="Fail","FAIL – DISCREPANCY",IF(AND(TRIM(U31)&lt;&gt;"",TRIM(U31)&lt;&gt;"Not started",TRIM(U31)&lt;&gt;"In progress"),"INVALID – unrecognised status (use the list)",IF(AsOfUTC&gt;Q31,"OVERDUE",IF(N31="Clarification required","OPEN – CLARIFICATION","OPEN"))))))),"INVALID – error value in an input cell")</f>
        <v>OPEN</v>
      </c>
      <c r="AI31" s="61" t="n">
        <f aca="false">IF(OR(AH31="N/A – RULE",AH31="N/A – JUSTIFIED"),0,1)</f>
        <v>1</v>
      </c>
      <c r="AJ31" s="61" t="n">
        <f aca="false">IF(LEFT(AH31,8)="COMPLETE",1,0)</f>
        <v>0</v>
      </c>
      <c r="AK31" s="61" t="n">
        <f aca="false">IF(AND(AI31=1,AJ31=0,AsOfUTC&gt;Q31),1,0)</f>
        <v>0</v>
      </c>
      <c r="AL31" s="61" t="n">
        <f aca="false">IFERROR(IF(AND(AI31=1,OR(TRIM(U31)="Fail",AND(TRIM(AB31)&lt;&gt;"",TRIM(AB31)&lt;&gt;"Closed"),AND(ISNUMBER(AF31),AF31&lt;&gt;0,TRIM(U31)&lt;&gt;"Pass after CA"))),1,0),1)</f>
        <v>0</v>
      </c>
      <c r="AM31" s="61" t="n">
        <f aca="false">IF(LEFT(AH31,7)="INVALID",1,0)</f>
        <v>0</v>
      </c>
      <c r="AN31" s="61" t="n">
        <f aca="false">IF(AND(N31="Clarification required",AI31=1,AJ31=0),1,0)</f>
        <v>0</v>
      </c>
      <c r="AO31" s="61" t="str">
        <f aca="false">IF(AK31=1,SUM(AK$5:AK31),"")</f>
        <v/>
      </c>
      <c r="AP31" s="61" t="str">
        <f aca="false">IF(AL31=1,SUM(AL$5:AL31),"")</f>
        <v/>
      </c>
      <c r="AQ31" s="61" t="n">
        <v>0</v>
      </c>
      <c r="AR31" s="61" t="n">
        <v>0</v>
      </c>
      <c r="AS31" s="61" t="n">
        <v>0</v>
      </c>
      <c r="AT31" s="61" t="n">
        <v>0</v>
      </c>
      <c r="AU31" s="61" t="str">
        <f aca="false">SUBSTITUTE(SUBSTITUTE(SUBSTITUTE(SUBSTITUTE(SUBSTITUTE(SUBSTITUTE(SUBSTITUTE(SUBSTITUTE(SUBSTITUTE(SUBSTITUTE(SUBSTITUTE(SUBSTITUTE(SUBSTITUTE(LOWER(T31&amp;""),CHAR(160),"")," ",""),".",""),"-",""),"/",""),"?",""),"_",""),",",""),"[",""),"]",""),"(",""),")",""),"*","")</f>
        <v/>
      </c>
      <c r="AV31" s="61" t="str">
        <f aca="false">SUBSTITUTE(SUBSTITUTE(SUBSTITUTE(SUBSTITUTE(SUBSTITUTE(SUBSTITUTE(SUBSTITUTE(SUBSTITUTE(SUBSTITUTE(SUBSTITUTE(SUBSTITUTE(SUBSTITUTE(SUBSTITUTE(LOWER(V31&amp;""),CHAR(160),"")," ",""),".",""),"-",""),"/",""),"?",""),"_",""),",",""),"[",""),"]",""),"(",""),")",""),"*","")</f>
        <v/>
      </c>
      <c r="AW31" s="61" t="str">
        <f aca="false">SUBSTITUTE(SUBSTITUTE(SUBSTITUTE(SUBSTITUTE(SUBSTITUTE(SUBSTITUTE(SUBSTITUTE(SUBSTITUTE(SUBSTITUTE(SUBSTITUTE(SUBSTITUTE(SUBSTITUTE(SUBSTITUTE(LOWER(Z31&amp;""),CHAR(160),"")," ",""),".",""),"-",""),"/",""),"?",""),"_",""),",",""),"[",""),"]",""),"(",""),")",""),"*","")</f>
        <v/>
      </c>
      <c r="AX31" s="61" t="str">
        <f aca="false">SUBSTITUTE(SUBSTITUTE(SUBSTITUTE(SUBSTITUTE(SUBSTITUTE(SUBSTITUTE(SUBSTITUTE(SUBSTITUTE(SUBSTITUTE(SUBSTITUTE(SUBSTITUTE(SUBSTITUTE(SUBSTITUTE(LOWER(AE31&amp;""),CHAR(160),"")," ",""),".",""),"-",""),"/",""),"?",""),"_",""),",",""),"[",""),"]",""),"(",""),")",""),"*","")</f>
        <v/>
      </c>
      <c r="AY31" s="61" t="str">
        <f aca="false">SUBSTITUTE(SUBSTITUTE(SUBSTITUTE(SUBSTITUTE(SUBSTITUTE(SUBSTITUTE(SUBSTITUTE(SUBSTITUTE(SUBSTITUTE(SUBSTITUTE(SUBSTITUTE(SUBSTITUTE(SUBSTITUTE(LOWER(W31&amp;""),CHAR(160),"")," ",""),".",""),"-",""),"/",""),"?",""),"_",""),",",""),"[",""),"]",""),"(",""),")",""),"*","")</f>
        <v/>
      </c>
      <c r="AZ31" s="61" t="str">
        <f aca="false">SUBSTITUTE(SUBSTITUTE(SUBSTITUTE(SUBSTITUTE(SUBSTITUTE(SUBSTITUTE(SUBSTITUTE(SUBSTITUTE(SUBSTITUTE(SUBSTITUTE(SUBSTITUTE(SUBSTITUTE(SUBSTITUTE(LOWER(AC31&amp;""),CHAR(160),"")," ",""),".",""),"-",""),"/",""),"?",""),"_",""),",",""),"[",""),"]",""),"(",""),")",""),"*","")</f>
        <v/>
      </c>
      <c r="BA31" s="61" t="str">
        <f aca="false">SUBSTITUTE(SUBSTITUTE(SUBSTITUTE(SUBSTITUTE(SUBSTITUTE(SUBSTITUTE(SUBSTITUTE(SUBSTITUTE(SUBSTITUTE(SUBSTITUTE(SUBSTITUTE(SUBSTITUTE(SUBSTITUTE(LOWER(AA31&amp;""),CHAR(160),"")," ",""),".",""),"-",""),"/",""),"?",""),"_",""),",",""),"[",""),"]",""),"(",""),")",""),"*","")</f>
        <v/>
      </c>
      <c r="BB31" s="61" t="str">
        <f aca="false">IF(AND(TRIM(U31)="Pass",ISNUMBER(AF31)),IF(AF31&lt;&gt;0,"INVALID – qty variance: use Fail or Pass after CA",""),"")&amp;IF(AND(TRIM(U31)="Pass after CA",ISNUMBER(AF31)),IF(AF31&lt;&gt;0,"INVALID – after the corrective action the actual qty must equal expected (update Actual)",""),"")&amp;IF(AND(TRIM(U31)="Pass",TRIM(AB31)&lt;&gt;"",TRIM(AB31)&lt;&gt;"Closed"),"INVALID – corrective action not closed: use Fail, then Pass after CA","")&amp;IF(AND(TRIM(AA31)&lt;&gt;"",TRIM(AB31)=""),"INVALID – CA status missing for the recorded corrective action","")&amp;IF(AND(TRIM(U31)="Pass after CA",OR(OR(LEN(BA31)&lt;5,ISNUMBER(MATCH(BA31,L_Placeholder,0))),TRIM(AB31)&lt;&gt;"Closed")),"INVALID – corrective action not recorded/closed","")</f>
        <v/>
      </c>
    </row>
    <row r="32" customFormat="false" ht="41.25" hidden="false" customHeight="true" outlineLevel="0" collapsed="false">
      <c r="A32" s="57" t="s">
        <v>453</v>
      </c>
      <c r="B32" s="57" t="s">
        <v>195</v>
      </c>
      <c r="C32" s="57" t="str">
        <f aca="false">Flights!$F$6</f>
        <v>MH0727</v>
      </c>
      <c r="D32" s="58" t="n">
        <f aca="false">Flights!$D$6</f>
        <v>46304</v>
      </c>
      <c r="E32" s="57" t="str">
        <f aca="false">Flights!$G$6&amp;"-"&amp;Flights!$H$6</f>
        <v>KUL-CGK</v>
      </c>
      <c r="F32" s="57" t="str">
        <f aca="false">Flights!$K$6</f>
        <v>BC</v>
      </c>
      <c r="G32" s="57" t="s">
        <v>79</v>
      </c>
      <c r="H32" s="57" t="s">
        <v>356</v>
      </c>
      <c r="I32" s="57" t="s">
        <v>367</v>
      </c>
      <c r="J32" s="57" t="s">
        <v>368</v>
      </c>
      <c r="K32" s="67" t="s">
        <v>369</v>
      </c>
      <c r="L32" s="67" t="s">
        <v>360</v>
      </c>
      <c r="M32" s="67"/>
      <c r="N32" s="67" t="str">
        <f aca="false">IF(TRIM(Flights!$L$6)="A339","Required","N/A – rule")</f>
        <v>N/A – rule</v>
      </c>
      <c r="O32" s="67" t="s">
        <v>370</v>
      </c>
      <c r="P32" s="57" t="s">
        <v>184</v>
      </c>
      <c r="Q32" s="59" t="n">
        <f aca="false">ROUND((Flights!$AC$6)*1440,0)/1440</f>
        <v>46297.5763888889</v>
      </c>
      <c r="R32" s="59" t="n">
        <f aca="false">Q32+(IF(AND(INDEX(TZ_DSTS,MATCH(P32,TZ_STN,0))&lt;&gt;"",Q32&gt;=INDEX(TZ_DSTS,MATCH(P32,TZ_STN,0)),Q32&lt;INDEX(TZ_DSTE,MATCH(P32,TZ_STN,0))),INDEX(TZ_DST,MATCH(P32,TZ_STN,0)),INDEX(TZ_STD,MATCH(P32,TZ_STN,0))))/24</f>
        <v>46297.9097222222</v>
      </c>
      <c r="S32" s="59" t="n">
        <f aca="false">Q32-T7EarlyD*24/24</f>
        <v>46283.5763888889</v>
      </c>
      <c r="T32" s="60"/>
      <c r="U32" s="60"/>
      <c r="V32" s="60"/>
      <c r="W32" s="61"/>
      <c r="X32" s="60"/>
      <c r="Y32" s="60"/>
      <c r="Z32" s="60"/>
      <c r="AA32" s="60"/>
      <c r="AB32" s="60"/>
      <c r="AC32" s="60"/>
      <c r="AD32" s="66"/>
      <c r="AE32" s="60"/>
      <c r="AF32" s="61" t="str">
        <f aca="false">IF(AND(ISNUMBER(X32),ISNUMBER(Y32)),Y32-X32,"")</f>
        <v/>
      </c>
      <c r="AG32" s="62" t="str">
        <f aca="false">IF(ISNUMBER(AD32),AD32-(IF(AND(INDEX(TZ_DSTS,MATCH(P32,TZ_STN,0))&lt;&gt;"",(AD32-INDEX(TZ_STD,MATCH(P32,TZ_STN,0))/24)&gt;=INDEX(TZ_DSTS,MATCH(P32,TZ_STN,0)),(AD32-INDEX(TZ_STD,MATCH(P32,TZ_STN,0))/24)&lt;INDEX(TZ_DSTE,MATCH(P32,TZ_STN,0))),INDEX(TZ_DST,MATCH(P32,TZ_STN,0)),INDEX(TZ_STD,MATCH(P32,TZ_STN,0))))/24,"")</f>
        <v/>
      </c>
      <c r="AH32" s="65" t="str">
        <f aca="false">IFERROR(IF(N32="N/A – rule","N/A – RULE",IF(TRIM(U32)="N/A",IF(AT32=0,"INVALID – N/A not permitted for this check",IF(AND(TRIM(AB32)&lt;&gt;"",TRIM(AB32)&lt;&gt;"Closed"),"INVALID – corrective action still open",IF(AND(NOT(OR(LEN(AZ32)&lt;15,ISNUMBER(MATCH(AZ32,L_Placeholder,0)))),NOT(OR(LEN(AU32)&lt;2,ISNUMBER(MATCH(AU32,L_Placeholder,0)))),NOT(OR(LEN(AX32)&lt;2,ISNUMBER(MATCH(AX32,L_Placeholder,0)))),TRIM(AE32)&lt;&gt;TRIM(T32)),"N/A – JUSTIFIED","INVALID – N/A needs a real justification (15+ chars), PIC and a different verifier"))),IF(OR(TRIM(U32)="Pass",TRIM(U32)="Pass after CA"),IF(NOT(ISNUMBER(AD32)),"INVALID – completion time missing",IF(OR(LEN(AU32)&lt;2,ISNUMBER(MATCH(AU32,L_Placeholder,0))),"INVALID – PIC missing",IF(OR(LEN(AV32)&lt;2,ISNUMBER(MATCH(AV32,L_Placeholder,0))),"INVALID – result / assessment missing",IF(OR(OR(LEN(AW32)&lt;3,ISNUMBER(MATCH(AW32,L_Placeholder,0))),SUMPRODUCT(--ISNUMBER(SEARCH(L_EvidencePhrase,AW32)))&gt;0),"INVALID – evidence missing, placeholder or not yet on file",IF(OR(LEN(AX32)&lt;2,ISNUMBER(MATCH(AX32,L_Placeholder,0))),"INVALID – verifier missing",IF(AX32=AU32,"INVALID – verifier must be someone other than the PIC",IF(AND(TRIM(U32)="Pass",SUMPRODUCT(--ISNUMBER(SEARCH(L_ResultBad,AV32)))&gt;0),"INVALID – result describes a problem: use Fail, then Pass after CA",IF(AND(AQ32=1,OR(LEN(AY32)&lt;3,ISNUMBER(MATCH(AY32,L_Placeholder,0)))),"INVALID – batch ID missing or placeholder",IF(AND(AR32=1,OR(NOT(ISNUMBER(X32)),NOT(ISNUMBER(Y32)))),"INVALID – expected/actual qty missing",IF(AND(AR32=1,OR(X32&lt;=0,Y32&lt;0)),"INVALID – expected qty must be above 0 and actual not negative",IF(BB32&lt;&gt;"",BB32,IF(AND(AS32=1,Documents!$J$6&lt;&gt;"ON FILE"),"INVALID – GLD not on file (Documents sheet)",IF(AND(AS32=2,Documents!$O$6&lt;&gt;"ON FILE"),"INVALID – menu checklist not on file (Documents sheet)",IF(AND(AS32=3,NOT(ISNUMBER(Flights!$AX$6))),"INVALID – enter carrying flight KUL departure (Flights AX)",IF(AND(AS32=3,OR(Flights!$AZ$6&gt;Flights!$AA$6,Flights!$AX$6&lt;Flights!$AA$6-3)),"INVALID – carrying flight (Flights AX) cannot arrive before this leg's STD, or is over 3 days early",IF(AG32&gt;AsOfUTC,"INVALID – completion time is in the future",IF(AND(ISNUMBER(S32),AG32&lt;S32),IF(H32="Physical uplift","INVALID – before uplift window (cannot confirm loading)","INVALID – before valid window"),IF(AG32&gt;Flights!$AA$6,"INVALID – completed after departure (cannot establish readiness)",IF(AND(H32="Preparation",AG32&gt;IF(ISNUMBER(Flights!$BA$6),MIN(Flights!$BA$6,Flights!$AA$6),Flights!$AA$6)),"INVALID – completed after loading / departure (cannot establish readiness)",IF(AND(H32="Physical uplift",AG32&gt;Q32),"INVALID – recorded after the loading flight departed",IF(AG32&gt;Q32,"COMPLETE – LATE","COMPLETE"))))))))))))))))))))),IF(TRIM(U32)="Fail","FAIL – DISCREPANCY",IF(AND(TRIM(U32)&lt;&gt;"",TRIM(U32)&lt;&gt;"Not started",TRIM(U32)&lt;&gt;"In progress"),"INVALID – unrecognised status (use the list)",IF(AsOfUTC&gt;Q32,"OVERDUE",IF(N32="Clarification required","OPEN – CLARIFICATION","OPEN"))))))),"INVALID – error value in an input cell")</f>
        <v>N/A – RULE</v>
      </c>
      <c r="AI32" s="61" t="n">
        <f aca="false">IF(OR(AH32="N/A – RULE",AH32="N/A – JUSTIFIED"),0,1)</f>
        <v>0</v>
      </c>
      <c r="AJ32" s="61" t="n">
        <f aca="false">IF(LEFT(AH32,8)="COMPLETE",1,0)</f>
        <v>0</v>
      </c>
      <c r="AK32" s="61" t="n">
        <f aca="false">IF(AND(AI32=1,AJ32=0,AsOfUTC&gt;Q32),1,0)</f>
        <v>0</v>
      </c>
      <c r="AL32" s="61" t="n">
        <f aca="false">IFERROR(IF(AND(AI32=1,OR(TRIM(U32)="Fail",AND(TRIM(AB32)&lt;&gt;"",TRIM(AB32)&lt;&gt;"Closed"),AND(ISNUMBER(AF32),AF32&lt;&gt;0,TRIM(U32)&lt;&gt;"Pass after CA"))),1,0),1)</f>
        <v>0</v>
      </c>
      <c r="AM32" s="61" t="n">
        <f aca="false">IF(LEFT(AH32,7)="INVALID",1,0)</f>
        <v>0</v>
      </c>
      <c r="AN32" s="61" t="n">
        <f aca="false">IF(AND(N32="Clarification required",AI32=1,AJ32=0),1,0)</f>
        <v>0</v>
      </c>
      <c r="AO32" s="61" t="str">
        <f aca="false">IF(AK32=1,SUM(AK$5:AK32),"")</f>
        <v/>
      </c>
      <c r="AP32" s="61" t="str">
        <f aca="false">IF(AL32=1,SUM(AL$5:AL32),"")</f>
        <v/>
      </c>
      <c r="AQ32" s="61" t="n">
        <v>0</v>
      </c>
      <c r="AR32" s="61" t="n">
        <v>0</v>
      </c>
      <c r="AS32" s="61" t="n">
        <v>0</v>
      </c>
      <c r="AT32" s="61" t="n">
        <v>0</v>
      </c>
      <c r="AU32" s="61" t="str">
        <f aca="false">SUBSTITUTE(SUBSTITUTE(SUBSTITUTE(SUBSTITUTE(SUBSTITUTE(SUBSTITUTE(SUBSTITUTE(SUBSTITUTE(SUBSTITUTE(SUBSTITUTE(SUBSTITUTE(SUBSTITUTE(SUBSTITUTE(LOWER(T32&amp;""),CHAR(160),"")," ",""),".",""),"-",""),"/",""),"?",""),"_",""),",",""),"[",""),"]",""),"(",""),")",""),"*","")</f>
        <v/>
      </c>
      <c r="AV32" s="61" t="str">
        <f aca="false">SUBSTITUTE(SUBSTITUTE(SUBSTITUTE(SUBSTITUTE(SUBSTITUTE(SUBSTITUTE(SUBSTITUTE(SUBSTITUTE(SUBSTITUTE(SUBSTITUTE(SUBSTITUTE(SUBSTITUTE(SUBSTITUTE(LOWER(V32&amp;""),CHAR(160),"")," ",""),".",""),"-",""),"/",""),"?",""),"_",""),",",""),"[",""),"]",""),"(",""),")",""),"*","")</f>
        <v/>
      </c>
      <c r="AW32" s="61" t="str">
        <f aca="false">SUBSTITUTE(SUBSTITUTE(SUBSTITUTE(SUBSTITUTE(SUBSTITUTE(SUBSTITUTE(SUBSTITUTE(SUBSTITUTE(SUBSTITUTE(SUBSTITUTE(SUBSTITUTE(SUBSTITUTE(SUBSTITUTE(LOWER(Z32&amp;""),CHAR(160),"")," ",""),".",""),"-",""),"/",""),"?",""),"_",""),",",""),"[",""),"]",""),"(",""),")",""),"*","")</f>
        <v/>
      </c>
      <c r="AX32" s="61" t="str">
        <f aca="false">SUBSTITUTE(SUBSTITUTE(SUBSTITUTE(SUBSTITUTE(SUBSTITUTE(SUBSTITUTE(SUBSTITUTE(SUBSTITUTE(SUBSTITUTE(SUBSTITUTE(SUBSTITUTE(SUBSTITUTE(SUBSTITUTE(LOWER(AE32&amp;""),CHAR(160),"")," ",""),".",""),"-",""),"/",""),"?",""),"_",""),",",""),"[",""),"]",""),"(",""),")",""),"*","")</f>
        <v/>
      </c>
      <c r="AY32" s="61" t="str">
        <f aca="false">SUBSTITUTE(SUBSTITUTE(SUBSTITUTE(SUBSTITUTE(SUBSTITUTE(SUBSTITUTE(SUBSTITUTE(SUBSTITUTE(SUBSTITUTE(SUBSTITUTE(SUBSTITUTE(SUBSTITUTE(SUBSTITUTE(LOWER(W32&amp;""),CHAR(160),"")," ",""),".",""),"-",""),"/",""),"?",""),"_",""),",",""),"[",""),"]",""),"(",""),")",""),"*","")</f>
        <v/>
      </c>
      <c r="AZ32" s="61" t="str">
        <f aca="false">SUBSTITUTE(SUBSTITUTE(SUBSTITUTE(SUBSTITUTE(SUBSTITUTE(SUBSTITUTE(SUBSTITUTE(SUBSTITUTE(SUBSTITUTE(SUBSTITUTE(SUBSTITUTE(SUBSTITUTE(SUBSTITUTE(LOWER(AC32&amp;""),CHAR(160),"")," ",""),".",""),"-",""),"/",""),"?",""),"_",""),",",""),"[",""),"]",""),"(",""),")",""),"*","")</f>
        <v/>
      </c>
      <c r="BA32" s="61" t="str">
        <f aca="false">SUBSTITUTE(SUBSTITUTE(SUBSTITUTE(SUBSTITUTE(SUBSTITUTE(SUBSTITUTE(SUBSTITUTE(SUBSTITUTE(SUBSTITUTE(SUBSTITUTE(SUBSTITUTE(SUBSTITUTE(SUBSTITUTE(LOWER(AA32&amp;""),CHAR(160),"")," ",""),".",""),"-",""),"/",""),"?",""),"_",""),",",""),"[",""),"]",""),"(",""),")",""),"*","")</f>
        <v/>
      </c>
      <c r="BB32" s="61" t="str">
        <f aca="false">IF(AND(TRIM(U32)="Pass",ISNUMBER(AF32)),IF(AF32&lt;&gt;0,"INVALID – qty variance: use Fail or Pass after CA",""),"")&amp;IF(AND(TRIM(U32)="Pass after CA",ISNUMBER(AF32)),IF(AF32&lt;&gt;0,"INVALID – after the corrective action the actual qty must equal expected (update Actual)",""),"")&amp;IF(AND(TRIM(U32)="Pass",TRIM(AB32)&lt;&gt;"",TRIM(AB32)&lt;&gt;"Closed"),"INVALID – corrective action not closed: use Fail, then Pass after CA","")&amp;IF(AND(TRIM(AA32)&lt;&gt;"",TRIM(AB32)=""),"INVALID – CA status missing for the recorded corrective action","")&amp;IF(AND(TRIM(U32)="Pass after CA",OR(OR(LEN(BA32)&lt;5,ISNUMBER(MATCH(BA32,L_Placeholder,0))),TRIM(AB32)&lt;&gt;"Closed")),"INVALID – corrective action not recorded/closed","")</f>
        <v/>
      </c>
    </row>
    <row r="33" customFormat="false" ht="39.75" hidden="false" customHeight="true" outlineLevel="0" collapsed="false">
      <c r="A33" s="57" t="s">
        <v>454</v>
      </c>
      <c r="B33" s="57" t="s">
        <v>195</v>
      </c>
      <c r="C33" s="57" t="str">
        <f aca="false">Flights!$F$6</f>
        <v>MH0727</v>
      </c>
      <c r="D33" s="58" t="n">
        <f aca="false">Flights!$D$6</f>
        <v>46304</v>
      </c>
      <c r="E33" s="57" t="str">
        <f aca="false">Flights!$G$6&amp;"-"&amp;Flights!$H$6</f>
        <v>KUL-CGK</v>
      </c>
      <c r="F33" s="57" t="str">
        <f aca="false">Flights!$K$6</f>
        <v>BC</v>
      </c>
      <c r="G33" s="57" t="s">
        <v>79</v>
      </c>
      <c r="H33" s="57" t="s">
        <v>356</v>
      </c>
      <c r="I33" s="57" t="s">
        <v>372</v>
      </c>
      <c r="J33" s="57" t="s">
        <v>373</v>
      </c>
      <c r="K33" s="67" t="s">
        <v>374</v>
      </c>
      <c r="L33" s="67" t="s">
        <v>360</v>
      </c>
      <c r="M33" s="67"/>
      <c r="N33" s="67" t="s">
        <v>361</v>
      </c>
      <c r="O33" s="67"/>
      <c r="P33" s="57" t="s">
        <v>184</v>
      </c>
      <c r="Q33" s="59" t="n">
        <f aca="false">ROUND((Flights!$AC$6)*1440,0)/1440</f>
        <v>46297.5763888889</v>
      </c>
      <c r="R33" s="59" t="n">
        <f aca="false">Q33+(IF(AND(INDEX(TZ_DSTS,MATCH(P33,TZ_STN,0))&lt;&gt;"",Q33&gt;=INDEX(TZ_DSTS,MATCH(P33,TZ_STN,0)),Q33&lt;INDEX(TZ_DSTE,MATCH(P33,TZ_STN,0))),INDEX(TZ_DST,MATCH(P33,TZ_STN,0)),INDEX(TZ_STD,MATCH(P33,TZ_STN,0))))/24</f>
        <v>46297.9097222222</v>
      </c>
      <c r="S33" s="59" t="n">
        <f aca="false">Q33-T7EarlyD*24/24</f>
        <v>46283.5763888889</v>
      </c>
      <c r="T33" s="60"/>
      <c r="U33" s="60"/>
      <c r="V33" s="60"/>
      <c r="W33" s="61"/>
      <c r="X33" s="60"/>
      <c r="Y33" s="60"/>
      <c r="Z33" s="60"/>
      <c r="AA33" s="60"/>
      <c r="AB33" s="60"/>
      <c r="AC33" s="60"/>
      <c r="AD33" s="66"/>
      <c r="AE33" s="60"/>
      <c r="AF33" s="61" t="str">
        <f aca="false">IF(AND(ISNUMBER(X33),ISNUMBER(Y33)),Y33-X33,"")</f>
        <v/>
      </c>
      <c r="AG33" s="62" t="str">
        <f aca="false">IF(ISNUMBER(AD33),AD33-(IF(AND(INDEX(TZ_DSTS,MATCH(P33,TZ_STN,0))&lt;&gt;"",(AD33-INDEX(TZ_STD,MATCH(P33,TZ_STN,0))/24)&gt;=INDEX(TZ_DSTS,MATCH(P33,TZ_STN,0)),(AD33-INDEX(TZ_STD,MATCH(P33,TZ_STN,0))/24)&lt;INDEX(TZ_DSTE,MATCH(P33,TZ_STN,0))),INDEX(TZ_DST,MATCH(P33,TZ_STN,0)),INDEX(TZ_STD,MATCH(P33,TZ_STN,0))))/24,"")</f>
        <v/>
      </c>
      <c r="AH33" s="65" t="str">
        <f aca="false">IFERROR(IF(N33="N/A – rule","N/A – RULE",IF(TRIM(U33)="N/A",IF(AT33=0,"INVALID – N/A not permitted for this check",IF(AND(TRIM(AB33)&lt;&gt;"",TRIM(AB33)&lt;&gt;"Closed"),"INVALID – corrective action still open",IF(AND(NOT(OR(LEN(AZ33)&lt;15,ISNUMBER(MATCH(AZ33,L_Placeholder,0)))),NOT(OR(LEN(AU33)&lt;2,ISNUMBER(MATCH(AU33,L_Placeholder,0)))),NOT(OR(LEN(AX33)&lt;2,ISNUMBER(MATCH(AX33,L_Placeholder,0)))),TRIM(AE33)&lt;&gt;TRIM(T33)),"N/A – JUSTIFIED","INVALID – N/A needs a real justification (15+ chars), PIC and a different verifier"))),IF(OR(TRIM(U33)="Pass",TRIM(U33)="Pass after CA"),IF(NOT(ISNUMBER(AD33)),"INVALID – completion time missing",IF(OR(LEN(AU33)&lt;2,ISNUMBER(MATCH(AU33,L_Placeholder,0))),"INVALID – PIC missing",IF(OR(LEN(AV33)&lt;2,ISNUMBER(MATCH(AV33,L_Placeholder,0))),"INVALID – result / assessment missing",IF(OR(OR(LEN(AW33)&lt;3,ISNUMBER(MATCH(AW33,L_Placeholder,0))),SUMPRODUCT(--ISNUMBER(SEARCH(L_EvidencePhrase,AW33)))&gt;0),"INVALID – evidence missing, placeholder or not yet on file",IF(OR(LEN(AX33)&lt;2,ISNUMBER(MATCH(AX33,L_Placeholder,0))),"INVALID – verifier missing",IF(AX33=AU33,"INVALID – verifier must be someone other than the PIC",IF(AND(TRIM(U33)="Pass",SUMPRODUCT(--ISNUMBER(SEARCH(L_ResultBad,AV33)))&gt;0),"INVALID – result describes a problem: use Fail, then Pass after CA",IF(AND(AQ33=1,OR(LEN(AY33)&lt;3,ISNUMBER(MATCH(AY33,L_Placeholder,0)))),"INVALID – batch ID missing or placeholder",IF(AND(AR33=1,OR(NOT(ISNUMBER(X33)),NOT(ISNUMBER(Y33)))),"INVALID – expected/actual qty missing",IF(AND(AR33=1,OR(X33&lt;=0,Y33&lt;0)),"INVALID – expected qty must be above 0 and actual not negative",IF(BB33&lt;&gt;"",BB33,IF(AND(AS33=1,Documents!$J$6&lt;&gt;"ON FILE"),"INVALID – GLD not on file (Documents sheet)",IF(AND(AS33=2,Documents!$O$6&lt;&gt;"ON FILE"),"INVALID – menu checklist not on file (Documents sheet)",IF(AND(AS33=3,NOT(ISNUMBER(Flights!$AX$6))),"INVALID – enter carrying flight KUL departure (Flights AX)",IF(AND(AS33=3,OR(Flights!$AZ$6&gt;Flights!$AA$6,Flights!$AX$6&lt;Flights!$AA$6-3)),"INVALID – carrying flight (Flights AX) cannot arrive before this leg's STD, or is over 3 days early",IF(AG33&gt;AsOfUTC,"INVALID – completion time is in the future",IF(AND(ISNUMBER(S33),AG33&lt;S33),IF(H33="Physical uplift","INVALID – before uplift window (cannot confirm loading)","INVALID – before valid window"),IF(AG33&gt;Flights!$AA$6,"INVALID – completed after departure (cannot establish readiness)",IF(AND(H33="Preparation",AG33&gt;IF(ISNUMBER(Flights!$BA$6),MIN(Flights!$BA$6,Flights!$AA$6),Flights!$AA$6)),"INVALID – completed after loading / departure (cannot establish readiness)",IF(AND(H33="Physical uplift",AG33&gt;Q33),"INVALID – recorded after the loading flight departed",IF(AG33&gt;Q33,"COMPLETE – LATE","COMPLETE"))))))))))))))))))))),IF(TRIM(U33)="Fail","FAIL – DISCREPANCY",IF(AND(TRIM(U33)&lt;&gt;"",TRIM(U33)&lt;&gt;"Not started",TRIM(U33)&lt;&gt;"In progress"),"INVALID – unrecognised status (use the list)",IF(AsOfUTC&gt;Q33,"OVERDUE",IF(N33="Clarification required","OPEN – CLARIFICATION","OPEN"))))))),"INVALID – error value in an input cell")</f>
        <v>OPEN</v>
      </c>
      <c r="AI33" s="61" t="n">
        <f aca="false">IF(OR(AH33="N/A – RULE",AH33="N/A – JUSTIFIED"),0,1)</f>
        <v>1</v>
      </c>
      <c r="AJ33" s="61" t="n">
        <f aca="false">IF(LEFT(AH33,8)="COMPLETE",1,0)</f>
        <v>0</v>
      </c>
      <c r="AK33" s="61" t="n">
        <f aca="false">IF(AND(AI33=1,AJ33=0,AsOfUTC&gt;Q33),1,0)</f>
        <v>0</v>
      </c>
      <c r="AL33" s="61" t="n">
        <f aca="false">IFERROR(IF(AND(AI33=1,OR(TRIM(U33)="Fail",AND(TRIM(AB33)&lt;&gt;"",TRIM(AB33)&lt;&gt;"Closed"),AND(ISNUMBER(AF33),AF33&lt;&gt;0,TRIM(U33)&lt;&gt;"Pass after CA"))),1,0),1)</f>
        <v>0</v>
      </c>
      <c r="AM33" s="61" t="n">
        <f aca="false">IF(LEFT(AH33,7)="INVALID",1,0)</f>
        <v>0</v>
      </c>
      <c r="AN33" s="61" t="n">
        <f aca="false">IF(AND(N33="Clarification required",AI33=1,AJ33=0),1,0)</f>
        <v>0</v>
      </c>
      <c r="AO33" s="61" t="str">
        <f aca="false">IF(AK33=1,SUM(AK$5:AK33),"")</f>
        <v/>
      </c>
      <c r="AP33" s="61" t="str">
        <f aca="false">IF(AL33=1,SUM(AL$5:AL33),"")</f>
        <v/>
      </c>
      <c r="AQ33" s="61" t="n">
        <v>0</v>
      </c>
      <c r="AR33" s="61" t="n">
        <v>0</v>
      </c>
      <c r="AS33" s="61" t="n">
        <v>0</v>
      </c>
      <c r="AT33" s="61" t="n">
        <v>0</v>
      </c>
      <c r="AU33" s="61" t="str">
        <f aca="false">SUBSTITUTE(SUBSTITUTE(SUBSTITUTE(SUBSTITUTE(SUBSTITUTE(SUBSTITUTE(SUBSTITUTE(SUBSTITUTE(SUBSTITUTE(SUBSTITUTE(SUBSTITUTE(SUBSTITUTE(SUBSTITUTE(LOWER(T33&amp;""),CHAR(160),"")," ",""),".",""),"-",""),"/",""),"?",""),"_",""),",",""),"[",""),"]",""),"(",""),")",""),"*","")</f>
        <v/>
      </c>
      <c r="AV33" s="61" t="str">
        <f aca="false">SUBSTITUTE(SUBSTITUTE(SUBSTITUTE(SUBSTITUTE(SUBSTITUTE(SUBSTITUTE(SUBSTITUTE(SUBSTITUTE(SUBSTITUTE(SUBSTITUTE(SUBSTITUTE(SUBSTITUTE(SUBSTITUTE(LOWER(V33&amp;""),CHAR(160),"")," ",""),".",""),"-",""),"/",""),"?",""),"_",""),",",""),"[",""),"]",""),"(",""),")",""),"*","")</f>
        <v/>
      </c>
      <c r="AW33" s="61" t="str">
        <f aca="false">SUBSTITUTE(SUBSTITUTE(SUBSTITUTE(SUBSTITUTE(SUBSTITUTE(SUBSTITUTE(SUBSTITUTE(SUBSTITUTE(SUBSTITUTE(SUBSTITUTE(SUBSTITUTE(SUBSTITUTE(SUBSTITUTE(LOWER(Z33&amp;""),CHAR(160),"")," ",""),".",""),"-",""),"/",""),"?",""),"_",""),",",""),"[",""),"]",""),"(",""),")",""),"*","")</f>
        <v/>
      </c>
      <c r="AX33" s="61" t="str">
        <f aca="false">SUBSTITUTE(SUBSTITUTE(SUBSTITUTE(SUBSTITUTE(SUBSTITUTE(SUBSTITUTE(SUBSTITUTE(SUBSTITUTE(SUBSTITUTE(SUBSTITUTE(SUBSTITUTE(SUBSTITUTE(SUBSTITUTE(LOWER(AE33&amp;""),CHAR(160),"")," ",""),".",""),"-",""),"/",""),"?",""),"_",""),",",""),"[",""),"]",""),"(",""),")",""),"*","")</f>
        <v/>
      </c>
      <c r="AY33" s="61" t="str">
        <f aca="false">SUBSTITUTE(SUBSTITUTE(SUBSTITUTE(SUBSTITUTE(SUBSTITUTE(SUBSTITUTE(SUBSTITUTE(SUBSTITUTE(SUBSTITUTE(SUBSTITUTE(SUBSTITUTE(SUBSTITUTE(SUBSTITUTE(LOWER(W33&amp;""),CHAR(160),"")," ",""),".",""),"-",""),"/",""),"?",""),"_",""),",",""),"[",""),"]",""),"(",""),")",""),"*","")</f>
        <v/>
      </c>
      <c r="AZ33" s="61" t="str">
        <f aca="false">SUBSTITUTE(SUBSTITUTE(SUBSTITUTE(SUBSTITUTE(SUBSTITUTE(SUBSTITUTE(SUBSTITUTE(SUBSTITUTE(SUBSTITUTE(SUBSTITUTE(SUBSTITUTE(SUBSTITUTE(SUBSTITUTE(LOWER(AC33&amp;""),CHAR(160),"")," ",""),".",""),"-",""),"/",""),"?",""),"_",""),",",""),"[",""),"]",""),"(",""),")",""),"*","")</f>
        <v/>
      </c>
      <c r="BA33" s="61" t="str">
        <f aca="false">SUBSTITUTE(SUBSTITUTE(SUBSTITUTE(SUBSTITUTE(SUBSTITUTE(SUBSTITUTE(SUBSTITUTE(SUBSTITUTE(SUBSTITUTE(SUBSTITUTE(SUBSTITUTE(SUBSTITUTE(SUBSTITUTE(LOWER(AA33&amp;""),CHAR(160),"")," ",""),".",""),"-",""),"/",""),"?",""),"_",""),",",""),"[",""),"]",""),"(",""),")",""),"*","")</f>
        <v/>
      </c>
      <c r="BB33" s="61" t="str">
        <f aca="false">IF(AND(TRIM(U33)="Pass",ISNUMBER(AF33)),IF(AF33&lt;&gt;0,"INVALID – qty variance: use Fail or Pass after CA",""),"")&amp;IF(AND(TRIM(U33)="Pass after CA",ISNUMBER(AF33)),IF(AF33&lt;&gt;0,"INVALID – after the corrective action the actual qty must equal expected (update Actual)",""),"")&amp;IF(AND(TRIM(U33)="Pass",TRIM(AB33)&lt;&gt;"",TRIM(AB33)&lt;&gt;"Closed"),"INVALID – corrective action not closed: use Fail, then Pass after CA","")&amp;IF(AND(TRIM(AA33)&lt;&gt;"",TRIM(AB33)=""),"INVALID – CA status missing for the recorded corrective action","")&amp;IF(AND(TRIM(U33)="Pass after CA",OR(OR(LEN(BA33)&lt;5,ISNUMBER(MATCH(BA33,L_Placeholder,0))),TRIM(AB33)&lt;&gt;"Closed")),"INVALID – corrective action not recorded/closed","")</f>
        <v/>
      </c>
    </row>
    <row r="34" customFormat="false" ht="39.75" hidden="false" customHeight="true" outlineLevel="0" collapsed="false">
      <c r="A34" s="57" t="s">
        <v>455</v>
      </c>
      <c r="B34" s="57" t="s">
        <v>195</v>
      </c>
      <c r="C34" s="57" t="str">
        <f aca="false">Flights!$F$6</f>
        <v>MH0727</v>
      </c>
      <c r="D34" s="58" t="n">
        <f aca="false">Flights!$D$6</f>
        <v>46304</v>
      </c>
      <c r="E34" s="57" t="str">
        <f aca="false">Flights!$G$6&amp;"-"&amp;Flights!$H$6</f>
        <v>KUL-CGK</v>
      </c>
      <c r="F34" s="57" t="str">
        <f aca="false">Flights!$K$6</f>
        <v>BC</v>
      </c>
      <c r="G34" s="57" t="s">
        <v>79</v>
      </c>
      <c r="H34" s="57" t="s">
        <v>356</v>
      </c>
      <c r="I34" s="57" t="s">
        <v>376</v>
      </c>
      <c r="J34" s="57" t="s">
        <v>377</v>
      </c>
      <c r="K34" s="67" t="s">
        <v>378</v>
      </c>
      <c r="L34" s="67" t="s">
        <v>360</v>
      </c>
      <c r="M34" s="67"/>
      <c r="N34" s="67" t="s">
        <v>361</v>
      </c>
      <c r="O34" s="67"/>
      <c r="P34" s="57" t="s">
        <v>184</v>
      </c>
      <c r="Q34" s="59" t="n">
        <f aca="false">ROUND((Flights!$AC$6)*1440,0)/1440</f>
        <v>46297.5763888889</v>
      </c>
      <c r="R34" s="59" t="n">
        <f aca="false">Q34+(IF(AND(INDEX(TZ_DSTS,MATCH(P34,TZ_STN,0))&lt;&gt;"",Q34&gt;=INDEX(TZ_DSTS,MATCH(P34,TZ_STN,0)),Q34&lt;INDEX(TZ_DSTE,MATCH(P34,TZ_STN,0))),INDEX(TZ_DST,MATCH(P34,TZ_STN,0)),INDEX(TZ_STD,MATCH(P34,TZ_STN,0))))/24</f>
        <v>46297.9097222222</v>
      </c>
      <c r="S34" s="59" t="n">
        <f aca="false">Q34-T7EarlyD*24/24</f>
        <v>46283.5763888889</v>
      </c>
      <c r="T34" s="60"/>
      <c r="U34" s="60"/>
      <c r="V34" s="60"/>
      <c r="W34" s="61"/>
      <c r="X34" s="60"/>
      <c r="Y34" s="60"/>
      <c r="Z34" s="60"/>
      <c r="AA34" s="60"/>
      <c r="AB34" s="60"/>
      <c r="AC34" s="60"/>
      <c r="AD34" s="66"/>
      <c r="AE34" s="60"/>
      <c r="AF34" s="61" t="str">
        <f aca="false">IF(AND(ISNUMBER(X34),ISNUMBER(Y34)),Y34-X34,"")</f>
        <v/>
      </c>
      <c r="AG34" s="62" t="str">
        <f aca="false">IF(ISNUMBER(AD34),AD34-(IF(AND(INDEX(TZ_DSTS,MATCH(P34,TZ_STN,0))&lt;&gt;"",(AD34-INDEX(TZ_STD,MATCH(P34,TZ_STN,0))/24)&gt;=INDEX(TZ_DSTS,MATCH(P34,TZ_STN,0)),(AD34-INDEX(TZ_STD,MATCH(P34,TZ_STN,0))/24)&lt;INDEX(TZ_DSTE,MATCH(P34,TZ_STN,0))),INDEX(TZ_DST,MATCH(P34,TZ_STN,0)),INDEX(TZ_STD,MATCH(P34,TZ_STN,0))))/24,"")</f>
        <v/>
      </c>
      <c r="AH34" s="65" t="str">
        <f aca="false">IFERROR(IF(N34="N/A – rule","N/A – RULE",IF(TRIM(U34)="N/A",IF(AT34=0,"INVALID – N/A not permitted for this check",IF(AND(TRIM(AB34)&lt;&gt;"",TRIM(AB34)&lt;&gt;"Closed"),"INVALID – corrective action still open",IF(AND(NOT(OR(LEN(AZ34)&lt;15,ISNUMBER(MATCH(AZ34,L_Placeholder,0)))),NOT(OR(LEN(AU34)&lt;2,ISNUMBER(MATCH(AU34,L_Placeholder,0)))),NOT(OR(LEN(AX34)&lt;2,ISNUMBER(MATCH(AX34,L_Placeholder,0)))),TRIM(AE34)&lt;&gt;TRIM(T34)),"N/A – JUSTIFIED","INVALID – N/A needs a real justification (15+ chars), PIC and a different verifier"))),IF(OR(TRIM(U34)="Pass",TRIM(U34)="Pass after CA"),IF(NOT(ISNUMBER(AD34)),"INVALID – completion time missing",IF(OR(LEN(AU34)&lt;2,ISNUMBER(MATCH(AU34,L_Placeholder,0))),"INVALID – PIC missing",IF(OR(LEN(AV34)&lt;2,ISNUMBER(MATCH(AV34,L_Placeholder,0))),"INVALID – result / assessment missing",IF(OR(OR(LEN(AW34)&lt;3,ISNUMBER(MATCH(AW34,L_Placeholder,0))),SUMPRODUCT(--ISNUMBER(SEARCH(L_EvidencePhrase,AW34)))&gt;0),"INVALID – evidence missing, placeholder or not yet on file",IF(OR(LEN(AX34)&lt;2,ISNUMBER(MATCH(AX34,L_Placeholder,0))),"INVALID – verifier missing",IF(AX34=AU34,"INVALID – verifier must be someone other than the PIC",IF(AND(TRIM(U34)="Pass",SUMPRODUCT(--ISNUMBER(SEARCH(L_ResultBad,AV34)))&gt;0),"INVALID – result describes a problem: use Fail, then Pass after CA",IF(AND(AQ34=1,OR(LEN(AY34)&lt;3,ISNUMBER(MATCH(AY34,L_Placeholder,0)))),"INVALID – batch ID missing or placeholder",IF(AND(AR34=1,OR(NOT(ISNUMBER(X34)),NOT(ISNUMBER(Y34)))),"INVALID – expected/actual qty missing",IF(AND(AR34=1,OR(X34&lt;=0,Y34&lt;0)),"INVALID – expected qty must be above 0 and actual not negative",IF(BB34&lt;&gt;"",BB34,IF(AND(AS34=1,Documents!$J$6&lt;&gt;"ON FILE"),"INVALID – GLD not on file (Documents sheet)",IF(AND(AS34=2,Documents!$O$6&lt;&gt;"ON FILE"),"INVALID – menu checklist not on file (Documents sheet)",IF(AND(AS34=3,NOT(ISNUMBER(Flights!$AX$6))),"INVALID – enter carrying flight KUL departure (Flights AX)",IF(AND(AS34=3,OR(Flights!$AZ$6&gt;Flights!$AA$6,Flights!$AX$6&lt;Flights!$AA$6-3)),"INVALID – carrying flight (Flights AX) cannot arrive before this leg's STD, or is over 3 days early",IF(AG34&gt;AsOfUTC,"INVALID – completion time is in the future",IF(AND(ISNUMBER(S34),AG34&lt;S34),IF(H34="Physical uplift","INVALID – before uplift window (cannot confirm loading)","INVALID – before valid window"),IF(AG34&gt;Flights!$AA$6,"INVALID – completed after departure (cannot establish readiness)",IF(AND(H34="Preparation",AG34&gt;IF(ISNUMBER(Flights!$BA$6),MIN(Flights!$BA$6,Flights!$AA$6),Flights!$AA$6)),"INVALID – completed after loading / departure (cannot establish readiness)",IF(AND(H34="Physical uplift",AG34&gt;Q34),"INVALID – recorded after the loading flight departed",IF(AG34&gt;Q34,"COMPLETE – LATE","COMPLETE"))))))))))))))))))))),IF(TRIM(U34)="Fail","FAIL – DISCREPANCY",IF(AND(TRIM(U34)&lt;&gt;"",TRIM(U34)&lt;&gt;"Not started",TRIM(U34)&lt;&gt;"In progress"),"INVALID – unrecognised status (use the list)",IF(AsOfUTC&gt;Q34,"OVERDUE",IF(N34="Clarification required","OPEN – CLARIFICATION","OPEN"))))))),"INVALID – error value in an input cell")</f>
        <v>OPEN</v>
      </c>
      <c r="AI34" s="61" t="n">
        <f aca="false">IF(OR(AH34="N/A – RULE",AH34="N/A – JUSTIFIED"),0,1)</f>
        <v>1</v>
      </c>
      <c r="AJ34" s="61" t="n">
        <f aca="false">IF(LEFT(AH34,8)="COMPLETE",1,0)</f>
        <v>0</v>
      </c>
      <c r="AK34" s="61" t="n">
        <f aca="false">IF(AND(AI34=1,AJ34=0,AsOfUTC&gt;Q34),1,0)</f>
        <v>0</v>
      </c>
      <c r="AL34" s="61" t="n">
        <f aca="false">IFERROR(IF(AND(AI34=1,OR(TRIM(U34)="Fail",AND(TRIM(AB34)&lt;&gt;"",TRIM(AB34)&lt;&gt;"Closed"),AND(ISNUMBER(AF34),AF34&lt;&gt;0,TRIM(U34)&lt;&gt;"Pass after CA"))),1,0),1)</f>
        <v>0</v>
      </c>
      <c r="AM34" s="61" t="n">
        <f aca="false">IF(LEFT(AH34,7)="INVALID",1,0)</f>
        <v>0</v>
      </c>
      <c r="AN34" s="61" t="n">
        <f aca="false">IF(AND(N34="Clarification required",AI34=1,AJ34=0),1,0)</f>
        <v>0</v>
      </c>
      <c r="AO34" s="61" t="str">
        <f aca="false">IF(AK34=1,SUM(AK$5:AK34),"")</f>
        <v/>
      </c>
      <c r="AP34" s="61" t="str">
        <f aca="false">IF(AL34=1,SUM(AL$5:AL34),"")</f>
        <v/>
      </c>
      <c r="AQ34" s="61" t="n">
        <v>0</v>
      </c>
      <c r="AR34" s="61" t="n">
        <v>0</v>
      </c>
      <c r="AS34" s="61" t="n">
        <v>0</v>
      </c>
      <c r="AT34" s="61" t="n">
        <v>0</v>
      </c>
      <c r="AU34" s="61" t="str">
        <f aca="false">SUBSTITUTE(SUBSTITUTE(SUBSTITUTE(SUBSTITUTE(SUBSTITUTE(SUBSTITUTE(SUBSTITUTE(SUBSTITUTE(SUBSTITUTE(SUBSTITUTE(SUBSTITUTE(SUBSTITUTE(SUBSTITUTE(LOWER(T34&amp;""),CHAR(160),"")," ",""),".",""),"-",""),"/",""),"?",""),"_",""),",",""),"[",""),"]",""),"(",""),")",""),"*","")</f>
        <v/>
      </c>
      <c r="AV34" s="61" t="str">
        <f aca="false">SUBSTITUTE(SUBSTITUTE(SUBSTITUTE(SUBSTITUTE(SUBSTITUTE(SUBSTITUTE(SUBSTITUTE(SUBSTITUTE(SUBSTITUTE(SUBSTITUTE(SUBSTITUTE(SUBSTITUTE(SUBSTITUTE(LOWER(V34&amp;""),CHAR(160),"")," ",""),".",""),"-",""),"/",""),"?",""),"_",""),",",""),"[",""),"]",""),"(",""),")",""),"*","")</f>
        <v/>
      </c>
      <c r="AW34" s="61" t="str">
        <f aca="false">SUBSTITUTE(SUBSTITUTE(SUBSTITUTE(SUBSTITUTE(SUBSTITUTE(SUBSTITUTE(SUBSTITUTE(SUBSTITUTE(SUBSTITUTE(SUBSTITUTE(SUBSTITUTE(SUBSTITUTE(SUBSTITUTE(LOWER(Z34&amp;""),CHAR(160),"")," ",""),".",""),"-",""),"/",""),"?",""),"_",""),",",""),"[",""),"]",""),"(",""),")",""),"*","")</f>
        <v/>
      </c>
      <c r="AX34" s="61" t="str">
        <f aca="false">SUBSTITUTE(SUBSTITUTE(SUBSTITUTE(SUBSTITUTE(SUBSTITUTE(SUBSTITUTE(SUBSTITUTE(SUBSTITUTE(SUBSTITUTE(SUBSTITUTE(SUBSTITUTE(SUBSTITUTE(SUBSTITUTE(LOWER(AE34&amp;""),CHAR(160),"")," ",""),".",""),"-",""),"/",""),"?",""),"_",""),",",""),"[",""),"]",""),"(",""),")",""),"*","")</f>
        <v/>
      </c>
      <c r="AY34" s="61" t="str">
        <f aca="false">SUBSTITUTE(SUBSTITUTE(SUBSTITUTE(SUBSTITUTE(SUBSTITUTE(SUBSTITUTE(SUBSTITUTE(SUBSTITUTE(SUBSTITUTE(SUBSTITUTE(SUBSTITUTE(SUBSTITUTE(SUBSTITUTE(LOWER(W34&amp;""),CHAR(160),"")," ",""),".",""),"-",""),"/",""),"?",""),"_",""),",",""),"[",""),"]",""),"(",""),")",""),"*","")</f>
        <v/>
      </c>
      <c r="AZ34" s="61" t="str">
        <f aca="false">SUBSTITUTE(SUBSTITUTE(SUBSTITUTE(SUBSTITUTE(SUBSTITUTE(SUBSTITUTE(SUBSTITUTE(SUBSTITUTE(SUBSTITUTE(SUBSTITUTE(SUBSTITUTE(SUBSTITUTE(SUBSTITUTE(LOWER(AC34&amp;""),CHAR(160),"")," ",""),".",""),"-",""),"/",""),"?",""),"_",""),",",""),"[",""),"]",""),"(",""),")",""),"*","")</f>
        <v/>
      </c>
      <c r="BA34" s="61" t="str">
        <f aca="false">SUBSTITUTE(SUBSTITUTE(SUBSTITUTE(SUBSTITUTE(SUBSTITUTE(SUBSTITUTE(SUBSTITUTE(SUBSTITUTE(SUBSTITUTE(SUBSTITUTE(SUBSTITUTE(SUBSTITUTE(SUBSTITUTE(LOWER(AA34&amp;""),CHAR(160),"")," ",""),".",""),"-",""),"/",""),"?",""),"_",""),",",""),"[",""),"]",""),"(",""),")",""),"*","")</f>
        <v/>
      </c>
      <c r="BB34" s="61" t="str">
        <f aca="false">IF(AND(TRIM(U34)="Pass",ISNUMBER(AF34)),IF(AF34&lt;&gt;0,"INVALID – qty variance: use Fail or Pass after CA",""),"")&amp;IF(AND(TRIM(U34)="Pass after CA",ISNUMBER(AF34)),IF(AF34&lt;&gt;0,"INVALID – after the corrective action the actual qty must equal expected (update Actual)",""),"")&amp;IF(AND(TRIM(U34)="Pass",TRIM(AB34)&lt;&gt;"",TRIM(AB34)&lt;&gt;"Closed"),"INVALID – corrective action not closed: use Fail, then Pass after CA","")&amp;IF(AND(TRIM(AA34)&lt;&gt;"",TRIM(AB34)=""),"INVALID – CA status missing for the recorded corrective action","")&amp;IF(AND(TRIM(U34)="Pass after CA",OR(OR(LEN(BA34)&lt;5,ISNUMBER(MATCH(BA34,L_Placeholder,0))),TRIM(AB34)&lt;&gt;"Closed")),"INVALID – corrective action not recorded/closed","")</f>
        <v/>
      </c>
    </row>
    <row r="35" customFormat="false" ht="39.75" hidden="false" customHeight="true" outlineLevel="0" collapsed="false">
      <c r="A35" s="57" t="s">
        <v>456</v>
      </c>
      <c r="B35" s="57" t="s">
        <v>195</v>
      </c>
      <c r="C35" s="57" t="str">
        <f aca="false">Flights!$F$6</f>
        <v>MH0727</v>
      </c>
      <c r="D35" s="58" t="n">
        <f aca="false">Flights!$D$6</f>
        <v>46304</v>
      </c>
      <c r="E35" s="57" t="str">
        <f aca="false">Flights!$G$6&amp;"-"&amp;Flights!$H$6</f>
        <v>KUL-CGK</v>
      </c>
      <c r="F35" s="57" t="str">
        <f aca="false">Flights!$K$6</f>
        <v>BC</v>
      </c>
      <c r="G35" s="57" t="s">
        <v>79</v>
      </c>
      <c r="H35" s="57" t="s">
        <v>356</v>
      </c>
      <c r="I35" s="57" t="s">
        <v>376</v>
      </c>
      <c r="J35" s="57" t="s">
        <v>380</v>
      </c>
      <c r="K35" s="67" t="s">
        <v>381</v>
      </c>
      <c r="L35" s="67" t="s">
        <v>360</v>
      </c>
      <c r="M35" s="67"/>
      <c r="N35" s="67" t="s">
        <v>361</v>
      </c>
      <c r="O35" s="67"/>
      <c r="P35" s="57" t="s">
        <v>184</v>
      </c>
      <c r="Q35" s="59" t="n">
        <f aca="false">ROUND((Flights!$AC$6)*1440,0)/1440</f>
        <v>46297.5763888889</v>
      </c>
      <c r="R35" s="59" t="n">
        <f aca="false">Q35+(IF(AND(INDEX(TZ_DSTS,MATCH(P35,TZ_STN,0))&lt;&gt;"",Q35&gt;=INDEX(TZ_DSTS,MATCH(P35,TZ_STN,0)),Q35&lt;INDEX(TZ_DSTE,MATCH(P35,TZ_STN,0))),INDEX(TZ_DST,MATCH(P35,TZ_STN,0)),INDEX(TZ_STD,MATCH(P35,TZ_STN,0))))/24</f>
        <v>46297.9097222222</v>
      </c>
      <c r="S35" s="59" t="n">
        <f aca="false">Q35-T7EarlyD*24/24</f>
        <v>46283.5763888889</v>
      </c>
      <c r="T35" s="60"/>
      <c r="U35" s="60"/>
      <c r="V35" s="60"/>
      <c r="W35" s="61"/>
      <c r="X35" s="60"/>
      <c r="Y35" s="60"/>
      <c r="Z35" s="60"/>
      <c r="AA35" s="60"/>
      <c r="AB35" s="60"/>
      <c r="AC35" s="60"/>
      <c r="AD35" s="66"/>
      <c r="AE35" s="60"/>
      <c r="AF35" s="61" t="str">
        <f aca="false">IF(AND(ISNUMBER(X35),ISNUMBER(Y35)),Y35-X35,"")</f>
        <v/>
      </c>
      <c r="AG35" s="62" t="str">
        <f aca="false">IF(ISNUMBER(AD35),AD35-(IF(AND(INDEX(TZ_DSTS,MATCH(P35,TZ_STN,0))&lt;&gt;"",(AD35-INDEX(TZ_STD,MATCH(P35,TZ_STN,0))/24)&gt;=INDEX(TZ_DSTS,MATCH(P35,TZ_STN,0)),(AD35-INDEX(TZ_STD,MATCH(P35,TZ_STN,0))/24)&lt;INDEX(TZ_DSTE,MATCH(P35,TZ_STN,0))),INDEX(TZ_DST,MATCH(P35,TZ_STN,0)),INDEX(TZ_STD,MATCH(P35,TZ_STN,0))))/24,"")</f>
        <v/>
      </c>
      <c r="AH35" s="65" t="str">
        <f aca="false">IFERROR(IF(N35="N/A – rule","N/A – RULE",IF(TRIM(U35)="N/A",IF(AT35=0,"INVALID – N/A not permitted for this check",IF(AND(TRIM(AB35)&lt;&gt;"",TRIM(AB35)&lt;&gt;"Closed"),"INVALID – corrective action still open",IF(AND(NOT(OR(LEN(AZ35)&lt;15,ISNUMBER(MATCH(AZ35,L_Placeholder,0)))),NOT(OR(LEN(AU35)&lt;2,ISNUMBER(MATCH(AU35,L_Placeholder,0)))),NOT(OR(LEN(AX35)&lt;2,ISNUMBER(MATCH(AX35,L_Placeholder,0)))),TRIM(AE35)&lt;&gt;TRIM(T35)),"N/A – JUSTIFIED","INVALID – N/A needs a real justification (15+ chars), PIC and a different verifier"))),IF(OR(TRIM(U35)="Pass",TRIM(U35)="Pass after CA"),IF(NOT(ISNUMBER(AD35)),"INVALID – completion time missing",IF(OR(LEN(AU35)&lt;2,ISNUMBER(MATCH(AU35,L_Placeholder,0))),"INVALID – PIC missing",IF(OR(LEN(AV35)&lt;2,ISNUMBER(MATCH(AV35,L_Placeholder,0))),"INVALID – result / assessment missing",IF(OR(OR(LEN(AW35)&lt;3,ISNUMBER(MATCH(AW35,L_Placeholder,0))),SUMPRODUCT(--ISNUMBER(SEARCH(L_EvidencePhrase,AW35)))&gt;0),"INVALID – evidence missing, placeholder or not yet on file",IF(OR(LEN(AX35)&lt;2,ISNUMBER(MATCH(AX35,L_Placeholder,0))),"INVALID – verifier missing",IF(AX35=AU35,"INVALID – verifier must be someone other than the PIC",IF(AND(TRIM(U35)="Pass",SUMPRODUCT(--ISNUMBER(SEARCH(L_ResultBad,AV35)))&gt;0),"INVALID – result describes a problem: use Fail, then Pass after CA",IF(AND(AQ35=1,OR(LEN(AY35)&lt;3,ISNUMBER(MATCH(AY35,L_Placeholder,0)))),"INVALID – batch ID missing or placeholder",IF(AND(AR35=1,OR(NOT(ISNUMBER(X35)),NOT(ISNUMBER(Y35)))),"INVALID – expected/actual qty missing",IF(AND(AR35=1,OR(X35&lt;=0,Y35&lt;0)),"INVALID – expected qty must be above 0 and actual not negative",IF(BB35&lt;&gt;"",BB35,IF(AND(AS35=1,Documents!$J$6&lt;&gt;"ON FILE"),"INVALID – GLD not on file (Documents sheet)",IF(AND(AS35=2,Documents!$O$6&lt;&gt;"ON FILE"),"INVALID – menu checklist not on file (Documents sheet)",IF(AND(AS35=3,NOT(ISNUMBER(Flights!$AX$6))),"INVALID – enter carrying flight KUL departure (Flights AX)",IF(AND(AS35=3,OR(Flights!$AZ$6&gt;Flights!$AA$6,Flights!$AX$6&lt;Flights!$AA$6-3)),"INVALID – carrying flight (Flights AX) cannot arrive before this leg's STD, or is over 3 days early",IF(AG35&gt;AsOfUTC,"INVALID – completion time is in the future",IF(AND(ISNUMBER(S35),AG35&lt;S35),IF(H35="Physical uplift","INVALID – before uplift window (cannot confirm loading)","INVALID – before valid window"),IF(AG35&gt;Flights!$AA$6,"INVALID – completed after departure (cannot establish readiness)",IF(AND(H35="Preparation",AG35&gt;IF(ISNUMBER(Flights!$BA$6),MIN(Flights!$BA$6,Flights!$AA$6),Flights!$AA$6)),"INVALID – completed after loading / departure (cannot establish readiness)",IF(AND(H35="Physical uplift",AG35&gt;Q35),"INVALID – recorded after the loading flight departed",IF(AG35&gt;Q35,"COMPLETE – LATE","COMPLETE"))))))))))))))))))))),IF(TRIM(U35)="Fail","FAIL – DISCREPANCY",IF(AND(TRIM(U35)&lt;&gt;"",TRIM(U35)&lt;&gt;"Not started",TRIM(U35)&lt;&gt;"In progress"),"INVALID – unrecognised status (use the list)",IF(AsOfUTC&gt;Q35,"OVERDUE",IF(N35="Clarification required","OPEN – CLARIFICATION","OPEN"))))))),"INVALID – error value in an input cell")</f>
        <v>OPEN</v>
      </c>
      <c r="AI35" s="61" t="n">
        <f aca="false">IF(OR(AH35="N/A – RULE",AH35="N/A – JUSTIFIED"),0,1)</f>
        <v>1</v>
      </c>
      <c r="AJ35" s="61" t="n">
        <f aca="false">IF(LEFT(AH35,8)="COMPLETE",1,0)</f>
        <v>0</v>
      </c>
      <c r="AK35" s="61" t="n">
        <f aca="false">IF(AND(AI35=1,AJ35=0,AsOfUTC&gt;Q35),1,0)</f>
        <v>0</v>
      </c>
      <c r="AL35" s="61" t="n">
        <f aca="false">IFERROR(IF(AND(AI35=1,OR(TRIM(U35)="Fail",AND(TRIM(AB35)&lt;&gt;"",TRIM(AB35)&lt;&gt;"Closed"),AND(ISNUMBER(AF35),AF35&lt;&gt;0,TRIM(U35)&lt;&gt;"Pass after CA"))),1,0),1)</f>
        <v>0</v>
      </c>
      <c r="AM35" s="61" t="n">
        <f aca="false">IF(LEFT(AH35,7)="INVALID",1,0)</f>
        <v>0</v>
      </c>
      <c r="AN35" s="61" t="n">
        <f aca="false">IF(AND(N35="Clarification required",AI35=1,AJ35=0),1,0)</f>
        <v>0</v>
      </c>
      <c r="AO35" s="61" t="str">
        <f aca="false">IF(AK35=1,SUM(AK$5:AK35),"")</f>
        <v/>
      </c>
      <c r="AP35" s="61" t="str">
        <f aca="false">IF(AL35=1,SUM(AL$5:AL35),"")</f>
        <v/>
      </c>
      <c r="AQ35" s="61" t="n">
        <v>0</v>
      </c>
      <c r="AR35" s="61" t="n">
        <v>0</v>
      </c>
      <c r="AS35" s="61" t="n">
        <v>0</v>
      </c>
      <c r="AT35" s="61" t="n">
        <v>0</v>
      </c>
      <c r="AU35" s="61" t="str">
        <f aca="false">SUBSTITUTE(SUBSTITUTE(SUBSTITUTE(SUBSTITUTE(SUBSTITUTE(SUBSTITUTE(SUBSTITUTE(SUBSTITUTE(SUBSTITUTE(SUBSTITUTE(SUBSTITUTE(SUBSTITUTE(SUBSTITUTE(LOWER(T35&amp;""),CHAR(160),"")," ",""),".",""),"-",""),"/",""),"?",""),"_",""),",",""),"[",""),"]",""),"(",""),")",""),"*","")</f>
        <v/>
      </c>
      <c r="AV35" s="61" t="str">
        <f aca="false">SUBSTITUTE(SUBSTITUTE(SUBSTITUTE(SUBSTITUTE(SUBSTITUTE(SUBSTITUTE(SUBSTITUTE(SUBSTITUTE(SUBSTITUTE(SUBSTITUTE(SUBSTITUTE(SUBSTITUTE(SUBSTITUTE(LOWER(V35&amp;""),CHAR(160),"")," ",""),".",""),"-",""),"/",""),"?",""),"_",""),",",""),"[",""),"]",""),"(",""),")",""),"*","")</f>
        <v/>
      </c>
      <c r="AW35" s="61" t="str">
        <f aca="false">SUBSTITUTE(SUBSTITUTE(SUBSTITUTE(SUBSTITUTE(SUBSTITUTE(SUBSTITUTE(SUBSTITUTE(SUBSTITUTE(SUBSTITUTE(SUBSTITUTE(SUBSTITUTE(SUBSTITUTE(SUBSTITUTE(LOWER(Z35&amp;""),CHAR(160),"")," ",""),".",""),"-",""),"/",""),"?",""),"_",""),",",""),"[",""),"]",""),"(",""),")",""),"*","")</f>
        <v/>
      </c>
      <c r="AX35" s="61" t="str">
        <f aca="false">SUBSTITUTE(SUBSTITUTE(SUBSTITUTE(SUBSTITUTE(SUBSTITUTE(SUBSTITUTE(SUBSTITUTE(SUBSTITUTE(SUBSTITUTE(SUBSTITUTE(SUBSTITUTE(SUBSTITUTE(SUBSTITUTE(LOWER(AE35&amp;""),CHAR(160),"")," ",""),".",""),"-",""),"/",""),"?",""),"_",""),",",""),"[",""),"]",""),"(",""),")",""),"*","")</f>
        <v/>
      </c>
      <c r="AY35" s="61" t="str">
        <f aca="false">SUBSTITUTE(SUBSTITUTE(SUBSTITUTE(SUBSTITUTE(SUBSTITUTE(SUBSTITUTE(SUBSTITUTE(SUBSTITUTE(SUBSTITUTE(SUBSTITUTE(SUBSTITUTE(SUBSTITUTE(SUBSTITUTE(LOWER(W35&amp;""),CHAR(160),"")," ",""),".",""),"-",""),"/",""),"?",""),"_",""),",",""),"[",""),"]",""),"(",""),")",""),"*","")</f>
        <v/>
      </c>
      <c r="AZ35" s="61" t="str">
        <f aca="false">SUBSTITUTE(SUBSTITUTE(SUBSTITUTE(SUBSTITUTE(SUBSTITUTE(SUBSTITUTE(SUBSTITUTE(SUBSTITUTE(SUBSTITUTE(SUBSTITUTE(SUBSTITUTE(SUBSTITUTE(SUBSTITUTE(LOWER(AC35&amp;""),CHAR(160),"")," ",""),".",""),"-",""),"/",""),"?",""),"_",""),",",""),"[",""),"]",""),"(",""),")",""),"*","")</f>
        <v/>
      </c>
      <c r="BA35" s="61" t="str">
        <f aca="false">SUBSTITUTE(SUBSTITUTE(SUBSTITUTE(SUBSTITUTE(SUBSTITUTE(SUBSTITUTE(SUBSTITUTE(SUBSTITUTE(SUBSTITUTE(SUBSTITUTE(SUBSTITUTE(SUBSTITUTE(SUBSTITUTE(LOWER(AA35&amp;""),CHAR(160),"")," ",""),".",""),"-",""),"/",""),"?",""),"_",""),",",""),"[",""),"]",""),"(",""),")",""),"*","")</f>
        <v/>
      </c>
      <c r="BB35" s="61" t="str">
        <f aca="false">IF(AND(TRIM(U35)="Pass",ISNUMBER(AF35)),IF(AF35&lt;&gt;0,"INVALID – qty variance: use Fail or Pass after CA",""),"")&amp;IF(AND(TRIM(U35)="Pass after CA",ISNUMBER(AF35)),IF(AF35&lt;&gt;0,"INVALID – after the corrective action the actual qty must equal expected (update Actual)",""),"")&amp;IF(AND(TRIM(U35)="Pass",TRIM(AB35)&lt;&gt;"",TRIM(AB35)&lt;&gt;"Closed"),"INVALID – corrective action not closed: use Fail, then Pass after CA","")&amp;IF(AND(TRIM(AA35)&lt;&gt;"",TRIM(AB35)=""),"INVALID – CA status missing for the recorded corrective action","")&amp;IF(AND(TRIM(U35)="Pass after CA",OR(OR(LEN(BA35)&lt;5,ISNUMBER(MATCH(BA35,L_Placeholder,0))),TRIM(AB35)&lt;&gt;"Closed")),"INVALID – corrective action not recorded/closed","")</f>
        <v/>
      </c>
    </row>
    <row r="36" customFormat="false" ht="39.75" hidden="false" customHeight="true" outlineLevel="0" collapsed="false">
      <c r="A36" s="57" t="s">
        <v>457</v>
      </c>
      <c r="B36" s="57" t="s">
        <v>195</v>
      </c>
      <c r="C36" s="57" t="str">
        <f aca="false">Flights!$F$6</f>
        <v>MH0727</v>
      </c>
      <c r="D36" s="58" t="n">
        <f aca="false">Flights!$D$6</f>
        <v>46304</v>
      </c>
      <c r="E36" s="57" t="str">
        <f aca="false">Flights!$G$6&amp;"-"&amp;Flights!$H$6</f>
        <v>KUL-CGK</v>
      </c>
      <c r="F36" s="57" t="str">
        <f aca="false">Flights!$K$6</f>
        <v>BC</v>
      </c>
      <c r="G36" s="57" t="s">
        <v>79</v>
      </c>
      <c r="H36" s="57" t="s">
        <v>356</v>
      </c>
      <c r="I36" s="57" t="s">
        <v>383</v>
      </c>
      <c r="J36" s="57" t="s">
        <v>384</v>
      </c>
      <c r="K36" s="67" t="s">
        <v>385</v>
      </c>
      <c r="L36" s="67" t="s">
        <v>360</v>
      </c>
      <c r="M36" s="67"/>
      <c r="N36" s="67" t="s">
        <v>361</v>
      </c>
      <c r="O36" s="67"/>
      <c r="P36" s="57" t="s">
        <v>184</v>
      </c>
      <c r="Q36" s="59" t="n">
        <f aca="false">ROUND((Flights!$AC$6)*1440,0)/1440</f>
        <v>46297.5763888889</v>
      </c>
      <c r="R36" s="59" t="n">
        <f aca="false">Q36+(IF(AND(INDEX(TZ_DSTS,MATCH(P36,TZ_STN,0))&lt;&gt;"",Q36&gt;=INDEX(TZ_DSTS,MATCH(P36,TZ_STN,0)),Q36&lt;INDEX(TZ_DSTE,MATCH(P36,TZ_STN,0))),INDEX(TZ_DST,MATCH(P36,TZ_STN,0)),INDEX(TZ_STD,MATCH(P36,TZ_STN,0))))/24</f>
        <v>46297.9097222222</v>
      </c>
      <c r="S36" s="59" t="n">
        <f aca="false">Q36-T7EarlyD*24/24</f>
        <v>46283.5763888889</v>
      </c>
      <c r="T36" s="60"/>
      <c r="U36" s="60"/>
      <c r="V36" s="60"/>
      <c r="W36" s="61"/>
      <c r="X36" s="60"/>
      <c r="Y36" s="60"/>
      <c r="Z36" s="60"/>
      <c r="AA36" s="60"/>
      <c r="AB36" s="60"/>
      <c r="AC36" s="60"/>
      <c r="AD36" s="66"/>
      <c r="AE36" s="60"/>
      <c r="AF36" s="61" t="str">
        <f aca="false">IF(AND(ISNUMBER(X36),ISNUMBER(Y36)),Y36-X36,"")</f>
        <v/>
      </c>
      <c r="AG36" s="62" t="str">
        <f aca="false">IF(ISNUMBER(AD36),AD36-(IF(AND(INDEX(TZ_DSTS,MATCH(P36,TZ_STN,0))&lt;&gt;"",(AD36-INDEX(TZ_STD,MATCH(P36,TZ_STN,0))/24)&gt;=INDEX(TZ_DSTS,MATCH(P36,TZ_STN,0)),(AD36-INDEX(TZ_STD,MATCH(P36,TZ_STN,0))/24)&lt;INDEX(TZ_DSTE,MATCH(P36,TZ_STN,0))),INDEX(TZ_DST,MATCH(P36,TZ_STN,0)),INDEX(TZ_STD,MATCH(P36,TZ_STN,0))))/24,"")</f>
        <v/>
      </c>
      <c r="AH36" s="65" t="str">
        <f aca="false">IFERROR(IF(N36="N/A – rule","N/A – RULE",IF(TRIM(U36)="N/A",IF(AT36=0,"INVALID – N/A not permitted for this check",IF(AND(TRIM(AB36)&lt;&gt;"",TRIM(AB36)&lt;&gt;"Closed"),"INVALID – corrective action still open",IF(AND(NOT(OR(LEN(AZ36)&lt;15,ISNUMBER(MATCH(AZ36,L_Placeholder,0)))),NOT(OR(LEN(AU36)&lt;2,ISNUMBER(MATCH(AU36,L_Placeholder,0)))),NOT(OR(LEN(AX36)&lt;2,ISNUMBER(MATCH(AX36,L_Placeholder,0)))),TRIM(AE36)&lt;&gt;TRIM(T36)),"N/A – JUSTIFIED","INVALID – N/A needs a real justification (15+ chars), PIC and a different verifier"))),IF(OR(TRIM(U36)="Pass",TRIM(U36)="Pass after CA"),IF(NOT(ISNUMBER(AD36)),"INVALID – completion time missing",IF(OR(LEN(AU36)&lt;2,ISNUMBER(MATCH(AU36,L_Placeholder,0))),"INVALID – PIC missing",IF(OR(LEN(AV36)&lt;2,ISNUMBER(MATCH(AV36,L_Placeholder,0))),"INVALID – result / assessment missing",IF(OR(OR(LEN(AW36)&lt;3,ISNUMBER(MATCH(AW36,L_Placeholder,0))),SUMPRODUCT(--ISNUMBER(SEARCH(L_EvidencePhrase,AW36)))&gt;0),"INVALID – evidence missing, placeholder or not yet on file",IF(OR(LEN(AX36)&lt;2,ISNUMBER(MATCH(AX36,L_Placeholder,0))),"INVALID – verifier missing",IF(AX36=AU36,"INVALID – verifier must be someone other than the PIC",IF(AND(TRIM(U36)="Pass",SUMPRODUCT(--ISNUMBER(SEARCH(L_ResultBad,AV36)))&gt;0),"INVALID – result describes a problem: use Fail, then Pass after CA",IF(AND(AQ36=1,OR(LEN(AY36)&lt;3,ISNUMBER(MATCH(AY36,L_Placeholder,0)))),"INVALID – batch ID missing or placeholder",IF(AND(AR36=1,OR(NOT(ISNUMBER(X36)),NOT(ISNUMBER(Y36)))),"INVALID – expected/actual qty missing",IF(AND(AR36=1,OR(X36&lt;=0,Y36&lt;0)),"INVALID – expected qty must be above 0 and actual not negative",IF(BB36&lt;&gt;"",BB36,IF(AND(AS36=1,Documents!$J$6&lt;&gt;"ON FILE"),"INVALID – GLD not on file (Documents sheet)",IF(AND(AS36=2,Documents!$O$6&lt;&gt;"ON FILE"),"INVALID – menu checklist not on file (Documents sheet)",IF(AND(AS36=3,NOT(ISNUMBER(Flights!$AX$6))),"INVALID – enter carrying flight KUL departure (Flights AX)",IF(AND(AS36=3,OR(Flights!$AZ$6&gt;Flights!$AA$6,Flights!$AX$6&lt;Flights!$AA$6-3)),"INVALID – carrying flight (Flights AX) cannot arrive before this leg's STD, or is over 3 days early",IF(AG36&gt;AsOfUTC,"INVALID – completion time is in the future",IF(AND(ISNUMBER(S36),AG36&lt;S36),IF(H36="Physical uplift","INVALID – before uplift window (cannot confirm loading)","INVALID – before valid window"),IF(AG36&gt;Flights!$AA$6,"INVALID – completed after departure (cannot establish readiness)",IF(AND(H36="Preparation",AG36&gt;IF(ISNUMBER(Flights!$BA$6),MIN(Flights!$BA$6,Flights!$AA$6),Flights!$AA$6)),"INVALID – completed after loading / departure (cannot establish readiness)",IF(AND(H36="Physical uplift",AG36&gt;Q36),"INVALID – recorded after the loading flight departed",IF(AG36&gt;Q36,"COMPLETE – LATE","COMPLETE"))))))))))))))))))))),IF(TRIM(U36)="Fail","FAIL – DISCREPANCY",IF(AND(TRIM(U36)&lt;&gt;"",TRIM(U36)&lt;&gt;"Not started",TRIM(U36)&lt;&gt;"In progress"),"INVALID – unrecognised status (use the list)",IF(AsOfUTC&gt;Q36,"OVERDUE",IF(N36="Clarification required","OPEN – CLARIFICATION","OPEN"))))))),"INVALID – error value in an input cell")</f>
        <v>OPEN</v>
      </c>
      <c r="AI36" s="61" t="n">
        <f aca="false">IF(OR(AH36="N/A – RULE",AH36="N/A – JUSTIFIED"),0,1)</f>
        <v>1</v>
      </c>
      <c r="AJ36" s="61" t="n">
        <f aca="false">IF(LEFT(AH36,8)="COMPLETE",1,0)</f>
        <v>0</v>
      </c>
      <c r="AK36" s="61" t="n">
        <f aca="false">IF(AND(AI36=1,AJ36=0,AsOfUTC&gt;Q36),1,0)</f>
        <v>0</v>
      </c>
      <c r="AL36" s="61" t="n">
        <f aca="false">IFERROR(IF(AND(AI36=1,OR(TRIM(U36)="Fail",AND(TRIM(AB36)&lt;&gt;"",TRIM(AB36)&lt;&gt;"Closed"),AND(ISNUMBER(AF36),AF36&lt;&gt;0,TRIM(U36)&lt;&gt;"Pass after CA"))),1,0),1)</f>
        <v>0</v>
      </c>
      <c r="AM36" s="61" t="n">
        <f aca="false">IF(LEFT(AH36,7)="INVALID",1,0)</f>
        <v>0</v>
      </c>
      <c r="AN36" s="61" t="n">
        <f aca="false">IF(AND(N36="Clarification required",AI36=1,AJ36=0),1,0)</f>
        <v>0</v>
      </c>
      <c r="AO36" s="61" t="str">
        <f aca="false">IF(AK36=1,SUM(AK$5:AK36),"")</f>
        <v/>
      </c>
      <c r="AP36" s="61" t="str">
        <f aca="false">IF(AL36=1,SUM(AL$5:AL36),"")</f>
        <v/>
      </c>
      <c r="AQ36" s="61" t="n">
        <v>0</v>
      </c>
      <c r="AR36" s="61" t="n">
        <v>0</v>
      </c>
      <c r="AS36" s="61" t="n">
        <v>1</v>
      </c>
      <c r="AT36" s="61" t="n">
        <v>0</v>
      </c>
      <c r="AU36" s="61" t="str">
        <f aca="false">SUBSTITUTE(SUBSTITUTE(SUBSTITUTE(SUBSTITUTE(SUBSTITUTE(SUBSTITUTE(SUBSTITUTE(SUBSTITUTE(SUBSTITUTE(SUBSTITUTE(SUBSTITUTE(SUBSTITUTE(SUBSTITUTE(LOWER(T36&amp;""),CHAR(160),"")," ",""),".",""),"-",""),"/",""),"?",""),"_",""),",",""),"[",""),"]",""),"(",""),")",""),"*","")</f>
        <v/>
      </c>
      <c r="AV36" s="61" t="str">
        <f aca="false">SUBSTITUTE(SUBSTITUTE(SUBSTITUTE(SUBSTITUTE(SUBSTITUTE(SUBSTITUTE(SUBSTITUTE(SUBSTITUTE(SUBSTITUTE(SUBSTITUTE(SUBSTITUTE(SUBSTITUTE(SUBSTITUTE(LOWER(V36&amp;""),CHAR(160),"")," ",""),".",""),"-",""),"/",""),"?",""),"_",""),",",""),"[",""),"]",""),"(",""),")",""),"*","")</f>
        <v/>
      </c>
      <c r="AW36" s="61" t="str">
        <f aca="false">SUBSTITUTE(SUBSTITUTE(SUBSTITUTE(SUBSTITUTE(SUBSTITUTE(SUBSTITUTE(SUBSTITUTE(SUBSTITUTE(SUBSTITUTE(SUBSTITUTE(SUBSTITUTE(SUBSTITUTE(SUBSTITUTE(LOWER(Z36&amp;""),CHAR(160),"")," ",""),".",""),"-",""),"/",""),"?",""),"_",""),",",""),"[",""),"]",""),"(",""),")",""),"*","")</f>
        <v/>
      </c>
      <c r="AX36" s="61" t="str">
        <f aca="false">SUBSTITUTE(SUBSTITUTE(SUBSTITUTE(SUBSTITUTE(SUBSTITUTE(SUBSTITUTE(SUBSTITUTE(SUBSTITUTE(SUBSTITUTE(SUBSTITUTE(SUBSTITUTE(SUBSTITUTE(SUBSTITUTE(LOWER(AE36&amp;""),CHAR(160),"")," ",""),".",""),"-",""),"/",""),"?",""),"_",""),",",""),"[",""),"]",""),"(",""),")",""),"*","")</f>
        <v/>
      </c>
      <c r="AY36" s="61" t="str">
        <f aca="false">SUBSTITUTE(SUBSTITUTE(SUBSTITUTE(SUBSTITUTE(SUBSTITUTE(SUBSTITUTE(SUBSTITUTE(SUBSTITUTE(SUBSTITUTE(SUBSTITUTE(SUBSTITUTE(SUBSTITUTE(SUBSTITUTE(LOWER(W36&amp;""),CHAR(160),"")," ",""),".",""),"-",""),"/",""),"?",""),"_",""),",",""),"[",""),"]",""),"(",""),")",""),"*","")</f>
        <v/>
      </c>
      <c r="AZ36" s="61" t="str">
        <f aca="false">SUBSTITUTE(SUBSTITUTE(SUBSTITUTE(SUBSTITUTE(SUBSTITUTE(SUBSTITUTE(SUBSTITUTE(SUBSTITUTE(SUBSTITUTE(SUBSTITUTE(SUBSTITUTE(SUBSTITUTE(SUBSTITUTE(LOWER(AC36&amp;""),CHAR(160),"")," ",""),".",""),"-",""),"/",""),"?",""),"_",""),",",""),"[",""),"]",""),"(",""),")",""),"*","")</f>
        <v/>
      </c>
      <c r="BA36" s="61" t="str">
        <f aca="false">SUBSTITUTE(SUBSTITUTE(SUBSTITUTE(SUBSTITUTE(SUBSTITUTE(SUBSTITUTE(SUBSTITUTE(SUBSTITUTE(SUBSTITUTE(SUBSTITUTE(SUBSTITUTE(SUBSTITUTE(SUBSTITUTE(LOWER(AA36&amp;""),CHAR(160),"")," ",""),".",""),"-",""),"/",""),"?",""),"_",""),",",""),"[",""),"]",""),"(",""),")",""),"*","")</f>
        <v/>
      </c>
      <c r="BB36" s="61" t="str">
        <f aca="false">IF(AND(TRIM(U36)="Pass",ISNUMBER(AF36)),IF(AF36&lt;&gt;0,"INVALID – qty variance: use Fail or Pass after CA",""),"")&amp;IF(AND(TRIM(U36)="Pass after CA",ISNUMBER(AF36)),IF(AF36&lt;&gt;0,"INVALID – after the corrective action the actual qty must equal expected (update Actual)",""),"")&amp;IF(AND(TRIM(U36)="Pass",TRIM(AB36)&lt;&gt;"",TRIM(AB36)&lt;&gt;"Closed"),"INVALID – corrective action not closed: use Fail, then Pass after CA","")&amp;IF(AND(TRIM(AA36)&lt;&gt;"",TRIM(AB36)=""),"INVALID – CA status missing for the recorded corrective action","")&amp;IF(AND(TRIM(U36)="Pass after CA",OR(OR(LEN(BA36)&lt;5,ISNUMBER(MATCH(BA36,L_Placeholder,0))),TRIM(AB36)&lt;&gt;"Closed")),"INVALID – corrective action not recorded/closed","")</f>
        <v/>
      </c>
    </row>
    <row r="37" customFormat="false" ht="39.75" hidden="false" customHeight="true" outlineLevel="0" collapsed="false">
      <c r="A37" s="57" t="s">
        <v>458</v>
      </c>
      <c r="B37" s="57" t="s">
        <v>195</v>
      </c>
      <c r="C37" s="57" t="str">
        <f aca="false">Flights!$F$6</f>
        <v>MH0727</v>
      </c>
      <c r="D37" s="58" t="n">
        <f aca="false">Flights!$D$6</f>
        <v>46304</v>
      </c>
      <c r="E37" s="57" t="str">
        <f aca="false">Flights!$G$6&amp;"-"&amp;Flights!$H$6</f>
        <v>KUL-CGK</v>
      </c>
      <c r="F37" s="57" t="str">
        <f aca="false">Flights!$K$6</f>
        <v>BC</v>
      </c>
      <c r="G37" s="57" t="s">
        <v>79</v>
      </c>
      <c r="H37" s="57" t="s">
        <v>356</v>
      </c>
      <c r="I37" s="57" t="s">
        <v>383</v>
      </c>
      <c r="J37" s="57" t="s">
        <v>387</v>
      </c>
      <c r="K37" s="67" t="s">
        <v>385</v>
      </c>
      <c r="L37" s="67" t="s">
        <v>360</v>
      </c>
      <c r="M37" s="67"/>
      <c r="N37" s="67" t="s">
        <v>361</v>
      </c>
      <c r="O37" s="67"/>
      <c r="P37" s="57" t="s">
        <v>184</v>
      </c>
      <c r="Q37" s="59" t="n">
        <f aca="false">ROUND((Flights!$AC$6)*1440,0)/1440</f>
        <v>46297.5763888889</v>
      </c>
      <c r="R37" s="59" t="n">
        <f aca="false">Q37+(IF(AND(INDEX(TZ_DSTS,MATCH(P37,TZ_STN,0))&lt;&gt;"",Q37&gt;=INDEX(TZ_DSTS,MATCH(P37,TZ_STN,0)),Q37&lt;INDEX(TZ_DSTE,MATCH(P37,TZ_STN,0))),INDEX(TZ_DST,MATCH(P37,TZ_STN,0)),INDEX(TZ_STD,MATCH(P37,TZ_STN,0))))/24</f>
        <v>46297.9097222222</v>
      </c>
      <c r="S37" s="59" t="n">
        <f aca="false">Q37-T7EarlyD*24/24</f>
        <v>46283.5763888889</v>
      </c>
      <c r="T37" s="60"/>
      <c r="U37" s="60"/>
      <c r="V37" s="60"/>
      <c r="W37" s="61"/>
      <c r="X37" s="60"/>
      <c r="Y37" s="60"/>
      <c r="Z37" s="60"/>
      <c r="AA37" s="60"/>
      <c r="AB37" s="60"/>
      <c r="AC37" s="60"/>
      <c r="AD37" s="66"/>
      <c r="AE37" s="60"/>
      <c r="AF37" s="61" t="str">
        <f aca="false">IF(AND(ISNUMBER(X37),ISNUMBER(Y37)),Y37-X37,"")</f>
        <v/>
      </c>
      <c r="AG37" s="62" t="str">
        <f aca="false">IF(ISNUMBER(AD37),AD37-(IF(AND(INDEX(TZ_DSTS,MATCH(P37,TZ_STN,0))&lt;&gt;"",(AD37-INDEX(TZ_STD,MATCH(P37,TZ_STN,0))/24)&gt;=INDEX(TZ_DSTS,MATCH(P37,TZ_STN,0)),(AD37-INDEX(TZ_STD,MATCH(P37,TZ_STN,0))/24)&lt;INDEX(TZ_DSTE,MATCH(P37,TZ_STN,0))),INDEX(TZ_DST,MATCH(P37,TZ_STN,0)),INDEX(TZ_STD,MATCH(P37,TZ_STN,0))))/24,"")</f>
        <v/>
      </c>
      <c r="AH37" s="65" t="str">
        <f aca="false">IFERROR(IF(N37="N/A – rule","N/A – RULE",IF(TRIM(U37)="N/A",IF(AT37=0,"INVALID – N/A not permitted for this check",IF(AND(TRIM(AB37)&lt;&gt;"",TRIM(AB37)&lt;&gt;"Closed"),"INVALID – corrective action still open",IF(AND(NOT(OR(LEN(AZ37)&lt;15,ISNUMBER(MATCH(AZ37,L_Placeholder,0)))),NOT(OR(LEN(AU37)&lt;2,ISNUMBER(MATCH(AU37,L_Placeholder,0)))),NOT(OR(LEN(AX37)&lt;2,ISNUMBER(MATCH(AX37,L_Placeholder,0)))),TRIM(AE37)&lt;&gt;TRIM(T37)),"N/A – JUSTIFIED","INVALID – N/A needs a real justification (15+ chars), PIC and a different verifier"))),IF(OR(TRIM(U37)="Pass",TRIM(U37)="Pass after CA"),IF(NOT(ISNUMBER(AD37)),"INVALID – completion time missing",IF(OR(LEN(AU37)&lt;2,ISNUMBER(MATCH(AU37,L_Placeholder,0))),"INVALID – PIC missing",IF(OR(LEN(AV37)&lt;2,ISNUMBER(MATCH(AV37,L_Placeholder,0))),"INVALID – result / assessment missing",IF(OR(OR(LEN(AW37)&lt;3,ISNUMBER(MATCH(AW37,L_Placeholder,0))),SUMPRODUCT(--ISNUMBER(SEARCH(L_EvidencePhrase,AW37)))&gt;0),"INVALID – evidence missing, placeholder or not yet on file",IF(OR(LEN(AX37)&lt;2,ISNUMBER(MATCH(AX37,L_Placeholder,0))),"INVALID – verifier missing",IF(AX37=AU37,"INVALID – verifier must be someone other than the PIC",IF(AND(TRIM(U37)="Pass",SUMPRODUCT(--ISNUMBER(SEARCH(L_ResultBad,AV37)))&gt;0),"INVALID – result describes a problem: use Fail, then Pass after CA",IF(AND(AQ37=1,OR(LEN(AY37)&lt;3,ISNUMBER(MATCH(AY37,L_Placeholder,0)))),"INVALID – batch ID missing or placeholder",IF(AND(AR37=1,OR(NOT(ISNUMBER(X37)),NOT(ISNUMBER(Y37)))),"INVALID – expected/actual qty missing",IF(AND(AR37=1,OR(X37&lt;=0,Y37&lt;0)),"INVALID – expected qty must be above 0 and actual not negative",IF(BB37&lt;&gt;"",BB37,IF(AND(AS37=1,Documents!$J$6&lt;&gt;"ON FILE"),"INVALID – GLD not on file (Documents sheet)",IF(AND(AS37=2,Documents!$O$6&lt;&gt;"ON FILE"),"INVALID – menu checklist not on file (Documents sheet)",IF(AND(AS37=3,NOT(ISNUMBER(Flights!$AX$6))),"INVALID – enter carrying flight KUL departure (Flights AX)",IF(AND(AS37=3,OR(Flights!$AZ$6&gt;Flights!$AA$6,Flights!$AX$6&lt;Flights!$AA$6-3)),"INVALID – carrying flight (Flights AX) cannot arrive before this leg's STD, or is over 3 days early",IF(AG37&gt;AsOfUTC,"INVALID – completion time is in the future",IF(AND(ISNUMBER(S37),AG37&lt;S37),IF(H37="Physical uplift","INVALID – before uplift window (cannot confirm loading)","INVALID – before valid window"),IF(AG37&gt;Flights!$AA$6,"INVALID – completed after departure (cannot establish readiness)",IF(AND(H37="Preparation",AG37&gt;IF(ISNUMBER(Flights!$BA$6),MIN(Flights!$BA$6,Flights!$AA$6),Flights!$AA$6)),"INVALID – completed after loading / departure (cannot establish readiness)",IF(AND(H37="Physical uplift",AG37&gt;Q37),"INVALID – recorded after the loading flight departed",IF(AG37&gt;Q37,"COMPLETE – LATE","COMPLETE"))))))))))))))))))))),IF(TRIM(U37)="Fail","FAIL – DISCREPANCY",IF(AND(TRIM(U37)&lt;&gt;"",TRIM(U37)&lt;&gt;"Not started",TRIM(U37)&lt;&gt;"In progress"),"INVALID – unrecognised status (use the list)",IF(AsOfUTC&gt;Q37,"OVERDUE",IF(N37="Clarification required","OPEN – CLARIFICATION","OPEN"))))))),"INVALID – error value in an input cell")</f>
        <v>OPEN</v>
      </c>
      <c r="AI37" s="61" t="n">
        <f aca="false">IF(OR(AH37="N/A – RULE",AH37="N/A – JUSTIFIED"),0,1)</f>
        <v>1</v>
      </c>
      <c r="AJ37" s="61" t="n">
        <f aca="false">IF(LEFT(AH37,8)="COMPLETE",1,0)</f>
        <v>0</v>
      </c>
      <c r="AK37" s="61" t="n">
        <f aca="false">IF(AND(AI37=1,AJ37=0,AsOfUTC&gt;Q37),1,0)</f>
        <v>0</v>
      </c>
      <c r="AL37" s="61" t="n">
        <f aca="false">IFERROR(IF(AND(AI37=1,OR(TRIM(U37)="Fail",AND(TRIM(AB37)&lt;&gt;"",TRIM(AB37)&lt;&gt;"Closed"),AND(ISNUMBER(AF37),AF37&lt;&gt;0,TRIM(U37)&lt;&gt;"Pass after CA"))),1,0),1)</f>
        <v>0</v>
      </c>
      <c r="AM37" s="61" t="n">
        <f aca="false">IF(LEFT(AH37,7)="INVALID",1,0)</f>
        <v>0</v>
      </c>
      <c r="AN37" s="61" t="n">
        <f aca="false">IF(AND(N37="Clarification required",AI37=1,AJ37=0),1,0)</f>
        <v>0</v>
      </c>
      <c r="AO37" s="61" t="str">
        <f aca="false">IF(AK37=1,SUM(AK$5:AK37),"")</f>
        <v/>
      </c>
      <c r="AP37" s="61" t="str">
        <f aca="false">IF(AL37=1,SUM(AL$5:AL37),"")</f>
        <v/>
      </c>
      <c r="AQ37" s="61" t="n">
        <v>0</v>
      </c>
      <c r="AR37" s="61" t="n">
        <v>0</v>
      </c>
      <c r="AS37" s="61" t="n">
        <v>2</v>
      </c>
      <c r="AT37" s="61" t="n">
        <v>0</v>
      </c>
      <c r="AU37" s="61" t="str">
        <f aca="false">SUBSTITUTE(SUBSTITUTE(SUBSTITUTE(SUBSTITUTE(SUBSTITUTE(SUBSTITUTE(SUBSTITUTE(SUBSTITUTE(SUBSTITUTE(SUBSTITUTE(SUBSTITUTE(SUBSTITUTE(SUBSTITUTE(LOWER(T37&amp;""),CHAR(160),"")," ",""),".",""),"-",""),"/",""),"?",""),"_",""),",",""),"[",""),"]",""),"(",""),")",""),"*","")</f>
        <v/>
      </c>
      <c r="AV37" s="61" t="str">
        <f aca="false">SUBSTITUTE(SUBSTITUTE(SUBSTITUTE(SUBSTITUTE(SUBSTITUTE(SUBSTITUTE(SUBSTITUTE(SUBSTITUTE(SUBSTITUTE(SUBSTITUTE(SUBSTITUTE(SUBSTITUTE(SUBSTITUTE(LOWER(V37&amp;""),CHAR(160),"")," ",""),".",""),"-",""),"/",""),"?",""),"_",""),",",""),"[",""),"]",""),"(",""),")",""),"*","")</f>
        <v/>
      </c>
      <c r="AW37" s="61" t="str">
        <f aca="false">SUBSTITUTE(SUBSTITUTE(SUBSTITUTE(SUBSTITUTE(SUBSTITUTE(SUBSTITUTE(SUBSTITUTE(SUBSTITUTE(SUBSTITUTE(SUBSTITUTE(SUBSTITUTE(SUBSTITUTE(SUBSTITUTE(LOWER(Z37&amp;""),CHAR(160),"")," ",""),".",""),"-",""),"/",""),"?",""),"_",""),",",""),"[",""),"]",""),"(",""),")",""),"*","")</f>
        <v/>
      </c>
      <c r="AX37" s="61" t="str">
        <f aca="false">SUBSTITUTE(SUBSTITUTE(SUBSTITUTE(SUBSTITUTE(SUBSTITUTE(SUBSTITUTE(SUBSTITUTE(SUBSTITUTE(SUBSTITUTE(SUBSTITUTE(SUBSTITUTE(SUBSTITUTE(SUBSTITUTE(LOWER(AE37&amp;""),CHAR(160),"")," ",""),".",""),"-",""),"/",""),"?",""),"_",""),",",""),"[",""),"]",""),"(",""),")",""),"*","")</f>
        <v/>
      </c>
      <c r="AY37" s="61" t="str">
        <f aca="false">SUBSTITUTE(SUBSTITUTE(SUBSTITUTE(SUBSTITUTE(SUBSTITUTE(SUBSTITUTE(SUBSTITUTE(SUBSTITUTE(SUBSTITUTE(SUBSTITUTE(SUBSTITUTE(SUBSTITUTE(SUBSTITUTE(LOWER(W37&amp;""),CHAR(160),"")," ",""),".",""),"-",""),"/",""),"?",""),"_",""),",",""),"[",""),"]",""),"(",""),")",""),"*","")</f>
        <v/>
      </c>
      <c r="AZ37" s="61" t="str">
        <f aca="false">SUBSTITUTE(SUBSTITUTE(SUBSTITUTE(SUBSTITUTE(SUBSTITUTE(SUBSTITUTE(SUBSTITUTE(SUBSTITUTE(SUBSTITUTE(SUBSTITUTE(SUBSTITUTE(SUBSTITUTE(SUBSTITUTE(LOWER(AC37&amp;""),CHAR(160),"")," ",""),".",""),"-",""),"/",""),"?",""),"_",""),",",""),"[",""),"]",""),"(",""),")",""),"*","")</f>
        <v/>
      </c>
      <c r="BA37" s="61" t="str">
        <f aca="false">SUBSTITUTE(SUBSTITUTE(SUBSTITUTE(SUBSTITUTE(SUBSTITUTE(SUBSTITUTE(SUBSTITUTE(SUBSTITUTE(SUBSTITUTE(SUBSTITUTE(SUBSTITUTE(SUBSTITUTE(SUBSTITUTE(LOWER(AA37&amp;""),CHAR(160),"")," ",""),".",""),"-",""),"/",""),"?",""),"_",""),",",""),"[",""),"]",""),"(",""),")",""),"*","")</f>
        <v/>
      </c>
      <c r="BB37" s="61" t="str">
        <f aca="false">IF(AND(TRIM(U37)="Pass",ISNUMBER(AF37)),IF(AF37&lt;&gt;0,"INVALID – qty variance: use Fail or Pass after CA",""),"")&amp;IF(AND(TRIM(U37)="Pass after CA",ISNUMBER(AF37)),IF(AF37&lt;&gt;0,"INVALID – after the corrective action the actual qty must equal expected (update Actual)",""),"")&amp;IF(AND(TRIM(U37)="Pass",TRIM(AB37)&lt;&gt;"",TRIM(AB37)&lt;&gt;"Closed"),"INVALID – corrective action not closed: use Fail, then Pass after CA","")&amp;IF(AND(TRIM(AA37)&lt;&gt;"",TRIM(AB37)=""),"INVALID – CA status missing for the recorded corrective action","")&amp;IF(AND(TRIM(U37)="Pass after CA",OR(OR(LEN(BA37)&lt;5,ISNUMBER(MATCH(BA37,L_Placeholder,0))),TRIM(AB37)&lt;&gt;"Closed")),"INVALID – corrective action not recorded/closed","")</f>
        <v/>
      </c>
    </row>
    <row r="38" customFormat="false" ht="39.75" hidden="false" customHeight="true" outlineLevel="0" collapsed="false">
      <c r="A38" s="57" t="s">
        <v>459</v>
      </c>
      <c r="B38" s="57" t="s">
        <v>195</v>
      </c>
      <c r="C38" s="57" t="str">
        <f aca="false">Flights!$F$6</f>
        <v>MH0727</v>
      </c>
      <c r="D38" s="58" t="n">
        <f aca="false">Flights!$D$6</f>
        <v>46304</v>
      </c>
      <c r="E38" s="57" t="str">
        <f aca="false">Flights!$G$6&amp;"-"&amp;Flights!$H$6</f>
        <v>KUL-CGK</v>
      </c>
      <c r="F38" s="57" t="str">
        <f aca="false">Flights!$K$6</f>
        <v>BC</v>
      </c>
      <c r="G38" s="57" t="s">
        <v>79</v>
      </c>
      <c r="H38" s="57" t="s">
        <v>356</v>
      </c>
      <c r="I38" s="57" t="s">
        <v>389</v>
      </c>
      <c r="J38" s="57" t="s">
        <v>390</v>
      </c>
      <c r="K38" s="67" t="s">
        <v>460</v>
      </c>
      <c r="L38" s="67" t="s">
        <v>461</v>
      </c>
      <c r="M38" s="67"/>
      <c r="N38" s="67" t="s">
        <v>361</v>
      </c>
      <c r="O38" s="67"/>
      <c r="P38" s="57" t="s">
        <v>184</v>
      </c>
      <c r="Q38" s="59" t="n">
        <f aca="false">ROUND((Flights!$AC$6)*1440,0)/1440</f>
        <v>46297.5763888889</v>
      </c>
      <c r="R38" s="59" t="n">
        <f aca="false">Q38+(IF(AND(INDEX(TZ_DSTS,MATCH(P38,TZ_STN,0))&lt;&gt;"",Q38&gt;=INDEX(TZ_DSTS,MATCH(P38,TZ_STN,0)),Q38&lt;INDEX(TZ_DSTE,MATCH(P38,TZ_STN,0))),INDEX(TZ_DST,MATCH(P38,TZ_STN,0)),INDEX(TZ_STD,MATCH(P38,TZ_STN,0))))/24</f>
        <v>46297.9097222222</v>
      </c>
      <c r="S38" s="59" t="n">
        <f aca="false">Q38-T7EarlyD*24/24</f>
        <v>46283.5763888889</v>
      </c>
      <c r="T38" s="60"/>
      <c r="U38" s="60"/>
      <c r="V38" s="60"/>
      <c r="W38" s="61"/>
      <c r="X38" s="60"/>
      <c r="Y38" s="60"/>
      <c r="Z38" s="60"/>
      <c r="AA38" s="60"/>
      <c r="AB38" s="60"/>
      <c r="AC38" s="60"/>
      <c r="AD38" s="66"/>
      <c r="AE38" s="60"/>
      <c r="AF38" s="61" t="str">
        <f aca="false">IF(AND(ISNUMBER(X38),ISNUMBER(Y38)),Y38-X38,"")</f>
        <v/>
      </c>
      <c r="AG38" s="62" t="str">
        <f aca="false">IF(ISNUMBER(AD38),AD38-(IF(AND(INDEX(TZ_DSTS,MATCH(P38,TZ_STN,0))&lt;&gt;"",(AD38-INDEX(TZ_STD,MATCH(P38,TZ_STN,0))/24)&gt;=INDEX(TZ_DSTS,MATCH(P38,TZ_STN,0)),(AD38-INDEX(TZ_STD,MATCH(P38,TZ_STN,0))/24)&lt;INDEX(TZ_DSTE,MATCH(P38,TZ_STN,0))),INDEX(TZ_DST,MATCH(P38,TZ_STN,0)),INDEX(TZ_STD,MATCH(P38,TZ_STN,0))))/24,"")</f>
        <v/>
      </c>
      <c r="AH38" s="65" t="str">
        <f aca="false">IFERROR(IF(N38="N/A – rule","N/A – RULE",IF(TRIM(U38)="N/A",IF(AT38=0,"INVALID – N/A not permitted for this check",IF(AND(TRIM(AB38)&lt;&gt;"",TRIM(AB38)&lt;&gt;"Closed"),"INVALID – corrective action still open",IF(AND(NOT(OR(LEN(AZ38)&lt;15,ISNUMBER(MATCH(AZ38,L_Placeholder,0)))),NOT(OR(LEN(AU38)&lt;2,ISNUMBER(MATCH(AU38,L_Placeholder,0)))),NOT(OR(LEN(AX38)&lt;2,ISNUMBER(MATCH(AX38,L_Placeholder,0)))),TRIM(AE38)&lt;&gt;TRIM(T38)),"N/A – JUSTIFIED","INVALID – N/A needs a real justification (15+ chars), PIC and a different verifier"))),IF(OR(TRIM(U38)="Pass",TRIM(U38)="Pass after CA"),IF(NOT(ISNUMBER(AD38)),"INVALID – completion time missing",IF(OR(LEN(AU38)&lt;2,ISNUMBER(MATCH(AU38,L_Placeholder,0))),"INVALID – PIC missing",IF(OR(LEN(AV38)&lt;2,ISNUMBER(MATCH(AV38,L_Placeholder,0))),"INVALID – result / assessment missing",IF(OR(OR(LEN(AW38)&lt;3,ISNUMBER(MATCH(AW38,L_Placeholder,0))),SUMPRODUCT(--ISNUMBER(SEARCH(L_EvidencePhrase,AW38)))&gt;0),"INVALID – evidence missing, placeholder or not yet on file",IF(OR(LEN(AX38)&lt;2,ISNUMBER(MATCH(AX38,L_Placeholder,0))),"INVALID – verifier missing",IF(AX38=AU38,"INVALID – verifier must be someone other than the PIC",IF(AND(TRIM(U38)="Pass",SUMPRODUCT(--ISNUMBER(SEARCH(L_ResultBad,AV38)))&gt;0),"INVALID – result describes a problem: use Fail, then Pass after CA",IF(AND(AQ38=1,OR(LEN(AY38)&lt;3,ISNUMBER(MATCH(AY38,L_Placeholder,0)))),"INVALID – batch ID missing or placeholder",IF(AND(AR38=1,OR(NOT(ISNUMBER(X38)),NOT(ISNUMBER(Y38)))),"INVALID – expected/actual qty missing",IF(AND(AR38=1,OR(X38&lt;=0,Y38&lt;0)),"INVALID – expected qty must be above 0 and actual not negative",IF(BB38&lt;&gt;"",BB38,IF(AND(AS38=1,Documents!$J$6&lt;&gt;"ON FILE"),"INVALID – GLD not on file (Documents sheet)",IF(AND(AS38=2,Documents!$O$6&lt;&gt;"ON FILE"),"INVALID – menu checklist not on file (Documents sheet)",IF(AND(AS38=3,NOT(ISNUMBER(Flights!$AX$6))),"INVALID – enter carrying flight KUL departure (Flights AX)",IF(AND(AS38=3,OR(Flights!$AZ$6&gt;Flights!$AA$6,Flights!$AX$6&lt;Flights!$AA$6-3)),"INVALID – carrying flight (Flights AX) cannot arrive before this leg's STD, or is over 3 days early",IF(AG38&gt;AsOfUTC,"INVALID – completion time is in the future",IF(AND(ISNUMBER(S38),AG38&lt;S38),IF(H38="Physical uplift","INVALID – before uplift window (cannot confirm loading)","INVALID – before valid window"),IF(AG38&gt;Flights!$AA$6,"INVALID – completed after departure (cannot establish readiness)",IF(AND(H38="Preparation",AG38&gt;IF(ISNUMBER(Flights!$BA$6),MIN(Flights!$BA$6,Flights!$AA$6),Flights!$AA$6)),"INVALID – completed after loading / departure (cannot establish readiness)",IF(AND(H38="Physical uplift",AG38&gt;Q38),"INVALID – recorded after the loading flight departed",IF(AG38&gt;Q38,"COMPLETE – LATE","COMPLETE"))))))))))))))))))))),IF(TRIM(U38)="Fail","FAIL – DISCREPANCY",IF(AND(TRIM(U38)&lt;&gt;"",TRIM(U38)&lt;&gt;"Not started",TRIM(U38)&lt;&gt;"In progress"),"INVALID – unrecognised status (use the list)",IF(AsOfUTC&gt;Q38,"OVERDUE",IF(N38="Clarification required","OPEN – CLARIFICATION","OPEN"))))))),"INVALID – error value in an input cell")</f>
        <v>OPEN</v>
      </c>
      <c r="AI38" s="61" t="n">
        <f aca="false">IF(OR(AH38="N/A – RULE",AH38="N/A – JUSTIFIED"),0,1)</f>
        <v>1</v>
      </c>
      <c r="AJ38" s="61" t="n">
        <f aca="false">IF(LEFT(AH38,8)="COMPLETE",1,0)</f>
        <v>0</v>
      </c>
      <c r="AK38" s="61" t="n">
        <f aca="false">IF(AND(AI38=1,AJ38=0,AsOfUTC&gt;Q38),1,0)</f>
        <v>0</v>
      </c>
      <c r="AL38" s="61" t="n">
        <f aca="false">IFERROR(IF(AND(AI38=1,OR(TRIM(U38)="Fail",AND(TRIM(AB38)&lt;&gt;"",TRIM(AB38)&lt;&gt;"Closed"),AND(ISNUMBER(AF38),AF38&lt;&gt;0,TRIM(U38)&lt;&gt;"Pass after CA"))),1,0),1)</f>
        <v>0</v>
      </c>
      <c r="AM38" s="61" t="n">
        <f aca="false">IF(LEFT(AH38,7)="INVALID",1,0)</f>
        <v>0</v>
      </c>
      <c r="AN38" s="61" t="n">
        <f aca="false">IF(AND(N38="Clarification required",AI38=1,AJ38=0),1,0)</f>
        <v>0</v>
      </c>
      <c r="AO38" s="61" t="str">
        <f aca="false">IF(AK38=1,SUM(AK$5:AK38),"")</f>
        <v/>
      </c>
      <c r="AP38" s="61" t="str">
        <f aca="false">IF(AL38=1,SUM(AL$5:AL38),"")</f>
        <v/>
      </c>
      <c r="AQ38" s="61" t="n">
        <v>0</v>
      </c>
      <c r="AR38" s="61" t="n">
        <v>0</v>
      </c>
      <c r="AS38" s="61" t="n">
        <v>0</v>
      </c>
      <c r="AT38" s="61" t="n">
        <v>0</v>
      </c>
      <c r="AU38" s="61" t="str">
        <f aca="false">SUBSTITUTE(SUBSTITUTE(SUBSTITUTE(SUBSTITUTE(SUBSTITUTE(SUBSTITUTE(SUBSTITUTE(SUBSTITUTE(SUBSTITUTE(SUBSTITUTE(SUBSTITUTE(SUBSTITUTE(SUBSTITUTE(LOWER(T38&amp;""),CHAR(160),"")," ",""),".",""),"-",""),"/",""),"?",""),"_",""),",",""),"[",""),"]",""),"(",""),")",""),"*","")</f>
        <v/>
      </c>
      <c r="AV38" s="61" t="str">
        <f aca="false">SUBSTITUTE(SUBSTITUTE(SUBSTITUTE(SUBSTITUTE(SUBSTITUTE(SUBSTITUTE(SUBSTITUTE(SUBSTITUTE(SUBSTITUTE(SUBSTITUTE(SUBSTITUTE(SUBSTITUTE(SUBSTITUTE(LOWER(V38&amp;""),CHAR(160),"")," ",""),".",""),"-",""),"/",""),"?",""),"_",""),",",""),"[",""),"]",""),"(",""),")",""),"*","")</f>
        <v/>
      </c>
      <c r="AW38" s="61" t="str">
        <f aca="false">SUBSTITUTE(SUBSTITUTE(SUBSTITUTE(SUBSTITUTE(SUBSTITUTE(SUBSTITUTE(SUBSTITUTE(SUBSTITUTE(SUBSTITUTE(SUBSTITUTE(SUBSTITUTE(SUBSTITUTE(SUBSTITUTE(LOWER(Z38&amp;""),CHAR(160),"")," ",""),".",""),"-",""),"/",""),"?",""),"_",""),",",""),"[",""),"]",""),"(",""),")",""),"*","")</f>
        <v/>
      </c>
      <c r="AX38" s="61" t="str">
        <f aca="false">SUBSTITUTE(SUBSTITUTE(SUBSTITUTE(SUBSTITUTE(SUBSTITUTE(SUBSTITUTE(SUBSTITUTE(SUBSTITUTE(SUBSTITUTE(SUBSTITUTE(SUBSTITUTE(SUBSTITUTE(SUBSTITUTE(LOWER(AE38&amp;""),CHAR(160),"")," ",""),".",""),"-",""),"/",""),"?",""),"_",""),",",""),"[",""),"]",""),"(",""),")",""),"*","")</f>
        <v/>
      </c>
      <c r="AY38" s="61" t="str">
        <f aca="false">SUBSTITUTE(SUBSTITUTE(SUBSTITUTE(SUBSTITUTE(SUBSTITUTE(SUBSTITUTE(SUBSTITUTE(SUBSTITUTE(SUBSTITUTE(SUBSTITUTE(SUBSTITUTE(SUBSTITUTE(SUBSTITUTE(LOWER(W38&amp;""),CHAR(160),"")," ",""),".",""),"-",""),"/",""),"?",""),"_",""),",",""),"[",""),"]",""),"(",""),")",""),"*","")</f>
        <v/>
      </c>
      <c r="AZ38" s="61" t="str">
        <f aca="false">SUBSTITUTE(SUBSTITUTE(SUBSTITUTE(SUBSTITUTE(SUBSTITUTE(SUBSTITUTE(SUBSTITUTE(SUBSTITUTE(SUBSTITUTE(SUBSTITUTE(SUBSTITUTE(SUBSTITUTE(SUBSTITUTE(LOWER(AC38&amp;""),CHAR(160),"")," ",""),".",""),"-",""),"/",""),"?",""),"_",""),",",""),"[",""),"]",""),"(",""),")",""),"*","")</f>
        <v/>
      </c>
      <c r="BA38" s="61" t="str">
        <f aca="false">SUBSTITUTE(SUBSTITUTE(SUBSTITUTE(SUBSTITUTE(SUBSTITUTE(SUBSTITUTE(SUBSTITUTE(SUBSTITUTE(SUBSTITUTE(SUBSTITUTE(SUBSTITUTE(SUBSTITUTE(SUBSTITUTE(LOWER(AA38&amp;""),CHAR(160),"")," ",""),".",""),"-",""),"/",""),"?",""),"_",""),",",""),"[",""),"]",""),"(",""),")",""),"*","")</f>
        <v/>
      </c>
      <c r="BB38" s="61" t="str">
        <f aca="false">IF(AND(TRIM(U38)="Pass",ISNUMBER(AF38)),IF(AF38&lt;&gt;0,"INVALID – qty variance: use Fail or Pass after CA",""),"")&amp;IF(AND(TRIM(U38)="Pass after CA",ISNUMBER(AF38)),IF(AF38&lt;&gt;0,"INVALID – after the corrective action the actual qty must equal expected (update Actual)",""),"")&amp;IF(AND(TRIM(U38)="Pass",TRIM(AB38)&lt;&gt;"",TRIM(AB38)&lt;&gt;"Closed"),"INVALID – corrective action not closed: use Fail, then Pass after CA","")&amp;IF(AND(TRIM(AA38)&lt;&gt;"",TRIM(AB38)=""),"INVALID – CA status missing for the recorded corrective action","")&amp;IF(AND(TRIM(U38)="Pass after CA",OR(OR(LEN(BA38)&lt;5,ISNUMBER(MATCH(BA38,L_Placeholder,0))),TRIM(AB38)&lt;&gt;"Closed")),"INVALID – corrective action not recorded/closed","")</f>
        <v/>
      </c>
    </row>
    <row r="39" customFormat="false" ht="39.75" hidden="false" customHeight="true" outlineLevel="0" collapsed="false">
      <c r="A39" s="57" t="s">
        <v>462</v>
      </c>
      <c r="B39" s="57" t="s">
        <v>195</v>
      </c>
      <c r="C39" s="57" t="str">
        <f aca="false">Flights!$F$6</f>
        <v>MH0727</v>
      </c>
      <c r="D39" s="58" t="n">
        <f aca="false">Flights!$D$6</f>
        <v>46304</v>
      </c>
      <c r="E39" s="57" t="str">
        <f aca="false">Flights!$G$6&amp;"-"&amp;Flights!$H$6</f>
        <v>KUL-CGK</v>
      </c>
      <c r="F39" s="57" t="str">
        <f aca="false">Flights!$K$6</f>
        <v>BC</v>
      </c>
      <c r="G39" s="57" t="s">
        <v>81</v>
      </c>
      <c r="H39" s="57" t="s">
        <v>356</v>
      </c>
      <c r="I39" s="57" t="s">
        <v>357</v>
      </c>
      <c r="J39" s="57" t="s">
        <v>394</v>
      </c>
      <c r="K39" s="67" t="s">
        <v>395</v>
      </c>
      <c r="L39" s="67" t="s">
        <v>396</v>
      </c>
      <c r="M39" s="67"/>
      <c r="N39" s="67" t="s">
        <v>361</v>
      </c>
      <c r="O39" s="67"/>
      <c r="P39" s="57" t="s">
        <v>184</v>
      </c>
      <c r="Q39" s="59" t="n">
        <f aca="false">ROUND((Flights!$AD$6)*1440,0)/1440</f>
        <v>46303.5763888889</v>
      </c>
      <c r="R39" s="59" t="n">
        <f aca="false">Q39+(IF(AND(INDEX(TZ_DSTS,MATCH(P39,TZ_STN,0))&lt;&gt;"",Q39&gt;=INDEX(TZ_DSTS,MATCH(P39,TZ_STN,0)),Q39&lt;INDEX(TZ_DSTE,MATCH(P39,TZ_STN,0))),INDEX(TZ_DST,MATCH(P39,TZ_STN,0)),INDEX(TZ_STD,MATCH(P39,TZ_STN,0))))/24</f>
        <v>46303.9097222222</v>
      </c>
      <c r="S39" s="59" t="n">
        <f aca="false">Q39-T24EarlyH/24</f>
        <v>46302.5763888889</v>
      </c>
      <c r="T39" s="60"/>
      <c r="U39" s="60"/>
      <c r="V39" s="60"/>
      <c r="W39" s="60"/>
      <c r="X39" s="60"/>
      <c r="Y39" s="60"/>
      <c r="Z39" s="60"/>
      <c r="AA39" s="60"/>
      <c r="AB39" s="60"/>
      <c r="AC39" s="60"/>
      <c r="AD39" s="66"/>
      <c r="AE39" s="60"/>
      <c r="AF39" s="61" t="str">
        <f aca="false">IF(AND(ISNUMBER(X39),ISNUMBER(Y39)),Y39-X39,"")</f>
        <v/>
      </c>
      <c r="AG39" s="62" t="str">
        <f aca="false">IF(ISNUMBER(AD39),AD39-(IF(AND(INDEX(TZ_DSTS,MATCH(P39,TZ_STN,0))&lt;&gt;"",(AD39-INDEX(TZ_STD,MATCH(P39,TZ_STN,0))/24)&gt;=INDEX(TZ_DSTS,MATCH(P39,TZ_STN,0)),(AD39-INDEX(TZ_STD,MATCH(P39,TZ_STN,0))/24)&lt;INDEX(TZ_DSTE,MATCH(P39,TZ_STN,0))),INDEX(TZ_DST,MATCH(P39,TZ_STN,0)),INDEX(TZ_STD,MATCH(P39,TZ_STN,0))))/24,"")</f>
        <v/>
      </c>
      <c r="AH39" s="65" t="str">
        <f aca="false">IFERROR(IF(N39="N/A – rule","N/A – RULE",IF(TRIM(U39)="N/A",IF(AT39=0,"INVALID – N/A not permitted for this check",IF(AND(TRIM(AB39)&lt;&gt;"",TRIM(AB39)&lt;&gt;"Closed"),"INVALID – corrective action still open",IF(AND(NOT(OR(LEN(AZ39)&lt;15,ISNUMBER(MATCH(AZ39,L_Placeholder,0)))),NOT(OR(LEN(AU39)&lt;2,ISNUMBER(MATCH(AU39,L_Placeholder,0)))),NOT(OR(LEN(AX39)&lt;2,ISNUMBER(MATCH(AX39,L_Placeholder,0)))),TRIM(AE39)&lt;&gt;TRIM(T39)),"N/A – JUSTIFIED","INVALID – N/A needs a real justification (15+ chars), PIC and a different verifier"))),IF(OR(TRIM(U39)="Pass",TRIM(U39)="Pass after CA"),IF(NOT(ISNUMBER(AD39)),"INVALID – completion time missing",IF(OR(LEN(AU39)&lt;2,ISNUMBER(MATCH(AU39,L_Placeholder,0))),"INVALID – PIC missing",IF(OR(LEN(AV39)&lt;2,ISNUMBER(MATCH(AV39,L_Placeholder,0))),"INVALID – result / assessment missing",IF(OR(OR(LEN(AW39)&lt;3,ISNUMBER(MATCH(AW39,L_Placeholder,0))),SUMPRODUCT(--ISNUMBER(SEARCH(L_EvidencePhrase,AW39)))&gt;0),"INVALID – evidence missing, placeholder or not yet on file",IF(OR(LEN(AX39)&lt;2,ISNUMBER(MATCH(AX39,L_Placeholder,0))),"INVALID – verifier missing",IF(AX39=AU39,"INVALID – verifier must be someone other than the PIC",IF(AND(TRIM(U39)="Pass",SUMPRODUCT(--ISNUMBER(SEARCH(L_ResultBad,AV39)))&gt;0),"INVALID – result describes a problem: use Fail, then Pass after CA",IF(AND(AQ39=1,OR(LEN(AY39)&lt;3,ISNUMBER(MATCH(AY39,L_Placeholder,0)))),"INVALID – batch ID missing or placeholder",IF(AND(AR39=1,OR(NOT(ISNUMBER(X39)),NOT(ISNUMBER(Y39)))),"INVALID – expected/actual qty missing",IF(AND(AR39=1,OR(X39&lt;=0,Y39&lt;0)),"INVALID – expected qty must be above 0 and actual not negative",IF(BB39&lt;&gt;"",BB39,IF(AND(AS39=1,Documents!$J$6&lt;&gt;"ON FILE"),"INVALID – GLD not on file (Documents sheet)",IF(AND(AS39=2,Documents!$O$6&lt;&gt;"ON FILE"),"INVALID – menu checklist not on file (Documents sheet)",IF(AND(AS39=3,NOT(ISNUMBER(Flights!$AX$6))),"INVALID – enter carrying flight KUL departure (Flights AX)",IF(AND(AS39=3,OR(Flights!$AZ$6&gt;Flights!$AA$6,Flights!$AX$6&lt;Flights!$AA$6-3)),"INVALID – carrying flight (Flights AX) cannot arrive before this leg's STD, or is over 3 days early",IF(AG39&gt;AsOfUTC,"INVALID – completion time is in the future",IF(AND(ISNUMBER(S39),AG39&lt;S39),IF(H39="Physical uplift","INVALID – before uplift window (cannot confirm loading)","INVALID – before valid window"),IF(AG39&gt;Flights!$AA$6,"INVALID – completed after departure (cannot establish readiness)",IF(AND(H39="Preparation",AG39&gt;IF(ISNUMBER(Flights!$BA$6),MIN(Flights!$BA$6,Flights!$AA$6),Flights!$AA$6)),"INVALID – completed after loading / departure (cannot establish readiness)",IF(AND(H39="Physical uplift",AG39&gt;Q39),"INVALID – recorded after the loading flight departed",IF(AG39&gt;Q39,"COMPLETE – LATE","COMPLETE"))))))))))))))))))))),IF(TRIM(U39)="Fail","FAIL – DISCREPANCY",IF(AND(TRIM(U39)&lt;&gt;"",TRIM(U39)&lt;&gt;"Not started",TRIM(U39)&lt;&gt;"In progress"),"INVALID – unrecognised status (use the list)",IF(AsOfUTC&gt;Q39,"OVERDUE",IF(N39="Clarification required","OPEN – CLARIFICATION","OPEN"))))))),"INVALID – error value in an input cell")</f>
        <v>OPEN</v>
      </c>
      <c r="AI39" s="61" t="n">
        <f aca="false">IF(OR(AH39="N/A – RULE",AH39="N/A – JUSTIFIED"),0,1)</f>
        <v>1</v>
      </c>
      <c r="AJ39" s="61" t="n">
        <f aca="false">IF(LEFT(AH39,8)="COMPLETE",1,0)</f>
        <v>0</v>
      </c>
      <c r="AK39" s="61" t="n">
        <f aca="false">IF(AND(AI39=1,AJ39=0,AsOfUTC&gt;Q39),1,0)</f>
        <v>0</v>
      </c>
      <c r="AL39" s="61" t="n">
        <f aca="false">IFERROR(IF(AND(AI39=1,OR(TRIM(U39)="Fail",AND(TRIM(AB39)&lt;&gt;"",TRIM(AB39)&lt;&gt;"Closed"),AND(ISNUMBER(AF39),AF39&lt;&gt;0,TRIM(U39)&lt;&gt;"Pass after CA"))),1,0),1)</f>
        <v>0</v>
      </c>
      <c r="AM39" s="61" t="n">
        <f aca="false">IF(LEFT(AH39,7)="INVALID",1,0)</f>
        <v>0</v>
      </c>
      <c r="AN39" s="61" t="n">
        <f aca="false">IF(AND(N39="Clarification required",AI39=1,AJ39=0),1,0)</f>
        <v>0</v>
      </c>
      <c r="AO39" s="61" t="str">
        <f aca="false">IF(AK39=1,SUM(AK$5:AK39),"")</f>
        <v/>
      </c>
      <c r="AP39" s="61" t="str">
        <f aca="false">IF(AL39=1,SUM(AL$5:AL39),"")</f>
        <v/>
      </c>
      <c r="AQ39" s="61" t="n">
        <v>1</v>
      </c>
      <c r="AR39" s="61" t="n">
        <v>0</v>
      </c>
      <c r="AS39" s="61" t="n">
        <v>0</v>
      </c>
      <c r="AT39" s="61" t="n">
        <v>0</v>
      </c>
      <c r="AU39" s="61" t="str">
        <f aca="false">SUBSTITUTE(SUBSTITUTE(SUBSTITUTE(SUBSTITUTE(SUBSTITUTE(SUBSTITUTE(SUBSTITUTE(SUBSTITUTE(SUBSTITUTE(SUBSTITUTE(SUBSTITUTE(SUBSTITUTE(SUBSTITUTE(LOWER(T39&amp;""),CHAR(160),"")," ",""),".",""),"-",""),"/",""),"?",""),"_",""),",",""),"[",""),"]",""),"(",""),")",""),"*","")</f>
        <v/>
      </c>
      <c r="AV39" s="61" t="str">
        <f aca="false">SUBSTITUTE(SUBSTITUTE(SUBSTITUTE(SUBSTITUTE(SUBSTITUTE(SUBSTITUTE(SUBSTITUTE(SUBSTITUTE(SUBSTITUTE(SUBSTITUTE(SUBSTITUTE(SUBSTITUTE(SUBSTITUTE(LOWER(V39&amp;""),CHAR(160),"")," ",""),".",""),"-",""),"/",""),"?",""),"_",""),",",""),"[",""),"]",""),"(",""),")",""),"*","")</f>
        <v/>
      </c>
      <c r="AW39" s="61" t="str">
        <f aca="false">SUBSTITUTE(SUBSTITUTE(SUBSTITUTE(SUBSTITUTE(SUBSTITUTE(SUBSTITUTE(SUBSTITUTE(SUBSTITUTE(SUBSTITUTE(SUBSTITUTE(SUBSTITUTE(SUBSTITUTE(SUBSTITUTE(LOWER(Z39&amp;""),CHAR(160),"")," ",""),".",""),"-",""),"/",""),"?",""),"_",""),",",""),"[",""),"]",""),"(",""),")",""),"*","")</f>
        <v/>
      </c>
      <c r="AX39" s="61" t="str">
        <f aca="false">SUBSTITUTE(SUBSTITUTE(SUBSTITUTE(SUBSTITUTE(SUBSTITUTE(SUBSTITUTE(SUBSTITUTE(SUBSTITUTE(SUBSTITUTE(SUBSTITUTE(SUBSTITUTE(SUBSTITUTE(SUBSTITUTE(LOWER(AE39&amp;""),CHAR(160),"")," ",""),".",""),"-",""),"/",""),"?",""),"_",""),",",""),"[",""),"]",""),"(",""),")",""),"*","")</f>
        <v/>
      </c>
      <c r="AY39" s="61" t="str">
        <f aca="false">SUBSTITUTE(SUBSTITUTE(SUBSTITUTE(SUBSTITUTE(SUBSTITUTE(SUBSTITUTE(SUBSTITUTE(SUBSTITUTE(SUBSTITUTE(SUBSTITUTE(SUBSTITUTE(SUBSTITUTE(SUBSTITUTE(LOWER(W39&amp;""),CHAR(160),"")," ",""),".",""),"-",""),"/",""),"?",""),"_",""),",",""),"[",""),"]",""),"(",""),")",""),"*","")</f>
        <v/>
      </c>
      <c r="AZ39" s="61" t="str">
        <f aca="false">SUBSTITUTE(SUBSTITUTE(SUBSTITUTE(SUBSTITUTE(SUBSTITUTE(SUBSTITUTE(SUBSTITUTE(SUBSTITUTE(SUBSTITUTE(SUBSTITUTE(SUBSTITUTE(SUBSTITUTE(SUBSTITUTE(LOWER(AC39&amp;""),CHAR(160),"")," ",""),".",""),"-",""),"/",""),"?",""),"_",""),",",""),"[",""),"]",""),"(",""),")",""),"*","")</f>
        <v/>
      </c>
      <c r="BA39" s="61" t="str">
        <f aca="false">SUBSTITUTE(SUBSTITUTE(SUBSTITUTE(SUBSTITUTE(SUBSTITUTE(SUBSTITUTE(SUBSTITUTE(SUBSTITUTE(SUBSTITUTE(SUBSTITUTE(SUBSTITUTE(SUBSTITUTE(SUBSTITUTE(LOWER(AA39&amp;""),CHAR(160),"")," ",""),".",""),"-",""),"/",""),"?",""),"_",""),",",""),"[",""),"]",""),"(",""),")",""),"*","")</f>
        <v/>
      </c>
      <c r="BB39" s="61" t="str">
        <f aca="false">IF(AND(TRIM(U39)="Pass",ISNUMBER(AF39)),IF(AF39&lt;&gt;0,"INVALID – qty variance: use Fail or Pass after CA",""),"")&amp;IF(AND(TRIM(U39)="Pass after CA",ISNUMBER(AF39)),IF(AF39&lt;&gt;0,"INVALID – after the corrective action the actual qty must equal expected (update Actual)",""),"")&amp;IF(AND(TRIM(U39)="Pass",TRIM(AB39)&lt;&gt;"",TRIM(AB39)&lt;&gt;"Closed"),"INVALID – corrective action not closed: use Fail, then Pass after CA","")&amp;IF(AND(TRIM(AA39)&lt;&gt;"",TRIM(AB39)=""),"INVALID – CA status missing for the recorded corrective action","")&amp;IF(AND(TRIM(U39)="Pass after CA",OR(OR(LEN(BA39)&lt;5,ISNUMBER(MATCH(BA39,L_Placeholder,0))),TRIM(AB39)&lt;&gt;"Closed")),"INVALID – corrective action not recorded/closed","")</f>
        <v/>
      </c>
    </row>
    <row r="40" customFormat="false" ht="39.75" hidden="false" customHeight="true" outlineLevel="0" collapsed="false">
      <c r="A40" s="57" t="s">
        <v>463</v>
      </c>
      <c r="B40" s="57" t="s">
        <v>195</v>
      </c>
      <c r="C40" s="57" t="str">
        <f aca="false">Flights!$F$6</f>
        <v>MH0727</v>
      </c>
      <c r="D40" s="58" t="n">
        <f aca="false">Flights!$D$6</f>
        <v>46304</v>
      </c>
      <c r="E40" s="57" t="str">
        <f aca="false">Flights!$G$6&amp;"-"&amp;Flights!$H$6</f>
        <v>KUL-CGK</v>
      </c>
      <c r="F40" s="57" t="str">
        <f aca="false">Flights!$K$6</f>
        <v>BC</v>
      </c>
      <c r="G40" s="57" t="s">
        <v>398</v>
      </c>
      <c r="H40" s="57" t="s">
        <v>356</v>
      </c>
      <c r="I40" s="57" t="s">
        <v>357</v>
      </c>
      <c r="J40" s="57" t="s">
        <v>399</v>
      </c>
      <c r="K40" s="67"/>
      <c r="L40" s="67" t="s">
        <v>400</v>
      </c>
      <c r="M40" s="67"/>
      <c r="N40" s="67" t="s">
        <v>361</v>
      </c>
      <c r="O40" s="67" t="s">
        <v>401</v>
      </c>
      <c r="P40" s="57" t="s">
        <v>184</v>
      </c>
      <c r="Q40" s="59" t="n">
        <f aca="false">ROUND((Flights!$AE$6)*1440,0)/1440</f>
        <v>46304.0763888889</v>
      </c>
      <c r="R40" s="59" t="n">
        <f aca="false">Q40+(IF(AND(INDEX(TZ_DSTS,MATCH(P40,TZ_STN,0))&lt;&gt;"",Q40&gt;=INDEX(TZ_DSTS,MATCH(P40,TZ_STN,0)),Q40&lt;INDEX(TZ_DSTE,MATCH(P40,TZ_STN,0))),INDEX(TZ_DST,MATCH(P40,TZ_STN,0)),INDEX(TZ_STD,MATCH(P40,TZ_STN,0))))/24</f>
        <v>46304.4097222222</v>
      </c>
      <c r="S40" s="59" t="n">
        <f aca="false">Q40-T12EarlyH/24</f>
        <v>46303.5763888889</v>
      </c>
      <c r="T40" s="60"/>
      <c r="U40" s="60"/>
      <c r="V40" s="60"/>
      <c r="W40" s="61"/>
      <c r="X40" s="60"/>
      <c r="Y40" s="60"/>
      <c r="Z40" s="60"/>
      <c r="AA40" s="60"/>
      <c r="AB40" s="60"/>
      <c r="AC40" s="60"/>
      <c r="AD40" s="66"/>
      <c r="AE40" s="60"/>
      <c r="AF40" s="61" t="str">
        <f aca="false">IF(AND(ISNUMBER(X40),ISNUMBER(Y40)),Y40-X40,"")</f>
        <v/>
      </c>
      <c r="AG40" s="62" t="str">
        <f aca="false">IF(ISNUMBER(AD40),AD40-(IF(AND(INDEX(TZ_DSTS,MATCH(P40,TZ_STN,0))&lt;&gt;"",(AD40-INDEX(TZ_STD,MATCH(P40,TZ_STN,0))/24)&gt;=INDEX(TZ_DSTS,MATCH(P40,TZ_STN,0)),(AD40-INDEX(TZ_STD,MATCH(P40,TZ_STN,0))/24)&lt;INDEX(TZ_DSTE,MATCH(P40,TZ_STN,0))),INDEX(TZ_DST,MATCH(P40,TZ_STN,0)),INDEX(TZ_STD,MATCH(P40,TZ_STN,0))))/24,"")</f>
        <v/>
      </c>
      <c r="AH40" s="65" t="str">
        <f aca="false">IFERROR(IF(N40="N/A – rule","N/A – RULE",IF(TRIM(U40)="N/A",IF(AT40=0,"INVALID – N/A not permitted for this check",IF(AND(TRIM(AB40)&lt;&gt;"",TRIM(AB40)&lt;&gt;"Closed"),"INVALID – corrective action still open",IF(AND(NOT(OR(LEN(AZ40)&lt;15,ISNUMBER(MATCH(AZ40,L_Placeholder,0)))),NOT(OR(LEN(AU40)&lt;2,ISNUMBER(MATCH(AU40,L_Placeholder,0)))),NOT(OR(LEN(AX40)&lt;2,ISNUMBER(MATCH(AX40,L_Placeholder,0)))),TRIM(AE40)&lt;&gt;TRIM(T40)),"N/A – JUSTIFIED","INVALID – N/A needs a real justification (15+ chars), PIC and a different verifier"))),IF(OR(TRIM(U40)="Pass",TRIM(U40)="Pass after CA"),IF(NOT(ISNUMBER(AD40)),"INVALID – completion time missing",IF(OR(LEN(AU40)&lt;2,ISNUMBER(MATCH(AU40,L_Placeholder,0))),"INVALID – PIC missing",IF(OR(LEN(AV40)&lt;2,ISNUMBER(MATCH(AV40,L_Placeholder,0))),"INVALID – result / assessment missing",IF(OR(OR(LEN(AW40)&lt;3,ISNUMBER(MATCH(AW40,L_Placeholder,0))),SUMPRODUCT(--ISNUMBER(SEARCH(L_EvidencePhrase,AW40)))&gt;0),"INVALID – evidence missing, placeholder or not yet on file",IF(OR(LEN(AX40)&lt;2,ISNUMBER(MATCH(AX40,L_Placeholder,0))),"INVALID – verifier missing",IF(AX40=AU40,"INVALID – verifier must be someone other than the PIC",IF(AND(TRIM(U40)="Pass",SUMPRODUCT(--ISNUMBER(SEARCH(L_ResultBad,AV40)))&gt;0),"INVALID – result describes a problem: use Fail, then Pass after CA",IF(AND(AQ40=1,OR(LEN(AY40)&lt;3,ISNUMBER(MATCH(AY40,L_Placeholder,0)))),"INVALID – batch ID missing or placeholder",IF(AND(AR40=1,OR(NOT(ISNUMBER(X40)),NOT(ISNUMBER(Y40)))),"INVALID – expected/actual qty missing",IF(AND(AR40=1,OR(X40&lt;=0,Y40&lt;0)),"INVALID – expected qty must be above 0 and actual not negative",IF(BB40&lt;&gt;"",BB40,IF(AND(AS40=1,Documents!$J$6&lt;&gt;"ON FILE"),"INVALID – GLD not on file (Documents sheet)",IF(AND(AS40=2,Documents!$O$6&lt;&gt;"ON FILE"),"INVALID – menu checklist not on file (Documents sheet)",IF(AND(AS40=3,NOT(ISNUMBER(Flights!$AX$6))),"INVALID – enter carrying flight KUL departure (Flights AX)",IF(AND(AS40=3,OR(Flights!$AZ$6&gt;Flights!$AA$6,Flights!$AX$6&lt;Flights!$AA$6-3)),"INVALID – carrying flight (Flights AX) cannot arrive before this leg's STD, or is over 3 days early",IF(AG40&gt;AsOfUTC,"INVALID – completion time is in the future",IF(AND(ISNUMBER(S40),AG40&lt;S40),IF(H40="Physical uplift","INVALID – before uplift window (cannot confirm loading)","INVALID – before valid window"),IF(AG40&gt;Flights!$AA$6,"INVALID – completed after departure (cannot establish readiness)",IF(AND(H40="Preparation",AG40&gt;IF(ISNUMBER(Flights!$BA$6),MIN(Flights!$BA$6,Flights!$AA$6),Flights!$AA$6)),"INVALID – completed after loading / departure (cannot establish readiness)",IF(AND(H40="Physical uplift",AG40&gt;Q40),"INVALID – recorded after the loading flight departed",IF(AG40&gt;Q40,"COMPLETE – LATE","COMPLETE"))))))))))))))))))))),IF(TRIM(U40)="Fail","FAIL – DISCREPANCY",IF(AND(TRIM(U40)&lt;&gt;"",TRIM(U40)&lt;&gt;"Not started",TRIM(U40)&lt;&gt;"In progress"),"INVALID – unrecognised status (use the list)",IF(AsOfUTC&gt;Q40,"OVERDUE",IF(N40="Clarification required","OPEN – CLARIFICATION","OPEN"))))))),"INVALID – error value in an input cell")</f>
        <v>OPEN</v>
      </c>
      <c r="AI40" s="61" t="n">
        <f aca="false">IF(OR(AH40="N/A – RULE",AH40="N/A – JUSTIFIED"),0,1)</f>
        <v>1</v>
      </c>
      <c r="AJ40" s="61" t="n">
        <f aca="false">IF(LEFT(AH40,8)="COMPLETE",1,0)</f>
        <v>0</v>
      </c>
      <c r="AK40" s="61" t="n">
        <f aca="false">IF(AND(AI40=1,AJ40=0,AsOfUTC&gt;Q40),1,0)</f>
        <v>0</v>
      </c>
      <c r="AL40" s="61" t="n">
        <f aca="false">IFERROR(IF(AND(AI40=1,OR(TRIM(U40)="Fail",AND(TRIM(AB40)&lt;&gt;"",TRIM(AB40)&lt;&gt;"Closed"),AND(ISNUMBER(AF40),AF40&lt;&gt;0,TRIM(U40)&lt;&gt;"Pass after CA"))),1,0),1)</f>
        <v>0</v>
      </c>
      <c r="AM40" s="61" t="n">
        <f aca="false">IF(LEFT(AH40,7)="INVALID",1,0)</f>
        <v>0</v>
      </c>
      <c r="AN40" s="61" t="n">
        <f aca="false">IF(AND(N40="Clarification required",AI40=1,AJ40=0),1,0)</f>
        <v>0</v>
      </c>
      <c r="AO40" s="61" t="str">
        <f aca="false">IF(AK40=1,SUM(AK$5:AK40),"")</f>
        <v/>
      </c>
      <c r="AP40" s="61" t="str">
        <f aca="false">IF(AL40=1,SUM(AL$5:AL40),"")</f>
        <v/>
      </c>
      <c r="AQ40" s="61" t="n">
        <v>0</v>
      </c>
      <c r="AR40" s="61" t="n">
        <v>0</v>
      </c>
      <c r="AS40" s="61" t="n">
        <v>0</v>
      </c>
      <c r="AT40" s="61" t="n">
        <v>0</v>
      </c>
      <c r="AU40" s="61" t="str">
        <f aca="false">SUBSTITUTE(SUBSTITUTE(SUBSTITUTE(SUBSTITUTE(SUBSTITUTE(SUBSTITUTE(SUBSTITUTE(SUBSTITUTE(SUBSTITUTE(SUBSTITUTE(SUBSTITUTE(SUBSTITUTE(SUBSTITUTE(LOWER(T40&amp;""),CHAR(160),"")," ",""),".",""),"-",""),"/",""),"?",""),"_",""),",",""),"[",""),"]",""),"(",""),")",""),"*","")</f>
        <v/>
      </c>
      <c r="AV40" s="61" t="str">
        <f aca="false">SUBSTITUTE(SUBSTITUTE(SUBSTITUTE(SUBSTITUTE(SUBSTITUTE(SUBSTITUTE(SUBSTITUTE(SUBSTITUTE(SUBSTITUTE(SUBSTITUTE(SUBSTITUTE(SUBSTITUTE(SUBSTITUTE(LOWER(V40&amp;""),CHAR(160),"")," ",""),".",""),"-",""),"/",""),"?",""),"_",""),",",""),"[",""),"]",""),"(",""),")",""),"*","")</f>
        <v/>
      </c>
      <c r="AW40" s="61" t="str">
        <f aca="false">SUBSTITUTE(SUBSTITUTE(SUBSTITUTE(SUBSTITUTE(SUBSTITUTE(SUBSTITUTE(SUBSTITUTE(SUBSTITUTE(SUBSTITUTE(SUBSTITUTE(SUBSTITUTE(SUBSTITUTE(SUBSTITUTE(LOWER(Z40&amp;""),CHAR(160),"")," ",""),".",""),"-",""),"/",""),"?",""),"_",""),",",""),"[",""),"]",""),"(",""),")",""),"*","")</f>
        <v/>
      </c>
      <c r="AX40" s="61" t="str">
        <f aca="false">SUBSTITUTE(SUBSTITUTE(SUBSTITUTE(SUBSTITUTE(SUBSTITUTE(SUBSTITUTE(SUBSTITUTE(SUBSTITUTE(SUBSTITUTE(SUBSTITUTE(SUBSTITUTE(SUBSTITUTE(SUBSTITUTE(LOWER(AE40&amp;""),CHAR(160),"")," ",""),".",""),"-",""),"/",""),"?",""),"_",""),",",""),"[",""),"]",""),"(",""),")",""),"*","")</f>
        <v/>
      </c>
      <c r="AY40" s="61" t="str">
        <f aca="false">SUBSTITUTE(SUBSTITUTE(SUBSTITUTE(SUBSTITUTE(SUBSTITUTE(SUBSTITUTE(SUBSTITUTE(SUBSTITUTE(SUBSTITUTE(SUBSTITUTE(SUBSTITUTE(SUBSTITUTE(SUBSTITUTE(LOWER(W40&amp;""),CHAR(160),"")," ",""),".",""),"-",""),"/",""),"?",""),"_",""),",",""),"[",""),"]",""),"(",""),")",""),"*","")</f>
        <v/>
      </c>
      <c r="AZ40" s="61" t="str">
        <f aca="false">SUBSTITUTE(SUBSTITUTE(SUBSTITUTE(SUBSTITUTE(SUBSTITUTE(SUBSTITUTE(SUBSTITUTE(SUBSTITUTE(SUBSTITUTE(SUBSTITUTE(SUBSTITUTE(SUBSTITUTE(SUBSTITUTE(LOWER(AC40&amp;""),CHAR(160),"")," ",""),".",""),"-",""),"/",""),"?",""),"_",""),",",""),"[",""),"]",""),"(",""),")",""),"*","")</f>
        <v/>
      </c>
      <c r="BA40" s="61" t="str">
        <f aca="false">SUBSTITUTE(SUBSTITUTE(SUBSTITUTE(SUBSTITUTE(SUBSTITUTE(SUBSTITUTE(SUBSTITUTE(SUBSTITUTE(SUBSTITUTE(SUBSTITUTE(SUBSTITUTE(SUBSTITUTE(SUBSTITUTE(LOWER(AA40&amp;""),CHAR(160),"")," ",""),".",""),"-",""),"/",""),"?",""),"_",""),",",""),"[",""),"]",""),"(",""),")",""),"*","")</f>
        <v/>
      </c>
      <c r="BB40" s="61" t="str">
        <f aca="false">IF(AND(TRIM(U40)="Pass",ISNUMBER(AF40)),IF(AF40&lt;&gt;0,"INVALID – qty variance: use Fail or Pass after CA",""),"")&amp;IF(AND(TRIM(U40)="Pass after CA",ISNUMBER(AF40)),IF(AF40&lt;&gt;0,"INVALID – after the corrective action the actual qty must equal expected (update Actual)",""),"")&amp;IF(AND(TRIM(U40)="Pass",TRIM(AB40)&lt;&gt;"",TRIM(AB40)&lt;&gt;"Closed"),"INVALID – corrective action not closed: use Fail, then Pass after CA","")&amp;IF(AND(TRIM(AA40)&lt;&gt;"",TRIM(AB40)=""),"INVALID – CA status missing for the recorded corrective action","")&amp;IF(AND(TRIM(U40)="Pass after CA",OR(OR(LEN(BA40)&lt;5,ISNUMBER(MATCH(BA40,L_Placeholder,0))),TRIM(AB40)&lt;&gt;"Closed")),"INVALID – corrective action not recorded/closed","")</f>
        <v/>
      </c>
    </row>
    <row r="41" customFormat="false" ht="39.75" hidden="false" customHeight="true" outlineLevel="0" collapsed="false">
      <c r="A41" s="57" t="s">
        <v>464</v>
      </c>
      <c r="B41" s="57" t="s">
        <v>195</v>
      </c>
      <c r="C41" s="57" t="str">
        <f aca="false">Flights!$F$6</f>
        <v>MH0727</v>
      </c>
      <c r="D41" s="58" t="n">
        <f aca="false">Flights!$D$6</f>
        <v>46304</v>
      </c>
      <c r="E41" s="57" t="str">
        <f aca="false">Flights!$G$6&amp;"-"&amp;Flights!$H$6</f>
        <v>KUL-CGK</v>
      </c>
      <c r="F41" s="57" t="str">
        <f aca="false">Flights!$K$6</f>
        <v>BC</v>
      </c>
      <c r="G41" s="57" t="s">
        <v>398</v>
      </c>
      <c r="H41" s="57" t="s">
        <v>356</v>
      </c>
      <c r="I41" s="57" t="s">
        <v>357</v>
      </c>
      <c r="J41" s="57" t="s">
        <v>403</v>
      </c>
      <c r="K41" s="67" t="s">
        <v>404</v>
      </c>
      <c r="L41" s="67" t="s">
        <v>400</v>
      </c>
      <c r="M41" s="67"/>
      <c r="N41" s="67" t="s">
        <v>361</v>
      </c>
      <c r="O41" s="67" t="s">
        <v>401</v>
      </c>
      <c r="P41" s="57" t="s">
        <v>184</v>
      </c>
      <c r="Q41" s="59" t="n">
        <f aca="false">ROUND((Flights!$AE$6)*1440,0)/1440</f>
        <v>46304.0763888889</v>
      </c>
      <c r="R41" s="59" t="n">
        <f aca="false">Q41+(IF(AND(INDEX(TZ_DSTS,MATCH(P41,TZ_STN,0))&lt;&gt;"",Q41&gt;=INDEX(TZ_DSTS,MATCH(P41,TZ_STN,0)),Q41&lt;INDEX(TZ_DSTE,MATCH(P41,TZ_STN,0))),INDEX(TZ_DST,MATCH(P41,TZ_STN,0)),INDEX(TZ_STD,MATCH(P41,TZ_STN,0))))/24</f>
        <v>46304.4097222222</v>
      </c>
      <c r="S41" s="59" t="n">
        <f aca="false">Q41-T12EarlyH/24</f>
        <v>46303.5763888889</v>
      </c>
      <c r="T41" s="60"/>
      <c r="U41" s="60"/>
      <c r="V41" s="60"/>
      <c r="W41" s="61"/>
      <c r="X41" s="60"/>
      <c r="Y41" s="60"/>
      <c r="Z41" s="60"/>
      <c r="AA41" s="60"/>
      <c r="AB41" s="60"/>
      <c r="AC41" s="60"/>
      <c r="AD41" s="66"/>
      <c r="AE41" s="60"/>
      <c r="AF41" s="61" t="str">
        <f aca="false">IF(AND(ISNUMBER(X41),ISNUMBER(Y41)),Y41-X41,"")</f>
        <v/>
      </c>
      <c r="AG41" s="62" t="str">
        <f aca="false">IF(ISNUMBER(AD41),AD41-(IF(AND(INDEX(TZ_DSTS,MATCH(P41,TZ_STN,0))&lt;&gt;"",(AD41-INDEX(TZ_STD,MATCH(P41,TZ_STN,0))/24)&gt;=INDEX(TZ_DSTS,MATCH(P41,TZ_STN,0)),(AD41-INDEX(TZ_STD,MATCH(P41,TZ_STN,0))/24)&lt;INDEX(TZ_DSTE,MATCH(P41,TZ_STN,0))),INDEX(TZ_DST,MATCH(P41,TZ_STN,0)),INDEX(TZ_STD,MATCH(P41,TZ_STN,0))))/24,"")</f>
        <v/>
      </c>
      <c r="AH41" s="65" t="str">
        <f aca="false">IFERROR(IF(N41="N/A – rule","N/A – RULE",IF(TRIM(U41)="N/A",IF(AT41=0,"INVALID – N/A not permitted for this check",IF(AND(TRIM(AB41)&lt;&gt;"",TRIM(AB41)&lt;&gt;"Closed"),"INVALID – corrective action still open",IF(AND(NOT(OR(LEN(AZ41)&lt;15,ISNUMBER(MATCH(AZ41,L_Placeholder,0)))),NOT(OR(LEN(AU41)&lt;2,ISNUMBER(MATCH(AU41,L_Placeholder,0)))),NOT(OR(LEN(AX41)&lt;2,ISNUMBER(MATCH(AX41,L_Placeholder,0)))),TRIM(AE41)&lt;&gt;TRIM(T41)),"N/A – JUSTIFIED","INVALID – N/A needs a real justification (15+ chars), PIC and a different verifier"))),IF(OR(TRIM(U41)="Pass",TRIM(U41)="Pass after CA"),IF(NOT(ISNUMBER(AD41)),"INVALID – completion time missing",IF(OR(LEN(AU41)&lt;2,ISNUMBER(MATCH(AU41,L_Placeholder,0))),"INVALID – PIC missing",IF(OR(LEN(AV41)&lt;2,ISNUMBER(MATCH(AV41,L_Placeholder,0))),"INVALID – result / assessment missing",IF(OR(OR(LEN(AW41)&lt;3,ISNUMBER(MATCH(AW41,L_Placeholder,0))),SUMPRODUCT(--ISNUMBER(SEARCH(L_EvidencePhrase,AW41)))&gt;0),"INVALID – evidence missing, placeholder or not yet on file",IF(OR(LEN(AX41)&lt;2,ISNUMBER(MATCH(AX41,L_Placeholder,0))),"INVALID – verifier missing",IF(AX41=AU41,"INVALID – verifier must be someone other than the PIC",IF(AND(TRIM(U41)="Pass",SUMPRODUCT(--ISNUMBER(SEARCH(L_ResultBad,AV41)))&gt;0),"INVALID – result describes a problem: use Fail, then Pass after CA",IF(AND(AQ41=1,OR(LEN(AY41)&lt;3,ISNUMBER(MATCH(AY41,L_Placeholder,0)))),"INVALID – batch ID missing or placeholder",IF(AND(AR41=1,OR(NOT(ISNUMBER(X41)),NOT(ISNUMBER(Y41)))),"INVALID – expected/actual qty missing",IF(AND(AR41=1,OR(X41&lt;=0,Y41&lt;0)),"INVALID – expected qty must be above 0 and actual not negative",IF(BB41&lt;&gt;"",BB41,IF(AND(AS41=1,Documents!$J$6&lt;&gt;"ON FILE"),"INVALID – GLD not on file (Documents sheet)",IF(AND(AS41=2,Documents!$O$6&lt;&gt;"ON FILE"),"INVALID – menu checklist not on file (Documents sheet)",IF(AND(AS41=3,NOT(ISNUMBER(Flights!$AX$6))),"INVALID – enter carrying flight KUL departure (Flights AX)",IF(AND(AS41=3,OR(Flights!$AZ$6&gt;Flights!$AA$6,Flights!$AX$6&lt;Flights!$AA$6-3)),"INVALID – carrying flight (Flights AX) cannot arrive before this leg's STD, or is over 3 days early",IF(AG41&gt;AsOfUTC,"INVALID – completion time is in the future",IF(AND(ISNUMBER(S41),AG41&lt;S41),IF(H41="Physical uplift","INVALID – before uplift window (cannot confirm loading)","INVALID – before valid window"),IF(AG41&gt;Flights!$AA$6,"INVALID – completed after departure (cannot establish readiness)",IF(AND(H41="Preparation",AG41&gt;IF(ISNUMBER(Flights!$BA$6),MIN(Flights!$BA$6,Flights!$AA$6),Flights!$AA$6)),"INVALID – completed after loading / departure (cannot establish readiness)",IF(AND(H41="Physical uplift",AG41&gt;Q41),"INVALID – recorded after the loading flight departed",IF(AG41&gt;Q41,"COMPLETE – LATE","COMPLETE"))))))))))))))))))))),IF(TRIM(U41)="Fail","FAIL – DISCREPANCY",IF(AND(TRIM(U41)&lt;&gt;"",TRIM(U41)&lt;&gt;"Not started",TRIM(U41)&lt;&gt;"In progress"),"INVALID – unrecognised status (use the list)",IF(AsOfUTC&gt;Q41,"OVERDUE",IF(N41="Clarification required","OPEN – CLARIFICATION","OPEN"))))))),"INVALID – error value in an input cell")</f>
        <v>OPEN</v>
      </c>
      <c r="AI41" s="61" t="n">
        <f aca="false">IF(OR(AH41="N/A – RULE",AH41="N/A – JUSTIFIED"),0,1)</f>
        <v>1</v>
      </c>
      <c r="AJ41" s="61" t="n">
        <f aca="false">IF(LEFT(AH41,8)="COMPLETE",1,0)</f>
        <v>0</v>
      </c>
      <c r="AK41" s="61" t="n">
        <f aca="false">IF(AND(AI41=1,AJ41=0,AsOfUTC&gt;Q41),1,0)</f>
        <v>0</v>
      </c>
      <c r="AL41" s="61" t="n">
        <f aca="false">IFERROR(IF(AND(AI41=1,OR(TRIM(U41)="Fail",AND(TRIM(AB41)&lt;&gt;"",TRIM(AB41)&lt;&gt;"Closed"),AND(ISNUMBER(AF41),AF41&lt;&gt;0,TRIM(U41)&lt;&gt;"Pass after CA"))),1,0),1)</f>
        <v>0</v>
      </c>
      <c r="AM41" s="61" t="n">
        <f aca="false">IF(LEFT(AH41,7)="INVALID",1,0)</f>
        <v>0</v>
      </c>
      <c r="AN41" s="61" t="n">
        <f aca="false">IF(AND(N41="Clarification required",AI41=1,AJ41=0),1,0)</f>
        <v>0</v>
      </c>
      <c r="AO41" s="61" t="str">
        <f aca="false">IF(AK41=1,SUM(AK$5:AK41),"")</f>
        <v/>
      </c>
      <c r="AP41" s="61" t="str">
        <f aca="false">IF(AL41=1,SUM(AL$5:AL41),"")</f>
        <v/>
      </c>
      <c r="AQ41" s="61" t="n">
        <v>0</v>
      </c>
      <c r="AR41" s="61" t="n">
        <v>1</v>
      </c>
      <c r="AS41" s="61" t="n">
        <v>0</v>
      </c>
      <c r="AT41" s="61" t="n">
        <v>0</v>
      </c>
      <c r="AU41" s="61" t="str">
        <f aca="false">SUBSTITUTE(SUBSTITUTE(SUBSTITUTE(SUBSTITUTE(SUBSTITUTE(SUBSTITUTE(SUBSTITUTE(SUBSTITUTE(SUBSTITUTE(SUBSTITUTE(SUBSTITUTE(SUBSTITUTE(SUBSTITUTE(LOWER(T41&amp;""),CHAR(160),"")," ",""),".",""),"-",""),"/",""),"?",""),"_",""),",",""),"[",""),"]",""),"(",""),")",""),"*","")</f>
        <v/>
      </c>
      <c r="AV41" s="61" t="str">
        <f aca="false">SUBSTITUTE(SUBSTITUTE(SUBSTITUTE(SUBSTITUTE(SUBSTITUTE(SUBSTITUTE(SUBSTITUTE(SUBSTITUTE(SUBSTITUTE(SUBSTITUTE(SUBSTITUTE(SUBSTITUTE(SUBSTITUTE(LOWER(V41&amp;""),CHAR(160),"")," ",""),".",""),"-",""),"/",""),"?",""),"_",""),",",""),"[",""),"]",""),"(",""),")",""),"*","")</f>
        <v/>
      </c>
      <c r="AW41" s="61" t="str">
        <f aca="false">SUBSTITUTE(SUBSTITUTE(SUBSTITUTE(SUBSTITUTE(SUBSTITUTE(SUBSTITUTE(SUBSTITUTE(SUBSTITUTE(SUBSTITUTE(SUBSTITUTE(SUBSTITUTE(SUBSTITUTE(SUBSTITUTE(LOWER(Z41&amp;""),CHAR(160),"")," ",""),".",""),"-",""),"/",""),"?",""),"_",""),",",""),"[",""),"]",""),"(",""),")",""),"*","")</f>
        <v/>
      </c>
      <c r="AX41" s="61" t="str">
        <f aca="false">SUBSTITUTE(SUBSTITUTE(SUBSTITUTE(SUBSTITUTE(SUBSTITUTE(SUBSTITUTE(SUBSTITUTE(SUBSTITUTE(SUBSTITUTE(SUBSTITUTE(SUBSTITUTE(SUBSTITUTE(SUBSTITUTE(LOWER(AE41&amp;""),CHAR(160),"")," ",""),".",""),"-",""),"/",""),"?",""),"_",""),",",""),"[",""),"]",""),"(",""),")",""),"*","")</f>
        <v/>
      </c>
      <c r="AY41" s="61" t="str">
        <f aca="false">SUBSTITUTE(SUBSTITUTE(SUBSTITUTE(SUBSTITUTE(SUBSTITUTE(SUBSTITUTE(SUBSTITUTE(SUBSTITUTE(SUBSTITUTE(SUBSTITUTE(SUBSTITUTE(SUBSTITUTE(SUBSTITUTE(LOWER(W41&amp;""),CHAR(160),"")," ",""),".",""),"-",""),"/",""),"?",""),"_",""),",",""),"[",""),"]",""),"(",""),")",""),"*","")</f>
        <v/>
      </c>
      <c r="AZ41" s="61" t="str">
        <f aca="false">SUBSTITUTE(SUBSTITUTE(SUBSTITUTE(SUBSTITUTE(SUBSTITUTE(SUBSTITUTE(SUBSTITUTE(SUBSTITUTE(SUBSTITUTE(SUBSTITUTE(SUBSTITUTE(SUBSTITUTE(SUBSTITUTE(LOWER(AC41&amp;""),CHAR(160),"")," ",""),".",""),"-",""),"/",""),"?",""),"_",""),",",""),"[",""),"]",""),"(",""),")",""),"*","")</f>
        <v/>
      </c>
      <c r="BA41" s="61" t="str">
        <f aca="false">SUBSTITUTE(SUBSTITUTE(SUBSTITUTE(SUBSTITUTE(SUBSTITUTE(SUBSTITUTE(SUBSTITUTE(SUBSTITUTE(SUBSTITUTE(SUBSTITUTE(SUBSTITUTE(SUBSTITUTE(SUBSTITUTE(LOWER(AA41&amp;""),CHAR(160),"")," ",""),".",""),"-",""),"/",""),"?",""),"_",""),",",""),"[",""),"]",""),"(",""),")",""),"*","")</f>
        <v/>
      </c>
      <c r="BB41" s="61" t="str">
        <f aca="false">IF(AND(TRIM(U41)="Pass",ISNUMBER(AF41)),IF(AF41&lt;&gt;0,"INVALID – qty variance: use Fail or Pass after CA",""),"")&amp;IF(AND(TRIM(U41)="Pass after CA",ISNUMBER(AF41)),IF(AF41&lt;&gt;0,"INVALID – after the corrective action the actual qty must equal expected (update Actual)",""),"")&amp;IF(AND(TRIM(U41)="Pass",TRIM(AB41)&lt;&gt;"",TRIM(AB41)&lt;&gt;"Closed"),"INVALID – corrective action not closed: use Fail, then Pass after CA","")&amp;IF(AND(TRIM(AA41)&lt;&gt;"",TRIM(AB41)=""),"INVALID – CA status missing for the recorded corrective action","")&amp;IF(AND(TRIM(U41)="Pass after CA",OR(OR(LEN(BA41)&lt;5,ISNUMBER(MATCH(BA41,L_Placeholder,0))),TRIM(AB41)&lt;&gt;"Closed")),"INVALID – corrective action not recorded/closed","")</f>
        <v/>
      </c>
    </row>
    <row r="42" customFormat="false" ht="39.75" hidden="false" customHeight="true" outlineLevel="0" collapsed="false">
      <c r="A42" s="57" t="s">
        <v>465</v>
      </c>
      <c r="B42" s="57" t="s">
        <v>195</v>
      </c>
      <c r="C42" s="57" t="str">
        <f aca="false">Flights!$F$6</f>
        <v>MH0727</v>
      </c>
      <c r="D42" s="58" t="n">
        <f aca="false">Flights!$D$6</f>
        <v>46304</v>
      </c>
      <c r="E42" s="57" t="str">
        <f aca="false">Flights!$G$6&amp;"-"&amp;Flights!$H$6</f>
        <v>KUL-CGK</v>
      </c>
      <c r="F42" s="57" t="str">
        <f aca="false">Flights!$K$6</f>
        <v>BC</v>
      </c>
      <c r="G42" s="57" t="s">
        <v>398</v>
      </c>
      <c r="H42" s="57" t="s">
        <v>356</v>
      </c>
      <c r="I42" s="57" t="s">
        <v>406</v>
      </c>
      <c r="J42" s="57" t="s">
        <v>407</v>
      </c>
      <c r="K42" s="67"/>
      <c r="L42" s="67" t="s">
        <v>400</v>
      </c>
      <c r="M42" s="67"/>
      <c r="N42" s="67" t="s">
        <v>361</v>
      </c>
      <c r="O42" s="67" t="s">
        <v>401</v>
      </c>
      <c r="P42" s="57" t="s">
        <v>184</v>
      </c>
      <c r="Q42" s="59" t="n">
        <f aca="false">ROUND((Flights!$AE$6)*1440,0)/1440</f>
        <v>46304.0763888889</v>
      </c>
      <c r="R42" s="59" t="n">
        <f aca="false">Q42+(IF(AND(INDEX(TZ_DSTS,MATCH(P42,TZ_STN,0))&lt;&gt;"",Q42&gt;=INDEX(TZ_DSTS,MATCH(P42,TZ_STN,0)),Q42&lt;INDEX(TZ_DSTE,MATCH(P42,TZ_STN,0))),INDEX(TZ_DST,MATCH(P42,TZ_STN,0)),INDEX(TZ_STD,MATCH(P42,TZ_STN,0))))/24</f>
        <v>46304.4097222222</v>
      </c>
      <c r="S42" s="59" t="n">
        <f aca="false">Q42-T12EarlyH/24</f>
        <v>46303.5763888889</v>
      </c>
      <c r="T42" s="60"/>
      <c r="U42" s="60"/>
      <c r="V42" s="60"/>
      <c r="W42" s="61"/>
      <c r="X42" s="60"/>
      <c r="Y42" s="60"/>
      <c r="Z42" s="60"/>
      <c r="AA42" s="60"/>
      <c r="AB42" s="60"/>
      <c r="AC42" s="60"/>
      <c r="AD42" s="66"/>
      <c r="AE42" s="60"/>
      <c r="AF42" s="61" t="str">
        <f aca="false">IF(AND(ISNUMBER(X42),ISNUMBER(Y42)),Y42-X42,"")</f>
        <v/>
      </c>
      <c r="AG42" s="62" t="str">
        <f aca="false">IF(ISNUMBER(AD42),AD42-(IF(AND(INDEX(TZ_DSTS,MATCH(P42,TZ_STN,0))&lt;&gt;"",(AD42-INDEX(TZ_STD,MATCH(P42,TZ_STN,0))/24)&gt;=INDEX(TZ_DSTS,MATCH(P42,TZ_STN,0)),(AD42-INDEX(TZ_STD,MATCH(P42,TZ_STN,0))/24)&lt;INDEX(TZ_DSTE,MATCH(P42,TZ_STN,0))),INDEX(TZ_DST,MATCH(P42,TZ_STN,0)),INDEX(TZ_STD,MATCH(P42,TZ_STN,0))))/24,"")</f>
        <v/>
      </c>
      <c r="AH42" s="65" t="str">
        <f aca="false">IFERROR(IF(N42="N/A – rule","N/A – RULE",IF(TRIM(U42)="N/A",IF(AT42=0,"INVALID – N/A not permitted for this check",IF(AND(TRIM(AB42)&lt;&gt;"",TRIM(AB42)&lt;&gt;"Closed"),"INVALID – corrective action still open",IF(AND(NOT(OR(LEN(AZ42)&lt;15,ISNUMBER(MATCH(AZ42,L_Placeholder,0)))),NOT(OR(LEN(AU42)&lt;2,ISNUMBER(MATCH(AU42,L_Placeholder,0)))),NOT(OR(LEN(AX42)&lt;2,ISNUMBER(MATCH(AX42,L_Placeholder,0)))),TRIM(AE42)&lt;&gt;TRIM(T42)),"N/A – JUSTIFIED","INVALID – N/A needs a real justification (15+ chars), PIC and a different verifier"))),IF(OR(TRIM(U42)="Pass",TRIM(U42)="Pass after CA"),IF(NOT(ISNUMBER(AD42)),"INVALID – completion time missing",IF(OR(LEN(AU42)&lt;2,ISNUMBER(MATCH(AU42,L_Placeholder,0))),"INVALID – PIC missing",IF(OR(LEN(AV42)&lt;2,ISNUMBER(MATCH(AV42,L_Placeholder,0))),"INVALID – result / assessment missing",IF(OR(OR(LEN(AW42)&lt;3,ISNUMBER(MATCH(AW42,L_Placeholder,0))),SUMPRODUCT(--ISNUMBER(SEARCH(L_EvidencePhrase,AW42)))&gt;0),"INVALID – evidence missing, placeholder or not yet on file",IF(OR(LEN(AX42)&lt;2,ISNUMBER(MATCH(AX42,L_Placeholder,0))),"INVALID – verifier missing",IF(AX42=AU42,"INVALID – verifier must be someone other than the PIC",IF(AND(TRIM(U42)="Pass",SUMPRODUCT(--ISNUMBER(SEARCH(L_ResultBad,AV42)))&gt;0),"INVALID – result describes a problem: use Fail, then Pass after CA",IF(AND(AQ42=1,OR(LEN(AY42)&lt;3,ISNUMBER(MATCH(AY42,L_Placeholder,0)))),"INVALID – batch ID missing or placeholder",IF(AND(AR42=1,OR(NOT(ISNUMBER(X42)),NOT(ISNUMBER(Y42)))),"INVALID – expected/actual qty missing",IF(AND(AR42=1,OR(X42&lt;=0,Y42&lt;0)),"INVALID – expected qty must be above 0 and actual not negative",IF(BB42&lt;&gt;"",BB42,IF(AND(AS42=1,Documents!$J$6&lt;&gt;"ON FILE"),"INVALID – GLD not on file (Documents sheet)",IF(AND(AS42=2,Documents!$O$6&lt;&gt;"ON FILE"),"INVALID – menu checklist not on file (Documents sheet)",IF(AND(AS42=3,NOT(ISNUMBER(Flights!$AX$6))),"INVALID – enter carrying flight KUL departure (Flights AX)",IF(AND(AS42=3,OR(Flights!$AZ$6&gt;Flights!$AA$6,Flights!$AX$6&lt;Flights!$AA$6-3)),"INVALID – carrying flight (Flights AX) cannot arrive before this leg's STD, or is over 3 days early",IF(AG42&gt;AsOfUTC,"INVALID – completion time is in the future",IF(AND(ISNUMBER(S42),AG42&lt;S42),IF(H42="Physical uplift","INVALID – before uplift window (cannot confirm loading)","INVALID – before valid window"),IF(AG42&gt;Flights!$AA$6,"INVALID – completed after departure (cannot establish readiness)",IF(AND(H42="Preparation",AG42&gt;IF(ISNUMBER(Flights!$BA$6),MIN(Flights!$BA$6,Flights!$AA$6),Flights!$AA$6)),"INVALID – completed after loading / departure (cannot establish readiness)",IF(AND(H42="Physical uplift",AG42&gt;Q42),"INVALID – recorded after the loading flight departed",IF(AG42&gt;Q42,"COMPLETE – LATE","COMPLETE"))))))))))))))))))))),IF(TRIM(U42)="Fail","FAIL – DISCREPANCY",IF(AND(TRIM(U42)&lt;&gt;"",TRIM(U42)&lt;&gt;"Not started",TRIM(U42)&lt;&gt;"In progress"),"INVALID – unrecognised status (use the list)",IF(AsOfUTC&gt;Q42,"OVERDUE",IF(N42="Clarification required","OPEN – CLARIFICATION","OPEN"))))))),"INVALID – error value in an input cell")</f>
        <v>OPEN</v>
      </c>
      <c r="AI42" s="61" t="n">
        <f aca="false">IF(OR(AH42="N/A – RULE",AH42="N/A – JUSTIFIED"),0,1)</f>
        <v>1</v>
      </c>
      <c r="AJ42" s="61" t="n">
        <f aca="false">IF(LEFT(AH42,8)="COMPLETE",1,0)</f>
        <v>0</v>
      </c>
      <c r="AK42" s="61" t="n">
        <f aca="false">IF(AND(AI42=1,AJ42=0,AsOfUTC&gt;Q42),1,0)</f>
        <v>0</v>
      </c>
      <c r="AL42" s="61" t="n">
        <f aca="false">IFERROR(IF(AND(AI42=1,OR(TRIM(U42)="Fail",AND(TRIM(AB42)&lt;&gt;"",TRIM(AB42)&lt;&gt;"Closed"),AND(ISNUMBER(AF42),AF42&lt;&gt;0,TRIM(U42)&lt;&gt;"Pass after CA"))),1,0),1)</f>
        <v>0</v>
      </c>
      <c r="AM42" s="61" t="n">
        <f aca="false">IF(LEFT(AH42,7)="INVALID",1,0)</f>
        <v>0</v>
      </c>
      <c r="AN42" s="61" t="n">
        <f aca="false">IF(AND(N42="Clarification required",AI42=1,AJ42=0),1,0)</f>
        <v>0</v>
      </c>
      <c r="AO42" s="61" t="str">
        <f aca="false">IF(AK42=1,SUM(AK$5:AK42),"")</f>
        <v/>
      </c>
      <c r="AP42" s="61" t="str">
        <f aca="false">IF(AL42=1,SUM(AL$5:AL42),"")</f>
        <v/>
      </c>
      <c r="AQ42" s="61" t="n">
        <v>0</v>
      </c>
      <c r="AR42" s="61" t="n">
        <v>0</v>
      </c>
      <c r="AS42" s="61" t="n">
        <v>0</v>
      </c>
      <c r="AT42" s="61" t="n">
        <v>0</v>
      </c>
      <c r="AU42" s="61" t="str">
        <f aca="false">SUBSTITUTE(SUBSTITUTE(SUBSTITUTE(SUBSTITUTE(SUBSTITUTE(SUBSTITUTE(SUBSTITUTE(SUBSTITUTE(SUBSTITUTE(SUBSTITUTE(SUBSTITUTE(SUBSTITUTE(SUBSTITUTE(LOWER(T42&amp;""),CHAR(160),"")," ",""),".",""),"-",""),"/",""),"?",""),"_",""),",",""),"[",""),"]",""),"(",""),")",""),"*","")</f>
        <v/>
      </c>
      <c r="AV42" s="61" t="str">
        <f aca="false">SUBSTITUTE(SUBSTITUTE(SUBSTITUTE(SUBSTITUTE(SUBSTITUTE(SUBSTITUTE(SUBSTITUTE(SUBSTITUTE(SUBSTITUTE(SUBSTITUTE(SUBSTITUTE(SUBSTITUTE(SUBSTITUTE(LOWER(V42&amp;""),CHAR(160),"")," ",""),".",""),"-",""),"/",""),"?",""),"_",""),",",""),"[",""),"]",""),"(",""),")",""),"*","")</f>
        <v/>
      </c>
      <c r="AW42" s="61" t="str">
        <f aca="false">SUBSTITUTE(SUBSTITUTE(SUBSTITUTE(SUBSTITUTE(SUBSTITUTE(SUBSTITUTE(SUBSTITUTE(SUBSTITUTE(SUBSTITUTE(SUBSTITUTE(SUBSTITUTE(SUBSTITUTE(SUBSTITUTE(LOWER(Z42&amp;""),CHAR(160),"")," ",""),".",""),"-",""),"/",""),"?",""),"_",""),",",""),"[",""),"]",""),"(",""),")",""),"*","")</f>
        <v/>
      </c>
      <c r="AX42" s="61" t="str">
        <f aca="false">SUBSTITUTE(SUBSTITUTE(SUBSTITUTE(SUBSTITUTE(SUBSTITUTE(SUBSTITUTE(SUBSTITUTE(SUBSTITUTE(SUBSTITUTE(SUBSTITUTE(SUBSTITUTE(SUBSTITUTE(SUBSTITUTE(LOWER(AE42&amp;""),CHAR(160),"")," ",""),".",""),"-",""),"/",""),"?",""),"_",""),",",""),"[",""),"]",""),"(",""),")",""),"*","")</f>
        <v/>
      </c>
      <c r="AY42" s="61" t="str">
        <f aca="false">SUBSTITUTE(SUBSTITUTE(SUBSTITUTE(SUBSTITUTE(SUBSTITUTE(SUBSTITUTE(SUBSTITUTE(SUBSTITUTE(SUBSTITUTE(SUBSTITUTE(SUBSTITUTE(SUBSTITUTE(SUBSTITUTE(LOWER(W42&amp;""),CHAR(160),"")," ",""),".",""),"-",""),"/",""),"?",""),"_",""),",",""),"[",""),"]",""),"(",""),")",""),"*","")</f>
        <v/>
      </c>
      <c r="AZ42" s="61" t="str">
        <f aca="false">SUBSTITUTE(SUBSTITUTE(SUBSTITUTE(SUBSTITUTE(SUBSTITUTE(SUBSTITUTE(SUBSTITUTE(SUBSTITUTE(SUBSTITUTE(SUBSTITUTE(SUBSTITUTE(SUBSTITUTE(SUBSTITUTE(LOWER(AC42&amp;""),CHAR(160),"")," ",""),".",""),"-",""),"/",""),"?",""),"_",""),",",""),"[",""),"]",""),"(",""),")",""),"*","")</f>
        <v/>
      </c>
      <c r="BA42" s="61" t="str">
        <f aca="false">SUBSTITUTE(SUBSTITUTE(SUBSTITUTE(SUBSTITUTE(SUBSTITUTE(SUBSTITUTE(SUBSTITUTE(SUBSTITUTE(SUBSTITUTE(SUBSTITUTE(SUBSTITUTE(SUBSTITUTE(SUBSTITUTE(LOWER(AA42&amp;""),CHAR(160),"")," ",""),".",""),"-",""),"/",""),"?",""),"_",""),",",""),"[",""),"]",""),"(",""),")",""),"*","")</f>
        <v/>
      </c>
      <c r="BB42" s="61" t="str">
        <f aca="false">IF(AND(TRIM(U42)="Pass",ISNUMBER(AF42)),IF(AF42&lt;&gt;0,"INVALID – qty variance: use Fail or Pass after CA",""),"")&amp;IF(AND(TRIM(U42)="Pass after CA",ISNUMBER(AF42)),IF(AF42&lt;&gt;0,"INVALID – after the corrective action the actual qty must equal expected (update Actual)",""),"")&amp;IF(AND(TRIM(U42)="Pass",TRIM(AB42)&lt;&gt;"",TRIM(AB42)&lt;&gt;"Closed"),"INVALID – corrective action not closed: use Fail, then Pass after CA","")&amp;IF(AND(TRIM(AA42)&lt;&gt;"",TRIM(AB42)=""),"INVALID – CA status missing for the recorded corrective action","")&amp;IF(AND(TRIM(U42)="Pass after CA",OR(OR(LEN(BA42)&lt;5,ISNUMBER(MATCH(BA42,L_Placeholder,0))),TRIM(AB42)&lt;&gt;"Closed")),"INVALID – corrective action not recorded/closed","")</f>
        <v/>
      </c>
    </row>
    <row r="43" customFormat="false" ht="39.75" hidden="false" customHeight="true" outlineLevel="0" collapsed="false">
      <c r="A43" s="57" t="s">
        <v>466</v>
      </c>
      <c r="B43" s="57" t="s">
        <v>195</v>
      </c>
      <c r="C43" s="57" t="str">
        <f aca="false">Flights!$F$6</f>
        <v>MH0727</v>
      </c>
      <c r="D43" s="58" t="n">
        <f aca="false">Flights!$D$6</f>
        <v>46304</v>
      </c>
      <c r="E43" s="57" t="str">
        <f aca="false">Flights!$G$6&amp;"-"&amp;Flights!$H$6</f>
        <v>KUL-CGK</v>
      </c>
      <c r="F43" s="57" t="str">
        <f aca="false">Flights!$K$6</f>
        <v>BC</v>
      </c>
      <c r="G43" s="57" t="s">
        <v>398</v>
      </c>
      <c r="H43" s="57" t="s">
        <v>356</v>
      </c>
      <c r="I43" s="57" t="s">
        <v>406</v>
      </c>
      <c r="J43" s="57" t="s">
        <v>409</v>
      </c>
      <c r="K43" s="67"/>
      <c r="L43" s="67" t="s">
        <v>400</v>
      </c>
      <c r="M43" s="67"/>
      <c r="N43" s="67" t="s">
        <v>361</v>
      </c>
      <c r="O43" s="67" t="s">
        <v>401</v>
      </c>
      <c r="P43" s="57" t="s">
        <v>184</v>
      </c>
      <c r="Q43" s="59" t="n">
        <f aca="false">ROUND((Flights!$AE$6)*1440,0)/1440</f>
        <v>46304.0763888889</v>
      </c>
      <c r="R43" s="59" t="n">
        <f aca="false">Q43+(IF(AND(INDEX(TZ_DSTS,MATCH(P43,TZ_STN,0))&lt;&gt;"",Q43&gt;=INDEX(TZ_DSTS,MATCH(P43,TZ_STN,0)),Q43&lt;INDEX(TZ_DSTE,MATCH(P43,TZ_STN,0))),INDEX(TZ_DST,MATCH(P43,TZ_STN,0)),INDEX(TZ_STD,MATCH(P43,TZ_STN,0))))/24</f>
        <v>46304.4097222222</v>
      </c>
      <c r="S43" s="59" t="n">
        <f aca="false">Q43-T12EarlyH/24</f>
        <v>46303.5763888889</v>
      </c>
      <c r="T43" s="60"/>
      <c r="U43" s="60"/>
      <c r="V43" s="60"/>
      <c r="W43" s="61"/>
      <c r="X43" s="60"/>
      <c r="Y43" s="60"/>
      <c r="Z43" s="60"/>
      <c r="AA43" s="60"/>
      <c r="AB43" s="60"/>
      <c r="AC43" s="60"/>
      <c r="AD43" s="66"/>
      <c r="AE43" s="60"/>
      <c r="AF43" s="61" t="str">
        <f aca="false">IF(AND(ISNUMBER(X43),ISNUMBER(Y43)),Y43-X43,"")</f>
        <v/>
      </c>
      <c r="AG43" s="62" t="str">
        <f aca="false">IF(ISNUMBER(AD43),AD43-(IF(AND(INDEX(TZ_DSTS,MATCH(P43,TZ_STN,0))&lt;&gt;"",(AD43-INDEX(TZ_STD,MATCH(P43,TZ_STN,0))/24)&gt;=INDEX(TZ_DSTS,MATCH(P43,TZ_STN,0)),(AD43-INDEX(TZ_STD,MATCH(P43,TZ_STN,0))/24)&lt;INDEX(TZ_DSTE,MATCH(P43,TZ_STN,0))),INDEX(TZ_DST,MATCH(P43,TZ_STN,0)),INDEX(TZ_STD,MATCH(P43,TZ_STN,0))))/24,"")</f>
        <v/>
      </c>
      <c r="AH43" s="65" t="str">
        <f aca="false">IFERROR(IF(N43="N/A – rule","N/A – RULE",IF(TRIM(U43)="N/A",IF(AT43=0,"INVALID – N/A not permitted for this check",IF(AND(TRIM(AB43)&lt;&gt;"",TRIM(AB43)&lt;&gt;"Closed"),"INVALID – corrective action still open",IF(AND(NOT(OR(LEN(AZ43)&lt;15,ISNUMBER(MATCH(AZ43,L_Placeholder,0)))),NOT(OR(LEN(AU43)&lt;2,ISNUMBER(MATCH(AU43,L_Placeholder,0)))),NOT(OR(LEN(AX43)&lt;2,ISNUMBER(MATCH(AX43,L_Placeholder,0)))),TRIM(AE43)&lt;&gt;TRIM(T43)),"N/A – JUSTIFIED","INVALID – N/A needs a real justification (15+ chars), PIC and a different verifier"))),IF(OR(TRIM(U43)="Pass",TRIM(U43)="Pass after CA"),IF(NOT(ISNUMBER(AD43)),"INVALID – completion time missing",IF(OR(LEN(AU43)&lt;2,ISNUMBER(MATCH(AU43,L_Placeholder,0))),"INVALID – PIC missing",IF(OR(LEN(AV43)&lt;2,ISNUMBER(MATCH(AV43,L_Placeholder,0))),"INVALID – result / assessment missing",IF(OR(OR(LEN(AW43)&lt;3,ISNUMBER(MATCH(AW43,L_Placeholder,0))),SUMPRODUCT(--ISNUMBER(SEARCH(L_EvidencePhrase,AW43)))&gt;0),"INVALID – evidence missing, placeholder or not yet on file",IF(OR(LEN(AX43)&lt;2,ISNUMBER(MATCH(AX43,L_Placeholder,0))),"INVALID – verifier missing",IF(AX43=AU43,"INVALID – verifier must be someone other than the PIC",IF(AND(TRIM(U43)="Pass",SUMPRODUCT(--ISNUMBER(SEARCH(L_ResultBad,AV43)))&gt;0),"INVALID – result describes a problem: use Fail, then Pass after CA",IF(AND(AQ43=1,OR(LEN(AY43)&lt;3,ISNUMBER(MATCH(AY43,L_Placeholder,0)))),"INVALID – batch ID missing or placeholder",IF(AND(AR43=1,OR(NOT(ISNUMBER(X43)),NOT(ISNUMBER(Y43)))),"INVALID – expected/actual qty missing",IF(AND(AR43=1,OR(X43&lt;=0,Y43&lt;0)),"INVALID – expected qty must be above 0 and actual not negative",IF(BB43&lt;&gt;"",BB43,IF(AND(AS43=1,Documents!$J$6&lt;&gt;"ON FILE"),"INVALID – GLD not on file (Documents sheet)",IF(AND(AS43=2,Documents!$O$6&lt;&gt;"ON FILE"),"INVALID – menu checklist not on file (Documents sheet)",IF(AND(AS43=3,NOT(ISNUMBER(Flights!$AX$6))),"INVALID – enter carrying flight KUL departure (Flights AX)",IF(AND(AS43=3,OR(Flights!$AZ$6&gt;Flights!$AA$6,Flights!$AX$6&lt;Flights!$AA$6-3)),"INVALID – carrying flight (Flights AX) cannot arrive before this leg's STD, or is over 3 days early",IF(AG43&gt;AsOfUTC,"INVALID – completion time is in the future",IF(AND(ISNUMBER(S43),AG43&lt;S43),IF(H43="Physical uplift","INVALID – before uplift window (cannot confirm loading)","INVALID – before valid window"),IF(AG43&gt;Flights!$AA$6,"INVALID – completed after departure (cannot establish readiness)",IF(AND(H43="Preparation",AG43&gt;IF(ISNUMBER(Flights!$BA$6),MIN(Flights!$BA$6,Flights!$AA$6),Flights!$AA$6)),"INVALID – completed after loading / departure (cannot establish readiness)",IF(AND(H43="Physical uplift",AG43&gt;Q43),"INVALID – recorded after the loading flight departed",IF(AG43&gt;Q43,"COMPLETE – LATE","COMPLETE"))))))))))))))))))))),IF(TRIM(U43)="Fail","FAIL – DISCREPANCY",IF(AND(TRIM(U43)&lt;&gt;"",TRIM(U43)&lt;&gt;"Not started",TRIM(U43)&lt;&gt;"In progress"),"INVALID – unrecognised status (use the list)",IF(AsOfUTC&gt;Q43,"OVERDUE",IF(N43="Clarification required","OPEN – CLARIFICATION","OPEN"))))))),"INVALID – error value in an input cell")</f>
        <v>OPEN</v>
      </c>
      <c r="AI43" s="61" t="n">
        <f aca="false">IF(OR(AH43="N/A – RULE",AH43="N/A – JUSTIFIED"),0,1)</f>
        <v>1</v>
      </c>
      <c r="AJ43" s="61" t="n">
        <f aca="false">IF(LEFT(AH43,8)="COMPLETE",1,0)</f>
        <v>0</v>
      </c>
      <c r="AK43" s="61" t="n">
        <f aca="false">IF(AND(AI43=1,AJ43=0,AsOfUTC&gt;Q43),1,0)</f>
        <v>0</v>
      </c>
      <c r="AL43" s="61" t="n">
        <f aca="false">IFERROR(IF(AND(AI43=1,OR(TRIM(U43)="Fail",AND(TRIM(AB43)&lt;&gt;"",TRIM(AB43)&lt;&gt;"Closed"),AND(ISNUMBER(AF43),AF43&lt;&gt;0,TRIM(U43)&lt;&gt;"Pass after CA"))),1,0),1)</f>
        <v>0</v>
      </c>
      <c r="AM43" s="61" t="n">
        <f aca="false">IF(LEFT(AH43,7)="INVALID",1,0)</f>
        <v>0</v>
      </c>
      <c r="AN43" s="61" t="n">
        <f aca="false">IF(AND(N43="Clarification required",AI43=1,AJ43=0),1,0)</f>
        <v>0</v>
      </c>
      <c r="AO43" s="61" t="str">
        <f aca="false">IF(AK43=1,SUM(AK$5:AK43),"")</f>
        <v/>
      </c>
      <c r="AP43" s="61" t="str">
        <f aca="false">IF(AL43=1,SUM(AL$5:AL43),"")</f>
        <v/>
      </c>
      <c r="AQ43" s="61" t="n">
        <v>0</v>
      </c>
      <c r="AR43" s="61" t="n">
        <v>0</v>
      </c>
      <c r="AS43" s="61" t="n">
        <v>0</v>
      </c>
      <c r="AT43" s="61" t="n">
        <v>0</v>
      </c>
      <c r="AU43" s="61" t="str">
        <f aca="false">SUBSTITUTE(SUBSTITUTE(SUBSTITUTE(SUBSTITUTE(SUBSTITUTE(SUBSTITUTE(SUBSTITUTE(SUBSTITUTE(SUBSTITUTE(SUBSTITUTE(SUBSTITUTE(SUBSTITUTE(SUBSTITUTE(LOWER(T43&amp;""),CHAR(160),"")," ",""),".",""),"-",""),"/",""),"?",""),"_",""),",",""),"[",""),"]",""),"(",""),")",""),"*","")</f>
        <v/>
      </c>
      <c r="AV43" s="61" t="str">
        <f aca="false">SUBSTITUTE(SUBSTITUTE(SUBSTITUTE(SUBSTITUTE(SUBSTITUTE(SUBSTITUTE(SUBSTITUTE(SUBSTITUTE(SUBSTITUTE(SUBSTITUTE(SUBSTITUTE(SUBSTITUTE(SUBSTITUTE(LOWER(V43&amp;""),CHAR(160),"")," ",""),".",""),"-",""),"/",""),"?",""),"_",""),",",""),"[",""),"]",""),"(",""),")",""),"*","")</f>
        <v/>
      </c>
      <c r="AW43" s="61" t="str">
        <f aca="false">SUBSTITUTE(SUBSTITUTE(SUBSTITUTE(SUBSTITUTE(SUBSTITUTE(SUBSTITUTE(SUBSTITUTE(SUBSTITUTE(SUBSTITUTE(SUBSTITUTE(SUBSTITUTE(SUBSTITUTE(SUBSTITUTE(LOWER(Z43&amp;""),CHAR(160),"")," ",""),".",""),"-",""),"/",""),"?",""),"_",""),",",""),"[",""),"]",""),"(",""),")",""),"*","")</f>
        <v/>
      </c>
      <c r="AX43" s="61" t="str">
        <f aca="false">SUBSTITUTE(SUBSTITUTE(SUBSTITUTE(SUBSTITUTE(SUBSTITUTE(SUBSTITUTE(SUBSTITUTE(SUBSTITUTE(SUBSTITUTE(SUBSTITUTE(SUBSTITUTE(SUBSTITUTE(SUBSTITUTE(LOWER(AE43&amp;""),CHAR(160),"")," ",""),".",""),"-",""),"/",""),"?",""),"_",""),",",""),"[",""),"]",""),"(",""),")",""),"*","")</f>
        <v/>
      </c>
      <c r="AY43" s="61" t="str">
        <f aca="false">SUBSTITUTE(SUBSTITUTE(SUBSTITUTE(SUBSTITUTE(SUBSTITUTE(SUBSTITUTE(SUBSTITUTE(SUBSTITUTE(SUBSTITUTE(SUBSTITUTE(SUBSTITUTE(SUBSTITUTE(SUBSTITUTE(LOWER(W43&amp;""),CHAR(160),"")," ",""),".",""),"-",""),"/",""),"?",""),"_",""),",",""),"[",""),"]",""),"(",""),")",""),"*","")</f>
        <v/>
      </c>
      <c r="AZ43" s="61" t="str">
        <f aca="false">SUBSTITUTE(SUBSTITUTE(SUBSTITUTE(SUBSTITUTE(SUBSTITUTE(SUBSTITUTE(SUBSTITUTE(SUBSTITUTE(SUBSTITUTE(SUBSTITUTE(SUBSTITUTE(SUBSTITUTE(SUBSTITUTE(LOWER(AC43&amp;""),CHAR(160),"")," ",""),".",""),"-",""),"/",""),"?",""),"_",""),",",""),"[",""),"]",""),"(",""),")",""),"*","")</f>
        <v/>
      </c>
      <c r="BA43" s="61" t="str">
        <f aca="false">SUBSTITUTE(SUBSTITUTE(SUBSTITUTE(SUBSTITUTE(SUBSTITUTE(SUBSTITUTE(SUBSTITUTE(SUBSTITUTE(SUBSTITUTE(SUBSTITUTE(SUBSTITUTE(SUBSTITUTE(SUBSTITUTE(LOWER(AA43&amp;""),CHAR(160),"")," ",""),".",""),"-",""),"/",""),"?",""),"_",""),",",""),"[",""),"]",""),"(",""),")",""),"*","")</f>
        <v/>
      </c>
      <c r="BB43" s="61" t="str">
        <f aca="false">IF(AND(TRIM(U43)="Pass",ISNUMBER(AF43)),IF(AF43&lt;&gt;0,"INVALID – qty variance: use Fail or Pass after CA",""),"")&amp;IF(AND(TRIM(U43)="Pass after CA",ISNUMBER(AF43)),IF(AF43&lt;&gt;0,"INVALID – after the corrective action the actual qty must equal expected (update Actual)",""),"")&amp;IF(AND(TRIM(U43)="Pass",TRIM(AB43)&lt;&gt;"",TRIM(AB43)&lt;&gt;"Closed"),"INVALID – corrective action not closed: use Fail, then Pass after CA","")&amp;IF(AND(TRIM(AA43)&lt;&gt;"",TRIM(AB43)=""),"INVALID – CA status missing for the recorded corrective action","")&amp;IF(AND(TRIM(U43)="Pass after CA",OR(OR(LEN(BA43)&lt;5,ISNUMBER(MATCH(BA43,L_Placeholder,0))),TRIM(AB43)&lt;&gt;"Closed")),"INVALID – corrective action not recorded/closed","")</f>
        <v/>
      </c>
    </row>
    <row r="44" customFormat="false" ht="39.75" hidden="false" customHeight="true" outlineLevel="0" collapsed="false">
      <c r="A44" s="57" t="s">
        <v>467</v>
      </c>
      <c r="B44" s="57" t="s">
        <v>195</v>
      </c>
      <c r="C44" s="57" t="str">
        <f aca="false">Flights!$F$6</f>
        <v>MH0727</v>
      </c>
      <c r="D44" s="58" t="n">
        <f aca="false">Flights!$D$6</f>
        <v>46304</v>
      </c>
      <c r="E44" s="57" t="str">
        <f aca="false">Flights!$G$6&amp;"-"&amp;Flights!$H$6</f>
        <v>KUL-CGK</v>
      </c>
      <c r="F44" s="57" t="str">
        <f aca="false">Flights!$K$6</f>
        <v>BC</v>
      </c>
      <c r="G44" s="57" t="s">
        <v>398</v>
      </c>
      <c r="H44" s="57" t="s">
        <v>356</v>
      </c>
      <c r="I44" s="57" t="s">
        <v>406</v>
      </c>
      <c r="J44" s="57" t="s">
        <v>411</v>
      </c>
      <c r="K44" s="67"/>
      <c r="L44" s="67" t="s">
        <v>400</v>
      </c>
      <c r="M44" s="67"/>
      <c r="N44" s="67" t="s">
        <v>361</v>
      </c>
      <c r="O44" s="67" t="s">
        <v>401</v>
      </c>
      <c r="P44" s="57" t="s">
        <v>184</v>
      </c>
      <c r="Q44" s="59" t="n">
        <f aca="false">ROUND((Flights!$AE$6)*1440,0)/1440</f>
        <v>46304.0763888889</v>
      </c>
      <c r="R44" s="59" t="n">
        <f aca="false">Q44+(IF(AND(INDEX(TZ_DSTS,MATCH(P44,TZ_STN,0))&lt;&gt;"",Q44&gt;=INDEX(TZ_DSTS,MATCH(P44,TZ_STN,0)),Q44&lt;INDEX(TZ_DSTE,MATCH(P44,TZ_STN,0))),INDEX(TZ_DST,MATCH(P44,TZ_STN,0)),INDEX(TZ_STD,MATCH(P44,TZ_STN,0))))/24</f>
        <v>46304.4097222222</v>
      </c>
      <c r="S44" s="59" t="n">
        <f aca="false">Q44-T12EarlyH/24</f>
        <v>46303.5763888889</v>
      </c>
      <c r="T44" s="60"/>
      <c r="U44" s="60"/>
      <c r="V44" s="60"/>
      <c r="W44" s="61"/>
      <c r="X44" s="60"/>
      <c r="Y44" s="60"/>
      <c r="Z44" s="60"/>
      <c r="AA44" s="60"/>
      <c r="AB44" s="60"/>
      <c r="AC44" s="60"/>
      <c r="AD44" s="66"/>
      <c r="AE44" s="60"/>
      <c r="AF44" s="61" t="str">
        <f aca="false">IF(AND(ISNUMBER(X44),ISNUMBER(Y44)),Y44-X44,"")</f>
        <v/>
      </c>
      <c r="AG44" s="62" t="str">
        <f aca="false">IF(ISNUMBER(AD44),AD44-(IF(AND(INDEX(TZ_DSTS,MATCH(P44,TZ_STN,0))&lt;&gt;"",(AD44-INDEX(TZ_STD,MATCH(P44,TZ_STN,0))/24)&gt;=INDEX(TZ_DSTS,MATCH(P44,TZ_STN,0)),(AD44-INDEX(TZ_STD,MATCH(P44,TZ_STN,0))/24)&lt;INDEX(TZ_DSTE,MATCH(P44,TZ_STN,0))),INDEX(TZ_DST,MATCH(P44,TZ_STN,0)),INDEX(TZ_STD,MATCH(P44,TZ_STN,0))))/24,"")</f>
        <v/>
      </c>
      <c r="AH44" s="65" t="str">
        <f aca="false">IFERROR(IF(N44="N/A – rule","N/A – RULE",IF(TRIM(U44)="N/A",IF(AT44=0,"INVALID – N/A not permitted for this check",IF(AND(TRIM(AB44)&lt;&gt;"",TRIM(AB44)&lt;&gt;"Closed"),"INVALID – corrective action still open",IF(AND(NOT(OR(LEN(AZ44)&lt;15,ISNUMBER(MATCH(AZ44,L_Placeholder,0)))),NOT(OR(LEN(AU44)&lt;2,ISNUMBER(MATCH(AU44,L_Placeholder,0)))),NOT(OR(LEN(AX44)&lt;2,ISNUMBER(MATCH(AX44,L_Placeholder,0)))),TRIM(AE44)&lt;&gt;TRIM(T44)),"N/A – JUSTIFIED","INVALID – N/A needs a real justification (15+ chars), PIC and a different verifier"))),IF(OR(TRIM(U44)="Pass",TRIM(U44)="Pass after CA"),IF(NOT(ISNUMBER(AD44)),"INVALID – completion time missing",IF(OR(LEN(AU44)&lt;2,ISNUMBER(MATCH(AU44,L_Placeholder,0))),"INVALID – PIC missing",IF(OR(LEN(AV44)&lt;2,ISNUMBER(MATCH(AV44,L_Placeholder,0))),"INVALID – result / assessment missing",IF(OR(OR(LEN(AW44)&lt;3,ISNUMBER(MATCH(AW44,L_Placeholder,0))),SUMPRODUCT(--ISNUMBER(SEARCH(L_EvidencePhrase,AW44)))&gt;0),"INVALID – evidence missing, placeholder or not yet on file",IF(OR(LEN(AX44)&lt;2,ISNUMBER(MATCH(AX44,L_Placeholder,0))),"INVALID – verifier missing",IF(AX44=AU44,"INVALID – verifier must be someone other than the PIC",IF(AND(TRIM(U44)="Pass",SUMPRODUCT(--ISNUMBER(SEARCH(L_ResultBad,AV44)))&gt;0),"INVALID – result describes a problem: use Fail, then Pass after CA",IF(AND(AQ44=1,OR(LEN(AY44)&lt;3,ISNUMBER(MATCH(AY44,L_Placeholder,0)))),"INVALID – batch ID missing or placeholder",IF(AND(AR44=1,OR(NOT(ISNUMBER(X44)),NOT(ISNUMBER(Y44)))),"INVALID – expected/actual qty missing",IF(AND(AR44=1,OR(X44&lt;=0,Y44&lt;0)),"INVALID – expected qty must be above 0 and actual not negative",IF(BB44&lt;&gt;"",BB44,IF(AND(AS44=1,Documents!$J$6&lt;&gt;"ON FILE"),"INVALID – GLD not on file (Documents sheet)",IF(AND(AS44=2,Documents!$O$6&lt;&gt;"ON FILE"),"INVALID – menu checklist not on file (Documents sheet)",IF(AND(AS44=3,NOT(ISNUMBER(Flights!$AX$6))),"INVALID – enter carrying flight KUL departure (Flights AX)",IF(AND(AS44=3,OR(Flights!$AZ$6&gt;Flights!$AA$6,Flights!$AX$6&lt;Flights!$AA$6-3)),"INVALID – carrying flight (Flights AX) cannot arrive before this leg's STD, or is over 3 days early",IF(AG44&gt;AsOfUTC,"INVALID – completion time is in the future",IF(AND(ISNUMBER(S44),AG44&lt;S44),IF(H44="Physical uplift","INVALID – before uplift window (cannot confirm loading)","INVALID – before valid window"),IF(AG44&gt;Flights!$AA$6,"INVALID – completed after departure (cannot establish readiness)",IF(AND(H44="Preparation",AG44&gt;IF(ISNUMBER(Flights!$BA$6),MIN(Flights!$BA$6,Flights!$AA$6),Flights!$AA$6)),"INVALID – completed after loading / departure (cannot establish readiness)",IF(AND(H44="Physical uplift",AG44&gt;Q44),"INVALID – recorded after the loading flight departed",IF(AG44&gt;Q44,"COMPLETE – LATE","COMPLETE"))))))))))))))))))))),IF(TRIM(U44)="Fail","FAIL – DISCREPANCY",IF(AND(TRIM(U44)&lt;&gt;"",TRIM(U44)&lt;&gt;"Not started",TRIM(U44)&lt;&gt;"In progress"),"INVALID – unrecognised status (use the list)",IF(AsOfUTC&gt;Q44,"OVERDUE",IF(N44="Clarification required","OPEN – CLARIFICATION","OPEN"))))))),"INVALID – error value in an input cell")</f>
        <v>OPEN</v>
      </c>
      <c r="AI44" s="61" t="n">
        <f aca="false">IF(OR(AH44="N/A – RULE",AH44="N/A – JUSTIFIED"),0,1)</f>
        <v>1</v>
      </c>
      <c r="AJ44" s="61" t="n">
        <f aca="false">IF(LEFT(AH44,8)="COMPLETE",1,0)</f>
        <v>0</v>
      </c>
      <c r="AK44" s="61" t="n">
        <f aca="false">IF(AND(AI44=1,AJ44=0,AsOfUTC&gt;Q44),1,0)</f>
        <v>0</v>
      </c>
      <c r="AL44" s="61" t="n">
        <f aca="false">IFERROR(IF(AND(AI44=1,OR(TRIM(U44)="Fail",AND(TRIM(AB44)&lt;&gt;"",TRIM(AB44)&lt;&gt;"Closed"),AND(ISNUMBER(AF44),AF44&lt;&gt;0,TRIM(U44)&lt;&gt;"Pass after CA"))),1,0),1)</f>
        <v>0</v>
      </c>
      <c r="AM44" s="61" t="n">
        <f aca="false">IF(LEFT(AH44,7)="INVALID",1,0)</f>
        <v>0</v>
      </c>
      <c r="AN44" s="61" t="n">
        <f aca="false">IF(AND(N44="Clarification required",AI44=1,AJ44=0),1,0)</f>
        <v>0</v>
      </c>
      <c r="AO44" s="61" t="str">
        <f aca="false">IF(AK44=1,SUM(AK$5:AK44),"")</f>
        <v/>
      </c>
      <c r="AP44" s="61" t="str">
        <f aca="false">IF(AL44=1,SUM(AL$5:AL44),"")</f>
        <v/>
      </c>
      <c r="AQ44" s="61" t="n">
        <v>0</v>
      </c>
      <c r="AR44" s="61" t="n">
        <v>0</v>
      </c>
      <c r="AS44" s="61" t="n">
        <v>0</v>
      </c>
      <c r="AT44" s="61" t="n">
        <v>0</v>
      </c>
      <c r="AU44" s="61" t="str">
        <f aca="false">SUBSTITUTE(SUBSTITUTE(SUBSTITUTE(SUBSTITUTE(SUBSTITUTE(SUBSTITUTE(SUBSTITUTE(SUBSTITUTE(SUBSTITUTE(SUBSTITUTE(SUBSTITUTE(SUBSTITUTE(SUBSTITUTE(LOWER(T44&amp;""),CHAR(160),"")," ",""),".",""),"-",""),"/",""),"?",""),"_",""),",",""),"[",""),"]",""),"(",""),")",""),"*","")</f>
        <v/>
      </c>
      <c r="AV44" s="61" t="str">
        <f aca="false">SUBSTITUTE(SUBSTITUTE(SUBSTITUTE(SUBSTITUTE(SUBSTITUTE(SUBSTITUTE(SUBSTITUTE(SUBSTITUTE(SUBSTITUTE(SUBSTITUTE(SUBSTITUTE(SUBSTITUTE(SUBSTITUTE(LOWER(V44&amp;""),CHAR(160),"")," ",""),".",""),"-",""),"/",""),"?",""),"_",""),",",""),"[",""),"]",""),"(",""),")",""),"*","")</f>
        <v/>
      </c>
      <c r="AW44" s="61" t="str">
        <f aca="false">SUBSTITUTE(SUBSTITUTE(SUBSTITUTE(SUBSTITUTE(SUBSTITUTE(SUBSTITUTE(SUBSTITUTE(SUBSTITUTE(SUBSTITUTE(SUBSTITUTE(SUBSTITUTE(SUBSTITUTE(SUBSTITUTE(LOWER(Z44&amp;""),CHAR(160),"")," ",""),".",""),"-",""),"/",""),"?",""),"_",""),",",""),"[",""),"]",""),"(",""),")",""),"*","")</f>
        <v/>
      </c>
      <c r="AX44" s="61" t="str">
        <f aca="false">SUBSTITUTE(SUBSTITUTE(SUBSTITUTE(SUBSTITUTE(SUBSTITUTE(SUBSTITUTE(SUBSTITUTE(SUBSTITUTE(SUBSTITUTE(SUBSTITUTE(SUBSTITUTE(SUBSTITUTE(SUBSTITUTE(LOWER(AE44&amp;""),CHAR(160),"")," ",""),".",""),"-",""),"/",""),"?",""),"_",""),",",""),"[",""),"]",""),"(",""),")",""),"*","")</f>
        <v/>
      </c>
      <c r="AY44" s="61" t="str">
        <f aca="false">SUBSTITUTE(SUBSTITUTE(SUBSTITUTE(SUBSTITUTE(SUBSTITUTE(SUBSTITUTE(SUBSTITUTE(SUBSTITUTE(SUBSTITUTE(SUBSTITUTE(SUBSTITUTE(SUBSTITUTE(SUBSTITUTE(LOWER(W44&amp;""),CHAR(160),"")," ",""),".",""),"-",""),"/",""),"?",""),"_",""),",",""),"[",""),"]",""),"(",""),")",""),"*","")</f>
        <v/>
      </c>
      <c r="AZ44" s="61" t="str">
        <f aca="false">SUBSTITUTE(SUBSTITUTE(SUBSTITUTE(SUBSTITUTE(SUBSTITUTE(SUBSTITUTE(SUBSTITUTE(SUBSTITUTE(SUBSTITUTE(SUBSTITUTE(SUBSTITUTE(SUBSTITUTE(SUBSTITUTE(LOWER(AC44&amp;""),CHAR(160),"")," ",""),".",""),"-",""),"/",""),"?",""),"_",""),",",""),"[",""),"]",""),"(",""),")",""),"*","")</f>
        <v/>
      </c>
      <c r="BA44" s="61" t="str">
        <f aca="false">SUBSTITUTE(SUBSTITUTE(SUBSTITUTE(SUBSTITUTE(SUBSTITUTE(SUBSTITUTE(SUBSTITUTE(SUBSTITUTE(SUBSTITUTE(SUBSTITUTE(SUBSTITUTE(SUBSTITUTE(SUBSTITUTE(LOWER(AA44&amp;""),CHAR(160),"")," ",""),".",""),"-",""),"/",""),"?",""),"_",""),",",""),"[",""),"]",""),"(",""),")",""),"*","")</f>
        <v/>
      </c>
      <c r="BB44" s="61" t="str">
        <f aca="false">IF(AND(TRIM(U44)="Pass",ISNUMBER(AF44)),IF(AF44&lt;&gt;0,"INVALID – qty variance: use Fail or Pass after CA",""),"")&amp;IF(AND(TRIM(U44)="Pass after CA",ISNUMBER(AF44)),IF(AF44&lt;&gt;0,"INVALID – after the corrective action the actual qty must equal expected (update Actual)",""),"")&amp;IF(AND(TRIM(U44)="Pass",TRIM(AB44)&lt;&gt;"",TRIM(AB44)&lt;&gt;"Closed"),"INVALID – corrective action not closed: use Fail, then Pass after CA","")&amp;IF(AND(TRIM(AA44)&lt;&gt;"",TRIM(AB44)=""),"INVALID – CA status missing for the recorded corrective action","")&amp;IF(AND(TRIM(U44)="Pass after CA",OR(OR(LEN(BA44)&lt;5,ISNUMBER(MATCH(BA44,L_Placeholder,0))),TRIM(AB44)&lt;&gt;"Closed")),"INVALID – corrective action not recorded/closed","")</f>
        <v/>
      </c>
    </row>
    <row r="45" customFormat="false" ht="78.75" hidden="false" customHeight="true" outlineLevel="0" collapsed="false">
      <c r="A45" s="57" t="s">
        <v>468</v>
      </c>
      <c r="B45" s="57" t="s">
        <v>195</v>
      </c>
      <c r="C45" s="57" t="str">
        <f aca="false">Flights!$F$6</f>
        <v>MH0727</v>
      </c>
      <c r="D45" s="58" t="n">
        <f aca="false">Flights!$D$6</f>
        <v>46304</v>
      </c>
      <c r="E45" s="57" t="str">
        <f aca="false">Flights!$G$6&amp;"-"&amp;Flights!$H$6</f>
        <v>KUL-CGK</v>
      </c>
      <c r="F45" s="57" t="str">
        <f aca="false">Flights!$K$6</f>
        <v>BC</v>
      </c>
      <c r="G45" s="57" t="s">
        <v>398</v>
      </c>
      <c r="H45" s="57" t="s">
        <v>356</v>
      </c>
      <c r="I45" s="57" t="s">
        <v>406</v>
      </c>
      <c r="J45" s="57" t="s">
        <v>413</v>
      </c>
      <c r="K45" s="67" t="s">
        <v>469</v>
      </c>
      <c r="L45" s="67" t="s">
        <v>400</v>
      </c>
      <c r="M45" s="67"/>
      <c r="N45" s="67" t="s">
        <v>361</v>
      </c>
      <c r="O45" s="67" t="s">
        <v>401</v>
      </c>
      <c r="P45" s="57" t="s">
        <v>184</v>
      </c>
      <c r="Q45" s="59" t="n">
        <f aca="false">ROUND((Flights!$AE$6)*1440,0)/1440</f>
        <v>46304.0763888889</v>
      </c>
      <c r="R45" s="59" t="n">
        <f aca="false">Q45+(IF(AND(INDEX(TZ_DSTS,MATCH(P45,TZ_STN,0))&lt;&gt;"",Q45&gt;=INDEX(TZ_DSTS,MATCH(P45,TZ_STN,0)),Q45&lt;INDEX(TZ_DSTE,MATCH(P45,TZ_STN,0))),INDEX(TZ_DST,MATCH(P45,TZ_STN,0)),INDEX(TZ_STD,MATCH(P45,TZ_STN,0))))/24</f>
        <v>46304.4097222222</v>
      </c>
      <c r="S45" s="59" t="n">
        <f aca="false">Q45-T12EarlyH/24</f>
        <v>46303.5763888889</v>
      </c>
      <c r="T45" s="60"/>
      <c r="U45" s="60"/>
      <c r="V45" s="60"/>
      <c r="W45" s="61"/>
      <c r="X45" s="60"/>
      <c r="Y45" s="60"/>
      <c r="Z45" s="60"/>
      <c r="AA45" s="60"/>
      <c r="AB45" s="60"/>
      <c r="AC45" s="60"/>
      <c r="AD45" s="66"/>
      <c r="AE45" s="60"/>
      <c r="AF45" s="61" t="str">
        <f aca="false">IF(AND(ISNUMBER(X45),ISNUMBER(Y45)),Y45-X45,"")</f>
        <v/>
      </c>
      <c r="AG45" s="62" t="str">
        <f aca="false">IF(ISNUMBER(AD45),AD45-(IF(AND(INDEX(TZ_DSTS,MATCH(P45,TZ_STN,0))&lt;&gt;"",(AD45-INDEX(TZ_STD,MATCH(P45,TZ_STN,0))/24)&gt;=INDEX(TZ_DSTS,MATCH(P45,TZ_STN,0)),(AD45-INDEX(TZ_STD,MATCH(P45,TZ_STN,0))/24)&lt;INDEX(TZ_DSTE,MATCH(P45,TZ_STN,0))),INDEX(TZ_DST,MATCH(P45,TZ_STN,0)),INDEX(TZ_STD,MATCH(P45,TZ_STN,0))))/24,"")</f>
        <v/>
      </c>
      <c r="AH45" s="65" t="str">
        <f aca="false">IFERROR(IF(N45="N/A – rule","N/A – RULE",IF(TRIM(U45)="N/A",IF(AT45=0,"INVALID – N/A not permitted for this check",IF(AND(TRIM(AB45)&lt;&gt;"",TRIM(AB45)&lt;&gt;"Closed"),"INVALID – corrective action still open",IF(AND(NOT(OR(LEN(AZ45)&lt;15,ISNUMBER(MATCH(AZ45,L_Placeholder,0)))),NOT(OR(LEN(AU45)&lt;2,ISNUMBER(MATCH(AU45,L_Placeholder,0)))),NOT(OR(LEN(AX45)&lt;2,ISNUMBER(MATCH(AX45,L_Placeholder,0)))),TRIM(AE45)&lt;&gt;TRIM(T45)),"N/A – JUSTIFIED","INVALID – N/A needs a real justification (15+ chars), PIC and a different verifier"))),IF(OR(TRIM(U45)="Pass",TRIM(U45)="Pass after CA"),IF(NOT(ISNUMBER(AD45)),"INVALID – completion time missing",IF(OR(LEN(AU45)&lt;2,ISNUMBER(MATCH(AU45,L_Placeholder,0))),"INVALID – PIC missing",IF(OR(LEN(AV45)&lt;2,ISNUMBER(MATCH(AV45,L_Placeholder,0))),"INVALID – result / assessment missing",IF(OR(OR(LEN(AW45)&lt;3,ISNUMBER(MATCH(AW45,L_Placeholder,0))),SUMPRODUCT(--ISNUMBER(SEARCH(L_EvidencePhrase,AW45)))&gt;0),"INVALID – evidence missing, placeholder or not yet on file",IF(OR(LEN(AX45)&lt;2,ISNUMBER(MATCH(AX45,L_Placeholder,0))),"INVALID – verifier missing",IF(AX45=AU45,"INVALID – verifier must be someone other than the PIC",IF(AND(TRIM(U45)="Pass",SUMPRODUCT(--ISNUMBER(SEARCH(L_ResultBad,AV45)))&gt;0),"INVALID – result describes a problem: use Fail, then Pass after CA",IF(AND(AQ45=1,OR(LEN(AY45)&lt;3,ISNUMBER(MATCH(AY45,L_Placeholder,0)))),"INVALID – batch ID missing or placeholder",IF(AND(AR45=1,OR(NOT(ISNUMBER(X45)),NOT(ISNUMBER(Y45)))),"INVALID – expected/actual qty missing",IF(AND(AR45=1,OR(X45&lt;=0,Y45&lt;0)),"INVALID – expected qty must be above 0 and actual not negative",IF(BB45&lt;&gt;"",BB45,IF(AND(AS45=1,Documents!$J$6&lt;&gt;"ON FILE"),"INVALID – GLD not on file (Documents sheet)",IF(AND(AS45=2,Documents!$O$6&lt;&gt;"ON FILE"),"INVALID – menu checklist not on file (Documents sheet)",IF(AND(AS45=3,NOT(ISNUMBER(Flights!$AX$6))),"INVALID – enter carrying flight KUL departure (Flights AX)",IF(AND(AS45=3,OR(Flights!$AZ$6&gt;Flights!$AA$6,Flights!$AX$6&lt;Flights!$AA$6-3)),"INVALID – carrying flight (Flights AX) cannot arrive before this leg's STD, or is over 3 days early",IF(AG45&gt;AsOfUTC,"INVALID – completion time is in the future",IF(AND(ISNUMBER(S45),AG45&lt;S45),IF(H45="Physical uplift","INVALID – before uplift window (cannot confirm loading)","INVALID – before valid window"),IF(AG45&gt;Flights!$AA$6,"INVALID – completed after departure (cannot establish readiness)",IF(AND(H45="Preparation",AG45&gt;IF(ISNUMBER(Flights!$BA$6),MIN(Flights!$BA$6,Flights!$AA$6),Flights!$AA$6)),"INVALID – completed after loading / departure (cannot establish readiness)",IF(AND(H45="Physical uplift",AG45&gt;Q45),"INVALID – recorded after the loading flight departed",IF(AG45&gt;Q45,"COMPLETE – LATE","COMPLETE"))))))))))))))))))))),IF(TRIM(U45)="Fail","FAIL – DISCREPANCY",IF(AND(TRIM(U45)&lt;&gt;"",TRIM(U45)&lt;&gt;"Not started",TRIM(U45)&lt;&gt;"In progress"),"INVALID – unrecognised status (use the list)",IF(AsOfUTC&gt;Q45,"OVERDUE",IF(N45="Clarification required","OPEN – CLARIFICATION","OPEN"))))))),"INVALID – error value in an input cell")</f>
        <v>OPEN</v>
      </c>
      <c r="AI45" s="61" t="n">
        <f aca="false">IF(OR(AH45="N/A – RULE",AH45="N/A – JUSTIFIED"),0,1)</f>
        <v>1</v>
      </c>
      <c r="AJ45" s="61" t="n">
        <f aca="false">IF(LEFT(AH45,8)="COMPLETE",1,0)</f>
        <v>0</v>
      </c>
      <c r="AK45" s="61" t="n">
        <f aca="false">IF(AND(AI45=1,AJ45=0,AsOfUTC&gt;Q45),1,0)</f>
        <v>0</v>
      </c>
      <c r="AL45" s="61" t="n">
        <f aca="false">IFERROR(IF(AND(AI45=1,OR(TRIM(U45)="Fail",AND(TRIM(AB45)&lt;&gt;"",TRIM(AB45)&lt;&gt;"Closed"),AND(ISNUMBER(AF45),AF45&lt;&gt;0,TRIM(U45)&lt;&gt;"Pass after CA"))),1,0),1)</f>
        <v>0</v>
      </c>
      <c r="AM45" s="61" t="n">
        <f aca="false">IF(LEFT(AH45,7)="INVALID",1,0)</f>
        <v>0</v>
      </c>
      <c r="AN45" s="61" t="n">
        <f aca="false">IF(AND(N45="Clarification required",AI45=1,AJ45=0),1,0)</f>
        <v>0</v>
      </c>
      <c r="AO45" s="61" t="str">
        <f aca="false">IF(AK45=1,SUM(AK$5:AK45),"")</f>
        <v/>
      </c>
      <c r="AP45" s="61" t="str">
        <f aca="false">IF(AL45=1,SUM(AL$5:AL45),"")</f>
        <v/>
      </c>
      <c r="AQ45" s="61" t="n">
        <v>0</v>
      </c>
      <c r="AR45" s="61" t="n">
        <v>1</v>
      </c>
      <c r="AS45" s="61" t="n">
        <v>0</v>
      </c>
      <c r="AT45" s="61" t="n">
        <v>0</v>
      </c>
      <c r="AU45" s="61" t="str">
        <f aca="false">SUBSTITUTE(SUBSTITUTE(SUBSTITUTE(SUBSTITUTE(SUBSTITUTE(SUBSTITUTE(SUBSTITUTE(SUBSTITUTE(SUBSTITUTE(SUBSTITUTE(SUBSTITUTE(SUBSTITUTE(SUBSTITUTE(LOWER(T45&amp;""),CHAR(160),"")," ",""),".",""),"-",""),"/",""),"?",""),"_",""),",",""),"[",""),"]",""),"(",""),")",""),"*","")</f>
        <v/>
      </c>
      <c r="AV45" s="61" t="str">
        <f aca="false">SUBSTITUTE(SUBSTITUTE(SUBSTITUTE(SUBSTITUTE(SUBSTITUTE(SUBSTITUTE(SUBSTITUTE(SUBSTITUTE(SUBSTITUTE(SUBSTITUTE(SUBSTITUTE(SUBSTITUTE(SUBSTITUTE(LOWER(V45&amp;""),CHAR(160),"")," ",""),".",""),"-",""),"/",""),"?",""),"_",""),",",""),"[",""),"]",""),"(",""),")",""),"*","")</f>
        <v/>
      </c>
      <c r="AW45" s="61" t="str">
        <f aca="false">SUBSTITUTE(SUBSTITUTE(SUBSTITUTE(SUBSTITUTE(SUBSTITUTE(SUBSTITUTE(SUBSTITUTE(SUBSTITUTE(SUBSTITUTE(SUBSTITUTE(SUBSTITUTE(SUBSTITUTE(SUBSTITUTE(LOWER(Z45&amp;""),CHAR(160),"")," ",""),".",""),"-",""),"/",""),"?",""),"_",""),",",""),"[",""),"]",""),"(",""),")",""),"*","")</f>
        <v/>
      </c>
      <c r="AX45" s="61" t="str">
        <f aca="false">SUBSTITUTE(SUBSTITUTE(SUBSTITUTE(SUBSTITUTE(SUBSTITUTE(SUBSTITUTE(SUBSTITUTE(SUBSTITUTE(SUBSTITUTE(SUBSTITUTE(SUBSTITUTE(SUBSTITUTE(SUBSTITUTE(LOWER(AE45&amp;""),CHAR(160),"")," ",""),".",""),"-",""),"/",""),"?",""),"_",""),",",""),"[",""),"]",""),"(",""),")",""),"*","")</f>
        <v/>
      </c>
      <c r="AY45" s="61" t="str">
        <f aca="false">SUBSTITUTE(SUBSTITUTE(SUBSTITUTE(SUBSTITUTE(SUBSTITUTE(SUBSTITUTE(SUBSTITUTE(SUBSTITUTE(SUBSTITUTE(SUBSTITUTE(SUBSTITUTE(SUBSTITUTE(SUBSTITUTE(LOWER(W45&amp;""),CHAR(160),"")," ",""),".",""),"-",""),"/",""),"?",""),"_",""),",",""),"[",""),"]",""),"(",""),")",""),"*","")</f>
        <v/>
      </c>
      <c r="AZ45" s="61" t="str">
        <f aca="false">SUBSTITUTE(SUBSTITUTE(SUBSTITUTE(SUBSTITUTE(SUBSTITUTE(SUBSTITUTE(SUBSTITUTE(SUBSTITUTE(SUBSTITUTE(SUBSTITUTE(SUBSTITUTE(SUBSTITUTE(SUBSTITUTE(LOWER(AC45&amp;""),CHAR(160),"")," ",""),".",""),"-",""),"/",""),"?",""),"_",""),",",""),"[",""),"]",""),"(",""),")",""),"*","")</f>
        <v/>
      </c>
      <c r="BA45" s="61" t="str">
        <f aca="false">SUBSTITUTE(SUBSTITUTE(SUBSTITUTE(SUBSTITUTE(SUBSTITUTE(SUBSTITUTE(SUBSTITUTE(SUBSTITUTE(SUBSTITUTE(SUBSTITUTE(SUBSTITUTE(SUBSTITUTE(SUBSTITUTE(LOWER(AA45&amp;""),CHAR(160),"")," ",""),".",""),"-",""),"/",""),"?",""),"_",""),",",""),"[",""),"]",""),"(",""),")",""),"*","")</f>
        <v/>
      </c>
      <c r="BB45" s="61" t="str">
        <f aca="false">IF(AND(TRIM(U45)="Pass",ISNUMBER(AF45)),IF(AF45&lt;&gt;0,"INVALID – qty variance: use Fail or Pass after CA",""),"")&amp;IF(AND(TRIM(U45)="Pass after CA",ISNUMBER(AF45)),IF(AF45&lt;&gt;0,"INVALID – after the corrective action the actual qty must equal expected (update Actual)",""),"")&amp;IF(AND(TRIM(U45)="Pass",TRIM(AB45)&lt;&gt;"",TRIM(AB45)&lt;&gt;"Closed"),"INVALID – corrective action not closed: use Fail, then Pass after CA","")&amp;IF(AND(TRIM(AA45)&lt;&gt;"",TRIM(AB45)=""),"INVALID – CA status missing for the recorded corrective action","")&amp;IF(AND(TRIM(U45)="Pass after CA",OR(OR(LEN(BA45)&lt;5,ISNUMBER(MATCH(BA45,L_Placeholder,0))),TRIM(AB45)&lt;&gt;"Closed")),"INVALID – corrective action not recorded/closed","")</f>
        <v/>
      </c>
    </row>
    <row r="46" customFormat="false" ht="39.75" hidden="false" customHeight="true" outlineLevel="0" collapsed="false">
      <c r="A46" s="57" t="s">
        <v>470</v>
      </c>
      <c r="B46" s="57" t="s">
        <v>195</v>
      </c>
      <c r="C46" s="57" t="str">
        <f aca="false">Flights!$F$6</f>
        <v>MH0727</v>
      </c>
      <c r="D46" s="58" t="n">
        <f aca="false">Flights!$D$6</f>
        <v>46304</v>
      </c>
      <c r="E46" s="57" t="str">
        <f aca="false">Flights!$G$6&amp;"-"&amp;Flights!$H$6</f>
        <v>KUL-CGK</v>
      </c>
      <c r="F46" s="57" t="str">
        <f aca="false">Flights!$K$6</f>
        <v>BC</v>
      </c>
      <c r="G46" s="57" t="s">
        <v>398</v>
      </c>
      <c r="H46" s="57" t="s">
        <v>356</v>
      </c>
      <c r="I46" s="57" t="s">
        <v>406</v>
      </c>
      <c r="J46" s="57" t="s">
        <v>416</v>
      </c>
      <c r="K46" s="67"/>
      <c r="L46" s="67" t="s">
        <v>400</v>
      </c>
      <c r="M46" s="67"/>
      <c r="N46" s="67" t="s">
        <v>361</v>
      </c>
      <c r="O46" s="67" t="s">
        <v>401</v>
      </c>
      <c r="P46" s="57" t="s">
        <v>184</v>
      </c>
      <c r="Q46" s="59" t="n">
        <f aca="false">ROUND((Flights!$AE$6)*1440,0)/1440</f>
        <v>46304.0763888889</v>
      </c>
      <c r="R46" s="59" t="n">
        <f aca="false">Q46+(IF(AND(INDEX(TZ_DSTS,MATCH(P46,TZ_STN,0))&lt;&gt;"",Q46&gt;=INDEX(TZ_DSTS,MATCH(P46,TZ_STN,0)),Q46&lt;INDEX(TZ_DSTE,MATCH(P46,TZ_STN,0))),INDEX(TZ_DST,MATCH(P46,TZ_STN,0)),INDEX(TZ_STD,MATCH(P46,TZ_STN,0))))/24</f>
        <v>46304.4097222222</v>
      </c>
      <c r="S46" s="59" t="n">
        <f aca="false">Q46-T12EarlyH/24</f>
        <v>46303.5763888889</v>
      </c>
      <c r="T46" s="60"/>
      <c r="U46" s="60"/>
      <c r="V46" s="60"/>
      <c r="W46" s="61"/>
      <c r="X46" s="60"/>
      <c r="Y46" s="60"/>
      <c r="Z46" s="60"/>
      <c r="AA46" s="60"/>
      <c r="AB46" s="60"/>
      <c r="AC46" s="60"/>
      <c r="AD46" s="66"/>
      <c r="AE46" s="60"/>
      <c r="AF46" s="61" t="str">
        <f aca="false">IF(AND(ISNUMBER(X46),ISNUMBER(Y46)),Y46-X46,"")</f>
        <v/>
      </c>
      <c r="AG46" s="62" t="str">
        <f aca="false">IF(ISNUMBER(AD46),AD46-(IF(AND(INDEX(TZ_DSTS,MATCH(P46,TZ_STN,0))&lt;&gt;"",(AD46-INDEX(TZ_STD,MATCH(P46,TZ_STN,0))/24)&gt;=INDEX(TZ_DSTS,MATCH(P46,TZ_STN,0)),(AD46-INDEX(TZ_STD,MATCH(P46,TZ_STN,0))/24)&lt;INDEX(TZ_DSTE,MATCH(P46,TZ_STN,0))),INDEX(TZ_DST,MATCH(P46,TZ_STN,0)),INDEX(TZ_STD,MATCH(P46,TZ_STN,0))))/24,"")</f>
        <v/>
      </c>
      <c r="AH46" s="65" t="str">
        <f aca="false">IFERROR(IF(N46="N/A – rule","N/A – RULE",IF(TRIM(U46)="N/A",IF(AT46=0,"INVALID – N/A not permitted for this check",IF(AND(TRIM(AB46)&lt;&gt;"",TRIM(AB46)&lt;&gt;"Closed"),"INVALID – corrective action still open",IF(AND(NOT(OR(LEN(AZ46)&lt;15,ISNUMBER(MATCH(AZ46,L_Placeholder,0)))),NOT(OR(LEN(AU46)&lt;2,ISNUMBER(MATCH(AU46,L_Placeholder,0)))),NOT(OR(LEN(AX46)&lt;2,ISNUMBER(MATCH(AX46,L_Placeholder,0)))),TRIM(AE46)&lt;&gt;TRIM(T46)),"N/A – JUSTIFIED","INVALID – N/A needs a real justification (15+ chars), PIC and a different verifier"))),IF(OR(TRIM(U46)="Pass",TRIM(U46)="Pass after CA"),IF(NOT(ISNUMBER(AD46)),"INVALID – completion time missing",IF(OR(LEN(AU46)&lt;2,ISNUMBER(MATCH(AU46,L_Placeholder,0))),"INVALID – PIC missing",IF(OR(LEN(AV46)&lt;2,ISNUMBER(MATCH(AV46,L_Placeholder,0))),"INVALID – result / assessment missing",IF(OR(OR(LEN(AW46)&lt;3,ISNUMBER(MATCH(AW46,L_Placeholder,0))),SUMPRODUCT(--ISNUMBER(SEARCH(L_EvidencePhrase,AW46)))&gt;0),"INVALID – evidence missing, placeholder or not yet on file",IF(OR(LEN(AX46)&lt;2,ISNUMBER(MATCH(AX46,L_Placeholder,0))),"INVALID – verifier missing",IF(AX46=AU46,"INVALID – verifier must be someone other than the PIC",IF(AND(TRIM(U46)="Pass",SUMPRODUCT(--ISNUMBER(SEARCH(L_ResultBad,AV46)))&gt;0),"INVALID – result describes a problem: use Fail, then Pass after CA",IF(AND(AQ46=1,OR(LEN(AY46)&lt;3,ISNUMBER(MATCH(AY46,L_Placeholder,0)))),"INVALID – batch ID missing or placeholder",IF(AND(AR46=1,OR(NOT(ISNUMBER(X46)),NOT(ISNUMBER(Y46)))),"INVALID – expected/actual qty missing",IF(AND(AR46=1,OR(X46&lt;=0,Y46&lt;0)),"INVALID – expected qty must be above 0 and actual not negative",IF(BB46&lt;&gt;"",BB46,IF(AND(AS46=1,Documents!$J$6&lt;&gt;"ON FILE"),"INVALID – GLD not on file (Documents sheet)",IF(AND(AS46=2,Documents!$O$6&lt;&gt;"ON FILE"),"INVALID – menu checklist not on file (Documents sheet)",IF(AND(AS46=3,NOT(ISNUMBER(Flights!$AX$6))),"INVALID – enter carrying flight KUL departure (Flights AX)",IF(AND(AS46=3,OR(Flights!$AZ$6&gt;Flights!$AA$6,Flights!$AX$6&lt;Flights!$AA$6-3)),"INVALID – carrying flight (Flights AX) cannot arrive before this leg's STD, or is over 3 days early",IF(AG46&gt;AsOfUTC,"INVALID – completion time is in the future",IF(AND(ISNUMBER(S46),AG46&lt;S46),IF(H46="Physical uplift","INVALID – before uplift window (cannot confirm loading)","INVALID – before valid window"),IF(AG46&gt;Flights!$AA$6,"INVALID – completed after departure (cannot establish readiness)",IF(AND(H46="Preparation",AG46&gt;IF(ISNUMBER(Flights!$BA$6),MIN(Flights!$BA$6,Flights!$AA$6),Flights!$AA$6)),"INVALID – completed after loading / departure (cannot establish readiness)",IF(AND(H46="Physical uplift",AG46&gt;Q46),"INVALID – recorded after the loading flight departed",IF(AG46&gt;Q46,"COMPLETE – LATE","COMPLETE"))))))))))))))))))))),IF(TRIM(U46)="Fail","FAIL – DISCREPANCY",IF(AND(TRIM(U46)&lt;&gt;"",TRIM(U46)&lt;&gt;"Not started",TRIM(U46)&lt;&gt;"In progress"),"INVALID – unrecognised status (use the list)",IF(AsOfUTC&gt;Q46,"OVERDUE",IF(N46="Clarification required","OPEN – CLARIFICATION","OPEN"))))))),"INVALID – error value in an input cell")</f>
        <v>OPEN</v>
      </c>
      <c r="AI46" s="61" t="n">
        <f aca="false">IF(OR(AH46="N/A – RULE",AH46="N/A – JUSTIFIED"),0,1)</f>
        <v>1</v>
      </c>
      <c r="AJ46" s="61" t="n">
        <f aca="false">IF(LEFT(AH46,8)="COMPLETE",1,0)</f>
        <v>0</v>
      </c>
      <c r="AK46" s="61" t="n">
        <f aca="false">IF(AND(AI46=1,AJ46=0,AsOfUTC&gt;Q46),1,0)</f>
        <v>0</v>
      </c>
      <c r="AL46" s="61" t="n">
        <f aca="false">IFERROR(IF(AND(AI46=1,OR(TRIM(U46)="Fail",AND(TRIM(AB46)&lt;&gt;"",TRIM(AB46)&lt;&gt;"Closed"),AND(ISNUMBER(AF46),AF46&lt;&gt;0,TRIM(U46)&lt;&gt;"Pass after CA"))),1,0),1)</f>
        <v>0</v>
      </c>
      <c r="AM46" s="61" t="n">
        <f aca="false">IF(LEFT(AH46,7)="INVALID",1,0)</f>
        <v>0</v>
      </c>
      <c r="AN46" s="61" t="n">
        <f aca="false">IF(AND(N46="Clarification required",AI46=1,AJ46=0),1,0)</f>
        <v>0</v>
      </c>
      <c r="AO46" s="61" t="str">
        <f aca="false">IF(AK46=1,SUM(AK$5:AK46),"")</f>
        <v/>
      </c>
      <c r="AP46" s="61" t="str">
        <f aca="false">IF(AL46=1,SUM(AL$5:AL46),"")</f>
        <v/>
      </c>
      <c r="AQ46" s="61" t="n">
        <v>0</v>
      </c>
      <c r="AR46" s="61" t="n">
        <v>0</v>
      </c>
      <c r="AS46" s="61" t="n">
        <v>0</v>
      </c>
      <c r="AT46" s="61" t="n">
        <v>0</v>
      </c>
      <c r="AU46" s="61" t="str">
        <f aca="false">SUBSTITUTE(SUBSTITUTE(SUBSTITUTE(SUBSTITUTE(SUBSTITUTE(SUBSTITUTE(SUBSTITUTE(SUBSTITUTE(SUBSTITUTE(SUBSTITUTE(SUBSTITUTE(SUBSTITUTE(SUBSTITUTE(LOWER(T46&amp;""),CHAR(160),"")," ",""),".",""),"-",""),"/",""),"?",""),"_",""),",",""),"[",""),"]",""),"(",""),")",""),"*","")</f>
        <v/>
      </c>
      <c r="AV46" s="61" t="str">
        <f aca="false">SUBSTITUTE(SUBSTITUTE(SUBSTITUTE(SUBSTITUTE(SUBSTITUTE(SUBSTITUTE(SUBSTITUTE(SUBSTITUTE(SUBSTITUTE(SUBSTITUTE(SUBSTITUTE(SUBSTITUTE(SUBSTITUTE(LOWER(V46&amp;""),CHAR(160),"")," ",""),".",""),"-",""),"/",""),"?",""),"_",""),",",""),"[",""),"]",""),"(",""),")",""),"*","")</f>
        <v/>
      </c>
      <c r="AW46" s="61" t="str">
        <f aca="false">SUBSTITUTE(SUBSTITUTE(SUBSTITUTE(SUBSTITUTE(SUBSTITUTE(SUBSTITUTE(SUBSTITUTE(SUBSTITUTE(SUBSTITUTE(SUBSTITUTE(SUBSTITUTE(SUBSTITUTE(SUBSTITUTE(LOWER(Z46&amp;""),CHAR(160),"")," ",""),".",""),"-",""),"/",""),"?",""),"_",""),",",""),"[",""),"]",""),"(",""),")",""),"*","")</f>
        <v/>
      </c>
      <c r="AX46" s="61" t="str">
        <f aca="false">SUBSTITUTE(SUBSTITUTE(SUBSTITUTE(SUBSTITUTE(SUBSTITUTE(SUBSTITUTE(SUBSTITUTE(SUBSTITUTE(SUBSTITUTE(SUBSTITUTE(SUBSTITUTE(SUBSTITUTE(SUBSTITUTE(LOWER(AE46&amp;""),CHAR(160),"")," ",""),".",""),"-",""),"/",""),"?",""),"_",""),",",""),"[",""),"]",""),"(",""),")",""),"*","")</f>
        <v/>
      </c>
      <c r="AY46" s="61" t="str">
        <f aca="false">SUBSTITUTE(SUBSTITUTE(SUBSTITUTE(SUBSTITUTE(SUBSTITUTE(SUBSTITUTE(SUBSTITUTE(SUBSTITUTE(SUBSTITUTE(SUBSTITUTE(SUBSTITUTE(SUBSTITUTE(SUBSTITUTE(LOWER(W46&amp;""),CHAR(160),"")," ",""),".",""),"-",""),"/",""),"?",""),"_",""),",",""),"[",""),"]",""),"(",""),")",""),"*","")</f>
        <v/>
      </c>
      <c r="AZ46" s="61" t="str">
        <f aca="false">SUBSTITUTE(SUBSTITUTE(SUBSTITUTE(SUBSTITUTE(SUBSTITUTE(SUBSTITUTE(SUBSTITUTE(SUBSTITUTE(SUBSTITUTE(SUBSTITUTE(SUBSTITUTE(SUBSTITUTE(SUBSTITUTE(LOWER(AC46&amp;""),CHAR(160),"")," ",""),".",""),"-",""),"/",""),"?",""),"_",""),",",""),"[",""),"]",""),"(",""),")",""),"*","")</f>
        <v/>
      </c>
      <c r="BA46" s="61" t="str">
        <f aca="false">SUBSTITUTE(SUBSTITUTE(SUBSTITUTE(SUBSTITUTE(SUBSTITUTE(SUBSTITUTE(SUBSTITUTE(SUBSTITUTE(SUBSTITUTE(SUBSTITUTE(SUBSTITUTE(SUBSTITUTE(SUBSTITUTE(LOWER(AA46&amp;""),CHAR(160),"")," ",""),".",""),"-",""),"/",""),"?",""),"_",""),",",""),"[",""),"]",""),"(",""),")",""),"*","")</f>
        <v/>
      </c>
      <c r="BB46" s="61" t="str">
        <f aca="false">IF(AND(TRIM(U46)="Pass",ISNUMBER(AF46)),IF(AF46&lt;&gt;0,"INVALID – qty variance: use Fail or Pass after CA",""),"")&amp;IF(AND(TRIM(U46)="Pass after CA",ISNUMBER(AF46)),IF(AF46&lt;&gt;0,"INVALID – after the corrective action the actual qty must equal expected (update Actual)",""),"")&amp;IF(AND(TRIM(U46)="Pass",TRIM(AB46)&lt;&gt;"",TRIM(AB46)&lt;&gt;"Closed"),"INVALID – corrective action not closed: use Fail, then Pass after CA","")&amp;IF(AND(TRIM(AA46)&lt;&gt;"",TRIM(AB46)=""),"INVALID – CA status missing for the recorded corrective action","")&amp;IF(AND(TRIM(U46)="Pass after CA",OR(OR(LEN(BA46)&lt;5,ISNUMBER(MATCH(BA46,L_Placeholder,0))),TRIM(AB46)&lt;&gt;"Closed")),"INVALID – corrective action not recorded/closed","")</f>
        <v/>
      </c>
    </row>
    <row r="47" customFormat="false" ht="66" hidden="false" customHeight="true" outlineLevel="0" collapsed="false">
      <c r="A47" s="57" t="s">
        <v>471</v>
      </c>
      <c r="B47" s="57" t="s">
        <v>195</v>
      </c>
      <c r="C47" s="57" t="str">
        <f aca="false">Flights!$F$6</f>
        <v>MH0727</v>
      </c>
      <c r="D47" s="58" t="n">
        <f aca="false">Flights!$D$6</f>
        <v>46304</v>
      </c>
      <c r="E47" s="57" t="str">
        <f aca="false">Flights!$G$6&amp;"-"&amp;Flights!$H$6</f>
        <v>KUL-CGK</v>
      </c>
      <c r="F47" s="57" t="str">
        <f aca="false">Flights!$K$6</f>
        <v>BC</v>
      </c>
      <c r="G47" s="57" t="s">
        <v>398</v>
      </c>
      <c r="H47" s="57" t="s">
        <v>356</v>
      </c>
      <c r="I47" s="57" t="s">
        <v>418</v>
      </c>
      <c r="J47" s="57" t="s">
        <v>472</v>
      </c>
      <c r="K47" s="67" t="s">
        <v>473</v>
      </c>
      <c r="L47" s="67" t="s">
        <v>474</v>
      </c>
      <c r="M47" s="67" t="s">
        <v>429</v>
      </c>
      <c r="N47" s="67" t="s">
        <v>361</v>
      </c>
      <c r="O47" s="67" t="s">
        <v>475</v>
      </c>
      <c r="P47" s="57" t="s">
        <v>184</v>
      </c>
      <c r="Q47" s="59" t="n">
        <f aca="false">ROUND((Flights!$AE$6)*1440,0)/1440</f>
        <v>46304.0763888889</v>
      </c>
      <c r="R47" s="59" t="n">
        <f aca="false">Q47+(IF(AND(INDEX(TZ_DSTS,MATCH(P47,TZ_STN,0))&lt;&gt;"",Q47&gt;=INDEX(TZ_DSTS,MATCH(P47,TZ_STN,0)),Q47&lt;INDEX(TZ_DSTE,MATCH(P47,TZ_STN,0))),INDEX(TZ_DST,MATCH(P47,TZ_STN,0)),INDEX(TZ_STD,MATCH(P47,TZ_STN,0))))/24</f>
        <v>46304.4097222222</v>
      </c>
      <c r="S47" s="59" t="n">
        <f aca="false">Q47-T12EarlyH/24</f>
        <v>46303.5763888889</v>
      </c>
      <c r="T47" s="60"/>
      <c r="U47" s="60"/>
      <c r="V47" s="60"/>
      <c r="W47" s="61"/>
      <c r="X47" s="60"/>
      <c r="Y47" s="60"/>
      <c r="Z47" s="60"/>
      <c r="AA47" s="60"/>
      <c r="AB47" s="60"/>
      <c r="AC47" s="60"/>
      <c r="AD47" s="66"/>
      <c r="AE47" s="60"/>
      <c r="AF47" s="61" t="str">
        <f aca="false">IF(AND(ISNUMBER(X47),ISNUMBER(Y47)),Y47-X47,"")</f>
        <v/>
      </c>
      <c r="AG47" s="62" t="str">
        <f aca="false">IF(ISNUMBER(AD47),AD47-(IF(AND(INDEX(TZ_DSTS,MATCH(P47,TZ_STN,0))&lt;&gt;"",(AD47-INDEX(TZ_STD,MATCH(P47,TZ_STN,0))/24)&gt;=INDEX(TZ_DSTS,MATCH(P47,TZ_STN,0)),(AD47-INDEX(TZ_STD,MATCH(P47,TZ_STN,0))/24)&lt;INDEX(TZ_DSTE,MATCH(P47,TZ_STN,0))),INDEX(TZ_DST,MATCH(P47,TZ_STN,0)),INDEX(TZ_STD,MATCH(P47,TZ_STN,0))))/24,"")</f>
        <v/>
      </c>
      <c r="AH47" s="65" t="str">
        <f aca="false">IFERROR(IF(N47="N/A – rule","N/A – RULE",IF(TRIM(U47)="N/A",IF(AT47=0,"INVALID – N/A not permitted for this check",IF(AND(TRIM(AB47)&lt;&gt;"",TRIM(AB47)&lt;&gt;"Closed"),"INVALID – corrective action still open",IF(AND(NOT(OR(LEN(AZ47)&lt;15,ISNUMBER(MATCH(AZ47,L_Placeholder,0)))),NOT(OR(LEN(AU47)&lt;2,ISNUMBER(MATCH(AU47,L_Placeholder,0)))),NOT(OR(LEN(AX47)&lt;2,ISNUMBER(MATCH(AX47,L_Placeholder,0)))),TRIM(AE47)&lt;&gt;TRIM(T47)),"N/A – JUSTIFIED","INVALID – N/A needs a real justification (15+ chars), PIC and a different verifier"))),IF(OR(TRIM(U47)="Pass",TRIM(U47)="Pass after CA"),IF(NOT(ISNUMBER(AD47)),"INVALID – completion time missing",IF(OR(LEN(AU47)&lt;2,ISNUMBER(MATCH(AU47,L_Placeholder,0))),"INVALID – PIC missing",IF(OR(LEN(AV47)&lt;2,ISNUMBER(MATCH(AV47,L_Placeholder,0))),"INVALID – result / assessment missing",IF(OR(OR(LEN(AW47)&lt;3,ISNUMBER(MATCH(AW47,L_Placeholder,0))),SUMPRODUCT(--ISNUMBER(SEARCH(L_EvidencePhrase,AW47)))&gt;0),"INVALID – evidence missing, placeholder or not yet on file",IF(OR(LEN(AX47)&lt;2,ISNUMBER(MATCH(AX47,L_Placeholder,0))),"INVALID – verifier missing",IF(AX47=AU47,"INVALID – verifier must be someone other than the PIC",IF(AND(TRIM(U47)="Pass",SUMPRODUCT(--ISNUMBER(SEARCH(L_ResultBad,AV47)))&gt;0),"INVALID – result describes a problem: use Fail, then Pass after CA",IF(AND(AQ47=1,OR(LEN(AY47)&lt;3,ISNUMBER(MATCH(AY47,L_Placeholder,0)))),"INVALID – batch ID missing or placeholder",IF(AND(AR47=1,OR(NOT(ISNUMBER(X47)),NOT(ISNUMBER(Y47)))),"INVALID – expected/actual qty missing",IF(AND(AR47=1,OR(X47&lt;=0,Y47&lt;0)),"INVALID – expected qty must be above 0 and actual not negative",IF(BB47&lt;&gt;"",BB47,IF(AND(AS47=1,Documents!$J$6&lt;&gt;"ON FILE"),"INVALID – GLD not on file (Documents sheet)",IF(AND(AS47=2,Documents!$O$6&lt;&gt;"ON FILE"),"INVALID – menu checklist not on file (Documents sheet)",IF(AND(AS47=3,NOT(ISNUMBER(Flights!$AX$6))),"INVALID – enter carrying flight KUL departure (Flights AX)",IF(AND(AS47=3,OR(Flights!$AZ$6&gt;Flights!$AA$6,Flights!$AX$6&lt;Flights!$AA$6-3)),"INVALID – carrying flight (Flights AX) cannot arrive before this leg's STD, or is over 3 days early",IF(AG47&gt;AsOfUTC,"INVALID – completion time is in the future",IF(AND(ISNUMBER(S47),AG47&lt;S47),IF(H47="Physical uplift","INVALID – before uplift window (cannot confirm loading)","INVALID – before valid window"),IF(AG47&gt;Flights!$AA$6,"INVALID – completed after departure (cannot establish readiness)",IF(AND(H47="Preparation",AG47&gt;IF(ISNUMBER(Flights!$BA$6),MIN(Flights!$BA$6,Flights!$AA$6),Flights!$AA$6)),"INVALID – completed after loading / departure (cannot establish readiness)",IF(AND(H47="Physical uplift",AG47&gt;Q47),"INVALID – recorded after the loading flight departed",IF(AG47&gt;Q47,"COMPLETE – LATE","COMPLETE"))))))))))))))))))))),IF(TRIM(U47)="Fail","FAIL – DISCREPANCY",IF(AND(TRIM(U47)&lt;&gt;"",TRIM(U47)&lt;&gt;"Not started",TRIM(U47)&lt;&gt;"In progress"),"INVALID – unrecognised status (use the list)",IF(AsOfUTC&gt;Q47,"OVERDUE",IF(N47="Clarification required","OPEN – CLARIFICATION","OPEN"))))))),"INVALID – error value in an input cell")</f>
        <v>OPEN</v>
      </c>
      <c r="AI47" s="61" t="n">
        <f aca="false">IF(OR(AH47="N/A – RULE",AH47="N/A – JUSTIFIED"),0,1)</f>
        <v>1</v>
      </c>
      <c r="AJ47" s="61" t="n">
        <f aca="false">IF(LEFT(AH47,8)="COMPLETE",1,0)</f>
        <v>0</v>
      </c>
      <c r="AK47" s="61" t="n">
        <f aca="false">IF(AND(AI47=1,AJ47=0,AsOfUTC&gt;Q47),1,0)</f>
        <v>0</v>
      </c>
      <c r="AL47" s="61" t="n">
        <f aca="false">IFERROR(IF(AND(AI47=1,OR(TRIM(U47)="Fail",AND(TRIM(AB47)&lt;&gt;"",TRIM(AB47)&lt;&gt;"Closed"),AND(ISNUMBER(AF47),AF47&lt;&gt;0,TRIM(U47)&lt;&gt;"Pass after CA"))),1,0),1)</f>
        <v>0</v>
      </c>
      <c r="AM47" s="61" t="n">
        <f aca="false">IF(LEFT(AH47,7)="INVALID",1,0)</f>
        <v>0</v>
      </c>
      <c r="AN47" s="61" t="n">
        <f aca="false">IF(AND(N47="Clarification required",AI47=1,AJ47=0),1,0)</f>
        <v>0</v>
      </c>
      <c r="AO47" s="61" t="str">
        <f aca="false">IF(AK47=1,SUM(AK$5:AK47),"")</f>
        <v/>
      </c>
      <c r="AP47" s="61" t="str">
        <f aca="false">IF(AL47=1,SUM(AL$5:AL47),"")</f>
        <v/>
      </c>
      <c r="AQ47" s="61" t="n">
        <v>0</v>
      </c>
      <c r="AR47" s="61" t="n">
        <v>0</v>
      </c>
      <c r="AS47" s="61" t="n">
        <v>0</v>
      </c>
      <c r="AT47" s="61" t="n">
        <v>0</v>
      </c>
      <c r="AU47" s="61" t="str">
        <f aca="false">SUBSTITUTE(SUBSTITUTE(SUBSTITUTE(SUBSTITUTE(SUBSTITUTE(SUBSTITUTE(SUBSTITUTE(SUBSTITUTE(SUBSTITUTE(SUBSTITUTE(SUBSTITUTE(SUBSTITUTE(SUBSTITUTE(LOWER(T47&amp;""),CHAR(160),"")," ",""),".",""),"-",""),"/",""),"?",""),"_",""),",",""),"[",""),"]",""),"(",""),")",""),"*","")</f>
        <v/>
      </c>
      <c r="AV47" s="61" t="str">
        <f aca="false">SUBSTITUTE(SUBSTITUTE(SUBSTITUTE(SUBSTITUTE(SUBSTITUTE(SUBSTITUTE(SUBSTITUTE(SUBSTITUTE(SUBSTITUTE(SUBSTITUTE(SUBSTITUTE(SUBSTITUTE(SUBSTITUTE(LOWER(V47&amp;""),CHAR(160),"")," ",""),".",""),"-",""),"/",""),"?",""),"_",""),",",""),"[",""),"]",""),"(",""),")",""),"*","")</f>
        <v/>
      </c>
      <c r="AW47" s="61" t="str">
        <f aca="false">SUBSTITUTE(SUBSTITUTE(SUBSTITUTE(SUBSTITUTE(SUBSTITUTE(SUBSTITUTE(SUBSTITUTE(SUBSTITUTE(SUBSTITUTE(SUBSTITUTE(SUBSTITUTE(SUBSTITUTE(SUBSTITUTE(LOWER(Z47&amp;""),CHAR(160),"")," ",""),".",""),"-",""),"/",""),"?",""),"_",""),",",""),"[",""),"]",""),"(",""),")",""),"*","")</f>
        <v/>
      </c>
      <c r="AX47" s="61" t="str">
        <f aca="false">SUBSTITUTE(SUBSTITUTE(SUBSTITUTE(SUBSTITUTE(SUBSTITUTE(SUBSTITUTE(SUBSTITUTE(SUBSTITUTE(SUBSTITUTE(SUBSTITUTE(SUBSTITUTE(SUBSTITUTE(SUBSTITUTE(LOWER(AE47&amp;""),CHAR(160),"")," ",""),".",""),"-",""),"/",""),"?",""),"_",""),",",""),"[",""),"]",""),"(",""),")",""),"*","")</f>
        <v/>
      </c>
      <c r="AY47" s="61" t="str">
        <f aca="false">SUBSTITUTE(SUBSTITUTE(SUBSTITUTE(SUBSTITUTE(SUBSTITUTE(SUBSTITUTE(SUBSTITUTE(SUBSTITUTE(SUBSTITUTE(SUBSTITUTE(SUBSTITUTE(SUBSTITUTE(SUBSTITUTE(LOWER(W47&amp;""),CHAR(160),"")," ",""),".",""),"-",""),"/",""),"?",""),"_",""),",",""),"[",""),"]",""),"(",""),")",""),"*","")</f>
        <v/>
      </c>
      <c r="AZ47" s="61" t="str">
        <f aca="false">SUBSTITUTE(SUBSTITUTE(SUBSTITUTE(SUBSTITUTE(SUBSTITUTE(SUBSTITUTE(SUBSTITUTE(SUBSTITUTE(SUBSTITUTE(SUBSTITUTE(SUBSTITUTE(SUBSTITUTE(SUBSTITUTE(LOWER(AC47&amp;""),CHAR(160),"")," ",""),".",""),"-",""),"/",""),"?",""),"_",""),",",""),"[",""),"]",""),"(",""),")",""),"*","")</f>
        <v/>
      </c>
      <c r="BA47" s="61" t="str">
        <f aca="false">SUBSTITUTE(SUBSTITUTE(SUBSTITUTE(SUBSTITUTE(SUBSTITUTE(SUBSTITUTE(SUBSTITUTE(SUBSTITUTE(SUBSTITUTE(SUBSTITUTE(SUBSTITUTE(SUBSTITUTE(SUBSTITUTE(LOWER(AA47&amp;""),CHAR(160),"")," ",""),".",""),"-",""),"/",""),"?",""),"_",""),",",""),"[",""),"]",""),"(",""),")",""),"*","")</f>
        <v/>
      </c>
      <c r="BB47" s="61" t="str">
        <f aca="false">IF(AND(TRIM(U47)="Pass",ISNUMBER(AF47)),IF(AF47&lt;&gt;0,"INVALID – qty variance: use Fail or Pass after CA",""),"")&amp;IF(AND(TRIM(U47)="Pass after CA",ISNUMBER(AF47)),IF(AF47&lt;&gt;0,"INVALID – after the corrective action the actual qty must equal expected (update Actual)",""),"")&amp;IF(AND(TRIM(U47)="Pass",TRIM(AB47)&lt;&gt;"",TRIM(AB47)&lt;&gt;"Closed"),"INVALID – corrective action not closed: use Fail, then Pass after CA","")&amp;IF(AND(TRIM(AA47)&lt;&gt;"",TRIM(AB47)=""),"INVALID – CA status missing for the recorded corrective action","")&amp;IF(AND(TRIM(U47)="Pass after CA",OR(OR(LEN(BA47)&lt;5,ISNUMBER(MATCH(BA47,L_Placeholder,0))),TRIM(AB47)&lt;&gt;"Closed")),"INVALID – corrective action not recorded/closed","")</f>
        <v/>
      </c>
    </row>
    <row r="48" customFormat="false" ht="41.25" hidden="false" customHeight="true" outlineLevel="0" collapsed="false">
      <c r="A48" s="57" t="s">
        <v>476</v>
      </c>
      <c r="B48" s="57" t="s">
        <v>195</v>
      </c>
      <c r="C48" s="57" t="str">
        <f aca="false">Flights!$F$6</f>
        <v>MH0727</v>
      </c>
      <c r="D48" s="58" t="n">
        <f aca="false">Flights!$D$6</f>
        <v>46304</v>
      </c>
      <c r="E48" s="57" t="str">
        <f aca="false">Flights!$G$6&amp;"-"&amp;Flights!$H$6</f>
        <v>KUL-CGK</v>
      </c>
      <c r="F48" s="57" t="str">
        <f aca="false">Flights!$K$6</f>
        <v>BC</v>
      </c>
      <c r="G48" s="57" t="s">
        <v>398</v>
      </c>
      <c r="H48" s="57" t="s">
        <v>356</v>
      </c>
      <c r="I48" s="57" t="s">
        <v>477</v>
      </c>
      <c r="J48" s="57" t="s">
        <v>478</v>
      </c>
      <c r="K48" s="67" t="s">
        <v>479</v>
      </c>
      <c r="L48" s="67" t="s">
        <v>480</v>
      </c>
      <c r="M48" s="67" t="s">
        <v>429</v>
      </c>
      <c r="N48" s="67" t="s">
        <v>361</v>
      </c>
      <c r="O48" s="67" t="s">
        <v>481</v>
      </c>
      <c r="P48" s="57" t="s">
        <v>184</v>
      </c>
      <c r="Q48" s="59" t="n">
        <f aca="false">ROUND((Flights!$AE$6)*1440,0)/1440</f>
        <v>46304.0763888889</v>
      </c>
      <c r="R48" s="59" t="n">
        <f aca="false">Q48+(IF(AND(INDEX(TZ_DSTS,MATCH(P48,TZ_STN,0))&lt;&gt;"",Q48&gt;=INDEX(TZ_DSTS,MATCH(P48,TZ_STN,0)),Q48&lt;INDEX(TZ_DSTE,MATCH(P48,TZ_STN,0))),INDEX(TZ_DST,MATCH(P48,TZ_STN,0)),INDEX(TZ_STD,MATCH(P48,TZ_STN,0))))/24</f>
        <v>46304.4097222222</v>
      </c>
      <c r="S48" s="59" t="n">
        <f aca="false">Q48-T12EarlyH/24</f>
        <v>46303.5763888889</v>
      </c>
      <c r="T48" s="60"/>
      <c r="U48" s="60"/>
      <c r="V48" s="60"/>
      <c r="W48" s="61"/>
      <c r="X48" s="60"/>
      <c r="Y48" s="60"/>
      <c r="Z48" s="60"/>
      <c r="AA48" s="60"/>
      <c r="AB48" s="60"/>
      <c r="AC48" s="60"/>
      <c r="AD48" s="66"/>
      <c r="AE48" s="60"/>
      <c r="AF48" s="61" t="str">
        <f aca="false">IF(AND(ISNUMBER(X48),ISNUMBER(Y48)),Y48-X48,"")</f>
        <v/>
      </c>
      <c r="AG48" s="62" t="str">
        <f aca="false">IF(ISNUMBER(AD48),AD48-(IF(AND(INDEX(TZ_DSTS,MATCH(P48,TZ_STN,0))&lt;&gt;"",(AD48-INDEX(TZ_STD,MATCH(P48,TZ_STN,0))/24)&gt;=INDEX(TZ_DSTS,MATCH(P48,TZ_STN,0)),(AD48-INDEX(TZ_STD,MATCH(P48,TZ_STN,0))/24)&lt;INDEX(TZ_DSTE,MATCH(P48,TZ_STN,0))),INDEX(TZ_DST,MATCH(P48,TZ_STN,0)),INDEX(TZ_STD,MATCH(P48,TZ_STN,0))))/24,"")</f>
        <v/>
      </c>
      <c r="AH48" s="65" t="str">
        <f aca="false">IFERROR(IF(N48="N/A – rule","N/A – RULE",IF(TRIM(U48)="N/A",IF(AT48=0,"INVALID – N/A not permitted for this check",IF(AND(TRIM(AB48)&lt;&gt;"",TRIM(AB48)&lt;&gt;"Closed"),"INVALID – corrective action still open",IF(AND(NOT(OR(LEN(AZ48)&lt;15,ISNUMBER(MATCH(AZ48,L_Placeholder,0)))),NOT(OR(LEN(AU48)&lt;2,ISNUMBER(MATCH(AU48,L_Placeholder,0)))),NOT(OR(LEN(AX48)&lt;2,ISNUMBER(MATCH(AX48,L_Placeholder,0)))),TRIM(AE48)&lt;&gt;TRIM(T48)),"N/A – JUSTIFIED","INVALID – N/A needs a real justification (15+ chars), PIC and a different verifier"))),IF(OR(TRIM(U48)="Pass",TRIM(U48)="Pass after CA"),IF(NOT(ISNUMBER(AD48)),"INVALID – completion time missing",IF(OR(LEN(AU48)&lt;2,ISNUMBER(MATCH(AU48,L_Placeholder,0))),"INVALID – PIC missing",IF(OR(LEN(AV48)&lt;2,ISNUMBER(MATCH(AV48,L_Placeholder,0))),"INVALID – result / assessment missing",IF(OR(OR(LEN(AW48)&lt;3,ISNUMBER(MATCH(AW48,L_Placeholder,0))),SUMPRODUCT(--ISNUMBER(SEARCH(L_EvidencePhrase,AW48)))&gt;0),"INVALID – evidence missing, placeholder or not yet on file",IF(OR(LEN(AX48)&lt;2,ISNUMBER(MATCH(AX48,L_Placeholder,0))),"INVALID – verifier missing",IF(AX48=AU48,"INVALID – verifier must be someone other than the PIC",IF(AND(TRIM(U48)="Pass",SUMPRODUCT(--ISNUMBER(SEARCH(L_ResultBad,AV48)))&gt;0),"INVALID – result describes a problem: use Fail, then Pass after CA",IF(AND(AQ48=1,OR(LEN(AY48)&lt;3,ISNUMBER(MATCH(AY48,L_Placeholder,0)))),"INVALID – batch ID missing or placeholder",IF(AND(AR48=1,OR(NOT(ISNUMBER(X48)),NOT(ISNUMBER(Y48)))),"INVALID – expected/actual qty missing",IF(AND(AR48=1,OR(X48&lt;=0,Y48&lt;0)),"INVALID – expected qty must be above 0 and actual not negative",IF(BB48&lt;&gt;"",BB48,IF(AND(AS48=1,Documents!$J$6&lt;&gt;"ON FILE"),"INVALID – GLD not on file (Documents sheet)",IF(AND(AS48=2,Documents!$O$6&lt;&gt;"ON FILE"),"INVALID – menu checklist not on file (Documents sheet)",IF(AND(AS48=3,NOT(ISNUMBER(Flights!$AX$6))),"INVALID – enter carrying flight KUL departure (Flights AX)",IF(AND(AS48=3,OR(Flights!$AZ$6&gt;Flights!$AA$6,Flights!$AX$6&lt;Flights!$AA$6-3)),"INVALID – carrying flight (Flights AX) cannot arrive before this leg's STD, or is over 3 days early",IF(AG48&gt;AsOfUTC,"INVALID – completion time is in the future",IF(AND(ISNUMBER(S48),AG48&lt;S48),IF(H48="Physical uplift","INVALID – before uplift window (cannot confirm loading)","INVALID – before valid window"),IF(AG48&gt;Flights!$AA$6,"INVALID – completed after departure (cannot establish readiness)",IF(AND(H48="Preparation",AG48&gt;IF(ISNUMBER(Flights!$BA$6),MIN(Flights!$BA$6,Flights!$AA$6),Flights!$AA$6)),"INVALID – completed after loading / departure (cannot establish readiness)",IF(AND(H48="Physical uplift",AG48&gt;Q48),"INVALID – recorded after the loading flight departed",IF(AG48&gt;Q48,"COMPLETE – LATE","COMPLETE"))))))))))))))))))))),IF(TRIM(U48)="Fail","FAIL – DISCREPANCY",IF(AND(TRIM(U48)&lt;&gt;"",TRIM(U48)&lt;&gt;"Not started",TRIM(U48)&lt;&gt;"In progress"),"INVALID – unrecognised status (use the list)",IF(AsOfUTC&gt;Q48,"OVERDUE",IF(N48="Clarification required","OPEN – CLARIFICATION","OPEN"))))))),"INVALID – error value in an input cell")</f>
        <v>OPEN</v>
      </c>
      <c r="AI48" s="61" t="n">
        <f aca="false">IF(OR(AH48="N/A – RULE",AH48="N/A – JUSTIFIED"),0,1)</f>
        <v>1</v>
      </c>
      <c r="AJ48" s="61" t="n">
        <f aca="false">IF(LEFT(AH48,8)="COMPLETE",1,0)</f>
        <v>0</v>
      </c>
      <c r="AK48" s="61" t="n">
        <f aca="false">IF(AND(AI48=1,AJ48=0,AsOfUTC&gt;Q48),1,0)</f>
        <v>0</v>
      </c>
      <c r="AL48" s="61" t="n">
        <f aca="false">IFERROR(IF(AND(AI48=1,OR(TRIM(U48)="Fail",AND(TRIM(AB48)&lt;&gt;"",TRIM(AB48)&lt;&gt;"Closed"),AND(ISNUMBER(AF48),AF48&lt;&gt;0,TRIM(U48)&lt;&gt;"Pass after CA"))),1,0),1)</f>
        <v>0</v>
      </c>
      <c r="AM48" s="61" t="n">
        <f aca="false">IF(LEFT(AH48,7)="INVALID",1,0)</f>
        <v>0</v>
      </c>
      <c r="AN48" s="61" t="n">
        <f aca="false">IF(AND(N48="Clarification required",AI48=1,AJ48=0),1,0)</f>
        <v>0</v>
      </c>
      <c r="AO48" s="61" t="str">
        <f aca="false">IF(AK48=1,SUM(AK$5:AK48),"")</f>
        <v/>
      </c>
      <c r="AP48" s="61" t="str">
        <f aca="false">IF(AL48=1,SUM(AL$5:AL48),"")</f>
        <v/>
      </c>
      <c r="AQ48" s="61" t="n">
        <v>0</v>
      </c>
      <c r="AR48" s="61" t="n">
        <v>0</v>
      </c>
      <c r="AS48" s="61" t="n">
        <v>0</v>
      </c>
      <c r="AT48" s="61" t="n">
        <v>0</v>
      </c>
      <c r="AU48" s="61" t="str">
        <f aca="false">SUBSTITUTE(SUBSTITUTE(SUBSTITUTE(SUBSTITUTE(SUBSTITUTE(SUBSTITUTE(SUBSTITUTE(SUBSTITUTE(SUBSTITUTE(SUBSTITUTE(SUBSTITUTE(SUBSTITUTE(SUBSTITUTE(LOWER(T48&amp;""),CHAR(160),"")," ",""),".",""),"-",""),"/",""),"?",""),"_",""),",",""),"[",""),"]",""),"(",""),")",""),"*","")</f>
        <v/>
      </c>
      <c r="AV48" s="61" t="str">
        <f aca="false">SUBSTITUTE(SUBSTITUTE(SUBSTITUTE(SUBSTITUTE(SUBSTITUTE(SUBSTITUTE(SUBSTITUTE(SUBSTITUTE(SUBSTITUTE(SUBSTITUTE(SUBSTITUTE(SUBSTITUTE(SUBSTITUTE(LOWER(V48&amp;""),CHAR(160),"")," ",""),".",""),"-",""),"/",""),"?",""),"_",""),",",""),"[",""),"]",""),"(",""),")",""),"*","")</f>
        <v/>
      </c>
      <c r="AW48" s="61" t="str">
        <f aca="false">SUBSTITUTE(SUBSTITUTE(SUBSTITUTE(SUBSTITUTE(SUBSTITUTE(SUBSTITUTE(SUBSTITUTE(SUBSTITUTE(SUBSTITUTE(SUBSTITUTE(SUBSTITUTE(SUBSTITUTE(SUBSTITUTE(LOWER(Z48&amp;""),CHAR(160),"")," ",""),".",""),"-",""),"/",""),"?",""),"_",""),",",""),"[",""),"]",""),"(",""),")",""),"*","")</f>
        <v/>
      </c>
      <c r="AX48" s="61" t="str">
        <f aca="false">SUBSTITUTE(SUBSTITUTE(SUBSTITUTE(SUBSTITUTE(SUBSTITUTE(SUBSTITUTE(SUBSTITUTE(SUBSTITUTE(SUBSTITUTE(SUBSTITUTE(SUBSTITUTE(SUBSTITUTE(SUBSTITUTE(LOWER(AE48&amp;""),CHAR(160),"")," ",""),".",""),"-",""),"/",""),"?",""),"_",""),",",""),"[",""),"]",""),"(",""),")",""),"*","")</f>
        <v/>
      </c>
      <c r="AY48" s="61" t="str">
        <f aca="false">SUBSTITUTE(SUBSTITUTE(SUBSTITUTE(SUBSTITUTE(SUBSTITUTE(SUBSTITUTE(SUBSTITUTE(SUBSTITUTE(SUBSTITUTE(SUBSTITUTE(SUBSTITUTE(SUBSTITUTE(SUBSTITUTE(LOWER(W48&amp;""),CHAR(160),"")," ",""),".",""),"-",""),"/",""),"?",""),"_",""),",",""),"[",""),"]",""),"(",""),")",""),"*","")</f>
        <v/>
      </c>
      <c r="AZ48" s="61" t="str">
        <f aca="false">SUBSTITUTE(SUBSTITUTE(SUBSTITUTE(SUBSTITUTE(SUBSTITUTE(SUBSTITUTE(SUBSTITUTE(SUBSTITUTE(SUBSTITUTE(SUBSTITUTE(SUBSTITUTE(SUBSTITUTE(SUBSTITUTE(LOWER(AC48&amp;""),CHAR(160),"")," ",""),".",""),"-",""),"/",""),"?",""),"_",""),",",""),"[",""),"]",""),"(",""),")",""),"*","")</f>
        <v/>
      </c>
      <c r="BA48" s="61" t="str">
        <f aca="false">SUBSTITUTE(SUBSTITUTE(SUBSTITUTE(SUBSTITUTE(SUBSTITUTE(SUBSTITUTE(SUBSTITUTE(SUBSTITUTE(SUBSTITUTE(SUBSTITUTE(SUBSTITUTE(SUBSTITUTE(SUBSTITUTE(LOWER(AA48&amp;""),CHAR(160),"")," ",""),".",""),"-",""),"/",""),"?",""),"_",""),",",""),"[",""),"]",""),"(",""),")",""),"*","")</f>
        <v/>
      </c>
      <c r="BB48" s="61" t="str">
        <f aca="false">IF(AND(TRIM(U48)="Pass",ISNUMBER(AF48)),IF(AF48&lt;&gt;0,"INVALID – qty variance: use Fail or Pass after CA",""),"")&amp;IF(AND(TRIM(U48)="Pass after CA",ISNUMBER(AF48)),IF(AF48&lt;&gt;0,"INVALID – after the corrective action the actual qty must equal expected (update Actual)",""),"")&amp;IF(AND(TRIM(U48)="Pass",TRIM(AB48)&lt;&gt;"",TRIM(AB48)&lt;&gt;"Closed"),"INVALID – corrective action not closed: use Fail, then Pass after CA","")&amp;IF(AND(TRIM(AA48)&lt;&gt;"",TRIM(AB48)=""),"INVALID – CA status missing for the recorded corrective action","")&amp;IF(AND(TRIM(U48)="Pass after CA",OR(OR(LEN(BA48)&lt;5,ISNUMBER(MATCH(BA48,L_Placeholder,0))),TRIM(AB48)&lt;&gt;"Closed")),"INVALID – corrective action not recorded/closed","")</f>
        <v/>
      </c>
    </row>
    <row r="49" customFormat="false" ht="41.25" hidden="false" customHeight="true" outlineLevel="0" collapsed="false">
      <c r="A49" s="57" t="s">
        <v>482</v>
      </c>
      <c r="B49" s="57" t="s">
        <v>195</v>
      </c>
      <c r="C49" s="57" t="str">
        <f aca="false">Flights!$F$6</f>
        <v>MH0727</v>
      </c>
      <c r="D49" s="58" t="n">
        <f aca="false">Flights!$D$6</f>
        <v>46304</v>
      </c>
      <c r="E49" s="57" t="str">
        <f aca="false">Flights!$G$6&amp;"-"&amp;Flights!$H$6</f>
        <v>KUL-CGK</v>
      </c>
      <c r="F49" s="57" t="str">
        <f aca="false">Flights!$K$6</f>
        <v>BC</v>
      </c>
      <c r="G49" s="57" t="s">
        <v>398</v>
      </c>
      <c r="H49" s="57" t="s">
        <v>356</v>
      </c>
      <c r="I49" s="57" t="s">
        <v>477</v>
      </c>
      <c r="J49" s="57" t="s">
        <v>483</v>
      </c>
      <c r="K49" s="67" t="s">
        <v>479</v>
      </c>
      <c r="L49" s="67" t="s">
        <v>484</v>
      </c>
      <c r="M49" s="67" t="s">
        <v>429</v>
      </c>
      <c r="N49" s="67" t="s">
        <v>361</v>
      </c>
      <c r="O49" s="67" t="s">
        <v>481</v>
      </c>
      <c r="P49" s="57" t="s">
        <v>184</v>
      </c>
      <c r="Q49" s="59" t="n">
        <f aca="false">ROUND((Flights!$AE$6)*1440,0)/1440</f>
        <v>46304.0763888889</v>
      </c>
      <c r="R49" s="59" t="n">
        <f aca="false">Q49+(IF(AND(INDEX(TZ_DSTS,MATCH(P49,TZ_STN,0))&lt;&gt;"",Q49&gt;=INDEX(TZ_DSTS,MATCH(P49,TZ_STN,0)),Q49&lt;INDEX(TZ_DSTE,MATCH(P49,TZ_STN,0))),INDEX(TZ_DST,MATCH(P49,TZ_STN,0)),INDEX(TZ_STD,MATCH(P49,TZ_STN,0))))/24</f>
        <v>46304.4097222222</v>
      </c>
      <c r="S49" s="59" t="n">
        <f aca="false">Q49-T12EarlyH/24</f>
        <v>46303.5763888889</v>
      </c>
      <c r="T49" s="60"/>
      <c r="U49" s="60"/>
      <c r="V49" s="60"/>
      <c r="W49" s="61"/>
      <c r="X49" s="60"/>
      <c r="Y49" s="60"/>
      <c r="Z49" s="60"/>
      <c r="AA49" s="60"/>
      <c r="AB49" s="60"/>
      <c r="AC49" s="60"/>
      <c r="AD49" s="66"/>
      <c r="AE49" s="60"/>
      <c r="AF49" s="61" t="str">
        <f aca="false">IF(AND(ISNUMBER(X49),ISNUMBER(Y49)),Y49-X49,"")</f>
        <v/>
      </c>
      <c r="AG49" s="62" t="str">
        <f aca="false">IF(ISNUMBER(AD49),AD49-(IF(AND(INDEX(TZ_DSTS,MATCH(P49,TZ_STN,0))&lt;&gt;"",(AD49-INDEX(TZ_STD,MATCH(P49,TZ_STN,0))/24)&gt;=INDEX(TZ_DSTS,MATCH(P49,TZ_STN,0)),(AD49-INDEX(TZ_STD,MATCH(P49,TZ_STN,0))/24)&lt;INDEX(TZ_DSTE,MATCH(P49,TZ_STN,0))),INDEX(TZ_DST,MATCH(P49,TZ_STN,0)),INDEX(TZ_STD,MATCH(P49,TZ_STN,0))))/24,"")</f>
        <v/>
      </c>
      <c r="AH49" s="65" t="str">
        <f aca="false">IFERROR(IF(N49="N/A – rule","N/A – RULE",IF(TRIM(U49)="N/A",IF(AT49=0,"INVALID – N/A not permitted for this check",IF(AND(TRIM(AB49)&lt;&gt;"",TRIM(AB49)&lt;&gt;"Closed"),"INVALID – corrective action still open",IF(AND(NOT(OR(LEN(AZ49)&lt;15,ISNUMBER(MATCH(AZ49,L_Placeholder,0)))),NOT(OR(LEN(AU49)&lt;2,ISNUMBER(MATCH(AU49,L_Placeholder,0)))),NOT(OR(LEN(AX49)&lt;2,ISNUMBER(MATCH(AX49,L_Placeholder,0)))),TRIM(AE49)&lt;&gt;TRIM(T49)),"N/A – JUSTIFIED","INVALID – N/A needs a real justification (15+ chars), PIC and a different verifier"))),IF(OR(TRIM(U49)="Pass",TRIM(U49)="Pass after CA"),IF(NOT(ISNUMBER(AD49)),"INVALID – completion time missing",IF(OR(LEN(AU49)&lt;2,ISNUMBER(MATCH(AU49,L_Placeholder,0))),"INVALID – PIC missing",IF(OR(LEN(AV49)&lt;2,ISNUMBER(MATCH(AV49,L_Placeholder,0))),"INVALID – result / assessment missing",IF(OR(OR(LEN(AW49)&lt;3,ISNUMBER(MATCH(AW49,L_Placeholder,0))),SUMPRODUCT(--ISNUMBER(SEARCH(L_EvidencePhrase,AW49)))&gt;0),"INVALID – evidence missing, placeholder or not yet on file",IF(OR(LEN(AX49)&lt;2,ISNUMBER(MATCH(AX49,L_Placeholder,0))),"INVALID – verifier missing",IF(AX49=AU49,"INVALID – verifier must be someone other than the PIC",IF(AND(TRIM(U49)="Pass",SUMPRODUCT(--ISNUMBER(SEARCH(L_ResultBad,AV49)))&gt;0),"INVALID – result describes a problem: use Fail, then Pass after CA",IF(AND(AQ49=1,OR(LEN(AY49)&lt;3,ISNUMBER(MATCH(AY49,L_Placeholder,0)))),"INVALID – batch ID missing or placeholder",IF(AND(AR49=1,OR(NOT(ISNUMBER(X49)),NOT(ISNUMBER(Y49)))),"INVALID – expected/actual qty missing",IF(AND(AR49=1,OR(X49&lt;=0,Y49&lt;0)),"INVALID – expected qty must be above 0 and actual not negative",IF(BB49&lt;&gt;"",BB49,IF(AND(AS49=1,Documents!$J$6&lt;&gt;"ON FILE"),"INVALID – GLD not on file (Documents sheet)",IF(AND(AS49=2,Documents!$O$6&lt;&gt;"ON FILE"),"INVALID – menu checklist not on file (Documents sheet)",IF(AND(AS49=3,NOT(ISNUMBER(Flights!$AX$6))),"INVALID – enter carrying flight KUL departure (Flights AX)",IF(AND(AS49=3,OR(Flights!$AZ$6&gt;Flights!$AA$6,Flights!$AX$6&lt;Flights!$AA$6-3)),"INVALID – carrying flight (Flights AX) cannot arrive before this leg's STD, or is over 3 days early",IF(AG49&gt;AsOfUTC,"INVALID – completion time is in the future",IF(AND(ISNUMBER(S49),AG49&lt;S49),IF(H49="Physical uplift","INVALID – before uplift window (cannot confirm loading)","INVALID – before valid window"),IF(AG49&gt;Flights!$AA$6,"INVALID – completed after departure (cannot establish readiness)",IF(AND(H49="Preparation",AG49&gt;IF(ISNUMBER(Flights!$BA$6),MIN(Flights!$BA$6,Flights!$AA$6),Flights!$AA$6)),"INVALID – completed after loading / departure (cannot establish readiness)",IF(AND(H49="Physical uplift",AG49&gt;Q49),"INVALID – recorded after the loading flight departed",IF(AG49&gt;Q49,"COMPLETE – LATE","COMPLETE"))))))))))))))))))))),IF(TRIM(U49)="Fail","FAIL – DISCREPANCY",IF(AND(TRIM(U49)&lt;&gt;"",TRIM(U49)&lt;&gt;"Not started",TRIM(U49)&lt;&gt;"In progress"),"INVALID – unrecognised status (use the list)",IF(AsOfUTC&gt;Q49,"OVERDUE",IF(N49="Clarification required","OPEN – CLARIFICATION","OPEN"))))))),"INVALID – error value in an input cell")</f>
        <v>OPEN</v>
      </c>
      <c r="AI49" s="61" t="n">
        <f aca="false">IF(OR(AH49="N/A – RULE",AH49="N/A – JUSTIFIED"),0,1)</f>
        <v>1</v>
      </c>
      <c r="AJ49" s="61" t="n">
        <f aca="false">IF(LEFT(AH49,8)="COMPLETE",1,0)</f>
        <v>0</v>
      </c>
      <c r="AK49" s="61" t="n">
        <f aca="false">IF(AND(AI49=1,AJ49=0,AsOfUTC&gt;Q49),1,0)</f>
        <v>0</v>
      </c>
      <c r="AL49" s="61" t="n">
        <f aca="false">IFERROR(IF(AND(AI49=1,OR(TRIM(U49)="Fail",AND(TRIM(AB49)&lt;&gt;"",TRIM(AB49)&lt;&gt;"Closed"),AND(ISNUMBER(AF49),AF49&lt;&gt;0,TRIM(U49)&lt;&gt;"Pass after CA"))),1,0),1)</f>
        <v>0</v>
      </c>
      <c r="AM49" s="61" t="n">
        <f aca="false">IF(LEFT(AH49,7)="INVALID",1,0)</f>
        <v>0</v>
      </c>
      <c r="AN49" s="61" t="n">
        <f aca="false">IF(AND(N49="Clarification required",AI49=1,AJ49=0),1,0)</f>
        <v>0</v>
      </c>
      <c r="AO49" s="61" t="str">
        <f aca="false">IF(AK49=1,SUM(AK$5:AK49),"")</f>
        <v/>
      </c>
      <c r="AP49" s="61" t="str">
        <f aca="false">IF(AL49=1,SUM(AL$5:AL49),"")</f>
        <v/>
      </c>
      <c r="AQ49" s="61" t="n">
        <v>0</v>
      </c>
      <c r="AR49" s="61" t="n">
        <v>0</v>
      </c>
      <c r="AS49" s="61" t="n">
        <v>0</v>
      </c>
      <c r="AT49" s="61" t="n">
        <v>0</v>
      </c>
      <c r="AU49" s="61" t="str">
        <f aca="false">SUBSTITUTE(SUBSTITUTE(SUBSTITUTE(SUBSTITUTE(SUBSTITUTE(SUBSTITUTE(SUBSTITUTE(SUBSTITUTE(SUBSTITUTE(SUBSTITUTE(SUBSTITUTE(SUBSTITUTE(SUBSTITUTE(LOWER(T49&amp;""),CHAR(160),"")," ",""),".",""),"-",""),"/",""),"?",""),"_",""),",",""),"[",""),"]",""),"(",""),")",""),"*","")</f>
        <v/>
      </c>
      <c r="AV49" s="61" t="str">
        <f aca="false">SUBSTITUTE(SUBSTITUTE(SUBSTITUTE(SUBSTITUTE(SUBSTITUTE(SUBSTITUTE(SUBSTITUTE(SUBSTITUTE(SUBSTITUTE(SUBSTITUTE(SUBSTITUTE(SUBSTITUTE(SUBSTITUTE(LOWER(V49&amp;""),CHAR(160),"")," ",""),".",""),"-",""),"/",""),"?",""),"_",""),",",""),"[",""),"]",""),"(",""),")",""),"*","")</f>
        <v/>
      </c>
      <c r="AW49" s="61" t="str">
        <f aca="false">SUBSTITUTE(SUBSTITUTE(SUBSTITUTE(SUBSTITUTE(SUBSTITUTE(SUBSTITUTE(SUBSTITUTE(SUBSTITUTE(SUBSTITUTE(SUBSTITUTE(SUBSTITUTE(SUBSTITUTE(SUBSTITUTE(LOWER(Z49&amp;""),CHAR(160),"")," ",""),".",""),"-",""),"/",""),"?",""),"_",""),",",""),"[",""),"]",""),"(",""),")",""),"*","")</f>
        <v/>
      </c>
      <c r="AX49" s="61" t="str">
        <f aca="false">SUBSTITUTE(SUBSTITUTE(SUBSTITUTE(SUBSTITUTE(SUBSTITUTE(SUBSTITUTE(SUBSTITUTE(SUBSTITUTE(SUBSTITUTE(SUBSTITUTE(SUBSTITUTE(SUBSTITUTE(SUBSTITUTE(LOWER(AE49&amp;""),CHAR(160),"")," ",""),".",""),"-",""),"/",""),"?",""),"_",""),",",""),"[",""),"]",""),"(",""),")",""),"*","")</f>
        <v/>
      </c>
      <c r="AY49" s="61" t="str">
        <f aca="false">SUBSTITUTE(SUBSTITUTE(SUBSTITUTE(SUBSTITUTE(SUBSTITUTE(SUBSTITUTE(SUBSTITUTE(SUBSTITUTE(SUBSTITUTE(SUBSTITUTE(SUBSTITUTE(SUBSTITUTE(SUBSTITUTE(LOWER(W49&amp;""),CHAR(160),"")," ",""),".",""),"-",""),"/",""),"?",""),"_",""),",",""),"[",""),"]",""),"(",""),")",""),"*","")</f>
        <v/>
      </c>
      <c r="AZ49" s="61" t="str">
        <f aca="false">SUBSTITUTE(SUBSTITUTE(SUBSTITUTE(SUBSTITUTE(SUBSTITUTE(SUBSTITUTE(SUBSTITUTE(SUBSTITUTE(SUBSTITUTE(SUBSTITUTE(SUBSTITUTE(SUBSTITUTE(SUBSTITUTE(LOWER(AC49&amp;""),CHAR(160),"")," ",""),".",""),"-",""),"/",""),"?",""),"_",""),",",""),"[",""),"]",""),"(",""),")",""),"*","")</f>
        <v/>
      </c>
      <c r="BA49" s="61" t="str">
        <f aca="false">SUBSTITUTE(SUBSTITUTE(SUBSTITUTE(SUBSTITUTE(SUBSTITUTE(SUBSTITUTE(SUBSTITUTE(SUBSTITUTE(SUBSTITUTE(SUBSTITUTE(SUBSTITUTE(SUBSTITUTE(SUBSTITUTE(LOWER(AA49&amp;""),CHAR(160),"")," ",""),".",""),"-",""),"/",""),"?",""),"_",""),",",""),"[",""),"]",""),"(",""),")",""),"*","")</f>
        <v/>
      </c>
      <c r="BB49" s="61" t="str">
        <f aca="false">IF(AND(TRIM(U49)="Pass",ISNUMBER(AF49)),IF(AF49&lt;&gt;0,"INVALID – qty variance: use Fail or Pass after CA",""),"")&amp;IF(AND(TRIM(U49)="Pass after CA",ISNUMBER(AF49)),IF(AF49&lt;&gt;0,"INVALID – after the corrective action the actual qty must equal expected (update Actual)",""),"")&amp;IF(AND(TRIM(U49)="Pass",TRIM(AB49)&lt;&gt;"",TRIM(AB49)&lt;&gt;"Closed"),"INVALID – corrective action not closed: use Fail, then Pass after CA","")&amp;IF(AND(TRIM(AA49)&lt;&gt;"",TRIM(AB49)=""),"INVALID – CA status missing for the recorded corrective action","")&amp;IF(AND(TRIM(U49)="Pass after CA",OR(OR(LEN(BA49)&lt;5,ISNUMBER(MATCH(BA49,L_Placeholder,0))),TRIM(AB49)&lt;&gt;"Closed")),"INVALID – corrective action not recorded/closed","")</f>
        <v/>
      </c>
    </row>
    <row r="50" customFormat="false" ht="41.25" hidden="false" customHeight="true" outlineLevel="0" collapsed="false">
      <c r="A50" s="57" t="s">
        <v>485</v>
      </c>
      <c r="B50" s="57" t="s">
        <v>195</v>
      </c>
      <c r="C50" s="57" t="str">
        <f aca="false">Flights!$F$6</f>
        <v>MH0727</v>
      </c>
      <c r="D50" s="58" t="n">
        <f aca="false">Flights!$D$6</f>
        <v>46304</v>
      </c>
      <c r="E50" s="57" t="str">
        <f aca="false">Flights!$G$6&amp;"-"&amp;Flights!$H$6</f>
        <v>KUL-CGK</v>
      </c>
      <c r="F50" s="57" t="str">
        <f aca="false">Flights!$K$6</f>
        <v>BC</v>
      </c>
      <c r="G50" s="57" t="s">
        <v>398</v>
      </c>
      <c r="H50" s="57" t="s">
        <v>356</v>
      </c>
      <c r="I50" s="57" t="s">
        <v>477</v>
      </c>
      <c r="J50" s="57" t="s">
        <v>486</v>
      </c>
      <c r="K50" s="67" t="s">
        <v>479</v>
      </c>
      <c r="L50" s="67" t="s">
        <v>487</v>
      </c>
      <c r="M50" s="67" t="s">
        <v>429</v>
      </c>
      <c r="N50" s="67" t="s">
        <v>361</v>
      </c>
      <c r="O50" s="67" t="s">
        <v>481</v>
      </c>
      <c r="P50" s="57" t="s">
        <v>184</v>
      </c>
      <c r="Q50" s="59" t="n">
        <f aca="false">ROUND((Flights!$AE$6)*1440,0)/1440</f>
        <v>46304.0763888889</v>
      </c>
      <c r="R50" s="59" t="n">
        <f aca="false">Q50+(IF(AND(INDEX(TZ_DSTS,MATCH(P50,TZ_STN,0))&lt;&gt;"",Q50&gt;=INDEX(TZ_DSTS,MATCH(P50,TZ_STN,0)),Q50&lt;INDEX(TZ_DSTE,MATCH(P50,TZ_STN,0))),INDEX(TZ_DST,MATCH(P50,TZ_STN,0)),INDEX(TZ_STD,MATCH(P50,TZ_STN,0))))/24</f>
        <v>46304.4097222222</v>
      </c>
      <c r="S50" s="59" t="n">
        <f aca="false">Q50-T12EarlyH/24</f>
        <v>46303.5763888889</v>
      </c>
      <c r="T50" s="60"/>
      <c r="U50" s="60"/>
      <c r="V50" s="60"/>
      <c r="W50" s="61"/>
      <c r="X50" s="60"/>
      <c r="Y50" s="60"/>
      <c r="Z50" s="60"/>
      <c r="AA50" s="60"/>
      <c r="AB50" s="60"/>
      <c r="AC50" s="60"/>
      <c r="AD50" s="66"/>
      <c r="AE50" s="60"/>
      <c r="AF50" s="61" t="str">
        <f aca="false">IF(AND(ISNUMBER(X50),ISNUMBER(Y50)),Y50-X50,"")</f>
        <v/>
      </c>
      <c r="AG50" s="62" t="str">
        <f aca="false">IF(ISNUMBER(AD50),AD50-(IF(AND(INDEX(TZ_DSTS,MATCH(P50,TZ_STN,0))&lt;&gt;"",(AD50-INDEX(TZ_STD,MATCH(P50,TZ_STN,0))/24)&gt;=INDEX(TZ_DSTS,MATCH(P50,TZ_STN,0)),(AD50-INDEX(TZ_STD,MATCH(P50,TZ_STN,0))/24)&lt;INDEX(TZ_DSTE,MATCH(P50,TZ_STN,0))),INDEX(TZ_DST,MATCH(P50,TZ_STN,0)),INDEX(TZ_STD,MATCH(P50,TZ_STN,0))))/24,"")</f>
        <v/>
      </c>
      <c r="AH50" s="65" t="str">
        <f aca="false">IFERROR(IF(N50="N/A – rule","N/A – RULE",IF(TRIM(U50)="N/A",IF(AT50=0,"INVALID – N/A not permitted for this check",IF(AND(TRIM(AB50)&lt;&gt;"",TRIM(AB50)&lt;&gt;"Closed"),"INVALID – corrective action still open",IF(AND(NOT(OR(LEN(AZ50)&lt;15,ISNUMBER(MATCH(AZ50,L_Placeholder,0)))),NOT(OR(LEN(AU50)&lt;2,ISNUMBER(MATCH(AU50,L_Placeholder,0)))),NOT(OR(LEN(AX50)&lt;2,ISNUMBER(MATCH(AX50,L_Placeholder,0)))),TRIM(AE50)&lt;&gt;TRIM(T50)),"N/A – JUSTIFIED","INVALID – N/A needs a real justification (15+ chars), PIC and a different verifier"))),IF(OR(TRIM(U50)="Pass",TRIM(U50)="Pass after CA"),IF(NOT(ISNUMBER(AD50)),"INVALID – completion time missing",IF(OR(LEN(AU50)&lt;2,ISNUMBER(MATCH(AU50,L_Placeholder,0))),"INVALID – PIC missing",IF(OR(LEN(AV50)&lt;2,ISNUMBER(MATCH(AV50,L_Placeholder,0))),"INVALID – result / assessment missing",IF(OR(OR(LEN(AW50)&lt;3,ISNUMBER(MATCH(AW50,L_Placeholder,0))),SUMPRODUCT(--ISNUMBER(SEARCH(L_EvidencePhrase,AW50)))&gt;0),"INVALID – evidence missing, placeholder or not yet on file",IF(OR(LEN(AX50)&lt;2,ISNUMBER(MATCH(AX50,L_Placeholder,0))),"INVALID – verifier missing",IF(AX50=AU50,"INVALID – verifier must be someone other than the PIC",IF(AND(TRIM(U50)="Pass",SUMPRODUCT(--ISNUMBER(SEARCH(L_ResultBad,AV50)))&gt;0),"INVALID – result describes a problem: use Fail, then Pass after CA",IF(AND(AQ50=1,OR(LEN(AY50)&lt;3,ISNUMBER(MATCH(AY50,L_Placeholder,0)))),"INVALID – batch ID missing or placeholder",IF(AND(AR50=1,OR(NOT(ISNUMBER(X50)),NOT(ISNUMBER(Y50)))),"INVALID – expected/actual qty missing",IF(AND(AR50=1,OR(X50&lt;=0,Y50&lt;0)),"INVALID – expected qty must be above 0 and actual not negative",IF(BB50&lt;&gt;"",BB50,IF(AND(AS50=1,Documents!$J$6&lt;&gt;"ON FILE"),"INVALID – GLD not on file (Documents sheet)",IF(AND(AS50=2,Documents!$O$6&lt;&gt;"ON FILE"),"INVALID – menu checklist not on file (Documents sheet)",IF(AND(AS50=3,NOT(ISNUMBER(Flights!$AX$6))),"INVALID – enter carrying flight KUL departure (Flights AX)",IF(AND(AS50=3,OR(Flights!$AZ$6&gt;Flights!$AA$6,Flights!$AX$6&lt;Flights!$AA$6-3)),"INVALID – carrying flight (Flights AX) cannot arrive before this leg's STD, or is over 3 days early",IF(AG50&gt;AsOfUTC,"INVALID – completion time is in the future",IF(AND(ISNUMBER(S50),AG50&lt;S50),IF(H50="Physical uplift","INVALID – before uplift window (cannot confirm loading)","INVALID – before valid window"),IF(AG50&gt;Flights!$AA$6,"INVALID – completed after departure (cannot establish readiness)",IF(AND(H50="Preparation",AG50&gt;IF(ISNUMBER(Flights!$BA$6),MIN(Flights!$BA$6,Flights!$AA$6),Flights!$AA$6)),"INVALID – completed after loading / departure (cannot establish readiness)",IF(AND(H50="Physical uplift",AG50&gt;Q50),"INVALID – recorded after the loading flight departed",IF(AG50&gt;Q50,"COMPLETE – LATE","COMPLETE"))))))))))))))))))))),IF(TRIM(U50)="Fail","FAIL – DISCREPANCY",IF(AND(TRIM(U50)&lt;&gt;"",TRIM(U50)&lt;&gt;"Not started",TRIM(U50)&lt;&gt;"In progress"),"INVALID – unrecognised status (use the list)",IF(AsOfUTC&gt;Q50,"OVERDUE",IF(N50="Clarification required","OPEN – CLARIFICATION","OPEN"))))))),"INVALID – error value in an input cell")</f>
        <v>OPEN</v>
      </c>
      <c r="AI50" s="61" t="n">
        <f aca="false">IF(OR(AH50="N/A – RULE",AH50="N/A – JUSTIFIED"),0,1)</f>
        <v>1</v>
      </c>
      <c r="AJ50" s="61" t="n">
        <f aca="false">IF(LEFT(AH50,8)="COMPLETE",1,0)</f>
        <v>0</v>
      </c>
      <c r="AK50" s="61" t="n">
        <f aca="false">IF(AND(AI50=1,AJ50=0,AsOfUTC&gt;Q50),1,0)</f>
        <v>0</v>
      </c>
      <c r="AL50" s="61" t="n">
        <f aca="false">IFERROR(IF(AND(AI50=1,OR(TRIM(U50)="Fail",AND(TRIM(AB50)&lt;&gt;"",TRIM(AB50)&lt;&gt;"Closed"),AND(ISNUMBER(AF50),AF50&lt;&gt;0,TRIM(U50)&lt;&gt;"Pass after CA"))),1,0),1)</f>
        <v>0</v>
      </c>
      <c r="AM50" s="61" t="n">
        <f aca="false">IF(LEFT(AH50,7)="INVALID",1,0)</f>
        <v>0</v>
      </c>
      <c r="AN50" s="61" t="n">
        <f aca="false">IF(AND(N50="Clarification required",AI50=1,AJ50=0),1,0)</f>
        <v>0</v>
      </c>
      <c r="AO50" s="61" t="str">
        <f aca="false">IF(AK50=1,SUM(AK$5:AK50),"")</f>
        <v/>
      </c>
      <c r="AP50" s="61" t="str">
        <f aca="false">IF(AL50=1,SUM(AL$5:AL50),"")</f>
        <v/>
      </c>
      <c r="AQ50" s="61" t="n">
        <v>0</v>
      </c>
      <c r="AR50" s="61" t="n">
        <v>0</v>
      </c>
      <c r="AS50" s="61" t="n">
        <v>0</v>
      </c>
      <c r="AT50" s="61" t="n">
        <v>0</v>
      </c>
      <c r="AU50" s="61" t="str">
        <f aca="false">SUBSTITUTE(SUBSTITUTE(SUBSTITUTE(SUBSTITUTE(SUBSTITUTE(SUBSTITUTE(SUBSTITUTE(SUBSTITUTE(SUBSTITUTE(SUBSTITUTE(SUBSTITUTE(SUBSTITUTE(SUBSTITUTE(LOWER(T50&amp;""),CHAR(160),"")," ",""),".",""),"-",""),"/",""),"?",""),"_",""),",",""),"[",""),"]",""),"(",""),")",""),"*","")</f>
        <v/>
      </c>
      <c r="AV50" s="61" t="str">
        <f aca="false">SUBSTITUTE(SUBSTITUTE(SUBSTITUTE(SUBSTITUTE(SUBSTITUTE(SUBSTITUTE(SUBSTITUTE(SUBSTITUTE(SUBSTITUTE(SUBSTITUTE(SUBSTITUTE(SUBSTITUTE(SUBSTITUTE(LOWER(V50&amp;""),CHAR(160),"")," ",""),".",""),"-",""),"/",""),"?",""),"_",""),",",""),"[",""),"]",""),"(",""),")",""),"*","")</f>
        <v/>
      </c>
      <c r="AW50" s="61" t="str">
        <f aca="false">SUBSTITUTE(SUBSTITUTE(SUBSTITUTE(SUBSTITUTE(SUBSTITUTE(SUBSTITUTE(SUBSTITUTE(SUBSTITUTE(SUBSTITUTE(SUBSTITUTE(SUBSTITUTE(SUBSTITUTE(SUBSTITUTE(LOWER(Z50&amp;""),CHAR(160),"")," ",""),".",""),"-",""),"/",""),"?",""),"_",""),",",""),"[",""),"]",""),"(",""),")",""),"*","")</f>
        <v/>
      </c>
      <c r="AX50" s="61" t="str">
        <f aca="false">SUBSTITUTE(SUBSTITUTE(SUBSTITUTE(SUBSTITUTE(SUBSTITUTE(SUBSTITUTE(SUBSTITUTE(SUBSTITUTE(SUBSTITUTE(SUBSTITUTE(SUBSTITUTE(SUBSTITUTE(SUBSTITUTE(LOWER(AE50&amp;""),CHAR(160),"")," ",""),".",""),"-",""),"/",""),"?",""),"_",""),",",""),"[",""),"]",""),"(",""),")",""),"*","")</f>
        <v/>
      </c>
      <c r="AY50" s="61" t="str">
        <f aca="false">SUBSTITUTE(SUBSTITUTE(SUBSTITUTE(SUBSTITUTE(SUBSTITUTE(SUBSTITUTE(SUBSTITUTE(SUBSTITUTE(SUBSTITUTE(SUBSTITUTE(SUBSTITUTE(SUBSTITUTE(SUBSTITUTE(LOWER(W50&amp;""),CHAR(160),"")," ",""),".",""),"-",""),"/",""),"?",""),"_",""),",",""),"[",""),"]",""),"(",""),")",""),"*","")</f>
        <v/>
      </c>
      <c r="AZ50" s="61" t="str">
        <f aca="false">SUBSTITUTE(SUBSTITUTE(SUBSTITUTE(SUBSTITUTE(SUBSTITUTE(SUBSTITUTE(SUBSTITUTE(SUBSTITUTE(SUBSTITUTE(SUBSTITUTE(SUBSTITUTE(SUBSTITUTE(SUBSTITUTE(LOWER(AC50&amp;""),CHAR(160),"")," ",""),".",""),"-",""),"/",""),"?",""),"_",""),",",""),"[",""),"]",""),"(",""),")",""),"*","")</f>
        <v/>
      </c>
      <c r="BA50" s="61" t="str">
        <f aca="false">SUBSTITUTE(SUBSTITUTE(SUBSTITUTE(SUBSTITUTE(SUBSTITUTE(SUBSTITUTE(SUBSTITUTE(SUBSTITUTE(SUBSTITUTE(SUBSTITUTE(SUBSTITUTE(SUBSTITUTE(SUBSTITUTE(LOWER(AA50&amp;""),CHAR(160),"")," ",""),".",""),"-",""),"/",""),"?",""),"_",""),",",""),"[",""),"]",""),"(",""),")",""),"*","")</f>
        <v/>
      </c>
      <c r="BB50" s="61" t="str">
        <f aca="false">IF(AND(TRIM(U50)="Pass",ISNUMBER(AF50)),IF(AF50&lt;&gt;0,"INVALID – qty variance: use Fail or Pass after CA",""),"")&amp;IF(AND(TRIM(U50)="Pass after CA",ISNUMBER(AF50)),IF(AF50&lt;&gt;0,"INVALID – after the corrective action the actual qty must equal expected (update Actual)",""),"")&amp;IF(AND(TRIM(U50)="Pass",TRIM(AB50)&lt;&gt;"",TRIM(AB50)&lt;&gt;"Closed"),"INVALID – corrective action not closed: use Fail, then Pass after CA","")&amp;IF(AND(TRIM(AA50)&lt;&gt;"",TRIM(AB50)=""),"INVALID – CA status missing for the recorded corrective action","")&amp;IF(AND(TRIM(U50)="Pass after CA",OR(OR(LEN(BA50)&lt;5,ISNUMBER(MATCH(BA50,L_Placeholder,0))),TRIM(AB50)&lt;&gt;"Closed")),"INVALID – corrective action not recorded/closed","")</f>
        <v/>
      </c>
    </row>
    <row r="51" customFormat="false" ht="116.25" hidden="false" customHeight="true" outlineLevel="0" collapsed="false">
      <c r="A51" s="57" t="s">
        <v>488</v>
      </c>
      <c r="B51" s="57" t="s">
        <v>195</v>
      </c>
      <c r="C51" s="57" t="str">
        <f aca="false">Flights!$F$6</f>
        <v>MH0727</v>
      </c>
      <c r="D51" s="58" t="n">
        <f aca="false">Flights!$D$6</f>
        <v>46304</v>
      </c>
      <c r="E51" s="57" t="str">
        <f aca="false">Flights!$G$6&amp;"-"&amp;Flights!$H$6</f>
        <v>KUL-CGK</v>
      </c>
      <c r="F51" s="57" t="str">
        <f aca="false">Flights!$K$6</f>
        <v>BC</v>
      </c>
      <c r="G51" s="57" t="s">
        <v>398</v>
      </c>
      <c r="H51" s="57" t="s">
        <v>356</v>
      </c>
      <c r="I51" s="57" t="s">
        <v>477</v>
      </c>
      <c r="J51" s="57" t="s">
        <v>489</v>
      </c>
      <c r="K51" s="67" t="s">
        <v>479</v>
      </c>
      <c r="L51" s="67" t="s">
        <v>490</v>
      </c>
      <c r="M51" s="67" t="s">
        <v>429</v>
      </c>
      <c r="N51" s="67" t="s">
        <v>422</v>
      </c>
      <c r="O51" s="67" t="s">
        <v>491</v>
      </c>
      <c r="P51" s="57" t="s">
        <v>184</v>
      </c>
      <c r="Q51" s="59" t="n">
        <f aca="false">ROUND((Flights!$AE$6)*1440,0)/1440</f>
        <v>46304.0763888889</v>
      </c>
      <c r="R51" s="59" t="n">
        <f aca="false">Q51+(IF(AND(INDEX(TZ_DSTS,MATCH(P51,TZ_STN,0))&lt;&gt;"",Q51&gt;=INDEX(TZ_DSTS,MATCH(P51,TZ_STN,0)),Q51&lt;INDEX(TZ_DSTE,MATCH(P51,TZ_STN,0))),INDEX(TZ_DST,MATCH(P51,TZ_STN,0)),INDEX(TZ_STD,MATCH(P51,TZ_STN,0))))/24</f>
        <v>46304.4097222222</v>
      </c>
      <c r="S51" s="59" t="n">
        <f aca="false">Q51-T12EarlyH/24</f>
        <v>46303.5763888889</v>
      </c>
      <c r="T51" s="60"/>
      <c r="U51" s="60"/>
      <c r="V51" s="60"/>
      <c r="W51" s="61"/>
      <c r="X51" s="60"/>
      <c r="Y51" s="60"/>
      <c r="Z51" s="60"/>
      <c r="AA51" s="60"/>
      <c r="AB51" s="60"/>
      <c r="AC51" s="60"/>
      <c r="AD51" s="66"/>
      <c r="AE51" s="60"/>
      <c r="AF51" s="61" t="str">
        <f aca="false">IF(AND(ISNUMBER(X51),ISNUMBER(Y51)),Y51-X51,"")</f>
        <v/>
      </c>
      <c r="AG51" s="62" t="str">
        <f aca="false">IF(ISNUMBER(AD51),AD51-(IF(AND(INDEX(TZ_DSTS,MATCH(P51,TZ_STN,0))&lt;&gt;"",(AD51-INDEX(TZ_STD,MATCH(P51,TZ_STN,0))/24)&gt;=INDEX(TZ_DSTS,MATCH(P51,TZ_STN,0)),(AD51-INDEX(TZ_STD,MATCH(P51,TZ_STN,0))/24)&lt;INDEX(TZ_DSTE,MATCH(P51,TZ_STN,0))),INDEX(TZ_DST,MATCH(P51,TZ_STN,0)),INDEX(TZ_STD,MATCH(P51,TZ_STN,0))))/24,"")</f>
        <v/>
      </c>
      <c r="AH51" s="65" t="str">
        <f aca="false">IFERROR(IF(N51="N/A – rule","N/A – RULE",IF(TRIM(U51)="N/A",IF(AT51=0,"INVALID – N/A not permitted for this check",IF(AND(TRIM(AB51)&lt;&gt;"",TRIM(AB51)&lt;&gt;"Closed"),"INVALID – corrective action still open",IF(AND(NOT(OR(LEN(AZ51)&lt;15,ISNUMBER(MATCH(AZ51,L_Placeholder,0)))),NOT(OR(LEN(AU51)&lt;2,ISNUMBER(MATCH(AU51,L_Placeholder,0)))),NOT(OR(LEN(AX51)&lt;2,ISNUMBER(MATCH(AX51,L_Placeholder,0)))),TRIM(AE51)&lt;&gt;TRIM(T51)),"N/A – JUSTIFIED","INVALID – N/A needs a real justification (15+ chars), PIC and a different verifier"))),IF(OR(TRIM(U51)="Pass",TRIM(U51)="Pass after CA"),IF(NOT(ISNUMBER(AD51)),"INVALID – completion time missing",IF(OR(LEN(AU51)&lt;2,ISNUMBER(MATCH(AU51,L_Placeholder,0))),"INVALID – PIC missing",IF(OR(LEN(AV51)&lt;2,ISNUMBER(MATCH(AV51,L_Placeholder,0))),"INVALID – result / assessment missing",IF(OR(OR(LEN(AW51)&lt;3,ISNUMBER(MATCH(AW51,L_Placeholder,0))),SUMPRODUCT(--ISNUMBER(SEARCH(L_EvidencePhrase,AW51)))&gt;0),"INVALID – evidence missing, placeholder or not yet on file",IF(OR(LEN(AX51)&lt;2,ISNUMBER(MATCH(AX51,L_Placeholder,0))),"INVALID – verifier missing",IF(AX51=AU51,"INVALID – verifier must be someone other than the PIC",IF(AND(TRIM(U51)="Pass",SUMPRODUCT(--ISNUMBER(SEARCH(L_ResultBad,AV51)))&gt;0),"INVALID – result describes a problem: use Fail, then Pass after CA",IF(AND(AQ51=1,OR(LEN(AY51)&lt;3,ISNUMBER(MATCH(AY51,L_Placeholder,0)))),"INVALID – batch ID missing or placeholder",IF(AND(AR51=1,OR(NOT(ISNUMBER(X51)),NOT(ISNUMBER(Y51)))),"INVALID – expected/actual qty missing",IF(AND(AR51=1,OR(X51&lt;=0,Y51&lt;0)),"INVALID – expected qty must be above 0 and actual not negative",IF(BB51&lt;&gt;"",BB51,IF(AND(AS51=1,Documents!$J$6&lt;&gt;"ON FILE"),"INVALID – GLD not on file (Documents sheet)",IF(AND(AS51=2,Documents!$O$6&lt;&gt;"ON FILE"),"INVALID – menu checklist not on file (Documents sheet)",IF(AND(AS51=3,NOT(ISNUMBER(Flights!$AX$6))),"INVALID – enter carrying flight KUL departure (Flights AX)",IF(AND(AS51=3,OR(Flights!$AZ$6&gt;Flights!$AA$6,Flights!$AX$6&lt;Flights!$AA$6-3)),"INVALID – carrying flight (Flights AX) cannot arrive before this leg's STD, or is over 3 days early",IF(AG51&gt;AsOfUTC,"INVALID – completion time is in the future",IF(AND(ISNUMBER(S51),AG51&lt;S51),IF(H51="Physical uplift","INVALID – before uplift window (cannot confirm loading)","INVALID – before valid window"),IF(AG51&gt;Flights!$AA$6,"INVALID – completed after departure (cannot establish readiness)",IF(AND(H51="Preparation",AG51&gt;IF(ISNUMBER(Flights!$BA$6),MIN(Flights!$BA$6,Flights!$AA$6),Flights!$AA$6)),"INVALID – completed after loading / departure (cannot establish readiness)",IF(AND(H51="Physical uplift",AG51&gt;Q51),"INVALID – recorded after the loading flight departed",IF(AG51&gt;Q51,"COMPLETE – LATE","COMPLETE"))))))))))))))))))))),IF(TRIM(U51)="Fail","FAIL – DISCREPANCY",IF(AND(TRIM(U51)&lt;&gt;"",TRIM(U51)&lt;&gt;"Not started",TRIM(U51)&lt;&gt;"In progress"),"INVALID – unrecognised status (use the list)",IF(AsOfUTC&gt;Q51,"OVERDUE",IF(N51="Clarification required","OPEN – CLARIFICATION","OPEN"))))))),"INVALID – error value in an input cell")</f>
        <v>OPEN – CLARIFICATION</v>
      </c>
      <c r="AI51" s="61" t="n">
        <f aca="false">IF(OR(AH51="N/A – RULE",AH51="N/A – JUSTIFIED"),0,1)</f>
        <v>1</v>
      </c>
      <c r="AJ51" s="61" t="n">
        <f aca="false">IF(LEFT(AH51,8)="COMPLETE",1,0)</f>
        <v>0</v>
      </c>
      <c r="AK51" s="61" t="n">
        <f aca="false">IF(AND(AI51=1,AJ51=0,AsOfUTC&gt;Q51),1,0)</f>
        <v>0</v>
      </c>
      <c r="AL51" s="61" t="n">
        <f aca="false">IFERROR(IF(AND(AI51=1,OR(TRIM(U51)="Fail",AND(TRIM(AB51)&lt;&gt;"",TRIM(AB51)&lt;&gt;"Closed"),AND(ISNUMBER(AF51),AF51&lt;&gt;0,TRIM(U51)&lt;&gt;"Pass after CA"))),1,0),1)</f>
        <v>0</v>
      </c>
      <c r="AM51" s="61" t="n">
        <f aca="false">IF(LEFT(AH51,7)="INVALID",1,0)</f>
        <v>0</v>
      </c>
      <c r="AN51" s="61" t="n">
        <f aca="false">IF(AND(N51="Clarification required",AI51=1,AJ51=0),1,0)</f>
        <v>1</v>
      </c>
      <c r="AO51" s="61" t="str">
        <f aca="false">IF(AK51=1,SUM(AK$5:AK51),"")</f>
        <v/>
      </c>
      <c r="AP51" s="61" t="str">
        <f aca="false">IF(AL51=1,SUM(AL$5:AL51),"")</f>
        <v/>
      </c>
      <c r="AQ51" s="61" t="n">
        <v>0</v>
      </c>
      <c r="AR51" s="61" t="n">
        <v>0</v>
      </c>
      <c r="AS51" s="61" t="n">
        <v>0</v>
      </c>
      <c r="AT51" s="61" t="n">
        <v>1</v>
      </c>
      <c r="AU51" s="61" t="str">
        <f aca="false">SUBSTITUTE(SUBSTITUTE(SUBSTITUTE(SUBSTITUTE(SUBSTITUTE(SUBSTITUTE(SUBSTITUTE(SUBSTITUTE(SUBSTITUTE(SUBSTITUTE(SUBSTITUTE(SUBSTITUTE(SUBSTITUTE(LOWER(T51&amp;""),CHAR(160),"")," ",""),".",""),"-",""),"/",""),"?",""),"_",""),",",""),"[",""),"]",""),"(",""),")",""),"*","")</f>
        <v/>
      </c>
      <c r="AV51" s="61" t="str">
        <f aca="false">SUBSTITUTE(SUBSTITUTE(SUBSTITUTE(SUBSTITUTE(SUBSTITUTE(SUBSTITUTE(SUBSTITUTE(SUBSTITUTE(SUBSTITUTE(SUBSTITUTE(SUBSTITUTE(SUBSTITUTE(SUBSTITUTE(LOWER(V51&amp;""),CHAR(160),"")," ",""),".",""),"-",""),"/",""),"?",""),"_",""),",",""),"[",""),"]",""),"(",""),")",""),"*","")</f>
        <v/>
      </c>
      <c r="AW51" s="61" t="str">
        <f aca="false">SUBSTITUTE(SUBSTITUTE(SUBSTITUTE(SUBSTITUTE(SUBSTITUTE(SUBSTITUTE(SUBSTITUTE(SUBSTITUTE(SUBSTITUTE(SUBSTITUTE(SUBSTITUTE(SUBSTITUTE(SUBSTITUTE(LOWER(Z51&amp;""),CHAR(160),"")," ",""),".",""),"-",""),"/",""),"?",""),"_",""),",",""),"[",""),"]",""),"(",""),")",""),"*","")</f>
        <v/>
      </c>
      <c r="AX51" s="61" t="str">
        <f aca="false">SUBSTITUTE(SUBSTITUTE(SUBSTITUTE(SUBSTITUTE(SUBSTITUTE(SUBSTITUTE(SUBSTITUTE(SUBSTITUTE(SUBSTITUTE(SUBSTITUTE(SUBSTITUTE(SUBSTITUTE(SUBSTITUTE(LOWER(AE51&amp;""),CHAR(160),"")," ",""),".",""),"-",""),"/",""),"?",""),"_",""),",",""),"[",""),"]",""),"(",""),")",""),"*","")</f>
        <v/>
      </c>
      <c r="AY51" s="61" t="str">
        <f aca="false">SUBSTITUTE(SUBSTITUTE(SUBSTITUTE(SUBSTITUTE(SUBSTITUTE(SUBSTITUTE(SUBSTITUTE(SUBSTITUTE(SUBSTITUTE(SUBSTITUTE(SUBSTITUTE(SUBSTITUTE(SUBSTITUTE(LOWER(W51&amp;""),CHAR(160),"")," ",""),".",""),"-",""),"/",""),"?",""),"_",""),",",""),"[",""),"]",""),"(",""),")",""),"*","")</f>
        <v/>
      </c>
      <c r="AZ51" s="61" t="str">
        <f aca="false">SUBSTITUTE(SUBSTITUTE(SUBSTITUTE(SUBSTITUTE(SUBSTITUTE(SUBSTITUTE(SUBSTITUTE(SUBSTITUTE(SUBSTITUTE(SUBSTITUTE(SUBSTITUTE(SUBSTITUTE(SUBSTITUTE(LOWER(AC51&amp;""),CHAR(160),"")," ",""),".",""),"-",""),"/",""),"?",""),"_",""),",",""),"[",""),"]",""),"(",""),")",""),"*","")</f>
        <v/>
      </c>
      <c r="BA51" s="61" t="str">
        <f aca="false">SUBSTITUTE(SUBSTITUTE(SUBSTITUTE(SUBSTITUTE(SUBSTITUTE(SUBSTITUTE(SUBSTITUTE(SUBSTITUTE(SUBSTITUTE(SUBSTITUTE(SUBSTITUTE(SUBSTITUTE(SUBSTITUTE(LOWER(AA51&amp;""),CHAR(160),"")," ",""),".",""),"-",""),"/",""),"?",""),"_",""),",",""),"[",""),"]",""),"(",""),")",""),"*","")</f>
        <v/>
      </c>
      <c r="BB51" s="61" t="str">
        <f aca="false">IF(AND(TRIM(U51)="Pass",ISNUMBER(AF51)),IF(AF51&lt;&gt;0,"INVALID – qty variance: use Fail or Pass after CA",""),"")&amp;IF(AND(TRIM(U51)="Pass after CA",ISNUMBER(AF51)),IF(AF51&lt;&gt;0,"INVALID – after the corrective action the actual qty must equal expected (update Actual)",""),"")&amp;IF(AND(TRIM(U51)="Pass",TRIM(AB51)&lt;&gt;"",TRIM(AB51)&lt;&gt;"Closed"),"INVALID – corrective action not closed: use Fail, then Pass after CA","")&amp;IF(AND(TRIM(AA51)&lt;&gt;"",TRIM(AB51)=""),"INVALID – CA status missing for the recorded corrective action","")&amp;IF(AND(TRIM(U51)="Pass after CA",OR(OR(LEN(BA51)&lt;5,ISNUMBER(MATCH(BA51,L_Placeholder,0))),TRIM(AB51)&lt;&gt;"Closed")),"INVALID – corrective action not recorded/closed","")</f>
        <v/>
      </c>
    </row>
    <row r="52" customFormat="false" ht="116.25" hidden="false" customHeight="true" outlineLevel="0" collapsed="false">
      <c r="A52" s="57" t="s">
        <v>492</v>
      </c>
      <c r="B52" s="57" t="s">
        <v>195</v>
      </c>
      <c r="C52" s="57" t="str">
        <f aca="false">Flights!$F$6</f>
        <v>MH0727</v>
      </c>
      <c r="D52" s="58" t="n">
        <f aca="false">Flights!$D$6</f>
        <v>46304</v>
      </c>
      <c r="E52" s="57" t="str">
        <f aca="false">Flights!$G$6&amp;"-"&amp;Flights!$H$6</f>
        <v>KUL-CGK</v>
      </c>
      <c r="F52" s="57" t="str">
        <f aca="false">Flights!$K$6</f>
        <v>BC</v>
      </c>
      <c r="G52" s="57" t="s">
        <v>398</v>
      </c>
      <c r="H52" s="57" t="s">
        <v>356</v>
      </c>
      <c r="I52" s="57" t="s">
        <v>477</v>
      </c>
      <c r="J52" s="57" t="s">
        <v>493</v>
      </c>
      <c r="K52" s="67" t="s">
        <v>479</v>
      </c>
      <c r="L52" s="67" t="s">
        <v>494</v>
      </c>
      <c r="M52" s="67" t="s">
        <v>429</v>
      </c>
      <c r="N52" s="67" t="s">
        <v>422</v>
      </c>
      <c r="O52" s="67" t="s">
        <v>491</v>
      </c>
      <c r="P52" s="57" t="s">
        <v>184</v>
      </c>
      <c r="Q52" s="59" t="n">
        <f aca="false">ROUND((Flights!$AE$6)*1440,0)/1440</f>
        <v>46304.0763888889</v>
      </c>
      <c r="R52" s="59" t="n">
        <f aca="false">Q52+(IF(AND(INDEX(TZ_DSTS,MATCH(P52,TZ_STN,0))&lt;&gt;"",Q52&gt;=INDEX(TZ_DSTS,MATCH(P52,TZ_STN,0)),Q52&lt;INDEX(TZ_DSTE,MATCH(P52,TZ_STN,0))),INDEX(TZ_DST,MATCH(P52,TZ_STN,0)),INDEX(TZ_STD,MATCH(P52,TZ_STN,0))))/24</f>
        <v>46304.4097222222</v>
      </c>
      <c r="S52" s="59" t="n">
        <f aca="false">Q52-T12EarlyH/24</f>
        <v>46303.5763888889</v>
      </c>
      <c r="T52" s="60"/>
      <c r="U52" s="60"/>
      <c r="V52" s="60"/>
      <c r="W52" s="61"/>
      <c r="X52" s="60"/>
      <c r="Y52" s="60"/>
      <c r="Z52" s="60"/>
      <c r="AA52" s="60"/>
      <c r="AB52" s="60"/>
      <c r="AC52" s="60"/>
      <c r="AD52" s="66"/>
      <c r="AE52" s="60"/>
      <c r="AF52" s="61" t="str">
        <f aca="false">IF(AND(ISNUMBER(X52),ISNUMBER(Y52)),Y52-X52,"")</f>
        <v/>
      </c>
      <c r="AG52" s="62" t="str">
        <f aca="false">IF(ISNUMBER(AD52),AD52-(IF(AND(INDEX(TZ_DSTS,MATCH(P52,TZ_STN,0))&lt;&gt;"",(AD52-INDEX(TZ_STD,MATCH(P52,TZ_STN,0))/24)&gt;=INDEX(TZ_DSTS,MATCH(P52,TZ_STN,0)),(AD52-INDEX(TZ_STD,MATCH(P52,TZ_STN,0))/24)&lt;INDEX(TZ_DSTE,MATCH(P52,TZ_STN,0))),INDEX(TZ_DST,MATCH(P52,TZ_STN,0)),INDEX(TZ_STD,MATCH(P52,TZ_STN,0))))/24,"")</f>
        <v/>
      </c>
      <c r="AH52" s="65" t="str">
        <f aca="false">IFERROR(IF(N52="N/A – rule","N/A – RULE",IF(TRIM(U52)="N/A",IF(AT52=0,"INVALID – N/A not permitted for this check",IF(AND(TRIM(AB52)&lt;&gt;"",TRIM(AB52)&lt;&gt;"Closed"),"INVALID – corrective action still open",IF(AND(NOT(OR(LEN(AZ52)&lt;15,ISNUMBER(MATCH(AZ52,L_Placeholder,0)))),NOT(OR(LEN(AU52)&lt;2,ISNUMBER(MATCH(AU52,L_Placeholder,0)))),NOT(OR(LEN(AX52)&lt;2,ISNUMBER(MATCH(AX52,L_Placeholder,0)))),TRIM(AE52)&lt;&gt;TRIM(T52)),"N/A – JUSTIFIED","INVALID – N/A needs a real justification (15+ chars), PIC and a different verifier"))),IF(OR(TRIM(U52)="Pass",TRIM(U52)="Pass after CA"),IF(NOT(ISNUMBER(AD52)),"INVALID – completion time missing",IF(OR(LEN(AU52)&lt;2,ISNUMBER(MATCH(AU52,L_Placeholder,0))),"INVALID – PIC missing",IF(OR(LEN(AV52)&lt;2,ISNUMBER(MATCH(AV52,L_Placeholder,0))),"INVALID – result / assessment missing",IF(OR(OR(LEN(AW52)&lt;3,ISNUMBER(MATCH(AW52,L_Placeholder,0))),SUMPRODUCT(--ISNUMBER(SEARCH(L_EvidencePhrase,AW52)))&gt;0),"INVALID – evidence missing, placeholder or not yet on file",IF(OR(LEN(AX52)&lt;2,ISNUMBER(MATCH(AX52,L_Placeholder,0))),"INVALID – verifier missing",IF(AX52=AU52,"INVALID – verifier must be someone other than the PIC",IF(AND(TRIM(U52)="Pass",SUMPRODUCT(--ISNUMBER(SEARCH(L_ResultBad,AV52)))&gt;0),"INVALID – result describes a problem: use Fail, then Pass after CA",IF(AND(AQ52=1,OR(LEN(AY52)&lt;3,ISNUMBER(MATCH(AY52,L_Placeholder,0)))),"INVALID – batch ID missing or placeholder",IF(AND(AR52=1,OR(NOT(ISNUMBER(X52)),NOT(ISNUMBER(Y52)))),"INVALID – expected/actual qty missing",IF(AND(AR52=1,OR(X52&lt;=0,Y52&lt;0)),"INVALID – expected qty must be above 0 and actual not negative",IF(BB52&lt;&gt;"",BB52,IF(AND(AS52=1,Documents!$J$6&lt;&gt;"ON FILE"),"INVALID – GLD not on file (Documents sheet)",IF(AND(AS52=2,Documents!$O$6&lt;&gt;"ON FILE"),"INVALID – menu checklist not on file (Documents sheet)",IF(AND(AS52=3,NOT(ISNUMBER(Flights!$AX$6))),"INVALID – enter carrying flight KUL departure (Flights AX)",IF(AND(AS52=3,OR(Flights!$AZ$6&gt;Flights!$AA$6,Flights!$AX$6&lt;Flights!$AA$6-3)),"INVALID – carrying flight (Flights AX) cannot arrive before this leg's STD, or is over 3 days early",IF(AG52&gt;AsOfUTC,"INVALID – completion time is in the future",IF(AND(ISNUMBER(S52),AG52&lt;S52),IF(H52="Physical uplift","INVALID – before uplift window (cannot confirm loading)","INVALID – before valid window"),IF(AG52&gt;Flights!$AA$6,"INVALID – completed after departure (cannot establish readiness)",IF(AND(H52="Preparation",AG52&gt;IF(ISNUMBER(Flights!$BA$6),MIN(Flights!$BA$6,Flights!$AA$6),Flights!$AA$6)),"INVALID – completed after loading / departure (cannot establish readiness)",IF(AND(H52="Physical uplift",AG52&gt;Q52),"INVALID – recorded after the loading flight departed",IF(AG52&gt;Q52,"COMPLETE – LATE","COMPLETE"))))))))))))))))))))),IF(TRIM(U52)="Fail","FAIL – DISCREPANCY",IF(AND(TRIM(U52)&lt;&gt;"",TRIM(U52)&lt;&gt;"Not started",TRIM(U52)&lt;&gt;"In progress"),"INVALID – unrecognised status (use the list)",IF(AsOfUTC&gt;Q52,"OVERDUE",IF(N52="Clarification required","OPEN – CLARIFICATION","OPEN"))))))),"INVALID – error value in an input cell")</f>
        <v>OPEN – CLARIFICATION</v>
      </c>
      <c r="AI52" s="61" t="n">
        <f aca="false">IF(OR(AH52="N/A – RULE",AH52="N/A – JUSTIFIED"),0,1)</f>
        <v>1</v>
      </c>
      <c r="AJ52" s="61" t="n">
        <f aca="false">IF(LEFT(AH52,8)="COMPLETE",1,0)</f>
        <v>0</v>
      </c>
      <c r="AK52" s="61" t="n">
        <f aca="false">IF(AND(AI52=1,AJ52=0,AsOfUTC&gt;Q52),1,0)</f>
        <v>0</v>
      </c>
      <c r="AL52" s="61" t="n">
        <f aca="false">IFERROR(IF(AND(AI52=1,OR(TRIM(U52)="Fail",AND(TRIM(AB52)&lt;&gt;"",TRIM(AB52)&lt;&gt;"Closed"),AND(ISNUMBER(AF52),AF52&lt;&gt;0,TRIM(U52)&lt;&gt;"Pass after CA"))),1,0),1)</f>
        <v>0</v>
      </c>
      <c r="AM52" s="61" t="n">
        <f aca="false">IF(LEFT(AH52,7)="INVALID",1,0)</f>
        <v>0</v>
      </c>
      <c r="AN52" s="61" t="n">
        <f aca="false">IF(AND(N52="Clarification required",AI52=1,AJ52=0),1,0)</f>
        <v>1</v>
      </c>
      <c r="AO52" s="61" t="str">
        <f aca="false">IF(AK52=1,SUM(AK$5:AK52),"")</f>
        <v/>
      </c>
      <c r="AP52" s="61" t="str">
        <f aca="false">IF(AL52=1,SUM(AL$5:AL52),"")</f>
        <v/>
      </c>
      <c r="AQ52" s="61" t="n">
        <v>0</v>
      </c>
      <c r="AR52" s="61" t="n">
        <v>0</v>
      </c>
      <c r="AS52" s="61" t="n">
        <v>0</v>
      </c>
      <c r="AT52" s="61" t="n">
        <v>1</v>
      </c>
      <c r="AU52" s="61" t="str">
        <f aca="false">SUBSTITUTE(SUBSTITUTE(SUBSTITUTE(SUBSTITUTE(SUBSTITUTE(SUBSTITUTE(SUBSTITUTE(SUBSTITUTE(SUBSTITUTE(SUBSTITUTE(SUBSTITUTE(SUBSTITUTE(SUBSTITUTE(LOWER(T52&amp;""),CHAR(160),"")," ",""),".",""),"-",""),"/",""),"?",""),"_",""),",",""),"[",""),"]",""),"(",""),")",""),"*","")</f>
        <v/>
      </c>
      <c r="AV52" s="61" t="str">
        <f aca="false">SUBSTITUTE(SUBSTITUTE(SUBSTITUTE(SUBSTITUTE(SUBSTITUTE(SUBSTITUTE(SUBSTITUTE(SUBSTITUTE(SUBSTITUTE(SUBSTITUTE(SUBSTITUTE(SUBSTITUTE(SUBSTITUTE(LOWER(V52&amp;""),CHAR(160),"")," ",""),".",""),"-",""),"/",""),"?",""),"_",""),",",""),"[",""),"]",""),"(",""),")",""),"*","")</f>
        <v/>
      </c>
      <c r="AW52" s="61" t="str">
        <f aca="false">SUBSTITUTE(SUBSTITUTE(SUBSTITUTE(SUBSTITUTE(SUBSTITUTE(SUBSTITUTE(SUBSTITUTE(SUBSTITUTE(SUBSTITUTE(SUBSTITUTE(SUBSTITUTE(SUBSTITUTE(SUBSTITUTE(LOWER(Z52&amp;""),CHAR(160),"")," ",""),".",""),"-",""),"/",""),"?",""),"_",""),",",""),"[",""),"]",""),"(",""),")",""),"*","")</f>
        <v/>
      </c>
      <c r="AX52" s="61" t="str">
        <f aca="false">SUBSTITUTE(SUBSTITUTE(SUBSTITUTE(SUBSTITUTE(SUBSTITUTE(SUBSTITUTE(SUBSTITUTE(SUBSTITUTE(SUBSTITUTE(SUBSTITUTE(SUBSTITUTE(SUBSTITUTE(SUBSTITUTE(LOWER(AE52&amp;""),CHAR(160),"")," ",""),".",""),"-",""),"/",""),"?",""),"_",""),",",""),"[",""),"]",""),"(",""),")",""),"*","")</f>
        <v/>
      </c>
      <c r="AY52" s="61" t="str">
        <f aca="false">SUBSTITUTE(SUBSTITUTE(SUBSTITUTE(SUBSTITUTE(SUBSTITUTE(SUBSTITUTE(SUBSTITUTE(SUBSTITUTE(SUBSTITUTE(SUBSTITUTE(SUBSTITUTE(SUBSTITUTE(SUBSTITUTE(LOWER(W52&amp;""),CHAR(160),"")," ",""),".",""),"-",""),"/",""),"?",""),"_",""),",",""),"[",""),"]",""),"(",""),")",""),"*","")</f>
        <v/>
      </c>
      <c r="AZ52" s="61" t="str">
        <f aca="false">SUBSTITUTE(SUBSTITUTE(SUBSTITUTE(SUBSTITUTE(SUBSTITUTE(SUBSTITUTE(SUBSTITUTE(SUBSTITUTE(SUBSTITUTE(SUBSTITUTE(SUBSTITUTE(SUBSTITUTE(SUBSTITUTE(LOWER(AC52&amp;""),CHAR(160),"")," ",""),".",""),"-",""),"/",""),"?",""),"_",""),",",""),"[",""),"]",""),"(",""),")",""),"*","")</f>
        <v/>
      </c>
      <c r="BA52" s="61" t="str">
        <f aca="false">SUBSTITUTE(SUBSTITUTE(SUBSTITUTE(SUBSTITUTE(SUBSTITUTE(SUBSTITUTE(SUBSTITUTE(SUBSTITUTE(SUBSTITUTE(SUBSTITUTE(SUBSTITUTE(SUBSTITUTE(SUBSTITUTE(LOWER(AA52&amp;""),CHAR(160),"")," ",""),".",""),"-",""),"/",""),"?",""),"_",""),",",""),"[",""),"]",""),"(",""),")",""),"*","")</f>
        <v/>
      </c>
      <c r="BB52" s="61" t="str">
        <f aca="false">IF(AND(TRIM(U52)="Pass",ISNUMBER(AF52)),IF(AF52&lt;&gt;0,"INVALID – qty variance: use Fail or Pass after CA",""),"")&amp;IF(AND(TRIM(U52)="Pass after CA",ISNUMBER(AF52)),IF(AF52&lt;&gt;0,"INVALID – after the corrective action the actual qty must equal expected (update Actual)",""),"")&amp;IF(AND(TRIM(U52)="Pass",TRIM(AB52)&lt;&gt;"",TRIM(AB52)&lt;&gt;"Closed"),"INVALID – corrective action not closed: use Fail, then Pass after CA","")&amp;IF(AND(TRIM(AA52)&lt;&gt;"",TRIM(AB52)=""),"INVALID – CA status missing for the recorded corrective action","")&amp;IF(AND(TRIM(U52)="Pass after CA",OR(OR(LEN(BA52)&lt;5,ISNUMBER(MATCH(BA52,L_Placeholder,0))),TRIM(AB52)&lt;&gt;"Closed")),"INVALID – corrective action not recorded/closed","")</f>
        <v/>
      </c>
    </row>
    <row r="53" customFormat="false" ht="54" hidden="false" customHeight="true" outlineLevel="0" collapsed="false">
      <c r="A53" s="57" t="s">
        <v>495</v>
      </c>
      <c r="B53" s="57" t="s">
        <v>195</v>
      </c>
      <c r="C53" s="57" t="str">
        <f aca="false">Flights!$F$6</f>
        <v>MH0727</v>
      </c>
      <c r="D53" s="58" t="n">
        <f aca="false">Flights!$D$6</f>
        <v>46304</v>
      </c>
      <c r="E53" s="57" t="str">
        <f aca="false">Flights!$G$6&amp;"-"&amp;Flights!$H$6</f>
        <v>KUL-CGK</v>
      </c>
      <c r="F53" s="57" t="str">
        <f aca="false">Flights!$K$6</f>
        <v>BC</v>
      </c>
      <c r="G53" s="57" t="s">
        <v>398</v>
      </c>
      <c r="H53" s="57" t="s">
        <v>356</v>
      </c>
      <c r="I53" s="57" t="s">
        <v>477</v>
      </c>
      <c r="J53" s="57" t="s">
        <v>496</v>
      </c>
      <c r="K53" s="67" t="s">
        <v>497</v>
      </c>
      <c r="L53" s="67" t="s">
        <v>498</v>
      </c>
      <c r="M53" s="67" t="s">
        <v>429</v>
      </c>
      <c r="N53" s="67" t="s">
        <v>361</v>
      </c>
      <c r="O53" s="67" t="s">
        <v>499</v>
      </c>
      <c r="P53" s="57" t="s">
        <v>184</v>
      </c>
      <c r="Q53" s="59" t="n">
        <f aca="false">ROUND((Flights!$AE$6)*1440,0)/1440</f>
        <v>46304.0763888889</v>
      </c>
      <c r="R53" s="59" t="n">
        <f aca="false">Q53+(IF(AND(INDEX(TZ_DSTS,MATCH(P53,TZ_STN,0))&lt;&gt;"",Q53&gt;=INDEX(TZ_DSTS,MATCH(P53,TZ_STN,0)),Q53&lt;INDEX(TZ_DSTE,MATCH(P53,TZ_STN,0))),INDEX(TZ_DST,MATCH(P53,TZ_STN,0)),INDEX(TZ_STD,MATCH(P53,TZ_STN,0))))/24</f>
        <v>46304.4097222222</v>
      </c>
      <c r="S53" s="59" t="n">
        <f aca="false">Q53-T12EarlyH/24</f>
        <v>46303.5763888889</v>
      </c>
      <c r="T53" s="60"/>
      <c r="U53" s="60"/>
      <c r="V53" s="60"/>
      <c r="W53" s="61"/>
      <c r="X53" s="60"/>
      <c r="Y53" s="60"/>
      <c r="Z53" s="60"/>
      <c r="AA53" s="60"/>
      <c r="AB53" s="60"/>
      <c r="AC53" s="60"/>
      <c r="AD53" s="66"/>
      <c r="AE53" s="60"/>
      <c r="AF53" s="61" t="str">
        <f aca="false">IF(AND(ISNUMBER(X53),ISNUMBER(Y53)),Y53-X53,"")</f>
        <v/>
      </c>
      <c r="AG53" s="62" t="str">
        <f aca="false">IF(ISNUMBER(AD53),AD53-(IF(AND(INDEX(TZ_DSTS,MATCH(P53,TZ_STN,0))&lt;&gt;"",(AD53-INDEX(TZ_STD,MATCH(P53,TZ_STN,0))/24)&gt;=INDEX(TZ_DSTS,MATCH(P53,TZ_STN,0)),(AD53-INDEX(TZ_STD,MATCH(P53,TZ_STN,0))/24)&lt;INDEX(TZ_DSTE,MATCH(P53,TZ_STN,0))),INDEX(TZ_DST,MATCH(P53,TZ_STN,0)),INDEX(TZ_STD,MATCH(P53,TZ_STN,0))))/24,"")</f>
        <v/>
      </c>
      <c r="AH53" s="65" t="str">
        <f aca="false">IFERROR(IF(N53="N/A – rule","N/A – RULE",IF(TRIM(U53)="N/A",IF(AT53=0,"INVALID – N/A not permitted for this check",IF(AND(TRIM(AB53)&lt;&gt;"",TRIM(AB53)&lt;&gt;"Closed"),"INVALID – corrective action still open",IF(AND(NOT(OR(LEN(AZ53)&lt;15,ISNUMBER(MATCH(AZ53,L_Placeholder,0)))),NOT(OR(LEN(AU53)&lt;2,ISNUMBER(MATCH(AU53,L_Placeholder,0)))),NOT(OR(LEN(AX53)&lt;2,ISNUMBER(MATCH(AX53,L_Placeholder,0)))),TRIM(AE53)&lt;&gt;TRIM(T53)),"N/A – JUSTIFIED","INVALID – N/A needs a real justification (15+ chars), PIC and a different verifier"))),IF(OR(TRIM(U53)="Pass",TRIM(U53)="Pass after CA"),IF(NOT(ISNUMBER(AD53)),"INVALID – completion time missing",IF(OR(LEN(AU53)&lt;2,ISNUMBER(MATCH(AU53,L_Placeholder,0))),"INVALID – PIC missing",IF(OR(LEN(AV53)&lt;2,ISNUMBER(MATCH(AV53,L_Placeholder,0))),"INVALID – result / assessment missing",IF(OR(OR(LEN(AW53)&lt;3,ISNUMBER(MATCH(AW53,L_Placeholder,0))),SUMPRODUCT(--ISNUMBER(SEARCH(L_EvidencePhrase,AW53)))&gt;0),"INVALID – evidence missing, placeholder or not yet on file",IF(OR(LEN(AX53)&lt;2,ISNUMBER(MATCH(AX53,L_Placeholder,0))),"INVALID – verifier missing",IF(AX53=AU53,"INVALID – verifier must be someone other than the PIC",IF(AND(TRIM(U53)="Pass",SUMPRODUCT(--ISNUMBER(SEARCH(L_ResultBad,AV53)))&gt;0),"INVALID – result describes a problem: use Fail, then Pass after CA",IF(AND(AQ53=1,OR(LEN(AY53)&lt;3,ISNUMBER(MATCH(AY53,L_Placeholder,0)))),"INVALID – batch ID missing or placeholder",IF(AND(AR53=1,OR(NOT(ISNUMBER(X53)),NOT(ISNUMBER(Y53)))),"INVALID – expected/actual qty missing",IF(AND(AR53=1,OR(X53&lt;=0,Y53&lt;0)),"INVALID – expected qty must be above 0 and actual not negative",IF(BB53&lt;&gt;"",BB53,IF(AND(AS53=1,Documents!$J$6&lt;&gt;"ON FILE"),"INVALID – GLD not on file (Documents sheet)",IF(AND(AS53=2,Documents!$O$6&lt;&gt;"ON FILE"),"INVALID – menu checklist not on file (Documents sheet)",IF(AND(AS53=3,NOT(ISNUMBER(Flights!$AX$6))),"INVALID – enter carrying flight KUL departure (Flights AX)",IF(AND(AS53=3,OR(Flights!$AZ$6&gt;Flights!$AA$6,Flights!$AX$6&lt;Flights!$AA$6-3)),"INVALID – carrying flight (Flights AX) cannot arrive before this leg's STD, or is over 3 days early",IF(AG53&gt;AsOfUTC,"INVALID – completion time is in the future",IF(AND(ISNUMBER(S53),AG53&lt;S53),IF(H53="Physical uplift","INVALID – before uplift window (cannot confirm loading)","INVALID – before valid window"),IF(AG53&gt;Flights!$AA$6,"INVALID – completed after departure (cannot establish readiness)",IF(AND(H53="Preparation",AG53&gt;IF(ISNUMBER(Flights!$BA$6),MIN(Flights!$BA$6,Flights!$AA$6),Flights!$AA$6)),"INVALID – completed after loading / departure (cannot establish readiness)",IF(AND(H53="Physical uplift",AG53&gt;Q53),"INVALID – recorded after the loading flight departed",IF(AG53&gt;Q53,"COMPLETE – LATE","COMPLETE"))))))))))))))))))))),IF(TRIM(U53)="Fail","FAIL – DISCREPANCY",IF(AND(TRIM(U53)&lt;&gt;"",TRIM(U53)&lt;&gt;"Not started",TRIM(U53)&lt;&gt;"In progress"),"INVALID – unrecognised status (use the list)",IF(AsOfUTC&gt;Q53,"OVERDUE",IF(N53="Clarification required","OPEN – CLARIFICATION","OPEN"))))))),"INVALID – error value in an input cell")</f>
        <v>OPEN</v>
      </c>
      <c r="AI53" s="61" t="n">
        <f aca="false">IF(OR(AH53="N/A – RULE",AH53="N/A – JUSTIFIED"),0,1)</f>
        <v>1</v>
      </c>
      <c r="AJ53" s="61" t="n">
        <f aca="false">IF(LEFT(AH53,8)="COMPLETE",1,0)</f>
        <v>0</v>
      </c>
      <c r="AK53" s="61" t="n">
        <f aca="false">IF(AND(AI53=1,AJ53=0,AsOfUTC&gt;Q53),1,0)</f>
        <v>0</v>
      </c>
      <c r="AL53" s="61" t="n">
        <f aca="false">IFERROR(IF(AND(AI53=1,OR(TRIM(U53)="Fail",AND(TRIM(AB53)&lt;&gt;"",TRIM(AB53)&lt;&gt;"Closed"),AND(ISNUMBER(AF53),AF53&lt;&gt;0,TRIM(U53)&lt;&gt;"Pass after CA"))),1,0),1)</f>
        <v>0</v>
      </c>
      <c r="AM53" s="61" t="n">
        <f aca="false">IF(LEFT(AH53,7)="INVALID",1,0)</f>
        <v>0</v>
      </c>
      <c r="AN53" s="61" t="n">
        <f aca="false">IF(AND(N53="Clarification required",AI53=1,AJ53=0),1,0)</f>
        <v>0</v>
      </c>
      <c r="AO53" s="61" t="str">
        <f aca="false">IF(AK53=1,SUM(AK$5:AK53),"")</f>
        <v/>
      </c>
      <c r="AP53" s="61" t="str">
        <f aca="false">IF(AL53=1,SUM(AL$5:AL53),"")</f>
        <v/>
      </c>
      <c r="AQ53" s="61" t="n">
        <v>0</v>
      </c>
      <c r="AR53" s="61" t="n">
        <v>0</v>
      </c>
      <c r="AS53" s="61" t="n">
        <v>0</v>
      </c>
      <c r="AT53" s="61" t="n">
        <v>0</v>
      </c>
      <c r="AU53" s="61" t="str">
        <f aca="false">SUBSTITUTE(SUBSTITUTE(SUBSTITUTE(SUBSTITUTE(SUBSTITUTE(SUBSTITUTE(SUBSTITUTE(SUBSTITUTE(SUBSTITUTE(SUBSTITUTE(SUBSTITUTE(SUBSTITUTE(SUBSTITUTE(LOWER(T53&amp;""),CHAR(160),"")," ",""),".",""),"-",""),"/",""),"?",""),"_",""),",",""),"[",""),"]",""),"(",""),")",""),"*","")</f>
        <v/>
      </c>
      <c r="AV53" s="61" t="str">
        <f aca="false">SUBSTITUTE(SUBSTITUTE(SUBSTITUTE(SUBSTITUTE(SUBSTITUTE(SUBSTITUTE(SUBSTITUTE(SUBSTITUTE(SUBSTITUTE(SUBSTITUTE(SUBSTITUTE(SUBSTITUTE(SUBSTITUTE(LOWER(V53&amp;""),CHAR(160),"")," ",""),".",""),"-",""),"/",""),"?",""),"_",""),",",""),"[",""),"]",""),"(",""),")",""),"*","")</f>
        <v/>
      </c>
      <c r="AW53" s="61" t="str">
        <f aca="false">SUBSTITUTE(SUBSTITUTE(SUBSTITUTE(SUBSTITUTE(SUBSTITUTE(SUBSTITUTE(SUBSTITUTE(SUBSTITUTE(SUBSTITUTE(SUBSTITUTE(SUBSTITUTE(SUBSTITUTE(SUBSTITUTE(LOWER(Z53&amp;""),CHAR(160),"")," ",""),".",""),"-",""),"/",""),"?",""),"_",""),",",""),"[",""),"]",""),"(",""),")",""),"*","")</f>
        <v/>
      </c>
      <c r="AX53" s="61" t="str">
        <f aca="false">SUBSTITUTE(SUBSTITUTE(SUBSTITUTE(SUBSTITUTE(SUBSTITUTE(SUBSTITUTE(SUBSTITUTE(SUBSTITUTE(SUBSTITUTE(SUBSTITUTE(SUBSTITUTE(SUBSTITUTE(SUBSTITUTE(LOWER(AE53&amp;""),CHAR(160),"")," ",""),".",""),"-",""),"/",""),"?",""),"_",""),",",""),"[",""),"]",""),"(",""),")",""),"*","")</f>
        <v/>
      </c>
      <c r="AY53" s="61" t="str">
        <f aca="false">SUBSTITUTE(SUBSTITUTE(SUBSTITUTE(SUBSTITUTE(SUBSTITUTE(SUBSTITUTE(SUBSTITUTE(SUBSTITUTE(SUBSTITUTE(SUBSTITUTE(SUBSTITUTE(SUBSTITUTE(SUBSTITUTE(LOWER(W53&amp;""),CHAR(160),"")," ",""),".",""),"-",""),"/",""),"?",""),"_",""),",",""),"[",""),"]",""),"(",""),")",""),"*","")</f>
        <v/>
      </c>
      <c r="AZ53" s="61" t="str">
        <f aca="false">SUBSTITUTE(SUBSTITUTE(SUBSTITUTE(SUBSTITUTE(SUBSTITUTE(SUBSTITUTE(SUBSTITUTE(SUBSTITUTE(SUBSTITUTE(SUBSTITUTE(SUBSTITUTE(SUBSTITUTE(SUBSTITUTE(LOWER(AC53&amp;""),CHAR(160),"")," ",""),".",""),"-",""),"/",""),"?",""),"_",""),",",""),"[",""),"]",""),"(",""),")",""),"*","")</f>
        <v/>
      </c>
      <c r="BA53" s="61" t="str">
        <f aca="false">SUBSTITUTE(SUBSTITUTE(SUBSTITUTE(SUBSTITUTE(SUBSTITUTE(SUBSTITUTE(SUBSTITUTE(SUBSTITUTE(SUBSTITUTE(SUBSTITUTE(SUBSTITUTE(SUBSTITUTE(SUBSTITUTE(LOWER(AA53&amp;""),CHAR(160),"")," ",""),".",""),"-",""),"/",""),"?",""),"_",""),",",""),"[",""),"]",""),"(",""),")",""),"*","")</f>
        <v/>
      </c>
      <c r="BB53" s="61" t="str">
        <f aca="false">IF(AND(TRIM(U53)="Pass",ISNUMBER(AF53)),IF(AF53&lt;&gt;0,"INVALID – qty variance: use Fail or Pass after CA",""),"")&amp;IF(AND(TRIM(U53)="Pass after CA",ISNUMBER(AF53)),IF(AF53&lt;&gt;0,"INVALID – after the corrective action the actual qty must equal expected (update Actual)",""),"")&amp;IF(AND(TRIM(U53)="Pass",TRIM(AB53)&lt;&gt;"",TRIM(AB53)&lt;&gt;"Closed"),"INVALID – corrective action not closed: use Fail, then Pass after CA","")&amp;IF(AND(TRIM(AA53)&lt;&gt;"",TRIM(AB53)=""),"INVALID – CA status missing for the recorded corrective action","")&amp;IF(AND(TRIM(U53)="Pass after CA",OR(OR(LEN(BA53)&lt;5,ISNUMBER(MATCH(BA53,L_Placeholder,0))),TRIM(AB53)&lt;&gt;"Closed")),"INVALID – corrective action not recorded/closed","")</f>
        <v/>
      </c>
    </row>
    <row r="54" customFormat="false" ht="41.25" hidden="false" customHeight="true" outlineLevel="0" collapsed="false">
      <c r="A54" s="57" t="s">
        <v>500</v>
      </c>
      <c r="B54" s="57" t="s">
        <v>195</v>
      </c>
      <c r="C54" s="57" t="str">
        <f aca="false">Flights!$F$6</f>
        <v>MH0727</v>
      </c>
      <c r="D54" s="58" t="n">
        <f aca="false">Flights!$D$6</f>
        <v>46304</v>
      </c>
      <c r="E54" s="57" t="str">
        <f aca="false">Flights!$G$6&amp;"-"&amp;Flights!$H$6</f>
        <v>KUL-CGK</v>
      </c>
      <c r="F54" s="57" t="str">
        <f aca="false">Flights!$K$6</f>
        <v>BC</v>
      </c>
      <c r="G54" s="57" t="s">
        <v>398</v>
      </c>
      <c r="H54" s="57" t="s">
        <v>356</v>
      </c>
      <c r="I54" s="57" t="s">
        <v>477</v>
      </c>
      <c r="J54" s="57" t="s">
        <v>501</v>
      </c>
      <c r="K54" s="67" t="s">
        <v>479</v>
      </c>
      <c r="L54" s="67" t="s">
        <v>502</v>
      </c>
      <c r="M54" s="67" t="s">
        <v>429</v>
      </c>
      <c r="N54" s="67" t="s">
        <v>361</v>
      </c>
      <c r="O54" s="67" t="s">
        <v>481</v>
      </c>
      <c r="P54" s="57" t="s">
        <v>184</v>
      </c>
      <c r="Q54" s="59" t="n">
        <f aca="false">ROUND((Flights!$AE$6)*1440,0)/1440</f>
        <v>46304.0763888889</v>
      </c>
      <c r="R54" s="59" t="n">
        <f aca="false">Q54+(IF(AND(INDEX(TZ_DSTS,MATCH(P54,TZ_STN,0))&lt;&gt;"",Q54&gt;=INDEX(TZ_DSTS,MATCH(P54,TZ_STN,0)),Q54&lt;INDEX(TZ_DSTE,MATCH(P54,TZ_STN,0))),INDEX(TZ_DST,MATCH(P54,TZ_STN,0)),INDEX(TZ_STD,MATCH(P54,TZ_STN,0))))/24</f>
        <v>46304.4097222222</v>
      </c>
      <c r="S54" s="59" t="n">
        <f aca="false">Q54-T12EarlyH/24</f>
        <v>46303.5763888889</v>
      </c>
      <c r="T54" s="60"/>
      <c r="U54" s="60"/>
      <c r="V54" s="60"/>
      <c r="W54" s="61"/>
      <c r="X54" s="60"/>
      <c r="Y54" s="60"/>
      <c r="Z54" s="60"/>
      <c r="AA54" s="60"/>
      <c r="AB54" s="60"/>
      <c r="AC54" s="60"/>
      <c r="AD54" s="66"/>
      <c r="AE54" s="60"/>
      <c r="AF54" s="61" t="str">
        <f aca="false">IF(AND(ISNUMBER(X54),ISNUMBER(Y54)),Y54-X54,"")</f>
        <v/>
      </c>
      <c r="AG54" s="62" t="str">
        <f aca="false">IF(ISNUMBER(AD54),AD54-(IF(AND(INDEX(TZ_DSTS,MATCH(P54,TZ_STN,0))&lt;&gt;"",(AD54-INDEX(TZ_STD,MATCH(P54,TZ_STN,0))/24)&gt;=INDEX(TZ_DSTS,MATCH(P54,TZ_STN,0)),(AD54-INDEX(TZ_STD,MATCH(P54,TZ_STN,0))/24)&lt;INDEX(TZ_DSTE,MATCH(P54,TZ_STN,0))),INDEX(TZ_DST,MATCH(P54,TZ_STN,0)),INDEX(TZ_STD,MATCH(P54,TZ_STN,0))))/24,"")</f>
        <v/>
      </c>
      <c r="AH54" s="65" t="str">
        <f aca="false">IFERROR(IF(N54="N/A – rule","N/A – RULE",IF(TRIM(U54)="N/A",IF(AT54=0,"INVALID – N/A not permitted for this check",IF(AND(TRIM(AB54)&lt;&gt;"",TRIM(AB54)&lt;&gt;"Closed"),"INVALID – corrective action still open",IF(AND(NOT(OR(LEN(AZ54)&lt;15,ISNUMBER(MATCH(AZ54,L_Placeholder,0)))),NOT(OR(LEN(AU54)&lt;2,ISNUMBER(MATCH(AU54,L_Placeholder,0)))),NOT(OR(LEN(AX54)&lt;2,ISNUMBER(MATCH(AX54,L_Placeholder,0)))),TRIM(AE54)&lt;&gt;TRIM(T54)),"N/A – JUSTIFIED","INVALID – N/A needs a real justification (15+ chars), PIC and a different verifier"))),IF(OR(TRIM(U54)="Pass",TRIM(U54)="Pass after CA"),IF(NOT(ISNUMBER(AD54)),"INVALID – completion time missing",IF(OR(LEN(AU54)&lt;2,ISNUMBER(MATCH(AU54,L_Placeholder,0))),"INVALID – PIC missing",IF(OR(LEN(AV54)&lt;2,ISNUMBER(MATCH(AV54,L_Placeholder,0))),"INVALID – result / assessment missing",IF(OR(OR(LEN(AW54)&lt;3,ISNUMBER(MATCH(AW54,L_Placeholder,0))),SUMPRODUCT(--ISNUMBER(SEARCH(L_EvidencePhrase,AW54)))&gt;0),"INVALID – evidence missing, placeholder or not yet on file",IF(OR(LEN(AX54)&lt;2,ISNUMBER(MATCH(AX54,L_Placeholder,0))),"INVALID – verifier missing",IF(AX54=AU54,"INVALID – verifier must be someone other than the PIC",IF(AND(TRIM(U54)="Pass",SUMPRODUCT(--ISNUMBER(SEARCH(L_ResultBad,AV54)))&gt;0),"INVALID – result describes a problem: use Fail, then Pass after CA",IF(AND(AQ54=1,OR(LEN(AY54)&lt;3,ISNUMBER(MATCH(AY54,L_Placeholder,0)))),"INVALID – batch ID missing or placeholder",IF(AND(AR54=1,OR(NOT(ISNUMBER(X54)),NOT(ISNUMBER(Y54)))),"INVALID – expected/actual qty missing",IF(AND(AR54=1,OR(X54&lt;=0,Y54&lt;0)),"INVALID – expected qty must be above 0 and actual not negative",IF(BB54&lt;&gt;"",BB54,IF(AND(AS54=1,Documents!$J$6&lt;&gt;"ON FILE"),"INVALID – GLD not on file (Documents sheet)",IF(AND(AS54=2,Documents!$O$6&lt;&gt;"ON FILE"),"INVALID – menu checklist not on file (Documents sheet)",IF(AND(AS54=3,NOT(ISNUMBER(Flights!$AX$6))),"INVALID – enter carrying flight KUL departure (Flights AX)",IF(AND(AS54=3,OR(Flights!$AZ$6&gt;Flights!$AA$6,Flights!$AX$6&lt;Flights!$AA$6-3)),"INVALID – carrying flight (Flights AX) cannot arrive before this leg's STD, or is over 3 days early",IF(AG54&gt;AsOfUTC,"INVALID – completion time is in the future",IF(AND(ISNUMBER(S54),AG54&lt;S54),IF(H54="Physical uplift","INVALID – before uplift window (cannot confirm loading)","INVALID – before valid window"),IF(AG54&gt;Flights!$AA$6,"INVALID – completed after departure (cannot establish readiness)",IF(AND(H54="Preparation",AG54&gt;IF(ISNUMBER(Flights!$BA$6),MIN(Flights!$BA$6,Flights!$AA$6),Flights!$AA$6)),"INVALID – completed after loading / departure (cannot establish readiness)",IF(AND(H54="Physical uplift",AG54&gt;Q54),"INVALID – recorded after the loading flight departed",IF(AG54&gt;Q54,"COMPLETE – LATE","COMPLETE"))))))))))))))))))))),IF(TRIM(U54)="Fail","FAIL – DISCREPANCY",IF(AND(TRIM(U54)&lt;&gt;"",TRIM(U54)&lt;&gt;"Not started",TRIM(U54)&lt;&gt;"In progress"),"INVALID – unrecognised status (use the list)",IF(AsOfUTC&gt;Q54,"OVERDUE",IF(N54="Clarification required","OPEN – CLARIFICATION","OPEN"))))))),"INVALID – error value in an input cell")</f>
        <v>OPEN</v>
      </c>
      <c r="AI54" s="61" t="n">
        <f aca="false">IF(OR(AH54="N/A – RULE",AH54="N/A – JUSTIFIED"),0,1)</f>
        <v>1</v>
      </c>
      <c r="AJ54" s="61" t="n">
        <f aca="false">IF(LEFT(AH54,8)="COMPLETE",1,0)</f>
        <v>0</v>
      </c>
      <c r="AK54" s="61" t="n">
        <f aca="false">IF(AND(AI54=1,AJ54=0,AsOfUTC&gt;Q54),1,0)</f>
        <v>0</v>
      </c>
      <c r="AL54" s="61" t="n">
        <f aca="false">IFERROR(IF(AND(AI54=1,OR(TRIM(U54)="Fail",AND(TRIM(AB54)&lt;&gt;"",TRIM(AB54)&lt;&gt;"Closed"),AND(ISNUMBER(AF54),AF54&lt;&gt;0,TRIM(U54)&lt;&gt;"Pass after CA"))),1,0),1)</f>
        <v>0</v>
      </c>
      <c r="AM54" s="61" t="n">
        <f aca="false">IF(LEFT(AH54,7)="INVALID",1,0)</f>
        <v>0</v>
      </c>
      <c r="AN54" s="61" t="n">
        <f aca="false">IF(AND(N54="Clarification required",AI54=1,AJ54=0),1,0)</f>
        <v>0</v>
      </c>
      <c r="AO54" s="61" t="str">
        <f aca="false">IF(AK54=1,SUM(AK$5:AK54),"")</f>
        <v/>
      </c>
      <c r="AP54" s="61" t="str">
        <f aca="false">IF(AL54=1,SUM(AL$5:AL54),"")</f>
        <v/>
      </c>
      <c r="AQ54" s="61" t="n">
        <v>0</v>
      </c>
      <c r="AR54" s="61" t="n">
        <v>0</v>
      </c>
      <c r="AS54" s="61" t="n">
        <v>0</v>
      </c>
      <c r="AT54" s="61" t="n">
        <v>0</v>
      </c>
      <c r="AU54" s="61" t="str">
        <f aca="false">SUBSTITUTE(SUBSTITUTE(SUBSTITUTE(SUBSTITUTE(SUBSTITUTE(SUBSTITUTE(SUBSTITUTE(SUBSTITUTE(SUBSTITUTE(SUBSTITUTE(SUBSTITUTE(SUBSTITUTE(SUBSTITUTE(LOWER(T54&amp;""),CHAR(160),"")," ",""),".",""),"-",""),"/",""),"?",""),"_",""),",",""),"[",""),"]",""),"(",""),")",""),"*","")</f>
        <v/>
      </c>
      <c r="AV54" s="61" t="str">
        <f aca="false">SUBSTITUTE(SUBSTITUTE(SUBSTITUTE(SUBSTITUTE(SUBSTITUTE(SUBSTITUTE(SUBSTITUTE(SUBSTITUTE(SUBSTITUTE(SUBSTITUTE(SUBSTITUTE(SUBSTITUTE(SUBSTITUTE(LOWER(V54&amp;""),CHAR(160),"")," ",""),".",""),"-",""),"/",""),"?",""),"_",""),",",""),"[",""),"]",""),"(",""),")",""),"*","")</f>
        <v/>
      </c>
      <c r="AW54" s="61" t="str">
        <f aca="false">SUBSTITUTE(SUBSTITUTE(SUBSTITUTE(SUBSTITUTE(SUBSTITUTE(SUBSTITUTE(SUBSTITUTE(SUBSTITUTE(SUBSTITUTE(SUBSTITUTE(SUBSTITUTE(SUBSTITUTE(SUBSTITUTE(LOWER(Z54&amp;""),CHAR(160),"")," ",""),".",""),"-",""),"/",""),"?",""),"_",""),",",""),"[",""),"]",""),"(",""),")",""),"*","")</f>
        <v/>
      </c>
      <c r="AX54" s="61" t="str">
        <f aca="false">SUBSTITUTE(SUBSTITUTE(SUBSTITUTE(SUBSTITUTE(SUBSTITUTE(SUBSTITUTE(SUBSTITUTE(SUBSTITUTE(SUBSTITUTE(SUBSTITUTE(SUBSTITUTE(SUBSTITUTE(SUBSTITUTE(LOWER(AE54&amp;""),CHAR(160),"")," ",""),".",""),"-",""),"/",""),"?",""),"_",""),",",""),"[",""),"]",""),"(",""),")",""),"*","")</f>
        <v/>
      </c>
      <c r="AY54" s="61" t="str">
        <f aca="false">SUBSTITUTE(SUBSTITUTE(SUBSTITUTE(SUBSTITUTE(SUBSTITUTE(SUBSTITUTE(SUBSTITUTE(SUBSTITUTE(SUBSTITUTE(SUBSTITUTE(SUBSTITUTE(SUBSTITUTE(SUBSTITUTE(LOWER(W54&amp;""),CHAR(160),"")," ",""),".",""),"-",""),"/",""),"?",""),"_",""),",",""),"[",""),"]",""),"(",""),")",""),"*","")</f>
        <v/>
      </c>
      <c r="AZ54" s="61" t="str">
        <f aca="false">SUBSTITUTE(SUBSTITUTE(SUBSTITUTE(SUBSTITUTE(SUBSTITUTE(SUBSTITUTE(SUBSTITUTE(SUBSTITUTE(SUBSTITUTE(SUBSTITUTE(SUBSTITUTE(SUBSTITUTE(SUBSTITUTE(LOWER(AC54&amp;""),CHAR(160),"")," ",""),".",""),"-",""),"/",""),"?",""),"_",""),",",""),"[",""),"]",""),"(",""),")",""),"*","")</f>
        <v/>
      </c>
      <c r="BA54" s="61" t="str">
        <f aca="false">SUBSTITUTE(SUBSTITUTE(SUBSTITUTE(SUBSTITUTE(SUBSTITUTE(SUBSTITUTE(SUBSTITUTE(SUBSTITUTE(SUBSTITUTE(SUBSTITUTE(SUBSTITUTE(SUBSTITUTE(SUBSTITUTE(LOWER(AA54&amp;""),CHAR(160),"")," ",""),".",""),"-",""),"/",""),"?",""),"_",""),",",""),"[",""),"]",""),"(",""),")",""),"*","")</f>
        <v/>
      </c>
      <c r="BB54" s="61" t="str">
        <f aca="false">IF(AND(TRIM(U54)="Pass",ISNUMBER(AF54)),IF(AF54&lt;&gt;0,"INVALID – qty variance: use Fail or Pass after CA",""),"")&amp;IF(AND(TRIM(U54)="Pass after CA",ISNUMBER(AF54)),IF(AF54&lt;&gt;0,"INVALID – after the corrective action the actual qty must equal expected (update Actual)",""),"")&amp;IF(AND(TRIM(U54)="Pass",TRIM(AB54)&lt;&gt;"",TRIM(AB54)&lt;&gt;"Closed"),"INVALID – corrective action not closed: use Fail, then Pass after CA","")&amp;IF(AND(TRIM(AA54)&lt;&gt;"",TRIM(AB54)=""),"INVALID – CA status missing for the recorded corrective action","")&amp;IF(AND(TRIM(U54)="Pass after CA",OR(OR(LEN(BA54)&lt;5,ISNUMBER(MATCH(BA54,L_Placeholder,0))),TRIM(AB54)&lt;&gt;"Closed")),"INVALID – corrective action not recorded/closed","")</f>
        <v/>
      </c>
    </row>
    <row r="55" customFormat="false" ht="41.25" hidden="false" customHeight="true" outlineLevel="0" collapsed="false">
      <c r="A55" s="57" t="s">
        <v>503</v>
      </c>
      <c r="B55" s="57" t="s">
        <v>195</v>
      </c>
      <c r="C55" s="57" t="str">
        <f aca="false">Flights!$F$6</f>
        <v>MH0727</v>
      </c>
      <c r="D55" s="58" t="n">
        <f aca="false">Flights!$D$6</f>
        <v>46304</v>
      </c>
      <c r="E55" s="57" t="str">
        <f aca="false">Flights!$G$6&amp;"-"&amp;Flights!$H$6</f>
        <v>KUL-CGK</v>
      </c>
      <c r="F55" s="57" t="str">
        <f aca="false">Flights!$K$6</f>
        <v>BC</v>
      </c>
      <c r="G55" s="57" t="s">
        <v>398</v>
      </c>
      <c r="H55" s="57" t="s">
        <v>356</v>
      </c>
      <c r="I55" s="57" t="s">
        <v>425</v>
      </c>
      <c r="J55" s="57" t="s">
        <v>504</v>
      </c>
      <c r="K55" s="67" t="s">
        <v>427</v>
      </c>
      <c r="L55" s="67" t="s">
        <v>505</v>
      </c>
      <c r="M55" s="67" t="s">
        <v>429</v>
      </c>
      <c r="N55" s="67" t="s">
        <v>361</v>
      </c>
      <c r="O55" s="67" t="s">
        <v>481</v>
      </c>
      <c r="P55" s="57" t="s">
        <v>184</v>
      </c>
      <c r="Q55" s="59" t="n">
        <f aca="false">ROUND((Flights!$AE$6)*1440,0)/1440</f>
        <v>46304.0763888889</v>
      </c>
      <c r="R55" s="59" t="n">
        <f aca="false">Q55+(IF(AND(INDEX(TZ_DSTS,MATCH(P55,TZ_STN,0))&lt;&gt;"",Q55&gt;=INDEX(TZ_DSTS,MATCH(P55,TZ_STN,0)),Q55&lt;INDEX(TZ_DSTE,MATCH(P55,TZ_STN,0))),INDEX(TZ_DST,MATCH(P55,TZ_STN,0)),INDEX(TZ_STD,MATCH(P55,TZ_STN,0))))/24</f>
        <v>46304.4097222222</v>
      </c>
      <c r="S55" s="59" t="n">
        <f aca="false">Q55-T12EarlyH/24</f>
        <v>46303.5763888889</v>
      </c>
      <c r="T55" s="60"/>
      <c r="U55" s="60"/>
      <c r="V55" s="60"/>
      <c r="W55" s="61"/>
      <c r="X55" s="60"/>
      <c r="Y55" s="60"/>
      <c r="Z55" s="60"/>
      <c r="AA55" s="60"/>
      <c r="AB55" s="60"/>
      <c r="AC55" s="60"/>
      <c r="AD55" s="66"/>
      <c r="AE55" s="60"/>
      <c r="AF55" s="61" t="str">
        <f aca="false">IF(AND(ISNUMBER(X55),ISNUMBER(Y55)),Y55-X55,"")</f>
        <v/>
      </c>
      <c r="AG55" s="62" t="str">
        <f aca="false">IF(ISNUMBER(AD55),AD55-(IF(AND(INDEX(TZ_DSTS,MATCH(P55,TZ_STN,0))&lt;&gt;"",(AD55-INDEX(TZ_STD,MATCH(P55,TZ_STN,0))/24)&gt;=INDEX(TZ_DSTS,MATCH(P55,TZ_STN,0)),(AD55-INDEX(TZ_STD,MATCH(P55,TZ_STN,0))/24)&lt;INDEX(TZ_DSTE,MATCH(P55,TZ_STN,0))),INDEX(TZ_DST,MATCH(P55,TZ_STN,0)),INDEX(TZ_STD,MATCH(P55,TZ_STN,0))))/24,"")</f>
        <v/>
      </c>
      <c r="AH55" s="65" t="str">
        <f aca="false">IFERROR(IF(N55="N/A – rule","N/A – RULE",IF(TRIM(U55)="N/A",IF(AT55=0,"INVALID – N/A not permitted for this check",IF(AND(TRIM(AB55)&lt;&gt;"",TRIM(AB55)&lt;&gt;"Closed"),"INVALID – corrective action still open",IF(AND(NOT(OR(LEN(AZ55)&lt;15,ISNUMBER(MATCH(AZ55,L_Placeholder,0)))),NOT(OR(LEN(AU55)&lt;2,ISNUMBER(MATCH(AU55,L_Placeholder,0)))),NOT(OR(LEN(AX55)&lt;2,ISNUMBER(MATCH(AX55,L_Placeholder,0)))),TRIM(AE55)&lt;&gt;TRIM(T55)),"N/A – JUSTIFIED","INVALID – N/A needs a real justification (15+ chars), PIC and a different verifier"))),IF(OR(TRIM(U55)="Pass",TRIM(U55)="Pass after CA"),IF(NOT(ISNUMBER(AD55)),"INVALID – completion time missing",IF(OR(LEN(AU55)&lt;2,ISNUMBER(MATCH(AU55,L_Placeholder,0))),"INVALID – PIC missing",IF(OR(LEN(AV55)&lt;2,ISNUMBER(MATCH(AV55,L_Placeholder,0))),"INVALID – result / assessment missing",IF(OR(OR(LEN(AW55)&lt;3,ISNUMBER(MATCH(AW55,L_Placeholder,0))),SUMPRODUCT(--ISNUMBER(SEARCH(L_EvidencePhrase,AW55)))&gt;0),"INVALID – evidence missing, placeholder or not yet on file",IF(OR(LEN(AX55)&lt;2,ISNUMBER(MATCH(AX55,L_Placeholder,0))),"INVALID – verifier missing",IF(AX55=AU55,"INVALID – verifier must be someone other than the PIC",IF(AND(TRIM(U55)="Pass",SUMPRODUCT(--ISNUMBER(SEARCH(L_ResultBad,AV55)))&gt;0),"INVALID – result describes a problem: use Fail, then Pass after CA",IF(AND(AQ55=1,OR(LEN(AY55)&lt;3,ISNUMBER(MATCH(AY55,L_Placeholder,0)))),"INVALID – batch ID missing or placeholder",IF(AND(AR55=1,OR(NOT(ISNUMBER(X55)),NOT(ISNUMBER(Y55)))),"INVALID – expected/actual qty missing",IF(AND(AR55=1,OR(X55&lt;=0,Y55&lt;0)),"INVALID – expected qty must be above 0 and actual not negative",IF(BB55&lt;&gt;"",BB55,IF(AND(AS55=1,Documents!$J$6&lt;&gt;"ON FILE"),"INVALID – GLD not on file (Documents sheet)",IF(AND(AS55=2,Documents!$O$6&lt;&gt;"ON FILE"),"INVALID – menu checklist not on file (Documents sheet)",IF(AND(AS55=3,NOT(ISNUMBER(Flights!$AX$6))),"INVALID – enter carrying flight KUL departure (Flights AX)",IF(AND(AS55=3,OR(Flights!$AZ$6&gt;Flights!$AA$6,Flights!$AX$6&lt;Flights!$AA$6-3)),"INVALID – carrying flight (Flights AX) cannot arrive before this leg's STD, or is over 3 days early",IF(AG55&gt;AsOfUTC,"INVALID – completion time is in the future",IF(AND(ISNUMBER(S55),AG55&lt;S55),IF(H55="Physical uplift","INVALID – before uplift window (cannot confirm loading)","INVALID – before valid window"),IF(AG55&gt;Flights!$AA$6,"INVALID – completed after departure (cannot establish readiness)",IF(AND(H55="Preparation",AG55&gt;IF(ISNUMBER(Flights!$BA$6),MIN(Flights!$BA$6,Flights!$AA$6),Flights!$AA$6)),"INVALID – completed after loading / departure (cannot establish readiness)",IF(AND(H55="Physical uplift",AG55&gt;Q55),"INVALID – recorded after the loading flight departed",IF(AG55&gt;Q55,"COMPLETE – LATE","COMPLETE"))))))))))))))))))))),IF(TRIM(U55)="Fail","FAIL – DISCREPANCY",IF(AND(TRIM(U55)&lt;&gt;"",TRIM(U55)&lt;&gt;"Not started",TRIM(U55)&lt;&gt;"In progress"),"INVALID – unrecognised status (use the list)",IF(AsOfUTC&gt;Q55,"OVERDUE",IF(N55="Clarification required","OPEN – CLARIFICATION","OPEN"))))))),"INVALID – error value in an input cell")</f>
        <v>OPEN</v>
      </c>
      <c r="AI55" s="61" t="n">
        <f aca="false">IF(OR(AH55="N/A – RULE",AH55="N/A – JUSTIFIED"),0,1)</f>
        <v>1</v>
      </c>
      <c r="AJ55" s="61" t="n">
        <f aca="false">IF(LEFT(AH55,8)="COMPLETE",1,0)</f>
        <v>0</v>
      </c>
      <c r="AK55" s="61" t="n">
        <f aca="false">IF(AND(AI55=1,AJ55=0,AsOfUTC&gt;Q55),1,0)</f>
        <v>0</v>
      </c>
      <c r="AL55" s="61" t="n">
        <f aca="false">IFERROR(IF(AND(AI55=1,OR(TRIM(U55)="Fail",AND(TRIM(AB55)&lt;&gt;"",TRIM(AB55)&lt;&gt;"Closed"),AND(ISNUMBER(AF55),AF55&lt;&gt;0,TRIM(U55)&lt;&gt;"Pass after CA"))),1,0),1)</f>
        <v>0</v>
      </c>
      <c r="AM55" s="61" t="n">
        <f aca="false">IF(LEFT(AH55,7)="INVALID",1,0)</f>
        <v>0</v>
      </c>
      <c r="AN55" s="61" t="n">
        <f aca="false">IF(AND(N55="Clarification required",AI55=1,AJ55=0),1,0)</f>
        <v>0</v>
      </c>
      <c r="AO55" s="61" t="str">
        <f aca="false">IF(AK55=1,SUM(AK$5:AK55),"")</f>
        <v/>
      </c>
      <c r="AP55" s="61" t="str">
        <f aca="false">IF(AL55=1,SUM(AL$5:AL55),"")</f>
        <v/>
      </c>
      <c r="AQ55" s="61" t="n">
        <v>0</v>
      </c>
      <c r="AR55" s="61" t="n">
        <v>0</v>
      </c>
      <c r="AS55" s="61" t="n">
        <v>0</v>
      </c>
      <c r="AT55" s="61" t="n">
        <v>0</v>
      </c>
      <c r="AU55" s="61" t="str">
        <f aca="false">SUBSTITUTE(SUBSTITUTE(SUBSTITUTE(SUBSTITUTE(SUBSTITUTE(SUBSTITUTE(SUBSTITUTE(SUBSTITUTE(SUBSTITUTE(SUBSTITUTE(SUBSTITUTE(SUBSTITUTE(SUBSTITUTE(LOWER(T55&amp;""),CHAR(160),"")," ",""),".",""),"-",""),"/",""),"?",""),"_",""),",",""),"[",""),"]",""),"(",""),")",""),"*","")</f>
        <v/>
      </c>
      <c r="AV55" s="61" t="str">
        <f aca="false">SUBSTITUTE(SUBSTITUTE(SUBSTITUTE(SUBSTITUTE(SUBSTITUTE(SUBSTITUTE(SUBSTITUTE(SUBSTITUTE(SUBSTITUTE(SUBSTITUTE(SUBSTITUTE(SUBSTITUTE(SUBSTITUTE(LOWER(V55&amp;""),CHAR(160),"")," ",""),".",""),"-",""),"/",""),"?",""),"_",""),",",""),"[",""),"]",""),"(",""),")",""),"*","")</f>
        <v/>
      </c>
      <c r="AW55" s="61" t="str">
        <f aca="false">SUBSTITUTE(SUBSTITUTE(SUBSTITUTE(SUBSTITUTE(SUBSTITUTE(SUBSTITUTE(SUBSTITUTE(SUBSTITUTE(SUBSTITUTE(SUBSTITUTE(SUBSTITUTE(SUBSTITUTE(SUBSTITUTE(LOWER(Z55&amp;""),CHAR(160),"")," ",""),".",""),"-",""),"/",""),"?",""),"_",""),",",""),"[",""),"]",""),"(",""),")",""),"*","")</f>
        <v/>
      </c>
      <c r="AX55" s="61" t="str">
        <f aca="false">SUBSTITUTE(SUBSTITUTE(SUBSTITUTE(SUBSTITUTE(SUBSTITUTE(SUBSTITUTE(SUBSTITUTE(SUBSTITUTE(SUBSTITUTE(SUBSTITUTE(SUBSTITUTE(SUBSTITUTE(SUBSTITUTE(LOWER(AE55&amp;""),CHAR(160),"")," ",""),".",""),"-",""),"/",""),"?",""),"_",""),",",""),"[",""),"]",""),"(",""),")",""),"*","")</f>
        <v/>
      </c>
      <c r="AY55" s="61" t="str">
        <f aca="false">SUBSTITUTE(SUBSTITUTE(SUBSTITUTE(SUBSTITUTE(SUBSTITUTE(SUBSTITUTE(SUBSTITUTE(SUBSTITUTE(SUBSTITUTE(SUBSTITUTE(SUBSTITUTE(SUBSTITUTE(SUBSTITUTE(LOWER(W55&amp;""),CHAR(160),"")," ",""),".",""),"-",""),"/",""),"?",""),"_",""),",",""),"[",""),"]",""),"(",""),")",""),"*","")</f>
        <v/>
      </c>
      <c r="AZ55" s="61" t="str">
        <f aca="false">SUBSTITUTE(SUBSTITUTE(SUBSTITUTE(SUBSTITUTE(SUBSTITUTE(SUBSTITUTE(SUBSTITUTE(SUBSTITUTE(SUBSTITUTE(SUBSTITUTE(SUBSTITUTE(SUBSTITUTE(SUBSTITUTE(LOWER(AC55&amp;""),CHAR(160),"")," ",""),".",""),"-",""),"/",""),"?",""),"_",""),",",""),"[",""),"]",""),"(",""),")",""),"*","")</f>
        <v/>
      </c>
      <c r="BA55" s="61" t="str">
        <f aca="false">SUBSTITUTE(SUBSTITUTE(SUBSTITUTE(SUBSTITUTE(SUBSTITUTE(SUBSTITUTE(SUBSTITUTE(SUBSTITUTE(SUBSTITUTE(SUBSTITUTE(SUBSTITUTE(SUBSTITUTE(SUBSTITUTE(LOWER(AA55&amp;""),CHAR(160),"")," ",""),".",""),"-",""),"/",""),"?",""),"_",""),",",""),"[",""),"]",""),"(",""),")",""),"*","")</f>
        <v/>
      </c>
      <c r="BB55" s="61" t="str">
        <f aca="false">IF(AND(TRIM(U55)="Pass",ISNUMBER(AF55)),IF(AF55&lt;&gt;0,"INVALID – qty variance: use Fail or Pass after CA",""),"")&amp;IF(AND(TRIM(U55)="Pass after CA",ISNUMBER(AF55)),IF(AF55&lt;&gt;0,"INVALID – after the corrective action the actual qty must equal expected (update Actual)",""),"")&amp;IF(AND(TRIM(U55)="Pass",TRIM(AB55)&lt;&gt;"",TRIM(AB55)&lt;&gt;"Closed"),"INVALID – corrective action not closed: use Fail, then Pass after CA","")&amp;IF(AND(TRIM(AA55)&lt;&gt;"",TRIM(AB55)=""),"INVALID – CA status missing for the recorded corrective action","")&amp;IF(AND(TRIM(U55)="Pass after CA",OR(OR(LEN(BA55)&lt;5,ISNUMBER(MATCH(BA55,L_Placeholder,0))),TRIM(AB55)&lt;&gt;"Closed")),"INVALID – corrective action not recorded/closed","")</f>
        <v/>
      </c>
    </row>
    <row r="56" customFormat="false" ht="41.25" hidden="false" customHeight="true" outlineLevel="0" collapsed="false">
      <c r="A56" s="57" t="s">
        <v>506</v>
      </c>
      <c r="B56" s="57" t="s">
        <v>195</v>
      </c>
      <c r="C56" s="57" t="str">
        <f aca="false">Flights!$F$6</f>
        <v>MH0727</v>
      </c>
      <c r="D56" s="58" t="n">
        <f aca="false">Flights!$D$6</f>
        <v>46304</v>
      </c>
      <c r="E56" s="57" t="str">
        <f aca="false">Flights!$G$6&amp;"-"&amp;Flights!$H$6</f>
        <v>KUL-CGK</v>
      </c>
      <c r="F56" s="57" t="str">
        <f aca="false">Flights!$K$6</f>
        <v>BC</v>
      </c>
      <c r="G56" s="57" t="s">
        <v>398</v>
      </c>
      <c r="H56" s="57" t="s">
        <v>356</v>
      </c>
      <c r="I56" s="57" t="s">
        <v>425</v>
      </c>
      <c r="J56" s="57" t="s">
        <v>507</v>
      </c>
      <c r="K56" s="67" t="s">
        <v>427</v>
      </c>
      <c r="L56" s="67" t="s">
        <v>508</v>
      </c>
      <c r="M56" s="67" t="s">
        <v>429</v>
      </c>
      <c r="N56" s="67" t="s">
        <v>361</v>
      </c>
      <c r="O56" s="67" t="s">
        <v>481</v>
      </c>
      <c r="P56" s="57" t="s">
        <v>184</v>
      </c>
      <c r="Q56" s="59" t="n">
        <f aca="false">ROUND((Flights!$AE$6)*1440,0)/1440</f>
        <v>46304.0763888889</v>
      </c>
      <c r="R56" s="59" t="n">
        <f aca="false">Q56+(IF(AND(INDEX(TZ_DSTS,MATCH(P56,TZ_STN,0))&lt;&gt;"",Q56&gt;=INDEX(TZ_DSTS,MATCH(P56,TZ_STN,0)),Q56&lt;INDEX(TZ_DSTE,MATCH(P56,TZ_STN,0))),INDEX(TZ_DST,MATCH(P56,TZ_STN,0)),INDEX(TZ_STD,MATCH(P56,TZ_STN,0))))/24</f>
        <v>46304.4097222222</v>
      </c>
      <c r="S56" s="59" t="n">
        <f aca="false">Q56-T12EarlyH/24</f>
        <v>46303.5763888889</v>
      </c>
      <c r="T56" s="60"/>
      <c r="U56" s="60"/>
      <c r="V56" s="60"/>
      <c r="W56" s="61"/>
      <c r="X56" s="60"/>
      <c r="Y56" s="60"/>
      <c r="Z56" s="60"/>
      <c r="AA56" s="60"/>
      <c r="AB56" s="60"/>
      <c r="AC56" s="60"/>
      <c r="AD56" s="66"/>
      <c r="AE56" s="60"/>
      <c r="AF56" s="61" t="str">
        <f aca="false">IF(AND(ISNUMBER(X56),ISNUMBER(Y56)),Y56-X56,"")</f>
        <v/>
      </c>
      <c r="AG56" s="62" t="str">
        <f aca="false">IF(ISNUMBER(AD56),AD56-(IF(AND(INDEX(TZ_DSTS,MATCH(P56,TZ_STN,0))&lt;&gt;"",(AD56-INDEX(TZ_STD,MATCH(P56,TZ_STN,0))/24)&gt;=INDEX(TZ_DSTS,MATCH(P56,TZ_STN,0)),(AD56-INDEX(TZ_STD,MATCH(P56,TZ_STN,0))/24)&lt;INDEX(TZ_DSTE,MATCH(P56,TZ_STN,0))),INDEX(TZ_DST,MATCH(P56,TZ_STN,0)),INDEX(TZ_STD,MATCH(P56,TZ_STN,0))))/24,"")</f>
        <v/>
      </c>
      <c r="AH56" s="65" t="str">
        <f aca="false">IFERROR(IF(N56="N/A – rule","N/A – RULE",IF(TRIM(U56)="N/A",IF(AT56=0,"INVALID – N/A not permitted for this check",IF(AND(TRIM(AB56)&lt;&gt;"",TRIM(AB56)&lt;&gt;"Closed"),"INVALID – corrective action still open",IF(AND(NOT(OR(LEN(AZ56)&lt;15,ISNUMBER(MATCH(AZ56,L_Placeholder,0)))),NOT(OR(LEN(AU56)&lt;2,ISNUMBER(MATCH(AU56,L_Placeholder,0)))),NOT(OR(LEN(AX56)&lt;2,ISNUMBER(MATCH(AX56,L_Placeholder,0)))),TRIM(AE56)&lt;&gt;TRIM(T56)),"N/A – JUSTIFIED","INVALID – N/A needs a real justification (15+ chars), PIC and a different verifier"))),IF(OR(TRIM(U56)="Pass",TRIM(U56)="Pass after CA"),IF(NOT(ISNUMBER(AD56)),"INVALID – completion time missing",IF(OR(LEN(AU56)&lt;2,ISNUMBER(MATCH(AU56,L_Placeholder,0))),"INVALID – PIC missing",IF(OR(LEN(AV56)&lt;2,ISNUMBER(MATCH(AV56,L_Placeholder,0))),"INVALID – result / assessment missing",IF(OR(OR(LEN(AW56)&lt;3,ISNUMBER(MATCH(AW56,L_Placeholder,0))),SUMPRODUCT(--ISNUMBER(SEARCH(L_EvidencePhrase,AW56)))&gt;0),"INVALID – evidence missing, placeholder or not yet on file",IF(OR(LEN(AX56)&lt;2,ISNUMBER(MATCH(AX56,L_Placeholder,0))),"INVALID – verifier missing",IF(AX56=AU56,"INVALID – verifier must be someone other than the PIC",IF(AND(TRIM(U56)="Pass",SUMPRODUCT(--ISNUMBER(SEARCH(L_ResultBad,AV56)))&gt;0),"INVALID – result describes a problem: use Fail, then Pass after CA",IF(AND(AQ56=1,OR(LEN(AY56)&lt;3,ISNUMBER(MATCH(AY56,L_Placeholder,0)))),"INVALID – batch ID missing or placeholder",IF(AND(AR56=1,OR(NOT(ISNUMBER(X56)),NOT(ISNUMBER(Y56)))),"INVALID – expected/actual qty missing",IF(AND(AR56=1,OR(X56&lt;=0,Y56&lt;0)),"INVALID – expected qty must be above 0 and actual not negative",IF(BB56&lt;&gt;"",BB56,IF(AND(AS56=1,Documents!$J$6&lt;&gt;"ON FILE"),"INVALID – GLD not on file (Documents sheet)",IF(AND(AS56=2,Documents!$O$6&lt;&gt;"ON FILE"),"INVALID – menu checklist not on file (Documents sheet)",IF(AND(AS56=3,NOT(ISNUMBER(Flights!$AX$6))),"INVALID – enter carrying flight KUL departure (Flights AX)",IF(AND(AS56=3,OR(Flights!$AZ$6&gt;Flights!$AA$6,Flights!$AX$6&lt;Flights!$AA$6-3)),"INVALID – carrying flight (Flights AX) cannot arrive before this leg's STD, or is over 3 days early",IF(AG56&gt;AsOfUTC,"INVALID – completion time is in the future",IF(AND(ISNUMBER(S56),AG56&lt;S56),IF(H56="Physical uplift","INVALID – before uplift window (cannot confirm loading)","INVALID – before valid window"),IF(AG56&gt;Flights!$AA$6,"INVALID – completed after departure (cannot establish readiness)",IF(AND(H56="Preparation",AG56&gt;IF(ISNUMBER(Flights!$BA$6),MIN(Flights!$BA$6,Flights!$AA$6),Flights!$AA$6)),"INVALID – completed after loading / departure (cannot establish readiness)",IF(AND(H56="Physical uplift",AG56&gt;Q56),"INVALID – recorded after the loading flight departed",IF(AG56&gt;Q56,"COMPLETE – LATE","COMPLETE"))))))))))))))))))))),IF(TRIM(U56)="Fail","FAIL – DISCREPANCY",IF(AND(TRIM(U56)&lt;&gt;"",TRIM(U56)&lt;&gt;"Not started",TRIM(U56)&lt;&gt;"In progress"),"INVALID – unrecognised status (use the list)",IF(AsOfUTC&gt;Q56,"OVERDUE",IF(N56="Clarification required","OPEN – CLARIFICATION","OPEN"))))))),"INVALID – error value in an input cell")</f>
        <v>OPEN</v>
      </c>
      <c r="AI56" s="61" t="n">
        <f aca="false">IF(OR(AH56="N/A – RULE",AH56="N/A – JUSTIFIED"),0,1)</f>
        <v>1</v>
      </c>
      <c r="AJ56" s="61" t="n">
        <f aca="false">IF(LEFT(AH56,8)="COMPLETE",1,0)</f>
        <v>0</v>
      </c>
      <c r="AK56" s="61" t="n">
        <f aca="false">IF(AND(AI56=1,AJ56=0,AsOfUTC&gt;Q56),1,0)</f>
        <v>0</v>
      </c>
      <c r="AL56" s="61" t="n">
        <f aca="false">IFERROR(IF(AND(AI56=1,OR(TRIM(U56)="Fail",AND(TRIM(AB56)&lt;&gt;"",TRIM(AB56)&lt;&gt;"Closed"),AND(ISNUMBER(AF56),AF56&lt;&gt;0,TRIM(U56)&lt;&gt;"Pass after CA"))),1,0),1)</f>
        <v>0</v>
      </c>
      <c r="AM56" s="61" t="n">
        <f aca="false">IF(LEFT(AH56,7)="INVALID",1,0)</f>
        <v>0</v>
      </c>
      <c r="AN56" s="61" t="n">
        <f aca="false">IF(AND(N56="Clarification required",AI56=1,AJ56=0),1,0)</f>
        <v>0</v>
      </c>
      <c r="AO56" s="61" t="str">
        <f aca="false">IF(AK56=1,SUM(AK$5:AK56),"")</f>
        <v/>
      </c>
      <c r="AP56" s="61" t="str">
        <f aca="false">IF(AL56=1,SUM(AL$5:AL56),"")</f>
        <v/>
      </c>
      <c r="AQ56" s="61" t="n">
        <v>0</v>
      </c>
      <c r="AR56" s="61" t="n">
        <v>0</v>
      </c>
      <c r="AS56" s="61" t="n">
        <v>0</v>
      </c>
      <c r="AT56" s="61" t="n">
        <v>0</v>
      </c>
      <c r="AU56" s="61" t="str">
        <f aca="false">SUBSTITUTE(SUBSTITUTE(SUBSTITUTE(SUBSTITUTE(SUBSTITUTE(SUBSTITUTE(SUBSTITUTE(SUBSTITUTE(SUBSTITUTE(SUBSTITUTE(SUBSTITUTE(SUBSTITUTE(SUBSTITUTE(LOWER(T56&amp;""),CHAR(160),"")," ",""),".",""),"-",""),"/",""),"?",""),"_",""),",",""),"[",""),"]",""),"(",""),")",""),"*","")</f>
        <v/>
      </c>
      <c r="AV56" s="61" t="str">
        <f aca="false">SUBSTITUTE(SUBSTITUTE(SUBSTITUTE(SUBSTITUTE(SUBSTITUTE(SUBSTITUTE(SUBSTITUTE(SUBSTITUTE(SUBSTITUTE(SUBSTITUTE(SUBSTITUTE(SUBSTITUTE(SUBSTITUTE(LOWER(V56&amp;""),CHAR(160),"")," ",""),".",""),"-",""),"/",""),"?",""),"_",""),",",""),"[",""),"]",""),"(",""),")",""),"*","")</f>
        <v/>
      </c>
      <c r="AW56" s="61" t="str">
        <f aca="false">SUBSTITUTE(SUBSTITUTE(SUBSTITUTE(SUBSTITUTE(SUBSTITUTE(SUBSTITUTE(SUBSTITUTE(SUBSTITUTE(SUBSTITUTE(SUBSTITUTE(SUBSTITUTE(SUBSTITUTE(SUBSTITUTE(LOWER(Z56&amp;""),CHAR(160),"")," ",""),".",""),"-",""),"/",""),"?",""),"_",""),",",""),"[",""),"]",""),"(",""),")",""),"*","")</f>
        <v/>
      </c>
      <c r="AX56" s="61" t="str">
        <f aca="false">SUBSTITUTE(SUBSTITUTE(SUBSTITUTE(SUBSTITUTE(SUBSTITUTE(SUBSTITUTE(SUBSTITUTE(SUBSTITUTE(SUBSTITUTE(SUBSTITUTE(SUBSTITUTE(SUBSTITUTE(SUBSTITUTE(LOWER(AE56&amp;""),CHAR(160),"")," ",""),".",""),"-",""),"/",""),"?",""),"_",""),",",""),"[",""),"]",""),"(",""),")",""),"*","")</f>
        <v/>
      </c>
      <c r="AY56" s="61" t="str">
        <f aca="false">SUBSTITUTE(SUBSTITUTE(SUBSTITUTE(SUBSTITUTE(SUBSTITUTE(SUBSTITUTE(SUBSTITUTE(SUBSTITUTE(SUBSTITUTE(SUBSTITUTE(SUBSTITUTE(SUBSTITUTE(SUBSTITUTE(LOWER(W56&amp;""),CHAR(160),"")," ",""),".",""),"-",""),"/",""),"?",""),"_",""),",",""),"[",""),"]",""),"(",""),")",""),"*","")</f>
        <v/>
      </c>
      <c r="AZ56" s="61" t="str">
        <f aca="false">SUBSTITUTE(SUBSTITUTE(SUBSTITUTE(SUBSTITUTE(SUBSTITUTE(SUBSTITUTE(SUBSTITUTE(SUBSTITUTE(SUBSTITUTE(SUBSTITUTE(SUBSTITUTE(SUBSTITUTE(SUBSTITUTE(LOWER(AC56&amp;""),CHAR(160),"")," ",""),".",""),"-",""),"/",""),"?",""),"_",""),",",""),"[",""),"]",""),"(",""),")",""),"*","")</f>
        <v/>
      </c>
      <c r="BA56" s="61" t="str">
        <f aca="false">SUBSTITUTE(SUBSTITUTE(SUBSTITUTE(SUBSTITUTE(SUBSTITUTE(SUBSTITUTE(SUBSTITUTE(SUBSTITUTE(SUBSTITUTE(SUBSTITUTE(SUBSTITUTE(SUBSTITUTE(SUBSTITUTE(LOWER(AA56&amp;""),CHAR(160),"")," ",""),".",""),"-",""),"/",""),"?",""),"_",""),",",""),"[",""),"]",""),"(",""),")",""),"*","")</f>
        <v/>
      </c>
      <c r="BB56" s="61" t="str">
        <f aca="false">IF(AND(TRIM(U56)="Pass",ISNUMBER(AF56)),IF(AF56&lt;&gt;0,"INVALID – qty variance: use Fail or Pass after CA",""),"")&amp;IF(AND(TRIM(U56)="Pass after CA",ISNUMBER(AF56)),IF(AF56&lt;&gt;0,"INVALID – after the corrective action the actual qty must equal expected (update Actual)",""),"")&amp;IF(AND(TRIM(U56)="Pass",TRIM(AB56)&lt;&gt;"",TRIM(AB56)&lt;&gt;"Closed"),"INVALID – corrective action not closed: use Fail, then Pass after CA","")&amp;IF(AND(TRIM(AA56)&lt;&gt;"",TRIM(AB56)=""),"INVALID – CA status missing for the recorded corrective action","")&amp;IF(AND(TRIM(U56)="Pass after CA",OR(OR(LEN(BA56)&lt;5,ISNUMBER(MATCH(BA56,L_Placeholder,0))),TRIM(AB56)&lt;&gt;"Closed")),"INVALID – corrective action not recorded/closed","")</f>
        <v/>
      </c>
    </row>
    <row r="57" customFormat="false" ht="39.75" hidden="false" customHeight="true" outlineLevel="0" collapsed="false">
      <c r="A57" s="57" t="s">
        <v>509</v>
      </c>
      <c r="B57" s="57" t="s">
        <v>195</v>
      </c>
      <c r="C57" s="57" t="str">
        <f aca="false">Flights!$F$6</f>
        <v>MH0727</v>
      </c>
      <c r="D57" s="58" t="n">
        <f aca="false">Flights!$D$6</f>
        <v>46304</v>
      </c>
      <c r="E57" s="57" t="str">
        <f aca="false">Flights!$G$6&amp;"-"&amp;Flights!$H$6</f>
        <v>KUL-CGK</v>
      </c>
      <c r="F57" s="57" t="str">
        <f aca="false">Flights!$K$6</f>
        <v>BC</v>
      </c>
      <c r="G57" s="57" t="s">
        <v>437</v>
      </c>
      <c r="H57" s="57" t="s">
        <v>438</v>
      </c>
      <c r="I57" s="57" t="s">
        <v>357</v>
      </c>
      <c r="J57" s="57" t="s">
        <v>439</v>
      </c>
      <c r="K57" s="67" t="s">
        <v>404</v>
      </c>
      <c r="L57" s="67" t="s">
        <v>440</v>
      </c>
      <c r="M57" s="67"/>
      <c r="N57" s="67" t="s">
        <v>361</v>
      </c>
      <c r="O57" s="67" t="s">
        <v>441</v>
      </c>
      <c r="P57" s="57" t="s">
        <v>184</v>
      </c>
      <c r="Q57" s="59" t="n">
        <f aca="false">ROUND((Flights!$AF$6)*1440,0)/1440</f>
        <v>46304.5763888889</v>
      </c>
      <c r="R57" s="59" t="n">
        <f aca="false">Q57+(IF(AND(INDEX(TZ_DSTS,MATCH(P57,TZ_STN,0))&lt;&gt;"",Q57&gt;=INDEX(TZ_DSTS,MATCH(P57,TZ_STN,0)),Q57&lt;INDEX(TZ_DSTE,MATCH(P57,TZ_STN,0))),INDEX(TZ_DST,MATCH(P57,TZ_STN,0)),INDEX(TZ_STD,MATCH(P57,TZ_STN,0))))/24</f>
        <v>46304.9097222222</v>
      </c>
      <c r="S57" s="59" t="n">
        <f aca="false">IF(ISNUMBER(Flights!$AZ$6),MAX(Q57-UpliftWindowH/24,Flights!$AZ$6),Q57-UpliftWindowH/24)</f>
        <v>46304.3263888889</v>
      </c>
      <c r="T57" s="60"/>
      <c r="U57" s="60"/>
      <c r="V57" s="60"/>
      <c r="W57" s="61"/>
      <c r="X57" s="60"/>
      <c r="Y57" s="60"/>
      <c r="Z57" s="60"/>
      <c r="AA57" s="60"/>
      <c r="AB57" s="60"/>
      <c r="AC57" s="60"/>
      <c r="AD57" s="66"/>
      <c r="AE57" s="60"/>
      <c r="AF57" s="61" t="str">
        <f aca="false">IF(AND(ISNUMBER(X57),ISNUMBER(Y57)),Y57-X57,"")</f>
        <v/>
      </c>
      <c r="AG57" s="62" t="str">
        <f aca="false">IF(ISNUMBER(AD57),AD57-(IF(AND(INDEX(TZ_DSTS,MATCH(P57,TZ_STN,0))&lt;&gt;"",(AD57-INDEX(TZ_STD,MATCH(P57,TZ_STN,0))/24)&gt;=INDEX(TZ_DSTS,MATCH(P57,TZ_STN,0)),(AD57-INDEX(TZ_STD,MATCH(P57,TZ_STN,0))/24)&lt;INDEX(TZ_DSTE,MATCH(P57,TZ_STN,0))),INDEX(TZ_DST,MATCH(P57,TZ_STN,0)),INDEX(TZ_STD,MATCH(P57,TZ_STN,0))))/24,"")</f>
        <v/>
      </c>
      <c r="AH57" s="65" t="str">
        <f aca="false">IFERROR(IF(N57="N/A – rule","N/A – RULE",IF(TRIM(U57)="N/A",IF(AT57=0,"INVALID – N/A not permitted for this check",IF(AND(TRIM(AB57)&lt;&gt;"",TRIM(AB57)&lt;&gt;"Closed"),"INVALID – corrective action still open",IF(AND(NOT(OR(LEN(AZ57)&lt;15,ISNUMBER(MATCH(AZ57,L_Placeholder,0)))),NOT(OR(LEN(AU57)&lt;2,ISNUMBER(MATCH(AU57,L_Placeholder,0)))),NOT(OR(LEN(AX57)&lt;2,ISNUMBER(MATCH(AX57,L_Placeholder,0)))),TRIM(AE57)&lt;&gt;TRIM(T57)),"N/A – JUSTIFIED","INVALID – N/A needs a real justification (15+ chars), PIC and a different verifier"))),IF(OR(TRIM(U57)="Pass",TRIM(U57)="Pass after CA"),IF(NOT(ISNUMBER(AD57)),"INVALID – completion time missing",IF(OR(LEN(AU57)&lt;2,ISNUMBER(MATCH(AU57,L_Placeholder,0))),"INVALID – PIC missing",IF(OR(LEN(AV57)&lt;2,ISNUMBER(MATCH(AV57,L_Placeholder,0))),"INVALID – result / assessment missing",IF(OR(OR(LEN(AW57)&lt;3,ISNUMBER(MATCH(AW57,L_Placeholder,0))),SUMPRODUCT(--ISNUMBER(SEARCH(L_EvidencePhrase,AW57)))&gt;0),"INVALID – evidence missing, placeholder or not yet on file",IF(OR(LEN(AX57)&lt;2,ISNUMBER(MATCH(AX57,L_Placeholder,0))),"INVALID – verifier missing",IF(AX57=AU57,"INVALID – verifier must be someone other than the PIC",IF(AND(TRIM(U57)="Pass",SUMPRODUCT(--ISNUMBER(SEARCH(L_ResultBad,AV57)))&gt;0),"INVALID – result describes a problem: use Fail, then Pass after CA",IF(AND(AQ57=1,OR(LEN(AY57)&lt;3,ISNUMBER(MATCH(AY57,L_Placeholder,0)))),"INVALID – batch ID missing or placeholder",IF(AND(AR57=1,OR(NOT(ISNUMBER(X57)),NOT(ISNUMBER(Y57)))),"INVALID – expected/actual qty missing",IF(AND(AR57=1,OR(X57&lt;=0,Y57&lt;0)),"INVALID – expected qty must be above 0 and actual not negative",IF(AH41="N/A – JUSTIFIED","INVALID – preparation row F02-T12-02 is N/A",IF(AND(AR57=1,ISNUMBER(X41),X57&lt;&gt;X41),"INVALID – expected qty differs from preparation check F02-T12-02",IF(BB57&lt;&gt;"",BB57,IF(AND(AS57=1,Documents!$J$6&lt;&gt;"ON FILE"),"INVALID – GLD not on file (Documents sheet)",IF(AND(AS57=2,Documents!$O$6&lt;&gt;"ON FILE"),"INVALID – menu checklist not on file (Documents sheet)",IF(AND(AS57=3,NOT(ISNUMBER(Flights!$AX$6))),"INVALID – enter carrying flight KUL departure (Flights AX)",IF(AND(AS57=3,OR(Flights!$AZ$6&gt;Flights!$AA$6,Flights!$AX$6&lt;Flights!$AA$6-3)),"INVALID – carrying flight (Flights AX) cannot arrive before this leg's STD, or is over 3 days early",IF(AG57&gt;AsOfUTC,"INVALID – completion time is in the future",IF(AND(ISNUMBER(S57),AG57&lt;S57),IF(H57="Physical uplift","INVALID – before uplift window (cannot confirm loading)","INVALID – before valid window"),IF(AG57&gt;Flights!$AA$6,"INVALID – completed after departure (cannot establish readiness)",IF(AND(H57="Preparation",AG57&gt;IF(ISNUMBER(Flights!$BA$6),MIN(Flights!$BA$6,Flights!$AA$6),Flights!$AA$6)),"INVALID – completed after loading / departure (cannot establish readiness)",IF(AND(H57="Physical uplift",AG57&gt;Q57),"INVALID – recorded after the loading flight departed",IF(AG57&gt;Q57,"COMPLETE – LATE","COMPLETE"))))))))))))))))))))))),IF(TRIM(U57)="Fail","FAIL – DISCREPANCY",IF(AND(TRIM(U57)&lt;&gt;"",TRIM(U57)&lt;&gt;"Not started",TRIM(U57)&lt;&gt;"In progress"),"INVALID – unrecognised status (use the list)",IF(AsOfUTC&gt;Q57,"OVERDUE",IF(N57="Clarification required","OPEN – CLARIFICATION","OPEN"))))))),"INVALID – error value in an input cell")</f>
        <v>OPEN</v>
      </c>
      <c r="AI57" s="61" t="n">
        <f aca="false">IF(OR(AH57="N/A – RULE",AH57="N/A – JUSTIFIED"),0,1)</f>
        <v>1</v>
      </c>
      <c r="AJ57" s="61" t="n">
        <f aca="false">IF(LEFT(AH57,8)="COMPLETE",1,0)</f>
        <v>0</v>
      </c>
      <c r="AK57" s="61" t="n">
        <f aca="false">IF(AND(AI57=1,AJ57=0,AsOfUTC&gt;Q57),1,0)</f>
        <v>0</v>
      </c>
      <c r="AL57" s="61" t="n">
        <f aca="false">IFERROR(IF(AND(AI57=1,OR(TRIM(U57)="Fail",AND(TRIM(AB57)&lt;&gt;"",TRIM(AB57)&lt;&gt;"Closed"),AND(ISNUMBER(AF57),AF57&lt;&gt;0,TRIM(U57)&lt;&gt;"Pass after CA"))),1,0),1)</f>
        <v>0</v>
      </c>
      <c r="AM57" s="61" t="n">
        <f aca="false">IF(LEFT(AH57,7)="INVALID",1,0)</f>
        <v>0</v>
      </c>
      <c r="AN57" s="61" t="n">
        <f aca="false">IF(AND(N57="Clarification required",AI57=1,AJ57=0),1,0)</f>
        <v>0</v>
      </c>
      <c r="AO57" s="61" t="str">
        <f aca="false">IF(AK57=1,SUM(AK$5:AK57),"")</f>
        <v/>
      </c>
      <c r="AP57" s="61" t="str">
        <f aca="false">IF(AL57=1,SUM(AL$5:AL57),"")</f>
        <v/>
      </c>
      <c r="AQ57" s="61" t="n">
        <v>0</v>
      </c>
      <c r="AR57" s="61" t="n">
        <v>1</v>
      </c>
      <c r="AS57" s="61" t="n">
        <v>0</v>
      </c>
      <c r="AT57" s="61" t="n">
        <v>0</v>
      </c>
      <c r="AU57" s="61" t="str">
        <f aca="false">SUBSTITUTE(SUBSTITUTE(SUBSTITUTE(SUBSTITUTE(SUBSTITUTE(SUBSTITUTE(SUBSTITUTE(SUBSTITUTE(SUBSTITUTE(SUBSTITUTE(SUBSTITUTE(SUBSTITUTE(SUBSTITUTE(LOWER(T57&amp;""),CHAR(160),"")," ",""),".",""),"-",""),"/",""),"?",""),"_",""),",",""),"[",""),"]",""),"(",""),")",""),"*","")</f>
        <v/>
      </c>
      <c r="AV57" s="61" t="str">
        <f aca="false">SUBSTITUTE(SUBSTITUTE(SUBSTITUTE(SUBSTITUTE(SUBSTITUTE(SUBSTITUTE(SUBSTITUTE(SUBSTITUTE(SUBSTITUTE(SUBSTITUTE(SUBSTITUTE(SUBSTITUTE(SUBSTITUTE(LOWER(V57&amp;""),CHAR(160),"")," ",""),".",""),"-",""),"/",""),"?",""),"_",""),",",""),"[",""),"]",""),"(",""),")",""),"*","")</f>
        <v/>
      </c>
      <c r="AW57" s="61" t="str">
        <f aca="false">SUBSTITUTE(SUBSTITUTE(SUBSTITUTE(SUBSTITUTE(SUBSTITUTE(SUBSTITUTE(SUBSTITUTE(SUBSTITUTE(SUBSTITUTE(SUBSTITUTE(SUBSTITUTE(SUBSTITUTE(SUBSTITUTE(LOWER(Z57&amp;""),CHAR(160),"")," ",""),".",""),"-",""),"/",""),"?",""),"_",""),",",""),"[",""),"]",""),"(",""),")",""),"*","")</f>
        <v/>
      </c>
      <c r="AX57" s="61" t="str">
        <f aca="false">SUBSTITUTE(SUBSTITUTE(SUBSTITUTE(SUBSTITUTE(SUBSTITUTE(SUBSTITUTE(SUBSTITUTE(SUBSTITUTE(SUBSTITUTE(SUBSTITUTE(SUBSTITUTE(SUBSTITUTE(SUBSTITUTE(LOWER(AE57&amp;""),CHAR(160),"")," ",""),".",""),"-",""),"/",""),"?",""),"_",""),",",""),"[",""),"]",""),"(",""),")",""),"*","")</f>
        <v/>
      </c>
      <c r="AY57" s="61" t="str">
        <f aca="false">SUBSTITUTE(SUBSTITUTE(SUBSTITUTE(SUBSTITUTE(SUBSTITUTE(SUBSTITUTE(SUBSTITUTE(SUBSTITUTE(SUBSTITUTE(SUBSTITUTE(SUBSTITUTE(SUBSTITUTE(SUBSTITUTE(LOWER(W57&amp;""),CHAR(160),"")," ",""),".",""),"-",""),"/",""),"?",""),"_",""),",",""),"[",""),"]",""),"(",""),")",""),"*","")</f>
        <v/>
      </c>
      <c r="AZ57" s="61" t="str">
        <f aca="false">SUBSTITUTE(SUBSTITUTE(SUBSTITUTE(SUBSTITUTE(SUBSTITUTE(SUBSTITUTE(SUBSTITUTE(SUBSTITUTE(SUBSTITUTE(SUBSTITUTE(SUBSTITUTE(SUBSTITUTE(SUBSTITUTE(LOWER(AC57&amp;""),CHAR(160),"")," ",""),".",""),"-",""),"/",""),"?",""),"_",""),",",""),"[",""),"]",""),"(",""),")",""),"*","")</f>
        <v/>
      </c>
      <c r="BA57" s="61" t="str">
        <f aca="false">SUBSTITUTE(SUBSTITUTE(SUBSTITUTE(SUBSTITUTE(SUBSTITUTE(SUBSTITUTE(SUBSTITUTE(SUBSTITUTE(SUBSTITUTE(SUBSTITUTE(SUBSTITUTE(SUBSTITUTE(SUBSTITUTE(LOWER(AA57&amp;""),CHAR(160),"")," ",""),".",""),"-",""),"/",""),"?",""),"_",""),",",""),"[",""),"]",""),"(",""),")",""),"*","")</f>
        <v/>
      </c>
      <c r="BB57" s="61" t="str">
        <f aca="false">IF(AND(TRIM(U57)="Pass",ISNUMBER(AF57)),IF(AF57&lt;&gt;0,"INVALID – qty variance: use Fail or Pass after CA",""),"")&amp;IF(AND(TRIM(U57)="Pass after CA",ISNUMBER(AF57)),IF(AF57&lt;&gt;0,"INVALID – after the corrective action the actual qty must equal expected (update Actual)",""),"")&amp;IF(AND(TRIM(U57)="Pass",TRIM(AB57)&lt;&gt;"",TRIM(AB57)&lt;&gt;"Closed"),"INVALID – corrective action not closed: use Fail, then Pass after CA","")&amp;IF(AND(TRIM(AA57)&lt;&gt;"",TRIM(AB57)=""),"INVALID – CA status missing for the recorded corrective action","")&amp;IF(AND(TRIM(U57)="Pass after CA",OR(OR(LEN(BA57)&lt;5,ISNUMBER(MATCH(BA57,L_Placeholder,0))),TRIM(AB57)&lt;&gt;"Closed")),"INVALID – corrective action not recorded/closed","")</f>
        <v/>
      </c>
    </row>
    <row r="58" customFormat="false" ht="39.75" hidden="false" customHeight="true" outlineLevel="0" collapsed="false">
      <c r="A58" s="57" t="s">
        <v>510</v>
      </c>
      <c r="B58" s="57" t="s">
        <v>195</v>
      </c>
      <c r="C58" s="57" t="str">
        <f aca="false">Flights!$F$6</f>
        <v>MH0727</v>
      </c>
      <c r="D58" s="58" t="n">
        <f aca="false">Flights!$D$6</f>
        <v>46304</v>
      </c>
      <c r="E58" s="57" t="str">
        <f aca="false">Flights!$G$6&amp;"-"&amp;Flights!$H$6</f>
        <v>KUL-CGK</v>
      </c>
      <c r="F58" s="57" t="str">
        <f aca="false">Flights!$K$6</f>
        <v>BC</v>
      </c>
      <c r="G58" s="57" t="s">
        <v>437</v>
      </c>
      <c r="H58" s="57" t="s">
        <v>438</v>
      </c>
      <c r="I58" s="57" t="s">
        <v>406</v>
      </c>
      <c r="J58" s="57" t="s">
        <v>443</v>
      </c>
      <c r="K58" s="67" t="s">
        <v>404</v>
      </c>
      <c r="L58" s="67" t="s">
        <v>440</v>
      </c>
      <c r="M58" s="67"/>
      <c r="N58" s="67" t="s">
        <v>361</v>
      </c>
      <c r="O58" s="67" t="s">
        <v>441</v>
      </c>
      <c r="P58" s="57" t="s">
        <v>184</v>
      </c>
      <c r="Q58" s="59" t="n">
        <f aca="false">ROUND((Flights!$AF$6)*1440,0)/1440</f>
        <v>46304.5763888889</v>
      </c>
      <c r="R58" s="59" t="n">
        <f aca="false">Q58+(IF(AND(INDEX(TZ_DSTS,MATCH(P58,TZ_STN,0))&lt;&gt;"",Q58&gt;=INDEX(TZ_DSTS,MATCH(P58,TZ_STN,0)),Q58&lt;INDEX(TZ_DSTE,MATCH(P58,TZ_STN,0))),INDEX(TZ_DST,MATCH(P58,TZ_STN,0)),INDEX(TZ_STD,MATCH(P58,TZ_STN,0))))/24</f>
        <v>46304.9097222222</v>
      </c>
      <c r="S58" s="59" t="n">
        <f aca="false">IF(ISNUMBER(Flights!$AZ$6),MAX(Q58-UpliftWindowH/24,Flights!$AZ$6),Q58-UpliftWindowH/24)</f>
        <v>46304.3263888889</v>
      </c>
      <c r="T58" s="60"/>
      <c r="U58" s="60"/>
      <c r="V58" s="60"/>
      <c r="W58" s="61"/>
      <c r="X58" s="60"/>
      <c r="Y58" s="60"/>
      <c r="Z58" s="60"/>
      <c r="AA58" s="60"/>
      <c r="AB58" s="60"/>
      <c r="AC58" s="60"/>
      <c r="AD58" s="66"/>
      <c r="AE58" s="60"/>
      <c r="AF58" s="61" t="str">
        <f aca="false">IF(AND(ISNUMBER(X58),ISNUMBER(Y58)),Y58-X58,"")</f>
        <v/>
      </c>
      <c r="AG58" s="62" t="str">
        <f aca="false">IF(ISNUMBER(AD58),AD58-(IF(AND(INDEX(TZ_DSTS,MATCH(P58,TZ_STN,0))&lt;&gt;"",(AD58-INDEX(TZ_STD,MATCH(P58,TZ_STN,0))/24)&gt;=INDEX(TZ_DSTS,MATCH(P58,TZ_STN,0)),(AD58-INDEX(TZ_STD,MATCH(P58,TZ_STN,0))/24)&lt;INDEX(TZ_DSTE,MATCH(P58,TZ_STN,0))),INDEX(TZ_DST,MATCH(P58,TZ_STN,0)),INDEX(TZ_STD,MATCH(P58,TZ_STN,0))))/24,"")</f>
        <v/>
      </c>
      <c r="AH58" s="65" t="str">
        <f aca="false">IFERROR(IF(N58="N/A – rule","N/A – RULE",IF(TRIM(U58)="N/A",IF(AT58=0,"INVALID – N/A not permitted for this check",IF(AND(TRIM(AB58)&lt;&gt;"",TRIM(AB58)&lt;&gt;"Closed"),"INVALID – corrective action still open",IF(AND(NOT(OR(LEN(AZ58)&lt;15,ISNUMBER(MATCH(AZ58,L_Placeholder,0)))),NOT(OR(LEN(AU58)&lt;2,ISNUMBER(MATCH(AU58,L_Placeholder,0)))),NOT(OR(LEN(AX58)&lt;2,ISNUMBER(MATCH(AX58,L_Placeholder,0)))),TRIM(AE58)&lt;&gt;TRIM(T58)),"N/A – JUSTIFIED","INVALID – N/A needs a real justification (15+ chars), PIC and a different verifier"))),IF(OR(TRIM(U58)="Pass",TRIM(U58)="Pass after CA"),IF(NOT(ISNUMBER(AD58)),"INVALID – completion time missing",IF(OR(LEN(AU58)&lt;2,ISNUMBER(MATCH(AU58,L_Placeholder,0))),"INVALID – PIC missing",IF(OR(LEN(AV58)&lt;2,ISNUMBER(MATCH(AV58,L_Placeholder,0))),"INVALID – result / assessment missing",IF(OR(OR(LEN(AW58)&lt;3,ISNUMBER(MATCH(AW58,L_Placeholder,0))),SUMPRODUCT(--ISNUMBER(SEARCH(L_EvidencePhrase,AW58)))&gt;0),"INVALID – evidence missing, placeholder or not yet on file",IF(OR(LEN(AX58)&lt;2,ISNUMBER(MATCH(AX58,L_Placeholder,0))),"INVALID – verifier missing",IF(AX58=AU58,"INVALID – verifier must be someone other than the PIC",IF(AND(TRIM(U58)="Pass",SUMPRODUCT(--ISNUMBER(SEARCH(L_ResultBad,AV58)))&gt;0),"INVALID – result describes a problem: use Fail, then Pass after CA",IF(AND(AQ58=1,OR(LEN(AY58)&lt;3,ISNUMBER(MATCH(AY58,L_Placeholder,0)))),"INVALID – batch ID missing or placeholder",IF(AND(AR58=1,OR(NOT(ISNUMBER(X58)),NOT(ISNUMBER(Y58)))),"INVALID – expected/actual qty missing",IF(AND(AR58=1,OR(X58&lt;=0,Y58&lt;0)),"INVALID – expected qty must be above 0 and actual not negative",IF(AH45="N/A – JUSTIFIED","INVALID – preparation row F02-T12-06 is N/A",IF(AND(AR58=1,ISNUMBER(X45),X58&lt;&gt;X45),"INVALID – expected qty differs from preparation check F02-T12-06",IF(BB58&lt;&gt;"",BB58,IF(AND(AS58=1,Documents!$J$6&lt;&gt;"ON FILE"),"INVALID – GLD not on file (Documents sheet)",IF(AND(AS58=2,Documents!$O$6&lt;&gt;"ON FILE"),"INVALID – menu checklist not on file (Documents sheet)",IF(AND(AS58=3,NOT(ISNUMBER(Flights!$AX$6))),"INVALID – enter carrying flight KUL departure (Flights AX)",IF(AND(AS58=3,OR(Flights!$AZ$6&gt;Flights!$AA$6,Flights!$AX$6&lt;Flights!$AA$6-3)),"INVALID – carrying flight (Flights AX) cannot arrive before this leg's STD, or is over 3 days early",IF(AG58&gt;AsOfUTC,"INVALID – completion time is in the future",IF(AND(ISNUMBER(S58),AG58&lt;S58),IF(H58="Physical uplift","INVALID – before uplift window (cannot confirm loading)","INVALID – before valid window"),IF(AG58&gt;Flights!$AA$6,"INVALID – completed after departure (cannot establish readiness)",IF(AND(H58="Preparation",AG58&gt;IF(ISNUMBER(Flights!$BA$6),MIN(Flights!$BA$6,Flights!$AA$6),Flights!$AA$6)),"INVALID – completed after loading / departure (cannot establish readiness)",IF(AND(H58="Physical uplift",AG58&gt;Q58),"INVALID – recorded after the loading flight departed",IF(AG58&gt;Q58,"COMPLETE – LATE","COMPLETE"))))))))))))))))))))))),IF(TRIM(U58)="Fail","FAIL – DISCREPANCY",IF(AND(TRIM(U58)&lt;&gt;"",TRIM(U58)&lt;&gt;"Not started",TRIM(U58)&lt;&gt;"In progress"),"INVALID – unrecognised status (use the list)",IF(AsOfUTC&gt;Q58,"OVERDUE",IF(N58="Clarification required","OPEN – CLARIFICATION","OPEN"))))))),"INVALID – error value in an input cell")</f>
        <v>OPEN</v>
      </c>
      <c r="AI58" s="61" t="n">
        <f aca="false">IF(OR(AH58="N/A – RULE",AH58="N/A – JUSTIFIED"),0,1)</f>
        <v>1</v>
      </c>
      <c r="AJ58" s="61" t="n">
        <f aca="false">IF(LEFT(AH58,8)="COMPLETE",1,0)</f>
        <v>0</v>
      </c>
      <c r="AK58" s="61" t="n">
        <f aca="false">IF(AND(AI58=1,AJ58=0,AsOfUTC&gt;Q58),1,0)</f>
        <v>0</v>
      </c>
      <c r="AL58" s="61" t="n">
        <f aca="false">IFERROR(IF(AND(AI58=1,OR(TRIM(U58)="Fail",AND(TRIM(AB58)&lt;&gt;"",TRIM(AB58)&lt;&gt;"Closed"),AND(ISNUMBER(AF58),AF58&lt;&gt;0,TRIM(U58)&lt;&gt;"Pass after CA"))),1,0),1)</f>
        <v>0</v>
      </c>
      <c r="AM58" s="61" t="n">
        <f aca="false">IF(LEFT(AH58,7)="INVALID",1,0)</f>
        <v>0</v>
      </c>
      <c r="AN58" s="61" t="n">
        <f aca="false">IF(AND(N58="Clarification required",AI58=1,AJ58=0),1,0)</f>
        <v>0</v>
      </c>
      <c r="AO58" s="61" t="str">
        <f aca="false">IF(AK58=1,SUM(AK$5:AK58),"")</f>
        <v/>
      </c>
      <c r="AP58" s="61" t="str">
        <f aca="false">IF(AL58=1,SUM(AL$5:AL58),"")</f>
        <v/>
      </c>
      <c r="AQ58" s="61" t="n">
        <v>0</v>
      </c>
      <c r="AR58" s="61" t="n">
        <v>1</v>
      </c>
      <c r="AS58" s="61" t="n">
        <v>0</v>
      </c>
      <c r="AT58" s="61" t="n">
        <v>0</v>
      </c>
      <c r="AU58" s="61" t="str">
        <f aca="false">SUBSTITUTE(SUBSTITUTE(SUBSTITUTE(SUBSTITUTE(SUBSTITUTE(SUBSTITUTE(SUBSTITUTE(SUBSTITUTE(SUBSTITUTE(SUBSTITUTE(SUBSTITUTE(SUBSTITUTE(SUBSTITUTE(LOWER(T58&amp;""),CHAR(160),"")," ",""),".",""),"-",""),"/",""),"?",""),"_",""),",",""),"[",""),"]",""),"(",""),")",""),"*","")</f>
        <v/>
      </c>
      <c r="AV58" s="61" t="str">
        <f aca="false">SUBSTITUTE(SUBSTITUTE(SUBSTITUTE(SUBSTITUTE(SUBSTITUTE(SUBSTITUTE(SUBSTITUTE(SUBSTITUTE(SUBSTITUTE(SUBSTITUTE(SUBSTITUTE(SUBSTITUTE(SUBSTITUTE(LOWER(V58&amp;""),CHAR(160),"")," ",""),".",""),"-",""),"/",""),"?",""),"_",""),",",""),"[",""),"]",""),"(",""),")",""),"*","")</f>
        <v/>
      </c>
      <c r="AW58" s="61" t="str">
        <f aca="false">SUBSTITUTE(SUBSTITUTE(SUBSTITUTE(SUBSTITUTE(SUBSTITUTE(SUBSTITUTE(SUBSTITUTE(SUBSTITUTE(SUBSTITUTE(SUBSTITUTE(SUBSTITUTE(SUBSTITUTE(SUBSTITUTE(LOWER(Z58&amp;""),CHAR(160),"")," ",""),".",""),"-",""),"/",""),"?",""),"_",""),",",""),"[",""),"]",""),"(",""),")",""),"*","")</f>
        <v/>
      </c>
      <c r="AX58" s="61" t="str">
        <f aca="false">SUBSTITUTE(SUBSTITUTE(SUBSTITUTE(SUBSTITUTE(SUBSTITUTE(SUBSTITUTE(SUBSTITUTE(SUBSTITUTE(SUBSTITUTE(SUBSTITUTE(SUBSTITUTE(SUBSTITUTE(SUBSTITUTE(LOWER(AE58&amp;""),CHAR(160),"")," ",""),".",""),"-",""),"/",""),"?",""),"_",""),",",""),"[",""),"]",""),"(",""),")",""),"*","")</f>
        <v/>
      </c>
      <c r="AY58" s="61" t="str">
        <f aca="false">SUBSTITUTE(SUBSTITUTE(SUBSTITUTE(SUBSTITUTE(SUBSTITUTE(SUBSTITUTE(SUBSTITUTE(SUBSTITUTE(SUBSTITUTE(SUBSTITUTE(SUBSTITUTE(SUBSTITUTE(SUBSTITUTE(LOWER(W58&amp;""),CHAR(160),"")," ",""),".",""),"-",""),"/",""),"?",""),"_",""),",",""),"[",""),"]",""),"(",""),")",""),"*","")</f>
        <v/>
      </c>
      <c r="AZ58" s="61" t="str">
        <f aca="false">SUBSTITUTE(SUBSTITUTE(SUBSTITUTE(SUBSTITUTE(SUBSTITUTE(SUBSTITUTE(SUBSTITUTE(SUBSTITUTE(SUBSTITUTE(SUBSTITUTE(SUBSTITUTE(SUBSTITUTE(SUBSTITUTE(LOWER(AC58&amp;""),CHAR(160),"")," ",""),".",""),"-",""),"/",""),"?",""),"_",""),",",""),"[",""),"]",""),"(",""),")",""),"*","")</f>
        <v/>
      </c>
      <c r="BA58" s="61" t="str">
        <f aca="false">SUBSTITUTE(SUBSTITUTE(SUBSTITUTE(SUBSTITUTE(SUBSTITUTE(SUBSTITUTE(SUBSTITUTE(SUBSTITUTE(SUBSTITUTE(SUBSTITUTE(SUBSTITUTE(SUBSTITUTE(SUBSTITUTE(LOWER(AA58&amp;""),CHAR(160),"")," ",""),".",""),"-",""),"/",""),"?",""),"_",""),",",""),"[",""),"]",""),"(",""),")",""),"*","")</f>
        <v/>
      </c>
      <c r="BB58" s="61" t="str">
        <f aca="false">IF(AND(TRIM(U58)="Pass",ISNUMBER(AF58)),IF(AF58&lt;&gt;0,"INVALID – qty variance: use Fail or Pass after CA",""),"")&amp;IF(AND(TRIM(U58)="Pass after CA",ISNUMBER(AF58)),IF(AF58&lt;&gt;0,"INVALID – after the corrective action the actual qty must equal expected (update Actual)",""),"")&amp;IF(AND(TRIM(U58)="Pass",TRIM(AB58)&lt;&gt;"",TRIM(AB58)&lt;&gt;"Closed"),"INVALID – corrective action not closed: use Fail, then Pass after CA","")&amp;IF(AND(TRIM(AA58)&lt;&gt;"",TRIM(AB58)=""),"INVALID – CA status missing for the recorded corrective action","")&amp;IF(AND(TRIM(U58)="Pass after CA",OR(OR(LEN(BA58)&lt;5,ISNUMBER(MATCH(BA58,L_Placeholder,0))),TRIM(AB58)&lt;&gt;"Closed")),"INVALID – corrective action not recorded/closed","")</f>
        <v/>
      </c>
    </row>
    <row r="59" customFormat="false" ht="41.25" hidden="false" customHeight="true" outlineLevel="0" collapsed="false">
      <c r="A59" s="57" t="s">
        <v>511</v>
      </c>
      <c r="B59" s="57" t="s">
        <v>195</v>
      </c>
      <c r="C59" s="57" t="str">
        <f aca="false">Flights!$F$6</f>
        <v>MH0727</v>
      </c>
      <c r="D59" s="58" t="n">
        <f aca="false">Flights!$D$6</f>
        <v>46304</v>
      </c>
      <c r="E59" s="57" t="str">
        <f aca="false">Flights!$G$6&amp;"-"&amp;Flights!$H$6</f>
        <v>KUL-CGK</v>
      </c>
      <c r="F59" s="57" t="str">
        <f aca="false">Flights!$K$6</f>
        <v>BC</v>
      </c>
      <c r="G59" s="57" t="s">
        <v>437</v>
      </c>
      <c r="H59" s="57" t="s">
        <v>438</v>
      </c>
      <c r="I59" s="57" t="s">
        <v>418</v>
      </c>
      <c r="J59" s="57" t="s">
        <v>512</v>
      </c>
      <c r="K59" s="67" t="s">
        <v>473</v>
      </c>
      <c r="L59" s="67" t="s">
        <v>474</v>
      </c>
      <c r="M59" s="67" t="s">
        <v>429</v>
      </c>
      <c r="N59" s="67" t="s">
        <v>361</v>
      </c>
      <c r="O59" s="67" t="s">
        <v>513</v>
      </c>
      <c r="P59" s="57" t="s">
        <v>184</v>
      </c>
      <c r="Q59" s="59" t="n">
        <f aca="false">ROUND((Flights!$AF$6)*1440,0)/1440</f>
        <v>46304.5763888889</v>
      </c>
      <c r="R59" s="59" t="n">
        <f aca="false">Q59+(IF(AND(INDEX(TZ_DSTS,MATCH(P59,TZ_STN,0))&lt;&gt;"",Q59&gt;=INDEX(TZ_DSTS,MATCH(P59,TZ_STN,0)),Q59&lt;INDEX(TZ_DSTE,MATCH(P59,TZ_STN,0))),INDEX(TZ_DST,MATCH(P59,TZ_STN,0)),INDEX(TZ_STD,MATCH(P59,TZ_STN,0))))/24</f>
        <v>46304.9097222222</v>
      </c>
      <c r="S59" s="59" t="n">
        <f aca="false">IF(ISNUMBER(Flights!$AZ$6),MAX(Q59-UpliftWindowH/24,Flights!$AZ$6),Q59-UpliftWindowH/24)</f>
        <v>46304.3263888889</v>
      </c>
      <c r="T59" s="60"/>
      <c r="U59" s="60"/>
      <c r="V59" s="60"/>
      <c r="W59" s="61"/>
      <c r="X59" s="60"/>
      <c r="Y59" s="60"/>
      <c r="Z59" s="60"/>
      <c r="AA59" s="60"/>
      <c r="AB59" s="60"/>
      <c r="AC59" s="60"/>
      <c r="AD59" s="66"/>
      <c r="AE59" s="60"/>
      <c r="AF59" s="61" t="str">
        <f aca="false">IF(AND(ISNUMBER(X59),ISNUMBER(Y59)),Y59-X59,"")</f>
        <v/>
      </c>
      <c r="AG59" s="62" t="str">
        <f aca="false">IF(ISNUMBER(AD59),AD59-(IF(AND(INDEX(TZ_DSTS,MATCH(P59,TZ_STN,0))&lt;&gt;"",(AD59-INDEX(TZ_STD,MATCH(P59,TZ_STN,0))/24)&gt;=INDEX(TZ_DSTS,MATCH(P59,TZ_STN,0)),(AD59-INDEX(TZ_STD,MATCH(P59,TZ_STN,0))/24)&lt;INDEX(TZ_DSTE,MATCH(P59,TZ_STN,0))),INDEX(TZ_DST,MATCH(P59,TZ_STN,0)),INDEX(TZ_STD,MATCH(P59,TZ_STN,0))))/24,"")</f>
        <v/>
      </c>
      <c r="AH59" s="65" t="str">
        <f aca="false">IFERROR(IF(N59="N/A – rule","N/A – RULE",IF(TRIM(U59)="N/A",IF(AT59=0,"INVALID – N/A not permitted for this check",IF(AND(TRIM(AB59)&lt;&gt;"",TRIM(AB59)&lt;&gt;"Closed"),"INVALID – corrective action still open",IF(AND(NOT(OR(LEN(AZ59)&lt;15,ISNUMBER(MATCH(AZ59,L_Placeholder,0)))),NOT(OR(LEN(AU59)&lt;2,ISNUMBER(MATCH(AU59,L_Placeholder,0)))),NOT(OR(LEN(AX59)&lt;2,ISNUMBER(MATCH(AX59,L_Placeholder,0)))),TRIM(AE59)&lt;&gt;TRIM(T59)),"N/A – JUSTIFIED","INVALID – N/A needs a real justification (15+ chars), PIC and a different verifier"))),IF(OR(TRIM(U59)="Pass",TRIM(U59)="Pass after CA"),IF(NOT(ISNUMBER(AD59)),"INVALID – completion time missing",IF(OR(LEN(AU59)&lt;2,ISNUMBER(MATCH(AU59,L_Placeholder,0))),"INVALID – PIC missing",IF(OR(LEN(AV59)&lt;2,ISNUMBER(MATCH(AV59,L_Placeholder,0))),"INVALID – result / assessment missing",IF(OR(OR(LEN(AW59)&lt;3,ISNUMBER(MATCH(AW59,L_Placeholder,0))),SUMPRODUCT(--ISNUMBER(SEARCH(L_EvidencePhrase,AW59)))&gt;0),"INVALID – evidence missing, placeholder or not yet on file",IF(OR(LEN(AX59)&lt;2,ISNUMBER(MATCH(AX59,L_Placeholder,0))),"INVALID – verifier missing",IF(AX59=AU59,"INVALID – verifier must be someone other than the PIC",IF(AND(TRIM(U59)="Pass",SUMPRODUCT(--ISNUMBER(SEARCH(L_ResultBad,AV59)))&gt;0),"INVALID – result describes a problem: use Fail, then Pass after CA",IF(AND(AQ59=1,OR(LEN(AY59)&lt;3,ISNUMBER(MATCH(AY59,L_Placeholder,0)))),"INVALID – batch ID missing or placeholder",IF(AND(AR59=1,OR(NOT(ISNUMBER(X59)),NOT(ISNUMBER(Y59)))),"INVALID – expected/actual qty missing",IF(AND(AR59=1,OR(X59&lt;=0,Y59&lt;0)),"INVALID – expected qty must be above 0 and actual not negative",IF(AH47="N/A – JUSTIFIED","INVALID – preparation row F02-T12-08 is N/A",IF(AND(AR59=1,ISNUMBER(X47),X59&lt;&gt;X47),"INVALID – expected qty differs from preparation check F02-T12-08",IF(BB59&lt;&gt;"",BB59,IF(AND(AS59=1,Documents!$J$6&lt;&gt;"ON FILE"),"INVALID – GLD not on file (Documents sheet)",IF(AND(AS59=2,Documents!$O$6&lt;&gt;"ON FILE"),"INVALID – menu checklist not on file (Documents sheet)",IF(AND(AS59=3,NOT(ISNUMBER(Flights!$AX$6))),"INVALID – enter carrying flight KUL departure (Flights AX)",IF(AND(AS59=3,OR(Flights!$AZ$6&gt;Flights!$AA$6,Flights!$AX$6&lt;Flights!$AA$6-3)),"INVALID – carrying flight (Flights AX) cannot arrive before this leg's STD, or is over 3 days early",IF(AG59&gt;AsOfUTC,"INVALID – completion time is in the future",IF(AND(ISNUMBER(S59),AG59&lt;S59),IF(H59="Physical uplift","INVALID – before uplift window (cannot confirm loading)","INVALID – before valid window"),IF(AG59&gt;Flights!$AA$6,"INVALID – completed after departure (cannot establish readiness)",IF(AND(H59="Preparation",AG59&gt;IF(ISNUMBER(Flights!$BA$6),MIN(Flights!$BA$6,Flights!$AA$6),Flights!$AA$6)),"INVALID – completed after loading / departure (cannot establish readiness)",IF(AND(H59="Physical uplift",AG59&gt;Q59),"INVALID – recorded after the loading flight departed",IF(AG59&gt;Q59,"COMPLETE – LATE","COMPLETE"))))))))))))))))))))))),IF(TRIM(U59)="Fail","FAIL – DISCREPANCY",IF(AND(TRIM(U59)&lt;&gt;"",TRIM(U59)&lt;&gt;"Not started",TRIM(U59)&lt;&gt;"In progress"),"INVALID – unrecognised status (use the list)",IF(AsOfUTC&gt;Q59,"OVERDUE",IF(N59="Clarification required","OPEN – CLARIFICATION","OPEN"))))))),"INVALID – error value in an input cell")</f>
        <v>OPEN</v>
      </c>
      <c r="AI59" s="61" t="n">
        <f aca="false">IF(OR(AH59="N/A – RULE",AH59="N/A – JUSTIFIED"),0,1)</f>
        <v>1</v>
      </c>
      <c r="AJ59" s="61" t="n">
        <f aca="false">IF(LEFT(AH59,8)="COMPLETE",1,0)</f>
        <v>0</v>
      </c>
      <c r="AK59" s="61" t="n">
        <f aca="false">IF(AND(AI59=1,AJ59=0,AsOfUTC&gt;Q59),1,0)</f>
        <v>0</v>
      </c>
      <c r="AL59" s="61" t="n">
        <f aca="false">IFERROR(IF(AND(AI59=1,OR(TRIM(U59)="Fail",AND(TRIM(AB59)&lt;&gt;"",TRIM(AB59)&lt;&gt;"Closed"),AND(ISNUMBER(AF59),AF59&lt;&gt;0,TRIM(U59)&lt;&gt;"Pass after CA"))),1,0),1)</f>
        <v>0</v>
      </c>
      <c r="AM59" s="61" t="n">
        <f aca="false">IF(LEFT(AH59,7)="INVALID",1,0)</f>
        <v>0</v>
      </c>
      <c r="AN59" s="61" t="n">
        <f aca="false">IF(AND(N59="Clarification required",AI59=1,AJ59=0),1,0)</f>
        <v>0</v>
      </c>
      <c r="AO59" s="61" t="str">
        <f aca="false">IF(AK59=1,SUM(AK$5:AK59),"")</f>
        <v/>
      </c>
      <c r="AP59" s="61" t="str">
        <f aca="false">IF(AL59=1,SUM(AL$5:AL59),"")</f>
        <v/>
      </c>
      <c r="AQ59" s="61" t="n">
        <v>0</v>
      </c>
      <c r="AR59" s="61" t="n">
        <v>0</v>
      </c>
      <c r="AS59" s="61" t="n">
        <v>0</v>
      </c>
      <c r="AT59" s="61" t="n">
        <v>0</v>
      </c>
      <c r="AU59" s="61" t="str">
        <f aca="false">SUBSTITUTE(SUBSTITUTE(SUBSTITUTE(SUBSTITUTE(SUBSTITUTE(SUBSTITUTE(SUBSTITUTE(SUBSTITUTE(SUBSTITUTE(SUBSTITUTE(SUBSTITUTE(SUBSTITUTE(SUBSTITUTE(LOWER(T59&amp;""),CHAR(160),"")," ",""),".",""),"-",""),"/",""),"?",""),"_",""),",",""),"[",""),"]",""),"(",""),")",""),"*","")</f>
        <v/>
      </c>
      <c r="AV59" s="61" t="str">
        <f aca="false">SUBSTITUTE(SUBSTITUTE(SUBSTITUTE(SUBSTITUTE(SUBSTITUTE(SUBSTITUTE(SUBSTITUTE(SUBSTITUTE(SUBSTITUTE(SUBSTITUTE(SUBSTITUTE(SUBSTITUTE(SUBSTITUTE(LOWER(V59&amp;""),CHAR(160),"")," ",""),".",""),"-",""),"/",""),"?",""),"_",""),",",""),"[",""),"]",""),"(",""),")",""),"*","")</f>
        <v/>
      </c>
      <c r="AW59" s="61" t="str">
        <f aca="false">SUBSTITUTE(SUBSTITUTE(SUBSTITUTE(SUBSTITUTE(SUBSTITUTE(SUBSTITUTE(SUBSTITUTE(SUBSTITUTE(SUBSTITUTE(SUBSTITUTE(SUBSTITUTE(SUBSTITUTE(SUBSTITUTE(LOWER(Z59&amp;""),CHAR(160),"")," ",""),".",""),"-",""),"/",""),"?",""),"_",""),",",""),"[",""),"]",""),"(",""),")",""),"*","")</f>
        <v/>
      </c>
      <c r="AX59" s="61" t="str">
        <f aca="false">SUBSTITUTE(SUBSTITUTE(SUBSTITUTE(SUBSTITUTE(SUBSTITUTE(SUBSTITUTE(SUBSTITUTE(SUBSTITUTE(SUBSTITUTE(SUBSTITUTE(SUBSTITUTE(SUBSTITUTE(SUBSTITUTE(LOWER(AE59&amp;""),CHAR(160),"")," ",""),".",""),"-",""),"/",""),"?",""),"_",""),",",""),"[",""),"]",""),"(",""),")",""),"*","")</f>
        <v/>
      </c>
      <c r="AY59" s="61" t="str">
        <f aca="false">SUBSTITUTE(SUBSTITUTE(SUBSTITUTE(SUBSTITUTE(SUBSTITUTE(SUBSTITUTE(SUBSTITUTE(SUBSTITUTE(SUBSTITUTE(SUBSTITUTE(SUBSTITUTE(SUBSTITUTE(SUBSTITUTE(LOWER(W59&amp;""),CHAR(160),"")," ",""),".",""),"-",""),"/",""),"?",""),"_",""),",",""),"[",""),"]",""),"(",""),")",""),"*","")</f>
        <v/>
      </c>
      <c r="AZ59" s="61" t="str">
        <f aca="false">SUBSTITUTE(SUBSTITUTE(SUBSTITUTE(SUBSTITUTE(SUBSTITUTE(SUBSTITUTE(SUBSTITUTE(SUBSTITUTE(SUBSTITUTE(SUBSTITUTE(SUBSTITUTE(SUBSTITUTE(SUBSTITUTE(LOWER(AC59&amp;""),CHAR(160),"")," ",""),".",""),"-",""),"/",""),"?",""),"_",""),",",""),"[",""),"]",""),"(",""),")",""),"*","")</f>
        <v/>
      </c>
      <c r="BA59" s="61" t="str">
        <f aca="false">SUBSTITUTE(SUBSTITUTE(SUBSTITUTE(SUBSTITUTE(SUBSTITUTE(SUBSTITUTE(SUBSTITUTE(SUBSTITUTE(SUBSTITUTE(SUBSTITUTE(SUBSTITUTE(SUBSTITUTE(SUBSTITUTE(LOWER(AA59&amp;""),CHAR(160),"")," ",""),".",""),"-",""),"/",""),"?",""),"_",""),",",""),"[",""),"]",""),"(",""),")",""),"*","")</f>
        <v/>
      </c>
      <c r="BB59" s="61" t="str">
        <f aca="false">IF(AND(TRIM(U59)="Pass",ISNUMBER(AF59)),IF(AF59&lt;&gt;0,"INVALID – qty variance: use Fail or Pass after CA",""),"")&amp;IF(AND(TRIM(U59)="Pass after CA",ISNUMBER(AF59)),IF(AF59&lt;&gt;0,"INVALID – after the corrective action the actual qty must equal expected (update Actual)",""),"")&amp;IF(AND(TRIM(U59)="Pass",TRIM(AB59)&lt;&gt;"",TRIM(AB59)&lt;&gt;"Closed"),"INVALID – corrective action not closed: use Fail, then Pass after CA","")&amp;IF(AND(TRIM(AA59)&lt;&gt;"",TRIM(AB59)=""),"INVALID – CA status missing for the recorded corrective action","")&amp;IF(AND(TRIM(U59)="Pass after CA",OR(OR(LEN(BA59)&lt;5,ISNUMBER(MATCH(BA59,L_Placeholder,0))),TRIM(AB59)&lt;&gt;"Closed")),"INVALID – corrective action not recorded/closed","")</f>
        <v/>
      </c>
    </row>
    <row r="60" customFormat="false" ht="39.75" hidden="false" customHeight="true" outlineLevel="0" collapsed="false">
      <c r="A60" s="57" t="s">
        <v>514</v>
      </c>
      <c r="B60" s="57" t="s">
        <v>195</v>
      </c>
      <c r="C60" s="57" t="str">
        <f aca="false">Flights!$F$6</f>
        <v>MH0727</v>
      </c>
      <c r="D60" s="58" t="n">
        <f aca="false">Flights!$D$6</f>
        <v>46304</v>
      </c>
      <c r="E60" s="57" t="str">
        <f aca="false">Flights!$G$6&amp;"-"&amp;Flights!$H$6</f>
        <v>KUL-CGK</v>
      </c>
      <c r="F60" s="57" t="str">
        <f aca="false">Flights!$K$6</f>
        <v>BC</v>
      </c>
      <c r="G60" s="57" t="s">
        <v>437</v>
      </c>
      <c r="H60" s="57" t="s">
        <v>438</v>
      </c>
      <c r="I60" s="57" t="s">
        <v>477</v>
      </c>
      <c r="J60" s="57" t="s">
        <v>515</v>
      </c>
      <c r="K60" s="67" t="s">
        <v>479</v>
      </c>
      <c r="L60" s="67" t="s">
        <v>480</v>
      </c>
      <c r="M60" s="67" t="s">
        <v>429</v>
      </c>
      <c r="N60" s="67" t="s">
        <v>361</v>
      </c>
      <c r="O60" s="67"/>
      <c r="P60" s="57" t="s">
        <v>184</v>
      </c>
      <c r="Q60" s="59" t="n">
        <f aca="false">ROUND((Flights!$AF$6)*1440,0)/1440</f>
        <v>46304.5763888889</v>
      </c>
      <c r="R60" s="59" t="n">
        <f aca="false">Q60+(IF(AND(INDEX(TZ_DSTS,MATCH(P60,TZ_STN,0))&lt;&gt;"",Q60&gt;=INDEX(TZ_DSTS,MATCH(P60,TZ_STN,0)),Q60&lt;INDEX(TZ_DSTE,MATCH(P60,TZ_STN,0))),INDEX(TZ_DST,MATCH(P60,TZ_STN,0)),INDEX(TZ_STD,MATCH(P60,TZ_STN,0))))/24</f>
        <v>46304.9097222222</v>
      </c>
      <c r="S60" s="59" t="n">
        <f aca="false">IF(ISNUMBER(Flights!$AZ$6),MAX(Q60-UpliftWindowH/24,Flights!$AZ$6),Q60-UpliftWindowH/24)</f>
        <v>46304.3263888889</v>
      </c>
      <c r="T60" s="60"/>
      <c r="U60" s="60"/>
      <c r="V60" s="60"/>
      <c r="W60" s="61"/>
      <c r="X60" s="60"/>
      <c r="Y60" s="60"/>
      <c r="Z60" s="60"/>
      <c r="AA60" s="60"/>
      <c r="AB60" s="60"/>
      <c r="AC60" s="60"/>
      <c r="AD60" s="66"/>
      <c r="AE60" s="60"/>
      <c r="AF60" s="61" t="str">
        <f aca="false">IF(AND(ISNUMBER(X60),ISNUMBER(Y60)),Y60-X60,"")</f>
        <v/>
      </c>
      <c r="AG60" s="62" t="str">
        <f aca="false">IF(ISNUMBER(AD60),AD60-(IF(AND(INDEX(TZ_DSTS,MATCH(P60,TZ_STN,0))&lt;&gt;"",(AD60-INDEX(TZ_STD,MATCH(P60,TZ_STN,0))/24)&gt;=INDEX(TZ_DSTS,MATCH(P60,TZ_STN,0)),(AD60-INDEX(TZ_STD,MATCH(P60,TZ_STN,0))/24)&lt;INDEX(TZ_DSTE,MATCH(P60,TZ_STN,0))),INDEX(TZ_DST,MATCH(P60,TZ_STN,0)),INDEX(TZ_STD,MATCH(P60,TZ_STN,0))))/24,"")</f>
        <v/>
      </c>
      <c r="AH60" s="65" t="str">
        <f aca="false">IFERROR(IF(N60="N/A – rule","N/A – RULE",IF(TRIM(U60)="N/A",IF(AT60=0,"INVALID – N/A not permitted for this check",IF(AND(TRIM(AB60)&lt;&gt;"",TRIM(AB60)&lt;&gt;"Closed"),"INVALID – corrective action still open",IF(AND(NOT(OR(LEN(AZ60)&lt;15,ISNUMBER(MATCH(AZ60,L_Placeholder,0)))),NOT(OR(LEN(AU60)&lt;2,ISNUMBER(MATCH(AU60,L_Placeholder,0)))),NOT(OR(LEN(AX60)&lt;2,ISNUMBER(MATCH(AX60,L_Placeholder,0)))),TRIM(AE60)&lt;&gt;TRIM(T60)),"N/A – JUSTIFIED","INVALID – N/A needs a real justification (15+ chars), PIC and a different verifier"))),IF(OR(TRIM(U60)="Pass",TRIM(U60)="Pass after CA"),IF(NOT(ISNUMBER(AD60)),"INVALID – completion time missing",IF(OR(LEN(AU60)&lt;2,ISNUMBER(MATCH(AU60,L_Placeholder,0))),"INVALID – PIC missing",IF(OR(LEN(AV60)&lt;2,ISNUMBER(MATCH(AV60,L_Placeholder,0))),"INVALID – result / assessment missing",IF(OR(OR(LEN(AW60)&lt;3,ISNUMBER(MATCH(AW60,L_Placeholder,0))),SUMPRODUCT(--ISNUMBER(SEARCH(L_EvidencePhrase,AW60)))&gt;0),"INVALID – evidence missing, placeholder or not yet on file",IF(OR(LEN(AX60)&lt;2,ISNUMBER(MATCH(AX60,L_Placeholder,0))),"INVALID – verifier missing",IF(AX60=AU60,"INVALID – verifier must be someone other than the PIC",IF(AND(TRIM(U60)="Pass",SUMPRODUCT(--ISNUMBER(SEARCH(L_ResultBad,AV60)))&gt;0),"INVALID – result describes a problem: use Fail, then Pass after CA",IF(AND(AQ60=1,OR(LEN(AY60)&lt;3,ISNUMBER(MATCH(AY60,L_Placeholder,0)))),"INVALID – batch ID missing or placeholder",IF(AND(AR60=1,OR(NOT(ISNUMBER(X60)),NOT(ISNUMBER(Y60)))),"INVALID – expected/actual qty missing",IF(AND(AR60=1,OR(X60&lt;=0,Y60&lt;0)),"INVALID – expected qty must be above 0 and actual not negative",IF(AH48="N/A – JUSTIFIED","INVALID – preparation row F02-T12-09 is N/A",IF(AND(AR60=1,ISNUMBER(X48),X60&lt;&gt;X48),"INVALID – expected qty differs from preparation check F02-T12-09",IF(BB60&lt;&gt;"",BB60,IF(AND(AS60=1,Documents!$J$6&lt;&gt;"ON FILE"),"INVALID – GLD not on file (Documents sheet)",IF(AND(AS60=2,Documents!$O$6&lt;&gt;"ON FILE"),"INVALID – menu checklist not on file (Documents sheet)",IF(AND(AS60=3,NOT(ISNUMBER(Flights!$AX$6))),"INVALID – enter carrying flight KUL departure (Flights AX)",IF(AND(AS60=3,OR(Flights!$AZ$6&gt;Flights!$AA$6,Flights!$AX$6&lt;Flights!$AA$6-3)),"INVALID – carrying flight (Flights AX) cannot arrive before this leg's STD, or is over 3 days early",IF(AG60&gt;AsOfUTC,"INVALID – completion time is in the future",IF(AND(ISNUMBER(S60),AG60&lt;S60),IF(H60="Physical uplift","INVALID – before uplift window (cannot confirm loading)","INVALID – before valid window"),IF(AG60&gt;Flights!$AA$6,"INVALID – completed after departure (cannot establish readiness)",IF(AND(H60="Preparation",AG60&gt;IF(ISNUMBER(Flights!$BA$6),MIN(Flights!$BA$6,Flights!$AA$6),Flights!$AA$6)),"INVALID – completed after loading / departure (cannot establish readiness)",IF(AND(H60="Physical uplift",AG60&gt;Q60),"INVALID – recorded after the loading flight departed",IF(AG60&gt;Q60,"COMPLETE – LATE","COMPLETE"))))))))))))))))))))))),IF(TRIM(U60)="Fail","FAIL – DISCREPANCY",IF(AND(TRIM(U60)&lt;&gt;"",TRIM(U60)&lt;&gt;"Not started",TRIM(U60)&lt;&gt;"In progress"),"INVALID – unrecognised status (use the list)",IF(AsOfUTC&gt;Q60,"OVERDUE",IF(N60="Clarification required","OPEN – CLARIFICATION","OPEN"))))))),"INVALID – error value in an input cell")</f>
        <v>OPEN</v>
      </c>
      <c r="AI60" s="61" t="n">
        <f aca="false">IF(OR(AH60="N/A – RULE",AH60="N/A – JUSTIFIED"),0,1)</f>
        <v>1</v>
      </c>
      <c r="AJ60" s="61" t="n">
        <f aca="false">IF(LEFT(AH60,8)="COMPLETE",1,0)</f>
        <v>0</v>
      </c>
      <c r="AK60" s="61" t="n">
        <f aca="false">IF(AND(AI60=1,AJ60=0,AsOfUTC&gt;Q60),1,0)</f>
        <v>0</v>
      </c>
      <c r="AL60" s="61" t="n">
        <f aca="false">IFERROR(IF(AND(AI60=1,OR(TRIM(U60)="Fail",AND(TRIM(AB60)&lt;&gt;"",TRIM(AB60)&lt;&gt;"Closed"),AND(ISNUMBER(AF60),AF60&lt;&gt;0,TRIM(U60)&lt;&gt;"Pass after CA"))),1,0),1)</f>
        <v>0</v>
      </c>
      <c r="AM60" s="61" t="n">
        <f aca="false">IF(LEFT(AH60,7)="INVALID",1,0)</f>
        <v>0</v>
      </c>
      <c r="AN60" s="61" t="n">
        <f aca="false">IF(AND(N60="Clarification required",AI60=1,AJ60=0),1,0)</f>
        <v>0</v>
      </c>
      <c r="AO60" s="61" t="str">
        <f aca="false">IF(AK60=1,SUM(AK$5:AK60),"")</f>
        <v/>
      </c>
      <c r="AP60" s="61" t="str">
        <f aca="false">IF(AL60=1,SUM(AL$5:AL60),"")</f>
        <v/>
      </c>
      <c r="AQ60" s="61" t="n">
        <v>0</v>
      </c>
      <c r="AR60" s="61" t="n">
        <v>0</v>
      </c>
      <c r="AS60" s="61" t="n">
        <v>0</v>
      </c>
      <c r="AT60" s="61" t="n">
        <v>0</v>
      </c>
      <c r="AU60" s="61" t="str">
        <f aca="false">SUBSTITUTE(SUBSTITUTE(SUBSTITUTE(SUBSTITUTE(SUBSTITUTE(SUBSTITUTE(SUBSTITUTE(SUBSTITUTE(SUBSTITUTE(SUBSTITUTE(SUBSTITUTE(SUBSTITUTE(SUBSTITUTE(LOWER(T60&amp;""),CHAR(160),"")," ",""),".",""),"-",""),"/",""),"?",""),"_",""),",",""),"[",""),"]",""),"(",""),")",""),"*","")</f>
        <v/>
      </c>
      <c r="AV60" s="61" t="str">
        <f aca="false">SUBSTITUTE(SUBSTITUTE(SUBSTITUTE(SUBSTITUTE(SUBSTITUTE(SUBSTITUTE(SUBSTITUTE(SUBSTITUTE(SUBSTITUTE(SUBSTITUTE(SUBSTITUTE(SUBSTITUTE(SUBSTITUTE(LOWER(V60&amp;""),CHAR(160),"")," ",""),".",""),"-",""),"/",""),"?",""),"_",""),",",""),"[",""),"]",""),"(",""),")",""),"*","")</f>
        <v/>
      </c>
      <c r="AW60" s="61" t="str">
        <f aca="false">SUBSTITUTE(SUBSTITUTE(SUBSTITUTE(SUBSTITUTE(SUBSTITUTE(SUBSTITUTE(SUBSTITUTE(SUBSTITUTE(SUBSTITUTE(SUBSTITUTE(SUBSTITUTE(SUBSTITUTE(SUBSTITUTE(LOWER(Z60&amp;""),CHAR(160),"")," ",""),".",""),"-",""),"/",""),"?",""),"_",""),",",""),"[",""),"]",""),"(",""),")",""),"*","")</f>
        <v/>
      </c>
      <c r="AX60" s="61" t="str">
        <f aca="false">SUBSTITUTE(SUBSTITUTE(SUBSTITUTE(SUBSTITUTE(SUBSTITUTE(SUBSTITUTE(SUBSTITUTE(SUBSTITUTE(SUBSTITUTE(SUBSTITUTE(SUBSTITUTE(SUBSTITUTE(SUBSTITUTE(LOWER(AE60&amp;""),CHAR(160),"")," ",""),".",""),"-",""),"/",""),"?",""),"_",""),",",""),"[",""),"]",""),"(",""),")",""),"*","")</f>
        <v/>
      </c>
      <c r="AY60" s="61" t="str">
        <f aca="false">SUBSTITUTE(SUBSTITUTE(SUBSTITUTE(SUBSTITUTE(SUBSTITUTE(SUBSTITUTE(SUBSTITUTE(SUBSTITUTE(SUBSTITUTE(SUBSTITUTE(SUBSTITUTE(SUBSTITUTE(SUBSTITUTE(LOWER(W60&amp;""),CHAR(160),"")," ",""),".",""),"-",""),"/",""),"?",""),"_",""),",",""),"[",""),"]",""),"(",""),")",""),"*","")</f>
        <v/>
      </c>
      <c r="AZ60" s="61" t="str">
        <f aca="false">SUBSTITUTE(SUBSTITUTE(SUBSTITUTE(SUBSTITUTE(SUBSTITUTE(SUBSTITUTE(SUBSTITUTE(SUBSTITUTE(SUBSTITUTE(SUBSTITUTE(SUBSTITUTE(SUBSTITUTE(SUBSTITUTE(LOWER(AC60&amp;""),CHAR(160),"")," ",""),".",""),"-",""),"/",""),"?",""),"_",""),",",""),"[",""),"]",""),"(",""),")",""),"*","")</f>
        <v/>
      </c>
      <c r="BA60" s="61" t="str">
        <f aca="false">SUBSTITUTE(SUBSTITUTE(SUBSTITUTE(SUBSTITUTE(SUBSTITUTE(SUBSTITUTE(SUBSTITUTE(SUBSTITUTE(SUBSTITUTE(SUBSTITUTE(SUBSTITUTE(SUBSTITUTE(SUBSTITUTE(LOWER(AA60&amp;""),CHAR(160),"")," ",""),".",""),"-",""),"/",""),"?",""),"_",""),",",""),"[",""),"]",""),"(",""),")",""),"*","")</f>
        <v/>
      </c>
      <c r="BB60" s="61" t="str">
        <f aca="false">IF(AND(TRIM(U60)="Pass",ISNUMBER(AF60)),IF(AF60&lt;&gt;0,"INVALID – qty variance: use Fail or Pass after CA",""),"")&amp;IF(AND(TRIM(U60)="Pass after CA",ISNUMBER(AF60)),IF(AF60&lt;&gt;0,"INVALID – after the corrective action the actual qty must equal expected (update Actual)",""),"")&amp;IF(AND(TRIM(U60)="Pass",TRIM(AB60)&lt;&gt;"",TRIM(AB60)&lt;&gt;"Closed"),"INVALID – corrective action not closed: use Fail, then Pass after CA","")&amp;IF(AND(TRIM(AA60)&lt;&gt;"",TRIM(AB60)=""),"INVALID – CA status missing for the recorded corrective action","")&amp;IF(AND(TRIM(U60)="Pass after CA",OR(OR(LEN(BA60)&lt;5,ISNUMBER(MATCH(BA60,L_Placeholder,0))),TRIM(AB60)&lt;&gt;"Closed")),"INVALID – corrective action not recorded/closed","")</f>
        <v/>
      </c>
    </row>
    <row r="61" customFormat="false" ht="39.75" hidden="false" customHeight="true" outlineLevel="0" collapsed="false">
      <c r="A61" s="57" t="s">
        <v>516</v>
      </c>
      <c r="B61" s="57" t="s">
        <v>195</v>
      </c>
      <c r="C61" s="57" t="str">
        <f aca="false">Flights!$F$6</f>
        <v>MH0727</v>
      </c>
      <c r="D61" s="58" t="n">
        <f aca="false">Flights!$D$6</f>
        <v>46304</v>
      </c>
      <c r="E61" s="57" t="str">
        <f aca="false">Flights!$G$6&amp;"-"&amp;Flights!$H$6</f>
        <v>KUL-CGK</v>
      </c>
      <c r="F61" s="57" t="str">
        <f aca="false">Flights!$K$6</f>
        <v>BC</v>
      </c>
      <c r="G61" s="57" t="s">
        <v>437</v>
      </c>
      <c r="H61" s="57" t="s">
        <v>438</v>
      </c>
      <c r="I61" s="57" t="s">
        <v>477</v>
      </c>
      <c r="J61" s="57" t="s">
        <v>517</v>
      </c>
      <c r="K61" s="67" t="s">
        <v>479</v>
      </c>
      <c r="L61" s="67" t="s">
        <v>484</v>
      </c>
      <c r="M61" s="67" t="s">
        <v>429</v>
      </c>
      <c r="N61" s="67" t="s">
        <v>361</v>
      </c>
      <c r="O61" s="67"/>
      <c r="P61" s="57" t="s">
        <v>184</v>
      </c>
      <c r="Q61" s="59" t="n">
        <f aca="false">ROUND((Flights!$AF$6)*1440,0)/1440</f>
        <v>46304.5763888889</v>
      </c>
      <c r="R61" s="59" t="n">
        <f aca="false">Q61+(IF(AND(INDEX(TZ_DSTS,MATCH(P61,TZ_STN,0))&lt;&gt;"",Q61&gt;=INDEX(TZ_DSTS,MATCH(P61,TZ_STN,0)),Q61&lt;INDEX(TZ_DSTE,MATCH(P61,TZ_STN,0))),INDEX(TZ_DST,MATCH(P61,TZ_STN,0)),INDEX(TZ_STD,MATCH(P61,TZ_STN,0))))/24</f>
        <v>46304.9097222222</v>
      </c>
      <c r="S61" s="59" t="n">
        <f aca="false">IF(ISNUMBER(Flights!$AZ$6),MAX(Q61-UpliftWindowH/24,Flights!$AZ$6),Q61-UpliftWindowH/24)</f>
        <v>46304.3263888889</v>
      </c>
      <c r="T61" s="60"/>
      <c r="U61" s="60"/>
      <c r="V61" s="60"/>
      <c r="W61" s="61"/>
      <c r="X61" s="60"/>
      <c r="Y61" s="60"/>
      <c r="Z61" s="60"/>
      <c r="AA61" s="60"/>
      <c r="AB61" s="60"/>
      <c r="AC61" s="60"/>
      <c r="AD61" s="66"/>
      <c r="AE61" s="60"/>
      <c r="AF61" s="61" t="str">
        <f aca="false">IF(AND(ISNUMBER(X61),ISNUMBER(Y61)),Y61-X61,"")</f>
        <v/>
      </c>
      <c r="AG61" s="62" t="str">
        <f aca="false">IF(ISNUMBER(AD61),AD61-(IF(AND(INDEX(TZ_DSTS,MATCH(P61,TZ_STN,0))&lt;&gt;"",(AD61-INDEX(TZ_STD,MATCH(P61,TZ_STN,0))/24)&gt;=INDEX(TZ_DSTS,MATCH(P61,TZ_STN,0)),(AD61-INDEX(TZ_STD,MATCH(P61,TZ_STN,0))/24)&lt;INDEX(TZ_DSTE,MATCH(P61,TZ_STN,0))),INDEX(TZ_DST,MATCH(P61,TZ_STN,0)),INDEX(TZ_STD,MATCH(P61,TZ_STN,0))))/24,"")</f>
        <v/>
      </c>
      <c r="AH61" s="65" t="str">
        <f aca="false">IFERROR(IF(N61="N/A – rule","N/A – RULE",IF(TRIM(U61)="N/A",IF(AT61=0,"INVALID – N/A not permitted for this check",IF(AND(TRIM(AB61)&lt;&gt;"",TRIM(AB61)&lt;&gt;"Closed"),"INVALID – corrective action still open",IF(AND(NOT(OR(LEN(AZ61)&lt;15,ISNUMBER(MATCH(AZ61,L_Placeholder,0)))),NOT(OR(LEN(AU61)&lt;2,ISNUMBER(MATCH(AU61,L_Placeholder,0)))),NOT(OR(LEN(AX61)&lt;2,ISNUMBER(MATCH(AX61,L_Placeholder,0)))),TRIM(AE61)&lt;&gt;TRIM(T61)),"N/A – JUSTIFIED","INVALID – N/A needs a real justification (15+ chars), PIC and a different verifier"))),IF(OR(TRIM(U61)="Pass",TRIM(U61)="Pass after CA"),IF(NOT(ISNUMBER(AD61)),"INVALID – completion time missing",IF(OR(LEN(AU61)&lt;2,ISNUMBER(MATCH(AU61,L_Placeholder,0))),"INVALID – PIC missing",IF(OR(LEN(AV61)&lt;2,ISNUMBER(MATCH(AV61,L_Placeholder,0))),"INVALID – result / assessment missing",IF(OR(OR(LEN(AW61)&lt;3,ISNUMBER(MATCH(AW61,L_Placeholder,0))),SUMPRODUCT(--ISNUMBER(SEARCH(L_EvidencePhrase,AW61)))&gt;0),"INVALID – evidence missing, placeholder or not yet on file",IF(OR(LEN(AX61)&lt;2,ISNUMBER(MATCH(AX61,L_Placeholder,0))),"INVALID – verifier missing",IF(AX61=AU61,"INVALID – verifier must be someone other than the PIC",IF(AND(TRIM(U61)="Pass",SUMPRODUCT(--ISNUMBER(SEARCH(L_ResultBad,AV61)))&gt;0),"INVALID – result describes a problem: use Fail, then Pass after CA",IF(AND(AQ61=1,OR(LEN(AY61)&lt;3,ISNUMBER(MATCH(AY61,L_Placeholder,0)))),"INVALID – batch ID missing or placeholder",IF(AND(AR61=1,OR(NOT(ISNUMBER(X61)),NOT(ISNUMBER(Y61)))),"INVALID – expected/actual qty missing",IF(AND(AR61=1,OR(X61&lt;=0,Y61&lt;0)),"INVALID – expected qty must be above 0 and actual not negative",IF(AH49="N/A – JUSTIFIED","INVALID – preparation row F02-T12-10 is N/A",IF(AND(AR61=1,ISNUMBER(X49),X61&lt;&gt;X49),"INVALID – expected qty differs from preparation check F02-T12-10",IF(BB61&lt;&gt;"",BB61,IF(AND(AS61=1,Documents!$J$6&lt;&gt;"ON FILE"),"INVALID – GLD not on file (Documents sheet)",IF(AND(AS61=2,Documents!$O$6&lt;&gt;"ON FILE"),"INVALID – menu checklist not on file (Documents sheet)",IF(AND(AS61=3,NOT(ISNUMBER(Flights!$AX$6))),"INVALID – enter carrying flight KUL departure (Flights AX)",IF(AND(AS61=3,OR(Flights!$AZ$6&gt;Flights!$AA$6,Flights!$AX$6&lt;Flights!$AA$6-3)),"INVALID – carrying flight (Flights AX) cannot arrive before this leg's STD, or is over 3 days early",IF(AG61&gt;AsOfUTC,"INVALID – completion time is in the future",IF(AND(ISNUMBER(S61),AG61&lt;S61),IF(H61="Physical uplift","INVALID – before uplift window (cannot confirm loading)","INVALID – before valid window"),IF(AG61&gt;Flights!$AA$6,"INVALID – completed after departure (cannot establish readiness)",IF(AND(H61="Preparation",AG61&gt;IF(ISNUMBER(Flights!$BA$6),MIN(Flights!$BA$6,Flights!$AA$6),Flights!$AA$6)),"INVALID – completed after loading / departure (cannot establish readiness)",IF(AND(H61="Physical uplift",AG61&gt;Q61),"INVALID – recorded after the loading flight departed",IF(AG61&gt;Q61,"COMPLETE – LATE","COMPLETE"))))))))))))))))))))))),IF(TRIM(U61)="Fail","FAIL – DISCREPANCY",IF(AND(TRIM(U61)&lt;&gt;"",TRIM(U61)&lt;&gt;"Not started",TRIM(U61)&lt;&gt;"In progress"),"INVALID – unrecognised status (use the list)",IF(AsOfUTC&gt;Q61,"OVERDUE",IF(N61="Clarification required","OPEN – CLARIFICATION","OPEN"))))))),"INVALID – error value in an input cell")</f>
        <v>OPEN</v>
      </c>
      <c r="AI61" s="61" t="n">
        <f aca="false">IF(OR(AH61="N/A – RULE",AH61="N/A – JUSTIFIED"),0,1)</f>
        <v>1</v>
      </c>
      <c r="AJ61" s="61" t="n">
        <f aca="false">IF(LEFT(AH61,8)="COMPLETE",1,0)</f>
        <v>0</v>
      </c>
      <c r="AK61" s="61" t="n">
        <f aca="false">IF(AND(AI61=1,AJ61=0,AsOfUTC&gt;Q61),1,0)</f>
        <v>0</v>
      </c>
      <c r="AL61" s="61" t="n">
        <f aca="false">IFERROR(IF(AND(AI61=1,OR(TRIM(U61)="Fail",AND(TRIM(AB61)&lt;&gt;"",TRIM(AB61)&lt;&gt;"Closed"),AND(ISNUMBER(AF61),AF61&lt;&gt;0,TRIM(U61)&lt;&gt;"Pass after CA"))),1,0),1)</f>
        <v>0</v>
      </c>
      <c r="AM61" s="61" t="n">
        <f aca="false">IF(LEFT(AH61,7)="INVALID",1,0)</f>
        <v>0</v>
      </c>
      <c r="AN61" s="61" t="n">
        <f aca="false">IF(AND(N61="Clarification required",AI61=1,AJ61=0),1,0)</f>
        <v>0</v>
      </c>
      <c r="AO61" s="61" t="str">
        <f aca="false">IF(AK61=1,SUM(AK$5:AK61),"")</f>
        <v/>
      </c>
      <c r="AP61" s="61" t="str">
        <f aca="false">IF(AL61=1,SUM(AL$5:AL61),"")</f>
        <v/>
      </c>
      <c r="AQ61" s="61" t="n">
        <v>0</v>
      </c>
      <c r="AR61" s="61" t="n">
        <v>0</v>
      </c>
      <c r="AS61" s="61" t="n">
        <v>0</v>
      </c>
      <c r="AT61" s="61" t="n">
        <v>0</v>
      </c>
      <c r="AU61" s="61" t="str">
        <f aca="false">SUBSTITUTE(SUBSTITUTE(SUBSTITUTE(SUBSTITUTE(SUBSTITUTE(SUBSTITUTE(SUBSTITUTE(SUBSTITUTE(SUBSTITUTE(SUBSTITUTE(SUBSTITUTE(SUBSTITUTE(SUBSTITUTE(LOWER(T61&amp;""),CHAR(160),"")," ",""),".",""),"-",""),"/",""),"?",""),"_",""),",",""),"[",""),"]",""),"(",""),")",""),"*","")</f>
        <v/>
      </c>
      <c r="AV61" s="61" t="str">
        <f aca="false">SUBSTITUTE(SUBSTITUTE(SUBSTITUTE(SUBSTITUTE(SUBSTITUTE(SUBSTITUTE(SUBSTITUTE(SUBSTITUTE(SUBSTITUTE(SUBSTITUTE(SUBSTITUTE(SUBSTITUTE(SUBSTITUTE(LOWER(V61&amp;""),CHAR(160),"")," ",""),".",""),"-",""),"/",""),"?",""),"_",""),",",""),"[",""),"]",""),"(",""),")",""),"*","")</f>
        <v/>
      </c>
      <c r="AW61" s="61" t="str">
        <f aca="false">SUBSTITUTE(SUBSTITUTE(SUBSTITUTE(SUBSTITUTE(SUBSTITUTE(SUBSTITUTE(SUBSTITUTE(SUBSTITUTE(SUBSTITUTE(SUBSTITUTE(SUBSTITUTE(SUBSTITUTE(SUBSTITUTE(LOWER(Z61&amp;""),CHAR(160),"")," ",""),".",""),"-",""),"/",""),"?",""),"_",""),",",""),"[",""),"]",""),"(",""),")",""),"*","")</f>
        <v/>
      </c>
      <c r="AX61" s="61" t="str">
        <f aca="false">SUBSTITUTE(SUBSTITUTE(SUBSTITUTE(SUBSTITUTE(SUBSTITUTE(SUBSTITUTE(SUBSTITUTE(SUBSTITUTE(SUBSTITUTE(SUBSTITUTE(SUBSTITUTE(SUBSTITUTE(SUBSTITUTE(LOWER(AE61&amp;""),CHAR(160),"")," ",""),".",""),"-",""),"/",""),"?",""),"_",""),",",""),"[",""),"]",""),"(",""),")",""),"*","")</f>
        <v/>
      </c>
      <c r="AY61" s="61" t="str">
        <f aca="false">SUBSTITUTE(SUBSTITUTE(SUBSTITUTE(SUBSTITUTE(SUBSTITUTE(SUBSTITUTE(SUBSTITUTE(SUBSTITUTE(SUBSTITUTE(SUBSTITUTE(SUBSTITUTE(SUBSTITUTE(SUBSTITUTE(LOWER(W61&amp;""),CHAR(160),"")," ",""),".",""),"-",""),"/",""),"?",""),"_",""),",",""),"[",""),"]",""),"(",""),")",""),"*","")</f>
        <v/>
      </c>
      <c r="AZ61" s="61" t="str">
        <f aca="false">SUBSTITUTE(SUBSTITUTE(SUBSTITUTE(SUBSTITUTE(SUBSTITUTE(SUBSTITUTE(SUBSTITUTE(SUBSTITUTE(SUBSTITUTE(SUBSTITUTE(SUBSTITUTE(SUBSTITUTE(SUBSTITUTE(LOWER(AC61&amp;""),CHAR(160),"")," ",""),".",""),"-",""),"/",""),"?",""),"_",""),",",""),"[",""),"]",""),"(",""),")",""),"*","")</f>
        <v/>
      </c>
      <c r="BA61" s="61" t="str">
        <f aca="false">SUBSTITUTE(SUBSTITUTE(SUBSTITUTE(SUBSTITUTE(SUBSTITUTE(SUBSTITUTE(SUBSTITUTE(SUBSTITUTE(SUBSTITUTE(SUBSTITUTE(SUBSTITUTE(SUBSTITUTE(SUBSTITUTE(LOWER(AA61&amp;""),CHAR(160),"")," ",""),".",""),"-",""),"/",""),"?",""),"_",""),",",""),"[",""),"]",""),"(",""),")",""),"*","")</f>
        <v/>
      </c>
      <c r="BB61" s="61" t="str">
        <f aca="false">IF(AND(TRIM(U61)="Pass",ISNUMBER(AF61)),IF(AF61&lt;&gt;0,"INVALID – qty variance: use Fail or Pass after CA",""),"")&amp;IF(AND(TRIM(U61)="Pass after CA",ISNUMBER(AF61)),IF(AF61&lt;&gt;0,"INVALID – after the corrective action the actual qty must equal expected (update Actual)",""),"")&amp;IF(AND(TRIM(U61)="Pass",TRIM(AB61)&lt;&gt;"",TRIM(AB61)&lt;&gt;"Closed"),"INVALID – corrective action not closed: use Fail, then Pass after CA","")&amp;IF(AND(TRIM(AA61)&lt;&gt;"",TRIM(AB61)=""),"INVALID – CA status missing for the recorded corrective action","")&amp;IF(AND(TRIM(U61)="Pass after CA",OR(OR(LEN(BA61)&lt;5,ISNUMBER(MATCH(BA61,L_Placeholder,0))),TRIM(AB61)&lt;&gt;"Closed")),"INVALID – corrective action not recorded/closed","")</f>
        <v/>
      </c>
    </row>
    <row r="62" customFormat="false" ht="39.75" hidden="false" customHeight="true" outlineLevel="0" collapsed="false">
      <c r="A62" s="57" t="s">
        <v>518</v>
      </c>
      <c r="B62" s="57" t="s">
        <v>195</v>
      </c>
      <c r="C62" s="57" t="str">
        <f aca="false">Flights!$F$6</f>
        <v>MH0727</v>
      </c>
      <c r="D62" s="58" t="n">
        <f aca="false">Flights!$D$6</f>
        <v>46304</v>
      </c>
      <c r="E62" s="57" t="str">
        <f aca="false">Flights!$G$6&amp;"-"&amp;Flights!$H$6</f>
        <v>KUL-CGK</v>
      </c>
      <c r="F62" s="57" t="str">
        <f aca="false">Flights!$K$6</f>
        <v>BC</v>
      </c>
      <c r="G62" s="57" t="s">
        <v>437</v>
      </c>
      <c r="H62" s="57" t="s">
        <v>438</v>
      </c>
      <c r="I62" s="57" t="s">
        <v>477</v>
      </c>
      <c r="J62" s="57" t="s">
        <v>519</v>
      </c>
      <c r="K62" s="67" t="s">
        <v>479</v>
      </c>
      <c r="L62" s="67" t="s">
        <v>487</v>
      </c>
      <c r="M62" s="67" t="s">
        <v>429</v>
      </c>
      <c r="N62" s="67" t="s">
        <v>361</v>
      </c>
      <c r="O62" s="67"/>
      <c r="P62" s="57" t="s">
        <v>184</v>
      </c>
      <c r="Q62" s="59" t="n">
        <f aca="false">ROUND((Flights!$AF$6)*1440,0)/1440</f>
        <v>46304.5763888889</v>
      </c>
      <c r="R62" s="59" t="n">
        <f aca="false">Q62+(IF(AND(INDEX(TZ_DSTS,MATCH(P62,TZ_STN,0))&lt;&gt;"",Q62&gt;=INDEX(TZ_DSTS,MATCH(P62,TZ_STN,0)),Q62&lt;INDEX(TZ_DSTE,MATCH(P62,TZ_STN,0))),INDEX(TZ_DST,MATCH(P62,TZ_STN,0)),INDEX(TZ_STD,MATCH(P62,TZ_STN,0))))/24</f>
        <v>46304.9097222222</v>
      </c>
      <c r="S62" s="59" t="n">
        <f aca="false">IF(ISNUMBER(Flights!$AZ$6),MAX(Q62-UpliftWindowH/24,Flights!$AZ$6),Q62-UpliftWindowH/24)</f>
        <v>46304.3263888889</v>
      </c>
      <c r="T62" s="60"/>
      <c r="U62" s="60"/>
      <c r="V62" s="60"/>
      <c r="W62" s="61"/>
      <c r="X62" s="60"/>
      <c r="Y62" s="60"/>
      <c r="Z62" s="60"/>
      <c r="AA62" s="60"/>
      <c r="AB62" s="60"/>
      <c r="AC62" s="60"/>
      <c r="AD62" s="66"/>
      <c r="AE62" s="60"/>
      <c r="AF62" s="61" t="str">
        <f aca="false">IF(AND(ISNUMBER(X62),ISNUMBER(Y62)),Y62-X62,"")</f>
        <v/>
      </c>
      <c r="AG62" s="62" t="str">
        <f aca="false">IF(ISNUMBER(AD62),AD62-(IF(AND(INDEX(TZ_DSTS,MATCH(P62,TZ_STN,0))&lt;&gt;"",(AD62-INDEX(TZ_STD,MATCH(P62,TZ_STN,0))/24)&gt;=INDEX(TZ_DSTS,MATCH(P62,TZ_STN,0)),(AD62-INDEX(TZ_STD,MATCH(P62,TZ_STN,0))/24)&lt;INDEX(TZ_DSTE,MATCH(P62,TZ_STN,0))),INDEX(TZ_DST,MATCH(P62,TZ_STN,0)),INDEX(TZ_STD,MATCH(P62,TZ_STN,0))))/24,"")</f>
        <v/>
      </c>
      <c r="AH62" s="65" t="str">
        <f aca="false">IFERROR(IF(N62="N/A – rule","N/A – RULE",IF(TRIM(U62)="N/A",IF(AT62=0,"INVALID – N/A not permitted for this check",IF(AND(TRIM(AB62)&lt;&gt;"",TRIM(AB62)&lt;&gt;"Closed"),"INVALID – corrective action still open",IF(AND(NOT(OR(LEN(AZ62)&lt;15,ISNUMBER(MATCH(AZ62,L_Placeholder,0)))),NOT(OR(LEN(AU62)&lt;2,ISNUMBER(MATCH(AU62,L_Placeholder,0)))),NOT(OR(LEN(AX62)&lt;2,ISNUMBER(MATCH(AX62,L_Placeholder,0)))),TRIM(AE62)&lt;&gt;TRIM(T62)),"N/A – JUSTIFIED","INVALID – N/A needs a real justification (15+ chars), PIC and a different verifier"))),IF(OR(TRIM(U62)="Pass",TRIM(U62)="Pass after CA"),IF(NOT(ISNUMBER(AD62)),"INVALID – completion time missing",IF(OR(LEN(AU62)&lt;2,ISNUMBER(MATCH(AU62,L_Placeholder,0))),"INVALID – PIC missing",IF(OR(LEN(AV62)&lt;2,ISNUMBER(MATCH(AV62,L_Placeholder,0))),"INVALID – result / assessment missing",IF(OR(OR(LEN(AW62)&lt;3,ISNUMBER(MATCH(AW62,L_Placeholder,0))),SUMPRODUCT(--ISNUMBER(SEARCH(L_EvidencePhrase,AW62)))&gt;0),"INVALID – evidence missing, placeholder or not yet on file",IF(OR(LEN(AX62)&lt;2,ISNUMBER(MATCH(AX62,L_Placeholder,0))),"INVALID – verifier missing",IF(AX62=AU62,"INVALID – verifier must be someone other than the PIC",IF(AND(TRIM(U62)="Pass",SUMPRODUCT(--ISNUMBER(SEARCH(L_ResultBad,AV62)))&gt;0),"INVALID – result describes a problem: use Fail, then Pass after CA",IF(AND(AQ62=1,OR(LEN(AY62)&lt;3,ISNUMBER(MATCH(AY62,L_Placeholder,0)))),"INVALID – batch ID missing or placeholder",IF(AND(AR62=1,OR(NOT(ISNUMBER(X62)),NOT(ISNUMBER(Y62)))),"INVALID – expected/actual qty missing",IF(AND(AR62=1,OR(X62&lt;=0,Y62&lt;0)),"INVALID – expected qty must be above 0 and actual not negative",IF(AH50="N/A – JUSTIFIED","INVALID – preparation row F02-T12-11 is N/A",IF(AND(AR62=1,ISNUMBER(X50),X62&lt;&gt;X50),"INVALID – expected qty differs from preparation check F02-T12-11",IF(BB62&lt;&gt;"",BB62,IF(AND(AS62=1,Documents!$J$6&lt;&gt;"ON FILE"),"INVALID – GLD not on file (Documents sheet)",IF(AND(AS62=2,Documents!$O$6&lt;&gt;"ON FILE"),"INVALID – menu checklist not on file (Documents sheet)",IF(AND(AS62=3,NOT(ISNUMBER(Flights!$AX$6))),"INVALID – enter carrying flight KUL departure (Flights AX)",IF(AND(AS62=3,OR(Flights!$AZ$6&gt;Flights!$AA$6,Flights!$AX$6&lt;Flights!$AA$6-3)),"INVALID – carrying flight (Flights AX) cannot arrive before this leg's STD, or is over 3 days early",IF(AG62&gt;AsOfUTC,"INVALID – completion time is in the future",IF(AND(ISNUMBER(S62),AG62&lt;S62),IF(H62="Physical uplift","INVALID – before uplift window (cannot confirm loading)","INVALID – before valid window"),IF(AG62&gt;Flights!$AA$6,"INVALID – completed after departure (cannot establish readiness)",IF(AND(H62="Preparation",AG62&gt;IF(ISNUMBER(Flights!$BA$6),MIN(Flights!$BA$6,Flights!$AA$6),Flights!$AA$6)),"INVALID – completed after loading / departure (cannot establish readiness)",IF(AND(H62="Physical uplift",AG62&gt;Q62),"INVALID – recorded after the loading flight departed",IF(AG62&gt;Q62,"COMPLETE – LATE","COMPLETE"))))))))))))))))))))))),IF(TRIM(U62)="Fail","FAIL – DISCREPANCY",IF(AND(TRIM(U62)&lt;&gt;"",TRIM(U62)&lt;&gt;"Not started",TRIM(U62)&lt;&gt;"In progress"),"INVALID – unrecognised status (use the list)",IF(AsOfUTC&gt;Q62,"OVERDUE",IF(N62="Clarification required","OPEN – CLARIFICATION","OPEN"))))))),"INVALID – error value in an input cell")</f>
        <v>OPEN</v>
      </c>
      <c r="AI62" s="61" t="n">
        <f aca="false">IF(OR(AH62="N/A – RULE",AH62="N/A – JUSTIFIED"),0,1)</f>
        <v>1</v>
      </c>
      <c r="AJ62" s="61" t="n">
        <f aca="false">IF(LEFT(AH62,8)="COMPLETE",1,0)</f>
        <v>0</v>
      </c>
      <c r="AK62" s="61" t="n">
        <f aca="false">IF(AND(AI62=1,AJ62=0,AsOfUTC&gt;Q62),1,0)</f>
        <v>0</v>
      </c>
      <c r="AL62" s="61" t="n">
        <f aca="false">IFERROR(IF(AND(AI62=1,OR(TRIM(U62)="Fail",AND(TRIM(AB62)&lt;&gt;"",TRIM(AB62)&lt;&gt;"Closed"),AND(ISNUMBER(AF62),AF62&lt;&gt;0,TRIM(U62)&lt;&gt;"Pass after CA"))),1,0),1)</f>
        <v>0</v>
      </c>
      <c r="AM62" s="61" t="n">
        <f aca="false">IF(LEFT(AH62,7)="INVALID",1,0)</f>
        <v>0</v>
      </c>
      <c r="AN62" s="61" t="n">
        <f aca="false">IF(AND(N62="Clarification required",AI62=1,AJ62=0),1,0)</f>
        <v>0</v>
      </c>
      <c r="AO62" s="61" t="str">
        <f aca="false">IF(AK62=1,SUM(AK$5:AK62),"")</f>
        <v/>
      </c>
      <c r="AP62" s="61" t="str">
        <f aca="false">IF(AL62=1,SUM(AL$5:AL62),"")</f>
        <v/>
      </c>
      <c r="AQ62" s="61" t="n">
        <v>0</v>
      </c>
      <c r="AR62" s="61" t="n">
        <v>0</v>
      </c>
      <c r="AS62" s="61" t="n">
        <v>0</v>
      </c>
      <c r="AT62" s="61" t="n">
        <v>0</v>
      </c>
      <c r="AU62" s="61" t="str">
        <f aca="false">SUBSTITUTE(SUBSTITUTE(SUBSTITUTE(SUBSTITUTE(SUBSTITUTE(SUBSTITUTE(SUBSTITUTE(SUBSTITUTE(SUBSTITUTE(SUBSTITUTE(SUBSTITUTE(SUBSTITUTE(SUBSTITUTE(LOWER(T62&amp;""),CHAR(160),"")," ",""),".",""),"-",""),"/",""),"?",""),"_",""),",",""),"[",""),"]",""),"(",""),")",""),"*","")</f>
        <v/>
      </c>
      <c r="AV62" s="61" t="str">
        <f aca="false">SUBSTITUTE(SUBSTITUTE(SUBSTITUTE(SUBSTITUTE(SUBSTITUTE(SUBSTITUTE(SUBSTITUTE(SUBSTITUTE(SUBSTITUTE(SUBSTITUTE(SUBSTITUTE(SUBSTITUTE(SUBSTITUTE(LOWER(V62&amp;""),CHAR(160),"")," ",""),".",""),"-",""),"/",""),"?",""),"_",""),",",""),"[",""),"]",""),"(",""),")",""),"*","")</f>
        <v/>
      </c>
      <c r="AW62" s="61" t="str">
        <f aca="false">SUBSTITUTE(SUBSTITUTE(SUBSTITUTE(SUBSTITUTE(SUBSTITUTE(SUBSTITUTE(SUBSTITUTE(SUBSTITUTE(SUBSTITUTE(SUBSTITUTE(SUBSTITUTE(SUBSTITUTE(SUBSTITUTE(LOWER(Z62&amp;""),CHAR(160),"")," ",""),".",""),"-",""),"/",""),"?",""),"_",""),",",""),"[",""),"]",""),"(",""),")",""),"*","")</f>
        <v/>
      </c>
      <c r="AX62" s="61" t="str">
        <f aca="false">SUBSTITUTE(SUBSTITUTE(SUBSTITUTE(SUBSTITUTE(SUBSTITUTE(SUBSTITUTE(SUBSTITUTE(SUBSTITUTE(SUBSTITUTE(SUBSTITUTE(SUBSTITUTE(SUBSTITUTE(SUBSTITUTE(LOWER(AE62&amp;""),CHAR(160),"")," ",""),".",""),"-",""),"/",""),"?",""),"_",""),",",""),"[",""),"]",""),"(",""),")",""),"*","")</f>
        <v/>
      </c>
      <c r="AY62" s="61" t="str">
        <f aca="false">SUBSTITUTE(SUBSTITUTE(SUBSTITUTE(SUBSTITUTE(SUBSTITUTE(SUBSTITUTE(SUBSTITUTE(SUBSTITUTE(SUBSTITUTE(SUBSTITUTE(SUBSTITUTE(SUBSTITUTE(SUBSTITUTE(LOWER(W62&amp;""),CHAR(160),"")," ",""),".",""),"-",""),"/",""),"?",""),"_",""),",",""),"[",""),"]",""),"(",""),")",""),"*","")</f>
        <v/>
      </c>
      <c r="AZ62" s="61" t="str">
        <f aca="false">SUBSTITUTE(SUBSTITUTE(SUBSTITUTE(SUBSTITUTE(SUBSTITUTE(SUBSTITUTE(SUBSTITUTE(SUBSTITUTE(SUBSTITUTE(SUBSTITUTE(SUBSTITUTE(SUBSTITUTE(SUBSTITUTE(LOWER(AC62&amp;""),CHAR(160),"")," ",""),".",""),"-",""),"/",""),"?",""),"_",""),",",""),"[",""),"]",""),"(",""),")",""),"*","")</f>
        <v/>
      </c>
      <c r="BA62" s="61" t="str">
        <f aca="false">SUBSTITUTE(SUBSTITUTE(SUBSTITUTE(SUBSTITUTE(SUBSTITUTE(SUBSTITUTE(SUBSTITUTE(SUBSTITUTE(SUBSTITUTE(SUBSTITUTE(SUBSTITUTE(SUBSTITUTE(SUBSTITUTE(LOWER(AA62&amp;""),CHAR(160),"")," ",""),".",""),"-",""),"/",""),"?",""),"_",""),",",""),"[",""),"]",""),"(",""),")",""),"*","")</f>
        <v/>
      </c>
      <c r="BB62" s="61" t="str">
        <f aca="false">IF(AND(TRIM(U62)="Pass",ISNUMBER(AF62)),IF(AF62&lt;&gt;0,"INVALID – qty variance: use Fail or Pass after CA",""),"")&amp;IF(AND(TRIM(U62)="Pass after CA",ISNUMBER(AF62)),IF(AF62&lt;&gt;0,"INVALID – after the corrective action the actual qty must equal expected (update Actual)",""),"")&amp;IF(AND(TRIM(U62)="Pass",TRIM(AB62)&lt;&gt;"",TRIM(AB62)&lt;&gt;"Closed"),"INVALID – corrective action not closed: use Fail, then Pass after CA","")&amp;IF(AND(TRIM(AA62)&lt;&gt;"",TRIM(AB62)=""),"INVALID – CA status missing for the recorded corrective action","")&amp;IF(AND(TRIM(U62)="Pass after CA",OR(OR(LEN(BA62)&lt;5,ISNUMBER(MATCH(BA62,L_Placeholder,0))),TRIM(AB62)&lt;&gt;"Closed")),"INVALID – corrective action not recorded/closed","")</f>
        <v/>
      </c>
    </row>
    <row r="63" customFormat="false" ht="78.75" hidden="false" customHeight="true" outlineLevel="0" collapsed="false">
      <c r="A63" s="57" t="s">
        <v>520</v>
      </c>
      <c r="B63" s="57" t="s">
        <v>195</v>
      </c>
      <c r="C63" s="57" t="str">
        <f aca="false">Flights!$F$6</f>
        <v>MH0727</v>
      </c>
      <c r="D63" s="58" t="n">
        <f aca="false">Flights!$D$6</f>
        <v>46304</v>
      </c>
      <c r="E63" s="57" t="str">
        <f aca="false">Flights!$G$6&amp;"-"&amp;Flights!$H$6</f>
        <v>KUL-CGK</v>
      </c>
      <c r="F63" s="57" t="str">
        <f aca="false">Flights!$K$6</f>
        <v>BC</v>
      </c>
      <c r="G63" s="57" t="s">
        <v>437</v>
      </c>
      <c r="H63" s="57" t="s">
        <v>438</v>
      </c>
      <c r="I63" s="57" t="s">
        <v>477</v>
      </c>
      <c r="J63" s="57" t="s">
        <v>521</v>
      </c>
      <c r="K63" s="67" t="s">
        <v>479</v>
      </c>
      <c r="L63" s="67" t="s">
        <v>490</v>
      </c>
      <c r="M63" s="67" t="s">
        <v>429</v>
      </c>
      <c r="N63" s="67" t="s">
        <v>422</v>
      </c>
      <c r="O63" s="67" t="s">
        <v>522</v>
      </c>
      <c r="P63" s="57" t="s">
        <v>184</v>
      </c>
      <c r="Q63" s="59" t="n">
        <f aca="false">ROUND((Flights!$AF$6)*1440,0)/1440</f>
        <v>46304.5763888889</v>
      </c>
      <c r="R63" s="59" t="n">
        <f aca="false">Q63+(IF(AND(INDEX(TZ_DSTS,MATCH(P63,TZ_STN,0))&lt;&gt;"",Q63&gt;=INDEX(TZ_DSTS,MATCH(P63,TZ_STN,0)),Q63&lt;INDEX(TZ_DSTE,MATCH(P63,TZ_STN,0))),INDEX(TZ_DST,MATCH(P63,TZ_STN,0)),INDEX(TZ_STD,MATCH(P63,TZ_STN,0))))/24</f>
        <v>46304.9097222222</v>
      </c>
      <c r="S63" s="59" t="n">
        <f aca="false">IF(ISNUMBER(Flights!$AZ$6),MAX(Q63-UpliftWindowH/24,Flights!$AZ$6),Q63-UpliftWindowH/24)</f>
        <v>46304.3263888889</v>
      </c>
      <c r="T63" s="60"/>
      <c r="U63" s="60"/>
      <c r="V63" s="60"/>
      <c r="W63" s="61"/>
      <c r="X63" s="60"/>
      <c r="Y63" s="60"/>
      <c r="Z63" s="60"/>
      <c r="AA63" s="60"/>
      <c r="AB63" s="60"/>
      <c r="AC63" s="60"/>
      <c r="AD63" s="66"/>
      <c r="AE63" s="60"/>
      <c r="AF63" s="61" t="str">
        <f aca="false">IF(AND(ISNUMBER(X63),ISNUMBER(Y63)),Y63-X63,"")</f>
        <v/>
      </c>
      <c r="AG63" s="62" t="str">
        <f aca="false">IF(ISNUMBER(AD63),AD63-(IF(AND(INDEX(TZ_DSTS,MATCH(P63,TZ_STN,0))&lt;&gt;"",(AD63-INDEX(TZ_STD,MATCH(P63,TZ_STN,0))/24)&gt;=INDEX(TZ_DSTS,MATCH(P63,TZ_STN,0)),(AD63-INDEX(TZ_STD,MATCH(P63,TZ_STN,0))/24)&lt;INDEX(TZ_DSTE,MATCH(P63,TZ_STN,0))),INDEX(TZ_DST,MATCH(P63,TZ_STN,0)),INDEX(TZ_STD,MATCH(P63,TZ_STN,0))))/24,"")</f>
        <v/>
      </c>
      <c r="AH63" s="65" t="str">
        <f aca="false">IFERROR(IF(N63="N/A – rule","N/A – RULE",IF(TRIM(U63)="N/A",IF(AT63=0,"INVALID – N/A not permitted for this check",IF(AND(TRIM(AB63)&lt;&gt;"",TRIM(AB63)&lt;&gt;"Closed"),"INVALID – corrective action still open",IF(AND(NOT(OR(LEN(AZ63)&lt;15,ISNUMBER(MATCH(AZ63,L_Placeholder,0)))),NOT(OR(LEN(AU63)&lt;2,ISNUMBER(MATCH(AU63,L_Placeholder,0)))),NOT(OR(LEN(AX63)&lt;2,ISNUMBER(MATCH(AX63,L_Placeholder,0)))),TRIM(AE63)&lt;&gt;TRIM(T63)),"N/A – JUSTIFIED","INVALID – N/A needs a real justification (15+ chars), PIC and a different verifier"))),IF(OR(TRIM(U63)="Pass",TRIM(U63)="Pass after CA"),IF(NOT(ISNUMBER(AD63)),"INVALID – completion time missing",IF(OR(LEN(AU63)&lt;2,ISNUMBER(MATCH(AU63,L_Placeholder,0))),"INVALID – PIC missing",IF(OR(LEN(AV63)&lt;2,ISNUMBER(MATCH(AV63,L_Placeholder,0))),"INVALID – result / assessment missing",IF(OR(OR(LEN(AW63)&lt;3,ISNUMBER(MATCH(AW63,L_Placeholder,0))),SUMPRODUCT(--ISNUMBER(SEARCH(L_EvidencePhrase,AW63)))&gt;0),"INVALID – evidence missing, placeholder or not yet on file",IF(OR(LEN(AX63)&lt;2,ISNUMBER(MATCH(AX63,L_Placeholder,0))),"INVALID – verifier missing",IF(AX63=AU63,"INVALID – verifier must be someone other than the PIC",IF(AND(TRIM(U63)="Pass",SUMPRODUCT(--ISNUMBER(SEARCH(L_ResultBad,AV63)))&gt;0),"INVALID – result describes a problem: use Fail, then Pass after CA",IF(AND(AQ63=1,OR(LEN(AY63)&lt;3,ISNUMBER(MATCH(AY63,L_Placeholder,0)))),"INVALID – batch ID missing or placeholder",IF(AND(AR63=1,OR(NOT(ISNUMBER(X63)),NOT(ISNUMBER(Y63)))),"INVALID – expected/actual qty missing",IF(AND(AR63=1,OR(X63&lt;=0,Y63&lt;0)),"INVALID – expected qty must be above 0 and actual not negative",IF(AH51="N/A – JUSTIFIED","INVALID – preparation row F02-T12-12 is N/A",IF(AND(AR63=1,ISNUMBER(X51),X63&lt;&gt;X51),"INVALID – expected qty differs from preparation check F02-T12-12",IF(BB63&lt;&gt;"",BB63,IF(AND(AS63=1,Documents!$J$6&lt;&gt;"ON FILE"),"INVALID – GLD not on file (Documents sheet)",IF(AND(AS63=2,Documents!$O$6&lt;&gt;"ON FILE"),"INVALID – menu checklist not on file (Documents sheet)",IF(AND(AS63=3,NOT(ISNUMBER(Flights!$AX$6))),"INVALID – enter carrying flight KUL departure (Flights AX)",IF(AND(AS63=3,OR(Flights!$AZ$6&gt;Flights!$AA$6,Flights!$AX$6&lt;Flights!$AA$6-3)),"INVALID – carrying flight (Flights AX) cannot arrive before this leg's STD, or is over 3 days early",IF(AG63&gt;AsOfUTC,"INVALID – completion time is in the future",IF(AND(ISNUMBER(S63),AG63&lt;S63),IF(H63="Physical uplift","INVALID – before uplift window (cannot confirm loading)","INVALID – before valid window"),IF(AG63&gt;Flights!$AA$6,"INVALID – completed after departure (cannot establish readiness)",IF(AND(H63="Preparation",AG63&gt;IF(ISNUMBER(Flights!$BA$6),MIN(Flights!$BA$6,Flights!$AA$6),Flights!$AA$6)),"INVALID – completed after loading / departure (cannot establish readiness)",IF(AND(H63="Physical uplift",AG63&gt;Q63),"INVALID – recorded after the loading flight departed",IF(AG63&gt;Q63,"COMPLETE – LATE","COMPLETE"))))))))))))))))))))))),IF(TRIM(U63)="Fail","FAIL – DISCREPANCY",IF(AND(TRIM(U63)&lt;&gt;"",TRIM(U63)&lt;&gt;"Not started",TRIM(U63)&lt;&gt;"In progress"),"INVALID – unrecognised status (use the list)",IF(AsOfUTC&gt;Q63,"OVERDUE",IF(N63="Clarification required","OPEN – CLARIFICATION","OPEN"))))))),"INVALID – error value in an input cell")</f>
        <v>OPEN – CLARIFICATION</v>
      </c>
      <c r="AI63" s="61" t="n">
        <f aca="false">IF(OR(AH63="N/A – RULE",AH63="N/A – JUSTIFIED"),0,1)</f>
        <v>1</v>
      </c>
      <c r="AJ63" s="61" t="n">
        <f aca="false">IF(LEFT(AH63,8)="COMPLETE",1,0)</f>
        <v>0</v>
      </c>
      <c r="AK63" s="61" t="n">
        <f aca="false">IF(AND(AI63=1,AJ63=0,AsOfUTC&gt;Q63),1,0)</f>
        <v>0</v>
      </c>
      <c r="AL63" s="61" t="n">
        <f aca="false">IFERROR(IF(AND(AI63=1,OR(TRIM(U63)="Fail",AND(TRIM(AB63)&lt;&gt;"",TRIM(AB63)&lt;&gt;"Closed"),AND(ISNUMBER(AF63),AF63&lt;&gt;0,TRIM(U63)&lt;&gt;"Pass after CA"))),1,0),1)</f>
        <v>0</v>
      </c>
      <c r="AM63" s="61" t="n">
        <f aca="false">IF(LEFT(AH63,7)="INVALID",1,0)</f>
        <v>0</v>
      </c>
      <c r="AN63" s="61" t="n">
        <f aca="false">IF(AND(N63="Clarification required",AI63=1,AJ63=0),1,0)</f>
        <v>1</v>
      </c>
      <c r="AO63" s="61" t="str">
        <f aca="false">IF(AK63=1,SUM(AK$5:AK63),"")</f>
        <v/>
      </c>
      <c r="AP63" s="61" t="str">
        <f aca="false">IF(AL63=1,SUM(AL$5:AL63),"")</f>
        <v/>
      </c>
      <c r="AQ63" s="61" t="n">
        <v>0</v>
      </c>
      <c r="AR63" s="61" t="n">
        <v>0</v>
      </c>
      <c r="AS63" s="61" t="n">
        <v>0</v>
      </c>
      <c r="AT63" s="61" t="n">
        <v>1</v>
      </c>
      <c r="AU63" s="61" t="str">
        <f aca="false">SUBSTITUTE(SUBSTITUTE(SUBSTITUTE(SUBSTITUTE(SUBSTITUTE(SUBSTITUTE(SUBSTITUTE(SUBSTITUTE(SUBSTITUTE(SUBSTITUTE(SUBSTITUTE(SUBSTITUTE(SUBSTITUTE(LOWER(T63&amp;""),CHAR(160),"")," ",""),".",""),"-",""),"/",""),"?",""),"_",""),",",""),"[",""),"]",""),"(",""),")",""),"*","")</f>
        <v/>
      </c>
      <c r="AV63" s="61" t="str">
        <f aca="false">SUBSTITUTE(SUBSTITUTE(SUBSTITUTE(SUBSTITUTE(SUBSTITUTE(SUBSTITUTE(SUBSTITUTE(SUBSTITUTE(SUBSTITUTE(SUBSTITUTE(SUBSTITUTE(SUBSTITUTE(SUBSTITUTE(LOWER(V63&amp;""),CHAR(160),"")," ",""),".",""),"-",""),"/",""),"?",""),"_",""),",",""),"[",""),"]",""),"(",""),")",""),"*","")</f>
        <v/>
      </c>
      <c r="AW63" s="61" t="str">
        <f aca="false">SUBSTITUTE(SUBSTITUTE(SUBSTITUTE(SUBSTITUTE(SUBSTITUTE(SUBSTITUTE(SUBSTITUTE(SUBSTITUTE(SUBSTITUTE(SUBSTITUTE(SUBSTITUTE(SUBSTITUTE(SUBSTITUTE(LOWER(Z63&amp;""),CHAR(160),"")," ",""),".",""),"-",""),"/",""),"?",""),"_",""),",",""),"[",""),"]",""),"(",""),")",""),"*","")</f>
        <v/>
      </c>
      <c r="AX63" s="61" t="str">
        <f aca="false">SUBSTITUTE(SUBSTITUTE(SUBSTITUTE(SUBSTITUTE(SUBSTITUTE(SUBSTITUTE(SUBSTITUTE(SUBSTITUTE(SUBSTITUTE(SUBSTITUTE(SUBSTITUTE(SUBSTITUTE(SUBSTITUTE(LOWER(AE63&amp;""),CHAR(160),"")," ",""),".",""),"-",""),"/",""),"?",""),"_",""),",",""),"[",""),"]",""),"(",""),")",""),"*","")</f>
        <v/>
      </c>
      <c r="AY63" s="61" t="str">
        <f aca="false">SUBSTITUTE(SUBSTITUTE(SUBSTITUTE(SUBSTITUTE(SUBSTITUTE(SUBSTITUTE(SUBSTITUTE(SUBSTITUTE(SUBSTITUTE(SUBSTITUTE(SUBSTITUTE(SUBSTITUTE(SUBSTITUTE(LOWER(W63&amp;""),CHAR(160),"")," ",""),".",""),"-",""),"/",""),"?",""),"_",""),",",""),"[",""),"]",""),"(",""),")",""),"*","")</f>
        <v/>
      </c>
      <c r="AZ63" s="61" t="str">
        <f aca="false">SUBSTITUTE(SUBSTITUTE(SUBSTITUTE(SUBSTITUTE(SUBSTITUTE(SUBSTITUTE(SUBSTITUTE(SUBSTITUTE(SUBSTITUTE(SUBSTITUTE(SUBSTITUTE(SUBSTITUTE(SUBSTITUTE(LOWER(AC63&amp;""),CHAR(160),"")," ",""),".",""),"-",""),"/",""),"?",""),"_",""),",",""),"[",""),"]",""),"(",""),")",""),"*","")</f>
        <v/>
      </c>
      <c r="BA63" s="61" t="str">
        <f aca="false">SUBSTITUTE(SUBSTITUTE(SUBSTITUTE(SUBSTITUTE(SUBSTITUTE(SUBSTITUTE(SUBSTITUTE(SUBSTITUTE(SUBSTITUTE(SUBSTITUTE(SUBSTITUTE(SUBSTITUTE(SUBSTITUTE(LOWER(AA63&amp;""),CHAR(160),"")," ",""),".",""),"-",""),"/",""),"?",""),"_",""),",",""),"[",""),"]",""),"(",""),")",""),"*","")</f>
        <v/>
      </c>
      <c r="BB63" s="61" t="str">
        <f aca="false">IF(AND(TRIM(U63)="Pass",ISNUMBER(AF63)),IF(AF63&lt;&gt;0,"INVALID – qty variance: use Fail or Pass after CA",""),"")&amp;IF(AND(TRIM(U63)="Pass after CA",ISNUMBER(AF63)),IF(AF63&lt;&gt;0,"INVALID – after the corrective action the actual qty must equal expected (update Actual)",""),"")&amp;IF(AND(TRIM(U63)="Pass",TRIM(AB63)&lt;&gt;"",TRIM(AB63)&lt;&gt;"Closed"),"INVALID – corrective action not closed: use Fail, then Pass after CA","")&amp;IF(AND(TRIM(AA63)&lt;&gt;"",TRIM(AB63)=""),"INVALID – CA status missing for the recorded corrective action","")&amp;IF(AND(TRIM(U63)="Pass after CA",OR(OR(LEN(BA63)&lt;5,ISNUMBER(MATCH(BA63,L_Placeholder,0))),TRIM(AB63)&lt;&gt;"Closed")),"INVALID – corrective action not recorded/closed","")</f>
        <v/>
      </c>
    </row>
    <row r="64" customFormat="false" ht="78.75" hidden="false" customHeight="true" outlineLevel="0" collapsed="false">
      <c r="A64" s="57" t="s">
        <v>523</v>
      </c>
      <c r="B64" s="57" t="s">
        <v>195</v>
      </c>
      <c r="C64" s="57" t="str">
        <f aca="false">Flights!$F$6</f>
        <v>MH0727</v>
      </c>
      <c r="D64" s="58" t="n">
        <f aca="false">Flights!$D$6</f>
        <v>46304</v>
      </c>
      <c r="E64" s="57" t="str">
        <f aca="false">Flights!$G$6&amp;"-"&amp;Flights!$H$6</f>
        <v>KUL-CGK</v>
      </c>
      <c r="F64" s="57" t="str">
        <f aca="false">Flights!$K$6</f>
        <v>BC</v>
      </c>
      <c r="G64" s="57" t="s">
        <v>437</v>
      </c>
      <c r="H64" s="57" t="s">
        <v>438</v>
      </c>
      <c r="I64" s="57" t="s">
        <v>477</v>
      </c>
      <c r="J64" s="57" t="s">
        <v>524</v>
      </c>
      <c r="K64" s="67" t="s">
        <v>479</v>
      </c>
      <c r="L64" s="67" t="s">
        <v>494</v>
      </c>
      <c r="M64" s="67" t="s">
        <v>429</v>
      </c>
      <c r="N64" s="67" t="s">
        <v>422</v>
      </c>
      <c r="O64" s="67" t="s">
        <v>522</v>
      </c>
      <c r="P64" s="57" t="s">
        <v>184</v>
      </c>
      <c r="Q64" s="59" t="n">
        <f aca="false">ROUND((Flights!$AF$6)*1440,0)/1440</f>
        <v>46304.5763888889</v>
      </c>
      <c r="R64" s="59" t="n">
        <f aca="false">Q64+(IF(AND(INDEX(TZ_DSTS,MATCH(P64,TZ_STN,0))&lt;&gt;"",Q64&gt;=INDEX(TZ_DSTS,MATCH(P64,TZ_STN,0)),Q64&lt;INDEX(TZ_DSTE,MATCH(P64,TZ_STN,0))),INDEX(TZ_DST,MATCH(P64,TZ_STN,0)),INDEX(TZ_STD,MATCH(P64,TZ_STN,0))))/24</f>
        <v>46304.9097222222</v>
      </c>
      <c r="S64" s="59" t="n">
        <f aca="false">IF(ISNUMBER(Flights!$AZ$6),MAX(Q64-UpliftWindowH/24,Flights!$AZ$6),Q64-UpliftWindowH/24)</f>
        <v>46304.3263888889</v>
      </c>
      <c r="T64" s="60"/>
      <c r="U64" s="60"/>
      <c r="V64" s="60"/>
      <c r="W64" s="61"/>
      <c r="X64" s="60"/>
      <c r="Y64" s="60"/>
      <c r="Z64" s="60"/>
      <c r="AA64" s="60"/>
      <c r="AB64" s="60"/>
      <c r="AC64" s="60"/>
      <c r="AD64" s="66"/>
      <c r="AE64" s="60"/>
      <c r="AF64" s="61" t="str">
        <f aca="false">IF(AND(ISNUMBER(X64),ISNUMBER(Y64)),Y64-X64,"")</f>
        <v/>
      </c>
      <c r="AG64" s="62" t="str">
        <f aca="false">IF(ISNUMBER(AD64),AD64-(IF(AND(INDEX(TZ_DSTS,MATCH(P64,TZ_STN,0))&lt;&gt;"",(AD64-INDEX(TZ_STD,MATCH(P64,TZ_STN,0))/24)&gt;=INDEX(TZ_DSTS,MATCH(P64,TZ_STN,0)),(AD64-INDEX(TZ_STD,MATCH(P64,TZ_STN,0))/24)&lt;INDEX(TZ_DSTE,MATCH(P64,TZ_STN,0))),INDEX(TZ_DST,MATCH(P64,TZ_STN,0)),INDEX(TZ_STD,MATCH(P64,TZ_STN,0))))/24,"")</f>
        <v/>
      </c>
      <c r="AH64" s="65" t="str">
        <f aca="false">IFERROR(IF(N64="N/A – rule","N/A – RULE",IF(TRIM(U64)="N/A",IF(AT64=0,"INVALID – N/A not permitted for this check",IF(AND(TRIM(AB64)&lt;&gt;"",TRIM(AB64)&lt;&gt;"Closed"),"INVALID – corrective action still open",IF(AND(NOT(OR(LEN(AZ64)&lt;15,ISNUMBER(MATCH(AZ64,L_Placeholder,0)))),NOT(OR(LEN(AU64)&lt;2,ISNUMBER(MATCH(AU64,L_Placeholder,0)))),NOT(OR(LEN(AX64)&lt;2,ISNUMBER(MATCH(AX64,L_Placeholder,0)))),TRIM(AE64)&lt;&gt;TRIM(T64)),"N/A – JUSTIFIED","INVALID – N/A needs a real justification (15+ chars), PIC and a different verifier"))),IF(OR(TRIM(U64)="Pass",TRIM(U64)="Pass after CA"),IF(NOT(ISNUMBER(AD64)),"INVALID – completion time missing",IF(OR(LEN(AU64)&lt;2,ISNUMBER(MATCH(AU64,L_Placeholder,0))),"INVALID – PIC missing",IF(OR(LEN(AV64)&lt;2,ISNUMBER(MATCH(AV64,L_Placeholder,0))),"INVALID – result / assessment missing",IF(OR(OR(LEN(AW64)&lt;3,ISNUMBER(MATCH(AW64,L_Placeholder,0))),SUMPRODUCT(--ISNUMBER(SEARCH(L_EvidencePhrase,AW64)))&gt;0),"INVALID – evidence missing, placeholder or not yet on file",IF(OR(LEN(AX64)&lt;2,ISNUMBER(MATCH(AX64,L_Placeholder,0))),"INVALID – verifier missing",IF(AX64=AU64,"INVALID – verifier must be someone other than the PIC",IF(AND(TRIM(U64)="Pass",SUMPRODUCT(--ISNUMBER(SEARCH(L_ResultBad,AV64)))&gt;0),"INVALID – result describes a problem: use Fail, then Pass after CA",IF(AND(AQ64=1,OR(LEN(AY64)&lt;3,ISNUMBER(MATCH(AY64,L_Placeholder,0)))),"INVALID – batch ID missing or placeholder",IF(AND(AR64=1,OR(NOT(ISNUMBER(X64)),NOT(ISNUMBER(Y64)))),"INVALID – expected/actual qty missing",IF(AND(AR64=1,OR(X64&lt;=0,Y64&lt;0)),"INVALID – expected qty must be above 0 and actual not negative",IF(AH52="N/A – JUSTIFIED","INVALID – preparation row F02-T12-13 is N/A",IF(AND(AR64=1,ISNUMBER(X52),X64&lt;&gt;X52),"INVALID – expected qty differs from preparation check F02-T12-13",IF(BB64&lt;&gt;"",BB64,IF(AND(AS64=1,Documents!$J$6&lt;&gt;"ON FILE"),"INVALID – GLD not on file (Documents sheet)",IF(AND(AS64=2,Documents!$O$6&lt;&gt;"ON FILE"),"INVALID – menu checklist not on file (Documents sheet)",IF(AND(AS64=3,NOT(ISNUMBER(Flights!$AX$6))),"INVALID – enter carrying flight KUL departure (Flights AX)",IF(AND(AS64=3,OR(Flights!$AZ$6&gt;Flights!$AA$6,Flights!$AX$6&lt;Flights!$AA$6-3)),"INVALID – carrying flight (Flights AX) cannot arrive before this leg's STD, or is over 3 days early",IF(AG64&gt;AsOfUTC,"INVALID – completion time is in the future",IF(AND(ISNUMBER(S64),AG64&lt;S64),IF(H64="Physical uplift","INVALID – before uplift window (cannot confirm loading)","INVALID – before valid window"),IF(AG64&gt;Flights!$AA$6,"INVALID – completed after departure (cannot establish readiness)",IF(AND(H64="Preparation",AG64&gt;IF(ISNUMBER(Flights!$BA$6),MIN(Flights!$BA$6,Flights!$AA$6),Flights!$AA$6)),"INVALID – completed after loading / departure (cannot establish readiness)",IF(AND(H64="Physical uplift",AG64&gt;Q64),"INVALID – recorded after the loading flight departed",IF(AG64&gt;Q64,"COMPLETE – LATE","COMPLETE"))))))))))))))))))))))),IF(TRIM(U64)="Fail","FAIL – DISCREPANCY",IF(AND(TRIM(U64)&lt;&gt;"",TRIM(U64)&lt;&gt;"Not started",TRIM(U64)&lt;&gt;"In progress"),"INVALID – unrecognised status (use the list)",IF(AsOfUTC&gt;Q64,"OVERDUE",IF(N64="Clarification required","OPEN – CLARIFICATION","OPEN"))))))),"INVALID – error value in an input cell")</f>
        <v>OPEN – CLARIFICATION</v>
      </c>
      <c r="AI64" s="61" t="n">
        <f aca="false">IF(OR(AH64="N/A – RULE",AH64="N/A – JUSTIFIED"),0,1)</f>
        <v>1</v>
      </c>
      <c r="AJ64" s="61" t="n">
        <f aca="false">IF(LEFT(AH64,8)="COMPLETE",1,0)</f>
        <v>0</v>
      </c>
      <c r="AK64" s="61" t="n">
        <f aca="false">IF(AND(AI64=1,AJ64=0,AsOfUTC&gt;Q64),1,0)</f>
        <v>0</v>
      </c>
      <c r="AL64" s="61" t="n">
        <f aca="false">IFERROR(IF(AND(AI64=1,OR(TRIM(U64)="Fail",AND(TRIM(AB64)&lt;&gt;"",TRIM(AB64)&lt;&gt;"Closed"),AND(ISNUMBER(AF64),AF64&lt;&gt;0,TRIM(U64)&lt;&gt;"Pass after CA"))),1,0),1)</f>
        <v>0</v>
      </c>
      <c r="AM64" s="61" t="n">
        <f aca="false">IF(LEFT(AH64,7)="INVALID",1,0)</f>
        <v>0</v>
      </c>
      <c r="AN64" s="61" t="n">
        <f aca="false">IF(AND(N64="Clarification required",AI64=1,AJ64=0),1,0)</f>
        <v>1</v>
      </c>
      <c r="AO64" s="61" t="str">
        <f aca="false">IF(AK64=1,SUM(AK$5:AK64),"")</f>
        <v/>
      </c>
      <c r="AP64" s="61" t="str">
        <f aca="false">IF(AL64=1,SUM(AL$5:AL64),"")</f>
        <v/>
      </c>
      <c r="AQ64" s="61" t="n">
        <v>0</v>
      </c>
      <c r="AR64" s="61" t="n">
        <v>0</v>
      </c>
      <c r="AS64" s="61" t="n">
        <v>0</v>
      </c>
      <c r="AT64" s="61" t="n">
        <v>1</v>
      </c>
      <c r="AU64" s="61" t="str">
        <f aca="false">SUBSTITUTE(SUBSTITUTE(SUBSTITUTE(SUBSTITUTE(SUBSTITUTE(SUBSTITUTE(SUBSTITUTE(SUBSTITUTE(SUBSTITUTE(SUBSTITUTE(SUBSTITUTE(SUBSTITUTE(SUBSTITUTE(LOWER(T64&amp;""),CHAR(160),"")," ",""),".",""),"-",""),"/",""),"?",""),"_",""),",",""),"[",""),"]",""),"(",""),")",""),"*","")</f>
        <v/>
      </c>
      <c r="AV64" s="61" t="str">
        <f aca="false">SUBSTITUTE(SUBSTITUTE(SUBSTITUTE(SUBSTITUTE(SUBSTITUTE(SUBSTITUTE(SUBSTITUTE(SUBSTITUTE(SUBSTITUTE(SUBSTITUTE(SUBSTITUTE(SUBSTITUTE(SUBSTITUTE(LOWER(V64&amp;""),CHAR(160),"")," ",""),".",""),"-",""),"/",""),"?",""),"_",""),",",""),"[",""),"]",""),"(",""),")",""),"*","")</f>
        <v/>
      </c>
      <c r="AW64" s="61" t="str">
        <f aca="false">SUBSTITUTE(SUBSTITUTE(SUBSTITUTE(SUBSTITUTE(SUBSTITUTE(SUBSTITUTE(SUBSTITUTE(SUBSTITUTE(SUBSTITUTE(SUBSTITUTE(SUBSTITUTE(SUBSTITUTE(SUBSTITUTE(LOWER(Z64&amp;""),CHAR(160),"")," ",""),".",""),"-",""),"/",""),"?",""),"_",""),",",""),"[",""),"]",""),"(",""),")",""),"*","")</f>
        <v/>
      </c>
      <c r="AX64" s="61" t="str">
        <f aca="false">SUBSTITUTE(SUBSTITUTE(SUBSTITUTE(SUBSTITUTE(SUBSTITUTE(SUBSTITUTE(SUBSTITUTE(SUBSTITUTE(SUBSTITUTE(SUBSTITUTE(SUBSTITUTE(SUBSTITUTE(SUBSTITUTE(LOWER(AE64&amp;""),CHAR(160),"")," ",""),".",""),"-",""),"/",""),"?",""),"_",""),",",""),"[",""),"]",""),"(",""),")",""),"*","")</f>
        <v/>
      </c>
      <c r="AY64" s="61" t="str">
        <f aca="false">SUBSTITUTE(SUBSTITUTE(SUBSTITUTE(SUBSTITUTE(SUBSTITUTE(SUBSTITUTE(SUBSTITUTE(SUBSTITUTE(SUBSTITUTE(SUBSTITUTE(SUBSTITUTE(SUBSTITUTE(SUBSTITUTE(LOWER(W64&amp;""),CHAR(160),"")," ",""),".",""),"-",""),"/",""),"?",""),"_",""),",",""),"[",""),"]",""),"(",""),")",""),"*","")</f>
        <v/>
      </c>
      <c r="AZ64" s="61" t="str">
        <f aca="false">SUBSTITUTE(SUBSTITUTE(SUBSTITUTE(SUBSTITUTE(SUBSTITUTE(SUBSTITUTE(SUBSTITUTE(SUBSTITUTE(SUBSTITUTE(SUBSTITUTE(SUBSTITUTE(SUBSTITUTE(SUBSTITUTE(LOWER(AC64&amp;""),CHAR(160),"")," ",""),".",""),"-",""),"/",""),"?",""),"_",""),",",""),"[",""),"]",""),"(",""),")",""),"*","")</f>
        <v/>
      </c>
      <c r="BA64" s="61" t="str">
        <f aca="false">SUBSTITUTE(SUBSTITUTE(SUBSTITUTE(SUBSTITUTE(SUBSTITUTE(SUBSTITUTE(SUBSTITUTE(SUBSTITUTE(SUBSTITUTE(SUBSTITUTE(SUBSTITUTE(SUBSTITUTE(SUBSTITUTE(LOWER(AA64&amp;""),CHAR(160),"")," ",""),".",""),"-",""),"/",""),"?",""),"_",""),",",""),"[",""),"]",""),"(",""),")",""),"*","")</f>
        <v/>
      </c>
      <c r="BB64" s="61" t="str">
        <f aca="false">IF(AND(TRIM(U64)="Pass",ISNUMBER(AF64)),IF(AF64&lt;&gt;0,"INVALID – qty variance: use Fail or Pass after CA",""),"")&amp;IF(AND(TRIM(U64)="Pass after CA",ISNUMBER(AF64)),IF(AF64&lt;&gt;0,"INVALID – after the corrective action the actual qty must equal expected (update Actual)",""),"")&amp;IF(AND(TRIM(U64)="Pass",TRIM(AB64)&lt;&gt;"",TRIM(AB64)&lt;&gt;"Closed"),"INVALID – corrective action not closed: use Fail, then Pass after CA","")&amp;IF(AND(TRIM(AA64)&lt;&gt;"",TRIM(AB64)=""),"INVALID – CA status missing for the recorded corrective action","")&amp;IF(AND(TRIM(U64)="Pass after CA",OR(OR(LEN(BA64)&lt;5,ISNUMBER(MATCH(BA64,L_Placeholder,0))),TRIM(AB64)&lt;&gt;"Closed")),"INVALID – corrective action not recorded/closed","")</f>
        <v/>
      </c>
    </row>
    <row r="65" customFormat="false" ht="39.75" hidden="false" customHeight="true" outlineLevel="0" collapsed="false">
      <c r="A65" s="57" t="s">
        <v>525</v>
      </c>
      <c r="B65" s="57" t="s">
        <v>195</v>
      </c>
      <c r="C65" s="57" t="str">
        <f aca="false">Flights!$F$6</f>
        <v>MH0727</v>
      </c>
      <c r="D65" s="58" t="n">
        <f aca="false">Flights!$D$6</f>
        <v>46304</v>
      </c>
      <c r="E65" s="57" t="str">
        <f aca="false">Flights!$G$6&amp;"-"&amp;Flights!$H$6</f>
        <v>KUL-CGK</v>
      </c>
      <c r="F65" s="57" t="str">
        <f aca="false">Flights!$K$6</f>
        <v>BC</v>
      </c>
      <c r="G65" s="57" t="s">
        <v>437</v>
      </c>
      <c r="H65" s="57" t="s">
        <v>438</v>
      </c>
      <c r="I65" s="57" t="s">
        <v>477</v>
      </c>
      <c r="J65" s="57" t="s">
        <v>526</v>
      </c>
      <c r="K65" s="67" t="s">
        <v>497</v>
      </c>
      <c r="L65" s="67" t="s">
        <v>498</v>
      </c>
      <c r="M65" s="67" t="s">
        <v>429</v>
      </c>
      <c r="N65" s="67" t="s">
        <v>361</v>
      </c>
      <c r="O65" s="67" t="s">
        <v>527</v>
      </c>
      <c r="P65" s="57" t="s">
        <v>184</v>
      </c>
      <c r="Q65" s="59" t="n">
        <f aca="false">ROUND((Flights!$AF$6)*1440,0)/1440</f>
        <v>46304.5763888889</v>
      </c>
      <c r="R65" s="59" t="n">
        <f aca="false">Q65+(IF(AND(INDEX(TZ_DSTS,MATCH(P65,TZ_STN,0))&lt;&gt;"",Q65&gt;=INDEX(TZ_DSTS,MATCH(P65,TZ_STN,0)),Q65&lt;INDEX(TZ_DSTE,MATCH(P65,TZ_STN,0))),INDEX(TZ_DST,MATCH(P65,TZ_STN,0)),INDEX(TZ_STD,MATCH(P65,TZ_STN,0))))/24</f>
        <v>46304.9097222222</v>
      </c>
      <c r="S65" s="59" t="n">
        <f aca="false">IF(ISNUMBER(Flights!$AZ$6),MAX(Q65-UpliftWindowH/24,Flights!$AZ$6),Q65-UpliftWindowH/24)</f>
        <v>46304.3263888889</v>
      </c>
      <c r="T65" s="60"/>
      <c r="U65" s="60"/>
      <c r="V65" s="60"/>
      <c r="W65" s="61"/>
      <c r="X65" s="60"/>
      <c r="Y65" s="60"/>
      <c r="Z65" s="60"/>
      <c r="AA65" s="60"/>
      <c r="AB65" s="60"/>
      <c r="AC65" s="60"/>
      <c r="AD65" s="66"/>
      <c r="AE65" s="60"/>
      <c r="AF65" s="61" t="str">
        <f aca="false">IF(AND(ISNUMBER(X65),ISNUMBER(Y65)),Y65-X65,"")</f>
        <v/>
      </c>
      <c r="AG65" s="62" t="str">
        <f aca="false">IF(ISNUMBER(AD65),AD65-(IF(AND(INDEX(TZ_DSTS,MATCH(P65,TZ_STN,0))&lt;&gt;"",(AD65-INDEX(TZ_STD,MATCH(P65,TZ_STN,0))/24)&gt;=INDEX(TZ_DSTS,MATCH(P65,TZ_STN,0)),(AD65-INDEX(TZ_STD,MATCH(P65,TZ_STN,0))/24)&lt;INDEX(TZ_DSTE,MATCH(P65,TZ_STN,0))),INDEX(TZ_DST,MATCH(P65,TZ_STN,0)),INDEX(TZ_STD,MATCH(P65,TZ_STN,0))))/24,"")</f>
        <v/>
      </c>
      <c r="AH65" s="65" t="str">
        <f aca="false">IFERROR(IF(N65="N/A – rule","N/A – RULE",IF(TRIM(U65)="N/A",IF(AT65=0,"INVALID – N/A not permitted for this check",IF(AND(TRIM(AB65)&lt;&gt;"",TRIM(AB65)&lt;&gt;"Closed"),"INVALID – corrective action still open",IF(AND(NOT(OR(LEN(AZ65)&lt;15,ISNUMBER(MATCH(AZ65,L_Placeholder,0)))),NOT(OR(LEN(AU65)&lt;2,ISNUMBER(MATCH(AU65,L_Placeholder,0)))),NOT(OR(LEN(AX65)&lt;2,ISNUMBER(MATCH(AX65,L_Placeholder,0)))),TRIM(AE65)&lt;&gt;TRIM(T65)),"N/A – JUSTIFIED","INVALID – N/A needs a real justification (15+ chars), PIC and a different verifier"))),IF(OR(TRIM(U65)="Pass",TRIM(U65)="Pass after CA"),IF(NOT(ISNUMBER(AD65)),"INVALID – completion time missing",IF(OR(LEN(AU65)&lt;2,ISNUMBER(MATCH(AU65,L_Placeholder,0))),"INVALID – PIC missing",IF(OR(LEN(AV65)&lt;2,ISNUMBER(MATCH(AV65,L_Placeholder,0))),"INVALID – result / assessment missing",IF(OR(OR(LEN(AW65)&lt;3,ISNUMBER(MATCH(AW65,L_Placeholder,0))),SUMPRODUCT(--ISNUMBER(SEARCH(L_EvidencePhrase,AW65)))&gt;0),"INVALID – evidence missing, placeholder or not yet on file",IF(OR(LEN(AX65)&lt;2,ISNUMBER(MATCH(AX65,L_Placeholder,0))),"INVALID – verifier missing",IF(AX65=AU65,"INVALID – verifier must be someone other than the PIC",IF(AND(TRIM(U65)="Pass",SUMPRODUCT(--ISNUMBER(SEARCH(L_ResultBad,AV65)))&gt;0),"INVALID – result describes a problem: use Fail, then Pass after CA",IF(AND(AQ65=1,OR(LEN(AY65)&lt;3,ISNUMBER(MATCH(AY65,L_Placeholder,0)))),"INVALID – batch ID missing or placeholder",IF(AND(AR65=1,OR(NOT(ISNUMBER(X65)),NOT(ISNUMBER(Y65)))),"INVALID – expected/actual qty missing",IF(AND(AR65=1,OR(X65&lt;=0,Y65&lt;0)),"INVALID – expected qty must be above 0 and actual not negative",IF(AH53="N/A – JUSTIFIED","INVALID – preparation row F02-T12-14 is N/A",IF(AND(AR65=1,ISNUMBER(X53),X65&lt;&gt;X53),"INVALID – expected qty differs from preparation check F02-T12-14",IF(BB65&lt;&gt;"",BB65,IF(AND(AS65=1,Documents!$J$6&lt;&gt;"ON FILE"),"INVALID – GLD not on file (Documents sheet)",IF(AND(AS65=2,Documents!$O$6&lt;&gt;"ON FILE"),"INVALID – menu checklist not on file (Documents sheet)",IF(AND(AS65=3,NOT(ISNUMBER(Flights!$AX$6))),"INVALID – enter carrying flight KUL departure (Flights AX)",IF(AND(AS65=3,OR(Flights!$AZ$6&gt;Flights!$AA$6,Flights!$AX$6&lt;Flights!$AA$6-3)),"INVALID – carrying flight (Flights AX) cannot arrive before this leg's STD, or is over 3 days early",IF(AG65&gt;AsOfUTC,"INVALID – completion time is in the future",IF(AND(ISNUMBER(S65),AG65&lt;S65),IF(H65="Physical uplift","INVALID – before uplift window (cannot confirm loading)","INVALID – before valid window"),IF(AG65&gt;Flights!$AA$6,"INVALID – completed after departure (cannot establish readiness)",IF(AND(H65="Preparation",AG65&gt;IF(ISNUMBER(Flights!$BA$6),MIN(Flights!$BA$6,Flights!$AA$6),Flights!$AA$6)),"INVALID – completed after loading / departure (cannot establish readiness)",IF(AND(H65="Physical uplift",AG65&gt;Q65),"INVALID – recorded after the loading flight departed",IF(AG65&gt;Q65,"COMPLETE – LATE","COMPLETE"))))))))))))))))))))))),IF(TRIM(U65)="Fail","FAIL – DISCREPANCY",IF(AND(TRIM(U65)&lt;&gt;"",TRIM(U65)&lt;&gt;"Not started",TRIM(U65)&lt;&gt;"In progress"),"INVALID – unrecognised status (use the list)",IF(AsOfUTC&gt;Q65,"OVERDUE",IF(N65="Clarification required","OPEN – CLARIFICATION","OPEN"))))))),"INVALID – error value in an input cell")</f>
        <v>OPEN</v>
      </c>
      <c r="AI65" s="61" t="n">
        <f aca="false">IF(OR(AH65="N/A – RULE",AH65="N/A – JUSTIFIED"),0,1)</f>
        <v>1</v>
      </c>
      <c r="AJ65" s="61" t="n">
        <f aca="false">IF(LEFT(AH65,8)="COMPLETE",1,0)</f>
        <v>0</v>
      </c>
      <c r="AK65" s="61" t="n">
        <f aca="false">IF(AND(AI65=1,AJ65=0,AsOfUTC&gt;Q65),1,0)</f>
        <v>0</v>
      </c>
      <c r="AL65" s="61" t="n">
        <f aca="false">IFERROR(IF(AND(AI65=1,OR(TRIM(U65)="Fail",AND(TRIM(AB65)&lt;&gt;"",TRIM(AB65)&lt;&gt;"Closed"),AND(ISNUMBER(AF65),AF65&lt;&gt;0,TRIM(U65)&lt;&gt;"Pass after CA"))),1,0),1)</f>
        <v>0</v>
      </c>
      <c r="AM65" s="61" t="n">
        <f aca="false">IF(LEFT(AH65,7)="INVALID",1,0)</f>
        <v>0</v>
      </c>
      <c r="AN65" s="61" t="n">
        <f aca="false">IF(AND(N65="Clarification required",AI65=1,AJ65=0),1,0)</f>
        <v>0</v>
      </c>
      <c r="AO65" s="61" t="str">
        <f aca="false">IF(AK65=1,SUM(AK$5:AK65),"")</f>
        <v/>
      </c>
      <c r="AP65" s="61" t="str">
        <f aca="false">IF(AL65=1,SUM(AL$5:AL65),"")</f>
        <v/>
      </c>
      <c r="AQ65" s="61" t="n">
        <v>0</v>
      </c>
      <c r="AR65" s="61" t="n">
        <v>0</v>
      </c>
      <c r="AS65" s="61" t="n">
        <v>0</v>
      </c>
      <c r="AT65" s="61" t="n">
        <v>0</v>
      </c>
      <c r="AU65" s="61" t="str">
        <f aca="false">SUBSTITUTE(SUBSTITUTE(SUBSTITUTE(SUBSTITUTE(SUBSTITUTE(SUBSTITUTE(SUBSTITUTE(SUBSTITUTE(SUBSTITUTE(SUBSTITUTE(SUBSTITUTE(SUBSTITUTE(SUBSTITUTE(LOWER(T65&amp;""),CHAR(160),"")," ",""),".",""),"-",""),"/",""),"?",""),"_",""),",",""),"[",""),"]",""),"(",""),")",""),"*","")</f>
        <v/>
      </c>
      <c r="AV65" s="61" t="str">
        <f aca="false">SUBSTITUTE(SUBSTITUTE(SUBSTITUTE(SUBSTITUTE(SUBSTITUTE(SUBSTITUTE(SUBSTITUTE(SUBSTITUTE(SUBSTITUTE(SUBSTITUTE(SUBSTITUTE(SUBSTITUTE(SUBSTITUTE(LOWER(V65&amp;""),CHAR(160),"")," ",""),".",""),"-",""),"/",""),"?",""),"_",""),",",""),"[",""),"]",""),"(",""),")",""),"*","")</f>
        <v/>
      </c>
      <c r="AW65" s="61" t="str">
        <f aca="false">SUBSTITUTE(SUBSTITUTE(SUBSTITUTE(SUBSTITUTE(SUBSTITUTE(SUBSTITUTE(SUBSTITUTE(SUBSTITUTE(SUBSTITUTE(SUBSTITUTE(SUBSTITUTE(SUBSTITUTE(SUBSTITUTE(LOWER(Z65&amp;""),CHAR(160),"")," ",""),".",""),"-",""),"/",""),"?",""),"_",""),",",""),"[",""),"]",""),"(",""),")",""),"*","")</f>
        <v/>
      </c>
      <c r="AX65" s="61" t="str">
        <f aca="false">SUBSTITUTE(SUBSTITUTE(SUBSTITUTE(SUBSTITUTE(SUBSTITUTE(SUBSTITUTE(SUBSTITUTE(SUBSTITUTE(SUBSTITUTE(SUBSTITUTE(SUBSTITUTE(SUBSTITUTE(SUBSTITUTE(LOWER(AE65&amp;""),CHAR(160),"")," ",""),".",""),"-",""),"/",""),"?",""),"_",""),",",""),"[",""),"]",""),"(",""),")",""),"*","")</f>
        <v/>
      </c>
      <c r="AY65" s="61" t="str">
        <f aca="false">SUBSTITUTE(SUBSTITUTE(SUBSTITUTE(SUBSTITUTE(SUBSTITUTE(SUBSTITUTE(SUBSTITUTE(SUBSTITUTE(SUBSTITUTE(SUBSTITUTE(SUBSTITUTE(SUBSTITUTE(SUBSTITUTE(LOWER(W65&amp;""),CHAR(160),"")," ",""),".",""),"-",""),"/",""),"?",""),"_",""),",",""),"[",""),"]",""),"(",""),")",""),"*","")</f>
        <v/>
      </c>
      <c r="AZ65" s="61" t="str">
        <f aca="false">SUBSTITUTE(SUBSTITUTE(SUBSTITUTE(SUBSTITUTE(SUBSTITUTE(SUBSTITUTE(SUBSTITUTE(SUBSTITUTE(SUBSTITUTE(SUBSTITUTE(SUBSTITUTE(SUBSTITUTE(SUBSTITUTE(LOWER(AC65&amp;""),CHAR(160),"")," ",""),".",""),"-",""),"/",""),"?",""),"_",""),",",""),"[",""),"]",""),"(",""),")",""),"*","")</f>
        <v/>
      </c>
      <c r="BA65" s="61" t="str">
        <f aca="false">SUBSTITUTE(SUBSTITUTE(SUBSTITUTE(SUBSTITUTE(SUBSTITUTE(SUBSTITUTE(SUBSTITUTE(SUBSTITUTE(SUBSTITUTE(SUBSTITUTE(SUBSTITUTE(SUBSTITUTE(SUBSTITUTE(LOWER(AA65&amp;""),CHAR(160),"")," ",""),".",""),"-",""),"/",""),"?",""),"_",""),",",""),"[",""),"]",""),"(",""),")",""),"*","")</f>
        <v/>
      </c>
      <c r="BB65" s="61" t="str">
        <f aca="false">IF(AND(TRIM(U65)="Pass",ISNUMBER(AF65)),IF(AF65&lt;&gt;0,"INVALID – qty variance: use Fail or Pass after CA",""),"")&amp;IF(AND(TRIM(U65)="Pass after CA",ISNUMBER(AF65)),IF(AF65&lt;&gt;0,"INVALID – after the corrective action the actual qty must equal expected (update Actual)",""),"")&amp;IF(AND(TRIM(U65)="Pass",TRIM(AB65)&lt;&gt;"",TRIM(AB65)&lt;&gt;"Closed"),"INVALID – corrective action not closed: use Fail, then Pass after CA","")&amp;IF(AND(TRIM(AA65)&lt;&gt;"",TRIM(AB65)=""),"INVALID – CA status missing for the recorded corrective action","")&amp;IF(AND(TRIM(U65)="Pass after CA",OR(OR(LEN(BA65)&lt;5,ISNUMBER(MATCH(BA65,L_Placeholder,0))),TRIM(AB65)&lt;&gt;"Closed")),"INVALID – corrective action not recorded/closed","")</f>
        <v/>
      </c>
    </row>
    <row r="66" customFormat="false" ht="39.75" hidden="false" customHeight="true" outlineLevel="0" collapsed="false">
      <c r="A66" s="57" t="s">
        <v>528</v>
      </c>
      <c r="B66" s="57" t="s">
        <v>195</v>
      </c>
      <c r="C66" s="57" t="str">
        <f aca="false">Flights!$F$6</f>
        <v>MH0727</v>
      </c>
      <c r="D66" s="58" t="n">
        <f aca="false">Flights!$D$6</f>
        <v>46304</v>
      </c>
      <c r="E66" s="57" t="str">
        <f aca="false">Flights!$G$6&amp;"-"&amp;Flights!$H$6</f>
        <v>KUL-CGK</v>
      </c>
      <c r="F66" s="57" t="str">
        <f aca="false">Flights!$K$6</f>
        <v>BC</v>
      </c>
      <c r="G66" s="57" t="s">
        <v>437</v>
      </c>
      <c r="H66" s="57" t="s">
        <v>438</v>
      </c>
      <c r="I66" s="57" t="s">
        <v>477</v>
      </c>
      <c r="J66" s="57" t="s">
        <v>529</v>
      </c>
      <c r="K66" s="67" t="s">
        <v>479</v>
      </c>
      <c r="L66" s="67" t="s">
        <v>502</v>
      </c>
      <c r="M66" s="67" t="s">
        <v>429</v>
      </c>
      <c r="N66" s="67" t="s">
        <v>361</v>
      </c>
      <c r="O66" s="67"/>
      <c r="P66" s="57" t="s">
        <v>184</v>
      </c>
      <c r="Q66" s="59" t="n">
        <f aca="false">ROUND((Flights!$AF$6)*1440,0)/1440</f>
        <v>46304.5763888889</v>
      </c>
      <c r="R66" s="59" t="n">
        <f aca="false">Q66+(IF(AND(INDEX(TZ_DSTS,MATCH(P66,TZ_STN,0))&lt;&gt;"",Q66&gt;=INDEX(TZ_DSTS,MATCH(P66,TZ_STN,0)),Q66&lt;INDEX(TZ_DSTE,MATCH(P66,TZ_STN,0))),INDEX(TZ_DST,MATCH(P66,TZ_STN,0)),INDEX(TZ_STD,MATCH(P66,TZ_STN,0))))/24</f>
        <v>46304.9097222222</v>
      </c>
      <c r="S66" s="59" t="n">
        <f aca="false">IF(ISNUMBER(Flights!$AZ$6),MAX(Q66-UpliftWindowH/24,Flights!$AZ$6),Q66-UpliftWindowH/24)</f>
        <v>46304.3263888889</v>
      </c>
      <c r="T66" s="60"/>
      <c r="U66" s="60"/>
      <c r="V66" s="60"/>
      <c r="W66" s="61"/>
      <c r="X66" s="60"/>
      <c r="Y66" s="60"/>
      <c r="Z66" s="60"/>
      <c r="AA66" s="60"/>
      <c r="AB66" s="60"/>
      <c r="AC66" s="60"/>
      <c r="AD66" s="66"/>
      <c r="AE66" s="60"/>
      <c r="AF66" s="61" t="str">
        <f aca="false">IF(AND(ISNUMBER(X66),ISNUMBER(Y66)),Y66-X66,"")</f>
        <v/>
      </c>
      <c r="AG66" s="62" t="str">
        <f aca="false">IF(ISNUMBER(AD66),AD66-(IF(AND(INDEX(TZ_DSTS,MATCH(P66,TZ_STN,0))&lt;&gt;"",(AD66-INDEX(TZ_STD,MATCH(P66,TZ_STN,0))/24)&gt;=INDEX(TZ_DSTS,MATCH(P66,TZ_STN,0)),(AD66-INDEX(TZ_STD,MATCH(P66,TZ_STN,0))/24)&lt;INDEX(TZ_DSTE,MATCH(P66,TZ_STN,0))),INDEX(TZ_DST,MATCH(P66,TZ_STN,0)),INDEX(TZ_STD,MATCH(P66,TZ_STN,0))))/24,"")</f>
        <v/>
      </c>
      <c r="AH66" s="65" t="str">
        <f aca="false">IFERROR(IF(N66="N/A – rule","N/A – RULE",IF(TRIM(U66)="N/A",IF(AT66=0,"INVALID – N/A not permitted for this check",IF(AND(TRIM(AB66)&lt;&gt;"",TRIM(AB66)&lt;&gt;"Closed"),"INVALID – corrective action still open",IF(AND(NOT(OR(LEN(AZ66)&lt;15,ISNUMBER(MATCH(AZ66,L_Placeholder,0)))),NOT(OR(LEN(AU66)&lt;2,ISNUMBER(MATCH(AU66,L_Placeholder,0)))),NOT(OR(LEN(AX66)&lt;2,ISNUMBER(MATCH(AX66,L_Placeholder,0)))),TRIM(AE66)&lt;&gt;TRIM(T66)),"N/A – JUSTIFIED","INVALID – N/A needs a real justification (15+ chars), PIC and a different verifier"))),IF(OR(TRIM(U66)="Pass",TRIM(U66)="Pass after CA"),IF(NOT(ISNUMBER(AD66)),"INVALID – completion time missing",IF(OR(LEN(AU66)&lt;2,ISNUMBER(MATCH(AU66,L_Placeholder,0))),"INVALID – PIC missing",IF(OR(LEN(AV66)&lt;2,ISNUMBER(MATCH(AV66,L_Placeholder,0))),"INVALID – result / assessment missing",IF(OR(OR(LEN(AW66)&lt;3,ISNUMBER(MATCH(AW66,L_Placeholder,0))),SUMPRODUCT(--ISNUMBER(SEARCH(L_EvidencePhrase,AW66)))&gt;0),"INVALID – evidence missing, placeholder or not yet on file",IF(OR(LEN(AX66)&lt;2,ISNUMBER(MATCH(AX66,L_Placeholder,0))),"INVALID – verifier missing",IF(AX66=AU66,"INVALID – verifier must be someone other than the PIC",IF(AND(TRIM(U66)="Pass",SUMPRODUCT(--ISNUMBER(SEARCH(L_ResultBad,AV66)))&gt;0),"INVALID – result describes a problem: use Fail, then Pass after CA",IF(AND(AQ66=1,OR(LEN(AY66)&lt;3,ISNUMBER(MATCH(AY66,L_Placeholder,0)))),"INVALID – batch ID missing or placeholder",IF(AND(AR66=1,OR(NOT(ISNUMBER(X66)),NOT(ISNUMBER(Y66)))),"INVALID – expected/actual qty missing",IF(AND(AR66=1,OR(X66&lt;=0,Y66&lt;0)),"INVALID – expected qty must be above 0 and actual not negative",IF(AH54="N/A – JUSTIFIED","INVALID – preparation row F02-T12-15 is N/A",IF(AND(AR66=1,ISNUMBER(X54),X66&lt;&gt;X54),"INVALID – expected qty differs from preparation check F02-T12-15",IF(BB66&lt;&gt;"",BB66,IF(AND(AS66=1,Documents!$J$6&lt;&gt;"ON FILE"),"INVALID – GLD not on file (Documents sheet)",IF(AND(AS66=2,Documents!$O$6&lt;&gt;"ON FILE"),"INVALID – menu checklist not on file (Documents sheet)",IF(AND(AS66=3,NOT(ISNUMBER(Flights!$AX$6))),"INVALID – enter carrying flight KUL departure (Flights AX)",IF(AND(AS66=3,OR(Flights!$AZ$6&gt;Flights!$AA$6,Flights!$AX$6&lt;Flights!$AA$6-3)),"INVALID – carrying flight (Flights AX) cannot arrive before this leg's STD, or is over 3 days early",IF(AG66&gt;AsOfUTC,"INVALID – completion time is in the future",IF(AND(ISNUMBER(S66),AG66&lt;S66),IF(H66="Physical uplift","INVALID – before uplift window (cannot confirm loading)","INVALID – before valid window"),IF(AG66&gt;Flights!$AA$6,"INVALID – completed after departure (cannot establish readiness)",IF(AND(H66="Preparation",AG66&gt;IF(ISNUMBER(Flights!$BA$6),MIN(Flights!$BA$6,Flights!$AA$6),Flights!$AA$6)),"INVALID – completed after loading / departure (cannot establish readiness)",IF(AND(H66="Physical uplift",AG66&gt;Q66),"INVALID – recorded after the loading flight departed",IF(AG66&gt;Q66,"COMPLETE – LATE","COMPLETE"))))))))))))))))))))))),IF(TRIM(U66)="Fail","FAIL – DISCREPANCY",IF(AND(TRIM(U66)&lt;&gt;"",TRIM(U66)&lt;&gt;"Not started",TRIM(U66)&lt;&gt;"In progress"),"INVALID – unrecognised status (use the list)",IF(AsOfUTC&gt;Q66,"OVERDUE",IF(N66="Clarification required","OPEN – CLARIFICATION","OPEN"))))))),"INVALID – error value in an input cell")</f>
        <v>OPEN</v>
      </c>
      <c r="AI66" s="61" t="n">
        <f aca="false">IF(OR(AH66="N/A – RULE",AH66="N/A – JUSTIFIED"),0,1)</f>
        <v>1</v>
      </c>
      <c r="AJ66" s="61" t="n">
        <f aca="false">IF(LEFT(AH66,8)="COMPLETE",1,0)</f>
        <v>0</v>
      </c>
      <c r="AK66" s="61" t="n">
        <f aca="false">IF(AND(AI66=1,AJ66=0,AsOfUTC&gt;Q66),1,0)</f>
        <v>0</v>
      </c>
      <c r="AL66" s="61" t="n">
        <f aca="false">IFERROR(IF(AND(AI66=1,OR(TRIM(U66)="Fail",AND(TRIM(AB66)&lt;&gt;"",TRIM(AB66)&lt;&gt;"Closed"),AND(ISNUMBER(AF66),AF66&lt;&gt;0,TRIM(U66)&lt;&gt;"Pass after CA"))),1,0),1)</f>
        <v>0</v>
      </c>
      <c r="AM66" s="61" t="n">
        <f aca="false">IF(LEFT(AH66,7)="INVALID",1,0)</f>
        <v>0</v>
      </c>
      <c r="AN66" s="61" t="n">
        <f aca="false">IF(AND(N66="Clarification required",AI66=1,AJ66=0),1,0)</f>
        <v>0</v>
      </c>
      <c r="AO66" s="61" t="str">
        <f aca="false">IF(AK66=1,SUM(AK$5:AK66),"")</f>
        <v/>
      </c>
      <c r="AP66" s="61" t="str">
        <f aca="false">IF(AL66=1,SUM(AL$5:AL66),"")</f>
        <v/>
      </c>
      <c r="AQ66" s="61" t="n">
        <v>0</v>
      </c>
      <c r="AR66" s="61" t="n">
        <v>0</v>
      </c>
      <c r="AS66" s="61" t="n">
        <v>0</v>
      </c>
      <c r="AT66" s="61" t="n">
        <v>0</v>
      </c>
      <c r="AU66" s="61" t="str">
        <f aca="false">SUBSTITUTE(SUBSTITUTE(SUBSTITUTE(SUBSTITUTE(SUBSTITUTE(SUBSTITUTE(SUBSTITUTE(SUBSTITUTE(SUBSTITUTE(SUBSTITUTE(SUBSTITUTE(SUBSTITUTE(SUBSTITUTE(LOWER(T66&amp;""),CHAR(160),"")," ",""),".",""),"-",""),"/",""),"?",""),"_",""),",",""),"[",""),"]",""),"(",""),")",""),"*","")</f>
        <v/>
      </c>
      <c r="AV66" s="61" t="str">
        <f aca="false">SUBSTITUTE(SUBSTITUTE(SUBSTITUTE(SUBSTITUTE(SUBSTITUTE(SUBSTITUTE(SUBSTITUTE(SUBSTITUTE(SUBSTITUTE(SUBSTITUTE(SUBSTITUTE(SUBSTITUTE(SUBSTITUTE(LOWER(V66&amp;""),CHAR(160),"")," ",""),".",""),"-",""),"/",""),"?",""),"_",""),",",""),"[",""),"]",""),"(",""),")",""),"*","")</f>
        <v/>
      </c>
      <c r="AW66" s="61" t="str">
        <f aca="false">SUBSTITUTE(SUBSTITUTE(SUBSTITUTE(SUBSTITUTE(SUBSTITUTE(SUBSTITUTE(SUBSTITUTE(SUBSTITUTE(SUBSTITUTE(SUBSTITUTE(SUBSTITUTE(SUBSTITUTE(SUBSTITUTE(LOWER(Z66&amp;""),CHAR(160),"")," ",""),".",""),"-",""),"/",""),"?",""),"_",""),",",""),"[",""),"]",""),"(",""),")",""),"*","")</f>
        <v/>
      </c>
      <c r="AX66" s="61" t="str">
        <f aca="false">SUBSTITUTE(SUBSTITUTE(SUBSTITUTE(SUBSTITUTE(SUBSTITUTE(SUBSTITUTE(SUBSTITUTE(SUBSTITUTE(SUBSTITUTE(SUBSTITUTE(SUBSTITUTE(SUBSTITUTE(SUBSTITUTE(LOWER(AE66&amp;""),CHAR(160),"")," ",""),".",""),"-",""),"/",""),"?",""),"_",""),",",""),"[",""),"]",""),"(",""),")",""),"*","")</f>
        <v/>
      </c>
      <c r="AY66" s="61" t="str">
        <f aca="false">SUBSTITUTE(SUBSTITUTE(SUBSTITUTE(SUBSTITUTE(SUBSTITUTE(SUBSTITUTE(SUBSTITUTE(SUBSTITUTE(SUBSTITUTE(SUBSTITUTE(SUBSTITUTE(SUBSTITUTE(SUBSTITUTE(LOWER(W66&amp;""),CHAR(160),"")," ",""),".",""),"-",""),"/",""),"?",""),"_",""),",",""),"[",""),"]",""),"(",""),")",""),"*","")</f>
        <v/>
      </c>
      <c r="AZ66" s="61" t="str">
        <f aca="false">SUBSTITUTE(SUBSTITUTE(SUBSTITUTE(SUBSTITUTE(SUBSTITUTE(SUBSTITUTE(SUBSTITUTE(SUBSTITUTE(SUBSTITUTE(SUBSTITUTE(SUBSTITUTE(SUBSTITUTE(SUBSTITUTE(LOWER(AC66&amp;""),CHAR(160),"")," ",""),".",""),"-",""),"/",""),"?",""),"_",""),",",""),"[",""),"]",""),"(",""),")",""),"*","")</f>
        <v/>
      </c>
      <c r="BA66" s="61" t="str">
        <f aca="false">SUBSTITUTE(SUBSTITUTE(SUBSTITUTE(SUBSTITUTE(SUBSTITUTE(SUBSTITUTE(SUBSTITUTE(SUBSTITUTE(SUBSTITUTE(SUBSTITUTE(SUBSTITUTE(SUBSTITUTE(SUBSTITUTE(LOWER(AA66&amp;""),CHAR(160),"")," ",""),".",""),"-",""),"/",""),"?",""),"_",""),",",""),"[",""),"]",""),"(",""),")",""),"*","")</f>
        <v/>
      </c>
      <c r="BB66" s="61" t="str">
        <f aca="false">IF(AND(TRIM(U66)="Pass",ISNUMBER(AF66)),IF(AF66&lt;&gt;0,"INVALID – qty variance: use Fail or Pass after CA",""),"")&amp;IF(AND(TRIM(U66)="Pass after CA",ISNUMBER(AF66)),IF(AF66&lt;&gt;0,"INVALID – after the corrective action the actual qty must equal expected (update Actual)",""),"")&amp;IF(AND(TRIM(U66)="Pass",TRIM(AB66)&lt;&gt;"",TRIM(AB66)&lt;&gt;"Closed"),"INVALID – corrective action not closed: use Fail, then Pass after CA","")&amp;IF(AND(TRIM(AA66)&lt;&gt;"",TRIM(AB66)=""),"INVALID – CA status missing for the recorded corrective action","")&amp;IF(AND(TRIM(U66)="Pass after CA",OR(OR(LEN(BA66)&lt;5,ISNUMBER(MATCH(BA66,L_Placeholder,0))),TRIM(AB66)&lt;&gt;"Closed")),"INVALID – corrective action not recorded/closed","")</f>
        <v/>
      </c>
    </row>
    <row r="67" customFormat="false" ht="39.75" hidden="false" customHeight="true" outlineLevel="0" collapsed="false">
      <c r="A67" s="57" t="s">
        <v>530</v>
      </c>
      <c r="B67" s="57" t="s">
        <v>195</v>
      </c>
      <c r="C67" s="57" t="str">
        <f aca="false">Flights!$F$6</f>
        <v>MH0727</v>
      </c>
      <c r="D67" s="58" t="n">
        <f aca="false">Flights!$D$6</f>
        <v>46304</v>
      </c>
      <c r="E67" s="57" t="str">
        <f aca="false">Flights!$G$6&amp;"-"&amp;Flights!$H$6</f>
        <v>KUL-CGK</v>
      </c>
      <c r="F67" s="57" t="str">
        <f aca="false">Flights!$K$6</f>
        <v>BC</v>
      </c>
      <c r="G67" s="57" t="s">
        <v>437</v>
      </c>
      <c r="H67" s="57" t="s">
        <v>438</v>
      </c>
      <c r="I67" s="57" t="s">
        <v>425</v>
      </c>
      <c r="J67" s="57" t="s">
        <v>531</v>
      </c>
      <c r="K67" s="67" t="s">
        <v>427</v>
      </c>
      <c r="L67" s="67" t="s">
        <v>505</v>
      </c>
      <c r="M67" s="67" t="s">
        <v>429</v>
      </c>
      <c r="N67" s="67" t="s">
        <v>361</v>
      </c>
      <c r="O67" s="67"/>
      <c r="P67" s="57" t="s">
        <v>184</v>
      </c>
      <c r="Q67" s="59" t="n">
        <f aca="false">ROUND((Flights!$AF$6)*1440,0)/1440</f>
        <v>46304.5763888889</v>
      </c>
      <c r="R67" s="59" t="n">
        <f aca="false">Q67+(IF(AND(INDEX(TZ_DSTS,MATCH(P67,TZ_STN,0))&lt;&gt;"",Q67&gt;=INDEX(TZ_DSTS,MATCH(P67,TZ_STN,0)),Q67&lt;INDEX(TZ_DSTE,MATCH(P67,TZ_STN,0))),INDEX(TZ_DST,MATCH(P67,TZ_STN,0)),INDEX(TZ_STD,MATCH(P67,TZ_STN,0))))/24</f>
        <v>46304.9097222222</v>
      </c>
      <c r="S67" s="59" t="n">
        <f aca="false">IF(ISNUMBER(Flights!$AZ$6),MAX(Q67-UpliftWindowH/24,Flights!$AZ$6),Q67-UpliftWindowH/24)</f>
        <v>46304.3263888889</v>
      </c>
      <c r="T67" s="60"/>
      <c r="U67" s="60"/>
      <c r="V67" s="60"/>
      <c r="W67" s="61"/>
      <c r="X67" s="60"/>
      <c r="Y67" s="60"/>
      <c r="Z67" s="60"/>
      <c r="AA67" s="60"/>
      <c r="AB67" s="60"/>
      <c r="AC67" s="60"/>
      <c r="AD67" s="66"/>
      <c r="AE67" s="60"/>
      <c r="AF67" s="61" t="str">
        <f aca="false">IF(AND(ISNUMBER(X67),ISNUMBER(Y67)),Y67-X67,"")</f>
        <v/>
      </c>
      <c r="AG67" s="62" t="str">
        <f aca="false">IF(ISNUMBER(AD67),AD67-(IF(AND(INDEX(TZ_DSTS,MATCH(P67,TZ_STN,0))&lt;&gt;"",(AD67-INDEX(TZ_STD,MATCH(P67,TZ_STN,0))/24)&gt;=INDEX(TZ_DSTS,MATCH(P67,TZ_STN,0)),(AD67-INDEX(TZ_STD,MATCH(P67,TZ_STN,0))/24)&lt;INDEX(TZ_DSTE,MATCH(P67,TZ_STN,0))),INDEX(TZ_DST,MATCH(P67,TZ_STN,0)),INDEX(TZ_STD,MATCH(P67,TZ_STN,0))))/24,"")</f>
        <v/>
      </c>
      <c r="AH67" s="65" t="str">
        <f aca="false">IFERROR(IF(N67="N/A – rule","N/A – RULE",IF(TRIM(U67)="N/A",IF(AT67=0,"INVALID – N/A not permitted for this check",IF(AND(TRIM(AB67)&lt;&gt;"",TRIM(AB67)&lt;&gt;"Closed"),"INVALID – corrective action still open",IF(AND(NOT(OR(LEN(AZ67)&lt;15,ISNUMBER(MATCH(AZ67,L_Placeholder,0)))),NOT(OR(LEN(AU67)&lt;2,ISNUMBER(MATCH(AU67,L_Placeholder,0)))),NOT(OR(LEN(AX67)&lt;2,ISNUMBER(MATCH(AX67,L_Placeholder,0)))),TRIM(AE67)&lt;&gt;TRIM(T67)),"N/A – JUSTIFIED","INVALID – N/A needs a real justification (15+ chars), PIC and a different verifier"))),IF(OR(TRIM(U67)="Pass",TRIM(U67)="Pass after CA"),IF(NOT(ISNUMBER(AD67)),"INVALID – completion time missing",IF(OR(LEN(AU67)&lt;2,ISNUMBER(MATCH(AU67,L_Placeholder,0))),"INVALID – PIC missing",IF(OR(LEN(AV67)&lt;2,ISNUMBER(MATCH(AV67,L_Placeholder,0))),"INVALID – result / assessment missing",IF(OR(OR(LEN(AW67)&lt;3,ISNUMBER(MATCH(AW67,L_Placeholder,0))),SUMPRODUCT(--ISNUMBER(SEARCH(L_EvidencePhrase,AW67)))&gt;0),"INVALID – evidence missing, placeholder or not yet on file",IF(OR(LEN(AX67)&lt;2,ISNUMBER(MATCH(AX67,L_Placeholder,0))),"INVALID – verifier missing",IF(AX67=AU67,"INVALID – verifier must be someone other than the PIC",IF(AND(TRIM(U67)="Pass",SUMPRODUCT(--ISNUMBER(SEARCH(L_ResultBad,AV67)))&gt;0),"INVALID – result describes a problem: use Fail, then Pass after CA",IF(AND(AQ67=1,OR(LEN(AY67)&lt;3,ISNUMBER(MATCH(AY67,L_Placeholder,0)))),"INVALID – batch ID missing or placeholder",IF(AND(AR67=1,OR(NOT(ISNUMBER(X67)),NOT(ISNUMBER(Y67)))),"INVALID – expected/actual qty missing",IF(AND(AR67=1,OR(X67&lt;=0,Y67&lt;0)),"INVALID – expected qty must be above 0 and actual not negative",IF(AH55="N/A – JUSTIFIED","INVALID – preparation row F02-T12-16 is N/A",IF(AND(AR67=1,ISNUMBER(X55),X67&lt;&gt;X55),"INVALID – expected qty differs from preparation check F02-T12-16",IF(BB67&lt;&gt;"",BB67,IF(AND(AS67=1,Documents!$J$6&lt;&gt;"ON FILE"),"INVALID – GLD not on file (Documents sheet)",IF(AND(AS67=2,Documents!$O$6&lt;&gt;"ON FILE"),"INVALID – menu checklist not on file (Documents sheet)",IF(AND(AS67=3,NOT(ISNUMBER(Flights!$AX$6))),"INVALID – enter carrying flight KUL departure (Flights AX)",IF(AND(AS67=3,OR(Flights!$AZ$6&gt;Flights!$AA$6,Flights!$AX$6&lt;Flights!$AA$6-3)),"INVALID – carrying flight (Flights AX) cannot arrive before this leg's STD, or is over 3 days early",IF(AG67&gt;AsOfUTC,"INVALID – completion time is in the future",IF(AND(ISNUMBER(S67),AG67&lt;S67),IF(H67="Physical uplift","INVALID – before uplift window (cannot confirm loading)","INVALID – before valid window"),IF(AG67&gt;Flights!$AA$6,"INVALID – completed after departure (cannot establish readiness)",IF(AND(H67="Preparation",AG67&gt;IF(ISNUMBER(Flights!$BA$6),MIN(Flights!$BA$6,Flights!$AA$6),Flights!$AA$6)),"INVALID – completed after loading / departure (cannot establish readiness)",IF(AND(H67="Physical uplift",AG67&gt;Q67),"INVALID – recorded after the loading flight departed",IF(AG67&gt;Q67,"COMPLETE – LATE","COMPLETE"))))))))))))))))))))))),IF(TRIM(U67)="Fail","FAIL – DISCREPANCY",IF(AND(TRIM(U67)&lt;&gt;"",TRIM(U67)&lt;&gt;"Not started",TRIM(U67)&lt;&gt;"In progress"),"INVALID – unrecognised status (use the list)",IF(AsOfUTC&gt;Q67,"OVERDUE",IF(N67="Clarification required","OPEN – CLARIFICATION","OPEN"))))))),"INVALID – error value in an input cell")</f>
        <v>OPEN</v>
      </c>
      <c r="AI67" s="61" t="n">
        <f aca="false">IF(OR(AH67="N/A – RULE",AH67="N/A – JUSTIFIED"),0,1)</f>
        <v>1</v>
      </c>
      <c r="AJ67" s="61" t="n">
        <f aca="false">IF(LEFT(AH67,8)="COMPLETE",1,0)</f>
        <v>0</v>
      </c>
      <c r="AK67" s="61" t="n">
        <f aca="false">IF(AND(AI67=1,AJ67=0,AsOfUTC&gt;Q67),1,0)</f>
        <v>0</v>
      </c>
      <c r="AL67" s="61" t="n">
        <f aca="false">IFERROR(IF(AND(AI67=1,OR(TRIM(U67)="Fail",AND(TRIM(AB67)&lt;&gt;"",TRIM(AB67)&lt;&gt;"Closed"),AND(ISNUMBER(AF67),AF67&lt;&gt;0,TRIM(U67)&lt;&gt;"Pass after CA"))),1,0),1)</f>
        <v>0</v>
      </c>
      <c r="AM67" s="61" t="n">
        <f aca="false">IF(LEFT(AH67,7)="INVALID",1,0)</f>
        <v>0</v>
      </c>
      <c r="AN67" s="61" t="n">
        <f aca="false">IF(AND(N67="Clarification required",AI67=1,AJ67=0),1,0)</f>
        <v>0</v>
      </c>
      <c r="AO67" s="61" t="str">
        <f aca="false">IF(AK67=1,SUM(AK$5:AK67),"")</f>
        <v/>
      </c>
      <c r="AP67" s="61" t="str">
        <f aca="false">IF(AL67=1,SUM(AL$5:AL67),"")</f>
        <v/>
      </c>
      <c r="AQ67" s="61" t="n">
        <v>0</v>
      </c>
      <c r="AR67" s="61" t="n">
        <v>0</v>
      </c>
      <c r="AS67" s="61" t="n">
        <v>0</v>
      </c>
      <c r="AT67" s="61" t="n">
        <v>0</v>
      </c>
      <c r="AU67" s="61" t="str">
        <f aca="false">SUBSTITUTE(SUBSTITUTE(SUBSTITUTE(SUBSTITUTE(SUBSTITUTE(SUBSTITUTE(SUBSTITUTE(SUBSTITUTE(SUBSTITUTE(SUBSTITUTE(SUBSTITUTE(SUBSTITUTE(SUBSTITUTE(LOWER(T67&amp;""),CHAR(160),"")," ",""),".",""),"-",""),"/",""),"?",""),"_",""),",",""),"[",""),"]",""),"(",""),")",""),"*","")</f>
        <v/>
      </c>
      <c r="AV67" s="61" t="str">
        <f aca="false">SUBSTITUTE(SUBSTITUTE(SUBSTITUTE(SUBSTITUTE(SUBSTITUTE(SUBSTITUTE(SUBSTITUTE(SUBSTITUTE(SUBSTITUTE(SUBSTITUTE(SUBSTITUTE(SUBSTITUTE(SUBSTITUTE(LOWER(V67&amp;""),CHAR(160),"")," ",""),".",""),"-",""),"/",""),"?",""),"_",""),",",""),"[",""),"]",""),"(",""),")",""),"*","")</f>
        <v/>
      </c>
      <c r="AW67" s="61" t="str">
        <f aca="false">SUBSTITUTE(SUBSTITUTE(SUBSTITUTE(SUBSTITUTE(SUBSTITUTE(SUBSTITUTE(SUBSTITUTE(SUBSTITUTE(SUBSTITUTE(SUBSTITUTE(SUBSTITUTE(SUBSTITUTE(SUBSTITUTE(LOWER(Z67&amp;""),CHAR(160),"")," ",""),".",""),"-",""),"/",""),"?",""),"_",""),",",""),"[",""),"]",""),"(",""),")",""),"*","")</f>
        <v/>
      </c>
      <c r="AX67" s="61" t="str">
        <f aca="false">SUBSTITUTE(SUBSTITUTE(SUBSTITUTE(SUBSTITUTE(SUBSTITUTE(SUBSTITUTE(SUBSTITUTE(SUBSTITUTE(SUBSTITUTE(SUBSTITUTE(SUBSTITUTE(SUBSTITUTE(SUBSTITUTE(LOWER(AE67&amp;""),CHAR(160),"")," ",""),".",""),"-",""),"/",""),"?",""),"_",""),",",""),"[",""),"]",""),"(",""),")",""),"*","")</f>
        <v/>
      </c>
      <c r="AY67" s="61" t="str">
        <f aca="false">SUBSTITUTE(SUBSTITUTE(SUBSTITUTE(SUBSTITUTE(SUBSTITUTE(SUBSTITUTE(SUBSTITUTE(SUBSTITUTE(SUBSTITUTE(SUBSTITUTE(SUBSTITUTE(SUBSTITUTE(SUBSTITUTE(LOWER(W67&amp;""),CHAR(160),"")," ",""),".",""),"-",""),"/",""),"?",""),"_",""),",",""),"[",""),"]",""),"(",""),")",""),"*","")</f>
        <v/>
      </c>
      <c r="AZ67" s="61" t="str">
        <f aca="false">SUBSTITUTE(SUBSTITUTE(SUBSTITUTE(SUBSTITUTE(SUBSTITUTE(SUBSTITUTE(SUBSTITUTE(SUBSTITUTE(SUBSTITUTE(SUBSTITUTE(SUBSTITUTE(SUBSTITUTE(SUBSTITUTE(LOWER(AC67&amp;""),CHAR(160),"")," ",""),".",""),"-",""),"/",""),"?",""),"_",""),",",""),"[",""),"]",""),"(",""),")",""),"*","")</f>
        <v/>
      </c>
      <c r="BA67" s="61" t="str">
        <f aca="false">SUBSTITUTE(SUBSTITUTE(SUBSTITUTE(SUBSTITUTE(SUBSTITUTE(SUBSTITUTE(SUBSTITUTE(SUBSTITUTE(SUBSTITUTE(SUBSTITUTE(SUBSTITUTE(SUBSTITUTE(SUBSTITUTE(LOWER(AA67&amp;""),CHAR(160),"")," ",""),".",""),"-",""),"/",""),"?",""),"_",""),",",""),"[",""),"]",""),"(",""),")",""),"*","")</f>
        <v/>
      </c>
      <c r="BB67" s="61" t="str">
        <f aca="false">IF(AND(TRIM(U67)="Pass",ISNUMBER(AF67)),IF(AF67&lt;&gt;0,"INVALID – qty variance: use Fail or Pass after CA",""),"")&amp;IF(AND(TRIM(U67)="Pass after CA",ISNUMBER(AF67)),IF(AF67&lt;&gt;0,"INVALID – after the corrective action the actual qty must equal expected (update Actual)",""),"")&amp;IF(AND(TRIM(U67)="Pass",TRIM(AB67)&lt;&gt;"",TRIM(AB67)&lt;&gt;"Closed"),"INVALID – corrective action not closed: use Fail, then Pass after CA","")&amp;IF(AND(TRIM(AA67)&lt;&gt;"",TRIM(AB67)=""),"INVALID – CA status missing for the recorded corrective action","")&amp;IF(AND(TRIM(U67)="Pass after CA",OR(OR(LEN(BA67)&lt;5,ISNUMBER(MATCH(BA67,L_Placeholder,0))),TRIM(AB67)&lt;&gt;"Closed")),"INVALID – corrective action not recorded/closed","")</f>
        <v/>
      </c>
    </row>
    <row r="68" customFormat="false" ht="39.75" hidden="false" customHeight="true" outlineLevel="0" collapsed="false">
      <c r="A68" s="57" t="s">
        <v>532</v>
      </c>
      <c r="B68" s="57" t="s">
        <v>195</v>
      </c>
      <c r="C68" s="57" t="str">
        <f aca="false">Flights!$F$6</f>
        <v>MH0727</v>
      </c>
      <c r="D68" s="58" t="n">
        <f aca="false">Flights!$D$6</f>
        <v>46304</v>
      </c>
      <c r="E68" s="57" t="str">
        <f aca="false">Flights!$G$6&amp;"-"&amp;Flights!$H$6</f>
        <v>KUL-CGK</v>
      </c>
      <c r="F68" s="57" t="str">
        <f aca="false">Flights!$K$6</f>
        <v>BC</v>
      </c>
      <c r="G68" s="57" t="s">
        <v>437</v>
      </c>
      <c r="H68" s="57" t="s">
        <v>438</v>
      </c>
      <c r="I68" s="57" t="s">
        <v>425</v>
      </c>
      <c r="J68" s="57" t="s">
        <v>533</v>
      </c>
      <c r="K68" s="67" t="s">
        <v>427</v>
      </c>
      <c r="L68" s="67" t="s">
        <v>508</v>
      </c>
      <c r="M68" s="67" t="s">
        <v>429</v>
      </c>
      <c r="N68" s="67" t="s">
        <v>361</v>
      </c>
      <c r="O68" s="67"/>
      <c r="P68" s="57" t="s">
        <v>184</v>
      </c>
      <c r="Q68" s="59" t="n">
        <f aca="false">ROUND((Flights!$AF$6)*1440,0)/1440</f>
        <v>46304.5763888889</v>
      </c>
      <c r="R68" s="59" t="n">
        <f aca="false">Q68+(IF(AND(INDEX(TZ_DSTS,MATCH(P68,TZ_STN,0))&lt;&gt;"",Q68&gt;=INDEX(TZ_DSTS,MATCH(P68,TZ_STN,0)),Q68&lt;INDEX(TZ_DSTE,MATCH(P68,TZ_STN,0))),INDEX(TZ_DST,MATCH(P68,TZ_STN,0)),INDEX(TZ_STD,MATCH(P68,TZ_STN,0))))/24</f>
        <v>46304.9097222222</v>
      </c>
      <c r="S68" s="59" t="n">
        <f aca="false">IF(ISNUMBER(Flights!$AZ$6),MAX(Q68-UpliftWindowH/24,Flights!$AZ$6),Q68-UpliftWindowH/24)</f>
        <v>46304.3263888889</v>
      </c>
      <c r="T68" s="60"/>
      <c r="U68" s="60"/>
      <c r="V68" s="60"/>
      <c r="W68" s="61"/>
      <c r="X68" s="60"/>
      <c r="Y68" s="60"/>
      <c r="Z68" s="60"/>
      <c r="AA68" s="60"/>
      <c r="AB68" s="60"/>
      <c r="AC68" s="60"/>
      <c r="AD68" s="66"/>
      <c r="AE68" s="60"/>
      <c r="AF68" s="61" t="str">
        <f aca="false">IF(AND(ISNUMBER(X68),ISNUMBER(Y68)),Y68-X68,"")</f>
        <v/>
      </c>
      <c r="AG68" s="62" t="str">
        <f aca="false">IF(ISNUMBER(AD68),AD68-(IF(AND(INDEX(TZ_DSTS,MATCH(P68,TZ_STN,0))&lt;&gt;"",(AD68-INDEX(TZ_STD,MATCH(P68,TZ_STN,0))/24)&gt;=INDEX(TZ_DSTS,MATCH(P68,TZ_STN,0)),(AD68-INDEX(TZ_STD,MATCH(P68,TZ_STN,0))/24)&lt;INDEX(TZ_DSTE,MATCH(P68,TZ_STN,0))),INDEX(TZ_DST,MATCH(P68,TZ_STN,0)),INDEX(TZ_STD,MATCH(P68,TZ_STN,0))))/24,"")</f>
        <v/>
      </c>
      <c r="AH68" s="65" t="str">
        <f aca="false">IFERROR(IF(N68="N/A – rule","N/A – RULE",IF(TRIM(U68)="N/A",IF(AT68=0,"INVALID – N/A not permitted for this check",IF(AND(TRIM(AB68)&lt;&gt;"",TRIM(AB68)&lt;&gt;"Closed"),"INVALID – corrective action still open",IF(AND(NOT(OR(LEN(AZ68)&lt;15,ISNUMBER(MATCH(AZ68,L_Placeholder,0)))),NOT(OR(LEN(AU68)&lt;2,ISNUMBER(MATCH(AU68,L_Placeholder,0)))),NOT(OR(LEN(AX68)&lt;2,ISNUMBER(MATCH(AX68,L_Placeholder,0)))),TRIM(AE68)&lt;&gt;TRIM(T68)),"N/A – JUSTIFIED","INVALID – N/A needs a real justification (15+ chars), PIC and a different verifier"))),IF(OR(TRIM(U68)="Pass",TRIM(U68)="Pass after CA"),IF(NOT(ISNUMBER(AD68)),"INVALID – completion time missing",IF(OR(LEN(AU68)&lt;2,ISNUMBER(MATCH(AU68,L_Placeholder,0))),"INVALID – PIC missing",IF(OR(LEN(AV68)&lt;2,ISNUMBER(MATCH(AV68,L_Placeholder,0))),"INVALID – result / assessment missing",IF(OR(OR(LEN(AW68)&lt;3,ISNUMBER(MATCH(AW68,L_Placeholder,0))),SUMPRODUCT(--ISNUMBER(SEARCH(L_EvidencePhrase,AW68)))&gt;0),"INVALID – evidence missing, placeholder or not yet on file",IF(OR(LEN(AX68)&lt;2,ISNUMBER(MATCH(AX68,L_Placeholder,0))),"INVALID – verifier missing",IF(AX68=AU68,"INVALID – verifier must be someone other than the PIC",IF(AND(TRIM(U68)="Pass",SUMPRODUCT(--ISNUMBER(SEARCH(L_ResultBad,AV68)))&gt;0),"INVALID – result describes a problem: use Fail, then Pass after CA",IF(AND(AQ68=1,OR(LEN(AY68)&lt;3,ISNUMBER(MATCH(AY68,L_Placeholder,0)))),"INVALID – batch ID missing or placeholder",IF(AND(AR68=1,OR(NOT(ISNUMBER(X68)),NOT(ISNUMBER(Y68)))),"INVALID – expected/actual qty missing",IF(AND(AR68=1,OR(X68&lt;=0,Y68&lt;0)),"INVALID – expected qty must be above 0 and actual not negative",IF(AH56="N/A – JUSTIFIED","INVALID – preparation row F02-T12-17 is N/A",IF(AND(AR68=1,ISNUMBER(X56),X68&lt;&gt;X56),"INVALID – expected qty differs from preparation check F02-T12-17",IF(BB68&lt;&gt;"",BB68,IF(AND(AS68=1,Documents!$J$6&lt;&gt;"ON FILE"),"INVALID – GLD not on file (Documents sheet)",IF(AND(AS68=2,Documents!$O$6&lt;&gt;"ON FILE"),"INVALID – menu checklist not on file (Documents sheet)",IF(AND(AS68=3,NOT(ISNUMBER(Flights!$AX$6))),"INVALID – enter carrying flight KUL departure (Flights AX)",IF(AND(AS68=3,OR(Flights!$AZ$6&gt;Flights!$AA$6,Flights!$AX$6&lt;Flights!$AA$6-3)),"INVALID – carrying flight (Flights AX) cannot arrive before this leg's STD, or is over 3 days early",IF(AG68&gt;AsOfUTC,"INVALID – completion time is in the future",IF(AND(ISNUMBER(S68),AG68&lt;S68),IF(H68="Physical uplift","INVALID – before uplift window (cannot confirm loading)","INVALID – before valid window"),IF(AG68&gt;Flights!$AA$6,"INVALID – completed after departure (cannot establish readiness)",IF(AND(H68="Preparation",AG68&gt;IF(ISNUMBER(Flights!$BA$6),MIN(Flights!$BA$6,Flights!$AA$6),Flights!$AA$6)),"INVALID – completed after loading / departure (cannot establish readiness)",IF(AND(H68="Physical uplift",AG68&gt;Q68),"INVALID – recorded after the loading flight departed",IF(AG68&gt;Q68,"COMPLETE – LATE","COMPLETE"))))))))))))))))))))))),IF(TRIM(U68)="Fail","FAIL – DISCREPANCY",IF(AND(TRIM(U68)&lt;&gt;"",TRIM(U68)&lt;&gt;"Not started",TRIM(U68)&lt;&gt;"In progress"),"INVALID – unrecognised status (use the list)",IF(AsOfUTC&gt;Q68,"OVERDUE",IF(N68="Clarification required","OPEN – CLARIFICATION","OPEN"))))))),"INVALID – error value in an input cell")</f>
        <v>OPEN</v>
      </c>
      <c r="AI68" s="61" t="n">
        <f aca="false">IF(OR(AH68="N/A – RULE",AH68="N/A – JUSTIFIED"),0,1)</f>
        <v>1</v>
      </c>
      <c r="AJ68" s="61" t="n">
        <f aca="false">IF(LEFT(AH68,8)="COMPLETE",1,0)</f>
        <v>0</v>
      </c>
      <c r="AK68" s="61" t="n">
        <f aca="false">IF(AND(AI68=1,AJ68=0,AsOfUTC&gt;Q68),1,0)</f>
        <v>0</v>
      </c>
      <c r="AL68" s="61" t="n">
        <f aca="false">IFERROR(IF(AND(AI68=1,OR(TRIM(U68)="Fail",AND(TRIM(AB68)&lt;&gt;"",TRIM(AB68)&lt;&gt;"Closed"),AND(ISNUMBER(AF68),AF68&lt;&gt;0,TRIM(U68)&lt;&gt;"Pass after CA"))),1,0),1)</f>
        <v>0</v>
      </c>
      <c r="AM68" s="61" t="n">
        <f aca="false">IF(LEFT(AH68,7)="INVALID",1,0)</f>
        <v>0</v>
      </c>
      <c r="AN68" s="61" t="n">
        <f aca="false">IF(AND(N68="Clarification required",AI68=1,AJ68=0),1,0)</f>
        <v>0</v>
      </c>
      <c r="AO68" s="61" t="str">
        <f aca="false">IF(AK68=1,SUM(AK$5:AK68),"")</f>
        <v/>
      </c>
      <c r="AP68" s="61" t="str">
        <f aca="false">IF(AL68=1,SUM(AL$5:AL68),"")</f>
        <v/>
      </c>
      <c r="AQ68" s="61" t="n">
        <v>0</v>
      </c>
      <c r="AR68" s="61" t="n">
        <v>0</v>
      </c>
      <c r="AS68" s="61" t="n">
        <v>0</v>
      </c>
      <c r="AT68" s="61" t="n">
        <v>0</v>
      </c>
      <c r="AU68" s="61" t="str">
        <f aca="false">SUBSTITUTE(SUBSTITUTE(SUBSTITUTE(SUBSTITUTE(SUBSTITUTE(SUBSTITUTE(SUBSTITUTE(SUBSTITUTE(SUBSTITUTE(SUBSTITUTE(SUBSTITUTE(SUBSTITUTE(SUBSTITUTE(LOWER(T68&amp;""),CHAR(160),"")," ",""),".",""),"-",""),"/",""),"?",""),"_",""),",",""),"[",""),"]",""),"(",""),")",""),"*","")</f>
        <v/>
      </c>
      <c r="AV68" s="61" t="str">
        <f aca="false">SUBSTITUTE(SUBSTITUTE(SUBSTITUTE(SUBSTITUTE(SUBSTITUTE(SUBSTITUTE(SUBSTITUTE(SUBSTITUTE(SUBSTITUTE(SUBSTITUTE(SUBSTITUTE(SUBSTITUTE(SUBSTITUTE(LOWER(V68&amp;""),CHAR(160),"")," ",""),".",""),"-",""),"/",""),"?",""),"_",""),",",""),"[",""),"]",""),"(",""),")",""),"*","")</f>
        <v/>
      </c>
      <c r="AW68" s="61" t="str">
        <f aca="false">SUBSTITUTE(SUBSTITUTE(SUBSTITUTE(SUBSTITUTE(SUBSTITUTE(SUBSTITUTE(SUBSTITUTE(SUBSTITUTE(SUBSTITUTE(SUBSTITUTE(SUBSTITUTE(SUBSTITUTE(SUBSTITUTE(LOWER(Z68&amp;""),CHAR(160),"")," ",""),".",""),"-",""),"/",""),"?",""),"_",""),",",""),"[",""),"]",""),"(",""),")",""),"*","")</f>
        <v/>
      </c>
      <c r="AX68" s="61" t="str">
        <f aca="false">SUBSTITUTE(SUBSTITUTE(SUBSTITUTE(SUBSTITUTE(SUBSTITUTE(SUBSTITUTE(SUBSTITUTE(SUBSTITUTE(SUBSTITUTE(SUBSTITUTE(SUBSTITUTE(SUBSTITUTE(SUBSTITUTE(LOWER(AE68&amp;""),CHAR(160),"")," ",""),".",""),"-",""),"/",""),"?",""),"_",""),",",""),"[",""),"]",""),"(",""),")",""),"*","")</f>
        <v/>
      </c>
      <c r="AY68" s="61" t="str">
        <f aca="false">SUBSTITUTE(SUBSTITUTE(SUBSTITUTE(SUBSTITUTE(SUBSTITUTE(SUBSTITUTE(SUBSTITUTE(SUBSTITUTE(SUBSTITUTE(SUBSTITUTE(SUBSTITUTE(SUBSTITUTE(SUBSTITUTE(LOWER(W68&amp;""),CHAR(160),"")," ",""),".",""),"-",""),"/",""),"?",""),"_",""),",",""),"[",""),"]",""),"(",""),")",""),"*","")</f>
        <v/>
      </c>
      <c r="AZ68" s="61" t="str">
        <f aca="false">SUBSTITUTE(SUBSTITUTE(SUBSTITUTE(SUBSTITUTE(SUBSTITUTE(SUBSTITUTE(SUBSTITUTE(SUBSTITUTE(SUBSTITUTE(SUBSTITUTE(SUBSTITUTE(SUBSTITUTE(SUBSTITUTE(LOWER(AC68&amp;""),CHAR(160),"")," ",""),".",""),"-",""),"/",""),"?",""),"_",""),",",""),"[",""),"]",""),"(",""),")",""),"*","")</f>
        <v/>
      </c>
      <c r="BA68" s="61" t="str">
        <f aca="false">SUBSTITUTE(SUBSTITUTE(SUBSTITUTE(SUBSTITUTE(SUBSTITUTE(SUBSTITUTE(SUBSTITUTE(SUBSTITUTE(SUBSTITUTE(SUBSTITUTE(SUBSTITUTE(SUBSTITUTE(SUBSTITUTE(LOWER(AA68&amp;""),CHAR(160),"")," ",""),".",""),"-",""),"/",""),"?",""),"_",""),",",""),"[",""),"]",""),"(",""),")",""),"*","")</f>
        <v/>
      </c>
      <c r="BB68" s="61" t="str">
        <f aca="false">IF(AND(TRIM(U68)="Pass",ISNUMBER(AF68)),IF(AF68&lt;&gt;0,"INVALID – qty variance: use Fail or Pass after CA",""),"")&amp;IF(AND(TRIM(U68)="Pass after CA",ISNUMBER(AF68)),IF(AF68&lt;&gt;0,"INVALID – after the corrective action the actual qty must equal expected (update Actual)",""),"")&amp;IF(AND(TRIM(U68)="Pass",TRIM(AB68)&lt;&gt;"",TRIM(AB68)&lt;&gt;"Closed"),"INVALID – corrective action not closed: use Fail, then Pass after CA","")&amp;IF(AND(TRIM(AA68)&lt;&gt;"",TRIM(AB68)=""),"INVALID – CA status missing for the recorded corrective action","")&amp;IF(AND(TRIM(U68)="Pass after CA",OR(OR(LEN(BA68)&lt;5,ISNUMBER(MATCH(BA68,L_Placeholder,0))),TRIM(AB68)&lt;&gt;"Closed")),"INVALID – corrective action not recorded/closed","")</f>
        <v/>
      </c>
    </row>
    <row r="69" customFormat="false" ht="39.75" hidden="false" customHeight="true" outlineLevel="0" collapsed="false">
      <c r="A69" s="57" t="s">
        <v>534</v>
      </c>
      <c r="B69" s="57" t="s">
        <v>209</v>
      </c>
      <c r="C69" s="57" t="str">
        <f aca="false">Flights!$F$7</f>
        <v>MH0720</v>
      </c>
      <c r="D69" s="58" t="n">
        <f aca="false">Flights!$D$7</f>
        <v>46305</v>
      </c>
      <c r="E69" s="57" t="str">
        <f aca="false">Flights!$G$7&amp;"-"&amp;Flights!$H$7</f>
        <v>CGK-KUL</v>
      </c>
      <c r="F69" s="57" t="str">
        <f aca="false">Flights!$K$7</f>
        <v>EY</v>
      </c>
      <c r="G69" s="57" t="s">
        <v>79</v>
      </c>
      <c r="H69" s="57" t="s">
        <v>356</v>
      </c>
      <c r="I69" s="57" t="s">
        <v>357</v>
      </c>
      <c r="J69" s="57" t="s">
        <v>358</v>
      </c>
      <c r="K69" s="67" t="s">
        <v>359</v>
      </c>
      <c r="L69" s="67" t="s">
        <v>360</v>
      </c>
      <c r="M69" s="67"/>
      <c r="N69" s="67" t="s">
        <v>361</v>
      </c>
      <c r="O69" s="67"/>
      <c r="P69" s="57" t="s">
        <v>198</v>
      </c>
      <c r="Q69" s="59" t="n">
        <f aca="false">ROUND((Flights!$AC$7)*1440,0)/1440</f>
        <v>46298.3784722222</v>
      </c>
      <c r="R69" s="59" t="n">
        <f aca="false">Q69+(IF(AND(INDEX(TZ_DSTS,MATCH(P69,TZ_STN,0))&lt;&gt;"",Q69&gt;=INDEX(TZ_DSTS,MATCH(P69,TZ_STN,0)),Q69&lt;INDEX(TZ_DSTE,MATCH(P69,TZ_STN,0))),INDEX(TZ_DST,MATCH(P69,TZ_STN,0)),INDEX(TZ_STD,MATCH(P69,TZ_STN,0))))/24</f>
        <v>46298.6701388889</v>
      </c>
      <c r="S69" s="59" t="n">
        <f aca="false">Q69-T7EarlyD*24/24</f>
        <v>46284.3784722222</v>
      </c>
      <c r="T69" s="60"/>
      <c r="U69" s="60"/>
      <c r="V69" s="60"/>
      <c r="W69" s="61"/>
      <c r="X69" s="60"/>
      <c r="Y69" s="60"/>
      <c r="Z69" s="60"/>
      <c r="AA69" s="60"/>
      <c r="AB69" s="60"/>
      <c r="AC69" s="60"/>
      <c r="AD69" s="66"/>
      <c r="AE69" s="60"/>
      <c r="AF69" s="61" t="str">
        <f aca="false">IF(AND(ISNUMBER(X69),ISNUMBER(Y69)),Y69-X69,"")</f>
        <v/>
      </c>
      <c r="AG69" s="62" t="str">
        <f aca="false">IF(ISNUMBER(AD69),AD69-(IF(AND(INDEX(TZ_DSTS,MATCH(P69,TZ_STN,0))&lt;&gt;"",(AD69-INDEX(TZ_STD,MATCH(P69,TZ_STN,0))/24)&gt;=INDEX(TZ_DSTS,MATCH(P69,TZ_STN,0)),(AD69-INDEX(TZ_STD,MATCH(P69,TZ_STN,0))/24)&lt;INDEX(TZ_DSTE,MATCH(P69,TZ_STN,0))),INDEX(TZ_DST,MATCH(P69,TZ_STN,0)),INDEX(TZ_STD,MATCH(P69,TZ_STN,0))))/24,"")</f>
        <v/>
      </c>
      <c r="AH69" s="65" t="str">
        <f aca="false">IFERROR(IF(N69="N/A – rule","N/A – RULE",IF(TRIM(U69)="N/A",IF(AT69=0,"INVALID – N/A not permitted for this check",IF(AND(TRIM(AB69)&lt;&gt;"",TRIM(AB69)&lt;&gt;"Closed"),"INVALID – corrective action still open",IF(AND(NOT(OR(LEN(AZ69)&lt;15,ISNUMBER(MATCH(AZ69,L_Placeholder,0)))),NOT(OR(LEN(AU69)&lt;2,ISNUMBER(MATCH(AU69,L_Placeholder,0)))),NOT(OR(LEN(AX69)&lt;2,ISNUMBER(MATCH(AX69,L_Placeholder,0)))),TRIM(AE69)&lt;&gt;TRIM(T69)),"N/A – JUSTIFIED","INVALID – N/A needs a real justification (15+ chars), PIC and a different verifier"))),IF(OR(TRIM(U69)="Pass",TRIM(U69)="Pass after CA"),IF(NOT(ISNUMBER(AD69)),"INVALID – completion time missing",IF(OR(LEN(AU69)&lt;2,ISNUMBER(MATCH(AU69,L_Placeholder,0))),"INVALID – PIC missing",IF(OR(LEN(AV69)&lt;2,ISNUMBER(MATCH(AV69,L_Placeholder,0))),"INVALID – result / assessment missing",IF(OR(OR(LEN(AW69)&lt;3,ISNUMBER(MATCH(AW69,L_Placeholder,0))),SUMPRODUCT(--ISNUMBER(SEARCH(L_EvidencePhrase,AW69)))&gt;0),"INVALID – evidence missing, placeholder or not yet on file",IF(OR(LEN(AX69)&lt;2,ISNUMBER(MATCH(AX69,L_Placeholder,0))),"INVALID – verifier missing",IF(AX69=AU69,"INVALID – verifier must be someone other than the PIC",IF(AND(TRIM(U69)="Pass",SUMPRODUCT(--ISNUMBER(SEARCH(L_ResultBad,AV69)))&gt;0),"INVALID – result describes a problem: use Fail, then Pass after CA",IF(AND(AQ69=1,OR(LEN(AY69)&lt;3,ISNUMBER(MATCH(AY69,L_Placeholder,0)))),"INVALID – batch ID missing or placeholder",IF(AND(AR69=1,OR(NOT(ISNUMBER(X69)),NOT(ISNUMBER(Y69)))),"INVALID – expected/actual qty missing",IF(AND(AR69=1,OR(X69&lt;=0,Y69&lt;0)),"INVALID – expected qty must be above 0 and actual not negative",IF(BB69&lt;&gt;"",BB69,IF(AND(AS69=1,Documents!$J$7&lt;&gt;"ON FILE"),"INVALID – GLD not on file (Documents sheet)",IF(AND(AS69=2,Documents!$O$7&lt;&gt;"ON FILE"),"INVALID – menu checklist not on file (Documents sheet)",IF(AND(AS69=3,NOT(ISNUMBER(Flights!$AX$7))),"INVALID – enter carrying flight KUL departure (Flights AX)",IF(AND(AS69=3,OR(Flights!$AZ$7&gt;Flights!$AA$7,Flights!$AX$7&lt;Flights!$AA$7-3)),"INVALID – carrying flight (Flights AX) cannot arrive before this leg's STD, or is over 3 days early",IF(AG69&gt;AsOfUTC,"INVALID – completion time is in the future",IF(AND(ISNUMBER(S69),AG69&lt;S69),IF(H69="Physical uplift","INVALID – before uplift window (cannot confirm loading)","INVALID – before valid window"),IF(AG69&gt;Flights!$AA$7,"INVALID – completed after departure (cannot establish readiness)",IF(AND(H69="Preparation",AG69&gt;IF(ISNUMBER(Flights!$BA$7),MIN(Flights!$BA$7,Flights!$AA$7),Flights!$AA$7)),"INVALID – completed after loading / departure (cannot establish readiness)",IF(AND(H69="Physical uplift",AG69&gt;Q69),"INVALID – recorded after the loading flight departed",IF(AG69&gt;Q69,"COMPLETE – LATE","COMPLETE"))))))))))))))))))))),IF(TRIM(U69)="Fail","FAIL – DISCREPANCY",IF(AND(TRIM(U69)&lt;&gt;"",TRIM(U69)&lt;&gt;"Not started",TRIM(U69)&lt;&gt;"In progress"),"INVALID – unrecognised status (use the list)",IF(AsOfUTC&gt;Q69,"OVERDUE",IF(N69="Clarification required","OPEN – CLARIFICATION","OPEN"))))))),"INVALID – error value in an input cell")</f>
        <v>OPEN</v>
      </c>
      <c r="AI69" s="61" t="n">
        <f aca="false">IF(OR(AH69="N/A – RULE",AH69="N/A – JUSTIFIED"),0,1)</f>
        <v>1</v>
      </c>
      <c r="AJ69" s="61" t="n">
        <f aca="false">IF(LEFT(AH69,8)="COMPLETE",1,0)</f>
        <v>0</v>
      </c>
      <c r="AK69" s="61" t="n">
        <f aca="false">IF(AND(AI69=1,AJ69=0,AsOfUTC&gt;Q69),1,0)</f>
        <v>0</v>
      </c>
      <c r="AL69" s="61" t="n">
        <f aca="false">IFERROR(IF(AND(AI69=1,OR(TRIM(U69)="Fail",AND(TRIM(AB69)&lt;&gt;"",TRIM(AB69)&lt;&gt;"Closed"),AND(ISNUMBER(AF69),AF69&lt;&gt;0,TRIM(U69)&lt;&gt;"Pass after CA"))),1,0),1)</f>
        <v>0</v>
      </c>
      <c r="AM69" s="61" t="n">
        <f aca="false">IF(LEFT(AH69,7)="INVALID",1,0)</f>
        <v>0</v>
      </c>
      <c r="AN69" s="61" t="n">
        <f aca="false">IF(AND(N69="Clarification required",AI69=1,AJ69=0),1,0)</f>
        <v>0</v>
      </c>
      <c r="AO69" s="61" t="str">
        <f aca="false">IF(AK69=1,SUM(AK$5:AK69),"")</f>
        <v/>
      </c>
      <c r="AP69" s="61" t="str">
        <f aca="false">IF(AL69=1,SUM(AL$5:AL69),"")</f>
        <v/>
      </c>
      <c r="AQ69" s="61" t="n">
        <v>0</v>
      </c>
      <c r="AR69" s="61" t="n">
        <v>0</v>
      </c>
      <c r="AS69" s="61" t="n">
        <v>0</v>
      </c>
      <c r="AT69" s="61" t="n">
        <v>0</v>
      </c>
      <c r="AU69" s="61" t="str">
        <f aca="false">SUBSTITUTE(SUBSTITUTE(SUBSTITUTE(SUBSTITUTE(SUBSTITUTE(SUBSTITUTE(SUBSTITUTE(SUBSTITUTE(SUBSTITUTE(SUBSTITUTE(SUBSTITUTE(SUBSTITUTE(SUBSTITUTE(LOWER(T69&amp;""),CHAR(160),"")," ",""),".",""),"-",""),"/",""),"?",""),"_",""),",",""),"[",""),"]",""),"(",""),")",""),"*","")</f>
        <v/>
      </c>
      <c r="AV69" s="61" t="str">
        <f aca="false">SUBSTITUTE(SUBSTITUTE(SUBSTITUTE(SUBSTITUTE(SUBSTITUTE(SUBSTITUTE(SUBSTITUTE(SUBSTITUTE(SUBSTITUTE(SUBSTITUTE(SUBSTITUTE(SUBSTITUTE(SUBSTITUTE(LOWER(V69&amp;""),CHAR(160),"")," ",""),".",""),"-",""),"/",""),"?",""),"_",""),",",""),"[",""),"]",""),"(",""),")",""),"*","")</f>
        <v/>
      </c>
      <c r="AW69" s="61" t="str">
        <f aca="false">SUBSTITUTE(SUBSTITUTE(SUBSTITUTE(SUBSTITUTE(SUBSTITUTE(SUBSTITUTE(SUBSTITUTE(SUBSTITUTE(SUBSTITUTE(SUBSTITUTE(SUBSTITUTE(SUBSTITUTE(SUBSTITUTE(LOWER(Z69&amp;""),CHAR(160),"")," ",""),".",""),"-",""),"/",""),"?",""),"_",""),",",""),"[",""),"]",""),"(",""),")",""),"*","")</f>
        <v/>
      </c>
      <c r="AX69" s="61" t="str">
        <f aca="false">SUBSTITUTE(SUBSTITUTE(SUBSTITUTE(SUBSTITUTE(SUBSTITUTE(SUBSTITUTE(SUBSTITUTE(SUBSTITUTE(SUBSTITUTE(SUBSTITUTE(SUBSTITUTE(SUBSTITUTE(SUBSTITUTE(LOWER(AE69&amp;""),CHAR(160),"")," ",""),".",""),"-",""),"/",""),"?",""),"_",""),",",""),"[",""),"]",""),"(",""),")",""),"*","")</f>
        <v/>
      </c>
      <c r="AY69" s="61" t="str">
        <f aca="false">SUBSTITUTE(SUBSTITUTE(SUBSTITUTE(SUBSTITUTE(SUBSTITUTE(SUBSTITUTE(SUBSTITUTE(SUBSTITUTE(SUBSTITUTE(SUBSTITUTE(SUBSTITUTE(SUBSTITUTE(SUBSTITUTE(LOWER(W69&amp;""),CHAR(160),"")," ",""),".",""),"-",""),"/",""),"?",""),"_",""),",",""),"[",""),"]",""),"(",""),")",""),"*","")</f>
        <v/>
      </c>
      <c r="AZ69" s="61" t="str">
        <f aca="false">SUBSTITUTE(SUBSTITUTE(SUBSTITUTE(SUBSTITUTE(SUBSTITUTE(SUBSTITUTE(SUBSTITUTE(SUBSTITUTE(SUBSTITUTE(SUBSTITUTE(SUBSTITUTE(SUBSTITUTE(SUBSTITUTE(LOWER(AC69&amp;""),CHAR(160),"")," ",""),".",""),"-",""),"/",""),"?",""),"_",""),",",""),"[",""),"]",""),"(",""),")",""),"*","")</f>
        <v/>
      </c>
      <c r="BA69" s="61" t="str">
        <f aca="false">SUBSTITUTE(SUBSTITUTE(SUBSTITUTE(SUBSTITUTE(SUBSTITUTE(SUBSTITUTE(SUBSTITUTE(SUBSTITUTE(SUBSTITUTE(SUBSTITUTE(SUBSTITUTE(SUBSTITUTE(SUBSTITUTE(LOWER(AA69&amp;""),CHAR(160),"")," ",""),".",""),"-",""),"/",""),"?",""),"_",""),",",""),"[",""),"]",""),"(",""),")",""),"*","")</f>
        <v/>
      </c>
      <c r="BB69" s="61" t="str">
        <f aca="false">IF(AND(TRIM(U69)="Pass",ISNUMBER(AF69)),IF(AF69&lt;&gt;0,"INVALID – qty variance: use Fail or Pass after CA",""),"")&amp;IF(AND(TRIM(U69)="Pass after CA",ISNUMBER(AF69)),IF(AF69&lt;&gt;0,"INVALID – after the corrective action the actual qty must equal expected (update Actual)",""),"")&amp;IF(AND(TRIM(U69)="Pass",TRIM(AB69)&lt;&gt;"",TRIM(AB69)&lt;&gt;"Closed"),"INVALID – corrective action not closed: use Fail, then Pass after CA","")&amp;IF(AND(TRIM(AA69)&lt;&gt;"",TRIM(AB69)=""),"INVALID – CA status missing for the recorded corrective action","")&amp;IF(AND(TRIM(U69)="Pass after CA",OR(OR(LEN(BA69)&lt;5,ISNUMBER(MATCH(BA69,L_Placeholder,0))),TRIM(AB69)&lt;&gt;"Closed")),"INVALID – corrective action not recorded/closed","")</f>
        <v/>
      </c>
    </row>
    <row r="70" customFormat="false" ht="39.75" hidden="false" customHeight="true" outlineLevel="0" collapsed="false">
      <c r="A70" s="57" t="s">
        <v>535</v>
      </c>
      <c r="B70" s="57" t="s">
        <v>209</v>
      </c>
      <c r="C70" s="57" t="str">
        <f aca="false">Flights!$F$7</f>
        <v>MH0720</v>
      </c>
      <c r="D70" s="58" t="n">
        <f aca="false">Flights!$D$7</f>
        <v>46305</v>
      </c>
      <c r="E70" s="57" t="str">
        <f aca="false">Flights!$G$7&amp;"-"&amp;Flights!$H$7</f>
        <v>CGK-KUL</v>
      </c>
      <c r="F70" s="57" t="str">
        <f aca="false">Flights!$K$7</f>
        <v>EY</v>
      </c>
      <c r="G70" s="57" t="s">
        <v>79</v>
      </c>
      <c r="H70" s="57" t="s">
        <v>356</v>
      </c>
      <c r="I70" s="57" t="s">
        <v>363</v>
      </c>
      <c r="J70" s="57" t="s">
        <v>364</v>
      </c>
      <c r="K70" s="67" t="s">
        <v>365</v>
      </c>
      <c r="L70" s="67" t="s">
        <v>360</v>
      </c>
      <c r="M70" s="67"/>
      <c r="N70" s="67" t="s">
        <v>361</v>
      </c>
      <c r="O70" s="67"/>
      <c r="P70" s="57" t="s">
        <v>198</v>
      </c>
      <c r="Q70" s="59" t="n">
        <f aca="false">ROUND((Flights!$AC$7)*1440,0)/1440</f>
        <v>46298.3784722222</v>
      </c>
      <c r="R70" s="59" t="n">
        <f aca="false">Q70+(IF(AND(INDEX(TZ_DSTS,MATCH(P70,TZ_STN,0))&lt;&gt;"",Q70&gt;=INDEX(TZ_DSTS,MATCH(P70,TZ_STN,0)),Q70&lt;INDEX(TZ_DSTE,MATCH(P70,TZ_STN,0))),INDEX(TZ_DST,MATCH(P70,TZ_STN,0)),INDEX(TZ_STD,MATCH(P70,TZ_STN,0))))/24</f>
        <v>46298.6701388889</v>
      </c>
      <c r="S70" s="59" t="n">
        <f aca="false">Q70-T7EarlyD*24/24</f>
        <v>46284.3784722222</v>
      </c>
      <c r="T70" s="60"/>
      <c r="U70" s="60"/>
      <c r="V70" s="60"/>
      <c r="W70" s="61"/>
      <c r="X70" s="60"/>
      <c r="Y70" s="60"/>
      <c r="Z70" s="60"/>
      <c r="AA70" s="60"/>
      <c r="AB70" s="60"/>
      <c r="AC70" s="60"/>
      <c r="AD70" s="66"/>
      <c r="AE70" s="60"/>
      <c r="AF70" s="61" t="str">
        <f aca="false">IF(AND(ISNUMBER(X70),ISNUMBER(Y70)),Y70-X70,"")</f>
        <v/>
      </c>
      <c r="AG70" s="62" t="str">
        <f aca="false">IF(ISNUMBER(AD70),AD70-(IF(AND(INDEX(TZ_DSTS,MATCH(P70,TZ_STN,0))&lt;&gt;"",(AD70-INDEX(TZ_STD,MATCH(P70,TZ_STN,0))/24)&gt;=INDEX(TZ_DSTS,MATCH(P70,TZ_STN,0)),(AD70-INDEX(TZ_STD,MATCH(P70,TZ_STN,0))/24)&lt;INDEX(TZ_DSTE,MATCH(P70,TZ_STN,0))),INDEX(TZ_DST,MATCH(P70,TZ_STN,0)),INDEX(TZ_STD,MATCH(P70,TZ_STN,0))))/24,"")</f>
        <v/>
      </c>
      <c r="AH70" s="65" t="str">
        <f aca="false">IFERROR(IF(N70="N/A – rule","N/A – RULE",IF(TRIM(U70)="N/A",IF(AT70=0,"INVALID – N/A not permitted for this check",IF(AND(TRIM(AB70)&lt;&gt;"",TRIM(AB70)&lt;&gt;"Closed"),"INVALID – corrective action still open",IF(AND(NOT(OR(LEN(AZ70)&lt;15,ISNUMBER(MATCH(AZ70,L_Placeholder,0)))),NOT(OR(LEN(AU70)&lt;2,ISNUMBER(MATCH(AU70,L_Placeholder,0)))),NOT(OR(LEN(AX70)&lt;2,ISNUMBER(MATCH(AX70,L_Placeholder,0)))),TRIM(AE70)&lt;&gt;TRIM(T70)),"N/A – JUSTIFIED","INVALID – N/A needs a real justification (15+ chars), PIC and a different verifier"))),IF(OR(TRIM(U70)="Pass",TRIM(U70)="Pass after CA"),IF(NOT(ISNUMBER(AD70)),"INVALID – completion time missing",IF(OR(LEN(AU70)&lt;2,ISNUMBER(MATCH(AU70,L_Placeholder,0))),"INVALID – PIC missing",IF(OR(LEN(AV70)&lt;2,ISNUMBER(MATCH(AV70,L_Placeholder,0))),"INVALID – result / assessment missing",IF(OR(OR(LEN(AW70)&lt;3,ISNUMBER(MATCH(AW70,L_Placeholder,0))),SUMPRODUCT(--ISNUMBER(SEARCH(L_EvidencePhrase,AW70)))&gt;0),"INVALID – evidence missing, placeholder or not yet on file",IF(OR(LEN(AX70)&lt;2,ISNUMBER(MATCH(AX70,L_Placeholder,0))),"INVALID – verifier missing",IF(AX70=AU70,"INVALID – verifier must be someone other than the PIC",IF(AND(TRIM(U70)="Pass",SUMPRODUCT(--ISNUMBER(SEARCH(L_ResultBad,AV70)))&gt;0),"INVALID – result describes a problem: use Fail, then Pass after CA",IF(AND(AQ70=1,OR(LEN(AY70)&lt;3,ISNUMBER(MATCH(AY70,L_Placeholder,0)))),"INVALID – batch ID missing or placeholder",IF(AND(AR70=1,OR(NOT(ISNUMBER(X70)),NOT(ISNUMBER(Y70)))),"INVALID – expected/actual qty missing",IF(AND(AR70=1,OR(X70&lt;=0,Y70&lt;0)),"INVALID – expected qty must be above 0 and actual not negative",IF(BB70&lt;&gt;"",BB70,IF(AND(AS70=1,Documents!$J$7&lt;&gt;"ON FILE"),"INVALID – GLD not on file (Documents sheet)",IF(AND(AS70=2,Documents!$O$7&lt;&gt;"ON FILE"),"INVALID – menu checklist not on file (Documents sheet)",IF(AND(AS70=3,NOT(ISNUMBER(Flights!$AX$7))),"INVALID – enter carrying flight KUL departure (Flights AX)",IF(AND(AS70=3,OR(Flights!$AZ$7&gt;Flights!$AA$7,Flights!$AX$7&lt;Flights!$AA$7-3)),"INVALID – carrying flight (Flights AX) cannot arrive before this leg's STD, or is over 3 days early",IF(AG70&gt;AsOfUTC,"INVALID – completion time is in the future",IF(AND(ISNUMBER(S70),AG70&lt;S70),IF(H70="Physical uplift","INVALID – before uplift window (cannot confirm loading)","INVALID – before valid window"),IF(AG70&gt;Flights!$AA$7,"INVALID – completed after departure (cannot establish readiness)",IF(AND(H70="Preparation",AG70&gt;IF(ISNUMBER(Flights!$BA$7),MIN(Flights!$BA$7,Flights!$AA$7),Flights!$AA$7)),"INVALID – completed after loading / departure (cannot establish readiness)",IF(AND(H70="Physical uplift",AG70&gt;Q70),"INVALID – recorded after the loading flight departed",IF(AG70&gt;Q70,"COMPLETE – LATE","COMPLETE"))))))))))))))))))))),IF(TRIM(U70)="Fail","FAIL – DISCREPANCY",IF(AND(TRIM(U70)&lt;&gt;"",TRIM(U70)&lt;&gt;"Not started",TRIM(U70)&lt;&gt;"In progress"),"INVALID – unrecognised status (use the list)",IF(AsOfUTC&gt;Q70,"OVERDUE",IF(N70="Clarification required","OPEN – CLARIFICATION","OPEN"))))))),"INVALID – error value in an input cell")</f>
        <v>OPEN</v>
      </c>
      <c r="AI70" s="61" t="n">
        <f aca="false">IF(OR(AH70="N/A – RULE",AH70="N/A – JUSTIFIED"),0,1)</f>
        <v>1</v>
      </c>
      <c r="AJ70" s="61" t="n">
        <f aca="false">IF(LEFT(AH70,8)="COMPLETE",1,0)</f>
        <v>0</v>
      </c>
      <c r="AK70" s="61" t="n">
        <f aca="false">IF(AND(AI70=1,AJ70=0,AsOfUTC&gt;Q70),1,0)</f>
        <v>0</v>
      </c>
      <c r="AL70" s="61" t="n">
        <f aca="false">IFERROR(IF(AND(AI70=1,OR(TRIM(U70)="Fail",AND(TRIM(AB70)&lt;&gt;"",TRIM(AB70)&lt;&gt;"Closed"),AND(ISNUMBER(AF70),AF70&lt;&gt;0,TRIM(U70)&lt;&gt;"Pass after CA"))),1,0),1)</f>
        <v>0</v>
      </c>
      <c r="AM70" s="61" t="n">
        <f aca="false">IF(LEFT(AH70,7)="INVALID",1,0)</f>
        <v>0</v>
      </c>
      <c r="AN70" s="61" t="n">
        <f aca="false">IF(AND(N70="Clarification required",AI70=1,AJ70=0),1,0)</f>
        <v>0</v>
      </c>
      <c r="AO70" s="61" t="str">
        <f aca="false">IF(AK70=1,SUM(AK$5:AK70),"")</f>
        <v/>
      </c>
      <c r="AP70" s="61" t="str">
        <f aca="false">IF(AL70=1,SUM(AL$5:AL70),"")</f>
        <v/>
      </c>
      <c r="AQ70" s="61" t="n">
        <v>0</v>
      </c>
      <c r="AR70" s="61" t="n">
        <v>0</v>
      </c>
      <c r="AS70" s="61" t="n">
        <v>0</v>
      </c>
      <c r="AT70" s="61" t="n">
        <v>0</v>
      </c>
      <c r="AU70" s="61" t="str">
        <f aca="false">SUBSTITUTE(SUBSTITUTE(SUBSTITUTE(SUBSTITUTE(SUBSTITUTE(SUBSTITUTE(SUBSTITUTE(SUBSTITUTE(SUBSTITUTE(SUBSTITUTE(SUBSTITUTE(SUBSTITUTE(SUBSTITUTE(LOWER(T70&amp;""),CHAR(160),"")," ",""),".",""),"-",""),"/",""),"?",""),"_",""),",",""),"[",""),"]",""),"(",""),")",""),"*","")</f>
        <v/>
      </c>
      <c r="AV70" s="61" t="str">
        <f aca="false">SUBSTITUTE(SUBSTITUTE(SUBSTITUTE(SUBSTITUTE(SUBSTITUTE(SUBSTITUTE(SUBSTITUTE(SUBSTITUTE(SUBSTITUTE(SUBSTITUTE(SUBSTITUTE(SUBSTITUTE(SUBSTITUTE(LOWER(V70&amp;""),CHAR(160),"")," ",""),".",""),"-",""),"/",""),"?",""),"_",""),",",""),"[",""),"]",""),"(",""),")",""),"*","")</f>
        <v/>
      </c>
      <c r="AW70" s="61" t="str">
        <f aca="false">SUBSTITUTE(SUBSTITUTE(SUBSTITUTE(SUBSTITUTE(SUBSTITUTE(SUBSTITUTE(SUBSTITUTE(SUBSTITUTE(SUBSTITUTE(SUBSTITUTE(SUBSTITUTE(SUBSTITUTE(SUBSTITUTE(LOWER(Z70&amp;""),CHAR(160),"")," ",""),".",""),"-",""),"/",""),"?",""),"_",""),",",""),"[",""),"]",""),"(",""),")",""),"*","")</f>
        <v/>
      </c>
      <c r="AX70" s="61" t="str">
        <f aca="false">SUBSTITUTE(SUBSTITUTE(SUBSTITUTE(SUBSTITUTE(SUBSTITUTE(SUBSTITUTE(SUBSTITUTE(SUBSTITUTE(SUBSTITUTE(SUBSTITUTE(SUBSTITUTE(SUBSTITUTE(SUBSTITUTE(LOWER(AE70&amp;""),CHAR(160),"")," ",""),".",""),"-",""),"/",""),"?",""),"_",""),",",""),"[",""),"]",""),"(",""),")",""),"*","")</f>
        <v/>
      </c>
      <c r="AY70" s="61" t="str">
        <f aca="false">SUBSTITUTE(SUBSTITUTE(SUBSTITUTE(SUBSTITUTE(SUBSTITUTE(SUBSTITUTE(SUBSTITUTE(SUBSTITUTE(SUBSTITUTE(SUBSTITUTE(SUBSTITUTE(SUBSTITUTE(SUBSTITUTE(LOWER(W70&amp;""),CHAR(160),"")," ",""),".",""),"-",""),"/",""),"?",""),"_",""),",",""),"[",""),"]",""),"(",""),")",""),"*","")</f>
        <v/>
      </c>
      <c r="AZ70" s="61" t="str">
        <f aca="false">SUBSTITUTE(SUBSTITUTE(SUBSTITUTE(SUBSTITUTE(SUBSTITUTE(SUBSTITUTE(SUBSTITUTE(SUBSTITUTE(SUBSTITUTE(SUBSTITUTE(SUBSTITUTE(SUBSTITUTE(SUBSTITUTE(LOWER(AC70&amp;""),CHAR(160),"")," ",""),".",""),"-",""),"/",""),"?",""),"_",""),",",""),"[",""),"]",""),"(",""),")",""),"*","")</f>
        <v/>
      </c>
      <c r="BA70" s="61" t="str">
        <f aca="false">SUBSTITUTE(SUBSTITUTE(SUBSTITUTE(SUBSTITUTE(SUBSTITUTE(SUBSTITUTE(SUBSTITUTE(SUBSTITUTE(SUBSTITUTE(SUBSTITUTE(SUBSTITUTE(SUBSTITUTE(SUBSTITUTE(LOWER(AA70&amp;""),CHAR(160),"")," ",""),".",""),"-",""),"/",""),"?",""),"_",""),",",""),"[",""),"]",""),"(",""),")",""),"*","")</f>
        <v/>
      </c>
      <c r="BB70" s="61" t="str">
        <f aca="false">IF(AND(TRIM(U70)="Pass",ISNUMBER(AF70)),IF(AF70&lt;&gt;0,"INVALID – qty variance: use Fail or Pass after CA",""),"")&amp;IF(AND(TRIM(U70)="Pass after CA",ISNUMBER(AF70)),IF(AF70&lt;&gt;0,"INVALID – after the corrective action the actual qty must equal expected (update Actual)",""),"")&amp;IF(AND(TRIM(U70)="Pass",TRIM(AB70)&lt;&gt;"",TRIM(AB70)&lt;&gt;"Closed"),"INVALID – corrective action not closed: use Fail, then Pass after CA","")&amp;IF(AND(TRIM(AA70)&lt;&gt;"",TRIM(AB70)=""),"INVALID – CA status missing for the recorded corrective action","")&amp;IF(AND(TRIM(U70)="Pass after CA",OR(OR(LEN(BA70)&lt;5,ISNUMBER(MATCH(BA70,L_Placeholder,0))),TRIM(AB70)&lt;&gt;"Closed")),"INVALID – corrective action not recorded/closed","")</f>
        <v/>
      </c>
    </row>
    <row r="71" customFormat="false" ht="41.25" hidden="false" customHeight="true" outlineLevel="0" collapsed="false">
      <c r="A71" s="57" t="s">
        <v>536</v>
      </c>
      <c r="B71" s="57" t="s">
        <v>209</v>
      </c>
      <c r="C71" s="57" t="str">
        <f aca="false">Flights!$F$7</f>
        <v>MH0720</v>
      </c>
      <c r="D71" s="58" t="n">
        <f aca="false">Flights!$D$7</f>
        <v>46305</v>
      </c>
      <c r="E71" s="57" t="str">
        <f aca="false">Flights!$G$7&amp;"-"&amp;Flights!$H$7</f>
        <v>CGK-KUL</v>
      </c>
      <c r="F71" s="57" t="str">
        <f aca="false">Flights!$K$7</f>
        <v>EY</v>
      </c>
      <c r="G71" s="57" t="s">
        <v>79</v>
      </c>
      <c r="H71" s="57" t="s">
        <v>356</v>
      </c>
      <c r="I71" s="57" t="s">
        <v>367</v>
      </c>
      <c r="J71" s="57" t="s">
        <v>368</v>
      </c>
      <c r="K71" s="67" t="s">
        <v>369</v>
      </c>
      <c r="L71" s="67" t="s">
        <v>360</v>
      </c>
      <c r="M71" s="67"/>
      <c r="N71" s="67" t="str">
        <f aca="false">IF(TRIM(Flights!$L$7)="A339","Required","N/A – rule")</f>
        <v>N/A – rule</v>
      </c>
      <c r="O71" s="67" t="s">
        <v>370</v>
      </c>
      <c r="P71" s="57" t="s">
        <v>198</v>
      </c>
      <c r="Q71" s="59" t="n">
        <f aca="false">ROUND((Flights!$AC$7)*1440,0)/1440</f>
        <v>46298.3784722222</v>
      </c>
      <c r="R71" s="59" t="n">
        <f aca="false">Q71+(IF(AND(INDEX(TZ_DSTS,MATCH(P71,TZ_STN,0))&lt;&gt;"",Q71&gt;=INDEX(TZ_DSTS,MATCH(P71,TZ_STN,0)),Q71&lt;INDEX(TZ_DSTE,MATCH(P71,TZ_STN,0))),INDEX(TZ_DST,MATCH(P71,TZ_STN,0)),INDEX(TZ_STD,MATCH(P71,TZ_STN,0))))/24</f>
        <v>46298.6701388889</v>
      </c>
      <c r="S71" s="59" t="n">
        <f aca="false">Q71-T7EarlyD*24/24</f>
        <v>46284.3784722222</v>
      </c>
      <c r="T71" s="60"/>
      <c r="U71" s="60"/>
      <c r="V71" s="60"/>
      <c r="W71" s="61"/>
      <c r="X71" s="60"/>
      <c r="Y71" s="60"/>
      <c r="Z71" s="60"/>
      <c r="AA71" s="60"/>
      <c r="AB71" s="60"/>
      <c r="AC71" s="60"/>
      <c r="AD71" s="66"/>
      <c r="AE71" s="60"/>
      <c r="AF71" s="61" t="str">
        <f aca="false">IF(AND(ISNUMBER(X71),ISNUMBER(Y71)),Y71-X71,"")</f>
        <v/>
      </c>
      <c r="AG71" s="62" t="str">
        <f aca="false">IF(ISNUMBER(AD71),AD71-(IF(AND(INDEX(TZ_DSTS,MATCH(P71,TZ_STN,0))&lt;&gt;"",(AD71-INDEX(TZ_STD,MATCH(P71,TZ_STN,0))/24)&gt;=INDEX(TZ_DSTS,MATCH(P71,TZ_STN,0)),(AD71-INDEX(TZ_STD,MATCH(P71,TZ_STN,0))/24)&lt;INDEX(TZ_DSTE,MATCH(P71,TZ_STN,0))),INDEX(TZ_DST,MATCH(P71,TZ_STN,0)),INDEX(TZ_STD,MATCH(P71,TZ_STN,0))))/24,"")</f>
        <v/>
      </c>
      <c r="AH71" s="65" t="str">
        <f aca="false">IFERROR(IF(N71="N/A – rule","N/A – RULE",IF(TRIM(U71)="N/A",IF(AT71=0,"INVALID – N/A not permitted for this check",IF(AND(TRIM(AB71)&lt;&gt;"",TRIM(AB71)&lt;&gt;"Closed"),"INVALID – corrective action still open",IF(AND(NOT(OR(LEN(AZ71)&lt;15,ISNUMBER(MATCH(AZ71,L_Placeholder,0)))),NOT(OR(LEN(AU71)&lt;2,ISNUMBER(MATCH(AU71,L_Placeholder,0)))),NOT(OR(LEN(AX71)&lt;2,ISNUMBER(MATCH(AX71,L_Placeholder,0)))),TRIM(AE71)&lt;&gt;TRIM(T71)),"N/A – JUSTIFIED","INVALID – N/A needs a real justification (15+ chars), PIC and a different verifier"))),IF(OR(TRIM(U71)="Pass",TRIM(U71)="Pass after CA"),IF(NOT(ISNUMBER(AD71)),"INVALID – completion time missing",IF(OR(LEN(AU71)&lt;2,ISNUMBER(MATCH(AU71,L_Placeholder,0))),"INVALID – PIC missing",IF(OR(LEN(AV71)&lt;2,ISNUMBER(MATCH(AV71,L_Placeholder,0))),"INVALID – result / assessment missing",IF(OR(OR(LEN(AW71)&lt;3,ISNUMBER(MATCH(AW71,L_Placeholder,0))),SUMPRODUCT(--ISNUMBER(SEARCH(L_EvidencePhrase,AW71)))&gt;0),"INVALID – evidence missing, placeholder or not yet on file",IF(OR(LEN(AX71)&lt;2,ISNUMBER(MATCH(AX71,L_Placeholder,0))),"INVALID – verifier missing",IF(AX71=AU71,"INVALID – verifier must be someone other than the PIC",IF(AND(TRIM(U71)="Pass",SUMPRODUCT(--ISNUMBER(SEARCH(L_ResultBad,AV71)))&gt;0),"INVALID – result describes a problem: use Fail, then Pass after CA",IF(AND(AQ71=1,OR(LEN(AY71)&lt;3,ISNUMBER(MATCH(AY71,L_Placeholder,0)))),"INVALID – batch ID missing or placeholder",IF(AND(AR71=1,OR(NOT(ISNUMBER(X71)),NOT(ISNUMBER(Y71)))),"INVALID – expected/actual qty missing",IF(AND(AR71=1,OR(X71&lt;=0,Y71&lt;0)),"INVALID – expected qty must be above 0 and actual not negative",IF(BB71&lt;&gt;"",BB71,IF(AND(AS71=1,Documents!$J$7&lt;&gt;"ON FILE"),"INVALID – GLD not on file (Documents sheet)",IF(AND(AS71=2,Documents!$O$7&lt;&gt;"ON FILE"),"INVALID – menu checklist not on file (Documents sheet)",IF(AND(AS71=3,NOT(ISNUMBER(Flights!$AX$7))),"INVALID – enter carrying flight KUL departure (Flights AX)",IF(AND(AS71=3,OR(Flights!$AZ$7&gt;Flights!$AA$7,Flights!$AX$7&lt;Flights!$AA$7-3)),"INVALID – carrying flight (Flights AX) cannot arrive before this leg's STD, or is over 3 days early",IF(AG71&gt;AsOfUTC,"INVALID – completion time is in the future",IF(AND(ISNUMBER(S71),AG71&lt;S71),IF(H71="Physical uplift","INVALID – before uplift window (cannot confirm loading)","INVALID – before valid window"),IF(AG71&gt;Flights!$AA$7,"INVALID – completed after departure (cannot establish readiness)",IF(AND(H71="Preparation",AG71&gt;IF(ISNUMBER(Flights!$BA$7),MIN(Flights!$BA$7,Flights!$AA$7),Flights!$AA$7)),"INVALID – completed after loading / departure (cannot establish readiness)",IF(AND(H71="Physical uplift",AG71&gt;Q71),"INVALID – recorded after the loading flight departed",IF(AG71&gt;Q71,"COMPLETE – LATE","COMPLETE"))))))))))))))))))))),IF(TRIM(U71)="Fail","FAIL – DISCREPANCY",IF(AND(TRIM(U71)&lt;&gt;"",TRIM(U71)&lt;&gt;"Not started",TRIM(U71)&lt;&gt;"In progress"),"INVALID – unrecognised status (use the list)",IF(AsOfUTC&gt;Q71,"OVERDUE",IF(N71="Clarification required","OPEN – CLARIFICATION","OPEN"))))))),"INVALID – error value in an input cell")</f>
        <v>N/A – RULE</v>
      </c>
      <c r="AI71" s="61" t="n">
        <f aca="false">IF(OR(AH71="N/A – RULE",AH71="N/A – JUSTIFIED"),0,1)</f>
        <v>0</v>
      </c>
      <c r="AJ71" s="61" t="n">
        <f aca="false">IF(LEFT(AH71,8)="COMPLETE",1,0)</f>
        <v>0</v>
      </c>
      <c r="AK71" s="61" t="n">
        <f aca="false">IF(AND(AI71=1,AJ71=0,AsOfUTC&gt;Q71),1,0)</f>
        <v>0</v>
      </c>
      <c r="AL71" s="61" t="n">
        <f aca="false">IFERROR(IF(AND(AI71=1,OR(TRIM(U71)="Fail",AND(TRIM(AB71)&lt;&gt;"",TRIM(AB71)&lt;&gt;"Closed"),AND(ISNUMBER(AF71),AF71&lt;&gt;0,TRIM(U71)&lt;&gt;"Pass after CA"))),1,0),1)</f>
        <v>0</v>
      </c>
      <c r="AM71" s="61" t="n">
        <f aca="false">IF(LEFT(AH71,7)="INVALID",1,0)</f>
        <v>0</v>
      </c>
      <c r="AN71" s="61" t="n">
        <f aca="false">IF(AND(N71="Clarification required",AI71=1,AJ71=0),1,0)</f>
        <v>0</v>
      </c>
      <c r="AO71" s="61" t="str">
        <f aca="false">IF(AK71=1,SUM(AK$5:AK71),"")</f>
        <v/>
      </c>
      <c r="AP71" s="61" t="str">
        <f aca="false">IF(AL71=1,SUM(AL$5:AL71),"")</f>
        <v/>
      </c>
      <c r="AQ71" s="61" t="n">
        <v>0</v>
      </c>
      <c r="AR71" s="61" t="n">
        <v>0</v>
      </c>
      <c r="AS71" s="61" t="n">
        <v>0</v>
      </c>
      <c r="AT71" s="61" t="n">
        <v>0</v>
      </c>
      <c r="AU71" s="61" t="str">
        <f aca="false">SUBSTITUTE(SUBSTITUTE(SUBSTITUTE(SUBSTITUTE(SUBSTITUTE(SUBSTITUTE(SUBSTITUTE(SUBSTITUTE(SUBSTITUTE(SUBSTITUTE(SUBSTITUTE(SUBSTITUTE(SUBSTITUTE(LOWER(T71&amp;""),CHAR(160),"")," ",""),".",""),"-",""),"/",""),"?",""),"_",""),",",""),"[",""),"]",""),"(",""),")",""),"*","")</f>
        <v/>
      </c>
      <c r="AV71" s="61" t="str">
        <f aca="false">SUBSTITUTE(SUBSTITUTE(SUBSTITUTE(SUBSTITUTE(SUBSTITUTE(SUBSTITUTE(SUBSTITUTE(SUBSTITUTE(SUBSTITUTE(SUBSTITUTE(SUBSTITUTE(SUBSTITUTE(SUBSTITUTE(LOWER(V71&amp;""),CHAR(160),"")," ",""),".",""),"-",""),"/",""),"?",""),"_",""),",",""),"[",""),"]",""),"(",""),")",""),"*","")</f>
        <v/>
      </c>
      <c r="AW71" s="61" t="str">
        <f aca="false">SUBSTITUTE(SUBSTITUTE(SUBSTITUTE(SUBSTITUTE(SUBSTITUTE(SUBSTITUTE(SUBSTITUTE(SUBSTITUTE(SUBSTITUTE(SUBSTITUTE(SUBSTITUTE(SUBSTITUTE(SUBSTITUTE(LOWER(Z71&amp;""),CHAR(160),"")," ",""),".",""),"-",""),"/",""),"?",""),"_",""),",",""),"[",""),"]",""),"(",""),")",""),"*","")</f>
        <v/>
      </c>
      <c r="AX71" s="61" t="str">
        <f aca="false">SUBSTITUTE(SUBSTITUTE(SUBSTITUTE(SUBSTITUTE(SUBSTITUTE(SUBSTITUTE(SUBSTITUTE(SUBSTITUTE(SUBSTITUTE(SUBSTITUTE(SUBSTITUTE(SUBSTITUTE(SUBSTITUTE(LOWER(AE71&amp;""),CHAR(160),"")," ",""),".",""),"-",""),"/",""),"?",""),"_",""),",",""),"[",""),"]",""),"(",""),")",""),"*","")</f>
        <v/>
      </c>
      <c r="AY71" s="61" t="str">
        <f aca="false">SUBSTITUTE(SUBSTITUTE(SUBSTITUTE(SUBSTITUTE(SUBSTITUTE(SUBSTITUTE(SUBSTITUTE(SUBSTITUTE(SUBSTITUTE(SUBSTITUTE(SUBSTITUTE(SUBSTITUTE(SUBSTITUTE(LOWER(W71&amp;""),CHAR(160),"")," ",""),".",""),"-",""),"/",""),"?",""),"_",""),",",""),"[",""),"]",""),"(",""),")",""),"*","")</f>
        <v/>
      </c>
      <c r="AZ71" s="61" t="str">
        <f aca="false">SUBSTITUTE(SUBSTITUTE(SUBSTITUTE(SUBSTITUTE(SUBSTITUTE(SUBSTITUTE(SUBSTITUTE(SUBSTITUTE(SUBSTITUTE(SUBSTITUTE(SUBSTITUTE(SUBSTITUTE(SUBSTITUTE(LOWER(AC71&amp;""),CHAR(160),"")," ",""),".",""),"-",""),"/",""),"?",""),"_",""),",",""),"[",""),"]",""),"(",""),")",""),"*","")</f>
        <v/>
      </c>
      <c r="BA71" s="61" t="str">
        <f aca="false">SUBSTITUTE(SUBSTITUTE(SUBSTITUTE(SUBSTITUTE(SUBSTITUTE(SUBSTITUTE(SUBSTITUTE(SUBSTITUTE(SUBSTITUTE(SUBSTITUTE(SUBSTITUTE(SUBSTITUTE(SUBSTITUTE(LOWER(AA71&amp;""),CHAR(160),"")," ",""),".",""),"-",""),"/",""),"?",""),"_",""),",",""),"[",""),"]",""),"(",""),")",""),"*","")</f>
        <v/>
      </c>
      <c r="BB71" s="61" t="str">
        <f aca="false">IF(AND(TRIM(U71)="Pass",ISNUMBER(AF71)),IF(AF71&lt;&gt;0,"INVALID – qty variance: use Fail or Pass after CA",""),"")&amp;IF(AND(TRIM(U71)="Pass after CA",ISNUMBER(AF71)),IF(AF71&lt;&gt;0,"INVALID – after the corrective action the actual qty must equal expected (update Actual)",""),"")&amp;IF(AND(TRIM(U71)="Pass",TRIM(AB71)&lt;&gt;"",TRIM(AB71)&lt;&gt;"Closed"),"INVALID – corrective action not closed: use Fail, then Pass after CA","")&amp;IF(AND(TRIM(AA71)&lt;&gt;"",TRIM(AB71)=""),"INVALID – CA status missing for the recorded corrective action","")&amp;IF(AND(TRIM(U71)="Pass after CA",OR(OR(LEN(BA71)&lt;5,ISNUMBER(MATCH(BA71,L_Placeholder,0))),TRIM(AB71)&lt;&gt;"Closed")),"INVALID – corrective action not recorded/closed","")</f>
        <v/>
      </c>
    </row>
    <row r="72" customFormat="false" ht="39.75" hidden="false" customHeight="true" outlineLevel="0" collapsed="false">
      <c r="A72" s="57" t="s">
        <v>537</v>
      </c>
      <c r="B72" s="57" t="s">
        <v>209</v>
      </c>
      <c r="C72" s="57" t="str">
        <f aca="false">Flights!$F$7</f>
        <v>MH0720</v>
      </c>
      <c r="D72" s="58" t="n">
        <f aca="false">Flights!$D$7</f>
        <v>46305</v>
      </c>
      <c r="E72" s="57" t="str">
        <f aca="false">Flights!$G$7&amp;"-"&amp;Flights!$H$7</f>
        <v>CGK-KUL</v>
      </c>
      <c r="F72" s="57" t="str">
        <f aca="false">Flights!$K$7</f>
        <v>EY</v>
      </c>
      <c r="G72" s="57" t="s">
        <v>79</v>
      </c>
      <c r="H72" s="57" t="s">
        <v>356</v>
      </c>
      <c r="I72" s="57" t="s">
        <v>372</v>
      </c>
      <c r="J72" s="57" t="s">
        <v>373</v>
      </c>
      <c r="K72" s="67" t="s">
        <v>374</v>
      </c>
      <c r="L72" s="67" t="s">
        <v>360</v>
      </c>
      <c r="M72" s="67"/>
      <c r="N72" s="67" t="s">
        <v>361</v>
      </c>
      <c r="O72" s="67"/>
      <c r="P72" s="57" t="s">
        <v>198</v>
      </c>
      <c r="Q72" s="59" t="n">
        <f aca="false">ROUND((Flights!$AC$7)*1440,0)/1440</f>
        <v>46298.3784722222</v>
      </c>
      <c r="R72" s="59" t="n">
        <f aca="false">Q72+(IF(AND(INDEX(TZ_DSTS,MATCH(P72,TZ_STN,0))&lt;&gt;"",Q72&gt;=INDEX(TZ_DSTS,MATCH(P72,TZ_STN,0)),Q72&lt;INDEX(TZ_DSTE,MATCH(P72,TZ_STN,0))),INDEX(TZ_DST,MATCH(P72,TZ_STN,0)),INDEX(TZ_STD,MATCH(P72,TZ_STN,0))))/24</f>
        <v>46298.6701388889</v>
      </c>
      <c r="S72" s="59" t="n">
        <f aca="false">Q72-T7EarlyD*24/24</f>
        <v>46284.3784722222</v>
      </c>
      <c r="T72" s="60"/>
      <c r="U72" s="60"/>
      <c r="V72" s="60"/>
      <c r="W72" s="61"/>
      <c r="X72" s="60"/>
      <c r="Y72" s="60"/>
      <c r="Z72" s="60"/>
      <c r="AA72" s="60"/>
      <c r="AB72" s="60"/>
      <c r="AC72" s="60"/>
      <c r="AD72" s="66"/>
      <c r="AE72" s="60"/>
      <c r="AF72" s="61" t="str">
        <f aca="false">IF(AND(ISNUMBER(X72),ISNUMBER(Y72)),Y72-X72,"")</f>
        <v/>
      </c>
      <c r="AG72" s="62" t="str">
        <f aca="false">IF(ISNUMBER(AD72),AD72-(IF(AND(INDEX(TZ_DSTS,MATCH(P72,TZ_STN,0))&lt;&gt;"",(AD72-INDEX(TZ_STD,MATCH(P72,TZ_STN,0))/24)&gt;=INDEX(TZ_DSTS,MATCH(P72,TZ_STN,0)),(AD72-INDEX(TZ_STD,MATCH(P72,TZ_STN,0))/24)&lt;INDEX(TZ_DSTE,MATCH(P72,TZ_STN,0))),INDEX(TZ_DST,MATCH(P72,TZ_STN,0)),INDEX(TZ_STD,MATCH(P72,TZ_STN,0))))/24,"")</f>
        <v/>
      </c>
      <c r="AH72" s="65" t="str">
        <f aca="false">IFERROR(IF(N72="N/A – rule","N/A – RULE",IF(TRIM(U72)="N/A",IF(AT72=0,"INVALID – N/A not permitted for this check",IF(AND(TRIM(AB72)&lt;&gt;"",TRIM(AB72)&lt;&gt;"Closed"),"INVALID – corrective action still open",IF(AND(NOT(OR(LEN(AZ72)&lt;15,ISNUMBER(MATCH(AZ72,L_Placeholder,0)))),NOT(OR(LEN(AU72)&lt;2,ISNUMBER(MATCH(AU72,L_Placeholder,0)))),NOT(OR(LEN(AX72)&lt;2,ISNUMBER(MATCH(AX72,L_Placeholder,0)))),TRIM(AE72)&lt;&gt;TRIM(T72)),"N/A – JUSTIFIED","INVALID – N/A needs a real justification (15+ chars), PIC and a different verifier"))),IF(OR(TRIM(U72)="Pass",TRIM(U72)="Pass after CA"),IF(NOT(ISNUMBER(AD72)),"INVALID – completion time missing",IF(OR(LEN(AU72)&lt;2,ISNUMBER(MATCH(AU72,L_Placeholder,0))),"INVALID – PIC missing",IF(OR(LEN(AV72)&lt;2,ISNUMBER(MATCH(AV72,L_Placeholder,0))),"INVALID – result / assessment missing",IF(OR(OR(LEN(AW72)&lt;3,ISNUMBER(MATCH(AW72,L_Placeholder,0))),SUMPRODUCT(--ISNUMBER(SEARCH(L_EvidencePhrase,AW72)))&gt;0),"INVALID – evidence missing, placeholder or not yet on file",IF(OR(LEN(AX72)&lt;2,ISNUMBER(MATCH(AX72,L_Placeholder,0))),"INVALID – verifier missing",IF(AX72=AU72,"INVALID – verifier must be someone other than the PIC",IF(AND(TRIM(U72)="Pass",SUMPRODUCT(--ISNUMBER(SEARCH(L_ResultBad,AV72)))&gt;0),"INVALID – result describes a problem: use Fail, then Pass after CA",IF(AND(AQ72=1,OR(LEN(AY72)&lt;3,ISNUMBER(MATCH(AY72,L_Placeholder,0)))),"INVALID – batch ID missing or placeholder",IF(AND(AR72=1,OR(NOT(ISNUMBER(X72)),NOT(ISNUMBER(Y72)))),"INVALID – expected/actual qty missing",IF(AND(AR72=1,OR(X72&lt;=0,Y72&lt;0)),"INVALID – expected qty must be above 0 and actual not negative",IF(BB72&lt;&gt;"",BB72,IF(AND(AS72=1,Documents!$J$7&lt;&gt;"ON FILE"),"INVALID – GLD not on file (Documents sheet)",IF(AND(AS72=2,Documents!$O$7&lt;&gt;"ON FILE"),"INVALID – menu checklist not on file (Documents sheet)",IF(AND(AS72=3,NOT(ISNUMBER(Flights!$AX$7))),"INVALID – enter carrying flight KUL departure (Flights AX)",IF(AND(AS72=3,OR(Flights!$AZ$7&gt;Flights!$AA$7,Flights!$AX$7&lt;Flights!$AA$7-3)),"INVALID – carrying flight (Flights AX) cannot arrive before this leg's STD, or is over 3 days early",IF(AG72&gt;AsOfUTC,"INVALID – completion time is in the future",IF(AND(ISNUMBER(S72),AG72&lt;S72),IF(H72="Physical uplift","INVALID – before uplift window (cannot confirm loading)","INVALID – before valid window"),IF(AG72&gt;Flights!$AA$7,"INVALID – completed after departure (cannot establish readiness)",IF(AND(H72="Preparation",AG72&gt;IF(ISNUMBER(Flights!$BA$7),MIN(Flights!$BA$7,Flights!$AA$7),Flights!$AA$7)),"INVALID – completed after loading / departure (cannot establish readiness)",IF(AND(H72="Physical uplift",AG72&gt;Q72),"INVALID – recorded after the loading flight departed",IF(AG72&gt;Q72,"COMPLETE – LATE","COMPLETE"))))))))))))))))))))),IF(TRIM(U72)="Fail","FAIL – DISCREPANCY",IF(AND(TRIM(U72)&lt;&gt;"",TRIM(U72)&lt;&gt;"Not started",TRIM(U72)&lt;&gt;"In progress"),"INVALID – unrecognised status (use the list)",IF(AsOfUTC&gt;Q72,"OVERDUE",IF(N72="Clarification required","OPEN – CLARIFICATION","OPEN"))))))),"INVALID – error value in an input cell")</f>
        <v>OPEN</v>
      </c>
      <c r="AI72" s="61" t="n">
        <f aca="false">IF(OR(AH72="N/A – RULE",AH72="N/A – JUSTIFIED"),0,1)</f>
        <v>1</v>
      </c>
      <c r="AJ72" s="61" t="n">
        <f aca="false">IF(LEFT(AH72,8)="COMPLETE",1,0)</f>
        <v>0</v>
      </c>
      <c r="AK72" s="61" t="n">
        <f aca="false">IF(AND(AI72=1,AJ72=0,AsOfUTC&gt;Q72),1,0)</f>
        <v>0</v>
      </c>
      <c r="AL72" s="61" t="n">
        <f aca="false">IFERROR(IF(AND(AI72=1,OR(TRIM(U72)="Fail",AND(TRIM(AB72)&lt;&gt;"",TRIM(AB72)&lt;&gt;"Closed"),AND(ISNUMBER(AF72),AF72&lt;&gt;0,TRIM(U72)&lt;&gt;"Pass after CA"))),1,0),1)</f>
        <v>0</v>
      </c>
      <c r="AM72" s="61" t="n">
        <f aca="false">IF(LEFT(AH72,7)="INVALID",1,0)</f>
        <v>0</v>
      </c>
      <c r="AN72" s="61" t="n">
        <f aca="false">IF(AND(N72="Clarification required",AI72=1,AJ72=0),1,0)</f>
        <v>0</v>
      </c>
      <c r="AO72" s="61" t="str">
        <f aca="false">IF(AK72=1,SUM(AK$5:AK72),"")</f>
        <v/>
      </c>
      <c r="AP72" s="61" t="str">
        <f aca="false">IF(AL72=1,SUM(AL$5:AL72),"")</f>
        <v/>
      </c>
      <c r="AQ72" s="61" t="n">
        <v>0</v>
      </c>
      <c r="AR72" s="61" t="n">
        <v>0</v>
      </c>
      <c r="AS72" s="61" t="n">
        <v>0</v>
      </c>
      <c r="AT72" s="61" t="n">
        <v>0</v>
      </c>
      <c r="AU72" s="61" t="str">
        <f aca="false">SUBSTITUTE(SUBSTITUTE(SUBSTITUTE(SUBSTITUTE(SUBSTITUTE(SUBSTITUTE(SUBSTITUTE(SUBSTITUTE(SUBSTITUTE(SUBSTITUTE(SUBSTITUTE(SUBSTITUTE(SUBSTITUTE(LOWER(T72&amp;""),CHAR(160),"")," ",""),".",""),"-",""),"/",""),"?",""),"_",""),",",""),"[",""),"]",""),"(",""),")",""),"*","")</f>
        <v/>
      </c>
      <c r="AV72" s="61" t="str">
        <f aca="false">SUBSTITUTE(SUBSTITUTE(SUBSTITUTE(SUBSTITUTE(SUBSTITUTE(SUBSTITUTE(SUBSTITUTE(SUBSTITUTE(SUBSTITUTE(SUBSTITUTE(SUBSTITUTE(SUBSTITUTE(SUBSTITUTE(LOWER(V72&amp;""),CHAR(160),"")," ",""),".",""),"-",""),"/",""),"?",""),"_",""),",",""),"[",""),"]",""),"(",""),")",""),"*","")</f>
        <v/>
      </c>
      <c r="AW72" s="61" t="str">
        <f aca="false">SUBSTITUTE(SUBSTITUTE(SUBSTITUTE(SUBSTITUTE(SUBSTITUTE(SUBSTITUTE(SUBSTITUTE(SUBSTITUTE(SUBSTITUTE(SUBSTITUTE(SUBSTITUTE(SUBSTITUTE(SUBSTITUTE(LOWER(Z72&amp;""),CHAR(160),"")," ",""),".",""),"-",""),"/",""),"?",""),"_",""),",",""),"[",""),"]",""),"(",""),")",""),"*","")</f>
        <v/>
      </c>
      <c r="AX72" s="61" t="str">
        <f aca="false">SUBSTITUTE(SUBSTITUTE(SUBSTITUTE(SUBSTITUTE(SUBSTITUTE(SUBSTITUTE(SUBSTITUTE(SUBSTITUTE(SUBSTITUTE(SUBSTITUTE(SUBSTITUTE(SUBSTITUTE(SUBSTITUTE(LOWER(AE72&amp;""),CHAR(160),"")," ",""),".",""),"-",""),"/",""),"?",""),"_",""),",",""),"[",""),"]",""),"(",""),")",""),"*","")</f>
        <v/>
      </c>
      <c r="AY72" s="61" t="str">
        <f aca="false">SUBSTITUTE(SUBSTITUTE(SUBSTITUTE(SUBSTITUTE(SUBSTITUTE(SUBSTITUTE(SUBSTITUTE(SUBSTITUTE(SUBSTITUTE(SUBSTITUTE(SUBSTITUTE(SUBSTITUTE(SUBSTITUTE(LOWER(W72&amp;""),CHAR(160),"")," ",""),".",""),"-",""),"/",""),"?",""),"_",""),",",""),"[",""),"]",""),"(",""),")",""),"*","")</f>
        <v/>
      </c>
      <c r="AZ72" s="61" t="str">
        <f aca="false">SUBSTITUTE(SUBSTITUTE(SUBSTITUTE(SUBSTITUTE(SUBSTITUTE(SUBSTITUTE(SUBSTITUTE(SUBSTITUTE(SUBSTITUTE(SUBSTITUTE(SUBSTITUTE(SUBSTITUTE(SUBSTITUTE(LOWER(AC72&amp;""),CHAR(160),"")," ",""),".",""),"-",""),"/",""),"?",""),"_",""),",",""),"[",""),"]",""),"(",""),")",""),"*","")</f>
        <v/>
      </c>
      <c r="BA72" s="61" t="str">
        <f aca="false">SUBSTITUTE(SUBSTITUTE(SUBSTITUTE(SUBSTITUTE(SUBSTITUTE(SUBSTITUTE(SUBSTITUTE(SUBSTITUTE(SUBSTITUTE(SUBSTITUTE(SUBSTITUTE(SUBSTITUTE(SUBSTITUTE(LOWER(AA72&amp;""),CHAR(160),"")," ",""),".",""),"-",""),"/",""),"?",""),"_",""),",",""),"[",""),"]",""),"(",""),")",""),"*","")</f>
        <v/>
      </c>
      <c r="BB72" s="61" t="str">
        <f aca="false">IF(AND(TRIM(U72)="Pass",ISNUMBER(AF72)),IF(AF72&lt;&gt;0,"INVALID – qty variance: use Fail or Pass after CA",""),"")&amp;IF(AND(TRIM(U72)="Pass after CA",ISNUMBER(AF72)),IF(AF72&lt;&gt;0,"INVALID – after the corrective action the actual qty must equal expected (update Actual)",""),"")&amp;IF(AND(TRIM(U72)="Pass",TRIM(AB72)&lt;&gt;"",TRIM(AB72)&lt;&gt;"Closed"),"INVALID – corrective action not closed: use Fail, then Pass after CA","")&amp;IF(AND(TRIM(AA72)&lt;&gt;"",TRIM(AB72)=""),"INVALID – CA status missing for the recorded corrective action","")&amp;IF(AND(TRIM(U72)="Pass after CA",OR(OR(LEN(BA72)&lt;5,ISNUMBER(MATCH(BA72,L_Placeholder,0))),TRIM(AB72)&lt;&gt;"Closed")),"INVALID – corrective action not recorded/closed","")</f>
        <v/>
      </c>
    </row>
    <row r="73" customFormat="false" ht="39.75" hidden="false" customHeight="true" outlineLevel="0" collapsed="false">
      <c r="A73" s="57" t="s">
        <v>538</v>
      </c>
      <c r="B73" s="57" t="s">
        <v>209</v>
      </c>
      <c r="C73" s="57" t="str">
        <f aca="false">Flights!$F$7</f>
        <v>MH0720</v>
      </c>
      <c r="D73" s="58" t="n">
        <f aca="false">Flights!$D$7</f>
        <v>46305</v>
      </c>
      <c r="E73" s="57" t="str">
        <f aca="false">Flights!$G$7&amp;"-"&amp;Flights!$H$7</f>
        <v>CGK-KUL</v>
      </c>
      <c r="F73" s="57" t="str">
        <f aca="false">Flights!$K$7</f>
        <v>EY</v>
      </c>
      <c r="G73" s="57" t="s">
        <v>79</v>
      </c>
      <c r="H73" s="57" t="s">
        <v>356</v>
      </c>
      <c r="I73" s="57" t="s">
        <v>376</v>
      </c>
      <c r="J73" s="57" t="s">
        <v>377</v>
      </c>
      <c r="K73" s="67" t="s">
        <v>378</v>
      </c>
      <c r="L73" s="67" t="s">
        <v>360</v>
      </c>
      <c r="M73" s="67"/>
      <c r="N73" s="67" t="s">
        <v>361</v>
      </c>
      <c r="O73" s="67"/>
      <c r="P73" s="57" t="s">
        <v>198</v>
      </c>
      <c r="Q73" s="59" t="n">
        <f aca="false">ROUND((Flights!$AC$7)*1440,0)/1440</f>
        <v>46298.3784722222</v>
      </c>
      <c r="R73" s="59" t="n">
        <f aca="false">Q73+(IF(AND(INDEX(TZ_DSTS,MATCH(P73,TZ_STN,0))&lt;&gt;"",Q73&gt;=INDEX(TZ_DSTS,MATCH(P73,TZ_STN,0)),Q73&lt;INDEX(TZ_DSTE,MATCH(P73,TZ_STN,0))),INDEX(TZ_DST,MATCH(P73,TZ_STN,0)),INDEX(TZ_STD,MATCH(P73,TZ_STN,0))))/24</f>
        <v>46298.6701388889</v>
      </c>
      <c r="S73" s="59" t="n">
        <f aca="false">Q73-T7EarlyD*24/24</f>
        <v>46284.3784722222</v>
      </c>
      <c r="T73" s="60"/>
      <c r="U73" s="60"/>
      <c r="V73" s="60"/>
      <c r="W73" s="61"/>
      <c r="X73" s="60"/>
      <c r="Y73" s="60"/>
      <c r="Z73" s="60"/>
      <c r="AA73" s="60"/>
      <c r="AB73" s="60"/>
      <c r="AC73" s="60"/>
      <c r="AD73" s="66"/>
      <c r="AE73" s="60"/>
      <c r="AF73" s="61" t="str">
        <f aca="false">IF(AND(ISNUMBER(X73),ISNUMBER(Y73)),Y73-X73,"")</f>
        <v/>
      </c>
      <c r="AG73" s="62" t="str">
        <f aca="false">IF(ISNUMBER(AD73),AD73-(IF(AND(INDEX(TZ_DSTS,MATCH(P73,TZ_STN,0))&lt;&gt;"",(AD73-INDEX(TZ_STD,MATCH(P73,TZ_STN,0))/24)&gt;=INDEX(TZ_DSTS,MATCH(P73,TZ_STN,0)),(AD73-INDEX(TZ_STD,MATCH(P73,TZ_STN,0))/24)&lt;INDEX(TZ_DSTE,MATCH(P73,TZ_STN,0))),INDEX(TZ_DST,MATCH(P73,TZ_STN,0)),INDEX(TZ_STD,MATCH(P73,TZ_STN,0))))/24,"")</f>
        <v/>
      </c>
      <c r="AH73" s="65" t="str">
        <f aca="false">IFERROR(IF(N73="N/A – rule","N/A – RULE",IF(TRIM(U73)="N/A",IF(AT73=0,"INVALID – N/A not permitted for this check",IF(AND(TRIM(AB73)&lt;&gt;"",TRIM(AB73)&lt;&gt;"Closed"),"INVALID – corrective action still open",IF(AND(NOT(OR(LEN(AZ73)&lt;15,ISNUMBER(MATCH(AZ73,L_Placeholder,0)))),NOT(OR(LEN(AU73)&lt;2,ISNUMBER(MATCH(AU73,L_Placeholder,0)))),NOT(OR(LEN(AX73)&lt;2,ISNUMBER(MATCH(AX73,L_Placeholder,0)))),TRIM(AE73)&lt;&gt;TRIM(T73)),"N/A – JUSTIFIED","INVALID – N/A needs a real justification (15+ chars), PIC and a different verifier"))),IF(OR(TRIM(U73)="Pass",TRIM(U73)="Pass after CA"),IF(NOT(ISNUMBER(AD73)),"INVALID – completion time missing",IF(OR(LEN(AU73)&lt;2,ISNUMBER(MATCH(AU73,L_Placeholder,0))),"INVALID – PIC missing",IF(OR(LEN(AV73)&lt;2,ISNUMBER(MATCH(AV73,L_Placeholder,0))),"INVALID – result / assessment missing",IF(OR(OR(LEN(AW73)&lt;3,ISNUMBER(MATCH(AW73,L_Placeholder,0))),SUMPRODUCT(--ISNUMBER(SEARCH(L_EvidencePhrase,AW73)))&gt;0),"INVALID – evidence missing, placeholder or not yet on file",IF(OR(LEN(AX73)&lt;2,ISNUMBER(MATCH(AX73,L_Placeholder,0))),"INVALID – verifier missing",IF(AX73=AU73,"INVALID – verifier must be someone other than the PIC",IF(AND(TRIM(U73)="Pass",SUMPRODUCT(--ISNUMBER(SEARCH(L_ResultBad,AV73)))&gt;0),"INVALID – result describes a problem: use Fail, then Pass after CA",IF(AND(AQ73=1,OR(LEN(AY73)&lt;3,ISNUMBER(MATCH(AY73,L_Placeholder,0)))),"INVALID – batch ID missing or placeholder",IF(AND(AR73=1,OR(NOT(ISNUMBER(X73)),NOT(ISNUMBER(Y73)))),"INVALID – expected/actual qty missing",IF(AND(AR73=1,OR(X73&lt;=0,Y73&lt;0)),"INVALID – expected qty must be above 0 and actual not negative",IF(BB73&lt;&gt;"",BB73,IF(AND(AS73=1,Documents!$J$7&lt;&gt;"ON FILE"),"INVALID – GLD not on file (Documents sheet)",IF(AND(AS73=2,Documents!$O$7&lt;&gt;"ON FILE"),"INVALID – menu checklist not on file (Documents sheet)",IF(AND(AS73=3,NOT(ISNUMBER(Flights!$AX$7))),"INVALID – enter carrying flight KUL departure (Flights AX)",IF(AND(AS73=3,OR(Flights!$AZ$7&gt;Flights!$AA$7,Flights!$AX$7&lt;Flights!$AA$7-3)),"INVALID – carrying flight (Flights AX) cannot arrive before this leg's STD, or is over 3 days early",IF(AG73&gt;AsOfUTC,"INVALID – completion time is in the future",IF(AND(ISNUMBER(S73),AG73&lt;S73),IF(H73="Physical uplift","INVALID – before uplift window (cannot confirm loading)","INVALID – before valid window"),IF(AG73&gt;Flights!$AA$7,"INVALID – completed after departure (cannot establish readiness)",IF(AND(H73="Preparation",AG73&gt;IF(ISNUMBER(Flights!$BA$7),MIN(Flights!$BA$7,Flights!$AA$7),Flights!$AA$7)),"INVALID – completed after loading / departure (cannot establish readiness)",IF(AND(H73="Physical uplift",AG73&gt;Q73),"INVALID – recorded after the loading flight departed",IF(AG73&gt;Q73,"COMPLETE – LATE","COMPLETE"))))))))))))))))))))),IF(TRIM(U73)="Fail","FAIL – DISCREPANCY",IF(AND(TRIM(U73)&lt;&gt;"",TRIM(U73)&lt;&gt;"Not started",TRIM(U73)&lt;&gt;"In progress"),"INVALID – unrecognised status (use the list)",IF(AsOfUTC&gt;Q73,"OVERDUE",IF(N73="Clarification required","OPEN – CLARIFICATION","OPEN"))))))),"INVALID – error value in an input cell")</f>
        <v>OPEN</v>
      </c>
      <c r="AI73" s="61" t="n">
        <f aca="false">IF(OR(AH73="N/A – RULE",AH73="N/A – JUSTIFIED"),0,1)</f>
        <v>1</v>
      </c>
      <c r="AJ73" s="61" t="n">
        <f aca="false">IF(LEFT(AH73,8)="COMPLETE",1,0)</f>
        <v>0</v>
      </c>
      <c r="AK73" s="61" t="n">
        <f aca="false">IF(AND(AI73=1,AJ73=0,AsOfUTC&gt;Q73),1,0)</f>
        <v>0</v>
      </c>
      <c r="AL73" s="61" t="n">
        <f aca="false">IFERROR(IF(AND(AI73=1,OR(TRIM(U73)="Fail",AND(TRIM(AB73)&lt;&gt;"",TRIM(AB73)&lt;&gt;"Closed"),AND(ISNUMBER(AF73),AF73&lt;&gt;0,TRIM(U73)&lt;&gt;"Pass after CA"))),1,0),1)</f>
        <v>0</v>
      </c>
      <c r="AM73" s="61" t="n">
        <f aca="false">IF(LEFT(AH73,7)="INVALID",1,0)</f>
        <v>0</v>
      </c>
      <c r="AN73" s="61" t="n">
        <f aca="false">IF(AND(N73="Clarification required",AI73=1,AJ73=0),1,0)</f>
        <v>0</v>
      </c>
      <c r="AO73" s="61" t="str">
        <f aca="false">IF(AK73=1,SUM(AK$5:AK73),"")</f>
        <v/>
      </c>
      <c r="AP73" s="61" t="str">
        <f aca="false">IF(AL73=1,SUM(AL$5:AL73),"")</f>
        <v/>
      </c>
      <c r="AQ73" s="61" t="n">
        <v>0</v>
      </c>
      <c r="AR73" s="61" t="n">
        <v>0</v>
      </c>
      <c r="AS73" s="61" t="n">
        <v>0</v>
      </c>
      <c r="AT73" s="61" t="n">
        <v>0</v>
      </c>
      <c r="AU73" s="61" t="str">
        <f aca="false">SUBSTITUTE(SUBSTITUTE(SUBSTITUTE(SUBSTITUTE(SUBSTITUTE(SUBSTITUTE(SUBSTITUTE(SUBSTITUTE(SUBSTITUTE(SUBSTITUTE(SUBSTITUTE(SUBSTITUTE(SUBSTITUTE(LOWER(T73&amp;""),CHAR(160),"")," ",""),".",""),"-",""),"/",""),"?",""),"_",""),",",""),"[",""),"]",""),"(",""),")",""),"*","")</f>
        <v/>
      </c>
      <c r="AV73" s="61" t="str">
        <f aca="false">SUBSTITUTE(SUBSTITUTE(SUBSTITUTE(SUBSTITUTE(SUBSTITUTE(SUBSTITUTE(SUBSTITUTE(SUBSTITUTE(SUBSTITUTE(SUBSTITUTE(SUBSTITUTE(SUBSTITUTE(SUBSTITUTE(LOWER(V73&amp;""),CHAR(160),"")," ",""),".",""),"-",""),"/",""),"?",""),"_",""),",",""),"[",""),"]",""),"(",""),")",""),"*","")</f>
        <v/>
      </c>
      <c r="AW73" s="61" t="str">
        <f aca="false">SUBSTITUTE(SUBSTITUTE(SUBSTITUTE(SUBSTITUTE(SUBSTITUTE(SUBSTITUTE(SUBSTITUTE(SUBSTITUTE(SUBSTITUTE(SUBSTITUTE(SUBSTITUTE(SUBSTITUTE(SUBSTITUTE(LOWER(Z73&amp;""),CHAR(160),"")," ",""),".",""),"-",""),"/",""),"?",""),"_",""),",",""),"[",""),"]",""),"(",""),")",""),"*","")</f>
        <v/>
      </c>
      <c r="AX73" s="61" t="str">
        <f aca="false">SUBSTITUTE(SUBSTITUTE(SUBSTITUTE(SUBSTITUTE(SUBSTITUTE(SUBSTITUTE(SUBSTITUTE(SUBSTITUTE(SUBSTITUTE(SUBSTITUTE(SUBSTITUTE(SUBSTITUTE(SUBSTITUTE(LOWER(AE73&amp;""),CHAR(160),"")," ",""),".",""),"-",""),"/",""),"?",""),"_",""),",",""),"[",""),"]",""),"(",""),")",""),"*","")</f>
        <v/>
      </c>
      <c r="AY73" s="61" t="str">
        <f aca="false">SUBSTITUTE(SUBSTITUTE(SUBSTITUTE(SUBSTITUTE(SUBSTITUTE(SUBSTITUTE(SUBSTITUTE(SUBSTITUTE(SUBSTITUTE(SUBSTITUTE(SUBSTITUTE(SUBSTITUTE(SUBSTITUTE(LOWER(W73&amp;""),CHAR(160),"")," ",""),".",""),"-",""),"/",""),"?",""),"_",""),",",""),"[",""),"]",""),"(",""),")",""),"*","")</f>
        <v/>
      </c>
      <c r="AZ73" s="61" t="str">
        <f aca="false">SUBSTITUTE(SUBSTITUTE(SUBSTITUTE(SUBSTITUTE(SUBSTITUTE(SUBSTITUTE(SUBSTITUTE(SUBSTITUTE(SUBSTITUTE(SUBSTITUTE(SUBSTITUTE(SUBSTITUTE(SUBSTITUTE(LOWER(AC73&amp;""),CHAR(160),"")," ",""),".",""),"-",""),"/",""),"?",""),"_",""),",",""),"[",""),"]",""),"(",""),")",""),"*","")</f>
        <v/>
      </c>
      <c r="BA73" s="61" t="str">
        <f aca="false">SUBSTITUTE(SUBSTITUTE(SUBSTITUTE(SUBSTITUTE(SUBSTITUTE(SUBSTITUTE(SUBSTITUTE(SUBSTITUTE(SUBSTITUTE(SUBSTITUTE(SUBSTITUTE(SUBSTITUTE(SUBSTITUTE(LOWER(AA73&amp;""),CHAR(160),"")," ",""),".",""),"-",""),"/",""),"?",""),"_",""),",",""),"[",""),"]",""),"(",""),")",""),"*","")</f>
        <v/>
      </c>
      <c r="BB73" s="61" t="str">
        <f aca="false">IF(AND(TRIM(U73)="Pass",ISNUMBER(AF73)),IF(AF73&lt;&gt;0,"INVALID – qty variance: use Fail or Pass after CA",""),"")&amp;IF(AND(TRIM(U73)="Pass after CA",ISNUMBER(AF73)),IF(AF73&lt;&gt;0,"INVALID – after the corrective action the actual qty must equal expected (update Actual)",""),"")&amp;IF(AND(TRIM(U73)="Pass",TRIM(AB73)&lt;&gt;"",TRIM(AB73)&lt;&gt;"Closed"),"INVALID – corrective action not closed: use Fail, then Pass after CA","")&amp;IF(AND(TRIM(AA73)&lt;&gt;"",TRIM(AB73)=""),"INVALID – CA status missing for the recorded corrective action","")&amp;IF(AND(TRIM(U73)="Pass after CA",OR(OR(LEN(BA73)&lt;5,ISNUMBER(MATCH(BA73,L_Placeholder,0))),TRIM(AB73)&lt;&gt;"Closed")),"INVALID – corrective action not recorded/closed","")</f>
        <v/>
      </c>
    </row>
    <row r="74" customFormat="false" ht="39.75" hidden="false" customHeight="true" outlineLevel="0" collapsed="false">
      <c r="A74" s="57" t="s">
        <v>539</v>
      </c>
      <c r="B74" s="57" t="s">
        <v>209</v>
      </c>
      <c r="C74" s="57" t="str">
        <f aca="false">Flights!$F$7</f>
        <v>MH0720</v>
      </c>
      <c r="D74" s="58" t="n">
        <f aca="false">Flights!$D$7</f>
        <v>46305</v>
      </c>
      <c r="E74" s="57" t="str">
        <f aca="false">Flights!$G$7&amp;"-"&amp;Flights!$H$7</f>
        <v>CGK-KUL</v>
      </c>
      <c r="F74" s="57" t="str">
        <f aca="false">Flights!$K$7</f>
        <v>EY</v>
      </c>
      <c r="G74" s="57" t="s">
        <v>79</v>
      </c>
      <c r="H74" s="57" t="s">
        <v>356</v>
      </c>
      <c r="I74" s="57" t="s">
        <v>376</v>
      </c>
      <c r="J74" s="57" t="s">
        <v>380</v>
      </c>
      <c r="K74" s="67" t="s">
        <v>381</v>
      </c>
      <c r="L74" s="67" t="s">
        <v>360</v>
      </c>
      <c r="M74" s="67"/>
      <c r="N74" s="67" t="s">
        <v>361</v>
      </c>
      <c r="O74" s="67"/>
      <c r="P74" s="57" t="s">
        <v>198</v>
      </c>
      <c r="Q74" s="59" t="n">
        <f aca="false">ROUND((Flights!$AC$7)*1440,0)/1440</f>
        <v>46298.3784722222</v>
      </c>
      <c r="R74" s="59" t="n">
        <f aca="false">Q74+(IF(AND(INDEX(TZ_DSTS,MATCH(P74,TZ_STN,0))&lt;&gt;"",Q74&gt;=INDEX(TZ_DSTS,MATCH(P74,TZ_STN,0)),Q74&lt;INDEX(TZ_DSTE,MATCH(P74,TZ_STN,0))),INDEX(TZ_DST,MATCH(P74,TZ_STN,0)),INDEX(TZ_STD,MATCH(P74,TZ_STN,0))))/24</f>
        <v>46298.6701388889</v>
      </c>
      <c r="S74" s="59" t="n">
        <f aca="false">Q74-T7EarlyD*24/24</f>
        <v>46284.3784722222</v>
      </c>
      <c r="T74" s="60"/>
      <c r="U74" s="60"/>
      <c r="V74" s="60"/>
      <c r="W74" s="61"/>
      <c r="X74" s="60"/>
      <c r="Y74" s="60"/>
      <c r="Z74" s="60"/>
      <c r="AA74" s="60"/>
      <c r="AB74" s="60"/>
      <c r="AC74" s="60"/>
      <c r="AD74" s="66"/>
      <c r="AE74" s="60"/>
      <c r="AF74" s="61" t="str">
        <f aca="false">IF(AND(ISNUMBER(X74),ISNUMBER(Y74)),Y74-X74,"")</f>
        <v/>
      </c>
      <c r="AG74" s="62" t="str">
        <f aca="false">IF(ISNUMBER(AD74),AD74-(IF(AND(INDEX(TZ_DSTS,MATCH(P74,TZ_STN,0))&lt;&gt;"",(AD74-INDEX(TZ_STD,MATCH(P74,TZ_STN,0))/24)&gt;=INDEX(TZ_DSTS,MATCH(P74,TZ_STN,0)),(AD74-INDEX(TZ_STD,MATCH(P74,TZ_STN,0))/24)&lt;INDEX(TZ_DSTE,MATCH(P74,TZ_STN,0))),INDEX(TZ_DST,MATCH(P74,TZ_STN,0)),INDEX(TZ_STD,MATCH(P74,TZ_STN,0))))/24,"")</f>
        <v/>
      </c>
      <c r="AH74" s="65" t="str">
        <f aca="false">IFERROR(IF(N74="N/A – rule","N/A – RULE",IF(TRIM(U74)="N/A",IF(AT74=0,"INVALID – N/A not permitted for this check",IF(AND(TRIM(AB74)&lt;&gt;"",TRIM(AB74)&lt;&gt;"Closed"),"INVALID – corrective action still open",IF(AND(NOT(OR(LEN(AZ74)&lt;15,ISNUMBER(MATCH(AZ74,L_Placeholder,0)))),NOT(OR(LEN(AU74)&lt;2,ISNUMBER(MATCH(AU74,L_Placeholder,0)))),NOT(OR(LEN(AX74)&lt;2,ISNUMBER(MATCH(AX74,L_Placeholder,0)))),TRIM(AE74)&lt;&gt;TRIM(T74)),"N/A – JUSTIFIED","INVALID – N/A needs a real justification (15+ chars), PIC and a different verifier"))),IF(OR(TRIM(U74)="Pass",TRIM(U74)="Pass after CA"),IF(NOT(ISNUMBER(AD74)),"INVALID – completion time missing",IF(OR(LEN(AU74)&lt;2,ISNUMBER(MATCH(AU74,L_Placeholder,0))),"INVALID – PIC missing",IF(OR(LEN(AV74)&lt;2,ISNUMBER(MATCH(AV74,L_Placeholder,0))),"INVALID – result / assessment missing",IF(OR(OR(LEN(AW74)&lt;3,ISNUMBER(MATCH(AW74,L_Placeholder,0))),SUMPRODUCT(--ISNUMBER(SEARCH(L_EvidencePhrase,AW74)))&gt;0),"INVALID – evidence missing, placeholder or not yet on file",IF(OR(LEN(AX74)&lt;2,ISNUMBER(MATCH(AX74,L_Placeholder,0))),"INVALID – verifier missing",IF(AX74=AU74,"INVALID – verifier must be someone other than the PIC",IF(AND(TRIM(U74)="Pass",SUMPRODUCT(--ISNUMBER(SEARCH(L_ResultBad,AV74)))&gt;0),"INVALID – result describes a problem: use Fail, then Pass after CA",IF(AND(AQ74=1,OR(LEN(AY74)&lt;3,ISNUMBER(MATCH(AY74,L_Placeholder,0)))),"INVALID – batch ID missing or placeholder",IF(AND(AR74=1,OR(NOT(ISNUMBER(X74)),NOT(ISNUMBER(Y74)))),"INVALID – expected/actual qty missing",IF(AND(AR74=1,OR(X74&lt;=0,Y74&lt;0)),"INVALID – expected qty must be above 0 and actual not negative",IF(BB74&lt;&gt;"",BB74,IF(AND(AS74=1,Documents!$J$7&lt;&gt;"ON FILE"),"INVALID – GLD not on file (Documents sheet)",IF(AND(AS74=2,Documents!$O$7&lt;&gt;"ON FILE"),"INVALID – menu checklist not on file (Documents sheet)",IF(AND(AS74=3,NOT(ISNUMBER(Flights!$AX$7))),"INVALID – enter carrying flight KUL departure (Flights AX)",IF(AND(AS74=3,OR(Flights!$AZ$7&gt;Flights!$AA$7,Flights!$AX$7&lt;Flights!$AA$7-3)),"INVALID – carrying flight (Flights AX) cannot arrive before this leg's STD, or is over 3 days early",IF(AG74&gt;AsOfUTC,"INVALID – completion time is in the future",IF(AND(ISNUMBER(S74),AG74&lt;S74),IF(H74="Physical uplift","INVALID – before uplift window (cannot confirm loading)","INVALID – before valid window"),IF(AG74&gt;Flights!$AA$7,"INVALID – completed after departure (cannot establish readiness)",IF(AND(H74="Preparation",AG74&gt;IF(ISNUMBER(Flights!$BA$7),MIN(Flights!$BA$7,Flights!$AA$7),Flights!$AA$7)),"INVALID – completed after loading / departure (cannot establish readiness)",IF(AND(H74="Physical uplift",AG74&gt;Q74),"INVALID – recorded after the loading flight departed",IF(AG74&gt;Q74,"COMPLETE – LATE","COMPLETE"))))))))))))))))))))),IF(TRIM(U74)="Fail","FAIL – DISCREPANCY",IF(AND(TRIM(U74)&lt;&gt;"",TRIM(U74)&lt;&gt;"Not started",TRIM(U74)&lt;&gt;"In progress"),"INVALID – unrecognised status (use the list)",IF(AsOfUTC&gt;Q74,"OVERDUE",IF(N74="Clarification required","OPEN – CLARIFICATION","OPEN"))))))),"INVALID – error value in an input cell")</f>
        <v>OPEN</v>
      </c>
      <c r="AI74" s="61" t="n">
        <f aca="false">IF(OR(AH74="N/A – RULE",AH74="N/A – JUSTIFIED"),0,1)</f>
        <v>1</v>
      </c>
      <c r="AJ74" s="61" t="n">
        <f aca="false">IF(LEFT(AH74,8)="COMPLETE",1,0)</f>
        <v>0</v>
      </c>
      <c r="AK74" s="61" t="n">
        <f aca="false">IF(AND(AI74=1,AJ74=0,AsOfUTC&gt;Q74),1,0)</f>
        <v>0</v>
      </c>
      <c r="AL74" s="61" t="n">
        <f aca="false">IFERROR(IF(AND(AI74=1,OR(TRIM(U74)="Fail",AND(TRIM(AB74)&lt;&gt;"",TRIM(AB74)&lt;&gt;"Closed"),AND(ISNUMBER(AF74),AF74&lt;&gt;0,TRIM(U74)&lt;&gt;"Pass after CA"))),1,0),1)</f>
        <v>0</v>
      </c>
      <c r="AM74" s="61" t="n">
        <f aca="false">IF(LEFT(AH74,7)="INVALID",1,0)</f>
        <v>0</v>
      </c>
      <c r="AN74" s="61" t="n">
        <f aca="false">IF(AND(N74="Clarification required",AI74=1,AJ74=0),1,0)</f>
        <v>0</v>
      </c>
      <c r="AO74" s="61" t="str">
        <f aca="false">IF(AK74=1,SUM(AK$5:AK74),"")</f>
        <v/>
      </c>
      <c r="AP74" s="61" t="str">
        <f aca="false">IF(AL74=1,SUM(AL$5:AL74),"")</f>
        <v/>
      </c>
      <c r="AQ74" s="61" t="n">
        <v>0</v>
      </c>
      <c r="AR74" s="61" t="n">
        <v>0</v>
      </c>
      <c r="AS74" s="61" t="n">
        <v>0</v>
      </c>
      <c r="AT74" s="61" t="n">
        <v>0</v>
      </c>
      <c r="AU74" s="61" t="str">
        <f aca="false">SUBSTITUTE(SUBSTITUTE(SUBSTITUTE(SUBSTITUTE(SUBSTITUTE(SUBSTITUTE(SUBSTITUTE(SUBSTITUTE(SUBSTITUTE(SUBSTITUTE(SUBSTITUTE(SUBSTITUTE(SUBSTITUTE(LOWER(T74&amp;""),CHAR(160),"")," ",""),".",""),"-",""),"/",""),"?",""),"_",""),",",""),"[",""),"]",""),"(",""),")",""),"*","")</f>
        <v/>
      </c>
      <c r="AV74" s="61" t="str">
        <f aca="false">SUBSTITUTE(SUBSTITUTE(SUBSTITUTE(SUBSTITUTE(SUBSTITUTE(SUBSTITUTE(SUBSTITUTE(SUBSTITUTE(SUBSTITUTE(SUBSTITUTE(SUBSTITUTE(SUBSTITUTE(SUBSTITUTE(LOWER(V74&amp;""),CHAR(160),"")," ",""),".",""),"-",""),"/",""),"?",""),"_",""),",",""),"[",""),"]",""),"(",""),")",""),"*","")</f>
        <v/>
      </c>
      <c r="AW74" s="61" t="str">
        <f aca="false">SUBSTITUTE(SUBSTITUTE(SUBSTITUTE(SUBSTITUTE(SUBSTITUTE(SUBSTITUTE(SUBSTITUTE(SUBSTITUTE(SUBSTITUTE(SUBSTITUTE(SUBSTITUTE(SUBSTITUTE(SUBSTITUTE(LOWER(Z74&amp;""),CHAR(160),"")," ",""),".",""),"-",""),"/",""),"?",""),"_",""),",",""),"[",""),"]",""),"(",""),")",""),"*","")</f>
        <v/>
      </c>
      <c r="AX74" s="61" t="str">
        <f aca="false">SUBSTITUTE(SUBSTITUTE(SUBSTITUTE(SUBSTITUTE(SUBSTITUTE(SUBSTITUTE(SUBSTITUTE(SUBSTITUTE(SUBSTITUTE(SUBSTITUTE(SUBSTITUTE(SUBSTITUTE(SUBSTITUTE(LOWER(AE74&amp;""),CHAR(160),"")," ",""),".",""),"-",""),"/",""),"?",""),"_",""),",",""),"[",""),"]",""),"(",""),")",""),"*","")</f>
        <v/>
      </c>
      <c r="AY74" s="61" t="str">
        <f aca="false">SUBSTITUTE(SUBSTITUTE(SUBSTITUTE(SUBSTITUTE(SUBSTITUTE(SUBSTITUTE(SUBSTITUTE(SUBSTITUTE(SUBSTITUTE(SUBSTITUTE(SUBSTITUTE(SUBSTITUTE(SUBSTITUTE(LOWER(W74&amp;""),CHAR(160),"")," ",""),".",""),"-",""),"/",""),"?",""),"_",""),",",""),"[",""),"]",""),"(",""),")",""),"*","")</f>
        <v/>
      </c>
      <c r="AZ74" s="61" t="str">
        <f aca="false">SUBSTITUTE(SUBSTITUTE(SUBSTITUTE(SUBSTITUTE(SUBSTITUTE(SUBSTITUTE(SUBSTITUTE(SUBSTITUTE(SUBSTITUTE(SUBSTITUTE(SUBSTITUTE(SUBSTITUTE(SUBSTITUTE(LOWER(AC74&amp;""),CHAR(160),"")," ",""),".",""),"-",""),"/",""),"?",""),"_",""),",",""),"[",""),"]",""),"(",""),")",""),"*","")</f>
        <v/>
      </c>
      <c r="BA74" s="61" t="str">
        <f aca="false">SUBSTITUTE(SUBSTITUTE(SUBSTITUTE(SUBSTITUTE(SUBSTITUTE(SUBSTITUTE(SUBSTITUTE(SUBSTITUTE(SUBSTITUTE(SUBSTITUTE(SUBSTITUTE(SUBSTITUTE(SUBSTITUTE(LOWER(AA74&amp;""),CHAR(160),"")," ",""),".",""),"-",""),"/",""),"?",""),"_",""),",",""),"[",""),"]",""),"(",""),")",""),"*","")</f>
        <v/>
      </c>
      <c r="BB74" s="61" t="str">
        <f aca="false">IF(AND(TRIM(U74)="Pass",ISNUMBER(AF74)),IF(AF74&lt;&gt;0,"INVALID – qty variance: use Fail or Pass after CA",""),"")&amp;IF(AND(TRIM(U74)="Pass after CA",ISNUMBER(AF74)),IF(AF74&lt;&gt;0,"INVALID – after the corrective action the actual qty must equal expected (update Actual)",""),"")&amp;IF(AND(TRIM(U74)="Pass",TRIM(AB74)&lt;&gt;"",TRIM(AB74)&lt;&gt;"Closed"),"INVALID – corrective action not closed: use Fail, then Pass after CA","")&amp;IF(AND(TRIM(AA74)&lt;&gt;"",TRIM(AB74)=""),"INVALID – CA status missing for the recorded corrective action","")&amp;IF(AND(TRIM(U74)="Pass after CA",OR(OR(LEN(BA74)&lt;5,ISNUMBER(MATCH(BA74,L_Placeholder,0))),TRIM(AB74)&lt;&gt;"Closed")),"INVALID – corrective action not recorded/closed","")</f>
        <v/>
      </c>
    </row>
    <row r="75" customFormat="false" ht="39.75" hidden="false" customHeight="true" outlineLevel="0" collapsed="false">
      <c r="A75" s="57" t="s">
        <v>540</v>
      </c>
      <c r="B75" s="57" t="s">
        <v>209</v>
      </c>
      <c r="C75" s="57" t="str">
        <f aca="false">Flights!$F$7</f>
        <v>MH0720</v>
      </c>
      <c r="D75" s="58" t="n">
        <f aca="false">Flights!$D$7</f>
        <v>46305</v>
      </c>
      <c r="E75" s="57" t="str">
        <f aca="false">Flights!$G$7&amp;"-"&amp;Flights!$H$7</f>
        <v>CGK-KUL</v>
      </c>
      <c r="F75" s="57" t="str">
        <f aca="false">Flights!$K$7</f>
        <v>EY</v>
      </c>
      <c r="G75" s="57" t="s">
        <v>79</v>
      </c>
      <c r="H75" s="57" t="s">
        <v>356</v>
      </c>
      <c r="I75" s="57" t="s">
        <v>383</v>
      </c>
      <c r="J75" s="57" t="s">
        <v>384</v>
      </c>
      <c r="K75" s="67" t="s">
        <v>385</v>
      </c>
      <c r="L75" s="67" t="s">
        <v>360</v>
      </c>
      <c r="M75" s="67"/>
      <c r="N75" s="67" t="s">
        <v>361</v>
      </c>
      <c r="O75" s="67"/>
      <c r="P75" s="57" t="s">
        <v>198</v>
      </c>
      <c r="Q75" s="59" t="n">
        <f aca="false">ROUND((Flights!$AC$7)*1440,0)/1440</f>
        <v>46298.3784722222</v>
      </c>
      <c r="R75" s="59" t="n">
        <f aca="false">Q75+(IF(AND(INDEX(TZ_DSTS,MATCH(P75,TZ_STN,0))&lt;&gt;"",Q75&gt;=INDEX(TZ_DSTS,MATCH(P75,TZ_STN,0)),Q75&lt;INDEX(TZ_DSTE,MATCH(P75,TZ_STN,0))),INDEX(TZ_DST,MATCH(P75,TZ_STN,0)),INDEX(TZ_STD,MATCH(P75,TZ_STN,0))))/24</f>
        <v>46298.6701388889</v>
      </c>
      <c r="S75" s="59" t="n">
        <f aca="false">Q75-T7EarlyD*24/24</f>
        <v>46284.3784722222</v>
      </c>
      <c r="T75" s="60"/>
      <c r="U75" s="60"/>
      <c r="V75" s="60"/>
      <c r="W75" s="61"/>
      <c r="X75" s="60"/>
      <c r="Y75" s="60"/>
      <c r="Z75" s="60"/>
      <c r="AA75" s="60"/>
      <c r="AB75" s="60"/>
      <c r="AC75" s="60"/>
      <c r="AD75" s="66"/>
      <c r="AE75" s="60"/>
      <c r="AF75" s="61" t="str">
        <f aca="false">IF(AND(ISNUMBER(X75),ISNUMBER(Y75)),Y75-X75,"")</f>
        <v/>
      </c>
      <c r="AG75" s="62" t="str">
        <f aca="false">IF(ISNUMBER(AD75),AD75-(IF(AND(INDEX(TZ_DSTS,MATCH(P75,TZ_STN,0))&lt;&gt;"",(AD75-INDEX(TZ_STD,MATCH(P75,TZ_STN,0))/24)&gt;=INDEX(TZ_DSTS,MATCH(P75,TZ_STN,0)),(AD75-INDEX(TZ_STD,MATCH(P75,TZ_STN,0))/24)&lt;INDEX(TZ_DSTE,MATCH(P75,TZ_STN,0))),INDEX(TZ_DST,MATCH(P75,TZ_STN,0)),INDEX(TZ_STD,MATCH(P75,TZ_STN,0))))/24,"")</f>
        <v/>
      </c>
      <c r="AH75" s="65" t="str">
        <f aca="false">IFERROR(IF(N75="N/A – rule","N/A – RULE",IF(TRIM(U75)="N/A",IF(AT75=0,"INVALID – N/A not permitted for this check",IF(AND(TRIM(AB75)&lt;&gt;"",TRIM(AB75)&lt;&gt;"Closed"),"INVALID – corrective action still open",IF(AND(NOT(OR(LEN(AZ75)&lt;15,ISNUMBER(MATCH(AZ75,L_Placeholder,0)))),NOT(OR(LEN(AU75)&lt;2,ISNUMBER(MATCH(AU75,L_Placeholder,0)))),NOT(OR(LEN(AX75)&lt;2,ISNUMBER(MATCH(AX75,L_Placeholder,0)))),TRIM(AE75)&lt;&gt;TRIM(T75)),"N/A – JUSTIFIED","INVALID – N/A needs a real justification (15+ chars), PIC and a different verifier"))),IF(OR(TRIM(U75)="Pass",TRIM(U75)="Pass after CA"),IF(NOT(ISNUMBER(AD75)),"INVALID – completion time missing",IF(OR(LEN(AU75)&lt;2,ISNUMBER(MATCH(AU75,L_Placeholder,0))),"INVALID – PIC missing",IF(OR(LEN(AV75)&lt;2,ISNUMBER(MATCH(AV75,L_Placeholder,0))),"INVALID – result / assessment missing",IF(OR(OR(LEN(AW75)&lt;3,ISNUMBER(MATCH(AW75,L_Placeholder,0))),SUMPRODUCT(--ISNUMBER(SEARCH(L_EvidencePhrase,AW75)))&gt;0),"INVALID – evidence missing, placeholder or not yet on file",IF(OR(LEN(AX75)&lt;2,ISNUMBER(MATCH(AX75,L_Placeholder,0))),"INVALID – verifier missing",IF(AX75=AU75,"INVALID – verifier must be someone other than the PIC",IF(AND(TRIM(U75)="Pass",SUMPRODUCT(--ISNUMBER(SEARCH(L_ResultBad,AV75)))&gt;0),"INVALID – result describes a problem: use Fail, then Pass after CA",IF(AND(AQ75=1,OR(LEN(AY75)&lt;3,ISNUMBER(MATCH(AY75,L_Placeholder,0)))),"INVALID – batch ID missing or placeholder",IF(AND(AR75=1,OR(NOT(ISNUMBER(X75)),NOT(ISNUMBER(Y75)))),"INVALID – expected/actual qty missing",IF(AND(AR75=1,OR(X75&lt;=0,Y75&lt;0)),"INVALID – expected qty must be above 0 and actual not negative",IF(BB75&lt;&gt;"",BB75,IF(AND(AS75=1,Documents!$J$7&lt;&gt;"ON FILE"),"INVALID – GLD not on file (Documents sheet)",IF(AND(AS75=2,Documents!$O$7&lt;&gt;"ON FILE"),"INVALID – menu checklist not on file (Documents sheet)",IF(AND(AS75=3,NOT(ISNUMBER(Flights!$AX$7))),"INVALID – enter carrying flight KUL departure (Flights AX)",IF(AND(AS75=3,OR(Flights!$AZ$7&gt;Flights!$AA$7,Flights!$AX$7&lt;Flights!$AA$7-3)),"INVALID – carrying flight (Flights AX) cannot arrive before this leg's STD, or is over 3 days early",IF(AG75&gt;AsOfUTC,"INVALID – completion time is in the future",IF(AND(ISNUMBER(S75),AG75&lt;S75),IF(H75="Physical uplift","INVALID – before uplift window (cannot confirm loading)","INVALID – before valid window"),IF(AG75&gt;Flights!$AA$7,"INVALID – completed after departure (cannot establish readiness)",IF(AND(H75="Preparation",AG75&gt;IF(ISNUMBER(Flights!$BA$7),MIN(Flights!$BA$7,Flights!$AA$7),Flights!$AA$7)),"INVALID – completed after loading / departure (cannot establish readiness)",IF(AND(H75="Physical uplift",AG75&gt;Q75),"INVALID – recorded after the loading flight departed",IF(AG75&gt;Q75,"COMPLETE – LATE","COMPLETE"))))))))))))))))))))),IF(TRIM(U75)="Fail","FAIL – DISCREPANCY",IF(AND(TRIM(U75)&lt;&gt;"",TRIM(U75)&lt;&gt;"Not started",TRIM(U75)&lt;&gt;"In progress"),"INVALID – unrecognised status (use the list)",IF(AsOfUTC&gt;Q75,"OVERDUE",IF(N75="Clarification required","OPEN – CLARIFICATION","OPEN"))))))),"INVALID – error value in an input cell")</f>
        <v>OPEN</v>
      </c>
      <c r="AI75" s="61" t="n">
        <f aca="false">IF(OR(AH75="N/A – RULE",AH75="N/A – JUSTIFIED"),0,1)</f>
        <v>1</v>
      </c>
      <c r="AJ75" s="61" t="n">
        <f aca="false">IF(LEFT(AH75,8)="COMPLETE",1,0)</f>
        <v>0</v>
      </c>
      <c r="AK75" s="61" t="n">
        <f aca="false">IF(AND(AI75=1,AJ75=0,AsOfUTC&gt;Q75),1,0)</f>
        <v>0</v>
      </c>
      <c r="AL75" s="61" t="n">
        <f aca="false">IFERROR(IF(AND(AI75=1,OR(TRIM(U75)="Fail",AND(TRIM(AB75)&lt;&gt;"",TRIM(AB75)&lt;&gt;"Closed"),AND(ISNUMBER(AF75),AF75&lt;&gt;0,TRIM(U75)&lt;&gt;"Pass after CA"))),1,0),1)</f>
        <v>0</v>
      </c>
      <c r="AM75" s="61" t="n">
        <f aca="false">IF(LEFT(AH75,7)="INVALID",1,0)</f>
        <v>0</v>
      </c>
      <c r="AN75" s="61" t="n">
        <f aca="false">IF(AND(N75="Clarification required",AI75=1,AJ75=0),1,0)</f>
        <v>0</v>
      </c>
      <c r="AO75" s="61" t="str">
        <f aca="false">IF(AK75=1,SUM(AK$5:AK75),"")</f>
        <v/>
      </c>
      <c r="AP75" s="61" t="str">
        <f aca="false">IF(AL75=1,SUM(AL$5:AL75),"")</f>
        <v/>
      </c>
      <c r="AQ75" s="61" t="n">
        <v>0</v>
      </c>
      <c r="AR75" s="61" t="n">
        <v>0</v>
      </c>
      <c r="AS75" s="61" t="n">
        <v>1</v>
      </c>
      <c r="AT75" s="61" t="n">
        <v>0</v>
      </c>
      <c r="AU75" s="61" t="str">
        <f aca="false">SUBSTITUTE(SUBSTITUTE(SUBSTITUTE(SUBSTITUTE(SUBSTITUTE(SUBSTITUTE(SUBSTITUTE(SUBSTITUTE(SUBSTITUTE(SUBSTITUTE(SUBSTITUTE(SUBSTITUTE(SUBSTITUTE(LOWER(T75&amp;""),CHAR(160),"")," ",""),".",""),"-",""),"/",""),"?",""),"_",""),",",""),"[",""),"]",""),"(",""),")",""),"*","")</f>
        <v/>
      </c>
      <c r="AV75" s="61" t="str">
        <f aca="false">SUBSTITUTE(SUBSTITUTE(SUBSTITUTE(SUBSTITUTE(SUBSTITUTE(SUBSTITUTE(SUBSTITUTE(SUBSTITUTE(SUBSTITUTE(SUBSTITUTE(SUBSTITUTE(SUBSTITUTE(SUBSTITUTE(LOWER(V75&amp;""),CHAR(160),"")," ",""),".",""),"-",""),"/",""),"?",""),"_",""),",",""),"[",""),"]",""),"(",""),")",""),"*","")</f>
        <v/>
      </c>
      <c r="AW75" s="61" t="str">
        <f aca="false">SUBSTITUTE(SUBSTITUTE(SUBSTITUTE(SUBSTITUTE(SUBSTITUTE(SUBSTITUTE(SUBSTITUTE(SUBSTITUTE(SUBSTITUTE(SUBSTITUTE(SUBSTITUTE(SUBSTITUTE(SUBSTITUTE(LOWER(Z75&amp;""),CHAR(160),"")," ",""),".",""),"-",""),"/",""),"?",""),"_",""),",",""),"[",""),"]",""),"(",""),")",""),"*","")</f>
        <v/>
      </c>
      <c r="AX75" s="61" t="str">
        <f aca="false">SUBSTITUTE(SUBSTITUTE(SUBSTITUTE(SUBSTITUTE(SUBSTITUTE(SUBSTITUTE(SUBSTITUTE(SUBSTITUTE(SUBSTITUTE(SUBSTITUTE(SUBSTITUTE(SUBSTITUTE(SUBSTITUTE(LOWER(AE75&amp;""),CHAR(160),"")," ",""),".",""),"-",""),"/",""),"?",""),"_",""),",",""),"[",""),"]",""),"(",""),")",""),"*","")</f>
        <v/>
      </c>
      <c r="AY75" s="61" t="str">
        <f aca="false">SUBSTITUTE(SUBSTITUTE(SUBSTITUTE(SUBSTITUTE(SUBSTITUTE(SUBSTITUTE(SUBSTITUTE(SUBSTITUTE(SUBSTITUTE(SUBSTITUTE(SUBSTITUTE(SUBSTITUTE(SUBSTITUTE(LOWER(W75&amp;""),CHAR(160),"")," ",""),".",""),"-",""),"/",""),"?",""),"_",""),",",""),"[",""),"]",""),"(",""),")",""),"*","")</f>
        <v/>
      </c>
      <c r="AZ75" s="61" t="str">
        <f aca="false">SUBSTITUTE(SUBSTITUTE(SUBSTITUTE(SUBSTITUTE(SUBSTITUTE(SUBSTITUTE(SUBSTITUTE(SUBSTITUTE(SUBSTITUTE(SUBSTITUTE(SUBSTITUTE(SUBSTITUTE(SUBSTITUTE(LOWER(AC75&amp;""),CHAR(160),"")," ",""),".",""),"-",""),"/",""),"?",""),"_",""),",",""),"[",""),"]",""),"(",""),")",""),"*","")</f>
        <v/>
      </c>
      <c r="BA75" s="61" t="str">
        <f aca="false">SUBSTITUTE(SUBSTITUTE(SUBSTITUTE(SUBSTITUTE(SUBSTITUTE(SUBSTITUTE(SUBSTITUTE(SUBSTITUTE(SUBSTITUTE(SUBSTITUTE(SUBSTITUTE(SUBSTITUTE(SUBSTITUTE(LOWER(AA75&amp;""),CHAR(160),"")," ",""),".",""),"-",""),"/",""),"?",""),"_",""),",",""),"[",""),"]",""),"(",""),")",""),"*","")</f>
        <v/>
      </c>
      <c r="BB75" s="61" t="str">
        <f aca="false">IF(AND(TRIM(U75)="Pass",ISNUMBER(AF75)),IF(AF75&lt;&gt;0,"INVALID – qty variance: use Fail or Pass after CA",""),"")&amp;IF(AND(TRIM(U75)="Pass after CA",ISNUMBER(AF75)),IF(AF75&lt;&gt;0,"INVALID – after the corrective action the actual qty must equal expected (update Actual)",""),"")&amp;IF(AND(TRIM(U75)="Pass",TRIM(AB75)&lt;&gt;"",TRIM(AB75)&lt;&gt;"Closed"),"INVALID – corrective action not closed: use Fail, then Pass after CA","")&amp;IF(AND(TRIM(AA75)&lt;&gt;"",TRIM(AB75)=""),"INVALID – CA status missing for the recorded corrective action","")&amp;IF(AND(TRIM(U75)="Pass after CA",OR(OR(LEN(BA75)&lt;5,ISNUMBER(MATCH(BA75,L_Placeholder,0))),TRIM(AB75)&lt;&gt;"Closed")),"INVALID – corrective action not recorded/closed","")</f>
        <v/>
      </c>
    </row>
    <row r="76" customFormat="false" ht="39.75" hidden="false" customHeight="true" outlineLevel="0" collapsed="false">
      <c r="A76" s="57" t="s">
        <v>541</v>
      </c>
      <c r="B76" s="57" t="s">
        <v>209</v>
      </c>
      <c r="C76" s="57" t="str">
        <f aca="false">Flights!$F$7</f>
        <v>MH0720</v>
      </c>
      <c r="D76" s="58" t="n">
        <f aca="false">Flights!$D$7</f>
        <v>46305</v>
      </c>
      <c r="E76" s="57" t="str">
        <f aca="false">Flights!$G$7&amp;"-"&amp;Flights!$H$7</f>
        <v>CGK-KUL</v>
      </c>
      <c r="F76" s="57" t="str">
        <f aca="false">Flights!$K$7</f>
        <v>EY</v>
      </c>
      <c r="G76" s="57" t="s">
        <v>79</v>
      </c>
      <c r="H76" s="57" t="s">
        <v>356</v>
      </c>
      <c r="I76" s="57" t="s">
        <v>383</v>
      </c>
      <c r="J76" s="57" t="s">
        <v>387</v>
      </c>
      <c r="K76" s="67" t="s">
        <v>385</v>
      </c>
      <c r="L76" s="67" t="s">
        <v>360</v>
      </c>
      <c r="M76" s="67"/>
      <c r="N76" s="67" t="s">
        <v>361</v>
      </c>
      <c r="O76" s="67"/>
      <c r="P76" s="57" t="s">
        <v>198</v>
      </c>
      <c r="Q76" s="59" t="n">
        <f aca="false">ROUND((Flights!$AC$7)*1440,0)/1440</f>
        <v>46298.3784722222</v>
      </c>
      <c r="R76" s="59" t="n">
        <f aca="false">Q76+(IF(AND(INDEX(TZ_DSTS,MATCH(P76,TZ_STN,0))&lt;&gt;"",Q76&gt;=INDEX(TZ_DSTS,MATCH(P76,TZ_STN,0)),Q76&lt;INDEX(TZ_DSTE,MATCH(P76,TZ_STN,0))),INDEX(TZ_DST,MATCH(P76,TZ_STN,0)),INDEX(TZ_STD,MATCH(P76,TZ_STN,0))))/24</f>
        <v>46298.6701388889</v>
      </c>
      <c r="S76" s="59" t="n">
        <f aca="false">Q76-T7EarlyD*24/24</f>
        <v>46284.3784722222</v>
      </c>
      <c r="T76" s="60"/>
      <c r="U76" s="60"/>
      <c r="V76" s="60"/>
      <c r="W76" s="61"/>
      <c r="X76" s="60"/>
      <c r="Y76" s="60"/>
      <c r="Z76" s="60"/>
      <c r="AA76" s="60"/>
      <c r="AB76" s="60"/>
      <c r="AC76" s="60"/>
      <c r="AD76" s="66"/>
      <c r="AE76" s="60"/>
      <c r="AF76" s="61" t="str">
        <f aca="false">IF(AND(ISNUMBER(X76),ISNUMBER(Y76)),Y76-X76,"")</f>
        <v/>
      </c>
      <c r="AG76" s="62" t="str">
        <f aca="false">IF(ISNUMBER(AD76),AD76-(IF(AND(INDEX(TZ_DSTS,MATCH(P76,TZ_STN,0))&lt;&gt;"",(AD76-INDEX(TZ_STD,MATCH(P76,TZ_STN,0))/24)&gt;=INDEX(TZ_DSTS,MATCH(P76,TZ_STN,0)),(AD76-INDEX(TZ_STD,MATCH(P76,TZ_STN,0))/24)&lt;INDEX(TZ_DSTE,MATCH(P76,TZ_STN,0))),INDEX(TZ_DST,MATCH(P76,TZ_STN,0)),INDEX(TZ_STD,MATCH(P76,TZ_STN,0))))/24,"")</f>
        <v/>
      </c>
      <c r="AH76" s="65" t="str">
        <f aca="false">IFERROR(IF(N76="N/A – rule","N/A – RULE",IF(TRIM(U76)="N/A",IF(AT76=0,"INVALID – N/A not permitted for this check",IF(AND(TRIM(AB76)&lt;&gt;"",TRIM(AB76)&lt;&gt;"Closed"),"INVALID – corrective action still open",IF(AND(NOT(OR(LEN(AZ76)&lt;15,ISNUMBER(MATCH(AZ76,L_Placeholder,0)))),NOT(OR(LEN(AU76)&lt;2,ISNUMBER(MATCH(AU76,L_Placeholder,0)))),NOT(OR(LEN(AX76)&lt;2,ISNUMBER(MATCH(AX76,L_Placeholder,0)))),TRIM(AE76)&lt;&gt;TRIM(T76)),"N/A – JUSTIFIED","INVALID – N/A needs a real justification (15+ chars), PIC and a different verifier"))),IF(OR(TRIM(U76)="Pass",TRIM(U76)="Pass after CA"),IF(NOT(ISNUMBER(AD76)),"INVALID – completion time missing",IF(OR(LEN(AU76)&lt;2,ISNUMBER(MATCH(AU76,L_Placeholder,0))),"INVALID – PIC missing",IF(OR(LEN(AV76)&lt;2,ISNUMBER(MATCH(AV76,L_Placeholder,0))),"INVALID – result / assessment missing",IF(OR(OR(LEN(AW76)&lt;3,ISNUMBER(MATCH(AW76,L_Placeholder,0))),SUMPRODUCT(--ISNUMBER(SEARCH(L_EvidencePhrase,AW76)))&gt;0),"INVALID – evidence missing, placeholder or not yet on file",IF(OR(LEN(AX76)&lt;2,ISNUMBER(MATCH(AX76,L_Placeholder,0))),"INVALID – verifier missing",IF(AX76=AU76,"INVALID – verifier must be someone other than the PIC",IF(AND(TRIM(U76)="Pass",SUMPRODUCT(--ISNUMBER(SEARCH(L_ResultBad,AV76)))&gt;0),"INVALID – result describes a problem: use Fail, then Pass after CA",IF(AND(AQ76=1,OR(LEN(AY76)&lt;3,ISNUMBER(MATCH(AY76,L_Placeholder,0)))),"INVALID – batch ID missing or placeholder",IF(AND(AR76=1,OR(NOT(ISNUMBER(X76)),NOT(ISNUMBER(Y76)))),"INVALID – expected/actual qty missing",IF(AND(AR76=1,OR(X76&lt;=0,Y76&lt;0)),"INVALID – expected qty must be above 0 and actual not negative",IF(BB76&lt;&gt;"",BB76,IF(AND(AS76=1,Documents!$J$7&lt;&gt;"ON FILE"),"INVALID – GLD not on file (Documents sheet)",IF(AND(AS76=2,Documents!$O$7&lt;&gt;"ON FILE"),"INVALID – menu checklist not on file (Documents sheet)",IF(AND(AS76=3,NOT(ISNUMBER(Flights!$AX$7))),"INVALID – enter carrying flight KUL departure (Flights AX)",IF(AND(AS76=3,OR(Flights!$AZ$7&gt;Flights!$AA$7,Flights!$AX$7&lt;Flights!$AA$7-3)),"INVALID – carrying flight (Flights AX) cannot arrive before this leg's STD, or is over 3 days early",IF(AG76&gt;AsOfUTC,"INVALID – completion time is in the future",IF(AND(ISNUMBER(S76),AG76&lt;S76),IF(H76="Physical uplift","INVALID – before uplift window (cannot confirm loading)","INVALID – before valid window"),IF(AG76&gt;Flights!$AA$7,"INVALID – completed after departure (cannot establish readiness)",IF(AND(H76="Preparation",AG76&gt;IF(ISNUMBER(Flights!$BA$7),MIN(Flights!$BA$7,Flights!$AA$7),Flights!$AA$7)),"INVALID – completed after loading / departure (cannot establish readiness)",IF(AND(H76="Physical uplift",AG76&gt;Q76),"INVALID – recorded after the loading flight departed",IF(AG76&gt;Q76,"COMPLETE – LATE","COMPLETE"))))))))))))))))))))),IF(TRIM(U76)="Fail","FAIL – DISCREPANCY",IF(AND(TRIM(U76)&lt;&gt;"",TRIM(U76)&lt;&gt;"Not started",TRIM(U76)&lt;&gt;"In progress"),"INVALID – unrecognised status (use the list)",IF(AsOfUTC&gt;Q76,"OVERDUE",IF(N76="Clarification required","OPEN – CLARIFICATION","OPEN"))))))),"INVALID – error value in an input cell")</f>
        <v>OPEN</v>
      </c>
      <c r="AI76" s="61" t="n">
        <f aca="false">IF(OR(AH76="N/A – RULE",AH76="N/A – JUSTIFIED"),0,1)</f>
        <v>1</v>
      </c>
      <c r="AJ76" s="61" t="n">
        <f aca="false">IF(LEFT(AH76,8)="COMPLETE",1,0)</f>
        <v>0</v>
      </c>
      <c r="AK76" s="61" t="n">
        <f aca="false">IF(AND(AI76=1,AJ76=0,AsOfUTC&gt;Q76),1,0)</f>
        <v>0</v>
      </c>
      <c r="AL76" s="61" t="n">
        <f aca="false">IFERROR(IF(AND(AI76=1,OR(TRIM(U76)="Fail",AND(TRIM(AB76)&lt;&gt;"",TRIM(AB76)&lt;&gt;"Closed"),AND(ISNUMBER(AF76),AF76&lt;&gt;0,TRIM(U76)&lt;&gt;"Pass after CA"))),1,0),1)</f>
        <v>0</v>
      </c>
      <c r="AM76" s="61" t="n">
        <f aca="false">IF(LEFT(AH76,7)="INVALID",1,0)</f>
        <v>0</v>
      </c>
      <c r="AN76" s="61" t="n">
        <f aca="false">IF(AND(N76="Clarification required",AI76=1,AJ76=0),1,0)</f>
        <v>0</v>
      </c>
      <c r="AO76" s="61" t="str">
        <f aca="false">IF(AK76=1,SUM(AK$5:AK76),"")</f>
        <v/>
      </c>
      <c r="AP76" s="61" t="str">
        <f aca="false">IF(AL76=1,SUM(AL$5:AL76),"")</f>
        <v/>
      </c>
      <c r="AQ76" s="61" t="n">
        <v>0</v>
      </c>
      <c r="AR76" s="61" t="n">
        <v>0</v>
      </c>
      <c r="AS76" s="61" t="n">
        <v>2</v>
      </c>
      <c r="AT76" s="61" t="n">
        <v>0</v>
      </c>
      <c r="AU76" s="61" t="str">
        <f aca="false">SUBSTITUTE(SUBSTITUTE(SUBSTITUTE(SUBSTITUTE(SUBSTITUTE(SUBSTITUTE(SUBSTITUTE(SUBSTITUTE(SUBSTITUTE(SUBSTITUTE(SUBSTITUTE(SUBSTITUTE(SUBSTITUTE(LOWER(T76&amp;""),CHAR(160),"")," ",""),".",""),"-",""),"/",""),"?",""),"_",""),",",""),"[",""),"]",""),"(",""),")",""),"*","")</f>
        <v/>
      </c>
      <c r="AV76" s="61" t="str">
        <f aca="false">SUBSTITUTE(SUBSTITUTE(SUBSTITUTE(SUBSTITUTE(SUBSTITUTE(SUBSTITUTE(SUBSTITUTE(SUBSTITUTE(SUBSTITUTE(SUBSTITUTE(SUBSTITUTE(SUBSTITUTE(SUBSTITUTE(LOWER(V76&amp;""),CHAR(160),"")," ",""),".",""),"-",""),"/",""),"?",""),"_",""),",",""),"[",""),"]",""),"(",""),")",""),"*","")</f>
        <v/>
      </c>
      <c r="AW76" s="61" t="str">
        <f aca="false">SUBSTITUTE(SUBSTITUTE(SUBSTITUTE(SUBSTITUTE(SUBSTITUTE(SUBSTITUTE(SUBSTITUTE(SUBSTITUTE(SUBSTITUTE(SUBSTITUTE(SUBSTITUTE(SUBSTITUTE(SUBSTITUTE(LOWER(Z76&amp;""),CHAR(160),"")," ",""),".",""),"-",""),"/",""),"?",""),"_",""),",",""),"[",""),"]",""),"(",""),")",""),"*","")</f>
        <v/>
      </c>
      <c r="AX76" s="61" t="str">
        <f aca="false">SUBSTITUTE(SUBSTITUTE(SUBSTITUTE(SUBSTITUTE(SUBSTITUTE(SUBSTITUTE(SUBSTITUTE(SUBSTITUTE(SUBSTITUTE(SUBSTITUTE(SUBSTITUTE(SUBSTITUTE(SUBSTITUTE(LOWER(AE76&amp;""),CHAR(160),"")," ",""),".",""),"-",""),"/",""),"?",""),"_",""),",",""),"[",""),"]",""),"(",""),")",""),"*","")</f>
        <v/>
      </c>
      <c r="AY76" s="61" t="str">
        <f aca="false">SUBSTITUTE(SUBSTITUTE(SUBSTITUTE(SUBSTITUTE(SUBSTITUTE(SUBSTITUTE(SUBSTITUTE(SUBSTITUTE(SUBSTITUTE(SUBSTITUTE(SUBSTITUTE(SUBSTITUTE(SUBSTITUTE(LOWER(W76&amp;""),CHAR(160),"")," ",""),".",""),"-",""),"/",""),"?",""),"_",""),",",""),"[",""),"]",""),"(",""),")",""),"*","")</f>
        <v/>
      </c>
      <c r="AZ76" s="61" t="str">
        <f aca="false">SUBSTITUTE(SUBSTITUTE(SUBSTITUTE(SUBSTITUTE(SUBSTITUTE(SUBSTITUTE(SUBSTITUTE(SUBSTITUTE(SUBSTITUTE(SUBSTITUTE(SUBSTITUTE(SUBSTITUTE(SUBSTITUTE(LOWER(AC76&amp;""),CHAR(160),"")," ",""),".",""),"-",""),"/",""),"?",""),"_",""),",",""),"[",""),"]",""),"(",""),")",""),"*","")</f>
        <v/>
      </c>
      <c r="BA76" s="61" t="str">
        <f aca="false">SUBSTITUTE(SUBSTITUTE(SUBSTITUTE(SUBSTITUTE(SUBSTITUTE(SUBSTITUTE(SUBSTITUTE(SUBSTITUTE(SUBSTITUTE(SUBSTITUTE(SUBSTITUTE(SUBSTITUTE(SUBSTITUTE(LOWER(AA76&amp;""),CHAR(160),"")," ",""),".",""),"-",""),"/",""),"?",""),"_",""),",",""),"[",""),"]",""),"(",""),")",""),"*","")</f>
        <v/>
      </c>
      <c r="BB76" s="61" t="str">
        <f aca="false">IF(AND(TRIM(U76)="Pass",ISNUMBER(AF76)),IF(AF76&lt;&gt;0,"INVALID – qty variance: use Fail or Pass after CA",""),"")&amp;IF(AND(TRIM(U76)="Pass after CA",ISNUMBER(AF76)),IF(AF76&lt;&gt;0,"INVALID – after the corrective action the actual qty must equal expected (update Actual)",""),"")&amp;IF(AND(TRIM(U76)="Pass",TRIM(AB76)&lt;&gt;"",TRIM(AB76)&lt;&gt;"Closed"),"INVALID – corrective action not closed: use Fail, then Pass after CA","")&amp;IF(AND(TRIM(AA76)&lt;&gt;"",TRIM(AB76)=""),"INVALID – CA status missing for the recorded corrective action","")&amp;IF(AND(TRIM(U76)="Pass after CA",OR(OR(LEN(BA76)&lt;5,ISNUMBER(MATCH(BA76,L_Placeholder,0))),TRIM(AB76)&lt;&gt;"Closed")),"INVALID – corrective action not recorded/closed","")</f>
        <v/>
      </c>
    </row>
    <row r="77" customFormat="false" ht="39.75" hidden="false" customHeight="true" outlineLevel="0" collapsed="false">
      <c r="A77" s="57" t="s">
        <v>542</v>
      </c>
      <c r="B77" s="57" t="s">
        <v>209</v>
      </c>
      <c r="C77" s="57" t="str">
        <f aca="false">Flights!$F$7</f>
        <v>MH0720</v>
      </c>
      <c r="D77" s="58" t="n">
        <f aca="false">Flights!$D$7</f>
        <v>46305</v>
      </c>
      <c r="E77" s="57" t="str">
        <f aca="false">Flights!$G$7&amp;"-"&amp;Flights!$H$7</f>
        <v>CGK-KUL</v>
      </c>
      <c r="F77" s="57" t="str">
        <f aca="false">Flights!$K$7</f>
        <v>EY</v>
      </c>
      <c r="G77" s="57" t="s">
        <v>79</v>
      </c>
      <c r="H77" s="57" t="s">
        <v>356</v>
      </c>
      <c r="I77" s="57" t="s">
        <v>389</v>
      </c>
      <c r="J77" s="57" t="s">
        <v>390</v>
      </c>
      <c r="K77" s="67" t="s">
        <v>543</v>
      </c>
      <c r="L77" s="67" t="s">
        <v>461</v>
      </c>
      <c r="M77" s="67"/>
      <c r="N77" s="67" t="s">
        <v>361</v>
      </c>
      <c r="O77" s="67"/>
      <c r="P77" s="57" t="s">
        <v>198</v>
      </c>
      <c r="Q77" s="59" t="n">
        <f aca="false">ROUND((Flights!$AC$7)*1440,0)/1440</f>
        <v>46298.3784722222</v>
      </c>
      <c r="R77" s="59" t="n">
        <f aca="false">Q77+(IF(AND(INDEX(TZ_DSTS,MATCH(P77,TZ_STN,0))&lt;&gt;"",Q77&gt;=INDEX(TZ_DSTS,MATCH(P77,TZ_STN,0)),Q77&lt;INDEX(TZ_DSTE,MATCH(P77,TZ_STN,0))),INDEX(TZ_DST,MATCH(P77,TZ_STN,0)),INDEX(TZ_STD,MATCH(P77,TZ_STN,0))))/24</f>
        <v>46298.6701388889</v>
      </c>
      <c r="S77" s="59" t="n">
        <f aca="false">Q77-T7EarlyD*24/24</f>
        <v>46284.3784722222</v>
      </c>
      <c r="T77" s="60"/>
      <c r="U77" s="60"/>
      <c r="V77" s="60"/>
      <c r="W77" s="61"/>
      <c r="X77" s="60"/>
      <c r="Y77" s="60"/>
      <c r="Z77" s="60"/>
      <c r="AA77" s="60"/>
      <c r="AB77" s="60"/>
      <c r="AC77" s="60"/>
      <c r="AD77" s="66"/>
      <c r="AE77" s="60"/>
      <c r="AF77" s="61" t="str">
        <f aca="false">IF(AND(ISNUMBER(X77),ISNUMBER(Y77)),Y77-X77,"")</f>
        <v/>
      </c>
      <c r="AG77" s="62" t="str">
        <f aca="false">IF(ISNUMBER(AD77),AD77-(IF(AND(INDEX(TZ_DSTS,MATCH(P77,TZ_STN,0))&lt;&gt;"",(AD77-INDEX(TZ_STD,MATCH(P77,TZ_STN,0))/24)&gt;=INDEX(TZ_DSTS,MATCH(P77,TZ_STN,0)),(AD77-INDEX(TZ_STD,MATCH(P77,TZ_STN,0))/24)&lt;INDEX(TZ_DSTE,MATCH(P77,TZ_STN,0))),INDEX(TZ_DST,MATCH(P77,TZ_STN,0)),INDEX(TZ_STD,MATCH(P77,TZ_STN,0))))/24,"")</f>
        <v/>
      </c>
      <c r="AH77" s="65" t="str">
        <f aca="false">IFERROR(IF(N77="N/A – rule","N/A – RULE",IF(TRIM(U77)="N/A",IF(AT77=0,"INVALID – N/A not permitted for this check",IF(AND(TRIM(AB77)&lt;&gt;"",TRIM(AB77)&lt;&gt;"Closed"),"INVALID – corrective action still open",IF(AND(NOT(OR(LEN(AZ77)&lt;15,ISNUMBER(MATCH(AZ77,L_Placeholder,0)))),NOT(OR(LEN(AU77)&lt;2,ISNUMBER(MATCH(AU77,L_Placeholder,0)))),NOT(OR(LEN(AX77)&lt;2,ISNUMBER(MATCH(AX77,L_Placeholder,0)))),TRIM(AE77)&lt;&gt;TRIM(T77)),"N/A – JUSTIFIED","INVALID – N/A needs a real justification (15+ chars), PIC and a different verifier"))),IF(OR(TRIM(U77)="Pass",TRIM(U77)="Pass after CA"),IF(NOT(ISNUMBER(AD77)),"INVALID – completion time missing",IF(OR(LEN(AU77)&lt;2,ISNUMBER(MATCH(AU77,L_Placeholder,0))),"INVALID – PIC missing",IF(OR(LEN(AV77)&lt;2,ISNUMBER(MATCH(AV77,L_Placeholder,0))),"INVALID – result / assessment missing",IF(OR(OR(LEN(AW77)&lt;3,ISNUMBER(MATCH(AW77,L_Placeholder,0))),SUMPRODUCT(--ISNUMBER(SEARCH(L_EvidencePhrase,AW77)))&gt;0),"INVALID – evidence missing, placeholder or not yet on file",IF(OR(LEN(AX77)&lt;2,ISNUMBER(MATCH(AX77,L_Placeholder,0))),"INVALID – verifier missing",IF(AX77=AU77,"INVALID – verifier must be someone other than the PIC",IF(AND(TRIM(U77)="Pass",SUMPRODUCT(--ISNUMBER(SEARCH(L_ResultBad,AV77)))&gt;0),"INVALID – result describes a problem: use Fail, then Pass after CA",IF(AND(AQ77=1,OR(LEN(AY77)&lt;3,ISNUMBER(MATCH(AY77,L_Placeholder,0)))),"INVALID – batch ID missing or placeholder",IF(AND(AR77=1,OR(NOT(ISNUMBER(X77)),NOT(ISNUMBER(Y77)))),"INVALID – expected/actual qty missing",IF(AND(AR77=1,OR(X77&lt;=0,Y77&lt;0)),"INVALID – expected qty must be above 0 and actual not negative",IF(BB77&lt;&gt;"",BB77,IF(AND(AS77=1,Documents!$J$7&lt;&gt;"ON FILE"),"INVALID – GLD not on file (Documents sheet)",IF(AND(AS77=2,Documents!$O$7&lt;&gt;"ON FILE"),"INVALID – menu checklist not on file (Documents sheet)",IF(AND(AS77=3,NOT(ISNUMBER(Flights!$AX$7))),"INVALID – enter carrying flight KUL departure (Flights AX)",IF(AND(AS77=3,OR(Flights!$AZ$7&gt;Flights!$AA$7,Flights!$AX$7&lt;Flights!$AA$7-3)),"INVALID – carrying flight (Flights AX) cannot arrive before this leg's STD, or is over 3 days early",IF(AG77&gt;AsOfUTC,"INVALID – completion time is in the future",IF(AND(ISNUMBER(S77),AG77&lt;S77),IF(H77="Physical uplift","INVALID – before uplift window (cannot confirm loading)","INVALID – before valid window"),IF(AG77&gt;Flights!$AA$7,"INVALID – completed after departure (cannot establish readiness)",IF(AND(H77="Preparation",AG77&gt;IF(ISNUMBER(Flights!$BA$7),MIN(Flights!$BA$7,Flights!$AA$7),Flights!$AA$7)),"INVALID – completed after loading / departure (cannot establish readiness)",IF(AND(H77="Physical uplift",AG77&gt;Q77),"INVALID – recorded after the loading flight departed",IF(AG77&gt;Q77,"COMPLETE – LATE","COMPLETE"))))))))))))))))))))),IF(TRIM(U77)="Fail","FAIL – DISCREPANCY",IF(AND(TRIM(U77)&lt;&gt;"",TRIM(U77)&lt;&gt;"Not started",TRIM(U77)&lt;&gt;"In progress"),"INVALID – unrecognised status (use the list)",IF(AsOfUTC&gt;Q77,"OVERDUE",IF(N77="Clarification required","OPEN – CLARIFICATION","OPEN"))))))),"INVALID – error value in an input cell")</f>
        <v>OPEN</v>
      </c>
      <c r="AI77" s="61" t="n">
        <f aca="false">IF(OR(AH77="N/A – RULE",AH77="N/A – JUSTIFIED"),0,1)</f>
        <v>1</v>
      </c>
      <c r="AJ77" s="61" t="n">
        <f aca="false">IF(LEFT(AH77,8)="COMPLETE",1,0)</f>
        <v>0</v>
      </c>
      <c r="AK77" s="61" t="n">
        <f aca="false">IF(AND(AI77=1,AJ77=0,AsOfUTC&gt;Q77),1,0)</f>
        <v>0</v>
      </c>
      <c r="AL77" s="61" t="n">
        <f aca="false">IFERROR(IF(AND(AI77=1,OR(TRIM(U77)="Fail",AND(TRIM(AB77)&lt;&gt;"",TRIM(AB77)&lt;&gt;"Closed"),AND(ISNUMBER(AF77),AF77&lt;&gt;0,TRIM(U77)&lt;&gt;"Pass after CA"))),1,0),1)</f>
        <v>0</v>
      </c>
      <c r="AM77" s="61" t="n">
        <f aca="false">IF(LEFT(AH77,7)="INVALID",1,0)</f>
        <v>0</v>
      </c>
      <c r="AN77" s="61" t="n">
        <f aca="false">IF(AND(N77="Clarification required",AI77=1,AJ77=0),1,0)</f>
        <v>0</v>
      </c>
      <c r="AO77" s="61" t="str">
        <f aca="false">IF(AK77=1,SUM(AK$5:AK77),"")</f>
        <v/>
      </c>
      <c r="AP77" s="61" t="str">
        <f aca="false">IF(AL77=1,SUM(AL$5:AL77),"")</f>
        <v/>
      </c>
      <c r="AQ77" s="61" t="n">
        <v>0</v>
      </c>
      <c r="AR77" s="61" t="n">
        <v>0</v>
      </c>
      <c r="AS77" s="61" t="n">
        <v>0</v>
      </c>
      <c r="AT77" s="61" t="n">
        <v>0</v>
      </c>
      <c r="AU77" s="61" t="str">
        <f aca="false">SUBSTITUTE(SUBSTITUTE(SUBSTITUTE(SUBSTITUTE(SUBSTITUTE(SUBSTITUTE(SUBSTITUTE(SUBSTITUTE(SUBSTITUTE(SUBSTITUTE(SUBSTITUTE(SUBSTITUTE(SUBSTITUTE(LOWER(T77&amp;""),CHAR(160),"")," ",""),".",""),"-",""),"/",""),"?",""),"_",""),",",""),"[",""),"]",""),"(",""),")",""),"*","")</f>
        <v/>
      </c>
      <c r="AV77" s="61" t="str">
        <f aca="false">SUBSTITUTE(SUBSTITUTE(SUBSTITUTE(SUBSTITUTE(SUBSTITUTE(SUBSTITUTE(SUBSTITUTE(SUBSTITUTE(SUBSTITUTE(SUBSTITUTE(SUBSTITUTE(SUBSTITUTE(SUBSTITUTE(LOWER(V77&amp;""),CHAR(160),"")," ",""),".",""),"-",""),"/",""),"?",""),"_",""),",",""),"[",""),"]",""),"(",""),")",""),"*","")</f>
        <v/>
      </c>
      <c r="AW77" s="61" t="str">
        <f aca="false">SUBSTITUTE(SUBSTITUTE(SUBSTITUTE(SUBSTITUTE(SUBSTITUTE(SUBSTITUTE(SUBSTITUTE(SUBSTITUTE(SUBSTITUTE(SUBSTITUTE(SUBSTITUTE(SUBSTITUTE(SUBSTITUTE(LOWER(Z77&amp;""),CHAR(160),"")," ",""),".",""),"-",""),"/",""),"?",""),"_",""),",",""),"[",""),"]",""),"(",""),")",""),"*","")</f>
        <v/>
      </c>
      <c r="AX77" s="61" t="str">
        <f aca="false">SUBSTITUTE(SUBSTITUTE(SUBSTITUTE(SUBSTITUTE(SUBSTITUTE(SUBSTITUTE(SUBSTITUTE(SUBSTITUTE(SUBSTITUTE(SUBSTITUTE(SUBSTITUTE(SUBSTITUTE(SUBSTITUTE(LOWER(AE77&amp;""),CHAR(160),"")," ",""),".",""),"-",""),"/",""),"?",""),"_",""),",",""),"[",""),"]",""),"(",""),")",""),"*","")</f>
        <v/>
      </c>
      <c r="AY77" s="61" t="str">
        <f aca="false">SUBSTITUTE(SUBSTITUTE(SUBSTITUTE(SUBSTITUTE(SUBSTITUTE(SUBSTITUTE(SUBSTITUTE(SUBSTITUTE(SUBSTITUTE(SUBSTITUTE(SUBSTITUTE(SUBSTITUTE(SUBSTITUTE(LOWER(W77&amp;""),CHAR(160),"")," ",""),".",""),"-",""),"/",""),"?",""),"_",""),",",""),"[",""),"]",""),"(",""),")",""),"*","")</f>
        <v/>
      </c>
      <c r="AZ77" s="61" t="str">
        <f aca="false">SUBSTITUTE(SUBSTITUTE(SUBSTITUTE(SUBSTITUTE(SUBSTITUTE(SUBSTITUTE(SUBSTITUTE(SUBSTITUTE(SUBSTITUTE(SUBSTITUTE(SUBSTITUTE(SUBSTITUTE(SUBSTITUTE(LOWER(AC77&amp;""),CHAR(160),"")," ",""),".",""),"-",""),"/",""),"?",""),"_",""),",",""),"[",""),"]",""),"(",""),")",""),"*","")</f>
        <v/>
      </c>
      <c r="BA77" s="61" t="str">
        <f aca="false">SUBSTITUTE(SUBSTITUTE(SUBSTITUTE(SUBSTITUTE(SUBSTITUTE(SUBSTITUTE(SUBSTITUTE(SUBSTITUTE(SUBSTITUTE(SUBSTITUTE(SUBSTITUTE(SUBSTITUTE(SUBSTITUTE(LOWER(AA77&amp;""),CHAR(160),"")," ",""),".",""),"-",""),"/",""),"?",""),"_",""),",",""),"[",""),"]",""),"(",""),")",""),"*","")</f>
        <v/>
      </c>
      <c r="BB77" s="61" t="str">
        <f aca="false">IF(AND(TRIM(U77)="Pass",ISNUMBER(AF77)),IF(AF77&lt;&gt;0,"INVALID – qty variance: use Fail or Pass after CA",""),"")&amp;IF(AND(TRIM(U77)="Pass after CA",ISNUMBER(AF77)),IF(AF77&lt;&gt;0,"INVALID – after the corrective action the actual qty must equal expected (update Actual)",""),"")&amp;IF(AND(TRIM(U77)="Pass",TRIM(AB77)&lt;&gt;"",TRIM(AB77)&lt;&gt;"Closed"),"INVALID – corrective action not closed: use Fail, then Pass after CA","")&amp;IF(AND(TRIM(AA77)&lt;&gt;"",TRIM(AB77)=""),"INVALID – CA status missing for the recorded corrective action","")&amp;IF(AND(TRIM(U77)="Pass after CA",OR(OR(LEN(BA77)&lt;5,ISNUMBER(MATCH(BA77,L_Placeholder,0))),TRIM(AB77)&lt;&gt;"Closed")),"INVALID – corrective action not recorded/closed","")</f>
        <v/>
      </c>
    </row>
    <row r="78" customFormat="false" ht="39.75" hidden="false" customHeight="true" outlineLevel="0" collapsed="false">
      <c r="A78" s="57" t="s">
        <v>544</v>
      </c>
      <c r="B78" s="57" t="s">
        <v>209</v>
      </c>
      <c r="C78" s="57" t="str">
        <f aca="false">Flights!$F$7</f>
        <v>MH0720</v>
      </c>
      <c r="D78" s="58" t="n">
        <f aca="false">Flights!$D$7</f>
        <v>46305</v>
      </c>
      <c r="E78" s="57" t="str">
        <f aca="false">Flights!$G$7&amp;"-"&amp;Flights!$H$7</f>
        <v>CGK-KUL</v>
      </c>
      <c r="F78" s="57" t="str">
        <f aca="false">Flights!$K$7</f>
        <v>EY</v>
      </c>
      <c r="G78" s="57" t="s">
        <v>81</v>
      </c>
      <c r="H78" s="57" t="s">
        <v>356</v>
      </c>
      <c r="I78" s="57" t="s">
        <v>357</v>
      </c>
      <c r="J78" s="57" t="s">
        <v>394</v>
      </c>
      <c r="K78" s="67" t="s">
        <v>395</v>
      </c>
      <c r="L78" s="67" t="s">
        <v>396</v>
      </c>
      <c r="M78" s="67"/>
      <c r="N78" s="67" t="s">
        <v>361</v>
      </c>
      <c r="O78" s="67"/>
      <c r="P78" s="57" t="s">
        <v>198</v>
      </c>
      <c r="Q78" s="59" t="n">
        <f aca="false">ROUND((Flights!$AD$7)*1440,0)/1440</f>
        <v>46304.3784722222</v>
      </c>
      <c r="R78" s="59" t="n">
        <f aca="false">Q78+(IF(AND(INDEX(TZ_DSTS,MATCH(P78,TZ_STN,0))&lt;&gt;"",Q78&gt;=INDEX(TZ_DSTS,MATCH(P78,TZ_STN,0)),Q78&lt;INDEX(TZ_DSTE,MATCH(P78,TZ_STN,0))),INDEX(TZ_DST,MATCH(P78,TZ_STN,0)),INDEX(TZ_STD,MATCH(P78,TZ_STN,0))))/24</f>
        <v>46304.6701388889</v>
      </c>
      <c r="S78" s="59" t="n">
        <f aca="false">Q78-T24EarlyH/24</f>
        <v>46303.3784722222</v>
      </c>
      <c r="T78" s="60"/>
      <c r="U78" s="60"/>
      <c r="V78" s="60"/>
      <c r="W78" s="60"/>
      <c r="X78" s="60"/>
      <c r="Y78" s="60"/>
      <c r="Z78" s="60"/>
      <c r="AA78" s="60"/>
      <c r="AB78" s="60"/>
      <c r="AC78" s="60"/>
      <c r="AD78" s="66"/>
      <c r="AE78" s="60"/>
      <c r="AF78" s="61" t="str">
        <f aca="false">IF(AND(ISNUMBER(X78),ISNUMBER(Y78)),Y78-X78,"")</f>
        <v/>
      </c>
      <c r="AG78" s="62" t="str">
        <f aca="false">IF(ISNUMBER(AD78),AD78-(IF(AND(INDEX(TZ_DSTS,MATCH(P78,TZ_STN,0))&lt;&gt;"",(AD78-INDEX(TZ_STD,MATCH(P78,TZ_STN,0))/24)&gt;=INDEX(TZ_DSTS,MATCH(P78,TZ_STN,0)),(AD78-INDEX(TZ_STD,MATCH(P78,TZ_STN,0))/24)&lt;INDEX(TZ_DSTE,MATCH(P78,TZ_STN,0))),INDEX(TZ_DST,MATCH(P78,TZ_STN,0)),INDEX(TZ_STD,MATCH(P78,TZ_STN,0))))/24,"")</f>
        <v/>
      </c>
      <c r="AH78" s="65" t="str">
        <f aca="false">IFERROR(IF(N78="N/A – rule","N/A – RULE",IF(TRIM(U78)="N/A",IF(AT78=0,"INVALID – N/A not permitted for this check",IF(AND(TRIM(AB78)&lt;&gt;"",TRIM(AB78)&lt;&gt;"Closed"),"INVALID – corrective action still open",IF(AND(NOT(OR(LEN(AZ78)&lt;15,ISNUMBER(MATCH(AZ78,L_Placeholder,0)))),NOT(OR(LEN(AU78)&lt;2,ISNUMBER(MATCH(AU78,L_Placeholder,0)))),NOT(OR(LEN(AX78)&lt;2,ISNUMBER(MATCH(AX78,L_Placeholder,0)))),TRIM(AE78)&lt;&gt;TRIM(T78)),"N/A – JUSTIFIED","INVALID – N/A needs a real justification (15+ chars), PIC and a different verifier"))),IF(OR(TRIM(U78)="Pass",TRIM(U78)="Pass after CA"),IF(NOT(ISNUMBER(AD78)),"INVALID – completion time missing",IF(OR(LEN(AU78)&lt;2,ISNUMBER(MATCH(AU78,L_Placeholder,0))),"INVALID – PIC missing",IF(OR(LEN(AV78)&lt;2,ISNUMBER(MATCH(AV78,L_Placeholder,0))),"INVALID – result / assessment missing",IF(OR(OR(LEN(AW78)&lt;3,ISNUMBER(MATCH(AW78,L_Placeholder,0))),SUMPRODUCT(--ISNUMBER(SEARCH(L_EvidencePhrase,AW78)))&gt;0),"INVALID – evidence missing, placeholder or not yet on file",IF(OR(LEN(AX78)&lt;2,ISNUMBER(MATCH(AX78,L_Placeholder,0))),"INVALID – verifier missing",IF(AX78=AU78,"INVALID – verifier must be someone other than the PIC",IF(AND(TRIM(U78)="Pass",SUMPRODUCT(--ISNUMBER(SEARCH(L_ResultBad,AV78)))&gt;0),"INVALID – result describes a problem: use Fail, then Pass after CA",IF(AND(AQ78=1,OR(LEN(AY78)&lt;3,ISNUMBER(MATCH(AY78,L_Placeholder,0)))),"INVALID – batch ID missing or placeholder",IF(AND(AR78=1,OR(NOT(ISNUMBER(X78)),NOT(ISNUMBER(Y78)))),"INVALID – expected/actual qty missing",IF(AND(AR78=1,OR(X78&lt;=0,Y78&lt;0)),"INVALID – expected qty must be above 0 and actual not negative",IF(BB78&lt;&gt;"",BB78,IF(AND(AS78=1,Documents!$J$7&lt;&gt;"ON FILE"),"INVALID – GLD not on file (Documents sheet)",IF(AND(AS78=2,Documents!$O$7&lt;&gt;"ON FILE"),"INVALID – menu checklist not on file (Documents sheet)",IF(AND(AS78=3,NOT(ISNUMBER(Flights!$AX$7))),"INVALID – enter carrying flight KUL departure (Flights AX)",IF(AND(AS78=3,OR(Flights!$AZ$7&gt;Flights!$AA$7,Flights!$AX$7&lt;Flights!$AA$7-3)),"INVALID – carrying flight (Flights AX) cannot arrive before this leg's STD, or is over 3 days early",IF(AG78&gt;AsOfUTC,"INVALID – completion time is in the future",IF(AND(ISNUMBER(S78),AG78&lt;S78),IF(H78="Physical uplift","INVALID – before uplift window (cannot confirm loading)","INVALID – before valid window"),IF(AG78&gt;Flights!$AA$7,"INVALID – completed after departure (cannot establish readiness)",IF(AND(H78="Preparation",AG78&gt;IF(ISNUMBER(Flights!$BA$7),MIN(Flights!$BA$7,Flights!$AA$7),Flights!$AA$7)),"INVALID – completed after loading / departure (cannot establish readiness)",IF(AND(H78="Physical uplift",AG78&gt;Q78),"INVALID – recorded after the loading flight departed",IF(AG78&gt;Q78,"COMPLETE – LATE","COMPLETE"))))))))))))))))))))),IF(TRIM(U78)="Fail","FAIL – DISCREPANCY",IF(AND(TRIM(U78)&lt;&gt;"",TRIM(U78)&lt;&gt;"Not started",TRIM(U78)&lt;&gt;"In progress"),"INVALID – unrecognised status (use the list)",IF(AsOfUTC&gt;Q78,"OVERDUE",IF(N78="Clarification required","OPEN – CLARIFICATION","OPEN"))))))),"INVALID – error value in an input cell")</f>
        <v>OPEN</v>
      </c>
      <c r="AI78" s="61" t="n">
        <f aca="false">IF(OR(AH78="N/A – RULE",AH78="N/A – JUSTIFIED"),0,1)</f>
        <v>1</v>
      </c>
      <c r="AJ78" s="61" t="n">
        <f aca="false">IF(LEFT(AH78,8)="COMPLETE",1,0)</f>
        <v>0</v>
      </c>
      <c r="AK78" s="61" t="n">
        <f aca="false">IF(AND(AI78=1,AJ78=0,AsOfUTC&gt;Q78),1,0)</f>
        <v>0</v>
      </c>
      <c r="AL78" s="61" t="n">
        <f aca="false">IFERROR(IF(AND(AI78=1,OR(TRIM(U78)="Fail",AND(TRIM(AB78)&lt;&gt;"",TRIM(AB78)&lt;&gt;"Closed"),AND(ISNUMBER(AF78),AF78&lt;&gt;0,TRIM(U78)&lt;&gt;"Pass after CA"))),1,0),1)</f>
        <v>0</v>
      </c>
      <c r="AM78" s="61" t="n">
        <f aca="false">IF(LEFT(AH78,7)="INVALID",1,0)</f>
        <v>0</v>
      </c>
      <c r="AN78" s="61" t="n">
        <f aca="false">IF(AND(N78="Clarification required",AI78=1,AJ78=0),1,0)</f>
        <v>0</v>
      </c>
      <c r="AO78" s="61" t="str">
        <f aca="false">IF(AK78=1,SUM(AK$5:AK78),"")</f>
        <v/>
      </c>
      <c r="AP78" s="61" t="str">
        <f aca="false">IF(AL78=1,SUM(AL$5:AL78),"")</f>
        <v/>
      </c>
      <c r="AQ78" s="61" t="n">
        <v>1</v>
      </c>
      <c r="AR78" s="61" t="n">
        <v>0</v>
      </c>
      <c r="AS78" s="61" t="n">
        <v>0</v>
      </c>
      <c r="AT78" s="61" t="n">
        <v>0</v>
      </c>
      <c r="AU78" s="61" t="str">
        <f aca="false">SUBSTITUTE(SUBSTITUTE(SUBSTITUTE(SUBSTITUTE(SUBSTITUTE(SUBSTITUTE(SUBSTITUTE(SUBSTITUTE(SUBSTITUTE(SUBSTITUTE(SUBSTITUTE(SUBSTITUTE(SUBSTITUTE(LOWER(T78&amp;""),CHAR(160),"")," ",""),".",""),"-",""),"/",""),"?",""),"_",""),",",""),"[",""),"]",""),"(",""),")",""),"*","")</f>
        <v/>
      </c>
      <c r="AV78" s="61" t="str">
        <f aca="false">SUBSTITUTE(SUBSTITUTE(SUBSTITUTE(SUBSTITUTE(SUBSTITUTE(SUBSTITUTE(SUBSTITUTE(SUBSTITUTE(SUBSTITUTE(SUBSTITUTE(SUBSTITUTE(SUBSTITUTE(SUBSTITUTE(LOWER(V78&amp;""),CHAR(160),"")," ",""),".",""),"-",""),"/",""),"?",""),"_",""),",",""),"[",""),"]",""),"(",""),")",""),"*","")</f>
        <v/>
      </c>
      <c r="AW78" s="61" t="str">
        <f aca="false">SUBSTITUTE(SUBSTITUTE(SUBSTITUTE(SUBSTITUTE(SUBSTITUTE(SUBSTITUTE(SUBSTITUTE(SUBSTITUTE(SUBSTITUTE(SUBSTITUTE(SUBSTITUTE(SUBSTITUTE(SUBSTITUTE(LOWER(Z78&amp;""),CHAR(160),"")," ",""),".",""),"-",""),"/",""),"?",""),"_",""),",",""),"[",""),"]",""),"(",""),")",""),"*","")</f>
        <v/>
      </c>
      <c r="AX78" s="61" t="str">
        <f aca="false">SUBSTITUTE(SUBSTITUTE(SUBSTITUTE(SUBSTITUTE(SUBSTITUTE(SUBSTITUTE(SUBSTITUTE(SUBSTITUTE(SUBSTITUTE(SUBSTITUTE(SUBSTITUTE(SUBSTITUTE(SUBSTITUTE(LOWER(AE78&amp;""),CHAR(160),"")," ",""),".",""),"-",""),"/",""),"?",""),"_",""),",",""),"[",""),"]",""),"(",""),")",""),"*","")</f>
        <v/>
      </c>
      <c r="AY78" s="61" t="str">
        <f aca="false">SUBSTITUTE(SUBSTITUTE(SUBSTITUTE(SUBSTITUTE(SUBSTITUTE(SUBSTITUTE(SUBSTITUTE(SUBSTITUTE(SUBSTITUTE(SUBSTITUTE(SUBSTITUTE(SUBSTITUTE(SUBSTITUTE(LOWER(W78&amp;""),CHAR(160),"")," ",""),".",""),"-",""),"/",""),"?",""),"_",""),",",""),"[",""),"]",""),"(",""),")",""),"*","")</f>
        <v/>
      </c>
      <c r="AZ78" s="61" t="str">
        <f aca="false">SUBSTITUTE(SUBSTITUTE(SUBSTITUTE(SUBSTITUTE(SUBSTITUTE(SUBSTITUTE(SUBSTITUTE(SUBSTITUTE(SUBSTITUTE(SUBSTITUTE(SUBSTITUTE(SUBSTITUTE(SUBSTITUTE(LOWER(AC78&amp;""),CHAR(160),"")," ",""),".",""),"-",""),"/",""),"?",""),"_",""),",",""),"[",""),"]",""),"(",""),")",""),"*","")</f>
        <v/>
      </c>
      <c r="BA78" s="61" t="str">
        <f aca="false">SUBSTITUTE(SUBSTITUTE(SUBSTITUTE(SUBSTITUTE(SUBSTITUTE(SUBSTITUTE(SUBSTITUTE(SUBSTITUTE(SUBSTITUTE(SUBSTITUTE(SUBSTITUTE(SUBSTITUTE(SUBSTITUTE(LOWER(AA78&amp;""),CHAR(160),"")," ",""),".",""),"-",""),"/",""),"?",""),"_",""),",",""),"[",""),"]",""),"(",""),")",""),"*","")</f>
        <v/>
      </c>
      <c r="BB78" s="61" t="str">
        <f aca="false">IF(AND(TRIM(U78)="Pass",ISNUMBER(AF78)),IF(AF78&lt;&gt;0,"INVALID – qty variance: use Fail or Pass after CA",""),"")&amp;IF(AND(TRIM(U78)="Pass after CA",ISNUMBER(AF78)),IF(AF78&lt;&gt;0,"INVALID – after the corrective action the actual qty must equal expected (update Actual)",""),"")&amp;IF(AND(TRIM(U78)="Pass",TRIM(AB78)&lt;&gt;"",TRIM(AB78)&lt;&gt;"Closed"),"INVALID – corrective action not closed: use Fail, then Pass after CA","")&amp;IF(AND(TRIM(AA78)&lt;&gt;"",TRIM(AB78)=""),"INVALID – CA status missing for the recorded corrective action","")&amp;IF(AND(TRIM(U78)="Pass after CA",OR(OR(LEN(BA78)&lt;5,ISNUMBER(MATCH(BA78,L_Placeholder,0))),TRIM(AB78)&lt;&gt;"Closed")),"INVALID – corrective action not recorded/closed","")</f>
        <v/>
      </c>
    </row>
    <row r="79" customFormat="false" ht="39.75" hidden="false" customHeight="true" outlineLevel="0" collapsed="false">
      <c r="A79" s="57" t="s">
        <v>545</v>
      </c>
      <c r="B79" s="57" t="s">
        <v>209</v>
      </c>
      <c r="C79" s="57" t="str">
        <f aca="false">Flights!$F$7</f>
        <v>MH0720</v>
      </c>
      <c r="D79" s="58" t="n">
        <f aca="false">Flights!$D$7</f>
        <v>46305</v>
      </c>
      <c r="E79" s="57" t="str">
        <f aca="false">Flights!$G$7&amp;"-"&amp;Flights!$H$7</f>
        <v>CGK-KUL</v>
      </c>
      <c r="F79" s="57" t="str">
        <f aca="false">Flights!$K$7</f>
        <v>EY</v>
      </c>
      <c r="G79" s="57" t="s">
        <v>398</v>
      </c>
      <c r="H79" s="57" t="s">
        <v>356</v>
      </c>
      <c r="I79" s="57" t="s">
        <v>357</v>
      </c>
      <c r="J79" s="57" t="s">
        <v>399</v>
      </c>
      <c r="K79" s="67"/>
      <c r="L79" s="67" t="s">
        <v>400</v>
      </c>
      <c r="M79" s="67"/>
      <c r="N79" s="67" t="s">
        <v>361</v>
      </c>
      <c r="O79" s="67" t="s">
        <v>401</v>
      </c>
      <c r="P79" s="57" t="s">
        <v>198</v>
      </c>
      <c r="Q79" s="59" t="n">
        <f aca="false">ROUND((Flights!$AE$7)*1440,0)/1440</f>
        <v>46304.8784722222</v>
      </c>
      <c r="R79" s="59" t="n">
        <f aca="false">Q79+(IF(AND(INDEX(TZ_DSTS,MATCH(P79,TZ_STN,0))&lt;&gt;"",Q79&gt;=INDEX(TZ_DSTS,MATCH(P79,TZ_STN,0)),Q79&lt;INDEX(TZ_DSTE,MATCH(P79,TZ_STN,0))),INDEX(TZ_DST,MATCH(P79,TZ_STN,0)),INDEX(TZ_STD,MATCH(P79,TZ_STN,0))))/24</f>
        <v>46305.1701388889</v>
      </c>
      <c r="S79" s="59" t="n">
        <f aca="false">Q79-T12EarlyH/24</f>
        <v>46304.3784722222</v>
      </c>
      <c r="T79" s="60"/>
      <c r="U79" s="60"/>
      <c r="V79" s="60"/>
      <c r="W79" s="61"/>
      <c r="X79" s="60"/>
      <c r="Y79" s="60"/>
      <c r="Z79" s="60"/>
      <c r="AA79" s="60"/>
      <c r="AB79" s="60"/>
      <c r="AC79" s="60"/>
      <c r="AD79" s="66"/>
      <c r="AE79" s="60"/>
      <c r="AF79" s="61" t="str">
        <f aca="false">IF(AND(ISNUMBER(X79),ISNUMBER(Y79)),Y79-X79,"")</f>
        <v/>
      </c>
      <c r="AG79" s="62" t="str">
        <f aca="false">IF(ISNUMBER(AD79),AD79-(IF(AND(INDEX(TZ_DSTS,MATCH(P79,TZ_STN,0))&lt;&gt;"",(AD79-INDEX(TZ_STD,MATCH(P79,TZ_STN,0))/24)&gt;=INDEX(TZ_DSTS,MATCH(P79,TZ_STN,0)),(AD79-INDEX(TZ_STD,MATCH(P79,TZ_STN,0))/24)&lt;INDEX(TZ_DSTE,MATCH(P79,TZ_STN,0))),INDEX(TZ_DST,MATCH(P79,TZ_STN,0)),INDEX(TZ_STD,MATCH(P79,TZ_STN,0))))/24,"")</f>
        <v/>
      </c>
      <c r="AH79" s="65" t="str">
        <f aca="false">IFERROR(IF(N79="N/A – rule","N/A – RULE",IF(TRIM(U79)="N/A",IF(AT79=0,"INVALID – N/A not permitted for this check",IF(AND(TRIM(AB79)&lt;&gt;"",TRIM(AB79)&lt;&gt;"Closed"),"INVALID – corrective action still open",IF(AND(NOT(OR(LEN(AZ79)&lt;15,ISNUMBER(MATCH(AZ79,L_Placeholder,0)))),NOT(OR(LEN(AU79)&lt;2,ISNUMBER(MATCH(AU79,L_Placeholder,0)))),NOT(OR(LEN(AX79)&lt;2,ISNUMBER(MATCH(AX79,L_Placeholder,0)))),TRIM(AE79)&lt;&gt;TRIM(T79)),"N/A – JUSTIFIED","INVALID – N/A needs a real justification (15+ chars), PIC and a different verifier"))),IF(OR(TRIM(U79)="Pass",TRIM(U79)="Pass after CA"),IF(NOT(ISNUMBER(AD79)),"INVALID – completion time missing",IF(OR(LEN(AU79)&lt;2,ISNUMBER(MATCH(AU79,L_Placeholder,0))),"INVALID – PIC missing",IF(OR(LEN(AV79)&lt;2,ISNUMBER(MATCH(AV79,L_Placeholder,0))),"INVALID – result / assessment missing",IF(OR(OR(LEN(AW79)&lt;3,ISNUMBER(MATCH(AW79,L_Placeholder,0))),SUMPRODUCT(--ISNUMBER(SEARCH(L_EvidencePhrase,AW79)))&gt;0),"INVALID – evidence missing, placeholder or not yet on file",IF(OR(LEN(AX79)&lt;2,ISNUMBER(MATCH(AX79,L_Placeholder,0))),"INVALID – verifier missing",IF(AX79=AU79,"INVALID – verifier must be someone other than the PIC",IF(AND(TRIM(U79)="Pass",SUMPRODUCT(--ISNUMBER(SEARCH(L_ResultBad,AV79)))&gt;0),"INVALID – result describes a problem: use Fail, then Pass after CA",IF(AND(AQ79=1,OR(LEN(AY79)&lt;3,ISNUMBER(MATCH(AY79,L_Placeholder,0)))),"INVALID – batch ID missing or placeholder",IF(AND(AR79=1,OR(NOT(ISNUMBER(X79)),NOT(ISNUMBER(Y79)))),"INVALID – expected/actual qty missing",IF(AND(AR79=1,OR(X79&lt;=0,Y79&lt;0)),"INVALID – expected qty must be above 0 and actual not negative",IF(BB79&lt;&gt;"",BB79,IF(AND(AS79=1,Documents!$J$7&lt;&gt;"ON FILE"),"INVALID – GLD not on file (Documents sheet)",IF(AND(AS79=2,Documents!$O$7&lt;&gt;"ON FILE"),"INVALID – menu checklist not on file (Documents sheet)",IF(AND(AS79=3,NOT(ISNUMBER(Flights!$AX$7))),"INVALID – enter carrying flight KUL departure (Flights AX)",IF(AND(AS79=3,OR(Flights!$AZ$7&gt;Flights!$AA$7,Flights!$AX$7&lt;Flights!$AA$7-3)),"INVALID – carrying flight (Flights AX) cannot arrive before this leg's STD, or is over 3 days early",IF(AG79&gt;AsOfUTC,"INVALID – completion time is in the future",IF(AND(ISNUMBER(S79),AG79&lt;S79),IF(H79="Physical uplift","INVALID – before uplift window (cannot confirm loading)","INVALID – before valid window"),IF(AG79&gt;Flights!$AA$7,"INVALID – completed after departure (cannot establish readiness)",IF(AND(H79="Preparation",AG79&gt;IF(ISNUMBER(Flights!$BA$7),MIN(Flights!$BA$7,Flights!$AA$7),Flights!$AA$7)),"INVALID – completed after loading / departure (cannot establish readiness)",IF(AND(H79="Physical uplift",AG79&gt;Q79),"INVALID – recorded after the loading flight departed",IF(AG79&gt;Q79,"COMPLETE – LATE","COMPLETE"))))))))))))))))))))),IF(TRIM(U79)="Fail","FAIL – DISCREPANCY",IF(AND(TRIM(U79)&lt;&gt;"",TRIM(U79)&lt;&gt;"Not started",TRIM(U79)&lt;&gt;"In progress"),"INVALID – unrecognised status (use the list)",IF(AsOfUTC&gt;Q79,"OVERDUE",IF(N79="Clarification required","OPEN – CLARIFICATION","OPEN"))))))),"INVALID – error value in an input cell")</f>
        <v>OPEN</v>
      </c>
      <c r="AI79" s="61" t="n">
        <f aca="false">IF(OR(AH79="N/A – RULE",AH79="N/A – JUSTIFIED"),0,1)</f>
        <v>1</v>
      </c>
      <c r="AJ79" s="61" t="n">
        <f aca="false">IF(LEFT(AH79,8)="COMPLETE",1,0)</f>
        <v>0</v>
      </c>
      <c r="AK79" s="61" t="n">
        <f aca="false">IF(AND(AI79=1,AJ79=0,AsOfUTC&gt;Q79),1,0)</f>
        <v>0</v>
      </c>
      <c r="AL79" s="61" t="n">
        <f aca="false">IFERROR(IF(AND(AI79=1,OR(TRIM(U79)="Fail",AND(TRIM(AB79)&lt;&gt;"",TRIM(AB79)&lt;&gt;"Closed"),AND(ISNUMBER(AF79),AF79&lt;&gt;0,TRIM(U79)&lt;&gt;"Pass after CA"))),1,0),1)</f>
        <v>0</v>
      </c>
      <c r="AM79" s="61" t="n">
        <f aca="false">IF(LEFT(AH79,7)="INVALID",1,0)</f>
        <v>0</v>
      </c>
      <c r="AN79" s="61" t="n">
        <f aca="false">IF(AND(N79="Clarification required",AI79=1,AJ79=0),1,0)</f>
        <v>0</v>
      </c>
      <c r="AO79" s="61" t="str">
        <f aca="false">IF(AK79=1,SUM(AK$5:AK79),"")</f>
        <v/>
      </c>
      <c r="AP79" s="61" t="str">
        <f aca="false">IF(AL79=1,SUM(AL$5:AL79),"")</f>
        <v/>
      </c>
      <c r="AQ79" s="61" t="n">
        <v>0</v>
      </c>
      <c r="AR79" s="61" t="n">
        <v>0</v>
      </c>
      <c r="AS79" s="61" t="n">
        <v>0</v>
      </c>
      <c r="AT79" s="61" t="n">
        <v>0</v>
      </c>
      <c r="AU79" s="61" t="str">
        <f aca="false">SUBSTITUTE(SUBSTITUTE(SUBSTITUTE(SUBSTITUTE(SUBSTITUTE(SUBSTITUTE(SUBSTITUTE(SUBSTITUTE(SUBSTITUTE(SUBSTITUTE(SUBSTITUTE(SUBSTITUTE(SUBSTITUTE(LOWER(T79&amp;""),CHAR(160),"")," ",""),".",""),"-",""),"/",""),"?",""),"_",""),",",""),"[",""),"]",""),"(",""),")",""),"*","")</f>
        <v/>
      </c>
      <c r="AV79" s="61" t="str">
        <f aca="false">SUBSTITUTE(SUBSTITUTE(SUBSTITUTE(SUBSTITUTE(SUBSTITUTE(SUBSTITUTE(SUBSTITUTE(SUBSTITUTE(SUBSTITUTE(SUBSTITUTE(SUBSTITUTE(SUBSTITUTE(SUBSTITUTE(LOWER(V79&amp;""),CHAR(160),"")," ",""),".",""),"-",""),"/",""),"?",""),"_",""),",",""),"[",""),"]",""),"(",""),")",""),"*","")</f>
        <v/>
      </c>
      <c r="AW79" s="61" t="str">
        <f aca="false">SUBSTITUTE(SUBSTITUTE(SUBSTITUTE(SUBSTITUTE(SUBSTITUTE(SUBSTITUTE(SUBSTITUTE(SUBSTITUTE(SUBSTITUTE(SUBSTITUTE(SUBSTITUTE(SUBSTITUTE(SUBSTITUTE(LOWER(Z79&amp;""),CHAR(160),"")," ",""),".",""),"-",""),"/",""),"?",""),"_",""),",",""),"[",""),"]",""),"(",""),")",""),"*","")</f>
        <v/>
      </c>
      <c r="AX79" s="61" t="str">
        <f aca="false">SUBSTITUTE(SUBSTITUTE(SUBSTITUTE(SUBSTITUTE(SUBSTITUTE(SUBSTITUTE(SUBSTITUTE(SUBSTITUTE(SUBSTITUTE(SUBSTITUTE(SUBSTITUTE(SUBSTITUTE(SUBSTITUTE(LOWER(AE79&amp;""),CHAR(160),"")," ",""),".",""),"-",""),"/",""),"?",""),"_",""),",",""),"[",""),"]",""),"(",""),")",""),"*","")</f>
        <v/>
      </c>
      <c r="AY79" s="61" t="str">
        <f aca="false">SUBSTITUTE(SUBSTITUTE(SUBSTITUTE(SUBSTITUTE(SUBSTITUTE(SUBSTITUTE(SUBSTITUTE(SUBSTITUTE(SUBSTITUTE(SUBSTITUTE(SUBSTITUTE(SUBSTITUTE(SUBSTITUTE(LOWER(W79&amp;""),CHAR(160),"")," ",""),".",""),"-",""),"/",""),"?",""),"_",""),",",""),"[",""),"]",""),"(",""),")",""),"*","")</f>
        <v/>
      </c>
      <c r="AZ79" s="61" t="str">
        <f aca="false">SUBSTITUTE(SUBSTITUTE(SUBSTITUTE(SUBSTITUTE(SUBSTITUTE(SUBSTITUTE(SUBSTITUTE(SUBSTITUTE(SUBSTITUTE(SUBSTITUTE(SUBSTITUTE(SUBSTITUTE(SUBSTITUTE(LOWER(AC79&amp;""),CHAR(160),"")," ",""),".",""),"-",""),"/",""),"?",""),"_",""),",",""),"[",""),"]",""),"(",""),")",""),"*","")</f>
        <v/>
      </c>
      <c r="BA79" s="61" t="str">
        <f aca="false">SUBSTITUTE(SUBSTITUTE(SUBSTITUTE(SUBSTITUTE(SUBSTITUTE(SUBSTITUTE(SUBSTITUTE(SUBSTITUTE(SUBSTITUTE(SUBSTITUTE(SUBSTITUTE(SUBSTITUTE(SUBSTITUTE(LOWER(AA79&amp;""),CHAR(160),"")," ",""),".",""),"-",""),"/",""),"?",""),"_",""),",",""),"[",""),"]",""),"(",""),")",""),"*","")</f>
        <v/>
      </c>
      <c r="BB79" s="61" t="str">
        <f aca="false">IF(AND(TRIM(U79)="Pass",ISNUMBER(AF79)),IF(AF79&lt;&gt;0,"INVALID – qty variance: use Fail or Pass after CA",""),"")&amp;IF(AND(TRIM(U79)="Pass after CA",ISNUMBER(AF79)),IF(AF79&lt;&gt;0,"INVALID – after the corrective action the actual qty must equal expected (update Actual)",""),"")&amp;IF(AND(TRIM(U79)="Pass",TRIM(AB79)&lt;&gt;"",TRIM(AB79)&lt;&gt;"Closed"),"INVALID – corrective action not closed: use Fail, then Pass after CA","")&amp;IF(AND(TRIM(AA79)&lt;&gt;"",TRIM(AB79)=""),"INVALID – CA status missing for the recorded corrective action","")&amp;IF(AND(TRIM(U79)="Pass after CA",OR(OR(LEN(BA79)&lt;5,ISNUMBER(MATCH(BA79,L_Placeholder,0))),TRIM(AB79)&lt;&gt;"Closed")),"INVALID – corrective action not recorded/closed","")</f>
        <v/>
      </c>
    </row>
    <row r="80" customFormat="false" ht="39.75" hidden="false" customHeight="true" outlineLevel="0" collapsed="false">
      <c r="A80" s="57" t="s">
        <v>546</v>
      </c>
      <c r="B80" s="57" t="s">
        <v>209</v>
      </c>
      <c r="C80" s="57" t="str">
        <f aca="false">Flights!$F$7</f>
        <v>MH0720</v>
      </c>
      <c r="D80" s="58" t="n">
        <f aca="false">Flights!$D$7</f>
        <v>46305</v>
      </c>
      <c r="E80" s="57" t="str">
        <f aca="false">Flights!$G$7&amp;"-"&amp;Flights!$H$7</f>
        <v>CGK-KUL</v>
      </c>
      <c r="F80" s="57" t="str">
        <f aca="false">Flights!$K$7</f>
        <v>EY</v>
      </c>
      <c r="G80" s="57" t="s">
        <v>398</v>
      </c>
      <c r="H80" s="57" t="s">
        <v>356</v>
      </c>
      <c r="I80" s="57" t="s">
        <v>357</v>
      </c>
      <c r="J80" s="57" t="s">
        <v>403</v>
      </c>
      <c r="K80" s="67" t="s">
        <v>404</v>
      </c>
      <c r="L80" s="67" t="s">
        <v>400</v>
      </c>
      <c r="M80" s="67"/>
      <c r="N80" s="67" t="s">
        <v>361</v>
      </c>
      <c r="O80" s="67" t="s">
        <v>401</v>
      </c>
      <c r="P80" s="57" t="s">
        <v>198</v>
      </c>
      <c r="Q80" s="59" t="n">
        <f aca="false">ROUND((Flights!$AE$7)*1440,0)/1440</f>
        <v>46304.8784722222</v>
      </c>
      <c r="R80" s="59" t="n">
        <f aca="false">Q80+(IF(AND(INDEX(TZ_DSTS,MATCH(P80,TZ_STN,0))&lt;&gt;"",Q80&gt;=INDEX(TZ_DSTS,MATCH(P80,TZ_STN,0)),Q80&lt;INDEX(TZ_DSTE,MATCH(P80,TZ_STN,0))),INDEX(TZ_DST,MATCH(P80,TZ_STN,0)),INDEX(TZ_STD,MATCH(P80,TZ_STN,0))))/24</f>
        <v>46305.1701388889</v>
      </c>
      <c r="S80" s="59" t="n">
        <f aca="false">Q80-T12EarlyH/24</f>
        <v>46304.3784722222</v>
      </c>
      <c r="T80" s="60"/>
      <c r="U80" s="60"/>
      <c r="V80" s="60"/>
      <c r="W80" s="61"/>
      <c r="X80" s="60"/>
      <c r="Y80" s="60"/>
      <c r="Z80" s="60"/>
      <c r="AA80" s="60"/>
      <c r="AB80" s="60"/>
      <c r="AC80" s="60"/>
      <c r="AD80" s="66"/>
      <c r="AE80" s="60"/>
      <c r="AF80" s="61" t="str">
        <f aca="false">IF(AND(ISNUMBER(X80),ISNUMBER(Y80)),Y80-X80,"")</f>
        <v/>
      </c>
      <c r="AG80" s="62" t="str">
        <f aca="false">IF(ISNUMBER(AD80),AD80-(IF(AND(INDEX(TZ_DSTS,MATCH(P80,TZ_STN,0))&lt;&gt;"",(AD80-INDEX(TZ_STD,MATCH(P80,TZ_STN,0))/24)&gt;=INDEX(TZ_DSTS,MATCH(P80,TZ_STN,0)),(AD80-INDEX(TZ_STD,MATCH(P80,TZ_STN,0))/24)&lt;INDEX(TZ_DSTE,MATCH(P80,TZ_STN,0))),INDEX(TZ_DST,MATCH(P80,TZ_STN,0)),INDEX(TZ_STD,MATCH(P80,TZ_STN,0))))/24,"")</f>
        <v/>
      </c>
      <c r="AH80" s="65" t="str">
        <f aca="false">IFERROR(IF(N80="N/A – rule","N/A – RULE",IF(TRIM(U80)="N/A",IF(AT80=0,"INVALID – N/A not permitted for this check",IF(AND(TRIM(AB80)&lt;&gt;"",TRIM(AB80)&lt;&gt;"Closed"),"INVALID – corrective action still open",IF(AND(NOT(OR(LEN(AZ80)&lt;15,ISNUMBER(MATCH(AZ80,L_Placeholder,0)))),NOT(OR(LEN(AU80)&lt;2,ISNUMBER(MATCH(AU80,L_Placeholder,0)))),NOT(OR(LEN(AX80)&lt;2,ISNUMBER(MATCH(AX80,L_Placeholder,0)))),TRIM(AE80)&lt;&gt;TRIM(T80)),"N/A – JUSTIFIED","INVALID – N/A needs a real justification (15+ chars), PIC and a different verifier"))),IF(OR(TRIM(U80)="Pass",TRIM(U80)="Pass after CA"),IF(NOT(ISNUMBER(AD80)),"INVALID – completion time missing",IF(OR(LEN(AU80)&lt;2,ISNUMBER(MATCH(AU80,L_Placeholder,0))),"INVALID – PIC missing",IF(OR(LEN(AV80)&lt;2,ISNUMBER(MATCH(AV80,L_Placeholder,0))),"INVALID – result / assessment missing",IF(OR(OR(LEN(AW80)&lt;3,ISNUMBER(MATCH(AW80,L_Placeholder,0))),SUMPRODUCT(--ISNUMBER(SEARCH(L_EvidencePhrase,AW80)))&gt;0),"INVALID – evidence missing, placeholder or not yet on file",IF(OR(LEN(AX80)&lt;2,ISNUMBER(MATCH(AX80,L_Placeholder,0))),"INVALID – verifier missing",IF(AX80=AU80,"INVALID – verifier must be someone other than the PIC",IF(AND(TRIM(U80)="Pass",SUMPRODUCT(--ISNUMBER(SEARCH(L_ResultBad,AV80)))&gt;0),"INVALID – result describes a problem: use Fail, then Pass after CA",IF(AND(AQ80=1,OR(LEN(AY80)&lt;3,ISNUMBER(MATCH(AY80,L_Placeholder,0)))),"INVALID – batch ID missing or placeholder",IF(AND(AR80=1,OR(NOT(ISNUMBER(X80)),NOT(ISNUMBER(Y80)))),"INVALID – expected/actual qty missing",IF(AND(AR80=1,OR(X80&lt;=0,Y80&lt;0)),"INVALID – expected qty must be above 0 and actual not negative",IF(BB80&lt;&gt;"",BB80,IF(AND(AS80=1,Documents!$J$7&lt;&gt;"ON FILE"),"INVALID – GLD not on file (Documents sheet)",IF(AND(AS80=2,Documents!$O$7&lt;&gt;"ON FILE"),"INVALID – menu checklist not on file (Documents sheet)",IF(AND(AS80=3,NOT(ISNUMBER(Flights!$AX$7))),"INVALID – enter carrying flight KUL departure (Flights AX)",IF(AND(AS80=3,OR(Flights!$AZ$7&gt;Flights!$AA$7,Flights!$AX$7&lt;Flights!$AA$7-3)),"INVALID – carrying flight (Flights AX) cannot arrive before this leg's STD, or is over 3 days early",IF(AG80&gt;AsOfUTC,"INVALID – completion time is in the future",IF(AND(ISNUMBER(S80),AG80&lt;S80),IF(H80="Physical uplift","INVALID – before uplift window (cannot confirm loading)","INVALID – before valid window"),IF(AG80&gt;Flights!$AA$7,"INVALID – completed after departure (cannot establish readiness)",IF(AND(H80="Preparation",AG80&gt;IF(ISNUMBER(Flights!$BA$7),MIN(Flights!$BA$7,Flights!$AA$7),Flights!$AA$7)),"INVALID – completed after loading / departure (cannot establish readiness)",IF(AND(H80="Physical uplift",AG80&gt;Q80),"INVALID – recorded after the loading flight departed",IF(AG80&gt;Q80,"COMPLETE – LATE","COMPLETE"))))))))))))))))))))),IF(TRIM(U80)="Fail","FAIL – DISCREPANCY",IF(AND(TRIM(U80)&lt;&gt;"",TRIM(U80)&lt;&gt;"Not started",TRIM(U80)&lt;&gt;"In progress"),"INVALID – unrecognised status (use the list)",IF(AsOfUTC&gt;Q80,"OVERDUE",IF(N80="Clarification required","OPEN – CLARIFICATION","OPEN"))))))),"INVALID – error value in an input cell")</f>
        <v>OPEN</v>
      </c>
      <c r="AI80" s="61" t="n">
        <f aca="false">IF(OR(AH80="N/A – RULE",AH80="N/A – JUSTIFIED"),0,1)</f>
        <v>1</v>
      </c>
      <c r="AJ80" s="61" t="n">
        <f aca="false">IF(LEFT(AH80,8)="COMPLETE",1,0)</f>
        <v>0</v>
      </c>
      <c r="AK80" s="61" t="n">
        <f aca="false">IF(AND(AI80=1,AJ80=0,AsOfUTC&gt;Q80),1,0)</f>
        <v>0</v>
      </c>
      <c r="AL80" s="61" t="n">
        <f aca="false">IFERROR(IF(AND(AI80=1,OR(TRIM(U80)="Fail",AND(TRIM(AB80)&lt;&gt;"",TRIM(AB80)&lt;&gt;"Closed"),AND(ISNUMBER(AF80),AF80&lt;&gt;0,TRIM(U80)&lt;&gt;"Pass after CA"))),1,0),1)</f>
        <v>0</v>
      </c>
      <c r="AM80" s="61" t="n">
        <f aca="false">IF(LEFT(AH80,7)="INVALID",1,0)</f>
        <v>0</v>
      </c>
      <c r="AN80" s="61" t="n">
        <f aca="false">IF(AND(N80="Clarification required",AI80=1,AJ80=0),1,0)</f>
        <v>0</v>
      </c>
      <c r="AO80" s="61" t="str">
        <f aca="false">IF(AK80=1,SUM(AK$5:AK80),"")</f>
        <v/>
      </c>
      <c r="AP80" s="61" t="str">
        <f aca="false">IF(AL80=1,SUM(AL$5:AL80),"")</f>
        <v/>
      </c>
      <c r="AQ80" s="61" t="n">
        <v>0</v>
      </c>
      <c r="AR80" s="61" t="n">
        <v>1</v>
      </c>
      <c r="AS80" s="61" t="n">
        <v>0</v>
      </c>
      <c r="AT80" s="61" t="n">
        <v>0</v>
      </c>
      <c r="AU80" s="61" t="str">
        <f aca="false">SUBSTITUTE(SUBSTITUTE(SUBSTITUTE(SUBSTITUTE(SUBSTITUTE(SUBSTITUTE(SUBSTITUTE(SUBSTITUTE(SUBSTITUTE(SUBSTITUTE(SUBSTITUTE(SUBSTITUTE(SUBSTITUTE(LOWER(T80&amp;""),CHAR(160),"")," ",""),".",""),"-",""),"/",""),"?",""),"_",""),",",""),"[",""),"]",""),"(",""),")",""),"*","")</f>
        <v/>
      </c>
      <c r="AV80" s="61" t="str">
        <f aca="false">SUBSTITUTE(SUBSTITUTE(SUBSTITUTE(SUBSTITUTE(SUBSTITUTE(SUBSTITUTE(SUBSTITUTE(SUBSTITUTE(SUBSTITUTE(SUBSTITUTE(SUBSTITUTE(SUBSTITUTE(SUBSTITUTE(LOWER(V80&amp;""),CHAR(160),"")," ",""),".",""),"-",""),"/",""),"?",""),"_",""),",",""),"[",""),"]",""),"(",""),")",""),"*","")</f>
        <v/>
      </c>
      <c r="AW80" s="61" t="str">
        <f aca="false">SUBSTITUTE(SUBSTITUTE(SUBSTITUTE(SUBSTITUTE(SUBSTITUTE(SUBSTITUTE(SUBSTITUTE(SUBSTITUTE(SUBSTITUTE(SUBSTITUTE(SUBSTITUTE(SUBSTITUTE(SUBSTITUTE(LOWER(Z80&amp;""),CHAR(160),"")," ",""),".",""),"-",""),"/",""),"?",""),"_",""),",",""),"[",""),"]",""),"(",""),")",""),"*","")</f>
        <v/>
      </c>
      <c r="AX80" s="61" t="str">
        <f aca="false">SUBSTITUTE(SUBSTITUTE(SUBSTITUTE(SUBSTITUTE(SUBSTITUTE(SUBSTITUTE(SUBSTITUTE(SUBSTITUTE(SUBSTITUTE(SUBSTITUTE(SUBSTITUTE(SUBSTITUTE(SUBSTITUTE(LOWER(AE80&amp;""),CHAR(160),"")," ",""),".",""),"-",""),"/",""),"?",""),"_",""),",",""),"[",""),"]",""),"(",""),")",""),"*","")</f>
        <v/>
      </c>
      <c r="AY80" s="61" t="str">
        <f aca="false">SUBSTITUTE(SUBSTITUTE(SUBSTITUTE(SUBSTITUTE(SUBSTITUTE(SUBSTITUTE(SUBSTITUTE(SUBSTITUTE(SUBSTITUTE(SUBSTITUTE(SUBSTITUTE(SUBSTITUTE(SUBSTITUTE(LOWER(W80&amp;""),CHAR(160),"")," ",""),".",""),"-",""),"/",""),"?",""),"_",""),",",""),"[",""),"]",""),"(",""),")",""),"*","")</f>
        <v/>
      </c>
      <c r="AZ80" s="61" t="str">
        <f aca="false">SUBSTITUTE(SUBSTITUTE(SUBSTITUTE(SUBSTITUTE(SUBSTITUTE(SUBSTITUTE(SUBSTITUTE(SUBSTITUTE(SUBSTITUTE(SUBSTITUTE(SUBSTITUTE(SUBSTITUTE(SUBSTITUTE(LOWER(AC80&amp;""),CHAR(160),"")," ",""),".",""),"-",""),"/",""),"?",""),"_",""),",",""),"[",""),"]",""),"(",""),")",""),"*","")</f>
        <v/>
      </c>
      <c r="BA80" s="61" t="str">
        <f aca="false">SUBSTITUTE(SUBSTITUTE(SUBSTITUTE(SUBSTITUTE(SUBSTITUTE(SUBSTITUTE(SUBSTITUTE(SUBSTITUTE(SUBSTITUTE(SUBSTITUTE(SUBSTITUTE(SUBSTITUTE(SUBSTITUTE(LOWER(AA80&amp;""),CHAR(160),"")," ",""),".",""),"-",""),"/",""),"?",""),"_",""),",",""),"[",""),"]",""),"(",""),")",""),"*","")</f>
        <v/>
      </c>
      <c r="BB80" s="61" t="str">
        <f aca="false">IF(AND(TRIM(U80)="Pass",ISNUMBER(AF80)),IF(AF80&lt;&gt;0,"INVALID – qty variance: use Fail or Pass after CA",""),"")&amp;IF(AND(TRIM(U80)="Pass after CA",ISNUMBER(AF80)),IF(AF80&lt;&gt;0,"INVALID – after the corrective action the actual qty must equal expected (update Actual)",""),"")&amp;IF(AND(TRIM(U80)="Pass",TRIM(AB80)&lt;&gt;"",TRIM(AB80)&lt;&gt;"Closed"),"INVALID – corrective action not closed: use Fail, then Pass after CA","")&amp;IF(AND(TRIM(AA80)&lt;&gt;"",TRIM(AB80)=""),"INVALID – CA status missing for the recorded corrective action","")&amp;IF(AND(TRIM(U80)="Pass after CA",OR(OR(LEN(BA80)&lt;5,ISNUMBER(MATCH(BA80,L_Placeholder,0))),TRIM(AB80)&lt;&gt;"Closed")),"INVALID – corrective action not recorded/closed","")</f>
        <v/>
      </c>
    </row>
    <row r="81" customFormat="false" ht="39.75" hidden="false" customHeight="true" outlineLevel="0" collapsed="false">
      <c r="A81" s="57" t="s">
        <v>547</v>
      </c>
      <c r="B81" s="57" t="s">
        <v>209</v>
      </c>
      <c r="C81" s="57" t="str">
        <f aca="false">Flights!$F$7</f>
        <v>MH0720</v>
      </c>
      <c r="D81" s="58" t="n">
        <f aca="false">Flights!$D$7</f>
        <v>46305</v>
      </c>
      <c r="E81" s="57" t="str">
        <f aca="false">Flights!$G$7&amp;"-"&amp;Flights!$H$7</f>
        <v>CGK-KUL</v>
      </c>
      <c r="F81" s="57" t="str">
        <f aca="false">Flights!$K$7</f>
        <v>EY</v>
      </c>
      <c r="G81" s="57" t="s">
        <v>398</v>
      </c>
      <c r="H81" s="57" t="s">
        <v>356</v>
      </c>
      <c r="I81" s="57" t="s">
        <v>406</v>
      </c>
      <c r="J81" s="57" t="s">
        <v>407</v>
      </c>
      <c r="K81" s="67"/>
      <c r="L81" s="67" t="s">
        <v>400</v>
      </c>
      <c r="M81" s="67"/>
      <c r="N81" s="67" t="s">
        <v>361</v>
      </c>
      <c r="O81" s="67" t="s">
        <v>401</v>
      </c>
      <c r="P81" s="57" t="s">
        <v>198</v>
      </c>
      <c r="Q81" s="59" t="n">
        <f aca="false">ROUND((Flights!$AE$7)*1440,0)/1440</f>
        <v>46304.8784722222</v>
      </c>
      <c r="R81" s="59" t="n">
        <f aca="false">Q81+(IF(AND(INDEX(TZ_DSTS,MATCH(P81,TZ_STN,0))&lt;&gt;"",Q81&gt;=INDEX(TZ_DSTS,MATCH(P81,TZ_STN,0)),Q81&lt;INDEX(TZ_DSTE,MATCH(P81,TZ_STN,0))),INDEX(TZ_DST,MATCH(P81,TZ_STN,0)),INDEX(TZ_STD,MATCH(P81,TZ_STN,0))))/24</f>
        <v>46305.1701388889</v>
      </c>
      <c r="S81" s="59" t="n">
        <f aca="false">Q81-T12EarlyH/24</f>
        <v>46304.3784722222</v>
      </c>
      <c r="T81" s="60"/>
      <c r="U81" s="60"/>
      <c r="V81" s="60"/>
      <c r="W81" s="61"/>
      <c r="X81" s="60"/>
      <c r="Y81" s="60"/>
      <c r="Z81" s="60"/>
      <c r="AA81" s="60"/>
      <c r="AB81" s="60"/>
      <c r="AC81" s="60"/>
      <c r="AD81" s="66"/>
      <c r="AE81" s="60"/>
      <c r="AF81" s="61" t="str">
        <f aca="false">IF(AND(ISNUMBER(X81),ISNUMBER(Y81)),Y81-X81,"")</f>
        <v/>
      </c>
      <c r="AG81" s="62" t="str">
        <f aca="false">IF(ISNUMBER(AD81),AD81-(IF(AND(INDEX(TZ_DSTS,MATCH(P81,TZ_STN,0))&lt;&gt;"",(AD81-INDEX(TZ_STD,MATCH(P81,TZ_STN,0))/24)&gt;=INDEX(TZ_DSTS,MATCH(P81,TZ_STN,0)),(AD81-INDEX(TZ_STD,MATCH(P81,TZ_STN,0))/24)&lt;INDEX(TZ_DSTE,MATCH(P81,TZ_STN,0))),INDEX(TZ_DST,MATCH(P81,TZ_STN,0)),INDEX(TZ_STD,MATCH(P81,TZ_STN,0))))/24,"")</f>
        <v/>
      </c>
      <c r="AH81" s="65" t="str">
        <f aca="false">IFERROR(IF(N81="N/A – rule","N/A – RULE",IF(TRIM(U81)="N/A",IF(AT81=0,"INVALID – N/A not permitted for this check",IF(AND(TRIM(AB81)&lt;&gt;"",TRIM(AB81)&lt;&gt;"Closed"),"INVALID – corrective action still open",IF(AND(NOT(OR(LEN(AZ81)&lt;15,ISNUMBER(MATCH(AZ81,L_Placeholder,0)))),NOT(OR(LEN(AU81)&lt;2,ISNUMBER(MATCH(AU81,L_Placeholder,0)))),NOT(OR(LEN(AX81)&lt;2,ISNUMBER(MATCH(AX81,L_Placeholder,0)))),TRIM(AE81)&lt;&gt;TRIM(T81)),"N/A – JUSTIFIED","INVALID – N/A needs a real justification (15+ chars), PIC and a different verifier"))),IF(OR(TRIM(U81)="Pass",TRIM(U81)="Pass after CA"),IF(NOT(ISNUMBER(AD81)),"INVALID – completion time missing",IF(OR(LEN(AU81)&lt;2,ISNUMBER(MATCH(AU81,L_Placeholder,0))),"INVALID – PIC missing",IF(OR(LEN(AV81)&lt;2,ISNUMBER(MATCH(AV81,L_Placeholder,0))),"INVALID – result / assessment missing",IF(OR(OR(LEN(AW81)&lt;3,ISNUMBER(MATCH(AW81,L_Placeholder,0))),SUMPRODUCT(--ISNUMBER(SEARCH(L_EvidencePhrase,AW81)))&gt;0),"INVALID – evidence missing, placeholder or not yet on file",IF(OR(LEN(AX81)&lt;2,ISNUMBER(MATCH(AX81,L_Placeholder,0))),"INVALID – verifier missing",IF(AX81=AU81,"INVALID – verifier must be someone other than the PIC",IF(AND(TRIM(U81)="Pass",SUMPRODUCT(--ISNUMBER(SEARCH(L_ResultBad,AV81)))&gt;0),"INVALID – result describes a problem: use Fail, then Pass after CA",IF(AND(AQ81=1,OR(LEN(AY81)&lt;3,ISNUMBER(MATCH(AY81,L_Placeholder,0)))),"INVALID – batch ID missing or placeholder",IF(AND(AR81=1,OR(NOT(ISNUMBER(X81)),NOT(ISNUMBER(Y81)))),"INVALID – expected/actual qty missing",IF(AND(AR81=1,OR(X81&lt;=0,Y81&lt;0)),"INVALID – expected qty must be above 0 and actual not negative",IF(BB81&lt;&gt;"",BB81,IF(AND(AS81=1,Documents!$J$7&lt;&gt;"ON FILE"),"INVALID – GLD not on file (Documents sheet)",IF(AND(AS81=2,Documents!$O$7&lt;&gt;"ON FILE"),"INVALID – menu checklist not on file (Documents sheet)",IF(AND(AS81=3,NOT(ISNUMBER(Flights!$AX$7))),"INVALID – enter carrying flight KUL departure (Flights AX)",IF(AND(AS81=3,OR(Flights!$AZ$7&gt;Flights!$AA$7,Flights!$AX$7&lt;Flights!$AA$7-3)),"INVALID – carrying flight (Flights AX) cannot arrive before this leg's STD, or is over 3 days early",IF(AG81&gt;AsOfUTC,"INVALID – completion time is in the future",IF(AND(ISNUMBER(S81),AG81&lt;S81),IF(H81="Physical uplift","INVALID – before uplift window (cannot confirm loading)","INVALID – before valid window"),IF(AG81&gt;Flights!$AA$7,"INVALID – completed after departure (cannot establish readiness)",IF(AND(H81="Preparation",AG81&gt;IF(ISNUMBER(Flights!$BA$7),MIN(Flights!$BA$7,Flights!$AA$7),Flights!$AA$7)),"INVALID – completed after loading / departure (cannot establish readiness)",IF(AND(H81="Physical uplift",AG81&gt;Q81),"INVALID – recorded after the loading flight departed",IF(AG81&gt;Q81,"COMPLETE – LATE","COMPLETE"))))))))))))))))))))),IF(TRIM(U81)="Fail","FAIL – DISCREPANCY",IF(AND(TRIM(U81)&lt;&gt;"",TRIM(U81)&lt;&gt;"Not started",TRIM(U81)&lt;&gt;"In progress"),"INVALID – unrecognised status (use the list)",IF(AsOfUTC&gt;Q81,"OVERDUE",IF(N81="Clarification required","OPEN – CLARIFICATION","OPEN"))))))),"INVALID – error value in an input cell")</f>
        <v>OPEN</v>
      </c>
      <c r="AI81" s="61" t="n">
        <f aca="false">IF(OR(AH81="N/A – RULE",AH81="N/A – JUSTIFIED"),0,1)</f>
        <v>1</v>
      </c>
      <c r="AJ81" s="61" t="n">
        <f aca="false">IF(LEFT(AH81,8)="COMPLETE",1,0)</f>
        <v>0</v>
      </c>
      <c r="AK81" s="61" t="n">
        <f aca="false">IF(AND(AI81=1,AJ81=0,AsOfUTC&gt;Q81),1,0)</f>
        <v>0</v>
      </c>
      <c r="AL81" s="61" t="n">
        <f aca="false">IFERROR(IF(AND(AI81=1,OR(TRIM(U81)="Fail",AND(TRIM(AB81)&lt;&gt;"",TRIM(AB81)&lt;&gt;"Closed"),AND(ISNUMBER(AF81),AF81&lt;&gt;0,TRIM(U81)&lt;&gt;"Pass after CA"))),1,0),1)</f>
        <v>0</v>
      </c>
      <c r="AM81" s="61" t="n">
        <f aca="false">IF(LEFT(AH81,7)="INVALID",1,0)</f>
        <v>0</v>
      </c>
      <c r="AN81" s="61" t="n">
        <f aca="false">IF(AND(N81="Clarification required",AI81=1,AJ81=0),1,0)</f>
        <v>0</v>
      </c>
      <c r="AO81" s="61" t="str">
        <f aca="false">IF(AK81=1,SUM(AK$5:AK81),"")</f>
        <v/>
      </c>
      <c r="AP81" s="61" t="str">
        <f aca="false">IF(AL81=1,SUM(AL$5:AL81),"")</f>
        <v/>
      </c>
      <c r="AQ81" s="61" t="n">
        <v>0</v>
      </c>
      <c r="AR81" s="61" t="n">
        <v>0</v>
      </c>
      <c r="AS81" s="61" t="n">
        <v>0</v>
      </c>
      <c r="AT81" s="61" t="n">
        <v>0</v>
      </c>
      <c r="AU81" s="61" t="str">
        <f aca="false">SUBSTITUTE(SUBSTITUTE(SUBSTITUTE(SUBSTITUTE(SUBSTITUTE(SUBSTITUTE(SUBSTITUTE(SUBSTITUTE(SUBSTITUTE(SUBSTITUTE(SUBSTITUTE(SUBSTITUTE(SUBSTITUTE(LOWER(T81&amp;""),CHAR(160),"")," ",""),".",""),"-",""),"/",""),"?",""),"_",""),",",""),"[",""),"]",""),"(",""),")",""),"*","")</f>
        <v/>
      </c>
      <c r="AV81" s="61" t="str">
        <f aca="false">SUBSTITUTE(SUBSTITUTE(SUBSTITUTE(SUBSTITUTE(SUBSTITUTE(SUBSTITUTE(SUBSTITUTE(SUBSTITUTE(SUBSTITUTE(SUBSTITUTE(SUBSTITUTE(SUBSTITUTE(SUBSTITUTE(LOWER(V81&amp;""),CHAR(160),"")," ",""),".",""),"-",""),"/",""),"?",""),"_",""),",",""),"[",""),"]",""),"(",""),")",""),"*","")</f>
        <v/>
      </c>
      <c r="AW81" s="61" t="str">
        <f aca="false">SUBSTITUTE(SUBSTITUTE(SUBSTITUTE(SUBSTITUTE(SUBSTITUTE(SUBSTITUTE(SUBSTITUTE(SUBSTITUTE(SUBSTITUTE(SUBSTITUTE(SUBSTITUTE(SUBSTITUTE(SUBSTITUTE(LOWER(Z81&amp;""),CHAR(160),"")," ",""),".",""),"-",""),"/",""),"?",""),"_",""),",",""),"[",""),"]",""),"(",""),")",""),"*","")</f>
        <v/>
      </c>
      <c r="AX81" s="61" t="str">
        <f aca="false">SUBSTITUTE(SUBSTITUTE(SUBSTITUTE(SUBSTITUTE(SUBSTITUTE(SUBSTITUTE(SUBSTITUTE(SUBSTITUTE(SUBSTITUTE(SUBSTITUTE(SUBSTITUTE(SUBSTITUTE(SUBSTITUTE(LOWER(AE81&amp;""),CHAR(160),"")," ",""),".",""),"-",""),"/",""),"?",""),"_",""),",",""),"[",""),"]",""),"(",""),")",""),"*","")</f>
        <v/>
      </c>
      <c r="AY81" s="61" t="str">
        <f aca="false">SUBSTITUTE(SUBSTITUTE(SUBSTITUTE(SUBSTITUTE(SUBSTITUTE(SUBSTITUTE(SUBSTITUTE(SUBSTITUTE(SUBSTITUTE(SUBSTITUTE(SUBSTITUTE(SUBSTITUTE(SUBSTITUTE(LOWER(W81&amp;""),CHAR(160),"")," ",""),".",""),"-",""),"/",""),"?",""),"_",""),",",""),"[",""),"]",""),"(",""),")",""),"*","")</f>
        <v/>
      </c>
      <c r="AZ81" s="61" t="str">
        <f aca="false">SUBSTITUTE(SUBSTITUTE(SUBSTITUTE(SUBSTITUTE(SUBSTITUTE(SUBSTITUTE(SUBSTITUTE(SUBSTITUTE(SUBSTITUTE(SUBSTITUTE(SUBSTITUTE(SUBSTITUTE(SUBSTITUTE(LOWER(AC81&amp;""),CHAR(160),"")," ",""),".",""),"-",""),"/",""),"?",""),"_",""),",",""),"[",""),"]",""),"(",""),")",""),"*","")</f>
        <v/>
      </c>
      <c r="BA81" s="61" t="str">
        <f aca="false">SUBSTITUTE(SUBSTITUTE(SUBSTITUTE(SUBSTITUTE(SUBSTITUTE(SUBSTITUTE(SUBSTITUTE(SUBSTITUTE(SUBSTITUTE(SUBSTITUTE(SUBSTITUTE(SUBSTITUTE(SUBSTITUTE(LOWER(AA81&amp;""),CHAR(160),"")," ",""),".",""),"-",""),"/",""),"?",""),"_",""),",",""),"[",""),"]",""),"(",""),")",""),"*","")</f>
        <v/>
      </c>
      <c r="BB81" s="61" t="str">
        <f aca="false">IF(AND(TRIM(U81)="Pass",ISNUMBER(AF81)),IF(AF81&lt;&gt;0,"INVALID – qty variance: use Fail or Pass after CA",""),"")&amp;IF(AND(TRIM(U81)="Pass after CA",ISNUMBER(AF81)),IF(AF81&lt;&gt;0,"INVALID – after the corrective action the actual qty must equal expected (update Actual)",""),"")&amp;IF(AND(TRIM(U81)="Pass",TRIM(AB81)&lt;&gt;"",TRIM(AB81)&lt;&gt;"Closed"),"INVALID – corrective action not closed: use Fail, then Pass after CA","")&amp;IF(AND(TRIM(AA81)&lt;&gt;"",TRIM(AB81)=""),"INVALID – CA status missing for the recorded corrective action","")&amp;IF(AND(TRIM(U81)="Pass after CA",OR(OR(LEN(BA81)&lt;5,ISNUMBER(MATCH(BA81,L_Placeholder,0))),TRIM(AB81)&lt;&gt;"Closed")),"INVALID – corrective action not recorded/closed","")</f>
        <v/>
      </c>
    </row>
    <row r="82" customFormat="false" ht="39.75" hidden="false" customHeight="true" outlineLevel="0" collapsed="false">
      <c r="A82" s="57" t="s">
        <v>548</v>
      </c>
      <c r="B82" s="57" t="s">
        <v>209</v>
      </c>
      <c r="C82" s="57" t="str">
        <f aca="false">Flights!$F$7</f>
        <v>MH0720</v>
      </c>
      <c r="D82" s="58" t="n">
        <f aca="false">Flights!$D$7</f>
        <v>46305</v>
      </c>
      <c r="E82" s="57" t="str">
        <f aca="false">Flights!$G$7&amp;"-"&amp;Flights!$H$7</f>
        <v>CGK-KUL</v>
      </c>
      <c r="F82" s="57" t="str">
        <f aca="false">Flights!$K$7</f>
        <v>EY</v>
      </c>
      <c r="G82" s="57" t="s">
        <v>398</v>
      </c>
      <c r="H82" s="57" t="s">
        <v>356</v>
      </c>
      <c r="I82" s="57" t="s">
        <v>406</v>
      </c>
      <c r="J82" s="57" t="s">
        <v>409</v>
      </c>
      <c r="K82" s="67"/>
      <c r="L82" s="67" t="s">
        <v>400</v>
      </c>
      <c r="M82" s="67"/>
      <c r="N82" s="67" t="s">
        <v>361</v>
      </c>
      <c r="O82" s="67" t="s">
        <v>401</v>
      </c>
      <c r="P82" s="57" t="s">
        <v>198</v>
      </c>
      <c r="Q82" s="59" t="n">
        <f aca="false">ROUND((Flights!$AE$7)*1440,0)/1440</f>
        <v>46304.8784722222</v>
      </c>
      <c r="R82" s="59" t="n">
        <f aca="false">Q82+(IF(AND(INDEX(TZ_DSTS,MATCH(P82,TZ_STN,0))&lt;&gt;"",Q82&gt;=INDEX(TZ_DSTS,MATCH(P82,TZ_STN,0)),Q82&lt;INDEX(TZ_DSTE,MATCH(P82,TZ_STN,0))),INDEX(TZ_DST,MATCH(P82,TZ_STN,0)),INDEX(TZ_STD,MATCH(P82,TZ_STN,0))))/24</f>
        <v>46305.1701388889</v>
      </c>
      <c r="S82" s="59" t="n">
        <f aca="false">Q82-T12EarlyH/24</f>
        <v>46304.3784722222</v>
      </c>
      <c r="T82" s="60"/>
      <c r="U82" s="60"/>
      <c r="V82" s="60"/>
      <c r="W82" s="61"/>
      <c r="X82" s="60"/>
      <c r="Y82" s="60"/>
      <c r="Z82" s="60"/>
      <c r="AA82" s="60"/>
      <c r="AB82" s="60"/>
      <c r="AC82" s="60"/>
      <c r="AD82" s="66"/>
      <c r="AE82" s="60"/>
      <c r="AF82" s="61" t="str">
        <f aca="false">IF(AND(ISNUMBER(X82),ISNUMBER(Y82)),Y82-X82,"")</f>
        <v/>
      </c>
      <c r="AG82" s="62" t="str">
        <f aca="false">IF(ISNUMBER(AD82),AD82-(IF(AND(INDEX(TZ_DSTS,MATCH(P82,TZ_STN,0))&lt;&gt;"",(AD82-INDEX(TZ_STD,MATCH(P82,TZ_STN,0))/24)&gt;=INDEX(TZ_DSTS,MATCH(P82,TZ_STN,0)),(AD82-INDEX(TZ_STD,MATCH(P82,TZ_STN,0))/24)&lt;INDEX(TZ_DSTE,MATCH(P82,TZ_STN,0))),INDEX(TZ_DST,MATCH(P82,TZ_STN,0)),INDEX(TZ_STD,MATCH(P82,TZ_STN,0))))/24,"")</f>
        <v/>
      </c>
      <c r="AH82" s="65" t="str">
        <f aca="false">IFERROR(IF(N82="N/A – rule","N/A – RULE",IF(TRIM(U82)="N/A",IF(AT82=0,"INVALID – N/A not permitted for this check",IF(AND(TRIM(AB82)&lt;&gt;"",TRIM(AB82)&lt;&gt;"Closed"),"INVALID – corrective action still open",IF(AND(NOT(OR(LEN(AZ82)&lt;15,ISNUMBER(MATCH(AZ82,L_Placeholder,0)))),NOT(OR(LEN(AU82)&lt;2,ISNUMBER(MATCH(AU82,L_Placeholder,0)))),NOT(OR(LEN(AX82)&lt;2,ISNUMBER(MATCH(AX82,L_Placeholder,0)))),TRIM(AE82)&lt;&gt;TRIM(T82)),"N/A – JUSTIFIED","INVALID – N/A needs a real justification (15+ chars), PIC and a different verifier"))),IF(OR(TRIM(U82)="Pass",TRIM(U82)="Pass after CA"),IF(NOT(ISNUMBER(AD82)),"INVALID – completion time missing",IF(OR(LEN(AU82)&lt;2,ISNUMBER(MATCH(AU82,L_Placeholder,0))),"INVALID – PIC missing",IF(OR(LEN(AV82)&lt;2,ISNUMBER(MATCH(AV82,L_Placeholder,0))),"INVALID – result / assessment missing",IF(OR(OR(LEN(AW82)&lt;3,ISNUMBER(MATCH(AW82,L_Placeholder,0))),SUMPRODUCT(--ISNUMBER(SEARCH(L_EvidencePhrase,AW82)))&gt;0),"INVALID – evidence missing, placeholder or not yet on file",IF(OR(LEN(AX82)&lt;2,ISNUMBER(MATCH(AX82,L_Placeholder,0))),"INVALID – verifier missing",IF(AX82=AU82,"INVALID – verifier must be someone other than the PIC",IF(AND(TRIM(U82)="Pass",SUMPRODUCT(--ISNUMBER(SEARCH(L_ResultBad,AV82)))&gt;0),"INVALID – result describes a problem: use Fail, then Pass after CA",IF(AND(AQ82=1,OR(LEN(AY82)&lt;3,ISNUMBER(MATCH(AY82,L_Placeholder,0)))),"INVALID – batch ID missing or placeholder",IF(AND(AR82=1,OR(NOT(ISNUMBER(X82)),NOT(ISNUMBER(Y82)))),"INVALID – expected/actual qty missing",IF(AND(AR82=1,OR(X82&lt;=0,Y82&lt;0)),"INVALID – expected qty must be above 0 and actual not negative",IF(BB82&lt;&gt;"",BB82,IF(AND(AS82=1,Documents!$J$7&lt;&gt;"ON FILE"),"INVALID – GLD not on file (Documents sheet)",IF(AND(AS82=2,Documents!$O$7&lt;&gt;"ON FILE"),"INVALID – menu checklist not on file (Documents sheet)",IF(AND(AS82=3,NOT(ISNUMBER(Flights!$AX$7))),"INVALID – enter carrying flight KUL departure (Flights AX)",IF(AND(AS82=3,OR(Flights!$AZ$7&gt;Flights!$AA$7,Flights!$AX$7&lt;Flights!$AA$7-3)),"INVALID – carrying flight (Flights AX) cannot arrive before this leg's STD, or is over 3 days early",IF(AG82&gt;AsOfUTC,"INVALID – completion time is in the future",IF(AND(ISNUMBER(S82),AG82&lt;S82),IF(H82="Physical uplift","INVALID – before uplift window (cannot confirm loading)","INVALID – before valid window"),IF(AG82&gt;Flights!$AA$7,"INVALID – completed after departure (cannot establish readiness)",IF(AND(H82="Preparation",AG82&gt;IF(ISNUMBER(Flights!$BA$7),MIN(Flights!$BA$7,Flights!$AA$7),Flights!$AA$7)),"INVALID – completed after loading / departure (cannot establish readiness)",IF(AND(H82="Physical uplift",AG82&gt;Q82),"INVALID – recorded after the loading flight departed",IF(AG82&gt;Q82,"COMPLETE – LATE","COMPLETE"))))))))))))))))))))),IF(TRIM(U82)="Fail","FAIL – DISCREPANCY",IF(AND(TRIM(U82)&lt;&gt;"",TRIM(U82)&lt;&gt;"Not started",TRIM(U82)&lt;&gt;"In progress"),"INVALID – unrecognised status (use the list)",IF(AsOfUTC&gt;Q82,"OVERDUE",IF(N82="Clarification required","OPEN – CLARIFICATION","OPEN"))))))),"INVALID – error value in an input cell")</f>
        <v>OPEN</v>
      </c>
      <c r="AI82" s="61" t="n">
        <f aca="false">IF(OR(AH82="N/A – RULE",AH82="N/A – JUSTIFIED"),0,1)</f>
        <v>1</v>
      </c>
      <c r="AJ82" s="61" t="n">
        <f aca="false">IF(LEFT(AH82,8)="COMPLETE",1,0)</f>
        <v>0</v>
      </c>
      <c r="AK82" s="61" t="n">
        <f aca="false">IF(AND(AI82=1,AJ82=0,AsOfUTC&gt;Q82),1,0)</f>
        <v>0</v>
      </c>
      <c r="AL82" s="61" t="n">
        <f aca="false">IFERROR(IF(AND(AI82=1,OR(TRIM(U82)="Fail",AND(TRIM(AB82)&lt;&gt;"",TRIM(AB82)&lt;&gt;"Closed"),AND(ISNUMBER(AF82),AF82&lt;&gt;0,TRIM(U82)&lt;&gt;"Pass after CA"))),1,0),1)</f>
        <v>0</v>
      </c>
      <c r="AM82" s="61" t="n">
        <f aca="false">IF(LEFT(AH82,7)="INVALID",1,0)</f>
        <v>0</v>
      </c>
      <c r="AN82" s="61" t="n">
        <f aca="false">IF(AND(N82="Clarification required",AI82=1,AJ82=0),1,0)</f>
        <v>0</v>
      </c>
      <c r="AO82" s="61" t="str">
        <f aca="false">IF(AK82=1,SUM(AK$5:AK82),"")</f>
        <v/>
      </c>
      <c r="AP82" s="61" t="str">
        <f aca="false">IF(AL82=1,SUM(AL$5:AL82),"")</f>
        <v/>
      </c>
      <c r="AQ82" s="61" t="n">
        <v>0</v>
      </c>
      <c r="AR82" s="61" t="n">
        <v>0</v>
      </c>
      <c r="AS82" s="61" t="n">
        <v>0</v>
      </c>
      <c r="AT82" s="61" t="n">
        <v>0</v>
      </c>
      <c r="AU82" s="61" t="str">
        <f aca="false">SUBSTITUTE(SUBSTITUTE(SUBSTITUTE(SUBSTITUTE(SUBSTITUTE(SUBSTITUTE(SUBSTITUTE(SUBSTITUTE(SUBSTITUTE(SUBSTITUTE(SUBSTITUTE(SUBSTITUTE(SUBSTITUTE(LOWER(T82&amp;""),CHAR(160),"")," ",""),".",""),"-",""),"/",""),"?",""),"_",""),",",""),"[",""),"]",""),"(",""),")",""),"*","")</f>
        <v/>
      </c>
      <c r="AV82" s="61" t="str">
        <f aca="false">SUBSTITUTE(SUBSTITUTE(SUBSTITUTE(SUBSTITUTE(SUBSTITUTE(SUBSTITUTE(SUBSTITUTE(SUBSTITUTE(SUBSTITUTE(SUBSTITUTE(SUBSTITUTE(SUBSTITUTE(SUBSTITUTE(LOWER(V82&amp;""),CHAR(160),"")," ",""),".",""),"-",""),"/",""),"?",""),"_",""),",",""),"[",""),"]",""),"(",""),")",""),"*","")</f>
        <v/>
      </c>
      <c r="AW82" s="61" t="str">
        <f aca="false">SUBSTITUTE(SUBSTITUTE(SUBSTITUTE(SUBSTITUTE(SUBSTITUTE(SUBSTITUTE(SUBSTITUTE(SUBSTITUTE(SUBSTITUTE(SUBSTITUTE(SUBSTITUTE(SUBSTITUTE(SUBSTITUTE(LOWER(Z82&amp;""),CHAR(160),"")," ",""),".",""),"-",""),"/",""),"?",""),"_",""),",",""),"[",""),"]",""),"(",""),")",""),"*","")</f>
        <v/>
      </c>
      <c r="AX82" s="61" t="str">
        <f aca="false">SUBSTITUTE(SUBSTITUTE(SUBSTITUTE(SUBSTITUTE(SUBSTITUTE(SUBSTITUTE(SUBSTITUTE(SUBSTITUTE(SUBSTITUTE(SUBSTITUTE(SUBSTITUTE(SUBSTITUTE(SUBSTITUTE(LOWER(AE82&amp;""),CHAR(160),"")," ",""),".",""),"-",""),"/",""),"?",""),"_",""),",",""),"[",""),"]",""),"(",""),")",""),"*","")</f>
        <v/>
      </c>
      <c r="AY82" s="61" t="str">
        <f aca="false">SUBSTITUTE(SUBSTITUTE(SUBSTITUTE(SUBSTITUTE(SUBSTITUTE(SUBSTITUTE(SUBSTITUTE(SUBSTITUTE(SUBSTITUTE(SUBSTITUTE(SUBSTITUTE(SUBSTITUTE(SUBSTITUTE(LOWER(W82&amp;""),CHAR(160),"")," ",""),".",""),"-",""),"/",""),"?",""),"_",""),",",""),"[",""),"]",""),"(",""),")",""),"*","")</f>
        <v/>
      </c>
      <c r="AZ82" s="61" t="str">
        <f aca="false">SUBSTITUTE(SUBSTITUTE(SUBSTITUTE(SUBSTITUTE(SUBSTITUTE(SUBSTITUTE(SUBSTITUTE(SUBSTITUTE(SUBSTITUTE(SUBSTITUTE(SUBSTITUTE(SUBSTITUTE(SUBSTITUTE(LOWER(AC82&amp;""),CHAR(160),"")," ",""),".",""),"-",""),"/",""),"?",""),"_",""),",",""),"[",""),"]",""),"(",""),")",""),"*","")</f>
        <v/>
      </c>
      <c r="BA82" s="61" t="str">
        <f aca="false">SUBSTITUTE(SUBSTITUTE(SUBSTITUTE(SUBSTITUTE(SUBSTITUTE(SUBSTITUTE(SUBSTITUTE(SUBSTITUTE(SUBSTITUTE(SUBSTITUTE(SUBSTITUTE(SUBSTITUTE(SUBSTITUTE(LOWER(AA82&amp;""),CHAR(160),"")," ",""),".",""),"-",""),"/",""),"?",""),"_",""),",",""),"[",""),"]",""),"(",""),")",""),"*","")</f>
        <v/>
      </c>
      <c r="BB82" s="61" t="str">
        <f aca="false">IF(AND(TRIM(U82)="Pass",ISNUMBER(AF82)),IF(AF82&lt;&gt;0,"INVALID – qty variance: use Fail or Pass after CA",""),"")&amp;IF(AND(TRIM(U82)="Pass after CA",ISNUMBER(AF82)),IF(AF82&lt;&gt;0,"INVALID – after the corrective action the actual qty must equal expected (update Actual)",""),"")&amp;IF(AND(TRIM(U82)="Pass",TRIM(AB82)&lt;&gt;"",TRIM(AB82)&lt;&gt;"Closed"),"INVALID – corrective action not closed: use Fail, then Pass after CA","")&amp;IF(AND(TRIM(AA82)&lt;&gt;"",TRIM(AB82)=""),"INVALID – CA status missing for the recorded corrective action","")&amp;IF(AND(TRIM(U82)="Pass after CA",OR(OR(LEN(BA82)&lt;5,ISNUMBER(MATCH(BA82,L_Placeholder,0))),TRIM(AB82)&lt;&gt;"Closed")),"INVALID – corrective action not recorded/closed","")</f>
        <v/>
      </c>
    </row>
    <row r="83" customFormat="false" ht="39.75" hidden="false" customHeight="true" outlineLevel="0" collapsed="false">
      <c r="A83" s="57" t="s">
        <v>549</v>
      </c>
      <c r="B83" s="57" t="s">
        <v>209</v>
      </c>
      <c r="C83" s="57" t="str">
        <f aca="false">Flights!$F$7</f>
        <v>MH0720</v>
      </c>
      <c r="D83" s="58" t="n">
        <f aca="false">Flights!$D$7</f>
        <v>46305</v>
      </c>
      <c r="E83" s="57" t="str">
        <f aca="false">Flights!$G$7&amp;"-"&amp;Flights!$H$7</f>
        <v>CGK-KUL</v>
      </c>
      <c r="F83" s="57" t="str">
        <f aca="false">Flights!$K$7</f>
        <v>EY</v>
      </c>
      <c r="G83" s="57" t="s">
        <v>398</v>
      </c>
      <c r="H83" s="57" t="s">
        <v>356</v>
      </c>
      <c r="I83" s="57" t="s">
        <v>406</v>
      </c>
      <c r="J83" s="57" t="s">
        <v>411</v>
      </c>
      <c r="K83" s="67"/>
      <c r="L83" s="67" t="s">
        <v>400</v>
      </c>
      <c r="M83" s="67"/>
      <c r="N83" s="67" t="s">
        <v>361</v>
      </c>
      <c r="O83" s="67" t="s">
        <v>401</v>
      </c>
      <c r="P83" s="57" t="s">
        <v>198</v>
      </c>
      <c r="Q83" s="59" t="n">
        <f aca="false">ROUND((Flights!$AE$7)*1440,0)/1440</f>
        <v>46304.8784722222</v>
      </c>
      <c r="R83" s="59" t="n">
        <f aca="false">Q83+(IF(AND(INDEX(TZ_DSTS,MATCH(P83,TZ_STN,0))&lt;&gt;"",Q83&gt;=INDEX(TZ_DSTS,MATCH(P83,TZ_STN,0)),Q83&lt;INDEX(TZ_DSTE,MATCH(P83,TZ_STN,0))),INDEX(TZ_DST,MATCH(P83,TZ_STN,0)),INDEX(TZ_STD,MATCH(P83,TZ_STN,0))))/24</f>
        <v>46305.1701388889</v>
      </c>
      <c r="S83" s="59" t="n">
        <f aca="false">Q83-T12EarlyH/24</f>
        <v>46304.3784722222</v>
      </c>
      <c r="T83" s="60"/>
      <c r="U83" s="60"/>
      <c r="V83" s="60"/>
      <c r="W83" s="61"/>
      <c r="X83" s="60"/>
      <c r="Y83" s="60"/>
      <c r="Z83" s="60"/>
      <c r="AA83" s="60"/>
      <c r="AB83" s="60"/>
      <c r="AC83" s="60"/>
      <c r="AD83" s="66"/>
      <c r="AE83" s="60"/>
      <c r="AF83" s="61" t="str">
        <f aca="false">IF(AND(ISNUMBER(X83),ISNUMBER(Y83)),Y83-X83,"")</f>
        <v/>
      </c>
      <c r="AG83" s="62" t="str">
        <f aca="false">IF(ISNUMBER(AD83),AD83-(IF(AND(INDEX(TZ_DSTS,MATCH(P83,TZ_STN,0))&lt;&gt;"",(AD83-INDEX(TZ_STD,MATCH(P83,TZ_STN,0))/24)&gt;=INDEX(TZ_DSTS,MATCH(P83,TZ_STN,0)),(AD83-INDEX(TZ_STD,MATCH(P83,TZ_STN,0))/24)&lt;INDEX(TZ_DSTE,MATCH(P83,TZ_STN,0))),INDEX(TZ_DST,MATCH(P83,TZ_STN,0)),INDEX(TZ_STD,MATCH(P83,TZ_STN,0))))/24,"")</f>
        <v/>
      </c>
      <c r="AH83" s="65" t="str">
        <f aca="false">IFERROR(IF(N83="N/A – rule","N/A – RULE",IF(TRIM(U83)="N/A",IF(AT83=0,"INVALID – N/A not permitted for this check",IF(AND(TRIM(AB83)&lt;&gt;"",TRIM(AB83)&lt;&gt;"Closed"),"INVALID – corrective action still open",IF(AND(NOT(OR(LEN(AZ83)&lt;15,ISNUMBER(MATCH(AZ83,L_Placeholder,0)))),NOT(OR(LEN(AU83)&lt;2,ISNUMBER(MATCH(AU83,L_Placeholder,0)))),NOT(OR(LEN(AX83)&lt;2,ISNUMBER(MATCH(AX83,L_Placeholder,0)))),TRIM(AE83)&lt;&gt;TRIM(T83)),"N/A – JUSTIFIED","INVALID – N/A needs a real justification (15+ chars), PIC and a different verifier"))),IF(OR(TRIM(U83)="Pass",TRIM(U83)="Pass after CA"),IF(NOT(ISNUMBER(AD83)),"INVALID – completion time missing",IF(OR(LEN(AU83)&lt;2,ISNUMBER(MATCH(AU83,L_Placeholder,0))),"INVALID – PIC missing",IF(OR(LEN(AV83)&lt;2,ISNUMBER(MATCH(AV83,L_Placeholder,0))),"INVALID – result / assessment missing",IF(OR(OR(LEN(AW83)&lt;3,ISNUMBER(MATCH(AW83,L_Placeholder,0))),SUMPRODUCT(--ISNUMBER(SEARCH(L_EvidencePhrase,AW83)))&gt;0),"INVALID – evidence missing, placeholder or not yet on file",IF(OR(LEN(AX83)&lt;2,ISNUMBER(MATCH(AX83,L_Placeholder,0))),"INVALID – verifier missing",IF(AX83=AU83,"INVALID – verifier must be someone other than the PIC",IF(AND(TRIM(U83)="Pass",SUMPRODUCT(--ISNUMBER(SEARCH(L_ResultBad,AV83)))&gt;0),"INVALID – result describes a problem: use Fail, then Pass after CA",IF(AND(AQ83=1,OR(LEN(AY83)&lt;3,ISNUMBER(MATCH(AY83,L_Placeholder,0)))),"INVALID – batch ID missing or placeholder",IF(AND(AR83=1,OR(NOT(ISNUMBER(X83)),NOT(ISNUMBER(Y83)))),"INVALID – expected/actual qty missing",IF(AND(AR83=1,OR(X83&lt;=0,Y83&lt;0)),"INVALID – expected qty must be above 0 and actual not negative",IF(BB83&lt;&gt;"",BB83,IF(AND(AS83=1,Documents!$J$7&lt;&gt;"ON FILE"),"INVALID – GLD not on file (Documents sheet)",IF(AND(AS83=2,Documents!$O$7&lt;&gt;"ON FILE"),"INVALID – menu checklist not on file (Documents sheet)",IF(AND(AS83=3,NOT(ISNUMBER(Flights!$AX$7))),"INVALID – enter carrying flight KUL departure (Flights AX)",IF(AND(AS83=3,OR(Flights!$AZ$7&gt;Flights!$AA$7,Flights!$AX$7&lt;Flights!$AA$7-3)),"INVALID – carrying flight (Flights AX) cannot arrive before this leg's STD, or is over 3 days early",IF(AG83&gt;AsOfUTC,"INVALID – completion time is in the future",IF(AND(ISNUMBER(S83),AG83&lt;S83),IF(H83="Physical uplift","INVALID – before uplift window (cannot confirm loading)","INVALID – before valid window"),IF(AG83&gt;Flights!$AA$7,"INVALID – completed after departure (cannot establish readiness)",IF(AND(H83="Preparation",AG83&gt;IF(ISNUMBER(Flights!$BA$7),MIN(Flights!$BA$7,Flights!$AA$7),Flights!$AA$7)),"INVALID – completed after loading / departure (cannot establish readiness)",IF(AND(H83="Physical uplift",AG83&gt;Q83),"INVALID – recorded after the loading flight departed",IF(AG83&gt;Q83,"COMPLETE – LATE","COMPLETE"))))))))))))))))))))),IF(TRIM(U83)="Fail","FAIL – DISCREPANCY",IF(AND(TRIM(U83)&lt;&gt;"",TRIM(U83)&lt;&gt;"Not started",TRIM(U83)&lt;&gt;"In progress"),"INVALID – unrecognised status (use the list)",IF(AsOfUTC&gt;Q83,"OVERDUE",IF(N83="Clarification required","OPEN – CLARIFICATION","OPEN"))))))),"INVALID – error value in an input cell")</f>
        <v>OPEN</v>
      </c>
      <c r="AI83" s="61" t="n">
        <f aca="false">IF(OR(AH83="N/A – RULE",AH83="N/A – JUSTIFIED"),0,1)</f>
        <v>1</v>
      </c>
      <c r="AJ83" s="61" t="n">
        <f aca="false">IF(LEFT(AH83,8)="COMPLETE",1,0)</f>
        <v>0</v>
      </c>
      <c r="AK83" s="61" t="n">
        <f aca="false">IF(AND(AI83=1,AJ83=0,AsOfUTC&gt;Q83),1,0)</f>
        <v>0</v>
      </c>
      <c r="AL83" s="61" t="n">
        <f aca="false">IFERROR(IF(AND(AI83=1,OR(TRIM(U83)="Fail",AND(TRIM(AB83)&lt;&gt;"",TRIM(AB83)&lt;&gt;"Closed"),AND(ISNUMBER(AF83),AF83&lt;&gt;0,TRIM(U83)&lt;&gt;"Pass after CA"))),1,0),1)</f>
        <v>0</v>
      </c>
      <c r="AM83" s="61" t="n">
        <f aca="false">IF(LEFT(AH83,7)="INVALID",1,0)</f>
        <v>0</v>
      </c>
      <c r="AN83" s="61" t="n">
        <f aca="false">IF(AND(N83="Clarification required",AI83=1,AJ83=0),1,0)</f>
        <v>0</v>
      </c>
      <c r="AO83" s="61" t="str">
        <f aca="false">IF(AK83=1,SUM(AK$5:AK83),"")</f>
        <v/>
      </c>
      <c r="AP83" s="61" t="str">
        <f aca="false">IF(AL83=1,SUM(AL$5:AL83),"")</f>
        <v/>
      </c>
      <c r="AQ83" s="61" t="n">
        <v>0</v>
      </c>
      <c r="AR83" s="61" t="n">
        <v>0</v>
      </c>
      <c r="AS83" s="61" t="n">
        <v>0</v>
      </c>
      <c r="AT83" s="61" t="n">
        <v>0</v>
      </c>
      <c r="AU83" s="61" t="str">
        <f aca="false">SUBSTITUTE(SUBSTITUTE(SUBSTITUTE(SUBSTITUTE(SUBSTITUTE(SUBSTITUTE(SUBSTITUTE(SUBSTITUTE(SUBSTITUTE(SUBSTITUTE(SUBSTITUTE(SUBSTITUTE(SUBSTITUTE(LOWER(T83&amp;""),CHAR(160),"")," ",""),".",""),"-",""),"/",""),"?",""),"_",""),",",""),"[",""),"]",""),"(",""),")",""),"*","")</f>
        <v/>
      </c>
      <c r="AV83" s="61" t="str">
        <f aca="false">SUBSTITUTE(SUBSTITUTE(SUBSTITUTE(SUBSTITUTE(SUBSTITUTE(SUBSTITUTE(SUBSTITUTE(SUBSTITUTE(SUBSTITUTE(SUBSTITUTE(SUBSTITUTE(SUBSTITUTE(SUBSTITUTE(LOWER(V83&amp;""),CHAR(160),"")," ",""),".",""),"-",""),"/",""),"?",""),"_",""),",",""),"[",""),"]",""),"(",""),")",""),"*","")</f>
        <v/>
      </c>
      <c r="AW83" s="61" t="str">
        <f aca="false">SUBSTITUTE(SUBSTITUTE(SUBSTITUTE(SUBSTITUTE(SUBSTITUTE(SUBSTITUTE(SUBSTITUTE(SUBSTITUTE(SUBSTITUTE(SUBSTITUTE(SUBSTITUTE(SUBSTITUTE(SUBSTITUTE(LOWER(Z83&amp;""),CHAR(160),"")," ",""),".",""),"-",""),"/",""),"?",""),"_",""),",",""),"[",""),"]",""),"(",""),")",""),"*","")</f>
        <v/>
      </c>
      <c r="AX83" s="61" t="str">
        <f aca="false">SUBSTITUTE(SUBSTITUTE(SUBSTITUTE(SUBSTITUTE(SUBSTITUTE(SUBSTITUTE(SUBSTITUTE(SUBSTITUTE(SUBSTITUTE(SUBSTITUTE(SUBSTITUTE(SUBSTITUTE(SUBSTITUTE(LOWER(AE83&amp;""),CHAR(160),"")," ",""),".",""),"-",""),"/",""),"?",""),"_",""),",",""),"[",""),"]",""),"(",""),")",""),"*","")</f>
        <v/>
      </c>
      <c r="AY83" s="61" t="str">
        <f aca="false">SUBSTITUTE(SUBSTITUTE(SUBSTITUTE(SUBSTITUTE(SUBSTITUTE(SUBSTITUTE(SUBSTITUTE(SUBSTITUTE(SUBSTITUTE(SUBSTITUTE(SUBSTITUTE(SUBSTITUTE(SUBSTITUTE(LOWER(W83&amp;""),CHAR(160),"")," ",""),".",""),"-",""),"/",""),"?",""),"_",""),",",""),"[",""),"]",""),"(",""),")",""),"*","")</f>
        <v/>
      </c>
      <c r="AZ83" s="61" t="str">
        <f aca="false">SUBSTITUTE(SUBSTITUTE(SUBSTITUTE(SUBSTITUTE(SUBSTITUTE(SUBSTITUTE(SUBSTITUTE(SUBSTITUTE(SUBSTITUTE(SUBSTITUTE(SUBSTITUTE(SUBSTITUTE(SUBSTITUTE(LOWER(AC83&amp;""),CHAR(160),"")," ",""),".",""),"-",""),"/",""),"?",""),"_",""),",",""),"[",""),"]",""),"(",""),")",""),"*","")</f>
        <v/>
      </c>
      <c r="BA83" s="61" t="str">
        <f aca="false">SUBSTITUTE(SUBSTITUTE(SUBSTITUTE(SUBSTITUTE(SUBSTITUTE(SUBSTITUTE(SUBSTITUTE(SUBSTITUTE(SUBSTITUTE(SUBSTITUTE(SUBSTITUTE(SUBSTITUTE(SUBSTITUTE(LOWER(AA83&amp;""),CHAR(160),"")," ",""),".",""),"-",""),"/",""),"?",""),"_",""),",",""),"[",""),"]",""),"(",""),")",""),"*","")</f>
        <v/>
      </c>
      <c r="BB83" s="61" t="str">
        <f aca="false">IF(AND(TRIM(U83)="Pass",ISNUMBER(AF83)),IF(AF83&lt;&gt;0,"INVALID – qty variance: use Fail or Pass after CA",""),"")&amp;IF(AND(TRIM(U83)="Pass after CA",ISNUMBER(AF83)),IF(AF83&lt;&gt;0,"INVALID – after the corrective action the actual qty must equal expected (update Actual)",""),"")&amp;IF(AND(TRIM(U83)="Pass",TRIM(AB83)&lt;&gt;"",TRIM(AB83)&lt;&gt;"Closed"),"INVALID – corrective action not closed: use Fail, then Pass after CA","")&amp;IF(AND(TRIM(AA83)&lt;&gt;"",TRIM(AB83)=""),"INVALID – CA status missing for the recorded corrective action","")&amp;IF(AND(TRIM(U83)="Pass after CA",OR(OR(LEN(BA83)&lt;5,ISNUMBER(MATCH(BA83,L_Placeholder,0))),TRIM(AB83)&lt;&gt;"Closed")),"INVALID – corrective action not recorded/closed","")</f>
        <v/>
      </c>
    </row>
    <row r="84" customFormat="false" ht="78.75" hidden="false" customHeight="true" outlineLevel="0" collapsed="false">
      <c r="A84" s="57" t="s">
        <v>550</v>
      </c>
      <c r="B84" s="57" t="s">
        <v>209</v>
      </c>
      <c r="C84" s="57" t="str">
        <f aca="false">Flights!$F$7</f>
        <v>MH0720</v>
      </c>
      <c r="D84" s="58" t="n">
        <f aca="false">Flights!$D$7</f>
        <v>46305</v>
      </c>
      <c r="E84" s="57" t="str">
        <f aca="false">Flights!$G$7&amp;"-"&amp;Flights!$H$7</f>
        <v>CGK-KUL</v>
      </c>
      <c r="F84" s="57" t="str">
        <f aca="false">Flights!$K$7</f>
        <v>EY</v>
      </c>
      <c r="G84" s="57" t="s">
        <v>398</v>
      </c>
      <c r="H84" s="57" t="s">
        <v>356</v>
      </c>
      <c r="I84" s="57" t="s">
        <v>406</v>
      </c>
      <c r="J84" s="57" t="s">
        <v>413</v>
      </c>
      <c r="K84" s="67" t="s">
        <v>551</v>
      </c>
      <c r="L84" s="67" t="s">
        <v>400</v>
      </c>
      <c r="M84" s="67"/>
      <c r="N84" s="67" t="s">
        <v>361</v>
      </c>
      <c r="O84" s="67" t="s">
        <v>401</v>
      </c>
      <c r="P84" s="57" t="s">
        <v>198</v>
      </c>
      <c r="Q84" s="59" t="n">
        <f aca="false">ROUND((Flights!$AE$7)*1440,0)/1440</f>
        <v>46304.8784722222</v>
      </c>
      <c r="R84" s="59" t="n">
        <f aca="false">Q84+(IF(AND(INDEX(TZ_DSTS,MATCH(P84,TZ_STN,0))&lt;&gt;"",Q84&gt;=INDEX(TZ_DSTS,MATCH(P84,TZ_STN,0)),Q84&lt;INDEX(TZ_DSTE,MATCH(P84,TZ_STN,0))),INDEX(TZ_DST,MATCH(P84,TZ_STN,0)),INDEX(TZ_STD,MATCH(P84,TZ_STN,0))))/24</f>
        <v>46305.1701388889</v>
      </c>
      <c r="S84" s="59" t="n">
        <f aca="false">Q84-T12EarlyH/24</f>
        <v>46304.3784722222</v>
      </c>
      <c r="T84" s="60"/>
      <c r="U84" s="60"/>
      <c r="V84" s="60"/>
      <c r="W84" s="61"/>
      <c r="X84" s="60"/>
      <c r="Y84" s="60"/>
      <c r="Z84" s="60"/>
      <c r="AA84" s="60"/>
      <c r="AB84" s="60"/>
      <c r="AC84" s="60"/>
      <c r="AD84" s="66"/>
      <c r="AE84" s="60"/>
      <c r="AF84" s="61" t="str">
        <f aca="false">IF(AND(ISNUMBER(X84),ISNUMBER(Y84)),Y84-X84,"")</f>
        <v/>
      </c>
      <c r="AG84" s="62" t="str">
        <f aca="false">IF(ISNUMBER(AD84),AD84-(IF(AND(INDEX(TZ_DSTS,MATCH(P84,TZ_STN,0))&lt;&gt;"",(AD84-INDEX(TZ_STD,MATCH(P84,TZ_STN,0))/24)&gt;=INDEX(TZ_DSTS,MATCH(P84,TZ_STN,0)),(AD84-INDEX(TZ_STD,MATCH(P84,TZ_STN,0))/24)&lt;INDEX(TZ_DSTE,MATCH(P84,TZ_STN,0))),INDEX(TZ_DST,MATCH(P84,TZ_STN,0)),INDEX(TZ_STD,MATCH(P84,TZ_STN,0))))/24,"")</f>
        <v/>
      </c>
      <c r="AH84" s="65" t="str">
        <f aca="false">IFERROR(IF(N84="N/A – rule","N/A – RULE",IF(TRIM(U84)="N/A",IF(AT84=0,"INVALID – N/A not permitted for this check",IF(AND(TRIM(AB84)&lt;&gt;"",TRIM(AB84)&lt;&gt;"Closed"),"INVALID – corrective action still open",IF(AND(NOT(OR(LEN(AZ84)&lt;15,ISNUMBER(MATCH(AZ84,L_Placeholder,0)))),NOT(OR(LEN(AU84)&lt;2,ISNUMBER(MATCH(AU84,L_Placeholder,0)))),NOT(OR(LEN(AX84)&lt;2,ISNUMBER(MATCH(AX84,L_Placeholder,0)))),TRIM(AE84)&lt;&gt;TRIM(T84)),"N/A – JUSTIFIED","INVALID – N/A needs a real justification (15+ chars), PIC and a different verifier"))),IF(OR(TRIM(U84)="Pass",TRIM(U84)="Pass after CA"),IF(NOT(ISNUMBER(AD84)),"INVALID – completion time missing",IF(OR(LEN(AU84)&lt;2,ISNUMBER(MATCH(AU84,L_Placeholder,0))),"INVALID – PIC missing",IF(OR(LEN(AV84)&lt;2,ISNUMBER(MATCH(AV84,L_Placeholder,0))),"INVALID – result / assessment missing",IF(OR(OR(LEN(AW84)&lt;3,ISNUMBER(MATCH(AW84,L_Placeholder,0))),SUMPRODUCT(--ISNUMBER(SEARCH(L_EvidencePhrase,AW84)))&gt;0),"INVALID – evidence missing, placeholder or not yet on file",IF(OR(LEN(AX84)&lt;2,ISNUMBER(MATCH(AX84,L_Placeholder,0))),"INVALID – verifier missing",IF(AX84=AU84,"INVALID – verifier must be someone other than the PIC",IF(AND(TRIM(U84)="Pass",SUMPRODUCT(--ISNUMBER(SEARCH(L_ResultBad,AV84)))&gt;0),"INVALID – result describes a problem: use Fail, then Pass after CA",IF(AND(AQ84=1,OR(LEN(AY84)&lt;3,ISNUMBER(MATCH(AY84,L_Placeholder,0)))),"INVALID – batch ID missing or placeholder",IF(AND(AR84=1,OR(NOT(ISNUMBER(X84)),NOT(ISNUMBER(Y84)))),"INVALID – expected/actual qty missing",IF(AND(AR84=1,OR(X84&lt;=0,Y84&lt;0)),"INVALID – expected qty must be above 0 and actual not negative",IF(BB84&lt;&gt;"",BB84,IF(AND(AS84=1,Documents!$J$7&lt;&gt;"ON FILE"),"INVALID – GLD not on file (Documents sheet)",IF(AND(AS84=2,Documents!$O$7&lt;&gt;"ON FILE"),"INVALID – menu checklist not on file (Documents sheet)",IF(AND(AS84=3,NOT(ISNUMBER(Flights!$AX$7))),"INVALID – enter carrying flight KUL departure (Flights AX)",IF(AND(AS84=3,OR(Flights!$AZ$7&gt;Flights!$AA$7,Flights!$AX$7&lt;Flights!$AA$7-3)),"INVALID – carrying flight (Flights AX) cannot arrive before this leg's STD, or is over 3 days early",IF(AG84&gt;AsOfUTC,"INVALID – completion time is in the future",IF(AND(ISNUMBER(S84),AG84&lt;S84),IF(H84="Physical uplift","INVALID – before uplift window (cannot confirm loading)","INVALID – before valid window"),IF(AG84&gt;Flights!$AA$7,"INVALID – completed after departure (cannot establish readiness)",IF(AND(H84="Preparation",AG84&gt;IF(ISNUMBER(Flights!$BA$7),MIN(Flights!$BA$7,Flights!$AA$7),Flights!$AA$7)),"INVALID – completed after loading / departure (cannot establish readiness)",IF(AND(H84="Physical uplift",AG84&gt;Q84),"INVALID – recorded after the loading flight departed",IF(AG84&gt;Q84,"COMPLETE – LATE","COMPLETE"))))))))))))))))))))),IF(TRIM(U84)="Fail","FAIL – DISCREPANCY",IF(AND(TRIM(U84)&lt;&gt;"",TRIM(U84)&lt;&gt;"Not started",TRIM(U84)&lt;&gt;"In progress"),"INVALID – unrecognised status (use the list)",IF(AsOfUTC&gt;Q84,"OVERDUE",IF(N84="Clarification required","OPEN – CLARIFICATION","OPEN"))))))),"INVALID – error value in an input cell")</f>
        <v>OPEN</v>
      </c>
      <c r="AI84" s="61" t="n">
        <f aca="false">IF(OR(AH84="N/A – RULE",AH84="N/A – JUSTIFIED"),0,1)</f>
        <v>1</v>
      </c>
      <c r="AJ84" s="61" t="n">
        <f aca="false">IF(LEFT(AH84,8)="COMPLETE",1,0)</f>
        <v>0</v>
      </c>
      <c r="AK84" s="61" t="n">
        <f aca="false">IF(AND(AI84=1,AJ84=0,AsOfUTC&gt;Q84),1,0)</f>
        <v>0</v>
      </c>
      <c r="AL84" s="61" t="n">
        <f aca="false">IFERROR(IF(AND(AI84=1,OR(TRIM(U84)="Fail",AND(TRIM(AB84)&lt;&gt;"",TRIM(AB84)&lt;&gt;"Closed"),AND(ISNUMBER(AF84),AF84&lt;&gt;0,TRIM(U84)&lt;&gt;"Pass after CA"))),1,0),1)</f>
        <v>0</v>
      </c>
      <c r="AM84" s="61" t="n">
        <f aca="false">IF(LEFT(AH84,7)="INVALID",1,0)</f>
        <v>0</v>
      </c>
      <c r="AN84" s="61" t="n">
        <f aca="false">IF(AND(N84="Clarification required",AI84=1,AJ84=0),1,0)</f>
        <v>0</v>
      </c>
      <c r="AO84" s="61" t="str">
        <f aca="false">IF(AK84=1,SUM(AK$5:AK84),"")</f>
        <v/>
      </c>
      <c r="AP84" s="61" t="str">
        <f aca="false">IF(AL84=1,SUM(AL$5:AL84),"")</f>
        <v/>
      </c>
      <c r="AQ84" s="61" t="n">
        <v>0</v>
      </c>
      <c r="AR84" s="61" t="n">
        <v>1</v>
      </c>
      <c r="AS84" s="61" t="n">
        <v>0</v>
      </c>
      <c r="AT84" s="61" t="n">
        <v>0</v>
      </c>
      <c r="AU84" s="61" t="str">
        <f aca="false">SUBSTITUTE(SUBSTITUTE(SUBSTITUTE(SUBSTITUTE(SUBSTITUTE(SUBSTITUTE(SUBSTITUTE(SUBSTITUTE(SUBSTITUTE(SUBSTITUTE(SUBSTITUTE(SUBSTITUTE(SUBSTITUTE(LOWER(T84&amp;""),CHAR(160),"")," ",""),".",""),"-",""),"/",""),"?",""),"_",""),",",""),"[",""),"]",""),"(",""),")",""),"*","")</f>
        <v/>
      </c>
      <c r="AV84" s="61" t="str">
        <f aca="false">SUBSTITUTE(SUBSTITUTE(SUBSTITUTE(SUBSTITUTE(SUBSTITUTE(SUBSTITUTE(SUBSTITUTE(SUBSTITUTE(SUBSTITUTE(SUBSTITUTE(SUBSTITUTE(SUBSTITUTE(SUBSTITUTE(LOWER(V84&amp;""),CHAR(160),"")," ",""),".",""),"-",""),"/",""),"?",""),"_",""),",",""),"[",""),"]",""),"(",""),")",""),"*","")</f>
        <v/>
      </c>
      <c r="AW84" s="61" t="str">
        <f aca="false">SUBSTITUTE(SUBSTITUTE(SUBSTITUTE(SUBSTITUTE(SUBSTITUTE(SUBSTITUTE(SUBSTITUTE(SUBSTITUTE(SUBSTITUTE(SUBSTITUTE(SUBSTITUTE(SUBSTITUTE(SUBSTITUTE(LOWER(Z84&amp;""),CHAR(160),"")," ",""),".",""),"-",""),"/",""),"?",""),"_",""),",",""),"[",""),"]",""),"(",""),")",""),"*","")</f>
        <v/>
      </c>
      <c r="AX84" s="61" t="str">
        <f aca="false">SUBSTITUTE(SUBSTITUTE(SUBSTITUTE(SUBSTITUTE(SUBSTITUTE(SUBSTITUTE(SUBSTITUTE(SUBSTITUTE(SUBSTITUTE(SUBSTITUTE(SUBSTITUTE(SUBSTITUTE(SUBSTITUTE(LOWER(AE84&amp;""),CHAR(160),"")," ",""),".",""),"-",""),"/",""),"?",""),"_",""),",",""),"[",""),"]",""),"(",""),")",""),"*","")</f>
        <v/>
      </c>
      <c r="AY84" s="61" t="str">
        <f aca="false">SUBSTITUTE(SUBSTITUTE(SUBSTITUTE(SUBSTITUTE(SUBSTITUTE(SUBSTITUTE(SUBSTITUTE(SUBSTITUTE(SUBSTITUTE(SUBSTITUTE(SUBSTITUTE(SUBSTITUTE(SUBSTITUTE(LOWER(W84&amp;""),CHAR(160),"")," ",""),".",""),"-",""),"/",""),"?",""),"_",""),",",""),"[",""),"]",""),"(",""),")",""),"*","")</f>
        <v/>
      </c>
      <c r="AZ84" s="61" t="str">
        <f aca="false">SUBSTITUTE(SUBSTITUTE(SUBSTITUTE(SUBSTITUTE(SUBSTITUTE(SUBSTITUTE(SUBSTITUTE(SUBSTITUTE(SUBSTITUTE(SUBSTITUTE(SUBSTITUTE(SUBSTITUTE(SUBSTITUTE(LOWER(AC84&amp;""),CHAR(160),"")," ",""),".",""),"-",""),"/",""),"?",""),"_",""),",",""),"[",""),"]",""),"(",""),")",""),"*","")</f>
        <v/>
      </c>
      <c r="BA84" s="61" t="str">
        <f aca="false">SUBSTITUTE(SUBSTITUTE(SUBSTITUTE(SUBSTITUTE(SUBSTITUTE(SUBSTITUTE(SUBSTITUTE(SUBSTITUTE(SUBSTITUTE(SUBSTITUTE(SUBSTITUTE(SUBSTITUTE(SUBSTITUTE(LOWER(AA84&amp;""),CHAR(160),"")," ",""),".",""),"-",""),"/",""),"?",""),"_",""),",",""),"[",""),"]",""),"(",""),")",""),"*","")</f>
        <v/>
      </c>
      <c r="BB84" s="61" t="str">
        <f aca="false">IF(AND(TRIM(U84)="Pass",ISNUMBER(AF84)),IF(AF84&lt;&gt;0,"INVALID – qty variance: use Fail or Pass after CA",""),"")&amp;IF(AND(TRIM(U84)="Pass after CA",ISNUMBER(AF84)),IF(AF84&lt;&gt;0,"INVALID – after the corrective action the actual qty must equal expected (update Actual)",""),"")&amp;IF(AND(TRIM(U84)="Pass",TRIM(AB84)&lt;&gt;"",TRIM(AB84)&lt;&gt;"Closed"),"INVALID – corrective action not closed: use Fail, then Pass after CA","")&amp;IF(AND(TRIM(AA84)&lt;&gt;"",TRIM(AB84)=""),"INVALID – CA status missing for the recorded corrective action","")&amp;IF(AND(TRIM(U84)="Pass after CA",OR(OR(LEN(BA84)&lt;5,ISNUMBER(MATCH(BA84,L_Placeholder,0))),TRIM(AB84)&lt;&gt;"Closed")),"INVALID – corrective action not recorded/closed","")</f>
        <v/>
      </c>
    </row>
    <row r="85" customFormat="false" ht="39.75" hidden="false" customHeight="true" outlineLevel="0" collapsed="false">
      <c r="A85" s="57" t="s">
        <v>552</v>
      </c>
      <c r="B85" s="57" t="s">
        <v>209</v>
      </c>
      <c r="C85" s="57" t="str">
        <f aca="false">Flights!$F$7</f>
        <v>MH0720</v>
      </c>
      <c r="D85" s="58" t="n">
        <f aca="false">Flights!$D$7</f>
        <v>46305</v>
      </c>
      <c r="E85" s="57" t="str">
        <f aca="false">Flights!$G$7&amp;"-"&amp;Flights!$H$7</f>
        <v>CGK-KUL</v>
      </c>
      <c r="F85" s="57" t="str">
        <f aca="false">Flights!$K$7</f>
        <v>EY</v>
      </c>
      <c r="G85" s="57" t="s">
        <v>398</v>
      </c>
      <c r="H85" s="57" t="s">
        <v>356</v>
      </c>
      <c r="I85" s="57" t="s">
        <v>406</v>
      </c>
      <c r="J85" s="57" t="s">
        <v>416</v>
      </c>
      <c r="K85" s="67"/>
      <c r="L85" s="67" t="s">
        <v>400</v>
      </c>
      <c r="M85" s="67"/>
      <c r="N85" s="67" t="s">
        <v>361</v>
      </c>
      <c r="O85" s="67" t="s">
        <v>401</v>
      </c>
      <c r="P85" s="57" t="s">
        <v>198</v>
      </c>
      <c r="Q85" s="59" t="n">
        <f aca="false">ROUND((Flights!$AE$7)*1440,0)/1440</f>
        <v>46304.8784722222</v>
      </c>
      <c r="R85" s="59" t="n">
        <f aca="false">Q85+(IF(AND(INDEX(TZ_DSTS,MATCH(P85,TZ_STN,0))&lt;&gt;"",Q85&gt;=INDEX(TZ_DSTS,MATCH(P85,TZ_STN,0)),Q85&lt;INDEX(TZ_DSTE,MATCH(P85,TZ_STN,0))),INDEX(TZ_DST,MATCH(P85,TZ_STN,0)),INDEX(TZ_STD,MATCH(P85,TZ_STN,0))))/24</f>
        <v>46305.1701388889</v>
      </c>
      <c r="S85" s="59" t="n">
        <f aca="false">Q85-T12EarlyH/24</f>
        <v>46304.3784722222</v>
      </c>
      <c r="T85" s="60"/>
      <c r="U85" s="60"/>
      <c r="V85" s="60"/>
      <c r="W85" s="61"/>
      <c r="X85" s="60"/>
      <c r="Y85" s="60"/>
      <c r="Z85" s="60"/>
      <c r="AA85" s="60"/>
      <c r="AB85" s="60"/>
      <c r="AC85" s="60"/>
      <c r="AD85" s="66"/>
      <c r="AE85" s="60"/>
      <c r="AF85" s="61" t="str">
        <f aca="false">IF(AND(ISNUMBER(X85),ISNUMBER(Y85)),Y85-X85,"")</f>
        <v/>
      </c>
      <c r="AG85" s="62" t="str">
        <f aca="false">IF(ISNUMBER(AD85),AD85-(IF(AND(INDEX(TZ_DSTS,MATCH(P85,TZ_STN,0))&lt;&gt;"",(AD85-INDEX(TZ_STD,MATCH(P85,TZ_STN,0))/24)&gt;=INDEX(TZ_DSTS,MATCH(P85,TZ_STN,0)),(AD85-INDEX(TZ_STD,MATCH(P85,TZ_STN,0))/24)&lt;INDEX(TZ_DSTE,MATCH(P85,TZ_STN,0))),INDEX(TZ_DST,MATCH(P85,TZ_STN,0)),INDEX(TZ_STD,MATCH(P85,TZ_STN,0))))/24,"")</f>
        <v/>
      </c>
      <c r="AH85" s="65" t="str">
        <f aca="false">IFERROR(IF(N85="N/A – rule","N/A – RULE",IF(TRIM(U85)="N/A",IF(AT85=0,"INVALID – N/A not permitted for this check",IF(AND(TRIM(AB85)&lt;&gt;"",TRIM(AB85)&lt;&gt;"Closed"),"INVALID – corrective action still open",IF(AND(NOT(OR(LEN(AZ85)&lt;15,ISNUMBER(MATCH(AZ85,L_Placeholder,0)))),NOT(OR(LEN(AU85)&lt;2,ISNUMBER(MATCH(AU85,L_Placeholder,0)))),NOT(OR(LEN(AX85)&lt;2,ISNUMBER(MATCH(AX85,L_Placeholder,0)))),TRIM(AE85)&lt;&gt;TRIM(T85)),"N/A – JUSTIFIED","INVALID – N/A needs a real justification (15+ chars), PIC and a different verifier"))),IF(OR(TRIM(U85)="Pass",TRIM(U85)="Pass after CA"),IF(NOT(ISNUMBER(AD85)),"INVALID – completion time missing",IF(OR(LEN(AU85)&lt;2,ISNUMBER(MATCH(AU85,L_Placeholder,0))),"INVALID – PIC missing",IF(OR(LEN(AV85)&lt;2,ISNUMBER(MATCH(AV85,L_Placeholder,0))),"INVALID – result / assessment missing",IF(OR(OR(LEN(AW85)&lt;3,ISNUMBER(MATCH(AW85,L_Placeholder,0))),SUMPRODUCT(--ISNUMBER(SEARCH(L_EvidencePhrase,AW85)))&gt;0),"INVALID – evidence missing, placeholder or not yet on file",IF(OR(LEN(AX85)&lt;2,ISNUMBER(MATCH(AX85,L_Placeholder,0))),"INVALID – verifier missing",IF(AX85=AU85,"INVALID – verifier must be someone other than the PIC",IF(AND(TRIM(U85)="Pass",SUMPRODUCT(--ISNUMBER(SEARCH(L_ResultBad,AV85)))&gt;0),"INVALID – result describes a problem: use Fail, then Pass after CA",IF(AND(AQ85=1,OR(LEN(AY85)&lt;3,ISNUMBER(MATCH(AY85,L_Placeholder,0)))),"INVALID – batch ID missing or placeholder",IF(AND(AR85=1,OR(NOT(ISNUMBER(X85)),NOT(ISNUMBER(Y85)))),"INVALID – expected/actual qty missing",IF(AND(AR85=1,OR(X85&lt;=0,Y85&lt;0)),"INVALID – expected qty must be above 0 and actual not negative",IF(BB85&lt;&gt;"",BB85,IF(AND(AS85=1,Documents!$J$7&lt;&gt;"ON FILE"),"INVALID – GLD not on file (Documents sheet)",IF(AND(AS85=2,Documents!$O$7&lt;&gt;"ON FILE"),"INVALID – menu checklist not on file (Documents sheet)",IF(AND(AS85=3,NOT(ISNUMBER(Flights!$AX$7))),"INVALID – enter carrying flight KUL departure (Flights AX)",IF(AND(AS85=3,OR(Flights!$AZ$7&gt;Flights!$AA$7,Flights!$AX$7&lt;Flights!$AA$7-3)),"INVALID – carrying flight (Flights AX) cannot arrive before this leg's STD, or is over 3 days early",IF(AG85&gt;AsOfUTC,"INVALID – completion time is in the future",IF(AND(ISNUMBER(S85),AG85&lt;S85),IF(H85="Physical uplift","INVALID – before uplift window (cannot confirm loading)","INVALID – before valid window"),IF(AG85&gt;Flights!$AA$7,"INVALID – completed after departure (cannot establish readiness)",IF(AND(H85="Preparation",AG85&gt;IF(ISNUMBER(Flights!$BA$7),MIN(Flights!$BA$7,Flights!$AA$7),Flights!$AA$7)),"INVALID – completed after loading / departure (cannot establish readiness)",IF(AND(H85="Physical uplift",AG85&gt;Q85),"INVALID – recorded after the loading flight departed",IF(AG85&gt;Q85,"COMPLETE – LATE","COMPLETE"))))))))))))))))))))),IF(TRIM(U85)="Fail","FAIL – DISCREPANCY",IF(AND(TRIM(U85)&lt;&gt;"",TRIM(U85)&lt;&gt;"Not started",TRIM(U85)&lt;&gt;"In progress"),"INVALID – unrecognised status (use the list)",IF(AsOfUTC&gt;Q85,"OVERDUE",IF(N85="Clarification required","OPEN – CLARIFICATION","OPEN"))))))),"INVALID – error value in an input cell")</f>
        <v>OPEN</v>
      </c>
      <c r="AI85" s="61" t="n">
        <f aca="false">IF(OR(AH85="N/A – RULE",AH85="N/A – JUSTIFIED"),0,1)</f>
        <v>1</v>
      </c>
      <c r="AJ85" s="61" t="n">
        <f aca="false">IF(LEFT(AH85,8)="COMPLETE",1,0)</f>
        <v>0</v>
      </c>
      <c r="AK85" s="61" t="n">
        <f aca="false">IF(AND(AI85=1,AJ85=0,AsOfUTC&gt;Q85),1,0)</f>
        <v>0</v>
      </c>
      <c r="AL85" s="61" t="n">
        <f aca="false">IFERROR(IF(AND(AI85=1,OR(TRIM(U85)="Fail",AND(TRIM(AB85)&lt;&gt;"",TRIM(AB85)&lt;&gt;"Closed"),AND(ISNUMBER(AF85),AF85&lt;&gt;0,TRIM(U85)&lt;&gt;"Pass after CA"))),1,0),1)</f>
        <v>0</v>
      </c>
      <c r="AM85" s="61" t="n">
        <f aca="false">IF(LEFT(AH85,7)="INVALID",1,0)</f>
        <v>0</v>
      </c>
      <c r="AN85" s="61" t="n">
        <f aca="false">IF(AND(N85="Clarification required",AI85=1,AJ85=0),1,0)</f>
        <v>0</v>
      </c>
      <c r="AO85" s="61" t="str">
        <f aca="false">IF(AK85=1,SUM(AK$5:AK85),"")</f>
        <v/>
      </c>
      <c r="AP85" s="61" t="str">
        <f aca="false">IF(AL85=1,SUM(AL$5:AL85),"")</f>
        <v/>
      </c>
      <c r="AQ85" s="61" t="n">
        <v>0</v>
      </c>
      <c r="AR85" s="61" t="n">
        <v>0</v>
      </c>
      <c r="AS85" s="61" t="n">
        <v>0</v>
      </c>
      <c r="AT85" s="61" t="n">
        <v>0</v>
      </c>
      <c r="AU85" s="61" t="str">
        <f aca="false">SUBSTITUTE(SUBSTITUTE(SUBSTITUTE(SUBSTITUTE(SUBSTITUTE(SUBSTITUTE(SUBSTITUTE(SUBSTITUTE(SUBSTITUTE(SUBSTITUTE(SUBSTITUTE(SUBSTITUTE(SUBSTITUTE(LOWER(T85&amp;""),CHAR(160),"")," ",""),".",""),"-",""),"/",""),"?",""),"_",""),",",""),"[",""),"]",""),"(",""),")",""),"*","")</f>
        <v/>
      </c>
      <c r="AV85" s="61" t="str">
        <f aca="false">SUBSTITUTE(SUBSTITUTE(SUBSTITUTE(SUBSTITUTE(SUBSTITUTE(SUBSTITUTE(SUBSTITUTE(SUBSTITUTE(SUBSTITUTE(SUBSTITUTE(SUBSTITUTE(SUBSTITUTE(SUBSTITUTE(LOWER(V85&amp;""),CHAR(160),"")," ",""),".",""),"-",""),"/",""),"?",""),"_",""),",",""),"[",""),"]",""),"(",""),")",""),"*","")</f>
        <v/>
      </c>
      <c r="AW85" s="61" t="str">
        <f aca="false">SUBSTITUTE(SUBSTITUTE(SUBSTITUTE(SUBSTITUTE(SUBSTITUTE(SUBSTITUTE(SUBSTITUTE(SUBSTITUTE(SUBSTITUTE(SUBSTITUTE(SUBSTITUTE(SUBSTITUTE(SUBSTITUTE(LOWER(Z85&amp;""),CHAR(160),"")," ",""),".",""),"-",""),"/",""),"?",""),"_",""),",",""),"[",""),"]",""),"(",""),")",""),"*","")</f>
        <v/>
      </c>
      <c r="AX85" s="61" t="str">
        <f aca="false">SUBSTITUTE(SUBSTITUTE(SUBSTITUTE(SUBSTITUTE(SUBSTITUTE(SUBSTITUTE(SUBSTITUTE(SUBSTITUTE(SUBSTITUTE(SUBSTITUTE(SUBSTITUTE(SUBSTITUTE(SUBSTITUTE(LOWER(AE85&amp;""),CHAR(160),"")," ",""),".",""),"-",""),"/",""),"?",""),"_",""),",",""),"[",""),"]",""),"(",""),")",""),"*","")</f>
        <v/>
      </c>
      <c r="AY85" s="61" t="str">
        <f aca="false">SUBSTITUTE(SUBSTITUTE(SUBSTITUTE(SUBSTITUTE(SUBSTITUTE(SUBSTITUTE(SUBSTITUTE(SUBSTITUTE(SUBSTITUTE(SUBSTITUTE(SUBSTITUTE(SUBSTITUTE(SUBSTITUTE(LOWER(W85&amp;""),CHAR(160),"")," ",""),".",""),"-",""),"/",""),"?",""),"_",""),",",""),"[",""),"]",""),"(",""),")",""),"*","")</f>
        <v/>
      </c>
      <c r="AZ85" s="61" t="str">
        <f aca="false">SUBSTITUTE(SUBSTITUTE(SUBSTITUTE(SUBSTITUTE(SUBSTITUTE(SUBSTITUTE(SUBSTITUTE(SUBSTITUTE(SUBSTITUTE(SUBSTITUTE(SUBSTITUTE(SUBSTITUTE(SUBSTITUTE(LOWER(AC85&amp;""),CHAR(160),"")," ",""),".",""),"-",""),"/",""),"?",""),"_",""),",",""),"[",""),"]",""),"(",""),")",""),"*","")</f>
        <v/>
      </c>
      <c r="BA85" s="61" t="str">
        <f aca="false">SUBSTITUTE(SUBSTITUTE(SUBSTITUTE(SUBSTITUTE(SUBSTITUTE(SUBSTITUTE(SUBSTITUTE(SUBSTITUTE(SUBSTITUTE(SUBSTITUTE(SUBSTITUTE(SUBSTITUTE(SUBSTITUTE(LOWER(AA85&amp;""),CHAR(160),"")," ",""),".",""),"-",""),"/",""),"?",""),"_",""),",",""),"[",""),"]",""),"(",""),")",""),"*","")</f>
        <v/>
      </c>
      <c r="BB85" s="61" t="str">
        <f aca="false">IF(AND(TRIM(U85)="Pass",ISNUMBER(AF85)),IF(AF85&lt;&gt;0,"INVALID – qty variance: use Fail or Pass after CA",""),"")&amp;IF(AND(TRIM(U85)="Pass after CA",ISNUMBER(AF85)),IF(AF85&lt;&gt;0,"INVALID – after the corrective action the actual qty must equal expected (update Actual)",""),"")&amp;IF(AND(TRIM(U85)="Pass",TRIM(AB85)&lt;&gt;"",TRIM(AB85)&lt;&gt;"Closed"),"INVALID – corrective action not closed: use Fail, then Pass after CA","")&amp;IF(AND(TRIM(AA85)&lt;&gt;"",TRIM(AB85)=""),"INVALID – CA status missing for the recorded corrective action","")&amp;IF(AND(TRIM(U85)="Pass after CA",OR(OR(LEN(BA85)&lt;5,ISNUMBER(MATCH(BA85,L_Placeholder,0))),TRIM(AB85)&lt;&gt;"Closed")),"INVALID – corrective action not recorded/closed","")</f>
        <v/>
      </c>
    </row>
    <row r="86" customFormat="false" ht="41.25" hidden="false" customHeight="true" outlineLevel="0" collapsed="false">
      <c r="A86" s="57" t="s">
        <v>553</v>
      </c>
      <c r="B86" s="57" t="s">
        <v>209</v>
      </c>
      <c r="C86" s="57" t="str">
        <f aca="false">Flights!$F$7</f>
        <v>MH0720</v>
      </c>
      <c r="D86" s="58" t="n">
        <f aca="false">Flights!$D$7</f>
        <v>46305</v>
      </c>
      <c r="E86" s="57" t="str">
        <f aca="false">Flights!$G$7&amp;"-"&amp;Flights!$H$7</f>
        <v>CGK-KUL</v>
      </c>
      <c r="F86" s="57" t="str">
        <f aca="false">Flights!$K$7</f>
        <v>EY</v>
      </c>
      <c r="G86" s="57" t="s">
        <v>398</v>
      </c>
      <c r="H86" s="57" t="s">
        <v>356</v>
      </c>
      <c r="I86" s="57" t="s">
        <v>425</v>
      </c>
      <c r="J86" s="57" t="s">
        <v>426</v>
      </c>
      <c r="K86" s="67" t="s">
        <v>427</v>
      </c>
      <c r="L86" s="67" t="s">
        <v>554</v>
      </c>
      <c r="M86" s="67" t="s">
        <v>429</v>
      </c>
      <c r="N86" s="67" t="s">
        <v>361</v>
      </c>
      <c r="O86" s="67" t="s">
        <v>555</v>
      </c>
      <c r="P86" s="57" t="s">
        <v>198</v>
      </c>
      <c r="Q86" s="59" t="n">
        <f aca="false">ROUND((Flights!$AE$7)*1440,0)/1440</f>
        <v>46304.8784722222</v>
      </c>
      <c r="R86" s="59" t="n">
        <f aca="false">Q86+(IF(AND(INDEX(TZ_DSTS,MATCH(P86,TZ_STN,0))&lt;&gt;"",Q86&gt;=INDEX(TZ_DSTS,MATCH(P86,TZ_STN,0)),Q86&lt;INDEX(TZ_DSTE,MATCH(P86,TZ_STN,0))),INDEX(TZ_DST,MATCH(P86,TZ_STN,0)),INDEX(TZ_STD,MATCH(P86,TZ_STN,0))))/24</f>
        <v>46305.1701388889</v>
      </c>
      <c r="S86" s="59" t="n">
        <f aca="false">Q86-T12EarlyH/24</f>
        <v>46304.3784722222</v>
      </c>
      <c r="T86" s="60"/>
      <c r="U86" s="60"/>
      <c r="V86" s="60"/>
      <c r="W86" s="61"/>
      <c r="X86" s="60"/>
      <c r="Y86" s="60"/>
      <c r="Z86" s="60"/>
      <c r="AA86" s="60"/>
      <c r="AB86" s="60"/>
      <c r="AC86" s="60"/>
      <c r="AD86" s="66"/>
      <c r="AE86" s="60"/>
      <c r="AF86" s="61" t="str">
        <f aca="false">IF(AND(ISNUMBER(X86),ISNUMBER(Y86)),Y86-X86,"")</f>
        <v/>
      </c>
      <c r="AG86" s="62" t="str">
        <f aca="false">IF(ISNUMBER(AD86),AD86-(IF(AND(INDEX(TZ_DSTS,MATCH(P86,TZ_STN,0))&lt;&gt;"",(AD86-INDEX(TZ_STD,MATCH(P86,TZ_STN,0))/24)&gt;=INDEX(TZ_DSTS,MATCH(P86,TZ_STN,0)),(AD86-INDEX(TZ_STD,MATCH(P86,TZ_STN,0))/24)&lt;INDEX(TZ_DSTE,MATCH(P86,TZ_STN,0))),INDEX(TZ_DST,MATCH(P86,TZ_STN,0)),INDEX(TZ_STD,MATCH(P86,TZ_STN,0))))/24,"")</f>
        <v/>
      </c>
      <c r="AH86" s="65" t="str">
        <f aca="false">IFERROR(IF(N86="N/A – rule","N/A – RULE",IF(TRIM(U86)="N/A",IF(AT86=0,"INVALID – N/A not permitted for this check",IF(AND(TRIM(AB86)&lt;&gt;"",TRIM(AB86)&lt;&gt;"Closed"),"INVALID – corrective action still open",IF(AND(NOT(OR(LEN(AZ86)&lt;15,ISNUMBER(MATCH(AZ86,L_Placeholder,0)))),NOT(OR(LEN(AU86)&lt;2,ISNUMBER(MATCH(AU86,L_Placeholder,0)))),NOT(OR(LEN(AX86)&lt;2,ISNUMBER(MATCH(AX86,L_Placeholder,0)))),TRIM(AE86)&lt;&gt;TRIM(T86)),"N/A – JUSTIFIED","INVALID – N/A needs a real justification (15+ chars), PIC and a different verifier"))),IF(OR(TRIM(U86)="Pass",TRIM(U86)="Pass after CA"),IF(NOT(ISNUMBER(AD86)),"INVALID – completion time missing",IF(OR(LEN(AU86)&lt;2,ISNUMBER(MATCH(AU86,L_Placeholder,0))),"INVALID – PIC missing",IF(OR(LEN(AV86)&lt;2,ISNUMBER(MATCH(AV86,L_Placeholder,0))),"INVALID – result / assessment missing",IF(OR(OR(LEN(AW86)&lt;3,ISNUMBER(MATCH(AW86,L_Placeholder,0))),SUMPRODUCT(--ISNUMBER(SEARCH(L_EvidencePhrase,AW86)))&gt;0),"INVALID – evidence missing, placeholder or not yet on file",IF(OR(LEN(AX86)&lt;2,ISNUMBER(MATCH(AX86,L_Placeholder,0))),"INVALID – verifier missing",IF(AX86=AU86,"INVALID – verifier must be someone other than the PIC",IF(AND(TRIM(U86)="Pass",SUMPRODUCT(--ISNUMBER(SEARCH(L_ResultBad,AV86)))&gt;0),"INVALID – result describes a problem: use Fail, then Pass after CA",IF(AND(AQ86=1,OR(LEN(AY86)&lt;3,ISNUMBER(MATCH(AY86,L_Placeholder,0)))),"INVALID – batch ID missing or placeholder",IF(AND(AR86=1,OR(NOT(ISNUMBER(X86)),NOT(ISNUMBER(Y86)))),"INVALID – expected/actual qty missing",IF(AND(AR86=1,OR(X86&lt;=0,Y86&lt;0)),"INVALID – expected qty must be above 0 and actual not negative",IF(BB86&lt;&gt;"",BB86,IF(AND(AS86=1,Documents!$J$7&lt;&gt;"ON FILE"),"INVALID – GLD not on file (Documents sheet)",IF(AND(AS86=2,Documents!$O$7&lt;&gt;"ON FILE"),"INVALID – menu checklist not on file (Documents sheet)",IF(AND(AS86=3,NOT(ISNUMBER(Flights!$AX$7))),"INVALID – enter carrying flight KUL departure (Flights AX)",IF(AND(AS86=3,OR(Flights!$AZ$7&gt;Flights!$AA$7,Flights!$AX$7&lt;Flights!$AA$7-3)),"INVALID – carrying flight (Flights AX) cannot arrive before this leg's STD, or is over 3 days early",IF(AG86&gt;AsOfUTC,"INVALID – completion time is in the future",IF(AND(ISNUMBER(S86),AG86&lt;S86),IF(H86="Physical uplift","INVALID – before uplift window (cannot confirm loading)","INVALID – before valid window"),IF(AG86&gt;Flights!$AA$7,"INVALID – completed after departure (cannot establish readiness)",IF(AND(H86="Preparation",AG86&gt;IF(ISNUMBER(Flights!$BA$7),MIN(Flights!$BA$7,Flights!$AA$7),Flights!$AA$7)),"INVALID – completed after loading / departure (cannot establish readiness)",IF(AND(H86="Physical uplift",AG86&gt;Q86),"INVALID – recorded after the loading flight departed",IF(AG86&gt;Q86,"COMPLETE – LATE","COMPLETE"))))))))))))))))))))),IF(TRIM(U86)="Fail","FAIL – DISCREPANCY",IF(AND(TRIM(U86)&lt;&gt;"",TRIM(U86)&lt;&gt;"Not started",TRIM(U86)&lt;&gt;"In progress"),"INVALID – unrecognised status (use the list)",IF(AsOfUTC&gt;Q86,"OVERDUE",IF(N86="Clarification required","OPEN – CLARIFICATION","OPEN"))))))),"INVALID – error value in an input cell")</f>
        <v>OPEN</v>
      </c>
      <c r="AI86" s="61" t="n">
        <f aca="false">IF(OR(AH86="N/A – RULE",AH86="N/A – JUSTIFIED"),0,1)</f>
        <v>1</v>
      </c>
      <c r="AJ86" s="61" t="n">
        <f aca="false">IF(LEFT(AH86,8)="COMPLETE",1,0)</f>
        <v>0</v>
      </c>
      <c r="AK86" s="61" t="n">
        <f aca="false">IF(AND(AI86=1,AJ86=0,AsOfUTC&gt;Q86),1,0)</f>
        <v>0</v>
      </c>
      <c r="AL86" s="61" t="n">
        <f aca="false">IFERROR(IF(AND(AI86=1,OR(TRIM(U86)="Fail",AND(TRIM(AB86)&lt;&gt;"",TRIM(AB86)&lt;&gt;"Closed"),AND(ISNUMBER(AF86),AF86&lt;&gt;0,TRIM(U86)&lt;&gt;"Pass after CA"))),1,0),1)</f>
        <v>0</v>
      </c>
      <c r="AM86" s="61" t="n">
        <f aca="false">IF(LEFT(AH86,7)="INVALID",1,0)</f>
        <v>0</v>
      </c>
      <c r="AN86" s="61" t="n">
        <f aca="false">IF(AND(N86="Clarification required",AI86=1,AJ86=0),1,0)</f>
        <v>0</v>
      </c>
      <c r="AO86" s="61" t="str">
        <f aca="false">IF(AK86=1,SUM(AK$5:AK86),"")</f>
        <v/>
      </c>
      <c r="AP86" s="61" t="str">
        <f aca="false">IF(AL86=1,SUM(AL$5:AL86),"")</f>
        <v/>
      </c>
      <c r="AQ86" s="61" t="n">
        <v>0</v>
      </c>
      <c r="AR86" s="61" t="n">
        <v>0</v>
      </c>
      <c r="AS86" s="61" t="n">
        <v>0</v>
      </c>
      <c r="AT86" s="61" t="n">
        <v>0</v>
      </c>
      <c r="AU86" s="61" t="str">
        <f aca="false">SUBSTITUTE(SUBSTITUTE(SUBSTITUTE(SUBSTITUTE(SUBSTITUTE(SUBSTITUTE(SUBSTITUTE(SUBSTITUTE(SUBSTITUTE(SUBSTITUTE(SUBSTITUTE(SUBSTITUTE(SUBSTITUTE(LOWER(T86&amp;""),CHAR(160),"")," ",""),".",""),"-",""),"/",""),"?",""),"_",""),",",""),"[",""),"]",""),"(",""),")",""),"*","")</f>
        <v/>
      </c>
      <c r="AV86" s="61" t="str">
        <f aca="false">SUBSTITUTE(SUBSTITUTE(SUBSTITUTE(SUBSTITUTE(SUBSTITUTE(SUBSTITUTE(SUBSTITUTE(SUBSTITUTE(SUBSTITUTE(SUBSTITUTE(SUBSTITUTE(SUBSTITUTE(SUBSTITUTE(LOWER(V86&amp;""),CHAR(160),"")," ",""),".",""),"-",""),"/",""),"?",""),"_",""),",",""),"[",""),"]",""),"(",""),")",""),"*","")</f>
        <v/>
      </c>
      <c r="AW86" s="61" t="str">
        <f aca="false">SUBSTITUTE(SUBSTITUTE(SUBSTITUTE(SUBSTITUTE(SUBSTITUTE(SUBSTITUTE(SUBSTITUTE(SUBSTITUTE(SUBSTITUTE(SUBSTITUTE(SUBSTITUTE(SUBSTITUTE(SUBSTITUTE(LOWER(Z86&amp;""),CHAR(160),"")," ",""),".",""),"-",""),"/",""),"?",""),"_",""),",",""),"[",""),"]",""),"(",""),")",""),"*","")</f>
        <v/>
      </c>
      <c r="AX86" s="61" t="str">
        <f aca="false">SUBSTITUTE(SUBSTITUTE(SUBSTITUTE(SUBSTITUTE(SUBSTITUTE(SUBSTITUTE(SUBSTITUTE(SUBSTITUTE(SUBSTITUTE(SUBSTITUTE(SUBSTITUTE(SUBSTITUTE(SUBSTITUTE(LOWER(AE86&amp;""),CHAR(160),"")," ",""),".",""),"-",""),"/",""),"?",""),"_",""),",",""),"[",""),"]",""),"(",""),")",""),"*","")</f>
        <v/>
      </c>
      <c r="AY86" s="61" t="str">
        <f aca="false">SUBSTITUTE(SUBSTITUTE(SUBSTITUTE(SUBSTITUTE(SUBSTITUTE(SUBSTITUTE(SUBSTITUTE(SUBSTITUTE(SUBSTITUTE(SUBSTITUTE(SUBSTITUTE(SUBSTITUTE(SUBSTITUTE(LOWER(W86&amp;""),CHAR(160),"")," ",""),".",""),"-",""),"/",""),"?",""),"_",""),",",""),"[",""),"]",""),"(",""),")",""),"*","")</f>
        <v/>
      </c>
      <c r="AZ86" s="61" t="str">
        <f aca="false">SUBSTITUTE(SUBSTITUTE(SUBSTITUTE(SUBSTITUTE(SUBSTITUTE(SUBSTITUTE(SUBSTITUTE(SUBSTITUTE(SUBSTITUTE(SUBSTITUTE(SUBSTITUTE(SUBSTITUTE(SUBSTITUTE(LOWER(AC86&amp;""),CHAR(160),"")," ",""),".",""),"-",""),"/",""),"?",""),"_",""),",",""),"[",""),"]",""),"(",""),")",""),"*","")</f>
        <v/>
      </c>
      <c r="BA86" s="61" t="str">
        <f aca="false">SUBSTITUTE(SUBSTITUTE(SUBSTITUTE(SUBSTITUTE(SUBSTITUTE(SUBSTITUTE(SUBSTITUTE(SUBSTITUTE(SUBSTITUTE(SUBSTITUTE(SUBSTITUTE(SUBSTITUTE(SUBSTITUTE(LOWER(AA86&amp;""),CHAR(160),"")," ",""),".",""),"-",""),"/",""),"?",""),"_",""),",",""),"[",""),"]",""),"(",""),")",""),"*","")</f>
        <v/>
      </c>
      <c r="BB86" s="61" t="str">
        <f aca="false">IF(AND(TRIM(U86)="Pass",ISNUMBER(AF86)),IF(AF86&lt;&gt;0,"INVALID – qty variance: use Fail or Pass after CA",""),"")&amp;IF(AND(TRIM(U86)="Pass after CA",ISNUMBER(AF86)),IF(AF86&lt;&gt;0,"INVALID – after the corrective action the actual qty must equal expected (update Actual)",""),"")&amp;IF(AND(TRIM(U86)="Pass",TRIM(AB86)&lt;&gt;"",TRIM(AB86)&lt;&gt;"Closed"),"INVALID – corrective action not closed: use Fail, then Pass after CA","")&amp;IF(AND(TRIM(AA86)&lt;&gt;"",TRIM(AB86)=""),"INVALID – CA status missing for the recorded corrective action","")&amp;IF(AND(TRIM(U86)="Pass after CA",OR(OR(LEN(BA86)&lt;5,ISNUMBER(MATCH(BA86,L_Placeholder,0))),TRIM(AB86)&lt;&gt;"Closed")),"INVALID – corrective action not recorded/closed","")</f>
        <v/>
      </c>
    </row>
    <row r="87" customFormat="false" ht="39.75" hidden="false" customHeight="true" outlineLevel="0" collapsed="false">
      <c r="A87" s="57" t="s">
        <v>556</v>
      </c>
      <c r="B87" s="57" t="s">
        <v>209</v>
      </c>
      <c r="C87" s="57" t="str">
        <f aca="false">Flights!$F$7</f>
        <v>MH0720</v>
      </c>
      <c r="D87" s="58" t="n">
        <f aca="false">Flights!$D$7</f>
        <v>46305</v>
      </c>
      <c r="E87" s="57" t="str">
        <f aca="false">Flights!$G$7&amp;"-"&amp;Flights!$H$7</f>
        <v>CGK-KUL</v>
      </c>
      <c r="F87" s="57" t="str">
        <f aca="false">Flights!$K$7</f>
        <v>EY</v>
      </c>
      <c r="G87" s="57" t="s">
        <v>437</v>
      </c>
      <c r="H87" s="57" t="s">
        <v>438</v>
      </c>
      <c r="I87" s="57" t="s">
        <v>357</v>
      </c>
      <c r="J87" s="57" t="s">
        <v>439</v>
      </c>
      <c r="K87" s="67" t="s">
        <v>404</v>
      </c>
      <c r="L87" s="67" t="s">
        <v>440</v>
      </c>
      <c r="M87" s="67"/>
      <c r="N87" s="67" t="s">
        <v>361</v>
      </c>
      <c r="O87" s="67" t="s">
        <v>441</v>
      </c>
      <c r="P87" s="57" t="s">
        <v>198</v>
      </c>
      <c r="Q87" s="59" t="n">
        <f aca="false">ROUND((Flights!$AF$7)*1440,0)/1440</f>
        <v>46305.3784722222</v>
      </c>
      <c r="R87" s="59" t="n">
        <f aca="false">Q87+(IF(AND(INDEX(TZ_DSTS,MATCH(P87,TZ_STN,0))&lt;&gt;"",Q87&gt;=INDEX(TZ_DSTS,MATCH(P87,TZ_STN,0)),Q87&lt;INDEX(TZ_DSTE,MATCH(P87,TZ_STN,0))),INDEX(TZ_DST,MATCH(P87,TZ_STN,0)),INDEX(TZ_STD,MATCH(P87,TZ_STN,0))))/24</f>
        <v>46305.6701388889</v>
      </c>
      <c r="S87" s="59" t="n">
        <f aca="false">IF(ISNUMBER(Flights!$AZ$7),MAX(Q87-UpliftWindowH/24,Flights!$AZ$7),Q87-UpliftWindowH/24)</f>
        <v>46305.1284722222</v>
      </c>
      <c r="T87" s="60"/>
      <c r="U87" s="60"/>
      <c r="V87" s="60"/>
      <c r="W87" s="61"/>
      <c r="X87" s="60"/>
      <c r="Y87" s="60"/>
      <c r="Z87" s="60"/>
      <c r="AA87" s="60"/>
      <c r="AB87" s="60"/>
      <c r="AC87" s="60"/>
      <c r="AD87" s="66"/>
      <c r="AE87" s="60"/>
      <c r="AF87" s="61" t="str">
        <f aca="false">IF(AND(ISNUMBER(X87),ISNUMBER(Y87)),Y87-X87,"")</f>
        <v/>
      </c>
      <c r="AG87" s="62" t="str">
        <f aca="false">IF(ISNUMBER(AD87),AD87-(IF(AND(INDEX(TZ_DSTS,MATCH(P87,TZ_STN,0))&lt;&gt;"",(AD87-INDEX(TZ_STD,MATCH(P87,TZ_STN,0))/24)&gt;=INDEX(TZ_DSTS,MATCH(P87,TZ_STN,0)),(AD87-INDEX(TZ_STD,MATCH(P87,TZ_STN,0))/24)&lt;INDEX(TZ_DSTE,MATCH(P87,TZ_STN,0))),INDEX(TZ_DST,MATCH(P87,TZ_STN,0)),INDEX(TZ_STD,MATCH(P87,TZ_STN,0))))/24,"")</f>
        <v/>
      </c>
      <c r="AH87" s="65" t="str">
        <f aca="false">IFERROR(IF(N87="N/A – rule","N/A – RULE",IF(TRIM(U87)="N/A",IF(AT87=0,"INVALID – N/A not permitted for this check",IF(AND(TRIM(AB87)&lt;&gt;"",TRIM(AB87)&lt;&gt;"Closed"),"INVALID – corrective action still open",IF(AND(NOT(OR(LEN(AZ87)&lt;15,ISNUMBER(MATCH(AZ87,L_Placeholder,0)))),NOT(OR(LEN(AU87)&lt;2,ISNUMBER(MATCH(AU87,L_Placeholder,0)))),NOT(OR(LEN(AX87)&lt;2,ISNUMBER(MATCH(AX87,L_Placeholder,0)))),TRIM(AE87)&lt;&gt;TRIM(T87)),"N/A – JUSTIFIED","INVALID – N/A needs a real justification (15+ chars), PIC and a different verifier"))),IF(OR(TRIM(U87)="Pass",TRIM(U87)="Pass after CA"),IF(NOT(ISNUMBER(AD87)),"INVALID – completion time missing",IF(OR(LEN(AU87)&lt;2,ISNUMBER(MATCH(AU87,L_Placeholder,0))),"INVALID – PIC missing",IF(OR(LEN(AV87)&lt;2,ISNUMBER(MATCH(AV87,L_Placeholder,0))),"INVALID – result / assessment missing",IF(OR(OR(LEN(AW87)&lt;3,ISNUMBER(MATCH(AW87,L_Placeholder,0))),SUMPRODUCT(--ISNUMBER(SEARCH(L_EvidencePhrase,AW87)))&gt;0),"INVALID – evidence missing, placeholder or not yet on file",IF(OR(LEN(AX87)&lt;2,ISNUMBER(MATCH(AX87,L_Placeholder,0))),"INVALID – verifier missing",IF(AX87=AU87,"INVALID – verifier must be someone other than the PIC",IF(AND(TRIM(U87)="Pass",SUMPRODUCT(--ISNUMBER(SEARCH(L_ResultBad,AV87)))&gt;0),"INVALID – result describes a problem: use Fail, then Pass after CA",IF(AND(AQ87=1,OR(LEN(AY87)&lt;3,ISNUMBER(MATCH(AY87,L_Placeholder,0)))),"INVALID – batch ID missing or placeholder",IF(AND(AR87=1,OR(NOT(ISNUMBER(X87)),NOT(ISNUMBER(Y87)))),"INVALID – expected/actual qty missing",IF(AND(AR87=1,OR(X87&lt;=0,Y87&lt;0)),"INVALID – expected qty must be above 0 and actual not negative",IF(AH80="N/A – JUSTIFIED","INVALID – preparation row F03-T12-02 is N/A",IF(AND(AR87=1,ISNUMBER(X80),X87&lt;&gt;X80),"INVALID – expected qty differs from preparation check F03-T12-02",IF(BB87&lt;&gt;"",BB87,IF(AND(AS87=1,Documents!$J$7&lt;&gt;"ON FILE"),"INVALID – GLD not on file (Documents sheet)",IF(AND(AS87=2,Documents!$O$7&lt;&gt;"ON FILE"),"INVALID – menu checklist not on file (Documents sheet)",IF(AND(AS87=3,NOT(ISNUMBER(Flights!$AX$7))),"INVALID – enter carrying flight KUL departure (Flights AX)",IF(AND(AS87=3,OR(Flights!$AZ$7&gt;Flights!$AA$7,Flights!$AX$7&lt;Flights!$AA$7-3)),"INVALID – carrying flight (Flights AX) cannot arrive before this leg's STD, or is over 3 days early",IF(AG87&gt;AsOfUTC,"INVALID – completion time is in the future",IF(AND(ISNUMBER(S87),AG87&lt;S87),IF(H87="Physical uplift","INVALID – before uplift window (cannot confirm loading)","INVALID – before valid window"),IF(AG87&gt;Flights!$AA$7,"INVALID – completed after departure (cannot establish readiness)",IF(AND(H87="Preparation",AG87&gt;IF(ISNUMBER(Flights!$BA$7),MIN(Flights!$BA$7,Flights!$AA$7),Flights!$AA$7)),"INVALID – completed after loading / departure (cannot establish readiness)",IF(AND(H87="Physical uplift",AG87&gt;Q87),"INVALID – recorded after the loading flight departed",IF(AG87&gt;Q87,"COMPLETE – LATE","COMPLETE"))))))))))))))))))))))),IF(TRIM(U87)="Fail","FAIL – DISCREPANCY",IF(AND(TRIM(U87)&lt;&gt;"",TRIM(U87)&lt;&gt;"Not started",TRIM(U87)&lt;&gt;"In progress"),"INVALID – unrecognised status (use the list)",IF(AsOfUTC&gt;Q87,"OVERDUE",IF(N87="Clarification required","OPEN – CLARIFICATION","OPEN"))))))),"INVALID – error value in an input cell")</f>
        <v>OPEN</v>
      </c>
      <c r="AI87" s="61" t="n">
        <f aca="false">IF(OR(AH87="N/A – RULE",AH87="N/A – JUSTIFIED"),0,1)</f>
        <v>1</v>
      </c>
      <c r="AJ87" s="61" t="n">
        <f aca="false">IF(LEFT(AH87,8)="COMPLETE",1,0)</f>
        <v>0</v>
      </c>
      <c r="AK87" s="61" t="n">
        <f aca="false">IF(AND(AI87=1,AJ87=0,AsOfUTC&gt;Q87),1,0)</f>
        <v>0</v>
      </c>
      <c r="AL87" s="61" t="n">
        <f aca="false">IFERROR(IF(AND(AI87=1,OR(TRIM(U87)="Fail",AND(TRIM(AB87)&lt;&gt;"",TRIM(AB87)&lt;&gt;"Closed"),AND(ISNUMBER(AF87),AF87&lt;&gt;0,TRIM(U87)&lt;&gt;"Pass after CA"))),1,0),1)</f>
        <v>0</v>
      </c>
      <c r="AM87" s="61" t="n">
        <f aca="false">IF(LEFT(AH87,7)="INVALID",1,0)</f>
        <v>0</v>
      </c>
      <c r="AN87" s="61" t="n">
        <f aca="false">IF(AND(N87="Clarification required",AI87=1,AJ87=0),1,0)</f>
        <v>0</v>
      </c>
      <c r="AO87" s="61" t="str">
        <f aca="false">IF(AK87=1,SUM(AK$5:AK87),"")</f>
        <v/>
      </c>
      <c r="AP87" s="61" t="str">
        <f aca="false">IF(AL87=1,SUM(AL$5:AL87),"")</f>
        <v/>
      </c>
      <c r="AQ87" s="61" t="n">
        <v>0</v>
      </c>
      <c r="AR87" s="61" t="n">
        <v>1</v>
      </c>
      <c r="AS87" s="61" t="n">
        <v>0</v>
      </c>
      <c r="AT87" s="61" t="n">
        <v>0</v>
      </c>
      <c r="AU87" s="61" t="str">
        <f aca="false">SUBSTITUTE(SUBSTITUTE(SUBSTITUTE(SUBSTITUTE(SUBSTITUTE(SUBSTITUTE(SUBSTITUTE(SUBSTITUTE(SUBSTITUTE(SUBSTITUTE(SUBSTITUTE(SUBSTITUTE(SUBSTITUTE(LOWER(T87&amp;""),CHAR(160),"")," ",""),".",""),"-",""),"/",""),"?",""),"_",""),",",""),"[",""),"]",""),"(",""),")",""),"*","")</f>
        <v/>
      </c>
      <c r="AV87" s="61" t="str">
        <f aca="false">SUBSTITUTE(SUBSTITUTE(SUBSTITUTE(SUBSTITUTE(SUBSTITUTE(SUBSTITUTE(SUBSTITUTE(SUBSTITUTE(SUBSTITUTE(SUBSTITUTE(SUBSTITUTE(SUBSTITUTE(SUBSTITUTE(LOWER(V87&amp;""),CHAR(160),"")," ",""),".",""),"-",""),"/",""),"?",""),"_",""),",",""),"[",""),"]",""),"(",""),")",""),"*","")</f>
        <v/>
      </c>
      <c r="AW87" s="61" t="str">
        <f aca="false">SUBSTITUTE(SUBSTITUTE(SUBSTITUTE(SUBSTITUTE(SUBSTITUTE(SUBSTITUTE(SUBSTITUTE(SUBSTITUTE(SUBSTITUTE(SUBSTITUTE(SUBSTITUTE(SUBSTITUTE(SUBSTITUTE(LOWER(Z87&amp;""),CHAR(160),"")," ",""),".",""),"-",""),"/",""),"?",""),"_",""),",",""),"[",""),"]",""),"(",""),")",""),"*","")</f>
        <v/>
      </c>
      <c r="AX87" s="61" t="str">
        <f aca="false">SUBSTITUTE(SUBSTITUTE(SUBSTITUTE(SUBSTITUTE(SUBSTITUTE(SUBSTITUTE(SUBSTITUTE(SUBSTITUTE(SUBSTITUTE(SUBSTITUTE(SUBSTITUTE(SUBSTITUTE(SUBSTITUTE(LOWER(AE87&amp;""),CHAR(160),"")," ",""),".",""),"-",""),"/",""),"?",""),"_",""),",",""),"[",""),"]",""),"(",""),")",""),"*","")</f>
        <v/>
      </c>
      <c r="AY87" s="61" t="str">
        <f aca="false">SUBSTITUTE(SUBSTITUTE(SUBSTITUTE(SUBSTITUTE(SUBSTITUTE(SUBSTITUTE(SUBSTITUTE(SUBSTITUTE(SUBSTITUTE(SUBSTITUTE(SUBSTITUTE(SUBSTITUTE(SUBSTITUTE(LOWER(W87&amp;""),CHAR(160),"")," ",""),".",""),"-",""),"/",""),"?",""),"_",""),",",""),"[",""),"]",""),"(",""),")",""),"*","")</f>
        <v/>
      </c>
      <c r="AZ87" s="61" t="str">
        <f aca="false">SUBSTITUTE(SUBSTITUTE(SUBSTITUTE(SUBSTITUTE(SUBSTITUTE(SUBSTITUTE(SUBSTITUTE(SUBSTITUTE(SUBSTITUTE(SUBSTITUTE(SUBSTITUTE(SUBSTITUTE(SUBSTITUTE(LOWER(AC87&amp;""),CHAR(160),"")," ",""),".",""),"-",""),"/",""),"?",""),"_",""),",",""),"[",""),"]",""),"(",""),")",""),"*","")</f>
        <v/>
      </c>
      <c r="BA87" s="61" t="str">
        <f aca="false">SUBSTITUTE(SUBSTITUTE(SUBSTITUTE(SUBSTITUTE(SUBSTITUTE(SUBSTITUTE(SUBSTITUTE(SUBSTITUTE(SUBSTITUTE(SUBSTITUTE(SUBSTITUTE(SUBSTITUTE(SUBSTITUTE(LOWER(AA87&amp;""),CHAR(160),"")," ",""),".",""),"-",""),"/",""),"?",""),"_",""),",",""),"[",""),"]",""),"(",""),")",""),"*","")</f>
        <v/>
      </c>
      <c r="BB87" s="61" t="str">
        <f aca="false">IF(AND(TRIM(U87)="Pass",ISNUMBER(AF87)),IF(AF87&lt;&gt;0,"INVALID – qty variance: use Fail or Pass after CA",""),"")&amp;IF(AND(TRIM(U87)="Pass after CA",ISNUMBER(AF87)),IF(AF87&lt;&gt;0,"INVALID – after the corrective action the actual qty must equal expected (update Actual)",""),"")&amp;IF(AND(TRIM(U87)="Pass",TRIM(AB87)&lt;&gt;"",TRIM(AB87)&lt;&gt;"Closed"),"INVALID – corrective action not closed: use Fail, then Pass after CA","")&amp;IF(AND(TRIM(AA87)&lt;&gt;"",TRIM(AB87)=""),"INVALID – CA status missing for the recorded corrective action","")&amp;IF(AND(TRIM(U87)="Pass after CA",OR(OR(LEN(BA87)&lt;5,ISNUMBER(MATCH(BA87,L_Placeholder,0))),TRIM(AB87)&lt;&gt;"Closed")),"INVALID – corrective action not recorded/closed","")</f>
        <v/>
      </c>
    </row>
    <row r="88" customFormat="false" ht="39.75" hidden="false" customHeight="true" outlineLevel="0" collapsed="false">
      <c r="A88" s="57" t="s">
        <v>557</v>
      </c>
      <c r="B88" s="57" t="s">
        <v>209</v>
      </c>
      <c r="C88" s="57" t="str">
        <f aca="false">Flights!$F$7</f>
        <v>MH0720</v>
      </c>
      <c r="D88" s="58" t="n">
        <f aca="false">Flights!$D$7</f>
        <v>46305</v>
      </c>
      <c r="E88" s="57" t="str">
        <f aca="false">Flights!$G$7&amp;"-"&amp;Flights!$H$7</f>
        <v>CGK-KUL</v>
      </c>
      <c r="F88" s="57" t="str">
        <f aca="false">Flights!$K$7</f>
        <v>EY</v>
      </c>
      <c r="G88" s="57" t="s">
        <v>437</v>
      </c>
      <c r="H88" s="57" t="s">
        <v>438</v>
      </c>
      <c r="I88" s="57" t="s">
        <v>406</v>
      </c>
      <c r="J88" s="57" t="s">
        <v>443</v>
      </c>
      <c r="K88" s="67" t="s">
        <v>404</v>
      </c>
      <c r="L88" s="67" t="s">
        <v>440</v>
      </c>
      <c r="M88" s="67"/>
      <c r="N88" s="67" t="s">
        <v>361</v>
      </c>
      <c r="O88" s="67" t="s">
        <v>441</v>
      </c>
      <c r="P88" s="57" t="s">
        <v>198</v>
      </c>
      <c r="Q88" s="59" t="n">
        <f aca="false">ROUND((Flights!$AF$7)*1440,0)/1440</f>
        <v>46305.3784722222</v>
      </c>
      <c r="R88" s="59" t="n">
        <f aca="false">Q88+(IF(AND(INDEX(TZ_DSTS,MATCH(P88,TZ_STN,0))&lt;&gt;"",Q88&gt;=INDEX(TZ_DSTS,MATCH(P88,TZ_STN,0)),Q88&lt;INDEX(TZ_DSTE,MATCH(P88,TZ_STN,0))),INDEX(TZ_DST,MATCH(P88,TZ_STN,0)),INDEX(TZ_STD,MATCH(P88,TZ_STN,0))))/24</f>
        <v>46305.6701388889</v>
      </c>
      <c r="S88" s="59" t="n">
        <f aca="false">IF(ISNUMBER(Flights!$AZ$7),MAX(Q88-UpliftWindowH/24,Flights!$AZ$7),Q88-UpliftWindowH/24)</f>
        <v>46305.1284722222</v>
      </c>
      <c r="T88" s="60"/>
      <c r="U88" s="60"/>
      <c r="V88" s="60"/>
      <c r="W88" s="61"/>
      <c r="X88" s="60"/>
      <c r="Y88" s="60"/>
      <c r="Z88" s="60"/>
      <c r="AA88" s="60"/>
      <c r="AB88" s="60"/>
      <c r="AC88" s="60"/>
      <c r="AD88" s="66"/>
      <c r="AE88" s="60"/>
      <c r="AF88" s="61" t="str">
        <f aca="false">IF(AND(ISNUMBER(X88),ISNUMBER(Y88)),Y88-X88,"")</f>
        <v/>
      </c>
      <c r="AG88" s="62" t="str">
        <f aca="false">IF(ISNUMBER(AD88),AD88-(IF(AND(INDEX(TZ_DSTS,MATCH(P88,TZ_STN,0))&lt;&gt;"",(AD88-INDEX(TZ_STD,MATCH(P88,TZ_STN,0))/24)&gt;=INDEX(TZ_DSTS,MATCH(P88,TZ_STN,0)),(AD88-INDEX(TZ_STD,MATCH(P88,TZ_STN,0))/24)&lt;INDEX(TZ_DSTE,MATCH(P88,TZ_STN,0))),INDEX(TZ_DST,MATCH(P88,TZ_STN,0)),INDEX(TZ_STD,MATCH(P88,TZ_STN,0))))/24,"")</f>
        <v/>
      </c>
      <c r="AH88" s="65" t="str">
        <f aca="false">IFERROR(IF(N88="N/A – rule","N/A – RULE",IF(TRIM(U88)="N/A",IF(AT88=0,"INVALID – N/A not permitted for this check",IF(AND(TRIM(AB88)&lt;&gt;"",TRIM(AB88)&lt;&gt;"Closed"),"INVALID – corrective action still open",IF(AND(NOT(OR(LEN(AZ88)&lt;15,ISNUMBER(MATCH(AZ88,L_Placeholder,0)))),NOT(OR(LEN(AU88)&lt;2,ISNUMBER(MATCH(AU88,L_Placeholder,0)))),NOT(OR(LEN(AX88)&lt;2,ISNUMBER(MATCH(AX88,L_Placeholder,0)))),TRIM(AE88)&lt;&gt;TRIM(T88)),"N/A – JUSTIFIED","INVALID – N/A needs a real justification (15+ chars), PIC and a different verifier"))),IF(OR(TRIM(U88)="Pass",TRIM(U88)="Pass after CA"),IF(NOT(ISNUMBER(AD88)),"INVALID – completion time missing",IF(OR(LEN(AU88)&lt;2,ISNUMBER(MATCH(AU88,L_Placeholder,0))),"INVALID – PIC missing",IF(OR(LEN(AV88)&lt;2,ISNUMBER(MATCH(AV88,L_Placeholder,0))),"INVALID – result / assessment missing",IF(OR(OR(LEN(AW88)&lt;3,ISNUMBER(MATCH(AW88,L_Placeholder,0))),SUMPRODUCT(--ISNUMBER(SEARCH(L_EvidencePhrase,AW88)))&gt;0),"INVALID – evidence missing, placeholder or not yet on file",IF(OR(LEN(AX88)&lt;2,ISNUMBER(MATCH(AX88,L_Placeholder,0))),"INVALID – verifier missing",IF(AX88=AU88,"INVALID – verifier must be someone other than the PIC",IF(AND(TRIM(U88)="Pass",SUMPRODUCT(--ISNUMBER(SEARCH(L_ResultBad,AV88)))&gt;0),"INVALID – result describes a problem: use Fail, then Pass after CA",IF(AND(AQ88=1,OR(LEN(AY88)&lt;3,ISNUMBER(MATCH(AY88,L_Placeholder,0)))),"INVALID – batch ID missing or placeholder",IF(AND(AR88=1,OR(NOT(ISNUMBER(X88)),NOT(ISNUMBER(Y88)))),"INVALID – expected/actual qty missing",IF(AND(AR88=1,OR(X88&lt;=0,Y88&lt;0)),"INVALID – expected qty must be above 0 and actual not negative",IF(AH84="N/A – JUSTIFIED","INVALID – preparation row F03-T12-06 is N/A",IF(AND(AR88=1,ISNUMBER(X84),X88&lt;&gt;X84),"INVALID – expected qty differs from preparation check F03-T12-06",IF(BB88&lt;&gt;"",BB88,IF(AND(AS88=1,Documents!$J$7&lt;&gt;"ON FILE"),"INVALID – GLD not on file (Documents sheet)",IF(AND(AS88=2,Documents!$O$7&lt;&gt;"ON FILE"),"INVALID – menu checklist not on file (Documents sheet)",IF(AND(AS88=3,NOT(ISNUMBER(Flights!$AX$7))),"INVALID – enter carrying flight KUL departure (Flights AX)",IF(AND(AS88=3,OR(Flights!$AZ$7&gt;Flights!$AA$7,Flights!$AX$7&lt;Flights!$AA$7-3)),"INVALID – carrying flight (Flights AX) cannot arrive before this leg's STD, or is over 3 days early",IF(AG88&gt;AsOfUTC,"INVALID – completion time is in the future",IF(AND(ISNUMBER(S88),AG88&lt;S88),IF(H88="Physical uplift","INVALID – before uplift window (cannot confirm loading)","INVALID – before valid window"),IF(AG88&gt;Flights!$AA$7,"INVALID – completed after departure (cannot establish readiness)",IF(AND(H88="Preparation",AG88&gt;IF(ISNUMBER(Flights!$BA$7),MIN(Flights!$BA$7,Flights!$AA$7),Flights!$AA$7)),"INVALID – completed after loading / departure (cannot establish readiness)",IF(AND(H88="Physical uplift",AG88&gt;Q88),"INVALID – recorded after the loading flight departed",IF(AG88&gt;Q88,"COMPLETE – LATE","COMPLETE"))))))))))))))))))))))),IF(TRIM(U88)="Fail","FAIL – DISCREPANCY",IF(AND(TRIM(U88)&lt;&gt;"",TRIM(U88)&lt;&gt;"Not started",TRIM(U88)&lt;&gt;"In progress"),"INVALID – unrecognised status (use the list)",IF(AsOfUTC&gt;Q88,"OVERDUE",IF(N88="Clarification required","OPEN – CLARIFICATION","OPEN"))))))),"INVALID – error value in an input cell")</f>
        <v>OPEN</v>
      </c>
      <c r="AI88" s="61" t="n">
        <f aca="false">IF(OR(AH88="N/A – RULE",AH88="N/A – JUSTIFIED"),0,1)</f>
        <v>1</v>
      </c>
      <c r="AJ88" s="61" t="n">
        <f aca="false">IF(LEFT(AH88,8)="COMPLETE",1,0)</f>
        <v>0</v>
      </c>
      <c r="AK88" s="61" t="n">
        <f aca="false">IF(AND(AI88=1,AJ88=0,AsOfUTC&gt;Q88),1,0)</f>
        <v>0</v>
      </c>
      <c r="AL88" s="61" t="n">
        <f aca="false">IFERROR(IF(AND(AI88=1,OR(TRIM(U88)="Fail",AND(TRIM(AB88)&lt;&gt;"",TRIM(AB88)&lt;&gt;"Closed"),AND(ISNUMBER(AF88),AF88&lt;&gt;0,TRIM(U88)&lt;&gt;"Pass after CA"))),1,0),1)</f>
        <v>0</v>
      </c>
      <c r="AM88" s="61" t="n">
        <f aca="false">IF(LEFT(AH88,7)="INVALID",1,0)</f>
        <v>0</v>
      </c>
      <c r="AN88" s="61" t="n">
        <f aca="false">IF(AND(N88="Clarification required",AI88=1,AJ88=0),1,0)</f>
        <v>0</v>
      </c>
      <c r="AO88" s="61" t="str">
        <f aca="false">IF(AK88=1,SUM(AK$5:AK88),"")</f>
        <v/>
      </c>
      <c r="AP88" s="61" t="str">
        <f aca="false">IF(AL88=1,SUM(AL$5:AL88),"")</f>
        <v/>
      </c>
      <c r="AQ88" s="61" t="n">
        <v>0</v>
      </c>
      <c r="AR88" s="61" t="n">
        <v>1</v>
      </c>
      <c r="AS88" s="61" t="n">
        <v>0</v>
      </c>
      <c r="AT88" s="61" t="n">
        <v>0</v>
      </c>
      <c r="AU88" s="61" t="str">
        <f aca="false">SUBSTITUTE(SUBSTITUTE(SUBSTITUTE(SUBSTITUTE(SUBSTITUTE(SUBSTITUTE(SUBSTITUTE(SUBSTITUTE(SUBSTITUTE(SUBSTITUTE(SUBSTITUTE(SUBSTITUTE(SUBSTITUTE(LOWER(T88&amp;""),CHAR(160),"")," ",""),".",""),"-",""),"/",""),"?",""),"_",""),",",""),"[",""),"]",""),"(",""),")",""),"*","")</f>
        <v/>
      </c>
      <c r="AV88" s="61" t="str">
        <f aca="false">SUBSTITUTE(SUBSTITUTE(SUBSTITUTE(SUBSTITUTE(SUBSTITUTE(SUBSTITUTE(SUBSTITUTE(SUBSTITUTE(SUBSTITUTE(SUBSTITUTE(SUBSTITUTE(SUBSTITUTE(SUBSTITUTE(LOWER(V88&amp;""),CHAR(160),"")," ",""),".",""),"-",""),"/",""),"?",""),"_",""),",",""),"[",""),"]",""),"(",""),")",""),"*","")</f>
        <v/>
      </c>
      <c r="AW88" s="61" t="str">
        <f aca="false">SUBSTITUTE(SUBSTITUTE(SUBSTITUTE(SUBSTITUTE(SUBSTITUTE(SUBSTITUTE(SUBSTITUTE(SUBSTITUTE(SUBSTITUTE(SUBSTITUTE(SUBSTITUTE(SUBSTITUTE(SUBSTITUTE(LOWER(Z88&amp;""),CHAR(160),"")," ",""),".",""),"-",""),"/",""),"?",""),"_",""),",",""),"[",""),"]",""),"(",""),")",""),"*","")</f>
        <v/>
      </c>
      <c r="AX88" s="61" t="str">
        <f aca="false">SUBSTITUTE(SUBSTITUTE(SUBSTITUTE(SUBSTITUTE(SUBSTITUTE(SUBSTITUTE(SUBSTITUTE(SUBSTITUTE(SUBSTITUTE(SUBSTITUTE(SUBSTITUTE(SUBSTITUTE(SUBSTITUTE(LOWER(AE88&amp;""),CHAR(160),"")," ",""),".",""),"-",""),"/",""),"?",""),"_",""),",",""),"[",""),"]",""),"(",""),")",""),"*","")</f>
        <v/>
      </c>
      <c r="AY88" s="61" t="str">
        <f aca="false">SUBSTITUTE(SUBSTITUTE(SUBSTITUTE(SUBSTITUTE(SUBSTITUTE(SUBSTITUTE(SUBSTITUTE(SUBSTITUTE(SUBSTITUTE(SUBSTITUTE(SUBSTITUTE(SUBSTITUTE(SUBSTITUTE(LOWER(W88&amp;""),CHAR(160),"")," ",""),".",""),"-",""),"/",""),"?",""),"_",""),",",""),"[",""),"]",""),"(",""),")",""),"*","")</f>
        <v/>
      </c>
      <c r="AZ88" s="61" t="str">
        <f aca="false">SUBSTITUTE(SUBSTITUTE(SUBSTITUTE(SUBSTITUTE(SUBSTITUTE(SUBSTITUTE(SUBSTITUTE(SUBSTITUTE(SUBSTITUTE(SUBSTITUTE(SUBSTITUTE(SUBSTITUTE(SUBSTITUTE(LOWER(AC88&amp;""),CHAR(160),"")," ",""),".",""),"-",""),"/",""),"?",""),"_",""),",",""),"[",""),"]",""),"(",""),")",""),"*","")</f>
        <v/>
      </c>
      <c r="BA88" s="61" t="str">
        <f aca="false">SUBSTITUTE(SUBSTITUTE(SUBSTITUTE(SUBSTITUTE(SUBSTITUTE(SUBSTITUTE(SUBSTITUTE(SUBSTITUTE(SUBSTITUTE(SUBSTITUTE(SUBSTITUTE(SUBSTITUTE(SUBSTITUTE(LOWER(AA88&amp;""),CHAR(160),"")," ",""),".",""),"-",""),"/",""),"?",""),"_",""),",",""),"[",""),"]",""),"(",""),")",""),"*","")</f>
        <v/>
      </c>
      <c r="BB88" s="61" t="str">
        <f aca="false">IF(AND(TRIM(U88)="Pass",ISNUMBER(AF88)),IF(AF88&lt;&gt;0,"INVALID – qty variance: use Fail or Pass after CA",""),"")&amp;IF(AND(TRIM(U88)="Pass after CA",ISNUMBER(AF88)),IF(AF88&lt;&gt;0,"INVALID – after the corrective action the actual qty must equal expected (update Actual)",""),"")&amp;IF(AND(TRIM(U88)="Pass",TRIM(AB88)&lt;&gt;"",TRIM(AB88)&lt;&gt;"Closed"),"INVALID – corrective action not closed: use Fail, then Pass after CA","")&amp;IF(AND(TRIM(AA88)&lt;&gt;"",TRIM(AB88)=""),"INVALID – CA status missing for the recorded corrective action","")&amp;IF(AND(TRIM(U88)="Pass after CA",OR(OR(LEN(BA88)&lt;5,ISNUMBER(MATCH(BA88,L_Placeholder,0))),TRIM(AB88)&lt;&gt;"Closed")),"INVALID – corrective action not recorded/closed","")</f>
        <v/>
      </c>
    </row>
    <row r="89" customFormat="false" ht="39.75" hidden="false" customHeight="true" outlineLevel="0" collapsed="false">
      <c r="A89" s="57" t="s">
        <v>558</v>
      </c>
      <c r="B89" s="57" t="s">
        <v>209</v>
      </c>
      <c r="C89" s="57" t="str">
        <f aca="false">Flights!$F$7</f>
        <v>MH0720</v>
      </c>
      <c r="D89" s="58" t="n">
        <f aca="false">Flights!$D$7</f>
        <v>46305</v>
      </c>
      <c r="E89" s="57" t="str">
        <f aca="false">Flights!$G$7&amp;"-"&amp;Flights!$H$7</f>
        <v>CGK-KUL</v>
      </c>
      <c r="F89" s="57" t="str">
        <f aca="false">Flights!$K$7</f>
        <v>EY</v>
      </c>
      <c r="G89" s="57" t="s">
        <v>437</v>
      </c>
      <c r="H89" s="57" t="s">
        <v>438</v>
      </c>
      <c r="I89" s="57" t="s">
        <v>425</v>
      </c>
      <c r="J89" s="57" t="s">
        <v>447</v>
      </c>
      <c r="K89" s="67" t="s">
        <v>427</v>
      </c>
      <c r="L89" s="67" t="s">
        <v>554</v>
      </c>
      <c r="M89" s="67" t="s">
        <v>429</v>
      </c>
      <c r="N89" s="67" t="s">
        <v>361</v>
      </c>
      <c r="O89" s="67"/>
      <c r="P89" s="57" t="s">
        <v>198</v>
      </c>
      <c r="Q89" s="59" t="n">
        <f aca="false">ROUND((Flights!$AF$7)*1440,0)/1440</f>
        <v>46305.3784722222</v>
      </c>
      <c r="R89" s="59" t="n">
        <f aca="false">Q89+(IF(AND(INDEX(TZ_DSTS,MATCH(P89,TZ_STN,0))&lt;&gt;"",Q89&gt;=INDEX(TZ_DSTS,MATCH(P89,TZ_STN,0)),Q89&lt;INDEX(TZ_DSTE,MATCH(P89,TZ_STN,0))),INDEX(TZ_DST,MATCH(P89,TZ_STN,0)),INDEX(TZ_STD,MATCH(P89,TZ_STN,0))))/24</f>
        <v>46305.6701388889</v>
      </c>
      <c r="S89" s="59" t="n">
        <f aca="false">IF(ISNUMBER(Flights!$AZ$7),MAX(Q89-UpliftWindowH/24,Flights!$AZ$7),Q89-UpliftWindowH/24)</f>
        <v>46305.1284722222</v>
      </c>
      <c r="T89" s="60"/>
      <c r="U89" s="60"/>
      <c r="V89" s="60"/>
      <c r="W89" s="61"/>
      <c r="X89" s="60"/>
      <c r="Y89" s="60"/>
      <c r="Z89" s="60"/>
      <c r="AA89" s="60"/>
      <c r="AB89" s="60"/>
      <c r="AC89" s="60"/>
      <c r="AD89" s="66"/>
      <c r="AE89" s="60"/>
      <c r="AF89" s="61" t="str">
        <f aca="false">IF(AND(ISNUMBER(X89),ISNUMBER(Y89)),Y89-X89,"")</f>
        <v/>
      </c>
      <c r="AG89" s="62" t="str">
        <f aca="false">IF(ISNUMBER(AD89),AD89-(IF(AND(INDEX(TZ_DSTS,MATCH(P89,TZ_STN,0))&lt;&gt;"",(AD89-INDEX(TZ_STD,MATCH(P89,TZ_STN,0))/24)&gt;=INDEX(TZ_DSTS,MATCH(P89,TZ_STN,0)),(AD89-INDEX(TZ_STD,MATCH(P89,TZ_STN,0))/24)&lt;INDEX(TZ_DSTE,MATCH(P89,TZ_STN,0))),INDEX(TZ_DST,MATCH(P89,TZ_STN,0)),INDEX(TZ_STD,MATCH(P89,TZ_STN,0))))/24,"")</f>
        <v/>
      </c>
      <c r="AH89" s="65" t="str">
        <f aca="false">IFERROR(IF(N89="N/A – rule","N/A – RULE",IF(TRIM(U89)="N/A",IF(AT89=0,"INVALID – N/A not permitted for this check",IF(AND(TRIM(AB89)&lt;&gt;"",TRIM(AB89)&lt;&gt;"Closed"),"INVALID – corrective action still open",IF(AND(NOT(OR(LEN(AZ89)&lt;15,ISNUMBER(MATCH(AZ89,L_Placeholder,0)))),NOT(OR(LEN(AU89)&lt;2,ISNUMBER(MATCH(AU89,L_Placeholder,0)))),NOT(OR(LEN(AX89)&lt;2,ISNUMBER(MATCH(AX89,L_Placeholder,0)))),TRIM(AE89)&lt;&gt;TRIM(T89)),"N/A – JUSTIFIED","INVALID – N/A needs a real justification (15+ chars), PIC and a different verifier"))),IF(OR(TRIM(U89)="Pass",TRIM(U89)="Pass after CA"),IF(NOT(ISNUMBER(AD89)),"INVALID – completion time missing",IF(OR(LEN(AU89)&lt;2,ISNUMBER(MATCH(AU89,L_Placeholder,0))),"INVALID – PIC missing",IF(OR(LEN(AV89)&lt;2,ISNUMBER(MATCH(AV89,L_Placeholder,0))),"INVALID – result / assessment missing",IF(OR(OR(LEN(AW89)&lt;3,ISNUMBER(MATCH(AW89,L_Placeholder,0))),SUMPRODUCT(--ISNUMBER(SEARCH(L_EvidencePhrase,AW89)))&gt;0),"INVALID – evidence missing, placeholder or not yet on file",IF(OR(LEN(AX89)&lt;2,ISNUMBER(MATCH(AX89,L_Placeholder,0))),"INVALID – verifier missing",IF(AX89=AU89,"INVALID – verifier must be someone other than the PIC",IF(AND(TRIM(U89)="Pass",SUMPRODUCT(--ISNUMBER(SEARCH(L_ResultBad,AV89)))&gt;0),"INVALID – result describes a problem: use Fail, then Pass after CA",IF(AND(AQ89=1,OR(LEN(AY89)&lt;3,ISNUMBER(MATCH(AY89,L_Placeholder,0)))),"INVALID – batch ID missing or placeholder",IF(AND(AR89=1,OR(NOT(ISNUMBER(X89)),NOT(ISNUMBER(Y89)))),"INVALID – expected/actual qty missing",IF(AND(AR89=1,OR(X89&lt;=0,Y89&lt;0)),"INVALID – expected qty must be above 0 and actual not negative",IF(AH86="N/A – JUSTIFIED","INVALID – preparation row F03-T12-08 is N/A",IF(AND(AR89=1,ISNUMBER(X86),X89&lt;&gt;X86),"INVALID – expected qty differs from preparation check F03-T12-08",IF(BB89&lt;&gt;"",BB89,IF(AND(AS89=1,Documents!$J$7&lt;&gt;"ON FILE"),"INVALID – GLD not on file (Documents sheet)",IF(AND(AS89=2,Documents!$O$7&lt;&gt;"ON FILE"),"INVALID – menu checklist not on file (Documents sheet)",IF(AND(AS89=3,NOT(ISNUMBER(Flights!$AX$7))),"INVALID – enter carrying flight KUL departure (Flights AX)",IF(AND(AS89=3,OR(Flights!$AZ$7&gt;Flights!$AA$7,Flights!$AX$7&lt;Flights!$AA$7-3)),"INVALID – carrying flight (Flights AX) cannot arrive before this leg's STD, or is over 3 days early",IF(AG89&gt;AsOfUTC,"INVALID – completion time is in the future",IF(AND(ISNUMBER(S89),AG89&lt;S89),IF(H89="Physical uplift","INVALID – before uplift window (cannot confirm loading)","INVALID – before valid window"),IF(AG89&gt;Flights!$AA$7,"INVALID – completed after departure (cannot establish readiness)",IF(AND(H89="Preparation",AG89&gt;IF(ISNUMBER(Flights!$BA$7),MIN(Flights!$BA$7,Flights!$AA$7),Flights!$AA$7)),"INVALID – completed after loading / departure (cannot establish readiness)",IF(AND(H89="Physical uplift",AG89&gt;Q89),"INVALID – recorded after the loading flight departed",IF(AG89&gt;Q89,"COMPLETE – LATE","COMPLETE"))))))))))))))))))))))),IF(TRIM(U89)="Fail","FAIL – DISCREPANCY",IF(AND(TRIM(U89)&lt;&gt;"",TRIM(U89)&lt;&gt;"Not started",TRIM(U89)&lt;&gt;"In progress"),"INVALID – unrecognised status (use the list)",IF(AsOfUTC&gt;Q89,"OVERDUE",IF(N89="Clarification required","OPEN – CLARIFICATION","OPEN"))))))),"INVALID – error value in an input cell")</f>
        <v>OPEN</v>
      </c>
      <c r="AI89" s="61" t="n">
        <f aca="false">IF(OR(AH89="N/A – RULE",AH89="N/A – JUSTIFIED"),0,1)</f>
        <v>1</v>
      </c>
      <c r="AJ89" s="61" t="n">
        <f aca="false">IF(LEFT(AH89,8)="COMPLETE",1,0)</f>
        <v>0</v>
      </c>
      <c r="AK89" s="61" t="n">
        <f aca="false">IF(AND(AI89=1,AJ89=0,AsOfUTC&gt;Q89),1,0)</f>
        <v>0</v>
      </c>
      <c r="AL89" s="61" t="n">
        <f aca="false">IFERROR(IF(AND(AI89=1,OR(TRIM(U89)="Fail",AND(TRIM(AB89)&lt;&gt;"",TRIM(AB89)&lt;&gt;"Closed"),AND(ISNUMBER(AF89),AF89&lt;&gt;0,TRIM(U89)&lt;&gt;"Pass after CA"))),1,0),1)</f>
        <v>0</v>
      </c>
      <c r="AM89" s="61" t="n">
        <f aca="false">IF(LEFT(AH89,7)="INVALID",1,0)</f>
        <v>0</v>
      </c>
      <c r="AN89" s="61" t="n">
        <f aca="false">IF(AND(N89="Clarification required",AI89=1,AJ89=0),1,0)</f>
        <v>0</v>
      </c>
      <c r="AO89" s="61" t="str">
        <f aca="false">IF(AK89=1,SUM(AK$5:AK89),"")</f>
        <v/>
      </c>
      <c r="AP89" s="61" t="str">
        <f aca="false">IF(AL89=1,SUM(AL$5:AL89),"")</f>
        <v/>
      </c>
      <c r="AQ89" s="61" t="n">
        <v>0</v>
      </c>
      <c r="AR89" s="61" t="n">
        <v>0</v>
      </c>
      <c r="AS89" s="61" t="n">
        <v>0</v>
      </c>
      <c r="AT89" s="61" t="n">
        <v>0</v>
      </c>
      <c r="AU89" s="61" t="str">
        <f aca="false">SUBSTITUTE(SUBSTITUTE(SUBSTITUTE(SUBSTITUTE(SUBSTITUTE(SUBSTITUTE(SUBSTITUTE(SUBSTITUTE(SUBSTITUTE(SUBSTITUTE(SUBSTITUTE(SUBSTITUTE(SUBSTITUTE(LOWER(T89&amp;""),CHAR(160),"")," ",""),".",""),"-",""),"/",""),"?",""),"_",""),",",""),"[",""),"]",""),"(",""),")",""),"*","")</f>
        <v/>
      </c>
      <c r="AV89" s="61" t="str">
        <f aca="false">SUBSTITUTE(SUBSTITUTE(SUBSTITUTE(SUBSTITUTE(SUBSTITUTE(SUBSTITUTE(SUBSTITUTE(SUBSTITUTE(SUBSTITUTE(SUBSTITUTE(SUBSTITUTE(SUBSTITUTE(SUBSTITUTE(LOWER(V89&amp;""),CHAR(160),"")," ",""),".",""),"-",""),"/",""),"?",""),"_",""),",",""),"[",""),"]",""),"(",""),")",""),"*","")</f>
        <v/>
      </c>
      <c r="AW89" s="61" t="str">
        <f aca="false">SUBSTITUTE(SUBSTITUTE(SUBSTITUTE(SUBSTITUTE(SUBSTITUTE(SUBSTITUTE(SUBSTITUTE(SUBSTITUTE(SUBSTITUTE(SUBSTITUTE(SUBSTITUTE(SUBSTITUTE(SUBSTITUTE(LOWER(Z89&amp;""),CHAR(160),"")," ",""),".",""),"-",""),"/",""),"?",""),"_",""),",",""),"[",""),"]",""),"(",""),")",""),"*","")</f>
        <v/>
      </c>
      <c r="AX89" s="61" t="str">
        <f aca="false">SUBSTITUTE(SUBSTITUTE(SUBSTITUTE(SUBSTITUTE(SUBSTITUTE(SUBSTITUTE(SUBSTITUTE(SUBSTITUTE(SUBSTITUTE(SUBSTITUTE(SUBSTITUTE(SUBSTITUTE(SUBSTITUTE(LOWER(AE89&amp;""),CHAR(160),"")," ",""),".",""),"-",""),"/",""),"?",""),"_",""),",",""),"[",""),"]",""),"(",""),")",""),"*","")</f>
        <v/>
      </c>
      <c r="AY89" s="61" t="str">
        <f aca="false">SUBSTITUTE(SUBSTITUTE(SUBSTITUTE(SUBSTITUTE(SUBSTITUTE(SUBSTITUTE(SUBSTITUTE(SUBSTITUTE(SUBSTITUTE(SUBSTITUTE(SUBSTITUTE(SUBSTITUTE(SUBSTITUTE(LOWER(W89&amp;""),CHAR(160),"")," ",""),".",""),"-",""),"/",""),"?",""),"_",""),",",""),"[",""),"]",""),"(",""),")",""),"*","")</f>
        <v/>
      </c>
      <c r="AZ89" s="61" t="str">
        <f aca="false">SUBSTITUTE(SUBSTITUTE(SUBSTITUTE(SUBSTITUTE(SUBSTITUTE(SUBSTITUTE(SUBSTITUTE(SUBSTITUTE(SUBSTITUTE(SUBSTITUTE(SUBSTITUTE(SUBSTITUTE(SUBSTITUTE(LOWER(AC89&amp;""),CHAR(160),"")," ",""),".",""),"-",""),"/",""),"?",""),"_",""),",",""),"[",""),"]",""),"(",""),")",""),"*","")</f>
        <v/>
      </c>
      <c r="BA89" s="61" t="str">
        <f aca="false">SUBSTITUTE(SUBSTITUTE(SUBSTITUTE(SUBSTITUTE(SUBSTITUTE(SUBSTITUTE(SUBSTITUTE(SUBSTITUTE(SUBSTITUTE(SUBSTITUTE(SUBSTITUTE(SUBSTITUTE(SUBSTITUTE(LOWER(AA89&amp;""),CHAR(160),"")," ",""),".",""),"-",""),"/",""),"?",""),"_",""),",",""),"[",""),"]",""),"(",""),")",""),"*","")</f>
        <v/>
      </c>
      <c r="BB89" s="61" t="str">
        <f aca="false">IF(AND(TRIM(U89)="Pass",ISNUMBER(AF89)),IF(AF89&lt;&gt;0,"INVALID – qty variance: use Fail or Pass after CA",""),"")&amp;IF(AND(TRIM(U89)="Pass after CA",ISNUMBER(AF89)),IF(AF89&lt;&gt;0,"INVALID – after the corrective action the actual qty must equal expected (update Actual)",""),"")&amp;IF(AND(TRIM(U89)="Pass",TRIM(AB89)&lt;&gt;"",TRIM(AB89)&lt;&gt;"Closed"),"INVALID – corrective action not closed: use Fail, then Pass after CA","")&amp;IF(AND(TRIM(AA89)&lt;&gt;"",TRIM(AB89)=""),"INVALID – CA status missing for the recorded corrective action","")&amp;IF(AND(TRIM(U89)="Pass after CA",OR(OR(LEN(BA89)&lt;5,ISNUMBER(MATCH(BA89,L_Placeholder,0))),TRIM(AB89)&lt;&gt;"Closed")),"INVALID – corrective action not recorded/closed","")</f>
        <v/>
      </c>
    </row>
    <row r="90" customFormat="false" ht="39.75" hidden="false" customHeight="true" outlineLevel="0" collapsed="false">
      <c r="A90" s="57" t="s">
        <v>559</v>
      </c>
      <c r="B90" s="57" t="s">
        <v>215</v>
      </c>
      <c r="C90" s="57" t="str">
        <f aca="false">Flights!$F$8</f>
        <v>MH0088</v>
      </c>
      <c r="D90" s="58" t="n">
        <f aca="false">Flights!$D$8</f>
        <v>46305</v>
      </c>
      <c r="E90" s="57" t="str">
        <f aca="false">Flights!$G$8&amp;"-"&amp;Flights!$H$8</f>
        <v>KUL-NRT</v>
      </c>
      <c r="F90" s="57" t="str">
        <f aca="false">Flights!$K$8</f>
        <v>BC</v>
      </c>
      <c r="G90" s="57" t="s">
        <v>79</v>
      </c>
      <c r="H90" s="57" t="s">
        <v>356</v>
      </c>
      <c r="I90" s="57" t="s">
        <v>357</v>
      </c>
      <c r="J90" s="57" t="s">
        <v>358</v>
      </c>
      <c r="K90" s="67" t="s">
        <v>359</v>
      </c>
      <c r="L90" s="67" t="s">
        <v>360</v>
      </c>
      <c r="M90" s="67"/>
      <c r="N90" s="67" t="s">
        <v>361</v>
      </c>
      <c r="O90" s="67"/>
      <c r="P90" s="57" t="s">
        <v>184</v>
      </c>
      <c r="Q90" s="59" t="n">
        <f aca="false">ROUND((Flights!$AC$8)*1440,0)/1440</f>
        <v>46298.6458333333</v>
      </c>
      <c r="R90" s="59" t="n">
        <f aca="false">Q90+(IF(AND(INDEX(TZ_DSTS,MATCH(P90,TZ_STN,0))&lt;&gt;"",Q90&gt;=INDEX(TZ_DSTS,MATCH(P90,TZ_STN,0)),Q90&lt;INDEX(TZ_DSTE,MATCH(P90,TZ_STN,0))),INDEX(TZ_DST,MATCH(P90,TZ_STN,0)),INDEX(TZ_STD,MATCH(P90,TZ_STN,0))))/24</f>
        <v>46298.9791666667</v>
      </c>
      <c r="S90" s="59" t="n">
        <f aca="false">Q90-T7EarlyD*24/24</f>
        <v>46284.6458333333</v>
      </c>
      <c r="T90" s="60"/>
      <c r="U90" s="60"/>
      <c r="V90" s="60"/>
      <c r="W90" s="61"/>
      <c r="X90" s="60"/>
      <c r="Y90" s="60"/>
      <c r="Z90" s="60"/>
      <c r="AA90" s="60"/>
      <c r="AB90" s="60"/>
      <c r="AC90" s="60"/>
      <c r="AD90" s="66"/>
      <c r="AE90" s="60"/>
      <c r="AF90" s="61" t="str">
        <f aca="false">IF(AND(ISNUMBER(X90),ISNUMBER(Y90)),Y90-X90,"")</f>
        <v/>
      </c>
      <c r="AG90" s="62" t="str">
        <f aca="false">IF(ISNUMBER(AD90),AD90-(IF(AND(INDEX(TZ_DSTS,MATCH(P90,TZ_STN,0))&lt;&gt;"",(AD90-INDEX(TZ_STD,MATCH(P90,TZ_STN,0))/24)&gt;=INDEX(TZ_DSTS,MATCH(P90,TZ_STN,0)),(AD90-INDEX(TZ_STD,MATCH(P90,TZ_STN,0))/24)&lt;INDEX(TZ_DSTE,MATCH(P90,TZ_STN,0))),INDEX(TZ_DST,MATCH(P90,TZ_STN,0)),INDEX(TZ_STD,MATCH(P90,TZ_STN,0))))/24,"")</f>
        <v/>
      </c>
      <c r="AH90" s="65" t="str">
        <f aca="false">IFERROR(IF(N90="N/A – rule","N/A – RULE",IF(TRIM(U90)="N/A",IF(AT90=0,"INVALID – N/A not permitted for this check",IF(AND(TRIM(AB90)&lt;&gt;"",TRIM(AB90)&lt;&gt;"Closed"),"INVALID – corrective action still open",IF(AND(NOT(OR(LEN(AZ90)&lt;15,ISNUMBER(MATCH(AZ90,L_Placeholder,0)))),NOT(OR(LEN(AU90)&lt;2,ISNUMBER(MATCH(AU90,L_Placeholder,0)))),NOT(OR(LEN(AX90)&lt;2,ISNUMBER(MATCH(AX90,L_Placeholder,0)))),TRIM(AE90)&lt;&gt;TRIM(T90)),"N/A – JUSTIFIED","INVALID – N/A needs a real justification (15+ chars), PIC and a different verifier"))),IF(OR(TRIM(U90)="Pass",TRIM(U90)="Pass after CA"),IF(NOT(ISNUMBER(AD90)),"INVALID – completion time missing",IF(OR(LEN(AU90)&lt;2,ISNUMBER(MATCH(AU90,L_Placeholder,0))),"INVALID – PIC missing",IF(OR(LEN(AV90)&lt;2,ISNUMBER(MATCH(AV90,L_Placeholder,0))),"INVALID – result / assessment missing",IF(OR(OR(LEN(AW90)&lt;3,ISNUMBER(MATCH(AW90,L_Placeholder,0))),SUMPRODUCT(--ISNUMBER(SEARCH(L_EvidencePhrase,AW90)))&gt;0),"INVALID – evidence missing, placeholder or not yet on file",IF(OR(LEN(AX90)&lt;2,ISNUMBER(MATCH(AX90,L_Placeholder,0))),"INVALID – verifier missing",IF(AX90=AU90,"INVALID – verifier must be someone other than the PIC",IF(AND(TRIM(U90)="Pass",SUMPRODUCT(--ISNUMBER(SEARCH(L_ResultBad,AV90)))&gt;0),"INVALID – result describes a problem: use Fail, then Pass after CA",IF(AND(AQ90=1,OR(LEN(AY90)&lt;3,ISNUMBER(MATCH(AY90,L_Placeholder,0)))),"INVALID – batch ID missing or placeholder",IF(AND(AR90=1,OR(NOT(ISNUMBER(X90)),NOT(ISNUMBER(Y90)))),"INVALID – expected/actual qty missing",IF(AND(AR90=1,OR(X90&lt;=0,Y90&lt;0)),"INVALID – expected qty must be above 0 and actual not negative",IF(BB90&lt;&gt;"",BB90,IF(AND(AS90=1,Documents!$J$8&lt;&gt;"ON FILE"),"INVALID – GLD not on file (Documents sheet)",IF(AND(AS90=2,Documents!$O$8&lt;&gt;"ON FILE"),"INVALID – menu checklist not on file (Documents sheet)",IF(AND(AS90=3,NOT(ISNUMBER(Flights!$AX$8))),"INVALID – enter carrying flight KUL departure (Flights AX)",IF(AND(AS90=3,OR(Flights!$AZ$8&gt;Flights!$AA$8,Flights!$AX$8&lt;Flights!$AA$8-3)),"INVALID – carrying flight (Flights AX) cannot arrive before this leg's STD, or is over 3 days early",IF(AG90&gt;AsOfUTC,"INVALID – completion time is in the future",IF(AND(ISNUMBER(S90),AG90&lt;S90),IF(H90="Physical uplift","INVALID – before uplift window (cannot confirm loading)","INVALID – before valid window"),IF(AG90&gt;Flights!$AA$8,"INVALID – completed after departure (cannot establish readiness)",IF(AND(H90="Preparation",AG90&gt;IF(ISNUMBER(Flights!$BA$8),MIN(Flights!$BA$8,Flights!$AA$8),Flights!$AA$8)),"INVALID – completed after loading / departure (cannot establish readiness)",IF(AND(H90="Physical uplift",AG90&gt;Q90),"INVALID – recorded after the loading flight departed",IF(AG90&gt;Q90,"COMPLETE – LATE","COMPLETE"))))))))))))))))))))),IF(TRIM(U90)="Fail","FAIL – DISCREPANCY",IF(AND(TRIM(U90)&lt;&gt;"",TRIM(U90)&lt;&gt;"Not started",TRIM(U90)&lt;&gt;"In progress"),"INVALID – unrecognised status (use the list)",IF(AsOfUTC&gt;Q90,"OVERDUE",IF(N90="Clarification required","OPEN – CLARIFICATION","OPEN"))))))),"INVALID – error value in an input cell")</f>
        <v>OPEN</v>
      </c>
      <c r="AI90" s="61" t="n">
        <f aca="false">IF(OR(AH90="N/A – RULE",AH90="N/A – JUSTIFIED"),0,1)</f>
        <v>1</v>
      </c>
      <c r="AJ90" s="61" t="n">
        <f aca="false">IF(LEFT(AH90,8)="COMPLETE",1,0)</f>
        <v>0</v>
      </c>
      <c r="AK90" s="61" t="n">
        <f aca="false">IF(AND(AI90=1,AJ90=0,AsOfUTC&gt;Q90),1,0)</f>
        <v>0</v>
      </c>
      <c r="AL90" s="61" t="n">
        <f aca="false">IFERROR(IF(AND(AI90=1,OR(TRIM(U90)="Fail",AND(TRIM(AB90)&lt;&gt;"",TRIM(AB90)&lt;&gt;"Closed"),AND(ISNUMBER(AF90),AF90&lt;&gt;0,TRIM(U90)&lt;&gt;"Pass after CA"))),1,0),1)</f>
        <v>0</v>
      </c>
      <c r="AM90" s="61" t="n">
        <f aca="false">IF(LEFT(AH90,7)="INVALID",1,0)</f>
        <v>0</v>
      </c>
      <c r="AN90" s="61" t="n">
        <f aca="false">IF(AND(N90="Clarification required",AI90=1,AJ90=0),1,0)</f>
        <v>0</v>
      </c>
      <c r="AO90" s="61" t="str">
        <f aca="false">IF(AK90=1,SUM(AK$5:AK90),"")</f>
        <v/>
      </c>
      <c r="AP90" s="61" t="str">
        <f aca="false">IF(AL90=1,SUM(AL$5:AL90),"")</f>
        <v/>
      </c>
      <c r="AQ90" s="61" t="n">
        <v>0</v>
      </c>
      <c r="AR90" s="61" t="n">
        <v>0</v>
      </c>
      <c r="AS90" s="61" t="n">
        <v>0</v>
      </c>
      <c r="AT90" s="61" t="n">
        <v>0</v>
      </c>
      <c r="AU90" s="61" t="str">
        <f aca="false">SUBSTITUTE(SUBSTITUTE(SUBSTITUTE(SUBSTITUTE(SUBSTITUTE(SUBSTITUTE(SUBSTITUTE(SUBSTITUTE(SUBSTITUTE(SUBSTITUTE(SUBSTITUTE(SUBSTITUTE(SUBSTITUTE(LOWER(T90&amp;""),CHAR(160),"")," ",""),".",""),"-",""),"/",""),"?",""),"_",""),",",""),"[",""),"]",""),"(",""),")",""),"*","")</f>
        <v/>
      </c>
      <c r="AV90" s="61" t="str">
        <f aca="false">SUBSTITUTE(SUBSTITUTE(SUBSTITUTE(SUBSTITUTE(SUBSTITUTE(SUBSTITUTE(SUBSTITUTE(SUBSTITUTE(SUBSTITUTE(SUBSTITUTE(SUBSTITUTE(SUBSTITUTE(SUBSTITUTE(LOWER(V90&amp;""),CHAR(160),"")," ",""),".",""),"-",""),"/",""),"?",""),"_",""),",",""),"[",""),"]",""),"(",""),")",""),"*","")</f>
        <v/>
      </c>
      <c r="AW90" s="61" t="str">
        <f aca="false">SUBSTITUTE(SUBSTITUTE(SUBSTITUTE(SUBSTITUTE(SUBSTITUTE(SUBSTITUTE(SUBSTITUTE(SUBSTITUTE(SUBSTITUTE(SUBSTITUTE(SUBSTITUTE(SUBSTITUTE(SUBSTITUTE(LOWER(Z90&amp;""),CHAR(160),"")," ",""),".",""),"-",""),"/",""),"?",""),"_",""),",",""),"[",""),"]",""),"(",""),")",""),"*","")</f>
        <v/>
      </c>
      <c r="AX90" s="61" t="str">
        <f aca="false">SUBSTITUTE(SUBSTITUTE(SUBSTITUTE(SUBSTITUTE(SUBSTITUTE(SUBSTITUTE(SUBSTITUTE(SUBSTITUTE(SUBSTITUTE(SUBSTITUTE(SUBSTITUTE(SUBSTITUTE(SUBSTITUTE(LOWER(AE90&amp;""),CHAR(160),"")," ",""),".",""),"-",""),"/",""),"?",""),"_",""),",",""),"[",""),"]",""),"(",""),")",""),"*","")</f>
        <v/>
      </c>
      <c r="AY90" s="61" t="str">
        <f aca="false">SUBSTITUTE(SUBSTITUTE(SUBSTITUTE(SUBSTITUTE(SUBSTITUTE(SUBSTITUTE(SUBSTITUTE(SUBSTITUTE(SUBSTITUTE(SUBSTITUTE(SUBSTITUTE(SUBSTITUTE(SUBSTITUTE(LOWER(W90&amp;""),CHAR(160),"")," ",""),".",""),"-",""),"/",""),"?",""),"_",""),",",""),"[",""),"]",""),"(",""),")",""),"*","")</f>
        <v/>
      </c>
      <c r="AZ90" s="61" t="str">
        <f aca="false">SUBSTITUTE(SUBSTITUTE(SUBSTITUTE(SUBSTITUTE(SUBSTITUTE(SUBSTITUTE(SUBSTITUTE(SUBSTITUTE(SUBSTITUTE(SUBSTITUTE(SUBSTITUTE(SUBSTITUTE(SUBSTITUTE(LOWER(AC90&amp;""),CHAR(160),"")," ",""),".",""),"-",""),"/",""),"?",""),"_",""),",",""),"[",""),"]",""),"(",""),")",""),"*","")</f>
        <v/>
      </c>
      <c r="BA90" s="61" t="str">
        <f aca="false">SUBSTITUTE(SUBSTITUTE(SUBSTITUTE(SUBSTITUTE(SUBSTITUTE(SUBSTITUTE(SUBSTITUTE(SUBSTITUTE(SUBSTITUTE(SUBSTITUTE(SUBSTITUTE(SUBSTITUTE(SUBSTITUTE(LOWER(AA90&amp;""),CHAR(160),"")," ",""),".",""),"-",""),"/",""),"?",""),"_",""),",",""),"[",""),"]",""),"(",""),")",""),"*","")</f>
        <v/>
      </c>
      <c r="BB90" s="61" t="str">
        <f aca="false">IF(AND(TRIM(U90)="Pass",ISNUMBER(AF90)),IF(AF90&lt;&gt;0,"INVALID – qty variance: use Fail or Pass after CA",""),"")&amp;IF(AND(TRIM(U90)="Pass after CA",ISNUMBER(AF90)),IF(AF90&lt;&gt;0,"INVALID – after the corrective action the actual qty must equal expected (update Actual)",""),"")&amp;IF(AND(TRIM(U90)="Pass",TRIM(AB90)&lt;&gt;"",TRIM(AB90)&lt;&gt;"Closed"),"INVALID – corrective action not closed: use Fail, then Pass after CA","")&amp;IF(AND(TRIM(AA90)&lt;&gt;"",TRIM(AB90)=""),"INVALID – CA status missing for the recorded corrective action","")&amp;IF(AND(TRIM(U90)="Pass after CA",OR(OR(LEN(BA90)&lt;5,ISNUMBER(MATCH(BA90,L_Placeholder,0))),TRIM(AB90)&lt;&gt;"Closed")),"INVALID – corrective action not recorded/closed","")</f>
        <v/>
      </c>
    </row>
    <row r="91" customFormat="false" ht="39.75" hidden="false" customHeight="true" outlineLevel="0" collapsed="false">
      <c r="A91" s="57" t="s">
        <v>560</v>
      </c>
      <c r="B91" s="57" t="s">
        <v>215</v>
      </c>
      <c r="C91" s="57" t="str">
        <f aca="false">Flights!$F$8</f>
        <v>MH0088</v>
      </c>
      <c r="D91" s="58" t="n">
        <f aca="false">Flights!$D$8</f>
        <v>46305</v>
      </c>
      <c r="E91" s="57" t="str">
        <f aca="false">Flights!$G$8&amp;"-"&amp;Flights!$H$8</f>
        <v>KUL-NRT</v>
      </c>
      <c r="F91" s="57" t="str">
        <f aca="false">Flights!$K$8</f>
        <v>BC</v>
      </c>
      <c r="G91" s="57" t="s">
        <v>79</v>
      </c>
      <c r="H91" s="57" t="s">
        <v>356</v>
      </c>
      <c r="I91" s="57" t="s">
        <v>363</v>
      </c>
      <c r="J91" s="57" t="s">
        <v>364</v>
      </c>
      <c r="K91" s="67" t="s">
        <v>365</v>
      </c>
      <c r="L91" s="67" t="s">
        <v>360</v>
      </c>
      <c r="M91" s="67"/>
      <c r="N91" s="67" t="s">
        <v>361</v>
      </c>
      <c r="O91" s="67"/>
      <c r="P91" s="57" t="s">
        <v>184</v>
      </c>
      <c r="Q91" s="59" t="n">
        <f aca="false">ROUND((Flights!$AC$8)*1440,0)/1440</f>
        <v>46298.6458333333</v>
      </c>
      <c r="R91" s="59" t="n">
        <f aca="false">Q91+(IF(AND(INDEX(TZ_DSTS,MATCH(P91,TZ_STN,0))&lt;&gt;"",Q91&gt;=INDEX(TZ_DSTS,MATCH(P91,TZ_STN,0)),Q91&lt;INDEX(TZ_DSTE,MATCH(P91,TZ_STN,0))),INDEX(TZ_DST,MATCH(P91,TZ_STN,0)),INDEX(TZ_STD,MATCH(P91,TZ_STN,0))))/24</f>
        <v>46298.9791666667</v>
      </c>
      <c r="S91" s="59" t="n">
        <f aca="false">Q91-T7EarlyD*24/24</f>
        <v>46284.6458333333</v>
      </c>
      <c r="T91" s="60"/>
      <c r="U91" s="60"/>
      <c r="V91" s="60"/>
      <c r="W91" s="61"/>
      <c r="X91" s="60"/>
      <c r="Y91" s="60"/>
      <c r="Z91" s="60"/>
      <c r="AA91" s="60"/>
      <c r="AB91" s="60"/>
      <c r="AC91" s="60"/>
      <c r="AD91" s="66"/>
      <c r="AE91" s="60"/>
      <c r="AF91" s="61" t="str">
        <f aca="false">IF(AND(ISNUMBER(X91),ISNUMBER(Y91)),Y91-X91,"")</f>
        <v/>
      </c>
      <c r="AG91" s="62" t="str">
        <f aca="false">IF(ISNUMBER(AD91),AD91-(IF(AND(INDEX(TZ_DSTS,MATCH(P91,TZ_STN,0))&lt;&gt;"",(AD91-INDEX(TZ_STD,MATCH(P91,TZ_STN,0))/24)&gt;=INDEX(TZ_DSTS,MATCH(P91,TZ_STN,0)),(AD91-INDEX(TZ_STD,MATCH(P91,TZ_STN,0))/24)&lt;INDEX(TZ_DSTE,MATCH(P91,TZ_STN,0))),INDEX(TZ_DST,MATCH(P91,TZ_STN,0)),INDEX(TZ_STD,MATCH(P91,TZ_STN,0))))/24,"")</f>
        <v/>
      </c>
      <c r="AH91" s="65" t="str">
        <f aca="false">IFERROR(IF(N91="N/A – rule","N/A – RULE",IF(TRIM(U91)="N/A",IF(AT91=0,"INVALID – N/A not permitted for this check",IF(AND(TRIM(AB91)&lt;&gt;"",TRIM(AB91)&lt;&gt;"Closed"),"INVALID – corrective action still open",IF(AND(NOT(OR(LEN(AZ91)&lt;15,ISNUMBER(MATCH(AZ91,L_Placeholder,0)))),NOT(OR(LEN(AU91)&lt;2,ISNUMBER(MATCH(AU91,L_Placeholder,0)))),NOT(OR(LEN(AX91)&lt;2,ISNUMBER(MATCH(AX91,L_Placeholder,0)))),TRIM(AE91)&lt;&gt;TRIM(T91)),"N/A – JUSTIFIED","INVALID – N/A needs a real justification (15+ chars), PIC and a different verifier"))),IF(OR(TRIM(U91)="Pass",TRIM(U91)="Pass after CA"),IF(NOT(ISNUMBER(AD91)),"INVALID – completion time missing",IF(OR(LEN(AU91)&lt;2,ISNUMBER(MATCH(AU91,L_Placeholder,0))),"INVALID – PIC missing",IF(OR(LEN(AV91)&lt;2,ISNUMBER(MATCH(AV91,L_Placeholder,0))),"INVALID – result / assessment missing",IF(OR(OR(LEN(AW91)&lt;3,ISNUMBER(MATCH(AW91,L_Placeholder,0))),SUMPRODUCT(--ISNUMBER(SEARCH(L_EvidencePhrase,AW91)))&gt;0),"INVALID – evidence missing, placeholder or not yet on file",IF(OR(LEN(AX91)&lt;2,ISNUMBER(MATCH(AX91,L_Placeholder,0))),"INVALID – verifier missing",IF(AX91=AU91,"INVALID – verifier must be someone other than the PIC",IF(AND(TRIM(U91)="Pass",SUMPRODUCT(--ISNUMBER(SEARCH(L_ResultBad,AV91)))&gt;0),"INVALID – result describes a problem: use Fail, then Pass after CA",IF(AND(AQ91=1,OR(LEN(AY91)&lt;3,ISNUMBER(MATCH(AY91,L_Placeholder,0)))),"INVALID – batch ID missing or placeholder",IF(AND(AR91=1,OR(NOT(ISNUMBER(X91)),NOT(ISNUMBER(Y91)))),"INVALID – expected/actual qty missing",IF(AND(AR91=1,OR(X91&lt;=0,Y91&lt;0)),"INVALID – expected qty must be above 0 and actual not negative",IF(BB91&lt;&gt;"",BB91,IF(AND(AS91=1,Documents!$J$8&lt;&gt;"ON FILE"),"INVALID – GLD not on file (Documents sheet)",IF(AND(AS91=2,Documents!$O$8&lt;&gt;"ON FILE"),"INVALID – menu checklist not on file (Documents sheet)",IF(AND(AS91=3,NOT(ISNUMBER(Flights!$AX$8))),"INVALID – enter carrying flight KUL departure (Flights AX)",IF(AND(AS91=3,OR(Flights!$AZ$8&gt;Flights!$AA$8,Flights!$AX$8&lt;Flights!$AA$8-3)),"INVALID – carrying flight (Flights AX) cannot arrive before this leg's STD, or is over 3 days early",IF(AG91&gt;AsOfUTC,"INVALID – completion time is in the future",IF(AND(ISNUMBER(S91),AG91&lt;S91),IF(H91="Physical uplift","INVALID – before uplift window (cannot confirm loading)","INVALID – before valid window"),IF(AG91&gt;Flights!$AA$8,"INVALID – completed after departure (cannot establish readiness)",IF(AND(H91="Preparation",AG91&gt;IF(ISNUMBER(Flights!$BA$8),MIN(Flights!$BA$8,Flights!$AA$8),Flights!$AA$8)),"INVALID – completed after loading / departure (cannot establish readiness)",IF(AND(H91="Physical uplift",AG91&gt;Q91),"INVALID – recorded after the loading flight departed",IF(AG91&gt;Q91,"COMPLETE – LATE","COMPLETE"))))))))))))))))))))),IF(TRIM(U91)="Fail","FAIL – DISCREPANCY",IF(AND(TRIM(U91)&lt;&gt;"",TRIM(U91)&lt;&gt;"Not started",TRIM(U91)&lt;&gt;"In progress"),"INVALID – unrecognised status (use the list)",IF(AsOfUTC&gt;Q91,"OVERDUE",IF(N91="Clarification required","OPEN – CLARIFICATION","OPEN"))))))),"INVALID – error value in an input cell")</f>
        <v>OPEN</v>
      </c>
      <c r="AI91" s="61" t="n">
        <f aca="false">IF(OR(AH91="N/A – RULE",AH91="N/A – JUSTIFIED"),0,1)</f>
        <v>1</v>
      </c>
      <c r="AJ91" s="61" t="n">
        <f aca="false">IF(LEFT(AH91,8)="COMPLETE",1,0)</f>
        <v>0</v>
      </c>
      <c r="AK91" s="61" t="n">
        <f aca="false">IF(AND(AI91=1,AJ91=0,AsOfUTC&gt;Q91),1,0)</f>
        <v>0</v>
      </c>
      <c r="AL91" s="61" t="n">
        <f aca="false">IFERROR(IF(AND(AI91=1,OR(TRIM(U91)="Fail",AND(TRIM(AB91)&lt;&gt;"",TRIM(AB91)&lt;&gt;"Closed"),AND(ISNUMBER(AF91),AF91&lt;&gt;0,TRIM(U91)&lt;&gt;"Pass after CA"))),1,0),1)</f>
        <v>0</v>
      </c>
      <c r="AM91" s="61" t="n">
        <f aca="false">IF(LEFT(AH91,7)="INVALID",1,0)</f>
        <v>0</v>
      </c>
      <c r="AN91" s="61" t="n">
        <f aca="false">IF(AND(N91="Clarification required",AI91=1,AJ91=0),1,0)</f>
        <v>0</v>
      </c>
      <c r="AO91" s="61" t="str">
        <f aca="false">IF(AK91=1,SUM(AK$5:AK91),"")</f>
        <v/>
      </c>
      <c r="AP91" s="61" t="str">
        <f aca="false">IF(AL91=1,SUM(AL$5:AL91),"")</f>
        <v/>
      </c>
      <c r="AQ91" s="61" t="n">
        <v>0</v>
      </c>
      <c r="AR91" s="61" t="n">
        <v>0</v>
      </c>
      <c r="AS91" s="61" t="n">
        <v>0</v>
      </c>
      <c r="AT91" s="61" t="n">
        <v>0</v>
      </c>
      <c r="AU91" s="61" t="str">
        <f aca="false">SUBSTITUTE(SUBSTITUTE(SUBSTITUTE(SUBSTITUTE(SUBSTITUTE(SUBSTITUTE(SUBSTITUTE(SUBSTITUTE(SUBSTITUTE(SUBSTITUTE(SUBSTITUTE(SUBSTITUTE(SUBSTITUTE(LOWER(T91&amp;""),CHAR(160),"")," ",""),".",""),"-",""),"/",""),"?",""),"_",""),",",""),"[",""),"]",""),"(",""),")",""),"*","")</f>
        <v/>
      </c>
      <c r="AV91" s="61" t="str">
        <f aca="false">SUBSTITUTE(SUBSTITUTE(SUBSTITUTE(SUBSTITUTE(SUBSTITUTE(SUBSTITUTE(SUBSTITUTE(SUBSTITUTE(SUBSTITUTE(SUBSTITUTE(SUBSTITUTE(SUBSTITUTE(SUBSTITUTE(LOWER(V91&amp;""),CHAR(160),"")," ",""),".",""),"-",""),"/",""),"?",""),"_",""),",",""),"[",""),"]",""),"(",""),")",""),"*","")</f>
        <v/>
      </c>
      <c r="AW91" s="61" t="str">
        <f aca="false">SUBSTITUTE(SUBSTITUTE(SUBSTITUTE(SUBSTITUTE(SUBSTITUTE(SUBSTITUTE(SUBSTITUTE(SUBSTITUTE(SUBSTITUTE(SUBSTITUTE(SUBSTITUTE(SUBSTITUTE(SUBSTITUTE(LOWER(Z91&amp;""),CHAR(160),"")," ",""),".",""),"-",""),"/",""),"?",""),"_",""),",",""),"[",""),"]",""),"(",""),")",""),"*","")</f>
        <v/>
      </c>
      <c r="AX91" s="61" t="str">
        <f aca="false">SUBSTITUTE(SUBSTITUTE(SUBSTITUTE(SUBSTITUTE(SUBSTITUTE(SUBSTITUTE(SUBSTITUTE(SUBSTITUTE(SUBSTITUTE(SUBSTITUTE(SUBSTITUTE(SUBSTITUTE(SUBSTITUTE(LOWER(AE91&amp;""),CHAR(160),"")," ",""),".",""),"-",""),"/",""),"?",""),"_",""),",",""),"[",""),"]",""),"(",""),")",""),"*","")</f>
        <v/>
      </c>
      <c r="AY91" s="61" t="str">
        <f aca="false">SUBSTITUTE(SUBSTITUTE(SUBSTITUTE(SUBSTITUTE(SUBSTITUTE(SUBSTITUTE(SUBSTITUTE(SUBSTITUTE(SUBSTITUTE(SUBSTITUTE(SUBSTITUTE(SUBSTITUTE(SUBSTITUTE(LOWER(W91&amp;""),CHAR(160),"")," ",""),".",""),"-",""),"/",""),"?",""),"_",""),",",""),"[",""),"]",""),"(",""),")",""),"*","")</f>
        <v/>
      </c>
      <c r="AZ91" s="61" t="str">
        <f aca="false">SUBSTITUTE(SUBSTITUTE(SUBSTITUTE(SUBSTITUTE(SUBSTITUTE(SUBSTITUTE(SUBSTITUTE(SUBSTITUTE(SUBSTITUTE(SUBSTITUTE(SUBSTITUTE(SUBSTITUTE(SUBSTITUTE(LOWER(AC91&amp;""),CHAR(160),"")," ",""),".",""),"-",""),"/",""),"?",""),"_",""),",",""),"[",""),"]",""),"(",""),")",""),"*","")</f>
        <v/>
      </c>
      <c r="BA91" s="61" t="str">
        <f aca="false">SUBSTITUTE(SUBSTITUTE(SUBSTITUTE(SUBSTITUTE(SUBSTITUTE(SUBSTITUTE(SUBSTITUTE(SUBSTITUTE(SUBSTITUTE(SUBSTITUTE(SUBSTITUTE(SUBSTITUTE(SUBSTITUTE(LOWER(AA91&amp;""),CHAR(160),"")," ",""),".",""),"-",""),"/",""),"?",""),"_",""),",",""),"[",""),"]",""),"(",""),")",""),"*","")</f>
        <v/>
      </c>
      <c r="BB91" s="61" t="str">
        <f aca="false">IF(AND(TRIM(U91)="Pass",ISNUMBER(AF91)),IF(AF91&lt;&gt;0,"INVALID – qty variance: use Fail or Pass after CA",""),"")&amp;IF(AND(TRIM(U91)="Pass after CA",ISNUMBER(AF91)),IF(AF91&lt;&gt;0,"INVALID – after the corrective action the actual qty must equal expected (update Actual)",""),"")&amp;IF(AND(TRIM(U91)="Pass",TRIM(AB91)&lt;&gt;"",TRIM(AB91)&lt;&gt;"Closed"),"INVALID – corrective action not closed: use Fail, then Pass after CA","")&amp;IF(AND(TRIM(AA91)&lt;&gt;"",TRIM(AB91)=""),"INVALID – CA status missing for the recorded corrective action","")&amp;IF(AND(TRIM(U91)="Pass after CA",OR(OR(LEN(BA91)&lt;5,ISNUMBER(MATCH(BA91,L_Placeholder,0))),TRIM(AB91)&lt;&gt;"Closed")),"INVALID – corrective action not recorded/closed","")</f>
        <v/>
      </c>
    </row>
    <row r="92" customFormat="false" ht="41.25" hidden="false" customHeight="true" outlineLevel="0" collapsed="false">
      <c r="A92" s="57" t="s">
        <v>561</v>
      </c>
      <c r="B92" s="57" t="s">
        <v>215</v>
      </c>
      <c r="C92" s="57" t="str">
        <f aca="false">Flights!$F$8</f>
        <v>MH0088</v>
      </c>
      <c r="D92" s="58" t="n">
        <f aca="false">Flights!$D$8</f>
        <v>46305</v>
      </c>
      <c r="E92" s="57" t="str">
        <f aca="false">Flights!$G$8&amp;"-"&amp;Flights!$H$8</f>
        <v>KUL-NRT</v>
      </c>
      <c r="F92" s="57" t="str">
        <f aca="false">Flights!$K$8</f>
        <v>BC</v>
      </c>
      <c r="G92" s="57" t="s">
        <v>79</v>
      </c>
      <c r="H92" s="57" t="s">
        <v>356</v>
      </c>
      <c r="I92" s="57" t="s">
        <v>367</v>
      </c>
      <c r="J92" s="57" t="s">
        <v>368</v>
      </c>
      <c r="K92" s="67" t="s">
        <v>369</v>
      </c>
      <c r="L92" s="67" t="s">
        <v>360</v>
      </c>
      <c r="M92" s="67"/>
      <c r="N92" s="67" t="str">
        <f aca="false">IF(TRIM(Flights!$L$8)="A339","Required","N/A – rule")</f>
        <v>N/A – rule</v>
      </c>
      <c r="O92" s="67" t="s">
        <v>370</v>
      </c>
      <c r="P92" s="57" t="s">
        <v>184</v>
      </c>
      <c r="Q92" s="59" t="n">
        <f aca="false">ROUND((Flights!$AC$8)*1440,0)/1440</f>
        <v>46298.6458333333</v>
      </c>
      <c r="R92" s="59" t="n">
        <f aca="false">Q92+(IF(AND(INDEX(TZ_DSTS,MATCH(P92,TZ_STN,0))&lt;&gt;"",Q92&gt;=INDEX(TZ_DSTS,MATCH(P92,TZ_STN,0)),Q92&lt;INDEX(TZ_DSTE,MATCH(P92,TZ_STN,0))),INDEX(TZ_DST,MATCH(P92,TZ_STN,0)),INDEX(TZ_STD,MATCH(P92,TZ_STN,0))))/24</f>
        <v>46298.9791666667</v>
      </c>
      <c r="S92" s="59" t="n">
        <f aca="false">Q92-T7EarlyD*24/24</f>
        <v>46284.6458333333</v>
      </c>
      <c r="T92" s="60"/>
      <c r="U92" s="60"/>
      <c r="V92" s="60"/>
      <c r="W92" s="61"/>
      <c r="X92" s="60"/>
      <c r="Y92" s="60"/>
      <c r="Z92" s="60"/>
      <c r="AA92" s="60"/>
      <c r="AB92" s="60"/>
      <c r="AC92" s="60"/>
      <c r="AD92" s="66"/>
      <c r="AE92" s="60"/>
      <c r="AF92" s="61" t="str">
        <f aca="false">IF(AND(ISNUMBER(X92),ISNUMBER(Y92)),Y92-X92,"")</f>
        <v/>
      </c>
      <c r="AG92" s="62" t="str">
        <f aca="false">IF(ISNUMBER(AD92),AD92-(IF(AND(INDEX(TZ_DSTS,MATCH(P92,TZ_STN,0))&lt;&gt;"",(AD92-INDEX(TZ_STD,MATCH(P92,TZ_STN,0))/24)&gt;=INDEX(TZ_DSTS,MATCH(P92,TZ_STN,0)),(AD92-INDEX(TZ_STD,MATCH(P92,TZ_STN,0))/24)&lt;INDEX(TZ_DSTE,MATCH(P92,TZ_STN,0))),INDEX(TZ_DST,MATCH(P92,TZ_STN,0)),INDEX(TZ_STD,MATCH(P92,TZ_STN,0))))/24,"")</f>
        <v/>
      </c>
      <c r="AH92" s="65" t="str">
        <f aca="false">IFERROR(IF(N92="N/A – rule","N/A – RULE",IF(TRIM(U92)="N/A",IF(AT92=0,"INVALID – N/A not permitted for this check",IF(AND(TRIM(AB92)&lt;&gt;"",TRIM(AB92)&lt;&gt;"Closed"),"INVALID – corrective action still open",IF(AND(NOT(OR(LEN(AZ92)&lt;15,ISNUMBER(MATCH(AZ92,L_Placeholder,0)))),NOT(OR(LEN(AU92)&lt;2,ISNUMBER(MATCH(AU92,L_Placeholder,0)))),NOT(OR(LEN(AX92)&lt;2,ISNUMBER(MATCH(AX92,L_Placeholder,0)))),TRIM(AE92)&lt;&gt;TRIM(T92)),"N/A – JUSTIFIED","INVALID – N/A needs a real justification (15+ chars), PIC and a different verifier"))),IF(OR(TRIM(U92)="Pass",TRIM(U92)="Pass after CA"),IF(NOT(ISNUMBER(AD92)),"INVALID – completion time missing",IF(OR(LEN(AU92)&lt;2,ISNUMBER(MATCH(AU92,L_Placeholder,0))),"INVALID – PIC missing",IF(OR(LEN(AV92)&lt;2,ISNUMBER(MATCH(AV92,L_Placeholder,0))),"INVALID – result / assessment missing",IF(OR(OR(LEN(AW92)&lt;3,ISNUMBER(MATCH(AW92,L_Placeholder,0))),SUMPRODUCT(--ISNUMBER(SEARCH(L_EvidencePhrase,AW92)))&gt;0),"INVALID – evidence missing, placeholder or not yet on file",IF(OR(LEN(AX92)&lt;2,ISNUMBER(MATCH(AX92,L_Placeholder,0))),"INVALID – verifier missing",IF(AX92=AU92,"INVALID – verifier must be someone other than the PIC",IF(AND(TRIM(U92)="Pass",SUMPRODUCT(--ISNUMBER(SEARCH(L_ResultBad,AV92)))&gt;0),"INVALID – result describes a problem: use Fail, then Pass after CA",IF(AND(AQ92=1,OR(LEN(AY92)&lt;3,ISNUMBER(MATCH(AY92,L_Placeholder,0)))),"INVALID – batch ID missing or placeholder",IF(AND(AR92=1,OR(NOT(ISNUMBER(X92)),NOT(ISNUMBER(Y92)))),"INVALID – expected/actual qty missing",IF(AND(AR92=1,OR(X92&lt;=0,Y92&lt;0)),"INVALID – expected qty must be above 0 and actual not negative",IF(BB92&lt;&gt;"",BB92,IF(AND(AS92=1,Documents!$J$8&lt;&gt;"ON FILE"),"INVALID – GLD not on file (Documents sheet)",IF(AND(AS92=2,Documents!$O$8&lt;&gt;"ON FILE"),"INVALID – menu checklist not on file (Documents sheet)",IF(AND(AS92=3,NOT(ISNUMBER(Flights!$AX$8))),"INVALID – enter carrying flight KUL departure (Flights AX)",IF(AND(AS92=3,OR(Flights!$AZ$8&gt;Flights!$AA$8,Flights!$AX$8&lt;Flights!$AA$8-3)),"INVALID – carrying flight (Flights AX) cannot arrive before this leg's STD, or is over 3 days early",IF(AG92&gt;AsOfUTC,"INVALID – completion time is in the future",IF(AND(ISNUMBER(S92),AG92&lt;S92),IF(H92="Physical uplift","INVALID – before uplift window (cannot confirm loading)","INVALID – before valid window"),IF(AG92&gt;Flights!$AA$8,"INVALID – completed after departure (cannot establish readiness)",IF(AND(H92="Preparation",AG92&gt;IF(ISNUMBER(Flights!$BA$8),MIN(Flights!$BA$8,Flights!$AA$8),Flights!$AA$8)),"INVALID – completed after loading / departure (cannot establish readiness)",IF(AND(H92="Physical uplift",AG92&gt;Q92),"INVALID – recorded after the loading flight departed",IF(AG92&gt;Q92,"COMPLETE – LATE","COMPLETE"))))))))))))))))))))),IF(TRIM(U92)="Fail","FAIL – DISCREPANCY",IF(AND(TRIM(U92)&lt;&gt;"",TRIM(U92)&lt;&gt;"Not started",TRIM(U92)&lt;&gt;"In progress"),"INVALID – unrecognised status (use the list)",IF(AsOfUTC&gt;Q92,"OVERDUE",IF(N92="Clarification required","OPEN – CLARIFICATION","OPEN"))))))),"INVALID – error value in an input cell")</f>
        <v>N/A – RULE</v>
      </c>
      <c r="AI92" s="61" t="n">
        <f aca="false">IF(OR(AH92="N/A – RULE",AH92="N/A – JUSTIFIED"),0,1)</f>
        <v>0</v>
      </c>
      <c r="AJ92" s="61" t="n">
        <f aca="false">IF(LEFT(AH92,8)="COMPLETE",1,0)</f>
        <v>0</v>
      </c>
      <c r="AK92" s="61" t="n">
        <f aca="false">IF(AND(AI92=1,AJ92=0,AsOfUTC&gt;Q92),1,0)</f>
        <v>0</v>
      </c>
      <c r="AL92" s="61" t="n">
        <f aca="false">IFERROR(IF(AND(AI92=1,OR(TRIM(U92)="Fail",AND(TRIM(AB92)&lt;&gt;"",TRIM(AB92)&lt;&gt;"Closed"),AND(ISNUMBER(AF92),AF92&lt;&gt;0,TRIM(U92)&lt;&gt;"Pass after CA"))),1,0),1)</f>
        <v>0</v>
      </c>
      <c r="AM92" s="61" t="n">
        <f aca="false">IF(LEFT(AH92,7)="INVALID",1,0)</f>
        <v>0</v>
      </c>
      <c r="AN92" s="61" t="n">
        <f aca="false">IF(AND(N92="Clarification required",AI92=1,AJ92=0),1,0)</f>
        <v>0</v>
      </c>
      <c r="AO92" s="61" t="str">
        <f aca="false">IF(AK92=1,SUM(AK$5:AK92),"")</f>
        <v/>
      </c>
      <c r="AP92" s="61" t="str">
        <f aca="false">IF(AL92=1,SUM(AL$5:AL92),"")</f>
        <v/>
      </c>
      <c r="AQ92" s="61" t="n">
        <v>0</v>
      </c>
      <c r="AR92" s="61" t="n">
        <v>0</v>
      </c>
      <c r="AS92" s="61" t="n">
        <v>0</v>
      </c>
      <c r="AT92" s="61" t="n">
        <v>0</v>
      </c>
      <c r="AU92" s="61" t="str">
        <f aca="false">SUBSTITUTE(SUBSTITUTE(SUBSTITUTE(SUBSTITUTE(SUBSTITUTE(SUBSTITUTE(SUBSTITUTE(SUBSTITUTE(SUBSTITUTE(SUBSTITUTE(SUBSTITUTE(SUBSTITUTE(SUBSTITUTE(LOWER(T92&amp;""),CHAR(160),"")," ",""),".",""),"-",""),"/",""),"?",""),"_",""),",",""),"[",""),"]",""),"(",""),")",""),"*","")</f>
        <v/>
      </c>
      <c r="AV92" s="61" t="str">
        <f aca="false">SUBSTITUTE(SUBSTITUTE(SUBSTITUTE(SUBSTITUTE(SUBSTITUTE(SUBSTITUTE(SUBSTITUTE(SUBSTITUTE(SUBSTITUTE(SUBSTITUTE(SUBSTITUTE(SUBSTITUTE(SUBSTITUTE(LOWER(V92&amp;""),CHAR(160),"")," ",""),".",""),"-",""),"/",""),"?",""),"_",""),",",""),"[",""),"]",""),"(",""),")",""),"*","")</f>
        <v/>
      </c>
      <c r="AW92" s="61" t="str">
        <f aca="false">SUBSTITUTE(SUBSTITUTE(SUBSTITUTE(SUBSTITUTE(SUBSTITUTE(SUBSTITUTE(SUBSTITUTE(SUBSTITUTE(SUBSTITUTE(SUBSTITUTE(SUBSTITUTE(SUBSTITUTE(SUBSTITUTE(LOWER(Z92&amp;""),CHAR(160),"")," ",""),".",""),"-",""),"/",""),"?",""),"_",""),",",""),"[",""),"]",""),"(",""),")",""),"*","")</f>
        <v/>
      </c>
      <c r="AX92" s="61" t="str">
        <f aca="false">SUBSTITUTE(SUBSTITUTE(SUBSTITUTE(SUBSTITUTE(SUBSTITUTE(SUBSTITUTE(SUBSTITUTE(SUBSTITUTE(SUBSTITUTE(SUBSTITUTE(SUBSTITUTE(SUBSTITUTE(SUBSTITUTE(LOWER(AE92&amp;""),CHAR(160),"")," ",""),".",""),"-",""),"/",""),"?",""),"_",""),",",""),"[",""),"]",""),"(",""),")",""),"*","")</f>
        <v/>
      </c>
      <c r="AY92" s="61" t="str">
        <f aca="false">SUBSTITUTE(SUBSTITUTE(SUBSTITUTE(SUBSTITUTE(SUBSTITUTE(SUBSTITUTE(SUBSTITUTE(SUBSTITUTE(SUBSTITUTE(SUBSTITUTE(SUBSTITUTE(SUBSTITUTE(SUBSTITUTE(LOWER(W92&amp;""),CHAR(160),"")," ",""),".",""),"-",""),"/",""),"?",""),"_",""),",",""),"[",""),"]",""),"(",""),")",""),"*","")</f>
        <v/>
      </c>
      <c r="AZ92" s="61" t="str">
        <f aca="false">SUBSTITUTE(SUBSTITUTE(SUBSTITUTE(SUBSTITUTE(SUBSTITUTE(SUBSTITUTE(SUBSTITUTE(SUBSTITUTE(SUBSTITUTE(SUBSTITUTE(SUBSTITUTE(SUBSTITUTE(SUBSTITUTE(LOWER(AC92&amp;""),CHAR(160),"")," ",""),".",""),"-",""),"/",""),"?",""),"_",""),",",""),"[",""),"]",""),"(",""),")",""),"*","")</f>
        <v/>
      </c>
      <c r="BA92" s="61" t="str">
        <f aca="false">SUBSTITUTE(SUBSTITUTE(SUBSTITUTE(SUBSTITUTE(SUBSTITUTE(SUBSTITUTE(SUBSTITUTE(SUBSTITUTE(SUBSTITUTE(SUBSTITUTE(SUBSTITUTE(SUBSTITUTE(SUBSTITUTE(LOWER(AA92&amp;""),CHAR(160),"")," ",""),".",""),"-",""),"/",""),"?",""),"_",""),",",""),"[",""),"]",""),"(",""),")",""),"*","")</f>
        <v/>
      </c>
      <c r="BB92" s="61" t="str">
        <f aca="false">IF(AND(TRIM(U92)="Pass",ISNUMBER(AF92)),IF(AF92&lt;&gt;0,"INVALID – qty variance: use Fail or Pass after CA",""),"")&amp;IF(AND(TRIM(U92)="Pass after CA",ISNUMBER(AF92)),IF(AF92&lt;&gt;0,"INVALID – after the corrective action the actual qty must equal expected (update Actual)",""),"")&amp;IF(AND(TRIM(U92)="Pass",TRIM(AB92)&lt;&gt;"",TRIM(AB92)&lt;&gt;"Closed"),"INVALID – corrective action not closed: use Fail, then Pass after CA","")&amp;IF(AND(TRIM(AA92)&lt;&gt;"",TRIM(AB92)=""),"INVALID – CA status missing for the recorded corrective action","")&amp;IF(AND(TRIM(U92)="Pass after CA",OR(OR(LEN(BA92)&lt;5,ISNUMBER(MATCH(BA92,L_Placeholder,0))),TRIM(AB92)&lt;&gt;"Closed")),"INVALID – corrective action not recorded/closed","")</f>
        <v/>
      </c>
    </row>
    <row r="93" customFormat="false" ht="39.75" hidden="false" customHeight="true" outlineLevel="0" collapsed="false">
      <c r="A93" s="57" t="s">
        <v>562</v>
      </c>
      <c r="B93" s="57" t="s">
        <v>215</v>
      </c>
      <c r="C93" s="57" t="str">
        <f aca="false">Flights!$F$8</f>
        <v>MH0088</v>
      </c>
      <c r="D93" s="58" t="n">
        <f aca="false">Flights!$D$8</f>
        <v>46305</v>
      </c>
      <c r="E93" s="57" t="str">
        <f aca="false">Flights!$G$8&amp;"-"&amp;Flights!$H$8</f>
        <v>KUL-NRT</v>
      </c>
      <c r="F93" s="57" t="str">
        <f aca="false">Flights!$K$8</f>
        <v>BC</v>
      </c>
      <c r="G93" s="57" t="s">
        <v>79</v>
      </c>
      <c r="H93" s="57" t="s">
        <v>356</v>
      </c>
      <c r="I93" s="57" t="s">
        <v>372</v>
      </c>
      <c r="J93" s="57" t="s">
        <v>373</v>
      </c>
      <c r="K93" s="67" t="s">
        <v>374</v>
      </c>
      <c r="L93" s="67" t="s">
        <v>360</v>
      </c>
      <c r="M93" s="67"/>
      <c r="N93" s="67" t="s">
        <v>361</v>
      </c>
      <c r="O93" s="67"/>
      <c r="P93" s="57" t="s">
        <v>184</v>
      </c>
      <c r="Q93" s="59" t="n">
        <f aca="false">ROUND((Flights!$AC$8)*1440,0)/1440</f>
        <v>46298.6458333333</v>
      </c>
      <c r="R93" s="59" t="n">
        <f aca="false">Q93+(IF(AND(INDEX(TZ_DSTS,MATCH(P93,TZ_STN,0))&lt;&gt;"",Q93&gt;=INDEX(TZ_DSTS,MATCH(P93,TZ_STN,0)),Q93&lt;INDEX(TZ_DSTE,MATCH(P93,TZ_STN,0))),INDEX(TZ_DST,MATCH(P93,TZ_STN,0)),INDEX(TZ_STD,MATCH(P93,TZ_STN,0))))/24</f>
        <v>46298.9791666667</v>
      </c>
      <c r="S93" s="59" t="n">
        <f aca="false">Q93-T7EarlyD*24/24</f>
        <v>46284.6458333333</v>
      </c>
      <c r="T93" s="60"/>
      <c r="U93" s="60"/>
      <c r="V93" s="60"/>
      <c r="W93" s="61"/>
      <c r="X93" s="60"/>
      <c r="Y93" s="60"/>
      <c r="Z93" s="60"/>
      <c r="AA93" s="60"/>
      <c r="AB93" s="60"/>
      <c r="AC93" s="60"/>
      <c r="AD93" s="66"/>
      <c r="AE93" s="60"/>
      <c r="AF93" s="61" t="str">
        <f aca="false">IF(AND(ISNUMBER(X93),ISNUMBER(Y93)),Y93-X93,"")</f>
        <v/>
      </c>
      <c r="AG93" s="62" t="str">
        <f aca="false">IF(ISNUMBER(AD93),AD93-(IF(AND(INDEX(TZ_DSTS,MATCH(P93,TZ_STN,0))&lt;&gt;"",(AD93-INDEX(TZ_STD,MATCH(P93,TZ_STN,0))/24)&gt;=INDEX(TZ_DSTS,MATCH(P93,TZ_STN,0)),(AD93-INDEX(TZ_STD,MATCH(P93,TZ_STN,0))/24)&lt;INDEX(TZ_DSTE,MATCH(P93,TZ_STN,0))),INDEX(TZ_DST,MATCH(P93,TZ_STN,0)),INDEX(TZ_STD,MATCH(P93,TZ_STN,0))))/24,"")</f>
        <v/>
      </c>
      <c r="AH93" s="65" t="str">
        <f aca="false">IFERROR(IF(N93="N/A – rule","N/A – RULE",IF(TRIM(U93)="N/A",IF(AT93=0,"INVALID – N/A not permitted for this check",IF(AND(TRIM(AB93)&lt;&gt;"",TRIM(AB93)&lt;&gt;"Closed"),"INVALID – corrective action still open",IF(AND(NOT(OR(LEN(AZ93)&lt;15,ISNUMBER(MATCH(AZ93,L_Placeholder,0)))),NOT(OR(LEN(AU93)&lt;2,ISNUMBER(MATCH(AU93,L_Placeholder,0)))),NOT(OR(LEN(AX93)&lt;2,ISNUMBER(MATCH(AX93,L_Placeholder,0)))),TRIM(AE93)&lt;&gt;TRIM(T93)),"N/A – JUSTIFIED","INVALID – N/A needs a real justification (15+ chars), PIC and a different verifier"))),IF(OR(TRIM(U93)="Pass",TRIM(U93)="Pass after CA"),IF(NOT(ISNUMBER(AD93)),"INVALID – completion time missing",IF(OR(LEN(AU93)&lt;2,ISNUMBER(MATCH(AU93,L_Placeholder,0))),"INVALID – PIC missing",IF(OR(LEN(AV93)&lt;2,ISNUMBER(MATCH(AV93,L_Placeholder,0))),"INVALID – result / assessment missing",IF(OR(OR(LEN(AW93)&lt;3,ISNUMBER(MATCH(AW93,L_Placeholder,0))),SUMPRODUCT(--ISNUMBER(SEARCH(L_EvidencePhrase,AW93)))&gt;0),"INVALID – evidence missing, placeholder or not yet on file",IF(OR(LEN(AX93)&lt;2,ISNUMBER(MATCH(AX93,L_Placeholder,0))),"INVALID – verifier missing",IF(AX93=AU93,"INVALID – verifier must be someone other than the PIC",IF(AND(TRIM(U93)="Pass",SUMPRODUCT(--ISNUMBER(SEARCH(L_ResultBad,AV93)))&gt;0),"INVALID – result describes a problem: use Fail, then Pass after CA",IF(AND(AQ93=1,OR(LEN(AY93)&lt;3,ISNUMBER(MATCH(AY93,L_Placeholder,0)))),"INVALID – batch ID missing or placeholder",IF(AND(AR93=1,OR(NOT(ISNUMBER(X93)),NOT(ISNUMBER(Y93)))),"INVALID – expected/actual qty missing",IF(AND(AR93=1,OR(X93&lt;=0,Y93&lt;0)),"INVALID – expected qty must be above 0 and actual not negative",IF(BB93&lt;&gt;"",BB93,IF(AND(AS93=1,Documents!$J$8&lt;&gt;"ON FILE"),"INVALID – GLD not on file (Documents sheet)",IF(AND(AS93=2,Documents!$O$8&lt;&gt;"ON FILE"),"INVALID – menu checklist not on file (Documents sheet)",IF(AND(AS93=3,NOT(ISNUMBER(Flights!$AX$8))),"INVALID – enter carrying flight KUL departure (Flights AX)",IF(AND(AS93=3,OR(Flights!$AZ$8&gt;Flights!$AA$8,Flights!$AX$8&lt;Flights!$AA$8-3)),"INVALID – carrying flight (Flights AX) cannot arrive before this leg's STD, or is over 3 days early",IF(AG93&gt;AsOfUTC,"INVALID – completion time is in the future",IF(AND(ISNUMBER(S93),AG93&lt;S93),IF(H93="Physical uplift","INVALID – before uplift window (cannot confirm loading)","INVALID – before valid window"),IF(AG93&gt;Flights!$AA$8,"INVALID – completed after departure (cannot establish readiness)",IF(AND(H93="Preparation",AG93&gt;IF(ISNUMBER(Flights!$BA$8),MIN(Flights!$BA$8,Flights!$AA$8),Flights!$AA$8)),"INVALID – completed after loading / departure (cannot establish readiness)",IF(AND(H93="Physical uplift",AG93&gt;Q93),"INVALID – recorded after the loading flight departed",IF(AG93&gt;Q93,"COMPLETE – LATE","COMPLETE"))))))))))))))))))))),IF(TRIM(U93)="Fail","FAIL – DISCREPANCY",IF(AND(TRIM(U93)&lt;&gt;"",TRIM(U93)&lt;&gt;"Not started",TRIM(U93)&lt;&gt;"In progress"),"INVALID – unrecognised status (use the list)",IF(AsOfUTC&gt;Q93,"OVERDUE",IF(N93="Clarification required","OPEN – CLARIFICATION","OPEN"))))))),"INVALID – error value in an input cell")</f>
        <v>OPEN</v>
      </c>
      <c r="AI93" s="61" t="n">
        <f aca="false">IF(OR(AH93="N/A – RULE",AH93="N/A – JUSTIFIED"),0,1)</f>
        <v>1</v>
      </c>
      <c r="AJ93" s="61" t="n">
        <f aca="false">IF(LEFT(AH93,8)="COMPLETE",1,0)</f>
        <v>0</v>
      </c>
      <c r="AK93" s="61" t="n">
        <f aca="false">IF(AND(AI93=1,AJ93=0,AsOfUTC&gt;Q93),1,0)</f>
        <v>0</v>
      </c>
      <c r="AL93" s="61" t="n">
        <f aca="false">IFERROR(IF(AND(AI93=1,OR(TRIM(U93)="Fail",AND(TRIM(AB93)&lt;&gt;"",TRIM(AB93)&lt;&gt;"Closed"),AND(ISNUMBER(AF93),AF93&lt;&gt;0,TRIM(U93)&lt;&gt;"Pass after CA"))),1,0),1)</f>
        <v>0</v>
      </c>
      <c r="AM93" s="61" t="n">
        <f aca="false">IF(LEFT(AH93,7)="INVALID",1,0)</f>
        <v>0</v>
      </c>
      <c r="AN93" s="61" t="n">
        <f aca="false">IF(AND(N93="Clarification required",AI93=1,AJ93=0),1,0)</f>
        <v>0</v>
      </c>
      <c r="AO93" s="61" t="str">
        <f aca="false">IF(AK93=1,SUM(AK$5:AK93),"")</f>
        <v/>
      </c>
      <c r="AP93" s="61" t="str">
        <f aca="false">IF(AL93=1,SUM(AL$5:AL93),"")</f>
        <v/>
      </c>
      <c r="AQ93" s="61" t="n">
        <v>0</v>
      </c>
      <c r="AR93" s="61" t="n">
        <v>0</v>
      </c>
      <c r="AS93" s="61" t="n">
        <v>0</v>
      </c>
      <c r="AT93" s="61" t="n">
        <v>0</v>
      </c>
      <c r="AU93" s="61" t="str">
        <f aca="false">SUBSTITUTE(SUBSTITUTE(SUBSTITUTE(SUBSTITUTE(SUBSTITUTE(SUBSTITUTE(SUBSTITUTE(SUBSTITUTE(SUBSTITUTE(SUBSTITUTE(SUBSTITUTE(SUBSTITUTE(SUBSTITUTE(LOWER(T93&amp;""),CHAR(160),"")," ",""),".",""),"-",""),"/",""),"?",""),"_",""),",",""),"[",""),"]",""),"(",""),")",""),"*","")</f>
        <v/>
      </c>
      <c r="AV93" s="61" t="str">
        <f aca="false">SUBSTITUTE(SUBSTITUTE(SUBSTITUTE(SUBSTITUTE(SUBSTITUTE(SUBSTITUTE(SUBSTITUTE(SUBSTITUTE(SUBSTITUTE(SUBSTITUTE(SUBSTITUTE(SUBSTITUTE(SUBSTITUTE(LOWER(V93&amp;""),CHAR(160),"")," ",""),".",""),"-",""),"/",""),"?",""),"_",""),",",""),"[",""),"]",""),"(",""),")",""),"*","")</f>
        <v/>
      </c>
      <c r="AW93" s="61" t="str">
        <f aca="false">SUBSTITUTE(SUBSTITUTE(SUBSTITUTE(SUBSTITUTE(SUBSTITUTE(SUBSTITUTE(SUBSTITUTE(SUBSTITUTE(SUBSTITUTE(SUBSTITUTE(SUBSTITUTE(SUBSTITUTE(SUBSTITUTE(LOWER(Z93&amp;""),CHAR(160),"")," ",""),".",""),"-",""),"/",""),"?",""),"_",""),",",""),"[",""),"]",""),"(",""),")",""),"*","")</f>
        <v/>
      </c>
      <c r="AX93" s="61" t="str">
        <f aca="false">SUBSTITUTE(SUBSTITUTE(SUBSTITUTE(SUBSTITUTE(SUBSTITUTE(SUBSTITUTE(SUBSTITUTE(SUBSTITUTE(SUBSTITUTE(SUBSTITUTE(SUBSTITUTE(SUBSTITUTE(SUBSTITUTE(LOWER(AE93&amp;""),CHAR(160),"")," ",""),".",""),"-",""),"/",""),"?",""),"_",""),",",""),"[",""),"]",""),"(",""),")",""),"*","")</f>
        <v/>
      </c>
      <c r="AY93" s="61" t="str">
        <f aca="false">SUBSTITUTE(SUBSTITUTE(SUBSTITUTE(SUBSTITUTE(SUBSTITUTE(SUBSTITUTE(SUBSTITUTE(SUBSTITUTE(SUBSTITUTE(SUBSTITUTE(SUBSTITUTE(SUBSTITUTE(SUBSTITUTE(LOWER(W93&amp;""),CHAR(160),"")," ",""),".",""),"-",""),"/",""),"?",""),"_",""),",",""),"[",""),"]",""),"(",""),")",""),"*","")</f>
        <v/>
      </c>
      <c r="AZ93" s="61" t="str">
        <f aca="false">SUBSTITUTE(SUBSTITUTE(SUBSTITUTE(SUBSTITUTE(SUBSTITUTE(SUBSTITUTE(SUBSTITUTE(SUBSTITUTE(SUBSTITUTE(SUBSTITUTE(SUBSTITUTE(SUBSTITUTE(SUBSTITUTE(LOWER(AC93&amp;""),CHAR(160),"")," ",""),".",""),"-",""),"/",""),"?",""),"_",""),",",""),"[",""),"]",""),"(",""),")",""),"*","")</f>
        <v/>
      </c>
      <c r="BA93" s="61" t="str">
        <f aca="false">SUBSTITUTE(SUBSTITUTE(SUBSTITUTE(SUBSTITUTE(SUBSTITUTE(SUBSTITUTE(SUBSTITUTE(SUBSTITUTE(SUBSTITUTE(SUBSTITUTE(SUBSTITUTE(SUBSTITUTE(SUBSTITUTE(LOWER(AA93&amp;""),CHAR(160),"")," ",""),".",""),"-",""),"/",""),"?",""),"_",""),",",""),"[",""),"]",""),"(",""),")",""),"*","")</f>
        <v/>
      </c>
      <c r="BB93" s="61" t="str">
        <f aca="false">IF(AND(TRIM(U93)="Pass",ISNUMBER(AF93)),IF(AF93&lt;&gt;0,"INVALID – qty variance: use Fail or Pass after CA",""),"")&amp;IF(AND(TRIM(U93)="Pass after CA",ISNUMBER(AF93)),IF(AF93&lt;&gt;0,"INVALID – after the corrective action the actual qty must equal expected (update Actual)",""),"")&amp;IF(AND(TRIM(U93)="Pass",TRIM(AB93)&lt;&gt;"",TRIM(AB93)&lt;&gt;"Closed"),"INVALID – corrective action not closed: use Fail, then Pass after CA","")&amp;IF(AND(TRIM(AA93)&lt;&gt;"",TRIM(AB93)=""),"INVALID – CA status missing for the recorded corrective action","")&amp;IF(AND(TRIM(U93)="Pass after CA",OR(OR(LEN(BA93)&lt;5,ISNUMBER(MATCH(BA93,L_Placeholder,0))),TRIM(AB93)&lt;&gt;"Closed")),"INVALID – corrective action not recorded/closed","")</f>
        <v/>
      </c>
    </row>
    <row r="94" customFormat="false" ht="39.75" hidden="false" customHeight="true" outlineLevel="0" collapsed="false">
      <c r="A94" s="57" t="s">
        <v>563</v>
      </c>
      <c r="B94" s="57" t="s">
        <v>215</v>
      </c>
      <c r="C94" s="57" t="str">
        <f aca="false">Flights!$F$8</f>
        <v>MH0088</v>
      </c>
      <c r="D94" s="58" t="n">
        <f aca="false">Flights!$D$8</f>
        <v>46305</v>
      </c>
      <c r="E94" s="57" t="str">
        <f aca="false">Flights!$G$8&amp;"-"&amp;Flights!$H$8</f>
        <v>KUL-NRT</v>
      </c>
      <c r="F94" s="57" t="str">
        <f aca="false">Flights!$K$8</f>
        <v>BC</v>
      </c>
      <c r="G94" s="57" t="s">
        <v>79</v>
      </c>
      <c r="H94" s="57" t="s">
        <v>356</v>
      </c>
      <c r="I94" s="57" t="s">
        <v>376</v>
      </c>
      <c r="J94" s="57" t="s">
        <v>377</v>
      </c>
      <c r="K94" s="67" t="s">
        <v>378</v>
      </c>
      <c r="L94" s="67" t="s">
        <v>360</v>
      </c>
      <c r="M94" s="67"/>
      <c r="N94" s="67" t="s">
        <v>361</v>
      </c>
      <c r="O94" s="67"/>
      <c r="P94" s="57" t="s">
        <v>184</v>
      </c>
      <c r="Q94" s="59" t="n">
        <f aca="false">ROUND((Flights!$AC$8)*1440,0)/1440</f>
        <v>46298.6458333333</v>
      </c>
      <c r="R94" s="59" t="n">
        <f aca="false">Q94+(IF(AND(INDEX(TZ_DSTS,MATCH(P94,TZ_STN,0))&lt;&gt;"",Q94&gt;=INDEX(TZ_DSTS,MATCH(P94,TZ_STN,0)),Q94&lt;INDEX(TZ_DSTE,MATCH(P94,TZ_STN,0))),INDEX(TZ_DST,MATCH(P94,TZ_STN,0)),INDEX(TZ_STD,MATCH(P94,TZ_STN,0))))/24</f>
        <v>46298.9791666667</v>
      </c>
      <c r="S94" s="59" t="n">
        <f aca="false">Q94-T7EarlyD*24/24</f>
        <v>46284.6458333333</v>
      </c>
      <c r="T94" s="60"/>
      <c r="U94" s="60"/>
      <c r="V94" s="60"/>
      <c r="W94" s="61"/>
      <c r="X94" s="60"/>
      <c r="Y94" s="60"/>
      <c r="Z94" s="60"/>
      <c r="AA94" s="60"/>
      <c r="AB94" s="60"/>
      <c r="AC94" s="60"/>
      <c r="AD94" s="66"/>
      <c r="AE94" s="60"/>
      <c r="AF94" s="61" t="str">
        <f aca="false">IF(AND(ISNUMBER(X94),ISNUMBER(Y94)),Y94-X94,"")</f>
        <v/>
      </c>
      <c r="AG94" s="62" t="str">
        <f aca="false">IF(ISNUMBER(AD94),AD94-(IF(AND(INDEX(TZ_DSTS,MATCH(P94,TZ_STN,0))&lt;&gt;"",(AD94-INDEX(TZ_STD,MATCH(P94,TZ_STN,0))/24)&gt;=INDEX(TZ_DSTS,MATCH(P94,TZ_STN,0)),(AD94-INDEX(TZ_STD,MATCH(P94,TZ_STN,0))/24)&lt;INDEX(TZ_DSTE,MATCH(P94,TZ_STN,0))),INDEX(TZ_DST,MATCH(P94,TZ_STN,0)),INDEX(TZ_STD,MATCH(P94,TZ_STN,0))))/24,"")</f>
        <v/>
      </c>
      <c r="AH94" s="65" t="str">
        <f aca="false">IFERROR(IF(N94="N/A – rule","N/A – RULE",IF(TRIM(U94)="N/A",IF(AT94=0,"INVALID – N/A not permitted for this check",IF(AND(TRIM(AB94)&lt;&gt;"",TRIM(AB94)&lt;&gt;"Closed"),"INVALID – corrective action still open",IF(AND(NOT(OR(LEN(AZ94)&lt;15,ISNUMBER(MATCH(AZ94,L_Placeholder,0)))),NOT(OR(LEN(AU94)&lt;2,ISNUMBER(MATCH(AU94,L_Placeholder,0)))),NOT(OR(LEN(AX94)&lt;2,ISNUMBER(MATCH(AX94,L_Placeholder,0)))),TRIM(AE94)&lt;&gt;TRIM(T94)),"N/A – JUSTIFIED","INVALID – N/A needs a real justification (15+ chars), PIC and a different verifier"))),IF(OR(TRIM(U94)="Pass",TRIM(U94)="Pass after CA"),IF(NOT(ISNUMBER(AD94)),"INVALID – completion time missing",IF(OR(LEN(AU94)&lt;2,ISNUMBER(MATCH(AU94,L_Placeholder,0))),"INVALID – PIC missing",IF(OR(LEN(AV94)&lt;2,ISNUMBER(MATCH(AV94,L_Placeholder,0))),"INVALID – result / assessment missing",IF(OR(OR(LEN(AW94)&lt;3,ISNUMBER(MATCH(AW94,L_Placeholder,0))),SUMPRODUCT(--ISNUMBER(SEARCH(L_EvidencePhrase,AW94)))&gt;0),"INVALID – evidence missing, placeholder or not yet on file",IF(OR(LEN(AX94)&lt;2,ISNUMBER(MATCH(AX94,L_Placeholder,0))),"INVALID – verifier missing",IF(AX94=AU94,"INVALID – verifier must be someone other than the PIC",IF(AND(TRIM(U94)="Pass",SUMPRODUCT(--ISNUMBER(SEARCH(L_ResultBad,AV94)))&gt;0),"INVALID – result describes a problem: use Fail, then Pass after CA",IF(AND(AQ94=1,OR(LEN(AY94)&lt;3,ISNUMBER(MATCH(AY94,L_Placeholder,0)))),"INVALID – batch ID missing or placeholder",IF(AND(AR94=1,OR(NOT(ISNUMBER(X94)),NOT(ISNUMBER(Y94)))),"INVALID – expected/actual qty missing",IF(AND(AR94=1,OR(X94&lt;=0,Y94&lt;0)),"INVALID – expected qty must be above 0 and actual not negative",IF(BB94&lt;&gt;"",BB94,IF(AND(AS94=1,Documents!$J$8&lt;&gt;"ON FILE"),"INVALID – GLD not on file (Documents sheet)",IF(AND(AS94=2,Documents!$O$8&lt;&gt;"ON FILE"),"INVALID – menu checklist not on file (Documents sheet)",IF(AND(AS94=3,NOT(ISNUMBER(Flights!$AX$8))),"INVALID – enter carrying flight KUL departure (Flights AX)",IF(AND(AS94=3,OR(Flights!$AZ$8&gt;Flights!$AA$8,Flights!$AX$8&lt;Flights!$AA$8-3)),"INVALID – carrying flight (Flights AX) cannot arrive before this leg's STD, or is over 3 days early",IF(AG94&gt;AsOfUTC,"INVALID – completion time is in the future",IF(AND(ISNUMBER(S94),AG94&lt;S94),IF(H94="Physical uplift","INVALID – before uplift window (cannot confirm loading)","INVALID – before valid window"),IF(AG94&gt;Flights!$AA$8,"INVALID – completed after departure (cannot establish readiness)",IF(AND(H94="Preparation",AG94&gt;IF(ISNUMBER(Flights!$BA$8),MIN(Flights!$BA$8,Flights!$AA$8),Flights!$AA$8)),"INVALID – completed after loading / departure (cannot establish readiness)",IF(AND(H94="Physical uplift",AG94&gt;Q94),"INVALID – recorded after the loading flight departed",IF(AG94&gt;Q94,"COMPLETE – LATE","COMPLETE"))))))))))))))))))))),IF(TRIM(U94)="Fail","FAIL – DISCREPANCY",IF(AND(TRIM(U94)&lt;&gt;"",TRIM(U94)&lt;&gt;"Not started",TRIM(U94)&lt;&gt;"In progress"),"INVALID – unrecognised status (use the list)",IF(AsOfUTC&gt;Q94,"OVERDUE",IF(N94="Clarification required","OPEN – CLARIFICATION","OPEN"))))))),"INVALID – error value in an input cell")</f>
        <v>OPEN</v>
      </c>
      <c r="AI94" s="61" t="n">
        <f aca="false">IF(OR(AH94="N/A – RULE",AH94="N/A – JUSTIFIED"),0,1)</f>
        <v>1</v>
      </c>
      <c r="AJ94" s="61" t="n">
        <f aca="false">IF(LEFT(AH94,8)="COMPLETE",1,0)</f>
        <v>0</v>
      </c>
      <c r="AK94" s="61" t="n">
        <f aca="false">IF(AND(AI94=1,AJ94=0,AsOfUTC&gt;Q94),1,0)</f>
        <v>0</v>
      </c>
      <c r="AL94" s="61" t="n">
        <f aca="false">IFERROR(IF(AND(AI94=1,OR(TRIM(U94)="Fail",AND(TRIM(AB94)&lt;&gt;"",TRIM(AB94)&lt;&gt;"Closed"),AND(ISNUMBER(AF94),AF94&lt;&gt;0,TRIM(U94)&lt;&gt;"Pass after CA"))),1,0),1)</f>
        <v>0</v>
      </c>
      <c r="AM94" s="61" t="n">
        <f aca="false">IF(LEFT(AH94,7)="INVALID",1,0)</f>
        <v>0</v>
      </c>
      <c r="AN94" s="61" t="n">
        <f aca="false">IF(AND(N94="Clarification required",AI94=1,AJ94=0),1,0)</f>
        <v>0</v>
      </c>
      <c r="AO94" s="61" t="str">
        <f aca="false">IF(AK94=1,SUM(AK$5:AK94),"")</f>
        <v/>
      </c>
      <c r="AP94" s="61" t="str">
        <f aca="false">IF(AL94=1,SUM(AL$5:AL94),"")</f>
        <v/>
      </c>
      <c r="AQ94" s="61" t="n">
        <v>0</v>
      </c>
      <c r="AR94" s="61" t="n">
        <v>0</v>
      </c>
      <c r="AS94" s="61" t="n">
        <v>0</v>
      </c>
      <c r="AT94" s="61" t="n">
        <v>0</v>
      </c>
      <c r="AU94" s="61" t="str">
        <f aca="false">SUBSTITUTE(SUBSTITUTE(SUBSTITUTE(SUBSTITUTE(SUBSTITUTE(SUBSTITUTE(SUBSTITUTE(SUBSTITUTE(SUBSTITUTE(SUBSTITUTE(SUBSTITUTE(SUBSTITUTE(SUBSTITUTE(LOWER(T94&amp;""),CHAR(160),"")," ",""),".",""),"-",""),"/",""),"?",""),"_",""),",",""),"[",""),"]",""),"(",""),")",""),"*","")</f>
        <v/>
      </c>
      <c r="AV94" s="61" t="str">
        <f aca="false">SUBSTITUTE(SUBSTITUTE(SUBSTITUTE(SUBSTITUTE(SUBSTITUTE(SUBSTITUTE(SUBSTITUTE(SUBSTITUTE(SUBSTITUTE(SUBSTITUTE(SUBSTITUTE(SUBSTITUTE(SUBSTITUTE(LOWER(V94&amp;""),CHAR(160),"")," ",""),".",""),"-",""),"/",""),"?",""),"_",""),",",""),"[",""),"]",""),"(",""),")",""),"*","")</f>
        <v/>
      </c>
      <c r="AW94" s="61" t="str">
        <f aca="false">SUBSTITUTE(SUBSTITUTE(SUBSTITUTE(SUBSTITUTE(SUBSTITUTE(SUBSTITUTE(SUBSTITUTE(SUBSTITUTE(SUBSTITUTE(SUBSTITUTE(SUBSTITUTE(SUBSTITUTE(SUBSTITUTE(LOWER(Z94&amp;""),CHAR(160),"")," ",""),".",""),"-",""),"/",""),"?",""),"_",""),",",""),"[",""),"]",""),"(",""),")",""),"*","")</f>
        <v/>
      </c>
      <c r="AX94" s="61" t="str">
        <f aca="false">SUBSTITUTE(SUBSTITUTE(SUBSTITUTE(SUBSTITUTE(SUBSTITUTE(SUBSTITUTE(SUBSTITUTE(SUBSTITUTE(SUBSTITUTE(SUBSTITUTE(SUBSTITUTE(SUBSTITUTE(SUBSTITUTE(LOWER(AE94&amp;""),CHAR(160),"")," ",""),".",""),"-",""),"/",""),"?",""),"_",""),",",""),"[",""),"]",""),"(",""),")",""),"*","")</f>
        <v/>
      </c>
      <c r="AY94" s="61" t="str">
        <f aca="false">SUBSTITUTE(SUBSTITUTE(SUBSTITUTE(SUBSTITUTE(SUBSTITUTE(SUBSTITUTE(SUBSTITUTE(SUBSTITUTE(SUBSTITUTE(SUBSTITUTE(SUBSTITUTE(SUBSTITUTE(SUBSTITUTE(LOWER(W94&amp;""),CHAR(160),"")," ",""),".",""),"-",""),"/",""),"?",""),"_",""),",",""),"[",""),"]",""),"(",""),")",""),"*","")</f>
        <v/>
      </c>
      <c r="AZ94" s="61" t="str">
        <f aca="false">SUBSTITUTE(SUBSTITUTE(SUBSTITUTE(SUBSTITUTE(SUBSTITUTE(SUBSTITUTE(SUBSTITUTE(SUBSTITUTE(SUBSTITUTE(SUBSTITUTE(SUBSTITUTE(SUBSTITUTE(SUBSTITUTE(LOWER(AC94&amp;""),CHAR(160),"")," ",""),".",""),"-",""),"/",""),"?",""),"_",""),",",""),"[",""),"]",""),"(",""),")",""),"*","")</f>
        <v/>
      </c>
      <c r="BA94" s="61" t="str">
        <f aca="false">SUBSTITUTE(SUBSTITUTE(SUBSTITUTE(SUBSTITUTE(SUBSTITUTE(SUBSTITUTE(SUBSTITUTE(SUBSTITUTE(SUBSTITUTE(SUBSTITUTE(SUBSTITUTE(SUBSTITUTE(SUBSTITUTE(LOWER(AA94&amp;""),CHAR(160),"")," ",""),".",""),"-",""),"/",""),"?",""),"_",""),",",""),"[",""),"]",""),"(",""),")",""),"*","")</f>
        <v/>
      </c>
      <c r="BB94" s="61" t="str">
        <f aca="false">IF(AND(TRIM(U94)="Pass",ISNUMBER(AF94)),IF(AF94&lt;&gt;0,"INVALID – qty variance: use Fail or Pass after CA",""),"")&amp;IF(AND(TRIM(U94)="Pass after CA",ISNUMBER(AF94)),IF(AF94&lt;&gt;0,"INVALID – after the corrective action the actual qty must equal expected (update Actual)",""),"")&amp;IF(AND(TRIM(U94)="Pass",TRIM(AB94)&lt;&gt;"",TRIM(AB94)&lt;&gt;"Closed"),"INVALID – corrective action not closed: use Fail, then Pass after CA","")&amp;IF(AND(TRIM(AA94)&lt;&gt;"",TRIM(AB94)=""),"INVALID – CA status missing for the recorded corrective action","")&amp;IF(AND(TRIM(U94)="Pass after CA",OR(OR(LEN(BA94)&lt;5,ISNUMBER(MATCH(BA94,L_Placeholder,0))),TRIM(AB94)&lt;&gt;"Closed")),"INVALID – corrective action not recorded/closed","")</f>
        <v/>
      </c>
    </row>
    <row r="95" customFormat="false" ht="39.75" hidden="false" customHeight="true" outlineLevel="0" collapsed="false">
      <c r="A95" s="57" t="s">
        <v>564</v>
      </c>
      <c r="B95" s="57" t="s">
        <v>215</v>
      </c>
      <c r="C95" s="57" t="str">
        <f aca="false">Flights!$F$8</f>
        <v>MH0088</v>
      </c>
      <c r="D95" s="58" t="n">
        <f aca="false">Flights!$D$8</f>
        <v>46305</v>
      </c>
      <c r="E95" s="57" t="str">
        <f aca="false">Flights!$G$8&amp;"-"&amp;Flights!$H$8</f>
        <v>KUL-NRT</v>
      </c>
      <c r="F95" s="57" t="str">
        <f aca="false">Flights!$K$8</f>
        <v>BC</v>
      </c>
      <c r="G95" s="57" t="s">
        <v>79</v>
      </c>
      <c r="H95" s="57" t="s">
        <v>356</v>
      </c>
      <c r="I95" s="57" t="s">
        <v>376</v>
      </c>
      <c r="J95" s="57" t="s">
        <v>380</v>
      </c>
      <c r="K95" s="67" t="s">
        <v>381</v>
      </c>
      <c r="L95" s="67" t="s">
        <v>360</v>
      </c>
      <c r="M95" s="67"/>
      <c r="N95" s="67" t="s">
        <v>361</v>
      </c>
      <c r="O95" s="67"/>
      <c r="P95" s="57" t="s">
        <v>184</v>
      </c>
      <c r="Q95" s="59" t="n">
        <f aca="false">ROUND((Flights!$AC$8)*1440,0)/1440</f>
        <v>46298.6458333333</v>
      </c>
      <c r="R95" s="59" t="n">
        <f aca="false">Q95+(IF(AND(INDEX(TZ_DSTS,MATCH(P95,TZ_STN,0))&lt;&gt;"",Q95&gt;=INDEX(TZ_DSTS,MATCH(P95,TZ_STN,0)),Q95&lt;INDEX(TZ_DSTE,MATCH(P95,TZ_STN,0))),INDEX(TZ_DST,MATCH(P95,TZ_STN,0)),INDEX(TZ_STD,MATCH(P95,TZ_STN,0))))/24</f>
        <v>46298.9791666667</v>
      </c>
      <c r="S95" s="59" t="n">
        <f aca="false">Q95-T7EarlyD*24/24</f>
        <v>46284.6458333333</v>
      </c>
      <c r="T95" s="60"/>
      <c r="U95" s="60"/>
      <c r="V95" s="60"/>
      <c r="W95" s="61"/>
      <c r="X95" s="60"/>
      <c r="Y95" s="60"/>
      <c r="Z95" s="60"/>
      <c r="AA95" s="60"/>
      <c r="AB95" s="60"/>
      <c r="AC95" s="60"/>
      <c r="AD95" s="66"/>
      <c r="AE95" s="60"/>
      <c r="AF95" s="61" t="str">
        <f aca="false">IF(AND(ISNUMBER(X95),ISNUMBER(Y95)),Y95-X95,"")</f>
        <v/>
      </c>
      <c r="AG95" s="62" t="str">
        <f aca="false">IF(ISNUMBER(AD95),AD95-(IF(AND(INDEX(TZ_DSTS,MATCH(P95,TZ_STN,0))&lt;&gt;"",(AD95-INDEX(TZ_STD,MATCH(P95,TZ_STN,0))/24)&gt;=INDEX(TZ_DSTS,MATCH(P95,TZ_STN,0)),(AD95-INDEX(TZ_STD,MATCH(P95,TZ_STN,0))/24)&lt;INDEX(TZ_DSTE,MATCH(P95,TZ_STN,0))),INDEX(TZ_DST,MATCH(P95,TZ_STN,0)),INDEX(TZ_STD,MATCH(P95,TZ_STN,0))))/24,"")</f>
        <v/>
      </c>
      <c r="AH95" s="65" t="str">
        <f aca="false">IFERROR(IF(N95="N/A – rule","N/A – RULE",IF(TRIM(U95)="N/A",IF(AT95=0,"INVALID – N/A not permitted for this check",IF(AND(TRIM(AB95)&lt;&gt;"",TRIM(AB95)&lt;&gt;"Closed"),"INVALID – corrective action still open",IF(AND(NOT(OR(LEN(AZ95)&lt;15,ISNUMBER(MATCH(AZ95,L_Placeholder,0)))),NOT(OR(LEN(AU95)&lt;2,ISNUMBER(MATCH(AU95,L_Placeholder,0)))),NOT(OR(LEN(AX95)&lt;2,ISNUMBER(MATCH(AX95,L_Placeholder,0)))),TRIM(AE95)&lt;&gt;TRIM(T95)),"N/A – JUSTIFIED","INVALID – N/A needs a real justification (15+ chars), PIC and a different verifier"))),IF(OR(TRIM(U95)="Pass",TRIM(U95)="Pass after CA"),IF(NOT(ISNUMBER(AD95)),"INVALID – completion time missing",IF(OR(LEN(AU95)&lt;2,ISNUMBER(MATCH(AU95,L_Placeholder,0))),"INVALID – PIC missing",IF(OR(LEN(AV95)&lt;2,ISNUMBER(MATCH(AV95,L_Placeholder,0))),"INVALID – result / assessment missing",IF(OR(OR(LEN(AW95)&lt;3,ISNUMBER(MATCH(AW95,L_Placeholder,0))),SUMPRODUCT(--ISNUMBER(SEARCH(L_EvidencePhrase,AW95)))&gt;0),"INVALID – evidence missing, placeholder or not yet on file",IF(OR(LEN(AX95)&lt;2,ISNUMBER(MATCH(AX95,L_Placeholder,0))),"INVALID – verifier missing",IF(AX95=AU95,"INVALID – verifier must be someone other than the PIC",IF(AND(TRIM(U95)="Pass",SUMPRODUCT(--ISNUMBER(SEARCH(L_ResultBad,AV95)))&gt;0),"INVALID – result describes a problem: use Fail, then Pass after CA",IF(AND(AQ95=1,OR(LEN(AY95)&lt;3,ISNUMBER(MATCH(AY95,L_Placeholder,0)))),"INVALID – batch ID missing or placeholder",IF(AND(AR95=1,OR(NOT(ISNUMBER(X95)),NOT(ISNUMBER(Y95)))),"INVALID – expected/actual qty missing",IF(AND(AR95=1,OR(X95&lt;=0,Y95&lt;0)),"INVALID – expected qty must be above 0 and actual not negative",IF(BB95&lt;&gt;"",BB95,IF(AND(AS95=1,Documents!$J$8&lt;&gt;"ON FILE"),"INVALID – GLD not on file (Documents sheet)",IF(AND(AS95=2,Documents!$O$8&lt;&gt;"ON FILE"),"INVALID – menu checklist not on file (Documents sheet)",IF(AND(AS95=3,NOT(ISNUMBER(Flights!$AX$8))),"INVALID – enter carrying flight KUL departure (Flights AX)",IF(AND(AS95=3,OR(Flights!$AZ$8&gt;Flights!$AA$8,Flights!$AX$8&lt;Flights!$AA$8-3)),"INVALID – carrying flight (Flights AX) cannot arrive before this leg's STD, or is over 3 days early",IF(AG95&gt;AsOfUTC,"INVALID – completion time is in the future",IF(AND(ISNUMBER(S95),AG95&lt;S95),IF(H95="Physical uplift","INVALID – before uplift window (cannot confirm loading)","INVALID – before valid window"),IF(AG95&gt;Flights!$AA$8,"INVALID – completed after departure (cannot establish readiness)",IF(AND(H95="Preparation",AG95&gt;IF(ISNUMBER(Flights!$BA$8),MIN(Flights!$BA$8,Flights!$AA$8),Flights!$AA$8)),"INVALID – completed after loading / departure (cannot establish readiness)",IF(AND(H95="Physical uplift",AG95&gt;Q95),"INVALID – recorded after the loading flight departed",IF(AG95&gt;Q95,"COMPLETE – LATE","COMPLETE"))))))))))))))))))))),IF(TRIM(U95)="Fail","FAIL – DISCREPANCY",IF(AND(TRIM(U95)&lt;&gt;"",TRIM(U95)&lt;&gt;"Not started",TRIM(U95)&lt;&gt;"In progress"),"INVALID – unrecognised status (use the list)",IF(AsOfUTC&gt;Q95,"OVERDUE",IF(N95="Clarification required","OPEN – CLARIFICATION","OPEN"))))))),"INVALID – error value in an input cell")</f>
        <v>OPEN</v>
      </c>
      <c r="AI95" s="61" t="n">
        <f aca="false">IF(OR(AH95="N/A – RULE",AH95="N/A – JUSTIFIED"),0,1)</f>
        <v>1</v>
      </c>
      <c r="AJ95" s="61" t="n">
        <f aca="false">IF(LEFT(AH95,8)="COMPLETE",1,0)</f>
        <v>0</v>
      </c>
      <c r="AK95" s="61" t="n">
        <f aca="false">IF(AND(AI95=1,AJ95=0,AsOfUTC&gt;Q95),1,0)</f>
        <v>0</v>
      </c>
      <c r="AL95" s="61" t="n">
        <f aca="false">IFERROR(IF(AND(AI95=1,OR(TRIM(U95)="Fail",AND(TRIM(AB95)&lt;&gt;"",TRIM(AB95)&lt;&gt;"Closed"),AND(ISNUMBER(AF95),AF95&lt;&gt;0,TRIM(U95)&lt;&gt;"Pass after CA"))),1,0),1)</f>
        <v>0</v>
      </c>
      <c r="AM95" s="61" t="n">
        <f aca="false">IF(LEFT(AH95,7)="INVALID",1,0)</f>
        <v>0</v>
      </c>
      <c r="AN95" s="61" t="n">
        <f aca="false">IF(AND(N95="Clarification required",AI95=1,AJ95=0),1,0)</f>
        <v>0</v>
      </c>
      <c r="AO95" s="61" t="str">
        <f aca="false">IF(AK95=1,SUM(AK$5:AK95),"")</f>
        <v/>
      </c>
      <c r="AP95" s="61" t="str">
        <f aca="false">IF(AL95=1,SUM(AL$5:AL95),"")</f>
        <v/>
      </c>
      <c r="AQ95" s="61" t="n">
        <v>0</v>
      </c>
      <c r="AR95" s="61" t="n">
        <v>0</v>
      </c>
      <c r="AS95" s="61" t="n">
        <v>0</v>
      </c>
      <c r="AT95" s="61" t="n">
        <v>0</v>
      </c>
      <c r="AU95" s="61" t="str">
        <f aca="false">SUBSTITUTE(SUBSTITUTE(SUBSTITUTE(SUBSTITUTE(SUBSTITUTE(SUBSTITUTE(SUBSTITUTE(SUBSTITUTE(SUBSTITUTE(SUBSTITUTE(SUBSTITUTE(SUBSTITUTE(SUBSTITUTE(LOWER(T95&amp;""),CHAR(160),"")," ",""),".",""),"-",""),"/",""),"?",""),"_",""),",",""),"[",""),"]",""),"(",""),")",""),"*","")</f>
        <v/>
      </c>
      <c r="AV95" s="61" t="str">
        <f aca="false">SUBSTITUTE(SUBSTITUTE(SUBSTITUTE(SUBSTITUTE(SUBSTITUTE(SUBSTITUTE(SUBSTITUTE(SUBSTITUTE(SUBSTITUTE(SUBSTITUTE(SUBSTITUTE(SUBSTITUTE(SUBSTITUTE(LOWER(V95&amp;""),CHAR(160),"")," ",""),".",""),"-",""),"/",""),"?",""),"_",""),",",""),"[",""),"]",""),"(",""),")",""),"*","")</f>
        <v/>
      </c>
      <c r="AW95" s="61" t="str">
        <f aca="false">SUBSTITUTE(SUBSTITUTE(SUBSTITUTE(SUBSTITUTE(SUBSTITUTE(SUBSTITUTE(SUBSTITUTE(SUBSTITUTE(SUBSTITUTE(SUBSTITUTE(SUBSTITUTE(SUBSTITUTE(SUBSTITUTE(LOWER(Z95&amp;""),CHAR(160),"")," ",""),".",""),"-",""),"/",""),"?",""),"_",""),",",""),"[",""),"]",""),"(",""),")",""),"*","")</f>
        <v/>
      </c>
      <c r="AX95" s="61" t="str">
        <f aca="false">SUBSTITUTE(SUBSTITUTE(SUBSTITUTE(SUBSTITUTE(SUBSTITUTE(SUBSTITUTE(SUBSTITUTE(SUBSTITUTE(SUBSTITUTE(SUBSTITUTE(SUBSTITUTE(SUBSTITUTE(SUBSTITUTE(LOWER(AE95&amp;""),CHAR(160),"")," ",""),".",""),"-",""),"/",""),"?",""),"_",""),",",""),"[",""),"]",""),"(",""),")",""),"*","")</f>
        <v/>
      </c>
      <c r="AY95" s="61" t="str">
        <f aca="false">SUBSTITUTE(SUBSTITUTE(SUBSTITUTE(SUBSTITUTE(SUBSTITUTE(SUBSTITUTE(SUBSTITUTE(SUBSTITUTE(SUBSTITUTE(SUBSTITUTE(SUBSTITUTE(SUBSTITUTE(SUBSTITUTE(LOWER(W95&amp;""),CHAR(160),"")," ",""),".",""),"-",""),"/",""),"?",""),"_",""),",",""),"[",""),"]",""),"(",""),")",""),"*","")</f>
        <v/>
      </c>
      <c r="AZ95" s="61" t="str">
        <f aca="false">SUBSTITUTE(SUBSTITUTE(SUBSTITUTE(SUBSTITUTE(SUBSTITUTE(SUBSTITUTE(SUBSTITUTE(SUBSTITUTE(SUBSTITUTE(SUBSTITUTE(SUBSTITUTE(SUBSTITUTE(SUBSTITUTE(LOWER(AC95&amp;""),CHAR(160),"")," ",""),".",""),"-",""),"/",""),"?",""),"_",""),",",""),"[",""),"]",""),"(",""),")",""),"*","")</f>
        <v/>
      </c>
      <c r="BA95" s="61" t="str">
        <f aca="false">SUBSTITUTE(SUBSTITUTE(SUBSTITUTE(SUBSTITUTE(SUBSTITUTE(SUBSTITUTE(SUBSTITUTE(SUBSTITUTE(SUBSTITUTE(SUBSTITUTE(SUBSTITUTE(SUBSTITUTE(SUBSTITUTE(LOWER(AA95&amp;""),CHAR(160),"")," ",""),".",""),"-",""),"/",""),"?",""),"_",""),",",""),"[",""),"]",""),"(",""),")",""),"*","")</f>
        <v/>
      </c>
      <c r="BB95" s="61" t="str">
        <f aca="false">IF(AND(TRIM(U95)="Pass",ISNUMBER(AF95)),IF(AF95&lt;&gt;0,"INVALID – qty variance: use Fail or Pass after CA",""),"")&amp;IF(AND(TRIM(U95)="Pass after CA",ISNUMBER(AF95)),IF(AF95&lt;&gt;0,"INVALID – after the corrective action the actual qty must equal expected (update Actual)",""),"")&amp;IF(AND(TRIM(U95)="Pass",TRIM(AB95)&lt;&gt;"",TRIM(AB95)&lt;&gt;"Closed"),"INVALID – corrective action not closed: use Fail, then Pass after CA","")&amp;IF(AND(TRIM(AA95)&lt;&gt;"",TRIM(AB95)=""),"INVALID – CA status missing for the recorded corrective action","")&amp;IF(AND(TRIM(U95)="Pass after CA",OR(OR(LEN(BA95)&lt;5,ISNUMBER(MATCH(BA95,L_Placeholder,0))),TRIM(AB95)&lt;&gt;"Closed")),"INVALID – corrective action not recorded/closed","")</f>
        <v/>
      </c>
    </row>
    <row r="96" customFormat="false" ht="39.75" hidden="false" customHeight="true" outlineLevel="0" collapsed="false">
      <c r="A96" s="57" t="s">
        <v>565</v>
      </c>
      <c r="B96" s="57" t="s">
        <v>215</v>
      </c>
      <c r="C96" s="57" t="str">
        <f aca="false">Flights!$F$8</f>
        <v>MH0088</v>
      </c>
      <c r="D96" s="58" t="n">
        <f aca="false">Flights!$D$8</f>
        <v>46305</v>
      </c>
      <c r="E96" s="57" t="str">
        <f aca="false">Flights!$G$8&amp;"-"&amp;Flights!$H$8</f>
        <v>KUL-NRT</v>
      </c>
      <c r="F96" s="57" t="str">
        <f aca="false">Flights!$K$8</f>
        <v>BC</v>
      </c>
      <c r="G96" s="57" t="s">
        <v>79</v>
      </c>
      <c r="H96" s="57" t="s">
        <v>356</v>
      </c>
      <c r="I96" s="57" t="s">
        <v>383</v>
      </c>
      <c r="J96" s="57" t="s">
        <v>384</v>
      </c>
      <c r="K96" s="67" t="s">
        <v>385</v>
      </c>
      <c r="L96" s="67" t="s">
        <v>360</v>
      </c>
      <c r="M96" s="67"/>
      <c r="N96" s="67" t="s">
        <v>361</v>
      </c>
      <c r="O96" s="67"/>
      <c r="P96" s="57" t="s">
        <v>184</v>
      </c>
      <c r="Q96" s="59" t="n">
        <f aca="false">ROUND((Flights!$AC$8)*1440,0)/1440</f>
        <v>46298.6458333333</v>
      </c>
      <c r="R96" s="59" t="n">
        <f aca="false">Q96+(IF(AND(INDEX(TZ_DSTS,MATCH(P96,TZ_STN,0))&lt;&gt;"",Q96&gt;=INDEX(TZ_DSTS,MATCH(P96,TZ_STN,0)),Q96&lt;INDEX(TZ_DSTE,MATCH(P96,TZ_STN,0))),INDEX(TZ_DST,MATCH(P96,TZ_STN,0)),INDEX(TZ_STD,MATCH(P96,TZ_STN,0))))/24</f>
        <v>46298.9791666667</v>
      </c>
      <c r="S96" s="59" t="n">
        <f aca="false">Q96-T7EarlyD*24/24</f>
        <v>46284.6458333333</v>
      </c>
      <c r="T96" s="60"/>
      <c r="U96" s="60"/>
      <c r="V96" s="60"/>
      <c r="W96" s="61"/>
      <c r="X96" s="60"/>
      <c r="Y96" s="60"/>
      <c r="Z96" s="60"/>
      <c r="AA96" s="60"/>
      <c r="AB96" s="60"/>
      <c r="AC96" s="60"/>
      <c r="AD96" s="66"/>
      <c r="AE96" s="60"/>
      <c r="AF96" s="61" t="str">
        <f aca="false">IF(AND(ISNUMBER(X96),ISNUMBER(Y96)),Y96-X96,"")</f>
        <v/>
      </c>
      <c r="AG96" s="62" t="str">
        <f aca="false">IF(ISNUMBER(AD96),AD96-(IF(AND(INDEX(TZ_DSTS,MATCH(P96,TZ_STN,0))&lt;&gt;"",(AD96-INDEX(TZ_STD,MATCH(P96,TZ_STN,0))/24)&gt;=INDEX(TZ_DSTS,MATCH(P96,TZ_STN,0)),(AD96-INDEX(TZ_STD,MATCH(P96,TZ_STN,0))/24)&lt;INDEX(TZ_DSTE,MATCH(P96,TZ_STN,0))),INDEX(TZ_DST,MATCH(P96,TZ_STN,0)),INDEX(TZ_STD,MATCH(P96,TZ_STN,0))))/24,"")</f>
        <v/>
      </c>
      <c r="AH96" s="65" t="str">
        <f aca="false">IFERROR(IF(N96="N/A – rule","N/A – RULE",IF(TRIM(U96)="N/A",IF(AT96=0,"INVALID – N/A not permitted for this check",IF(AND(TRIM(AB96)&lt;&gt;"",TRIM(AB96)&lt;&gt;"Closed"),"INVALID – corrective action still open",IF(AND(NOT(OR(LEN(AZ96)&lt;15,ISNUMBER(MATCH(AZ96,L_Placeholder,0)))),NOT(OR(LEN(AU96)&lt;2,ISNUMBER(MATCH(AU96,L_Placeholder,0)))),NOT(OR(LEN(AX96)&lt;2,ISNUMBER(MATCH(AX96,L_Placeholder,0)))),TRIM(AE96)&lt;&gt;TRIM(T96)),"N/A – JUSTIFIED","INVALID – N/A needs a real justification (15+ chars), PIC and a different verifier"))),IF(OR(TRIM(U96)="Pass",TRIM(U96)="Pass after CA"),IF(NOT(ISNUMBER(AD96)),"INVALID – completion time missing",IF(OR(LEN(AU96)&lt;2,ISNUMBER(MATCH(AU96,L_Placeholder,0))),"INVALID – PIC missing",IF(OR(LEN(AV96)&lt;2,ISNUMBER(MATCH(AV96,L_Placeholder,0))),"INVALID – result / assessment missing",IF(OR(OR(LEN(AW96)&lt;3,ISNUMBER(MATCH(AW96,L_Placeholder,0))),SUMPRODUCT(--ISNUMBER(SEARCH(L_EvidencePhrase,AW96)))&gt;0),"INVALID – evidence missing, placeholder or not yet on file",IF(OR(LEN(AX96)&lt;2,ISNUMBER(MATCH(AX96,L_Placeholder,0))),"INVALID – verifier missing",IF(AX96=AU96,"INVALID – verifier must be someone other than the PIC",IF(AND(TRIM(U96)="Pass",SUMPRODUCT(--ISNUMBER(SEARCH(L_ResultBad,AV96)))&gt;0),"INVALID – result describes a problem: use Fail, then Pass after CA",IF(AND(AQ96=1,OR(LEN(AY96)&lt;3,ISNUMBER(MATCH(AY96,L_Placeholder,0)))),"INVALID – batch ID missing or placeholder",IF(AND(AR96=1,OR(NOT(ISNUMBER(X96)),NOT(ISNUMBER(Y96)))),"INVALID – expected/actual qty missing",IF(AND(AR96=1,OR(X96&lt;=0,Y96&lt;0)),"INVALID – expected qty must be above 0 and actual not negative",IF(BB96&lt;&gt;"",BB96,IF(AND(AS96=1,Documents!$J$8&lt;&gt;"ON FILE"),"INVALID – GLD not on file (Documents sheet)",IF(AND(AS96=2,Documents!$O$8&lt;&gt;"ON FILE"),"INVALID – menu checklist not on file (Documents sheet)",IF(AND(AS96=3,NOT(ISNUMBER(Flights!$AX$8))),"INVALID – enter carrying flight KUL departure (Flights AX)",IF(AND(AS96=3,OR(Flights!$AZ$8&gt;Flights!$AA$8,Flights!$AX$8&lt;Flights!$AA$8-3)),"INVALID – carrying flight (Flights AX) cannot arrive before this leg's STD, or is over 3 days early",IF(AG96&gt;AsOfUTC,"INVALID – completion time is in the future",IF(AND(ISNUMBER(S96),AG96&lt;S96),IF(H96="Physical uplift","INVALID – before uplift window (cannot confirm loading)","INVALID – before valid window"),IF(AG96&gt;Flights!$AA$8,"INVALID – completed after departure (cannot establish readiness)",IF(AND(H96="Preparation",AG96&gt;IF(ISNUMBER(Flights!$BA$8),MIN(Flights!$BA$8,Flights!$AA$8),Flights!$AA$8)),"INVALID – completed after loading / departure (cannot establish readiness)",IF(AND(H96="Physical uplift",AG96&gt;Q96),"INVALID – recorded after the loading flight departed",IF(AG96&gt;Q96,"COMPLETE – LATE","COMPLETE"))))))))))))))))))))),IF(TRIM(U96)="Fail","FAIL – DISCREPANCY",IF(AND(TRIM(U96)&lt;&gt;"",TRIM(U96)&lt;&gt;"Not started",TRIM(U96)&lt;&gt;"In progress"),"INVALID – unrecognised status (use the list)",IF(AsOfUTC&gt;Q96,"OVERDUE",IF(N96="Clarification required","OPEN – CLARIFICATION","OPEN"))))))),"INVALID – error value in an input cell")</f>
        <v>OPEN</v>
      </c>
      <c r="AI96" s="61" t="n">
        <f aca="false">IF(OR(AH96="N/A – RULE",AH96="N/A – JUSTIFIED"),0,1)</f>
        <v>1</v>
      </c>
      <c r="AJ96" s="61" t="n">
        <f aca="false">IF(LEFT(AH96,8)="COMPLETE",1,0)</f>
        <v>0</v>
      </c>
      <c r="AK96" s="61" t="n">
        <f aca="false">IF(AND(AI96=1,AJ96=0,AsOfUTC&gt;Q96),1,0)</f>
        <v>0</v>
      </c>
      <c r="AL96" s="61" t="n">
        <f aca="false">IFERROR(IF(AND(AI96=1,OR(TRIM(U96)="Fail",AND(TRIM(AB96)&lt;&gt;"",TRIM(AB96)&lt;&gt;"Closed"),AND(ISNUMBER(AF96),AF96&lt;&gt;0,TRIM(U96)&lt;&gt;"Pass after CA"))),1,0),1)</f>
        <v>0</v>
      </c>
      <c r="AM96" s="61" t="n">
        <f aca="false">IF(LEFT(AH96,7)="INVALID",1,0)</f>
        <v>0</v>
      </c>
      <c r="AN96" s="61" t="n">
        <f aca="false">IF(AND(N96="Clarification required",AI96=1,AJ96=0),1,0)</f>
        <v>0</v>
      </c>
      <c r="AO96" s="61" t="str">
        <f aca="false">IF(AK96=1,SUM(AK$5:AK96),"")</f>
        <v/>
      </c>
      <c r="AP96" s="61" t="str">
        <f aca="false">IF(AL96=1,SUM(AL$5:AL96),"")</f>
        <v/>
      </c>
      <c r="AQ96" s="61" t="n">
        <v>0</v>
      </c>
      <c r="AR96" s="61" t="n">
        <v>0</v>
      </c>
      <c r="AS96" s="61" t="n">
        <v>1</v>
      </c>
      <c r="AT96" s="61" t="n">
        <v>0</v>
      </c>
      <c r="AU96" s="61" t="str">
        <f aca="false">SUBSTITUTE(SUBSTITUTE(SUBSTITUTE(SUBSTITUTE(SUBSTITUTE(SUBSTITUTE(SUBSTITUTE(SUBSTITUTE(SUBSTITUTE(SUBSTITUTE(SUBSTITUTE(SUBSTITUTE(SUBSTITUTE(LOWER(T96&amp;""),CHAR(160),"")," ",""),".",""),"-",""),"/",""),"?",""),"_",""),",",""),"[",""),"]",""),"(",""),")",""),"*","")</f>
        <v/>
      </c>
      <c r="AV96" s="61" t="str">
        <f aca="false">SUBSTITUTE(SUBSTITUTE(SUBSTITUTE(SUBSTITUTE(SUBSTITUTE(SUBSTITUTE(SUBSTITUTE(SUBSTITUTE(SUBSTITUTE(SUBSTITUTE(SUBSTITUTE(SUBSTITUTE(SUBSTITUTE(LOWER(V96&amp;""),CHAR(160),"")," ",""),".",""),"-",""),"/",""),"?",""),"_",""),",",""),"[",""),"]",""),"(",""),")",""),"*","")</f>
        <v/>
      </c>
      <c r="AW96" s="61" t="str">
        <f aca="false">SUBSTITUTE(SUBSTITUTE(SUBSTITUTE(SUBSTITUTE(SUBSTITUTE(SUBSTITUTE(SUBSTITUTE(SUBSTITUTE(SUBSTITUTE(SUBSTITUTE(SUBSTITUTE(SUBSTITUTE(SUBSTITUTE(LOWER(Z96&amp;""),CHAR(160),"")," ",""),".",""),"-",""),"/",""),"?",""),"_",""),",",""),"[",""),"]",""),"(",""),")",""),"*","")</f>
        <v/>
      </c>
      <c r="AX96" s="61" t="str">
        <f aca="false">SUBSTITUTE(SUBSTITUTE(SUBSTITUTE(SUBSTITUTE(SUBSTITUTE(SUBSTITUTE(SUBSTITUTE(SUBSTITUTE(SUBSTITUTE(SUBSTITUTE(SUBSTITUTE(SUBSTITUTE(SUBSTITUTE(LOWER(AE96&amp;""),CHAR(160),"")," ",""),".",""),"-",""),"/",""),"?",""),"_",""),",",""),"[",""),"]",""),"(",""),")",""),"*","")</f>
        <v/>
      </c>
      <c r="AY96" s="61" t="str">
        <f aca="false">SUBSTITUTE(SUBSTITUTE(SUBSTITUTE(SUBSTITUTE(SUBSTITUTE(SUBSTITUTE(SUBSTITUTE(SUBSTITUTE(SUBSTITUTE(SUBSTITUTE(SUBSTITUTE(SUBSTITUTE(SUBSTITUTE(LOWER(W96&amp;""),CHAR(160),"")," ",""),".",""),"-",""),"/",""),"?",""),"_",""),",",""),"[",""),"]",""),"(",""),")",""),"*","")</f>
        <v/>
      </c>
      <c r="AZ96" s="61" t="str">
        <f aca="false">SUBSTITUTE(SUBSTITUTE(SUBSTITUTE(SUBSTITUTE(SUBSTITUTE(SUBSTITUTE(SUBSTITUTE(SUBSTITUTE(SUBSTITUTE(SUBSTITUTE(SUBSTITUTE(SUBSTITUTE(SUBSTITUTE(LOWER(AC96&amp;""),CHAR(160),"")," ",""),".",""),"-",""),"/",""),"?",""),"_",""),",",""),"[",""),"]",""),"(",""),")",""),"*","")</f>
        <v/>
      </c>
      <c r="BA96" s="61" t="str">
        <f aca="false">SUBSTITUTE(SUBSTITUTE(SUBSTITUTE(SUBSTITUTE(SUBSTITUTE(SUBSTITUTE(SUBSTITUTE(SUBSTITUTE(SUBSTITUTE(SUBSTITUTE(SUBSTITUTE(SUBSTITUTE(SUBSTITUTE(LOWER(AA96&amp;""),CHAR(160),"")," ",""),".",""),"-",""),"/",""),"?",""),"_",""),",",""),"[",""),"]",""),"(",""),")",""),"*","")</f>
        <v/>
      </c>
      <c r="BB96" s="61" t="str">
        <f aca="false">IF(AND(TRIM(U96)="Pass",ISNUMBER(AF96)),IF(AF96&lt;&gt;0,"INVALID – qty variance: use Fail or Pass after CA",""),"")&amp;IF(AND(TRIM(U96)="Pass after CA",ISNUMBER(AF96)),IF(AF96&lt;&gt;0,"INVALID – after the corrective action the actual qty must equal expected (update Actual)",""),"")&amp;IF(AND(TRIM(U96)="Pass",TRIM(AB96)&lt;&gt;"",TRIM(AB96)&lt;&gt;"Closed"),"INVALID – corrective action not closed: use Fail, then Pass after CA","")&amp;IF(AND(TRIM(AA96)&lt;&gt;"",TRIM(AB96)=""),"INVALID – CA status missing for the recorded corrective action","")&amp;IF(AND(TRIM(U96)="Pass after CA",OR(OR(LEN(BA96)&lt;5,ISNUMBER(MATCH(BA96,L_Placeholder,0))),TRIM(AB96)&lt;&gt;"Closed")),"INVALID – corrective action not recorded/closed","")</f>
        <v/>
      </c>
    </row>
    <row r="97" customFormat="false" ht="39.75" hidden="false" customHeight="true" outlineLevel="0" collapsed="false">
      <c r="A97" s="57" t="s">
        <v>566</v>
      </c>
      <c r="B97" s="57" t="s">
        <v>215</v>
      </c>
      <c r="C97" s="57" t="str">
        <f aca="false">Flights!$F$8</f>
        <v>MH0088</v>
      </c>
      <c r="D97" s="58" t="n">
        <f aca="false">Flights!$D$8</f>
        <v>46305</v>
      </c>
      <c r="E97" s="57" t="str">
        <f aca="false">Flights!$G$8&amp;"-"&amp;Flights!$H$8</f>
        <v>KUL-NRT</v>
      </c>
      <c r="F97" s="57" t="str">
        <f aca="false">Flights!$K$8</f>
        <v>BC</v>
      </c>
      <c r="G97" s="57" t="s">
        <v>79</v>
      </c>
      <c r="H97" s="57" t="s">
        <v>356</v>
      </c>
      <c r="I97" s="57" t="s">
        <v>383</v>
      </c>
      <c r="J97" s="57" t="s">
        <v>387</v>
      </c>
      <c r="K97" s="67" t="s">
        <v>385</v>
      </c>
      <c r="L97" s="67" t="s">
        <v>360</v>
      </c>
      <c r="M97" s="67"/>
      <c r="N97" s="67" t="s">
        <v>361</v>
      </c>
      <c r="O97" s="67"/>
      <c r="P97" s="57" t="s">
        <v>184</v>
      </c>
      <c r="Q97" s="59" t="n">
        <f aca="false">ROUND((Flights!$AC$8)*1440,0)/1440</f>
        <v>46298.6458333333</v>
      </c>
      <c r="R97" s="59" t="n">
        <f aca="false">Q97+(IF(AND(INDEX(TZ_DSTS,MATCH(P97,TZ_STN,0))&lt;&gt;"",Q97&gt;=INDEX(TZ_DSTS,MATCH(P97,TZ_STN,0)),Q97&lt;INDEX(TZ_DSTE,MATCH(P97,TZ_STN,0))),INDEX(TZ_DST,MATCH(P97,TZ_STN,0)),INDEX(TZ_STD,MATCH(P97,TZ_STN,0))))/24</f>
        <v>46298.9791666667</v>
      </c>
      <c r="S97" s="59" t="n">
        <f aca="false">Q97-T7EarlyD*24/24</f>
        <v>46284.6458333333</v>
      </c>
      <c r="T97" s="60"/>
      <c r="U97" s="60"/>
      <c r="V97" s="60"/>
      <c r="W97" s="61"/>
      <c r="X97" s="60"/>
      <c r="Y97" s="60"/>
      <c r="Z97" s="60"/>
      <c r="AA97" s="60"/>
      <c r="AB97" s="60"/>
      <c r="AC97" s="60"/>
      <c r="AD97" s="66"/>
      <c r="AE97" s="60"/>
      <c r="AF97" s="61" t="str">
        <f aca="false">IF(AND(ISNUMBER(X97),ISNUMBER(Y97)),Y97-X97,"")</f>
        <v/>
      </c>
      <c r="AG97" s="62" t="str">
        <f aca="false">IF(ISNUMBER(AD97),AD97-(IF(AND(INDEX(TZ_DSTS,MATCH(P97,TZ_STN,0))&lt;&gt;"",(AD97-INDEX(TZ_STD,MATCH(P97,TZ_STN,0))/24)&gt;=INDEX(TZ_DSTS,MATCH(P97,TZ_STN,0)),(AD97-INDEX(TZ_STD,MATCH(P97,TZ_STN,0))/24)&lt;INDEX(TZ_DSTE,MATCH(P97,TZ_STN,0))),INDEX(TZ_DST,MATCH(P97,TZ_STN,0)),INDEX(TZ_STD,MATCH(P97,TZ_STN,0))))/24,"")</f>
        <v/>
      </c>
      <c r="AH97" s="65" t="str">
        <f aca="false">IFERROR(IF(N97="N/A – rule","N/A – RULE",IF(TRIM(U97)="N/A",IF(AT97=0,"INVALID – N/A not permitted for this check",IF(AND(TRIM(AB97)&lt;&gt;"",TRIM(AB97)&lt;&gt;"Closed"),"INVALID – corrective action still open",IF(AND(NOT(OR(LEN(AZ97)&lt;15,ISNUMBER(MATCH(AZ97,L_Placeholder,0)))),NOT(OR(LEN(AU97)&lt;2,ISNUMBER(MATCH(AU97,L_Placeholder,0)))),NOT(OR(LEN(AX97)&lt;2,ISNUMBER(MATCH(AX97,L_Placeholder,0)))),TRIM(AE97)&lt;&gt;TRIM(T97)),"N/A – JUSTIFIED","INVALID – N/A needs a real justification (15+ chars), PIC and a different verifier"))),IF(OR(TRIM(U97)="Pass",TRIM(U97)="Pass after CA"),IF(NOT(ISNUMBER(AD97)),"INVALID – completion time missing",IF(OR(LEN(AU97)&lt;2,ISNUMBER(MATCH(AU97,L_Placeholder,0))),"INVALID – PIC missing",IF(OR(LEN(AV97)&lt;2,ISNUMBER(MATCH(AV97,L_Placeholder,0))),"INVALID – result / assessment missing",IF(OR(OR(LEN(AW97)&lt;3,ISNUMBER(MATCH(AW97,L_Placeholder,0))),SUMPRODUCT(--ISNUMBER(SEARCH(L_EvidencePhrase,AW97)))&gt;0),"INVALID – evidence missing, placeholder or not yet on file",IF(OR(LEN(AX97)&lt;2,ISNUMBER(MATCH(AX97,L_Placeholder,0))),"INVALID – verifier missing",IF(AX97=AU97,"INVALID – verifier must be someone other than the PIC",IF(AND(TRIM(U97)="Pass",SUMPRODUCT(--ISNUMBER(SEARCH(L_ResultBad,AV97)))&gt;0),"INVALID – result describes a problem: use Fail, then Pass after CA",IF(AND(AQ97=1,OR(LEN(AY97)&lt;3,ISNUMBER(MATCH(AY97,L_Placeholder,0)))),"INVALID – batch ID missing or placeholder",IF(AND(AR97=1,OR(NOT(ISNUMBER(X97)),NOT(ISNUMBER(Y97)))),"INVALID – expected/actual qty missing",IF(AND(AR97=1,OR(X97&lt;=0,Y97&lt;0)),"INVALID – expected qty must be above 0 and actual not negative",IF(BB97&lt;&gt;"",BB97,IF(AND(AS97=1,Documents!$J$8&lt;&gt;"ON FILE"),"INVALID – GLD not on file (Documents sheet)",IF(AND(AS97=2,Documents!$O$8&lt;&gt;"ON FILE"),"INVALID – menu checklist not on file (Documents sheet)",IF(AND(AS97=3,NOT(ISNUMBER(Flights!$AX$8))),"INVALID – enter carrying flight KUL departure (Flights AX)",IF(AND(AS97=3,OR(Flights!$AZ$8&gt;Flights!$AA$8,Flights!$AX$8&lt;Flights!$AA$8-3)),"INVALID – carrying flight (Flights AX) cannot arrive before this leg's STD, or is over 3 days early",IF(AG97&gt;AsOfUTC,"INVALID – completion time is in the future",IF(AND(ISNUMBER(S97),AG97&lt;S97),IF(H97="Physical uplift","INVALID – before uplift window (cannot confirm loading)","INVALID – before valid window"),IF(AG97&gt;Flights!$AA$8,"INVALID – completed after departure (cannot establish readiness)",IF(AND(H97="Preparation",AG97&gt;IF(ISNUMBER(Flights!$BA$8),MIN(Flights!$BA$8,Flights!$AA$8),Flights!$AA$8)),"INVALID – completed after loading / departure (cannot establish readiness)",IF(AND(H97="Physical uplift",AG97&gt;Q97),"INVALID – recorded after the loading flight departed",IF(AG97&gt;Q97,"COMPLETE – LATE","COMPLETE"))))))))))))))))))))),IF(TRIM(U97)="Fail","FAIL – DISCREPANCY",IF(AND(TRIM(U97)&lt;&gt;"",TRIM(U97)&lt;&gt;"Not started",TRIM(U97)&lt;&gt;"In progress"),"INVALID – unrecognised status (use the list)",IF(AsOfUTC&gt;Q97,"OVERDUE",IF(N97="Clarification required","OPEN – CLARIFICATION","OPEN"))))))),"INVALID – error value in an input cell")</f>
        <v>OPEN</v>
      </c>
      <c r="AI97" s="61" t="n">
        <f aca="false">IF(OR(AH97="N/A – RULE",AH97="N/A – JUSTIFIED"),0,1)</f>
        <v>1</v>
      </c>
      <c r="AJ97" s="61" t="n">
        <f aca="false">IF(LEFT(AH97,8)="COMPLETE",1,0)</f>
        <v>0</v>
      </c>
      <c r="AK97" s="61" t="n">
        <f aca="false">IF(AND(AI97=1,AJ97=0,AsOfUTC&gt;Q97),1,0)</f>
        <v>0</v>
      </c>
      <c r="AL97" s="61" t="n">
        <f aca="false">IFERROR(IF(AND(AI97=1,OR(TRIM(U97)="Fail",AND(TRIM(AB97)&lt;&gt;"",TRIM(AB97)&lt;&gt;"Closed"),AND(ISNUMBER(AF97),AF97&lt;&gt;0,TRIM(U97)&lt;&gt;"Pass after CA"))),1,0),1)</f>
        <v>0</v>
      </c>
      <c r="AM97" s="61" t="n">
        <f aca="false">IF(LEFT(AH97,7)="INVALID",1,0)</f>
        <v>0</v>
      </c>
      <c r="AN97" s="61" t="n">
        <f aca="false">IF(AND(N97="Clarification required",AI97=1,AJ97=0),1,0)</f>
        <v>0</v>
      </c>
      <c r="AO97" s="61" t="str">
        <f aca="false">IF(AK97=1,SUM(AK$5:AK97),"")</f>
        <v/>
      </c>
      <c r="AP97" s="61" t="str">
        <f aca="false">IF(AL97=1,SUM(AL$5:AL97),"")</f>
        <v/>
      </c>
      <c r="AQ97" s="61" t="n">
        <v>0</v>
      </c>
      <c r="AR97" s="61" t="n">
        <v>0</v>
      </c>
      <c r="AS97" s="61" t="n">
        <v>2</v>
      </c>
      <c r="AT97" s="61" t="n">
        <v>0</v>
      </c>
      <c r="AU97" s="61" t="str">
        <f aca="false">SUBSTITUTE(SUBSTITUTE(SUBSTITUTE(SUBSTITUTE(SUBSTITUTE(SUBSTITUTE(SUBSTITUTE(SUBSTITUTE(SUBSTITUTE(SUBSTITUTE(SUBSTITUTE(SUBSTITUTE(SUBSTITUTE(LOWER(T97&amp;""),CHAR(160),"")," ",""),".",""),"-",""),"/",""),"?",""),"_",""),",",""),"[",""),"]",""),"(",""),")",""),"*","")</f>
        <v/>
      </c>
      <c r="AV97" s="61" t="str">
        <f aca="false">SUBSTITUTE(SUBSTITUTE(SUBSTITUTE(SUBSTITUTE(SUBSTITUTE(SUBSTITUTE(SUBSTITUTE(SUBSTITUTE(SUBSTITUTE(SUBSTITUTE(SUBSTITUTE(SUBSTITUTE(SUBSTITUTE(LOWER(V97&amp;""),CHAR(160),"")," ",""),".",""),"-",""),"/",""),"?",""),"_",""),",",""),"[",""),"]",""),"(",""),")",""),"*","")</f>
        <v/>
      </c>
      <c r="AW97" s="61" t="str">
        <f aca="false">SUBSTITUTE(SUBSTITUTE(SUBSTITUTE(SUBSTITUTE(SUBSTITUTE(SUBSTITUTE(SUBSTITUTE(SUBSTITUTE(SUBSTITUTE(SUBSTITUTE(SUBSTITUTE(SUBSTITUTE(SUBSTITUTE(LOWER(Z97&amp;""),CHAR(160),"")," ",""),".",""),"-",""),"/",""),"?",""),"_",""),",",""),"[",""),"]",""),"(",""),")",""),"*","")</f>
        <v/>
      </c>
      <c r="AX97" s="61" t="str">
        <f aca="false">SUBSTITUTE(SUBSTITUTE(SUBSTITUTE(SUBSTITUTE(SUBSTITUTE(SUBSTITUTE(SUBSTITUTE(SUBSTITUTE(SUBSTITUTE(SUBSTITUTE(SUBSTITUTE(SUBSTITUTE(SUBSTITUTE(LOWER(AE97&amp;""),CHAR(160),"")," ",""),".",""),"-",""),"/",""),"?",""),"_",""),",",""),"[",""),"]",""),"(",""),")",""),"*","")</f>
        <v/>
      </c>
      <c r="AY97" s="61" t="str">
        <f aca="false">SUBSTITUTE(SUBSTITUTE(SUBSTITUTE(SUBSTITUTE(SUBSTITUTE(SUBSTITUTE(SUBSTITUTE(SUBSTITUTE(SUBSTITUTE(SUBSTITUTE(SUBSTITUTE(SUBSTITUTE(SUBSTITUTE(LOWER(W97&amp;""),CHAR(160),"")," ",""),".",""),"-",""),"/",""),"?",""),"_",""),",",""),"[",""),"]",""),"(",""),")",""),"*","")</f>
        <v/>
      </c>
      <c r="AZ97" s="61" t="str">
        <f aca="false">SUBSTITUTE(SUBSTITUTE(SUBSTITUTE(SUBSTITUTE(SUBSTITUTE(SUBSTITUTE(SUBSTITUTE(SUBSTITUTE(SUBSTITUTE(SUBSTITUTE(SUBSTITUTE(SUBSTITUTE(SUBSTITUTE(LOWER(AC97&amp;""),CHAR(160),"")," ",""),".",""),"-",""),"/",""),"?",""),"_",""),",",""),"[",""),"]",""),"(",""),")",""),"*","")</f>
        <v/>
      </c>
      <c r="BA97" s="61" t="str">
        <f aca="false">SUBSTITUTE(SUBSTITUTE(SUBSTITUTE(SUBSTITUTE(SUBSTITUTE(SUBSTITUTE(SUBSTITUTE(SUBSTITUTE(SUBSTITUTE(SUBSTITUTE(SUBSTITUTE(SUBSTITUTE(SUBSTITUTE(LOWER(AA97&amp;""),CHAR(160),"")," ",""),".",""),"-",""),"/",""),"?",""),"_",""),",",""),"[",""),"]",""),"(",""),")",""),"*","")</f>
        <v/>
      </c>
      <c r="BB97" s="61" t="str">
        <f aca="false">IF(AND(TRIM(U97)="Pass",ISNUMBER(AF97)),IF(AF97&lt;&gt;0,"INVALID – qty variance: use Fail or Pass after CA",""),"")&amp;IF(AND(TRIM(U97)="Pass after CA",ISNUMBER(AF97)),IF(AF97&lt;&gt;0,"INVALID – after the corrective action the actual qty must equal expected (update Actual)",""),"")&amp;IF(AND(TRIM(U97)="Pass",TRIM(AB97)&lt;&gt;"",TRIM(AB97)&lt;&gt;"Closed"),"INVALID – corrective action not closed: use Fail, then Pass after CA","")&amp;IF(AND(TRIM(AA97)&lt;&gt;"",TRIM(AB97)=""),"INVALID – CA status missing for the recorded corrective action","")&amp;IF(AND(TRIM(U97)="Pass after CA",OR(OR(LEN(BA97)&lt;5,ISNUMBER(MATCH(BA97,L_Placeholder,0))),TRIM(AB97)&lt;&gt;"Closed")),"INVALID – corrective action not recorded/closed","")</f>
        <v/>
      </c>
    </row>
    <row r="98" customFormat="false" ht="39.75" hidden="false" customHeight="true" outlineLevel="0" collapsed="false">
      <c r="A98" s="57" t="s">
        <v>567</v>
      </c>
      <c r="B98" s="57" t="s">
        <v>215</v>
      </c>
      <c r="C98" s="57" t="str">
        <f aca="false">Flights!$F$8</f>
        <v>MH0088</v>
      </c>
      <c r="D98" s="58" t="n">
        <f aca="false">Flights!$D$8</f>
        <v>46305</v>
      </c>
      <c r="E98" s="57" t="str">
        <f aca="false">Flights!$G$8&amp;"-"&amp;Flights!$H$8</f>
        <v>KUL-NRT</v>
      </c>
      <c r="F98" s="57" t="str">
        <f aca="false">Flights!$K$8</f>
        <v>BC</v>
      </c>
      <c r="G98" s="57" t="s">
        <v>79</v>
      </c>
      <c r="H98" s="57" t="s">
        <v>356</v>
      </c>
      <c r="I98" s="57" t="s">
        <v>389</v>
      </c>
      <c r="J98" s="57" t="s">
        <v>390</v>
      </c>
      <c r="K98" s="67" t="s">
        <v>568</v>
      </c>
      <c r="L98" s="67" t="s">
        <v>569</v>
      </c>
      <c r="M98" s="67"/>
      <c r="N98" s="67" t="s">
        <v>361</v>
      </c>
      <c r="O98" s="67"/>
      <c r="P98" s="57" t="s">
        <v>184</v>
      </c>
      <c r="Q98" s="59" t="n">
        <f aca="false">ROUND((Flights!$AC$8)*1440,0)/1440</f>
        <v>46298.6458333333</v>
      </c>
      <c r="R98" s="59" t="n">
        <f aca="false">Q98+(IF(AND(INDEX(TZ_DSTS,MATCH(P98,TZ_STN,0))&lt;&gt;"",Q98&gt;=INDEX(TZ_DSTS,MATCH(P98,TZ_STN,0)),Q98&lt;INDEX(TZ_DSTE,MATCH(P98,TZ_STN,0))),INDEX(TZ_DST,MATCH(P98,TZ_STN,0)),INDEX(TZ_STD,MATCH(P98,TZ_STN,0))))/24</f>
        <v>46298.9791666667</v>
      </c>
      <c r="S98" s="59" t="n">
        <f aca="false">Q98-T7EarlyD*24/24</f>
        <v>46284.6458333333</v>
      </c>
      <c r="T98" s="60"/>
      <c r="U98" s="60"/>
      <c r="V98" s="60"/>
      <c r="W98" s="61"/>
      <c r="X98" s="60"/>
      <c r="Y98" s="60"/>
      <c r="Z98" s="60"/>
      <c r="AA98" s="60"/>
      <c r="AB98" s="60"/>
      <c r="AC98" s="60"/>
      <c r="AD98" s="66"/>
      <c r="AE98" s="60"/>
      <c r="AF98" s="61" t="str">
        <f aca="false">IF(AND(ISNUMBER(X98),ISNUMBER(Y98)),Y98-X98,"")</f>
        <v/>
      </c>
      <c r="AG98" s="62" t="str">
        <f aca="false">IF(ISNUMBER(AD98),AD98-(IF(AND(INDEX(TZ_DSTS,MATCH(P98,TZ_STN,0))&lt;&gt;"",(AD98-INDEX(TZ_STD,MATCH(P98,TZ_STN,0))/24)&gt;=INDEX(TZ_DSTS,MATCH(P98,TZ_STN,0)),(AD98-INDEX(TZ_STD,MATCH(P98,TZ_STN,0))/24)&lt;INDEX(TZ_DSTE,MATCH(P98,TZ_STN,0))),INDEX(TZ_DST,MATCH(P98,TZ_STN,0)),INDEX(TZ_STD,MATCH(P98,TZ_STN,0))))/24,"")</f>
        <v/>
      </c>
      <c r="AH98" s="65" t="str">
        <f aca="false">IFERROR(IF(N98="N/A – rule","N/A – RULE",IF(TRIM(U98)="N/A",IF(AT98=0,"INVALID – N/A not permitted for this check",IF(AND(TRIM(AB98)&lt;&gt;"",TRIM(AB98)&lt;&gt;"Closed"),"INVALID – corrective action still open",IF(AND(NOT(OR(LEN(AZ98)&lt;15,ISNUMBER(MATCH(AZ98,L_Placeholder,0)))),NOT(OR(LEN(AU98)&lt;2,ISNUMBER(MATCH(AU98,L_Placeholder,0)))),NOT(OR(LEN(AX98)&lt;2,ISNUMBER(MATCH(AX98,L_Placeholder,0)))),TRIM(AE98)&lt;&gt;TRIM(T98)),"N/A – JUSTIFIED","INVALID – N/A needs a real justification (15+ chars), PIC and a different verifier"))),IF(OR(TRIM(U98)="Pass",TRIM(U98)="Pass after CA"),IF(NOT(ISNUMBER(AD98)),"INVALID – completion time missing",IF(OR(LEN(AU98)&lt;2,ISNUMBER(MATCH(AU98,L_Placeholder,0))),"INVALID – PIC missing",IF(OR(LEN(AV98)&lt;2,ISNUMBER(MATCH(AV98,L_Placeholder,0))),"INVALID – result / assessment missing",IF(OR(OR(LEN(AW98)&lt;3,ISNUMBER(MATCH(AW98,L_Placeholder,0))),SUMPRODUCT(--ISNUMBER(SEARCH(L_EvidencePhrase,AW98)))&gt;0),"INVALID – evidence missing, placeholder or not yet on file",IF(OR(LEN(AX98)&lt;2,ISNUMBER(MATCH(AX98,L_Placeholder,0))),"INVALID – verifier missing",IF(AX98=AU98,"INVALID – verifier must be someone other than the PIC",IF(AND(TRIM(U98)="Pass",SUMPRODUCT(--ISNUMBER(SEARCH(L_ResultBad,AV98)))&gt;0),"INVALID – result describes a problem: use Fail, then Pass after CA",IF(AND(AQ98=1,OR(LEN(AY98)&lt;3,ISNUMBER(MATCH(AY98,L_Placeholder,0)))),"INVALID – batch ID missing or placeholder",IF(AND(AR98=1,OR(NOT(ISNUMBER(X98)),NOT(ISNUMBER(Y98)))),"INVALID – expected/actual qty missing",IF(AND(AR98=1,OR(X98&lt;=0,Y98&lt;0)),"INVALID – expected qty must be above 0 and actual not negative",IF(BB98&lt;&gt;"",BB98,IF(AND(AS98=1,Documents!$J$8&lt;&gt;"ON FILE"),"INVALID – GLD not on file (Documents sheet)",IF(AND(AS98=2,Documents!$O$8&lt;&gt;"ON FILE"),"INVALID – menu checklist not on file (Documents sheet)",IF(AND(AS98=3,NOT(ISNUMBER(Flights!$AX$8))),"INVALID – enter carrying flight KUL departure (Flights AX)",IF(AND(AS98=3,OR(Flights!$AZ$8&gt;Flights!$AA$8,Flights!$AX$8&lt;Flights!$AA$8-3)),"INVALID – carrying flight (Flights AX) cannot arrive before this leg's STD, or is over 3 days early",IF(AG98&gt;AsOfUTC,"INVALID – completion time is in the future",IF(AND(ISNUMBER(S98),AG98&lt;S98),IF(H98="Physical uplift","INVALID – before uplift window (cannot confirm loading)","INVALID – before valid window"),IF(AG98&gt;Flights!$AA$8,"INVALID – completed after departure (cannot establish readiness)",IF(AND(H98="Preparation",AG98&gt;IF(ISNUMBER(Flights!$BA$8),MIN(Flights!$BA$8,Flights!$AA$8),Flights!$AA$8)),"INVALID – completed after loading / departure (cannot establish readiness)",IF(AND(H98="Physical uplift",AG98&gt;Q98),"INVALID – recorded after the loading flight departed",IF(AG98&gt;Q98,"COMPLETE – LATE","COMPLETE"))))))))))))))))))))),IF(TRIM(U98)="Fail","FAIL – DISCREPANCY",IF(AND(TRIM(U98)&lt;&gt;"",TRIM(U98)&lt;&gt;"Not started",TRIM(U98)&lt;&gt;"In progress"),"INVALID – unrecognised status (use the list)",IF(AsOfUTC&gt;Q98,"OVERDUE",IF(N98="Clarification required","OPEN – CLARIFICATION","OPEN"))))))),"INVALID – error value in an input cell")</f>
        <v>OPEN</v>
      </c>
      <c r="AI98" s="61" t="n">
        <f aca="false">IF(OR(AH98="N/A – RULE",AH98="N/A – JUSTIFIED"),0,1)</f>
        <v>1</v>
      </c>
      <c r="AJ98" s="61" t="n">
        <f aca="false">IF(LEFT(AH98,8)="COMPLETE",1,0)</f>
        <v>0</v>
      </c>
      <c r="AK98" s="61" t="n">
        <f aca="false">IF(AND(AI98=1,AJ98=0,AsOfUTC&gt;Q98),1,0)</f>
        <v>0</v>
      </c>
      <c r="AL98" s="61" t="n">
        <f aca="false">IFERROR(IF(AND(AI98=1,OR(TRIM(U98)="Fail",AND(TRIM(AB98)&lt;&gt;"",TRIM(AB98)&lt;&gt;"Closed"),AND(ISNUMBER(AF98),AF98&lt;&gt;0,TRIM(U98)&lt;&gt;"Pass after CA"))),1,0),1)</f>
        <v>0</v>
      </c>
      <c r="AM98" s="61" t="n">
        <f aca="false">IF(LEFT(AH98,7)="INVALID",1,0)</f>
        <v>0</v>
      </c>
      <c r="AN98" s="61" t="n">
        <f aca="false">IF(AND(N98="Clarification required",AI98=1,AJ98=0),1,0)</f>
        <v>0</v>
      </c>
      <c r="AO98" s="61" t="str">
        <f aca="false">IF(AK98=1,SUM(AK$5:AK98),"")</f>
        <v/>
      </c>
      <c r="AP98" s="61" t="str">
        <f aca="false">IF(AL98=1,SUM(AL$5:AL98),"")</f>
        <v/>
      </c>
      <c r="AQ98" s="61" t="n">
        <v>0</v>
      </c>
      <c r="AR98" s="61" t="n">
        <v>0</v>
      </c>
      <c r="AS98" s="61" t="n">
        <v>0</v>
      </c>
      <c r="AT98" s="61" t="n">
        <v>0</v>
      </c>
      <c r="AU98" s="61" t="str">
        <f aca="false">SUBSTITUTE(SUBSTITUTE(SUBSTITUTE(SUBSTITUTE(SUBSTITUTE(SUBSTITUTE(SUBSTITUTE(SUBSTITUTE(SUBSTITUTE(SUBSTITUTE(SUBSTITUTE(SUBSTITUTE(SUBSTITUTE(LOWER(T98&amp;""),CHAR(160),"")," ",""),".",""),"-",""),"/",""),"?",""),"_",""),",",""),"[",""),"]",""),"(",""),")",""),"*","")</f>
        <v/>
      </c>
      <c r="AV98" s="61" t="str">
        <f aca="false">SUBSTITUTE(SUBSTITUTE(SUBSTITUTE(SUBSTITUTE(SUBSTITUTE(SUBSTITUTE(SUBSTITUTE(SUBSTITUTE(SUBSTITUTE(SUBSTITUTE(SUBSTITUTE(SUBSTITUTE(SUBSTITUTE(LOWER(V98&amp;""),CHAR(160),"")," ",""),".",""),"-",""),"/",""),"?",""),"_",""),",",""),"[",""),"]",""),"(",""),")",""),"*","")</f>
        <v/>
      </c>
      <c r="AW98" s="61" t="str">
        <f aca="false">SUBSTITUTE(SUBSTITUTE(SUBSTITUTE(SUBSTITUTE(SUBSTITUTE(SUBSTITUTE(SUBSTITUTE(SUBSTITUTE(SUBSTITUTE(SUBSTITUTE(SUBSTITUTE(SUBSTITUTE(SUBSTITUTE(LOWER(Z98&amp;""),CHAR(160),"")," ",""),".",""),"-",""),"/",""),"?",""),"_",""),",",""),"[",""),"]",""),"(",""),")",""),"*","")</f>
        <v/>
      </c>
      <c r="AX98" s="61" t="str">
        <f aca="false">SUBSTITUTE(SUBSTITUTE(SUBSTITUTE(SUBSTITUTE(SUBSTITUTE(SUBSTITUTE(SUBSTITUTE(SUBSTITUTE(SUBSTITUTE(SUBSTITUTE(SUBSTITUTE(SUBSTITUTE(SUBSTITUTE(LOWER(AE98&amp;""),CHAR(160),"")," ",""),".",""),"-",""),"/",""),"?",""),"_",""),",",""),"[",""),"]",""),"(",""),")",""),"*","")</f>
        <v/>
      </c>
      <c r="AY98" s="61" t="str">
        <f aca="false">SUBSTITUTE(SUBSTITUTE(SUBSTITUTE(SUBSTITUTE(SUBSTITUTE(SUBSTITUTE(SUBSTITUTE(SUBSTITUTE(SUBSTITUTE(SUBSTITUTE(SUBSTITUTE(SUBSTITUTE(SUBSTITUTE(LOWER(W98&amp;""),CHAR(160),"")," ",""),".",""),"-",""),"/",""),"?",""),"_",""),",",""),"[",""),"]",""),"(",""),")",""),"*","")</f>
        <v/>
      </c>
      <c r="AZ98" s="61" t="str">
        <f aca="false">SUBSTITUTE(SUBSTITUTE(SUBSTITUTE(SUBSTITUTE(SUBSTITUTE(SUBSTITUTE(SUBSTITUTE(SUBSTITUTE(SUBSTITUTE(SUBSTITUTE(SUBSTITUTE(SUBSTITUTE(SUBSTITUTE(LOWER(AC98&amp;""),CHAR(160),"")," ",""),".",""),"-",""),"/",""),"?",""),"_",""),",",""),"[",""),"]",""),"(",""),")",""),"*","")</f>
        <v/>
      </c>
      <c r="BA98" s="61" t="str">
        <f aca="false">SUBSTITUTE(SUBSTITUTE(SUBSTITUTE(SUBSTITUTE(SUBSTITUTE(SUBSTITUTE(SUBSTITUTE(SUBSTITUTE(SUBSTITUTE(SUBSTITUTE(SUBSTITUTE(SUBSTITUTE(SUBSTITUTE(LOWER(AA98&amp;""),CHAR(160),"")," ",""),".",""),"-",""),"/",""),"?",""),"_",""),",",""),"[",""),"]",""),"(",""),")",""),"*","")</f>
        <v/>
      </c>
      <c r="BB98" s="61" t="str">
        <f aca="false">IF(AND(TRIM(U98)="Pass",ISNUMBER(AF98)),IF(AF98&lt;&gt;0,"INVALID – qty variance: use Fail or Pass after CA",""),"")&amp;IF(AND(TRIM(U98)="Pass after CA",ISNUMBER(AF98)),IF(AF98&lt;&gt;0,"INVALID – after the corrective action the actual qty must equal expected (update Actual)",""),"")&amp;IF(AND(TRIM(U98)="Pass",TRIM(AB98)&lt;&gt;"",TRIM(AB98)&lt;&gt;"Closed"),"INVALID – corrective action not closed: use Fail, then Pass after CA","")&amp;IF(AND(TRIM(AA98)&lt;&gt;"",TRIM(AB98)=""),"INVALID – CA status missing for the recorded corrective action","")&amp;IF(AND(TRIM(U98)="Pass after CA",OR(OR(LEN(BA98)&lt;5,ISNUMBER(MATCH(BA98,L_Placeholder,0))),TRIM(AB98)&lt;&gt;"Closed")),"INVALID – corrective action not recorded/closed","")</f>
        <v/>
      </c>
    </row>
    <row r="99" customFormat="false" ht="39.75" hidden="false" customHeight="true" outlineLevel="0" collapsed="false">
      <c r="A99" s="57" t="s">
        <v>570</v>
      </c>
      <c r="B99" s="57" t="s">
        <v>215</v>
      </c>
      <c r="C99" s="57" t="str">
        <f aca="false">Flights!$F$8</f>
        <v>MH0088</v>
      </c>
      <c r="D99" s="58" t="n">
        <f aca="false">Flights!$D$8</f>
        <v>46305</v>
      </c>
      <c r="E99" s="57" t="str">
        <f aca="false">Flights!$G$8&amp;"-"&amp;Flights!$H$8</f>
        <v>KUL-NRT</v>
      </c>
      <c r="F99" s="57" t="str">
        <f aca="false">Flights!$K$8</f>
        <v>BC</v>
      </c>
      <c r="G99" s="57" t="s">
        <v>81</v>
      </c>
      <c r="H99" s="57" t="s">
        <v>356</v>
      </c>
      <c r="I99" s="57" t="s">
        <v>357</v>
      </c>
      <c r="J99" s="57" t="s">
        <v>394</v>
      </c>
      <c r="K99" s="67" t="s">
        <v>395</v>
      </c>
      <c r="L99" s="67" t="s">
        <v>396</v>
      </c>
      <c r="M99" s="67"/>
      <c r="N99" s="67" t="s">
        <v>361</v>
      </c>
      <c r="O99" s="67"/>
      <c r="P99" s="57" t="s">
        <v>184</v>
      </c>
      <c r="Q99" s="59" t="n">
        <f aca="false">ROUND((Flights!$AD$8)*1440,0)/1440</f>
        <v>46304.6458333333</v>
      </c>
      <c r="R99" s="59" t="n">
        <f aca="false">Q99+(IF(AND(INDEX(TZ_DSTS,MATCH(P99,TZ_STN,0))&lt;&gt;"",Q99&gt;=INDEX(TZ_DSTS,MATCH(P99,TZ_STN,0)),Q99&lt;INDEX(TZ_DSTE,MATCH(P99,TZ_STN,0))),INDEX(TZ_DST,MATCH(P99,TZ_STN,0)),INDEX(TZ_STD,MATCH(P99,TZ_STN,0))))/24</f>
        <v>46304.9791666667</v>
      </c>
      <c r="S99" s="59" t="n">
        <f aca="false">Q99-T24EarlyH/24</f>
        <v>46303.6458333333</v>
      </c>
      <c r="T99" s="60"/>
      <c r="U99" s="60"/>
      <c r="V99" s="60"/>
      <c r="W99" s="60"/>
      <c r="X99" s="60"/>
      <c r="Y99" s="60"/>
      <c r="Z99" s="60"/>
      <c r="AA99" s="60"/>
      <c r="AB99" s="60"/>
      <c r="AC99" s="60"/>
      <c r="AD99" s="66"/>
      <c r="AE99" s="60"/>
      <c r="AF99" s="61" t="str">
        <f aca="false">IF(AND(ISNUMBER(X99),ISNUMBER(Y99)),Y99-X99,"")</f>
        <v/>
      </c>
      <c r="AG99" s="62" t="str">
        <f aca="false">IF(ISNUMBER(AD99),AD99-(IF(AND(INDEX(TZ_DSTS,MATCH(P99,TZ_STN,0))&lt;&gt;"",(AD99-INDEX(TZ_STD,MATCH(P99,TZ_STN,0))/24)&gt;=INDEX(TZ_DSTS,MATCH(P99,TZ_STN,0)),(AD99-INDEX(TZ_STD,MATCH(P99,TZ_STN,0))/24)&lt;INDEX(TZ_DSTE,MATCH(P99,TZ_STN,0))),INDEX(TZ_DST,MATCH(P99,TZ_STN,0)),INDEX(TZ_STD,MATCH(P99,TZ_STN,0))))/24,"")</f>
        <v/>
      </c>
      <c r="AH99" s="65" t="str">
        <f aca="false">IFERROR(IF(N99="N/A – rule","N/A – RULE",IF(TRIM(U99)="N/A",IF(AT99=0,"INVALID – N/A not permitted for this check",IF(AND(TRIM(AB99)&lt;&gt;"",TRIM(AB99)&lt;&gt;"Closed"),"INVALID – corrective action still open",IF(AND(NOT(OR(LEN(AZ99)&lt;15,ISNUMBER(MATCH(AZ99,L_Placeholder,0)))),NOT(OR(LEN(AU99)&lt;2,ISNUMBER(MATCH(AU99,L_Placeholder,0)))),NOT(OR(LEN(AX99)&lt;2,ISNUMBER(MATCH(AX99,L_Placeholder,0)))),TRIM(AE99)&lt;&gt;TRIM(T99)),"N/A – JUSTIFIED","INVALID – N/A needs a real justification (15+ chars), PIC and a different verifier"))),IF(OR(TRIM(U99)="Pass",TRIM(U99)="Pass after CA"),IF(NOT(ISNUMBER(AD99)),"INVALID – completion time missing",IF(OR(LEN(AU99)&lt;2,ISNUMBER(MATCH(AU99,L_Placeholder,0))),"INVALID – PIC missing",IF(OR(LEN(AV99)&lt;2,ISNUMBER(MATCH(AV99,L_Placeholder,0))),"INVALID – result / assessment missing",IF(OR(OR(LEN(AW99)&lt;3,ISNUMBER(MATCH(AW99,L_Placeholder,0))),SUMPRODUCT(--ISNUMBER(SEARCH(L_EvidencePhrase,AW99)))&gt;0),"INVALID – evidence missing, placeholder or not yet on file",IF(OR(LEN(AX99)&lt;2,ISNUMBER(MATCH(AX99,L_Placeholder,0))),"INVALID – verifier missing",IF(AX99=AU99,"INVALID – verifier must be someone other than the PIC",IF(AND(TRIM(U99)="Pass",SUMPRODUCT(--ISNUMBER(SEARCH(L_ResultBad,AV99)))&gt;0),"INVALID – result describes a problem: use Fail, then Pass after CA",IF(AND(AQ99=1,OR(LEN(AY99)&lt;3,ISNUMBER(MATCH(AY99,L_Placeholder,0)))),"INVALID – batch ID missing or placeholder",IF(AND(AR99=1,OR(NOT(ISNUMBER(X99)),NOT(ISNUMBER(Y99)))),"INVALID – expected/actual qty missing",IF(AND(AR99=1,OR(X99&lt;=0,Y99&lt;0)),"INVALID – expected qty must be above 0 and actual not negative",IF(BB99&lt;&gt;"",BB99,IF(AND(AS99=1,Documents!$J$8&lt;&gt;"ON FILE"),"INVALID – GLD not on file (Documents sheet)",IF(AND(AS99=2,Documents!$O$8&lt;&gt;"ON FILE"),"INVALID – menu checklist not on file (Documents sheet)",IF(AND(AS99=3,NOT(ISNUMBER(Flights!$AX$8))),"INVALID – enter carrying flight KUL departure (Flights AX)",IF(AND(AS99=3,OR(Flights!$AZ$8&gt;Flights!$AA$8,Flights!$AX$8&lt;Flights!$AA$8-3)),"INVALID – carrying flight (Flights AX) cannot arrive before this leg's STD, or is over 3 days early",IF(AG99&gt;AsOfUTC,"INVALID – completion time is in the future",IF(AND(ISNUMBER(S99),AG99&lt;S99),IF(H99="Physical uplift","INVALID – before uplift window (cannot confirm loading)","INVALID – before valid window"),IF(AG99&gt;Flights!$AA$8,"INVALID – completed after departure (cannot establish readiness)",IF(AND(H99="Preparation",AG99&gt;IF(ISNUMBER(Flights!$BA$8),MIN(Flights!$BA$8,Flights!$AA$8),Flights!$AA$8)),"INVALID – completed after loading / departure (cannot establish readiness)",IF(AND(H99="Physical uplift",AG99&gt;Q99),"INVALID – recorded after the loading flight departed",IF(AG99&gt;Q99,"COMPLETE – LATE","COMPLETE"))))))))))))))))))))),IF(TRIM(U99)="Fail","FAIL – DISCREPANCY",IF(AND(TRIM(U99)&lt;&gt;"",TRIM(U99)&lt;&gt;"Not started",TRIM(U99)&lt;&gt;"In progress"),"INVALID – unrecognised status (use the list)",IF(AsOfUTC&gt;Q99,"OVERDUE",IF(N99="Clarification required","OPEN – CLARIFICATION","OPEN"))))))),"INVALID – error value in an input cell")</f>
        <v>OPEN</v>
      </c>
      <c r="AI99" s="61" t="n">
        <f aca="false">IF(OR(AH99="N/A – RULE",AH99="N/A – JUSTIFIED"),0,1)</f>
        <v>1</v>
      </c>
      <c r="AJ99" s="61" t="n">
        <f aca="false">IF(LEFT(AH99,8)="COMPLETE",1,0)</f>
        <v>0</v>
      </c>
      <c r="AK99" s="61" t="n">
        <f aca="false">IF(AND(AI99=1,AJ99=0,AsOfUTC&gt;Q99),1,0)</f>
        <v>0</v>
      </c>
      <c r="AL99" s="61" t="n">
        <f aca="false">IFERROR(IF(AND(AI99=1,OR(TRIM(U99)="Fail",AND(TRIM(AB99)&lt;&gt;"",TRIM(AB99)&lt;&gt;"Closed"),AND(ISNUMBER(AF99),AF99&lt;&gt;0,TRIM(U99)&lt;&gt;"Pass after CA"))),1,0),1)</f>
        <v>0</v>
      </c>
      <c r="AM99" s="61" t="n">
        <f aca="false">IF(LEFT(AH99,7)="INVALID",1,0)</f>
        <v>0</v>
      </c>
      <c r="AN99" s="61" t="n">
        <f aca="false">IF(AND(N99="Clarification required",AI99=1,AJ99=0),1,0)</f>
        <v>0</v>
      </c>
      <c r="AO99" s="61" t="str">
        <f aca="false">IF(AK99=1,SUM(AK$5:AK99),"")</f>
        <v/>
      </c>
      <c r="AP99" s="61" t="str">
        <f aca="false">IF(AL99=1,SUM(AL$5:AL99),"")</f>
        <v/>
      </c>
      <c r="AQ99" s="61" t="n">
        <v>1</v>
      </c>
      <c r="AR99" s="61" t="n">
        <v>0</v>
      </c>
      <c r="AS99" s="61" t="n">
        <v>0</v>
      </c>
      <c r="AT99" s="61" t="n">
        <v>0</v>
      </c>
      <c r="AU99" s="61" t="str">
        <f aca="false">SUBSTITUTE(SUBSTITUTE(SUBSTITUTE(SUBSTITUTE(SUBSTITUTE(SUBSTITUTE(SUBSTITUTE(SUBSTITUTE(SUBSTITUTE(SUBSTITUTE(SUBSTITUTE(SUBSTITUTE(SUBSTITUTE(LOWER(T99&amp;""),CHAR(160),"")," ",""),".",""),"-",""),"/",""),"?",""),"_",""),",",""),"[",""),"]",""),"(",""),")",""),"*","")</f>
        <v/>
      </c>
      <c r="AV99" s="61" t="str">
        <f aca="false">SUBSTITUTE(SUBSTITUTE(SUBSTITUTE(SUBSTITUTE(SUBSTITUTE(SUBSTITUTE(SUBSTITUTE(SUBSTITUTE(SUBSTITUTE(SUBSTITUTE(SUBSTITUTE(SUBSTITUTE(SUBSTITUTE(LOWER(V99&amp;""),CHAR(160),"")," ",""),".",""),"-",""),"/",""),"?",""),"_",""),",",""),"[",""),"]",""),"(",""),")",""),"*","")</f>
        <v/>
      </c>
      <c r="AW99" s="61" t="str">
        <f aca="false">SUBSTITUTE(SUBSTITUTE(SUBSTITUTE(SUBSTITUTE(SUBSTITUTE(SUBSTITUTE(SUBSTITUTE(SUBSTITUTE(SUBSTITUTE(SUBSTITUTE(SUBSTITUTE(SUBSTITUTE(SUBSTITUTE(LOWER(Z99&amp;""),CHAR(160),"")," ",""),".",""),"-",""),"/",""),"?",""),"_",""),",",""),"[",""),"]",""),"(",""),")",""),"*","")</f>
        <v/>
      </c>
      <c r="AX99" s="61" t="str">
        <f aca="false">SUBSTITUTE(SUBSTITUTE(SUBSTITUTE(SUBSTITUTE(SUBSTITUTE(SUBSTITUTE(SUBSTITUTE(SUBSTITUTE(SUBSTITUTE(SUBSTITUTE(SUBSTITUTE(SUBSTITUTE(SUBSTITUTE(LOWER(AE99&amp;""),CHAR(160),"")," ",""),".",""),"-",""),"/",""),"?",""),"_",""),",",""),"[",""),"]",""),"(",""),")",""),"*","")</f>
        <v/>
      </c>
      <c r="AY99" s="61" t="str">
        <f aca="false">SUBSTITUTE(SUBSTITUTE(SUBSTITUTE(SUBSTITUTE(SUBSTITUTE(SUBSTITUTE(SUBSTITUTE(SUBSTITUTE(SUBSTITUTE(SUBSTITUTE(SUBSTITUTE(SUBSTITUTE(SUBSTITUTE(LOWER(W99&amp;""),CHAR(160),"")," ",""),".",""),"-",""),"/",""),"?",""),"_",""),",",""),"[",""),"]",""),"(",""),")",""),"*","")</f>
        <v/>
      </c>
      <c r="AZ99" s="61" t="str">
        <f aca="false">SUBSTITUTE(SUBSTITUTE(SUBSTITUTE(SUBSTITUTE(SUBSTITUTE(SUBSTITUTE(SUBSTITUTE(SUBSTITUTE(SUBSTITUTE(SUBSTITUTE(SUBSTITUTE(SUBSTITUTE(SUBSTITUTE(LOWER(AC99&amp;""),CHAR(160),"")," ",""),".",""),"-",""),"/",""),"?",""),"_",""),",",""),"[",""),"]",""),"(",""),")",""),"*","")</f>
        <v/>
      </c>
      <c r="BA99" s="61" t="str">
        <f aca="false">SUBSTITUTE(SUBSTITUTE(SUBSTITUTE(SUBSTITUTE(SUBSTITUTE(SUBSTITUTE(SUBSTITUTE(SUBSTITUTE(SUBSTITUTE(SUBSTITUTE(SUBSTITUTE(SUBSTITUTE(SUBSTITUTE(LOWER(AA99&amp;""),CHAR(160),"")," ",""),".",""),"-",""),"/",""),"?",""),"_",""),",",""),"[",""),"]",""),"(",""),")",""),"*","")</f>
        <v/>
      </c>
      <c r="BB99" s="61" t="str">
        <f aca="false">IF(AND(TRIM(U99)="Pass",ISNUMBER(AF99)),IF(AF99&lt;&gt;0,"INVALID – qty variance: use Fail or Pass after CA",""),"")&amp;IF(AND(TRIM(U99)="Pass after CA",ISNUMBER(AF99)),IF(AF99&lt;&gt;0,"INVALID – after the corrective action the actual qty must equal expected (update Actual)",""),"")&amp;IF(AND(TRIM(U99)="Pass",TRIM(AB99)&lt;&gt;"",TRIM(AB99)&lt;&gt;"Closed"),"INVALID – corrective action not closed: use Fail, then Pass after CA","")&amp;IF(AND(TRIM(AA99)&lt;&gt;"",TRIM(AB99)=""),"INVALID – CA status missing for the recorded corrective action","")&amp;IF(AND(TRIM(U99)="Pass after CA",OR(OR(LEN(BA99)&lt;5,ISNUMBER(MATCH(BA99,L_Placeholder,0))),TRIM(AB99)&lt;&gt;"Closed")),"INVALID – corrective action not recorded/closed","")</f>
        <v/>
      </c>
    </row>
    <row r="100" customFormat="false" ht="39.75" hidden="false" customHeight="true" outlineLevel="0" collapsed="false">
      <c r="A100" s="57" t="s">
        <v>571</v>
      </c>
      <c r="B100" s="57" t="s">
        <v>215</v>
      </c>
      <c r="C100" s="57" t="str">
        <f aca="false">Flights!$F$8</f>
        <v>MH0088</v>
      </c>
      <c r="D100" s="58" t="n">
        <f aca="false">Flights!$D$8</f>
        <v>46305</v>
      </c>
      <c r="E100" s="57" t="str">
        <f aca="false">Flights!$G$8&amp;"-"&amp;Flights!$H$8</f>
        <v>KUL-NRT</v>
      </c>
      <c r="F100" s="57" t="str">
        <f aca="false">Flights!$K$8</f>
        <v>BC</v>
      </c>
      <c r="G100" s="57" t="s">
        <v>398</v>
      </c>
      <c r="H100" s="57" t="s">
        <v>356</v>
      </c>
      <c r="I100" s="57" t="s">
        <v>357</v>
      </c>
      <c r="J100" s="57" t="s">
        <v>399</v>
      </c>
      <c r="K100" s="67"/>
      <c r="L100" s="67" t="s">
        <v>400</v>
      </c>
      <c r="M100" s="67"/>
      <c r="N100" s="67" t="s">
        <v>361</v>
      </c>
      <c r="O100" s="67" t="s">
        <v>401</v>
      </c>
      <c r="P100" s="57" t="s">
        <v>184</v>
      </c>
      <c r="Q100" s="59" t="n">
        <f aca="false">ROUND((Flights!$AE$8)*1440,0)/1440</f>
        <v>46305.1458333333</v>
      </c>
      <c r="R100" s="59" t="n">
        <f aca="false">Q100+(IF(AND(INDEX(TZ_DSTS,MATCH(P100,TZ_STN,0))&lt;&gt;"",Q100&gt;=INDEX(TZ_DSTS,MATCH(P100,TZ_STN,0)),Q100&lt;INDEX(TZ_DSTE,MATCH(P100,TZ_STN,0))),INDEX(TZ_DST,MATCH(P100,TZ_STN,0)),INDEX(TZ_STD,MATCH(P100,TZ_STN,0))))/24</f>
        <v>46305.4791666667</v>
      </c>
      <c r="S100" s="59" t="n">
        <f aca="false">Q100-T12EarlyH/24</f>
        <v>46304.6458333333</v>
      </c>
      <c r="T100" s="60"/>
      <c r="U100" s="60"/>
      <c r="V100" s="60"/>
      <c r="W100" s="61"/>
      <c r="X100" s="60"/>
      <c r="Y100" s="60"/>
      <c r="Z100" s="60"/>
      <c r="AA100" s="60"/>
      <c r="AB100" s="60"/>
      <c r="AC100" s="60"/>
      <c r="AD100" s="66"/>
      <c r="AE100" s="60"/>
      <c r="AF100" s="61" t="str">
        <f aca="false">IF(AND(ISNUMBER(X100),ISNUMBER(Y100)),Y100-X100,"")</f>
        <v/>
      </c>
      <c r="AG100" s="62" t="str">
        <f aca="false">IF(ISNUMBER(AD100),AD100-(IF(AND(INDEX(TZ_DSTS,MATCH(P100,TZ_STN,0))&lt;&gt;"",(AD100-INDEX(TZ_STD,MATCH(P100,TZ_STN,0))/24)&gt;=INDEX(TZ_DSTS,MATCH(P100,TZ_STN,0)),(AD100-INDEX(TZ_STD,MATCH(P100,TZ_STN,0))/24)&lt;INDEX(TZ_DSTE,MATCH(P100,TZ_STN,0))),INDEX(TZ_DST,MATCH(P100,TZ_STN,0)),INDEX(TZ_STD,MATCH(P100,TZ_STN,0))))/24,"")</f>
        <v/>
      </c>
      <c r="AH100" s="65" t="str">
        <f aca="false">IFERROR(IF(N100="N/A – rule","N/A – RULE",IF(TRIM(U100)="N/A",IF(AT100=0,"INVALID – N/A not permitted for this check",IF(AND(TRIM(AB100)&lt;&gt;"",TRIM(AB100)&lt;&gt;"Closed"),"INVALID – corrective action still open",IF(AND(NOT(OR(LEN(AZ100)&lt;15,ISNUMBER(MATCH(AZ100,L_Placeholder,0)))),NOT(OR(LEN(AU100)&lt;2,ISNUMBER(MATCH(AU100,L_Placeholder,0)))),NOT(OR(LEN(AX100)&lt;2,ISNUMBER(MATCH(AX100,L_Placeholder,0)))),TRIM(AE100)&lt;&gt;TRIM(T100)),"N/A – JUSTIFIED","INVALID – N/A needs a real justification (15+ chars), PIC and a different verifier"))),IF(OR(TRIM(U100)="Pass",TRIM(U100)="Pass after CA"),IF(NOT(ISNUMBER(AD100)),"INVALID – completion time missing",IF(OR(LEN(AU100)&lt;2,ISNUMBER(MATCH(AU100,L_Placeholder,0))),"INVALID – PIC missing",IF(OR(LEN(AV100)&lt;2,ISNUMBER(MATCH(AV100,L_Placeholder,0))),"INVALID – result / assessment missing",IF(OR(OR(LEN(AW100)&lt;3,ISNUMBER(MATCH(AW100,L_Placeholder,0))),SUMPRODUCT(--ISNUMBER(SEARCH(L_EvidencePhrase,AW100)))&gt;0),"INVALID – evidence missing, placeholder or not yet on file",IF(OR(LEN(AX100)&lt;2,ISNUMBER(MATCH(AX100,L_Placeholder,0))),"INVALID – verifier missing",IF(AX100=AU100,"INVALID – verifier must be someone other than the PIC",IF(AND(TRIM(U100)="Pass",SUMPRODUCT(--ISNUMBER(SEARCH(L_ResultBad,AV100)))&gt;0),"INVALID – result describes a problem: use Fail, then Pass after CA",IF(AND(AQ100=1,OR(LEN(AY100)&lt;3,ISNUMBER(MATCH(AY100,L_Placeholder,0)))),"INVALID – batch ID missing or placeholder",IF(AND(AR100=1,OR(NOT(ISNUMBER(X100)),NOT(ISNUMBER(Y100)))),"INVALID – expected/actual qty missing",IF(AND(AR100=1,OR(X100&lt;=0,Y100&lt;0)),"INVALID – expected qty must be above 0 and actual not negative",IF(BB100&lt;&gt;"",BB100,IF(AND(AS100=1,Documents!$J$8&lt;&gt;"ON FILE"),"INVALID – GLD not on file (Documents sheet)",IF(AND(AS100=2,Documents!$O$8&lt;&gt;"ON FILE"),"INVALID – menu checklist not on file (Documents sheet)",IF(AND(AS100=3,NOT(ISNUMBER(Flights!$AX$8))),"INVALID – enter carrying flight KUL departure (Flights AX)",IF(AND(AS100=3,OR(Flights!$AZ$8&gt;Flights!$AA$8,Flights!$AX$8&lt;Flights!$AA$8-3)),"INVALID – carrying flight (Flights AX) cannot arrive before this leg's STD, or is over 3 days early",IF(AG100&gt;AsOfUTC,"INVALID – completion time is in the future",IF(AND(ISNUMBER(S100),AG100&lt;S100),IF(H100="Physical uplift","INVALID – before uplift window (cannot confirm loading)","INVALID – before valid window"),IF(AG100&gt;Flights!$AA$8,"INVALID – completed after departure (cannot establish readiness)",IF(AND(H100="Preparation",AG100&gt;IF(ISNUMBER(Flights!$BA$8),MIN(Flights!$BA$8,Flights!$AA$8),Flights!$AA$8)),"INVALID – completed after loading / departure (cannot establish readiness)",IF(AND(H100="Physical uplift",AG100&gt;Q100),"INVALID – recorded after the loading flight departed",IF(AG100&gt;Q100,"COMPLETE – LATE","COMPLETE"))))))))))))))))))))),IF(TRIM(U100)="Fail","FAIL – DISCREPANCY",IF(AND(TRIM(U100)&lt;&gt;"",TRIM(U100)&lt;&gt;"Not started",TRIM(U100)&lt;&gt;"In progress"),"INVALID – unrecognised status (use the list)",IF(AsOfUTC&gt;Q100,"OVERDUE",IF(N100="Clarification required","OPEN – CLARIFICATION","OPEN"))))))),"INVALID – error value in an input cell")</f>
        <v>OPEN</v>
      </c>
      <c r="AI100" s="61" t="n">
        <f aca="false">IF(OR(AH100="N/A – RULE",AH100="N/A – JUSTIFIED"),0,1)</f>
        <v>1</v>
      </c>
      <c r="AJ100" s="61" t="n">
        <f aca="false">IF(LEFT(AH100,8)="COMPLETE",1,0)</f>
        <v>0</v>
      </c>
      <c r="AK100" s="61" t="n">
        <f aca="false">IF(AND(AI100=1,AJ100=0,AsOfUTC&gt;Q100),1,0)</f>
        <v>0</v>
      </c>
      <c r="AL100" s="61" t="n">
        <f aca="false">IFERROR(IF(AND(AI100=1,OR(TRIM(U100)="Fail",AND(TRIM(AB100)&lt;&gt;"",TRIM(AB100)&lt;&gt;"Closed"),AND(ISNUMBER(AF100),AF100&lt;&gt;0,TRIM(U100)&lt;&gt;"Pass after CA"))),1,0),1)</f>
        <v>0</v>
      </c>
      <c r="AM100" s="61" t="n">
        <f aca="false">IF(LEFT(AH100,7)="INVALID",1,0)</f>
        <v>0</v>
      </c>
      <c r="AN100" s="61" t="n">
        <f aca="false">IF(AND(N100="Clarification required",AI100=1,AJ100=0),1,0)</f>
        <v>0</v>
      </c>
      <c r="AO100" s="61" t="str">
        <f aca="false">IF(AK100=1,SUM(AK$5:AK100),"")</f>
        <v/>
      </c>
      <c r="AP100" s="61" t="str">
        <f aca="false">IF(AL100=1,SUM(AL$5:AL100),"")</f>
        <v/>
      </c>
      <c r="AQ100" s="61" t="n">
        <v>0</v>
      </c>
      <c r="AR100" s="61" t="n">
        <v>0</v>
      </c>
      <c r="AS100" s="61" t="n">
        <v>0</v>
      </c>
      <c r="AT100" s="61" t="n">
        <v>0</v>
      </c>
      <c r="AU100" s="61" t="str">
        <f aca="false">SUBSTITUTE(SUBSTITUTE(SUBSTITUTE(SUBSTITUTE(SUBSTITUTE(SUBSTITUTE(SUBSTITUTE(SUBSTITUTE(SUBSTITUTE(SUBSTITUTE(SUBSTITUTE(SUBSTITUTE(SUBSTITUTE(LOWER(T100&amp;""),CHAR(160),"")," ",""),".",""),"-",""),"/",""),"?",""),"_",""),",",""),"[",""),"]",""),"(",""),")",""),"*","")</f>
        <v/>
      </c>
      <c r="AV100" s="61" t="str">
        <f aca="false">SUBSTITUTE(SUBSTITUTE(SUBSTITUTE(SUBSTITUTE(SUBSTITUTE(SUBSTITUTE(SUBSTITUTE(SUBSTITUTE(SUBSTITUTE(SUBSTITUTE(SUBSTITUTE(SUBSTITUTE(SUBSTITUTE(LOWER(V100&amp;""),CHAR(160),"")," ",""),".",""),"-",""),"/",""),"?",""),"_",""),",",""),"[",""),"]",""),"(",""),")",""),"*","")</f>
        <v/>
      </c>
      <c r="AW100" s="61" t="str">
        <f aca="false">SUBSTITUTE(SUBSTITUTE(SUBSTITUTE(SUBSTITUTE(SUBSTITUTE(SUBSTITUTE(SUBSTITUTE(SUBSTITUTE(SUBSTITUTE(SUBSTITUTE(SUBSTITUTE(SUBSTITUTE(SUBSTITUTE(LOWER(Z100&amp;""),CHAR(160),"")," ",""),".",""),"-",""),"/",""),"?",""),"_",""),",",""),"[",""),"]",""),"(",""),")",""),"*","")</f>
        <v/>
      </c>
      <c r="AX100" s="61" t="str">
        <f aca="false">SUBSTITUTE(SUBSTITUTE(SUBSTITUTE(SUBSTITUTE(SUBSTITUTE(SUBSTITUTE(SUBSTITUTE(SUBSTITUTE(SUBSTITUTE(SUBSTITUTE(SUBSTITUTE(SUBSTITUTE(SUBSTITUTE(LOWER(AE100&amp;""),CHAR(160),"")," ",""),".",""),"-",""),"/",""),"?",""),"_",""),",",""),"[",""),"]",""),"(",""),")",""),"*","")</f>
        <v/>
      </c>
      <c r="AY100" s="61" t="str">
        <f aca="false">SUBSTITUTE(SUBSTITUTE(SUBSTITUTE(SUBSTITUTE(SUBSTITUTE(SUBSTITUTE(SUBSTITUTE(SUBSTITUTE(SUBSTITUTE(SUBSTITUTE(SUBSTITUTE(SUBSTITUTE(SUBSTITUTE(LOWER(W100&amp;""),CHAR(160),"")," ",""),".",""),"-",""),"/",""),"?",""),"_",""),",",""),"[",""),"]",""),"(",""),")",""),"*","")</f>
        <v/>
      </c>
      <c r="AZ100" s="61" t="str">
        <f aca="false">SUBSTITUTE(SUBSTITUTE(SUBSTITUTE(SUBSTITUTE(SUBSTITUTE(SUBSTITUTE(SUBSTITUTE(SUBSTITUTE(SUBSTITUTE(SUBSTITUTE(SUBSTITUTE(SUBSTITUTE(SUBSTITUTE(LOWER(AC100&amp;""),CHAR(160),"")," ",""),".",""),"-",""),"/",""),"?",""),"_",""),",",""),"[",""),"]",""),"(",""),")",""),"*","")</f>
        <v/>
      </c>
      <c r="BA100" s="61" t="str">
        <f aca="false">SUBSTITUTE(SUBSTITUTE(SUBSTITUTE(SUBSTITUTE(SUBSTITUTE(SUBSTITUTE(SUBSTITUTE(SUBSTITUTE(SUBSTITUTE(SUBSTITUTE(SUBSTITUTE(SUBSTITUTE(SUBSTITUTE(LOWER(AA100&amp;""),CHAR(160),"")," ",""),".",""),"-",""),"/",""),"?",""),"_",""),",",""),"[",""),"]",""),"(",""),")",""),"*","")</f>
        <v/>
      </c>
      <c r="BB100" s="61" t="str">
        <f aca="false">IF(AND(TRIM(U100)="Pass",ISNUMBER(AF100)),IF(AF100&lt;&gt;0,"INVALID – qty variance: use Fail or Pass after CA",""),"")&amp;IF(AND(TRIM(U100)="Pass after CA",ISNUMBER(AF100)),IF(AF100&lt;&gt;0,"INVALID – after the corrective action the actual qty must equal expected (update Actual)",""),"")&amp;IF(AND(TRIM(U100)="Pass",TRIM(AB100)&lt;&gt;"",TRIM(AB100)&lt;&gt;"Closed"),"INVALID – corrective action not closed: use Fail, then Pass after CA","")&amp;IF(AND(TRIM(AA100)&lt;&gt;"",TRIM(AB100)=""),"INVALID – CA status missing for the recorded corrective action","")&amp;IF(AND(TRIM(U100)="Pass after CA",OR(OR(LEN(BA100)&lt;5,ISNUMBER(MATCH(BA100,L_Placeholder,0))),TRIM(AB100)&lt;&gt;"Closed")),"INVALID – corrective action not recorded/closed","")</f>
        <v/>
      </c>
    </row>
    <row r="101" customFormat="false" ht="39.75" hidden="false" customHeight="true" outlineLevel="0" collapsed="false">
      <c r="A101" s="57" t="s">
        <v>572</v>
      </c>
      <c r="B101" s="57" t="s">
        <v>215</v>
      </c>
      <c r="C101" s="57" t="str">
        <f aca="false">Flights!$F$8</f>
        <v>MH0088</v>
      </c>
      <c r="D101" s="58" t="n">
        <f aca="false">Flights!$D$8</f>
        <v>46305</v>
      </c>
      <c r="E101" s="57" t="str">
        <f aca="false">Flights!$G$8&amp;"-"&amp;Flights!$H$8</f>
        <v>KUL-NRT</v>
      </c>
      <c r="F101" s="57" t="str">
        <f aca="false">Flights!$K$8</f>
        <v>BC</v>
      </c>
      <c r="G101" s="57" t="s">
        <v>398</v>
      </c>
      <c r="H101" s="57" t="s">
        <v>356</v>
      </c>
      <c r="I101" s="57" t="s">
        <v>357</v>
      </c>
      <c r="J101" s="57" t="s">
        <v>403</v>
      </c>
      <c r="K101" s="67" t="s">
        <v>404</v>
      </c>
      <c r="L101" s="67" t="s">
        <v>400</v>
      </c>
      <c r="M101" s="67"/>
      <c r="N101" s="67" t="s">
        <v>361</v>
      </c>
      <c r="O101" s="67" t="s">
        <v>401</v>
      </c>
      <c r="P101" s="57" t="s">
        <v>184</v>
      </c>
      <c r="Q101" s="59" t="n">
        <f aca="false">ROUND((Flights!$AE$8)*1440,0)/1440</f>
        <v>46305.1458333333</v>
      </c>
      <c r="R101" s="59" t="n">
        <f aca="false">Q101+(IF(AND(INDEX(TZ_DSTS,MATCH(P101,TZ_STN,0))&lt;&gt;"",Q101&gt;=INDEX(TZ_DSTS,MATCH(P101,TZ_STN,0)),Q101&lt;INDEX(TZ_DSTE,MATCH(P101,TZ_STN,0))),INDEX(TZ_DST,MATCH(P101,TZ_STN,0)),INDEX(TZ_STD,MATCH(P101,TZ_STN,0))))/24</f>
        <v>46305.4791666667</v>
      </c>
      <c r="S101" s="59" t="n">
        <f aca="false">Q101-T12EarlyH/24</f>
        <v>46304.6458333333</v>
      </c>
      <c r="T101" s="60"/>
      <c r="U101" s="60"/>
      <c r="V101" s="60"/>
      <c r="W101" s="61"/>
      <c r="X101" s="60"/>
      <c r="Y101" s="60"/>
      <c r="Z101" s="60"/>
      <c r="AA101" s="60"/>
      <c r="AB101" s="60"/>
      <c r="AC101" s="60"/>
      <c r="AD101" s="66"/>
      <c r="AE101" s="60"/>
      <c r="AF101" s="61" t="str">
        <f aca="false">IF(AND(ISNUMBER(X101),ISNUMBER(Y101)),Y101-X101,"")</f>
        <v/>
      </c>
      <c r="AG101" s="62" t="str">
        <f aca="false">IF(ISNUMBER(AD101),AD101-(IF(AND(INDEX(TZ_DSTS,MATCH(P101,TZ_STN,0))&lt;&gt;"",(AD101-INDEX(TZ_STD,MATCH(P101,TZ_STN,0))/24)&gt;=INDEX(TZ_DSTS,MATCH(P101,TZ_STN,0)),(AD101-INDEX(TZ_STD,MATCH(P101,TZ_STN,0))/24)&lt;INDEX(TZ_DSTE,MATCH(P101,TZ_STN,0))),INDEX(TZ_DST,MATCH(P101,TZ_STN,0)),INDEX(TZ_STD,MATCH(P101,TZ_STN,0))))/24,"")</f>
        <v/>
      </c>
      <c r="AH101" s="65" t="str">
        <f aca="false">IFERROR(IF(N101="N/A – rule","N/A – RULE",IF(TRIM(U101)="N/A",IF(AT101=0,"INVALID – N/A not permitted for this check",IF(AND(TRIM(AB101)&lt;&gt;"",TRIM(AB101)&lt;&gt;"Closed"),"INVALID – corrective action still open",IF(AND(NOT(OR(LEN(AZ101)&lt;15,ISNUMBER(MATCH(AZ101,L_Placeholder,0)))),NOT(OR(LEN(AU101)&lt;2,ISNUMBER(MATCH(AU101,L_Placeholder,0)))),NOT(OR(LEN(AX101)&lt;2,ISNUMBER(MATCH(AX101,L_Placeholder,0)))),TRIM(AE101)&lt;&gt;TRIM(T101)),"N/A – JUSTIFIED","INVALID – N/A needs a real justification (15+ chars), PIC and a different verifier"))),IF(OR(TRIM(U101)="Pass",TRIM(U101)="Pass after CA"),IF(NOT(ISNUMBER(AD101)),"INVALID – completion time missing",IF(OR(LEN(AU101)&lt;2,ISNUMBER(MATCH(AU101,L_Placeholder,0))),"INVALID – PIC missing",IF(OR(LEN(AV101)&lt;2,ISNUMBER(MATCH(AV101,L_Placeholder,0))),"INVALID – result / assessment missing",IF(OR(OR(LEN(AW101)&lt;3,ISNUMBER(MATCH(AW101,L_Placeholder,0))),SUMPRODUCT(--ISNUMBER(SEARCH(L_EvidencePhrase,AW101)))&gt;0),"INVALID – evidence missing, placeholder or not yet on file",IF(OR(LEN(AX101)&lt;2,ISNUMBER(MATCH(AX101,L_Placeholder,0))),"INVALID – verifier missing",IF(AX101=AU101,"INVALID – verifier must be someone other than the PIC",IF(AND(TRIM(U101)="Pass",SUMPRODUCT(--ISNUMBER(SEARCH(L_ResultBad,AV101)))&gt;0),"INVALID – result describes a problem: use Fail, then Pass after CA",IF(AND(AQ101=1,OR(LEN(AY101)&lt;3,ISNUMBER(MATCH(AY101,L_Placeholder,0)))),"INVALID – batch ID missing or placeholder",IF(AND(AR101=1,OR(NOT(ISNUMBER(X101)),NOT(ISNUMBER(Y101)))),"INVALID – expected/actual qty missing",IF(AND(AR101=1,OR(X101&lt;=0,Y101&lt;0)),"INVALID – expected qty must be above 0 and actual not negative",IF(BB101&lt;&gt;"",BB101,IF(AND(AS101=1,Documents!$J$8&lt;&gt;"ON FILE"),"INVALID – GLD not on file (Documents sheet)",IF(AND(AS101=2,Documents!$O$8&lt;&gt;"ON FILE"),"INVALID – menu checklist not on file (Documents sheet)",IF(AND(AS101=3,NOT(ISNUMBER(Flights!$AX$8))),"INVALID – enter carrying flight KUL departure (Flights AX)",IF(AND(AS101=3,OR(Flights!$AZ$8&gt;Flights!$AA$8,Flights!$AX$8&lt;Flights!$AA$8-3)),"INVALID – carrying flight (Flights AX) cannot arrive before this leg's STD, or is over 3 days early",IF(AG101&gt;AsOfUTC,"INVALID – completion time is in the future",IF(AND(ISNUMBER(S101),AG101&lt;S101),IF(H101="Physical uplift","INVALID – before uplift window (cannot confirm loading)","INVALID – before valid window"),IF(AG101&gt;Flights!$AA$8,"INVALID – completed after departure (cannot establish readiness)",IF(AND(H101="Preparation",AG101&gt;IF(ISNUMBER(Flights!$BA$8),MIN(Flights!$BA$8,Flights!$AA$8),Flights!$AA$8)),"INVALID – completed after loading / departure (cannot establish readiness)",IF(AND(H101="Physical uplift",AG101&gt;Q101),"INVALID – recorded after the loading flight departed",IF(AG101&gt;Q101,"COMPLETE – LATE","COMPLETE"))))))))))))))))))))),IF(TRIM(U101)="Fail","FAIL – DISCREPANCY",IF(AND(TRIM(U101)&lt;&gt;"",TRIM(U101)&lt;&gt;"Not started",TRIM(U101)&lt;&gt;"In progress"),"INVALID – unrecognised status (use the list)",IF(AsOfUTC&gt;Q101,"OVERDUE",IF(N101="Clarification required","OPEN – CLARIFICATION","OPEN"))))))),"INVALID – error value in an input cell")</f>
        <v>OPEN</v>
      </c>
      <c r="AI101" s="61" t="n">
        <f aca="false">IF(OR(AH101="N/A – RULE",AH101="N/A – JUSTIFIED"),0,1)</f>
        <v>1</v>
      </c>
      <c r="AJ101" s="61" t="n">
        <f aca="false">IF(LEFT(AH101,8)="COMPLETE",1,0)</f>
        <v>0</v>
      </c>
      <c r="AK101" s="61" t="n">
        <f aca="false">IF(AND(AI101=1,AJ101=0,AsOfUTC&gt;Q101),1,0)</f>
        <v>0</v>
      </c>
      <c r="AL101" s="61" t="n">
        <f aca="false">IFERROR(IF(AND(AI101=1,OR(TRIM(U101)="Fail",AND(TRIM(AB101)&lt;&gt;"",TRIM(AB101)&lt;&gt;"Closed"),AND(ISNUMBER(AF101),AF101&lt;&gt;0,TRIM(U101)&lt;&gt;"Pass after CA"))),1,0),1)</f>
        <v>0</v>
      </c>
      <c r="AM101" s="61" t="n">
        <f aca="false">IF(LEFT(AH101,7)="INVALID",1,0)</f>
        <v>0</v>
      </c>
      <c r="AN101" s="61" t="n">
        <f aca="false">IF(AND(N101="Clarification required",AI101=1,AJ101=0),1,0)</f>
        <v>0</v>
      </c>
      <c r="AO101" s="61" t="str">
        <f aca="false">IF(AK101=1,SUM(AK$5:AK101),"")</f>
        <v/>
      </c>
      <c r="AP101" s="61" t="str">
        <f aca="false">IF(AL101=1,SUM(AL$5:AL101),"")</f>
        <v/>
      </c>
      <c r="AQ101" s="61" t="n">
        <v>0</v>
      </c>
      <c r="AR101" s="61" t="n">
        <v>1</v>
      </c>
      <c r="AS101" s="61" t="n">
        <v>0</v>
      </c>
      <c r="AT101" s="61" t="n">
        <v>0</v>
      </c>
      <c r="AU101" s="61" t="str">
        <f aca="false">SUBSTITUTE(SUBSTITUTE(SUBSTITUTE(SUBSTITUTE(SUBSTITUTE(SUBSTITUTE(SUBSTITUTE(SUBSTITUTE(SUBSTITUTE(SUBSTITUTE(SUBSTITUTE(SUBSTITUTE(SUBSTITUTE(LOWER(T101&amp;""),CHAR(160),"")," ",""),".",""),"-",""),"/",""),"?",""),"_",""),",",""),"[",""),"]",""),"(",""),")",""),"*","")</f>
        <v/>
      </c>
      <c r="AV101" s="61" t="str">
        <f aca="false">SUBSTITUTE(SUBSTITUTE(SUBSTITUTE(SUBSTITUTE(SUBSTITUTE(SUBSTITUTE(SUBSTITUTE(SUBSTITUTE(SUBSTITUTE(SUBSTITUTE(SUBSTITUTE(SUBSTITUTE(SUBSTITUTE(LOWER(V101&amp;""),CHAR(160),"")," ",""),".",""),"-",""),"/",""),"?",""),"_",""),",",""),"[",""),"]",""),"(",""),")",""),"*","")</f>
        <v/>
      </c>
      <c r="AW101" s="61" t="str">
        <f aca="false">SUBSTITUTE(SUBSTITUTE(SUBSTITUTE(SUBSTITUTE(SUBSTITUTE(SUBSTITUTE(SUBSTITUTE(SUBSTITUTE(SUBSTITUTE(SUBSTITUTE(SUBSTITUTE(SUBSTITUTE(SUBSTITUTE(LOWER(Z101&amp;""),CHAR(160),"")," ",""),".",""),"-",""),"/",""),"?",""),"_",""),",",""),"[",""),"]",""),"(",""),")",""),"*","")</f>
        <v/>
      </c>
      <c r="AX101" s="61" t="str">
        <f aca="false">SUBSTITUTE(SUBSTITUTE(SUBSTITUTE(SUBSTITUTE(SUBSTITUTE(SUBSTITUTE(SUBSTITUTE(SUBSTITUTE(SUBSTITUTE(SUBSTITUTE(SUBSTITUTE(SUBSTITUTE(SUBSTITUTE(LOWER(AE101&amp;""),CHAR(160),"")," ",""),".",""),"-",""),"/",""),"?",""),"_",""),",",""),"[",""),"]",""),"(",""),")",""),"*","")</f>
        <v/>
      </c>
      <c r="AY101" s="61" t="str">
        <f aca="false">SUBSTITUTE(SUBSTITUTE(SUBSTITUTE(SUBSTITUTE(SUBSTITUTE(SUBSTITUTE(SUBSTITUTE(SUBSTITUTE(SUBSTITUTE(SUBSTITUTE(SUBSTITUTE(SUBSTITUTE(SUBSTITUTE(LOWER(W101&amp;""),CHAR(160),"")," ",""),".",""),"-",""),"/",""),"?",""),"_",""),",",""),"[",""),"]",""),"(",""),")",""),"*","")</f>
        <v/>
      </c>
      <c r="AZ101" s="61" t="str">
        <f aca="false">SUBSTITUTE(SUBSTITUTE(SUBSTITUTE(SUBSTITUTE(SUBSTITUTE(SUBSTITUTE(SUBSTITUTE(SUBSTITUTE(SUBSTITUTE(SUBSTITUTE(SUBSTITUTE(SUBSTITUTE(SUBSTITUTE(LOWER(AC101&amp;""),CHAR(160),"")," ",""),".",""),"-",""),"/",""),"?",""),"_",""),",",""),"[",""),"]",""),"(",""),")",""),"*","")</f>
        <v/>
      </c>
      <c r="BA101" s="61" t="str">
        <f aca="false">SUBSTITUTE(SUBSTITUTE(SUBSTITUTE(SUBSTITUTE(SUBSTITUTE(SUBSTITUTE(SUBSTITUTE(SUBSTITUTE(SUBSTITUTE(SUBSTITUTE(SUBSTITUTE(SUBSTITUTE(SUBSTITUTE(LOWER(AA101&amp;""),CHAR(160),"")," ",""),".",""),"-",""),"/",""),"?",""),"_",""),",",""),"[",""),"]",""),"(",""),")",""),"*","")</f>
        <v/>
      </c>
      <c r="BB101" s="61" t="str">
        <f aca="false">IF(AND(TRIM(U101)="Pass",ISNUMBER(AF101)),IF(AF101&lt;&gt;0,"INVALID – qty variance: use Fail or Pass after CA",""),"")&amp;IF(AND(TRIM(U101)="Pass after CA",ISNUMBER(AF101)),IF(AF101&lt;&gt;0,"INVALID – after the corrective action the actual qty must equal expected (update Actual)",""),"")&amp;IF(AND(TRIM(U101)="Pass",TRIM(AB101)&lt;&gt;"",TRIM(AB101)&lt;&gt;"Closed"),"INVALID – corrective action not closed: use Fail, then Pass after CA","")&amp;IF(AND(TRIM(AA101)&lt;&gt;"",TRIM(AB101)=""),"INVALID – CA status missing for the recorded corrective action","")&amp;IF(AND(TRIM(U101)="Pass after CA",OR(OR(LEN(BA101)&lt;5,ISNUMBER(MATCH(BA101,L_Placeholder,0))),TRIM(AB101)&lt;&gt;"Closed")),"INVALID – corrective action not recorded/closed","")</f>
        <v/>
      </c>
    </row>
    <row r="102" customFormat="false" ht="39.75" hidden="false" customHeight="true" outlineLevel="0" collapsed="false">
      <c r="A102" s="57" t="s">
        <v>573</v>
      </c>
      <c r="B102" s="57" t="s">
        <v>215</v>
      </c>
      <c r="C102" s="57" t="str">
        <f aca="false">Flights!$F$8</f>
        <v>MH0088</v>
      </c>
      <c r="D102" s="58" t="n">
        <f aca="false">Flights!$D$8</f>
        <v>46305</v>
      </c>
      <c r="E102" s="57" t="str">
        <f aca="false">Flights!$G$8&amp;"-"&amp;Flights!$H$8</f>
        <v>KUL-NRT</v>
      </c>
      <c r="F102" s="57" t="str">
        <f aca="false">Flights!$K$8</f>
        <v>BC</v>
      </c>
      <c r="G102" s="57" t="s">
        <v>398</v>
      </c>
      <c r="H102" s="57" t="s">
        <v>356</v>
      </c>
      <c r="I102" s="57" t="s">
        <v>406</v>
      </c>
      <c r="J102" s="57" t="s">
        <v>407</v>
      </c>
      <c r="K102" s="67"/>
      <c r="L102" s="67" t="s">
        <v>400</v>
      </c>
      <c r="M102" s="67"/>
      <c r="N102" s="67" t="s">
        <v>361</v>
      </c>
      <c r="O102" s="67" t="s">
        <v>401</v>
      </c>
      <c r="P102" s="57" t="s">
        <v>184</v>
      </c>
      <c r="Q102" s="59" t="n">
        <f aca="false">ROUND((Flights!$AE$8)*1440,0)/1440</f>
        <v>46305.1458333333</v>
      </c>
      <c r="R102" s="59" t="n">
        <f aca="false">Q102+(IF(AND(INDEX(TZ_DSTS,MATCH(P102,TZ_STN,0))&lt;&gt;"",Q102&gt;=INDEX(TZ_DSTS,MATCH(P102,TZ_STN,0)),Q102&lt;INDEX(TZ_DSTE,MATCH(P102,TZ_STN,0))),INDEX(TZ_DST,MATCH(P102,TZ_STN,0)),INDEX(TZ_STD,MATCH(P102,TZ_STN,0))))/24</f>
        <v>46305.4791666667</v>
      </c>
      <c r="S102" s="59" t="n">
        <f aca="false">Q102-T12EarlyH/24</f>
        <v>46304.6458333333</v>
      </c>
      <c r="T102" s="60"/>
      <c r="U102" s="60"/>
      <c r="V102" s="60"/>
      <c r="W102" s="61"/>
      <c r="X102" s="60"/>
      <c r="Y102" s="60"/>
      <c r="Z102" s="60"/>
      <c r="AA102" s="60"/>
      <c r="AB102" s="60"/>
      <c r="AC102" s="60"/>
      <c r="AD102" s="66"/>
      <c r="AE102" s="60"/>
      <c r="AF102" s="61" t="str">
        <f aca="false">IF(AND(ISNUMBER(X102),ISNUMBER(Y102)),Y102-X102,"")</f>
        <v/>
      </c>
      <c r="AG102" s="62" t="str">
        <f aca="false">IF(ISNUMBER(AD102),AD102-(IF(AND(INDEX(TZ_DSTS,MATCH(P102,TZ_STN,0))&lt;&gt;"",(AD102-INDEX(TZ_STD,MATCH(P102,TZ_STN,0))/24)&gt;=INDEX(TZ_DSTS,MATCH(P102,TZ_STN,0)),(AD102-INDEX(TZ_STD,MATCH(P102,TZ_STN,0))/24)&lt;INDEX(TZ_DSTE,MATCH(P102,TZ_STN,0))),INDEX(TZ_DST,MATCH(P102,TZ_STN,0)),INDEX(TZ_STD,MATCH(P102,TZ_STN,0))))/24,"")</f>
        <v/>
      </c>
      <c r="AH102" s="65" t="str">
        <f aca="false">IFERROR(IF(N102="N/A – rule","N/A – RULE",IF(TRIM(U102)="N/A",IF(AT102=0,"INVALID – N/A not permitted for this check",IF(AND(TRIM(AB102)&lt;&gt;"",TRIM(AB102)&lt;&gt;"Closed"),"INVALID – corrective action still open",IF(AND(NOT(OR(LEN(AZ102)&lt;15,ISNUMBER(MATCH(AZ102,L_Placeholder,0)))),NOT(OR(LEN(AU102)&lt;2,ISNUMBER(MATCH(AU102,L_Placeholder,0)))),NOT(OR(LEN(AX102)&lt;2,ISNUMBER(MATCH(AX102,L_Placeholder,0)))),TRIM(AE102)&lt;&gt;TRIM(T102)),"N/A – JUSTIFIED","INVALID – N/A needs a real justification (15+ chars), PIC and a different verifier"))),IF(OR(TRIM(U102)="Pass",TRIM(U102)="Pass after CA"),IF(NOT(ISNUMBER(AD102)),"INVALID – completion time missing",IF(OR(LEN(AU102)&lt;2,ISNUMBER(MATCH(AU102,L_Placeholder,0))),"INVALID – PIC missing",IF(OR(LEN(AV102)&lt;2,ISNUMBER(MATCH(AV102,L_Placeholder,0))),"INVALID – result / assessment missing",IF(OR(OR(LEN(AW102)&lt;3,ISNUMBER(MATCH(AW102,L_Placeholder,0))),SUMPRODUCT(--ISNUMBER(SEARCH(L_EvidencePhrase,AW102)))&gt;0),"INVALID – evidence missing, placeholder or not yet on file",IF(OR(LEN(AX102)&lt;2,ISNUMBER(MATCH(AX102,L_Placeholder,0))),"INVALID – verifier missing",IF(AX102=AU102,"INVALID – verifier must be someone other than the PIC",IF(AND(TRIM(U102)="Pass",SUMPRODUCT(--ISNUMBER(SEARCH(L_ResultBad,AV102)))&gt;0),"INVALID – result describes a problem: use Fail, then Pass after CA",IF(AND(AQ102=1,OR(LEN(AY102)&lt;3,ISNUMBER(MATCH(AY102,L_Placeholder,0)))),"INVALID – batch ID missing or placeholder",IF(AND(AR102=1,OR(NOT(ISNUMBER(X102)),NOT(ISNUMBER(Y102)))),"INVALID – expected/actual qty missing",IF(AND(AR102=1,OR(X102&lt;=0,Y102&lt;0)),"INVALID – expected qty must be above 0 and actual not negative",IF(BB102&lt;&gt;"",BB102,IF(AND(AS102=1,Documents!$J$8&lt;&gt;"ON FILE"),"INVALID – GLD not on file (Documents sheet)",IF(AND(AS102=2,Documents!$O$8&lt;&gt;"ON FILE"),"INVALID – menu checklist not on file (Documents sheet)",IF(AND(AS102=3,NOT(ISNUMBER(Flights!$AX$8))),"INVALID – enter carrying flight KUL departure (Flights AX)",IF(AND(AS102=3,OR(Flights!$AZ$8&gt;Flights!$AA$8,Flights!$AX$8&lt;Flights!$AA$8-3)),"INVALID – carrying flight (Flights AX) cannot arrive before this leg's STD, or is over 3 days early",IF(AG102&gt;AsOfUTC,"INVALID – completion time is in the future",IF(AND(ISNUMBER(S102),AG102&lt;S102),IF(H102="Physical uplift","INVALID – before uplift window (cannot confirm loading)","INVALID – before valid window"),IF(AG102&gt;Flights!$AA$8,"INVALID – completed after departure (cannot establish readiness)",IF(AND(H102="Preparation",AG102&gt;IF(ISNUMBER(Flights!$BA$8),MIN(Flights!$BA$8,Flights!$AA$8),Flights!$AA$8)),"INVALID – completed after loading / departure (cannot establish readiness)",IF(AND(H102="Physical uplift",AG102&gt;Q102),"INVALID – recorded after the loading flight departed",IF(AG102&gt;Q102,"COMPLETE – LATE","COMPLETE"))))))))))))))))))))),IF(TRIM(U102)="Fail","FAIL – DISCREPANCY",IF(AND(TRIM(U102)&lt;&gt;"",TRIM(U102)&lt;&gt;"Not started",TRIM(U102)&lt;&gt;"In progress"),"INVALID – unrecognised status (use the list)",IF(AsOfUTC&gt;Q102,"OVERDUE",IF(N102="Clarification required","OPEN – CLARIFICATION","OPEN"))))))),"INVALID – error value in an input cell")</f>
        <v>OPEN</v>
      </c>
      <c r="AI102" s="61" t="n">
        <f aca="false">IF(OR(AH102="N/A – RULE",AH102="N/A – JUSTIFIED"),0,1)</f>
        <v>1</v>
      </c>
      <c r="AJ102" s="61" t="n">
        <f aca="false">IF(LEFT(AH102,8)="COMPLETE",1,0)</f>
        <v>0</v>
      </c>
      <c r="AK102" s="61" t="n">
        <f aca="false">IF(AND(AI102=1,AJ102=0,AsOfUTC&gt;Q102),1,0)</f>
        <v>0</v>
      </c>
      <c r="AL102" s="61" t="n">
        <f aca="false">IFERROR(IF(AND(AI102=1,OR(TRIM(U102)="Fail",AND(TRIM(AB102)&lt;&gt;"",TRIM(AB102)&lt;&gt;"Closed"),AND(ISNUMBER(AF102),AF102&lt;&gt;0,TRIM(U102)&lt;&gt;"Pass after CA"))),1,0),1)</f>
        <v>0</v>
      </c>
      <c r="AM102" s="61" t="n">
        <f aca="false">IF(LEFT(AH102,7)="INVALID",1,0)</f>
        <v>0</v>
      </c>
      <c r="AN102" s="61" t="n">
        <f aca="false">IF(AND(N102="Clarification required",AI102=1,AJ102=0),1,0)</f>
        <v>0</v>
      </c>
      <c r="AO102" s="61" t="str">
        <f aca="false">IF(AK102=1,SUM(AK$5:AK102),"")</f>
        <v/>
      </c>
      <c r="AP102" s="61" t="str">
        <f aca="false">IF(AL102=1,SUM(AL$5:AL102),"")</f>
        <v/>
      </c>
      <c r="AQ102" s="61" t="n">
        <v>0</v>
      </c>
      <c r="AR102" s="61" t="n">
        <v>0</v>
      </c>
      <c r="AS102" s="61" t="n">
        <v>0</v>
      </c>
      <c r="AT102" s="61" t="n">
        <v>0</v>
      </c>
      <c r="AU102" s="61" t="str">
        <f aca="false">SUBSTITUTE(SUBSTITUTE(SUBSTITUTE(SUBSTITUTE(SUBSTITUTE(SUBSTITUTE(SUBSTITUTE(SUBSTITUTE(SUBSTITUTE(SUBSTITUTE(SUBSTITUTE(SUBSTITUTE(SUBSTITUTE(LOWER(T102&amp;""),CHAR(160),"")," ",""),".",""),"-",""),"/",""),"?",""),"_",""),",",""),"[",""),"]",""),"(",""),")",""),"*","")</f>
        <v/>
      </c>
      <c r="AV102" s="61" t="str">
        <f aca="false">SUBSTITUTE(SUBSTITUTE(SUBSTITUTE(SUBSTITUTE(SUBSTITUTE(SUBSTITUTE(SUBSTITUTE(SUBSTITUTE(SUBSTITUTE(SUBSTITUTE(SUBSTITUTE(SUBSTITUTE(SUBSTITUTE(LOWER(V102&amp;""),CHAR(160),"")," ",""),".",""),"-",""),"/",""),"?",""),"_",""),",",""),"[",""),"]",""),"(",""),")",""),"*","")</f>
        <v/>
      </c>
      <c r="AW102" s="61" t="str">
        <f aca="false">SUBSTITUTE(SUBSTITUTE(SUBSTITUTE(SUBSTITUTE(SUBSTITUTE(SUBSTITUTE(SUBSTITUTE(SUBSTITUTE(SUBSTITUTE(SUBSTITUTE(SUBSTITUTE(SUBSTITUTE(SUBSTITUTE(LOWER(Z102&amp;""),CHAR(160),"")," ",""),".",""),"-",""),"/",""),"?",""),"_",""),",",""),"[",""),"]",""),"(",""),")",""),"*","")</f>
        <v/>
      </c>
      <c r="AX102" s="61" t="str">
        <f aca="false">SUBSTITUTE(SUBSTITUTE(SUBSTITUTE(SUBSTITUTE(SUBSTITUTE(SUBSTITUTE(SUBSTITUTE(SUBSTITUTE(SUBSTITUTE(SUBSTITUTE(SUBSTITUTE(SUBSTITUTE(SUBSTITUTE(LOWER(AE102&amp;""),CHAR(160),"")," ",""),".",""),"-",""),"/",""),"?",""),"_",""),",",""),"[",""),"]",""),"(",""),")",""),"*","")</f>
        <v/>
      </c>
      <c r="AY102" s="61" t="str">
        <f aca="false">SUBSTITUTE(SUBSTITUTE(SUBSTITUTE(SUBSTITUTE(SUBSTITUTE(SUBSTITUTE(SUBSTITUTE(SUBSTITUTE(SUBSTITUTE(SUBSTITUTE(SUBSTITUTE(SUBSTITUTE(SUBSTITUTE(LOWER(W102&amp;""),CHAR(160),"")," ",""),".",""),"-",""),"/",""),"?",""),"_",""),",",""),"[",""),"]",""),"(",""),")",""),"*","")</f>
        <v/>
      </c>
      <c r="AZ102" s="61" t="str">
        <f aca="false">SUBSTITUTE(SUBSTITUTE(SUBSTITUTE(SUBSTITUTE(SUBSTITUTE(SUBSTITUTE(SUBSTITUTE(SUBSTITUTE(SUBSTITUTE(SUBSTITUTE(SUBSTITUTE(SUBSTITUTE(SUBSTITUTE(LOWER(AC102&amp;""),CHAR(160),"")," ",""),".",""),"-",""),"/",""),"?",""),"_",""),",",""),"[",""),"]",""),"(",""),")",""),"*","")</f>
        <v/>
      </c>
      <c r="BA102" s="61" t="str">
        <f aca="false">SUBSTITUTE(SUBSTITUTE(SUBSTITUTE(SUBSTITUTE(SUBSTITUTE(SUBSTITUTE(SUBSTITUTE(SUBSTITUTE(SUBSTITUTE(SUBSTITUTE(SUBSTITUTE(SUBSTITUTE(SUBSTITUTE(LOWER(AA102&amp;""),CHAR(160),"")," ",""),".",""),"-",""),"/",""),"?",""),"_",""),",",""),"[",""),"]",""),"(",""),")",""),"*","")</f>
        <v/>
      </c>
      <c r="BB102" s="61" t="str">
        <f aca="false">IF(AND(TRIM(U102)="Pass",ISNUMBER(AF102)),IF(AF102&lt;&gt;0,"INVALID – qty variance: use Fail or Pass after CA",""),"")&amp;IF(AND(TRIM(U102)="Pass after CA",ISNUMBER(AF102)),IF(AF102&lt;&gt;0,"INVALID – after the corrective action the actual qty must equal expected (update Actual)",""),"")&amp;IF(AND(TRIM(U102)="Pass",TRIM(AB102)&lt;&gt;"",TRIM(AB102)&lt;&gt;"Closed"),"INVALID – corrective action not closed: use Fail, then Pass after CA","")&amp;IF(AND(TRIM(AA102)&lt;&gt;"",TRIM(AB102)=""),"INVALID – CA status missing for the recorded corrective action","")&amp;IF(AND(TRIM(U102)="Pass after CA",OR(OR(LEN(BA102)&lt;5,ISNUMBER(MATCH(BA102,L_Placeholder,0))),TRIM(AB102)&lt;&gt;"Closed")),"INVALID – corrective action not recorded/closed","")</f>
        <v/>
      </c>
    </row>
    <row r="103" customFormat="false" ht="39.75" hidden="false" customHeight="true" outlineLevel="0" collapsed="false">
      <c r="A103" s="57" t="s">
        <v>574</v>
      </c>
      <c r="B103" s="57" t="s">
        <v>215</v>
      </c>
      <c r="C103" s="57" t="str">
        <f aca="false">Flights!$F$8</f>
        <v>MH0088</v>
      </c>
      <c r="D103" s="58" t="n">
        <f aca="false">Flights!$D$8</f>
        <v>46305</v>
      </c>
      <c r="E103" s="57" t="str">
        <f aca="false">Flights!$G$8&amp;"-"&amp;Flights!$H$8</f>
        <v>KUL-NRT</v>
      </c>
      <c r="F103" s="57" t="str">
        <f aca="false">Flights!$K$8</f>
        <v>BC</v>
      </c>
      <c r="G103" s="57" t="s">
        <v>398</v>
      </c>
      <c r="H103" s="57" t="s">
        <v>356</v>
      </c>
      <c r="I103" s="57" t="s">
        <v>406</v>
      </c>
      <c r="J103" s="57" t="s">
        <v>409</v>
      </c>
      <c r="K103" s="67"/>
      <c r="L103" s="67" t="s">
        <v>400</v>
      </c>
      <c r="M103" s="67"/>
      <c r="N103" s="67" t="s">
        <v>361</v>
      </c>
      <c r="O103" s="67" t="s">
        <v>401</v>
      </c>
      <c r="P103" s="57" t="s">
        <v>184</v>
      </c>
      <c r="Q103" s="59" t="n">
        <f aca="false">ROUND((Flights!$AE$8)*1440,0)/1440</f>
        <v>46305.1458333333</v>
      </c>
      <c r="R103" s="59" t="n">
        <f aca="false">Q103+(IF(AND(INDEX(TZ_DSTS,MATCH(P103,TZ_STN,0))&lt;&gt;"",Q103&gt;=INDEX(TZ_DSTS,MATCH(P103,TZ_STN,0)),Q103&lt;INDEX(TZ_DSTE,MATCH(P103,TZ_STN,0))),INDEX(TZ_DST,MATCH(P103,TZ_STN,0)),INDEX(TZ_STD,MATCH(P103,TZ_STN,0))))/24</f>
        <v>46305.4791666667</v>
      </c>
      <c r="S103" s="59" t="n">
        <f aca="false">Q103-T12EarlyH/24</f>
        <v>46304.6458333333</v>
      </c>
      <c r="T103" s="60"/>
      <c r="U103" s="60"/>
      <c r="V103" s="60"/>
      <c r="W103" s="61"/>
      <c r="X103" s="60"/>
      <c r="Y103" s="60"/>
      <c r="Z103" s="60"/>
      <c r="AA103" s="60"/>
      <c r="AB103" s="60"/>
      <c r="AC103" s="60"/>
      <c r="AD103" s="66"/>
      <c r="AE103" s="60"/>
      <c r="AF103" s="61" t="str">
        <f aca="false">IF(AND(ISNUMBER(X103),ISNUMBER(Y103)),Y103-X103,"")</f>
        <v/>
      </c>
      <c r="AG103" s="62" t="str">
        <f aca="false">IF(ISNUMBER(AD103),AD103-(IF(AND(INDEX(TZ_DSTS,MATCH(P103,TZ_STN,0))&lt;&gt;"",(AD103-INDEX(TZ_STD,MATCH(P103,TZ_STN,0))/24)&gt;=INDEX(TZ_DSTS,MATCH(P103,TZ_STN,0)),(AD103-INDEX(TZ_STD,MATCH(P103,TZ_STN,0))/24)&lt;INDEX(TZ_DSTE,MATCH(P103,TZ_STN,0))),INDEX(TZ_DST,MATCH(P103,TZ_STN,0)),INDEX(TZ_STD,MATCH(P103,TZ_STN,0))))/24,"")</f>
        <v/>
      </c>
      <c r="AH103" s="65" t="str">
        <f aca="false">IFERROR(IF(N103="N/A – rule","N/A – RULE",IF(TRIM(U103)="N/A",IF(AT103=0,"INVALID – N/A not permitted for this check",IF(AND(TRIM(AB103)&lt;&gt;"",TRIM(AB103)&lt;&gt;"Closed"),"INVALID – corrective action still open",IF(AND(NOT(OR(LEN(AZ103)&lt;15,ISNUMBER(MATCH(AZ103,L_Placeholder,0)))),NOT(OR(LEN(AU103)&lt;2,ISNUMBER(MATCH(AU103,L_Placeholder,0)))),NOT(OR(LEN(AX103)&lt;2,ISNUMBER(MATCH(AX103,L_Placeholder,0)))),TRIM(AE103)&lt;&gt;TRIM(T103)),"N/A – JUSTIFIED","INVALID – N/A needs a real justification (15+ chars), PIC and a different verifier"))),IF(OR(TRIM(U103)="Pass",TRIM(U103)="Pass after CA"),IF(NOT(ISNUMBER(AD103)),"INVALID – completion time missing",IF(OR(LEN(AU103)&lt;2,ISNUMBER(MATCH(AU103,L_Placeholder,0))),"INVALID – PIC missing",IF(OR(LEN(AV103)&lt;2,ISNUMBER(MATCH(AV103,L_Placeholder,0))),"INVALID – result / assessment missing",IF(OR(OR(LEN(AW103)&lt;3,ISNUMBER(MATCH(AW103,L_Placeholder,0))),SUMPRODUCT(--ISNUMBER(SEARCH(L_EvidencePhrase,AW103)))&gt;0),"INVALID – evidence missing, placeholder or not yet on file",IF(OR(LEN(AX103)&lt;2,ISNUMBER(MATCH(AX103,L_Placeholder,0))),"INVALID – verifier missing",IF(AX103=AU103,"INVALID – verifier must be someone other than the PIC",IF(AND(TRIM(U103)="Pass",SUMPRODUCT(--ISNUMBER(SEARCH(L_ResultBad,AV103)))&gt;0),"INVALID – result describes a problem: use Fail, then Pass after CA",IF(AND(AQ103=1,OR(LEN(AY103)&lt;3,ISNUMBER(MATCH(AY103,L_Placeholder,0)))),"INVALID – batch ID missing or placeholder",IF(AND(AR103=1,OR(NOT(ISNUMBER(X103)),NOT(ISNUMBER(Y103)))),"INVALID – expected/actual qty missing",IF(AND(AR103=1,OR(X103&lt;=0,Y103&lt;0)),"INVALID – expected qty must be above 0 and actual not negative",IF(BB103&lt;&gt;"",BB103,IF(AND(AS103=1,Documents!$J$8&lt;&gt;"ON FILE"),"INVALID – GLD not on file (Documents sheet)",IF(AND(AS103=2,Documents!$O$8&lt;&gt;"ON FILE"),"INVALID – menu checklist not on file (Documents sheet)",IF(AND(AS103=3,NOT(ISNUMBER(Flights!$AX$8))),"INVALID – enter carrying flight KUL departure (Flights AX)",IF(AND(AS103=3,OR(Flights!$AZ$8&gt;Flights!$AA$8,Flights!$AX$8&lt;Flights!$AA$8-3)),"INVALID – carrying flight (Flights AX) cannot arrive before this leg's STD, or is over 3 days early",IF(AG103&gt;AsOfUTC,"INVALID – completion time is in the future",IF(AND(ISNUMBER(S103),AG103&lt;S103),IF(H103="Physical uplift","INVALID – before uplift window (cannot confirm loading)","INVALID – before valid window"),IF(AG103&gt;Flights!$AA$8,"INVALID – completed after departure (cannot establish readiness)",IF(AND(H103="Preparation",AG103&gt;IF(ISNUMBER(Flights!$BA$8),MIN(Flights!$BA$8,Flights!$AA$8),Flights!$AA$8)),"INVALID – completed after loading / departure (cannot establish readiness)",IF(AND(H103="Physical uplift",AG103&gt;Q103),"INVALID – recorded after the loading flight departed",IF(AG103&gt;Q103,"COMPLETE – LATE","COMPLETE"))))))))))))))))))))),IF(TRIM(U103)="Fail","FAIL – DISCREPANCY",IF(AND(TRIM(U103)&lt;&gt;"",TRIM(U103)&lt;&gt;"Not started",TRIM(U103)&lt;&gt;"In progress"),"INVALID – unrecognised status (use the list)",IF(AsOfUTC&gt;Q103,"OVERDUE",IF(N103="Clarification required","OPEN – CLARIFICATION","OPEN"))))))),"INVALID – error value in an input cell")</f>
        <v>OPEN</v>
      </c>
      <c r="AI103" s="61" t="n">
        <f aca="false">IF(OR(AH103="N/A – RULE",AH103="N/A – JUSTIFIED"),0,1)</f>
        <v>1</v>
      </c>
      <c r="AJ103" s="61" t="n">
        <f aca="false">IF(LEFT(AH103,8)="COMPLETE",1,0)</f>
        <v>0</v>
      </c>
      <c r="AK103" s="61" t="n">
        <f aca="false">IF(AND(AI103=1,AJ103=0,AsOfUTC&gt;Q103),1,0)</f>
        <v>0</v>
      </c>
      <c r="AL103" s="61" t="n">
        <f aca="false">IFERROR(IF(AND(AI103=1,OR(TRIM(U103)="Fail",AND(TRIM(AB103)&lt;&gt;"",TRIM(AB103)&lt;&gt;"Closed"),AND(ISNUMBER(AF103),AF103&lt;&gt;0,TRIM(U103)&lt;&gt;"Pass after CA"))),1,0),1)</f>
        <v>0</v>
      </c>
      <c r="AM103" s="61" t="n">
        <f aca="false">IF(LEFT(AH103,7)="INVALID",1,0)</f>
        <v>0</v>
      </c>
      <c r="AN103" s="61" t="n">
        <f aca="false">IF(AND(N103="Clarification required",AI103=1,AJ103=0),1,0)</f>
        <v>0</v>
      </c>
      <c r="AO103" s="61" t="str">
        <f aca="false">IF(AK103=1,SUM(AK$5:AK103),"")</f>
        <v/>
      </c>
      <c r="AP103" s="61" t="str">
        <f aca="false">IF(AL103=1,SUM(AL$5:AL103),"")</f>
        <v/>
      </c>
      <c r="AQ103" s="61" t="n">
        <v>0</v>
      </c>
      <c r="AR103" s="61" t="n">
        <v>0</v>
      </c>
      <c r="AS103" s="61" t="n">
        <v>0</v>
      </c>
      <c r="AT103" s="61" t="n">
        <v>0</v>
      </c>
      <c r="AU103" s="61" t="str">
        <f aca="false">SUBSTITUTE(SUBSTITUTE(SUBSTITUTE(SUBSTITUTE(SUBSTITUTE(SUBSTITUTE(SUBSTITUTE(SUBSTITUTE(SUBSTITUTE(SUBSTITUTE(SUBSTITUTE(SUBSTITUTE(SUBSTITUTE(LOWER(T103&amp;""),CHAR(160),"")," ",""),".",""),"-",""),"/",""),"?",""),"_",""),",",""),"[",""),"]",""),"(",""),")",""),"*","")</f>
        <v/>
      </c>
      <c r="AV103" s="61" t="str">
        <f aca="false">SUBSTITUTE(SUBSTITUTE(SUBSTITUTE(SUBSTITUTE(SUBSTITUTE(SUBSTITUTE(SUBSTITUTE(SUBSTITUTE(SUBSTITUTE(SUBSTITUTE(SUBSTITUTE(SUBSTITUTE(SUBSTITUTE(LOWER(V103&amp;""),CHAR(160),"")," ",""),".",""),"-",""),"/",""),"?",""),"_",""),",",""),"[",""),"]",""),"(",""),")",""),"*","")</f>
        <v/>
      </c>
      <c r="AW103" s="61" t="str">
        <f aca="false">SUBSTITUTE(SUBSTITUTE(SUBSTITUTE(SUBSTITUTE(SUBSTITUTE(SUBSTITUTE(SUBSTITUTE(SUBSTITUTE(SUBSTITUTE(SUBSTITUTE(SUBSTITUTE(SUBSTITUTE(SUBSTITUTE(LOWER(Z103&amp;""),CHAR(160),"")," ",""),".",""),"-",""),"/",""),"?",""),"_",""),",",""),"[",""),"]",""),"(",""),")",""),"*","")</f>
        <v/>
      </c>
      <c r="AX103" s="61" t="str">
        <f aca="false">SUBSTITUTE(SUBSTITUTE(SUBSTITUTE(SUBSTITUTE(SUBSTITUTE(SUBSTITUTE(SUBSTITUTE(SUBSTITUTE(SUBSTITUTE(SUBSTITUTE(SUBSTITUTE(SUBSTITUTE(SUBSTITUTE(LOWER(AE103&amp;""),CHAR(160),"")," ",""),".",""),"-",""),"/",""),"?",""),"_",""),",",""),"[",""),"]",""),"(",""),")",""),"*","")</f>
        <v/>
      </c>
      <c r="AY103" s="61" t="str">
        <f aca="false">SUBSTITUTE(SUBSTITUTE(SUBSTITUTE(SUBSTITUTE(SUBSTITUTE(SUBSTITUTE(SUBSTITUTE(SUBSTITUTE(SUBSTITUTE(SUBSTITUTE(SUBSTITUTE(SUBSTITUTE(SUBSTITUTE(LOWER(W103&amp;""),CHAR(160),"")," ",""),".",""),"-",""),"/",""),"?",""),"_",""),",",""),"[",""),"]",""),"(",""),")",""),"*","")</f>
        <v/>
      </c>
      <c r="AZ103" s="61" t="str">
        <f aca="false">SUBSTITUTE(SUBSTITUTE(SUBSTITUTE(SUBSTITUTE(SUBSTITUTE(SUBSTITUTE(SUBSTITUTE(SUBSTITUTE(SUBSTITUTE(SUBSTITUTE(SUBSTITUTE(SUBSTITUTE(SUBSTITUTE(LOWER(AC103&amp;""),CHAR(160),"")," ",""),".",""),"-",""),"/",""),"?",""),"_",""),",",""),"[",""),"]",""),"(",""),")",""),"*","")</f>
        <v/>
      </c>
      <c r="BA103" s="61" t="str">
        <f aca="false">SUBSTITUTE(SUBSTITUTE(SUBSTITUTE(SUBSTITUTE(SUBSTITUTE(SUBSTITUTE(SUBSTITUTE(SUBSTITUTE(SUBSTITUTE(SUBSTITUTE(SUBSTITUTE(SUBSTITUTE(SUBSTITUTE(LOWER(AA103&amp;""),CHAR(160),"")," ",""),".",""),"-",""),"/",""),"?",""),"_",""),",",""),"[",""),"]",""),"(",""),")",""),"*","")</f>
        <v/>
      </c>
      <c r="BB103" s="61" t="str">
        <f aca="false">IF(AND(TRIM(U103)="Pass",ISNUMBER(AF103)),IF(AF103&lt;&gt;0,"INVALID – qty variance: use Fail or Pass after CA",""),"")&amp;IF(AND(TRIM(U103)="Pass after CA",ISNUMBER(AF103)),IF(AF103&lt;&gt;0,"INVALID – after the corrective action the actual qty must equal expected (update Actual)",""),"")&amp;IF(AND(TRIM(U103)="Pass",TRIM(AB103)&lt;&gt;"",TRIM(AB103)&lt;&gt;"Closed"),"INVALID – corrective action not closed: use Fail, then Pass after CA","")&amp;IF(AND(TRIM(AA103)&lt;&gt;"",TRIM(AB103)=""),"INVALID – CA status missing for the recorded corrective action","")&amp;IF(AND(TRIM(U103)="Pass after CA",OR(OR(LEN(BA103)&lt;5,ISNUMBER(MATCH(BA103,L_Placeholder,0))),TRIM(AB103)&lt;&gt;"Closed")),"INVALID – corrective action not recorded/closed","")</f>
        <v/>
      </c>
    </row>
    <row r="104" customFormat="false" ht="39.75" hidden="false" customHeight="true" outlineLevel="0" collapsed="false">
      <c r="A104" s="57" t="s">
        <v>575</v>
      </c>
      <c r="B104" s="57" t="s">
        <v>215</v>
      </c>
      <c r="C104" s="57" t="str">
        <f aca="false">Flights!$F$8</f>
        <v>MH0088</v>
      </c>
      <c r="D104" s="58" t="n">
        <f aca="false">Flights!$D$8</f>
        <v>46305</v>
      </c>
      <c r="E104" s="57" t="str">
        <f aca="false">Flights!$G$8&amp;"-"&amp;Flights!$H$8</f>
        <v>KUL-NRT</v>
      </c>
      <c r="F104" s="57" t="str">
        <f aca="false">Flights!$K$8</f>
        <v>BC</v>
      </c>
      <c r="G104" s="57" t="s">
        <v>398</v>
      </c>
      <c r="H104" s="57" t="s">
        <v>356</v>
      </c>
      <c r="I104" s="57" t="s">
        <v>406</v>
      </c>
      <c r="J104" s="57" t="s">
        <v>411</v>
      </c>
      <c r="K104" s="67"/>
      <c r="L104" s="67" t="s">
        <v>400</v>
      </c>
      <c r="M104" s="67"/>
      <c r="N104" s="67" t="s">
        <v>361</v>
      </c>
      <c r="O104" s="67" t="s">
        <v>401</v>
      </c>
      <c r="P104" s="57" t="s">
        <v>184</v>
      </c>
      <c r="Q104" s="59" t="n">
        <f aca="false">ROUND((Flights!$AE$8)*1440,0)/1440</f>
        <v>46305.1458333333</v>
      </c>
      <c r="R104" s="59" t="n">
        <f aca="false">Q104+(IF(AND(INDEX(TZ_DSTS,MATCH(P104,TZ_STN,0))&lt;&gt;"",Q104&gt;=INDEX(TZ_DSTS,MATCH(P104,TZ_STN,0)),Q104&lt;INDEX(TZ_DSTE,MATCH(P104,TZ_STN,0))),INDEX(TZ_DST,MATCH(P104,TZ_STN,0)),INDEX(TZ_STD,MATCH(P104,TZ_STN,0))))/24</f>
        <v>46305.4791666667</v>
      </c>
      <c r="S104" s="59" t="n">
        <f aca="false">Q104-T12EarlyH/24</f>
        <v>46304.6458333333</v>
      </c>
      <c r="T104" s="60"/>
      <c r="U104" s="60"/>
      <c r="V104" s="60"/>
      <c r="W104" s="61"/>
      <c r="X104" s="60"/>
      <c r="Y104" s="60"/>
      <c r="Z104" s="60"/>
      <c r="AA104" s="60"/>
      <c r="AB104" s="60"/>
      <c r="AC104" s="60"/>
      <c r="AD104" s="66"/>
      <c r="AE104" s="60"/>
      <c r="AF104" s="61" t="str">
        <f aca="false">IF(AND(ISNUMBER(X104),ISNUMBER(Y104)),Y104-X104,"")</f>
        <v/>
      </c>
      <c r="AG104" s="62" t="str">
        <f aca="false">IF(ISNUMBER(AD104),AD104-(IF(AND(INDEX(TZ_DSTS,MATCH(P104,TZ_STN,0))&lt;&gt;"",(AD104-INDEX(TZ_STD,MATCH(P104,TZ_STN,0))/24)&gt;=INDEX(TZ_DSTS,MATCH(P104,TZ_STN,0)),(AD104-INDEX(TZ_STD,MATCH(P104,TZ_STN,0))/24)&lt;INDEX(TZ_DSTE,MATCH(P104,TZ_STN,0))),INDEX(TZ_DST,MATCH(P104,TZ_STN,0)),INDEX(TZ_STD,MATCH(P104,TZ_STN,0))))/24,"")</f>
        <v/>
      </c>
      <c r="AH104" s="65" t="str">
        <f aca="false">IFERROR(IF(N104="N/A – rule","N/A – RULE",IF(TRIM(U104)="N/A",IF(AT104=0,"INVALID – N/A not permitted for this check",IF(AND(TRIM(AB104)&lt;&gt;"",TRIM(AB104)&lt;&gt;"Closed"),"INVALID – corrective action still open",IF(AND(NOT(OR(LEN(AZ104)&lt;15,ISNUMBER(MATCH(AZ104,L_Placeholder,0)))),NOT(OR(LEN(AU104)&lt;2,ISNUMBER(MATCH(AU104,L_Placeholder,0)))),NOT(OR(LEN(AX104)&lt;2,ISNUMBER(MATCH(AX104,L_Placeholder,0)))),TRIM(AE104)&lt;&gt;TRIM(T104)),"N/A – JUSTIFIED","INVALID – N/A needs a real justification (15+ chars), PIC and a different verifier"))),IF(OR(TRIM(U104)="Pass",TRIM(U104)="Pass after CA"),IF(NOT(ISNUMBER(AD104)),"INVALID – completion time missing",IF(OR(LEN(AU104)&lt;2,ISNUMBER(MATCH(AU104,L_Placeholder,0))),"INVALID – PIC missing",IF(OR(LEN(AV104)&lt;2,ISNUMBER(MATCH(AV104,L_Placeholder,0))),"INVALID – result / assessment missing",IF(OR(OR(LEN(AW104)&lt;3,ISNUMBER(MATCH(AW104,L_Placeholder,0))),SUMPRODUCT(--ISNUMBER(SEARCH(L_EvidencePhrase,AW104)))&gt;0),"INVALID – evidence missing, placeholder or not yet on file",IF(OR(LEN(AX104)&lt;2,ISNUMBER(MATCH(AX104,L_Placeholder,0))),"INVALID – verifier missing",IF(AX104=AU104,"INVALID – verifier must be someone other than the PIC",IF(AND(TRIM(U104)="Pass",SUMPRODUCT(--ISNUMBER(SEARCH(L_ResultBad,AV104)))&gt;0),"INVALID – result describes a problem: use Fail, then Pass after CA",IF(AND(AQ104=1,OR(LEN(AY104)&lt;3,ISNUMBER(MATCH(AY104,L_Placeholder,0)))),"INVALID – batch ID missing or placeholder",IF(AND(AR104=1,OR(NOT(ISNUMBER(X104)),NOT(ISNUMBER(Y104)))),"INVALID – expected/actual qty missing",IF(AND(AR104=1,OR(X104&lt;=0,Y104&lt;0)),"INVALID – expected qty must be above 0 and actual not negative",IF(BB104&lt;&gt;"",BB104,IF(AND(AS104=1,Documents!$J$8&lt;&gt;"ON FILE"),"INVALID – GLD not on file (Documents sheet)",IF(AND(AS104=2,Documents!$O$8&lt;&gt;"ON FILE"),"INVALID – menu checklist not on file (Documents sheet)",IF(AND(AS104=3,NOT(ISNUMBER(Flights!$AX$8))),"INVALID – enter carrying flight KUL departure (Flights AX)",IF(AND(AS104=3,OR(Flights!$AZ$8&gt;Flights!$AA$8,Flights!$AX$8&lt;Flights!$AA$8-3)),"INVALID – carrying flight (Flights AX) cannot arrive before this leg's STD, or is over 3 days early",IF(AG104&gt;AsOfUTC,"INVALID – completion time is in the future",IF(AND(ISNUMBER(S104),AG104&lt;S104),IF(H104="Physical uplift","INVALID – before uplift window (cannot confirm loading)","INVALID – before valid window"),IF(AG104&gt;Flights!$AA$8,"INVALID – completed after departure (cannot establish readiness)",IF(AND(H104="Preparation",AG104&gt;IF(ISNUMBER(Flights!$BA$8),MIN(Flights!$BA$8,Flights!$AA$8),Flights!$AA$8)),"INVALID – completed after loading / departure (cannot establish readiness)",IF(AND(H104="Physical uplift",AG104&gt;Q104),"INVALID – recorded after the loading flight departed",IF(AG104&gt;Q104,"COMPLETE – LATE","COMPLETE"))))))))))))))))))))),IF(TRIM(U104)="Fail","FAIL – DISCREPANCY",IF(AND(TRIM(U104)&lt;&gt;"",TRIM(U104)&lt;&gt;"Not started",TRIM(U104)&lt;&gt;"In progress"),"INVALID – unrecognised status (use the list)",IF(AsOfUTC&gt;Q104,"OVERDUE",IF(N104="Clarification required","OPEN – CLARIFICATION","OPEN"))))))),"INVALID – error value in an input cell")</f>
        <v>OPEN</v>
      </c>
      <c r="AI104" s="61" t="n">
        <f aca="false">IF(OR(AH104="N/A – RULE",AH104="N/A – JUSTIFIED"),0,1)</f>
        <v>1</v>
      </c>
      <c r="AJ104" s="61" t="n">
        <f aca="false">IF(LEFT(AH104,8)="COMPLETE",1,0)</f>
        <v>0</v>
      </c>
      <c r="AK104" s="61" t="n">
        <f aca="false">IF(AND(AI104=1,AJ104=0,AsOfUTC&gt;Q104),1,0)</f>
        <v>0</v>
      </c>
      <c r="AL104" s="61" t="n">
        <f aca="false">IFERROR(IF(AND(AI104=1,OR(TRIM(U104)="Fail",AND(TRIM(AB104)&lt;&gt;"",TRIM(AB104)&lt;&gt;"Closed"),AND(ISNUMBER(AF104),AF104&lt;&gt;0,TRIM(U104)&lt;&gt;"Pass after CA"))),1,0),1)</f>
        <v>0</v>
      </c>
      <c r="AM104" s="61" t="n">
        <f aca="false">IF(LEFT(AH104,7)="INVALID",1,0)</f>
        <v>0</v>
      </c>
      <c r="AN104" s="61" t="n">
        <f aca="false">IF(AND(N104="Clarification required",AI104=1,AJ104=0),1,0)</f>
        <v>0</v>
      </c>
      <c r="AO104" s="61" t="str">
        <f aca="false">IF(AK104=1,SUM(AK$5:AK104),"")</f>
        <v/>
      </c>
      <c r="AP104" s="61" t="str">
        <f aca="false">IF(AL104=1,SUM(AL$5:AL104),"")</f>
        <v/>
      </c>
      <c r="AQ104" s="61" t="n">
        <v>0</v>
      </c>
      <c r="AR104" s="61" t="n">
        <v>0</v>
      </c>
      <c r="AS104" s="61" t="n">
        <v>0</v>
      </c>
      <c r="AT104" s="61" t="n">
        <v>0</v>
      </c>
      <c r="AU104" s="61" t="str">
        <f aca="false">SUBSTITUTE(SUBSTITUTE(SUBSTITUTE(SUBSTITUTE(SUBSTITUTE(SUBSTITUTE(SUBSTITUTE(SUBSTITUTE(SUBSTITUTE(SUBSTITUTE(SUBSTITUTE(SUBSTITUTE(SUBSTITUTE(LOWER(T104&amp;""),CHAR(160),"")," ",""),".",""),"-",""),"/",""),"?",""),"_",""),",",""),"[",""),"]",""),"(",""),")",""),"*","")</f>
        <v/>
      </c>
      <c r="AV104" s="61" t="str">
        <f aca="false">SUBSTITUTE(SUBSTITUTE(SUBSTITUTE(SUBSTITUTE(SUBSTITUTE(SUBSTITUTE(SUBSTITUTE(SUBSTITUTE(SUBSTITUTE(SUBSTITUTE(SUBSTITUTE(SUBSTITUTE(SUBSTITUTE(LOWER(V104&amp;""),CHAR(160),"")," ",""),".",""),"-",""),"/",""),"?",""),"_",""),",",""),"[",""),"]",""),"(",""),")",""),"*","")</f>
        <v/>
      </c>
      <c r="AW104" s="61" t="str">
        <f aca="false">SUBSTITUTE(SUBSTITUTE(SUBSTITUTE(SUBSTITUTE(SUBSTITUTE(SUBSTITUTE(SUBSTITUTE(SUBSTITUTE(SUBSTITUTE(SUBSTITUTE(SUBSTITUTE(SUBSTITUTE(SUBSTITUTE(LOWER(Z104&amp;""),CHAR(160),"")," ",""),".",""),"-",""),"/",""),"?",""),"_",""),",",""),"[",""),"]",""),"(",""),")",""),"*","")</f>
        <v/>
      </c>
      <c r="AX104" s="61" t="str">
        <f aca="false">SUBSTITUTE(SUBSTITUTE(SUBSTITUTE(SUBSTITUTE(SUBSTITUTE(SUBSTITUTE(SUBSTITUTE(SUBSTITUTE(SUBSTITUTE(SUBSTITUTE(SUBSTITUTE(SUBSTITUTE(SUBSTITUTE(LOWER(AE104&amp;""),CHAR(160),"")," ",""),".",""),"-",""),"/",""),"?",""),"_",""),",",""),"[",""),"]",""),"(",""),")",""),"*","")</f>
        <v/>
      </c>
      <c r="AY104" s="61" t="str">
        <f aca="false">SUBSTITUTE(SUBSTITUTE(SUBSTITUTE(SUBSTITUTE(SUBSTITUTE(SUBSTITUTE(SUBSTITUTE(SUBSTITUTE(SUBSTITUTE(SUBSTITUTE(SUBSTITUTE(SUBSTITUTE(SUBSTITUTE(LOWER(W104&amp;""),CHAR(160),"")," ",""),".",""),"-",""),"/",""),"?",""),"_",""),",",""),"[",""),"]",""),"(",""),")",""),"*","")</f>
        <v/>
      </c>
      <c r="AZ104" s="61" t="str">
        <f aca="false">SUBSTITUTE(SUBSTITUTE(SUBSTITUTE(SUBSTITUTE(SUBSTITUTE(SUBSTITUTE(SUBSTITUTE(SUBSTITUTE(SUBSTITUTE(SUBSTITUTE(SUBSTITUTE(SUBSTITUTE(SUBSTITUTE(LOWER(AC104&amp;""),CHAR(160),"")," ",""),".",""),"-",""),"/",""),"?",""),"_",""),",",""),"[",""),"]",""),"(",""),")",""),"*","")</f>
        <v/>
      </c>
      <c r="BA104" s="61" t="str">
        <f aca="false">SUBSTITUTE(SUBSTITUTE(SUBSTITUTE(SUBSTITUTE(SUBSTITUTE(SUBSTITUTE(SUBSTITUTE(SUBSTITUTE(SUBSTITUTE(SUBSTITUTE(SUBSTITUTE(SUBSTITUTE(SUBSTITUTE(LOWER(AA104&amp;""),CHAR(160),"")," ",""),".",""),"-",""),"/",""),"?",""),"_",""),",",""),"[",""),"]",""),"(",""),")",""),"*","")</f>
        <v/>
      </c>
      <c r="BB104" s="61" t="str">
        <f aca="false">IF(AND(TRIM(U104)="Pass",ISNUMBER(AF104)),IF(AF104&lt;&gt;0,"INVALID – qty variance: use Fail or Pass after CA",""),"")&amp;IF(AND(TRIM(U104)="Pass after CA",ISNUMBER(AF104)),IF(AF104&lt;&gt;0,"INVALID – after the corrective action the actual qty must equal expected (update Actual)",""),"")&amp;IF(AND(TRIM(U104)="Pass",TRIM(AB104)&lt;&gt;"",TRIM(AB104)&lt;&gt;"Closed"),"INVALID – corrective action not closed: use Fail, then Pass after CA","")&amp;IF(AND(TRIM(AA104)&lt;&gt;"",TRIM(AB104)=""),"INVALID – CA status missing for the recorded corrective action","")&amp;IF(AND(TRIM(U104)="Pass after CA",OR(OR(LEN(BA104)&lt;5,ISNUMBER(MATCH(BA104,L_Placeholder,0))),TRIM(AB104)&lt;&gt;"Closed")),"INVALID – corrective action not recorded/closed","")</f>
        <v/>
      </c>
    </row>
    <row r="105" customFormat="false" ht="141" hidden="false" customHeight="true" outlineLevel="0" collapsed="false">
      <c r="A105" s="57" t="s">
        <v>576</v>
      </c>
      <c r="B105" s="57" t="s">
        <v>215</v>
      </c>
      <c r="C105" s="57" t="str">
        <f aca="false">Flights!$F$8</f>
        <v>MH0088</v>
      </c>
      <c r="D105" s="58" t="n">
        <f aca="false">Flights!$D$8</f>
        <v>46305</v>
      </c>
      <c r="E105" s="57" t="str">
        <f aca="false">Flights!$G$8&amp;"-"&amp;Flights!$H$8</f>
        <v>KUL-NRT</v>
      </c>
      <c r="F105" s="57" t="str">
        <f aca="false">Flights!$K$8</f>
        <v>BC</v>
      </c>
      <c r="G105" s="57" t="s">
        <v>398</v>
      </c>
      <c r="H105" s="57" t="s">
        <v>356</v>
      </c>
      <c r="I105" s="57" t="s">
        <v>406</v>
      </c>
      <c r="J105" s="57" t="s">
        <v>413</v>
      </c>
      <c r="K105" s="67" t="s">
        <v>414</v>
      </c>
      <c r="L105" s="67" t="s">
        <v>400</v>
      </c>
      <c r="M105" s="67"/>
      <c r="N105" s="67" t="s">
        <v>361</v>
      </c>
      <c r="O105" s="67" t="s">
        <v>401</v>
      </c>
      <c r="P105" s="57" t="s">
        <v>184</v>
      </c>
      <c r="Q105" s="59" t="n">
        <f aca="false">ROUND((Flights!$AE$8)*1440,0)/1440</f>
        <v>46305.1458333333</v>
      </c>
      <c r="R105" s="59" t="n">
        <f aca="false">Q105+(IF(AND(INDEX(TZ_DSTS,MATCH(P105,TZ_STN,0))&lt;&gt;"",Q105&gt;=INDEX(TZ_DSTS,MATCH(P105,TZ_STN,0)),Q105&lt;INDEX(TZ_DSTE,MATCH(P105,TZ_STN,0))),INDEX(TZ_DST,MATCH(P105,TZ_STN,0)),INDEX(TZ_STD,MATCH(P105,TZ_STN,0))))/24</f>
        <v>46305.4791666667</v>
      </c>
      <c r="S105" s="59" t="n">
        <f aca="false">Q105-T12EarlyH/24</f>
        <v>46304.6458333333</v>
      </c>
      <c r="T105" s="60"/>
      <c r="U105" s="60"/>
      <c r="V105" s="60"/>
      <c r="W105" s="61"/>
      <c r="X105" s="60"/>
      <c r="Y105" s="60"/>
      <c r="Z105" s="60"/>
      <c r="AA105" s="60"/>
      <c r="AB105" s="60"/>
      <c r="AC105" s="60"/>
      <c r="AD105" s="66"/>
      <c r="AE105" s="60"/>
      <c r="AF105" s="61" t="str">
        <f aca="false">IF(AND(ISNUMBER(X105),ISNUMBER(Y105)),Y105-X105,"")</f>
        <v/>
      </c>
      <c r="AG105" s="62" t="str">
        <f aca="false">IF(ISNUMBER(AD105),AD105-(IF(AND(INDEX(TZ_DSTS,MATCH(P105,TZ_STN,0))&lt;&gt;"",(AD105-INDEX(TZ_STD,MATCH(P105,TZ_STN,0))/24)&gt;=INDEX(TZ_DSTS,MATCH(P105,TZ_STN,0)),(AD105-INDEX(TZ_STD,MATCH(P105,TZ_STN,0))/24)&lt;INDEX(TZ_DSTE,MATCH(P105,TZ_STN,0))),INDEX(TZ_DST,MATCH(P105,TZ_STN,0)),INDEX(TZ_STD,MATCH(P105,TZ_STN,0))))/24,"")</f>
        <v/>
      </c>
      <c r="AH105" s="65" t="str">
        <f aca="false">IFERROR(IF(N105="N/A – rule","N/A – RULE",IF(TRIM(U105)="N/A",IF(AT105=0,"INVALID – N/A not permitted for this check",IF(AND(TRIM(AB105)&lt;&gt;"",TRIM(AB105)&lt;&gt;"Closed"),"INVALID – corrective action still open",IF(AND(NOT(OR(LEN(AZ105)&lt;15,ISNUMBER(MATCH(AZ105,L_Placeholder,0)))),NOT(OR(LEN(AU105)&lt;2,ISNUMBER(MATCH(AU105,L_Placeholder,0)))),NOT(OR(LEN(AX105)&lt;2,ISNUMBER(MATCH(AX105,L_Placeholder,0)))),TRIM(AE105)&lt;&gt;TRIM(T105)),"N/A – JUSTIFIED","INVALID – N/A needs a real justification (15+ chars), PIC and a different verifier"))),IF(OR(TRIM(U105)="Pass",TRIM(U105)="Pass after CA"),IF(NOT(ISNUMBER(AD105)),"INVALID – completion time missing",IF(OR(LEN(AU105)&lt;2,ISNUMBER(MATCH(AU105,L_Placeholder,0))),"INVALID – PIC missing",IF(OR(LEN(AV105)&lt;2,ISNUMBER(MATCH(AV105,L_Placeholder,0))),"INVALID – result / assessment missing",IF(OR(OR(LEN(AW105)&lt;3,ISNUMBER(MATCH(AW105,L_Placeholder,0))),SUMPRODUCT(--ISNUMBER(SEARCH(L_EvidencePhrase,AW105)))&gt;0),"INVALID – evidence missing, placeholder or not yet on file",IF(OR(LEN(AX105)&lt;2,ISNUMBER(MATCH(AX105,L_Placeholder,0))),"INVALID – verifier missing",IF(AX105=AU105,"INVALID – verifier must be someone other than the PIC",IF(AND(TRIM(U105)="Pass",SUMPRODUCT(--ISNUMBER(SEARCH(L_ResultBad,AV105)))&gt;0),"INVALID – result describes a problem: use Fail, then Pass after CA",IF(AND(AQ105=1,OR(LEN(AY105)&lt;3,ISNUMBER(MATCH(AY105,L_Placeholder,0)))),"INVALID – batch ID missing or placeholder",IF(AND(AR105=1,OR(NOT(ISNUMBER(X105)),NOT(ISNUMBER(Y105)))),"INVALID – expected/actual qty missing",IF(AND(AR105=1,OR(X105&lt;=0,Y105&lt;0)),"INVALID – expected qty must be above 0 and actual not negative",IF(BB105&lt;&gt;"",BB105,IF(AND(AS105=1,Documents!$J$8&lt;&gt;"ON FILE"),"INVALID – GLD not on file (Documents sheet)",IF(AND(AS105=2,Documents!$O$8&lt;&gt;"ON FILE"),"INVALID – menu checklist not on file (Documents sheet)",IF(AND(AS105=3,NOT(ISNUMBER(Flights!$AX$8))),"INVALID – enter carrying flight KUL departure (Flights AX)",IF(AND(AS105=3,OR(Flights!$AZ$8&gt;Flights!$AA$8,Flights!$AX$8&lt;Flights!$AA$8-3)),"INVALID – carrying flight (Flights AX) cannot arrive before this leg's STD, or is over 3 days early",IF(AG105&gt;AsOfUTC,"INVALID – completion time is in the future",IF(AND(ISNUMBER(S105),AG105&lt;S105),IF(H105="Physical uplift","INVALID – before uplift window (cannot confirm loading)","INVALID – before valid window"),IF(AG105&gt;Flights!$AA$8,"INVALID – completed after departure (cannot establish readiness)",IF(AND(H105="Preparation",AG105&gt;IF(ISNUMBER(Flights!$BA$8),MIN(Flights!$BA$8,Flights!$AA$8),Flights!$AA$8)),"INVALID – completed after loading / departure (cannot establish readiness)",IF(AND(H105="Physical uplift",AG105&gt;Q105),"INVALID – recorded after the loading flight departed",IF(AG105&gt;Q105,"COMPLETE – LATE","COMPLETE"))))))))))))))))))))),IF(TRIM(U105)="Fail","FAIL – DISCREPANCY",IF(AND(TRIM(U105)&lt;&gt;"",TRIM(U105)&lt;&gt;"Not started",TRIM(U105)&lt;&gt;"In progress"),"INVALID – unrecognised status (use the list)",IF(AsOfUTC&gt;Q105,"OVERDUE",IF(N105="Clarification required","OPEN – CLARIFICATION","OPEN"))))))),"INVALID – error value in an input cell")</f>
        <v>OPEN</v>
      </c>
      <c r="AI105" s="61" t="n">
        <f aca="false">IF(OR(AH105="N/A – RULE",AH105="N/A – JUSTIFIED"),0,1)</f>
        <v>1</v>
      </c>
      <c r="AJ105" s="61" t="n">
        <f aca="false">IF(LEFT(AH105,8)="COMPLETE",1,0)</f>
        <v>0</v>
      </c>
      <c r="AK105" s="61" t="n">
        <f aca="false">IF(AND(AI105=1,AJ105=0,AsOfUTC&gt;Q105),1,0)</f>
        <v>0</v>
      </c>
      <c r="AL105" s="61" t="n">
        <f aca="false">IFERROR(IF(AND(AI105=1,OR(TRIM(U105)="Fail",AND(TRIM(AB105)&lt;&gt;"",TRIM(AB105)&lt;&gt;"Closed"),AND(ISNUMBER(AF105),AF105&lt;&gt;0,TRIM(U105)&lt;&gt;"Pass after CA"))),1,0),1)</f>
        <v>0</v>
      </c>
      <c r="AM105" s="61" t="n">
        <f aca="false">IF(LEFT(AH105,7)="INVALID",1,0)</f>
        <v>0</v>
      </c>
      <c r="AN105" s="61" t="n">
        <f aca="false">IF(AND(N105="Clarification required",AI105=1,AJ105=0),1,0)</f>
        <v>0</v>
      </c>
      <c r="AO105" s="61" t="str">
        <f aca="false">IF(AK105=1,SUM(AK$5:AK105),"")</f>
        <v/>
      </c>
      <c r="AP105" s="61" t="str">
        <f aca="false">IF(AL105=1,SUM(AL$5:AL105),"")</f>
        <v/>
      </c>
      <c r="AQ105" s="61" t="n">
        <v>0</v>
      </c>
      <c r="AR105" s="61" t="n">
        <v>1</v>
      </c>
      <c r="AS105" s="61" t="n">
        <v>0</v>
      </c>
      <c r="AT105" s="61" t="n">
        <v>0</v>
      </c>
      <c r="AU105" s="61" t="str">
        <f aca="false">SUBSTITUTE(SUBSTITUTE(SUBSTITUTE(SUBSTITUTE(SUBSTITUTE(SUBSTITUTE(SUBSTITUTE(SUBSTITUTE(SUBSTITUTE(SUBSTITUTE(SUBSTITUTE(SUBSTITUTE(SUBSTITUTE(LOWER(T105&amp;""),CHAR(160),"")," ",""),".",""),"-",""),"/",""),"?",""),"_",""),",",""),"[",""),"]",""),"(",""),")",""),"*","")</f>
        <v/>
      </c>
      <c r="AV105" s="61" t="str">
        <f aca="false">SUBSTITUTE(SUBSTITUTE(SUBSTITUTE(SUBSTITUTE(SUBSTITUTE(SUBSTITUTE(SUBSTITUTE(SUBSTITUTE(SUBSTITUTE(SUBSTITUTE(SUBSTITUTE(SUBSTITUTE(SUBSTITUTE(LOWER(V105&amp;""),CHAR(160),"")," ",""),".",""),"-",""),"/",""),"?",""),"_",""),",",""),"[",""),"]",""),"(",""),")",""),"*","")</f>
        <v/>
      </c>
      <c r="AW105" s="61" t="str">
        <f aca="false">SUBSTITUTE(SUBSTITUTE(SUBSTITUTE(SUBSTITUTE(SUBSTITUTE(SUBSTITUTE(SUBSTITUTE(SUBSTITUTE(SUBSTITUTE(SUBSTITUTE(SUBSTITUTE(SUBSTITUTE(SUBSTITUTE(LOWER(Z105&amp;""),CHAR(160),"")," ",""),".",""),"-",""),"/",""),"?",""),"_",""),",",""),"[",""),"]",""),"(",""),")",""),"*","")</f>
        <v/>
      </c>
      <c r="AX105" s="61" t="str">
        <f aca="false">SUBSTITUTE(SUBSTITUTE(SUBSTITUTE(SUBSTITUTE(SUBSTITUTE(SUBSTITUTE(SUBSTITUTE(SUBSTITUTE(SUBSTITUTE(SUBSTITUTE(SUBSTITUTE(SUBSTITUTE(SUBSTITUTE(LOWER(AE105&amp;""),CHAR(160),"")," ",""),".",""),"-",""),"/",""),"?",""),"_",""),",",""),"[",""),"]",""),"(",""),")",""),"*","")</f>
        <v/>
      </c>
      <c r="AY105" s="61" t="str">
        <f aca="false">SUBSTITUTE(SUBSTITUTE(SUBSTITUTE(SUBSTITUTE(SUBSTITUTE(SUBSTITUTE(SUBSTITUTE(SUBSTITUTE(SUBSTITUTE(SUBSTITUTE(SUBSTITUTE(SUBSTITUTE(SUBSTITUTE(LOWER(W105&amp;""),CHAR(160),"")," ",""),".",""),"-",""),"/",""),"?",""),"_",""),",",""),"[",""),"]",""),"(",""),")",""),"*","")</f>
        <v/>
      </c>
      <c r="AZ105" s="61" t="str">
        <f aca="false">SUBSTITUTE(SUBSTITUTE(SUBSTITUTE(SUBSTITUTE(SUBSTITUTE(SUBSTITUTE(SUBSTITUTE(SUBSTITUTE(SUBSTITUTE(SUBSTITUTE(SUBSTITUTE(SUBSTITUTE(SUBSTITUTE(LOWER(AC105&amp;""),CHAR(160),"")," ",""),".",""),"-",""),"/",""),"?",""),"_",""),",",""),"[",""),"]",""),"(",""),")",""),"*","")</f>
        <v/>
      </c>
      <c r="BA105" s="61" t="str">
        <f aca="false">SUBSTITUTE(SUBSTITUTE(SUBSTITUTE(SUBSTITUTE(SUBSTITUTE(SUBSTITUTE(SUBSTITUTE(SUBSTITUTE(SUBSTITUTE(SUBSTITUTE(SUBSTITUTE(SUBSTITUTE(SUBSTITUTE(LOWER(AA105&amp;""),CHAR(160),"")," ",""),".",""),"-",""),"/",""),"?",""),"_",""),",",""),"[",""),"]",""),"(",""),")",""),"*","")</f>
        <v/>
      </c>
      <c r="BB105" s="61" t="str">
        <f aca="false">IF(AND(TRIM(U105)="Pass",ISNUMBER(AF105)),IF(AF105&lt;&gt;0,"INVALID – qty variance: use Fail or Pass after CA",""),"")&amp;IF(AND(TRIM(U105)="Pass after CA",ISNUMBER(AF105)),IF(AF105&lt;&gt;0,"INVALID – after the corrective action the actual qty must equal expected (update Actual)",""),"")&amp;IF(AND(TRIM(U105)="Pass",TRIM(AB105)&lt;&gt;"",TRIM(AB105)&lt;&gt;"Closed"),"INVALID – corrective action not closed: use Fail, then Pass after CA","")&amp;IF(AND(TRIM(AA105)&lt;&gt;"",TRIM(AB105)=""),"INVALID – CA status missing for the recorded corrective action","")&amp;IF(AND(TRIM(U105)="Pass after CA",OR(OR(LEN(BA105)&lt;5,ISNUMBER(MATCH(BA105,L_Placeholder,0))),TRIM(AB105)&lt;&gt;"Closed")),"INVALID – corrective action not recorded/closed","")</f>
        <v/>
      </c>
    </row>
    <row r="106" customFormat="false" ht="39.75" hidden="false" customHeight="true" outlineLevel="0" collapsed="false">
      <c r="A106" s="57" t="s">
        <v>577</v>
      </c>
      <c r="B106" s="57" t="s">
        <v>215</v>
      </c>
      <c r="C106" s="57" t="str">
        <f aca="false">Flights!$F$8</f>
        <v>MH0088</v>
      </c>
      <c r="D106" s="58" t="n">
        <f aca="false">Flights!$D$8</f>
        <v>46305</v>
      </c>
      <c r="E106" s="57" t="str">
        <f aca="false">Flights!$G$8&amp;"-"&amp;Flights!$H$8</f>
        <v>KUL-NRT</v>
      </c>
      <c r="F106" s="57" t="str">
        <f aca="false">Flights!$K$8</f>
        <v>BC</v>
      </c>
      <c r="G106" s="57" t="s">
        <v>398</v>
      </c>
      <c r="H106" s="57" t="s">
        <v>356</v>
      </c>
      <c r="I106" s="57" t="s">
        <v>406</v>
      </c>
      <c r="J106" s="57" t="s">
        <v>416</v>
      </c>
      <c r="K106" s="67"/>
      <c r="L106" s="67" t="s">
        <v>400</v>
      </c>
      <c r="M106" s="67"/>
      <c r="N106" s="67" t="s">
        <v>361</v>
      </c>
      <c r="O106" s="67" t="s">
        <v>401</v>
      </c>
      <c r="P106" s="57" t="s">
        <v>184</v>
      </c>
      <c r="Q106" s="59" t="n">
        <f aca="false">ROUND((Flights!$AE$8)*1440,0)/1440</f>
        <v>46305.1458333333</v>
      </c>
      <c r="R106" s="59" t="n">
        <f aca="false">Q106+(IF(AND(INDEX(TZ_DSTS,MATCH(P106,TZ_STN,0))&lt;&gt;"",Q106&gt;=INDEX(TZ_DSTS,MATCH(P106,TZ_STN,0)),Q106&lt;INDEX(TZ_DSTE,MATCH(P106,TZ_STN,0))),INDEX(TZ_DST,MATCH(P106,TZ_STN,0)),INDEX(TZ_STD,MATCH(P106,TZ_STN,0))))/24</f>
        <v>46305.4791666667</v>
      </c>
      <c r="S106" s="59" t="n">
        <f aca="false">Q106-T12EarlyH/24</f>
        <v>46304.6458333333</v>
      </c>
      <c r="T106" s="60"/>
      <c r="U106" s="60"/>
      <c r="V106" s="60"/>
      <c r="W106" s="61"/>
      <c r="X106" s="60"/>
      <c r="Y106" s="60"/>
      <c r="Z106" s="60"/>
      <c r="AA106" s="60"/>
      <c r="AB106" s="60"/>
      <c r="AC106" s="60"/>
      <c r="AD106" s="66"/>
      <c r="AE106" s="60"/>
      <c r="AF106" s="61" t="str">
        <f aca="false">IF(AND(ISNUMBER(X106),ISNUMBER(Y106)),Y106-X106,"")</f>
        <v/>
      </c>
      <c r="AG106" s="62" t="str">
        <f aca="false">IF(ISNUMBER(AD106),AD106-(IF(AND(INDEX(TZ_DSTS,MATCH(P106,TZ_STN,0))&lt;&gt;"",(AD106-INDEX(TZ_STD,MATCH(P106,TZ_STN,0))/24)&gt;=INDEX(TZ_DSTS,MATCH(P106,TZ_STN,0)),(AD106-INDEX(TZ_STD,MATCH(P106,TZ_STN,0))/24)&lt;INDEX(TZ_DSTE,MATCH(P106,TZ_STN,0))),INDEX(TZ_DST,MATCH(P106,TZ_STN,0)),INDEX(TZ_STD,MATCH(P106,TZ_STN,0))))/24,"")</f>
        <v/>
      </c>
      <c r="AH106" s="65" t="str">
        <f aca="false">IFERROR(IF(N106="N/A – rule","N/A – RULE",IF(TRIM(U106)="N/A",IF(AT106=0,"INVALID – N/A not permitted for this check",IF(AND(TRIM(AB106)&lt;&gt;"",TRIM(AB106)&lt;&gt;"Closed"),"INVALID – corrective action still open",IF(AND(NOT(OR(LEN(AZ106)&lt;15,ISNUMBER(MATCH(AZ106,L_Placeholder,0)))),NOT(OR(LEN(AU106)&lt;2,ISNUMBER(MATCH(AU106,L_Placeholder,0)))),NOT(OR(LEN(AX106)&lt;2,ISNUMBER(MATCH(AX106,L_Placeholder,0)))),TRIM(AE106)&lt;&gt;TRIM(T106)),"N/A – JUSTIFIED","INVALID – N/A needs a real justification (15+ chars), PIC and a different verifier"))),IF(OR(TRIM(U106)="Pass",TRIM(U106)="Pass after CA"),IF(NOT(ISNUMBER(AD106)),"INVALID – completion time missing",IF(OR(LEN(AU106)&lt;2,ISNUMBER(MATCH(AU106,L_Placeholder,0))),"INVALID – PIC missing",IF(OR(LEN(AV106)&lt;2,ISNUMBER(MATCH(AV106,L_Placeholder,0))),"INVALID – result / assessment missing",IF(OR(OR(LEN(AW106)&lt;3,ISNUMBER(MATCH(AW106,L_Placeholder,0))),SUMPRODUCT(--ISNUMBER(SEARCH(L_EvidencePhrase,AW106)))&gt;0),"INVALID – evidence missing, placeholder or not yet on file",IF(OR(LEN(AX106)&lt;2,ISNUMBER(MATCH(AX106,L_Placeholder,0))),"INVALID – verifier missing",IF(AX106=AU106,"INVALID – verifier must be someone other than the PIC",IF(AND(TRIM(U106)="Pass",SUMPRODUCT(--ISNUMBER(SEARCH(L_ResultBad,AV106)))&gt;0),"INVALID – result describes a problem: use Fail, then Pass after CA",IF(AND(AQ106=1,OR(LEN(AY106)&lt;3,ISNUMBER(MATCH(AY106,L_Placeholder,0)))),"INVALID – batch ID missing or placeholder",IF(AND(AR106=1,OR(NOT(ISNUMBER(X106)),NOT(ISNUMBER(Y106)))),"INVALID – expected/actual qty missing",IF(AND(AR106=1,OR(X106&lt;=0,Y106&lt;0)),"INVALID – expected qty must be above 0 and actual not negative",IF(BB106&lt;&gt;"",BB106,IF(AND(AS106=1,Documents!$J$8&lt;&gt;"ON FILE"),"INVALID – GLD not on file (Documents sheet)",IF(AND(AS106=2,Documents!$O$8&lt;&gt;"ON FILE"),"INVALID – menu checklist not on file (Documents sheet)",IF(AND(AS106=3,NOT(ISNUMBER(Flights!$AX$8))),"INVALID – enter carrying flight KUL departure (Flights AX)",IF(AND(AS106=3,OR(Flights!$AZ$8&gt;Flights!$AA$8,Flights!$AX$8&lt;Flights!$AA$8-3)),"INVALID – carrying flight (Flights AX) cannot arrive before this leg's STD, or is over 3 days early",IF(AG106&gt;AsOfUTC,"INVALID – completion time is in the future",IF(AND(ISNUMBER(S106),AG106&lt;S106),IF(H106="Physical uplift","INVALID – before uplift window (cannot confirm loading)","INVALID – before valid window"),IF(AG106&gt;Flights!$AA$8,"INVALID – completed after departure (cannot establish readiness)",IF(AND(H106="Preparation",AG106&gt;IF(ISNUMBER(Flights!$BA$8),MIN(Flights!$BA$8,Flights!$AA$8),Flights!$AA$8)),"INVALID – completed after loading / departure (cannot establish readiness)",IF(AND(H106="Physical uplift",AG106&gt;Q106),"INVALID – recorded after the loading flight departed",IF(AG106&gt;Q106,"COMPLETE – LATE","COMPLETE"))))))))))))))))))))),IF(TRIM(U106)="Fail","FAIL – DISCREPANCY",IF(AND(TRIM(U106)&lt;&gt;"",TRIM(U106)&lt;&gt;"Not started",TRIM(U106)&lt;&gt;"In progress"),"INVALID – unrecognised status (use the list)",IF(AsOfUTC&gt;Q106,"OVERDUE",IF(N106="Clarification required","OPEN – CLARIFICATION","OPEN"))))))),"INVALID – error value in an input cell")</f>
        <v>OPEN</v>
      </c>
      <c r="AI106" s="61" t="n">
        <f aca="false">IF(OR(AH106="N/A – RULE",AH106="N/A – JUSTIFIED"),0,1)</f>
        <v>1</v>
      </c>
      <c r="AJ106" s="61" t="n">
        <f aca="false">IF(LEFT(AH106,8)="COMPLETE",1,0)</f>
        <v>0</v>
      </c>
      <c r="AK106" s="61" t="n">
        <f aca="false">IF(AND(AI106=1,AJ106=0,AsOfUTC&gt;Q106),1,0)</f>
        <v>0</v>
      </c>
      <c r="AL106" s="61" t="n">
        <f aca="false">IFERROR(IF(AND(AI106=1,OR(TRIM(U106)="Fail",AND(TRIM(AB106)&lt;&gt;"",TRIM(AB106)&lt;&gt;"Closed"),AND(ISNUMBER(AF106),AF106&lt;&gt;0,TRIM(U106)&lt;&gt;"Pass after CA"))),1,0),1)</f>
        <v>0</v>
      </c>
      <c r="AM106" s="61" t="n">
        <f aca="false">IF(LEFT(AH106,7)="INVALID",1,0)</f>
        <v>0</v>
      </c>
      <c r="AN106" s="61" t="n">
        <f aca="false">IF(AND(N106="Clarification required",AI106=1,AJ106=0),1,0)</f>
        <v>0</v>
      </c>
      <c r="AO106" s="61" t="str">
        <f aca="false">IF(AK106=1,SUM(AK$5:AK106),"")</f>
        <v/>
      </c>
      <c r="AP106" s="61" t="str">
        <f aca="false">IF(AL106=1,SUM(AL$5:AL106),"")</f>
        <v/>
      </c>
      <c r="AQ106" s="61" t="n">
        <v>0</v>
      </c>
      <c r="AR106" s="61" t="n">
        <v>0</v>
      </c>
      <c r="AS106" s="61" t="n">
        <v>0</v>
      </c>
      <c r="AT106" s="61" t="n">
        <v>0</v>
      </c>
      <c r="AU106" s="61" t="str">
        <f aca="false">SUBSTITUTE(SUBSTITUTE(SUBSTITUTE(SUBSTITUTE(SUBSTITUTE(SUBSTITUTE(SUBSTITUTE(SUBSTITUTE(SUBSTITUTE(SUBSTITUTE(SUBSTITUTE(SUBSTITUTE(SUBSTITUTE(LOWER(T106&amp;""),CHAR(160),"")," ",""),".",""),"-",""),"/",""),"?",""),"_",""),",",""),"[",""),"]",""),"(",""),")",""),"*","")</f>
        <v/>
      </c>
      <c r="AV106" s="61" t="str">
        <f aca="false">SUBSTITUTE(SUBSTITUTE(SUBSTITUTE(SUBSTITUTE(SUBSTITUTE(SUBSTITUTE(SUBSTITUTE(SUBSTITUTE(SUBSTITUTE(SUBSTITUTE(SUBSTITUTE(SUBSTITUTE(SUBSTITUTE(LOWER(V106&amp;""),CHAR(160),"")," ",""),".",""),"-",""),"/",""),"?",""),"_",""),",",""),"[",""),"]",""),"(",""),")",""),"*","")</f>
        <v/>
      </c>
      <c r="AW106" s="61" t="str">
        <f aca="false">SUBSTITUTE(SUBSTITUTE(SUBSTITUTE(SUBSTITUTE(SUBSTITUTE(SUBSTITUTE(SUBSTITUTE(SUBSTITUTE(SUBSTITUTE(SUBSTITUTE(SUBSTITUTE(SUBSTITUTE(SUBSTITUTE(LOWER(Z106&amp;""),CHAR(160),"")," ",""),".",""),"-",""),"/",""),"?",""),"_",""),",",""),"[",""),"]",""),"(",""),")",""),"*","")</f>
        <v/>
      </c>
      <c r="AX106" s="61" t="str">
        <f aca="false">SUBSTITUTE(SUBSTITUTE(SUBSTITUTE(SUBSTITUTE(SUBSTITUTE(SUBSTITUTE(SUBSTITUTE(SUBSTITUTE(SUBSTITUTE(SUBSTITUTE(SUBSTITUTE(SUBSTITUTE(SUBSTITUTE(LOWER(AE106&amp;""),CHAR(160),"")," ",""),".",""),"-",""),"/",""),"?",""),"_",""),",",""),"[",""),"]",""),"(",""),")",""),"*","")</f>
        <v/>
      </c>
      <c r="AY106" s="61" t="str">
        <f aca="false">SUBSTITUTE(SUBSTITUTE(SUBSTITUTE(SUBSTITUTE(SUBSTITUTE(SUBSTITUTE(SUBSTITUTE(SUBSTITUTE(SUBSTITUTE(SUBSTITUTE(SUBSTITUTE(SUBSTITUTE(SUBSTITUTE(LOWER(W106&amp;""),CHAR(160),"")," ",""),".",""),"-",""),"/",""),"?",""),"_",""),",",""),"[",""),"]",""),"(",""),")",""),"*","")</f>
        <v/>
      </c>
      <c r="AZ106" s="61" t="str">
        <f aca="false">SUBSTITUTE(SUBSTITUTE(SUBSTITUTE(SUBSTITUTE(SUBSTITUTE(SUBSTITUTE(SUBSTITUTE(SUBSTITUTE(SUBSTITUTE(SUBSTITUTE(SUBSTITUTE(SUBSTITUTE(SUBSTITUTE(LOWER(AC106&amp;""),CHAR(160),"")," ",""),".",""),"-",""),"/",""),"?",""),"_",""),",",""),"[",""),"]",""),"(",""),")",""),"*","")</f>
        <v/>
      </c>
      <c r="BA106" s="61" t="str">
        <f aca="false">SUBSTITUTE(SUBSTITUTE(SUBSTITUTE(SUBSTITUTE(SUBSTITUTE(SUBSTITUTE(SUBSTITUTE(SUBSTITUTE(SUBSTITUTE(SUBSTITUTE(SUBSTITUTE(SUBSTITUTE(SUBSTITUTE(LOWER(AA106&amp;""),CHAR(160),"")," ",""),".",""),"-",""),"/",""),"?",""),"_",""),",",""),"[",""),"]",""),"(",""),")",""),"*","")</f>
        <v/>
      </c>
      <c r="BB106" s="61" t="str">
        <f aca="false">IF(AND(TRIM(U106)="Pass",ISNUMBER(AF106)),IF(AF106&lt;&gt;0,"INVALID – qty variance: use Fail or Pass after CA",""),"")&amp;IF(AND(TRIM(U106)="Pass after CA",ISNUMBER(AF106)),IF(AF106&lt;&gt;0,"INVALID – after the corrective action the actual qty must equal expected (update Actual)",""),"")&amp;IF(AND(TRIM(U106)="Pass",TRIM(AB106)&lt;&gt;"",TRIM(AB106)&lt;&gt;"Closed"),"INVALID – corrective action not closed: use Fail, then Pass after CA","")&amp;IF(AND(TRIM(AA106)&lt;&gt;"",TRIM(AB106)=""),"INVALID – CA status missing for the recorded corrective action","")&amp;IF(AND(TRIM(U106)="Pass after CA",OR(OR(LEN(BA106)&lt;5,ISNUMBER(MATCH(BA106,L_Placeholder,0))),TRIM(AB106)&lt;&gt;"Closed")),"INVALID – corrective action not recorded/closed","")</f>
        <v/>
      </c>
    </row>
    <row r="107" customFormat="false" ht="39.75" hidden="false" customHeight="true" outlineLevel="0" collapsed="false">
      <c r="A107" s="57" t="s">
        <v>578</v>
      </c>
      <c r="B107" s="57" t="s">
        <v>215</v>
      </c>
      <c r="C107" s="57" t="str">
        <f aca="false">Flights!$F$8</f>
        <v>MH0088</v>
      </c>
      <c r="D107" s="58" t="n">
        <f aca="false">Flights!$D$8</f>
        <v>46305</v>
      </c>
      <c r="E107" s="57" t="str">
        <f aca="false">Flights!$G$8&amp;"-"&amp;Flights!$H$8</f>
        <v>KUL-NRT</v>
      </c>
      <c r="F107" s="57" t="str">
        <f aca="false">Flights!$K$8</f>
        <v>BC</v>
      </c>
      <c r="G107" s="57" t="s">
        <v>398</v>
      </c>
      <c r="H107" s="57" t="s">
        <v>356</v>
      </c>
      <c r="I107" s="57" t="s">
        <v>418</v>
      </c>
      <c r="J107" s="57" t="s">
        <v>419</v>
      </c>
      <c r="K107" s="67" t="s">
        <v>479</v>
      </c>
      <c r="L107" s="67" t="s">
        <v>579</v>
      </c>
      <c r="M107" s="67" t="s">
        <v>184</v>
      </c>
      <c r="N107" s="67" t="s">
        <v>361</v>
      </c>
      <c r="O107" s="67"/>
      <c r="P107" s="57" t="s">
        <v>184</v>
      </c>
      <c r="Q107" s="59" t="n">
        <f aca="false">ROUND((Flights!$AE$8)*1440,0)/1440</f>
        <v>46305.1458333333</v>
      </c>
      <c r="R107" s="59" t="n">
        <f aca="false">Q107+(IF(AND(INDEX(TZ_DSTS,MATCH(P107,TZ_STN,0))&lt;&gt;"",Q107&gt;=INDEX(TZ_DSTS,MATCH(P107,TZ_STN,0)),Q107&lt;INDEX(TZ_DSTE,MATCH(P107,TZ_STN,0))),INDEX(TZ_DST,MATCH(P107,TZ_STN,0)),INDEX(TZ_STD,MATCH(P107,TZ_STN,0))))/24</f>
        <v>46305.4791666667</v>
      </c>
      <c r="S107" s="59" t="n">
        <f aca="false">Q107-T12EarlyH/24</f>
        <v>46304.6458333333</v>
      </c>
      <c r="T107" s="60"/>
      <c r="U107" s="60"/>
      <c r="V107" s="60"/>
      <c r="W107" s="61"/>
      <c r="X107" s="60"/>
      <c r="Y107" s="60"/>
      <c r="Z107" s="60"/>
      <c r="AA107" s="60"/>
      <c r="AB107" s="60"/>
      <c r="AC107" s="60"/>
      <c r="AD107" s="66"/>
      <c r="AE107" s="60"/>
      <c r="AF107" s="61" t="str">
        <f aca="false">IF(AND(ISNUMBER(X107),ISNUMBER(Y107)),Y107-X107,"")</f>
        <v/>
      </c>
      <c r="AG107" s="62" t="str">
        <f aca="false">IF(ISNUMBER(AD107),AD107-(IF(AND(INDEX(TZ_DSTS,MATCH(P107,TZ_STN,0))&lt;&gt;"",(AD107-INDEX(TZ_STD,MATCH(P107,TZ_STN,0))/24)&gt;=INDEX(TZ_DSTS,MATCH(P107,TZ_STN,0)),(AD107-INDEX(TZ_STD,MATCH(P107,TZ_STN,0))/24)&lt;INDEX(TZ_DSTE,MATCH(P107,TZ_STN,0))),INDEX(TZ_DST,MATCH(P107,TZ_STN,0)),INDEX(TZ_STD,MATCH(P107,TZ_STN,0))))/24,"")</f>
        <v/>
      </c>
      <c r="AH107" s="65" t="str">
        <f aca="false">IFERROR(IF(N107="N/A – rule","N/A – RULE",IF(TRIM(U107)="N/A",IF(AT107=0,"INVALID – N/A not permitted for this check",IF(AND(TRIM(AB107)&lt;&gt;"",TRIM(AB107)&lt;&gt;"Closed"),"INVALID – corrective action still open",IF(AND(NOT(OR(LEN(AZ107)&lt;15,ISNUMBER(MATCH(AZ107,L_Placeholder,0)))),NOT(OR(LEN(AU107)&lt;2,ISNUMBER(MATCH(AU107,L_Placeholder,0)))),NOT(OR(LEN(AX107)&lt;2,ISNUMBER(MATCH(AX107,L_Placeholder,0)))),TRIM(AE107)&lt;&gt;TRIM(T107)),"N/A – JUSTIFIED","INVALID – N/A needs a real justification (15+ chars), PIC and a different verifier"))),IF(OR(TRIM(U107)="Pass",TRIM(U107)="Pass after CA"),IF(NOT(ISNUMBER(AD107)),"INVALID – completion time missing",IF(OR(LEN(AU107)&lt;2,ISNUMBER(MATCH(AU107,L_Placeholder,0))),"INVALID – PIC missing",IF(OR(LEN(AV107)&lt;2,ISNUMBER(MATCH(AV107,L_Placeholder,0))),"INVALID – result / assessment missing",IF(OR(OR(LEN(AW107)&lt;3,ISNUMBER(MATCH(AW107,L_Placeholder,0))),SUMPRODUCT(--ISNUMBER(SEARCH(L_EvidencePhrase,AW107)))&gt;0),"INVALID – evidence missing, placeholder or not yet on file",IF(OR(LEN(AX107)&lt;2,ISNUMBER(MATCH(AX107,L_Placeholder,0))),"INVALID – verifier missing",IF(AX107=AU107,"INVALID – verifier must be someone other than the PIC",IF(AND(TRIM(U107)="Pass",SUMPRODUCT(--ISNUMBER(SEARCH(L_ResultBad,AV107)))&gt;0),"INVALID – result describes a problem: use Fail, then Pass after CA",IF(AND(AQ107=1,OR(LEN(AY107)&lt;3,ISNUMBER(MATCH(AY107,L_Placeholder,0)))),"INVALID – batch ID missing or placeholder",IF(AND(AR107=1,OR(NOT(ISNUMBER(X107)),NOT(ISNUMBER(Y107)))),"INVALID – expected/actual qty missing",IF(AND(AR107=1,OR(X107&lt;=0,Y107&lt;0)),"INVALID – expected qty must be above 0 and actual not negative",IF(BB107&lt;&gt;"",BB107,IF(AND(AS107=1,Documents!$J$8&lt;&gt;"ON FILE"),"INVALID – GLD not on file (Documents sheet)",IF(AND(AS107=2,Documents!$O$8&lt;&gt;"ON FILE"),"INVALID – menu checklist not on file (Documents sheet)",IF(AND(AS107=3,NOT(ISNUMBER(Flights!$AX$8))),"INVALID – enter carrying flight KUL departure (Flights AX)",IF(AND(AS107=3,OR(Flights!$AZ$8&gt;Flights!$AA$8,Flights!$AX$8&lt;Flights!$AA$8-3)),"INVALID – carrying flight (Flights AX) cannot arrive before this leg's STD, or is over 3 days early",IF(AG107&gt;AsOfUTC,"INVALID – completion time is in the future",IF(AND(ISNUMBER(S107),AG107&lt;S107),IF(H107="Physical uplift","INVALID – before uplift window (cannot confirm loading)","INVALID – before valid window"),IF(AG107&gt;Flights!$AA$8,"INVALID – completed after departure (cannot establish readiness)",IF(AND(H107="Preparation",AG107&gt;IF(ISNUMBER(Flights!$BA$8),MIN(Flights!$BA$8,Flights!$AA$8),Flights!$AA$8)),"INVALID – completed after loading / departure (cannot establish readiness)",IF(AND(H107="Physical uplift",AG107&gt;Q107),"INVALID – recorded after the loading flight departed",IF(AG107&gt;Q107,"COMPLETE – LATE","COMPLETE"))))))))))))))))))))),IF(TRIM(U107)="Fail","FAIL – DISCREPANCY",IF(AND(TRIM(U107)&lt;&gt;"",TRIM(U107)&lt;&gt;"Not started",TRIM(U107)&lt;&gt;"In progress"),"INVALID – unrecognised status (use the list)",IF(AsOfUTC&gt;Q107,"OVERDUE",IF(N107="Clarification required","OPEN – CLARIFICATION","OPEN"))))))),"INVALID – error value in an input cell")</f>
        <v>OPEN</v>
      </c>
      <c r="AI107" s="61" t="n">
        <f aca="false">IF(OR(AH107="N/A – RULE",AH107="N/A – JUSTIFIED"),0,1)</f>
        <v>1</v>
      </c>
      <c r="AJ107" s="61" t="n">
        <f aca="false">IF(LEFT(AH107,8)="COMPLETE",1,0)</f>
        <v>0</v>
      </c>
      <c r="AK107" s="61" t="n">
        <f aca="false">IF(AND(AI107=1,AJ107=0,AsOfUTC&gt;Q107),1,0)</f>
        <v>0</v>
      </c>
      <c r="AL107" s="61" t="n">
        <f aca="false">IFERROR(IF(AND(AI107=1,OR(TRIM(U107)="Fail",AND(TRIM(AB107)&lt;&gt;"",TRIM(AB107)&lt;&gt;"Closed"),AND(ISNUMBER(AF107),AF107&lt;&gt;0,TRIM(U107)&lt;&gt;"Pass after CA"))),1,0),1)</f>
        <v>0</v>
      </c>
      <c r="AM107" s="61" t="n">
        <f aca="false">IF(LEFT(AH107,7)="INVALID",1,0)</f>
        <v>0</v>
      </c>
      <c r="AN107" s="61" t="n">
        <f aca="false">IF(AND(N107="Clarification required",AI107=1,AJ107=0),1,0)</f>
        <v>0</v>
      </c>
      <c r="AO107" s="61" t="str">
        <f aca="false">IF(AK107=1,SUM(AK$5:AK107),"")</f>
        <v/>
      </c>
      <c r="AP107" s="61" t="str">
        <f aca="false">IF(AL107=1,SUM(AL$5:AL107),"")</f>
        <v/>
      </c>
      <c r="AQ107" s="61" t="n">
        <v>0</v>
      </c>
      <c r="AR107" s="61" t="n">
        <v>0</v>
      </c>
      <c r="AS107" s="61" t="n">
        <v>0</v>
      </c>
      <c r="AT107" s="61" t="n">
        <v>0</v>
      </c>
      <c r="AU107" s="61" t="str">
        <f aca="false">SUBSTITUTE(SUBSTITUTE(SUBSTITUTE(SUBSTITUTE(SUBSTITUTE(SUBSTITUTE(SUBSTITUTE(SUBSTITUTE(SUBSTITUTE(SUBSTITUTE(SUBSTITUTE(SUBSTITUTE(SUBSTITUTE(LOWER(T107&amp;""),CHAR(160),"")," ",""),".",""),"-",""),"/",""),"?",""),"_",""),",",""),"[",""),"]",""),"(",""),")",""),"*","")</f>
        <v/>
      </c>
      <c r="AV107" s="61" t="str">
        <f aca="false">SUBSTITUTE(SUBSTITUTE(SUBSTITUTE(SUBSTITUTE(SUBSTITUTE(SUBSTITUTE(SUBSTITUTE(SUBSTITUTE(SUBSTITUTE(SUBSTITUTE(SUBSTITUTE(SUBSTITUTE(SUBSTITUTE(LOWER(V107&amp;""),CHAR(160),"")," ",""),".",""),"-",""),"/",""),"?",""),"_",""),",",""),"[",""),"]",""),"(",""),")",""),"*","")</f>
        <v/>
      </c>
      <c r="AW107" s="61" t="str">
        <f aca="false">SUBSTITUTE(SUBSTITUTE(SUBSTITUTE(SUBSTITUTE(SUBSTITUTE(SUBSTITUTE(SUBSTITUTE(SUBSTITUTE(SUBSTITUTE(SUBSTITUTE(SUBSTITUTE(SUBSTITUTE(SUBSTITUTE(LOWER(Z107&amp;""),CHAR(160),"")," ",""),".",""),"-",""),"/",""),"?",""),"_",""),",",""),"[",""),"]",""),"(",""),")",""),"*","")</f>
        <v/>
      </c>
      <c r="AX107" s="61" t="str">
        <f aca="false">SUBSTITUTE(SUBSTITUTE(SUBSTITUTE(SUBSTITUTE(SUBSTITUTE(SUBSTITUTE(SUBSTITUTE(SUBSTITUTE(SUBSTITUTE(SUBSTITUTE(SUBSTITUTE(SUBSTITUTE(SUBSTITUTE(LOWER(AE107&amp;""),CHAR(160),"")," ",""),".",""),"-",""),"/",""),"?",""),"_",""),",",""),"[",""),"]",""),"(",""),")",""),"*","")</f>
        <v/>
      </c>
      <c r="AY107" s="61" t="str">
        <f aca="false">SUBSTITUTE(SUBSTITUTE(SUBSTITUTE(SUBSTITUTE(SUBSTITUTE(SUBSTITUTE(SUBSTITUTE(SUBSTITUTE(SUBSTITUTE(SUBSTITUTE(SUBSTITUTE(SUBSTITUTE(SUBSTITUTE(LOWER(W107&amp;""),CHAR(160),"")," ",""),".",""),"-",""),"/",""),"?",""),"_",""),",",""),"[",""),"]",""),"(",""),")",""),"*","")</f>
        <v/>
      </c>
      <c r="AZ107" s="61" t="str">
        <f aca="false">SUBSTITUTE(SUBSTITUTE(SUBSTITUTE(SUBSTITUTE(SUBSTITUTE(SUBSTITUTE(SUBSTITUTE(SUBSTITUTE(SUBSTITUTE(SUBSTITUTE(SUBSTITUTE(SUBSTITUTE(SUBSTITUTE(LOWER(AC107&amp;""),CHAR(160),"")," ",""),".",""),"-",""),"/",""),"?",""),"_",""),",",""),"[",""),"]",""),"(",""),")",""),"*","")</f>
        <v/>
      </c>
      <c r="BA107" s="61" t="str">
        <f aca="false">SUBSTITUTE(SUBSTITUTE(SUBSTITUTE(SUBSTITUTE(SUBSTITUTE(SUBSTITUTE(SUBSTITUTE(SUBSTITUTE(SUBSTITUTE(SUBSTITUTE(SUBSTITUTE(SUBSTITUTE(SUBSTITUTE(LOWER(AA107&amp;""),CHAR(160),"")," ",""),".",""),"-",""),"/",""),"?",""),"_",""),",",""),"[",""),"]",""),"(",""),")",""),"*","")</f>
        <v/>
      </c>
      <c r="BB107" s="61" t="str">
        <f aca="false">IF(AND(TRIM(U107)="Pass",ISNUMBER(AF107)),IF(AF107&lt;&gt;0,"INVALID – qty variance: use Fail or Pass after CA",""),"")&amp;IF(AND(TRIM(U107)="Pass after CA",ISNUMBER(AF107)),IF(AF107&lt;&gt;0,"INVALID – after the corrective action the actual qty must equal expected (update Actual)",""),"")&amp;IF(AND(TRIM(U107)="Pass",TRIM(AB107)&lt;&gt;"",TRIM(AB107)&lt;&gt;"Closed"),"INVALID – corrective action not closed: use Fail, then Pass after CA","")&amp;IF(AND(TRIM(AA107)&lt;&gt;"",TRIM(AB107)=""),"INVALID – CA status missing for the recorded corrective action","")&amp;IF(AND(TRIM(U107)="Pass after CA",OR(OR(LEN(BA107)&lt;5,ISNUMBER(MATCH(BA107,L_Placeholder,0))),TRIM(AB107)&lt;&gt;"Closed")),"INVALID – corrective action not recorded/closed","")</f>
        <v/>
      </c>
    </row>
    <row r="108" customFormat="false" ht="39.75" hidden="false" customHeight="true" outlineLevel="0" collapsed="false">
      <c r="A108" s="57" t="s">
        <v>580</v>
      </c>
      <c r="B108" s="57" t="s">
        <v>215</v>
      </c>
      <c r="C108" s="57" t="str">
        <f aca="false">Flights!$F$8</f>
        <v>MH0088</v>
      </c>
      <c r="D108" s="58" t="n">
        <f aca="false">Flights!$D$8</f>
        <v>46305</v>
      </c>
      <c r="E108" s="57" t="str">
        <f aca="false">Flights!$G$8&amp;"-"&amp;Flights!$H$8</f>
        <v>KUL-NRT</v>
      </c>
      <c r="F108" s="57" t="str">
        <f aca="false">Flights!$K$8</f>
        <v>BC</v>
      </c>
      <c r="G108" s="57" t="s">
        <v>398</v>
      </c>
      <c r="H108" s="57" t="s">
        <v>356</v>
      </c>
      <c r="I108" s="57" t="s">
        <v>418</v>
      </c>
      <c r="J108" s="57" t="s">
        <v>581</v>
      </c>
      <c r="K108" s="67" t="s">
        <v>479</v>
      </c>
      <c r="L108" s="67" t="s">
        <v>582</v>
      </c>
      <c r="M108" s="67" t="s">
        <v>184</v>
      </c>
      <c r="N108" s="67" t="s">
        <v>361</v>
      </c>
      <c r="O108" s="67"/>
      <c r="P108" s="57" t="s">
        <v>184</v>
      </c>
      <c r="Q108" s="59" t="n">
        <f aca="false">ROUND((Flights!$AE$8)*1440,0)/1440</f>
        <v>46305.1458333333</v>
      </c>
      <c r="R108" s="59" t="n">
        <f aca="false">Q108+(IF(AND(INDEX(TZ_DSTS,MATCH(P108,TZ_STN,0))&lt;&gt;"",Q108&gt;=INDEX(TZ_DSTS,MATCH(P108,TZ_STN,0)),Q108&lt;INDEX(TZ_DSTE,MATCH(P108,TZ_STN,0))),INDEX(TZ_DST,MATCH(P108,TZ_STN,0)),INDEX(TZ_STD,MATCH(P108,TZ_STN,0))))/24</f>
        <v>46305.4791666667</v>
      </c>
      <c r="S108" s="59" t="n">
        <f aca="false">Q108-T12EarlyH/24</f>
        <v>46304.6458333333</v>
      </c>
      <c r="T108" s="60"/>
      <c r="U108" s="60"/>
      <c r="V108" s="60"/>
      <c r="W108" s="61"/>
      <c r="X108" s="60"/>
      <c r="Y108" s="60"/>
      <c r="Z108" s="60"/>
      <c r="AA108" s="60"/>
      <c r="AB108" s="60"/>
      <c r="AC108" s="60"/>
      <c r="AD108" s="66"/>
      <c r="AE108" s="60"/>
      <c r="AF108" s="61" t="str">
        <f aca="false">IF(AND(ISNUMBER(X108),ISNUMBER(Y108)),Y108-X108,"")</f>
        <v/>
      </c>
      <c r="AG108" s="62" t="str">
        <f aca="false">IF(ISNUMBER(AD108),AD108-(IF(AND(INDEX(TZ_DSTS,MATCH(P108,TZ_STN,0))&lt;&gt;"",(AD108-INDEX(TZ_STD,MATCH(P108,TZ_STN,0))/24)&gt;=INDEX(TZ_DSTS,MATCH(P108,TZ_STN,0)),(AD108-INDEX(TZ_STD,MATCH(P108,TZ_STN,0))/24)&lt;INDEX(TZ_DSTE,MATCH(P108,TZ_STN,0))),INDEX(TZ_DST,MATCH(P108,TZ_STN,0)),INDEX(TZ_STD,MATCH(P108,TZ_STN,0))))/24,"")</f>
        <v/>
      </c>
      <c r="AH108" s="65" t="str">
        <f aca="false">IFERROR(IF(N108="N/A – rule","N/A – RULE",IF(TRIM(U108)="N/A",IF(AT108=0,"INVALID – N/A not permitted for this check",IF(AND(TRIM(AB108)&lt;&gt;"",TRIM(AB108)&lt;&gt;"Closed"),"INVALID – corrective action still open",IF(AND(NOT(OR(LEN(AZ108)&lt;15,ISNUMBER(MATCH(AZ108,L_Placeholder,0)))),NOT(OR(LEN(AU108)&lt;2,ISNUMBER(MATCH(AU108,L_Placeholder,0)))),NOT(OR(LEN(AX108)&lt;2,ISNUMBER(MATCH(AX108,L_Placeholder,0)))),TRIM(AE108)&lt;&gt;TRIM(T108)),"N/A – JUSTIFIED","INVALID – N/A needs a real justification (15+ chars), PIC and a different verifier"))),IF(OR(TRIM(U108)="Pass",TRIM(U108)="Pass after CA"),IF(NOT(ISNUMBER(AD108)),"INVALID – completion time missing",IF(OR(LEN(AU108)&lt;2,ISNUMBER(MATCH(AU108,L_Placeholder,0))),"INVALID – PIC missing",IF(OR(LEN(AV108)&lt;2,ISNUMBER(MATCH(AV108,L_Placeholder,0))),"INVALID – result / assessment missing",IF(OR(OR(LEN(AW108)&lt;3,ISNUMBER(MATCH(AW108,L_Placeholder,0))),SUMPRODUCT(--ISNUMBER(SEARCH(L_EvidencePhrase,AW108)))&gt;0),"INVALID – evidence missing, placeholder or not yet on file",IF(OR(LEN(AX108)&lt;2,ISNUMBER(MATCH(AX108,L_Placeholder,0))),"INVALID – verifier missing",IF(AX108=AU108,"INVALID – verifier must be someone other than the PIC",IF(AND(TRIM(U108)="Pass",SUMPRODUCT(--ISNUMBER(SEARCH(L_ResultBad,AV108)))&gt;0),"INVALID – result describes a problem: use Fail, then Pass after CA",IF(AND(AQ108=1,OR(LEN(AY108)&lt;3,ISNUMBER(MATCH(AY108,L_Placeholder,0)))),"INVALID – batch ID missing or placeholder",IF(AND(AR108=1,OR(NOT(ISNUMBER(X108)),NOT(ISNUMBER(Y108)))),"INVALID – expected/actual qty missing",IF(AND(AR108=1,OR(X108&lt;=0,Y108&lt;0)),"INVALID – expected qty must be above 0 and actual not negative",IF(BB108&lt;&gt;"",BB108,IF(AND(AS108=1,Documents!$J$8&lt;&gt;"ON FILE"),"INVALID – GLD not on file (Documents sheet)",IF(AND(AS108=2,Documents!$O$8&lt;&gt;"ON FILE"),"INVALID – menu checklist not on file (Documents sheet)",IF(AND(AS108=3,NOT(ISNUMBER(Flights!$AX$8))),"INVALID – enter carrying flight KUL departure (Flights AX)",IF(AND(AS108=3,OR(Flights!$AZ$8&gt;Flights!$AA$8,Flights!$AX$8&lt;Flights!$AA$8-3)),"INVALID – carrying flight (Flights AX) cannot arrive before this leg's STD, or is over 3 days early",IF(AG108&gt;AsOfUTC,"INVALID – completion time is in the future",IF(AND(ISNUMBER(S108),AG108&lt;S108),IF(H108="Physical uplift","INVALID – before uplift window (cannot confirm loading)","INVALID – before valid window"),IF(AG108&gt;Flights!$AA$8,"INVALID – completed after departure (cannot establish readiness)",IF(AND(H108="Preparation",AG108&gt;IF(ISNUMBER(Flights!$BA$8),MIN(Flights!$BA$8,Flights!$AA$8),Flights!$AA$8)),"INVALID – completed after loading / departure (cannot establish readiness)",IF(AND(H108="Physical uplift",AG108&gt;Q108),"INVALID – recorded after the loading flight departed",IF(AG108&gt;Q108,"COMPLETE – LATE","COMPLETE"))))))))))))))))))))),IF(TRIM(U108)="Fail","FAIL – DISCREPANCY",IF(AND(TRIM(U108)&lt;&gt;"",TRIM(U108)&lt;&gt;"Not started",TRIM(U108)&lt;&gt;"In progress"),"INVALID – unrecognised status (use the list)",IF(AsOfUTC&gt;Q108,"OVERDUE",IF(N108="Clarification required","OPEN – CLARIFICATION","OPEN"))))))),"INVALID – error value in an input cell")</f>
        <v>OPEN</v>
      </c>
      <c r="AI108" s="61" t="n">
        <f aca="false">IF(OR(AH108="N/A – RULE",AH108="N/A – JUSTIFIED"),0,1)</f>
        <v>1</v>
      </c>
      <c r="AJ108" s="61" t="n">
        <f aca="false">IF(LEFT(AH108,8)="COMPLETE",1,0)</f>
        <v>0</v>
      </c>
      <c r="AK108" s="61" t="n">
        <f aca="false">IF(AND(AI108=1,AJ108=0,AsOfUTC&gt;Q108),1,0)</f>
        <v>0</v>
      </c>
      <c r="AL108" s="61" t="n">
        <f aca="false">IFERROR(IF(AND(AI108=1,OR(TRIM(U108)="Fail",AND(TRIM(AB108)&lt;&gt;"",TRIM(AB108)&lt;&gt;"Closed"),AND(ISNUMBER(AF108),AF108&lt;&gt;0,TRIM(U108)&lt;&gt;"Pass after CA"))),1,0),1)</f>
        <v>0</v>
      </c>
      <c r="AM108" s="61" t="n">
        <f aca="false">IF(LEFT(AH108,7)="INVALID",1,0)</f>
        <v>0</v>
      </c>
      <c r="AN108" s="61" t="n">
        <f aca="false">IF(AND(N108="Clarification required",AI108=1,AJ108=0),1,0)</f>
        <v>0</v>
      </c>
      <c r="AO108" s="61" t="str">
        <f aca="false">IF(AK108=1,SUM(AK$5:AK108),"")</f>
        <v/>
      </c>
      <c r="AP108" s="61" t="str">
        <f aca="false">IF(AL108=1,SUM(AL$5:AL108),"")</f>
        <v/>
      </c>
      <c r="AQ108" s="61" t="n">
        <v>0</v>
      </c>
      <c r="AR108" s="61" t="n">
        <v>0</v>
      </c>
      <c r="AS108" s="61" t="n">
        <v>0</v>
      </c>
      <c r="AT108" s="61" t="n">
        <v>0</v>
      </c>
      <c r="AU108" s="61" t="str">
        <f aca="false">SUBSTITUTE(SUBSTITUTE(SUBSTITUTE(SUBSTITUTE(SUBSTITUTE(SUBSTITUTE(SUBSTITUTE(SUBSTITUTE(SUBSTITUTE(SUBSTITUTE(SUBSTITUTE(SUBSTITUTE(SUBSTITUTE(LOWER(T108&amp;""),CHAR(160),"")," ",""),".",""),"-",""),"/",""),"?",""),"_",""),",",""),"[",""),"]",""),"(",""),")",""),"*","")</f>
        <v/>
      </c>
      <c r="AV108" s="61" t="str">
        <f aca="false">SUBSTITUTE(SUBSTITUTE(SUBSTITUTE(SUBSTITUTE(SUBSTITUTE(SUBSTITUTE(SUBSTITUTE(SUBSTITUTE(SUBSTITUTE(SUBSTITUTE(SUBSTITUTE(SUBSTITUTE(SUBSTITUTE(LOWER(V108&amp;""),CHAR(160),"")," ",""),".",""),"-",""),"/",""),"?",""),"_",""),",",""),"[",""),"]",""),"(",""),")",""),"*","")</f>
        <v/>
      </c>
      <c r="AW108" s="61" t="str">
        <f aca="false">SUBSTITUTE(SUBSTITUTE(SUBSTITUTE(SUBSTITUTE(SUBSTITUTE(SUBSTITUTE(SUBSTITUTE(SUBSTITUTE(SUBSTITUTE(SUBSTITUTE(SUBSTITUTE(SUBSTITUTE(SUBSTITUTE(LOWER(Z108&amp;""),CHAR(160),"")," ",""),".",""),"-",""),"/",""),"?",""),"_",""),",",""),"[",""),"]",""),"(",""),")",""),"*","")</f>
        <v/>
      </c>
      <c r="AX108" s="61" t="str">
        <f aca="false">SUBSTITUTE(SUBSTITUTE(SUBSTITUTE(SUBSTITUTE(SUBSTITUTE(SUBSTITUTE(SUBSTITUTE(SUBSTITUTE(SUBSTITUTE(SUBSTITUTE(SUBSTITUTE(SUBSTITUTE(SUBSTITUTE(LOWER(AE108&amp;""),CHAR(160),"")," ",""),".",""),"-",""),"/",""),"?",""),"_",""),",",""),"[",""),"]",""),"(",""),")",""),"*","")</f>
        <v/>
      </c>
      <c r="AY108" s="61" t="str">
        <f aca="false">SUBSTITUTE(SUBSTITUTE(SUBSTITUTE(SUBSTITUTE(SUBSTITUTE(SUBSTITUTE(SUBSTITUTE(SUBSTITUTE(SUBSTITUTE(SUBSTITUTE(SUBSTITUTE(SUBSTITUTE(SUBSTITUTE(LOWER(W108&amp;""),CHAR(160),"")," ",""),".",""),"-",""),"/",""),"?",""),"_",""),",",""),"[",""),"]",""),"(",""),")",""),"*","")</f>
        <v/>
      </c>
      <c r="AZ108" s="61" t="str">
        <f aca="false">SUBSTITUTE(SUBSTITUTE(SUBSTITUTE(SUBSTITUTE(SUBSTITUTE(SUBSTITUTE(SUBSTITUTE(SUBSTITUTE(SUBSTITUTE(SUBSTITUTE(SUBSTITUTE(SUBSTITUTE(SUBSTITUTE(LOWER(AC108&amp;""),CHAR(160),"")," ",""),".",""),"-",""),"/",""),"?",""),"_",""),",",""),"[",""),"]",""),"(",""),")",""),"*","")</f>
        <v/>
      </c>
      <c r="BA108" s="61" t="str">
        <f aca="false">SUBSTITUTE(SUBSTITUTE(SUBSTITUTE(SUBSTITUTE(SUBSTITUTE(SUBSTITUTE(SUBSTITUTE(SUBSTITUTE(SUBSTITUTE(SUBSTITUTE(SUBSTITUTE(SUBSTITUTE(SUBSTITUTE(LOWER(AA108&amp;""),CHAR(160),"")," ",""),".",""),"-",""),"/",""),"?",""),"_",""),",",""),"[",""),"]",""),"(",""),")",""),"*","")</f>
        <v/>
      </c>
      <c r="BB108" s="61" t="str">
        <f aca="false">IF(AND(TRIM(U108)="Pass",ISNUMBER(AF108)),IF(AF108&lt;&gt;0,"INVALID – qty variance: use Fail or Pass after CA",""),"")&amp;IF(AND(TRIM(U108)="Pass after CA",ISNUMBER(AF108)),IF(AF108&lt;&gt;0,"INVALID – after the corrective action the actual qty must equal expected (update Actual)",""),"")&amp;IF(AND(TRIM(U108)="Pass",TRIM(AB108)&lt;&gt;"",TRIM(AB108)&lt;&gt;"Closed"),"INVALID – corrective action not closed: use Fail, then Pass after CA","")&amp;IF(AND(TRIM(AA108)&lt;&gt;"",TRIM(AB108)=""),"INVALID – CA status missing for the recorded corrective action","")&amp;IF(AND(TRIM(U108)="Pass after CA",OR(OR(LEN(BA108)&lt;5,ISNUMBER(MATCH(BA108,L_Placeholder,0))),TRIM(AB108)&lt;&gt;"Closed")),"INVALID – corrective action not recorded/closed","")</f>
        <v/>
      </c>
    </row>
    <row r="109" customFormat="false" ht="41.25" hidden="false" customHeight="true" outlineLevel="0" collapsed="false">
      <c r="A109" s="57" t="s">
        <v>583</v>
      </c>
      <c r="B109" s="57" t="s">
        <v>215</v>
      </c>
      <c r="C109" s="57" t="str">
        <f aca="false">Flights!$F$8</f>
        <v>MH0088</v>
      </c>
      <c r="D109" s="58" t="n">
        <f aca="false">Flights!$D$8</f>
        <v>46305</v>
      </c>
      <c r="E109" s="57" t="str">
        <f aca="false">Flights!$G$8&amp;"-"&amp;Flights!$H$8</f>
        <v>KUL-NRT</v>
      </c>
      <c r="F109" s="57" t="str">
        <f aca="false">Flights!$K$8</f>
        <v>BC</v>
      </c>
      <c r="G109" s="57" t="s">
        <v>398</v>
      </c>
      <c r="H109" s="57" t="s">
        <v>356</v>
      </c>
      <c r="I109" s="57" t="s">
        <v>477</v>
      </c>
      <c r="J109" s="57" t="s">
        <v>478</v>
      </c>
      <c r="K109" s="67" t="s">
        <v>479</v>
      </c>
      <c r="L109" s="67" t="s">
        <v>584</v>
      </c>
      <c r="M109" s="67" t="s">
        <v>429</v>
      </c>
      <c r="N109" s="67" t="s">
        <v>361</v>
      </c>
      <c r="O109" s="67" t="s">
        <v>481</v>
      </c>
      <c r="P109" s="57" t="s">
        <v>184</v>
      </c>
      <c r="Q109" s="59" t="n">
        <f aca="false">ROUND((Flights!$AE$8)*1440,0)/1440</f>
        <v>46305.1458333333</v>
      </c>
      <c r="R109" s="59" t="n">
        <f aca="false">Q109+(IF(AND(INDEX(TZ_DSTS,MATCH(P109,TZ_STN,0))&lt;&gt;"",Q109&gt;=INDEX(TZ_DSTS,MATCH(P109,TZ_STN,0)),Q109&lt;INDEX(TZ_DSTE,MATCH(P109,TZ_STN,0))),INDEX(TZ_DST,MATCH(P109,TZ_STN,0)),INDEX(TZ_STD,MATCH(P109,TZ_STN,0))))/24</f>
        <v>46305.4791666667</v>
      </c>
      <c r="S109" s="59" t="n">
        <f aca="false">Q109-T12EarlyH/24</f>
        <v>46304.6458333333</v>
      </c>
      <c r="T109" s="60"/>
      <c r="U109" s="60"/>
      <c r="V109" s="60"/>
      <c r="W109" s="61"/>
      <c r="X109" s="60"/>
      <c r="Y109" s="60"/>
      <c r="Z109" s="60"/>
      <c r="AA109" s="60"/>
      <c r="AB109" s="60"/>
      <c r="AC109" s="60"/>
      <c r="AD109" s="66"/>
      <c r="AE109" s="60"/>
      <c r="AF109" s="61" t="str">
        <f aca="false">IF(AND(ISNUMBER(X109),ISNUMBER(Y109)),Y109-X109,"")</f>
        <v/>
      </c>
      <c r="AG109" s="62" t="str">
        <f aca="false">IF(ISNUMBER(AD109),AD109-(IF(AND(INDEX(TZ_DSTS,MATCH(P109,TZ_STN,0))&lt;&gt;"",(AD109-INDEX(TZ_STD,MATCH(P109,TZ_STN,0))/24)&gt;=INDEX(TZ_DSTS,MATCH(P109,TZ_STN,0)),(AD109-INDEX(TZ_STD,MATCH(P109,TZ_STN,0))/24)&lt;INDEX(TZ_DSTE,MATCH(P109,TZ_STN,0))),INDEX(TZ_DST,MATCH(P109,TZ_STN,0)),INDEX(TZ_STD,MATCH(P109,TZ_STN,0))))/24,"")</f>
        <v/>
      </c>
      <c r="AH109" s="65" t="str">
        <f aca="false">IFERROR(IF(N109="N/A – rule","N/A – RULE",IF(TRIM(U109)="N/A",IF(AT109=0,"INVALID – N/A not permitted for this check",IF(AND(TRIM(AB109)&lt;&gt;"",TRIM(AB109)&lt;&gt;"Closed"),"INVALID – corrective action still open",IF(AND(NOT(OR(LEN(AZ109)&lt;15,ISNUMBER(MATCH(AZ109,L_Placeholder,0)))),NOT(OR(LEN(AU109)&lt;2,ISNUMBER(MATCH(AU109,L_Placeholder,0)))),NOT(OR(LEN(AX109)&lt;2,ISNUMBER(MATCH(AX109,L_Placeholder,0)))),TRIM(AE109)&lt;&gt;TRIM(T109)),"N/A – JUSTIFIED","INVALID – N/A needs a real justification (15+ chars), PIC and a different verifier"))),IF(OR(TRIM(U109)="Pass",TRIM(U109)="Pass after CA"),IF(NOT(ISNUMBER(AD109)),"INVALID – completion time missing",IF(OR(LEN(AU109)&lt;2,ISNUMBER(MATCH(AU109,L_Placeholder,0))),"INVALID – PIC missing",IF(OR(LEN(AV109)&lt;2,ISNUMBER(MATCH(AV109,L_Placeholder,0))),"INVALID – result / assessment missing",IF(OR(OR(LEN(AW109)&lt;3,ISNUMBER(MATCH(AW109,L_Placeholder,0))),SUMPRODUCT(--ISNUMBER(SEARCH(L_EvidencePhrase,AW109)))&gt;0),"INVALID – evidence missing, placeholder or not yet on file",IF(OR(LEN(AX109)&lt;2,ISNUMBER(MATCH(AX109,L_Placeholder,0))),"INVALID – verifier missing",IF(AX109=AU109,"INVALID – verifier must be someone other than the PIC",IF(AND(TRIM(U109)="Pass",SUMPRODUCT(--ISNUMBER(SEARCH(L_ResultBad,AV109)))&gt;0),"INVALID – result describes a problem: use Fail, then Pass after CA",IF(AND(AQ109=1,OR(LEN(AY109)&lt;3,ISNUMBER(MATCH(AY109,L_Placeholder,0)))),"INVALID – batch ID missing or placeholder",IF(AND(AR109=1,OR(NOT(ISNUMBER(X109)),NOT(ISNUMBER(Y109)))),"INVALID – expected/actual qty missing",IF(AND(AR109=1,OR(X109&lt;=0,Y109&lt;0)),"INVALID – expected qty must be above 0 and actual not negative",IF(BB109&lt;&gt;"",BB109,IF(AND(AS109=1,Documents!$J$8&lt;&gt;"ON FILE"),"INVALID – GLD not on file (Documents sheet)",IF(AND(AS109=2,Documents!$O$8&lt;&gt;"ON FILE"),"INVALID – menu checklist not on file (Documents sheet)",IF(AND(AS109=3,NOT(ISNUMBER(Flights!$AX$8))),"INVALID – enter carrying flight KUL departure (Flights AX)",IF(AND(AS109=3,OR(Flights!$AZ$8&gt;Flights!$AA$8,Flights!$AX$8&lt;Flights!$AA$8-3)),"INVALID – carrying flight (Flights AX) cannot arrive before this leg's STD, or is over 3 days early",IF(AG109&gt;AsOfUTC,"INVALID – completion time is in the future",IF(AND(ISNUMBER(S109),AG109&lt;S109),IF(H109="Physical uplift","INVALID – before uplift window (cannot confirm loading)","INVALID – before valid window"),IF(AG109&gt;Flights!$AA$8,"INVALID – completed after departure (cannot establish readiness)",IF(AND(H109="Preparation",AG109&gt;IF(ISNUMBER(Flights!$BA$8),MIN(Flights!$BA$8,Flights!$AA$8),Flights!$AA$8)),"INVALID – completed after loading / departure (cannot establish readiness)",IF(AND(H109="Physical uplift",AG109&gt;Q109),"INVALID – recorded after the loading flight departed",IF(AG109&gt;Q109,"COMPLETE – LATE","COMPLETE"))))))))))))))))))))),IF(TRIM(U109)="Fail","FAIL – DISCREPANCY",IF(AND(TRIM(U109)&lt;&gt;"",TRIM(U109)&lt;&gt;"Not started",TRIM(U109)&lt;&gt;"In progress"),"INVALID – unrecognised status (use the list)",IF(AsOfUTC&gt;Q109,"OVERDUE",IF(N109="Clarification required","OPEN – CLARIFICATION","OPEN"))))))),"INVALID – error value in an input cell")</f>
        <v>OPEN</v>
      </c>
      <c r="AI109" s="61" t="n">
        <f aca="false">IF(OR(AH109="N/A – RULE",AH109="N/A – JUSTIFIED"),0,1)</f>
        <v>1</v>
      </c>
      <c r="AJ109" s="61" t="n">
        <f aca="false">IF(LEFT(AH109,8)="COMPLETE",1,0)</f>
        <v>0</v>
      </c>
      <c r="AK109" s="61" t="n">
        <f aca="false">IF(AND(AI109=1,AJ109=0,AsOfUTC&gt;Q109),1,0)</f>
        <v>0</v>
      </c>
      <c r="AL109" s="61" t="n">
        <f aca="false">IFERROR(IF(AND(AI109=1,OR(TRIM(U109)="Fail",AND(TRIM(AB109)&lt;&gt;"",TRIM(AB109)&lt;&gt;"Closed"),AND(ISNUMBER(AF109),AF109&lt;&gt;0,TRIM(U109)&lt;&gt;"Pass after CA"))),1,0),1)</f>
        <v>0</v>
      </c>
      <c r="AM109" s="61" t="n">
        <f aca="false">IF(LEFT(AH109,7)="INVALID",1,0)</f>
        <v>0</v>
      </c>
      <c r="AN109" s="61" t="n">
        <f aca="false">IF(AND(N109="Clarification required",AI109=1,AJ109=0),1,0)</f>
        <v>0</v>
      </c>
      <c r="AO109" s="61" t="str">
        <f aca="false">IF(AK109=1,SUM(AK$5:AK109),"")</f>
        <v/>
      </c>
      <c r="AP109" s="61" t="str">
        <f aca="false">IF(AL109=1,SUM(AL$5:AL109),"")</f>
        <v/>
      </c>
      <c r="AQ109" s="61" t="n">
        <v>0</v>
      </c>
      <c r="AR109" s="61" t="n">
        <v>0</v>
      </c>
      <c r="AS109" s="61" t="n">
        <v>0</v>
      </c>
      <c r="AT109" s="61" t="n">
        <v>0</v>
      </c>
      <c r="AU109" s="61" t="str">
        <f aca="false">SUBSTITUTE(SUBSTITUTE(SUBSTITUTE(SUBSTITUTE(SUBSTITUTE(SUBSTITUTE(SUBSTITUTE(SUBSTITUTE(SUBSTITUTE(SUBSTITUTE(SUBSTITUTE(SUBSTITUTE(SUBSTITUTE(LOWER(T109&amp;""),CHAR(160),"")," ",""),".",""),"-",""),"/",""),"?",""),"_",""),",",""),"[",""),"]",""),"(",""),")",""),"*","")</f>
        <v/>
      </c>
      <c r="AV109" s="61" t="str">
        <f aca="false">SUBSTITUTE(SUBSTITUTE(SUBSTITUTE(SUBSTITUTE(SUBSTITUTE(SUBSTITUTE(SUBSTITUTE(SUBSTITUTE(SUBSTITUTE(SUBSTITUTE(SUBSTITUTE(SUBSTITUTE(SUBSTITUTE(LOWER(V109&amp;""),CHAR(160),"")," ",""),".",""),"-",""),"/",""),"?",""),"_",""),",",""),"[",""),"]",""),"(",""),")",""),"*","")</f>
        <v/>
      </c>
      <c r="AW109" s="61" t="str">
        <f aca="false">SUBSTITUTE(SUBSTITUTE(SUBSTITUTE(SUBSTITUTE(SUBSTITUTE(SUBSTITUTE(SUBSTITUTE(SUBSTITUTE(SUBSTITUTE(SUBSTITUTE(SUBSTITUTE(SUBSTITUTE(SUBSTITUTE(LOWER(Z109&amp;""),CHAR(160),"")," ",""),".",""),"-",""),"/",""),"?",""),"_",""),",",""),"[",""),"]",""),"(",""),")",""),"*","")</f>
        <v/>
      </c>
      <c r="AX109" s="61" t="str">
        <f aca="false">SUBSTITUTE(SUBSTITUTE(SUBSTITUTE(SUBSTITUTE(SUBSTITUTE(SUBSTITUTE(SUBSTITUTE(SUBSTITUTE(SUBSTITUTE(SUBSTITUTE(SUBSTITUTE(SUBSTITUTE(SUBSTITUTE(LOWER(AE109&amp;""),CHAR(160),"")," ",""),".",""),"-",""),"/",""),"?",""),"_",""),",",""),"[",""),"]",""),"(",""),")",""),"*","")</f>
        <v/>
      </c>
      <c r="AY109" s="61" t="str">
        <f aca="false">SUBSTITUTE(SUBSTITUTE(SUBSTITUTE(SUBSTITUTE(SUBSTITUTE(SUBSTITUTE(SUBSTITUTE(SUBSTITUTE(SUBSTITUTE(SUBSTITUTE(SUBSTITUTE(SUBSTITUTE(SUBSTITUTE(LOWER(W109&amp;""),CHAR(160),"")," ",""),".",""),"-",""),"/",""),"?",""),"_",""),",",""),"[",""),"]",""),"(",""),")",""),"*","")</f>
        <v/>
      </c>
      <c r="AZ109" s="61" t="str">
        <f aca="false">SUBSTITUTE(SUBSTITUTE(SUBSTITUTE(SUBSTITUTE(SUBSTITUTE(SUBSTITUTE(SUBSTITUTE(SUBSTITUTE(SUBSTITUTE(SUBSTITUTE(SUBSTITUTE(SUBSTITUTE(SUBSTITUTE(LOWER(AC109&amp;""),CHAR(160),"")," ",""),".",""),"-",""),"/",""),"?",""),"_",""),",",""),"[",""),"]",""),"(",""),")",""),"*","")</f>
        <v/>
      </c>
      <c r="BA109" s="61" t="str">
        <f aca="false">SUBSTITUTE(SUBSTITUTE(SUBSTITUTE(SUBSTITUTE(SUBSTITUTE(SUBSTITUTE(SUBSTITUTE(SUBSTITUTE(SUBSTITUTE(SUBSTITUTE(SUBSTITUTE(SUBSTITUTE(SUBSTITUTE(LOWER(AA109&amp;""),CHAR(160),"")," ",""),".",""),"-",""),"/",""),"?",""),"_",""),",",""),"[",""),"]",""),"(",""),")",""),"*","")</f>
        <v/>
      </c>
      <c r="BB109" s="61" t="str">
        <f aca="false">IF(AND(TRIM(U109)="Pass",ISNUMBER(AF109)),IF(AF109&lt;&gt;0,"INVALID – qty variance: use Fail or Pass after CA",""),"")&amp;IF(AND(TRIM(U109)="Pass after CA",ISNUMBER(AF109)),IF(AF109&lt;&gt;0,"INVALID – after the corrective action the actual qty must equal expected (update Actual)",""),"")&amp;IF(AND(TRIM(U109)="Pass",TRIM(AB109)&lt;&gt;"",TRIM(AB109)&lt;&gt;"Closed"),"INVALID – corrective action not closed: use Fail, then Pass after CA","")&amp;IF(AND(TRIM(AA109)&lt;&gt;"",TRIM(AB109)=""),"INVALID – CA status missing for the recorded corrective action","")&amp;IF(AND(TRIM(U109)="Pass after CA",OR(OR(LEN(BA109)&lt;5,ISNUMBER(MATCH(BA109,L_Placeholder,0))),TRIM(AB109)&lt;&gt;"Closed")),"INVALID – corrective action not recorded/closed","")</f>
        <v/>
      </c>
    </row>
    <row r="110" customFormat="false" ht="41.25" hidden="false" customHeight="true" outlineLevel="0" collapsed="false">
      <c r="A110" s="57" t="s">
        <v>585</v>
      </c>
      <c r="B110" s="57" t="s">
        <v>215</v>
      </c>
      <c r="C110" s="57" t="str">
        <f aca="false">Flights!$F$8</f>
        <v>MH0088</v>
      </c>
      <c r="D110" s="58" t="n">
        <f aca="false">Flights!$D$8</f>
        <v>46305</v>
      </c>
      <c r="E110" s="57" t="str">
        <f aca="false">Flights!$G$8&amp;"-"&amp;Flights!$H$8</f>
        <v>KUL-NRT</v>
      </c>
      <c r="F110" s="57" t="str">
        <f aca="false">Flights!$K$8</f>
        <v>BC</v>
      </c>
      <c r="G110" s="57" t="s">
        <v>398</v>
      </c>
      <c r="H110" s="57" t="s">
        <v>356</v>
      </c>
      <c r="I110" s="57" t="s">
        <v>477</v>
      </c>
      <c r="J110" s="57" t="s">
        <v>483</v>
      </c>
      <c r="K110" s="67" t="s">
        <v>479</v>
      </c>
      <c r="L110" s="67" t="s">
        <v>586</v>
      </c>
      <c r="M110" s="67" t="s">
        <v>429</v>
      </c>
      <c r="N110" s="67" t="s">
        <v>361</v>
      </c>
      <c r="O110" s="67" t="s">
        <v>481</v>
      </c>
      <c r="P110" s="57" t="s">
        <v>184</v>
      </c>
      <c r="Q110" s="59" t="n">
        <f aca="false">ROUND((Flights!$AE$8)*1440,0)/1440</f>
        <v>46305.1458333333</v>
      </c>
      <c r="R110" s="59" t="n">
        <f aca="false">Q110+(IF(AND(INDEX(TZ_DSTS,MATCH(P110,TZ_STN,0))&lt;&gt;"",Q110&gt;=INDEX(TZ_DSTS,MATCH(P110,TZ_STN,0)),Q110&lt;INDEX(TZ_DSTE,MATCH(P110,TZ_STN,0))),INDEX(TZ_DST,MATCH(P110,TZ_STN,0)),INDEX(TZ_STD,MATCH(P110,TZ_STN,0))))/24</f>
        <v>46305.4791666667</v>
      </c>
      <c r="S110" s="59" t="n">
        <f aca="false">Q110-T12EarlyH/24</f>
        <v>46304.6458333333</v>
      </c>
      <c r="T110" s="60"/>
      <c r="U110" s="60"/>
      <c r="V110" s="60"/>
      <c r="W110" s="61"/>
      <c r="X110" s="60"/>
      <c r="Y110" s="60"/>
      <c r="Z110" s="60"/>
      <c r="AA110" s="60"/>
      <c r="AB110" s="60"/>
      <c r="AC110" s="60"/>
      <c r="AD110" s="66"/>
      <c r="AE110" s="60"/>
      <c r="AF110" s="61" t="str">
        <f aca="false">IF(AND(ISNUMBER(X110),ISNUMBER(Y110)),Y110-X110,"")</f>
        <v/>
      </c>
      <c r="AG110" s="62" t="str">
        <f aca="false">IF(ISNUMBER(AD110),AD110-(IF(AND(INDEX(TZ_DSTS,MATCH(P110,TZ_STN,0))&lt;&gt;"",(AD110-INDEX(TZ_STD,MATCH(P110,TZ_STN,0))/24)&gt;=INDEX(TZ_DSTS,MATCH(P110,TZ_STN,0)),(AD110-INDEX(TZ_STD,MATCH(P110,TZ_STN,0))/24)&lt;INDEX(TZ_DSTE,MATCH(P110,TZ_STN,0))),INDEX(TZ_DST,MATCH(P110,TZ_STN,0)),INDEX(TZ_STD,MATCH(P110,TZ_STN,0))))/24,"")</f>
        <v/>
      </c>
      <c r="AH110" s="65" t="str">
        <f aca="false">IFERROR(IF(N110="N/A – rule","N/A – RULE",IF(TRIM(U110)="N/A",IF(AT110=0,"INVALID – N/A not permitted for this check",IF(AND(TRIM(AB110)&lt;&gt;"",TRIM(AB110)&lt;&gt;"Closed"),"INVALID – corrective action still open",IF(AND(NOT(OR(LEN(AZ110)&lt;15,ISNUMBER(MATCH(AZ110,L_Placeholder,0)))),NOT(OR(LEN(AU110)&lt;2,ISNUMBER(MATCH(AU110,L_Placeholder,0)))),NOT(OR(LEN(AX110)&lt;2,ISNUMBER(MATCH(AX110,L_Placeholder,0)))),TRIM(AE110)&lt;&gt;TRIM(T110)),"N/A – JUSTIFIED","INVALID – N/A needs a real justification (15+ chars), PIC and a different verifier"))),IF(OR(TRIM(U110)="Pass",TRIM(U110)="Pass after CA"),IF(NOT(ISNUMBER(AD110)),"INVALID – completion time missing",IF(OR(LEN(AU110)&lt;2,ISNUMBER(MATCH(AU110,L_Placeholder,0))),"INVALID – PIC missing",IF(OR(LEN(AV110)&lt;2,ISNUMBER(MATCH(AV110,L_Placeholder,0))),"INVALID – result / assessment missing",IF(OR(OR(LEN(AW110)&lt;3,ISNUMBER(MATCH(AW110,L_Placeholder,0))),SUMPRODUCT(--ISNUMBER(SEARCH(L_EvidencePhrase,AW110)))&gt;0),"INVALID – evidence missing, placeholder or not yet on file",IF(OR(LEN(AX110)&lt;2,ISNUMBER(MATCH(AX110,L_Placeholder,0))),"INVALID – verifier missing",IF(AX110=AU110,"INVALID – verifier must be someone other than the PIC",IF(AND(TRIM(U110)="Pass",SUMPRODUCT(--ISNUMBER(SEARCH(L_ResultBad,AV110)))&gt;0),"INVALID – result describes a problem: use Fail, then Pass after CA",IF(AND(AQ110=1,OR(LEN(AY110)&lt;3,ISNUMBER(MATCH(AY110,L_Placeholder,0)))),"INVALID – batch ID missing or placeholder",IF(AND(AR110=1,OR(NOT(ISNUMBER(X110)),NOT(ISNUMBER(Y110)))),"INVALID – expected/actual qty missing",IF(AND(AR110=1,OR(X110&lt;=0,Y110&lt;0)),"INVALID – expected qty must be above 0 and actual not negative",IF(BB110&lt;&gt;"",BB110,IF(AND(AS110=1,Documents!$J$8&lt;&gt;"ON FILE"),"INVALID – GLD not on file (Documents sheet)",IF(AND(AS110=2,Documents!$O$8&lt;&gt;"ON FILE"),"INVALID – menu checklist not on file (Documents sheet)",IF(AND(AS110=3,NOT(ISNUMBER(Flights!$AX$8))),"INVALID – enter carrying flight KUL departure (Flights AX)",IF(AND(AS110=3,OR(Flights!$AZ$8&gt;Flights!$AA$8,Flights!$AX$8&lt;Flights!$AA$8-3)),"INVALID – carrying flight (Flights AX) cannot arrive before this leg's STD, or is over 3 days early",IF(AG110&gt;AsOfUTC,"INVALID – completion time is in the future",IF(AND(ISNUMBER(S110),AG110&lt;S110),IF(H110="Physical uplift","INVALID – before uplift window (cannot confirm loading)","INVALID – before valid window"),IF(AG110&gt;Flights!$AA$8,"INVALID – completed after departure (cannot establish readiness)",IF(AND(H110="Preparation",AG110&gt;IF(ISNUMBER(Flights!$BA$8),MIN(Flights!$BA$8,Flights!$AA$8),Flights!$AA$8)),"INVALID – completed after loading / departure (cannot establish readiness)",IF(AND(H110="Physical uplift",AG110&gt;Q110),"INVALID – recorded after the loading flight departed",IF(AG110&gt;Q110,"COMPLETE – LATE","COMPLETE"))))))))))))))))))))),IF(TRIM(U110)="Fail","FAIL – DISCREPANCY",IF(AND(TRIM(U110)&lt;&gt;"",TRIM(U110)&lt;&gt;"Not started",TRIM(U110)&lt;&gt;"In progress"),"INVALID – unrecognised status (use the list)",IF(AsOfUTC&gt;Q110,"OVERDUE",IF(N110="Clarification required","OPEN – CLARIFICATION","OPEN"))))))),"INVALID – error value in an input cell")</f>
        <v>OPEN</v>
      </c>
      <c r="AI110" s="61" t="n">
        <f aca="false">IF(OR(AH110="N/A – RULE",AH110="N/A – JUSTIFIED"),0,1)</f>
        <v>1</v>
      </c>
      <c r="AJ110" s="61" t="n">
        <f aca="false">IF(LEFT(AH110,8)="COMPLETE",1,0)</f>
        <v>0</v>
      </c>
      <c r="AK110" s="61" t="n">
        <f aca="false">IF(AND(AI110=1,AJ110=0,AsOfUTC&gt;Q110),1,0)</f>
        <v>0</v>
      </c>
      <c r="AL110" s="61" t="n">
        <f aca="false">IFERROR(IF(AND(AI110=1,OR(TRIM(U110)="Fail",AND(TRIM(AB110)&lt;&gt;"",TRIM(AB110)&lt;&gt;"Closed"),AND(ISNUMBER(AF110),AF110&lt;&gt;0,TRIM(U110)&lt;&gt;"Pass after CA"))),1,0),1)</f>
        <v>0</v>
      </c>
      <c r="AM110" s="61" t="n">
        <f aca="false">IF(LEFT(AH110,7)="INVALID",1,0)</f>
        <v>0</v>
      </c>
      <c r="AN110" s="61" t="n">
        <f aca="false">IF(AND(N110="Clarification required",AI110=1,AJ110=0),1,0)</f>
        <v>0</v>
      </c>
      <c r="AO110" s="61" t="str">
        <f aca="false">IF(AK110=1,SUM(AK$5:AK110),"")</f>
        <v/>
      </c>
      <c r="AP110" s="61" t="str">
        <f aca="false">IF(AL110=1,SUM(AL$5:AL110),"")</f>
        <v/>
      </c>
      <c r="AQ110" s="61" t="n">
        <v>0</v>
      </c>
      <c r="AR110" s="61" t="n">
        <v>0</v>
      </c>
      <c r="AS110" s="61" t="n">
        <v>0</v>
      </c>
      <c r="AT110" s="61" t="n">
        <v>0</v>
      </c>
      <c r="AU110" s="61" t="str">
        <f aca="false">SUBSTITUTE(SUBSTITUTE(SUBSTITUTE(SUBSTITUTE(SUBSTITUTE(SUBSTITUTE(SUBSTITUTE(SUBSTITUTE(SUBSTITUTE(SUBSTITUTE(SUBSTITUTE(SUBSTITUTE(SUBSTITUTE(LOWER(T110&amp;""),CHAR(160),"")," ",""),".",""),"-",""),"/",""),"?",""),"_",""),",",""),"[",""),"]",""),"(",""),")",""),"*","")</f>
        <v/>
      </c>
      <c r="AV110" s="61" t="str">
        <f aca="false">SUBSTITUTE(SUBSTITUTE(SUBSTITUTE(SUBSTITUTE(SUBSTITUTE(SUBSTITUTE(SUBSTITUTE(SUBSTITUTE(SUBSTITUTE(SUBSTITUTE(SUBSTITUTE(SUBSTITUTE(SUBSTITUTE(LOWER(V110&amp;""),CHAR(160),"")," ",""),".",""),"-",""),"/",""),"?",""),"_",""),",",""),"[",""),"]",""),"(",""),")",""),"*","")</f>
        <v/>
      </c>
      <c r="AW110" s="61" t="str">
        <f aca="false">SUBSTITUTE(SUBSTITUTE(SUBSTITUTE(SUBSTITUTE(SUBSTITUTE(SUBSTITUTE(SUBSTITUTE(SUBSTITUTE(SUBSTITUTE(SUBSTITUTE(SUBSTITUTE(SUBSTITUTE(SUBSTITUTE(LOWER(Z110&amp;""),CHAR(160),"")," ",""),".",""),"-",""),"/",""),"?",""),"_",""),",",""),"[",""),"]",""),"(",""),")",""),"*","")</f>
        <v/>
      </c>
      <c r="AX110" s="61" t="str">
        <f aca="false">SUBSTITUTE(SUBSTITUTE(SUBSTITUTE(SUBSTITUTE(SUBSTITUTE(SUBSTITUTE(SUBSTITUTE(SUBSTITUTE(SUBSTITUTE(SUBSTITUTE(SUBSTITUTE(SUBSTITUTE(SUBSTITUTE(LOWER(AE110&amp;""),CHAR(160),"")," ",""),".",""),"-",""),"/",""),"?",""),"_",""),",",""),"[",""),"]",""),"(",""),")",""),"*","")</f>
        <v/>
      </c>
      <c r="AY110" s="61" t="str">
        <f aca="false">SUBSTITUTE(SUBSTITUTE(SUBSTITUTE(SUBSTITUTE(SUBSTITUTE(SUBSTITUTE(SUBSTITUTE(SUBSTITUTE(SUBSTITUTE(SUBSTITUTE(SUBSTITUTE(SUBSTITUTE(SUBSTITUTE(LOWER(W110&amp;""),CHAR(160),"")," ",""),".",""),"-",""),"/",""),"?",""),"_",""),",",""),"[",""),"]",""),"(",""),")",""),"*","")</f>
        <v/>
      </c>
      <c r="AZ110" s="61" t="str">
        <f aca="false">SUBSTITUTE(SUBSTITUTE(SUBSTITUTE(SUBSTITUTE(SUBSTITUTE(SUBSTITUTE(SUBSTITUTE(SUBSTITUTE(SUBSTITUTE(SUBSTITUTE(SUBSTITUTE(SUBSTITUTE(SUBSTITUTE(LOWER(AC110&amp;""),CHAR(160),"")," ",""),".",""),"-",""),"/",""),"?",""),"_",""),",",""),"[",""),"]",""),"(",""),")",""),"*","")</f>
        <v/>
      </c>
      <c r="BA110" s="61" t="str">
        <f aca="false">SUBSTITUTE(SUBSTITUTE(SUBSTITUTE(SUBSTITUTE(SUBSTITUTE(SUBSTITUTE(SUBSTITUTE(SUBSTITUTE(SUBSTITUTE(SUBSTITUTE(SUBSTITUTE(SUBSTITUTE(SUBSTITUTE(LOWER(AA110&amp;""),CHAR(160),"")," ",""),".",""),"-",""),"/",""),"?",""),"_",""),",",""),"[",""),"]",""),"(",""),")",""),"*","")</f>
        <v/>
      </c>
      <c r="BB110" s="61" t="str">
        <f aca="false">IF(AND(TRIM(U110)="Pass",ISNUMBER(AF110)),IF(AF110&lt;&gt;0,"INVALID – qty variance: use Fail or Pass after CA",""),"")&amp;IF(AND(TRIM(U110)="Pass after CA",ISNUMBER(AF110)),IF(AF110&lt;&gt;0,"INVALID – after the corrective action the actual qty must equal expected (update Actual)",""),"")&amp;IF(AND(TRIM(U110)="Pass",TRIM(AB110)&lt;&gt;"",TRIM(AB110)&lt;&gt;"Closed"),"INVALID – corrective action not closed: use Fail, then Pass after CA","")&amp;IF(AND(TRIM(AA110)&lt;&gt;"",TRIM(AB110)=""),"INVALID – CA status missing for the recorded corrective action","")&amp;IF(AND(TRIM(U110)="Pass after CA",OR(OR(LEN(BA110)&lt;5,ISNUMBER(MATCH(BA110,L_Placeholder,0))),TRIM(AB110)&lt;&gt;"Closed")),"INVALID – corrective action not recorded/closed","")</f>
        <v/>
      </c>
    </row>
    <row r="111" customFormat="false" ht="41.25" hidden="false" customHeight="true" outlineLevel="0" collapsed="false">
      <c r="A111" s="57" t="s">
        <v>587</v>
      </c>
      <c r="B111" s="57" t="s">
        <v>215</v>
      </c>
      <c r="C111" s="57" t="str">
        <f aca="false">Flights!$F$8</f>
        <v>MH0088</v>
      </c>
      <c r="D111" s="58" t="n">
        <f aca="false">Flights!$D$8</f>
        <v>46305</v>
      </c>
      <c r="E111" s="57" t="str">
        <f aca="false">Flights!$G$8&amp;"-"&amp;Flights!$H$8</f>
        <v>KUL-NRT</v>
      </c>
      <c r="F111" s="57" t="str">
        <f aca="false">Flights!$K$8</f>
        <v>BC</v>
      </c>
      <c r="G111" s="57" t="s">
        <v>398</v>
      </c>
      <c r="H111" s="57" t="s">
        <v>356</v>
      </c>
      <c r="I111" s="57" t="s">
        <v>477</v>
      </c>
      <c r="J111" s="57" t="s">
        <v>486</v>
      </c>
      <c r="K111" s="67" t="s">
        <v>479</v>
      </c>
      <c r="L111" s="67" t="s">
        <v>588</v>
      </c>
      <c r="M111" s="67" t="s">
        <v>429</v>
      </c>
      <c r="N111" s="67" t="s">
        <v>361</v>
      </c>
      <c r="O111" s="67" t="s">
        <v>481</v>
      </c>
      <c r="P111" s="57" t="s">
        <v>184</v>
      </c>
      <c r="Q111" s="59" t="n">
        <f aca="false">ROUND((Flights!$AE$8)*1440,0)/1440</f>
        <v>46305.1458333333</v>
      </c>
      <c r="R111" s="59" t="n">
        <f aca="false">Q111+(IF(AND(INDEX(TZ_DSTS,MATCH(P111,TZ_STN,0))&lt;&gt;"",Q111&gt;=INDEX(TZ_DSTS,MATCH(P111,TZ_STN,0)),Q111&lt;INDEX(TZ_DSTE,MATCH(P111,TZ_STN,0))),INDEX(TZ_DST,MATCH(P111,TZ_STN,0)),INDEX(TZ_STD,MATCH(P111,TZ_STN,0))))/24</f>
        <v>46305.4791666667</v>
      </c>
      <c r="S111" s="59" t="n">
        <f aca="false">Q111-T12EarlyH/24</f>
        <v>46304.6458333333</v>
      </c>
      <c r="T111" s="60"/>
      <c r="U111" s="60"/>
      <c r="V111" s="60"/>
      <c r="W111" s="61"/>
      <c r="X111" s="60"/>
      <c r="Y111" s="60"/>
      <c r="Z111" s="60"/>
      <c r="AA111" s="60"/>
      <c r="AB111" s="60"/>
      <c r="AC111" s="60"/>
      <c r="AD111" s="66"/>
      <c r="AE111" s="60"/>
      <c r="AF111" s="61" t="str">
        <f aca="false">IF(AND(ISNUMBER(X111),ISNUMBER(Y111)),Y111-X111,"")</f>
        <v/>
      </c>
      <c r="AG111" s="62" t="str">
        <f aca="false">IF(ISNUMBER(AD111),AD111-(IF(AND(INDEX(TZ_DSTS,MATCH(P111,TZ_STN,0))&lt;&gt;"",(AD111-INDEX(TZ_STD,MATCH(P111,TZ_STN,0))/24)&gt;=INDEX(TZ_DSTS,MATCH(P111,TZ_STN,0)),(AD111-INDEX(TZ_STD,MATCH(P111,TZ_STN,0))/24)&lt;INDEX(TZ_DSTE,MATCH(P111,TZ_STN,0))),INDEX(TZ_DST,MATCH(P111,TZ_STN,0)),INDEX(TZ_STD,MATCH(P111,TZ_STN,0))))/24,"")</f>
        <v/>
      </c>
      <c r="AH111" s="65" t="str">
        <f aca="false">IFERROR(IF(N111="N/A – rule","N/A – RULE",IF(TRIM(U111)="N/A",IF(AT111=0,"INVALID – N/A not permitted for this check",IF(AND(TRIM(AB111)&lt;&gt;"",TRIM(AB111)&lt;&gt;"Closed"),"INVALID – corrective action still open",IF(AND(NOT(OR(LEN(AZ111)&lt;15,ISNUMBER(MATCH(AZ111,L_Placeholder,0)))),NOT(OR(LEN(AU111)&lt;2,ISNUMBER(MATCH(AU111,L_Placeholder,0)))),NOT(OR(LEN(AX111)&lt;2,ISNUMBER(MATCH(AX111,L_Placeholder,0)))),TRIM(AE111)&lt;&gt;TRIM(T111)),"N/A – JUSTIFIED","INVALID – N/A needs a real justification (15+ chars), PIC and a different verifier"))),IF(OR(TRIM(U111)="Pass",TRIM(U111)="Pass after CA"),IF(NOT(ISNUMBER(AD111)),"INVALID – completion time missing",IF(OR(LEN(AU111)&lt;2,ISNUMBER(MATCH(AU111,L_Placeholder,0))),"INVALID – PIC missing",IF(OR(LEN(AV111)&lt;2,ISNUMBER(MATCH(AV111,L_Placeholder,0))),"INVALID – result / assessment missing",IF(OR(OR(LEN(AW111)&lt;3,ISNUMBER(MATCH(AW111,L_Placeholder,0))),SUMPRODUCT(--ISNUMBER(SEARCH(L_EvidencePhrase,AW111)))&gt;0),"INVALID – evidence missing, placeholder or not yet on file",IF(OR(LEN(AX111)&lt;2,ISNUMBER(MATCH(AX111,L_Placeholder,0))),"INVALID – verifier missing",IF(AX111=AU111,"INVALID – verifier must be someone other than the PIC",IF(AND(TRIM(U111)="Pass",SUMPRODUCT(--ISNUMBER(SEARCH(L_ResultBad,AV111)))&gt;0),"INVALID – result describes a problem: use Fail, then Pass after CA",IF(AND(AQ111=1,OR(LEN(AY111)&lt;3,ISNUMBER(MATCH(AY111,L_Placeholder,0)))),"INVALID – batch ID missing or placeholder",IF(AND(AR111=1,OR(NOT(ISNUMBER(X111)),NOT(ISNUMBER(Y111)))),"INVALID – expected/actual qty missing",IF(AND(AR111=1,OR(X111&lt;=0,Y111&lt;0)),"INVALID – expected qty must be above 0 and actual not negative",IF(BB111&lt;&gt;"",BB111,IF(AND(AS111=1,Documents!$J$8&lt;&gt;"ON FILE"),"INVALID – GLD not on file (Documents sheet)",IF(AND(AS111=2,Documents!$O$8&lt;&gt;"ON FILE"),"INVALID – menu checklist not on file (Documents sheet)",IF(AND(AS111=3,NOT(ISNUMBER(Flights!$AX$8))),"INVALID – enter carrying flight KUL departure (Flights AX)",IF(AND(AS111=3,OR(Flights!$AZ$8&gt;Flights!$AA$8,Flights!$AX$8&lt;Flights!$AA$8-3)),"INVALID – carrying flight (Flights AX) cannot arrive before this leg's STD, or is over 3 days early",IF(AG111&gt;AsOfUTC,"INVALID – completion time is in the future",IF(AND(ISNUMBER(S111),AG111&lt;S111),IF(H111="Physical uplift","INVALID – before uplift window (cannot confirm loading)","INVALID – before valid window"),IF(AG111&gt;Flights!$AA$8,"INVALID – completed after departure (cannot establish readiness)",IF(AND(H111="Preparation",AG111&gt;IF(ISNUMBER(Flights!$BA$8),MIN(Flights!$BA$8,Flights!$AA$8),Flights!$AA$8)),"INVALID – completed after loading / departure (cannot establish readiness)",IF(AND(H111="Physical uplift",AG111&gt;Q111),"INVALID – recorded after the loading flight departed",IF(AG111&gt;Q111,"COMPLETE – LATE","COMPLETE"))))))))))))))))))))),IF(TRIM(U111)="Fail","FAIL – DISCREPANCY",IF(AND(TRIM(U111)&lt;&gt;"",TRIM(U111)&lt;&gt;"Not started",TRIM(U111)&lt;&gt;"In progress"),"INVALID – unrecognised status (use the list)",IF(AsOfUTC&gt;Q111,"OVERDUE",IF(N111="Clarification required","OPEN – CLARIFICATION","OPEN"))))))),"INVALID – error value in an input cell")</f>
        <v>OPEN</v>
      </c>
      <c r="AI111" s="61" t="n">
        <f aca="false">IF(OR(AH111="N/A – RULE",AH111="N/A – JUSTIFIED"),0,1)</f>
        <v>1</v>
      </c>
      <c r="AJ111" s="61" t="n">
        <f aca="false">IF(LEFT(AH111,8)="COMPLETE",1,0)</f>
        <v>0</v>
      </c>
      <c r="AK111" s="61" t="n">
        <f aca="false">IF(AND(AI111=1,AJ111=0,AsOfUTC&gt;Q111),1,0)</f>
        <v>0</v>
      </c>
      <c r="AL111" s="61" t="n">
        <f aca="false">IFERROR(IF(AND(AI111=1,OR(TRIM(U111)="Fail",AND(TRIM(AB111)&lt;&gt;"",TRIM(AB111)&lt;&gt;"Closed"),AND(ISNUMBER(AF111),AF111&lt;&gt;0,TRIM(U111)&lt;&gt;"Pass after CA"))),1,0),1)</f>
        <v>0</v>
      </c>
      <c r="AM111" s="61" t="n">
        <f aca="false">IF(LEFT(AH111,7)="INVALID",1,0)</f>
        <v>0</v>
      </c>
      <c r="AN111" s="61" t="n">
        <f aca="false">IF(AND(N111="Clarification required",AI111=1,AJ111=0),1,0)</f>
        <v>0</v>
      </c>
      <c r="AO111" s="61" t="str">
        <f aca="false">IF(AK111=1,SUM(AK$5:AK111),"")</f>
        <v/>
      </c>
      <c r="AP111" s="61" t="str">
        <f aca="false">IF(AL111=1,SUM(AL$5:AL111),"")</f>
        <v/>
      </c>
      <c r="AQ111" s="61" t="n">
        <v>0</v>
      </c>
      <c r="AR111" s="61" t="n">
        <v>0</v>
      </c>
      <c r="AS111" s="61" t="n">
        <v>0</v>
      </c>
      <c r="AT111" s="61" t="n">
        <v>0</v>
      </c>
      <c r="AU111" s="61" t="str">
        <f aca="false">SUBSTITUTE(SUBSTITUTE(SUBSTITUTE(SUBSTITUTE(SUBSTITUTE(SUBSTITUTE(SUBSTITUTE(SUBSTITUTE(SUBSTITUTE(SUBSTITUTE(SUBSTITUTE(SUBSTITUTE(SUBSTITUTE(LOWER(T111&amp;""),CHAR(160),"")," ",""),".",""),"-",""),"/",""),"?",""),"_",""),",",""),"[",""),"]",""),"(",""),")",""),"*","")</f>
        <v/>
      </c>
      <c r="AV111" s="61" t="str">
        <f aca="false">SUBSTITUTE(SUBSTITUTE(SUBSTITUTE(SUBSTITUTE(SUBSTITUTE(SUBSTITUTE(SUBSTITUTE(SUBSTITUTE(SUBSTITUTE(SUBSTITUTE(SUBSTITUTE(SUBSTITUTE(SUBSTITUTE(LOWER(V111&amp;""),CHAR(160),"")," ",""),".",""),"-",""),"/",""),"?",""),"_",""),",",""),"[",""),"]",""),"(",""),")",""),"*","")</f>
        <v/>
      </c>
      <c r="AW111" s="61" t="str">
        <f aca="false">SUBSTITUTE(SUBSTITUTE(SUBSTITUTE(SUBSTITUTE(SUBSTITUTE(SUBSTITUTE(SUBSTITUTE(SUBSTITUTE(SUBSTITUTE(SUBSTITUTE(SUBSTITUTE(SUBSTITUTE(SUBSTITUTE(LOWER(Z111&amp;""),CHAR(160),"")," ",""),".",""),"-",""),"/",""),"?",""),"_",""),",",""),"[",""),"]",""),"(",""),")",""),"*","")</f>
        <v/>
      </c>
      <c r="AX111" s="61" t="str">
        <f aca="false">SUBSTITUTE(SUBSTITUTE(SUBSTITUTE(SUBSTITUTE(SUBSTITUTE(SUBSTITUTE(SUBSTITUTE(SUBSTITUTE(SUBSTITUTE(SUBSTITUTE(SUBSTITUTE(SUBSTITUTE(SUBSTITUTE(LOWER(AE111&amp;""),CHAR(160),"")," ",""),".",""),"-",""),"/",""),"?",""),"_",""),",",""),"[",""),"]",""),"(",""),")",""),"*","")</f>
        <v/>
      </c>
      <c r="AY111" s="61" t="str">
        <f aca="false">SUBSTITUTE(SUBSTITUTE(SUBSTITUTE(SUBSTITUTE(SUBSTITUTE(SUBSTITUTE(SUBSTITUTE(SUBSTITUTE(SUBSTITUTE(SUBSTITUTE(SUBSTITUTE(SUBSTITUTE(SUBSTITUTE(LOWER(W111&amp;""),CHAR(160),"")," ",""),".",""),"-",""),"/",""),"?",""),"_",""),",",""),"[",""),"]",""),"(",""),")",""),"*","")</f>
        <v/>
      </c>
      <c r="AZ111" s="61" t="str">
        <f aca="false">SUBSTITUTE(SUBSTITUTE(SUBSTITUTE(SUBSTITUTE(SUBSTITUTE(SUBSTITUTE(SUBSTITUTE(SUBSTITUTE(SUBSTITUTE(SUBSTITUTE(SUBSTITUTE(SUBSTITUTE(SUBSTITUTE(LOWER(AC111&amp;""),CHAR(160),"")," ",""),".",""),"-",""),"/",""),"?",""),"_",""),",",""),"[",""),"]",""),"(",""),")",""),"*","")</f>
        <v/>
      </c>
      <c r="BA111" s="61" t="str">
        <f aca="false">SUBSTITUTE(SUBSTITUTE(SUBSTITUTE(SUBSTITUTE(SUBSTITUTE(SUBSTITUTE(SUBSTITUTE(SUBSTITUTE(SUBSTITUTE(SUBSTITUTE(SUBSTITUTE(SUBSTITUTE(SUBSTITUTE(LOWER(AA111&amp;""),CHAR(160),"")," ",""),".",""),"-",""),"/",""),"?",""),"_",""),",",""),"[",""),"]",""),"(",""),")",""),"*","")</f>
        <v/>
      </c>
      <c r="BB111" s="61" t="str">
        <f aca="false">IF(AND(TRIM(U111)="Pass",ISNUMBER(AF111)),IF(AF111&lt;&gt;0,"INVALID – qty variance: use Fail or Pass after CA",""),"")&amp;IF(AND(TRIM(U111)="Pass after CA",ISNUMBER(AF111)),IF(AF111&lt;&gt;0,"INVALID – after the corrective action the actual qty must equal expected (update Actual)",""),"")&amp;IF(AND(TRIM(U111)="Pass",TRIM(AB111)&lt;&gt;"",TRIM(AB111)&lt;&gt;"Closed"),"INVALID – corrective action not closed: use Fail, then Pass after CA","")&amp;IF(AND(TRIM(AA111)&lt;&gt;"",TRIM(AB111)=""),"INVALID – CA status missing for the recorded corrective action","")&amp;IF(AND(TRIM(U111)="Pass after CA",OR(OR(LEN(BA111)&lt;5,ISNUMBER(MATCH(BA111,L_Placeholder,0))),TRIM(AB111)&lt;&gt;"Closed")),"INVALID – corrective action not recorded/closed","")</f>
        <v/>
      </c>
    </row>
    <row r="112" customFormat="false" ht="41.25" hidden="false" customHeight="true" outlineLevel="0" collapsed="false">
      <c r="A112" s="57" t="s">
        <v>589</v>
      </c>
      <c r="B112" s="57" t="s">
        <v>215</v>
      </c>
      <c r="C112" s="57" t="str">
        <f aca="false">Flights!$F$8</f>
        <v>MH0088</v>
      </c>
      <c r="D112" s="58" t="n">
        <f aca="false">Flights!$D$8</f>
        <v>46305</v>
      </c>
      <c r="E112" s="57" t="str">
        <f aca="false">Flights!$G$8&amp;"-"&amp;Flights!$H$8</f>
        <v>KUL-NRT</v>
      </c>
      <c r="F112" s="57" t="str">
        <f aca="false">Flights!$K$8</f>
        <v>BC</v>
      </c>
      <c r="G112" s="57" t="s">
        <v>398</v>
      </c>
      <c r="H112" s="57" t="s">
        <v>356</v>
      </c>
      <c r="I112" s="57" t="s">
        <v>477</v>
      </c>
      <c r="J112" s="57" t="s">
        <v>489</v>
      </c>
      <c r="K112" s="67" t="s">
        <v>479</v>
      </c>
      <c r="L112" s="67" t="s">
        <v>590</v>
      </c>
      <c r="M112" s="67" t="s">
        <v>429</v>
      </c>
      <c r="N112" s="67" t="s">
        <v>361</v>
      </c>
      <c r="O112" s="67" t="s">
        <v>481</v>
      </c>
      <c r="P112" s="57" t="s">
        <v>184</v>
      </c>
      <c r="Q112" s="59" t="n">
        <f aca="false">ROUND((Flights!$AE$8)*1440,0)/1440</f>
        <v>46305.1458333333</v>
      </c>
      <c r="R112" s="59" t="n">
        <f aca="false">Q112+(IF(AND(INDEX(TZ_DSTS,MATCH(P112,TZ_STN,0))&lt;&gt;"",Q112&gt;=INDEX(TZ_DSTS,MATCH(P112,TZ_STN,0)),Q112&lt;INDEX(TZ_DSTE,MATCH(P112,TZ_STN,0))),INDEX(TZ_DST,MATCH(P112,TZ_STN,0)),INDEX(TZ_STD,MATCH(P112,TZ_STN,0))))/24</f>
        <v>46305.4791666667</v>
      </c>
      <c r="S112" s="59" t="n">
        <f aca="false">Q112-T12EarlyH/24</f>
        <v>46304.6458333333</v>
      </c>
      <c r="T112" s="60"/>
      <c r="U112" s="60"/>
      <c r="V112" s="60"/>
      <c r="W112" s="61"/>
      <c r="X112" s="60"/>
      <c r="Y112" s="60"/>
      <c r="Z112" s="60"/>
      <c r="AA112" s="60"/>
      <c r="AB112" s="60"/>
      <c r="AC112" s="60"/>
      <c r="AD112" s="66"/>
      <c r="AE112" s="60"/>
      <c r="AF112" s="61" t="str">
        <f aca="false">IF(AND(ISNUMBER(X112),ISNUMBER(Y112)),Y112-X112,"")</f>
        <v/>
      </c>
      <c r="AG112" s="62" t="str">
        <f aca="false">IF(ISNUMBER(AD112),AD112-(IF(AND(INDEX(TZ_DSTS,MATCH(P112,TZ_STN,0))&lt;&gt;"",(AD112-INDEX(TZ_STD,MATCH(P112,TZ_STN,0))/24)&gt;=INDEX(TZ_DSTS,MATCH(P112,TZ_STN,0)),(AD112-INDEX(TZ_STD,MATCH(P112,TZ_STN,0))/24)&lt;INDEX(TZ_DSTE,MATCH(P112,TZ_STN,0))),INDEX(TZ_DST,MATCH(P112,TZ_STN,0)),INDEX(TZ_STD,MATCH(P112,TZ_STN,0))))/24,"")</f>
        <v/>
      </c>
      <c r="AH112" s="65" t="str">
        <f aca="false">IFERROR(IF(N112="N/A – rule","N/A – RULE",IF(TRIM(U112)="N/A",IF(AT112=0,"INVALID – N/A not permitted for this check",IF(AND(TRIM(AB112)&lt;&gt;"",TRIM(AB112)&lt;&gt;"Closed"),"INVALID – corrective action still open",IF(AND(NOT(OR(LEN(AZ112)&lt;15,ISNUMBER(MATCH(AZ112,L_Placeholder,0)))),NOT(OR(LEN(AU112)&lt;2,ISNUMBER(MATCH(AU112,L_Placeholder,0)))),NOT(OR(LEN(AX112)&lt;2,ISNUMBER(MATCH(AX112,L_Placeholder,0)))),TRIM(AE112)&lt;&gt;TRIM(T112)),"N/A – JUSTIFIED","INVALID – N/A needs a real justification (15+ chars), PIC and a different verifier"))),IF(OR(TRIM(U112)="Pass",TRIM(U112)="Pass after CA"),IF(NOT(ISNUMBER(AD112)),"INVALID – completion time missing",IF(OR(LEN(AU112)&lt;2,ISNUMBER(MATCH(AU112,L_Placeholder,0))),"INVALID – PIC missing",IF(OR(LEN(AV112)&lt;2,ISNUMBER(MATCH(AV112,L_Placeholder,0))),"INVALID – result / assessment missing",IF(OR(OR(LEN(AW112)&lt;3,ISNUMBER(MATCH(AW112,L_Placeholder,0))),SUMPRODUCT(--ISNUMBER(SEARCH(L_EvidencePhrase,AW112)))&gt;0),"INVALID – evidence missing, placeholder or not yet on file",IF(OR(LEN(AX112)&lt;2,ISNUMBER(MATCH(AX112,L_Placeholder,0))),"INVALID – verifier missing",IF(AX112=AU112,"INVALID – verifier must be someone other than the PIC",IF(AND(TRIM(U112)="Pass",SUMPRODUCT(--ISNUMBER(SEARCH(L_ResultBad,AV112)))&gt;0),"INVALID – result describes a problem: use Fail, then Pass after CA",IF(AND(AQ112=1,OR(LEN(AY112)&lt;3,ISNUMBER(MATCH(AY112,L_Placeholder,0)))),"INVALID – batch ID missing or placeholder",IF(AND(AR112=1,OR(NOT(ISNUMBER(X112)),NOT(ISNUMBER(Y112)))),"INVALID – expected/actual qty missing",IF(AND(AR112=1,OR(X112&lt;=0,Y112&lt;0)),"INVALID – expected qty must be above 0 and actual not negative",IF(BB112&lt;&gt;"",BB112,IF(AND(AS112=1,Documents!$J$8&lt;&gt;"ON FILE"),"INVALID – GLD not on file (Documents sheet)",IF(AND(AS112=2,Documents!$O$8&lt;&gt;"ON FILE"),"INVALID – menu checklist not on file (Documents sheet)",IF(AND(AS112=3,NOT(ISNUMBER(Flights!$AX$8))),"INVALID – enter carrying flight KUL departure (Flights AX)",IF(AND(AS112=3,OR(Flights!$AZ$8&gt;Flights!$AA$8,Flights!$AX$8&lt;Flights!$AA$8-3)),"INVALID – carrying flight (Flights AX) cannot arrive before this leg's STD, or is over 3 days early",IF(AG112&gt;AsOfUTC,"INVALID – completion time is in the future",IF(AND(ISNUMBER(S112),AG112&lt;S112),IF(H112="Physical uplift","INVALID – before uplift window (cannot confirm loading)","INVALID – before valid window"),IF(AG112&gt;Flights!$AA$8,"INVALID – completed after departure (cannot establish readiness)",IF(AND(H112="Preparation",AG112&gt;IF(ISNUMBER(Flights!$BA$8),MIN(Flights!$BA$8,Flights!$AA$8),Flights!$AA$8)),"INVALID – completed after loading / departure (cannot establish readiness)",IF(AND(H112="Physical uplift",AG112&gt;Q112),"INVALID – recorded after the loading flight departed",IF(AG112&gt;Q112,"COMPLETE – LATE","COMPLETE"))))))))))))))))))))),IF(TRIM(U112)="Fail","FAIL – DISCREPANCY",IF(AND(TRIM(U112)&lt;&gt;"",TRIM(U112)&lt;&gt;"Not started",TRIM(U112)&lt;&gt;"In progress"),"INVALID – unrecognised status (use the list)",IF(AsOfUTC&gt;Q112,"OVERDUE",IF(N112="Clarification required","OPEN – CLARIFICATION","OPEN"))))))),"INVALID – error value in an input cell")</f>
        <v>OPEN</v>
      </c>
      <c r="AI112" s="61" t="n">
        <f aca="false">IF(OR(AH112="N/A – RULE",AH112="N/A – JUSTIFIED"),0,1)</f>
        <v>1</v>
      </c>
      <c r="AJ112" s="61" t="n">
        <f aca="false">IF(LEFT(AH112,8)="COMPLETE",1,0)</f>
        <v>0</v>
      </c>
      <c r="AK112" s="61" t="n">
        <f aca="false">IF(AND(AI112=1,AJ112=0,AsOfUTC&gt;Q112),1,0)</f>
        <v>0</v>
      </c>
      <c r="AL112" s="61" t="n">
        <f aca="false">IFERROR(IF(AND(AI112=1,OR(TRIM(U112)="Fail",AND(TRIM(AB112)&lt;&gt;"",TRIM(AB112)&lt;&gt;"Closed"),AND(ISNUMBER(AF112),AF112&lt;&gt;0,TRIM(U112)&lt;&gt;"Pass after CA"))),1,0),1)</f>
        <v>0</v>
      </c>
      <c r="AM112" s="61" t="n">
        <f aca="false">IF(LEFT(AH112,7)="INVALID",1,0)</f>
        <v>0</v>
      </c>
      <c r="AN112" s="61" t="n">
        <f aca="false">IF(AND(N112="Clarification required",AI112=1,AJ112=0),1,0)</f>
        <v>0</v>
      </c>
      <c r="AO112" s="61" t="str">
        <f aca="false">IF(AK112=1,SUM(AK$5:AK112),"")</f>
        <v/>
      </c>
      <c r="AP112" s="61" t="str">
        <f aca="false">IF(AL112=1,SUM(AL$5:AL112),"")</f>
        <v/>
      </c>
      <c r="AQ112" s="61" t="n">
        <v>0</v>
      </c>
      <c r="AR112" s="61" t="n">
        <v>0</v>
      </c>
      <c r="AS112" s="61" t="n">
        <v>0</v>
      </c>
      <c r="AT112" s="61" t="n">
        <v>0</v>
      </c>
      <c r="AU112" s="61" t="str">
        <f aca="false">SUBSTITUTE(SUBSTITUTE(SUBSTITUTE(SUBSTITUTE(SUBSTITUTE(SUBSTITUTE(SUBSTITUTE(SUBSTITUTE(SUBSTITUTE(SUBSTITUTE(SUBSTITUTE(SUBSTITUTE(SUBSTITUTE(LOWER(T112&amp;""),CHAR(160),"")," ",""),".",""),"-",""),"/",""),"?",""),"_",""),",",""),"[",""),"]",""),"(",""),")",""),"*","")</f>
        <v/>
      </c>
      <c r="AV112" s="61" t="str">
        <f aca="false">SUBSTITUTE(SUBSTITUTE(SUBSTITUTE(SUBSTITUTE(SUBSTITUTE(SUBSTITUTE(SUBSTITUTE(SUBSTITUTE(SUBSTITUTE(SUBSTITUTE(SUBSTITUTE(SUBSTITUTE(SUBSTITUTE(LOWER(V112&amp;""),CHAR(160),"")," ",""),".",""),"-",""),"/",""),"?",""),"_",""),",",""),"[",""),"]",""),"(",""),")",""),"*","")</f>
        <v/>
      </c>
      <c r="AW112" s="61" t="str">
        <f aca="false">SUBSTITUTE(SUBSTITUTE(SUBSTITUTE(SUBSTITUTE(SUBSTITUTE(SUBSTITUTE(SUBSTITUTE(SUBSTITUTE(SUBSTITUTE(SUBSTITUTE(SUBSTITUTE(SUBSTITUTE(SUBSTITUTE(LOWER(Z112&amp;""),CHAR(160),"")," ",""),".",""),"-",""),"/",""),"?",""),"_",""),",",""),"[",""),"]",""),"(",""),")",""),"*","")</f>
        <v/>
      </c>
      <c r="AX112" s="61" t="str">
        <f aca="false">SUBSTITUTE(SUBSTITUTE(SUBSTITUTE(SUBSTITUTE(SUBSTITUTE(SUBSTITUTE(SUBSTITUTE(SUBSTITUTE(SUBSTITUTE(SUBSTITUTE(SUBSTITUTE(SUBSTITUTE(SUBSTITUTE(LOWER(AE112&amp;""),CHAR(160),"")," ",""),".",""),"-",""),"/",""),"?",""),"_",""),",",""),"[",""),"]",""),"(",""),")",""),"*","")</f>
        <v/>
      </c>
      <c r="AY112" s="61" t="str">
        <f aca="false">SUBSTITUTE(SUBSTITUTE(SUBSTITUTE(SUBSTITUTE(SUBSTITUTE(SUBSTITUTE(SUBSTITUTE(SUBSTITUTE(SUBSTITUTE(SUBSTITUTE(SUBSTITUTE(SUBSTITUTE(SUBSTITUTE(LOWER(W112&amp;""),CHAR(160),"")," ",""),".",""),"-",""),"/",""),"?",""),"_",""),",",""),"[",""),"]",""),"(",""),")",""),"*","")</f>
        <v/>
      </c>
      <c r="AZ112" s="61" t="str">
        <f aca="false">SUBSTITUTE(SUBSTITUTE(SUBSTITUTE(SUBSTITUTE(SUBSTITUTE(SUBSTITUTE(SUBSTITUTE(SUBSTITUTE(SUBSTITUTE(SUBSTITUTE(SUBSTITUTE(SUBSTITUTE(SUBSTITUTE(LOWER(AC112&amp;""),CHAR(160),"")," ",""),".",""),"-",""),"/",""),"?",""),"_",""),",",""),"[",""),"]",""),"(",""),")",""),"*","")</f>
        <v/>
      </c>
      <c r="BA112" s="61" t="str">
        <f aca="false">SUBSTITUTE(SUBSTITUTE(SUBSTITUTE(SUBSTITUTE(SUBSTITUTE(SUBSTITUTE(SUBSTITUTE(SUBSTITUTE(SUBSTITUTE(SUBSTITUTE(SUBSTITUTE(SUBSTITUTE(SUBSTITUTE(LOWER(AA112&amp;""),CHAR(160),"")," ",""),".",""),"-",""),"/",""),"?",""),"_",""),",",""),"[",""),"]",""),"(",""),")",""),"*","")</f>
        <v/>
      </c>
      <c r="BB112" s="61" t="str">
        <f aca="false">IF(AND(TRIM(U112)="Pass",ISNUMBER(AF112)),IF(AF112&lt;&gt;0,"INVALID – qty variance: use Fail or Pass after CA",""),"")&amp;IF(AND(TRIM(U112)="Pass after CA",ISNUMBER(AF112)),IF(AF112&lt;&gt;0,"INVALID – after the corrective action the actual qty must equal expected (update Actual)",""),"")&amp;IF(AND(TRIM(U112)="Pass",TRIM(AB112)&lt;&gt;"",TRIM(AB112)&lt;&gt;"Closed"),"INVALID – corrective action not closed: use Fail, then Pass after CA","")&amp;IF(AND(TRIM(AA112)&lt;&gt;"",TRIM(AB112)=""),"INVALID – CA status missing for the recorded corrective action","")&amp;IF(AND(TRIM(U112)="Pass after CA",OR(OR(LEN(BA112)&lt;5,ISNUMBER(MATCH(BA112,L_Placeholder,0))),TRIM(AB112)&lt;&gt;"Closed")),"INVALID – corrective action not recorded/closed","")</f>
        <v/>
      </c>
    </row>
    <row r="113" customFormat="false" ht="41.25" hidden="false" customHeight="true" outlineLevel="0" collapsed="false">
      <c r="A113" s="57" t="s">
        <v>591</v>
      </c>
      <c r="B113" s="57" t="s">
        <v>215</v>
      </c>
      <c r="C113" s="57" t="str">
        <f aca="false">Flights!$F$8</f>
        <v>MH0088</v>
      </c>
      <c r="D113" s="58" t="n">
        <f aca="false">Flights!$D$8</f>
        <v>46305</v>
      </c>
      <c r="E113" s="57" t="str">
        <f aca="false">Flights!$G$8&amp;"-"&amp;Flights!$H$8</f>
        <v>KUL-NRT</v>
      </c>
      <c r="F113" s="57" t="str">
        <f aca="false">Flights!$K$8</f>
        <v>BC</v>
      </c>
      <c r="G113" s="57" t="s">
        <v>398</v>
      </c>
      <c r="H113" s="57" t="s">
        <v>356</v>
      </c>
      <c r="I113" s="57" t="s">
        <v>477</v>
      </c>
      <c r="J113" s="57" t="s">
        <v>493</v>
      </c>
      <c r="K113" s="67" t="s">
        <v>479</v>
      </c>
      <c r="L113" s="67" t="s">
        <v>592</v>
      </c>
      <c r="M113" s="67" t="s">
        <v>429</v>
      </c>
      <c r="N113" s="67" t="s">
        <v>361</v>
      </c>
      <c r="O113" s="67" t="s">
        <v>481</v>
      </c>
      <c r="P113" s="57" t="s">
        <v>184</v>
      </c>
      <c r="Q113" s="59" t="n">
        <f aca="false">ROUND((Flights!$AE$8)*1440,0)/1440</f>
        <v>46305.1458333333</v>
      </c>
      <c r="R113" s="59" t="n">
        <f aca="false">Q113+(IF(AND(INDEX(TZ_DSTS,MATCH(P113,TZ_STN,0))&lt;&gt;"",Q113&gt;=INDEX(TZ_DSTS,MATCH(P113,TZ_STN,0)),Q113&lt;INDEX(TZ_DSTE,MATCH(P113,TZ_STN,0))),INDEX(TZ_DST,MATCH(P113,TZ_STN,0)),INDEX(TZ_STD,MATCH(P113,TZ_STN,0))))/24</f>
        <v>46305.4791666667</v>
      </c>
      <c r="S113" s="59" t="n">
        <f aca="false">Q113-T12EarlyH/24</f>
        <v>46304.6458333333</v>
      </c>
      <c r="T113" s="60"/>
      <c r="U113" s="60"/>
      <c r="V113" s="60"/>
      <c r="W113" s="61"/>
      <c r="X113" s="60"/>
      <c r="Y113" s="60"/>
      <c r="Z113" s="60"/>
      <c r="AA113" s="60"/>
      <c r="AB113" s="60"/>
      <c r="AC113" s="60"/>
      <c r="AD113" s="66"/>
      <c r="AE113" s="60"/>
      <c r="AF113" s="61" t="str">
        <f aca="false">IF(AND(ISNUMBER(X113),ISNUMBER(Y113)),Y113-X113,"")</f>
        <v/>
      </c>
      <c r="AG113" s="62" t="str">
        <f aca="false">IF(ISNUMBER(AD113),AD113-(IF(AND(INDEX(TZ_DSTS,MATCH(P113,TZ_STN,0))&lt;&gt;"",(AD113-INDEX(TZ_STD,MATCH(P113,TZ_STN,0))/24)&gt;=INDEX(TZ_DSTS,MATCH(P113,TZ_STN,0)),(AD113-INDEX(TZ_STD,MATCH(P113,TZ_STN,0))/24)&lt;INDEX(TZ_DSTE,MATCH(P113,TZ_STN,0))),INDEX(TZ_DST,MATCH(P113,TZ_STN,0)),INDEX(TZ_STD,MATCH(P113,TZ_STN,0))))/24,"")</f>
        <v/>
      </c>
      <c r="AH113" s="65" t="str">
        <f aca="false">IFERROR(IF(N113="N/A – rule","N/A – RULE",IF(TRIM(U113)="N/A",IF(AT113=0,"INVALID – N/A not permitted for this check",IF(AND(TRIM(AB113)&lt;&gt;"",TRIM(AB113)&lt;&gt;"Closed"),"INVALID – corrective action still open",IF(AND(NOT(OR(LEN(AZ113)&lt;15,ISNUMBER(MATCH(AZ113,L_Placeholder,0)))),NOT(OR(LEN(AU113)&lt;2,ISNUMBER(MATCH(AU113,L_Placeholder,0)))),NOT(OR(LEN(AX113)&lt;2,ISNUMBER(MATCH(AX113,L_Placeholder,0)))),TRIM(AE113)&lt;&gt;TRIM(T113)),"N/A – JUSTIFIED","INVALID – N/A needs a real justification (15+ chars), PIC and a different verifier"))),IF(OR(TRIM(U113)="Pass",TRIM(U113)="Pass after CA"),IF(NOT(ISNUMBER(AD113)),"INVALID – completion time missing",IF(OR(LEN(AU113)&lt;2,ISNUMBER(MATCH(AU113,L_Placeholder,0))),"INVALID – PIC missing",IF(OR(LEN(AV113)&lt;2,ISNUMBER(MATCH(AV113,L_Placeholder,0))),"INVALID – result / assessment missing",IF(OR(OR(LEN(AW113)&lt;3,ISNUMBER(MATCH(AW113,L_Placeholder,0))),SUMPRODUCT(--ISNUMBER(SEARCH(L_EvidencePhrase,AW113)))&gt;0),"INVALID – evidence missing, placeholder or not yet on file",IF(OR(LEN(AX113)&lt;2,ISNUMBER(MATCH(AX113,L_Placeholder,0))),"INVALID – verifier missing",IF(AX113=AU113,"INVALID – verifier must be someone other than the PIC",IF(AND(TRIM(U113)="Pass",SUMPRODUCT(--ISNUMBER(SEARCH(L_ResultBad,AV113)))&gt;0),"INVALID – result describes a problem: use Fail, then Pass after CA",IF(AND(AQ113=1,OR(LEN(AY113)&lt;3,ISNUMBER(MATCH(AY113,L_Placeholder,0)))),"INVALID – batch ID missing or placeholder",IF(AND(AR113=1,OR(NOT(ISNUMBER(X113)),NOT(ISNUMBER(Y113)))),"INVALID – expected/actual qty missing",IF(AND(AR113=1,OR(X113&lt;=0,Y113&lt;0)),"INVALID – expected qty must be above 0 and actual not negative",IF(BB113&lt;&gt;"",BB113,IF(AND(AS113=1,Documents!$J$8&lt;&gt;"ON FILE"),"INVALID – GLD not on file (Documents sheet)",IF(AND(AS113=2,Documents!$O$8&lt;&gt;"ON FILE"),"INVALID – menu checklist not on file (Documents sheet)",IF(AND(AS113=3,NOT(ISNUMBER(Flights!$AX$8))),"INVALID – enter carrying flight KUL departure (Flights AX)",IF(AND(AS113=3,OR(Flights!$AZ$8&gt;Flights!$AA$8,Flights!$AX$8&lt;Flights!$AA$8-3)),"INVALID – carrying flight (Flights AX) cannot arrive before this leg's STD, or is over 3 days early",IF(AG113&gt;AsOfUTC,"INVALID – completion time is in the future",IF(AND(ISNUMBER(S113),AG113&lt;S113),IF(H113="Physical uplift","INVALID – before uplift window (cannot confirm loading)","INVALID – before valid window"),IF(AG113&gt;Flights!$AA$8,"INVALID – completed after departure (cannot establish readiness)",IF(AND(H113="Preparation",AG113&gt;IF(ISNUMBER(Flights!$BA$8),MIN(Flights!$BA$8,Flights!$AA$8),Flights!$AA$8)),"INVALID – completed after loading / departure (cannot establish readiness)",IF(AND(H113="Physical uplift",AG113&gt;Q113),"INVALID – recorded after the loading flight departed",IF(AG113&gt;Q113,"COMPLETE – LATE","COMPLETE"))))))))))))))))))))),IF(TRIM(U113)="Fail","FAIL – DISCREPANCY",IF(AND(TRIM(U113)&lt;&gt;"",TRIM(U113)&lt;&gt;"Not started",TRIM(U113)&lt;&gt;"In progress"),"INVALID – unrecognised status (use the list)",IF(AsOfUTC&gt;Q113,"OVERDUE",IF(N113="Clarification required","OPEN – CLARIFICATION","OPEN"))))))),"INVALID – error value in an input cell")</f>
        <v>OPEN</v>
      </c>
      <c r="AI113" s="61" t="n">
        <f aca="false">IF(OR(AH113="N/A – RULE",AH113="N/A – JUSTIFIED"),0,1)</f>
        <v>1</v>
      </c>
      <c r="AJ113" s="61" t="n">
        <f aca="false">IF(LEFT(AH113,8)="COMPLETE",1,0)</f>
        <v>0</v>
      </c>
      <c r="AK113" s="61" t="n">
        <f aca="false">IF(AND(AI113=1,AJ113=0,AsOfUTC&gt;Q113),1,0)</f>
        <v>0</v>
      </c>
      <c r="AL113" s="61" t="n">
        <f aca="false">IFERROR(IF(AND(AI113=1,OR(TRIM(U113)="Fail",AND(TRIM(AB113)&lt;&gt;"",TRIM(AB113)&lt;&gt;"Closed"),AND(ISNUMBER(AF113),AF113&lt;&gt;0,TRIM(U113)&lt;&gt;"Pass after CA"))),1,0),1)</f>
        <v>0</v>
      </c>
      <c r="AM113" s="61" t="n">
        <f aca="false">IF(LEFT(AH113,7)="INVALID",1,0)</f>
        <v>0</v>
      </c>
      <c r="AN113" s="61" t="n">
        <f aca="false">IF(AND(N113="Clarification required",AI113=1,AJ113=0),1,0)</f>
        <v>0</v>
      </c>
      <c r="AO113" s="61" t="str">
        <f aca="false">IF(AK113=1,SUM(AK$5:AK113),"")</f>
        <v/>
      </c>
      <c r="AP113" s="61" t="str">
        <f aca="false">IF(AL113=1,SUM(AL$5:AL113),"")</f>
        <v/>
      </c>
      <c r="AQ113" s="61" t="n">
        <v>0</v>
      </c>
      <c r="AR113" s="61" t="n">
        <v>0</v>
      </c>
      <c r="AS113" s="61" t="n">
        <v>0</v>
      </c>
      <c r="AT113" s="61" t="n">
        <v>0</v>
      </c>
      <c r="AU113" s="61" t="str">
        <f aca="false">SUBSTITUTE(SUBSTITUTE(SUBSTITUTE(SUBSTITUTE(SUBSTITUTE(SUBSTITUTE(SUBSTITUTE(SUBSTITUTE(SUBSTITUTE(SUBSTITUTE(SUBSTITUTE(SUBSTITUTE(SUBSTITUTE(LOWER(T113&amp;""),CHAR(160),"")," ",""),".",""),"-",""),"/",""),"?",""),"_",""),",",""),"[",""),"]",""),"(",""),")",""),"*","")</f>
        <v/>
      </c>
      <c r="AV113" s="61" t="str">
        <f aca="false">SUBSTITUTE(SUBSTITUTE(SUBSTITUTE(SUBSTITUTE(SUBSTITUTE(SUBSTITUTE(SUBSTITUTE(SUBSTITUTE(SUBSTITUTE(SUBSTITUTE(SUBSTITUTE(SUBSTITUTE(SUBSTITUTE(LOWER(V113&amp;""),CHAR(160),"")," ",""),".",""),"-",""),"/",""),"?",""),"_",""),",",""),"[",""),"]",""),"(",""),")",""),"*","")</f>
        <v/>
      </c>
      <c r="AW113" s="61" t="str">
        <f aca="false">SUBSTITUTE(SUBSTITUTE(SUBSTITUTE(SUBSTITUTE(SUBSTITUTE(SUBSTITUTE(SUBSTITUTE(SUBSTITUTE(SUBSTITUTE(SUBSTITUTE(SUBSTITUTE(SUBSTITUTE(SUBSTITUTE(LOWER(Z113&amp;""),CHAR(160),"")," ",""),".",""),"-",""),"/",""),"?",""),"_",""),",",""),"[",""),"]",""),"(",""),")",""),"*","")</f>
        <v/>
      </c>
      <c r="AX113" s="61" t="str">
        <f aca="false">SUBSTITUTE(SUBSTITUTE(SUBSTITUTE(SUBSTITUTE(SUBSTITUTE(SUBSTITUTE(SUBSTITUTE(SUBSTITUTE(SUBSTITUTE(SUBSTITUTE(SUBSTITUTE(SUBSTITUTE(SUBSTITUTE(LOWER(AE113&amp;""),CHAR(160),"")," ",""),".",""),"-",""),"/",""),"?",""),"_",""),",",""),"[",""),"]",""),"(",""),")",""),"*","")</f>
        <v/>
      </c>
      <c r="AY113" s="61" t="str">
        <f aca="false">SUBSTITUTE(SUBSTITUTE(SUBSTITUTE(SUBSTITUTE(SUBSTITUTE(SUBSTITUTE(SUBSTITUTE(SUBSTITUTE(SUBSTITUTE(SUBSTITUTE(SUBSTITUTE(SUBSTITUTE(SUBSTITUTE(LOWER(W113&amp;""),CHAR(160),"")," ",""),".",""),"-",""),"/",""),"?",""),"_",""),",",""),"[",""),"]",""),"(",""),")",""),"*","")</f>
        <v/>
      </c>
      <c r="AZ113" s="61" t="str">
        <f aca="false">SUBSTITUTE(SUBSTITUTE(SUBSTITUTE(SUBSTITUTE(SUBSTITUTE(SUBSTITUTE(SUBSTITUTE(SUBSTITUTE(SUBSTITUTE(SUBSTITUTE(SUBSTITUTE(SUBSTITUTE(SUBSTITUTE(LOWER(AC113&amp;""),CHAR(160),"")," ",""),".",""),"-",""),"/",""),"?",""),"_",""),",",""),"[",""),"]",""),"(",""),")",""),"*","")</f>
        <v/>
      </c>
      <c r="BA113" s="61" t="str">
        <f aca="false">SUBSTITUTE(SUBSTITUTE(SUBSTITUTE(SUBSTITUTE(SUBSTITUTE(SUBSTITUTE(SUBSTITUTE(SUBSTITUTE(SUBSTITUTE(SUBSTITUTE(SUBSTITUTE(SUBSTITUTE(SUBSTITUTE(LOWER(AA113&amp;""),CHAR(160),"")," ",""),".",""),"-",""),"/",""),"?",""),"_",""),",",""),"[",""),"]",""),"(",""),")",""),"*","")</f>
        <v/>
      </c>
      <c r="BB113" s="61" t="str">
        <f aca="false">IF(AND(TRIM(U113)="Pass",ISNUMBER(AF113)),IF(AF113&lt;&gt;0,"INVALID – qty variance: use Fail or Pass after CA",""),"")&amp;IF(AND(TRIM(U113)="Pass after CA",ISNUMBER(AF113)),IF(AF113&lt;&gt;0,"INVALID – after the corrective action the actual qty must equal expected (update Actual)",""),"")&amp;IF(AND(TRIM(U113)="Pass",TRIM(AB113)&lt;&gt;"",TRIM(AB113)&lt;&gt;"Closed"),"INVALID – corrective action not closed: use Fail, then Pass after CA","")&amp;IF(AND(TRIM(AA113)&lt;&gt;"",TRIM(AB113)=""),"INVALID – CA status missing for the recorded corrective action","")&amp;IF(AND(TRIM(U113)="Pass after CA",OR(OR(LEN(BA113)&lt;5,ISNUMBER(MATCH(BA113,L_Placeholder,0))),TRIM(AB113)&lt;&gt;"Closed")),"INVALID – corrective action not recorded/closed","")</f>
        <v/>
      </c>
    </row>
    <row r="114" customFormat="false" ht="54" hidden="false" customHeight="true" outlineLevel="0" collapsed="false">
      <c r="A114" s="57" t="s">
        <v>593</v>
      </c>
      <c r="B114" s="57" t="s">
        <v>215</v>
      </c>
      <c r="C114" s="57" t="str">
        <f aca="false">Flights!$F$8</f>
        <v>MH0088</v>
      </c>
      <c r="D114" s="58" t="n">
        <f aca="false">Flights!$D$8</f>
        <v>46305</v>
      </c>
      <c r="E114" s="57" t="str">
        <f aca="false">Flights!$G$8&amp;"-"&amp;Flights!$H$8</f>
        <v>KUL-NRT</v>
      </c>
      <c r="F114" s="57" t="str">
        <f aca="false">Flights!$K$8</f>
        <v>BC</v>
      </c>
      <c r="G114" s="57" t="s">
        <v>398</v>
      </c>
      <c r="H114" s="57" t="s">
        <v>356</v>
      </c>
      <c r="I114" s="57" t="s">
        <v>477</v>
      </c>
      <c r="J114" s="57" t="s">
        <v>496</v>
      </c>
      <c r="K114" s="67" t="s">
        <v>594</v>
      </c>
      <c r="L114" s="67" t="s">
        <v>595</v>
      </c>
      <c r="M114" s="67" t="s">
        <v>429</v>
      </c>
      <c r="N114" s="67" t="s">
        <v>361</v>
      </c>
      <c r="O114" s="67" t="s">
        <v>499</v>
      </c>
      <c r="P114" s="57" t="s">
        <v>184</v>
      </c>
      <c r="Q114" s="59" t="n">
        <f aca="false">ROUND((Flights!$AE$8)*1440,0)/1440</f>
        <v>46305.1458333333</v>
      </c>
      <c r="R114" s="59" t="n">
        <f aca="false">Q114+(IF(AND(INDEX(TZ_DSTS,MATCH(P114,TZ_STN,0))&lt;&gt;"",Q114&gt;=INDEX(TZ_DSTS,MATCH(P114,TZ_STN,0)),Q114&lt;INDEX(TZ_DSTE,MATCH(P114,TZ_STN,0))),INDEX(TZ_DST,MATCH(P114,TZ_STN,0)),INDEX(TZ_STD,MATCH(P114,TZ_STN,0))))/24</f>
        <v>46305.4791666667</v>
      </c>
      <c r="S114" s="59" t="n">
        <f aca="false">Q114-T12EarlyH/24</f>
        <v>46304.6458333333</v>
      </c>
      <c r="T114" s="60"/>
      <c r="U114" s="60"/>
      <c r="V114" s="60"/>
      <c r="W114" s="61"/>
      <c r="X114" s="60"/>
      <c r="Y114" s="60"/>
      <c r="Z114" s="60"/>
      <c r="AA114" s="60"/>
      <c r="AB114" s="60"/>
      <c r="AC114" s="60"/>
      <c r="AD114" s="66"/>
      <c r="AE114" s="60"/>
      <c r="AF114" s="61" t="str">
        <f aca="false">IF(AND(ISNUMBER(X114),ISNUMBER(Y114)),Y114-X114,"")</f>
        <v/>
      </c>
      <c r="AG114" s="62" t="str">
        <f aca="false">IF(ISNUMBER(AD114),AD114-(IF(AND(INDEX(TZ_DSTS,MATCH(P114,TZ_STN,0))&lt;&gt;"",(AD114-INDEX(TZ_STD,MATCH(P114,TZ_STN,0))/24)&gt;=INDEX(TZ_DSTS,MATCH(P114,TZ_STN,0)),(AD114-INDEX(TZ_STD,MATCH(P114,TZ_STN,0))/24)&lt;INDEX(TZ_DSTE,MATCH(P114,TZ_STN,0))),INDEX(TZ_DST,MATCH(P114,TZ_STN,0)),INDEX(TZ_STD,MATCH(P114,TZ_STN,0))))/24,"")</f>
        <v/>
      </c>
      <c r="AH114" s="65" t="str">
        <f aca="false">IFERROR(IF(N114="N/A – rule","N/A – RULE",IF(TRIM(U114)="N/A",IF(AT114=0,"INVALID – N/A not permitted for this check",IF(AND(TRIM(AB114)&lt;&gt;"",TRIM(AB114)&lt;&gt;"Closed"),"INVALID – corrective action still open",IF(AND(NOT(OR(LEN(AZ114)&lt;15,ISNUMBER(MATCH(AZ114,L_Placeholder,0)))),NOT(OR(LEN(AU114)&lt;2,ISNUMBER(MATCH(AU114,L_Placeholder,0)))),NOT(OR(LEN(AX114)&lt;2,ISNUMBER(MATCH(AX114,L_Placeholder,0)))),TRIM(AE114)&lt;&gt;TRIM(T114)),"N/A – JUSTIFIED","INVALID – N/A needs a real justification (15+ chars), PIC and a different verifier"))),IF(OR(TRIM(U114)="Pass",TRIM(U114)="Pass after CA"),IF(NOT(ISNUMBER(AD114)),"INVALID – completion time missing",IF(OR(LEN(AU114)&lt;2,ISNUMBER(MATCH(AU114,L_Placeholder,0))),"INVALID – PIC missing",IF(OR(LEN(AV114)&lt;2,ISNUMBER(MATCH(AV114,L_Placeholder,0))),"INVALID – result / assessment missing",IF(OR(OR(LEN(AW114)&lt;3,ISNUMBER(MATCH(AW114,L_Placeholder,0))),SUMPRODUCT(--ISNUMBER(SEARCH(L_EvidencePhrase,AW114)))&gt;0),"INVALID – evidence missing, placeholder or not yet on file",IF(OR(LEN(AX114)&lt;2,ISNUMBER(MATCH(AX114,L_Placeholder,0))),"INVALID – verifier missing",IF(AX114=AU114,"INVALID – verifier must be someone other than the PIC",IF(AND(TRIM(U114)="Pass",SUMPRODUCT(--ISNUMBER(SEARCH(L_ResultBad,AV114)))&gt;0),"INVALID – result describes a problem: use Fail, then Pass after CA",IF(AND(AQ114=1,OR(LEN(AY114)&lt;3,ISNUMBER(MATCH(AY114,L_Placeholder,0)))),"INVALID – batch ID missing or placeholder",IF(AND(AR114=1,OR(NOT(ISNUMBER(X114)),NOT(ISNUMBER(Y114)))),"INVALID – expected/actual qty missing",IF(AND(AR114=1,OR(X114&lt;=0,Y114&lt;0)),"INVALID – expected qty must be above 0 and actual not negative",IF(BB114&lt;&gt;"",BB114,IF(AND(AS114=1,Documents!$J$8&lt;&gt;"ON FILE"),"INVALID – GLD not on file (Documents sheet)",IF(AND(AS114=2,Documents!$O$8&lt;&gt;"ON FILE"),"INVALID – menu checklist not on file (Documents sheet)",IF(AND(AS114=3,NOT(ISNUMBER(Flights!$AX$8))),"INVALID – enter carrying flight KUL departure (Flights AX)",IF(AND(AS114=3,OR(Flights!$AZ$8&gt;Flights!$AA$8,Flights!$AX$8&lt;Flights!$AA$8-3)),"INVALID – carrying flight (Flights AX) cannot arrive before this leg's STD, or is over 3 days early",IF(AG114&gt;AsOfUTC,"INVALID – completion time is in the future",IF(AND(ISNUMBER(S114),AG114&lt;S114),IF(H114="Physical uplift","INVALID – before uplift window (cannot confirm loading)","INVALID – before valid window"),IF(AG114&gt;Flights!$AA$8,"INVALID – completed after departure (cannot establish readiness)",IF(AND(H114="Preparation",AG114&gt;IF(ISNUMBER(Flights!$BA$8),MIN(Flights!$BA$8,Flights!$AA$8),Flights!$AA$8)),"INVALID – completed after loading / departure (cannot establish readiness)",IF(AND(H114="Physical uplift",AG114&gt;Q114),"INVALID – recorded after the loading flight departed",IF(AG114&gt;Q114,"COMPLETE – LATE","COMPLETE"))))))))))))))))))))),IF(TRIM(U114)="Fail","FAIL – DISCREPANCY",IF(AND(TRIM(U114)&lt;&gt;"",TRIM(U114)&lt;&gt;"Not started",TRIM(U114)&lt;&gt;"In progress"),"INVALID – unrecognised status (use the list)",IF(AsOfUTC&gt;Q114,"OVERDUE",IF(N114="Clarification required","OPEN – CLARIFICATION","OPEN"))))))),"INVALID – error value in an input cell")</f>
        <v>OPEN</v>
      </c>
      <c r="AI114" s="61" t="n">
        <f aca="false">IF(OR(AH114="N/A – RULE",AH114="N/A – JUSTIFIED"),0,1)</f>
        <v>1</v>
      </c>
      <c r="AJ114" s="61" t="n">
        <f aca="false">IF(LEFT(AH114,8)="COMPLETE",1,0)</f>
        <v>0</v>
      </c>
      <c r="AK114" s="61" t="n">
        <f aca="false">IF(AND(AI114=1,AJ114=0,AsOfUTC&gt;Q114),1,0)</f>
        <v>0</v>
      </c>
      <c r="AL114" s="61" t="n">
        <f aca="false">IFERROR(IF(AND(AI114=1,OR(TRIM(U114)="Fail",AND(TRIM(AB114)&lt;&gt;"",TRIM(AB114)&lt;&gt;"Closed"),AND(ISNUMBER(AF114),AF114&lt;&gt;0,TRIM(U114)&lt;&gt;"Pass after CA"))),1,0),1)</f>
        <v>0</v>
      </c>
      <c r="AM114" s="61" t="n">
        <f aca="false">IF(LEFT(AH114,7)="INVALID",1,0)</f>
        <v>0</v>
      </c>
      <c r="AN114" s="61" t="n">
        <f aca="false">IF(AND(N114="Clarification required",AI114=1,AJ114=0),1,0)</f>
        <v>0</v>
      </c>
      <c r="AO114" s="61" t="str">
        <f aca="false">IF(AK114=1,SUM(AK$5:AK114),"")</f>
        <v/>
      </c>
      <c r="AP114" s="61" t="str">
        <f aca="false">IF(AL114=1,SUM(AL$5:AL114),"")</f>
        <v/>
      </c>
      <c r="AQ114" s="61" t="n">
        <v>0</v>
      </c>
      <c r="AR114" s="61" t="n">
        <v>0</v>
      </c>
      <c r="AS114" s="61" t="n">
        <v>0</v>
      </c>
      <c r="AT114" s="61" t="n">
        <v>0</v>
      </c>
      <c r="AU114" s="61" t="str">
        <f aca="false">SUBSTITUTE(SUBSTITUTE(SUBSTITUTE(SUBSTITUTE(SUBSTITUTE(SUBSTITUTE(SUBSTITUTE(SUBSTITUTE(SUBSTITUTE(SUBSTITUTE(SUBSTITUTE(SUBSTITUTE(SUBSTITUTE(LOWER(T114&amp;""),CHAR(160),"")," ",""),".",""),"-",""),"/",""),"?",""),"_",""),",",""),"[",""),"]",""),"(",""),")",""),"*","")</f>
        <v/>
      </c>
      <c r="AV114" s="61" t="str">
        <f aca="false">SUBSTITUTE(SUBSTITUTE(SUBSTITUTE(SUBSTITUTE(SUBSTITUTE(SUBSTITUTE(SUBSTITUTE(SUBSTITUTE(SUBSTITUTE(SUBSTITUTE(SUBSTITUTE(SUBSTITUTE(SUBSTITUTE(LOWER(V114&amp;""),CHAR(160),"")," ",""),".",""),"-",""),"/",""),"?",""),"_",""),",",""),"[",""),"]",""),"(",""),")",""),"*","")</f>
        <v/>
      </c>
      <c r="AW114" s="61" t="str">
        <f aca="false">SUBSTITUTE(SUBSTITUTE(SUBSTITUTE(SUBSTITUTE(SUBSTITUTE(SUBSTITUTE(SUBSTITUTE(SUBSTITUTE(SUBSTITUTE(SUBSTITUTE(SUBSTITUTE(SUBSTITUTE(SUBSTITUTE(LOWER(Z114&amp;""),CHAR(160),"")," ",""),".",""),"-",""),"/",""),"?",""),"_",""),",",""),"[",""),"]",""),"(",""),")",""),"*","")</f>
        <v/>
      </c>
      <c r="AX114" s="61" t="str">
        <f aca="false">SUBSTITUTE(SUBSTITUTE(SUBSTITUTE(SUBSTITUTE(SUBSTITUTE(SUBSTITUTE(SUBSTITUTE(SUBSTITUTE(SUBSTITUTE(SUBSTITUTE(SUBSTITUTE(SUBSTITUTE(SUBSTITUTE(LOWER(AE114&amp;""),CHAR(160),"")," ",""),".",""),"-",""),"/",""),"?",""),"_",""),",",""),"[",""),"]",""),"(",""),")",""),"*","")</f>
        <v/>
      </c>
      <c r="AY114" s="61" t="str">
        <f aca="false">SUBSTITUTE(SUBSTITUTE(SUBSTITUTE(SUBSTITUTE(SUBSTITUTE(SUBSTITUTE(SUBSTITUTE(SUBSTITUTE(SUBSTITUTE(SUBSTITUTE(SUBSTITUTE(SUBSTITUTE(SUBSTITUTE(LOWER(W114&amp;""),CHAR(160),"")," ",""),".",""),"-",""),"/",""),"?",""),"_",""),",",""),"[",""),"]",""),"(",""),")",""),"*","")</f>
        <v/>
      </c>
      <c r="AZ114" s="61" t="str">
        <f aca="false">SUBSTITUTE(SUBSTITUTE(SUBSTITUTE(SUBSTITUTE(SUBSTITUTE(SUBSTITUTE(SUBSTITUTE(SUBSTITUTE(SUBSTITUTE(SUBSTITUTE(SUBSTITUTE(SUBSTITUTE(SUBSTITUTE(LOWER(AC114&amp;""),CHAR(160),"")," ",""),".",""),"-",""),"/",""),"?",""),"_",""),",",""),"[",""),"]",""),"(",""),")",""),"*","")</f>
        <v/>
      </c>
      <c r="BA114" s="61" t="str">
        <f aca="false">SUBSTITUTE(SUBSTITUTE(SUBSTITUTE(SUBSTITUTE(SUBSTITUTE(SUBSTITUTE(SUBSTITUTE(SUBSTITUTE(SUBSTITUTE(SUBSTITUTE(SUBSTITUTE(SUBSTITUTE(SUBSTITUTE(LOWER(AA114&amp;""),CHAR(160),"")," ",""),".",""),"-",""),"/",""),"?",""),"_",""),",",""),"[",""),"]",""),"(",""),")",""),"*","")</f>
        <v/>
      </c>
      <c r="BB114" s="61" t="str">
        <f aca="false">IF(AND(TRIM(U114)="Pass",ISNUMBER(AF114)),IF(AF114&lt;&gt;0,"INVALID – qty variance: use Fail or Pass after CA",""),"")&amp;IF(AND(TRIM(U114)="Pass after CA",ISNUMBER(AF114)),IF(AF114&lt;&gt;0,"INVALID – after the corrective action the actual qty must equal expected (update Actual)",""),"")&amp;IF(AND(TRIM(U114)="Pass",TRIM(AB114)&lt;&gt;"",TRIM(AB114)&lt;&gt;"Closed"),"INVALID – corrective action not closed: use Fail, then Pass after CA","")&amp;IF(AND(TRIM(AA114)&lt;&gt;"",TRIM(AB114)=""),"INVALID – CA status missing for the recorded corrective action","")&amp;IF(AND(TRIM(U114)="Pass after CA",OR(OR(LEN(BA114)&lt;5,ISNUMBER(MATCH(BA114,L_Placeholder,0))),TRIM(AB114)&lt;&gt;"Closed")),"INVALID – corrective action not recorded/closed","")</f>
        <v/>
      </c>
    </row>
    <row r="115" customFormat="false" ht="41.25" hidden="false" customHeight="true" outlineLevel="0" collapsed="false">
      <c r="A115" s="57" t="s">
        <v>596</v>
      </c>
      <c r="B115" s="57" t="s">
        <v>215</v>
      </c>
      <c r="C115" s="57" t="str">
        <f aca="false">Flights!$F$8</f>
        <v>MH0088</v>
      </c>
      <c r="D115" s="58" t="n">
        <f aca="false">Flights!$D$8</f>
        <v>46305</v>
      </c>
      <c r="E115" s="57" t="str">
        <f aca="false">Flights!$G$8&amp;"-"&amp;Flights!$H$8</f>
        <v>KUL-NRT</v>
      </c>
      <c r="F115" s="57" t="str">
        <f aca="false">Flights!$K$8</f>
        <v>BC</v>
      </c>
      <c r="G115" s="57" t="s">
        <v>398</v>
      </c>
      <c r="H115" s="57" t="s">
        <v>356</v>
      </c>
      <c r="I115" s="57" t="s">
        <v>477</v>
      </c>
      <c r="J115" s="57" t="s">
        <v>501</v>
      </c>
      <c r="K115" s="67" t="s">
        <v>479</v>
      </c>
      <c r="L115" s="67" t="s">
        <v>597</v>
      </c>
      <c r="M115" s="67" t="s">
        <v>429</v>
      </c>
      <c r="N115" s="67" t="s">
        <v>361</v>
      </c>
      <c r="O115" s="67" t="s">
        <v>481</v>
      </c>
      <c r="P115" s="57" t="s">
        <v>184</v>
      </c>
      <c r="Q115" s="59" t="n">
        <f aca="false">ROUND((Flights!$AE$8)*1440,0)/1440</f>
        <v>46305.1458333333</v>
      </c>
      <c r="R115" s="59" t="n">
        <f aca="false">Q115+(IF(AND(INDEX(TZ_DSTS,MATCH(P115,TZ_STN,0))&lt;&gt;"",Q115&gt;=INDEX(TZ_DSTS,MATCH(P115,TZ_STN,0)),Q115&lt;INDEX(TZ_DSTE,MATCH(P115,TZ_STN,0))),INDEX(TZ_DST,MATCH(P115,TZ_STN,0)),INDEX(TZ_STD,MATCH(P115,TZ_STN,0))))/24</f>
        <v>46305.4791666667</v>
      </c>
      <c r="S115" s="59" t="n">
        <f aca="false">Q115-T12EarlyH/24</f>
        <v>46304.6458333333</v>
      </c>
      <c r="T115" s="60"/>
      <c r="U115" s="60"/>
      <c r="V115" s="60"/>
      <c r="W115" s="61"/>
      <c r="X115" s="60"/>
      <c r="Y115" s="60"/>
      <c r="Z115" s="60"/>
      <c r="AA115" s="60"/>
      <c r="AB115" s="60"/>
      <c r="AC115" s="60"/>
      <c r="AD115" s="66"/>
      <c r="AE115" s="60"/>
      <c r="AF115" s="61" t="str">
        <f aca="false">IF(AND(ISNUMBER(X115),ISNUMBER(Y115)),Y115-X115,"")</f>
        <v/>
      </c>
      <c r="AG115" s="62" t="str">
        <f aca="false">IF(ISNUMBER(AD115),AD115-(IF(AND(INDEX(TZ_DSTS,MATCH(P115,TZ_STN,0))&lt;&gt;"",(AD115-INDEX(TZ_STD,MATCH(P115,TZ_STN,0))/24)&gt;=INDEX(TZ_DSTS,MATCH(P115,TZ_STN,0)),(AD115-INDEX(TZ_STD,MATCH(P115,TZ_STN,0))/24)&lt;INDEX(TZ_DSTE,MATCH(P115,TZ_STN,0))),INDEX(TZ_DST,MATCH(P115,TZ_STN,0)),INDEX(TZ_STD,MATCH(P115,TZ_STN,0))))/24,"")</f>
        <v/>
      </c>
      <c r="AH115" s="65" t="str">
        <f aca="false">IFERROR(IF(N115="N/A – rule","N/A – RULE",IF(TRIM(U115)="N/A",IF(AT115=0,"INVALID – N/A not permitted for this check",IF(AND(TRIM(AB115)&lt;&gt;"",TRIM(AB115)&lt;&gt;"Closed"),"INVALID – corrective action still open",IF(AND(NOT(OR(LEN(AZ115)&lt;15,ISNUMBER(MATCH(AZ115,L_Placeholder,0)))),NOT(OR(LEN(AU115)&lt;2,ISNUMBER(MATCH(AU115,L_Placeholder,0)))),NOT(OR(LEN(AX115)&lt;2,ISNUMBER(MATCH(AX115,L_Placeholder,0)))),TRIM(AE115)&lt;&gt;TRIM(T115)),"N/A – JUSTIFIED","INVALID – N/A needs a real justification (15+ chars), PIC and a different verifier"))),IF(OR(TRIM(U115)="Pass",TRIM(U115)="Pass after CA"),IF(NOT(ISNUMBER(AD115)),"INVALID – completion time missing",IF(OR(LEN(AU115)&lt;2,ISNUMBER(MATCH(AU115,L_Placeholder,0))),"INVALID – PIC missing",IF(OR(LEN(AV115)&lt;2,ISNUMBER(MATCH(AV115,L_Placeholder,0))),"INVALID – result / assessment missing",IF(OR(OR(LEN(AW115)&lt;3,ISNUMBER(MATCH(AW115,L_Placeholder,0))),SUMPRODUCT(--ISNUMBER(SEARCH(L_EvidencePhrase,AW115)))&gt;0),"INVALID – evidence missing, placeholder or not yet on file",IF(OR(LEN(AX115)&lt;2,ISNUMBER(MATCH(AX115,L_Placeholder,0))),"INVALID – verifier missing",IF(AX115=AU115,"INVALID – verifier must be someone other than the PIC",IF(AND(TRIM(U115)="Pass",SUMPRODUCT(--ISNUMBER(SEARCH(L_ResultBad,AV115)))&gt;0),"INVALID – result describes a problem: use Fail, then Pass after CA",IF(AND(AQ115=1,OR(LEN(AY115)&lt;3,ISNUMBER(MATCH(AY115,L_Placeholder,0)))),"INVALID – batch ID missing or placeholder",IF(AND(AR115=1,OR(NOT(ISNUMBER(X115)),NOT(ISNUMBER(Y115)))),"INVALID – expected/actual qty missing",IF(AND(AR115=1,OR(X115&lt;=0,Y115&lt;0)),"INVALID – expected qty must be above 0 and actual not negative",IF(BB115&lt;&gt;"",BB115,IF(AND(AS115=1,Documents!$J$8&lt;&gt;"ON FILE"),"INVALID – GLD not on file (Documents sheet)",IF(AND(AS115=2,Documents!$O$8&lt;&gt;"ON FILE"),"INVALID – menu checklist not on file (Documents sheet)",IF(AND(AS115=3,NOT(ISNUMBER(Flights!$AX$8))),"INVALID – enter carrying flight KUL departure (Flights AX)",IF(AND(AS115=3,OR(Flights!$AZ$8&gt;Flights!$AA$8,Flights!$AX$8&lt;Flights!$AA$8-3)),"INVALID – carrying flight (Flights AX) cannot arrive before this leg's STD, or is over 3 days early",IF(AG115&gt;AsOfUTC,"INVALID – completion time is in the future",IF(AND(ISNUMBER(S115),AG115&lt;S115),IF(H115="Physical uplift","INVALID – before uplift window (cannot confirm loading)","INVALID – before valid window"),IF(AG115&gt;Flights!$AA$8,"INVALID – completed after departure (cannot establish readiness)",IF(AND(H115="Preparation",AG115&gt;IF(ISNUMBER(Flights!$BA$8),MIN(Flights!$BA$8,Flights!$AA$8),Flights!$AA$8)),"INVALID – completed after loading / departure (cannot establish readiness)",IF(AND(H115="Physical uplift",AG115&gt;Q115),"INVALID – recorded after the loading flight departed",IF(AG115&gt;Q115,"COMPLETE – LATE","COMPLETE"))))))))))))))))))))),IF(TRIM(U115)="Fail","FAIL – DISCREPANCY",IF(AND(TRIM(U115)&lt;&gt;"",TRIM(U115)&lt;&gt;"Not started",TRIM(U115)&lt;&gt;"In progress"),"INVALID – unrecognised status (use the list)",IF(AsOfUTC&gt;Q115,"OVERDUE",IF(N115="Clarification required","OPEN – CLARIFICATION","OPEN"))))))),"INVALID – error value in an input cell")</f>
        <v>OPEN</v>
      </c>
      <c r="AI115" s="61" t="n">
        <f aca="false">IF(OR(AH115="N/A – RULE",AH115="N/A – JUSTIFIED"),0,1)</f>
        <v>1</v>
      </c>
      <c r="AJ115" s="61" t="n">
        <f aca="false">IF(LEFT(AH115,8)="COMPLETE",1,0)</f>
        <v>0</v>
      </c>
      <c r="AK115" s="61" t="n">
        <f aca="false">IF(AND(AI115=1,AJ115=0,AsOfUTC&gt;Q115),1,0)</f>
        <v>0</v>
      </c>
      <c r="AL115" s="61" t="n">
        <f aca="false">IFERROR(IF(AND(AI115=1,OR(TRIM(U115)="Fail",AND(TRIM(AB115)&lt;&gt;"",TRIM(AB115)&lt;&gt;"Closed"),AND(ISNUMBER(AF115),AF115&lt;&gt;0,TRIM(U115)&lt;&gt;"Pass after CA"))),1,0),1)</f>
        <v>0</v>
      </c>
      <c r="AM115" s="61" t="n">
        <f aca="false">IF(LEFT(AH115,7)="INVALID",1,0)</f>
        <v>0</v>
      </c>
      <c r="AN115" s="61" t="n">
        <f aca="false">IF(AND(N115="Clarification required",AI115=1,AJ115=0),1,0)</f>
        <v>0</v>
      </c>
      <c r="AO115" s="61" t="str">
        <f aca="false">IF(AK115=1,SUM(AK$5:AK115),"")</f>
        <v/>
      </c>
      <c r="AP115" s="61" t="str">
        <f aca="false">IF(AL115=1,SUM(AL$5:AL115),"")</f>
        <v/>
      </c>
      <c r="AQ115" s="61" t="n">
        <v>0</v>
      </c>
      <c r="AR115" s="61" t="n">
        <v>0</v>
      </c>
      <c r="AS115" s="61" t="n">
        <v>0</v>
      </c>
      <c r="AT115" s="61" t="n">
        <v>0</v>
      </c>
      <c r="AU115" s="61" t="str">
        <f aca="false">SUBSTITUTE(SUBSTITUTE(SUBSTITUTE(SUBSTITUTE(SUBSTITUTE(SUBSTITUTE(SUBSTITUTE(SUBSTITUTE(SUBSTITUTE(SUBSTITUTE(SUBSTITUTE(SUBSTITUTE(SUBSTITUTE(LOWER(T115&amp;""),CHAR(160),"")," ",""),".",""),"-",""),"/",""),"?",""),"_",""),",",""),"[",""),"]",""),"(",""),")",""),"*","")</f>
        <v/>
      </c>
      <c r="AV115" s="61" t="str">
        <f aca="false">SUBSTITUTE(SUBSTITUTE(SUBSTITUTE(SUBSTITUTE(SUBSTITUTE(SUBSTITUTE(SUBSTITUTE(SUBSTITUTE(SUBSTITUTE(SUBSTITUTE(SUBSTITUTE(SUBSTITUTE(SUBSTITUTE(LOWER(V115&amp;""),CHAR(160),"")," ",""),".",""),"-",""),"/",""),"?",""),"_",""),",",""),"[",""),"]",""),"(",""),")",""),"*","")</f>
        <v/>
      </c>
      <c r="AW115" s="61" t="str">
        <f aca="false">SUBSTITUTE(SUBSTITUTE(SUBSTITUTE(SUBSTITUTE(SUBSTITUTE(SUBSTITUTE(SUBSTITUTE(SUBSTITUTE(SUBSTITUTE(SUBSTITUTE(SUBSTITUTE(SUBSTITUTE(SUBSTITUTE(LOWER(Z115&amp;""),CHAR(160),"")," ",""),".",""),"-",""),"/",""),"?",""),"_",""),",",""),"[",""),"]",""),"(",""),")",""),"*","")</f>
        <v/>
      </c>
      <c r="AX115" s="61" t="str">
        <f aca="false">SUBSTITUTE(SUBSTITUTE(SUBSTITUTE(SUBSTITUTE(SUBSTITUTE(SUBSTITUTE(SUBSTITUTE(SUBSTITUTE(SUBSTITUTE(SUBSTITUTE(SUBSTITUTE(SUBSTITUTE(SUBSTITUTE(LOWER(AE115&amp;""),CHAR(160),"")," ",""),".",""),"-",""),"/",""),"?",""),"_",""),",",""),"[",""),"]",""),"(",""),")",""),"*","")</f>
        <v/>
      </c>
      <c r="AY115" s="61" t="str">
        <f aca="false">SUBSTITUTE(SUBSTITUTE(SUBSTITUTE(SUBSTITUTE(SUBSTITUTE(SUBSTITUTE(SUBSTITUTE(SUBSTITUTE(SUBSTITUTE(SUBSTITUTE(SUBSTITUTE(SUBSTITUTE(SUBSTITUTE(LOWER(W115&amp;""),CHAR(160),"")," ",""),".",""),"-",""),"/",""),"?",""),"_",""),",",""),"[",""),"]",""),"(",""),")",""),"*","")</f>
        <v/>
      </c>
      <c r="AZ115" s="61" t="str">
        <f aca="false">SUBSTITUTE(SUBSTITUTE(SUBSTITUTE(SUBSTITUTE(SUBSTITUTE(SUBSTITUTE(SUBSTITUTE(SUBSTITUTE(SUBSTITUTE(SUBSTITUTE(SUBSTITUTE(SUBSTITUTE(SUBSTITUTE(LOWER(AC115&amp;""),CHAR(160),"")," ",""),".",""),"-",""),"/",""),"?",""),"_",""),",",""),"[",""),"]",""),"(",""),")",""),"*","")</f>
        <v/>
      </c>
      <c r="BA115" s="61" t="str">
        <f aca="false">SUBSTITUTE(SUBSTITUTE(SUBSTITUTE(SUBSTITUTE(SUBSTITUTE(SUBSTITUTE(SUBSTITUTE(SUBSTITUTE(SUBSTITUTE(SUBSTITUTE(SUBSTITUTE(SUBSTITUTE(SUBSTITUTE(LOWER(AA115&amp;""),CHAR(160),"")," ",""),".",""),"-",""),"/",""),"?",""),"_",""),",",""),"[",""),"]",""),"(",""),")",""),"*","")</f>
        <v/>
      </c>
      <c r="BB115" s="61" t="str">
        <f aca="false">IF(AND(TRIM(U115)="Pass",ISNUMBER(AF115)),IF(AF115&lt;&gt;0,"INVALID – qty variance: use Fail or Pass after CA",""),"")&amp;IF(AND(TRIM(U115)="Pass after CA",ISNUMBER(AF115)),IF(AF115&lt;&gt;0,"INVALID – after the corrective action the actual qty must equal expected (update Actual)",""),"")&amp;IF(AND(TRIM(U115)="Pass",TRIM(AB115)&lt;&gt;"",TRIM(AB115)&lt;&gt;"Closed"),"INVALID – corrective action not closed: use Fail, then Pass after CA","")&amp;IF(AND(TRIM(AA115)&lt;&gt;"",TRIM(AB115)=""),"INVALID – CA status missing for the recorded corrective action","")&amp;IF(AND(TRIM(U115)="Pass after CA",OR(OR(LEN(BA115)&lt;5,ISNUMBER(MATCH(BA115,L_Placeholder,0))),TRIM(AB115)&lt;&gt;"Closed")),"INVALID – corrective action not recorded/closed","")</f>
        <v/>
      </c>
    </row>
    <row r="116" customFormat="false" ht="41.25" hidden="false" customHeight="true" outlineLevel="0" collapsed="false">
      <c r="A116" s="57" t="s">
        <v>598</v>
      </c>
      <c r="B116" s="57" t="s">
        <v>215</v>
      </c>
      <c r="C116" s="57" t="str">
        <f aca="false">Flights!$F$8</f>
        <v>MH0088</v>
      </c>
      <c r="D116" s="58" t="n">
        <f aca="false">Flights!$D$8</f>
        <v>46305</v>
      </c>
      <c r="E116" s="57" t="str">
        <f aca="false">Flights!$G$8&amp;"-"&amp;Flights!$H$8</f>
        <v>KUL-NRT</v>
      </c>
      <c r="F116" s="57" t="str">
        <f aca="false">Flights!$K$8</f>
        <v>BC</v>
      </c>
      <c r="G116" s="57" t="s">
        <v>398</v>
      </c>
      <c r="H116" s="57" t="s">
        <v>356</v>
      </c>
      <c r="I116" s="57" t="s">
        <v>425</v>
      </c>
      <c r="J116" s="57" t="s">
        <v>504</v>
      </c>
      <c r="K116" s="67" t="s">
        <v>427</v>
      </c>
      <c r="L116" s="67" t="s">
        <v>599</v>
      </c>
      <c r="M116" s="67" t="s">
        <v>429</v>
      </c>
      <c r="N116" s="67" t="s">
        <v>361</v>
      </c>
      <c r="O116" s="67" t="s">
        <v>481</v>
      </c>
      <c r="P116" s="57" t="s">
        <v>184</v>
      </c>
      <c r="Q116" s="59" t="n">
        <f aca="false">ROUND((Flights!$AE$8)*1440,0)/1440</f>
        <v>46305.1458333333</v>
      </c>
      <c r="R116" s="59" t="n">
        <f aca="false">Q116+(IF(AND(INDEX(TZ_DSTS,MATCH(P116,TZ_STN,0))&lt;&gt;"",Q116&gt;=INDEX(TZ_DSTS,MATCH(P116,TZ_STN,0)),Q116&lt;INDEX(TZ_DSTE,MATCH(P116,TZ_STN,0))),INDEX(TZ_DST,MATCH(P116,TZ_STN,0)),INDEX(TZ_STD,MATCH(P116,TZ_STN,0))))/24</f>
        <v>46305.4791666667</v>
      </c>
      <c r="S116" s="59" t="n">
        <f aca="false">Q116-T12EarlyH/24</f>
        <v>46304.6458333333</v>
      </c>
      <c r="T116" s="60"/>
      <c r="U116" s="60"/>
      <c r="V116" s="60"/>
      <c r="W116" s="61"/>
      <c r="X116" s="60"/>
      <c r="Y116" s="60"/>
      <c r="Z116" s="60"/>
      <c r="AA116" s="60"/>
      <c r="AB116" s="60"/>
      <c r="AC116" s="60"/>
      <c r="AD116" s="66"/>
      <c r="AE116" s="60"/>
      <c r="AF116" s="61" t="str">
        <f aca="false">IF(AND(ISNUMBER(X116),ISNUMBER(Y116)),Y116-X116,"")</f>
        <v/>
      </c>
      <c r="AG116" s="62" t="str">
        <f aca="false">IF(ISNUMBER(AD116),AD116-(IF(AND(INDEX(TZ_DSTS,MATCH(P116,TZ_STN,0))&lt;&gt;"",(AD116-INDEX(TZ_STD,MATCH(P116,TZ_STN,0))/24)&gt;=INDEX(TZ_DSTS,MATCH(P116,TZ_STN,0)),(AD116-INDEX(TZ_STD,MATCH(P116,TZ_STN,0))/24)&lt;INDEX(TZ_DSTE,MATCH(P116,TZ_STN,0))),INDEX(TZ_DST,MATCH(P116,TZ_STN,0)),INDEX(TZ_STD,MATCH(P116,TZ_STN,0))))/24,"")</f>
        <v/>
      </c>
      <c r="AH116" s="65" t="str">
        <f aca="false">IFERROR(IF(N116="N/A – rule","N/A – RULE",IF(TRIM(U116)="N/A",IF(AT116=0,"INVALID – N/A not permitted for this check",IF(AND(TRIM(AB116)&lt;&gt;"",TRIM(AB116)&lt;&gt;"Closed"),"INVALID – corrective action still open",IF(AND(NOT(OR(LEN(AZ116)&lt;15,ISNUMBER(MATCH(AZ116,L_Placeholder,0)))),NOT(OR(LEN(AU116)&lt;2,ISNUMBER(MATCH(AU116,L_Placeholder,0)))),NOT(OR(LEN(AX116)&lt;2,ISNUMBER(MATCH(AX116,L_Placeholder,0)))),TRIM(AE116)&lt;&gt;TRIM(T116)),"N/A – JUSTIFIED","INVALID – N/A needs a real justification (15+ chars), PIC and a different verifier"))),IF(OR(TRIM(U116)="Pass",TRIM(U116)="Pass after CA"),IF(NOT(ISNUMBER(AD116)),"INVALID – completion time missing",IF(OR(LEN(AU116)&lt;2,ISNUMBER(MATCH(AU116,L_Placeholder,0))),"INVALID – PIC missing",IF(OR(LEN(AV116)&lt;2,ISNUMBER(MATCH(AV116,L_Placeholder,0))),"INVALID – result / assessment missing",IF(OR(OR(LEN(AW116)&lt;3,ISNUMBER(MATCH(AW116,L_Placeholder,0))),SUMPRODUCT(--ISNUMBER(SEARCH(L_EvidencePhrase,AW116)))&gt;0),"INVALID – evidence missing, placeholder or not yet on file",IF(OR(LEN(AX116)&lt;2,ISNUMBER(MATCH(AX116,L_Placeholder,0))),"INVALID – verifier missing",IF(AX116=AU116,"INVALID – verifier must be someone other than the PIC",IF(AND(TRIM(U116)="Pass",SUMPRODUCT(--ISNUMBER(SEARCH(L_ResultBad,AV116)))&gt;0),"INVALID – result describes a problem: use Fail, then Pass after CA",IF(AND(AQ116=1,OR(LEN(AY116)&lt;3,ISNUMBER(MATCH(AY116,L_Placeholder,0)))),"INVALID – batch ID missing or placeholder",IF(AND(AR116=1,OR(NOT(ISNUMBER(X116)),NOT(ISNUMBER(Y116)))),"INVALID – expected/actual qty missing",IF(AND(AR116=1,OR(X116&lt;=0,Y116&lt;0)),"INVALID – expected qty must be above 0 and actual not negative",IF(BB116&lt;&gt;"",BB116,IF(AND(AS116=1,Documents!$J$8&lt;&gt;"ON FILE"),"INVALID – GLD not on file (Documents sheet)",IF(AND(AS116=2,Documents!$O$8&lt;&gt;"ON FILE"),"INVALID – menu checklist not on file (Documents sheet)",IF(AND(AS116=3,NOT(ISNUMBER(Flights!$AX$8))),"INVALID – enter carrying flight KUL departure (Flights AX)",IF(AND(AS116=3,OR(Flights!$AZ$8&gt;Flights!$AA$8,Flights!$AX$8&lt;Flights!$AA$8-3)),"INVALID – carrying flight (Flights AX) cannot arrive before this leg's STD, or is over 3 days early",IF(AG116&gt;AsOfUTC,"INVALID – completion time is in the future",IF(AND(ISNUMBER(S116),AG116&lt;S116),IF(H116="Physical uplift","INVALID – before uplift window (cannot confirm loading)","INVALID – before valid window"),IF(AG116&gt;Flights!$AA$8,"INVALID – completed after departure (cannot establish readiness)",IF(AND(H116="Preparation",AG116&gt;IF(ISNUMBER(Flights!$BA$8),MIN(Flights!$BA$8,Flights!$AA$8),Flights!$AA$8)),"INVALID – completed after loading / departure (cannot establish readiness)",IF(AND(H116="Physical uplift",AG116&gt;Q116),"INVALID – recorded after the loading flight departed",IF(AG116&gt;Q116,"COMPLETE – LATE","COMPLETE"))))))))))))))))))))),IF(TRIM(U116)="Fail","FAIL – DISCREPANCY",IF(AND(TRIM(U116)&lt;&gt;"",TRIM(U116)&lt;&gt;"Not started",TRIM(U116)&lt;&gt;"In progress"),"INVALID – unrecognised status (use the list)",IF(AsOfUTC&gt;Q116,"OVERDUE",IF(N116="Clarification required","OPEN – CLARIFICATION","OPEN"))))))),"INVALID – error value in an input cell")</f>
        <v>OPEN</v>
      </c>
      <c r="AI116" s="61" t="n">
        <f aca="false">IF(OR(AH116="N/A – RULE",AH116="N/A – JUSTIFIED"),0,1)</f>
        <v>1</v>
      </c>
      <c r="AJ116" s="61" t="n">
        <f aca="false">IF(LEFT(AH116,8)="COMPLETE",1,0)</f>
        <v>0</v>
      </c>
      <c r="AK116" s="61" t="n">
        <f aca="false">IF(AND(AI116=1,AJ116=0,AsOfUTC&gt;Q116),1,0)</f>
        <v>0</v>
      </c>
      <c r="AL116" s="61" t="n">
        <f aca="false">IFERROR(IF(AND(AI116=1,OR(TRIM(U116)="Fail",AND(TRIM(AB116)&lt;&gt;"",TRIM(AB116)&lt;&gt;"Closed"),AND(ISNUMBER(AF116),AF116&lt;&gt;0,TRIM(U116)&lt;&gt;"Pass after CA"))),1,0),1)</f>
        <v>0</v>
      </c>
      <c r="AM116" s="61" t="n">
        <f aca="false">IF(LEFT(AH116,7)="INVALID",1,0)</f>
        <v>0</v>
      </c>
      <c r="AN116" s="61" t="n">
        <f aca="false">IF(AND(N116="Clarification required",AI116=1,AJ116=0),1,0)</f>
        <v>0</v>
      </c>
      <c r="AO116" s="61" t="str">
        <f aca="false">IF(AK116=1,SUM(AK$5:AK116),"")</f>
        <v/>
      </c>
      <c r="AP116" s="61" t="str">
        <f aca="false">IF(AL116=1,SUM(AL$5:AL116),"")</f>
        <v/>
      </c>
      <c r="AQ116" s="61" t="n">
        <v>0</v>
      </c>
      <c r="AR116" s="61" t="n">
        <v>0</v>
      </c>
      <c r="AS116" s="61" t="n">
        <v>0</v>
      </c>
      <c r="AT116" s="61" t="n">
        <v>0</v>
      </c>
      <c r="AU116" s="61" t="str">
        <f aca="false">SUBSTITUTE(SUBSTITUTE(SUBSTITUTE(SUBSTITUTE(SUBSTITUTE(SUBSTITUTE(SUBSTITUTE(SUBSTITUTE(SUBSTITUTE(SUBSTITUTE(SUBSTITUTE(SUBSTITUTE(SUBSTITUTE(LOWER(T116&amp;""),CHAR(160),"")," ",""),".",""),"-",""),"/",""),"?",""),"_",""),",",""),"[",""),"]",""),"(",""),")",""),"*","")</f>
        <v/>
      </c>
      <c r="AV116" s="61" t="str">
        <f aca="false">SUBSTITUTE(SUBSTITUTE(SUBSTITUTE(SUBSTITUTE(SUBSTITUTE(SUBSTITUTE(SUBSTITUTE(SUBSTITUTE(SUBSTITUTE(SUBSTITUTE(SUBSTITUTE(SUBSTITUTE(SUBSTITUTE(LOWER(V116&amp;""),CHAR(160),"")," ",""),".",""),"-",""),"/",""),"?",""),"_",""),",",""),"[",""),"]",""),"(",""),")",""),"*","")</f>
        <v/>
      </c>
      <c r="AW116" s="61" t="str">
        <f aca="false">SUBSTITUTE(SUBSTITUTE(SUBSTITUTE(SUBSTITUTE(SUBSTITUTE(SUBSTITUTE(SUBSTITUTE(SUBSTITUTE(SUBSTITUTE(SUBSTITUTE(SUBSTITUTE(SUBSTITUTE(SUBSTITUTE(LOWER(Z116&amp;""),CHAR(160),"")," ",""),".",""),"-",""),"/",""),"?",""),"_",""),",",""),"[",""),"]",""),"(",""),")",""),"*","")</f>
        <v/>
      </c>
      <c r="AX116" s="61" t="str">
        <f aca="false">SUBSTITUTE(SUBSTITUTE(SUBSTITUTE(SUBSTITUTE(SUBSTITUTE(SUBSTITUTE(SUBSTITUTE(SUBSTITUTE(SUBSTITUTE(SUBSTITUTE(SUBSTITUTE(SUBSTITUTE(SUBSTITUTE(LOWER(AE116&amp;""),CHAR(160),"")," ",""),".",""),"-",""),"/",""),"?",""),"_",""),",",""),"[",""),"]",""),"(",""),")",""),"*","")</f>
        <v/>
      </c>
      <c r="AY116" s="61" t="str">
        <f aca="false">SUBSTITUTE(SUBSTITUTE(SUBSTITUTE(SUBSTITUTE(SUBSTITUTE(SUBSTITUTE(SUBSTITUTE(SUBSTITUTE(SUBSTITUTE(SUBSTITUTE(SUBSTITUTE(SUBSTITUTE(SUBSTITUTE(LOWER(W116&amp;""),CHAR(160),"")," ",""),".",""),"-",""),"/",""),"?",""),"_",""),",",""),"[",""),"]",""),"(",""),")",""),"*","")</f>
        <v/>
      </c>
      <c r="AZ116" s="61" t="str">
        <f aca="false">SUBSTITUTE(SUBSTITUTE(SUBSTITUTE(SUBSTITUTE(SUBSTITUTE(SUBSTITUTE(SUBSTITUTE(SUBSTITUTE(SUBSTITUTE(SUBSTITUTE(SUBSTITUTE(SUBSTITUTE(SUBSTITUTE(LOWER(AC116&amp;""),CHAR(160),"")," ",""),".",""),"-",""),"/",""),"?",""),"_",""),",",""),"[",""),"]",""),"(",""),")",""),"*","")</f>
        <v/>
      </c>
      <c r="BA116" s="61" t="str">
        <f aca="false">SUBSTITUTE(SUBSTITUTE(SUBSTITUTE(SUBSTITUTE(SUBSTITUTE(SUBSTITUTE(SUBSTITUTE(SUBSTITUTE(SUBSTITUTE(SUBSTITUTE(SUBSTITUTE(SUBSTITUTE(SUBSTITUTE(LOWER(AA116&amp;""),CHAR(160),"")," ",""),".",""),"-",""),"/",""),"?",""),"_",""),",",""),"[",""),"]",""),"(",""),")",""),"*","")</f>
        <v/>
      </c>
      <c r="BB116" s="61" t="str">
        <f aca="false">IF(AND(TRIM(U116)="Pass",ISNUMBER(AF116)),IF(AF116&lt;&gt;0,"INVALID – qty variance: use Fail or Pass after CA",""),"")&amp;IF(AND(TRIM(U116)="Pass after CA",ISNUMBER(AF116)),IF(AF116&lt;&gt;0,"INVALID – after the corrective action the actual qty must equal expected (update Actual)",""),"")&amp;IF(AND(TRIM(U116)="Pass",TRIM(AB116)&lt;&gt;"",TRIM(AB116)&lt;&gt;"Closed"),"INVALID – corrective action not closed: use Fail, then Pass after CA","")&amp;IF(AND(TRIM(AA116)&lt;&gt;"",TRIM(AB116)=""),"INVALID – CA status missing for the recorded corrective action","")&amp;IF(AND(TRIM(U116)="Pass after CA",OR(OR(LEN(BA116)&lt;5,ISNUMBER(MATCH(BA116,L_Placeholder,0))),TRIM(AB116)&lt;&gt;"Closed")),"INVALID – corrective action not recorded/closed","")</f>
        <v/>
      </c>
    </row>
    <row r="117" customFormat="false" ht="41.25" hidden="false" customHeight="true" outlineLevel="0" collapsed="false">
      <c r="A117" s="57" t="s">
        <v>600</v>
      </c>
      <c r="B117" s="57" t="s">
        <v>215</v>
      </c>
      <c r="C117" s="57" t="str">
        <f aca="false">Flights!$F$8</f>
        <v>MH0088</v>
      </c>
      <c r="D117" s="58" t="n">
        <f aca="false">Flights!$D$8</f>
        <v>46305</v>
      </c>
      <c r="E117" s="57" t="str">
        <f aca="false">Flights!$G$8&amp;"-"&amp;Flights!$H$8</f>
        <v>KUL-NRT</v>
      </c>
      <c r="F117" s="57" t="str">
        <f aca="false">Flights!$K$8</f>
        <v>BC</v>
      </c>
      <c r="G117" s="57" t="s">
        <v>398</v>
      </c>
      <c r="H117" s="57" t="s">
        <v>356</v>
      </c>
      <c r="I117" s="57" t="s">
        <v>425</v>
      </c>
      <c r="J117" s="57" t="s">
        <v>601</v>
      </c>
      <c r="K117" s="67" t="s">
        <v>427</v>
      </c>
      <c r="L117" s="67" t="s">
        <v>602</v>
      </c>
      <c r="M117" s="67" t="s">
        <v>429</v>
      </c>
      <c r="N117" s="67" t="s">
        <v>361</v>
      </c>
      <c r="O117" s="67" t="s">
        <v>481</v>
      </c>
      <c r="P117" s="57" t="s">
        <v>184</v>
      </c>
      <c r="Q117" s="59" t="n">
        <f aca="false">ROUND((Flights!$AE$8)*1440,0)/1440</f>
        <v>46305.1458333333</v>
      </c>
      <c r="R117" s="59" t="n">
        <f aca="false">Q117+(IF(AND(INDEX(TZ_DSTS,MATCH(P117,TZ_STN,0))&lt;&gt;"",Q117&gt;=INDEX(TZ_DSTS,MATCH(P117,TZ_STN,0)),Q117&lt;INDEX(TZ_DSTE,MATCH(P117,TZ_STN,0))),INDEX(TZ_DST,MATCH(P117,TZ_STN,0)),INDEX(TZ_STD,MATCH(P117,TZ_STN,0))))/24</f>
        <v>46305.4791666667</v>
      </c>
      <c r="S117" s="59" t="n">
        <f aca="false">Q117-T12EarlyH/24</f>
        <v>46304.6458333333</v>
      </c>
      <c r="T117" s="60"/>
      <c r="U117" s="60"/>
      <c r="V117" s="60"/>
      <c r="W117" s="61"/>
      <c r="X117" s="60"/>
      <c r="Y117" s="60"/>
      <c r="Z117" s="60"/>
      <c r="AA117" s="60"/>
      <c r="AB117" s="60"/>
      <c r="AC117" s="60"/>
      <c r="AD117" s="66"/>
      <c r="AE117" s="60"/>
      <c r="AF117" s="61" t="str">
        <f aca="false">IF(AND(ISNUMBER(X117),ISNUMBER(Y117)),Y117-X117,"")</f>
        <v/>
      </c>
      <c r="AG117" s="62" t="str">
        <f aca="false">IF(ISNUMBER(AD117),AD117-(IF(AND(INDEX(TZ_DSTS,MATCH(P117,TZ_STN,0))&lt;&gt;"",(AD117-INDEX(TZ_STD,MATCH(P117,TZ_STN,0))/24)&gt;=INDEX(TZ_DSTS,MATCH(P117,TZ_STN,0)),(AD117-INDEX(TZ_STD,MATCH(P117,TZ_STN,0))/24)&lt;INDEX(TZ_DSTE,MATCH(P117,TZ_STN,0))),INDEX(TZ_DST,MATCH(P117,TZ_STN,0)),INDEX(TZ_STD,MATCH(P117,TZ_STN,0))))/24,"")</f>
        <v/>
      </c>
      <c r="AH117" s="65" t="str">
        <f aca="false">IFERROR(IF(N117="N/A – rule","N/A – RULE",IF(TRIM(U117)="N/A",IF(AT117=0,"INVALID – N/A not permitted for this check",IF(AND(TRIM(AB117)&lt;&gt;"",TRIM(AB117)&lt;&gt;"Closed"),"INVALID – corrective action still open",IF(AND(NOT(OR(LEN(AZ117)&lt;15,ISNUMBER(MATCH(AZ117,L_Placeholder,0)))),NOT(OR(LEN(AU117)&lt;2,ISNUMBER(MATCH(AU117,L_Placeholder,0)))),NOT(OR(LEN(AX117)&lt;2,ISNUMBER(MATCH(AX117,L_Placeholder,0)))),TRIM(AE117)&lt;&gt;TRIM(T117)),"N/A – JUSTIFIED","INVALID – N/A needs a real justification (15+ chars), PIC and a different verifier"))),IF(OR(TRIM(U117)="Pass",TRIM(U117)="Pass after CA"),IF(NOT(ISNUMBER(AD117)),"INVALID – completion time missing",IF(OR(LEN(AU117)&lt;2,ISNUMBER(MATCH(AU117,L_Placeholder,0))),"INVALID – PIC missing",IF(OR(LEN(AV117)&lt;2,ISNUMBER(MATCH(AV117,L_Placeholder,0))),"INVALID – result / assessment missing",IF(OR(OR(LEN(AW117)&lt;3,ISNUMBER(MATCH(AW117,L_Placeholder,0))),SUMPRODUCT(--ISNUMBER(SEARCH(L_EvidencePhrase,AW117)))&gt;0),"INVALID – evidence missing, placeholder or not yet on file",IF(OR(LEN(AX117)&lt;2,ISNUMBER(MATCH(AX117,L_Placeholder,0))),"INVALID – verifier missing",IF(AX117=AU117,"INVALID – verifier must be someone other than the PIC",IF(AND(TRIM(U117)="Pass",SUMPRODUCT(--ISNUMBER(SEARCH(L_ResultBad,AV117)))&gt;0),"INVALID – result describes a problem: use Fail, then Pass after CA",IF(AND(AQ117=1,OR(LEN(AY117)&lt;3,ISNUMBER(MATCH(AY117,L_Placeholder,0)))),"INVALID – batch ID missing or placeholder",IF(AND(AR117=1,OR(NOT(ISNUMBER(X117)),NOT(ISNUMBER(Y117)))),"INVALID – expected/actual qty missing",IF(AND(AR117=1,OR(X117&lt;=0,Y117&lt;0)),"INVALID – expected qty must be above 0 and actual not negative",IF(BB117&lt;&gt;"",BB117,IF(AND(AS117=1,Documents!$J$8&lt;&gt;"ON FILE"),"INVALID – GLD not on file (Documents sheet)",IF(AND(AS117=2,Documents!$O$8&lt;&gt;"ON FILE"),"INVALID – menu checklist not on file (Documents sheet)",IF(AND(AS117=3,NOT(ISNUMBER(Flights!$AX$8))),"INVALID – enter carrying flight KUL departure (Flights AX)",IF(AND(AS117=3,OR(Flights!$AZ$8&gt;Flights!$AA$8,Flights!$AX$8&lt;Flights!$AA$8-3)),"INVALID – carrying flight (Flights AX) cannot arrive before this leg's STD, or is over 3 days early",IF(AG117&gt;AsOfUTC,"INVALID – completion time is in the future",IF(AND(ISNUMBER(S117),AG117&lt;S117),IF(H117="Physical uplift","INVALID – before uplift window (cannot confirm loading)","INVALID – before valid window"),IF(AG117&gt;Flights!$AA$8,"INVALID – completed after departure (cannot establish readiness)",IF(AND(H117="Preparation",AG117&gt;IF(ISNUMBER(Flights!$BA$8),MIN(Flights!$BA$8,Flights!$AA$8),Flights!$AA$8)),"INVALID – completed after loading / departure (cannot establish readiness)",IF(AND(H117="Physical uplift",AG117&gt;Q117),"INVALID – recorded after the loading flight departed",IF(AG117&gt;Q117,"COMPLETE – LATE","COMPLETE"))))))))))))))))))))),IF(TRIM(U117)="Fail","FAIL – DISCREPANCY",IF(AND(TRIM(U117)&lt;&gt;"",TRIM(U117)&lt;&gt;"Not started",TRIM(U117)&lt;&gt;"In progress"),"INVALID – unrecognised status (use the list)",IF(AsOfUTC&gt;Q117,"OVERDUE",IF(N117="Clarification required","OPEN – CLARIFICATION","OPEN"))))))),"INVALID – error value in an input cell")</f>
        <v>OPEN</v>
      </c>
      <c r="AI117" s="61" t="n">
        <f aca="false">IF(OR(AH117="N/A – RULE",AH117="N/A – JUSTIFIED"),0,1)</f>
        <v>1</v>
      </c>
      <c r="AJ117" s="61" t="n">
        <f aca="false">IF(LEFT(AH117,8)="COMPLETE",1,0)</f>
        <v>0</v>
      </c>
      <c r="AK117" s="61" t="n">
        <f aca="false">IF(AND(AI117=1,AJ117=0,AsOfUTC&gt;Q117),1,0)</f>
        <v>0</v>
      </c>
      <c r="AL117" s="61" t="n">
        <f aca="false">IFERROR(IF(AND(AI117=1,OR(TRIM(U117)="Fail",AND(TRIM(AB117)&lt;&gt;"",TRIM(AB117)&lt;&gt;"Closed"),AND(ISNUMBER(AF117),AF117&lt;&gt;0,TRIM(U117)&lt;&gt;"Pass after CA"))),1,0),1)</f>
        <v>0</v>
      </c>
      <c r="AM117" s="61" t="n">
        <f aca="false">IF(LEFT(AH117,7)="INVALID",1,0)</f>
        <v>0</v>
      </c>
      <c r="AN117" s="61" t="n">
        <f aca="false">IF(AND(N117="Clarification required",AI117=1,AJ117=0),1,0)</f>
        <v>0</v>
      </c>
      <c r="AO117" s="61" t="str">
        <f aca="false">IF(AK117=1,SUM(AK$5:AK117),"")</f>
        <v/>
      </c>
      <c r="AP117" s="61" t="str">
        <f aca="false">IF(AL117=1,SUM(AL$5:AL117),"")</f>
        <v/>
      </c>
      <c r="AQ117" s="61" t="n">
        <v>0</v>
      </c>
      <c r="AR117" s="61" t="n">
        <v>0</v>
      </c>
      <c r="AS117" s="61" t="n">
        <v>0</v>
      </c>
      <c r="AT117" s="61" t="n">
        <v>0</v>
      </c>
      <c r="AU117" s="61" t="str">
        <f aca="false">SUBSTITUTE(SUBSTITUTE(SUBSTITUTE(SUBSTITUTE(SUBSTITUTE(SUBSTITUTE(SUBSTITUTE(SUBSTITUTE(SUBSTITUTE(SUBSTITUTE(SUBSTITUTE(SUBSTITUTE(SUBSTITUTE(LOWER(T117&amp;""),CHAR(160),"")," ",""),".",""),"-",""),"/",""),"?",""),"_",""),",",""),"[",""),"]",""),"(",""),")",""),"*","")</f>
        <v/>
      </c>
      <c r="AV117" s="61" t="str">
        <f aca="false">SUBSTITUTE(SUBSTITUTE(SUBSTITUTE(SUBSTITUTE(SUBSTITUTE(SUBSTITUTE(SUBSTITUTE(SUBSTITUTE(SUBSTITUTE(SUBSTITUTE(SUBSTITUTE(SUBSTITUTE(SUBSTITUTE(LOWER(V117&amp;""),CHAR(160),"")," ",""),".",""),"-",""),"/",""),"?",""),"_",""),",",""),"[",""),"]",""),"(",""),")",""),"*","")</f>
        <v/>
      </c>
      <c r="AW117" s="61" t="str">
        <f aca="false">SUBSTITUTE(SUBSTITUTE(SUBSTITUTE(SUBSTITUTE(SUBSTITUTE(SUBSTITUTE(SUBSTITUTE(SUBSTITUTE(SUBSTITUTE(SUBSTITUTE(SUBSTITUTE(SUBSTITUTE(SUBSTITUTE(LOWER(Z117&amp;""),CHAR(160),"")," ",""),".",""),"-",""),"/",""),"?",""),"_",""),",",""),"[",""),"]",""),"(",""),")",""),"*","")</f>
        <v/>
      </c>
      <c r="AX117" s="61" t="str">
        <f aca="false">SUBSTITUTE(SUBSTITUTE(SUBSTITUTE(SUBSTITUTE(SUBSTITUTE(SUBSTITUTE(SUBSTITUTE(SUBSTITUTE(SUBSTITUTE(SUBSTITUTE(SUBSTITUTE(SUBSTITUTE(SUBSTITUTE(LOWER(AE117&amp;""),CHAR(160),"")," ",""),".",""),"-",""),"/",""),"?",""),"_",""),",",""),"[",""),"]",""),"(",""),")",""),"*","")</f>
        <v/>
      </c>
      <c r="AY117" s="61" t="str">
        <f aca="false">SUBSTITUTE(SUBSTITUTE(SUBSTITUTE(SUBSTITUTE(SUBSTITUTE(SUBSTITUTE(SUBSTITUTE(SUBSTITUTE(SUBSTITUTE(SUBSTITUTE(SUBSTITUTE(SUBSTITUTE(SUBSTITUTE(LOWER(W117&amp;""),CHAR(160),"")," ",""),".",""),"-",""),"/",""),"?",""),"_",""),",",""),"[",""),"]",""),"(",""),")",""),"*","")</f>
        <v/>
      </c>
      <c r="AZ117" s="61" t="str">
        <f aca="false">SUBSTITUTE(SUBSTITUTE(SUBSTITUTE(SUBSTITUTE(SUBSTITUTE(SUBSTITUTE(SUBSTITUTE(SUBSTITUTE(SUBSTITUTE(SUBSTITUTE(SUBSTITUTE(SUBSTITUTE(SUBSTITUTE(LOWER(AC117&amp;""),CHAR(160),"")," ",""),".",""),"-",""),"/",""),"?",""),"_",""),",",""),"[",""),"]",""),"(",""),")",""),"*","")</f>
        <v/>
      </c>
      <c r="BA117" s="61" t="str">
        <f aca="false">SUBSTITUTE(SUBSTITUTE(SUBSTITUTE(SUBSTITUTE(SUBSTITUTE(SUBSTITUTE(SUBSTITUTE(SUBSTITUTE(SUBSTITUTE(SUBSTITUTE(SUBSTITUTE(SUBSTITUTE(SUBSTITUTE(LOWER(AA117&amp;""),CHAR(160),"")," ",""),".",""),"-",""),"/",""),"?",""),"_",""),",",""),"[",""),"]",""),"(",""),")",""),"*","")</f>
        <v/>
      </c>
      <c r="BB117" s="61" t="str">
        <f aca="false">IF(AND(TRIM(U117)="Pass",ISNUMBER(AF117)),IF(AF117&lt;&gt;0,"INVALID – qty variance: use Fail or Pass after CA",""),"")&amp;IF(AND(TRIM(U117)="Pass after CA",ISNUMBER(AF117)),IF(AF117&lt;&gt;0,"INVALID – after the corrective action the actual qty must equal expected (update Actual)",""),"")&amp;IF(AND(TRIM(U117)="Pass",TRIM(AB117)&lt;&gt;"",TRIM(AB117)&lt;&gt;"Closed"),"INVALID – corrective action not closed: use Fail, then Pass after CA","")&amp;IF(AND(TRIM(AA117)&lt;&gt;"",TRIM(AB117)=""),"INVALID – CA status missing for the recorded corrective action","")&amp;IF(AND(TRIM(U117)="Pass after CA",OR(OR(LEN(BA117)&lt;5,ISNUMBER(MATCH(BA117,L_Placeholder,0))),TRIM(AB117)&lt;&gt;"Closed")),"INVALID – corrective action not recorded/closed","")</f>
        <v/>
      </c>
    </row>
    <row r="118" customFormat="false" ht="41.25" hidden="false" customHeight="true" outlineLevel="0" collapsed="false">
      <c r="A118" s="57" t="s">
        <v>603</v>
      </c>
      <c r="B118" s="57" t="s">
        <v>215</v>
      </c>
      <c r="C118" s="57" t="str">
        <f aca="false">Flights!$F$8</f>
        <v>MH0088</v>
      </c>
      <c r="D118" s="58" t="n">
        <f aca="false">Flights!$D$8</f>
        <v>46305</v>
      </c>
      <c r="E118" s="57" t="str">
        <f aca="false">Flights!$G$8&amp;"-"&amp;Flights!$H$8</f>
        <v>KUL-NRT</v>
      </c>
      <c r="F118" s="57" t="str">
        <f aca="false">Flights!$K$8</f>
        <v>BC</v>
      </c>
      <c r="G118" s="57" t="s">
        <v>398</v>
      </c>
      <c r="H118" s="57" t="s">
        <v>356</v>
      </c>
      <c r="I118" s="57" t="s">
        <v>425</v>
      </c>
      <c r="J118" s="57" t="s">
        <v>604</v>
      </c>
      <c r="K118" s="67" t="s">
        <v>427</v>
      </c>
      <c r="L118" s="67" t="s">
        <v>605</v>
      </c>
      <c r="M118" s="67" t="s">
        <v>429</v>
      </c>
      <c r="N118" s="67" t="s">
        <v>361</v>
      </c>
      <c r="O118" s="67" t="s">
        <v>481</v>
      </c>
      <c r="P118" s="57" t="s">
        <v>184</v>
      </c>
      <c r="Q118" s="59" t="n">
        <f aca="false">ROUND((Flights!$AE$8)*1440,0)/1440</f>
        <v>46305.1458333333</v>
      </c>
      <c r="R118" s="59" t="n">
        <f aca="false">Q118+(IF(AND(INDEX(TZ_DSTS,MATCH(P118,TZ_STN,0))&lt;&gt;"",Q118&gt;=INDEX(TZ_DSTS,MATCH(P118,TZ_STN,0)),Q118&lt;INDEX(TZ_DSTE,MATCH(P118,TZ_STN,0))),INDEX(TZ_DST,MATCH(P118,TZ_STN,0)),INDEX(TZ_STD,MATCH(P118,TZ_STN,0))))/24</f>
        <v>46305.4791666667</v>
      </c>
      <c r="S118" s="59" t="n">
        <f aca="false">Q118-T12EarlyH/24</f>
        <v>46304.6458333333</v>
      </c>
      <c r="T118" s="60"/>
      <c r="U118" s="60"/>
      <c r="V118" s="60"/>
      <c r="W118" s="61"/>
      <c r="X118" s="60"/>
      <c r="Y118" s="60"/>
      <c r="Z118" s="60"/>
      <c r="AA118" s="60"/>
      <c r="AB118" s="60"/>
      <c r="AC118" s="60"/>
      <c r="AD118" s="66"/>
      <c r="AE118" s="60"/>
      <c r="AF118" s="61" t="str">
        <f aca="false">IF(AND(ISNUMBER(X118),ISNUMBER(Y118)),Y118-X118,"")</f>
        <v/>
      </c>
      <c r="AG118" s="62" t="str">
        <f aca="false">IF(ISNUMBER(AD118),AD118-(IF(AND(INDEX(TZ_DSTS,MATCH(P118,TZ_STN,0))&lt;&gt;"",(AD118-INDEX(TZ_STD,MATCH(P118,TZ_STN,0))/24)&gt;=INDEX(TZ_DSTS,MATCH(P118,TZ_STN,0)),(AD118-INDEX(TZ_STD,MATCH(P118,TZ_STN,0))/24)&lt;INDEX(TZ_DSTE,MATCH(P118,TZ_STN,0))),INDEX(TZ_DST,MATCH(P118,TZ_STN,0)),INDEX(TZ_STD,MATCH(P118,TZ_STN,0))))/24,"")</f>
        <v/>
      </c>
      <c r="AH118" s="65" t="str">
        <f aca="false">IFERROR(IF(N118="N/A – rule","N/A – RULE",IF(TRIM(U118)="N/A",IF(AT118=0,"INVALID – N/A not permitted for this check",IF(AND(TRIM(AB118)&lt;&gt;"",TRIM(AB118)&lt;&gt;"Closed"),"INVALID – corrective action still open",IF(AND(NOT(OR(LEN(AZ118)&lt;15,ISNUMBER(MATCH(AZ118,L_Placeholder,0)))),NOT(OR(LEN(AU118)&lt;2,ISNUMBER(MATCH(AU118,L_Placeholder,0)))),NOT(OR(LEN(AX118)&lt;2,ISNUMBER(MATCH(AX118,L_Placeholder,0)))),TRIM(AE118)&lt;&gt;TRIM(T118)),"N/A – JUSTIFIED","INVALID – N/A needs a real justification (15+ chars), PIC and a different verifier"))),IF(OR(TRIM(U118)="Pass",TRIM(U118)="Pass after CA"),IF(NOT(ISNUMBER(AD118)),"INVALID – completion time missing",IF(OR(LEN(AU118)&lt;2,ISNUMBER(MATCH(AU118,L_Placeholder,0))),"INVALID – PIC missing",IF(OR(LEN(AV118)&lt;2,ISNUMBER(MATCH(AV118,L_Placeholder,0))),"INVALID – result / assessment missing",IF(OR(OR(LEN(AW118)&lt;3,ISNUMBER(MATCH(AW118,L_Placeholder,0))),SUMPRODUCT(--ISNUMBER(SEARCH(L_EvidencePhrase,AW118)))&gt;0),"INVALID – evidence missing, placeholder or not yet on file",IF(OR(LEN(AX118)&lt;2,ISNUMBER(MATCH(AX118,L_Placeholder,0))),"INVALID – verifier missing",IF(AX118=AU118,"INVALID – verifier must be someone other than the PIC",IF(AND(TRIM(U118)="Pass",SUMPRODUCT(--ISNUMBER(SEARCH(L_ResultBad,AV118)))&gt;0),"INVALID – result describes a problem: use Fail, then Pass after CA",IF(AND(AQ118=1,OR(LEN(AY118)&lt;3,ISNUMBER(MATCH(AY118,L_Placeholder,0)))),"INVALID – batch ID missing or placeholder",IF(AND(AR118=1,OR(NOT(ISNUMBER(X118)),NOT(ISNUMBER(Y118)))),"INVALID – expected/actual qty missing",IF(AND(AR118=1,OR(X118&lt;=0,Y118&lt;0)),"INVALID – expected qty must be above 0 and actual not negative",IF(BB118&lt;&gt;"",BB118,IF(AND(AS118=1,Documents!$J$8&lt;&gt;"ON FILE"),"INVALID – GLD not on file (Documents sheet)",IF(AND(AS118=2,Documents!$O$8&lt;&gt;"ON FILE"),"INVALID – menu checklist not on file (Documents sheet)",IF(AND(AS118=3,NOT(ISNUMBER(Flights!$AX$8))),"INVALID – enter carrying flight KUL departure (Flights AX)",IF(AND(AS118=3,OR(Flights!$AZ$8&gt;Flights!$AA$8,Flights!$AX$8&lt;Flights!$AA$8-3)),"INVALID – carrying flight (Flights AX) cannot arrive before this leg's STD, or is over 3 days early",IF(AG118&gt;AsOfUTC,"INVALID – completion time is in the future",IF(AND(ISNUMBER(S118),AG118&lt;S118),IF(H118="Physical uplift","INVALID – before uplift window (cannot confirm loading)","INVALID – before valid window"),IF(AG118&gt;Flights!$AA$8,"INVALID – completed after departure (cannot establish readiness)",IF(AND(H118="Preparation",AG118&gt;IF(ISNUMBER(Flights!$BA$8),MIN(Flights!$BA$8,Flights!$AA$8),Flights!$AA$8)),"INVALID – completed after loading / departure (cannot establish readiness)",IF(AND(H118="Physical uplift",AG118&gt;Q118),"INVALID – recorded after the loading flight departed",IF(AG118&gt;Q118,"COMPLETE – LATE","COMPLETE"))))))))))))))))))))),IF(TRIM(U118)="Fail","FAIL – DISCREPANCY",IF(AND(TRIM(U118)&lt;&gt;"",TRIM(U118)&lt;&gt;"Not started",TRIM(U118)&lt;&gt;"In progress"),"INVALID – unrecognised status (use the list)",IF(AsOfUTC&gt;Q118,"OVERDUE",IF(N118="Clarification required","OPEN – CLARIFICATION","OPEN"))))))),"INVALID – error value in an input cell")</f>
        <v>OPEN</v>
      </c>
      <c r="AI118" s="61" t="n">
        <f aca="false">IF(OR(AH118="N/A – RULE",AH118="N/A – JUSTIFIED"),0,1)</f>
        <v>1</v>
      </c>
      <c r="AJ118" s="61" t="n">
        <f aca="false">IF(LEFT(AH118,8)="COMPLETE",1,0)</f>
        <v>0</v>
      </c>
      <c r="AK118" s="61" t="n">
        <f aca="false">IF(AND(AI118=1,AJ118=0,AsOfUTC&gt;Q118),1,0)</f>
        <v>0</v>
      </c>
      <c r="AL118" s="61" t="n">
        <f aca="false">IFERROR(IF(AND(AI118=1,OR(TRIM(U118)="Fail",AND(TRIM(AB118)&lt;&gt;"",TRIM(AB118)&lt;&gt;"Closed"),AND(ISNUMBER(AF118),AF118&lt;&gt;0,TRIM(U118)&lt;&gt;"Pass after CA"))),1,0),1)</f>
        <v>0</v>
      </c>
      <c r="AM118" s="61" t="n">
        <f aca="false">IF(LEFT(AH118,7)="INVALID",1,0)</f>
        <v>0</v>
      </c>
      <c r="AN118" s="61" t="n">
        <f aca="false">IF(AND(N118="Clarification required",AI118=1,AJ118=0),1,0)</f>
        <v>0</v>
      </c>
      <c r="AO118" s="61" t="str">
        <f aca="false">IF(AK118=1,SUM(AK$5:AK118),"")</f>
        <v/>
      </c>
      <c r="AP118" s="61" t="str">
        <f aca="false">IF(AL118=1,SUM(AL$5:AL118),"")</f>
        <v/>
      </c>
      <c r="AQ118" s="61" t="n">
        <v>0</v>
      </c>
      <c r="AR118" s="61" t="n">
        <v>0</v>
      </c>
      <c r="AS118" s="61" t="n">
        <v>0</v>
      </c>
      <c r="AT118" s="61" t="n">
        <v>0</v>
      </c>
      <c r="AU118" s="61" t="str">
        <f aca="false">SUBSTITUTE(SUBSTITUTE(SUBSTITUTE(SUBSTITUTE(SUBSTITUTE(SUBSTITUTE(SUBSTITUTE(SUBSTITUTE(SUBSTITUTE(SUBSTITUTE(SUBSTITUTE(SUBSTITUTE(SUBSTITUTE(LOWER(T118&amp;""),CHAR(160),"")," ",""),".",""),"-",""),"/",""),"?",""),"_",""),",",""),"[",""),"]",""),"(",""),")",""),"*","")</f>
        <v/>
      </c>
      <c r="AV118" s="61" t="str">
        <f aca="false">SUBSTITUTE(SUBSTITUTE(SUBSTITUTE(SUBSTITUTE(SUBSTITUTE(SUBSTITUTE(SUBSTITUTE(SUBSTITUTE(SUBSTITUTE(SUBSTITUTE(SUBSTITUTE(SUBSTITUTE(SUBSTITUTE(LOWER(V118&amp;""),CHAR(160),"")," ",""),".",""),"-",""),"/",""),"?",""),"_",""),",",""),"[",""),"]",""),"(",""),")",""),"*","")</f>
        <v/>
      </c>
      <c r="AW118" s="61" t="str">
        <f aca="false">SUBSTITUTE(SUBSTITUTE(SUBSTITUTE(SUBSTITUTE(SUBSTITUTE(SUBSTITUTE(SUBSTITUTE(SUBSTITUTE(SUBSTITUTE(SUBSTITUTE(SUBSTITUTE(SUBSTITUTE(SUBSTITUTE(LOWER(Z118&amp;""),CHAR(160),"")," ",""),".",""),"-",""),"/",""),"?",""),"_",""),",",""),"[",""),"]",""),"(",""),")",""),"*","")</f>
        <v/>
      </c>
      <c r="AX118" s="61" t="str">
        <f aca="false">SUBSTITUTE(SUBSTITUTE(SUBSTITUTE(SUBSTITUTE(SUBSTITUTE(SUBSTITUTE(SUBSTITUTE(SUBSTITUTE(SUBSTITUTE(SUBSTITUTE(SUBSTITUTE(SUBSTITUTE(SUBSTITUTE(LOWER(AE118&amp;""),CHAR(160),"")," ",""),".",""),"-",""),"/",""),"?",""),"_",""),",",""),"[",""),"]",""),"(",""),")",""),"*","")</f>
        <v/>
      </c>
      <c r="AY118" s="61" t="str">
        <f aca="false">SUBSTITUTE(SUBSTITUTE(SUBSTITUTE(SUBSTITUTE(SUBSTITUTE(SUBSTITUTE(SUBSTITUTE(SUBSTITUTE(SUBSTITUTE(SUBSTITUTE(SUBSTITUTE(SUBSTITUTE(SUBSTITUTE(LOWER(W118&amp;""),CHAR(160),"")," ",""),".",""),"-",""),"/",""),"?",""),"_",""),",",""),"[",""),"]",""),"(",""),")",""),"*","")</f>
        <v/>
      </c>
      <c r="AZ118" s="61" t="str">
        <f aca="false">SUBSTITUTE(SUBSTITUTE(SUBSTITUTE(SUBSTITUTE(SUBSTITUTE(SUBSTITUTE(SUBSTITUTE(SUBSTITUTE(SUBSTITUTE(SUBSTITUTE(SUBSTITUTE(SUBSTITUTE(SUBSTITUTE(LOWER(AC118&amp;""),CHAR(160),"")," ",""),".",""),"-",""),"/",""),"?",""),"_",""),",",""),"[",""),"]",""),"(",""),")",""),"*","")</f>
        <v/>
      </c>
      <c r="BA118" s="61" t="str">
        <f aca="false">SUBSTITUTE(SUBSTITUTE(SUBSTITUTE(SUBSTITUTE(SUBSTITUTE(SUBSTITUTE(SUBSTITUTE(SUBSTITUTE(SUBSTITUTE(SUBSTITUTE(SUBSTITUTE(SUBSTITUTE(SUBSTITUTE(LOWER(AA118&amp;""),CHAR(160),"")," ",""),".",""),"-",""),"/",""),"?",""),"_",""),",",""),"[",""),"]",""),"(",""),")",""),"*","")</f>
        <v/>
      </c>
      <c r="BB118" s="61" t="str">
        <f aca="false">IF(AND(TRIM(U118)="Pass",ISNUMBER(AF118)),IF(AF118&lt;&gt;0,"INVALID – qty variance: use Fail or Pass after CA",""),"")&amp;IF(AND(TRIM(U118)="Pass after CA",ISNUMBER(AF118)),IF(AF118&lt;&gt;0,"INVALID – after the corrective action the actual qty must equal expected (update Actual)",""),"")&amp;IF(AND(TRIM(U118)="Pass",TRIM(AB118)&lt;&gt;"",TRIM(AB118)&lt;&gt;"Closed"),"INVALID – corrective action not closed: use Fail, then Pass after CA","")&amp;IF(AND(TRIM(AA118)&lt;&gt;"",TRIM(AB118)=""),"INVALID – CA status missing for the recorded corrective action","")&amp;IF(AND(TRIM(U118)="Pass after CA",OR(OR(LEN(BA118)&lt;5,ISNUMBER(MATCH(BA118,L_Placeholder,0))),TRIM(AB118)&lt;&gt;"Closed")),"INVALID – corrective action not recorded/closed","")</f>
        <v/>
      </c>
    </row>
    <row r="119" customFormat="false" ht="39.75" hidden="false" customHeight="true" outlineLevel="0" collapsed="false">
      <c r="A119" s="57" t="s">
        <v>606</v>
      </c>
      <c r="B119" s="57" t="s">
        <v>215</v>
      </c>
      <c r="C119" s="57" t="str">
        <f aca="false">Flights!$F$8</f>
        <v>MH0088</v>
      </c>
      <c r="D119" s="58" t="n">
        <f aca="false">Flights!$D$8</f>
        <v>46305</v>
      </c>
      <c r="E119" s="57" t="str">
        <f aca="false">Flights!$G$8&amp;"-"&amp;Flights!$H$8</f>
        <v>KUL-NRT</v>
      </c>
      <c r="F119" s="57" t="str">
        <f aca="false">Flights!$K$8</f>
        <v>BC</v>
      </c>
      <c r="G119" s="57" t="s">
        <v>398</v>
      </c>
      <c r="H119" s="57" t="s">
        <v>356</v>
      </c>
      <c r="I119" s="57" t="s">
        <v>607</v>
      </c>
      <c r="J119" s="57" t="s">
        <v>608</v>
      </c>
      <c r="K119" s="67" t="s">
        <v>479</v>
      </c>
      <c r="L119" s="67" t="s">
        <v>609</v>
      </c>
      <c r="M119" s="67" t="s">
        <v>184</v>
      </c>
      <c r="N119" s="67" t="s">
        <v>361</v>
      </c>
      <c r="O119" s="67" t="s">
        <v>610</v>
      </c>
      <c r="P119" s="57" t="s">
        <v>184</v>
      </c>
      <c r="Q119" s="59" t="n">
        <f aca="false">ROUND((Flights!$AE$8)*1440,0)/1440</f>
        <v>46305.1458333333</v>
      </c>
      <c r="R119" s="59" t="n">
        <f aca="false">Q119+(IF(AND(INDEX(TZ_DSTS,MATCH(P119,TZ_STN,0))&lt;&gt;"",Q119&gt;=INDEX(TZ_DSTS,MATCH(P119,TZ_STN,0)),Q119&lt;INDEX(TZ_DSTE,MATCH(P119,TZ_STN,0))),INDEX(TZ_DST,MATCH(P119,TZ_STN,0)),INDEX(TZ_STD,MATCH(P119,TZ_STN,0))))/24</f>
        <v>46305.4791666667</v>
      </c>
      <c r="S119" s="59" t="n">
        <f aca="false">Q119-T12EarlyH/24</f>
        <v>46304.6458333333</v>
      </c>
      <c r="T119" s="60"/>
      <c r="U119" s="60"/>
      <c r="V119" s="60"/>
      <c r="W119" s="61"/>
      <c r="X119" s="60"/>
      <c r="Y119" s="60"/>
      <c r="Z119" s="60"/>
      <c r="AA119" s="60"/>
      <c r="AB119" s="60"/>
      <c r="AC119" s="60"/>
      <c r="AD119" s="66"/>
      <c r="AE119" s="60"/>
      <c r="AF119" s="61" t="str">
        <f aca="false">IF(AND(ISNUMBER(X119),ISNUMBER(Y119)),Y119-X119,"")</f>
        <v/>
      </c>
      <c r="AG119" s="62" t="str">
        <f aca="false">IF(ISNUMBER(AD119),AD119-(IF(AND(INDEX(TZ_DSTS,MATCH(P119,TZ_STN,0))&lt;&gt;"",(AD119-INDEX(TZ_STD,MATCH(P119,TZ_STN,0))/24)&gt;=INDEX(TZ_DSTS,MATCH(P119,TZ_STN,0)),(AD119-INDEX(TZ_STD,MATCH(P119,TZ_STN,0))/24)&lt;INDEX(TZ_DSTE,MATCH(P119,TZ_STN,0))),INDEX(TZ_DST,MATCH(P119,TZ_STN,0)),INDEX(TZ_STD,MATCH(P119,TZ_STN,0))))/24,"")</f>
        <v/>
      </c>
      <c r="AH119" s="65" t="str">
        <f aca="false">IFERROR(IF(N119="N/A – rule","N/A – RULE",IF(TRIM(U119)="N/A",IF(AT119=0,"INVALID – N/A not permitted for this check",IF(AND(TRIM(AB119)&lt;&gt;"",TRIM(AB119)&lt;&gt;"Closed"),"INVALID – corrective action still open",IF(AND(NOT(OR(LEN(AZ119)&lt;15,ISNUMBER(MATCH(AZ119,L_Placeholder,0)))),NOT(OR(LEN(AU119)&lt;2,ISNUMBER(MATCH(AU119,L_Placeholder,0)))),NOT(OR(LEN(AX119)&lt;2,ISNUMBER(MATCH(AX119,L_Placeholder,0)))),TRIM(AE119)&lt;&gt;TRIM(T119)),"N/A – JUSTIFIED","INVALID – N/A needs a real justification (15+ chars), PIC and a different verifier"))),IF(OR(TRIM(U119)="Pass",TRIM(U119)="Pass after CA"),IF(NOT(ISNUMBER(AD119)),"INVALID – completion time missing",IF(OR(LEN(AU119)&lt;2,ISNUMBER(MATCH(AU119,L_Placeholder,0))),"INVALID – PIC missing",IF(OR(LEN(AV119)&lt;2,ISNUMBER(MATCH(AV119,L_Placeholder,0))),"INVALID – result / assessment missing",IF(OR(OR(LEN(AW119)&lt;3,ISNUMBER(MATCH(AW119,L_Placeholder,0))),SUMPRODUCT(--ISNUMBER(SEARCH(L_EvidencePhrase,AW119)))&gt;0),"INVALID – evidence missing, placeholder or not yet on file",IF(OR(LEN(AX119)&lt;2,ISNUMBER(MATCH(AX119,L_Placeholder,0))),"INVALID – verifier missing",IF(AX119=AU119,"INVALID – verifier must be someone other than the PIC",IF(AND(TRIM(U119)="Pass",SUMPRODUCT(--ISNUMBER(SEARCH(L_ResultBad,AV119)))&gt;0),"INVALID – result describes a problem: use Fail, then Pass after CA",IF(AND(AQ119=1,OR(LEN(AY119)&lt;3,ISNUMBER(MATCH(AY119,L_Placeholder,0)))),"INVALID – batch ID missing or placeholder",IF(AND(AR119=1,OR(NOT(ISNUMBER(X119)),NOT(ISNUMBER(Y119)))),"INVALID – expected/actual qty missing",IF(AND(AR119=1,OR(X119&lt;=0,Y119&lt;0)),"INVALID – expected qty must be above 0 and actual not negative",IF(BB119&lt;&gt;"",BB119,IF(AND(AS119=1,Documents!$J$8&lt;&gt;"ON FILE"),"INVALID – GLD not on file (Documents sheet)",IF(AND(AS119=2,Documents!$O$8&lt;&gt;"ON FILE"),"INVALID – menu checklist not on file (Documents sheet)",IF(AND(AS119=3,NOT(ISNUMBER(Flights!$AX$8))),"INVALID – enter carrying flight KUL departure (Flights AX)",IF(AND(AS119=3,OR(Flights!$AZ$8&gt;Flights!$AA$8,Flights!$AX$8&lt;Flights!$AA$8-3)),"INVALID – carrying flight (Flights AX) cannot arrive before this leg's STD, or is over 3 days early",IF(AG119&gt;AsOfUTC,"INVALID – completion time is in the future",IF(AND(ISNUMBER(S119),AG119&lt;S119),IF(H119="Physical uplift","INVALID – before uplift window (cannot confirm loading)","INVALID – before valid window"),IF(AG119&gt;Flights!$AA$8,"INVALID – completed after departure (cannot establish readiness)",IF(AND(H119="Preparation",AG119&gt;IF(ISNUMBER(Flights!$BA$8),MIN(Flights!$BA$8,Flights!$AA$8),Flights!$AA$8)),"INVALID – completed after loading / departure (cannot establish readiness)",IF(AND(H119="Physical uplift",AG119&gt;Q119),"INVALID – recorded after the loading flight departed",IF(AG119&gt;Q119,"COMPLETE – LATE","COMPLETE"))))))))))))))))))))),IF(TRIM(U119)="Fail","FAIL – DISCREPANCY",IF(AND(TRIM(U119)&lt;&gt;"",TRIM(U119)&lt;&gt;"Not started",TRIM(U119)&lt;&gt;"In progress"),"INVALID – unrecognised status (use the list)",IF(AsOfUTC&gt;Q119,"OVERDUE",IF(N119="Clarification required","OPEN – CLARIFICATION","OPEN"))))))),"INVALID – error value in an input cell")</f>
        <v>OPEN</v>
      </c>
      <c r="AI119" s="61" t="n">
        <f aca="false">IF(OR(AH119="N/A – RULE",AH119="N/A – JUSTIFIED"),0,1)</f>
        <v>1</v>
      </c>
      <c r="AJ119" s="61" t="n">
        <f aca="false">IF(LEFT(AH119,8)="COMPLETE",1,0)</f>
        <v>0</v>
      </c>
      <c r="AK119" s="61" t="n">
        <f aca="false">IF(AND(AI119=1,AJ119=0,AsOfUTC&gt;Q119),1,0)</f>
        <v>0</v>
      </c>
      <c r="AL119" s="61" t="n">
        <f aca="false">IFERROR(IF(AND(AI119=1,OR(TRIM(U119)="Fail",AND(TRIM(AB119)&lt;&gt;"",TRIM(AB119)&lt;&gt;"Closed"),AND(ISNUMBER(AF119),AF119&lt;&gt;0,TRIM(U119)&lt;&gt;"Pass after CA"))),1,0),1)</f>
        <v>0</v>
      </c>
      <c r="AM119" s="61" t="n">
        <f aca="false">IF(LEFT(AH119,7)="INVALID",1,0)</f>
        <v>0</v>
      </c>
      <c r="AN119" s="61" t="n">
        <f aca="false">IF(AND(N119="Clarification required",AI119=1,AJ119=0),1,0)</f>
        <v>0</v>
      </c>
      <c r="AO119" s="61" t="str">
        <f aca="false">IF(AK119=1,SUM(AK$5:AK119),"")</f>
        <v/>
      </c>
      <c r="AP119" s="61" t="str">
        <f aca="false">IF(AL119=1,SUM(AL$5:AL119),"")</f>
        <v/>
      </c>
      <c r="AQ119" s="61" t="n">
        <v>0</v>
      </c>
      <c r="AR119" s="61" t="n">
        <v>0</v>
      </c>
      <c r="AS119" s="61" t="n">
        <v>0</v>
      </c>
      <c r="AT119" s="61" t="n">
        <v>0</v>
      </c>
      <c r="AU119" s="61" t="str">
        <f aca="false">SUBSTITUTE(SUBSTITUTE(SUBSTITUTE(SUBSTITUTE(SUBSTITUTE(SUBSTITUTE(SUBSTITUTE(SUBSTITUTE(SUBSTITUTE(SUBSTITUTE(SUBSTITUTE(SUBSTITUTE(SUBSTITUTE(LOWER(T119&amp;""),CHAR(160),"")," ",""),".",""),"-",""),"/",""),"?",""),"_",""),",",""),"[",""),"]",""),"(",""),")",""),"*","")</f>
        <v/>
      </c>
      <c r="AV119" s="61" t="str">
        <f aca="false">SUBSTITUTE(SUBSTITUTE(SUBSTITUTE(SUBSTITUTE(SUBSTITUTE(SUBSTITUTE(SUBSTITUTE(SUBSTITUTE(SUBSTITUTE(SUBSTITUTE(SUBSTITUTE(SUBSTITUTE(SUBSTITUTE(LOWER(V119&amp;""),CHAR(160),"")," ",""),".",""),"-",""),"/",""),"?",""),"_",""),",",""),"[",""),"]",""),"(",""),")",""),"*","")</f>
        <v/>
      </c>
      <c r="AW119" s="61" t="str">
        <f aca="false">SUBSTITUTE(SUBSTITUTE(SUBSTITUTE(SUBSTITUTE(SUBSTITUTE(SUBSTITUTE(SUBSTITUTE(SUBSTITUTE(SUBSTITUTE(SUBSTITUTE(SUBSTITUTE(SUBSTITUTE(SUBSTITUTE(LOWER(Z119&amp;""),CHAR(160),"")," ",""),".",""),"-",""),"/",""),"?",""),"_",""),",",""),"[",""),"]",""),"(",""),")",""),"*","")</f>
        <v/>
      </c>
      <c r="AX119" s="61" t="str">
        <f aca="false">SUBSTITUTE(SUBSTITUTE(SUBSTITUTE(SUBSTITUTE(SUBSTITUTE(SUBSTITUTE(SUBSTITUTE(SUBSTITUTE(SUBSTITUTE(SUBSTITUTE(SUBSTITUTE(SUBSTITUTE(SUBSTITUTE(LOWER(AE119&amp;""),CHAR(160),"")," ",""),".",""),"-",""),"/",""),"?",""),"_",""),",",""),"[",""),"]",""),"(",""),")",""),"*","")</f>
        <v/>
      </c>
      <c r="AY119" s="61" t="str">
        <f aca="false">SUBSTITUTE(SUBSTITUTE(SUBSTITUTE(SUBSTITUTE(SUBSTITUTE(SUBSTITUTE(SUBSTITUTE(SUBSTITUTE(SUBSTITUTE(SUBSTITUTE(SUBSTITUTE(SUBSTITUTE(SUBSTITUTE(LOWER(W119&amp;""),CHAR(160),"")," ",""),".",""),"-",""),"/",""),"?",""),"_",""),",",""),"[",""),"]",""),"(",""),")",""),"*","")</f>
        <v/>
      </c>
      <c r="AZ119" s="61" t="str">
        <f aca="false">SUBSTITUTE(SUBSTITUTE(SUBSTITUTE(SUBSTITUTE(SUBSTITUTE(SUBSTITUTE(SUBSTITUTE(SUBSTITUTE(SUBSTITUTE(SUBSTITUTE(SUBSTITUTE(SUBSTITUTE(SUBSTITUTE(LOWER(AC119&amp;""),CHAR(160),"")," ",""),".",""),"-",""),"/",""),"?",""),"_",""),",",""),"[",""),"]",""),"(",""),")",""),"*","")</f>
        <v/>
      </c>
      <c r="BA119" s="61" t="str">
        <f aca="false">SUBSTITUTE(SUBSTITUTE(SUBSTITUTE(SUBSTITUTE(SUBSTITUTE(SUBSTITUTE(SUBSTITUTE(SUBSTITUTE(SUBSTITUTE(SUBSTITUTE(SUBSTITUTE(SUBSTITUTE(SUBSTITUTE(LOWER(AA119&amp;""),CHAR(160),"")," ",""),".",""),"-",""),"/",""),"?",""),"_",""),",",""),"[",""),"]",""),"(",""),")",""),"*","")</f>
        <v/>
      </c>
      <c r="BB119" s="61" t="str">
        <f aca="false">IF(AND(TRIM(U119)="Pass",ISNUMBER(AF119)),IF(AF119&lt;&gt;0,"INVALID – qty variance: use Fail or Pass after CA",""),"")&amp;IF(AND(TRIM(U119)="Pass after CA",ISNUMBER(AF119)),IF(AF119&lt;&gt;0,"INVALID – after the corrective action the actual qty must equal expected (update Actual)",""),"")&amp;IF(AND(TRIM(U119)="Pass",TRIM(AB119)&lt;&gt;"",TRIM(AB119)&lt;&gt;"Closed"),"INVALID – corrective action not closed: use Fail, then Pass after CA","")&amp;IF(AND(TRIM(AA119)&lt;&gt;"",TRIM(AB119)=""),"INVALID – CA status missing for the recorded corrective action","")&amp;IF(AND(TRIM(U119)="Pass after CA",OR(OR(LEN(BA119)&lt;5,ISNUMBER(MATCH(BA119,L_Placeholder,0))),TRIM(AB119)&lt;&gt;"Closed")),"INVALID – corrective action not recorded/closed","")</f>
        <v/>
      </c>
    </row>
    <row r="120" customFormat="false" ht="54" hidden="false" customHeight="true" outlineLevel="0" collapsed="false">
      <c r="A120" s="57" t="s">
        <v>611</v>
      </c>
      <c r="B120" s="57" t="s">
        <v>215</v>
      </c>
      <c r="C120" s="57" t="str">
        <f aca="false">Flights!$F$8</f>
        <v>MH0088</v>
      </c>
      <c r="D120" s="58" t="n">
        <f aca="false">Flights!$D$8</f>
        <v>46305</v>
      </c>
      <c r="E120" s="57" t="str">
        <f aca="false">Flights!$G$8&amp;"-"&amp;Flights!$H$8</f>
        <v>KUL-NRT</v>
      </c>
      <c r="F120" s="57" t="str">
        <f aca="false">Flights!$K$8</f>
        <v>BC</v>
      </c>
      <c r="G120" s="57" t="s">
        <v>398</v>
      </c>
      <c r="H120" s="57" t="s">
        <v>356</v>
      </c>
      <c r="I120" s="57" t="s">
        <v>612</v>
      </c>
      <c r="J120" s="57" t="s">
        <v>613</v>
      </c>
      <c r="K120" s="67" t="s">
        <v>614</v>
      </c>
      <c r="L120" s="67" t="s">
        <v>615</v>
      </c>
      <c r="M120" s="67" t="s">
        <v>429</v>
      </c>
      <c r="N120" s="67" t="s">
        <v>361</v>
      </c>
      <c r="O120" s="67" t="s">
        <v>616</v>
      </c>
      <c r="P120" s="57" t="s">
        <v>184</v>
      </c>
      <c r="Q120" s="59" t="n">
        <f aca="false">ROUND((Flights!$AE$8)*1440,0)/1440</f>
        <v>46305.1458333333</v>
      </c>
      <c r="R120" s="59" t="n">
        <f aca="false">Q120+(IF(AND(INDEX(TZ_DSTS,MATCH(P120,TZ_STN,0))&lt;&gt;"",Q120&gt;=INDEX(TZ_DSTS,MATCH(P120,TZ_STN,0)),Q120&lt;INDEX(TZ_DSTE,MATCH(P120,TZ_STN,0))),INDEX(TZ_DST,MATCH(P120,TZ_STN,0)),INDEX(TZ_STD,MATCH(P120,TZ_STN,0))))/24</f>
        <v>46305.4791666667</v>
      </c>
      <c r="S120" s="59" t="n">
        <f aca="false">Q120-T12EarlyH/24</f>
        <v>46304.6458333333</v>
      </c>
      <c r="T120" s="60"/>
      <c r="U120" s="60"/>
      <c r="V120" s="60"/>
      <c r="W120" s="61"/>
      <c r="X120" s="60"/>
      <c r="Y120" s="60"/>
      <c r="Z120" s="60"/>
      <c r="AA120" s="60"/>
      <c r="AB120" s="60"/>
      <c r="AC120" s="60"/>
      <c r="AD120" s="66"/>
      <c r="AE120" s="60"/>
      <c r="AF120" s="61" t="str">
        <f aca="false">IF(AND(ISNUMBER(X120),ISNUMBER(Y120)),Y120-X120,"")</f>
        <v/>
      </c>
      <c r="AG120" s="62" t="str">
        <f aca="false">IF(ISNUMBER(AD120),AD120-(IF(AND(INDEX(TZ_DSTS,MATCH(P120,TZ_STN,0))&lt;&gt;"",(AD120-INDEX(TZ_STD,MATCH(P120,TZ_STN,0))/24)&gt;=INDEX(TZ_DSTS,MATCH(P120,TZ_STN,0)),(AD120-INDEX(TZ_STD,MATCH(P120,TZ_STN,0))/24)&lt;INDEX(TZ_DSTE,MATCH(P120,TZ_STN,0))),INDEX(TZ_DST,MATCH(P120,TZ_STN,0)),INDEX(TZ_STD,MATCH(P120,TZ_STN,0))))/24,"")</f>
        <v/>
      </c>
      <c r="AH120" s="65" t="str">
        <f aca="false">IFERROR(IF(N120="N/A – rule","N/A – RULE",IF(TRIM(U120)="N/A",IF(AT120=0,"INVALID – N/A not permitted for this check",IF(AND(TRIM(AB120)&lt;&gt;"",TRIM(AB120)&lt;&gt;"Closed"),"INVALID – corrective action still open",IF(AND(NOT(OR(LEN(AZ120)&lt;15,ISNUMBER(MATCH(AZ120,L_Placeholder,0)))),NOT(OR(LEN(AU120)&lt;2,ISNUMBER(MATCH(AU120,L_Placeholder,0)))),NOT(OR(LEN(AX120)&lt;2,ISNUMBER(MATCH(AX120,L_Placeholder,0)))),TRIM(AE120)&lt;&gt;TRIM(T120)),"N/A – JUSTIFIED","INVALID – N/A needs a real justification (15+ chars), PIC and a different verifier"))),IF(OR(TRIM(U120)="Pass",TRIM(U120)="Pass after CA"),IF(NOT(ISNUMBER(AD120)),"INVALID – completion time missing",IF(OR(LEN(AU120)&lt;2,ISNUMBER(MATCH(AU120,L_Placeholder,0))),"INVALID – PIC missing",IF(OR(LEN(AV120)&lt;2,ISNUMBER(MATCH(AV120,L_Placeholder,0))),"INVALID – result / assessment missing",IF(OR(OR(LEN(AW120)&lt;3,ISNUMBER(MATCH(AW120,L_Placeholder,0))),SUMPRODUCT(--ISNUMBER(SEARCH(L_EvidencePhrase,AW120)))&gt;0),"INVALID – evidence missing, placeholder or not yet on file",IF(OR(LEN(AX120)&lt;2,ISNUMBER(MATCH(AX120,L_Placeholder,0))),"INVALID – verifier missing",IF(AX120=AU120,"INVALID – verifier must be someone other than the PIC",IF(AND(TRIM(U120)="Pass",SUMPRODUCT(--ISNUMBER(SEARCH(L_ResultBad,AV120)))&gt;0),"INVALID – result describes a problem: use Fail, then Pass after CA",IF(AND(AQ120=1,OR(LEN(AY120)&lt;3,ISNUMBER(MATCH(AY120,L_Placeholder,0)))),"INVALID – batch ID missing or placeholder",IF(AND(AR120=1,OR(NOT(ISNUMBER(X120)),NOT(ISNUMBER(Y120)))),"INVALID – expected/actual qty missing",IF(AND(AR120=1,OR(X120&lt;=0,Y120&lt;0)),"INVALID – expected qty must be above 0 and actual not negative",IF(BB120&lt;&gt;"",BB120,IF(AND(AS120=1,Documents!$J$8&lt;&gt;"ON FILE"),"INVALID – GLD not on file (Documents sheet)",IF(AND(AS120=2,Documents!$O$8&lt;&gt;"ON FILE"),"INVALID – menu checklist not on file (Documents sheet)",IF(AND(AS120=3,NOT(ISNUMBER(Flights!$AX$8))),"INVALID – enter carrying flight KUL departure (Flights AX)",IF(AND(AS120=3,OR(Flights!$AZ$8&gt;Flights!$AA$8,Flights!$AX$8&lt;Flights!$AA$8-3)),"INVALID – carrying flight (Flights AX) cannot arrive before this leg's STD, or is over 3 days early",IF(AG120&gt;AsOfUTC,"INVALID – completion time is in the future",IF(AND(ISNUMBER(S120),AG120&lt;S120),IF(H120="Physical uplift","INVALID – before uplift window (cannot confirm loading)","INVALID – before valid window"),IF(AG120&gt;Flights!$AA$8,"INVALID – completed after departure (cannot establish readiness)",IF(AND(H120="Preparation",AG120&gt;IF(ISNUMBER(Flights!$BA$8),MIN(Flights!$BA$8,Flights!$AA$8),Flights!$AA$8)),"INVALID – completed after loading / departure (cannot establish readiness)",IF(AND(H120="Physical uplift",AG120&gt;Q120),"INVALID – recorded after the loading flight departed",IF(AG120&gt;Q120,"COMPLETE – LATE","COMPLETE"))))))))))))))))))))),IF(TRIM(U120)="Fail","FAIL – DISCREPANCY",IF(AND(TRIM(U120)&lt;&gt;"",TRIM(U120)&lt;&gt;"Not started",TRIM(U120)&lt;&gt;"In progress"),"INVALID – unrecognised status (use the list)",IF(AsOfUTC&gt;Q120,"OVERDUE",IF(N120="Clarification required","OPEN – CLARIFICATION","OPEN"))))))),"INVALID – error value in an input cell")</f>
        <v>OPEN</v>
      </c>
      <c r="AI120" s="61" t="n">
        <f aca="false">IF(OR(AH120="N/A – RULE",AH120="N/A – JUSTIFIED"),0,1)</f>
        <v>1</v>
      </c>
      <c r="AJ120" s="61" t="n">
        <f aca="false">IF(LEFT(AH120,8)="COMPLETE",1,0)</f>
        <v>0</v>
      </c>
      <c r="AK120" s="61" t="n">
        <f aca="false">IF(AND(AI120=1,AJ120=0,AsOfUTC&gt;Q120),1,0)</f>
        <v>0</v>
      </c>
      <c r="AL120" s="61" t="n">
        <f aca="false">IFERROR(IF(AND(AI120=1,OR(TRIM(U120)="Fail",AND(TRIM(AB120)&lt;&gt;"",TRIM(AB120)&lt;&gt;"Closed"),AND(ISNUMBER(AF120),AF120&lt;&gt;0,TRIM(U120)&lt;&gt;"Pass after CA"))),1,0),1)</f>
        <v>0</v>
      </c>
      <c r="AM120" s="61" t="n">
        <f aca="false">IF(LEFT(AH120,7)="INVALID",1,0)</f>
        <v>0</v>
      </c>
      <c r="AN120" s="61" t="n">
        <f aca="false">IF(AND(N120="Clarification required",AI120=1,AJ120=0),1,0)</f>
        <v>0</v>
      </c>
      <c r="AO120" s="61" t="str">
        <f aca="false">IF(AK120=1,SUM(AK$5:AK120),"")</f>
        <v/>
      </c>
      <c r="AP120" s="61" t="str">
        <f aca="false">IF(AL120=1,SUM(AL$5:AL120),"")</f>
        <v/>
      </c>
      <c r="AQ120" s="61" t="n">
        <v>0</v>
      </c>
      <c r="AR120" s="61" t="n">
        <v>0</v>
      </c>
      <c r="AS120" s="61" t="n">
        <v>0</v>
      </c>
      <c r="AT120" s="61" t="n">
        <v>0</v>
      </c>
      <c r="AU120" s="61" t="str">
        <f aca="false">SUBSTITUTE(SUBSTITUTE(SUBSTITUTE(SUBSTITUTE(SUBSTITUTE(SUBSTITUTE(SUBSTITUTE(SUBSTITUTE(SUBSTITUTE(SUBSTITUTE(SUBSTITUTE(SUBSTITUTE(SUBSTITUTE(LOWER(T120&amp;""),CHAR(160),"")," ",""),".",""),"-",""),"/",""),"?",""),"_",""),",",""),"[",""),"]",""),"(",""),")",""),"*","")</f>
        <v/>
      </c>
      <c r="AV120" s="61" t="str">
        <f aca="false">SUBSTITUTE(SUBSTITUTE(SUBSTITUTE(SUBSTITUTE(SUBSTITUTE(SUBSTITUTE(SUBSTITUTE(SUBSTITUTE(SUBSTITUTE(SUBSTITUTE(SUBSTITUTE(SUBSTITUTE(SUBSTITUTE(LOWER(V120&amp;""),CHAR(160),"")," ",""),".",""),"-",""),"/",""),"?",""),"_",""),",",""),"[",""),"]",""),"(",""),")",""),"*","")</f>
        <v/>
      </c>
      <c r="AW120" s="61" t="str">
        <f aca="false">SUBSTITUTE(SUBSTITUTE(SUBSTITUTE(SUBSTITUTE(SUBSTITUTE(SUBSTITUTE(SUBSTITUTE(SUBSTITUTE(SUBSTITUTE(SUBSTITUTE(SUBSTITUTE(SUBSTITUTE(SUBSTITUTE(LOWER(Z120&amp;""),CHAR(160),"")," ",""),".",""),"-",""),"/",""),"?",""),"_",""),",",""),"[",""),"]",""),"(",""),")",""),"*","")</f>
        <v/>
      </c>
      <c r="AX120" s="61" t="str">
        <f aca="false">SUBSTITUTE(SUBSTITUTE(SUBSTITUTE(SUBSTITUTE(SUBSTITUTE(SUBSTITUTE(SUBSTITUTE(SUBSTITUTE(SUBSTITUTE(SUBSTITUTE(SUBSTITUTE(SUBSTITUTE(SUBSTITUTE(LOWER(AE120&amp;""),CHAR(160),"")," ",""),".",""),"-",""),"/",""),"?",""),"_",""),",",""),"[",""),"]",""),"(",""),")",""),"*","")</f>
        <v/>
      </c>
      <c r="AY120" s="61" t="str">
        <f aca="false">SUBSTITUTE(SUBSTITUTE(SUBSTITUTE(SUBSTITUTE(SUBSTITUTE(SUBSTITUTE(SUBSTITUTE(SUBSTITUTE(SUBSTITUTE(SUBSTITUTE(SUBSTITUTE(SUBSTITUTE(SUBSTITUTE(LOWER(W120&amp;""),CHAR(160),"")," ",""),".",""),"-",""),"/",""),"?",""),"_",""),",",""),"[",""),"]",""),"(",""),")",""),"*","")</f>
        <v/>
      </c>
      <c r="AZ120" s="61" t="str">
        <f aca="false">SUBSTITUTE(SUBSTITUTE(SUBSTITUTE(SUBSTITUTE(SUBSTITUTE(SUBSTITUTE(SUBSTITUTE(SUBSTITUTE(SUBSTITUTE(SUBSTITUTE(SUBSTITUTE(SUBSTITUTE(SUBSTITUTE(LOWER(AC120&amp;""),CHAR(160),"")," ",""),".",""),"-",""),"/",""),"?",""),"_",""),",",""),"[",""),"]",""),"(",""),")",""),"*","")</f>
        <v/>
      </c>
      <c r="BA120" s="61" t="str">
        <f aca="false">SUBSTITUTE(SUBSTITUTE(SUBSTITUTE(SUBSTITUTE(SUBSTITUTE(SUBSTITUTE(SUBSTITUTE(SUBSTITUTE(SUBSTITUTE(SUBSTITUTE(SUBSTITUTE(SUBSTITUTE(SUBSTITUTE(LOWER(AA120&amp;""),CHAR(160),"")," ",""),".",""),"-",""),"/",""),"?",""),"_",""),",",""),"[",""),"]",""),"(",""),")",""),"*","")</f>
        <v/>
      </c>
      <c r="BB120" s="61" t="str">
        <f aca="false">IF(AND(TRIM(U120)="Pass",ISNUMBER(AF120)),IF(AF120&lt;&gt;0,"INVALID – qty variance: use Fail or Pass after CA",""),"")&amp;IF(AND(TRIM(U120)="Pass after CA",ISNUMBER(AF120)),IF(AF120&lt;&gt;0,"INVALID – after the corrective action the actual qty must equal expected (update Actual)",""),"")&amp;IF(AND(TRIM(U120)="Pass",TRIM(AB120)&lt;&gt;"",TRIM(AB120)&lt;&gt;"Closed"),"INVALID – corrective action not closed: use Fail, then Pass after CA","")&amp;IF(AND(TRIM(AA120)&lt;&gt;"",TRIM(AB120)=""),"INVALID – CA status missing for the recorded corrective action","")&amp;IF(AND(TRIM(U120)="Pass after CA",OR(OR(LEN(BA120)&lt;5,ISNUMBER(MATCH(BA120,L_Placeholder,0))),TRIM(AB120)&lt;&gt;"Closed")),"INVALID – corrective action not recorded/closed","")</f>
        <v/>
      </c>
    </row>
    <row r="121" customFormat="false" ht="39.75" hidden="false" customHeight="true" outlineLevel="0" collapsed="false">
      <c r="A121" s="57" t="s">
        <v>617</v>
      </c>
      <c r="B121" s="57" t="s">
        <v>215</v>
      </c>
      <c r="C121" s="57" t="str">
        <f aca="false">Flights!$F$8</f>
        <v>MH0088</v>
      </c>
      <c r="D121" s="58" t="n">
        <f aca="false">Flights!$D$8</f>
        <v>46305</v>
      </c>
      <c r="E121" s="57" t="str">
        <f aca="false">Flights!$G$8&amp;"-"&amp;Flights!$H$8</f>
        <v>KUL-NRT</v>
      </c>
      <c r="F121" s="57" t="str">
        <f aca="false">Flights!$K$8</f>
        <v>BC</v>
      </c>
      <c r="G121" s="57" t="s">
        <v>437</v>
      </c>
      <c r="H121" s="57" t="s">
        <v>438</v>
      </c>
      <c r="I121" s="57" t="s">
        <v>357</v>
      </c>
      <c r="J121" s="57" t="s">
        <v>439</v>
      </c>
      <c r="K121" s="67" t="s">
        <v>404</v>
      </c>
      <c r="L121" s="67" t="s">
        <v>440</v>
      </c>
      <c r="M121" s="67"/>
      <c r="N121" s="67" t="s">
        <v>361</v>
      </c>
      <c r="O121" s="67" t="s">
        <v>441</v>
      </c>
      <c r="P121" s="57" t="s">
        <v>184</v>
      </c>
      <c r="Q121" s="59" t="n">
        <f aca="false">ROUND((Flights!$AF$8)*1440,0)/1440</f>
        <v>46305.6458333333</v>
      </c>
      <c r="R121" s="59" t="n">
        <f aca="false">Q121+(IF(AND(INDEX(TZ_DSTS,MATCH(P121,TZ_STN,0))&lt;&gt;"",Q121&gt;=INDEX(TZ_DSTS,MATCH(P121,TZ_STN,0)),Q121&lt;INDEX(TZ_DSTE,MATCH(P121,TZ_STN,0))),INDEX(TZ_DST,MATCH(P121,TZ_STN,0)),INDEX(TZ_STD,MATCH(P121,TZ_STN,0))))/24</f>
        <v>46305.9791666667</v>
      </c>
      <c r="S121" s="59" t="n">
        <f aca="false">IF(ISNUMBER(Flights!$AZ$8),MAX(Q121-UpliftWindowH/24,Flights!$AZ$8),Q121-UpliftWindowH/24)</f>
        <v>46305.3958333333</v>
      </c>
      <c r="T121" s="60"/>
      <c r="U121" s="60"/>
      <c r="V121" s="60"/>
      <c r="W121" s="61"/>
      <c r="X121" s="60"/>
      <c r="Y121" s="60"/>
      <c r="Z121" s="60"/>
      <c r="AA121" s="60"/>
      <c r="AB121" s="60"/>
      <c r="AC121" s="60"/>
      <c r="AD121" s="66"/>
      <c r="AE121" s="60"/>
      <c r="AF121" s="61" t="str">
        <f aca="false">IF(AND(ISNUMBER(X121),ISNUMBER(Y121)),Y121-X121,"")</f>
        <v/>
      </c>
      <c r="AG121" s="62" t="str">
        <f aca="false">IF(ISNUMBER(AD121),AD121-(IF(AND(INDEX(TZ_DSTS,MATCH(P121,TZ_STN,0))&lt;&gt;"",(AD121-INDEX(TZ_STD,MATCH(P121,TZ_STN,0))/24)&gt;=INDEX(TZ_DSTS,MATCH(P121,TZ_STN,0)),(AD121-INDEX(TZ_STD,MATCH(P121,TZ_STN,0))/24)&lt;INDEX(TZ_DSTE,MATCH(P121,TZ_STN,0))),INDEX(TZ_DST,MATCH(P121,TZ_STN,0)),INDEX(TZ_STD,MATCH(P121,TZ_STN,0))))/24,"")</f>
        <v/>
      </c>
      <c r="AH121" s="65" t="str">
        <f aca="false">IFERROR(IF(N121="N/A – rule","N/A – RULE",IF(TRIM(U121)="N/A",IF(AT121=0,"INVALID – N/A not permitted for this check",IF(AND(TRIM(AB121)&lt;&gt;"",TRIM(AB121)&lt;&gt;"Closed"),"INVALID – corrective action still open",IF(AND(NOT(OR(LEN(AZ121)&lt;15,ISNUMBER(MATCH(AZ121,L_Placeholder,0)))),NOT(OR(LEN(AU121)&lt;2,ISNUMBER(MATCH(AU121,L_Placeholder,0)))),NOT(OR(LEN(AX121)&lt;2,ISNUMBER(MATCH(AX121,L_Placeholder,0)))),TRIM(AE121)&lt;&gt;TRIM(T121)),"N/A – JUSTIFIED","INVALID – N/A needs a real justification (15+ chars), PIC and a different verifier"))),IF(OR(TRIM(U121)="Pass",TRIM(U121)="Pass after CA"),IF(NOT(ISNUMBER(AD121)),"INVALID – completion time missing",IF(OR(LEN(AU121)&lt;2,ISNUMBER(MATCH(AU121,L_Placeholder,0))),"INVALID – PIC missing",IF(OR(LEN(AV121)&lt;2,ISNUMBER(MATCH(AV121,L_Placeholder,0))),"INVALID – result / assessment missing",IF(OR(OR(LEN(AW121)&lt;3,ISNUMBER(MATCH(AW121,L_Placeholder,0))),SUMPRODUCT(--ISNUMBER(SEARCH(L_EvidencePhrase,AW121)))&gt;0),"INVALID – evidence missing, placeholder or not yet on file",IF(OR(LEN(AX121)&lt;2,ISNUMBER(MATCH(AX121,L_Placeholder,0))),"INVALID – verifier missing",IF(AX121=AU121,"INVALID – verifier must be someone other than the PIC",IF(AND(TRIM(U121)="Pass",SUMPRODUCT(--ISNUMBER(SEARCH(L_ResultBad,AV121)))&gt;0),"INVALID – result describes a problem: use Fail, then Pass after CA",IF(AND(AQ121=1,OR(LEN(AY121)&lt;3,ISNUMBER(MATCH(AY121,L_Placeholder,0)))),"INVALID – batch ID missing or placeholder",IF(AND(AR121=1,OR(NOT(ISNUMBER(X121)),NOT(ISNUMBER(Y121)))),"INVALID – expected/actual qty missing",IF(AND(AR121=1,OR(X121&lt;=0,Y121&lt;0)),"INVALID – expected qty must be above 0 and actual not negative",IF(AH101="N/A – JUSTIFIED","INVALID – preparation row F04-T12-02 is N/A",IF(AND(AR121=1,ISNUMBER(X101),X121&lt;&gt;X101),"INVALID – expected qty differs from preparation check F04-T12-02",IF(BB121&lt;&gt;"",BB121,IF(AND(AS121=1,Documents!$J$8&lt;&gt;"ON FILE"),"INVALID – GLD not on file (Documents sheet)",IF(AND(AS121=2,Documents!$O$8&lt;&gt;"ON FILE"),"INVALID – menu checklist not on file (Documents sheet)",IF(AND(AS121=3,NOT(ISNUMBER(Flights!$AX$8))),"INVALID – enter carrying flight KUL departure (Flights AX)",IF(AND(AS121=3,OR(Flights!$AZ$8&gt;Flights!$AA$8,Flights!$AX$8&lt;Flights!$AA$8-3)),"INVALID – carrying flight (Flights AX) cannot arrive before this leg's STD, or is over 3 days early",IF(AG121&gt;AsOfUTC,"INVALID – completion time is in the future",IF(AND(ISNUMBER(S121),AG121&lt;S121),IF(H121="Physical uplift","INVALID – before uplift window (cannot confirm loading)","INVALID – before valid window"),IF(AG121&gt;Flights!$AA$8,"INVALID – completed after departure (cannot establish readiness)",IF(AND(H121="Preparation",AG121&gt;IF(ISNUMBER(Flights!$BA$8),MIN(Flights!$BA$8,Flights!$AA$8),Flights!$AA$8)),"INVALID – completed after loading / departure (cannot establish readiness)",IF(AND(H121="Physical uplift",AG121&gt;Q121),"INVALID – recorded after the loading flight departed",IF(AG121&gt;Q121,"COMPLETE – LATE","COMPLETE"))))))))))))))))))))))),IF(TRIM(U121)="Fail","FAIL – DISCREPANCY",IF(AND(TRIM(U121)&lt;&gt;"",TRIM(U121)&lt;&gt;"Not started",TRIM(U121)&lt;&gt;"In progress"),"INVALID – unrecognised status (use the list)",IF(AsOfUTC&gt;Q121,"OVERDUE",IF(N121="Clarification required","OPEN – CLARIFICATION","OPEN"))))))),"INVALID – error value in an input cell")</f>
        <v>OPEN</v>
      </c>
      <c r="AI121" s="61" t="n">
        <f aca="false">IF(OR(AH121="N/A – RULE",AH121="N/A – JUSTIFIED"),0,1)</f>
        <v>1</v>
      </c>
      <c r="AJ121" s="61" t="n">
        <f aca="false">IF(LEFT(AH121,8)="COMPLETE",1,0)</f>
        <v>0</v>
      </c>
      <c r="AK121" s="61" t="n">
        <f aca="false">IF(AND(AI121=1,AJ121=0,AsOfUTC&gt;Q121),1,0)</f>
        <v>0</v>
      </c>
      <c r="AL121" s="61" t="n">
        <f aca="false">IFERROR(IF(AND(AI121=1,OR(TRIM(U121)="Fail",AND(TRIM(AB121)&lt;&gt;"",TRIM(AB121)&lt;&gt;"Closed"),AND(ISNUMBER(AF121),AF121&lt;&gt;0,TRIM(U121)&lt;&gt;"Pass after CA"))),1,0),1)</f>
        <v>0</v>
      </c>
      <c r="AM121" s="61" t="n">
        <f aca="false">IF(LEFT(AH121,7)="INVALID",1,0)</f>
        <v>0</v>
      </c>
      <c r="AN121" s="61" t="n">
        <f aca="false">IF(AND(N121="Clarification required",AI121=1,AJ121=0),1,0)</f>
        <v>0</v>
      </c>
      <c r="AO121" s="61" t="str">
        <f aca="false">IF(AK121=1,SUM(AK$5:AK121),"")</f>
        <v/>
      </c>
      <c r="AP121" s="61" t="str">
        <f aca="false">IF(AL121=1,SUM(AL$5:AL121),"")</f>
        <v/>
      </c>
      <c r="AQ121" s="61" t="n">
        <v>0</v>
      </c>
      <c r="AR121" s="61" t="n">
        <v>1</v>
      </c>
      <c r="AS121" s="61" t="n">
        <v>0</v>
      </c>
      <c r="AT121" s="61" t="n">
        <v>0</v>
      </c>
      <c r="AU121" s="61" t="str">
        <f aca="false">SUBSTITUTE(SUBSTITUTE(SUBSTITUTE(SUBSTITUTE(SUBSTITUTE(SUBSTITUTE(SUBSTITUTE(SUBSTITUTE(SUBSTITUTE(SUBSTITUTE(SUBSTITUTE(SUBSTITUTE(SUBSTITUTE(LOWER(T121&amp;""),CHAR(160),"")," ",""),".",""),"-",""),"/",""),"?",""),"_",""),",",""),"[",""),"]",""),"(",""),")",""),"*","")</f>
        <v/>
      </c>
      <c r="AV121" s="61" t="str">
        <f aca="false">SUBSTITUTE(SUBSTITUTE(SUBSTITUTE(SUBSTITUTE(SUBSTITUTE(SUBSTITUTE(SUBSTITUTE(SUBSTITUTE(SUBSTITUTE(SUBSTITUTE(SUBSTITUTE(SUBSTITUTE(SUBSTITUTE(LOWER(V121&amp;""),CHAR(160),"")," ",""),".",""),"-",""),"/",""),"?",""),"_",""),",",""),"[",""),"]",""),"(",""),")",""),"*","")</f>
        <v/>
      </c>
      <c r="AW121" s="61" t="str">
        <f aca="false">SUBSTITUTE(SUBSTITUTE(SUBSTITUTE(SUBSTITUTE(SUBSTITUTE(SUBSTITUTE(SUBSTITUTE(SUBSTITUTE(SUBSTITUTE(SUBSTITUTE(SUBSTITUTE(SUBSTITUTE(SUBSTITUTE(LOWER(Z121&amp;""),CHAR(160),"")," ",""),".",""),"-",""),"/",""),"?",""),"_",""),",",""),"[",""),"]",""),"(",""),")",""),"*","")</f>
        <v/>
      </c>
      <c r="AX121" s="61" t="str">
        <f aca="false">SUBSTITUTE(SUBSTITUTE(SUBSTITUTE(SUBSTITUTE(SUBSTITUTE(SUBSTITUTE(SUBSTITUTE(SUBSTITUTE(SUBSTITUTE(SUBSTITUTE(SUBSTITUTE(SUBSTITUTE(SUBSTITUTE(LOWER(AE121&amp;""),CHAR(160),"")," ",""),".",""),"-",""),"/",""),"?",""),"_",""),",",""),"[",""),"]",""),"(",""),")",""),"*","")</f>
        <v/>
      </c>
      <c r="AY121" s="61" t="str">
        <f aca="false">SUBSTITUTE(SUBSTITUTE(SUBSTITUTE(SUBSTITUTE(SUBSTITUTE(SUBSTITUTE(SUBSTITUTE(SUBSTITUTE(SUBSTITUTE(SUBSTITUTE(SUBSTITUTE(SUBSTITUTE(SUBSTITUTE(LOWER(W121&amp;""),CHAR(160),"")," ",""),".",""),"-",""),"/",""),"?",""),"_",""),",",""),"[",""),"]",""),"(",""),")",""),"*","")</f>
        <v/>
      </c>
      <c r="AZ121" s="61" t="str">
        <f aca="false">SUBSTITUTE(SUBSTITUTE(SUBSTITUTE(SUBSTITUTE(SUBSTITUTE(SUBSTITUTE(SUBSTITUTE(SUBSTITUTE(SUBSTITUTE(SUBSTITUTE(SUBSTITUTE(SUBSTITUTE(SUBSTITUTE(LOWER(AC121&amp;""),CHAR(160),"")," ",""),".",""),"-",""),"/",""),"?",""),"_",""),",",""),"[",""),"]",""),"(",""),")",""),"*","")</f>
        <v/>
      </c>
      <c r="BA121" s="61" t="str">
        <f aca="false">SUBSTITUTE(SUBSTITUTE(SUBSTITUTE(SUBSTITUTE(SUBSTITUTE(SUBSTITUTE(SUBSTITUTE(SUBSTITUTE(SUBSTITUTE(SUBSTITUTE(SUBSTITUTE(SUBSTITUTE(SUBSTITUTE(LOWER(AA121&amp;""),CHAR(160),"")," ",""),".",""),"-",""),"/",""),"?",""),"_",""),",",""),"[",""),"]",""),"(",""),")",""),"*","")</f>
        <v/>
      </c>
      <c r="BB121" s="61" t="str">
        <f aca="false">IF(AND(TRIM(U121)="Pass",ISNUMBER(AF121)),IF(AF121&lt;&gt;0,"INVALID – qty variance: use Fail or Pass after CA",""),"")&amp;IF(AND(TRIM(U121)="Pass after CA",ISNUMBER(AF121)),IF(AF121&lt;&gt;0,"INVALID – after the corrective action the actual qty must equal expected (update Actual)",""),"")&amp;IF(AND(TRIM(U121)="Pass",TRIM(AB121)&lt;&gt;"",TRIM(AB121)&lt;&gt;"Closed"),"INVALID – corrective action not closed: use Fail, then Pass after CA","")&amp;IF(AND(TRIM(AA121)&lt;&gt;"",TRIM(AB121)=""),"INVALID – CA status missing for the recorded corrective action","")&amp;IF(AND(TRIM(U121)="Pass after CA",OR(OR(LEN(BA121)&lt;5,ISNUMBER(MATCH(BA121,L_Placeholder,0))),TRIM(AB121)&lt;&gt;"Closed")),"INVALID – corrective action not recorded/closed","")</f>
        <v/>
      </c>
    </row>
    <row r="122" customFormat="false" ht="39.75" hidden="false" customHeight="true" outlineLevel="0" collapsed="false">
      <c r="A122" s="57" t="s">
        <v>618</v>
      </c>
      <c r="B122" s="57" t="s">
        <v>215</v>
      </c>
      <c r="C122" s="57" t="str">
        <f aca="false">Flights!$F$8</f>
        <v>MH0088</v>
      </c>
      <c r="D122" s="58" t="n">
        <f aca="false">Flights!$D$8</f>
        <v>46305</v>
      </c>
      <c r="E122" s="57" t="str">
        <f aca="false">Flights!$G$8&amp;"-"&amp;Flights!$H$8</f>
        <v>KUL-NRT</v>
      </c>
      <c r="F122" s="57" t="str">
        <f aca="false">Flights!$K$8</f>
        <v>BC</v>
      </c>
      <c r="G122" s="57" t="s">
        <v>437</v>
      </c>
      <c r="H122" s="57" t="s">
        <v>438</v>
      </c>
      <c r="I122" s="57" t="s">
        <v>406</v>
      </c>
      <c r="J122" s="57" t="s">
        <v>443</v>
      </c>
      <c r="K122" s="67" t="s">
        <v>404</v>
      </c>
      <c r="L122" s="67" t="s">
        <v>440</v>
      </c>
      <c r="M122" s="67"/>
      <c r="N122" s="67" t="s">
        <v>361</v>
      </c>
      <c r="O122" s="67" t="s">
        <v>441</v>
      </c>
      <c r="P122" s="57" t="s">
        <v>184</v>
      </c>
      <c r="Q122" s="59" t="n">
        <f aca="false">ROUND((Flights!$AF$8)*1440,0)/1440</f>
        <v>46305.6458333333</v>
      </c>
      <c r="R122" s="59" t="n">
        <f aca="false">Q122+(IF(AND(INDEX(TZ_DSTS,MATCH(P122,TZ_STN,0))&lt;&gt;"",Q122&gt;=INDEX(TZ_DSTS,MATCH(P122,TZ_STN,0)),Q122&lt;INDEX(TZ_DSTE,MATCH(P122,TZ_STN,0))),INDEX(TZ_DST,MATCH(P122,TZ_STN,0)),INDEX(TZ_STD,MATCH(P122,TZ_STN,0))))/24</f>
        <v>46305.9791666667</v>
      </c>
      <c r="S122" s="59" t="n">
        <f aca="false">IF(ISNUMBER(Flights!$AZ$8),MAX(Q122-UpliftWindowH/24,Flights!$AZ$8),Q122-UpliftWindowH/24)</f>
        <v>46305.3958333333</v>
      </c>
      <c r="T122" s="60"/>
      <c r="U122" s="60"/>
      <c r="V122" s="60"/>
      <c r="W122" s="61"/>
      <c r="X122" s="60"/>
      <c r="Y122" s="60"/>
      <c r="Z122" s="60"/>
      <c r="AA122" s="60"/>
      <c r="AB122" s="60"/>
      <c r="AC122" s="60"/>
      <c r="AD122" s="66"/>
      <c r="AE122" s="60"/>
      <c r="AF122" s="61" t="str">
        <f aca="false">IF(AND(ISNUMBER(X122),ISNUMBER(Y122)),Y122-X122,"")</f>
        <v/>
      </c>
      <c r="AG122" s="62" t="str">
        <f aca="false">IF(ISNUMBER(AD122),AD122-(IF(AND(INDEX(TZ_DSTS,MATCH(P122,TZ_STN,0))&lt;&gt;"",(AD122-INDEX(TZ_STD,MATCH(P122,TZ_STN,0))/24)&gt;=INDEX(TZ_DSTS,MATCH(P122,TZ_STN,0)),(AD122-INDEX(TZ_STD,MATCH(P122,TZ_STN,0))/24)&lt;INDEX(TZ_DSTE,MATCH(P122,TZ_STN,0))),INDEX(TZ_DST,MATCH(P122,TZ_STN,0)),INDEX(TZ_STD,MATCH(P122,TZ_STN,0))))/24,"")</f>
        <v/>
      </c>
      <c r="AH122" s="65" t="str">
        <f aca="false">IFERROR(IF(N122="N/A – rule","N/A – RULE",IF(TRIM(U122)="N/A",IF(AT122=0,"INVALID – N/A not permitted for this check",IF(AND(TRIM(AB122)&lt;&gt;"",TRIM(AB122)&lt;&gt;"Closed"),"INVALID – corrective action still open",IF(AND(NOT(OR(LEN(AZ122)&lt;15,ISNUMBER(MATCH(AZ122,L_Placeholder,0)))),NOT(OR(LEN(AU122)&lt;2,ISNUMBER(MATCH(AU122,L_Placeholder,0)))),NOT(OR(LEN(AX122)&lt;2,ISNUMBER(MATCH(AX122,L_Placeholder,0)))),TRIM(AE122)&lt;&gt;TRIM(T122)),"N/A – JUSTIFIED","INVALID – N/A needs a real justification (15+ chars), PIC and a different verifier"))),IF(OR(TRIM(U122)="Pass",TRIM(U122)="Pass after CA"),IF(NOT(ISNUMBER(AD122)),"INVALID – completion time missing",IF(OR(LEN(AU122)&lt;2,ISNUMBER(MATCH(AU122,L_Placeholder,0))),"INVALID – PIC missing",IF(OR(LEN(AV122)&lt;2,ISNUMBER(MATCH(AV122,L_Placeholder,0))),"INVALID – result / assessment missing",IF(OR(OR(LEN(AW122)&lt;3,ISNUMBER(MATCH(AW122,L_Placeholder,0))),SUMPRODUCT(--ISNUMBER(SEARCH(L_EvidencePhrase,AW122)))&gt;0),"INVALID – evidence missing, placeholder or not yet on file",IF(OR(LEN(AX122)&lt;2,ISNUMBER(MATCH(AX122,L_Placeholder,0))),"INVALID – verifier missing",IF(AX122=AU122,"INVALID – verifier must be someone other than the PIC",IF(AND(TRIM(U122)="Pass",SUMPRODUCT(--ISNUMBER(SEARCH(L_ResultBad,AV122)))&gt;0),"INVALID – result describes a problem: use Fail, then Pass after CA",IF(AND(AQ122=1,OR(LEN(AY122)&lt;3,ISNUMBER(MATCH(AY122,L_Placeholder,0)))),"INVALID – batch ID missing or placeholder",IF(AND(AR122=1,OR(NOT(ISNUMBER(X122)),NOT(ISNUMBER(Y122)))),"INVALID – expected/actual qty missing",IF(AND(AR122=1,OR(X122&lt;=0,Y122&lt;0)),"INVALID – expected qty must be above 0 and actual not negative",IF(AH105="N/A – JUSTIFIED","INVALID – preparation row F04-T12-06 is N/A",IF(AND(AR122=1,ISNUMBER(X105),X122&lt;&gt;X105),"INVALID – expected qty differs from preparation check F04-T12-06",IF(BB122&lt;&gt;"",BB122,IF(AND(AS122=1,Documents!$J$8&lt;&gt;"ON FILE"),"INVALID – GLD not on file (Documents sheet)",IF(AND(AS122=2,Documents!$O$8&lt;&gt;"ON FILE"),"INVALID – menu checklist not on file (Documents sheet)",IF(AND(AS122=3,NOT(ISNUMBER(Flights!$AX$8))),"INVALID – enter carrying flight KUL departure (Flights AX)",IF(AND(AS122=3,OR(Flights!$AZ$8&gt;Flights!$AA$8,Flights!$AX$8&lt;Flights!$AA$8-3)),"INVALID – carrying flight (Flights AX) cannot arrive before this leg's STD, or is over 3 days early",IF(AG122&gt;AsOfUTC,"INVALID – completion time is in the future",IF(AND(ISNUMBER(S122),AG122&lt;S122),IF(H122="Physical uplift","INVALID – before uplift window (cannot confirm loading)","INVALID – before valid window"),IF(AG122&gt;Flights!$AA$8,"INVALID – completed after departure (cannot establish readiness)",IF(AND(H122="Preparation",AG122&gt;IF(ISNUMBER(Flights!$BA$8),MIN(Flights!$BA$8,Flights!$AA$8),Flights!$AA$8)),"INVALID – completed after loading / departure (cannot establish readiness)",IF(AND(H122="Physical uplift",AG122&gt;Q122),"INVALID – recorded after the loading flight departed",IF(AG122&gt;Q122,"COMPLETE – LATE","COMPLETE"))))))))))))))))))))))),IF(TRIM(U122)="Fail","FAIL – DISCREPANCY",IF(AND(TRIM(U122)&lt;&gt;"",TRIM(U122)&lt;&gt;"Not started",TRIM(U122)&lt;&gt;"In progress"),"INVALID – unrecognised status (use the list)",IF(AsOfUTC&gt;Q122,"OVERDUE",IF(N122="Clarification required","OPEN – CLARIFICATION","OPEN"))))))),"INVALID – error value in an input cell")</f>
        <v>OPEN</v>
      </c>
      <c r="AI122" s="61" t="n">
        <f aca="false">IF(OR(AH122="N/A – RULE",AH122="N/A – JUSTIFIED"),0,1)</f>
        <v>1</v>
      </c>
      <c r="AJ122" s="61" t="n">
        <f aca="false">IF(LEFT(AH122,8)="COMPLETE",1,0)</f>
        <v>0</v>
      </c>
      <c r="AK122" s="61" t="n">
        <f aca="false">IF(AND(AI122=1,AJ122=0,AsOfUTC&gt;Q122),1,0)</f>
        <v>0</v>
      </c>
      <c r="AL122" s="61" t="n">
        <f aca="false">IFERROR(IF(AND(AI122=1,OR(TRIM(U122)="Fail",AND(TRIM(AB122)&lt;&gt;"",TRIM(AB122)&lt;&gt;"Closed"),AND(ISNUMBER(AF122),AF122&lt;&gt;0,TRIM(U122)&lt;&gt;"Pass after CA"))),1,0),1)</f>
        <v>0</v>
      </c>
      <c r="AM122" s="61" t="n">
        <f aca="false">IF(LEFT(AH122,7)="INVALID",1,0)</f>
        <v>0</v>
      </c>
      <c r="AN122" s="61" t="n">
        <f aca="false">IF(AND(N122="Clarification required",AI122=1,AJ122=0),1,0)</f>
        <v>0</v>
      </c>
      <c r="AO122" s="61" t="str">
        <f aca="false">IF(AK122=1,SUM(AK$5:AK122),"")</f>
        <v/>
      </c>
      <c r="AP122" s="61" t="str">
        <f aca="false">IF(AL122=1,SUM(AL$5:AL122),"")</f>
        <v/>
      </c>
      <c r="AQ122" s="61" t="n">
        <v>0</v>
      </c>
      <c r="AR122" s="61" t="n">
        <v>1</v>
      </c>
      <c r="AS122" s="61" t="n">
        <v>0</v>
      </c>
      <c r="AT122" s="61" t="n">
        <v>0</v>
      </c>
      <c r="AU122" s="61" t="str">
        <f aca="false">SUBSTITUTE(SUBSTITUTE(SUBSTITUTE(SUBSTITUTE(SUBSTITUTE(SUBSTITUTE(SUBSTITUTE(SUBSTITUTE(SUBSTITUTE(SUBSTITUTE(SUBSTITUTE(SUBSTITUTE(SUBSTITUTE(LOWER(T122&amp;""),CHAR(160),"")," ",""),".",""),"-",""),"/",""),"?",""),"_",""),",",""),"[",""),"]",""),"(",""),")",""),"*","")</f>
        <v/>
      </c>
      <c r="AV122" s="61" t="str">
        <f aca="false">SUBSTITUTE(SUBSTITUTE(SUBSTITUTE(SUBSTITUTE(SUBSTITUTE(SUBSTITUTE(SUBSTITUTE(SUBSTITUTE(SUBSTITUTE(SUBSTITUTE(SUBSTITUTE(SUBSTITUTE(SUBSTITUTE(LOWER(V122&amp;""),CHAR(160),"")," ",""),".",""),"-",""),"/",""),"?",""),"_",""),",",""),"[",""),"]",""),"(",""),")",""),"*","")</f>
        <v/>
      </c>
      <c r="AW122" s="61" t="str">
        <f aca="false">SUBSTITUTE(SUBSTITUTE(SUBSTITUTE(SUBSTITUTE(SUBSTITUTE(SUBSTITUTE(SUBSTITUTE(SUBSTITUTE(SUBSTITUTE(SUBSTITUTE(SUBSTITUTE(SUBSTITUTE(SUBSTITUTE(LOWER(Z122&amp;""),CHAR(160),"")," ",""),".",""),"-",""),"/",""),"?",""),"_",""),",",""),"[",""),"]",""),"(",""),")",""),"*","")</f>
        <v/>
      </c>
      <c r="AX122" s="61" t="str">
        <f aca="false">SUBSTITUTE(SUBSTITUTE(SUBSTITUTE(SUBSTITUTE(SUBSTITUTE(SUBSTITUTE(SUBSTITUTE(SUBSTITUTE(SUBSTITUTE(SUBSTITUTE(SUBSTITUTE(SUBSTITUTE(SUBSTITUTE(LOWER(AE122&amp;""),CHAR(160),"")," ",""),".",""),"-",""),"/",""),"?",""),"_",""),",",""),"[",""),"]",""),"(",""),")",""),"*","")</f>
        <v/>
      </c>
      <c r="AY122" s="61" t="str">
        <f aca="false">SUBSTITUTE(SUBSTITUTE(SUBSTITUTE(SUBSTITUTE(SUBSTITUTE(SUBSTITUTE(SUBSTITUTE(SUBSTITUTE(SUBSTITUTE(SUBSTITUTE(SUBSTITUTE(SUBSTITUTE(SUBSTITUTE(LOWER(W122&amp;""),CHAR(160),"")," ",""),".",""),"-",""),"/",""),"?",""),"_",""),",",""),"[",""),"]",""),"(",""),")",""),"*","")</f>
        <v/>
      </c>
      <c r="AZ122" s="61" t="str">
        <f aca="false">SUBSTITUTE(SUBSTITUTE(SUBSTITUTE(SUBSTITUTE(SUBSTITUTE(SUBSTITUTE(SUBSTITUTE(SUBSTITUTE(SUBSTITUTE(SUBSTITUTE(SUBSTITUTE(SUBSTITUTE(SUBSTITUTE(LOWER(AC122&amp;""),CHAR(160),"")," ",""),".",""),"-",""),"/",""),"?",""),"_",""),",",""),"[",""),"]",""),"(",""),")",""),"*","")</f>
        <v/>
      </c>
      <c r="BA122" s="61" t="str">
        <f aca="false">SUBSTITUTE(SUBSTITUTE(SUBSTITUTE(SUBSTITUTE(SUBSTITUTE(SUBSTITUTE(SUBSTITUTE(SUBSTITUTE(SUBSTITUTE(SUBSTITUTE(SUBSTITUTE(SUBSTITUTE(SUBSTITUTE(LOWER(AA122&amp;""),CHAR(160),"")," ",""),".",""),"-",""),"/",""),"?",""),"_",""),",",""),"[",""),"]",""),"(",""),")",""),"*","")</f>
        <v/>
      </c>
      <c r="BB122" s="61" t="str">
        <f aca="false">IF(AND(TRIM(U122)="Pass",ISNUMBER(AF122)),IF(AF122&lt;&gt;0,"INVALID – qty variance: use Fail or Pass after CA",""),"")&amp;IF(AND(TRIM(U122)="Pass after CA",ISNUMBER(AF122)),IF(AF122&lt;&gt;0,"INVALID – after the corrective action the actual qty must equal expected (update Actual)",""),"")&amp;IF(AND(TRIM(U122)="Pass",TRIM(AB122)&lt;&gt;"",TRIM(AB122)&lt;&gt;"Closed"),"INVALID – corrective action not closed: use Fail, then Pass after CA","")&amp;IF(AND(TRIM(AA122)&lt;&gt;"",TRIM(AB122)=""),"INVALID – CA status missing for the recorded corrective action","")&amp;IF(AND(TRIM(U122)="Pass after CA",OR(OR(LEN(BA122)&lt;5,ISNUMBER(MATCH(BA122,L_Placeholder,0))),TRIM(AB122)&lt;&gt;"Closed")),"INVALID – corrective action not recorded/closed","")</f>
        <v/>
      </c>
    </row>
    <row r="123" customFormat="false" ht="39.75" hidden="false" customHeight="true" outlineLevel="0" collapsed="false">
      <c r="A123" s="57" t="s">
        <v>619</v>
      </c>
      <c r="B123" s="57" t="s">
        <v>215</v>
      </c>
      <c r="C123" s="57" t="str">
        <f aca="false">Flights!$F$8</f>
        <v>MH0088</v>
      </c>
      <c r="D123" s="58" t="n">
        <f aca="false">Flights!$D$8</f>
        <v>46305</v>
      </c>
      <c r="E123" s="57" t="str">
        <f aca="false">Flights!$G$8&amp;"-"&amp;Flights!$H$8</f>
        <v>KUL-NRT</v>
      </c>
      <c r="F123" s="57" t="str">
        <f aca="false">Flights!$K$8</f>
        <v>BC</v>
      </c>
      <c r="G123" s="57" t="s">
        <v>437</v>
      </c>
      <c r="H123" s="57" t="s">
        <v>438</v>
      </c>
      <c r="I123" s="57" t="s">
        <v>418</v>
      </c>
      <c r="J123" s="57" t="s">
        <v>445</v>
      </c>
      <c r="K123" s="67" t="s">
        <v>479</v>
      </c>
      <c r="L123" s="67" t="s">
        <v>579</v>
      </c>
      <c r="M123" s="67" t="s">
        <v>184</v>
      </c>
      <c r="N123" s="67" t="s">
        <v>361</v>
      </c>
      <c r="O123" s="67"/>
      <c r="P123" s="57" t="s">
        <v>184</v>
      </c>
      <c r="Q123" s="59" t="n">
        <f aca="false">ROUND((Flights!$AF$8)*1440,0)/1440</f>
        <v>46305.6458333333</v>
      </c>
      <c r="R123" s="59" t="n">
        <f aca="false">Q123+(IF(AND(INDEX(TZ_DSTS,MATCH(P123,TZ_STN,0))&lt;&gt;"",Q123&gt;=INDEX(TZ_DSTS,MATCH(P123,TZ_STN,0)),Q123&lt;INDEX(TZ_DSTE,MATCH(P123,TZ_STN,0))),INDEX(TZ_DST,MATCH(P123,TZ_STN,0)),INDEX(TZ_STD,MATCH(P123,TZ_STN,0))))/24</f>
        <v>46305.9791666667</v>
      </c>
      <c r="S123" s="59" t="n">
        <f aca="false">IF(ISNUMBER(Flights!$AZ$8),MAX(Q123-UpliftWindowH/24,Flights!$AZ$8),Q123-UpliftWindowH/24)</f>
        <v>46305.3958333333</v>
      </c>
      <c r="T123" s="60"/>
      <c r="U123" s="60"/>
      <c r="V123" s="60"/>
      <c r="W123" s="61"/>
      <c r="X123" s="60"/>
      <c r="Y123" s="60"/>
      <c r="Z123" s="60"/>
      <c r="AA123" s="60"/>
      <c r="AB123" s="60"/>
      <c r="AC123" s="60"/>
      <c r="AD123" s="66"/>
      <c r="AE123" s="60"/>
      <c r="AF123" s="61" t="str">
        <f aca="false">IF(AND(ISNUMBER(X123),ISNUMBER(Y123)),Y123-X123,"")</f>
        <v/>
      </c>
      <c r="AG123" s="62" t="str">
        <f aca="false">IF(ISNUMBER(AD123),AD123-(IF(AND(INDEX(TZ_DSTS,MATCH(P123,TZ_STN,0))&lt;&gt;"",(AD123-INDEX(TZ_STD,MATCH(P123,TZ_STN,0))/24)&gt;=INDEX(TZ_DSTS,MATCH(P123,TZ_STN,0)),(AD123-INDEX(TZ_STD,MATCH(P123,TZ_STN,0))/24)&lt;INDEX(TZ_DSTE,MATCH(P123,TZ_STN,0))),INDEX(TZ_DST,MATCH(P123,TZ_STN,0)),INDEX(TZ_STD,MATCH(P123,TZ_STN,0))))/24,"")</f>
        <v/>
      </c>
      <c r="AH123" s="65" t="str">
        <f aca="false">IFERROR(IF(N123="N/A – rule","N/A – RULE",IF(TRIM(U123)="N/A",IF(AT123=0,"INVALID – N/A not permitted for this check",IF(AND(TRIM(AB123)&lt;&gt;"",TRIM(AB123)&lt;&gt;"Closed"),"INVALID – corrective action still open",IF(AND(NOT(OR(LEN(AZ123)&lt;15,ISNUMBER(MATCH(AZ123,L_Placeholder,0)))),NOT(OR(LEN(AU123)&lt;2,ISNUMBER(MATCH(AU123,L_Placeholder,0)))),NOT(OR(LEN(AX123)&lt;2,ISNUMBER(MATCH(AX123,L_Placeholder,0)))),TRIM(AE123)&lt;&gt;TRIM(T123)),"N/A – JUSTIFIED","INVALID – N/A needs a real justification (15+ chars), PIC and a different verifier"))),IF(OR(TRIM(U123)="Pass",TRIM(U123)="Pass after CA"),IF(NOT(ISNUMBER(AD123)),"INVALID – completion time missing",IF(OR(LEN(AU123)&lt;2,ISNUMBER(MATCH(AU123,L_Placeholder,0))),"INVALID – PIC missing",IF(OR(LEN(AV123)&lt;2,ISNUMBER(MATCH(AV123,L_Placeholder,0))),"INVALID – result / assessment missing",IF(OR(OR(LEN(AW123)&lt;3,ISNUMBER(MATCH(AW123,L_Placeholder,0))),SUMPRODUCT(--ISNUMBER(SEARCH(L_EvidencePhrase,AW123)))&gt;0),"INVALID – evidence missing, placeholder or not yet on file",IF(OR(LEN(AX123)&lt;2,ISNUMBER(MATCH(AX123,L_Placeholder,0))),"INVALID – verifier missing",IF(AX123=AU123,"INVALID – verifier must be someone other than the PIC",IF(AND(TRIM(U123)="Pass",SUMPRODUCT(--ISNUMBER(SEARCH(L_ResultBad,AV123)))&gt;0),"INVALID – result describes a problem: use Fail, then Pass after CA",IF(AND(AQ123=1,OR(LEN(AY123)&lt;3,ISNUMBER(MATCH(AY123,L_Placeholder,0)))),"INVALID – batch ID missing or placeholder",IF(AND(AR123=1,OR(NOT(ISNUMBER(X123)),NOT(ISNUMBER(Y123)))),"INVALID – expected/actual qty missing",IF(AND(AR123=1,OR(X123&lt;=0,Y123&lt;0)),"INVALID – expected qty must be above 0 and actual not negative",IF(AH107="N/A – JUSTIFIED","INVALID – preparation row F04-T12-08 is N/A",IF(AND(AR123=1,ISNUMBER(X107),X123&lt;&gt;X107),"INVALID – expected qty differs from preparation check F04-T12-08",IF(BB123&lt;&gt;"",BB123,IF(AND(AS123=1,Documents!$J$8&lt;&gt;"ON FILE"),"INVALID – GLD not on file (Documents sheet)",IF(AND(AS123=2,Documents!$O$8&lt;&gt;"ON FILE"),"INVALID – menu checklist not on file (Documents sheet)",IF(AND(AS123=3,NOT(ISNUMBER(Flights!$AX$8))),"INVALID – enter carrying flight KUL departure (Flights AX)",IF(AND(AS123=3,OR(Flights!$AZ$8&gt;Flights!$AA$8,Flights!$AX$8&lt;Flights!$AA$8-3)),"INVALID – carrying flight (Flights AX) cannot arrive before this leg's STD, or is over 3 days early",IF(AG123&gt;AsOfUTC,"INVALID – completion time is in the future",IF(AND(ISNUMBER(S123),AG123&lt;S123),IF(H123="Physical uplift","INVALID – before uplift window (cannot confirm loading)","INVALID – before valid window"),IF(AG123&gt;Flights!$AA$8,"INVALID – completed after departure (cannot establish readiness)",IF(AND(H123="Preparation",AG123&gt;IF(ISNUMBER(Flights!$BA$8),MIN(Flights!$BA$8,Flights!$AA$8),Flights!$AA$8)),"INVALID – completed after loading / departure (cannot establish readiness)",IF(AND(H123="Physical uplift",AG123&gt;Q123),"INVALID – recorded after the loading flight departed",IF(AG123&gt;Q123,"COMPLETE – LATE","COMPLETE"))))))))))))))))))))))),IF(TRIM(U123)="Fail","FAIL – DISCREPANCY",IF(AND(TRIM(U123)&lt;&gt;"",TRIM(U123)&lt;&gt;"Not started",TRIM(U123)&lt;&gt;"In progress"),"INVALID – unrecognised status (use the list)",IF(AsOfUTC&gt;Q123,"OVERDUE",IF(N123="Clarification required","OPEN – CLARIFICATION","OPEN"))))))),"INVALID – error value in an input cell")</f>
        <v>OPEN</v>
      </c>
      <c r="AI123" s="61" t="n">
        <f aca="false">IF(OR(AH123="N/A – RULE",AH123="N/A – JUSTIFIED"),0,1)</f>
        <v>1</v>
      </c>
      <c r="AJ123" s="61" t="n">
        <f aca="false">IF(LEFT(AH123,8)="COMPLETE",1,0)</f>
        <v>0</v>
      </c>
      <c r="AK123" s="61" t="n">
        <f aca="false">IF(AND(AI123=1,AJ123=0,AsOfUTC&gt;Q123),1,0)</f>
        <v>0</v>
      </c>
      <c r="AL123" s="61" t="n">
        <f aca="false">IFERROR(IF(AND(AI123=1,OR(TRIM(U123)="Fail",AND(TRIM(AB123)&lt;&gt;"",TRIM(AB123)&lt;&gt;"Closed"),AND(ISNUMBER(AF123),AF123&lt;&gt;0,TRIM(U123)&lt;&gt;"Pass after CA"))),1,0),1)</f>
        <v>0</v>
      </c>
      <c r="AM123" s="61" t="n">
        <f aca="false">IF(LEFT(AH123,7)="INVALID",1,0)</f>
        <v>0</v>
      </c>
      <c r="AN123" s="61" t="n">
        <f aca="false">IF(AND(N123="Clarification required",AI123=1,AJ123=0),1,0)</f>
        <v>0</v>
      </c>
      <c r="AO123" s="61" t="str">
        <f aca="false">IF(AK123=1,SUM(AK$5:AK123),"")</f>
        <v/>
      </c>
      <c r="AP123" s="61" t="str">
        <f aca="false">IF(AL123=1,SUM(AL$5:AL123),"")</f>
        <v/>
      </c>
      <c r="AQ123" s="61" t="n">
        <v>0</v>
      </c>
      <c r="AR123" s="61" t="n">
        <v>0</v>
      </c>
      <c r="AS123" s="61" t="n">
        <v>0</v>
      </c>
      <c r="AT123" s="61" t="n">
        <v>0</v>
      </c>
      <c r="AU123" s="61" t="str">
        <f aca="false">SUBSTITUTE(SUBSTITUTE(SUBSTITUTE(SUBSTITUTE(SUBSTITUTE(SUBSTITUTE(SUBSTITUTE(SUBSTITUTE(SUBSTITUTE(SUBSTITUTE(SUBSTITUTE(SUBSTITUTE(SUBSTITUTE(LOWER(T123&amp;""),CHAR(160),"")," ",""),".",""),"-",""),"/",""),"?",""),"_",""),",",""),"[",""),"]",""),"(",""),")",""),"*","")</f>
        <v/>
      </c>
      <c r="AV123" s="61" t="str">
        <f aca="false">SUBSTITUTE(SUBSTITUTE(SUBSTITUTE(SUBSTITUTE(SUBSTITUTE(SUBSTITUTE(SUBSTITUTE(SUBSTITUTE(SUBSTITUTE(SUBSTITUTE(SUBSTITUTE(SUBSTITUTE(SUBSTITUTE(LOWER(V123&amp;""),CHAR(160),"")," ",""),".",""),"-",""),"/",""),"?",""),"_",""),",",""),"[",""),"]",""),"(",""),")",""),"*","")</f>
        <v/>
      </c>
      <c r="AW123" s="61" t="str">
        <f aca="false">SUBSTITUTE(SUBSTITUTE(SUBSTITUTE(SUBSTITUTE(SUBSTITUTE(SUBSTITUTE(SUBSTITUTE(SUBSTITUTE(SUBSTITUTE(SUBSTITUTE(SUBSTITUTE(SUBSTITUTE(SUBSTITUTE(LOWER(Z123&amp;""),CHAR(160),"")," ",""),".",""),"-",""),"/",""),"?",""),"_",""),",",""),"[",""),"]",""),"(",""),")",""),"*","")</f>
        <v/>
      </c>
      <c r="AX123" s="61" t="str">
        <f aca="false">SUBSTITUTE(SUBSTITUTE(SUBSTITUTE(SUBSTITUTE(SUBSTITUTE(SUBSTITUTE(SUBSTITUTE(SUBSTITUTE(SUBSTITUTE(SUBSTITUTE(SUBSTITUTE(SUBSTITUTE(SUBSTITUTE(LOWER(AE123&amp;""),CHAR(160),"")," ",""),".",""),"-",""),"/",""),"?",""),"_",""),",",""),"[",""),"]",""),"(",""),")",""),"*","")</f>
        <v/>
      </c>
      <c r="AY123" s="61" t="str">
        <f aca="false">SUBSTITUTE(SUBSTITUTE(SUBSTITUTE(SUBSTITUTE(SUBSTITUTE(SUBSTITUTE(SUBSTITUTE(SUBSTITUTE(SUBSTITUTE(SUBSTITUTE(SUBSTITUTE(SUBSTITUTE(SUBSTITUTE(LOWER(W123&amp;""),CHAR(160),"")," ",""),".",""),"-",""),"/",""),"?",""),"_",""),",",""),"[",""),"]",""),"(",""),")",""),"*","")</f>
        <v/>
      </c>
      <c r="AZ123" s="61" t="str">
        <f aca="false">SUBSTITUTE(SUBSTITUTE(SUBSTITUTE(SUBSTITUTE(SUBSTITUTE(SUBSTITUTE(SUBSTITUTE(SUBSTITUTE(SUBSTITUTE(SUBSTITUTE(SUBSTITUTE(SUBSTITUTE(SUBSTITUTE(LOWER(AC123&amp;""),CHAR(160),"")," ",""),".",""),"-",""),"/",""),"?",""),"_",""),",",""),"[",""),"]",""),"(",""),")",""),"*","")</f>
        <v/>
      </c>
      <c r="BA123" s="61" t="str">
        <f aca="false">SUBSTITUTE(SUBSTITUTE(SUBSTITUTE(SUBSTITUTE(SUBSTITUTE(SUBSTITUTE(SUBSTITUTE(SUBSTITUTE(SUBSTITUTE(SUBSTITUTE(SUBSTITUTE(SUBSTITUTE(SUBSTITUTE(LOWER(AA123&amp;""),CHAR(160),"")," ",""),".",""),"-",""),"/",""),"?",""),"_",""),",",""),"[",""),"]",""),"(",""),")",""),"*","")</f>
        <v/>
      </c>
      <c r="BB123" s="61" t="str">
        <f aca="false">IF(AND(TRIM(U123)="Pass",ISNUMBER(AF123)),IF(AF123&lt;&gt;0,"INVALID – qty variance: use Fail or Pass after CA",""),"")&amp;IF(AND(TRIM(U123)="Pass after CA",ISNUMBER(AF123)),IF(AF123&lt;&gt;0,"INVALID – after the corrective action the actual qty must equal expected (update Actual)",""),"")&amp;IF(AND(TRIM(U123)="Pass",TRIM(AB123)&lt;&gt;"",TRIM(AB123)&lt;&gt;"Closed"),"INVALID – corrective action not closed: use Fail, then Pass after CA","")&amp;IF(AND(TRIM(AA123)&lt;&gt;"",TRIM(AB123)=""),"INVALID – CA status missing for the recorded corrective action","")&amp;IF(AND(TRIM(U123)="Pass after CA",OR(OR(LEN(BA123)&lt;5,ISNUMBER(MATCH(BA123,L_Placeholder,0))),TRIM(AB123)&lt;&gt;"Closed")),"INVALID – corrective action not recorded/closed","")</f>
        <v/>
      </c>
    </row>
    <row r="124" customFormat="false" ht="39.75" hidden="false" customHeight="true" outlineLevel="0" collapsed="false">
      <c r="A124" s="57" t="s">
        <v>620</v>
      </c>
      <c r="B124" s="57" t="s">
        <v>215</v>
      </c>
      <c r="C124" s="57" t="str">
        <f aca="false">Flights!$F$8</f>
        <v>MH0088</v>
      </c>
      <c r="D124" s="58" t="n">
        <f aca="false">Flights!$D$8</f>
        <v>46305</v>
      </c>
      <c r="E124" s="57" t="str">
        <f aca="false">Flights!$G$8&amp;"-"&amp;Flights!$H$8</f>
        <v>KUL-NRT</v>
      </c>
      <c r="F124" s="57" t="str">
        <f aca="false">Flights!$K$8</f>
        <v>BC</v>
      </c>
      <c r="G124" s="57" t="s">
        <v>437</v>
      </c>
      <c r="H124" s="57" t="s">
        <v>438</v>
      </c>
      <c r="I124" s="57" t="s">
        <v>418</v>
      </c>
      <c r="J124" s="57" t="s">
        <v>621</v>
      </c>
      <c r="K124" s="67" t="s">
        <v>479</v>
      </c>
      <c r="L124" s="67" t="s">
        <v>582</v>
      </c>
      <c r="M124" s="67" t="s">
        <v>184</v>
      </c>
      <c r="N124" s="67" t="s">
        <v>361</v>
      </c>
      <c r="O124" s="67"/>
      <c r="P124" s="57" t="s">
        <v>184</v>
      </c>
      <c r="Q124" s="59" t="n">
        <f aca="false">ROUND((Flights!$AF$8)*1440,0)/1440</f>
        <v>46305.6458333333</v>
      </c>
      <c r="R124" s="59" t="n">
        <f aca="false">Q124+(IF(AND(INDEX(TZ_DSTS,MATCH(P124,TZ_STN,0))&lt;&gt;"",Q124&gt;=INDEX(TZ_DSTS,MATCH(P124,TZ_STN,0)),Q124&lt;INDEX(TZ_DSTE,MATCH(P124,TZ_STN,0))),INDEX(TZ_DST,MATCH(P124,TZ_STN,0)),INDEX(TZ_STD,MATCH(P124,TZ_STN,0))))/24</f>
        <v>46305.9791666667</v>
      </c>
      <c r="S124" s="59" t="n">
        <f aca="false">IF(ISNUMBER(Flights!$AZ$8),MAX(Q124-UpliftWindowH/24,Flights!$AZ$8),Q124-UpliftWindowH/24)</f>
        <v>46305.3958333333</v>
      </c>
      <c r="T124" s="60"/>
      <c r="U124" s="60"/>
      <c r="V124" s="60"/>
      <c r="W124" s="61"/>
      <c r="X124" s="60"/>
      <c r="Y124" s="60"/>
      <c r="Z124" s="60"/>
      <c r="AA124" s="60"/>
      <c r="AB124" s="60"/>
      <c r="AC124" s="60"/>
      <c r="AD124" s="66"/>
      <c r="AE124" s="60"/>
      <c r="AF124" s="61" t="str">
        <f aca="false">IF(AND(ISNUMBER(X124),ISNUMBER(Y124)),Y124-X124,"")</f>
        <v/>
      </c>
      <c r="AG124" s="62" t="str">
        <f aca="false">IF(ISNUMBER(AD124),AD124-(IF(AND(INDEX(TZ_DSTS,MATCH(P124,TZ_STN,0))&lt;&gt;"",(AD124-INDEX(TZ_STD,MATCH(P124,TZ_STN,0))/24)&gt;=INDEX(TZ_DSTS,MATCH(P124,TZ_STN,0)),(AD124-INDEX(TZ_STD,MATCH(P124,TZ_STN,0))/24)&lt;INDEX(TZ_DSTE,MATCH(P124,TZ_STN,0))),INDEX(TZ_DST,MATCH(P124,TZ_STN,0)),INDEX(TZ_STD,MATCH(P124,TZ_STN,0))))/24,"")</f>
        <v/>
      </c>
      <c r="AH124" s="65" t="str">
        <f aca="false">IFERROR(IF(N124="N/A – rule","N/A – RULE",IF(TRIM(U124)="N/A",IF(AT124=0,"INVALID – N/A not permitted for this check",IF(AND(TRIM(AB124)&lt;&gt;"",TRIM(AB124)&lt;&gt;"Closed"),"INVALID – corrective action still open",IF(AND(NOT(OR(LEN(AZ124)&lt;15,ISNUMBER(MATCH(AZ124,L_Placeholder,0)))),NOT(OR(LEN(AU124)&lt;2,ISNUMBER(MATCH(AU124,L_Placeholder,0)))),NOT(OR(LEN(AX124)&lt;2,ISNUMBER(MATCH(AX124,L_Placeholder,0)))),TRIM(AE124)&lt;&gt;TRIM(T124)),"N/A – JUSTIFIED","INVALID – N/A needs a real justification (15+ chars), PIC and a different verifier"))),IF(OR(TRIM(U124)="Pass",TRIM(U124)="Pass after CA"),IF(NOT(ISNUMBER(AD124)),"INVALID – completion time missing",IF(OR(LEN(AU124)&lt;2,ISNUMBER(MATCH(AU124,L_Placeholder,0))),"INVALID – PIC missing",IF(OR(LEN(AV124)&lt;2,ISNUMBER(MATCH(AV124,L_Placeholder,0))),"INVALID – result / assessment missing",IF(OR(OR(LEN(AW124)&lt;3,ISNUMBER(MATCH(AW124,L_Placeholder,0))),SUMPRODUCT(--ISNUMBER(SEARCH(L_EvidencePhrase,AW124)))&gt;0),"INVALID – evidence missing, placeholder or not yet on file",IF(OR(LEN(AX124)&lt;2,ISNUMBER(MATCH(AX124,L_Placeholder,0))),"INVALID – verifier missing",IF(AX124=AU124,"INVALID – verifier must be someone other than the PIC",IF(AND(TRIM(U124)="Pass",SUMPRODUCT(--ISNUMBER(SEARCH(L_ResultBad,AV124)))&gt;0),"INVALID – result describes a problem: use Fail, then Pass after CA",IF(AND(AQ124=1,OR(LEN(AY124)&lt;3,ISNUMBER(MATCH(AY124,L_Placeholder,0)))),"INVALID – batch ID missing or placeholder",IF(AND(AR124=1,OR(NOT(ISNUMBER(X124)),NOT(ISNUMBER(Y124)))),"INVALID – expected/actual qty missing",IF(AND(AR124=1,OR(X124&lt;=0,Y124&lt;0)),"INVALID – expected qty must be above 0 and actual not negative",IF(AH108="N/A – JUSTIFIED","INVALID – preparation row F04-T12-09 is N/A",IF(AND(AR124=1,ISNUMBER(X108),X124&lt;&gt;X108),"INVALID – expected qty differs from preparation check F04-T12-09",IF(BB124&lt;&gt;"",BB124,IF(AND(AS124=1,Documents!$J$8&lt;&gt;"ON FILE"),"INVALID – GLD not on file (Documents sheet)",IF(AND(AS124=2,Documents!$O$8&lt;&gt;"ON FILE"),"INVALID – menu checklist not on file (Documents sheet)",IF(AND(AS124=3,NOT(ISNUMBER(Flights!$AX$8))),"INVALID – enter carrying flight KUL departure (Flights AX)",IF(AND(AS124=3,OR(Flights!$AZ$8&gt;Flights!$AA$8,Flights!$AX$8&lt;Flights!$AA$8-3)),"INVALID – carrying flight (Flights AX) cannot arrive before this leg's STD, or is over 3 days early",IF(AG124&gt;AsOfUTC,"INVALID – completion time is in the future",IF(AND(ISNUMBER(S124),AG124&lt;S124),IF(H124="Physical uplift","INVALID – before uplift window (cannot confirm loading)","INVALID – before valid window"),IF(AG124&gt;Flights!$AA$8,"INVALID – completed after departure (cannot establish readiness)",IF(AND(H124="Preparation",AG124&gt;IF(ISNUMBER(Flights!$BA$8),MIN(Flights!$BA$8,Flights!$AA$8),Flights!$AA$8)),"INVALID – completed after loading / departure (cannot establish readiness)",IF(AND(H124="Physical uplift",AG124&gt;Q124),"INVALID – recorded after the loading flight departed",IF(AG124&gt;Q124,"COMPLETE – LATE","COMPLETE"))))))))))))))))))))))),IF(TRIM(U124)="Fail","FAIL – DISCREPANCY",IF(AND(TRIM(U124)&lt;&gt;"",TRIM(U124)&lt;&gt;"Not started",TRIM(U124)&lt;&gt;"In progress"),"INVALID – unrecognised status (use the list)",IF(AsOfUTC&gt;Q124,"OVERDUE",IF(N124="Clarification required","OPEN – CLARIFICATION","OPEN"))))))),"INVALID – error value in an input cell")</f>
        <v>OPEN</v>
      </c>
      <c r="AI124" s="61" t="n">
        <f aca="false">IF(OR(AH124="N/A – RULE",AH124="N/A – JUSTIFIED"),0,1)</f>
        <v>1</v>
      </c>
      <c r="AJ124" s="61" t="n">
        <f aca="false">IF(LEFT(AH124,8)="COMPLETE",1,0)</f>
        <v>0</v>
      </c>
      <c r="AK124" s="61" t="n">
        <f aca="false">IF(AND(AI124=1,AJ124=0,AsOfUTC&gt;Q124),1,0)</f>
        <v>0</v>
      </c>
      <c r="AL124" s="61" t="n">
        <f aca="false">IFERROR(IF(AND(AI124=1,OR(TRIM(U124)="Fail",AND(TRIM(AB124)&lt;&gt;"",TRIM(AB124)&lt;&gt;"Closed"),AND(ISNUMBER(AF124),AF124&lt;&gt;0,TRIM(U124)&lt;&gt;"Pass after CA"))),1,0),1)</f>
        <v>0</v>
      </c>
      <c r="AM124" s="61" t="n">
        <f aca="false">IF(LEFT(AH124,7)="INVALID",1,0)</f>
        <v>0</v>
      </c>
      <c r="AN124" s="61" t="n">
        <f aca="false">IF(AND(N124="Clarification required",AI124=1,AJ124=0),1,0)</f>
        <v>0</v>
      </c>
      <c r="AO124" s="61" t="str">
        <f aca="false">IF(AK124=1,SUM(AK$5:AK124),"")</f>
        <v/>
      </c>
      <c r="AP124" s="61" t="str">
        <f aca="false">IF(AL124=1,SUM(AL$5:AL124),"")</f>
        <v/>
      </c>
      <c r="AQ124" s="61" t="n">
        <v>0</v>
      </c>
      <c r="AR124" s="61" t="n">
        <v>0</v>
      </c>
      <c r="AS124" s="61" t="n">
        <v>0</v>
      </c>
      <c r="AT124" s="61" t="n">
        <v>0</v>
      </c>
      <c r="AU124" s="61" t="str">
        <f aca="false">SUBSTITUTE(SUBSTITUTE(SUBSTITUTE(SUBSTITUTE(SUBSTITUTE(SUBSTITUTE(SUBSTITUTE(SUBSTITUTE(SUBSTITUTE(SUBSTITUTE(SUBSTITUTE(SUBSTITUTE(SUBSTITUTE(LOWER(T124&amp;""),CHAR(160),"")," ",""),".",""),"-",""),"/",""),"?",""),"_",""),",",""),"[",""),"]",""),"(",""),")",""),"*","")</f>
        <v/>
      </c>
      <c r="AV124" s="61" t="str">
        <f aca="false">SUBSTITUTE(SUBSTITUTE(SUBSTITUTE(SUBSTITUTE(SUBSTITUTE(SUBSTITUTE(SUBSTITUTE(SUBSTITUTE(SUBSTITUTE(SUBSTITUTE(SUBSTITUTE(SUBSTITUTE(SUBSTITUTE(LOWER(V124&amp;""),CHAR(160),"")," ",""),".",""),"-",""),"/",""),"?",""),"_",""),",",""),"[",""),"]",""),"(",""),")",""),"*","")</f>
        <v/>
      </c>
      <c r="AW124" s="61" t="str">
        <f aca="false">SUBSTITUTE(SUBSTITUTE(SUBSTITUTE(SUBSTITUTE(SUBSTITUTE(SUBSTITUTE(SUBSTITUTE(SUBSTITUTE(SUBSTITUTE(SUBSTITUTE(SUBSTITUTE(SUBSTITUTE(SUBSTITUTE(LOWER(Z124&amp;""),CHAR(160),"")," ",""),".",""),"-",""),"/",""),"?",""),"_",""),",",""),"[",""),"]",""),"(",""),")",""),"*","")</f>
        <v/>
      </c>
      <c r="AX124" s="61" t="str">
        <f aca="false">SUBSTITUTE(SUBSTITUTE(SUBSTITUTE(SUBSTITUTE(SUBSTITUTE(SUBSTITUTE(SUBSTITUTE(SUBSTITUTE(SUBSTITUTE(SUBSTITUTE(SUBSTITUTE(SUBSTITUTE(SUBSTITUTE(LOWER(AE124&amp;""),CHAR(160),"")," ",""),".",""),"-",""),"/",""),"?",""),"_",""),",",""),"[",""),"]",""),"(",""),")",""),"*","")</f>
        <v/>
      </c>
      <c r="AY124" s="61" t="str">
        <f aca="false">SUBSTITUTE(SUBSTITUTE(SUBSTITUTE(SUBSTITUTE(SUBSTITUTE(SUBSTITUTE(SUBSTITUTE(SUBSTITUTE(SUBSTITUTE(SUBSTITUTE(SUBSTITUTE(SUBSTITUTE(SUBSTITUTE(LOWER(W124&amp;""),CHAR(160),"")," ",""),".",""),"-",""),"/",""),"?",""),"_",""),",",""),"[",""),"]",""),"(",""),")",""),"*","")</f>
        <v/>
      </c>
      <c r="AZ124" s="61" t="str">
        <f aca="false">SUBSTITUTE(SUBSTITUTE(SUBSTITUTE(SUBSTITUTE(SUBSTITUTE(SUBSTITUTE(SUBSTITUTE(SUBSTITUTE(SUBSTITUTE(SUBSTITUTE(SUBSTITUTE(SUBSTITUTE(SUBSTITUTE(LOWER(AC124&amp;""),CHAR(160),"")," ",""),".",""),"-",""),"/",""),"?",""),"_",""),",",""),"[",""),"]",""),"(",""),")",""),"*","")</f>
        <v/>
      </c>
      <c r="BA124" s="61" t="str">
        <f aca="false">SUBSTITUTE(SUBSTITUTE(SUBSTITUTE(SUBSTITUTE(SUBSTITUTE(SUBSTITUTE(SUBSTITUTE(SUBSTITUTE(SUBSTITUTE(SUBSTITUTE(SUBSTITUTE(SUBSTITUTE(SUBSTITUTE(LOWER(AA124&amp;""),CHAR(160),"")," ",""),".",""),"-",""),"/",""),"?",""),"_",""),",",""),"[",""),"]",""),"(",""),")",""),"*","")</f>
        <v/>
      </c>
      <c r="BB124" s="61" t="str">
        <f aca="false">IF(AND(TRIM(U124)="Pass",ISNUMBER(AF124)),IF(AF124&lt;&gt;0,"INVALID – qty variance: use Fail or Pass after CA",""),"")&amp;IF(AND(TRIM(U124)="Pass after CA",ISNUMBER(AF124)),IF(AF124&lt;&gt;0,"INVALID – after the corrective action the actual qty must equal expected (update Actual)",""),"")&amp;IF(AND(TRIM(U124)="Pass",TRIM(AB124)&lt;&gt;"",TRIM(AB124)&lt;&gt;"Closed"),"INVALID – corrective action not closed: use Fail, then Pass after CA","")&amp;IF(AND(TRIM(AA124)&lt;&gt;"",TRIM(AB124)=""),"INVALID – CA status missing for the recorded corrective action","")&amp;IF(AND(TRIM(U124)="Pass after CA",OR(OR(LEN(BA124)&lt;5,ISNUMBER(MATCH(BA124,L_Placeholder,0))),TRIM(AB124)&lt;&gt;"Closed")),"INVALID – corrective action not recorded/closed","")</f>
        <v/>
      </c>
    </row>
    <row r="125" customFormat="false" ht="39.75" hidden="false" customHeight="true" outlineLevel="0" collapsed="false">
      <c r="A125" s="57" t="s">
        <v>622</v>
      </c>
      <c r="B125" s="57" t="s">
        <v>215</v>
      </c>
      <c r="C125" s="57" t="str">
        <f aca="false">Flights!$F$8</f>
        <v>MH0088</v>
      </c>
      <c r="D125" s="58" t="n">
        <f aca="false">Flights!$D$8</f>
        <v>46305</v>
      </c>
      <c r="E125" s="57" t="str">
        <f aca="false">Flights!$G$8&amp;"-"&amp;Flights!$H$8</f>
        <v>KUL-NRT</v>
      </c>
      <c r="F125" s="57" t="str">
        <f aca="false">Flights!$K$8</f>
        <v>BC</v>
      </c>
      <c r="G125" s="57" t="s">
        <v>437</v>
      </c>
      <c r="H125" s="57" t="s">
        <v>438</v>
      </c>
      <c r="I125" s="57" t="s">
        <v>477</v>
      </c>
      <c r="J125" s="57" t="s">
        <v>515</v>
      </c>
      <c r="K125" s="67" t="s">
        <v>479</v>
      </c>
      <c r="L125" s="67" t="s">
        <v>584</v>
      </c>
      <c r="M125" s="67" t="s">
        <v>429</v>
      </c>
      <c r="N125" s="67" t="s">
        <v>361</v>
      </c>
      <c r="O125" s="67"/>
      <c r="P125" s="57" t="s">
        <v>184</v>
      </c>
      <c r="Q125" s="59" t="n">
        <f aca="false">ROUND((Flights!$AF$8)*1440,0)/1440</f>
        <v>46305.6458333333</v>
      </c>
      <c r="R125" s="59" t="n">
        <f aca="false">Q125+(IF(AND(INDEX(TZ_DSTS,MATCH(P125,TZ_STN,0))&lt;&gt;"",Q125&gt;=INDEX(TZ_DSTS,MATCH(P125,TZ_STN,0)),Q125&lt;INDEX(TZ_DSTE,MATCH(P125,TZ_STN,0))),INDEX(TZ_DST,MATCH(P125,TZ_STN,0)),INDEX(TZ_STD,MATCH(P125,TZ_STN,0))))/24</f>
        <v>46305.9791666667</v>
      </c>
      <c r="S125" s="59" t="n">
        <f aca="false">IF(ISNUMBER(Flights!$AZ$8),MAX(Q125-UpliftWindowH/24,Flights!$AZ$8),Q125-UpliftWindowH/24)</f>
        <v>46305.3958333333</v>
      </c>
      <c r="T125" s="60"/>
      <c r="U125" s="60"/>
      <c r="V125" s="60"/>
      <c r="W125" s="61"/>
      <c r="X125" s="60"/>
      <c r="Y125" s="60"/>
      <c r="Z125" s="60"/>
      <c r="AA125" s="60"/>
      <c r="AB125" s="60"/>
      <c r="AC125" s="60"/>
      <c r="AD125" s="66"/>
      <c r="AE125" s="60"/>
      <c r="AF125" s="61" t="str">
        <f aca="false">IF(AND(ISNUMBER(X125),ISNUMBER(Y125)),Y125-X125,"")</f>
        <v/>
      </c>
      <c r="AG125" s="62" t="str">
        <f aca="false">IF(ISNUMBER(AD125),AD125-(IF(AND(INDEX(TZ_DSTS,MATCH(P125,TZ_STN,0))&lt;&gt;"",(AD125-INDEX(TZ_STD,MATCH(P125,TZ_STN,0))/24)&gt;=INDEX(TZ_DSTS,MATCH(P125,TZ_STN,0)),(AD125-INDEX(TZ_STD,MATCH(P125,TZ_STN,0))/24)&lt;INDEX(TZ_DSTE,MATCH(P125,TZ_STN,0))),INDEX(TZ_DST,MATCH(P125,TZ_STN,0)),INDEX(TZ_STD,MATCH(P125,TZ_STN,0))))/24,"")</f>
        <v/>
      </c>
      <c r="AH125" s="65" t="str">
        <f aca="false">IFERROR(IF(N125="N/A – rule","N/A – RULE",IF(TRIM(U125)="N/A",IF(AT125=0,"INVALID – N/A not permitted for this check",IF(AND(TRIM(AB125)&lt;&gt;"",TRIM(AB125)&lt;&gt;"Closed"),"INVALID – corrective action still open",IF(AND(NOT(OR(LEN(AZ125)&lt;15,ISNUMBER(MATCH(AZ125,L_Placeholder,0)))),NOT(OR(LEN(AU125)&lt;2,ISNUMBER(MATCH(AU125,L_Placeholder,0)))),NOT(OR(LEN(AX125)&lt;2,ISNUMBER(MATCH(AX125,L_Placeholder,0)))),TRIM(AE125)&lt;&gt;TRIM(T125)),"N/A – JUSTIFIED","INVALID – N/A needs a real justification (15+ chars), PIC and a different verifier"))),IF(OR(TRIM(U125)="Pass",TRIM(U125)="Pass after CA"),IF(NOT(ISNUMBER(AD125)),"INVALID – completion time missing",IF(OR(LEN(AU125)&lt;2,ISNUMBER(MATCH(AU125,L_Placeholder,0))),"INVALID – PIC missing",IF(OR(LEN(AV125)&lt;2,ISNUMBER(MATCH(AV125,L_Placeholder,0))),"INVALID – result / assessment missing",IF(OR(OR(LEN(AW125)&lt;3,ISNUMBER(MATCH(AW125,L_Placeholder,0))),SUMPRODUCT(--ISNUMBER(SEARCH(L_EvidencePhrase,AW125)))&gt;0),"INVALID – evidence missing, placeholder or not yet on file",IF(OR(LEN(AX125)&lt;2,ISNUMBER(MATCH(AX125,L_Placeholder,0))),"INVALID – verifier missing",IF(AX125=AU125,"INVALID – verifier must be someone other than the PIC",IF(AND(TRIM(U125)="Pass",SUMPRODUCT(--ISNUMBER(SEARCH(L_ResultBad,AV125)))&gt;0),"INVALID – result describes a problem: use Fail, then Pass after CA",IF(AND(AQ125=1,OR(LEN(AY125)&lt;3,ISNUMBER(MATCH(AY125,L_Placeholder,0)))),"INVALID – batch ID missing or placeholder",IF(AND(AR125=1,OR(NOT(ISNUMBER(X125)),NOT(ISNUMBER(Y125)))),"INVALID – expected/actual qty missing",IF(AND(AR125=1,OR(X125&lt;=0,Y125&lt;0)),"INVALID – expected qty must be above 0 and actual not negative",IF(AH109="N/A – JUSTIFIED","INVALID – preparation row F04-T12-10 is N/A",IF(AND(AR125=1,ISNUMBER(X109),X125&lt;&gt;X109),"INVALID – expected qty differs from preparation check F04-T12-10",IF(BB125&lt;&gt;"",BB125,IF(AND(AS125=1,Documents!$J$8&lt;&gt;"ON FILE"),"INVALID – GLD not on file (Documents sheet)",IF(AND(AS125=2,Documents!$O$8&lt;&gt;"ON FILE"),"INVALID – menu checklist not on file (Documents sheet)",IF(AND(AS125=3,NOT(ISNUMBER(Flights!$AX$8))),"INVALID – enter carrying flight KUL departure (Flights AX)",IF(AND(AS125=3,OR(Flights!$AZ$8&gt;Flights!$AA$8,Flights!$AX$8&lt;Flights!$AA$8-3)),"INVALID – carrying flight (Flights AX) cannot arrive before this leg's STD, or is over 3 days early",IF(AG125&gt;AsOfUTC,"INVALID – completion time is in the future",IF(AND(ISNUMBER(S125),AG125&lt;S125),IF(H125="Physical uplift","INVALID – before uplift window (cannot confirm loading)","INVALID – before valid window"),IF(AG125&gt;Flights!$AA$8,"INVALID – completed after departure (cannot establish readiness)",IF(AND(H125="Preparation",AG125&gt;IF(ISNUMBER(Flights!$BA$8),MIN(Flights!$BA$8,Flights!$AA$8),Flights!$AA$8)),"INVALID – completed after loading / departure (cannot establish readiness)",IF(AND(H125="Physical uplift",AG125&gt;Q125),"INVALID – recorded after the loading flight departed",IF(AG125&gt;Q125,"COMPLETE – LATE","COMPLETE"))))))))))))))))))))))),IF(TRIM(U125)="Fail","FAIL – DISCREPANCY",IF(AND(TRIM(U125)&lt;&gt;"",TRIM(U125)&lt;&gt;"Not started",TRIM(U125)&lt;&gt;"In progress"),"INVALID – unrecognised status (use the list)",IF(AsOfUTC&gt;Q125,"OVERDUE",IF(N125="Clarification required","OPEN – CLARIFICATION","OPEN"))))))),"INVALID – error value in an input cell")</f>
        <v>OPEN</v>
      </c>
      <c r="AI125" s="61" t="n">
        <f aca="false">IF(OR(AH125="N/A – RULE",AH125="N/A – JUSTIFIED"),0,1)</f>
        <v>1</v>
      </c>
      <c r="AJ125" s="61" t="n">
        <f aca="false">IF(LEFT(AH125,8)="COMPLETE",1,0)</f>
        <v>0</v>
      </c>
      <c r="AK125" s="61" t="n">
        <f aca="false">IF(AND(AI125=1,AJ125=0,AsOfUTC&gt;Q125),1,0)</f>
        <v>0</v>
      </c>
      <c r="AL125" s="61" t="n">
        <f aca="false">IFERROR(IF(AND(AI125=1,OR(TRIM(U125)="Fail",AND(TRIM(AB125)&lt;&gt;"",TRIM(AB125)&lt;&gt;"Closed"),AND(ISNUMBER(AF125),AF125&lt;&gt;0,TRIM(U125)&lt;&gt;"Pass after CA"))),1,0),1)</f>
        <v>0</v>
      </c>
      <c r="AM125" s="61" t="n">
        <f aca="false">IF(LEFT(AH125,7)="INVALID",1,0)</f>
        <v>0</v>
      </c>
      <c r="AN125" s="61" t="n">
        <f aca="false">IF(AND(N125="Clarification required",AI125=1,AJ125=0),1,0)</f>
        <v>0</v>
      </c>
      <c r="AO125" s="61" t="str">
        <f aca="false">IF(AK125=1,SUM(AK$5:AK125),"")</f>
        <v/>
      </c>
      <c r="AP125" s="61" t="str">
        <f aca="false">IF(AL125=1,SUM(AL$5:AL125),"")</f>
        <v/>
      </c>
      <c r="AQ125" s="61" t="n">
        <v>0</v>
      </c>
      <c r="AR125" s="61" t="n">
        <v>0</v>
      </c>
      <c r="AS125" s="61" t="n">
        <v>0</v>
      </c>
      <c r="AT125" s="61" t="n">
        <v>0</v>
      </c>
      <c r="AU125" s="61" t="str">
        <f aca="false">SUBSTITUTE(SUBSTITUTE(SUBSTITUTE(SUBSTITUTE(SUBSTITUTE(SUBSTITUTE(SUBSTITUTE(SUBSTITUTE(SUBSTITUTE(SUBSTITUTE(SUBSTITUTE(SUBSTITUTE(SUBSTITUTE(LOWER(T125&amp;""),CHAR(160),"")," ",""),".",""),"-",""),"/",""),"?",""),"_",""),",",""),"[",""),"]",""),"(",""),")",""),"*","")</f>
        <v/>
      </c>
      <c r="AV125" s="61" t="str">
        <f aca="false">SUBSTITUTE(SUBSTITUTE(SUBSTITUTE(SUBSTITUTE(SUBSTITUTE(SUBSTITUTE(SUBSTITUTE(SUBSTITUTE(SUBSTITUTE(SUBSTITUTE(SUBSTITUTE(SUBSTITUTE(SUBSTITUTE(LOWER(V125&amp;""),CHAR(160),"")," ",""),".",""),"-",""),"/",""),"?",""),"_",""),",",""),"[",""),"]",""),"(",""),")",""),"*","")</f>
        <v/>
      </c>
      <c r="AW125" s="61" t="str">
        <f aca="false">SUBSTITUTE(SUBSTITUTE(SUBSTITUTE(SUBSTITUTE(SUBSTITUTE(SUBSTITUTE(SUBSTITUTE(SUBSTITUTE(SUBSTITUTE(SUBSTITUTE(SUBSTITUTE(SUBSTITUTE(SUBSTITUTE(LOWER(Z125&amp;""),CHAR(160),"")," ",""),".",""),"-",""),"/",""),"?",""),"_",""),",",""),"[",""),"]",""),"(",""),")",""),"*","")</f>
        <v/>
      </c>
      <c r="AX125" s="61" t="str">
        <f aca="false">SUBSTITUTE(SUBSTITUTE(SUBSTITUTE(SUBSTITUTE(SUBSTITUTE(SUBSTITUTE(SUBSTITUTE(SUBSTITUTE(SUBSTITUTE(SUBSTITUTE(SUBSTITUTE(SUBSTITUTE(SUBSTITUTE(LOWER(AE125&amp;""),CHAR(160),"")," ",""),".",""),"-",""),"/",""),"?",""),"_",""),",",""),"[",""),"]",""),"(",""),")",""),"*","")</f>
        <v/>
      </c>
      <c r="AY125" s="61" t="str">
        <f aca="false">SUBSTITUTE(SUBSTITUTE(SUBSTITUTE(SUBSTITUTE(SUBSTITUTE(SUBSTITUTE(SUBSTITUTE(SUBSTITUTE(SUBSTITUTE(SUBSTITUTE(SUBSTITUTE(SUBSTITUTE(SUBSTITUTE(LOWER(W125&amp;""),CHAR(160),"")," ",""),".",""),"-",""),"/",""),"?",""),"_",""),",",""),"[",""),"]",""),"(",""),")",""),"*","")</f>
        <v/>
      </c>
      <c r="AZ125" s="61" t="str">
        <f aca="false">SUBSTITUTE(SUBSTITUTE(SUBSTITUTE(SUBSTITUTE(SUBSTITUTE(SUBSTITUTE(SUBSTITUTE(SUBSTITUTE(SUBSTITUTE(SUBSTITUTE(SUBSTITUTE(SUBSTITUTE(SUBSTITUTE(LOWER(AC125&amp;""),CHAR(160),"")," ",""),".",""),"-",""),"/",""),"?",""),"_",""),",",""),"[",""),"]",""),"(",""),")",""),"*","")</f>
        <v/>
      </c>
      <c r="BA125" s="61" t="str">
        <f aca="false">SUBSTITUTE(SUBSTITUTE(SUBSTITUTE(SUBSTITUTE(SUBSTITUTE(SUBSTITUTE(SUBSTITUTE(SUBSTITUTE(SUBSTITUTE(SUBSTITUTE(SUBSTITUTE(SUBSTITUTE(SUBSTITUTE(LOWER(AA125&amp;""),CHAR(160),"")," ",""),".",""),"-",""),"/",""),"?",""),"_",""),",",""),"[",""),"]",""),"(",""),")",""),"*","")</f>
        <v/>
      </c>
      <c r="BB125" s="61" t="str">
        <f aca="false">IF(AND(TRIM(U125)="Pass",ISNUMBER(AF125)),IF(AF125&lt;&gt;0,"INVALID – qty variance: use Fail or Pass after CA",""),"")&amp;IF(AND(TRIM(U125)="Pass after CA",ISNUMBER(AF125)),IF(AF125&lt;&gt;0,"INVALID – after the corrective action the actual qty must equal expected (update Actual)",""),"")&amp;IF(AND(TRIM(U125)="Pass",TRIM(AB125)&lt;&gt;"",TRIM(AB125)&lt;&gt;"Closed"),"INVALID – corrective action not closed: use Fail, then Pass after CA","")&amp;IF(AND(TRIM(AA125)&lt;&gt;"",TRIM(AB125)=""),"INVALID – CA status missing for the recorded corrective action","")&amp;IF(AND(TRIM(U125)="Pass after CA",OR(OR(LEN(BA125)&lt;5,ISNUMBER(MATCH(BA125,L_Placeholder,0))),TRIM(AB125)&lt;&gt;"Closed")),"INVALID – corrective action not recorded/closed","")</f>
        <v/>
      </c>
    </row>
    <row r="126" customFormat="false" ht="39.75" hidden="false" customHeight="true" outlineLevel="0" collapsed="false">
      <c r="A126" s="57" t="s">
        <v>623</v>
      </c>
      <c r="B126" s="57" t="s">
        <v>215</v>
      </c>
      <c r="C126" s="57" t="str">
        <f aca="false">Flights!$F$8</f>
        <v>MH0088</v>
      </c>
      <c r="D126" s="58" t="n">
        <f aca="false">Flights!$D$8</f>
        <v>46305</v>
      </c>
      <c r="E126" s="57" t="str">
        <f aca="false">Flights!$G$8&amp;"-"&amp;Flights!$H$8</f>
        <v>KUL-NRT</v>
      </c>
      <c r="F126" s="57" t="str">
        <f aca="false">Flights!$K$8</f>
        <v>BC</v>
      </c>
      <c r="G126" s="57" t="s">
        <v>437</v>
      </c>
      <c r="H126" s="57" t="s">
        <v>438</v>
      </c>
      <c r="I126" s="57" t="s">
        <v>477</v>
      </c>
      <c r="J126" s="57" t="s">
        <v>517</v>
      </c>
      <c r="K126" s="67" t="s">
        <v>479</v>
      </c>
      <c r="L126" s="67" t="s">
        <v>586</v>
      </c>
      <c r="M126" s="67" t="s">
        <v>429</v>
      </c>
      <c r="N126" s="67" t="s">
        <v>361</v>
      </c>
      <c r="O126" s="67"/>
      <c r="P126" s="57" t="s">
        <v>184</v>
      </c>
      <c r="Q126" s="59" t="n">
        <f aca="false">ROUND((Flights!$AF$8)*1440,0)/1440</f>
        <v>46305.6458333333</v>
      </c>
      <c r="R126" s="59" t="n">
        <f aca="false">Q126+(IF(AND(INDEX(TZ_DSTS,MATCH(P126,TZ_STN,0))&lt;&gt;"",Q126&gt;=INDEX(TZ_DSTS,MATCH(P126,TZ_STN,0)),Q126&lt;INDEX(TZ_DSTE,MATCH(P126,TZ_STN,0))),INDEX(TZ_DST,MATCH(P126,TZ_STN,0)),INDEX(TZ_STD,MATCH(P126,TZ_STN,0))))/24</f>
        <v>46305.9791666667</v>
      </c>
      <c r="S126" s="59" t="n">
        <f aca="false">IF(ISNUMBER(Flights!$AZ$8),MAX(Q126-UpliftWindowH/24,Flights!$AZ$8),Q126-UpliftWindowH/24)</f>
        <v>46305.3958333333</v>
      </c>
      <c r="T126" s="60"/>
      <c r="U126" s="60"/>
      <c r="V126" s="60"/>
      <c r="W126" s="61"/>
      <c r="X126" s="60"/>
      <c r="Y126" s="60"/>
      <c r="Z126" s="60"/>
      <c r="AA126" s="60"/>
      <c r="AB126" s="60"/>
      <c r="AC126" s="60"/>
      <c r="AD126" s="66"/>
      <c r="AE126" s="60"/>
      <c r="AF126" s="61" t="str">
        <f aca="false">IF(AND(ISNUMBER(X126),ISNUMBER(Y126)),Y126-X126,"")</f>
        <v/>
      </c>
      <c r="AG126" s="62" t="str">
        <f aca="false">IF(ISNUMBER(AD126),AD126-(IF(AND(INDEX(TZ_DSTS,MATCH(P126,TZ_STN,0))&lt;&gt;"",(AD126-INDEX(TZ_STD,MATCH(P126,TZ_STN,0))/24)&gt;=INDEX(TZ_DSTS,MATCH(P126,TZ_STN,0)),(AD126-INDEX(TZ_STD,MATCH(P126,TZ_STN,0))/24)&lt;INDEX(TZ_DSTE,MATCH(P126,TZ_STN,0))),INDEX(TZ_DST,MATCH(P126,TZ_STN,0)),INDEX(TZ_STD,MATCH(P126,TZ_STN,0))))/24,"")</f>
        <v/>
      </c>
      <c r="AH126" s="65" t="str">
        <f aca="false">IFERROR(IF(N126="N/A – rule","N/A – RULE",IF(TRIM(U126)="N/A",IF(AT126=0,"INVALID – N/A not permitted for this check",IF(AND(TRIM(AB126)&lt;&gt;"",TRIM(AB126)&lt;&gt;"Closed"),"INVALID – corrective action still open",IF(AND(NOT(OR(LEN(AZ126)&lt;15,ISNUMBER(MATCH(AZ126,L_Placeholder,0)))),NOT(OR(LEN(AU126)&lt;2,ISNUMBER(MATCH(AU126,L_Placeholder,0)))),NOT(OR(LEN(AX126)&lt;2,ISNUMBER(MATCH(AX126,L_Placeholder,0)))),TRIM(AE126)&lt;&gt;TRIM(T126)),"N/A – JUSTIFIED","INVALID – N/A needs a real justification (15+ chars), PIC and a different verifier"))),IF(OR(TRIM(U126)="Pass",TRIM(U126)="Pass after CA"),IF(NOT(ISNUMBER(AD126)),"INVALID – completion time missing",IF(OR(LEN(AU126)&lt;2,ISNUMBER(MATCH(AU126,L_Placeholder,0))),"INVALID – PIC missing",IF(OR(LEN(AV126)&lt;2,ISNUMBER(MATCH(AV126,L_Placeholder,0))),"INVALID – result / assessment missing",IF(OR(OR(LEN(AW126)&lt;3,ISNUMBER(MATCH(AW126,L_Placeholder,0))),SUMPRODUCT(--ISNUMBER(SEARCH(L_EvidencePhrase,AW126)))&gt;0),"INVALID – evidence missing, placeholder or not yet on file",IF(OR(LEN(AX126)&lt;2,ISNUMBER(MATCH(AX126,L_Placeholder,0))),"INVALID – verifier missing",IF(AX126=AU126,"INVALID – verifier must be someone other than the PIC",IF(AND(TRIM(U126)="Pass",SUMPRODUCT(--ISNUMBER(SEARCH(L_ResultBad,AV126)))&gt;0),"INVALID – result describes a problem: use Fail, then Pass after CA",IF(AND(AQ126=1,OR(LEN(AY126)&lt;3,ISNUMBER(MATCH(AY126,L_Placeholder,0)))),"INVALID – batch ID missing or placeholder",IF(AND(AR126=1,OR(NOT(ISNUMBER(X126)),NOT(ISNUMBER(Y126)))),"INVALID – expected/actual qty missing",IF(AND(AR126=1,OR(X126&lt;=0,Y126&lt;0)),"INVALID – expected qty must be above 0 and actual not negative",IF(AH110="N/A – JUSTIFIED","INVALID – preparation row F04-T12-11 is N/A",IF(AND(AR126=1,ISNUMBER(X110),X126&lt;&gt;X110),"INVALID – expected qty differs from preparation check F04-T12-11",IF(BB126&lt;&gt;"",BB126,IF(AND(AS126=1,Documents!$J$8&lt;&gt;"ON FILE"),"INVALID – GLD not on file (Documents sheet)",IF(AND(AS126=2,Documents!$O$8&lt;&gt;"ON FILE"),"INVALID – menu checklist not on file (Documents sheet)",IF(AND(AS126=3,NOT(ISNUMBER(Flights!$AX$8))),"INVALID – enter carrying flight KUL departure (Flights AX)",IF(AND(AS126=3,OR(Flights!$AZ$8&gt;Flights!$AA$8,Flights!$AX$8&lt;Flights!$AA$8-3)),"INVALID – carrying flight (Flights AX) cannot arrive before this leg's STD, or is over 3 days early",IF(AG126&gt;AsOfUTC,"INVALID – completion time is in the future",IF(AND(ISNUMBER(S126),AG126&lt;S126),IF(H126="Physical uplift","INVALID – before uplift window (cannot confirm loading)","INVALID – before valid window"),IF(AG126&gt;Flights!$AA$8,"INVALID – completed after departure (cannot establish readiness)",IF(AND(H126="Preparation",AG126&gt;IF(ISNUMBER(Flights!$BA$8),MIN(Flights!$BA$8,Flights!$AA$8),Flights!$AA$8)),"INVALID – completed after loading / departure (cannot establish readiness)",IF(AND(H126="Physical uplift",AG126&gt;Q126),"INVALID – recorded after the loading flight departed",IF(AG126&gt;Q126,"COMPLETE – LATE","COMPLETE"))))))))))))))))))))))),IF(TRIM(U126)="Fail","FAIL – DISCREPANCY",IF(AND(TRIM(U126)&lt;&gt;"",TRIM(U126)&lt;&gt;"Not started",TRIM(U126)&lt;&gt;"In progress"),"INVALID – unrecognised status (use the list)",IF(AsOfUTC&gt;Q126,"OVERDUE",IF(N126="Clarification required","OPEN – CLARIFICATION","OPEN"))))))),"INVALID – error value in an input cell")</f>
        <v>OPEN</v>
      </c>
      <c r="AI126" s="61" t="n">
        <f aca="false">IF(OR(AH126="N/A – RULE",AH126="N/A – JUSTIFIED"),0,1)</f>
        <v>1</v>
      </c>
      <c r="AJ126" s="61" t="n">
        <f aca="false">IF(LEFT(AH126,8)="COMPLETE",1,0)</f>
        <v>0</v>
      </c>
      <c r="AK126" s="61" t="n">
        <f aca="false">IF(AND(AI126=1,AJ126=0,AsOfUTC&gt;Q126),1,0)</f>
        <v>0</v>
      </c>
      <c r="AL126" s="61" t="n">
        <f aca="false">IFERROR(IF(AND(AI126=1,OR(TRIM(U126)="Fail",AND(TRIM(AB126)&lt;&gt;"",TRIM(AB126)&lt;&gt;"Closed"),AND(ISNUMBER(AF126),AF126&lt;&gt;0,TRIM(U126)&lt;&gt;"Pass after CA"))),1,0),1)</f>
        <v>0</v>
      </c>
      <c r="AM126" s="61" t="n">
        <f aca="false">IF(LEFT(AH126,7)="INVALID",1,0)</f>
        <v>0</v>
      </c>
      <c r="AN126" s="61" t="n">
        <f aca="false">IF(AND(N126="Clarification required",AI126=1,AJ126=0),1,0)</f>
        <v>0</v>
      </c>
      <c r="AO126" s="61" t="str">
        <f aca="false">IF(AK126=1,SUM(AK$5:AK126),"")</f>
        <v/>
      </c>
      <c r="AP126" s="61" t="str">
        <f aca="false">IF(AL126=1,SUM(AL$5:AL126),"")</f>
        <v/>
      </c>
      <c r="AQ126" s="61" t="n">
        <v>0</v>
      </c>
      <c r="AR126" s="61" t="n">
        <v>0</v>
      </c>
      <c r="AS126" s="61" t="n">
        <v>0</v>
      </c>
      <c r="AT126" s="61" t="n">
        <v>0</v>
      </c>
      <c r="AU126" s="61" t="str">
        <f aca="false">SUBSTITUTE(SUBSTITUTE(SUBSTITUTE(SUBSTITUTE(SUBSTITUTE(SUBSTITUTE(SUBSTITUTE(SUBSTITUTE(SUBSTITUTE(SUBSTITUTE(SUBSTITUTE(SUBSTITUTE(SUBSTITUTE(LOWER(T126&amp;""),CHAR(160),"")," ",""),".",""),"-",""),"/",""),"?",""),"_",""),",",""),"[",""),"]",""),"(",""),")",""),"*","")</f>
        <v/>
      </c>
      <c r="AV126" s="61" t="str">
        <f aca="false">SUBSTITUTE(SUBSTITUTE(SUBSTITUTE(SUBSTITUTE(SUBSTITUTE(SUBSTITUTE(SUBSTITUTE(SUBSTITUTE(SUBSTITUTE(SUBSTITUTE(SUBSTITUTE(SUBSTITUTE(SUBSTITUTE(LOWER(V126&amp;""),CHAR(160),"")," ",""),".",""),"-",""),"/",""),"?",""),"_",""),",",""),"[",""),"]",""),"(",""),")",""),"*","")</f>
        <v/>
      </c>
      <c r="AW126" s="61" t="str">
        <f aca="false">SUBSTITUTE(SUBSTITUTE(SUBSTITUTE(SUBSTITUTE(SUBSTITUTE(SUBSTITUTE(SUBSTITUTE(SUBSTITUTE(SUBSTITUTE(SUBSTITUTE(SUBSTITUTE(SUBSTITUTE(SUBSTITUTE(LOWER(Z126&amp;""),CHAR(160),"")," ",""),".",""),"-",""),"/",""),"?",""),"_",""),",",""),"[",""),"]",""),"(",""),")",""),"*","")</f>
        <v/>
      </c>
      <c r="AX126" s="61" t="str">
        <f aca="false">SUBSTITUTE(SUBSTITUTE(SUBSTITUTE(SUBSTITUTE(SUBSTITUTE(SUBSTITUTE(SUBSTITUTE(SUBSTITUTE(SUBSTITUTE(SUBSTITUTE(SUBSTITUTE(SUBSTITUTE(SUBSTITUTE(LOWER(AE126&amp;""),CHAR(160),"")," ",""),".",""),"-",""),"/",""),"?",""),"_",""),",",""),"[",""),"]",""),"(",""),")",""),"*","")</f>
        <v/>
      </c>
      <c r="AY126" s="61" t="str">
        <f aca="false">SUBSTITUTE(SUBSTITUTE(SUBSTITUTE(SUBSTITUTE(SUBSTITUTE(SUBSTITUTE(SUBSTITUTE(SUBSTITUTE(SUBSTITUTE(SUBSTITUTE(SUBSTITUTE(SUBSTITUTE(SUBSTITUTE(LOWER(W126&amp;""),CHAR(160),"")," ",""),".",""),"-",""),"/",""),"?",""),"_",""),",",""),"[",""),"]",""),"(",""),")",""),"*","")</f>
        <v/>
      </c>
      <c r="AZ126" s="61" t="str">
        <f aca="false">SUBSTITUTE(SUBSTITUTE(SUBSTITUTE(SUBSTITUTE(SUBSTITUTE(SUBSTITUTE(SUBSTITUTE(SUBSTITUTE(SUBSTITUTE(SUBSTITUTE(SUBSTITUTE(SUBSTITUTE(SUBSTITUTE(LOWER(AC126&amp;""),CHAR(160),"")," ",""),".",""),"-",""),"/",""),"?",""),"_",""),",",""),"[",""),"]",""),"(",""),")",""),"*","")</f>
        <v/>
      </c>
      <c r="BA126" s="61" t="str">
        <f aca="false">SUBSTITUTE(SUBSTITUTE(SUBSTITUTE(SUBSTITUTE(SUBSTITUTE(SUBSTITUTE(SUBSTITUTE(SUBSTITUTE(SUBSTITUTE(SUBSTITUTE(SUBSTITUTE(SUBSTITUTE(SUBSTITUTE(LOWER(AA126&amp;""),CHAR(160),"")," ",""),".",""),"-",""),"/",""),"?",""),"_",""),",",""),"[",""),"]",""),"(",""),")",""),"*","")</f>
        <v/>
      </c>
      <c r="BB126" s="61" t="str">
        <f aca="false">IF(AND(TRIM(U126)="Pass",ISNUMBER(AF126)),IF(AF126&lt;&gt;0,"INVALID – qty variance: use Fail or Pass after CA",""),"")&amp;IF(AND(TRIM(U126)="Pass after CA",ISNUMBER(AF126)),IF(AF126&lt;&gt;0,"INVALID – after the corrective action the actual qty must equal expected (update Actual)",""),"")&amp;IF(AND(TRIM(U126)="Pass",TRIM(AB126)&lt;&gt;"",TRIM(AB126)&lt;&gt;"Closed"),"INVALID – corrective action not closed: use Fail, then Pass after CA","")&amp;IF(AND(TRIM(AA126)&lt;&gt;"",TRIM(AB126)=""),"INVALID – CA status missing for the recorded corrective action","")&amp;IF(AND(TRIM(U126)="Pass after CA",OR(OR(LEN(BA126)&lt;5,ISNUMBER(MATCH(BA126,L_Placeholder,0))),TRIM(AB126)&lt;&gt;"Closed")),"INVALID – corrective action not recorded/closed","")</f>
        <v/>
      </c>
    </row>
    <row r="127" customFormat="false" ht="39.75" hidden="false" customHeight="true" outlineLevel="0" collapsed="false">
      <c r="A127" s="57" t="s">
        <v>624</v>
      </c>
      <c r="B127" s="57" t="s">
        <v>215</v>
      </c>
      <c r="C127" s="57" t="str">
        <f aca="false">Flights!$F$8</f>
        <v>MH0088</v>
      </c>
      <c r="D127" s="58" t="n">
        <f aca="false">Flights!$D$8</f>
        <v>46305</v>
      </c>
      <c r="E127" s="57" t="str">
        <f aca="false">Flights!$G$8&amp;"-"&amp;Flights!$H$8</f>
        <v>KUL-NRT</v>
      </c>
      <c r="F127" s="57" t="str">
        <f aca="false">Flights!$K$8</f>
        <v>BC</v>
      </c>
      <c r="G127" s="57" t="s">
        <v>437</v>
      </c>
      <c r="H127" s="57" t="s">
        <v>438</v>
      </c>
      <c r="I127" s="57" t="s">
        <v>477</v>
      </c>
      <c r="J127" s="57" t="s">
        <v>519</v>
      </c>
      <c r="K127" s="67" t="s">
        <v>479</v>
      </c>
      <c r="L127" s="67" t="s">
        <v>588</v>
      </c>
      <c r="M127" s="67" t="s">
        <v>429</v>
      </c>
      <c r="N127" s="67" t="s">
        <v>361</v>
      </c>
      <c r="O127" s="67"/>
      <c r="P127" s="57" t="s">
        <v>184</v>
      </c>
      <c r="Q127" s="59" t="n">
        <f aca="false">ROUND((Flights!$AF$8)*1440,0)/1440</f>
        <v>46305.6458333333</v>
      </c>
      <c r="R127" s="59" t="n">
        <f aca="false">Q127+(IF(AND(INDEX(TZ_DSTS,MATCH(P127,TZ_STN,0))&lt;&gt;"",Q127&gt;=INDEX(TZ_DSTS,MATCH(P127,TZ_STN,0)),Q127&lt;INDEX(TZ_DSTE,MATCH(P127,TZ_STN,0))),INDEX(TZ_DST,MATCH(P127,TZ_STN,0)),INDEX(TZ_STD,MATCH(P127,TZ_STN,0))))/24</f>
        <v>46305.9791666667</v>
      </c>
      <c r="S127" s="59" t="n">
        <f aca="false">IF(ISNUMBER(Flights!$AZ$8),MAX(Q127-UpliftWindowH/24,Flights!$AZ$8),Q127-UpliftWindowH/24)</f>
        <v>46305.3958333333</v>
      </c>
      <c r="T127" s="60"/>
      <c r="U127" s="60"/>
      <c r="V127" s="60"/>
      <c r="W127" s="61"/>
      <c r="X127" s="60"/>
      <c r="Y127" s="60"/>
      <c r="Z127" s="60"/>
      <c r="AA127" s="60"/>
      <c r="AB127" s="60"/>
      <c r="AC127" s="60"/>
      <c r="AD127" s="66"/>
      <c r="AE127" s="60"/>
      <c r="AF127" s="61" t="str">
        <f aca="false">IF(AND(ISNUMBER(X127),ISNUMBER(Y127)),Y127-X127,"")</f>
        <v/>
      </c>
      <c r="AG127" s="62" t="str">
        <f aca="false">IF(ISNUMBER(AD127),AD127-(IF(AND(INDEX(TZ_DSTS,MATCH(P127,TZ_STN,0))&lt;&gt;"",(AD127-INDEX(TZ_STD,MATCH(P127,TZ_STN,0))/24)&gt;=INDEX(TZ_DSTS,MATCH(P127,TZ_STN,0)),(AD127-INDEX(TZ_STD,MATCH(P127,TZ_STN,0))/24)&lt;INDEX(TZ_DSTE,MATCH(P127,TZ_STN,0))),INDEX(TZ_DST,MATCH(P127,TZ_STN,0)),INDEX(TZ_STD,MATCH(P127,TZ_STN,0))))/24,"")</f>
        <v/>
      </c>
      <c r="AH127" s="65" t="str">
        <f aca="false">IFERROR(IF(N127="N/A – rule","N/A – RULE",IF(TRIM(U127)="N/A",IF(AT127=0,"INVALID – N/A not permitted for this check",IF(AND(TRIM(AB127)&lt;&gt;"",TRIM(AB127)&lt;&gt;"Closed"),"INVALID – corrective action still open",IF(AND(NOT(OR(LEN(AZ127)&lt;15,ISNUMBER(MATCH(AZ127,L_Placeholder,0)))),NOT(OR(LEN(AU127)&lt;2,ISNUMBER(MATCH(AU127,L_Placeholder,0)))),NOT(OR(LEN(AX127)&lt;2,ISNUMBER(MATCH(AX127,L_Placeholder,0)))),TRIM(AE127)&lt;&gt;TRIM(T127)),"N/A – JUSTIFIED","INVALID – N/A needs a real justification (15+ chars), PIC and a different verifier"))),IF(OR(TRIM(U127)="Pass",TRIM(U127)="Pass after CA"),IF(NOT(ISNUMBER(AD127)),"INVALID – completion time missing",IF(OR(LEN(AU127)&lt;2,ISNUMBER(MATCH(AU127,L_Placeholder,0))),"INVALID – PIC missing",IF(OR(LEN(AV127)&lt;2,ISNUMBER(MATCH(AV127,L_Placeholder,0))),"INVALID – result / assessment missing",IF(OR(OR(LEN(AW127)&lt;3,ISNUMBER(MATCH(AW127,L_Placeholder,0))),SUMPRODUCT(--ISNUMBER(SEARCH(L_EvidencePhrase,AW127)))&gt;0),"INVALID – evidence missing, placeholder or not yet on file",IF(OR(LEN(AX127)&lt;2,ISNUMBER(MATCH(AX127,L_Placeholder,0))),"INVALID – verifier missing",IF(AX127=AU127,"INVALID – verifier must be someone other than the PIC",IF(AND(TRIM(U127)="Pass",SUMPRODUCT(--ISNUMBER(SEARCH(L_ResultBad,AV127)))&gt;0),"INVALID – result describes a problem: use Fail, then Pass after CA",IF(AND(AQ127=1,OR(LEN(AY127)&lt;3,ISNUMBER(MATCH(AY127,L_Placeholder,0)))),"INVALID – batch ID missing or placeholder",IF(AND(AR127=1,OR(NOT(ISNUMBER(X127)),NOT(ISNUMBER(Y127)))),"INVALID – expected/actual qty missing",IF(AND(AR127=1,OR(X127&lt;=0,Y127&lt;0)),"INVALID – expected qty must be above 0 and actual not negative",IF(AH111="N/A – JUSTIFIED","INVALID – preparation row F04-T12-12 is N/A",IF(AND(AR127=1,ISNUMBER(X111),X127&lt;&gt;X111),"INVALID – expected qty differs from preparation check F04-T12-12",IF(BB127&lt;&gt;"",BB127,IF(AND(AS127=1,Documents!$J$8&lt;&gt;"ON FILE"),"INVALID – GLD not on file (Documents sheet)",IF(AND(AS127=2,Documents!$O$8&lt;&gt;"ON FILE"),"INVALID – menu checklist not on file (Documents sheet)",IF(AND(AS127=3,NOT(ISNUMBER(Flights!$AX$8))),"INVALID – enter carrying flight KUL departure (Flights AX)",IF(AND(AS127=3,OR(Flights!$AZ$8&gt;Flights!$AA$8,Flights!$AX$8&lt;Flights!$AA$8-3)),"INVALID – carrying flight (Flights AX) cannot arrive before this leg's STD, or is over 3 days early",IF(AG127&gt;AsOfUTC,"INVALID – completion time is in the future",IF(AND(ISNUMBER(S127),AG127&lt;S127),IF(H127="Physical uplift","INVALID – before uplift window (cannot confirm loading)","INVALID – before valid window"),IF(AG127&gt;Flights!$AA$8,"INVALID – completed after departure (cannot establish readiness)",IF(AND(H127="Preparation",AG127&gt;IF(ISNUMBER(Flights!$BA$8),MIN(Flights!$BA$8,Flights!$AA$8),Flights!$AA$8)),"INVALID – completed after loading / departure (cannot establish readiness)",IF(AND(H127="Physical uplift",AG127&gt;Q127),"INVALID – recorded after the loading flight departed",IF(AG127&gt;Q127,"COMPLETE – LATE","COMPLETE"))))))))))))))))))))))),IF(TRIM(U127)="Fail","FAIL – DISCREPANCY",IF(AND(TRIM(U127)&lt;&gt;"",TRIM(U127)&lt;&gt;"Not started",TRIM(U127)&lt;&gt;"In progress"),"INVALID – unrecognised status (use the list)",IF(AsOfUTC&gt;Q127,"OVERDUE",IF(N127="Clarification required","OPEN – CLARIFICATION","OPEN"))))))),"INVALID – error value in an input cell")</f>
        <v>OPEN</v>
      </c>
      <c r="AI127" s="61" t="n">
        <f aca="false">IF(OR(AH127="N/A – RULE",AH127="N/A – JUSTIFIED"),0,1)</f>
        <v>1</v>
      </c>
      <c r="AJ127" s="61" t="n">
        <f aca="false">IF(LEFT(AH127,8)="COMPLETE",1,0)</f>
        <v>0</v>
      </c>
      <c r="AK127" s="61" t="n">
        <f aca="false">IF(AND(AI127=1,AJ127=0,AsOfUTC&gt;Q127),1,0)</f>
        <v>0</v>
      </c>
      <c r="AL127" s="61" t="n">
        <f aca="false">IFERROR(IF(AND(AI127=1,OR(TRIM(U127)="Fail",AND(TRIM(AB127)&lt;&gt;"",TRIM(AB127)&lt;&gt;"Closed"),AND(ISNUMBER(AF127),AF127&lt;&gt;0,TRIM(U127)&lt;&gt;"Pass after CA"))),1,0),1)</f>
        <v>0</v>
      </c>
      <c r="AM127" s="61" t="n">
        <f aca="false">IF(LEFT(AH127,7)="INVALID",1,0)</f>
        <v>0</v>
      </c>
      <c r="AN127" s="61" t="n">
        <f aca="false">IF(AND(N127="Clarification required",AI127=1,AJ127=0),1,0)</f>
        <v>0</v>
      </c>
      <c r="AO127" s="61" t="str">
        <f aca="false">IF(AK127=1,SUM(AK$5:AK127),"")</f>
        <v/>
      </c>
      <c r="AP127" s="61" t="str">
        <f aca="false">IF(AL127=1,SUM(AL$5:AL127),"")</f>
        <v/>
      </c>
      <c r="AQ127" s="61" t="n">
        <v>0</v>
      </c>
      <c r="AR127" s="61" t="n">
        <v>0</v>
      </c>
      <c r="AS127" s="61" t="n">
        <v>0</v>
      </c>
      <c r="AT127" s="61" t="n">
        <v>0</v>
      </c>
      <c r="AU127" s="61" t="str">
        <f aca="false">SUBSTITUTE(SUBSTITUTE(SUBSTITUTE(SUBSTITUTE(SUBSTITUTE(SUBSTITUTE(SUBSTITUTE(SUBSTITUTE(SUBSTITUTE(SUBSTITUTE(SUBSTITUTE(SUBSTITUTE(SUBSTITUTE(LOWER(T127&amp;""),CHAR(160),"")," ",""),".",""),"-",""),"/",""),"?",""),"_",""),",",""),"[",""),"]",""),"(",""),")",""),"*","")</f>
        <v/>
      </c>
      <c r="AV127" s="61" t="str">
        <f aca="false">SUBSTITUTE(SUBSTITUTE(SUBSTITUTE(SUBSTITUTE(SUBSTITUTE(SUBSTITUTE(SUBSTITUTE(SUBSTITUTE(SUBSTITUTE(SUBSTITUTE(SUBSTITUTE(SUBSTITUTE(SUBSTITUTE(LOWER(V127&amp;""),CHAR(160),"")," ",""),".",""),"-",""),"/",""),"?",""),"_",""),",",""),"[",""),"]",""),"(",""),")",""),"*","")</f>
        <v/>
      </c>
      <c r="AW127" s="61" t="str">
        <f aca="false">SUBSTITUTE(SUBSTITUTE(SUBSTITUTE(SUBSTITUTE(SUBSTITUTE(SUBSTITUTE(SUBSTITUTE(SUBSTITUTE(SUBSTITUTE(SUBSTITUTE(SUBSTITUTE(SUBSTITUTE(SUBSTITUTE(LOWER(Z127&amp;""),CHAR(160),"")," ",""),".",""),"-",""),"/",""),"?",""),"_",""),",",""),"[",""),"]",""),"(",""),")",""),"*","")</f>
        <v/>
      </c>
      <c r="AX127" s="61" t="str">
        <f aca="false">SUBSTITUTE(SUBSTITUTE(SUBSTITUTE(SUBSTITUTE(SUBSTITUTE(SUBSTITUTE(SUBSTITUTE(SUBSTITUTE(SUBSTITUTE(SUBSTITUTE(SUBSTITUTE(SUBSTITUTE(SUBSTITUTE(LOWER(AE127&amp;""),CHAR(160),"")," ",""),".",""),"-",""),"/",""),"?",""),"_",""),",",""),"[",""),"]",""),"(",""),")",""),"*","")</f>
        <v/>
      </c>
      <c r="AY127" s="61" t="str">
        <f aca="false">SUBSTITUTE(SUBSTITUTE(SUBSTITUTE(SUBSTITUTE(SUBSTITUTE(SUBSTITUTE(SUBSTITUTE(SUBSTITUTE(SUBSTITUTE(SUBSTITUTE(SUBSTITUTE(SUBSTITUTE(SUBSTITUTE(LOWER(W127&amp;""),CHAR(160),"")," ",""),".",""),"-",""),"/",""),"?",""),"_",""),",",""),"[",""),"]",""),"(",""),")",""),"*","")</f>
        <v/>
      </c>
      <c r="AZ127" s="61" t="str">
        <f aca="false">SUBSTITUTE(SUBSTITUTE(SUBSTITUTE(SUBSTITUTE(SUBSTITUTE(SUBSTITUTE(SUBSTITUTE(SUBSTITUTE(SUBSTITUTE(SUBSTITUTE(SUBSTITUTE(SUBSTITUTE(SUBSTITUTE(LOWER(AC127&amp;""),CHAR(160),"")," ",""),".",""),"-",""),"/",""),"?",""),"_",""),",",""),"[",""),"]",""),"(",""),")",""),"*","")</f>
        <v/>
      </c>
      <c r="BA127" s="61" t="str">
        <f aca="false">SUBSTITUTE(SUBSTITUTE(SUBSTITUTE(SUBSTITUTE(SUBSTITUTE(SUBSTITUTE(SUBSTITUTE(SUBSTITUTE(SUBSTITUTE(SUBSTITUTE(SUBSTITUTE(SUBSTITUTE(SUBSTITUTE(LOWER(AA127&amp;""),CHAR(160),"")," ",""),".",""),"-",""),"/",""),"?",""),"_",""),",",""),"[",""),"]",""),"(",""),")",""),"*","")</f>
        <v/>
      </c>
      <c r="BB127" s="61" t="str">
        <f aca="false">IF(AND(TRIM(U127)="Pass",ISNUMBER(AF127)),IF(AF127&lt;&gt;0,"INVALID – qty variance: use Fail or Pass after CA",""),"")&amp;IF(AND(TRIM(U127)="Pass after CA",ISNUMBER(AF127)),IF(AF127&lt;&gt;0,"INVALID – after the corrective action the actual qty must equal expected (update Actual)",""),"")&amp;IF(AND(TRIM(U127)="Pass",TRIM(AB127)&lt;&gt;"",TRIM(AB127)&lt;&gt;"Closed"),"INVALID – corrective action not closed: use Fail, then Pass after CA","")&amp;IF(AND(TRIM(AA127)&lt;&gt;"",TRIM(AB127)=""),"INVALID – CA status missing for the recorded corrective action","")&amp;IF(AND(TRIM(U127)="Pass after CA",OR(OR(LEN(BA127)&lt;5,ISNUMBER(MATCH(BA127,L_Placeholder,0))),TRIM(AB127)&lt;&gt;"Closed")),"INVALID – corrective action not recorded/closed","")</f>
        <v/>
      </c>
    </row>
    <row r="128" customFormat="false" ht="39.75" hidden="false" customHeight="true" outlineLevel="0" collapsed="false">
      <c r="A128" s="57" t="s">
        <v>625</v>
      </c>
      <c r="B128" s="57" t="s">
        <v>215</v>
      </c>
      <c r="C128" s="57" t="str">
        <f aca="false">Flights!$F$8</f>
        <v>MH0088</v>
      </c>
      <c r="D128" s="58" t="n">
        <f aca="false">Flights!$D$8</f>
        <v>46305</v>
      </c>
      <c r="E128" s="57" t="str">
        <f aca="false">Flights!$G$8&amp;"-"&amp;Flights!$H$8</f>
        <v>KUL-NRT</v>
      </c>
      <c r="F128" s="57" t="str">
        <f aca="false">Flights!$K$8</f>
        <v>BC</v>
      </c>
      <c r="G128" s="57" t="s">
        <v>437</v>
      </c>
      <c r="H128" s="57" t="s">
        <v>438</v>
      </c>
      <c r="I128" s="57" t="s">
        <v>477</v>
      </c>
      <c r="J128" s="57" t="s">
        <v>521</v>
      </c>
      <c r="K128" s="67" t="s">
        <v>479</v>
      </c>
      <c r="L128" s="67" t="s">
        <v>590</v>
      </c>
      <c r="M128" s="67" t="s">
        <v>429</v>
      </c>
      <c r="N128" s="67" t="s">
        <v>361</v>
      </c>
      <c r="O128" s="67"/>
      <c r="P128" s="57" t="s">
        <v>184</v>
      </c>
      <c r="Q128" s="59" t="n">
        <f aca="false">ROUND((Flights!$AF$8)*1440,0)/1440</f>
        <v>46305.6458333333</v>
      </c>
      <c r="R128" s="59" t="n">
        <f aca="false">Q128+(IF(AND(INDEX(TZ_DSTS,MATCH(P128,TZ_STN,0))&lt;&gt;"",Q128&gt;=INDEX(TZ_DSTS,MATCH(P128,TZ_STN,0)),Q128&lt;INDEX(TZ_DSTE,MATCH(P128,TZ_STN,0))),INDEX(TZ_DST,MATCH(P128,TZ_STN,0)),INDEX(TZ_STD,MATCH(P128,TZ_STN,0))))/24</f>
        <v>46305.9791666667</v>
      </c>
      <c r="S128" s="59" t="n">
        <f aca="false">IF(ISNUMBER(Flights!$AZ$8),MAX(Q128-UpliftWindowH/24,Flights!$AZ$8),Q128-UpliftWindowH/24)</f>
        <v>46305.3958333333</v>
      </c>
      <c r="T128" s="60"/>
      <c r="U128" s="60"/>
      <c r="V128" s="60"/>
      <c r="W128" s="61"/>
      <c r="X128" s="60"/>
      <c r="Y128" s="60"/>
      <c r="Z128" s="60"/>
      <c r="AA128" s="60"/>
      <c r="AB128" s="60"/>
      <c r="AC128" s="60"/>
      <c r="AD128" s="66"/>
      <c r="AE128" s="60"/>
      <c r="AF128" s="61" t="str">
        <f aca="false">IF(AND(ISNUMBER(X128),ISNUMBER(Y128)),Y128-X128,"")</f>
        <v/>
      </c>
      <c r="AG128" s="62" t="str">
        <f aca="false">IF(ISNUMBER(AD128),AD128-(IF(AND(INDEX(TZ_DSTS,MATCH(P128,TZ_STN,0))&lt;&gt;"",(AD128-INDEX(TZ_STD,MATCH(P128,TZ_STN,0))/24)&gt;=INDEX(TZ_DSTS,MATCH(P128,TZ_STN,0)),(AD128-INDEX(TZ_STD,MATCH(P128,TZ_STN,0))/24)&lt;INDEX(TZ_DSTE,MATCH(P128,TZ_STN,0))),INDEX(TZ_DST,MATCH(P128,TZ_STN,0)),INDEX(TZ_STD,MATCH(P128,TZ_STN,0))))/24,"")</f>
        <v/>
      </c>
      <c r="AH128" s="65" t="str">
        <f aca="false">IFERROR(IF(N128="N/A – rule","N/A – RULE",IF(TRIM(U128)="N/A",IF(AT128=0,"INVALID – N/A not permitted for this check",IF(AND(TRIM(AB128)&lt;&gt;"",TRIM(AB128)&lt;&gt;"Closed"),"INVALID – corrective action still open",IF(AND(NOT(OR(LEN(AZ128)&lt;15,ISNUMBER(MATCH(AZ128,L_Placeholder,0)))),NOT(OR(LEN(AU128)&lt;2,ISNUMBER(MATCH(AU128,L_Placeholder,0)))),NOT(OR(LEN(AX128)&lt;2,ISNUMBER(MATCH(AX128,L_Placeholder,0)))),TRIM(AE128)&lt;&gt;TRIM(T128)),"N/A – JUSTIFIED","INVALID – N/A needs a real justification (15+ chars), PIC and a different verifier"))),IF(OR(TRIM(U128)="Pass",TRIM(U128)="Pass after CA"),IF(NOT(ISNUMBER(AD128)),"INVALID – completion time missing",IF(OR(LEN(AU128)&lt;2,ISNUMBER(MATCH(AU128,L_Placeholder,0))),"INVALID – PIC missing",IF(OR(LEN(AV128)&lt;2,ISNUMBER(MATCH(AV128,L_Placeholder,0))),"INVALID – result / assessment missing",IF(OR(OR(LEN(AW128)&lt;3,ISNUMBER(MATCH(AW128,L_Placeholder,0))),SUMPRODUCT(--ISNUMBER(SEARCH(L_EvidencePhrase,AW128)))&gt;0),"INVALID – evidence missing, placeholder or not yet on file",IF(OR(LEN(AX128)&lt;2,ISNUMBER(MATCH(AX128,L_Placeholder,0))),"INVALID – verifier missing",IF(AX128=AU128,"INVALID – verifier must be someone other than the PIC",IF(AND(TRIM(U128)="Pass",SUMPRODUCT(--ISNUMBER(SEARCH(L_ResultBad,AV128)))&gt;0),"INVALID – result describes a problem: use Fail, then Pass after CA",IF(AND(AQ128=1,OR(LEN(AY128)&lt;3,ISNUMBER(MATCH(AY128,L_Placeholder,0)))),"INVALID – batch ID missing or placeholder",IF(AND(AR128=1,OR(NOT(ISNUMBER(X128)),NOT(ISNUMBER(Y128)))),"INVALID – expected/actual qty missing",IF(AND(AR128=1,OR(X128&lt;=0,Y128&lt;0)),"INVALID – expected qty must be above 0 and actual not negative",IF(AH112="N/A – JUSTIFIED","INVALID – preparation row F04-T12-13 is N/A",IF(AND(AR128=1,ISNUMBER(X112),X128&lt;&gt;X112),"INVALID – expected qty differs from preparation check F04-T12-13",IF(BB128&lt;&gt;"",BB128,IF(AND(AS128=1,Documents!$J$8&lt;&gt;"ON FILE"),"INVALID – GLD not on file (Documents sheet)",IF(AND(AS128=2,Documents!$O$8&lt;&gt;"ON FILE"),"INVALID – menu checklist not on file (Documents sheet)",IF(AND(AS128=3,NOT(ISNUMBER(Flights!$AX$8))),"INVALID – enter carrying flight KUL departure (Flights AX)",IF(AND(AS128=3,OR(Flights!$AZ$8&gt;Flights!$AA$8,Flights!$AX$8&lt;Flights!$AA$8-3)),"INVALID – carrying flight (Flights AX) cannot arrive before this leg's STD, or is over 3 days early",IF(AG128&gt;AsOfUTC,"INVALID – completion time is in the future",IF(AND(ISNUMBER(S128),AG128&lt;S128),IF(H128="Physical uplift","INVALID – before uplift window (cannot confirm loading)","INVALID – before valid window"),IF(AG128&gt;Flights!$AA$8,"INVALID – completed after departure (cannot establish readiness)",IF(AND(H128="Preparation",AG128&gt;IF(ISNUMBER(Flights!$BA$8),MIN(Flights!$BA$8,Flights!$AA$8),Flights!$AA$8)),"INVALID – completed after loading / departure (cannot establish readiness)",IF(AND(H128="Physical uplift",AG128&gt;Q128),"INVALID – recorded after the loading flight departed",IF(AG128&gt;Q128,"COMPLETE – LATE","COMPLETE"))))))))))))))))))))))),IF(TRIM(U128)="Fail","FAIL – DISCREPANCY",IF(AND(TRIM(U128)&lt;&gt;"",TRIM(U128)&lt;&gt;"Not started",TRIM(U128)&lt;&gt;"In progress"),"INVALID – unrecognised status (use the list)",IF(AsOfUTC&gt;Q128,"OVERDUE",IF(N128="Clarification required","OPEN – CLARIFICATION","OPEN"))))))),"INVALID – error value in an input cell")</f>
        <v>OPEN</v>
      </c>
      <c r="AI128" s="61" t="n">
        <f aca="false">IF(OR(AH128="N/A – RULE",AH128="N/A – JUSTIFIED"),0,1)</f>
        <v>1</v>
      </c>
      <c r="AJ128" s="61" t="n">
        <f aca="false">IF(LEFT(AH128,8)="COMPLETE",1,0)</f>
        <v>0</v>
      </c>
      <c r="AK128" s="61" t="n">
        <f aca="false">IF(AND(AI128=1,AJ128=0,AsOfUTC&gt;Q128),1,0)</f>
        <v>0</v>
      </c>
      <c r="AL128" s="61" t="n">
        <f aca="false">IFERROR(IF(AND(AI128=1,OR(TRIM(U128)="Fail",AND(TRIM(AB128)&lt;&gt;"",TRIM(AB128)&lt;&gt;"Closed"),AND(ISNUMBER(AF128),AF128&lt;&gt;0,TRIM(U128)&lt;&gt;"Pass after CA"))),1,0),1)</f>
        <v>0</v>
      </c>
      <c r="AM128" s="61" t="n">
        <f aca="false">IF(LEFT(AH128,7)="INVALID",1,0)</f>
        <v>0</v>
      </c>
      <c r="AN128" s="61" t="n">
        <f aca="false">IF(AND(N128="Clarification required",AI128=1,AJ128=0),1,0)</f>
        <v>0</v>
      </c>
      <c r="AO128" s="61" t="str">
        <f aca="false">IF(AK128=1,SUM(AK$5:AK128),"")</f>
        <v/>
      </c>
      <c r="AP128" s="61" t="str">
        <f aca="false">IF(AL128=1,SUM(AL$5:AL128),"")</f>
        <v/>
      </c>
      <c r="AQ128" s="61" t="n">
        <v>0</v>
      </c>
      <c r="AR128" s="61" t="n">
        <v>0</v>
      </c>
      <c r="AS128" s="61" t="n">
        <v>0</v>
      </c>
      <c r="AT128" s="61" t="n">
        <v>0</v>
      </c>
      <c r="AU128" s="61" t="str">
        <f aca="false">SUBSTITUTE(SUBSTITUTE(SUBSTITUTE(SUBSTITUTE(SUBSTITUTE(SUBSTITUTE(SUBSTITUTE(SUBSTITUTE(SUBSTITUTE(SUBSTITUTE(SUBSTITUTE(SUBSTITUTE(SUBSTITUTE(LOWER(T128&amp;""),CHAR(160),"")," ",""),".",""),"-",""),"/",""),"?",""),"_",""),",",""),"[",""),"]",""),"(",""),")",""),"*","")</f>
        <v/>
      </c>
      <c r="AV128" s="61" t="str">
        <f aca="false">SUBSTITUTE(SUBSTITUTE(SUBSTITUTE(SUBSTITUTE(SUBSTITUTE(SUBSTITUTE(SUBSTITUTE(SUBSTITUTE(SUBSTITUTE(SUBSTITUTE(SUBSTITUTE(SUBSTITUTE(SUBSTITUTE(LOWER(V128&amp;""),CHAR(160),"")," ",""),".",""),"-",""),"/",""),"?",""),"_",""),",",""),"[",""),"]",""),"(",""),")",""),"*","")</f>
        <v/>
      </c>
      <c r="AW128" s="61" t="str">
        <f aca="false">SUBSTITUTE(SUBSTITUTE(SUBSTITUTE(SUBSTITUTE(SUBSTITUTE(SUBSTITUTE(SUBSTITUTE(SUBSTITUTE(SUBSTITUTE(SUBSTITUTE(SUBSTITUTE(SUBSTITUTE(SUBSTITUTE(LOWER(Z128&amp;""),CHAR(160),"")," ",""),".",""),"-",""),"/",""),"?",""),"_",""),",",""),"[",""),"]",""),"(",""),")",""),"*","")</f>
        <v/>
      </c>
      <c r="AX128" s="61" t="str">
        <f aca="false">SUBSTITUTE(SUBSTITUTE(SUBSTITUTE(SUBSTITUTE(SUBSTITUTE(SUBSTITUTE(SUBSTITUTE(SUBSTITUTE(SUBSTITUTE(SUBSTITUTE(SUBSTITUTE(SUBSTITUTE(SUBSTITUTE(LOWER(AE128&amp;""),CHAR(160),"")," ",""),".",""),"-",""),"/",""),"?",""),"_",""),",",""),"[",""),"]",""),"(",""),")",""),"*","")</f>
        <v/>
      </c>
      <c r="AY128" s="61" t="str">
        <f aca="false">SUBSTITUTE(SUBSTITUTE(SUBSTITUTE(SUBSTITUTE(SUBSTITUTE(SUBSTITUTE(SUBSTITUTE(SUBSTITUTE(SUBSTITUTE(SUBSTITUTE(SUBSTITUTE(SUBSTITUTE(SUBSTITUTE(LOWER(W128&amp;""),CHAR(160),"")," ",""),".",""),"-",""),"/",""),"?",""),"_",""),",",""),"[",""),"]",""),"(",""),")",""),"*","")</f>
        <v/>
      </c>
      <c r="AZ128" s="61" t="str">
        <f aca="false">SUBSTITUTE(SUBSTITUTE(SUBSTITUTE(SUBSTITUTE(SUBSTITUTE(SUBSTITUTE(SUBSTITUTE(SUBSTITUTE(SUBSTITUTE(SUBSTITUTE(SUBSTITUTE(SUBSTITUTE(SUBSTITUTE(LOWER(AC128&amp;""),CHAR(160),"")," ",""),".",""),"-",""),"/",""),"?",""),"_",""),",",""),"[",""),"]",""),"(",""),")",""),"*","")</f>
        <v/>
      </c>
      <c r="BA128" s="61" t="str">
        <f aca="false">SUBSTITUTE(SUBSTITUTE(SUBSTITUTE(SUBSTITUTE(SUBSTITUTE(SUBSTITUTE(SUBSTITUTE(SUBSTITUTE(SUBSTITUTE(SUBSTITUTE(SUBSTITUTE(SUBSTITUTE(SUBSTITUTE(LOWER(AA128&amp;""),CHAR(160),"")," ",""),".",""),"-",""),"/",""),"?",""),"_",""),",",""),"[",""),"]",""),"(",""),")",""),"*","")</f>
        <v/>
      </c>
      <c r="BB128" s="61" t="str">
        <f aca="false">IF(AND(TRIM(U128)="Pass",ISNUMBER(AF128)),IF(AF128&lt;&gt;0,"INVALID – qty variance: use Fail or Pass after CA",""),"")&amp;IF(AND(TRIM(U128)="Pass after CA",ISNUMBER(AF128)),IF(AF128&lt;&gt;0,"INVALID – after the corrective action the actual qty must equal expected (update Actual)",""),"")&amp;IF(AND(TRIM(U128)="Pass",TRIM(AB128)&lt;&gt;"",TRIM(AB128)&lt;&gt;"Closed"),"INVALID – corrective action not closed: use Fail, then Pass after CA","")&amp;IF(AND(TRIM(AA128)&lt;&gt;"",TRIM(AB128)=""),"INVALID – CA status missing for the recorded corrective action","")&amp;IF(AND(TRIM(U128)="Pass after CA",OR(OR(LEN(BA128)&lt;5,ISNUMBER(MATCH(BA128,L_Placeholder,0))),TRIM(AB128)&lt;&gt;"Closed")),"INVALID – corrective action not recorded/closed","")</f>
        <v/>
      </c>
    </row>
    <row r="129" customFormat="false" ht="39.75" hidden="false" customHeight="true" outlineLevel="0" collapsed="false">
      <c r="A129" s="57" t="s">
        <v>626</v>
      </c>
      <c r="B129" s="57" t="s">
        <v>215</v>
      </c>
      <c r="C129" s="57" t="str">
        <f aca="false">Flights!$F$8</f>
        <v>MH0088</v>
      </c>
      <c r="D129" s="58" t="n">
        <f aca="false">Flights!$D$8</f>
        <v>46305</v>
      </c>
      <c r="E129" s="57" t="str">
        <f aca="false">Flights!$G$8&amp;"-"&amp;Flights!$H$8</f>
        <v>KUL-NRT</v>
      </c>
      <c r="F129" s="57" t="str">
        <f aca="false">Flights!$K$8</f>
        <v>BC</v>
      </c>
      <c r="G129" s="57" t="s">
        <v>437</v>
      </c>
      <c r="H129" s="57" t="s">
        <v>438</v>
      </c>
      <c r="I129" s="57" t="s">
        <v>477</v>
      </c>
      <c r="J129" s="57" t="s">
        <v>524</v>
      </c>
      <c r="K129" s="67" t="s">
        <v>479</v>
      </c>
      <c r="L129" s="67" t="s">
        <v>592</v>
      </c>
      <c r="M129" s="67" t="s">
        <v>429</v>
      </c>
      <c r="N129" s="67" t="s">
        <v>361</v>
      </c>
      <c r="O129" s="67"/>
      <c r="P129" s="57" t="s">
        <v>184</v>
      </c>
      <c r="Q129" s="59" t="n">
        <f aca="false">ROUND((Flights!$AF$8)*1440,0)/1440</f>
        <v>46305.6458333333</v>
      </c>
      <c r="R129" s="59" t="n">
        <f aca="false">Q129+(IF(AND(INDEX(TZ_DSTS,MATCH(P129,TZ_STN,0))&lt;&gt;"",Q129&gt;=INDEX(TZ_DSTS,MATCH(P129,TZ_STN,0)),Q129&lt;INDEX(TZ_DSTE,MATCH(P129,TZ_STN,0))),INDEX(TZ_DST,MATCH(P129,TZ_STN,0)),INDEX(TZ_STD,MATCH(P129,TZ_STN,0))))/24</f>
        <v>46305.9791666667</v>
      </c>
      <c r="S129" s="59" t="n">
        <f aca="false">IF(ISNUMBER(Flights!$AZ$8),MAX(Q129-UpliftWindowH/24,Flights!$AZ$8),Q129-UpliftWindowH/24)</f>
        <v>46305.3958333333</v>
      </c>
      <c r="T129" s="60"/>
      <c r="U129" s="60"/>
      <c r="V129" s="60"/>
      <c r="W129" s="61"/>
      <c r="X129" s="60"/>
      <c r="Y129" s="60"/>
      <c r="Z129" s="60"/>
      <c r="AA129" s="60"/>
      <c r="AB129" s="60"/>
      <c r="AC129" s="60"/>
      <c r="AD129" s="66"/>
      <c r="AE129" s="60"/>
      <c r="AF129" s="61" t="str">
        <f aca="false">IF(AND(ISNUMBER(X129),ISNUMBER(Y129)),Y129-X129,"")</f>
        <v/>
      </c>
      <c r="AG129" s="62" t="str">
        <f aca="false">IF(ISNUMBER(AD129),AD129-(IF(AND(INDEX(TZ_DSTS,MATCH(P129,TZ_STN,0))&lt;&gt;"",(AD129-INDEX(TZ_STD,MATCH(P129,TZ_STN,0))/24)&gt;=INDEX(TZ_DSTS,MATCH(P129,TZ_STN,0)),(AD129-INDEX(TZ_STD,MATCH(P129,TZ_STN,0))/24)&lt;INDEX(TZ_DSTE,MATCH(P129,TZ_STN,0))),INDEX(TZ_DST,MATCH(P129,TZ_STN,0)),INDEX(TZ_STD,MATCH(P129,TZ_STN,0))))/24,"")</f>
        <v/>
      </c>
      <c r="AH129" s="65" t="str">
        <f aca="false">IFERROR(IF(N129="N/A – rule","N/A – RULE",IF(TRIM(U129)="N/A",IF(AT129=0,"INVALID – N/A not permitted for this check",IF(AND(TRIM(AB129)&lt;&gt;"",TRIM(AB129)&lt;&gt;"Closed"),"INVALID – corrective action still open",IF(AND(NOT(OR(LEN(AZ129)&lt;15,ISNUMBER(MATCH(AZ129,L_Placeholder,0)))),NOT(OR(LEN(AU129)&lt;2,ISNUMBER(MATCH(AU129,L_Placeholder,0)))),NOT(OR(LEN(AX129)&lt;2,ISNUMBER(MATCH(AX129,L_Placeholder,0)))),TRIM(AE129)&lt;&gt;TRIM(T129)),"N/A – JUSTIFIED","INVALID – N/A needs a real justification (15+ chars), PIC and a different verifier"))),IF(OR(TRIM(U129)="Pass",TRIM(U129)="Pass after CA"),IF(NOT(ISNUMBER(AD129)),"INVALID – completion time missing",IF(OR(LEN(AU129)&lt;2,ISNUMBER(MATCH(AU129,L_Placeholder,0))),"INVALID – PIC missing",IF(OR(LEN(AV129)&lt;2,ISNUMBER(MATCH(AV129,L_Placeholder,0))),"INVALID – result / assessment missing",IF(OR(OR(LEN(AW129)&lt;3,ISNUMBER(MATCH(AW129,L_Placeholder,0))),SUMPRODUCT(--ISNUMBER(SEARCH(L_EvidencePhrase,AW129)))&gt;0),"INVALID – evidence missing, placeholder or not yet on file",IF(OR(LEN(AX129)&lt;2,ISNUMBER(MATCH(AX129,L_Placeholder,0))),"INVALID – verifier missing",IF(AX129=AU129,"INVALID – verifier must be someone other than the PIC",IF(AND(TRIM(U129)="Pass",SUMPRODUCT(--ISNUMBER(SEARCH(L_ResultBad,AV129)))&gt;0),"INVALID – result describes a problem: use Fail, then Pass after CA",IF(AND(AQ129=1,OR(LEN(AY129)&lt;3,ISNUMBER(MATCH(AY129,L_Placeholder,0)))),"INVALID – batch ID missing or placeholder",IF(AND(AR129=1,OR(NOT(ISNUMBER(X129)),NOT(ISNUMBER(Y129)))),"INVALID – expected/actual qty missing",IF(AND(AR129=1,OR(X129&lt;=0,Y129&lt;0)),"INVALID – expected qty must be above 0 and actual not negative",IF(AH113="N/A – JUSTIFIED","INVALID – preparation row F04-T12-14 is N/A",IF(AND(AR129=1,ISNUMBER(X113),X129&lt;&gt;X113),"INVALID – expected qty differs from preparation check F04-T12-14",IF(BB129&lt;&gt;"",BB129,IF(AND(AS129=1,Documents!$J$8&lt;&gt;"ON FILE"),"INVALID – GLD not on file (Documents sheet)",IF(AND(AS129=2,Documents!$O$8&lt;&gt;"ON FILE"),"INVALID – menu checklist not on file (Documents sheet)",IF(AND(AS129=3,NOT(ISNUMBER(Flights!$AX$8))),"INVALID – enter carrying flight KUL departure (Flights AX)",IF(AND(AS129=3,OR(Flights!$AZ$8&gt;Flights!$AA$8,Flights!$AX$8&lt;Flights!$AA$8-3)),"INVALID – carrying flight (Flights AX) cannot arrive before this leg's STD, or is over 3 days early",IF(AG129&gt;AsOfUTC,"INVALID – completion time is in the future",IF(AND(ISNUMBER(S129),AG129&lt;S129),IF(H129="Physical uplift","INVALID – before uplift window (cannot confirm loading)","INVALID – before valid window"),IF(AG129&gt;Flights!$AA$8,"INVALID – completed after departure (cannot establish readiness)",IF(AND(H129="Preparation",AG129&gt;IF(ISNUMBER(Flights!$BA$8),MIN(Flights!$BA$8,Flights!$AA$8),Flights!$AA$8)),"INVALID – completed after loading / departure (cannot establish readiness)",IF(AND(H129="Physical uplift",AG129&gt;Q129),"INVALID – recorded after the loading flight departed",IF(AG129&gt;Q129,"COMPLETE – LATE","COMPLETE"))))))))))))))))))))))),IF(TRIM(U129)="Fail","FAIL – DISCREPANCY",IF(AND(TRIM(U129)&lt;&gt;"",TRIM(U129)&lt;&gt;"Not started",TRIM(U129)&lt;&gt;"In progress"),"INVALID – unrecognised status (use the list)",IF(AsOfUTC&gt;Q129,"OVERDUE",IF(N129="Clarification required","OPEN – CLARIFICATION","OPEN"))))))),"INVALID – error value in an input cell")</f>
        <v>OPEN</v>
      </c>
      <c r="AI129" s="61" t="n">
        <f aca="false">IF(OR(AH129="N/A – RULE",AH129="N/A – JUSTIFIED"),0,1)</f>
        <v>1</v>
      </c>
      <c r="AJ129" s="61" t="n">
        <f aca="false">IF(LEFT(AH129,8)="COMPLETE",1,0)</f>
        <v>0</v>
      </c>
      <c r="AK129" s="61" t="n">
        <f aca="false">IF(AND(AI129=1,AJ129=0,AsOfUTC&gt;Q129),1,0)</f>
        <v>0</v>
      </c>
      <c r="AL129" s="61" t="n">
        <f aca="false">IFERROR(IF(AND(AI129=1,OR(TRIM(U129)="Fail",AND(TRIM(AB129)&lt;&gt;"",TRIM(AB129)&lt;&gt;"Closed"),AND(ISNUMBER(AF129),AF129&lt;&gt;0,TRIM(U129)&lt;&gt;"Pass after CA"))),1,0),1)</f>
        <v>0</v>
      </c>
      <c r="AM129" s="61" t="n">
        <f aca="false">IF(LEFT(AH129,7)="INVALID",1,0)</f>
        <v>0</v>
      </c>
      <c r="AN129" s="61" t="n">
        <f aca="false">IF(AND(N129="Clarification required",AI129=1,AJ129=0),1,0)</f>
        <v>0</v>
      </c>
      <c r="AO129" s="61" t="str">
        <f aca="false">IF(AK129=1,SUM(AK$5:AK129),"")</f>
        <v/>
      </c>
      <c r="AP129" s="61" t="str">
        <f aca="false">IF(AL129=1,SUM(AL$5:AL129),"")</f>
        <v/>
      </c>
      <c r="AQ129" s="61" t="n">
        <v>0</v>
      </c>
      <c r="AR129" s="61" t="n">
        <v>0</v>
      </c>
      <c r="AS129" s="61" t="n">
        <v>0</v>
      </c>
      <c r="AT129" s="61" t="n">
        <v>0</v>
      </c>
      <c r="AU129" s="61" t="str">
        <f aca="false">SUBSTITUTE(SUBSTITUTE(SUBSTITUTE(SUBSTITUTE(SUBSTITUTE(SUBSTITUTE(SUBSTITUTE(SUBSTITUTE(SUBSTITUTE(SUBSTITUTE(SUBSTITUTE(SUBSTITUTE(SUBSTITUTE(LOWER(T129&amp;""),CHAR(160),"")," ",""),".",""),"-",""),"/",""),"?",""),"_",""),",",""),"[",""),"]",""),"(",""),")",""),"*","")</f>
        <v/>
      </c>
      <c r="AV129" s="61" t="str">
        <f aca="false">SUBSTITUTE(SUBSTITUTE(SUBSTITUTE(SUBSTITUTE(SUBSTITUTE(SUBSTITUTE(SUBSTITUTE(SUBSTITUTE(SUBSTITUTE(SUBSTITUTE(SUBSTITUTE(SUBSTITUTE(SUBSTITUTE(LOWER(V129&amp;""),CHAR(160),"")," ",""),".",""),"-",""),"/",""),"?",""),"_",""),",",""),"[",""),"]",""),"(",""),")",""),"*","")</f>
        <v/>
      </c>
      <c r="AW129" s="61" t="str">
        <f aca="false">SUBSTITUTE(SUBSTITUTE(SUBSTITUTE(SUBSTITUTE(SUBSTITUTE(SUBSTITUTE(SUBSTITUTE(SUBSTITUTE(SUBSTITUTE(SUBSTITUTE(SUBSTITUTE(SUBSTITUTE(SUBSTITUTE(LOWER(Z129&amp;""),CHAR(160),"")," ",""),".",""),"-",""),"/",""),"?",""),"_",""),",",""),"[",""),"]",""),"(",""),")",""),"*","")</f>
        <v/>
      </c>
      <c r="AX129" s="61" t="str">
        <f aca="false">SUBSTITUTE(SUBSTITUTE(SUBSTITUTE(SUBSTITUTE(SUBSTITUTE(SUBSTITUTE(SUBSTITUTE(SUBSTITUTE(SUBSTITUTE(SUBSTITUTE(SUBSTITUTE(SUBSTITUTE(SUBSTITUTE(LOWER(AE129&amp;""),CHAR(160),"")," ",""),".",""),"-",""),"/",""),"?",""),"_",""),",",""),"[",""),"]",""),"(",""),")",""),"*","")</f>
        <v/>
      </c>
      <c r="AY129" s="61" t="str">
        <f aca="false">SUBSTITUTE(SUBSTITUTE(SUBSTITUTE(SUBSTITUTE(SUBSTITUTE(SUBSTITUTE(SUBSTITUTE(SUBSTITUTE(SUBSTITUTE(SUBSTITUTE(SUBSTITUTE(SUBSTITUTE(SUBSTITUTE(LOWER(W129&amp;""),CHAR(160),"")," ",""),".",""),"-",""),"/",""),"?",""),"_",""),",",""),"[",""),"]",""),"(",""),")",""),"*","")</f>
        <v/>
      </c>
      <c r="AZ129" s="61" t="str">
        <f aca="false">SUBSTITUTE(SUBSTITUTE(SUBSTITUTE(SUBSTITUTE(SUBSTITUTE(SUBSTITUTE(SUBSTITUTE(SUBSTITUTE(SUBSTITUTE(SUBSTITUTE(SUBSTITUTE(SUBSTITUTE(SUBSTITUTE(LOWER(AC129&amp;""),CHAR(160),"")," ",""),".",""),"-",""),"/",""),"?",""),"_",""),",",""),"[",""),"]",""),"(",""),")",""),"*","")</f>
        <v/>
      </c>
      <c r="BA129" s="61" t="str">
        <f aca="false">SUBSTITUTE(SUBSTITUTE(SUBSTITUTE(SUBSTITUTE(SUBSTITUTE(SUBSTITUTE(SUBSTITUTE(SUBSTITUTE(SUBSTITUTE(SUBSTITUTE(SUBSTITUTE(SUBSTITUTE(SUBSTITUTE(LOWER(AA129&amp;""),CHAR(160),"")," ",""),".",""),"-",""),"/",""),"?",""),"_",""),",",""),"[",""),"]",""),"(",""),")",""),"*","")</f>
        <v/>
      </c>
      <c r="BB129" s="61" t="str">
        <f aca="false">IF(AND(TRIM(U129)="Pass",ISNUMBER(AF129)),IF(AF129&lt;&gt;0,"INVALID – qty variance: use Fail or Pass after CA",""),"")&amp;IF(AND(TRIM(U129)="Pass after CA",ISNUMBER(AF129)),IF(AF129&lt;&gt;0,"INVALID – after the corrective action the actual qty must equal expected (update Actual)",""),"")&amp;IF(AND(TRIM(U129)="Pass",TRIM(AB129)&lt;&gt;"",TRIM(AB129)&lt;&gt;"Closed"),"INVALID – corrective action not closed: use Fail, then Pass after CA","")&amp;IF(AND(TRIM(AA129)&lt;&gt;"",TRIM(AB129)=""),"INVALID – CA status missing for the recorded corrective action","")&amp;IF(AND(TRIM(U129)="Pass after CA",OR(OR(LEN(BA129)&lt;5,ISNUMBER(MATCH(BA129,L_Placeholder,0))),TRIM(AB129)&lt;&gt;"Closed")),"INVALID – corrective action not recorded/closed","")</f>
        <v/>
      </c>
    </row>
    <row r="130" customFormat="false" ht="39.75" hidden="false" customHeight="true" outlineLevel="0" collapsed="false">
      <c r="A130" s="57" t="s">
        <v>627</v>
      </c>
      <c r="B130" s="57" t="s">
        <v>215</v>
      </c>
      <c r="C130" s="57" t="str">
        <f aca="false">Flights!$F$8</f>
        <v>MH0088</v>
      </c>
      <c r="D130" s="58" t="n">
        <f aca="false">Flights!$D$8</f>
        <v>46305</v>
      </c>
      <c r="E130" s="57" t="str">
        <f aca="false">Flights!$G$8&amp;"-"&amp;Flights!$H$8</f>
        <v>KUL-NRT</v>
      </c>
      <c r="F130" s="57" t="str">
        <f aca="false">Flights!$K$8</f>
        <v>BC</v>
      </c>
      <c r="G130" s="57" t="s">
        <v>437</v>
      </c>
      <c r="H130" s="57" t="s">
        <v>438</v>
      </c>
      <c r="I130" s="57" t="s">
        <v>477</v>
      </c>
      <c r="J130" s="57" t="s">
        <v>526</v>
      </c>
      <c r="K130" s="67" t="s">
        <v>594</v>
      </c>
      <c r="L130" s="67" t="s">
        <v>595</v>
      </c>
      <c r="M130" s="67" t="s">
        <v>429</v>
      </c>
      <c r="N130" s="67" t="s">
        <v>361</v>
      </c>
      <c r="O130" s="67" t="s">
        <v>527</v>
      </c>
      <c r="P130" s="57" t="s">
        <v>184</v>
      </c>
      <c r="Q130" s="59" t="n">
        <f aca="false">ROUND((Flights!$AF$8)*1440,0)/1440</f>
        <v>46305.6458333333</v>
      </c>
      <c r="R130" s="59" t="n">
        <f aca="false">Q130+(IF(AND(INDEX(TZ_DSTS,MATCH(P130,TZ_STN,0))&lt;&gt;"",Q130&gt;=INDEX(TZ_DSTS,MATCH(P130,TZ_STN,0)),Q130&lt;INDEX(TZ_DSTE,MATCH(P130,TZ_STN,0))),INDEX(TZ_DST,MATCH(P130,TZ_STN,0)),INDEX(TZ_STD,MATCH(P130,TZ_STN,0))))/24</f>
        <v>46305.9791666667</v>
      </c>
      <c r="S130" s="59" t="n">
        <f aca="false">IF(ISNUMBER(Flights!$AZ$8),MAX(Q130-UpliftWindowH/24,Flights!$AZ$8),Q130-UpliftWindowH/24)</f>
        <v>46305.3958333333</v>
      </c>
      <c r="T130" s="60"/>
      <c r="U130" s="60"/>
      <c r="V130" s="60"/>
      <c r="W130" s="61"/>
      <c r="X130" s="60"/>
      <c r="Y130" s="60"/>
      <c r="Z130" s="60"/>
      <c r="AA130" s="60"/>
      <c r="AB130" s="60"/>
      <c r="AC130" s="60"/>
      <c r="AD130" s="66"/>
      <c r="AE130" s="60"/>
      <c r="AF130" s="61" t="str">
        <f aca="false">IF(AND(ISNUMBER(X130),ISNUMBER(Y130)),Y130-X130,"")</f>
        <v/>
      </c>
      <c r="AG130" s="62" t="str">
        <f aca="false">IF(ISNUMBER(AD130),AD130-(IF(AND(INDEX(TZ_DSTS,MATCH(P130,TZ_STN,0))&lt;&gt;"",(AD130-INDEX(TZ_STD,MATCH(P130,TZ_STN,0))/24)&gt;=INDEX(TZ_DSTS,MATCH(P130,TZ_STN,0)),(AD130-INDEX(TZ_STD,MATCH(P130,TZ_STN,0))/24)&lt;INDEX(TZ_DSTE,MATCH(P130,TZ_STN,0))),INDEX(TZ_DST,MATCH(P130,TZ_STN,0)),INDEX(TZ_STD,MATCH(P130,TZ_STN,0))))/24,"")</f>
        <v/>
      </c>
      <c r="AH130" s="65" t="str">
        <f aca="false">IFERROR(IF(N130="N/A – rule","N/A – RULE",IF(TRIM(U130)="N/A",IF(AT130=0,"INVALID – N/A not permitted for this check",IF(AND(TRIM(AB130)&lt;&gt;"",TRIM(AB130)&lt;&gt;"Closed"),"INVALID – corrective action still open",IF(AND(NOT(OR(LEN(AZ130)&lt;15,ISNUMBER(MATCH(AZ130,L_Placeholder,0)))),NOT(OR(LEN(AU130)&lt;2,ISNUMBER(MATCH(AU130,L_Placeholder,0)))),NOT(OR(LEN(AX130)&lt;2,ISNUMBER(MATCH(AX130,L_Placeholder,0)))),TRIM(AE130)&lt;&gt;TRIM(T130)),"N/A – JUSTIFIED","INVALID – N/A needs a real justification (15+ chars), PIC and a different verifier"))),IF(OR(TRIM(U130)="Pass",TRIM(U130)="Pass after CA"),IF(NOT(ISNUMBER(AD130)),"INVALID – completion time missing",IF(OR(LEN(AU130)&lt;2,ISNUMBER(MATCH(AU130,L_Placeholder,0))),"INVALID – PIC missing",IF(OR(LEN(AV130)&lt;2,ISNUMBER(MATCH(AV130,L_Placeholder,0))),"INVALID – result / assessment missing",IF(OR(OR(LEN(AW130)&lt;3,ISNUMBER(MATCH(AW130,L_Placeholder,0))),SUMPRODUCT(--ISNUMBER(SEARCH(L_EvidencePhrase,AW130)))&gt;0),"INVALID – evidence missing, placeholder or not yet on file",IF(OR(LEN(AX130)&lt;2,ISNUMBER(MATCH(AX130,L_Placeholder,0))),"INVALID – verifier missing",IF(AX130=AU130,"INVALID – verifier must be someone other than the PIC",IF(AND(TRIM(U130)="Pass",SUMPRODUCT(--ISNUMBER(SEARCH(L_ResultBad,AV130)))&gt;0),"INVALID – result describes a problem: use Fail, then Pass after CA",IF(AND(AQ130=1,OR(LEN(AY130)&lt;3,ISNUMBER(MATCH(AY130,L_Placeholder,0)))),"INVALID – batch ID missing or placeholder",IF(AND(AR130=1,OR(NOT(ISNUMBER(X130)),NOT(ISNUMBER(Y130)))),"INVALID – expected/actual qty missing",IF(AND(AR130=1,OR(X130&lt;=0,Y130&lt;0)),"INVALID – expected qty must be above 0 and actual not negative",IF(AH114="N/A – JUSTIFIED","INVALID – preparation row F04-T12-15 is N/A",IF(AND(AR130=1,ISNUMBER(X114),X130&lt;&gt;X114),"INVALID – expected qty differs from preparation check F04-T12-15",IF(BB130&lt;&gt;"",BB130,IF(AND(AS130=1,Documents!$J$8&lt;&gt;"ON FILE"),"INVALID – GLD not on file (Documents sheet)",IF(AND(AS130=2,Documents!$O$8&lt;&gt;"ON FILE"),"INVALID – menu checklist not on file (Documents sheet)",IF(AND(AS130=3,NOT(ISNUMBER(Flights!$AX$8))),"INVALID – enter carrying flight KUL departure (Flights AX)",IF(AND(AS130=3,OR(Flights!$AZ$8&gt;Flights!$AA$8,Flights!$AX$8&lt;Flights!$AA$8-3)),"INVALID – carrying flight (Flights AX) cannot arrive before this leg's STD, or is over 3 days early",IF(AG130&gt;AsOfUTC,"INVALID – completion time is in the future",IF(AND(ISNUMBER(S130),AG130&lt;S130),IF(H130="Physical uplift","INVALID – before uplift window (cannot confirm loading)","INVALID – before valid window"),IF(AG130&gt;Flights!$AA$8,"INVALID – completed after departure (cannot establish readiness)",IF(AND(H130="Preparation",AG130&gt;IF(ISNUMBER(Flights!$BA$8),MIN(Flights!$BA$8,Flights!$AA$8),Flights!$AA$8)),"INVALID – completed after loading / departure (cannot establish readiness)",IF(AND(H130="Physical uplift",AG130&gt;Q130),"INVALID – recorded after the loading flight departed",IF(AG130&gt;Q130,"COMPLETE – LATE","COMPLETE"))))))))))))))))))))))),IF(TRIM(U130)="Fail","FAIL – DISCREPANCY",IF(AND(TRIM(U130)&lt;&gt;"",TRIM(U130)&lt;&gt;"Not started",TRIM(U130)&lt;&gt;"In progress"),"INVALID – unrecognised status (use the list)",IF(AsOfUTC&gt;Q130,"OVERDUE",IF(N130="Clarification required","OPEN – CLARIFICATION","OPEN"))))))),"INVALID – error value in an input cell")</f>
        <v>OPEN</v>
      </c>
      <c r="AI130" s="61" t="n">
        <f aca="false">IF(OR(AH130="N/A – RULE",AH130="N/A – JUSTIFIED"),0,1)</f>
        <v>1</v>
      </c>
      <c r="AJ130" s="61" t="n">
        <f aca="false">IF(LEFT(AH130,8)="COMPLETE",1,0)</f>
        <v>0</v>
      </c>
      <c r="AK130" s="61" t="n">
        <f aca="false">IF(AND(AI130=1,AJ130=0,AsOfUTC&gt;Q130),1,0)</f>
        <v>0</v>
      </c>
      <c r="AL130" s="61" t="n">
        <f aca="false">IFERROR(IF(AND(AI130=1,OR(TRIM(U130)="Fail",AND(TRIM(AB130)&lt;&gt;"",TRIM(AB130)&lt;&gt;"Closed"),AND(ISNUMBER(AF130),AF130&lt;&gt;0,TRIM(U130)&lt;&gt;"Pass after CA"))),1,0),1)</f>
        <v>0</v>
      </c>
      <c r="AM130" s="61" t="n">
        <f aca="false">IF(LEFT(AH130,7)="INVALID",1,0)</f>
        <v>0</v>
      </c>
      <c r="AN130" s="61" t="n">
        <f aca="false">IF(AND(N130="Clarification required",AI130=1,AJ130=0),1,0)</f>
        <v>0</v>
      </c>
      <c r="AO130" s="61" t="str">
        <f aca="false">IF(AK130=1,SUM(AK$5:AK130),"")</f>
        <v/>
      </c>
      <c r="AP130" s="61" t="str">
        <f aca="false">IF(AL130=1,SUM(AL$5:AL130),"")</f>
        <v/>
      </c>
      <c r="AQ130" s="61" t="n">
        <v>0</v>
      </c>
      <c r="AR130" s="61" t="n">
        <v>0</v>
      </c>
      <c r="AS130" s="61" t="n">
        <v>0</v>
      </c>
      <c r="AT130" s="61" t="n">
        <v>0</v>
      </c>
      <c r="AU130" s="61" t="str">
        <f aca="false">SUBSTITUTE(SUBSTITUTE(SUBSTITUTE(SUBSTITUTE(SUBSTITUTE(SUBSTITUTE(SUBSTITUTE(SUBSTITUTE(SUBSTITUTE(SUBSTITUTE(SUBSTITUTE(SUBSTITUTE(SUBSTITUTE(LOWER(T130&amp;""),CHAR(160),"")," ",""),".",""),"-",""),"/",""),"?",""),"_",""),",",""),"[",""),"]",""),"(",""),")",""),"*","")</f>
        <v/>
      </c>
      <c r="AV130" s="61" t="str">
        <f aca="false">SUBSTITUTE(SUBSTITUTE(SUBSTITUTE(SUBSTITUTE(SUBSTITUTE(SUBSTITUTE(SUBSTITUTE(SUBSTITUTE(SUBSTITUTE(SUBSTITUTE(SUBSTITUTE(SUBSTITUTE(SUBSTITUTE(LOWER(V130&amp;""),CHAR(160),"")," ",""),".",""),"-",""),"/",""),"?",""),"_",""),",",""),"[",""),"]",""),"(",""),")",""),"*","")</f>
        <v/>
      </c>
      <c r="AW130" s="61" t="str">
        <f aca="false">SUBSTITUTE(SUBSTITUTE(SUBSTITUTE(SUBSTITUTE(SUBSTITUTE(SUBSTITUTE(SUBSTITUTE(SUBSTITUTE(SUBSTITUTE(SUBSTITUTE(SUBSTITUTE(SUBSTITUTE(SUBSTITUTE(LOWER(Z130&amp;""),CHAR(160),"")," ",""),".",""),"-",""),"/",""),"?",""),"_",""),",",""),"[",""),"]",""),"(",""),")",""),"*","")</f>
        <v/>
      </c>
      <c r="AX130" s="61" t="str">
        <f aca="false">SUBSTITUTE(SUBSTITUTE(SUBSTITUTE(SUBSTITUTE(SUBSTITUTE(SUBSTITUTE(SUBSTITUTE(SUBSTITUTE(SUBSTITUTE(SUBSTITUTE(SUBSTITUTE(SUBSTITUTE(SUBSTITUTE(LOWER(AE130&amp;""),CHAR(160),"")," ",""),".",""),"-",""),"/",""),"?",""),"_",""),",",""),"[",""),"]",""),"(",""),")",""),"*","")</f>
        <v/>
      </c>
      <c r="AY130" s="61" t="str">
        <f aca="false">SUBSTITUTE(SUBSTITUTE(SUBSTITUTE(SUBSTITUTE(SUBSTITUTE(SUBSTITUTE(SUBSTITUTE(SUBSTITUTE(SUBSTITUTE(SUBSTITUTE(SUBSTITUTE(SUBSTITUTE(SUBSTITUTE(LOWER(W130&amp;""),CHAR(160),"")," ",""),".",""),"-",""),"/",""),"?",""),"_",""),",",""),"[",""),"]",""),"(",""),")",""),"*","")</f>
        <v/>
      </c>
      <c r="AZ130" s="61" t="str">
        <f aca="false">SUBSTITUTE(SUBSTITUTE(SUBSTITUTE(SUBSTITUTE(SUBSTITUTE(SUBSTITUTE(SUBSTITUTE(SUBSTITUTE(SUBSTITUTE(SUBSTITUTE(SUBSTITUTE(SUBSTITUTE(SUBSTITUTE(LOWER(AC130&amp;""),CHAR(160),"")," ",""),".",""),"-",""),"/",""),"?",""),"_",""),",",""),"[",""),"]",""),"(",""),")",""),"*","")</f>
        <v/>
      </c>
      <c r="BA130" s="61" t="str">
        <f aca="false">SUBSTITUTE(SUBSTITUTE(SUBSTITUTE(SUBSTITUTE(SUBSTITUTE(SUBSTITUTE(SUBSTITUTE(SUBSTITUTE(SUBSTITUTE(SUBSTITUTE(SUBSTITUTE(SUBSTITUTE(SUBSTITUTE(LOWER(AA130&amp;""),CHAR(160),"")," ",""),".",""),"-",""),"/",""),"?",""),"_",""),",",""),"[",""),"]",""),"(",""),")",""),"*","")</f>
        <v/>
      </c>
      <c r="BB130" s="61" t="str">
        <f aca="false">IF(AND(TRIM(U130)="Pass",ISNUMBER(AF130)),IF(AF130&lt;&gt;0,"INVALID – qty variance: use Fail or Pass after CA",""),"")&amp;IF(AND(TRIM(U130)="Pass after CA",ISNUMBER(AF130)),IF(AF130&lt;&gt;0,"INVALID – after the corrective action the actual qty must equal expected (update Actual)",""),"")&amp;IF(AND(TRIM(U130)="Pass",TRIM(AB130)&lt;&gt;"",TRIM(AB130)&lt;&gt;"Closed"),"INVALID – corrective action not closed: use Fail, then Pass after CA","")&amp;IF(AND(TRIM(AA130)&lt;&gt;"",TRIM(AB130)=""),"INVALID – CA status missing for the recorded corrective action","")&amp;IF(AND(TRIM(U130)="Pass after CA",OR(OR(LEN(BA130)&lt;5,ISNUMBER(MATCH(BA130,L_Placeholder,0))),TRIM(AB130)&lt;&gt;"Closed")),"INVALID – corrective action not recorded/closed","")</f>
        <v/>
      </c>
    </row>
    <row r="131" customFormat="false" ht="39.75" hidden="false" customHeight="true" outlineLevel="0" collapsed="false">
      <c r="A131" s="57" t="s">
        <v>628</v>
      </c>
      <c r="B131" s="57" t="s">
        <v>215</v>
      </c>
      <c r="C131" s="57" t="str">
        <f aca="false">Flights!$F$8</f>
        <v>MH0088</v>
      </c>
      <c r="D131" s="58" t="n">
        <f aca="false">Flights!$D$8</f>
        <v>46305</v>
      </c>
      <c r="E131" s="57" t="str">
        <f aca="false">Flights!$G$8&amp;"-"&amp;Flights!$H$8</f>
        <v>KUL-NRT</v>
      </c>
      <c r="F131" s="57" t="str">
        <f aca="false">Flights!$K$8</f>
        <v>BC</v>
      </c>
      <c r="G131" s="57" t="s">
        <v>437</v>
      </c>
      <c r="H131" s="57" t="s">
        <v>438</v>
      </c>
      <c r="I131" s="57" t="s">
        <v>477</v>
      </c>
      <c r="J131" s="57" t="s">
        <v>529</v>
      </c>
      <c r="K131" s="67" t="s">
        <v>479</v>
      </c>
      <c r="L131" s="67" t="s">
        <v>597</v>
      </c>
      <c r="M131" s="67" t="s">
        <v>429</v>
      </c>
      <c r="N131" s="67" t="s">
        <v>361</v>
      </c>
      <c r="O131" s="67"/>
      <c r="P131" s="57" t="s">
        <v>184</v>
      </c>
      <c r="Q131" s="59" t="n">
        <f aca="false">ROUND((Flights!$AF$8)*1440,0)/1440</f>
        <v>46305.6458333333</v>
      </c>
      <c r="R131" s="59" t="n">
        <f aca="false">Q131+(IF(AND(INDEX(TZ_DSTS,MATCH(P131,TZ_STN,0))&lt;&gt;"",Q131&gt;=INDEX(TZ_DSTS,MATCH(P131,TZ_STN,0)),Q131&lt;INDEX(TZ_DSTE,MATCH(P131,TZ_STN,0))),INDEX(TZ_DST,MATCH(P131,TZ_STN,0)),INDEX(TZ_STD,MATCH(P131,TZ_STN,0))))/24</f>
        <v>46305.9791666667</v>
      </c>
      <c r="S131" s="59" t="n">
        <f aca="false">IF(ISNUMBER(Flights!$AZ$8),MAX(Q131-UpliftWindowH/24,Flights!$AZ$8),Q131-UpliftWindowH/24)</f>
        <v>46305.3958333333</v>
      </c>
      <c r="T131" s="60"/>
      <c r="U131" s="60"/>
      <c r="V131" s="60"/>
      <c r="W131" s="61"/>
      <c r="X131" s="60"/>
      <c r="Y131" s="60"/>
      <c r="Z131" s="60"/>
      <c r="AA131" s="60"/>
      <c r="AB131" s="60"/>
      <c r="AC131" s="60"/>
      <c r="AD131" s="66"/>
      <c r="AE131" s="60"/>
      <c r="AF131" s="61" t="str">
        <f aca="false">IF(AND(ISNUMBER(X131),ISNUMBER(Y131)),Y131-X131,"")</f>
        <v/>
      </c>
      <c r="AG131" s="62" t="str">
        <f aca="false">IF(ISNUMBER(AD131),AD131-(IF(AND(INDEX(TZ_DSTS,MATCH(P131,TZ_STN,0))&lt;&gt;"",(AD131-INDEX(TZ_STD,MATCH(P131,TZ_STN,0))/24)&gt;=INDEX(TZ_DSTS,MATCH(P131,TZ_STN,0)),(AD131-INDEX(TZ_STD,MATCH(P131,TZ_STN,0))/24)&lt;INDEX(TZ_DSTE,MATCH(P131,TZ_STN,0))),INDEX(TZ_DST,MATCH(P131,TZ_STN,0)),INDEX(TZ_STD,MATCH(P131,TZ_STN,0))))/24,"")</f>
        <v/>
      </c>
      <c r="AH131" s="65" t="str">
        <f aca="false">IFERROR(IF(N131="N/A – rule","N/A – RULE",IF(TRIM(U131)="N/A",IF(AT131=0,"INVALID – N/A not permitted for this check",IF(AND(TRIM(AB131)&lt;&gt;"",TRIM(AB131)&lt;&gt;"Closed"),"INVALID – corrective action still open",IF(AND(NOT(OR(LEN(AZ131)&lt;15,ISNUMBER(MATCH(AZ131,L_Placeholder,0)))),NOT(OR(LEN(AU131)&lt;2,ISNUMBER(MATCH(AU131,L_Placeholder,0)))),NOT(OR(LEN(AX131)&lt;2,ISNUMBER(MATCH(AX131,L_Placeholder,0)))),TRIM(AE131)&lt;&gt;TRIM(T131)),"N/A – JUSTIFIED","INVALID – N/A needs a real justification (15+ chars), PIC and a different verifier"))),IF(OR(TRIM(U131)="Pass",TRIM(U131)="Pass after CA"),IF(NOT(ISNUMBER(AD131)),"INVALID – completion time missing",IF(OR(LEN(AU131)&lt;2,ISNUMBER(MATCH(AU131,L_Placeholder,0))),"INVALID – PIC missing",IF(OR(LEN(AV131)&lt;2,ISNUMBER(MATCH(AV131,L_Placeholder,0))),"INVALID – result / assessment missing",IF(OR(OR(LEN(AW131)&lt;3,ISNUMBER(MATCH(AW131,L_Placeholder,0))),SUMPRODUCT(--ISNUMBER(SEARCH(L_EvidencePhrase,AW131)))&gt;0),"INVALID – evidence missing, placeholder or not yet on file",IF(OR(LEN(AX131)&lt;2,ISNUMBER(MATCH(AX131,L_Placeholder,0))),"INVALID – verifier missing",IF(AX131=AU131,"INVALID – verifier must be someone other than the PIC",IF(AND(TRIM(U131)="Pass",SUMPRODUCT(--ISNUMBER(SEARCH(L_ResultBad,AV131)))&gt;0),"INVALID – result describes a problem: use Fail, then Pass after CA",IF(AND(AQ131=1,OR(LEN(AY131)&lt;3,ISNUMBER(MATCH(AY131,L_Placeholder,0)))),"INVALID – batch ID missing or placeholder",IF(AND(AR131=1,OR(NOT(ISNUMBER(X131)),NOT(ISNUMBER(Y131)))),"INVALID – expected/actual qty missing",IF(AND(AR131=1,OR(X131&lt;=0,Y131&lt;0)),"INVALID – expected qty must be above 0 and actual not negative",IF(AH115="N/A – JUSTIFIED","INVALID – preparation row F04-T12-16 is N/A",IF(AND(AR131=1,ISNUMBER(X115),X131&lt;&gt;X115),"INVALID – expected qty differs from preparation check F04-T12-16",IF(BB131&lt;&gt;"",BB131,IF(AND(AS131=1,Documents!$J$8&lt;&gt;"ON FILE"),"INVALID – GLD not on file (Documents sheet)",IF(AND(AS131=2,Documents!$O$8&lt;&gt;"ON FILE"),"INVALID – menu checklist not on file (Documents sheet)",IF(AND(AS131=3,NOT(ISNUMBER(Flights!$AX$8))),"INVALID – enter carrying flight KUL departure (Flights AX)",IF(AND(AS131=3,OR(Flights!$AZ$8&gt;Flights!$AA$8,Flights!$AX$8&lt;Flights!$AA$8-3)),"INVALID – carrying flight (Flights AX) cannot arrive before this leg's STD, or is over 3 days early",IF(AG131&gt;AsOfUTC,"INVALID – completion time is in the future",IF(AND(ISNUMBER(S131),AG131&lt;S131),IF(H131="Physical uplift","INVALID – before uplift window (cannot confirm loading)","INVALID – before valid window"),IF(AG131&gt;Flights!$AA$8,"INVALID – completed after departure (cannot establish readiness)",IF(AND(H131="Preparation",AG131&gt;IF(ISNUMBER(Flights!$BA$8),MIN(Flights!$BA$8,Flights!$AA$8),Flights!$AA$8)),"INVALID – completed after loading / departure (cannot establish readiness)",IF(AND(H131="Physical uplift",AG131&gt;Q131),"INVALID – recorded after the loading flight departed",IF(AG131&gt;Q131,"COMPLETE – LATE","COMPLETE"))))))))))))))))))))))),IF(TRIM(U131)="Fail","FAIL – DISCREPANCY",IF(AND(TRIM(U131)&lt;&gt;"",TRIM(U131)&lt;&gt;"Not started",TRIM(U131)&lt;&gt;"In progress"),"INVALID – unrecognised status (use the list)",IF(AsOfUTC&gt;Q131,"OVERDUE",IF(N131="Clarification required","OPEN – CLARIFICATION","OPEN"))))))),"INVALID – error value in an input cell")</f>
        <v>OPEN</v>
      </c>
      <c r="AI131" s="61" t="n">
        <f aca="false">IF(OR(AH131="N/A – RULE",AH131="N/A – JUSTIFIED"),0,1)</f>
        <v>1</v>
      </c>
      <c r="AJ131" s="61" t="n">
        <f aca="false">IF(LEFT(AH131,8)="COMPLETE",1,0)</f>
        <v>0</v>
      </c>
      <c r="AK131" s="61" t="n">
        <f aca="false">IF(AND(AI131=1,AJ131=0,AsOfUTC&gt;Q131),1,0)</f>
        <v>0</v>
      </c>
      <c r="AL131" s="61" t="n">
        <f aca="false">IFERROR(IF(AND(AI131=1,OR(TRIM(U131)="Fail",AND(TRIM(AB131)&lt;&gt;"",TRIM(AB131)&lt;&gt;"Closed"),AND(ISNUMBER(AF131),AF131&lt;&gt;0,TRIM(U131)&lt;&gt;"Pass after CA"))),1,0),1)</f>
        <v>0</v>
      </c>
      <c r="AM131" s="61" t="n">
        <f aca="false">IF(LEFT(AH131,7)="INVALID",1,0)</f>
        <v>0</v>
      </c>
      <c r="AN131" s="61" t="n">
        <f aca="false">IF(AND(N131="Clarification required",AI131=1,AJ131=0),1,0)</f>
        <v>0</v>
      </c>
      <c r="AO131" s="61" t="str">
        <f aca="false">IF(AK131=1,SUM(AK$5:AK131),"")</f>
        <v/>
      </c>
      <c r="AP131" s="61" t="str">
        <f aca="false">IF(AL131=1,SUM(AL$5:AL131),"")</f>
        <v/>
      </c>
      <c r="AQ131" s="61" t="n">
        <v>0</v>
      </c>
      <c r="AR131" s="61" t="n">
        <v>0</v>
      </c>
      <c r="AS131" s="61" t="n">
        <v>0</v>
      </c>
      <c r="AT131" s="61" t="n">
        <v>0</v>
      </c>
      <c r="AU131" s="61" t="str">
        <f aca="false">SUBSTITUTE(SUBSTITUTE(SUBSTITUTE(SUBSTITUTE(SUBSTITUTE(SUBSTITUTE(SUBSTITUTE(SUBSTITUTE(SUBSTITUTE(SUBSTITUTE(SUBSTITUTE(SUBSTITUTE(SUBSTITUTE(LOWER(T131&amp;""),CHAR(160),"")," ",""),".",""),"-",""),"/",""),"?",""),"_",""),",",""),"[",""),"]",""),"(",""),")",""),"*","")</f>
        <v/>
      </c>
      <c r="AV131" s="61" t="str">
        <f aca="false">SUBSTITUTE(SUBSTITUTE(SUBSTITUTE(SUBSTITUTE(SUBSTITUTE(SUBSTITUTE(SUBSTITUTE(SUBSTITUTE(SUBSTITUTE(SUBSTITUTE(SUBSTITUTE(SUBSTITUTE(SUBSTITUTE(LOWER(V131&amp;""),CHAR(160),"")," ",""),".",""),"-",""),"/",""),"?",""),"_",""),",",""),"[",""),"]",""),"(",""),")",""),"*","")</f>
        <v/>
      </c>
      <c r="AW131" s="61" t="str">
        <f aca="false">SUBSTITUTE(SUBSTITUTE(SUBSTITUTE(SUBSTITUTE(SUBSTITUTE(SUBSTITUTE(SUBSTITUTE(SUBSTITUTE(SUBSTITUTE(SUBSTITUTE(SUBSTITUTE(SUBSTITUTE(SUBSTITUTE(LOWER(Z131&amp;""),CHAR(160),"")," ",""),".",""),"-",""),"/",""),"?",""),"_",""),",",""),"[",""),"]",""),"(",""),")",""),"*","")</f>
        <v/>
      </c>
      <c r="AX131" s="61" t="str">
        <f aca="false">SUBSTITUTE(SUBSTITUTE(SUBSTITUTE(SUBSTITUTE(SUBSTITUTE(SUBSTITUTE(SUBSTITUTE(SUBSTITUTE(SUBSTITUTE(SUBSTITUTE(SUBSTITUTE(SUBSTITUTE(SUBSTITUTE(LOWER(AE131&amp;""),CHAR(160),"")," ",""),".",""),"-",""),"/",""),"?",""),"_",""),",",""),"[",""),"]",""),"(",""),")",""),"*","")</f>
        <v/>
      </c>
      <c r="AY131" s="61" t="str">
        <f aca="false">SUBSTITUTE(SUBSTITUTE(SUBSTITUTE(SUBSTITUTE(SUBSTITUTE(SUBSTITUTE(SUBSTITUTE(SUBSTITUTE(SUBSTITUTE(SUBSTITUTE(SUBSTITUTE(SUBSTITUTE(SUBSTITUTE(LOWER(W131&amp;""),CHAR(160),"")," ",""),".",""),"-",""),"/",""),"?",""),"_",""),",",""),"[",""),"]",""),"(",""),")",""),"*","")</f>
        <v/>
      </c>
      <c r="AZ131" s="61" t="str">
        <f aca="false">SUBSTITUTE(SUBSTITUTE(SUBSTITUTE(SUBSTITUTE(SUBSTITUTE(SUBSTITUTE(SUBSTITUTE(SUBSTITUTE(SUBSTITUTE(SUBSTITUTE(SUBSTITUTE(SUBSTITUTE(SUBSTITUTE(LOWER(AC131&amp;""),CHAR(160),"")," ",""),".",""),"-",""),"/",""),"?",""),"_",""),",",""),"[",""),"]",""),"(",""),")",""),"*","")</f>
        <v/>
      </c>
      <c r="BA131" s="61" t="str">
        <f aca="false">SUBSTITUTE(SUBSTITUTE(SUBSTITUTE(SUBSTITUTE(SUBSTITUTE(SUBSTITUTE(SUBSTITUTE(SUBSTITUTE(SUBSTITUTE(SUBSTITUTE(SUBSTITUTE(SUBSTITUTE(SUBSTITUTE(LOWER(AA131&amp;""),CHAR(160),"")," ",""),".",""),"-",""),"/",""),"?",""),"_",""),",",""),"[",""),"]",""),"(",""),")",""),"*","")</f>
        <v/>
      </c>
      <c r="BB131" s="61" t="str">
        <f aca="false">IF(AND(TRIM(U131)="Pass",ISNUMBER(AF131)),IF(AF131&lt;&gt;0,"INVALID – qty variance: use Fail or Pass after CA",""),"")&amp;IF(AND(TRIM(U131)="Pass after CA",ISNUMBER(AF131)),IF(AF131&lt;&gt;0,"INVALID – after the corrective action the actual qty must equal expected (update Actual)",""),"")&amp;IF(AND(TRIM(U131)="Pass",TRIM(AB131)&lt;&gt;"",TRIM(AB131)&lt;&gt;"Closed"),"INVALID – corrective action not closed: use Fail, then Pass after CA","")&amp;IF(AND(TRIM(AA131)&lt;&gt;"",TRIM(AB131)=""),"INVALID – CA status missing for the recorded corrective action","")&amp;IF(AND(TRIM(U131)="Pass after CA",OR(OR(LEN(BA131)&lt;5,ISNUMBER(MATCH(BA131,L_Placeholder,0))),TRIM(AB131)&lt;&gt;"Closed")),"INVALID – corrective action not recorded/closed","")</f>
        <v/>
      </c>
    </row>
    <row r="132" customFormat="false" ht="39.75" hidden="false" customHeight="true" outlineLevel="0" collapsed="false">
      <c r="A132" s="57" t="s">
        <v>629</v>
      </c>
      <c r="B132" s="57" t="s">
        <v>215</v>
      </c>
      <c r="C132" s="57" t="str">
        <f aca="false">Flights!$F$8</f>
        <v>MH0088</v>
      </c>
      <c r="D132" s="58" t="n">
        <f aca="false">Flights!$D$8</f>
        <v>46305</v>
      </c>
      <c r="E132" s="57" t="str">
        <f aca="false">Flights!$G$8&amp;"-"&amp;Flights!$H$8</f>
        <v>KUL-NRT</v>
      </c>
      <c r="F132" s="57" t="str">
        <f aca="false">Flights!$K$8</f>
        <v>BC</v>
      </c>
      <c r="G132" s="57" t="s">
        <v>437</v>
      </c>
      <c r="H132" s="57" t="s">
        <v>438</v>
      </c>
      <c r="I132" s="57" t="s">
        <v>425</v>
      </c>
      <c r="J132" s="57" t="s">
        <v>531</v>
      </c>
      <c r="K132" s="67" t="s">
        <v>427</v>
      </c>
      <c r="L132" s="67" t="s">
        <v>599</v>
      </c>
      <c r="M132" s="67" t="s">
        <v>429</v>
      </c>
      <c r="N132" s="67" t="s">
        <v>361</v>
      </c>
      <c r="O132" s="67"/>
      <c r="P132" s="57" t="s">
        <v>184</v>
      </c>
      <c r="Q132" s="59" t="n">
        <f aca="false">ROUND((Flights!$AF$8)*1440,0)/1440</f>
        <v>46305.6458333333</v>
      </c>
      <c r="R132" s="59" t="n">
        <f aca="false">Q132+(IF(AND(INDEX(TZ_DSTS,MATCH(P132,TZ_STN,0))&lt;&gt;"",Q132&gt;=INDEX(TZ_DSTS,MATCH(P132,TZ_STN,0)),Q132&lt;INDEX(TZ_DSTE,MATCH(P132,TZ_STN,0))),INDEX(TZ_DST,MATCH(P132,TZ_STN,0)),INDEX(TZ_STD,MATCH(P132,TZ_STN,0))))/24</f>
        <v>46305.9791666667</v>
      </c>
      <c r="S132" s="59" t="n">
        <f aca="false">IF(ISNUMBER(Flights!$AZ$8),MAX(Q132-UpliftWindowH/24,Flights!$AZ$8),Q132-UpliftWindowH/24)</f>
        <v>46305.3958333333</v>
      </c>
      <c r="T132" s="60"/>
      <c r="U132" s="60"/>
      <c r="V132" s="60"/>
      <c r="W132" s="61"/>
      <c r="X132" s="60"/>
      <c r="Y132" s="60"/>
      <c r="Z132" s="60"/>
      <c r="AA132" s="60"/>
      <c r="AB132" s="60"/>
      <c r="AC132" s="60"/>
      <c r="AD132" s="66"/>
      <c r="AE132" s="60"/>
      <c r="AF132" s="61" t="str">
        <f aca="false">IF(AND(ISNUMBER(X132),ISNUMBER(Y132)),Y132-X132,"")</f>
        <v/>
      </c>
      <c r="AG132" s="62" t="str">
        <f aca="false">IF(ISNUMBER(AD132),AD132-(IF(AND(INDEX(TZ_DSTS,MATCH(P132,TZ_STN,0))&lt;&gt;"",(AD132-INDEX(TZ_STD,MATCH(P132,TZ_STN,0))/24)&gt;=INDEX(TZ_DSTS,MATCH(P132,TZ_STN,0)),(AD132-INDEX(TZ_STD,MATCH(P132,TZ_STN,0))/24)&lt;INDEX(TZ_DSTE,MATCH(P132,TZ_STN,0))),INDEX(TZ_DST,MATCH(P132,TZ_STN,0)),INDEX(TZ_STD,MATCH(P132,TZ_STN,0))))/24,"")</f>
        <v/>
      </c>
      <c r="AH132" s="65" t="str">
        <f aca="false">IFERROR(IF(N132="N/A – rule","N/A – RULE",IF(TRIM(U132)="N/A",IF(AT132=0,"INVALID – N/A not permitted for this check",IF(AND(TRIM(AB132)&lt;&gt;"",TRIM(AB132)&lt;&gt;"Closed"),"INVALID – corrective action still open",IF(AND(NOT(OR(LEN(AZ132)&lt;15,ISNUMBER(MATCH(AZ132,L_Placeholder,0)))),NOT(OR(LEN(AU132)&lt;2,ISNUMBER(MATCH(AU132,L_Placeholder,0)))),NOT(OR(LEN(AX132)&lt;2,ISNUMBER(MATCH(AX132,L_Placeholder,0)))),TRIM(AE132)&lt;&gt;TRIM(T132)),"N/A – JUSTIFIED","INVALID – N/A needs a real justification (15+ chars), PIC and a different verifier"))),IF(OR(TRIM(U132)="Pass",TRIM(U132)="Pass after CA"),IF(NOT(ISNUMBER(AD132)),"INVALID – completion time missing",IF(OR(LEN(AU132)&lt;2,ISNUMBER(MATCH(AU132,L_Placeholder,0))),"INVALID – PIC missing",IF(OR(LEN(AV132)&lt;2,ISNUMBER(MATCH(AV132,L_Placeholder,0))),"INVALID – result / assessment missing",IF(OR(OR(LEN(AW132)&lt;3,ISNUMBER(MATCH(AW132,L_Placeholder,0))),SUMPRODUCT(--ISNUMBER(SEARCH(L_EvidencePhrase,AW132)))&gt;0),"INVALID – evidence missing, placeholder or not yet on file",IF(OR(LEN(AX132)&lt;2,ISNUMBER(MATCH(AX132,L_Placeholder,0))),"INVALID – verifier missing",IF(AX132=AU132,"INVALID – verifier must be someone other than the PIC",IF(AND(TRIM(U132)="Pass",SUMPRODUCT(--ISNUMBER(SEARCH(L_ResultBad,AV132)))&gt;0),"INVALID – result describes a problem: use Fail, then Pass after CA",IF(AND(AQ132=1,OR(LEN(AY132)&lt;3,ISNUMBER(MATCH(AY132,L_Placeholder,0)))),"INVALID – batch ID missing or placeholder",IF(AND(AR132=1,OR(NOT(ISNUMBER(X132)),NOT(ISNUMBER(Y132)))),"INVALID – expected/actual qty missing",IF(AND(AR132=1,OR(X132&lt;=0,Y132&lt;0)),"INVALID – expected qty must be above 0 and actual not negative",IF(AH116="N/A – JUSTIFIED","INVALID – preparation row F04-T12-17 is N/A",IF(AND(AR132=1,ISNUMBER(X116),X132&lt;&gt;X116),"INVALID – expected qty differs from preparation check F04-T12-17",IF(BB132&lt;&gt;"",BB132,IF(AND(AS132=1,Documents!$J$8&lt;&gt;"ON FILE"),"INVALID – GLD not on file (Documents sheet)",IF(AND(AS132=2,Documents!$O$8&lt;&gt;"ON FILE"),"INVALID – menu checklist not on file (Documents sheet)",IF(AND(AS132=3,NOT(ISNUMBER(Flights!$AX$8))),"INVALID – enter carrying flight KUL departure (Flights AX)",IF(AND(AS132=3,OR(Flights!$AZ$8&gt;Flights!$AA$8,Flights!$AX$8&lt;Flights!$AA$8-3)),"INVALID – carrying flight (Flights AX) cannot arrive before this leg's STD, or is over 3 days early",IF(AG132&gt;AsOfUTC,"INVALID – completion time is in the future",IF(AND(ISNUMBER(S132),AG132&lt;S132),IF(H132="Physical uplift","INVALID – before uplift window (cannot confirm loading)","INVALID – before valid window"),IF(AG132&gt;Flights!$AA$8,"INVALID – completed after departure (cannot establish readiness)",IF(AND(H132="Preparation",AG132&gt;IF(ISNUMBER(Flights!$BA$8),MIN(Flights!$BA$8,Flights!$AA$8),Flights!$AA$8)),"INVALID – completed after loading / departure (cannot establish readiness)",IF(AND(H132="Physical uplift",AG132&gt;Q132),"INVALID – recorded after the loading flight departed",IF(AG132&gt;Q132,"COMPLETE – LATE","COMPLETE"))))))))))))))))))))))),IF(TRIM(U132)="Fail","FAIL – DISCREPANCY",IF(AND(TRIM(U132)&lt;&gt;"",TRIM(U132)&lt;&gt;"Not started",TRIM(U132)&lt;&gt;"In progress"),"INVALID – unrecognised status (use the list)",IF(AsOfUTC&gt;Q132,"OVERDUE",IF(N132="Clarification required","OPEN – CLARIFICATION","OPEN"))))))),"INVALID – error value in an input cell")</f>
        <v>OPEN</v>
      </c>
      <c r="AI132" s="61" t="n">
        <f aca="false">IF(OR(AH132="N/A – RULE",AH132="N/A – JUSTIFIED"),0,1)</f>
        <v>1</v>
      </c>
      <c r="AJ132" s="61" t="n">
        <f aca="false">IF(LEFT(AH132,8)="COMPLETE",1,0)</f>
        <v>0</v>
      </c>
      <c r="AK132" s="61" t="n">
        <f aca="false">IF(AND(AI132=1,AJ132=0,AsOfUTC&gt;Q132),1,0)</f>
        <v>0</v>
      </c>
      <c r="AL132" s="61" t="n">
        <f aca="false">IFERROR(IF(AND(AI132=1,OR(TRIM(U132)="Fail",AND(TRIM(AB132)&lt;&gt;"",TRIM(AB132)&lt;&gt;"Closed"),AND(ISNUMBER(AF132),AF132&lt;&gt;0,TRIM(U132)&lt;&gt;"Pass after CA"))),1,0),1)</f>
        <v>0</v>
      </c>
      <c r="AM132" s="61" t="n">
        <f aca="false">IF(LEFT(AH132,7)="INVALID",1,0)</f>
        <v>0</v>
      </c>
      <c r="AN132" s="61" t="n">
        <f aca="false">IF(AND(N132="Clarification required",AI132=1,AJ132=0),1,0)</f>
        <v>0</v>
      </c>
      <c r="AO132" s="61" t="str">
        <f aca="false">IF(AK132=1,SUM(AK$5:AK132),"")</f>
        <v/>
      </c>
      <c r="AP132" s="61" t="str">
        <f aca="false">IF(AL132=1,SUM(AL$5:AL132),"")</f>
        <v/>
      </c>
      <c r="AQ132" s="61" t="n">
        <v>0</v>
      </c>
      <c r="AR132" s="61" t="n">
        <v>0</v>
      </c>
      <c r="AS132" s="61" t="n">
        <v>0</v>
      </c>
      <c r="AT132" s="61" t="n">
        <v>0</v>
      </c>
      <c r="AU132" s="61" t="str">
        <f aca="false">SUBSTITUTE(SUBSTITUTE(SUBSTITUTE(SUBSTITUTE(SUBSTITUTE(SUBSTITUTE(SUBSTITUTE(SUBSTITUTE(SUBSTITUTE(SUBSTITUTE(SUBSTITUTE(SUBSTITUTE(SUBSTITUTE(LOWER(T132&amp;""),CHAR(160),"")," ",""),".",""),"-",""),"/",""),"?",""),"_",""),",",""),"[",""),"]",""),"(",""),")",""),"*","")</f>
        <v/>
      </c>
      <c r="AV132" s="61" t="str">
        <f aca="false">SUBSTITUTE(SUBSTITUTE(SUBSTITUTE(SUBSTITUTE(SUBSTITUTE(SUBSTITUTE(SUBSTITUTE(SUBSTITUTE(SUBSTITUTE(SUBSTITUTE(SUBSTITUTE(SUBSTITUTE(SUBSTITUTE(LOWER(V132&amp;""),CHAR(160),"")," ",""),".",""),"-",""),"/",""),"?",""),"_",""),",",""),"[",""),"]",""),"(",""),")",""),"*","")</f>
        <v/>
      </c>
      <c r="AW132" s="61" t="str">
        <f aca="false">SUBSTITUTE(SUBSTITUTE(SUBSTITUTE(SUBSTITUTE(SUBSTITUTE(SUBSTITUTE(SUBSTITUTE(SUBSTITUTE(SUBSTITUTE(SUBSTITUTE(SUBSTITUTE(SUBSTITUTE(SUBSTITUTE(LOWER(Z132&amp;""),CHAR(160),"")," ",""),".",""),"-",""),"/",""),"?",""),"_",""),",",""),"[",""),"]",""),"(",""),")",""),"*","")</f>
        <v/>
      </c>
      <c r="AX132" s="61" t="str">
        <f aca="false">SUBSTITUTE(SUBSTITUTE(SUBSTITUTE(SUBSTITUTE(SUBSTITUTE(SUBSTITUTE(SUBSTITUTE(SUBSTITUTE(SUBSTITUTE(SUBSTITUTE(SUBSTITUTE(SUBSTITUTE(SUBSTITUTE(LOWER(AE132&amp;""),CHAR(160),"")," ",""),".",""),"-",""),"/",""),"?",""),"_",""),",",""),"[",""),"]",""),"(",""),")",""),"*","")</f>
        <v/>
      </c>
      <c r="AY132" s="61" t="str">
        <f aca="false">SUBSTITUTE(SUBSTITUTE(SUBSTITUTE(SUBSTITUTE(SUBSTITUTE(SUBSTITUTE(SUBSTITUTE(SUBSTITUTE(SUBSTITUTE(SUBSTITUTE(SUBSTITUTE(SUBSTITUTE(SUBSTITUTE(LOWER(W132&amp;""),CHAR(160),"")," ",""),".",""),"-",""),"/",""),"?",""),"_",""),",",""),"[",""),"]",""),"(",""),")",""),"*","")</f>
        <v/>
      </c>
      <c r="AZ132" s="61" t="str">
        <f aca="false">SUBSTITUTE(SUBSTITUTE(SUBSTITUTE(SUBSTITUTE(SUBSTITUTE(SUBSTITUTE(SUBSTITUTE(SUBSTITUTE(SUBSTITUTE(SUBSTITUTE(SUBSTITUTE(SUBSTITUTE(SUBSTITUTE(LOWER(AC132&amp;""),CHAR(160),"")," ",""),".",""),"-",""),"/",""),"?",""),"_",""),",",""),"[",""),"]",""),"(",""),")",""),"*","")</f>
        <v/>
      </c>
      <c r="BA132" s="61" t="str">
        <f aca="false">SUBSTITUTE(SUBSTITUTE(SUBSTITUTE(SUBSTITUTE(SUBSTITUTE(SUBSTITUTE(SUBSTITUTE(SUBSTITUTE(SUBSTITUTE(SUBSTITUTE(SUBSTITUTE(SUBSTITUTE(SUBSTITUTE(LOWER(AA132&amp;""),CHAR(160),"")," ",""),".",""),"-",""),"/",""),"?",""),"_",""),",",""),"[",""),"]",""),"(",""),")",""),"*","")</f>
        <v/>
      </c>
      <c r="BB132" s="61" t="str">
        <f aca="false">IF(AND(TRIM(U132)="Pass",ISNUMBER(AF132)),IF(AF132&lt;&gt;0,"INVALID – qty variance: use Fail or Pass after CA",""),"")&amp;IF(AND(TRIM(U132)="Pass after CA",ISNUMBER(AF132)),IF(AF132&lt;&gt;0,"INVALID – after the corrective action the actual qty must equal expected (update Actual)",""),"")&amp;IF(AND(TRIM(U132)="Pass",TRIM(AB132)&lt;&gt;"",TRIM(AB132)&lt;&gt;"Closed"),"INVALID – corrective action not closed: use Fail, then Pass after CA","")&amp;IF(AND(TRIM(AA132)&lt;&gt;"",TRIM(AB132)=""),"INVALID – CA status missing for the recorded corrective action","")&amp;IF(AND(TRIM(U132)="Pass after CA",OR(OR(LEN(BA132)&lt;5,ISNUMBER(MATCH(BA132,L_Placeholder,0))),TRIM(AB132)&lt;&gt;"Closed")),"INVALID – corrective action not recorded/closed","")</f>
        <v/>
      </c>
    </row>
    <row r="133" customFormat="false" ht="39.75" hidden="false" customHeight="true" outlineLevel="0" collapsed="false">
      <c r="A133" s="57" t="s">
        <v>630</v>
      </c>
      <c r="B133" s="57" t="s">
        <v>215</v>
      </c>
      <c r="C133" s="57" t="str">
        <f aca="false">Flights!$F$8</f>
        <v>MH0088</v>
      </c>
      <c r="D133" s="58" t="n">
        <f aca="false">Flights!$D$8</f>
        <v>46305</v>
      </c>
      <c r="E133" s="57" t="str">
        <f aca="false">Flights!$G$8&amp;"-"&amp;Flights!$H$8</f>
        <v>KUL-NRT</v>
      </c>
      <c r="F133" s="57" t="str">
        <f aca="false">Flights!$K$8</f>
        <v>BC</v>
      </c>
      <c r="G133" s="57" t="s">
        <v>437</v>
      </c>
      <c r="H133" s="57" t="s">
        <v>438</v>
      </c>
      <c r="I133" s="57" t="s">
        <v>425</v>
      </c>
      <c r="J133" s="57" t="s">
        <v>631</v>
      </c>
      <c r="K133" s="67" t="s">
        <v>427</v>
      </c>
      <c r="L133" s="67" t="s">
        <v>602</v>
      </c>
      <c r="M133" s="67" t="s">
        <v>429</v>
      </c>
      <c r="N133" s="67" t="s">
        <v>361</v>
      </c>
      <c r="O133" s="67"/>
      <c r="P133" s="57" t="s">
        <v>184</v>
      </c>
      <c r="Q133" s="59" t="n">
        <f aca="false">ROUND((Flights!$AF$8)*1440,0)/1440</f>
        <v>46305.6458333333</v>
      </c>
      <c r="R133" s="59" t="n">
        <f aca="false">Q133+(IF(AND(INDEX(TZ_DSTS,MATCH(P133,TZ_STN,0))&lt;&gt;"",Q133&gt;=INDEX(TZ_DSTS,MATCH(P133,TZ_STN,0)),Q133&lt;INDEX(TZ_DSTE,MATCH(P133,TZ_STN,0))),INDEX(TZ_DST,MATCH(P133,TZ_STN,0)),INDEX(TZ_STD,MATCH(P133,TZ_STN,0))))/24</f>
        <v>46305.9791666667</v>
      </c>
      <c r="S133" s="59" t="n">
        <f aca="false">IF(ISNUMBER(Flights!$AZ$8),MAX(Q133-UpliftWindowH/24,Flights!$AZ$8),Q133-UpliftWindowH/24)</f>
        <v>46305.3958333333</v>
      </c>
      <c r="T133" s="60"/>
      <c r="U133" s="60"/>
      <c r="V133" s="60"/>
      <c r="W133" s="61"/>
      <c r="X133" s="60"/>
      <c r="Y133" s="60"/>
      <c r="Z133" s="60"/>
      <c r="AA133" s="60"/>
      <c r="AB133" s="60"/>
      <c r="AC133" s="60"/>
      <c r="AD133" s="66"/>
      <c r="AE133" s="60"/>
      <c r="AF133" s="61" t="str">
        <f aca="false">IF(AND(ISNUMBER(X133),ISNUMBER(Y133)),Y133-X133,"")</f>
        <v/>
      </c>
      <c r="AG133" s="62" t="str">
        <f aca="false">IF(ISNUMBER(AD133),AD133-(IF(AND(INDEX(TZ_DSTS,MATCH(P133,TZ_STN,0))&lt;&gt;"",(AD133-INDEX(TZ_STD,MATCH(P133,TZ_STN,0))/24)&gt;=INDEX(TZ_DSTS,MATCH(P133,TZ_STN,0)),(AD133-INDEX(TZ_STD,MATCH(P133,TZ_STN,0))/24)&lt;INDEX(TZ_DSTE,MATCH(P133,TZ_STN,0))),INDEX(TZ_DST,MATCH(P133,TZ_STN,0)),INDEX(TZ_STD,MATCH(P133,TZ_STN,0))))/24,"")</f>
        <v/>
      </c>
      <c r="AH133" s="65" t="str">
        <f aca="false">IFERROR(IF(N133="N/A – rule","N/A – RULE",IF(TRIM(U133)="N/A",IF(AT133=0,"INVALID – N/A not permitted for this check",IF(AND(TRIM(AB133)&lt;&gt;"",TRIM(AB133)&lt;&gt;"Closed"),"INVALID – corrective action still open",IF(AND(NOT(OR(LEN(AZ133)&lt;15,ISNUMBER(MATCH(AZ133,L_Placeholder,0)))),NOT(OR(LEN(AU133)&lt;2,ISNUMBER(MATCH(AU133,L_Placeholder,0)))),NOT(OR(LEN(AX133)&lt;2,ISNUMBER(MATCH(AX133,L_Placeholder,0)))),TRIM(AE133)&lt;&gt;TRIM(T133)),"N/A – JUSTIFIED","INVALID – N/A needs a real justification (15+ chars), PIC and a different verifier"))),IF(OR(TRIM(U133)="Pass",TRIM(U133)="Pass after CA"),IF(NOT(ISNUMBER(AD133)),"INVALID – completion time missing",IF(OR(LEN(AU133)&lt;2,ISNUMBER(MATCH(AU133,L_Placeholder,0))),"INVALID – PIC missing",IF(OR(LEN(AV133)&lt;2,ISNUMBER(MATCH(AV133,L_Placeholder,0))),"INVALID – result / assessment missing",IF(OR(OR(LEN(AW133)&lt;3,ISNUMBER(MATCH(AW133,L_Placeholder,0))),SUMPRODUCT(--ISNUMBER(SEARCH(L_EvidencePhrase,AW133)))&gt;0),"INVALID – evidence missing, placeholder or not yet on file",IF(OR(LEN(AX133)&lt;2,ISNUMBER(MATCH(AX133,L_Placeholder,0))),"INVALID – verifier missing",IF(AX133=AU133,"INVALID – verifier must be someone other than the PIC",IF(AND(TRIM(U133)="Pass",SUMPRODUCT(--ISNUMBER(SEARCH(L_ResultBad,AV133)))&gt;0),"INVALID – result describes a problem: use Fail, then Pass after CA",IF(AND(AQ133=1,OR(LEN(AY133)&lt;3,ISNUMBER(MATCH(AY133,L_Placeholder,0)))),"INVALID – batch ID missing or placeholder",IF(AND(AR133=1,OR(NOT(ISNUMBER(X133)),NOT(ISNUMBER(Y133)))),"INVALID – expected/actual qty missing",IF(AND(AR133=1,OR(X133&lt;=0,Y133&lt;0)),"INVALID – expected qty must be above 0 and actual not negative",IF(AH117="N/A – JUSTIFIED","INVALID – preparation row F04-T12-18 is N/A",IF(AND(AR133=1,ISNUMBER(X117),X133&lt;&gt;X117),"INVALID – expected qty differs from preparation check F04-T12-18",IF(BB133&lt;&gt;"",BB133,IF(AND(AS133=1,Documents!$J$8&lt;&gt;"ON FILE"),"INVALID – GLD not on file (Documents sheet)",IF(AND(AS133=2,Documents!$O$8&lt;&gt;"ON FILE"),"INVALID – menu checklist not on file (Documents sheet)",IF(AND(AS133=3,NOT(ISNUMBER(Flights!$AX$8))),"INVALID – enter carrying flight KUL departure (Flights AX)",IF(AND(AS133=3,OR(Flights!$AZ$8&gt;Flights!$AA$8,Flights!$AX$8&lt;Flights!$AA$8-3)),"INVALID – carrying flight (Flights AX) cannot arrive before this leg's STD, or is over 3 days early",IF(AG133&gt;AsOfUTC,"INVALID – completion time is in the future",IF(AND(ISNUMBER(S133),AG133&lt;S133),IF(H133="Physical uplift","INVALID – before uplift window (cannot confirm loading)","INVALID – before valid window"),IF(AG133&gt;Flights!$AA$8,"INVALID – completed after departure (cannot establish readiness)",IF(AND(H133="Preparation",AG133&gt;IF(ISNUMBER(Flights!$BA$8),MIN(Flights!$BA$8,Flights!$AA$8),Flights!$AA$8)),"INVALID – completed after loading / departure (cannot establish readiness)",IF(AND(H133="Physical uplift",AG133&gt;Q133),"INVALID – recorded after the loading flight departed",IF(AG133&gt;Q133,"COMPLETE – LATE","COMPLETE"))))))))))))))))))))))),IF(TRIM(U133)="Fail","FAIL – DISCREPANCY",IF(AND(TRIM(U133)&lt;&gt;"",TRIM(U133)&lt;&gt;"Not started",TRIM(U133)&lt;&gt;"In progress"),"INVALID – unrecognised status (use the list)",IF(AsOfUTC&gt;Q133,"OVERDUE",IF(N133="Clarification required","OPEN – CLARIFICATION","OPEN"))))))),"INVALID – error value in an input cell")</f>
        <v>OPEN</v>
      </c>
      <c r="AI133" s="61" t="n">
        <f aca="false">IF(OR(AH133="N/A – RULE",AH133="N/A – JUSTIFIED"),0,1)</f>
        <v>1</v>
      </c>
      <c r="AJ133" s="61" t="n">
        <f aca="false">IF(LEFT(AH133,8)="COMPLETE",1,0)</f>
        <v>0</v>
      </c>
      <c r="AK133" s="61" t="n">
        <f aca="false">IF(AND(AI133=1,AJ133=0,AsOfUTC&gt;Q133),1,0)</f>
        <v>0</v>
      </c>
      <c r="AL133" s="61" t="n">
        <f aca="false">IFERROR(IF(AND(AI133=1,OR(TRIM(U133)="Fail",AND(TRIM(AB133)&lt;&gt;"",TRIM(AB133)&lt;&gt;"Closed"),AND(ISNUMBER(AF133),AF133&lt;&gt;0,TRIM(U133)&lt;&gt;"Pass after CA"))),1,0),1)</f>
        <v>0</v>
      </c>
      <c r="AM133" s="61" t="n">
        <f aca="false">IF(LEFT(AH133,7)="INVALID",1,0)</f>
        <v>0</v>
      </c>
      <c r="AN133" s="61" t="n">
        <f aca="false">IF(AND(N133="Clarification required",AI133=1,AJ133=0),1,0)</f>
        <v>0</v>
      </c>
      <c r="AO133" s="61" t="str">
        <f aca="false">IF(AK133=1,SUM(AK$5:AK133),"")</f>
        <v/>
      </c>
      <c r="AP133" s="61" t="str">
        <f aca="false">IF(AL133=1,SUM(AL$5:AL133),"")</f>
        <v/>
      </c>
      <c r="AQ133" s="61" t="n">
        <v>0</v>
      </c>
      <c r="AR133" s="61" t="n">
        <v>0</v>
      </c>
      <c r="AS133" s="61" t="n">
        <v>0</v>
      </c>
      <c r="AT133" s="61" t="n">
        <v>0</v>
      </c>
      <c r="AU133" s="61" t="str">
        <f aca="false">SUBSTITUTE(SUBSTITUTE(SUBSTITUTE(SUBSTITUTE(SUBSTITUTE(SUBSTITUTE(SUBSTITUTE(SUBSTITUTE(SUBSTITUTE(SUBSTITUTE(SUBSTITUTE(SUBSTITUTE(SUBSTITUTE(LOWER(T133&amp;""),CHAR(160),"")," ",""),".",""),"-",""),"/",""),"?",""),"_",""),",",""),"[",""),"]",""),"(",""),")",""),"*","")</f>
        <v/>
      </c>
      <c r="AV133" s="61" t="str">
        <f aca="false">SUBSTITUTE(SUBSTITUTE(SUBSTITUTE(SUBSTITUTE(SUBSTITUTE(SUBSTITUTE(SUBSTITUTE(SUBSTITUTE(SUBSTITUTE(SUBSTITUTE(SUBSTITUTE(SUBSTITUTE(SUBSTITUTE(LOWER(V133&amp;""),CHAR(160),"")," ",""),".",""),"-",""),"/",""),"?",""),"_",""),",",""),"[",""),"]",""),"(",""),")",""),"*","")</f>
        <v/>
      </c>
      <c r="AW133" s="61" t="str">
        <f aca="false">SUBSTITUTE(SUBSTITUTE(SUBSTITUTE(SUBSTITUTE(SUBSTITUTE(SUBSTITUTE(SUBSTITUTE(SUBSTITUTE(SUBSTITUTE(SUBSTITUTE(SUBSTITUTE(SUBSTITUTE(SUBSTITUTE(LOWER(Z133&amp;""),CHAR(160),"")," ",""),".",""),"-",""),"/",""),"?",""),"_",""),",",""),"[",""),"]",""),"(",""),")",""),"*","")</f>
        <v/>
      </c>
      <c r="AX133" s="61" t="str">
        <f aca="false">SUBSTITUTE(SUBSTITUTE(SUBSTITUTE(SUBSTITUTE(SUBSTITUTE(SUBSTITUTE(SUBSTITUTE(SUBSTITUTE(SUBSTITUTE(SUBSTITUTE(SUBSTITUTE(SUBSTITUTE(SUBSTITUTE(LOWER(AE133&amp;""),CHAR(160),"")," ",""),".",""),"-",""),"/",""),"?",""),"_",""),",",""),"[",""),"]",""),"(",""),")",""),"*","")</f>
        <v/>
      </c>
      <c r="AY133" s="61" t="str">
        <f aca="false">SUBSTITUTE(SUBSTITUTE(SUBSTITUTE(SUBSTITUTE(SUBSTITUTE(SUBSTITUTE(SUBSTITUTE(SUBSTITUTE(SUBSTITUTE(SUBSTITUTE(SUBSTITUTE(SUBSTITUTE(SUBSTITUTE(LOWER(W133&amp;""),CHAR(160),"")," ",""),".",""),"-",""),"/",""),"?",""),"_",""),",",""),"[",""),"]",""),"(",""),")",""),"*","")</f>
        <v/>
      </c>
      <c r="AZ133" s="61" t="str">
        <f aca="false">SUBSTITUTE(SUBSTITUTE(SUBSTITUTE(SUBSTITUTE(SUBSTITUTE(SUBSTITUTE(SUBSTITUTE(SUBSTITUTE(SUBSTITUTE(SUBSTITUTE(SUBSTITUTE(SUBSTITUTE(SUBSTITUTE(LOWER(AC133&amp;""),CHAR(160),"")," ",""),".",""),"-",""),"/",""),"?",""),"_",""),",",""),"[",""),"]",""),"(",""),")",""),"*","")</f>
        <v/>
      </c>
      <c r="BA133" s="61" t="str">
        <f aca="false">SUBSTITUTE(SUBSTITUTE(SUBSTITUTE(SUBSTITUTE(SUBSTITUTE(SUBSTITUTE(SUBSTITUTE(SUBSTITUTE(SUBSTITUTE(SUBSTITUTE(SUBSTITUTE(SUBSTITUTE(SUBSTITUTE(LOWER(AA133&amp;""),CHAR(160),"")," ",""),".",""),"-",""),"/",""),"?",""),"_",""),",",""),"[",""),"]",""),"(",""),")",""),"*","")</f>
        <v/>
      </c>
      <c r="BB133" s="61" t="str">
        <f aca="false">IF(AND(TRIM(U133)="Pass",ISNUMBER(AF133)),IF(AF133&lt;&gt;0,"INVALID – qty variance: use Fail or Pass after CA",""),"")&amp;IF(AND(TRIM(U133)="Pass after CA",ISNUMBER(AF133)),IF(AF133&lt;&gt;0,"INVALID – after the corrective action the actual qty must equal expected (update Actual)",""),"")&amp;IF(AND(TRIM(U133)="Pass",TRIM(AB133)&lt;&gt;"",TRIM(AB133)&lt;&gt;"Closed"),"INVALID – corrective action not closed: use Fail, then Pass after CA","")&amp;IF(AND(TRIM(AA133)&lt;&gt;"",TRIM(AB133)=""),"INVALID – CA status missing for the recorded corrective action","")&amp;IF(AND(TRIM(U133)="Pass after CA",OR(OR(LEN(BA133)&lt;5,ISNUMBER(MATCH(BA133,L_Placeholder,0))),TRIM(AB133)&lt;&gt;"Closed")),"INVALID – corrective action not recorded/closed","")</f>
        <v/>
      </c>
    </row>
    <row r="134" customFormat="false" ht="39.75" hidden="false" customHeight="true" outlineLevel="0" collapsed="false">
      <c r="A134" s="57" t="s">
        <v>632</v>
      </c>
      <c r="B134" s="57" t="s">
        <v>215</v>
      </c>
      <c r="C134" s="57" t="str">
        <f aca="false">Flights!$F$8</f>
        <v>MH0088</v>
      </c>
      <c r="D134" s="58" t="n">
        <f aca="false">Flights!$D$8</f>
        <v>46305</v>
      </c>
      <c r="E134" s="57" t="str">
        <f aca="false">Flights!$G$8&amp;"-"&amp;Flights!$H$8</f>
        <v>KUL-NRT</v>
      </c>
      <c r="F134" s="57" t="str">
        <f aca="false">Flights!$K$8</f>
        <v>BC</v>
      </c>
      <c r="G134" s="57" t="s">
        <v>437</v>
      </c>
      <c r="H134" s="57" t="s">
        <v>438</v>
      </c>
      <c r="I134" s="57" t="s">
        <v>425</v>
      </c>
      <c r="J134" s="57" t="s">
        <v>633</v>
      </c>
      <c r="K134" s="67" t="s">
        <v>427</v>
      </c>
      <c r="L134" s="67" t="s">
        <v>605</v>
      </c>
      <c r="M134" s="67" t="s">
        <v>429</v>
      </c>
      <c r="N134" s="67" t="s">
        <v>361</v>
      </c>
      <c r="O134" s="67"/>
      <c r="P134" s="57" t="s">
        <v>184</v>
      </c>
      <c r="Q134" s="59" t="n">
        <f aca="false">ROUND((Flights!$AF$8)*1440,0)/1440</f>
        <v>46305.6458333333</v>
      </c>
      <c r="R134" s="59" t="n">
        <f aca="false">Q134+(IF(AND(INDEX(TZ_DSTS,MATCH(P134,TZ_STN,0))&lt;&gt;"",Q134&gt;=INDEX(TZ_DSTS,MATCH(P134,TZ_STN,0)),Q134&lt;INDEX(TZ_DSTE,MATCH(P134,TZ_STN,0))),INDEX(TZ_DST,MATCH(P134,TZ_STN,0)),INDEX(TZ_STD,MATCH(P134,TZ_STN,0))))/24</f>
        <v>46305.9791666667</v>
      </c>
      <c r="S134" s="59" t="n">
        <f aca="false">IF(ISNUMBER(Flights!$AZ$8),MAX(Q134-UpliftWindowH/24,Flights!$AZ$8),Q134-UpliftWindowH/24)</f>
        <v>46305.3958333333</v>
      </c>
      <c r="T134" s="60"/>
      <c r="U134" s="60"/>
      <c r="V134" s="60"/>
      <c r="W134" s="61"/>
      <c r="X134" s="60"/>
      <c r="Y134" s="60"/>
      <c r="Z134" s="60"/>
      <c r="AA134" s="60"/>
      <c r="AB134" s="60"/>
      <c r="AC134" s="60"/>
      <c r="AD134" s="66"/>
      <c r="AE134" s="60"/>
      <c r="AF134" s="61" t="str">
        <f aca="false">IF(AND(ISNUMBER(X134),ISNUMBER(Y134)),Y134-X134,"")</f>
        <v/>
      </c>
      <c r="AG134" s="62" t="str">
        <f aca="false">IF(ISNUMBER(AD134),AD134-(IF(AND(INDEX(TZ_DSTS,MATCH(P134,TZ_STN,0))&lt;&gt;"",(AD134-INDEX(TZ_STD,MATCH(P134,TZ_STN,0))/24)&gt;=INDEX(TZ_DSTS,MATCH(P134,TZ_STN,0)),(AD134-INDEX(TZ_STD,MATCH(P134,TZ_STN,0))/24)&lt;INDEX(TZ_DSTE,MATCH(P134,TZ_STN,0))),INDEX(TZ_DST,MATCH(P134,TZ_STN,0)),INDEX(TZ_STD,MATCH(P134,TZ_STN,0))))/24,"")</f>
        <v/>
      </c>
      <c r="AH134" s="65" t="str">
        <f aca="false">IFERROR(IF(N134="N/A – rule","N/A – RULE",IF(TRIM(U134)="N/A",IF(AT134=0,"INVALID – N/A not permitted for this check",IF(AND(TRIM(AB134)&lt;&gt;"",TRIM(AB134)&lt;&gt;"Closed"),"INVALID – corrective action still open",IF(AND(NOT(OR(LEN(AZ134)&lt;15,ISNUMBER(MATCH(AZ134,L_Placeholder,0)))),NOT(OR(LEN(AU134)&lt;2,ISNUMBER(MATCH(AU134,L_Placeholder,0)))),NOT(OR(LEN(AX134)&lt;2,ISNUMBER(MATCH(AX134,L_Placeholder,0)))),TRIM(AE134)&lt;&gt;TRIM(T134)),"N/A – JUSTIFIED","INVALID – N/A needs a real justification (15+ chars), PIC and a different verifier"))),IF(OR(TRIM(U134)="Pass",TRIM(U134)="Pass after CA"),IF(NOT(ISNUMBER(AD134)),"INVALID – completion time missing",IF(OR(LEN(AU134)&lt;2,ISNUMBER(MATCH(AU134,L_Placeholder,0))),"INVALID – PIC missing",IF(OR(LEN(AV134)&lt;2,ISNUMBER(MATCH(AV134,L_Placeholder,0))),"INVALID – result / assessment missing",IF(OR(OR(LEN(AW134)&lt;3,ISNUMBER(MATCH(AW134,L_Placeholder,0))),SUMPRODUCT(--ISNUMBER(SEARCH(L_EvidencePhrase,AW134)))&gt;0),"INVALID – evidence missing, placeholder or not yet on file",IF(OR(LEN(AX134)&lt;2,ISNUMBER(MATCH(AX134,L_Placeholder,0))),"INVALID – verifier missing",IF(AX134=AU134,"INVALID – verifier must be someone other than the PIC",IF(AND(TRIM(U134)="Pass",SUMPRODUCT(--ISNUMBER(SEARCH(L_ResultBad,AV134)))&gt;0),"INVALID – result describes a problem: use Fail, then Pass after CA",IF(AND(AQ134=1,OR(LEN(AY134)&lt;3,ISNUMBER(MATCH(AY134,L_Placeholder,0)))),"INVALID – batch ID missing or placeholder",IF(AND(AR134=1,OR(NOT(ISNUMBER(X134)),NOT(ISNUMBER(Y134)))),"INVALID – expected/actual qty missing",IF(AND(AR134=1,OR(X134&lt;=0,Y134&lt;0)),"INVALID – expected qty must be above 0 and actual not negative",IF(AH118="N/A – JUSTIFIED","INVALID – preparation row F04-T12-19 is N/A",IF(AND(AR134=1,ISNUMBER(X118),X134&lt;&gt;X118),"INVALID – expected qty differs from preparation check F04-T12-19",IF(BB134&lt;&gt;"",BB134,IF(AND(AS134=1,Documents!$J$8&lt;&gt;"ON FILE"),"INVALID – GLD not on file (Documents sheet)",IF(AND(AS134=2,Documents!$O$8&lt;&gt;"ON FILE"),"INVALID – menu checklist not on file (Documents sheet)",IF(AND(AS134=3,NOT(ISNUMBER(Flights!$AX$8))),"INVALID – enter carrying flight KUL departure (Flights AX)",IF(AND(AS134=3,OR(Flights!$AZ$8&gt;Flights!$AA$8,Flights!$AX$8&lt;Flights!$AA$8-3)),"INVALID – carrying flight (Flights AX) cannot arrive before this leg's STD, or is over 3 days early",IF(AG134&gt;AsOfUTC,"INVALID – completion time is in the future",IF(AND(ISNUMBER(S134),AG134&lt;S134),IF(H134="Physical uplift","INVALID – before uplift window (cannot confirm loading)","INVALID – before valid window"),IF(AG134&gt;Flights!$AA$8,"INVALID – completed after departure (cannot establish readiness)",IF(AND(H134="Preparation",AG134&gt;IF(ISNUMBER(Flights!$BA$8),MIN(Flights!$BA$8,Flights!$AA$8),Flights!$AA$8)),"INVALID – completed after loading / departure (cannot establish readiness)",IF(AND(H134="Physical uplift",AG134&gt;Q134),"INVALID – recorded after the loading flight departed",IF(AG134&gt;Q134,"COMPLETE – LATE","COMPLETE"))))))))))))))))))))))),IF(TRIM(U134)="Fail","FAIL – DISCREPANCY",IF(AND(TRIM(U134)&lt;&gt;"",TRIM(U134)&lt;&gt;"Not started",TRIM(U134)&lt;&gt;"In progress"),"INVALID – unrecognised status (use the list)",IF(AsOfUTC&gt;Q134,"OVERDUE",IF(N134="Clarification required","OPEN – CLARIFICATION","OPEN"))))))),"INVALID – error value in an input cell")</f>
        <v>OPEN</v>
      </c>
      <c r="AI134" s="61" t="n">
        <f aca="false">IF(OR(AH134="N/A – RULE",AH134="N/A – JUSTIFIED"),0,1)</f>
        <v>1</v>
      </c>
      <c r="AJ134" s="61" t="n">
        <f aca="false">IF(LEFT(AH134,8)="COMPLETE",1,0)</f>
        <v>0</v>
      </c>
      <c r="AK134" s="61" t="n">
        <f aca="false">IF(AND(AI134=1,AJ134=0,AsOfUTC&gt;Q134),1,0)</f>
        <v>0</v>
      </c>
      <c r="AL134" s="61" t="n">
        <f aca="false">IFERROR(IF(AND(AI134=1,OR(TRIM(U134)="Fail",AND(TRIM(AB134)&lt;&gt;"",TRIM(AB134)&lt;&gt;"Closed"),AND(ISNUMBER(AF134),AF134&lt;&gt;0,TRIM(U134)&lt;&gt;"Pass after CA"))),1,0),1)</f>
        <v>0</v>
      </c>
      <c r="AM134" s="61" t="n">
        <f aca="false">IF(LEFT(AH134,7)="INVALID",1,0)</f>
        <v>0</v>
      </c>
      <c r="AN134" s="61" t="n">
        <f aca="false">IF(AND(N134="Clarification required",AI134=1,AJ134=0),1,0)</f>
        <v>0</v>
      </c>
      <c r="AO134" s="61" t="str">
        <f aca="false">IF(AK134=1,SUM(AK$5:AK134),"")</f>
        <v/>
      </c>
      <c r="AP134" s="61" t="str">
        <f aca="false">IF(AL134=1,SUM(AL$5:AL134),"")</f>
        <v/>
      </c>
      <c r="AQ134" s="61" t="n">
        <v>0</v>
      </c>
      <c r="AR134" s="61" t="n">
        <v>0</v>
      </c>
      <c r="AS134" s="61" t="n">
        <v>0</v>
      </c>
      <c r="AT134" s="61" t="n">
        <v>0</v>
      </c>
      <c r="AU134" s="61" t="str">
        <f aca="false">SUBSTITUTE(SUBSTITUTE(SUBSTITUTE(SUBSTITUTE(SUBSTITUTE(SUBSTITUTE(SUBSTITUTE(SUBSTITUTE(SUBSTITUTE(SUBSTITUTE(SUBSTITUTE(SUBSTITUTE(SUBSTITUTE(LOWER(T134&amp;""),CHAR(160),"")," ",""),".",""),"-",""),"/",""),"?",""),"_",""),",",""),"[",""),"]",""),"(",""),")",""),"*","")</f>
        <v/>
      </c>
      <c r="AV134" s="61" t="str">
        <f aca="false">SUBSTITUTE(SUBSTITUTE(SUBSTITUTE(SUBSTITUTE(SUBSTITUTE(SUBSTITUTE(SUBSTITUTE(SUBSTITUTE(SUBSTITUTE(SUBSTITUTE(SUBSTITUTE(SUBSTITUTE(SUBSTITUTE(LOWER(V134&amp;""),CHAR(160),"")," ",""),".",""),"-",""),"/",""),"?",""),"_",""),",",""),"[",""),"]",""),"(",""),")",""),"*","")</f>
        <v/>
      </c>
      <c r="AW134" s="61" t="str">
        <f aca="false">SUBSTITUTE(SUBSTITUTE(SUBSTITUTE(SUBSTITUTE(SUBSTITUTE(SUBSTITUTE(SUBSTITUTE(SUBSTITUTE(SUBSTITUTE(SUBSTITUTE(SUBSTITUTE(SUBSTITUTE(SUBSTITUTE(LOWER(Z134&amp;""),CHAR(160),"")," ",""),".",""),"-",""),"/",""),"?",""),"_",""),",",""),"[",""),"]",""),"(",""),")",""),"*","")</f>
        <v/>
      </c>
      <c r="AX134" s="61" t="str">
        <f aca="false">SUBSTITUTE(SUBSTITUTE(SUBSTITUTE(SUBSTITUTE(SUBSTITUTE(SUBSTITUTE(SUBSTITUTE(SUBSTITUTE(SUBSTITUTE(SUBSTITUTE(SUBSTITUTE(SUBSTITUTE(SUBSTITUTE(LOWER(AE134&amp;""),CHAR(160),"")," ",""),".",""),"-",""),"/",""),"?",""),"_",""),",",""),"[",""),"]",""),"(",""),")",""),"*","")</f>
        <v/>
      </c>
      <c r="AY134" s="61" t="str">
        <f aca="false">SUBSTITUTE(SUBSTITUTE(SUBSTITUTE(SUBSTITUTE(SUBSTITUTE(SUBSTITUTE(SUBSTITUTE(SUBSTITUTE(SUBSTITUTE(SUBSTITUTE(SUBSTITUTE(SUBSTITUTE(SUBSTITUTE(LOWER(W134&amp;""),CHAR(160),"")," ",""),".",""),"-",""),"/",""),"?",""),"_",""),",",""),"[",""),"]",""),"(",""),")",""),"*","")</f>
        <v/>
      </c>
      <c r="AZ134" s="61" t="str">
        <f aca="false">SUBSTITUTE(SUBSTITUTE(SUBSTITUTE(SUBSTITUTE(SUBSTITUTE(SUBSTITUTE(SUBSTITUTE(SUBSTITUTE(SUBSTITUTE(SUBSTITUTE(SUBSTITUTE(SUBSTITUTE(SUBSTITUTE(LOWER(AC134&amp;""),CHAR(160),"")," ",""),".",""),"-",""),"/",""),"?",""),"_",""),",",""),"[",""),"]",""),"(",""),")",""),"*","")</f>
        <v/>
      </c>
      <c r="BA134" s="61" t="str">
        <f aca="false">SUBSTITUTE(SUBSTITUTE(SUBSTITUTE(SUBSTITUTE(SUBSTITUTE(SUBSTITUTE(SUBSTITUTE(SUBSTITUTE(SUBSTITUTE(SUBSTITUTE(SUBSTITUTE(SUBSTITUTE(SUBSTITUTE(LOWER(AA134&amp;""),CHAR(160),"")," ",""),".",""),"-",""),"/",""),"?",""),"_",""),",",""),"[",""),"]",""),"(",""),")",""),"*","")</f>
        <v/>
      </c>
      <c r="BB134" s="61" t="str">
        <f aca="false">IF(AND(TRIM(U134)="Pass",ISNUMBER(AF134)),IF(AF134&lt;&gt;0,"INVALID – qty variance: use Fail or Pass after CA",""),"")&amp;IF(AND(TRIM(U134)="Pass after CA",ISNUMBER(AF134)),IF(AF134&lt;&gt;0,"INVALID – after the corrective action the actual qty must equal expected (update Actual)",""),"")&amp;IF(AND(TRIM(U134)="Pass",TRIM(AB134)&lt;&gt;"",TRIM(AB134)&lt;&gt;"Closed"),"INVALID – corrective action not closed: use Fail, then Pass after CA","")&amp;IF(AND(TRIM(AA134)&lt;&gt;"",TRIM(AB134)=""),"INVALID – CA status missing for the recorded corrective action","")&amp;IF(AND(TRIM(U134)="Pass after CA",OR(OR(LEN(BA134)&lt;5,ISNUMBER(MATCH(BA134,L_Placeholder,0))),TRIM(AB134)&lt;&gt;"Closed")),"INVALID – corrective action not recorded/closed","")</f>
        <v/>
      </c>
    </row>
    <row r="135" customFormat="false" ht="39.75" hidden="false" customHeight="true" outlineLevel="0" collapsed="false">
      <c r="A135" s="57" t="s">
        <v>634</v>
      </c>
      <c r="B135" s="57" t="s">
        <v>215</v>
      </c>
      <c r="C135" s="57" t="str">
        <f aca="false">Flights!$F$8</f>
        <v>MH0088</v>
      </c>
      <c r="D135" s="58" t="n">
        <f aca="false">Flights!$D$8</f>
        <v>46305</v>
      </c>
      <c r="E135" s="57" t="str">
        <f aca="false">Flights!$G$8&amp;"-"&amp;Flights!$H$8</f>
        <v>KUL-NRT</v>
      </c>
      <c r="F135" s="57" t="str">
        <f aca="false">Flights!$K$8</f>
        <v>BC</v>
      </c>
      <c r="G135" s="57" t="s">
        <v>437</v>
      </c>
      <c r="H135" s="57" t="s">
        <v>438</v>
      </c>
      <c r="I135" s="57" t="s">
        <v>607</v>
      </c>
      <c r="J135" s="57" t="s">
        <v>635</v>
      </c>
      <c r="K135" s="67" t="s">
        <v>479</v>
      </c>
      <c r="L135" s="67" t="s">
        <v>609</v>
      </c>
      <c r="M135" s="67" t="s">
        <v>184</v>
      </c>
      <c r="N135" s="67" t="s">
        <v>361</v>
      </c>
      <c r="O135" s="67" t="s">
        <v>610</v>
      </c>
      <c r="P135" s="57" t="s">
        <v>184</v>
      </c>
      <c r="Q135" s="59" t="n">
        <f aca="false">ROUND((Flights!$AF$8)*1440,0)/1440</f>
        <v>46305.6458333333</v>
      </c>
      <c r="R135" s="59" t="n">
        <f aca="false">Q135+(IF(AND(INDEX(TZ_DSTS,MATCH(P135,TZ_STN,0))&lt;&gt;"",Q135&gt;=INDEX(TZ_DSTS,MATCH(P135,TZ_STN,0)),Q135&lt;INDEX(TZ_DSTE,MATCH(P135,TZ_STN,0))),INDEX(TZ_DST,MATCH(P135,TZ_STN,0)),INDEX(TZ_STD,MATCH(P135,TZ_STN,0))))/24</f>
        <v>46305.9791666667</v>
      </c>
      <c r="S135" s="59" t="n">
        <f aca="false">IF(ISNUMBER(Flights!$AZ$8),MAX(Q135-UpliftWindowH/24,Flights!$AZ$8),Q135-UpliftWindowH/24)</f>
        <v>46305.3958333333</v>
      </c>
      <c r="T135" s="60"/>
      <c r="U135" s="60"/>
      <c r="V135" s="60"/>
      <c r="W135" s="61"/>
      <c r="X135" s="60"/>
      <c r="Y135" s="60"/>
      <c r="Z135" s="60"/>
      <c r="AA135" s="60"/>
      <c r="AB135" s="60"/>
      <c r="AC135" s="60"/>
      <c r="AD135" s="66"/>
      <c r="AE135" s="60"/>
      <c r="AF135" s="61" t="str">
        <f aca="false">IF(AND(ISNUMBER(X135),ISNUMBER(Y135)),Y135-X135,"")</f>
        <v/>
      </c>
      <c r="AG135" s="62" t="str">
        <f aca="false">IF(ISNUMBER(AD135),AD135-(IF(AND(INDEX(TZ_DSTS,MATCH(P135,TZ_STN,0))&lt;&gt;"",(AD135-INDEX(TZ_STD,MATCH(P135,TZ_STN,0))/24)&gt;=INDEX(TZ_DSTS,MATCH(P135,TZ_STN,0)),(AD135-INDEX(TZ_STD,MATCH(P135,TZ_STN,0))/24)&lt;INDEX(TZ_DSTE,MATCH(P135,TZ_STN,0))),INDEX(TZ_DST,MATCH(P135,TZ_STN,0)),INDEX(TZ_STD,MATCH(P135,TZ_STN,0))))/24,"")</f>
        <v/>
      </c>
      <c r="AH135" s="65" t="str">
        <f aca="false">IFERROR(IF(N135="N/A – rule","N/A – RULE",IF(TRIM(U135)="N/A",IF(AT135=0,"INVALID – N/A not permitted for this check",IF(AND(TRIM(AB135)&lt;&gt;"",TRIM(AB135)&lt;&gt;"Closed"),"INVALID – corrective action still open",IF(AND(NOT(OR(LEN(AZ135)&lt;15,ISNUMBER(MATCH(AZ135,L_Placeholder,0)))),NOT(OR(LEN(AU135)&lt;2,ISNUMBER(MATCH(AU135,L_Placeholder,0)))),NOT(OR(LEN(AX135)&lt;2,ISNUMBER(MATCH(AX135,L_Placeholder,0)))),TRIM(AE135)&lt;&gt;TRIM(T135)),"N/A – JUSTIFIED","INVALID – N/A needs a real justification (15+ chars), PIC and a different verifier"))),IF(OR(TRIM(U135)="Pass",TRIM(U135)="Pass after CA"),IF(NOT(ISNUMBER(AD135)),"INVALID – completion time missing",IF(OR(LEN(AU135)&lt;2,ISNUMBER(MATCH(AU135,L_Placeholder,0))),"INVALID – PIC missing",IF(OR(LEN(AV135)&lt;2,ISNUMBER(MATCH(AV135,L_Placeholder,0))),"INVALID – result / assessment missing",IF(OR(OR(LEN(AW135)&lt;3,ISNUMBER(MATCH(AW135,L_Placeholder,0))),SUMPRODUCT(--ISNUMBER(SEARCH(L_EvidencePhrase,AW135)))&gt;0),"INVALID – evidence missing, placeholder or not yet on file",IF(OR(LEN(AX135)&lt;2,ISNUMBER(MATCH(AX135,L_Placeholder,0))),"INVALID – verifier missing",IF(AX135=AU135,"INVALID – verifier must be someone other than the PIC",IF(AND(TRIM(U135)="Pass",SUMPRODUCT(--ISNUMBER(SEARCH(L_ResultBad,AV135)))&gt;0),"INVALID – result describes a problem: use Fail, then Pass after CA",IF(AND(AQ135=1,OR(LEN(AY135)&lt;3,ISNUMBER(MATCH(AY135,L_Placeholder,0)))),"INVALID – batch ID missing or placeholder",IF(AND(AR135=1,OR(NOT(ISNUMBER(X135)),NOT(ISNUMBER(Y135)))),"INVALID – expected/actual qty missing",IF(AND(AR135=1,OR(X135&lt;=0,Y135&lt;0)),"INVALID – expected qty must be above 0 and actual not negative",IF(AH119="N/A – JUSTIFIED","INVALID – preparation row F04-T12-20 is N/A",IF(AND(AR135=1,ISNUMBER(X119),X135&lt;&gt;X119),"INVALID – expected qty differs from preparation check F04-T12-20",IF(BB135&lt;&gt;"",BB135,IF(AND(AS135=1,Documents!$J$8&lt;&gt;"ON FILE"),"INVALID – GLD not on file (Documents sheet)",IF(AND(AS135=2,Documents!$O$8&lt;&gt;"ON FILE"),"INVALID – menu checklist not on file (Documents sheet)",IF(AND(AS135=3,NOT(ISNUMBER(Flights!$AX$8))),"INVALID – enter carrying flight KUL departure (Flights AX)",IF(AND(AS135=3,OR(Flights!$AZ$8&gt;Flights!$AA$8,Flights!$AX$8&lt;Flights!$AA$8-3)),"INVALID – carrying flight (Flights AX) cannot arrive before this leg's STD, or is over 3 days early",IF(AG135&gt;AsOfUTC,"INVALID – completion time is in the future",IF(AND(ISNUMBER(S135),AG135&lt;S135),IF(H135="Physical uplift","INVALID – before uplift window (cannot confirm loading)","INVALID – before valid window"),IF(AG135&gt;Flights!$AA$8,"INVALID – completed after departure (cannot establish readiness)",IF(AND(H135="Preparation",AG135&gt;IF(ISNUMBER(Flights!$BA$8),MIN(Flights!$BA$8,Flights!$AA$8),Flights!$AA$8)),"INVALID – completed after loading / departure (cannot establish readiness)",IF(AND(H135="Physical uplift",AG135&gt;Q135),"INVALID – recorded after the loading flight departed",IF(AG135&gt;Q135,"COMPLETE – LATE","COMPLETE"))))))))))))))))))))))),IF(TRIM(U135)="Fail","FAIL – DISCREPANCY",IF(AND(TRIM(U135)&lt;&gt;"",TRIM(U135)&lt;&gt;"Not started",TRIM(U135)&lt;&gt;"In progress"),"INVALID – unrecognised status (use the list)",IF(AsOfUTC&gt;Q135,"OVERDUE",IF(N135="Clarification required","OPEN – CLARIFICATION","OPEN"))))))),"INVALID – error value in an input cell")</f>
        <v>OPEN</v>
      </c>
      <c r="AI135" s="61" t="n">
        <f aca="false">IF(OR(AH135="N/A – RULE",AH135="N/A – JUSTIFIED"),0,1)</f>
        <v>1</v>
      </c>
      <c r="AJ135" s="61" t="n">
        <f aca="false">IF(LEFT(AH135,8)="COMPLETE",1,0)</f>
        <v>0</v>
      </c>
      <c r="AK135" s="61" t="n">
        <f aca="false">IF(AND(AI135=1,AJ135=0,AsOfUTC&gt;Q135),1,0)</f>
        <v>0</v>
      </c>
      <c r="AL135" s="61" t="n">
        <f aca="false">IFERROR(IF(AND(AI135=1,OR(TRIM(U135)="Fail",AND(TRIM(AB135)&lt;&gt;"",TRIM(AB135)&lt;&gt;"Closed"),AND(ISNUMBER(AF135),AF135&lt;&gt;0,TRIM(U135)&lt;&gt;"Pass after CA"))),1,0),1)</f>
        <v>0</v>
      </c>
      <c r="AM135" s="61" t="n">
        <f aca="false">IF(LEFT(AH135,7)="INVALID",1,0)</f>
        <v>0</v>
      </c>
      <c r="AN135" s="61" t="n">
        <f aca="false">IF(AND(N135="Clarification required",AI135=1,AJ135=0),1,0)</f>
        <v>0</v>
      </c>
      <c r="AO135" s="61" t="str">
        <f aca="false">IF(AK135=1,SUM(AK$5:AK135),"")</f>
        <v/>
      </c>
      <c r="AP135" s="61" t="str">
        <f aca="false">IF(AL135=1,SUM(AL$5:AL135),"")</f>
        <v/>
      </c>
      <c r="AQ135" s="61" t="n">
        <v>0</v>
      </c>
      <c r="AR135" s="61" t="n">
        <v>0</v>
      </c>
      <c r="AS135" s="61" t="n">
        <v>0</v>
      </c>
      <c r="AT135" s="61" t="n">
        <v>0</v>
      </c>
      <c r="AU135" s="61" t="str">
        <f aca="false">SUBSTITUTE(SUBSTITUTE(SUBSTITUTE(SUBSTITUTE(SUBSTITUTE(SUBSTITUTE(SUBSTITUTE(SUBSTITUTE(SUBSTITUTE(SUBSTITUTE(SUBSTITUTE(SUBSTITUTE(SUBSTITUTE(LOWER(T135&amp;""),CHAR(160),"")," ",""),".",""),"-",""),"/",""),"?",""),"_",""),",",""),"[",""),"]",""),"(",""),")",""),"*","")</f>
        <v/>
      </c>
      <c r="AV135" s="61" t="str">
        <f aca="false">SUBSTITUTE(SUBSTITUTE(SUBSTITUTE(SUBSTITUTE(SUBSTITUTE(SUBSTITUTE(SUBSTITUTE(SUBSTITUTE(SUBSTITUTE(SUBSTITUTE(SUBSTITUTE(SUBSTITUTE(SUBSTITUTE(LOWER(V135&amp;""),CHAR(160),"")," ",""),".",""),"-",""),"/",""),"?",""),"_",""),",",""),"[",""),"]",""),"(",""),")",""),"*","")</f>
        <v/>
      </c>
      <c r="AW135" s="61" t="str">
        <f aca="false">SUBSTITUTE(SUBSTITUTE(SUBSTITUTE(SUBSTITUTE(SUBSTITUTE(SUBSTITUTE(SUBSTITUTE(SUBSTITUTE(SUBSTITUTE(SUBSTITUTE(SUBSTITUTE(SUBSTITUTE(SUBSTITUTE(LOWER(Z135&amp;""),CHAR(160),"")," ",""),".",""),"-",""),"/",""),"?",""),"_",""),",",""),"[",""),"]",""),"(",""),")",""),"*","")</f>
        <v/>
      </c>
      <c r="AX135" s="61" t="str">
        <f aca="false">SUBSTITUTE(SUBSTITUTE(SUBSTITUTE(SUBSTITUTE(SUBSTITUTE(SUBSTITUTE(SUBSTITUTE(SUBSTITUTE(SUBSTITUTE(SUBSTITUTE(SUBSTITUTE(SUBSTITUTE(SUBSTITUTE(LOWER(AE135&amp;""),CHAR(160),"")," ",""),".",""),"-",""),"/",""),"?",""),"_",""),",",""),"[",""),"]",""),"(",""),")",""),"*","")</f>
        <v/>
      </c>
      <c r="AY135" s="61" t="str">
        <f aca="false">SUBSTITUTE(SUBSTITUTE(SUBSTITUTE(SUBSTITUTE(SUBSTITUTE(SUBSTITUTE(SUBSTITUTE(SUBSTITUTE(SUBSTITUTE(SUBSTITUTE(SUBSTITUTE(SUBSTITUTE(SUBSTITUTE(LOWER(W135&amp;""),CHAR(160),"")," ",""),".",""),"-",""),"/",""),"?",""),"_",""),",",""),"[",""),"]",""),"(",""),")",""),"*","")</f>
        <v/>
      </c>
      <c r="AZ135" s="61" t="str">
        <f aca="false">SUBSTITUTE(SUBSTITUTE(SUBSTITUTE(SUBSTITUTE(SUBSTITUTE(SUBSTITUTE(SUBSTITUTE(SUBSTITUTE(SUBSTITUTE(SUBSTITUTE(SUBSTITUTE(SUBSTITUTE(SUBSTITUTE(LOWER(AC135&amp;""),CHAR(160),"")," ",""),".",""),"-",""),"/",""),"?",""),"_",""),",",""),"[",""),"]",""),"(",""),")",""),"*","")</f>
        <v/>
      </c>
      <c r="BA135" s="61" t="str">
        <f aca="false">SUBSTITUTE(SUBSTITUTE(SUBSTITUTE(SUBSTITUTE(SUBSTITUTE(SUBSTITUTE(SUBSTITUTE(SUBSTITUTE(SUBSTITUTE(SUBSTITUTE(SUBSTITUTE(SUBSTITUTE(SUBSTITUTE(LOWER(AA135&amp;""),CHAR(160),"")," ",""),".",""),"-",""),"/",""),"?",""),"_",""),",",""),"[",""),"]",""),"(",""),")",""),"*","")</f>
        <v/>
      </c>
      <c r="BB135" s="61" t="str">
        <f aca="false">IF(AND(TRIM(U135)="Pass",ISNUMBER(AF135)),IF(AF135&lt;&gt;0,"INVALID – qty variance: use Fail or Pass after CA",""),"")&amp;IF(AND(TRIM(U135)="Pass after CA",ISNUMBER(AF135)),IF(AF135&lt;&gt;0,"INVALID – after the corrective action the actual qty must equal expected (update Actual)",""),"")&amp;IF(AND(TRIM(U135)="Pass",TRIM(AB135)&lt;&gt;"",TRIM(AB135)&lt;&gt;"Closed"),"INVALID – corrective action not closed: use Fail, then Pass after CA","")&amp;IF(AND(TRIM(AA135)&lt;&gt;"",TRIM(AB135)=""),"INVALID – CA status missing for the recorded corrective action","")&amp;IF(AND(TRIM(U135)="Pass after CA",OR(OR(LEN(BA135)&lt;5,ISNUMBER(MATCH(BA135,L_Placeholder,0))),TRIM(AB135)&lt;&gt;"Closed")),"INVALID – corrective action not recorded/closed","")</f>
        <v/>
      </c>
    </row>
    <row r="136" customFormat="false" ht="41.25" hidden="false" customHeight="true" outlineLevel="0" collapsed="false">
      <c r="A136" s="57" t="s">
        <v>636</v>
      </c>
      <c r="B136" s="57" t="s">
        <v>215</v>
      </c>
      <c r="C136" s="57" t="str">
        <f aca="false">Flights!$F$8</f>
        <v>MH0088</v>
      </c>
      <c r="D136" s="58" t="n">
        <f aca="false">Flights!$D$8</f>
        <v>46305</v>
      </c>
      <c r="E136" s="57" t="str">
        <f aca="false">Flights!$G$8&amp;"-"&amp;Flights!$H$8</f>
        <v>KUL-NRT</v>
      </c>
      <c r="F136" s="57" t="str">
        <f aca="false">Flights!$K$8</f>
        <v>BC</v>
      </c>
      <c r="G136" s="57" t="s">
        <v>437</v>
      </c>
      <c r="H136" s="57" t="s">
        <v>438</v>
      </c>
      <c r="I136" s="57" t="s">
        <v>612</v>
      </c>
      <c r="J136" s="57" t="s">
        <v>637</v>
      </c>
      <c r="K136" s="67" t="s">
        <v>614</v>
      </c>
      <c r="L136" s="67" t="s">
        <v>615</v>
      </c>
      <c r="M136" s="67" t="s">
        <v>429</v>
      </c>
      <c r="N136" s="67" t="s">
        <v>361</v>
      </c>
      <c r="O136" s="67" t="s">
        <v>638</v>
      </c>
      <c r="P136" s="57" t="s">
        <v>184</v>
      </c>
      <c r="Q136" s="59" t="n">
        <f aca="false">ROUND((Flights!$AF$8)*1440,0)/1440</f>
        <v>46305.6458333333</v>
      </c>
      <c r="R136" s="59" t="n">
        <f aca="false">Q136+(IF(AND(INDEX(TZ_DSTS,MATCH(P136,TZ_STN,0))&lt;&gt;"",Q136&gt;=INDEX(TZ_DSTS,MATCH(P136,TZ_STN,0)),Q136&lt;INDEX(TZ_DSTE,MATCH(P136,TZ_STN,0))),INDEX(TZ_DST,MATCH(P136,TZ_STN,0)),INDEX(TZ_STD,MATCH(P136,TZ_STN,0))))/24</f>
        <v>46305.9791666667</v>
      </c>
      <c r="S136" s="59" t="n">
        <f aca="false">IF(ISNUMBER(Flights!$AZ$8),MAX(Q136-UpliftWindowH/24,Flights!$AZ$8),Q136-UpliftWindowH/24)</f>
        <v>46305.3958333333</v>
      </c>
      <c r="T136" s="60"/>
      <c r="U136" s="60"/>
      <c r="V136" s="60"/>
      <c r="W136" s="61"/>
      <c r="X136" s="60"/>
      <c r="Y136" s="60"/>
      <c r="Z136" s="60"/>
      <c r="AA136" s="60"/>
      <c r="AB136" s="60"/>
      <c r="AC136" s="60"/>
      <c r="AD136" s="66"/>
      <c r="AE136" s="60"/>
      <c r="AF136" s="61" t="str">
        <f aca="false">IF(AND(ISNUMBER(X136),ISNUMBER(Y136)),Y136-X136,"")</f>
        <v/>
      </c>
      <c r="AG136" s="62" t="str">
        <f aca="false">IF(ISNUMBER(AD136),AD136-(IF(AND(INDEX(TZ_DSTS,MATCH(P136,TZ_STN,0))&lt;&gt;"",(AD136-INDEX(TZ_STD,MATCH(P136,TZ_STN,0))/24)&gt;=INDEX(TZ_DSTS,MATCH(P136,TZ_STN,0)),(AD136-INDEX(TZ_STD,MATCH(P136,TZ_STN,0))/24)&lt;INDEX(TZ_DSTE,MATCH(P136,TZ_STN,0))),INDEX(TZ_DST,MATCH(P136,TZ_STN,0)),INDEX(TZ_STD,MATCH(P136,TZ_STN,0))))/24,"")</f>
        <v/>
      </c>
      <c r="AH136" s="65" t="str">
        <f aca="false">IFERROR(IF(N136="N/A – rule","N/A – RULE",IF(TRIM(U136)="N/A",IF(AT136=0,"INVALID – N/A not permitted for this check",IF(AND(TRIM(AB136)&lt;&gt;"",TRIM(AB136)&lt;&gt;"Closed"),"INVALID – corrective action still open",IF(AND(NOT(OR(LEN(AZ136)&lt;15,ISNUMBER(MATCH(AZ136,L_Placeholder,0)))),NOT(OR(LEN(AU136)&lt;2,ISNUMBER(MATCH(AU136,L_Placeholder,0)))),NOT(OR(LEN(AX136)&lt;2,ISNUMBER(MATCH(AX136,L_Placeholder,0)))),TRIM(AE136)&lt;&gt;TRIM(T136)),"N/A – JUSTIFIED","INVALID – N/A needs a real justification (15+ chars), PIC and a different verifier"))),IF(OR(TRIM(U136)="Pass",TRIM(U136)="Pass after CA"),IF(NOT(ISNUMBER(AD136)),"INVALID – completion time missing",IF(OR(LEN(AU136)&lt;2,ISNUMBER(MATCH(AU136,L_Placeholder,0))),"INVALID – PIC missing",IF(OR(LEN(AV136)&lt;2,ISNUMBER(MATCH(AV136,L_Placeholder,0))),"INVALID – result / assessment missing",IF(OR(OR(LEN(AW136)&lt;3,ISNUMBER(MATCH(AW136,L_Placeholder,0))),SUMPRODUCT(--ISNUMBER(SEARCH(L_EvidencePhrase,AW136)))&gt;0),"INVALID – evidence missing, placeholder or not yet on file",IF(OR(LEN(AX136)&lt;2,ISNUMBER(MATCH(AX136,L_Placeholder,0))),"INVALID – verifier missing",IF(AX136=AU136,"INVALID – verifier must be someone other than the PIC",IF(AND(TRIM(U136)="Pass",SUMPRODUCT(--ISNUMBER(SEARCH(L_ResultBad,AV136)))&gt;0),"INVALID – result describes a problem: use Fail, then Pass after CA",IF(AND(AQ136=1,OR(LEN(AY136)&lt;3,ISNUMBER(MATCH(AY136,L_Placeholder,0)))),"INVALID – batch ID missing or placeholder",IF(AND(AR136=1,OR(NOT(ISNUMBER(X136)),NOT(ISNUMBER(Y136)))),"INVALID – expected/actual qty missing",IF(AND(AR136=1,OR(X136&lt;=0,Y136&lt;0)),"INVALID – expected qty must be above 0 and actual not negative",IF(AH120="N/A – JUSTIFIED","INVALID – preparation row F04-T12-21 is N/A",IF(AND(AR136=1,ISNUMBER(X120),X136&lt;&gt;X120),"INVALID – expected qty differs from preparation check F04-T12-21",IF(BB136&lt;&gt;"",BB136,IF(AND(AS136=1,Documents!$J$8&lt;&gt;"ON FILE"),"INVALID – GLD not on file (Documents sheet)",IF(AND(AS136=2,Documents!$O$8&lt;&gt;"ON FILE"),"INVALID – menu checklist not on file (Documents sheet)",IF(AND(AS136=3,NOT(ISNUMBER(Flights!$AX$8))),"INVALID – enter carrying flight KUL departure (Flights AX)",IF(AND(AS136=3,OR(Flights!$AZ$8&gt;Flights!$AA$8,Flights!$AX$8&lt;Flights!$AA$8-3)),"INVALID – carrying flight (Flights AX) cannot arrive before this leg's STD, or is over 3 days early",IF(AG136&gt;AsOfUTC,"INVALID – completion time is in the future",IF(AND(ISNUMBER(S136),AG136&lt;S136),IF(H136="Physical uplift","INVALID – before uplift window (cannot confirm loading)","INVALID – before valid window"),IF(AG136&gt;Flights!$AA$8,"INVALID – completed after departure (cannot establish readiness)",IF(AND(H136="Preparation",AG136&gt;IF(ISNUMBER(Flights!$BA$8),MIN(Flights!$BA$8,Flights!$AA$8),Flights!$AA$8)),"INVALID – completed after loading / departure (cannot establish readiness)",IF(AND(H136="Physical uplift",AG136&gt;Q136),"INVALID – recorded after the loading flight departed",IF(AG136&gt;Q136,"COMPLETE – LATE","COMPLETE"))))))))))))))))))))))),IF(TRIM(U136)="Fail","FAIL – DISCREPANCY",IF(AND(TRIM(U136)&lt;&gt;"",TRIM(U136)&lt;&gt;"Not started",TRIM(U136)&lt;&gt;"In progress"),"INVALID – unrecognised status (use the list)",IF(AsOfUTC&gt;Q136,"OVERDUE",IF(N136="Clarification required","OPEN – CLARIFICATION","OPEN"))))))),"INVALID – error value in an input cell")</f>
        <v>OPEN</v>
      </c>
      <c r="AI136" s="61" t="n">
        <f aca="false">IF(OR(AH136="N/A – RULE",AH136="N/A – JUSTIFIED"),0,1)</f>
        <v>1</v>
      </c>
      <c r="AJ136" s="61" t="n">
        <f aca="false">IF(LEFT(AH136,8)="COMPLETE",1,0)</f>
        <v>0</v>
      </c>
      <c r="AK136" s="61" t="n">
        <f aca="false">IF(AND(AI136=1,AJ136=0,AsOfUTC&gt;Q136),1,0)</f>
        <v>0</v>
      </c>
      <c r="AL136" s="61" t="n">
        <f aca="false">IFERROR(IF(AND(AI136=1,OR(TRIM(U136)="Fail",AND(TRIM(AB136)&lt;&gt;"",TRIM(AB136)&lt;&gt;"Closed"),AND(ISNUMBER(AF136),AF136&lt;&gt;0,TRIM(U136)&lt;&gt;"Pass after CA"))),1,0),1)</f>
        <v>0</v>
      </c>
      <c r="AM136" s="61" t="n">
        <f aca="false">IF(LEFT(AH136,7)="INVALID",1,0)</f>
        <v>0</v>
      </c>
      <c r="AN136" s="61" t="n">
        <f aca="false">IF(AND(N136="Clarification required",AI136=1,AJ136=0),1,0)</f>
        <v>0</v>
      </c>
      <c r="AO136" s="61" t="str">
        <f aca="false">IF(AK136=1,SUM(AK$5:AK136),"")</f>
        <v/>
      </c>
      <c r="AP136" s="61" t="str">
        <f aca="false">IF(AL136=1,SUM(AL$5:AL136),"")</f>
        <v/>
      </c>
      <c r="AQ136" s="61" t="n">
        <v>0</v>
      </c>
      <c r="AR136" s="61" t="n">
        <v>0</v>
      </c>
      <c r="AS136" s="61" t="n">
        <v>0</v>
      </c>
      <c r="AT136" s="61" t="n">
        <v>0</v>
      </c>
      <c r="AU136" s="61" t="str">
        <f aca="false">SUBSTITUTE(SUBSTITUTE(SUBSTITUTE(SUBSTITUTE(SUBSTITUTE(SUBSTITUTE(SUBSTITUTE(SUBSTITUTE(SUBSTITUTE(SUBSTITUTE(SUBSTITUTE(SUBSTITUTE(SUBSTITUTE(LOWER(T136&amp;""),CHAR(160),"")," ",""),".",""),"-",""),"/",""),"?",""),"_",""),",",""),"[",""),"]",""),"(",""),")",""),"*","")</f>
        <v/>
      </c>
      <c r="AV136" s="61" t="str">
        <f aca="false">SUBSTITUTE(SUBSTITUTE(SUBSTITUTE(SUBSTITUTE(SUBSTITUTE(SUBSTITUTE(SUBSTITUTE(SUBSTITUTE(SUBSTITUTE(SUBSTITUTE(SUBSTITUTE(SUBSTITUTE(SUBSTITUTE(LOWER(V136&amp;""),CHAR(160),"")," ",""),".",""),"-",""),"/",""),"?",""),"_",""),",",""),"[",""),"]",""),"(",""),")",""),"*","")</f>
        <v/>
      </c>
      <c r="AW136" s="61" t="str">
        <f aca="false">SUBSTITUTE(SUBSTITUTE(SUBSTITUTE(SUBSTITUTE(SUBSTITUTE(SUBSTITUTE(SUBSTITUTE(SUBSTITUTE(SUBSTITUTE(SUBSTITUTE(SUBSTITUTE(SUBSTITUTE(SUBSTITUTE(LOWER(Z136&amp;""),CHAR(160),"")," ",""),".",""),"-",""),"/",""),"?",""),"_",""),",",""),"[",""),"]",""),"(",""),")",""),"*","")</f>
        <v/>
      </c>
      <c r="AX136" s="61" t="str">
        <f aca="false">SUBSTITUTE(SUBSTITUTE(SUBSTITUTE(SUBSTITUTE(SUBSTITUTE(SUBSTITUTE(SUBSTITUTE(SUBSTITUTE(SUBSTITUTE(SUBSTITUTE(SUBSTITUTE(SUBSTITUTE(SUBSTITUTE(LOWER(AE136&amp;""),CHAR(160),"")," ",""),".",""),"-",""),"/",""),"?",""),"_",""),",",""),"[",""),"]",""),"(",""),")",""),"*","")</f>
        <v/>
      </c>
      <c r="AY136" s="61" t="str">
        <f aca="false">SUBSTITUTE(SUBSTITUTE(SUBSTITUTE(SUBSTITUTE(SUBSTITUTE(SUBSTITUTE(SUBSTITUTE(SUBSTITUTE(SUBSTITUTE(SUBSTITUTE(SUBSTITUTE(SUBSTITUTE(SUBSTITUTE(LOWER(W136&amp;""),CHAR(160),"")," ",""),".",""),"-",""),"/",""),"?",""),"_",""),",",""),"[",""),"]",""),"(",""),")",""),"*","")</f>
        <v/>
      </c>
      <c r="AZ136" s="61" t="str">
        <f aca="false">SUBSTITUTE(SUBSTITUTE(SUBSTITUTE(SUBSTITUTE(SUBSTITUTE(SUBSTITUTE(SUBSTITUTE(SUBSTITUTE(SUBSTITUTE(SUBSTITUTE(SUBSTITUTE(SUBSTITUTE(SUBSTITUTE(LOWER(AC136&amp;""),CHAR(160),"")," ",""),".",""),"-",""),"/",""),"?",""),"_",""),",",""),"[",""),"]",""),"(",""),")",""),"*","")</f>
        <v/>
      </c>
      <c r="BA136" s="61" t="str">
        <f aca="false">SUBSTITUTE(SUBSTITUTE(SUBSTITUTE(SUBSTITUTE(SUBSTITUTE(SUBSTITUTE(SUBSTITUTE(SUBSTITUTE(SUBSTITUTE(SUBSTITUTE(SUBSTITUTE(SUBSTITUTE(SUBSTITUTE(LOWER(AA136&amp;""),CHAR(160),"")," ",""),".",""),"-",""),"/",""),"?",""),"_",""),",",""),"[",""),"]",""),"(",""),")",""),"*","")</f>
        <v/>
      </c>
      <c r="BB136" s="61" t="str">
        <f aca="false">IF(AND(TRIM(U136)="Pass",ISNUMBER(AF136)),IF(AF136&lt;&gt;0,"INVALID – qty variance: use Fail or Pass after CA",""),"")&amp;IF(AND(TRIM(U136)="Pass after CA",ISNUMBER(AF136)),IF(AF136&lt;&gt;0,"INVALID – after the corrective action the actual qty must equal expected (update Actual)",""),"")&amp;IF(AND(TRIM(U136)="Pass",TRIM(AB136)&lt;&gt;"",TRIM(AB136)&lt;&gt;"Closed"),"INVALID – corrective action not closed: use Fail, then Pass after CA","")&amp;IF(AND(TRIM(AA136)&lt;&gt;"",TRIM(AB136)=""),"INVALID – CA status missing for the recorded corrective action","")&amp;IF(AND(TRIM(U136)="Pass after CA",OR(OR(LEN(BA136)&lt;5,ISNUMBER(MATCH(BA136,L_Placeholder,0))),TRIM(AB136)&lt;&gt;"Closed")),"INVALID – corrective action not recorded/closed","")</f>
        <v/>
      </c>
    </row>
    <row r="137" customFormat="false" ht="39.75" hidden="false" customHeight="true" outlineLevel="0" collapsed="false">
      <c r="A137" s="57" t="s">
        <v>639</v>
      </c>
      <c r="B137" s="57" t="s">
        <v>225</v>
      </c>
      <c r="C137" s="57" t="str">
        <f aca="false">Flights!$F$9</f>
        <v>MH0089</v>
      </c>
      <c r="D137" s="58" t="n">
        <f aca="false">Flights!$D$9</f>
        <v>46310</v>
      </c>
      <c r="E137" s="57" t="str">
        <f aca="false">Flights!$G$9&amp;"-"&amp;Flights!$H$9</f>
        <v>NRT-KUL</v>
      </c>
      <c r="F137" s="57" t="str">
        <f aca="false">Flights!$K$9</f>
        <v>EY</v>
      </c>
      <c r="G137" s="57" t="s">
        <v>79</v>
      </c>
      <c r="H137" s="57" t="s">
        <v>356</v>
      </c>
      <c r="I137" s="57" t="s">
        <v>357</v>
      </c>
      <c r="J137" s="57" t="s">
        <v>358</v>
      </c>
      <c r="K137" s="67" t="s">
        <v>359</v>
      </c>
      <c r="L137" s="67" t="s">
        <v>360</v>
      </c>
      <c r="M137" s="67"/>
      <c r="N137" s="67" t="s">
        <v>361</v>
      </c>
      <c r="O137" s="67"/>
      <c r="P137" s="57" t="s">
        <v>217</v>
      </c>
      <c r="Q137" s="59" t="n">
        <f aca="false">ROUND((Flights!$AC$9)*1440,0)/1440</f>
        <v>46303.0451388889</v>
      </c>
      <c r="R137" s="59" t="n">
        <f aca="false">Q137+(IF(AND(INDEX(TZ_DSTS,MATCH(P137,TZ_STN,0))&lt;&gt;"",Q137&gt;=INDEX(TZ_DSTS,MATCH(P137,TZ_STN,0)),Q137&lt;INDEX(TZ_DSTE,MATCH(P137,TZ_STN,0))),INDEX(TZ_DST,MATCH(P137,TZ_STN,0)),INDEX(TZ_STD,MATCH(P137,TZ_STN,0))))/24</f>
        <v>46303.4201388889</v>
      </c>
      <c r="S137" s="59" t="n">
        <f aca="false">Q137-T7EarlyD*24/24</f>
        <v>46289.0451388889</v>
      </c>
      <c r="T137" s="60"/>
      <c r="U137" s="60"/>
      <c r="V137" s="60"/>
      <c r="W137" s="61"/>
      <c r="X137" s="60"/>
      <c r="Y137" s="60"/>
      <c r="Z137" s="60"/>
      <c r="AA137" s="60"/>
      <c r="AB137" s="60"/>
      <c r="AC137" s="60"/>
      <c r="AD137" s="66"/>
      <c r="AE137" s="60"/>
      <c r="AF137" s="61" t="str">
        <f aca="false">IF(AND(ISNUMBER(X137),ISNUMBER(Y137)),Y137-X137,"")</f>
        <v/>
      </c>
      <c r="AG137" s="62" t="str">
        <f aca="false">IF(ISNUMBER(AD137),AD137-(IF(AND(INDEX(TZ_DSTS,MATCH(P137,TZ_STN,0))&lt;&gt;"",(AD137-INDEX(TZ_STD,MATCH(P137,TZ_STN,0))/24)&gt;=INDEX(TZ_DSTS,MATCH(P137,TZ_STN,0)),(AD137-INDEX(TZ_STD,MATCH(P137,TZ_STN,0))/24)&lt;INDEX(TZ_DSTE,MATCH(P137,TZ_STN,0))),INDEX(TZ_DST,MATCH(P137,TZ_STN,0)),INDEX(TZ_STD,MATCH(P137,TZ_STN,0))))/24,"")</f>
        <v/>
      </c>
      <c r="AH137" s="65" t="str">
        <f aca="false">IFERROR(IF(N137="N/A – rule","N/A – RULE",IF(TRIM(U137)="N/A",IF(AT137=0,"INVALID – N/A not permitted for this check",IF(AND(TRIM(AB137)&lt;&gt;"",TRIM(AB137)&lt;&gt;"Closed"),"INVALID – corrective action still open",IF(AND(NOT(OR(LEN(AZ137)&lt;15,ISNUMBER(MATCH(AZ137,L_Placeholder,0)))),NOT(OR(LEN(AU137)&lt;2,ISNUMBER(MATCH(AU137,L_Placeholder,0)))),NOT(OR(LEN(AX137)&lt;2,ISNUMBER(MATCH(AX137,L_Placeholder,0)))),TRIM(AE137)&lt;&gt;TRIM(T137)),"N/A – JUSTIFIED","INVALID – N/A needs a real justification (15+ chars), PIC and a different verifier"))),IF(OR(TRIM(U137)="Pass",TRIM(U137)="Pass after CA"),IF(NOT(ISNUMBER(AD137)),"INVALID – completion time missing",IF(OR(LEN(AU137)&lt;2,ISNUMBER(MATCH(AU137,L_Placeholder,0))),"INVALID – PIC missing",IF(OR(LEN(AV137)&lt;2,ISNUMBER(MATCH(AV137,L_Placeholder,0))),"INVALID – result / assessment missing",IF(OR(OR(LEN(AW137)&lt;3,ISNUMBER(MATCH(AW137,L_Placeholder,0))),SUMPRODUCT(--ISNUMBER(SEARCH(L_EvidencePhrase,AW137)))&gt;0),"INVALID – evidence missing, placeholder or not yet on file",IF(OR(LEN(AX137)&lt;2,ISNUMBER(MATCH(AX137,L_Placeholder,0))),"INVALID – verifier missing",IF(AX137=AU137,"INVALID – verifier must be someone other than the PIC",IF(AND(TRIM(U137)="Pass",SUMPRODUCT(--ISNUMBER(SEARCH(L_ResultBad,AV137)))&gt;0),"INVALID – result describes a problem: use Fail, then Pass after CA",IF(AND(AQ137=1,OR(LEN(AY137)&lt;3,ISNUMBER(MATCH(AY137,L_Placeholder,0)))),"INVALID – batch ID missing or placeholder",IF(AND(AR137=1,OR(NOT(ISNUMBER(X137)),NOT(ISNUMBER(Y137)))),"INVALID – expected/actual qty missing",IF(AND(AR137=1,OR(X137&lt;=0,Y137&lt;0)),"INVALID – expected qty must be above 0 and actual not negative",IF(BB137&lt;&gt;"",BB137,IF(AND(AS137=1,Documents!$J$9&lt;&gt;"ON FILE"),"INVALID – GLD not on file (Documents sheet)",IF(AND(AS137=2,Documents!$O$9&lt;&gt;"ON FILE"),"INVALID – menu checklist not on file (Documents sheet)",IF(AND(AS137=3,NOT(ISNUMBER(Flights!$AX$9))),"INVALID – enter carrying flight KUL departure (Flights AX)",IF(AND(AS137=3,OR(Flights!$AZ$9&gt;Flights!$AA$9,Flights!$AX$9&lt;Flights!$AA$9-3)),"INVALID – carrying flight (Flights AX) cannot arrive before this leg's STD, or is over 3 days early",IF(AG137&gt;AsOfUTC,"INVALID – completion time is in the future",IF(AND(ISNUMBER(S137),AG137&lt;S137),IF(H137="Physical uplift","INVALID – before uplift window (cannot confirm loading)","INVALID – before valid window"),IF(AG137&gt;Flights!$AA$9,"INVALID – completed after departure (cannot establish readiness)",IF(AND(H137="Preparation",AG137&gt;IF(ISNUMBER(Flights!$BA$9),MIN(Flights!$BA$9,Flights!$AA$9),Flights!$AA$9)),"INVALID – completed after loading / departure (cannot establish readiness)",IF(AND(H137="Physical uplift",AG137&gt;Q137),"INVALID – recorded after the loading flight departed",IF(AG137&gt;Q137,"COMPLETE – LATE","COMPLETE"))))))))))))))))))))),IF(TRIM(U137)="Fail","FAIL – DISCREPANCY",IF(AND(TRIM(U137)&lt;&gt;"",TRIM(U137)&lt;&gt;"Not started",TRIM(U137)&lt;&gt;"In progress"),"INVALID – unrecognised status (use the list)",IF(AsOfUTC&gt;Q137,"OVERDUE",IF(N137="Clarification required","OPEN – CLARIFICATION","OPEN"))))))),"INVALID – error value in an input cell")</f>
        <v>OPEN</v>
      </c>
      <c r="AI137" s="61" t="n">
        <f aca="false">IF(OR(AH137="N/A – RULE",AH137="N/A – JUSTIFIED"),0,1)</f>
        <v>1</v>
      </c>
      <c r="AJ137" s="61" t="n">
        <f aca="false">IF(LEFT(AH137,8)="COMPLETE",1,0)</f>
        <v>0</v>
      </c>
      <c r="AK137" s="61" t="n">
        <f aca="false">IF(AND(AI137=1,AJ137=0,AsOfUTC&gt;Q137),1,0)</f>
        <v>0</v>
      </c>
      <c r="AL137" s="61" t="n">
        <f aca="false">IFERROR(IF(AND(AI137=1,OR(TRIM(U137)="Fail",AND(TRIM(AB137)&lt;&gt;"",TRIM(AB137)&lt;&gt;"Closed"),AND(ISNUMBER(AF137),AF137&lt;&gt;0,TRIM(U137)&lt;&gt;"Pass after CA"))),1,0),1)</f>
        <v>0</v>
      </c>
      <c r="AM137" s="61" t="n">
        <f aca="false">IF(LEFT(AH137,7)="INVALID",1,0)</f>
        <v>0</v>
      </c>
      <c r="AN137" s="61" t="n">
        <f aca="false">IF(AND(N137="Clarification required",AI137=1,AJ137=0),1,0)</f>
        <v>0</v>
      </c>
      <c r="AO137" s="61" t="str">
        <f aca="false">IF(AK137=1,SUM(AK$5:AK137),"")</f>
        <v/>
      </c>
      <c r="AP137" s="61" t="str">
        <f aca="false">IF(AL137=1,SUM(AL$5:AL137),"")</f>
        <v/>
      </c>
      <c r="AQ137" s="61" t="n">
        <v>0</v>
      </c>
      <c r="AR137" s="61" t="n">
        <v>0</v>
      </c>
      <c r="AS137" s="61" t="n">
        <v>0</v>
      </c>
      <c r="AT137" s="61" t="n">
        <v>0</v>
      </c>
      <c r="AU137" s="61" t="str">
        <f aca="false">SUBSTITUTE(SUBSTITUTE(SUBSTITUTE(SUBSTITUTE(SUBSTITUTE(SUBSTITUTE(SUBSTITUTE(SUBSTITUTE(SUBSTITUTE(SUBSTITUTE(SUBSTITUTE(SUBSTITUTE(SUBSTITUTE(LOWER(T137&amp;""),CHAR(160),"")," ",""),".",""),"-",""),"/",""),"?",""),"_",""),",",""),"[",""),"]",""),"(",""),")",""),"*","")</f>
        <v/>
      </c>
      <c r="AV137" s="61" t="str">
        <f aca="false">SUBSTITUTE(SUBSTITUTE(SUBSTITUTE(SUBSTITUTE(SUBSTITUTE(SUBSTITUTE(SUBSTITUTE(SUBSTITUTE(SUBSTITUTE(SUBSTITUTE(SUBSTITUTE(SUBSTITUTE(SUBSTITUTE(LOWER(V137&amp;""),CHAR(160),"")," ",""),".",""),"-",""),"/",""),"?",""),"_",""),",",""),"[",""),"]",""),"(",""),")",""),"*","")</f>
        <v/>
      </c>
      <c r="AW137" s="61" t="str">
        <f aca="false">SUBSTITUTE(SUBSTITUTE(SUBSTITUTE(SUBSTITUTE(SUBSTITUTE(SUBSTITUTE(SUBSTITUTE(SUBSTITUTE(SUBSTITUTE(SUBSTITUTE(SUBSTITUTE(SUBSTITUTE(SUBSTITUTE(LOWER(Z137&amp;""),CHAR(160),"")," ",""),".",""),"-",""),"/",""),"?",""),"_",""),",",""),"[",""),"]",""),"(",""),")",""),"*","")</f>
        <v/>
      </c>
      <c r="AX137" s="61" t="str">
        <f aca="false">SUBSTITUTE(SUBSTITUTE(SUBSTITUTE(SUBSTITUTE(SUBSTITUTE(SUBSTITUTE(SUBSTITUTE(SUBSTITUTE(SUBSTITUTE(SUBSTITUTE(SUBSTITUTE(SUBSTITUTE(SUBSTITUTE(LOWER(AE137&amp;""),CHAR(160),"")," ",""),".",""),"-",""),"/",""),"?",""),"_",""),",",""),"[",""),"]",""),"(",""),")",""),"*","")</f>
        <v/>
      </c>
      <c r="AY137" s="61" t="str">
        <f aca="false">SUBSTITUTE(SUBSTITUTE(SUBSTITUTE(SUBSTITUTE(SUBSTITUTE(SUBSTITUTE(SUBSTITUTE(SUBSTITUTE(SUBSTITUTE(SUBSTITUTE(SUBSTITUTE(SUBSTITUTE(SUBSTITUTE(LOWER(W137&amp;""),CHAR(160),"")," ",""),".",""),"-",""),"/",""),"?",""),"_",""),",",""),"[",""),"]",""),"(",""),")",""),"*","")</f>
        <v/>
      </c>
      <c r="AZ137" s="61" t="str">
        <f aca="false">SUBSTITUTE(SUBSTITUTE(SUBSTITUTE(SUBSTITUTE(SUBSTITUTE(SUBSTITUTE(SUBSTITUTE(SUBSTITUTE(SUBSTITUTE(SUBSTITUTE(SUBSTITUTE(SUBSTITUTE(SUBSTITUTE(LOWER(AC137&amp;""),CHAR(160),"")," ",""),".",""),"-",""),"/",""),"?",""),"_",""),",",""),"[",""),"]",""),"(",""),")",""),"*","")</f>
        <v/>
      </c>
      <c r="BA137" s="61" t="str">
        <f aca="false">SUBSTITUTE(SUBSTITUTE(SUBSTITUTE(SUBSTITUTE(SUBSTITUTE(SUBSTITUTE(SUBSTITUTE(SUBSTITUTE(SUBSTITUTE(SUBSTITUTE(SUBSTITUTE(SUBSTITUTE(SUBSTITUTE(LOWER(AA137&amp;""),CHAR(160),"")," ",""),".",""),"-",""),"/",""),"?",""),"_",""),",",""),"[",""),"]",""),"(",""),")",""),"*","")</f>
        <v/>
      </c>
      <c r="BB137" s="61" t="str">
        <f aca="false">IF(AND(TRIM(U137)="Pass",ISNUMBER(AF137)),IF(AF137&lt;&gt;0,"INVALID – qty variance: use Fail or Pass after CA",""),"")&amp;IF(AND(TRIM(U137)="Pass after CA",ISNUMBER(AF137)),IF(AF137&lt;&gt;0,"INVALID – after the corrective action the actual qty must equal expected (update Actual)",""),"")&amp;IF(AND(TRIM(U137)="Pass",TRIM(AB137)&lt;&gt;"",TRIM(AB137)&lt;&gt;"Closed"),"INVALID – corrective action not closed: use Fail, then Pass after CA","")&amp;IF(AND(TRIM(AA137)&lt;&gt;"",TRIM(AB137)=""),"INVALID – CA status missing for the recorded corrective action","")&amp;IF(AND(TRIM(U137)="Pass after CA",OR(OR(LEN(BA137)&lt;5,ISNUMBER(MATCH(BA137,L_Placeholder,0))),TRIM(AB137)&lt;&gt;"Closed")),"INVALID – corrective action not recorded/closed","")</f>
        <v/>
      </c>
    </row>
    <row r="138" customFormat="false" ht="39.75" hidden="false" customHeight="true" outlineLevel="0" collapsed="false">
      <c r="A138" s="57" t="s">
        <v>640</v>
      </c>
      <c r="B138" s="57" t="s">
        <v>225</v>
      </c>
      <c r="C138" s="57" t="str">
        <f aca="false">Flights!$F$9</f>
        <v>MH0089</v>
      </c>
      <c r="D138" s="58" t="n">
        <f aca="false">Flights!$D$9</f>
        <v>46310</v>
      </c>
      <c r="E138" s="57" t="str">
        <f aca="false">Flights!$G$9&amp;"-"&amp;Flights!$H$9</f>
        <v>NRT-KUL</v>
      </c>
      <c r="F138" s="57" t="str">
        <f aca="false">Flights!$K$9</f>
        <v>EY</v>
      </c>
      <c r="G138" s="57" t="s">
        <v>79</v>
      </c>
      <c r="H138" s="57" t="s">
        <v>356</v>
      </c>
      <c r="I138" s="57" t="s">
        <v>363</v>
      </c>
      <c r="J138" s="57" t="s">
        <v>364</v>
      </c>
      <c r="K138" s="67" t="s">
        <v>365</v>
      </c>
      <c r="L138" s="67" t="s">
        <v>360</v>
      </c>
      <c r="M138" s="67"/>
      <c r="N138" s="67" t="s">
        <v>361</v>
      </c>
      <c r="O138" s="67"/>
      <c r="P138" s="57" t="s">
        <v>217</v>
      </c>
      <c r="Q138" s="59" t="n">
        <f aca="false">ROUND((Flights!$AC$9)*1440,0)/1440</f>
        <v>46303.0451388889</v>
      </c>
      <c r="R138" s="59" t="n">
        <f aca="false">Q138+(IF(AND(INDEX(TZ_DSTS,MATCH(P138,TZ_STN,0))&lt;&gt;"",Q138&gt;=INDEX(TZ_DSTS,MATCH(P138,TZ_STN,0)),Q138&lt;INDEX(TZ_DSTE,MATCH(P138,TZ_STN,0))),INDEX(TZ_DST,MATCH(P138,TZ_STN,0)),INDEX(TZ_STD,MATCH(P138,TZ_STN,0))))/24</f>
        <v>46303.4201388889</v>
      </c>
      <c r="S138" s="59" t="n">
        <f aca="false">Q138-T7EarlyD*24/24</f>
        <v>46289.0451388889</v>
      </c>
      <c r="T138" s="60"/>
      <c r="U138" s="60"/>
      <c r="V138" s="60"/>
      <c r="W138" s="61"/>
      <c r="X138" s="60"/>
      <c r="Y138" s="60"/>
      <c r="Z138" s="60"/>
      <c r="AA138" s="60"/>
      <c r="AB138" s="60"/>
      <c r="AC138" s="60"/>
      <c r="AD138" s="66"/>
      <c r="AE138" s="60"/>
      <c r="AF138" s="61" t="str">
        <f aca="false">IF(AND(ISNUMBER(X138),ISNUMBER(Y138)),Y138-X138,"")</f>
        <v/>
      </c>
      <c r="AG138" s="62" t="str">
        <f aca="false">IF(ISNUMBER(AD138),AD138-(IF(AND(INDEX(TZ_DSTS,MATCH(P138,TZ_STN,0))&lt;&gt;"",(AD138-INDEX(TZ_STD,MATCH(P138,TZ_STN,0))/24)&gt;=INDEX(TZ_DSTS,MATCH(P138,TZ_STN,0)),(AD138-INDEX(TZ_STD,MATCH(P138,TZ_STN,0))/24)&lt;INDEX(TZ_DSTE,MATCH(P138,TZ_STN,0))),INDEX(TZ_DST,MATCH(P138,TZ_STN,0)),INDEX(TZ_STD,MATCH(P138,TZ_STN,0))))/24,"")</f>
        <v/>
      </c>
      <c r="AH138" s="65" t="str">
        <f aca="false">IFERROR(IF(N138="N/A – rule","N/A – RULE",IF(TRIM(U138)="N/A",IF(AT138=0,"INVALID – N/A not permitted for this check",IF(AND(TRIM(AB138)&lt;&gt;"",TRIM(AB138)&lt;&gt;"Closed"),"INVALID – corrective action still open",IF(AND(NOT(OR(LEN(AZ138)&lt;15,ISNUMBER(MATCH(AZ138,L_Placeholder,0)))),NOT(OR(LEN(AU138)&lt;2,ISNUMBER(MATCH(AU138,L_Placeholder,0)))),NOT(OR(LEN(AX138)&lt;2,ISNUMBER(MATCH(AX138,L_Placeholder,0)))),TRIM(AE138)&lt;&gt;TRIM(T138)),"N/A – JUSTIFIED","INVALID – N/A needs a real justification (15+ chars), PIC and a different verifier"))),IF(OR(TRIM(U138)="Pass",TRIM(U138)="Pass after CA"),IF(NOT(ISNUMBER(AD138)),"INVALID – completion time missing",IF(OR(LEN(AU138)&lt;2,ISNUMBER(MATCH(AU138,L_Placeholder,0))),"INVALID – PIC missing",IF(OR(LEN(AV138)&lt;2,ISNUMBER(MATCH(AV138,L_Placeholder,0))),"INVALID – result / assessment missing",IF(OR(OR(LEN(AW138)&lt;3,ISNUMBER(MATCH(AW138,L_Placeholder,0))),SUMPRODUCT(--ISNUMBER(SEARCH(L_EvidencePhrase,AW138)))&gt;0),"INVALID – evidence missing, placeholder or not yet on file",IF(OR(LEN(AX138)&lt;2,ISNUMBER(MATCH(AX138,L_Placeholder,0))),"INVALID – verifier missing",IF(AX138=AU138,"INVALID – verifier must be someone other than the PIC",IF(AND(TRIM(U138)="Pass",SUMPRODUCT(--ISNUMBER(SEARCH(L_ResultBad,AV138)))&gt;0),"INVALID – result describes a problem: use Fail, then Pass after CA",IF(AND(AQ138=1,OR(LEN(AY138)&lt;3,ISNUMBER(MATCH(AY138,L_Placeholder,0)))),"INVALID – batch ID missing or placeholder",IF(AND(AR138=1,OR(NOT(ISNUMBER(X138)),NOT(ISNUMBER(Y138)))),"INVALID – expected/actual qty missing",IF(AND(AR138=1,OR(X138&lt;=0,Y138&lt;0)),"INVALID – expected qty must be above 0 and actual not negative",IF(BB138&lt;&gt;"",BB138,IF(AND(AS138=1,Documents!$J$9&lt;&gt;"ON FILE"),"INVALID – GLD not on file (Documents sheet)",IF(AND(AS138=2,Documents!$O$9&lt;&gt;"ON FILE"),"INVALID – menu checklist not on file (Documents sheet)",IF(AND(AS138=3,NOT(ISNUMBER(Flights!$AX$9))),"INVALID – enter carrying flight KUL departure (Flights AX)",IF(AND(AS138=3,OR(Flights!$AZ$9&gt;Flights!$AA$9,Flights!$AX$9&lt;Flights!$AA$9-3)),"INVALID – carrying flight (Flights AX) cannot arrive before this leg's STD, or is over 3 days early",IF(AG138&gt;AsOfUTC,"INVALID – completion time is in the future",IF(AND(ISNUMBER(S138),AG138&lt;S138),IF(H138="Physical uplift","INVALID – before uplift window (cannot confirm loading)","INVALID – before valid window"),IF(AG138&gt;Flights!$AA$9,"INVALID – completed after departure (cannot establish readiness)",IF(AND(H138="Preparation",AG138&gt;IF(ISNUMBER(Flights!$BA$9),MIN(Flights!$BA$9,Flights!$AA$9),Flights!$AA$9)),"INVALID – completed after loading / departure (cannot establish readiness)",IF(AND(H138="Physical uplift",AG138&gt;Q138),"INVALID – recorded after the loading flight departed",IF(AG138&gt;Q138,"COMPLETE – LATE","COMPLETE"))))))))))))))))))))),IF(TRIM(U138)="Fail","FAIL – DISCREPANCY",IF(AND(TRIM(U138)&lt;&gt;"",TRIM(U138)&lt;&gt;"Not started",TRIM(U138)&lt;&gt;"In progress"),"INVALID – unrecognised status (use the list)",IF(AsOfUTC&gt;Q138,"OVERDUE",IF(N138="Clarification required","OPEN – CLARIFICATION","OPEN"))))))),"INVALID – error value in an input cell")</f>
        <v>OPEN</v>
      </c>
      <c r="AI138" s="61" t="n">
        <f aca="false">IF(OR(AH138="N/A – RULE",AH138="N/A – JUSTIFIED"),0,1)</f>
        <v>1</v>
      </c>
      <c r="AJ138" s="61" t="n">
        <f aca="false">IF(LEFT(AH138,8)="COMPLETE",1,0)</f>
        <v>0</v>
      </c>
      <c r="AK138" s="61" t="n">
        <f aca="false">IF(AND(AI138=1,AJ138=0,AsOfUTC&gt;Q138),1,0)</f>
        <v>0</v>
      </c>
      <c r="AL138" s="61" t="n">
        <f aca="false">IFERROR(IF(AND(AI138=1,OR(TRIM(U138)="Fail",AND(TRIM(AB138)&lt;&gt;"",TRIM(AB138)&lt;&gt;"Closed"),AND(ISNUMBER(AF138),AF138&lt;&gt;0,TRIM(U138)&lt;&gt;"Pass after CA"))),1,0),1)</f>
        <v>0</v>
      </c>
      <c r="AM138" s="61" t="n">
        <f aca="false">IF(LEFT(AH138,7)="INVALID",1,0)</f>
        <v>0</v>
      </c>
      <c r="AN138" s="61" t="n">
        <f aca="false">IF(AND(N138="Clarification required",AI138=1,AJ138=0),1,0)</f>
        <v>0</v>
      </c>
      <c r="AO138" s="61" t="str">
        <f aca="false">IF(AK138=1,SUM(AK$5:AK138),"")</f>
        <v/>
      </c>
      <c r="AP138" s="61" t="str">
        <f aca="false">IF(AL138=1,SUM(AL$5:AL138),"")</f>
        <v/>
      </c>
      <c r="AQ138" s="61" t="n">
        <v>0</v>
      </c>
      <c r="AR138" s="61" t="n">
        <v>0</v>
      </c>
      <c r="AS138" s="61" t="n">
        <v>0</v>
      </c>
      <c r="AT138" s="61" t="n">
        <v>0</v>
      </c>
      <c r="AU138" s="61" t="str">
        <f aca="false">SUBSTITUTE(SUBSTITUTE(SUBSTITUTE(SUBSTITUTE(SUBSTITUTE(SUBSTITUTE(SUBSTITUTE(SUBSTITUTE(SUBSTITUTE(SUBSTITUTE(SUBSTITUTE(SUBSTITUTE(SUBSTITUTE(LOWER(T138&amp;""),CHAR(160),"")," ",""),".",""),"-",""),"/",""),"?",""),"_",""),",",""),"[",""),"]",""),"(",""),")",""),"*","")</f>
        <v/>
      </c>
      <c r="AV138" s="61" t="str">
        <f aca="false">SUBSTITUTE(SUBSTITUTE(SUBSTITUTE(SUBSTITUTE(SUBSTITUTE(SUBSTITUTE(SUBSTITUTE(SUBSTITUTE(SUBSTITUTE(SUBSTITUTE(SUBSTITUTE(SUBSTITUTE(SUBSTITUTE(LOWER(V138&amp;""),CHAR(160),"")," ",""),".",""),"-",""),"/",""),"?",""),"_",""),",",""),"[",""),"]",""),"(",""),")",""),"*","")</f>
        <v/>
      </c>
      <c r="AW138" s="61" t="str">
        <f aca="false">SUBSTITUTE(SUBSTITUTE(SUBSTITUTE(SUBSTITUTE(SUBSTITUTE(SUBSTITUTE(SUBSTITUTE(SUBSTITUTE(SUBSTITUTE(SUBSTITUTE(SUBSTITUTE(SUBSTITUTE(SUBSTITUTE(LOWER(Z138&amp;""),CHAR(160),"")," ",""),".",""),"-",""),"/",""),"?",""),"_",""),",",""),"[",""),"]",""),"(",""),")",""),"*","")</f>
        <v/>
      </c>
      <c r="AX138" s="61" t="str">
        <f aca="false">SUBSTITUTE(SUBSTITUTE(SUBSTITUTE(SUBSTITUTE(SUBSTITUTE(SUBSTITUTE(SUBSTITUTE(SUBSTITUTE(SUBSTITUTE(SUBSTITUTE(SUBSTITUTE(SUBSTITUTE(SUBSTITUTE(LOWER(AE138&amp;""),CHAR(160),"")," ",""),".",""),"-",""),"/",""),"?",""),"_",""),",",""),"[",""),"]",""),"(",""),")",""),"*","")</f>
        <v/>
      </c>
      <c r="AY138" s="61" t="str">
        <f aca="false">SUBSTITUTE(SUBSTITUTE(SUBSTITUTE(SUBSTITUTE(SUBSTITUTE(SUBSTITUTE(SUBSTITUTE(SUBSTITUTE(SUBSTITUTE(SUBSTITUTE(SUBSTITUTE(SUBSTITUTE(SUBSTITUTE(LOWER(W138&amp;""),CHAR(160),"")," ",""),".",""),"-",""),"/",""),"?",""),"_",""),",",""),"[",""),"]",""),"(",""),")",""),"*","")</f>
        <v/>
      </c>
      <c r="AZ138" s="61" t="str">
        <f aca="false">SUBSTITUTE(SUBSTITUTE(SUBSTITUTE(SUBSTITUTE(SUBSTITUTE(SUBSTITUTE(SUBSTITUTE(SUBSTITUTE(SUBSTITUTE(SUBSTITUTE(SUBSTITUTE(SUBSTITUTE(SUBSTITUTE(LOWER(AC138&amp;""),CHAR(160),"")," ",""),".",""),"-",""),"/",""),"?",""),"_",""),",",""),"[",""),"]",""),"(",""),")",""),"*","")</f>
        <v/>
      </c>
      <c r="BA138" s="61" t="str">
        <f aca="false">SUBSTITUTE(SUBSTITUTE(SUBSTITUTE(SUBSTITUTE(SUBSTITUTE(SUBSTITUTE(SUBSTITUTE(SUBSTITUTE(SUBSTITUTE(SUBSTITUTE(SUBSTITUTE(SUBSTITUTE(SUBSTITUTE(LOWER(AA138&amp;""),CHAR(160),"")," ",""),".",""),"-",""),"/",""),"?",""),"_",""),",",""),"[",""),"]",""),"(",""),")",""),"*","")</f>
        <v/>
      </c>
      <c r="BB138" s="61" t="str">
        <f aca="false">IF(AND(TRIM(U138)="Pass",ISNUMBER(AF138)),IF(AF138&lt;&gt;0,"INVALID – qty variance: use Fail or Pass after CA",""),"")&amp;IF(AND(TRIM(U138)="Pass after CA",ISNUMBER(AF138)),IF(AF138&lt;&gt;0,"INVALID – after the corrective action the actual qty must equal expected (update Actual)",""),"")&amp;IF(AND(TRIM(U138)="Pass",TRIM(AB138)&lt;&gt;"",TRIM(AB138)&lt;&gt;"Closed"),"INVALID – corrective action not closed: use Fail, then Pass after CA","")&amp;IF(AND(TRIM(AA138)&lt;&gt;"",TRIM(AB138)=""),"INVALID – CA status missing for the recorded corrective action","")&amp;IF(AND(TRIM(U138)="Pass after CA",OR(OR(LEN(BA138)&lt;5,ISNUMBER(MATCH(BA138,L_Placeholder,0))),TRIM(AB138)&lt;&gt;"Closed")),"INVALID – corrective action not recorded/closed","")</f>
        <v/>
      </c>
    </row>
    <row r="139" customFormat="false" ht="41.25" hidden="false" customHeight="true" outlineLevel="0" collapsed="false">
      <c r="A139" s="57" t="s">
        <v>641</v>
      </c>
      <c r="B139" s="57" t="s">
        <v>225</v>
      </c>
      <c r="C139" s="57" t="str">
        <f aca="false">Flights!$F$9</f>
        <v>MH0089</v>
      </c>
      <c r="D139" s="58" t="n">
        <f aca="false">Flights!$D$9</f>
        <v>46310</v>
      </c>
      <c r="E139" s="57" t="str">
        <f aca="false">Flights!$G$9&amp;"-"&amp;Flights!$H$9</f>
        <v>NRT-KUL</v>
      </c>
      <c r="F139" s="57" t="str">
        <f aca="false">Flights!$K$9</f>
        <v>EY</v>
      </c>
      <c r="G139" s="57" t="s">
        <v>79</v>
      </c>
      <c r="H139" s="57" t="s">
        <v>356</v>
      </c>
      <c r="I139" s="57" t="s">
        <v>367</v>
      </c>
      <c r="J139" s="57" t="s">
        <v>368</v>
      </c>
      <c r="K139" s="67" t="s">
        <v>369</v>
      </c>
      <c r="L139" s="67" t="s">
        <v>360</v>
      </c>
      <c r="M139" s="67"/>
      <c r="N139" s="67" t="str">
        <f aca="false">IF(TRIM(Flights!$L$9)="A339","Required","N/A – rule")</f>
        <v>N/A – rule</v>
      </c>
      <c r="O139" s="67" t="s">
        <v>370</v>
      </c>
      <c r="P139" s="57" t="s">
        <v>217</v>
      </c>
      <c r="Q139" s="59" t="n">
        <f aca="false">ROUND((Flights!$AC$9)*1440,0)/1440</f>
        <v>46303.0451388889</v>
      </c>
      <c r="R139" s="59" t="n">
        <f aca="false">Q139+(IF(AND(INDEX(TZ_DSTS,MATCH(P139,TZ_STN,0))&lt;&gt;"",Q139&gt;=INDEX(TZ_DSTS,MATCH(P139,TZ_STN,0)),Q139&lt;INDEX(TZ_DSTE,MATCH(P139,TZ_STN,0))),INDEX(TZ_DST,MATCH(P139,TZ_STN,0)),INDEX(TZ_STD,MATCH(P139,TZ_STN,0))))/24</f>
        <v>46303.4201388889</v>
      </c>
      <c r="S139" s="59" t="n">
        <f aca="false">Q139-T7EarlyD*24/24</f>
        <v>46289.0451388889</v>
      </c>
      <c r="T139" s="60"/>
      <c r="U139" s="60"/>
      <c r="V139" s="60"/>
      <c r="W139" s="61"/>
      <c r="X139" s="60"/>
      <c r="Y139" s="60"/>
      <c r="Z139" s="60"/>
      <c r="AA139" s="60"/>
      <c r="AB139" s="60"/>
      <c r="AC139" s="60"/>
      <c r="AD139" s="66"/>
      <c r="AE139" s="60"/>
      <c r="AF139" s="61" t="str">
        <f aca="false">IF(AND(ISNUMBER(X139),ISNUMBER(Y139)),Y139-X139,"")</f>
        <v/>
      </c>
      <c r="AG139" s="62" t="str">
        <f aca="false">IF(ISNUMBER(AD139),AD139-(IF(AND(INDEX(TZ_DSTS,MATCH(P139,TZ_STN,0))&lt;&gt;"",(AD139-INDEX(TZ_STD,MATCH(P139,TZ_STN,0))/24)&gt;=INDEX(TZ_DSTS,MATCH(P139,TZ_STN,0)),(AD139-INDEX(TZ_STD,MATCH(P139,TZ_STN,0))/24)&lt;INDEX(TZ_DSTE,MATCH(P139,TZ_STN,0))),INDEX(TZ_DST,MATCH(P139,TZ_STN,0)),INDEX(TZ_STD,MATCH(P139,TZ_STN,0))))/24,"")</f>
        <v/>
      </c>
      <c r="AH139" s="65" t="str">
        <f aca="false">IFERROR(IF(N139="N/A – rule","N/A – RULE",IF(TRIM(U139)="N/A",IF(AT139=0,"INVALID – N/A not permitted for this check",IF(AND(TRIM(AB139)&lt;&gt;"",TRIM(AB139)&lt;&gt;"Closed"),"INVALID – corrective action still open",IF(AND(NOT(OR(LEN(AZ139)&lt;15,ISNUMBER(MATCH(AZ139,L_Placeholder,0)))),NOT(OR(LEN(AU139)&lt;2,ISNUMBER(MATCH(AU139,L_Placeholder,0)))),NOT(OR(LEN(AX139)&lt;2,ISNUMBER(MATCH(AX139,L_Placeholder,0)))),TRIM(AE139)&lt;&gt;TRIM(T139)),"N/A – JUSTIFIED","INVALID – N/A needs a real justification (15+ chars), PIC and a different verifier"))),IF(OR(TRIM(U139)="Pass",TRIM(U139)="Pass after CA"),IF(NOT(ISNUMBER(AD139)),"INVALID – completion time missing",IF(OR(LEN(AU139)&lt;2,ISNUMBER(MATCH(AU139,L_Placeholder,0))),"INVALID – PIC missing",IF(OR(LEN(AV139)&lt;2,ISNUMBER(MATCH(AV139,L_Placeholder,0))),"INVALID – result / assessment missing",IF(OR(OR(LEN(AW139)&lt;3,ISNUMBER(MATCH(AW139,L_Placeholder,0))),SUMPRODUCT(--ISNUMBER(SEARCH(L_EvidencePhrase,AW139)))&gt;0),"INVALID – evidence missing, placeholder or not yet on file",IF(OR(LEN(AX139)&lt;2,ISNUMBER(MATCH(AX139,L_Placeholder,0))),"INVALID – verifier missing",IF(AX139=AU139,"INVALID – verifier must be someone other than the PIC",IF(AND(TRIM(U139)="Pass",SUMPRODUCT(--ISNUMBER(SEARCH(L_ResultBad,AV139)))&gt;0),"INVALID – result describes a problem: use Fail, then Pass after CA",IF(AND(AQ139=1,OR(LEN(AY139)&lt;3,ISNUMBER(MATCH(AY139,L_Placeholder,0)))),"INVALID – batch ID missing or placeholder",IF(AND(AR139=1,OR(NOT(ISNUMBER(X139)),NOT(ISNUMBER(Y139)))),"INVALID – expected/actual qty missing",IF(AND(AR139=1,OR(X139&lt;=0,Y139&lt;0)),"INVALID – expected qty must be above 0 and actual not negative",IF(BB139&lt;&gt;"",BB139,IF(AND(AS139=1,Documents!$J$9&lt;&gt;"ON FILE"),"INVALID – GLD not on file (Documents sheet)",IF(AND(AS139=2,Documents!$O$9&lt;&gt;"ON FILE"),"INVALID – menu checklist not on file (Documents sheet)",IF(AND(AS139=3,NOT(ISNUMBER(Flights!$AX$9))),"INVALID – enter carrying flight KUL departure (Flights AX)",IF(AND(AS139=3,OR(Flights!$AZ$9&gt;Flights!$AA$9,Flights!$AX$9&lt;Flights!$AA$9-3)),"INVALID – carrying flight (Flights AX) cannot arrive before this leg's STD, or is over 3 days early",IF(AG139&gt;AsOfUTC,"INVALID – completion time is in the future",IF(AND(ISNUMBER(S139),AG139&lt;S139),IF(H139="Physical uplift","INVALID – before uplift window (cannot confirm loading)","INVALID – before valid window"),IF(AG139&gt;Flights!$AA$9,"INVALID – completed after departure (cannot establish readiness)",IF(AND(H139="Preparation",AG139&gt;IF(ISNUMBER(Flights!$BA$9),MIN(Flights!$BA$9,Flights!$AA$9),Flights!$AA$9)),"INVALID – completed after loading / departure (cannot establish readiness)",IF(AND(H139="Physical uplift",AG139&gt;Q139),"INVALID – recorded after the loading flight departed",IF(AG139&gt;Q139,"COMPLETE – LATE","COMPLETE"))))))))))))))))))))),IF(TRIM(U139)="Fail","FAIL – DISCREPANCY",IF(AND(TRIM(U139)&lt;&gt;"",TRIM(U139)&lt;&gt;"Not started",TRIM(U139)&lt;&gt;"In progress"),"INVALID – unrecognised status (use the list)",IF(AsOfUTC&gt;Q139,"OVERDUE",IF(N139="Clarification required","OPEN – CLARIFICATION","OPEN"))))))),"INVALID – error value in an input cell")</f>
        <v>N/A – RULE</v>
      </c>
      <c r="AI139" s="61" t="n">
        <f aca="false">IF(OR(AH139="N/A – RULE",AH139="N/A – JUSTIFIED"),0,1)</f>
        <v>0</v>
      </c>
      <c r="AJ139" s="61" t="n">
        <f aca="false">IF(LEFT(AH139,8)="COMPLETE",1,0)</f>
        <v>0</v>
      </c>
      <c r="AK139" s="61" t="n">
        <f aca="false">IF(AND(AI139=1,AJ139=0,AsOfUTC&gt;Q139),1,0)</f>
        <v>0</v>
      </c>
      <c r="AL139" s="61" t="n">
        <f aca="false">IFERROR(IF(AND(AI139=1,OR(TRIM(U139)="Fail",AND(TRIM(AB139)&lt;&gt;"",TRIM(AB139)&lt;&gt;"Closed"),AND(ISNUMBER(AF139),AF139&lt;&gt;0,TRIM(U139)&lt;&gt;"Pass after CA"))),1,0),1)</f>
        <v>0</v>
      </c>
      <c r="AM139" s="61" t="n">
        <f aca="false">IF(LEFT(AH139,7)="INVALID",1,0)</f>
        <v>0</v>
      </c>
      <c r="AN139" s="61" t="n">
        <f aca="false">IF(AND(N139="Clarification required",AI139=1,AJ139=0),1,0)</f>
        <v>0</v>
      </c>
      <c r="AO139" s="61" t="str">
        <f aca="false">IF(AK139=1,SUM(AK$5:AK139),"")</f>
        <v/>
      </c>
      <c r="AP139" s="61" t="str">
        <f aca="false">IF(AL139=1,SUM(AL$5:AL139),"")</f>
        <v/>
      </c>
      <c r="AQ139" s="61" t="n">
        <v>0</v>
      </c>
      <c r="AR139" s="61" t="n">
        <v>0</v>
      </c>
      <c r="AS139" s="61" t="n">
        <v>0</v>
      </c>
      <c r="AT139" s="61" t="n">
        <v>0</v>
      </c>
      <c r="AU139" s="61" t="str">
        <f aca="false">SUBSTITUTE(SUBSTITUTE(SUBSTITUTE(SUBSTITUTE(SUBSTITUTE(SUBSTITUTE(SUBSTITUTE(SUBSTITUTE(SUBSTITUTE(SUBSTITUTE(SUBSTITUTE(SUBSTITUTE(SUBSTITUTE(LOWER(T139&amp;""),CHAR(160),"")," ",""),".",""),"-",""),"/",""),"?",""),"_",""),",",""),"[",""),"]",""),"(",""),")",""),"*","")</f>
        <v/>
      </c>
      <c r="AV139" s="61" t="str">
        <f aca="false">SUBSTITUTE(SUBSTITUTE(SUBSTITUTE(SUBSTITUTE(SUBSTITUTE(SUBSTITUTE(SUBSTITUTE(SUBSTITUTE(SUBSTITUTE(SUBSTITUTE(SUBSTITUTE(SUBSTITUTE(SUBSTITUTE(LOWER(V139&amp;""),CHAR(160),"")," ",""),".",""),"-",""),"/",""),"?",""),"_",""),",",""),"[",""),"]",""),"(",""),")",""),"*","")</f>
        <v/>
      </c>
      <c r="AW139" s="61" t="str">
        <f aca="false">SUBSTITUTE(SUBSTITUTE(SUBSTITUTE(SUBSTITUTE(SUBSTITUTE(SUBSTITUTE(SUBSTITUTE(SUBSTITUTE(SUBSTITUTE(SUBSTITUTE(SUBSTITUTE(SUBSTITUTE(SUBSTITUTE(LOWER(Z139&amp;""),CHAR(160),"")," ",""),".",""),"-",""),"/",""),"?",""),"_",""),",",""),"[",""),"]",""),"(",""),")",""),"*","")</f>
        <v/>
      </c>
      <c r="AX139" s="61" t="str">
        <f aca="false">SUBSTITUTE(SUBSTITUTE(SUBSTITUTE(SUBSTITUTE(SUBSTITUTE(SUBSTITUTE(SUBSTITUTE(SUBSTITUTE(SUBSTITUTE(SUBSTITUTE(SUBSTITUTE(SUBSTITUTE(SUBSTITUTE(LOWER(AE139&amp;""),CHAR(160),"")," ",""),".",""),"-",""),"/",""),"?",""),"_",""),",",""),"[",""),"]",""),"(",""),")",""),"*","")</f>
        <v/>
      </c>
      <c r="AY139" s="61" t="str">
        <f aca="false">SUBSTITUTE(SUBSTITUTE(SUBSTITUTE(SUBSTITUTE(SUBSTITUTE(SUBSTITUTE(SUBSTITUTE(SUBSTITUTE(SUBSTITUTE(SUBSTITUTE(SUBSTITUTE(SUBSTITUTE(SUBSTITUTE(LOWER(W139&amp;""),CHAR(160),"")," ",""),".",""),"-",""),"/",""),"?",""),"_",""),",",""),"[",""),"]",""),"(",""),")",""),"*","")</f>
        <v/>
      </c>
      <c r="AZ139" s="61" t="str">
        <f aca="false">SUBSTITUTE(SUBSTITUTE(SUBSTITUTE(SUBSTITUTE(SUBSTITUTE(SUBSTITUTE(SUBSTITUTE(SUBSTITUTE(SUBSTITUTE(SUBSTITUTE(SUBSTITUTE(SUBSTITUTE(SUBSTITUTE(LOWER(AC139&amp;""),CHAR(160),"")," ",""),".",""),"-",""),"/",""),"?",""),"_",""),",",""),"[",""),"]",""),"(",""),")",""),"*","")</f>
        <v/>
      </c>
      <c r="BA139" s="61" t="str">
        <f aca="false">SUBSTITUTE(SUBSTITUTE(SUBSTITUTE(SUBSTITUTE(SUBSTITUTE(SUBSTITUTE(SUBSTITUTE(SUBSTITUTE(SUBSTITUTE(SUBSTITUTE(SUBSTITUTE(SUBSTITUTE(SUBSTITUTE(LOWER(AA139&amp;""),CHAR(160),"")," ",""),".",""),"-",""),"/",""),"?",""),"_",""),",",""),"[",""),"]",""),"(",""),")",""),"*","")</f>
        <v/>
      </c>
      <c r="BB139" s="61" t="str">
        <f aca="false">IF(AND(TRIM(U139)="Pass",ISNUMBER(AF139)),IF(AF139&lt;&gt;0,"INVALID – qty variance: use Fail or Pass after CA",""),"")&amp;IF(AND(TRIM(U139)="Pass after CA",ISNUMBER(AF139)),IF(AF139&lt;&gt;0,"INVALID – after the corrective action the actual qty must equal expected (update Actual)",""),"")&amp;IF(AND(TRIM(U139)="Pass",TRIM(AB139)&lt;&gt;"",TRIM(AB139)&lt;&gt;"Closed"),"INVALID – corrective action not closed: use Fail, then Pass after CA","")&amp;IF(AND(TRIM(AA139)&lt;&gt;"",TRIM(AB139)=""),"INVALID – CA status missing for the recorded corrective action","")&amp;IF(AND(TRIM(U139)="Pass after CA",OR(OR(LEN(BA139)&lt;5,ISNUMBER(MATCH(BA139,L_Placeholder,0))),TRIM(AB139)&lt;&gt;"Closed")),"INVALID – corrective action not recorded/closed","")</f>
        <v/>
      </c>
    </row>
    <row r="140" customFormat="false" ht="39.75" hidden="false" customHeight="true" outlineLevel="0" collapsed="false">
      <c r="A140" s="57" t="s">
        <v>642</v>
      </c>
      <c r="B140" s="57" t="s">
        <v>225</v>
      </c>
      <c r="C140" s="57" t="str">
        <f aca="false">Flights!$F$9</f>
        <v>MH0089</v>
      </c>
      <c r="D140" s="58" t="n">
        <f aca="false">Flights!$D$9</f>
        <v>46310</v>
      </c>
      <c r="E140" s="57" t="str">
        <f aca="false">Flights!$G$9&amp;"-"&amp;Flights!$H$9</f>
        <v>NRT-KUL</v>
      </c>
      <c r="F140" s="57" t="str">
        <f aca="false">Flights!$K$9</f>
        <v>EY</v>
      </c>
      <c r="G140" s="57" t="s">
        <v>79</v>
      </c>
      <c r="H140" s="57" t="s">
        <v>356</v>
      </c>
      <c r="I140" s="57" t="s">
        <v>372</v>
      </c>
      <c r="J140" s="57" t="s">
        <v>373</v>
      </c>
      <c r="K140" s="67" t="s">
        <v>374</v>
      </c>
      <c r="L140" s="67" t="s">
        <v>360</v>
      </c>
      <c r="M140" s="67"/>
      <c r="N140" s="67" t="s">
        <v>361</v>
      </c>
      <c r="O140" s="67"/>
      <c r="P140" s="57" t="s">
        <v>217</v>
      </c>
      <c r="Q140" s="59" t="n">
        <f aca="false">ROUND((Flights!$AC$9)*1440,0)/1440</f>
        <v>46303.0451388889</v>
      </c>
      <c r="R140" s="59" t="n">
        <f aca="false">Q140+(IF(AND(INDEX(TZ_DSTS,MATCH(P140,TZ_STN,0))&lt;&gt;"",Q140&gt;=INDEX(TZ_DSTS,MATCH(P140,TZ_STN,0)),Q140&lt;INDEX(TZ_DSTE,MATCH(P140,TZ_STN,0))),INDEX(TZ_DST,MATCH(P140,TZ_STN,0)),INDEX(TZ_STD,MATCH(P140,TZ_STN,0))))/24</f>
        <v>46303.4201388889</v>
      </c>
      <c r="S140" s="59" t="n">
        <f aca="false">Q140-T7EarlyD*24/24</f>
        <v>46289.0451388889</v>
      </c>
      <c r="T140" s="60"/>
      <c r="U140" s="60"/>
      <c r="V140" s="60"/>
      <c r="W140" s="61"/>
      <c r="X140" s="60"/>
      <c r="Y140" s="60"/>
      <c r="Z140" s="60"/>
      <c r="AA140" s="60"/>
      <c r="AB140" s="60"/>
      <c r="AC140" s="60"/>
      <c r="AD140" s="66"/>
      <c r="AE140" s="60"/>
      <c r="AF140" s="61" t="str">
        <f aca="false">IF(AND(ISNUMBER(X140),ISNUMBER(Y140)),Y140-X140,"")</f>
        <v/>
      </c>
      <c r="AG140" s="62" t="str">
        <f aca="false">IF(ISNUMBER(AD140),AD140-(IF(AND(INDEX(TZ_DSTS,MATCH(P140,TZ_STN,0))&lt;&gt;"",(AD140-INDEX(TZ_STD,MATCH(P140,TZ_STN,0))/24)&gt;=INDEX(TZ_DSTS,MATCH(P140,TZ_STN,0)),(AD140-INDEX(TZ_STD,MATCH(P140,TZ_STN,0))/24)&lt;INDEX(TZ_DSTE,MATCH(P140,TZ_STN,0))),INDEX(TZ_DST,MATCH(P140,TZ_STN,0)),INDEX(TZ_STD,MATCH(P140,TZ_STN,0))))/24,"")</f>
        <v/>
      </c>
      <c r="AH140" s="65" t="str">
        <f aca="false">IFERROR(IF(N140="N/A – rule","N/A – RULE",IF(TRIM(U140)="N/A",IF(AT140=0,"INVALID – N/A not permitted for this check",IF(AND(TRIM(AB140)&lt;&gt;"",TRIM(AB140)&lt;&gt;"Closed"),"INVALID – corrective action still open",IF(AND(NOT(OR(LEN(AZ140)&lt;15,ISNUMBER(MATCH(AZ140,L_Placeholder,0)))),NOT(OR(LEN(AU140)&lt;2,ISNUMBER(MATCH(AU140,L_Placeholder,0)))),NOT(OR(LEN(AX140)&lt;2,ISNUMBER(MATCH(AX140,L_Placeholder,0)))),TRIM(AE140)&lt;&gt;TRIM(T140)),"N/A – JUSTIFIED","INVALID – N/A needs a real justification (15+ chars), PIC and a different verifier"))),IF(OR(TRIM(U140)="Pass",TRIM(U140)="Pass after CA"),IF(NOT(ISNUMBER(AD140)),"INVALID – completion time missing",IF(OR(LEN(AU140)&lt;2,ISNUMBER(MATCH(AU140,L_Placeholder,0))),"INVALID – PIC missing",IF(OR(LEN(AV140)&lt;2,ISNUMBER(MATCH(AV140,L_Placeholder,0))),"INVALID – result / assessment missing",IF(OR(OR(LEN(AW140)&lt;3,ISNUMBER(MATCH(AW140,L_Placeholder,0))),SUMPRODUCT(--ISNUMBER(SEARCH(L_EvidencePhrase,AW140)))&gt;0),"INVALID – evidence missing, placeholder or not yet on file",IF(OR(LEN(AX140)&lt;2,ISNUMBER(MATCH(AX140,L_Placeholder,0))),"INVALID – verifier missing",IF(AX140=AU140,"INVALID – verifier must be someone other than the PIC",IF(AND(TRIM(U140)="Pass",SUMPRODUCT(--ISNUMBER(SEARCH(L_ResultBad,AV140)))&gt;0),"INVALID – result describes a problem: use Fail, then Pass after CA",IF(AND(AQ140=1,OR(LEN(AY140)&lt;3,ISNUMBER(MATCH(AY140,L_Placeholder,0)))),"INVALID – batch ID missing or placeholder",IF(AND(AR140=1,OR(NOT(ISNUMBER(X140)),NOT(ISNUMBER(Y140)))),"INVALID – expected/actual qty missing",IF(AND(AR140=1,OR(X140&lt;=0,Y140&lt;0)),"INVALID – expected qty must be above 0 and actual not negative",IF(BB140&lt;&gt;"",BB140,IF(AND(AS140=1,Documents!$J$9&lt;&gt;"ON FILE"),"INVALID – GLD not on file (Documents sheet)",IF(AND(AS140=2,Documents!$O$9&lt;&gt;"ON FILE"),"INVALID – menu checklist not on file (Documents sheet)",IF(AND(AS140=3,NOT(ISNUMBER(Flights!$AX$9))),"INVALID – enter carrying flight KUL departure (Flights AX)",IF(AND(AS140=3,OR(Flights!$AZ$9&gt;Flights!$AA$9,Flights!$AX$9&lt;Flights!$AA$9-3)),"INVALID – carrying flight (Flights AX) cannot arrive before this leg's STD, or is over 3 days early",IF(AG140&gt;AsOfUTC,"INVALID – completion time is in the future",IF(AND(ISNUMBER(S140),AG140&lt;S140),IF(H140="Physical uplift","INVALID – before uplift window (cannot confirm loading)","INVALID – before valid window"),IF(AG140&gt;Flights!$AA$9,"INVALID – completed after departure (cannot establish readiness)",IF(AND(H140="Preparation",AG140&gt;IF(ISNUMBER(Flights!$BA$9),MIN(Flights!$BA$9,Flights!$AA$9),Flights!$AA$9)),"INVALID – completed after loading / departure (cannot establish readiness)",IF(AND(H140="Physical uplift",AG140&gt;Q140),"INVALID – recorded after the loading flight departed",IF(AG140&gt;Q140,"COMPLETE – LATE","COMPLETE"))))))))))))))))))))),IF(TRIM(U140)="Fail","FAIL – DISCREPANCY",IF(AND(TRIM(U140)&lt;&gt;"",TRIM(U140)&lt;&gt;"Not started",TRIM(U140)&lt;&gt;"In progress"),"INVALID – unrecognised status (use the list)",IF(AsOfUTC&gt;Q140,"OVERDUE",IF(N140="Clarification required","OPEN – CLARIFICATION","OPEN"))))))),"INVALID – error value in an input cell")</f>
        <v>OPEN</v>
      </c>
      <c r="AI140" s="61" t="n">
        <f aca="false">IF(OR(AH140="N/A – RULE",AH140="N/A – JUSTIFIED"),0,1)</f>
        <v>1</v>
      </c>
      <c r="AJ140" s="61" t="n">
        <f aca="false">IF(LEFT(AH140,8)="COMPLETE",1,0)</f>
        <v>0</v>
      </c>
      <c r="AK140" s="61" t="n">
        <f aca="false">IF(AND(AI140=1,AJ140=0,AsOfUTC&gt;Q140),1,0)</f>
        <v>0</v>
      </c>
      <c r="AL140" s="61" t="n">
        <f aca="false">IFERROR(IF(AND(AI140=1,OR(TRIM(U140)="Fail",AND(TRIM(AB140)&lt;&gt;"",TRIM(AB140)&lt;&gt;"Closed"),AND(ISNUMBER(AF140),AF140&lt;&gt;0,TRIM(U140)&lt;&gt;"Pass after CA"))),1,0),1)</f>
        <v>0</v>
      </c>
      <c r="AM140" s="61" t="n">
        <f aca="false">IF(LEFT(AH140,7)="INVALID",1,0)</f>
        <v>0</v>
      </c>
      <c r="AN140" s="61" t="n">
        <f aca="false">IF(AND(N140="Clarification required",AI140=1,AJ140=0),1,0)</f>
        <v>0</v>
      </c>
      <c r="AO140" s="61" t="str">
        <f aca="false">IF(AK140=1,SUM(AK$5:AK140),"")</f>
        <v/>
      </c>
      <c r="AP140" s="61" t="str">
        <f aca="false">IF(AL140=1,SUM(AL$5:AL140),"")</f>
        <v/>
      </c>
      <c r="AQ140" s="61" t="n">
        <v>0</v>
      </c>
      <c r="AR140" s="61" t="n">
        <v>0</v>
      </c>
      <c r="AS140" s="61" t="n">
        <v>0</v>
      </c>
      <c r="AT140" s="61" t="n">
        <v>0</v>
      </c>
      <c r="AU140" s="61" t="str">
        <f aca="false">SUBSTITUTE(SUBSTITUTE(SUBSTITUTE(SUBSTITUTE(SUBSTITUTE(SUBSTITUTE(SUBSTITUTE(SUBSTITUTE(SUBSTITUTE(SUBSTITUTE(SUBSTITUTE(SUBSTITUTE(SUBSTITUTE(LOWER(T140&amp;""),CHAR(160),"")," ",""),".",""),"-",""),"/",""),"?",""),"_",""),",",""),"[",""),"]",""),"(",""),")",""),"*","")</f>
        <v/>
      </c>
      <c r="AV140" s="61" t="str">
        <f aca="false">SUBSTITUTE(SUBSTITUTE(SUBSTITUTE(SUBSTITUTE(SUBSTITUTE(SUBSTITUTE(SUBSTITUTE(SUBSTITUTE(SUBSTITUTE(SUBSTITUTE(SUBSTITUTE(SUBSTITUTE(SUBSTITUTE(LOWER(V140&amp;""),CHAR(160),"")," ",""),".",""),"-",""),"/",""),"?",""),"_",""),",",""),"[",""),"]",""),"(",""),")",""),"*","")</f>
        <v/>
      </c>
      <c r="AW140" s="61" t="str">
        <f aca="false">SUBSTITUTE(SUBSTITUTE(SUBSTITUTE(SUBSTITUTE(SUBSTITUTE(SUBSTITUTE(SUBSTITUTE(SUBSTITUTE(SUBSTITUTE(SUBSTITUTE(SUBSTITUTE(SUBSTITUTE(SUBSTITUTE(LOWER(Z140&amp;""),CHAR(160),"")," ",""),".",""),"-",""),"/",""),"?",""),"_",""),",",""),"[",""),"]",""),"(",""),")",""),"*","")</f>
        <v/>
      </c>
      <c r="AX140" s="61" t="str">
        <f aca="false">SUBSTITUTE(SUBSTITUTE(SUBSTITUTE(SUBSTITUTE(SUBSTITUTE(SUBSTITUTE(SUBSTITUTE(SUBSTITUTE(SUBSTITUTE(SUBSTITUTE(SUBSTITUTE(SUBSTITUTE(SUBSTITUTE(LOWER(AE140&amp;""),CHAR(160),"")," ",""),".",""),"-",""),"/",""),"?",""),"_",""),",",""),"[",""),"]",""),"(",""),")",""),"*","")</f>
        <v/>
      </c>
      <c r="AY140" s="61" t="str">
        <f aca="false">SUBSTITUTE(SUBSTITUTE(SUBSTITUTE(SUBSTITUTE(SUBSTITUTE(SUBSTITUTE(SUBSTITUTE(SUBSTITUTE(SUBSTITUTE(SUBSTITUTE(SUBSTITUTE(SUBSTITUTE(SUBSTITUTE(LOWER(W140&amp;""),CHAR(160),"")," ",""),".",""),"-",""),"/",""),"?",""),"_",""),",",""),"[",""),"]",""),"(",""),")",""),"*","")</f>
        <v/>
      </c>
      <c r="AZ140" s="61" t="str">
        <f aca="false">SUBSTITUTE(SUBSTITUTE(SUBSTITUTE(SUBSTITUTE(SUBSTITUTE(SUBSTITUTE(SUBSTITUTE(SUBSTITUTE(SUBSTITUTE(SUBSTITUTE(SUBSTITUTE(SUBSTITUTE(SUBSTITUTE(LOWER(AC140&amp;""),CHAR(160),"")," ",""),".",""),"-",""),"/",""),"?",""),"_",""),",",""),"[",""),"]",""),"(",""),")",""),"*","")</f>
        <v/>
      </c>
      <c r="BA140" s="61" t="str">
        <f aca="false">SUBSTITUTE(SUBSTITUTE(SUBSTITUTE(SUBSTITUTE(SUBSTITUTE(SUBSTITUTE(SUBSTITUTE(SUBSTITUTE(SUBSTITUTE(SUBSTITUTE(SUBSTITUTE(SUBSTITUTE(SUBSTITUTE(LOWER(AA140&amp;""),CHAR(160),"")," ",""),".",""),"-",""),"/",""),"?",""),"_",""),",",""),"[",""),"]",""),"(",""),")",""),"*","")</f>
        <v/>
      </c>
      <c r="BB140" s="61" t="str">
        <f aca="false">IF(AND(TRIM(U140)="Pass",ISNUMBER(AF140)),IF(AF140&lt;&gt;0,"INVALID – qty variance: use Fail or Pass after CA",""),"")&amp;IF(AND(TRIM(U140)="Pass after CA",ISNUMBER(AF140)),IF(AF140&lt;&gt;0,"INVALID – after the corrective action the actual qty must equal expected (update Actual)",""),"")&amp;IF(AND(TRIM(U140)="Pass",TRIM(AB140)&lt;&gt;"",TRIM(AB140)&lt;&gt;"Closed"),"INVALID – corrective action not closed: use Fail, then Pass after CA","")&amp;IF(AND(TRIM(AA140)&lt;&gt;"",TRIM(AB140)=""),"INVALID – CA status missing for the recorded corrective action","")&amp;IF(AND(TRIM(U140)="Pass after CA",OR(OR(LEN(BA140)&lt;5,ISNUMBER(MATCH(BA140,L_Placeholder,0))),TRIM(AB140)&lt;&gt;"Closed")),"INVALID – corrective action not recorded/closed","")</f>
        <v/>
      </c>
    </row>
    <row r="141" customFormat="false" ht="39.75" hidden="false" customHeight="true" outlineLevel="0" collapsed="false">
      <c r="A141" s="57" t="s">
        <v>643</v>
      </c>
      <c r="B141" s="57" t="s">
        <v>225</v>
      </c>
      <c r="C141" s="57" t="str">
        <f aca="false">Flights!$F$9</f>
        <v>MH0089</v>
      </c>
      <c r="D141" s="58" t="n">
        <f aca="false">Flights!$D$9</f>
        <v>46310</v>
      </c>
      <c r="E141" s="57" t="str">
        <f aca="false">Flights!$G$9&amp;"-"&amp;Flights!$H$9</f>
        <v>NRT-KUL</v>
      </c>
      <c r="F141" s="57" t="str">
        <f aca="false">Flights!$K$9</f>
        <v>EY</v>
      </c>
      <c r="G141" s="57" t="s">
        <v>79</v>
      </c>
      <c r="H141" s="57" t="s">
        <v>356</v>
      </c>
      <c r="I141" s="57" t="s">
        <v>376</v>
      </c>
      <c r="J141" s="57" t="s">
        <v>377</v>
      </c>
      <c r="K141" s="67" t="s">
        <v>378</v>
      </c>
      <c r="L141" s="67" t="s">
        <v>360</v>
      </c>
      <c r="M141" s="67"/>
      <c r="N141" s="67" t="s">
        <v>361</v>
      </c>
      <c r="O141" s="67"/>
      <c r="P141" s="57" t="s">
        <v>217</v>
      </c>
      <c r="Q141" s="59" t="n">
        <f aca="false">ROUND((Flights!$AC$9)*1440,0)/1440</f>
        <v>46303.0451388889</v>
      </c>
      <c r="R141" s="59" t="n">
        <f aca="false">Q141+(IF(AND(INDEX(TZ_DSTS,MATCH(P141,TZ_STN,0))&lt;&gt;"",Q141&gt;=INDEX(TZ_DSTS,MATCH(P141,TZ_STN,0)),Q141&lt;INDEX(TZ_DSTE,MATCH(P141,TZ_STN,0))),INDEX(TZ_DST,MATCH(P141,TZ_STN,0)),INDEX(TZ_STD,MATCH(P141,TZ_STN,0))))/24</f>
        <v>46303.4201388889</v>
      </c>
      <c r="S141" s="59" t="n">
        <f aca="false">Q141-T7EarlyD*24/24</f>
        <v>46289.0451388889</v>
      </c>
      <c r="T141" s="60"/>
      <c r="U141" s="60"/>
      <c r="V141" s="60"/>
      <c r="W141" s="61"/>
      <c r="X141" s="60"/>
      <c r="Y141" s="60"/>
      <c r="Z141" s="60"/>
      <c r="AA141" s="60"/>
      <c r="AB141" s="60"/>
      <c r="AC141" s="60"/>
      <c r="AD141" s="66"/>
      <c r="AE141" s="60"/>
      <c r="AF141" s="61" t="str">
        <f aca="false">IF(AND(ISNUMBER(X141),ISNUMBER(Y141)),Y141-X141,"")</f>
        <v/>
      </c>
      <c r="AG141" s="62" t="str">
        <f aca="false">IF(ISNUMBER(AD141),AD141-(IF(AND(INDEX(TZ_DSTS,MATCH(P141,TZ_STN,0))&lt;&gt;"",(AD141-INDEX(TZ_STD,MATCH(P141,TZ_STN,0))/24)&gt;=INDEX(TZ_DSTS,MATCH(P141,TZ_STN,0)),(AD141-INDEX(TZ_STD,MATCH(P141,TZ_STN,0))/24)&lt;INDEX(TZ_DSTE,MATCH(P141,TZ_STN,0))),INDEX(TZ_DST,MATCH(P141,TZ_STN,0)),INDEX(TZ_STD,MATCH(P141,TZ_STN,0))))/24,"")</f>
        <v/>
      </c>
      <c r="AH141" s="65" t="str">
        <f aca="false">IFERROR(IF(N141="N/A – rule","N/A – RULE",IF(TRIM(U141)="N/A",IF(AT141=0,"INVALID – N/A not permitted for this check",IF(AND(TRIM(AB141)&lt;&gt;"",TRIM(AB141)&lt;&gt;"Closed"),"INVALID – corrective action still open",IF(AND(NOT(OR(LEN(AZ141)&lt;15,ISNUMBER(MATCH(AZ141,L_Placeholder,0)))),NOT(OR(LEN(AU141)&lt;2,ISNUMBER(MATCH(AU141,L_Placeholder,0)))),NOT(OR(LEN(AX141)&lt;2,ISNUMBER(MATCH(AX141,L_Placeholder,0)))),TRIM(AE141)&lt;&gt;TRIM(T141)),"N/A – JUSTIFIED","INVALID – N/A needs a real justification (15+ chars), PIC and a different verifier"))),IF(OR(TRIM(U141)="Pass",TRIM(U141)="Pass after CA"),IF(NOT(ISNUMBER(AD141)),"INVALID – completion time missing",IF(OR(LEN(AU141)&lt;2,ISNUMBER(MATCH(AU141,L_Placeholder,0))),"INVALID – PIC missing",IF(OR(LEN(AV141)&lt;2,ISNUMBER(MATCH(AV141,L_Placeholder,0))),"INVALID – result / assessment missing",IF(OR(OR(LEN(AW141)&lt;3,ISNUMBER(MATCH(AW141,L_Placeholder,0))),SUMPRODUCT(--ISNUMBER(SEARCH(L_EvidencePhrase,AW141)))&gt;0),"INVALID – evidence missing, placeholder or not yet on file",IF(OR(LEN(AX141)&lt;2,ISNUMBER(MATCH(AX141,L_Placeholder,0))),"INVALID – verifier missing",IF(AX141=AU141,"INVALID – verifier must be someone other than the PIC",IF(AND(TRIM(U141)="Pass",SUMPRODUCT(--ISNUMBER(SEARCH(L_ResultBad,AV141)))&gt;0),"INVALID – result describes a problem: use Fail, then Pass after CA",IF(AND(AQ141=1,OR(LEN(AY141)&lt;3,ISNUMBER(MATCH(AY141,L_Placeholder,0)))),"INVALID – batch ID missing or placeholder",IF(AND(AR141=1,OR(NOT(ISNUMBER(X141)),NOT(ISNUMBER(Y141)))),"INVALID – expected/actual qty missing",IF(AND(AR141=1,OR(X141&lt;=0,Y141&lt;0)),"INVALID – expected qty must be above 0 and actual not negative",IF(BB141&lt;&gt;"",BB141,IF(AND(AS141=1,Documents!$J$9&lt;&gt;"ON FILE"),"INVALID – GLD not on file (Documents sheet)",IF(AND(AS141=2,Documents!$O$9&lt;&gt;"ON FILE"),"INVALID – menu checklist not on file (Documents sheet)",IF(AND(AS141=3,NOT(ISNUMBER(Flights!$AX$9))),"INVALID – enter carrying flight KUL departure (Flights AX)",IF(AND(AS141=3,OR(Flights!$AZ$9&gt;Flights!$AA$9,Flights!$AX$9&lt;Flights!$AA$9-3)),"INVALID – carrying flight (Flights AX) cannot arrive before this leg's STD, or is over 3 days early",IF(AG141&gt;AsOfUTC,"INVALID – completion time is in the future",IF(AND(ISNUMBER(S141),AG141&lt;S141),IF(H141="Physical uplift","INVALID – before uplift window (cannot confirm loading)","INVALID – before valid window"),IF(AG141&gt;Flights!$AA$9,"INVALID – completed after departure (cannot establish readiness)",IF(AND(H141="Preparation",AG141&gt;IF(ISNUMBER(Flights!$BA$9),MIN(Flights!$BA$9,Flights!$AA$9),Flights!$AA$9)),"INVALID – completed after loading / departure (cannot establish readiness)",IF(AND(H141="Physical uplift",AG141&gt;Q141),"INVALID – recorded after the loading flight departed",IF(AG141&gt;Q141,"COMPLETE – LATE","COMPLETE"))))))))))))))))))))),IF(TRIM(U141)="Fail","FAIL – DISCREPANCY",IF(AND(TRIM(U141)&lt;&gt;"",TRIM(U141)&lt;&gt;"Not started",TRIM(U141)&lt;&gt;"In progress"),"INVALID – unrecognised status (use the list)",IF(AsOfUTC&gt;Q141,"OVERDUE",IF(N141="Clarification required","OPEN – CLARIFICATION","OPEN"))))))),"INVALID – error value in an input cell")</f>
        <v>OPEN</v>
      </c>
      <c r="AI141" s="61" t="n">
        <f aca="false">IF(OR(AH141="N/A – RULE",AH141="N/A – JUSTIFIED"),0,1)</f>
        <v>1</v>
      </c>
      <c r="AJ141" s="61" t="n">
        <f aca="false">IF(LEFT(AH141,8)="COMPLETE",1,0)</f>
        <v>0</v>
      </c>
      <c r="AK141" s="61" t="n">
        <f aca="false">IF(AND(AI141=1,AJ141=0,AsOfUTC&gt;Q141),1,0)</f>
        <v>0</v>
      </c>
      <c r="AL141" s="61" t="n">
        <f aca="false">IFERROR(IF(AND(AI141=1,OR(TRIM(U141)="Fail",AND(TRIM(AB141)&lt;&gt;"",TRIM(AB141)&lt;&gt;"Closed"),AND(ISNUMBER(AF141),AF141&lt;&gt;0,TRIM(U141)&lt;&gt;"Pass after CA"))),1,0),1)</f>
        <v>0</v>
      </c>
      <c r="AM141" s="61" t="n">
        <f aca="false">IF(LEFT(AH141,7)="INVALID",1,0)</f>
        <v>0</v>
      </c>
      <c r="AN141" s="61" t="n">
        <f aca="false">IF(AND(N141="Clarification required",AI141=1,AJ141=0),1,0)</f>
        <v>0</v>
      </c>
      <c r="AO141" s="61" t="str">
        <f aca="false">IF(AK141=1,SUM(AK$5:AK141),"")</f>
        <v/>
      </c>
      <c r="AP141" s="61" t="str">
        <f aca="false">IF(AL141=1,SUM(AL$5:AL141),"")</f>
        <v/>
      </c>
      <c r="AQ141" s="61" t="n">
        <v>0</v>
      </c>
      <c r="AR141" s="61" t="n">
        <v>0</v>
      </c>
      <c r="AS141" s="61" t="n">
        <v>0</v>
      </c>
      <c r="AT141" s="61" t="n">
        <v>0</v>
      </c>
      <c r="AU141" s="61" t="str">
        <f aca="false">SUBSTITUTE(SUBSTITUTE(SUBSTITUTE(SUBSTITUTE(SUBSTITUTE(SUBSTITUTE(SUBSTITUTE(SUBSTITUTE(SUBSTITUTE(SUBSTITUTE(SUBSTITUTE(SUBSTITUTE(SUBSTITUTE(LOWER(T141&amp;""),CHAR(160),"")," ",""),".",""),"-",""),"/",""),"?",""),"_",""),",",""),"[",""),"]",""),"(",""),")",""),"*","")</f>
        <v/>
      </c>
      <c r="AV141" s="61" t="str">
        <f aca="false">SUBSTITUTE(SUBSTITUTE(SUBSTITUTE(SUBSTITUTE(SUBSTITUTE(SUBSTITUTE(SUBSTITUTE(SUBSTITUTE(SUBSTITUTE(SUBSTITUTE(SUBSTITUTE(SUBSTITUTE(SUBSTITUTE(LOWER(V141&amp;""),CHAR(160),"")," ",""),".",""),"-",""),"/",""),"?",""),"_",""),",",""),"[",""),"]",""),"(",""),")",""),"*","")</f>
        <v/>
      </c>
      <c r="AW141" s="61" t="str">
        <f aca="false">SUBSTITUTE(SUBSTITUTE(SUBSTITUTE(SUBSTITUTE(SUBSTITUTE(SUBSTITUTE(SUBSTITUTE(SUBSTITUTE(SUBSTITUTE(SUBSTITUTE(SUBSTITUTE(SUBSTITUTE(SUBSTITUTE(LOWER(Z141&amp;""),CHAR(160),"")," ",""),".",""),"-",""),"/",""),"?",""),"_",""),",",""),"[",""),"]",""),"(",""),")",""),"*","")</f>
        <v/>
      </c>
      <c r="AX141" s="61" t="str">
        <f aca="false">SUBSTITUTE(SUBSTITUTE(SUBSTITUTE(SUBSTITUTE(SUBSTITUTE(SUBSTITUTE(SUBSTITUTE(SUBSTITUTE(SUBSTITUTE(SUBSTITUTE(SUBSTITUTE(SUBSTITUTE(SUBSTITUTE(LOWER(AE141&amp;""),CHAR(160),"")," ",""),".",""),"-",""),"/",""),"?",""),"_",""),",",""),"[",""),"]",""),"(",""),")",""),"*","")</f>
        <v/>
      </c>
      <c r="AY141" s="61" t="str">
        <f aca="false">SUBSTITUTE(SUBSTITUTE(SUBSTITUTE(SUBSTITUTE(SUBSTITUTE(SUBSTITUTE(SUBSTITUTE(SUBSTITUTE(SUBSTITUTE(SUBSTITUTE(SUBSTITUTE(SUBSTITUTE(SUBSTITUTE(LOWER(W141&amp;""),CHAR(160),"")," ",""),".",""),"-",""),"/",""),"?",""),"_",""),",",""),"[",""),"]",""),"(",""),")",""),"*","")</f>
        <v/>
      </c>
      <c r="AZ141" s="61" t="str">
        <f aca="false">SUBSTITUTE(SUBSTITUTE(SUBSTITUTE(SUBSTITUTE(SUBSTITUTE(SUBSTITUTE(SUBSTITUTE(SUBSTITUTE(SUBSTITUTE(SUBSTITUTE(SUBSTITUTE(SUBSTITUTE(SUBSTITUTE(LOWER(AC141&amp;""),CHAR(160),"")," ",""),".",""),"-",""),"/",""),"?",""),"_",""),",",""),"[",""),"]",""),"(",""),")",""),"*","")</f>
        <v/>
      </c>
      <c r="BA141" s="61" t="str">
        <f aca="false">SUBSTITUTE(SUBSTITUTE(SUBSTITUTE(SUBSTITUTE(SUBSTITUTE(SUBSTITUTE(SUBSTITUTE(SUBSTITUTE(SUBSTITUTE(SUBSTITUTE(SUBSTITUTE(SUBSTITUTE(SUBSTITUTE(LOWER(AA141&amp;""),CHAR(160),"")," ",""),".",""),"-",""),"/",""),"?",""),"_",""),",",""),"[",""),"]",""),"(",""),")",""),"*","")</f>
        <v/>
      </c>
      <c r="BB141" s="61" t="str">
        <f aca="false">IF(AND(TRIM(U141)="Pass",ISNUMBER(AF141)),IF(AF141&lt;&gt;0,"INVALID – qty variance: use Fail or Pass after CA",""),"")&amp;IF(AND(TRIM(U141)="Pass after CA",ISNUMBER(AF141)),IF(AF141&lt;&gt;0,"INVALID – after the corrective action the actual qty must equal expected (update Actual)",""),"")&amp;IF(AND(TRIM(U141)="Pass",TRIM(AB141)&lt;&gt;"",TRIM(AB141)&lt;&gt;"Closed"),"INVALID – corrective action not closed: use Fail, then Pass after CA","")&amp;IF(AND(TRIM(AA141)&lt;&gt;"",TRIM(AB141)=""),"INVALID – CA status missing for the recorded corrective action","")&amp;IF(AND(TRIM(U141)="Pass after CA",OR(OR(LEN(BA141)&lt;5,ISNUMBER(MATCH(BA141,L_Placeholder,0))),TRIM(AB141)&lt;&gt;"Closed")),"INVALID – corrective action not recorded/closed","")</f>
        <v/>
      </c>
    </row>
    <row r="142" customFormat="false" ht="39.75" hidden="false" customHeight="true" outlineLevel="0" collapsed="false">
      <c r="A142" s="57" t="s">
        <v>644</v>
      </c>
      <c r="B142" s="57" t="s">
        <v>225</v>
      </c>
      <c r="C142" s="57" t="str">
        <f aca="false">Flights!$F$9</f>
        <v>MH0089</v>
      </c>
      <c r="D142" s="58" t="n">
        <f aca="false">Flights!$D$9</f>
        <v>46310</v>
      </c>
      <c r="E142" s="57" t="str">
        <f aca="false">Flights!$G$9&amp;"-"&amp;Flights!$H$9</f>
        <v>NRT-KUL</v>
      </c>
      <c r="F142" s="57" t="str">
        <f aca="false">Flights!$K$9</f>
        <v>EY</v>
      </c>
      <c r="G142" s="57" t="s">
        <v>79</v>
      </c>
      <c r="H142" s="57" t="s">
        <v>356</v>
      </c>
      <c r="I142" s="57" t="s">
        <v>376</v>
      </c>
      <c r="J142" s="57" t="s">
        <v>380</v>
      </c>
      <c r="K142" s="67" t="s">
        <v>381</v>
      </c>
      <c r="L142" s="67" t="s">
        <v>360</v>
      </c>
      <c r="M142" s="67"/>
      <c r="N142" s="67" t="s">
        <v>361</v>
      </c>
      <c r="O142" s="67"/>
      <c r="P142" s="57" t="s">
        <v>217</v>
      </c>
      <c r="Q142" s="59" t="n">
        <f aca="false">ROUND((Flights!$AC$9)*1440,0)/1440</f>
        <v>46303.0451388889</v>
      </c>
      <c r="R142" s="59" t="n">
        <f aca="false">Q142+(IF(AND(INDEX(TZ_DSTS,MATCH(P142,TZ_STN,0))&lt;&gt;"",Q142&gt;=INDEX(TZ_DSTS,MATCH(P142,TZ_STN,0)),Q142&lt;INDEX(TZ_DSTE,MATCH(P142,TZ_STN,0))),INDEX(TZ_DST,MATCH(P142,TZ_STN,0)),INDEX(TZ_STD,MATCH(P142,TZ_STN,0))))/24</f>
        <v>46303.4201388889</v>
      </c>
      <c r="S142" s="59" t="n">
        <f aca="false">Q142-T7EarlyD*24/24</f>
        <v>46289.0451388889</v>
      </c>
      <c r="T142" s="60"/>
      <c r="U142" s="60"/>
      <c r="V142" s="60"/>
      <c r="W142" s="61"/>
      <c r="X142" s="60"/>
      <c r="Y142" s="60"/>
      <c r="Z142" s="60"/>
      <c r="AA142" s="60"/>
      <c r="AB142" s="60"/>
      <c r="AC142" s="60"/>
      <c r="AD142" s="66"/>
      <c r="AE142" s="60"/>
      <c r="AF142" s="61" t="str">
        <f aca="false">IF(AND(ISNUMBER(X142),ISNUMBER(Y142)),Y142-X142,"")</f>
        <v/>
      </c>
      <c r="AG142" s="62" t="str">
        <f aca="false">IF(ISNUMBER(AD142),AD142-(IF(AND(INDEX(TZ_DSTS,MATCH(P142,TZ_STN,0))&lt;&gt;"",(AD142-INDEX(TZ_STD,MATCH(P142,TZ_STN,0))/24)&gt;=INDEX(TZ_DSTS,MATCH(P142,TZ_STN,0)),(AD142-INDEX(TZ_STD,MATCH(P142,TZ_STN,0))/24)&lt;INDEX(TZ_DSTE,MATCH(P142,TZ_STN,0))),INDEX(TZ_DST,MATCH(P142,TZ_STN,0)),INDEX(TZ_STD,MATCH(P142,TZ_STN,0))))/24,"")</f>
        <v/>
      </c>
      <c r="AH142" s="65" t="str">
        <f aca="false">IFERROR(IF(N142="N/A – rule","N/A – RULE",IF(TRIM(U142)="N/A",IF(AT142=0,"INVALID – N/A not permitted for this check",IF(AND(TRIM(AB142)&lt;&gt;"",TRIM(AB142)&lt;&gt;"Closed"),"INVALID – corrective action still open",IF(AND(NOT(OR(LEN(AZ142)&lt;15,ISNUMBER(MATCH(AZ142,L_Placeholder,0)))),NOT(OR(LEN(AU142)&lt;2,ISNUMBER(MATCH(AU142,L_Placeholder,0)))),NOT(OR(LEN(AX142)&lt;2,ISNUMBER(MATCH(AX142,L_Placeholder,0)))),TRIM(AE142)&lt;&gt;TRIM(T142)),"N/A – JUSTIFIED","INVALID – N/A needs a real justification (15+ chars), PIC and a different verifier"))),IF(OR(TRIM(U142)="Pass",TRIM(U142)="Pass after CA"),IF(NOT(ISNUMBER(AD142)),"INVALID – completion time missing",IF(OR(LEN(AU142)&lt;2,ISNUMBER(MATCH(AU142,L_Placeholder,0))),"INVALID – PIC missing",IF(OR(LEN(AV142)&lt;2,ISNUMBER(MATCH(AV142,L_Placeholder,0))),"INVALID – result / assessment missing",IF(OR(OR(LEN(AW142)&lt;3,ISNUMBER(MATCH(AW142,L_Placeholder,0))),SUMPRODUCT(--ISNUMBER(SEARCH(L_EvidencePhrase,AW142)))&gt;0),"INVALID – evidence missing, placeholder or not yet on file",IF(OR(LEN(AX142)&lt;2,ISNUMBER(MATCH(AX142,L_Placeholder,0))),"INVALID – verifier missing",IF(AX142=AU142,"INVALID – verifier must be someone other than the PIC",IF(AND(TRIM(U142)="Pass",SUMPRODUCT(--ISNUMBER(SEARCH(L_ResultBad,AV142)))&gt;0),"INVALID – result describes a problem: use Fail, then Pass after CA",IF(AND(AQ142=1,OR(LEN(AY142)&lt;3,ISNUMBER(MATCH(AY142,L_Placeholder,0)))),"INVALID – batch ID missing or placeholder",IF(AND(AR142=1,OR(NOT(ISNUMBER(X142)),NOT(ISNUMBER(Y142)))),"INVALID – expected/actual qty missing",IF(AND(AR142=1,OR(X142&lt;=0,Y142&lt;0)),"INVALID – expected qty must be above 0 and actual not negative",IF(BB142&lt;&gt;"",BB142,IF(AND(AS142=1,Documents!$J$9&lt;&gt;"ON FILE"),"INVALID – GLD not on file (Documents sheet)",IF(AND(AS142=2,Documents!$O$9&lt;&gt;"ON FILE"),"INVALID – menu checklist not on file (Documents sheet)",IF(AND(AS142=3,NOT(ISNUMBER(Flights!$AX$9))),"INVALID – enter carrying flight KUL departure (Flights AX)",IF(AND(AS142=3,OR(Flights!$AZ$9&gt;Flights!$AA$9,Flights!$AX$9&lt;Flights!$AA$9-3)),"INVALID – carrying flight (Flights AX) cannot arrive before this leg's STD, or is over 3 days early",IF(AG142&gt;AsOfUTC,"INVALID – completion time is in the future",IF(AND(ISNUMBER(S142),AG142&lt;S142),IF(H142="Physical uplift","INVALID – before uplift window (cannot confirm loading)","INVALID – before valid window"),IF(AG142&gt;Flights!$AA$9,"INVALID – completed after departure (cannot establish readiness)",IF(AND(H142="Preparation",AG142&gt;IF(ISNUMBER(Flights!$BA$9),MIN(Flights!$BA$9,Flights!$AA$9),Flights!$AA$9)),"INVALID – completed after loading / departure (cannot establish readiness)",IF(AND(H142="Physical uplift",AG142&gt;Q142),"INVALID – recorded after the loading flight departed",IF(AG142&gt;Q142,"COMPLETE – LATE","COMPLETE"))))))))))))))))))))),IF(TRIM(U142)="Fail","FAIL – DISCREPANCY",IF(AND(TRIM(U142)&lt;&gt;"",TRIM(U142)&lt;&gt;"Not started",TRIM(U142)&lt;&gt;"In progress"),"INVALID – unrecognised status (use the list)",IF(AsOfUTC&gt;Q142,"OVERDUE",IF(N142="Clarification required","OPEN – CLARIFICATION","OPEN"))))))),"INVALID – error value in an input cell")</f>
        <v>OPEN</v>
      </c>
      <c r="AI142" s="61" t="n">
        <f aca="false">IF(OR(AH142="N/A – RULE",AH142="N/A – JUSTIFIED"),0,1)</f>
        <v>1</v>
      </c>
      <c r="AJ142" s="61" t="n">
        <f aca="false">IF(LEFT(AH142,8)="COMPLETE",1,0)</f>
        <v>0</v>
      </c>
      <c r="AK142" s="61" t="n">
        <f aca="false">IF(AND(AI142=1,AJ142=0,AsOfUTC&gt;Q142),1,0)</f>
        <v>0</v>
      </c>
      <c r="AL142" s="61" t="n">
        <f aca="false">IFERROR(IF(AND(AI142=1,OR(TRIM(U142)="Fail",AND(TRIM(AB142)&lt;&gt;"",TRIM(AB142)&lt;&gt;"Closed"),AND(ISNUMBER(AF142),AF142&lt;&gt;0,TRIM(U142)&lt;&gt;"Pass after CA"))),1,0),1)</f>
        <v>0</v>
      </c>
      <c r="AM142" s="61" t="n">
        <f aca="false">IF(LEFT(AH142,7)="INVALID",1,0)</f>
        <v>0</v>
      </c>
      <c r="AN142" s="61" t="n">
        <f aca="false">IF(AND(N142="Clarification required",AI142=1,AJ142=0),1,0)</f>
        <v>0</v>
      </c>
      <c r="AO142" s="61" t="str">
        <f aca="false">IF(AK142=1,SUM(AK$5:AK142),"")</f>
        <v/>
      </c>
      <c r="AP142" s="61" t="str">
        <f aca="false">IF(AL142=1,SUM(AL$5:AL142),"")</f>
        <v/>
      </c>
      <c r="AQ142" s="61" t="n">
        <v>0</v>
      </c>
      <c r="AR142" s="61" t="n">
        <v>0</v>
      </c>
      <c r="AS142" s="61" t="n">
        <v>0</v>
      </c>
      <c r="AT142" s="61" t="n">
        <v>0</v>
      </c>
      <c r="AU142" s="61" t="str">
        <f aca="false">SUBSTITUTE(SUBSTITUTE(SUBSTITUTE(SUBSTITUTE(SUBSTITUTE(SUBSTITUTE(SUBSTITUTE(SUBSTITUTE(SUBSTITUTE(SUBSTITUTE(SUBSTITUTE(SUBSTITUTE(SUBSTITUTE(LOWER(T142&amp;""),CHAR(160),"")," ",""),".",""),"-",""),"/",""),"?",""),"_",""),",",""),"[",""),"]",""),"(",""),")",""),"*","")</f>
        <v/>
      </c>
      <c r="AV142" s="61" t="str">
        <f aca="false">SUBSTITUTE(SUBSTITUTE(SUBSTITUTE(SUBSTITUTE(SUBSTITUTE(SUBSTITUTE(SUBSTITUTE(SUBSTITUTE(SUBSTITUTE(SUBSTITUTE(SUBSTITUTE(SUBSTITUTE(SUBSTITUTE(LOWER(V142&amp;""),CHAR(160),"")," ",""),".",""),"-",""),"/",""),"?",""),"_",""),",",""),"[",""),"]",""),"(",""),")",""),"*","")</f>
        <v/>
      </c>
      <c r="AW142" s="61" t="str">
        <f aca="false">SUBSTITUTE(SUBSTITUTE(SUBSTITUTE(SUBSTITUTE(SUBSTITUTE(SUBSTITUTE(SUBSTITUTE(SUBSTITUTE(SUBSTITUTE(SUBSTITUTE(SUBSTITUTE(SUBSTITUTE(SUBSTITUTE(LOWER(Z142&amp;""),CHAR(160),"")," ",""),".",""),"-",""),"/",""),"?",""),"_",""),",",""),"[",""),"]",""),"(",""),")",""),"*","")</f>
        <v/>
      </c>
      <c r="AX142" s="61" t="str">
        <f aca="false">SUBSTITUTE(SUBSTITUTE(SUBSTITUTE(SUBSTITUTE(SUBSTITUTE(SUBSTITUTE(SUBSTITUTE(SUBSTITUTE(SUBSTITUTE(SUBSTITUTE(SUBSTITUTE(SUBSTITUTE(SUBSTITUTE(LOWER(AE142&amp;""),CHAR(160),"")," ",""),".",""),"-",""),"/",""),"?",""),"_",""),",",""),"[",""),"]",""),"(",""),")",""),"*","")</f>
        <v/>
      </c>
      <c r="AY142" s="61" t="str">
        <f aca="false">SUBSTITUTE(SUBSTITUTE(SUBSTITUTE(SUBSTITUTE(SUBSTITUTE(SUBSTITUTE(SUBSTITUTE(SUBSTITUTE(SUBSTITUTE(SUBSTITUTE(SUBSTITUTE(SUBSTITUTE(SUBSTITUTE(LOWER(W142&amp;""),CHAR(160),"")," ",""),".",""),"-",""),"/",""),"?",""),"_",""),",",""),"[",""),"]",""),"(",""),")",""),"*","")</f>
        <v/>
      </c>
      <c r="AZ142" s="61" t="str">
        <f aca="false">SUBSTITUTE(SUBSTITUTE(SUBSTITUTE(SUBSTITUTE(SUBSTITUTE(SUBSTITUTE(SUBSTITUTE(SUBSTITUTE(SUBSTITUTE(SUBSTITUTE(SUBSTITUTE(SUBSTITUTE(SUBSTITUTE(LOWER(AC142&amp;""),CHAR(160),"")," ",""),".",""),"-",""),"/",""),"?",""),"_",""),",",""),"[",""),"]",""),"(",""),")",""),"*","")</f>
        <v/>
      </c>
      <c r="BA142" s="61" t="str">
        <f aca="false">SUBSTITUTE(SUBSTITUTE(SUBSTITUTE(SUBSTITUTE(SUBSTITUTE(SUBSTITUTE(SUBSTITUTE(SUBSTITUTE(SUBSTITUTE(SUBSTITUTE(SUBSTITUTE(SUBSTITUTE(SUBSTITUTE(LOWER(AA142&amp;""),CHAR(160),"")," ",""),".",""),"-",""),"/",""),"?",""),"_",""),",",""),"[",""),"]",""),"(",""),")",""),"*","")</f>
        <v/>
      </c>
      <c r="BB142" s="61" t="str">
        <f aca="false">IF(AND(TRIM(U142)="Pass",ISNUMBER(AF142)),IF(AF142&lt;&gt;0,"INVALID – qty variance: use Fail or Pass after CA",""),"")&amp;IF(AND(TRIM(U142)="Pass after CA",ISNUMBER(AF142)),IF(AF142&lt;&gt;0,"INVALID – after the corrective action the actual qty must equal expected (update Actual)",""),"")&amp;IF(AND(TRIM(U142)="Pass",TRIM(AB142)&lt;&gt;"",TRIM(AB142)&lt;&gt;"Closed"),"INVALID – corrective action not closed: use Fail, then Pass after CA","")&amp;IF(AND(TRIM(AA142)&lt;&gt;"",TRIM(AB142)=""),"INVALID – CA status missing for the recorded corrective action","")&amp;IF(AND(TRIM(U142)="Pass after CA",OR(OR(LEN(BA142)&lt;5,ISNUMBER(MATCH(BA142,L_Placeholder,0))),TRIM(AB142)&lt;&gt;"Closed")),"INVALID – corrective action not recorded/closed","")</f>
        <v/>
      </c>
    </row>
    <row r="143" customFormat="false" ht="39.75" hidden="false" customHeight="true" outlineLevel="0" collapsed="false">
      <c r="A143" s="57" t="s">
        <v>645</v>
      </c>
      <c r="B143" s="57" t="s">
        <v>225</v>
      </c>
      <c r="C143" s="57" t="str">
        <f aca="false">Flights!$F$9</f>
        <v>MH0089</v>
      </c>
      <c r="D143" s="58" t="n">
        <f aca="false">Flights!$D$9</f>
        <v>46310</v>
      </c>
      <c r="E143" s="57" t="str">
        <f aca="false">Flights!$G$9&amp;"-"&amp;Flights!$H$9</f>
        <v>NRT-KUL</v>
      </c>
      <c r="F143" s="57" t="str">
        <f aca="false">Flights!$K$9</f>
        <v>EY</v>
      </c>
      <c r="G143" s="57" t="s">
        <v>79</v>
      </c>
      <c r="H143" s="57" t="s">
        <v>356</v>
      </c>
      <c r="I143" s="57" t="s">
        <v>383</v>
      </c>
      <c r="J143" s="57" t="s">
        <v>384</v>
      </c>
      <c r="K143" s="67" t="s">
        <v>385</v>
      </c>
      <c r="L143" s="67" t="s">
        <v>360</v>
      </c>
      <c r="M143" s="67"/>
      <c r="N143" s="67" t="s">
        <v>361</v>
      </c>
      <c r="O143" s="67"/>
      <c r="P143" s="57" t="s">
        <v>217</v>
      </c>
      <c r="Q143" s="59" t="n">
        <f aca="false">ROUND((Flights!$AC$9)*1440,0)/1440</f>
        <v>46303.0451388889</v>
      </c>
      <c r="R143" s="59" t="n">
        <f aca="false">Q143+(IF(AND(INDEX(TZ_DSTS,MATCH(P143,TZ_STN,0))&lt;&gt;"",Q143&gt;=INDEX(TZ_DSTS,MATCH(P143,TZ_STN,0)),Q143&lt;INDEX(TZ_DSTE,MATCH(P143,TZ_STN,0))),INDEX(TZ_DST,MATCH(P143,TZ_STN,0)),INDEX(TZ_STD,MATCH(P143,TZ_STN,0))))/24</f>
        <v>46303.4201388889</v>
      </c>
      <c r="S143" s="59" t="n">
        <f aca="false">Q143-T7EarlyD*24/24</f>
        <v>46289.0451388889</v>
      </c>
      <c r="T143" s="60"/>
      <c r="U143" s="60"/>
      <c r="V143" s="60"/>
      <c r="W143" s="61"/>
      <c r="X143" s="60"/>
      <c r="Y143" s="60"/>
      <c r="Z143" s="60"/>
      <c r="AA143" s="60"/>
      <c r="AB143" s="60"/>
      <c r="AC143" s="60"/>
      <c r="AD143" s="66"/>
      <c r="AE143" s="60"/>
      <c r="AF143" s="61" t="str">
        <f aca="false">IF(AND(ISNUMBER(X143),ISNUMBER(Y143)),Y143-X143,"")</f>
        <v/>
      </c>
      <c r="AG143" s="62" t="str">
        <f aca="false">IF(ISNUMBER(AD143),AD143-(IF(AND(INDEX(TZ_DSTS,MATCH(P143,TZ_STN,0))&lt;&gt;"",(AD143-INDEX(TZ_STD,MATCH(P143,TZ_STN,0))/24)&gt;=INDEX(TZ_DSTS,MATCH(P143,TZ_STN,0)),(AD143-INDEX(TZ_STD,MATCH(P143,TZ_STN,0))/24)&lt;INDEX(TZ_DSTE,MATCH(P143,TZ_STN,0))),INDEX(TZ_DST,MATCH(P143,TZ_STN,0)),INDEX(TZ_STD,MATCH(P143,TZ_STN,0))))/24,"")</f>
        <v/>
      </c>
      <c r="AH143" s="65" t="str">
        <f aca="false">IFERROR(IF(N143="N/A – rule","N/A – RULE",IF(TRIM(U143)="N/A",IF(AT143=0,"INVALID – N/A not permitted for this check",IF(AND(TRIM(AB143)&lt;&gt;"",TRIM(AB143)&lt;&gt;"Closed"),"INVALID – corrective action still open",IF(AND(NOT(OR(LEN(AZ143)&lt;15,ISNUMBER(MATCH(AZ143,L_Placeholder,0)))),NOT(OR(LEN(AU143)&lt;2,ISNUMBER(MATCH(AU143,L_Placeholder,0)))),NOT(OR(LEN(AX143)&lt;2,ISNUMBER(MATCH(AX143,L_Placeholder,0)))),TRIM(AE143)&lt;&gt;TRIM(T143)),"N/A – JUSTIFIED","INVALID – N/A needs a real justification (15+ chars), PIC and a different verifier"))),IF(OR(TRIM(U143)="Pass",TRIM(U143)="Pass after CA"),IF(NOT(ISNUMBER(AD143)),"INVALID – completion time missing",IF(OR(LEN(AU143)&lt;2,ISNUMBER(MATCH(AU143,L_Placeholder,0))),"INVALID – PIC missing",IF(OR(LEN(AV143)&lt;2,ISNUMBER(MATCH(AV143,L_Placeholder,0))),"INVALID – result / assessment missing",IF(OR(OR(LEN(AW143)&lt;3,ISNUMBER(MATCH(AW143,L_Placeholder,0))),SUMPRODUCT(--ISNUMBER(SEARCH(L_EvidencePhrase,AW143)))&gt;0),"INVALID – evidence missing, placeholder or not yet on file",IF(OR(LEN(AX143)&lt;2,ISNUMBER(MATCH(AX143,L_Placeholder,0))),"INVALID – verifier missing",IF(AX143=AU143,"INVALID – verifier must be someone other than the PIC",IF(AND(TRIM(U143)="Pass",SUMPRODUCT(--ISNUMBER(SEARCH(L_ResultBad,AV143)))&gt;0),"INVALID – result describes a problem: use Fail, then Pass after CA",IF(AND(AQ143=1,OR(LEN(AY143)&lt;3,ISNUMBER(MATCH(AY143,L_Placeholder,0)))),"INVALID – batch ID missing or placeholder",IF(AND(AR143=1,OR(NOT(ISNUMBER(X143)),NOT(ISNUMBER(Y143)))),"INVALID – expected/actual qty missing",IF(AND(AR143=1,OR(X143&lt;=0,Y143&lt;0)),"INVALID – expected qty must be above 0 and actual not negative",IF(BB143&lt;&gt;"",BB143,IF(AND(AS143=1,Documents!$J$9&lt;&gt;"ON FILE"),"INVALID – GLD not on file (Documents sheet)",IF(AND(AS143=2,Documents!$O$9&lt;&gt;"ON FILE"),"INVALID – menu checklist not on file (Documents sheet)",IF(AND(AS143=3,NOT(ISNUMBER(Flights!$AX$9))),"INVALID – enter carrying flight KUL departure (Flights AX)",IF(AND(AS143=3,OR(Flights!$AZ$9&gt;Flights!$AA$9,Flights!$AX$9&lt;Flights!$AA$9-3)),"INVALID – carrying flight (Flights AX) cannot arrive before this leg's STD, or is over 3 days early",IF(AG143&gt;AsOfUTC,"INVALID – completion time is in the future",IF(AND(ISNUMBER(S143),AG143&lt;S143),IF(H143="Physical uplift","INVALID – before uplift window (cannot confirm loading)","INVALID – before valid window"),IF(AG143&gt;Flights!$AA$9,"INVALID – completed after departure (cannot establish readiness)",IF(AND(H143="Preparation",AG143&gt;IF(ISNUMBER(Flights!$BA$9),MIN(Flights!$BA$9,Flights!$AA$9),Flights!$AA$9)),"INVALID – completed after loading / departure (cannot establish readiness)",IF(AND(H143="Physical uplift",AG143&gt;Q143),"INVALID – recorded after the loading flight departed",IF(AG143&gt;Q143,"COMPLETE – LATE","COMPLETE"))))))))))))))))))))),IF(TRIM(U143)="Fail","FAIL – DISCREPANCY",IF(AND(TRIM(U143)&lt;&gt;"",TRIM(U143)&lt;&gt;"Not started",TRIM(U143)&lt;&gt;"In progress"),"INVALID – unrecognised status (use the list)",IF(AsOfUTC&gt;Q143,"OVERDUE",IF(N143="Clarification required","OPEN – CLARIFICATION","OPEN"))))))),"INVALID – error value in an input cell")</f>
        <v>OPEN</v>
      </c>
      <c r="AI143" s="61" t="n">
        <f aca="false">IF(OR(AH143="N/A – RULE",AH143="N/A – JUSTIFIED"),0,1)</f>
        <v>1</v>
      </c>
      <c r="AJ143" s="61" t="n">
        <f aca="false">IF(LEFT(AH143,8)="COMPLETE",1,0)</f>
        <v>0</v>
      </c>
      <c r="AK143" s="61" t="n">
        <f aca="false">IF(AND(AI143=1,AJ143=0,AsOfUTC&gt;Q143),1,0)</f>
        <v>0</v>
      </c>
      <c r="AL143" s="61" t="n">
        <f aca="false">IFERROR(IF(AND(AI143=1,OR(TRIM(U143)="Fail",AND(TRIM(AB143)&lt;&gt;"",TRIM(AB143)&lt;&gt;"Closed"),AND(ISNUMBER(AF143),AF143&lt;&gt;0,TRIM(U143)&lt;&gt;"Pass after CA"))),1,0),1)</f>
        <v>0</v>
      </c>
      <c r="AM143" s="61" t="n">
        <f aca="false">IF(LEFT(AH143,7)="INVALID",1,0)</f>
        <v>0</v>
      </c>
      <c r="AN143" s="61" t="n">
        <f aca="false">IF(AND(N143="Clarification required",AI143=1,AJ143=0),1,0)</f>
        <v>0</v>
      </c>
      <c r="AO143" s="61" t="str">
        <f aca="false">IF(AK143=1,SUM(AK$5:AK143),"")</f>
        <v/>
      </c>
      <c r="AP143" s="61" t="str">
        <f aca="false">IF(AL143=1,SUM(AL$5:AL143),"")</f>
        <v/>
      </c>
      <c r="AQ143" s="61" t="n">
        <v>0</v>
      </c>
      <c r="AR143" s="61" t="n">
        <v>0</v>
      </c>
      <c r="AS143" s="61" t="n">
        <v>1</v>
      </c>
      <c r="AT143" s="61" t="n">
        <v>0</v>
      </c>
      <c r="AU143" s="61" t="str">
        <f aca="false">SUBSTITUTE(SUBSTITUTE(SUBSTITUTE(SUBSTITUTE(SUBSTITUTE(SUBSTITUTE(SUBSTITUTE(SUBSTITUTE(SUBSTITUTE(SUBSTITUTE(SUBSTITUTE(SUBSTITUTE(SUBSTITUTE(LOWER(T143&amp;""),CHAR(160),"")," ",""),".",""),"-",""),"/",""),"?",""),"_",""),",",""),"[",""),"]",""),"(",""),")",""),"*","")</f>
        <v/>
      </c>
      <c r="AV143" s="61" t="str">
        <f aca="false">SUBSTITUTE(SUBSTITUTE(SUBSTITUTE(SUBSTITUTE(SUBSTITUTE(SUBSTITUTE(SUBSTITUTE(SUBSTITUTE(SUBSTITUTE(SUBSTITUTE(SUBSTITUTE(SUBSTITUTE(SUBSTITUTE(LOWER(V143&amp;""),CHAR(160),"")," ",""),".",""),"-",""),"/",""),"?",""),"_",""),",",""),"[",""),"]",""),"(",""),")",""),"*","")</f>
        <v/>
      </c>
      <c r="AW143" s="61" t="str">
        <f aca="false">SUBSTITUTE(SUBSTITUTE(SUBSTITUTE(SUBSTITUTE(SUBSTITUTE(SUBSTITUTE(SUBSTITUTE(SUBSTITUTE(SUBSTITUTE(SUBSTITUTE(SUBSTITUTE(SUBSTITUTE(SUBSTITUTE(LOWER(Z143&amp;""),CHAR(160),"")," ",""),".",""),"-",""),"/",""),"?",""),"_",""),",",""),"[",""),"]",""),"(",""),")",""),"*","")</f>
        <v/>
      </c>
      <c r="AX143" s="61" t="str">
        <f aca="false">SUBSTITUTE(SUBSTITUTE(SUBSTITUTE(SUBSTITUTE(SUBSTITUTE(SUBSTITUTE(SUBSTITUTE(SUBSTITUTE(SUBSTITUTE(SUBSTITUTE(SUBSTITUTE(SUBSTITUTE(SUBSTITUTE(LOWER(AE143&amp;""),CHAR(160),"")," ",""),".",""),"-",""),"/",""),"?",""),"_",""),",",""),"[",""),"]",""),"(",""),")",""),"*","")</f>
        <v/>
      </c>
      <c r="AY143" s="61" t="str">
        <f aca="false">SUBSTITUTE(SUBSTITUTE(SUBSTITUTE(SUBSTITUTE(SUBSTITUTE(SUBSTITUTE(SUBSTITUTE(SUBSTITUTE(SUBSTITUTE(SUBSTITUTE(SUBSTITUTE(SUBSTITUTE(SUBSTITUTE(LOWER(W143&amp;""),CHAR(160),"")," ",""),".",""),"-",""),"/",""),"?",""),"_",""),",",""),"[",""),"]",""),"(",""),")",""),"*","")</f>
        <v/>
      </c>
      <c r="AZ143" s="61" t="str">
        <f aca="false">SUBSTITUTE(SUBSTITUTE(SUBSTITUTE(SUBSTITUTE(SUBSTITUTE(SUBSTITUTE(SUBSTITUTE(SUBSTITUTE(SUBSTITUTE(SUBSTITUTE(SUBSTITUTE(SUBSTITUTE(SUBSTITUTE(LOWER(AC143&amp;""),CHAR(160),"")," ",""),".",""),"-",""),"/",""),"?",""),"_",""),",",""),"[",""),"]",""),"(",""),")",""),"*","")</f>
        <v/>
      </c>
      <c r="BA143" s="61" t="str">
        <f aca="false">SUBSTITUTE(SUBSTITUTE(SUBSTITUTE(SUBSTITUTE(SUBSTITUTE(SUBSTITUTE(SUBSTITUTE(SUBSTITUTE(SUBSTITUTE(SUBSTITUTE(SUBSTITUTE(SUBSTITUTE(SUBSTITUTE(LOWER(AA143&amp;""),CHAR(160),"")," ",""),".",""),"-",""),"/",""),"?",""),"_",""),",",""),"[",""),"]",""),"(",""),")",""),"*","")</f>
        <v/>
      </c>
      <c r="BB143" s="61" t="str">
        <f aca="false">IF(AND(TRIM(U143)="Pass",ISNUMBER(AF143)),IF(AF143&lt;&gt;0,"INVALID – qty variance: use Fail or Pass after CA",""),"")&amp;IF(AND(TRIM(U143)="Pass after CA",ISNUMBER(AF143)),IF(AF143&lt;&gt;0,"INVALID – after the corrective action the actual qty must equal expected (update Actual)",""),"")&amp;IF(AND(TRIM(U143)="Pass",TRIM(AB143)&lt;&gt;"",TRIM(AB143)&lt;&gt;"Closed"),"INVALID – corrective action not closed: use Fail, then Pass after CA","")&amp;IF(AND(TRIM(AA143)&lt;&gt;"",TRIM(AB143)=""),"INVALID – CA status missing for the recorded corrective action","")&amp;IF(AND(TRIM(U143)="Pass after CA",OR(OR(LEN(BA143)&lt;5,ISNUMBER(MATCH(BA143,L_Placeholder,0))),TRIM(AB143)&lt;&gt;"Closed")),"INVALID – corrective action not recorded/closed","")</f>
        <v/>
      </c>
    </row>
    <row r="144" customFormat="false" ht="39.75" hidden="false" customHeight="true" outlineLevel="0" collapsed="false">
      <c r="A144" s="57" t="s">
        <v>646</v>
      </c>
      <c r="B144" s="57" t="s">
        <v>225</v>
      </c>
      <c r="C144" s="57" t="str">
        <f aca="false">Flights!$F$9</f>
        <v>MH0089</v>
      </c>
      <c r="D144" s="58" t="n">
        <f aca="false">Flights!$D$9</f>
        <v>46310</v>
      </c>
      <c r="E144" s="57" t="str">
        <f aca="false">Flights!$G$9&amp;"-"&amp;Flights!$H$9</f>
        <v>NRT-KUL</v>
      </c>
      <c r="F144" s="57" t="str">
        <f aca="false">Flights!$K$9</f>
        <v>EY</v>
      </c>
      <c r="G144" s="57" t="s">
        <v>79</v>
      </c>
      <c r="H144" s="57" t="s">
        <v>356</v>
      </c>
      <c r="I144" s="57" t="s">
        <v>383</v>
      </c>
      <c r="J144" s="57" t="s">
        <v>387</v>
      </c>
      <c r="K144" s="67" t="s">
        <v>385</v>
      </c>
      <c r="L144" s="67" t="s">
        <v>360</v>
      </c>
      <c r="M144" s="67"/>
      <c r="N144" s="67" t="s">
        <v>361</v>
      </c>
      <c r="O144" s="67"/>
      <c r="P144" s="57" t="s">
        <v>217</v>
      </c>
      <c r="Q144" s="59" t="n">
        <f aca="false">ROUND((Flights!$AC$9)*1440,0)/1440</f>
        <v>46303.0451388889</v>
      </c>
      <c r="R144" s="59" t="n">
        <f aca="false">Q144+(IF(AND(INDEX(TZ_DSTS,MATCH(P144,TZ_STN,0))&lt;&gt;"",Q144&gt;=INDEX(TZ_DSTS,MATCH(P144,TZ_STN,0)),Q144&lt;INDEX(TZ_DSTE,MATCH(P144,TZ_STN,0))),INDEX(TZ_DST,MATCH(P144,TZ_STN,0)),INDEX(TZ_STD,MATCH(P144,TZ_STN,0))))/24</f>
        <v>46303.4201388889</v>
      </c>
      <c r="S144" s="59" t="n">
        <f aca="false">Q144-T7EarlyD*24/24</f>
        <v>46289.0451388889</v>
      </c>
      <c r="T144" s="60"/>
      <c r="U144" s="60"/>
      <c r="V144" s="60"/>
      <c r="W144" s="61"/>
      <c r="X144" s="60"/>
      <c r="Y144" s="60"/>
      <c r="Z144" s="60"/>
      <c r="AA144" s="60"/>
      <c r="AB144" s="60"/>
      <c r="AC144" s="60"/>
      <c r="AD144" s="66"/>
      <c r="AE144" s="60"/>
      <c r="AF144" s="61" t="str">
        <f aca="false">IF(AND(ISNUMBER(X144),ISNUMBER(Y144)),Y144-X144,"")</f>
        <v/>
      </c>
      <c r="AG144" s="62" t="str">
        <f aca="false">IF(ISNUMBER(AD144),AD144-(IF(AND(INDEX(TZ_DSTS,MATCH(P144,TZ_STN,0))&lt;&gt;"",(AD144-INDEX(TZ_STD,MATCH(P144,TZ_STN,0))/24)&gt;=INDEX(TZ_DSTS,MATCH(P144,TZ_STN,0)),(AD144-INDEX(TZ_STD,MATCH(P144,TZ_STN,0))/24)&lt;INDEX(TZ_DSTE,MATCH(P144,TZ_STN,0))),INDEX(TZ_DST,MATCH(P144,TZ_STN,0)),INDEX(TZ_STD,MATCH(P144,TZ_STN,0))))/24,"")</f>
        <v/>
      </c>
      <c r="AH144" s="65" t="str">
        <f aca="false">IFERROR(IF(N144="N/A – rule","N/A – RULE",IF(TRIM(U144)="N/A",IF(AT144=0,"INVALID – N/A not permitted for this check",IF(AND(TRIM(AB144)&lt;&gt;"",TRIM(AB144)&lt;&gt;"Closed"),"INVALID – corrective action still open",IF(AND(NOT(OR(LEN(AZ144)&lt;15,ISNUMBER(MATCH(AZ144,L_Placeholder,0)))),NOT(OR(LEN(AU144)&lt;2,ISNUMBER(MATCH(AU144,L_Placeholder,0)))),NOT(OR(LEN(AX144)&lt;2,ISNUMBER(MATCH(AX144,L_Placeholder,0)))),TRIM(AE144)&lt;&gt;TRIM(T144)),"N/A – JUSTIFIED","INVALID – N/A needs a real justification (15+ chars), PIC and a different verifier"))),IF(OR(TRIM(U144)="Pass",TRIM(U144)="Pass after CA"),IF(NOT(ISNUMBER(AD144)),"INVALID – completion time missing",IF(OR(LEN(AU144)&lt;2,ISNUMBER(MATCH(AU144,L_Placeholder,0))),"INVALID – PIC missing",IF(OR(LEN(AV144)&lt;2,ISNUMBER(MATCH(AV144,L_Placeholder,0))),"INVALID – result / assessment missing",IF(OR(OR(LEN(AW144)&lt;3,ISNUMBER(MATCH(AW144,L_Placeholder,0))),SUMPRODUCT(--ISNUMBER(SEARCH(L_EvidencePhrase,AW144)))&gt;0),"INVALID – evidence missing, placeholder or not yet on file",IF(OR(LEN(AX144)&lt;2,ISNUMBER(MATCH(AX144,L_Placeholder,0))),"INVALID – verifier missing",IF(AX144=AU144,"INVALID – verifier must be someone other than the PIC",IF(AND(TRIM(U144)="Pass",SUMPRODUCT(--ISNUMBER(SEARCH(L_ResultBad,AV144)))&gt;0),"INVALID – result describes a problem: use Fail, then Pass after CA",IF(AND(AQ144=1,OR(LEN(AY144)&lt;3,ISNUMBER(MATCH(AY144,L_Placeholder,0)))),"INVALID – batch ID missing or placeholder",IF(AND(AR144=1,OR(NOT(ISNUMBER(X144)),NOT(ISNUMBER(Y144)))),"INVALID – expected/actual qty missing",IF(AND(AR144=1,OR(X144&lt;=0,Y144&lt;0)),"INVALID – expected qty must be above 0 and actual not negative",IF(BB144&lt;&gt;"",BB144,IF(AND(AS144=1,Documents!$J$9&lt;&gt;"ON FILE"),"INVALID – GLD not on file (Documents sheet)",IF(AND(AS144=2,Documents!$O$9&lt;&gt;"ON FILE"),"INVALID – menu checklist not on file (Documents sheet)",IF(AND(AS144=3,NOT(ISNUMBER(Flights!$AX$9))),"INVALID – enter carrying flight KUL departure (Flights AX)",IF(AND(AS144=3,OR(Flights!$AZ$9&gt;Flights!$AA$9,Flights!$AX$9&lt;Flights!$AA$9-3)),"INVALID – carrying flight (Flights AX) cannot arrive before this leg's STD, or is over 3 days early",IF(AG144&gt;AsOfUTC,"INVALID – completion time is in the future",IF(AND(ISNUMBER(S144),AG144&lt;S144),IF(H144="Physical uplift","INVALID – before uplift window (cannot confirm loading)","INVALID – before valid window"),IF(AG144&gt;Flights!$AA$9,"INVALID – completed after departure (cannot establish readiness)",IF(AND(H144="Preparation",AG144&gt;IF(ISNUMBER(Flights!$BA$9),MIN(Flights!$BA$9,Flights!$AA$9),Flights!$AA$9)),"INVALID – completed after loading / departure (cannot establish readiness)",IF(AND(H144="Physical uplift",AG144&gt;Q144),"INVALID – recorded after the loading flight departed",IF(AG144&gt;Q144,"COMPLETE – LATE","COMPLETE"))))))))))))))))))))),IF(TRIM(U144)="Fail","FAIL – DISCREPANCY",IF(AND(TRIM(U144)&lt;&gt;"",TRIM(U144)&lt;&gt;"Not started",TRIM(U144)&lt;&gt;"In progress"),"INVALID – unrecognised status (use the list)",IF(AsOfUTC&gt;Q144,"OVERDUE",IF(N144="Clarification required","OPEN – CLARIFICATION","OPEN"))))))),"INVALID – error value in an input cell")</f>
        <v>OPEN</v>
      </c>
      <c r="AI144" s="61" t="n">
        <f aca="false">IF(OR(AH144="N/A – RULE",AH144="N/A – JUSTIFIED"),0,1)</f>
        <v>1</v>
      </c>
      <c r="AJ144" s="61" t="n">
        <f aca="false">IF(LEFT(AH144,8)="COMPLETE",1,0)</f>
        <v>0</v>
      </c>
      <c r="AK144" s="61" t="n">
        <f aca="false">IF(AND(AI144=1,AJ144=0,AsOfUTC&gt;Q144),1,0)</f>
        <v>0</v>
      </c>
      <c r="AL144" s="61" t="n">
        <f aca="false">IFERROR(IF(AND(AI144=1,OR(TRIM(U144)="Fail",AND(TRIM(AB144)&lt;&gt;"",TRIM(AB144)&lt;&gt;"Closed"),AND(ISNUMBER(AF144),AF144&lt;&gt;0,TRIM(U144)&lt;&gt;"Pass after CA"))),1,0),1)</f>
        <v>0</v>
      </c>
      <c r="AM144" s="61" t="n">
        <f aca="false">IF(LEFT(AH144,7)="INVALID",1,0)</f>
        <v>0</v>
      </c>
      <c r="AN144" s="61" t="n">
        <f aca="false">IF(AND(N144="Clarification required",AI144=1,AJ144=0),1,0)</f>
        <v>0</v>
      </c>
      <c r="AO144" s="61" t="str">
        <f aca="false">IF(AK144=1,SUM(AK$5:AK144),"")</f>
        <v/>
      </c>
      <c r="AP144" s="61" t="str">
        <f aca="false">IF(AL144=1,SUM(AL$5:AL144),"")</f>
        <v/>
      </c>
      <c r="AQ144" s="61" t="n">
        <v>0</v>
      </c>
      <c r="AR144" s="61" t="n">
        <v>0</v>
      </c>
      <c r="AS144" s="61" t="n">
        <v>2</v>
      </c>
      <c r="AT144" s="61" t="n">
        <v>0</v>
      </c>
      <c r="AU144" s="61" t="str">
        <f aca="false">SUBSTITUTE(SUBSTITUTE(SUBSTITUTE(SUBSTITUTE(SUBSTITUTE(SUBSTITUTE(SUBSTITUTE(SUBSTITUTE(SUBSTITUTE(SUBSTITUTE(SUBSTITUTE(SUBSTITUTE(SUBSTITUTE(LOWER(T144&amp;""),CHAR(160),"")," ",""),".",""),"-",""),"/",""),"?",""),"_",""),",",""),"[",""),"]",""),"(",""),")",""),"*","")</f>
        <v/>
      </c>
      <c r="AV144" s="61" t="str">
        <f aca="false">SUBSTITUTE(SUBSTITUTE(SUBSTITUTE(SUBSTITUTE(SUBSTITUTE(SUBSTITUTE(SUBSTITUTE(SUBSTITUTE(SUBSTITUTE(SUBSTITUTE(SUBSTITUTE(SUBSTITUTE(SUBSTITUTE(LOWER(V144&amp;""),CHAR(160),"")," ",""),".",""),"-",""),"/",""),"?",""),"_",""),",",""),"[",""),"]",""),"(",""),")",""),"*","")</f>
        <v/>
      </c>
      <c r="AW144" s="61" t="str">
        <f aca="false">SUBSTITUTE(SUBSTITUTE(SUBSTITUTE(SUBSTITUTE(SUBSTITUTE(SUBSTITUTE(SUBSTITUTE(SUBSTITUTE(SUBSTITUTE(SUBSTITUTE(SUBSTITUTE(SUBSTITUTE(SUBSTITUTE(LOWER(Z144&amp;""),CHAR(160),"")," ",""),".",""),"-",""),"/",""),"?",""),"_",""),",",""),"[",""),"]",""),"(",""),")",""),"*","")</f>
        <v/>
      </c>
      <c r="AX144" s="61" t="str">
        <f aca="false">SUBSTITUTE(SUBSTITUTE(SUBSTITUTE(SUBSTITUTE(SUBSTITUTE(SUBSTITUTE(SUBSTITUTE(SUBSTITUTE(SUBSTITUTE(SUBSTITUTE(SUBSTITUTE(SUBSTITUTE(SUBSTITUTE(LOWER(AE144&amp;""),CHAR(160),"")," ",""),".",""),"-",""),"/",""),"?",""),"_",""),",",""),"[",""),"]",""),"(",""),")",""),"*","")</f>
        <v/>
      </c>
      <c r="AY144" s="61" t="str">
        <f aca="false">SUBSTITUTE(SUBSTITUTE(SUBSTITUTE(SUBSTITUTE(SUBSTITUTE(SUBSTITUTE(SUBSTITUTE(SUBSTITUTE(SUBSTITUTE(SUBSTITUTE(SUBSTITUTE(SUBSTITUTE(SUBSTITUTE(LOWER(W144&amp;""),CHAR(160),"")," ",""),".",""),"-",""),"/",""),"?",""),"_",""),",",""),"[",""),"]",""),"(",""),")",""),"*","")</f>
        <v/>
      </c>
      <c r="AZ144" s="61" t="str">
        <f aca="false">SUBSTITUTE(SUBSTITUTE(SUBSTITUTE(SUBSTITUTE(SUBSTITUTE(SUBSTITUTE(SUBSTITUTE(SUBSTITUTE(SUBSTITUTE(SUBSTITUTE(SUBSTITUTE(SUBSTITUTE(SUBSTITUTE(LOWER(AC144&amp;""),CHAR(160),"")," ",""),".",""),"-",""),"/",""),"?",""),"_",""),",",""),"[",""),"]",""),"(",""),")",""),"*","")</f>
        <v/>
      </c>
      <c r="BA144" s="61" t="str">
        <f aca="false">SUBSTITUTE(SUBSTITUTE(SUBSTITUTE(SUBSTITUTE(SUBSTITUTE(SUBSTITUTE(SUBSTITUTE(SUBSTITUTE(SUBSTITUTE(SUBSTITUTE(SUBSTITUTE(SUBSTITUTE(SUBSTITUTE(LOWER(AA144&amp;""),CHAR(160),"")," ",""),".",""),"-",""),"/",""),"?",""),"_",""),",",""),"[",""),"]",""),"(",""),")",""),"*","")</f>
        <v/>
      </c>
      <c r="BB144" s="61" t="str">
        <f aca="false">IF(AND(TRIM(U144)="Pass",ISNUMBER(AF144)),IF(AF144&lt;&gt;0,"INVALID – qty variance: use Fail or Pass after CA",""),"")&amp;IF(AND(TRIM(U144)="Pass after CA",ISNUMBER(AF144)),IF(AF144&lt;&gt;0,"INVALID – after the corrective action the actual qty must equal expected (update Actual)",""),"")&amp;IF(AND(TRIM(U144)="Pass",TRIM(AB144)&lt;&gt;"",TRIM(AB144)&lt;&gt;"Closed"),"INVALID – corrective action not closed: use Fail, then Pass after CA","")&amp;IF(AND(TRIM(AA144)&lt;&gt;"",TRIM(AB144)=""),"INVALID – CA status missing for the recorded corrective action","")&amp;IF(AND(TRIM(U144)="Pass after CA",OR(OR(LEN(BA144)&lt;5,ISNUMBER(MATCH(BA144,L_Placeholder,0))),TRIM(AB144)&lt;&gt;"Closed")),"INVALID – corrective action not recorded/closed","")</f>
        <v/>
      </c>
    </row>
    <row r="145" customFormat="false" ht="39.75" hidden="false" customHeight="true" outlineLevel="0" collapsed="false">
      <c r="A145" s="57" t="s">
        <v>647</v>
      </c>
      <c r="B145" s="57" t="s">
        <v>225</v>
      </c>
      <c r="C145" s="57" t="str">
        <f aca="false">Flights!$F$9</f>
        <v>MH0089</v>
      </c>
      <c r="D145" s="58" t="n">
        <f aca="false">Flights!$D$9</f>
        <v>46310</v>
      </c>
      <c r="E145" s="57" t="str">
        <f aca="false">Flights!$G$9&amp;"-"&amp;Flights!$H$9</f>
        <v>NRT-KUL</v>
      </c>
      <c r="F145" s="57" t="str">
        <f aca="false">Flights!$K$9</f>
        <v>EY</v>
      </c>
      <c r="G145" s="57" t="s">
        <v>79</v>
      </c>
      <c r="H145" s="57" t="s">
        <v>356</v>
      </c>
      <c r="I145" s="57" t="s">
        <v>389</v>
      </c>
      <c r="J145" s="57" t="s">
        <v>390</v>
      </c>
      <c r="K145" s="67" t="s">
        <v>648</v>
      </c>
      <c r="L145" s="67" t="s">
        <v>569</v>
      </c>
      <c r="M145" s="67"/>
      <c r="N145" s="67" t="s">
        <v>361</v>
      </c>
      <c r="O145" s="67"/>
      <c r="P145" s="57" t="s">
        <v>217</v>
      </c>
      <c r="Q145" s="59" t="n">
        <f aca="false">ROUND((Flights!$AC$9)*1440,0)/1440</f>
        <v>46303.0451388889</v>
      </c>
      <c r="R145" s="59" t="n">
        <f aca="false">Q145+(IF(AND(INDEX(TZ_DSTS,MATCH(P145,TZ_STN,0))&lt;&gt;"",Q145&gt;=INDEX(TZ_DSTS,MATCH(P145,TZ_STN,0)),Q145&lt;INDEX(TZ_DSTE,MATCH(P145,TZ_STN,0))),INDEX(TZ_DST,MATCH(P145,TZ_STN,0)),INDEX(TZ_STD,MATCH(P145,TZ_STN,0))))/24</f>
        <v>46303.4201388889</v>
      </c>
      <c r="S145" s="59" t="n">
        <f aca="false">Q145-T7EarlyD*24/24</f>
        <v>46289.0451388889</v>
      </c>
      <c r="T145" s="60"/>
      <c r="U145" s="60"/>
      <c r="V145" s="60"/>
      <c r="W145" s="61"/>
      <c r="X145" s="60"/>
      <c r="Y145" s="60"/>
      <c r="Z145" s="60"/>
      <c r="AA145" s="60"/>
      <c r="AB145" s="60"/>
      <c r="AC145" s="60"/>
      <c r="AD145" s="66"/>
      <c r="AE145" s="60"/>
      <c r="AF145" s="61" t="str">
        <f aca="false">IF(AND(ISNUMBER(X145),ISNUMBER(Y145)),Y145-X145,"")</f>
        <v/>
      </c>
      <c r="AG145" s="62" t="str">
        <f aca="false">IF(ISNUMBER(AD145),AD145-(IF(AND(INDEX(TZ_DSTS,MATCH(P145,TZ_STN,0))&lt;&gt;"",(AD145-INDEX(TZ_STD,MATCH(P145,TZ_STN,0))/24)&gt;=INDEX(TZ_DSTS,MATCH(P145,TZ_STN,0)),(AD145-INDEX(TZ_STD,MATCH(P145,TZ_STN,0))/24)&lt;INDEX(TZ_DSTE,MATCH(P145,TZ_STN,0))),INDEX(TZ_DST,MATCH(P145,TZ_STN,0)),INDEX(TZ_STD,MATCH(P145,TZ_STN,0))))/24,"")</f>
        <v/>
      </c>
      <c r="AH145" s="65" t="str">
        <f aca="false">IFERROR(IF(N145="N/A – rule","N/A – RULE",IF(TRIM(U145)="N/A",IF(AT145=0,"INVALID – N/A not permitted for this check",IF(AND(TRIM(AB145)&lt;&gt;"",TRIM(AB145)&lt;&gt;"Closed"),"INVALID – corrective action still open",IF(AND(NOT(OR(LEN(AZ145)&lt;15,ISNUMBER(MATCH(AZ145,L_Placeholder,0)))),NOT(OR(LEN(AU145)&lt;2,ISNUMBER(MATCH(AU145,L_Placeholder,0)))),NOT(OR(LEN(AX145)&lt;2,ISNUMBER(MATCH(AX145,L_Placeholder,0)))),TRIM(AE145)&lt;&gt;TRIM(T145)),"N/A – JUSTIFIED","INVALID – N/A needs a real justification (15+ chars), PIC and a different verifier"))),IF(OR(TRIM(U145)="Pass",TRIM(U145)="Pass after CA"),IF(NOT(ISNUMBER(AD145)),"INVALID – completion time missing",IF(OR(LEN(AU145)&lt;2,ISNUMBER(MATCH(AU145,L_Placeholder,0))),"INVALID – PIC missing",IF(OR(LEN(AV145)&lt;2,ISNUMBER(MATCH(AV145,L_Placeholder,0))),"INVALID – result / assessment missing",IF(OR(OR(LEN(AW145)&lt;3,ISNUMBER(MATCH(AW145,L_Placeholder,0))),SUMPRODUCT(--ISNUMBER(SEARCH(L_EvidencePhrase,AW145)))&gt;0),"INVALID – evidence missing, placeholder or not yet on file",IF(OR(LEN(AX145)&lt;2,ISNUMBER(MATCH(AX145,L_Placeholder,0))),"INVALID – verifier missing",IF(AX145=AU145,"INVALID – verifier must be someone other than the PIC",IF(AND(TRIM(U145)="Pass",SUMPRODUCT(--ISNUMBER(SEARCH(L_ResultBad,AV145)))&gt;0),"INVALID – result describes a problem: use Fail, then Pass after CA",IF(AND(AQ145=1,OR(LEN(AY145)&lt;3,ISNUMBER(MATCH(AY145,L_Placeholder,0)))),"INVALID – batch ID missing or placeholder",IF(AND(AR145=1,OR(NOT(ISNUMBER(X145)),NOT(ISNUMBER(Y145)))),"INVALID – expected/actual qty missing",IF(AND(AR145=1,OR(X145&lt;=0,Y145&lt;0)),"INVALID – expected qty must be above 0 and actual not negative",IF(BB145&lt;&gt;"",BB145,IF(AND(AS145=1,Documents!$J$9&lt;&gt;"ON FILE"),"INVALID – GLD not on file (Documents sheet)",IF(AND(AS145=2,Documents!$O$9&lt;&gt;"ON FILE"),"INVALID – menu checklist not on file (Documents sheet)",IF(AND(AS145=3,NOT(ISNUMBER(Flights!$AX$9))),"INVALID – enter carrying flight KUL departure (Flights AX)",IF(AND(AS145=3,OR(Flights!$AZ$9&gt;Flights!$AA$9,Flights!$AX$9&lt;Flights!$AA$9-3)),"INVALID – carrying flight (Flights AX) cannot arrive before this leg's STD, or is over 3 days early",IF(AG145&gt;AsOfUTC,"INVALID – completion time is in the future",IF(AND(ISNUMBER(S145),AG145&lt;S145),IF(H145="Physical uplift","INVALID – before uplift window (cannot confirm loading)","INVALID – before valid window"),IF(AG145&gt;Flights!$AA$9,"INVALID – completed after departure (cannot establish readiness)",IF(AND(H145="Preparation",AG145&gt;IF(ISNUMBER(Flights!$BA$9),MIN(Flights!$BA$9,Flights!$AA$9),Flights!$AA$9)),"INVALID – completed after loading / departure (cannot establish readiness)",IF(AND(H145="Physical uplift",AG145&gt;Q145),"INVALID – recorded after the loading flight departed",IF(AG145&gt;Q145,"COMPLETE – LATE","COMPLETE"))))))))))))))))))))),IF(TRIM(U145)="Fail","FAIL – DISCREPANCY",IF(AND(TRIM(U145)&lt;&gt;"",TRIM(U145)&lt;&gt;"Not started",TRIM(U145)&lt;&gt;"In progress"),"INVALID – unrecognised status (use the list)",IF(AsOfUTC&gt;Q145,"OVERDUE",IF(N145="Clarification required","OPEN – CLARIFICATION","OPEN"))))))),"INVALID – error value in an input cell")</f>
        <v>OPEN</v>
      </c>
      <c r="AI145" s="61" t="n">
        <f aca="false">IF(OR(AH145="N/A – RULE",AH145="N/A – JUSTIFIED"),0,1)</f>
        <v>1</v>
      </c>
      <c r="AJ145" s="61" t="n">
        <f aca="false">IF(LEFT(AH145,8)="COMPLETE",1,0)</f>
        <v>0</v>
      </c>
      <c r="AK145" s="61" t="n">
        <f aca="false">IF(AND(AI145=1,AJ145=0,AsOfUTC&gt;Q145),1,0)</f>
        <v>0</v>
      </c>
      <c r="AL145" s="61" t="n">
        <f aca="false">IFERROR(IF(AND(AI145=1,OR(TRIM(U145)="Fail",AND(TRIM(AB145)&lt;&gt;"",TRIM(AB145)&lt;&gt;"Closed"),AND(ISNUMBER(AF145),AF145&lt;&gt;0,TRIM(U145)&lt;&gt;"Pass after CA"))),1,0),1)</f>
        <v>0</v>
      </c>
      <c r="AM145" s="61" t="n">
        <f aca="false">IF(LEFT(AH145,7)="INVALID",1,0)</f>
        <v>0</v>
      </c>
      <c r="AN145" s="61" t="n">
        <f aca="false">IF(AND(N145="Clarification required",AI145=1,AJ145=0),1,0)</f>
        <v>0</v>
      </c>
      <c r="AO145" s="61" t="str">
        <f aca="false">IF(AK145=1,SUM(AK$5:AK145),"")</f>
        <v/>
      </c>
      <c r="AP145" s="61" t="str">
        <f aca="false">IF(AL145=1,SUM(AL$5:AL145),"")</f>
        <v/>
      </c>
      <c r="AQ145" s="61" t="n">
        <v>0</v>
      </c>
      <c r="AR145" s="61" t="n">
        <v>0</v>
      </c>
      <c r="AS145" s="61" t="n">
        <v>0</v>
      </c>
      <c r="AT145" s="61" t="n">
        <v>0</v>
      </c>
      <c r="AU145" s="61" t="str">
        <f aca="false">SUBSTITUTE(SUBSTITUTE(SUBSTITUTE(SUBSTITUTE(SUBSTITUTE(SUBSTITUTE(SUBSTITUTE(SUBSTITUTE(SUBSTITUTE(SUBSTITUTE(SUBSTITUTE(SUBSTITUTE(SUBSTITUTE(LOWER(T145&amp;""),CHAR(160),"")," ",""),".",""),"-",""),"/",""),"?",""),"_",""),",",""),"[",""),"]",""),"(",""),")",""),"*","")</f>
        <v/>
      </c>
      <c r="AV145" s="61" t="str">
        <f aca="false">SUBSTITUTE(SUBSTITUTE(SUBSTITUTE(SUBSTITUTE(SUBSTITUTE(SUBSTITUTE(SUBSTITUTE(SUBSTITUTE(SUBSTITUTE(SUBSTITUTE(SUBSTITUTE(SUBSTITUTE(SUBSTITUTE(LOWER(V145&amp;""),CHAR(160),"")," ",""),".",""),"-",""),"/",""),"?",""),"_",""),",",""),"[",""),"]",""),"(",""),")",""),"*","")</f>
        <v/>
      </c>
      <c r="AW145" s="61" t="str">
        <f aca="false">SUBSTITUTE(SUBSTITUTE(SUBSTITUTE(SUBSTITUTE(SUBSTITUTE(SUBSTITUTE(SUBSTITUTE(SUBSTITUTE(SUBSTITUTE(SUBSTITUTE(SUBSTITUTE(SUBSTITUTE(SUBSTITUTE(LOWER(Z145&amp;""),CHAR(160),"")," ",""),".",""),"-",""),"/",""),"?",""),"_",""),",",""),"[",""),"]",""),"(",""),")",""),"*","")</f>
        <v/>
      </c>
      <c r="AX145" s="61" t="str">
        <f aca="false">SUBSTITUTE(SUBSTITUTE(SUBSTITUTE(SUBSTITUTE(SUBSTITUTE(SUBSTITUTE(SUBSTITUTE(SUBSTITUTE(SUBSTITUTE(SUBSTITUTE(SUBSTITUTE(SUBSTITUTE(SUBSTITUTE(LOWER(AE145&amp;""),CHAR(160),"")," ",""),".",""),"-",""),"/",""),"?",""),"_",""),",",""),"[",""),"]",""),"(",""),")",""),"*","")</f>
        <v/>
      </c>
      <c r="AY145" s="61" t="str">
        <f aca="false">SUBSTITUTE(SUBSTITUTE(SUBSTITUTE(SUBSTITUTE(SUBSTITUTE(SUBSTITUTE(SUBSTITUTE(SUBSTITUTE(SUBSTITUTE(SUBSTITUTE(SUBSTITUTE(SUBSTITUTE(SUBSTITUTE(LOWER(W145&amp;""),CHAR(160),"")," ",""),".",""),"-",""),"/",""),"?",""),"_",""),",",""),"[",""),"]",""),"(",""),")",""),"*","")</f>
        <v/>
      </c>
      <c r="AZ145" s="61" t="str">
        <f aca="false">SUBSTITUTE(SUBSTITUTE(SUBSTITUTE(SUBSTITUTE(SUBSTITUTE(SUBSTITUTE(SUBSTITUTE(SUBSTITUTE(SUBSTITUTE(SUBSTITUTE(SUBSTITUTE(SUBSTITUTE(SUBSTITUTE(LOWER(AC145&amp;""),CHAR(160),"")," ",""),".",""),"-",""),"/",""),"?",""),"_",""),",",""),"[",""),"]",""),"(",""),")",""),"*","")</f>
        <v/>
      </c>
      <c r="BA145" s="61" t="str">
        <f aca="false">SUBSTITUTE(SUBSTITUTE(SUBSTITUTE(SUBSTITUTE(SUBSTITUTE(SUBSTITUTE(SUBSTITUTE(SUBSTITUTE(SUBSTITUTE(SUBSTITUTE(SUBSTITUTE(SUBSTITUTE(SUBSTITUTE(LOWER(AA145&amp;""),CHAR(160),"")," ",""),".",""),"-",""),"/",""),"?",""),"_",""),",",""),"[",""),"]",""),"(",""),")",""),"*","")</f>
        <v/>
      </c>
      <c r="BB145" s="61" t="str">
        <f aca="false">IF(AND(TRIM(U145)="Pass",ISNUMBER(AF145)),IF(AF145&lt;&gt;0,"INVALID – qty variance: use Fail or Pass after CA",""),"")&amp;IF(AND(TRIM(U145)="Pass after CA",ISNUMBER(AF145)),IF(AF145&lt;&gt;0,"INVALID – after the corrective action the actual qty must equal expected (update Actual)",""),"")&amp;IF(AND(TRIM(U145)="Pass",TRIM(AB145)&lt;&gt;"",TRIM(AB145)&lt;&gt;"Closed"),"INVALID – corrective action not closed: use Fail, then Pass after CA","")&amp;IF(AND(TRIM(AA145)&lt;&gt;"",TRIM(AB145)=""),"INVALID – CA status missing for the recorded corrective action","")&amp;IF(AND(TRIM(U145)="Pass after CA",OR(OR(LEN(BA145)&lt;5,ISNUMBER(MATCH(BA145,L_Placeholder,0))),TRIM(AB145)&lt;&gt;"Closed")),"INVALID – corrective action not recorded/closed","")</f>
        <v/>
      </c>
    </row>
    <row r="146" customFormat="false" ht="91.5" hidden="false" customHeight="true" outlineLevel="0" collapsed="false">
      <c r="A146" s="57" t="s">
        <v>649</v>
      </c>
      <c r="B146" s="57" t="s">
        <v>225</v>
      </c>
      <c r="C146" s="57" t="str">
        <f aca="false">Flights!$F$9</f>
        <v>MH0089</v>
      </c>
      <c r="D146" s="58" t="n">
        <f aca="false">Flights!$D$9</f>
        <v>46310</v>
      </c>
      <c r="E146" s="57" t="str">
        <f aca="false">Flights!$G$9&amp;"-"&amp;Flights!$H$9</f>
        <v>NRT-KUL</v>
      </c>
      <c r="F146" s="57" t="str">
        <f aca="false">Flights!$K$9</f>
        <v>EY</v>
      </c>
      <c r="G146" s="57" t="s">
        <v>79</v>
      </c>
      <c r="H146" s="57" t="s">
        <v>356</v>
      </c>
      <c r="I146" s="57" t="s">
        <v>389</v>
      </c>
      <c r="J146" s="57" t="s">
        <v>650</v>
      </c>
      <c r="K146" s="67" t="s">
        <v>651</v>
      </c>
      <c r="L146" s="67" t="s">
        <v>652</v>
      </c>
      <c r="M146" s="67"/>
      <c r="N146" s="67" t="s">
        <v>422</v>
      </c>
      <c r="O146" s="67" t="s">
        <v>653</v>
      </c>
      <c r="P146" s="57" t="s">
        <v>184</v>
      </c>
      <c r="Q146" s="59" t="n">
        <f aca="false">ROUND((Flights!$AC$9)*1440,0)/1440</f>
        <v>46303.0451388889</v>
      </c>
      <c r="R146" s="59" t="n">
        <f aca="false">Q146+(IF(AND(INDEX(TZ_DSTS,MATCH(P146,TZ_STN,0))&lt;&gt;"",Q146&gt;=INDEX(TZ_DSTS,MATCH(P146,TZ_STN,0)),Q146&lt;INDEX(TZ_DSTE,MATCH(P146,TZ_STN,0))),INDEX(TZ_DST,MATCH(P146,TZ_STN,0)),INDEX(TZ_STD,MATCH(P146,TZ_STN,0))))/24</f>
        <v>46303.3784722222</v>
      </c>
      <c r="S146" s="59" t="n">
        <f aca="false">Q146-T7EarlyD*24/24</f>
        <v>46289.0451388889</v>
      </c>
      <c r="T146" s="60"/>
      <c r="U146" s="60"/>
      <c r="V146" s="60"/>
      <c r="W146" s="61"/>
      <c r="X146" s="60"/>
      <c r="Y146" s="60"/>
      <c r="Z146" s="60"/>
      <c r="AA146" s="60"/>
      <c r="AB146" s="60"/>
      <c r="AC146" s="60"/>
      <c r="AD146" s="66"/>
      <c r="AE146" s="60"/>
      <c r="AF146" s="61" t="str">
        <f aca="false">IF(AND(ISNUMBER(X146),ISNUMBER(Y146)),Y146-X146,"")</f>
        <v/>
      </c>
      <c r="AG146" s="62" t="str">
        <f aca="false">IF(ISNUMBER(AD146),AD146-(IF(AND(INDEX(TZ_DSTS,MATCH(P146,TZ_STN,0))&lt;&gt;"",(AD146-INDEX(TZ_STD,MATCH(P146,TZ_STN,0))/24)&gt;=INDEX(TZ_DSTS,MATCH(P146,TZ_STN,0)),(AD146-INDEX(TZ_STD,MATCH(P146,TZ_STN,0))/24)&lt;INDEX(TZ_DSTE,MATCH(P146,TZ_STN,0))),INDEX(TZ_DST,MATCH(P146,TZ_STN,0)),INDEX(TZ_STD,MATCH(P146,TZ_STN,0))))/24,"")</f>
        <v/>
      </c>
      <c r="AH146" s="65" t="str">
        <f aca="false">IFERROR(IF(N146="N/A – rule","N/A – RULE",IF(TRIM(U146)="N/A",IF(AT146=0,"INVALID – N/A not permitted for this check",IF(AND(TRIM(AB146)&lt;&gt;"",TRIM(AB146)&lt;&gt;"Closed"),"INVALID – corrective action still open",IF(AND(NOT(OR(LEN(AZ146)&lt;15,ISNUMBER(MATCH(AZ146,L_Placeholder,0)))),NOT(OR(LEN(AU146)&lt;2,ISNUMBER(MATCH(AU146,L_Placeholder,0)))),NOT(OR(LEN(AX146)&lt;2,ISNUMBER(MATCH(AX146,L_Placeholder,0)))),TRIM(AE146)&lt;&gt;TRIM(T146)),"N/A – JUSTIFIED","INVALID – N/A needs a real justification (15+ chars), PIC and a different verifier"))),IF(OR(TRIM(U146)="Pass",TRIM(U146)="Pass after CA"),IF(NOT(ISNUMBER(AD146)),"INVALID – completion time missing",IF(OR(LEN(AU146)&lt;2,ISNUMBER(MATCH(AU146,L_Placeholder,0))),"INVALID – PIC missing",IF(OR(LEN(AV146)&lt;2,ISNUMBER(MATCH(AV146,L_Placeholder,0))),"INVALID – result / assessment missing",IF(OR(OR(LEN(AW146)&lt;3,ISNUMBER(MATCH(AW146,L_Placeholder,0))),SUMPRODUCT(--ISNUMBER(SEARCH(L_EvidencePhrase,AW146)))&gt;0),"INVALID – evidence missing, placeholder or not yet on file",IF(OR(LEN(AX146)&lt;2,ISNUMBER(MATCH(AX146,L_Placeholder,0))),"INVALID – verifier missing",IF(AX146=AU146,"INVALID – verifier must be someone other than the PIC",IF(AND(TRIM(U146)="Pass",SUMPRODUCT(--ISNUMBER(SEARCH(L_ResultBad,AV146)))&gt;0),"INVALID – result describes a problem: use Fail, then Pass after CA",IF(AND(AQ146=1,OR(LEN(AY146)&lt;3,ISNUMBER(MATCH(AY146,L_Placeholder,0)))),"INVALID – batch ID missing or placeholder",IF(AND(AR146=1,OR(NOT(ISNUMBER(X146)),NOT(ISNUMBER(Y146)))),"INVALID – expected/actual qty missing",IF(AND(AR146=1,OR(X146&lt;=0,Y146&lt;0)),"INVALID – expected qty must be above 0 and actual not negative",IF(BB146&lt;&gt;"",BB146,IF(AND(AS146=1,Documents!$J$9&lt;&gt;"ON FILE"),"INVALID – GLD not on file (Documents sheet)",IF(AND(AS146=2,Documents!$O$9&lt;&gt;"ON FILE"),"INVALID – menu checklist not on file (Documents sheet)",IF(AND(AS146=3,NOT(ISNUMBER(Flights!$AX$9))),"INVALID – enter carrying flight KUL departure (Flights AX)",IF(AND(AS146=3,OR(Flights!$AZ$9&gt;Flights!$AA$9,Flights!$AX$9&lt;Flights!$AA$9-3)),"INVALID – carrying flight (Flights AX) cannot arrive before this leg's STD, or is over 3 days early",IF(AG146&gt;AsOfUTC,"INVALID – completion time is in the future",IF(AND(ISNUMBER(S146),AG146&lt;S146),IF(H146="Physical uplift","INVALID – before uplift window (cannot confirm loading)","INVALID – before valid window"),IF(AG146&gt;Flights!$AA$9,"INVALID – completed after departure (cannot establish readiness)",IF(AND(H146="Preparation",AG146&gt;IF(ISNUMBER(Flights!$BA$9),MIN(Flights!$BA$9,Flights!$AA$9),Flights!$AA$9)),"INVALID – completed after loading / departure (cannot establish readiness)",IF(AND(H146="Physical uplift",AG146&gt;Q146),"INVALID – recorded after the loading flight departed",IF(AG146&gt;Q146,"COMPLETE – LATE","COMPLETE"))))))))))))))))))))),IF(TRIM(U146)="Fail","FAIL – DISCREPANCY",IF(AND(TRIM(U146)&lt;&gt;"",TRIM(U146)&lt;&gt;"Not started",TRIM(U146)&lt;&gt;"In progress"),"INVALID – unrecognised status (use the list)",IF(AsOfUTC&gt;Q146,"OVERDUE",IF(N146="Clarification required","OPEN – CLARIFICATION","OPEN"))))))),"INVALID – error value in an input cell")</f>
        <v>OPEN – CLARIFICATION</v>
      </c>
      <c r="AI146" s="61" t="n">
        <f aca="false">IF(OR(AH146="N/A – RULE",AH146="N/A – JUSTIFIED"),0,1)</f>
        <v>1</v>
      </c>
      <c r="AJ146" s="61" t="n">
        <f aca="false">IF(LEFT(AH146,8)="COMPLETE",1,0)</f>
        <v>0</v>
      </c>
      <c r="AK146" s="61" t="n">
        <f aca="false">IF(AND(AI146=1,AJ146=0,AsOfUTC&gt;Q146),1,0)</f>
        <v>0</v>
      </c>
      <c r="AL146" s="61" t="n">
        <f aca="false">IFERROR(IF(AND(AI146=1,OR(TRIM(U146)="Fail",AND(TRIM(AB146)&lt;&gt;"",TRIM(AB146)&lt;&gt;"Closed"),AND(ISNUMBER(AF146),AF146&lt;&gt;0,TRIM(U146)&lt;&gt;"Pass after CA"))),1,0),1)</f>
        <v>0</v>
      </c>
      <c r="AM146" s="61" t="n">
        <f aca="false">IF(LEFT(AH146,7)="INVALID",1,0)</f>
        <v>0</v>
      </c>
      <c r="AN146" s="61" t="n">
        <f aca="false">IF(AND(N146="Clarification required",AI146=1,AJ146=0),1,0)</f>
        <v>1</v>
      </c>
      <c r="AO146" s="61" t="str">
        <f aca="false">IF(AK146=1,SUM(AK$5:AK146),"")</f>
        <v/>
      </c>
      <c r="AP146" s="61" t="str">
        <f aca="false">IF(AL146=1,SUM(AL$5:AL146),"")</f>
        <v/>
      </c>
      <c r="AQ146" s="61" t="n">
        <v>0</v>
      </c>
      <c r="AR146" s="61" t="n">
        <v>0</v>
      </c>
      <c r="AS146" s="61" t="n">
        <v>3</v>
      </c>
      <c r="AT146" s="61" t="n">
        <v>0</v>
      </c>
      <c r="AU146" s="61" t="str">
        <f aca="false">SUBSTITUTE(SUBSTITUTE(SUBSTITUTE(SUBSTITUTE(SUBSTITUTE(SUBSTITUTE(SUBSTITUTE(SUBSTITUTE(SUBSTITUTE(SUBSTITUTE(SUBSTITUTE(SUBSTITUTE(SUBSTITUTE(LOWER(T146&amp;""),CHAR(160),"")," ",""),".",""),"-",""),"/",""),"?",""),"_",""),",",""),"[",""),"]",""),"(",""),")",""),"*","")</f>
        <v/>
      </c>
      <c r="AV146" s="61" t="str">
        <f aca="false">SUBSTITUTE(SUBSTITUTE(SUBSTITUTE(SUBSTITUTE(SUBSTITUTE(SUBSTITUTE(SUBSTITUTE(SUBSTITUTE(SUBSTITUTE(SUBSTITUTE(SUBSTITUTE(SUBSTITUTE(SUBSTITUTE(LOWER(V146&amp;""),CHAR(160),"")," ",""),".",""),"-",""),"/",""),"?",""),"_",""),",",""),"[",""),"]",""),"(",""),")",""),"*","")</f>
        <v/>
      </c>
      <c r="AW146" s="61" t="str">
        <f aca="false">SUBSTITUTE(SUBSTITUTE(SUBSTITUTE(SUBSTITUTE(SUBSTITUTE(SUBSTITUTE(SUBSTITUTE(SUBSTITUTE(SUBSTITUTE(SUBSTITUTE(SUBSTITUTE(SUBSTITUTE(SUBSTITUTE(LOWER(Z146&amp;""),CHAR(160),"")," ",""),".",""),"-",""),"/",""),"?",""),"_",""),",",""),"[",""),"]",""),"(",""),")",""),"*","")</f>
        <v/>
      </c>
      <c r="AX146" s="61" t="str">
        <f aca="false">SUBSTITUTE(SUBSTITUTE(SUBSTITUTE(SUBSTITUTE(SUBSTITUTE(SUBSTITUTE(SUBSTITUTE(SUBSTITUTE(SUBSTITUTE(SUBSTITUTE(SUBSTITUTE(SUBSTITUTE(SUBSTITUTE(LOWER(AE146&amp;""),CHAR(160),"")," ",""),".",""),"-",""),"/",""),"?",""),"_",""),",",""),"[",""),"]",""),"(",""),")",""),"*","")</f>
        <v/>
      </c>
      <c r="AY146" s="61" t="str">
        <f aca="false">SUBSTITUTE(SUBSTITUTE(SUBSTITUTE(SUBSTITUTE(SUBSTITUTE(SUBSTITUTE(SUBSTITUTE(SUBSTITUTE(SUBSTITUTE(SUBSTITUTE(SUBSTITUTE(SUBSTITUTE(SUBSTITUTE(LOWER(W146&amp;""),CHAR(160),"")," ",""),".",""),"-",""),"/",""),"?",""),"_",""),",",""),"[",""),"]",""),"(",""),")",""),"*","")</f>
        <v/>
      </c>
      <c r="AZ146" s="61" t="str">
        <f aca="false">SUBSTITUTE(SUBSTITUTE(SUBSTITUTE(SUBSTITUTE(SUBSTITUTE(SUBSTITUTE(SUBSTITUTE(SUBSTITUTE(SUBSTITUTE(SUBSTITUTE(SUBSTITUTE(SUBSTITUTE(SUBSTITUTE(LOWER(AC146&amp;""),CHAR(160),"")," ",""),".",""),"-",""),"/",""),"?",""),"_",""),",",""),"[",""),"]",""),"(",""),")",""),"*","")</f>
        <v/>
      </c>
      <c r="BA146" s="61" t="str">
        <f aca="false">SUBSTITUTE(SUBSTITUTE(SUBSTITUTE(SUBSTITUTE(SUBSTITUTE(SUBSTITUTE(SUBSTITUTE(SUBSTITUTE(SUBSTITUTE(SUBSTITUTE(SUBSTITUTE(SUBSTITUTE(SUBSTITUTE(LOWER(AA146&amp;""),CHAR(160),"")," ",""),".",""),"-",""),"/",""),"?",""),"_",""),",",""),"[",""),"]",""),"(",""),")",""),"*","")</f>
        <v/>
      </c>
      <c r="BB146" s="61" t="str">
        <f aca="false">IF(AND(TRIM(U146)="Pass",ISNUMBER(AF146)),IF(AF146&lt;&gt;0,"INVALID – qty variance: use Fail or Pass after CA",""),"")&amp;IF(AND(TRIM(U146)="Pass after CA",ISNUMBER(AF146)),IF(AF146&lt;&gt;0,"INVALID – after the corrective action the actual qty must equal expected (update Actual)",""),"")&amp;IF(AND(TRIM(U146)="Pass",TRIM(AB146)&lt;&gt;"",TRIM(AB146)&lt;&gt;"Closed"),"INVALID – corrective action not closed: use Fail, then Pass after CA","")&amp;IF(AND(TRIM(AA146)&lt;&gt;"",TRIM(AB146)=""),"INVALID – CA status missing for the recorded corrective action","")&amp;IF(AND(TRIM(U146)="Pass after CA",OR(OR(LEN(BA146)&lt;5,ISNUMBER(MATCH(BA146,L_Placeholder,0))),TRIM(AB146)&lt;&gt;"Closed")),"INVALID – corrective action not recorded/closed","")</f>
        <v/>
      </c>
    </row>
    <row r="147" customFormat="false" ht="39.75" hidden="false" customHeight="true" outlineLevel="0" collapsed="false">
      <c r="A147" s="57" t="s">
        <v>654</v>
      </c>
      <c r="B147" s="57" t="s">
        <v>225</v>
      </c>
      <c r="C147" s="57" t="str">
        <f aca="false">Flights!$F$9</f>
        <v>MH0089</v>
      </c>
      <c r="D147" s="58" t="n">
        <f aca="false">Flights!$D$9</f>
        <v>46310</v>
      </c>
      <c r="E147" s="57" t="str">
        <f aca="false">Flights!$G$9&amp;"-"&amp;Flights!$H$9</f>
        <v>NRT-KUL</v>
      </c>
      <c r="F147" s="57" t="str">
        <f aca="false">Flights!$K$9</f>
        <v>EY</v>
      </c>
      <c r="G147" s="57" t="s">
        <v>81</v>
      </c>
      <c r="H147" s="57" t="s">
        <v>356</v>
      </c>
      <c r="I147" s="57" t="s">
        <v>357</v>
      </c>
      <c r="J147" s="57" t="s">
        <v>394</v>
      </c>
      <c r="K147" s="67" t="s">
        <v>395</v>
      </c>
      <c r="L147" s="67" t="s">
        <v>396</v>
      </c>
      <c r="M147" s="67"/>
      <c r="N147" s="67" t="s">
        <v>361</v>
      </c>
      <c r="O147" s="67"/>
      <c r="P147" s="57" t="s">
        <v>217</v>
      </c>
      <c r="Q147" s="59" t="n">
        <f aca="false">ROUND((Flights!$AD$9)*1440,0)/1440</f>
        <v>46309.0451388889</v>
      </c>
      <c r="R147" s="59" t="n">
        <f aca="false">Q147+(IF(AND(INDEX(TZ_DSTS,MATCH(P147,TZ_STN,0))&lt;&gt;"",Q147&gt;=INDEX(TZ_DSTS,MATCH(P147,TZ_STN,0)),Q147&lt;INDEX(TZ_DSTE,MATCH(P147,TZ_STN,0))),INDEX(TZ_DST,MATCH(P147,TZ_STN,0)),INDEX(TZ_STD,MATCH(P147,TZ_STN,0))))/24</f>
        <v>46309.4201388889</v>
      </c>
      <c r="S147" s="59" t="n">
        <f aca="false">Q147-T24EarlyH/24</f>
        <v>46308.0451388889</v>
      </c>
      <c r="T147" s="60"/>
      <c r="U147" s="60"/>
      <c r="V147" s="60"/>
      <c r="W147" s="60"/>
      <c r="X147" s="60"/>
      <c r="Y147" s="60"/>
      <c r="Z147" s="60"/>
      <c r="AA147" s="60"/>
      <c r="AB147" s="60"/>
      <c r="AC147" s="60"/>
      <c r="AD147" s="66"/>
      <c r="AE147" s="60"/>
      <c r="AF147" s="61" t="str">
        <f aca="false">IF(AND(ISNUMBER(X147),ISNUMBER(Y147)),Y147-X147,"")</f>
        <v/>
      </c>
      <c r="AG147" s="62" t="str">
        <f aca="false">IF(ISNUMBER(AD147),AD147-(IF(AND(INDEX(TZ_DSTS,MATCH(P147,TZ_STN,0))&lt;&gt;"",(AD147-INDEX(TZ_STD,MATCH(P147,TZ_STN,0))/24)&gt;=INDEX(TZ_DSTS,MATCH(P147,TZ_STN,0)),(AD147-INDEX(TZ_STD,MATCH(P147,TZ_STN,0))/24)&lt;INDEX(TZ_DSTE,MATCH(P147,TZ_STN,0))),INDEX(TZ_DST,MATCH(P147,TZ_STN,0)),INDEX(TZ_STD,MATCH(P147,TZ_STN,0))))/24,"")</f>
        <v/>
      </c>
      <c r="AH147" s="65" t="str">
        <f aca="false">IFERROR(IF(N147="N/A – rule","N/A – RULE",IF(TRIM(U147)="N/A",IF(AT147=0,"INVALID – N/A not permitted for this check",IF(AND(TRIM(AB147)&lt;&gt;"",TRIM(AB147)&lt;&gt;"Closed"),"INVALID – corrective action still open",IF(AND(NOT(OR(LEN(AZ147)&lt;15,ISNUMBER(MATCH(AZ147,L_Placeholder,0)))),NOT(OR(LEN(AU147)&lt;2,ISNUMBER(MATCH(AU147,L_Placeholder,0)))),NOT(OR(LEN(AX147)&lt;2,ISNUMBER(MATCH(AX147,L_Placeholder,0)))),TRIM(AE147)&lt;&gt;TRIM(T147)),"N/A – JUSTIFIED","INVALID – N/A needs a real justification (15+ chars), PIC and a different verifier"))),IF(OR(TRIM(U147)="Pass",TRIM(U147)="Pass after CA"),IF(NOT(ISNUMBER(AD147)),"INVALID – completion time missing",IF(OR(LEN(AU147)&lt;2,ISNUMBER(MATCH(AU147,L_Placeholder,0))),"INVALID – PIC missing",IF(OR(LEN(AV147)&lt;2,ISNUMBER(MATCH(AV147,L_Placeholder,0))),"INVALID – result / assessment missing",IF(OR(OR(LEN(AW147)&lt;3,ISNUMBER(MATCH(AW147,L_Placeholder,0))),SUMPRODUCT(--ISNUMBER(SEARCH(L_EvidencePhrase,AW147)))&gt;0),"INVALID – evidence missing, placeholder or not yet on file",IF(OR(LEN(AX147)&lt;2,ISNUMBER(MATCH(AX147,L_Placeholder,0))),"INVALID – verifier missing",IF(AX147=AU147,"INVALID – verifier must be someone other than the PIC",IF(AND(TRIM(U147)="Pass",SUMPRODUCT(--ISNUMBER(SEARCH(L_ResultBad,AV147)))&gt;0),"INVALID – result describes a problem: use Fail, then Pass after CA",IF(AND(AQ147=1,OR(LEN(AY147)&lt;3,ISNUMBER(MATCH(AY147,L_Placeholder,0)))),"INVALID – batch ID missing or placeholder",IF(AND(AR147=1,OR(NOT(ISNUMBER(X147)),NOT(ISNUMBER(Y147)))),"INVALID – expected/actual qty missing",IF(AND(AR147=1,OR(X147&lt;=0,Y147&lt;0)),"INVALID – expected qty must be above 0 and actual not negative",IF(BB147&lt;&gt;"",BB147,IF(AND(AS147=1,Documents!$J$9&lt;&gt;"ON FILE"),"INVALID – GLD not on file (Documents sheet)",IF(AND(AS147=2,Documents!$O$9&lt;&gt;"ON FILE"),"INVALID – menu checklist not on file (Documents sheet)",IF(AND(AS147=3,NOT(ISNUMBER(Flights!$AX$9))),"INVALID – enter carrying flight KUL departure (Flights AX)",IF(AND(AS147=3,OR(Flights!$AZ$9&gt;Flights!$AA$9,Flights!$AX$9&lt;Flights!$AA$9-3)),"INVALID – carrying flight (Flights AX) cannot arrive before this leg's STD, or is over 3 days early",IF(AG147&gt;AsOfUTC,"INVALID – completion time is in the future",IF(AND(ISNUMBER(S147),AG147&lt;S147),IF(H147="Physical uplift","INVALID – before uplift window (cannot confirm loading)","INVALID – before valid window"),IF(AG147&gt;Flights!$AA$9,"INVALID – completed after departure (cannot establish readiness)",IF(AND(H147="Preparation",AG147&gt;IF(ISNUMBER(Flights!$BA$9),MIN(Flights!$BA$9,Flights!$AA$9),Flights!$AA$9)),"INVALID – completed after loading / departure (cannot establish readiness)",IF(AND(H147="Physical uplift",AG147&gt;Q147),"INVALID – recorded after the loading flight departed",IF(AG147&gt;Q147,"COMPLETE – LATE","COMPLETE"))))))))))))))))))))),IF(TRIM(U147)="Fail","FAIL – DISCREPANCY",IF(AND(TRIM(U147)&lt;&gt;"",TRIM(U147)&lt;&gt;"Not started",TRIM(U147)&lt;&gt;"In progress"),"INVALID – unrecognised status (use the list)",IF(AsOfUTC&gt;Q147,"OVERDUE",IF(N147="Clarification required","OPEN – CLARIFICATION","OPEN"))))))),"INVALID – error value in an input cell")</f>
        <v>OPEN</v>
      </c>
      <c r="AI147" s="61" t="n">
        <f aca="false">IF(OR(AH147="N/A – RULE",AH147="N/A – JUSTIFIED"),0,1)</f>
        <v>1</v>
      </c>
      <c r="AJ147" s="61" t="n">
        <f aca="false">IF(LEFT(AH147,8)="COMPLETE",1,0)</f>
        <v>0</v>
      </c>
      <c r="AK147" s="61" t="n">
        <f aca="false">IF(AND(AI147=1,AJ147=0,AsOfUTC&gt;Q147),1,0)</f>
        <v>0</v>
      </c>
      <c r="AL147" s="61" t="n">
        <f aca="false">IFERROR(IF(AND(AI147=1,OR(TRIM(U147)="Fail",AND(TRIM(AB147)&lt;&gt;"",TRIM(AB147)&lt;&gt;"Closed"),AND(ISNUMBER(AF147),AF147&lt;&gt;0,TRIM(U147)&lt;&gt;"Pass after CA"))),1,0),1)</f>
        <v>0</v>
      </c>
      <c r="AM147" s="61" t="n">
        <f aca="false">IF(LEFT(AH147,7)="INVALID",1,0)</f>
        <v>0</v>
      </c>
      <c r="AN147" s="61" t="n">
        <f aca="false">IF(AND(N147="Clarification required",AI147=1,AJ147=0),1,0)</f>
        <v>0</v>
      </c>
      <c r="AO147" s="61" t="str">
        <f aca="false">IF(AK147=1,SUM(AK$5:AK147),"")</f>
        <v/>
      </c>
      <c r="AP147" s="61" t="str">
        <f aca="false">IF(AL147=1,SUM(AL$5:AL147),"")</f>
        <v/>
      </c>
      <c r="AQ147" s="61" t="n">
        <v>1</v>
      </c>
      <c r="AR147" s="61" t="n">
        <v>0</v>
      </c>
      <c r="AS147" s="61" t="n">
        <v>0</v>
      </c>
      <c r="AT147" s="61" t="n">
        <v>0</v>
      </c>
      <c r="AU147" s="61" t="str">
        <f aca="false">SUBSTITUTE(SUBSTITUTE(SUBSTITUTE(SUBSTITUTE(SUBSTITUTE(SUBSTITUTE(SUBSTITUTE(SUBSTITUTE(SUBSTITUTE(SUBSTITUTE(SUBSTITUTE(SUBSTITUTE(SUBSTITUTE(LOWER(T147&amp;""),CHAR(160),"")," ",""),".",""),"-",""),"/",""),"?",""),"_",""),",",""),"[",""),"]",""),"(",""),")",""),"*","")</f>
        <v/>
      </c>
      <c r="AV147" s="61" t="str">
        <f aca="false">SUBSTITUTE(SUBSTITUTE(SUBSTITUTE(SUBSTITUTE(SUBSTITUTE(SUBSTITUTE(SUBSTITUTE(SUBSTITUTE(SUBSTITUTE(SUBSTITUTE(SUBSTITUTE(SUBSTITUTE(SUBSTITUTE(LOWER(V147&amp;""),CHAR(160),"")," ",""),".",""),"-",""),"/",""),"?",""),"_",""),",",""),"[",""),"]",""),"(",""),")",""),"*","")</f>
        <v/>
      </c>
      <c r="AW147" s="61" t="str">
        <f aca="false">SUBSTITUTE(SUBSTITUTE(SUBSTITUTE(SUBSTITUTE(SUBSTITUTE(SUBSTITUTE(SUBSTITUTE(SUBSTITUTE(SUBSTITUTE(SUBSTITUTE(SUBSTITUTE(SUBSTITUTE(SUBSTITUTE(LOWER(Z147&amp;""),CHAR(160),"")," ",""),".",""),"-",""),"/",""),"?",""),"_",""),",",""),"[",""),"]",""),"(",""),")",""),"*","")</f>
        <v/>
      </c>
      <c r="AX147" s="61" t="str">
        <f aca="false">SUBSTITUTE(SUBSTITUTE(SUBSTITUTE(SUBSTITUTE(SUBSTITUTE(SUBSTITUTE(SUBSTITUTE(SUBSTITUTE(SUBSTITUTE(SUBSTITUTE(SUBSTITUTE(SUBSTITUTE(SUBSTITUTE(LOWER(AE147&amp;""),CHAR(160),"")," ",""),".",""),"-",""),"/",""),"?",""),"_",""),",",""),"[",""),"]",""),"(",""),")",""),"*","")</f>
        <v/>
      </c>
      <c r="AY147" s="61" t="str">
        <f aca="false">SUBSTITUTE(SUBSTITUTE(SUBSTITUTE(SUBSTITUTE(SUBSTITUTE(SUBSTITUTE(SUBSTITUTE(SUBSTITUTE(SUBSTITUTE(SUBSTITUTE(SUBSTITUTE(SUBSTITUTE(SUBSTITUTE(LOWER(W147&amp;""),CHAR(160),"")," ",""),".",""),"-",""),"/",""),"?",""),"_",""),",",""),"[",""),"]",""),"(",""),")",""),"*","")</f>
        <v/>
      </c>
      <c r="AZ147" s="61" t="str">
        <f aca="false">SUBSTITUTE(SUBSTITUTE(SUBSTITUTE(SUBSTITUTE(SUBSTITUTE(SUBSTITUTE(SUBSTITUTE(SUBSTITUTE(SUBSTITUTE(SUBSTITUTE(SUBSTITUTE(SUBSTITUTE(SUBSTITUTE(LOWER(AC147&amp;""),CHAR(160),"")," ",""),".",""),"-",""),"/",""),"?",""),"_",""),",",""),"[",""),"]",""),"(",""),")",""),"*","")</f>
        <v/>
      </c>
      <c r="BA147" s="61" t="str">
        <f aca="false">SUBSTITUTE(SUBSTITUTE(SUBSTITUTE(SUBSTITUTE(SUBSTITUTE(SUBSTITUTE(SUBSTITUTE(SUBSTITUTE(SUBSTITUTE(SUBSTITUTE(SUBSTITUTE(SUBSTITUTE(SUBSTITUTE(LOWER(AA147&amp;""),CHAR(160),"")," ",""),".",""),"-",""),"/",""),"?",""),"_",""),",",""),"[",""),"]",""),"(",""),")",""),"*","")</f>
        <v/>
      </c>
      <c r="BB147" s="61" t="str">
        <f aca="false">IF(AND(TRIM(U147)="Pass",ISNUMBER(AF147)),IF(AF147&lt;&gt;0,"INVALID – qty variance: use Fail or Pass after CA",""),"")&amp;IF(AND(TRIM(U147)="Pass after CA",ISNUMBER(AF147)),IF(AF147&lt;&gt;0,"INVALID – after the corrective action the actual qty must equal expected (update Actual)",""),"")&amp;IF(AND(TRIM(U147)="Pass",TRIM(AB147)&lt;&gt;"",TRIM(AB147)&lt;&gt;"Closed"),"INVALID – corrective action not closed: use Fail, then Pass after CA","")&amp;IF(AND(TRIM(AA147)&lt;&gt;"",TRIM(AB147)=""),"INVALID – CA status missing for the recorded corrective action","")&amp;IF(AND(TRIM(U147)="Pass after CA",OR(OR(LEN(BA147)&lt;5,ISNUMBER(MATCH(BA147,L_Placeholder,0))),TRIM(AB147)&lt;&gt;"Closed")),"INVALID – corrective action not recorded/closed","")</f>
        <v/>
      </c>
    </row>
    <row r="148" customFormat="false" ht="39.75" hidden="false" customHeight="true" outlineLevel="0" collapsed="false">
      <c r="A148" s="57" t="s">
        <v>655</v>
      </c>
      <c r="B148" s="57" t="s">
        <v>225</v>
      </c>
      <c r="C148" s="57" t="str">
        <f aca="false">Flights!$F$9</f>
        <v>MH0089</v>
      </c>
      <c r="D148" s="58" t="n">
        <f aca="false">Flights!$D$9</f>
        <v>46310</v>
      </c>
      <c r="E148" s="57" t="str">
        <f aca="false">Flights!$G$9&amp;"-"&amp;Flights!$H$9</f>
        <v>NRT-KUL</v>
      </c>
      <c r="F148" s="57" t="str">
        <f aca="false">Flights!$K$9</f>
        <v>EY</v>
      </c>
      <c r="G148" s="57" t="s">
        <v>398</v>
      </c>
      <c r="H148" s="57" t="s">
        <v>356</v>
      </c>
      <c r="I148" s="57" t="s">
        <v>357</v>
      </c>
      <c r="J148" s="57" t="s">
        <v>399</v>
      </c>
      <c r="K148" s="67"/>
      <c r="L148" s="67" t="s">
        <v>400</v>
      </c>
      <c r="M148" s="67"/>
      <c r="N148" s="67" t="s">
        <v>361</v>
      </c>
      <c r="O148" s="67" t="s">
        <v>401</v>
      </c>
      <c r="P148" s="57" t="s">
        <v>217</v>
      </c>
      <c r="Q148" s="59" t="n">
        <f aca="false">ROUND((Flights!$AE$9)*1440,0)/1440</f>
        <v>46309.5451388889</v>
      </c>
      <c r="R148" s="59" t="n">
        <f aca="false">Q148+(IF(AND(INDEX(TZ_DSTS,MATCH(P148,TZ_STN,0))&lt;&gt;"",Q148&gt;=INDEX(TZ_DSTS,MATCH(P148,TZ_STN,0)),Q148&lt;INDEX(TZ_DSTE,MATCH(P148,TZ_STN,0))),INDEX(TZ_DST,MATCH(P148,TZ_STN,0)),INDEX(TZ_STD,MATCH(P148,TZ_STN,0))))/24</f>
        <v>46309.9201388889</v>
      </c>
      <c r="S148" s="59" t="n">
        <f aca="false">Q148-T12EarlyH/24</f>
        <v>46309.0451388889</v>
      </c>
      <c r="T148" s="60"/>
      <c r="U148" s="60"/>
      <c r="V148" s="60"/>
      <c r="W148" s="61"/>
      <c r="X148" s="60"/>
      <c r="Y148" s="60"/>
      <c r="Z148" s="60"/>
      <c r="AA148" s="60"/>
      <c r="AB148" s="60"/>
      <c r="AC148" s="60"/>
      <c r="AD148" s="66"/>
      <c r="AE148" s="60"/>
      <c r="AF148" s="61" t="str">
        <f aca="false">IF(AND(ISNUMBER(X148),ISNUMBER(Y148)),Y148-X148,"")</f>
        <v/>
      </c>
      <c r="AG148" s="62" t="str">
        <f aca="false">IF(ISNUMBER(AD148),AD148-(IF(AND(INDEX(TZ_DSTS,MATCH(P148,TZ_STN,0))&lt;&gt;"",(AD148-INDEX(TZ_STD,MATCH(P148,TZ_STN,0))/24)&gt;=INDEX(TZ_DSTS,MATCH(P148,TZ_STN,0)),(AD148-INDEX(TZ_STD,MATCH(P148,TZ_STN,0))/24)&lt;INDEX(TZ_DSTE,MATCH(P148,TZ_STN,0))),INDEX(TZ_DST,MATCH(P148,TZ_STN,0)),INDEX(TZ_STD,MATCH(P148,TZ_STN,0))))/24,"")</f>
        <v/>
      </c>
      <c r="AH148" s="65" t="str">
        <f aca="false">IFERROR(IF(N148="N/A – rule","N/A – RULE",IF(TRIM(U148)="N/A",IF(AT148=0,"INVALID – N/A not permitted for this check",IF(AND(TRIM(AB148)&lt;&gt;"",TRIM(AB148)&lt;&gt;"Closed"),"INVALID – corrective action still open",IF(AND(NOT(OR(LEN(AZ148)&lt;15,ISNUMBER(MATCH(AZ148,L_Placeholder,0)))),NOT(OR(LEN(AU148)&lt;2,ISNUMBER(MATCH(AU148,L_Placeholder,0)))),NOT(OR(LEN(AX148)&lt;2,ISNUMBER(MATCH(AX148,L_Placeholder,0)))),TRIM(AE148)&lt;&gt;TRIM(T148)),"N/A – JUSTIFIED","INVALID – N/A needs a real justification (15+ chars), PIC and a different verifier"))),IF(OR(TRIM(U148)="Pass",TRIM(U148)="Pass after CA"),IF(NOT(ISNUMBER(AD148)),"INVALID – completion time missing",IF(OR(LEN(AU148)&lt;2,ISNUMBER(MATCH(AU148,L_Placeholder,0))),"INVALID – PIC missing",IF(OR(LEN(AV148)&lt;2,ISNUMBER(MATCH(AV148,L_Placeholder,0))),"INVALID – result / assessment missing",IF(OR(OR(LEN(AW148)&lt;3,ISNUMBER(MATCH(AW148,L_Placeholder,0))),SUMPRODUCT(--ISNUMBER(SEARCH(L_EvidencePhrase,AW148)))&gt;0),"INVALID – evidence missing, placeholder or not yet on file",IF(OR(LEN(AX148)&lt;2,ISNUMBER(MATCH(AX148,L_Placeholder,0))),"INVALID – verifier missing",IF(AX148=AU148,"INVALID – verifier must be someone other than the PIC",IF(AND(TRIM(U148)="Pass",SUMPRODUCT(--ISNUMBER(SEARCH(L_ResultBad,AV148)))&gt;0),"INVALID – result describes a problem: use Fail, then Pass after CA",IF(AND(AQ148=1,OR(LEN(AY148)&lt;3,ISNUMBER(MATCH(AY148,L_Placeholder,0)))),"INVALID – batch ID missing or placeholder",IF(AND(AR148=1,OR(NOT(ISNUMBER(X148)),NOT(ISNUMBER(Y148)))),"INVALID – expected/actual qty missing",IF(AND(AR148=1,OR(X148&lt;=0,Y148&lt;0)),"INVALID – expected qty must be above 0 and actual not negative",IF(BB148&lt;&gt;"",BB148,IF(AND(AS148=1,Documents!$J$9&lt;&gt;"ON FILE"),"INVALID – GLD not on file (Documents sheet)",IF(AND(AS148=2,Documents!$O$9&lt;&gt;"ON FILE"),"INVALID – menu checklist not on file (Documents sheet)",IF(AND(AS148=3,NOT(ISNUMBER(Flights!$AX$9))),"INVALID – enter carrying flight KUL departure (Flights AX)",IF(AND(AS148=3,OR(Flights!$AZ$9&gt;Flights!$AA$9,Flights!$AX$9&lt;Flights!$AA$9-3)),"INVALID – carrying flight (Flights AX) cannot arrive before this leg's STD, or is over 3 days early",IF(AG148&gt;AsOfUTC,"INVALID – completion time is in the future",IF(AND(ISNUMBER(S148),AG148&lt;S148),IF(H148="Physical uplift","INVALID – before uplift window (cannot confirm loading)","INVALID – before valid window"),IF(AG148&gt;Flights!$AA$9,"INVALID – completed after departure (cannot establish readiness)",IF(AND(H148="Preparation",AG148&gt;IF(ISNUMBER(Flights!$BA$9),MIN(Flights!$BA$9,Flights!$AA$9),Flights!$AA$9)),"INVALID – completed after loading / departure (cannot establish readiness)",IF(AND(H148="Physical uplift",AG148&gt;Q148),"INVALID – recorded after the loading flight departed",IF(AG148&gt;Q148,"COMPLETE – LATE","COMPLETE"))))))))))))))))))))),IF(TRIM(U148)="Fail","FAIL – DISCREPANCY",IF(AND(TRIM(U148)&lt;&gt;"",TRIM(U148)&lt;&gt;"Not started",TRIM(U148)&lt;&gt;"In progress"),"INVALID – unrecognised status (use the list)",IF(AsOfUTC&gt;Q148,"OVERDUE",IF(N148="Clarification required","OPEN – CLARIFICATION","OPEN"))))))),"INVALID – error value in an input cell")</f>
        <v>OPEN</v>
      </c>
      <c r="AI148" s="61" t="n">
        <f aca="false">IF(OR(AH148="N/A – RULE",AH148="N/A – JUSTIFIED"),0,1)</f>
        <v>1</v>
      </c>
      <c r="AJ148" s="61" t="n">
        <f aca="false">IF(LEFT(AH148,8)="COMPLETE",1,0)</f>
        <v>0</v>
      </c>
      <c r="AK148" s="61" t="n">
        <f aca="false">IF(AND(AI148=1,AJ148=0,AsOfUTC&gt;Q148),1,0)</f>
        <v>0</v>
      </c>
      <c r="AL148" s="61" t="n">
        <f aca="false">IFERROR(IF(AND(AI148=1,OR(TRIM(U148)="Fail",AND(TRIM(AB148)&lt;&gt;"",TRIM(AB148)&lt;&gt;"Closed"),AND(ISNUMBER(AF148),AF148&lt;&gt;0,TRIM(U148)&lt;&gt;"Pass after CA"))),1,0),1)</f>
        <v>0</v>
      </c>
      <c r="AM148" s="61" t="n">
        <f aca="false">IF(LEFT(AH148,7)="INVALID",1,0)</f>
        <v>0</v>
      </c>
      <c r="AN148" s="61" t="n">
        <f aca="false">IF(AND(N148="Clarification required",AI148=1,AJ148=0),1,0)</f>
        <v>0</v>
      </c>
      <c r="AO148" s="61" t="str">
        <f aca="false">IF(AK148=1,SUM(AK$5:AK148),"")</f>
        <v/>
      </c>
      <c r="AP148" s="61" t="str">
        <f aca="false">IF(AL148=1,SUM(AL$5:AL148),"")</f>
        <v/>
      </c>
      <c r="AQ148" s="61" t="n">
        <v>0</v>
      </c>
      <c r="AR148" s="61" t="n">
        <v>0</v>
      </c>
      <c r="AS148" s="61" t="n">
        <v>0</v>
      </c>
      <c r="AT148" s="61" t="n">
        <v>0</v>
      </c>
      <c r="AU148" s="61" t="str">
        <f aca="false">SUBSTITUTE(SUBSTITUTE(SUBSTITUTE(SUBSTITUTE(SUBSTITUTE(SUBSTITUTE(SUBSTITUTE(SUBSTITUTE(SUBSTITUTE(SUBSTITUTE(SUBSTITUTE(SUBSTITUTE(SUBSTITUTE(LOWER(T148&amp;""),CHAR(160),"")," ",""),".",""),"-",""),"/",""),"?",""),"_",""),",",""),"[",""),"]",""),"(",""),")",""),"*","")</f>
        <v/>
      </c>
      <c r="AV148" s="61" t="str">
        <f aca="false">SUBSTITUTE(SUBSTITUTE(SUBSTITUTE(SUBSTITUTE(SUBSTITUTE(SUBSTITUTE(SUBSTITUTE(SUBSTITUTE(SUBSTITUTE(SUBSTITUTE(SUBSTITUTE(SUBSTITUTE(SUBSTITUTE(LOWER(V148&amp;""),CHAR(160),"")," ",""),".",""),"-",""),"/",""),"?",""),"_",""),",",""),"[",""),"]",""),"(",""),")",""),"*","")</f>
        <v/>
      </c>
      <c r="AW148" s="61" t="str">
        <f aca="false">SUBSTITUTE(SUBSTITUTE(SUBSTITUTE(SUBSTITUTE(SUBSTITUTE(SUBSTITUTE(SUBSTITUTE(SUBSTITUTE(SUBSTITUTE(SUBSTITUTE(SUBSTITUTE(SUBSTITUTE(SUBSTITUTE(LOWER(Z148&amp;""),CHAR(160),"")," ",""),".",""),"-",""),"/",""),"?",""),"_",""),",",""),"[",""),"]",""),"(",""),")",""),"*","")</f>
        <v/>
      </c>
      <c r="AX148" s="61" t="str">
        <f aca="false">SUBSTITUTE(SUBSTITUTE(SUBSTITUTE(SUBSTITUTE(SUBSTITUTE(SUBSTITUTE(SUBSTITUTE(SUBSTITUTE(SUBSTITUTE(SUBSTITUTE(SUBSTITUTE(SUBSTITUTE(SUBSTITUTE(LOWER(AE148&amp;""),CHAR(160),"")," ",""),".",""),"-",""),"/",""),"?",""),"_",""),",",""),"[",""),"]",""),"(",""),")",""),"*","")</f>
        <v/>
      </c>
      <c r="AY148" s="61" t="str">
        <f aca="false">SUBSTITUTE(SUBSTITUTE(SUBSTITUTE(SUBSTITUTE(SUBSTITUTE(SUBSTITUTE(SUBSTITUTE(SUBSTITUTE(SUBSTITUTE(SUBSTITUTE(SUBSTITUTE(SUBSTITUTE(SUBSTITUTE(LOWER(W148&amp;""),CHAR(160),"")," ",""),".",""),"-",""),"/",""),"?",""),"_",""),",",""),"[",""),"]",""),"(",""),")",""),"*","")</f>
        <v/>
      </c>
      <c r="AZ148" s="61" t="str">
        <f aca="false">SUBSTITUTE(SUBSTITUTE(SUBSTITUTE(SUBSTITUTE(SUBSTITUTE(SUBSTITUTE(SUBSTITUTE(SUBSTITUTE(SUBSTITUTE(SUBSTITUTE(SUBSTITUTE(SUBSTITUTE(SUBSTITUTE(LOWER(AC148&amp;""),CHAR(160),"")," ",""),".",""),"-",""),"/",""),"?",""),"_",""),",",""),"[",""),"]",""),"(",""),")",""),"*","")</f>
        <v/>
      </c>
      <c r="BA148" s="61" t="str">
        <f aca="false">SUBSTITUTE(SUBSTITUTE(SUBSTITUTE(SUBSTITUTE(SUBSTITUTE(SUBSTITUTE(SUBSTITUTE(SUBSTITUTE(SUBSTITUTE(SUBSTITUTE(SUBSTITUTE(SUBSTITUTE(SUBSTITUTE(LOWER(AA148&amp;""),CHAR(160),"")," ",""),".",""),"-",""),"/",""),"?",""),"_",""),",",""),"[",""),"]",""),"(",""),")",""),"*","")</f>
        <v/>
      </c>
      <c r="BB148" s="61" t="str">
        <f aca="false">IF(AND(TRIM(U148)="Pass",ISNUMBER(AF148)),IF(AF148&lt;&gt;0,"INVALID – qty variance: use Fail or Pass after CA",""),"")&amp;IF(AND(TRIM(U148)="Pass after CA",ISNUMBER(AF148)),IF(AF148&lt;&gt;0,"INVALID – after the corrective action the actual qty must equal expected (update Actual)",""),"")&amp;IF(AND(TRIM(U148)="Pass",TRIM(AB148)&lt;&gt;"",TRIM(AB148)&lt;&gt;"Closed"),"INVALID – corrective action not closed: use Fail, then Pass after CA","")&amp;IF(AND(TRIM(AA148)&lt;&gt;"",TRIM(AB148)=""),"INVALID – CA status missing for the recorded corrective action","")&amp;IF(AND(TRIM(U148)="Pass after CA",OR(OR(LEN(BA148)&lt;5,ISNUMBER(MATCH(BA148,L_Placeholder,0))),TRIM(AB148)&lt;&gt;"Closed")),"INVALID – corrective action not recorded/closed","")</f>
        <v/>
      </c>
    </row>
    <row r="149" customFormat="false" ht="39.75" hidden="false" customHeight="true" outlineLevel="0" collapsed="false">
      <c r="A149" s="57" t="s">
        <v>656</v>
      </c>
      <c r="B149" s="57" t="s">
        <v>225</v>
      </c>
      <c r="C149" s="57" t="str">
        <f aca="false">Flights!$F$9</f>
        <v>MH0089</v>
      </c>
      <c r="D149" s="58" t="n">
        <f aca="false">Flights!$D$9</f>
        <v>46310</v>
      </c>
      <c r="E149" s="57" t="str">
        <f aca="false">Flights!$G$9&amp;"-"&amp;Flights!$H$9</f>
        <v>NRT-KUL</v>
      </c>
      <c r="F149" s="57" t="str">
        <f aca="false">Flights!$K$9</f>
        <v>EY</v>
      </c>
      <c r="G149" s="57" t="s">
        <v>398</v>
      </c>
      <c r="H149" s="57" t="s">
        <v>356</v>
      </c>
      <c r="I149" s="57" t="s">
        <v>357</v>
      </c>
      <c r="J149" s="57" t="s">
        <v>403</v>
      </c>
      <c r="K149" s="67" t="s">
        <v>404</v>
      </c>
      <c r="L149" s="67" t="s">
        <v>400</v>
      </c>
      <c r="M149" s="67"/>
      <c r="N149" s="67" t="s">
        <v>361</v>
      </c>
      <c r="O149" s="67" t="s">
        <v>401</v>
      </c>
      <c r="P149" s="57" t="s">
        <v>217</v>
      </c>
      <c r="Q149" s="59" t="n">
        <f aca="false">ROUND((Flights!$AE$9)*1440,0)/1440</f>
        <v>46309.5451388889</v>
      </c>
      <c r="R149" s="59" t="n">
        <f aca="false">Q149+(IF(AND(INDEX(TZ_DSTS,MATCH(P149,TZ_STN,0))&lt;&gt;"",Q149&gt;=INDEX(TZ_DSTS,MATCH(P149,TZ_STN,0)),Q149&lt;INDEX(TZ_DSTE,MATCH(P149,TZ_STN,0))),INDEX(TZ_DST,MATCH(P149,TZ_STN,0)),INDEX(TZ_STD,MATCH(P149,TZ_STN,0))))/24</f>
        <v>46309.9201388889</v>
      </c>
      <c r="S149" s="59" t="n">
        <f aca="false">Q149-T12EarlyH/24</f>
        <v>46309.0451388889</v>
      </c>
      <c r="T149" s="60"/>
      <c r="U149" s="60"/>
      <c r="V149" s="60"/>
      <c r="W149" s="61"/>
      <c r="X149" s="60"/>
      <c r="Y149" s="60"/>
      <c r="Z149" s="60"/>
      <c r="AA149" s="60"/>
      <c r="AB149" s="60"/>
      <c r="AC149" s="60"/>
      <c r="AD149" s="66"/>
      <c r="AE149" s="60"/>
      <c r="AF149" s="61" t="str">
        <f aca="false">IF(AND(ISNUMBER(X149),ISNUMBER(Y149)),Y149-X149,"")</f>
        <v/>
      </c>
      <c r="AG149" s="62" t="str">
        <f aca="false">IF(ISNUMBER(AD149),AD149-(IF(AND(INDEX(TZ_DSTS,MATCH(P149,TZ_STN,0))&lt;&gt;"",(AD149-INDEX(TZ_STD,MATCH(P149,TZ_STN,0))/24)&gt;=INDEX(TZ_DSTS,MATCH(P149,TZ_STN,0)),(AD149-INDEX(TZ_STD,MATCH(P149,TZ_STN,0))/24)&lt;INDEX(TZ_DSTE,MATCH(P149,TZ_STN,0))),INDEX(TZ_DST,MATCH(P149,TZ_STN,0)),INDEX(TZ_STD,MATCH(P149,TZ_STN,0))))/24,"")</f>
        <v/>
      </c>
      <c r="AH149" s="65" t="str">
        <f aca="false">IFERROR(IF(N149="N/A – rule","N/A – RULE",IF(TRIM(U149)="N/A",IF(AT149=0,"INVALID – N/A not permitted for this check",IF(AND(TRIM(AB149)&lt;&gt;"",TRIM(AB149)&lt;&gt;"Closed"),"INVALID – corrective action still open",IF(AND(NOT(OR(LEN(AZ149)&lt;15,ISNUMBER(MATCH(AZ149,L_Placeholder,0)))),NOT(OR(LEN(AU149)&lt;2,ISNUMBER(MATCH(AU149,L_Placeholder,0)))),NOT(OR(LEN(AX149)&lt;2,ISNUMBER(MATCH(AX149,L_Placeholder,0)))),TRIM(AE149)&lt;&gt;TRIM(T149)),"N/A – JUSTIFIED","INVALID – N/A needs a real justification (15+ chars), PIC and a different verifier"))),IF(OR(TRIM(U149)="Pass",TRIM(U149)="Pass after CA"),IF(NOT(ISNUMBER(AD149)),"INVALID – completion time missing",IF(OR(LEN(AU149)&lt;2,ISNUMBER(MATCH(AU149,L_Placeholder,0))),"INVALID – PIC missing",IF(OR(LEN(AV149)&lt;2,ISNUMBER(MATCH(AV149,L_Placeholder,0))),"INVALID – result / assessment missing",IF(OR(OR(LEN(AW149)&lt;3,ISNUMBER(MATCH(AW149,L_Placeholder,0))),SUMPRODUCT(--ISNUMBER(SEARCH(L_EvidencePhrase,AW149)))&gt;0),"INVALID – evidence missing, placeholder or not yet on file",IF(OR(LEN(AX149)&lt;2,ISNUMBER(MATCH(AX149,L_Placeholder,0))),"INVALID – verifier missing",IF(AX149=AU149,"INVALID – verifier must be someone other than the PIC",IF(AND(TRIM(U149)="Pass",SUMPRODUCT(--ISNUMBER(SEARCH(L_ResultBad,AV149)))&gt;0),"INVALID – result describes a problem: use Fail, then Pass after CA",IF(AND(AQ149=1,OR(LEN(AY149)&lt;3,ISNUMBER(MATCH(AY149,L_Placeholder,0)))),"INVALID – batch ID missing or placeholder",IF(AND(AR149=1,OR(NOT(ISNUMBER(X149)),NOT(ISNUMBER(Y149)))),"INVALID – expected/actual qty missing",IF(AND(AR149=1,OR(X149&lt;=0,Y149&lt;0)),"INVALID – expected qty must be above 0 and actual not negative",IF(BB149&lt;&gt;"",BB149,IF(AND(AS149=1,Documents!$J$9&lt;&gt;"ON FILE"),"INVALID – GLD not on file (Documents sheet)",IF(AND(AS149=2,Documents!$O$9&lt;&gt;"ON FILE"),"INVALID – menu checklist not on file (Documents sheet)",IF(AND(AS149=3,NOT(ISNUMBER(Flights!$AX$9))),"INVALID – enter carrying flight KUL departure (Flights AX)",IF(AND(AS149=3,OR(Flights!$AZ$9&gt;Flights!$AA$9,Flights!$AX$9&lt;Flights!$AA$9-3)),"INVALID – carrying flight (Flights AX) cannot arrive before this leg's STD, or is over 3 days early",IF(AG149&gt;AsOfUTC,"INVALID – completion time is in the future",IF(AND(ISNUMBER(S149),AG149&lt;S149),IF(H149="Physical uplift","INVALID – before uplift window (cannot confirm loading)","INVALID – before valid window"),IF(AG149&gt;Flights!$AA$9,"INVALID – completed after departure (cannot establish readiness)",IF(AND(H149="Preparation",AG149&gt;IF(ISNUMBER(Flights!$BA$9),MIN(Flights!$BA$9,Flights!$AA$9),Flights!$AA$9)),"INVALID – completed after loading / departure (cannot establish readiness)",IF(AND(H149="Physical uplift",AG149&gt;Q149),"INVALID – recorded after the loading flight departed",IF(AG149&gt;Q149,"COMPLETE – LATE","COMPLETE"))))))))))))))))))))),IF(TRIM(U149)="Fail","FAIL – DISCREPANCY",IF(AND(TRIM(U149)&lt;&gt;"",TRIM(U149)&lt;&gt;"Not started",TRIM(U149)&lt;&gt;"In progress"),"INVALID – unrecognised status (use the list)",IF(AsOfUTC&gt;Q149,"OVERDUE",IF(N149="Clarification required","OPEN – CLARIFICATION","OPEN"))))))),"INVALID – error value in an input cell")</f>
        <v>OPEN</v>
      </c>
      <c r="AI149" s="61" t="n">
        <f aca="false">IF(OR(AH149="N/A – RULE",AH149="N/A – JUSTIFIED"),0,1)</f>
        <v>1</v>
      </c>
      <c r="AJ149" s="61" t="n">
        <f aca="false">IF(LEFT(AH149,8)="COMPLETE",1,0)</f>
        <v>0</v>
      </c>
      <c r="AK149" s="61" t="n">
        <f aca="false">IF(AND(AI149=1,AJ149=0,AsOfUTC&gt;Q149),1,0)</f>
        <v>0</v>
      </c>
      <c r="AL149" s="61" t="n">
        <f aca="false">IFERROR(IF(AND(AI149=1,OR(TRIM(U149)="Fail",AND(TRIM(AB149)&lt;&gt;"",TRIM(AB149)&lt;&gt;"Closed"),AND(ISNUMBER(AF149),AF149&lt;&gt;0,TRIM(U149)&lt;&gt;"Pass after CA"))),1,0),1)</f>
        <v>0</v>
      </c>
      <c r="AM149" s="61" t="n">
        <f aca="false">IF(LEFT(AH149,7)="INVALID",1,0)</f>
        <v>0</v>
      </c>
      <c r="AN149" s="61" t="n">
        <f aca="false">IF(AND(N149="Clarification required",AI149=1,AJ149=0),1,0)</f>
        <v>0</v>
      </c>
      <c r="AO149" s="61" t="str">
        <f aca="false">IF(AK149=1,SUM(AK$5:AK149),"")</f>
        <v/>
      </c>
      <c r="AP149" s="61" t="str">
        <f aca="false">IF(AL149=1,SUM(AL$5:AL149),"")</f>
        <v/>
      </c>
      <c r="AQ149" s="61" t="n">
        <v>0</v>
      </c>
      <c r="AR149" s="61" t="n">
        <v>1</v>
      </c>
      <c r="AS149" s="61" t="n">
        <v>0</v>
      </c>
      <c r="AT149" s="61" t="n">
        <v>0</v>
      </c>
      <c r="AU149" s="61" t="str">
        <f aca="false">SUBSTITUTE(SUBSTITUTE(SUBSTITUTE(SUBSTITUTE(SUBSTITUTE(SUBSTITUTE(SUBSTITUTE(SUBSTITUTE(SUBSTITUTE(SUBSTITUTE(SUBSTITUTE(SUBSTITUTE(SUBSTITUTE(LOWER(T149&amp;""),CHAR(160),"")," ",""),".",""),"-",""),"/",""),"?",""),"_",""),",",""),"[",""),"]",""),"(",""),")",""),"*","")</f>
        <v/>
      </c>
      <c r="AV149" s="61" t="str">
        <f aca="false">SUBSTITUTE(SUBSTITUTE(SUBSTITUTE(SUBSTITUTE(SUBSTITUTE(SUBSTITUTE(SUBSTITUTE(SUBSTITUTE(SUBSTITUTE(SUBSTITUTE(SUBSTITUTE(SUBSTITUTE(SUBSTITUTE(LOWER(V149&amp;""),CHAR(160),"")," ",""),".",""),"-",""),"/",""),"?",""),"_",""),",",""),"[",""),"]",""),"(",""),")",""),"*","")</f>
        <v/>
      </c>
      <c r="AW149" s="61" t="str">
        <f aca="false">SUBSTITUTE(SUBSTITUTE(SUBSTITUTE(SUBSTITUTE(SUBSTITUTE(SUBSTITUTE(SUBSTITUTE(SUBSTITUTE(SUBSTITUTE(SUBSTITUTE(SUBSTITUTE(SUBSTITUTE(SUBSTITUTE(LOWER(Z149&amp;""),CHAR(160),"")," ",""),".",""),"-",""),"/",""),"?",""),"_",""),",",""),"[",""),"]",""),"(",""),")",""),"*","")</f>
        <v/>
      </c>
      <c r="AX149" s="61" t="str">
        <f aca="false">SUBSTITUTE(SUBSTITUTE(SUBSTITUTE(SUBSTITUTE(SUBSTITUTE(SUBSTITUTE(SUBSTITUTE(SUBSTITUTE(SUBSTITUTE(SUBSTITUTE(SUBSTITUTE(SUBSTITUTE(SUBSTITUTE(LOWER(AE149&amp;""),CHAR(160),"")," ",""),".",""),"-",""),"/",""),"?",""),"_",""),",",""),"[",""),"]",""),"(",""),")",""),"*","")</f>
        <v/>
      </c>
      <c r="AY149" s="61" t="str">
        <f aca="false">SUBSTITUTE(SUBSTITUTE(SUBSTITUTE(SUBSTITUTE(SUBSTITUTE(SUBSTITUTE(SUBSTITUTE(SUBSTITUTE(SUBSTITUTE(SUBSTITUTE(SUBSTITUTE(SUBSTITUTE(SUBSTITUTE(LOWER(W149&amp;""),CHAR(160),"")," ",""),".",""),"-",""),"/",""),"?",""),"_",""),",",""),"[",""),"]",""),"(",""),")",""),"*","")</f>
        <v/>
      </c>
      <c r="AZ149" s="61" t="str">
        <f aca="false">SUBSTITUTE(SUBSTITUTE(SUBSTITUTE(SUBSTITUTE(SUBSTITUTE(SUBSTITUTE(SUBSTITUTE(SUBSTITUTE(SUBSTITUTE(SUBSTITUTE(SUBSTITUTE(SUBSTITUTE(SUBSTITUTE(LOWER(AC149&amp;""),CHAR(160),"")," ",""),".",""),"-",""),"/",""),"?",""),"_",""),",",""),"[",""),"]",""),"(",""),")",""),"*","")</f>
        <v/>
      </c>
      <c r="BA149" s="61" t="str">
        <f aca="false">SUBSTITUTE(SUBSTITUTE(SUBSTITUTE(SUBSTITUTE(SUBSTITUTE(SUBSTITUTE(SUBSTITUTE(SUBSTITUTE(SUBSTITUTE(SUBSTITUTE(SUBSTITUTE(SUBSTITUTE(SUBSTITUTE(LOWER(AA149&amp;""),CHAR(160),"")," ",""),".",""),"-",""),"/",""),"?",""),"_",""),",",""),"[",""),"]",""),"(",""),")",""),"*","")</f>
        <v/>
      </c>
      <c r="BB149" s="61" t="str">
        <f aca="false">IF(AND(TRIM(U149)="Pass",ISNUMBER(AF149)),IF(AF149&lt;&gt;0,"INVALID – qty variance: use Fail or Pass after CA",""),"")&amp;IF(AND(TRIM(U149)="Pass after CA",ISNUMBER(AF149)),IF(AF149&lt;&gt;0,"INVALID – after the corrective action the actual qty must equal expected (update Actual)",""),"")&amp;IF(AND(TRIM(U149)="Pass",TRIM(AB149)&lt;&gt;"",TRIM(AB149)&lt;&gt;"Closed"),"INVALID – corrective action not closed: use Fail, then Pass after CA","")&amp;IF(AND(TRIM(AA149)&lt;&gt;"",TRIM(AB149)=""),"INVALID – CA status missing for the recorded corrective action","")&amp;IF(AND(TRIM(U149)="Pass after CA",OR(OR(LEN(BA149)&lt;5,ISNUMBER(MATCH(BA149,L_Placeholder,0))),TRIM(AB149)&lt;&gt;"Closed")),"INVALID – corrective action not recorded/closed","")</f>
        <v/>
      </c>
    </row>
    <row r="150" customFormat="false" ht="39.75" hidden="false" customHeight="true" outlineLevel="0" collapsed="false">
      <c r="A150" s="57" t="s">
        <v>657</v>
      </c>
      <c r="B150" s="57" t="s">
        <v>225</v>
      </c>
      <c r="C150" s="57" t="str">
        <f aca="false">Flights!$F$9</f>
        <v>MH0089</v>
      </c>
      <c r="D150" s="58" t="n">
        <f aca="false">Flights!$D$9</f>
        <v>46310</v>
      </c>
      <c r="E150" s="57" t="str">
        <f aca="false">Flights!$G$9&amp;"-"&amp;Flights!$H$9</f>
        <v>NRT-KUL</v>
      </c>
      <c r="F150" s="57" t="str">
        <f aca="false">Flights!$K$9</f>
        <v>EY</v>
      </c>
      <c r="G150" s="57" t="s">
        <v>398</v>
      </c>
      <c r="H150" s="57" t="s">
        <v>356</v>
      </c>
      <c r="I150" s="57" t="s">
        <v>406</v>
      </c>
      <c r="J150" s="57" t="s">
        <v>407</v>
      </c>
      <c r="K150" s="67"/>
      <c r="L150" s="67" t="s">
        <v>400</v>
      </c>
      <c r="M150" s="67"/>
      <c r="N150" s="67" t="s">
        <v>361</v>
      </c>
      <c r="O150" s="67" t="s">
        <v>401</v>
      </c>
      <c r="P150" s="57" t="s">
        <v>217</v>
      </c>
      <c r="Q150" s="59" t="n">
        <f aca="false">ROUND((Flights!$AE$9)*1440,0)/1440</f>
        <v>46309.5451388889</v>
      </c>
      <c r="R150" s="59" t="n">
        <f aca="false">Q150+(IF(AND(INDEX(TZ_DSTS,MATCH(P150,TZ_STN,0))&lt;&gt;"",Q150&gt;=INDEX(TZ_DSTS,MATCH(P150,TZ_STN,0)),Q150&lt;INDEX(TZ_DSTE,MATCH(P150,TZ_STN,0))),INDEX(TZ_DST,MATCH(P150,TZ_STN,0)),INDEX(TZ_STD,MATCH(P150,TZ_STN,0))))/24</f>
        <v>46309.9201388889</v>
      </c>
      <c r="S150" s="59" t="n">
        <f aca="false">Q150-T12EarlyH/24</f>
        <v>46309.0451388889</v>
      </c>
      <c r="T150" s="60"/>
      <c r="U150" s="60"/>
      <c r="V150" s="60"/>
      <c r="W150" s="61"/>
      <c r="X150" s="60"/>
      <c r="Y150" s="60"/>
      <c r="Z150" s="60"/>
      <c r="AA150" s="60"/>
      <c r="AB150" s="60"/>
      <c r="AC150" s="60"/>
      <c r="AD150" s="66"/>
      <c r="AE150" s="60"/>
      <c r="AF150" s="61" t="str">
        <f aca="false">IF(AND(ISNUMBER(X150),ISNUMBER(Y150)),Y150-X150,"")</f>
        <v/>
      </c>
      <c r="AG150" s="62" t="str">
        <f aca="false">IF(ISNUMBER(AD150),AD150-(IF(AND(INDEX(TZ_DSTS,MATCH(P150,TZ_STN,0))&lt;&gt;"",(AD150-INDEX(TZ_STD,MATCH(P150,TZ_STN,0))/24)&gt;=INDEX(TZ_DSTS,MATCH(P150,TZ_STN,0)),(AD150-INDEX(TZ_STD,MATCH(P150,TZ_STN,0))/24)&lt;INDEX(TZ_DSTE,MATCH(P150,TZ_STN,0))),INDEX(TZ_DST,MATCH(P150,TZ_STN,0)),INDEX(TZ_STD,MATCH(P150,TZ_STN,0))))/24,"")</f>
        <v/>
      </c>
      <c r="AH150" s="65" t="str">
        <f aca="false">IFERROR(IF(N150="N/A – rule","N/A – RULE",IF(TRIM(U150)="N/A",IF(AT150=0,"INVALID – N/A not permitted for this check",IF(AND(TRIM(AB150)&lt;&gt;"",TRIM(AB150)&lt;&gt;"Closed"),"INVALID – corrective action still open",IF(AND(NOT(OR(LEN(AZ150)&lt;15,ISNUMBER(MATCH(AZ150,L_Placeholder,0)))),NOT(OR(LEN(AU150)&lt;2,ISNUMBER(MATCH(AU150,L_Placeholder,0)))),NOT(OR(LEN(AX150)&lt;2,ISNUMBER(MATCH(AX150,L_Placeholder,0)))),TRIM(AE150)&lt;&gt;TRIM(T150)),"N/A – JUSTIFIED","INVALID – N/A needs a real justification (15+ chars), PIC and a different verifier"))),IF(OR(TRIM(U150)="Pass",TRIM(U150)="Pass after CA"),IF(NOT(ISNUMBER(AD150)),"INVALID – completion time missing",IF(OR(LEN(AU150)&lt;2,ISNUMBER(MATCH(AU150,L_Placeholder,0))),"INVALID – PIC missing",IF(OR(LEN(AV150)&lt;2,ISNUMBER(MATCH(AV150,L_Placeholder,0))),"INVALID – result / assessment missing",IF(OR(OR(LEN(AW150)&lt;3,ISNUMBER(MATCH(AW150,L_Placeholder,0))),SUMPRODUCT(--ISNUMBER(SEARCH(L_EvidencePhrase,AW150)))&gt;0),"INVALID – evidence missing, placeholder or not yet on file",IF(OR(LEN(AX150)&lt;2,ISNUMBER(MATCH(AX150,L_Placeholder,0))),"INVALID – verifier missing",IF(AX150=AU150,"INVALID – verifier must be someone other than the PIC",IF(AND(TRIM(U150)="Pass",SUMPRODUCT(--ISNUMBER(SEARCH(L_ResultBad,AV150)))&gt;0),"INVALID – result describes a problem: use Fail, then Pass after CA",IF(AND(AQ150=1,OR(LEN(AY150)&lt;3,ISNUMBER(MATCH(AY150,L_Placeholder,0)))),"INVALID – batch ID missing or placeholder",IF(AND(AR150=1,OR(NOT(ISNUMBER(X150)),NOT(ISNUMBER(Y150)))),"INVALID – expected/actual qty missing",IF(AND(AR150=1,OR(X150&lt;=0,Y150&lt;0)),"INVALID – expected qty must be above 0 and actual not negative",IF(BB150&lt;&gt;"",BB150,IF(AND(AS150=1,Documents!$J$9&lt;&gt;"ON FILE"),"INVALID – GLD not on file (Documents sheet)",IF(AND(AS150=2,Documents!$O$9&lt;&gt;"ON FILE"),"INVALID – menu checklist not on file (Documents sheet)",IF(AND(AS150=3,NOT(ISNUMBER(Flights!$AX$9))),"INVALID – enter carrying flight KUL departure (Flights AX)",IF(AND(AS150=3,OR(Flights!$AZ$9&gt;Flights!$AA$9,Flights!$AX$9&lt;Flights!$AA$9-3)),"INVALID – carrying flight (Flights AX) cannot arrive before this leg's STD, or is over 3 days early",IF(AG150&gt;AsOfUTC,"INVALID – completion time is in the future",IF(AND(ISNUMBER(S150),AG150&lt;S150),IF(H150="Physical uplift","INVALID – before uplift window (cannot confirm loading)","INVALID – before valid window"),IF(AG150&gt;Flights!$AA$9,"INVALID – completed after departure (cannot establish readiness)",IF(AND(H150="Preparation",AG150&gt;IF(ISNUMBER(Flights!$BA$9),MIN(Flights!$BA$9,Flights!$AA$9),Flights!$AA$9)),"INVALID – completed after loading / departure (cannot establish readiness)",IF(AND(H150="Physical uplift",AG150&gt;Q150),"INVALID – recorded after the loading flight departed",IF(AG150&gt;Q150,"COMPLETE – LATE","COMPLETE"))))))))))))))))))))),IF(TRIM(U150)="Fail","FAIL – DISCREPANCY",IF(AND(TRIM(U150)&lt;&gt;"",TRIM(U150)&lt;&gt;"Not started",TRIM(U150)&lt;&gt;"In progress"),"INVALID – unrecognised status (use the list)",IF(AsOfUTC&gt;Q150,"OVERDUE",IF(N150="Clarification required","OPEN – CLARIFICATION","OPEN"))))))),"INVALID – error value in an input cell")</f>
        <v>OPEN</v>
      </c>
      <c r="AI150" s="61" t="n">
        <f aca="false">IF(OR(AH150="N/A – RULE",AH150="N/A – JUSTIFIED"),0,1)</f>
        <v>1</v>
      </c>
      <c r="AJ150" s="61" t="n">
        <f aca="false">IF(LEFT(AH150,8)="COMPLETE",1,0)</f>
        <v>0</v>
      </c>
      <c r="AK150" s="61" t="n">
        <f aca="false">IF(AND(AI150=1,AJ150=0,AsOfUTC&gt;Q150),1,0)</f>
        <v>0</v>
      </c>
      <c r="AL150" s="61" t="n">
        <f aca="false">IFERROR(IF(AND(AI150=1,OR(TRIM(U150)="Fail",AND(TRIM(AB150)&lt;&gt;"",TRIM(AB150)&lt;&gt;"Closed"),AND(ISNUMBER(AF150),AF150&lt;&gt;0,TRIM(U150)&lt;&gt;"Pass after CA"))),1,0),1)</f>
        <v>0</v>
      </c>
      <c r="AM150" s="61" t="n">
        <f aca="false">IF(LEFT(AH150,7)="INVALID",1,0)</f>
        <v>0</v>
      </c>
      <c r="AN150" s="61" t="n">
        <f aca="false">IF(AND(N150="Clarification required",AI150=1,AJ150=0),1,0)</f>
        <v>0</v>
      </c>
      <c r="AO150" s="61" t="str">
        <f aca="false">IF(AK150=1,SUM(AK$5:AK150),"")</f>
        <v/>
      </c>
      <c r="AP150" s="61" t="str">
        <f aca="false">IF(AL150=1,SUM(AL$5:AL150),"")</f>
        <v/>
      </c>
      <c r="AQ150" s="61" t="n">
        <v>0</v>
      </c>
      <c r="AR150" s="61" t="n">
        <v>0</v>
      </c>
      <c r="AS150" s="61" t="n">
        <v>0</v>
      </c>
      <c r="AT150" s="61" t="n">
        <v>0</v>
      </c>
      <c r="AU150" s="61" t="str">
        <f aca="false">SUBSTITUTE(SUBSTITUTE(SUBSTITUTE(SUBSTITUTE(SUBSTITUTE(SUBSTITUTE(SUBSTITUTE(SUBSTITUTE(SUBSTITUTE(SUBSTITUTE(SUBSTITUTE(SUBSTITUTE(SUBSTITUTE(LOWER(T150&amp;""),CHAR(160),"")," ",""),".",""),"-",""),"/",""),"?",""),"_",""),",",""),"[",""),"]",""),"(",""),")",""),"*","")</f>
        <v/>
      </c>
      <c r="AV150" s="61" t="str">
        <f aca="false">SUBSTITUTE(SUBSTITUTE(SUBSTITUTE(SUBSTITUTE(SUBSTITUTE(SUBSTITUTE(SUBSTITUTE(SUBSTITUTE(SUBSTITUTE(SUBSTITUTE(SUBSTITUTE(SUBSTITUTE(SUBSTITUTE(LOWER(V150&amp;""),CHAR(160),"")," ",""),".",""),"-",""),"/",""),"?",""),"_",""),",",""),"[",""),"]",""),"(",""),")",""),"*","")</f>
        <v/>
      </c>
      <c r="AW150" s="61" t="str">
        <f aca="false">SUBSTITUTE(SUBSTITUTE(SUBSTITUTE(SUBSTITUTE(SUBSTITUTE(SUBSTITUTE(SUBSTITUTE(SUBSTITUTE(SUBSTITUTE(SUBSTITUTE(SUBSTITUTE(SUBSTITUTE(SUBSTITUTE(LOWER(Z150&amp;""),CHAR(160),"")," ",""),".",""),"-",""),"/",""),"?",""),"_",""),",",""),"[",""),"]",""),"(",""),")",""),"*","")</f>
        <v/>
      </c>
      <c r="AX150" s="61" t="str">
        <f aca="false">SUBSTITUTE(SUBSTITUTE(SUBSTITUTE(SUBSTITUTE(SUBSTITUTE(SUBSTITUTE(SUBSTITUTE(SUBSTITUTE(SUBSTITUTE(SUBSTITUTE(SUBSTITUTE(SUBSTITUTE(SUBSTITUTE(LOWER(AE150&amp;""),CHAR(160),"")," ",""),".",""),"-",""),"/",""),"?",""),"_",""),",",""),"[",""),"]",""),"(",""),")",""),"*","")</f>
        <v/>
      </c>
      <c r="AY150" s="61" t="str">
        <f aca="false">SUBSTITUTE(SUBSTITUTE(SUBSTITUTE(SUBSTITUTE(SUBSTITUTE(SUBSTITUTE(SUBSTITUTE(SUBSTITUTE(SUBSTITUTE(SUBSTITUTE(SUBSTITUTE(SUBSTITUTE(SUBSTITUTE(LOWER(W150&amp;""),CHAR(160),"")," ",""),".",""),"-",""),"/",""),"?",""),"_",""),",",""),"[",""),"]",""),"(",""),")",""),"*","")</f>
        <v/>
      </c>
      <c r="AZ150" s="61" t="str">
        <f aca="false">SUBSTITUTE(SUBSTITUTE(SUBSTITUTE(SUBSTITUTE(SUBSTITUTE(SUBSTITUTE(SUBSTITUTE(SUBSTITUTE(SUBSTITUTE(SUBSTITUTE(SUBSTITUTE(SUBSTITUTE(SUBSTITUTE(LOWER(AC150&amp;""),CHAR(160),"")," ",""),".",""),"-",""),"/",""),"?",""),"_",""),",",""),"[",""),"]",""),"(",""),")",""),"*","")</f>
        <v/>
      </c>
      <c r="BA150" s="61" t="str">
        <f aca="false">SUBSTITUTE(SUBSTITUTE(SUBSTITUTE(SUBSTITUTE(SUBSTITUTE(SUBSTITUTE(SUBSTITUTE(SUBSTITUTE(SUBSTITUTE(SUBSTITUTE(SUBSTITUTE(SUBSTITUTE(SUBSTITUTE(LOWER(AA150&amp;""),CHAR(160),"")," ",""),".",""),"-",""),"/",""),"?",""),"_",""),",",""),"[",""),"]",""),"(",""),")",""),"*","")</f>
        <v/>
      </c>
      <c r="BB150" s="61" t="str">
        <f aca="false">IF(AND(TRIM(U150)="Pass",ISNUMBER(AF150)),IF(AF150&lt;&gt;0,"INVALID – qty variance: use Fail or Pass after CA",""),"")&amp;IF(AND(TRIM(U150)="Pass after CA",ISNUMBER(AF150)),IF(AF150&lt;&gt;0,"INVALID – after the corrective action the actual qty must equal expected (update Actual)",""),"")&amp;IF(AND(TRIM(U150)="Pass",TRIM(AB150)&lt;&gt;"",TRIM(AB150)&lt;&gt;"Closed"),"INVALID – corrective action not closed: use Fail, then Pass after CA","")&amp;IF(AND(TRIM(AA150)&lt;&gt;"",TRIM(AB150)=""),"INVALID – CA status missing for the recorded corrective action","")&amp;IF(AND(TRIM(U150)="Pass after CA",OR(OR(LEN(BA150)&lt;5,ISNUMBER(MATCH(BA150,L_Placeholder,0))),TRIM(AB150)&lt;&gt;"Closed")),"INVALID – corrective action not recorded/closed","")</f>
        <v/>
      </c>
    </row>
    <row r="151" customFormat="false" ht="39.75" hidden="false" customHeight="true" outlineLevel="0" collapsed="false">
      <c r="A151" s="57" t="s">
        <v>658</v>
      </c>
      <c r="B151" s="57" t="s">
        <v>225</v>
      </c>
      <c r="C151" s="57" t="str">
        <f aca="false">Flights!$F$9</f>
        <v>MH0089</v>
      </c>
      <c r="D151" s="58" t="n">
        <f aca="false">Flights!$D$9</f>
        <v>46310</v>
      </c>
      <c r="E151" s="57" t="str">
        <f aca="false">Flights!$G$9&amp;"-"&amp;Flights!$H$9</f>
        <v>NRT-KUL</v>
      </c>
      <c r="F151" s="57" t="str">
        <f aca="false">Flights!$K$9</f>
        <v>EY</v>
      </c>
      <c r="G151" s="57" t="s">
        <v>398</v>
      </c>
      <c r="H151" s="57" t="s">
        <v>356</v>
      </c>
      <c r="I151" s="57" t="s">
        <v>406</v>
      </c>
      <c r="J151" s="57" t="s">
        <v>409</v>
      </c>
      <c r="K151" s="67"/>
      <c r="L151" s="67" t="s">
        <v>400</v>
      </c>
      <c r="M151" s="67"/>
      <c r="N151" s="67" t="s">
        <v>361</v>
      </c>
      <c r="O151" s="67" t="s">
        <v>401</v>
      </c>
      <c r="P151" s="57" t="s">
        <v>217</v>
      </c>
      <c r="Q151" s="59" t="n">
        <f aca="false">ROUND((Flights!$AE$9)*1440,0)/1440</f>
        <v>46309.5451388889</v>
      </c>
      <c r="R151" s="59" t="n">
        <f aca="false">Q151+(IF(AND(INDEX(TZ_DSTS,MATCH(P151,TZ_STN,0))&lt;&gt;"",Q151&gt;=INDEX(TZ_DSTS,MATCH(P151,TZ_STN,0)),Q151&lt;INDEX(TZ_DSTE,MATCH(P151,TZ_STN,0))),INDEX(TZ_DST,MATCH(P151,TZ_STN,0)),INDEX(TZ_STD,MATCH(P151,TZ_STN,0))))/24</f>
        <v>46309.9201388889</v>
      </c>
      <c r="S151" s="59" t="n">
        <f aca="false">Q151-T12EarlyH/24</f>
        <v>46309.0451388889</v>
      </c>
      <c r="T151" s="60"/>
      <c r="U151" s="60"/>
      <c r="V151" s="60"/>
      <c r="W151" s="61"/>
      <c r="X151" s="60"/>
      <c r="Y151" s="60"/>
      <c r="Z151" s="60"/>
      <c r="AA151" s="60"/>
      <c r="AB151" s="60"/>
      <c r="AC151" s="60"/>
      <c r="AD151" s="66"/>
      <c r="AE151" s="60"/>
      <c r="AF151" s="61" t="str">
        <f aca="false">IF(AND(ISNUMBER(X151),ISNUMBER(Y151)),Y151-X151,"")</f>
        <v/>
      </c>
      <c r="AG151" s="62" t="str">
        <f aca="false">IF(ISNUMBER(AD151),AD151-(IF(AND(INDEX(TZ_DSTS,MATCH(P151,TZ_STN,0))&lt;&gt;"",(AD151-INDEX(TZ_STD,MATCH(P151,TZ_STN,0))/24)&gt;=INDEX(TZ_DSTS,MATCH(P151,TZ_STN,0)),(AD151-INDEX(TZ_STD,MATCH(P151,TZ_STN,0))/24)&lt;INDEX(TZ_DSTE,MATCH(P151,TZ_STN,0))),INDEX(TZ_DST,MATCH(P151,TZ_STN,0)),INDEX(TZ_STD,MATCH(P151,TZ_STN,0))))/24,"")</f>
        <v/>
      </c>
      <c r="AH151" s="65" t="str">
        <f aca="false">IFERROR(IF(N151="N/A – rule","N/A – RULE",IF(TRIM(U151)="N/A",IF(AT151=0,"INVALID – N/A not permitted for this check",IF(AND(TRIM(AB151)&lt;&gt;"",TRIM(AB151)&lt;&gt;"Closed"),"INVALID – corrective action still open",IF(AND(NOT(OR(LEN(AZ151)&lt;15,ISNUMBER(MATCH(AZ151,L_Placeholder,0)))),NOT(OR(LEN(AU151)&lt;2,ISNUMBER(MATCH(AU151,L_Placeholder,0)))),NOT(OR(LEN(AX151)&lt;2,ISNUMBER(MATCH(AX151,L_Placeholder,0)))),TRIM(AE151)&lt;&gt;TRIM(T151)),"N/A – JUSTIFIED","INVALID – N/A needs a real justification (15+ chars), PIC and a different verifier"))),IF(OR(TRIM(U151)="Pass",TRIM(U151)="Pass after CA"),IF(NOT(ISNUMBER(AD151)),"INVALID – completion time missing",IF(OR(LEN(AU151)&lt;2,ISNUMBER(MATCH(AU151,L_Placeholder,0))),"INVALID – PIC missing",IF(OR(LEN(AV151)&lt;2,ISNUMBER(MATCH(AV151,L_Placeholder,0))),"INVALID – result / assessment missing",IF(OR(OR(LEN(AW151)&lt;3,ISNUMBER(MATCH(AW151,L_Placeholder,0))),SUMPRODUCT(--ISNUMBER(SEARCH(L_EvidencePhrase,AW151)))&gt;0),"INVALID – evidence missing, placeholder or not yet on file",IF(OR(LEN(AX151)&lt;2,ISNUMBER(MATCH(AX151,L_Placeholder,0))),"INVALID – verifier missing",IF(AX151=AU151,"INVALID – verifier must be someone other than the PIC",IF(AND(TRIM(U151)="Pass",SUMPRODUCT(--ISNUMBER(SEARCH(L_ResultBad,AV151)))&gt;0),"INVALID – result describes a problem: use Fail, then Pass after CA",IF(AND(AQ151=1,OR(LEN(AY151)&lt;3,ISNUMBER(MATCH(AY151,L_Placeholder,0)))),"INVALID – batch ID missing or placeholder",IF(AND(AR151=1,OR(NOT(ISNUMBER(X151)),NOT(ISNUMBER(Y151)))),"INVALID – expected/actual qty missing",IF(AND(AR151=1,OR(X151&lt;=0,Y151&lt;0)),"INVALID – expected qty must be above 0 and actual not negative",IF(BB151&lt;&gt;"",BB151,IF(AND(AS151=1,Documents!$J$9&lt;&gt;"ON FILE"),"INVALID – GLD not on file (Documents sheet)",IF(AND(AS151=2,Documents!$O$9&lt;&gt;"ON FILE"),"INVALID – menu checklist not on file (Documents sheet)",IF(AND(AS151=3,NOT(ISNUMBER(Flights!$AX$9))),"INVALID – enter carrying flight KUL departure (Flights AX)",IF(AND(AS151=3,OR(Flights!$AZ$9&gt;Flights!$AA$9,Flights!$AX$9&lt;Flights!$AA$9-3)),"INVALID – carrying flight (Flights AX) cannot arrive before this leg's STD, or is over 3 days early",IF(AG151&gt;AsOfUTC,"INVALID – completion time is in the future",IF(AND(ISNUMBER(S151),AG151&lt;S151),IF(H151="Physical uplift","INVALID – before uplift window (cannot confirm loading)","INVALID – before valid window"),IF(AG151&gt;Flights!$AA$9,"INVALID – completed after departure (cannot establish readiness)",IF(AND(H151="Preparation",AG151&gt;IF(ISNUMBER(Flights!$BA$9),MIN(Flights!$BA$9,Flights!$AA$9),Flights!$AA$9)),"INVALID – completed after loading / departure (cannot establish readiness)",IF(AND(H151="Physical uplift",AG151&gt;Q151),"INVALID – recorded after the loading flight departed",IF(AG151&gt;Q151,"COMPLETE – LATE","COMPLETE"))))))))))))))))))))),IF(TRIM(U151)="Fail","FAIL – DISCREPANCY",IF(AND(TRIM(U151)&lt;&gt;"",TRIM(U151)&lt;&gt;"Not started",TRIM(U151)&lt;&gt;"In progress"),"INVALID – unrecognised status (use the list)",IF(AsOfUTC&gt;Q151,"OVERDUE",IF(N151="Clarification required","OPEN – CLARIFICATION","OPEN"))))))),"INVALID – error value in an input cell")</f>
        <v>OPEN</v>
      </c>
      <c r="AI151" s="61" t="n">
        <f aca="false">IF(OR(AH151="N/A – RULE",AH151="N/A – JUSTIFIED"),0,1)</f>
        <v>1</v>
      </c>
      <c r="AJ151" s="61" t="n">
        <f aca="false">IF(LEFT(AH151,8)="COMPLETE",1,0)</f>
        <v>0</v>
      </c>
      <c r="AK151" s="61" t="n">
        <f aca="false">IF(AND(AI151=1,AJ151=0,AsOfUTC&gt;Q151),1,0)</f>
        <v>0</v>
      </c>
      <c r="AL151" s="61" t="n">
        <f aca="false">IFERROR(IF(AND(AI151=1,OR(TRIM(U151)="Fail",AND(TRIM(AB151)&lt;&gt;"",TRIM(AB151)&lt;&gt;"Closed"),AND(ISNUMBER(AF151),AF151&lt;&gt;0,TRIM(U151)&lt;&gt;"Pass after CA"))),1,0),1)</f>
        <v>0</v>
      </c>
      <c r="AM151" s="61" t="n">
        <f aca="false">IF(LEFT(AH151,7)="INVALID",1,0)</f>
        <v>0</v>
      </c>
      <c r="AN151" s="61" t="n">
        <f aca="false">IF(AND(N151="Clarification required",AI151=1,AJ151=0),1,0)</f>
        <v>0</v>
      </c>
      <c r="AO151" s="61" t="str">
        <f aca="false">IF(AK151=1,SUM(AK$5:AK151),"")</f>
        <v/>
      </c>
      <c r="AP151" s="61" t="str">
        <f aca="false">IF(AL151=1,SUM(AL$5:AL151),"")</f>
        <v/>
      </c>
      <c r="AQ151" s="61" t="n">
        <v>0</v>
      </c>
      <c r="AR151" s="61" t="n">
        <v>0</v>
      </c>
      <c r="AS151" s="61" t="n">
        <v>0</v>
      </c>
      <c r="AT151" s="61" t="n">
        <v>0</v>
      </c>
      <c r="AU151" s="61" t="str">
        <f aca="false">SUBSTITUTE(SUBSTITUTE(SUBSTITUTE(SUBSTITUTE(SUBSTITUTE(SUBSTITUTE(SUBSTITUTE(SUBSTITUTE(SUBSTITUTE(SUBSTITUTE(SUBSTITUTE(SUBSTITUTE(SUBSTITUTE(LOWER(T151&amp;""),CHAR(160),"")," ",""),".",""),"-",""),"/",""),"?",""),"_",""),",",""),"[",""),"]",""),"(",""),")",""),"*","")</f>
        <v/>
      </c>
      <c r="AV151" s="61" t="str">
        <f aca="false">SUBSTITUTE(SUBSTITUTE(SUBSTITUTE(SUBSTITUTE(SUBSTITUTE(SUBSTITUTE(SUBSTITUTE(SUBSTITUTE(SUBSTITUTE(SUBSTITUTE(SUBSTITUTE(SUBSTITUTE(SUBSTITUTE(LOWER(V151&amp;""),CHAR(160),"")," ",""),".",""),"-",""),"/",""),"?",""),"_",""),",",""),"[",""),"]",""),"(",""),")",""),"*","")</f>
        <v/>
      </c>
      <c r="AW151" s="61" t="str">
        <f aca="false">SUBSTITUTE(SUBSTITUTE(SUBSTITUTE(SUBSTITUTE(SUBSTITUTE(SUBSTITUTE(SUBSTITUTE(SUBSTITUTE(SUBSTITUTE(SUBSTITUTE(SUBSTITUTE(SUBSTITUTE(SUBSTITUTE(LOWER(Z151&amp;""),CHAR(160),"")," ",""),".",""),"-",""),"/",""),"?",""),"_",""),",",""),"[",""),"]",""),"(",""),")",""),"*","")</f>
        <v/>
      </c>
      <c r="AX151" s="61" t="str">
        <f aca="false">SUBSTITUTE(SUBSTITUTE(SUBSTITUTE(SUBSTITUTE(SUBSTITUTE(SUBSTITUTE(SUBSTITUTE(SUBSTITUTE(SUBSTITUTE(SUBSTITUTE(SUBSTITUTE(SUBSTITUTE(SUBSTITUTE(LOWER(AE151&amp;""),CHAR(160),"")," ",""),".",""),"-",""),"/",""),"?",""),"_",""),",",""),"[",""),"]",""),"(",""),")",""),"*","")</f>
        <v/>
      </c>
      <c r="AY151" s="61" t="str">
        <f aca="false">SUBSTITUTE(SUBSTITUTE(SUBSTITUTE(SUBSTITUTE(SUBSTITUTE(SUBSTITUTE(SUBSTITUTE(SUBSTITUTE(SUBSTITUTE(SUBSTITUTE(SUBSTITUTE(SUBSTITUTE(SUBSTITUTE(LOWER(W151&amp;""),CHAR(160),"")," ",""),".",""),"-",""),"/",""),"?",""),"_",""),",",""),"[",""),"]",""),"(",""),")",""),"*","")</f>
        <v/>
      </c>
      <c r="AZ151" s="61" t="str">
        <f aca="false">SUBSTITUTE(SUBSTITUTE(SUBSTITUTE(SUBSTITUTE(SUBSTITUTE(SUBSTITUTE(SUBSTITUTE(SUBSTITUTE(SUBSTITUTE(SUBSTITUTE(SUBSTITUTE(SUBSTITUTE(SUBSTITUTE(LOWER(AC151&amp;""),CHAR(160),"")," ",""),".",""),"-",""),"/",""),"?",""),"_",""),",",""),"[",""),"]",""),"(",""),")",""),"*","")</f>
        <v/>
      </c>
      <c r="BA151" s="61" t="str">
        <f aca="false">SUBSTITUTE(SUBSTITUTE(SUBSTITUTE(SUBSTITUTE(SUBSTITUTE(SUBSTITUTE(SUBSTITUTE(SUBSTITUTE(SUBSTITUTE(SUBSTITUTE(SUBSTITUTE(SUBSTITUTE(SUBSTITUTE(LOWER(AA151&amp;""),CHAR(160),"")," ",""),".",""),"-",""),"/",""),"?",""),"_",""),",",""),"[",""),"]",""),"(",""),")",""),"*","")</f>
        <v/>
      </c>
      <c r="BB151" s="61" t="str">
        <f aca="false">IF(AND(TRIM(U151)="Pass",ISNUMBER(AF151)),IF(AF151&lt;&gt;0,"INVALID – qty variance: use Fail or Pass after CA",""),"")&amp;IF(AND(TRIM(U151)="Pass after CA",ISNUMBER(AF151)),IF(AF151&lt;&gt;0,"INVALID – after the corrective action the actual qty must equal expected (update Actual)",""),"")&amp;IF(AND(TRIM(U151)="Pass",TRIM(AB151)&lt;&gt;"",TRIM(AB151)&lt;&gt;"Closed"),"INVALID – corrective action not closed: use Fail, then Pass after CA","")&amp;IF(AND(TRIM(AA151)&lt;&gt;"",TRIM(AB151)=""),"INVALID – CA status missing for the recorded corrective action","")&amp;IF(AND(TRIM(U151)="Pass after CA",OR(OR(LEN(BA151)&lt;5,ISNUMBER(MATCH(BA151,L_Placeholder,0))),TRIM(AB151)&lt;&gt;"Closed")),"INVALID – corrective action not recorded/closed","")</f>
        <v/>
      </c>
    </row>
    <row r="152" customFormat="false" ht="39.75" hidden="false" customHeight="true" outlineLevel="0" collapsed="false">
      <c r="A152" s="57" t="s">
        <v>659</v>
      </c>
      <c r="B152" s="57" t="s">
        <v>225</v>
      </c>
      <c r="C152" s="57" t="str">
        <f aca="false">Flights!$F$9</f>
        <v>MH0089</v>
      </c>
      <c r="D152" s="58" t="n">
        <f aca="false">Flights!$D$9</f>
        <v>46310</v>
      </c>
      <c r="E152" s="57" t="str">
        <f aca="false">Flights!$G$9&amp;"-"&amp;Flights!$H$9</f>
        <v>NRT-KUL</v>
      </c>
      <c r="F152" s="57" t="str">
        <f aca="false">Flights!$K$9</f>
        <v>EY</v>
      </c>
      <c r="G152" s="57" t="s">
        <v>398</v>
      </c>
      <c r="H152" s="57" t="s">
        <v>356</v>
      </c>
      <c r="I152" s="57" t="s">
        <v>406</v>
      </c>
      <c r="J152" s="57" t="s">
        <v>411</v>
      </c>
      <c r="K152" s="67"/>
      <c r="L152" s="67" t="s">
        <v>400</v>
      </c>
      <c r="M152" s="67"/>
      <c r="N152" s="67" t="s">
        <v>361</v>
      </c>
      <c r="O152" s="67" t="s">
        <v>401</v>
      </c>
      <c r="P152" s="57" t="s">
        <v>217</v>
      </c>
      <c r="Q152" s="59" t="n">
        <f aca="false">ROUND((Flights!$AE$9)*1440,0)/1440</f>
        <v>46309.5451388889</v>
      </c>
      <c r="R152" s="59" t="n">
        <f aca="false">Q152+(IF(AND(INDEX(TZ_DSTS,MATCH(P152,TZ_STN,0))&lt;&gt;"",Q152&gt;=INDEX(TZ_DSTS,MATCH(P152,TZ_STN,0)),Q152&lt;INDEX(TZ_DSTE,MATCH(P152,TZ_STN,0))),INDEX(TZ_DST,MATCH(P152,TZ_STN,0)),INDEX(TZ_STD,MATCH(P152,TZ_STN,0))))/24</f>
        <v>46309.9201388889</v>
      </c>
      <c r="S152" s="59" t="n">
        <f aca="false">Q152-T12EarlyH/24</f>
        <v>46309.0451388889</v>
      </c>
      <c r="T152" s="60"/>
      <c r="U152" s="60"/>
      <c r="V152" s="60"/>
      <c r="W152" s="61"/>
      <c r="X152" s="60"/>
      <c r="Y152" s="60"/>
      <c r="Z152" s="60"/>
      <c r="AA152" s="60"/>
      <c r="AB152" s="60"/>
      <c r="AC152" s="60"/>
      <c r="AD152" s="66"/>
      <c r="AE152" s="60"/>
      <c r="AF152" s="61" t="str">
        <f aca="false">IF(AND(ISNUMBER(X152),ISNUMBER(Y152)),Y152-X152,"")</f>
        <v/>
      </c>
      <c r="AG152" s="62" t="str">
        <f aca="false">IF(ISNUMBER(AD152),AD152-(IF(AND(INDEX(TZ_DSTS,MATCH(P152,TZ_STN,0))&lt;&gt;"",(AD152-INDEX(TZ_STD,MATCH(P152,TZ_STN,0))/24)&gt;=INDEX(TZ_DSTS,MATCH(P152,TZ_STN,0)),(AD152-INDEX(TZ_STD,MATCH(P152,TZ_STN,0))/24)&lt;INDEX(TZ_DSTE,MATCH(P152,TZ_STN,0))),INDEX(TZ_DST,MATCH(P152,TZ_STN,0)),INDEX(TZ_STD,MATCH(P152,TZ_STN,0))))/24,"")</f>
        <v/>
      </c>
      <c r="AH152" s="65" t="str">
        <f aca="false">IFERROR(IF(N152="N/A – rule","N/A – RULE",IF(TRIM(U152)="N/A",IF(AT152=0,"INVALID – N/A not permitted for this check",IF(AND(TRIM(AB152)&lt;&gt;"",TRIM(AB152)&lt;&gt;"Closed"),"INVALID – corrective action still open",IF(AND(NOT(OR(LEN(AZ152)&lt;15,ISNUMBER(MATCH(AZ152,L_Placeholder,0)))),NOT(OR(LEN(AU152)&lt;2,ISNUMBER(MATCH(AU152,L_Placeholder,0)))),NOT(OR(LEN(AX152)&lt;2,ISNUMBER(MATCH(AX152,L_Placeholder,0)))),TRIM(AE152)&lt;&gt;TRIM(T152)),"N/A – JUSTIFIED","INVALID – N/A needs a real justification (15+ chars), PIC and a different verifier"))),IF(OR(TRIM(U152)="Pass",TRIM(U152)="Pass after CA"),IF(NOT(ISNUMBER(AD152)),"INVALID – completion time missing",IF(OR(LEN(AU152)&lt;2,ISNUMBER(MATCH(AU152,L_Placeholder,0))),"INVALID – PIC missing",IF(OR(LEN(AV152)&lt;2,ISNUMBER(MATCH(AV152,L_Placeholder,0))),"INVALID – result / assessment missing",IF(OR(OR(LEN(AW152)&lt;3,ISNUMBER(MATCH(AW152,L_Placeholder,0))),SUMPRODUCT(--ISNUMBER(SEARCH(L_EvidencePhrase,AW152)))&gt;0),"INVALID – evidence missing, placeholder or not yet on file",IF(OR(LEN(AX152)&lt;2,ISNUMBER(MATCH(AX152,L_Placeholder,0))),"INVALID – verifier missing",IF(AX152=AU152,"INVALID – verifier must be someone other than the PIC",IF(AND(TRIM(U152)="Pass",SUMPRODUCT(--ISNUMBER(SEARCH(L_ResultBad,AV152)))&gt;0),"INVALID – result describes a problem: use Fail, then Pass after CA",IF(AND(AQ152=1,OR(LEN(AY152)&lt;3,ISNUMBER(MATCH(AY152,L_Placeholder,0)))),"INVALID – batch ID missing or placeholder",IF(AND(AR152=1,OR(NOT(ISNUMBER(X152)),NOT(ISNUMBER(Y152)))),"INVALID – expected/actual qty missing",IF(AND(AR152=1,OR(X152&lt;=0,Y152&lt;0)),"INVALID – expected qty must be above 0 and actual not negative",IF(BB152&lt;&gt;"",BB152,IF(AND(AS152=1,Documents!$J$9&lt;&gt;"ON FILE"),"INVALID – GLD not on file (Documents sheet)",IF(AND(AS152=2,Documents!$O$9&lt;&gt;"ON FILE"),"INVALID – menu checklist not on file (Documents sheet)",IF(AND(AS152=3,NOT(ISNUMBER(Flights!$AX$9))),"INVALID – enter carrying flight KUL departure (Flights AX)",IF(AND(AS152=3,OR(Flights!$AZ$9&gt;Flights!$AA$9,Flights!$AX$9&lt;Flights!$AA$9-3)),"INVALID – carrying flight (Flights AX) cannot arrive before this leg's STD, or is over 3 days early",IF(AG152&gt;AsOfUTC,"INVALID – completion time is in the future",IF(AND(ISNUMBER(S152),AG152&lt;S152),IF(H152="Physical uplift","INVALID – before uplift window (cannot confirm loading)","INVALID – before valid window"),IF(AG152&gt;Flights!$AA$9,"INVALID – completed after departure (cannot establish readiness)",IF(AND(H152="Preparation",AG152&gt;IF(ISNUMBER(Flights!$BA$9),MIN(Flights!$BA$9,Flights!$AA$9),Flights!$AA$9)),"INVALID – completed after loading / departure (cannot establish readiness)",IF(AND(H152="Physical uplift",AG152&gt;Q152),"INVALID – recorded after the loading flight departed",IF(AG152&gt;Q152,"COMPLETE – LATE","COMPLETE"))))))))))))))))))))),IF(TRIM(U152)="Fail","FAIL – DISCREPANCY",IF(AND(TRIM(U152)&lt;&gt;"",TRIM(U152)&lt;&gt;"Not started",TRIM(U152)&lt;&gt;"In progress"),"INVALID – unrecognised status (use the list)",IF(AsOfUTC&gt;Q152,"OVERDUE",IF(N152="Clarification required","OPEN – CLARIFICATION","OPEN"))))))),"INVALID – error value in an input cell")</f>
        <v>OPEN</v>
      </c>
      <c r="AI152" s="61" t="n">
        <f aca="false">IF(OR(AH152="N/A – RULE",AH152="N/A – JUSTIFIED"),0,1)</f>
        <v>1</v>
      </c>
      <c r="AJ152" s="61" t="n">
        <f aca="false">IF(LEFT(AH152,8)="COMPLETE",1,0)</f>
        <v>0</v>
      </c>
      <c r="AK152" s="61" t="n">
        <f aca="false">IF(AND(AI152=1,AJ152=0,AsOfUTC&gt;Q152),1,0)</f>
        <v>0</v>
      </c>
      <c r="AL152" s="61" t="n">
        <f aca="false">IFERROR(IF(AND(AI152=1,OR(TRIM(U152)="Fail",AND(TRIM(AB152)&lt;&gt;"",TRIM(AB152)&lt;&gt;"Closed"),AND(ISNUMBER(AF152),AF152&lt;&gt;0,TRIM(U152)&lt;&gt;"Pass after CA"))),1,0),1)</f>
        <v>0</v>
      </c>
      <c r="AM152" s="61" t="n">
        <f aca="false">IF(LEFT(AH152,7)="INVALID",1,0)</f>
        <v>0</v>
      </c>
      <c r="AN152" s="61" t="n">
        <f aca="false">IF(AND(N152="Clarification required",AI152=1,AJ152=0),1,0)</f>
        <v>0</v>
      </c>
      <c r="AO152" s="61" t="str">
        <f aca="false">IF(AK152=1,SUM(AK$5:AK152),"")</f>
        <v/>
      </c>
      <c r="AP152" s="61" t="str">
        <f aca="false">IF(AL152=1,SUM(AL$5:AL152),"")</f>
        <v/>
      </c>
      <c r="AQ152" s="61" t="n">
        <v>0</v>
      </c>
      <c r="AR152" s="61" t="n">
        <v>0</v>
      </c>
      <c r="AS152" s="61" t="n">
        <v>0</v>
      </c>
      <c r="AT152" s="61" t="n">
        <v>0</v>
      </c>
      <c r="AU152" s="61" t="str">
        <f aca="false">SUBSTITUTE(SUBSTITUTE(SUBSTITUTE(SUBSTITUTE(SUBSTITUTE(SUBSTITUTE(SUBSTITUTE(SUBSTITUTE(SUBSTITUTE(SUBSTITUTE(SUBSTITUTE(SUBSTITUTE(SUBSTITUTE(LOWER(T152&amp;""),CHAR(160),"")," ",""),".",""),"-",""),"/",""),"?",""),"_",""),",",""),"[",""),"]",""),"(",""),")",""),"*","")</f>
        <v/>
      </c>
      <c r="AV152" s="61" t="str">
        <f aca="false">SUBSTITUTE(SUBSTITUTE(SUBSTITUTE(SUBSTITUTE(SUBSTITUTE(SUBSTITUTE(SUBSTITUTE(SUBSTITUTE(SUBSTITUTE(SUBSTITUTE(SUBSTITUTE(SUBSTITUTE(SUBSTITUTE(LOWER(V152&amp;""),CHAR(160),"")," ",""),".",""),"-",""),"/",""),"?",""),"_",""),",",""),"[",""),"]",""),"(",""),")",""),"*","")</f>
        <v/>
      </c>
      <c r="AW152" s="61" t="str">
        <f aca="false">SUBSTITUTE(SUBSTITUTE(SUBSTITUTE(SUBSTITUTE(SUBSTITUTE(SUBSTITUTE(SUBSTITUTE(SUBSTITUTE(SUBSTITUTE(SUBSTITUTE(SUBSTITUTE(SUBSTITUTE(SUBSTITUTE(LOWER(Z152&amp;""),CHAR(160),"")," ",""),".",""),"-",""),"/",""),"?",""),"_",""),",",""),"[",""),"]",""),"(",""),")",""),"*","")</f>
        <v/>
      </c>
      <c r="AX152" s="61" t="str">
        <f aca="false">SUBSTITUTE(SUBSTITUTE(SUBSTITUTE(SUBSTITUTE(SUBSTITUTE(SUBSTITUTE(SUBSTITUTE(SUBSTITUTE(SUBSTITUTE(SUBSTITUTE(SUBSTITUTE(SUBSTITUTE(SUBSTITUTE(LOWER(AE152&amp;""),CHAR(160),"")," ",""),".",""),"-",""),"/",""),"?",""),"_",""),",",""),"[",""),"]",""),"(",""),")",""),"*","")</f>
        <v/>
      </c>
      <c r="AY152" s="61" t="str">
        <f aca="false">SUBSTITUTE(SUBSTITUTE(SUBSTITUTE(SUBSTITUTE(SUBSTITUTE(SUBSTITUTE(SUBSTITUTE(SUBSTITUTE(SUBSTITUTE(SUBSTITUTE(SUBSTITUTE(SUBSTITUTE(SUBSTITUTE(LOWER(W152&amp;""),CHAR(160),"")," ",""),".",""),"-",""),"/",""),"?",""),"_",""),",",""),"[",""),"]",""),"(",""),")",""),"*","")</f>
        <v/>
      </c>
      <c r="AZ152" s="61" t="str">
        <f aca="false">SUBSTITUTE(SUBSTITUTE(SUBSTITUTE(SUBSTITUTE(SUBSTITUTE(SUBSTITUTE(SUBSTITUTE(SUBSTITUTE(SUBSTITUTE(SUBSTITUTE(SUBSTITUTE(SUBSTITUTE(SUBSTITUTE(LOWER(AC152&amp;""),CHAR(160),"")," ",""),".",""),"-",""),"/",""),"?",""),"_",""),",",""),"[",""),"]",""),"(",""),")",""),"*","")</f>
        <v/>
      </c>
      <c r="BA152" s="61" t="str">
        <f aca="false">SUBSTITUTE(SUBSTITUTE(SUBSTITUTE(SUBSTITUTE(SUBSTITUTE(SUBSTITUTE(SUBSTITUTE(SUBSTITUTE(SUBSTITUTE(SUBSTITUTE(SUBSTITUTE(SUBSTITUTE(SUBSTITUTE(LOWER(AA152&amp;""),CHAR(160),"")," ",""),".",""),"-",""),"/",""),"?",""),"_",""),",",""),"[",""),"]",""),"(",""),")",""),"*","")</f>
        <v/>
      </c>
      <c r="BB152" s="61" t="str">
        <f aca="false">IF(AND(TRIM(U152)="Pass",ISNUMBER(AF152)),IF(AF152&lt;&gt;0,"INVALID – qty variance: use Fail or Pass after CA",""),"")&amp;IF(AND(TRIM(U152)="Pass after CA",ISNUMBER(AF152)),IF(AF152&lt;&gt;0,"INVALID – after the corrective action the actual qty must equal expected (update Actual)",""),"")&amp;IF(AND(TRIM(U152)="Pass",TRIM(AB152)&lt;&gt;"",TRIM(AB152)&lt;&gt;"Closed"),"INVALID – corrective action not closed: use Fail, then Pass after CA","")&amp;IF(AND(TRIM(AA152)&lt;&gt;"",TRIM(AB152)=""),"INVALID – CA status missing for the recorded corrective action","")&amp;IF(AND(TRIM(U152)="Pass after CA",OR(OR(LEN(BA152)&lt;5,ISNUMBER(MATCH(BA152,L_Placeholder,0))),TRIM(AB152)&lt;&gt;"Closed")),"INVALID – corrective action not recorded/closed","")</f>
        <v/>
      </c>
    </row>
    <row r="153" customFormat="false" ht="141" hidden="false" customHeight="true" outlineLevel="0" collapsed="false">
      <c r="A153" s="57" t="s">
        <v>660</v>
      </c>
      <c r="B153" s="57" t="s">
        <v>225</v>
      </c>
      <c r="C153" s="57" t="str">
        <f aca="false">Flights!$F$9</f>
        <v>MH0089</v>
      </c>
      <c r="D153" s="58" t="n">
        <f aca="false">Flights!$D$9</f>
        <v>46310</v>
      </c>
      <c r="E153" s="57" t="str">
        <f aca="false">Flights!$G$9&amp;"-"&amp;Flights!$H$9</f>
        <v>NRT-KUL</v>
      </c>
      <c r="F153" s="57" t="str">
        <f aca="false">Flights!$K$9</f>
        <v>EY</v>
      </c>
      <c r="G153" s="57" t="s">
        <v>398</v>
      </c>
      <c r="H153" s="57" t="s">
        <v>356</v>
      </c>
      <c r="I153" s="57" t="s">
        <v>406</v>
      </c>
      <c r="J153" s="57" t="s">
        <v>413</v>
      </c>
      <c r="K153" s="67" t="s">
        <v>414</v>
      </c>
      <c r="L153" s="67" t="s">
        <v>400</v>
      </c>
      <c r="M153" s="67"/>
      <c r="N153" s="67" t="s">
        <v>361</v>
      </c>
      <c r="O153" s="67" t="s">
        <v>401</v>
      </c>
      <c r="P153" s="57" t="s">
        <v>217</v>
      </c>
      <c r="Q153" s="59" t="n">
        <f aca="false">ROUND((Flights!$AE$9)*1440,0)/1440</f>
        <v>46309.5451388889</v>
      </c>
      <c r="R153" s="59" t="n">
        <f aca="false">Q153+(IF(AND(INDEX(TZ_DSTS,MATCH(P153,TZ_STN,0))&lt;&gt;"",Q153&gt;=INDEX(TZ_DSTS,MATCH(P153,TZ_STN,0)),Q153&lt;INDEX(TZ_DSTE,MATCH(P153,TZ_STN,0))),INDEX(TZ_DST,MATCH(P153,TZ_STN,0)),INDEX(TZ_STD,MATCH(P153,TZ_STN,0))))/24</f>
        <v>46309.9201388889</v>
      </c>
      <c r="S153" s="59" t="n">
        <f aca="false">Q153-T12EarlyH/24</f>
        <v>46309.0451388889</v>
      </c>
      <c r="T153" s="60"/>
      <c r="U153" s="60"/>
      <c r="V153" s="60"/>
      <c r="W153" s="61"/>
      <c r="X153" s="60"/>
      <c r="Y153" s="60"/>
      <c r="Z153" s="60"/>
      <c r="AA153" s="60"/>
      <c r="AB153" s="60"/>
      <c r="AC153" s="60"/>
      <c r="AD153" s="66"/>
      <c r="AE153" s="60"/>
      <c r="AF153" s="61" t="str">
        <f aca="false">IF(AND(ISNUMBER(X153),ISNUMBER(Y153)),Y153-X153,"")</f>
        <v/>
      </c>
      <c r="AG153" s="62" t="str">
        <f aca="false">IF(ISNUMBER(AD153),AD153-(IF(AND(INDEX(TZ_DSTS,MATCH(P153,TZ_STN,0))&lt;&gt;"",(AD153-INDEX(TZ_STD,MATCH(P153,TZ_STN,0))/24)&gt;=INDEX(TZ_DSTS,MATCH(P153,TZ_STN,0)),(AD153-INDEX(TZ_STD,MATCH(P153,TZ_STN,0))/24)&lt;INDEX(TZ_DSTE,MATCH(P153,TZ_STN,0))),INDEX(TZ_DST,MATCH(P153,TZ_STN,0)),INDEX(TZ_STD,MATCH(P153,TZ_STN,0))))/24,"")</f>
        <v/>
      </c>
      <c r="AH153" s="65" t="str">
        <f aca="false">IFERROR(IF(N153="N/A – rule","N/A – RULE",IF(TRIM(U153)="N/A",IF(AT153=0,"INVALID – N/A not permitted for this check",IF(AND(TRIM(AB153)&lt;&gt;"",TRIM(AB153)&lt;&gt;"Closed"),"INVALID – corrective action still open",IF(AND(NOT(OR(LEN(AZ153)&lt;15,ISNUMBER(MATCH(AZ153,L_Placeholder,0)))),NOT(OR(LEN(AU153)&lt;2,ISNUMBER(MATCH(AU153,L_Placeholder,0)))),NOT(OR(LEN(AX153)&lt;2,ISNUMBER(MATCH(AX153,L_Placeholder,0)))),TRIM(AE153)&lt;&gt;TRIM(T153)),"N/A – JUSTIFIED","INVALID – N/A needs a real justification (15+ chars), PIC and a different verifier"))),IF(OR(TRIM(U153)="Pass",TRIM(U153)="Pass after CA"),IF(NOT(ISNUMBER(AD153)),"INVALID – completion time missing",IF(OR(LEN(AU153)&lt;2,ISNUMBER(MATCH(AU153,L_Placeholder,0))),"INVALID – PIC missing",IF(OR(LEN(AV153)&lt;2,ISNUMBER(MATCH(AV153,L_Placeholder,0))),"INVALID – result / assessment missing",IF(OR(OR(LEN(AW153)&lt;3,ISNUMBER(MATCH(AW153,L_Placeholder,0))),SUMPRODUCT(--ISNUMBER(SEARCH(L_EvidencePhrase,AW153)))&gt;0),"INVALID – evidence missing, placeholder or not yet on file",IF(OR(LEN(AX153)&lt;2,ISNUMBER(MATCH(AX153,L_Placeholder,0))),"INVALID – verifier missing",IF(AX153=AU153,"INVALID – verifier must be someone other than the PIC",IF(AND(TRIM(U153)="Pass",SUMPRODUCT(--ISNUMBER(SEARCH(L_ResultBad,AV153)))&gt;0),"INVALID – result describes a problem: use Fail, then Pass after CA",IF(AND(AQ153=1,OR(LEN(AY153)&lt;3,ISNUMBER(MATCH(AY153,L_Placeholder,0)))),"INVALID – batch ID missing or placeholder",IF(AND(AR153=1,OR(NOT(ISNUMBER(X153)),NOT(ISNUMBER(Y153)))),"INVALID – expected/actual qty missing",IF(AND(AR153=1,OR(X153&lt;=0,Y153&lt;0)),"INVALID – expected qty must be above 0 and actual not negative",IF(BB153&lt;&gt;"",BB153,IF(AND(AS153=1,Documents!$J$9&lt;&gt;"ON FILE"),"INVALID – GLD not on file (Documents sheet)",IF(AND(AS153=2,Documents!$O$9&lt;&gt;"ON FILE"),"INVALID – menu checklist not on file (Documents sheet)",IF(AND(AS153=3,NOT(ISNUMBER(Flights!$AX$9))),"INVALID – enter carrying flight KUL departure (Flights AX)",IF(AND(AS153=3,OR(Flights!$AZ$9&gt;Flights!$AA$9,Flights!$AX$9&lt;Flights!$AA$9-3)),"INVALID – carrying flight (Flights AX) cannot arrive before this leg's STD, or is over 3 days early",IF(AG153&gt;AsOfUTC,"INVALID – completion time is in the future",IF(AND(ISNUMBER(S153),AG153&lt;S153),IF(H153="Physical uplift","INVALID – before uplift window (cannot confirm loading)","INVALID – before valid window"),IF(AG153&gt;Flights!$AA$9,"INVALID – completed after departure (cannot establish readiness)",IF(AND(H153="Preparation",AG153&gt;IF(ISNUMBER(Flights!$BA$9),MIN(Flights!$BA$9,Flights!$AA$9),Flights!$AA$9)),"INVALID – completed after loading / departure (cannot establish readiness)",IF(AND(H153="Physical uplift",AG153&gt;Q153),"INVALID – recorded after the loading flight departed",IF(AG153&gt;Q153,"COMPLETE – LATE","COMPLETE"))))))))))))))))))))),IF(TRIM(U153)="Fail","FAIL – DISCREPANCY",IF(AND(TRIM(U153)&lt;&gt;"",TRIM(U153)&lt;&gt;"Not started",TRIM(U153)&lt;&gt;"In progress"),"INVALID – unrecognised status (use the list)",IF(AsOfUTC&gt;Q153,"OVERDUE",IF(N153="Clarification required","OPEN – CLARIFICATION","OPEN"))))))),"INVALID – error value in an input cell")</f>
        <v>OPEN</v>
      </c>
      <c r="AI153" s="61" t="n">
        <f aca="false">IF(OR(AH153="N/A – RULE",AH153="N/A – JUSTIFIED"),0,1)</f>
        <v>1</v>
      </c>
      <c r="AJ153" s="61" t="n">
        <f aca="false">IF(LEFT(AH153,8)="COMPLETE",1,0)</f>
        <v>0</v>
      </c>
      <c r="AK153" s="61" t="n">
        <f aca="false">IF(AND(AI153=1,AJ153=0,AsOfUTC&gt;Q153),1,0)</f>
        <v>0</v>
      </c>
      <c r="AL153" s="61" t="n">
        <f aca="false">IFERROR(IF(AND(AI153=1,OR(TRIM(U153)="Fail",AND(TRIM(AB153)&lt;&gt;"",TRIM(AB153)&lt;&gt;"Closed"),AND(ISNUMBER(AF153),AF153&lt;&gt;0,TRIM(U153)&lt;&gt;"Pass after CA"))),1,0),1)</f>
        <v>0</v>
      </c>
      <c r="AM153" s="61" t="n">
        <f aca="false">IF(LEFT(AH153,7)="INVALID",1,0)</f>
        <v>0</v>
      </c>
      <c r="AN153" s="61" t="n">
        <f aca="false">IF(AND(N153="Clarification required",AI153=1,AJ153=0),1,0)</f>
        <v>0</v>
      </c>
      <c r="AO153" s="61" t="str">
        <f aca="false">IF(AK153=1,SUM(AK$5:AK153),"")</f>
        <v/>
      </c>
      <c r="AP153" s="61" t="str">
        <f aca="false">IF(AL153=1,SUM(AL$5:AL153),"")</f>
        <v/>
      </c>
      <c r="AQ153" s="61" t="n">
        <v>0</v>
      </c>
      <c r="AR153" s="61" t="n">
        <v>1</v>
      </c>
      <c r="AS153" s="61" t="n">
        <v>0</v>
      </c>
      <c r="AT153" s="61" t="n">
        <v>0</v>
      </c>
      <c r="AU153" s="61" t="str">
        <f aca="false">SUBSTITUTE(SUBSTITUTE(SUBSTITUTE(SUBSTITUTE(SUBSTITUTE(SUBSTITUTE(SUBSTITUTE(SUBSTITUTE(SUBSTITUTE(SUBSTITUTE(SUBSTITUTE(SUBSTITUTE(SUBSTITUTE(LOWER(T153&amp;""),CHAR(160),"")," ",""),".",""),"-",""),"/",""),"?",""),"_",""),",",""),"[",""),"]",""),"(",""),")",""),"*","")</f>
        <v/>
      </c>
      <c r="AV153" s="61" t="str">
        <f aca="false">SUBSTITUTE(SUBSTITUTE(SUBSTITUTE(SUBSTITUTE(SUBSTITUTE(SUBSTITUTE(SUBSTITUTE(SUBSTITUTE(SUBSTITUTE(SUBSTITUTE(SUBSTITUTE(SUBSTITUTE(SUBSTITUTE(LOWER(V153&amp;""),CHAR(160),"")," ",""),".",""),"-",""),"/",""),"?",""),"_",""),",",""),"[",""),"]",""),"(",""),")",""),"*","")</f>
        <v/>
      </c>
      <c r="AW153" s="61" t="str">
        <f aca="false">SUBSTITUTE(SUBSTITUTE(SUBSTITUTE(SUBSTITUTE(SUBSTITUTE(SUBSTITUTE(SUBSTITUTE(SUBSTITUTE(SUBSTITUTE(SUBSTITUTE(SUBSTITUTE(SUBSTITUTE(SUBSTITUTE(LOWER(Z153&amp;""),CHAR(160),"")," ",""),".",""),"-",""),"/",""),"?",""),"_",""),",",""),"[",""),"]",""),"(",""),")",""),"*","")</f>
        <v/>
      </c>
      <c r="AX153" s="61" t="str">
        <f aca="false">SUBSTITUTE(SUBSTITUTE(SUBSTITUTE(SUBSTITUTE(SUBSTITUTE(SUBSTITUTE(SUBSTITUTE(SUBSTITUTE(SUBSTITUTE(SUBSTITUTE(SUBSTITUTE(SUBSTITUTE(SUBSTITUTE(LOWER(AE153&amp;""),CHAR(160),"")," ",""),".",""),"-",""),"/",""),"?",""),"_",""),",",""),"[",""),"]",""),"(",""),")",""),"*","")</f>
        <v/>
      </c>
      <c r="AY153" s="61" t="str">
        <f aca="false">SUBSTITUTE(SUBSTITUTE(SUBSTITUTE(SUBSTITUTE(SUBSTITUTE(SUBSTITUTE(SUBSTITUTE(SUBSTITUTE(SUBSTITUTE(SUBSTITUTE(SUBSTITUTE(SUBSTITUTE(SUBSTITUTE(LOWER(W153&amp;""),CHAR(160),"")," ",""),".",""),"-",""),"/",""),"?",""),"_",""),",",""),"[",""),"]",""),"(",""),")",""),"*","")</f>
        <v/>
      </c>
      <c r="AZ153" s="61" t="str">
        <f aca="false">SUBSTITUTE(SUBSTITUTE(SUBSTITUTE(SUBSTITUTE(SUBSTITUTE(SUBSTITUTE(SUBSTITUTE(SUBSTITUTE(SUBSTITUTE(SUBSTITUTE(SUBSTITUTE(SUBSTITUTE(SUBSTITUTE(LOWER(AC153&amp;""),CHAR(160),"")," ",""),".",""),"-",""),"/",""),"?",""),"_",""),",",""),"[",""),"]",""),"(",""),")",""),"*","")</f>
        <v/>
      </c>
      <c r="BA153" s="61" t="str">
        <f aca="false">SUBSTITUTE(SUBSTITUTE(SUBSTITUTE(SUBSTITUTE(SUBSTITUTE(SUBSTITUTE(SUBSTITUTE(SUBSTITUTE(SUBSTITUTE(SUBSTITUTE(SUBSTITUTE(SUBSTITUTE(SUBSTITUTE(LOWER(AA153&amp;""),CHAR(160),"")," ",""),".",""),"-",""),"/",""),"?",""),"_",""),",",""),"[",""),"]",""),"(",""),")",""),"*","")</f>
        <v/>
      </c>
      <c r="BB153" s="61" t="str">
        <f aca="false">IF(AND(TRIM(U153)="Pass",ISNUMBER(AF153)),IF(AF153&lt;&gt;0,"INVALID – qty variance: use Fail or Pass after CA",""),"")&amp;IF(AND(TRIM(U153)="Pass after CA",ISNUMBER(AF153)),IF(AF153&lt;&gt;0,"INVALID – after the corrective action the actual qty must equal expected (update Actual)",""),"")&amp;IF(AND(TRIM(U153)="Pass",TRIM(AB153)&lt;&gt;"",TRIM(AB153)&lt;&gt;"Closed"),"INVALID – corrective action not closed: use Fail, then Pass after CA","")&amp;IF(AND(TRIM(AA153)&lt;&gt;"",TRIM(AB153)=""),"INVALID – CA status missing for the recorded corrective action","")&amp;IF(AND(TRIM(U153)="Pass after CA",OR(OR(LEN(BA153)&lt;5,ISNUMBER(MATCH(BA153,L_Placeholder,0))),TRIM(AB153)&lt;&gt;"Closed")),"INVALID – corrective action not recorded/closed","")</f>
        <v/>
      </c>
    </row>
    <row r="154" customFormat="false" ht="39.75" hidden="false" customHeight="true" outlineLevel="0" collapsed="false">
      <c r="A154" s="57" t="s">
        <v>661</v>
      </c>
      <c r="B154" s="57" t="s">
        <v>225</v>
      </c>
      <c r="C154" s="57" t="str">
        <f aca="false">Flights!$F$9</f>
        <v>MH0089</v>
      </c>
      <c r="D154" s="58" t="n">
        <f aca="false">Flights!$D$9</f>
        <v>46310</v>
      </c>
      <c r="E154" s="57" t="str">
        <f aca="false">Flights!$G$9&amp;"-"&amp;Flights!$H$9</f>
        <v>NRT-KUL</v>
      </c>
      <c r="F154" s="57" t="str">
        <f aca="false">Flights!$K$9</f>
        <v>EY</v>
      </c>
      <c r="G154" s="57" t="s">
        <v>398</v>
      </c>
      <c r="H154" s="57" t="s">
        <v>356</v>
      </c>
      <c r="I154" s="57" t="s">
        <v>406</v>
      </c>
      <c r="J154" s="57" t="s">
        <v>416</v>
      </c>
      <c r="K154" s="67"/>
      <c r="L154" s="67" t="s">
        <v>400</v>
      </c>
      <c r="M154" s="67"/>
      <c r="N154" s="67" t="s">
        <v>361</v>
      </c>
      <c r="O154" s="67" t="s">
        <v>401</v>
      </c>
      <c r="P154" s="57" t="s">
        <v>217</v>
      </c>
      <c r="Q154" s="59" t="n">
        <f aca="false">ROUND((Flights!$AE$9)*1440,0)/1440</f>
        <v>46309.5451388889</v>
      </c>
      <c r="R154" s="59" t="n">
        <f aca="false">Q154+(IF(AND(INDEX(TZ_DSTS,MATCH(P154,TZ_STN,0))&lt;&gt;"",Q154&gt;=INDEX(TZ_DSTS,MATCH(P154,TZ_STN,0)),Q154&lt;INDEX(TZ_DSTE,MATCH(P154,TZ_STN,0))),INDEX(TZ_DST,MATCH(P154,TZ_STN,0)),INDEX(TZ_STD,MATCH(P154,TZ_STN,0))))/24</f>
        <v>46309.9201388889</v>
      </c>
      <c r="S154" s="59" t="n">
        <f aca="false">Q154-T12EarlyH/24</f>
        <v>46309.0451388889</v>
      </c>
      <c r="T154" s="60"/>
      <c r="U154" s="60"/>
      <c r="V154" s="60"/>
      <c r="W154" s="61"/>
      <c r="X154" s="60"/>
      <c r="Y154" s="60"/>
      <c r="Z154" s="60"/>
      <c r="AA154" s="60"/>
      <c r="AB154" s="60"/>
      <c r="AC154" s="60"/>
      <c r="AD154" s="66"/>
      <c r="AE154" s="60"/>
      <c r="AF154" s="61" t="str">
        <f aca="false">IF(AND(ISNUMBER(X154),ISNUMBER(Y154)),Y154-X154,"")</f>
        <v/>
      </c>
      <c r="AG154" s="62" t="str">
        <f aca="false">IF(ISNUMBER(AD154),AD154-(IF(AND(INDEX(TZ_DSTS,MATCH(P154,TZ_STN,0))&lt;&gt;"",(AD154-INDEX(TZ_STD,MATCH(P154,TZ_STN,0))/24)&gt;=INDEX(TZ_DSTS,MATCH(P154,TZ_STN,0)),(AD154-INDEX(TZ_STD,MATCH(P154,TZ_STN,0))/24)&lt;INDEX(TZ_DSTE,MATCH(P154,TZ_STN,0))),INDEX(TZ_DST,MATCH(P154,TZ_STN,0)),INDEX(TZ_STD,MATCH(P154,TZ_STN,0))))/24,"")</f>
        <v/>
      </c>
      <c r="AH154" s="65" t="str">
        <f aca="false">IFERROR(IF(N154="N/A – rule","N/A – RULE",IF(TRIM(U154)="N/A",IF(AT154=0,"INVALID – N/A not permitted for this check",IF(AND(TRIM(AB154)&lt;&gt;"",TRIM(AB154)&lt;&gt;"Closed"),"INVALID – corrective action still open",IF(AND(NOT(OR(LEN(AZ154)&lt;15,ISNUMBER(MATCH(AZ154,L_Placeholder,0)))),NOT(OR(LEN(AU154)&lt;2,ISNUMBER(MATCH(AU154,L_Placeholder,0)))),NOT(OR(LEN(AX154)&lt;2,ISNUMBER(MATCH(AX154,L_Placeholder,0)))),TRIM(AE154)&lt;&gt;TRIM(T154)),"N/A – JUSTIFIED","INVALID – N/A needs a real justification (15+ chars), PIC and a different verifier"))),IF(OR(TRIM(U154)="Pass",TRIM(U154)="Pass after CA"),IF(NOT(ISNUMBER(AD154)),"INVALID – completion time missing",IF(OR(LEN(AU154)&lt;2,ISNUMBER(MATCH(AU154,L_Placeholder,0))),"INVALID – PIC missing",IF(OR(LEN(AV154)&lt;2,ISNUMBER(MATCH(AV154,L_Placeholder,0))),"INVALID – result / assessment missing",IF(OR(OR(LEN(AW154)&lt;3,ISNUMBER(MATCH(AW154,L_Placeholder,0))),SUMPRODUCT(--ISNUMBER(SEARCH(L_EvidencePhrase,AW154)))&gt;0),"INVALID – evidence missing, placeholder or not yet on file",IF(OR(LEN(AX154)&lt;2,ISNUMBER(MATCH(AX154,L_Placeholder,0))),"INVALID – verifier missing",IF(AX154=AU154,"INVALID – verifier must be someone other than the PIC",IF(AND(TRIM(U154)="Pass",SUMPRODUCT(--ISNUMBER(SEARCH(L_ResultBad,AV154)))&gt;0),"INVALID – result describes a problem: use Fail, then Pass after CA",IF(AND(AQ154=1,OR(LEN(AY154)&lt;3,ISNUMBER(MATCH(AY154,L_Placeholder,0)))),"INVALID – batch ID missing or placeholder",IF(AND(AR154=1,OR(NOT(ISNUMBER(X154)),NOT(ISNUMBER(Y154)))),"INVALID – expected/actual qty missing",IF(AND(AR154=1,OR(X154&lt;=0,Y154&lt;0)),"INVALID – expected qty must be above 0 and actual not negative",IF(BB154&lt;&gt;"",BB154,IF(AND(AS154=1,Documents!$J$9&lt;&gt;"ON FILE"),"INVALID – GLD not on file (Documents sheet)",IF(AND(AS154=2,Documents!$O$9&lt;&gt;"ON FILE"),"INVALID – menu checklist not on file (Documents sheet)",IF(AND(AS154=3,NOT(ISNUMBER(Flights!$AX$9))),"INVALID – enter carrying flight KUL departure (Flights AX)",IF(AND(AS154=3,OR(Flights!$AZ$9&gt;Flights!$AA$9,Flights!$AX$9&lt;Flights!$AA$9-3)),"INVALID – carrying flight (Flights AX) cannot arrive before this leg's STD, or is over 3 days early",IF(AG154&gt;AsOfUTC,"INVALID – completion time is in the future",IF(AND(ISNUMBER(S154),AG154&lt;S154),IF(H154="Physical uplift","INVALID – before uplift window (cannot confirm loading)","INVALID – before valid window"),IF(AG154&gt;Flights!$AA$9,"INVALID – completed after departure (cannot establish readiness)",IF(AND(H154="Preparation",AG154&gt;IF(ISNUMBER(Flights!$BA$9),MIN(Flights!$BA$9,Flights!$AA$9),Flights!$AA$9)),"INVALID – completed after loading / departure (cannot establish readiness)",IF(AND(H154="Physical uplift",AG154&gt;Q154),"INVALID – recorded after the loading flight departed",IF(AG154&gt;Q154,"COMPLETE – LATE","COMPLETE"))))))))))))))))))))),IF(TRIM(U154)="Fail","FAIL – DISCREPANCY",IF(AND(TRIM(U154)&lt;&gt;"",TRIM(U154)&lt;&gt;"Not started",TRIM(U154)&lt;&gt;"In progress"),"INVALID – unrecognised status (use the list)",IF(AsOfUTC&gt;Q154,"OVERDUE",IF(N154="Clarification required","OPEN – CLARIFICATION","OPEN"))))))),"INVALID – error value in an input cell")</f>
        <v>OPEN</v>
      </c>
      <c r="AI154" s="61" t="n">
        <f aca="false">IF(OR(AH154="N/A – RULE",AH154="N/A – JUSTIFIED"),0,1)</f>
        <v>1</v>
      </c>
      <c r="AJ154" s="61" t="n">
        <f aca="false">IF(LEFT(AH154,8)="COMPLETE",1,0)</f>
        <v>0</v>
      </c>
      <c r="AK154" s="61" t="n">
        <f aca="false">IF(AND(AI154=1,AJ154=0,AsOfUTC&gt;Q154),1,0)</f>
        <v>0</v>
      </c>
      <c r="AL154" s="61" t="n">
        <f aca="false">IFERROR(IF(AND(AI154=1,OR(TRIM(U154)="Fail",AND(TRIM(AB154)&lt;&gt;"",TRIM(AB154)&lt;&gt;"Closed"),AND(ISNUMBER(AF154),AF154&lt;&gt;0,TRIM(U154)&lt;&gt;"Pass after CA"))),1,0),1)</f>
        <v>0</v>
      </c>
      <c r="AM154" s="61" t="n">
        <f aca="false">IF(LEFT(AH154,7)="INVALID",1,0)</f>
        <v>0</v>
      </c>
      <c r="AN154" s="61" t="n">
        <f aca="false">IF(AND(N154="Clarification required",AI154=1,AJ154=0),1,0)</f>
        <v>0</v>
      </c>
      <c r="AO154" s="61" t="str">
        <f aca="false">IF(AK154=1,SUM(AK$5:AK154),"")</f>
        <v/>
      </c>
      <c r="AP154" s="61" t="str">
        <f aca="false">IF(AL154=1,SUM(AL$5:AL154),"")</f>
        <v/>
      </c>
      <c r="AQ154" s="61" t="n">
        <v>0</v>
      </c>
      <c r="AR154" s="61" t="n">
        <v>0</v>
      </c>
      <c r="AS154" s="61" t="n">
        <v>0</v>
      </c>
      <c r="AT154" s="61" t="n">
        <v>0</v>
      </c>
      <c r="AU154" s="61" t="str">
        <f aca="false">SUBSTITUTE(SUBSTITUTE(SUBSTITUTE(SUBSTITUTE(SUBSTITUTE(SUBSTITUTE(SUBSTITUTE(SUBSTITUTE(SUBSTITUTE(SUBSTITUTE(SUBSTITUTE(SUBSTITUTE(SUBSTITUTE(LOWER(T154&amp;""),CHAR(160),"")," ",""),".",""),"-",""),"/",""),"?",""),"_",""),",",""),"[",""),"]",""),"(",""),")",""),"*","")</f>
        <v/>
      </c>
      <c r="AV154" s="61" t="str">
        <f aca="false">SUBSTITUTE(SUBSTITUTE(SUBSTITUTE(SUBSTITUTE(SUBSTITUTE(SUBSTITUTE(SUBSTITUTE(SUBSTITUTE(SUBSTITUTE(SUBSTITUTE(SUBSTITUTE(SUBSTITUTE(SUBSTITUTE(LOWER(V154&amp;""),CHAR(160),"")," ",""),".",""),"-",""),"/",""),"?",""),"_",""),",",""),"[",""),"]",""),"(",""),")",""),"*","")</f>
        <v/>
      </c>
      <c r="AW154" s="61" t="str">
        <f aca="false">SUBSTITUTE(SUBSTITUTE(SUBSTITUTE(SUBSTITUTE(SUBSTITUTE(SUBSTITUTE(SUBSTITUTE(SUBSTITUTE(SUBSTITUTE(SUBSTITUTE(SUBSTITUTE(SUBSTITUTE(SUBSTITUTE(LOWER(Z154&amp;""),CHAR(160),"")," ",""),".",""),"-",""),"/",""),"?",""),"_",""),",",""),"[",""),"]",""),"(",""),")",""),"*","")</f>
        <v/>
      </c>
      <c r="AX154" s="61" t="str">
        <f aca="false">SUBSTITUTE(SUBSTITUTE(SUBSTITUTE(SUBSTITUTE(SUBSTITUTE(SUBSTITUTE(SUBSTITUTE(SUBSTITUTE(SUBSTITUTE(SUBSTITUTE(SUBSTITUTE(SUBSTITUTE(SUBSTITUTE(LOWER(AE154&amp;""),CHAR(160),"")," ",""),".",""),"-",""),"/",""),"?",""),"_",""),",",""),"[",""),"]",""),"(",""),")",""),"*","")</f>
        <v/>
      </c>
      <c r="AY154" s="61" t="str">
        <f aca="false">SUBSTITUTE(SUBSTITUTE(SUBSTITUTE(SUBSTITUTE(SUBSTITUTE(SUBSTITUTE(SUBSTITUTE(SUBSTITUTE(SUBSTITUTE(SUBSTITUTE(SUBSTITUTE(SUBSTITUTE(SUBSTITUTE(LOWER(W154&amp;""),CHAR(160),"")," ",""),".",""),"-",""),"/",""),"?",""),"_",""),",",""),"[",""),"]",""),"(",""),")",""),"*","")</f>
        <v/>
      </c>
      <c r="AZ154" s="61" t="str">
        <f aca="false">SUBSTITUTE(SUBSTITUTE(SUBSTITUTE(SUBSTITUTE(SUBSTITUTE(SUBSTITUTE(SUBSTITUTE(SUBSTITUTE(SUBSTITUTE(SUBSTITUTE(SUBSTITUTE(SUBSTITUTE(SUBSTITUTE(LOWER(AC154&amp;""),CHAR(160),"")," ",""),".",""),"-",""),"/",""),"?",""),"_",""),",",""),"[",""),"]",""),"(",""),")",""),"*","")</f>
        <v/>
      </c>
      <c r="BA154" s="61" t="str">
        <f aca="false">SUBSTITUTE(SUBSTITUTE(SUBSTITUTE(SUBSTITUTE(SUBSTITUTE(SUBSTITUTE(SUBSTITUTE(SUBSTITUTE(SUBSTITUTE(SUBSTITUTE(SUBSTITUTE(SUBSTITUTE(SUBSTITUTE(LOWER(AA154&amp;""),CHAR(160),"")," ",""),".",""),"-",""),"/",""),"?",""),"_",""),",",""),"[",""),"]",""),"(",""),")",""),"*","")</f>
        <v/>
      </c>
      <c r="BB154" s="61" t="str">
        <f aca="false">IF(AND(TRIM(U154)="Pass",ISNUMBER(AF154)),IF(AF154&lt;&gt;0,"INVALID – qty variance: use Fail or Pass after CA",""),"")&amp;IF(AND(TRIM(U154)="Pass after CA",ISNUMBER(AF154)),IF(AF154&lt;&gt;0,"INVALID – after the corrective action the actual qty must equal expected (update Actual)",""),"")&amp;IF(AND(TRIM(U154)="Pass",TRIM(AB154)&lt;&gt;"",TRIM(AB154)&lt;&gt;"Closed"),"INVALID – corrective action not closed: use Fail, then Pass after CA","")&amp;IF(AND(TRIM(AA154)&lt;&gt;"",TRIM(AB154)=""),"INVALID – CA status missing for the recorded corrective action","")&amp;IF(AND(TRIM(U154)="Pass after CA",OR(OR(LEN(BA154)&lt;5,ISNUMBER(MATCH(BA154,L_Placeholder,0))),TRIM(AB154)&lt;&gt;"Closed")),"INVALID – corrective action not recorded/closed","")</f>
        <v/>
      </c>
    </row>
    <row r="155" customFormat="false" ht="78.75" hidden="false" customHeight="true" outlineLevel="0" collapsed="false">
      <c r="A155" s="57" t="s">
        <v>662</v>
      </c>
      <c r="B155" s="57" t="s">
        <v>225</v>
      </c>
      <c r="C155" s="57" t="str">
        <f aca="false">Flights!$F$9</f>
        <v>MH0089</v>
      </c>
      <c r="D155" s="58" t="n">
        <f aca="false">Flights!$D$9</f>
        <v>46310</v>
      </c>
      <c r="E155" s="57" t="str">
        <f aca="false">Flights!$G$9&amp;"-"&amp;Flights!$H$9</f>
        <v>NRT-KUL</v>
      </c>
      <c r="F155" s="57" t="str">
        <f aca="false">Flights!$K$9</f>
        <v>EY</v>
      </c>
      <c r="G155" s="57" t="s">
        <v>398</v>
      </c>
      <c r="H155" s="57" t="s">
        <v>356</v>
      </c>
      <c r="I155" s="57" t="s">
        <v>418</v>
      </c>
      <c r="J155" s="57" t="s">
        <v>419</v>
      </c>
      <c r="K155" s="67" t="s">
        <v>420</v>
      </c>
      <c r="L155" s="67" t="s">
        <v>579</v>
      </c>
      <c r="M155" s="67" t="s">
        <v>184</v>
      </c>
      <c r="N155" s="67" t="s">
        <v>422</v>
      </c>
      <c r="O155" s="67" t="s">
        <v>663</v>
      </c>
      <c r="P155" s="57" t="s">
        <v>184</v>
      </c>
      <c r="Q155" s="59" t="n">
        <f aca="false">ROUND((MIN(Flights!$AE$9,Flights!$AY$9))*1440,0)/1440</f>
        <v>46305.3958333333</v>
      </c>
      <c r="R155" s="59" t="n">
        <f aca="false">Q155+(IF(AND(INDEX(TZ_DSTS,MATCH(P155,TZ_STN,0))&lt;&gt;"",Q155&gt;=INDEX(TZ_DSTS,MATCH(P155,TZ_STN,0)),Q155&lt;INDEX(TZ_DSTE,MATCH(P155,TZ_STN,0))),INDEX(TZ_DST,MATCH(P155,TZ_STN,0)),INDEX(TZ_STD,MATCH(P155,TZ_STN,0))))/24</f>
        <v>46305.7291666667</v>
      </c>
      <c r="S155" s="59" t="n">
        <f aca="false">Q155-T12EarlyH/24</f>
        <v>46304.8958333333</v>
      </c>
      <c r="T155" s="60"/>
      <c r="U155" s="60"/>
      <c r="V155" s="60"/>
      <c r="W155" s="61"/>
      <c r="X155" s="60"/>
      <c r="Y155" s="60"/>
      <c r="Z155" s="60"/>
      <c r="AA155" s="60"/>
      <c r="AB155" s="60"/>
      <c r="AC155" s="60"/>
      <c r="AD155" s="66"/>
      <c r="AE155" s="60"/>
      <c r="AF155" s="61" t="str">
        <f aca="false">IF(AND(ISNUMBER(X155),ISNUMBER(Y155)),Y155-X155,"")</f>
        <v/>
      </c>
      <c r="AG155" s="62" t="str">
        <f aca="false">IF(ISNUMBER(AD155),AD155-(IF(AND(INDEX(TZ_DSTS,MATCH(P155,TZ_STN,0))&lt;&gt;"",(AD155-INDEX(TZ_STD,MATCH(P155,TZ_STN,0))/24)&gt;=INDEX(TZ_DSTS,MATCH(P155,TZ_STN,0)),(AD155-INDEX(TZ_STD,MATCH(P155,TZ_STN,0))/24)&lt;INDEX(TZ_DSTE,MATCH(P155,TZ_STN,0))),INDEX(TZ_DST,MATCH(P155,TZ_STN,0)),INDEX(TZ_STD,MATCH(P155,TZ_STN,0))))/24,"")</f>
        <v/>
      </c>
      <c r="AH155" s="65" t="str">
        <f aca="false">IFERROR(IF(N155="N/A – rule","N/A – RULE",IF(TRIM(U155)="N/A",IF(AT155=0,"INVALID – N/A not permitted for this check",IF(AND(TRIM(AB155)&lt;&gt;"",TRIM(AB155)&lt;&gt;"Closed"),"INVALID – corrective action still open",IF(AND(NOT(OR(LEN(AZ155)&lt;15,ISNUMBER(MATCH(AZ155,L_Placeholder,0)))),NOT(OR(LEN(AU155)&lt;2,ISNUMBER(MATCH(AU155,L_Placeholder,0)))),NOT(OR(LEN(AX155)&lt;2,ISNUMBER(MATCH(AX155,L_Placeholder,0)))),TRIM(AE155)&lt;&gt;TRIM(T155)),"N/A – JUSTIFIED","INVALID – N/A needs a real justification (15+ chars), PIC and a different verifier"))),IF(OR(TRIM(U155)="Pass",TRIM(U155)="Pass after CA"),IF(NOT(ISNUMBER(AD155)),"INVALID – completion time missing",IF(OR(LEN(AU155)&lt;2,ISNUMBER(MATCH(AU155,L_Placeholder,0))),"INVALID – PIC missing",IF(OR(LEN(AV155)&lt;2,ISNUMBER(MATCH(AV155,L_Placeholder,0))),"INVALID – result / assessment missing",IF(OR(OR(LEN(AW155)&lt;3,ISNUMBER(MATCH(AW155,L_Placeholder,0))),SUMPRODUCT(--ISNUMBER(SEARCH(L_EvidencePhrase,AW155)))&gt;0),"INVALID – evidence missing, placeholder or not yet on file",IF(OR(LEN(AX155)&lt;2,ISNUMBER(MATCH(AX155,L_Placeholder,0))),"INVALID – verifier missing",IF(AX155=AU155,"INVALID – verifier must be someone other than the PIC",IF(AND(TRIM(U155)="Pass",SUMPRODUCT(--ISNUMBER(SEARCH(L_ResultBad,AV155)))&gt;0),"INVALID – result describes a problem: use Fail, then Pass after CA",IF(AND(AQ155=1,OR(LEN(AY155)&lt;3,ISNUMBER(MATCH(AY155,L_Placeholder,0)))),"INVALID – batch ID missing or placeholder",IF(AND(AR155=1,OR(NOT(ISNUMBER(X155)),NOT(ISNUMBER(Y155)))),"INVALID – expected/actual qty missing",IF(AND(AR155=1,OR(X155&lt;=0,Y155&lt;0)),"INVALID – expected qty must be above 0 and actual not negative",IF(BB155&lt;&gt;"",BB155,IF(AND(AS155=1,Documents!$J$9&lt;&gt;"ON FILE"),"INVALID – GLD not on file (Documents sheet)",IF(AND(AS155=2,Documents!$O$9&lt;&gt;"ON FILE"),"INVALID – menu checklist not on file (Documents sheet)",IF(AND(AS155=3,NOT(ISNUMBER(Flights!$AX$9))),"INVALID – enter carrying flight KUL departure (Flights AX)",IF(AND(AS155=3,OR(Flights!$AZ$9&gt;Flights!$AA$9,Flights!$AX$9&lt;Flights!$AA$9-3)),"INVALID – carrying flight (Flights AX) cannot arrive before this leg's STD, or is over 3 days early",IF(AG155&gt;AsOfUTC,"INVALID – completion time is in the future",IF(AND(ISNUMBER(S155),AG155&lt;S155),IF(H155="Physical uplift","INVALID – before uplift window (cannot confirm loading)","INVALID – before valid window"),IF(AG155&gt;Flights!$AA$9,"INVALID – completed after departure (cannot establish readiness)",IF(AND(H155="Preparation",AG155&gt;Flights!$AY$9+UpliftWindowH/24),"INVALID – completed after the carrying flight left KUL",IF(AND(H155="Physical uplift",AG155&gt;Q155),"INVALID – recorded after the loading flight departed",IF(AG155&gt;Q155,"COMPLETE – LATE","COMPLETE"))))))))))))))))))))),IF(TRIM(U155)="Fail","FAIL – DISCREPANCY",IF(AND(TRIM(U155)&lt;&gt;"",TRIM(U155)&lt;&gt;"Not started",TRIM(U155)&lt;&gt;"In progress"),"INVALID – unrecognised status (use the list)",IF(AsOfUTC&gt;Q155,"OVERDUE",IF(N155="Clarification required","OPEN – CLARIFICATION","OPEN"))))))),"INVALID – error value in an input cell")</f>
        <v>OPEN – CLARIFICATION</v>
      </c>
      <c r="AI155" s="61" t="n">
        <f aca="false">IF(OR(AH155="N/A – RULE",AH155="N/A – JUSTIFIED"),0,1)</f>
        <v>1</v>
      </c>
      <c r="AJ155" s="61" t="n">
        <f aca="false">IF(LEFT(AH155,8)="COMPLETE",1,0)</f>
        <v>0</v>
      </c>
      <c r="AK155" s="61" t="n">
        <f aca="false">IF(AND(AI155=1,AJ155=0,AsOfUTC&gt;Q155),1,0)</f>
        <v>0</v>
      </c>
      <c r="AL155" s="61" t="n">
        <f aca="false">IFERROR(IF(AND(AI155=1,OR(TRIM(U155)="Fail",AND(TRIM(AB155)&lt;&gt;"",TRIM(AB155)&lt;&gt;"Closed"),AND(ISNUMBER(AF155),AF155&lt;&gt;0,TRIM(U155)&lt;&gt;"Pass after CA"))),1,0),1)</f>
        <v>0</v>
      </c>
      <c r="AM155" s="61" t="n">
        <f aca="false">IF(LEFT(AH155,7)="INVALID",1,0)</f>
        <v>0</v>
      </c>
      <c r="AN155" s="61" t="n">
        <f aca="false">IF(AND(N155="Clarification required",AI155=1,AJ155=0),1,0)</f>
        <v>1</v>
      </c>
      <c r="AO155" s="61" t="str">
        <f aca="false">IF(AK155=1,SUM(AK$5:AK155),"")</f>
        <v/>
      </c>
      <c r="AP155" s="61" t="str">
        <f aca="false">IF(AL155=1,SUM(AL$5:AL155),"")</f>
        <v/>
      </c>
      <c r="AQ155" s="61" t="n">
        <v>0</v>
      </c>
      <c r="AR155" s="61" t="n">
        <v>0</v>
      </c>
      <c r="AS155" s="61" t="n">
        <v>0</v>
      </c>
      <c r="AT155" s="61" t="n">
        <v>1</v>
      </c>
      <c r="AU155" s="61" t="str">
        <f aca="false">SUBSTITUTE(SUBSTITUTE(SUBSTITUTE(SUBSTITUTE(SUBSTITUTE(SUBSTITUTE(SUBSTITUTE(SUBSTITUTE(SUBSTITUTE(SUBSTITUTE(SUBSTITUTE(SUBSTITUTE(SUBSTITUTE(LOWER(T155&amp;""),CHAR(160),"")," ",""),".",""),"-",""),"/",""),"?",""),"_",""),",",""),"[",""),"]",""),"(",""),")",""),"*","")</f>
        <v/>
      </c>
      <c r="AV155" s="61" t="str">
        <f aca="false">SUBSTITUTE(SUBSTITUTE(SUBSTITUTE(SUBSTITUTE(SUBSTITUTE(SUBSTITUTE(SUBSTITUTE(SUBSTITUTE(SUBSTITUTE(SUBSTITUTE(SUBSTITUTE(SUBSTITUTE(SUBSTITUTE(LOWER(V155&amp;""),CHAR(160),"")," ",""),".",""),"-",""),"/",""),"?",""),"_",""),",",""),"[",""),"]",""),"(",""),")",""),"*","")</f>
        <v/>
      </c>
      <c r="AW155" s="61" t="str">
        <f aca="false">SUBSTITUTE(SUBSTITUTE(SUBSTITUTE(SUBSTITUTE(SUBSTITUTE(SUBSTITUTE(SUBSTITUTE(SUBSTITUTE(SUBSTITUTE(SUBSTITUTE(SUBSTITUTE(SUBSTITUTE(SUBSTITUTE(LOWER(Z155&amp;""),CHAR(160),"")," ",""),".",""),"-",""),"/",""),"?",""),"_",""),",",""),"[",""),"]",""),"(",""),")",""),"*","")</f>
        <v/>
      </c>
      <c r="AX155" s="61" t="str">
        <f aca="false">SUBSTITUTE(SUBSTITUTE(SUBSTITUTE(SUBSTITUTE(SUBSTITUTE(SUBSTITUTE(SUBSTITUTE(SUBSTITUTE(SUBSTITUTE(SUBSTITUTE(SUBSTITUTE(SUBSTITUTE(SUBSTITUTE(LOWER(AE155&amp;""),CHAR(160),"")," ",""),".",""),"-",""),"/",""),"?",""),"_",""),",",""),"[",""),"]",""),"(",""),")",""),"*","")</f>
        <v/>
      </c>
      <c r="AY155" s="61" t="str">
        <f aca="false">SUBSTITUTE(SUBSTITUTE(SUBSTITUTE(SUBSTITUTE(SUBSTITUTE(SUBSTITUTE(SUBSTITUTE(SUBSTITUTE(SUBSTITUTE(SUBSTITUTE(SUBSTITUTE(SUBSTITUTE(SUBSTITUTE(LOWER(W155&amp;""),CHAR(160),"")," ",""),".",""),"-",""),"/",""),"?",""),"_",""),",",""),"[",""),"]",""),"(",""),")",""),"*","")</f>
        <v/>
      </c>
      <c r="AZ155" s="61" t="str">
        <f aca="false">SUBSTITUTE(SUBSTITUTE(SUBSTITUTE(SUBSTITUTE(SUBSTITUTE(SUBSTITUTE(SUBSTITUTE(SUBSTITUTE(SUBSTITUTE(SUBSTITUTE(SUBSTITUTE(SUBSTITUTE(SUBSTITUTE(LOWER(AC155&amp;""),CHAR(160),"")," ",""),".",""),"-",""),"/",""),"?",""),"_",""),",",""),"[",""),"]",""),"(",""),")",""),"*","")</f>
        <v/>
      </c>
      <c r="BA155" s="61" t="str">
        <f aca="false">SUBSTITUTE(SUBSTITUTE(SUBSTITUTE(SUBSTITUTE(SUBSTITUTE(SUBSTITUTE(SUBSTITUTE(SUBSTITUTE(SUBSTITUTE(SUBSTITUTE(SUBSTITUTE(SUBSTITUTE(SUBSTITUTE(LOWER(AA155&amp;""),CHAR(160),"")," ",""),".",""),"-",""),"/",""),"?",""),"_",""),",",""),"[",""),"]",""),"(",""),")",""),"*","")</f>
        <v/>
      </c>
      <c r="BB155" s="61" t="str">
        <f aca="false">IF(AND(TRIM(U155)="Pass",ISNUMBER(AF155)),IF(AF155&lt;&gt;0,"INVALID – qty variance: use Fail or Pass after CA",""),"")&amp;IF(AND(TRIM(U155)="Pass after CA",ISNUMBER(AF155)),IF(AF155&lt;&gt;0,"INVALID – after the corrective action the actual qty must equal expected (update Actual)",""),"")&amp;IF(AND(TRIM(U155)="Pass",TRIM(AB155)&lt;&gt;"",TRIM(AB155)&lt;&gt;"Closed"),"INVALID – corrective action not closed: use Fail, then Pass after CA","")&amp;IF(AND(TRIM(AA155)&lt;&gt;"",TRIM(AB155)=""),"INVALID – CA status missing for the recorded corrective action","")&amp;IF(AND(TRIM(U155)="Pass after CA",OR(OR(LEN(BA155)&lt;5,ISNUMBER(MATCH(BA155,L_Placeholder,0))),TRIM(AB155)&lt;&gt;"Closed")),"INVALID – corrective action not recorded/closed","")</f>
        <v/>
      </c>
    </row>
    <row r="156" customFormat="false" ht="41.25" hidden="false" customHeight="true" outlineLevel="0" collapsed="false">
      <c r="A156" s="57" t="s">
        <v>664</v>
      </c>
      <c r="B156" s="57" t="s">
        <v>225</v>
      </c>
      <c r="C156" s="57" t="str">
        <f aca="false">Flights!$F$9</f>
        <v>MH0089</v>
      </c>
      <c r="D156" s="58" t="n">
        <f aca="false">Flights!$D$9</f>
        <v>46310</v>
      </c>
      <c r="E156" s="57" t="str">
        <f aca="false">Flights!$G$9&amp;"-"&amp;Flights!$H$9</f>
        <v>NRT-KUL</v>
      </c>
      <c r="F156" s="57" t="str">
        <f aca="false">Flights!$K$9</f>
        <v>EY</v>
      </c>
      <c r="G156" s="57" t="s">
        <v>398</v>
      </c>
      <c r="H156" s="57" t="s">
        <v>356</v>
      </c>
      <c r="I156" s="57" t="s">
        <v>425</v>
      </c>
      <c r="J156" s="57" t="s">
        <v>426</v>
      </c>
      <c r="K156" s="67" t="s">
        <v>427</v>
      </c>
      <c r="L156" s="67" t="s">
        <v>665</v>
      </c>
      <c r="M156" s="67" t="s">
        <v>429</v>
      </c>
      <c r="N156" s="67" t="s">
        <v>361</v>
      </c>
      <c r="O156" s="67" t="s">
        <v>666</v>
      </c>
      <c r="P156" s="57" t="s">
        <v>217</v>
      </c>
      <c r="Q156" s="59" t="n">
        <f aca="false">ROUND((Flights!$AE$9)*1440,0)/1440</f>
        <v>46309.5451388889</v>
      </c>
      <c r="R156" s="59" t="n">
        <f aca="false">Q156+(IF(AND(INDEX(TZ_DSTS,MATCH(P156,TZ_STN,0))&lt;&gt;"",Q156&gt;=INDEX(TZ_DSTS,MATCH(P156,TZ_STN,0)),Q156&lt;INDEX(TZ_DSTE,MATCH(P156,TZ_STN,0))),INDEX(TZ_DST,MATCH(P156,TZ_STN,0)),INDEX(TZ_STD,MATCH(P156,TZ_STN,0))))/24</f>
        <v>46309.9201388889</v>
      </c>
      <c r="S156" s="59" t="n">
        <f aca="false">Q156-T12EarlyH/24</f>
        <v>46309.0451388889</v>
      </c>
      <c r="T156" s="60"/>
      <c r="U156" s="60"/>
      <c r="V156" s="60"/>
      <c r="W156" s="61"/>
      <c r="X156" s="60"/>
      <c r="Y156" s="60"/>
      <c r="Z156" s="60"/>
      <c r="AA156" s="60"/>
      <c r="AB156" s="60"/>
      <c r="AC156" s="60"/>
      <c r="AD156" s="66"/>
      <c r="AE156" s="60"/>
      <c r="AF156" s="61" t="str">
        <f aca="false">IF(AND(ISNUMBER(X156),ISNUMBER(Y156)),Y156-X156,"")</f>
        <v/>
      </c>
      <c r="AG156" s="62" t="str">
        <f aca="false">IF(ISNUMBER(AD156),AD156-(IF(AND(INDEX(TZ_DSTS,MATCH(P156,TZ_STN,0))&lt;&gt;"",(AD156-INDEX(TZ_STD,MATCH(P156,TZ_STN,0))/24)&gt;=INDEX(TZ_DSTS,MATCH(P156,TZ_STN,0)),(AD156-INDEX(TZ_STD,MATCH(P156,TZ_STN,0))/24)&lt;INDEX(TZ_DSTE,MATCH(P156,TZ_STN,0))),INDEX(TZ_DST,MATCH(P156,TZ_STN,0)),INDEX(TZ_STD,MATCH(P156,TZ_STN,0))))/24,"")</f>
        <v/>
      </c>
      <c r="AH156" s="65" t="str">
        <f aca="false">IFERROR(IF(N156="N/A – rule","N/A – RULE",IF(TRIM(U156)="N/A",IF(AT156=0,"INVALID – N/A not permitted for this check",IF(AND(TRIM(AB156)&lt;&gt;"",TRIM(AB156)&lt;&gt;"Closed"),"INVALID – corrective action still open",IF(AND(NOT(OR(LEN(AZ156)&lt;15,ISNUMBER(MATCH(AZ156,L_Placeholder,0)))),NOT(OR(LEN(AU156)&lt;2,ISNUMBER(MATCH(AU156,L_Placeholder,0)))),NOT(OR(LEN(AX156)&lt;2,ISNUMBER(MATCH(AX156,L_Placeholder,0)))),TRIM(AE156)&lt;&gt;TRIM(T156)),"N/A – JUSTIFIED","INVALID – N/A needs a real justification (15+ chars), PIC and a different verifier"))),IF(OR(TRIM(U156)="Pass",TRIM(U156)="Pass after CA"),IF(NOT(ISNUMBER(AD156)),"INVALID – completion time missing",IF(OR(LEN(AU156)&lt;2,ISNUMBER(MATCH(AU156,L_Placeholder,0))),"INVALID – PIC missing",IF(OR(LEN(AV156)&lt;2,ISNUMBER(MATCH(AV156,L_Placeholder,0))),"INVALID – result / assessment missing",IF(OR(OR(LEN(AW156)&lt;3,ISNUMBER(MATCH(AW156,L_Placeholder,0))),SUMPRODUCT(--ISNUMBER(SEARCH(L_EvidencePhrase,AW156)))&gt;0),"INVALID – evidence missing, placeholder or not yet on file",IF(OR(LEN(AX156)&lt;2,ISNUMBER(MATCH(AX156,L_Placeholder,0))),"INVALID – verifier missing",IF(AX156=AU156,"INVALID – verifier must be someone other than the PIC",IF(AND(TRIM(U156)="Pass",SUMPRODUCT(--ISNUMBER(SEARCH(L_ResultBad,AV156)))&gt;0),"INVALID – result describes a problem: use Fail, then Pass after CA",IF(AND(AQ156=1,OR(LEN(AY156)&lt;3,ISNUMBER(MATCH(AY156,L_Placeholder,0)))),"INVALID – batch ID missing or placeholder",IF(AND(AR156=1,OR(NOT(ISNUMBER(X156)),NOT(ISNUMBER(Y156)))),"INVALID – expected/actual qty missing",IF(AND(AR156=1,OR(X156&lt;=0,Y156&lt;0)),"INVALID – expected qty must be above 0 and actual not negative",IF(BB156&lt;&gt;"",BB156,IF(AND(AS156=1,Documents!$J$9&lt;&gt;"ON FILE"),"INVALID – GLD not on file (Documents sheet)",IF(AND(AS156=2,Documents!$O$9&lt;&gt;"ON FILE"),"INVALID – menu checklist not on file (Documents sheet)",IF(AND(AS156=3,NOT(ISNUMBER(Flights!$AX$9))),"INVALID – enter carrying flight KUL departure (Flights AX)",IF(AND(AS156=3,OR(Flights!$AZ$9&gt;Flights!$AA$9,Flights!$AX$9&lt;Flights!$AA$9-3)),"INVALID – carrying flight (Flights AX) cannot arrive before this leg's STD, or is over 3 days early",IF(AG156&gt;AsOfUTC,"INVALID – completion time is in the future",IF(AND(ISNUMBER(S156),AG156&lt;S156),IF(H156="Physical uplift","INVALID – before uplift window (cannot confirm loading)","INVALID – before valid window"),IF(AG156&gt;Flights!$AA$9,"INVALID – completed after departure (cannot establish readiness)",IF(AND(H156="Preparation",AG156&gt;IF(ISNUMBER(Flights!$BA$9),MIN(Flights!$BA$9,Flights!$AA$9),Flights!$AA$9)),"INVALID – completed after loading / departure (cannot establish readiness)",IF(AND(H156="Physical uplift",AG156&gt;Q156),"INVALID – recorded after the loading flight departed",IF(AG156&gt;Q156,"COMPLETE – LATE","COMPLETE"))))))))))))))))))))),IF(TRIM(U156)="Fail","FAIL – DISCREPANCY",IF(AND(TRIM(U156)&lt;&gt;"",TRIM(U156)&lt;&gt;"Not started",TRIM(U156)&lt;&gt;"In progress"),"INVALID – unrecognised status (use the list)",IF(AsOfUTC&gt;Q156,"OVERDUE",IF(N156="Clarification required","OPEN – CLARIFICATION","OPEN"))))))),"INVALID – error value in an input cell")</f>
        <v>OPEN</v>
      </c>
      <c r="AI156" s="61" t="n">
        <f aca="false">IF(OR(AH156="N/A – RULE",AH156="N/A – JUSTIFIED"),0,1)</f>
        <v>1</v>
      </c>
      <c r="AJ156" s="61" t="n">
        <f aca="false">IF(LEFT(AH156,8)="COMPLETE",1,0)</f>
        <v>0</v>
      </c>
      <c r="AK156" s="61" t="n">
        <f aca="false">IF(AND(AI156=1,AJ156=0,AsOfUTC&gt;Q156),1,0)</f>
        <v>0</v>
      </c>
      <c r="AL156" s="61" t="n">
        <f aca="false">IFERROR(IF(AND(AI156=1,OR(TRIM(U156)="Fail",AND(TRIM(AB156)&lt;&gt;"",TRIM(AB156)&lt;&gt;"Closed"),AND(ISNUMBER(AF156),AF156&lt;&gt;0,TRIM(U156)&lt;&gt;"Pass after CA"))),1,0),1)</f>
        <v>0</v>
      </c>
      <c r="AM156" s="61" t="n">
        <f aca="false">IF(LEFT(AH156,7)="INVALID",1,0)</f>
        <v>0</v>
      </c>
      <c r="AN156" s="61" t="n">
        <f aca="false">IF(AND(N156="Clarification required",AI156=1,AJ156=0),1,0)</f>
        <v>0</v>
      </c>
      <c r="AO156" s="61" t="str">
        <f aca="false">IF(AK156=1,SUM(AK$5:AK156),"")</f>
        <v/>
      </c>
      <c r="AP156" s="61" t="str">
        <f aca="false">IF(AL156=1,SUM(AL$5:AL156),"")</f>
        <v/>
      </c>
      <c r="AQ156" s="61" t="n">
        <v>0</v>
      </c>
      <c r="AR156" s="61" t="n">
        <v>0</v>
      </c>
      <c r="AS156" s="61" t="n">
        <v>0</v>
      </c>
      <c r="AT156" s="61" t="n">
        <v>0</v>
      </c>
      <c r="AU156" s="61" t="str">
        <f aca="false">SUBSTITUTE(SUBSTITUTE(SUBSTITUTE(SUBSTITUTE(SUBSTITUTE(SUBSTITUTE(SUBSTITUTE(SUBSTITUTE(SUBSTITUTE(SUBSTITUTE(SUBSTITUTE(SUBSTITUTE(SUBSTITUTE(LOWER(T156&amp;""),CHAR(160),"")," ",""),".",""),"-",""),"/",""),"?",""),"_",""),",",""),"[",""),"]",""),"(",""),")",""),"*","")</f>
        <v/>
      </c>
      <c r="AV156" s="61" t="str">
        <f aca="false">SUBSTITUTE(SUBSTITUTE(SUBSTITUTE(SUBSTITUTE(SUBSTITUTE(SUBSTITUTE(SUBSTITUTE(SUBSTITUTE(SUBSTITUTE(SUBSTITUTE(SUBSTITUTE(SUBSTITUTE(SUBSTITUTE(LOWER(V156&amp;""),CHAR(160),"")," ",""),".",""),"-",""),"/",""),"?",""),"_",""),",",""),"[",""),"]",""),"(",""),")",""),"*","")</f>
        <v/>
      </c>
      <c r="AW156" s="61" t="str">
        <f aca="false">SUBSTITUTE(SUBSTITUTE(SUBSTITUTE(SUBSTITUTE(SUBSTITUTE(SUBSTITUTE(SUBSTITUTE(SUBSTITUTE(SUBSTITUTE(SUBSTITUTE(SUBSTITUTE(SUBSTITUTE(SUBSTITUTE(LOWER(Z156&amp;""),CHAR(160),"")," ",""),".",""),"-",""),"/",""),"?",""),"_",""),",",""),"[",""),"]",""),"(",""),")",""),"*","")</f>
        <v/>
      </c>
      <c r="AX156" s="61" t="str">
        <f aca="false">SUBSTITUTE(SUBSTITUTE(SUBSTITUTE(SUBSTITUTE(SUBSTITUTE(SUBSTITUTE(SUBSTITUTE(SUBSTITUTE(SUBSTITUTE(SUBSTITUTE(SUBSTITUTE(SUBSTITUTE(SUBSTITUTE(LOWER(AE156&amp;""),CHAR(160),"")," ",""),".",""),"-",""),"/",""),"?",""),"_",""),",",""),"[",""),"]",""),"(",""),")",""),"*","")</f>
        <v/>
      </c>
      <c r="AY156" s="61" t="str">
        <f aca="false">SUBSTITUTE(SUBSTITUTE(SUBSTITUTE(SUBSTITUTE(SUBSTITUTE(SUBSTITUTE(SUBSTITUTE(SUBSTITUTE(SUBSTITUTE(SUBSTITUTE(SUBSTITUTE(SUBSTITUTE(SUBSTITUTE(LOWER(W156&amp;""),CHAR(160),"")," ",""),".",""),"-",""),"/",""),"?",""),"_",""),",",""),"[",""),"]",""),"(",""),")",""),"*","")</f>
        <v/>
      </c>
      <c r="AZ156" s="61" t="str">
        <f aca="false">SUBSTITUTE(SUBSTITUTE(SUBSTITUTE(SUBSTITUTE(SUBSTITUTE(SUBSTITUTE(SUBSTITUTE(SUBSTITUTE(SUBSTITUTE(SUBSTITUTE(SUBSTITUTE(SUBSTITUTE(SUBSTITUTE(LOWER(AC156&amp;""),CHAR(160),"")," ",""),".",""),"-",""),"/",""),"?",""),"_",""),",",""),"[",""),"]",""),"(",""),")",""),"*","")</f>
        <v/>
      </c>
      <c r="BA156" s="61" t="str">
        <f aca="false">SUBSTITUTE(SUBSTITUTE(SUBSTITUTE(SUBSTITUTE(SUBSTITUTE(SUBSTITUTE(SUBSTITUTE(SUBSTITUTE(SUBSTITUTE(SUBSTITUTE(SUBSTITUTE(SUBSTITUTE(SUBSTITUTE(LOWER(AA156&amp;""),CHAR(160),"")," ",""),".",""),"-",""),"/",""),"?",""),"_",""),",",""),"[",""),"]",""),"(",""),")",""),"*","")</f>
        <v/>
      </c>
      <c r="BB156" s="61" t="str">
        <f aca="false">IF(AND(TRIM(U156)="Pass",ISNUMBER(AF156)),IF(AF156&lt;&gt;0,"INVALID – qty variance: use Fail or Pass after CA",""),"")&amp;IF(AND(TRIM(U156)="Pass after CA",ISNUMBER(AF156)),IF(AF156&lt;&gt;0,"INVALID – after the corrective action the actual qty must equal expected (update Actual)",""),"")&amp;IF(AND(TRIM(U156)="Pass",TRIM(AB156)&lt;&gt;"",TRIM(AB156)&lt;&gt;"Closed"),"INVALID – corrective action not closed: use Fail, then Pass after CA","")&amp;IF(AND(TRIM(AA156)&lt;&gt;"",TRIM(AB156)=""),"INVALID – CA status missing for the recorded corrective action","")&amp;IF(AND(TRIM(U156)="Pass after CA",OR(OR(LEN(BA156)&lt;5,ISNUMBER(MATCH(BA156,L_Placeholder,0))),TRIM(AB156)&lt;&gt;"Closed")),"INVALID – corrective action not recorded/closed","")</f>
        <v/>
      </c>
    </row>
    <row r="157" customFormat="false" ht="91.5" hidden="false" customHeight="true" outlineLevel="0" collapsed="false">
      <c r="A157" s="57" t="s">
        <v>667</v>
      </c>
      <c r="B157" s="57" t="s">
        <v>225</v>
      </c>
      <c r="C157" s="57" t="str">
        <f aca="false">Flights!$F$9</f>
        <v>MH0089</v>
      </c>
      <c r="D157" s="58" t="n">
        <f aca="false">Flights!$D$9</f>
        <v>46310</v>
      </c>
      <c r="E157" s="57" t="str">
        <f aca="false">Flights!$G$9&amp;"-"&amp;Flights!$H$9</f>
        <v>NRT-KUL</v>
      </c>
      <c r="F157" s="57" t="str">
        <f aca="false">Flights!$K$9</f>
        <v>EY</v>
      </c>
      <c r="G157" s="57" t="s">
        <v>398</v>
      </c>
      <c r="H157" s="57" t="s">
        <v>356</v>
      </c>
      <c r="I157" s="57" t="s">
        <v>425</v>
      </c>
      <c r="J157" s="57" t="s">
        <v>432</v>
      </c>
      <c r="K157" s="67" t="s">
        <v>433</v>
      </c>
      <c r="L157" s="67" t="s">
        <v>668</v>
      </c>
      <c r="M157" s="67" t="s">
        <v>429</v>
      </c>
      <c r="N157" s="67" t="s">
        <v>361</v>
      </c>
      <c r="O157" s="67" t="s">
        <v>669</v>
      </c>
      <c r="P157" s="57" t="s">
        <v>217</v>
      </c>
      <c r="Q157" s="59" t="n">
        <f aca="false">ROUND((Flights!$AE$9)*1440,0)/1440</f>
        <v>46309.5451388889</v>
      </c>
      <c r="R157" s="59" t="n">
        <f aca="false">Q157+(IF(AND(INDEX(TZ_DSTS,MATCH(P157,TZ_STN,0))&lt;&gt;"",Q157&gt;=INDEX(TZ_DSTS,MATCH(P157,TZ_STN,0)),Q157&lt;INDEX(TZ_DSTE,MATCH(P157,TZ_STN,0))),INDEX(TZ_DST,MATCH(P157,TZ_STN,0)),INDEX(TZ_STD,MATCH(P157,TZ_STN,0))))/24</f>
        <v>46309.9201388889</v>
      </c>
      <c r="S157" s="59" t="n">
        <f aca="false">Q157-T12EarlyH/24</f>
        <v>46309.0451388889</v>
      </c>
      <c r="T157" s="60"/>
      <c r="U157" s="60"/>
      <c r="V157" s="60"/>
      <c r="W157" s="61"/>
      <c r="X157" s="68" t="str">
        <f aca="false">IF(TRIM(Flights!$N$9)="","",IF(ISNUMBER(SEARCH("MAH",Flights!$N$9)),280,260))</f>
        <v/>
      </c>
      <c r="Y157" s="60"/>
      <c r="Z157" s="60"/>
      <c r="AA157" s="60"/>
      <c r="AB157" s="60"/>
      <c r="AC157" s="60"/>
      <c r="AD157" s="66"/>
      <c r="AE157" s="60"/>
      <c r="AF157" s="61" t="str">
        <f aca="false">IF(AND(ISNUMBER(X157),ISNUMBER(Y157)),Y157-X157,"")</f>
        <v/>
      </c>
      <c r="AG157" s="62" t="str">
        <f aca="false">IF(ISNUMBER(AD157),AD157-(IF(AND(INDEX(TZ_DSTS,MATCH(P157,TZ_STN,0))&lt;&gt;"",(AD157-INDEX(TZ_STD,MATCH(P157,TZ_STN,0))/24)&gt;=INDEX(TZ_DSTS,MATCH(P157,TZ_STN,0)),(AD157-INDEX(TZ_STD,MATCH(P157,TZ_STN,0))/24)&lt;INDEX(TZ_DSTE,MATCH(P157,TZ_STN,0))),INDEX(TZ_DST,MATCH(P157,TZ_STN,0)),INDEX(TZ_STD,MATCH(P157,TZ_STN,0))))/24,"")</f>
        <v/>
      </c>
      <c r="AH157" s="65" t="str">
        <f aca="false">IFERROR(IF(N157="N/A – rule","N/A – RULE",IF(TRIM(U157)="N/A",IF(AT157=0,"INVALID – N/A not permitted for this check",IF(AND(TRIM(AB157)&lt;&gt;"",TRIM(AB157)&lt;&gt;"Closed"),"INVALID – corrective action still open",IF(AND(NOT(OR(LEN(AZ157)&lt;15,ISNUMBER(MATCH(AZ157,L_Placeholder,0)))),NOT(OR(LEN(AU157)&lt;2,ISNUMBER(MATCH(AU157,L_Placeholder,0)))),NOT(OR(LEN(AX157)&lt;2,ISNUMBER(MATCH(AX157,L_Placeholder,0)))),TRIM(AE157)&lt;&gt;TRIM(T157)),"N/A – JUSTIFIED","INVALID – N/A needs a real justification (15+ chars), PIC and a different verifier"))),IF(OR(TRIM(U157)="Pass",TRIM(U157)="Pass after CA"),IF(NOT(ISNUMBER(AD157)),"INVALID – completion time missing",IF(OR(LEN(AU157)&lt;2,ISNUMBER(MATCH(AU157,L_Placeholder,0))),"INVALID – PIC missing",IF(OR(LEN(AV157)&lt;2,ISNUMBER(MATCH(AV157,L_Placeholder,0))),"INVALID – result / assessment missing",IF(OR(OR(LEN(AW157)&lt;3,ISNUMBER(MATCH(AW157,L_Placeholder,0))),SUMPRODUCT(--ISNUMBER(SEARCH(L_EvidencePhrase,AW157)))&gt;0),"INVALID – evidence missing, placeholder or not yet on file",IF(OR(LEN(AX157)&lt;2,ISNUMBER(MATCH(AX157,L_Placeholder,0))),"INVALID – verifier missing",IF(AX157=AU157,"INVALID – verifier must be someone other than the PIC",IF(AND(TRIM(U157)="Pass",SUMPRODUCT(--ISNUMBER(SEARCH(L_ResultBad,AV157)))&gt;0),"INVALID – result describes a problem: use Fail, then Pass after CA",IF(AND(AQ157=1,OR(LEN(AY157)&lt;3,ISNUMBER(MATCH(AY157,L_Placeholder,0)))),"INVALID – batch ID missing or placeholder",IF(AND(AR157=1,OR(NOT(ISNUMBER(X157)),NOT(ISNUMBER(Y157)))),"INVALID – expected/actual qty missing",IF(AND(AR157=1,OR(X157&lt;=0,Y157&lt;0)),"INVALID – expected qty must be above 0 and actual not negative",IF(BB157&lt;&gt;"",BB157,IF(AND(AS157=1,Documents!$J$9&lt;&gt;"ON FILE"),"INVALID – GLD not on file (Documents sheet)",IF(AND(AS157=2,Documents!$O$9&lt;&gt;"ON FILE"),"INVALID – menu checklist not on file (Documents sheet)",IF(AND(AS157=3,NOT(ISNUMBER(Flights!$AX$9))),"INVALID – enter carrying flight KUL departure (Flights AX)",IF(AND(AS157=3,OR(Flights!$AZ$9&gt;Flights!$AA$9,Flights!$AX$9&lt;Flights!$AA$9-3)),"INVALID – carrying flight (Flights AX) cannot arrive before this leg's STD, or is over 3 days early",IF(AG157&gt;AsOfUTC,"INVALID – completion time is in the future",IF(AND(ISNUMBER(S157),AG157&lt;S157),IF(H157="Physical uplift","INVALID – before uplift window (cannot confirm loading)","INVALID – before valid window"),IF(AG157&gt;Flights!$AA$9,"INVALID – completed after departure (cannot establish readiness)",IF(AND(H157="Preparation",AG157&gt;IF(ISNUMBER(Flights!$BA$9),MIN(Flights!$BA$9,Flights!$AA$9),Flights!$AA$9)),"INVALID – completed after loading / departure (cannot establish readiness)",IF(AND(H157="Physical uplift",AG157&gt;Q157),"INVALID – recorded after the loading flight departed",IF(AG157&gt;Q157,"COMPLETE – LATE","COMPLETE"))))))))))))))))))))),IF(TRIM(U157)="Fail","FAIL – DISCREPANCY",IF(AND(TRIM(U157)&lt;&gt;"",TRIM(U157)&lt;&gt;"Not started",TRIM(U157)&lt;&gt;"In progress"),"INVALID – unrecognised status (use the list)",IF(AsOfUTC&gt;Q157,"OVERDUE",IF(N157="Clarification required","OPEN – CLARIFICATION","OPEN"))))))),"INVALID – error value in an input cell")</f>
        <v>OPEN</v>
      </c>
      <c r="AI157" s="61" t="n">
        <f aca="false">IF(OR(AH157="N/A – RULE",AH157="N/A – JUSTIFIED"),0,1)</f>
        <v>1</v>
      </c>
      <c r="AJ157" s="61" t="n">
        <f aca="false">IF(LEFT(AH157,8)="COMPLETE",1,0)</f>
        <v>0</v>
      </c>
      <c r="AK157" s="61" t="n">
        <f aca="false">IF(AND(AI157=1,AJ157=0,AsOfUTC&gt;Q157),1,0)</f>
        <v>0</v>
      </c>
      <c r="AL157" s="61" t="n">
        <f aca="false">IFERROR(IF(AND(AI157=1,OR(TRIM(U157)="Fail",AND(TRIM(AB157)&lt;&gt;"",TRIM(AB157)&lt;&gt;"Closed"),AND(ISNUMBER(AF157),AF157&lt;&gt;0,TRIM(U157)&lt;&gt;"Pass after CA"))),1,0),1)</f>
        <v>0</v>
      </c>
      <c r="AM157" s="61" t="n">
        <f aca="false">IF(LEFT(AH157,7)="INVALID",1,0)</f>
        <v>0</v>
      </c>
      <c r="AN157" s="61" t="n">
        <f aca="false">IF(AND(N157="Clarification required",AI157=1,AJ157=0),1,0)</f>
        <v>0</v>
      </c>
      <c r="AO157" s="61" t="str">
        <f aca="false">IF(AK157=1,SUM(AK$5:AK157),"")</f>
        <v/>
      </c>
      <c r="AP157" s="61" t="str">
        <f aca="false">IF(AL157=1,SUM(AL$5:AL157),"")</f>
        <v/>
      </c>
      <c r="AQ157" s="61" t="n">
        <v>0</v>
      </c>
      <c r="AR157" s="61" t="n">
        <v>1</v>
      </c>
      <c r="AS157" s="61" t="n">
        <v>0</v>
      </c>
      <c r="AT157" s="61" t="n">
        <v>0</v>
      </c>
      <c r="AU157" s="61" t="str">
        <f aca="false">SUBSTITUTE(SUBSTITUTE(SUBSTITUTE(SUBSTITUTE(SUBSTITUTE(SUBSTITUTE(SUBSTITUTE(SUBSTITUTE(SUBSTITUTE(SUBSTITUTE(SUBSTITUTE(SUBSTITUTE(SUBSTITUTE(LOWER(T157&amp;""),CHAR(160),"")," ",""),".",""),"-",""),"/",""),"?",""),"_",""),",",""),"[",""),"]",""),"(",""),")",""),"*","")</f>
        <v/>
      </c>
      <c r="AV157" s="61" t="str">
        <f aca="false">SUBSTITUTE(SUBSTITUTE(SUBSTITUTE(SUBSTITUTE(SUBSTITUTE(SUBSTITUTE(SUBSTITUTE(SUBSTITUTE(SUBSTITUTE(SUBSTITUTE(SUBSTITUTE(SUBSTITUTE(SUBSTITUTE(LOWER(V157&amp;""),CHAR(160),"")," ",""),".",""),"-",""),"/",""),"?",""),"_",""),",",""),"[",""),"]",""),"(",""),")",""),"*","")</f>
        <v/>
      </c>
      <c r="AW157" s="61" t="str">
        <f aca="false">SUBSTITUTE(SUBSTITUTE(SUBSTITUTE(SUBSTITUTE(SUBSTITUTE(SUBSTITUTE(SUBSTITUTE(SUBSTITUTE(SUBSTITUTE(SUBSTITUTE(SUBSTITUTE(SUBSTITUTE(SUBSTITUTE(LOWER(Z157&amp;""),CHAR(160),"")," ",""),".",""),"-",""),"/",""),"?",""),"_",""),",",""),"[",""),"]",""),"(",""),")",""),"*","")</f>
        <v/>
      </c>
      <c r="AX157" s="61" t="str">
        <f aca="false">SUBSTITUTE(SUBSTITUTE(SUBSTITUTE(SUBSTITUTE(SUBSTITUTE(SUBSTITUTE(SUBSTITUTE(SUBSTITUTE(SUBSTITUTE(SUBSTITUTE(SUBSTITUTE(SUBSTITUTE(SUBSTITUTE(LOWER(AE157&amp;""),CHAR(160),"")," ",""),".",""),"-",""),"/",""),"?",""),"_",""),",",""),"[",""),"]",""),"(",""),")",""),"*","")</f>
        <v/>
      </c>
      <c r="AY157" s="61" t="str">
        <f aca="false">SUBSTITUTE(SUBSTITUTE(SUBSTITUTE(SUBSTITUTE(SUBSTITUTE(SUBSTITUTE(SUBSTITUTE(SUBSTITUTE(SUBSTITUTE(SUBSTITUTE(SUBSTITUTE(SUBSTITUTE(SUBSTITUTE(LOWER(W157&amp;""),CHAR(160),"")," ",""),".",""),"-",""),"/",""),"?",""),"_",""),",",""),"[",""),"]",""),"(",""),")",""),"*","")</f>
        <v/>
      </c>
      <c r="AZ157" s="61" t="str">
        <f aca="false">SUBSTITUTE(SUBSTITUTE(SUBSTITUTE(SUBSTITUTE(SUBSTITUTE(SUBSTITUTE(SUBSTITUTE(SUBSTITUTE(SUBSTITUTE(SUBSTITUTE(SUBSTITUTE(SUBSTITUTE(SUBSTITUTE(LOWER(AC157&amp;""),CHAR(160),"")," ",""),".",""),"-",""),"/",""),"?",""),"_",""),",",""),"[",""),"]",""),"(",""),")",""),"*","")</f>
        <v/>
      </c>
      <c r="BA157" s="61" t="str">
        <f aca="false">SUBSTITUTE(SUBSTITUTE(SUBSTITUTE(SUBSTITUTE(SUBSTITUTE(SUBSTITUTE(SUBSTITUTE(SUBSTITUTE(SUBSTITUTE(SUBSTITUTE(SUBSTITUTE(SUBSTITUTE(SUBSTITUTE(LOWER(AA157&amp;""),CHAR(160),"")," ",""),".",""),"-",""),"/",""),"?",""),"_",""),",",""),"[",""),"]",""),"(",""),")",""),"*","")</f>
        <v/>
      </c>
      <c r="BB157" s="61" t="str">
        <f aca="false">IF(AND(TRIM(U157)="Pass",ISNUMBER(AF157)),IF(AF157&lt;&gt;0,"INVALID – qty variance: use Fail or Pass after CA",""),"")&amp;IF(AND(TRIM(U157)="Pass after CA",ISNUMBER(AF157)),IF(AF157&lt;&gt;0,"INVALID – after the corrective action the actual qty must equal expected (update Actual)",""),"")&amp;IF(AND(TRIM(U157)="Pass",TRIM(AB157)&lt;&gt;"",TRIM(AB157)&lt;&gt;"Closed"),"INVALID – corrective action not closed: use Fail, then Pass after CA","")&amp;IF(AND(TRIM(AA157)&lt;&gt;"",TRIM(AB157)=""),"INVALID – CA status missing for the recorded corrective action","")&amp;IF(AND(TRIM(U157)="Pass after CA",OR(OR(LEN(BA157)&lt;5,ISNUMBER(MATCH(BA157,L_Placeholder,0))),TRIM(AB157)&lt;&gt;"Closed")),"INVALID – corrective action not recorded/closed","")</f>
        <v/>
      </c>
    </row>
    <row r="158" customFormat="false" ht="103.5" hidden="false" customHeight="true" outlineLevel="0" collapsed="false">
      <c r="A158" s="57" t="s">
        <v>670</v>
      </c>
      <c r="B158" s="57" t="s">
        <v>225</v>
      </c>
      <c r="C158" s="57" t="str">
        <f aca="false">Flights!$F$9</f>
        <v>MH0089</v>
      </c>
      <c r="D158" s="58" t="n">
        <f aca="false">Flights!$D$9</f>
        <v>46310</v>
      </c>
      <c r="E158" s="57" t="str">
        <f aca="false">Flights!$G$9&amp;"-"&amp;Flights!$H$9</f>
        <v>NRT-KUL</v>
      </c>
      <c r="F158" s="57" t="str">
        <f aca="false">Flights!$K$9</f>
        <v>EY</v>
      </c>
      <c r="G158" s="57" t="s">
        <v>398</v>
      </c>
      <c r="H158" s="57" t="s">
        <v>356</v>
      </c>
      <c r="I158" s="57" t="s">
        <v>612</v>
      </c>
      <c r="J158" s="57" t="s">
        <v>613</v>
      </c>
      <c r="K158" s="67" t="s">
        <v>614</v>
      </c>
      <c r="L158" s="67" t="s">
        <v>615</v>
      </c>
      <c r="M158" s="67" t="s">
        <v>429</v>
      </c>
      <c r="N158" s="67" t="s">
        <v>422</v>
      </c>
      <c r="O158" s="67" t="s">
        <v>671</v>
      </c>
      <c r="P158" s="57" t="s">
        <v>217</v>
      </c>
      <c r="Q158" s="59" t="n">
        <f aca="false">ROUND((Flights!$AE$9)*1440,0)/1440</f>
        <v>46309.5451388889</v>
      </c>
      <c r="R158" s="59" t="n">
        <f aca="false">Q158+(IF(AND(INDEX(TZ_DSTS,MATCH(P158,TZ_STN,0))&lt;&gt;"",Q158&gt;=INDEX(TZ_DSTS,MATCH(P158,TZ_STN,0)),Q158&lt;INDEX(TZ_DSTE,MATCH(P158,TZ_STN,0))),INDEX(TZ_DST,MATCH(P158,TZ_STN,0)),INDEX(TZ_STD,MATCH(P158,TZ_STN,0))))/24</f>
        <v>46309.9201388889</v>
      </c>
      <c r="S158" s="59" t="n">
        <f aca="false">Q158-T12EarlyH/24</f>
        <v>46309.0451388889</v>
      </c>
      <c r="T158" s="60"/>
      <c r="U158" s="60"/>
      <c r="V158" s="60"/>
      <c r="W158" s="61"/>
      <c r="X158" s="60"/>
      <c r="Y158" s="60"/>
      <c r="Z158" s="60"/>
      <c r="AA158" s="60"/>
      <c r="AB158" s="60"/>
      <c r="AC158" s="60"/>
      <c r="AD158" s="66"/>
      <c r="AE158" s="60"/>
      <c r="AF158" s="61" t="str">
        <f aca="false">IF(AND(ISNUMBER(X158),ISNUMBER(Y158)),Y158-X158,"")</f>
        <v/>
      </c>
      <c r="AG158" s="62" t="str">
        <f aca="false">IF(ISNUMBER(AD158),AD158-(IF(AND(INDEX(TZ_DSTS,MATCH(P158,TZ_STN,0))&lt;&gt;"",(AD158-INDEX(TZ_STD,MATCH(P158,TZ_STN,0))/24)&gt;=INDEX(TZ_DSTS,MATCH(P158,TZ_STN,0)),(AD158-INDEX(TZ_STD,MATCH(P158,TZ_STN,0))/24)&lt;INDEX(TZ_DSTE,MATCH(P158,TZ_STN,0))),INDEX(TZ_DST,MATCH(P158,TZ_STN,0)),INDEX(TZ_STD,MATCH(P158,TZ_STN,0))))/24,"")</f>
        <v/>
      </c>
      <c r="AH158" s="65" t="str">
        <f aca="false">IFERROR(IF(N158="N/A – rule","N/A – RULE",IF(TRIM(U158)="N/A",IF(AT158=0,"INVALID – N/A not permitted for this check",IF(AND(TRIM(AB158)&lt;&gt;"",TRIM(AB158)&lt;&gt;"Closed"),"INVALID – corrective action still open",IF(AND(NOT(OR(LEN(AZ158)&lt;15,ISNUMBER(MATCH(AZ158,L_Placeholder,0)))),NOT(OR(LEN(AU158)&lt;2,ISNUMBER(MATCH(AU158,L_Placeholder,0)))),NOT(OR(LEN(AX158)&lt;2,ISNUMBER(MATCH(AX158,L_Placeholder,0)))),TRIM(AE158)&lt;&gt;TRIM(T158)),"N/A – JUSTIFIED","INVALID – N/A needs a real justification (15+ chars), PIC and a different verifier"))),IF(OR(TRIM(U158)="Pass",TRIM(U158)="Pass after CA"),IF(NOT(ISNUMBER(AD158)),"INVALID – completion time missing",IF(OR(LEN(AU158)&lt;2,ISNUMBER(MATCH(AU158,L_Placeholder,0))),"INVALID – PIC missing",IF(OR(LEN(AV158)&lt;2,ISNUMBER(MATCH(AV158,L_Placeholder,0))),"INVALID – result / assessment missing",IF(OR(OR(LEN(AW158)&lt;3,ISNUMBER(MATCH(AW158,L_Placeholder,0))),SUMPRODUCT(--ISNUMBER(SEARCH(L_EvidencePhrase,AW158)))&gt;0),"INVALID – evidence missing, placeholder or not yet on file",IF(OR(LEN(AX158)&lt;2,ISNUMBER(MATCH(AX158,L_Placeholder,0))),"INVALID – verifier missing",IF(AX158=AU158,"INVALID – verifier must be someone other than the PIC",IF(AND(TRIM(U158)="Pass",SUMPRODUCT(--ISNUMBER(SEARCH(L_ResultBad,AV158)))&gt;0),"INVALID – result describes a problem: use Fail, then Pass after CA",IF(AND(AQ158=1,OR(LEN(AY158)&lt;3,ISNUMBER(MATCH(AY158,L_Placeholder,0)))),"INVALID – batch ID missing or placeholder",IF(AND(AR158=1,OR(NOT(ISNUMBER(X158)),NOT(ISNUMBER(Y158)))),"INVALID – expected/actual qty missing",IF(AND(AR158=1,OR(X158&lt;=0,Y158&lt;0)),"INVALID – expected qty must be above 0 and actual not negative",IF(BB158&lt;&gt;"",BB158,IF(AND(AS158=1,Documents!$J$9&lt;&gt;"ON FILE"),"INVALID – GLD not on file (Documents sheet)",IF(AND(AS158=2,Documents!$O$9&lt;&gt;"ON FILE"),"INVALID – menu checklist not on file (Documents sheet)",IF(AND(AS158=3,NOT(ISNUMBER(Flights!$AX$9))),"INVALID – enter carrying flight KUL departure (Flights AX)",IF(AND(AS158=3,OR(Flights!$AZ$9&gt;Flights!$AA$9,Flights!$AX$9&lt;Flights!$AA$9-3)),"INVALID – carrying flight (Flights AX) cannot arrive before this leg's STD, or is over 3 days early",IF(AG158&gt;AsOfUTC,"INVALID – completion time is in the future",IF(AND(ISNUMBER(S158),AG158&lt;S158),IF(H158="Physical uplift","INVALID – before uplift window (cannot confirm loading)","INVALID – before valid window"),IF(AG158&gt;Flights!$AA$9,"INVALID – completed after departure (cannot establish readiness)",IF(AND(H158="Preparation",AG158&gt;IF(ISNUMBER(Flights!$BA$9),MIN(Flights!$BA$9,Flights!$AA$9),Flights!$AA$9)),"INVALID – completed after loading / departure (cannot establish readiness)",IF(AND(H158="Physical uplift",AG158&gt;Q158),"INVALID – recorded after the loading flight departed",IF(AG158&gt;Q158,"COMPLETE – LATE","COMPLETE"))))))))))))))))))))),IF(TRIM(U158)="Fail","FAIL – DISCREPANCY",IF(AND(TRIM(U158)&lt;&gt;"",TRIM(U158)&lt;&gt;"Not started",TRIM(U158)&lt;&gt;"In progress"),"INVALID – unrecognised status (use the list)",IF(AsOfUTC&gt;Q158,"OVERDUE",IF(N158="Clarification required","OPEN – CLARIFICATION","OPEN"))))))),"INVALID – error value in an input cell")</f>
        <v>OPEN – CLARIFICATION</v>
      </c>
      <c r="AI158" s="61" t="n">
        <f aca="false">IF(OR(AH158="N/A – RULE",AH158="N/A – JUSTIFIED"),0,1)</f>
        <v>1</v>
      </c>
      <c r="AJ158" s="61" t="n">
        <f aca="false">IF(LEFT(AH158,8)="COMPLETE",1,0)</f>
        <v>0</v>
      </c>
      <c r="AK158" s="61" t="n">
        <f aca="false">IF(AND(AI158=1,AJ158=0,AsOfUTC&gt;Q158),1,0)</f>
        <v>0</v>
      </c>
      <c r="AL158" s="61" t="n">
        <f aca="false">IFERROR(IF(AND(AI158=1,OR(TRIM(U158)="Fail",AND(TRIM(AB158)&lt;&gt;"",TRIM(AB158)&lt;&gt;"Closed"),AND(ISNUMBER(AF158),AF158&lt;&gt;0,TRIM(U158)&lt;&gt;"Pass after CA"))),1,0),1)</f>
        <v>0</v>
      </c>
      <c r="AM158" s="61" t="n">
        <f aca="false">IF(LEFT(AH158,7)="INVALID",1,0)</f>
        <v>0</v>
      </c>
      <c r="AN158" s="61" t="n">
        <f aca="false">IF(AND(N158="Clarification required",AI158=1,AJ158=0),1,0)</f>
        <v>1</v>
      </c>
      <c r="AO158" s="61" t="str">
        <f aca="false">IF(AK158=1,SUM(AK$5:AK158),"")</f>
        <v/>
      </c>
      <c r="AP158" s="61" t="str">
        <f aca="false">IF(AL158=1,SUM(AL$5:AL158),"")</f>
        <v/>
      </c>
      <c r="AQ158" s="61" t="n">
        <v>0</v>
      </c>
      <c r="AR158" s="61" t="n">
        <v>0</v>
      </c>
      <c r="AS158" s="61" t="n">
        <v>0</v>
      </c>
      <c r="AT158" s="61" t="n">
        <v>1</v>
      </c>
      <c r="AU158" s="61" t="str">
        <f aca="false">SUBSTITUTE(SUBSTITUTE(SUBSTITUTE(SUBSTITUTE(SUBSTITUTE(SUBSTITUTE(SUBSTITUTE(SUBSTITUTE(SUBSTITUTE(SUBSTITUTE(SUBSTITUTE(SUBSTITUTE(SUBSTITUTE(LOWER(T158&amp;""),CHAR(160),"")," ",""),".",""),"-",""),"/",""),"?",""),"_",""),",",""),"[",""),"]",""),"(",""),")",""),"*","")</f>
        <v/>
      </c>
      <c r="AV158" s="61" t="str">
        <f aca="false">SUBSTITUTE(SUBSTITUTE(SUBSTITUTE(SUBSTITUTE(SUBSTITUTE(SUBSTITUTE(SUBSTITUTE(SUBSTITUTE(SUBSTITUTE(SUBSTITUTE(SUBSTITUTE(SUBSTITUTE(SUBSTITUTE(LOWER(V158&amp;""),CHAR(160),"")," ",""),".",""),"-",""),"/",""),"?",""),"_",""),",",""),"[",""),"]",""),"(",""),")",""),"*","")</f>
        <v/>
      </c>
      <c r="AW158" s="61" t="str">
        <f aca="false">SUBSTITUTE(SUBSTITUTE(SUBSTITUTE(SUBSTITUTE(SUBSTITUTE(SUBSTITUTE(SUBSTITUTE(SUBSTITUTE(SUBSTITUTE(SUBSTITUTE(SUBSTITUTE(SUBSTITUTE(SUBSTITUTE(LOWER(Z158&amp;""),CHAR(160),"")," ",""),".",""),"-",""),"/",""),"?",""),"_",""),",",""),"[",""),"]",""),"(",""),")",""),"*","")</f>
        <v/>
      </c>
      <c r="AX158" s="61" t="str">
        <f aca="false">SUBSTITUTE(SUBSTITUTE(SUBSTITUTE(SUBSTITUTE(SUBSTITUTE(SUBSTITUTE(SUBSTITUTE(SUBSTITUTE(SUBSTITUTE(SUBSTITUTE(SUBSTITUTE(SUBSTITUTE(SUBSTITUTE(LOWER(AE158&amp;""),CHAR(160),"")," ",""),".",""),"-",""),"/",""),"?",""),"_",""),",",""),"[",""),"]",""),"(",""),")",""),"*","")</f>
        <v/>
      </c>
      <c r="AY158" s="61" t="str">
        <f aca="false">SUBSTITUTE(SUBSTITUTE(SUBSTITUTE(SUBSTITUTE(SUBSTITUTE(SUBSTITUTE(SUBSTITUTE(SUBSTITUTE(SUBSTITUTE(SUBSTITUTE(SUBSTITUTE(SUBSTITUTE(SUBSTITUTE(LOWER(W158&amp;""),CHAR(160),"")," ",""),".",""),"-",""),"/",""),"?",""),"_",""),",",""),"[",""),"]",""),"(",""),")",""),"*","")</f>
        <v/>
      </c>
      <c r="AZ158" s="61" t="str">
        <f aca="false">SUBSTITUTE(SUBSTITUTE(SUBSTITUTE(SUBSTITUTE(SUBSTITUTE(SUBSTITUTE(SUBSTITUTE(SUBSTITUTE(SUBSTITUTE(SUBSTITUTE(SUBSTITUTE(SUBSTITUTE(SUBSTITUTE(LOWER(AC158&amp;""),CHAR(160),"")," ",""),".",""),"-",""),"/",""),"?",""),"_",""),",",""),"[",""),"]",""),"(",""),")",""),"*","")</f>
        <v/>
      </c>
      <c r="BA158" s="61" t="str">
        <f aca="false">SUBSTITUTE(SUBSTITUTE(SUBSTITUTE(SUBSTITUTE(SUBSTITUTE(SUBSTITUTE(SUBSTITUTE(SUBSTITUTE(SUBSTITUTE(SUBSTITUTE(SUBSTITUTE(SUBSTITUTE(SUBSTITUTE(LOWER(AA158&amp;""),CHAR(160),"")," ",""),".",""),"-",""),"/",""),"?",""),"_",""),",",""),"[",""),"]",""),"(",""),")",""),"*","")</f>
        <v/>
      </c>
      <c r="BB158" s="61" t="str">
        <f aca="false">IF(AND(TRIM(U158)="Pass",ISNUMBER(AF158)),IF(AF158&lt;&gt;0,"INVALID – qty variance: use Fail or Pass after CA",""),"")&amp;IF(AND(TRIM(U158)="Pass after CA",ISNUMBER(AF158)),IF(AF158&lt;&gt;0,"INVALID – after the corrective action the actual qty must equal expected (update Actual)",""),"")&amp;IF(AND(TRIM(U158)="Pass",TRIM(AB158)&lt;&gt;"",TRIM(AB158)&lt;&gt;"Closed"),"INVALID – corrective action not closed: use Fail, then Pass after CA","")&amp;IF(AND(TRIM(AA158)&lt;&gt;"",TRIM(AB158)=""),"INVALID – CA status missing for the recorded corrective action","")&amp;IF(AND(TRIM(U158)="Pass after CA",OR(OR(LEN(BA158)&lt;5,ISNUMBER(MATCH(BA158,L_Placeholder,0))),TRIM(AB158)&lt;&gt;"Closed")),"INVALID – corrective action not recorded/closed","")</f>
        <v/>
      </c>
    </row>
    <row r="159" customFormat="false" ht="39.75" hidden="false" customHeight="true" outlineLevel="0" collapsed="false">
      <c r="A159" s="57" t="s">
        <v>672</v>
      </c>
      <c r="B159" s="57" t="s">
        <v>225</v>
      </c>
      <c r="C159" s="57" t="str">
        <f aca="false">Flights!$F$9</f>
        <v>MH0089</v>
      </c>
      <c r="D159" s="58" t="n">
        <f aca="false">Flights!$D$9</f>
        <v>46310</v>
      </c>
      <c r="E159" s="57" t="str">
        <f aca="false">Flights!$G$9&amp;"-"&amp;Flights!$H$9</f>
        <v>NRT-KUL</v>
      </c>
      <c r="F159" s="57" t="str">
        <f aca="false">Flights!$K$9</f>
        <v>EY</v>
      </c>
      <c r="G159" s="57" t="s">
        <v>437</v>
      </c>
      <c r="H159" s="57" t="s">
        <v>438</v>
      </c>
      <c r="I159" s="57" t="s">
        <v>357</v>
      </c>
      <c r="J159" s="57" t="s">
        <v>439</v>
      </c>
      <c r="K159" s="67" t="s">
        <v>404</v>
      </c>
      <c r="L159" s="67" t="s">
        <v>440</v>
      </c>
      <c r="M159" s="67"/>
      <c r="N159" s="67" t="s">
        <v>361</v>
      </c>
      <c r="O159" s="67" t="s">
        <v>441</v>
      </c>
      <c r="P159" s="57" t="s">
        <v>217</v>
      </c>
      <c r="Q159" s="59" t="n">
        <f aca="false">ROUND((Flights!$AF$9)*1440,0)/1440</f>
        <v>46310.0451388889</v>
      </c>
      <c r="R159" s="59" t="n">
        <f aca="false">Q159+(IF(AND(INDEX(TZ_DSTS,MATCH(P159,TZ_STN,0))&lt;&gt;"",Q159&gt;=INDEX(TZ_DSTS,MATCH(P159,TZ_STN,0)),Q159&lt;INDEX(TZ_DSTE,MATCH(P159,TZ_STN,0))),INDEX(TZ_DST,MATCH(P159,TZ_STN,0)),INDEX(TZ_STD,MATCH(P159,TZ_STN,0))))/24</f>
        <v>46310.4201388889</v>
      </c>
      <c r="S159" s="59" t="n">
        <f aca="false">IF(ISNUMBER(Flights!$AZ$9),MAX(Q159-UpliftWindowH/24,Flights!$AZ$9),Q159-UpliftWindowH/24)</f>
        <v>46309.7951388889</v>
      </c>
      <c r="T159" s="60"/>
      <c r="U159" s="60"/>
      <c r="V159" s="60"/>
      <c r="W159" s="61"/>
      <c r="X159" s="60"/>
      <c r="Y159" s="60"/>
      <c r="Z159" s="60"/>
      <c r="AA159" s="60"/>
      <c r="AB159" s="60"/>
      <c r="AC159" s="60"/>
      <c r="AD159" s="66"/>
      <c r="AE159" s="60"/>
      <c r="AF159" s="61" t="str">
        <f aca="false">IF(AND(ISNUMBER(X159),ISNUMBER(Y159)),Y159-X159,"")</f>
        <v/>
      </c>
      <c r="AG159" s="62" t="str">
        <f aca="false">IF(ISNUMBER(AD159),AD159-(IF(AND(INDEX(TZ_DSTS,MATCH(P159,TZ_STN,0))&lt;&gt;"",(AD159-INDEX(TZ_STD,MATCH(P159,TZ_STN,0))/24)&gt;=INDEX(TZ_DSTS,MATCH(P159,TZ_STN,0)),(AD159-INDEX(TZ_STD,MATCH(P159,TZ_STN,0))/24)&lt;INDEX(TZ_DSTE,MATCH(P159,TZ_STN,0))),INDEX(TZ_DST,MATCH(P159,TZ_STN,0)),INDEX(TZ_STD,MATCH(P159,TZ_STN,0))))/24,"")</f>
        <v/>
      </c>
      <c r="AH159" s="65" t="str">
        <f aca="false">IFERROR(IF(N159="N/A – rule","N/A – RULE",IF(TRIM(U159)="N/A",IF(AT159=0,"INVALID – N/A not permitted for this check",IF(AND(TRIM(AB159)&lt;&gt;"",TRIM(AB159)&lt;&gt;"Closed"),"INVALID – corrective action still open",IF(AND(NOT(OR(LEN(AZ159)&lt;15,ISNUMBER(MATCH(AZ159,L_Placeholder,0)))),NOT(OR(LEN(AU159)&lt;2,ISNUMBER(MATCH(AU159,L_Placeholder,0)))),NOT(OR(LEN(AX159)&lt;2,ISNUMBER(MATCH(AX159,L_Placeholder,0)))),TRIM(AE159)&lt;&gt;TRIM(T159)),"N/A – JUSTIFIED","INVALID – N/A needs a real justification (15+ chars), PIC and a different verifier"))),IF(OR(TRIM(U159)="Pass",TRIM(U159)="Pass after CA"),IF(NOT(ISNUMBER(AD159)),"INVALID – completion time missing",IF(OR(LEN(AU159)&lt;2,ISNUMBER(MATCH(AU159,L_Placeholder,0))),"INVALID – PIC missing",IF(OR(LEN(AV159)&lt;2,ISNUMBER(MATCH(AV159,L_Placeholder,0))),"INVALID – result / assessment missing",IF(OR(OR(LEN(AW159)&lt;3,ISNUMBER(MATCH(AW159,L_Placeholder,0))),SUMPRODUCT(--ISNUMBER(SEARCH(L_EvidencePhrase,AW159)))&gt;0),"INVALID – evidence missing, placeholder or not yet on file",IF(OR(LEN(AX159)&lt;2,ISNUMBER(MATCH(AX159,L_Placeholder,0))),"INVALID – verifier missing",IF(AX159=AU159,"INVALID – verifier must be someone other than the PIC",IF(AND(TRIM(U159)="Pass",SUMPRODUCT(--ISNUMBER(SEARCH(L_ResultBad,AV159)))&gt;0),"INVALID – result describes a problem: use Fail, then Pass after CA",IF(AND(AQ159=1,OR(LEN(AY159)&lt;3,ISNUMBER(MATCH(AY159,L_Placeholder,0)))),"INVALID – batch ID missing or placeholder",IF(AND(AR159=1,OR(NOT(ISNUMBER(X159)),NOT(ISNUMBER(Y159)))),"INVALID – expected/actual qty missing",IF(AND(AR159=1,OR(X159&lt;=0,Y159&lt;0)),"INVALID – expected qty must be above 0 and actual not negative",IF(AH149="N/A – JUSTIFIED","INVALID – preparation row F05-T12-02 is N/A",IF(AND(AR159=1,ISNUMBER(X149),X159&lt;&gt;X149),"INVALID – expected qty differs from preparation check F05-T12-02",IF(BB159&lt;&gt;"",BB159,IF(AND(AS159=1,Documents!$J$9&lt;&gt;"ON FILE"),"INVALID – GLD not on file (Documents sheet)",IF(AND(AS159=2,Documents!$O$9&lt;&gt;"ON FILE"),"INVALID – menu checklist not on file (Documents sheet)",IF(AND(AS159=3,NOT(ISNUMBER(Flights!$AX$9))),"INVALID – enter carrying flight KUL departure (Flights AX)",IF(AND(AS159=3,OR(Flights!$AZ$9&gt;Flights!$AA$9,Flights!$AX$9&lt;Flights!$AA$9-3)),"INVALID – carrying flight (Flights AX) cannot arrive before this leg's STD, or is over 3 days early",IF(AG159&gt;AsOfUTC,"INVALID – completion time is in the future",IF(AND(ISNUMBER(S159),AG159&lt;S159),IF(H159="Physical uplift","INVALID – before uplift window (cannot confirm loading)","INVALID – before valid window"),IF(AG159&gt;Flights!$AA$9,"INVALID – completed after departure (cannot establish readiness)",IF(AND(H159="Preparation",AG159&gt;IF(ISNUMBER(Flights!$BA$9),MIN(Flights!$BA$9,Flights!$AA$9),Flights!$AA$9)),"INVALID – completed after loading / departure (cannot establish readiness)",IF(AND(H159="Physical uplift",AG159&gt;Q159),"INVALID – recorded after the loading flight departed",IF(AG159&gt;Q159,"COMPLETE – LATE","COMPLETE"))))))))))))))))))))))),IF(TRIM(U159)="Fail","FAIL – DISCREPANCY",IF(AND(TRIM(U159)&lt;&gt;"",TRIM(U159)&lt;&gt;"Not started",TRIM(U159)&lt;&gt;"In progress"),"INVALID – unrecognised status (use the list)",IF(AsOfUTC&gt;Q159,"OVERDUE",IF(N159="Clarification required","OPEN – CLARIFICATION","OPEN"))))))),"INVALID – error value in an input cell")</f>
        <v>OPEN</v>
      </c>
      <c r="AI159" s="61" t="n">
        <f aca="false">IF(OR(AH159="N/A – RULE",AH159="N/A – JUSTIFIED"),0,1)</f>
        <v>1</v>
      </c>
      <c r="AJ159" s="61" t="n">
        <f aca="false">IF(LEFT(AH159,8)="COMPLETE",1,0)</f>
        <v>0</v>
      </c>
      <c r="AK159" s="61" t="n">
        <f aca="false">IF(AND(AI159=1,AJ159=0,AsOfUTC&gt;Q159),1,0)</f>
        <v>0</v>
      </c>
      <c r="AL159" s="61" t="n">
        <f aca="false">IFERROR(IF(AND(AI159=1,OR(TRIM(U159)="Fail",AND(TRIM(AB159)&lt;&gt;"",TRIM(AB159)&lt;&gt;"Closed"),AND(ISNUMBER(AF159),AF159&lt;&gt;0,TRIM(U159)&lt;&gt;"Pass after CA"))),1,0),1)</f>
        <v>0</v>
      </c>
      <c r="AM159" s="61" t="n">
        <f aca="false">IF(LEFT(AH159,7)="INVALID",1,0)</f>
        <v>0</v>
      </c>
      <c r="AN159" s="61" t="n">
        <f aca="false">IF(AND(N159="Clarification required",AI159=1,AJ159=0),1,0)</f>
        <v>0</v>
      </c>
      <c r="AO159" s="61" t="str">
        <f aca="false">IF(AK159=1,SUM(AK$5:AK159),"")</f>
        <v/>
      </c>
      <c r="AP159" s="61" t="str">
        <f aca="false">IF(AL159=1,SUM(AL$5:AL159),"")</f>
        <v/>
      </c>
      <c r="AQ159" s="61" t="n">
        <v>0</v>
      </c>
      <c r="AR159" s="61" t="n">
        <v>1</v>
      </c>
      <c r="AS159" s="61" t="n">
        <v>0</v>
      </c>
      <c r="AT159" s="61" t="n">
        <v>0</v>
      </c>
      <c r="AU159" s="61" t="str">
        <f aca="false">SUBSTITUTE(SUBSTITUTE(SUBSTITUTE(SUBSTITUTE(SUBSTITUTE(SUBSTITUTE(SUBSTITUTE(SUBSTITUTE(SUBSTITUTE(SUBSTITUTE(SUBSTITUTE(SUBSTITUTE(SUBSTITUTE(LOWER(T159&amp;""),CHAR(160),"")," ",""),".",""),"-",""),"/",""),"?",""),"_",""),",",""),"[",""),"]",""),"(",""),")",""),"*","")</f>
        <v/>
      </c>
      <c r="AV159" s="61" t="str">
        <f aca="false">SUBSTITUTE(SUBSTITUTE(SUBSTITUTE(SUBSTITUTE(SUBSTITUTE(SUBSTITUTE(SUBSTITUTE(SUBSTITUTE(SUBSTITUTE(SUBSTITUTE(SUBSTITUTE(SUBSTITUTE(SUBSTITUTE(LOWER(V159&amp;""),CHAR(160),"")," ",""),".",""),"-",""),"/",""),"?",""),"_",""),",",""),"[",""),"]",""),"(",""),")",""),"*","")</f>
        <v/>
      </c>
      <c r="AW159" s="61" t="str">
        <f aca="false">SUBSTITUTE(SUBSTITUTE(SUBSTITUTE(SUBSTITUTE(SUBSTITUTE(SUBSTITUTE(SUBSTITUTE(SUBSTITUTE(SUBSTITUTE(SUBSTITUTE(SUBSTITUTE(SUBSTITUTE(SUBSTITUTE(LOWER(Z159&amp;""),CHAR(160),"")," ",""),".",""),"-",""),"/",""),"?",""),"_",""),",",""),"[",""),"]",""),"(",""),")",""),"*","")</f>
        <v/>
      </c>
      <c r="AX159" s="61" t="str">
        <f aca="false">SUBSTITUTE(SUBSTITUTE(SUBSTITUTE(SUBSTITUTE(SUBSTITUTE(SUBSTITUTE(SUBSTITUTE(SUBSTITUTE(SUBSTITUTE(SUBSTITUTE(SUBSTITUTE(SUBSTITUTE(SUBSTITUTE(LOWER(AE159&amp;""),CHAR(160),"")," ",""),".",""),"-",""),"/",""),"?",""),"_",""),",",""),"[",""),"]",""),"(",""),")",""),"*","")</f>
        <v/>
      </c>
      <c r="AY159" s="61" t="str">
        <f aca="false">SUBSTITUTE(SUBSTITUTE(SUBSTITUTE(SUBSTITUTE(SUBSTITUTE(SUBSTITUTE(SUBSTITUTE(SUBSTITUTE(SUBSTITUTE(SUBSTITUTE(SUBSTITUTE(SUBSTITUTE(SUBSTITUTE(LOWER(W159&amp;""),CHAR(160),"")," ",""),".",""),"-",""),"/",""),"?",""),"_",""),",",""),"[",""),"]",""),"(",""),")",""),"*","")</f>
        <v/>
      </c>
      <c r="AZ159" s="61" t="str">
        <f aca="false">SUBSTITUTE(SUBSTITUTE(SUBSTITUTE(SUBSTITUTE(SUBSTITUTE(SUBSTITUTE(SUBSTITUTE(SUBSTITUTE(SUBSTITUTE(SUBSTITUTE(SUBSTITUTE(SUBSTITUTE(SUBSTITUTE(LOWER(AC159&amp;""),CHAR(160),"")," ",""),".",""),"-",""),"/",""),"?",""),"_",""),",",""),"[",""),"]",""),"(",""),")",""),"*","")</f>
        <v/>
      </c>
      <c r="BA159" s="61" t="str">
        <f aca="false">SUBSTITUTE(SUBSTITUTE(SUBSTITUTE(SUBSTITUTE(SUBSTITUTE(SUBSTITUTE(SUBSTITUTE(SUBSTITUTE(SUBSTITUTE(SUBSTITUTE(SUBSTITUTE(SUBSTITUTE(SUBSTITUTE(LOWER(AA159&amp;""),CHAR(160),"")," ",""),".",""),"-",""),"/",""),"?",""),"_",""),",",""),"[",""),"]",""),"(",""),")",""),"*","")</f>
        <v/>
      </c>
      <c r="BB159" s="61" t="str">
        <f aca="false">IF(AND(TRIM(U159)="Pass",ISNUMBER(AF159)),IF(AF159&lt;&gt;0,"INVALID – qty variance: use Fail or Pass after CA",""),"")&amp;IF(AND(TRIM(U159)="Pass after CA",ISNUMBER(AF159)),IF(AF159&lt;&gt;0,"INVALID – after the corrective action the actual qty must equal expected (update Actual)",""),"")&amp;IF(AND(TRIM(U159)="Pass",TRIM(AB159)&lt;&gt;"",TRIM(AB159)&lt;&gt;"Closed"),"INVALID – corrective action not closed: use Fail, then Pass after CA","")&amp;IF(AND(TRIM(AA159)&lt;&gt;"",TRIM(AB159)=""),"INVALID – CA status missing for the recorded corrective action","")&amp;IF(AND(TRIM(U159)="Pass after CA",OR(OR(LEN(BA159)&lt;5,ISNUMBER(MATCH(BA159,L_Placeholder,0))),TRIM(AB159)&lt;&gt;"Closed")),"INVALID – corrective action not recorded/closed","")</f>
        <v/>
      </c>
    </row>
    <row r="160" customFormat="false" ht="39.75" hidden="false" customHeight="true" outlineLevel="0" collapsed="false">
      <c r="A160" s="57" t="s">
        <v>673</v>
      </c>
      <c r="B160" s="57" t="s">
        <v>225</v>
      </c>
      <c r="C160" s="57" t="str">
        <f aca="false">Flights!$F$9</f>
        <v>MH0089</v>
      </c>
      <c r="D160" s="58" t="n">
        <f aca="false">Flights!$D$9</f>
        <v>46310</v>
      </c>
      <c r="E160" s="57" t="str">
        <f aca="false">Flights!$G$9&amp;"-"&amp;Flights!$H$9</f>
        <v>NRT-KUL</v>
      </c>
      <c r="F160" s="57" t="str">
        <f aca="false">Flights!$K$9</f>
        <v>EY</v>
      </c>
      <c r="G160" s="57" t="s">
        <v>437</v>
      </c>
      <c r="H160" s="57" t="s">
        <v>438</v>
      </c>
      <c r="I160" s="57" t="s">
        <v>406</v>
      </c>
      <c r="J160" s="57" t="s">
        <v>443</v>
      </c>
      <c r="K160" s="67" t="s">
        <v>404</v>
      </c>
      <c r="L160" s="67" t="s">
        <v>440</v>
      </c>
      <c r="M160" s="67"/>
      <c r="N160" s="67" t="s">
        <v>361</v>
      </c>
      <c r="O160" s="67" t="s">
        <v>441</v>
      </c>
      <c r="P160" s="57" t="s">
        <v>217</v>
      </c>
      <c r="Q160" s="59" t="n">
        <f aca="false">ROUND((Flights!$AF$9)*1440,0)/1440</f>
        <v>46310.0451388889</v>
      </c>
      <c r="R160" s="59" t="n">
        <f aca="false">Q160+(IF(AND(INDEX(TZ_DSTS,MATCH(P160,TZ_STN,0))&lt;&gt;"",Q160&gt;=INDEX(TZ_DSTS,MATCH(P160,TZ_STN,0)),Q160&lt;INDEX(TZ_DSTE,MATCH(P160,TZ_STN,0))),INDEX(TZ_DST,MATCH(P160,TZ_STN,0)),INDEX(TZ_STD,MATCH(P160,TZ_STN,0))))/24</f>
        <v>46310.4201388889</v>
      </c>
      <c r="S160" s="59" t="n">
        <f aca="false">IF(ISNUMBER(Flights!$AZ$9),MAX(Q160-UpliftWindowH/24,Flights!$AZ$9),Q160-UpliftWindowH/24)</f>
        <v>46309.7951388889</v>
      </c>
      <c r="T160" s="60"/>
      <c r="U160" s="60"/>
      <c r="V160" s="60"/>
      <c r="W160" s="61"/>
      <c r="X160" s="60"/>
      <c r="Y160" s="60"/>
      <c r="Z160" s="60"/>
      <c r="AA160" s="60"/>
      <c r="AB160" s="60"/>
      <c r="AC160" s="60"/>
      <c r="AD160" s="66"/>
      <c r="AE160" s="60"/>
      <c r="AF160" s="61" t="str">
        <f aca="false">IF(AND(ISNUMBER(X160),ISNUMBER(Y160)),Y160-X160,"")</f>
        <v/>
      </c>
      <c r="AG160" s="62" t="str">
        <f aca="false">IF(ISNUMBER(AD160),AD160-(IF(AND(INDEX(TZ_DSTS,MATCH(P160,TZ_STN,0))&lt;&gt;"",(AD160-INDEX(TZ_STD,MATCH(P160,TZ_STN,0))/24)&gt;=INDEX(TZ_DSTS,MATCH(P160,TZ_STN,0)),(AD160-INDEX(TZ_STD,MATCH(P160,TZ_STN,0))/24)&lt;INDEX(TZ_DSTE,MATCH(P160,TZ_STN,0))),INDEX(TZ_DST,MATCH(P160,TZ_STN,0)),INDEX(TZ_STD,MATCH(P160,TZ_STN,0))))/24,"")</f>
        <v/>
      </c>
      <c r="AH160" s="65" t="str">
        <f aca="false">IFERROR(IF(N160="N/A – rule","N/A – RULE",IF(TRIM(U160)="N/A",IF(AT160=0,"INVALID – N/A not permitted for this check",IF(AND(TRIM(AB160)&lt;&gt;"",TRIM(AB160)&lt;&gt;"Closed"),"INVALID – corrective action still open",IF(AND(NOT(OR(LEN(AZ160)&lt;15,ISNUMBER(MATCH(AZ160,L_Placeholder,0)))),NOT(OR(LEN(AU160)&lt;2,ISNUMBER(MATCH(AU160,L_Placeholder,0)))),NOT(OR(LEN(AX160)&lt;2,ISNUMBER(MATCH(AX160,L_Placeholder,0)))),TRIM(AE160)&lt;&gt;TRIM(T160)),"N/A – JUSTIFIED","INVALID – N/A needs a real justification (15+ chars), PIC and a different verifier"))),IF(OR(TRIM(U160)="Pass",TRIM(U160)="Pass after CA"),IF(NOT(ISNUMBER(AD160)),"INVALID – completion time missing",IF(OR(LEN(AU160)&lt;2,ISNUMBER(MATCH(AU160,L_Placeholder,0))),"INVALID – PIC missing",IF(OR(LEN(AV160)&lt;2,ISNUMBER(MATCH(AV160,L_Placeholder,0))),"INVALID – result / assessment missing",IF(OR(OR(LEN(AW160)&lt;3,ISNUMBER(MATCH(AW160,L_Placeholder,0))),SUMPRODUCT(--ISNUMBER(SEARCH(L_EvidencePhrase,AW160)))&gt;0),"INVALID – evidence missing, placeholder or not yet on file",IF(OR(LEN(AX160)&lt;2,ISNUMBER(MATCH(AX160,L_Placeholder,0))),"INVALID – verifier missing",IF(AX160=AU160,"INVALID – verifier must be someone other than the PIC",IF(AND(TRIM(U160)="Pass",SUMPRODUCT(--ISNUMBER(SEARCH(L_ResultBad,AV160)))&gt;0),"INVALID – result describes a problem: use Fail, then Pass after CA",IF(AND(AQ160=1,OR(LEN(AY160)&lt;3,ISNUMBER(MATCH(AY160,L_Placeholder,0)))),"INVALID – batch ID missing or placeholder",IF(AND(AR160=1,OR(NOT(ISNUMBER(X160)),NOT(ISNUMBER(Y160)))),"INVALID – expected/actual qty missing",IF(AND(AR160=1,OR(X160&lt;=0,Y160&lt;0)),"INVALID – expected qty must be above 0 and actual not negative",IF(AH153="N/A – JUSTIFIED","INVALID – preparation row F05-T12-06 is N/A",IF(AND(AR160=1,ISNUMBER(X153),X160&lt;&gt;X153),"INVALID – expected qty differs from preparation check F05-T12-06",IF(BB160&lt;&gt;"",BB160,IF(AND(AS160=1,Documents!$J$9&lt;&gt;"ON FILE"),"INVALID – GLD not on file (Documents sheet)",IF(AND(AS160=2,Documents!$O$9&lt;&gt;"ON FILE"),"INVALID – menu checklist not on file (Documents sheet)",IF(AND(AS160=3,NOT(ISNUMBER(Flights!$AX$9))),"INVALID – enter carrying flight KUL departure (Flights AX)",IF(AND(AS160=3,OR(Flights!$AZ$9&gt;Flights!$AA$9,Flights!$AX$9&lt;Flights!$AA$9-3)),"INVALID – carrying flight (Flights AX) cannot arrive before this leg's STD, or is over 3 days early",IF(AG160&gt;AsOfUTC,"INVALID – completion time is in the future",IF(AND(ISNUMBER(S160),AG160&lt;S160),IF(H160="Physical uplift","INVALID – before uplift window (cannot confirm loading)","INVALID – before valid window"),IF(AG160&gt;Flights!$AA$9,"INVALID – completed after departure (cannot establish readiness)",IF(AND(H160="Preparation",AG160&gt;IF(ISNUMBER(Flights!$BA$9),MIN(Flights!$BA$9,Flights!$AA$9),Flights!$AA$9)),"INVALID – completed after loading / departure (cannot establish readiness)",IF(AND(H160="Physical uplift",AG160&gt;Q160),"INVALID – recorded after the loading flight departed",IF(AG160&gt;Q160,"COMPLETE – LATE","COMPLETE"))))))))))))))))))))))),IF(TRIM(U160)="Fail","FAIL – DISCREPANCY",IF(AND(TRIM(U160)&lt;&gt;"",TRIM(U160)&lt;&gt;"Not started",TRIM(U160)&lt;&gt;"In progress"),"INVALID – unrecognised status (use the list)",IF(AsOfUTC&gt;Q160,"OVERDUE",IF(N160="Clarification required","OPEN – CLARIFICATION","OPEN"))))))),"INVALID – error value in an input cell")</f>
        <v>OPEN</v>
      </c>
      <c r="AI160" s="61" t="n">
        <f aca="false">IF(OR(AH160="N/A – RULE",AH160="N/A – JUSTIFIED"),0,1)</f>
        <v>1</v>
      </c>
      <c r="AJ160" s="61" t="n">
        <f aca="false">IF(LEFT(AH160,8)="COMPLETE",1,0)</f>
        <v>0</v>
      </c>
      <c r="AK160" s="61" t="n">
        <f aca="false">IF(AND(AI160=1,AJ160=0,AsOfUTC&gt;Q160),1,0)</f>
        <v>0</v>
      </c>
      <c r="AL160" s="61" t="n">
        <f aca="false">IFERROR(IF(AND(AI160=1,OR(TRIM(U160)="Fail",AND(TRIM(AB160)&lt;&gt;"",TRIM(AB160)&lt;&gt;"Closed"),AND(ISNUMBER(AF160),AF160&lt;&gt;0,TRIM(U160)&lt;&gt;"Pass after CA"))),1,0),1)</f>
        <v>0</v>
      </c>
      <c r="AM160" s="61" t="n">
        <f aca="false">IF(LEFT(AH160,7)="INVALID",1,0)</f>
        <v>0</v>
      </c>
      <c r="AN160" s="61" t="n">
        <f aca="false">IF(AND(N160="Clarification required",AI160=1,AJ160=0),1,0)</f>
        <v>0</v>
      </c>
      <c r="AO160" s="61" t="str">
        <f aca="false">IF(AK160=1,SUM(AK$5:AK160),"")</f>
        <v/>
      </c>
      <c r="AP160" s="61" t="str">
        <f aca="false">IF(AL160=1,SUM(AL$5:AL160),"")</f>
        <v/>
      </c>
      <c r="AQ160" s="61" t="n">
        <v>0</v>
      </c>
      <c r="AR160" s="61" t="n">
        <v>1</v>
      </c>
      <c r="AS160" s="61" t="n">
        <v>0</v>
      </c>
      <c r="AT160" s="61" t="n">
        <v>0</v>
      </c>
      <c r="AU160" s="61" t="str">
        <f aca="false">SUBSTITUTE(SUBSTITUTE(SUBSTITUTE(SUBSTITUTE(SUBSTITUTE(SUBSTITUTE(SUBSTITUTE(SUBSTITUTE(SUBSTITUTE(SUBSTITUTE(SUBSTITUTE(SUBSTITUTE(SUBSTITUTE(LOWER(T160&amp;""),CHAR(160),"")," ",""),".",""),"-",""),"/",""),"?",""),"_",""),",",""),"[",""),"]",""),"(",""),")",""),"*","")</f>
        <v/>
      </c>
      <c r="AV160" s="61" t="str">
        <f aca="false">SUBSTITUTE(SUBSTITUTE(SUBSTITUTE(SUBSTITUTE(SUBSTITUTE(SUBSTITUTE(SUBSTITUTE(SUBSTITUTE(SUBSTITUTE(SUBSTITUTE(SUBSTITUTE(SUBSTITUTE(SUBSTITUTE(LOWER(V160&amp;""),CHAR(160),"")," ",""),".",""),"-",""),"/",""),"?",""),"_",""),",",""),"[",""),"]",""),"(",""),")",""),"*","")</f>
        <v/>
      </c>
      <c r="AW160" s="61" t="str">
        <f aca="false">SUBSTITUTE(SUBSTITUTE(SUBSTITUTE(SUBSTITUTE(SUBSTITUTE(SUBSTITUTE(SUBSTITUTE(SUBSTITUTE(SUBSTITUTE(SUBSTITUTE(SUBSTITUTE(SUBSTITUTE(SUBSTITUTE(LOWER(Z160&amp;""),CHAR(160),"")," ",""),".",""),"-",""),"/",""),"?",""),"_",""),",",""),"[",""),"]",""),"(",""),")",""),"*","")</f>
        <v/>
      </c>
      <c r="AX160" s="61" t="str">
        <f aca="false">SUBSTITUTE(SUBSTITUTE(SUBSTITUTE(SUBSTITUTE(SUBSTITUTE(SUBSTITUTE(SUBSTITUTE(SUBSTITUTE(SUBSTITUTE(SUBSTITUTE(SUBSTITUTE(SUBSTITUTE(SUBSTITUTE(LOWER(AE160&amp;""),CHAR(160),"")," ",""),".",""),"-",""),"/",""),"?",""),"_",""),",",""),"[",""),"]",""),"(",""),")",""),"*","")</f>
        <v/>
      </c>
      <c r="AY160" s="61" t="str">
        <f aca="false">SUBSTITUTE(SUBSTITUTE(SUBSTITUTE(SUBSTITUTE(SUBSTITUTE(SUBSTITUTE(SUBSTITUTE(SUBSTITUTE(SUBSTITUTE(SUBSTITUTE(SUBSTITUTE(SUBSTITUTE(SUBSTITUTE(LOWER(W160&amp;""),CHAR(160),"")," ",""),".",""),"-",""),"/",""),"?",""),"_",""),",",""),"[",""),"]",""),"(",""),")",""),"*","")</f>
        <v/>
      </c>
      <c r="AZ160" s="61" t="str">
        <f aca="false">SUBSTITUTE(SUBSTITUTE(SUBSTITUTE(SUBSTITUTE(SUBSTITUTE(SUBSTITUTE(SUBSTITUTE(SUBSTITUTE(SUBSTITUTE(SUBSTITUTE(SUBSTITUTE(SUBSTITUTE(SUBSTITUTE(LOWER(AC160&amp;""),CHAR(160),"")," ",""),".",""),"-",""),"/",""),"?",""),"_",""),",",""),"[",""),"]",""),"(",""),")",""),"*","")</f>
        <v/>
      </c>
      <c r="BA160" s="61" t="str">
        <f aca="false">SUBSTITUTE(SUBSTITUTE(SUBSTITUTE(SUBSTITUTE(SUBSTITUTE(SUBSTITUTE(SUBSTITUTE(SUBSTITUTE(SUBSTITUTE(SUBSTITUTE(SUBSTITUTE(SUBSTITUTE(SUBSTITUTE(LOWER(AA160&amp;""),CHAR(160),"")," ",""),".",""),"-",""),"/",""),"?",""),"_",""),",",""),"[",""),"]",""),"(",""),")",""),"*","")</f>
        <v/>
      </c>
      <c r="BB160" s="61" t="str">
        <f aca="false">IF(AND(TRIM(U160)="Pass",ISNUMBER(AF160)),IF(AF160&lt;&gt;0,"INVALID – qty variance: use Fail or Pass after CA",""),"")&amp;IF(AND(TRIM(U160)="Pass after CA",ISNUMBER(AF160)),IF(AF160&lt;&gt;0,"INVALID – after the corrective action the actual qty must equal expected (update Actual)",""),"")&amp;IF(AND(TRIM(U160)="Pass",TRIM(AB160)&lt;&gt;"",TRIM(AB160)&lt;&gt;"Closed"),"INVALID – corrective action not closed: use Fail, then Pass after CA","")&amp;IF(AND(TRIM(AA160)&lt;&gt;"",TRIM(AB160)=""),"INVALID – CA status missing for the recorded corrective action","")&amp;IF(AND(TRIM(U160)="Pass after CA",OR(OR(LEN(BA160)&lt;5,ISNUMBER(MATCH(BA160,L_Placeholder,0))),TRIM(AB160)&lt;&gt;"Closed")),"INVALID – corrective action not recorded/closed","")</f>
        <v/>
      </c>
    </row>
    <row r="161" customFormat="false" ht="41.25" hidden="false" customHeight="true" outlineLevel="0" collapsed="false">
      <c r="A161" s="57" t="s">
        <v>674</v>
      </c>
      <c r="B161" s="57" t="s">
        <v>225</v>
      </c>
      <c r="C161" s="57" t="str">
        <f aca="false">Flights!$F$9</f>
        <v>MH0089</v>
      </c>
      <c r="D161" s="58" t="n">
        <f aca="false">Flights!$D$9</f>
        <v>46310</v>
      </c>
      <c r="E161" s="57" t="str">
        <f aca="false">Flights!$G$9&amp;"-"&amp;Flights!$H$9</f>
        <v>NRT-KUL</v>
      </c>
      <c r="F161" s="57" t="str">
        <f aca="false">Flights!$K$9</f>
        <v>EY</v>
      </c>
      <c r="G161" s="57" t="s">
        <v>437</v>
      </c>
      <c r="H161" s="57" t="s">
        <v>438</v>
      </c>
      <c r="I161" s="57" t="s">
        <v>389</v>
      </c>
      <c r="J161" s="57" t="s">
        <v>675</v>
      </c>
      <c r="K161" s="67" t="s">
        <v>676</v>
      </c>
      <c r="L161" s="67" t="s">
        <v>677</v>
      </c>
      <c r="M161" s="67"/>
      <c r="N161" s="67" t="s">
        <v>361</v>
      </c>
      <c r="O161" s="67" t="s">
        <v>678</v>
      </c>
      <c r="P161" s="57" t="s">
        <v>184</v>
      </c>
      <c r="Q161" s="59" t="n">
        <f aca="false">ROUND((Flights!$AY$9+UpliftWindowH/24)*1440,0)/1440</f>
        <v>46305.6458333333</v>
      </c>
      <c r="R161" s="59" t="n">
        <f aca="false">Q161+(IF(AND(INDEX(TZ_DSTS,MATCH(P161,TZ_STN,0))&lt;&gt;"",Q161&gt;=INDEX(TZ_DSTS,MATCH(P161,TZ_STN,0)),Q161&lt;INDEX(TZ_DSTE,MATCH(P161,TZ_STN,0))),INDEX(TZ_DST,MATCH(P161,TZ_STN,0)),INDEX(TZ_STD,MATCH(P161,TZ_STN,0))))/24</f>
        <v>46305.9791666667</v>
      </c>
      <c r="S161" s="59" t="n">
        <f aca="false">Q161-UpliftWindowH/24</f>
        <v>46305.3958333333</v>
      </c>
      <c r="T161" s="60"/>
      <c r="U161" s="60"/>
      <c r="V161" s="60"/>
      <c r="W161" s="61"/>
      <c r="X161" s="60"/>
      <c r="Y161" s="60"/>
      <c r="Z161" s="60"/>
      <c r="AA161" s="60"/>
      <c r="AB161" s="60"/>
      <c r="AC161" s="60"/>
      <c r="AD161" s="66"/>
      <c r="AE161" s="60"/>
      <c r="AF161" s="61" t="str">
        <f aca="false">IF(AND(ISNUMBER(X161),ISNUMBER(Y161)),Y161-X161,"")</f>
        <v/>
      </c>
      <c r="AG161" s="62" t="str">
        <f aca="false">IF(ISNUMBER(AD161),AD161-(IF(AND(INDEX(TZ_DSTS,MATCH(P161,TZ_STN,0))&lt;&gt;"",(AD161-INDEX(TZ_STD,MATCH(P161,TZ_STN,0))/24)&gt;=INDEX(TZ_DSTS,MATCH(P161,TZ_STN,0)),(AD161-INDEX(TZ_STD,MATCH(P161,TZ_STN,0))/24)&lt;INDEX(TZ_DSTE,MATCH(P161,TZ_STN,0))),INDEX(TZ_DST,MATCH(P161,TZ_STN,0)),INDEX(TZ_STD,MATCH(P161,TZ_STN,0))))/24,"")</f>
        <v/>
      </c>
      <c r="AH161" s="65" t="str">
        <f aca="false">IFERROR(IF(N161="N/A – rule","N/A – RULE",IF(TRIM(U161)="N/A",IF(AT161=0,"INVALID – N/A not permitted for this check",IF(AND(TRIM(AB161)&lt;&gt;"",TRIM(AB161)&lt;&gt;"Closed"),"INVALID – corrective action still open",IF(AND(NOT(OR(LEN(AZ161)&lt;15,ISNUMBER(MATCH(AZ161,L_Placeholder,0)))),NOT(OR(LEN(AU161)&lt;2,ISNUMBER(MATCH(AU161,L_Placeholder,0)))),NOT(OR(LEN(AX161)&lt;2,ISNUMBER(MATCH(AX161,L_Placeholder,0)))),TRIM(AE161)&lt;&gt;TRIM(T161)),"N/A – JUSTIFIED","INVALID – N/A needs a real justification (15+ chars), PIC and a different verifier"))),IF(OR(TRIM(U161)="Pass",TRIM(U161)="Pass after CA"),IF(NOT(ISNUMBER(AD161)),"INVALID – completion time missing",IF(OR(LEN(AU161)&lt;2,ISNUMBER(MATCH(AU161,L_Placeholder,0))),"INVALID – PIC missing",IF(OR(LEN(AV161)&lt;2,ISNUMBER(MATCH(AV161,L_Placeholder,0))),"INVALID – result / assessment missing",IF(OR(OR(LEN(AW161)&lt;3,ISNUMBER(MATCH(AW161,L_Placeholder,0))),SUMPRODUCT(--ISNUMBER(SEARCH(L_EvidencePhrase,AW161)))&gt;0),"INVALID – evidence missing, placeholder or not yet on file",IF(OR(LEN(AX161)&lt;2,ISNUMBER(MATCH(AX161,L_Placeholder,0))),"INVALID – verifier missing",IF(AX161=AU161,"INVALID – verifier must be someone other than the PIC",IF(AND(TRIM(U161)="Pass",SUMPRODUCT(--ISNUMBER(SEARCH(L_ResultBad,AV161)))&gt;0),"INVALID – result describes a problem: use Fail, then Pass after CA",IF(AND(AQ161=1,OR(LEN(AY161)&lt;3,ISNUMBER(MATCH(AY161,L_Placeholder,0)))),"INVALID – batch ID missing or placeholder",IF(AND(AR161=1,OR(NOT(ISNUMBER(X161)),NOT(ISNUMBER(Y161)))),"INVALID – expected/actual qty missing",IF(AND(AR161=1,OR(X161&lt;=0,Y161&lt;0)),"INVALID – expected qty must be above 0 and actual not negative",IF(BB161&lt;&gt;"",BB161,IF(AND(AS161=1,Documents!$J$9&lt;&gt;"ON FILE"),"INVALID – GLD not on file (Documents sheet)",IF(AND(AS161=2,Documents!$O$9&lt;&gt;"ON FILE"),"INVALID – menu checklist not on file (Documents sheet)",IF(AND(AS161=3,NOT(ISNUMBER(Flights!$AX$9))),"INVALID – enter carrying flight KUL departure (Flights AX)",IF(AND(AS161=3,OR(Flights!$AZ$9&gt;Flights!$AA$9,Flights!$AX$9&lt;Flights!$AA$9-3)),"INVALID – carrying flight (Flights AX) cannot arrive before this leg's STD, or is over 3 days early",IF(AG161&gt;AsOfUTC,"INVALID – completion time is in the future",IF(AND(ISNUMBER(S161),AG161&lt;S161),IF(H161="Physical uplift","INVALID – before uplift window (cannot confirm loading)","INVALID – before valid window"),IF(AG161&gt;Flights!$AA$9,"INVALID – completed after departure (cannot establish readiness)",IF(AND(H161="Preparation",AG161&gt;Flights!$AY$9+UpliftWindowH/24),"INVALID – completed after the carrying flight left KUL",IF(AND(H161="Physical uplift",AG161&gt;Q161),"INVALID – recorded after the loading flight departed",IF(AG161&gt;Q161,"COMPLETE – LATE","COMPLETE"))))))))))))))))))))),IF(TRIM(U161)="Fail","FAIL – DISCREPANCY",IF(AND(TRIM(U161)&lt;&gt;"",TRIM(U161)&lt;&gt;"Not started",TRIM(U161)&lt;&gt;"In progress"),"INVALID – unrecognised status (use the list)",IF(AsOfUTC&gt;Q161,"OVERDUE",IF(N161="Clarification required","OPEN – CLARIFICATION","OPEN"))))))),"INVALID – error value in an input cell")</f>
        <v>OPEN</v>
      </c>
      <c r="AI161" s="61" t="n">
        <f aca="false">IF(OR(AH161="N/A – RULE",AH161="N/A – JUSTIFIED"),0,1)</f>
        <v>1</v>
      </c>
      <c r="AJ161" s="61" t="n">
        <f aca="false">IF(LEFT(AH161,8)="COMPLETE",1,0)</f>
        <v>0</v>
      </c>
      <c r="AK161" s="61" t="n">
        <f aca="false">IF(AND(AI161=1,AJ161=0,AsOfUTC&gt;Q161),1,0)</f>
        <v>0</v>
      </c>
      <c r="AL161" s="61" t="n">
        <f aca="false">IFERROR(IF(AND(AI161=1,OR(TRIM(U161)="Fail",AND(TRIM(AB161)&lt;&gt;"",TRIM(AB161)&lt;&gt;"Closed"),AND(ISNUMBER(AF161),AF161&lt;&gt;0,TRIM(U161)&lt;&gt;"Pass after CA"))),1,0),1)</f>
        <v>0</v>
      </c>
      <c r="AM161" s="61" t="n">
        <f aca="false">IF(LEFT(AH161,7)="INVALID",1,0)</f>
        <v>0</v>
      </c>
      <c r="AN161" s="61" t="n">
        <f aca="false">IF(AND(N161="Clarification required",AI161=1,AJ161=0),1,0)</f>
        <v>0</v>
      </c>
      <c r="AO161" s="61" t="str">
        <f aca="false">IF(AK161=1,SUM(AK$5:AK161),"")</f>
        <v/>
      </c>
      <c r="AP161" s="61" t="str">
        <f aca="false">IF(AL161=1,SUM(AL$5:AL161),"")</f>
        <v/>
      </c>
      <c r="AQ161" s="61" t="n">
        <v>0</v>
      </c>
      <c r="AR161" s="61" t="n">
        <v>0</v>
      </c>
      <c r="AS161" s="61" t="n">
        <v>0</v>
      </c>
      <c r="AT161" s="61" t="n">
        <v>0</v>
      </c>
      <c r="AU161" s="61" t="str">
        <f aca="false">SUBSTITUTE(SUBSTITUTE(SUBSTITUTE(SUBSTITUTE(SUBSTITUTE(SUBSTITUTE(SUBSTITUTE(SUBSTITUTE(SUBSTITUTE(SUBSTITUTE(SUBSTITUTE(SUBSTITUTE(SUBSTITUTE(LOWER(T161&amp;""),CHAR(160),"")," ",""),".",""),"-",""),"/",""),"?",""),"_",""),",",""),"[",""),"]",""),"(",""),")",""),"*","")</f>
        <v/>
      </c>
      <c r="AV161" s="61" t="str">
        <f aca="false">SUBSTITUTE(SUBSTITUTE(SUBSTITUTE(SUBSTITUTE(SUBSTITUTE(SUBSTITUTE(SUBSTITUTE(SUBSTITUTE(SUBSTITUTE(SUBSTITUTE(SUBSTITUTE(SUBSTITUTE(SUBSTITUTE(LOWER(V161&amp;""),CHAR(160),"")," ",""),".",""),"-",""),"/",""),"?",""),"_",""),",",""),"[",""),"]",""),"(",""),")",""),"*","")</f>
        <v/>
      </c>
      <c r="AW161" s="61" t="str">
        <f aca="false">SUBSTITUTE(SUBSTITUTE(SUBSTITUTE(SUBSTITUTE(SUBSTITUTE(SUBSTITUTE(SUBSTITUTE(SUBSTITUTE(SUBSTITUTE(SUBSTITUTE(SUBSTITUTE(SUBSTITUTE(SUBSTITUTE(LOWER(Z161&amp;""),CHAR(160),"")," ",""),".",""),"-",""),"/",""),"?",""),"_",""),",",""),"[",""),"]",""),"(",""),")",""),"*","")</f>
        <v/>
      </c>
      <c r="AX161" s="61" t="str">
        <f aca="false">SUBSTITUTE(SUBSTITUTE(SUBSTITUTE(SUBSTITUTE(SUBSTITUTE(SUBSTITUTE(SUBSTITUTE(SUBSTITUTE(SUBSTITUTE(SUBSTITUTE(SUBSTITUTE(SUBSTITUTE(SUBSTITUTE(LOWER(AE161&amp;""),CHAR(160),"")," ",""),".",""),"-",""),"/",""),"?",""),"_",""),",",""),"[",""),"]",""),"(",""),")",""),"*","")</f>
        <v/>
      </c>
      <c r="AY161" s="61" t="str">
        <f aca="false">SUBSTITUTE(SUBSTITUTE(SUBSTITUTE(SUBSTITUTE(SUBSTITUTE(SUBSTITUTE(SUBSTITUTE(SUBSTITUTE(SUBSTITUTE(SUBSTITUTE(SUBSTITUTE(SUBSTITUTE(SUBSTITUTE(LOWER(W161&amp;""),CHAR(160),"")," ",""),".",""),"-",""),"/",""),"?",""),"_",""),",",""),"[",""),"]",""),"(",""),")",""),"*","")</f>
        <v/>
      </c>
      <c r="AZ161" s="61" t="str">
        <f aca="false">SUBSTITUTE(SUBSTITUTE(SUBSTITUTE(SUBSTITUTE(SUBSTITUTE(SUBSTITUTE(SUBSTITUTE(SUBSTITUTE(SUBSTITUTE(SUBSTITUTE(SUBSTITUTE(SUBSTITUTE(SUBSTITUTE(LOWER(AC161&amp;""),CHAR(160),"")," ",""),".",""),"-",""),"/",""),"?",""),"_",""),",",""),"[",""),"]",""),"(",""),")",""),"*","")</f>
        <v/>
      </c>
      <c r="BA161" s="61" t="str">
        <f aca="false">SUBSTITUTE(SUBSTITUTE(SUBSTITUTE(SUBSTITUTE(SUBSTITUTE(SUBSTITUTE(SUBSTITUTE(SUBSTITUTE(SUBSTITUTE(SUBSTITUTE(SUBSTITUTE(SUBSTITUTE(SUBSTITUTE(LOWER(AA161&amp;""),CHAR(160),"")," ",""),".",""),"-",""),"/",""),"?",""),"_",""),",",""),"[",""),"]",""),"(",""),")",""),"*","")</f>
        <v/>
      </c>
      <c r="BB161" s="61" t="str">
        <f aca="false">IF(AND(TRIM(U161)="Pass",ISNUMBER(AF161)),IF(AF161&lt;&gt;0,"INVALID – qty variance: use Fail or Pass after CA",""),"")&amp;IF(AND(TRIM(U161)="Pass after CA",ISNUMBER(AF161)),IF(AF161&lt;&gt;0,"INVALID – after the corrective action the actual qty must equal expected (update Actual)",""),"")&amp;IF(AND(TRIM(U161)="Pass",TRIM(AB161)&lt;&gt;"",TRIM(AB161)&lt;&gt;"Closed"),"INVALID – corrective action not closed: use Fail, then Pass after CA","")&amp;IF(AND(TRIM(AA161)&lt;&gt;"",TRIM(AB161)=""),"INVALID – CA status missing for the recorded corrective action","")&amp;IF(AND(TRIM(U161)="Pass after CA",OR(OR(LEN(BA161)&lt;5,ISNUMBER(MATCH(BA161,L_Placeholder,0))),TRIM(AB161)&lt;&gt;"Closed")),"INVALID – corrective action not recorded/closed","")</f>
        <v/>
      </c>
    </row>
    <row r="162" customFormat="false" ht="54" hidden="false" customHeight="true" outlineLevel="0" collapsed="false">
      <c r="A162" s="57" t="s">
        <v>679</v>
      </c>
      <c r="B162" s="57" t="s">
        <v>225</v>
      </c>
      <c r="C162" s="57" t="str">
        <f aca="false">Flights!$F$9</f>
        <v>MH0089</v>
      </c>
      <c r="D162" s="58" t="n">
        <f aca="false">Flights!$D$9</f>
        <v>46310</v>
      </c>
      <c r="E162" s="57" t="str">
        <f aca="false">Flights!$G$9&amp;"-"&amp;Flights!$H$9</f>
        <v>NRT-KUL</v>
      </c>
      <c r="F162" s="57" t="str">
        <f aca="false">Flights!$K$9</f>
        <v>EY</v>
      </c>
      <c r="G162" s="57" t="s">
        <v>437</v>
      </c>
      <c r="H162" s="57" t="s">
        <v>438</v>
      </c>
      <c r="I162" s="57" t="s">
        <v>418</v>
      </c>
      <c r="J162" s="57" t="s">
        <v>445</v>
      </c>
      <c r="K162" s="67" t="s">
        <v>420</v>
      </c>
      <c r="L162" s="67" t="s">
        <v>579</v>
      </c>
      <c r="M162" s="67" t="s">
        <v>184</v>
      </c>
      <c r="N162" s="67" t="s">
        <v>422</v>
      </c>
      <c r="O162" s="67" t="s">
        <v>423</v>
      </c>
      <c r="P162" s="57" t="s">
        <v>217</v>
      </c>
      <c r="Q162" s="59" t="n">
        <f aca="false">ROUND((Flights!$AF$9)*1440,0)/1440</f>
        <v>46310.0451388889</v>
      </c>
      <c r="R162" s="59" t="n">
        <f aca="false">Q162+(IF(AND(INDEX(TZ_DSTS,MATCH(P162,TZ_STN,0))&lt;&gt;"",Q162&gt;=INDEX(TZ_DSTS,MATCH(P162,TZ_STN,0)),Q162&lt;INDEX(TZ_DSTE,MATCH(P162,TZ_STN,0))),INDEX(TZ_DST,MATCH(P162,TZ_STN,0)),INDEX(TZ_STD,MATCH(P162,TZ_STN,0))))/24</f>
        <v>46310.4201388889</v>
      </c>
      <c r="S162" s="59" t="n">
        <f aca="false">IF(ISNUMBER(Flights!$AZ$9),MAX(Q162-UpliftWindowH/24,Flights!$AZ$9),Q162-UpliftWindowH/24)</f>
        <v>46309.7951388889</v>
      </c>
      <c r="T162" s="60"/>
      <c r="U162" s="60"/>
      <c r="V162" s="60"/>
      <c r="W162" s="61"/>
      <c r="X162" s="60"/>
      <c r="Y162" s="60"/>
      <c r="Z162" s="60"/>
      <c r="AA162" s="60"/>
      <c r="AB162" s="60"/>
      <c r="AC162" s="60"/>
      <c r="AD162" s="66"/>
      <c r="AE162" s="60"/>
      <c r="AF162" s="61" t="str">
        <f aca="false">IF(AND(ISNUMBER(X162),ISNUMBER(Y162)),Y162-X162,"")</f>
        <v/>
      </c>
      <c r="AG162" s="62" t="str">
        <f aca="false">IF(ISNUMBER(AD162),AD162-(IF(AND(INDEX(TZ_DSTS,MATCH(P162,TZ_STN,0))&lt;&gt;"",(AD162-INDEX(TZ_STD,MATCH(P162,TZ_STN,0))/24)&gt;=INDEX(TZ_DSTS,MATCH(P162,TZ_STN,0)),(AD162-INDEX(TZ_STD,MATCH(P162,TZ_STN,0))/24)&lt;INDEX(TZ_DSTE,MATCH(P162,TZ_STN,0))),INDEX(TZ_DST,MATCH(P162,TZ_STN,0)),INDEX(TZ_STD,MATCH(P162,TZ_STN,0))))/24,"")</f>
        <v/>
      </c>
      <c r="AH162" s="65" t="str">
        <f aca="false">IFERROR(IF(N162="N/A – rule","N/A – RULE",IF(TRIM(U162)="N/A",IF(AT162=0,"INVALID – N/A not permitted for this check",IF(AND(TRIM(AB162)&lt;&gt;"",TRIM(AB162)&lt;&gt;"Closed"),"INVALID – corrective action still open",IF(AND(NOT(OR(LEN(AZ162)&lt;15,ISNUMBER(MATCH(AZ162,L_Placeholder,0)))),NOT(OR(LEN(AU162)&lt;2,ISNUMBER(MATCH(AU162,L_Placeholder,0)))),NOT(OR(LEN(AX162)&lt;2,ISNUMBER(MATCH(AX162,L_Placeholder,0)))),TRIM(AE162)&lt;&gt;TRIM(T162)),"N/A – JUSTIFIED","INVALID – N/A needs a real justification (15+ chars), PIC and a different verifier"))),IF(OR(TRIM(U162)="Pass",TRIM(U162)="Pass after CA"),IF(NOT(ISNUMBER(AD162)),"INVALID – completion time missing",IF(OR(LEN(AU162)&lt;2,ISNUMBER(MATCH(AU162,L_Placeholder,0))),"INVALID – PIC missing",IF(OR(LEN(AV162)&lt;2,ISNUMBER(MATCH(AV162,L_Placeholder,0))),"INVALID – result / assessment missing",IF(OR(OR(LEN(AW162)&lt;3,ISNUMBER(MATCH(AW162,L_Placeholder,0))),SUMPRODUCT(--ISNUMBER(SEARCH(L_EvidencePhrase,AW162)))&gt;0),"INVALID – evidence missing, placeholder or not yet on file",IF(OR(LEN(AX162)&lt;2,ISNUMBER(MATCH(AX162,L_Placeholder,0))),"INVALID – verifier missing",IF(AX162=AU162,"INVALID – verifier must be someone other than the PIC",IF(AND(TRIM(U162)="Pass",SUMPRODUCT(--ISNUMBER(SEARCH(L_ResultBad,AV162)))&gt;0),"INVALID – result describes a problem: use Fail, then Pass after CA",IF(AND(AQ162=1,OR(LEN(AY162)&lt;3,ISNUMBER(MATCH(AY162,L_Placeholder,0)))),"INVALID – batch ID missing or placeholder",IF(AND(AR162=1,OR(NOT(ISNUMBER(X162)),NOT(ISNUMBER(Y162)))),"INVALID – expected/actual qty missing",IF(AND(AR162=1,OR(X162&lt;=0,Y162&lt;0)),"INVALID – expected qty must be above 0 and actual not negative",IF(AH155="N/A – JUSTIFIED","INVALID – preparation row F05-T12-08 is N/A",IF(AND(AR162=1,ISNUMBER(X155),X162&lt;&gt;X155),"INVALID – expected qty differs from preparation check F05-T12-08",IF(BB162&lt;&gt;"",BB162,IF(AND(AS162=1,Documents!$J$9&lt;&gt;"ON FILE"),"INVALID – GLD not on file (Documents sheet)",IF(AND(AS162=2,Documents!$O$9&lt;&gt;"ON FILE"),"INVALID – menu checklist not on file (Documents sheet)",IF(AND(AS162=3,NOT(ISNUMBER(Flights!$AX$9))),"INVALID – enter carrying flight KUL departure (Flights AX)",IF(AND(AS162=3,OR(Flights!$AZ$9&gt;Flights!$AA$9,Flights!$AX$9&lt;Flights!$AA$9-3)),"INVALID – carrying flight (Flights AX) cannot arrive before this leg's STD, or is over 3 days early",IF(AG162&gt;AsOfUTC,"INVALID – completion time is in the future",IF(AND(ISNUMBER(S162),AG162&lt;S162),IF(H162="Physical uplift","INVALID – before uplift window (cannot confirm loading)","INVALID – before valid window"),IF(AG162&gt;Flights!$AA$9,"INVALID – completed after departure (cannot establish readiness)",IF(AND(H162="Preparation",AG162&gt;IF(ISNUMBER(Flights!$BA$9),MIN(Flights!$BA$9,Flights!$AA$9),Flights!$AA$9)),"INVALID – completed after loading / departure (cannot establish readiness)",IF(AND(H162="Physical uplift",AG162&gt;Q162),"INVALID – recorded after the loading flight departed",IF(AG162&gt;Q162,"COMPLETE – LATE","COMPLETE"))))))))))))))))))))))),IF(TRIM(U162)="Fail","FAIL – DISCREPANCY",IF(AND(TRIM(U162)&lt;&gt;"",TRIM(U162)&lt;&gt;"Not started",TRIM(U162)&lt;&gt;"In progress"),"INVALID – unrecognised status (use the list)",IF(AsOfUTC&gt;Q162,"OVERDUE",IF(N162="Clarification required","OPEN – CLARIFICATION","OPEN"))))))),"INVALID – error value in an input cell")</f>
        <v>OPEN – CLARIFICATION</v>
      </c>
      <c r="AI162" s="61" t="n">
        <f aca="false">IF(OR(AH162="N/A – RULE",AH162="N/A – JUSTIFIED"),0,1)</f>
        <v>1</v>
      </c>
      <c r="AJ162" s="61" t="n">
        <f aca="false">IF(LEFT(AH162,8)="COMPLETE",1,0)</f>
        <v>0</v>
      </c>
      <c r="AK162" s="61" t="n">
        <f aca="false">IF(AND(AI162=1,AJ162=0,AsOfUTC&gt;Q162),1,0)</f>
        <v>0</v>
      </c>
      <c r="AL162" s="61" t="n">
        <f aca="false">IFERROR(IF(AND(AI162=1,OR(TRIM(U162)="Fail",AND(TRIM(AB162)&lt;&gt;"",TRIM(AB162)&lt;&gt;"Closed"),AND(ISNUMBER(AF162),AF162&lt;&gt;0,TRIM(U162)&lt;&gt;"Pass after CA"))),1,0),1)</f>
        <v>0</v>
      </c>
      <c r="AM162" s="61" t="n">
        <f aca="false">IF(LEFT(AH162,7)="INVALID",1,0)</f>
        <v>0</v>
      </c>
      <c r="AN162" s="61" t="n">
        <f aca="false">IF(AND(N162="Clarification required",AI162=1,AJ162=0),1,0)</f>
        <v>1</v>
      </c>
      <c r="AO162" s="61" t="str">
        <f aca="false">IF(AK162=1,SUM(AK$5:AK162),"")</f>
        <v/>
      </c>
      <c r="AP162" s="61" t="str">
        <f aca="false">IF(AL162=1,SUM(AL$5:AL162),"")</f>
        <v/>
      </c>
      <c r="AQ162" s="61" t="n">
        <v>0</v>
      </c>
      <c r="AR162" s="61" t="n">
        <v>0</v>
      </c>
      <c r="AS162" s="61" t="n">
        <v>0</v>
      </c>
      <c r="AT162" s="61" t="n">
        <v>1</v>
      </c>
      <c r="AU162" s="61" t="str">
        <f aca="false">SUBSTITUTE(SUBSTITUTE(SUBSTITUTE(SUBSTITUTE(SUBSTITUTE(SUBSTITUTE(SUBSTITUTE(SUBSTITUTE(SUBSTITUTE(SUBSTITUTE(SUBSTITUTE(SUBSTITUTE(SUBSTITUTE(LOWER(T162&amp;""),CHAR(160),"")," ",""),".",""),"-",""),"/",""),"?",""),"_",""),",",""),"[",""),"]",""),"(",""),")",""),"*","")</f>
        <v/>
      </c>
      <c r="AV162" s="61" t="str">
        <f aca="false">SUBSTITUTE(SUBSTITUTE(SUBSTITUTE(SUBSTITUTE(SUBSTITUTE(SUBSTITUTE(SUBSTITUTE(SUBSTITUTE(SUBSTITUTE(SUBSTITUTE(SUBSTITUTE(SUBSTITUTE(SUBSTITUTE(LOWER(V162&amp;""),CHAR(160),"")," ",""),".",""),"-",""),"/",""),"?",""),"_",""),",",""),"[",""),"]",""),"(",""),")",""),"*","")</f>
        <v/>
      </c>
      <c r="AW162" s="61" t="str">
        <f aca="false">SUBSTITUTE(SUBSTITUTE(SUBSTITUTE(SUBSTITUTE(SUBSTITUTE(SUBSTITUTE(SUBSTITUTE(SUBSTITUTE(SUBSTITUTE(SUBSTITUTE(SUBSTITUTE(SUBSTITUTE(SUBSTITUTE(LOWER(Z162&amp;""),CHAR(160),"")," ",""),".",""),"-",""),"/",""),"?",""),"_",""),",",""),"[",""),"]",""),"(",""),")",""),"*","")</f>
        <v/>
      </c>
      <c r="AX162" s="61" t="str">
        <f aca="false">SUBSTITUTE(SUBSTITUTE(SUBSTITUTE(SUBSTITUTE(SUBSTITUTE(SUBSTITUTE(SUBSTITUTE(SUBSTITUTE(SUBSTITUTE(SUBSTITUTE(SUBSTITUTE(SUBSTITUTE(SUBSTITUTE(LOWER(AE162&amp;""),CHAR(160),"")," ",""),".",""),"-",""),"/",""),"?",""),"_",""),",",""),"[",""),"]",""),"(",""),")",""),"*","")</f>
        <v/>
      </c>
      <c r="AY162" s="61" t="str">
        <f aca="false">SUBSTITUTE(SUBSTITUTE(SUBSTITUTE(SUBSTITUTE(SUBSTITUTE(SUBSTITUTE(SUBSTITUTE(SUBSTITUTE(SUBSTITUTE(SUBSTITUTE(SUBSTITUTE(SUBSTITUTE(SUBSTITUTE(LOWER(W162&amp;""),CHAR(160),"")," ",""),".",""),"-",""),"/",""),"?",""),"_",""),",",""),"[",""),"]",""),"(",""),")",""),"*","")</f>
        <v/>
      </c>
      <c r="AZ162" s="61" t="str">
        <f aca="false">SUBSTITUTE(SUBSTITUTE(SUBSTITUTE(SUBSTITUTE(SUBSTITUTE(SUBSTITUTE(SUBSTITUTE(SUBSTITUTE(SUBSTITUTE(SUBSTITUTE(SUBSTITUTE(SUBSTITUTE(SUBSTITUTE(LOWER(AC162&amp;""),CHAR(160),"")," ",""),".",""),"-",""),"/",""),"?",""),"_",""),",",""),"[",""),"]",""),"(",""),")",""),"*","")</f>
        <v/>
      </c>
      <c r="BA162" s="61" t="str">
        <f aca="false">SUBSTITUTE(SUBSTITUTE(SUBSTITUTE(SUBSTITUTE(SUBSTITUTE(SUBSTITUTE(SUBSTITUTE(SUBSTITUTE(SUBSTITUTE(SUBSTITUTE(SUBSTITUTE(SUBSTITUTE(SUBSTITUTE(LOWER(AA162&amp;""),CHAR(160),"")," ",""),".",""),"-",""),"/",""),"?",""),"_",""),",",""),"[",""),"]",""),"(",""),")",""),"*","")</f>
        <v/>
      </c>
      <c r="BB162" s="61" t="str">
        <f aca="false">IF(AND(TRIM(U162)="Pass",ISNUMBER(AF162)),IF(AF162&lt;&gt;0,"INVALID – qty variance: use Fail or Pass after CA",""),"")&amp;IF(AND(TRIM(U162)="Pass after CA",ISNUMBER(AF162)),IF(AF162&lt;&gt;0,"INVALID – after the corrective action the actual qty must equal expected (update Actual)",""),"")&amp;IF(AND(TRIM(U162)="Pass",TRIM(AB162)&lt;&gt;"",TRIM(AB162)&lt;&gt;"Closed"),"INVALID – corrective action not closed: use Fail, then Pass after CA","")&amp;IF(AND(TRIM(AA162)&lt;&gt;"",TRIM(AB162)=""),"INVALID – CA status missing for the recorded corrective action","")&amp;IF(AND(TRIM(U162)="Pass after CA",OR(OR(LEN(BA162)&lt;5,ISNUMBER(MATCH(BA162,L_Placeholder,0))),TRIM(AB162)&lt;&gt;"Closed")),"INVALID – corrective action not recorded/closed","")</f>
        <v/>
      </c>
    </row>
    <row r="163" customFormat="false" ht="39.75" hidden="false" customHeight="true" outlineLevel="0" collapsed="false">
      <c r="A163" s="57" t="s">
        <v>680</v>
      </c>
      <c r="B163" s="57" t="s">
        <v>225</v>
      </c>
      <c r="C163" s="57" t="str">
        <f aca="false">Flights!$F$9</f>
        <v>MH0089</v>
      </c>
      <c r="D163" s="58" t="n">
        <f aca="false">Flights!$D$9</f>
        <v>46310</v>
      </c>
      <c r="E163" s="57" t="str">
        <f aca="false">Flights!$G$9&amp;"-"&amp;Flights!$H$9</f>
        <v>NRT-KUL</v>
      </c>
      <c r="F163" s="57" t="str">
        <f aca="false">Flights!$K$9</f>
        <v>EY</v>
      </c>
      <c r="G163" s="57" t="s">
        <v>437</v>
      </c>
      <c r="H163" s="57" t="s">
        <v>438</v>
      </c>
      <c r="I163" s="57" t="s">
        <v>425</v>
      </c>
      <c r="J163" s="57" t="s">
        <v>447</v>
      </c>
      <c r="K163" s="67" t="s">
        <v>427</v>
      </c>
      <c r="L163" s="67" t="s">
        <v>665</v>
      </c>
      <c r="M163" s="67" t="s">
        <v>429</v>
      </c>
      <c r="N163" s="67" t="s">
        <v>361</v>
      </c>
      <c r="O163" s="67"/>
      <c r="P163" s="57" t="s">
        <v>217</v>
      </c>
      <c r="Q163" s="59" t="n">
        <f aca="false">ROUND((Flights!$AF$9)*1440,0)/1440</f>
        <v>46310.0451388889</v>
      </c>
      <c r="R163" s="59" t="n">
        <f aca="false">Q163+(IF(AND(INDEX(TZ_DSTS,MATCH(P163,TZ_STN,0))&lt;&gt;"",Q163&gt;=INDEX(TZ_DSTS,MATCH(P163,TZ_STN,0)),Q163&lt;INDEX(TZ_DSTE,MATCH(P163,TZ_STN,0))),INDEX(TZ_DST,MATCH(P163,TZ_STN,0)),INDEX(TZ_STD,MATCH(P163,TZ_STN,0))))/24</f>
        <v>46310.4201388889</v>
      </c>
      <c r="S163" s="59" t="n">
        <f aca="false">IF(ISNUMBER(Flights!$AZ$9),MAX(Q163-UpliftWindowH/24,Flights!$AZ$9),Q163-UpliftWindowH/24)</f>
        <v>46309.7951388889</v>
      </c>
      <c r="T163" s="60"/>
      <c r="U163" s="60"/>
      <c r="V163" s="60"/>
      <c r="W163" s="61"/>
      <c r="X163" s="60"/>
      <c r="Y163" s="60"/>
      <c r="Z163" s="60"/>
      <c r="AA163" s="60"/>
      <c r="AB163" s="60"/>
      <c r="AC163" s="60"/>
      <c r="AD163" s="66"/>
      <c r="AE163" s="60"/>
      <c r="AF163" s="61" t="str">
        <f aca="false">IF(AND(ISNUMBER(X163),ISNUMBER(Y163)),Y163-X163,"")</f>
        <v/>
      </c>
      <c r="AG163" s="62" t="str">
        <f aca="false">IF(ISNUMBER(AD163),AD163-(IF(AND(INDEX(TZ_DSTS,MATCH(P163,TZ_STN,0))&lt;&gt;"",(AD163-INDEX(TZ_STD,MATCH(P163,TZ_STN,0))/24)&gt;=INDEX(TZ_DSTS,MATCH(P163,TZ_STN,0)),(AD163-INDEX(TZ_STD,MATCH(P163,TZ_STN,0))/24)&lt;INDEX(TZ_DSTE,MATCH(P163,TZ_STN,0))),INDEX(TZ_DST,MATCH(P163,TZ_STN,0)),INDEX(TZ_STD,MATCH(P163,TZ_STN,0))))/24,"")</f>
        <v/>
      </c>
      <c r="AH163" s="65" t="str">
        <f aca="false">IFERROR(IF(N163="N/A – rule","N/A – RULE",IF(TRIM(U163)="N/A",IF(AT163=0,"INVALID – N/A not permitted for this check",IF(AND(TRIM(AB163)&lt;&gt;"",TRIM(AB163)&lt;&gt;"Closed"),"INVALID – corrective action still open",IF(AND(NOT(OR(LEN(AZ163)&lt;15,ISNUMBER(MATCH(AZ163,L_Placeholder,0)))),NOT(OR(LEN(AU163)&lt;2,ISNUMBER(MATCH(AU163,L_Placeholder,0)))),NOT(OR(LEN(AX163)&lt;2,ISNUMBER(MATCH(AX163,L_Placeholder,0)))),TRIM(AE163)&lt;&gt;TRIM(T163)),"N/A – JUSTIFIED","INVALID – N/A needs a real justification (15+ chars), PIC and a different verifier"))),IF(OR(TRIM(U163)="Pass",TRIM(U163)="Pass after CA"),IF(NOT(ISNUMBER(AD163)),"INVALID – completion time missing",IF(OR(LEN(AU163)&lt;2,ISNUMBER(MATCH(AU163,L_Placeholder,0))),"INVALID – PIC missing",IF(OR(LEN(AV163)&lt;2,ISNUMBER(MATCH(AV163,L_Placeholder,0))),"INVALID – result / assessment missing",IF(OR(OR(LEN(AW163)&lt;3,ISNUMBER(MATCH(AW163,L_Placeholder,0))),SUMPRODUCT(--ISNUMBER(SEARCH(L_EvidencePhrase,AW163)))&gt;0),"INVALID – evidence missing, placeholder or not yet on file",IF(OR(LEN(AX163)&lt;2,ISNUMBER(MATCH(AX163,L_Placeholder,0))),"INVALID – verifier missing",IF(AX163=AU163,"INVALID – verifier must be someone other than the PIC",IF(AND(TRIM(U163)="Pass",SUMPRODUCT(--ISNUMBER(SEARCH(L_ResultBad,AV163)))&gt;0),"INVALID – result describes a problem: use Fail, then Pass after CA",IF(AND(AQ163=1,OR(LEN(AY163)&lt;3,ISNUMBER(MATCH(AY163,L_Placeholder,0)))),"INVALID – batch ID missing or placeholder",IF(AND(AR163=1,OR(NOT(ISNUMBER(X163)),NOT(ISNUMBER(Y163)))),"INVALID – expected/actual qty missing",IF(AND(AR163=1,OR(X163&lt;=0,Y163&lt;0)),"INVALID – expected qty must be above 0 and actual not negative",IF(AH156="N/A – JUSTIFIED","INVALID – preparation row F05-T12-09 is N/A",IF(AND(AR163=1,ISNUMBER(X156),X163&lt;&gt;X156),"INVALID – expected qty differs from preparation check F05-T12-09",IF(BB163&lt;&gt;"",BB163,IF(AND(AS163=1,Documents!$J$9&lt;&gt;"ON FILE"),"INVALID – GLD not on file (Documents sheet)",IF(AND(AS163=2,Documents!$O$9&lt;&gt;"ON FILE"),"INVALID – menu checklist not on file (Documents sheet)",IF(AND(AS163=3,NOT(ISNUMBER(Flights!$AX$9))),"INVALID – enter carrying flight KUL departure (Flights AX)",IF(AND(AS163=3,OR(Flights!$AZ$9&gt;Flights!$AA$9,Flights!$AX$9&lt;Flights!$AA$9-3)),"INVALID – carrying flight (Flights AX) cannot arrive before this leg's STD, or is over 3 days early",IF(AG163&gt;AsOfUTC,"INVALID – completion time is in the future",IF(AND(ISNUMBER(S163),AG163&lt;S163),IF(H163="Physical uplift","INVALID – before uplift window (cannot confirm loading)","INVALID – before valid window"),IF(AG163&gt;Flights!$AA$9,"INVALID – completed after departure (cannot establish readiness)",IF(AND(H163="Preparation",AG163&gt;IF(ISNUMBER(Flights!$BA$9),MIN(Flights!$BA$9,Flights!$AA$9),Flights!$AA$9)),"INVALID – completed after loading / departure (cannot establish readiness)",IF(AND(H163="Physical uplift",AG163&gt;Q163),"INVALID – recorded after the loading flight departed",IF(AG163&gt;Q163,"COMPLETE – LATE","COMPLETE"))))))))))))))))))))))),IF(TRIM(U163)="Fail","FAIL – DISCREPANCY",IF(AND(TRIM(U163)&lt;&gt;"",TRIM(U163)&lt;&gt;"Not started",TRIM(U163)&lt;&gt;"In progress"),"INVALID – unrecognised status (use the list)",IF(AsOfUTC&gt;Q163,"OVERDUE",IF(N163="Clarification required","OPEN – CLARIFICATION","OPEN"))))))),"INVALID – error value in an input cell")</f>
        <v>OPEN</v>
      </c>
      <c r="AI163" s="61" t="n">
        <f aca="false">IF(OR(AH163="N/A – RULE",AH163="N/A – JUSTIFIED"),0,1)</f>
        <v>1</v>
      </c>
      <c r="AJ163" s="61" t="n">
        <f aca="false">IF(LEFT(AH163,8)="COMPLETE",1,0)</f>
        <v>0</v>
      </c>
      <c r="AK163" s="61" t="n">
        <f aca="false">IF(AND(AI163=1,AJ163=0,AsOfUTC&gt;Q163),1,0)</f>
        <v>0</v>
      </c>
      <c r="AL163" s="61" t="n">
        <f aca="false">IFERROR(IF(AND(AI163=1,OR(TRIM(U163)="Fail",AND(TRIM(AB163)&lt;&gt;"",TRIM(AB163)&lt;&gt;"Closed"),AND(ISNUMBER(AF163),AF163&lt;&gt;0,TRIM(U163)&lt;&gt;"Pass after CA"))),1,0),1)</f>
        <v>0</v>
      </c>
      <c r="AM163" s="61" t="n">
        <f aca="false">IF(LEFT(AH163,7)="INVALID",1,0)</f>
        <v>0</v>
      </c>
      <c r="AN163" s="61" t="n">
        <f aca="false">IF(AND(N163="Clarification required",AI163=1,AJ163=0),1,0)</f>
        <v>0</v>
      </c>
      <c r="AO163" s="61" t="str">
        <f aca="false">IF(AK163=1,SUM(AK$5:AK163),"")</f>
        <v/>
      </c>
      <c r="AP163" s="61" t="str">
        <f aca="false">IF(AL163=1,SUM(AL$5:AL163),"")</f>
        <v/>
      </c>
      <c r="AQ163" s="61" t="n">
        <v>0</v>
      </c>
      <c r="AR163" s="61" t="n">
        <v>0</v>
      </c>
      <c r="AS163" s="61" t="n">
        <v>0</v>
      </c>
      <c r="AT163" s="61" t="n">
        <v>0</v>
      </c>
      <c r="AU163" s="61" t="str">
        <f aca="false">SUBSTITUTE(SUBSTITUTE(SUBSTITUTE(SUBSTITUTE(SUBSTITUTE(SUBSTITUTE(SUBSTITUTE(SUBSTITUTE(SUBSTITUTE(SUBSTITUTE(SUBSTITUTE(SUBSTITUTE(SUBSTITUTE(LOWER(T163&amp;""),CHAR(160),"")," ",""),".",""),"-",""),"/",""),"?",""),"_",""),",",""),"[",""),"]",""),"(",""),")",""),"*","")</f>
        <v/>
      </c>
      <c r="AV163" s="61" t="str">
        <f aca="false">SUBSTITUTE(SUBSTITUTE(SUBSTITUTE(SUBSTITUTE(SUBSTITUTE(SUBSTITUTE(SUBSTITUTE(SUBSTITUTE(SUBSTITUTE(SUBSTITUTE(SUBSTITUTE(SUBSTITUTE(SUBSTITUTE(LOWER(V163&amp;""),CHAR(160),"")," ",""),".",""),"-",""),"/",""),"?",""),"_",""),",",""),"[",""),"]",""),"(",""),")",""),"*","")</f>
        <v/>
      </c>
      <c r="AW163" s="61" t="str">
        <f aca="false">SUBSTITUTE(SUBSTITUTE(SUBSTITUTE(SUBSTITUTE(SUBSTITUTE(SUBSTITUTE(SUBSTITUTE(SUBSTITUTE(SUBSTITUTE(SUBSTITUTE(SUBSTITUTE(SUBSTITUTE(SUBSTITUTE(LOWER(Z163&amp;""),CHAR(160),"")," ",""),".",""),"-",""),"/",""),"?",""),"_",""),",",""),"[",""),"]",""),"(",""),")",""),"*","")</f>
        <v/>
      </c>
      <c r="AX163" s="61" t="str">
        <f aca="false">SUBSTITUTE(SUBSTITUTE(SUBSTITUTE(SUBSTITUTE(SUBSTITUTE(SUBSTITUTE(SUBSTITUTE(SUBSTITUTE(SUBSTITUTE(SUBSTITUTE(SUBSTITUTE(SUBSTITUTE(SUBSTITUTE(LOWER(AE163&amp;""),CHAR(160),"")," ",""),".",""),"-",""),"/",""),"?",""),"_",""),",",""),"[",""),"]",""),"(",""),")",""),"*","")</f>
        <v/>
      </c>
      <c r="AY163" s="61" t="str">
        <f aca="false">SUBSTITUTE(SUBSTITUTE(SUBSTITUTE(SUBSTITUTE(SUBSTITUTE(SUBSTITUTE(SUBSTITUTE(SUBSTITUTE(SUBSTITUTE(SUBSTITUTE(SUBSTITUTE(SUBSTITUTE(SUBSTITUTE(LOWER(W163&amp;""),CHAR(160),"")," ",""),".",""),"-",""),"/",""),"?",""),"_",""),",",""),"[",""),"]",""),"(",""),")",""),"*","")</f>
        <v/>
      </c>
      <c r="AZ163" s="61" t="str">
        <f aca="false">SUBSTITUTE(SUBSTITUTE(SUBSTITUTE(SUBSTITUTE(SUBSTITUTE(SUBSTITUTE(SUBSTITUTE(SUBSTITUTE(SUBSTITUTE(SUBSTITUTE(SUBSTITUTE(SUBSTITUTE(SUBSTITUTE(LOWER(AC163&amp;""),CHAR(160),"")," ",""),".",""),"-",""),"/",""),"?",""),"_",""),",",""),"[",""),"]",""),"(",""),")",""),"*","")</f>
        <v/>
      </c>
      <c r="BA163" s="61" t="str">
        <f aca="false">SUBSTITUTE(SUBSTITUTE(SUBSTITUTE(SUBSTITUTE(SUBSTITUTE(SUBSTITUTE(SUBSTITUTE(SUBSTITUTE(SUBSTITUTE(SUBSTITUTE(SUBSTITUTE(SUBSTITUTE(SUBSTITUTE(LOWER(AA163&amp;""),CHAR(160),"")," ",""),".",""),"-",""),"/",""),"?",""),"_",""),",",""),"[",""),"]",""),"(",""),")",""),"*","")</f>
        <v/>
      </c>
      <c r="BB163" s="61" t="str">
        <f aca="false">IF(AND(TRIM(U163)="Pass",ISNUMBER(AF163)),IF(AF163&lt;&gt;0,"INVALID – qty variance: use Fail or Pass after CA",""),"")&amp;IF(AND(TRIM(U163)="Pass after CA",ISNUMBER(AF163)),IF(AF163&lt;&gt;0,"INVALID – after the corrective action the actual qty must equal expected (update Actual)",""),"")&amp;IF(AND(TRIM(U163)="Pass",TRIM(AB163)&lt;&gt;"",TRIM(AB163)&lt;&gt;"Closed"),"INVALID – corrective action not closed: use Fail, then Pass after CA","")&amp;IF(AND(TRIM(AA163)&lt;&gt;"",TRIM(AB163)=""),"INVALID – CA status missing for the recorded corrective action","")&amp;IF(AND(TRIM(U163)="Pass after CA",OR(OR(LEN(BA163)&lt;5,ISNUMBER(MATCH(BA163,L_Placeholder,0))),TRIM(AB163)&lt;&gt;"Closed")),"INVALID – corrective action not recorded/closed","")</f>
        <v/>
      </c>
    </row>
    <row r="164" customFormat="false" ht="54" hidden="false" customHeight="true" outlineLevel="0" collapsed="false">
      <c r="A164" s="57" t="s">
        <v>681</v>
      </c>
      <c r="B164" s="57" t="s">
        <v>225</v>
      </c>
      <c r="C164" s="57" t="str">
        <f aca="false">Flights!$F$9</f>
        <v>MH0089</v>
      </c>
      <c r="D164" s="58" t="n">
        <f aca="false">Flights!$D$9</f>
        <v>46310</v>
      </c>
      <c r="E164" s="57" t="str">
        <f aca="false">Flights!$G$9&amp;"-"&amp;Flights!$H$9</f>
        <v>NRT-KUL</v>
      </c>
      <c r="F164" s="57" t="str">
        <f aca="false">Flights!$K$9</f>
        <v>EY</v>
      </c>
      <c r="G164" s="57" t="s">
        <v>437</v>
      </c>
      <c r="H164" s="57" t="s">
        <v>438</v>
      </c>
      <c r="I164" s="57" t="s">
        <v>425</v>
      </c>
      <c r="J164" s="57" t="s">
        <v>449</v>
      </c>
      <c r="K164" s="67" t="s">
        <v>433</v>
      </c>
      <c r="L164" s="67" t="s">
        <v>668</v>
      </c>
      <c r="M164" s="67" t="s">
        <v>429</v>
      </c>
      <c r="N164" s="67" t="s">
        <v>361</v>
      </c>
      <c r="O164" s="67" t="s">
        <v>682</v>
      </c>
      <c r="P164" s="57" t="s">
        <v>217</v>
      </c>
      <c r="Q164" s="59" t="n">
        <f aca="false">ROUND((Flights!$AF$9)*1440,0)/1440</f>
        <v>46310.0451388889</v>
      </c>
      <c r="R164" s="59" t="n">
        <f aca="false">Q164+(IF(AND(INDEX(TZ_DSTS,MATCH(P164,TZ_STN,0))&lt;&gt;"",Q164&gt;=INDEX(TZ_DSTS,MATCH(P164,TZ_STN,0)),Q164&lt;INDEX(TZ_DSTE,MATCH(P164,TZ_STN,0))),INDEX(TZ_DST,MATCH(P164,TZ_STN,0)),INDEX(TZ_STD,MATCH(P164,TZ_STN,0))))/24</f>
        <v>46310.4201388889</v>
      </c>
      <c r="S164" s="59" t="n">
        <f aca="false">IF(ISNUMBER(Flights!$AZ$9),MAX(Q164-UpliftWindowH/24,Flights!$AZ$9),Q164-UpliftWindowH/24)</f>
        <v>46309.7951388889</v>
      </c>
      <c r="T164" s="60"/>
      <c r="U164" s="60"/>
      <c r="V164" s="60"/>
      <c r="W164" s="61"/>
      <c r="X164" s="68" t="str">
        <f aca="false">IF(TRIM(Flights!$N$9)="","",IF(ISNUMBER(SEARCH("MAH",Flights!$N$9)),280,260))</f>
        <v/>
      </c>
      <c r="Y164" s="60"/>
      <c r="Z164" s="60"/>
      <c r="AA164" s="60"/>
      <c r="AB164" s="60"/>
      <c r="AC164" s="60"/>
      <c r="AD164" s="66"/>
      <c r="AE164" s="60"/>
      <c r="AF164" s="61" t="str">
        <f aca="false">IF(AND(ISNUMBER(X164),ISNUMBER(Y164)),Y164-X164,"")</f>
        <v/>
      </c>
      <c r="AG164" s="62" t="str">
        <f aca="false">IF(ISNUMBER(AD164),AD164-(IF(AND(INDEX(TZ_DSTS,MATCH(P164,TZ_STN,0))&lt;&gt;"",(AD164-INDEX(TZ_STD,MATCH(P164,TZ_STN,0))/24)&gt;=INDEX(TZ_DSTS,MATCH(P164,TZ_STN,0)),(AD164-INDEX(TZ_STD,MATCH(P164,TZ_STN,0))/24)&lt;INDEX(TZ_DSTE,MATCH(P164,TZ_STN,0))),INDEX(TZ_DST,MATCH(P164,TZ_STN,0)),INDEX(TZ_STD,MATCH(P164,TZ_STN,0))))/24,"")</f>
        <v/>
      </c>
      <c r="AH164" s="65" t="str">
        <f aca="false">IFERROR(IF(N164="N/A – rule","N/A – RULE",IF(TRIM(U164)="N/A",IF(AT164=0,"INVALID – N/A not permitted for this check",IF(AND(TRIM(AB164)&lt;&gt;"",TRIM(AB164)&lt;&gt;"Closed"),"INVALID – corrective action still open",IF(AND(NOT(OR(LEN(AZ164)&lt;15,ISNUMBER(MATCH(AZ164,L_Placeholder,0)))),NOT(OR(LEN(AU164)&lt;2,ISNUMBER(MATCH(AU164,L_Placeholder,0)))),NOT(OR(LEN(AX164)&lt;2,ISNUMBER(MATCH(AX164,L_Placeholder,0)))),TRIM(AE164)&lt;&gt;TRIM(T164)),"N/A – JUSTIFIED","INVALID – N/A needs a real justification (15+ chars), PIC and a different verifier"))),IF(OR(TRIM(U164)="Pass",TRIM(U164)="Pass after CA"),IF(NOT(ISNUMBER(AD164)),"INVALID – completion time missing",IF(OR(LEN(AU164)&lt;2,ISNUMBER(MATCH(AU164,L_Placeholder,0))),"INVALID – PIC missing",IF(OR(LEN(AV164)&lt;2,ISNUMBER(MATCH(AV164,L_Placeholder,0))),"INVALID – result / assessment missing",IF(OR(OR(LEN(AW164)&lt;3,ISNUMBER(MATCH(AW164,L_Placeholder,0))),SUMPRODUCT(--ISNUMBER(SEARCH(L_EvidencePhrase,AW164)))&gt;0),"INVALID – evidence missing, placeholder or not yet on file",IF(OR(LEN(AX164)&lt;2,ISNUMBER(MATCH(AX164,L_Placeholder,0))),"INVALID – verifier missing",IF(AX164=AU164,"INVALID – verifier must be someone other than the PIC",IF(AND(TRIM(U164)="Pass",SUMPRODUCT(--ISNUMBER(SEARCH(L_ResultBad,AV164)))&gt;0),"INVALID – result describes a problem: use Fail, then Pass after CA",IF(AND(AQ164=1,OR(LEN(AY164)&lt;3,ISNUMBER(MATCH(AY164,L_Placeholder,0)))),"INVALID – batch ID missing or placeholder",IF(AND(AR164=1,OR(NOT(ISNUMBER(X164)),NOT(ISNUMBER(Y164)))),"INVALID – expected/actual qty missing",IF(AND(AR164=1,OR(X164&lt;=0,Y164&lt;0)),"INVALID – expected qty must be above 0 and actual not negative",IF(AH157="N/A – JUSTIFIED","INVALID – preparation row F05-T12-10 is N/A",IF(AND(AR164=1,ISNUMBER(X157),X164&lt;&gt;X157),"INVALID – expected qty differs from preparation check F05-T12-10",IF(BB164&lt;&gt;"",BB164,IF(AND(AS164=1,Documents!$J$9&lt;&gt;"ON FILE"),"INVALID – GLD not on file (Documents sheet)",IF(AND(AS164=2,Documents!$O$9&lt;&gt;"ON FILE"),"INVALID – menu checklist not on file (Documents sheet)",IF(AND(AS164=3,NOT(ISNUMBER(Flights!$AX$9))),"INVALID – enter carrying flight KUL departure (Flights AX)",IF(AND(AS164=3,OR(Flights!$AZ$9&gt;Flights!$AA$9,Flights!$AX$9&lt;Flights!$AA$9-3)),"INVALID – carrying flight (Flights AX) cannot arrive before this leg's STD, or is over 3 days early",IF(AG164&gt;AsOfUTC,"INVALID – completion time is in the future",IF(AND(ISNUMBER(S164),AG164&lt;S164),IF(H164="Physical uplift","INVALID – before uplift window (cannot confirm loading)","INVALID – before valid window"),IF(AG164&gt;Flights!$AA$9,"INVALID – completed after departure (cannot establish readiness)",IF(AND(H164="Preparation",AG164&gt;IF(ISNUMBER(Flights!$BA$9),MIN(Flights!$BA$9,Flights!$AA$9),Flights!$AA$9)),"INVALID – completed after loading / departure (cannot establish readiness)",IF(AND(H164="Physical uplift",AG164&gt;Q164),"INVALID – recorded after the loading flight departed",IF(AG164&gt;Q164,"COMPLETE – LATE","COMPLETE"))))))))))))))))))))))),IF(TRIM(U164)="Fail","FAIL – DISCREPANCY",IF(AND(TRIM(U164)&lt;&gt;"",TRIM(U164)&lt;&gt;"Not started",TRIM(U164)&lt;&gt;"In progress"),"INVALID – unrecognised status (use the list)",IF(AsOfUTC&gt;Q164,"OVERDUE",IF(N164="Clarification required","OPEN – CLARIFICATION","OPEN"))))))),"INVALID – error value in an input cell")</f>
        <v>OPEN</v>
      </c>
      <c r="AI164" s="61" t="n">
        <f aca="false">IF(OR(AH164="N/A – RULE",AH164="N/A – JUSTIFIED"),0,1)</f>
        <v>1</v>
      </c>
      <c r="AJ164" s="61" t="n">
        <f aca="false">IF(LEFT(AH164,8)="COMPLETE",1,0)</f>
        <v>0</v>
      </c>
      <c r="AK164" s="61" t="n">
        <f aca="false">IF(AND(AI164=1,AJ164=0,AsOfUTC&gt;Q164),1,0)</f>
        <v>0</v>
      </c>
      <c r="AL164" s="61" t="n">
        <f aca="false">IFERROR(IF(AND(AI164=1,OR(TRIM(U164)="Fail",AND(TRIM(AB164)&lt;&gt;"",TRIM(AB164)&lt;&gt;"Closed"),AND(ISNUMBER(AF164),AF164&lt;&gt;0,TRIM(U164)&lt;&gt;"Pass after CA"))),1,0),1)</f>
        <v>0</v>
      </c>
      <c r="AM164" s="61" t="n">
        <f aca="false">IF(LEFT(AH164,7)="INVALID",1,0)</f>
        <v>0</v>
      </c>
      <c r="AN164" s="61" t="n">
        <f aca="false">IF(AND(N164="Clarification required",AI164=1,AJ164=0),1,0)</f>
        <v>0</v>
      </c>
      <c r="AO164" s="61" t="str">
        <f aca="false">IF(AK164=1,SUM(AK$5:AK164),"")</f>
        <v/>
      </c>
      <c r="AP164" s="61" t="str">
        <f aca="false">IF(AL164=1,SUM(AL$5:AL164),"")</f>
        <v/>
      </c>
      <c r="AQ164" s="61" t="n">
        <v>0</v>
      </c>
      <c r="AR164" s="61" t="n">
        <v>1</v>
      </c>
      <c r="AS164" s="61" t="n">
        <v>0</v>
      </c>
      <c r="AT164" s="61" t="n">
        <v>0</v>
      </c>
      <c r="AU164" s="61" t="str">
        <f aca="false">SUBSTITUTE(SUBSTITUTE(SUBSTITUTE(SUBSTITUTE(SUBSTITUTE(SUBSTITUTE(SUBSTITUTE(SUBSTITUTE(SUBSTITUTE(SUBSTITUTE(SUBSTITUTE(SUBSTITUTE(SUBSTITUTE(LOWER(T164&amp;""),CHAR(160),"")," ",""),".",""),"-",""),"/",""),"?",""),"_",""),",",""),"[",""),"]",""),"(",""),")",""),"*","")</f>
        <v/>
      </c>
      <c r="AV164" s="61" t="str">
        <f aca="false">SUBSTITUTE(SUBSTITUTE(SUBSTITUTE(SUBSTITUTE(SUBSTITUTE(SUBSTITUTE(SUBSTITUTE(SUBSTITUTE(SUBSTITUTE(SUBSTITUTE(SUBSTITUTE(SUBSTITUTE(SUBSTITUTE(LOWER(V164&amp;""),CHAR(160),"")," ",""),".",""),"-",""),"/",""),"?",""),"_",""),",",""),"[",""),"]",""),"(",""),")",""),"*","")</f>
        <v/>
      </c>
      <c r="AW164" s="61" t="str">
        <f aca="false">SUBSTITUTE(SUBSTITUTE(SUBSTITUTE(SUBSTITUTE(SUBSTITUTE(SUBSTITUTE(SUBSTITUTE(SUBSTITUTE(SUBSTITUTE(SUBSTITUTE(SUBSTITUTE(SUBSTITUTE(SUBSTITUTE(LOWER(Z164&amp;""),CHAR(160),"")," ",""),".",""),"-",""),"/",""),"?",""),"_",""),",",""),"[",""),"]",""),"(",""),")",""),"*","")</f>
        <v/>
      </c>
      <c r="AX164" s="61" t="str">
        <f aca="false">SUBSTITUTE(SUBSTITUTE(SUBSTITUTE(SUBSTITUTE(SUBSTITUTE(SUBSTITUTE(SUBSTITUTE(SUBSTITUTE(SUBSTITUTE(SUBSTITUTE(SUBSTITUTE(SUBSTITUTE(SUBSTITUTE(LOWER(AE164&amp;""),CHAR(160),"")," ",""),".",""),"-",""),"/",""),"?",""),"_",""),",",""),"[",""),"]",""),"(",""),")",""),"*","")</f>
        <v/>
      </c>
      <c r="AY164" s="61" t="str">
        <f aca="false">SUBSTITUTE(SUBSTITUTE(SUBSTITUTE(SUBSTITUTE(SUBSTITUTE(SUBSTITUTE(SUBSTITUTE(SUBSTITUTE(SUBSTITUTE(SUBSTITUTE(SUBSTITUTE(SUBSTITUTE(SUBSTITUTE(LOWER(W164&amp;""),CHAR(160),"")," ",""),".",""),"-",""),"/",""),"?",""),"_",""),",",""),"[",""),"]",""),"(",""),")",""),"*","")</f>
        <v/>
      </c>
      <c r="AZ164" s="61" t="str">
        <f aca="false">SUBSTITUTE(SUBSTITUTE(SUBSTITUTE(SUBSTITUTE(SUBSTITUTE(SUBSTITUTE(SUBSTITUTE(SUBSTITUTE(SUBSTITUTE(SUBSTITUTE(SUBSTITUTE(SUBSTITUTE(SUBSTITUTE(LOWER(AC164&amp;""),CHAR(160),"")," ",""),".",""),"-",""),"/",""),"?",""),"_",""),",",""),"[",""),"]",""),"(",""),")",""),"*","")</f>
        <v/>
      </c>
      <c r="BA164" s="61" t="str">
        <f aca="false">SUBSTITUTE(SUBSTITUTE(SUBSTITUTE(SUBSTITUTE(SUBSTITUTE(SUBSTITUTE(SUBSTITUTE(SUBSTITUTE(SUBSTITUTE(SUBSTITUTE(SUBSTITUTE(SUBSTITUTE(SUBSTITUTE(LOWER(AA164&amp;""),CHAR(160),"")," ",""),".",""),"-",""),"/",""),"?",""),"_",""),",",""),"[",""),"]",""),"(",""),")",""),"*","")</f>
        <v/>
      </c>
      <c r="BB164" s="61" t="str">
        <f aca="false">IF(AND(TRIM(U164)="Pass",ISNUMBER(AF164)),IF(AF164&lt;&gt;0,"INVALID – qty variance: use Fail or Pass after CA",""),"")&amp;IF(AND(TRIM(U164)="Pass after CA",ISNUMBER(AF164)),IF(AF164&lt;&gt;0,"INVALID – after the corrective action the actual qty must equal expected (update Actual)",""),"")&amp;IF(AND(TRIM(U164)="Pass",TRIM(AB164)&lt;&gt;"",TRIM(AB164)&lt;&gt;"Closed"),"INVALID – corrective action not closed: use Fail, then Pass after CA","")&amp;IF(AND(TRIM(AA164)&lt;&gt;"",TRIM(AB164)=""),"INVALID – CA status missing for the recorded corrective action","")&amp;IF(AND(TRIM(U164)="Pass after CA",OR(OR(LEN(BA164)&lt;5,ISNUMBER(MATCH(BA164,L_Placeholder,0))),TRIM(AB164)&lt;&gt;"Closed")),"INVALID – corrective action not recorded/closed","")</f>
        <v/>
      </c>
    </row>
    <row r="165" customFormat="false" ht="66" hidden="false" customHeight="true" outlineLevel="0" collapsed="false">
      <c r="A165" s="57" t="s">
        <v>683</v>
      </c>
      <c r="B165" s="57" t="s">
        <v>225</v>
      </c>
      <c r="C165" s="57" t="str">
        <f aca="false">Flights!$F$9</f>
        <v>MH0089</v>
      </c>
      <c r="D165" s="58" t="n">
        <f aca="false">Flights!$D$9</f>
        <v>46310</v>
      </c>
      <c r="E165" s="57" t="str">
        <f aca="false">Flights!$G$9&amp;"-"&amp;Flights!$H$9</f>
        <v>NRT-KUL</v>
      </c>
      <c r="F165" s="57" t="str">
        <f aca="false">Flights!$K$9</f>
        <v>EY</v>
      </c>
      <c r="G165" s="57" t="s">
        <v>437</v>
      </c>
      <c r="H165" s="57" t="s">
        <v>438</v>
      </c>
      <c r="I165" s="57" t="s">
        <v>612</v>
      </c>
      <c r="J165" s="57" t="s">
        <v>637</v>
      </c>
      <c r="K165" s="67" t="s">
        <v>614</v>
      </c>
      <c r="L165" s="67" t="s">
        <v>615</v>
      </c>
      <c r="M165" s="67" t="s">
        <v>429</v>
      </c>
      <c r="N165" s="67" t="s">
        <v>422</v>
      </c>
      <c r="O165" s="67" t="s">
        <v>684</v>
      </c>
      <c r="P165" s="57" t="s">
        <v>217</v>
      </c>
      <c r="Q165" s="59" t="n">
        <f aca="false">ROUND((Flights!$AF$9)*1440,0)/1440</f>
        <v>46310.0451388889</v>
      </c>
      <c r="R165" s="59" t="n">
        <f aca="false">Q165+(IF(AND(INDEX(TZ_DSTS,MATCH(P165,TZ_STN,0))&lt;&gt;"",Q165&gt;=INDEX(TZ_DSTS,MATCH(P165,TZ_STN,0)),Q165&lt;INDEX(TZ_DSTE,MATCH(P165,TZ_STN,0))),INDEX(TZ_DST,MATCH(P165,TZ_STN,0)),INDEX(TZ_STD,MATCH(P165,TZ_STN,0))))/24</f>
        <v>46310.4201388889</v>
      </c>
      <c r="S165" s="59" t="n">
        <f aca="false">IF(ISNUMBER(Flights!$AZ$9),MAX(Q165-UpliftWindowH/24,Flights!$AZ$9),Q165-UpliftWindowH/24)</f>
        <v>46309.7951388889</v>
      </c>
      <c r="T165" s="60"/>
      <c r="U165" s="60"/>
      <c r="V165" s="60"/>
      <c r="W165" s="61"/>
      <c r="X165" s="60"/>
      <c r="Y165" s="60"/>
      <c r="Z165" s="60"/>
      <c r="AA165" s="60"/>
      <c r="AB165" s="60"/>
      <c r="AC165" s="60"/>
      <c r="AD165" s="66"/>
      <c r="AE165" s="60"/>
      <c r="AF165" s="61" t="str">
        <f aca="false">IF(AND(ISNUMBER(X165),ISNUMBER(Y165)),Y165-X165,"")</f>
        <v/>
      </c>
      <c r="AG165" s="62" t="str">
        <f aca="false">IF(ISNUMBER(AD165),AD165-(IF(AND(INDEX(TZ_DSTS,MATCH(P165,TZ_STN,0))&lt;&gt;"",(AD165-INDEX(TZ_STD,MATCH(P165,TZ_STN,0))/24)&gt;=INDEX(TZ_DSTS,MATCH(P165,TZ_STN,0)),(AD165-INDEX(TZ_STD,MATCH(P165,TZ_STN,0))/24)&lt;INDEX(TZ_DSTE,MATCH(P165,TZ_STN,0))),INDEX(TZ_DST,MATCH(P165,TZ_STN,0)),INDEX(TZ_STD,MATCH(P165,TZ_STN,0))))/24,"")</f>
        <v/>
      </c>
      <c r="AH165" s="65" t="str">
        <f aca="false">IFERROR(IF(N165="N/A – rule","N/A – RULE",IF(TRIM(U165)="N/A",IF(AT165=0,"INVALID – N/A not permitted for this check",IF(AND(TRIM(AB165)&lt;&gt;"",TRIM(AB165)&lt;&gt;"Closed"),"INVALID – corrective action still open",IF(AND(NOT(OR(LEN(AZ165)&lt;15,ISNUMBER(MATCH(AZ165,L_Placeholder,0)))),NOT(OR(LEN(AU165)&lt;2,ISNUMBER(MATCH(AU165,L_Placeholder,0)))),NOT(OR(LEN(AX165)&lt;2,ISNUMBER(MATCH(AX165,L_Placeholder,0)))),TRIM(AE165)&lt;&gt;TRIM(T165)),"N/A – JUSTIFIED","INVALID – N/A needs a real justification (15+ chars), PIC and a different verifier"))),IF(OR(TRIM(U165)="Pass",TRIM(U165)="Pass after CA"),IF(NOT(ISNUMBER(AD165)),"INVALID – completion time missing",IF(OR(LEN(AU165)&lt;2,ISNUMBER(MATCH(AU165,L_Placeholder,0))),"INVALID – PIC missing",IF(OR(LEN(AV165)&lt;2,ISNUMBER(MATCH(AV165,L_Placeholder,0))),"INVALID – result / assessment missing",IF(OR(OR(LEN(AW165)&lt;3,ISNUMBER(MATCH(AW165,L_Placeholder,0))),SUMPRODUCT(--ISNUMBER(SEARCH(L_EvidencePhrase,AW165)))&gt;0),"INVALID – evidence missing, placeholder or not yet on file",IF(OR(LEN(AX165)&lt;2,ISNUMBER(MATCH(AX165,L_Placeholder,0))),"INVALID – verifier missing",IF(AX165=AU165,"INVALID – verifier must be someone other than the PIC",IF(AND(TRIM(U165)="Pass",SUMPRODUCT(--ISNUMBER(SEARCH(L_ResultBad,AV165)))&gt;0),"INVALID – result describes a problem: use Fail, then Pass after CA",IF(AND(AQ165=1,OR(LEN(AY165)&lt;3,ISNUMBER(MATCH(AY165,L_Placeholder,0)))),"INVALID – batch ID missing or placeholder",IF(AND(AR165=1,OR(NOT(ISNUMBER(X165)),NOT(ISNUMBER(Y165)))),"INVALID – expected/actual qty missing",IF(AND(AR165=1,OR(X165&lt;=0,Y165&lt;0)),"INVALID – expected qty must be above 0 and actual not negative",IF(AH158="N/A – JUSTIFIED","INVALID – preparation row F05-T12-11 is N/A",IF(AND(AR165=1,ISNUMBER(X158),X165&lt;&gt;X158),"INVALID – expected qty differs from preparation check F05-T12-11",IF(BB165&lt;&gt;"",BB165,IF(AND(AS165=1,Documents!$J$9&lt;&gt;"ON FILE"),"INVALID – GLD not on file (Documents sheet)",IF(AND(AS165=2,Documents!$O$9&lt;&gt;"ON FILE"),"INVALID – menu checklist not on file (Documents sheet)",IF(AND(AS165=3,NOT(ISNUMBER(Flights!$AX$9))),"INVALID – enter carrying flight KUL departure (Flights AX)",IF(AND(AS165=3,OR(Flights!$AZ$9&gt;Flights!$AA$9,Flights!$AX$9&lt;Flights!$AA$9-3)),"INVALID – carrying flight (Flights AX) cannot arrive before this leg's STD, or is over 3 days early",IF(AG165&gt;AsOfUTC,"INVALID – completion time is in the future",IF(AND(ISNUMBER(S165),AG165&lt;S165),IF(H165="Physical uplift","INVALID – before uplift window (cannot confirm loading)","INVALID – before valid window"),IF(AG165&gt;Flights!$AA$9,"INVALID – completed after departure (cannot establish readiness)",IF(AND(H165="Preparation",AG165&gt;IF(ISNUMBER(Flights!$BA$9),MIN(Flights!$BA$9,Flights!$AA$9),Flights!$AA$9)),"INVALID – completed after loading / departure (cannot establish readiness)",IF(AND(H165="Physical uplift",AG165&gt;Q165),"INVALID – recorded after the loading flight departed",IF(AG165&gt;Q165,"COMPLETE – LATE","COMPLETE"))))))))))))))))))))))),IF(TRIM(U165)="Fail","FAIL – DISCREPANCY",IF(AND(TRIM(U165)&lt;&gt;"",TRIM(U165)&lt;&gt;"Not started",TRIM(U165)&lt;&gt;"In progress"),"INVALID – unrecognised status (use the list)",IF(AsOfUTC&gt;Q165,"OVERDUE",IF(N165="Clarification required","OPEN – CLARIFICATION","OPEN"))))))),"INVALID – error value in an input cell")</f>
        <v>OPEN – CLARIFICATION</v>
      </c>
      <c r="AI165" s="61" t="n">
        <f aca="false">IF(OR(AH165="N/A – RULE",AH165="N/A – JUSTIFIED"),0,1)</f>
        <v>1</v>
      </c>
      <c r="AJ165" s="61" t="n">
        <f aca="false">IF(LEFT(AH165,8)="COMPLETE",1,0)</f>
        <v>0</v>
      </c>
      <c r="AK165" s="61" t="n">
        <f aca="false">IF(AND(AI165=1,AJ165=0,AsOfUTC&gt;Q165),1,0)</f>
        <v>0</v>
      </c>
      <c r="AL165" s="61" t="n">
        <f aca="false">IFERROR(IF(AND(AI165=1,OR(TRIM(U165)="Fail",AND(TRIM(AB165)&lt;&gt;"",TRIM(AB165)&lt;&gt;"Closed"),AND(ISNUMBER(AF165),AF165&lt;&gt;0,TRIM(U165)&lt;&gt;"Pass after CA"))),1,0),1)</f>
        <v>0</v>
      </c>
      <c r="AM165" s="61" t="n">
        <f aca="false">IF(LEFT(AH165,7)="INVALID",1,0)</f>
        <v>0</v>
      </c>
      <c r="AN165" s="61" t="n">
        <f aca="false">IF(AND(N165="Clarification required",AI165=1,AJ165=0),1,0)</f>
        <v>1</v>
      </c>
      <c r="AO165" s="61" t="str">
        <f aca="false">IF(AK165=1,SUM(AK$5:AK165),"")</f>
        <v/>
      </c>
      <c r="AP165" s="61" t="str">
        <f aca="false">IF(AL165=1,SUM(AL$5:AL165),"")</f>
        <v/>
      </c>
      <c r="AQ165" s="61" t="n">
        <v>0</v>
      </c>
      <c r="AR165" s="61" t="n">
        <v>0</v>
      </c>
      <c r="AS165" s="61" t="n">
        <v>0</v>
      </c>
      <c r="AT165" s="61" t="n">
        <v>1</v>
      </c>
      <c r="AU165" s="61" t="str">
        <f aca="false">SUBSTITUTE(SUBSTITUTE(SUBSTITUTE(SUBSTITUTE(SUBSTITUTE(SUBSTITUTE(SUBSTITUTE(SUBSTITUTE(SUBSTITUTE(SUBSTITUTE(SUBSTITUTE(SUBSTITUTE(SUBSTITUTE(LOWER(T165&amp;""),CHAR(160),"")," ",""),".",""),"-",""),"/",""),"?",""),"_",""),",",""),"[",""),"]",""),"(",""),")",""),"*","")</f>
        <v/>
      </c>
      <c r="AV165" s="61" t="str">
        <f aca="false">SUBSTITUTE(SUBSTITUTE(SUBSTITUTE(SUBSTITUTE(SUBSTITUTE(SUBSTITUTE(SUBSTITUTE(SUBSTITUTE(SUBSTITUTE(SUBSTITUTE(SUBSTITUTE(SUBSTITUTE(SUBSTITUTE(LOWER(V165&amp;""),CHAR(160),"")," ",""),".",""),"-",""),"/",""),"?",""),"_",""),",",""),"[",""),"]",""),"(",""),")",""),"*","")</f>
        <v/>
      </c>
      <c r="AW165" s="61" t="str">
        <f aca="false">SUBSTITUTE(SUBSTITUTE(SUBSTITUTE(SUBSTITUTE(SUBSTITUTE(SUBSTITUTE(SUBSTITUTE(SUBSTITUTE(SUBSTITUTE(SUBSTITUTE(SUBSTITUTE(SUBSTITUTE(SUBSTITUTE(LOWER(Z165&amp;""),CHAR(160),"")," ",""),".",""),"-",""),"/",""),"?",""),"_",""),",",""),"[",""),"]",""),"(",""),")",""),"*","")</f>
        <v/>
      </c>
      <c r="AX165" s="61" t="str">
        <f aca="false">SUBSTITUTE(SUBSTITUTE(SUBSTITUTE(SUBSTITUTE(SUBSTITUTE(SUBSTITUTE(SUBSTITUTE(SUBSTITUTE(SUBSTITUTE(SUBSTITUTE(SUBSTITUTE(SUBSTITUTE(SUBSTITUTE(LOWER(AE165&amp;""),CHAR(160),"")," ",""),".",""),"-",""),"/",""),"?",""),"_",""),",",""),"[",""),"]",""),"(",""),")",""),"*","")</f>
        <v/>
      </c>
      <c r="AY165" s="61" t="str">
        <f aca="false">SUBSTITUTE(SUBSTITUTE(SUBSTITUTE(SUBSTITUTE(SUBSTITUTE(SUBSTITUTE(SUBSTITUTE(SUBSTITUTE(SUBSTITUTE(SUBSTITUTE(SUBSTITUTE(SUBSTITUTE(SUBSTITUTE(LOWER(W165&amp;""),CHAR(160),"")," ",""),".",""),"-",""),"/",""),"?",""),"_",""),",",""),"[",""),"]",""),"(",""),")",""),"*","")</f>
        <v/>
      </c>
      <c r="AZ165" s="61" t="str">
        <f aca="false">SUBSTITUTE(SUBSTITUTE(SUBSTITUTE(SUBSTITUTE(SUBSTITUTE(SUBSTITUTE(SUBSTITUTE(SUBSTITUTE(SUBSTITUTE(SUBSTITUTE(SUBSTITUTE(SUBSTITUTE(SUBSTITUTE(LOWER(AC165&amp;""),CHAR(160),"")," ",""),".",""),"-",""),"/",""),"?",""),"_",""),",",""),"[",""),"]",""),"(",""),")",""),"*","")</f>
        <v/>
      </c>
      <c r="BA165" s="61" t="str">
        <f aca="false">SUBSTITUTE(SUBSTITUTE(SUBSTITUTE(SUBSTITUTE(SUBSTITUTE(SUBSTITUTE(SUBSTITUTE(SUBSTITUTE(SUBSTITUTE(SUBSTITUTE(SUBSTITUTE(SUBSTITUTE(SUBSTITUTE(LOWER(AA165&amp;""),CHAR(160),"")," ",""),".",""),"-",""),"/",""),"?",""),"_",""),",",""),"[",""),"]",""),"(",""),")",""),"*","")</f>
        <v/>
      </c>
      <c r="BB165" s="61" t="str">
        <f aca="false">IF(AND(TRIM(U165)="Pass",ISNUMBER(AF165)),IF(AF165&lt;&gt;0,"INVALID – qty variance: use Fail or Pass after CA",""),"")&amp;IF(AND(TRIM(U165)="Pass after CA",ISNUMBER(AF165)),IF(AF165&lt;&gt;0,"INVALID – after the corrective action the actual qty must equal expected (update Actual)",""),"")&amp;IF(AND(TRIM(U165)="Pass",TRIM(AB165)&lt;&gt;"",TRIM(AB165)&lt;&gt;"Closed"),"INVALID – corrective action not closed: use Fail, then Pass after CA","")&amp;IF(AND(TRIM(AA165)&lt;&gt;"",TRIM(AB165)=""),"INVALID – CA status missing for the recorded corrective action","")&amp;IF(AND(TRIM(U165)="Pass after CA",OR(OR(LEN(BA165)&lt;5,ISNUMBER(MATCH(BA165,L_Placeholder,0))),TRIM(AB165)&lt;&gt;"Closed")),"INVALID – corrective action not recorded/closed","")</f>
        <v/>
      </c>
    </row>
    <row r="166" customFormat="false" ht="39.75" hidden="false" customHeight="true" outlineLevel="0" collapsed="false">
      <c r="A166" s="57" t="s">
        <v>685</v>
      </c>
      <c r="B166" s="57" t="s">
        <v>228</v>
      </c>
      <c r="C166" s="57" t="str">
        <f aca="false">Flights!$F$10</f>
        <v>MH0002</v>
      </c>
      <c r="D166" s="58" t="n">
        <f aca="false">Flights!$D$10</f>
        <v>46310</v>
      </c>
      <c r="E166" s="57" t="str">
        <f aca="false">Flights!$G$10&amp;"-"&amp;Flights!$H$10</f>
        <v>KUL-LHR</v>
      </c>
      <c r="F166" s="57" t="str">
        <f aca="false">Flights!$K$10</f>
        <v>BC</v>
      </c>
      <c r="G166" s="57" t="s">
        <v>79</v>
      </c>
      <c r="H166" s="57" t="s">
        <v>356</v>
      </c>
      <c r="I166" s="57" t="s">
        <v>357</v>
      </c>
      <c r="J166" s="57" t="s">
        <v>358</v>
      </c>
      <c r="K166" s="67" t="s">
        <v>359</v>
      </c>
      <c r="L166" s="67" t="s">
        <v>360</v>
      </c>
      <c r="M166" s="67"/>
      <c r="N166" s="67" t="s">
        <v>361</v>
      </c>
      <c r="O166" s="67"/>
      <c r="P166" s="57" t="s">
        <v>184</v>
      </c>
      <c r="Q166" s="59" t="n">
        <f aca="false">ROUND((Flights!$AC$10)*1440,0)/1440</f>
        <v>46303.6388888889</v>
      </c>
      <c r="R166" s="59" t="n">
        <f aca="false">Q166+(IF(AND(INDEX(TZ_DSTS,MATCH(P166,TZ_STN,0))&lt;&gt;"",Q166&gt;=INDEX(TZ_DSTS,MATCH(P166,TZ_STN,0)),Q166&lt;INDEX(TZ_DSTE,MATCH(P166,TZ_STN,0))),INDEX(TZ_DST,MATCH(P166,TZ_STN,0)),INDEX(TZ_STD,MATCH(P166,TZ_STN,0))))/24</f>
        <v>46303.9722222222</v>
      </c>
      <c r="S166" s="59" t="n">
        <f aca="false">Q166-T7EarlyD*24/24</f>
        <v>46289.6388888889</v>
      </c>
      <c r="T166" s="60"/>
      <c r="U166" s="60"/>
      <c r="V166" s="60"/>
      <c r="W166" s="61"/>
      <c r="X166" s="60"/>
      <c r="Y166" s="60"/>
      <c r="Z166" s="60"/>
      <c r="AA166" s="60"/>
      <c r="AB166" s="60"/>
      <c r="AC166" s="60"/>
      <c r="AD166" s="66"/>
      <c r="AE166" s="60"/>
      <c r="AF166" s="61" t="str">
        <f aca="false">IF(AND(ISNUMBER(X166),ISNUMBER(Y166)),Y166-X166,"")</f>
        <v/>
      </c>
      <c r="AG166" s="62" t="str">
        <f aca="false">IF(ISNUMBER(AD166),AD166-(IF(AND(INDEX(TZ_DSTS,MATCH(P166,TZ_STN,0))&lt;&gt;"",(AD166-INDEX(TZ_STD,MATCH(P166,TZ_STN,0))/24)&gt;=INDEX(TZ_DSTS,MATCH(P166,TZ_STN,0)),(AD166-INDEX(TZ_STD,MATCH(P166,TZ_STN,0))/24)&lt;INDEX(TZ_DSTE,MATCH(P166,TZ_STN,0))),INDEX(TZ_DST,MATCH(P166,TZ_STN,0)),INDEX(TZ_STD,MATCH(P166,TZ_STN,0))))/24,"")</f>
        <v/>
      </c>
      <c r="AH166" s="65" t="str">
        <f aca="false">IFERROR(IF(N166="N/A – rule","N/A – RULE",IF(TRIM(U166)="N/A",IF(AT166=0,"INVALID – N/A not permitted for this check",IF(AND(TRIM(AB166)&lt;&gt;"",TRIM(AB166)&lt;&gt;"Closed"),"INVALID – corrective action still open",IF(AND(NOT(OR(LEN(AZ166)&lt;15,ISNUMBER(MATCH(AZ166,L_Placeholder,0)))),NOT(OR(LEN(AU166)&lt;2,ISNUMBER(MATCH(AU166,L_Placeholder,0)))),NOT(OR(LEN(AX166)&lt;2,ISNUMBER(MATCH(AX166,L_Placeholder,0)))),TRIM(AE166)&lt;&gt;TRIM(T166)),"N/A – JUSTIFIED","INVALID – N/A needs a real justification (15+ chars), PIC and a different verifier"))),IF(OR(TRIM(U166)="Pass",TRIM(U166)="Pass after CA"),IF(NOT(ISNUMBER(AD166)),"INVALID – completion time missing",IF(OR(LEN(AU166)&lt;2,ISNUMBER(MATCH(AU166,L_Placeholder,0))),"INVALID – PIC missing",IF(OR(LEN(AV166)&lt;2,ISNUMBER(MATCH(AV166,L_Placeholder,0))),"INVALID – result / assessment missing",IF(OR(OR(LEN(AW166)&lt;3,ISNUMBER(MATCH(AW166,L_Placeholder,0))),SUMPRODUCT(--ISNUMBER(SEARCH(L_EvidencePhrase,AW166)))&gt;0),"INVALID – evidence missing, placeholder or not yet on file",IF(OR(LEN(AX166)&lt;2,ISNUMBER(MATCH(AX166,L_Placeholder,0))),"INVALID – verifier missing",IF(AX166=AU166,"INVALID – verifier must be someone other than the PIC",IF(AND(TRIM(U166)="Pass",SUMPRODUCT(--ISNUMBER(SEARCH(L_ResultBad,AV166)))&gt;0),"INVALID – result describes a problem: use Fail, then Pass after CA",IF(AND(AQ166=1,OR(LEN(AY166)&lt;3,ISNUMBER(MATCH(AY166,L_Placeholder,0)))),"INVALID – batch ID missing or placeholder",IF(AND(AR166=1,OR(NOT(ISNUMBER(X166)),NOT(ISNUMBER(Y166)))),"INVALID – expected/actual qty missing",IF(AND(AR166=1,OR(X166&lt;=0,Y166&lt;0)),"INVALID – expected qty must be above 0 and actual not negative",IF(BB166&lt;&gt;"",BB166,IF(AND(AS166=1,Documents!$J$10&lt;&gt;"ON FILE"),"INVALID – GLD not on file (Documents sheet)",IF(AND(AS166=2,Documents!$O$10&lt;&gt;"ON FILE"),"INVALID – menu checklist not on file (Documents sheet)",IF(AND(AS166=3,NOT(ISNUMBER(Flights!$AX$10))),"INVALID – enter carrying flight KUL departure (Flights AX)",IF(AND(AS166=3,OR(Flights!$AZ$10&gt;Flights!$AA$10,Flights!$AX$10&lt;Flights!$AA$10-3)),"INVALID – carrying flight (Flights AX) cannot arrive before this leg's STD, or is over 3 days early",IF(AG166&gt;AsOfUTC,"INVALID – completion time is in the future",IF(AND(ISNUMBER(S166),AG166&lt;S166),IF(H166="Physical uplift","INVALID – before uplift window (cannot confirm loading)","INVALID – before valid window"),IF(AG166&gt;Flights!$AA$10,"INVALID – completed after departure (cannot establish readiness)",IF(AND(H166="Preparation",AG166&gt;IF(ISNUMBER(Flights!$BA$10),MIN(Flights!$BA$10,Flights!$AA$10),Flights!$AA$10)),"INVALID – completed after loading / departure (cannot establish readiness)",IF(AND(H166="Physical uplift",AG166&gt;Q166),"INVALID – recorded after the loading flight departed",IF(AG166&gt;Q166,"COMPLETE – LATE","COMPLETE"))))))))))))))))))))),IF(TRIM(U166)="Fail","FAIL – DISCREPANCY",IF(AND(TRIM(U166)&lt;&gt;"",TRIM(U166)&lt;&gt;"Not started",TRIM(U166)&lt;&gt;"In progress"),"INVALID – unrecognised status (use the list)",IF(AsOfUTC&gt;Q166,"OVERDUE",IF(N166="Clarification required","OPEN – CLARIFICATION","OPEN"))))))),"INVALID – error value in an input cell")</f>
        <v>OPEN</v>
      </c>
      <c r="AI166" s="61" t="n">
        <f aca="false">IF(OR(AH166="N/A – RULE",AH166="N/A – JUSTIFIED"),0,1)</f>
        <v>1</v>
      </c>
      <c r="AJ166" s="61" t="n">
        <f aca="false">IF(LEFT(AH166,8)="COMPLETE",1,0)</f>
        <v>0</v>
      </c>
      <c r="AK166" s="61" t="n">
        <f aca="false">IF(AND(AI166=1,AJ166=0,AsOfUTC&gt;Q166),1,0)</f>
        <v>0</v>
      </c>
      <c r="AL166" s="61" t="n">
        <f aca="false">IFERROR(IF(AND(AI166=1,OR(TRIM(U166)="Fail",AND(TRIM(AB166)&lt;&gt;"",TRIM(AB166)&lt;&gt;"Closed"),AND(ISNUMBER(AF166),AF166&lt;&gt;0,TRIM(U166)&lt;&gt;"Pass after CA"))),1,0),1)</f>
        <v>0</v>
      </c>
      <c r="AM166" s="61" t="n">
        <f aca="false">IF(LEFT(AH166,7)="INVALID",1,0)</f>
        <v>0</v>
      </c>
      <c r="AN166" s="61" t="n">
        <f aca="false">IF(AND(N166="Clarification required",AI166=1,AJ166=0),1,0)</f>
        <v>0</v>
      </c>
      <c r="AO166" s="61" t="str">
        <f aca="false">IF(AK166=1,SUM(AK$5:AK166),"")</f>
        <v/>
      </c>
      <c r="AP166" s="61" t="str">
        <f aca="false">IF(AL166=1,SUM(AL$5:AL166),"")</f>
        <v/>
      </c>
      <c r="AQ166" s="61" t="n">
        <v>0</v>
      </c>
      <c r="AR166" s="61" t="n">
        <v>0</v>
      </c>
      <c r="AS166" s="61" t="n">
        <v>0</v>
      </c>
      <c r="AT166" s="61" t="n">
        <v>0</v>
      </c>
      <c r="AU166" s="61" t="str">
        <f aca="false">SUBSTITUTE(SUBSTITUTE(SUBSTITUTE(SUBSTITUTE(SUBSTITUTE(SUBSTITUTE(SUBSTITUTE(SUBSTITUTE(SUBSTITUTE(SUBSTITUTE(SUBSTITUTE(SUBSTITUTE(SUBSTITUTE(LOWER(T166&amp;""),CHAR(160),"")," ",""),".",""),"-",""),"/",""),"?",""),"_",""),",",""),"[",""),"]",""),"(",""),")",""),"*","")</f>
        <v/>
      </c>
      <c r="AV166" s="61" t="str">
        <f aca="false">SUBSTITUTE(SUBSTITUTE(SUBSTITUTE(SUBSTITUTE(SUBSTITUTE(SUBSTITUTE(SUBSTITUTE(SUBSTITUTE(SUBSTITUTE(SUBSTITUTE(SUBSTITUTE(SUBSTITUTE(SUBSTITUTE(LOWER(V166&amp;""),CHAR(160),"")," ",""),".",""),"-",""),"/",""),"?",""),"_",""),",",""),"[",""),"]",""),"(",""),")",""),"*","")</f>
        <v/>
      </c>
      <c r="AW166" s="61" t="str">
        <f aca="false">SUBSTITUTE(SUBSTITUTE(SUBSTITUTE(SUBSTITUTE(SUBSTITUTE(SUBSTITUTE(SUBSTITUTE(SUBSTITUTE(SUBSTITUTE(SUBSTITUTE(SUBSTITUTE(SUBSTITUTE(SUBSTITUTE(LOWER(Z166&amp;""),CHAR(160),"")," ",""),".",""),"-",""),"/",""),"?",""),"_",""),",",""),"[",""),"]",""),"(",""),")",""),"*","")</f>
        <v/>
      </c>
      <c r="AX166" s="61" t="str">
        <f aca="false">SUBSTITUTE(SUBSTITUTE(SUBSTITUTE(SUBSTITUTE(SUBSTITUTE(SUBSTITUTE(SUBSTITUTE(SUBSTITUTE(SUBSTITUTE(SUBSTITUTE(SUBSTITUTE(SUBSTITUTE(SUBSTITUTE(LOWER(AE166&amp;""),CHAR(160),"")," ",""),".",""),"-",""),"/",""),"?",""),"_",""),",",""),"[",""),"]",""),"(",""),")",""),"*","")</f>
        <v/>
      </c>
      <c r="AY166" s="61" t="str">
        <f aca="false">SUBSTITUTE(SUBSTITUTE(SUBSTITUTE(SUBSTITUTE(SUBSTITUTE(SUBSTITUTE(SUBSTITUTE(SUBSTITUTE(SUBSTITUTE(SUBSTITUTE(SUBSTITUTE(SUBSTITUTE(SUBSTITUTE(LOWER(W166&amp;""),CHAR(160),"")," ",""),".",""),"-",""),"/",""),"?",""),"_",""),",",""),"[",""),"]",""),"(",""),")",""),"*","")</f>
        <v/>
      </c>
      <c r="AZ166" s="61" t="str">
        <f aca="false">SUBSTITUTE(SUBSTITUTE(SUBSTITUTE(SUBSTITUTE(SUBSTITUTE(SUBSTITUTE(SUBSTITUTE(SUBSTITUTE(SUBSTITUTE(SUBSTITUTE(SUBSTITUTE(SUBSTITUTE(SUBSTITUTE(LOWER(AC166&amp;""),CHAR(160),"")," ",""),".",""),"-",""),"/",""),"?",""),"_",""),",",""),"[",""),"]",""),"(",""),")",""),"*","")</f>
        <v/>
      </c>
      <c r="BA166" s="61" t="str">
        <f aca="false">SUBSTITUTE(SUBSTITUTE(SUBSTITUTE(SUBSTITUTE(SUBSTITUTE(SUBSTITUTE(SUBSTITUTE(SUBSTITUTE(SUBSTITUTE(SUBSTITUTE(SUBSTITUTE(SUBSTITUTE(SUBSTITUTE(LOWER(AA166&amp;""),CHAR(160),"")," ",""),".",""),"-",""),"/",""),"?",""),"_",""),",",""),"[",""),"]",""),"(",""),")",""),"*","")</f>
        <v/>
      </c>
      <c r="BB166" s="61" t="str">
        <f aca="false">IF(AND(TRIM(U166)="Pass",ISNUMBER(AF166)),IF(AF166&lt;&gt;0,"INVALID – qty variance: use Fail or Pass after CA",""),"")&amp;IF(AND(TRIM(U166)="Pass after CA",ISNUMBER(AF166)),IF(AF166&lt;&gt;0,"INVALID – after the corrective action the actual qty must equal expected (update Actual)",""),"")&amp;IF(AND(TRIM(U166)="Pass",TRIM(AB166)&lt;&gt;"",TRIM(AB166)&lt;&gt;"Closed"),"INVALID – corrective action not closed: use Fail, then Pass after CA","")&amp;IF(AND(TRIM(AA166)&lt;&gt;"",TRIM(AB166)=""),"INVALID – CA status missing for the recorded corrective action","")&amp;IF(AND(TRIM(U166)="Pass after CA",OR(OR(LEN(BA166)&lt;5,ISNUMBER(MATCH(BA166,L_Placeholder,0))),TRIM(AB166)&lt;&gt;"Closed")),"INVALID – corrective action not recorded/closed","")</f>
        <v/>
      </c>
    </row>
    <row r="167" customFormat="false" ht="39.75" hidden="false" customHeight="true" outlineLevel="0" collapsed="false">
      <c r="A167" s="57" t="s">
        <v>686</v>
      </c>
      <c r="B167" s="57" t="s">
        <v>228</v>
      </c>
      <c r="C167" s="57" t="str">
        <f aca="false">Flights!$F$10</f>
        <v>MH0002</v>
      </c>
      <c r="D167" s="58" t="n">
        <f aca="false">Flights!$D$10</f>
        <v>46310</v>
      </c>
      <c r="E167" s="57" t="str">
        <f aca="false">Flights!$G$10&amp;"-"&amp;Flights!$H$10</f>
        <v>KUL-LHR</v>
      </c>
      <c r="F167" s="57" t="str">
        <f aca="false">Flights!$K$10</f>
        <v>BC</v>
      </c>
      <c r="G167" s="57" t="s">
        <v>79</v>
      </c>
      <c r="H167" s="57" t="s">
        <v>356</v>
      </c>
      <c r="I167" s="57" t="s">
        <v>363</v>
      </c>
      <c r="J167" s="57" t="s">
        <v>364</v>
      </c>
      <c r="K167" s="67" t="s">
        <v>365</v>
      </c>
      <c r="L167" s="67" t="s">
        <v>360</v>
      </c>
      <c r="M167" s="67"/>
      <c r="N167" s="67" t="s">
        <v>361</v>
      </c>
      <c r="O167" s="67"/>
      <c r="P167" s="57" t="s">
        <v>184</v>
      </c>
      <c r="Q167" s="59" t="n">
        <f aca="false">ROUND((Flights!$AC$10)*1440,0)/1440</f>
        <v>46303.6388888889</v>
      </c>
      <c r="R167" s="59" t="n">
        <f aca="false">Q167+(IF(AND(INDEX(TZ_DSTS,MATCH(P167,TZ_STN,0))&lt;&gt;"",Q167&gt;=INDEX(TZ_DSTS,MATCH(P167,TZ_STN,0)),Q167&lt;INDEX(TZ_DSTE,MATCH(P167,TZ_STN,0))),INDEX(TZ_DST,MATCH(P167,TZ_STN,0)),INDEX(TZ_STD,MATCH(P167,TZ_STN,0))))/24</f>
        <v>46303.9722222222</v>
      </c>
      <c r="S167" s="59" t="n">
        <f aca="false">Q167-T7EarlyD*24/24</f>
        <v>46289.6388888889</v>
      </c>
      <c r="T167" s="60"/>
      <c r="U167" s="60"/>
      <c r="V167" s="60"/>
      <c r="W167" s="61"/>
      <c r="X167" s="60"/>
      <c r="Y167" s="60"/>
      <c r="Z167" s="60"/>
      <c r="AA167" s="60"/>
      <c r="AB167" s="60"/>
      <c r="AC167" s="60"/>
      <c r="AD167" s="66"/>
      <c r="AE167" s="60"/>
      <c r="AF167" s="61" t="str">
        <f aca="false">IF(AND(ISNUMBER(X167),ISNUMBER(Y167)),Y167-X167,"")</f>
        <v/>
      </c>
      <c r="AG167" s="62" t="str">
        <f aca="false">IF(ISNUMBER(AD167),AD167-(IF(AND(INDEX(TZ_DSTS,MATCH(P167,TZ_STN,0))&lt;&gt;"",(AD167-INDEX(TZ_STD,MATCH(P167,TZ_STN,0))/24)&gt;=INDEX(TZ_DSTS,MATCH(P167,TZ_STN,0)),(AD167-INDEX(TZ_STD,MATCH(P167,TZ_STN,0))/24)&lt;INDEX(TZ_DSTE,MATCH(P167,TZ_STN,0))),INDEX(TZ_DST,MATCH(P167,TZ_STN,0)),INDEX(TZ_STD,MATCH(P167,TZ_STN,0))))/24,"")</f>
        <v/>
      </c>
      <c r="AH167" s="65" t="str">
        <f aca="false">IFERROR(IF(N167="N/A – rule","N/A – RULE",IF(TRIM(U167)="N/A",IF(AT167=0,"INVALID – N/A not permitted for this check",IF(AND(TRIM(AB167)&lt;&gt;"",TRIM(AB167)&lt;&gt;"Closed"),"INVALID – corrective action still open",IF(AND(NOT(OR(LEN(AZ167)&lt;15,ISNUMBER(MATCH(AZ167,L_Placeholder,0)))),NOT(OR(LEN(AU167)&lt;2,ISNUMBER(MATCH(AU167,L_Placeholder,0)))),NOT(OR(LEN(AX167)&lt;2,ISNUMBER(MATCH(AX167,L_Placeholder,0)))),TRIM(AE167)&lt;&gt;TRIM(T167)),"N/A – JUSTIFIED","INVALID – N/A needs a real justification (15+ chars), PIC and a different verifier"))),IF(OR(TRIM(U167)="Pass",TRIM(U167)="Pass after CA"),IF(NOT(ISNUMBER(AD167)),"INVALID – completion time missing",IF(OR(LEN(AU167)&lt;2,ISNUMBER(MATCH(AU167,L_Placeholder,0))),"INVALID – PIC missing",IF(OR(LEN(AV167)&lt;2,ISNUMBER(MATCH(AV167,L_Placeholder,0))),"INVALID – result / assessment missing",IF(OR(OR(LEN(AW167)&lt;3,ISNUMBER(MATCH(AW167,L_Placeholder,0))),SUMPRODUCT(--ISNUMBER(SEARCH(L_EvidencePhrase,AW167)))&gt;0),"INVALID – evidence missing, placeholder or not yet on file",IF(OR(LEN(AX167)&lt;2,ISNUMBER(MATCH(AX167,L_Placeholder,0))),"INVALID – verifier missing",IF(AX167=AU167,"INVALID – verifier must be someone other than the PIC",IF(AND(TRIM(U167)="Pass",SUMPRODUCT(--ISNUMBER(SEARCH(L_ResultBad,AV167)))&gt;0),"INVALID – result describes a problem: use Fail, then Pass after CA",IF(AND(AQ167=1,OR(LEN(AY167)&lt;3,ISNUMBER(MATCH(AY167,L_Placeholder,0)))),"INVALID – batch ID missing or placeholder",IF(AND(AR167=1,OR(NOT(ISNUMBER(X167)),NOT(ISNUMBER(Y167)))),"INVALID – expected/actual qty missing",IF(AND(AR167=1,OR(X167&lt;=0,Y167&lt;0)),"INVALID – expected qty must be above 0 and actual not negative",IF(BB167&lt;&gt;"",BB167,IF(AND(AS167=1,Documents!$J$10&lt;&gt;"ON FILE"),"INVALID – GLD not on file (Documents sheet)",IF(AND(AS167=2,Documents!$O$10&lt;&gt;"ON FILE"),"INVALID – menu checklist not on file (Documents sheet)",IF(AND(AS167=3,NOT(ISNUMBER(Flights!$AX$10))),"INVALID – enter carrying flight KUL departure (Flights AX)",IF(AND(AS167=3,OR(Flights!$AZ$10&gt;Flights!$AA$10,Flights!$AX$10&lt;Flights!$AA$10-3)),"INVALID – carrying flight (Flights AX) cannot arrive before this leg's STD, or is over 3 days early",IF(AG167&gt;AsOfUTC,"INVALID – completion time is in the future",IF(AND(ISNUMBER(S167),AG167&lt;S167),IF(H167="Physical uplift","INVALID – before uplift window (cannot confirm loading)","INVALID – before valid window"),IF(AG167&gt;Flights!$AA$10,"INVALID – completed after departure (cannot establish readiness)",IF(AND(H167="Preparation",AG167&gt;IF(ISNUMBER(Flights!$BA$10),MIN(Flights!$BA$10,Flights!$AA$10),Flights!$AA$10)),"INVALID – completed after loading / departure (cannot establish readiness)",IF(AND(H167="Physical uplift",AG167&gt;Q167),"INVALID – recorded after the loading flight departed",IF(AG167&gt;Q167,"COMPLETE – LATE","COMPLETE"))))))))))))))))))))),IF(TRIM(U167)="Fail","FAIL – DISCREPANCY",IF(AND(TRIM(U167)&lt;&gt;"",TRIM(U167)&lt;&gt;"Not started",TRIM(U167)&lt;&gt;"In progress"),"INVALID – unrecognised status (use the list)",IF(AsOfUTC&gt;Q167,"OVERDUE",IF(N167="Clarification required","OPEN – CLARIFICATION","OPEN"))))))),"INVALID – error value in an input cell")</f>
        <v>OPEN</v>
      </c>
      <c r="AI167" s="61" t="n">
        <f aca="false">IF(OR(AH167="N/A – RULE",AH167="N/A – JUSTIFIED"),0,1)</f>
        <v>1</v>
      </c>
      <c r="AJ167" s="61" t="n">
        <f aca="false">IF(LEFT(AH167,8)="COMPLETE",1,0)</f>
        <v>0</v>
      </c>
      <c r="AK167" s="61" t="n">
        <f aca="false">IF(AND(AI167=1,AJ167=0,AsOfUTC&gt;Q167),1,0)</f>
        <v>0</v>
      </c>
      <c r="AL167" s="61" t="n">
        <f aca="false">IFERROR(IF(AND(AI167=1,OR(TRIM(U167)="Fail",AND(TRIM(AB167)&lt;&gt;"",TRIM(AB167)&lt;&gt;"Closed"),AND(ISNUMBER(AF167),AF167&lt;&gt;0,TRIM(U167)&lt;&gt;"Pass after CA"))),1,0),1)</f>
        <v>0</v>
      </c>
      <c r="AM167" s="61" t="n">
        <f aca="false">IF(LEFT(AH167,7)="INVALID",1,0)</f>
        <v>0</v>
      </c>
      <c r="AN167" s="61" t="n">
        <f aca="false">IF(AND(N167="Clarification required",AI167=1,AJ167=0),1,0)</f>
        <v>0</v>
      </c>
      <c r="AO167" s="61" t="str">
        <f aca="false">IF(AK167=1,SUM(AK$5:AK167),"")</f>
        <v/>
      </c>
      <c r="AP167" s="61" t="str">
        <f aca="false">IF(AL167=1,SUM(AL$5:AL167),"")</f>
        <v/>
      </c>
      <c r="AQ167" s="61" t="n">
        <v>0</v>
      </c>
      <c r="AR167" s="61" t="n">
        <v>0</v>
      </c>
      <c r="AS167" s="61" t="n">
        <v>0</v>
      </c>
      <c r="AT167" s="61" t="n">
        <v>0</v>
      </c>
      <c r="AU167" s="61" t="str">
        <f aca="false">SUBSTITUTE(SUBSTITUTE(SUBSTITUTE(SUBSTITUTE(SUBSTITUTE(SUBSTITUTE(SUBSTITUTE(SUBSTITUTE(SUBSTITUTE(SUBSTITUTE(SUBSTITUTE(SUBSTITUTE(SUBSTITUTE(LOWER(T167&amp;""),CHAR(160),"")," ",""),".",""),"-",""),"/",""),"?",""),"_",""),",",""),"[",""),"]",""),"(",""),")",""),"*","")</f>
        <v/>
      </c>
      <c r="AV167" s="61" t="str">
        <f aca="false">SUBSTITUTE(SUBSTITUTE(SUBSTITUTE(SUBSTITUTE(SUBSTITUTE(SUBSTITUTE(SUBSTITUTE(SUBSTITUTE(SUBSTITUTE(SUBSTITUTE(SUBSTITUTE(SUBSTITUTE(SUBSTITUTE(LOWER(V167&amp;""),CHAR(160),"")," ",""),".",""),"-",""),"/",""),"?",""),"_",""),",",""),"[",""),"]",""),"(",""),")",""),"*","")</f>
        <v/>
      </c>
      <c r="AW167" s="61" t="str">
        <f aca="false">SUBSTITUTE(SUBSTITUTE(SUBSTITUTE(SUBSTITUTE(SUBSTITUTE(SUBSTITUTE(SUBSTITUTE(SUBSTITUTE(SUBSTITUTE(SUBSTITUTE(SUBSTITUTE(SUBSTITUTE(SUBSTITUTE(LOWER(Z167&amp;""),CHAR(160),"")," ",""),".",""),"-",""),"/",""),"?",""),"_",""),",",""),"[",""),"]",""),"(",""),")",""),"*","")</f>
        <v/>
      </c>
      <c r="AX167" s="61" t="str">
        <f aca="false">SUBSTITUTE(SUBSTITUTE(SUBSTITUTE(SUBSTITUTE(SUBSTITUTE(SUBSTITUTE(SUBSTITUTE(SUBSTITUTE(SUBSTITUTE(SUBSTITUTE(SUBSTITUTE(SUBSTITUTE(SUBSTITUTE(LOWER(AE167&amp;""),CHAR(160),"")," ",""),".",""),"-",""),"/",""),"?",""),"_",""),",",""),"[",""),"]",""),"(",""),")",""),"*","")</f>
        <v/>
      </c>
      <c r="AY167" s="61" t="str">
        <f aca="false">SUBSTITUTE(SUBSTITUTE(SUBSTITUTE(SUBSTITUTE(SUBSTITUTE(SUBSTITUTE(SUBSTITUTE(SUBSTITUTE(SUBSTITUTE(SUBSTITUTE(SUBSTITUTE(SUBSTITUTE(SUBSTITUTE(LOWER(W167&amp;""),CHAR(160),"")," ",""),".",""),"-",""),"/",""),"?",""),"_",""),",",""),"[",""),"]",""),"(",""),")",""),"*","")</f>
        <v/>
      </c>
      <c r="AZ167" s="61" t="str">
        <f aca="false">SUBSTITUTE(SUBSTITUTE(SUBSTITUTE(SUBSTITUTE(SUBSTITUTE(SUBSTITUTE(SUBSTITUTE(SUBSTITUTE(SUBSTITUTE(SUBSTITUTE(SUBSTITUTE(SUBSTITUTE(SUBSTITUTE(LOWER(AC167&amp;""),CHAR(160),"")," ",""),".",""),"-",""),"/",""),"?",""),"_",""),",",""),"[",""),"]",""),"(",""),")",""),"*","")</f>
        <v/>
      </c>
      <c r="BA167" s="61" t="str">
        <f aca="false">SUBSTITUTE(SUBSTITUTE(SUBSTITUTE(SUBSTITUTE(SUBSTITUTE(SUBSTITUTE(SUBSTITUTE(SUBSTITUTE(SUBSTITUTE(SUBSTITUTE(SUBSTITUTE(SUBSTITUTE(SUBSTITUTE(LOWER(AA167&amp;""),CHAR(160),"")," ",""),".",""),"-",""),"/",""),"?",""),"_",""),",",""),"[",""),"]",""),"(",""),")",""),"*","")</f>
        <v/>
      </c>
      <c r="BB167" s="61" t="str">
        <f aca="false">IF(AND(TRIM(U167)="Pass",ISNUMBER(AF167)),IF(AF167&lt;&gt;0,"INVALID – qty variance: use Fail or Pass after CA",""),"")&amp;IF(AND(TRIM(U167)="Pass after CA",ISNUMBER(AF167)),IF(AF167&lt;&gt;0,"INVALID – after the corrective action the actual qty must equal expected (update Actual)",""),"")&amp;IF(AND(TRIM(U167)="Pass",TRIM(AB167)&lt;&gt;"",TRIM(AB167)&lt;&gt;"Closed"),"INVALID – corrective action not closed: use Fail, then Pass after CA","")&amp;IF(AND(TRIM(AA167)&lt;&gt;"",TRIM(AB167)=""),"INVALID – CA status missing for the recorded corrective action","")&amp;IF(AND(TRIM(U167)="Pass after CA",OR(OR(LEN(BA167)&lt;5,ISNUMBER(MATCH(BA167,L_Placeholder,0))),TRIM(AB167)&lt;&gt;"Closed")),"INVALID – corrective action not recorded/closed","")</f>
        <v/>
      </c>
    </row>
    <row r="168" customFormat="false" ht="41.25" hidden="false" customHeight="true" outlineLevel="0" collapsed="false">
      <c r="A168" s="57" t="s">
        <v>687</v>
      </c>
      <c r="B168" s="57" t="s">
        <v>228</v>
      </c>
      <c r="C168" s="57" t="str">
        <f aca="false">Flights!$F$10</f>
        <v>MH0002</v>
      </c>
      <c r="D168" s="58" t="n">
        <f aca="false">Flights!$D$10</f>
        <v>46310</v>
      </c>
      <c r="E168" s="57" t="str">
        <f aca="false">Flights!$G$10&amp;"-"&amp;Flights!$H$10</f>
        <v>KUL-LHR</v>
      </c>
      <c r="F168" s="57" t="str">
        <f aca="false">Flights!$K$10</f>
        <v>BC</v>
      </c>
      <c r="G168" s="57" t="s">
        <v>79</v>
      </c>
      <c r="H168" s="57" t="s">
        <v>356</v>
      </c>
      <c r="I168" s="57" t="s">
        <v>367</v>
      </c>
      <c r="J168" s="57" t="s">
        <v>368</v>
      </c>
      <c r="K168" s="67" t="s">
        <v>369</v>
      </c>
      <c r="L168" s="67" t="s">
        <v>360</v>
      </c>
      <c r="M168" s="67"/>
      <c r="N168" s="67" t="str">
        <f aca="false">IF(TRIM(Flights!$L$10)="A339","Required","N/A – rule")</f>
        <v>N/A – rule</v>
      </c>
      <c r="O168" s="67" t="s">
        <v>370</v>
      </c>
      <c r="P168" s="57" t="s">
        <v>184</v>
      </c>
      <c r="Q168" s="59" t="n">
        <f aca="false">ROUND((Flights!$AC$10)*1440,0)/1440</f>
        <v>46303.6388888889</v>
      </c>
      <c r="R168" s="59" t="n">
        <f aca="false">Q168+(IF(AND(INDEX(TZ_DSTS,MATCH(P168,TZ_STN,0))&lt;&gt;"",Q168&gt;=INDEX(TZ_DSTS,MATCH(P168,TZ_STN,0)),Q168&lt;INDEX(TZ_DSTE,MATCH(P168,TZ_STN,0))),INDEX(TZ_DST,MATCH(P168,TZ_STN,0)),INDEX(TZ_STD,MATCH(P168,TZ_STN,0))))/24</f>
        <v>46303.9722222222</v>
      </c>
      <c r="S168" s="59" t="n">
        <f aca="false">Q168-T7EarlyD*24/24</f>
        <v>46289.6388888889</v>
      </c>
      <c r="T168" s="60"/>
      <c r="U168" s="60"/>
      <c r="V168" s="60"/>
      <c r="W168" s="61"/>
      <c r="X168" s="60"/>
      <c r="Y168" s="60"/>
      <c r="Z168" s="60"/>
      <c r="AA168" s="60"/>
      <c r="AB168" s="60"/>
      <c r="AC168" s="60"/>
      <c r="AD168" s="66"/>
      <c r="AE168" s="60"/>
      <c r="AF168" s="61" t="str">
        <f aca="false">IF(AND(ISNUMBER(X168),ISNUMBER(Y168)),Y168-X168,"")</f>
        <v/>
      </c>
      <c r="AG168" s="62" t="str">
        <f aca="false">IF(ISNUMBER(AD168),AD168-(IF(AND(INDEX(TZ_DSTS,MATCH(P168,TZ_STN,0))&lt;&gt;"",(AD168-INDEX(TZ_STD,MATCH(P168,TZ_STN,0))/24)&gt;=INDEX(TZ_DSTS,MATCH(P168,TZ_STN,0)),(AD168-INDEX(TZ_STD,MATCH(P168,TZ_STN,0))/24)&lt;INDEX(TZ_DSTE,MATCH(P168,TZ_STN,0))),INDEX(TZ_DST,MATCH(P168,TZ_STN,0)),INDEX(TZ_STD,MATCH(P168,TZ_STN,0))))/24,"")</f>
        <v/>
      </c>
      <c r="AH168" s="65" t="str">
        <f aca="false">IFERROR(IF(N168="N/A – rule","N/A – RULE",IF(TRIM(U168)="N/A",IF(AT168=0,"INVALID – N/A not permitted for this check",IF(AND(TRIM(AB168)&lt;&gt;"",TRIM(AB168)&lt;&gt;"Closed"),"INVALID – corrective action still open",IF(AND(NOT(OR(LEN(AZ168)&lt;15,ISNUMBER(MATCH(AZ168,L_Placeholder,0)))),NOT(OR(LEN(AU168)&lt;2,ISNUMBER(MATCH(AU168,L_Placeholder,0)))),NOT(OR(LEN(AX168)&lt;2,ISNUMBER(MATCH(AX168,L_Placeholder,0)))),TRIM(AE168)&lt;&gt;TRIM(T168)),"N/A – JUSTIFIED","INVALID – N/A needs a real justification (15+ chars), PIC and a different verifier"))),IF(OR(TRIM(U168)="Pass",TRIM(U168)="Pass after CA"),IF(NOT(ISNUMBER(AD168)),"INVALID – completion time missing",IF(OR(LEN(AU168)&lt;2,ISNUMBER(MATCH(AU168,L_Placeholder,0))),"INVALID – PIC missing",IF(OR(LEN(AV168)&lt;2,ISNUMBER(MATCH(AV168,L_Placeholder,0))),"INVALID – result / assessment missing",IF(OR(OR(LEN(AW168)&lt;3,ISNUMBER(MATCH(AW168,L_Placeholder,0))),SUMPRODUCT(--ISNUMBER(SEARCH(L_EvidencePhrase,AW168)))&gt;0),"INVALID – evidence missing, placeholder or not yet on file",IF(OR(LEN(AX168)&lt;2,ISNUMBER(MATCH(AX168,L_Placeholder,0))),"INVALID – verifier missing",IF(AX168=AU168,"INVALID – verifier must be someone other than the PIC",IF(AND(TRIM(U168)="Pass",SUMPRODUCT(--ISNUMBER(SEARCH(L_ResultBad,AV168)))&gt;0),"INVALID – result describes a problem: use Fail, then Pass after CA",IF(AND(AQ168=1,OR(LEN(AY168)&lt;3,ISNUMBER(MATCH(AY168,L_Placeholder,0)))),"INVALID – batch ID missing or placeholder",IF(AND(AR168=1,OR(NOT(ISNUMBER(X168)),NOT(ISNUMBER(Y168)))),"INVALID – expected/actual qty missing",IF(AND(AR168=1,OR(X168&lt;=0,Y168&lt;0)),"INVALID – expected qty must be above 0 and actual not negative",IF(BB168&lt;&gt;"",BB168,IF(AND(AS168=1,Documents!$J$10&lt;&gt;"ON FILE"),"INVALID – GLD not on file (Documents sheet)",IF(AND(AS168=2,Documents!$O$10&lt;&gt;"ON FILE"),"INVALID – menu checklist not on file (Documents sheet)",IF(AND(AS168=3,NOT(ISNUMBER(Flights!$AX$10))),"INVALID – enter carrying flight KUL departure (Flights AX)",IF(AND(AS168=3,OR(Flights!$AZ$10&gt;Flights!$AA$10,Flights!$AX$10&lt;Flights!$AA$10-3)),"INVALID – carrying flight (Flights AX) cannot arrive before this leg's STD, or is over 3 days early",IF(AG168&gt;AsOfUTC,"INVALID – completion time is in the future",IF(AND(ISNUMBER(S168),AG168&lt;S168),IF(H168="Physical uplift","INVALID – before uplift window (cannot confirm loading)","INVALID – before valid window"),IF(AG168&gt;Flights!$AA$10,"INVALID – completed after departure (cannot establish readiness)",IF(AND(H168="Preparation",AG168&gt;IF(ISNUMBER(Flights!$BA$10),MIN(Flights!$BA$10,Flights!$AA$10),Flights!$AA$10)),"INVALID – completed after loading / departure (cannot establish readiness)",IF(AND(H168="Physical uplift",AG168&gt;Q168),"INVALID – recorded after the loading flight departed",IF(AG168&gt;Q168,"COMPLETE – LATE","COMPLETE"))))))))))))))))))))),IF(TRIM(U168)="Fail","FAIL – DISCREPANCY",IF(AND(TRIM(U168)&lt;&gt;"",TRIM(U168)&lt;&gt;"Not started",TRIM(U168)&lt;&gt;"In progress"),"INVALID – unrecognised status (use the list)",IF(AsOfUTC&gt;Q168,"OVERDUE",IF(N168="Clarification required","OPEN – CLARIFICATION","OPEN"))))))),"INVALID – error value in an input cell")</f>
        <v>N/A – RULE</v>
      </c>
      <c r="AI168" s="61" t="n">
        <f aca="false">IF(OR(AH168="N/A – RULE",AH168="N/A – JUSTIFIED"),0,1)</f>
        <v>0</v>
      </c>
      <c r="AJ168" s="61" t="n">
        <f aca="false">IF(LEFT(AH168,8)="COMPLETE",1,0)</f>
        <v>0</v>
      </c>
      <c r="AK168" s="61" t="n">
        <f aca="false">IF(AND(AI168=1,AJ168=0,AsOfUTC&gt;Q168),1,0)</f>
        <v>0</v>
      </c>
      <c r="AL168" s="61" t="n">
        <f aca="false">IFERROR(IF(AND(AI168=1,OR(TRIM(U168)="Fail",AND(TRIM(AB168)&lt;&gt;"",TRIM(AB168)&lt;&gt;"Closed"),AND(ISNUMBER(AF168),AF168&lt;&gt;0,TRIM(U168)&lt;&gt;"Pass after CA"))),1,0),1)</f>
        <v>0</v>
      </c>
      <c r="AM168" s="61" t="n">
        <f aca="false">IF(LEFT(AH168,7)="INVALID",1,0)</f>
        <v>0</v>
      </c>
      <c r="AN168" s="61" t="n">
        <f aca="false">IF(AND(N168="Clarification required",AI168=1,AJ168=0),1,0)</f>
        <v>0</v>
      </c>
      <c r="AO168" s="61" t="str">
        <f aca="false">IF(AK168=1,SUM(AK$5:AK168),"")</f>
        <v/>
      </c>
      <c r="AP168" s="61" t="str">
        <f aca="false">IF(AL168=1,SUM(AL$5:AL168),"")</f>
        <v/>
      </c>
      <c r="AQ168" s="61" t="n">
        <v>0</v>
      </c>
      <c r="AR168" s="61" t="n">
        <v>0</v>
      </c>
      <c r="AS168" s="61" t="n">
        <v>0</v>
      </c>
      <c r="AT168" s="61" t="n">
        <v>0</v>
      </c>
      <c r="AU168" s="61" t="str">
        <f aca="false">SUBSTITUTE(SUBSTITUTE(SUBSTITUTE(SUBSTITUTE(SUBSTITUTE(SUBSTITUTE(SUBSTITUTE(SUBSTITUTE(SUBSTITUTE(SUBSTITUTE(SUBSTITUTE(SUBSTITUTE(SUBSTITUTE(LOWER(T168&amp;""),CHAR(160),"")," ",""),".",""),"-",""),"/",""),"?",""),"_",""),",",""),"[",""),"]",""),"(",""),")",""),"*","")</f>
        <v/>
      </c>
      <c r="AV168" s="61" t="str">
        <f aca="false">SUBSTITUTE(SUBSTITUTE(SUBSTITUTE(SUBSTITUTE(SUBSTITUTE(SUBSTITUTE(SUBSTITUTE(SUBSTITUTE(SUBSTITUTE(SUBSTITUTE(SUBSTITUTE(SUBSTITUTE(SUBSTITUTE(LOWER(V168&amp;""),CHAR(160),"")," ",""),".",""),"-",""),"/",""),"?",""),"_",""),",",""),"[",""),"]",""),"(",""),")",""),"*","")</f>
        <v/>
      </c>
      <c r="AW168" s="61" t="str">
        <f aca="false">SUBSTITUTE(SUBSTITUTE(SUBSTITUTE(SUBSTITUTE(SUBSTITUTE(SUBSTITUTE(SUBSTITUTE(SUBSTITUTE(SUBSTITUTE(SUBSTITUTE(SUBSTITUTE(SUBSTITUTE(SUBSTITUTE(LOWER(Z168&amp;""),CHAR(160),"")," ",""),".",""),"-",""),"/",""),"?",""),"_",""),",",""),"[",""),"]",""),"(",""),")",""),"*","")</f>
        <v/>
      </c>
      <c r="AX168" s="61" t="str">
        <f aca="false">SUBSTITUTE(SUBSTITUTE(SUBSTITUTE(SUBSTITUTE(SUBSTITUTE(SUBSTITUTE(SUBSTITUTE(SUBSTITUTE(SUBSTITUTE(SUBSTITUTE(SUBSTITUTE(SUBSTITUTE(SUBSTITUTE(LOWER(AE168&amp;""),CHAR(160),"")," ",""),".",""),"-",""),"/",""),"?",""),"_",""),",",""),"[",""),"]",""),"(",""),")",""),"*","")</f>
        <v/>
      </c>
      <c r="AY168" s="61" t="str">
        <f aca="false">SUBSTITUTE(SUBSTITUTE(SUBSTITUTE(SUBSTITUTE(SUBSTITUTE(SUBSTITUTE(SUBSTITUTE(SUBSTITUTE(SUBSTITUTE(SUBSTITUTE(SUBSTITUTE(SUBSTITUTE(SUBSTITUTE(LOWER(W168&amp;""),CHAR(160),"")," ",""),".",""),"-",""),"/",""),"?",""),"_",""),",",""),"[",""),"]",""),"(",""),")",""),"*","")</f>
        <v/>
      </c>
      <c r="AZ168" s="61" t="str">
        <f aca="false">SUBSTITUTE(SUBSTITUTE(SUBSTITUTE(SUBSTITUTE(SUBSTITUTE(SUBSTITUTE(SUBSTITUTE(SUBSTITUTE(SUBSTITUTE(SUBSTITUTE(SUBSTITUTE(SUBSTITUTE(SUBSTITUTE(LOWER(AC168&amp;""),CHAR(160),"")," ",""),".",""),"-",""),"/",""),"?",""),"_",""),",",""),"[",""),"]",""),"(",""),")",""),"*","")</f>
        <v/>
      </c>
      <c r="BA168" s="61" t="str">
        <f aca="false">SUBSTITUTE(SUBSTITUTE(SUBSTITUTE(SUBSTITUTE(SUBSTITUTE(SUBSTITUTE(SUBSTITUTE(SUBSTITUTE(SUBSTITUTE(SUBSTITUTE(SUBSTITUTE(SUBSTITUTE(SUBSTITUTE(LOWER(AA168&amp;""),CHAR(160),"")," ",""),".",""),"-",""),"/",""),"?",""),"_",""),",",""),"[",""),"]",""),"(",""),")",""),"*","")</f>
        <v/>
      </c>
      <c r="BB168" s="61" t="str">
        <f aca="false">IF(AND(TRIM(U168)="Pass",ISNUMBER(AF168)),IF(AF168&lt;&gt;0,"INVALID – qty variance: use Fail or Pass after CA",""),"")&amp;IF(AND(TRIM(U168)="Pass after CA",ISNUMBER(AF168)),IF(AF168&lt;&gt;0,"INVALID – after the corrective action the actual qty must equal expected (update Actual)",""),"")&amp;IF(AND(TRIM(U168)="Pass",TRIM(AB168)&lt;&gt;"",TRIM(AB168)&lt;&gt;"Closed"),"INVALID – corrective action not closed: use Fail, then Pass after CA","")&amp;IF(AND(TRIM(AA168)&lt;&gt;"",TRIM(AB168)=""),"INVALID – CA status missing for the recorded corrective action","")&amp;IF(AND(TRIM(U168)="Pass after CA",OR(OR(LEN(BA168)&lt;5,ISNUMBER(MATCH(BA168,L_Placeholder,0))),TRIM(AB168)&lt;&gt;"Closed")),"INVALID – corrective action not recorded/closed","")</f>
        <v/>
      </c>
    </row>
    <row r="169" customFormat="false" ht="39.75" hidden="false" customHeight="true" outlineLevel="0" collapsed="false">
      <c r="A169" s="57" t="s">
        <v>688</v>
      </c>
      <c r="B169" s="57" t="s">
        <v>228</v>
      </c>
      <c r="C169" s="57" t="str">
        <f aca="false">Flights!$F$10</f>
        <v>MH0002</v>
      </c>
      <c r="D169" s="58" t="n">
        <f aca="false">Flights!$D$10</f>
        <v>46310</v>
      </c>
      <c r="E169" s="57" t="str">
        <f aca="false">Flights!$G$10&amp;"-"&amp;Flights!$H$10</f>
        <v>KUL-LHR</v>
      </c>
      <c r="F169" s="57" t="str">
        <f aca="false">Flights!$K$10</f>
        <v>BC</v>
      </c>
      <c r="G169" s="57" t="s">
        <v>79</v>
      </c>
      <c r="H169" s="57" t="s">
        <v>356</v>
      </c>
      <c r="I169" s="57" t="s">
        <v>372</v>
      </c>
      <c r="J169" s="57" t="s">
        <v>373</v>
      </c>
      <c r="K169" s="67" t="s">
        <v>374</v>
      </c>
      <c r="L169" s="67" t="s">
        <v>360</v>
      </c>
      <c r="M169" s="67"/>
      <c r="N169" s="67" t="s">
        <v>361</v>
      </c>
      <c r="O169" s="67"/>
      <c r="P169" s="57" t="s">
        <v>184</v>
      </c>
      <c r="Q169" s="59" t="n">
        <f aca="false">ROUND((Flights!$AC$10)*1440,0)/1440</f>
        <v>46303.6388888889</v>
      </c>
      <c r="R169" s="59" t="n">
        <f aca="false">Q169+(IF(AND(INDEX(TZ_DSTS,MATCH(P169,TZ_STN,0))&lt;&gt;"",Q169&gt;=INDEX(TZ_DSTS,MATCH(P169,TZ_STN,0)),Q169&lt;INDEX(TZ_DSTE,MATCH(P169,TZ_STN,0))),INDEX(TZ_DST,MATCH(P169,TZ_STN,0)),INDEX(TZ_STD,MATCH(P169,TZ_STN,0))))/24</f>
        <v>46303.9722222222</v>
      </c>
      <c r="S169" s="59" t="n">
        <f aca="false">Q169-T7EarlyD*24/24</f>
        <v>46289.6388888889</v>
      </c>
      <c r="T169" s="60"/>
      <c r="U169" s="60"/>
      <c r="V169" s="60"/>
      <c r="W169" s="61"/>
      <c r="X169" s="60"/>
      <c r="Y169" s="60"/>
      <c r="Z169" s="60"/>
      <c r="AA169" s="60"/>
      <c r="AB169" s="60"/>
      <c r="AC169" s="60"/>
      <c r="AD169" s="66"/>
      <c r="AE169" s="60"/>
      <c r="AF169" s="61" t="str">
        <f aca="false">IF(AND(ISNUMBER(X169),ISNUMBER(Y169)),Y169-X169,"")</f>
        <v/>
      </c>
      <c r="AG169" s="62" t="str">
        <f aca="false">IF(ISNUMBER(AD169),AD169-(IF(AND(INDEX(TZ_DSTS,MATCH(P169,TZ_STN,0))&lt;&gt;"",(AD169-INDEX(TZ_STD,MATCH(P169,TZ_STN,0))/24)&gt;=INDEX(TZ_DSTS,MATCH(P169,TZ_STN,0)),(AD169-INDEX(TZ_STD,MATCH(P169,TZ_STN,0))/24)&lt;INDEX(TZ_DSTE,MATCH(P169,TZ_STN,0))),INDEX(TZ_DST,MATCH(P169,TZ_STN,0)),INDEX(TZ_STD,MATCH(P169,TZ_STN,0))))/24,"")</f>
        <v/>
      </c>
      <c r="AH169" s="65" t="str">
        <f aca="false">IFERROR(IF(N169="N/A – rule","N/A – RULE",IF(TRIM(U169)="N/A",IF(AT169=0,"INVALID – N/A not permitted for this check",IF(AND(TRIM(AB169)&lt;&gt;"",TRIM(AB169)&lt;&gt;"Closed"),"INVALID – corrective action still open",IF(AND(NOT(OR(LEN(AZ169)&lt;15,ISNUMBER(MATCH(AZ169,L_Placeholder,0)))),NOT(OR(LEN(AU169)&lt;2,ISNUMBER(MATCH(AU169,L_Placeholder,0)))),NOT(OR(LEN(AX169)&lt;2,ISNUMBER(MATCH(AX169,L_Placeholder,0)))),TRIM(AE169)&lt;&gt;TRIM(T169)),"N/A – JUSTIFIED","INVALID – N/A needs a real justification (15+ chars), PIC and a different verifier"))),IF(OR(TRIM(U169)="Pass",TRIM(U169)="Pass after CA"),IF(NOT(ISNUMBER(AD169)),"INVALID – completion time missing",IF(OR(LEN(AU169)&lt;2,ISNUMBER(MATCH(AU169,L_Placeholder,0))),"INVALID – PIC missing",IF(OR(LEN(AV169)&lt;2,ISNUMBER(MATCH(AV169,L_Placeholder,0))),"INVALID – result / assessment missing",IF(OR(OR(LEN(AW169)&lt;3,ISNUMBER(MATCH(AW169,L_Placeholder,0))),SUMPRODUCT(--ISNUMBER(SEARCH(L_EvidencePhrase,AW169)))&gt;0),"INVALID – evidence missing, placeholder or not yet on file",IF(OR(LEN(AX169)&lt;2,ISNUMBER(MATCH(AX169,L_Placeholder,0))),"INVALID – verifier missing",IF(AX169=AU169,"INVALID – verifier must be someone other than the PIC",IF(AND(TRIM(U169)="Pass",SUMPRODUCT(--ISNUMBER(SEARCH(L_ResultBad,AV169)))&gt;0),"INVALID – result describes a problem: use Fail, then Pass after CA",IF(AND(AQ169=1,OR(LEN(AY169)&lt;3,ISNUMBER(MATCH(AY169,L_Placeholder,0)))),"INVALID – batch ID missing or placeholder",IF(AND(AR169=1,OR(NOT(ISNUMBER(X169)),NOT(ISNUMBER(Y169)))),"INVALID – expected/actual qty missing",IF(AND(AR169=1,OR(X169&lt;=0,Y169&lt;0)),"INVALID – expected qty must be above 0 and actual not negative",IF(BB169&lt;&gt;"",BB169,IF(AND(AS169=1,Documents!$J$10&lt;&gt;"ON FILE"),"INVALID – GLD not on file (Documents sheet)",IF(AND(AS169=2,Documents!$O$10&lt;&gt;"ON FILE"),"INVALID – menu checklist not on file (Documents sheet)",IF(AND(AS169=3,NOT(ISNUMBER(Flights!$AX$10))),"INVALID – enter carrying flight KUL departure (Flights AX)",IF(AND(AS169=3,OR(Flights!$AZ$10&gt;Flights!$AA$10,Flights!$AX$10&lt;Flights!$AA$10-3)),"INVALID – carrying flight (Flights AX) cannot arrive before this leg's STD, or is over 3 days early",IF(AG169&gt;AsOfUTC,"INVALID – completion time is in the future",IF(AND(ISNUMBER(S169),AG169&lt;S169),IF(H169="Physical uplift","INVALID – before uplift window (cannot confirm loading)","INVALID – before valid window"),IF(AG169&gt;Flights!$AA$10,"INVALID – completed after departure (cannot establish readiness)",IF(AND(H169="Preparation",AG169&gt;IF(ISNUMBER(Flights!$BA$10),MIN(Flights!$BA$10,Flights!$AA$10),Flights!$AA$10)),"INVALID – completed after loading / departure (cannot establish readiness)",IF(AND(H169="Physical uplift",AG169&gt;Q169),"INVALID – recorded after the loading flight departed",IF(AG169&gt;Q169,"COMPLETE – LATE","COMPLETE"))))))))))))))))))))),IF(TRIM(U169)="Fail","FAIL – DISCREPANCY",IF(AND(TRIM(U169)&lt;&gt;"",TRIM(U169)&lt;&gt;"Not started",TRIM(U169)&lt;&gt;"In progress"),"INVALID – unrecognised status (use the list)",IF(AsOfUTC&gt;Q169,"OVERDUE",IF(N169="Clarification required","OPEN – CLARIFICATION","OPEN"))))))),"INVALID – error value in an input cell")</f>
        <v>OPEN</v>
      </c>
      <c r="AI169" s="61" t="n">
        <f aca="false">IF(OR(AH169="N/A – RULE",AH169="N/A – JUSTIFIED"),0,1)</f>
        <v>1</v>
      </c>
      <c r="AJ169" s="61" t="n">
        <f aca="false">IF(LEFT(AH169,8)="COMPLETE",1,0)</f>
        <v>0</v>
      </c>
      <c r="AK169" s="61" t="n">
        <f aca="false">IF(AND(AI169=1,AJ169=0,AsOfUTC&gt;Q169),1,0)</f>
        <v>0</v>
      </c>
      <c r="AL169" s="61" t="n">
        <f aca="false">IFERROR(IF(AND(AI169=1,OR(TRIM(U169)="Fail",AND(TRIM(AB169)&lt;&gt;"",TRIM(AB169)&lt;&gt;"Closed"),AND(ISNUMBER(AF169),AF169&lt;&gt;0,TRIM(U169)&lt;&gt;"Pass after CA"))),1,0),1)</f>
        <v>0</v>
      </c>
      <c r="AM169" s="61" t="n">
        <f aca="false">IF(LEFT(AH169,7)="INVALID",1,0)</f>
        <v>0</v>
      </c>
      <c r="AN169" s="61" t="n">
        <f aca="false">IF(AND(N169="Clarification required",AI169=1,AJ169=0),1,0)</f>
        <v>0</v>
      </c>
      <c r="AO169" s="61" t="str">
        <f aca="false">IF(AK169=1,SUM(AK$5:AK169),"")</f>
        <v/>
      </c>
      <c r="AP169" s="61" t="str">
        <f aca="false">IF(AL169=1,SUM(AL$5:AL169),"")</f>
        <v/>
      </c>
      <c r="AQ169" s="61" t="n">
        <v>0</v>
      </c>
      <c r="AR169" s="61" t="n">
        <v>0</v>
      </c>
      <c r="AS169" s="61" t="n">
        <v>0</v>
      </c>
      <c r="AT169" s="61" t="n">
        <v>0</v>
      </c>
      <c r="AU169" s="61" t="str">
        <f aca="false">SUBSTITUTE(SUBSTITUTE(SUBSTITUTE(SUBSTITUTE(SUBSTITUTE(SUBSTITUTE(SUBSTITUTE(SUBSTITUTE(SUBSTITUTE(SUBSTITUTE(SUBSTITUTE(SUBSTITUTE(SUBSTITUTE(LOWER(T169&amp;""),CHAR(160),"")," ",""),".",""),"-",""),"/",""),"?",""),"_",""),",",""),"[",""),"]",""),"(",""),")",""),"*","")</f>
        <v/>
      </c>
      <c r="AV169" s="61" t="str">
        <f aca="false">SUBSTITUTE(SUBSTITUTE(SUBSTITUTE(SUBSTITUTE(SUBSTITUTE(SUBSTITUTE(SUBSTITUTE(SUBSTITUTE(SUBSTITUTE(SUBSTITUTE(SUBSTITUTE(SUBSTITUTE(SUBSTITUTE(LOWER(V169&amp;""),CHAR(160),"")," ",""),".",""),"-",""),"/",""),"?",""),"_",""),",",""),"[",""),"]",""),"(",""),")",""),"*","")</f>
        <v/>
      </c>
      <c r="AW169" s="61" t="str">
        <f aca="false">SUBSTITUTE(SUBSTITUTE(SUBSTITUTE(SUBSTITUTE(SUBSTITUTE(SUBSTITUTE(SUBSTITUTE(SUBSTITUTE(SUBSTITUTE(SUBSTITUTE(SUBSTITUTE(SUBSTITUTE(SUBSTITUTE(LOWER(Z169&amp;""),CHAR(160),"")," ",""),".",""),"-",""),"/",""),"?",""),"_",""),",",""),"[",""),"]",""),"(",""),")",""),"*","")</f>
        <v/>
      </c>
      <c r="AX169" s="61" t="str">
        <f aca="false">SUBSTITUTE(SUBSTITUTE(SUBSTITUTE(SUBSTITUTE(SUBSTITUTE(SUBSTITUTE(SUBSTITUTE(SUBSTITUTE(SUBSTITUTE(SUBSTITUTE(SUBSTITUTE(SUBSTITUTE(SUBSTITUTE(LOWER(AE169&amp;""),CHAR(160),"")," ",""),".",""),"-",""),"/",""),"?",""),"_",""),",",""),"[",""),"]",""),"(",""),")",""),"*","")</f>
        <v/>
      </c>
      <c r="AY169" s="61" t="str">
        <f aca="false">SUBSTITUTE(SUBSTITUTE(SUBSTITUTE(SUBSTITUTE(SUBSTITUTE(SUBSTITUTE(SUBSTITUTE(SUBSTITUTE(SUBSTITUTE(SUBSTITUTE(SUBSTITUTE(SUBSTITUTE(SUBSTITUTE(LOWER(W169&amp;""),CHAR(160),"")," ",""),".",""),"-",""),"/",""),"?",""),"_",""),",",""),"[",""),"]",""),"(",""),")",""),"*","")</f>
        <v/>
      </c>
      <c r="AZ169" s="61" t="str">
        <f aca="false">SUBSTITUTE(SUBSTITUTE(SUBSTITUTE(SUBSTITUTE(SUBSTITUTE(SUBSTITUTE(SUBSTITUTE(SUBSTITUTE(SUBSTITUTE(SUBSTITUTE(SUBSTITUTE(SUBSTITUTE(SUBSTITUTE(LOWER(AC169&amp;""),CHAR(160),"")," ",""),".",""),"-",""),"/",""),"?",""),"_",""),",",""),"[",""),"]",""),"(",""),")",""),"*","")</f>
        <v/>
      </c>
      <c r="BA169" s="61" t="str">
        <f aca="false">SUBSTITUTE(SUBSTITUTE(SUBSTITUTE(SUBSTITUTE(SUBSTITUTE(SUBSTITUTE(SUBSTITUTE(SUBSTITUTE(SUBSTITUTE(SUBSTITUTE(SUBSTITUTE(SUBSTITUTE(SUBSTITUTE(LOWER(AA169&amp;""),CHAR(160),"")," ",""),".",""),"-",""),"/",""),"?",""),"_",""),",",""),"[",""),"]",""),"(",""),")",""),"*","")</f>
        <v/>
      </c>
      <c r="BB169" s="61" t="str">
        <f aca="false">IF(AND(TRIM(U169)="Pass",ISNUMBER(AF169)),IF(AF169&lt;&gt;0,"INVALID – qty variance: use Fail or Pass after CA",""),"")&amp;IF(AND(TRIM(U169)="Pass after CA",ISNUMBER(AF169)),IF(AF169&lt;&gt;0,"INVALID – after the corrective action the actual qty must equal expected (update Actual)",""),"")&amp;IF(AND(TRIM(U169)="Pass",TRIM(AB169)&lt;&gt;"",TRIM(AB169)&lt;&gt;"Closed"),"INVALID – corrective action not closed: use Fail, then Pass after CA","")&amp;IF(AND(TRIM(AA169)&lt;&gt;"",TRIM(AB169)=""),"INVALID – CA status missing for the recorded corrective action","")&amp;IF(AND(TRIM(U169)="Pass after CA",OR(OR(LEN(BA169)&lt;5,ISNUMBER(MATCH(BA169,L_Placeholder,0))),TRIM(AB169)&lt;&gt;"Closed")),"INVALID – corrective action not recorded/closed","")</f>
        <v/>
      </c>
    </row>
    <row r="170" customFormat="false" ht="39.75" hidden="false" customHeight="true" outlineLevel="0" collapsed="false">
      <c r="A170" s="57" t="s">
        <v>689</v>
      </c>
      <c r="B170" s="57" t="s">
        <v>228</v>
      </c>
      <c r="C170" s="57" t="str">
        <f aca="false">Flights!$F$10</f>
        <v>MH0002</v>
      </c>
      <c r="D170" s="58" t="n">
        <f aca="false">Flights!$D$10</f>
        <v>46310</v>
      </c>
      <c r="E170" s="57" t="str">
        <f aca="false">Flights!$G$10&amp;"-"&amp;Flights!$H$10</f>
        <v>KUL-LHR</v>
      </c>
      <c r="F170" s="57" t="str">
        <f aca="false">Flights!$K$10</f>
        <v>BC</v>
      </c>
      <c r="G170" s="57" t="s">
        <v>79</v>
      </c>
      <c r="H170" s="57" t="s">
        <v>356</v>
      </c>
      <c r="I170" s="57" t="s">
        <v>376</v>
      </c>
      <c r="J170" s="57" t="s">
        <v>377</v>
      </c>
      <c r="K170" s="67" t="s">
        <v>378</v>
      </c>
      <c r="L170" s="67" t="s">
        <v>360</v>
      </c>
      <c r="M170" s="67"/>
      <c r="N170" s="67" t="s">
        <v>361</v>
      </c>
      <c r="O170" s="67"/>
      <c r="P170" s="57" t="s">
        <v>184</v>
      </c>
      <c r="Q170" s="59" t="n">
        <f aca="false">ROUND((Flights!$AC$10)*1440,0)/1440</f>
        <v>46303.6388888889</v>
      </c>
      <c r="R170" s="59" t="n">
        <f aca="false">Q170+(IF(AND(INDEX(TZ_DSTS,MATCH(P170,TZ_STN,0))&lt;&gt;"",Q170&gt;=INDEX(TZ_DSTS,MATCH(P170,TZ_STN,0)),Q170&lt;INDEX(TZ_DSTE,MATCH(P170,TZ_STN,0))),INDEX(TZ_DST,MATCH(P170,TZ_STN,0)),INDEX(TZ_STD,MATCH(P170,TZ_STN,0))))/24</f>
        <v>46303.9722222222</v>
      </c>
      <c r="S170" s="59" t="n">
        <f aca="false">Q170-T7EarlyD*24/24</f>
        <v>46289.6388888889</v>
      </c>
      <c r="T170" s="60"/>
      <c r="U170" s="60"/>
      <c r="V170" s="60"/>
      <c r="W170" s="61"/>
      <c r="X170" s="60"/>
      <c r="Y170" s="60"/>
      <c r="Z170" s="60"/>
      <c r="AA170" s="60"/>
      <c r="AB170" s="60"/>
      <c r="AC170" s="60"/>
      <c r="AD170" s="66"/>
      <c r="AE170" s="60"/>
      <c r="AF170" s="61" t="str">
        <f aca="false">IF(AND(ISNUMBER(X170),ISNUMBER(Y170)),Y170-X170,"")</f>
        <v/>
      </c>
      <c r="AG170" s="62" t="str">
        <f aca="false">IF(ISNUMBER(AD170),AD170-(IF(AND(INDEX(TZ_DSTS,MATCH(P170,TZ_STN,0))&lt;&gt;"",(AD170-INDEX(TZ_STD,MATCH(P170,TZ_STN,0))/24)&gt;=INDEX(TZ_DSTS,MATCH(P170,TZ_STN,0)),(AD170-INDEX(TZ_STD,MATCH(P170,TZ_STN,0))/24)&lt;INDEX(TZ_DSTE,MATCH(P170,TZ_STN,0))),INDEX(TZ_DST,MATCH(P170,TZ_STN,0)),INDEX(TZ_STD,MATCH(P170,TZ_STN,0))))/24,"")</f>
        <v/>
      </c>
      <c r="AH170" s="65" t="str">
        <f aca="false">IFERROR(IF(N170="N/A – rule","N/A – RULE",IF(TRIM(U170)="N/A",IF(AT170=0,"INVALID – N/A not permitted for this check",IF(AND(TRIM(AB170)&lt;&gt;"",TRIM(AB170)&lt;&gt;"Closed"),"INVALID – corrective action still open",IF(AND(NOT(OR(LEN(AZ170)&lt;15,ISNUMBER(MATCH(AZ170,L_Placeholder,0)))),NOT(OR(LEN(AU170)&lt;2,ISNUMBER(MATCH(AU170,L_Placeholder,0)))),NOT(OR(LEN(AX170)&lt;2,ISNUMBER(MATCH(AX170,L_Placeholder,0)))),TRIM(AE170)&lt;&gt;TRIM(T170)),"N/A – JUSTIFIED","INVALID – N/A needs a real justification (15+ chars), PIC and a different verifier"))),IF(OR(TRIM(U170)="Pass",TRIM(U170)="Pass after CA"),IF(NOT(ISNUMBER(AD170)),"INVALID – completion time missing",IF(OR(LEN(AU170)&lt;2,ISNUMBER(MATCH(AU170,L_Placeholder,0))),"INVALID – PIC missing",IF(OR(LEN(AV170)&lt;2,ISNUMBER(MATCH(AV170,L_Placeholder,0))),"INVALID – result / assessment missing",IF(OR(OR(LEN(AW170)&lt;3,ISNUMBER(MATCH(AW170,L_Placeholder,0))),SUMPRODUCT(--ISNUMBER(SEARCH(L_EvidencePhrase,AW170)))&gt;0),"INVALID – evidence missing, placeholder or not yet on file",IF(OR(LEN(AX170)&lt;2,ISNUMBER(MATCH(AX170,L_Placeholder,0))),"INVALID – verifier missing",IF(AX170=AU170,"INVALID – verifier must be someone other than the PIC",IF(AND(TRIM(U170)="Pass",SUMPRODUCT(--ISNUMBER(SEARCH(L_ResultBad,AV170)))&gt;0),"INVALID – result describes a problem: use Fail, then Pass after CA",IF(AND(AQ170=1,OR(LEN(AY170)&lt;3,ISNUMBER(MATCH(AY170,L_Placeholder,0)))),"INVALID – batch ID missing or placeholder",IF(AND(AR170=1,OR(NOT(ISNUMBER(X170)),NOT(ISNUMBER(Y170)))),"INVALID – expected/actual qty missing",IF(AND(AR170=1,OR(X170&lt;=0,Y170&lt;0)),"INVALID – expected qty must be above 0 and actual not negative",IF(BB170&lt;&gt;"",BB170,IF(AND(AS170=1,Documents!$J$10&lt;&gt;"ON FILE"),"INVALID – GLD not on file (Documents sheet)",IF(AND(AS170=2,Documents!$O$10&lt;&gt;"ON FILE"),"INVALID – menu checklist not on file (Documents sheet)",IF(AND(AS170=3,NOT(ISNUMBER(Flights!$AX$10))),"INVALID – enter carrying flight KUL departure (Flights AX)",IF(AND(AS170=3,OR(Flights!$AZ$10&gt;Flights!$AA$10,Flights!$AX$10&lt;Flights!$AA$10-3)),"INVALID – carrying flight (Flights AX) cannot arrive before this leg's STD, or is over 3 days early",IF(AG170&gt;AsOfUTC,"INVALID – completion time is in the future",IF(AND(ISNUMBER(S170),AG170&lt;S170),IF(H170="Physical uplift","INVALID – before uplift window (cannot confirm loading)","INVALID – before valid window"),IF(AG170&gt;Flights!$AA$10,"INVALID – completed after departure (cannot establish readiness)",IF(AND(H170="Preparation",AG170&gt;IF(ISNUMBER(Flights!$BA$10),MIN(Flights!$BA$10,Flights!$AA$10),Flights!$AA$10)),"INVALID – completed after loading / departure (cannot establish readiness)",IF(AND(H170="Physical uplift",AG170&gt;Q170),"INVALID – recorded after the loading flight departed",IF(AG170&gt;Q170,"COMPLETE – LATE","COMPLETE"))))))))))))))))))))),IF(TRIM(U170)="Fail","FAIL – DISCREPANCY",IF(AND(TRIM(U170)&lt;&gt;"",TRIM(U170)&lt;&gt;"Not started",TRIM(U170)&lt;&gt;"In progress"),"INVALID – unrecognised status (use the list)",IF(AsOfUTC&gt;Q170,"OVERDUE",IF(N170="Clarification required","OPEN – CLARIFICATION","OPEN"))))))),"INVALID – error value in an input cell")</f>
        <v>OPEN</v>
      </c>
      <c r="AI170" s="61" t="n">
        <f aca="false">IF(OR(AH170="N/A – RULE",AH170="N/A – JUSTIFIED"),0,1)</f>
        <v>1</v>
      </c>
      <c r="AJ170" s="61" t="n">
        <f aca="false">IF(LEFT(AH170,8)="COMPLETE",1,0)</f>
        <v>0</v>
      </c>
      <c r="AK170" s="61" t="n">
        <f aca="false">IF(AND(AI170=1,AJ170=0,AsOfUTC&gt;Q170),1,0)</f>
        <v>0</v>
      </c>
      <c r="AL170" s="61" t="n">
        <f aca="false">IFERROR(IF(AND(AI170=1,OR(TRIM(U170)="Fail",AND(TRIM(AB170)&lt;&gt;"",TRIM(AB170)&lt;&gt;"Closed"),AND(ISNUMBER(AF170),AF170&lt;&gt;0,TRIM(U170)&lt;&gt;"Pass after CA"))),1,0),1)</f>
        <v>0</v>
      </c>
      <c r="AM170" s="61" t="n">
        <f aca="false">IF(LEFT(AH170,7)="INVALID",1,0)</f>
        <v>0</v>
      </c>
      <c r="AN170" s="61" t="n">
        <f aca="false">IF(AND(N170="Clarification required",AI170=1,AJ170=0),1,0)</f>
        <v>0</v>
      </c>
      <c r="AO170" s="61" t="str">
        <f aca="false">IF(AK170=1,SUM(AK$5:AK170),"")</f>
        <v/>
      </c>
      <c r="AP170" s="61" t="str">
        <f aca="false">IF(AL170=1,SUM(AL$5:AL170),"")</f>
        <v/>
      </c>
      <c r="AQ170" s="61" t="n">
        <v>0</v>
      </c>
      <c r="AR170" s="61" t="n">
        <v>0</v>
      </c>
      <c r="AS170" s="61" t="n">
        <v>0</v>
      </c>
      <c r="AT170" s="61" t="n">
        <v>0</v>
      </c>
      <c r="AU170" s="61" t="str">
        <f aca="false">SUBSTITUTE(SUBSTITUTE(SUBSTITUTE(SUBSTITUTE(SUBSTITUTE(SUBSTITUTE(SUBSTITUTE(SUBSTITUTE(SUBSTITUTE(SUBSTITUTE(SUBSTITUTE(SUBSTITUTE(SUBSTITUTE(LOWER(T170&amp;""),CHAR(160),"")," ",""),".",""),"-",""),"/",""),"?",""),"_",""),",",""),"[",""),"]",""),"(",""),")",""),"*","")</f>
        <v/>
      </c>
      <c r="AV170" s="61" t="str">
        <f aca="false">SUBSTITUTE(SUBSTITUTE(SUBSTITUTE(SUBSTITUTE(SUBSTITUTE(SUBSTITUTE(SUBSTITUTE(SUBSTITUTE(SUBSTITUTE(SUBSTITUTE(SUBSTITUTE(SUBSTITUTE(SUBSTITUTE(LOWER(V170&amp;""),CHAR(160),"")," ",""),".",""),"-",""),"/",""),"?",""),"_",""),",",""),"[",""),"]",""),"(",""),")",""),"*","")</f>
        <v/>
      </c>
      <c r="AW170" s="61" t="str">
        <f aca="false">SUBSTITUTE(SUBSTITUTE(SUBSTITUTE(SUBSTITUTE(SUBSTITUTE(SUBSTITUTE(SUBSTITUTE(SUBSTITUTE(SUBSTITUTE(SUBSTITUTE(SUBSTITUTE(SUBSTITUTE(SUBSTITUTE(LOWER(Z170&amp;""),CHAR(160),"")," ",""),".",""),"-",""),"/",""),"?",""),"_",""),",",""),"[",""),"]",""),"(",""),")",""),"*","")</f>
        <v/>
      </c>
      <c r="AX170" s="61" t="str">
        <f aca="false">SUBSTITUTE(SUBSTITUTE(SUBSTITUTE(SUBSTITUTE(SUBSTITUTE(SUBSTITUTE(SUBSTITUTE(SUBSTITUTE(SUBSTITUTE(SUBSTITUTE(SUBSTITUTE(SUBSTITUTE(SUBSTITUTE(LOWER(AE170&amp;""),CHAR(160),"")," ",""),".",""),"-",""),"/",""),"?",""),"_",""),",",""),"[",""),"]",""),"(",""),")",""),"*","")</f>
        <v/>
      </c>
      <c r="AY170" s="61" t="str">
        <f aca="false">SUBSTITUTE(SUBSTITUTE(SUBSTITUTE(SUBSTITUTE(SUBSTITUTE(SUBSTITUTE(SUBSTITUTE(SUBSTITUTE(SUBSTITUTE(SUBSTITUTE(SUBSTITUTE(SUBSTITUTE(SUBSTITUTE(LOWER(W170&amp;""),CHAR(160),"")," ",""),".",""),"-",""),"/",""),"?",""),"_",""),",",""),"[",""),"]",""),"(",""),")",""),"*","")</f>
        <v/>
      </c>
      <c r="AZ170" s="61" t="str">
        <f aca="false">SUBSTITUTE(SUBSTITUTE(SUBSTITUTE(SUBSTITUTE(SUBSTITUTE(SUBSTITUTE(SUBSTITUTE(SUBSTITUTE(SUBSTITUTE(SUBSTITUTE(SUBSTITUTE(SUBSTITUTE(SUBSTITUTE(LOWER(AC170&amp;""),CHAR(160),"")," ",""),".",""),"-",""),"/",""),"?",""),"_",""),",",""),"[",""),"]",""),"(",""),")",""),"*","")</f>
        <v/>
      </c>
      <c r="BA170" s="61" t="str">
        <f aca="false">SUBSTITUTE(SUBSTITUTE(SUBSTITUTE(SUBSTITUTE(SUBSTITUTE(SUBSTITUTE(SUBSTITUTE(SUBSTITUTE(SUBSTITUTE(SUBSTITUTE(SUBSTITUTE(SUBSTITUTE(SUBSTITUTE(LOWER(AA170&amp;""),CHAR(160),"")," ",""),".",""),"-",""),"/",""),"?",""),"_",""),",",""),"[",""),"]",""),"(",""),")",""),"*","")</f>
        <v/>
      </c>
      <c r="BB170" s="61" t="str">
        <f aca="false">IF(AND(TRIM(U170)="Pass",ISNUMBER(AF170)),IF(AF170&lt;&gt;0,"INVALID – qty variance: use Fail or Pass after CA",""),"")&amp;IF(AND(TRIM(U170)="Pass after CA",ISNUMBER(AF170)),IF(AF170&lt;&gt;0,"INVALID – after the corrective action the actual qty must equal expected (update Actual)",""),"")&amp;IF(AND(TRIM(U170)="Pass",TRIM(AB170)&lt;&gt;"",TRIM(AB170)&lt;&gt;"Closed"),"INVALID – corrective action not closed: use Fail, then Pass after CA","")&amp;IF(AND(TRIM(AA170)&lt;&gt;"",TRIM(AB170)=""),"INVALID – CA status missing for the recorded corrective action","")&amp;IF(AND(TRIM(U170)="Pass after CA",OR(OR(LEN(BA170)&lt;5,ISNUMBER(MATCH(BA170,L_Placeholder,0))),TRIM(AB170)&lt;&gt;"Closed")),"INVALID – corrective action not recorded/closed","")</f>
        <v/>
      </c>
    </row>
    <row r="171" customFormat="false" ht="39.75" hidden="false" customHeight="true" outlineLevel="0" collapsed="false">
      <c r="A171" s="57" t="s">
        <v>690</v>
      </c>
      <c r="B171" s="57" t="s">
        <v>228</v>
      </c>
      <c r="C171" s="57" t="str">
        <f aca="false">Flights!$F$10</f>
        <v>MH0002</v>
      </c>
      <c r="D171" s="58" t="n">
        <f aca="false">Flights!$D$10</f>
        <v>46310</v>
      </c>
      <c r="E171" s="57" t="str">
        <f aca="false">Flights!$G$10&amp;"-"&amp;Flights!$H$10</f>
        <v>KUL-LHR</v>
      </c>
      <c r="F171" s="57" t="str">
        <f aca="false">Flights!$K$10</f>
        <v>BC</v>
      </c>
      <c r="G171" s="57" t="s">
        <v>79</v>
      </c>
      <c r="H171" s="57" t="s">
        <v>356</v>
      </c>
      <c r="I171" s="57" t="s">
        <v>376</v>
      </c>
      <c r="J171" s="57" t="s">
        <v>380</v>
      </c>
      <c r="K171" s="67" t="s">
        <v>381</v>
      </c>
      <c r="L171" s="67" t="s">
        <v>360</v>
      </c>
      <c r="M171" s="67"/>
      <c r="N171" s="67" t="s">
        <v>361</v>
      </c>
      <c r="O171" s="67"/>
      <c r="P171" s="57" t="s">
        <v>184</v>
      </c>
      <c r="Q171" s="59" t="n">
        <f aca="false">ROUND((Flights!$AC$10)*1440,0)/1440</f>
        <v>46303.6388888889</v>
      </c>
      <c r="R171" s="59" t="n">
        <f aca="false">Q171+(IF(AND(INDEX(TZ_DSTS,MATCH(P171,TZ_STN,0))&lt;&gt;"",Q171&gt;=INDEX(TZ_DSTS,MATCH(P171,TZ_STN,0)),Q171&lt;INDEX(TZ_DSTE,MATCH(P171,TZ_STN,0))),INDEX(TZ_DST,MATCH(P171,TZ_STN,0)),INDEX(TZ_STD,MATCH(P171,TZ_STN,0))))/24</f>
        <v>46303.9722222222</v>
      </c>
      <c r="S171" s="59" t="n">
        <f aca="false">Q171-T7EarlyD*24/24</f>
        <v>46289.6388888889</v>
      </c>
      <c r="T171" s="60"/>
      <c r="U171" s="60"/>
      <c r="V171" s="60"/>
      <c r="W171" s="61"/>
      <c r="X171" s="60"/>
      <c r="Y171" s="60"/>
      <c r="Z171" s="60"/>
      <c r="AA171" s="60"/>
      <c r="AB171" s="60"/>
      <c r="AC171" s="60"/>
      <c r="AD171" s="66"/>
      <c r="AE171" s="60"/>
      <c r="AF171" s="61" t="str">
        <f aca="false">IF(AND(ISNUMBER(X171),ISNUMBER(Y171)),Y171-X171,"")</f>
        <v/>
      </c>
      <c r="AG171" s="62" t="str">
        <f aca="false">IF(ISNUMBER(AD171),AD171-(IF(AND(INDEX(TZ_DSTS,MATCH(P171,TZ_STN,0))&lt;&gt;"",(AD171-INDEX(TZ_STD,MATCH(P171,TZ_STN,0))/24)&gt;=INDEX(TZ_DSTS,MATCH(P171,TZ_STN,0)),(AD171-INDEX(TZ_STD,MATCH(P171,TZ_STN,0))/24)&lt;INDEX(TZ_DSTE,MATCH(P171,TZ_STN,0))),INDEX(TZ_DST,MATCH(P171,TZ_STN,0)),INDEX(TZ_STD,MATCH(P171,TZ_STN,0))))/24,"")</f>
        <v/>
      </c>
      <c r="AH171" s="65" t="str">
        <f aca="false">IFERROR(IF(N171="N/A – rule","N/A – RULE",IF(TRIM(U171)="N/A",IF(AT171=0,"INVALID – N/A not permitted for this check",IF(AND(TRIM(AB171)&lt;&gt;"",TRIM(AB171)&lt;&gt;"Closed"),"INVALID – corrective action still open",IF(AND(NOT(OR(LEN(AZ171)&lt;15,ISNUMBER(MATCH(AZ171,L_Placeholder,0)))),NOT(OR(LEN(AU171)&lt;2,ISNUMBER(MATCH(AU171,L_Placeholder,0)))),NOT(OR(LEN(AX171)&lt;2,ISNUMBER(MATCH(AX171,L_Placeholder,0)))),TRIM(AE171)&lt;&gt;TRIM(T171)),"N/A – JUSTIFIED","INVALID – N/A needs a real justification (15+ chars), PIC and a different verifier"))),IF(OR(TRIM(U171)="Pass",TRIM(U171)="Pass after CA"),IF(NOT(ISNUMBER(AD171)),"INVALID – completion time missing",IF(OR(LEN(AU171)&lt;2,ISNUMBER(MATCH(AU171,L_Placeholder,0))),"INVALID – PIC missing",IF(OR(LEN(AV171)&lt;2,ISNUMBER(MATCH(AV171,L_Placeholder,0))),"INVALID – result / assessment missing",IF(OR(OR(LEN(AW171)&lt;3,ISNUMBER(MATCH(AW171,L_Placeholder,0))),SUMPRODUCT(--ISNUMBER(SEARCH(L_EvidencePhrase,AW171)))&gt;0),"INVALID – evidence missing, placeholder or not yet on file",IF(OR(LEN(AX171)&lt;2,ISNUMBER(MATCH(AX171,L_Placeholder,0))),"INVALID – verifier missing",IF(AX171=AU171,"INVALID – verifier must be someone other than the PIC",IF(AND(TRIM(U171)="Pass",SUMPRODUCT(--ISNUMBER(SEARCH(L_ResultBad,AV171)))&gt;0),"INVALID – result describes a problem: use Fail, then Pass after CA",IF(AND(AQ171=1,OR(LEN(AY171)&lt;3,ISNUMBER(MATCH(AY171,L_Placeholder,0)))),"INVALID – batch ID missing or placeholder",IF(AND(AR171=1,OR(NOT(ISNUMBER(X171)),NOT(ISNUMBER(Y171)))),"INVALID – expected/actual qty missing",IF(AND(AR171=1,OR(X171&lt;=0,Y171&lt;0)),"INVALID – expected qty must be above 0 and actual not negative",IF(BB171&lt;&gt;"",BB171,IF(AND(AS171=1,Documents!$J$10&lt;&gt;"ON FILE"),"INVALID – GLD not on file (Documents sheet)",IF(AND(AS171=2,Documents!$O$10&lt;&gt;"ON FILE"),"INVALID – menu checklist not on file (Documents sheet)",IF(AND(AS171=3,NOT(ISNUMBER(Flights!$AX$10))),"INVALID – enter carrying flight KUL departure (Flights AX)",IF(AND(AS171=3,OR(Flights!$AZ$10&gt;Flights!$AA$10,Flights!$AX$10&lt;Flights!$AA$10-3)),"INVALID – carrying flight (Flights AX) cannot arrive before this leg's STD, or is over 3 days early",IF(AG171&gt;AsOfUTC,"INVALID – completion time is in the future",IF(AND(ISNUMBER(S171),AG171&lt;S171),IF(H171="Physical uplift","INVALID – before uplift window (cannot confirm loading)","INVALID – before valid window"),IF(AG171&gt;Flights!$AA$10,"INVALID – completed after departure (cannot establish readiness)",IF(AND(H171="Preparation",AG171&gt;IF(ISNUMBER(Flights!$BA$10),MIN(Flights!$BA$10,Flights!$AA$10),Flights!$AA$10)),"INVALID – completed after loading / departure (cannot establish readiness)",IF(AND(H171="Physical uplift",AG171&gt;Q171),"INVALID – recorded after the loading flight departed",IF(AG171&gt;Q171,"COMPLETE – LATE","COMPLETE"))))))))))))))))))))),IF(TRIM(U171)="Fail","FAIL – DISCREPANCY",IF(AND(TRIM(U171)&lt;&gt;"",TRIM(U171)&lt;&gt;"Not started",TRIM(U171)&lt;&gt;"In progress"),"INVALID – unrecognised status (use the list)",IF(AsOfUTC&gt;Q171,"OVERDUE",IF(N171="Clarification required","OPEN – CLARIFICATION","OPEN"))))))),"INVALID – error value in an input cell")</f>
        <v>OPEN</v>
      </c>
      <c r="AI171" s="61" t="n">
        <f aca="false">IF(OR(AH171="N/A – RULE",AH171="N/A – JUSTIFIED"),0,1)</f>
        <v>1</v>
      </c>
      <c r="AJ171" s="61" t="n">
        <f aca="false">IF(LEFT(AH171,8)="COMPLETE",1,0)</f>
        <v>0</v>
      </c>
      <c r="AK171" s="61" t="n">
        <f aca="false">IF(AND(AI171=1,AJ171=0,AsOfUTC&gt;Q171),1,0)</f>
        <v>0</v>
      </c>
      <c r="AL171" s="61" t="n">
        <f aca="false">IFERROR(IF(AND(AI171=1,OR(TRIM(U171)="Fail",AND(TRIM(AB171)&lt;&gt;"",TRIM(AB171)&lt;&gt;"Closed"),AND(ISNUMBER(AF171),AF171&lt;&gt;0,TRIM(U171)&lt;&gt;"Pass after CA"))),1,0),1)</f>
        <v>0</v>
      </c>
      <c r="AM171" s="61" t="n">
        <f aca="false">IF(LEFT(AH171,7)="INVALID",1,0)</f>
        <v>0</v>
      </c>
      <c r="AN171" s="61" t="n">
        <f aca="false">IF(AND(N171="Clarification required",AI171=1,AJ171=0),1,0)</f>
        <v>0</v>
      </c>
      <c r="AO171" s="61" t="str">
        <f aca="false">IF(AK171=1,SUM(AK$5:AK171),"")</f>
        <v/>
      </c>
      <c r="AP171" s="61" t="str">
        <f aca="false">IF(AL171=1,SUM(AL$5:AL171),"")</f>
        <v/>
      </c>
      <c r="AQ171" s="61" t="n">
        <v>0</v>
      </c>
      <c r="AR171" s="61" t="n">
        <v>0</v>
      </c>
      <c r="AS171" s="61" t="n">
        <v>0</v>
      </c>
      <c r="AT171" s="61" t="n">
        <v>0</v>
      </c>
      <c r="AU171" s="61" t="str">
        <f aca="false">SUBSTITUTE(SUBSTITUTE(SUBSTITUTE(SUBSTITUTE(SUBSTITUTE(SUBSTITUTE(SUBSTITUTE(SUBSTITUTE(SUBSTITUTE(SUBSTITUTE(SUBSTITUTE(SUBSTITUTE(SUBSTITUTE(LOWER(T171&amp;""),CHAR(160),"")," ",""),".",""),"-",""),"/",""),"?",""),"_",""),",",""),"[",""),"]",""),"(",""),")",""),"*","")</f>
        <v/>
      </c>
      <c r="AV171" s="61" t="str">
        <f aca="false">SUBSTITUTE(SUBSTITUTE(SUBSTITUTE(SUBSTITUTE(SUBSTITUTE(SUBSTITUTE(SUBSTITUTE(SUBSTITUTE(SUBSTITUTE(SUBSTITUTE(SUBSTITUTE(SUBSTITUTE(SUBSTITUTE(LOWER(V171&amp;""),CHAR(160),"")," ",""),".",""),"-",""),"/",""),"?",""),"_",""),",",""),"[",""),"]",""),"(",""),")",""),"*","")</f>
        <v/>
      </c>
      <c r="AW171" s="61" t="str">
        <f aca="false">SUBSTITUTE(SUBSTITUTE(SUBSTITUTE(SUBSTITUTE(SUBSTITUTE(SUBSTITUTE(SUBSTITUTE(SUBSTITUTE(SUBSTITUTE(SUBSTITUTE(SUBSTITUTE(SUBSTITUTE(SUBSTITUTE(LOWER(Z171&amp;""),CHAR(160),"")," ",""),".",""),"-",""),"/",""),"?",""),"_",""),",",""),"[",""),"]",""),"(",""),")",""),"*","")</f>
        <v/>
      </c>
      <c r="AX171" s="61" t="str">
        <f aca="false">SUBSTITUTE(SUBSTITUTE(SUBSTITUTE(SUBSTITUTE(SUBSTITUTE(SUBSTITUTE(SUBSTITUTE(SUBSTITUTE(SUBSTITUTE(SUBSTITUTE(SUBSTITUTE(SUBSTITUTE(SUBSTITUTE(LOWER(AE171&amp;""),CHAR(160),"")," ",""),".",""),"-",""),"/",""),"?",""),"_",""),",",""),"[",""),"]",""),"(",""),")",""),"*","")</f>
        <v/>
      </c>
      <c r="AY171" s="61" t="str">
        <f aca="false">SUBSTITUTE(SUBSTITUTE(SUBSTITUTE(SUBSTITUTE(SUBSTITUTE(SUBSTITUTE(SUBSTITUTE(SUBSTITUTE(SUBSTITUTE(SUBSTITUTE(SUBSTITUTE(SUBSTITUTE(SUBSTITUTE(LOWER(W171&amp;""),CHAR(160),"")," ",""),".",""),"-",""),"/",""),"?",""),"_",""),",",""),"[",""),"]",""),"(",""),")",""),"*","")</f>
        <v/>
      </c>
      <c r="AZ171" s="61" t="str">
        <f aca="false">SUBSTITUTE(SUBSTITUTE(SUBSTITUTE(SUBSTITUTE(SUBSTITUTE(SUBSTITUTE(SUBSTITUTE(SUBSTITUTE(SUBSTITUTE(SUBSTITUTE(SUBSTITUTE(SUBSTITUTE(SUBSTITUTE(LOWER(AC171&amp;""),CHAR(160),"")," ",""),".",""),"-",""),"/",""),"?",""),"_",""),",",""),"[",""),"]",""),"(",""),")",""),"*","")</f>
        <v/>
      </c>
      <c r="BA171" s="61" t="str">
        <f aca="false">SUBSTITUTE(SUBSTITUTE(SUBSTITUTE(SUBSTITUTE(SUBSTITUTE(SUBSTITUTE(SUBSTITUTE(SUBSTITUTE(SUBSTITUTE(SUBSTITUTE(SUBSTITUTE(SUBSTITUTE(SUBSTITUTE(LOWER(AA171&amp;""),CHAR(160),"")," ",""),".",""),"-",""),"/",""),"?",""),"_",""),",",""),"[",""),"]",""),"(",""),")",""),"*","")</f>
        <v/>
      </c>
      <c r="BB171" s="61" t="str">
        <f aca="false">IF(AND(TRIM(U171)="Pass",ISNUMBER(AF171)),IF(AF171&lt;&gt;0,"INVALID – qty variance: use Fail or Pass after CA",""),"")&amp;IF(AND(TRIM(U171)="Pass after CA",ISNUMBER(AF171)),IF(AF171&lt;&gt;0,"INVALID – after the corrective action the actual qty must equal expected (update Actual)",""),"")&amp;IF(AND(TRIM(U171)="Pass",TRIM(AB171)&lt;&gt;"",TRIM(AB171)&lt;&gt;"Closed"),"INVALID – corrective action not closed: use Fail, then Pass after CA","")&amp;IF(AND(TRIM(AA171)&lt;&gt;"",TRIM(AB171)=""),"INVALID – CA status missing for the recorded corrective action","")&amp;IF(AND(TRIM(U171)="Pass after CA",OR(OR(LEN(BA171)&lt;5,ISNUMBER(MATCH(BA171,L_Placeholder,0))),TRIM(AB171)&lt;&gt;"Closed")),"INVALID – corrective action not recorded/closed","")</f>
        <v/>
      </c>
    </row>
    <row r="172" customFormat="false" ht="39.75" hidden="false" customHeight="true" outlineLevel="0" collapsed="false">
      <c r="A172" s="57" t="s">
        <v>691</v>
      </c>
      <c r="B172" s="57" t="s">
        <v>228</v>
      </c>
      <c r="C172" s="57" t="str">
        <f aca="false">Flights!$F$10</f>
        <v>MH0002</v>
      </c>
      <c r="D172" s="58" t="n">
        <f aca="false">Flights!$D$10</f>
        <v>46310</v>
      </c>
      <c r="E172" s="57" t="str">
        <f aca="false">Flights!$G$10&amp;"-"&amp;Flights!$H$10</f>
        <v>KUL-LHR</v>
      </c>
      <c r="F172" s="57" t="str">
        <f aca="false">Flights!$K$10</f>
        <v>BC</v>
      </c>
      <c r="G172" s="57" t="s">
        <v>79</v>
      </c>
      <c r="H172" s="57" t="s">
        <v>356</v>
      </c>
      <c r="I172" s="57" t="s">
        <v>383</v>
      </c>
      <c r="J172" s="57" t="s">
        <v>384</v>
      </c>
      <c r="K172" s="67" t="s">
        <v>385</v>
      </c>
      <c r="L172" s="67" t="s">
        <v>360</v>
      </c>
      <c r="M172" s="67"/>
      <c r="N172" s="67" t="s">
        <v>361</v>
      </c>
      <c r="O172" s="67"/>
      <c r="P172" s="57" t="s">
        <v>184</v>
      </c>
      <c r="Q172" s="59" t="n">
        <f aca="false">ROUND((Flights!$AC$10)*1440,0)/1440</f>
        <v>46303.6388888889</v>
      </c>
      <c r="R172" s="59" t="n">
        <f aca="false">Q172+(IF(AND(INDEX(TZ_DSTS,MATCH(P172,TZ_STN,0))&lt;&gt;"",Q172&gt;=INDEX(TZ_DSTS,MATCH(P172,TZ_STN,0)),Q172&lt;INDEX(TZ_DSTE,MATCH(P172,TZ_STN,0))),INDEX(TZ_DST,MATCH(P172,TZ_STN,0)),INDEX(TZ_STD,MATCH(P172,TZ_STN,0))))/24</f>
        <v>46303.9722222222</v>
      </c>
      <c r="S172" s="59" t="n">
        <f aca="false">Q172-T7EarlyD*24/24</f>
        <v>46289.6388888889</v>
      </c>
      <c r="T172" s="60"/>
      <c r="U172" s="60"/>
      <c r="V172" s="60"/>
      <c r="W172" s="61"/>
      <c r="X172" s="60"/>
      <c r="Y172" s="60"/>
      <c r="Z172" s="60"/>
      <c r="AA172" s="60"/>
      <c r="AB172" s="60"/>
      <c r="AC172" s="60"/>
      <c r="AD172" s="66"/>
      <c r="AE172" s="60"/>
      <c r="AF172" s="61" t="str">
        <f aca="false">IF(AND(ISNUMBER(X172),ISNUMBER(Y172)),Y172-X172,"")</f>
        <v/>
      </c>
      <c r="AG172" s="62" t="str">
        <f aca="false">IF(ISNUMBER(AD172),AD172-(IF(AND(INDEX(TZ_DSTS,MATCH(P172,TZ_STN,0))&lt;&gt;"",(AD172-INDEX(TZ_STD,MATCH(P172,TZ_STN,0))/24)&gt;=INDEX(TZ_DSTS,MATCH(P172,TZ_STN,0)),(AD172-INDEX(TZ_STD,MATCH(P172,TZ_STN,0))/24)&lt;INDEX(TZ_DSTE,MATCH(P172,TZ_STN,0))),INDEX(TZ_DST,MATCH(P172,TZ_STN,0)),INDEX(TZ_STD,MATCH(P172,TZ_STN,0))))/24,"")</f>
        <v/>
      </c>
      <c r="AH172" s="65" t="str">
        <f aca="false">IFERROR(IF(N172="N/A – rule","N/A – RULE",IF(TRIM(U172)="N/A",IF(AT172=0,"INVALID – N/A not permitted for this check",IF(AND(TRIM(AB172)&lt;&gt;"",TRIM(AB172)&lt;&gt;"Closed"),"INVALID – corrective action still open",IF(AND(NOT(OR(LEN(AZ172)&lt;15,ISNUMBER(MATCH(AZ172,L_Placeholder,0)))),NOT(OR(LEN(AU172)&lt;2,ISNUMBER(MATCH(AU172,L_Placeholder,0)))),NOT(OR(LEN(AX172)&lt;2,ISNUMBER(MATCH(AX172,L_Placeholder,0)))),TRIM(AE172)&lt;&gt;TRIM(T172)),"N/A – JUSTIFIED","INVALID – N/A needs a real justification (15+ chars), PIC and a different verifier"))),IF(OR(TRIM(U172)="Pass",TRIM(U172)="Pass after CA"),IF(NOT(ISNUMBER(AD172)),"INVALID – completion time missing",IF(OR(LEN(AU172)&lt;2,ISNUMBER(MATCH(AU172,L_Placeholder,0))),"INVALID – PIC missing",IF(OR(LEN(AV172)&lt;2,ISNUMBER(MATCH(AV172,L_Placeholder,0))),"INVALID – result / assessment missing",IF(OR(OR(LEN(AW172)&lt;3,ISNUMBER(MATCH(AW172,L_Placeholder,0))),SUMPRODUCT(--ISNUMBER(SEARCH(L_EvidencePhrase,AW172)))&gt;0),"INVALID – evidence missing, placeholder or not yet on file",IF(OR(LEN(AX172)&lt;2,ISNUMBER(MATCH(AX172,L_Placeholder,0))),"INVALID – verifier missing",IF(AX172=AU172,"INVALID – verifier must be someone other than the PIC",IF(AND(TRIM(U172)="Pass",SUMPRODUCT(--ISNUMBER(SEARCH(L_ResultBad,AV172)))&gt;0),"INVALID – result describes a problem: use Fail, then Pass after CA",IF(AND(AQ172=1,OR(LEN(AY172)&lt;3,ISNUMBER(MATCH(AY172,L_Placeholder,0)))),"INVALID – batch ID missing or placeholder",IF(AND(AR172=1,OR(NOT(ISNUMBER(X172)),NOT(ISNUMBER(Y172)))),"INVALID – expected/actual qty missing",IF(AND(AR172=1,OR(X172&lt;=0,Y172&lt;0)),"INVALID – expected qty must be above 0 and actual not negative",IF(BB172&lt;&gt;"",BB172,IF(AND(AS172=1,Documents!$J$10&lt;&gt;"ON FILE"),"INVALID – GLD not on file (Documents sheet)",IF(AND(AS172=2,Documents!$O$10&lt;&gt;"ON FILE"),"INVALID – menu checklist not on file (Documents sheet)",IF(AND(AS172=3,NOT(ISNUMBER(Flights!$AX$10))),"INVALID – enter carrying flight KUL departure (Flights AX)",IF(AND(AS172=3,OR(Flights!$AZ$10&gt;Flights!$AA$10,Flights!$AX$10&lt;Flights!$AA$10-3)),"INVALID – carrying flight (Flights AX) cannot arrive before this leg's STD, or is over 3 days early",IF(AG172&gt;AsOfUTC,"INVALID – completion time is in the future",IF(AND(ISNUMBER(S172),AG172&lt;S172),IF(H172="Physical uplift","INVALID – before uplift window (cannot confirm loading)","INVALID – before valid window"),IF(AG172&gt;Flights!$AA$10,"INVALID – completed after departure (cannot establish readiness)",IF(AND(H172="Preparation",AG172&gt;IF(ISNUMBER(Flights!$BA$10),MIN(Flights!$BA$10,Flights!$AA$10),Flights!$AA$10)),"INVALID – completed after loading / departure (cannot establish readiness)",IF(AND(H172="Physical uplift",AG172&gt;Q172),"INVALID – recorded after the loading flight departed",IF(AG172&gt;Q172,"COMPLETE – LATE","COMPLETE"))))))))))))))))))))),IF(TRIM(U172)="Fail","FAIL – DISCREPANCY",IF(AND(TRIM(U172)&lt;&gt;"",TRIM(U172)&lt;&gt;"Not started",TRIM(U172)&lt;&gt;"In progress"),"INVALID – unrecognised status (use the list)",IF(AsOfUTC&gt;Q172,"OVERDUE",IF(N172="Clarification required","OPEN – CLARIFICATION","OPEN"))))))),"INVALID – error value in an input cell")</f>
        <v>OPEN</v>
      </c>
      <c r="AI172" s="61" t="n">
        <f aca="false">IF(OR(AH172="N/A – RULE",AH172="N/A – JUSTIFIED"),0,1)</f>
        <v>1</v>
      </c>
      <c r="AJ172" s="61" t="n">
        <f aca="false">IF(LEFT(AH172,8)="COMPLETE",1,0)</f>
        <v>0</v>
      </c>
      <c r="AK172" s="61" t="n">
        <f aca="false">IF(AND(AI172=1,AJ172=0,AsOfUTC&gt;Q172),1,0)</f>
        <v>0</v>
      </c>
      <c r="AL172" s="61" t="n">
        <f aca="false">IFERROR(IF(AND(AI172=1,OR(TRIM(U172)="Fail",AND(TRIM(AB172)&lt;&gt;"",TRIM(AB172)&lt;&gt;"Closed"),AND(ISNUMBER(AF172),AF172&lt;&gt;0,TRIM(U172)&lt;&gt;"Pass after CA"))),1,0),1)</f>
        <v>0</v>
      </c>
      <c r="AM172" s="61" t="n">
        <f aca="false">IF(LEFT(AH172,7)="INVALID",1,0)</f>
        <v>0</v>
      </c>
      <c r="AN172" s="61" t="n">
        <f aca="false">IF(AND(N172="Clarification required",AI172=1,AJ172=0),1,0)</f>
        <v>0</v>
      </c>
      <c r="AO172" s="61" t="str">
        <f aca="false">IF(AK172=1,SUM(AK$5:AK172),"")</f>
        <v/>
      </c>
      <c r="AP172" s="61" t="str">
        <f aca="false">IF(AL172=1,SUM(AL$5:AL172),"")</f>
        <v/>
      </c>
      <c r="AQ172" s="61" t="n">
        <v>0</v>
      </c>
      <c r="AR172" s="61" t="n">
        <v>0</v>
      </c>
      <c r="AS172" s="61" t="n">
        <v>1</v>
      </c>
      <c r="AT172" s="61" t="n">
        <v>0</v>
      </c>
      <c r="AU172" s="61" t="str">
        <f aca="false">SUBSTITUTE(SUBSTITUTE(SUBSTITUTE(SUBSTITUTE(SUBSTITUTE(SUBSTITUTE(SUBSTITUTE(SUBSTITUTE(SUBSTITUTE(SUBSTITUTE(SUBSTITUTE(SUBSTITUTE(SUBSTITUTE(LOWER(T172&amp;""),CHAR(160),"")," ",""),".",""),"-",""),"/",""),"?",""),"_",""),",",""),"[",""),"]",""),"(",""),")",""),"*","")</f>
        <v/>
      </c>
      <c r="AV172" s="61" t="str">
        <f aca="false">SUBSTITUTE(SUBSTITUTE(SUBSTITUTE(SUBSTITUTE(SUBSTITUTE(SUBSTITUTE(SUBSTITUTE(SUBSTITUTE(SUBSTITUTE(SUBSTITUTE(SUBSTITUTE(SUBSTITUTE(SUBSTITUTE(LOWER(V172&amp;""),CHAR(160),"")," ",""),".",""),"-",""),"/",""),"?",""),"_",""),",",""),"[",""),"]",""),"(",""),")",""),"*","")</f>
        <v/>
      </c>
      <c r="AW172" s="61" t="str">
        <f aca="false">SUBSTITUTE(SUBSTITUTE(SUBSTITUTE(SUBSTITUTE(SUBSTITUTE(SUBSTITUTE(SUBSTITUTE(SUBSTITUTE(SUBSTITUTE(SUBSTITUTE(SUBSTITUTE(SUBSTITUTE(SUBSTITUTE(LOWER(Z172&amp;""),CHAR(160),"")," ",""),".",""),"-",""),"/",""),"?",""),"_",""),",",""),"[",""),"]",""),"(",""),")",""),"*","")</f>
        <v/>
      </c>
      <c r="AX172" s="61" t="str">
        <f aca="false">SUBSTITUTE(SUBSTITUTE(SUBSTITUTE(SUBSTITUTE(SUBSTITUTE(SUBSTITUTE(SUBSTITUTE(SUBSTITUTE(SUBSTITUTE(SUBSTITUTE(SUBSTITUTE(SUBSTITUTE(SUBSTITUTE(LOWER(AE172&amp;""),CHAR(160),"")," ",""),".",""),"-",""),"/",""),"?",""),"_",""),",",""),"[",""),"]",""),"(",""),")",""),"*","")</f>
        <v/>
      </c>
      <c r="AY172" s="61" t="str">
        <f aca="false">SUBSTITUTE(SUBSTITUTE(SUBSTITUTE(SUBSTITUTE(SUBSTITUTE(SUBSTITUTE(SUBSTITUTE(SUBSTITUTE(SUBSTITUTE(SUBSTITUTE(SUBSTITUTE(SUBSTITUTE(SUBSTITUTE(LOWER(W172&amp;""),CHAR(160),"")," ",""),".",""),"-",""),"/",""),"?",""),"_",""),",",""),"[",""),"]",""),"(",""),")",""),"*","")</f>
        <v/>
      </c>
      <c r="AZ172" s="61" t="str">
        <f aca="false">SUBSTITUTE(SUBSTITUTE(SUBSTITUTE(SUBSTITUTE(SUBSTITUTE(SUBSTITUTE(SUBSTITUTE(SUBSTITUTE(SUBSTITUTE(SUBSTITUTE(SUBSTITUTE(SUBSTITUTE(SUBSTITUTE(LOWER(AC172&amp;""),CHAR(160),"")," ",""),".",""),"-",""),"/",""),"?",""),"_",""),",",""),"[",""),"]",""),"(",""),")",""),"*","")</f>
        <v/>
      </c>
      <c r="BA172" s="61" t="str">
        <f aca="false">SUBSTITUTE(SUBSTITUTE(SUBSTITUTE(SUBSTITUTE(SUBSTITUTE(SUBSTITUTE(SUBSTITUTE(SUBSTITUTE(SUBSTITUTE(SUBSTITUTE(SUBSTITUTE(SUBSTITUTE(SUBSTITUTE(LOWER(AA172&amp;""),CHAR(160),"")," ",""),".",""),"-",""),"/",""),"?",""),"_",""),",",""),"[",""),"]",""),"(",""),")",""),"*","")</f>
        <v/>
      </c>
      <c r="BB172" s="61" t="str">
        <f aca="false">IF(AND(TRIM(U172)="Pass",ISNUMBER(AF172)),IF(AF172&lt;&gt;0,"INVALID – qty variance: use Fail or Pass after CA",""),"")&amp;IF(AND(TRIM(U172)="Pass after CA",ISNUMBER(AF172)),IF(AF172&lt;&gt;0,"INVALID – after the corrective action the actual qty must equal expected (update Actual)",""),"")&amp;IF(AND(TRIM(U172)="Pass",TRIM(AB172)&lt;&gt;"",TRIM(AB172)&lt;&gt;"Closed"),"INVALID – corrective action not closed: use Fail, then Pass after CA","")&amp;IF(AND(TRIM(AA172)&lt;&gt;"",TRIM(AB172)=""),"INVALID – CA status missing for the recorded corrective action","")&amp;IF(AND(TRIM(U172)="Pass after CA",OR(OR(LEN(BA172)&lt;5,ISNUMBER(MATCH(BA172,L_Placeholder,0))),TRIM(AB172)&lt;&gt;"Closed")),"INVALID – corrective action not recorded/closed","")</f>
        <v/>
      </c>
    </row>
    <row r="173" customFormat="false" ht="39.75" hidden="false" customHeight="true" outlineLevel="0" collapsed="false">
      <c r="A173" s="57" t="s">
        <v>692</v>
      </c>
      <c r="B173" s="57" t="s">
        <v>228</v>
      </c>
      <c r="C173" s="57" t="str">
        <f aca="false">Flights!$F$10</f>
        <v>MH0002</v>
      </c>
      <c r="D173" s="58" t="n">
        <f aca="false">Flights!$D$10</f>
        <v>46310</v>
      </c>
      <c r="E173" s="57" t="str">
        <f aca="false">Flights!$G$10&amp;"-"&amp;Flights!$H$10</f>
        <v>KUL-LHR</v>
      </c>
      <c r="F173" s="57" t="str">
        <f aca="false">Flights!$K$10</f>
        <v>BC</v>
      </c>
      <c r="G173" s="57" t="s">
        <v>79</v>
      </c>
      <c r="H173" s="57" t="s">
        <v>356</v>
      </c>
      <c r="I173" s="57" t="s">
        <v>383</v>
      </c>
      <c r="J173" s="57" t="s">
        <v>387</v>
      </c>
      <c r="K173" s="67" t="s">
        <v>385</v>
      </c>
      <c r="L173" s="67" t="s">
        <v>360</v>
      </c>
      <c r="M173" s="67"/>
      <c r="N173" s="67" t="s">
        <v>361</v>
      </c>
      <c r="O173" s="67"/>
      <c r="P173" s="57" t="s">
        <v>184</v>
      </c>
      <c r="Q173" s="59" t="n">
        <f aca="false">ROUND((Flights!$AC$10)*1440,0)/1440</f>
        <v>46303.6388888889</v>
      </c>
      <c r="R173" s="59" t="n">
        <f aca="false">Q173+(IF(AND(INDEX(TZ_DSTS,MATCH(P173,TZ_STN,0))&lt;&gt;"",Q173&gt;=INDEX(TZ_DSTS,MATCH(P173,TZ_STN,0)),Q173&lt;INDEX(TZ_DSTE,MATCH(P173,TZ_STN,0))),INDEX(TZ_DST,MATCH(P173,TZ_STN,0)),INDEX(TZ_STD,MATCH(P173,TZ_STN,0))))/24</f>
        <v>46303.9722222222</v>
      </c>
      <c r="S173" s="59" t="n">
        <f aca="false">Q173-T7EarlyD*24/24</f>
        <v>46289.6388888889</v>
      </c>
      <c r="T173" s="60"/>
      <c r="U173" s="60"/>
      <c r="V173" s="60"/>
      <c r="W173" s="61"/>
      <c r="X173" s="60"/>
      <c r="Y173" s="60"/>
      <c r="Z173" s="60"/>
      <c r="AA173" s="60"/>
      <c r="AB173" s="60"/>
      <c r="AC173" s="60"/>
      <c r="AD173" s="66"/>
      <c r="AE173" s="60"/>
      <c r="AF173" s="61" t="str">
        <f aca="false">IF(AND(ISNUMBER(X173),ISNUMBER(Y173)),Y173-X173,"")</f>
        <v/>
      </c>
      <c r="AG173" s="62" t="str">
        <f aca="false">IF(ISNUMBER(AD173),AD173-(IF(AND(INDEX(TZ_DSTS,MATCH(P173,TZ_STN,0))&lt;&gt;"",(AD173-INDEX(TZ_STD,MATCH(P173,TZ_STN,0))/24)&gt;=INDEX(TZ_DSTS,MATCH(P173,TZ_STN,0)),(AD173-INDEX(TZ_STD,MATCH(P173,TZ_STN,0))/24)&lt;INDEX(TZ_DSTE,MATCH(P173,TZ_STN,0))),INDEX(TZ_DST,MATCH(P173,TZ_STN,0)),INDEX(TZ_STD,MATCH(P173,TZ_STN,0))))/24,"")</f>
        <v/>
      </c>
      <c r="AH173" s="65" t="str">
        <f aca="false">IFERROR(IF(N173="N/A – rule","N/A – RULE",IF(TRIM(U173)="N/A",IF(AT173=0,"INVALID – N/A not permitted for this check",IF(AND(TRIM(AB173)&lt;&gt;"",TRIM(AB173)&lt;&gt;"Closed"),"INVALID – corrective action still open",IF(AND(NOT(OR(LEN(AZ173)&lt;15,ISNUMBER(MATCH(AZ173,L_Placeholder,0)))),NOT(OR(LEN(AU173)&lt;2,ISNUMBER(MATCH(AU173,L_Placeholder,0)))),NOT(OR(LEN(AX173)&lt;2,ISNUMBER(MATCH(AX173,L_Placeholder,0)))),TRIM(AE173)&lt;&gt;TRIM(T173)),"N/A – JUSTIFIED","INVALID – N/A needs a real justification (15+ chars), PIC and a different verifier"))),IF(OR(TRIM(U173)="Pass",TRIM(U173)="Pass after CA"),IF(NOT(ISNUMBER(AD173)),"INVALID – completion time missing",IF(OR(LEN(AU173)&lt;2,ISNUMBER(MATCH(AU173,L_Placeholder,0))),"INVALID – PIC missing",IF(OR(LEN(AV173)&lt;2,ISNUMBER(MATCH(AV173,L_Placeholder,0))),"INVALID – result / assessment missing",IF(OR(OR(LEN(AW173)&lt;3,ISNUMBER(MATCH(AW173,L_Placeholder,0))),SUMPRODUCT(--ISNUMBER(SEARCH(L_EvidencePhrase,AW173)))&gt;0),"INVALID – evidence missing, placeholder or not yet on file",IF(OR(LEN(AX173)&lt;2,ISNUMBER(MATCH(AX173,L_Placeholder,0))),"INVALID – verifier missing",IF(AX173=AU173,"INVALID – verifier must be someone other than the PIC",IF(AND(TRIM(U173)="Pass",SUMPRODUCT(--ISNUMBER(SEARCH(L_ResultBad,AV173)))&gt;0),"INVALID – result describes a problem: use Fail, then Pass after CA",IF(AND(AQ173=1,OR(LEN(AY173)&lt;3,ISNUMBER(MATCH(AY173,L_Placeholder,0)))),"INVALID – batch ID missing or placeholder",IF(AND(AR173=1,OR(NOT(ISNUMBER(X173)),NOT(ISNUMBER(Y173)))),"INVALID – expected/actual qty missing",IF(AND(AR173=1,OR(X173&lt;=0,Y173&lt;0)),"INVALID – expected qty must be above 0 and actual not negative",IF(BB173&lt;&gt;"",BB173,IF(AND(AS173=1,Documents!$J$10&lt;&gt;"ON FILE"),"INVALID – GLD not on file (Documents sheet)",IF(AND(AS173=2,Documents!$O$10&lt;&gt;"ON FILE"),"INVALID – menu checklist not on file (Documents sheet)",IF(AND(AS173=3,NOT(ISNUMBER(Flights!$AX$10))),"INVALID – enter carrying flight KUL departure (Flights AX)",IF(AND(AS173=3,OR(Flights!$AZ$10&gt;Flights!$AA$10,Flights!$AX$10&lt;Flights!$AA$10-3)),"INVALID – carrying flight (Flights AX) cannot arrive before this leg's STD, or is over 3 days early",IF(AG173&gt;AsOfUTC,"INVALID – completion time is in the future",IF(AND(ISNUMBER(S173),AG173&lt;S173),IF(H173="Physical uplift","INVALID – before uplift window (cannot confirm loading)","INVALID – before valid window"),IF(AG173&gt;Flights!$AA$10,"INVALID – completed after departure (cannot establish readiness)",IF(AND(H173="Preparation",AG173&gt;IF(ISNUMBER(Flights!$BA$10),MIN(Flights!$BA$10,Flights!$AA$10),Flights!$AA$10)),"INVALID – completed after loading / departure (cannot establish readiness)",IF(AND(H173="Physical uplift",AG173&gt;Q173),"INVALID – recorded after the loading flight departed",IF(AG173&gt;Q173,"COMPLETE – LATE","COMPLETE"))))))))))))))))))))),IF(TRIM(U173)="Fail","FAIL – DISCREPANCY",IF(AND(TRIM(U173)&lt;&gt;"",TRIM(U173)&lt;&gt;"Not started",TRIM(U173)&lt;&gt;"In progress"),"INVALID – unrecognised status (use the list)",IF(AsOfUTC&gt;Q173,"OVERDUE",IF(N173="Clarification required","OPEN – CLARIFICATION","OPEN"))))))),"INVALID – error value in an input cell")</f>
        <v>OPEN</v>
      </c>
      <c r="AI173" s="61" t="n">
        <f aca="false">IF(OR(AH173="N/A – RULE",AH173="N/A – JUSTIFIED"),0,1)</f>
        <v>1</v>
      </c>
      <c r="AJ173" s="61" t="n">
        <f aca="false">IF(LEFT(AH173,8)="COMPLETE",1,0)</f>
        <v>0</v>
      </c>
      <c r="AK173" s="61" t="n">
        <f aca="false">IF(AND(AI173=1,AJ173=0,AsOfUTC&gt;Q173),1,0)</f>
        <v>0</v>
      </c>
      <c r="AL173" s="61" t="n">
        <f aca="false">IFERROR(IF(AND(AI173=1,OR(TRIM(U173)="Fail",AND(TRIM(AB173)&lt;&gt;"",TRIM(AB173)&lt;&gt;"Closed"),AND(ISNUMBER(AF173),AF173&lt;&gt;0,TRIM(U173)&lt;&gt;"Pass after CA"))),1,0),1)</f>
        <v>0</v>
      </c>
      <c r="AM173" s="61" t="n">
        <f aca="false">IF(LEFT(AH173,7)="INVALID",1,0)</f>
        <v>0</v>
      </c>
      <c r="AN173" s="61" t="n">
        <f aca="false">IF(AND(N173="Clarification required",AI173=1,AJ173=0),1,0)</f>
        <v>0</v>
      </c>
      <c r="AO173" s="61" t="str">
        <f aca="false">IF(AK173=1,SUM(AK$5:AK173),"")</f>
        <v/>
      </c>
      <c r="AP173" s="61" t="str">
        <f aca="false">IF(AL173=1,SUM(AL$5:AL173),"")</f>
        <v/>
      </c>
      <c r="AQ173" s="61" t="n">
        <v>0</v>
      </c>
      <c r="AR173" s="61" t="n">
        <v>0</v>
      </c>
      <c r="AS173" s="61" t="n">
        <v>2</v>
      </c>
      <c r="AT173" s="61" t="n">
        <v>0</v>
      </c>
      <c r="AU173" s="61" t="str">
        <f aca="false">SUBSTITUTE(SUBSTITUTE(SUBSTITUTE(SUBSTITUTE(SUBSTITUTE(SUBSTITUTE(SUBSTITUTE(SUBSTITUTE(SUBSTITUTE(SUBSTITUTE(SUBSTITUTE(SUBSTITUTE(SUBSTITUTE(LOWER(T173&amp;""),CHAR(160),"")," ",""),".",""),"-",""),"/",""),"?",""),"_",""),",",""),"[",""),"]",""),"(",""),")",""),"*","")</f>
        <v/>
      </c>
      <c r="AV173" s="61" t="str">
        <f aca="false">SUBSTITUTE(SUBSTITUTE(SUBSTITUTE(SUBSTITUTE(SUBSTITUTE(SUBSTITUTE(SUBSTITUTE(SUBSTITUTE(SUBSTITUTE(SUBSTITUTE(SUBSTITUTE(SUBSTITUTE(SUBSTITUTE(LOWER(V173&amp;""),CHAR(160),"")," ",""),".",""),"-",""),"/",""),"?",""),"_",""),",",""),"[",""),"]",""),"(",""),")",""),"*","")</f>
        <v/>
      </c>
      <c r="AW173" s="61" t="str">
        <f aca="false">SUBSTITUTE(SUBSTITUTE(SUBSTITUTE(SUBSTITUTE(SUBSTITUTE(SUBSTITUTE(SUBSTITUTE(SUBSTITUTE(SUBSTITUTE(SUBSTITUTE(SUBSTITUTE(SUBSTITUTE(SUBSTITUTE(LOWER(Z173&amp;""),CHAR(160),"")," ",""),".",""),"-",""),"/",""),"?",""),"_",""),",",""),"[",""),"]",""),"(",""),")",""),"*","")</f>
        <v/>
      </c>
      <c r="AX173" s="61" t="str">
        <f aca="false">SUBSTITUTE(SUBSTITUTE(SUBSTITUTE(SUBSTITUTE(SUBSTITUTE(SUBSTITUTE(SUBSTITUTE(SUBSTITUTE(SUBSTITUTE(SUBSTITUTE(SUBSTITUTE(SUBSTITUTE(SUBSTITUTE(LOWER(AE173&amp;""),CHAR(160),"")," ",""),".",""),"-",""),"/",""),"?",""),"_",""),",",""),"[",""),"]",""),"(",""),")",""),"*","")</f>
        <v/>
      </c>
      <c r="AY173" s="61" t="str">
        <f aca="false">SUBSTITUTE(SUBSTITUTE(SUBSTITUTE(SUBSTITUTE(SUBSTITUTE(SUBSTITUTE(SUBSTITUTE(SUBSTITUTE(SUBSTITUTE(SUBSTITUTE(SUBSTITUTE(SUBSTITUTE(SUBSTITUTE(LOWER(W173&amp;""),CHAR(160),"")," ",""),".",""),"-",""),"/",""),"?",""),"_",""),",",""),"[",""),"]",""),"(",""),")",""),"*","")</f>
        <v/>
      </c>
      <c r="AZ173" s="61" t="str">
        <f aca="false">SUBSTITUTE(SUBSTITUTE(SUBSTITUTE(SUBSTITUTE(SUBSTITUTE(SUBSTITUTE(SUBSTITUTE(SUBSTITUTE(SUBSTITUTE(SUBSTITUTE(SUBSTITUTE(SUBSTITUTE(SUBSTITUTE(LOWER(AC173&amp;""),CHAR(160),"")," ",""),".",""),"-",""),"/",""),"?",""),"_",""),",",""),"[",""),"]",""),"(",""),")",""),"*","")</f>
        <v/>
      </c>
      <c r="BA173" s="61" t="str">
        <f aca="false">SUBSTITUTE(SUBSTITUTE(SUBSTITUTE(SUBSTITUTE(SUBSTITUTE(SUBSTITUTE(SUBSTITUTE(SUBSTITUTE(SUBSTITUTE(SUBSTITUTE(SUBSTITUTE(SUBSTITUTE(SUBSTITUTE(LOWER(AA173&amp;""),CHAR(160),"")," ",""),".",""),"-",""),"/",""),"?",""),"_",""),",",""),"[",""),"]",""),"(",""),")",""),"*","")</f>
        <v/>
      </c>
      <c r="BB173" s="61" t="str">
        <f aca="false">IF(AND(TRIM(U173)="Pass",ISNUMBER(AF173)),IF(AF173&lt;&gt;0,"INVALID – qty variance: use Fail or Pass after CA",""),"")&amp;IF(AND(TRIM(U173)="Pass after CA",ISNUMBER(AF173)),IF(AF173&lt;&gt;0,"INVALID – after the corrective action the actual qty must equal expected (update Actual)",""),"")&amp;IF(AND(TRIM(U173)="Pass",TRIM(AB173)&lt;&gt;"",TRIM(AB173)&lt;&gt;"Closed"),"INVALID – corrective action not closed: use Fail, then Pass after CA","")&amp;IF(AND(TRIM(AA173)&lt;&gt;"",TRIM(AB173)=""),"INVALID – CA status missing for the recorded corrective action","")&amp;IF(AND(TRIM(U173)="Pass after CA",OR(OR(LEN(BA173)&lt;5,ISNUMBER(MATCH(BA173,L_Placeholder,0))),TRIM(AB173)&lt;&gt;"Closed")),"INVALID – corrective action not recorded/closed","")</f>
        <v/>
      </c>
    </row>
    <row r="174" customFormat="false" ht="39.75" hidden="false" customHeight="true" outlineLevel="0" collapsed="false">
      <c r="A174" s="57" t="s">
        <v>693</v>
      </c>
      <c r="B174" s="57" t="s">
        <v>228</v>
      </c>
      <c r="C174" s="57" t="str">
        <f aca="false">Flights!$F$10</f>
        <v>MH0002</v>
      </c>
      <c r="D174" s="58" t="n">
        <f aca="false">Flights!$D$10</f>
        <v>46310</v>
      </c>
      <c r="E174" s="57" t="str">
        <f aca="false">Flights!$G$10&amp;"-"&amp;Flights!$H$10</f>
        <v>KUL-LHR</v>
      </c>
      <c r="F174" s="57" t="str">
        <f aca="false">Flights!$K$10</f>
        <v>BC</v>
      </c>
      <c r="G174" s="57" t="s">
        <v>79</v>
      </c>
      <c r="H174" s="57" t="s">
        <v>356</v>
      </c>
      <c r="I174" s="57" t="s">
        <v>389</v>
      </c>
      <c r="J174" s="57" t="s">
        <v>390</v>
      </c>
      <c r="K174" s="67" t="s">
        <v>694</v>
      </c>
      <c r="L174" s="67" t="s">
        <v>392</v>
      </c>
      <c r="M174" s="67"/>
      <c r="N174" s="67" t="s">
        <v>361</v>
      </c>
      <c r="O174" s="67"/>
      <c r="P174" s="57" t="s">
        <v>184</v>
      </c>
      <c r="Q174" s="59" t="n">
        <f aca="false">ROUND((Flights!$AC$10)*1440,0)/1440</f>
        <v>46303.6388888889</v>
      </c>
      <c r="R174" s="59" t="n">
        <f aca="false">Q174+(IF(AND(INDEX(TZ_DSTS,MATCH(P174,TZ_STN,0))&lt;&gt;"",Q174&gt;=INDEX(TZ_DSTS,MATCH(P174,TZ_STN,0)),Q174&lt;INDEX(TZ_DSTE,MATCH(P174,TZ_STN,0))),INDEX(TZ_DST,MATCH(P174,TZ_STN,0)),INDEX(TZ_STD,MATCH(P174,TZ_STN,0))))/24</f>
        <v>46303.9722222222</v>
      </c>
      <c r="S174" s="59" t="n">
        <f aca="false">Q174-T7EarlyD*24/24</f>
        <v>46289.6388888889</v>
      </c>
      <c r="T174" s="60"/>
      <c r="U174" s="60"/>
      <c r="V174" s="60"/>
      <c r="W174" s="61"/>
      <c r="X174" s="60"/>
      <c r="Y174" s="60"/>
      <c r="Z174" s="60"/>
      <c r="AA174" s="60"/>
      <c r="AB174" s="60"/>
      <c r="AC174" s="60"/>
      <c r="AD174" s="66"/>
      <c r="AE174" s="60"/>
      <c r="AF174" s="61" t="str">
        <f aca="false">IF(AND(ISNUMBER(X174),ISNUMBER(Y174)),Y174-X174,"")</f>
        <v/>
      </c>
      <c r="AG174" s="62" t="str">
        <f aca="false">IF(ISNUMBER(AD174),AD174-(IF(AND(INDEX(TZ_DSTS,MATCH(P174,TZ_STN,0))&lt;&gt;"",(AD174-INDEX(TZ_STD,MATCH(P174,TZ_STN,0))/24)&gt;=INDEX(TZ_DSTS,MATCH(P174,TZ_STN,0)),(AD174-INDEX(TZ_STD,MATCH(P174,TZ_STN,0))/24)&lt;INDEX(TZ_DSTE,MATCH(P174,TZ_STN,0))),INDEX(TZ_DST,MATCH(P174,TZ_STN,0)),INDEX(TZ_STD,MATCH(P174,TZ_STN,0))))/24,"")</f>
        <v/>
      </c>
      <c r="AH174" s="65" t="str">
        <f aca="false">IFERROR(IF(N174="N/A – rule","N/A – RULE",IF(TRIM(U174)="N/A",IF(AT174=0,"INVALID – N/A not permitted for this check",IF(AND(TRIM(AB174)&lt;&gt;"",TRIM(AB174)&lt;&gt;"Closed"),"INVALID – corrective action still open",IF(AND(NOT(OR(LEN(AZ174)&lt;15,ISNUMBER(MATCH(AZ174,L_Placeholder,0)))),NOT(OR(LEN(AU174)&lt;2,ISNUMBER(MATCH(AU174,L_Placeholder,0)))),NOT(OR(LEN(AX174)&lt;2,ISNUMBER(MATCH(AX174,L_Placeholder,0)))),TRIM(AE174)&lt;&gt;TRIM(T174)),"N/A – JUSTIFIED","INVALID – N/A needs a real justification (15+ chars), PIC and a different verifier"))),IF(OR(TRIM(U174)="Pass",TRIM(U174)="Pass after CA"),IF(NOT(ISNUMBER(AD174)),"INVALID – completion time missing",IF(OR(LEN(AU174)&lt;2,ISNUMBER(MATCH(AU174,L_Placeholder,0))),"INVALID – PIC missing",IF(OR(LEN(AV174)&lt;2,ISNUMBER(MATCH(AV174,L_Placeholder,0))),"INVALID – result / assessment missing",IF(OR(OR(LEN(AW174)&lt;3,ISNUMBER(MATCH(AW174,L_Placeholder,0))),SUMPRODUCT(--ISNUMBER(SEARCH(L_EvidencePhrase,AW174)))&gt;0),"INVALID – evidence missing, placeholder or not yet on file",IF(OR(LEN(AX174)&lt;2,ISNUMBER(MATCH(AX174,L_Placeholder,0))),"INVALID – verifier missing",IF(AX174=AU174,"INVALID – verifier must be someone other than the PIC",IF(AND(TRIM(U174)="Pass",SUMPRODUCT(--ISNUMBER(SEARCH(L_ResultBad,AV174)))&gt;0),"INVALID – result describes a problem: use Fail, then Pass after CA",IF(AND(AQ174=1,OR(LEN(AY174)&lt;3,ISNUMBER(MATCH(AY174,L_Placeholder,0)))),"INVALID – batch ID missing or placeholder",IF(AND(AR174=1,OR(NOT(ISNUMBER(X174)),NOT(ISNUMBER(Y174)))),"INVALID – expected/actual qty missing",IF(AND(AR174=1,OR(X174&lt;=0,Y174&lt;0)),"INVALID – expected qty must be above 0 and actual not negative",IF(BB174&lt;&gt;"",BB174,IF(AND(AS174=1,Documents!$J$10&lt;&gt;"ON FILE"),"INVALID – GLD not on file (Documents sheet)",IF(AND(AS174=2,Documents!$O$10&lt;&gt;"ON FILE"),"INVALID – menu checklist not on file (Documents sheet)",IF(AND(AS174=3,NOT(ISNUMBER(Flights!$AX$10))),"INVALID – enter carrying flight KUL departure (Flights AX)",IF(AND(AS174=3,OR(Flights!$AZ$10&gt;Flights!$AA$10,Flights!$AX$10&lt;Flights!$AA$10-3)),"INVALID – carrying flight (Flights AX) cannot arrive before this leg's STD, or is over 3 days early",IF(AG174&gt;AsOfUTC,"INVALID – completion time is in the future",IF(AND(ISNUMBER(S174),AG174&lt;S174),IF(H174="Physical uplift","INVALID – before uplift window (cannot confirm loading)","INVALID – before valid window"),IF(AG174&gt;Flights!$AA$10,"INVALID – completed after departure (cannot establish readiness)",IF(AND(H174="Preparation",AG174&gt;IF(ISNUMBER(Flights!$BA$10),MIN(Flights!$BA$10,Flights!$AA$10),Flights!$AA$10)),"INVALID – completed after loading / departure (cannot establish readiness)",IF(AND(H174="Physical uplift",AG174&gt;Q174),"INVALID – recorded after the loading flight departed",IF(AG174&gt;Q174,"COMPLETE – LATE","COMPLETE"))))))))))))))))))))),IF(TRIM(U174)="Fail","FAIL – DISCREPANCY",IF(AND(TRIM(U174)&lt;&gt;"",TRIM(U174)&lt;&gt;"Not started",TRIM(U174)&lt;&gt;"In progress"),"INVALID – unrecognised status (use the list)",IF(AsOfUTC&gt;Q174,"OVERDUE",IF(N174="Clarification required","OPEN – CLARIFICATION","OPEN"))))))),"INVALID – error value in an input cell")</f>
        <v>OPEN</v>
      </c>
      <c r="AI174" s="61" t="n">
        <f aca="false">IF(OR(AH174="N/A – RULE",AH174="N/A – JUSTIFIED"),0,1)</f>
        <v>1</v>
      </c>
      <c r="AJ174" s="61" t="n">
        <f aca="false">IF(LEFT(AH174,8)="COMPLETE",1,0)</f>
        <v>0</v>
      </c>
      <c r="AK174" s="61" t="n">
        <f aca="false">IF(AND(AI174=1,AJ174=0,AsOfUTC&gt;Q174),1,0)</f>
        <v>0</v>
      </c>
      <c r="AL174" s="61" t="n">
        <f aca="false">IFERROR(IF(AND(AI174=1,OR(TRIM(U174)="Fail",AND(TRIM(AB174)&lt;&gt;"",TRIM(AB174)&lt;&gt;"Closed"),AND(ISNUMBER(AF174),AF174&lt;&gt;0,TRIM(U174)&lt;&gt;"Pass after CA"))),1,0),1)</f>
        <v>0</v>
      </c>
      <c r="AM174" s="61" t="n">
        <f aca="false">IF(LEFT(AH174,7)="INVALID",1,0)</f>
        <v>0</v>
      </c>
      <c r="AN174" s="61" t="n">
        <f aca="false">IF(AND(N174="Clarification required",AI174=1,AJ174=0),1,0)</f>
        <v>0</v>
      </c>
      <c r="AO174" s="61" t="str">
        <f aca="false">IF(AK174=1,SUM(AK$5:AK174),"")</f>
        <v/>
      </c>
      <c r="AP174" s="61" t="str">
        <f aca="false">IF(AL174=1,SUM(AL$5:AL174),"")</f>
        <v/>
      </c>
      <c r="AQ174" s="61" t="n">
        <v>0</v>
      </c>
      <c r="AR174" s="61" t="n">
        <v>0</v>
      </c>
      <c r="AS174" s="61" t="n">
        <v>0</v>
      </c>
      <c r="AT174" s="61" t="n">
        <v>0</v>
      </c>
      <c r="AU174" s="61" t="str">
        <f aca="false">SUBSTITUTE(SUBSTITUTE(SUBSTITUTE(SUBSTITUTE(SUBSTITUTE(SUBSTITUTE(SUBSTITUTE(SUBSTITUTE(SUBSTITUTE(SUBSTITUTE(SUBSTITUTE(SUBSTITUTE(SUBSTITUTE(LOWER(T174&amp;""),CHAR(160),"")," ",""),".",""),"-",""),"/",""),"?",""),"_",""),",",""),"[",""),"]",""),"(",""),")",""),"*","")</f>
        <v/>
      </c>
      <c r="AV174" s="61" t="str">
        <f aca="false">SUBSTITUTE(SUBSTITUTE(SUBSTITUTE(SUBSTITUTE(SUBSTITUTE(SUBSTITUTE(SUBSTITUTE(SUBSTITUTE(SUBSTITUTE(SUBSTITUTE(SUBSTITUTE(SUBSTITUTE(SUBSTITUTE(LOWER(V174&amp;""),CHAR(160),"")," ",""),".",""),"-",""),"/",""),"?",""),"_",""),",",""),"[",""),"]",""),"(",""),")",""),"*","")</f>
        <v/>
      </c>
      <c r="AW174" s="61" t="str">
        <f aca="false">SUBSTITUTE(SUBSTITUTE(SUBSTITUTE(SUBSTITUTE(SUBSTITUTE(SUBSTITUTE(SUBSTITUTE(SUBSTITUTE(SUBSTITUTE(SUBSTITUTE(SUBSTITUTE(SUBSTITUTE(SUBSTITUTE(LOWER(Z174&amp;""),CHAR(160),"")," ",""),".",""),"-",""),"/",""),"?",""),"_",""),",",""),"[",""),"]",""),"(",""),")",""),"*","")</f>
        <v/>
      </c>
      <c r="AX174" s="61" t="str">
        <f aca="false">SUBSTITUTE(SUBSTITUTE(SUBSTITUTE(SUBSTITUTE(SUBSTITUTE(SUBSTITUTE(SUBSTITUTE(SUBSTITUTE(SUBSTITUTE(SUBSTITUTE(SUBSTITUTE(SUBSTITUTE(SUBSTITUTE(LOWER(AE174&amp;""),CHAR(160),"")," ",""),".",""),"-",""),"/",""),"?",""),"_",""),",",""),"[",""),"]",""),"(",""),")",""),"*","")</f>
        <v/>
      </c>
      <c r="AY174" s="61" t="str">
        <f aca="false">SUBSTITUTE(SUBSTITUTE(SUBSTITUTE(SUBSTITUTE(SUBSTITUTE(SUBSTITUTE(SUBSTITUTE(SUBSTITUTE(SUBSTITUTE(SUBSTITUTE(SUBSTITUTE(SUBSTITUTE(SUBSTITUTE(LOWER(W174&amp;""),CHAR(160),"")," ",""),".",""),"-",""),"/",""),"?",""),"_",""),",",""),"[",""),"]",""),"(",""),")",""),"*","")</f>
        <v/>
      </c>
      <c r="AZ174" s="61" t="str">
        <f aca="false">SUBSTITUTE(SUBSTITUTE(SUBSTITUTE(SUBSTITUTE(SUBSTITUTE(SUBSTITUTE(SUBSTITUTE(SUBSTITUTE(SUBSTITUTE(SUBSTITUTE(SUBSTITUTE(SUBSTITUTE(SUBSTITUTE(LOWER(AC174&amp;""),CHAR(160),"")," ",""),".",""),"-",""),"/",""),"?",""),"_",""),",",""),"[",""),"]",""),"(",""),")",""),"*","")</f>
        <v/>
      </c>
      <c r="BA174" s="61" t="str">
        <f aca="false">SUBSTITUTE(SUBSTITUTE(SUBSTITUTE(SUBSTITUTE(SUBSTITUTE(SUBSTITUTE(SUBSTITUTE(SUBSTITUTE(SUBSTITUTE(SUBSTITUTE(SUBSTITUTE(SUBSTITUTE(SUBSTITUTE(LOWER(AA174&amp;""),CHAR(160),"")," ",""),".",""),"-",""),"/",""),"?",""),"_",""),",",""),"[",""),"]",""),"(",""),")",""),"*","")</f>
        <v/>
      </c>
      <c r="BB174" s="61" t="str">
        <f aca="false">IF(AND(TRIM(U174)="Pass",ISNUMBER(AF174)),IF(AF174&lt;&gt;0,"INVALID – qty variance: use Fail or Pass after CA",""),"")&amp;IF(AND(TRIM(U174)="Pass after CA",ISNUMBER(AF174)),IF(AF174&lt;&gt;0,"INVALID – after the corrective action the actual qty must equal expected (update Actual)",""),"")&amp;IF(AND(TRIM(U174)="Pass",TRIM(AB174)&lt;&gt;"",TRIM(AB174)&lt;&gt;"Closed"),"INVALID – corrective action not closed: use Fail, then Pass after CA","")&amp;IF(AND(TRIM(AA174)&lt;&gt;"",TRIM(AB174)=""),"INVALID – CA status missing for the recorded corrective action","")&amp;IF(AND(TRIM(U174)="Pass after CA",OR(OR(LEN(BA174)&lt;5,ISNUMBER(MATCH(BA174,L_Placeholder,0))),TRIM(AB174)&lt;&gt;"Closed")),"INVALID – corrective action not recorded/closed","")</f>
        <v/>
      </c>
    </row>
    <row r="175" customFormat="false" ht="39.75" hidden="false" customHeight="true" outlineLevel="0" collapsed="false">
      <c r="A175" s="57" t="s">
        <v>695</v>
      </c>
      <c r="B175" s="57" t="s">
        <v>228</v>
      </c>
      <c r="C175" s="57" t="str">
        <f aca="false">Flights!$F$10</f>
        <v>MH0002</v>
      </c>
      <c r="D175" s="58" t="n">
        <f aca="false">Flights!$D$10</f>
        <v>46310</v>
      </c>
      <c r="E175" s="57" t="str">
        <f aca="false">Flights!$G$10&amp;"-"&amp;Flights!$H$10</f>
        <v>KUL-LHR</v>
      </c>
      <c r="F175" s="57" t="str">
        <f aca="false">Flights!$K$10</f>
        <v>BC</v>
      </c>
      <c r="G175" s="57" t="s">
        <v>81</v>
      </c>
      <c r="H175" s="57" t="s">
        <v>356</v>
      </c>
      <c r="I175" s="57" t="s">
        <v>357</v>
      </c>
      <c r="J175" s="57" t="s">
        <v>394</v>
      </c>
      <c r="K175" s="67" t="s">
        <v>395</v>
      </c>
      <c r="L175" s="67" t="s">
        <v>396</v>
      </c>
      <c r="M175" s="67"/>
      <c r="N175" s="67" t="s">
        <v>361</v>
      </c>
      <c r="O175" s="67"/>
      <c r="P175" s="57" t="s">
        <v>184</v>
      </c>
      <c r="Q175" s="59" t="n">
        <f aca="false">ROUND((Flights!$AD$10)*1440,0)/1440</f>
        <v>46309.6388888889</v>
      </c>
      <c r="R175" s="59" t="n">
        <f aca="false">Q175+(IF(AND(INDEX(TZ_DSTS,MATCH(P175,TZ_STN,0))&lt;&gt;"",Q175&gt;=INDEX(TZ_DSTS,MATCH(P175,TZ_STN,0)),Q175&lt;INDEX(TZ_DSTE,MATCH(P175,TZ_STN,0))),INDEX(TZ_DST,MATCH(P175,TZ_STN,0)),INDEX(TZ_STD,MATCH(P175,TZ_STN,0))))/24</f>
        <v>46309.9722222222</v>
      </c>
      <c r="S175" s="59" t="n">
        <f aca="false">Q175-T24EarlyH/24</f>
        <v>46308.6388888889</v>
      </c>
      <c r="T175" s="60"/>
      <c r="U175" s="60"/>
      <c r="V175" s="60"/>
      <c r="W175" s="60"/>
      <c r="X175" s="60"/>
      <c r="Y175" s="60"/>
      <c r="Z175" s="60"/>
      <c r="AA175" s="60"/>
      <c r="AB175" s="60"/>
      <c r="AC175" s="60"/>
      <c r="AD175" s="66"/>
      <c r="AE175" s="60"/>
      <c r="AF175" s="61" t="str">
        <f aca="false">IF(AND(ISNUMBER(X175),ISNUMBER(Y175)),Y175-X175,"")</f>
        <v/>
      </c>
      <c r="AG175" s="62" t="str">
        <f aca="false">IF(ISNUMBER(AD175),AD175-(IF(AND(INDEX(TZ_DSTS,MATCH(P175,TZ_STN,0))&lt;&gt;"",(AD175-INDEX(TZ_STD,MATCH(P175,TZ_STN,0))/24)&gt;=INDEX(TZ_DSTS,MATCH(P175,TZ_STN,0)),(AD175-INDEX(TZ_STD,MATCH(P175,TZ_STN,0))/24)&lt;INDEX(TZ_DSTE,MATCH(P175,TZ_STN,0))),INDEX(TZ_DST,MATCH(P175,TZ_STN,0)),INDEX(TZ_STD,MATCH(P175,TZ_STN,0))))/24,"")</f>
        <v/>
      </c>
      <c r="AH175" s="65" t="str">
        <f aca="false">IFERROR(IF(N175="N/A – rule","N/A – RULE",IF(TRIM(U175)="N/A",IF(AT175=0,"INVALID – N/A not permitted for this check",IF(AND(TRIM(AB175)&lt;&gt;"",TRIM(AB175)&lt;&gt;"Closed"),"INVALID – corrective action still open",IF(AND(NOT(OR(LEN(AZ175)&lt;15,ISNUMBER(MATCH(AZ175,L_Placeholder,0)))),NOT(OR(LEN(AU175)&lt;2,ISNUMBER(MATCH(AU175,L_Placeholder,0)))),NOT(OR(LEN(AX175)&lt;2,ISNUMBER(MATCH(AX175,L_Placeholder,0)))),TRIM(AE175)&lt;&gt;TRIM(T175)),"N/A – JUSTIFIED","INVALID – N/A needs a real justification (15+ chars), PIC and a different verifier"))),IF(OR(TRIM(U175)="Pass",TRIM(U175)="Pass after CA"),IF(NOT(ISNUMBER(AD175)),"INVALID – completion time missing",IF(OR(LEN(AU175)&lt;2,ISNUMBER(MATCH(AU175,L_Placeholder,0))),"INVALID – PIC missing",IF(OR(LEN(AV175)&lt;2,ISNUMBER(MATCH(AV175,L_Placeholder,0))),"INVALID – result / assessment missing",IF(OR(OR(LEN(AW175)&lt;3,ISNUMBER(MATCH(AW175,L_Placeholder,0))),SUMPRODUCT(--ISNUMBER(SEARCH(L_EvidencePhrase,AW175)))&gt;0),"INVALID – evidence missing, placeholder or not yet on file",IF(OR(LEN(AX175)&lt;2,ISNUMBER(MATCH(AX175,L_Placeholder,0))),"INVALID – verifier missing",IF(AX175=AU175,"INVALID – verifier must be someone other than the PIC",IF(AND(TRIM(U175)="Pass",SUMPRODUCT(--ISNUMBER(SEARCH(L_ResultBad,AV175)))&gt;0),"INVALID – result describes a problem: use Fail, then Pass after CA",IF(AND(AQ175=1,OR(LEN(AY175)&lt;3,ISNUMBER(MATCH(AY175,L_Placeholder,0)))),"INVALID – batch ID missing or placeholder",IF(AND(AR175=1,OR(NOT(ISNUMBER(X175)),NOT(ISNUMBER(Y175)))),"INVALID – expected/actual qty missing",IF(AND(AR175=1,OR(X175&lt;=0,Y175&lt;0)),"INVALID – expected qty must be above 0 and actual not negative",IF(BB175&lt;&gt;"",BB175,IF(AND(AS175=1,Documents!$J$10&lt;&gt;"ON FILE"),"INVALID – GLD not on file (Documents sheet)",IF(AND(AS175=2,Documents!$O$10&lt;&gt;"ON FILE"),"INVALID – menu checklist not on file (Documents sheet)",IF(AND(AS175=3,NOT(ISNUMBER(Flights!$AX$10))),"INVALID – enter carrying flight KUL departure (Flights AX)",IF(AND(AS175=3,OR(Flights!$AZ$10&gt;Flights!$AA$10,Flights!$AX$10&lt;Flights!$AA$10-3)),"INVALID – carrying flight (Flights AX) cannot arrive before this leg's STD, or is over 3 days early",IF(AG175&gt;AsOfUTC,"INVALID – completion time is in the future",IF(AND(ISNUMBER(S175),AG175&lt;S175),IF(H175="Physical uplift","INVALID – before uplift window (cannot confirm loading)","INVALID – before valid window"),IF(AG175&gt;Flights!$AA$10,"INVALID – completed after departure (cannot establish readiness)",IF(AND(H175="Preparation",AG175&gt;IF(ISNUMBER(Flights!$BA$10),MIN(Flights!$BA$10,Flights!$AA$10),Flights!$AA$10)),"INVALID – completed after loading / departure (cannot establish readiness)",IF(AND(H175="Physical uplift",AG175&gt;Q175),"INVALID – recorded after the loading flight departed",IF(AG175&gt;Q175,"COMPLETE – LATE","COMPLETE"))))))))))))))))))))),IF(TRIM(U175)="Fail","FAIL – DISCREPANCY",IF(AND(TRIM(U175)&lt;&gt;"",TRIM(U175)&lt;&gt;"Not started",TRIM(U175)&lt;&gt;"In progress"),"INVALID – unrecognised status (use the list)",IF(AsOfUTC&gt;Q175,"OVERDUE",IF(N175="Clarification required","OPEN – CLARIFICATION","OPEN"))))))),"INVALID – error value in an input cell")</f>
        <v>OPEN</v>
      </c>
      <c r="AI175" s="61" t="n">
        <f aca="false">IF(OR(AH175="N/A – RULE",AH175="N/A – JUSTIFIED"),0,1)</f>
        <v>1</v>
      </c>
      <c r="AJ175" s="61" t="n">
        <f aca="false">IF(LEFT(AH175,8)="COMPLETE",1,0)</f>
        <v>0</v>
      </c>
      <c r="AK175" s="61" t="n">
        <f aca="false">IF(AND(AI175=1,AJ175=0,AsOfUTC&gt;Q175),1,0)</f>
        <v>0</v>
      </c>
      <c r="AL175" s="61" t="n">
        <f aca="false">IFERROR(IF(AND(AI175=1,OR(TRIM(U175)="Fail",AND(TRIM(AB175)&lt;&gt;"",TRIM(AB175)&lt;&gt;"Closed"),AND(ISNUMBER(AF175),AF175&lt;&gt;0,TRIM(U175)&lt;&gt;"Pass after CA"))),1,0),1)</f>
        <v>0</v>
      </c>
      <c r="AM175" s="61" t="n">
        <f aca="false">IF(LEFT(AH175,7)="INVALID",1,0)</f>
        <v>0</v>
      </c>
      <c r="AN175" s="61" t="n">
        <f aca="false">IF(AND(N175="Clarification required",AI175=1,AJ175=0),1,0)</f>
        <v>0</v>
      </c>
      <c r="AO175" s="61" t="str">
        <f aca="false">IF(AK175=1,SUM(AK$5:AK175),"")</f>
        <v/>
      </c>
      <c r="AP175" s="61" t="str">
        <f aca="false">IF(AL175=1,SUM(AL$5:AL175),"")</f>
        <v/>
      </c>
      <c r="AQ175" s="61" t="n">
        <v>1</v>
      </c>
      <c r="AR175" s="61" t="n">
        <v>0</v>
      </c>
      <c r="AS175" s="61" t="n">
        <v>0</v>
      </c>
      <c r="AT175" s="61" t="n">
        <v>0</v>
      </c>
      <c r="AU175" s="61" t="str">
        <f aca="false">SUBSTITUTE(SUBSTITUTE(SUBSTITUTE(SUBSTITUTE(SUBSTITUTE(SUBSTITUTE(SUBSTITUTE(SUBSTITUTE(SUBSTITUTE(SUBSTITUTE(SUBSTITUTE(SUBSTITUTE(SUBSTITUTE(LOWER(T175&amp;""),CHAR(160),"")," ",""),".",""),"-",""),"/",""),"?",""),"_",""),",",""),"[",""),"]",""),"(",""),")",""),"*","")</f>
        <v/>
      </c>
      <c r="AV175" s="61" t="str">
        <f aca="false">SUBSTITUTE(SUBSTITUTE(SUBSTITUTE(SUBSTITUTE(SUBSTITUTE(SUBSTITUTE(SUBSTITUTE(SUBSTITUTE(SUBSTITUTE(SUBSTITUTE(SUBSTITUTE(SUBSTITUTE(SUBSTITUTE(LOWER(V175&amp;""),CHAR(160),"")," ",""),".",""),"-",""),"/",""),"?",""),"_",""),",",""),"[",""),"]",""),"(",""),")",""),"*","")</f>
        <v/>
      </c>
      <c r="AW175" s="61" t="str">
        <f aca="false">SUBSTITUTE(SUBSTITUTE(SUBSTITUTE(SUBSTITUTE(SUBSTITUTE(SUBSTITUTE(SUBSTITUTE(SUBSTITUTE(SUBSTITUTE(SUBSTITUTE(SUBSTITUTE(SUBSTITUTE(SUBSTITUTE(LOWER(Z175&amp;""),CHAR(160),"")," ",""),".",""),"-",""),"/",""),"?",""),"_",""),",",""),"[",""),"]",""),"(",""),")",""),"*","")</f>
        <v/>
      </c>
      <c r="AX175" s="61" t="str">
        <f aca="false">SUBSTITUTE(SUBSTITUTE(SUBSTITUTE(SUBSTITUTE(SUBSTITUTE(SUBSTITUTE(SUBSTITUTE(SUBSTITUTE(SUBSTITUTE(SUBSTITUTE(SUBSTITUTE(SUBSTITUTE(SUBSTITUTE(LOWER(AE175&amp;""),CHAR(160),"")," ",""),".",""),"-",""),"/",""),"?",""),"_",""),",",""),"[",""),"]",""),"(",""),")",""),"*","")</f>
        <v/>
      </c>
      <c r="AY175" s="61" t="str">
        <f aca="false">SUBSTITUTE(SUBSTITUTE(SUBSTITUTE(SUBSTITUTE(SUBSTITUTE(SUBSTITUTE(SUBSTITUTE(SUBSTITUTE(SUBSTITUTE(SUBSTITUTE(SUBSTITUTE(SUBSTITUTE(SUBSTITUTE(LOWER(W175&amp;""),CHAR(160),"")," ",""),".",""),"-",""),"/",""),"?",""),"_",""),",",""),"[",""),"]",""),"(",""),")",""),"*","")</f>
        <v/>
      </c>
      <c r="AZ175" s="61" t="str">
        <f aca="false">SUBSTITUTE(SUBSTITUTE(SUBSTITUTE(SUBSTITUTE(SUBSTITUTE(SUBSTITUTE(SUBSTITUTE(SUBSTITUTE(SUBSTITUTE(SUBSTITUTE(SUBSTITUTE(SUBSTITUTE(SUBSTITUTE(LOWER(AC175&amp;""),CHAR(160),"")," ",""),".",""),"-",""),"/",""),"?",""),"_",""),",",""),"[",""),"]",""),"(",""),")",""),"*","")</f>
        <v/>
      </c>
      <c r="BA175" s="61" t="str">
        <f aca="false">SUBSTITUTE(SUBSTITUTE(SUBSTITUTE(SUBSTITUTE(SUBSTITUTE(SUBSTITUTE(SUBSTITUTE(SUBSTITUTE(SUBSTITUTE(SUBSTITUTE(SUBSTITUTE(SUBSTITUTE(SUBSTITUTE(LOWER(AA175&amp;""),CHAR(160),"")," ",""),".",""),"-",""),"/",""),"?",""),"_",""),",",""),"[",""),"]",""),"(",""),")",""),"*","")</f>
        <v/>
      </c>
      <c r="BB175" s="61" t="str">
        <f aca="false">IF(AND(TRIM(U175)="Pass",ISNUMBER(AF175)),IF(AF175&lt;&gt;0,"INVALID – qty variance: use Fail or Pass after CA",""),"")&amp;IF(AND(TRIM(U175)="Pass after CA",ISNUMBER(AF175)),IF(AF175&lt;&gt;0,"INVALID – after the corrective action the actual qty must equal expected (update Actual)",""),"")&amp;IF(AND(TRIM(U175)="Pass",TRIM(AB175)&lt;&gt;"",TRIM(AB175)&lt;&gt;"Closed"),"INVALID – corrective action not closed: use Fail, then Pass after CA","")&amp;IF(AND(TRIM(AA175)&lt;&gt;"",TRIM(AB175)=""),"INVALID – CA status missing for the recorded corrective action","")&amp;IF(AND(TRIM(U175)="Pass after CA",OR(OR(LEN(BA175)&lt;5,ISNUMBER(MATCH(BA175,L_Placeholder,0))),TRIM(AB175)&lt;&gt;"Closed")),"INVALID – corrective action not recorded/closed","")</f>
        <v/>
      </c>
    </row>
    <row r="176" customFormat="false" ht="39.75" hidden="false" customHeight="true" outlineLevel="0" collapsed="false">
      <c r="A176" s="57" t="s">
        <v>696</v>
      </c>
      <c r="B176" s="57" t="s">
        <v>228</v>
      </c>
      <c r="C176" s="57" t="str">
        <f aca="false">Flights!$F$10</f>
        <v>MH0002</v>
      </c>
      <c r="D176" s="58" t="n">
        <f aca="false">Flights!$D$10</f>
        <v>46310</v>
      </c>
      <c r="E176" s="57" t="str">
        <f aca="false">Flights!$G$10&amp;"-"&amp;Flights!$H$10</f>
        <v>KUL-LHR</v>
      </c>
      <c r="F176" s="57" t="str">
        <f aca="false">Flights!$K$10</f>
        <v>BC</v>
      </c>
      <c r="G176" s="57" t="s">
        <v>398</v>
      </c>
      <c r="H176" s="57" t="s">
        <v>356</v>
      </c>
      <c r="I176" s="57" t="s">
        <v>357</v>
      </c>
      <c r="J176" s="57" t="s">
        <v>399</v>
      </c>
      <c r="K176" s="67"/>
      <c r="L176" s="67" t="s">
        <v>400</v>
      </c>
      <c r="M176" s="67"/>
      <c r="N176" s="67" t="s">
        <v>361</v>
      </c>
      <c r="O176" s="67" t="s">
        <v>401</v>
      </c>
      <c r="P176" s="57" t="s">
        <v>184</v>
      </c>
      <c r="Q176" s="59" t="n">
        <f aca="false">ROUND((Flights!$AE$10)*1440,0)/1440</f>
        <v>46310.1388888889</v>
      </c>
      <c r="R176" s="59" t="n">
        <f aca="false">Q176+(IF(AND(INDEX(TZ_DSTS,MATCH(P176,TZ_STN,0))&lt;&gt;"",Q176&gt;=INDEX(TZ_DSTS,MATCH(P176,TZ_STN,0)),Q176&lt;INDEX(TZ_DSTE,MATCH(P176,TZ_STN,0))),INDEX(TZ_DST,MATCH(P176,TZ_STN,0)),INDEX(TZ_STD,MATCH(P176,TZ_STN,0))))/24</f>
        <v>46310.4722222222</v>
      </c>
      <c r="S176" s="59" t="n">
        <f aca="false">Q176-T12EarlyH/24</f>
        <v>46309.6388888889</v>
      </c>
      <c r="T176" s="60"/>
      <c r="U176" s="60"/>
      <c r="V176" s="60"/>
      <c r="W176" s="61"/>
      <c r="X176" s="60"/>
      <c r="Y176" s="60"/>
      <c r="Z176" s="60"/>
      <c r="AA176" s="60"/>
      <c r="AB176" s="60"/>
      <c r="AC176" s="60"/>
      <c r="AD176" s="66"/>
      <c r="AE176" s="60"/>
      <c r="AF176" s="61" t="str">
        <f aca="false">IF(AND(ISNUMBER(X176),ISNUMBER(Y176)),Y176-X176,"")</f>
        <v/>
      </c>
      <c r="AG176" s="62" t="str">
        <f aca="false">IF(ISNUMBER(AD176),AD176-(IF(AND(INDEX(TZ_DSTS,MATCH(P176,TZ_STN,0))&lt;&gt;"",(AD176-INDEX(TZ_STD,MATCH(P176,TZ_STN,0))/24)&gt;=INDEX(TZ_DSTS,MATCH(P176,TZ_STN,0)),(AD176-INDEX(TZ_STD,MATCH(P176,TZ_STN,0))/24)&lt;INDEX(TZ_DSTE,MATCH(P176,TZ_STN,0))),INDEX(TZ_DST,MATCH(P176,TZ_STN,0)),INDEX(TZ_STD,MATCH(P176,TZ_STN,0))))/24,"")</f>
        <v/>
      </c>
      <c r="AH176" s="65" t="str">
        <f aca="false">IFERROR(IF(N176="N/A – rule","N/A – RULE",IF(TRIM(U176)="N/A",IF(AT176=0,"INVALID – N/A not permitted for this check",IF(AND(TRIM(AB176)&lt;&gt;"",TRIM(AB176)&lt;&gt;"Closed"),"INVALID – corrective action still open",IF(AND(NOT(OR(LEN(AZ176)&lt;15,ISNUMBER(MATCH(AZ176,L_Placeholder,0)))),NOT(OR(LEN(AU176)&lt;2,ISNUMBER(MATCH(AU176,L_Placeholder,0)))),NOT(OR(LEN(AX176)&lt;2,ISNUMBER(MATCH(AX176,L_Placeholder,0)))),TRIM(AE176)&lt;&gt;TRIM(T176)),"N/A – JUSTIFIED","INVALID – N/A needs a real justification (15+ chars), PIC and a different verifier"))),IF(OR(TRIM(U176)="Pass",TRIM(U176)="Pass after CA"),IF(NOT(ISNUMBER(AD176)),"INVALID – completion time missing",IF(OR(LEN(AU176)&lt;2,ISNUMBER(MATCH(AU176,L_Placeholder,0))),"INVALID – PIC missing",IF(OR(LEN(AV176)&lt;2,ISNUMBER(MATCH(AV176,L_Placeholder,0))),"INVALID – result / assessment missing",IF(OR(OR(LEN(AW176)&lt;3,ISNUMBER(MATCH(AW176,L_Placeholder,0))),SUMPRODUCT(--ISNUMBER(SEARCH(L_EvidencePhrase,AW176)))&gt;0),"INVALID – evidence missing, placeholder or not yet on file",IF(OR(LEN(AX176)&lt;2,ISNUMBER(MATCH(AX176,L_Placeholder,0))),"INVALID – verifier missing",IF(AX176=AU176,"INVALID – verifier must be someone other than the PIC",IF(AND(TRIM(U176)="Pass",SUMPRODUCT(--ISNUMBER(SEARCH(L_ResultBad,AV176)))&gt;0),"INVALID – result describes a problem: use Fail, then Pass after CA",IF(AND(AQ176=1,OR(LEN(AY176)&lt;3,ISNUMBER(MATCH(AY176,L_Placeholder,0)))),"INVALID – batch ID missing or placeholder",IF(AND(AR176=1,OR(NOT(ISNUMBER(X176)),NOT(ISNUMBER(Y176)))),"INVALID – expected/actual qty missing",IF(AND(AR176=1,OR(X176&lt;=0,Y176&lt;0)),"INVALID – expected qty must be above 0 and actual not negative",IF(BB176&lt;&gt;"",BB176,IF(AND(AS176=1,Documents!$J$10&lt;&gt;"ON FILE"),"INVALID – GLD not on file (Documents sheet)",IF(AND(AS176=2,Documents!$O$10&lt;&gt;"ON FILE"),"INVALID – menu checklist not on file (Documents sheet)",IF(AND(AS176=3,NOT(ISNUMBER(Flights!$AX$10))),"INVALID – enter carrying flight KUL departure (Flights AX)",IF(AND(AS176=3,OR(Flights!$AZ$10&gt;Flights!$AA$10,Flights!$AX$10&lt;Flights!$AA$10-3)),"INVALID – carrying flight (Flights AX) cannot arrive before this leg's STD, or is over 3 days early",IF(AG176&gt;AsOfUTC,"INVALID – completion time is in the future",IF(AND(ISNUMBER(S176),AG176&lt;S176),IF(H176="Physical uplift","INVALID – before uplift window (cannot confirm loading)","INVALID – before valid window"),IF(AG176&gt;Flights!$AA$10,"INVALID – completed after departure (cannot establish readiness)",IF(AND(H176="Preparation",AG176&gt;IF(ISNUMBER(Flights!$BA$10),MIN(Flights!$BA$10,Flights!$AA$10),Flights!$AA$10)),"INVALID – completed after loading / departure (cannot establish readiness)",IF(AND(H176="Physical uplift",AG176&gt;Q176),"INVALID – recorded after the loading flight departed",IF(AG176&gt;Q176,"COMPLETE – LATE","COMPLETE"))))))))))))))))))))),IF(TRIM(U176)="Fail","FAIL – DISCREPANCY",IF(AND(TRIM(U176)&lt;&gt;"",TRIM(U176)&lt;&gt;"Not started",TRIM(U176)&lt;&gt;"In progress"),"INVALID – unrecognised status (use the list)",IF(AsOfUTC&gt;Q176,"OVERDUE",IF(N176="Clarification required","OPEN – CLARIFICATION","OPEN"))))))),"INVALID – error value in an input cell")</f>
        <v>OPEN</v>
      </c>
      <c r="AI176" s="61" t="n">
        <f aca="false">IF(OR(AH176="N/A – RULE",AH176="N/A – JUSTIFIED"),0,1)</f>
        <v>1</v>
      </c>
      <c r="AJ176" s="61" t="n">
        <f aca="false">IF(LEFT(AH176,8)="COMPLETE",1,0)</f>
        <v>0</v>
      </c>
      <c r="AK176" s="61" t="n">
        <f aca="false">IF(AND(AI176=1,AJ176=0,AsOfUTC&gt;Q176),1,0)</f>
        <v>0</v>
      </c>
      <c r="AL176" s="61" t="n">
        <f aca="false">IFERROR(IF(AND(AI176=1,OR(TRIM(U176)="Fail",AND(TRIM(AB176)&lt;&gt;"",TRIM(AB176)&lt;&gt;"Closed"),AND(ISNUMBER(AF176),AF176&lt;&gt;0,TRIM(U176)&lt;&gt;"Pass after CA"))),1,0),1)</f>
        <v>0</v>
      </c>
      <c r="AM176" s="61" t="n">
        <f aca="false">IF(LEFT(AH176,7)="INVALID",1,0)</f>
        <v>0</v>
      </c>
      <c r="AN176" s="61" t="n">
        <f aca="false">IF(AND(N176="Clarification required",AI176=1,AJ176=0),1,0)</f>
        <v>0</v>
      </c>
      <c r="AO176" s="61" t="str">
        <f aca="false">IF(AK176=1,SUM(AK$5:AK176),"")</f>
        <v/>
      </c>
      <c r="AP176" s="61" t="str">
        <f aca="false">IF(AL176=1,SUM(AL$5:AL176),"")</f>
        <v/>
      </c>
      <c r="AQ176" s="61" t="n">
        <v>0</v>
      </c>
      <c r="AR176" s="61" t="n">
        <v>0</v>
      </c>
      <c r="AS176" s="61" t="n">
        <v>0</v>
      </c>
      <c r="AT176" s="61" t="n">
        <v>0</v>
      </c>
      <c r="AU176" s="61" t="str">
        <f aca="false">SUBSTITUTE(SUBSTITUTE(SUBSTITUTE(SUBSTITUTE(SUBSTITUTE(SUBSTITUTE(SUBSTITUTE(SUBSTITUTE(SUBSTITUTE(SUBSTITUTE(SUBSTITUTE(SUBSTITUTE(SUBSTITUTE(LOWER(T176&amp;""),CHAR(160),"")," ",""),".",""),"-",""),"/",""),"?",""),"_",""),",",""),"[",""),"]",""),"(",""),")",""),"*","")</f>
        <v/>
      </c>
      <c r="AV176" s="61" t="str">
        <f aca="false">SUBSTITUTE(SUBSTITUTE(SUBSTITUTE(SUBSTITUTE(SUBSTITUTE(SUBSTITUTE(SUBSTITUTE(SUBSTITUTE(SUBSTITUTE(SUBSTITUTE(SUBSTITUTE(SUBSTITUTE(SUBSTITUTE(LOWER(V176&amp;""),CHAR(160),"")," ",""),".",""),"-",""),"/",""),"?",""),"_",""),",",""),"[",""),"]",""),"(",""),")",""),"*","")</f>
        <v/>
      </c>
      <c r="AW176" s="61" t="str">
        <f aca="false">SUBSTITUTE(SUBSTITUTE(SUBSTITUTE(SUBSTITUTE(SUBSTITUTE(SUBSTITUTE(SUBSTITUTE(SUBSTITUTE(SUBSTITUTE(SUBSTITUTE(SUBSTITUTE(SUBSTITUTE(SUBSTITUTE(LOWER(Z176&amp;""),CHAR(160),"")," ",""),".",""),"-",""),"/",""),"?",""),"_",""),",",""),"[",""),"]",""),"(",""),")",""),"*","")</f>
        <v/>
      </c>
      <c r="AX176" s="61" t="str">
        <f aca="false">SUBSTITUTE(SUBSTITUTE(SUBSTITUTE(SUBSTITUTE(SUBSTITUTE(SUBSTITUTE(SUBSTITUTE(SUBSTITUTE(SUBSTITUTE(SUBSTITUTE(SUBSTITUTE(SUBSTITUTE(SUBSTITUTE(LOWER(AE176&amp;""),CHAR(160),"")," ",""),".",""),"-",""),"/",""),"?",""),"_",""),",",""),"[",""),"]",""),"(",""),")",""),"*","")</f>
        <v/>
      </c>
      <c r="AY176" s="61" t="str">
        <f aca="false">SUBSTITUTE(SUBSTITUTE(SUBSTITUTE(SUBSTITUTE(SUBSTITUTE(SUBSTITUTE(SUBSTITUTE(SUBSTITUTE(SUBSTITUTE(SUBSTITUTE(SUBSTITUTE(SUBSTITUTE(SUBSTITUTE(LOWER(W176&amp;""),CHAR(160),"")," ",""),".",""),"-",""),"/",""),"?",""),"_",""),",",""),"[",""),"]",""),"(",""),")",""),"*","")</f>
        <v/>
      </c>
      <c r="AZ176" s="61" t="str">
        <f aca="false">SUBSTITUTE(SUBSTITUTE(SUBSTITUTE(SUBSTITUTE(SUBSTITUTE(SUBSTITUTE(SUBSTITUTE(SUBSTITUTE(SUBSTITUTE(SUBSTITUTE(SUBSTITUTE(SUBSTITUTE(SUBSTITUTE(LOWER(AC176&amp;""),CHAR(160),"")," ",""),".",""),"-",""),"/",""),"?",""),"_",""),",",""),"[",""),"]",""),"(",""),")",""),"*","")</f>
        <v/>
      </c>
      <c r="BA176" s="61" t="str">
        <f aca="false">SUBSTITUTE(SUBSTITUTE(SUBSTITUTE(SUBSTITUTE(SUBSTITUTE(SUBSTITUTE(SUBSTITUTE(SUBSTITUTE(SUBSTITUTE(SUBSTITUTE(SUBSTITUTE(SUBSTITUTE(SUBSTITUTE(LOWER(AA176&amp;""),CHAR(160),"")," ",""),".",""),"-",""),"/",""),"?",""),"_",""),",",""),"[",""),"]",""),"(",""),")",""),"*","")</f>
        <v/>
      </c>
      <c r="BB176" s="61" t="str">
        <f aca="false">IF(AND(TRIM(U176)="Pass",ISNUMBER(AF176)),IF(AF176&lt;&gt;0,"INVALID – qty variance: use Fail or Pass after CA",""),"")&amp;IF(AND(TRIM(U176)="Pass after CA",ISNUMBER(AF176)),IF(AF176&lt;&gt;0,"INVALID – after the corrective action the actual qty must equal expected (update Actual)",""),"")&amp;IF(AND(TRIM(U176)="Pass",TRIM(AB176)&lt;&gt;"",TRIM(AB176)&lt;&gt;"Closed"),"INVALID – corrective action not closed: use Fail, then Pass after CA","")&amp;IF(AND(TRIM(AA176)&lt;&gt;"",TRIM(AB176)=""),"INVALID – CA status missing for the recorded corrective action","")&amp;IF(AND(TRIM(U176)="Pass after CA",OR(OR(LEN(BA176)&lt;5,ISNUMBER(MATCH(BA176,L_Placeholder,0))),TRIM(AB176)&lt;&gt;"Closed")),"INVALID – corrective action not recorded/closed","")</f>
        <v/>
      </c>
    </row>
    <row r="177" customFormat="false" ht="39.75" hidden="false" customHeight="true" outlineLevel="0" collapsed="false">
      <c r="A177" s="57" t="s">
        <v>697</v>
      </c>
      <c r="B177" s="57" t="s">
        <v>228</v>
      </c>
      <c r="C177" s="57" t="str">
        <f aca="false">Flights!$F$10</f>
        <v>MH0002</v>
      </c>
      <c r="D177" s="58" t="n">
        <f aca="false">Flights!$D$10</f>
        <v>46310</v>
      </c>
      <c r="E177" s="57" t="str">
        <f aca="false">Flights!$G$10&amp;"-"&amp;Flights!$H$10</f>
        <v>KUL-LHR</v>
      </c>
      <c r="F177" s="57" t="str">
        <f aca="false">Flights!$K$10</f>
        <v>BC</v>
      </c>
      <c r="G177" s="57" t="s">
        <v>398</v>
      </c>
      <c r="H177" s="57" t="s">
        <v>356</v>
      </c>
      <c r="I177" s="57" t="s">
        <v>357</v>
      </c>
      <c r="J177" s="57" t="s">
        <v>403</v>
      </c>
      <c r="K177" s="67" t="s">
        <v>404</v>
      </c>
      <c r="L177" s="67" t="s">
        <v>400</v>
      </c>
      <c r="M177" s="67"/>
      <c r="N177" s="67" t="s">
        <v>361</v>
      </c>
      <c r="O177" s="67" t="s">
        <v>401</v>
      </c>
      <c r="P177" s="57" t="s">
        <v>184</v>
      </c>
      <c r="Q177" s="59" t="n">
        <f aca="false">ROUND((Flights!$AE$10)*1440,0)/1440</f>
        <v>46310.1388888889</v>
      </c>
      <c r="R177" s="59" t="n">
        <f aca="false">Q177+(IF(AND(INDEX(TZ_DSTS,MATCH(P177,TZ_STN,0))&lt;&gt;"",Q177&gt;=INDEX(TZ_DSTS,MATCH(P177,TZ_STN,0)),Q177&lt;INDEX(TZ_DSTE,MATCH(P177,TZ_STN,0))),INDEX(TZ_DST,MATCH(P177,TZ_STN,0)),INDEX(TZ_STD,MATCH(P177,TZ_STN,0))))/24</f>
        <v>46310.4722222222</v>
      </c>
      <c r="S177" s="59" t="n">
        <f aca="false">Q177-T12EarlyH/24</f>
        <v>46309.6388888889</v>
      </c>
      <c r="T177" s="60"/>
      <c r="U177" s="60"/>
      <c r="V177" s="60"/>
      <c r="W177" s="61"/>
      <c r="X177" s="60"/>
      <c r="Y177" s="60"/>
      <c r="Z177" s="60"/>
      <c r="AA177" s="60"/>
      <c r="AB177" s="60"/>
      <c r="AC177" s="60"/>
      <c r="AD177" s="66"/>
      <c r="AE177" s="60"/>
      <c r="AF177" s="61" t="str">
        <f aca="false">IF(AND(ISNUMBER(X177),ISNUMBER(Y177)),Y177-X177,"")</f>
        <v/>
      </c>
      <c r="AG177" s="62" t="str">
        <f aca="false">IF(ISNUMBER(AD177),AD177-(IF(AND(INDEX(TZ_DSTS,MATCH(P177,TZ_STN,0))&lt;&gt;"",(AD177-INDEX(TZ_STD,MATCH(P177,TZ_STN,0))/24)&gt;=INDEX(TZ_DSTS,MATCH(P177,TZ_STN,0)),(AD177-INDEX(TZ_STD,MATCH(P177,TZ_STN,0))/24)&lt;INDEX(TZ_DSTE,MATCH(P177,TZ_STN,0))),INDEX(TZ_DST,MATCH(P177,TZ_STN,0)),INDEX(TZ_STD,MATCH(P177,TZ_STN,0))))/24,"")</f>
        <v/>
      </c>
      <c r="AH177" s="65" t="str">
        <f aca="false">IFERROR(IF(N177="N/A – rule","N/A – RULE",IF(TRIM(U177)="N/A",IF(AT177=0,"INVALID – N/A not permitted for this check",IF(AND(TRIM(AB177)&lt;&gt;"",TRIM(AB177)&lt;&gt;"Closed"),"INVALID – corrective action still open",IF(AND(NOT(OR(LEN(AZ177)&lt;15,ISNUMBER(MATCH(AZ177,L_Placeholder,0)))),NOT(OR(LEN(AU177)&lt;2,ISNUMBER(MATCH(AU177,L_Placeholder,0)))),NOT(OR(LEN(AX177)&lt;2,ISNUMBER(MATCH(AX177,L_Placeholder,0)))),TRIM(AE177)&lt;&gt;TRIM(T177)),"N/A – JUSTIFIED","INVALID – N/A needs a real justification (15+ chars), PIC and a different verifier"))),IF(OR(TRIM(U177)="Pass",TRIM(U177)="Pass after CA"),IF(NOT(ISNUMBER(AD177)),"INVALID – completion time missing",IF(OR(LEN(AU177)&lt;2,ISNUMBER(MATCH(AU177,L_Placeholder,0))),"INVALID – PIC missing",IF(OR(LEN(AV177)&lt;2,ISNUMBER(MATCH(AV177,L_Placeholder,0))),"INVALID – result / assessment missing",IF(OR(OR(LEN(AW177)&lt;3,ISNUMBER(MATCH(AW177,L_Placeholder,0))),SUMPRODUCT(--ISNUMBER(SEARCH(L_EvidencePhrase,AW177)))&gt;0),"INVALID – evidence missing, placeholder or not yet on file",IF(OR(LEN(AX177)&lt;2,ISNUMBER(MATCH(AX177,L_Placeholder,0))),"INVALID – verifier missing",IF(AX177=AU177,"INVALID – verifier must be someone other than the PIC",IF(AND(TRIM(U177)="Pass",SUMPRODUCT(--ISNUMBER(SEARCH(L_ResultBad,AV177)))&gt;0),"INVALID – result describes a problem: use Fail, then Pass after CA",IF(AND(AQ177=1,OR(LEN(AY177)&lt;3,ISNUMBER(MATCH(AY177,L_Placeholder,0)))),"INVALID – batch ID missing or placeholder",IF(AND(AR177=1,OR(NOT(ISNUMBER(X177)),NOT(ISNUMBER(Y177)))),"INVALID – expected/actual qty missing",IF(AND(AR177=1,OR(X177&lt;=0,Y177&lt;0)),"INVALID – expected qty must be above 0 and actual not negative",IF(BB177&lt;&gt;"",BB177,IF(AND(AS177=1,Documents!$J$10&lt;&gt;"ON FILE"),"INVALID – GLD not on file (Documents sheet)",IF(AND(AS177=2,Documents!$O$10&lt;&gt;"ON FILE"),"INVALID – menu checklist not on file (Documents sheet)",IF(AND(AS177=3,NOT(ISNUMBER(Flights!$AX$10))),"INVALID – enter carrying flight KUL departure (Flights AX)",IF(AND(AS177=3,OR(Flights!$AZ$10&gt;Flights!$AA$10,Flights!$AX$10&lt;Flights!$AA$10-3)),"INVALID – carrying flight (Flights AX) cannot arrive before this leg's STD, or is over 3 days early",IF(AG177&gt;AsOfUTC,"INVALID – completion time is in the future",IF(AND(ISNUMBER(S177),AG177&lt;S177),IF(H177="Physical uplift","INVALID – before uplift window (cannot confirm loading)","INVALID – before valid window"),IF(AG177&gt;Flights!$AA$10,"INVALID – completed after departure (cannot establish readiness)",IF(AND(H177="Preparation",AG177&gt;IF(ISNUMBER(Flights!$BA$10),MIN(Flights!$BA$10,Flights!$AA$10),Flights!$AA$10)),"INVALID – completed after loading / departure (cannot establish readiness)",IF(AND(H177="Physical uplift",AG177&gt;Q177),"INVALID – recorded after the loading flight departed",IF(AG177&gt;Q177,"COMPLETE – LATE","COMPLETE"))))))))))))))))))))),IF(TRIM(U177)="Fail","FAIL – DISCREPANCY",IF(AND(TRIM(U177)&lt;&gt;"",TRIM(U177)&lt;&gt;"Not started",TRIM(U177)&lt;&gt;"In progress"),"INVALID – unrecognised status (use the list)",IF(AsOfUTC&gt;Q177,"OVERDUE",IF(N177="Clarification required","OPEN – CLARIFICATION","OPEN"))))))),"INVALID – error value in an input cell")</f>
        <v>OPEN</v>
      </c>
      <c r="AI177" s="61" t="n">
        <f aca="false">IF(OR(AH177="N/A – RULE",AH177="N/A – JUSTIFIED"),0,1)</f>
        <v>1</v>
      </c>
      <c r="AJ177" s="61" t="n">
        <f aca="false">IF(LEFT(AH177,8)="COMPLETE",1,0)</f>
        <v>0</v>
      </c>
      <c r="AK177" s="61" t="n">
        <f aca="false">IF(AND(AI177=1,AJ177=0,AsOfUTC&gt;Q177),1,0)</f>
        <v>0</v>
      </c>
      <c r="AL177" s="61" t="n">
        <f aca="false">IFERROR(IF(AND(AI177=1,OR(TRIM(U177)="Fail",AND(TRIM(AB177)&lt;&gt;"",TRIM(AB177)&lt;&gt;"Closed"),AND(ISNUMBER(AF177),AF177&lt;&gt;0,TRIM(U177)&lt;&gt;"Pass after CA"))),1,0),1)</f>
        <v>0</v>
      </c>
      <c r="AM177" s="61" t="n">
        <f aca="false">IF(LEFT(AH177,7)="INVALID",1,0)</f>
        <v>0</v>
      </c>
      <c r="AN177" s="61" t="n">
        <f aca="false">IF(AND(N177="Clarification required",AI177=1,AJ177=0),1,0)</f>
        <v>0</v>
      </c>
      <c r="AO177" s="61" t="str">
        <f aca="false">IF(AK177=1,SUM(AK$5:AK177),"")</f>
        <v/>
      </c>
      <c r="AP177" s="61" t="str">
        <f aca="false">IF(AL177=1,SUM(AL$5:AL177),"")</f>
        <v/>
      </c>
      <c r="AQ177" s="61" t="n">
        <v>0</v>
      </c>
      <c r="AR177" s="61" t="n">
        <v>1</v>
      </c>
      <c r="AS177" s="61" t="n">
        <v>0</v>
      </c>
      <c r="AT177" s="61" t="n">
        <v>0</v>
      </c>
      <c r="AU177" s="61" t="str">
        <f aca="false">SUBSTITUTE(SUBSTITUTE(SUBSTITUTE(SUBSTITUTE(SUBSTITUTE(SUBSTITUTE(SUBSTITUTE(SUBSTITUTE(SUBSTITUTE(SUBSTITUTE(SUBSTITUTE(SUBSTITUTE(SUBSTITUTE(LOWER(T177&amp;""),CHAR(160),"")," ",""),".",""),"-",""),"/",""),"?",""),"_",""),",",""),"[",""),"]",""),"(",""),")",""),"*","")</f>
        <v/>
      </c>
      <c r="AV177" s="61" t="str">
        <f aca="false">SUBSTITUTE(SUBSTITUTE(SUBSTITUTE(SUBSTITUTE(SUBSTITUTE(SUBSTITUTE(SUBSTITUTE(SUBSTITUTE(SUBSTITUTE(SUBSTITUTE(SUBSTITUTE(SUBSTITUTE(SUBSTITUTE(LOWER(V177&amp;""),CHAR(160),"")," ",""),".",""),"-",""),"/",""),"?",""),"_",""),",",""),"[",""),"]",""),"(",""),")",""),"*","")</f>
        <v/>
      </c>
      <c r="AW177" s="61" t="str">
        <f aca="false">SUBSTITUTE(SUBSTITUTE(SUBSTITUTE(SUBSTITUTE(SUBSTITUTE(SUBSTITUTE(SUBSTITUTE(SUBSTITUTE(SUBSTITUTE(SUBSTITUTE(SUBSTITUTE(SUBSTITUTE(SUBSTITUTE(LOWER(Z177&amp;""),CHAR(160),"")," ",""),".",""),"-",""),"/",""),"?",""),"_",""),",",""),"[",""),"]",""),"(",""),")",""),"*","")</f>
        <v/>
      </c>
      <c r="AX177" s="61" t="str">
        <f aca="false">SUBSTITUTE(SUBSTITUTE(SUBSTITUTE(SUBSTITUTE(SUBSTITUTE(SUBSTITUTE(SUBSTITUTE(SUBSTITUTE(SUBSTITUTE(SUBSTITUTE(SUBSTITUTE(SUBSTITUTE(SUBSTITUTE(LOWER(AE177&amp;""),CHAR(160),"")," ",""),".",""),"-",""),"/",""),"?",""),"_",""),",",""),"[",""),"]",""),"(",""),")",""),"*","")</f>
        <v/>
      </c>
      <c r="AY177" s="61" t="str">
        <f aca="false">SUBSTITUTE(SUBSTITUTE(SUBSTITUTE(SUBSTITUTE(SUBSTITUTE(SUBSTITUTE(SUBSTITUTE(SUBSTITUTE(SUBSTITUTE(SUBSTITUTE(SUBSTITUTE(SUBSTITUTE(SUBSTITUTE(LOWER(W177&amp;""),CHAR(160),"")," ",""),".",""),"-",""),"/",""),"?",""),"_",""),",",""),"[",""),"]",""),"(",""),")",""),"*","")</f>
        <v/>
      </c>
      <c r="AZ177" s="61" t="str">
        <f aca="false">SUBSTITUTE(SUBSTITUTE(SUBSTITUTE(SUBSTITUTE(SUBSTITUTE(SUBSTITUTE(SUBSTITUTE(SUBSTITUTE(SUBSTITUTE(SUBSTITUTE(SUBSTITUTE(SUBSTITUTE(SUBSTITUTE(LOWER(AC177&amp;""),CHAR(160),"")," ",""),".",""),"-",""),"/",""),"?",""),"_",""),",",""),"[",""),"]",""),"(",""),")",""),"*","")</f>
        <v/>
      </c>
      <c r="BA177" s="61" t="str">
        <f aca="false">SUBSTITUTE(SUBSTITUTE(SUBSTITUTE(SUBSTITUTE(SUBSTITUTE(SUBSTITUTE(SUBSTITUTE(SUBSTITUTE(SUBSTITUTE(SUBSTITUTE(SUBSTITUTE(SUBSTITUTE(SUBSTITUTE(LOWER(AA177&amp;""),CHAR(160),"")," ",""),".",""),"-",""),"/",""),"?",""),"_",""),",",""),"[",""),"]",""),"(",""),")",""),"*","")</f>
        <v/>
      </c>
      <c r="BB177" s="61" t="str">
        <f aca="false">IF(AND(TRIM(U177)="Pass",ISNUMBER(AF177)),IF(AF177&lt;&gt;0,"INVALID – qty variance: use Fail or Pass after CA",""),"")&amp;IF(AND(TRIM(U177)="Pass after CA",ISNUMBER(AF177)),IF(AF177&lt;&gt;0,"INVALID – after the corrective action the actual qty must equal expected (update Actual)",""),"")&amp;IF(AND(TRIM(U177)="Pass",TRIM(AB177)&lt;&gt;"",TRIM(AB177)&lt;&gt;"Closed"),"INVALID – corrective action not closed: use Fail, then Pass after CA","")&amp;IF(AND(TRIM(AA177)&lt;&gt;"",TRIM(AB177)=""),"INVALID – CA status missing for the recorded corrective action","")&amp;IF(AND(TRIM(U177)="Pass after CA",OR(OR(LEN(BA177)&lt;5,ISNUMBER(MATCH(BA177,L_Placeholder,0))),TRIM(AB177)&lt;&gt;"Closed")),"INVALID – corrective action not recorded/closed","")</f>
        <v/>
      </c>
    </row>
    <row r="178" customFormat="false" ht="39.75" hidden="false" customHeight="true" outlineLevel="0" collapsed="false">
      <c r="A178" s="57" t="s">
        <v>698</v>
      </c>
      <c r="B178" s="57" t="s">
        <v>228</v>
      </c>
      <c r="C178" s="57" t="str">
        <f aca="false">Flights!$F$10</f>
        <v>MH0002</v>
      </c>
      <c r="D178" s="58" t="n">
        <f aca="false">Flights!$D$10</f>
        <v>46310</v>
      </c>
      <c r="E178" s="57" t="str">
        <f aca="false">Flights!$G$10&amp;"-"&amp;Flights!$H$10</f>
        <v>KUL-LHR</v>
      </c>
      <c r="F178" s="57" t="str">
        <f aca="false">Flights!$K$10</f>
        <v>BC</v>
      </c>
      <c r="G178" s="57" t="s">
        <v>398</v>
      </c>
      <c r="H178" s="57" t="s">
        <v>356</v>
      </c>
      <c r="I178" s="57" t="s">
        <v>406</v>
      </c>
      <c r="J178" s="57" t="s">
        <v>407</v>
      </c>
      <c r="K178" s="67"/>
      <c r="L178" s="67" t="s">
        <v>400</v>
      </c>
      <c r="M178" s="67"/>
      <c r="N178" s="67" t="s">
        <v>361</v>
      </c>
      <c r="O178" s="67" t="s">
        <v>401</v>
      </c>
      <c r="P178" s="57" t="s">
        <v>184</v>
      </c>
      <c r="Q178" s="59" t="n">
        <f aca="false">ROUND((Flights!$AE$10)*1440,0)/1440</f>
        <v>46310.1388888889</v>
      </c>
      <c r="R178" s="59" t="n">
        <f aca="false">Q178+(IF(AND(INDEX(TZ_DSTS,MATCH(P178,TZ_STN,0))&lt;&gt;"",Q178&gt;=INDEX(TZ_DSTS,MATCH(P178,TZ_STN,0)),Q178&lt;INDEX(TZ_DSTE,MATCH(P178,TZ_STN,0))),INDEX(TZ_DST,MATCH(P178,TZ_STN,0)),INDEX(TZ_STD,MATCH(P178,TZ_STN,0))))/24</f>
        <v>46310.4722222222</v>
      </c>
      <c r="S178" s="59" t="n">
        <f aca="false">Q178-T12EarlyH/24</f>
        <v>46309.6388888889</v>
      </c>
      <c r="T178" s="60"/>
      <c r="U178" s="60"/>
      <c r="V178" s="60"/>
      <c r="W178" s="61"/>
      <c r="X178" s="60"/>
      <c r="Y178" s="60"/>
      <c r="Z178" s="60"/>
      <c r="AA178" s="60"/>
      <c r="AB178" s="60"/>
      <c r="AC178" s="60"/>
      <c r="AD178" s="66"/>
      <c r="AE178" s="60"/>
      <c r="AF178" s="61" t="str">
        <f aca="false">IF(AND(ISNUMBER(X178),ISNUMBER(Y178)),Y178-X178,"")</f>
        <v/>
      </c>
      <c r="AG178" s="62" t="str">
        <f aca="false">IF(ISNUMBER(AD178),AD178-(IF(AND(INDEX(TZ_DSTS,MATCH(P178,TZ_STN,0))&lt;&gt;"",(AD178-INDEX(TZ_STD,MATCH(P178,TZ_STN,0))/24)&gt;=INDEX(TZ_DSTS,MATCH(P178,TZ_STN,0)),(AD178-INDEX(TZ_STD,MATCH(P178,TZ_STN,0))/24)&lt;INDEX(TZ_DSTE,MATCH(P178,TZ_STN,0))),INDEX(TZ_DST,MATCH(P178,TZ_STN,0)),INDEX(TZ_STD,MATCH(P178,TZ_STN,0))))/24,"")</f>
        <v/>
      </c>
      <c r="AH178" s="65" t="str">
        <f aca="false">IFERROR(IF(N178="N/A – rule","N/A – RULE",IF(TRIM(U178)="N/A",IF(AT178=0,"INVALID – N/A not permitted for this check",IF(AND(TRIM(AB178)&lt;&gt;"",TRIM(AB178)&lt;&gt;"Closed"),"INVALID – corrective action still open",IF(AND(NOT(OR(LEN(AZ178)&lt;15,ISNUMBER(MATCH(AZ178,L_Placeholder,0)))),NOT(OR(LEN(AU178)&lt;2,ISNUMBER(MATCH(AU178,L_Placeholder,0)))),NOT(OR(LEN(AX178)&lt;2,ISNUMBER(MATCH(AX178,L_Placeholder,0)))),TRIM(AE178)&lt;&gt;TRIM(T178)),"N/A – JUSTIFIED","INVALID – N/A needs a real justification (15+ chars), PIC and a different verifier"))),IF(OR(TRIM(U178)="Pass",TRIM(U178)="Pass after CA"),IF(NOT(ISNUMBER(AD178)),"INVALID – completion time missing",IF(OR(LEN(AU178)&lt;2,ISNUMBER(MATCH(AU178,L_Placeholder,0))),"INVALID – PIC missing",IF(OR(LEN(AV178)&lt;2,ISNUMBER(MATCH(AV178,L_Placeholder,0))),"INVALID – result / assessment missing",IF(OR(OR(LEN(AW178)&lt;3,ISNUMBER(MATCH(AW178,L_Placeholder,0))),SUMPRODUCT(--ISNUMBER(SEARCH(L_EvidencePhrase,AW178)))&gt;0),"INVALID – evidence missing, placeholder or not yet on file",IF(OR(LEN(AX178)&lt;2,ISNUMBER(MATCH(AX178,L_Placeholder,0))),"INVALID – verifier missing",IF(AX178=AU178,"INVALID – verifier must be someone other than the PIC",IF(AND(TRIM(U178)="Pass",SUMPRODUCT(--ISNUMBER(SEARCH(L_ResultBad,AV178)))&gt;0),"INVALID – result describes a problem: use Fail, then Pass after CA",IF(AND(AQ178=1,OR(LEN(AY178)&lt;3,ISNUMBER(MATCH(AY178,L_Placeholder,0)))),"INVALID – batch ID missing or placeholder",IF(AND(AR178=1,OR(NOT(ISNUMBER(X178)),NOT(ISNUMBER(Y178)))),"INVALID – expected/actual qty missing",IF(AND(AR178=1,OR(X178&lt;=0,Y178&lt;0)),"INVALID – expected qty must be above 0 and actual not negative",IF(BB178&lt;&gt;"",BB178,IF(AND(AS178=1,Documents!$J$10&lt;&gt;"ON FILE"),"INVALID – GLD not on file (Documents sheet)",IF(AND(AS178=2,Documents!$O$10&lt;&gt;"ON FILE"),"INVALID – menu checklist not on file (Documents sheet)",IF(AND(AS178=3,NOT(ISNUMBER(Flights!$AX$10))),"INVALID – enter carrying flight KUL departure (Flights AX)",IF(AND(AS178=3,OR(Flights!$AZ$10&gt;Flights!$AA$10,Flights!$AX$10&lt;Flights!$AA$10-3)),"INVALID – carrying flight (Flights AX) cannot arrive before this leg's STD, or is over 3 days early",IF(AG178&gt;AsOfUTC,"INVALID – completion time is in the future",IF(AND(ISNUMBER(S178),AG178&lt;S178),IF(H178="Physical uplift","INVALID – before uplift window (cannot confirm loading)","INVALID – before valid window"),IF(AG178&gt;Flights!$AA$10,"INVALID – completed after departure (cannot establish readiness)",IF(AND(H178="Preparation",AG178&gt;IF(ISNUMBER(Flights!$BA$10),MIN(Flights!$BA$10,Flights!$AA$10),Flights!$AA$10)),"INVALID – completed after loading / departure (cannot establish readiness)",IF(AND(H178="Physical uplift",AG178&gt;Q178),"INVALID – recorded after the loading flight departed",IF(AG178&gt;Q178,"COMPLETE – LATE","COMPLETE"))))))))))))))))))))),IF(TRIM(U178)="Fail","FAIL – DISCREPANCY",IF(AND(TRIM(U178)&lt;&gt;"",TRIM(U178)&lt;&gt;"Not started",TRIM(U178)&lt;&gt;"In progress"),"INVALID – unrecognised status (use the list)",IF(AsOfUTC&gt;Q178,"OVERDUE",IF(N178="Clarification required","OPEN – CLARIFICATION","OPEN"))))))),"INVALID – error value in an input cell")</f>
        <v>OPEN</v>
      </c>
      <c r="AI178" s="61" t="n">
        <f aca="false">IF(OR(AH178="N/A – RULE",AH178="N/A – JUSTIFIED"),0,1)</f>
        <v>1</v>
      </c>
      <c r="AJ178" s="61" t="n">
        <f aca="false">IF(LEFT(AH178,8)="COMPLETE",1,0)</f>
        <v>0</v>
      </c>
      <c r="AK178" s="61" t="n">
        <f aca="false">IF(AND(AI178=1,AJ178=0,AsOfUTC&gt;Q178),1,0)</f>
        <v>0</v>
      </c>
      <c r="AL178" s="61" t="n">
        <f aca="false">IFERROR(IF(AND(AI178=1,OR(TRIM(U178)="Fail",AND(TRIM(AB178)&lt;&gt;"",TRIM(AB178)&lt;&gt;"Closed"),AND(ISNUMBER(AF178),AF178&lt;&gt;0,TRIM(U178)&lt;&gt;"Pass after CA"))),1,0),1)</f>
        <v>0</v>
      </c>
      <c r="AM178" s="61" t="n">
        <f aca="false">IF(LEFT(AH178,7)="INVALID",1,0)</f>
        <v>0</v>
      </c>
      <c r="AN178" s="61" t="n">
        <f aca="false">IF(AND(N178="Clarification required",AI178=1,AJ178=0),1,0)</f>
        <v>0</v>
      </c>
      <c r="AO178" s="61" t="str">
        <f aca="false">IF(AK178=1,SUM(AK$5:AK178),"")</f>
        <v/>
      </c>
      <c r="AP178" s="61" t="str">
        <f aca="false">IF(AL178=1,SUM(AL$5:AL178),"")</f>
        <v/>
      </c>
      <c r="AQ178" s="61" t="n">
        <v>0</v>
      </c>
      <c r="AR178" s="61" t="n">
        <v>0</v>
      </c>
      <c r="AS178" s="61" t="n">
        <v>0</v>
      </c>
      <c r="AT178" s="61" t="n">
        <v>0</v>
      </c>
      <c r="AU178" s="61" t="str">
        <f aca="false">SUBSTITUTE(SUBSTITUTE(SUBSTITUTE(SUBSTITUTE(SUBSTITUTE(SUBSTITUTE(SUBSTITUTE(SUBSTITUTE(SUBSTITUTE(SUBSTITUTE(SUBSTITUTE(SUBSTITUTE(SUBSTITUTE(LOWER(T178&amp;""),CHAR(160),"")," ",""),".",""),"-",""),"/",""),"?",""),"_",""),",",""),"[",""),"]",""),"(",""),")",""),"*","")</f>
        <v/>
      </c>
      <c r="AV178" s="61" t="str">
        <f aca="false">SUBSTITUTE(SUBSTITUTE(SUBSTITUTE(SUBSTITUTE(SUBSTITUTE(SUBSTITUTE(SUBSTITUTE(SUBSTITUTE(SUBSTITUTE(SUBSTITUTE(SUBSTITUTE(SUBSTITUTE(SUBSTITUTE(LOWER(V178&amp;""),CHAR(160),"")," ",""),".",""),"-",""),"/",""),"?",""),"_",""),",",""),"[",""),"]",""),"(",""),")",""),"*","")</f>
        <v/>
      </c>
      <c r="AW178" s="61" t="str">
        <f aca="false">SUBSTITUTE(SUBSTITUTE(SUBSTITUTE(SUBSTITUTE(SUBSTITUTE(SUBSTITUTE(SUBSTITUTE(SUBSTITUTE(SUBSTITUTE(SUBSTITUTE(SUBSTITUTE(SUBSTITUTE(SUBSTITUTE(LOWER(Z178&amp;""),CHAR(160),"")," ",""),".",""),"-",""),"/",""),"?",""),"_",""),",",""),"[",""),"]",""),"(",""),")",""),"*","")</f>
        <v/>
      </c>
      <c r="AX178" s="61" t="str">
        <f aca="false">SUBSTITUTE(SUBSTITUTE(SUBSTITUTE(SUBSTITUTE(SUBSTITUTE(SUBSTITUTE(SUBSTITUTE(SUBSTITUTE(SUBSTITUTE(SUBSTITUTE(SUBSTITUTE(SUBSTITUTE(SUBSTITUTE(LOWER(AE178&amp;""),CHAR(160),"")," ",""),".",""),"-",""),"/",""),"?",""),"_",""),",",""),"[",""),"]",""),"(",""),")",""),"*","")</f>
        <v/>
      </c>
      <c r="AY178" s="61" t="str">
        <f aca="false">SUBSTITUTE(SUBSTITUTE(SUBSTITUTE(SUBSTITUTE(SUBSTITUTE(SUBSTITUTE(SUBSTITUTE(SUBSTITUTE(SUBSTITUTE(SUBSTITUTE(SUBSTITUTE(SUBSTITUTE(SUBSTITUTE(LOWER(W178&amp;""),CHAR(160),"")," ",""),".",""),"-",""),"/",""),"?",""),"_",""),",",""),"[",""),"]",""),"(",""),")",""),"*","")</f>
        <v/>
      </c>
      <c r="AZ178" s="61" t="str">
        <f aca="false">SUBSTITUTE(SUBSTITUTE(SUBSTITUTE(SUBSTITUTE(SUBSTITUTE(SUBSTITUTE(SUBSTITUTE(SUBSTITUTE(SUBSTITUTE(SUBSTITUTE(SUBSTITUTE(SUBSTITUTE(SUBSTITUTE(LOWER(AC178&amp;""),CHAR(160),"")," ",""),".",""),"-",""),"/",""),"?",""),"_",""),",",""),"[",""),"]",""),"(",""),")",""),"*","")</f>
        <v/>
      </c>
      <c r="BA178" s="61" t="str">
        <f aca="false">SUBSTITUTE(SUBSTITUTE(SUBSTITUTE(SUBSTITUTE(SUBSTITUTE(SUBSTITUTE(SUBSTITUTE(SUBSTITUTE(SUBSTITUTE(SUBSTITUTE(SUBSTITUTE(SUBSTITUTE(SUBSTITUTE(LOWER(AA178&amp;""),CHAR(160),"")," ",""),".",""),"-",""),"/",""),"?",""),"_",""),",",""),"[",""),"]",""),"(",""),")",""),"*","")</f>
        <v/>
      </c>
      <c r="BB178" s="61" t="str">
        <f aca="false">IF(AND(TRIM(U178)="Pass",ISNUMBER(AF178)),IF(AF178&lt;&gt;0,"INVALID – qty variance: use Fail or Pass after CA",""),"")&amp;IF(AND(TRIM(U178)="Pass after CA",ISNUMBER(AF178)),IF(AF178&lt;&gt;0,"INVALID – after the corrective action the actual qty must equal expected (update Actual)",""),"")&amp;IF(AND(TRIM(U178)="Pass",TRIM(AB178)&lt;&gt;"",TRIM(AB178)&lt;&gt;"Closed"),"INVALID – corrective action not closed: use Fail, then Pass after CA","")&amp;IF(AND(TRIM(AA178)&lt;&gt;"",TRIM(AB178)=""),"INVALID – CA status missing for the recorded corrective action","")&amp;IF(AND(TRIM(U178)="Pass after CA",OR(OR(LEN(BA178)&lt;5,ISNUMBER(MATCH(BA178,L_Placeholder,0))),TRIM(AB178)&lt;&gt;"Closed")),"INVALID – corrective action not recorded/closed","")</f>
        <v/>
      </c>
    </row>
    <row r="179" customFormat="false" ht="39.75" hidden="false" customHeight="true" outlineLevel="0" collapsed="false">
      <c r="A179" s="57" t="s">
        <v>699</v>
      </c>
      <c r="B179" s="57" t="s">
        <v>228</v>
      </c>
      <c r="C179" s="57" t="str">
        <f aca="false">Flights!$F$10</f>
        <v>MH0002</v>
      </c>
      <c r="D179" s="58" t="n">
        <f aca="false">Flights!$D$10</f>
        <v>46310</v>
      </c>
      <c r="E179" s="57" t="str">
        <f aca="false">Flights!$G$10&amp;"-"&amp;Flights!$H$10</f>
        <v>KUL-LHR</v>
      </c>
      <c r="F179" s="57" t="str">
        <f aca="false">Flights!$K$10</f>
        <v>BC</v>
      </c>
      <c r="G179" s="57" t="s">
        <v>398</v>
      </c>
      <c r="H179" s="57" t="s">
        <v>356</v>
      </c>
      <c r="I179" s="57" t="s">
        <v>406</v>
      </c>
      <c r="J179" s="57" t="s">
        <v>409</v>
      </c>
      <c r="K179" s="67"/>
      <c r="L179" s="67" t="s">
        <v>400</v>
      </c>
      <c r="M179" s="67"/>
      <c r="N179" s="67" t="s">
        <v>361</v>
      </c>
      <c r="O179" s="67" t="s">
        <v>401</v>
      </c>
      <c r="P179" s="57" t="s">
        <v>184</v>
      </c>
      <c r="Q179" s="59" t="n">
        <f aca="false">ROUND((Flights!$AE$10)*1440,0)/1440</f>
        <v>46310.1388888889</v>
      </c>
      <c r="R179" s="59" t="n">
        <f aca="false">Q179+(IF(AND(INDEX(TZ_DSTS,MATCH(P179,TZ_STN,0))&lt;&gt;"",Q179&gt;=INDEX(TZ_DSTS,MATCH(P179,TZ_STN,0)),Q179&lt;INDEX(TZ_DSTE,MATCH(P179,TZ_STN,0))),INDEX(TZ_DST,MATCH(P179,TZ_STN,0)),INDEX(TZ_STD,MATCH(P179,TZ_STN,0))))/24</f>
        <v>46310.4722222222</v>
      </c>
      <c r="S179" s="59" t="n">
        <f aca="false">Q179-T12EarlyH/24</f>
        <v>46309.6388888889</v>
      </c>
      <c r="T179" s="60"/>
      <c r="U179" s="60"/>
      <c r="V179" s="60"/>
      <c r="W179" s="61"/>
      <c r="X179" s="60"/>
      <c r="Y179" s="60"/>
      <c r="Z179" s="60"/>
      <c r="AA179" s="60"/>
      <c r="AB179" s="60"/>
      <c r="AC179" s="60"/>
      <c r="AD179" s="66"/>
      <c r="AE179" s="60"/>
      <c r="AF179" s="61" t="str">
        <f aca="false">IF(AND(ISNUMBER(X179),ISNUMBER(Y179)),Y179-X179,"")</f>
        <v/>
      </c>
      <c r="AG179" s="62" t="str">
        <f aca="false">IF(ISNUMBER(AD179),AD179-(IF(AND(INDEX(TZ_DSTS,MATCH(P179,TZ_STN,0))&lt;&gt;"",(AD179-INDEX(TZ_STD,MATCH(P179,TZ_STN,0))/24)&gt;=INDEX(TZ_DSTS,MATCH(P179,TZ_STN,0)),(AD179-INDEX(TZ_STD,MATCH(P179,TZ_STN,0))/24)&lt;INDEX(TZ_DSTE,MATCH(P179,TZ_STN,0))),INDEX(TZ_DST,MATCH(P179,TZ_STN,0)),INDEX(TZ_STD,MATCH(P179,TZ_STN,0))))/24,"")</f>
        <v/>
      </c>
      <c r="AH179" s="65" t="str">
        <f aca="false">IFERROR(IF(N179="N/A – rule","N/A – RULE",IF(TRIM(U179)="N/A",IF(AT179=0,"INVALID – N/A not permitted for this check",IF(AND(TRIM(AB179)&lt;&gt;"",TRIM(AB179)&lt;&gt;"Closed"),"INVALID – corrective action still open",IF(AND(NOT(OR(LEN(AZ179)&lt;15,ISNUMBER(MATCH(AZ179,L_Placeholder,0)))),NOT(OR(LEN(AU179)&lt;2,ISNUMBER(MATCH(AU179,L_Placeholder,0)))),NOT(OR(LEN(AX179)&lt;2,ISNUMBER(MATCH(AX179,L_Placeholder,0)))),TRIM(AE179)&lt;&gt;TRIM(T179)),"N/A – JUSTIFIED","INVALID – N/A needs a real justification (15+ chars), PIC and a different verifier"))),IF(OR(TRIM(U179)="Pass",TRIM(U179)="Pass after CA"),IF(NOT(ISNUMBER(AD179)),"INVALID – completion time missing",IF(OR(LEN(AU179)&lt;2,ISNUMBER(MATCH(AU179,L_Placeholder,0))),"INVALID – PIC missing",IF(OR(LEN(AV179)&lt;2,ISNUMBER(MATCH(AV179,L_Placeholder,0))),"INVALID – result / assessment missing",IF(OR(OR(LEN(AW179)&lt;3,ISNUMBER(MATCH(AW179,L_Placeholder,0))),SUMPRODUCT(--ISNUMBER(SEARCH(L_EvidencePhrase,AW179)))&gt;0),"INVALID – evidence missing, placeholder or not yet on file",IF(OR(LEN(AX179)&lt;2,ISNUMBER(MATCH(AX179,L_Placeholder,0))),"INVALID – verifier missing",IF(AX179=AU179,"INVALID – verifier must be someone other than the PIC",IF(AND(TRIM(U179)="Pass",SUMPRODUCT(--ISNUMBER(SEARCH(L_ResultBad,AV179)))&gt;0),"INVALID – result describes a problem: use Fail, then Pass after CA",IF(AND(AQ179=1,OR(LEN(AY179)&lt;3,ISNUMBER(MATCH(AY179,L_Placeholder,0)))),"INVALID – batch ID missing or placeholder",IF(AND(AR179=1,OR(NOT(ISNUMBER(X179)),NOT(ISNUMBER(Y179)))),"INVALID – expected/actual qty missing",IF(AND(AR179=1,OR(X179&lt;=0,Y179&lt;0)),"INVALID – expected qty must be above 0 and actual not negative",IF(BB179&lt;&gt;"",BB179,IF(AND(AS179=1,Documents!$J$10&lt;&gt;"ON FILE"),"INVALID – GLD not on file (Documents sheet)",IF(AND(AS179=2,Documents!$O$10&lt;&gt;"ON FILE"),"INVALID – menu checklist not on file (Documents sheet)",IF(AND(AS179=3,NOT(ISNUMBER(Flights!$AX$10))),"INVALID – enter carrying flight KUL departure (Flights AX)",IF(AND(AS179=3,OR(Flights!$AZ$10&gt;Flights!$AA$10,Flights!$AX$10&lt;Flights!$AA$10-3)),"INVALID – carrying flight (Flights AX) cannot arrive before this leg's STD, or is over 3 days early",IF(AG179&gt;AsOfUTC,"INVALID – completion time is in the future",IF(AND(ISNUMBER(S179),AG179&lt;S179),IF(H179="Physical uplift","INVALID – before uplift window (cannot confirm loading)","INVALID – before valid window"),IF(AG179&gt;Flights!$AA$10,"INVALID – completed after departure (cannot establish readiness)",IF(AND(H179="Preparation",AG179&gt;IF(ISNUMBER(Flights!$BA$10),MIN(Flights!$BA$10,Flights!$AA$10),Flights!$AA$10)),"INVALID – completed after loading / departure (cannot establish readiness)",IF(AND(H179="Physical uplift",AG179&gt;Q179),"INVALID – recorded after the loading flight departed",IF(AG179&gt;Q179,"COMPLETE – LATE","COMPLETE"))))))))))))))))))))),IF(TRIM(U179)="Fail","FAIL – DISCREPANCY",IF(AND(TRIM(U179)&lt;&gt;"",TRIM(U179)&lt;&gt;"Not started",TRIM(U179)&lt;&gt;"In progress"),"INVALID – unrecognised status (use the list)",IF(AsOfUTC&gt;Q179,"OVERDUE",IF(N179="Clarification required","OPEN – CLARIFICATION","OPEN"))))))),"INVALID – error value in an input cell")</f>
        <v>OPEN</v>
      </c>
      <c r="AI179" s="61" t="n">
        <f aca="false">IF(OR(AH179="N/A – RULE",AH179="N/A – JUSTIFIED"),0,1)</f>
        <v>1</v>
      </c>
      <c r="AJ179" s="61" t="n">
        <f aca="false">IF(LEFT(AH179,8)="COMPLETE",1,0)</f>
        <v>0</v>
      </c>
      <c r="AK179" s="61" t="n">
        <f aca="false">IF(AND(AI179=1,AJ179=0,AsOfUTC&gt;Q179),1,0)</f>
        <v>0</v>
      </c>
      <c r="AL179" s="61" t="n">
        <f aca="false">IFERROR(IF(AND(AI179=1,OR(TRIM(U179)="Fail",AND(TRIM(AB179)&lt;&gt;"",TRIM(AB179)&lt;&gt;"Closed"),AND(ISNUMBER(AF179),AF179&lt;&gt;0,TRIM(U179)&lt;&gt;"Pass after CA"))),1,0),1)</f>
        <v>0</v>
      </c>
      <c r="AM179" s="61" t="n">
        <f aca="false">IF(LEFT(AH179,7)="INVALID",1,0)</f>
        <v>0</v>
      </c>
      <c r="AN179" s="61" t="n">
        <f aca="false">IF(AND(N179="Clarification required",AI179=1,AJ179=0),1,0)</f>
        <v>0</v>
      </c>
      <c r="AO179" s="61" t="str">
        <f aca="false">IF(AK179=1,SUM(AK$5:AK179),"")</f>
        <v/>
      </c>
      <c r="AP179" s="61" t="str">
        <f aca="false">IF(AL179=1,SUM(AL$5:AL179),"")</f>
        <v/>
      </c>
      <c r="AQ179" s="61" t="n">
        <v>0</v>
      </c>
      <c r="AR179" s="61" t="n">
        <v>0</v>
      </c>
      <c r="AS179" s="61" t="n">
        <v>0</v>
      </c>
      <c r="AT179" s="61" t="n">
        <v>0</v>
      </c>
      <c r="AU179" s="61" t="str">
        <f aca="false">SUBSTITUTE(SUBSTITUTE(SUBSTITUTE(SUBSTITUTE(SUBSTITUTE(SUBSTITUTE(SUBSTITUTE(SUBSTITUTE(SUBSTITUTE(SUBSTITUTE(SUBSTITUTE(SUBSTITUTE(SUBSTITUTE(LOWER(T179&amp;""),CHAR(160),"")," ",""),".",""),"-",""),"/",""),"?",""),"_",""),",",""),"[",""),"]",""),"(",""),")",""),"*","")</f>
        <v/>
      </c>
      <c r="AV179" s="61" t="str">
        <f aca="false">SUBSTITUTE(SUBSTITUTE(SUBSTITUTE(SUBSTITUTE(SUBSTITUTE(SUBSTITUTE(SUBSTITUTE(SUBSTITUTE(SUBSTITUTE(SUBSTITUTE(SUBSTITUTE(SUBSTITUTE(SUBSTITUTE(LOWER(V179&amp;""),CHAR(160),"")," ",""),".",""),"-",""),"/",""),"?",""),"_",""),",",""),"[",""),"]",""),"(",""),")",""),"*","")</f>
        <v/>
      </c>
      <c r="AW179" s="61" t="str">
        <f aca="false">SUBSTITUTE(SUBSTITUTE(SUBSTITUTE(SUBSTITUTE(SUBSTITUTE(SUBSTITUTE(SUBSTITUTE(SUBSTITUTE(SUBSTITUTE(SUBSTITUTE(SUBSTITUTE(SUBSTITUTE(SUBSTITUTE(LOWER(Z179&amp;""),CHAR(160),"")," ",""),".",""),"-",""),"/",""),"?",""),"_",""),",",""),"[",""),"]",""),"(",""),")",""),"*","")</f>
        <v/>
      </c>
      <c r="AX179" s="61" t="str">
        <f aca="false">SUBSTITUTE(SUBSTITUTE(SUBSTITUTE(SUBSTITUTE(SUBSTITUTE(SUBSTITUTE(SUBSTITUTE(SUBSTITUTE(SUBSTITUTE(SUBSTITUTE(SUBSTITUTE(SUBSTITUTE(SUBSTITUTE(LOWER(AE179&amp;""),CHAR(160),"")," ",""),".",""),"-",""),"/",""),"?",""),"_",""),",",""),"[",""),"]",""),"(",""),")",""),"*","")</f>
        <v/>
      </c>
      <c r="AY179" s="61" t="str">
        <f aca="false">SUBSTITUTE(SUBSTITUTE(SUBSTITUTE(SUBSTITUTE(SUBSTITUTE(SUBSTITUTE(SUBSTITUTE(SUBSTITUTE(SUBSTITUTE(SUBSTITUTE(SUBSTITUTE(SUBSTITUTE(SUBSTITUTE(LOWER(W179&amp;""),CHAR(160),"")," ",""),".",""),"-",""),"/",""),"?",""),"_",""),",",""),"[",""),"]",""),"(",""),")",""),"*","")</f>
        <v/>
      </c>
      <c r="AZ179" s="61" t="str">
        <f aca="false">SUBSTITUTE(SUBSTITUTE(SUBSTITUTE(SUBSTITUTE(SUBSTITUTE(SUBSTITUTE(SUBSTITUTE(SUBSTITUTE(SUBSTITUTE(SUBSTITUTE(SUBSTITUTE(SUBSTITUTE(SUBSTITUTE(LOWER(AC179&amp;""),CHAR(160),"")," ",""),".",""),"-",""),"/",""),"?",""),"_",""),",",""),"[",""),"]",""),"(",""),")",""),"*","")</f>
        <v/>
      </c>
      <c r="BA179" s="61" t="str">
        <f aca="false">SUBSTITUTE(SUBSTITUTE(SUBSTITUTE(SUBSTITUTE(SUBSTITUTE(SUBSTITUTE(SUBSTITUTE(SUBSTITUTE(SUBSTITUTE(SUBSTITUTE(SUBSTITUTE(SUBSTITUTE(SUBSTITUTE(LOWER(AA179&amp;""),CHAR(160),"")," ",""),".",""),"-",""),"/",""),"?",""),"_",""),",",""),"[",""),"]",""),"(",""),")",""),"*","")</f>
        <v/>
      </c>
      <c r="BB179" s="61" t="str">
        <f aca="false">IF(AND(TRIM(U179)="Pass",ISNUMBER(AF179)),IF(AF179&lt;&gt;0,"INVALID – qty variance: use Fail or Pass after CA",""),"")&amp;IF(AND(TRIM(U179)="Pass after CA",ISNUMBER(AF179)),IF(AF179&lt;&gt;0,"INVALID – after the corrective action the actual qty must equal expected (update Actual)",""),"")&amp;IF(AND(TRIM(U179)="Pass",TRIM(AB179)&lt;&gt;"",TRIM(AB179)&lt;&gt;"Closed"),"INVALID – corrective action not closed: use Fail, then Pass after CA","")&amp;IF(AND(TRIM(AA179)&lt;&gt;"",TRIM(AB179)=""),"INVALID – CA status missing for the recorded corrective action","")&amp;IF(AND(TRIM(U179)="Pass after CA",OR(OR(LEN(BA179)&lt;5,ISNUMBER(MATCH(BA179,L_Placeholder,0))),TRIM(AB179)&lt;&gt;"Closed")),"INVALID – corrective action not recorded/closed","")</f>
        <v/>
      </c>
    </row>
    <row r="180" customFormat="false" ht="39.75" hidden="false" customHeight="true" outlineLevel="0" collapsed="false">
      <c r="A180" s="57" t="s">
        <v>700</v>
      </c>
      <c r="B180" s="57" t="s">
        <v>228</v>
      </c>
      <c r="C180" s="57" t="str">
        <f aca="false">Flights!$F$10</f>
        <v>MH0002</v>
      </c>
      <c r="D180" s="58" t="n">
        <f aca="false">Flights!$D$10</f>
        <v>46310</v>
      </c>
      <c r="E180" s="57" t="str">
        <f aca="false">Flights!$G$10&amp;"-"&amp;Flights!$H$10</f>
        <v>KUL-LHR</v>
      </c>
      <c r="F180" s="57" t="str">
        <f aca="false">Flights!$K$10</f>
        <v>BC</v>
      </c>
      <c r="G180" s="57" t="s">
        <v>398</v>
      </c>
      <c r="H180" s="57" t="s">
        <v>356</v>
      </c>
      <c r="I180" s="57" t="s">
        <v>406</v>
      </c>
      <c r="J180" s="57" t="s">
        <v>411</v>
      </c>
      <c r="K180" s="67"/>
      <c r="L180" s="67" t="s">
        <v>400</v>
      </c>
      <c r="M180" s="67"/>
      <c r="N180" s="67" t="s">
        <v>361</v>
      </c>
      <c r="O180" s="67" t="s">
        <v>401</v>
      </c>
      <c r="P180" s="57" t="s">
        <v>184</v>
      </c>
      <c r="Q180" s="59" t="n">
        <f aca="false">ROUND((Flights!$AE$10)*1440,0)/1440</f>
        <v>46310.1388888889</v>
      </c>
      <c r="R180" s="59" t="n">
        <f aca="false">Q180+(IF(AND(INDEX(TZ_DSTS,MATCH(P180,TZ_STN,0))&lt;&gt;"",Q180&gt;=INDEX(TZ_DSTS,MATCH(P180,TZ_STN,0)),Q180&lt;INDEX(TZ_DSTE,MATCH(P180,TZ_STN,0))),INDEX(TZ_DST,MATCH(P180,TZ_STN,0)),INDEX(TZ_STD,MATCH(P180,TZ_STN,0))))/24</f>
        <v>46310.4722222222</v>
      </c>
      <c r="S180" s="59" t="n">
        <f aca="false">Q180-T12EarlyH/24</f>
        <v>46309.6388888889</v>
      </c>
      <c r="T180" s="60"/>
      <c r="U180" s="60"/>
      <c r="V180" s="60"/>
      <c r="W180" s="61"/>
      <c r="X180" s="60"/>
      <c r="Y180" s="60"/>
      <c r="Z180" s="60"/>
      <c r="AA180" s="60"/>
      <c r="AB180" s="60"/>
      <c r="AC180" s="60"/>
      <c r="AD180" s="66"/>
      <c r="AE180" s="60"/>
      <c r="AF180" s="61" t="str">
        <f aca="false">IF(AND(ISNUMBER(X180),ISNUMBER(Y180)),Y180-X180,"")</f>
        <v/>
      </c>
      <c r="AG180" s="62" t="str">
        <f aca="false">IF(ISNUMBER(AD180),AD180-(IF(AND(INDEX(TZ_DSTS,MATCH(P180,TZ_STN,0))&lt;&gt;"",(AD180-INDEX(TZ_STD,MATCH(P180,TZ_STN,0))/24)&gt;=INDEX(TZ_DSTS,MATCH(P180,TZ_STN,0)),(AD180-INDEX(TZ_STD,MATCH(P180,TZ_STN,0))/24)&lt;INDEX(TZ_DSTE,MATCH(P180,TZ_STN,0))),INDEX(TZ_DST,MATCH(P180,TZ_STN,0)),INDEX(TZ_STD,MATCH(P180,TZ_STN,0))))/24,"")</f>
        <v/>
      </c>
      <c r="AH180" s="65" t="str">
        <f aca="false">IFERROR(IF(N180="N/A – rule","N/A – RULE",IF(TRIM(U180)="N/A",IF(AT180=0,"INVALID – N/A not permitted for this check",IF(AND(TRIM(AB180)&lt;&gt;"",TRIM(AB180)&lt;&gt;"Closed"),"INVALID – corrective action still open",IF(AND(NOT(OR(LEN(AZ180)&lt;15,ISNUMBER(MATCH(AZ180,L_Placeholder,0)))),NOT(OR(LEN(AU180)&lt;2,ISNUMBER(MATCH(AU180,L_Placeholder,0)))),NOT(OR(LEN(AX180)&lt;2,ISNUMBER(MATCH(AX180,L_Placeholder,0)))),TRIM(AE180)&lt;&gt;TRIM(T180)),"N/A – JUSTIFIED","INVALID – N/A needs a real justification (15+ chars), PIC and a different verifier"))),IF(OR(TRIM(U180)="Pass",TRIM(U180)="Pass after CA"),IF(NOT(ISNUMBER(AD180)),"INVALID – completion time missing",IF(OR(LEN(AU180)&lt;2,ISNUMBER(MATCH(AU180,L_Placeholder,0))),"INVALID – PIC missing",IF(OR(LEN(AV180)&lt;2,ISNUMBER(MATCH(AV180,L_Placeholder,0))),"INVALID – result / assessment missing",IF(OR(OR(LEN(AW180)&lt;3,ISNUMBER(MATCH(AW180,L_Placeholder,0))),SUMPRODUCT(--ISNUMBER(SEARCH(L_EvidencePhrase,AW180)))&gt;0),"INVALID – evidence missing, placeholder or not yet on file",IF(OR(LEN(AX180)&lt;2,ISNUMBER(MATCH(AX180,L_Placeholder,0))),"INVALID – verifier missing",IF(AX180=AU180,"INVALID – verifier must be someone other than the PIC",IF(AND(TRIM(U180)="Pass",SUMPRODUCT(--ISNUMBER(SEARCH(L_ResultBad,AV180)))&gt;0),"INVALID – result describes a problem: use Fail, then Pass after CA",IF(AND(AQ180=1,OR(LEN(AY180)&lt;3,ISNUMBER(MATCH(AY180,L_Placeholder,0)))),"INVALID – batch ID missing or placeholder",IF(AND(AR180=1,OR(NOT(ISNUMBER(X180)),NOT(ISNUMBER(Y180)))),"INVALID – expected/actual qty missing",IF(AND(AR180=1,OR(X180&lt;=0,Y180&lt;0)),"INVALID – expected qty must be above 0 and actual not negative",IF(BB180&lt;&gt;"",BB180,IF(AND(AS180=1,Documents!$J$10&lt;&gt;"ON FILE"),"INVALID – GLD not on file (Documents sheet)",IF(AND(AS180=2,Documents!$O$10&lt;&gt;"ON FILE"),"INVALID – menu checklist not on file (Documents sheet)",IF(AND(AS180=3,NOT(ISNUMBER(Flights!$AX$10))),"INVALID – enter carrying flight KUL departure (Flights AX)",IF(AND(AS180=3,OR(Flights!$AZ$10&gt;Flights!$AA$10,Flights!$AX$10&lt;Flights!$AA$10-3)),"INVALID – carrying flight (Flights AX) cannot arrive before this leg's STD, or is over 3 days early",IF(AG180&gt;AsOfUTC,"INVALID – completion time is in the future",IF(AND(ISNUMBER(S180),AG180&lt;S180),IF(H180="Physical uplift","INVALID – before uplift window (cannot confirm loading)","INVALID – before valid window"),IF(AG180&gt;Flights!$AA$10,"INVALID – completed after departure (cannot establish readiness)",IF(AND(H180="Preparation",AG180&gt;IF(ISNUMBER(Flights!$BA$10),MIN(Flights!$BA$10,Flights!$AA$10),Flights!$AA$10)),"INVALID – completed after loading / departure (cannot establish readiness)",IF(AND(H180="Physical uplift",AG180&gt;Q180),"INVALID – recorded after the loading flight departed",IF(AG180&gt;Q180,"COMPLETE – LATE","COMPLETE"))))))))))))))))))))),IF(TRIM(U180)="Fail","FAIL – DISCREPANCY",IF(AND(TRIM(U180)&lt;&gt;"",TRIM(U180)&lt;&gt;"Not started",TRIM(U180)&lt;&gt;"In progress"),"INVALID – unrecognised status (use the list)",IF(AsOfUTC&gt;Q180,"OVERDUE",IF(N180="Clarification required","OPEN – CLARIFICATION","OPEN"))))))),"INVALID – error value in an input cell")</f>
        <v>OPEN</v>
      </c>
      <c r="AI180" s="61" t="n">
        <f aca="false">IF(OR(AH180="N/A – RULE",AH180="N/A – JUSTIFIED"),0,1)</f>
        <v>1</v>
      </c>
      <c r="AJ180" s="61" t="n">
        <f aca="false">IF(LEFT(AH180,8)="COMPLETE",1,0)</f>
        <v>0</v>
      </c>
      <c r="AK180" s="61" t="n">
        <f aca="false">IF(AND(AI180=1,AJ180=0,AsOfUTC&gt;Q180),1,0)</f>
        <v>0</v>
      </c>
      <c r="AL180" s="61" t="n">
        <f aca="false">IFERROR(IF(AND(AI180=1,OR(TRIM(U180)="Fail",AND(TRIM(AB180)&lt;&gt;"",TRIM(AB180)&lt;&gt;"Closed"),AND(ISNUMBER(AF180),AF180&lt;&gt;0,TRIM(U180)&lt;&gt;"Pass after CA"))),1,0),1)</f>
        <v>0</v>
      </c>
      <c r="AM180" s="61" t="n">
        <f aca="false">IF(LEFT(AH180,7)="INVALID",1,0)</f>
        <v>0</v>
      </c>
      <c r="AN180" s="61" t="n">
        <f aca="false">IF(AND(N180="Clarification required",AI180=1,AJ180=0),1,0)</f>
        <v>0</v>
      </c>
      <c r="AO180" s="61" t="str">
        <f aca="false">IF(AK180=1,SUM(AK$5:AK180),"")</f>
        <v/>
      </c>
      <c r="AP180" s="61" t="str">
        <f aca="false">IF(AL180=1,SUM(AL$5:AL180),"")</f>
        <v/>
      </c>
      <c r="AQ180" s="61" t="n">
        <v>0</v>
      </c>
      <c r="AR180" s="61" t="n">
        <v>0</v>
      </c>
      <c r="AS180" s="61" t="n">
        <v>0</v>
      </c>
      <c r="AT180" s="61" t="n">
        <v>0</v>
      </c>
      <c r="AU180" s="61" t="str">
        <f aca="false">SUBSTITUTE(SUBSTITUTE(SUBSTITUTE(SUBSTITUTE(SUBSTITUTE(SUBSTITUTE(SUBSTITUTE(SUBSTITUTE(SUBSTITUTE(SUBSTITUTE(SUBSTITUTE(SUBSTITUTE(SUBSTITUTE(LOWER(T180&amp;""),CHAR(160),"")," ",""),".",""),"-",""),"/",""),"?",""),"_",""),",",""),"[",""),"]",""),"(",""),")",""),"*","")</f>
        <v/>
      </c>
      <c r="AV180" s="61" t="str">
        <f aca="false">SUBSTITUTE(SUBSTITUTE(SUBSTITUTE(SUBSTITUTE(SUBSTITUTE(SUBSTITUTE(SUBSTITUTE(SUBSTITUTE(SUBSTITUTE(SUBSTITUTE(SUBSTITUTE(SUBSTITUTE(SUBSTITUTE(LOWER(V180&amp;""),CHAR(160),"")," ",""),".",""),"-",""),"/",""),"?",""),"_",""),",",""),"[",""),"]",""),"(",""),")",""),"*","")</f>
        <v/>
      </c>
      <c r="AW180" s="61" t="str">
        <f aca="false">SUBSTITUTE(SUBSTITUTE(SUBSTITUTE(SUBSTITUTE(SUBSTITUTE(SUBSTITUTE(SUBSTITUTE(SUBSTITUTE(SUBSTITUTE(SUBSTITUTE(SUBSTITUTE(SUBSTITUTE(SUBSTITUTE(LOWER(Z180&amp;""),CHAR(160),"")," ",""),".",""),"-",""),"/",""),"?",""),"_",""),",",""),"[",""),"]",""),"(",""),")",""),"*","")</f>
        <v/>
      </c>
      <c r="AX180" s="61" t="str">
        <f aca="false">SUBSTITUTE(SUBSTITUTE(SUBSTITUTE(SUBSTITUTE(SUBSTITUTE(SUBSTITUTE(SUBSTITUTE(SUBSTITUTE(SUBSTITUTE(SUBSTITUTE(SUBSTITUTE(SUBSTITUTE(SUBSTITUTE(LOWER(AE180&amp;""),CHAR(160),"")," ",""),".",""),"-",""),"/",""),"?",""),"_",""),",",""),"[",""),"]",""),"(",""),")",""),"*","")</f>
        <v/>
      </c>
      <c r="AY180" s="61" t="str">
        <f aca="false">SUBSTITUTE(SUBSTITUTE(SUBSTITUTE(SUBSTITUTE(SUBSTITUTE(SUBSTITUTE(SUBSTITUTE(SUBSTITUTE(SUBSTITUTE(SUBSTITUTE(SUBSTITUTE(SUBSTITUTE(SUBSTITUTE(LOWER(W180&amp;""),CHAR(160),"")," ",""),".",""),"-",""),"/",""),"?",""),"_",""),",",""),"[",""),"]",""),"(",""),")",""),"*","")</f>
        <v/>
      </c>
      <c r="AZ180" s="61" t="str">
        <f aca="false">SUBSTITUTE(SUBSTITUTE(SUBSTITUTE(SUBSTITUTE(SUBSTITUTE(SUBSTITUTE(SUBSTITUTE(SUBSTITUTE(SUBSTITUTE(SUBSTITUTE(SUBSTITUTE(SUBSTITUTE(SUBSTITUTE(LOWER(AC180&amp;""),CHAR(160),"")," ",""),".",""),"-",""),"/",""),"?",""),"_",""),",",""),"[",""),"]",""),"(",""),")",""),"*","")</f>
        <v/>
      </c>
      <c r="BA180" s="61" t="str">
        <f aca="false">SUBSTITUTE(SUBSTITUTE(SUBSTITUTE(SUBSTITUTE(SUBSTITUTE(SUBSTITUTE(SUBSTITUTE(SUBSTITUTE(SUBSTITUTE(SUBSTITUTE(SUBSTITUTE(SUBSTITUTE(SUBSTITUTE(LOWER(AA180&amp;""),CHAR(160),"")," ",""),".",""),"-",""),"/",""),"?",""),"_",""),",",""),"[",""),"]",""),"(",""),")",""),"*","")</f>
        <v/>
      </c>
      <c r="BB180" s="61" t="str">
        <f aca="false">IF(AND(TRIM(U180)="Pass",ISNUMBER(AF180)),IF(AF180&lt;&gt;0,"INVALID – qty variance: use Fail or Pass after CA",""),"")&amp;IF(AND(TRIM(U180)="Pass after CA",ISNUMBER(AF180)),IF(AF180&lt;&gt;0,"INVALID – after the corrective action the actual qty must equal expected (update Actual)",""),"")&amp;IF(AND(TRIM(U180)="Pass",TRIM(AB180)&lt;&gt;"",TRIM(AB180)&lt;&gt;"Closed"),"INVALID – corrective action not closed: use Fail, then Pass after CA","")&amp;IF(AND(TRIM(AA180)&lt;&gt;"",TRIM(AB180)=""),"INVALID – CA status missing for the recorded corrective action","")&amp;IF(AND(TRIM(U180)="Pass after CA",OR(OR(LEN(BA180)&lt;5,ISNUMBER(MATCH(BA180,L_Placeholder,0))),TRIM(AB180)&lt;&gt;"Closed")),"INVALID – corrective action not recorded/closed","")</f>
        <v/>
      </c>
    </row>
    <row r="181" customFormat="false" ht="141" hidden="false" customHeight="true" outlineLevel="0" collapsed="false">
      <c r="A181" s="57" t="s">
        <v>701</v>
      </c>
      <c r="B181" s="57" t="s">
        <v>228</v>
      </c>
      <c r="C181" s="57" t="str">
        <f aca="false">Flights!$F$10</f>
        <v>MH0002</v>
      </c>
      <c r="D181" s="58" t="n">
        <f aca="false">Flights!$D$10</f>
        <v>46310</v>
      </c>
      <c r="E181" s="57" t="str">
        <f aca="false">Flights!$G$10&amp;"-"&amp;Flights!$H$10</f>
        <v>KUL-LHR</v>
      </c>
      <c r="F181" s="57" t="str">
        <f aca="false">Flights!$K$10</f>
        <v>BC</v>
      </c>
      <c r="G181" s="57" t="s">
        <v>398</v>
      </c>
      <c r="H181" s="57" t="s">
        <v>356</v>
      </c>
      <c r="I181" s="57" t="s">
        <v>406</v>
      </c>
      <c r="J181" s="57" t="s">
        <v>413</v>
      </c>
      <c r="K181" s="67" t="s">
        <v>414</v>
      </c>
      <c r="L181" s="67" t="s">
        <v>400</v>
      </c>
      <c r="M181" s="67"/>
      <c r="N181" s="67" t="s">
        <v>361</v>
      </c>
      <c r="O181" s="67" t="s">
        <v>401</v>
      </c>
      <c r="P181" s="57" t="s">
        <v>184</v>
      </c>
      <c r="Q181" s="59" t="n">
        <f aca="false">ROUND((Flights!$AE$10)*1440,0)/1440</f>
        <v>46310.1388888889</v>
      </c>
      <c r="R181" s="59" t="n">
        <f aca="false">Q181+(IF(AND(INDEX(TZ_DSTS,MATCH(P181,TZ_STN,0))&lt;&gt;"",Q181&gt;=INDEX(TZ_DSTS,MATCH(P181,TZ_STN,0)),Q181&lt;INDEX(TZ_DSTE,MATCH(P181,TZ_STN,0))),INDEX(TZ_DST,MATCH(P181,TZ_STN,0)),INDEX(TZ_STD,MATCH(P181,TZ_STN,0))))/24</f>
        <v>46310.4722222222</v>
      </c>
      <c r="S181" s="59" t="n">
        <f aca="false">Q181-T12EarlyH/24</f>
        <v>46309.6388888889</v>
      </c>
      <c r="T181" s="60"/>
      <c r="U181" s="60"/>
      <c r="V181" s="60"/>
      <c r="W181" s="61"/>
      <c r="X181" s="60"/>
      <c r="Y181" s="60"/>
      <c r="Z181" s="60"/>
      <c r="AA181" s="60"/>
      <c r="AB181" s="60"/>
      <c r="AC181" s="60"/>
      <c r="AD181" s="66"/>
      <c r="AE181" s="60"/>
      <c r="AF181" s="61" t="str">
        <f aca="false">IF(AND(ISNUMBER(X181),ISNUMBER(Y181)),Y181-X181,"")</f>
        <v/>
      </c>
      <c r="AG181" s="62" t="str">
        <f aca="false">IF(ISNUMBER(AD181),AD181-(IF(AND(INDEX(TZ_DSTS,MATCH(P181,TZ_STN,0))&lt;&gt;"",(AD181-INDEX(TZ_STD,MATCH(P181,TZ_STN,0))/24)&gt;=INDEX(TZ_DSTS,MATCH(P181,TZ_STN,0)),(AD181-INDEX(TZ_STD,MATCH(P181,TZ_STN,0))/24)&lt;INDEX(TZ_DSTE,MATCH(P181,TZ_STN,0))),INDEX(TZ_DST,MATCH(P181,TZ_STN,0)),INDEX(TZ_STD,MATCH(P181,TZ_STN,0))))/24,"")</f>
        <v/>
      </c>
      <c r="AH181" s="65" t="str">
        <f aca="false">IFERROR(IF(N181="N/A – rule","N/A – RULE",IF(TRIM(U181)="N/A",IF(AT181=0,"INVALID – N/A not permitted for this check",IF(AND(TRIM(AB181)&lt;&gt;"",TRIM(AB181)&lt;&gt;"Closed"),"INVALID – corrective action still open",IF(AND(NOT(OR(LEN(AZ181)&lt;15,ISNUMBER(MATCH(AZ181,L_Placeholder,0)))),NOT(OR(LEN(AU181)&lt;2,ISNUMBER(MATCH(AU181,L_Placeholder,0)))),NOT(OR(LEN(AX181)&lt;2,ISNUMBER(MATCH(AX181,L_Placeholder,0)))),TRIM(AE181)&lt;&gt;TRIM(T181)),"N/A – JUSTIFIED","INVALID – N/A needs a real justification (15+ chars), PIC and a different verifier"))),IF(OR(TRIM(U181)="Pass",TRIM(U181)="Pass after CA"),IF(NOT(ISNUMBER(AD181)),"INVALID – completion time missing",IF(OR(LEN(AU181)&lt;2,ISNUMBER(MATCH(AU181,L_Placeholder,0))),"INVALID – PIC missing",IF(OR(LEN(AV181)&lt;2,ISNUMBER(MATCH(AV181,L_Placeholder,0))),"INVALID – result / assessment missing",IF(OR(OR(LEN(AW181)&lt;3,ISNUMBER(MATCH(AW181,L_Placeholder,0))),SUMPRODUCT(--ISNUMBER(SEARCH(L_EvidencePhrase,AW181)))&gt;0),"INVALID – evidence missing, placeholder or not yet on file",IF(OR(LEN(AX181)&lt;2,ISNUMBER(MATCH(AX181,L_Placeholder,0))),"INVALID – verifier missing",IF(AX181=AU181,"INVALID – verifier must be someone other than the PIC",IF(AND(TRIM(U181)="Pass",SUMPRODUCT(--ISNUMBER(SEARCH(L_ResultBad,AV181)))&gt;0),"INVALID – result describes a problem: use Fail, then Pass after CA",IF(AND(AQ181=1,OR(LEN(AY181)&lt;3,ISNUMBER(MATCH(AY181,L_Placeholder,0)))),"INVALID – batch ID missing or placeholder",IF(AND(AR181=1,OR(NOT(ISNUMBER(X181)),NOT(ISNUMBER(Y181)))),"INVALID – expected/actual qty missing",IF(AND(AR181=1,OR(X181&lt;=0,Y181&lt;0)),"INVALID – expected qty must be above 0 and actual not negative",IF(BB181&lt;&gt;"",BB181,IF(AND(AS181=1,Documents!$J$10&lt;&gt;"ON FILE"),"INVALID – GLD not on file (Documents sheet)",IF(AND(AS181=2,Documents!$O$10&lt;&gt;"ON FILE"),"INVALID – menu checklist not on file (Documents sheet)",IF(AND(AS181=3,NOT(ISNUMBER(Flights!$AX$10))),"INVALID – enter carrying flight KUL departure (Flights AX)",IF(AND(AS181=3,OR(Flights!$AZ$10&gt;Flights!$AA$10,Flights!$AX$10&lt;Flights!$AA$10-3)),"INVALID – carrying flight (Flights AX) cannot arrive before this leg's STD, or is over 3 days early",IF(AG181&gt;AsOfUTC,"INVALID – completion time is in the future",IF(AND(ISNUMBER(S181),AG181&lt;S181),IF(H181="Physical uplift","INVALID – before uplift window (cannot confirm loading)","INVALID – before valid window"),IF(AG181&gt;Flights!$AA$10,"INVALID – completed after departure (cannot establish readiness)",IF(AND(H181="Preparation",AG181&gt;IF(ISNUMBER(Flights!$BA$10),MIN(Flights!$BA$10,Flights!$AA$10),Flights!$AA$10)),"INVALID – completed after loading / departure (cannot establish readiness)",IF(AND(H181="Physical uplift",AG181&gt;Q181),"INVALID – recorded after the loading flight departed",IF(AG181&gt;Q181,"COMPLETE – LATE","COMPLETE"))))))))))))))))))))),IF(TRIM(U181)="Fail","FAIL – DISCREPANCY",IF(AND(TRIM(U181)&lt;&gt;"",TRIM(U181)&lt;&gt;"Not started",TRIM(U181)&lt;&gt;"In progress"),"INVALID – unrecognised status (use the list)",IF(AsOfUTC&gt;Q181,"OVERDUE",IF(N181="Clarification required","OPEN – CLARIFICATION","OPEN"))))))),"INVALID – error value in an input cell")</f>
        <v>OPEN</v>
      </c>
      <c r="AI181" s="61" t="n">
        <f aca="false">IF(OR(AH181="N/A – RULE",AH181="N/A – JUSTIFIED"),0,1)</f>
        <v>1</v>
      </c>
      <c r="AJ181" s="61" t="n">
        <f aca="false">IF(LEFT(AH181,8)="COMPLETE",1,0)</f>
        <v>0</v>
      </c>
      <c r="AK181" s="61" t="n">
        <f aca="false">IF(AND(AI181=1,AJ181=0,AsOfUTC&gt;Q181),1,0)</f>
        <v>0</v>
      </c>
      <c r="AL181" s="61" t="n">
        <f aca="false">IFERROR(IF(AND(AI181=1,OR(TRIM(U181)="Fail",AND(TRIM(AB181)&lt;&gt;"",TRIM(AB181)&lt;&gt;"Closed"),AND(ISNUMBER(AF181),AF181&lt;&gt;0,TRIM(U181)&lt;&gt;"Pass after CA"))),1,0),1)</f>
        <v>0</v>
      </c>
      <c r="AM181" s="61" t="n">
        <f aca="false">IF(LEFT(AH181,7)="INVALID",1,0)</f>
        <v>0</v>
      </c>
      <c r="AN181" s="61" t="n">
        <f aca="false">IF(AND(N181="Clarification required",AI181=1,AJ181=0),1,0)</f>
        <v>0</v>
      </c>
      <c r="AO181" s="61" t="str">
        <f aca="false">IF(AK181=1,SUM(AK$5:AK181),"")</f>
        <v/>
      </c>
      <c r="AP181" s="61" t="str">
        <f aca="false">IF(AL181=1,SUM(AL$5:AL181),"")</f>
        <v/>
      </c>
      <c r="AQ181" s="61" t="n">
        <v>0</v>
      </c>
      <c r="AR181" s="61" t="n">
        <v>1</v>
      </c>
      <c r="AS181" s="61" t="n">
        <v>0</v>
      </c>
      <c r="AT181" s="61" t="n">
        <v>0</v>
      </c>
      <c r="AU181" s="61" t="str">
        <f aca="false">SUBSTITUTE(SUBSTITUTE(SUBSTITUTE(SUBSTITUTE(SUBSTITUTE(SUBSTITUTE(SUBSTITUTE(SUBSTITUTE(SUBSTITUTE(SUBSTITUTE(SUBSTITUTE(SUBSTITUTE(SUBSTITUTE(LOWER(T181&amp;""),CHAR(160),"")," ",""),".",""),"-",""),"/",""),"?",""),"_",""),",",""),"[",""),"]",""),"(",""),")",""),"*","")</f>
        <v/>
      </c>
      <c r="AV181" s="61" t="str">
        <f aca="false">SUBSTITUTE(SUBSTITUTE(SUBSTITUTE(SUBSTITUTE(SUBSTITUTE(SUBSTITUTE(SUBSTITUTE(SUBSTITUTE(SUBSTITUTE(SUBSTITUTE(SUBSTITUTE(SUBSTITUTE(SUBSTITUTE(LOWER(V181&amp;""),CHAR(160),"")," ",""),".",""),"-",""),"/",""),"?",""),"_",""),",",""),"[",""),"]",""),"(",""),")",""),"*","")</f>
        <v/>
      </c>
      <c r="AW181" s="61" t="str">
        <f aca="false">SUBSTITUTE(SUBSTITUTE(SUBSTITUTE(SUBSTITUTE(SUBSTITUTE(SUBSTITUTE(SUBSTITUTE(SUBSTITUTE(SUBSTITUTE(SUBSTITUTE(SUBSTITUTE(SUBSTITUTE(SUBSTITUTE(LOWER(Z181&amp;""),CHAR(160),"")," ",""),".",""),"-",""),"/",""),"?",""),"_",""),",",""),"[",""),"]",""),"(",""),")",""),"*","")</f>
        <v/>
      </c>
      <c r="AX181" s="61" t="str">
        <f aca="false">SUBSTITUTE(SUBSTITUTE(SUBSTITUTE(SUBSTITUTE(SUBSTITUTE(SUBSTITUTE(SUBSTITUTE(SUBSTITUTE(SUBSTITUTE(SUBSTITUTE(SUBSTITUTE(SUBSTITUTE(SUBSTITUTE(LOWER(AE181&amp;""),CHAR(160),"")," ",""),".",""),"-",""),"/",""),"?",""),"_",""),",",""),"[",""),"]",""),"(",""),")",""),"*","")</f>
        <v/>
      </c>
      <c r="AY181" s="61" t="str">
        <f aca="false">SUBSTITUTE(SUBSTITUTE(SUBSTITUTE(SUBSTITUTE(SUBSTITUTE(SUBSTITUTE(SUBSTITUTE(SUBSTITUTE(SUBSTITUTE(SUBSTITUTE(SUBSTITUTE(SUBSTITUTE(SUBSTITUTE(LOWER(W181&amp;""),CHAR(160),"")," ",""),".",""),"-",""),"/",""),"?",""),"_",""),",",""),"[",""),"]",""),"(",""),")",""),"*","")</f>
        <v/>
      </c>
      <c r="AZ181" s="61" t="str">
        <f aca="false">SUBSTITUTE(SUBSTITUTE(SUBSTITUTE(SUBSTITUTE(SUBSTITUTE(SUBSTITUTE(SUBSTITUTE(SUBSTITUTE(SUBSTITUTE(SUBSTITUTE(SUBSTITUTE(SUBSTITUTE(SUBSTITUTE(LOWER(AC181&amp;""),CHAR(160),"")," ",""),".",""),"-",""),"/",""),"?",""),"_",""),",",""),"[",""),"]",""),"(",""),")",""),"*","")</f>
        <v/>
      </c>
      <c r="BA181" s="61" t="str">
        <f aca="false">SUBSTITUTE(SUBSTITUTE(SUBSTITUTE(SUBSTITUTE(SUBSTITUTE(SUBSTITUTE(SUBSTITUTE(SUBSTITUTE(SUBSTITUTE(SUBSTITUTE(SUBSTITUTE(SUBSTITUTE(SUBSTITUTE(LOWER(AA181&amp;""),CHAR(160),"")," ",""),".",""),"-",""),"/",""),"?",""),"_",""),",",""),"[",""),"]",""),"(",""),")",""),"*","")</f>
        <v/>
      </c>
      <c r="BB181" s="61" t="str">
        <f aca="false">IF(AND(TRIM(U181)="Pass",ISNUMBER(AF181)),IF(AF181&lt;&gt;0,"INVALID – qty variance: use Fail or Pass after CA",""),"")&amp;IF(AND(TRIM(U181)="Pass after CA",ISNUMBER(AF181)),IF(AF181&lt;&gt;0,"INVALID – after the corrective action the actual qty must equal expected (update Actual)",""),"")&amp;IF(AND(TRIM(U181)="Pass",TRIM(AB181)&lt;&gt;"",TRIM(AB181)&lt;&gt;"Closed"),"INVALID – corrective action not closed: use Fail, then Pass after CA","")&amp;IF(AND(TRIM(AA181)&lt;&gt;"",TRIM(AB181)=""),"INVALID – CA status missing for the recorded corrective action","")&amp;IF(AND(TRIM(U181)="Pass after CA",OR(OR(LEN(BA181)&lt;5,ISNUMBER(MATCH(BA181,L_Placeholder,0))),TRIM(AB181)&lt;&gt;"Closed")),"INVALID – corrective action not recorded/closed","")</f>
        <v/>
      </c>
    </row>
    <row r="182" customFormat="false" ht="39.75" hidden="false" customHeight="true" outlineLevel="0" collapsed="false">
      <c r="A182" s="57" t="s">
        <v>702</v>
      </c>
      <c r="B182" s="57" t="s">
        <v>228</v>
      </c>
      <c r="C182" s="57" t="str">
        <f aca="false">Flights!$F$10</f>
        <v>MH0002</v>
      </c>
      <c r="D182" s="58" t="n">
        <f aca="false">Flights!$D$10</f>
        <v>46310</v>
      </c>
      <c r="E182" s="57" t="str">
        <f aca="false">Flights!$G$10&amp;"-"&amp;Flights!$H$10</f>
        <v>KUL-LHR</v>
      </c>
      <c r="F182" s="57" t="str">
        <f aca="false">Flights!$K$10</f>
        <v>BC</v>
      </c>
      <c r="G182" s="57" t="s">
        <v>398</v>
      </c>
      <c r="H182" s="57" t="s">
        <v>356</v>
      </c>
      <c r="I182" s="57" t="s">
        <v>406</v>
      </c>
      <c r="J182" s="57" t="s">
        <v>416</v>
      </c>
      <c r="K182" s="67"/>
      <c r="L182" s="67" t="s">
        <v>400</v>
      </c>
      <c r="M182" s="67"/>
      <c r="N182" s="67" t="s">
        <v>361</v>
      </c>
      <c r="O182" s="67" t="s">
        <v>401</v>
      </c>
      <c r="P182" s="57" t="s">
        <v>184</v>
      </c>
      <c r="Q182" s="59" t="n">
        <f aca="false">ROUND((Flights!$AE$10)*1440,0)/1440</f>
        <v>46310.1388888889</v>
      </c>
      <c r="R182" s="59" t="n">
        <f aca="false">Q182+(IF(AND(INDEX(TZ_DSTS,MATCH(P182,TZ_STN,0))&lt;&gt;"",Q182&gt;=INDEX(TZ_DSTS,MATCH(P182,TZ_STN,0)),Q182&lt;INDEX(TZ_DSTE,MATCH(P182,TZ_STN,0))),INDEX(TZ_DST,MATCH(P182,TZ_STN,0)),INDEX(TZ_STD,MATCH(P182,TZ_STN,0))))/24</f>
        <v>46310.4722222222</v>
      </c>
      <c r="S182" s="59" t="n">
        <f aca="false">Q182-T12EarlyH/24</f>
        <v>46309.6388888889</v>
      </c>
      <c r="T182" s="60"/>
      <c r="U182" s="60"/>
      <c r="V182" s="60"/>
      <c r="W182" s="61"/>
      <c r="X182" s="60"/>
      <c r="Y182" s="60"/>
      <c r="Z182" s="60"/>
      <c r="AA182" s="60"/>
      <c r="AB182" s="60"/>
      <c r="AC182" s="60"/>
      <c r="AD182" s="66"/>
      <c r="AE182" s="60"/>
      <c r="AF182" s="61" t="str">
        <f aca="false">IF(AND(ISNUMBER(X182),ISNUMBER(Y182)),Y182-X182,"")</f>
        <v/>
      </c>
      <c r="AG182" s="62" t="str">
        <f aca="false">IF(ISNUMBER(AD182),AD182-(IF(AND(INDEX(TZ_DSTS,MATCH(P182,TZ_STN,0))&lt;&gt;"",(AD182-INDEX(TZ_STD,MATCH(P182,TZ_STN,0))/24)&gt;=INDEX(TZ_DSTS,MATCH(P182,TZ_STN,0)),(AD182-INDEX(TZ_STD,MATCH(P182,TZ_STN,0))/24)&lt;INDEX(TZ_DSTE,MATCH(P182,TZ_STN,0))),INDEX(TZ_DST,MATCH(P182,TZ_STN,0)),INDEX(TZ_STD,MATCH(P182,TZ_STN,0))))/24,"")</f>
        <v/>
      </c>
      <c r="AH182" s="65" t="str">
        <f aca="false">IFERROR(IF(N182="N/A – rule","N/A – RULE",IF(TRIM(U182)="N/A",IF(AT182=0,"INVALID – N/A not permitted for this check",IF(AND(TRIM(AB182)&lt;&gt;"",TRIM(AB182)&lt;&gt;"Closed"),"INVALID – corrective action still open",IF(AND(NOT(OR(LEN(AZ182)&lt;15,ISNUMBER(MATCH(AZ182,L_Placeholder,0)))),NOT(OR(LEN(AU182)&lt;2,ISNUMBER(MATCH(AU182,L_Placeholder,0)))),NOT(OR(LEN(AX182)&lt;2,ISNUMBER(MATCH(AX182,L_Placeholder,0)))),TRIM(AE182)&lt;&gt;TRIM(T182)),"N/A – JUSTIFIED","INVALID – N/A needs a real justification (15+ chars), PIC and a different verifier"))),IF(OR(TRIM(U182)="Pass",TRIM(U182)="Pass after CA"),IF(NOT(ISNUMBER(AD182)),"INVALID – completion time missing",IF(OR(LEN(AU182)&lt;2,ISNUMBER(MATCH(AU182,L_Placeholder,0))),"INVALID – PIC missing",IF(OR(LEN(AV182)&lt;2,ISNUMBER(MATCH(AV182,L_Placeholder,0))),"INVALID – result / assessment missing",IF(OR(OR(LEN(AW182)&lt;3,ISNUMBER(MATCH(AW182,L_Placeholder,0))),SUMPRODUCT(--ISNUMBER(SEARCH(L_EvidencePhrase,AW182)))&gt;0),"INVALID – evidence missing, placeholder or not yet on file",IF(OR(LEN(AX182)&lt;2,ISNUMBER(MATCH(AX182,L_Placeholder,0))),"INVALID – verifier missing",IF(AX182=AU182,"INVALID – verifier must be someone other than the PIC",IF(AND(TRIM(U182)="Pass",SUMPRODUCT(--ISNUMBER(SEARCH(L_ResultBad,AV182)))&gt;0),"INVALID – result describes a problem: use Fail, then Pass after CA",IF(AND(AQ182=1,OR(LEN(AY182)&lt;3,ISNUMBER(MATCH(AY182,L_Placeholder,0)))),"INVALID – batch ID missing or placeholder",IF(AND(AR182=1,OR(NOT(ISNUMBER(X182)),NOT(ISNUMBER(Y182)))),"INVALID – expected/actual qty missing",IF(AND(AR182=1,OR(X182&lt;=0,Y182&lt;0)),"INVALID – expected qty must be above 0 and actual not negative",IF(BB182&lt;&gt;"",BB182,IF(AND(AS182=1,Documents!$J$10&lt;&gt;"ON FILE"),"INVALID – GLD not on file (Documents sheet)",IF(AND(AS182=2,Documents!$O$10&lt;&gt;"ON FILE"),"INVALID – menu checklist not on file (Documents sheet)",IF(AND(AS182=3,NOT(ISNUMBER(Flights!$AX$10))),"INVALID – enter carrying flight KUL departure (Flights AX)",IF(AND(AS182=3,OR(Flights!$AZ$10&gt;Flights!$AA$10,Flights!$AX$10&lt;Flights!$AA$10-3)),"INVALID – carrying flight (Flights AX) cannot arrive before this leg's STD, or is over 3 days early",IF(AG182&gt;AsOfUTC,"INVALID – completion time is in the future",IF(AND(ISNUMBER(S182),AG182&lt;S182),IF(H182="Physical uplift","INVALID – before uplift window (cannot confirm loading)","INVALID – before valid window"),IF(AG182&gt;Flights!$AA$10,"INVALID – completed after departure (cannot establish readiness)",IF(AND(H182="Preparation",AG182&gt;IF(ISNUMBER(Flights!$BA$10),MIN(Flights!$BA$10,Flights!$AA$10),Flights!$AA$10)),"INVALID – completed after loading / departure (cannot establish readiness)",IF(AND(H182="Physical uplift",AG182&gt;Q182),"INVALID – recorded after the loading flight departed",IF(AG182&gt;Q182,"COMPLETE – LATE","COMPLETE"))))))))))))))))))))),IF(TRIM(U182)="Fail","FAIL – DISCREPANCY",IF(AND(TRIM(U182)&lt;&gt;"",TRIM(U182)&lt;&gt;"Not started",TRIM(U182)&lt;&gt;"In progress"),"INVALID – unrecognised status (use the list)",IF(AsOfUTC&gt;Q182,"OVERDUE",IF(N182="Clarification required","OPEN – CLARIFICATION","OPEN"))))))),"INVALID – error value in an input cell")</f>
        <v>OPEN</v>
      </c>
      <c r="AI182" s="61" t="n">
        <f aca="false">IF(OR(AH182="N/A – RULE",AH182="N/A – JUSTIFIED"),0,1)</f>
        <v>1</v>
      </c>
      <c r="AJ182" s="61" t="n">
        <f aca="false">IF(LEFT(AH182,8)="COMPLETE",1,0)</f>
        <v>0</v>
      </c>
      <c r="AK182" s="61" t="n">
        <f aca="false">IF(AND(AI182=1,AJ182=0,AsOfUTC&gt;Q182),1,0)</f>
        <v>0</v>
      </c>
      <c r="AL182" s="61" t="n">
        <f aca="false">IFERROR(IF(AND(AI182=1,OR(TRIM(U182)="Fail",AND(TRIM(AB182)&lt;&gt;"",TRIM(AB182)&lt;&gt;"Closed"),AND(ISNUMBER(AF182),AF182&lt;&gt;0,TRIM(U182)&lt;&gt;"Pass after CA"))),1,0),1)</f>
        <v>0</v>
      </c>
      <c r="AM182" s="61" t="n">
        <f aca="false">IF(LEFT(AH182,7)="INVALID",1,0)</f>
        <v>0</v>
      </c>
      <c r="AN182" s="61" t="n">
        <f aca="false">IF(AND(N182="Clarification required",AI182=1,AJ182=0),1,0)</f>
        <v>0</v>
      </c>
      <c r="AO182" s="61" t="str">
        <f aca="false">IF(AK182=1,SUM(AK$5:AK182),"")</f>
        <v/>
      </c>
      <c r="AP182" s="61" t="str">
        <f aca="false">IF(AL182=1,SUM(AL$5:AL182),"")</f>
        <v/>
      </c>
      <c r="AQ182" s="61" t="n">
        <v>0</v>
      </c>
      <c r="AR182" s="61" t="n">
        <v>0</v>
      </c>
      <c r="AS182" s="61" t="n">
        <v>0</v>
      </c>
      <c r="AT182" s="61" t="n">
        <v>0</v>
      </c>
      <c r="AU182" s="61" t="str">
        <f aca="false">SUBSTITUTE(SUBSTITUTE(SUBSTITUTE(SUBSTITUTE(SUBSTITUTE(SUBSTITUTE(SUBSTITUTE(SUBSTITUTE(SUBSTITUTE(SUBSTITUTE(SUBSTITUTE(SUBSTITUTE(SUBSTITUTE(LOWER(T182&amp;""),CHAR(160),"")," ",""),".",""),"-",""),"/",""),"?",""),"_",""),",",""),"[",""),"]",""),"(",""),")",""),"*","")</f>
        <v/>
      </c>
      <c r="AV182" s="61" t="str">
        <f aca="false">SUBSTITUTE(SUBSTITUTE(SUBSTITUTE(SUBSTITUTE(SUBSTITUTE(SUBSTITUTE(SUBSTITUTE(SUBSTITUTE(SUBSTITUTE(SUBSTITUTE(SUBSTITUTE(SUBSTITUTE(SUBSTITUTE(LOWER(V182&amp;""),CHAR(160),"")," ",""),".",""),"-",""),"/",""),"?",""),"_",""),",",""),"[",""),"]",""),"(",""),")",""),"*","")</f>
        <v/>
      </c>
      <c r="AW182" s="61" t="str">
        <f aca="false">SUBSTITUTE(SUBSTITUTE(SUBSTITUTE(SUBSTITUTE(SUBSTITUTE(SUBSTITUTE(SUBSTITUTE(SUBSTITUTE(SUBSTITUTE(SUBSTITUTE(SUBSTITUTE(SUBSTITUTE(SUBSTITUTE(LOWER(Z182&amp;""),CHAR(160),"")," ",""),".",""),"-",""),"/",""),"?",""),"_",""),",",""),"[",""),"]",""),"(",""),")",""),"*","")</f>
        <v/>
      </c>
      <c r="AX182" s="61" t="str">
        <f aca="false">SUBSTITUTE(SUBSTITUTE(SUBSTITUTE(SUBSTITUTE(SUBSTITUTE(SUBSTITUTE(SUBSTITUTE(SUBSTITUTE(SUBSTITUTE(SUBSTITUTE(SUBSTITUTE(SUBSTITUTE(SUBSTITUTE(LOWER(AE182&amp;""),CHAR(160),"")," ",""),".",""),"-",""),"/",""),"?",""),"_",""),",",""),"[",""),"]",""),"(",""),")",""),"*","")</f>
        <v/>
      </c>
      <c r="AY182" s="61" t="str">
        <f aca="false">SUBSTITUTE(SUBSTITUTE(SUBSTITUTE(SUBSTITUTE(SUBSTITUTE(SUBSTITUTE(SUBSTITUTE(SUBSTITUTE(SUBSTITUTE(SUBSTITUTE(SUBSTITUTE(SUBSTITUTE(SUBSTITUTE(LOWER(W182&amp;""),CHAR(160),"")," ",""),".",""),"-",""),"/",""),"?",""),"_",""),",",""),"[",""),"]",""),"(",""),")",""),"*","")</f>
        <v/>
      </c>
      <c r="AZ182" s="61" t="str">
        <f aca="false">SUBSTITUTE(SUBSTITUTE(SUBSTITUTE(SUBSTITUTE(SUBSTITUTE(SUBSTITUTE(SUBSTITUTE(SUBSTITUTE(SUBSTITUTE(SUBSTITUTE(SUBSTITUTE(SUBSTITUTE(SUBSTITUTE(LOWER(AC182&amp;""),CHAR(160),"")," ",""),".",""),"-",""),"/",""),"?",""),"_",""),",",""),"[",""),"]",""),"(",""),")",""),"*","")</f>
        <v/>
      </c>
      <c r="BA182" s="61" t="str">
        <f aca="false">SUBSTITUTE(SUBSTITUTE(SUBSTITUTE(SUBSTITUTE(SUBSTITUTE(SUBSTITUTE(SUBSTITUTE(SUBSTITUTE(SUBSTITUTE(SUBSTITUTE(SUBSTITUTE(SUBSTITUTE(SUBSTITUTE(LOWER(AA182&amp;""),CHAR(160),"")," ",""),".",""),"-",""),"/",""),"?",""),"_",""),",",""),"[",""),"]",""),"(",""),")",""),"*","")</f>
        <v/>
      </c>
      <c r="BB182" s="61" t="str">
        <f aca="false">IF(AND(TRIM(U182)="Pass",ISNUMBER(AF182)),IF(AF182&lt;&gt;0,"INVALID – qty variance: use Fail or Pass after CA",""),"")&amp;IF(AND(TRIM(U182)="Pass after CA",ISNUMBER(AF182)),IF(AF182&lt;&gt;0,"INVALID – after the corrective action the actual qty must equal expected (update Actual)",""),"")&amp;IF(AND(TRIM(U182)="Pass",TRIM(AB182)&lt;&gt;"",TRIM(AB182)&lt;&gt;"Closed"),"INVALID – corrective action not closed: use Fail, then Pass after CA","")&amp;IF(AND(TRIM(AA182)&lt;&gt;"",TRIM(AB182)=""),"INVALID – CA status missing for the recorded corrective action","")&amp;IF(AND(TRIM(U182)="Pass after CA",OR(OR(LEN(BA182)&lt;5,ISNUMBER(MATCH(BA182,L_Placeholder,0))),TRIM(AB182)&lt;&gt;"Closed")),"INVALID – corrective action not recorded/closed","")</f>
        <v/>
      </c>
    </row>
    <row r="183" customFormat="false" ht="91.5" hidden="false" customHeight="true" outlineLevel="0" collapsed="false">
      <c r="A183" s="57" t="s">
        <v>703</v>
      </c>
      <c r="B183" s="57" t="s">
        <v>228</v>
      </c>
      <c r="C183" s="57" t="str">
        <f aca="false">Flights!$F$10</f>
        <v>MH0002</v>
      </c>
      <c r="D183" s="58" t="n">
        <f aca="false">Flights!$D$10</f>
        <v>46310</v>
      </c>
      <c r="E183" s="57" t="str">
        <f aca="false">Flights!$G$10&amp;"-"&amp;Flights!$H$10</f>
        <v>KUL-LHR</v>
      </c>
      <c r="F183" s="57" t="str">
        <f aca="false">Flights!$K$10</f>
        <v>BC</v>
      </c>
      <c r="G183" s="57" t="s">
        <v>398</v>
      </c>
      <c r="H183" s="57" t="s">
        <v>356</v>
      </c>
      <c r="I183" s="57" t="s">
        <v>418</v>
      </c>
      <c r="J183" s="57" t="s">
        <v>419</v>
      </c>
      <c r="K183" s="67" t="s">
        <v>479</v>
      </c>
      <c r="L183" s="67" t="s">
        <v>421</v>
      </c>
      <c r="M183" s="67" t="s">
        <v>704</v>
      </c>
      <c r="N183" s="67" t="s">
        <v>422</v>
      </c>
      <c r="O183" s="67" t="s">
        <v>705</v>
      </c>
      <c r="P183" s="57" t="s">
        <v>184</v>
      </c>
      <c r="Q183" s="59" t="n">
        <f aca="false">ROUND((Flights!$AE$10)*1440,0)/1440</f>
        <v>46310.1388888889</v>
      </c>
      <c r="R183" s="59" t="n">
        <f aca="false">Q183+(IF(AND(INDEX(TZ_DSTS,MATCH(P183,TZ_STN,0))&lt;&gt;"",Q183&gt;=INDEX(TZ_DSTS,MATCH(P183,TZ_STN,0)),Q183&lt;INDEX(TZ_DSTE,MATCH(P183,TZ_STN,0))),INDEX(TZ_DST,MATCH(P183,TZ_STN,0)),INDEX(TZ_STD,MATCH(P183,TZ_STN,0))))/24</f>
        <v>46310.4722222222</v>
      </c>
      <c r="S183" s="59" t="n">
        <f aca="false">Q183-T12EarlyH/24</f>
        <v>46309.6388888889</v>
      </c>
      <c r="T183" s="60"/>
      <c r="U183" s="60"/>
      <c r="V183" s="60"/>
      <c r="W183" s="61"/>
      <c r="X183" s="60"/>
      <c r="Y183" s="60"/>
      <c r="Z183" s="60"/>
      <c r="AA183" s="60"/>
      <c r="AB183" s="60"/>
      <c r="AC183" s="60"/>
      <c r="AD183" s="66"/>
      <c r="AE183" s="60"/>
      <c r="AF183" s="61" t="str">
        <f aca="false">IF(AND(ISNUMBER(X183),ISNUMBER(Y183)),Y183-X183,"")</f>
        <v/>
      </c>
      <c r="AG183" s="62" t="str">
        <f aca="false">IF(ISNUMBER(AD183),AD183-(IF(AND(INDEX(TZ_DSTS,MATCH(P183,TZ_STN,0))&lt;&gt;"",(AD183-INDEX(TZ_STD,MATCH(P183,TZ_STN,0))/24)&gt;=INDEX(TZ_DSTS,MATCH(P183,TZ_STN,0)),(AD183-INDEX(TZ_STD,MATCH(P183,TZ_STN,0))/24)&lt;INDEX(TZ_DSTE,MATCH(P183,TZ_STN,0))),INDEX(TZ_DST,MATCH(P183,TZ_STN,0)),INDEX(TZ_STD,MATCH(P183,TZ_STN,0))))/24,"")</f>
        <v/>
      </c>
      <c r="AH183" s="65" t="str">
        <f aca="false">IFERROR(IF(N183="N/A – rule","N/A – RULE",IF(TRIM(U183)="N/A",IF(AT183=0,"INVALID – N/A not permitted for this check",IF(AND(TRIM(AB183)&lt;&gt;"",TRIM(AB183)&lt;&gt;"Closed"),"INVALID – corrective action still open",IF(AND(NOT(OR(LEN(AZ183)&lt;15,ISNUMBER(MATCH(AZ183,L_Placeholder,0)))),NOT(OR(LEN(AU183)&lt;2,ISNUMBER(MATCH(AU183,L_Placeholder,0)))),NOT(OR(LEN(AX183)&lt;2,ISNUMBER(MATCH(AX183,L_Placeholder,0)))),TRIM(AE183)&lt;&gt;TRIM(T183)),"N/A – JUSTIFIED","INVALID – N/A needs a real justification (15+ chars), PIC and a different verifier"))),IF(OR(TRIM(U183)="Pass",TRIM(U183)="Pass after CA"),IF(NOT(ISNUMBER(AD183)),"INVALID – completion time missing",IF(OR(LEN(AU183)&lt;2,ISNUMBER(MATCH(AU183,L_Placeholder,0))),"INVALID – PIC missing",IF(OR(LEN(AV183)&lt;2,ISNUMBER(MATCH(AV183,L_Placeholder,0))),"INVALID – result / assessment missing",IF(OR(OR(LEN(AW183)&lt;3,ISNUMBER(MATCH(AW183,L_Placeholder,0))),SUMPRODUCT(--ISNUMBER(SEARCH(L_EvidencePhrase,AW183)))&gt;0),"INVALID – evidence missing, placeholder or not yet on file",IF(OR(LEN(AX183)&lt;2,ISNUMBER(MATCH(AX183,L_Placeholder,0))),"INVALID – verifier missing",IF(AX183=AU183,"INVALID – verifier must be someone other than the PIC",IF(AND(TRIM(U183)="Pass",SUMPRODUCT(--ISNUMBER(SEARCH(L_ResultBad,AV183)))&gt;0),"INVALID – result describes a problem: use Fail, then Pass after CA",IF(AND(AQ183=1,OR(LEN(AY183)&lt;3,ISNUMBER(MATCH(AY183,L_Placeholder,0)))),"INVALID – batch ID missing or placeholder",IF(AND(AR183=1,OR(NOT(ISNUMBER(X183)),NOT(ISNUMBER(Y183)))),"INVALID – expected/actual qty missing",IF(AND(AR183=1,OR(X183&lt;=0,Y183&lt;0)),"INVALID – expected qty must be above 0 and actual not negative",IF(BB183&lt;&gt;"",BB183,IF(AND(AS183=1,Documents!$J$10&lt;&gt;"ON FILE"),"INVALID – GLD not on file (Documents sheet)",IF(AND(AS183=2,Documents!$O$10&lt;&gt;"ON FILE"),"INVALID – menu checklist not on file (Documents sheet)",IF(AND(AS183=3,NOT(ISNUMBER(Flights!$AX$10))),"INVALID – enter carrying flight KUL departure (Flights AX)",IF(AND(AS183=3,OR(Flights!$AZ$10&gt;Flights!$AA$10,Flights!$AX$10&lt;Flights!$AA$10-3)),"INVALID – carrying flight (Flights AX) cannot arrive before this leg's STD, or is over 3 days early",IF(AG183&gt;AsOfUTC,"INVALID – completion time is in the future",IF(AND(ISNUMBER(S183),AG183&lt;S183),IF(H183="Physical uplift","INVALID – before uplift window (cannot confirm loading)","INVALID – before valid window"),IF(AG183&gt;Flights!$AA$10,"INVALID – completed after departure (cannot establish readiness)",IF(AND(H183="Preparation",AG183&gt;IF(ISNUMBER(Flights!$BA$10),MIN(Flights!$BA$10,Flights!$AA$10),Flights!$AA$10)),"INVALID – completed after loading / departure (cannot establish readiness)",IF(AND(H183="Physical uplift",AG183&gt;Q183),"INVALID – recorded after the loading flight departed",IF(AG183&gt;Q183,"COMPLETE – LATE","COMPLETE"))))))))))))))))))))),IF(TRIM(U183)="Fail","FAIL – DISCREPANCY",IF(AND(TRIM(U183)&lt;&gt;"",TRIM(U183)&lt;&gt;"Not started",TRIM(U183)&lt;&gt;"In progress"),"INVALID – unrecognised status (use the list)",IF(AsOfUTC&gt;Q183,"OVERDUE",IF(N183="Clarification required","OPEN – CLARIFICATION","OPEN"))))))),"INVALID – error value in an input cell")</f>
        <v>OPEN – CLARIFICATION</v>
      </c>
      <c r="AI183" s="61" t="n">
        <f aca="false">IF(OR(AH183="N/A – RULE",AH183="N/A – JUSTIFIED"),0,1)</f>
        <v>1</v>
      </c>
      <c r="AJ183" s="61" t="n">
        <f aca="false">IF(LEFT(AH183,8)="COMPLETE",1,0)</f>
        <v>0</v>
      </c>
      <c r="AK183" s="61" t="n">
        <f aca="false">IF(AND(AI183=1,AJ183=0,AsOfUTC&gt;Q183),1,0)</f>
        <v>0</v>
      </c>
      <c r="AL183" s="61" t="n">
        <f aca="false">IFERROR(IF(AND(AI183=1,OR(TRIM(U183)="Fail",AND(TRIM(AB183)&lt;&gt;"",TRIM(AB183)&lt;&gt;"Closed"),AND(ISNUMBER(AF183),AF183&lt;&gt;0,TRIM(U183)&lt;&gt;"Pass after CA"))),1,0),1)</f>
        <v>0</v>
      </c>
      <c r="AM183" s="61" t="n">
        <f aca="false">IF(LEFT(AH183,7)="INVALID",1,0)</f>
        <v>0</v>
      </c>
      <c r="AN183" s="61" t="n">
        <f aca="false">IF(AND(N183="Clarification required",AI183=1,AJ183=0),1,0)</f>
        <v>1</v>
      </c>
      <c r="AO183" s="61" t="str">
        <f aca="false">IF(AK183=1,SUM(AK$5:AK183),"")</f>
        <v/>
      </c>
      <c r="AP183" s="61" t="str">
        <f aca="false">IF(AL183=1,SUM(AL$5:AL183),"")</f>
        <v/>
      </c>
      <c r="AQ183" s="61" t="n">
        <v>0</v>
      </c>
      <c r="AR183" s="61" t="n">
        <v>0</v>
      </c>
      <c r="AS183" s="61" t="n">
        <v>0</v>
      </c>
      <c r="AT183" s="61" t="n">
        <v>1</v>
      </c>
      <c r="AU183" s="61" t="str">
        <f aca="false">SUBSTITUTE(SUBSTITUTE(SUBSTITUTE(SUBSTITUTE(SUBSTITUTE(SUBSTITUTE(SUBSTITUTE(SUBSTITUTE(SUBSTITUTE(SUBSTITUTE(SUBSTITUTE(SUBSTITUTE(SUBSTITUTE(LOWER(T183&amp;""),CHAR(160),"")," ",""),".",""),"-",""),"/",""),"?",""),"_",""),",",""),"[",""),"]",""),"(",""),")",""),"*","")</f>
        <v/>
      </c>
      <c r="AV183" s="61" t="str">
        <f aca="false">SUBSTITUTE(SUBSTITUTE(SUBSTITUTE(SUBSTITUTE(SUBSTITUTE(SUBSTITUTE(SUBSTITUTE(SUBSTITUTE(SUBSTITUTE(SUBSTITUTE(SUBSTITUTE(SUBSTITUTE(SUBSTITUTE(LOWER(V183&amp;""),CHAR(160),"")," ",""),".",""),"-",""),"/",""),"?",""),"_",""),",",""),"[",""),"]",""),"(",""),")",""),"*","")</f>
        <v/>
      </c>
      <c r="AW183" s="61" t="str">
        <f aca="false">SUBSTITUTE(SUBSTITUTE(SUBSTITUTE(SUBSTITUTE(SUBSTITUTE(SUBSTITUTE(SUBSTITUTE(SUBSTITUTE(SUBSTITUTE(SUBSTITUTE(SUBSTITUTE(SUBSTITUTE(SUBSTITUTE(LOWER(Z183&amp;""),CHAR(160),"")," ",""),".",""),"-",""),"/",""),"?",""),"_",""),",",""),"[",""),"]",""),"(",""),")",""),"*","")</f>
        <v/>
      </c>
      <c r="AX183" s="61" t="str">
        <f aca="false">SUBSTITUTE(SUBSTITUTE(SUBSTITUTE(SUBSTITUTE(SUBSTITUTE(SUBSTITUTE(SUBSTITUTE(SUBSTITUTE(SUBSTITUTE(SUBSTITUTE(SUBSTITUTE(SUBSTITUTE(SUBSTITUTE(LOWER(AE183&amp;""),CHAR(160),"")," ",""),".",""),"-",""),"/",""),"?",""),"_",""),",",""),"[",""),"]",""),"(",""),")",""),"*","")</f>
        <v/>
      </c>
      <c r="AY183" s="61" t="str">
        <f aca="false">SUBSTITUTE(SUBSTITUTE(SUBSTITUTE(SUBSTITUTE(SUBSTITUTE(SUBSTITUTE(SUBSTITUTE(SUBSTITUTE(SUBSTITUTE(SUBSTITUTE(SUBSTITUTE(SUBSTITUTE(SUBSTITUTE(LOWER(W183&amp;""),CHAR(160),"")," ",""),".",""),"-",""),"/",""),"?",""),"_",""),",",""),"[",""),"]",""),"(",""),")",""),"*","")</f>
        <v/>
      </c>
      <c r="AZ183" s="61" t="str">
        <f aca="false">SUBSTITUTE(SUBSTITUTE(SUBSTITUTE(SUBSTITUTE(SUBSTITUTE(SUBSTITUTE(SUBSTITUTE(SUBSTITUTE(SUBSTITUTE(SUBSTITUTE(SUBSTITUTE(SUBSTITUTE(SUBSTITUTE(LOWER(AC183&amp;""),CHAR(160),"")," ",""),".",""),"-",""),"/",""),"?",""),"_",""),",",""),"[",""),"]",""),"(",""),")",""),"*","")</f>
        <v/>
      </c>
      <c r="BA183" s="61" t="str">
        <f aca="false">SUBSTITUTE(SUBSTITUTE(SUBSTITUTE(SUBSTITUTE(SUBSTITUTE(SUBSTITUTE(SUBSTITUTE(SUBSTITUTE(SUBSTITUTE(SUBSTITUTE(SUBSTITUTE(SUBSTITUTE(SUBSTITUTE(LOWER(AA183&amp;""),CHAR(160),"")," ",""),".",""),"-",""),"/",""),"?",""),"_",""),",",""),"[",""),"]",""),"(",""),")",""),"*","")</f>
        <v/>
      </c>
      <c r="BB183" s="61" t="str">
        <f aca="false">IF(AND(TRIM(U183)="Pass",ISNUMBER(AF183)),IF(AF183&lt;&gt;0,"INVALID – qty variance: use Fail or Pass after CA",""),"")&amp;IF(AND(TRIM(U183)="Pass after CA",ISNUMBER(AF183)),IF(AF183&lt;&gt;0,"INVALID – after the corrective action the actual qty must equal expected (update Actual)",""),"")&amp;IF(AND(TRIM(U183)="Pass",TRIM(AB183)&lt;&gt;"",TRIM(AB183)&lt;&gt;"Closed"),"INVALID – corrective action not closed: use Fail, then Pass after CA","")&amp;IF(AND(TRIM(AA183)&lt;&gt;"",TRIM(AB183)=""),"INVALID – CA status missing for the recorded corrective action","")&amp;IF(AND(TRIM(U183)="Pass after CA",OR(OR(LEN(BA183)&lt;5,ISNUMBER(MATCH(BA183,L_Placeholder,0))),TRIM(AB183)&lt;&gt;"Closed")),"INVALID – corrective action not recorded/closed","")</f>
        <v/>
      </c>
    </row>
    <row r="184" customFormat="false" ht="39.75" hidden="false" customHeight="true" outlineLevel="0" collapsed="false">
      <c r="A184" s="57" t="s">
        <v>706</v>
      </c>
      <c r="B184" s="57" t="s">
        <v>228</v>
      </c>
      <c r="C184" s="57" t="str">
        <f aca="false">Flights!$F$10</f>
        <v>MH0002</v>
      </c>
      <c r="D184" s="58" t="n">
        <f aca="false">Flights!$D$10</f>
        <v>46310</v>
      </c>
      <c r="E184" s="57" t="str">
        <f aca="false">Flights!$G$10&amp;"-"&amp;Flights!$H$10</f>
        <v>KUL-LHR</v>
      </c>
      <c r="F184" s="57" t="str">
        <f aca="false">Flights!$K$10</f>
        <v>BC</v>
      </c>
      <c r="G184" s="57" t="s">
        <v>398</v>
      </c>
      <c r="H184" s="57" t="s">
        <v>356</v>
      </c>
      <c r="I184" s="57" t="s">
        <v>418</v>
      </c>
      <c r="J184" s="57" t="s">
        <v>707</v>
      </c>
      <c r="K184" s="67" t="s">
        <v>708</v>
      </c>
      <c r="L184" s="67" t="s">
        <v>709</v>
      </c>
      <c r="M184" s="67" t="s">
        <v>184</v>
      </c>
      <c r="N184" s="67" t="s">
        <v>361</v>
      </c>
      <c r="O184" s="67" t="s">
        <v>710</v>
      </c>
      <c r="P184" s="57" t="s">
        <v>184</v>
      </c>
      <c r="Q184" s="59" t="n">
        <f aca="false">ROUND((Flights!$AE$10)*1440,0)/1440</f>
        <v>46310.1388888889</v>
      </c>
      <c r="R184" s="59" t="n">
        <f aca="false">Q184+(IF(AND(INDEX(TZ_DSTS,MATCH(P184,TZ_STN,0))&lt;&gt;"",Q184&gt;=INDEX(TZ_DSTS,MATCH(P184,TZ_STN,0)),Q184&lt;INDEX(TZ_DSTE,MATCH(P184,TZ_STN,0))),INDEX(TZ_DST,MATCH(P184,TZ_STN,0)),INDEX(TZ_STD,MATCH(P184,TZ_STN,0))))/24</f>
        <v>46310.4722222222</v>
      </c>
      <c r="S184" s="59" t="n">
        <f aca="false">Q184-T12EarlyH/24</f>
        <v>46309.6388888889</v>
      </c>
      <c r="T184" s="60"/>
      <c r="U184" s="60"/>
      <c r="V184" s="60"/>
      <c r="W184" s="61"/>
      <c r="X184" s="60"/>
      <c r="Y184" s="60"/>
      <c r="Z184" s="60"/>
      <c r="AA184" s="60"/>
      <c r="AB184" s="60"/>
      <c r="AC184" s="60"/>
      <c r="AD184" s="66"/>
      <c r="AE184" s="60"/>
      <c r="AF184" s="61" t="str">
        <f aca="false">IF(AND(ISNUMBER(X184),ISNUMBER(Y184)),Y184-X184,"")</f>
        <v/>
      </c>
      <c r="AG184" s="62" t="str">
        <f aca="false">IF(ISNUMBER(AD184),AD184-(IF(AND(INDEX(TZ_DSTS,MATCH(P184,TZ_STN,0))&lt;&gt;"",(AD184-INDEX(TZ_STD,MATCH(P184,TZ_STN,0))/24)&gt;=INDEX(TZ_DSTS,MATCH(P184,TZ_STN,0)),(AD184-INDEX(TZ_STD,MATCH(P184,TZ_STN,0))/24)&lt;INDEX(TZ_DSTE,MATCH(P184,TZ_STN,0))),INDEX(TZ_DST,MATCH(P184,TZ_STN,0)),INDEX(TZ_STD,MATCH(P184,TZ_STN,0))))/24,"")</f>
        <v/>
      </c>
      <c r="AH184" s="65" t="str">
        <f aca="false">IFERROR(IF(N184="N/A – rule","N/A – RULE",IF(TRIM(U184)="N/A",IF(AT184=0,"INVALID – N/A not permitted for this check",IF(AND(TRIM(AB184)&lt;&gt;"",TRIM(AB184)&lt;&gt;"Closed"),"INVALID – corrective action still open",IF(AND(NOT(OR(LEN(AZ184)&lt;15,ISNUMBER(MATCH(AZ184,L_Placeholder,0)))),NOT(OR(LEN(AU184)&lt;2,ISNUMBER(MATCH(AU184,L_Placeholder,0)))),NOT(OR(LEN(AX184)&lt;2,ISNUMBER(MATCH(AX184,L_Placeholder,0)))),TRIM(AE184)&lt;&gt;TRIM(T184)),"N/A – JUSTIFIED","INVALID – N/A needs a real justification (15+ chars), PIC and a different verifier"))),IF(OR(TRIM(U184)="Pass",TRIM(U184)="Pass after CA"),IF(NOT(ISNUMBER(AD184)),"INVALID – completion time missing",IF(OR(LEN(AU184)&lt;2,ISNUMBER(MATCH(AU184,L_Placeholder,0))),"INVALID – PIC missing",IF(OR(LEN(AV184)&lt;2,ISNUMBER(MATCH(AV184,L_Placeholder,0))),"INVALID – result / assessment missing",IF(OR(OR(LEN(AW184)&lt;3,ISNUMBER(MATCH(AW184,L_Placeholder,0))),SUMPRODUCT(--ISNUMBER(SEARCH(L_EvidencePhrase,AW184)))&gt;0),"INVALID – evidence missing, placeholder or not yet on file",IF(OR(LEN(AX184)&lt;2,ISNUMBER(MATCH(AX184,L_Placeholder,0))),"INVALID – verifier missing",IF(AX184=AU184,"INVALID – verifier must be someone other than the PIC",IF(AND(TRIM(U184)="Pass",SUMPRODUCT(--ISNUMBER(SEARCH(L_ResultBad,AV184)))&gt;0),"INVALID – result describes a problem: use Fail, then Pass after CA",IF(AND(AQ184=1,OR(LEN(AY184)&lt;3,ISNUMBER(MATCH(AY184,L_Placeholder,0)))),"INVALID – batch ID missing or placeholder",IF(AND(AR184=1,OR(NOT(ISNUMBER(X184)),NOT(ISNUMBER(Y184)))),"INVALID – expected/actual qty missing",IF(AND(AR184=1,OR(X184&lt;=0,Y184&lt;0)),"INVALID – expected qty must be above 0 and actual not negative",IF(BB184&lt;&gt;"",BB184,IF(AND(AS184=1,Documents!$J$10&lt;&gt;"ON FILE"),"INVALID – GLD not on file (Documents sheet)",IF(AND(AS184=2,Documents!$O$10&lt;&gt;"ON FILE"),"INVALID – menu checklist not on file (Documents sheet)",IF(AND(AS184=3,NOT(ISNUMBER(Flights!$AX$10))),"INVALID – enter carrying flight KUL departure (Flights AX)",IF(AND(AS184=3,OR(Flights!$AZ$10&gt;Flights!$AA$10,Flights!$AX$10&lt;Flights!$AA$10-3)),"INVALID – carrying flight (Flights AX) cannot arrive before this leg's STD, or is over 3 days early",IF(AG184&gt;AsOfUTC,"INVALID – completion time is in the future",IF(AND(ISNUMBER(S184),AG184&lt;S184),IF(H184="Physical uplift","INVALID – before uplift window (cannot confirm loading)","INVALID – before valid window"),IF(AG184&gt;Flights!$AA$10,"INVALID – completed after departure (cannot establish readiness)",IF(AND(H184="Preparation",AG184&gt;IF(ISNUMBER(Flights!$BA$10),MIN(Flights!$BA$10,Flights!$AA$10),Flights!$AA$10)),"INVALID – completed after loading / departure (cannot establish readiness)",IF(AND(H184="Physical uplift",AG184&gt;Q184),"INVALID – recorded after the loading flight departed",IF(AG184&gt;Q184,"COMPLETE – LATE","COMPLETE"))))))))))))))))))))),IF(TRIM(U184)="Fail","FAIL – DISCREPANCY",IF(AND(TRIM(U184)&lt;&gt;"",TRIM(U184)&lt;&gt;"Not started",TRIM(U184)&lt;&gt;"In progress"),"INVALID – unrecognised status (use the list)",IF(AsOfUTC&gt;Q184,"OVERDUE",IF(N184="Clarification required","OPEN – CLARIFICATION","OPEN"))))))),"INVALID – error value in an input cell")</f>
        <v>OPEN</v>
      </c>
      <c r="AI184" s="61" t="n">
        <f aca="false">IF(OR(AH184="N/A – RULE",AH184="N/A – JUSTIFIED"),0,1)</f>
        <v>1</v>
      </c>
      <c r="AJ184" s="61" t="n">
        <f aca="false">IF(LEFT(AH184,8)="COMPLETE",1,0)</f>
        <v>0</v>
      </c>
      <c r="AK184" s="61" t="n">
        <f aca="false">IF(AND(AI184=1,AJ184=0,AsOfUTC&gt;Q184),1,0)</f>
        <v>0</v>
      </c>
      <c r="AL184" s="61" t="n">
        <f aca="false">IFERROR(IF(AND(AI184=1,OR(TRIM(U184)="Fail",AND(TRIM(AB184)&lt;&gt;"",TRIM(AB184)&lt;&gt;"Closed"),AND(ISNUMBER(AF184),AF184&lt;&gt;0,TRIM(U184)&lt;&gt;"Pass after CA"))),1,0),1)</f>
        <v>0</v>
      </c>
      <c r="AM184" s="61" t="n">
        <f aca="false">IF(LEFT(AH184,7)="INVALID",1,0)</f>
        <v>0</v>
      </c>
      <c r="AN184" s="61" t="n">
        <f aca="false">IF(AND(N184="Clarification required",AI184=1,AJ184=0),1,0)</f>
        <v>0</v>
      </c>
      <c r="AO184" s="61" t="str">
        <f aca="false">IF(AK184=1,SUM(AK$5:AK184),"")</f>
        <v/>
      </c>
      <c r="AP184" s="61" t="str">
        <f aca="false">IF(AL184=1,SUM(AL$5:AL184),"")</f>
        <v/>
      </c>
      <c r="AQ184" s="61" t="n">
        <v>0</v>
      </c>
      <c r="AR184" s="61" t="n">
        <v>0</v>
      </c>
      <c r="AS184" s="61" t="n">
        <v>0</v>
      </c>
      <c r="AT184" s="61" t="n">
        <v>0</v>
      </c>
      <c r="AU184" s="61" t="str">
        <f aca="false">SUBSTITUTE(SUBSTITUTE(SUBSTITUTE(SUBSTITUTE(SUBSTITUTE(SUBSTITUTE(SUBSTITUTE(SUBSTITUTE(SUBSTITUTE(SUBSTITUTE(SUBSTITUTE(SUBSTITUTE(SUBSTITUTE(LOWER(T184&amp;""),CHAR(160),"")," ",""),".",""),"-",""),"/",""),"?",""),"_",""),",",""),"[",""),"]",""),"(",""),")",""),"*","")</f>
        <v/>
      </c>
      <c r="AV184" s="61" t="str">
        <f aca="false">SUBSTITUTE(SUBSTITUTE(SUBSTITUTE(SUBSTITUTE(SUBSTITUTE(SUBSTITUTE(SUBSTITUTE(SUBSTITUTE(SUBSTITUTE(SUBSTITUTE(SUBSTITUTE(SUBSTITUTE(SUBSTITUTE(LOWER(V184&amp;""),CHAR(160),"")," ",""),".",""),"-",""),"/",""),"?",""),"_",""),",",""),"[",""),"]",""),"(",""),")",""),"*","")</f>
        <v/>
      </c>
      <c r="AW184" s="61" t="str">
        <f aca="false">SUBSTITUTE(SUBSTITUTE(SUBSTITUTE(SUBSTITUTE(SUBSTITUTE(SUBSTITUTE(SUBSTITUTE(SUBSTITUTE(SUBSTITUTE(SUBSTITUTE(SUBSTITUTE(SUBSTITUTE(SUBSTITUTE(LOWER(Z184&amp;""),CHAR(160),"")," ",""),".",""),"-",""),"/",""),"?",""),"_",""),",",""),"[",""),"]",""),"(",""),")",""),"*","")</f>
        <v/>
      </c>
      <c r="AX184" s="61" t="str">
        <f aca="false">SUBSTITUTE(SUBSTITUTE(SUBSTITUTE(SUBSTITUTE(SUBSTITUTE(SUBSTITUTE(SUBSTITUTE(SUBSTITUTE(SUBSTITUTE(SUBSTITUTE(SUBSTITUTE(SUBSTITUTE(SUBSTITUTE(LOWER(AE184&amp;""),CHAR(160),"")," ",""),".",""),"-",""),"/",""),"?",""),"_",""),",",""),"[",""),"]",""),"(",""),")",""),"*","")</f>
        <v/>
      </c>
      <c r="AY184" s="61" t="str">
        <f aca="false">SUBSTITUTE(SUBSTITUTE(SUBSTITUTE(SUBSTITUTE(SUBSTITUTE(SUBSTITUTE(SUBSTITUTE(SUBSTITUTE(SUBSTITUTE(SUBSTITUTE(SUBSTITUTE(SUBSTITUTE(SUBSTITUTE(LOWER(W184&amp;""),CHAR(160),"")," ",""),".",""),"-",""),"/",""),"?",""),"_",""),",",""),"[",""),"]",""),"(",""),")",""),"*","")</f>
        <v/>
      </c>
      <c r="AZ184" s="61" t="str">
        <f aca="false">SUBSTITUTE(SUBSTITUTE(SUBSTITUTE(SUBSTITUTE(SUBSTITUTE(SUBSTITUTE(SUBSTITUTE(SUBSTITUTE(SUBSTITUTE(SUBSTITUTE(SUBSTITUTE(SUBSTITUTE(SUBSTITUTE(LOWER(AC184&amp;""),CHAR(160),"")," ",""),".",""),"-",""),"/",""),"?",""),"_",""),",",""),"[",""),"]",""),"(",""),")",""),"*","")</f>
        <v/>
      </c>
      <c r="BA184" s="61" t="str">
        <f aca="false">SUBSTITUTE(SUBSTITUTE(SUBSTITUTE(SUBSTITUTE(SUBSTITUTE(SUBSTITUTE(SUBSTITUTE(SUBSTITUTE(SUBSTITUTE(SUBSTITUTE(SUBSTITUTE(SUBSTITUTE(SUBSTITUTE(LOWER(AA184&amp;""),CHAR(160),"")," ",""),".",""),"-",""),"/",""),"?",""),"_",""),",",""),"[",""),"]",""),"(",""),")",""),"*","")</f>
        <v/>
      </c>
      <c r="BB184" s="61" t="str">
        <f aca="false">IF(AND(TRIM(U184)="Pass",ISNUMBER(AF184)),IF(AF184&lt;&gt;0,"INVALID – qty variance: use Fail or Pass after CA",""),"")&amp;IF(AND(TRIM(U184)="Pass after CA",ISNUMBER(AF184)),IF(AF184&lt;&gt;0,"INVALID – after the corrective action the actual qty must equal expected (update Actual)",""),"")&amp;IF(AND(TRIM(U184)="Pass",TRIM(AB184)&lt;&gt;"",TRIM(AB184)&lt;&gt;"Closed"),"INVALID – corrective action not closed: use Fail, then Pass after CA","")&amp;IF(AND(TRIM(AA184)&lt;&gt;"",TRIM(AB184)=""),"INVALID – CA status missing for the recorded corrective action","")&amp;IF(AND(TRIM(U184)="Pass after CA",OR(OR(LEN(BA184)&lt;5,ISNUMBER(MATCH(BA184,L_Placeholder,0))),TRIM(AB184)&lt;&gt;"Closed")),"INVALID – corrective action not recorded/closed","")</f>
        <v/>
      </c>
    </row>
    <row r="185" customFormat="false" ht="39.75" hidden="false" customHeight="true" outlineLevel="0" collapsed="false">
      <c r="A185" s="57" t="s">
        <v>711</v>
      </c>
      <c r="B185" s="57" t="s">
        <v>228</v>
      </c>
      <c r="C185" s="57" t="str">
        <f aca="false">Flights!$F$10</f>
        <v>MH0002</v>
      </c>
      <c r="D185" s="58" t="n">
        <f aca="false">Flights!$D$10</f>
        <v>46310</v>
      </c>
      <c r="E185" s="57" t="str">
        <f aca="false">Flights!$G$10&amp;"-"&amp;Flights!$H$10</f>
        <v>KUL-LHR</v>
      </c>
      <c r="F185" s="57" t="str">
        <f aca="false">Flights!$K$10</f>
        <v>BC</v>
      </c>
      <c r="G185" s="57" t="s">
        <v>398</v>
      </c>
      <c r="H185" s="57" t="s">
        <v>356</v>
      </c>
      <c r="I185" s="57" t="s">
        <v>418</v>
      </c>
      <c r="J185" s="57" t="s">
        <v>581</v>
      </c>
      <c r="K185" s="67" t="s">
        <v>479</v>
      </c>
      <c r="L185" s="67" t="s">
        <v>712</v>
      </c>
      <c r="M185" s="67" t="s">
        <v>184</v>
      </c>
      <c r="N185" s="67" t="s">
        <v>361</v>
      </c>
      <c r="O185" s="67"/>
      <c r="P185" s="57" t="s">
        <v>184</v>
      </c>
      <c r="Q185" s="59" t="n">
        <f aca="false">ROUND((Flights!$AE$10)*1440,0)/1440</f>
        <v>46310.1388888889</v>
      </c>
      <c r="R185" s="59" t="n">
        <f aca="false">Q185+(IF(AND(INDEX(TZ_DSTS,MATCH(P185,TZ_STN,0))&lt;&gt;"",Q185&gt;=INDEX(TZ_DSTS,MATCH(P185,TZ_STN,0)),Q185&lt;INDEX(TZ_DSTE,MATCH(P185,TZ_STN,0))),INDEX(TZ_DST,MATCH(P185,TZ_STN,0)),INDEX(TZ_STD,MATCH(P185,TZ_STN,0))))/24</f>
        <v>46310.4722222222</v>
      </c>
      <c r="S185" s="59" t="n">
        <f aca="false">Q185-T12EarlyH/24</f>
        <v>46309.6388888889</v>
      </c>
      <c r="T185" s="60"/>
      <c r="U185" s="60"/>
      <c r="V185" s="60"/>
      <c r="W185" s="61"/>
      <c r="X185" s="60"/>
      <c r="Y185" s="60"/>
      <c r="Z185" s="60"/>
      <c r="AA185" s="60"/>
      <c r="AB185" s="60"/>
      <c r="AC185" s="60"/>
      <c r="AD185" s="66"/>
      <c r="AE185" s="60"/>
      <c r="AF185" s="61" t="str">
        <f aca="false">IF(AND(ISNUMBER(X185),ISNUMBER(Y185)),Y185-X185,"")</f>
        <v/>
      </c>
      <c r="AG185" s="62" t="str">
        <f aca="false">IF(ISNUMBER(AD185),AD185-(IF(AND(INDEX(TZ_DSTS,MATCH(P185,TZ_STN,0))&lt;&gt;"",(AD185-INDEX(TZ_STD,MATCH(P185,TZ_STN,0))/24)&gt;=INDEX(TZ_DSTS,MATCH(P185,TZ_STN,0)),(AD185-INDEX(TZ_STD,MATCH(P185,TZ_STN,0))/24)&lt;INDEX(TZ_DSTE,MATCH(P185,TZ_STN,0))),INDEX(TZ_DST,MATCH(P185,TZ_STN,0)),INDEX(TZ_STD,MATCH(P185,TZ_STN,0))))/24,"")</f>
        <v/>
      </c>
      <c r="AH185" s="65" t="str">
        <f aca="false">IFERROR(IF(N185="N/A – rule","N/A – RULE",IF(TRIM(U185)="N/A",IF(AT185=0,"INVALID – N/A not permitted for this check",IF(AND(TRIM(AB185)&lt;&gt;"",TRIM(AB185)&lt;&gt;"Closed"),"INVALID – corrective action still open",IF(AND(NOT(OR(LEN(AZ185)&lt;15,ISNUMBER(MATCH(AZ185,L_Placeholder,0)))),NOT(OR(LEN(AU185)&lt;2,ISNUMBER(MATCH(AU185,L_Placeholder,0)))),NOT(OR(LEN(AX185)&lt;2,ISNUMBER(MATCH(AX185,L_Placeholder,0)))),TRIM(AE185)&lt;&gt;TRIM(T185)),"N/A – JUSTIFIED","INVALID – N/A needs a real justification (15+ chars), PIC and a different verifier"))),IF(OR(TRIM(U185)="Pass",TRIM(U185)="Pass after CA"),IF(NOT(ISNUMBER(AD185)),"INVALID – completion time missing",IF(OR(LEN(AU185)&lt;2,ISNUMBER(MATCH(AU185,L_Placeholder,0))),"INVALID – PIC missing",IF(OR(LEN(AV185)&lt;2,ISNUMBER(MATCH(AV185,L_Placeholder,0))),"INVALID – result / assessment missing",IF(OR(OR(LEN(AW185)&lt;3,ISNUMBER(MATCH(AW185,L_Placeholder,0))),SUMPRODUCT(--ISNUMBER(SEARCH(L_EvidencePhrase,AW185)))&gt;0),"INVALID – evidence missing, placeholder or not yet on file",IF(OR(LEN(AX185)&lt;2,ISNUMBER(MATCH(AX185,L_Placeholder,0))),"INVALID – verifier missing",IF(AX185=AU185,"INVALID – verifier must be someone other than the PIC",IF(AND(TRIM(U185)="Pass",SUMPRODUCT(--ISNUMBER(SEARCH(L_ResultBad,AV185)))&gt;0),"INVALID – result describes a problem: use Fail, then Pass after CA",IF(AND(AQ185=1,OR(LEN(AY185)&lt;3,ISNUMBER(MATCH(AY185,L_Placeholder,0)))),"INVALID – batch ID missing or placeholder",IF(AND(AR185=1,OR(NOT(ISNUMBER(X185)),NOT(ISNUMBER(Y185)))),"INVALID – expected/actual qty missing",IF(AND(AR185=1,OR(X185&lt;=0,Y185&lt;0)),"INVALID – expected qty must be above 0 and actual not negative",IF(BB185&lt;&gt;"",BB185,IF(AND(AS185=1,Documents!$J$10&lt;&gt;"ON FILE"),"INVALID – GLD not on file (Documents sheet)",IF(AND(AS185=2,Documents!$O$10&lt;&gt;"ON FILE"),"INVALID – menu checklist not on file (Documents sheet)",IF(AND(AS185=3,NOT(ISNUMBER(Flights!$AX$10))),"INVALID – enter carrying flight KUL departure (Flights AX)",IF(AND(AS185=3,OR(Flights!$AZ$10&gt;Flights!$AA$10,Flights!$AX$10&lt;Flights!$AA$10-3)),"INVALID – carrying flight (Flights AX) cannot arrive before this leg's STD, or is over 3 days early",IF(AG185&gt;AsOfUTC,"INVALID – completion time is in the future",IF(AND(ISNUMBER(S185),AG185&lt;S185),IF(H185="Physical uplift","INVALID – before uplift window (cannot confirm loading)","INVALID – before valid window"),IF(AG185&gt;Flights!$AA$10,"INVALID – completed after departure (cannot establish readiness)",IF(AND(H185="Preparation",AG185&gt;IF(ISNUMBER(Flights!$BA$10),MIN(Flights!$BA$10,Flights!$AA$10),Flights!$AA$10)),"INVALID – completed after loading / departure (cannot establish readiness)",IF(AND(H185="Physical uplift",AG185&gt;Q185),"INVALID – recorded after the loading flight departed",IF(AG185&gt;Q185,"COMPLETE – LATE","COMPLETE"))))))))))))))))))))),IF(TRIM(U185)="Fail","FAIL – DISCREPANCY",IF(AND(TRIM(U185)&lt;&gt;"",TRIM(U185)&lt;&gt;"Not started",TRIM(U185)&lt;&gt;"In progress"),"INVALID – unrecognised status (use the list)",IF(AsOfUTC&gt;Q185,"OVERDUE",IF(N185="Clarification required","OPEN – CLARIFICATION","OPEN"))))))),"INVALID – error value in an input cell")</f>
        <v>OPEN</v>
      </c>
      <c r="AI185" s="61" t="n">
        <f aca="false">IF(OR(AH185="N/A – RULE",AH185="N/A – JUSTIFIED"),0,1)</f>
        <v>1</v>
      </c>
      <c r="AJ185" s="61" t="n">
        <f aca="false">IF(LEFT(AH185,8)="COMPLETE",1,0)</f>
        <v>0</v>
      </c>
      <c r="AK185" s="61" t="n">
        <f aca="false">IF(AND(AI185=1,AJ185=0,AsOfUTC&gt;Q185),1,0)</f>
        <v>0</v>
      </c>
      <c r="AL185" s="61" t="n">
        <f aca="false">IFERROR(IF(AND(AI185=1,OR(TRIM(U185)="Fail",AND(TRIM(AB185)&lt;&gt;"",TRIM(AB185)&lt;&gt;"Closed"),AND(ISNUMBER(AF185),AF185&lt;&gt;0,TRIM(U185)&lt;&gt;"Pass after CA"))),1,0),1)</f>
        <v>0</v>
      </c>
      <c r="AM185" s="61" t="n">
        <f aca="false">IF(LEFT(AH185,7)="INVALID",1,0)</f>
        <v>0</v>
      </c>
      <c r="AN185" s="61" t="n">
        <f aca="false">IF(AND(N185="Clarification required",AI185=1,AJ185=0),1,0)</f>
        <v>0</v>
      </c>
      <c r="AO185" s="61" t="str">
        <f aca="false">IF(AK185=1,SUM(AK$5:AK185),"")</f>
        <v/>
      </c>
      <c r="AP185" s="61" t="str">
        <f aca="false">IF(AL185=1,SUM(AL$5:AL185),"")</f>
        <v/>
      </c>
      <c r="AQ185" s="61" t="n">
        <v>0</v>
      </c>
      <c r="AR185" s="61" t="n">
        <v>0</v>
      </c>
      <c r="AS185" s="61" t="n">
        <v>0</v>
      </c>
      <c r="AT185" s="61" t="n">
        <v>0</v>
      </c>
      <c r="AU185" s="61" t="str">
        <f aca="false">SUBSTITUTE(SUBSTITUTE(SUBSTITUTE(SUBSTITUTE(SUBSTITUTE(SUBSTITUTE(SUBSTITUTE(SUBSTITUTE(SUBSTITUTE(SUBSTITUTE(SUBSTITUTE(SUBSTITUTE(SUBSTITUTE(LOWER(T185&amp;""),CHAR(160),"")," ",""),".",""),"-",""),"/",""),"?",""),"_",""),",",""),"[",""),"]",""),"(",""),")",""),"*","")</f>
        <v/>
      </c>
      <c r="AV185" s="61" t="str">
        <f aca="false">SUBSTITUTE(SUBSTITUTE(SUBSTITUTE(SUBSTITUTE(SUBSTITUTE(SUBSTITUTE(SUBSTITUTE(SUBSTITUTE(SUBSTITUTE(SUBSTITUTE(SUBSTITUTE(SUBSTITUTE(SUBSTITUTE(LOWER(V185&amp;""),CHAR(160),"")," ",""),".",""),"-",""),"/",""),"?",""),"_",""),",",""),"[",""),"]",""),"(",""),")",""),"*","")</f>
        <v/>
      </c>
      <c r="AW185" s="61" t="str">
        <f aca="false">SUBSTITUTE(SUBSTITUTE(SUBSTITUTE(SUBSTITUTE(SUBSTITUTE(SUBSTITUTE(SUBSTITUTE(SUBSTITUTE(SUBSTITUTE(SUBSTITUTE(SUBSTITUTE(SUBSTITUTE(SUBSTITUTE(LOWER(Z185&amp;""),CHAR(160),"")," ",""),".",""),"-",""),"/",""),"?",""),"_",""),",",""),"[",""),"]",""),"(",""),")",""),"*","")</f>
        <v/>
      </c>
      <c r="AX185" s="61" t="str">
        <f aca="false">SUBSTITUTE(SUBSTITUTE(SUBSTITUTE(SUBSTITUTE(SUBSTITUTE(SUBSTITUTE(SUBSTITUTE(SUBSTITUTE(SUBSTITUTE(SUBSTITUTE(SUBSTITUTE(SUBSTITUTE(SUBSTITUTE(LOWER(AE185&amp;""),CHAR(160),"")," ",""),".",""),"-",""),"/",""),"?",""),"_",""),",",""),"[",""),"]",""),"(",""),")",""),"*","")</f>
        <v/>
      </c>
      <c r="AY185" s="61" t="str">
        <f aca="false">SUBSTITUTE(SUBSTITUTE(SUBSTITUTE(SUBSTITUTE(SUBSTITUTE(SUBSTITUTE(SUBSTITUTE(SUBSTITUTE(SUBSTITUTE(SUBSTITUTE(SUBSTITUTE(SUBSTITUTE(SUBSTITUTE(LOWER(W185&amp;""),CHAR(160),"")," ",""),".",""),"-",""),"/",""),"?",""),"_",""),",",""),"[",""),"]",""),"(",""),")",""),"*","")</f>
        <v/>
      </c>
      <c r="AZ185" s="61" t="str">
        <f aca="false">SUBSTITUTE(SUBSTITUTE(SUBSTITUTE(SUBSTITUTE(SUBSTITUTE(SUBSTITUTE(SUBSTITUTE(SUBSTITUTE(SUBSTITUTE(SUBSTITUTE(SUBSTITUTE(SUBSTITUTE(SUBSTITUTE(LOWER(AC185&amp;""),CHAR(160),"")," ",""),".",""),"-",""),"/",""),"?",""),"_",""),",",""),"[",""),"]",""),"(",""),")",""),"*","")</f>
        <v/>
      </c>
      <c r="BA185" s="61" t="str">
        <f aca="false">SUBSTITUTE(SUBSTITUTE(SUBSTITUTE(SUBSTITUTE(SUBSTITUTE(SUBSTITUTE(SUBSTITUTE(SUBSTITUTE(SUBSTITUTE(SUBSTITUTE(SUBSTITUTE(SUBSTITUTE(SUBSTITUTE(LOWER(AA185&amp;""),CHAR(160),"")," ",""),".",""),"-",""),"/",""),"?",""),"_",""),",",""),"[",""),"]",""),"(",""),")",""),"*","")</f>
        <v/>
      </c>
      <c r="BB185" s="61" t="str">
        <f aca="false">IF(AND(TRIM(U185)="Pass",ISNUMBER(AF185)),IF(AF185&lt;&gt;0,"INVALID – qty variance: use Fail or Pass after CA",""),"")&amp;IF(AND(TRIM(U185)="Pass after CA",ISNUMBER(AF185)),IF(AF185&lt;&gt;0,"INVALID – after the corrective action the actual qty must equal expected (update Actual)",""),"")&amp;IF(AND(TRIM(U185)="Pass",TRIM(AB185)&lt;&gt;"",TRIM(AB185)&lt;&gt;"Closed"),"INVALID – corrective action not closed: use Fail, then Pass after CA","")&amp;IF(AND(TRIM(AA185)&lt;&gt;"",TRIM(AB185)=""),"INVALID – CA status missing for the recorded corrective action","")&amp;IF(AND(TRIM(U185)="Pass after CA",OR(OR(LEN(BA185)&lt;5,ISNUMBER(MATCH(BA185,L_Placeholder,0))),TRIM(AB185)&lt;&gt;"Closed")),"INVALID – corrective action not recorded/closed","")</f>
        <v/>
      </c>
    </row>
    <row r="186" customFormat="false" ht="41.25" hidden="false" customHeight="true" outlineLevel="0" collapsed="false">
      <c r="A186" s="57" t="s">
        <v>713</v>
      </c>
      <c r="B186" s="57" t="s">
        <v>228</v>
      </c>
      <c r="C186" s="57" t="str">
        <f aca="false">Flights!$F$10</f>
        <v>MH0002</v>
      </c>
      <c r="D186" s="58" t="n">
        <f aca="false">Flights!$D$10</f>
        <v>46310</v>
      </c>
      <c r="E186" s="57" t="str">
        <f aca="false">Flights!$G$10&amp;"-"&amp;Flights!$H$10</f>
        <v>KUL-LHR</v>
      </c>
      <c r="F186" s="57" t="str">
        <f aca="false">Flights!$K$10</f>
        <v>BC</v>
      </c>
      <c r="G186" s="57" t="s">
        <v>398</v>
      </c>
      <c r="H186" s="57" t="s">
        <v>356</v>
      </c>
      <c r="I186" s="57" t="s">
        <v>477</v>
      </c>
      <c r="J186" s="57" t="s">
        <v>478</v>
      </c>
      <c r="K186" s="67" t="s">
        <v>479</v>
      </c>
      <c r="L186" s="67" t="s">
        <v>714</v>
      </c>
      <c r="M186" s="67" t="s">
        <v>429</v>
      </c>
      <c r="N186" s="67" t="s">
        <v>361</v>
      </c>
      <c r="O186" s="67" t="s">
        <v>481</v>
      </c>
      <c r="P186" s="57" t="s">
        <v>184</v>
      </c>
      <c r="Q186" s="59" t="n">
        <f aca="false">ROUND((Flights!$AE$10)*1440,0)/1440</f>
        <v>46310.1388888889</v>
      </c>
      <c r="R186" s="59" t="n">
        <f aca="false">Q186+(IF(AND(INDEX(TZ_DSTS,MATCH(P186,TZ_STN,0))&lt;&gt;"",Q186&gt;=INDEX(TZ_DSTS,MATCH(P186,TZ_STN,0)),Q186&lt;INDEX(TZ_DSTE,MATCH(P186,TZ_STN,0))),INDEX(TZ_DST,MATCH(P186,TZ_STN,0)),INDEX(TZ_STD,MATCH(P186,TZ_STN,0))))/24</f>
        <v>46310.4722222222</v>
      </c>
      <c r="S186" s="59" t="n">
        <f aca="false">Q186-T12EarlyH/24</f>
        <v>46309.6388888889</v>
      </c>
      <c r="T186" s="60"/>
      <c r="U186" s="60"/>
      <c r="V186" s="60"/>
      <c r="W186" s="61"/>
      <c r="X186" s="60"/>
      <c r="Y186" s="60"/>
      <c r="Z186" s="60"/>
      <c r="AA186" s="60"/>
      <c r="AB186" s="60"/>
      <c r="AC186" s="60"/>
      <c r="AD186" s="66"/>
      <c r="AE186" s="60"/>
      <c r="AF186" s="61" t="str">
        <f aca="false">IF(AND(ISNUMBER(X186),ISNUMBER(Y186)),Y186-X186,"")</f>
        <v/>
      </c>
      <c r="AG186" s="62" t="str">
        <f aca="false">IF(ISNUMBER(AD186),AD186-(IF(AND(INDEX(TZ_DSTS,MATCH(P186,TZ_STN,0))&lt;&gt;"",(AD186-INDEX(TZ_STD,MATCH(P186,TZ_STN,0))/24)&gt;=INDEX(TZ_DSTS,MATCH(P186,TZ_STN,0)),(AD186-INDEX(TZ_STD,MATCH(P186,TZ_STN,0))/24)&lt;INDEX(TZ_DSTE,MATCH(P186,TZ_STN,0))),INDEX(TZ_DST,MATCH(P186,TZ_STN,0)),INDEX(TZ_STD,MATCH(P186,TZ_STN,0))))/24,"")</f>
        <v/>
      </c>
      <c r="AH186" s="65" t="str">
        <f aca="false">IFERROR(IF(N186="N/A – rule","N/A – RULE",IF(TRIM(U186)="N/A",IF(AT186=0,"INVALID – N/A not permitted for this check",IF(AND(TRIM(AB186)&lt;&gt;"",TRIM(AB186)&lt;&gt;"Closed"),"INVALID – corrective action still open",IF(AND(NOT(OR(LEN(AZ186)&lt;15,ISNUMBER(MATCH(AZ186,L_Placeholder,0)))),NOT(OR(LEN(AU186)&lt;2,ISNUMBER(MATCH(AU186,L_Placeholder,0)))),NOT(OR(LEN(AX186)&lt;2,ISNUMBER(MATCH(AX186,L_Placeholder,0)))),TRIM(AE186)&lt;&gt;TRIM(T186)),"N/A – JUSTIFIED","INVALID – N/A needs a real justification (15+ chars), PIC and a different verifier"))),IF(OR(TRIM(U186)="Pass",TRIM(U186)="Pass after CA"),IF(NOT(ISNUMBER(AD186)),"INVALID – completion time missing",IF(OR(LEN(AU186)&lt;2,ISNUMBER(MATCH(AU186,L_Placeholder,0))),"INVALID – PIC missing",IF(OR(LEN(AV186)&lt;2,ISNUMBER(MATCH(AV186,L_Placeholder,0))),"INVALID – result / assessment missing",IF(OR(OR(LEN(AW186)&lt;3,ISNUMBER(MATCH(AW186,L_Placeholder,0))),SUMPRODUCT(--ISNUMBER(SEARCH(L_EvidencePhrase,AW186)))&gt;0),"INVALID – evidence missing, placeholder or not yet on file",IF(OR(LEN(AX186)&lt;2,ISNUMBER(MATCH(AX186,L_Placeholder,0))),"INVALID – verifier missing",IF(AX186=AU186,"INVALID – verifier must be someone other than the PIC",IF(AND(TRIM(U186)="Pass",SUMPRODUCT(--ISNUMBER(SEARCH(L_ResultBad,AV186)))&gt;0),"INVALID – result describes a problem: use Fail, then Pass after CA",IF(AND(AQ186=1,OR(LEN(AY186)&lt;3,ISNUMBER(MATCH(AY186,L_Placeholder,0)))),"INVALID – batch ID missing or placeholder",IF(AND(AR186=1,OR(NOT(ISNUMBER(X186)),NOT(ISNUMBER(Y186)))),"INVALID – expected/actual qty missing",IF(AND(AR186=1,OR(X186&lt;=0,Y186&lt;0)),"INVALID – expected qty must be above 0 and actual not negative",IF(BB186&lt;&gt;"",BB186,IF(AND(AS186=1,Documents!$J$10&lt;&gt;"ON FILE"),"INVALID – GLD not on file (Documents sheet)",IF(AND(AS186=2,Documents!$O$10&lt;&gt;"ON FILE"),"INVALID – menu checklist not on file (Documents sheet)",IF(AND(AS186=3,NOT(ISNUMBER(Flights!$AX$10))),"INVALID – enter carrying flight KUL departure (Flights AX)",IF(AND(AS186=3,OR(Flights!$AZ$10&gt;Flights!$AA$10,Flights!$AX$10&lt;Flights!$AA$10-3)),"INVALID – carrying flight (Flights AX) cannot arrive before this leg's STD, or is over 3 days early",IF(AG186&gt;AsOfUTC,"INVALID – completion time is in the future",IF(AND(ISNUMBER(S186),AG186&lt;S186),IF(H186="Physical uplift","INVALID – before uplift window (cannot confirm loading)","INVALID – before valid window"),IF(AG186&gt;Flights!$AA$10,"INVALID – completed after departure (cannot establish readiness)",IF(AND(H186="Preparation",AG186&gt;IF(ISNUMBER(Flights!$BA$10),MIN(Flights!$BA$10,Flights!$AA$10),Flights!$AA$10)),"INVALID – completed after loading / departure (cannot establish readiness)",IF(AND(H186="Physical uplift",AG186&gt;Q186),"INVALID – recorded after the loading flight departed",IF(AG186&gt;Q186,"COMPLETE – LATE","COMPLETE"))))))))))))))))))))),IF(TRIM(U186)="Fail","FAIL – DISCREPANCY",IF(AND(TRIM(U186)&lt;&gt;"",TRIM(U186)&lt;&gt;"Not started",TRIM(U186)&lt;&gt;"In progress"),"INVALID – unrecognised status (use the list)",IF(AsOfUTC&gt;Q186,"OVERDUE",IF(N186="Clarification required","OPEN – CLARIFICATION","OPEN"))))))),"INVALID – error value in an input cell")</f>
        <v>OPEN</v>
      </c>
      <c r="AI186" s="61" t="n">
        <f aca="false">IF(OR(AH186="N/A – RULE",AH186="N/A – JUSTIFIED"),0,1)</f>
        <v>1</v>
      </c>
      <c r="AJ186" s="61" t="n">
        <f aca="false">IF(LEFT(AH186,8)="COMPLETE",1,0)</f>
        <v>0</v>
      </c>
      <c r="AK186" s="61" t="n">
        <f aca="false">IF(AND(AI186=1,AJ186=0,AsOfUTC&gt;Q186),1,0)</f>
        <v>0</v>
      </c>
      <c r="AL186" s="61" t="n">
        <f aca="false">IFERROR(IF(AND(AI186=1,OR(TRIM(U186)="Fail",AND(TRIM(AB186)&lt;&gt;"",TRIM(AB186)&lt;&gt;"Closed"),AND(ISNUMBER(AF186),AF186&lt;&gt;0,TRIM(U186)&lt;&gt;"Pass after CA"))),1,0),1)</f>
        <v>0</v>
      </c>
      <c r="AM186" s="61" t="n">
        <f aca="false">IF(LEFT(AH186,7)="INVALID",1,0)</f>
        <v>0</v>
      </c>
      <c r="AN186" s="61" t="n">
        <f aca="false">IF(AND(N186="Clarification required",AI186=1,AJ186=0),1,0)</f>
        <v>0</v>
      </c>
      <c r="AO186" s="61" t="str">
        <f aca="false">IF(AK186=1,SUM(AK$5:AK186),"")</f>
        <v/>
      </c>
      <c r="AP186" s="61" t="str">
        <f aca="false">IF(AL186=1,SUM(AL$5:AL186),"")</f>
        <v/>
      </c>
      <c r="AQ186" s="61" t="n">
        <v>0</v>
      </c>
      <c r="AR186" s="61" t="n">
        <v>0</v>
      </c>
      <c r="AS186" s="61" t="n">
        <v>0</v>
      </c>
      <c r="AT186" s="61" t="n">
        <v>0</v>
      </c>
      <c r="AU186" s="61" t="str">
        <f aca="false">SUBSTITUTE(SUBSTITUTE(SUBSTITUTE(SUBSTITUTE(SUBSTITUTE(SUBSTITUTE(SUBSTITUTE(SUBSTITUTE(SUBSTITUTE(SUBSTITUTE(SUBSTITUTE(SUBSTITUTE(SUBSTITUTE(LOWER(T186&amp;""),CHAR(160),"")," ",""),".",""),"-",""),"/",""),"?",""),"_",""),",",""),"[",""),"]",""),"(",""),")",""),"*","")</f>
        <v/>
      </c>
      <c r="AV186" s="61" t="str">
        <f aca="false">SUBSTITUTE(SUBSTITUTE(SUBSTITUTE(SUBSTITUTE(SUBSTITUTE(SUBSTITUTE(SUBSTITUTE(SUBSTITUTE(SUBSTITUTE(SUBSTITUTE(SUBSTITUTE(SUBSTITUTE(SUBSTITUTE(LOWER(V186&amp;""),CHAR(160),"")," ",""),".",""),"-",""),"/",""),"?",""),"_",""),",",""),"[",""),"]",""),"(",""),")",""),"*","")</f>
        <v/>
      </c>
      <c r="AW186" s="61" t="str">
        <f aca="false">SUBSTITUTE(SUBSTITUTE(SUBSTITUTE(SUBSTITUTE(SUBSTITUTE(SUBSTITUTE(SUBSTITUTE(SUBSTITUTE(SUBSTITUTE(SUBSTITUTE(SUBSTITUTE(SUBSTITUTE(SUBSTITUTE(LOWER(Z186&amp;""),CHAR(160),"")," ",""),".",""),"-",""),"/",""),"?",""),"_",""),",",""),"[",""),"]",""),"(",""),")",""),"*","")</f>
        <v/>
      </c>
      <c r="AX186" s="61" t="str">
        <f aca="false">SUBSTITUTE(SUBSTITUTE(SUBSTITUTE(SUBSTITUTE(SUBSTITUTE(SUBSTITUTE(SUBSTITUTE(SUBSTITUTE(SUBSTITUTE(SUBSTITUTE(SUBSTITUTE(SUBSTITUTE(SUBSTITUTE(LOWER(AE186&amp;""),CHAR(160),"")," ",""),".",""),"-",""),"/",""),"?",""),"_",""),",",""),"[",""),"]",""),"(",""),")",""),"*","")</f>
        <v/>
      </c>
      <c r="AY186" s="61" t="str">
        <f aca="false">SUBSTITUTE(SUBSTITUTE(SUBSTITUTE(SUBSTITUTE(SUBSTITUTE(SUBSTITUTE(SUBSTITUTE(SUBSTITUTE(SUBSTITUTE(SUBSTITUTE(SUBSTITUTE(SUBSTITUTE(SUBSTITUTE(LOWER(W186&amp;""),CHAR(160),"")," ",""),".",""),"-",""),"/",""),"?",""),"_",""),",",""),"[",""),"]",""),"(",""),")",""),"*","")</f>
        <v/>
      </c>
      <c r="AZ186" s="61" t="str">
        <f aca="false">SUBSTITUTE(SUBSTITUTE(SUBSTITUTE(SUBSTITUTE(SUBSTITUTE(SUBSTITUTE(SUBSTITUTE(SUBSTITUTE(SUBSTITUTE(SUBSTITUTE(SUBSTITUTE(SUBSTITUTE(SUBSTITUTE(LOWER(AC186&amp;""),CHAR(160),"")," ",""),".",""),"-",""),"/",""),"?",""),"_",""),",",""),"[",""),"]",""),"(",""),")",""),"*","")</f>
        <v/>
      </c>
      <c r="BA186" s="61" t="str">
        <f aca="false">SUBSTITUTE(SUBSTITUTE(SUBSTITUTE(SUBSTITUTE(SUBSTITUTE(SUBSTITUTE(SUBSTITUTE(SUBSTITUTE(SUBSTITUTE(SUBSTITUTE(SUBSTITUTE(SUBSTITUTE(SUBSTITUTE(LOWER(AA186&amp;""),CHAR(160),"")," ",""),".",""),"-",""),"/",""),"?",""),"_",""),",",""),"[",""),"]",""),"(",""),")",""),"*","")</f>
        <v/>
      </c>
      <c r="BB186" s="61" t="str">
        <f aca="false">IF(AND(TRIM(U186)="Pass",ISNUMBER(AF186)),IF(AF186&lt;&gt;0,"INVALID – qty variance: use Fail or Pass after CA",""),"")&amp;IF(AND(TRIM(U186)="Pass after CA",ISNUMBER(AF186)),IF(AF186&lt;&gt;0,"INVALID – after the corrective action the actual qty must equal expected (update Actual)",""),"")&amp;IF(AND(TRIM(U186)="Pass",TRIM(AB186)&lt;&gt;"",TRIM(AB186)&lt;&gt;"Closed"),"INVALID – corrective action not closed: use Fail, then Pass after CA","")&amp;IF(AND(TRIM(AA186)&lt;&gt;"",TRIM(AB186)=""),"INVALID – CA status missing for the recorded corrective action","")&amp;IF(AND(TRIM(U186)="Pass after CA",OR(OR(LEN(BA186)&lt;5,ISNUMBER(MATCH(BA186,L_Placeholder,0))),TRIM(AB186)&lt;&gt;"Closed")),"INVALID – corrective action not recorded/closed","")</f>
        <v/>
      </c>
    </row>
    <row r="187" customFormat="false" ht="41.25" hidden="false" customHeight="true" outlineLevel="0" collapsed="false">
      <c r="A187" s="57" t="s">
        <v>715</v>
      </c>
      <c r="B187" s="57" t="s">
        <v>228</v>
      </c>
      <c r="C187" s="57" t="str">
        <f aca="false">Flights!$F$10</f>
        <v>MH0002</v>
      </c>
      <c r="D187" s="58" t="n">
        <f aca="false">Flights!$D$10</f>
        <v>46310</v>
      </c>
      <c r="E187" s="57" t="str">
        <f aca="false">Flights!$G$10&amp;"-"&amp;Flights!$H$10</f>
        <v>KUL-LHR</v>
      </c>
      <c r="F187" s="57" t="str">
        <f aca="false">Flights!$K$10</f>
        <v>BC</v>
      </c>
      <c r="G187" s="57" t="s">
        <v>398</v>
      </c>
      <c r="H187" s="57" t="s">
        <v>356</v>
      </c>
      <c r="I187" s="57" t="s">
        <v>477</v>
      </c>
      <c r="J187" s="57" t="s">
        <v>483</v>
      </c>
      <c r="K187" s="67" t="s">
        <v>479</v>
      </c>
      <c r="L187" s="67" t="s">
        <v>716</v>
      </c>
      <c r="M187" s="67" t="s">
        <v>429</v>
      </c>
      <c r="N187" s="67" t="s">
        <v>361</v>
      </c>
      <c r="O187" s="67" t="s">
        <v>481</v>
      </c>
      <c r="P187" s="57" t="s">
        <v>184</v>
      </c>
      <c r="Q187" s="59" t="n">
        <f aca="false">ROUND((Flights!$AE$10)*1440,0)/1440</f>
        <v>46310.1388888889</v>
      </c>
      <c r="R187" s="59" t="n">
        <f aca="false">Q187+(IF(AND(INDEX(TZ_DSTS,MATCH(P187,TZ_STN,0))&lt;&gt;"",Q187&gt;=INDEX(TZ_DSTS,MATCH(P187,TZ_STN,0)),Q187&lt;INDEX(TZ_DSTE,MATCH(P187,TZ_STN,0))),INDEX(TZ_DST,MATCH(P187,TZ_STN,0)),INDEX(TZ_STD,MATCH(P187,TZ_STN,0))))/24</f>
        <v>46310.4722222222</v>
      </c>
      <c r="S187" s="59" t="n">
        <f aca="false">Q187-T12EarlyH/24</f>
        <v>46309.6388888889</v>
      </c>
      <c r="T187" s="60"/>
      <c r="U187" s="60"/>
      <c r="V187" s="60"/>
      <c r="W187" s="61"/>
      <c r="X187" s="60"/>
      <c r="Y187" s="60"/>
      <c r="Z187" s="60"/>
      <c r="AA187" s="60"/>
      <c r="AB187" s="60"/>
      <c r="AC187" s="60"/>
      <c r="AD187" s="66"/>
      <c r="AE187" s="60"/>
      <c r="AF187" s="61" t="str">
        <f aca="false">IF(AND(ISNUMBER(X187),ISNUMBER(Y187)),Y187-X187,"")</f>
        <v/>
      </c>
      <c r="AG187" s="62" t="str">
        <f aca="false">IF(ISNUMBER(AD187),AD187-(IF(AND(INDEX(TZ_DSTS,MATCH(P187,TZ_STN,0))&lt;&gt;"",(AD187-INDEX(TZ_STD,MATCH(P187,TZ_STN,0))/24)&gt;=INDEX(TZ_DSTS,MATCH(P187,TZ_STN,0)),(AD187-INDEX(TZ_STD,MATCH(P187,TZ_STN,0))/24)&lt;INDEX(TZ_DSTE,MATCH(P187,TZ_STN,0))),INDEX(TZ_DST,MATCH(P187,TZ_STN,0)),INDEX(TZ_STD,MATCH(P187,TZ_STN,0))))/24,"")</f>
        <v/>
      </c>
      <c r="AH187" s="65" t="str">
        <f aca="false">IFERROR(IF(N187="N/A – rule","N/A – RULE",IF(TRIM(U187)="N/A",IF(AT187=0,"INVALID – N/A not permitted for this check",IF(AND(TRIM(AB187)&lt;&gt;"",TRIM(AB187)&lt;&gt;"Closed"),"INVALID – corrective action still open",IF(AND(NOT(OR(LEN(AZ187)&lt;15,ISNUMBER(MATCH(AZ187,L_Placeholder,0)))),NOT(OR(LEN(AU187)&lt;2,ISNUMBER(MATCH(AU187,L_Placeholder,0)))),NOT(OR(LEN(AX187)&lt;2,ISNUMBER(MATCH(AX187,L_Placeholder,0)))),TRIM(AE187)&lt;&gt;TRIM(T187)),"N/A – JUSTIFIED","INVALID – N/A needs a real justification (15+ chars), PIC and a different verifier"))),IF(OR(TRIM(U187)="Pass",TRIM(U187)="Pass after CA"),IF(NOT(ISNUMBER(AD187)),"INVALID – completion time missing",IF(OR(LEN(AU187)&lt;2,ISNUMBER(MATCH(AU187,L_Placeholder,0))),"INVALID – PIC missing",IF(OR(LEN(AV187)&lt;2,ISNUMBER(MATCH(AV187,L_Placeholder,0))),"INVALID – result / assessment missing",IF(OR(OR(LEN(AW187)&lt;3,ISNUMBER(MATCH(AW187,L_Placeholder,0))),SUMPRODUCT(--ISNUMBER(SEARCH(L_EvidencePhrase,AW187)))&gt;0),"INVALID – evidence missing, placeholder or not yet on file",IF(OR(LEN(AX187)&lt;2,ISNUMBER(MATCH(AX187,L_Placeholder,0))),"INVALID – verifier missing",IF(AX187=AU187,"INVALID – verifier must be someone other than the PIC",IF(AND(TRIM(U187)="Pass",SUMPRODUCT(--ISNUMBER(SEARCH(L_ResultBad,AV187)))&gt;0),"INVALID – result describes a problem: use Fail, then Pass after CA",IF(AND(AQ187=1,OR(LEN(AY187)&lt;3,ISNUMBER(MATCH(AY187,L_Placeholder,0)))),"INVALID – batch ID missing or placeholder",IF(AND(AR187=1,OR(NOT(ISNUMBER(X187)),NOT(ISNUMBER(Y187)))),"INVALID – expected/actual qty missing",IF(AND(AR187=1,OR(X187&lt;=0,Y187&lt;0)),"INVALID – expected qty must be above 0 and actual not negative",IF(BB187&lt;&gt;"",BB187,IF(AND(AS187=1,Documents!$J$10&lt;&gt;"ON FILE"),"INVALID – GLD not on file (Documents sheet)",IF(AND(AS187=2,Documents!$O$10&lt;&gt;"ON FILE"),"INVALID – menu checklist not on file (Documents sheet)",IF(AND(AS187=3,NOT(ISNUMBER(Flights!$AX$10))),"INVALID – enter carrying flight KUL departure (Flights AX)",IF(AND(AS187=3,OR(Flights!$AZ$10&gt;Flights!$AA$10,Flights!$AX$10&lt;Flights!$AA$10-3)),"INVALID – carrying flight (Flights AX) cannot arrive before this leg's STD, or is over 3 days early",IF(AG187&gt;AsOfUTC,"INVALID – completion time is in the future",IF(AND(ISNUMBER(S187),AG187&lt;S187),IF(H187="Physical uplift","INVALID – before uplift window (cannot confirm loading)","INVALID – before valid window"),IF(AG187&gt;Flights!$AA$10,"INVALID – completed after departure (cannot establish readiness)",IF(AND(H187="Preparation",AG187&gt;IF(ISNUMBER(Flights!$BA$10),MIN(Flights!$BA$10,Flights!$AA$10),Flights!$AA$10)),"INVALID – completed after loading / departure (cannot establish readiness)",IF(AND(H187="Physical uplift",AG187&gt;Q187),"INVALID – recorded after the loading flight departed",IF(AG187&gt;Q187,"COMPLETE – LATE","COMPLETE"))))))))))))))))))))),IF(TRIM(U187)="Fail","FAIL – DISCREPANCY",IF(AND(TRIM(U187)&lt;&gt;"",TRIM(U187)&lt;&gt;"Not started",TRIM(U187)&lt;&gt;"In progress"),"INVALID – unrecognised status (use the list)",IF(AsOfUTC&gt;Q187,"OVERDUE",IF(N187="Clarification required","OPEN – CLARIFICATION","OPEN"))))))),"INVALID – error value in an input cell")</f>
        <v>OPEN</v>
      </c>
      <c r="AI187" s="61" t="n">
        <f aca="false">IF(OR(AH187="N/A – RULE",AH187="N/A – JUSTIFIED"),0,1)</f>
        <v>1</v>
      </c>
      <c r="AJ187" s="61" t="n">
        <f aca="false">IF(LEFT(AH187,8)="COMPLETE",1,0)</f>
        <v>0</v>
      </c>
      <c r="AK187" s="61" t="n">
        <f aca="false">IF(AND(AI187=1,AJ187=0,AsOfUTC&gt;Q187),1,0)</f>
        <v>0</v>
      </c>
      <c r="AL187" s="61" t="n">
        <f aca="false">IFERROR(IF(AND(AI187=1,OR(TRIM(U187)="Fail",AND(TRIM(AB187)&lt;&gt;"",TRIM(AB187)&lt;&gt;"Closed"),AND(ISNUMBER(AF187),AF187&lt;&gt;0,TRIM(U187)&lt;&gt;"Pass after CA"))),1,0),1)</f>
        <v>0</v>
      </c>
      <c r="AM187" s="61" t="n">
        <f aca="false">IF(LEFT(AH187,7)="INVALID",1,0)</f>
        <v>0</v>
      </c>
      <c r="AN187" s="61" t="n">
        <f aca="false">IF(AND(N187="Clarification required",AI187=1,AJ187=0),1,0)</f>
        <v>0</v>
      </c>
      <c r="AO187" s="61" t="str">
        <f aca="false">IF(AK187=1,SUM(AK$5:AK187),"")</f>
        <v/>
      </c>
      <c r="AP187" s="61" t="str">
        <f aca="false">IF(AL187=1,SUM(AL$5:AL187),"")</f>
        <v/>
      </c>
      <c r="AQ187" s="61" t="n">
        <v>0</v>
      </c>
      <c r="AR187" s="61" t="n">
        <v>0</v>
      </c>
      <c r="AS187" s="61" t="n">
        <v>0</v>
      </c>
      <c r="AT187" s="61" t="n">
        <v>0</v>
      </c>
      <c r="AU187" s="61" t="str">
        <f aca="false">SUBSTITUTE(SUBSTITUTE(SUBSTITUTE(SUBSTITUTE(SUBSTITUTE(SUBSTITUTE(SUBSTITUTE(SUBSTITUTE(SUBSTITUTE(SUBSTITUTE(SUBSTITUTE(SUBSTITUTE(SUBSTITUTE(LOWER(T187&amp;""),CHAR(160),"")," ",""),".",""),"-",""),"/",""),"?",""),"_",""),",",""),"[",""),"]",""),"(",""),")",""),"*","")</f>
        <v/>
      </c>
      <c r="AV187" s="61" t="str">
        <f aca="false">SUBSTITUTE(SUBSTITUTE(SUBSTITUTE(SUBSTITUTE(SUBSTITUTE(SUBSTITUTE(SUBSTITUTE(SUBSTITUTE(SUBSTITUTE(SUBSTITUTE(SUBSTITUTE(SUBSTITUTE(SUBSTITUTE(LOWER(V187&amp;""),CHAR(160),"")," ",""),".",""),"-",""),"/",""),"?",""),"_",""),",",""),"[",""),"]",""),"(",""),")",""),"*","")</f>
        <v/>
      </c>
      <c r="AW187" s="61" t="str">
        <f aca="false">SUBSTITUTE(SUBSTITUTE(SUBSTITUTE(SUBSTITUTE(SUBSTITUTE(SUBSTITUTE(SUBSTITUTE(SUBSTITUTE(SUBSTITUTE(SUBSTITUTE(SUBSTITUTE(SUBSTITUTE(SUBSTITUTE(LOWER(Z187&amp;""),CHAR(160),"")," ",""),".",""),"-",""),"/",""),"?",""),"_",""),",",""),"[",""),"]",""),"(",""),")",""),"*","")</f>
        <v/>
      </c>
      <c r="AX187" s="61" t="str">
        <f aca="false">SUBSTITUTE(SUBSTITUTE(SUBSTITUTE(SUBSTITUTE(SUBSTITUTE(SUBSTITUTE(SUBSTITUTE(SUBSTITUTE(SUBSTITUTE(SUBSTITUTE(SUBSTITUTE(SUBSTITUTE(SUBSTITUTE(LOWER(AE187&amp;""),CHAR(160),"")," ",""),".",""),"-",""),"/",""),"?",""),"_",""),",",""),"[",""),"]",""),"(",""),")",""),"*","")</f>
        <v/>
      </c>
      <c r="AY187" s="61" t="str">
        <f aca="false">SUBSTITUTE(SUBSTITUTE(SUBSTITUTE(SUBSTITUTE(SUBSTITUTE(SUBSTITUTE(SUBSTITUTE(SUBSTITUTE(SUBSTITUTE(SUBSTITUTE(SUBSTITUTE(SUBSTITUTE(SUBSTITUTE(LOWER(W187&amp;""),CHAR(160),"")," ",""),".",""),"-",""),"/",""),"?",""),"_",""),",",""),"[",""),"]",""),"(",""),")",""),"*","")</f>
        <v/>
      </c>
      <c r="AZ187" s="61" t="str">
        <f aca="false">SUBSTITUTE(SUBSTITUTE(SUBSTITUTE(SUBSTITUTE(SUBSTITUTE(SUBSTITUTE(SUBSTITUTE(SUBSTITUTE(SUBSTITUTE(SUBSTITUTE(SUBSTITUTE(SUBSTITUTE(SUBSTITUTE(LOWER(AC187&amp;""),CHAR(160),"")," ",""),".",""),"-",""),"/",""),"?",""),"_",""),",",""),"[",""),"]",""),"(",""),")",""),"*","")</f>
        <v/>
      </c>
      <c r="BA187" s="61" t="str">
        <f aca="false">SUBSTITUTE(SUBSTITUTE(SUBSTITUTE(SUBSTITUTE(SUBSTITUTE(SUBSTITUTE(SUBSTITUTE(SUBSTITUTE(SUBSTITUTE(SUBSTITUTE(SUBSTITUTE(SUBSTITUTE(SUBSTITUTE(LOWER(AA187&amp;""),CHAR(160),"")," ",""),".",""),"-",""),"/",""),"?",""),"_",""),",",""),"[",""),"]",""),"(",""),")",""),"*","")</f>
        <v/>
      </c>
      <c r="BB187" s="61" t="str">
        <f aca="false">IF(AND(TRIM(U187)="Pass",ISNUMBER(AF187)),IF(AF187&lt;&gt;0,"INVALID – qty variance: use Fail or Pass after CA",""),"")&amp;IF(AND(TRIM(U187)="Pass after CA",ISNUMBER(AF187)),IF(AF187&lt;&gt;0,"INVALID – after the corrective action the actual qty must equal expected (update Actual)",""),"")&amp;IF(AND(TRIM(U187)="Pass",TRIM(AB187)&lt;&gt;"",TRIM(AB187)&lt;&gt;"Closed"),"INVALID – corrective action not closed: use Fail, then Pass after CA","")&amp;IF(AND(TRIM(AA187)&lt;&gt;"",TRIM(AB187)=""),"INVALID – CA status missing for the recorded corrective action","")&amp;IF(AND(TRIM(U187)="Pass after CA",OR(OR(LEN(BA187)&lt;5,ISNUMBER(MATCH(BA187,L_Placeholder,0))),TRIM(AB187)&lt;&gt;"Closed")),"INVALID – corrective action not recorded/closed","")</f>
        <v/>
      </c>
    </row>
    <row r="188" customFormat="false" ht="41.25" hidden="false" customHeight="true" outlineLevel="0" collapsed="false">
      <c r="A188" s="57" t="s">
        <v>717</v>
      </c>
      <c r="B188" s="57" t="s">
        <v>228</v>
      </c>
      <c r="C188" s="57" t="str">
        <f aca="false">Flights!$F$10</f>
        <v>MH0002</v>
      </c>
      <c r="D188" s="58" t="n">
        <f aca="false">Flights!$D$10</f>
        <v>46310</v>
      </c>
      <c r="E188" s="57" t="str">
        <f aca="false">Flights!$G$10&amp;"-"&amp;Flights!$H$10</f>
        <v>KUL-LHR</v>
      </c>
      <c r="F188" s="57" t="str">
        <f aca="false">Flights!$K$10</f>
        <v>BC</v>
      </c>
      <c r="G188" s="57" t="s">
        <v>398</v>
      </c>
      <c r="H188" s="57" t="s">
        <v>356</v>
      </c>
      <c r="I188" s="57" t="s">
        <v>477</v>
      </c>
      <c r="J188" s="57" t="s">
        <v>486</v>
      </c>
      <c r="K188" s="67" t="s">
        <v>479</v>
      </c>
      <c r="L188" s="67" t="s">
        <v>718</v>
      </c>
      <c r="M188" s="67" t="s">
        <v>429</v>
      </c>
      <c r="N188" s="67" t="s">
        <v>361</v>
      </c>
      <c r="O188" s="67" t="s">
        <v>481</v>
      </c>
      <c r="P188" s="57" t="s">
        <v>184</v>
      </c>
      <c r="Q188" s="59" t="n">
        <f aca="false">ROUND((Flights!$AE$10)*1440,0)/1440</f>
        <v>46310.1388888889</v>
      </c>
      <c r="R188" s="59" t="n">
        <f aca="false">Q188+(IF(AND(INDEX(TZ_DSTS,MATCH(P188,TZ_STN,0))&lt;&gt;"",Q188&gt;=INDEX(TZ_DSTS,MATCH(P188,TZ_STN,0)),Q188&lt;INDEX(TZ_DSTE,MATCH(P188,TZ_STN,0))),INDEX(TZ_DST,MATCH(P188,TZ_STN,0)),INDEX(TZ_STD,MATCH(P188,TZ_STN,0))))/24</f>
        <v>46310.4722222222</v>
      </c>
      <c r="S188" s="59" t="n">
        <f aca="false">Q188-T12EarlyH/24</f>
        <v>46309.6388888889</v>
      </c>
      <c r="T188" s="60"/>
      <c r="U188" s="60"/>
      <c r="V188" s="60"/>
      <c r="W188" s="61"/>
      <c r="X188" s="60"/>
      <c r="Y188" s="60"/>
      <c r="Z188" s="60"/>
      <c r="AA188" s="60"/>
      <c r="AB188" s="60"/>
      <c r="AC188" s="60"/>
      <c r="AD188" s="66"/>
      <c r="AE188" s="60"/>
      <c r="AF188" s="61" t="str">
        <f aca="false">IF(AND(ISNUMBER(X188),ISNUMBER(Y188)),Y188-X188,"")</f>
        <v/>
      </c>
      <c r="AG188" s="62" t="str">
        <f aca="false">IF(ISNUMBER(AD188),AD188-(IF(AND(INDEX(TZ_DSTS,MATCH(P188,TZ_STN,0))&lt;&gt;"",(AD188-INDEX(TZ_STD,MATCH(P188,TZ_STN,0))/24)&gt;=INDEX(TZ_DSTS,MATCH(P188,TZ_STN,0)),(AD188-INDEX(TZ_STD,MATCH(P188,TZ_STN,0))/24)&lt;INDEX(TZ_DSTE,MATCH(P188,TZ_STN,0))),INDEX(TZ_DST,MATCH(P188,TZ_STN,0)),INDEX(TZ_STD,MATCH(P188,TZ_STN,0))))/24,"")</f>
        <v/>
      </c>
      <c r="AH188" s="65" t="str">
        <f aca="false">IFERROR(IF(N188="N/A – rule","N/A – RULE",IF(TRIM(U188)="N/A",IF(AT188=0,"INVALID – N/A not permitted for this check",IF(AND(TRIM(AB188)&lt;&gt;"",TRIM(AB188)&lt;&gt;"Closed"),"INVALID – corrective action still open",IF(AND(NOT(OR(LEN(AZ188)&lt;15,ISNUMBER(MATCH(AZ188,L_Placeholder,0)))),NOT(OR(LEN(AU188)&lt;2,ISNUMBER(MATCH(AU188,L_Placeholder,0)))),NOT(OR(LEN(AX188)&lt;2,ISNUMBER(MATCH(AX188,L_Placeholder,0)))),TRIM(AE188)&lt;&gt;TRIM(T188)),"N/A – JUSTIFIED","INVALID – N/A needs a real justification (15+ chars), PIC and a different verifier"))),IF(OR(TRIM(U188)="Pass",TRIM(U188)="Pass after CA"),IF(NOT(ISNUMBER(AD188)),"INVALID – completion time missing",IF(OR(LEN(AU188)&lt;2,ISNUMBER(MATCH(AU188,L_Placeholder,0))),"INVALID – PIC missing",IF(OR(LEN(AV188)&lt;2,ISNUMBER(MATCH(AV188,L_Placeholder,0))),"INVALID – result / assessment missing",IF(OR(OR(LEN(AW188)&lt;3,ISNUMBER(MATCH(AW188,L_Placeholder,0))),SUMPRODUCT(--ISNUMBER(SEARCH(L_EvidencePhrase,AW188)))&gt;0),"INVALID – evidence missing, placeholder or not yet on file",IF(OR(LEN(AX188)&lt;2,ISNUMBER(MATCH(AX188,L_Placeholder,0))),"INVALID – verifier missing",IF(AX188=AU188,"INVALID – verifier must be someone other than the PIC",IF(AND(TRIM(U188)="Pass",SUMPRODUCT(--ISNUMBER(SEARCH(L_ResultBad,AV188)))&gt;0),"INVALID – result describes a problem: use Fail, then Pass after CA",IF(AND(AQ188=1,OR(LEN(AY188)&lt;3,ISNUMBER(MATCH(AY188,L_Placeholder,0)))),"INVALID – batch ID missing or placeholder",IF(AND(AR188=1,OR(NOT(ISNUMBER(X188)),NOT(ISNUMBER(Y188)))),"INVALID – expected/actual qty missing",IF(AND(AR188=1,OR(X188&lt;=0,Y188&lt;0)),"INVALID – expected qty must be above 0 and actual not negative",IF(BB188&lt;&gt;"",BB188,IF(AND(AS188=1,Documents!$J$10&lt;&gt;"ON FILE"),"INVALID – GLD not on file (Documents sheet)",IF(AND(AS188=2,Documents!$O$10&lt;&gt;"ON FILE"),"INVALID – menu checklist not on file (Documents sheet)",IF(AND(AS188=3,NOT(ISNUMBER(Flights!$AX$10))),"INVALID – enter carrying flight KUL departure (Flights AX)",IF(AND(AS188=3,OR(Flights!$AZ$10&gt;Flights!$AA$10,Flights!$AX$10&lt;Flights!$AA$10-3)),"INVALID – carrying flight (Flights AX) cannot arrive before this leg's STD, or is over 3 days early",IF(AG188&gt;AsOfUTC,"INVALID – completion time is in the future",IF(AND(ISNUMBER(S188),AG188&lt;S188),IF(H188="Physical uplift","INVALID – before uplift window (cannot confirm loading)","INVALID – before valid window"),IF(AG188&gt;Flights!$AA$10,"INVALID – completed after departure (cannot establish readiness)",IF(AND(H188="Preparation",AG188&gt;IF(ISNUMBER(Flights!$BA$10),MIN(Flights!$BA$10,Flights!$AA$10),Flights!$AA$10)),"INVALID – completed after loading / departure (cannot establish readiness)",IF(AND(H188="Physical uplift",AG188&gt;Q188),"INVALID – recorded after the loading flight departed",IF(AG188&gt;Q188,"COMPLETE – LATE","COMPLETE"))))))))))))))))))))),IF(TRIM(U188)="Fail","FAIL – DISCREPANCY",IF(AND(TRIM(U188)&lt;&gt;"",TRIM(U188)&lt;&gt;"Not started",TRIM(U188)&lt;&gt;"In progress"),"INVALID – unrecognised status (use the list)",IF(AsOfUTC&gt;Q188,"OVERDUE",IF(N188="Clarification required","OPEN – CLARIFICATION","OPEN"))))))),"INVALID – error value in an input cell")</f>
        <v>OPEN</v>
      </c>
      <c r="AI188" s="61" t="n">
        <f aca="false">IF(OR(AH188="N/A – RULE",AH188="N/A – JUSTIFIED"),0,1)</f>
        <v>1</v>
      </c>
      <c r="AJ188" s="61" t="n">
        <f aca="false">IF(LEFT(AH188,8)="COMPLETE",1,0)</f>
        <v>0</v>
      </c>
      <c r="AK188" s="61" t="n">
        <f aca="false">IF(AND(AI188=1,AJ188=0,AsOfUTC&gt;Q188),1,0)</f>
        <v>0</v>
      </c>
      <c r="AL188" s="61" t="n">
        <f aca="false">IFERROR(IF(AND(AI188=1,OR(TRIM(U188)="Fail",AND(TRIM(AB188)&lt;&gt;"",TRIM(AB188)&lt;&gt;"Closed"),AND(ISNUMBER(AF188),AF188&lt;&gt;0,TRIM(U188)&lt;&gt;"Pass after CA"))),1,0),1)</f>
        <v>0</v>
      </c>
      <c r="AM188" s="61" t="n">
        <f aca="false">IF(LEFT(AH188,7)="INVALID",1,0)</f>
        <v>0</v>
      </c>
      <c r="AN188" s="61" t="n">
        <f aca="false">IF(AND(N188="Clarification required",AI188=1,AJ188=0),1,0)</f>
        <v>0</v>
      </c>
      <c r="AO188" s="61" t="str">
        <f aca="false">IF(AK188=1,SUM(AK$5:AK188),"")</f>
        <v/>
      </c>
      <c r="AP188" s="61" t="str">
        <f aca="false">IF(AL188=1,SUM(AL$5:AL188),"")</f>
        <v/>
      </c>
      <c r="AQ188" s="61" t="n">
        <v>0</v>
      </c>
      <c r="AR188" s="61" t="n">
        <v>0</v>
      </c>
      <c r="AS188" s="61" t="n">
        <v>0</v>
      </c>
      <c r="AT188" s="61" t="n">
        <v>0</v>
      </c>
      <c r="AU188" s="61" t="str">
        <f aca="false">SUBSTITUTE(SUBSTITUTE(SUBSTITUTE(SUBSTITUTE(SUBSTITUTE(SUBSTITUTE(SUBSTITUTE(SUBSTITUTE(SUBSTITUTE(SUBSTITUTE(SUBSTITUTE(SUBSTITUTE(SUBSTITUTE(LOWER(T188&amp;""),CHAR(160),"")," ",""),".",""),"-",""),"/",""),"?",""),"_",""),",",""),"[",""),"]",""),"(",""),")",""),"*","")</f>
        <v/>
      </c>
      <c r="AV188" s="61" t="str">
        <f aca="false">SUBSTITUTE(SUBSTITUTE(SUBSTITUTE(SUBSTITUTE(SUBSTITUTE(SUBSTITUTE(SUBSTITUTE(SUBSTITUTE(SUBSTITUTE(SUBSTITUTE(SUBSTITUTE(SUBSTITUTE(SUBSTITUTE(LOWER(V188&amp;""),CHAR(160),"")," ",""),".",""),"-",""),"/",""),"?",""),"_",""),",",""),"[",""),"]",""),"(",""),")",""),"*","")</f>
        <v/>
      </c>
      <c r="AW188" s="61" t="str">
        <f aca="false">SUBSTITUTE(SUBSTITUTE(SUBSTITUTE(SUBSTITUTE(SUBSTITUTE(SUBSTITUTE(SUBSTITUTE(SUBSTITUTE(SUBSTITUTE(SUBSTITUTE(SUBSTITUTE(SUBSTITUTE(SUBSTITUTE(LOWER(Z188&amp;""),CHAR(160),"")," ",""),".",""),"-",""),"/",""),"?",""),"_",""),",",""),"[",""),"]",""),"(",""),")",""),"*","")</f>
        <v/>
      </c>
      <c r="AX188" s="61" t="str">
        <f aca="false">SUBSTITUTE(SUBSTITUTE(SUBSTITUTE(SUBSTITUTE(SUBSTITUTE(SUBSTITUTE(SUBSTITUTE(SUBSTITUTE(SUBSTITUTE(SUBSTITUTE(SUBSTITUTE(SUBSTITUTE(SUBSTITUTE(LOWER(AE188&amp;""),CHAR(160),"")," ",""),".",""),"-",""),"/",""),"?",""),"_",""),",",""),"[",""),"]",""),"(",""),")",""),"*","")</f>
        <v/>
      </c>
      <c r="AY188" s="61" t="str">
        <f aca="false">SUBSTITUTE(SUBSTITUTE(SUBSTITUTE(SUBSTITUTE(SUBSTITUTE(SUBSTITUTE(SUBSTITUTE(SUBSTITUTE(SUBSTITUTE(SUBSTITUTE(SUBSTITUTE(SUBSTITUTE(SUBSTITUTE(LOWER(W188&amp;""),CHAR(160),"")," ",""),".",""),"-",""),"/",""),"?",""),"_",""),",",""),"[",""),"]",""),"(",""),")",""),"*","")</f>
        <v/>
      </c>
      <c r="AZ188" s="61" t="str">
        <f aca="false">SUBSTITUTE(SUBSTITUTE(SUBSTITUTE(SUBSTITUTE(SUBSTITUTE(SUBSTITUTE(SUBSTITUTE(SUBSTITUTE(SUBSTITUTE(SUBSTITUTE(SUBSTITUTE(SUBSTITUTE(SUBSTITUTE(LOWER(AC188&amp;""),CHAR(160),"")," ",""),".",""),"-",""),"/",""),"?",""),"_",""),",",""),"[",""),"]",""),"(",""),")",""),"*","")</f>
        <v/>
      </c>
      <c r="BA188" s="61" t="str">
        <f aca="false">SUBSTITUTE(SUBSTITUTE(SUBSTITUTE(SUBSTITUTE(SUBSTITUTE(SUBSTITUTE(SUBSTITUTE(SUBSTITUTE(SUBSTITUTE(SUBSTITUTE(SUBSTITUTE(SUBSTITUTE(SUBSTITUTE(LOWER(AA188&amp;""),CHAR(160),"")," ",""),".",""),"-",""),"/",""),"?",""),"_",""),",",""),"[",""),"]",""),"(",""),")",""),"*","")</f>
        <v/>
      </c>
      <c r="BB188" s="61" t="str">
        <f aca="false">IF(AND(TRIM(U188)="Pass",ISNUMBER(AF188)),IF(AF188&lt;&gt;0,"INVALID – qty variance: use Fail or Pass after CA",""),"")&amp;IF(AND(TRIM(U188)="Pass after CA",ISNUMBER(AF188)),IF(AF188&lt;&gt;0,"INVALID – after the corrective action the actual qty must equal expected (update Actual)",""),"")&amp;IF(AND(TRIM(U188)="Pass",TRIM(AB188)&lt;&gt;"",TRIM(AB188)&lt;&gt;"Closed"),"INVALID – corrective action not closed: use Fail, then Pass after CA","")&amp;IF(AND(TRIM(AA188)&lt;&gt;"",TRIM(AB188)=""),"INVALID – CA status missing for the recorded corrective action","")&amp;IF(AND(TRIM(U188)="Pass after CA",OR(OR(LEN(BA188)&lt;5,ISNUMBER(MATCH(BA188,L_Placeholder,0))),TRIM(AB188)&lt;&gt;"Closed")),"INVALID – corrective action not recorded/closed","")</f>
        <v/>
      </c>
    </row>
    <row r="189" customFormat="false" ht="41.25" hidden="false" customHeight="true" outlineLevel="0" collapsed="false">
      <c r="A189" s="57" t="s">
        <v>719</v>
      </c>
      <c r="B189" s="57" t="s">
        <v>228</v>
      </c>
      <c r="C189" s="57" t="str">
        <f aca="false">Flights!$F$10</f>
        <v>MH0002</v>
      </c>
      <c r="D189" s="58" t="n">
        <f aca="false">Flights!$D$10</f>
        <v>46310</v>
      </c>
      <c r="E189" s="57" t="str">
        <f aca="false">Flights!$G$10&amp;"-"&amp;Flights!$H$10</f>
        <v>KUL-LHR</v>
      </c>
      <c r="F189" s="57" t="str">
        <f aca="false">Flights!$K$10</f>
        <v>BC</v>
      </c>
      <c r="G189" s="57" t="s">
        <v>398</v>
      </c>
      <c r="H189" s="57" t="s">
        <v>356</v>
      </c>
      <c r="I189" s="57" t="s">
        <v>477</v>
      </c>
      <c r="J189" s="57" t="s">
        <v>489</v>
      </c>
      <c r="K189" s="67" t="s">
        <v>479</v>
      </c>
      <c r="L189" s="67" t="s">
        <v>720</v>
      </c>
      <c r="M189" s="67" t="s">
        <v>429</v>
      </c>
      <c r="N189" s="67" t="s">
        <v>361</v>
      </c>
      <c r="O189" s="67" t="s">
        <v>481</v>
      </c>
      <c r="P189" s="57" t="s">
        <v>184</v>
      </c>
      <c r="Q189" s="59" t="n">
        <f aca="false">ROUND((Flights!$AE$10)*1440,0)/1440</f>
        <v>46310.1388888889</v>
      </c>
      <c r="R189" s="59" t="n">
        <f aca="false">Q189+(IF(AND(INDEX(TZ_DSTS,MATCH(P189,TZ_STN,0))&lt;&gt;"",Q189&gt;=INDEX(TZ_DSTS,MATCH(P189,TZ_STN,0)),Q189&lt;INDEX(TZ_DSTE,MATCH(P189,TZ_STN,0))),INDEX(TZ_DST,MATCH(P189,TZ_STN,0)),INDEX(TZ_STD,MATCH(P189,TZ_STN,0))))/24</f>
        <v>46310.4722222222</v>
      </c>
      <c r="S189" s="59" t="n">
        <f aca="false">Q189-T12EarlyH/24</f>
        <v>46309.6388888889</v>
      </c>
      <c r="T189" s="60"/>
      <c r="U189" s="60"/>
      <c r="V189" s="60"/>
      <c r="W189" s="61"/>
      <c r="X189" s="60"/>
      <c r="Y189" s="60"/>
      <c r="Z189" s="60"/>
      <c r="AA189" s="60"/>
      <c r="AB189" s="60"/>
      <c r="AC189" s="60"/>
      <c r="AD189" s="66"/>
      <c r="AE189" s="60"/>
      <c r="AF189" s="61" t="str">
        <f aca="false">IF(AND(ISNUMBER(X189),ISNUMBER(Y189)),Y189-X189,"")</f>
        <v/>
      </c>
      <c r="AG189" s="62" t="str">
        <f aca="false">IF(ISNUMBER(AD189),AD189-(IF(AND(INDEX(TZ_DSTS,MATCH(P189,TZ_STN,0))&lt;&gt;"",(AD189-INDEX(TZ_STD,MATCH(P189,TZ_STN,0))/24)&gt;=INDEX(TZ_DSTS,MATCH(P189,TZ_STN,0)),(AD189-INDEX(TZ_STD,MATCH(P189,TZ_STN,0))/24)&lt;INDEX(TZ_DSTE,MATCH(P189,TZ_STN,0))),INDEX(TZ_DST,MATCH(P189,TZ_STN,0)),INDEX(TZ_STD,MATCH(P189,TZ_STN,0))))/24,"")</f>
        <v/>
      </c>
      <c r="AH189" s="65" t="str">
        <f aca="false">IFERROR(IF(N189="N/A – rule","N/A – RULE",IF(TRIM(U189)="N/A",IF(AT189=0,"INVALID – N/A not permitted for this check",IF(AND(TRIM(AB189)&lt;&gt;"",TRIM(AB189)&lt;&gt;"Closed"),"INVALID – corrective action still open",IF(AND(NOT(OR(LEN(AZ189)&lt;15,ISNUMBER(MATCH(AZ189,L_Placeholder,0)))),NOT(OR(LEN(AU189)&lt;2,ISNUMBER(MATCH(AU189,L_Placeholder,0)))),NOT(OR(LEN(AX189)&lt;2,ISNUMBER(MATCH(AX189,L_Placeholder,0)))),TRIM(AE189)&lt;&gt;TRIM(T189)),"N/A – JUSTIFIED","INVALID – N/A needs a real justification (15+ chars), PIC and a different verifier"))),IF(OR(TRIM(U189)="Pass",TRIM(U189)="Pass after CA"),IF(NOT(ISNUMBER(AD189)),"INVALID – completion time missing",IF(OR(LEN(AU189)&lt;2,ISNUMBER(MATCH(AU189,L_Placeholder,0))),"INVALID – PIC missing",IF(OR(LEN(AV189)&lt;2,ISNUMBER(MATCH(AV189,L_Placeholder,0))),"INVALID – result / assessment missing",IF(OR(OR(LEN(AW189)&lt;3,ISNUMBER(MATCH(AW189,L_Placeholder,0))),SUMPRODUCT(--ISNUMBER(SEARCH(L_EvidencePhrase,AW189)))&gt;0),"INVALID – evidence missing, placeholder or not yet on file",IF(OR(LEN(AX189)&lt;2,ISNUMBER(MATCH(AX189,L_Placeholder,0))),"INVALID – verifier missing",IF(AX189=AU189,"INVALID – verifier must be someone other than the PIC",IF(AND(TRIM(U189)="Pass",SUMPRODUCT(--ISNUMBER(SEARCH(L_ResultBad,AV189)))&gt;0),"INVALID – result describes a problem: use Fail, then Pass after CA",IF(AND(AQ189=1,OR(LEN(AY189)&lt;3,ISNUMBER(MATCH(AY189,L_Placeholder,0)))),"INVALID – batch ID missing or placeholder",IF(AND(AR189=1,OR(NOT(ISNUMBER(X189)),NOT(ISNUMBER(Y189)))),"INVALID – expected/actual qty missing",IF(AND(AR189=1,OR(X189&lt;=0,Y189&lt;0)),"INVALID – expected qty must be above 0 and actual not negative",IF(BB189&lt;&gt;"",BB189,IF(AND(AS189=1,Documents!$J$10&lt;&gt;"ON FILE"),"INVALID – GLD not on file (Documents sheet)",IF(AND(AS189=2,Documents!$O$10&lt;&gt;"ON FILE"),"INVALID – menu checklist not on file (Documents sheet)",IF(AND(AS189=3,NOT(ISNUMBER(Flights!$AX$10))),"INVALID – enter carrying flight KUL departure (Flights AX)",IF(AND(AS189=3,OR(Flights!$AZ$10&gt;Flights!$AA$10,Flights!$AX$10&lt;Flights!$AA$10-3)),"INVALID – carrying flight (Flights AX) cannot arrive before this leg's STD, or is over 3 days early",IF(AG189&gt;AsOfUTC,"INVALID – completion time is in the future",IF(AND(ISNUMBER(S189),AG189&lt;S189),IF(H189="Physical uplift","INVALID – before uplift window (cannot confirm loading)","INVALID – before valid window"),IF(AG189&gt;Flights!$AA$10,"INVALID – completed after departure (cannot establish readiness)",IF(AND(H189="Preparation",AG189&gt;IF(ISNUMBER(Flights!$BA$10),MIN(Flights!$BA$10,Flights!$AA$10),Flights!$AA$10)),"INVALID – completed after loading / departure (cannot establish readiness)",IF(AND(H189="Physical uplift",AG189&gt;Q189),"INVALID – recorded after the loading flight departed",IF(AG189&gt;Q189,"COMPLETE – LATE","COMPLETE"))))))))))))))))))))),IF(TRIM(U189)="Fail","FAIL – DISCREPANCY",IF(AND(TRIM(U189)&lt;&gt;"",TRIM(U189)&lt;&gt;"Not started",TRIM(U189)&lt;&gt;"In progress"),"INVALID – unrecognised status (use the list)",IF(AsOfUTC&gt;Q189,"OVERDUE",IF(N189="Clarification required","OPEN – CLARIFICATION","OPEN"))))))),"INVALID – error value in an input cell")</f>
        <v>OPEN</v>
      </c>
      <c r="AI189" s="61" t="n">
        <f aca="false">IF(OR(AH189="N/A – RULE",AH189="N/A – JUSTIFIED"),0,1)</f>
        <v>1</v>
      </c>
      <c r="AJ189" s="61" t="n">
        <f aca="false">IF(LEFT(AH189,8)="COMPLETE",1,0)</f>
        <v>0</v>
      </c>
      <c r="AK189" s="61" t="n">
        <f aca="false">IF(AND(AI189=1,AJ189=0,AsOfUTC&gt;Q189),1,0)</f>
        <v>0</v>
      </c>
      <c r="AL189" s="61" t="n">
        <f aca="false">IFERROR(IF(AND(AI189=1,OR(TRIM(U189)="Fail",AND(TRIM(AB189)&lt;&gt;"",TRIM(AB189)&lt;&gt;"Closed"),AND(ISNUMBER(AF189),AF189&lt;&gt;0,TRIM(U189)&lt;&gt;"Pass after CA"))),1,0),1)</f>
        <v>0</v>
      </c>
      <c r="AM189" s="61" t="n">
        <f aca="false">IF(LEFT(AH189,7)="INVALID",1,0)</f>
        <v>0</v>
      </c>
      <c r="AN189" s="61" t="n">
        <f aca="false">IF(AND(N189="Clarification required",AI189=1,AJ189=0),1,0)</f>
        <v>0</v>
      </c>
      <c r="AO189" s="61" t="str">
        <f aca="false">IF(AK189=1,SUM(AK$5:AK189),"")</f>
        <v/>
      </c>
      <c r="AP189" s="61" t="str">
        <f aca="false">IF(AL189=1,SUM(AL$5:AL189),"")</f>
        <v/>
      </c>
      <c r="AQ189" s="61" t="n">
        <v>0</v>
      </c>
      <c r="AR189" s="61" t="n">
        <v>0</v>
      </c>
      <c r="AS189" s="61" t="n">
        <v>0</v>
      </c>
      <c r="AT189" s="61" t="n">
        <v>0</v>
      </c>
      <c r="AU189" s="61" t="str">
        <f aca="false">SUBSTITUTE(SUBSTITUTE(SUBSTITUTE(SUBSTITUTE(SUBSTITUTE(SUBSTITUTE(SUBSTITUTE(SUBSTITUTE(SUBSTITUTE(SUBSTITUTE(SUBSTITUTE(SUBSTITUTE(SUBSTITUTE(LOWER(T189&amp;""),CHAR(160),"")," ",""),".",""),"-",""),"/",""),"?",""),"_",""),",",""),"[",""),"]",""),"(",""),")",""),"*","")</f>
        <v/>
      </c>
      <c r="AV189" s="61" t="str">
        <f aca="false">SUBSTITUTE(SUBSTITUTE(SUBSTITUTE(SUBSTITUTE(SUBSTITUTE(SUBSTITUTE(SUBSTITUTE(SUBSTITUTE(SUBSTITUTE(SUBSTITUTE(SUBSTITUTE(SUBSTITUTE(SUBSTITUTE(LOWER(V189&amp;""),CHAR(160),"")," ",""),".",""),"-",""),"/",""),"?",""),"_",""),",",""),"[",""),"]",""),"(",""),")",""),"*","")</f>
        <v/>
      </c>
      <c r="AW189" s="61" t="str">
        <f aca="false">SUBSTITUTE(SUBSTITUTE(SUBSTITUTE(SUBSTITUTE(SUBSTITUTE(SUBSTITUTE(SUBSTITUTE(SUBSTITUTE(SUBSTITUTE(SUBSTITUTE(SUBSTITUTE(SUBSTITUTE(SUBSTITUTE(LOWER(Z189&amp;""),CHAR(160),"")," ",""),".",""),"-",""),"/",""),"?",""),"_",""),",",""),"[",""),"]",""),"(",""),")",""),"*","")</f>
        <v/>
      </c>
      <c r="AX189" s="61" t="str">
        <f aca="false">SUBSTITUTE(SUBSTITUTE(SUBSTITUTE(SUBSTITUTE(SUBSTITUTE(SUBSTITUTE(SUBSTITUTE(SUBSTITUTE(SUBSTITUTE(SUBSTITUTE(SUBSTITUTE(SUBSTITUTE(SUBSTITUTE(LOWER(AE189&amp;""),CHAR(160),"")," ",""),".",""),"-",""),"/",""),"?",""),"_",""),",",""),"[",""),"]",""),"(",""),")",""),"*","")</f>
        <v/>
      </c>
      <c r="AY189" s="61" t="str">
        <f aca="false">SUBSTITUTE(SUBSTITUTE(SUBSTITUTE(SUBSTITUTE(SUBSTITUTE(SUBSTITUTE(SUBSTITUTE(SUBSTITUTE(SUBSTITUTE(SUBSTITUTE(SUBSTITUTE(SUBSTITUTE(SUBSTITUTE(LOWER(W189&amp;""),CHAR(160),"")," ",""),".",""),"-",""),"/",""),"?",""),"_",""),",",""),"[",""),"]",""),"(",""),")",""),"*","")</f>
        <v/>
      </c>
      <c r="AZ189" s="61" t="str">
        <f aca="false">SUBSTITUTE(SUBSTITUTE(SUBSTITUTE(SUBSTITUTE(SUBSTITUTE(SUBSTITUTE(SUBSTITUTE(SUBSTITUTE(SUBSTITUTE(SUBSTITUTE(SUBSTITUTE(SUBSTITUTE(SUBSTITUTE(LOWER(AC189&amp;""),CHAR(160),"")," ",""),".",""),"-",""),"/",""),"?",""),"_",""),",",""),"[",""),"]",""),"(",""),")",""),"*","")</f>
        <v/>
      </c>
      <c r="BA189" s="61" t="str">
        <f aca="false">SUBSTITUTE(SUBSTITUTE(SUBSTITUTE(SUBSTITUTE(SUBSTITUTE(SUBSTITUTE(SUBSTITUTE(SUBSTITUTE(SUBSTITUTE(SUBSTITUTE(SUBSTITUTE(SUBSTITUTE(SUBSTITUTE(LOWER(AA189&amp;""),CHAR(160),"")," ",""),".",""),"-",""),"/",""),"?",""),"_",""),",",""),"[",""),"]",""),"(",""),")",""),"*","")</f>
        <v/>
      </c>
      <c r="BB189" s="61" t="str">
        <f aca="false">IF(AND(TRIM(U189)="Pass",ISNUMBER(AF189)),IF(AF189&lt;&gt;0,"INVALID – qty variance: use Fail or Pass after CA",""),"")&amp;IF(AND(TRIM(U189)="Pass after CA",ISNUMBER(AF189)),IF(AF189&lt;&gt;0,"INVALID – after the corrective action the actual qty must equal expected (update Actual)",""),"")&amp;IF(AND(TRIM(U189)="Pass",TRIM(AB189)&lt;&gt;"",TRIM(AB189)&lt;&gt;"Closed"),"INVALID – corrective action not closed: use Fail, then Pass after CA","")&amp;IF(AND(TRIM(AA189)&lt;&gt;"",TRIM(AB189)=""),"INVALID – CA status missing for the recorded corrective action","")&amp;IF(AND(TRIM(U189)="Pass after CA",OR(OR(LEN(BA189)&lt;5,ISNUMBER(MATCH(BA189,L_Placeholder,0))),TRIM(AB189)&lt;&gt;"Closed")),"INVALID – corrective action not recorded/closed","")</f>
        <v/>
      </c>
    </row>
    <row r="190" customFormat="false" ht="41.25" hidden="false" customHeight="true" outlineLevel="0" collapsed="false">
      <c r="A190" s="57" t="s">
        <v>721</v>
      </c>
      <c r="B190" s="57" t="s">
        <v>228</v>
      </c>
      <c r="C190" s="57" t="str">
        <f aca="false">Flights!$F$10</f>
        <v>MH0002</v>
      </c>
      <c r="D190" s="58" t="n">
        <f aca="false">Flights!$D$10</f>
        <v>46310</v>
      </c>
      <c r="E190" s="57" t="str">
        <f aca="false">Flights!$G$10&amp;"-"&amp;Flights!$H$10</f>
        <v>KUL-LHR</v>
      </c>
      <c r="F190" s="57" t="str">
        <f aca="false">Flights!$K$10</f>
        <v>BC</v>
      </c>
      <c r="G190" s="57" t="s">
        <v>398</v>
      </c>
      <c r="H190" s="57" t="s">
        <v>356</v>
      </c>
      <c r="I190" s="57" t="s">
        <v>477</v>
      </c>
      <c r="J190" s="57" t="s">
        <v>493</v>
      </c>
      <c r="K190" s="67" t="s">
        <v>479</v>
      </c>
      <c r="L190" s="67" t="s">
        <v>722</v>
      </c>
      <c r="M190" s="67" t="s">
        <v>429</v>
      </c>
      <c r="N190" s="67" t="s">
        <v>361</v>
      </c>
      <c r="O190" s="67" t="s">
        <v>481</v>
      </c>
      <c r="P190" s="57" t="s">
        <v>184</v>
      </c>
      <c r="Q190" s="59" t="n">
        <f aca="false">ROUND((Flights!$AE$10)*1440,0)/1440</f>
        <v>46310.1388888889</v>
      </c>
      <c r="R190" s="59" t="n">
        <f aca="false">Q190+(IF(AND(INDEX(TZ_DSTS,MATCH(P190,TZ_STN,0))&lt;&gt;"",Q190&gt;=INDEX(TZ_DSTS,MATCH(P190,TZ_STN,0)),Q190&lt;INDEX(TZ_DSTE,MATCH(P190,TZ_STN,0))),INDEX(TZ_DST,MATCH(P190,TZ_STN,0)),INDEX(TZ_STD,MATCH(P190,TZ_STN,0))))/24</f>
        <v>46310.4722222222</v>
      </c>
      <c r="S190" s="59" t="n">
        <f aca="false">Q190-T12EarlyH/24</f>
        <v>46309.6388888889</v>
      </c>
      <c r="T190" s="60"/>
      <c r="U190" s="60"/>
      <c r="V190" s="60"/>
      <c r="W190" s="61"/>
      <c r="X190" s="60"/>
      <c r="Y190" s="60"/>
      <c r="Z190" s="60"/>
      <c r="AA190" s="60"/>
      <c r="AB190" s="60"/>
      <c r="AC190" s="60"/>
      <c r="AD190" s="66"/>
      <c r="AE190" s="60"/>
      <c r="AF190" s="61" t="str">
        <f aca="false">IF(AND(ISNUMBER(X190),ISNUMBER(Y190)),Y190-X190,"")</f>
        <v/>
      </c>
      <c r="AG190" s="62" t="str">
        <f aca="false">IF(ISNUMBER(AD190),AD190-(IF(AND(INDEX(TZ_DSTS,MATCH(P190,TZ_STN,0))&lt;&gt;"",(AD190-INDEX(TZ_STD,MATCH(P190,TZ_STN,0))/24)&gt;=INDEX(TZ_DSTS,MATCH(P190,TZ_STN,0)),(AD190-INDEX(TZ_STD,MATCH(P190,TZ_STN,0))/24)&lt;INDEX(TZ_DSTE,MATCH(P190,TZ_STN,0))),INDEX(TZ_DST,MATCH(P190,TZ_STN,0)),INDEX(TZ_STD,MATCH(P190,TZ_STN,0))))/24,"")</f>
        <v/>
      </c>
      <c r="AH190" s="65" t="str">
        <f aca="false">IFERROR(IF(N190="N/A – rule","N/A – RULE",IF(TRIM(U190)="N/A",IF(AT190=0,"INVALID – N/A not permitted for this check",IF(AND(TRIM(AB190)&lt;&gt;"",TRIM(AB190)&lt;&gt;"Closed"),"INVALID – corrective action still open",IF(AND(NOT(OR(LEN(AZ190)&lt;15,ISNUMBER(MATCH(AZ190,L_Placeholder,0)))),NOT(OR(LEN(AU190)&lt;2,ISNUMBER(MATCH(AU190,L_Placeholder,0)))),NOT(OR(LEN(AX190)&lt;2,ISNUMBER(MATCH(AX190,L_Placeholder,0)))),TRIM(AE190)&lt;&gt;TRIM(T190)),"N/A – JUSTIFIED","INVALID – N/A needs a real justification (15+ chars), PIC and a different verifier"))),IF(OR(TRIM(U190)="Pass",TRIM(U190)="Pass after CA"),IF(NOT(ISNUMBER(AD190)),"INVALID – completion time missing",IF(OR(LEN(AU190)&lt;2,ISNUMBER(MATCH(AU190,L_Placeholder,0))),"INVALID – PIC missing",IF(OR(LEN(AV190)&lt;2,ISNUMBER(MATCH(AV190,L_Placeholder,0))),"INVALID – result / assessment missing",IF(OR(OR(LEN(AW190)&lt;3,ISNUMBER(MATCH(AW190,L_Placeholder,0))),SUMPRODUCT(--ISNUMBER(SEARCH(L_EvidencePhrase,AW190)))&gt;0),"INVALID – evidence missing, placeholder or not yet on file",IF(OR(LEN(AX190)&lt;2,ISNUMBER(MATCH(AX190,L_Placeholder,0))),"INVALID – verifier missing",IF(AX190=AU190,"INVALID – verifier must be someone other than the PIC",IF(AND(TRIM(U190)="Pass",SUMPRODUCT(--ISNUMBER(SEARCH(L_ResultBad,AV190)))&gt;0),"INVALID – result describes a problem: use Fail, then Pass after CA",IF(AND(AQ190=1,OR(LEN(AY190)&lt;3,ISNUMBER(MATCH(AY190,L_Placeholder,0)))),"INVALID – batch ID missing or placeholder",IF(AND(AR190=1,OR(NOT(ISNUMBER(X190)),NOT(ISNUMBER(Y190)))),"INVALID – expected/actual qty missing",IF(AND(AR190=1,OR(X190&lt;=0,Y190&lt;0)),"INVALID – expected qty must be above 0 and actual not negative",IF(BB190&lt;&gt;"",BB190,IF(AND(AS190=1,Documents!$J$10&lt;&gt;"ON FILE"),"INVALID – GLD not on file (Documents sheet)",IF(AND(AS190=2,Documents!$O$10&lt;&gt;"ON FILE"),"INVALID – menu checklist not on file (Documents sheet)",IF(AND(AS190=3,NOT(ISNUMBER(Flights!$AX$10))),"INVALID – enter carrying flight KUL departure (Flights AX)",IF(AND(AS190=3,OR(Flights!$AZ$10&gt;Flights!$AA$10,Flights!$AX$10&lt;Flights!$AA$10-3)),"INVALID – carrying flight (Flights AX) cannot arrive before this leg's STD, or is over 3 days early",IF(AG190&gt;AsOfUTC,"INVALID – completion time is in the future",IF(AND(ISNUMBER(S190),AG190&lt;S190),IF(H190="Physical uplift","INVALID – before uplift window (cannot confirm loading)","INVALID – before valid window"),IF(AG190&gt;Flights!$AA$10,"INVALID – completed after departure (cannot establish readiness)",IF(AND(H190="Preparation",AG190&gt;IF(ISNUMBER(Flights!$BA$10),MIN(Flights!$BA$10,Flights!$AA$10),Flights!$AA$10)),"INVALID – completed after loading / departure (cannot establish readiness)",IF(AND(H190="Physical uplift",AG190&gt;Q190),"INVALID – recorded after the loading flight departed",IF(AG190&gt;Q190,"COMPLETE – LATE","COMPLETE"))))))))))))))))))))),IF(TRIM(U190)="Fail","FAIL – DISCREPANCY",IF(AND(TRIM(U190)&lt;&gt;"",TRIM(U190)&lt;&gt;"Not started",TRIM(U190)&lt;&gt;"In progress"),"INVALID – unrecognised status (use the list)",IF(AsOfUTC&gt;Q190,"OVERDUE",IF(N190="Clarification required","OPEN – CLARIFICATION","OPEN"))))))),"INVALID – error value in an input cell")</f>
        <v>OPEN</v>
      </c>
      <c r="AI190" s="61" t="n">
        <f aca="false">IF(OR(AH190="N/A – RULE",AH190="N/A – JUSTIFIED"),0,1)</f>
        <v>1</v>
      </c>
      <c r="AJ190" s="61" t="n">
        <f aca="false">IF(LEFT(AH190,8)="COMPLETE",1,0)</f>
        <v>0</v>
      </c>
      <c r="AK190" s="61" t="n">
        <f aca="false">IF(AND(AI190=1,AJ190=0,AsOfUTC&gt;Q190),1,0)</f>
        <v>0</v>
      </c>
      <c r="AL190" s="61" t="n">
        <f aca="false">IFERROR(IF(AND(AI190=1,OR(TRIM(U190)="Fail",AND(TRIM(AB190)&lt;&gt;"",TRIM(AB190)&lt;&gt;"Closed"),AND(ISNUMBER(AF190),AF190&lt;&gt;0,TRIM(U190)&lt;&gt;"Pass after CA"))),1,0),1)</f>
        <v>0</v>
      </c>
      <c r="AM190" s="61" t="n">
        <f aca="false">IF(LEFT(AH190,7)="INVALID",1,0)</f>
        <v>0</v>
      </c>
      <c r="AN190" s="61" t="n">
        <f aca="false">IF(AND(N190="Clarification required",AI190=1,AJ190=0),1,0)</f>
        <v>0</v>
      </c>
      <c r="AO190" s="61" t="str">
        <f aca="false">IF(AK190=1,SUM(AK$5:AK190),"")</f>
        <v/>
      </c>
      <c r="AP190" s="61" t="str">
        <f aca="false">IF(AL190=1,SUM(AL$5:AL190),"")</f>
        <v/>
      </c>
      <c r="AQ190" s="61" t="n">
        <v>0</v>
      </c>
      <c r="AR190" s="61" t="n">
        <v>0</v>
      </c>
      <c r="AS190" s="61" t="n">
        <v>0</v>
      </c>
      <c r="AT190" s="61" t="n">
        <v>0</v>
      </c>
      <c r="AU190" s="61" t="str">
        <f aca="false">SUBSTITUTE(SUBSTITUTE(SUBSTITUTE(SUBSTITUTE(SUBSTITUTE(SUBSTITUTE(SUBSTITUTE(SUBSTITUTE(SUBSTITUTE(SUBSTITUTE(SUBSTITUTE(SUBSTITUTE(SUBSTITUTE(LOWER(T190&amp;""),CHAR(160),"")," ",""),".",""),"-",""),"/",""),"?",""),"_",""),",",""),"[",""),"]",""),"(",""),")",""),"*","")</f>
        <v/>
      </c>
      <c r="AV190" s="61" t="str">
        <f aca="false">SUBSTITUTE(SUBSTITUTE(SUBSTITUTE(SUBSTITUTE(SUBSTITUTE(SUBSTITUTE(SUBSTITUTE(SUBSTITUTE(SUBSTITUTE(SUBSTITUTE(SUBSTITUTE(SUBSTITUTE(SUBSTITUTE(LOWER(V190&amp;""),CHAR(160),"")," ",""),".",""),"-",""),"/",""),"?",""),"_",""),",",""),"[",""),"]",""),"(",""),")",""),"*","")</f>
        <v/>
      </c>
      <c r="AW190" s="61" t="str">
        <f aca="false">SUBSTITUTE(SUBSTITUTE(SUBSTITUTE(SUBSTITUTE(SUBSTITUTE(SUBSTITUTE(SUBSTITUTE(SUBSTITUTE(SUBSTITUTE(SUBSTITUTE(SUBSTITUTE(SUBSTITUTE(SUBSTITUTE(LOWER(Z190&amp;""),CHAR(160),"")," ",""),".",""),"-",""),"/",""),"?",""),"_",""),",",""),"[",""),"]",""),"(",""),")",""),"*","")</f>
        <v/>
      </c>
      <c r="AX190" s="61" t="str">
        <f aca="false">SUBSTITUTE(SUBSTITUTE(SUBSTITUTE(SUBSTITUTE(SUBSTITUTE(SUBSTITUTE(SUBSTITUTE(SUBSTITUTE(SUBSTITUTE(SUBSTITUTE(SUBSTITUTE(SUBSTITUTE(SUBSTITUTE(LOWER(AE190&amp;""),CHAR(160),"")," ",""),".",""),"-",""),"/",""),"?",""),"_",""),",",""),"[",""),"]",""),"(",""),")",""),"*","")</f>
        <v/>
      </c>
      <c r="AY190" s="61" t="str">
        <f aca="false">SUBSTITUTE(SUBSTITUTE(SUBSTITUTE(SUBSTITUTE(SUBSTITUTE(SUBSTITUTE(SUBSTITUTE(SUBSTITUTE(SUBSTITUTE(SUBSTITUTE(SUBSTITUTE(SUBSTITUTE(SUBSTITUTE(LOWER(W190&amp;""),CHAR(160),"")," ",""),".",""),"-",""),"/",""),"?",""),"_",""),",",""),"[",""),"]",""),"(",""),")",""),"*","")</f>
        <v/>
      </c>
      <c r="AZ190" s="61" t="str">
        <f aca="false">SUBSTITUTE(SUBSTITUTE(SUBSTITUTE(SUBSTITUTE(SUBSTITUTE(SUBSTITUTE(SUBSTITUTE(SUBSTITUTE(SUBSTITUTE(SUBSTITUTE(SUBSTITUTE(SUBSTITUTE(SUBSTITUTE(LOWER(AC190&amp;""),CHAR(160),"")," ",""),".",""),"-",""),"/",""),"?",""),"_",""),",",""),"[",""),"]",""),"(",""),")",""),"*","")</f>
        <v/>
      </c>
      <c r="BA190" s="61" t="str">
        <f aca="false">SUBSTITUTE(SUBSTITUTE(SUBSTITUTE(SUBSTITUTE(SUBSTITUTE(SUBSTITUTE(SUBSTITUTE(SUBSTITUTE(SUBSTITUTE(SUBSTITUTE(SUBSTITUTE(SUBSTITUTE(SUBSTITUTE(LOWER(AA190&amp;""),CHAR(160),"")," ",""),".",""),"-",""),"/",""),"?",""),"_",""),",",""),"[",""),"]",""),"(",""),")",""),"*","")</f>
        <v/>
      </c>
      <c r="BB190" s="61" t="str">
        <f aca="false">IF(AND(TRIM(U190)="Pass",ISNUMBER(AF190)),IF(AF190&lt;&gt;0,"INVALID – qty variance: use Fail or Pass after CA",""),"")&amp;IF(AND(TRIM(U190)="Pass after CA",ISNUMBER(AF190)),IF(AF190&lt;&gt;0,"INVALID – after the corrective action the actual qty must equal expected (update Actual)",""),"")&amp;IF(AND(TRIM(U190)="Pass",TRIM(AB190)&lt;&gt;"",TRIM(AB190)&lt;&gt;"Closed"),"INVALID – corrective action not closed: use Fail, then Pass after CA","")&amp;IF(AND(TRIM(AA190)&lt;&gt;"",TRIM(AB190)=""),"INVALID – CA status missing for the recorded corrective action","")&amp;IF(AND(TRIM(U190)="Pass after CA",OR(OR(LEN(BA190)&lt;5,ISNUMBER(MATCH(BA190,L_Placeholder,0))),TRIM(AB190)&lt;&gt;"Closed")),"INVALID – corrective action not recorded/closed","")</f>
        <v/>
      </c>
    </row>
    <row r="191" customFormat="false" ht="54" hidden="false" customHeight="true" outlineLevel="0" collapsed="false">
      <c r="A191" s="57" t="s">
        <v>723</v>
      </c>
      <c r="B191" s="57" t="s">
        <v>228</v>
      </c>
      <c r="C191" s="57" t="str">
        <f aca="false">Flights!$F$10</f>
        <v>MH0002</v>
      </c>
      <c r="D191" s="58" t="n">
        <f aca="false">Flights!$D$10</f>
        <v>46310</v>
      </c>
      <c r="E191" s="57" t="str">
        <f aca="false">Flights!$G$10&amp;"-"&amp;Flights!$H$10</f>
        <v>KUL-LHR</v>
      </c>
      <c r="F191" s="57" t="str">
        <f aca="false">Flights!$K$10</f>
        <v>BC</v>
      </c>
      <c r="G191" s="57" t="s">
        <v>398</v>
      </c>
      <c r="H191" s="57" t="s">
        <v>356</v>
      </c>
      <c r="I191" s="57" t="s">
        <v>477</v>
      </c>
      <c r="J191" s="57" t="s">
        <v>496</v>
      </c>
      <c r="K191" s="67" t="s">
        <v>594</v>
      </c>
      <c r="L191" s="67" t="s">
        <v>724</v>
      </c>
      <c r="M191" s="67" t="s">
        <v>429</v>
      </c>
      <c r="N191" s="67" t="s">
        <v>361</v>
      </c>
      <c r="O191" s="67" t="s">
        <v>499</v>
      </c>
      <c r="P191" s="57" t="s">
        <v>184</v>
      </c>
      <c r="Q191" s="59" t="n">
        <f aca="false">ROUND((Flights!$AE$10)*1440,0)/1440</f>
        <v>46310.1388888889</v>
      </c>
      <c r="R191" s="59" t="n">
        <f aca="false">Q191+(IF(AND(INDEX(TZ_DSTS,MATCH(P191,TZ_STN,0))&lt;&gt;"",Q191&gt;=INDEX(TZ_DSTS,MATCH(P191,TZ_STN,0)),Q191&lt;INDEX(TZ_DSTE,MATCH(P191,TZ_STN,0))),INDEX(TZ_DST,MATCH(P191,TZ_STN,0)),INDEX(TZ_STD,MATCH(P191,TZ_STN,0))))/24</f>
        <v>46310.4722222222</v>
      </c>
      <c r="S191" s="59" t="n">
        <f aca="false">Q191-T12EarlyH/24</f>
        <v>46309.6388888889</v>
      </c>
      <c r="T191" s="60"/>
      <c r="U191" s="60"/>
      <c r="V191" s="60"/>
      <c r="W191" s="61"/>
      <c r="X191" s="60"/>
      <c r="Y191" s="60"/>
      <c r="Z191" s="60"/>
      <c r="AA191" s="60"/>
      <c r="AB191" s="60"/>
      <c r="AC191" s="60"/>
      <c r="AD191" s="66"/>
      <c r="AE191" s="60"/>
      <c r="AF191" s="61" t="str">
        <f aca="false">IF(AND(ISNUMBER(X191),ISNUMBER(Y191)),Y191-X191,"")</f>
        <v/>
      </c>
      <c r="AG191" s="62" t="str">
        <f aca="false">IF(ISNUMBER(AD191),AD191-(IF(AND(INDEX(TZ_DSTS,MATCH(P191,TZ_STN,0))&lt;&gt;"",(AD191-INDEX(TZ_STD,MATCH(P191,TZ_STN,0))/24)&gt;=INDEX(TZ_DSTS,MATCH(P191,TZ_STN,0)),(AD191-INDEX(TZ_STD,MATCH(P191,TZ_STN,0))/24)&lt;INDEX(TZ_DSTE,MATCH(P191,TZ_STN,0))),INDEX(TZ_DST,MATCH(P191,TZ_STN,0)),INDEX(TZ_STD,MATCH(P191,TZ_STN,0))))/24,"")</f>
        <v/>
      </c>
      <c r="AH191" s="65" t="str">
        <f aca="false">IFERROR(IF(N191="N/A – rule","N/A – RULE",IF(TRIM(U191)="N/A",IF(AT191=0,"INVALID – N/A not permitted for this check",IF(AND(TRIM(AB191)&lt;&gt;"",TRIM(AB191)&lt;&gt;"Closed"),"INVALID – corrective action still open",IF(AND(NOT(OR(LEN(AZ191)&lt;15,ISNUMBER(MATCH(AZ191,L_Placeholder,0)))),NOT(OR(LEN(AU191)&lt;2,ISNUMBER(MATCH(AU191,L_Placeholder,0)))),NOT(OR(LEN(AX191)&lt;2,ISNUMBER(MATCH(AX191,L_Placeholder,0)))),TRIM(AE191)&lt;&gt;TRIM(T191)),"N/A – JUSTIFIED","INVALID – N/A needs a real justification (15+ chars), PIC and a different verifier"))),IF(OR(TRIM(U191)="Pass",TRIM(U191)="Pass after CA"),IF(NOT(ISNUMBER(AD191)),"INVALID – completion time missing",IF(OR(LEN(AU191)&lt;2,ISNUMBER(MATCH(AU191,L_Placeholder,0))),"INVALID – PIC missing",IF(OR(LEN(AV191)&lt;2,ISNUMBER(MATCH(AV191,L_Placeholder,0))),"INVALID – result / assessment missing",IF(OR(OR(LEN(AW191)&lt;3,ISNUMBER(MATCH(AW191,L_Placeholder,0))),SUMPRODUCT(--ISNUMBER(SEARCH(L_EvidencePhrase,AW191)))&gt;0),"INVALID – evidence missing, placeholder or not yet on file",IF(OR(LEN(AX191)&lt;2,ISNUMBER(MATCH(AX191,L_Placeholder,0))),"INVALID – verifier missing",IF(AX191=AU191,"INVALID – verifier must be someone other than the PIC",IF(AND(TRIM(U191)="Pass",SUMPRODUCT(--ISNUMBER(SEARCH(L_ResultBad,AV191)))&gt;0),"INVALID – result describes a problem: use Fail, then Pass after CA",IF(AND(AQ191=1,OR(LEN(AY191)&lt;3,ISNUMBER(MATCH(AY191,L_Placeholder,0)))),"INVALID – batch ID missing or placeholder",IF(AND(AR191=1,OR(NOT(ISNUMBER(X191)),NOT(ISNUMBER(Y191)))),"INVALID – expected/actual qty missing",IF(AND(AR191=1,OR(X191&lt;=0,Y191&lt;0)),"INVALID – expected qty must be above 0 and actual not negative",IF(BB191&lt;&gt;"",BB191,IF(AND(AS191=1,Documents!$J$10&lt;&gt;"ON FILE"),"INVALID – GLD not on file (Documents sheet)",IF(AND(AS191=2,Documents!$O$10&lt;&gt;"ON FILE"),"INVALID – menu checklist not on file (Documents sheet)",IF(AND(AS191=3,NOT(ISNUMBER(Flights!$AX$10))),"INVALID – enter carrying flight KUL departure (Flights AX)",IF(AND(AS191=3,OR(Flights!$AZ$10&gt;Flights!$AA$10,Flights!$AX$10&lt;Flights!$AA$10-3)),"INVALID – carrying flight (Flights AX) cannot arrive before this leg's STD, or is over 3 days early",IF(AG191&gt;AsOfUTC,"INVALID – completion time is in the future",IF(AND(ISNUMBER(S191),AG191&lt;S191),IF(H191="Physical uplift","INVALID – before uplift window (cannot confirm loading)","INVALID – before valid window"),IF(AG191&gt;Flights!$AA$10,"INVALID – completed after departure (cannot establish readiness)",IF(AND(H191="Preparation",AG191&gt;IF(ISNUMBER(Flights!$BA$10),MIN(Flights!$BA$10,Flights!$AA$10),Flights!$AA$10)),"INVALID – completed after loading / departure (cannot establish readiness)",IF(AND(H191="Physical uplift",AG191&gt;Q191),"INVALID – recorded after the loading flight departed",IF(AG191&gt;Q191,"COMPLETE – LATE","COMPLETE"))))))))))))))))))))),IF(TRIM(U191)="Fail","FAIL – DISCREPANCY",IF(AND(TRIM(U191)&lt;&gt;"",TRIM(U191)&lt;&gt;"Not started",TRIM(U191)&lt;&gt;"In progress"),"INVALID – unrecognised status (use the list)",IF(AsOfUTC&gt;Q191,"OVERDUE",IF(N191="Clarification required","OPEN – CLARIFICATION","OPEN"))))))),"INVALID – error value in an input cell")</f>
        <v>OPEN</v>
      </c>
      <c r="AI191" s="61" t="n">
        <f aca="false">IF(OR(AH191="N/A – RULE",AH191="N/A – JUSTIFIED"),0,1)</f>
        <v>1</v>
      </c>
      <c r="AJ191" s="61" t="n">
        <f aca="false">IF(LEFT(AH191,8)="COMPLETE",1,0)</f>
        <v>0</v>
      </c>
      <c r="AK191" s="61" t="n">
        <f aca="false">IF(AND(AI191=1,AJ191=0,AsOfUTC&gt;Q191),1,0)</f>
        <v>0</v>
      </c>
      <c r="AL191" s="61" t="n">
        <f aca="false">IFERROR(IF(AND(AI191=1,OR(TRIM(U191)="Fail",AND(TRIM(AB191)&lt;&gt;"",TRIM(AB191)&lt;&gt;"Closed"),AND(ISNUMBER(AF191),AF191&lt;&gt;0,TRIM(U191)&lt;&gt;"Pass after CA"))),1,0),1)</f>
        <v>0</v>
      </c>
      <c r="AM191" s="61" t="n">
        <f aca="false">IF(LEFT(AH191,7)="INVALID",1,0)</f>
        <v>0</v>
      </c>
      <c r="AN191" s="61" t="n">
        <f aca="false">IF(AND(N191="Clarification required",AI191=1,AJ191=0),1,0)</f>
        <v>0</v>
      </c>
      <c r="AO191" s="61" t="str">
        <f aca="false">IF(AK191=1,SUM(AK$5:AK191),"")</f>
        <v/>
      </c>
      <c r="AP191" s="61" t="str">
        <f aca="false">IF(AL191=1,SUM(AL$5:AL191),"")</f>
        <v/>
      </c>
      <c r="AQ191" s="61" t="n">
        <v>0</v>
      </c>
      <c r="AR191" s="61" t="n">
        <v>0</v>
      </c>
      <c r="AS191" s="61" t="n">
        <v>0</v>
      </c>
      <c r="AT191" s="61" t="n">
        <v>0</v>
      </c>
      <c r="AU191" s="61" t="str">
        <f aca="false">SUBSTITUTE(SUBSTITUTE(SUBSTITUTE(SUBSTITUTE(SUBSTITUTE(SUBSTITUTE(SUBSTITUTE(SUBSTITUTE(SUBSTITUTE(SUBSTITUTE(SUBSTITUTE(SUBSTITUTE(SUBSTITUTE(LOWER(T191&amp;""),CHAR(160),"")," ",""),".",""),"-",""),"/",""),"?",""),"_",""),",",""),"[",""),"]",""),"(",""),")",""),"*","")</f>
        <v/>
      </c>
      <c r="AV191" s="61" t="str">
        <f aca="false">SUBSTITUTE(SUBSTITUTE(SUBSTITUTE(SUBSTITUTE(SUBSTITUTE(SUBSTITUTE(SUBSTITUTE(SUBSTITUTE(SUBSTITUTE(SUBSTITUTE(SUBSTITUTE(SUBSTITUTE(SUBSTITUTE(LOWER(V191&amp;""),CHAR(160),"")," ",""),".",""),"-",""),"/",""),"?",""),"_",""),",",""),"[",""),"]",""),"(",""),")",""),"*","")</f>
        <v/>
      </c>
      <c r="AW191" s="61" t="str">
        <f aca="false">SUBSTITUTE(SUBSTITUTE(SUBSTITUTE(SUBSTITUTE(SUBSTITUTE(SUBSTITUTE(SUBSTITUTE(SUBSTITUTE(SUBSTITUTE(SUBSTITUTE(SUBSTITUTE(SUBSTITUTE(SUBSTITUTE(LOWER(Z191&amp;""),CHAR(160),"")," ",""),".",""),"-",""),"/",""),"?",""),"_",""),",",""),"[",""),"]",""),"(",""),")",""),"*","")</f>
        <v/>
      </c>
      <c r="AX191" s="61" t="str">
        <f aca="false">SUBSTITUTE(SUBSTITUTE(SUBSTITUTE(SUBSTITUTE(SUBSTITUTE(SUBSTITUTE(SUBSTITUTE(SUBSTITUTE(SUBSTITUTE(SUBSTITUTE(SUBSTITUTE(SUBSTITUTE(SUBSTITUTE(LOWER(AE191&amp;""),CHAR(160),"")," ",""),".",""),"-",""),"/",""),"?",""),"_",""),",",""),"[",""),"]",""),"(",""),")",""),"*","")</f>
        <v/>
      </c>
      <c r="AY191" s="61" t="str">
        <f aca="false">SUBSTITUTE(SUBSTITUTE(SUBSTITUTE(SUBSTITUTE(SUBSTITUTE(SUBSTITUTE(SUBSTITUTE(SUBSTITUTE(SUBSTITUTE(SUBSTITUTE(SUBSTITUTE(SUBSTITUTE(SUBSTITUTE(LOWER(W191&amp;""),CHAR(160),"")," ",""),".",""),"-",""),"/",""),"?",""),"_",""),",",""),"[",""),"]",""),"(",""),")",""),"*","")</f>
        <v/>
      </c>
      <c r="AZ191" s="61" t="str">
        <f aca="false">SUBSTITUTE(SUBSTITUTE(SUBSTITUTE(SUBSTITUTE(SUBSTITUTE(SUBSTITUTE(SUBSTITUTE(SUBSTITUTE(SUBSTITUTE(SUBSTITUTE(SUBSTITUTE(SUBSTITUTE(SUBSTITUTE(LOWER(AC191&amp;""),CHAR(160),"")," ",""),".",""),"-",""),"/",""),"?",""),"_",""),",",""),"[",""),"]",""),"(",""),")",""),"*","")</f>
        <v/>
      </c>
      <c r="BA191" s="61" t="str">
        <f aca="false">SUBSTITUTE(SUBSTITUTE(SUBSTITUTE(SUBSTITUTE(SUBSTITUTE(SUBSTITUTE(SUBSTITUTE(SUBSTITUTE(SUBSTITUTE(SUBSTITUTE(SUBSTITUTE(SUBSTITUTE(SUBSTITUTE(LOWER(AA191&amp;""),CHAR(160),"")," ",""),".",""),"-",""),"/",""),"?",""),"_",""),",",""),"[",""),"]",""),"(",""),")",""),"*","")</f>
        <v/>
      </c>
      <c r="BB191" s="61" t="str">
        <f aca="false">IF(AND(TRIM(U191)="Pass",ISNUMBER(AF191)),IF(AF191&lt;&gt;0,"INVALID – qty variance: use Fail or Pass after CA",""),"")&amp;IF(AND(TRIM(U191)="Pass after CA",ISNUMBER(AF191)),IF(AF191&lt;&gt;0,"INVALID – after the corrective action the actual qty must equal expected (update Actual)",""),"")&amp;IF(AND(TRIM(U191)="Pass",TRIM(AB191)&lt;&gt;"",TRIM(AB191)&lt;&gt;"Closed"),"INVALID – corrective action not closed: use Fail, then Pass after CA","")&amp;IF(AND(TRIM(AA191)&lt;&gt;"",TRIM(AB191)=""),"INVALID – CA status missing for the recorded corrective action","")&amp;IF(AND(TRIM(U191)="Pass after CA",OR(OR(LEN(BA191)&lt;5,ISNUMBER(MATCH(BA191,L_Placeholder,0))),TRIM(AB191)&lt;&gt;"Closed")),"INVALID – corrective action not recorded/closed","")</f>
        <v/>
      </c>
    </row>
    <row r="192" customFormat="false" ht="41.25" hidden="false" customHeight="true" outlineLevel="0" collapsed="false">
      <c r="A192" s="57" t="s">
        <v>725</v>
      </c>
      <c r="B192" s="57" t="s">
        <v>228</v>
      </c>
      <c r="C192" s="57" t="str">
        <f aca="false">Flights!$F$10</f>
        <v>MH0002</v>
      </c>
      <c r="D192" s="58" t="n">
        <f aca="false">Flights!$D$10</f>
        <v>46310</v>
      </c>
      <c r="E192" s="57" t="str">
        <f aca="false">Flights!$G$10&amp;"-"&amp;Flights!$H$10</f>
        <v>KUL-LHR</v>
      </c>
      <c r="F192" s="57" t="str">
        <f aca="false">Flights!$K$10</f>
        <v>BC</v>
      </c>
      <c r="G192" s="57" t="s">
        <v>398</v>
      </c>
      <c r="H192" s="57" t="s">
        <v>356</v>
      </c>
      <c r="I192" s="57" t="s">
        <v>477</v>
      </c>
      <c r="J192" s="57" t="s">
        <v>501</v>
      </c>
      <c r="K192" s="67" t="s">
        <v>479</v>
      </c>
      <c r="L192" s="67" t="s">
        <v>726</v>
      </c>
      <c r="M192" s="67" t="s">
        <v>429</v>
      </c>
      <c r="N192" s="67" t="s">
        <v>361</v>
      </c>
      <c r="O192" s="67" t="s">
        <v>481</v>
      </c>
      <c r="P192" s="57" t="s">
        <v>184</v>
      </c>
      <c r="Q192" s="59" t="n">
        <f aca="false">ROUND((Flights!$AE$10)*1440,0)/1440</f>
        <v>46310.1388888889</v>
      </c>
      <c r="R192" s="59" t="n">
        <f aca="false">Q192+(IF(AND(INDEX(TZ_DSTS,MATCH(P192,TZ_STN,0))&lt;&gt;"",Q192&gt;=INDEX(TZ_DSTS,MATCH(P192,TZ_STN,0)),Q192&lt;INDEX(TZ_DSTE,MATCH(P192,TZ_STN,0))),INDEX(TZ_DST,MATCH(P192,TZ_STN,0)),INDEX(TZ_STD,MATCH(P192,TZ_STN,0))))/24</f>
        <v>46310.4722222222</v>
      </c>
      <c r="S192" s="59" t="n">
        <f aca="false">Q192-T12EarlyH/24</f>
        <v>46309.6388888889</v>
      </c>
      <c r="T192" s="60"/>
      <c r="U192" s="60"/>
      <c r="V192" s="60"/>
      <c r="W192" s="61"/>
      <c r="X192" s="60"/>
      <c r="Y192" s="60"/>
      <c r="Z192" s="60"/>
      <c r="AA192" s="60"/>
      <c r="AB192" s="60"/>
      <c r="AC192" s="60"/>
      <c r="AD192" s="66"/>
      <c r="AE192" s="60"/>
      <c r="AF192" s="61" t="str">
        <f aca="false">IF(AND(ISNUMBER(X192),ISNUMBER(Y192)),Y192-X192,"")</f>
        <v/>
      </c>
      <c r="AG192" s="62" t="str">
        <f aca="false">IF(ISNUMBER(AD192),AD192-(IF(AND(INDEX(TZ_DSTS,MATCH(P192,TZ_STN,0))&lt;&gt;"",(AD192-INDEX(TZ_STD,MATCH(P192,TZ_STN,0))/24)&gt;=INDEX(TZ_DSTS,MATCH(P192,TZ_STN,0)),(AD192-INDEX(TZ_STD,MATCH(P192,TZ_STN,0))/24)&lt;INDEX(TZ_DSTE,MATCH(P192,TZ_STN,0))),INDEX(TZ_DST,MATCH(P192,TZ_STN,0)),INDEX(TZ_STD,MATCH(P192,TZ_STN,0))))/24,"")</f>
        <v/>
      </c>
      <c r="AH192" s="65" t="str">
        <f aca="false">IFERROR(IF(N192="N/A – rule","N/A – RULE",IF(TRIM(U192)="N/A",IF(AT192=0,"INVALID – N/A not permitted for this check",IF(AND(TRIM(AB192)&lt;&gt;"",TRIM(AB192)&lt;&gt;"Closed"),"INVALID – corrective action still open",IF(AND(NOT(OR(LEN(AZ192)&lt;15,ISNUMBER(MATCH(AZ192,L_Placeholder,0)))),NOT(OR(LEN(AU192)&lt;2,ISNUMBER(MATCH(AU192,L_Placeholder,0)))),NOT(OR(LEN(AX192)&lt;2,ISNUMBER(MATCH(AX192,L_Placeholder,0)))),TRIM(AE192)&lt;&gt;TRIM(T192)),"N/A – JUSTIFIED","INVALID – N/A needs a real justification (15+ chars), PIC and a different verifier"))),IF(OR(TRIM(U192)="Pass",TRIM(U192)="Pass after CA"),IF(NOT(ISNUMBER(AD192)),"INVALID – completion time missing",IF(OR(LEN(AU192)&lt;2,ISNUMBER(MATCH(AU192,L_Placeholder,0))),"INVALID – PIC missing",IF(OR(LEN(AV192)&lt;2,ISNUMBER(MATCH(AV192,L_Placeholder,0))),"INVALID – result / assessment missing",IF(OR(OR(LEN(AW192)&lt;3,ISNUMBER(MATCH(AW192,L_Placeholder,0))),SUMPRODUCT(--ISNUMBER(SEARCH(L_EvidencePhrase,AW192)))&gt;0),"INVALID – evidence missing, placeholder or not yet on file",IF(OR(LEN(AX192)&lt;2,ISNUMBER(MATCH(AX192,L_Placeholder,0))),"INVALID – verifier missing",IF(AX192=AU192,"INVALID – verifier must be someone other than the PIC",IF(AND(TRIM(U192)="Pass",SUMPRODUCT(--ISNUMBER(SEARCH(L_ResultBad,AV192)))&gt;0),"INVALID – result describes a problem: use Fail, then Pass after CA",IF(AND(AQ192=1,OR(LEN(AY192)&lt;3,ISNUMBER(MATCH(AY192,L_Placeholder,0)))),"INVALID – batch ID missing or placeholder",IF(AND(AR192=1,OR(NOT(ISNUMBER(X192)),NOT(ISNUMBER(Y192)))),"INVALID – expected/actual qty missing",IF(AND(AR192=1,OR(X192&lt;=0,Y192&lt;0)),"INVALID – expected qty must be above 0 and actual not negative",IF(BB192&lt;&gt;"",BB192,IF(AND(AS192=1,Documents!$J$10&lt;&gt;"ON FILE"),"INVALID – GLD not on file (Documents sheet)",IF(AND(AS192=2,Documents!$O$10&lt;&gt;"ON FILE"),"INVALID – menu checklist not on file (Documents sheet)",IF(AND(AS192=3,NOT(ISNUMBER(Flights!$AX$10))),"INVALID – enter carrying flight KUL departure (Flights AX)",IF(AND(AS192=3,OR(Flights!$AZ$10&gt;Flights!$AA$10,Flights!$AX$10&lt;Flights!$AA$10-3)),"INVALID – carrying flight (Flights AX) cannot arrive before this leg's STD, or is over 3 days early",IF(AG192&gt;AsOfUTC,"INVALID – completion time is in the future",IF(AND(ISNUMBER(S192),AG192&lt;S192),IF(H192="Physical uplift","INVALID – before uplift window (cannot confirm loading)","INVALID – before valid window"),IF(AG192&gt;Flights!$AA$10,"INVALID – completed after departure (cannot establish readiness)",IF(AND(H192="Preparation",AG192&gt;IF(ISNUMBER(Flights!$BA$10),MIN(Flights!$BA$10,Flights!$AA$10),Flights!$AA$10)),"INVALID – completed after loading / departure (cannot establish readiness)",IF(AND(H192="Physical uplift",AG192&gt;Q192),"INVALID – recorded after the loading flight departed",IF(AG192&gt;Q192,"COMPLETE – LATE","COMPLETE"))))))))))))))))))))),IF(TRIM(U192)="Fail","FAIL – DISCREPANCY",IF(AND(TRIM(U192)&lt;&gt;"",TRIM(U192)&lt;&gt;"Not started",TRIM(U192)&lt;&gt;"In progress"),"INVALID – unrecognised status (use the list)",IF(AsOfUTC&gt;Q192,"OVERDUE",IF(N192="Clarification required","OPEN – CLARIFICATION","OPEN"))))))),"INVALID – error value in an input cell")</f>
        <v>OPEN</v>
      </c>
      <c r="AI192" s="61" t="n">
        <f aca="false">IF(OR(AH192="N/A – RULE",AH192="N/A – JUSTIFIED"),0,1)</f>
        <v>1</v>
      </c>
      <c r="AJ192" s="61" t="n">
        <f aca="false">IF(LEFT(AH192,8)="COMPLETE",1,0)</f>
        <v>0</v>
      </c>
      <c r="AK192" s="61" t="n">
        <f aca="false">IF(AND(AI192=1,AJ192=0,AsOfUTC&gt;Q192),1,0)</f>
        <v>0</v>
      </c>
      <c r="AL192" s="61" t="n">
        <f aca="false">IFERROR(IF(AND(AI192=1,OR(TRIM(U192)="Fail",AND(TRIM(AB192)&lt;&gt;"",TRIM(AB192)&lt;&gt;"Closed"),AND(ISNUMBER(AF192),AF192&lt;&gt;0,TRIM(U192)&lt;&gt;"Pass after CA"))),1,0),1)</f>
        <v>0</v>
      </c>
      <c r="AM192" s="61" t="n">
        <f aca="false">IF(LEFT(AH192,7)="INVALID",1,0)</f>
        <v>0</v>
      </c>
      <c r="AN192" s="61" t="n">
        <f aca="false">IF(AND(N192="Clarification required",AI192=1,AJ192=0),1,0)</f>
        <v>0</v>
      </c>
      <c r="AO192" s="61" t="str">
        <f aca="false">IF(AK192=1,SUM(AK$5:AK192),"")</f>
        <v/>
      </c>
      <c r="AP192" s="61" t="str">
        <f aca="false">IF(AL192=1,SUM(AL$5:AL192),"")</f>
        <v/>
      </c>
      <c r="AQ192" s="61" t="n">
        <v>0</v>
      </c>
      <c r="AR192" s="61" t="n">
        <v>0</v>
      </c>
      <c r="AS192" s="61" t="n">
        <v>0</v>
      </c>
      <c r="AT192" s="61" t="n">
        <v>0</v>
      </c>
      <c r="AU192" s="61" t="str">
        <f aca="false">SUBSTITUTE(SUBSTITUTE(SUBSTITUTE(SUBSTITUTE(SUBSTITUTE(SUBSTITUTE(SUBSTITUTE(SUBSTITUTE(SUBSTITUTE(SUBSTITUTE(SUBSTITUTE(SUBSTITUTE(SUBSTITUTE(LOWER(T192&amp;""),CHAR(160),"")," ",""),".",""),"-",""),"/",""),"?",""),"_",""),",",""),"[",""),"]",""),"(",""),")",""),"*","")</f>
        <v/>
      </c>
      <c r="AV192" s="61" t="str">
        <f aca="false">SUBSTITUTE(SUBSTITUTE(SUBSTITUTE(SUBSTITUTE(SUBSTITUTE(SUBSTITUTE(SUBSTITUTE(SUBSTITUTE(SUBSTITUTE(SUBSTITUTE(SUBSTITUTE(SUBSTITUTE(SUBSTITUTE(LOWER(V192&amp;""),CHAR(160),"")," ",""),".",""),"-",""),"/",""),"?",""),"_",""),",",""),"[",""),"]",""),"(",""),")",""),"*","")</f>
        <v/>
      </c>
      <c r="AW192" s="61" t="str">
        <f aca="false">SUBSTITUTE(SUBSTITUTE(SUBSTITUTE(SUBSTITUTE(SUBSTITUTE(SUBSTITUTE(SUBSTITUTE(SUBSTITUTE(SUBSTITUTE(SUBSTITUTE(SUBSTITUTE(SUBSTITUTE(SUBSTITUTE(LOWER(Z192&amp;""),CHAR(160),"")," ",""),".",""),"-",""),"/",""),"?",""),"_",""),",",""),"[",""),"]",""),"(",""),")",""),"*","")</f>
        <v/>
      </c>
      <c r="AX192" s="61" t="str">
        <f aca="false">SUBSTITUTE(SUBSTITUTE(SUBSTITUTE(SUBSTITUTE(SUBSTITUTE(SUBSTITUTE(SUBSTITUTE(SUBSTITUTE(SUBSTITUTE(SUBSTITUTE(SUBSTITUTE(SUBSTITUTE(SUBSTITUTE(LOWER(AE192&amp;""),CHAR(160),"")," ",""),".",""),"-",""),"/",""),"?",""),"_",""),",",""),"[",""),"]",""),"(",""),")",""),"*","")</f>
        <v/>
      </c>
      <c r="AY192" s="61" t="str">
        <f aca="false">SUBSTITUTE(SUBSTITUTE(SUBSTITUTE(SUBSTITUTE(SUBSTITUTE(SUBSTITUTE(SUBSTITUTE(SUBSTITUTE(SUBSTITUTE(SUBSTITUTE(SUBSTITUTE(SUBSTITUTE(SUBSTITUTE(LOWER(W192&amp;""),CHAR(160),"")," ",""),".",""),"-",""),"/",""),"?",""),"_",""),",",""),"[",""),"]",""),"(",""),")",""),"*","")</f>
        <v/>
      </c>
      <c r="AZ192" s="61" t="str">
        <f aca="false">SUBSTITUTE(SUBSTITUTE(SUBSTITUTE(SUBSTITUTE(SUBSTITUTE(SUBSTITUTE(SUBSTITUTE(SUBSTITUTE(SUBSTITUTE(SUBSTITUTE(SUBSTITUTE(SUBSTITUTE(SUBSTITUTE(LOWER(AC192&amp;""),CHAR(160),"")," ",""),".",""),"-",""),"/",""),"?",""),"_",""),",",""),"[",""),"]",""),"(",""),")",""),"*","")</f>
        <v/>
      </c>
      <c r="BA192" s="61" t="str">
        <f aca="false">SUBSTITUTE(SUBSTITUTE(SUBSTITUTE(SUBSTITUTE(SUBSTITUTE(SUBSTITUTE(SUBSTITUTE(SUBSTITUTE(SUBSTITUTE(SUBSTITUTE(SUBSTITUTE(SUBSTITUTE(SUBSTITUTE(LOWER(AA192&amp;""),CHAR(160),"")," ",""),".",""),"-",""),"/",""),"?",""),"_",""),",",""),"[",""),"]",""),"(",""),")",""),"*","")</f>
        <v/>
      </c>
      <c r="BB192" s="61" t="str">
        <f aca="false">IF(AND(TRIM(U192)="Pass",ISNUMBER(AF192)),IF(AF192&lt;&gt;0,"INVALID – qty variance: use Fail or Pass after CA",""),"")&amp;IF(AND(TRIM(U192)="Pass after CA",ISNUMBER(AF192)),IF(AF192&lt;&gt;0,"INVALID – after the corrective action the actual qty must equal expected (update Actual)",""),"")&amp;IF(AND(TRIM(U192)="Pass",TRIM(AB192)&lt;&gt;"",TRIM(AB192)&lt;&gt;"Closed"),"INVALID – corrective action not closed: use Fail, then Pass after CA","")&amp;IF(AND(TRIM(AA192)&lt;&gt;"",TRIM(AB192)=""),"INVALID – CA status missing for the recorded corrective action","")&amp;IF(AND(TRIM(U192)="Pass after CA",OR(OR(LEN(BA192)&lt;5,ISNUMBER(MATCH(BA192,L_Placeholder,0))),TRIM(AB192)&lt;&gt;"Closed")),"INVALID – corrective action not recorded/closed","")</f>
        <v/>
      </c>
    </row>
    <row r="193" customFormat="false" ht="41.25" hidden="false" customHeight="true" outlineLevel="0" collapsed="false">
      <c r="A193" s="57" t="s">
        <v>727</v>
      </c>
      <c r="B193" s="57" t="s">
        <v>228</v>
      </c>
      <c r="C193" s="57" t="str">
        <f aca="false">Flights!$F$10</f>
        <v>MH0002</v>
      </c>
      <c r="D193" s="58" t="n">
        <f aca="false">Flights!$D$10</f>
        <v>46310</v>
      </c>
      <c r="E193" s="57" t="str">
        <f aca="false">Flights!$G$10&amp;"-"&amp;Flights!$H$10</f>
        <v>KUL-LHR</v>
      </c>
      <c r="F193" s="57" t="str">
        <f aca="false">Flights!$K$10</f>
        <v>BC</v>
      </c>
      <c r="G193" s="57" t="s">
        <v>398</v>
      </c>
      <c r="H193" s="57" t="s">
        <v>356</v>
      </c>
      <c r="I193" s="57" t="s">
        <v>425</v>
      </c>
      <c r="J193" s="57" t="s">
        <v>504</v>
      </c>
      <c r="K193" s="67" t="s">
        <v>427</v>
      </c>
      <c r="L193" s="67" t="s">
        <v>728</v>
      </c>
      <c r="M193" s="67" t="s">
        <v>429</v>
      </c>
      <c r="N193" s="67" t="s">
        <v>361</v>
      </c>
      <c r="O193" s="67" t="s">
        <v>481</v>
      </c>
      <c r="P193" s="57" t="s">
        <v>184</v>
      </c>
      <c r="Q193" s="59" t="n">
        <f aca="false">ROUND((Flights!$AE$10)*1440,0)/1440</f>
        <v>46310.1388888889</v>
      </c>
      <c r="R193" s="59" t="n">
        <f aca="false">Q193+(IF(AND(INDEX(TZ_DSTS,MATCH(P193,TZ_STN,0))&lt;&gt;"",Q193&gt;=INDEX(TZ_DSTS,MATCH(P193,TZ_STN,0)),Q193&lt;INDEX(TZ_DSTE,MATCH(P193,TZ_STN,0))),INDEX(TZ_DST,MATCH(P193,TZ_STN,0)),INDEX(TZ_STD,MATCH(P193,TZ_STN,0))))/24</f>
        <v>46310.4722222222</v>
      </c>
      <c r="S193" s="59" t="n">
        <f aca="false">Q193-T12EarlyH/24</f>
        <v>46309.6388888889</v>
      </c>
      <c r="T193" s="60"/>
      <c r="U193" s="60"/>
      <c r="V193" s="60"/>
      <c r="W193" s="61"/>
      <c r="X193" s="60"/>
      <c r="Y193" s="60"/>
      <c r="Z193" s="60"/>
      <c r="AA193" s="60"/>
      <c r="AB193" s="60"/>
      <c r="AC193" s="60"/>
      <c r="AD193" s="66"/>
      <c r="AE193" s="60"/>
      <c r="AF193" s="61" t="str">
        <f aca="false">IF(AND(ISNUMBER(X193),ISNUMBER(Y193)),Y193-X193,"")</f>
        <v/>
      </c>
      <c r="AG193" s="62" t="str">
        <f aca="false">IF(ISNUMBER(AD193),AD193-(IF(AND(INDEX(TZ_DSTS,MATCH(P193,TZ_STN,0))&lt;&gt;"",(AD193-INDEX(TZ_STD,MATCH(P193,TZ_STN,0))/24)&gt;=INDEX(TZ_DSTS,MATCH(P193,TZ_STN,0)),(AD193-INDEX(TZ_STD,MATCH(P193,TZ_STN,0))/24)&lt;INDEX(TZ_DSTE,MATCH(P193,TZ_STN,0))),INDEX(TZ_DST,MATCH(P193,TZ_STN,0)),INDEX(TZ_STD,MATCH(P193,TZ_STN,0))))/24,"")</f>
        <v/>
      </c>
      <c r="AH193" s="65" t="str">
        <f aca="false">IFERROR(IF(N193="N/A – rule","N/A – RULE",IF(TRIM(U193)="N/A",IF(AT193=0,"INVALID – N/A not permitted for this check",IF(AND(TRIM(AB193)&lt;&gt;"",TRIM(AB193)&lt;&gt;"Closed"),"INVALID – corrective action still open",IF(AND(NOT(OR(LEN(AZ193)&lt;15,ISNUMBER(MATCH(AZ193,L_Placeholder,0)))),NOT(OR(LEN(AU193)&lt;2,ISNUMBER(MATCH(AU193,L_Placeholder,0)))),NOT(OR(LEN(AX193)&lt;2,ISNUMBER(MATCH(AX193,L_Placeholder,0)))),TRIM(AE193)&lt;&gt;TRIM(T193)),"N/A – JUSTIFIED","INVALID – N/A needs a real justification (15+ chars), PIC and a different verifier"))),IF(OR(TRIM(U193)="Pass",TRIM(U193)="Pass after CA"),IF(NOT(ISNUMBER(AD193)),"INVALID – completion time missing",IF(OR(LEN(AU193)&lt;2,ISNUMBER(MATCH(AU193,L_Placeholder,0))),"INVALID – PIC missing",IF(OR(LEN(AV193)&lt;2,ISNUMBER(MATCH(AV193,L_Placeholder,0))),"INVALID – result / assessment missing",IF(OR(OR(LEN(AW193)&lt;3,ISNUMBER(MATCH(AW193,L_Placeholder,0))),SUMPRODUCT(--ISNUMBER(SEARCH(L_EvidencePhrase,AW193)))&gt;0),"INVALID – evidence missing, placeholder or not yet on file",IF(OR(LEN(AX193)&lt;2,ISNUMBER(MATCH(AX193,L_Placeholder,0))),"INVALID – verifier missing",IF(AX193=AU193,"INVALID – verifier must be someone other than the PIC",IF(AND(TRIM(U193)="Pass",SUMPRODUCT(--ISNUMBER(SEARCH(L_ResultBad,AV193)))&gt;0),"INVALID – result describes a problem: use Fail, then Pass after CA",IF(AND(AQ193=1,OR(LEN(AY193)&lt;3,ISNUMBER(MATCH(AY193,L_Placeholder,0)))),"INVALID – batch ID missing or placeholder",IF(AND(AR193=1,OR(NOT(ISNUMBER(X193)),NOT(ISNUMBER(Y193)))),"INVALID – expected/actual qty missing",IF(AND(AR193=1,OR(X193&lt;=0,Y193&lt;0)),"INVALID – expected qty must be above 0 and actual not negative",IF(BB193&lt;&gt;"",BB193,IF(AND(AS193=1,Documents!$J$10&lt;&gt;"ON FILE"),"INVALID – GLD not on file (Documents sheet)",IF(AND(AS193=2,Documents!$O$10&lt;&gt;"ON FILE"),"INVALID – menu checklist not on file (Documents sheet)",IF(AND(AS193=3,NOT(ISNUMBER(Flights!$AX$10))),"INVALID – enter carrying flight KUL departure (Flights AX)",IF(AND(AS193=3,OR(Flights!$AZ$10&gt;Flights!$AA$10,Flights!$AX$10&lt;Flights!$AA$10-3)),"INVALID – carrying flight (Flights AX) cannot arrive before this leg's STD, or is over 3 days early",IF(AG193&gt;AsOfUTC,"INVALID – completion time is in the future",IF(AND(ISNUMBER(S193),AG193&lt;S193),IF(H193="Physical uplift","INVALID – before uplift window (cannot confirm loading)","INVALID – before valid window"),IF(AG193&gt;Flights!$AA$10,"INVALID – completed after departure (cannot establish readiness)",IF(AND(H193="Preparation",AG193&gt;IF(ISNUMBER(Flights!$BA$10),MIN(Flights!$BA$10,Flights!$AA$10),Flights!$AA$10)),"INVALID – completed after loading / departure (cannot establish readiness)",IF(AND(H193="Physical uplift",AG193&gt;Q193),"INVALID – recorded after the loading flight departed",IF(AG193&gt;Q193,"COMPLETE – LATE","COMPLETE"))))))))))))))))))))),IF(TRIM(U193)="Fail","FAIL – DISCREPANCY",IF(AND(TRIM(U193)&lt;&gt;"",TRIM(U193)&lt;&gt;"Not started",TRIM(U193)&lt;&gt;"In progress"),"INVALID – unrecognised status (use the list)",IF(AsOfUTC&gt;Q193,"OVERDUE",IF(N193="Clarification required","OPEN – CLARIFICATION","OPEN"))))))),"INVALID – error value in an input cell")</f>
        <v>OPEN</v>
      </c>
      <c r="AI193" s="61" t="n">
        <f aca="false">IF(OR(AH193="N/A – RULE",AH193="N/A – JUSTIFIED"),0,1)</f>
        <v>1</v>
      </c>
      <c r="AJ193" s="61" t="n">
        <f aca="false">IF(LEFT(AH193,8)="COMPLETE",1,0)</f>
        <v>0</v>
      </c>
      <c r="AK193" s="61" t="n">
        <f aca="false">IF(AND(AI193=1,AJ193=0,AsOfUTC&gt;Q193),1,0)</f>
        <v>0</v>
      </c>
      <c r="AL193" s="61" t="n">
        <f aca="false">IFERROR(IF(AND(AI193=1,OR(TRIM(U193)="Fail",AND(TRIM(AB193)&lt;&gt;"",TRIM(AB193)&lt;&gt;"Closed"),AND(ISNUMBER(AF193),AF193&lt;&gt;0,TRIM(U193)&lt;&gt;"Pass after CA"))),1,0),1)</f>
        <v>0</v>
      </c>
      <c r="AM193" s="61" t="n">
        <f aca="false">IF(LEFT(AH193,7)="INVALID",1,0)</f>
        <v>0</v>
      </c>
      <c r="AN193" s="61" t="n">
        <f aca="false">IF(AND(N193="Clarification required",AI193=1,AJ193=0),1,0)</f>
        <v>0</v>
      </c>
      <c r="AO193" s="61" t="str">
        <f aca="false">IF(AK193=1,SUM(AK$5:AK193),"")</f>
        <v/>
      </c>
      <c r="AP193" s="61" t="str">
        <f aca="false">IF(AL193=1,SUM(AL$5:AL193),"")</f>
        <v/>
      </c>
      <c r="AQ193" s="61" t="n">
        <v>0</v>
      </c>
      <c r="AR193" s="61" t="n">
        <v>0</v>
      </c>
      <c r="AS193" s="61" t="n">
        <v>0</v>
      </c>
      <c r="AT193" s="61" t="n">
        <v>0</v>
      </c>
      <c r="AU193" s="61" t="str">
        <f aca="false">SUBSTITUTE(SUBSTITUTE(SUBSTITUTE(SUBSTITUTE(SUBSTITUTE(SUBSTITUTE(SUBSTITUTE(SUBSTITUTE(SUBSTITUTE(SUBSTITUTE(SUBSTITUTE(SUBSTITUTE(SUBSTITUTE(LOWER(T193&amp;""),CHAR(160),"")," ",""),".",""),"-",""),"/",""),"?",""),"_",""),",",""),"[",""),"]",""),"(",""),")",""),"*","")</f>
        <v/>
      </c>
      <c r="AV193" s="61" t="str">
        <f aca="false">SUBSTITUTE(SUBSTITUTE(SUBSTITUTE(SUBSTITUTE(SUBSTITUTE(SUBSTITUTE(SUBSTITUTE(SUBSTITUTE(SUBSTITUTE(SUBSTITUTE(SUBSTITUTE(SUBSTITUTE(SUBSTITUTE(LOWER(V193&amp;""),CHAR(160),"")," ",""),".",""),"-",""),"/",""),"?",""),"_",""),",",""),"[",""),"]",""),"(",""),")",""),"*","")</f>
        <v/>
      </c>
      <c r="AW193" s="61" t="str">
        <f aca="false">SUBSTITUTE(SUBSTITUTE(SUBSTITUTE(SUBSTITUTE(SUBSTITUTE(SUBSTITUTE(SUBSTITUTE(SUBSTITUTE(SUBSTITUTE(SUBSTITUTE(SUBSTITUTE(SUBSTITUTE(SUBSTITUTE(LOWER(Z193&amp;""),CHAR(160),"")," ",""),".",""),"-",""),"/",""),"?",""),"_",""),",",""),"[",""),"]",""),"(",""),")",""),"*","")</f>
        <v/>
      </c>
      <c r="AX193" s="61" t="str">
        <f aca="false">SUBSTITUTE(SUBSTITUTE(SUBSTITUTE(SUBSTITUTE(SUBSTITUTE(SUBSTITUTE(SUBSTITUTE(SUBSTITUTE(SUBSTITUTE(SUBSTITUTE(SUBSTITUTE(SUBSTITUTE(SUBSTITUTE(LOWER(AE193&amp;""),CHAR(160),"")," ",""),".",""),"-",""),"/",""),"?",""),"_",""),",",""),"[",""),"]",""),"(",""),")",""),"*","")</f>
        <v/>
      </c>
      <c r="AY193" s="61" t="str">
        <f aca="false">SUBSTITUTE(SUBSTITUTE(SUBSTITUTE(SUBSTITUTE(SUBSTITUTE(SUBSTITUTE(SUBSTITUTE(SUBSTITUTE(SUBSTITUTE(SUBSTITUTE(SUBSTITUTE(SUBSTITUTE(SUBSTITUTE(LOWER(W193&amp;""),CHAR(160),"")," ",""),".",""),"-",""),"/",""),"?",""),"_",""),",",""),"[",""),"]",""),"(",""),")",""),"*","")</f>
        <v/>
      </c>
      <c r="AZ193" s="61" t="str">
        <f aca="false">SUBSTITUTE(SUBSTITUTE(SUBSTITUTE(SUBSTITUTE(SUBSTITUTE(SUBSTITUTE(SUBSTITUTE(SUBSTITUTE(SUBSTITUTE(SUBSTITUTE(SUBSTITUTE(SUBSTITUTE(SUBSTITUTE(LOWER(AC193&amp;""),CHAR(160),"")," ",""),".",""),"-",""),"/",""),"?",""),"_",""),",",""),"[",""),"]",""),"(",""),")",""),"*","")</f>
        <v/>
      </c>
      <c r="BA193" s="61" t="str">
        <f aca="false">SUBSTITUTE(SUBSTITUTE(SUBSTITUTE(SUBSTITUTE(SUBSTITUTE(SUBSTITUTE(SUBSTITUTE(SUBSTITUTE(SUBSTITUTE(SUBSTITUTE(SUBSTITUTE(SUBSTITUTE(SUBSTITUTE(LOWER(AA193&amp;""),CHAR(160),"")," ",""),".",""),"-",""),"/",""),"?",""),"_",""),",",""),"[",""),"]",""),"(",""),")",""),"*","")</f>
        <v/>
      </c>
      <c r="BB193" s="61" t="str">
        <f aca="false">IF(AND(TRIM(U193)="Pass",ISNUMBER(AF193)),IF(AF193&lt;&gt;0,"INVALID – qty variance: use Fail or Pass after CA",""),"")&amp;IF(AND(TRIM(U193)="Pass after CA",ISNUMBER(AF193)),IF(AF193&lt;&gt;0,"INVALID – after the corrective action the actual qty must equal expected (update Actual)",""),"")&amp;IF(AND(TRIM(U193)="Pass",TRIM(AB193)&lt;&gt;"",TRIM(AB193)&lt;&gt;"Closed"),"INVALID – corrective action not closed: use Fail, then Pass after CA","")&amp;IF(AND(TRIM(AA193)&lt;&gt;"",TRIM(AB193)=""),"INVALID – CA status missing for the recorded corrective action","")&amp;IF(AND(TRIM(U193)="Pass after CA",OR(OR(LEN(BA193)&lt;5,ISNUMBER(MATCH(BA193,L_Placeholder,0))),TRIM(AB193)&lt;&gt;"Closed")),"INVALID – corrective action not recorded/closed","")</f>
        <v/>
      </c>
    </row>
    <row r="194" customFormat="false" ht="41.25" hidden="false" customHeight="true" outlineLevel="0" collapsed="false">
      <c r="A194" s="57" t="s">
        <v>729</v>
      </c>
      <c r="B194" s="57" t="s">
        <v>228</v>
      </c>
      <c r="C194" s="57" t="str">
        <f aca="false">Flights!$F$10</f>
        <v>MH0002</v>
      </c>
      <c r="D194" s="58" t="n">
        <f aca="false">Flights!$D$10</f>
        <v>46310</v>
      </c>
      <c r="E194" s="57" t="str">
        <f aca="false">Flights!$G$10&amp;"-"&amp;Flights!$H$10</f>
        <v>KUL-LHR</v>
      </c>
      <c r="F194" s="57" t="str">
        <f aca="false">Flights!$K$10</f>
        <v>BC</v>
      </c>
      <c r="G194" s="57" t="s">
        <v>398</v>
      </c>
      <c r="H194" s="57" t="s">
        <v>356</v>
      </c>
      <c r="I194" s="57" t="s">
        <v>425</v>
      </c>
      <c r="J194" s="57" t="s">
        <v>601</v>
      </c>
      <c r="K194" s="67" t="s">
        <v>427</v>
      </c>
      <c r="L194" s="67" t="s">
        <v>730</v>
      </c>
      <c r="M194" s="67" t="s">
        <v>429</v>
      </c>
      <c r="N194" s="67" t="s">
        <v>361</v>
      </c>
      <c r="O194" s="67" t="s">
        <v>481</v>
      </c>
      <c r="P194" s="57" t="s">
        <v>184</v>
      </c>
      <c r="Q194" s="59" t="n">
        <f aca="false">ROUND((Flights!$AE$10)*1440,0)/1440</f>
        <v>46310.1388888889</v>
      </c>
      <c r="R194" s="59" t="n">
        <f aca="false">Q194+(IF(AND(INDEX(TZ_DSTS,MATCH(P194,TZ_STN,0))&lt;&gt;"",Q194&gt;=INDEX(TZ_DSTS,MATCH(P194,TZ_STN,0)),Q194&lt;INDEX(TZ_DSTE,MATCH(P194,TZ_STN,0))),INDEX(TZ_DST,MATCH(P194,TZ_STN,0)),INDEX(TZ_STD,MATCH(P194,TZ_STN,0))))/24</f>
        <v>46310.4722222222</v>
      </c>
      <c r="S194" s="59" t="n">
        <f aca="false">Q194-T12EarlyH/24</f>
        <v>46309.6388888889</v>
      </c>
      <c r="T194" s="60"/>
      <c r="U194" s="60"/>
      <c r="V194" s="60"/>
      <c r="W194" s="61"/>
      <c r="X194" s="60"/>
      <c r="Y194" s="60"/>
      <c r="Z194" s="60"/>
      <c r="AA194" s="60"/>
      <c r="AB194" s="60"/>
      <c r="AC194" s="60"/>
      <c r="AD194" s="66"/>
      <c r="AE194" s="60"/>
      <c r="AF194" s="61" t="str">
        <f aca="false">IF(AND(ISNUMBER(X194),ISNUMBER(Y194)),Y194-X194,"")</f>
        <v/>
      </c>
      <c r="AG194" s="62" t="str">
        <f aca="false">IF(ISNUMBER(AD194),AD194-(IF(AND(INDEX(TZ_DSTS,MATCH(P194,TZ_STN,0))&lt;&gt;"",(AD194-INDEX(TZ_STD,MATCH(P194,TZ_STN,0))/24)&gt;=INDEX(TZ_DSTS,MATCH(P194,TZ_STN,0)),(AD194-INDEX(TZ_STD,MATCH(P194,TZ_STN,0))/24)&lt;INDEX(TZ_DSTE,MATCH(P194,TZ_STN,0))),INDEX(TZ_DST,MATCH(P194,TZ_STN,0)),INDEX(TZ_STD,MATCH(P194,TZ_STN,0))))/24,"")</f>
        <v/>
      </c>
      <c r="AH194" s="65" t="str">
        <f aca="false">IFERROR(IF(N194="N/A – rule","N/A – RULE",IF(TRIM(U194)="N/A",IF(AT194=0,"INVALID – N/A not permitted for this check",IF(AND(TRIM(AB194)&lt;&gt;"",TRIM(AB194)&lt;&gt;"Closed"),"INVALID – corrective action still open",IF(AND(NOT(OR(LEN(AZ194)&lt;15,ISNUMBER(MATCH(AZ194,L_Placeholder,0)))),NOT(OR(LEN(AU194)&lt;2,ISNUMBER(MATCH(AU194,L_Placeholder,0)))),NOT(OR(LEN(AX194)&lt;2,ISNUMBER(MATCH(AX194,L_Placeholder,0)))),TRIM(AE194)&lt;&gt;TRIM(T194)),"N/A – JUSTIFIED","INVALID – N/A needs a real justification (15+ chars), PIC and a different verifier"))),IF(OR(TRIM(U194)="Pass",TRIM(U194)="Pass after CA"),IF(NOT(ISNUMBER(AD194)),"INVALID – completion time missing",IF(OR(LEN(AU194)&lt;2,ISNUMBER(MATCH(AU194,L_Placeholder,0))),"INVALID – PIC missing",IF(OR(LEN(AV194)&lt;2,ISNUMBER(MATCH(AV194,L_Placeholder,0))),"INVALID – result / assessment missing",IF(OR(OR(LEN(AW194)&lt;3,ISNUMBER(MATCH(AW194,L_Placeholder,0))),SUMPRODUCT(--ISNUMBER(SEARCH(L_EvidencePhrase,AW194)))&gt;0),"INVALID – evidence missing, placeholder or not yet on file",IF(OR(LEN(AX194)&lt;2,ISNUMBER(MATCH(AX194,L_Placeholder,0))),"INVALID – verifier missing",IF(AX194=AU194,"INVALID – verifier must be someone other than the PIC",IF(AND(TRIM(U194)="Pass",SUMPRODUCT(--ISNUMBER(SEARCH(L_ResultBad,AV194)))&gt;0),"INVALID – result describes a problem: use Fail, then Pass after CA",IF(AND(AQ194=1,OR(LEN(AY194)&lt;3,ISNUMBER(MATCH(AY194,L_Placeholder,0)))),"INVALID – batch ID missing or placeholder",IF(AND(AR194=1,OR(NOT(ISNUMBER(X194)),NOT(ISNUMBER(Y194)))),"INVALID – expected/actual qty missing",IF(AND(AR194=1,OR(X194&lt;=0,Y194&lt;0)),"INVALID – expected qty must be above 0 and actual not negative",IF(BB194&lt;&gt;"",BB194,IF(AND(AS194=1,Documents!$J$10&lt;&gt;"ON FILE"),"INVALID – GLD not on file (Documents sheet)",IF(AND(AS194=2,Documents!$O$10&lt;&gt;"ON FILE"),"INVALID – menu checklist not on file (Documents sheet)",IF(AND(AS194=3,NOT(ISNUMBER(Flights!$AX$10))),"INVALID – enter carrying flight KUL departure (Flights AX)",IF(AND(AS194=3,OR(Flights!$AZ$10&gt;Flights!$AA$10,Flights!$AX$10&lt;Flights!$AA$10-3)),"INVALID – carrying flight (Flights AX) cannot arrive before this leg's STD, or is over 3 days early",IF(AG194&gt;AsOfUTC,"INVALID – completion time is in the future",IF(AND(ISNUMBER(S194),AG194&lt;S194),IF(H194="Physical uplift","INVALID – before uplift window (cannot confirm loading)","INVALID – before valid window"),IF(AG194&gt;Flights!$AA$10,"INVALID – completed after departure (cannot establish readiness)",IF(AND(H194="Preparation",AG194&gt;IF(ISNUMBER(Flights!$BA$10),MIN(Flights!$BA$10,Flights!$AA$10),Flights!$AA$10)),"INVALID – completed after loading / departure (cannot establish readiness)",IF(AND(H194="Physical uplift",AG194&gt;Q194),"INVALID – recorded after the loading flight departed",IF(AG194&gt;Q194,"COMPLETE – LATE","COMPLETE"))))))))))))))))))))),IF(TRIM(U194)="Fail","FAIL – DISCREPANCY",IF(AND(TRIM(U194)&lt;&gt;"",TRIM(U194)&lt;&gt;"Not started",TRIM(U194)&lt;&gt;"In progress"),"INVALID – unrecognised status (use the list)",IF(AsOfUTC&gt;Q194,"OVERDUE",IF(N194="Clarification required","OPEN – CLARIFICATION","OPEN"))))))),"INVALID – error value in an input cell")</f>
        <v>OPEN</v>
      </c>
      <c r="AI194" s="61" t="n">
        <f aca="false">IF(OR(AH194="N/A – RULE",AH194="N/A – JUSTIFIED"),0,1)</f>
        <v>1</v>
      </c>
      <c r="AJ194" s="61" t="n">
        <f aca="false">IF(LEFT(AH194,8)="COMPLETE",1,0)</f>
        <v>0</v>
      </c>
      <c r="AK194" s="61" t="n">
        <f aca="false">IF(AND(AI194=1,AJ194=0,AsOfUTC&gt;Q194),1,0)</f>
        <v>0</v>
      </c>
      <c r="AL194" s="61" t="n">
        <f aca="false">IFERROR(IF(AND(AI194=1,OR(TRIM(U194)="Fail",AND(TRIM(AB194)&lt;&gt;"",TRIM(AB194)&lt;&gt;"Closed"),AND(ISNUMBER(AF194),AF194&lt;&gt;0,TRIM(U194)&lt;&gt;"Pass after CA"))),1,0),1)</f>
        <v>0</v>
      </c>
      <c r="AM194" s="61" t="n">
        <f aca="false">IF(LEFT(AH194,7)="INVALID",1,0)</f>
        <v>0</v>
      </c>
      <c r="AN194" s="61" t="n">
        <f aca="false">IF(AND(N194="Clarification required",AI194=1,AJ194=0),1,0)</f>
        <v>0</v>
      </c>
      <c r="AO194" s="61" t="str">
        <f aca="false">IF(AK194=1,SUM(AK$5:AK194),"")</f>
        <v/>
      </c>
      <c r="AP194" s="61" t="str">
        <f aca="false">IF(AL194=1,SUM(AL$5:AL194),"")</f>
        <v/>
      </c>
      <c r="AQ194" s="61" t="n">
        <v>0</v>
      </c>
      <c r="AR194" s="61" t="n">
        <v>0</v>
      </c>
      <c r="AS194" s="61" t="n">
        <v>0</v>
      </c>
      <c r="AT194" s="61" t="n">
        <v>0</v>
      </c>
      <c r="AU194" s="61" t="str">
        <f aca="false">SUBSTITUTE(SUBSTITUTE(SUBSTITUTE(SUBSTITUTE(SUBSTITUTE(SUBSTITUTE(SUBSTITUTE(SUBSTITUTE(SUBSTITUTE(SUBSTITUTE(SUBSTITUTE(SUBSTITUTE(SUBSTITUTE(LOWER(T194&amp;""),CHAR(160),"")," ",""),".",""),"-",""),"/",""),"?",""),"_",""),",",""),"[",""),"]",""),"(",""),")",""),"*","")</f>
        <v/>
      </c>
      <c r="AV194" s="61" t="str">
        <f aca="false">SUBSTITUTE(SUBSTITUTE(SUBSTITUTE(SUBSTITUTE(SUBSTITUTE(SUBSTITUTE(SUBSTITUTE(SUBSTITUTE(SUBSTITUTE(SUBSTITUTE(SUBSTITUTE(SUBSTITUTE(SUBSTITUTE(LOWER(V194&amp;""),CHAR(160),"")," ",""),".",""),"-",""),"/",""),"?",""),"_",""),",",""),"[",""),"]",""),"(",""),")",""),"*","")</f>
        <v/>
      </c>
      <c r="AW194" s="61" t="str">
        <f aca="false">SUBSTITUTE(SUBSTITUTE(SUBSTITUTE(SUBSTITUTE(SUBSTITUTE(SUBSTITUTE(SUBSTITUTE(SUBSTITUTE(SUBSTITUTE(SUBSTITUTE(SUBSTITUTE(SUBSTITUTE(SUBSTITUTE(LOWER(Z194&amp;""),CHAR(160),"")," ",""),".",""),"-",""),"/",""),"?",""),"_",""),",",""),"[",""),"]",""),"(",""),")",""),"*","")</f>
        <v/>
      </c>
      <c r="AX194" s="61" t="str">
        <f aca="false">SUBSTITUTE(SUBSTITUTE(SUBSTITUTE(SUBSTITUTE(SUBSTITUTE(SUBSTITUTE(SUBSTITUTE(SUBSTITUTE(SUBSTITUTE(SUBSTITUTE(SUBSTITUTE(SUBSTITUTE(SUBSTITUTE(LOWER(AE194&amp;""),CHAR(160),"")," ",""),".",""),"-",""),"/",""),"?",""),"_",""),",",""),"[",""),"]",""),"(",""),")",""),"*","")</f>
        <v/>
      </c>
      <c r="AY194" s="61" t="str">
        <f aca="false">SUBSTITUTE(SUBSTITUTE(SUBSTITUTE(SUBSTITUTE(SUBSTITUTE(SUBSTITUTE(SUBSTITUTE(SUBSTITUTE(SUBSTITUTE(SUBSTITUTE(SUBSTITUTE(SUBSTITUTE(SUBSTITUTE(LOWER(W194&amp;""),CHAR(160),"")," ",""),".",""),"-",""),"/",""),"?",""),"_",""),",",""),"[",""),"]",""),"(",""),")",""),"*","")</f>
        <v/>
      </c>
      <c r="AZ194" s="61" t="str">
        <f aca="false">SUBSTITUTE(SUBSTITUTE(SUBSTITUTE(SUBSTITUTE(SUBSTITUTE(SUBSTITUTE(SUBSTITUTE(SUBSTITUTE(SUBSTITUTE(SUBSTITUTE(SUBSTITUTE(SUBSTITUTE(SUBSTITUTE(LOWER(AC194&amp;""),CHAR(160),"")," ",""),".",""),"-",""),"/",""),"?",""),"_",""),",",""),"[",""),"]",""),"(",""),")",""),"*","")</f>
        <v/>
      </c>
      <c r="BA194" s="61" t="str">
        <f aca="false">SUBSTITUTE(SUBSTITUTE(SUBSTITUTE(SUBSTITUTE(SUBSTITUTE(SUBSTITUTE(SUBSTITUTE(SUBSTITUTE(SUBSTITUTE(SUBSTITUTE(SUBSTITUTE(SUBSTITUTE(SUBSTITUTE(LOWER(AA194&amp;""),CHAR(160),"")," ",""),".",""),"-",""),"/",""),"?",""),"_",""),",",""),"[",""),"]",""),"(",""),")",""),"*","")</f>
        <v/>
      </c>
      <c r="BB194" s="61" t="str">
        <f aca="false">IF(AND(TRIM(U194)="Pass",ISNUMBER(AF194)),IF(AF194&lt;&gt;0,"INVALID – qty variance: use Fail or Pass after CA",""),"")&amp;IF(AND(TRIM(U194)="Pass after CA",ISNUMBER(AF194)),IF(AF194&lt;&gt;0,"INVALID – after the corrective action the actual qty must equal expected (update Actual)",""),"")&amp;IF(AND(TRIM(U194)="Pass",TRIM(AB194)&lt;&gt;"",TRIM(AB194)&lt;&gt;"Closed"),"INVALID – corrective action not closed: use Fail, then Pass after CA","")&amp;IF(AND(TRIM(AA194)&lt;&gt;"",TRIM(AB194)=""),"INVALID – CA status missing for the recorded corrective action","")&amp;IF(AND(TRIM(U194)="Pass after CA",OR(OR(LEN(BA194)&lt;5,ISNUMBER(MATCH(BA194,L_Placeholder,0))),TRIM(AB194)&lt;&gt;"Closed")),"INVALID – corrective action not recorded/closed","")</f>
        <v/>
      </c>
    </row>
    <row r="195" customFormat="false" ht="41.25" hidden="false" customHeight="true" outlineLevel="0" collapsed="false">
      <c r="A195" s="57" t="s">
        <v>731</v>
      </c>
      <c r="B195" s="57" t="s">
        <v>228</v>
      </c>
      <c r="C195" s="57" t="str">
        <f aca="false">Flights!$F$10</f>
        <v>MH0002</v>
      </c>
      <c r="D195" s="58" t="n">
        <f aca="false">Flights!$D$10</f>
        <v>46310</v>
      </c>
      <c r="E195" s="57" t="str">
        <f aca="false">Flights!$G$10&amp;"-"&amp;Flights!$H$10</f>
        <v>KUL-LHR</v>
      </c>
      <c r="F195" s="57" t="str">
        <f aca="false">Flights!$K$10</f>
        <v>BC</v>
      </c>
      <c r="G195" s="57" t="s">
        <v>398</v>
      </c>
      <c r="H195" s="57" t="s">
        <v>356</v>
      </c>
      <c r="I195" s="57" t="s">
        <v>425</v>
      </c>
      <c r="J195" s="57" t="s">
        <v>604</v>
      </c>
      <c r="K195" s="67" t="s">
        <v>427</v>
      </c>
      <c r="L195" s="67" t="s">
        <v>732</v>
      </c>
      <c r="M195" s="67" t="s">
        <v>429</v>
      </c>
      <c r="N195" s="67" t="s">
        <v>361</v>
      </c>
      <c r="O195" s="67" t="s">
        <v>481</v>
      </c>
      <c r="P195" s="57" t="s">
        <v>184</v>
      </c>
      <c r="Q195" s="59" t="n">
        <f aca="false">ROUND((Flights!$AE$10)*1440,0)/1440</f>
        <v>46310.1388888889</v>
      </c>
      <c r="R195" s="59" t="n">
        <f aca="false">Q195+(IF(AND(INDEX(TZ_DSTS,MATCH(P195,TZ_STN,0))&lt;&gt;"",Q195&gt;=INDEX(TZ_DSTS,MATCH(P195,TZ_STN,0)),Q195&lt;INDEX(TZ_DSTE,MATCH(P195,TZ_STN,0))),INDEX(TZ_DST,MATCH(P195,TZ_STN,0)),INDEX(TZ_STD,MATCH(P195,TZ_STN,0))))/24</f>
        <v>46310.4722222222</v>
      </c>
      <c r="S195" s="59" t="n">
        <f aca="false">Q195-T12EarlyH/24</f>
        <v>46309.6388888889</v>
      </c>
      <c r="T195" s="60"/>
      <c r="U195" s="60"/>
      <c r="V195" s="60"/>
      <c r="W195" s="61"/>
      <c r="X195" s="60"/>
      <c r="Y195" s="60"/>
      <c r="Z195" s="60"/>
      <c r="AA195" s="60"/>
      <c r="AB195" s="60"/>
      <c r="AC195" s="60"/>
      <c r="AD195" s="66"/>
      <c r="AE195" s="60"/>
      <c r="AF195" s="61" t="str">
        <f aca="false">IF(AND(ISNUMBER(X195),ISNUMBER(Y195)),Y195-X195,"")</f>
        <v/>
      </c>
      <c r="AG195" s="62" t="str">
        <f aca="false">IF(ISNUMBER(AD195),AD195-(IF(AND(INDEX(TZ_DSTS,MATCH(P195,TZ_STN,0))&lt;&gt;"",(AD195-INDEX(TZ_STD,MATCH(P195,TZ_STN,0))/24)&gt;=INDEX(TZ_DSTS,MATCH(P195,TZ_STN,0)),(AD195-INDEX(TZ_STD,MATCH(P195,TZ_STN,0))/24)&lt;INDEX(TZ_DSTE,MATCH(P195,TZ_STN,0))),INDEX(TZ_DST,MATCH(P195,TZ_STN,0)),INDEX(TZ_STD,MATCH(P195,TZ_STN,0))))/24,"")</f>
        <v/>
      </c>
      <c r="AH195" s="65" t="str">
        <f aca="false">IFERROR(IF(N195="N/A – rule","N/A – RULE",IF(TRIM(U195)="N/A",IF(AT195=0,"INVALID – N/A not permitted for this check",IF(AND(TRIM(AB195)&lt;&gt;"",TRIM(AB195)&lt;&gt;"Closed"),"INVALID – corrective action still open",IF(AND(NOT(OR(LEN(AZ195)&lt;15,ISNUMBER(MATCH(AZ195,L_Placeholder,0)))),NOT(OR(LEN(AU195)&lt;2,ISNUMBER(MATCH(AU195,L_Placeholder,0)))),NOT(OR(LEN(AX195)&lt;2,ISNUMBER(MATCH(AX195,L_Placeholder,0)))),TRIM(AE195)&lt;&gt;TRIM(T195)),"N/A – JUSTIFIED","INVALID – N/A needs a real justification (15+ chars), PIC and a different verifier"))),IF(OR(TRIM(U195)="Pass",TRIM(U195)="Pass after CA"),IF(NOT(ISNUMBER(AD195)),"INVALID – completion time missing",IF(OR(LEN(AU195)&lt;2,ISNUMBER(MATCH(AU195,L_Placeholder,0))),"INVALID – PIC missing",IF(OR(LEN(AV195)&lt;2,ISNUMBER(MATCH(AV195,L_Placeholder,0))),"INVALID – result / assessment missing",IF(OR(OR(LEN(AW195)&lt;3,ISNUMBER(MATCH(AW195,L_Placeholder,0))),SUMPRODUCT(--ISNUMBER(SEARCH(L_EvidencePhrase,AW195)))&gt;0),"INVALID – evidence missing, placeholder or not yet on file",IF(OR(LEN(AX195)&lt;2,ISNUMBER(MATCH(AX195,L_Placeholder,0))),"INVALID – verifier missing",IF(AX195=AU195,"INVALID – verifier must be someone other than the PIC",IF(AND(TRIM(U195)="Pass",SUMPRODUCT(--ISNUMBER(SEARCH(L_ResultBad,AV195)))&gt;0),"INVALID – result describes a problem: use Fail, then Pass after CA",IF(AND(AQ195=1,OR(LEN(AY195)&lt;3,ISNUMBER(MATCH(AY195,L_Placeholder,0)))),"INVALID – batch ID missing or placeholder",IF(AND(AR195=1,OR(NOT(ISNUMBER(X195)),NOT(ISNUMBER(Y195)))),"INVALID – expected/actual qty missing",IF(AND(AR195=1,OR(X195&lt;=0,Y195&lt;0)),"INVALID – expected qty must be above 0 and actual not negative",IF(BB195&lt;&gt;"",BB195,IF(AND(AS195=1,Documents!$J$10&lt;&gt;"ON FILE"),"INVALID – GLD not on file (Documents sheet)",IF(AND(AS195=2,Documents!$O$10&lt;&gt;"ON FILE"),"INVALID – menu checklist not on file (Documents sheet)",IF(AND(AS195=3,NOT(ISNUMBER(Flights!$AX$10))),"INVALID – enter carrying flight KUL departure (Flights AX)",IF(AND(AS195=3,OR(Flights!$AZ$10&gt;Flights!$AA$10,Flights!$AX$10&lt;Flights!$AA$10-3)),"INVALID – carrying flight (Flights AX) cannot arrive before this leg's STD, or is over 3 days early",IF(AG195&gt;AsOfUTC,"INVALID – completion time is in the future",IF(AND(ISNUMBER(S195),AG195&lt;S195),IF(H195="Physical uplift","INVALID – before uplift window (cannot confirm loading)","INVALID – before valid window"),IF(AG195&gt;Flights!$AA$10,"INVALID – completed after departure (cannot establish readiness)",IF(AND(H195="Preparation",AG195&gt;IF(ISNUMBER(Flights!$BA$10),MIN(Flights!$BA$10,Flights!$AA$10),Flights!$AA$10)),"INVALID – completed after loading / departure (cannot establish readiness)",IF(AND(H195="Physical uplift",AG195&gt;Q195),"INVALID – recorded after the loading flight departed",IF(AG195&gt;Q195,"COMPLETE – LATE","COMPLETE"))))))))))))))))))))),IF(TRIM(U195)="Fail","FAIL – DISCREPANCY",IF(AND(TRIM(U195)&lt;&gt;"",TRIM(U195)&lt;&gt;"Not started",TRIM(U195)&lt;&gt;"In progress"),"INVALID – unrecognised status (use the list)",IF(AsOfUTC&gt;Q195,"OVERDUE",IF(N195="Clarification required","OPEN – CLARIFICATION","OPEN"))))))),"INVALID – error value in an input cell")</f>
        <v>OPEN</v>
      </c>
      <c r="AI195" s="61" t="n">
        <f aca="false">IF(OR(AH195="N/A – RULE",AH195="N/A – JUSTIFIED"),0,1)</f>
        <v>1</v>
      </c>
      <c r="AJ195" s="61" t="n">
        <f aca="false">IF(LEFT(AH195,8)="COMPLETE",1,0)</f>
        <v>0</v>
      </c>
      <c r="AK195" s="61" t="n">
        <f aca="false">IF(AND(AI195=1,AJ195=0,AsOfUTC&gt;Q195),1,0)</f>
        <v>0</v>
      </c>
      <c r="AL195" s="61" t="n">
        <f aca="false">IFERROR(IF(AND(AI195=1,OR(TRIM(U195)="Fail",AND(TRIM(AB195)&lt;&gt;"",TRIM(AB195)&lt;&gt;"Closed"),AND(ISNUMBER(AF195),AF195&lt;&gt;0,TRIM(U195)&lt;&gt;"Pass after CA"))),1,0),1)</f>
        <v>0</v>
      </c>
      <c r="AM195" s="61" t="n">
        <f aca="false">IF(LEFT(AH195,7)="INVALID",1,0)</f>
        <v>0</v>
      </c>
      <c r="AN195" s="61" t="n">
        <f aca="false">IF(AND(N195="Clarification required",AI195=1,AJ195=0),1,0)</f>
        <v>0</v>
      </c>
      <c r="AO195" s="61" t="str">
        <f aca="false">IF(AK195=1,SUM(AK$5:AK195),"")</f>
        <v/>
      </c>
      <c r="AP195" s="61" t="str">
        <f aca="false">IF(AL195=1,SUM(AL$5:AL195),"")</f>
        <v/>
      </c>
      <c r="AQ195" s="61" t="n">
        <v>0</v>
      </c>
      <c r="AR195" s="61" t="n">
        <v>0</v>
      </c>
      <c r="AS195" s="61" t="n">
        <v>0</v>
      </c>
      <c r="AT195" s="61" t="n">
        <v>0</v>
      </c>
      <c r="AU195" s="61" t="str">
        <f aca="false">SUBSTITUTE(SUBSTITUTE(SUBSTITUTE(SUBSTITUTE(SUBSTITUTE(SUBSTITUTE(SUBSTITUTE(SUBSTITUTE(SUBSTITUTE(SUBSTITUTE(SUBSTITUTE(SUBSTITUTE(SUBSTITUTE(LOWER(T195&amp;""),CHAR(160),"")," ",""),".",""),"-",""),"/",""),"?",""),"_",""),",",""),"[",""),"]",""),"(",""),")",""),"*","")</f>
        <v/>
      </c>
      <c r="AV195" s="61" t="str">
        <f aca="false">SUBSTITUTE(SUBSTITUTE(SUBSTITUTE(SUBSTITUTE(SUBSTITUTE(SUBSTITUTE(SUBSTITUTE(SUBSTITUTE(SUBSTITUTE(SUBSTITUTE(SUBSTITUTE(SUBSTITUTE(SUBSTITUTE(LOWER(V195&amp;""),CHAR(160),"")," ",""),".",""),"-",""),"/",""),"?",""),"_",""),",",""),"[",""),"]",""),"(",""),")",""),"*","")</f>
        <v/>
      </c>
      <c r="AW195" s="61" t="str">
        <f aca="false">SUBSTITUTE(SUBSTITUTE(SUBSTITUTE(SUBSTITUTE(SUBSTITUTE(SUBSTITUTE(SUBSTITUTE(SUBSTITUTE(SUBSTITUTE(SUBSTITUTE(SUBSTITUTE(SUBSTITUTE(SUBSTITUTE(LOWER(Z195&amp;""),CHAR(160),"")," ",""),".",""),"-",""),"/",""),"?",""),"_",""),",",""),"[",""),"]",""),"(",""),")",""),"*","")</f>
        <v/>
      </c>
      <c r="AX195" s="61" t="str">
        <f aca="false">SUBSTITUTE(SUBSTITUTE(SUBSTITUTE(SUBSTITUTE(SUBSTITUTE(SUBSTITUTE(SUBSTITUTE(SUBSTITUTE(SUBSTITUTE(SUBSTITUTE(SUBSTITUTE(SUBSTITUTE(SUBSTITUTE(LOWER(AE195&amp;""),CHAR(160),"")," ",""),".",""),"-",""),"/",""),"?",""),"_",""),",",""),"[",""),"]",""),"(",""),")",""),"*","")</f>
        <v/>
      </c>
      <c r="AY195" s="61" t="str">
        <f aca="false">SUBSTITUTE(SUBSTITUTE(SUBSTITUTE(SUBSTITUTE(SUBSTITUTE(SUBSTITUTE(SUBSTITUTE(SUBSTITUTE(SUBSTITUTE(SUBSTITUTE(SUBSTITUTE(SUBSTITUTE(SUBSTITUTE(LOWER(W195&amp;""),CHAR(160),"")," ",""),".",""),"-",""),"/",""),"?",""),"_",""),",",""),"[",""),"]",""),"(",""),")",""),"*","")</f>
        <v/>
      </c>
      <c r="AZ195" s="61" t="str">
        <f aca="false">SUBSTITUTE(SUBSTITUTE(SUBSTITUTE(SUBSTITUTE(SUBSTITUTE(SUBSTITUTE(SUBSTITUTE(SUBSTITUTE(SUBSTITUTE(SUBSTITUTE(SUBSTITUTE(SUBSTITUTE(SUBSTITUTE(LOWER(AC195&amp;""),CHAR(160),"")," ",""),".",""),"-",""),"/",""),"?",""),"_",""),",",""),"[",""),"]",""),"(",""),")",""),"*","")</f>
        <v/>
      </c>
      <c r="BA195" s="61" t="str">
        <f aca="false">SUBSTITUTE(SUBSTITUTE(SUBSTITUTE(SUBSTITUTE(SUBSTITUTE(SUBSTITUTE(SUBSTITUTE(SUBSTITUTE(SUBSTITUTE(SUBSTITUTE(SUBSTITUTE(SUBSTITUTE(SUBSTITUTE(LOWER(AA195&amp;""),CHAR(160),"")," ",""),".",""),"-",""),"/",""),"?",""),"_",""),",",""),"[",""),"]",""),"(",""),")",""),"*","")</f>
        <v/>
      </c>
      <c r="BB195" s="61" t="str">
        <f aca="false">IF(AND(TRIM(U195)="Pass",ISNUMBER(AF195)),IF(AF195&lt;&gt;0,"INVALID – qty variance: use Fail or Pass after CA",""),"")&amp;IF(AND(TRIM(U195)="Pass after CA",ISNUMBER(AF195)),IF(AF195&lt;&gt;0,"INVALID – after the corrective action the actual qty must equal expected (update Actual)",""),"")&amp;IF(AND(TRIM(U195)="Pass",TRIM(AB195)&lt;&gt;"",TRIM(AB195)&lt;&gt;"Closed"),"INVALID – corrective action not closed: use Fail, then Pass after CA","")&amp;IF(AND(TRIM(AA195)&lt;&gt;"",TRIM(AB195)=""),"INVALID – CA status missing for the recorded corrective action","")&amp;IF(AND(TRIM(U195)="Pass after CA",OR(OR(LEN(BA195)&lt;5,ISNUMBER(MATCH(BA195,L_Placeholder,0))),TRIM(AB195)&lt;&gt;"Closed")),"INVALID – corrective action not recorded/closed","")</f>
        <v/>
      </c>
    </row>
    <row r="196" customFormat="false" ht="39.75" hidden="false" customHeight="true" outlineLevel="0" collapsed="false">
      <c r="A196" s="57" t="s">
        <v>733</v>
      </c>
      <c r="B196" s="57" t="s">
        <v>228</v>
      </c>
      <c r="C196" s="57" t="str">
        <f aca="false">Flights!$F$10</f>
        <v>MH0002</v>
      </c>
      <c r="D196" s="58" t="n">
        <f aca="false">Flights!$D$10</f>
        <v>46310</v>
      </c>
      <c r="E196" s="57" t="str">
        <f aca="false">Flights!$G$10&amp;"-"&amp;Flights!$H$10</f>
        <v>KUL-LHR</v>
      </c>
      <c r="F196" s="57" t="str">
        <f aca="false">Flights!$K$10</f>
        <v>BC</v>
      </c>
      <c r="G196" s="57" t="s">
        <v>398</v>
      </c>
      <c r="H196" s="57" t="s">
        <v>356</v>
      </c>
      <c r="I196" s="57" t="s">
        <v>607</v>
      </c>
      <c r="J196" s="57" t="s">
        <v>608</v>
      </c>
      <c r="K196" s="67" t="s">
        <v>479</v>
      </c>
      <c r="L196" s="67" t="s">
        <v>734</v>
      </c>
      <c r="M196" s="67" t="s">
        <v>184</v>
      </c>
      <c r="N196" s="67" t="s">
        <v>361</v>
      </c>
      <c r="O196" s="67" t="s">
        <v>610</v>
      </c>
      <c r="P196" s="57" t="s">
        <v>184</v>
      </c>
      <c r="Q196" s="59" t="n">
        <f aca="false">ROUND((Flights!$AE$10)*1440,0)/1440</f>
        <v>46310.1388888889</v>
      </c>
      <c r="R196" s="59" t="n">
        <f aca="false">Q196+(IF(AND(INDEX(TZ_DSTS,MATCH(P196,TZ_STN,0))&lt;&gt;"",Q196&gt;=INDEX(TZ_DSTS,MATCH(P196,TZ_STN,0)),Q196&lt;INDEX(TZ_DSTE,MATCH(P196,TZ_STN,0))),INDEX(TZ_DST,MATCH(P196,TZ_STN,0)),INDEX(TZ_STD,MATCH(P196,TZ_STN,0))))/24</f>
        <v>46310.4722222222</v>
      </c>
      <c r="S196" s="59" t="n">
        <f aca="false">Q196-T12EarlyH/24</f>
        <v>46309.6388888889</v>
      </c>
      <c r="T196" s="60"/>
      <c r="U196" s="60"/>
      <c r="V196" s="60"/>
      <c r="W196" s="61"/>
      <c r="X196" s="60"/>
      <c r="Y196" s="60"/>
      <c r="Z196" s="60"/>
      <c r="AA196" s="60"/>
      <c r="AB196" s="60"/>
      <c r="AC196" s="60"/>
      <c r="AD196" s="66"/>
      <c r="AE196" s="60"/>
      <c r="AF196" s="61" t="str">
        <f aca="false">IF(AND(ISNUMBER(X196),ISNUMBER(Y196)),Y196-X196,"")</f>
        <v/>
      </c>
      <c r="AG196" s="62" t="str">
        <f aca="false">IF(ISNUMBER(AD196),AD196-(IF(AND(INDEX(TZ_DSTS,MATCH(P196,TZ_STN,0))&lt;&gt;"",(AD196-INDEX(TZ_STD,MATCH(P196,TZ_STN,0))/24)&gt;=INDEX(TZ_DSTS,MATCH(P196,TZ_STN,0)),(AD196-INDEX(TZ_STD,MATCH(P196,TZ_STN,0))/24)&lt;INDEX(TZ_DSTE,MATCH(P196,TZ_STN,0))),INDEX(TZ_DST,MATCH(P196,TZ_STN,0)),INDEX(TZ_STD,MATCH(P196,TZ_STN,0))))/24,"")</f>
        <v/>
      </c>
      <c r="AH196" s="65" t="str">
        <f aca="false">IFERROR(IF(N196="N/A – rule","N/A – RULE",IF(TRIM(U196)="N/A",IF(AT196=0,"INVALID – N/A not permitted for this check",IF(AND(TRIM(AB196)&lt;&gt;"",TRIM(AB196)&lt;&gt;"Closed"),"INVALID – corrective action still open",IF(AND(NOT(OR(LEN(AZ196)&lt;15,ISNUMBER(MATCH(AZ196,L_Placeholder,0)))),NOT(OR(LEN(AU196)&lt;2,ISNUMBER(MATCH(AU196,L_Placeholder,0)))),NOT(OR(LEN(AX196)&lt;2,ISNUMBER(MATCH(AX196,L_Placeholder,0)))),TRIM(AE196)&lt;&gt;TRIM(T196)),"N/A – JUSTIFIED","INVALID – N/A needs a real justification (15+ chars), PIC and a different verifier"))),IF(OR(TRIM(U196)="Pass",TRIM(U196)="Pass after CA"),IF(NOT(ISNUMBER(AD196)),"INVALID – completion time missing",IF(OR(LEN(AU196)&lt;2,ISNUMBER(MATCH(AU196,L_Placeholder,0))),"INVALID – PIC missing",IF(OR(LEN(AV196)&lt;2,ISNUMBER(MATCH(AV196,L_Placeholder,0))),"INVALID – result / assessment missing",IF(OR(OR(LEN(AW196)&lt;3,ISNUMBER(MATCH(AW196,L_Placeholder,0))),SUMPRODUCT(--ISNUMBER(SEARCH(L_EvidencePhrase,AW196)))&gt;0),"INVALID – evidence missing, placeholder or not yet on file",IF(OR(LEN(AX196)&lt;2,ISNUMBER(MATCH(AX196,L_Placeholder,0))),"INVALID – verifier missing",IF(AX196=AU196,"INVALID – verifier must be someone other than the PIC",IF(AND(TRIM(U196)="Pass",SUMPRODUCT(--ISNUMBER(SEARCH(L_ResultBad,AV196)))&gt;0),"INVALID – result describes a problem: use Fail, then Pass after CA",IF(AND(AQ196=1,OR(LEN(AY196)&lt;3,ISNUMBER(MATCH(AY196,L_Placeholder,0)))),"INVALID – batch ID missing or placeholder",IF(AND(AR196=1,OR(NOT(ISNUMBER(X196)),NOT(ISNUMBER(Y196)))),"INVALID – expected/actual qty missing",IF(AND(AR196=1,OR(X196&lt;=0,Y196&lt;0)),"INVALID – expected qty must be above 0 and actual not negative",IF(BB196&lt;&gt;"",BB196,IF(AND(AS196=1,Documents!$J$10&lt;&gt;"ON FILE"),"INVALID – GLD not on file (Documents sheet)",IF(AND(AS196=2,Documents!$O$10&lt;&gt;"ON FILE"),"INVALID – menu checklist not on file (Documents sheet)",IF(AND(AS196=3,NOT(ISNUMBER(Flights!$AX$10))),"INVALID – enter carrying flight KUL departure (Flights AX)",IF(AND(AS196=3,OR(Flights!$AZ$10&gt;Flights!$AA$10,Flights!$AX$10&lt;Flights!$AA$10-3)),"INVALID – carrying flight (Flights AX) cannot arrive before this leg's STD, or is over 3 days early",IF(AG196&gt;AsOfUTC,"INVALID – completion time is in the future",IF(AND(ISNUMBER(S196),AG196&lt;S196),IF(H196="Physical uplift","INVALID – before uplift window (cannot confirm loading)","INVALID – before valid window"),IF(AG196&gt;Flights!$AA$10,"INVALID – completed after departure (cannot establish readiness)",IF(AND(H196="Preparation",AG196&gt;IF(ISNUMBER(Flights!$BA$10),MIN(Flights!$BA$10,Flights!$AA$10),Flights!$AA$10)),"INVALID – completed after loading / departure (cannot establish readiness)",IF(AND(H196="Physical uplift",AG196&gt;Q196),"INVALID – recorded after the loading flight departed",IF(AG196&gt;Q196,"COMPLETE – LATE","COMPLETE"))))))))))))))))))))),IF(TRIM(U196)="Fail","FAIL – DISCREPANCY",IF(AND(TRIM(U196)&lt;&gt;"",TRIM(U196)&lt;&gt;"Not started",TRIM(U196)&lt;&gt;"In progress"),"INVALID – unrecognised status (use the list)",IF(AsOfUTC&gt;Q196,"OVERDUE",IF(N196="Clarification required","OPEN – CLARIFICATION","OPEN"))))))),"INVALID – error value in an input cell")</f>
        <v>OPEN</v>
      </c>
      <c r="AI196" s="61" t="n">
        <f aca="false">IF(OR(AH196="N/A – RULE",AH196="N/A – JUSTIFIED"),0,1)</f>
        <v>1</v>
      </c>
      <c r="AJ196" s="61" t="n">
        <f aca="false">IF(LEFT(AH196,8)="COMPLETE",1,0)</f>
        <v>0</v>
      </c>
      <c r="AK196" s="61" t="n">
        <f aca="false">IF(AND(AI196=1,AJ196=0,AsOfUTC&gt;Q196),1,0)</f>
        <v>0</v>
      </c>
      <c r="AL196" s="61" t="n">
        <f aca="false">IFERROR(IF(AND(AI196=1,OR(TRIM(U196)="Fail",AND(TRIM(AB196)&lt;&gt;"",TRIM(AB196)&lt;&gt;"Closed"),AND(ISNUMBER(AF196),AF196&lt;&gt;0,TRIM(U196)&lt;&gt;"Pass after CA"))),1,0),1)</f>
        <v>0</v>
      </c>
      <c r="AM196" s="61" t="n">
        <f aca="false">IF(LEFT(AH196,7)="INVALID",1,0)</f>
        <v>0</v>
      </c>
      <c r="AN196" s="61" t="n">
        <f aca="false">IF(AND(N196="Clarification required",AI196=1,AJ196=0),1,0)</f>
        <v>0</v>
      </c>
      <c r="AO196" s="61" t="str">
        <f aca="false">IF(AK196=1,SUM(AK$5:AK196),"")</f>
        <v/>
      </c>
      <c r="AP196" s="61" t="str">
        <f aca="false">IF(AL196=1,SUM(AL$5:AL196),"")</f>
        <v/>
      </c>
      <c r="AQ196" s="61" t="n">
        <v>0</v>
      </c>
      <c r="AR196" s="61" t="n">
        <v>0</v>
      </c>
      <c r="AS196" s="61" t="n">
        <v>0</v>
      </c>
      <c r="AT196" s="61" t="n">
        <v>0</v>
      </c>
      <c r="AU196" s="61" t="str">
        <f aca="false">SUBSTITUTE(SUBSTITUTE(SUBSTITUTE(SUBSTITUTE(SUBSTITUTE(SUBSTITUTE(SUBSTITUTE(SUBSTITUTE(SUBSTITUTE(SUBSTITUTE(SUBSTITUTE(SUBSTITUTE(SUBSTITUTE(LOWER(T196&amp;""),CHAR(160),"")," ",""),".",""),"-",""),"/",""),"?",""),"_",""),",",""),"[",""),"]",""),"(",""),")",""),"*","")</f>
        <v/>
      </c>
      <c r="AV196" s="61" t="str">
        <f aca="false">SUBSTITUTE(SUBSTITUTE(SUBSTITUTE(SUBSTITUTE(SUBSTITUTE(SUBSTITUTE(SUBSTITUTE(SUBSTITUTE(SUBSTITUTE(SUBSTITUTE(SUBSTITUTE(SUBSTITUTE(SUBSTITUTE(LOWER(V196&amp;""),CHAR(160),"")," ",""),".",""),"-",""),"/",""),"?",""),"_",""),",",""),"[",""),"]",""),"(",""),")",""),"*","")</f>
        <v/>
      </c>
      <c r="AW196" s="61" t="str">
        <f aca="false">SUBSTITUTE(SUBSTITUTE(SUBSTITUTE(SUBSTITUTE(SUBSTITUTE(SUBSTITUTE(SUBSTITUTE(SUBSTITUTE(SUBSTITUTE(SUBSTITUTE(SUBSTITUTE(SUBSTITUTE(SUBSTITUTE(LOWER(Z196&amp;""),CHAR(160),"")," ",""),".",""),"-",""),"/",""),"?",""),"_",""),",",""),"[",""),"]",""),"(",""),")",""),"*","")</f>
        <v/>
      </c>
      <c r="AX196" s="61" t="str">
        <f aca="false">SUBSTITUTE(SUBSTITUTE(SUBSTITUTE(SUBSTITUTE(SUBSTITUTE(SUBSTITUTE(SUBSTITUTE(SUBSTITUTE(SUBSTITUTE(SUBSTITUTE(SUBSTITUTE(SUBSTITUTE(SUBSTITUTE(LOWER(AE196&amp;""),CHAR(160),"")," ",""),".",""),"-",""),"/",""),"?",""),"_",""),",",""),"[",""),"]",""),"(",""),")",""),"*","")</f>
        <v/>
      </c>
      <c r="AY196" s="61" t="str">
        <f aca="false">SUBSTITUTE(SUBSTITUTE(SUBSTITUTE(SUBSTITUTE(SUBSTITUTE(SUBSTITUTE(SUBSTITUTE(SUBSTITUTE(SUBSTITUTE(SUBSTITUTE(SUBSTITUTE(SUBSTITUTE(SUBSTITUTE(LOWER(W196&amp;""),CHAR(160),"")," ",""),".",""),"-",""),"/",""),"?",""),"_",""),",",""),"[",""),"]",""),"(",""),")",""),"*","")</f>
        <v/>
      </c>
      <c r="AZ196" s="61" t="str">
        <f aca="false">SUBSTITUTE(SUBSTITUTE(SUBSTITUTE(SUBSTITUTE(SUBSTITUTE(SUBSTITUTE(SUBSTITUTE(SUBSTITUTE(SUBSTITUTE(SUBSTITUTE(SUBSTITUTE(SUBSTITUTE(SUBSTITUTE(LOWER(AC196&amp;""),CHAR(160),"")," ",""),".",""),"-",""),"/",""),"?",""),"_",""),",",""),"[",""),"]",""),"(",""),")",""),"*","")</f>
        <v/>
      </c>
      <c r="BA196" s="61" t="str">
        <f aca="false">SUBSTITUTE(SUBSTITUTE(SUBSTITUTE(SUBSTITUTE(SUBSTITUTE(SUBSTITUTE(SUBSTITUTE(SUBSTITUTE(SUBSTITUTE(SUBSTITUTE(SUBSTITUTE(SUBSTITUTE(SUBSTITUTE(LOWER(AA196&amp;""),CHAR(160),"")," ",""),".",""),"-",""),"/",""),"?",""),"_",""),",",""),"[",""),"]",""),"(",""),")",""),"*","")</f>
        <v/>
      </c>
      <c r="BB196" s="61" t="str">
        <f aca="false">IF(AND(TRIM(U196)="Pass",ISNUMBER(AF196)),IF(AF196&lt;&gt;0,"INVALID – qty variance: use Fail or Pass after CA",""),"")&amp;IF(AND(TRIM(U196)="Pass after CA",ISNUMBER(AF196)),IF(AF196&lt;&gt;0,"INVALID – after the corrective action the actual qty must equal expected (update Actual)",""),"")&amp;IF(AND(TRIM(U196)="Pass",TRIM(AB196)&lt;&gt;"",TRIM(AB196)&lt;&gt;"Closed"),"INVALID – corrective action not closed: use Fail, then Pass after CA","")&amp;IF(AND(TRIM(AA196)&lt;&gt;"",TRIM(AB196)=""),"INVALID – CA status missing for the recorded corrective action","")&amp;IF(AND(TRIM(U196)="Pass after CA",OR(OR(LEN(BA196)&lt;5,ISNUMBER(MATCH(BA196,L_Placeholder,0))),TRIM(AB196)&lt;&gt;"Closed")),"INVALID – corrective action not recorded/closed","")</f>
        <v/>
      </c>
    </row>
    <row r="197" customFormat="false" ht="39.75" hidden="false" customHeight="true" outlineLevel="0" collapsed="false">
      <c r="A197" s="57" t="s">
        <v>735</v>
      </c>
      <c r="B197" s="57" t="s">
        <v>228</v>
      </c>
      <c r="C197" s="57" t="str">
        <f aca="false">Flights!$F$10</f>
        <v>MH0002</v>
      </c>
      <c r="D197" s="58" t="n">
        <f aca="false">Flights!$D$10</f>
        <v>46310</v>
      </c>
      <c r="E197" s="57" t="str">
        <f aca="false">Flights!$G$10&amp;"-"&amp;Flights!$H$10</f>
        <v>KUL-LHR</v>
      </c>
      <c r="F197" s="57" t="str">
        <f aca="false">Flights!$K$10</f>
        <v>BC</v>
      </c>
      <c r="G197" s="57" t="s">
        <v>437</v>
      </c>
      <c r="H197" s="57" t="s">
        <v>438</v>
      </c>
      <c r="I197" s="57" t="s">
        <v>357</v>
      </c>
      <c r="J197" s="57" t="s">
        <v>439</v>
      </c>
      <c r="K197" s="67" t="s">
        <v>404</v>
      </c>
      <c r="L197" s="67" t="s">
        <v>440</v>
      </c>
      <c r="M197" s="67"/>
      <c r="N197" s="67" t="s">
        <v>361</v>
      </c>
      <c r="O197" s="67" t="s">
        <v>441</v>
      </c>
      <c r="P197" s="57" t="s">
        <v>184</v>
      </c>
      <c r="Q197" s="59" t="n">
        <f aca="false">ROUND((Flights!$AF$10)*1440,0)/1440</f>
        <v>46310.6388888889</v>
      </c>
      <c r="R197" s="59" t="n">
        <f aca="false">Q197+(IF(AND(INDEX(TZ_DSTS,MATCH(P197,TZ_STN,0))&lt;&gt;"",Q197&gt;=INDEX(TZ_DSTS,MATCH(P197,TZ_STN,0)),Q197&lt;INDEX(TZ_DSTE,MATCH(P197,TZ_STN,0))),INDEX(TZ_DST,MATCH(P197,TZ_STN,0)),INDEX(TZ_STD,MATCH(P197,TZ_STN,0))))/24</f>
        <v>46310.9722222222</v>
      </c>
      <c r="S197" s="59" t="n">
        <f aca="false">IF(ISNUMBER(Flights!$AZ$10),MAX(Q197-UpliftWindowH/24,Flights!$AZ$10),Q197-UpliftWindowH/24)</f>
        <v>46310.3888888889</v>
      </c>
      <c r="T197" s="60"/>
      <c r="U197" s="60"/>
      <c r="V197" s="60"/>
      <c r="W197" s="61"/>
      <c r="X197" s="60"/>
      <c r="Y197" s="60"/>
      <c r="Z197" s="60"/>
      <c r="AA197" s="60"/>
      <c r="AB197" s="60"/>
      <c r="AC197" s="60"/>
      <c r="AD197" s="66"/>
      <c r="AE197" s="60"/>
      <c r="AF197" s="61" t="str">
        <f aca="false">IF(AND(ISNUMBER(X197),ISNUMBER(Y197)),Y197-X197,"")</f>
        <v/>
      </c>
      <c r="AG197" s="62" t="str">
        <f aca="false">IF(ISNUMBER(AD197),AD197-(IF(AND(INDEX(TZ_DSTS,MATCH(P197,TZ_STN,0))&lt;&gt;"",(AD197-INDEX(TZ_STD,MATCH(P197,TZ_STN,0))/24)&gt;=INDEX(TZ_DSTS,MATCH(P197,TZ_STN,0)),(AD197-INDEX(TZ_STD,MATCH(P197,TZ_STN,0))/24)&lt;INDEX(TZ_DSTE,MATCH(P197,TZ_STN,0))),INDEX(TZ_DST,MATCH(P197,TZ_STN,0)),INDEX(TZ_STD,MATCH(P197,TZ_STN,0))))/24,"")</f>
        <v/>
      </c>
      <c r="AH197" s="65" t="str">
        <f aca="false">IFERROR(IF(N197="N/A – rule","N/A – RULE",IF(TRIM(U197)="N/A",IF(AT197=0,"INVALID – N/A not permitted for this check",IF(AND(TRIM(AB197)&lt;&gt;"",TRIM(AB197)&lt;&gt;"Closed"),"INVALID – corrective action still open",IF(AND(NOT(OR(LEN(AZ197)&lt;15,ISNUMBER(MATCH(AZ197,L_Placeholder,0)))),NOT(OR(LEN(AU197)&lt;2,ISNUMBER(MATCH(AU197,L_Placeholder,0)))),NOT(OR(LEN(AX197)&lt;2,ISNUMBER(MATCH(AX197,L_Placeholder,0)))),TRIM(AE197)&lt;&gt;TRIM(T197)),"N/A – JUSTIFIED","INVALID – N/A needs a real justification (15+ chars), PIC and a different verifier"))),IF(OR(TRIM(U197)="Pass",TRIM(U197)="Pass after CA"),IF(NOT(ISNUMBER(AD197)),"INVALID – completion time missing",IF(OR(LEN(AU197)&lt;2,ISNUMBER(MATCH(AU197,L_Placeholder,0))),"INVALID – PIC missing",IF(OR(LEN(AV197)&lt;2,ISNUMBER(MATCH(AV197,L_Placeholder,0))),"INVALID – result / assessment missing",IF(OR(OR(LEN(AW197)&lt;3,ISNUMBER(MATCH(AW197,L_Placeholder,0))),SUMPRODUCT(--ISNUMBER(SEARCH(L_EvidencePhrase,AW197)))&gt;0),"INVALID – evidence missing, placeholder or not yet on file",IF(OR(LEN(AX197)&lt;2,ISNUMBER(MATCH(AX197,L_Placeholder,0))),"INVALID – verifier missing",IF(AX197=AU197,"INVALID – verifier must be someone other than the PIC",IF(AND(TRIM(U197)="Pass",SUMPRODUCT(--ISNUMBER(SEARCH(L_ResultBad,AV197)))&gt;0),"INVALID – result describes a problem: use Fail, then Pass after CA",IF(AND(AQ197=1,OR(LEN(AY197)&lt;3,ISNUMBER(MATCH(AY197,L_Placeholder,0)))),"INVALID – batch ID missing or placeholder",IF(AND(AR197=1,OR(NOT(ISNUMBER(X197)),NOT(ISNUMBER(Y197)))),"INVALID – expected/actual qty missing",IF(AND(AR197=1,OR(X197&lt;=0,Y197&lt;0)),"INVALID – expected qty must be above 0 and actual not negative",IF(AH177="N/A – JUSTIFIED","INVALID – preparation row F06-T12-02 is N/A",IF(AND(AR197=1,ISNUMBER(X177),X197&lt;&gt;X177),"INVALID – expected qty differs from preparation check F06-T12-02",IF(BB197&lt;&gt;"",BB197,IF(AND(AS197=1,Documents!$J$10&lt;&gt;"ON FILE"),"INVALID – GLD not on file (Documents sheet)",IF(AND(AS197=2,Documents!$O$10&lt;&gt;"ON FILE"),"INVALID – menu checklist not on file (Documents sheet)",IF(AND(AS197=3,NOT(ISNUMBER(Flights!$AX$10))),"INVALID – enter carrying flight KUL departure (Flights AX)",IF(AND(AS197=3,OR(Flights!$AZ$10&gt;Flights!$AA$10,Flights!$AX$10&lt;Flights!$AA$10-3)),"INVALID – carrying flight (Flights AX) cannot arrive before this leg's STD, or is over 3 days early",IF(AG197&gt;AsOfUTC,"INVALID – completion time is in the future",IF(AND(ISNUMBER(S197),AG197&lt;S197),IF(H197="Physical uplift","INVALID – before uplift window (cannot confirm loading)","INVALID – before valid window"),IF(AG197&gt;Flights!$AA$10,"INVALID – completed after departure (cannot establish readiness)",IF(AND(H197="Preparation",AG197&gt;IF(ISNUMBER(Flights!$BA$10),MIN(Flights!$BA$10,Flights!$AA$10),Flights!$AA$10)),"INVALID – completed after loading / departure (cannot establish readiness)",IF(AND(H197="Physical uplift",AG197&gt;Q197),"INVALID – recorded after the loading flight departed",IF(AG197&gt;Q197,"COMPLETE – LATE","COMPLETE"))))))))))))))))))))))),IF(TRIM(U197)="Fail","FAIL – DISCREPANCY",IF(AND(TRIM(U197)&lt;&gt;"",TRIM(U197)&lt;&gt;"Not started",TRIM(U197)&lt;&gt;"In progress"),"INVALID – unrecognised status (use the list)",IF(AsOfUTC&gt;Q197,"OVERDUE",IF(N197="Clarification required","OPEN – CLARIFICATION","OPEN"))))))),"INVALID – error value in an input cell")</f>
        <v>OPEN</v>
      </c>
      <c r="AI197" s="61" t="n">
        <f aca="false">IF(OR(AH197="N/A – RULE",AH197="N/A – JUSTIFIED"),0,1)</f>
        <v>1</v>
      </c>
      <c r="AJ197" s="61" t="n">
        <f aca="false">IF(LEFT(AH197,8)="COMPLETE",1,0)</f>
        <v>0</v>
      </c>
      <c r="AK197" s="61" t="n">
        <f aca="false">IF(AND(AI197=1,AJ197=0,AsOfUTC&gt;Q197),1,0)</f>
        <v>0</v>
      </c>
      <c r="AL197" s="61" t="n">
        <f aca="false">IFERROR(IF(AND(AI197=1,OR(TRIM(U197)="Fail",AND(TRIM(AB197)&lt;&gt;"",TRIM(AB197)&lt;&gt;"Closed"),AND(ISNUMBER(AF197),AF197&lt;&gt;0,TRIM(U197)&lt;&gt;"Pass after CA"))),1,0),1)</f>
        <v>0</v>
      </c>
      <c r="AM197" s="61" t="n">
        <f aca="false">IF(LEFT(AH197,7)="INVALID",1,0)</f>
        <v>0</v>
      </c>
      <c r="AN197" s="61" t="n">
        <f aca="false">IF(AND(N197="Clarification required",AI197=1,AJ197=0),1,0)</f>
        <v>0</v>
      </c>
      <c r="AO197" s="61" t="str">
        <f aca="false">IF(AK197=1,SUM(AK$5:AK197),"")</f>
        <v/>
      </c>
      <c r="AP197" s="61" t="str">
        <f aca="false">IF(AL197=1,SUM(AL$5:AL197),"")</f>
        <v/>
      </c>
      <c r="AQ197" s="61" t="n">
        <v>0</v>
      </c>
      <c r="AR197" s="61" t="n">
        <v>1</v>
      </c>
      <c r="AS197" s="61" t="n">
        <v>0</v>
      </c>
      <c r="AT197" s="61" t="n">
        <v>0</v>
      </c>
      <c r="AU197" s="61" t="str">
        <f aca="false">SUBSTITUTE(SUBSTITUTE(SUBSTITUTE(SUBSTITUTE(SUBSTITUTE(SUBSTITUTE(SUBSTITUTE(SUBSTITUTE(SUBSTITUTE(SUBSTITUTE(SUBSTITUTE(SUBSTITUTE(SUBSTITUTE(LOWER(T197&amp;""),CHAR(160),"")," ",""),".",""),"-",""),"/",""),"?",""),"_",""),",",""),"[",""),"]",""),"(",""),")",""),"*","")</f>
        <v/>
      </c>
      <c r="AV197" s="61" t="str">
        <f aca="false">SUBSTITUTE(SUBSTITUTE(SUBSTITUTE(SUBSTITUTE(SUBSTITUTE(SUBSTITUTE(SUBSTITUTE(SUBSTITUTE(SUBSTITUTE(SUBSTITUTE(SUBSTITUTE(SUBSTITUTE(SUBSTITUTE(LOWER(V197&amp;""),CHAR(160),"")," ",""),".",""),"-",""),"/",""),"?",""),"_",""),",",""),"[",""),"]",""),"(",""),")",""),"*","")</f>
        <v/>
      </c>
      <c r="AW197" s="61" t="str">
        <f aca="false">SUBSTITUTE(SUBSTITUTE(SUBSTITUTE(SUBSTITUTE(SUBSTITUTE(SUBSTITUTE(SUBSTITUTE(SUBSTITUTE(SUBSTITUTE(SUBSTITUTE(SUBSTITUTE(SUBSTITUTE(SUBSTITUTE(LOWER(Z197&amp;""),CHAR(160),"")," ",""),".",""),"-",""),"/",""),"?",""),"_",""),",",""),"[",""),"]",""),"(",""),")",""),"*","")</f>
        <v/>
      </c>
      <c r="AX197" s="61" t="str">
        <f aca="false">SUBSTITUTE(SUBSTITUTE(SUBSTITUTE(SUBSTITUTE(SUBSTITUTE(SUBSTITUTE(SUBSTITUTE(SUBSTITUTE(SUBSTITUTE(SUBSTITUTE(SUBSTITUTE(SUBSTITUTE(SUBSTITUTE(LOWER(AE197&amp;""),CHAR(160),"")," ",""),".",""),"-",""),"/",""),"?",""),"_",""),",",""),"[",""),"]",""),"(",""),")",""),"*","")</f>
        <v/>
      </c>
      <c r="AY197" s="61" t="str">
        <f aca="false">SUBSTITUTE(SUBSTITUTE(SUBSTITUTE(SUBSTITUTE(SUBSTITUTE(SUBSTITUTE(SUBSTITUTE(SUBSTITUTE(SUBSTITUTE(SUBSTITUTE(SUBSTITUTE(SUBSTITUTE(SUBSTITUTE(LOWER(W197&amp;""),CHAR(160),"")," ",""),".",""),"-",""),"/",""),"?",""),"_",""),",",""),"[",""),"]",""),"(",""),")",""),"*","")</f>
        <v/>
      </c>
      <c r="AZ197" s="61" t="str">
        <f aca="false">SUBSTITUTE(SUBSTITUTE(SUBSTITUTE(SUBSTITUTE(SUBSTITUTE(SUBSTITUTE(SUBSTITUTE(SUBSTITUTE(SUBSTITUTE(SUBSTITUTE(SUBSTITUTE(SUBSTITUTE(SUBSTITUTE(LOWER(AC197&amp;""),CHAR(160),"")," ",""),".",""),"-",""),"/",""),"?",""),"_",""),",",""),"[",""),"]",""),"(",""),")",""),"*","")</f>
        <v/>
      </c>
      <c r="BA197" s="61" t="str">
        <f aca="false">SUBSTITUTE(SUBSTITUTE(SUBSTITUTE(SUBSTITUTE(SUBSTITUTE(SUBSTITUTE(SUBSTITUTE(SUBSTITUTE(SUBSTITUTE(SUBSTITUTE(SUBSTITUTE(SUBSTITUTE(SUBSTITUTE(LOWER(AA197&amp;""),CHAR(160),"")," ",""),".",""),"-",""),"/",""),"?",""),"_",""),",",""),"[",""),"]",""),"(",""),")",""),"*","")</f>
        <v/>
      </c>
      <c r="BB197" s="61" t="str">
        <f aca="false">IF(AND(TRIM(U197)="Pass",ISNUMBER(AF197)),IF(AF197&lt;&gt;0,"INVALID – qty variance: use Fail or Pass after CA",""),"")&amp;IF(AND(TRIM(U197)="Pass after CA",ISNUMBER(AF197)),IF(AF197&lt;&gt;0,"INVALID – after the corrective action the actual qty must equal expected (update Actual)",""),"")&amp;IF(AND(TRIM(U197)="Pass",TRIM(AB197)&lt;&gt;"",TRIM(AB197)&lt;&gt;"Closed"),"INVALID – corrective action not closed: use Fail, then Pass after CA","")&amp;IF(AND(TRIM(AA197)&lt;&gt;"",TRIM(AB197)=""),"INVALID – CA status missing for the recorded corrective action","")&amp;IF(AND(TRIM(U197)="Pass after CA",OR(OR(LEN(BA197)&lt;5,ISNUMBER(MATCH(BA197,L_Placeholder,0))),TRIM(AB197)&lt;&gt;"Closed")),"INVALID – corrective action not recorded/closed","")</f>
        <v/>
      </c>
    </row>
    <row r="198" customFormat="false" ht="39.75" hidden="false" customHeight="true" outlineLevel="0" collapsed="false">
      <c r="A198" s="57" t="s">
        <v>736</v>
      </c>
      <c r="B198" s="57" t="s">
        <v>228</v>
      </c>
      <c r="C198" s="57" t="str">
        <f aca="false">Flights!$F$10</f>
        <v>MH0002</v>
      </c>
      <c r="D198" s="58" t="n">
        <f aca="false">Flights!$D$10</f>
        <v>46310</v>
      </c>
      <c r="E198" s="57" t="str">
        <f aca="false">Flights!$G$10&amp;"-"&amp;Flights!$H$10</f>
        <v>KUL-LHR</v>
      </c>
      <c r="F198" s="57" t="str">
        <f aca="false">Flights!$K$10</f>
        <v>BC</v>
      </c>
      <c r="G198" s="57" t="s">
        <v>437</v>
      </c>
      <c r="H198" s="57" t="s">
        <v>438</v>
      </c>
      <c r="I198" s="57" t="s">
        <v>406</v>
      </c>
      <c r="J198" s="57" t="s">
        <v>443</v>
      </c>
      <c r="K198" s="67" t="s">
        <v>404</v>
      </c>
      <c r="L198" s="67" t="s">
        <v>440</v>
      </c>
      <c r="M198" s="67"/>
      <c r="N198" s="67" t="s">
        <v>361</v>
      </c>
      <c r="O198" s="67" t="s">
        <v>441</v>
      </c>
      <c r="P198" s="57" t="s">
        <v>184</v>
      </c>
      <c r="Q198" s="59" t="n">
        <f aca="false">ROUND((Flights!$AF$10)*1440,0)/1440</f>
        <v>46310.6388888889</v>
      </c>
      <c r="R198" s="59" t="n">
        <f aca="false">Q198+(IF(AND(INDEX(TZ_DSTS,MATCH(P198,TZ_STN,0))&lt;&gt;"",Q198&gt;=INDEX(TZ_DSTS,MATCH(P198,TZ_STN,0)),Q198&lt;INDEX(TZ_DSTE,MATCH(P198,TZ_STN,0))),INDEX(TZ_DST,MATCH(P198,TZ_STN,0)),INDEX(TZ_STD,MATCH(P198,TZ_STN,0))))/24</f>
        <v>46310.9722222222</v>
      </c>
      <c r="S198" s="59" t="n">
        <f aca="false">IF(ISNUMBER(Flights!$AZ$10),MAX(Q198-UpliftWindowH/24,Flights!$AZ$10),Q198-UpliftWindowH/24)</f>
        <v>46310.3888888889</v>
      </c>
      <c r="T198" s="60"/>
      <c r="U198" s="60"/>
      <c r="V198" s="60"/>
      <c r="W198" s="61"/>
      <c r="X198" s="60"/>
      <c r="Y198" s="60"/>
      <c r="Z198" s="60"/>
      <c r="AA198" s="60"/>
      <c r="AB198" s="60"/>
      <c r="AC198" s="60"/>
      <c r="AD198" s="66"/>
      <c r="AE198" s="60"/>
      <c r="AF198" s="61" t="str">
        <f aca="false">IF(AND(ISNUMBER(X198),ISNUMBER(Y198)),Y198-X198,"")</f>
        <v/>
      </c>
      <c r="AG198" s="62" t="str">
        <f aca="false">IF(ISNUMBER(AD198),AD198-(IF(AND(INDEX(TZ_DSTS,MATCH(P198,TZ_STN,0))&lt;&gt;"",(AD198-INDEX(TZ_STD,MATCH(P198,TZ_STN,0))/24)&gt;=INDEX(TZ_DSTS,MATCH(P198,TZ_STN,0)),(AD198-INDEX(TZ_STD,MATCH(P198,TZ_STN,0))/24)&lt;INDEX(TZ_DSTE,MATCH(P198,TZ_STN,0))),INDEX(TZ_DST,MATCH(P198,TZ_STN,0)),INDEX(TZ_STD,MATCH(P198,TZ_STN,0))))/24,"")</f>
        <v/>
      </c>
      <c r="AH198" s="65" t="str">
        <f aca="false">IFERROR(IF(N198="N/A – rule","N/A – RULE",IF(TRIM(U198)="N/A",IF(AT198=0,"INVALID – N/A not permitted for this check",IF(AND(TRIM(AB198)&lt;&gt;"",TRIM(AB198)&lt;&gt;"Closed"),"INVALID – corrective action still open",IF(AND(NOT(OR(LEN(AZ198)&lt;15,ISNUMBER(MATCH(AZ198,L_Placeholder,0)))),NOT(OR(LEN(AU198)&lt;2,ISNUMBER(MATCH(AU198,L_Placeholder,0)))),NOT(OR(LEN(AX198)&lt;2,ISNUMBER(MATCH(AX198,L_Placeholder,0)))),TRIM(AE198)&lt;&gt;TRIM(T198)),"N/A – JUSTIFIED","INVALID – N/A needs a real justification (15+ chars), PIC and a different verifier"))),IF(OR(TRIM(U198)="Pass",TRIM(U198)="Pass after CA"),IF(NOT(ISNUMBER(AD198)),"INVALID – completion time missing",IF(OR(LEN(AU198)&lt;2,ISNUMBER(MATCH(AU198,L_Placeholder,0))),"INVALID – PIC missing",IF(OR(LEN(AV198)&lt;2,ISNUMBER(MATCH(AV198,L_Placeholder,0))),"INVALID – result / assessment missing",IF(OR(OR(LEN(AW198)&lt;3,ISNUMBER(MATCH(AW198,L_Placeholder,0))),SUMPRODUCT(--ISNUMBER(SEARCH(L_EvidencePhrase,AW198)))&gt;0),"INVALID – evidence missing, placeholder or not yet on file",IF(OR(LEN(AX198)&lt;2,ISNUMBER(MATCH(AX198,L_Placeholder,0))),"INVALID – verifier missing",IF(AX198=AU198,"INVALID – verifier must be someone other than the PIC",IF(AND(TRIM(U198)="Pass",SUMPRODUCT(--ISNUMBER(SEARCH(L_ResultBad,AV198)))&gt;0),"INVALID – result describes a problem: use Fail, then Pass after CA",IF(AND(AQ198=1,OR(LEN(AY198)&lt;3,ISNUMBER(MATCH(AY198,L_Placeholder,0)))),"INVALID – batch ID missing or placeholder",IF(AND(AR198=1,OR(NOT(ISNUMBER(X198)),NOT(ISNUMBER(Y198)))),"INVALID – expected/actual qty missing",IF(AND(AR198=1,OR(X198&lt;=0,Y198&lt;0)),"INVALID – expected qty must be above 0 and actual not negative",IF(AH181="N/A – JUSTIFIED","INVALID – preparation row F06-T12-06 is N/A",IF(AND(AR198=1,ISNUMBER(X181),X198&lt;&gt;X181),"INVALID – expected qty differs from preparation check F06-T12-06",IF(BB198&lt;&gt;"",BB198,IF(AND(AS198=1,Documents!$J$10&lt;&gt;"ON FILE"),"INVALID – GLD not on file (Documents sheet)",IF(AND(AS198=2,Documents!$O$10&lt;&gt;"ON FILE"),"INVALID – menu checklist not on file (Documents sheet)",IF(AND(AS198=3,NOT(ISNUMBER(Flights!$AX$10))),"INVALID – enter carrying flight KUL departure (Flights AX)",IF(AND(AS198=3,OR(Flights!$AZ$10&gt;Flights!$AA$10,Flights!$AX$10&lt;Flights!$AA$10-3)),"INVALID – carrying flight (Flights AX) cannot arrive before this leg's STD, or is over 3 days early",IF(AG198&gt;AsOfUTC,"INVALID – completion time is in the future",IF(AND(ISNUMBER(S198),AG198&lt;S198),IF(H198="Physical uplift","INVALID – before uplift window (cannot confirm loading)","INVALID – before valid window"),IF(AG198&gt;Flights!$AA$10,"INVALID – completed after departure (cannot establish readiness)",IF(AND(H198="Preparation",AG198&gt;IF(ISNUMBER(Flights!$BA$10),MIN(Flights!$BA$10,Flights!$AA$10),Flights!$AA$10)),"INVALID – completed after loading / departure (cannot establish readiness)",IF(AND(H198="Physical uplift",AG198&gt;Q198),"INVALID – recorded after the loading flight departed",IF(AG198&gt;Q198,"COMPLETE – LATE","COMPLETE"))))))))))))))))))))))),IF(TRIM(U198)="Fail","FAIL – DISCREPANCY",IF(AND(TRIM(U198)&lt;&gt;"",TRIM(U198)&lt;&gt;"Not started",TRIM(U198)&lt;&gt;"In progress"),"INVALID – unrecognised status (use the list)",IF(AsOfUTC&gt;Q198,"OVERDUE",IF(N198="Clarification required","OPEN – CLARIFICATION","OPEN"))))))),"INVALID – error value in an input cell")</f>
        <v>OPEN</v>
      </c>
      <c r="AI198" s="61" t="n">
        <f aca="false">IF(OR(AH198="N/A – RULE",AH198="N/A – JUSTIFIED"),0,1)</f>
        <v>1</v>
      </c>
      <c r="AJ198" s="61" t="n">
        <f aca="false">IF(LEFT(AH198,8)="COMPLETE",1,0)</f>
        <v>0</v>
      </c>
      <c r="AK198" s="61" t="n">
        <f aca="false">IF(AND(AI198=1,AJ198=0,AsOfUTC&gt;Q198),1,0)</f>
        <v>0</v>
      </c>
      <c r="AL198" s="61" t="n">
        <f aca="false">IFERROR(IF(AND(AI198=1,OR(TRIM(U198)="Fail",AND(TRIM(AB198)&lt;&gt;"",TRIM(AB198)&lt;&gt;"Closed"),AND(ISNUMBER(AF198),AF198&lt;&gt;0,TRIM(U198)&lt;&gt;"Pass after CA"))),1,0),1)</f>
        <v>0</v>
      </c>
      <c r="AM198" s="61" t="n">
        <f aca="false">IF(LEFT(AH198,7)="INVALID",1,0)</f>
        <v>0</v>
      </c>
      <c r="AN198" s="61" t="n">
        <f aca="false">IF(AND(N198="Clarification required",AI198=1,AJ198=0),1,0)</f>
        <v>0</v>
      </c>
      <c r="AO198" s="61" t="str">
        <f aca="false">IF(AK198=1,SUM(AK$5:AK198),"")</f>
        <v/>
      </c>
      <c r="AP198" s="61" t="str">
        <f aca="false">IF(AL198=1,SUM(AL$5:AL198),"")</f>
        <v/>
      </c>
      <c r="AQ198" s="61" t="n">
        <v>0</v>
      </c>
      <c r="AR198" s="61" t="n">
        <v>1</v>
      </c>
      <c r="AS198" s="61" t="n">
        <v>0</v>
      </c>
      <c r="AT198" s="61" t="n">
        <v>0</v>
      </c>
      <c r="AU198" s="61" t="str">
        <f aca="false">SUBSTITUTE(SUBSTITUTE(SUBSTITUTE(SUBSTITUTE(SUBSTITUTE(SUBSTITUTE(SUBSTITUTE(SUBSTITUTE(SUBSTITUTE(SUBSTITUTE(SUBSTITUTE(SUBSTITUTE(SUBSTITUTE(LOWER(T198&amp;""),CHAR(160),"")," ",""),".",""),"-",""),"/",""),"?",""),"_",""),",",""),"[",""),"]",""),"(",""),")",""),"*","")</f>
        <v/>
      </c>
      <c r="AV198" s="61" t="str">
        <f aca="false">SUBSTITUTE(SUBSTITUTE(SUBSTITUTE(SUBSTITUTE(SUBSTITUTE(SUBSTITUTE(SUBSTITUTE(SUBSTITUTE(SUBSTITUTE(SUBSTITUTE(SUBSTITUTE(SUBSTITUTE(SUBSTITUTE(LOWER(V198&amp;""),CHAR(160),"")," ",""),".",""),"-",""),"/",""),"?",""),"_",""),",",""),"[",""),"]",""),"(",""),")",""),"*","")</f>
        <v/>
      </c>
      <c r="AW198" s="61" t="str">
        <f aca="false">SUBSTITUTE(SUBSTITUTE(SUBSTITUTE(SUBSTITUTE(SUBSTITUTE(SUBSTITUTE(SUBSTITUTE(SUBSTITUTE(SUBSTITUTE(SUBSTITUTE(SUBSTITUTE(SUBSTITUTE(SUBSTITUTE(LOWER(Z198&amp;""),CHAR(160),"")," ",""),".",""),"-",""),"/",""),"?",""),"_",""),",",""),"[",""),"]",""),"(",""),")",""),"*","")</f>
        <v/>
      </c>
      <c r="AX198" s="61" t="str">
        <f aca="false">SUBSTITUTE(SUBSTITUTE(SUBSTITUTE(SUBSTITUTE(SUBSTITUTE(SUBSTITUTE(SUBSTITUTE(SUBSTITUTE(SUBSTITUTE(SUBSTITUTE(SUBSTITUTE(SUBSTITUTE(SUBSTITUTE(LOWER(AE198&amp;""),CHAR(160),"")," ",""),".",""),"-",""),"/",""),"?",""),"_",""),",",""),"[",""),"]",""),"(",""),")",""),"*","")</f>
        <v/>
      </c>
      <c r="AY198" s="61" t="str">
        <f aca="false">SUBSTITUTE(SUBSTITUTE(SUBSTITUTE(SUBSTITUTE(SUBSTITUTE(SUBSTITUTE(SUBSTITUTE(SUBSTITUTE(SUBSTITUTE(SUBSTITUTE(SUBSTITUTE(SUBSTITUTE(SUBSTITUTE(LOWER(W198&amp;""),CHAR(160),"")," ",""),".",""),"-",""),"/",""),"?",""),"_",""),",",""),"[",""),"]",""),"(",""),")",""),"*","")</f>
        <v/>
      </c>
      <c r="AZ198" s="61" t="str">
        <f aca="false">SUBSTITUTE(SUBSTITUTE(SUBSTITUTE(SUBSTITUTE(SUBSTITUTE(SUBSTITUTE(SUBSTITUTE(SUBSTITUTE(SUBSTITUTE(SUBSTITUTE(SUBSTITUTE(SUBSTITUTE(SUBSTITUTE(LOWER(AC198&amp;""),CHAR(160),"")," ",""),".",""),"-",""),"/",""),"?",""),"_",""),",",""),"[",""),"]",""),"(",""),")",""),"*","")</f>
        <v/>
      </c>
      <c r="BA198" s="61" t="str">
        <f aca="false">SUBSTITUTE(SUBSTITUTE(SUBSTITUTE(SUBSTITUTE(SUBSTITUTE(SUBSTITUTE(SUBSTITUTE(SUBSTITUTE(SUBSTITUTE(SUBSTITUTE(SUBSTITUTE(SUBSTITUTE(SUBSTITUTE(LOWER(AA198&amp;""),CHAR(160),"")," ",""),".",""),"-",""),"/",""),"?",""),"_",""),",",""),"[",""),"]",""),"(",""),")",""),"*","")</f>
        <v/>
      </c>
      <c r="BB198" s="61" t="str">
        <f aca="false">IF(AND(TRIM(U198)="Pass",ISNUMBER(AF198)),IF(AF198&lt;&gt;0,"INVALID – qty variance: use Fail or Pass after CA",""),"")&amp;IF(AND(TRIM(U198)="Pass after CA",ISNUMBER(AF198)),IF(AF198&lt;&gt;0,"INVALID – after the corrective action the actual qty must equal expected (update Actual)",""),"")&amp;IF(AND(TRIM(U198)="Pass",TRIM(AB198)&lt;&gt;"",TRIM(AB198)&lt;&gt;"Closed"),"INVALID – corrective action not closed: use Fail, then Pass after CA","")&amp;IF(AND(TRIM(AA198)&lt;&gt;"",TRIM(AB198)=""),"INVALID – CA status missing for the recorded corrective action","")&amp;IF(AND(TRIM(U198)="Pass after CA",OR(OR(LEN(BA198)&lt;5,ISNUMBER(MATCH(BA198,L_Placeholder,0))),TRIM(AB198)&lt;&gt;"Closed")),"INVALID – corrective action not recorded/closed","")</f>
        <v/>
      </c>
    </row>
    <row r="199" customFormat="false" ht="91.5" hidden="false" customHeight="true" outlineLevel="0" collapsed="false">
      <c r="A199" s="57" t="s">
        <v>737</v>
      </c>
      <c r="B199" s="57" t="s">
        <v>228</v>
      </c>
      <c r="C199" s="57" t="str">
        <f aca="false">Flights!$F$10</f>
        <v>MH0002</v>
      </c>
      <c r="D199" s="58" t="n">
        <f aca="false">Flights!$D$10</f>
        <v>46310</v>
      </c>
      <c r="E199" s="57" t="str">
        <f aca="false">Flights!$G$10&amp;"-"&amp;Flights!$H$10</f>
        <v>KUL-LHR</v>
      </c>
      <c r="F199" s="57" t="str">
        <f aca="false">Flights!$K$10</f>
        <v>BC</v>
      </c>
      <c r="G199" s="57" t="s">
        <v>437</v>
      </c>
      <c r="H199" s="57" t="s">
        <v>438</v>
      </c>
      <c r="I199" s="57" t="s">
        <v>418</v>
      </c>
      <c r="J199" s="57" t="s">
        <v>445</v>
      </c>
      <c r="K199" s="67" t="s">
        <v>479</v>
      </c>
      <c r="L199" s="67" t="s">
        <v>421</v>
      </c>
      <c r="M199" s="67" t="s">
        <v>704</v>
      </c>
      <c r="N199" s="67" t="s">
        <v>422</v>
      </c>
      <c r="O199" s="67" t="s">
        <v>705</v>
      </c>
      <c r="P199" s="57" t="s">
        <v>184</v>
      </c>
      <c r="Q199" s="59" t="n">
        <f aca="false">ROUND((Flights!$AF$10)*1440,0)/1440</f>
        <v>46310.6388888889</v>
      </c>
      <c r="R199" s="59" t="n">
        <f aca="false">Q199+(IF(AND(INDEX(TZ_DSTS,MATCH(P199,TZ_STN,0))&lt;&gt;"",Q199&gt;=INDEX(TZ_DSTS,MATCH(P199,TZ_STN,0)),Q199&lt;INDEX(TZ_DSTE,MATCH(P199,TZ_STN,0))),INDEX(TZ_DST,MATCH(P199,TZ_STN,0)),INDEX(TZ_STD,MATCH(P199,TZ_STN,0))))/24</f>
        <v>46310.9722222222</v>
      </c>
      <c r="S199" s="59" t="n">
        <f aca="false">IF(ISNUMBER(Flights!$AZ$10),MAX(Q199-UpliftWindowH/24,Flights!$AZ$10),Q199-UpliftWindowH/24)</f>
        <v>46310.3888888889</v>
      </c>
      <c r="T199" s="60"/>
      <c r="U199" s="60"/>
      <c r="V199" s="60"/>
      <c r="W199" s="61"/>
      <c r="X199" s="60"/>
      <c r="Y199" s="60"/>
      <c r="Z199" s="60"/>
      <c r="AA199" s="60"/>
      <c r="AB199" s="60"/>
      <c r="AC199" s="60"/>
      <c r="AD199" s="66"/>
      <c r="AE199" s="60"/>
      <c r="AF199" s="61" t="str">
        <f aca="false">IF(AND(ISNUMBER(X199),ISNUMBER(Y199)),Y199-X199,"")</f>
        <v/>
      </c>
      <c r="AG199" s="62" t="str">
        <f aca="false">IF(ISNUMBER(AD199),AD199-(IF(AND(INDEX(TZ_DSTS,MATCH(P199,TZ_STN,0))&lt;&gt;"",(AD199-INDEX(TZ_STD,MATCH(P199,TZ_STN,0))/24)&gt;=INDEX(TZ_DSTS,MATCH(P199,TZ_STN,0)),(AD199-INDEX(TZ_STD,MATCH(P199,TZ_STN,0))/24)&lt;INDEX(TZ_DSTE,MATCH(P199,TZ_STN,0))),INDEX(TZ_DST,MATCH(P199,TZ_STN,0)),INDEX(TZ_STD,MATCH(P199,TZ_STN,0))))/24,"")</f>
        <v/>
      </c>
      <c r="AH199" s="65" t="str">
        <f aca="false">IFERROR(IF(N199="N/A – rule","N/A – RULE",IF(TRIM(U199)="N/A",IF(AT199=0,"INVALID – N/A not permitted for this check",IF(AND(TRIM(AB199)&lt;&gt;"",TRIM(AB199)&lt;&gt;"Closed"),"INVALID – corrective action still open",IF(AND(NOT(OR(LEN(AZ199)&lt;15,ISNUMBER(MATCH(AZ199,L_Placeholder,0)))),NOT(OR(LEN(AU199)&lt;2,ISNUMBER(MATCH(AU199,L_Placeholder,0)))),NOT(OR(LEN(AX199)&lt;2,ISNUMBER(MATCH(AX199,L_Placeholder,0)))),TRIM(AE199)&lt;&gt;TRIM(T199)),"N/A – JUSTIFIED","INVALID – N/A needs a real justification (15+ chars), PIC and a different verifier"))),IF(OR(TRIM(U199)="Pass",TRIM(U199)="Pass after CA"),IF(NOT(ISNUMBER(AD199)),"INVALID – completion time missing",IF(OR(LEN(AU199)&lt;2,ISNUMBER(MATCH(AU199,L_Placeholder,0))),"INVALID – PIC missing",IF(OR(LEN(AV199)&lt;2,ISNUMBER(MATCH(AV199,L_Placeholder,0))),"INVALID – result / assessment missing",IF(OR(OR(LEN(AW199)&lt;3,ISNUMBER(MATCH(AW199,L_Placeholder,0))),SUMPRODUCT(--ISNUMBER(SEARCH(L_EvidencePhrase,AW199)))&gt;0),"INVALID – evidence missing, placeholder or not yet on file",IF(OR(LEN(AX199)&lt;2,ISNUMBER(MATCH(AX199,L_Placeholder,0))),"INVALID – verifier missing",IF(AX199=AU199,"INVALID – verifier must be someone other than the PIC",IF(AND(TRIM(U199)="Pass",SUMPRODUCT(--ISNUMBER(SEARCH(L_ResultBad,AV199)))&gt;0),"INVALID – result describes a problem: use Fail, then Pass after CA",IF(AND(AQ199=1,OR(LEN(AY199)&lt;3,ISNUMBER(MATCH(AY199,L_Placeholder,0)))),"INVALID – batch ID missing or placeholder",IF(AND(AR199=1,OR(NOT(ISNUMBER(X199)),NOT(ISNUMBER(Y199)))),"INVALID – expected/actual qty missing",IF(AND(AR199=1,OR(X199&lt;=0,Y199&lt;0)),"INVALID – expected qty must be above 0 and actual not negative",IF(AH183="N/A – JUSTIFIED","INVALID – preparation row F06-T12-08 is N/A",IF(AND(AR199=1,ISNUMBER(X183),X199&lt;&gt;X183),"INVALID – expected qty differs from preparation check F06-T12-08",IF(BB199&lt;&gt;"",BB199,IF(AND(AS199=1,Documents!$J$10&lt;&gt;"ON FILE"),"INVALID – GLD not on file (Documents sheet)",IF(AND(AS199=2,Documents!$O$10&lt;&gt;"ON FILE"),"INVALID – menu checklist not on file (Documents sheet)",IF(AND(AS199=3,NOT(ISNUMBER(Flights!$AX$10))),"INVALID – enter carrying flight KUL departure (Flights AX)",IF(AND(AS199=3,OR(Flights!$AZ$10&gt;Flights!$AA$10,Flights!$AX$10&lt;Flights!$AA$10-3)),"INVALID – carrying flight (Flights AX) cannot arrive before this leg's STD, or is over 3 days early",IF(AG199&gt;AsOfUTC,"INVALID – completion time is in the future",IF(AND(ISNUMBER(S199),AG199&lt;S199),IF(H199="Physical uplift","INVALID – before uplift window (cannot confirm loading)","INVALID – before valid window"),IF(AG199&gt;Flights!$AA$10,"INVALID – completed after departure (cannot establish readiness)",IF(AND(H199="Preparation",AG199&gt;IF(ISNUMBER(Flights!$BA$10),MIN(Flights!$BA$10,Flights!$AA$10),Flights!$AA$10)),"INVALID – completed after loading / departure (cannot establish readiness)",IF(AND(H199="Physical uplift",AG199&gt;Q199),"INVALID – recorded after the loading flight departed",IF(AG199&gt;Q199,"COMPLETE – LATE","COMPLETE"))))))))))))))))))))))),IF(TRIM(U199)="Fail","FAIL – DISCREPANCY",IF(AND(TRIM(U199)&lt;&gt;"",TRIM(U199)&lt;&gt;"Not started",TRIM(U199)&lt;&gt;"In progress"),"INVALID – unrecognised status (use the list)",IF(AsOfUTC&gt;Q199,"OVERDUE",IF(N199="Clarification required","OPEN – CLARIFICATION","OPEN"))))))),"INVALID – error value in an input cell")</f>
        <v>OPEN – CLARIFICATION</v>
      </c>
      <c r="AI199" s="61" t="n">
        <f aca="false">IF(OR(AH199="N/A – RULE",AH199="N/A – JUSTIFIED"),0,1)</f>
        <v>1</v>
      </c>
      <c r="AJ199" s="61" t="n">
        <f aca="false">IF(LEFT(AH199,8)="COMPLETE",1,0)</f>
        <v>0</v>
      </c>
      <c r="AK199" s="61" t="n">
        <f aca="false">IF(AND(AI199=1,AJ199=0,AsOfUTC&gt;Q199),1,0)</f>
        <v>0</v>
      </c>
      <c r="AL199" s="61" t="n">
        <f aca="false">IFERROR(IF(AND(AI199=1,OR(TRIM(U199)="Fail",AND(TRIM(AB199)&lt;&gt;"",TRIM(AB199)&lt;&gt;"Closed"),AND(ISNUMBER(AF199),AF199&lt;&gt;0,TRIM(U199)&lt;&gt;"Pass after CA"))),1,0),1)</f>
        <v>0</v>
      </c>
      <c r="AM199" s="61" t="n">
        <f aca="false">IF(LEFT(AH199,7)="INVALID",1,0)</f>
        <v>0</v>
      </c>
      <c r="AN199" s="61" t="n">
        <f aca="false">IF(AND(N199="Clarification required",AI199=1,AJ199=0),1,0)</f>
        <v>1</v>
      </c>
      <c r="AO199" s="61" t="str">
        <f aca="false">IF(AK199=1,SUM(AK$5:AK199),"")</f>
        <v/>
      </c>
      <c r="AP199" s="61" t="str">
        <f aca="false">IF(AL199=1,SUM(AL$5:AL199),"")</f>
        <v/>
      </c>
      <c r="AQ199" s="61" t="n">
        <v>0</v>
      </c>
      <c r="AR199" s="61" t="n">
        <v>0</v>
      </c>
      <c r="AS199" s="61" t="n">
        <v>0</v>
      </c>
      <c r="AT199" s="61" t="n">
        <v>1</v>
      </c>
      <c r="AU199" s="61" t="str">
        <f aca="false">SUBSTITUTE(SUBSTITUTE(SUBSTITUTE(SUBSTITUTE(SUBSTITUTE(SUBSTITUTE(SUBSTITUTE(SUBSTITUTE(SUBSTITUTE(SUBSTITUTE(SUBSTITUTE(SUBSTITUTE(SUBSTITUTE(LOWER(T199&amp;""),CHAR(160),"")," ",""),".",""),"-",""),"/",""),"?",""),"_",""),",",""),"[",""),"]",""),"(",""),")",""),"*","")</f>
        <v/>
      </c>
      <c r="AV199" s="61" t="str">
        <f aca="false">SUBSTITUTE(SUBSTITUTE(SUBSTITUTE(SUBSTITUTE(SUBSTITUTE(SUBSTITUTE(SUBSTITUTE(SUBSTITUTE(SUBSTITUTE(SUBSTITUTE(SUBSTITUTE(SUBSTITUTE(SUBSTITUTE(LOWER(V199&amp;""),CHAR(160),"")," ",""),".",""),"-",""),"/",""),"?",""),"_",""),",",""),"[",""),"]",""),"(",""),")",""),"*","")</f>
        <v/>
      </c>
      <c r="AW199" s="61" t="str">
        <f aca="false">SUBSTITUTE(SUBSTITUTE(SUBSTITUTE(SUBSTITUTE(SUBSTITUTE(SUBSTITUTE(SUBSTITUTE(SUBSTITUTE(SUBSTITUTE(SUBSTITUTE(SUBSTITUTE(SUBSTITUTE(SUBSTITUTE(LOWER(Z199&amp;""),CHAR(160),"")," ",""),".",""),"-",""),"/",""),"?",""),"_",""),",",""),"[",""),"]",""),"(",""),")",""),"*","")</f>
        <v/>
      </c>
      <c r="AX199" s="61" t="str">
        <f aca="false">SUBSTITUTE(SUBSTITUTE(SUBSTITUTE(SUBSTITUTE(SUBSTITUTE(SUBSTITUTE(SUBSTITUTE(SUBSTITUTE(SUBSTITUTE(SUBSTITUTE(SUBSTITUTE(SUBSTITUTE(SUBSTITUTE(LOWER(AE199&amp;""),CHAR(160),"")," ",""),".",""),"-",""),"/",""),"?",""),"_",""),",",""),"[",""),"]",""),"(",""),")",""),"*","")</f>
        <v/>
      </c>
      <c r="AY199" s="61" t="str">
        <f aca="false">SUBSTITUTE(SUBSTITUTE(SUBSTITUTE(SUBSTITUTE(SUBSTITUTE(SUBSTITUTE(SUBSTITUTE(SUBSTITUTE(SUBSTITUTE(SUBSTITUTE(SUBSTITUTE(SUBSTITUTE(SUBSTITUTE(LOWER(W199&amp;""),CHAR(160),"")," ",""),".",""),"-",""),"/",""),"?",""),"_",""),",",""),"[",""),"]",""),"(",""),")",""),"*","")</f>
        <v/>
      </c>
      <c r="AZ199" s="61" t="str">
        <f aca="false">SUBSTITUTE(SUBSTITUTE(SUBSTITUTE(SUBSTITUTE(SUBSTITUTE(SUBSTITUTE(SUBSTITUTE(SUBSTITUTE(SUBSTITUTE(SUBSTITUTE(SUBSTITUTE(SUBSTITUTE(SUBSTITUTE(LOWER(AC199&amp;""),CHAR(160),"")," ",""),".",""),"-",""),"/",""),"?",""),"_",""),",",""),"[",""),"]",""),"(",""),")",""),"*","")</f>
        <v/>
      </c>
      <c r="BA199" s="61" t="str">
        <f aca="false">SUBSTITUTE(SUBSTITUTE(SUBSTITUTE(SUBSTITUTE(SUBSTITUTE(SUBSTITUTE(SUBSTITUTE(SUBSTITUTE(SUBSTITUTE(SUBSTITUTE(SUBSTITUTE(SUBSTITUTE(SUBSTITUTE(LOWER(AA199&amp;""),CHAR(160),"")," ",""),".",""),"-",""),"/",""),"?",""),"_",""),",",""),"[",""),"]",""),"(",""),")",""),"*","")</f>
        <v/>
      </c>
      <c r="BB199" s="61" t="str">
        <f aca="false">IF(AND(TRIM(U199)="Pass",ISNUMBER(AF199)),IF(AF199&lt;&gt;0,"INVALID – qty variance: use Fail or Pass after CA",""),"")&amp;IF(AND(TRIM(U199)="Pass after CA",ISNUMBER(AF199)),IF(AF199&lt;&gt;0,"INVALID – after the corrective action the actual qty must equal expected (update Actual)",""),"")&amp;IF(AND(TRIM(U199)="Pass",TRIM(AB199)&lt;&gt;"",TRIM(AB199)&lt;&gt;"Closed"),"INVALID – corrective action not closed: use Fail, then Pass after CA","")&amp;IF(AND(TRIM(AA199)&lt;&gt;"",TRIM(AB199)=""),"INVALID – CA status missing for the recorded corrective action","")&amp;IF(AND(TRIM(U199)="Pass after CA",OR(OR(LEN(BA199)&lt;5,ISNUMBER(MATCH(BA199,L_Placeholder,0))),TRIM(AB199)&lt;&gt;"Closed")),"INVALID – corrective action not recorded/closed","")</f>
        <v/>
      </c>
    </row>
    <row r="200" customFormat="false" ht="39.75" hidden="false" customHeight="true" outlineLevel="0" collapsed="false">
      <c r="A200" s="57" t="s">
        <v>738</v>
      </c>
      <c r="B200" s="57" t="s">
        <v>228</v>
      </c>
      <c r="C200" s="57" t="str">
        <f aca="false">Flights!$F$10</f>
        <v>MH0002</v>
      </c>
      <c r="D200" s="58" t="n">
        <f aca="false">Flights!$D$10</f>
        <v>46310</v>
      </c>
      <c r="E200" s="57" t="str">
        <f aca="false">Flights!$G$10&amp;"-"&amp;Flights!$H$10</f>
        <v>KUL-LHR</v>
      </c>
      <c r="F200" s="57" t="str">
        <f aca="false">Flights!$K$10</f>
        <v>BC</v>
      </c>
      <c r="G200" s="57" t="s">
        <v>437</v>
      </c>
      <c r="H200" s="57" t="s">
        <v>438</v>
      </c>
      <c r="I200" s="57" t="s">
        <v>418</v>
      </c>
      <c r="J200" s="57" t="s">
        <v>739</v>
      </c>
      <c r="K200" s="67" t="s">
        <v>708</v>
      </c>
      <c r="L200" s="67" t="s">
        <v>709</v>
      </c>
      <c r="M200" s="67" t="s">
        <v>184</v>
      </c>
      <c r="N200" s="67" t="s">
        <v>361</v>
      </c>
      <c r="O200" s="67" t="s">
        <v>710</v>
      </c>
      <c r="P200" s="57" t="s">
        <v>184</v>
      </c>
      <c r="Q200" s="59" t="n">
        <f aca="false">ROUND((Flights!$AF$10)*1440,0)/1440</f>
        <v>46310.6388888889</v>
      </c>
      <c r="R200" s="59" t="n">
        <f aca="false">Q200+(IF(AND(INDEX(TZ_DSTS,MATCH(P200,TZ_STN,0))&lt;&gt;"",Q200&gt;=INDEX(TZ_DSTS,MATCH(P200,TZ_STN,0)),Q200&lt;INDEX(TZ_DSTE,MATCH(P200,TZ_STN,0))),INDEX(TZ_DST,MATCH(P200,TZ_STN,0)),INDEX(TZ_STD,MATCH(P200,TZ_STN,0))))/24</f>
        <v>46310.9722222222</v>
      </c>
      <c r="S200" s="59" t="n">
        <f aca="false">IF(ISNUMBER(Flights!$AZ$10),MAX(Q200-UpliftWindowH/24,Flights!$AZ$10),Q200-UpliftWindowH/24)</f>
        <v>46310.3888888889</v>
      </c>
      <c r="T200" s="60"/>
      <c r="U200" s="60"/>
      <c r="V200" s="60"/>
      <c r="W200" s="61"/>
      <c r="X200" s="60"/>
      <c r="Y200" s="60"/>
      <c r="Z200" s="60"/>
      <c r="AA200" s="60"/>
      <c r="AB200" s="60"/>
      <c r="AC200" s="60"/>
      <c r="AD200" s="66"/>
      <c r="AE200" s="60"/>
      <c r="AF200" s="61" t="str">
        <f aca="false">IF(AND(ISNUMBER(X200),ISNUMBER(Y200)),Y200-X200,"")</f>
        <v/>
      </c>
      <c r="AG200" s="62" t="str">
        <f aca="false">IF(ISNUMBER(AD200),AD200-(IF(AND(INDEX(TZ_DSTS,MATCH(P200,TZ_STN,0))&lt;&gt;"",(AD200-INDEX(TZ_STD,MATCH(P200,TZ_STN,0))/24)&gt;=INDEX(TZ_DSTS,MATCH(P200,TZ_STN,0)),(AD200-INDEX(TZ_STD,MATCH(P200,TZ_STN,0))/24)&lt;INDEX(TZ_DSTE,MATCH(P200,TZ_STN,0))),INDEX(TZ_DST,MATCH(P200,TZ_STN,0)),INDEX(TZ_STD,MATCH(P200,TZ_STN,0))))/24,"")</f>
        <v/>
      </c>
      <c r="AH200" s="65" t="str">
        <f aca="false">IFERROR(IF(N200="N/A – rule","N/A – RULE",IF(TRIM(U200)="N/A",IF(AT200=0,"INVALID – N/A not permitted for this check",IF(AND(TRIM(AB200)&lt;&gt;"",TRIM(AB200)&lt;&gt;"Closed"),"INVALID – corrective action still open",IF(AND(NOT(OR(LEN(AZ200)&lt;15,ISNUMBER(MATCH(AZ200,L_Placeholder,0)))),NOT(OR(LEN(AU200)&lt;2,ISNUMBER(MATCH(AU200,L_Placeholder,0)))),NOT(OR(LEN(AX200)&lt;2,ISNUMBER(MATCH(AX200,L_Placeholder,0)))),TRIM(AE200)&lt;&gt;TRIM(T200)),"N/A – JUSTIFIED","INVALID – N/A needs a real justification (15+ chars), PIC and a different verifier"))),IF(OR(TRIM(U200)="Pass",TRIM(U200)="Pass after CA"),IF(NOT(ISNUMBER(AD200)),"INVALID – completion time missing",IF(OR(LEN(AU200)&lt;2,ISNUMBER(MATCH(AU200,L_Placeholder,0))),"INVALID – PIC missing",IF(OR(LEN(AV200)&lt;2,ISNUMBER(MATCH(AV200,L_Placeholder,0))),"INVALID – result / assessment missing",IF(OR(OR(LEN(AW200)&lt;3,ISNUMBER(MATCH(AW200,L_Placeholder,0))),SUMPRODUCT(--ISNUMBER(SEARCH(L_EvidencePhrase,AW200)))&gt;0),"INVALID – evidence missing, placeholder or not yet on file",IF(OR(LEN(AX200)&lt;2,ISNUMBER(MATCH(AX200,L_Placeholder,0))),"INVALID – verifier missing",IF(AX200=AU200,"INVALID – verifier must be someone other than the PIC",IF(AND(TRIM(U200)="Pass",SUMPRODUCT(--ISNUMBER(SEARCH(L_ResultBad,AV200)))&gt;0),"INVALID – result describes a problem: use Fail, then Pass after CA",IF(AND(AQ200=1,OR(LEN(AY200)&lt;3,ISNUMBER(MATCH(AY200,L_Placeholder,0)))),"INVALID – batch ID missing or placeholder",IF(AND(AR200=1,OR(NOT(ISNUMBER(X200)),NOT(ISNUMBER(Y200)))),"INVALID – expected/actual qty missing",IF(AND(AR200=1,OR(X200&lt;=0,Y200&lt;0)),"INVALID – expected qty must be above 0 and actual not negative",IF(AH184="N/A – JUSTIFIED","INVALID – preparation row F06-T12-09 is N/A",IF(AND(AR200=1,ISNUMBER(X184),X200&lt;&gt;X184),"INVALID – expected qty differs from preparation check F06-T12-09",IF(BB200&lt;&gt;"",BB200,IF(AND(AS200=1,Documents!$J$10&lt;&gt;"ON FILE"),"INVALID – GLD not on file (Documents sheet)",IF(AND(AS200=2,Documents!$O$10&lt;&gt;"ON FILE"),"INVALID – menu checklist not on file (Documents sheet)",IF(AND(AS200=3,NOT(ISNUMBER(Flights!$AX$10))),"INVALID – enter carrying flight KUL departure (Flights AX)",IF(AND(AS200=3,OR(Flights!$AZ$10&gt;Flights!$AA$10,Flights!$AX$10&lt;Flights!$AA$10-3)),"INVALID – carrying flight (Flights AX) cannot arrive before this leg's STD, or is over 3 days early",IF(AG200&gt;AsOfUTC,"INVALID – completion time is in the future",IF(AND(ISNUMBER(S200),AG200&lt;S200),IF(H200="Physical uplift","INVALID – before uplift window (cannot confirm loading)","INVALID – before valid window"),IF(AG200&gt;Flights!$AA$10,"INVALID – completed after departure (cannot establish readiness)",IF(AND(H200="Preparation",AG200&gt;IF(ISNUMBER(Flights!$BA$10),MIN(Flights!$BA$10,Flights!$AA$10),Flights!$AA$10)),"INVALID – completed after loading / departure (cannot establish readiness)",IF(AND(H200="Physical uplift",AG200&gt;Q200),"INVALID – recorded after the loading flight departed",IF(AG200&gt;Q200,"COMPLETE – LATE","COMPLETE"))))))))))))))))))))))),IF(TRIM(U200)="Fail","FAIL – DISCREPANCY",IF(AND(TRIM(U200)&lt;&gt;"",TRIM(U200)&lt;&gt;"Not started",TRIM(U200)&lt;&gt;"In progress"),"INVALID – unrecognised status (use the list)",IF(AsOfUTC&gt;Q200,"OVERDUE",IF(N200="Clarification required","OPEN – CLARIFICATION","OPEN"))))))),"INVALID – error value in an input cell")</f>
        <v>OPEN</v>
      </c>
      <c r="AI200" s="61" t="n">
        <f aca="false">IF(OR(AH200="N/A – RULE",AH200="N/A – JUSTIFIED"),0,1)</f>
        <v>1</v>
      </c>
      <c r="AJ200" s="61" t="n">
        <f aca="false">IF(LEFT(AH200,8)="COMPLETE",1,0)</f>
        <v>0</v>
      </c>
      <c r="AK200" s="61" t="n">
        <f aca="false">IF(AND(AI200=1,AJ200=0,AsOfUTC&gt;Q200),1,0)</f>
        <v>0</v>
      </c>
      <c r="AL200" s="61" t="n">
        <f aca="false">IFERROR(IF(AND(AI200=1,OR(TRIM(U200)="Fail",AND(TRIM(AB200)&lt;&gt;"",TRIM(AB200)&lt;&gt;"Closed"),AND(ISNUMBER(AF200),AF200&lt;&gt;0,TRIM(U200)&lt;&gt;"Pass after CA"))),1,0),1)</f>
        <v>0</v>
      </c>
      <c r="AM200" s="61" t="n">
        <f aca="false">IF(LEFT(AH200,7)="INVALID",1,0)</f>
        <v>0</v>
      </c>
      <c r="AN200" s="61" t="n">
        <f aca="false">IF(AND(N200="Clarification required",AI200=1,AJ200=0),1,0)</f>
        <v>0</v>
      </c>
      <c r="AO200" s="61" t="str">
        <f aca="false">IF(AK200=1,SUM(AK$5:AK200),"")</f>
        <v/>
      </c>
      <c r="AP200" s="61" t="str">
        <f aca="false">IF(AL200=1,SUM(AL$5:AL200),"")</f>
        <v/>
      </c>
      <c r="AQ200" s="61" t="n">
        <v>0</v>
      </c>
      <c r="AR200" s="61" t="n">
        <v>0</v>
      </c>
      <c r="AS200" s="61" t="n">
        <v>0</v>
      </c>
      <c r="AT200" s="61" t="n">
        <v>0</v>
      </c>
      <c r="AU200" s="61" t="str">
        <f aca="false">SUBSTITUTE(SUBSTITUTE(SUBSTITUTE(SUBSTITUTE(SUBSTITUTE(SUBSTITUTE(SUBSTITUTE(SUBSTITUTE(SUBSTITUTE(SUBSTITUTE(SUBSTITUTE(SUBSTITUTE(SUBSTITUTE(LOWER(T200&amp;""),CHAR(160),"")," ",""),".",""),"-",""),"/",""),"?",""),"_",""),",",""),"[",""),"]",""),"(",""),")",""),"*","")</f>
        <v/>
      </c>
      <c r="AV200" s="61" t="str">
        <f aca="false">SUBSTITUTE(SUBSTITUTE(SUBSTITUTE(SUBSTITUTE(SUBSTITUTE(SUBSTITUTE(SUBSTITUTE(SUBSTITUTE(SUBSTITUTE(SUBSTITUTE(SUBSTITUTE(SUBSTITUTE(SUBSTITUTE(LOWER(V200&amp;""),CHAR(160),"")," ",""),".",""),"-",""),"/",""),"?",""),"_",""),",",""),"[",""),"]",""),"(",""),")",""),"*","")</f>
        <v/>
      </c>
      <c r="AW200" s="61" t="str">
        <f aca="false">SUBSTITUTE(SUBSTITUTE(SUBSTITUTE(SUBSTITUTE(SUBSTITUTE(SUBSTITUTE(SUBSTITUTE(SUBSTITUTE(SUBSTITUTE(SUBSTITUTE(SUBSTITUTE(SUBSTITUTE(SUBSTITUTE(LOWER(Z200&amp;""),CHAR(160),"")," ",""),".",""),"-",""),"/",""),"?",""),"_",""),",",""),"[",""),"]",""),"(",""),")",""),"*","")</f>
        <v/>
      </c>
      <c r="AX200" s="61" t="str">
        <f aca="false">SUBSTITUTE(SUBSTITUTE(SUBSTITUTE(SUBSTITUTE(SUBSTITUTE(SUBSTITUTE(SUBSTITUTE(SUBSTITUTE(SUBSTITUTE(SUBSTITUTE(SUBSTITUTE(SUBSTITUTE(SUBSTITUTE(LOWER(AE200&amp;""),CHAR(160),"")," ",""),".",""),"-",""),"/",""),"?",""),"_",""),",",""),"[",""),"]",""),"(",""),")",""),"*","")</f>
        <v/>
      </c>
      <c r="AY200" s="61" t="str">
        <f aca="false">SUBSTITUTE(SUBSTITUTE(SUBSTITUTE(SUBSTITUTE(SUBSTITUTE(SUBSTITUTE(SUBSTITUTE(SUBSTITUTE(SUBSTITUTE(SUBSTITUTE(SUBSTITUTE(SUBSTITUTE(SUBSTITUTE(LOWER(W200&amp;""),CHAR(160),"")," ",""),".",""),"-",""),"/",""),"?",""),"_",""),",",""),"[",""),"]",""),"(",""),")",""),"*","")</f>
        <v/>
      </c>
      <c r="AZ200" s="61" t="str">
        <f aca="false">SUBSTITUTE(SUBSTITUTE(SUBSTITUTE(SUBSTITUTE(SUBSTITUTE(SUBSTITUTE(SUBSTITUTE(SUBSTITUTE(SUBSTITUTE(SUBSTITUTE(SUBSTITUTE(SUBSTITUTE(SUBSTITUTE(LOWER(AC200&amp;""),CHAR(160),"")," ",""),".",""),"-",""),"/",""),"?",""),"_",""),",",""),"[",""),"]",""),"(",""),")",""),"*","")</f>
        <v/>
      </c>
      <c r="BA200" s="61" t="str">
        <f aca="false">SUBSTITUTE(SUBSTITUTE(SUBSTITUTE(SUBSTITUTE(SUBSTITUTE(SUBSTITUTE(SUBSTITUTE(SUBSTITUTE(SUBSTITUTE(SUBSTITUTE(SUBSTITUTE(SUBSTITUTE(SUBSTITUTE(LOWER(AA200&amp;""),CHAR(160),"")," ",""),".",""),"-",""),"/",""),"?",""),"_",""),",",""),"[",""),"]",""),"(",""),")",""),"*","")</f>
        <v/>
      </c>
      <c r="BB200" s="61" t="str">
        <f aca="false">IF(AND(TRIM(U200)="Pass",ISNUMBER(AF200)),IF(AF200&lt;&gt;0,"INVALID – qty variance: use Fail or Pass after CA",""),"")&amp;IF(AND(TRIM(U200)="Pass after CA",ISNUMBER(AF200)),IF(AF200&lt;&gt;0,"INVALID – after the corrective action the actual qty must equal expected (update Actual)",""),"")&amp;IF(AND(TRIM(U200)="Pass",TRIM(AB200)&lt;&gt;"",TRIM(AB200)&lt;&gt;"Closed"),"INVALID – corrective action not closed: use Fail, then Pass after CA","")&amp;IF(AND(TRIM(AA200)&lt;&gt;"",TRIM(AB200)=""),"INVALID – CA status missing for the recorded corrective action","")&amp;IF(AND(TRIM(U200)="Pass after CA",OR(OR(LEN(BA200)&lt;5,ISNUMBER(MATCH(BA200,L_Placeholder,0))),TRIM(AB200)&lt;&gt;"Closed")),"INVALID – corrective action not recorded/closed","")</f>
        <v/>
      </c>
    </row>
    <row r="201" customFormat="false" ht="39.75" hidden="false" customHeight="true" outlineLevel="0" collapsed="false">
      <c r="A201" s="57" t="s">
        <v>740</v>
      </c>
      <c r="B201" s="57" t="s">
        <v>228</v>
      </c>
      <c r="C201" s="57" t="str">
        <f aca="false">Flights!$F$10</f>
        <v>MH0002</v>
      </c>
      <c r="D201" s="58" t="n">
        <f aca="false">Flights!$D$10</f>
        <v>46310</v>
      </c>
      <c r="E201" s="57" t="str">
        <f aca="false">Flights!$G$10&amp;"-"&amp;Flights!$H$10</f>
        <v>KUL-LHR</v>
      </c>
      <c r="F201" s="57" t="str">
        <f aca="false">Flights!$K$10</f>
        <v>BC</v>
      </c>
      <c r="G201" s="57" t="s">
        <v>437</v>
      </c>
      <c r="H201" s="57" t="s">
        <v>438</v>
      </c>
      <c r="I201" s="57" t="s">
        <v>418</v>
      </c>
      <c r="J201" s="57" t="s">
        <v>621</v>
      </c>
      <c r="K201" s="67" t="s">
        <v>479</v>
      </c>
      <c r="L201" s="67" t="s">
        <v>712</v>
      </c>
      <c r="M201" s="67" t="s">
        <v>184</v>
      </c>
      <c r="N201" s="67" t="s">
        <v>361</v>
      </c>
      <c r="O201" s="67"/>
      <c r="P201" s="57" t="s">
        <v>184</v>
      </c>
      <c r="Q201" s="59" t="n">
        <f aca="false">ROUND((Flights!$AF$10)*1440,0)/1440</f>
        <v>46310.6388888889</v>
      </c>
      <c r="R201" s="59" t="n">
        <f aca="false">Q201+(IF(AND(INDEX(TZ_DSTS,MATCH(P201,TZ_STN,0))&lt;&gt;"",Q201&gt;=INDEX(TZ_DSTS,MATCH(P201,TZ_STN,0)),Q201&lt;INDEX(TZ_DSTE,MATCH(P201,TZ_STN,0))),INDEX(TZ_DST,MATCH(P201,TZ_STN,0)),INDEX(TZ_STD,MATCH(P201,TZ_STN,0))))/24</f>
        <v>46310.9722222222</v>
      </c>
      <c r="S201" s="59" t="n">
        <f aca="false">IF(ISNUMBER(Flights!$AZ$10),MAX(Q201-UpliftWindowH/24,Flights!$AZ$10),Q201-UpliftWindowH/24)</f>
        <v>46310.3888888889</v>
      </c>
      <c r="T201" s="60"/>
      <c r="U201" s="60"/>
      <c r="V201" s="60"/>
      <c r="W201" s="61"/>
      <c r="X201" s="60"/>
      <c r="Y201" s="60"/>
      <c r="Z201" s="60"/>
      <c r="AA201" s="60"/>
      <c r="AB201" s="60"/>
      <c r="AC201" s="60"/>
      <c r="AD201" s="66"/>
      <c r="AE201" s="60"/>
      <c r="AF201" s="61" t="str">
        <f aca="false">IF(AND(ISNUMBER(X201),ISNUMBER(Y201)),Y201-X201,"")</f>
        <v/>
      </c>
      <c r="AG201" s="62" t="str">
        <f aca="false">IF(ISNUMBER(AD201),AD201-(IF(AND(INDEX(TZ_DSTS,MATCH(P201,TZ_STN,0))&lt;&gt;"",(AD201-INDEX(TZ_STD,MATCH(P201,TZ_STN,0))/24)&gt;=INDEX(TZ_DSTS,MATCH(P201,TZ_STN,0)),(AD201-INDEX(TZ_STD,MATCH(P201,TZ_STN,0))/24)&lt;INDEX(TZ_DSTE,MATCH(P201,TZ_STN,0))),INDEX(TZ_DST,MATCH(P201,TZ_STN,0)),INDEX(TZ_STD,MATCH(P201,TZ_STN,0))))/24,"")</f>
        <v/>
      </c>
      <c r="AH201" s="65" t="str">
        <f aca="false">IFERROR(IF(N201="N/A – rule","N/A – RULE",IF(TRIM(U201)="N/A",IF(AT201=0,"INVALID – N/A not permitted for this check",IF(AND(TRIM(AB201)&lt;&gt;"",TRIM(AB201)&lt;&gt;"Closed"),"INVALID – corrective action still open",IF(AND(NOT(OR(LEN(AZ201)&lt;15,ISNUMBER(MATCH(AZ201,L_Placeholder,0)))),NOT(OR(LEN(AU201)&lt;2,ISNUMBER(MATCH(AU201,L_Placeholder,0)))),NOT(OR(LEN(AX201)&lt;2,ISNUMBER(MATCH(AX201,L_Placeholder,0)))),TRIM(AE201)&lt;&gt;TRIM(T201)),"N/A – JUSTIFIED","INVALID – N/A needs a real justification (15+ chars), PIC and a different verifier"))),IF(OR(TRIM(U201)="Pass",TRIM(U201)="Pass after CA"),IF(NOT(ISNUMBER(AD201)),"INVALID – completion time missing",IF(OR(LEN(AU201)&lt;2,ISNUMBER(MATCH(AU201,L_Placeholder,0))),"INVALID – PIC missing",IF(OR(LEN(AV201)&lt;2,ISNUMBER(MATCH(AV201,L_Placeholder,0))),"INVALID – result / assessment missing",IF(OR(OR(LEN(AW201)&lt;3,ISNUMBER(MATCH(AW201,L_Placeholder,0))),SUMPRODUCT(--ISNUMBER(SEARCH(L_EvidencePhrase,AW201)))&gt;0),"INVALID – evidence missing, placeholder or not yet on file",IF(OR(LEN(AX201)&lt;2,ISNUMBER(MATCH(AX201,L_Placeholder,0))),"INVALID – verifier missing",IF(AX201=AU201,"INVALID – verifier must be someone other than the PIC",IF(AND(TRIM(U201)="Pass",SUMPRODUCT(--ISNUMBER(SEARCH(L_ResultBad,AV201)))&gt;0),"INVALID – result describes a problem: use Fail, then Pass after CA",IF(AND(AQ201=1,OR(LEN(AY201)&lt;3,ISNUMBER(MATCH(AY201,L_Placeholder,0)))),"INVALID – batch ID missing or placeholder",IF(AND(AR201=1,OR(NOT(ISNUMBER(X201)),NOT(ISNUMBER(Y201)))),"INVALID – expected/actual qty missing",IF(AND(AR201=1,OR(X201&lt;=0,Y201&lt;0)),"INVALID – expected qty must be above 0 and actual not negative",IF(AH185="N/A – JUSTIFIED","INVALID – preparation row F06-T12-10 is N/A",IF(AND(AR201=1,ISNUMBER(X185),X201&lt;&gt;X185),"INVALID – expected qty differs from preparation check F06-T12-10",IF(BB201&lt;&gt;"",BB201,IF(AND(AS201=1,Documents!$J$10&lt;&gt;"ON FILE"),"INVALID – GLD not on file (Documents sheet)",IF(AND(AS201=2,Documents!$O$10&lt;&gt;"ON FILE"),"INVALID – menu checklist not on file (Documents sheet)",IF(AND(AS201=3,NOT(ISNUMBER(Flights!$AX$10))),"INVALID – enter carrying flight KUL departure (Flights AX)",IF(AND(AS201=3,OR(Flights!$AZ$10&gt;Flights!$AA$10,Flights!$AX$10&lt;Flights!$AA$10-3)),"INVALID – carrying flight (Flights AX) cannot arrive before this leg's STD, or is over 3 days early",IF(AG201&gt;AsOfUTC,"INVALID – completion time is in the future",IF(AND(ISNUMBER(S201),AG201&lt;S201),IF(H201="Physical uplift","INVALID – before uplift window (cannot confirm loading)","INVALID – before valid window"),IF(AG201&gt;Flights!$AA$10,"INVALID – completed after departure (cannot establish readiness)",IF(AND(H201="Preparation",AG201&gt;IF(ISNUMBER(Flights!$BA$10),MIN(Flights!$BA$10,Flights!$AA$10),Flights!$AA$10)),"INVALID – completed after loading / departure (cannot establish readiness)",IF(AND(H201="Physical uplift",AG201&gt;Q201),"INVALID – recorded after the loading flight departed",IF(AG201&gt;Q201,"COMPLETE – LATE","COMPLETE"))))))))))))))))))))))),IF(TRIM(U201)="Fail","FAIL – DISCREPANCY",IF(AND(TRIM(U201)&lt;&gt;"",TRIM(U201)&lt;&gt;"Not started",TRIM(U201)&lt;&gt;"In progress"),"INVALID – unrecognised status (use the list)",IF(AsOfUTC&gt;Q201,"OVERDUE",IF(N201="Clarification required","OPEN – CLARIFICATION","OPEN"))))))),"INVALID – error value in an input cell")</f>
        <v>OPEN</v>
      </c>
      <c r="AI201" s="61" t="n">
        <f aca="false">IF(OR(AH201="N/A – RULE",AH201="N/A – JUSTIFIED"),0,1)</f>
        <v>1</v>
      </c>
      <c r="AJ201" s="61" t="n">
        <f aca="false">IF(LEFT(AH201,8)="COMPLETE",1,0)</f>
        <v>0</v>
      </c>
      <c r="AK201" s="61" t="n">
        <f aca="false">IF(AND(AI201=1,AJ201=0,AsOfUTC&gt;Q201),1,0)</f>
        <v>0</v>
      </c>
      <c r="AL201" s="61" t="n">
        <f aca="false">IFERROR(IF(AND(AI201=1,OR(TRIM(U201)="Fail",AND(TRIM(AB201)&lt;&gt;"",TRIM(AB201)&lt;&gt;"Closed"),AND(ISNUMBER(AF201),AF201&lt;&gt;0,TRIM(U201)&lt;&gt;"Pass after CA"))),1,0),1)</f>
        <v>0</v>
      </c>
      <c r="AM201" s="61" t="n">
        <f aca="false">IF(LEFT(AH201,7)="INVALID",1,0)</f>
        <v>0</v>
      </c>
      <c r="AN201" s="61" t="n">
        <f aca="false">IF(AND(N201="Clarification required",AI201=1,AJ201=0),1,0)</f>
        <v>0</v>
      </c>
      <c r="AO201" s="61" t="str">
        <f aca="false">IF(AK201=1,SUM(AK$5:AK201),"")</f>
        <v/>
      </c>
      <c r="AP201" s="61" t="str">
        <f aca="false">IF(AL201=1,SUM(AL$5:AL201),"")</f>
        <v/>
      </c>
      <c r="AQ201" s="61" t="n">
        <v>0</v>
      </c>
      <c r="AR201" s="61" t="n">
        <v>0</v>
      </c>
      <c r="AS201" s="61" t="n">
        <v>0</v>
      </c>
      <c r="AT201" s="61" t="n">
        <v>0</v>
      </c>
      <c r="AU201" s="61" t="str">
        <f aca="false">SUBSTITUTE(SUBSTITUTE(SUBSTITUTE(SUBSTITUTE(SUBSTITUTE(SUBSTITUTE(SUBSTITUTE(SUBSTITUTE(SUBSTITUTE(SUBSTITUTE(SUBSTITUTE(SUBSTITUTE(SUBSTITUTE(LOWER(T201&amp;""),CHAR(160),"")," ",""),".",""),"-",""),"/",""),"?",""),"_",""),",",""),"[",""),"]",""),"(",""),")",""),"*","")</f>
        <v/>
      </c>
      <c r="AV201" s="61" t="str">
        <f aca="false">SUBSTITUTE(SUBSTITUTE(SUBSTITUTE(SUBSTITUTE(SUBSTITUTE(SUBSTITUTE(SUBSTITUTE(SUBSTITUTE(SUBSTITUTE(SUBSTITUTE(SUBSTITUTE(SUBSTITUTE(SUBSTITUTE(LOWER(V201&amp;""),CHAR(160),"")," ",""),".",""),"-",""),"/",""),"?",""),"_",""),",",""),"[",""),"]",""),"(",""),")",""),"*","")</f>
        <v/>
      </c>
      <c r="AW201" s="61" t="str">
        <f aca="false">SUBSTITUTE(SUBSTITUTE(SUBSTITUTE(SUBSTITUTE(SUBSTITUTE(SUBSTITUTE(SUBSTITUTE(SUBSTITUTE(SUBSTITUTE(SUBSTITUTE(SUBSTITUTE(SUBSTITUTE(SUBSTITUTE(LOWER(Z201&amp;""),CHAR(160),"")," ",""),".",""),"-",""),"/",""),"?",""),"_",""),",",""),"[",""),"]",""),"(",""),")",""),"*","")</f>
        <v/>
      </c>
      <c r="AX201" s="61" t="str">
        <f aca="false">SUBSTITUTE(SUBSTITUTE(SUBSTITUTE(SUBSTITUTE(SUBSTITUTE(SUBSTITUTE(SUBSTITUTE(SUBSTITUTE(SUBSTITUTE(SUBSTITUTE(SUBSTITUTE(SUBSTITUTE(SUBSTITUTE(LOWER(AE201&amp;""),CHAR(160),"")," ",""),".",""),"-",""),"/",""),"?",""),"_",""),",",""),"[",""),"]",""),"(",""),")",""),"*","")</f>
        <v/>
      </c>
      <c r="AY201" s="61" t="str">
        <f aca="false">SUBSTITUTE(SUBSTITUTE(SUBSTITUTE(SUBSTITUTE(SUBSTITUTE(SUBSTITUTE(SUBSTITUTE(SUBSTITUTE(SUBSTITUTE(SUBSTITUTE(SUBSTITUTE(SUBSTITUTE(SUBSTITUTE(LOWER(W201&amp;""),CHAR(160),"")," ",""),".",""),"-",""),"/",""),"?",""),"_",""),",",""),"[",""),"]",""),"(",""),")",""),"*","")</f>
        <v/>
      </c>
      <c r="AZ201" s="61" t="str">
        <f aca="false">SUBSTITUTE(SUBSTITUTE(SUBSTITUTE(SUBSTITUTE(SUBSTITUTE(SUBSTITUTE(SUBSTITUTE(SUBSTITUTE(SUBSTITUTE(SUBSTITUTE(SUBSTITUTE(SUBSTITUTE(SUBSTITUTE(LOWER(AC201&amp;""),CHAR(160),"")," ",""),".",""),"-",""),"/",""),"?",""),"_",""),",",""),"[",""),"]",""),"(",""),")",""),"*","")</f>
        <v/>
      </c>
      <c r="BA201" s="61" t="str">
        <f aca="false">SUBSTITUTE(SUBSTITUTE(SUBSTITUTE(SUBSTITUTE(SUBSTITUTE(SUBSTITUTE(SUBSTITUTE(SUBSTITUTE(SUBSTITUTE(SUBSTITUTE(SUBSTITUTE(SUBSTITUTE(SUBSTITUTE(LOWER(AA201&amp;""),CHAR(160),"")," ",""),".",""),"-",""),"/",""),"?",""),"_",""),",",""),"[",""),"]",""),"(",""),")",""),"*","")</f>
        <v/>
      </c>
      <c r="BB201" s="61" t="str">
        <f aca="false">IF(AND(TRIM(U201)="Pass",ISNUMBER(AF201)),IF(AF201&lt;&gt;0,"INVALID – qty variance: use Fail or Pass after CA",""),"")&amp;IF(AND(TRIM(U201)="Pass after CA",ISNUMBER(AF201)),IF(AF201&lt;&gt;0,"INVALID – after the corrective action the actual qty must equal expected (update Actual)",""),"")&amp;IF(AND(TRIM(U201)="Pass",TRIM(AB201)&lt;&gt;"",TRIM(AB201)&lt;&gt;"Closed"),"INVALID – corrective action not closed: use Fail, then Pass after CA","")&amp;IF(AND(TRIM(AA201)&lt;&gt;"",TRIM(AB201)=""),"INVALID – CA status missing for the recorded corrective action","")&amp;IF(AND(TRIM(U201)="Pass after CA",OR(OR(LEN(BA201)&lt;5,ISNUMBER(MATCH(BA201,L_Placeholder,0))),TRIM(AB201)&lt;&gt;"Closed")),"INVALID – corrective action not recorded/closed","")</f>
        <v/>
      </c>
    </row>
    <row r="202" customFormat="false" ht="39.75" hidden="false" customHeight="true" outlineLevel="0" collapsed="false">
      <c r="A202" s="57" t="s">
        <v>741</v>
      </c>
      <c r="B202" s="57" t="s">
        <v>228</v>
      </c>
      <c r="C202" s="57" t="str">
        <f aca="false">Flights!$F$10</f>
        <v>MH0002</v>
      </c>
      <c r="D202" s="58" t="n">
        <f aca="false">Flights!$D$10</f>
        <v>46310</v>
      </c>
      <c r="E202" s="57" t="str">
        <f aca="false">Flights!$G$10&amp;"-"&amp;Flights!$H$10</f>
        <v>KUL-LHR</v>
      </c>
      <c r="F202" s="57" t="str">
        <f aca="false">Flights!$K$10</f>
        <v>BC</v>
      </c>
      <c r="G202" s="57" t="s">
        <v>437</v>
      </c>
      <c r="H202" s="57" t="s">
        <v>438</v>
      </c>
      <c r="I202" s="57" t="s">
        <v>477</v>
      </c>
      <c r="J202" s="57" t="s">
        <v>515</v>
      </c>
      <c r="K202" s="67" t="s">
        <v>479</v>
      </c>
      <c r="L202" s="67" t="s">
        <v>714</v>
      </c>
      <c r="M202" s="67" t="s">
        <v>429</v>
      </c>
      <c r="N202" s="67" t="s">
        <v>361</v>
      </c>
      <c r="O202" s="67"/>
      <c r="P202" s="57" t="s">
        <v>184</v>
      </c>
      <c r="Q202" s="59" t="n">
        <f aca="false">ROUND((Flights!$AF$10)*1440,0)/1440</f>
        <v>46310.6388888889</v>
      </c>
      <c r="R202" s="59" t="n">
        <f aca="false">Q202+(IF(AND(INDEX(TZ_DSTS,MATCH(P202,TZ_STN,0))&lt;&gt;"",Q202&gt;=INDEX(TZ_DSTS,MATCH(P202,TZ_STN,0)),Q202&lt;INDEX(TZ_DSTE,MATCH(P202,TZ_STN,0))),INDEX(TZ_DST,MATCH(P202,TZ_STN,0)),INDEX(TZ_STD,MATCH(P202,TZ_STN,0))))/24</f>
        <v>46310.9722222222</v>
      </c>
      <c r="S202" s="59" t="n">
        <f aca="false">IF(ISNUMBER(Flights!$AZ$10),MAX(Q202-UpliftWindowH/24,Flights!$AZ$10),Q202-UpliftWindowH/24)</f>
        <v>46310.3888888889</v>
      </c>
      <c r="T202" s="60"/>
      <c r="U202" s="60"/>
      <c r="V202" s="60"/>
      <c r="W202" s="61"/>
      <c r="X202" s="60"/>
      <c r="Y202" s="60"/>
      <c r="Z202" s="60"/>
      <c r="AA202" s="60"/>
      <c r="AB202" s="60"/>
      <c r="AC202" s="60"/>
      <c r="AD202" s="66"/>
      <c r="AE202" s="60"/>
      <c r="AF202" s="61" t="str">
        <f aca="false">IF(AND(ISNUMBER(X202),ISNUMBER(Y202)),Y202-X202,"")</f>
        <v/>
      </c>
      <c r="AG202" s="62" t="str">
        <f aca="false">IF(ISNUMBER(AD202),AD202-(IF(AND(INDEX(TZ_DSTS,MATCH(P202,TZ_STN,0))&lt;&gt;"",(AD202-INDEX(TZ_STD,MATCH(P202,TZ_STN,0))/24)&gt;=INDEX(TZ_DSTS,MATCH(P202,TZ_STN,0)),(AD202-INDEX(TZ_STD,MATCH(P202,TZ_STN,0))/24)&lt;INDEX(TZ_DSTE,MATCH(P202,TZ_STN,0))),INDEX(TZ_DST,MATCH(P202,TZ_STN,0)),INDEX(TZ_STD,MATCH(P202,TZ_STN,0))))/24,"")</f>
        <v/>
      </c>
      <c r="AH202" s="65" t="str">
        <f aca="false">IFERROR(IF(N202="N/A – rule","N/A – RULE",IF(TRIM(U202)="N/A",IF(AT202=0,"INVALID – N/A not permitted for this check",IF(AND(TRIM(AB202)&lt;&gt;"",TRIM(AB202)&lt;&gt;"Closed"),"INVALID – corrective action still open",IF(AND(NOT(OR(LEN(AZ202)&lt;15,ISNUMBER(MATCH(AZ202,L_Placeholder,0)))),NOT(OR(LEN(AU202)&lt;2,ISNUMBER(MATCH(AU202,L_Placeholder,0)))),NOT(OR(LEN(AX202)&lt;2,ISNUMBER(MATCH(AX202,L_Placeholder,0)))),TRIM(AE202)&lt;&gt;TRIM(T202)),"N/A – JUSTIFIED","INVALID – N/A needs a real justification (15+ chars), PIC and a different verifier"))),IF(OR(TRIM(U202)="Pass",TRIM(U202)="Pass after CA"),IF(NOT(ISNUMBER(AD202)),"INVALID – completion time missing",IF(OR(LEN(AU202)&lt;2,ISNUMBER(MATCH(AU202,L_Placeholder,0))),"INVALID – PIC missing",IF(OR(LEN(AV202)&lt;2,ISNUMBER(MATCH(AV202,L_Placeholder,0))),"INVALID – result / assessment missing",IF(OR(OR(LEN(AW202)&lt;3,ISNUMBER(MATCH(AW202,L_Placeholder,0))),SUMPRODUCT(--ISNUMBER(SEARCH(L_EvidencePhrase,AW202)))&gt;0),"INVALID – evidence missing, placeholder or not yet on file",IF(OR(LEN(AX202)&lt;2,ISNUMBER(MATCH(AX202,L_Placeholder,0))),"INVALID – verifier missing",IF(AX202=AU202,"INVALID – verifier must be someone other than the PIC",IF(AND(TRIM(U202)="Pass",SUMPRODUCT(--ISNUMBER(SEARCH(L_ResultBad,AV202)))&gt;0),"INVALID – result describes a problem: use Fail, then Pass after CA",IF(AND(AQ202=1,OR(LEN(AY202)&lt;3,ISNUMBER(MATCH(AY202,L_Placeholder,0)))),"INVALID – batch ID missing or placeholder",IF(AND(AR202=1,OR(NOT(ISNUMBER(X202)),NOT(ISNUMBER(Y202)))),"INVALID – expected/actual qty missing",IF(AND(AR202=1,OR(X202&lt;=0,Y202&lt;0)),"INVALID – expected qty must be above 0 and actual not negative",IF(AH186="N/A – JUSTIFIED","INVALID – preparation row F06-T12-11 is N/A",IF(AND(AR202=1,ISNUMBER(X186),X202&lt;&gt;X186),"INVALID – expected qty differs from preparation check F06-T12-11",IF(BB202&lt;&gt;"",BB202,IF(AND(AS202=1,Documents!$J$10&lt;&gt;"ON FILE"),"INVALID – GLD not on file (Documents sheet)",IF(AND(AS202=2,Documents!$O$10&lt;&gt;"ON FILE"),"INVALID – menu checklist not on file (Documents sheet)",IF(AND(AS202=3,NOT(ISNUMBER(Flights!$AX$10))),"INVALID – enter carrying flight KUL departure (Flights AX)",IF(AND(AS202=3,OR(Flights!$AZ$10&gt;Flights!$AA$10,Flights!$AX$10&lt;Flights!$AA$10-3)),"INVALID – carrying flight (Flights AX) cannot arrive before this leg's STD, or is over 3 days early",IF(AG202&gt;AsOfUTC,"INVALID – completion time is in the future",IF(AND(ISNUMBER(S202),AG202&lt;S202),IF(H202="Physical uplift","INVALID – before uplift window (cannot confirm loading)","INVALID – before valid window"),IF(AG202&gt;Flights!$AA$10,"INVALID – completed after departure (cannot establish readiness)",IF(AND(H202="Preparation",AG202&gt;IF(ISNUMBER(Flights!$BA$10),MIN(Flights!$BA$10,Flights!$AA$10),Flights!$AA$10)),"INVALID – completed after loading / departure (cannot establish readiness)",IF(AND(H202="Physical uplift",AG202&gt;Q202),"INVALID – recorded after the loading flight departed",IF(AG202&gt;Q202,"COMPLETE – LATE","COMPLETE"))))))))))))))))))))))),IF(TRIM(U202)="Fail","FAIL – DISCREPANCY",IF(AND(TRIM(U202)&lt;&gt;"",TRIM(U202)&lt;&gt;"Not started",TRIM(U202)&lt;&gt;"In progress"),"INVALID – unrecognised status (use the list)",IF(AsOfUTC&gt;Q202,"OVERDUE",IF(N202="Clarification required","OPEN – CLARIFICATION","OPEN"))))))),"INVALID – error value in an input cell")</f>
        <v>OPEN</v>
      </c>
      <c r="AI202" s="61" t="n">
        <f aca="false">IF(OR(AH202="N/A – RULE",AH202="N/A – JUSTIFIED"),0,1)</f>
        <v>1</v>
      </c>
      <c r="AJ202" s="61" t="n">
        <f aca="false">IF(LEFT(AH202,8)="COMPLETE",1,0)</f>
        <v>0</v>
      </c>
      <c r="AK202" s="61" t="n">
        <f aca="false">IF(AND(AI202=1,AJ202=0,AsOfUTC&gt;Q202),1,0)</f>
        <v>0</v>
      </c>
      <c r="AL202" s="61" t="n">
        <f aca="false">IFERROR(IF(AND(AI202=1,OR(TRIM(U202)="Fail",AND(TRIM(AB202)&lt;&gt;"",TRIM(AB202)&lt;&gt;"Closed"),AND(ISNUMBER(AF202),AF202&lt;&gt;0,TRIM(U202)&lt;&gt;"Pass after CA"))),1,0),1)</f>
        <v>0</v>
      </c>
      <c r="AM202" s="61" t="n">
        <f aca="false">IF(LEFT(AH202,7)="INVALID",1,0)</f>
        <v>0</v>
      </c>
      <c r="AN202" s="61" t="n">
        <f aca="false">IF(AND(N202="Clarification required",AI202=1,AJ202=0),1,0)</f>
        <v>0</v>
      </c>
      <c r="AO202" s="61" t="str">
        <f aca="false">IF(AK202=1,SUM(AK$5:AK202),"")</f>
        <v/>
      </c>
      <c r="AP202" s="61" t="str">
        <f aca="false">IF(AL202=1,SUM(AL$5:AL202),"")</f>
        <v/>
      </c>
      <c r="AQ202" s="61" t="n">
        <v>0</v>
      </c>
      <c r="AR202" s="61" t="n">
        <v>0</v>
      </c>
      <c r="AS202" s="61" t="n">
        <v>0</v>
      </c>
      <c r="AT202" s="61" t="n">
        <v>0</v>
      </c>
      <c r="AU202" s="61" t="str">
        <f aca="false">SUBSTITUTE(SUBSTITUTE(SUBSTITUTE(SUBSTITUTE(SUBSTITUTE(SUBSTITUTE(SUBSTITUTE(SUBSTITUTE(SUBSTITUTE(SUBSTITUTE(SUBSTITUTE(SUBSTITUTE(SUBSTITUTE(LOWER(T202&amp;""),CHAR(160),"")," ",""),".",""),"-",""),"/",""),"?",""),"_",""),",",""),"[",""),"]",""),"(",""),")",""),"*","")</f>
        <v/>
      </c>
      <c r="AV202" s="61" t="str">
        <f aca="false">SUBSTITUTE(SUBSTITUTE(SUBSTITUTE(SUBSTITUTE(SUBSTITUTE(SUBSTITUTE(SUBSTITUTE(SUBSTITUTE(SUBSTITUTE(SUBSTITUTE(SUBSTITUTE(SUBSTITUTE(SUBSTITUTE(LOWER(V202&amp;""),CHAR(160),"")," ",""),".",""),"-",""),"/",""),"?",""),"_",""),",",""),"[",""),"]",""),"(",""),")",""),"*","")</f>
        <v/>
      </c>
      <c r="AW202" s="61" t="str">
        <f aca="false">SUBSTITUTE(SUBSTITUTE(SUBSTITUTE(SUBSTITUTE(SUBSTITUTE(SUBSTITUTE(SUBSTITUTE(SUBSTITUTE(SUBSTITUTE(SUBSTITUTE(SUBSTITUTE(SUBSTITUTE(SUBSTITUTE(LOWER(Z202&amp;""),CHAR(160),"")," ",""),".",""),"-",""),"/",""),"?",""),"_",""),",",""),"[",""),"]",""),"(",""),")",""),"*","")</f>
        <v/>
      </c>
      <c r="AX202" s="61" t="str">
        <f aca="false">SUBSTITUTE(SUBSTITUTE(SUBSTITUTE(SUBSTITUTE(SUBSTITUTE(SUBSTITUTE(SUBSTITUTE(SUBSTITUTE(SUBSTITUTE(SUBSTITUTE(SUBSTITUTE(SUBSTITUTE(SUBSTITUTE(LOWER(AE202&amp;""),CHAR(160),"")," ",""),".",""),"-",""),"/",""),"?",""),"_",""),",",""),"[",""),"]",""),"(",""),")",""),"*","")</f>
        <v/>
      </c>
      <c r="AY202" s="61" t="str">
        <f aca="false">SUBSTITUTE(SUBSTITUTE(SUBSTITUTE(SUBSTITUTE(SUBSTITUTE(SUBSTITUTE(SUBSTITUTE(SUBSTITUTE(SUBSTITUTE(SUBSTITUTE(SUBSTITUTE(SUBSTITUTE(SUBSTITUTE(LOWER(W202&amp;""),CHAR(160),"")," ",""),".",""),"-",""),"/",""),"?",""),"_",""),",",""),"[",""),"]",""),"(",""),")",""),"*","")</f>
        <v/>
      </c>
      <c r="AZ202" s="61" t="str">
        <f aca="false">SUBSTITUTE(SUBSTITUTE(SUBSTITUTE(SUBSTITUTE(SUBSTITUTE(SUBSTITUTE(SUBSTITUTE(SUBSTITUTE(SUBSTITUTE(SUBSTITUTE(SUBSTITUTE(SUBSTITUTE(SUBSTITUTE(LOWER(AC202&amp;""),CHAR(160),"")," ",""),".",""),"-",""),"/",""),"?",""),"_",""),",",""),"[",""),"]",""),"(",""),")",""),"*","")</f>
        <v/>
      </c>
      <c r="BA202" s="61" t="str">
        <f aca="false">SUBSTITUTE(SUBSTITUTE(SUBSTITUTE(SUBSTITUTE(SUBSTITUTE(SUBSTITUTE(SUBSTITUTE(SUBSTITUTE(SUBSTITUTE(SUBSTITUTE(SUBSTITUTE(SUBSTITUTE(SUBSTITUTE(LOWER(AA202&amp;""),CHAR(160),"")," ",""),".",""),"-",""),"/",""),"?",""),"_",""),",",""),"[",""),"]",""),"(",""),")",""),"*","")</f>
        <v/>
      </c>
      <c r="BB202" s="61" t="str">
        <f aca="false">IF(AND(TRIM(U202)="Pass",ISNUMBER(AF202)),IF(AF202&lt;&gt;0,"INVALID – qty variance: use Fail or Pass after CA",""),"")&amp;IF(AND(TRIM(U202)="Pass after CA",ISNUMBER(AF202)),IF(AF202&lt;&gt;0,"INVALID – after the corrective action the actual qty must equal expected (update Actual)",""),"")&amp;IF(AND(TRIM(U202)="Pass",TRIM(AB202)&lt;&gt;"",TRIM(AB202)&lt;&gt;"Closed"),"INVALID – corrective action not closed: use Fail, then Pass after CA","")&amp;IF(AND(TRIM(AA202)&lt;&gt;"",TRIM(AB202)=""),"INVALID – CA status missing for the recorded corrective action","")&amp;IF(AND(TRIM(U202)="Pass after CA",OR(OR(LEN(BA202)&lt;5,ISNUMBER(MATCH(BA202,L_Placeholder,0))),TRIM(AB202)&lt;&gt;"Closed")),"INVALID – corrective action not recorded/closed","")</f>
        <v/>
      </c>
    </row>
    <row r="203" customFormat="false" ht="39.75" hidden="false" customHeight="true" outlineLevel="0" collapsed="false">
      <c r="A203" s="57" t="s">
        <v>742</v>
      </c>
      <c r="B203" s="57" t="s">
        <v>228</v>
      </c>
      <c r="C203" s="57" t="str">
        <f aca="false">Flights!$F$10</f>
        <v>MH0002</v>
      </c>
      <c r="D203" s="58" t="n">
        <f aca="false">Flights!$D$10</f>
        <v>46310</v>
      </c>
      <c r="E203" s="57" t="str">
        <f aca="false">Flights!$G$10&amp;"-"&amp;Flights!$H$10</f>
        <v>KUL-LHR</v>
      </c>
      <c r="F203" s="57" t="str">
        <f aca="false">Flights!$K$10</f>
        <v>BC</v>
      </c>
      <c r="G203" s="57" t="s">
        <v>437</v>
      </c>
      <c r="H203" s="57" t="s">
        <v>438</v>
      </c>
      <c r="I203" s="57" t="s">
        <v>477</v>
      </c>
      <c r="J203" s="57" t="s">
        <v>517</v>
      </c>
      <c r="K203" s="67" t="s">
        <v>479</v>
      </c>
      <c r="L203" s="67" t="s">
        <v>716</v>
      </c>
      <c r="M203" s="67" t="s">
        <v>429</v>
      </c>
      <c r="N203" s="67" t="s">
        <v>361</v>
      </c>
      <c r="O203" s="67"/>
      <c r="P203" s="57" t="s">
        <v>184</v>
      </c>
      <c r="Q203" s="59" t="n">
        <f aca="false">ROUND((Flights!$AF$10)*1440,0)/1440</f>
        <v>46310.6388888889</v>
      </c>
      <c r="R203" s="59" t="n">
        <f aca="false">Q203+(IF(AND(INDEX(TZ_DSTS,MATCH(P203,TZ_STN,0))&lt;&gt;"",Q203&gt;=INDEX(TZ_DSTS,MATCH(P203,TZ_STN,0)),Q203&lt;INDEX(TZ_DSTE,MATCH(P203,TZ_STN,0))),INDEX(TZ_DST,MATCH(P203,TZ_STN,0)),INDEX(TZ_STD,MATCH(P203,TZ_STN,0))))/24</f>
        <v>46310.9722222222</v>
      </c>
      <c r="S203" s="59" t="n">
        <f aca="false">IF(ISNUMBER(Flights!$AZ$10),MAX(Q203-UpliftWindowH/24,Flights!$AZ$10),Q203-UpliftWindowH/24)</f>
        <v>46310.3888888889</v>
      </c>
      <c r="T203" s="60"/>
      <c r="U203" s="60"/>
      <c r="V203" s="60"/>
      <c r="W203" s="61"/>
      <c r="X203" s="60"/>
      <c r="Y203" s="60"/>
      <c r="Z203" s="60"/>
      <c r="AA203" s="60"/>
      <c r="AB203" s="60"/>
      <c r="AC203" s="60"/>
      <c r="AD203" s="66"/>
      <c r="AE203" s="60"/>
      <c r="AF203" s="61" t="str">
        <f aca="false">IF(AND(ISNUMBER(X203),ISNUMBER(Y203)),Y203-X203,"")</f>
        <v/>
      </c>
      <c r="AG203" s="62" t="str">
        <f aca="false">IF(ISNUMBER(AD203),AD203-(IF(AND(INDEX(TZ_DSTS,MATCH(P203,TZ_STN,0))&lt;&gt;"",(AD203-INDEX(TZ_STD,MATCH(P203,TZ_STN,0))/24)&gt;=INDEX(TZ_DSTS,MATCH(P203,TZ_STN,0)),(AD203-INDEX(TZ_STD,MATCH(P203,TZ_STN,0))/24)&lt;INDEX(TZ_DSTE,MATCH(P203,TZ_STN,0))),INDEX(TZ_DST,MATCH(P203,TZ_STN,0)),INDEX(TZ_STD,MATCH(P203,TZ_STN,0))))/24,"")</f>
        <v/>
      </c>
      <c r="AH203" s="65" t="str">
        <f aca="false">IFERROR(IF(N203="N/A – rule","N/A – RULE",IF(TRIM(U203)="N/A",IF(AT203=0,"INVALID – N/A not permitted for this check",IF(AND(TRIM(AB203)&lt;&gt;"",TRIM(AB203)&lt;&gt;"Closed"),"INVALID – corrective action still open",IF(AND(NOT(OR(LEN(AZ203)&lt;15,ISNUMBER(MATCH(AZ203,L_Placeholder,0)))),NOT(OR(LEN(AU203)&lt;2,ISNUMBER(MATCH(AU203,L_Placeholder,0)))),NOT(OR(LEN(AX203)&lt;2,ISNUMBER(MATCH(AX203,L_Placeholder,0)))),TRIM(AE203)&lt;&gt;TRIM(T203)),"N/A – JUSTIFIED","INVALID – N/A needs a real justification (15+ chars), PIC and a different verifier"))),IF(OR(TRIM(U203)="Pass",TRIM(U203)="Pass after CA"),IF(NOT(ISNUMBER(AD203)),"INVALID – completion time missing",IF(OR(LEN(AU203)&lt;2,ISNUMBER(MATCH(AU203,L_Placeholder,0))),"INVALID – PIC missing",IF(OR(LEN(AV203)&lt;2,ISNUMBER(MATCH(AV203,L_Placeholder,0))),"INVALID – result / assessment missing",IF(OR(OR(LEN(AW203)&lt;3,ISNUMBER(MATCH(AW203,L_Placeholder,0))),SUMPRODUCT(--ISNUMBER(SEARCH(L_EvidencePhrase,AW203)))&gt;0),"INVALID – evidence missing, placeholder or not yet on file",IF(OR(LEN(AX203)&lt;2,ISNUMBER(MATCH(AX203,L_Placeholder,0))),"INVALID – verifier missing",IF(AX203=AU203,"INVALID – verifier must be someone other than the PIC",IF(AND(TRIM(U203)="Pass",SUMPRODUCT(--ISNUMBER(SEARCH(L_ResultBad,AV203)))&gt;0),"INVALID – result describes a problem: use Fail, then Pass after CA",IF(AND(AQ203=1,OR(LEN(AY203)&lt;3,ISNUMBER(MATCH(AY203,L_Placeholder,0)))),"INVALID – batch ID missing or placeholder",IF(AND(AR203=1,OR(NOT(ISNUMBER(X203)),NOT(ISNUMBER(Y203)))),"INVALID – expected/actual qty missing",IF(AND(AR203=1,OR(X203&lt;=0,Y203&lt;0)),"INVALID – expected qty must be above 0 and actual not negative",IF(AH187="N/A – JUSTIFIED","INVALID – preparation row F06-T12-12 is N/A",IF(AND(AR203=1,ISNUMBER(X187),X203&lt;&gt;X187),"INVALID – expected qty differs from preparation check F06-T12-12",IF(BB203&lt;&gt;"",BB203,IF(AND(AS203=1,Documents!$J$10&lt;&gt;"ON FILE"),"INVALID – GLD not on file (Documents sheet)",IF(AND(AS203=2,Documents!$O$10&lt;&gt;"ON FILE"),"INVALID – menu checklist not on file (Documents sheet)",IF(AND(AS203=3,NOT(ISNUMBER(Flights!$AX$10))),"INVALID – enter carrying flight KUL departure (Flights AX)",IF(AND(AS203=3,OR(Flights!$AZ$10&gt;Flights!$AA$10,Flights!$AX$10&lt;Flights!$AA$10-3)),"INVALID – carrying flight (Flights AX) cannot arrive before this leg's STD, or is over 3 days early",IF(AG203&gt;AsOfUTC,"INVALID – completion time is in the future",IF(AND(ISNUMBER(S203),AG203&lt;S203),IF(H203="Physical uplift","INVALID – before uplift window (cannot confirm loading)","INVALID – before valid window"),IF(AG203&gt;Flights!$AA$10,"INVALID – completed after departure (cannot establish readiness)",IF(AND(H203="Preparation",AG203&gt;IF(ISNUMBER(Flights!$BA$10),MIN(Flights!$BA$10,Flights!$AA$10),Flights!$AA$10)),"INVALID – completed after loading / departure (cannot establish readiness)",IF(AND(H203="Physical uplift",AG203&gt;Q203),"INVALID – recorded after the loading flight departed",IF(AG203&gt;Q203,"COMPLETE – LATE","COMPLETE"))))))))))))))))))))))),IF(TRIM(U203)="Fail","FAIL – DISCREPANCY",IF(AND(TRIM(U203)&lt;&gt;"",TRIM(U203)&lt;&gt;"Not started",TRIM(U203)&lt;&gt;"In progress"),"INVALID – unrecognised status (use the list)",IF(AsOfUTC&gt;Q203,"OVERDUE",IF(N203="Clarification required","OPEN – CLARIFICATION","OPEN"))))))),"INVALID – error value in an input cell")</f>
        <v>OPEN</v>
      </c>
      <c r="AI203" s="61" t="n">
        <f aca="false">IF(OR(AH203="N/A – RULE",AH203="N/A – JUSTIFIED"),0,1)</f>
        <v>1</v>
      </c>
      <c r="AJ203" s="61" t="n">
        <f aca="false">IF(LEFT(AH203,8)="COMPLETE",1,0)</f>
        <v>0</v>
      </c>
      <c r="AK203" s="61" t="n">
        <f aca="false">IF(AND(AI203=1,AJ203=0,AsOfUTC&gt;Q203),1,0)</f>
        <v>0</v>
      </c>
      <c r="AL203" s="61" t="n">
        <f aca="false">IFERROR(IF(AND(AI203=1,OR(TRIM(U203)="Fail",AND(TRIM(AB203)&lt;&gt;"",TRIM(AB203)&lt;&gt;"Closed"),AND(ISNUMBER(AF203),AF203&lt;&gt;0,TRIM(U203)&lt;&gt;"Pass after CA"))),1,0),1)</f>
        <v>0</v>
      </c>
      <c r="AM203" s="61" t="n">
        <f aca="false">IF(LEFT(AH203,7)="INVALID",1,0)</f>
        <v>0</v>
      </c>
      <c r="AN203" s="61" t="n">
        <f aca="false">IF(AND(N203="Clarification required",AI203=1,AJ203=0),1,0)</f>
        <v>0</v>
      </c>
      <c r="AO203" s="61" t="str">
        <f aca="false">IF(AK203=1,SUM(AK$5:AK203),"")</f>
        <v/>
      </c>
      <c r="AP203" s="61" t="str">
        <f aca="false">IF(AL203=1,SUM(AL$5:AL203),"")</f>
        <v/>
      </c>
      <c r="AQ203" s="61" t="n">
        <v>0</v>
      </c>
      <c r="AR203" s="61" t="n">
        <v>0</v>
      </c>
      <c r="AS203" s="61" t="n">
        <v>0</v>
      </c>
      <c r="AT203" s="61" t="n">
        <v>0</v>
      </c>
      <c r="AU203" s="61" t="str">
        <f aca="false">SUBSTITUTE(SUBSTITUTE(SUBSTITUTE(SUBSTITUTE(SUBSTITUTE(SUBSTITUTE(SUBSTITUTE(SUBSTITUTE(SUBSTITUTE(SUBSTITUTE(SUBSTITUTE(SUBSTITUTE(SUBSTITUTE(LOWER(T203&amp;""),CHAR(160),"")," ",""),".",""),"-",""),"/",""),"?",""),"_",""),",",""),"[",""),"]",""),"(",""),")",""),"*","")</f>
        <v/>
      </c>
      <c r="AV203" s="61" t="str">
        <f aca="false">SUBSTITUTE(SUBSTITUTE(SUBSTITUTE(SUBSTITUTE(SUBSTITUTE(SUBSTITUTE(SUBSTITUTE(SUBSTITUTE(SUBSTITUTE(SUBSTITUTE(SUBSTITUTE(SUBSTITUTE(SUBSTITUTE(LOWER(V203&amp;""),CHAR(160),"")," ",""),".",""),"-",""),"/",""),"?",""),"_",""),",",""),"[",""),"]",""),"(",""),")",""),"*","")</f>
        <v/>
      </c>
      <c r="AW203" s="61" t="str">
        <f aca="false">SUBSTITUTE(SUBSTITUTE(SUBSTITUTE(SUBSTITUTE(SUBSTITUTE(SUBSTITUTE(SUBSTITUTE(SUBSTITUTE(SUBSTITUTE(SUBSTITUTE(SUBSTITUTE(SUBSTITUTE(SUBSTITUTE(LOWER(Z203&amp;""),CHAR(160),"")," ",""),".",""),"-",""),"/",""),"?",""),"_",""),",",""),"[",""),"]",""),"(",""),")",""),"*","")</f>
        <v/>
      </c>
      <c r="AX203" s="61" t="str">
        <f aca="false">SUBSTITUTE(SUBSTITUTE(SUBSTITUTE(SUBSTITUTE(SUBSTITUTE(SUBSTITUTE(SUBSTITUTE(SUBSTITUTE(SUBSTITUTE(SUBSTITUTE(SUBSTITUTE(SUBSTITUTE(SUBSTITUTE(LOWER(AE203&amp;""),CHAR(160),"")," ",""),".",""),"-",""),"/",""),"?",""),"_",""),",",""),"[",""),"]",""),"(",""),")",""),"*","")</f>
        <v/>
      </c>
      <c r="AY203" s="61" t="str">
        <f aca="false">SUBSTITUTE(SUBSTITUTE(SUBSTITUTE(SUBSTITUTE(SUBSTITUTE(SUBSTITUTE(SUBSTITUTE(SUBSTITUTE(SUBSTITUTE(SUBSTITUTE(SUBSTITUTE(SUBSTITUTE(SUBSTITUTE(LOWER(W203&amp;""),CHAR(160),"")," ",""),".",""),"-",""),"/",""),"?",""),"_",""),",",""),"[",""),"]",""),"(",""),")",""),"*","")</f>
        <v/>
      </c>
      <c r="AZ203" s="61" t="str">
        <f aca="false">SUBSTITUTE(SUBSTITUTE(SUBSTITUTE(SUBSTITUTE(SUBSTITUTE(SUBSTITUTE(SUBSTITUTE(SUBSTITUTE(SUBSTITUTE(SUBSTITUTE(SUBSTITUTE(SUBSTITUTE(SUBSTITUTE(LOWER(AC203&amp;""),CHAR(160),"")," ",""),".",""),"-",""),"/",""),"?",""),"_",""),",",""),"[",""),"]",""),"(",""),")",""),"*","")</f>
        <v/>
      </c>
      <c r="BA203" s="61" t="str">
        <f aca="false">SUBSTITUTE(SUBSTITUTE(SUBSTITUTE(SUBSTITUTE(SUBSTITUTE(SUBSTITUTE(SUBSTITUTE(SUBSTITUTE(SUBSTITUTE(SUBSTITUTE(SUBSTITUTE(SUBSTITUTE(SUBSTITUTE(LOWER(AA203&amp;""),CHAR(160),"")," ",""),".",""),"-",""),"/",""),"?",""),"_",""),",",""),"[",""),"]",""),"(",""),")",""),"*","")</f>
        <v/>
      </c>
      <c r="BB203" s="61" t="str">
        <f aca="false">IF(AND(TRIM(U203)="Pass",ISNUMBER(AF203)),IF(AF203&lt;&gt;0,"INVALID – qty variance: use Fail or Pass after CA",""),"")&amp;IF(AND(TRIM(U203)="Pass after CA",ISNUMBER(AF203)),IF(AF203&lt;&gt;0,"INVALID – after the corrective action the actual qty must equal expected (update Actual)",""),"")&amp;IF(AND(TRIM(U203)="Pass",TRIM(AB203)&lt;&gt;"",TRIM(AB203)&lt;&gt;"Closed"),"INVALID – corrective action not closed: use Fail, then Pass after CA","")&amp;IF(AND(TRIM(AA203)&lt;&gt;"",TRIM(AB203)=""),"INVALID – CA status missing for the recorded corrective action","")&amp;IF(AND(TRIM(U203)="Pass after CA",OR(OR(LEN(BA203)&lt;5,ISNUMBER(MATCH(BA203,L_Placeholder,0))),TRIM(AB203)&lt;&gt;"Closed")),"INVALID – corrective action not recorded/closed","")</f>
        <v/>
      </c>
    </row>
    <row r="204" customFormat="false" ht="39.75" hidden="false" customHeight="true" outlineLevel="0" collapsed="false">
      <c r="A204" s="57" t="s">
        <v>743</v>
      </c>
      <c r="B204" s="57" t="s">
        <v>228</v>
      </c>
      <c r="C204" s="57" t="str">
        <f aca="false">Flights!$F$10</f>
        <v>MH0002</v>
      </c>
      <c r="D204" s="58" t="n">
        <f aca="false">Flights!$D$10</f>
        <v>46310</v>
      </c>
      <c r="E204" s="57" t="str">
        <f aca="false">Flights!$G$10&amp;"-"&amp;Flights!$H$10</f>
        <v>KUL-LHR</v>
      </c>
      <c r="F204" s="57" t="str">
        <f aca="false">Flights!$K$10</f>
        <v>BC</v>
      </c>
      <c r="G204" s="57" t="s">
        <v>437</v>
      </c>
      <c r="H204" s="57" t="s">
        <v>438</v>
      </c>
      <c r="I204" s="57" t="s">
        <v>477</v>
      </c>
      <c r="J204" s="57" t="s">
        <v>519</v>
      </c>
      <c r="K204" s="67" t="s">
        <v>479</v>
      </c>
      <c r="L204" s="67" t="s">
        <v>718</v>
      </c>
      <c r="M204" s="67" t="s">
        <v>429</v>
      </c>
      <c r="N204" s="67" t="s">
        <v>361</v>
      </c>
      <c r="O204" s="67"/>
      <c r="P204" s="57" t="s">
        <v>184</v>
      </c>
      <c r="Q204" s="59" t="n">
        <f aca="false">ROUND((Flights!$AF$10)*1440,0)/1440</f>
        <v>46310.6388888889</v>
      </c>
      <c r="R204" s="59" t="n">
        <f aca="false">Q204+(IF(AND(INDEX(TZ_DSTS,MATCH(P204,TZ_STN,0))&lt;&gt;"",Q204&gt;=INDEX(TZ_DSTS,MATCH(P204,TZ_STN,0)),Q204&lt;INDEX(TZ_DSTE,MATCH(P204,TZ_STN,0))),INDEX(TZ_DST,MATCH(P204,TZ_STN,0)),INDEX(TZ_STD,MATCH(P204,TZ_STN,0))))/24</f>
        <v>46310.9722222222</v>
      </c>
      <c r="S204" s="59" t="n">
        <f aca="false">IF(ISNUMBER(Flights!$AZ$10),MAX(Q204-UpliftWindowH/24,Flights!$AZ$10),Q204-UpliftWindowH/24)</f>
        <v>46310.3888888889</v>
      </c>
      <c r="T204" s="60"/>
      <c r="U204" s="60"/>
      <c r="V204" s="60"/>
      <c r="W204" s="61"/>
      <c r="X204" s="60"/>
      <c r="Y204" s="60"/>
      <c r="Z204" s="60"/>
      <c r="AA204" s="60"/>
      <c r="AB204" s="60"/>
      <c r="AC204" s="60"/>
      <c r="AD204" s="66"/>
      <c r="AE204" s="60"/>
      <c r="AF204" s="61" t="str">
        <f aca="false">IF(AND(ISNUMBER(X204),ISNUMBER(Y204)),Y204-X204,"")</f>
        <v/>
      </c>
      <c r="AG204" s="62" t="str">
        <f aca="false">IF(ISNUMBER(AD204),AD204-(IF(AND(INDEX(TZ_DSTS,MATCH(P204,TZ_STN,0))&lt;&gt;"",(AD204-INDEX(TZ_STD,MATCH(P204,TZ_STN,0))/24)&gt;=INDEX(TZ_DSTS,MATCH(P204,TZ_STN,0)),(AD204-INDEX(TZ_STD,MATCH(P204,TZ_STN,0))/24)&lt;INDEX(TZ_DSTE,MATCH(P204,TZ_STN,0))),INDEX(TZ_DST,MATCH(P204,TZ_STN,0)),INDEX(TZ_STD,MATCH(P204,TZ_STN,0))))/24,"")</f>
        <v/>
      </c>
      <c r="AH204" s="65" t="str">
        <f aca="false">IFERROR(IF(N204="N/A – rule","N/A – RULE",IF(TRIM(U204)="N/A",IF(AT204=0,"INVALID – N/A not permitted for this check",IF(AND(TRIM(AB204)&lt;&gt;"",TRIM(AB204)&lt;&gt;"Closed"),"INVALID – corrective action still open",IF(AND(NOT(OR(LEN(AZ204)&lt;15,ISNUMBER(MATCH(AZ204,L_Placeholder,0)))),NOT(OR(LEN(AU204)&lt;2,ISNUMBER(MATCH(AU204,L_Placeholder,0)))),NOT(OR(LEN(AX204)&lt;2,ISNUMBER(MATCH(AX204,L_Placeholder,0)))),TRIM(AE204)&lt;&gt;TRIM(T204)),"N/A – JUSTIFIED","INVALID – N/A needs a real justification (15+ chars), PIC and a different verifier"))),IF(OR(TRIM(U204)="Pass",TRIM(U204)="Pass after CA"),IF(NOT(ISNUMBER(AD204)),"INVALID – completion time missing",IF(OR(LEN(AU204)&lt;2,ISNUMBER(MATCH(AU204,L_Placeholder,0))),"INVALID – PIC missing",IF(OR(LEN(AV204)&lt;2,ISNUMBER(MATCH(AV204,L_Placeholder,0))),"INVALID – result / assessment missing",IF(OR(OR(LEN(AW204)&lt;3,ISNUMBER(MATCH(AW204,L_Placeholder,0))),SUMPRODUCT(--ISNUMBER(SEARCH(L_EvidencePhrase,AW204)))&gt;0),"INVALID – evidence missing, placeholder or not yet on file",IF(OR(LEN(AX204)&lt;2,ISNUMBER(MATCH(AX204,L_Placeholder,0))),"INVALID – verifier missing",IF(AX204=AU204,"INVALID – verifier must be someone other than the PIC",IF(AND(TRIM(U204)="Pass",SUMPRODUCT(--ISNUMBER(SEARCH(L_ResultBad,AV204)))&gt;0),"INVALID – result describes a problem: use Fail, then Pass after CA",IF(AND(AQ204=1,OR(LEN(AY204)&lt;3,ISNUMBER(MATCH(AY204,L_Placeholder,0)))),"INVALID – batch ID missing or placeholder",IF(AND(AR204=1,OR(NOT(ISNUMBER(X204)),NOT(ISNUMBER(Y204)))),"INVALID – expected/actual qty missing",IF(AND(AR204=1,OR(X204&lt;=0,Y204&lt;0)),"INVALID – expected qty must be above 0 and actual not negative",IF(AH188="N/A – JUSTIFIED","INVALID – preparation row F06-T12-13 is N/A",IF(AND(AR204=1,ISNUMBER(X188),X204&lt;&gt;X188),"INVALID – expected qty differs from preparation check F06-T12-13",IF(BB204&lt;&gt;"",BB204,IF(AND(AS204=1,Documents!$J$10&lt;&gt;"ON FILE"),"INVALID – GLD not on file (Documents sheet)",IF(AND(AS204=2,Documents!$O$10&lt;&gt;"ON FILE"),"INVALID – menu checklist not on file (Documents sheet)",IF(AND(AS204=3,NOT(ISNUMBER(Flights!$AX$10))),"INVALID – enter carrying flight KUL departure (Flights AX)",IF(AND(AS204=3,OR(Flights!$AZ$10&gt;Flights!$AA$10,Flights!$AX$10&lt;Flights!$AA$10-3)),"INVALID – carrying flight (Flights AX) cannot arrive before this leg's STD, or is over 3 days early",IF(AG204&gt;AsOfUTC,"INVALID – completion time is in the future",IF(AND(ISNUMBER(S204),AG204&lt;S204),IF(H204="Physical uplift","INVALID – before uplift window (cannot confirm loading)","INVALID – before valid window"),IF(AG204&gt;Flights!$AA$10,"INVALID – completed after departure (cannot establish readiness)",IF(AND(H204="Preparation",AG204&gt;IF(ISNUMBER(Flights!$BA$10),MIN(Flights!$BA$10,Flights!$AA$10),Flights!$AA$10)),"INVALID – completed after loading / departure (cannot establish readiness)",IF(AND(H204="Physical uplift",AG204&gt;Q204),"INVALID – recorded after the loading flight departed",IF(AG204&gt;Q204,"COMPLETE – LATE","COMPLETE"))))))))))))))))))))))),IF(TRIM(U204)="Fail","FAIL – DISCREPANCY",IF(AND(TRIM(U204)&lt;&gt;"",TRIM(U204)&lt;&gt;"Not started",TRIM(U204)&lt;&gt;"In progress"),"INVALID – unrecognised status (use the list)",IF(AsOfUTC&gt;Q204,"OVERDUE",IF(N204="Clarification required","OPEN – CLARIFICATION","OPEN"))))))),"INVALID – error value in an input cell")</f>
        <v>OPEN</v>
      </c>
      <c r="AI204" s="61" t="n">
        <f aca="false">IF(OR(AH204="N/A – RULE",AH204="N/A – JUSTIFIED"),0,1)</f>
        <v>1</v>
      </c>
      <c r="AJ204" s="61" t="n">
        <f aca="false">IF(LEFT(AH204,8)="COMPLETE",1,0)</f>
        <v>0</v>
      </c>
      <c r="AK204" s="61" t="n">
        <f aca="false">IF(AND(AI204=1,AJ204=0,AsOfUTC&gt;Q204),1,0)</f>
        <v>0</v>
      </c>
      <c r="AL204" s="61" t="n">
        <f aca="false">IFERROR(IF(AND(AI204=1,OR(TRIM(U204)="Fail",AND(TRIM(AB204)&lt;&gt;"",TRIM(AB204)&lt;&gt;"Closed"),AND(ISNUMBER(AF204),AF204&lt;&gt;0,TRIM(U204)&lt;&gt;"Pass after CA"))),1,0),1)</f>
        <v>0</v>
      </c>
      <c r="AM204" s="61" t="n">
        <f aca="false">IF(LEFT(AH204,7)="INVALID",1,0)</f>
        <v>0</v>
      </c>
      <c r="AN204" s="61" t="n">
        <f aca="false">IF(AND(N204="Clarification required",AI204=1,AJ204=0),1,0)</f>
        <v>0</v>
      </c>
      <c r="AO204" s="61" t="str">
        <f aca="false">IF(AK204=1,SUM(AK$5:AK204),"")</f>
        <v/>
      </c>
      <c r="AP204" s="61" t="str">
        <f aca="false">IF(AL204=1,SUM(AL$5:AL204),"")</f>
        <v/>
      </c>
      <c r="AQ204" s="61" t="n">
        <v>0</v>
      </c>
      <c r="AR204" s="61" t="n">
        <v>0</v>
      </c>
      <c r="AS204" s="61" t="n">
        <v>0</v>
      </c>
      <c r="AT204" s="61" t="n">
        <v>0</v>
      </c>
      <c r="AU204" s="61" t="str">
        <f aca="false">SUBSTITUTE(SUBSTITUTE(SUBSTITUTE(SUBSTITUTE(SUBSTITUTE(SUBSTITUTE(SUBSTITUTE(SUBSTITUTE(SUBSTITUTE(SUBSTITUTE(SUBSTITUTE(SUBSTITUTE(SUBSTITUTE(LOWER(T204&amp;""),CHAR(160),"")," ",""),".",""),"-",""),"/",""),"?",""),"_",""),",",""),"[",""),"]",""),"(",""),")",""),"*","")</f>
        <v/>
      </c>
      <c r="AV204" s="61" t="str">
        <f aca="false">SUBSTITUTE(SUBSTITUTE(SUBSTITUTE(SUBSTITUTE(SUBSTITUTE(SUBSTITUTE(SUBSTITUTE(SUBSTITUTE(SUBSTITUTE(SUBSTITUTE(SUBSTITUTE(SUBSTITUTE(SUBSTITUTE(LOWER(V204&amp;""),CHAR(160),"")," ",""),".",""),"-",""),"/",""),"?",""),"_",""),",",""),"[",""),"]",""),"(",""),")",""),"*","")</f>
        <v/>
      </c>
      <c r="AW204" s="61" t="str">
        <f aca="false">SUBSTITUTE(SUBSTITUTE(SUBSTITUTE(SUBSTITUTE(SUBSTITUTE(SUBSTITUTE(SUBSTITUTE(SUBSTITUTE(SUBSTITUTE(SUBSTITUTE(SUBSTITUTE(SUBSTITUTE(SUBSTITUTE(LOWER(Z204&amp;""),CHAR(160),"")," ",""),".",""),"-",""),"/",""),"?",""),"_",""),",",""),"[",""),"]",""),"(",""),")",""),"*","")</f>
        <v/>
      </c>
      <c r="AX204" s="61" t="str">
        <f aca="false">SUBSTITUTE(SUBSTITUTE(SUBSTITUTE(SUBSTITUTE(SUBSTITUTE(SUBSTITUTE(SUBSTITUTE(SUBSTITUTE(SUBSTITUTE(SUBSTITUTE(SUBSTITUTE(SUBSTITUTE(SUBSTITUTE(LOWER(AE204&amp;""),CHAR(160),"")," ",""),".",""),"-",""),"/",""),"?",""),"_",""),",",""),"[",""),"]",""),"(",""),")",""),"*","")</f>
        <v/>
      </c>
      <c r="AY204" s="61" t="str">
        <f aca="false">SUBSTITUTE(SUBSTITUTE(SUBSTITUTE(SUBSTITUTE(SUBSTITUTE(SUBSTITUTE(SUBSTITUTE(SUBSTITUTE(SUBSTITUTE(SUBSTITUTE(SUBSTITUTE(SUBSTITUTE(SUBSTITUTE(LOWER(W204&amp;""),CHAR(160),"")," ",""),".",""),"-",""),"/",""),"?",""),"_",""),",",""),"[",""),"]",""),"(",""),")",""),"*","")</f>
        <v/>
      </c>
      <c r="AZ204" s="61" t="str">
        <f aca="false">SUBSTITUTE(SUBSTITUTE(SUBSTITUTE(SUBSTITUTE(SUBSTITUTE(SUBSTITUTE(SUBSTITUTE(SUBSTITUTE(SUBSTITUTE(SUBSTITUTE(SUBSTITUTE(SUBSTITUTE(SUBSTITUTE(LOWER(AC204&amp;""),CHAR(160),"")," ",""),".",""),"-",""),"/",""),"?",""),"_",""),",",""),"[",""),"]",""),"(",""),")",""),"*","")</f>
        <v/>
      </c>
      <c r="BA204" s="61" t="str">
        <f aca="false">SUBSTITUTE(SUBSTITUTE(SUBSTITUTE(SUBSTITUTE(SUBSTITUTE(SUBSTITUTE(SUBSTITUTE(SUBSTITUTE(SUBSTITUTE(SUBSTITUTE(SUBSTITUTE(SUBSTITUTE(SUBSTITUTE(LOWER(AA204&amp;""),CHAR(160),"")," ",""),".",""),"-",""),"/",""),"?",""),"_",""),",",""),"[",""),"]",""),"(",""),")",""),"*","")</f>
        <v/>
      </c>
      <c r="BB204" s="61" t="str">
        <f aca="false">IF(AND(TRIM(U204)="Pass",ISNUMBER(AF204)),IF(AF204&lt;&gt;0,"INVALID – qty variance: use Fail or Pass after CA",""),"")&amp;IF(AND(TRIM(U204)="Pass after CA",ISNUMBER(AF204)),IF(AF204&lt;&gt;0,"INVALID – after the corrective action the actual qty must equal expected (update Actual)",""),"")&amp;IF(AND(TRIM(U204)="Pass",TRIM(AB204)&lt;&gt;"",TRIM(AB204)&lt;&gt;"Closed"),"INVALID – corrective action not closed: use Fail, then Pass after CA","")&amp;IF(AND(TRIM(AA204)&lt;&gt;"",TRIM(AB204)=""),"INVALID – CA status missing for the recorded corrective action","")&amp;IF(AND(TRIM(U204)="Pass after CA",OR(OR(LEN(BA204)&lt;5,ISNUMBER(MATCH(BA204,L_Placeholder,0))),TRIM(AB204)&lt;&gt;"Closed")),"INVALID – corrective action not recorded/closed","")</f>
        <v/>
      </c>
    </row>
    <row r="205" customFormat="false" ht="39.75" hidden="false" customHeight="true" outlineLevel="0" collapsed="false">
      <c r="A205" s="57" t="s">
        <v>744</v>
      </c>
      <c r="B205" s="57" t="s">
        <v>228</v>
      </c>
      <c r="C205" s="57" t="str">
        <f aca="false">Flights!$F$10</f>
        <v>MH0002</v>
      </c>
      <c r="D205" s="58" t="n">
        <f aca="false">Flights!$D$10</f>
        <v>46310</v>
      </c>
      <c r="E205" s="57" t="str">
        <f aca="false">Flights!$G$10&amp;"-"&amp;Flights!$H$10</f>
        <v>KUL-LHR</v>
      </c>
      <c r="F205" s="57" t="str">
        <f aca="false">Flights!$K$10</f>
        <v>BC</v>
      </c>
      <c r="G205" s="57" t="s">
        <v>437</v>
      </c>
      <c r="H205" s="57" t="s">
        <v>438</v>
      </c>
      <c r="I205" s="57" t="s">
        <v>477</v>
      </c>
      <c r="J205" s="57" t="s">
        <v>521</v>
      </c>
      <c r="K205" s="67" t="s">
        <v>479</v>
      </c>
      <c r="L205" s="67" t="s">
        <v>720</v>
      </c>
      <c r="M205" s="67" t="s">
        <v>429</v>
      </c>
      <c r="N205" s="67" t="s">
        <v>361</v>
      </c>
      <c r="O205" s="67"/>
      <c r="P205" s="57" t="s">
        <v>184</v>
      </c>
      <c r="Q205" s="59" t="n">
        <f aca="false">ROUND((Flights!$AF$10)*1440,0)/1440</f>
        <v>46310.6388888889</v>
      </c>
      <c r="R205" s="59" t="n">
        <f aca="false">Q205+(IF(AND(INDEX(TZ_DSTS,MATCH(P205,TZ_STN,0))&lt;&gt;"",Q205&gt;=INDEX(TZ_DSTS,MATCH(P205,TZ_STN,0)),Q205&lt;INDEX(TZ_DSTE,MATCH(P205,TZ_STN,0))),INDEX(TZ_DST,MATCH(P205,TZ_STN,0)),INDEX(TZ_STD,MATCH(P205,TZ_STN,0))))/24</f>
        <v>46310.9722222222</v>
      </c>
      <c r="S205" s="59" t="n">
        <f aca="false">IF(ISNUMBER(Flights!$AZ$10),MAX(Q205-UpliftWindowH/24,Flights!$AZ$10),Q205-UpliftWindowH/24)</f>
        <v>46310.3888888889</v>
      </c>
      <c r="T205" s="60"/>
      <c r="U205" s="60"/>
      <c r="V205" s="60"/>
      <c r="W205" s="61"/>
      <c r="X205" s="60"/>
      <c r="Y205" s="60"/>
      <c r="Z205" s="60"/>
      <c r="AA205" s="60"/>
      <c r="AB205" s="60"/>
      <c r="AC205" s="60"/>
      <c r="AD205" s="66"/>
      <c r="AE205" s="60"/>
      <c r="AF205" s="61" t="str">
        <f aca="false">IF(AND(ISNUMBER(X205),ISNUMBER(Y205)),Y205-X205,"")</f>
        <v/>
      </c>
      <c r="AG205" s="62" t="str">
        <f aca="false">IF(ISNUMBER(AD205),AD205-(IF(AND(INDEX(TZ_DSTS,MATCH(P205,TZ_STN,0))&lt;&gt;"",(AD205-INDEX(TZ_STD,MATCH(P205,TZ_STN,0))/24)&gt;=INDEX(TZ_DSTS,MATCH(P205,TZ_STN,0)),(AD205-INDEX(TZ_STD,MATCH(P205,TZ_STN,0))/24)&lt;INDEX(TZ_DSTE,MATCH(P205,TZ_STN,0))),INDEX(TZ_DST,MATCH(P205,TZ_STN,0)),INDEX(TZ_STD,MATCH(P205,TZ_STN,0))))/24,"")</f>
        <v/>
      </c>
      <c r="AH205" s="65" t="str">
        <f aca="false">IFERROR(IF(N205="N/A – rule","N/A – RULE",IF(TRIM(U205)="N/A",IF(AT205=0,"INVALID – N/A not permitted for this check",IF(AND(TRIM(AB205)&lt;&gt;"",TRIM(AB205)&lt;&gt;"Closed"),"INVALID – corrective action still open",IF(AND(NOT(OR(LEN(AZ205)&lt;15,ISNUMBER(MATCH(AZ205,L_Placeholder,0)))),NOT(OR(LEN(AU205)&lt;2,ISNUMBER(MATCH(AU205,L_Placeholder,0)))),NOT(OR(LEN(AX205)&lt;2,ISNUMBER(MATCH(AX205,L_Placeholder,0)))),TRIM(AE205)&lt;&gt;TRIM(T205)),"N/A – JUSTIFIED","INVALID – N/A needs a real justification (15+ chars), PIC and a different verifier"))),IF(OR(TRIM(U205)="Pass",TRIM(U205)="Pass after CA"),IF(NOT(ISNUMBER(AD205)),"INVALID – completion time missing",IF(OR(LEN(AU205)&lt;2,ISNUMBER(MATCH(AU205,L_Placeholder,0))),"INVALID – PIC missing",IF(OR(LEN(AV205)&lt;2,ISNUMBER(MATCH(AV205,L_Placeholder,0))),"INVALID – result / assessment missing",IF(OR(OR(LEN(AW205)&lt;3,ISNUMBER(MATCH(AW205,L_Placeholder,0))),SUMPRODUCT(--ISNUMBER(SEARCH(L_EvidencePhrase,AW205)))&gt;0),"INVALID – evidence missing, placeholder or not yet on file",IF(OR(LEN(AX205)&lt;2,ISNUMBER(MATCH(AX205,L_Placeholder,0))),"INVALID – verifier missing",IF(AX205=AU205,"INVALID – verifier must be someone other than the PIC",IF(AND(TRIM(U205)="Pass",SUMPRODUCT(--ISNUMBER(SEARCH(L_ResultBad,AV205)))&gt;0),"INVALID – result describes a problem: use Fail, then Pass after CA",IF(AND(AQ205=1,OR(LEN(AY205)&lt;3,ISNUMBER(MATCH(AY205,L_Placeholder,0)))),"INVALID – batch ID missing or placeholder",IF(AND(AR205=1,OR(NOT(ISNUMBER(X205)),NOT(ISNUMBER(Y205)))),"INVALID – expected/actual qty missing",IF(AND(AR205=1,OR(X205&lt;=0,Y205&lt;0)),"INVALID – expected qty must be above 0 and actual not negative",IF(AH189="N/A – JUSTIFIED","INVALID – preparation row F06-T12-14 is N/A",IF(AND(AR205=1,ISNUMBER(X189),X205&lt;&gt;X189),"INVALID – expected qty differs from preparation check F06-T12-14",IF(BB205&lt;&gt;"",BB205,IF(AND(AS205=1,Documents!$J$10&lt;&gt;"ON FILE"),"INVALID – GLD not on file (Documents sheet)",IF(AND(AS205=2,Documents!$O$10&lt;&gt;"ON FILE"),"INVALID – menu checklist not on file (Documents sheet)",IF(AND(AS205=3,NOT(ISNUMBER(Flights!$AX$10))),"INVALID – enter carrying flight KUL departure (Flights AX)",IF(AND(AS205=3,OR(Flights!$AZ$10&gt;Flights!$AA$10,Flights!$AX$10&lt;Flights!$AA$10-3)),"INVALID – carrying flight (Flights AX) cannot arrive before this leg's STD, or is over 3 days early",IF(AG205&gt;AsOfUTC,"INVALID – completion time is in the future",IF(AND(ISNUMBER(S205),AG205&lt;S205),IF(H205="Physical uplift","INVALID – before uplift window (cannot confirm loading)","INVALID – before valid window"),IF(AG205&gt;Flights!$AA$10,"INVALID – completed after departure (cannot establish readiness)",IF(AND(H205="Preparation",AG205&gt;IF(ISNUMBER(Flights!$BA$10),MIN(Flights!$BA$10,Flights!$AA$10),Flights!$AA$10)),"INVALID – completed after loading / departure (cannot establish readiness)",IF(AND(H205="Physical uplift",AG205&gt;Q205),"INVALID – recorded after the loading flight departed",IF(AG205&gt;Q205,"COMPLETE – LATE","COMPLETE"))))))))))))))))))))))),IF(TRIM(U205)="Fail","FAIL – DISCREPANCY",IF(AND(TRIM(U205)&lt;&gt;"",TRIM(U205)&lt;&gt;"Not started",TRIM(U205)&lt;&gt;"In progress"),"INVALID – unrecognised status (use the list)",IF(AsOfUTC&gt;Q205,"OVERDUE",IF(N205="Clarification required","OPEN – CLARIFICATION","OPEN"))))))),"INVALID – error value in an input cell")</f>
        <v>OPEN</v>
      </c>
      <c r="AI205" s="61" t="n">
        <f aca="false">IF(OR(AH205="N/A – RULE",AH205="N/A – JUSTIFIED"),0,1)</f>
        <v>1</v>
      </c>
      <c r="AJ205" s="61" t="n">
        <f aca="false">IF(LEFT(AH205,8)="COMPLETE",1,0)</f>
        <v>0</v>
      </c>
      <c r="AK205" s="61" t="n">
        <f aca="false">IF(AND(AI205=1,AJ205=0,AsOfUTC&gt;Q205),1,0)</f>
        <v>0</v>
      </c>
      <c r="AL205" s="61" t="n">
        <f aca="false">IFERROR(IF(AND(AI205=1,OR(TRIM(U205)="Fail",AND(TRIM(AB205)&lt;&gt;"",TRIM(AB205)&lt;&gt;"Closed"),AND(ISNUMBER(AF205),AF205&lt;&gt;0,TRIM(U205)&lt;&gt;"Pass after CA"))),1,0),1)</f>
        <v>0</v>
      </c>
      <c r="AM205" s="61" t="n">
        <f aca="false">IF(LEFT(AH205,7)="INVALID",1,0)</f>
        <v>0</v>
      </c>
      <c r="AN205" s="61" t="n">
        <f aca="false">IF(AND(N205="Clarification required",AI205=1,AJ205=0),1,0)</f>
        <v>0</v>
      </c>
      <c r="AO205" s="61" t="str">
        <f aca="false">IF(AK205=1,SUM(AK$5:AK205),"")</f>
        <v/>
      </c>
      <c r="AP205" s="61" t="str">
        <f aca="false">IF(AL205=1,SUM(AL$5:AL205),"")</f>
        <v/>
      </c>
      <c r="AQ205" s="61" t="n">
        <v>0</v>
      </c>
      <c r="AR205" s="61" t="n">
        <v>0</v>
      </c>
      <c r="AS205" s="61" t="n">
        <v>0</v>
      </c>
      <c r="AT205" s="61" t="n">
        <v>0</v>
      </c>
      <c r="AU205" s="61" t="str">
        <f aca="false">SUBSTITUTE(SUBSTITUTE(SUBSTITUTE(SUBSTITUTE(SUBSTITUTE(SUBSTITUTE(SUBSTITUTE(SUBSTITUTE(SUBSTITUTE(SUBSTITUTE(SUBSTITUTE(SUBSTITUTE(SUBSTITUTE(LOWER(T205&amp;""),CHAR(160),"")," ",""),".",""),"-",""),"/",""),"?",""),"_",""),",",""),"[",""),"]",""),"(",""),")",""),"*","")</f>
        <v/>
      </c>
      <c r="AV205" s="61" t="str">
        <f aca="false">SUBSTITUTE(SUBSTITUTE(SUBSTITUTE(SUBSTITUTE(SUBSTITUTE(SUBSTITUTE(SUBSTITUTE(SUBSTITUTE(SUBSTITUTE(SUBSTITUTE(SUBSTITUTE(SUBSTITUTE(SUBSTITUTE(LOWER(V205&amp;""),CHAR(160),"")," ",""),".",""),"-",""),"/",""),"?",""),"_",""),",",""),"[",""),"]",""),"(",""),")",""),"*","")</f>
        <v/>
      </c>
      <c r="AW205" s="61" t="str">
        <f aca="false">SUBSTITUTE(SUBSTITUTE(SUBSTITUTE(SUBSTITUTE(SUBSTITUTE(SUBSTITUTE(SUBSTITUTE(SUBSTITUTE(SUBSTITUTE(SUBSTITUTE(SUBSTITUTE(SUBSTITUTE(SUBSTITUTE(LOWER(Z205&amp;""),CHAR(160),"")," ",""),".",""),"-",""),"/",""),"?",""),"_",""),",",""),"[",""),"]",""),"(",""),")",""),"*","")</f>
        <v/>
      </c>
      <c r="AX205" s="61" t="str">
        <f aca="false">SUBSTITUTE(SUBSTITUTE(SUBSTITUTE(SUBSTITUTE(SUBSTITUTE(SUBSTITUTE(SUBSTITUTE(SUBSTITUTE(SUBSTITUTE(SUBSTITUTE(SUBSTITUTE(SUBSTITUTE(SUBSTITUTE(LOWER(AE205&amp;""),CHAR(160),"")," ",""),".",""),"-",""),"/",""),"?",""),"_",""),",",""),"[",""),"]",""),"(",""),")",""),"*","")</f>
        <v/>
      </c>
      <c r="AY205" s="61" t="str">
        <f aca="false">SUBSTITUTE(SUBSTITUTE(SUBSTITUTE(SUBSTITUTE(SUBSTITUTE(SUBSTITUTE(SUBSTITUTE(SUBSTITUTE(SUBSTITUTE(SUBSTITUTE(SUBSTITUTE(SUBSTITUTE(SUBSTITUTE(LOWER(W205&amp;""),CHAR(160),"")," ",""),".",""),"-",""),"/",""),"?",""),"_",""),",",""),"[",""),"]",""),"(",""),")",""),"*","")</f>
        <v/>
      </c>
      <c r="AZ205" s="61" t="str">
        <f aca="false">SUBSTITUTE(SUBSTITUTE(SUBSTITUTE(SUBSTITUTE(SUBSTITUTE(SUBSTITUTE(SUBSTITUTE(SUBSTITUTE(SUBSTITUTE(SUBSTITUTE(SUBSTITUTE(SUBSTITUTE(SUBSTITUTE(LOWER(AC205&amp;""),CHAR(160),"")," ",""),".",""),"-",""),"/",""),"?",""),"_",""),",",""),"[",""),"]",""),"(",""),")",""),"*","")</f>
        <v/>
      </c>
      <c r="BA205" s="61" t="str">
        <f aca="false">SUBSTITUTE(SUBSTITUTE(SUBSTITUTE(SUBSTITUTE(SUBSTITUTE(SUBSTITUTE(SUBSTITUTE(SUBSTITUTE(SUBSTITUTE(SUBSTITUTE(SUBSTITUTE(SUBSTITUTE(SUBSTITUTE(LOWER(AA205&amp;""),CHAR(160),"")," ",""),".",""),"-",""),"/",""),"?",""),"_",""),",",""),"[",""),"]",""),"(",""),")",""),"*","")</f>
        <v/>
      </c>
      <c r="BB205" s="61" t="str">
        <f aca="false">IF(AND(TRIM(U205)="Pass",ISNUMBER(AF205)),IF(AF205&lt;&gt;0,"INVALID – qty variance: use Fail or Pass after CA",""),"")&amp;IF(AND(TRIM(U205)="Pass after CA",ISNUMBER(AF205)),IF(AF205&lt;&gt;0,"INVALID – after the corrective action the actual qty must equal expected (update Actual)",""),"")&amp;IF(AND(TRIM(U205)="Pass",TRIM(AB205)&lt;&gt;"",TRIM(AB205)&lt;&gt;"Closed"),"INVALID – corrective action not closed: use Fail, then Pass after CA","")&amp;IF(AND(TRIM(AA205)&lt;&gt;"",TRIM(AB205)=""),"INVALID – CA status missing for the recorded corrective action","")&amp;IF(AND(TRIM(U205)="Pass after CA",OR(OR(LEN(BA205)&lt;5,ISNUMBER(MATCH(BA205,L_Placeholder,0))),TRIM(AB205)&lt;&gt;"Closed")),"INVALID – corrective action not recorded/closed","")</f>
        <v/>
      </c>
    </row>
    <row r="206" customFormat="false" ht="39.75" hidden="false" customHeight="true" outlineLevel="0" collapsed="false">
      <c r="A206" s="57" t="s">
        <v>745</v>
      </c>
      <c r="B206" s="57" t="s">
        <v>228</v>
      </c>
      <c r="C206" s="57" t="str">
        <f aca="false">Flights!$F$10</f>
        <v>MH0002</v>
      </c>
      <c r="D206" s="58" t="n">
        <f aca="false">Flights!$D$10</f>
        <v>46310</v>
      </c>
      <c r="E206" s="57" t="str">
        <f aca="false">Flights!$G$10&amp;"-"&amp;Flights!$H$10</f>
        <v>KUL-LHR</v>
      </c>
      <c r="F206" s="57" t="str">
        <f aca="false">Flights!$K$10</f>
        <v>BC</v>
      </c>
      <c r="G206" s="57" t="s">
        <v>437</v>
      </c>
      <c r="H206" s="57" t="s">
        <v>438</v>
      </c>
      <c r="I206" s="57" t="s">
        <v>477</v>
      </c>
      <c r="J206" s="57" t="s">
        <v>524</v>
      </c>
      <c r="K206" s="67" t="s">
        <v>479</v>
      </c>
      <c r="L206" s="67" t="s">
        <v>722</v>
      </c>
      <c r="M206" s="67" t="s">
        <v>429</v>
      </c>
      <c r="N206" s="67" t="s">
        <v>361</v>
      </c>
      <c r="O206" s="67"/>
      <c r="P206" s="57" t="s">
        <v>184</v>
      </c>
      <c r="Q206" s="59" t="n">
        <f aca="false">ROUND((Flights!$AF$10)*1440,0)/1440</f>
        <v>46310.6388888889</v>
      </c>
      <c r="R206" s="59" t="n">
        <f aca="false">Q206+(IF(AND(INDEX(TZ_DSTS,MATCH(P206,TZ_STN,0))&lt;&gt;"",Q206&gt;=INDEX(TZ_DSTS,MATCH(P206,TZ_STN,0)),Q206&lt;INDEX(TZ_DSTE,MATCH(P206,TZ_STN,0))),INDEX(TZ_DST,MATCH(P206,TZ_STN,0)),INDEX(TZ_STD,MATCH(P206,TZ_STN,0))))/24</f>
        <v>46310.9722222222</v>
      </c>
      <c r="S206" s="59" t="n">
        <f aca="false">IF(ISNUMBER(Flights!$AZ$10),MAX(Q206-UpliftWindowH/24,Flights!$AZ$10),Q206-UpliftWindowH/24)</f>
        <v>46310.3888888889</v>
      </c>
      <c r="T206" s="60"/>
      <c r="U206" s="60"/>
      <c r="V206" s="60"/>
      <c r="W206" s="61"/>
      <c r="X206" s="60"/>
      <c r="Y206" s="60"/>
      <c r="Z206" s="60"/>
      <c r="AA206" s="60"/>
      <c r="AB206" s="60"/>
      <c r="AC206" s="60"/>
      <c r="AD206" s="66"/>
      <c r="AE206" s="60"/>
      <c r="AF206" s="61" t="str">
        <f aca="false">IF(AND(ISNUMBER(X206),ISNUMBER(Y206)),Y206-X206,"")</f>
        <v/>
      </c>
      <c r="AG206" s="62" t="str">
        <f aca="false">IF(ISNUMBER(AD206),AD206-(IF(AND(INDEX(TZ_DSTS,MATCH(P206,TZ_STN,0))&lt;&gt;"",(AD206-INDEX(TZ_STD,MATCH(P206,TZ_STN,0))/24)&gt;=INDEX(TZ_DSTS,MATCH(P206,TZ_STN,0)),(AD206-INDEX(TZ_STD,MATCH(P206,TZ_STN,0))/24)&lt;INDEX(TZ_DSTE,MATCH(P206,TZ_STN,0))),INDEX(TZ_DST,MATCH(P206,TZ_STN,0)),INDEX(TZ_STD,MATCH(P206,TZ_STN,0))))/24,"")</f>
        <v/>
      </c>
      <c r="AH206" s="65" t="str">
        <f aca="false">IFERROR(IF(N206="N/A – rule","N/A – RULE",IF(TRIM(U206)="N/A",IF(AT206=0,"INVALID – N/A not permitted for this check",IF(AND(TRIM(AB206)&lt;&gt;"",TRIM(AB206)&lt;&gt;"Closed"),"INVALID – corrective action still open",IF(AND(NOT(OR(LEN(AZ206)&lt;15,ISNUMBER(MATCH(AZ206,L_Placeholder,0)))),NOT(OR(LEN(AU206)&lt;2,ISNUMBER(MATCH(AU206,L_Placeholder,0)))),NOT(OR(LEN(AX206)&lt;2,ISNUMBER(MATCH(AX206,L_Placeholder,0)))),TRIM(AE206)&lt;&gt;TRIM(T206)),"N/A – JUSTIFIED","INVALID – N/A needs a real justification (15+ chars), PIC and a different verifier"))),IF(OR(TRIM(U206)="Pass",TRIM(U206)="Pass after CA"),IF(NOT(ISNUMBER(AD206)),"INVALID – completion time missing",IF(OR(LEN(AU206)&lt;2,ISNUMBER(MATCH(AU206,L_Placeholder,0))),"INVALID – PIC missing",IF(OR(LEN(AV206)&lt;2,ISNUMBER(MATCH(AV206,L_Placeholder,0))),"INVALID – result / assessment missing",IF(OR(OR(LEN(AW206)&lt;3,ISNUMBER(MATCH(AW206,L_Placeholder,0))),SUMPRODUCT(--ISNUMBER(SEARCH(L_EvidencePhrase,AW206)))&gt;0),"INVALID – evidence missing, placeholder or not yet on file",IF(OR(LEN(AX206)&lt;2,ISNUMBER(MATCH(AX206,L_Placeholder,0))),"INVALID – verifier missing",IF(AX206=AU206,"INVALID – verifier must be someone other than the PIC",IF(AND(TRIM(U206)="Pass",SUMPRODUCT(--ISNUMBER(SEARCH(L_ResultBad,AV206)))&gt;0),"INVALID – result describes a problem: use Fail, then Pass after CA",IF(AND(AQ206=1,OR(LEN(AY206)&lt;3,ISNUMBER(MATCH(AY206,L_Placeholder,0)))),"INVALID – batch ID missing or placeholder",IF(AND(AR206=1,OR(NOT(ISNUMBER(X206)),NOT(ISNUMBER(Y206)))),"INVALID – expected/actual qty missing",IF(AND(AR206=1,OR(X206&lt;=0,Y206&lt;0)),"INVALID – expected qty must be above 0 and actual not negative",IF(AH190="N/A – JUSTIFIED","INVALID – preparation row F06-T12-15 is N/A",IF(AND(AR206=1,ISNUMBER(X190),X206&lt;&gt;X190),"INVALID – expected qty differs from preparation check F06-T12-15",IF(BB206&lt;&gt;"",BB206,IF(AND(AS206=1,Documents!$J$10&lt;&gt;"ON FILE"),"INVALID – GLD not on file (Documents sheet)",IF(AND(AS206=2,Documents!$O$10&lt;&gt;"ON FILE"),"INVALID – menu checklist not on file (Documents sheet)",IF(AND(AS206=3,NOT(ISNUMBER(Flights!$AX$10))),"INVALID – enter carrying flight KUL departure (Flights AX)",IF(AND(AS206=3,OR(Flights!$AZ$10&gt;Flights!$AA$10,Flights!$AX$10&lt;Flights!$AA$10-3)),"INVALID – carrying flight (Flights AX) cannot arrive before this leg's STD, or is over 3 days early",IF(AG206&gt;AsOfUTC,"INVALID – completion time is in the future",IF(AND(ISNUMBER(S206),AG206&lt;S206),IF(H206="Physical uplift","INVALID – before uplift window (cannot confirm loading)","INVALID – before valid window"),IF(AG206&gt;Flights!$AA$10,"INVALID – completed after departure (cannot establish readiness)",IF(AND(H206="Preparation",AG206&gt;IF(ISNUMBER(Flights!$BA$10),MIN(Flights!$BA$10,Flights!$AA$10),Flights!$AA$10)),"INVALID – completed after loading / departure (cannot establish readiness)",IF(AND(H206="Physical uplift",AG206&gt;Q206),"INVALID – recorded after the loading flight departed",IF(AG206&gt;Q206,"COMPLETE – LATE","COMPLETE"))))))))))))))))))))))),IF(TRIM(U206)="Fail","FAIL – DISCREPANCY",IF(AND(TRIM(U206)&lt;&gt;"",TRIM(U206)&lt;&gt;"Not started",TRIM(U206)&lt;&gt;"In progress"),"INVALID – unrecognised status (use the list)",IF(AsOfUTC&gt;Q206,"OVERDUE",IF(N206="Clarification required","OPEN – CLARIFICATION","OPEN"))))))),"INVALID – error value in an input cell")</f>
        <v>OPEN</v>
      </c>
      <c r="AI206" s="61" t="n">
        <f aca="false">IF(OR(AH206="N/A – RULE",AH206="N/A – JUSTIFIED"),0,1)</f>
        <v>1</v>
      </c>
      <c r="AJ206" s="61" t="n">
        <f aca="false">IF(LEFT(AH206,8)="COMPLETE",1,0)</f>
        <v>0</v>
      </c>
      <c r="AK206" s="61" t="n">
        <f aca="false">IF(AND(AI206=1,AJ206=0,AsOfUTC&gt;Q206),1,0)</f>
        <v>0</v>
      </c>
      <c r="AL206" s="61" t="n">
        <f aca="false">IFERROR(IF(AND(AI206=1,OR(TRIM(U206)="Fail",AND(TRIM(AB206)&lt;&gt;"",TRIM(AB206)&lt;&gt;"Closed"),AND(ISNUMBER(AF206),AF206&lt;&gt;0,TRIM(U206)&lt;&gt;"Pass after CA"))),1,0),1)</f>
        <v>0</v>
      </c>
      <c r="AM206" s="61" t="n">
        <f aca="false">IF(LEFT(AH206,7)="INVALID",1,0)</f>
        <v>0</v>
      </c>
      <c r="AN206" s="61" t="n">
        <f aca="false">IF(AND(N206="Clarification required",AI206=1,AJ206=0),1,0)</f>
        <v>0</v>
      </c>
      <c r="AO206" s="61" t="str">
        <f aca="false">IF(AK206=1,SUM(AK$5:AK206),"")</f>
        <v/>
      </c>
      <c r="AP206" s="61" t="str">
        <f aca="false">IF(AL206=1,SUM(AL$5:AL206),"")</f>
        <v/>
      </c>
      <c r="AQ206" s="61" t="n">
        <v>0</v>
      </c>
      <c r="AR206" s="61" t="n">
        <v>0</v>
      </c>
      <c r="AS206" s="61" t="n">
        <v>0</v>
      </c>
      <c r="AT206" s="61" t="n">
        <v>0</v>
      </c>
      <c r="AU206" s="61" t="str">
        <f aca="false">SUBSTITUTE(SUBSTITUTE(SUBSTITUTE(SUBSTITUTE(SUBSTITUTE(SUBSTITUTE(SUBSTITUTE(SUBSTITUTE(SUBSTITUTE(SUBSTITUTE(SUBSTITUTE(SUBSTITUTE(SUBSTITUTE(LOWER(T206&amp;""),CHAR(160),"")," ",""),".",""),"-",""),"/",""),"?",""),"_",""),",",""),"[",""),"]",""),"(",""),")",""),"*","")</f>
        <v/>
      </c>
      <c r="AV206" s="61" t="str">
        <f aca="false">SUBSTITUTE(SUBSTITUTE(SUBSTITUTE(SUBSTITUTE(SUBSTITUTE(SUBSTITUTE(SUBSTITUTE(SUBSTITUTE(SUBSTITUTE(SUBSTITUTE(SUBSTITUTE(SUBSTITUTE(SUBSTITUTE(LOWER(V206&amp;""),CHAR(160),"")," ",""),".",""),"-",""),"/",""),"?",""),"_",""),",",""),"[",""),"]",""),"(",""),")",""),"*","")</f>
        <v/>
      </c>
      <c r="AW206" s="61" t="str">
        <f aca="false">SUBSTITUTE(SUBSTITUTE(SUBSTITUTE(SUBSTITUTE(SUBSTITUTE(SUBSTITUTE(SUBSTITUTE(SUBSTITUTE(SUBSTITUTE(SUBSTITUTE(SUBSTITUTE(SUBSTITUTE(SUBSTITUTE(LOWER(Z206&amp;""),CHAR(160),"")," ",""),".",""),"-",""),"/",""),"?",""),"_",""),",",""),"[",""),"]",""),"(",""),")",""),"*","")</f>
        <v/>
      </c>
      <c r="AX206" s="61" t="str">
        <f aca="false">SUBSTITUTE(SUBSTITUTE(SUBSTITUTE(SUBSTITUTE(SUBSTITUTE(SUBSTITUTE(SUBSTITUTE(SUBSTITUTE(SUBSTITUTE(SUBSTITUTE(SUBSTITUTE(SUBSTITUTE(SUBSTITUTE(LOWER(AE206&amp;""),CHAR(160),"")," ",""),".",""),"-",""),"/",""),"?",""),"_",""),",",""),"[",""),"]",""),"(",""),")",""),"*","")</f>
        <v/>
      </c>
      <c r="AY206" s="61" t="str">
        <f aca="false">SUBSTITUTE(SUBSTITUTE(SUBSTITUTE(SUBSTITUTE(SUBSTITUTE(SUBSTITUTE(SUBSTITUTE(SUBSTITUTE(SUBSTITUTE(SUBSTITUTE(SUBSTITUTE(SUBSTITUTE(SUBSTITUTE(LOWER(W206&amp;""),CHAR(160),"")," ",""),".",""),"-",""),"/",""),"?",""),"_",""),",",""),"[",""),"]",""),"(",""),")",""),"*","")</f>
        <v/>
      </c>
      <c r="AZ206" s="61" t="str">
        <f aca="false">SUBSTITUTE(SUBSTITUTE(SUBSTITUTE(SUBSTITUTE(SUBSTITUTE(SUBSTITUTE(SUBSTITUTE(SUBSTITUTE(SUBSTITUTE(SUBSTITUTE(SUBSTITUTE(SUBSTITUTE(SUBSTITUTE(LOWER(AC206&amp;""),CHAR(160),"")," ",""),".",""),"-",""),"/",""),"?",""),"_",""),",",""),"[",""),"]",""),"(",""),")",""),"*","")</f>
        <v/>
      </c>
      <c r="BA206" s="61" t="str">
        <f aca="false">SUBSTITUTE(SUBSTITUTE(SUBSTITUTE(SUBSTITUTE(SUBSTITUTE(SUBSTITUTE(SUBSTITUTE(SUBSTITUTE(SUBSTITUTE(SUBSTITUTE(SUBSTITUTE(SUBSTITUTE(SUBSTITUTE(LOWER(AA206&amp;""),CHAR(160),"")," ",""),".",""),"-",""),"/",""),"?",""),"_",""),",",""),"[",""),"]",""),"(",""),")",""),"*","")</f>
        <v/>
      </c>
      <c r="BB206" s="61" t="str">
        <f aca="false">IF(AND(TRIM(U206)="Pass",ISNUMBER(AF206)),IF(AF206&lt;&gt;0,"INVALID – qty variance: use Fail or Pass after CA",""),"")&amp;IF(AND(TRIM(U206)="Pass after CA",ISNUMBER(AF206)),IF(AF206&lt;&gt;0,"INVALID – after the corrective action the actual qty must equal expected (update Actual)",""),"")&amp;IF(AND(TRIM(U206)="Pass",TRIM(AB206)&lt;&gt;"",TRIM(AB206)&lt;&gt;"Closed"),"INVALID – corrective action not closed: use Fail, then Pass after CA","")&amp;IF(AND(TRIM(AA206)&lt;&gt;"",TRIM(AB206)=""),"INVALID – CA status missing for the recorded corrective action","")&amp;IF(AND(TRIM(U206)="Pass after CA",OR(OR(LEN(BA206)&lt;5,ISNUMBER(MATCH(BA206,L_Placeholder,0))),TRIM(AB206)&lt;&gt;"Closed")),"INVALID – corrective action not recorded/closed","")</f>
        <v/>
      </c>
    </row>
    <row r="207" customFormat="false" ht="39.75" hidden="false" customHeight="true" outlineLevel="0" collapsed="false">
      <c r="A207" s="57" t="s">
        <v>746</v>
      </c>
      <c r="B207" s="57" t="s">
        <v>228</v>
      </c>
      <c r="C207" s="57" t="str">
        <f aca="false">Flights!$F$10</f>
        <v>MH0002</v>
      </c>
      <c r="D207" s="58" t="n">
        <f aca="false">Flights!$D$10</f>
        <v>46310</v>
      </c>
      <c r="E207" s="57" t="str">
        <f aca="false">Flights!$G$10&amp;"-"&amp;Flights!$H$10</f>
        <v>KUL-LHR</v>
      </c>
      <c r="F207" s="57" t="str">
        <f aca="false">Flights!$K$10</f>
        <v>BC</v>
      </c>
      <c r="G207" s="57" t="s">
        <v>437</v>
      </c>
      <c r="H207" s="57" t="s">
        <v>438</v>
      </c>
      <c r="I207" s="57" t="s">
        <v>477</v>
      </c>
      <c r="J207" s="57" t="s">
        <v>526</v>
      </c>
      <c r="K207" s="67" t="s">
        <v>594</v>
      </c>
      <c r="L207" s="67" t="s">
        <v>724</v>
      </c>
      <c r="M207" s="67" t="s">
        <v>429</v>
      </c>
      <c r="N207" s="67" t="s">
        <v>361</v>
      </c>
      <c r="O207" s="67" t="s">
        <v>527</v>
      </c>
      <c r="P207" s="57" t="s">
        <v>184</v>
      </c>
      <c r="Q207" s="59" t="n">
        <f aca="false">ROUND((Flights!$AF$10)*1440,0)/1440</f>
        <v>46310.6388888889</v>
      </c>
      <c r="R207" s="59" t="n">
        <f aca="false">Q207+(IF(AND(INDEX(TZ_DSTS,MATCH(P207,TZ_STN,0))&lt;&gt;"",Q207&gt;=INDEX(TZ_DSTS,MATCH(P207,TZ_STN,0)),Q207&lt;INDEX(TZ_DSTE,MATCH(P207,TZ_STN,0))),INDEX(TZ_DST,MATCH(P207,TZ_STN,0)),INDEX(TZ_STD,MATCH(P207,TZ_STN,0))))/24</f>
        <v>46310.9722222222</v>
      </c>
      <c r="S207" s="59" t="n">
        <f aca="false">IF(ISNUMBER(Flights!$AZ$10),MAX(Q207-UpliftWindowH/24,Flights!$AZ$10),Q207-UpliftWindowH/24)</f>
        <v>46310.3888888889</v>
      </c>
      <c r="T207" s="60"/>
      <c r="U207" s="60"/>
      <c r="V207" s="60"/>
      <c r="W207" s="61"/>
      <c r="X207" s="60"/>
      <c r="Y207" s="60"/>
      <c r="Z207" s="60"/>
      <c r="AA207" s="60"/>
      <c r="AB207" s="60"/>
      <c r="AC207" s="60"/>
      <c r="AD207" s="66"/>
      <c r="AE207" s="60"/>
      <c r="AF207" s="61" t="str">
        <f aca="false">IF(AND(ISNUMBER(X207),ISNUMBER(Y207)),Y207-X207,"")</f>
        <v/>
      </c>
      <c r="AG207" s="62" t="str">
        <f aca="false">IF(ISNUMBER(AD207),AD207-(IF(AND(INDEX(TZ_DSTS,MATCH(P207,TZ_STN,0))&lt;&gt;"",(AD207-INDEX(TZ_STD,MATCH(P207,TZ_STN,0))/24)&gt;=INDEX(TZ_DSTS,MATCH(P207,TZ_STN,0)),(AD207-INDEX(TZ_STD,MATCH(P207,TZ_STN,0))/24)&lt;INDEX(TZ_DSTE,MATCH(P207,TZ_STN,0))),INDEX(TZ_DST,MATCH(P207,TZ_STN,0)),INDEX(TZ_STD,MATCH(P207,TZ_STN,0))))/24,"")</f>
        <v/>
      </c>
      <c r="AH207" s="65" t="str">
        <f aca="false">IFERROR(IF(N207="N/A – rule","N/A – RULE",IF(TRIM(U207)="N/A",IF(AT207=0,"INVALID – N/A not permitted for this check",IF(AND(TRIM(AB207)&lt;&gt;"",TRIM(AB207)&lt;&gt;"Closed"),"INVALID – corrective action still open",IF(AND(NOT(OR(LEN(AZ207)&lt;15,ISNUMBER(MATCH(AZ207,L_Placeholder,0)))),NOT(OR(LEN(AU207)&lt;2,ISNUMBER(MATCH(AU207,L_Placeholder,0)))),NOT(OR(LEN(AX207)&lt;2,ISNUMBER(MATCH(AX207,L_Placeholder,0)))),TRIM(AE207)&lt;&gt;TRIM(T207)),"N/A – JUSTIFIED","INVALID – N/A needs a real justification (15+ chars), PIC and a different verifier"))),IF(OR(TRIM(U207)="Pass",TRIM(U207)="Pass after CA"),IF(NOT(ISNUMBER(AD207)),"INVALID – completion time missing",IF(OR(LEN(AU207)&lt;2,ISNUMBER(MATCH(AU207,L_Placeholder,0))),"INVALID – PIC missing",IF(OR(LEN(AV207)&lt;2,ISNUMBER(MATCH(AV207,L_Placeholder,0))),"INVALID – result / assessment missing",IF(OR(OR(LEN(AW207)&lt;3,ISNUMBER(MATCH(AW207,L_Placeholder,0))),SUMPRODUCT(--ISNUMBER(SEARCH(L_EvidencePhrase,AW207)))&gt;0),"INVALID – evidence missing, placeholder or not yet on file",IF(OR(LEN(AX207)&lt;2,ISNUMBER(MATCH(AX207,L_Placeholder,0))),"INVALID – verifier missing",IF(AX207=AU207,"INVALID – verifier must be someone other than the PIC",IF(AND(TRIM(U207)="Pass",SUMPRODUCT(--ISNUMBER(SEARCH(L_ResultBad,AV207)))&gt;0),"INVALID – result describes a problem: use Fail, then Pass after CA",IF(AND(AQ207=1,OR(LEN(AY207)&lt;3,ISNUMBER(MATCH(AY207,L_Placeholder,0)))),"INVALID – batch ID missing or placeholder",IF(AND(AR207=1,OR(NOT(ISNUMBER(X207)),NOT(ISNUMBER(Y207)))),"INVALID – expected/actual qty missing",IF(AND(AR207=1,OR(X207&lt;=0,Y207&lt;0)),"INVALID – expected qty must be above 0 and actual not negative",IF(AH191="N/A – JUSTIFIED","INVALID – preparation row F06-T12-16 is N/A",IF(AND(AR207=1,ISNUMBER(X191),X207&lt;&gt;X191),"INVALID – expected qty differs from preparation check F06-T12-16",IF(BB207&lt;&gt;"",BB207,IF(AND(AS207=1,Documents!$J$10&lt;&gt;"ON FILE"),"INVALID – GLD not on file (Documents sheet)",IF(AND(AS207=2,Documents!$O$10&lt;&gt;"ON FILE"),"INVALID – menu checklist not on file (Documents sheet)",IF(AND(AS207=3,NOT(ISNUMBER(Flights!$AX$10))),"INVALID – enter carrying flight KUL departure (Flights AX)",IF(AND(AS207=3,OR(Flights!$AZ$10&gt;Flights!$AA$10,Flights!$AX$10&lt;Flights!$AA$10-3)),"INVALID – carrying flight (Flights AX) cannot arrive before this leg's STD, or is over 3 days early",IF(AG207&gt;AsOfUTC,"INVALID – completion time is in the future",IF(AND(ISNUMBER(S207),AG207&lt;S207),IF(H207="Physical uplift","INVALID – before uplift window (cannot confirm loading)","INVALID – before valid window"),IF(AG207&gt;Flights!$AA$10,"INVALID – completed after departure (cannot establish readiness)",IF(AND(H207="Preparation",AG207&gt;IF(ISNUMBER(Flights!$BA$10),MIN(Flights!$BA$10,Flights!$AA$10),Flights!$AA$10)),"INVALID – completed after loading / departure (cannot establish readiness)",IF(AND(H207="Physical uplift",AG207&gt;Q207),"INVALID – recorded after the loading flight departed",IF(AG207&gt;Q207,"COMPLETE – LATE","COMPLETE"))))))))))))))))))))))),IF(TRIM(U207)="Fail","FAIL – DISCREPANCY",IF(AND(TRIM(U207)&lt;&gt;"",TRIM(U207)&lt;&gt;"Not started",TRIM(U207)&lt;&gt;"In progress"),"INVALID – unrecognised status (use the list)",IF(AsOfUTC&gt;Q207,"OVERDUE",IF(N207="Clarification required","OPEN – CLARIFICATION","OPEN"))))))),"INVALID – error value in an input cell")</f>
        <v>OPEN</v>
      </c>
      <c r="AI207" s="61" t="n">
        <f aca="false">IF(OR(AH207="N/A – RULE",AH207="N/A – JUSTIFIED"),0,1)</f>
        <v>1</v>
      </c>
      <c r="AJ207" s="61" t="n">
        <f aca="false">IF(LEFT(AH207,8)="COMPLETE",1,0)</f>
        <v>0</v>
      </c>
      <c r="AK207" s="61" t="n">
        <f aca="false">IF(AND(AI207=1,AJ207=0,AsOfUTC&gt;Q207),1,0)</f>
        <v>0</v>
      </c>
      <c r="AL207" s="61" t="n">
        <f aca="false">IFERROR(IF(AND(AI207=1,OR(TRIM(U207)="Fail",AND(TRIM(AB207)&lt;&gt;"",TRIM(AB207)&lt;&gt;"Closed"),AND(ISNUMBER(AF207),AF207&lt;&gt;0,TRIM(U207)&lt;&gt;"Pass after CA"))),1,0),1)</f>
        <v>0</v>
      </c>
      <c r="AM207" s="61" t="n">
        <f aca="false">IF(LEFT(AH207,7)="INVALID",1,0)</f>
        <v>0</v>
      </c>
      <c r="AN207" s="61" t="n">
        <f aca="false">IF(AND(N207="Clarification required",AI207=1,AJ207=0),1,0)</f>
        <v>0</v>
      </c>
      <c r="AO207" s="61" t="str">
        <f aca="false">IF(AK207=1,SUM(AK$5:AK207),"")</f>
        <v/>
      </c>
      <c r="AP207" s="61" t="str">
        <f aca="false">IF(AL207=1,SUM(AL$5:AL207),"")</f>
        <v/>
      </c>
      <c r="AQ207" s="61" t="n">
        <v>0</v>
      </c>
      <c r="AR207" s="61" t="n">
        <v>0</v>
      </c>
      <c r="AS207" s="61" t="n">
        <v>0</v>
      </c>
      <c r="AT207" s="61" t="n">
        <v>0</v>
      </c>
      <c r="AU207" s="61" t="str">
        <f aca="false">SUBSTITUTE(SUBSTITUTE(SUBSTITUTE(SUBSTITUTE(SUBSTITUTE(SUBSTITUTE(SUBSTITUTE(SUBSTITUTE(SUBSTITUTE(SUBSTITUTE(SUBSTITUTE(SUBSTITUTE(SUBSTITUTE(LOWER(T207&amp;""),CHAR(160),"")," ",""),".",""),"-",""),"/",""),"?",""),"_",""),",",""),"[",""),"]",""),"(",""),")",""),"*","")</f>
        <v/>
      </c>
      <c r="AV207" s="61" t="str">
        <f aca="false">SUBSTITUTE(SUBSTITUTE(SUBSTITUTE(SUBSTITUTE(SUBSTITUTE(SUBSTITUTE(SUBSTITUTE(SUBSTITUTE(SUBSTITUTE(SUBSTITUTE(SUBSTITUTE(SUBSTITUTE(SUBSTITUTE(LOWER(V207&amp;""),CHAR(160),"")," ",""),".",""),"-",""),"/",""),"?",""),"_",""),",",""),"[",""),"]",""),"(",""),")",""),"*","")</f>
        <v/>
      </c>
      <c r="AW207" s="61" t="str">
        <f aca="false">SUBSTITUTE(SUBSTITUTE(SUBSTITUTE(SUBSTITUTE(SUBSTITUTE(SUBSTITUTE(SUBSTITUTE(SUBSTITUTE(SUBSTITUTE(SUBSTITUTE(SUBSTITUTE(SUBSTITUTE(SUBSTITUTE(LOWER(Z207&amp;""),CHAR(160),"")," ",""),".",""),"-",""),"/",""),"?",""),"_",""),",",""),"[",""),"]",""),"(",""),")",""),"*","")</f>
        <v/>
      </c>
      <c r="AX207" s="61" t="str">
        <f aca="false">SUBSTITUTE(SUBSTITUTE(SUBSTITUTE(SUBSTITUTE(SUBSTITUTE(SUBSTITUTE(SUBSTITUTE(SUBSTITUTE(SUBSTITUTE(SUBSTITUTE(SUBSTITUTE(SUBSTITUTE(SUBSTITUTE(LOWER(AE207&amp;""),CHAR(160),"")," ",""),".",""),"-",""),"/",""),"?",""),"_",""),",",""),"[",""),"]",""),"(",""),")",""),"*","")</f>
        <v/>
      </c>
      <c r="AY207" s="61" t="str">
        <f aca="false">SUBSTITUTE(SUBSTITUTE(SUBSTITUTE(SUBSTITUTE(SUBSTITUTE(SUBSTITUTE(SUBSTITUTE(SUBSTITUTE(SUBSTITUTE(SUBSTITUTE(SUBSTITUTE(SUBSTITUTE(SUBSTITUTE(LOWER(W207&amp;""),CHAR(160),"")," ",""),".",""),"-",""),"/",""),"?",""),"_",""),",",""),"[",""),"]",""),"(",""),")",""),"*","")</f>
        <v/>
      </c>
      <c r="AZ207" s="61" t="str">
        <f aca="false">SUBSTITUTE(SUBSTITUTE(SUBSTITUTE(SUBSTITUTE(SUBSTITUTE(SUBSTITUTE(SUBSTITUTE(SUBSTITUTE(SUBSTITUTE(SUBSTITUTE(SUBSTITUTE(SUBSTITUTE(SUBSTITUTE(LOWER(AC207&amp;""),CHAR(160),"")," ",""),".",""),"-",""),"/",""),"?",""),"_",""),",",""),"[",""),"]",""),"(",""),")",""),"*","")</f>
        <v/>
      </c>
      <c r="BA207" s="61" t="str">
        <f aca="false">SUBSTITUTE(SUBSTITUTE(SUBSTITUTE(SUBSTITUTE(SUBSTITUTE(SUBSTITUTE(SUBSTITUTE(SUBSTITUTE(SUBSTITUTE(SUBSTITUTE(SUBSTITUTE(SUBSTITUTE(SUBSTITUTE(LOWER(AA207&amp;""),CHAR(160),"")," ",""),".",""),"-",""),"/",""),"?",""),"_",""),",",""),"[",""),"]",""),"(",""),")",""),"*","")</f>
        <v/>
      </c>
      <c r="BB207" s="61" t="str">
        <f aca="false">IF(AND(TRIM(U207)="Pass",ISNUMBER(AF207)),IF(AF207&lt;&gt;0,"INVALID – qty variance: use Fail or Pass after CA",""),"")&amp;IF(AND(TRIM(U207)="Pass after CA",ISNUMBER(AF207)),IF(AF207&lt;&gt;0,"INVALID – after the corrective action the actual qty must equal expected (update Actual)",""),"")&amp;IF(AND(TRIM(U207)="Pass",TRIM(AB207)&lt;&gt;"",TRIM(AB207)&lt;&gt;"Closed"),"INVALID – corrective action not closed: use Fail, then Pass after CA","")&amp;IF(AND(TRIM(AA207)&lt;&gt;"",TRIM(AB207)=""),"INVALID – CA status missing for the recorded corrective action","")&amp;IF(AND(TRIM(U207)="Pass after CA",OR(OR(LEN(BA207)&lt;5,ISNUMBER(MATCH(BA207,L_Placeholder,0))),TRIM(AB207)&lt;&gt;"Closed")),"INVALID – corrective action not recorded/closed","")</f>
        <v/>
      </c>
    </row>
    <row r="208" customFormat="false" ht="39.75" hidden="false" customHeight="true" outlineLevel="0" collapsed="false">
      <c r="A208" s="57" t="s">
        <v>747</v>
      </c>
      <c r="B208" s="57" t="s">
        <v>228</v>
      </c>
      <c r="C208" s="57" t="str">
        <f aca="false">Flights!$F$10</f>
        <v>MH0002</v>
      </c>
      <c r="D208" s="58" t="n">
        <f aca="false">Flights!$D$10</f>
        <v>46310</v>
      </c>
      <c r="E208" s="57" t="str">
        <f aca="false">Flights!$G$10&amp;"-"&amp;Flights!$H$10</f>
        <v>KUL-LHR</v>
      </c>
      <c r="F208" s="57" t="str">
        <f aca="false">Flights!$K$10</f>
        <v>BC</v>
      </c>
      <c r="G208" s="57" t="s">
        <v>437</v>
      </c>
      <c r="H208" s="57" t="s">
        <v>438</v>
      </c>
      <c r="I208" s="57" t="s">
        <v>477</v>
      </c>
      <c r="J208" s="57" t="s">
        <v>529</v>
      </c>
      <c r="K208" s="67" t="s">
        <v>479</v>
      </c>
      <c r="L208" s="67" t="s">
        <v>726</v>
      </c>
      <c r="M208" s="67" t="s">
        <v>429</v>
      </c>
      <c r="N208" s="67" t="s">
        <v>361</v>
      </c>
      <c r="O208" s="67"/>
      <c r="P208" s="57" t="s">
        <v>184</v>
      </c>
      <c r="Q208" s="59" t="n">
        <f aca="false">ROUND((Flights!$AF$10)*1440,0)/1440</f>
        <v>46310.6388888889</v>
      </c>
      <c r="R208" s="59" t="n">
        <f aca="false">Q208+(IF(AND(INDEX(TZ_DSTS,MATCH(P208,TZ_STN,0))&lt;&gt;"",Q208&gt;=INDEX(TZ_DSTS,MATCH(P208,TZ_STN,0)),Q208&lt;INDEX(TZ_DSTE,MATCH(P208,TZ_STN,0))),INDEX(TZ_DST,MATCH(P208,TZ_STN,0)),INDEX(TZ_STD,MATCH(P208,TZ_STN,0))))/24</f>
        <v>46310.9722222222</v>
      </c>
      <c r="S208" s="59" t="n">
        <f aca="false">IF(ISNUMBER(Flights!$AZ$10),MAX(Q208-UpliftWindowH/24,Flights!$AZ$10),Q208-UpliftWindowH/24)</f>
        <v>46310.3888888889</v>
      </c>
      <c r="T208" s="60"/>
      <c r="U208" s="60"/>
      <c r="V208" s="60"/>
      <c r="W208" s="61"/>
      <c r="X208" s="60"/>
      <c r="Y208" s="60"/>
      <c r="Z208" s="60"/>
      <c r="AA208" s="60"/>
      <c r="AB208" s="60"/>
      <c r="AC208" s="60"/>
      <c r="AD208" s="66"/>
      <c r="AE208" s="60"/>
      <c r="AF208" s="61" t="str">
        <f aca="false">IF(AND(ISNUMBER(X208),ISNUMBER(Y208)),Y208-X208,"")</f>
        <v/>
      </c>
      <c r="AG208" s="62" t="str">
        <f aca="false">IF(ISNUMBER(AD208),AD208-(IF(AND(INDEX(TZ_DSTS,MATCH(P208,TZ_STN,0))&lt;&gt;"",(AD208-INDEX(TZ_STD,MATCH(P208,TZ_STN,0))/24)&gt;=INDEX(TZ_DSTS,MATCH(P208,TZ_STN,0)),(AD208-INDEX(TZ_STD,MATCH(P208,TZ_STN,0))/24)&lt;INDEX(TZ_DSTE,MATCH(P208,TZ_STN,0))),INDEX(TZ_DST,MATCH(P208,TZ_STN,0)),INDEX(TZ_STD,MATCH(P208,TZ_STN,0))))/24,"")</f>
        <v/>
      </c>
      <c r="AH208" s="65" t="str">
        <f aca="false">IFERROR(IF(N208="N/A – rule","N/A – RULE",IF(TRIM(U208)="N/A",IF(AT208=0,"INVALID – N/A not permitted for this check",IF(AND(TRIM(AB208)&lt;&gt;"",TRIM(AB208)&lt;&gt;"Closed"),"INVALID – corrective action still open",IF(AND(NOT(OR(LEN(AZ208)&lt;15,ISNUMBER(MATCH(AZ208,L_Placeholder,0)))),NOT(OR(LEN(AU208)&lt;2,ISNUMBER(MATCH(AU208,L_Placeholder,0)))),NOT(OR(LEN(AX208)&lt;2,ISNUMBER(MATCH(AX208,L_Placeholder,0)))),TRIM(AE208)&lt;&gt;TRIM(T208)),"N/A – JUSTIFIED","INVALID – N/A needs a real justification (15+ chars), PIC and a different verifier"))),IF(OR(TRIM(U208)="Pass",TRIM(U208)="Pass after CA"),IF(NOT(ISNUMBER(AD208)),"INVALID – completion time missing",IF(OR(LEN(AU208)&lt;2,ISNUMBER(MATCH(AU208,L_Placeholder,0))),"INVALID – PIC missing",IF(OR(LEN(AV208)&lt;2,ISNUMBER(MATCH(AV208,L_Placeholder,0))),"INVALID – result / assessment missing",IF(OR(OR(LEN(AW208)&lt;3,ISNUMBER(MATCH(AW208,L_Placeholder,0))),SUMPRODUCT(--ISNUMBER(SEARCH(L_EvidencePhrase,AW208)))&gt;0),"INVALID – evidence missing, placeholder or not yet on file",IF(OR(LEN(AX208)&lt;2,ISNUMBER(MATCH(AX208,L_Placeholder,0))),"INVALID – verifier missing",IF(AX208=AU208,"INVALID – verifier must be someone other than the PIC",IF(AND(TRIM(U208)="Pass",SUMPRODUCT(--ISNUMBER(SEARCH(L_ResultBad,AV208)))&gt;0),"INVALID – result describes a problem: use Fail, then Pass after CA",IF(AND(AQ208=1,OR(LEN(AY208)&lt;3,ISNUMBER(MATCH(AY208,L_Placeholder,0)))),"INVALID – batch ID missing or placeholder",IF(AND(AR208=1,OR(NOT(ISNUMBER(X208)),NOT(ISNUMBER(Y208)))),"INVALID – expected/actual qty missing",IF(AND(AR208=1,OR(X208&lt;=0,Y208&lt;0)),"INVALID – expected qty must be above 0 and actual not negative",IF(AH192="N/A – JUSTIFIED","INVALID – preparation row F06-T12-17 is N/A",IF(AND(AR208=1,ISNUMBER(X192),X208&lt;&gt;X192),"INVALID – expected qty differs from preparation check F06-T12-17",IF(BB208&lt;&gt;"",BB208,IF(AND(AS208=1,Documents!$J$10&lt;&gt;"ON FILE"),"INVALID – GLD not on file (Documents sheet)",IF(AND(AS208=2,Documents!$O$10&lt;&gt;"ON FILE"),"INVALID – menu checklist not on file (Documents sheet)",IF(AND(AS208=3,NOT(ISNUMBER(Flights!$AX$10))),"INVALID – enter carrying flight KUL departure (Flights AX)",IF(AND(AS208=3,OR(Flights!$AZ$10&gt;Flights!$AA$10,Flights!$AX$10&lt;Flights!$AA$10-3)),"INVALID – carrying flight (Flights AX) cannot arrive before this leg's STD, or is over 3 days early",IF(AG208&gt;AsOfUTC,"INVALID – completion time is in the future",IF(AND(ISNUMBER(S208),AG208&lt;S208),IF(H208="Physical uplift","INVALID – before uplift window (cannot confirm loading)","INVALID – before valid window"),IF(AG208&gt;Flights!$AA$10,"INVALID – completed after departure (cannot establish readiness)",IF(AND(H208="Preparation",AG208&gt;IF(ISNUMBER(Flights!$BA$10),MIN(Flights!$BA$10,Flights!$AA$10),Flights!$AA$10)),"INVALID – completed after loading / departure (cannot establish readiness)",IF(AND(H208="Physical uplift",AG208&gt;Q208),"INVALID – recorded after the loading flight departed",IF(AG208&gt;Q208,"COMPLETE – LATE","COMPLETE"))))))))))))))))))))))),IF(TRIM(U208)="Fail","FAIL – DISCREPANCY",IF(AND(TRIM(U208)&lt;&gt;"",TRIM(U208)&lt;&gt;"Not started",TRIM(U208)&lt;&gt;"In progress"),"INVALID – unrecognised status (use the list)",IF(AsOfUTC&gt;Q208,"OVERDUE",IF(N208="Clarification required","OPEN – CLARIFICATION","OPEN"))))))),"INVALID – error value in an input cell")</f>
        <v>OPEN</v>
      </c>
      <c r="AI208" s="61" t="n">
        <f aca="false">IF(OR(AH208="N/A – RULE",AH208="N/A – JUSTIFIED"),0,1)</f>
        <v>1</v>
      </c>
      <c r="AJ208" s="61" t="n">
        <f aca="false">IF(LEFT(AH208,8)="COMPLETE",1,0)</f>
        <v>0</v>
      </c>
      <c r="AK208" s="61" t="n">
        <f aca="false">IF(AND(AI208=1,AJ208=0,AsOfUTC&gt;Q208),1,0)</f>
        <v>0</v>
      </c>
      <c r="AL208" s="61" t="n">
        <f aca="false">IFERROR(IF(AND(AI208=1,OR(TRIM(U208)="Fail",AND(TRIM(AB208)&lt;&gt;"",TRIM(AB208)&lt;&gt;"Closed"),AND(ISNUMBER(AF208),AF208&lt;&gt;0,TRIM(U208)&lt;&gt;"Pass after CA"))),1,0),1)</f>
        <v>0</v>
      </c>
      <c r="AM208" s="61" t="n">
        <f aca="false">IF(LEFT(AH208,7)="INVALID",1,0)</f>
        <v>0</v>
      </c>
      <c r="AN208" s="61" t="n">
        <f aca="false">IF(AND(N208="Clarification required",AI208=1,AJ208=0),1,0)</f>
        <v>0</v>
      </c>
      <c r="AO208" s="61" t="str">
        <f aca="false">IF(AK208=1,SUM(AK$5:AK208),"")</f>
        <v/>
      </c>
      <c r="AP208" s="61" t="str">
        <f aca="false">IF(AL208=1,SUM(AL$5:AL208),"")</f>
        <v/>
      </c>
      <c r="AQ208" s="61" t="n">
        <v>0</v>
      </c>
      <c r="AR208" s="61" t="n">
        <v>0</v>
      </c>
      <c r="AS208" s="61" t="n">
        <v>0</v>
      </c>
      <c r="AT208" s="61" t="n">
        <v>0</v>
      </c>
      <c r="AU208" s="61" t="str">
        <f aca="false">SUBSTITUTE(SUBSTITUTE(SUBSTITUTE(SUBSTITUTE(SUBSTITUTE(SUBSTITUTE(SUBSTITUTE(SUBSTITUTE(SUBSTITUTE(SUBSTITUTE(SUBSTITUTE(SUBSTITUTE(SUBSTITUTE(LOWER(T208&amp;""),CHAR(160),"")," ",""),".",""),"-",""),"/",""),"?",""),"_",""),",",""),"[",""),"]",""),"(",""),")",""),"*","")</f>
        <v/>
      </c>
      <c r="AV208" s="61" t="str">
        <f aca="false">SUBSTITUTE(SUBSTITUTE(SUBSTITUTE(SUBSTITUTE(SUBSTITUTE(SUBSTITUTE(SUBSTITUTE(SUBSTITUTE(SUBSTITUTE(SUBSTITUTE(SUBSTITUTE(SUBSTITUTE(SUBSTITUTE(LOWER(V208&amp;""),CHAR(160),"")," ",""),".",""),"-",""),"/",""),"?",""),"_",""),",",""),"[",""),"]",""),"(",""),")",""),"*","")</f>
        <v/>
      </c>
      <c r="AW208" s="61" t="str">
        <f aca="false">SUBSTITUTE(SUBSTITUTE(SUBSTITUTE(SUBSTITUTE(SUBSTITUTE(SUBSTITUTE(SUBSTITUTE(SUBSTITUTE(SUBSTITUTE(SUBSTITUTE(SUBSTITUTE(SUBSTITUTE(SUBSTITUTE(LOWER(Z208&amp;""),CHAR(160),"")," ",""),".",""),"-",""),"/",""),"?",""),"_",""),",",""),"[",""),"]",""),"(",""),")",""),"*","")</f>
        <v/>
      </c>
      <c r="AX208" s="61" t="str">
        <f aca="false">SUBSTITUTE(SUBSTITUTE(SUBSTITUTE(SUBSTITUTE(SUBSTITUTE(SUBSTITUTE(SUBSTITUTE(SUBSTITUTE(SUBSTITUTE(SUBSTITUTE(SUBSTITUTE(SUBSTITUTE(SUBSTITUTE(LOWER(AE208&amp;""),CHAR(160),"")," ",""),".",""),"-",""),"/",""),"?",""),"_",""),",",""),"[",""),"]",""),"(",""),")",""),"*","")</f>
        <v/>
      </c>
      <c r="AY208" s="61" t="str">
        <f aca="false">SUBSTITUTE(SUBSTITUTE(SUBSTITUTE(SUBSTITUTE(SUBSTITUTE(SUBSTITUTE(SUBSTITUTE(SUBSTITUTE(SUBSTITUTE(SUBSTITUTE(SUBSTITUTE(SUBSTITUTE(SUBSTITUTE(LOWER(W208&amp;""),CHAR(160),"")," ",""),".",""),"-",""),"/",""),"?",""),"_",""),",",""),"[",""),"]",""),"(",""),")",""),"*","")</f>
        <v/>
      </c>
      <c r="AZ208" s="61" t="str">
        <f aca="false">SUBSTITUTE(SUBSTITUTE(SUBSTITUTE(SUBSTITUTE(SUBSTITUTE(SUBSTITUTE(SUBSTITUTE(SUBSTITUTE(SUBSTITUTE(SUBSTITUTE(SUBSTITUTE(SUBSTITUTE(SUBSTITUTE(LOWER(AC208&amp;""),CHAR(160),"")," ",""),".",""),"-",""),"/",""),"?",""),"_",""),",",""),"[",""),"]",""),"(",""),")",""),"*","")</f>
        <v/>
      </c>
      <c r="BA208" s="61" t="str">
        <f aca="false">SUBSTITUTE(SUBSTITUTE(SUBSTITUTE(SUBSTITUTE(SUBSTITUTE(SUBSTITUTE(SUBSTITUTE(SUBSTITUTE(SUBSTITUTE(SUBSTITUTE(SUBSTITUTE(SUBSTITUTE(SUBSTITUTE(LOWER(AA208&amp;""),CHAR(160),"")," ",""),".",""),"-",""),"/",""),"?",""),"_",""),",",""),"[",""),"]",""),"(",""),")",""),"*","")</f>
        <v/>
      </c>
      <c r="BB208" s="61" t="str">
        <f aca="false">IF(AND(TRIM(U208)="Pass",ISNUMBER(AF208)),IF(AF208&lt;&gt;0,"INVALID – qty variance: use Fail or Pass after CA",""),"")&amp;IF(AND(TRIM(U208)="Pass after CA",ISNUMBER(AF208)),IF(AF208&lt;&gt;0,"INVALID – after the corrective action the actual qty must equal expected (update Actual)",""),"")&amp;IF(AND(TRIM(U208)="Pass",TRIM(AB208)&lt;&gt;"",TRIM(AB208)&lt;&gt;"Closed"),"INVALID – corrective action not closed: use Fail, then Pass after CA","")&amp;IF(AND(TRIM(AA208)&lt;&gt;"",TRIM(AB208)=""),"INVALID – CA status missing for the recorded corrective action","")&amp;IF(AND(TRIM(U208)="Pass after CA",OR(OR(LEN(BA208)&lt;5,ISNUMBER(MATCH(BA208,L_Placeholder,0))),TRIM(AB208)&lt;&gt;"Closed")),"INVALID – corrective action not recorded/closed","")</f>
        <v/>
      </c>
    </row>
    <row r="209" customFormat="false" ht="39.75" hidden="false" customHeight="true" outlineLevel="0" collapsed="false">
      <c r="A209" s="57" t="s">
        <v>748</v>
      </c>
      <c r="B209" s="57" t="s">
        <v>228</v>
      </c>
      <c r="C209" s="57" t="str">
        <f aca="false">Flights!$F$10</f>
        <v>MH0002</v>
      </c>
      <c r="D209" s="58" t="n">
        <f aca="false">Flights!$D$10</f>
        <v>46310</v>
      </c>
      <c r="E209" s="57" t="str">
        <f aca="false">Flights!$G$10&amp;"-"&amp;Flights!$H$10</f>
        <v>KUL-LHR</v>
      </c>
      <c r="F209" s="57" t="str">
        <f aca="false">Flights!$K$10</f>
        <v>BC</v>
      </c>
      <c r="G209" s="57" t="s">
        <v>437</v>
      </c>
      <c r="H209" s="57" t="s">
        <v>438</v>
      </c>
      <c r="I209" s="57" t="s">
        <v>425</v>
      </c>
      <c r="J209" s="57" t="s">
        <v>531</v>
      </c>
      <c r="K209" s="67" t="s">
        <v>427</v>
      </c>
      <c r="L209" s="67" t="s">
        <v>728</v>
      </c>
      <c r="M209" s="67" t="s">
        <v>429</v>
      </c>
      <c r="N209" s="67" t="s">
        <v>361</v>
      </c>
      <c r="O209" s="67"/>
      <c r="P209" s="57" t="s">
        <v>184</v>
      </c>
      <c r="Q209" s="59" t="n">
        <f aca="false">ROUND((Flights!$AF$10)*1440,0)/1440</f>
        <v>46310.6388888889</v>
      </c>
      <c r="R209" s="59" t="n">
        <f aca="false">Q209+(IF(AND(INDEX(TZ_DSTS,MATCH(P209,TZ_STN,0))&lt;&gt;"",Q209&gt;=INDEX(TZ_DSTS,MATCH(P209,TZ_STN,0)),Q209&lt;INDEX(TZ_DSTE,MATCH(P209,TZ_STN,0))),INDEX(TZ_DST,MATCH(P209,TZ_STN,0)),INDEX(TZ_STD,MATCH(P209,TZ_STN,0))))/24</f>
        <v>46310.9722222222</v>
      </c>
      <c r="S209" s="59" t="n">
        <f aca="false">IF(ISNUMBER(Flights!$AZ$10),MAX(Q209-UpliftWindowH/24,Flights!$AZ$10),Q209-UpliftWindowH/24)</f>
        <v>46310.3888888889</v>
      </c>
      <c r="T209" s="60"/>
      <c r="U209" s="60"/>
      <c r="V209" s="60"/>
      <c r="W209" s="61"/>
      <c r="X209" s="60"/>
      <c r="Y209" s="60"/>
      <c r="Z209" s="60"/>
      <c r="AA209" s="60"/>
      <c r="AB209" s="60"/>
      <c r="AC209" s="60"/>
      <c r="AD209" s="66"/>
      <c r="AE209" s="60"/>
      <c r="AF209" s="61" t="str">
        <f aca="false">IF(AND(ISNUMBER(X209),ISNUMBER(Y209)),Y209-X209,"")</f>
        <v/>
      </c>
      <c r="AG209" s="62" t="str">
        <f aca="false">IF(ISNUMBER(AD209),AD209-(IF(AND(INDEX(TZ_DSTS,MATCH(P209,TZ_STN,0))&lt;&gt;"",(AD209-INDEX(TZ_STD,MATCH(P209,TZ_STN,0))/24)&gt;=INDEX(TZ_DSTS,MATCH(P209,TZ_STN,0)),(AD209-INDEX(TZ_STD,MATCH(P209,TZ_STN,0))/24)&lt;INDEX(TZ_DSTE,MATCH(P209,TZ_STN,0))),INDEX(TZ_DST,MATCH(P209,TZ_STN,0)),INDEX(TZ_STD,MATCH(P209,TZ_STN,0))))/24,"")</f>
        <v/>
      </c>
      <c r="AH209" s="65" t="str">
        <f aca="false">IFERROR(IF(N209="N/A – rule","N/A – RULE",IF(TRIM(U209)="N/A",IF(AT209=0,"INVALID – N/A not permitted for this check",IF(AND(TRIM(AB209)&lt;&gt;"",TRIM(AB209)&lt;&gt;"Closed"),"INVALID – corrective action still open",IF(AND(NOT(OR(LEN(AZ209)&lt;15,ISNUMBER(MATCH(AZ209,L_Placeholder,0)))),NOT(OR(LEN(AU209)&lt;2,ISNUMBER(MATCH(AU209,L_Placeholder,0)))),NOT(OR(LEN(AX209)&lt;2,ISNUMBER(MATCH(AX209,L_Placeholder,0)))),TRIM(AE209)&lt;&gt;TRIM(T209)),"N/A – JUSTIFIED","INVALID – N/A needs a real justification (15+ chars), PIC and a different verifier"))),IF(OR(TRIM(U209)="Pass",TRIM(U209)="Pass after CA"),IF(NOT(ISNUMBER(AD209)),"INVALID – completion time missing",IF(OR(LEN(AU209)&lt;2,ISNUMBER(MATCH(AU209,L_Placeholder,0))),"INVALID – PIC missing",IF(OR(LEN(AV209)&lt;2,ISNUMBER(MATCH(AV209,L_Placeholder,0))),"INVALID – result / assessment missing",IF(OR(OR(LEN(AW209)&lt;3,ISNUMBER(MATCH(AW209,L_Placeholder,0))),SUMPRODUCT(--ISNUMBER(SEARCH(L_EvidencePhrase,AW209)))&gt;0),"INVALID – evidence missing, placeholder or not yet on file",IF(OR(LEN(AX209)&lt;2,ISNUMBER(MATCH(AX209,L_Placeholder,0))),"INVALID – verifier missing",IF(AX209=AU209,"INVALID – verifier must be someone other than the PIC",IF(AND(TRIM(U209)="Pass",SUMPRODUCT(--ISNUMBER(SEARCH(L_ResultBad,AV209)))&gt;0),"INVALID – result describes a problem: use Fail, then Pass after CA",IF(AND(AQ209=1,OR(LEN(AY209)&lt;3,ISNUMBER(MATCH(AY209,L_Placeholder,0)))),"INVALID – batch ID missing or placeholder",IF(AND(AR209=1,OR(NOT(ISNUMBER(X209)),NOT(ISNUMBER(Y209)))),"INVALID – expected/actual qty missing",IF(AND(AR209=1,OR(X209&lt;=0,Y209&lt;0)),"INVALID – expected qty must be above 0 and actual not negative",IF(AH193="N/A – JUSTIFIED","INVALID – preparation row F06-T12-18 is N/A",IF(AND(AR209=1,ISNUMBER(X193),X209&lt;&gt;X193),"INVALID – expected qty differs from preparation check F06-T12-18",IF(BB209&lt;&gt;"",BB209,IF(AND(AS209=1,Documents!$J$10&lt;&gt;"ON FILE"),"INVALID – GLD not on file (Documents sheet)",IF(AND(AS209=2,Documents!$O$10&lt;&gt;"ON FILE"),"INVALID – menu checklist not on file (Documents sheet)",IF(AND(AS209=3,NOT(ISNUMBER(Flights!$AX$10))),"INVALID – enter carrying flight KUL departure (Flights AX)",IF(AND(AS209=3,OR(Flights!$AZ$10&gt;Flights!$AA$10,Flights!$AX$10&lt;Flights!$AA$10-3)),"INVALID – carrying flight (Flights AX) cannot arrive before this leg's STD, or is over 3 days early",IF(AG209&gt;AsOfUTC,"INVALID – completion time is in the future",IF(AND(ISNUMBER(S209),AG209&lt;S209),IF(H209="Physical uplift","INVALID – before uplift window (cannot confirm loading)","INVALID – before valid window"),IF(AG209&gt;Flights!$AA$10,"INVALID – completed after departure (cannot establish readiness)",IF(AND(H209="Preparation",AG209&gt;IF(ISNUMBER(Flights!$BA$10),MIN(Flights!$BA$10,Flights!$AA$10),Flights!$AA$10)),"INVALID – completed after loading / departure (cannot establish readiness)",IF(AND(H209="Physical uplift",AG209&gt;Q209),"INVALID – recorded after the loading flight departed",IF(AG209&gt;Q209,"COMPLETE – LATE","COMPLETE"))))))))))))))))))))))),IF(TRIM(U209)="Fail","FAIL – DISCREPANCY",IF(AND(TRIM(U209)&lt;&gt;"",TRIM(U209)&lt;&gt;"Not started",TRIM(U209)&lt;&gt;"In progress"),"INVALID – unrecognised status (use the list)",IF(AsOfUTC&gt;Q209,"OVERDUE",IF(N209="Clarification required","OPEN – CLARIFICATION","OPEN"))))))),"INVALID – error value in an input cell")</f>
        <v>OPEN</v>
      </c>
      <c r="AI209" s="61" t="n">
        <f aca="false">IF(OR(AH209="N/A – RULE",AH209="N/A – JUSTIFIED"),0,1)</f>
        <v>1</v>
      </c>
      <c r="AJ209" s="61" t="n">
        <f aca="false">IF(LEFT(AH209,8)="COMPLETE",1,0)</f>
        <v>0</v>
      </c>
      <c r="AK209" s="61" t="n">
        <f aca="false">IF(AND(AI209=1,AJ209=0,AsOfUTC&gt;Q209),1,0)</f>
        <v>0</v>
      </c>
      <c r="AL209" s="61" t="n">
        <f aca="false">IFERROR(IF(AND(AI209=1,OR(TRIM(U209)="Fail",AND(TRIM(AB209)&lt;&gt;"",TRIM(AB209)&lt;&gt;"Closed"),AND(ISNUMBER(AF209),AF209&lt;&gt;0,TRIM(U209)&lt;&gt;"Pass after CA"))),1,0),1)</f>
        <v>0</v>
      </c>
      <c r="AM209" s="61" t="n">
        <f aca="false">IF(LEFT(AH209,7)="INVALID",1,0)</f>
        <v>0</v>
      </c>
      <c r="AN209" s="61" t="n">
        <f aca="false">IF(AND(N209="Clarification required",AI209=1,AJ209=0),1,0)</f>
        <v>0</v>
      </c>
      <c r="AO209" s="61" t="str">
        <f aca="false">IF(AK209=1,SUM(AK$5:AK209),"")</f>
        <v/>
      </c>
      <c r="AP209" s="61" t="str">
        <f aca="false">IF(AL209=1,SUM(AL$5:AL209),"")</f>
        <v/>
      </c>
      <c r="AQ209" s="61" t="n">
        <v>0</v>
      </c>
      <c r="AR209" s="61" t="n">
        <v>0</v>
      </c>
      <c r="AS209" s="61" t="n">
        <v>0</v>
      </c>
      <c r="AT209" s="61" t="n">
        <v>0</v>
      </c>
      <c r="AU209" s="61" t="str">
        <f aca="false">SUBSTITUTE(SUBSTITUTE(SUBSTITUTE(SUBSTITUTE(SUBSTITUTE(SUBSTITUTE(SUBSTITUTE(SUBSTITUTE(SUBSTITUTE(SUBSTITUTE(SUBSTITUTE(SUBSTITUTE(SUBSTITUTE(LOWER(T209&amp;""),CHAR(160),"")," ",""),".",""),"-",""),"/",""),"?",""),"_",""),",",""),"[",""),"]",""),"(",""),")",""),"*","")</f>
        <v/>
      </c>
      <c r="AV209" s="61" t="str">
        <f aca="false">SUBSTITUTE(SUBSTITUTE(SUBSTITUTE(SUBSTITUTE(SUBSTITUTE(SUBSTITUTE(SUBSTITUTE(SUBSTITUTE(SUBSTITUTE(SUBSTITUTE(SUBSTITUTE(SUBSTITUTE(SUBSTITUTE(LOWER(V209&amp;""),CHAR(160),"")," ",""),".",""),"-",""),"/",""),"?",""),"_",""),",",""),"[",""),"]",""),"(",""),")",""),"*","")</f>
        <v/>
      </c>
      <c r="AW209" s="61" t="str">
        <f aca="false">SUBSTITUTE(SUBSTITUTE(SUBSTITUTE(SUBSTITUTE(SUBSTITUTE(SUBSTITUTE(SUBSTITUTE(SUBSTITUTE(SUBSTITUTE(SUBSTITUTE(SUBSTITUTE(SUBSTITUTE(SUBSTITUTE(LOWER(Z209&amp;""),CHAR(160),"")," ",""),".",""),"-",""),"/",""),"?",""),"_",""),",",""),"[",""),"]",""),"(",""),")",""),"*","")</f>
        <v/>
      </c>
      <c r="AX209" s="61" t="str">
        <f aca="false">SUBSTITUTE(SUBSTITUTE(SUBSTITUTE(SUBSTITUTE(SUBSTITUTE(SUBSTITUTE(SUBSTITUTE(SUBSTITUTE(SUBSTITUTE(SUBSTITUTE(SUBSTITUTE(SUBSTITUTE(SUBSTITUTE(LOWER(AE209&amp;""),CHAR(160),"")," ",""),".",""),"-",""),"/",""),"?",""),"_",""),",",""),"[",""),"]",""),"(",""),")",""),"*","")</f>
        <v/>
      </c>
      <c r="AY209" s="61" t="str">
        <f aca="false">SUBSTITUTE(SUBSTITUTE(SUBSTITUTE(SUBSTITUTE(SUBSTITUTE(SUBSTITUTE(SUBSTITUTE(SUBSTITUTE(SUBSTITUTE(SUBSTITUTE(SUBSTITUTE(SUBSTITUTE(SUBSTITUTE(LOWER(W209&amp;""),CHAR(160),"")," ",""),".",""),"-",""),"/",""),"?",""),"_",""),",",""),"[",""),"]",""),"(",""),")",""),"*","")</f>
        <v/>
      </c>
      <c r="AZ209" s="61" t="str">
        <f aca="false">SUBSTITUTE(SUBSTITUTE(SUBSTITUTE(SUBSTITUTE(SUBSTITUTE(SUBSTITUTE(SUBSTITUTE(SUBSTITUTE(SUBSTITUTE(SUBSTITUTE(SUBSTITUTE(SUBSTITUTE(SUBSTITUTE(LOWER(AC209&amp;""),CHAR(160),"")," ",""),".",""),"-",""),"/",""),"?",""),"_",""),",",""),"[",""),"]",""),"(",""),")",""),"*","")</f>
        <v/>
      </c>
      <c r="BA209" s="61" t="str">
        <f aca="false">SUBSTITUTE(SUBSTITUTE(SUBSTITUTE(SUBSTITUTE(SUBSTITUTE(SUBSTITUTE(SUBSTITUTE(SUBSTITUTE(SUBSTITUTE(SUBSTITUTE(SUBSTITUTE(SUBSTITUTE(SUBSTITUTE(LOWER(AA209&amp;""),CHAR(160),"")," ",""),".",""),"-",""),"/",""),"?",""),"_",""),",",""),"[",""),"]",""),"(",""),")",""),"*","")</f>
        <v/>
      </c>
      <c r="BB209" s="61" t="str">
        <f aca="false">IF(AND(TRIM(U209)="Pass",ISNUMBER(AF209)),IF(AF209&lt;&gt;0,"INVALID – qty variance: use Fail or Pass after CA",""),"")&amp;IF(AND(TRIM(U209)="Pass after CA",ISNUMBER(AF209)),IF(AF209&lt;&gt;0,"INVALID – after the corrective action the actual qty must equal expected (update Actual)",""),"")&amp;IF(AND(TRIM(U209)="Pass",TRIM(AB209)&lt;&gt;"",TRIM(AB209)&lt;&gt;"Closed"),"INVALID – corrective action not closed: use Fail, then Pass after CA","")&amp;IF(AND(TRIM(AA209)&lt;&gt;"",TRIM(AB209)=""),"INVALID – CA status missing for the recorded corrective action","")&amp;IF(AND(TRIM(U209)="Pass after CA",OR(OR(LEN(BA209)&lt;5,ISNUMBER(MATCH(BA209,L_Placeholder,0))),TRIM(AB209)&lt;&gt;"Closed")),"INVALID – corrective action not recorded/closed","")</f>
        <v/>
      </c>
    </row>
    <row r="210" customFormat="false" ht="39.75" hidden="false" customHeight="true" outlineLevel="0" collapsed="false">
      <c r="A210" s="57" t="s">
        <v>749</v>
      </c>
      <c r="B210" s="57" t="s">
        <v>228</v>
      </c>
      <c r="C210" s="57" t="str">
        <f aca="false">Flights!$F$10</f>
        <v>MH0002</v>
      </c>
      <c r="D210" s="58" t="n">
        <f aca="false">Flights!$D$10</f>
        <v>46310</v>
      </c>
      <c r="E210" s="57" t="str">
        <f aca="false">Flights!$G$10&amp;"-"&amp;Flights!$H$10</f>
        <v>KUL-LHR</v>
      </c>
      <c r="F210" s="57" t="str">
        <f aca="false">Flights!$K$10</f>
        <v>BC</v>
      </c>
      <c r="G210" s="57" t="s">
        <v>437</v>
      </c>
      <c r="H210" s="57" t="s">
        <v>438</v>
      </c>
      <c r="I210" s="57" t="s">
        <v>425</v>
      </c>
      <c r="J210" s="57" t="s">
        <v>631</v>
      </c>
      <c r="K210" s="67" t="s">
        <v>427</v>
      </c>
      <c r="L210" s="67" t="s">
        <v>730</v>
      </c>
      <c r="M210" s="67" t="s">
        <v>429</v>
      </c>
      <c r="N210" s="67" t="s">
        <v>361</v>
      </c>
      <c r="O210" s="67"/>
      <c r="P210" s="57" t="s">
        <v>184</v>
      </c>
      <c r="Q210" s="59" t="n">
        <f aca="false">ROUND((Flights!$AF$10)*1440,0)/1440</f>
        <v>46310.6388888889</v>
      </c>
      <c r="R210" s="59" t="n">
        <f aca="false">Q210+(IF(AND(INDEX(TZ_DSTS,MATCH(P210,TZ_STN,0))&lt;&gt;"",Q210&gt;=INDEX(TZ_DSTS,MATCH(P210,TZ_STN,0)),Q210&lt;INDEX(TZ_DSTE,MATCH(P210,TZ_STN,0))),INDEX(TZ_DST,MATCH(P210,TZ_STN,0)),INDEX(TZ_STD,MATCH(P210,TZ_STN,0))))/24</f>
        <v>46310.9722222222</v>
      </c>
      <c r="S210" s="59" t="n">
        <f aca="false">IF(ISNUMBER(Flights!$AZ$10),MAX(Q210-UpliftWindowH/24,Flights!$AZ$10),Q210-UpliftWindowH/24)</f>
        <v>46310.3888888889</v>
      </c>
      <c r="T210" s="60"/>
      <c r="U210" s="60"/>
      <c r="V210" s="60"/>
      <c r="W210" s="61"/>
      <c r="X210" s="60"/>
      <c r="Y210" s="60"/>
      <c r="Z210" s="60"/>
      <c r="AA210" s="60"/>
      <c r="AB210" s="60"/>
      <c r="AC210" s="60"/>
      <c r="AD210" s="66"/>
      <c r="AE210" s="60"/>
      <c r="AF210" s="61" t="str">
        <f aca="false">IF(AND(ISNUMBER(X210),ISNUMBER(Y210)),Y210-X210,"")</f>
        <v/>
      </c>
      <c r="AG210" s="62" t="str">
        <f aca="false">IF(ISNUMBER(AD210),AD210-(IF(AND(INDEX(TZ_DSTS,MATCH(P210,TZ_STN,0))&lt;&gt;"",(AD210-INDEX(TZ_STD,MATCH(P210,TZ_STN,0))/24)&gt;=INDEX(TZ_DSTS,MATCH(P210,TZ_STN,0)),(AD210-INDEX(TZ_STD,MATCH(P210,TZ_STN,0))/24)&lt;INDEX(TZ_DSTE,MATCH(P210,TZ_STN,0))),INDEX(TZ_DST,MATCH(P210,TZ_STN,0)),INDEX(TZ_STD,MATCH(P210,TZ_STN,0))))/24,"")</f>
        <v/>
      </c>
      <c r="AH210" s="65" t="str">
        <f aca="false">IFERROR(IF(N210="N/A – rule","N/A – RULE",IF(TRIM(U210)="N/A",IF(AT210=0,"INVALID – N/A not permitted for this check",IF(AND(TRIM(AB210)&lt;&gt;"",TRIM(AB210)&lt;&gt;"Closed"),"INVALID – corrective action still open",IF(AND(NOT(OR(LEN(AZ210)&lt;15,ISNUMBER(MATCH(AZ210,L_Placeholder,0)))),NOT(OR(LEN(AU210)&lt;2,ISNUMBER(MATCH(AU210,L_Placeholder,0)))),NOT(OR(LEN(AX210)&lt;2,ISNUMBER(MATCH(AX210,L_Placeholder,0)))),TRIM(AE210)&lt;&gt;TRIM(T210)),"N/A – JUSTIFIED","INVALID – N/A needs a real justification (15+ chars), PIC and a different verifier"))),IF(OR(TRIM(U210)="Pass",TRIM(U210)="Pass after CA"),IF(NOT(ISNUMBER(AD210)),"INVALID – completion time missing",IF(OR(LEN(AU210)&lt;2,ISNUMBER(MATCH(AU210,L_Placeholder,0))),"INVALID – PIC missing",IF(OR(LEN(AV210)&lt;2,ISNUMBER(MATCH(AV210,L_Placeholder,0))),"INVALID – result / assessment missing",IF(OR(OR(LEN(AW210)&lt;3,ISNUMBER(MATCH(AW210,L_Placeholder,0))),SUMPRODUCT(--ISNUMBER(SEARCH(L_EvidencePhrase,AW210)))&gt;0),"INVALID – evidence missing, placeholder or not yet on file",IF(OR(LEN(AX210)&lt;2,ISNUMBER(MATCH(AX210,L_Placeholder,0))),"INVALID – verifier missing",IF(AX210=AU210,"INVALID – verifier must be someone other than the PIC",IF(AND(TRIM(U210)="Pass",SUMPRODUCT(--ISNUMBER(SEARCH(L_ResultBad,AV210)))&gt;0),"INVALID – result describes a problem: use Fail, then Pass after CA",IF(AND(AQ210=1,OR(LEN(AY210)&lt;3,ISNUMBER(MATCH(AY210,L_Placeholder,0)))),"INVALID – batch ID missing or placeholder",IF(AND(AR210=1,OR(NOT(ISNUMBER(X210)),NOT(ISNUMBER(Y210)))),"INVALID – expected/actual qty missing",IF(AND(AR210=1,OR(X210&lt;=0,Y210&lt;0)),"INVALID – expected qty must be above 0 and actual not negative",IF(AH194="N/A – JUSTIFIED","INVALID – preparation row F06-T12-19 is N/A",IF(AND(AR210=1,ISNUMBER(X194),X210&lt;&gt;X194),"INVALID – expected qty differs from preparation check F06-T12-19",IF(BB210&lt;&gt;"",BB210,IF(AND(AS210=1,Documents!$J$10&lt;&gt;"ON FILE"),"INVALID – GLD not on file (Documents sheet)",IF(AND(AS210=2,Documents!$O$10&lt;&gt;"ON FILE"),"INVALID – menu checklist not on file (Documents sheet)",IF(AND(AS210=3,NOT(ISNUMBER(Flights!$AX$10))),"INVALID – enter carrying flight KUL departure (Flights AX)",IF(AND(AS210=3,OR(Flights!$AZ$10&gt;Flights!$AA$10,Flights!$AX$10&lt;Flights!$AA$10-3)),"INVALID – carrying flight (Flights AX) cannot arrive before this leg's STD, or is over 3 days early",IF(AG210&gt;AsOfUTC,"INVALID – completion time is in the future",IF(AND(ISNUMBER(S210),AG210&lt;S210),IF(H210="Physical uplift","INVALID – before uplift window (cannot confirm loading)","INVALID – before valid window"),IF(AG210&gt;Flights!$AA$10,"INVALID – completed after departure (cannot establish readiness)",IF(AND(H210="Preparation",AG210&gt;IF(ISNUMBER(Flights!$BA$10),MIN(Flights!$BA$10,Flights!$AA$10),Flights!$AA$10)),"INVALID – completed after loading / departure (cannot establish readiness)",IF(AND(H210="Physical uplift",AG210&gt;Q210),"INVALID – recorded after the loading flight departed",IF(AG210&gt;Q210,"COMPLETE – LATE","COMPLETE"))))))))))))))))))))))),IF(TRIM(U210)="Fail","FAIL – DISCREPANCY",IF(AND(TRIM(U210)&lt;&gt;"",TRIM(U210)&lt;&gt;"Not started",TRIM(U210)&lt;&gt;"In progress"),"INVALID – unrecognised status (use the list)",IF(AsOfUTC&gt;Q210,"OVERDUE",IF(N210="Clarification required","OPEN – CLARIFICATION","OPEN"))))))),"INVALID – error value in an input cell")</f>
        <v>OPEN</v>
      </c>
      <c r="AI210" s="61" t="n">
        <f aca="false">IF(OR(AH210="N/A – RULE",AH210="N/A – JUSTIFIED"),0,1)</f>
        <v>1</v>
      </c>
      <c r="AJ210" s="61" t="n">
        <f aca="false">IF(LEFT(AH210,8)="COMPLETE",1,0)</f>
        <v>0</v>
      </c>
      <c r="AK210" s="61" t="n">
        <f aca="false">IF(AND(AI210=1,AJ210=0,AsOfUTC&gt;Q210),1,0)</f>
        <v>0</v>
      </c>
      <c r="AL210" s="61" t="n">
        <f aca="false">IFERROR(IF(AND(AI210=1,OR(TRIM(U210)="Fail",AND(TRIM(AB210)&lt;&gt;"",TRIM(AB210)&lt;&gt;"Closed"),AND(ISNUMBER(AF210),AF210&lt;&gt;0,TRIM(U210)&lt;&gt;"Pass after CA"))),1,0),1)</f>
        <v>0</v>
      </c>
      <c r="AM210" s="61" t="n">
        <f aca="false">IF(LEFT(AH210,7)="INVALID",1,0)</f>
        <v>0</v>
      </c>
      <c r="AN210" s="61" t="n">
        <f aca="false">IF(AND(N210="Clarification required",AI210=1,AJ210=0),1,0)</f>
        <v>0</v>
      </c>
      <c r="AO210" s="61" t="str">
        <f aca="false">IF(AK210=1,SUM(AK$5:AK210),"")</f>
        <v/>
      </c>
      <c r="AP210" s="61" t="str">
        <f aca="false">IF(AL210=1,SUM(AL$5:AL210),"")</f>
        <v/>
      </c>
      <c r="AQ210" s="61" t="n">
        <v>0</v>
      </c>
      <c r="AR210" s="61" t="n">
        <v>0</v>
      </c>
      <c r="AS210" s="61" t="n">
        <v>0</v>
      </c>
      <c r="AT210" s="61" t="n">
        <v>0</v>
      </c>
      <c r="AU210" s="61" t="str">
        <f aca="false">SUBSTITUTE(SUBSTITUTE(SUBSTITUTE(SUBSTITUTE(SUBSTITUTE(SUBSTITUTE(SUBSTITUTE(SUBSTITUTE(SUBSTITUTE(SUBSTITUTE(SUBSTITUTE(SUBSTITUTE(SUBSTITUTE(LOWER(T210&amp;""),CHAR(160),"")," ",""),".",""),"-",""),"/",""),"?",""),"_",""),",",""),"[",""),"]",""),"(",""),")",""),"*","")</f>
        <v/>
      </c>
      <c r="AV210" s="61" t="str">
        <f aca="false">SUBSTITUTE(SUBSTITUTE(SUBSTITUTE(SUBSTITUTE(SUBSTITUTE(SUBSTITUTE(SUBSTITUTE(SUBSTITUTE(SUBSTITUTE(SUBSTITUTE(SUBSTITUTE(SUBSTITUTE(SUBSTITUTE(LOWER(V210&amp;""),CHAR(160),"")," ",""),".",""),"-",""),"/",""),"?",""),"_",""),",",""),"[",""),"]",""),"(",""),")",""),"*","")</f>
        <v/>
      </c>
      <c r="AW210" s="61" t="str">
        <f aca="false">SUBSTITUTE(SUBSTITUTE(SUBSTITUTE(SUBSTITUTE(SUBSTITUTE(SUBSTITUTE(SUBSTITUTE(SUBSTITUTE(SUBSTITUTE(SUBSTITUTE(SUBSTITUTE(SUBSTITUTE(SUBSTITUTE(LOWER(Z210&amp;""),CHAR(160),"")," ",""),".",""),"-",""),"/",""),"?",""),"_",""),",",""),"[",""),"]",""),"(",""),")",""),"*","")</f>
        <v/>
      </c>
      <c r="AX210" s="61" t="str">
        <f aca="false">SUBSTITUTE(SUBSTITUTE(SUBSTITUTE(SUBSTITUTE(SUBSTITUTE(SUBSTITUTE(SUBSTITUTE(SUBSTITUTE(SUBSTITUTE(SUBSTITUTE(SUBSTITUTE(SUBSTITUTE(SUBSTITUTE(LOWER(AE210&amp;""),CHAR(160),"")," ",""),".",""),"-",""),"/",""),"?",""),"_",""),",",""),"[",""),"]",""),"(",""),")",""),"*","")</f>
        <v/>
      </c>
      <c r="AY210" s="61" t="str">
        <f aca="false">SUBSTITUTE(SUBSTITUTE(SUBSTITUTE(SUBSTITUTE(SUBSTITUTE(SUBSTITUTE(SUBSTITUTE(SUBSTITUTE(SUBSTITUTE(SUBSTITUTE(SUBSTITUTE(SUBSTITUTE(SUBSTITUTE(LOWER(W210&amp;""),CHAR(160),"")," ",""),".",""),"-",""),"/",""),"?",""),"_",""),",",""),"[",""),"]",""),"(",""),")",""),"*","")</f>
        <v/>
      </c>
      <c r="AZ210" s="61" t="str">
        <f aca="false">SUBSTITUTE(SUBSTITUTE(SUBSTITUTE(SUBSTITUTE(SUBSTITUTE(SUBSTITUTE(SUBSTITUTE(SUBSTITUTE(SUBSTITUTE(SUBSTITUTE(SUBSTITUTE(SUBSTITUTE(SUBSTITUTE(LOWER(AC210&amp;""),CHAR(160),"")," ",""),".",""),"-",""),"/",""),"?",""),"_",""),",",""),"[",""),"]",""),"(",""),")",""),"*","")</f>
        <v/>
      </c>
      <c r="BA210" s="61" t="str">
        <f aca="false">SUBSTITUTE(SUBSTITUTE(SUBSTITUTE(SUBSTITUTE(SUBSTITUTE(SUBSTITUTE(SUBSTITUTE(SUBSTITUTE(SUBSTITUTE(SUBSTITUTE(SUBSTITUTE(SUBSTITUTE(SUBSTITUTE(LOWER(AA210&amp;""),CHAR(160),"")," ",""),".",""),"-",""),"/",""),"?",""),"_",""),",",""),"[",""),"]",""),"(",""),")",""),"*","")</f>
        <v/>
      </c>
      <c r="BB210" s="61" t="str">
        <f aca="false">IF(AND(TRIM(U210)="Pass",ISNUMBER(AF210)),IF(AF210&lt;&gt;0,"INVALID – qty variance: use Fail or Pass after CA",""),"")&amp;IF(AND(TRIM(U210)="Pass after CA",ISNUMBER(AF210)),IF(AF210&lt;&gt;0,"INVALID – after the corrective action the actual qty must equal expected (update Actual)",""),"")&amp;IF(AND(TRIM(U210)="Pass",TRIM(AB210)&lt;&gt;"",TRIM(AB210)&lt;&gt;"Closed"),"INVALID – corrective action not closed: use Fail, then Pass after CA","")&amp;IF(AND(TRIM(AA210)&lt;&gt;"",TRIM(AB210)=""),"INVALID – CA status missing for the recorded corrective action","")&amp;IF(AND(TRIM(U210)="Pass after CA",OR(OR(LEN(BA210)&lt;5,ISNUMBER(MATCH(BA210,L_Placeholder,0))),TRIM(AB210)&lt;&gt;"Closed")),"INVALID – corrective action not recorded/closed","")</f>
        <v/>
      </c>
    </row>
    <row r="211" customFormat="false" ht="39.75" hidden="false" customHeight="true" outlineLevel="0" collapsed="false">
      <c r="A211" s="57" t="s">
        <v>750</v>
      </c>
      <c r="B211" s="57" t="s">
        <v>228</v>
      </c>
      <c r="C211" s="57" t="str">
        <f aca="false">Flights!$F$10</f>
        <v>MH0002</v>
      </c>
      <c r="D211" s="58" t="n">
        <f aca="false">Flights!$D$10</f>
        <v>46310</v>
      </c>
      <c r="E211" s="57" t="str">
        <f aca="false">Flights!$G$10&amp;"-"&amp;Flights!$H$10</f>
        <v>KUL-LHR</v>
      </c>
      <c r="F211" s="57" t="str">
        <f aca="false">Flights!$K$10</f>
        <v>BC</v>
      </c>
      <c r="G211" s="57" t="s">
        <v>437</v>
      </c>
      <c r="H211" s="57" t="s">
        <v>438</v>
      </c>
      <c r="I211" s="57" t="s">
        <v>425</v>
      </c>
      <c r="J211" s="57" t="s">
        <v>633</v>
      </c>
      <c r="K211" s="67" t="s">
        <v>427</v>
      </c>
      <c r="L211" s="67" t="s">
        <v>732</v>
      </c>
      <c r="M211" s="67" t="s">
        <v>429</v>
      </c>
      <c r="N211" s="67" t="s">
        <v>361</v>
      </c>
      <c r="O211" s="67"/>
      <c r="P211" s="57" t="s">
        <v>184</v>
      </c>
      <c r="Q211" s="59" t="n">
        <f aca="false">ROUND((Flights!$AF$10)*1440,0)/1440</f>
        <v>46310.6388888889</v>
      </c>
      <c r="R211" s="59" t="n">
        <f aca="false">Q211+(IF(AND(INDEX(TZ_DSTS,MATCH(P211,TZ_STN,0))&lt;&gt;"",Q211&gt;=INDEX(TZ_DSTS,MATCH(P211,TZ_STN,0)),Q211&lt;INDEX(TZ_DSTE,MATCH(P211,TZ_STN,0))),INDEX(TZ_DST,MATCH(P211,TZ_STN,0)),INDEX(TZ_STD,MATCH(P211,TZ_STN,0))))/24</f>
        <v>46310.9722222222</v>
      </c>
      <c r="S211" s="59" t="n">
        <f aca="false">IF(ISNUMBER(Flights!$AZ$10),MAX(Q211-UpliftWindowH/24,Flights!$AZ$10),Q211-UpliftWindowH/24)</f>
        <v>46310.3888888889</v>
      </c>
      <c r="T211" s="60"/>
      <c r="U211" s="60"/>
      <c r="V211" s="60"/>
      <c r="W211" s="61"/>
      <c r="X211" s="60"/>
      <c r="Y211" s="60"/>
      <c r="Z211" s="60"/>
      <c r="AA211" s="60"/>
      <c r="AB211" s="60"/>
      <c r="AC211" s="60"/>
      <c r="AD211" s="66"/>
      <c r="AE211" s="60"/>
      <c r="AF211" s="61" t="str">
        <f aca="false">IF(AND(ISNUMBER(X211),ISNUMBER(Y211)),Y211-X211,"")</f>
        <v/>
      </c>
      <c r="AG211" s="62" t="str">
        <f aca="false">IF(ISNUMBER(AD211),AD211-(IF(AND(INDEX(TZ_DSTS,MATCH(P211,TZ_STN,0))&lt;&gt;"",(AD211-INDEX(TZ_STD,MATCH(P211,TZ_STN,0))/24)&gt;=INDEX(TZ_DSTS,MATCH(P211,TZ_STN,0)),(AD211-INDEX(TZ_STD,MATCH(P211,TZ_STN,0))/24)&lt;INDEX(TZ_DSTE,MATCH(P211,TZ_STN,0))),INDEX(TZ_DST,MATCH(P211,TZ_STN,0)),INDEX(TZ_STD,MATCH(P211,TZ_STN,0))))/24,"")</f>
        <v/>
      </c>
      <c r="AH211" s="65" t="str">
        <f aca="false">IFERROR(IF(N211="N/A – rule","N/A – RULE",IF(TRIM(U211)="N/A",IF(AT211=0,"INVALID – N/A not permitted for this check",IF(AND(TRIM(AB211)&lt;&gt;"",TRIM(AB211)&lt;&gt;"Closed"),"INVALID – corrective action still open",IF(AND(NOT(OR(LEN(AZ211)&lt;15,ISNUMBER(MATCH(AZ211,L_Placeholder,0)))),NOT(OR(LEN(AU211)&lt;2,ISNUMBER(MATCH(AU211,L_Placeholder,0)))),NOT(OR(LEN(AX211)&lt;2,ISNUMBER(MATCH(AX211,L_Placeholder,0)))),TRIM(AE211)&lt;&gt;TRIM(T211)),"N/A – JUSTIFIED","INVALID – N/A needs a real justification (15+ chars), PIC and a different verifier"))),IF(OR(TRIM(U211)="Pass",TRIM(U211)="Pass after CA"),IF(NOT(ISNUMBER(AD211)),"INVALID – completion time missing",IF(OR(LEN(AU211)&lt;2,ISNUMBER(MATCH(AU211,L_Placeholder,0))),"INVALID – PIC missing",IF(OR(LEN(AV211)&lt;2,ISNUMBER(MATCH(AV211,L_Placeholder,0))),"INVALID – result / assessment missing",IF(OR(OR(LEN(AW211)&lt;3,ISNUMBER(MATCH(AW211,L_Placeholder,0))),SUMPRODUCT(--ISNUMBER(SEARCH(L_EvidencePhrase,AW211)))&gt;0),"INVALID – evidence missing, placeholder or not yet on file",IF(OR(LEN(AX211)&lt;2,ISNUMBER(MATCH(AX211,L_Placeholder,0))),"INVALID – verifier missing",IF(AX211=AU211,"INVALID – verifier must be someone other than the PIC",IF(AND(TRIM(U211)="Pass",SUMPRODUCT(--ISNUMBER(SEARCH(L_ResultBad,AV211)))&gt;0),"INVALID – result describes a problem: use Fail, then Pass after CA",IF(AND(AQ211=1,OR(LEN(AY211)&lt;3,ISNUMBER(MATCH(AY211,L_Placeholder,0)))),"INVALID – batch ID missing or placeholder",IF(AND(AR211=1,OR(NOT(ISNUMBER(X211)),NOT(ISNUMBER(Y211)))),"INVALID – expected/actual qty missing",IF(AND(AR211=1,OR(X211&lt;=0,Y211&lt;0)),"INVALID – expected qty must be above 0 and actual not negative",IF(AH195="N/A – JUSTIFIED","INVALID – preparation row F06-T12-20 is N/A",IF(AND(AR211=1,ISNUMBER(X195),X211&lt;&gt;X195),"INVALID – expected qty differs from preparation check F06-T12-20",IF(BB211&lt;&gt;"",BB211,IF(AND(AS211=1,Documents!$J$10&lt;&gt;"ON FILE"),"INVALID – GLD not on file (Documents sheet)",IF(AND(AS211=2,Documents!$O$10&lt;&gt;"ON FILE"),"INVALID – menu checklist not on file (Documents sheet)",IF(AND(AS211=3,NOT(ISNUMBER(Flights!$AX$10))),"INVALID – enter carrying flight KUL departure (Flights AX)",IF(AND(AS211=3,OR(Flights!$AZ$10&gt;Flights!$AA$10,Flights!$AX$10&lt;Flights!$AA$10-3)),"INVALID – carrying flight (Flights AX) cannot arrive before this leg's STD, or is over 3 days early",IF(AG211&gt;AsOfUTC,"INVALID – completion time is in the future",IF(AND(ISNUMBER(S211),AG211&lt;S211),IF(H211="Physical uplift","INVALID – before uplift window (cannot confirm loading)","INVALID – before valid window"),IF(AG211&gt;Flights!$AA$10,"INVALID – completed after departure (cannot establish readiness)",IF(AND(H211="Preparation",AG211&gt;IF(ISNUMBER(Flights!$BA$10),MIN(Flights!$BA$10,Flights!$AA$10),Flights!$AA$10)),"INVALID – completed after loading / departure (cannot establish readiness)",IF(AND(H211="Physical uplift",AG211&gt;Q211),"INVALID – recorded after the loading flight departed",IF(AG211&gt;Q211,"COMPLETE – LATE","COMPLETE"))))))))))))))))))))))),IF(TRIM(U211)="Fail","FAIL – DISCREPANCY",IF(AND(TRIM(U211)&lt;&gt;"",TRIM(U211)&lt;&gt;"Not started",TRIM(U211)&lt;&gt;"In progress"),"INVALID – unrecognised status (use the list)",IF(AsOfUTC&gt;Q211,"OVERDUE",IF(N211="Clarification required","OPEN – CLARIFICATION","OPEN"))))))),"INVALID – error value in an input cell")</f>
        <v>OPEN</v>
      </c>
      <c r="AI211" s="61" t="n">
        <f aca="false">IF(OR(AH211="N/A – RULE",AH211="N/A – JUSTIFIED"),0,1)</f>
        <v>1</v>
      </c>
      <c r="AJ211" s="61" t="n">
        <f aca="false">IF(LEFT(AH211,8)="COMPLETE",1,0)</f>
        <v>0</v>
      </c>
      <c r="AK211" s="61" t="n">
        <f aca="false">IF(AND(AI211=1,AJ211=0,AsOfUTC&gt;Q211),1,0)</f>
        <v>0</v>
      </c>
      <c r="AL211" s="61" t="n">
        <f aca="false">IFERROR(IF(AND(AI211=1,OR(TRIM(U211)="Fail",AND(TRIM(AB211)&lt;&gt;"",TRIM(AB211)&lt;&gt;"Closed"),AND(ISNUMBER(AF211),AF211&lt;&gt;0,TRIM(U211)&lt;&gt;"Pass after CA"))),1,0),1)</f>
        <v>0</v>
      </c>
      <c r="AM211" s="61" t="n">
        <f aca="false">IF(LEFT(AH211,7)="INVALID",1,0)</f>
        <v>0</v>
      </c>
      <c r="AN211" s="61" t="n">
        <f aca="false">IF(AND(N211="Clarification required",AI211=1,AJ211=0),1,0)</f>
        <v>0</v>
      </c>
      <c r="AO211" s="61" t="str">
        <f aca="false">IF(AK211=1,SUM(AK$5:AK211),"")</f>
        <v/>
      </c>
      <c r="AP211" s="61" t="str">
        <f aca="false">IF(AL211=1,SUM(AL$5:AL211),"")</f>
        <v/>
      </c>
      <c r="AQ211" s="61" t="n">
        <v>0</v>
      </c>
      <c r="AR211" s="61" t="n">
        <v>0</v>
      </c>
      <c r="AS211" s="61" t="n">
        <v>0</v>
      </c>
      <c r="AT211" s="61" t="n">
        <v>0</v>
      </c>
      <c r="AU211" s="61" t="str">
        <f aca="false">SUBSTITUTE(SUBSTITUTE(SUBSTITUTE(SUBSTITUTE(SUBSTITUTE(SUBSTITUTE(SUBSTITUTE(SUBSTITUTE(SUBSTITUTE(SUBSTITUTE(SUBSTITUTE(SUBSTITUTE(SUBSTITUTE(LOWER(T211&amp;""),CHAR(160),"")," ",""),".",""),"-",""),"/",""),"?",""),"_",""),",",""),"[",""),"]",""),"(",""),")",""),"*","")</f>
        <v/>
      </c>
      <c r="AV211" s="61" t="str">
        <f aca="false">SUBSTITUTE(SUBSTITUTE(SUBSTITUTE(SUBSTITUTE(SUBSTITUTE(SUBSTITUTE(SUBSTITUTE(SUBSTITUTE(SUBSTITUTE(SUBSTITUTE(SUBSTITUTE(SUBSTITUTE(SUBSTITUTE(LOWER(V211&amp;""),CHAR(160),"")," ",""),".",""),"-",""),"/",""),"?",""),"_",""),",",""),"[",""),"]",""),"(",""),")",""),"*","")</f>
        <v/>
      </c>
      <c r="AW211" s="61" t="str">
        <f aca="false">SUBSTITUTE(SUBSTITUTE(SUBSTITUTE(SUBSTITUTE(SUBSTITUTE(SUBSTITUTE(SUBSTITUTE(SUBSTITUTE(SUBSTITUTE(SUBSTITUTE(SUBSTITUTE(SUBSTITUTE(SUBSTITUTE(LOWER(Z211&amp;""),CHAR(160),"")," ",""),".",""),"-",""),"/",""),"?",""),"_",""),",",""),"[",""),"]",""),"(",""),")",""),"*","")</f>
        <v/>
      </c>
      <c r="AX211" s="61" t="str">
        <f aca="false">SUBSTITUTE(SUBSTITUTE(SUBSTITUTE(SUBSTITUTE(SUBSTITUTE(SUBSTITUTE(SUBSTITUTE(SUBSTITUTE(SUBSTITUTE(SUBSTITUTE(SUBSTITUTE(SUBSTITUTE(SUBSTITUTE(LOWER(AE211&amp;""),CHAR(160),"")," ",""),".",""),"-",""),"/",""),"?",""),"_",""),",",""),"[",""),"]",""),"(",""),")",""),"*","")</f>
        <v/>
      </c>
      <c r="AY211" s="61" t="str">
        <f aca="false">SUBSTITUTE(SUBSTITUTE(SUBSTITUTE(SUBSTITUTE(SUBSTITUTE(SUBSTITUTE(SUBSTITUTE(SUBSTITUTE(SUBSTITUTE(SUBSTITUTE(SUBSTITUTE(SUBSTITUTE(SUBSTITUTE(LOWER(W211&amp;""),CHAR(160),"")," ",""),".",""),"-",""),"/",""),"?",""),"_",""),",",""),"[",""),"]",""),"(",""),")",""),"*","")</f>
        <v/>
      </c>
      <c r="AZ211" s="61" t="str">
        <f aca="false">SUBSTITUTE(SUBSTITUTE(SUBSTITUTE(SUBSTITUTE(SUBSTITUTE(SUBSTITUTE(SUBSTITUTE(SUBSTITUTE(SUBSTITUTE(SUBSTITUTE(SUBSTITUTE(SUBSTITUTE(SUBSTITUTE(LOWER(AC211&amp;""),CHAR(160),"")," ",""),".",""),"-",""),"/",""),"?",""),"_",""),",",""),"[",""),"]",""),"(",""),")",""),"*","")</f>
        <v/>
      </c>
      <c r="BA211" s="61" t="str">
        <f aca="false">SUBSTITUTE(SUBSTITUTE(SUBSTITUTE(SUBSTITUTE(SUBSTITUTE(SUBSTITUTE(SUBSTITUTE(SUBSTITUTE(SUBSTITUTE(SUBSTITUTE(SUBSTITUTE(SUBSTITUTE(SUBSTITUTE(LOWER(AA211&amp;""),CHAR(160),"")," ",""),".",""),"-",""),"/",""),"?",""),"_",""),",",""),"[",""),"]",""),"(",""),")",""),"*","")</f>
        <v/>
      </c>
      <c r="BB211" s="61" t="str">
        <f aca="false">IF(AND(TRIM(U211)="Pass",ISNUMBER(AF211)),IF(AF211&lt;&gt;0,"INVALID – qty variance: use Fail or Pass after CA",""),"")&amp;IF(AND(TRIM(U211)="Pass after CA",ISNUMBER(AF211)),IF(AF211&lt;&gt;0,"INVALID – after the corrective action the actual qty must equal expected (update Actual)",""),"")&amp;IF(AND(TRIM(U211)="Pass",TRIM(AB211)&lt;&gt;"",TRIM(AB211)&lt;&gt;"Closed"),"INVALID – corrective action not closed: use Fail, then Pass after CA","")&amp;IF(AND(TRIM(AA211)&lt;&gt;"",TRIM(AB211)=""),"INVALID – CA status missing for the recorded corrective action","")&amp;IF(AND(TRIM(U211)="Pass after CA",OR(OR(LEN(BA211)&lt;5,ISNUMBER(MATCH(BA211,L_Placeholder,0))),TRIM(AB211)&lt;&gt;"Closed")),"INVALID – corrective action not recorded/closed","")</f>
        <v/>
      </c>
    </row>
    <row r="212" customFormat="false" ht="39.75" hidden="false" customHeight="true" outlineLevel="0" collapsed="false">
      <c r="A212" s="57" t="s">
        <v>751</v>
      </c>
      <c r="B212" s="57" t="s">
        <v>228</v>
      </c>
      <c r="C212" s="57" t="str">
        <f aca="false">Flights!$F$10</f>
        <v>MH0002</v>
      </c>
      <c r="D212" s="58" t="n">
        <f aca="false">Flights!$D$10</f>
        <v>46310</v>
      </c>
      <c r="E212" s="57" t="str">
        <f aca="false">Flights!$G$10&amp;"-"&amp;Flights!$H$10</f>
        <v>KUL-LHR</v>
      </c>
      <c r="F212" s="57" t="str">
        <f aca="false">Flights!$K$10</f>
        <v>BC</v>
      </c>
      <c r="G212" s="57" t="s">
        <v>437</v>
      </c>
      <c r="H212" s="57" t="s">
        <v>438</v>
      </c>
      <c r="I212" s="57" t="s">
        <v>607</v>
      </c>
      <c r="J212" s="57" t="s">
        <v>635</v>
      </c>
      <c r="K212" s="67" t="s">
        <v>479</v>
      </c>
      <c r="L212" s="67" t="s">
        <v>734</v>
      </c>
      <c r="M212" s="67" t="s">
        <v>184</v>
      </c>
      <c r="N212" s="67" t="s">
        <v>361</v>
      </c>
      <c r="O212" s="67" t="s">
        <v>610</v>
      </c>
      <c r="P212" s="57" t="s">
        <v>184</v>
      </c>
      <c r="Q212" s="59" t="n">
        <f aca="false">ROUND((Flights!$AF$10)*1440,0)/1440</f>
        <v>46310.6388888889</v>
      </c>
      <c r="R212" s="59" t="n">
        <f aca="false">Q212+(IF(AND(INDEX(TZ_DSTS,MATCH(P212,TZ_STN,0))&lt;&gt;"",Q212&gt;=INDEX(TZ_DSTS,MATCH(P212,TZ_STN,0)),Q212&lt;INDEX(TZ_DSTE,MATCH(P212,TZ_STN,0))),INDEX(TZ_DST,MATCH(P212,TZ_STN,0)),INDEX(TZ_STD,MATCH(P212,TZ_STN,0))))/24</f>
        <v>46310.9722222222</v>
      </c>
      <c r="S212" s="59" t="n">
        <f aca="false">IF(ISNUMBER(Flights!$AZ$10),MAX(Q212-UpliftWindowH/24,Flights!$AZ$10),Q212-UpliftWindowH/24)</f>
        <v>46310.3888888889</v>
      </c>
      <c r="T212" s="60"/>
      <c r="U212" s="60"/>
      <c r="V212" s="60"/>
      <c r="W212" s="61"/>
      <c r="X212" s="60"/>
      <c r="Y212" s="60"/>
      <c r="Z212" s="60"/>
      <c r="AA212" s="60"/>
      <c r="AB212" s="60"/>
      <c r="AC212" s="60"/>
      <c r="AD212" s="66"/>
      <c r="AE212" s="60"/>
      <c r="AF212" s="61" t="str">
        <f aca="false">IF(AND(ISNUMBER(X212),ISNUMBER(Y212)),Y212-X212,"")</f>
        <v/>
      </c>
      <c r="AG212" s="62" t="str">
        <f aca="false">IF(ISNUMBER(AD212),AD212-(IF(AND(INDEX(TZ_DSTS,MATCH(P212,TZ_STN,0))&lt;&gt;"",(AD212-INDEX(TZ_STD,MATCH(P212,TZ_STN,0))/24)&gt;=INDEX(TZ_DSTS,MATCH(P212,TZ_STN,0)),(AD212-INDEX(TZ_STD,MATCH(P212,TZ_STN,0))/24)&lt;INDEX(TZ_DSTE,MATCH(P212,TZ_STN,0))),INDEX(TZ_DST,MATCH(P212,TZ_STN,0)),INDEX(TZ_STD,MATCH(P212,TZ_STN,0))))/24,"")</f>
        <v/>
      </c>
      <c r="AH212" s="65" t="str">
        <f aca="false">IFERROR(IF(N212="N/A – rule","N/A – RULE",IF(TRIM(U212)="N/A",IF(AT212=0,"INVALID – N/A not permitted for this check",IF(AND(TRIM(AB212)&lt;&gt;"",TRIM(AB212)&lt;&gt;"Closed"),"INVALID – corrective action still open",IF(AND(NOT(OR(LEN(AZ212)&lt;15,ISNUMBER(MATCH(AZ212,L_Placeholder,0)))),NOT(OR(LEN(AU212)&lt;2,ISNUMBER(MATCH(AU212,L_Placeholder,0)))),NOT(OR(LEN(AX212)&lt;2,ISNUMBER(MATCH(AX212,L_Placeholder,0)))),TRIM(AE212)&lt;&gt;TRIM(T212)),"N/A – JUSTIFIED","INVALID – N/A needs a real justification (15+ chars), PIC and a different verifier"))),IF(OR(TRIM(U212)="Pass",TRIM(U212)="Pass after CA"),IF(NOT(ISNUMBER(AD212)),"INVALID – completion time missing",IF(OR(LEN(AU212)&lt;2,ISNUMBER(MATCH(AU212,L_Placeholder,0))),"INVALID – PIC missing",IF(OR(LEN(AV212)&lt;2,ISNUMBER(MATCH(AV212,L_Placeholder,0))),"INVALID – result / assessment missing",IF(OR(OR(LEN(AW212)&lt;3,ISNUMBER(MATCH(AW212,L_Placeholder,0))),SUMPRODUCT(--ISNUMBER(SEARCH(L_EvidencePhrase,AW212)))&gt;0),"INVALID – evidence missing, placeholder or not yet on file",IF(OR(LEN(AX212)&lt;2,ISNUMBER(MATCH(AX212,L_Placeholder,0))),"INVALID – verifier missing",IF(AX212=AU212,"INVALID – verifier must be someone other than the PIC",IF(AND(TRIM(U212)="Pass",SUMPRODUCT(--ISNUMBER(SEARCH(L_ResultBad,AV212)))&gt;0),"INVALID – result describes a problem: use Fail, then Pass after CA",IF(AND(AQ212=1,OR(LEN(AY212)&lt;3,ISNUMBER(MATCH(AY212,L_Placeholder,0)))),"INVALID – batch ID missing or placeholder",IF(AND(AR212=1,OR(NOT(ISNUMBER(X212)),NOT(ISNUMBER(Y212)))),"INVALID – expected/actual qty missing",IF(AND(AR212=1,OR(X212&lt;=0,Y212&lt;0)),"INVALID – expected qty must be above 0 and actual not negative",IF(AH196="N/A – JUSTIFIED","INVALID – preparation row F06-T12-21 is N/A",IF(AND(AR212=1,ISNUMBER(X196),X212&lt;&gt;X196),"INVALID – expected qty differs from preparation check F06-T12-21",IF(BB212&lt;&gt;"",BB212,IF(AND(AS212=1,Documents!$J$10&lt;&gt;"ON FILE"),"INVALID – GLD not on file (Documents sheet)",IF(AND(AS212=2,Documents!$O$10&lt;&gt;"ON FILE"),"INVALID – menu checklist not on file (Documents sheet)",IF(AND(AS212=3,NOT(ISNUMBER(Flights!$AX$10))),"INVALID – enter carrying flight KUL departure (Flights AX)",IF(AND(AS212=3,OR(Flights!$AZ$10&gt;Flights!$AA$10,Flights!$AX$10&lt;Flights!$AA$10-3)),"INVALID – carrying flight (Flights AX) cannot arrive before this leg's STD, or is over 3 days early",IF(AG212&gt;AsOfUTC,"INVALID – completion time is in the future",IF(AND(ISNUMBER(S212),AG212&lt;S212),IF(H212="Physical uplift","INVALID – before uplift window (cannot confirm loading)","INVALID – before valid window"),IF(AG212&gt;Flights!$AA$10,"INVALID – completed after departure (cannot establish readiness)",IF(AND(H212="Preparation",AG212&gt;IF(ISNUMBER(Flights!$BA$10),MIN(Flights!$BA$10,Flights!$AA$10),Flights!$AA$10)),"INVALID – completed after loading / departure (cannot establish readiness)",IF(AND(H212="Physical uplift",AG212&gt;Q212),"INVALID – recorded after the loading flight departed",IF(AG212&gt;Q212,"COMPLETE – LATE","COMPLETE"))))))))))))))))))))))),IF(TRIM(U212)="Fail","FAIL – DISCREPANCY",IF(AND(TRIM(U212)&lt;&gt;"",TRIM(U212)&lt;&gt;"Not started",TRIM(U212)&lt;&gt;"In progress"),"INVALID – unrecognised status (use the list)",IF(AsOfUTC&gt;Q212,"OVERDUE",IF(N212="Clarification required","OPEN – CLARIFICATION","OPEN"))))))),"INVALID – error value in an input cell")</f>
        <v>OPEN</v>
      </c>
      <c r="AI212" s="61" t="n">
        <f aca="false">IF(OR(AH212="N/A – RULE",AH212="N/A – JUSTIFIED"),0,1)</f>
        <v>1</v>
      </c>
      <c r="AJ212" s="61" t="n">
        <f aca="false">IF(LEFT(AH212,8)="COMPLETE",1,0)</f>
        <v>0</v>
      </c>
      <c r="AK212" s="61" t="n">
        <f aca="false">IF(AND(AI212=1,AJ212=0,AsOfUTC&gt;Q212),1,0)</f>
        <v>0</v>
      </c>
      <c r="AL212" s="61" t="n">
        <f aca="false">IFERROR(IF(AND(AI212=1,OR(TRIM(U212)="Fail",AND(TRIM(AB212)&lt;&gt;"",TRIM(AB212)&lt;&gt;"Closed"),AND(ISNUMBER(AF212),AF212&lt;&gt;0,TRIM(U212)&lt;&gt;"Pass after CA"))),1,0),1)</f>
        <v>0</v>
      </c>
      <c r="AM212" s="61" t="n">
        <f aca="false">IF(LEFT(AH212,7)="INVALID",1,0)</f>
        <v>0</v>
      </c>
      <c r="AN212" s="61" t="n">
        <f aca="false">IF(AND(N212="Clarification required",AI212=1,AJ212=0),1,0)</f>
        <v>0</v>
      </c>
      <c r="AO212" s="61" t="str">
        <f aca="false">IF(AK212=1,SUM(AK$5:AK212),"")</f>
        <v/>
      </c>
      <c r="AP212" s="61" t="str">
        <f aca="false">IF(AL212=1,SUM(AL$5:AL212),"")</f>
        <v/>
      </c>
      <c r="AQ212" s="61" t="n">
        <v>0</v>
      </c>
      <c r="AR212" s="61" t="n">
        <v>0</v>
      </c>
      <c r="AS212" s="61" t="n">
        <v>0</v>
      </c>
      <c r="AT212" s="61" t="n">
        <v>0</v>
      </c>
      <c r="AU212" s="61" t="str">
        <f aca="false">SUBSTITUTE(SUBSTITUTE(SUBSTITUTE(SUBSTITUTE(SUBSTITUTE(SUBSTITUTE(SUBSTITUTE(SUBSTITUTE(SUBSTITUTE(SUBSTITUTE(SUBSTITUTE(SUBSTITUTE(SUBSTITUTE(LOWER(T212&amp;""),CHAR(160),"")," ",""),".",""),"-",""),"/",""),"?",""),"_",""),",",""),"[",""),"]",""),"(",""),")",""),"*","")</f>
        <v/>
      </c>
      <c r="AV212" s="61" t="str">
        <f aca="false">SUBSTITUTE(SUBSTITUTE(SUBSTITUTE(SUBSTITUTE(SUBSTITUTE(SUBSTITUTE(SUBSTITUTE(SUBSTITUTE(SUBSTITUTE(SUBSTITUTE(SUBSTITUTE(SUBSTITUTE(SUBSTITUTE(LOWER(V212&amp;""),CHAR(160),"")," ",""),".",""),"-",""),"/",""),"?",""),"_",""),",",""),"[",""),"]",""),"(",""),")",""),"*","")</f>
        <v/>
      </c>
      <c r="AW212" s="61" t="str">
        <f aca="false">SUBSTITUTE(SUBSTITUTE(SUBSTITUTE(SUBSTITUTE(SUBSTITUTE(SUBSTITUTE(SUBSTITUTE(SUBSTITUTE(SUBSTITUTE(SUBSTITUTE(SUBSTITUTE(SUBSTITUTE(SUBSTITUTE(LOWER(Z212&amp;""),CHAR(160),"")," ",""),".",""),"-",""),"/",""),"?",""),"_",""),",",""),"[",""),"]",""),"(",""),")",""),"*","")</f>
        <v/>
      </c>
      <c r="AX212" s="61" t="str">
        <f aca="false">SUBSTITUTE(SUBSTITUTE(SUBSTITUTE(SUBSTITUTE(SUBSTITUTE(SUBSTITUTE(SUBSTITUTE(SUBSTITUTE(SUBSTITUTE(SUBSTITUTE(SUBSTITUTE(SUBSTITUTE(SUBSTITUTE(LOWER(AE212&amp;""),CHAR(160),"")," ",""),".",""),"-",""),"/",""),"?",""),"_",""),",",""),"[",""),"]",""),"(",""),")",""),"*","")</f>
        <v/>
      </c>
      <c r="AY212" s="61" t="str">
        <f aca="false">SUBSTITUTE(SUBSTITUTE(SUBSTITUTE(SUBSTITUTE(SUBSTITUTE(SUBSTITUTE(SUBSTITUTE(SUBSTITUTE(SUBSTITUTE(SUBSTITUTE(SUBSTITUTE(SUBSTITUTE(SUBSTITUTE(LOWER(W212&amp;""),CHAR(160),"")," ",""),".",""),"-",""),"/",""),"?",""),"_",""),",",""),"[",""),"]",""),"(",""),")",""),"*","")</f>
        <v/>
      </c>
      <c r="AZ212" s="61" t="str">
        <f aca="false">SUBSTITUTE(SUBSTITUTE(SUBSTITUTE(SUBSTITUTE(SUBSTITUTE(SUBSTITUTE(SUBSTITUTE(SUBSTITUTE(SUBSTITUTE(SUBSTITUTE(SUBSTITUTE(SUBSTITUTE(SUBSTITUTE(LOWER(AC212&amp;""),CHAR(160),"")," ",""),".",""),"-",""),"/",""),"?",""),"_",""),",",""),"[",""),"]",""),"(",""),")",""),"*","")</f>
        <v/>
      </c>
      <c r="BA212" s="61" t="str">
        <f aca="false">SUBSTITUTE(SUBSTITUTE(SUBSTITUTE(SUBSTITUTE(SUBSTITUTE(SUBSTITUTE(SUBSTITUTE(SUBSTITUTE(SUBSTITUTE(SUBSTITUTE(SUBSTITUTE(SUBSTITUTE(SUBSTITUTE(LOWER(AA212&amp;""),CHAR(160),"")," ",""),".",""),"-",""),"/",""),"?",""),"_",""),",",""),"[",""),"]",""),"(",""),")",""),"*","")</f>
        <v/>
      </c>
      <c r="BB212" s="61" t="str">
        <f aca="false">IF(AND(TRIM(U212)="Pass",ISNUMBER(AF212)),IF(AF212&lt;&gt;0,"INVALID – qty variance: use Fail or Pass after CA",""),"")&amp;IF(AND(TRIM(U212)="Pass after CA",ISNUMBER(AF212)),IF(AF212&lt;&gt;0,"INVALID – after the corrective action the actual qty must equal expected (update Actual)",""),"")&amp;IF(AND(TRIM(U212)="Pass",TRIM(AB212)&lt;&gt;"",TRIM(AB212)&lt;&gt;"Closed"),"INVALID – corrective action not closed: use Fail, then Pass after CA","")&amp;IF(AND(TRIM(AA212)&lt;&gt;"",TRIM(AB212)=""),"INVALID – CA status missing for the recorded corrective action","")&amp;IF(AND(TRIM(U212)="Pass after CA",OR(OR(LEN(BA212)&lt;5,ISNUMBER(MATCH(BA212,L_Placeholder,0))),TRIM(AB212)&lt;&gt;"Closed")),"INVALID – corrective action not recorded/closed","")</f>
        <v/>
      </c>
    </row>
    <row r="213" customFormat="false" ht="39.75" hidden="false" customHeight="true" outlineLevel="0" collapsed="false">
      <c r="A213" s="57" t="s">
        <v>752</v>
      </c>
      <c r="B213" s="57" t="s">
        <v>232</v>
      </c>
      <c r="C213" s="57" t="str">
        <f aca="false">Flights!$F$11</f>
        <v>MH0003</v>
      </c>
      <c r="D213" s="58" t="n">
        <f aca="false">Flights!$D$11</f>
        <v>46304</v>
      </c>
      <c r="E213" s="57" t="str">
        <f aca="false">Flights!$G$11&amp;"-"&amp;Flights!$H$11</f>
        <v>LHR-KUL</v>
      </c>
      <c r="F213" s="57" t="str">
        <f aca="false">Flights!$K$11</f>
        <v>BC</v>
      </c>
      <c r="G213" s="57" t="s">
        <v>79</v>
      </c>
      <c r="H213" s="57" t="s">
        <v>356</v>
      </c>
      <c r="I213" s="57" t="s">
        <v>357</v>
      </c>
      <c r="J213" s="57" t="s">
        <v>358</v>
      </c>
      <c r="K213" s="67" t="s">
        <v>359</v>
      </c>
      <c r="L213" s="67" t="s">
        <v>360</v>
      </c>
      <c r="M213" s="67"/>
      <c r="N213" s="67" t="s">
        <v>361</v>
      </c>
      <c r="O213" s="67"/>
      <c r="P213" s="57" t="s">
        <v>183</v>
      </c>
      <c r="Q213" s="59" t="n">
        <f aca="false">ROUND((Flights!$AC$11)*1440,0)/1440</f>
        <v>46297.4166666667</v>
      </c>
      <c r="R213" s="59" t="n">
        <f aca="false">Q213+(IF(AND(INDEX(TZ_DSTS,MATCH(P213,TZ_STN,0))&lt;&gt;"",Q213&gt;=INDEX(TZ_DSTS,MATCH(P213,TZ_STN,0)),Q213&lt;INDEX(TZ_DSTE,MATCH(P213,TZ_STN,0))),INDEX(TZ_DST,MATCH(P213,TZ_STN,0)),INDEX(TZ_STD,MATCH(P213,TZ_STN,0))))/24</f>
        <v>46297.4583333333</v>
      </c>
      <c r="S213" s="59" t="n">
        <f aca="false">Q213-T7EarlyD*24/24</f>
        <v>46283.4166666667</v>
      </c>
      <c r="T213" s="60"/>
      <c r="U213" s="60"/>
      <c r="V213" s="60"/>
      <c r="W213" s="61"/>
      <c r="X213" s="60"/>
      <c r="Y213" s="60"/>
      <c r="Z213" s="60"/>
      <c r="AA213" s="60"/>
      <c r="AB213" s="60"/>
      <c r="AC213" s="60"/>
      <c r="AD213" s="66"/>
      <c r="AE213" s="60"/>
      <c r="AF213" s="61" t="str">
        <f aca="false">IF(AND(ISNUMBER(X213),ISNUMBER(Y213)),Y213-X213,"")</f>
        <v/>
      </c>
      <c r="AG213" s="62" t="str">
        <f aca="false">IF(ISNUMBER(AD213),AD213-(IF(AND(INDEX(TZ_DSTS,MATCH(P213,TZ_STN,0))&lt;&gt;"",(AD213-INDEX(TZ_STD,MATCH(P213,TZ_STN,0))/24)&gt;=INDEX(TZ_DSTS,MATCH(P213,TZ_STN,0)),(AD213-INDEX(TZ_STD,MATCH(P213,TZ_STN,0))/24)&lt;INDEX(TZ_DSTE,MATCH(P213,TZ_STN,0))),INDEX(TZ_DST,MATCH(P213,TZ_STN,0)),INDEX(TZ_STD,MATCH(P213,TZ_STN,0))))/24,"")</f>
        <v/>
      </c>
      <c r="AH213" s="65" t="str">
        <f aca="false">IFERROR(IF(N213="N/A – rule","N/A – RULE",IF(TRIM(U213)="N/A",IF(AT213=0,"INVALID – N/A not permitted for this check",IF(AND(TRIM(AB213)&lt;&gt;"",TRIM(AB213)&lt;&gt;"Closed"),"INVALID – corrective action still open",IF(AND(NOT(OR(LEN(AZ213)&lt;15,ISNUMBER(MATCH(AZ213,L_Placeholder,0)))),NOT(OR(LEN(AU213)&lt;2,ISNUMBER(MATCH(AU213,L_Placeholder,0)))),NOT(OR(LEN(AX213)&lt;2,ISNUMBER(MATCH(AX213,L_Placeholder,0)))),TRIM(AE213)&lt;&gt;TRIM(T213)),"N/A – JUSTIFIED","INVALID – N/A needs a real justification (15+ chars), PIC and a different verifier"))),IF(OR(TRIM(U213)="Pass",TRIM(U213)="Pass after CA"),IF(NOT(ISNUMBER(AD213)),"INVALID – completion time missing",IF(OR(LEN(AU213)&lt;2,ISNUMBER(MATCH(AU213,L_Placeholder,0))),"INVALID – PIC missing",IF(OR(LEN(AV213)&lt;2,ISNUMBER(MATCH(AV213,L_Placeholder,0))),"INVALID – result / assessment missing",IF(OR(OR(LEN(AW213)&lt;3,ISNUMBER(MATCH(AW213,L_Placeholder,0))),SUMPRODUCT(--ISNUMBER(SEARCH(L_EvidencePhrase,AW213)))&gt;0),"INVALID – evidence missing, placeholder or not yet on file",IF(OR(LEN(AX213)&lt;2,ISNUMBER(MATCH(AX213,L_Placeholder,0))),"INVALID – verifier missing",IF(AX213=AU213,"INVALID – verifier must be someone other than the PIC",IF(AND(TRIM(U213)="Pass",SUMPRODUCT(--ISNUMBER(SEARCH(L_ResultBad,AV213)))&gt;0),"INVALID – result describes a problem: use Fail, then Pass after CA",IF(AND(AQ213=1,OR(LEN(AY213)&lt;3,ISNUMBER(MATCH(AY213,L_Placeholder,0)))),"INVALID – batch ID missing or placeholder",IF(AND(AR213=1,OR(NOT(ISNUMBER(X213)),NOT(ISNUMBER(Y213)))),"INVALID – expected/actual qty missing",IF(AND(AR213=1,OR(X213&lt;=0,Y213&lt;0)),"INVALID – expected qty must be above 0 and actual not negative",IF(BB213&lt;&gt;"",BB213,IF(AND(AS213=1,Documents!$J$11&lt;&gt;"ON FILE"),"INVALID – GLD not on file (Documents sheet)",IF(AND(AS213=2,Documents!$O$11&lt;&gt;"ON FILE"),"INVALID – menu checklist not on file (Documents sheet)",IF(AND(AS213=3,NOT(ISNUMBER(Flights!$AX$11))),"INVALID – enter carrying flight KUL departure (Flights AX)",IF(AND(AS213=3,OR(Flights!$AZ$11&gt;Flights!$AA$11,Flights!$AX$11&lt;Flights!$AA$11-3)),"INVALID – carrying flight (Flights AX) cannot arrive before this leg's STD, or is over 3 days early",IF(AG213&gt;AsOfUTC,"INVALID – completion time is in the future",IF(AND(ISNUMBER(S213),AG213&lt;S213),IF(H213="Physical uplift","INVALID – before uplift window (cannot confirm loading)","INVALID – before valid window"),IF(AG213&gt;Flights!$AA$11,"INVALID – completed after departure (cannot establish readiness)",IF(AND(H213="Preparation",AG213&gt;IF(ISNUMBER(Flights!$BA$11),MIN(Flights!$BA$11,Flights!$AA$11),Flights!$AA$11)),"INVALID – completed after loading / departure (cannot establish readiness)",IF(AND(H213="Physical uplift",AG213&gt;Q213),"INVALID – recorded after the loading flight departed",IF(AG213&gt;Q213,"COMPLETE – LATE","COMPLETE"))))))))))))))))))))),IF(TRIM(U213)="Fail","FAIL – DISCREPANCY",IF(AND(TRIM(U213)&lt;&gt;"",TRIM(U213)&lt;&gt;"Not started",TRIM(U213)&lt;&gt;"In progress"),"INVALID – unrecognised status (use the list)",IF(AsOfUTC&gt;Q213,"OVERDUE",IF(N213="Clarification required","OPEN – CLARIFICATION","OPEN"))))))),"INVALID – error value in an input cell")</f>
        <v>OPEN</v>
      </c>
      <c r="AI213" s="61" t="n">
        <f aca="false">IF(OR(AH213="N/A – RULE",AH213="N/A – JUSTIFIED"),0,1)</f>
        <v>1</v>
      </c>
      <c r="AJ213" s="61" t="n">
        <f aca="false">IF(LEFT(AH213,8)="COMPLETE",1,0)</f>
        <v>0</v>
      </c>
      <c r="AK213" s="61" t="n">
        <f aca="false">IF(AND(AI213=1,AJ213=0,AsOfUTC&gt;Q213),1,0)</f>
        <v>0</v>
      </c>
      <c r="AL213" s="61" t="n">
        <f aca="false">IFERROR(IF(AND(AI213=1,OR(TRIM(U213)="Fail",AND(TRIM(AB213)&lt;&gt;"",TRIM(AB213)&lt;&gt;"Closed"),AND(ISNUMBER(AF213),AF213&lt;&gt;0,TRIM(U213)&lt;&gt;"Pass after CA"))),1,0),1)</f>
        <v>0</v>
      </c>
      <c r="AM213" s="61" t="n">
        <f aca="false">IF(LEFT(AH213,7)="INVALID",1,0)</f>
        <v>0</v>
      </c>
      <c r="AN213" s="61" t="n">
        <f aca="false">IF(AND(N213="Clarification required",AI213=1,AJ213=0),1,0)</f>
        <v>0</v>
      </c>
      <c r="AO213" s="61" t="str">
        <f aca="false">IF(AK213=1,SUM(AK$5:AK213),"")</f>
        <v/>
      </c>
      <c r="AP213" s="61" t="str">
        <f aca="false">IF(AL213=1,SUM(AL$5:AL213),"")</f>
        <v/>
      </c>
      <c r="AQ213" s="61" t="n">
        <v>0</v>
      </c>
      <c r="AR213" s="61" t="n">
        <v>0</v>
      </c>
      <c r="AS213" s="61" t="n">
        <v>0</v>
      </c>
      <c r="AT213" s="61" t="n">
        <v>0</v>
      </c>
      <c r="AU213" s="61" t="str">
        <f aca="false">SUBSTITUTE(SUBSTITUTE(SUBSTITUTE(SUBSTITUTE(SUBSTITUTE(SUBSTITUTE(SUBSTITUTE(SUBSTITUTE(SUBSTITUTE(SUBSTITUTE(SUBSTITUTE(SUBSTITUTE(SUBSTITUTE(LOWER(T213&amp;""),CHAR(160),"")," ",""),".",""),"-",""),"/",""),"?",""),"_",""),",",""),"[",""),"]",""),"(",""),")",""),"*","")</f>
        <v/>
      </c>
      <c r="AV213" s="61" t="str">
        <f aca="false">SUBSTITUTE(SUBSTITUTE(SUBSTITUTE(SUBSTITUTE(SUBSTITUTE(SUBSTITUTE(SUBSTITUTE(SUBSTITUTE(SUBSTITUTE(SUBSTITUTE(SUBSTITUTE(SUBSTITUTE(SUBSTITUTE(LOWER(V213&amp;""),CHAR(160),"")," ",""),".",""),"-",""),"/",""),"?",""),"_",""),",",""),"[",""),"]",""),"(",""),")",""),"*","")</f>
        <v/>
      </c>
      <c r="AW213" s="61" t="str">
        <f aca="false">SUBSTITUTE(SUBSTITUTE(SUBSTITUTE(SUBSTITUTE(SUBSTITUTE(SUBSTITUTE(SUBSTITUTE(SUBSTITUTE(SUBSTITUTE(SUBSTITUTE(SUBSTITUTE(SUBSTITUTE(SUBSTITUTE(LOWER(Z213&amp;""),CHAR(160),"")," ",""),".",""),"-",""),"/",""),"?",""),"_",""),",",""),"[",""),"]",""),"(",""),")",""),"*","")</f>
        <v/>
      </c>
      <c r="AX213" s="61" t="str">
        <f aca="false">SUBSTITUTE(SUBSTITUTE(SUBSTITUTE(SUBSTITUTE(SUBSTITUTE(SUBSTITUTE(SUBSTITUTE(SUBSTITUTE(SUBSTITUTE(SUBSTITUTE(SUBSTITUTE(SUBSTITUTE(SUBSTITUTE(LOWER(AE213&amp;""),CHAR(160),"")," ",""),".",""),"-",""),"/",""),"?",""),"_",""),",",""),"[",""),"]",""),"(",""),")",""),"*","")</f>
        <v/>
      </c>
      <c r="AY213" s="61" t="str">
        <f aca="false">SUBSTITUTE(SUBSTITUTE(SUBSTITUTE(SUBSTITUTE(SUBSTITUTE(SUBSTITUTE(SUBSTITUTE(SUBSTITUTE(SUBSTITUTE(SUBSTITUTE(SUBSTITUTE(SUBSTITUTE(SUBSTITUTE(LOWER(W213&amp;""),CHAR(160),"")," ",""),".",""),"-",""),"/",""),"?",""),"_",""),",",""),"[",""),"]",""),"(",""),")",""),"*","")</f>
        <v/>
      </c>
      <c r="AZ213" s="61" t="str">
        <f aca="false">SUBSTITUTE(SUBSTITUTE(SUBSTITUTE(SUBSTITUTE(SUBSTITUTE(SUBSTITUTE(SUBSTITUTE(SUBSTITUTE(SUBSTITUTE(SUBSTITUTE(SUBSTITUTE(SUBSTITUTE(SUBSTITUTE(LOWER(AC213&amp;""),CHAR(160),"")," ",""),".",""),"-",""),"/",""),"?",""),"_",""),",",""),"[",""),"]",""),"(",""),")",""),"*","")</f>
        <v/>
      </c>
      <c r="BA213" s="61" t="str">
        <f aca="false">SUBSTITUTE(SUBSTITUTE(SUBSTITUTE(SUBSTITUTE(SUBSTITUTE(SUBSTITUTE(SUBSTITUTE(SUBSTITUTE(SUBSTITUTE(SUBSTITUTE(SUBSTITUTE(SUBSTITUTE(SUBSTITUTE(LOWER(AA213&amp;""),CHAR(160),"")," ",""),".",""),"-",""),"/",""),"?",""),"_",""),",",""),"[",""),"]",""),"(",""),")",""),"*","")</f>
        <v/>
      </c>
      <c r="BB213" s="61" t="str">
        <f aca="false">IF(AND(TRIM(U213)="Pass",ISNUMBER(AF213)),IF(AF213&lt;&gt;0,"INVALID – qty variance: use Fail or Pass after CA",""),"")&amp;IF(AND(TRIM(U213)="Pass after CA",ISNUMBER(AF213)),IF(AF213&lt;&gt;0,"INVALID – after the corrective action the actual qty must equal expected (update Actual)",""),"")&amp;IF(AND(TRIM(U213)="Pass",TRIM(AB213)&lt;&gt;"",TRIM(AB213)&lt;&gt;"Closed"),"INVALID – corrective action not closed: use Fail, then Pass after CA","")&amp;IF(AND(TRIM(AA213)&lt;&gt;"",TRIM(AB213)=""),"INVALID – CA status missing for the recorded corrective action","")&amp;IF(AND(TRIM(U213)="Pass after CA",OR(OR(LEN(BA213)&lt;5,ISNUMBER(MATCH(BA213,L_Placeholder,0))),TRIM(AB213)&lt;&gt;"Closed")),"INVALID – corrective action not recorded/closed","")</f>
        <v/>
      </c>
    </row>
    <row r="214" customFormat="false" ht="39.75" hidden="false" customHeight="true" outlineLevel="0" collapsed="false">
      <c r="A214" s="57" t="s">
        <v>753</v>
      </c>
      <c r="B214" s="57" t="s">
        <v>232</v>
      </c>
      <c r="C214" s="57" t="str">
        <f aca="false">Flights!$F$11</f>
        <v>MH0003</v>
      </c>
      <c r="D214" s="58" t="n">
        <f aca="false">Flights!$D$11</f>
        <v>46304</v>
      </c>
      <c r="E214" s="57" t="str">
        <f aca="false">Flights!$G$11&amp;"-"&amp;Flights!$H$11</f>
        <v>LHR-KUL</v>
      </c>
      <c r="F214" s="57" t="str">
        <f aca="false">Flights!$K$11</f>
        <v>BC</v>
      </c>
      <c r="G214" s="57" t="s">
        <v>79</v>
      </c>
      <c r="H214" s="57" t="s">
        <v>356</v>
      </c>
      <c r="I214" s="57" t="s">
        <v>363</v>
      </c>
      <c r="J214" s="57" t="s">
        <v>364</v>
      </c>
      <c r="K214" s="67" t="s">
        <v>365</v>
      </c>
      <c r="L214" s="67" t="s">
        <v>360</v>
      </c>
      <c r="M214" s="67"/>
      <c r="N214" s="67" t="s">
        <v>361</v>
      </c>
      <c r="O214" s="67"/>
      <c r="P214" s="57" t="s">
        <v>183</v>
      </c>
      <c r="Q214" s="59" t="n">
        <f aca="false">ROUND((Flights!$AC$11)*1440,0)/1440</f>
        <v>46297.4166666667</v>
      </c>
      <c r="R214" s="59" t="n">
        <f aca="false">Q214+(IF(AND(INDEX(TZ_DSTS,MATCH(P214,TZ_STN,0))&lt;&gt;"",Q214&gt;=INDEX(TZ_DSTS,MATCH(P214,TZ_STN,0)),Q214&lt;INDEX(TZ_DSTE,MATCH(P214,TZ_STN,0))),INDEX(TZ_DST,MATCH(P214,TZ_STN,0)),INDEX(TZ_STD,MATCH(P214,TZ_STN,0))))/24</f>
        <v>46297.4583333333</v>
      </c>
      <c r="S214" s="59" t="n">
        <f aca="false">Q214-T7EarlyD*24/24</f>
        <v>46283.4166666667</v>
      </c>
      <c r="T214" s="60"/>
      <c r="U214" s="60"/>
      <c r="V214" s="60"/>
      <c r="W214" s="61"/>
      <c r="X214" s="60"/>
      <c r="Y214" s="60"/>
      <c r="Z214" s="60"/>
      <c r="AA214" s="60"/>
      <c r="AB214" s="60"/>
      <c r="AC214" s="60"/>
      <c r="AD214" s="66"/>
      <c r="AE214" s="60"/>
      <c r="AF214" s="61" t="str">
        <f aca="false">IF(AND(ISNUMBER(X214),ISNUMBER(Y214)),Y214-X214,"")</f>
        <v/>
      </c>
      <c r="AG214" s="62" t="str">
        <f aca="false">IF(ISNUMBER(AD214),AD214-(IF(AND(INDEX(TZ_DSTS,MATCH(P214,TZ_STN,0))&lt;&gt;"",(AD214-INDEX(TZ_STD,MATCH(P214,TZ_STN,0))/24)&gt;=INDEX(TZ_DSTS,MATCH(P214,TZ_STN,0)),(AD214-INDEX(TZ_STD,MATCH(P214,TZ_STN,0))/24)&lt;INDEX(TZ_DSTE,MATCH(P214,TZ_STN,0))),INDEX(TZ_DST,MATCH(P214,TZ_STN,0)),INDEX(TZ_STD,MATCH(P214,TZ_STN,0))))/24,"")</f>
        <v/>
      </c>
      <c r="AH214" s="65" t="str">
        <f aca="false">IFERROR(IF(N214="N/A – rule","N/A – RULE",IF(TRIM(U214)="N/A",IF(AT214=0,"INVALID – N/A not permitted for this check",IF(AND(TRIM(AB214)&lt;&gt;"",TRIM(AB214)&lt;&gt;"Closed"),"INVALID – corrective action still open",IF(AND(NOT(OR(LEN(AZ214)&lt;15,ISNUMBER(MATCH(AZ214,L_Placeholder,0)))),NOT(OR(LEN(AU214)&lt;2,ISNUMBER(MATCH(AU214,L_Placeholder,0)))),NOT(OR(LEN(AX214)&lt;2,ISNUMBER(MATCH(AX214,L_Placeholder,0)))),TRIM(AE214)&lt;&gt;TRIM(T214)),"N/A – JUSTIFIED","INVALID – N/A needs a real justification (15+ chars), PIC and a different verifier"))),IF(OR(TRIM(U214)="Pass",TRIM(U214)="Pass after CA"),IF(NOT(ISNUMBER(AD214)),"INVALID – completion time missing",IF(OR(LEN(AU214)&lt;2,ISNUMBER(MATCH(AU214,L_Placeholder,0))),"INVALID – PIC missing",IF(OR(LEN(AV214)&lt;2,ISNUMBER(MATCH(AV214,L_Placeholder,0))),"INVALID – result / assessment missing",IF(OR(OR(LEN(AW214)&lt;3,ISNUMBER(MATCH(AW214,L_Placeholder,0))),SUMPRODUCT(--ISNUMBER(SEARCH(L_EvidencePhrase,AW214)))&gt;0),"INVALID – evidence missing, placeholder or not yet on file",IF(OR(LEN(AX214)&lt;2,ISNUMBER(MATCH(AX214,L_Placeholder,0))),"INVALID – verifier missing",IF(AX214=AU214,"INVALID – verifier must be someone other than the PIC",IF(AND(TRIM(U214)="Pass",SUMPRODUCT(--ISNUMBER(SEARCH(L_ResultBad,AV214)))&gt;0),"INVALID – result describes a problem: use Fail, then Pass after CA",IF(AND(AQ214=1,OR(LEN(AY214)&lt;3,ISNUMBER(MATCH(AY214,L_Placeholder,0)))),"INVALID – batch ID missing or placeholder",IF(AND(AR214=1,OR(NOT(ISNUMBER(X214)),NOT(ISNUMBER(Y214)))),"INVALID – expected/actual qty missing",IF(AND(AR214=1,OR(X214&lt;=0,Y214&lt;0)),"INVALID – expected qty must be above 0 and actual not negative",IF(BB214&lt;&gt;"",BB214,IF(AND(AS214=1,Documents!$J$11&lt;&gt;"ON FILE"),"INVALID – GLD not on file (Documents sheet)",IF(AND(AS214=2,Documents!$O$11&lt;&gt;"ON FILE"),"INVALID – menu checklist not on file (Documents sheet)",IF(AND(AS214=3,NOT(ISNUMBER(Flights!$AX$11))),"INVALID – enter carrying flight KUL departure (Flights AX)",IF(AND(AS214=3,OR(Flights!$AZ$11&gt;Flights!$AA$11,Flights!$AX$11&lt;Flights!$AA$11-3)),"INVALID – carrying flight (Flights AX) cannot arrive before this leg's STD, or is over 3 days early",IF(AG214&gt;AsOfUTC,"INVALID – completion time is in the future",IF(AND(ISNUMBER(S214),AG214&lt;S214),IF(H214="Physical uplift","INVALID – before uplift window (cannot confirm loading)","INVALID – before valid window"),IF(AG214&gt;Flights!$AA$11,"INVALID – completed after departure (cannot establish readiness)",IF(AND(H214="Preparation",AG214&gt;IF(ISNUMBER(Flights!$BA$11),MIN(Flights!$BA$11,Flights!$AA$11),Flights!$AA$11)),"INVALID – completed after loading / departure (cannot establish readiness)",IF(AND(H214="Physical uplift",AG214&gt;Q214),"INVALID – recorded after the loading flight departed",IF(AG214&gt;Q214,"COMPLETE – LATE","COMPLETE"))))))))))))))))))))),IF(TRIM(U214)="Fail","FAIL – DISCREPANCY",IF(AND(TRIM(U214)&lt;&gt;"",TRIM(U214)&lt;&gt;"Not started",TRIM(U214)&lt;&gt;"In progress"),"INVALID – unrecognised status (use the list)",IF(AsOfUTC&gt;Q214,"OVERDUE",IF(N214="Clarification required","OPEN – CLARIFICATION","OPEN"))))))),"INVALID – error value in an input cell")</f>
        <v>OPEN</v>
      </c>
      <c r="AI214" s="61" t="n">
        <f aca="false">IF(OR(AH214="N/A – RULE",AH214="N/A – JUSTIFIED"),0,1)</f>
        <v>1</v>
      </c>
      <c r="AJ214" s="61" t="n">
        <f aca="false">IF(LEFT(AH214,8)="COMPLETE",1,0)</f>
        <v>0</v>
      </c>
      <c r="AK214" s="61" t="n">
        <f aca="false">IF(AND(AI214=1,AJ214=0,AsOfUTC&gt;Q214),1,0)</f>
        <v>0</v>
      </c>
      <c r="AL214" s="61" t="n">
        <f aca="false">IFERROR(IF(AND(AI214=1,OR(TRIM(U214)="Fail",AND(TRIM(AB214)&lt;&gt;"",TRIM(AB214)&lt;&gt;"Closed"),AND(ISNUMBER(AF214),AF214&lt;&gt;0,TRIM(U214)&lt;&gt;"Pass after CA"))),1,0),1)</f>
        <v>0</v>
      </c>
      <c r="AM214" s="61" t="n">
        <f aca="false">IF(LEFT(AH214,7)="INVALID",1,0)</f>
        <v>0</v>
      </c>
      <c r="AN214" s="61" t="n">
        <f aca="false">IF(AND(N214="Clarification required",AI214=1,AJ214=0),1,0)</f>
        <v>0</v>
      </c>
      <c r="AO214" s="61" t="str">
        <f aca="false">IF(AK214=1,SUM(AK$5:AK214),"")</f>
        <v/>
      </c>
      <c r="AP214" s="61" t="str">
        <f aca="false">IF(AL214=1,SUM(AL$5:AL214),"")</f>
        <v/>
      </c>
      <c r="AQ214" s="61" t="n">
        <v>0</v>
      </c>
      <c r="AR214" s="61" t="n">
        <v>0</v>
      </c>
      <c r="AS214" s="61" t="n">
        <v>0</v>
      </c>
      <c r="AT214" s="61" t="n">
        <v>0</v>
      </c>
      <c r="AU214" s="61" t="str">
        <f aca="false">SUBSTITUTE(SUBSTITUTE(SUBSTITUTE(SUBSTITUTE(SUBSTITUTE(SUBSTITUTE(SUBSTITUTE(SUBSTITUTE(SUBSTITUTE(SUBSTITUTE(SUBSTITUTE(SUBSTITUTE(SUBSTITUTE(LOWER(T214&amp;""),CHAR(160),"")," ",""),".",""),"-",""),"/",""),"?",""),"_",""),",",""),"[",""),"]",""),"(",""),")",""),"*","")</f>
        <v/>
      </c>
      <c r="AV214" s="61" t="str">
        <f aca="false">SUBSTITUTE(SUBSTITUTE(SUBSTITUTE(SUBSTITUTE(SUBSTITUTE(SUBSTITUTE(SUBSTITUTE(SUBSTITUTE(SUBSTITUTE(SUBSTITUTE(SUBSTITUTE(SUBSTITUTE(SUBSTITUTE(LOWER(V214&amp;""),CHAR(160),"")," ",""),".",""),"-",""),"/",""),"?",""),"_",""),",",""),"[",""),"]",""),"(",""),")",""),"*","")</f>
        <v/>
      </c>
      <c r="AW214" s="61" t="str">
        <f aca="false">SUBSTITUTE(SUBSTITUTE(SUBSTITUTE(SUBSTITUTE(SUBSTITUTE(SUBSTITUTE(SUBSTITUTE(SUBSTITUTE(SUBSTITUTE(SUBSTITUTE(SUBSTITUTE(SUBSTITUTE(SUBSTITUTE(LOWER(Z214&amp;""),CHAR(160),"")," ",""),".",""),"-",""),"/",""),"?",""),"_",""),",",""),"[",""),"]",""),"(",""),")",""),"*","")</f>
        <v/>
      </c>
      <c r="AX214" s="61" t="str">
        <f aca="false">SUBSTITUTE(SUBSTITUTE(SUBSTITUTE(SUBSTITUTE(SUBSTITUTE(SUBSTITUTE(SUBSTITUTE(SUBSTITUTE(SUBSTITUTE(SUBSTITUTE(SUBSTITUTE(SUBSTITUTE(SUBSTITUTE(LOWER(AE214&amp;""),CHAR(160),"")," ",""),".",""),"-",""),"/",""),"?",""),"_",""),",",""),"[",""),"]",""),"(",""),")",""),"*","")</f>
        <v/>
      </c>
      <c r="AY214" s="61" t="str">
        <f aca="false">SUBSTITUTE(SUBSTITUTE(SUBSTITUTE(SUBSTITUTE(SUBSTITUTE(SUBSTITUTE(SUBSTITUTE(SUBSTITUTE(SUBSTITUTE(SUBSTITUTE(SUBSTITUTE(SUBSTITUTE(SUBSTITUTE(LOWER(W214&amp;""),CHAR(160),"")," ",""),".",""),"-",""),"/",""),"?",""),"_",""),",",""),"[",""),"]",""),"(",""),")",""),"*","")</f>
        <v/>
      </c>
      <c r="AZ214" s="61" t="str">
        <f aca="false">SUBSTITUTE(SUBSTITUTE(SUBSTITUTE(SUBSTITUTE(SUBSTITUTE(SUBSTITUTE(SUBSTITUTE(SUBSTITUTE(SUBSTITUTE(SUBSTITUTE(SUBSTITUTE(SUBSTITUTE(SUBSTITUTE(LOWER(AC214&amp;""),CHAR(160),"")," ",""),".",""),"-",""),"/",""),"?",""),"_",""),",",""),"[",""),"]",""),"(",""),")",""),"*","")</f>
        <v/>
      </c>
      <c r="BA214" s="61" t="str">
        <f aca="false">SUBSTITUTE(SUBSTITUTE(SUBSTITUTE(SUBSTITUTE(SUBSTITUTE(SUBSTITUTE(SUBSTITUTE(SUBSTITUTE(SUBSTITUTE(SUBSTITUTE(SUBSTITUTE(SUBSTITUTE(SUBSTITUTE(LOWER(AA214&amp;""),CHAR(160),"")," ",""),".",""),"-",""),"/",""),"?",""),"_",""),",",""),"[",""),"]",""),"(",""),")",""),"*","")</f>
        <v/>
      </c>
      <c r="BB214" s="61" t="str">
        <f aca="false">IF(AND(TRIM(U214)="Pass",ISNUMBER(AF214)),IF(AF214&lt;&gt;0,"INVALID – qty variance: use Fail or Pass after CA",""),"")&amp;IF(AND(TRIM(U214)="Pass after CA",ISNUMBER(AF214)),IF(AF214&lt;&gt;0,"INVALID – after the corrective action the actual qty must equal expected (update Actual)",""),"")&amp;IF(AND(TRIM(U214)="Pass",TRIM(AB214)&lt;&gt;"",TRIM(AB214)&lt;&gt;"Closed"),"INVALID – corrective action not closed: use Fail, then Pass after CA","")&amp;IF(AND(TRIM(AA214)&lt;&gt;"",TRIM(AB214)=""),"INVALID – CA status missing for the recorded corrective action","")&amp;IF(AND(TRIM(U214)="Pass after CA",OR(OR(LEN(BA214)&lt;5,ISNUMBER(MATCH(BA214,L_Placeholder,0))),TRIM(AB214)&lt;&gt;"Closed")),"INVALID – corrective action not recorded/closed","")</f>
        <v/>
      </c>
    </row>
    <row r="215" customFormat="false" ht="41.25" hidden="false" customHeight="true" outlineLevel="0" collapsed="false">
      <c r="A215" s="57" t="s">
        <v>754</v>
      </c>
      <c r="B215" s="57" t="s">
        <v>232</v>
      </c>
      <c r="C215" s="57" t="str">
        <f aca="false">Flights!$F$11</f>
        <v>MH0003</v>
      </c>
      <c r="D215" s="58" t="n">
        <f aca="false">Flights!$D$11</f>
        <v>46304</v>
      </c>
      <c r="E215" s="57" t="str">
        <f aca="false">Flights!$G$11&amp;"-"&amp;Flights!$H$11</f>
        <v>LHR-KUL</v>
      </c>
      <c r="F215" s="57" t="str">
        <f aca="false">Flights!$K$11</f>
        <v>BC</v>
      </c>
      <c r="G215" s="57" t="s">
        <v>79</v>
      </c>
      <c r="H215" s="57" t="s">
        <v>356</v>
      </c>
      <c r="I215" s="57" t="s">
        <v>367</v>
      </c>
      <c r="J215" s="57" t="s">
        <v>368</v>
      </c>
      <c r="K215" s="67" t="s">
        <v>369</v>
      </c>
      <c r="L215" s="67" t="s">
        <v>360</v>
      </c>
      <c r="M215" s="67"/>
      <c r="N215" s="67" t="str">
        <f aca="false">IF(TRIM(Flights!$L$11)="A339","Required","N/A – rule")</f>
        <v>N/A – rule</v>
      </c>
      <c r="O215" s="67" t="s">
        <v>370</v>
      </c>
      <c r="P215" s="57" t="s">
        <v>183</v>
      </c>
      <c r="Q215" s="59" t="n">
        <f aca="false">ROUND((Flights!$AC$11)*1440,0)/1440</f>
        <v>46297.4166666667</v>
      </c>
      <c r="R215" s="59" t="n">
        <f aca="false">Q215+(IF(AND(INDEX(TZ_DSTS,MATCH(P215,TZ_STN,0))&lt;&gt;"",Q215&gt;=INDEX(TZ_DSTS,MATCH(P215,TZ_STN,0)),Q215&lt;INDEX(TZ_DSTE,MATCH(P215,TZ_STN,0))),INDEX(TZ_DST,MATCH(P215,TZ_STN,0)),INDEX(TZ_STD,MATCH(P215,TZ_STN,0))))/24</f>
        <v>46297.4583333333</v>
      </c>
      <c r="S215" s="59" t="n">
        <f aca="false">Q215-T7EarlyD*24/24</f>
        <v>46283.4166666667</v>
      </c>
      <c r="T215" s="60"/>
      <c r="U215" s="60"/>
      <c r="V215" s="60"/>
      <c r="W215" s="61"/>
      <c r="X215" s="60"/>
      <c r="Y215" s="60"/>
      <c r="Z215" s="60"/>
      <c r="AA215" s="60"/>
      <c r="AB215" s="60"/>
      <c r="AC215" s="60"/>
      <c r="AD215" s="66"/>
      <c r="AE215" s="60"/>
      <c r="AF215" s="61" t="str">
        <f aca="false">IF(AND(ISNUMBER(X215),ISNUMBER(Y215)),Y215-X215,"")</f>
        <v/>
      </c>
      <c r="AG215" s="62" t="str">
        <f aca="false">IF(ISNUMBER(AD215),AD215-(IF(AND(INDEX(TZ_DSTS,MATCH(P215,TZ_STN,0))&lt;&gt;"",(AD215-INDEX(TZ_STD,MATCH(P215,TZ_STN,0))/24)&gt;=INDEX(TZ_DSTS,MATCH(P215,TZ_STN,0)),(AD215-INDEX(TZ_STD,MATCH(P215,TZ_STN,0))/24)&lt;INDEX(TZ_DSTE,MATCH(P215,TZ_STN,0))),INDEX(TZ_DST,MATCH(P215,TZ_STN,0)),INDEX(TZ_STD,MATCH(P215,TZ_STN,0))))/24,"")</f>
        <v/>
      </c>
      <c r="AH215" s="65" t="str">
        <f aca="false">IFERROR(IF(N215="N/A – rule","N/A – RULE",IF(TRIM(U215)="N/A",IF(AT215=0,"INVALID – N/A not permitted for this check",IF(AND(TRIM(AB215)&lt;&gt;"",TRIM(AB215)&lt;&gt;"Closed"),"INVALID – corrective action still open",IF(AND(NOT(OR(LEN(AZ215)&lt;15,ISNUMBER(MATCH(AZ215,L_Placeholder,0)))),NOT(OR(LEN(AU215)&lt;2,ISNUMBER(MATCH(AU215,L_Placeholder,0)))),NOT(OR(LEN(AX215)&lt;2,ISNUMBER(MATCH(AX215,L_Placeholder,0)))),TRIM(AE215)&lt;&gt;TRIM(T215)),"N/A – JUSTIFIED","INVALID – N/A needs a real justification (15+ chars), PIC and a different verifier"))),IF(OR(TRIM(U215)="Pass",TRIM(U215)="Pass after CA"),IF(NOT(ISNUMBER(AD215)),"INVALID – completion time missing",IF(OR(LEN(AU215)&lt;2,ISNUMBER(MATCH(AU215,L_Placeholder,0))),"INVALID – PIC missing",IF(OR(LEN(AV215)&lt;2,ISNUMBER(MATCH(AV215,L_Placeholder,0))),"INVALID – result / assessment missing",IF(OR(OR(LEN(AW215)&lt;3,ISNUMBER(MATCH(AW215,L_Placeholder,0))),SUMPRODUCT(--ISNUMBER(SEARCH(L_EvidencePhrase,AW215)))&gt;0),"INVALID – evidence missing, placeholder or not yet on file",IF(OR(LEN(AX215)&lt;2,ISNUMBER(MATCH(AX215,L_Placeholder,0))),"INVALID – verifier missing",IF(AX215=AU215,"INVALID – verifier must be someone other than the PIC",IF(AND(TRIM(U215)="Pass",SUMPRODUCT(--ISNUMBER(SEARCH(L_ResultBad,AV215)))&gt;0),"INVALID – result describes a problem: use Fail, then Pass after CA",IF(AND(AQ215=1,OR(LEN(AY215)&lt;3,ISNUMBER(MATCH(AY215,L_Placeholder,0)))),"INVALID – batch ID missing or placeholder",IF(AND(AR215=1,OR(NOT(ISNUMBER(X215)),NOT(ISNUMBER(Y215)))),"INVALID – expected/actual qty missing",IF(AND(AR215=1,OR(X215&lt;=0,Y215&lt;0)),"INVALID – expected qty must be above 0 and actual not negative",IF(BB215&lt;&gt;"",BB215,IF(AND(AS215=1,Documents!$J$11&lt;&gt;"ON FILE"),"INVALID – GLD not on file (Documents sheet)",IF(AND(AS215=2,Documents!$O$11&lt;&gt;"ON FILE"),"INVALID – menu checklist not on file (Documents sheet)",IF(AND(AS215=3,NOT(ISNUMBER(Flights!$AX$11))),"INVALID – enter carrying flight KUL departure (Flights AX)",IF(AND(AS215=3,OR(Flights!$AZ$11&gt;Flights!$AA$11,Flights!$AX$11&lt;Flights!$AA$11-3)),"INVALID – carrying flight (Flights AX) cannot arrive before this leg's STD, or is over 3 days early",IF(AG215&gt;AsOfUTC,"INVALID – completion time is in the future",IF(AND(ISNUMBER(S215),AG215&lt;S215),IF(H215="Physical uplift","INVALID – before uplift window (cannot confirm loading)","INVALID – before valid window"),IF(AG215&gt;Flights!$AA$11,"INVALID – completed after departure (cannot establish readiness)",IF(AND(H215="Preparation",AG215&gt;IF(ISNUMBER(Flights!$BA$11),MIN(Flights!$BA$11,Flights!$AA$11),Flights!$AA$11)),"INVALID – completed after loading / departure (cannot establish readiness)",IF(AND(H215="Physical uplift",AG215&gt;Q215),"INVALID – recorded after the loading flight departed",IF(AG215&gt;Q215,"COMPLETE – LATE","COMPLETE"))))))))))))))))))))),IF(TRIM(U215)="Fail","FAIL – DISCREPANCY",IF(AND(TRIM(U215)&lt;&gt;"",TRIM(U215)&lt;&gt;"Not started",TRIM(U215)&lt;&gt;"In progress"),"INVALID – unrecognised status (use the list)",IF(AsOfUTC&gt;Q215,"OVERDUE",IF(N215="Clarification required","OPEN – CLARIFICATION","OPEN"))))))),"INVALID – error value in an input cell")</f>
        <v>N/A – RULE</v>
      </c>
      <c r="AI215" s="61" t="n">
        <f aca="false">IF(OR(AH215="N/A – RULE",AH215="N/A – JUSTIFIED"),0,1)</f>
        <v>0</v>
      </c>
      <c r="AJ215" s="61" t="n">
        <f aca="false">IF(LEFT(AH215,8)="COMPLETE",1,0)</f>
        <v>0</v>
      </c>
      <c r="AK215" s="61" t="n">
        <f aca="false">IF(AND(AI215=1,AJ215=0,AsOfUTC&gt;Q215),1,0)</f>
        <v>0</v>
      </c>
      <c r="AL215" s="61" t="n">
        <f aca="false">IFERROR(IF(AND(AI215=1,OR(TRIM(U215)="Fail",AND(TRIM(AB215)&lt;&gt;"",TRIM(AB215)&lt;&gt;"Closed"),AND(ISNUMBER(AF215),AF215&lt;&gt;0,TRIM(U215)&lt;&gt;"Pass after CA"))),1,0),1)</f>
        <v>0</v>
      </c>
      <c r="AM215" s="61" t="n">
        <f aca="false">IF(LEFT(AH215,7)="INVALID",1,0)</f>
        <v>0</v>
      </c>
      <c r="AN215" s="61" t="n">
        <f aca="false">IF(AND(N215="Clarification required",AI215=1,AJ215=0),1,0)</f>
        <v>0</v>
      </c>
      <c r="AO215" s="61" t="str">
        <f aca="false">IF(AK215=1,SUM(AK$5:AK215),"")</f>
        <v/>
      </c>
      <c r="AP215" s="61" t="str">
        <f aca="false">IF(AL215=1,SUM(AL$5:AL215),"")</f>
        <v/>
      </c>
      <c r="AQ215" s="61" t="n">
        <v>0</v>
      </c>
      <c r="AR215" s="61" t="n">
        <v>0</v>
      </c>
      <c r="AS215" s="61" t="n">
        <v>0</v>
      </c>
      <c r="AT215" s="61" t="n">
        <v>0</v>
      </c>
      <c r="AU215" s="61" t="str">
        <f aca="false">SUBSTITUTE(SUBSTITUTE(SUBSTITUTE(SUBSTITUTE(SUBSTITUTE(SUBSTITUTE(SUBSTITUTE(SUBSTITUTE(SUBSTITUTE(SUBSTITUTE(SUBSTITUTE(SUBSTITUTE(SUBSTITUTE(LOWER(T215&amp;""),CHAR(160),"")," ",""),".",""),"-",""),"/",""),"?",""),"_",""),",",""),"[",""),"]",""),"(",""),")",""),"*","")</f>
        <v/>
      </c>
      <c r="AV215" s="61" t="str">
        <f aca="false">SUBSTITUTE(SUBSTITUTE(SUBSTITUTE(SUBSTITUTE(SUBSTITUTE(SUBSTITUTE(SUBSTITUTE(SUBSTITUTE(SUBSTITUTE(SUBSTITUTE(SUBSTITUTE(SUBSTITUTE(SUBSTITUTE(LOWER(V215&amp;""),CHAR(160),"")," ",""),".",""),"-",""),"/",""),"?",""),"_",""),",",""),"[",""),"]",""),"(",""),")",""),"*","")</f>
        <v/>
      </c>
      <c r="AW215" s="61" t="str">
        <f aca="false">SUBSTITUTE(SUBSTITUTE(SUBSTITUTE(SUBSTITUTE(SUBSTITUTE(SUBSTITUTE(SUBSTITUTE(SUBSTITUTE(SUBSTITUTE(SUBSTITUTE(SUBSTITUTE(SUBSTITUTE(SUBSTITUTE(LOWER(Z215&amp;""),CHAR(160),"")," ",""),".",""),"-",""),"/",""),"?",""),"_",""),",",""),"[",""),"]",""),"(",""),")",""),"*","")</f>
        <v/>
      </c>
      <c r="AX215" s="61" t="str">
        <f aca="false">SUBSTITUTE(SUBSTITUTE(SUBSTITUTE(SUBSTITUTE(SUBSTITUTE(SUBSTITUTE(SUBSTITUTE(SUBSTITUTE(SUBSTITUTE(SUBSTITUTE(SUBSTITUTE(SUBSTITUTE(SUBSTITUTE(LOWER(AE215&amp;""),CHAR(160),"")," ",""),".",""),"-",""),"/",""),"?",""),"_",""),",",""),"[",""),"]",""),"(",""),")",""),"*","")</f>
        <v/>
      </c>
      <c r="AY215" s="61" t="str">
        <f aca="false">SUBSTITUTE(SUBSTITUTE(SUBSTITUTE(SUBSTITUTE(SUBSTITUTE(SUBSTITUTE(SUBSTITUTE(SUBSTITUTE(SUBSTITUTE(SUBSTITUTE(SUBSTITUTE(SUBSTITUTE(SUBSTITUTE(LOWER(W215&amp;""),CHAR(160),"")," ",""),".",""),"-",""),"/",""),"?",""),"_",""),",",""),"[",""),"]",""),"(",""),")",""),"*","")</f>
        <v/>
      </c>
      <c r="AZ215" s="61" t="str">
        <f aca="false">SUBSTITUTE(SUBSTITUTE(SUBSTITUTE(SUBSTITUTE(SUBSTITUTE(SUBSTITUTE(SUBSTITUTE(SUBSTITUTE(SUBSTITUTE(SUBSTITUTE(SUBSTITUTE(SUBSTITUTE(SUBSTITUTE(LOWER(AC215&amp;""),CHAR(160),"")," ",""),".",""),"-",""),"/",""),"?",""),"_",""),",",""),"[",""),"]",""),"(",""),")",""),"*","")</f>
        <v/>
      </c>
      <c r="BA215" s="61" t="str">
        <f aca="false">SUBSTITUTE(SUBSTITUTE(SUBSTITUTE(SUBSTITUTE(SUBSTITUTE(SUBSTITUTE(SUBSTITUTE(SUBSTITUTE(SUBSTITUTE(SUBSTITUTE(SUBSTITUTE(SUBSTITUTE(SUBSTITUTE(LOWER(AA215&amp;""),CHAR(160),"")," ",""),".",""),"-",""),"/",""),"?",""),"_",""),",",""),"[",""),"]",""),"(",""),")",""),"*","")</f>
        <v/>
      </c>
      <c r="BB215" s="61" t="str">
        <f aca="false">IF(AND(TRIM(U215)="Pass",ISNUMBER(AF215)),IF(AF215&lt;&gt;0,"INVALID – qty variance: use Fail or Pass after CA",""),"")&amp;IF(AND(TRIM(U215)="Pass after CA",ISNUMBER(AF215)),IF(AF215&lt;&gt;0,"INVALID – after the corrective action the actual qty must equal expected (update Actual)",""),"")&amp;IF(AND(TRIM(U215)="Pass",TRIM(AB215)&lt;&gt;"",TRIM(AB215)&lt;&gt;"Closed"),"INVALID – corrective action not closed: use Fail, then Pass after CA","")&amp;IF(AND(TRIM(AA215)&lt;&gt;"",TRIM(AB215)=""),"INVALID – CA status missing for the recorded corrective action","")&amp;IF(AND(TRIM(U215)="Pass after CA",OR(OR(LEN(BA215)&lt;5,ISNUMBER(MATCH(BA215,L_Placeholder,0))),TRIM(AB215)&lt;&gt;"Closed")),"INVALID – corrective action not recorded/closed","")</f>
        <v/>
      </c>
    </row>
    <row r="216" customFormat="false" ht="39.75" hidden="false" customHeight="true" outlineLevel="0" collapsed="false">
      <c r="A216" s="57" t="s">
        <v>755</v>
      </c>
      <c r="B216" s="57" t="s">
        <v>232</v>
      </c>
      <c r="C216" s="57" t="str">
        <f aca="false">Flights!$F$11</f>
        <v>MH0003</v>
      </c>
      <c r="D216" s="58" t="n">
        <f aca="false">Flights!$D$11</f>
        <v>46304</v>
      </c>
      <c r="E216" s="57" t="str">
        <f aca="false">Flights!$G$11&amp;"-"&amp;Flights!$H$11</f>
        <v>LHR-KUL</v>
      </c>
      <c r="F216" s="57" t="str">
        <f aca="false">Flights!$K$11</f>
        <v>BC</v>
      </c>
      <c r="G216" s="57" t="s">
        <v>79</v>
      </c>
      <c r="H216" s="57" t="s">
        <v>356</v>
      </c>
      <c r="I216" s="57" t="s">
        <v>372</v>
      </c>
      <c r="J216" s="57" t="s">
        <v>373</v>
      </c>
      <c r="K216" s="67" t="s">
        <v>374</v>
      </c>
      <c r="L216" s="67" t="s">
        <v>360</v>
      </c>
      <c r="M216" s="67"/>
      <c r="N216" s="67" t="s">
        <v>361</v>
      </c>
      <c r="O216" s="67"/>
      <c r="P216" s="57" t="s">
        <v>183</v>
      </c>
      <c r="Q216" s="59" t="n">
        <f aca="false">ROUND((Flights!$AC$11)*1440,0)/1440</f>
        <v>46297.4166666667</v>
      </c>
      <c r="R216" s="59" t="n">
        <f aca="false">Q216+(IF(AND(INDEX(TZ_DSTS,MATCH(P216,TZ_STN,0))&lt;&gt;"",Q216&gt;=INDEX(TZ_DSTS,MATCH(P216,TZ_STN,0)),Q216&lt;INDEX(TZ_DSTE,MATCH(P216,TZ_STN,0))),INDEX(TZ_DST,MATCH(P216,TZ_STN,0)),INDEX(TZ_STD,MATCH(P216,TZ_STN,0))))/24</f>
        <v>46297.4583333333</v>
      </c>
      <c r="S216" s="59" t="n">
        <f aca="false">Q216-T7EarlyD*24/24</f>
        <v>46283.4166666667</v>
      </c>
      <c r="T216" s="60"/>
      <c r="U216" s="60"/>
      <c r="V216" s="60"/>
      <c r="W216" s="61"/>
      <c r="X216" s="60"/>
      <c r="Y216" s="60"/>
      <c r="Z216" s="60"/>
      <c r="AA216" s="60"/>
      <c r="AB216" s="60"/>
      <c r="AC216" s="60"/>
      <c r="AD216" s="66"/>
      <c r="AE216" s="60"/>
      <c r="AF216" s="61" t="str">
        <f aca="false">IF(AND(ISNUMBER(X216),ISNUMBER(Y216)),Y216-X216,"")</f>
        <v/>
      </c>
      <c r="AG216" s="62" t="str">
        <f aca="false">IF(ISNUMBER(AD216),AD216-(IF(AND(INDEX(TZ_DSTS,MATCH(P216,TZ_STN,0))&lt;&gt;"",(AD216-INDEX(TZ_STD,MATCH(P216,TZ_STN,0))/24)&gt;=INDEX(TZ_DSTS,MATCH(P216,TZ_STN,0)),(AD216-INDEX(TZ_STD,MATCH(P216,TZ_STN,0))/24)&lt;INDEX(TZ_DSTE,MATCH(P216,TZ_STN,0))),INDEX(TZ_DST,MATCH(P216,TZ_STN,0)),INDEX(TZ_STD,MATCH(P216,TZ_STN,0))))/24,"")</f>
        <v/>
      </c>
      <c r="AH216" s="65" t="str">
        <f aca="false">IFERROR(IF(N216="N/A – rule","N/A – RULE",IF(TRIM(U216)="N/A",IF(AT216=0,"INVALID – N/A not permitted for this check",IF(AND(TRIM(AB216)&lt;&gt;"",TRIM(AB216)&lt;&gt;"Closed"),"INVALID – corrective action still open",IF(AND(NOT(OR(LEN(AZ216)&lt;15,ISNUMBER(MATCH(AZ216,L_Placeholder,0)))),NOT(OR(LEN(AU216)&lt;2,ISNUMBER(MATCH(AU216,L_Placeholder,0)))),NOT(OR(LEN(AX216)&lt;2,ISNUMBER(MATCH(AX216,L_Placeholder,0)))),TRIM(AE216)&lt;&gt;TRIM(T216)),"N/A – JUSTIFIED","INVALID – N/A needs a real justification (15+ chars), PIC and a different verifier"))),IF(OR(TRIM(U216)="Pass",TRIM(U216)="Pass after CA"),IF(NOT(ISNUMBER(AD216)),"INVALID – completion time missing",IF(OR(LEN(AU216)&lt;2,ISNUMBER(MATCH(AU216,L_Placeholder,0))),"INVALID – PIC missing",IF(OR(LEN(AV216)&lt;2,ISNUMBER(MATCH(AV216,L_Placeholder,0))),"INVALID – result / assessment missing",IF(OR(OR(LEN(AW216)&lt;3,ISNUMBER(MATCH(AW216,L_Placeholder,0))),SUMPRODUCT(--ISNUMBER(SEARCH(L_EvidencePhrase,AW216)))&gt;0),"INVALID – evidence missing, placeholder or not yet on file",IF(OR(LEN(AX216)&lt;2,ISNUMBER(MATCH(AX216,L_Placeholder,0))),"INVALID – verifier missing",IF(AX216=AU216,"INVALID – verifier must be someone other than the PIC",IF(AND(TRIM(U216)="Pass",SUMPRODUCT(--ISNUMBER(SEARCH(L_ResultBad,AV216)))&gt;0),"INVALID – result describes a problem: use Fail, then Pass after CA",IF(AND(AQ216=1,OR(LEN(AY216)&lt;3,ISNUMBER(MATCH(AY216,L_Placeholder,0)))),"INVALID – batch ID missing or placeholder",IF(AND(AR216=1,OR(NOT(ISNUMBER(X216)),NOT(ISNUMBER(Y216)))),"INVALID – expected/actual qty missing",IF(AND(AR216=1,OR(X216&lt;=0,Y216&lt;0)),"INVALID – expected qty must be above 0 and actual not negative",IF(BB216&lt;&gt;"",BB216,IF(AND(AS216=1,Documents!$J$11&lt;&gt;"ON FILE"),"INVALID – GLD not on file (Documents sheet)",IF(AND(AS216=2,Documents!$O$11&lt;&gt;"ON FILE"),"INVALID – menu checklist not on file (Documents sheet)",IF(AND(AS216=3,NOT(ISNUMBER(Flights!$AX$11))),"INVALID – enter carrying flight KUL departure (Flights AX)",IF(AND(AS216=3,OR(Flights!$AZ$11&gt;Flights!$AA$11,Flights!$AX$11&lt;Flights!$AA$11-3)),"INVALID – carrying flight (Flights AX) cannot arrive before this leg's STD, or is over 3 days early",IF(AG216&gt;AsOfUTC,"INVALID – completion time is in the future",IF(AND(ISNUMBER(S216),AG216&lt;S216),IF(H216="Physical uplift","INVALID – before uplift window (cannot confirm loading)","INVALID – before valid window"),IF(AG216&gt;Flights!$AA$11,"INVALID – completed after departure (cannot establish readiness)",IF(AND(H216="Preparation",AG216&gt;IF(ISNUMBER(Flights!$BA$11),MIN(Flights!$BA$11,Flights!$AA$11),Flights!$AA$11)),"INVALID – completed after loading / departure (cannot establish readiness)",IF(AND(H216="Physical uplift",AG216&gt;Q216),"INVALID – recorded after the loading flight departed",IF(AG216&gt;Q216,"COMPLETE – LATE","COMPLETE"))))))))))))))))))))),IF(TRIM(U216)="Fail","FAIL – DISCREPANCY",IF(AND(TRIM(U216)&lt;&gt;"",TRIM(U216)&lt;&gt;"Not started",TRIM(U216)&lt;&gt;"In progress"),"INVALID – unrecognised status (use the list)",IF(AsOfUTC&gt;Q216,"OVERDUE",IF(N216="Clarification required","OPEN – CLARIFICATION","OPEN"))))))),"INVALID – error value in an input cell")</f>
        <v>OPEN</v>
      </c>
      <c r="AI216" s="61" t="n">
        <f aca="false">IF(OR(AH216="N/A – RULE",AH216="N/A – JUSTIFIED"),0,1)</f>
        <v>1</v>
      </c>
      <c r="AJ216" s="61" t="n">
        <f aca="false">IF(LEFT(AH216,8)="COMPLETE",1,0)</f>
        <v>0</v>
      </c>
      <c r="AK216" s="61" t="n">
        <f aca="false">IF(AND(AI216=1,AJ216=0,AsOfUTC&gt;Q216),1,0)</f>
        <v>0</v>
      </c>
      <c r="AL216" s="61" t="n">
        <f aca="false">IFERROR(IF(AND(AI216=1,OR(TRIM(U216)="Fail",AND(TRIM(AB216)&lt;&gt;"",TRIM(AB216)&lt;&gt;"Closed"),AND(ISNUMBER(AF216),AF216&lt;&gt;0,TRIM(U216)&lt;&gt;"Pass after CA"))),1,0),1)</f>
        <v>0</v>
      </c>
      <c r="AM216" s="61" t="n">
        <f aca="false">IF(LEFT(AH216,7)="INVALID",1,0)</f>
        <v>0</v>
      </c>
      <c r="AN216" s="61" t="n">
        <f aca="false">IF(AND(N216="Clarification required",AI216=1,AJ216=0),1,0)</f>
        <v>0</v>
      </c>
      <c r="AO216" s="61" t="str">
        <f aca="false">IF(AK216=1,SUM(AK$5:AK216),"")</f>
        <v/>
      </c>
      <c r="AP216" s="61" t="str">
        <f aca="false">IF(AL216=1,SUM(AL$5:AL216),"")</f>
        <v/>
      </c>
      <c r="AQ216" s="61" t="n">
        <v>0</v>
      </c>
      <c r="AR216" s="61" t="n">
        <v>0</v>
      </c>
      <c r="AS216" s="61" t="n">
        <v>0</v>
      </c>
      <c r="AT216" s="61" t="n">
        <v>0</v>
      </c>
      <c r="AU216" s="61" t="str">
        <f aca="false">SUBSTITUTE(SUBSTITUTE(SUBSTITUTE(SUBSTITUTE(SUBSTITUTE(SUBSTITUTE(SUBSTITUTE(SUBSTITUTE(SUBSTITUTE(SUBSTITUTE(SUBSTITUTE(SUBSTITUTE(SUBSTITUTE(LOWER(T216&amp;""),CHAR(160),"")," ",""),".",""),"-",""),"/",""),"?",""),"_",""),",",""),"[",""),"]",""),"(",""),")",""),"*","")</f>
        <v/>
      </c>
      <c r="AV216" s="61" t="str">
        <f aca="false">SUBSTITUTE(SUBSTITUTE(SUBSTITUTE(SUBSTITUTE(SUBSTITUTE(SUBSTITUTE(SUBSTITUTE(SUBSTITUTE(SUBSTITUTE(SUBSTITUTE(SUBSTITUTE(SUBSTITUTE(SUBSTITUTE(LOWER(V216&amp;""),CHAR(160),"")," ",""),".",""),"-",""),"/",""),"?",""),"_",""),",",""),"[",""),"]",""),"(",""),")",""),"*","")</f>
        <v/>
      </c>
      <c r="AW216" s="61" t="str">
        <f aca="false">SUBSTITUTE(SUBSTITUTE(SUBSTITUTE(SUBSTITUTE(SUBSTITUTE(SUBSTITUTE(SUBSTITUTE(SUBSTITUTE(SUBSTITUTE(SUBSTITUTE(SUBSTITUTE(SUBSTITUTE(SUBSTITUTE(LOWER(Z216&amp;""),CHAR(160),"")," ",""),".",""),"-",""),"/",""),"?",""),"_",""),",",""),"[",""),"]",""),"(",""),")",""),"*","")</f>
        <v/>
      </c>
      <c r="AX216" s="61" t="str">
        <f aca="false">SUBSTITUTE(SUBSTITUTE(SUBSTITUTE(SUBSTITUTE(SUBSTITUTE(SUBSTITUTE(SUBSTITUTE(SUBSTITUTE(SUBSTITUTE(SUBSTITUTE(SUBSTITUTE(SUBSTITUTE(SUBSTITUTE(LOWER(AE216&amp;""),CHAR(160),"")," ",""),".",""),"-",""),"/",""),"?",""),"_",""),",",""),"[",""),"]",""),"(",""),")",""),"*","")</f>
        <v/>
      </c>
      <c r="AY216" s="61" t="str">
        <f aca="false">SUBSTITUTE(SUBSTITUTE(SUBSTITUTE(SUBSTITUTE(SUBSTITUTE(SUBSTITUTE(SUBSTITUTE(SUBSTITUTE(SUBSTITUTE(SUBSTITUTE(SUBSTITUTE(SUBSTITUTE(SUBSTITUTE(LOWER(W216&amp;""),CHAR(160),"")," ",""),".",""),"-",""),"/",""),"?",""),"_",""),",",""),"[",""),"]",""),"(",""),")",""),"*","")</f>
        <v/>
      </c>
      <c r="AZ216" s="61" t="str">
        <f aca="false">SUBSTITUTE(SUBSTITUTE(SUBSTITUTE(SUBSTITUTE(SUBSTITUTE(SUBSTITUTE(SUBSTITUTE(SUBSTITUTE(SUBSTITUTE(SUBSTITUTE(SUBSTITUTE(SUBSTITUTE(SUBSTITUTE(LOWER(AC216&amp;""),CHAR(160),"")," ",""),".",""),"-",""),"/",""),"?",""),"_",""),",",""),"[",""),"]",""),"(",""),")",""),"*","")</f>
        <v/>
      </c>
      <c r="BA216" s="61" t="str">
        <f aca="false">SUBSTITUTE(SUBSTITUTE(SUBSTITUTE(SUBSTITUTE(SUBSTITUTE(SUBSTITUTE(SUBSTITUTE(SUBSTITUTE(SUBSTITUTE(SUBSTITUTE(SUBSTITUTE(SUBSTITUTE(SUBSTITUTE(LOWER(AA216&amp;""),CHAR(160),"")," ",""),".",""),"-",""),"/",""),"?",""),"_",""),",",""),"[",""),"]",""),"(",""),")",""),"*","")</f>
        <v/>
      </c>
      <c r="BB216" s="61" t="str">
        <f aca="false">IF(AND(TRIM(U216)="Pass",ISNUMBER(AF216)),IF(AF216&lt;&gt;0,"INVALID – qty variance: use Fail or Pass after CA",""),"")&amp;IF(AND(TRIM(U216)="Pass after CA",ISNUMBER(AF216)),IF(AF216&lt;&gt;0,"INVALID – after the corrective action the actual qty must equal expected (update Actual)",""),"")&amp;IF(AND(TRIM(U216)="Pass",TRIM(AB216)&lt;&gt;"",TRIM(AB216)&lt;&gt;"Closed"),"INVALID – corrective action not closed: use Fail, then Pass after CA","")&amp;IF(AND(TRIM(AA216)&lt;&gt;"",TRIM(AB216)=""),"INVALID – CA status missing for the recorded corrective action","")&amp;IF(AND(TRIM(U216)="Pass after CA",OR(OR(LEN(BA216)&lt;5,ISNUMBER(MATCH(BA216,L_Placeholder,0))),TRIM(AB216)&lt;&gt;"Closed")),"INVALID – corrective action not recorded/closed","")</f>
        <v/>
      </c>
    </row>
    <row r="217" customFormat="false" ht="39.75" hidden="false" customHeight="true" outlineLevel="0" collapsed="false">
      <c r="A217" s="57" t="s">
        <v>756</v>
      </c>
      <c r="B217" s="57" t="s">
        <v>232</v>
      </c>
      <c r="C217" s="57" t="str">
        <f aca="false">Flights!$F$11</f>
        <v>MH0003</v>
      </c>
      <c r="D217" s="58" t="n">
        <f aca="false">Flights!$D$11</f>
        <v>46304</v>
      </c>
      <c r="E217" s="57" t="str">
        <f aca="false">Flights!$G$11&amp;"-"&amp;Flights!$H$11</f>
        <v>LHR-KUL</v>
      </c>
      <c r="F217" s="57" t="str">
        <f aca="false">Flights!$K$11</f>
        <v>BC</v>
      </c>
      <c r="G217" s="57" t="s">
        <v>79</v>
      </c>
      <c r="H217" s="57" t="s">
        <v>356</v>
      </c>
      <c r="I217" s="57" t="s">
        <v>376</v>
      </c>
      <c r="J217" s="57" t="s">
        <v>377</v>
      </c>
      <c r="K217" s="67" t="s">
        <v>378</v>
      </c>
      <c r="L217" s="67" t="s">
        <v>360</v>
      </c>
      <c r="M217" s="67"/>
      <c r="N217" s="67" t="s">
        <v>361</v>
      </c>
      <c r="O217" s="67"/>
      <c r="P217" s="57" t="s">
        <v>183</v>
      </c>
      <c r="Q217" s="59" t="n">
        <f aca="false">ROUND((Flights!$AC$11)*1440,0)/1440</f>
        <v>46297.4166666667</v>
      </c>
      <c r="R217" s="59" t="n">
        <f aca="false">Q217+(IF(AND(INDEX(TZ_DSTS,MATCH(P217,TZ_STN,0))&lt;&gt;"",Q217&gt;=INDEX(TZ_DSTS,MATCH(P217,TZ_STN,0)),Q217&lt;INDEX(TZ_DSTE,MATCH(P217,TZ_STN,0))),INDEX(TZ_DST,MATCH(P217,TZ_STN,0)),INDEX(TZ_STD,MATCH(P217,TZ_STN,0))))/24</f>
        <v>46297.4583333333</v>
      </c>
      <c r="S217" s="59" t="n">
        <f aca="false">Q217-T7EarlyD*24/24</f>
        <v>46283.4166666667</v>
      </c>
      <c r="T217" s="60"/>
      <c r="U217" s="60"/>
      <c r="V217" s="60"/>
      <c r="W217" s="61"/>
      <c r="X217" s="60"/>
      <c r="Y217" s="60"/>
      <c r="Z217" s="60"/>
      <c r="AA217" s="60"/>
      <c r="AB217" s="60"/>
      <c r="AC217" s="60"/>
      <c r="AD217" s="66"/>
      <c r="AE217" s="60"/>
      <c r="AF217" s="61" t="str">
        <f aca="false">IF(AND(ISNUMBER(X217),ISNUMBER(Y217)),Y217-X217,"")</f>
        <v/>
      </c>
      <c r="AG217" s="62" t="str">
        <f aca="false">IF(ISNUMBER(AD217),AD217-(IF(AND(INDEX(TZ_DSTS,MATCH(P217,TZ_STN,0))&lt;&gt;"",(AD217-INDEX(TZ_STD,MATCH(P217,TZ_STN,0))/24)&gt;=INDEX(TZ_DSTS,MATCH(P217,TZ_STN,0)),(AD217-INDEX(TZ_STD,MATCH(P217,TZ_STN,0))/24)&lt;INDEX(TZ_DSTE,MATCH(P217,TZ_STN,0))),INDEX(TZ_DST,MATCH(P217,TZ_STN,0)),INDEX(TZ_STD,MATCH(P217,TZ_STN,0))))/24,"")</f>
        <v/>
      </c>
      <c r="AH217" s="65" t="str">
        <f aca="false">IFERROR(IF(N217="N/A – rule","N/A – RULE",IF(TRIM(U217)="N/A",IF(AT217=0,"INVALID – N/A not permitted for this check",IF(AND(TRIM(AB217)&lt;&gt;"",TRIM(AB217)&lt;&gt;"Closed"),"INVALID – corrective action still open",IF(AND(NOT(OR(LEN(AZ217)&lt;15,ISNUMBER(MATCH(AZ217,L_Placeholder,0)))),NOT(OR(LEN(AU217)&lt;2,ISNUMBER(MATCH(AU217,L_Placeholder,0)))),NOT(OR(LEN(AX217)&lt;2,ISNUMBER(MATCH(AX217,L_Placeholder,0)))),TRIM(AE217)&lt;&gt;TRIM(T217)),"N/A – JUSTIFIED","INVALID – N/A needs a real justification (15+ chars), PIC and a different verifier"))),IF(OR(TRIM(U217)="Pass",TRIM(U217)="Pass after CA"),IF(NOT(ISNUMBER(AD217)),"INVALID – completion time missing",IF(OR(LEN(AU217)&lt;2,ISNUMBER(MATCH(AU217,L_Placeholder,0))),"INVALID – PIC missing",IF(OR(LEN(AV217)&lt;2,ISNUMBER(MATCH(AV217,L_Placeholder,0))),"INVALID – result / assessment missing",IF(OR(OR(LEN(AW217)&lt;3,ISNUMBER(MATCH(AW217,L_Placeholder,0))),SUMPRODUCT(--ISNUMBER(SEARCH(L_EvidencePhrase,AW217)))&gt;0),"INVALID – evidence missing, placeholder or not yet on file",IF(OR(LEN(AX217)&lt;2,ISNUMBER(MATCH(AX217,L_Placeholder,0))),"INVALID – verifier missing",IF(AX217=AU217,"INVALID – verifier must be someone other than the PIC",IF(AND(TRIM(U217)="Pass",SUMPRODUCT(--ISNUMBER(SEARCH(L_ResultBad,AV217)))&gt;0),"INVALID – result describes a problem: use Fail, then Pass after CA",IF(AND(AQ217=1,OR(LEN(AY217)&lt;3,ISNUMBER(MATCH(AY217,L_Placeholder,0)))),"INVALID – batch ID missing or placeholder",IF(AND(AR217=1,OR(NOT(ISNUMBER(X217)),NOT(ISNUMBER(Y217)))),"INVALID – expected/actual qty missing",IF(AND(AR217=1,OR(X217&lt;=0,Y217&lt;0)),"INVALID – expected qty must be above 0 and actual not negative",IF(BB217&lt;&gt;"",BB217,IF(AND(AS217=1,Documents!$J$11&lt;&gt;"ON FILE"),"INVALID – GLD not on file (Documents sheet)",IF(AND(AS217=2,Documents!$O$11&lt;&gt;"ON FILE"),"INVALID – menu checklist not on file (Documents sheet)",IF(AND(AS217=3,NOT(ISNUMBER(Flights!$AX$11))),"INVALID – enter carrying flight KUL departure (Flights AX)",IF(AND(AS217=3,OR(Flights!$AZ$11&gt;Flights!$AA$11,Flights!$AX$11&lt;Flights!$AA$11-3)),"INVALID – carrying flight (Flights AX) cannot arrive before this leg's STD, or is over 3 days early",IF(AG217&gt;AsOfUTC,"INVALID – completion time is in the future",IF(AND(ISNUMBER(S217),AG217&lt;S217),IF(H217="Physical uplift","INVALID – before uplift window (cannot confirm loading)","INVALID – before valid window"),IF(AG217&gt;Flights!$AA$11,"INVALID – completed after departure (cannot establish readiness)",IF(AND(H217="Preparation",AG217&gt;IF(ISNUMBER(Flights!$BA$11),MIN(Flights!$BA$11,Flights!$AA$11),Flights!$AA$11)),"INVALID – completed after loading / departure (cannot establish readiness)",IF(AND(H217="Physical uplift",AG217&gt;Q217),"INVALID – recorded after the loading flight departed",IF(AG217&gt;Q217,"COMPLETE – LATE","COMPLETE"))))))))))))))))))))),IF(TRIM(U217)="Fail","FAIL – DISCREPANCY",IF(AND(TRIM(U217)&lt;&gt;"",TRIM(U217)&lt;&gt;"Not started",TRIM(U217)&lt;&gt;"In progress"),"INVALID – unrecognised status (use the list)",IF(AsOfUTC&gt;Q217,"OVERDUE",IF(N217="Clarification required","OPEN – CLARIFICATION","OPEN"))))))),"INVALID – error value in an input cell")</f>
        <v>OPEN</v>
      </c>
      <c r="AI217" s="61" t="n">
        <f aca="false">IF(OR(AH217="N/A – RULE",AH217="N/A – JUSTIFIED"),0,1)</f>
        <v>1</v>
      </c>
      <c r="AJ217" s="61" t="n">
        <f aca="false">IF(LEFT(AH217,8)="COMPLETE",1,0)</f>
        <v>0</v>
      </c>
      <c r="AK217" s="61" t="n">
        <f aca="false">IF(AND(AI217=1,AJ217=0,AsOfUTC&gt;Q217),1,0)</f>
        <v>0</v>
      </c>
      <c r="AL217" s="61" t="n">
        <f aca="false">IFERROR(IF(AND(AI217=1,OR(TRIM(U217)="Fail",AND(TRIM(AB217)&lt;&gt;"",TRIM(AB217)&lt;&gt;"Closed"),AND(ISNUMBER(AF217),AF217&lt;&gt;0,TRIM(U217)&lt;&gt;"Pass after CA"))),1,0),1)</f>
        <v>0</v>
      </c>
      <c r="AM217" s="61" t="n">
        <f aca="false">IF(LEFT(AH217,7)="INVALID",1,0)</f>
        <v>0</v>
      </c>
      <c r="AN217" s="61" t="n">
        <f aca="false">IF(AND(N217="Clarification required",AI217=1,AJ217=0),1,0)</f>
        <v>0</v>
      </c>
      <c r="AO217" s="61" t="str">
        <f aca="false">IF(AK217=1,SUM(AK$5:AK217),"")</f>
        <v/>
      </c>
      <c r="AP217" s="61" t="str">
        <f aca="false">IF(AL217=1,SUM(AL$5:AL217),"")</f>
        <v/>
      </c>
      <c r="AQ217" s="61" t="n">
        <v>0</v>
      </c>
      <c r="AR217" s="61" t="n">
        <v>0</v>
      </c>
      <c r="AS217" s="61" t="n">
        <v>0</v>
      </c>
      <c r="AT217" s="61" t="n">
        <v>0</v>
      </c>
      <c r="AU217" s="61" t="str">
        <f aca="false">SUBSTITUTE(SUBSTITUTE(SUBSTITUTE(SUBSTITUTE(SUBSTITUTE(SUBSTITUTE(SUBSTITUTE(SUBSTITUTE(SUBSTITUTE(SUBSTITUTE(SUBSTITUTE(SUBSTITUTE(SUBSTITUTE(LOWER(T217&amp;""),CHAR(160),"")," ",""),".",""),"-",""),"/",""),"?",""),"_",""),",",""),"[",""),"]",""),"(",""),")",""),"*","")</f>
        <v/>
      </c>
      <c r="AV217" s="61" t="str">
        <f aca="false">SUBSTITUTE(SUBSTITUTE(SUBSTITUTE(SUBSTITUTE(SUBSTITUTE(SUBSTITUTE(SUBSTITUTE(SUBSTITUTE(SUBSTITUTE(SUBSTITUTE(SUBSTITUTE(SUBSTITUTE(SUBSTITUTE(LOWER(V217&amp;""),CHAR(160),"")," ",""),".",""),"-",""),"/",""),"?",""),"_",""),",",""),"[",""),"]",""),"(",""),")",""),"*","")</f>
        <v/>
      </c>
      <c r="AW217" s="61" t="str">
        <f aca="false">SUBSTITUTE(SUBSTITUTE(SUBSTITUTE(SUBSTITUTE(SUBSTITUTE(SUBSTITUTE(SUBSTITUTE(SUBSTITUTE(SUBSTITUTE(SUBSTITUTE(SUBSTITUTE(SUBSTITUTE(SUBSTITUTE(LOWER(Z217&amp;""),CHAR(160),"")," ",""),".",""),"-",""),"/",""),"?",""),"_",""),",",""),"[",""),"]",""),"(",""),")",""),"*","")</f>
        <v/>
      </c>
      <c r="AX217" s="61" t="str">
        <f aca="false">SUBSTITUTE(SUBSTITUTE(SUBSTITUTE(SUBSTITUTE(SUBSTITUTE(SUBSTITUTE(SUBSTITUTE(SUBSTITUTE(SUBSTITUTE(SUBSTITUTE(SUBSTITUTE(SUBSTITUTE(SUBSTITUTE(LOWER(AE217&amp;""),CHAR(160),"")," ",""),".",""),"-",""),"/",""),"?",""),"_",""),",",""),"[",""),"]",""),"(",""),")",""),"*","")</f>
        <v/>
      </c>
      <c r="AY217" s="61" t="str">
        <f aca="false">SUBSTITUTE(SUBSTITUTE(SUBSTITUTE(SUBSTITUTE(SUBSTITUTE(SUBSTITUTE(SUBSTITUTE(SUBSTITUTE(SUBSTITUTE(SUBSTITUTE(SUBSTITUTE(SUBSTITUTE(SUBSTITUTE(LOWER(W217&amp;""),CHAR(160),"")," ",""),".",""),"-",""),"/",""),"?",""),"_",""),",",""),"[",""),"]",""),"(",""),")",""),"*","")</f>
        <v/>
      </c>
      <c r="AZ217" s="61" t="str">
        <f aca="false">SUBSTITUTE(SUBSTITUTE(SUBSTITUTE(SUBSTITUTE(SUBSTITUTE(SUBSTITUTE(SUBSTITUTE(SUBSTITUTE(SUBSTITUTE(SUBSTITUTE(SUBSTITUTE(SUBSTITUTE(SUBSTITUTE(LOWER(AC217&amp;""),CHAR(160),"")," ",""),".",""),"-",""),"/",""),"?",""),"_",""),",",""),"[",""),"]",""),"(",""),")",""),"*","")</f>
        <v/>
      </c>
      <c r="BA217" s="61" t="str">
        <f aca="false">SUBSTITUTE(SUBSTITUTE(SUBSTITUTE(SUBSTITUTE(SUBSTITUTE(SUBSTITUTE(SUBSTITUTE(SUBSTITUTE(SUBSTITUTE(SUBSTITUTE(SUBSTITUTE(SUBSTITUTE(SUBSTITUTE(LOWER(AA217&amp;""),CHAR(160),"")," ",""),".",""),"-",""),"/",""),"?",""),"_",""),",",""),"[",""),"]",""),"(",""),")",""),"*","")</f>
        <v/>
      </c>
      <c r="BB217" s="61" t="str">
        <f aca="false">IF(AND(TRIM(U217)="Pass",ISNUMBER(AF217)),IF(AF217&lt;&gt;0,"INVALID – qty variance: use Fail or Pass after CA",""),"")&amp;IF(AND(TRIM(U217)="Pass after CA",ISNUMBER(AF217)),IF(AF217&lt;&gt;0,"INVALID – after the corrective action the actual qty must equal expected (update Actual)",""),"")&amp;IF(AND(TRIM(U217)="Pass",TRIM(AB217)&lt;&gt;"",TRIM(AB217)&lt;&gt;"Closed"),"INVALID – corrective action not closed: use Fail, then Pass after CA","")&amp;IF(AND(TRIM(AA217)&lt;&gt;"",TRIM(AB217)=""),"INVALID – CA status missing for the recorded corrective action","")&amp;IF(AND(TRIM(U217)="Pass after CA",OR(OR(LEN(BA217)&lt;5,ISNUMBER(MATCH(BA217,L_Placeholder,0))),TRIM(AB217)&lt;&gt;"Closed")),"INVALID – corrective action not recorded/closed","")</f>
        <v/>
      </c>
    </row>
    <row r="218" customFormat="false" ht="39.75" hidden="false" customHeight="true" outlineLevel="0" collapsed="false">
      <c r="A218" s="57" t="s">
        <v>757</v>
      </c>
      <c r="B218" s="57" t="s">
        <v>232</v>
      </c>
      <c r="C218" s="57" t="str">
        <f aca="false">Flights!$F$11</f>
        <v>MH0003</v>
      </c>
      <c r="D218" s="58" t="n">
        <f aca="false">Flights!$D$11</f>
        <v>46304</v>
      </c>
      <c r="E218" s="57" t="str">
        <f aca="false">Flights!$G$11&amp;"-"&amp;Flights!$H$11</f>
        <v>LHR-KUL</v>
      </c>
      <c r="F218" s="57" t="str">
        <f aca="false">Flights!$K$11</f>
        <v>BC</v>
      </c>
      <c r="G218" s="57" t="s">
        <v>79</v>
      </c>
      <c r="H218" s="57" t="s">
        <v>356</v>
      </c>
      <c r="I218" s="57" t="s">
        <v>376</v>
      </c>
      <c r="J218" s="57" t="s">
        <v>380</v>
      </c>
      <c r="K218" s="67" t="s">
        <v>381</v>
      </c>
      <c r="L218" s="67" t="s">
        <v>360</v>
      </c>
      <c r="M218" s="67"/>
      <c r="N218" s="67" t="s">
        <v>361</v>
      </c>
      <c r="O218" s="67"/>
      <c r="P218" s="57" t="s">
        <v>183</v>
      </c>
      <c r="Q218" s="59" t="n">
        <f aca="false">ROUND((Flights!$AC$11)*1440,0)/1440</f>
        <v>46297.4166666667</v>
      </c>
      <c r="R218" s="59" t="n">
        <f aca="false">Q218+(IF(AND(INDEX(TZ_DSTS,MATCH(P218,TZ_STN,0))&lt;&gt;"",Q218&gt;=INDEX(TZ_DSTS,MATCH(P218,TZ_STN,0)),Q218&lt;INDEX(TZ_DSTE,MATCH(P218,TZ_STN,0))),INDEX(TZ_DST,MATCH(P218,TZ_STN,0)),INDEX(TZ_STD,MATCH(P218,TZ_STN,0))))/24</f>
        <v>46297.4583333333</v>
      </c>
      <c r="S218" s="59" t="n">
        <f aca="false">Q218-T7EarlyD*24/24</f>
        <v>46283.4166666667</v>
      </c>
      <c r="T218" s="60"/>
      <c r="U218" s="60"/>
      <c r="V218" s="60"/>
      <c r="W218" s="61"/>
      <c r="X218" s="60"/>
      <c r="Y218" s="60"/>
      <c r="Z218" s="60"/>
      <c r="AA218" s="60"/>
      <c r="AB218" s="60"/>
      <c r="AC218" s="60"/>
      <c r="AD218" s="66"/>
      <c r="AE218" s="60"/>
      <c r="AF218" s="61" t="str">
        <f aca="false">IF(AND(ISNUMBER(X218),ISNUMBER(Y218)),Y218-X218,"")</f>
        <v/>
      </c>
      <c r="AG218" s="62" t="str">
        <f aca="false">IF(ISNUMBER(AD218),AD218-(IF(AND(INDEX(TZ_DSTS,MATCH(P218,TZ_STN,0))&lt;&gt;"",(AD218-INDEX(TZ_STD,MATCH(P218,TZ_STN,0))/24)&gt;=INDEX(TZ_DSTS,MATCH(P218,TZ_STN,0)),(AD218-INDEX(TZ_STD,MATCH(P218,TZ_STN,0))/24)&lt;INDEX(TZ_DSTE,MATCH(P218,TZ_STN,0))),INDEX(TZ_DST,MATCH(P218,TZ_STN,0)),INDEX(TZ_STD,MATCH(P218,TZ_STN,0))))/24,"")</f>
        <v/>
      </c>
      <c r="AH218" s="65" t="str">
        <f aca="false">IFERROR(IF(N218="N/A – rule","N/A – RULE",IF(TRIM(U218)="N/A",IF(AT218=0,"INVALID – N/A not permitted for this check",IF(AND(TRIM(AB218)&lt;&gt;"",TRIM(AB218)&lt;&gt;"Closed"),"INVALID – corrective action still open",IF(AND(NOT(OR(LEN(AZ218)&lt;15,ISNUMBER(MATCH(AZ218,L_Placeholder,0)))),NOT(OR(LEN(AU218)&lt;2,ISNUMBER(MATCH(AU218,L_Placeholder,0)))),NOT(OR(LEN(AX218)&lt;2,ISNUMBER(MATCH(AX218,L_Placeholder,0)))),TRIM(AE218)&lt;&gt;TRIM(T218)),"N/A – JUSTIFIED","INVALID – N/A needs a real justification (15+ chars), PIC and a different verifier"))),IF(OR(TRIM(U218)="Pass",TRIM(U218)="Pass after CA"),IF(NOT(ISNUMBER(AD218)),"INVALID – completion time missing",IF(OR(LEN(AU218)&lt;2,ISNUMBER(MATCH(AU218,L_Placeholder,0))),"INVALID – PIC missing",IF(OR(LEN(AV218)&lt;2,ISNUMBER(MATCH(AV218,L_Placeholder,0))),"INVALID – result / assessment missing",IF(OR(OR(LEN(AW218)&lt;3,ISNUMBER(MATCH(AW218,L_Placeholder,0))),SUMPRODUCT(--ISNUMBER(SEARCH(L_EvidencePhrase,AW218)))&gt;0),"INVALID – evidence missing, placeholder or not yet on file",IF(OR(LEN(AX218)&lt;2,ISNUMBER(MATCH(AX218,L_Placeholder,0))),"INVALID – verifier missing",IF(AX218=AU218,"INVALID – verifier must be someone other than the PIC",IF(AND(TRIM(U218)="Pass",SUMPRODUCT(--ISNUMBER(SEARCH(L_ResultBad,AV218)))&gt;0),"INVALID – result describes a problem: use Fail, then Pass after CA",IF(AND(AQ218=1,OR(LEN(AY218)&lt;3,ISNUMBER(MATCH(AY218,L_Placeholder,0)))),"INVALID – batch ID missing or placeholder",IF(AND(AR218=1,OR(NOT(ISNUMBER(X218)),NOT(ISNUMBER(Y218)))),"INVALID – expected/actual qty missing",IF(AND(AR218=1,OR(X218&lt;=0,Y218&lt;0)),"INVALID – expected qty must be above 0 and actual not negative",IF(BB218&lt;&gt;"",BB218,IF(AND(AS218=1,Documents!$J$11&lt;&gt;"ON FILE"),"INVALID – GLD not on file (Documents sheet)",IF(AND(AS218=2,Documents!$O$11&lt;&gt;"ON FILE"),"INVALID – menu checklist not on file (Documents sheet)",IF(AND(AS218=3,NOT(ISNUMBER(Flights!$AX$11))),"INVALID – enter carrying flight KUL departure (Flights AX)",IF(AND(AS218=3,OR(Flights!$AZ$11&gt;Flights!$AA$11,Flights!$AX$11&lt;Flights!$AA$11-3)),"INVALID – carrying flight (Flights AX) cannot arrive before this leg's STD, or is over 3 days early",IF(AG218&gt;AsOfUTC,"INVALID – completion time is in the future",IF(AND(ISNUMBER(S218),AG218&lt;S218),IF(H218="Physical uplift","INVALID – before uplift window (cannot confirm loading)","INVALID – before valid window"),IF(AG218&gt;Flights!$AA$11,"INVALID – completed after departure (cannot establish readiness)",IF(AND(H218="Preparation",AG218&gt;IF(ISNUMBER(Flights!$BA$11),MIN(Flights!$BA$11,Flights!$AA$11),Flights!$AA$11)),"INVALID – completed after loading / departure (cannot establish readiness)",IF(AND(H218="Physical uplift",AG218&gt;Q218),"INVALID – recorded after the loading flight departed",IF(AG218&gt;Q218,"COMPLETE – LATE","COMPLETE"))))))))))))))))))))),IF(TRIM(U218)="Fail","FAIL – DISCREPANCY",IF(AND(TRIM(U218)&lt;&gt;"",TRIM(U218)&lt;&gt;"Not started",TRIM(U218)&lt;&gt;"In progress"),"INVALID – unrecognised status (use the list)",IF(AsOfUTC&gt;Q218,"OVERDUE",IF(N218="Clarification required","OPEN – CLARIFICATION","OPEN"))))))),"INVALID – error value in an input cell")</f>
        <v>OPEN</v>
      </c>
      <c r="AI218" s="61" t="n">
        <f aca="false">IF(OR(AH218="N/A – RULE",AH218="N/A – JUSTIFIED"),0,1)</f>
        <v>1</v>
      </c>
      <c r="AJ218" s="61" t="n">
        <f aca="false">IF(LEFT(AH218,8)="COMPLETE",1,0)</f>
        <v>0</v>
      </c>
      <c r="AK218" s="61" t="n">
        <f aca="false">IF(AND(AI218=1,AJ218=0,AsOfUTC&gt;Q218),1,0)</f>
        <v>0</v>
      </c>
      <c r="AL218" s="61" t="n">
        <f aca="false">IFERROR(IF(AND(AI218=1,OR(TRIM(U218)="Fail",AND(TRIM(AB218)&lt;&gt;"",TRIM(AB218)&lt;&gt;"Closed"),AND(ISNUMBER(AF218),AF218&lt;&gt;0,TRIM(U218)&lt;&gt;"Pass after CA"))),1,0),1)</f>
        <v>0</v>
      </c>
      <c r="AM218" s="61" t="n">
        <f aca="false">IF(LEFT(AH218,7)="INVALID",1,0)</f>
        <v>0</v>
      </c>
      <c r="AN218" s="61" t="n">
        <f aca="false">IF(AND(N218="Clarification required",AI218=1,AJ218=0),1,0)</f>
        <v>0</v>
      </c>
      <c r="AO218" s="61" t="str">
        <f aca="false">IF(AK218=1,SUM(AK$5:AK218),"")</f>
        <v/>
      </c>
      <c r="AP218" s="61" t="str">
        <f aca="false">IF(AL218=1,SUM(AL$5:AL218),"")</f>
        <v/>
      </c>
      <c r="AQ218" s="61" t="n">
        <v>0</v>
      </c>
      <c r="AR218" s="61" t="n">
        <v>0</v>
      </c>
      <c r="AS218" s="61" t="n">
        <v>0</v>
      </c>
      <c r="AT218" s="61" t="n">
        <v>0</v>
      </c>
      <c r="AU218" s="61" t="str">
        <f aca="false">SUBSTITUTE(SUBSTITUTE(SUBSTITUTE(SUBSTITUTE(SUBSTITUTE(SUBSTITUTE(SUBSTITUTE(SUBSTITUTE(SUBSTITUTE(SUBSTITUTE(SUBSTITUTE(SUBSTITUTE(SUBSTITUTE(LOWER(T218&amp;""),CHAR(160),"")," ",""),".",""),"-",""),"/",""),"?",""),"_",""),",",""),"[",""),"]",""),"(",""),")",""),"*","")</f>
        <v/>
      </c>
      <c r="AV218" s="61" t="str">
        <f aca="false">SUBSTITUTE(SUBSTITUTE(SUBSTITUTE(SUBSTITUTE(SUBSTITUTE(SUBSTITUTE(SUBSTITUTE(SUBSTITUTE(SUBSTITUTE(SUBSTITUTE(SUBSTITUTE(SUBSTITUTE(SUBSTITUTE(LOWER(V218&amp;""),CHAR(160),"")," ",""),".",""),"-",""),"/",""),"?",""),"_",""),",",""),"[",""),"]",""),"(",""),")",""),"*","")</f>
        <v/>
      </c>
      <c r="AW218" s="61" t="str">
        <f aca="false">SUBSTITUTE(SUBSTITUTE(SUBSTITUTE(SUBSTITUTE(SUBSTITUTE(SUBSTITUTE(SUBSTITUTE(SUBSTITUTE(SUBSTITUTE(SUBSTITUTE(SUBSTITUTE(SUBSTITUTE(SUBSTITUTE(LOWER(Z218&amp;""),CHAR(160),"")," ",""),".",""),"-",""),"/",""),"?",""),"_",""),",",""),"[",""),"]",""),"(",""),")",""),"*","")</f>
        <v/>
      </c>
      <c r="AX218" s="61" t="str">
        <f aca="false">SUBSTITUTE(SUBSTITUTE(SUBSTITUTE(SUBSTITUTE(SUBSTITUTE(SUBSTITUTE(SUBSTITUTE(SUBSTITUTE(SUBSTITUTE(SUBSTITUTE(SUBSTITUTE(SUBSTITUTE(SUBSTITUTE(LOWER(AE218&amp;""),CHAR(160),"")," ",""),".",""),"-",""),"/",""),"?",""),"_",""),",",""),"[",""),"]",""),"(",""),")",""),"*","")</f>
        <v/>
      </c>
      <c r="AY218" s="61" t="str">
        <f aca="false">SUBSTITUTE(SUBSTITUTE(SUBSTITUTE(SUBSTITUTE(SUBSTITUTE(SUBSTITUTE(SUBSTITUTE(SUBSTITUTE(SUBSTITUTE(SUBSTITUTE(SUBSTITUTE(SUBSTITUTE(SUBSTITUTE(LOWER(W218&amp;""),CHAR(160),"")," ",""),".",""),"-",""),"/",""),"?",""),"_",""),",",""),"[",""),"]",""),"(",""),")",""),"*","")</f>
        <v/>
      </c>
      <c r="AZ218" s="61" t="str">
        <f aca="false">SUBSTITUTE(SUBSTITUTE(SUBSTITUTE(SUBSTITUTE(SUBSTITUTE(SUBSTITUTE(SUBSTITUTE(SUBSTITUTE(SUBSTITUTE(SUBSTITUTE(SUBSTITUTE(SUBSTITUTE(SUBSTITUTE(LOWER(AC218&amp;""),CHAR(160),"")," ",""),".",""),"-",""),"/",""),"?",""),"_",""),",",""),"[",""),"]",""),"(",""),")",""),"*","")</f>
        <v/>
      </c>
      <c r="BA218" s="61" t="str">
        <f aca="false">SUBSTITUTE(SUBSTITUTE(SUBSTITUTE(SUBSTITUTE(SUBSTITUTE(SUBSTITUTE(SUBSTITUTE(SUBSTITUTE(SUBSTITUTE(SUBSTITUTE(SUBSTITUTE(SUBSTITUTE(SUBSTITUTE(LOWER(AA218&amp;""),CHAR(160),"")," ",""),".",""),"-",""),"/",""),"?",""),"_",""),",",""),"[",""),"]",""),"(",""),")",""),"*","")</f>
        <v/>
      </c>
      <c r="BB218" s="61" t="str">
        <f aca="false">IF(AND(TRIM(U218)="Pass",ISNUMBER(AF218)),IF(AF218&lt;&gt;0,"INVALID – qty variance: use Fail or Pass after CA",""),"")&amp;IF(AND(TRIM(U218)="Pass after CA",ISNUMBER(AF218)),IF(AF218&lt;&gt;0,"INVALID – after the corrective action the actual qty must equal expected (update Actual)",""),"")&amp;IF(AND(TRIM(U218)="Pass",TRIM(AB218)&lt;&gt;"",TRIM(AB218)&lt;&gt;"Closed"),"INVALID – corrective action not closed: use Fail, then Pass after CA","")&amp;IF(AND(TRIM(AA218)&lt;&gt;"",TRIM(AB218)=""),"INVALID – CA status missing for the recorded corrective action","")&amp;IF(AND(TRIM(U218)="Pass after CA",OR(OR(LEN(BA218)&lt;5,ISNUMBER(MATCH(BA218,L_Placeholder,0))),TRIM(AB218)&lt;&gt;"Closed")),"INVALID – corrective action not recorded/closed","")</f>
        <v/>
      </c>
    </row>
    <row r="219" customFormat="false" ht="39.75" hidden="false" customHeight="true" outlineLevel="0" collapsed="false">
      <c r="A219" s="57" t="s">
        <v>758</v>
      </c>
      <c r="B219" s="57" t="s">
        <v>232</v>
      </c>
      <c r="C219" s="57" t="str">
        <f aca="false">Flights!$F$11</f>
        <v>MH0003</v>
      </c>
      <c r="D219" s="58" t="n">
        <f aca="false">Flights!$D$11</f>
        <v>46304</v>
      </c>
      <c r="E219" s="57" t="str">
        <f aca="false">Flights!$G$11&amp;"-"&amp;Flights!$H$11</f>
        <v>LHR-KUL</v>
      </c>
      <c r="F219" s="57" t="str">
        <f aca="false">Flights!$K$11</f>
        <v>BC</v>
      </c>
      <c r="G219" s="57" t="s">
        <v>79</v>
      </c>
      <c r="H219" s="57" t="s">
        <v>356</v>
      </c>
      <c r="I219" s="57" t="s">
        <v>383</v>
      </c>
      <c r="J219" s="57" t="s">
        <v>384</v>
      </c>
      <c r="K219" s="67" t="s">
        <v>385</v>
      </c>
      <c r="L219" s="67" t="s">
        <v>360</v>
      </c>
      <c r="M219" s="67"/>
      <c r="N219" s="67" t="s">
        <v>361</v>
      </c>
      <c r="O219" s="67"/>
      <c r="P219" s="57" t="s">
        <v>183</v>
      </c>
      <c r="Q219" s="59" t="n">
        <f aca="false">ROUND((Flights!$AC$11)*1440,0)/1440</f>
        <v>46297.4166666667</v>
      </c>
      <c r="R219" s="59" t="n">
        <f aca="false">Q219+(IF(AND(INDEX(TZ_DSTS,MATCH(P219,TZ_STN,0))&lt;&gt;"",Q219&gt;=INDEX(TZ_DSTS,MATCH(P219,TZ_STN,0)),Q219&lt;INDEX(TZ_DSTE,MATCH(P219,TZ_STN,0))),INDEX(TZ_DST,MATCH(P219,TZ_STN,0)),INDEX(TZ_STD,MATCH(P219,TZ_STN,0))))/24</f>
        <v>46297.4583333333</v>
      </c>
      <c r="S219" s="59" t="n">
        <f aca="false">Q219-T7EarlyD*24/24</f>
        <v>46283.4166666667</v>
      </c>
      <c r="T219" s="60"/>
      <c r="U219" s="60"/>
      <c r="V219" s="60"/>
      <c r="W219" s="61"/>
      <c r="X219" s="60"/>
      <c r="Y219" s="60"/>
      <c r="Z219" s="60"/>
      <c r="AA219" s="60"/>
      <c r="AB219" s="60"/>
      <c r="AC219" s="60"/>
      <c r="AD219" s="66"/>
      <c r="AE219" s="60"/>
      <c r="AF219" s="61" t="str">
        <f aca="false">IF(AND(ISNUMBER(X219),ISNUMBER(Y219)),Y219-X219,"")</f>
        <v/>
      </c>
      <c r="AG219" s="62" t="str">
        <f aca="false">IF(ISNUMBER(AD219),AD219-(IF(AND(INDEX(TZ_DSTS,MATCH(P219,TZ_STN,0))&lt;&gt;"",(AD219-INDEX(TZ_STD,MATCH(P219,TZ_STN,0))/24)&gt;=INDEX(TZ_DSTS,MATCH(P219,TZ_STN,0)),(AD219-INDEX(TZ_STD,MATCH(P219,TZ_STN,0))/24)&lt;INDEX(TZ_DSTE,MATCH(P219,TZ_STN,0))),INDEX(TZ_DST,MATCH(P219,TZ_STN,0)),INDEX(TZ_STD,MATCH(P219,TZ_STN,0))))/24,"")</f>
        <v/>
      </c>
      <c r="AH219" s="65" t="str">
        <f aca="false">IFERROR(IF(N219="N/A – rule","N/A – RULE",IF(TRIM(U219)="N/A",IF(AT219=0,"INVALID – N/A not permitted for this check",IF(AND(TRIM(AB219)&lt;&gt;"",TRIM(AB219)&lt;&gt;"Closed"),"INVALID – corrective action still open",IF(AND(NOT(OR(LEN(AZ219)&lt;15,ISNUMBER(MATCH(AZ219,L_Placeholder,0)))),NOT(OR(LEN(AU219)&lt;2,ISNUMBER(MATCH(AU219,L_Placeholder,0)))),NOT(OR(LEN(AX219)&lt;2,ISNUMBER(MATCH(AX219,L_Placeholder,0)))),TRIM(AE219)&lt;&gt;TRIM(T219)),"N/A – JUSTIFIED","INVALID – N/A needs a real justification (15+ chars), PIC and a different verifier"))),IF(OR(TRIM(U219)="Pass",TRIM(U219)="Pass after CA"),IF(NOT(ISNUMBER(AD219)),"INVALID – completion time missing",IF(OR(LEN(AU219)&lt;2,ISNUMBER(MATCH(AU219,L_Placeholder,0))),"INVALID – PIC missing",IF(OR(LEN(AV219)&lt;2,ISNUMBER(MATCH(AV219,L_Placeholder,0))),"INVALID – result / assessment missing",IF(OR(OR(LEN(AW219)&lt;3,ISNUMBER(MATCH(AW219,L_Placeholder,0))),SUMPRODUCT(--ISNUMBER(SEARCH(L_EvidencePhrase,AW219)))&gt;0),"INVALID – evidence missing, placeholder or not yet on file",IF(OR(LEN(AX219)&lt;2,ISNUMBER(MATCH(AX219,L_Placeholder,0))),"INVALID – verifier missing",IF(AX219=AU219,"INVALID – verifier must be someone other than the PIC",IF(AND(TRIM(U219)="Pass",SUMPRODUCT(--ISNUMBER(SEARCH(L_ResultBad,AV219)))&gt;0),"INVALID – result describes a problem: use Fail, then Pass after CA",IF(AND(AQ219=1,OR(LEN(AY219)&lt;3,ISNUMBER(MATCH(AY219,L_Placeholder,0)))),"INVALID – batch ID missing or placeholder",IF(AND(AR219=1,OR(NOT(ISNUMBER(X219)),NOT(ISNUMBER(Y219)))),"INVALID – expected/actual qty missing",IF(AND(AR219=1,OR(X219&lt;=0,Y219&lt;0)),"INVALID – expected qty must be above 0 and actual not negative",IF(BB219&lt;&gt;"",BB219,IF(AND(AS219=1,Documents!$J$11&lt;&gt;"ON FILE"),"INVALID – GLD not on file (Documents sheet)",IF(AND(AS219=2,Documents!$O$11&lt;&gt;"ON FILE"),"INVALID – menu checklist not on file (Documents sheet)",IF(AND(AS219=3,NOT(ISNUMBER(Flights!$AX$11))),"INVALID – enter carrying flight KUL departure (Flights AX)",IF(AND(AS219=3,OR(Flights!$AZ$11&gt;Flights!$AA$11,Flights!$AX$11&lt;Flights!$AA$11-3)),"INVALID – carrying flight (Flights AX) cannot arrive before this leg's STD, or is over 3 days early",IF(AG219&gt;AsOfUTC,"INVALID – completion time is in the future",IF(AND(ISNUMBER(S219),AG219&lt;S219),IF(H219="Physical uplift","INVALID – before uplift window (cannot confirm loading)","INVALID – before valid window"),IF(AG219&gt;Flights!$AA$11,"INVALID – completed after departure (cannot establish readiness)",IF(AND(H219="Preparation",AG219&gt;IF(ISNUMBER(Flights!$BA$11),MIN(Flights!$BA$11,Flights!$AA$11),Flights!$AA$11)),"INVALID – completed after loading / departure (cannot establish readiness)",IF(AND(H219="Physical uplift",AG219&gt;Q219),"INVALID – recorded after the loading flight departed",IF(AG219&gt;Q219,"COMPLETE – LATE","COMPLETE"))))))))))))))))))))),IF(TRIM(U219)="Fail","FAIL – DISCREPANCY",IF(AND(TRIM(U219)&lt;&gt;"",TRIM(U219)&lt;&gt;"Not started",TRIM(U219)&lt;&gt;"In progress"),"INVALID – unrecognised status (use the list)",IF(AsOfUTC&gt;Q219,"OVERDUE",IF(N219="Clarification required","OPEN – CLARIFICATION","OPEN"))))))),"INVALID – error value in an input cell")</f>
        <v>OPEN</v>
      </c>
      <c r="AI219" s="61" t="n">
        <f aca="false">IF(OR(AH219="N/A – RULE",AH219="N/A – JUSTIFIED"),0,1)</f>
        <v>1</v>
      </c>
      <c r="AJ219" s="61" t="n">
        <f aca="false">IF(LEFT(AH219,8)="COMPLETE",1,0)</f>
        <v>0</v>
      </c>
      <c r="AK219" s="61" t="n">
        <f aca="false">IF(AND(AI219=1,AJ219=0,AsOfUTC&gt;Q219),1,0)</f>
        <v>0</v>
      </c>
      <c r="AL219" s="61" t="n">
        <f aca="false">IFERROR(IF(AND(AI219=1,OR(TRIM(U219)="Fail",AND(TRIM(AB219)&lt;&gt;"",TRIM(AB219)&lt;&gt;"Closed"),AND(ISNUMBER(AF219),AF219&lt;&gt;0,TRIM(U219)&lt;&gt;"Pass after CA"))),1,0),1)</f>
        <v>0</v>
      </c>
      <c r="AM219" s="61" t="n">
        <f aca="false">IF(LEFT(AH219,7)="INVALID",1,0)</f>
        <v>0</v>
      </c>
      <c r="AN219" s="61" t="n">
        <f aca="false">IF(AND(N219="Clarification required",AI219=1,AJ219=0),1,0)</f>
        <v>0</v>
      </c>
      <c r="AO219" s="61" t="str">
        <f aca="false">IF(AK219=1,SUM(AK$5:AK219),"")</f>
        <v/>
      </c>
      <c r="AP219" s="61" t="str">
        <f aca="false">IF(AL219=1,SUM(AL$5:AL219),"")</f>
        <v/>
      </c>
      <c r="AQ219" s="61" t="n">
        <v>0</v>
      </c>
      <c r="AR219" s="61" t="n">
        <v>0</v>
      </c>
      <c r="AS219" s="61" t="n">
        <v>1</v>
      </c>
      <c r="AT219" s="61" t="n">
        <v>0</v>
      </c>
      <c r="AU219" s="61" t="str">
        <f aca="false">SUBSTITUTE(SUBSTITUTE(SUBSTITUTE(SUBSTITUTE(SUBSTITUTE(SUBSTITUTE(SUBSTITUTE(SUBSTITUTE(SUBSTITUTE(SUBSTITUTE(SUBSTITUTE(SUBSTITUTE(SUBSTITUTE(LOWER(T219&amp;""),CHAR(160),"")," ",""),".",""),"-",""),"/",""),"?",""),"_",""),",",""),"[",""),"]",""),"(",""),")",""),"*","")</f>
        <v/>
      </c>
      <c r="AV219" s="61" t="str">
        <f aca="false">SUBSTITUTE(SUBSTITUTE(SUBSTITUTE(SUBSTITUTE(SUBSTITUTE(SUBSTITUTE(SUBSTITUTE(SUBSTITUTE(SUBSTITUTE(SUBSTITUTE(SUBSTITUTE(SUBSTITUTE(SUBSTITUTE(LOWER(V219&amp;""),CHAR(160),"")," ",""),".",""),"-",""),"/",""),"?",""),"_",""),",",""),"[",""),"]",""),"(",""),")",""),"*","")</f>
        <v/>
      </c>
      <c r="AW219" s="61" t="str">
        <f aca="false">SUBSTITUTE(SUBSTITUTE(SUBSTITUTE(SUBSTITUTE(SUBSTITUTE(SUBSTITUTE(SUBSTITUTE(SUBSTITUTE(SUBSTITUTE(SUBSTITUTE(SUBSTITUTE(SUBSTITUTE(SUBSTITUTE(LOWER(Z219&amp;""),CHAR(160),"")," ",""),".",""),"-",""),"/",""),"?",""),"_",""),",",""),"[",""),"]",""),"(",""),")",""),"*","")</f>
        <v/>
      </c>
      <c r="AX219" s="61" t="str">
        <f aca="false">SUBSTITUTE(SUBSTITUTE(SUBSTITUTE(SUBSTITUTE(SUBSTITUTE(SUBSTITUTE(SUBSTITUTE(SUBSTITUTE(SUBSTITUTE(SUBSTITUTE(SUBSTITUTE(SUBSTITUTE(SUBSTITUTE(LOWER(AE219&amp;""),CHAR(160),"")," ",""),".",""),"-",""),"/",""),"?",""),"_",""),",",""),"[",""),"]",""),"(",""),")",""),"*","")</f>
        <v/>
      </c>
      <c r="AY219" s="61" t="str">
        <f aca="false">SUBSTITUTE(SUBSTITUTE(SUBSTITUTE(SUBSTITUTE(SUBSTITUTE(SUBSTITUTE(SUBSTITUTE(SUBSTITUTE(SUBSTITUTE(SUBSTITUTE(SUBSTITUTE(SUBSTITUTE(SUBSTITUTE(LOWER(W219&amp;""),CHAR(160),"")," ",""),".",""),"-",""),"/",""),"?",""),"_",""),",",""),"[",""),"]",""),"(",""),")",""),"*","")</f>
        <v/>
      </c>
      <c r="AZ219" s="61" t="str">
        <f aca="false">SUBSTITUTE(SUBSTITUTE(SUBSTITUTE(SUBSTITUTE(SUBSTITUTE(SUBSTITUTE(SUBSTITUTE(SUBSTITUTE(SUBSTITUTE(SUBSTITUTE(SUBSTITUTE(SUBSTITUTE(SUBSTITUTE(LOWER(AC219&amp;""),CHAR(160),"")," ",""),".",""),"-",""),"/",""),"?",""),"_",""),",",""),"[",""),"]",""),"(",""),")",""),"*","")</f>
        <v/>
      </c>
      <c r="BA219" s="61" t="str">
        <f aca="false">SUBSTITUTE(SUBSTITUTE(SUBSTITUTE(SUBSTITUTE(SUBSTITUTE(SUBSTITUTE(SUBSTITUTE(SUBSTITUTE(SUBSTITUTE(SUBSTITUTE(SUBSTITUTE(SUBSTITUTE(SUBSTITUTE(LOWER(AA219&amp;""),CHAR(160),"")," ",""),".",""),"-",""),"/",""),"?",""),"_",""),",",""),"[",""),"]",""),"(",""),")",""),"*","")</f>
        <v/>
      </c>
      <c r="BB219" s="61" t="str">
        <f aca="false">IF(AND(TRIM(U219)="Pass",ISNUMBER(AF219)),IF(AF219&lt;&gt;0,"INVALID – qty variance: use Fail or Pass after CA",""),"")&amp;IF(AND(TRIM(U219)="Pass after CA",ISNUMBER(AF219)),IF(AF219&lt;&gt;0,"INVALID – after the corrective action the actual qty must equal expected (update Actual)",""),"")&amp;IF(AND(TRIM(U219)="Pass",TRIM(AB219)&lt;&gt;"",TRIM(AB219)&lt;&gt;"Closed"),"INVALID – corrective action not closed: use Fail, then Pass after CA","")&amp;IF(AND(TRIM(AA219)&lt;&gt;"",TRIM(AB219)=""),"INVALID – CA status missing for the recorded corrective action","")&amp;IF(AND(TRIM(U219)="Pass after CA",OR(OR(LEN(BA219)&lt;5,ISNUMBER(MATCH(BA219,L_Placeholder,0))),TRIM(AB219)&lt;&gt;"Closed")),"INVALID – corrective action not recorded/closed","")</f>
        <v/>
      </c>
    </row>
    <row r="220" customFormat="false" ht="39.75" hidden="false" customHeight="true" outlineLevel="0" collapsed="false">
      <c r="A220" s="57" t="s">
        <v>759</v>
      </c>
      <c r="B220" s="57" t="s">
        <v>232</v>
      </c>
      <c r="C220" s="57" t="str">
        <f aca="false">Flights!$F$11</f>
        <v>MH0003</v>
      </c>
      <c r="D220" s="58" t="n">
        <f aca="false">Flights!$D$11</f>
        <v>46304</v>
      </c>
      <c r="E220" s="57" t="str">
        <f aca="false">Flights!$G$11&amp;"-"&amp;Flights!$H$11</f>
        <v>LHR-KUL</v>
      </c>
      <c r="F220" s="57" t="str">
        <f aca="false">Flights!$K$11</f>
        <v>BC</v>
      </c>
      <c r="G220" s="57" t="s">
        <v>79</v>
      </c>
      <c r="H220" s="57" t="s">
        <v>356</v>
      </c>
      <c r="I220" s="57" t="s">
        <v>383</v>
      </c>
      <c r="J220" s="57" t="s">
        <v>387</v>
      </c>
      <c r="K220" s="67" t="s">
        <v>385</v>
      </c>
      <c r="L220" s="67" t="s">
        <v>360</v>
      </c>
      <c r="M220" s="67"/>
      <c r="N220" s="67" t="s">
        <v>361</v>
      </c>
      <c r="O220" s="67"/>
      <c r="P220" s="57" t="s">
        <v>183</v>
      </c>
      <c r="Q220" s="59" t="n">
        <f aca="false">ROUND((Flights!$AC$11)*1440,0)/1440</f>
        <v>46297.4166666667</v>
      </c>
      <c r="R220" s="59" t="n">
        <f aca="false">Q220+(IF(AND(INDEX(TZ_DSTS,MATCH(P220,TZ_STN,0))&lt;&gt;"",Q220&gt;=INDEX(TZ_DSTS,MATCH(P220,TZ_STN,0)),Q220&lt;INDEX(TZ_DSTE,MATCH(P220,TZ_STN,0))),INDEX(TZ_DST,MATCH(P220,TZ_STN,0)),INDEX(TZ_STD,MATCH(P220,TZ_STN,0))))/24</f>
        <v>46297.4583333333</v>
      </c>
      <c r="S220" s="59" t="n">
        <f aca="false">Q220-T7EarlyD*24/24</f>
        <v>46283.4166666667</v>
      </c>
      <c r="T220" s="60"/>
      <c r="U220" s="60"/>
      <c r="V220" s="60"/>
      <c r="W220" s="61"/>
      <c r="X220" s="60"/>
      <c r="Y220" s="60"/>
      <c r="Z220" s="60"/>
      <c r="AA220" s="60"/>
      <c r="AB220" s="60"/>
      <c r="AC220" s="60"/>
      <c r="AD220" s="66"/>
      <c r="AE220" s="60"/>
      <c r="AF220" s="61" t="str">
        <f aca="false">IF(AND(ISNUMBER(X220),ISNUMBER(Y220)),Y220-X220,"")</f>
        <v/>
      </c>
      <c r="AG220" s="62" t="str">
        <f aca="false">IF(ISNUMBER(AD220),AD220-(IF(AND(INDEX(TZ_DSTS,MATCH(P220,TZ_STN,0))&lt;&gt;"",(AD220-INDEX(TZ_STD,MATCH(P220,TZ_STN,0))/24)&gt;=INDEX(TZ_DSTS,MATCH(P220,TZ_STN,0)),(AD220-INDEX(TZ_STD,MATCH(P220,TZ_STN,0))/24)&lt;INDEX(TZ_DSTE,MATCH(P220,TZ_STN,0))),INDEX(TZ_DST,MATCH(P220,TZ_STN,0)),INDEX(TZ_STD,MATCH(P220,TZ_STN,0))))/24,"")</f>
        <v/>
      </c>
      <c r="AH220" s="65" t="str">
        <f aca="false">IFERROR(IF(N220="N/A – rule","N/A – RULE",IF(TRIM(U220)="N/A",IF(AT220=0,"INVALID – N/A not permitted for this check",IF(AND(TRIM(AB220)&lt;&gt;"",TRIM(AB220)&lt;&gt;"Closed"),"INVALID – corrective action still open",IF(AND(NOT(OR(LEN(AZ220)&lt;15,ISNUMBER(MATCH(AZ220,L_Placeholder,0)))),NOT(OR(LEN(AU220)&lt;2,ISNUMBER(MATCH(AU220,L_Placeholder,0)))),NOT(OR(LEN(AX220)&lt;2,ISNUMBER(MATCH(AX220,L_Placeholder,0)))),TRIM(AE220)&lt;&gt;TRIM(T220)),"N/A – JUSTIFIED","INVALID – N/A needs a real justification (15+ chars), PIC and a different verifier"))),IF(OR(TRIM(U220)="Pass",TRIM(U220)="Pass after CA"),IF(NOT(ISNUMBER(AD220)),"INVALID – completion time missing",IF(OR(LEN(AU220)&lt;2,ISNUMBER(MATCH(AU220,L_Placeholder,0))),"INVALID – PIC missing",IF(OR(LEN(AV220)&lt;2,ISNUMBER(MATCH(AV220,L_Placeholder,0))),"INVALID – result / assessment missing",IF(OR(OR(LEN(AW220)&lt;3,ISNUMBER(MATCH(AW220,L_Placeholder,0))),SUMPRODUCT(--ISNUMBER(SEARCH(L_EvidencePhrase,AW220)))&gt;0),"INVALID – evidence missing, placeholder or not yet on file",IF(OR(LEN(AX220)&lt;2,ISNUMBER(MATCH(AX220,L_Placeholder,0))),"INVALID – verifier missing",IF(AX220=AU220,"INVALID – verifier must be someone other than the PIC",IF(AND(TRIM(U220)="Pass",SUMPRODUCT(--ISNUMBER(SEARCH(L_ResultBad,AV220)))&gt;0),"INVALID – result describes a problem: use Fail, then Pass after CA",IF(AND(AQ220=1,OR(LEN(AY220)&lt;3,ISNUMBER(MATCH(AY220,L_Placeholder,0)))),"INVALID – batch ID missing or placeholder",IF(AND(AR220=1,OR(NOT(ISNUMBER(X220)),NOT(ISNUMBER(Y220)))),"INVALID – expected/actual qty missing",IF(AND(AR220=1,OR(X220&lt;=0,Y220&lt;0)),"INVALID – expected qty must be above 0 and actual not negative",IF(BB220&lt;&gt;"",BB220,IF(AND(AS220=1,Documents!$J$11&lt;&gt;"ON FILE"),"INVALID – GLD not on file (Documents sheet)",IF(AND(AS220=2,Documents!$O$11&lt;&gt;"ON FILE"),"INVALID – menu checklist not on file (Documents sheet)",IF(AND(AS220=3,NOT(ISNUMBER(Flights!$AX$11))),"INVALID – enter carrying flight KUL departure (Flights AX)",IF(AND(AS220=3,OR(Flights!$AZ$11&gt;Flights!$AA$11,Flights!$AX$11&lt;Flights!$AA$11-3)),"INVALID – carrying flight (Flights AX) cannot arrive before this leg's STD, or is over 3 days early",IF(AG220&gt;AsOfUTC,"INVALID – completion time is in the future",IF(AND(ISNUMBER(S220),AG220&lt;S220),IF(H220="Physical uplift","INVALID – before uplift window (cannot confirm loading)","INVALID – before valid window"),IF(AG220&gt;Flights!$AA$11,"INVALID – completed after departure (cannot establish readiness)",IF(AND(H220="Preparation",AG220&gt;IF(ISNUMBER(Flights!$BA$11),MIN(Flights!$BA$11,Flights!$AA$11),Flights!$AA$11)),"INVALID – completed after loading / departure (cannot establish readiness)",IF(AND(H220="Physical uplift",AG220&gt;Q220),"INVALID – recorded after the loading flight departed",IF(AG220&gt;Q220,"COMPLETE – LATE","COMPLETE"))))))))))))))))))))),IF(TRIM(U220)="Fail","FAIL – DISCREPANCY",IF(AND(TRIM(U220)&lt;&gt;"",TRIM(U220)&lt;&gt;"Not started",TRIM(U220)&lt;&gt;"In progress"),"INVALID – unrecognised status (use the list)",IF(AsOfUTC&gt;Q220,"OVERDUE",IF(N220="Clarification required","OPEN – CLARIFICATION","OPEN"))))))),"INVALID – error value in an input cell")</f>
        <v>OPEN</v>
      </c>
      <c r="AI220" s="61" t="n">
        <f aca="false">IF(OR(AH220="N/A – RULE",AH220="N/A – JUSTIFIED"),0,1)</f>
        <v>1</v>
      </c>
      <c r="AJ220" s="61" t="n">
        <f aca="false">IF(LEFT(AH220,8)="COMPLETE",1,0)</f>
        <v>0</v>
      </c>
      <c r="AK220" s="61" t="n">
        <f aca="false">IF(AND(AI220=1,AJ220=0,AsOfUTC&gt;Q220),1,0)</f>
        <v>0</v>
      </c>
      <c r="AL220" s="61" t="n">
        <f aca="false">IFERROR(IF(AND(AI220=1,OR(TRIM(U220)="Fail",AND(TRIM(AB220)&lt;&gt;"",TRIM(AB220)&lt;&gt;"Closed"),AND(ISNUMBER(AF220),AF220&lt;&gt;0,TRIM(U220)&lt;&gt;"Pass after CA"))),1,0),1)</f>
        <v>0</v>
      </c>
      <c r="AM220" s="61" t="n">
        <f aca="false">IF(LEFT(AH220,7)="INVALID",1,0)</f>
        <v>0</v>
      </c>
      <c r="AN220" s="61" t="n">
        <f aca="false">IF(AND(N220="Clarification required",AI220=1,AJ220=0),1,0)</f>
        <v>0</v>
      </c>
      <c r="AO220" s="61" t="str">
        <f aca="false">IF(AK220=1,SUM(AK$5:AK220),"")</f>
        <v/>
      </c>
      <c r="AP220" s="61" t="str">
        <f aca="false">IF(AL220=1,SUM(AL$5:AL220),"")</f>
        <v/>
      </c>
      <c r="AQ220" s="61" t="n">
        <v>0</v>
      </c>
      <c r="AR220" s="61" t="n">
        <v>0</v>
      </c>
      <c r="AS220" s="61" t="n">
        <v>2</v>
      </c>
      <c r="AT220" s="61" t="n">
        <v>0</v>
      </c>
      <c r="AU220" s="61" t="str">
        <f aca="false">SUBSTITUTE(SUBSTITUTE(SUBSTITUTE(SUBSTITUTE(SUBSTITUTE(SUBSTITUTE(SUBSTITUTE(SUBSTITUTE(SUBSTITUTE(SUBSTITUTE(SUBSTITUTE(SUBSTITUTE(SUBSTITUTE(LOWER(T220&amp;""),CHAR(160),"")," ",""),".",""),"-",""),"/",""),"?",""),"_",""),",",""),"[",""),"]",""),"(",""),")",""),"*","")</f>
        <v/>
      </c>
      <c r="AV220" s="61" t="str">
        <f aca="false">SUBSTITUTE(SUBSTITUTE(SUBSTITUTE(SUBSTITUTE(SUBSTITUTE(SUBSTITUTE(SUBSTITUTE(SUBSTITUTE(SUBSTITUTE(SUBSTITUTE(SUBSTITUTE(SUBSTITUTE(SUBSTITUTE(LOWER(V220&amp;""),CHAR(160),"")," ",""),".",""),"-",""),"/",""),"?",""),"_",""),",",""),"[",""),"]",""),"(",""),")",""),"*","")</f>
        <v/>
      </c>
      <c r="AW220" s="61" t="str">
        <f aca="false">SUBSTITUTE(SUBSTITUTE(SUBSTITUTE(SUBSTITUTE(SUBSTITUTE(SUBSTITUTE(SUBSTITUTE(SUBSTITUTE(SUBSTITUTE(SUBSTITUTE(SUBSTITUTE(SUBSTITUTE(SUBSTITUTE(LOWER(Z220&amp;""),CHAR(160),"")," ",""),".",""),"-",""),"/",""),"?",""),"_",""),",",""),"[",""),"]",""),"(",""),")",""),"*","")</f>
        <v/>
      </c>
      <c r="AX220" s="61" t="str">
        <f aca="false">SUBSTITUTE(SUBSTITUTE(SUBSTITUTE(SUBSTITUTE(SUBSTITUTE(SUBSTITUTE(SUBSTITUTE(SUBSTITUTE(SUBSTITUTE(SUBSTITUTE(SUBSTITUTE(SUBSTITUTE(SUBSTITUTE(LOWER(AE220&amp;""),CHAR(160),"")," ",""),".",""),"-",""),"/",""),"?",""),"_",""),",",""),"[",""),"]",""),"(",""),")",""),"*","")</f>
        <v/>
      </c>
      <c r="AY220" s="61" t="str">
        <f aca="false">SUBSTITUTE(SUBSTITUTE(SUBSTITUTE(SUBSTITUTE(SUBSTITUTE(SUBSTITUTE(SUBSTITUTE(SUBSTITUTE(SUBSTITUTE(SUBSTITUTE(SUBSTITUTE(SUBSTITUTE(SUBSTITUTE(LOWER(W220&amp;""),CHAR(160),"")," ",""),".",""),"-",""),"/",""),"?",""),"_",""),",",""),"[",""),"]",""),"(",""),")",""),"*","")</f>
        <v/>
      </c>
      <c r="AZ220" s="61" t="str">
        <f aca="false">SUBSTITUTE(SUBSTITUTE(SUBSTITUTE(SUBSTITUTE(SUBSTITUTE(SUBSTITUTE(SUBSTITUTE(SUBSTITUTE(SUBSTITUTE(SUBSTITUTE(SUBSTITUTE(SUBSTITUTE(SUBSTITUTE(LOWER(AC220&amp;""),CHAR(160),"")," ",""),".",""),"-",""),"/",""),"?",""),"_",""),",",""),"[",""),"]",""),"(",""),")",""),"*","")</f>
        <v/>
      </c>
      <c r="BA220" s="61" t="str">
        <f aca="false">SUBSTITUTE(SUBSTITUTE(SUBSTITUTE(SUBSTITUTE(SUBSTITUTE(SUBSTITUTE(SUBSTITUTE(SUBSTITUTE(SUBSTITUTE(SUBSTITUTE(SUBSTITUTE(SUBSTITUTE(SUBSTITUTE(LOWER(AA220&amp;""),CHAR(160),"")," ",""),".",""),"-",""),"/",""),"?",""),"_",""),",",""),"[",""),"]",""),"(",""),")",""),"*","")</f>
        <v/>
      </c>
      <c r="BB220" s="61" t="str">
        <f aca="false">IF(AND(TRIM(U220)="Pass",ISNUMBER(AF220)),IF(AF220&lt;&gt;0,"INVALID – qty variance: use Fail or Pass after CA",""),"")&amp;IF(AND(TRIM(U220)="Pass after CA",ISNUMBER(AF220)),IF(AF220&lt;&gt;0,"INVALID – after the corrective action the actual qty must equal expected (update Actual)",""),"")&amp;IF(AND(TRIM(U220)="Pass",TRIM(AB220)&lt;&gt;"",TRIM(AB220)&lt;&gt;"Closed"),"INVALID – corrective action not closed: use Fail, then Pass after CA","")&amp;IF(AND(TRIM(AA220)&lt;&gt;"",TRIM(AB220)=""),"INVALID – CA status missing for the recorded corrective action","")&amp;IF(AND(TRIM(U220)="Pass after CA",OR(OR(LEN(BA220)&lt;5,ISNUMBER(MATCH(BA220,L_Placeholder,0))),TRIM(AB220)&lt;&gt;"Closed")),"INVALID – corrective action not recorded/closed","")</f>
        <v/>
      </c>
    </row>
    <row r="221" customFormat="false" ht="39.75" hidden="false" customHeight="true" outlineLevel="0" collapsed="false">
      <c r="A221" s="57" t="s">
        <v>760</v>
      </c>
      <c r="B221" s="57" t="s">
        <v>232</v>
      </c>
      <c r="C221" s="57" t="str">
        <f aca="false">Flights!$F$11</f>
        <v>MH0003</v>
      </c>
      <c r="D221" s="58" t="n">
        <f aca="false">Flights!$D$11</f>
        <v>46304</v>
      </c>
      <c r="E221" s="57" t="str">
        <f aca="false">Flights!$G$11&amp;"-"&amp;Flights!$H$11</f>
        <v>LHR-KUL</v>
      </c>
      <c r="F221" s="57" t="str">
        <f aca="false">Flights!$K$11</f>
        <v>BC</v>
      </c>
      <c r="G221" s="57" t="s">
        <v>79</v>
      </c>
      <c r="H221" s="57" t="s">
        <v>356</v>
      </c>
      <c r="I221" s="57" t="s">
        <v>389</v>
      </c>
      <c r="J221" s="57" t="s">
        <v>390</v>
      </c>
      <c r="K221" s="67" t="s">
        <v>391</v>
      </c>
      <c r="L221" s="67" t="s">
        <v>392</v>
      </c>
      <c r="M221" s="67"/>
      <c r="N221" s="67" t="s">
        <v>361</v>
      </c>
      <c r="O221" s="67"/>
      <c r="P221" s="57" t="s">
        <v>183</v>
      </c>
      <c r="Q221" s="59" t="n">
        <f aca="false">ROUND((Flights!$AC$11)*1440,0)/1440</f>
        <v>46297.4166666667</v>
      </c>
      <c r="R221" s="59" t="n">
        <f aca="false">Q221+(IF(AND(INDEX(TZ_DSTS,MATCH(P221,TZ_STN,0))&lt;&gt;"",Q221&gt;=INDEX(TZ_DSTS,MATCH(P221,TZ_STN,0)),Q221&lt;INDEX(TZ_DSTE,MATCH(P221,TZ_STN,0))),INDEX(TZ_DST,MATCH(P221,TZ_STN,0)),INDEX(TZ_STD,MATCH(P221,TZ_STN,0))))/24</f>
        <v>46297.4583333333</v>
      </c>
      <c r="S221" s="59" t="n">
        <f aca="false">Q221-T7EarlyD*24/24</f>
        <v>46283.4166666667</v>
      </c>
      <c r="T221" s="60"/>
      <c r="U221" s="60"/>
      <c r="V221" s="60"/>
      <c r="W221" s="61"/>
      <c r="X221" s="60"/>
      <c r="Y221" s="60"/>
      <c r="Z221" s="60"/>
      <c r="AA221" s="60"/>
      <c r="AB221" s="60"/>
      <c r="AC221" s="60"/>
      <c r="AD221" s="66"/>
      <c r="AE221" s="60"/>
      <c r="AF221" s="61" t="str">
        <f aca="false">IF(AND(ISNUMBER(X221),ISNUMBER(Y221)),Y221-X221,"")</f>
        <v/>
      </c>
      <c r="AG221" s="62" t="str">
        <f aca="false">IF(ISNUMBER(AD221),AD221-(IF(AND(INDEX(TZ_DSTS,MATCH(P221,TZ_STN,0))&lt;&gt;"",(AD221-INDEX(TZ_STD,MATCH(P221,TZ_STN,0))/24)&gt;=INDEX(TZ_DSTS,MATCH(P221,TZ_STN,0)),(AD221-INDEX(TZ_STD,MATCH(P221,TZ_STN,0))/24)&lt;INDEX(TZ_DSTE,MATCH(P221,TZ_STN,0))),INDEX(TZ_DST,MATCH(P221,TZ_STN,0)),INDEX(TZ_STD,MATCH(P221,TZ_STN,0))))/24,"")</f>
        <v/>
      </c>
      <c r="AH221" s="65" t="str">
        <f aca="false">IFERROR(IF(N221="N/A – rule","N/A – RULE",IF(TRIM(U221)="N/A",IF(AT221=0,"INVALID – N/A not permitted for this check",IF(AND(TRIM(AB221)&lt;&gt;"",TRIM(AB221)&lt;&gt;"Closed"),"INVALID – corrective action still open",IF(AND(NOT(OR(LEN(AZ221)&lt;15,ISNUMBER(MATCH(AZ221,L_Placeholder,0)))),NOT(OR(LEN(AU221)&lt;2,ISNUMBER(MATCH(AU221,L_Placeholder,0)))),NOT(OR(LEN(AX221)&lt;2,ISNUMBER(MATCH(AX221,L_Placeholder,0)))),TRIM(AE221)&lt;&gt;TRIM(T221)),"N/A – JUSTIFIED","INVALID – N/A needs a real justification (15+ chars), PIC and a different verifier"))),IF(OR(TRIM(U221)="Pass",TRIM(U221)="Pass after CA"),IF(NOT(ISNUMBER(AD221)),"INVALID – completion time missing",IF(OR(LEN(AU221)&lt;2,ISNUMBER(MATCH(AU221,L_Placeholder,0))),"INVALID – PIC missing",IF(OR(LEN(AV221)&lt;2,ISNUMBER(MATCH(AV221,L_Placeholder,0))),"INVALID – result / assessment missing",IF(OR(OR(LEN(AW221)&lt;3,ISNUMBER(MATCH(AW221,L_Placeholder,0))),SUMPRODUCT(--ISNUMBER(SEARCH(L_EvidencePhrase,AW221)))&gt;0),"INVALID – evidence missing, placeholder or not yet on file",IF(OR(LEN(AX221)&lt;2,ISNUMBER(MATCH(AX221,L_Placeholder,0))),"INVALID – verifier missing",IF(AX221=AU221,"INVALID – verifier must be someone other than the PIC",IF(AND(TRIM(U221)="Pass",SUMPRODUCT(--ISNUMBER(SEARCH(L_ResultBad,AV221)))&gt;0),"INVALID – result describes a problem: use Fail, then Pass after CA",IF(AND(AQ221=1,OR(LEN(AY221)&lt;3,ISNUMBER(MATCH(AY221,L_Placeholder,0)))),"INVALID – batch ID missing or placeholder",IF(AND(AR221=1,OR(NOT(ISNUMBER(X221)),NOT(ISNUMBER(Y221)))),"INVALID – expected/actual qty missing",IF(AND(AR221=1,OR(X221&lt;=0,Y221&lt;0)),"INVALID – expected qty must be above 0 and actual not negative",IF(BB221&lt;&gt;"",BB221,IF(AND(AS221=1,Documents!$J$11&lt;&gt;"ON FILE"),"INVALID – GLD not on file (Documents sheet)",IF(AND(AS221=2,Documents!$O$11&lt;&gt;"ON FILE"),"INVALID – menu checklist not on file (Documents sheet)",IF(AND(AS221=3,NOT(ISNUMBER(Flights!$AX$11))),"INVALID – enter carrying flight KUL departure (Flights AX)",IF(AND(AS221=3,OR(Flights!$AZ$11&gt;Flights!$AA$11,Flights!$AX$11&lt;Flights!$AA$11-3)),"INVALID – carrying flight (Flights AX) cannot arrive before this leg's STD, or is over 3 days early",IF(AG221&gt;AsOfUTC,"INVALID – completion time is in the future",IF(AND(ISNUMBER(S221),AG221&lt;S221),IF(H221="Physical uplift","INVALID – before uplift window (cannot confirm loading)","INVALID – before valid window"),IF(AG221&gt;Flights!$AA$11,"INVALID – completed after departure (cannot establish readiness)",IF(AND(H221="Preparation",AG221&gt;IF(ISNUMBER(Flights!$BA$11),MIN(Flights!$BA$11,Flights!$AA$11),Flights!$AA$11)),"INVALID – completed after loading / departure (cannot establish readiness)",IF(AND(H221="Physical uplift",AG221&gt;Q221),"INVALID – recorded after the loading flight departed",IF(AG221&gt;Q221,"COMPLETE – LATE","COMPLETE"))))))))))))))))))))),IF(TRIM(U221)="Fail","FAIL – DISCREPANCY",IF(AND(TRIM(U221)&lt;&gt;"",TRIM(U221)&lt;&gt;"Not started",TRIM(U221)&lt;&gt;"In progress"),"INVALID – unrecognised status (use the list)",IF(AsOfUTC&gt;Q221,"OVERDUE",IF(N221="Clarification required","OPEN – CLARIFICATION","OPEN"))))))),"INVALID – error value in an input cell")</f>
        <v>OPEN</v>
      </c>
      <c r="AI221" s="61" t="n">
        <f aca="false">IF(OR(AH221="N/A – RULE",AH221="N/A – JUSTIFIED"),0,1)</f>
        <v>1</v>
      </c>
      <c r="AJ221" s="61" t="n">
        <f aca="false">IF(LEFT(AH221,8)="COMPLETE",1,0)</f>
        <v>0</v>
      </c>
      <c r="AK221" s="61" t="n">
        <f aca="false">IF(AND(AI221=1,AJ221=0,AsOfUTC&gt;Q221),1,0)</f>
        <v>0</v>
      </c>
      <c r="AL221" s="61" t="n">
        <f aca="false">IFERROR(IF(AND(AI221=1,OR(TRIM(U221)="Fail",AND(TRIM(AB221)&lt;&gt;"",TRIM(AB221)&lt;&gt;"Closed"),AND(ISNUMBER(AF221),AF221&lt;&gt;0,TRIM(U221)&lt;&gt;"Pass after CA"))),1,0),1)</f>
        <v>0</v>
      </c>
      <c r="AM221" s="61" t="n">
        <f aca="false">IF(LEFT(AH221,7)="INVALID",1,0)</f>
        <v>0</v>
      </c>
      <c r="AN221" s="61" t="n">
        <f aca="false">IF(AND(N221="Clarification required",AI221=1,AJ221=0),1,0)</f>
        <v>0</v>
      </c>
      <c r="AO221" s="61" t="str">
        <f aca="false">IF(AK221=1,SUM(AK$5:AK221),"")</f>
        <v/>
      </c>
      <c r="AP221" s="61" t="str">
        <f aca="false">IF(AL221=1,SUM(AL$5:AL221),"")</f>
        <v/>
      </c>
      <c r="AQ221" s="61" t="n">
        <v>0</v>
      </c>
      <c r="AR221" s="61" t="n">
        <v>0</v>
      </c>
      <c r="AS221" s="61" t="n">
        <v>0</v>
      </c>
      <c r="AT221" s="61" t="n">
        <v>0</v>
      </c>
      <c r="AU221" s="61" t="str">
        <f aca="false">SUBSTITUTE(SUBSTITUTE(SUBSTITUTE(SUBSTITUTE(SUBSTITUTE(SUBSTITUTE(SUBSTITUTE(SUBSTITUTE(SUBSTITUTE(SUBSTITUTE(SUBSTITUTE(SUBSTITUTE(SUBSTITUTE(LOWER(T221&amp;""),CHAR(160),"")," ",""),".",""),"-",""),"/",""),"?",""),"_",""),",",""),"[",""),"]",""),"(",""),")",""),"*","")</f>
        <v/>
      </c>
      <c r="AV221" s="61" t="str">
        <f aca="false">SUBSTITUTE(SUBSTITUTE(SUBSTITUTE(SUBSTITUTE(SUBSTITUTE(SUBSTITUTE(SUBSTITUTE(SUBSTITUTE(SUBSTITUTE(SUBSTITUTE(SUBSTITUTE(SUBSTITUTE(SUBSTITUTE(LOWER(V221&amp;""),CHAR(160),"")," ",""),".",""),"-",""),"/",""),"?",""),"_",""),",",""),"[",""),"]",""),"(",""),")",""),"*","")</f>
        <v/>
      </c>
      <c r="AW221" s="61" t="str">
        <f aca="false">SUBSTITUTE(SUBSTITUTE(SUBSTITUTE(SUBSTITUTE(SUBSTITUTE(SUBSTITUTE(SUBSTITUTE(SUBSTITUTE(SUBSTITUTE(SUBSTITUTE(SUBSTITUTE(SUBSTITUTE(SUBSTITUTE(LOWER(Z221&amp;""),CHAR(160),"")," ",""),".",""),"-",""),"/",""),"?",""),"_",""),",",""),"[",""),"]",""),"(",""),")",""),"*","")</f>
        <v/>
      </c>
      <c r="AX221" s="61" t="str">
        <f aca="false">SUBSTITUTE(SUBSTITUTE(SUBSTITUTE(SUBSTITUTE(SUBSTITUTE(SUBSTITUTE(SUBSTITUTE(SUBSTITUTE(SUBSTITUTE(SUBSTITUTE(SUBSTITUTE(SUBSTITUTE(SUBSTITUTE(LOWER(AE221&amp;""),CHAR(160),"")," ",""),".",""),"-",""),"/",""),"?",""),"_",""),",",""),"[",""),"]",""),"(",""),")",""),"*","")</f>
        <v/>
      </c>
      <c r="AY221" s="61" t="str">
        <f aca="false">SUBSTITUTE(SUBSTITUTE(SUBSTITUTE(SUBSTITUTE(SUBSTITUTE(SUBSTITUTE(SUBSTITUTE(SUBSTITUTE(SUBSTITUTE(SUBSTITUTE(SUBSTITUTE(SUBSTITUTE(SUBSTITUTE(LOWER(W221&amp;""),CHAR(160),"")," ",""),".",""),"-",""),"/",""),"?",""),"_",""),",",""),"[",""),"]",""),"(",""),")",""),"*","")</f>
        <v/>
      </c>
      <c r="AZ221" s="61" t="str">
        <f aca="false">SUBSTITUTE(SUBSTITUTE(SUBSTITUTE(SUBSTITUTE(SUBSTITUTE(SUBSTITUTE(SUBSTITUTE(SUBSTITUTE(SUBSTITUTE(SUBSTITUTE(SUBSTITUTE(SUBSTITUTE(SUBSTITUTE(LOWER(AC221&amp;""),CHAR(160),"")," ",""),".",""),"-",""),"/",""),"?",""),"_",""),",",""),"[",""),"]",""),"(",""),")",""),"*","")</f>
        <v/>
      </c>
      <c r="BA221" s="61" t="str">
        <f aca="false">SUBSTITUTE(SUBSTITUTE(SUBSTITUTE(SUBSTITUTE(SUBSTITUTE(SUBSTITUTE(SUBSTITUTE(SUBSTITUTE(SUBSTITUTE(SUBSTITUTE(SUBSTITUTE(SUBSTITUTE(SUBSTITUTE(LOWER(AA221&amp;""),CHAR(160),"")," ",""),".",""),"-",""),"/",""),"?",""),"_",""),",",""),"[",""),"]",""),"(",""),")",""),"*","")</f>
        <v/>
      </c>
      <c r="BB221" s="61" t="str">
        <f aca="false">IF(AND(TRIM(U221)="Pass",ISNUMBER(AF221)),IF(AF221&lt;&gt;0,"INVALID – qty variance: use Fail or Pass after CA",""),"")&amp;IF(AND(TRIM(U221)="Pass after CA",ISNUMBER(AF221)),IF(AF221&lt;&gt;0,"INVALID – after the corrective action the actual qty must equal expected (update Actual)",""),"")&amp;IF(AND(TRIM(U221)="Pass",TRIM(AB221)&lt;&gt;"",TRIM(AB221)&lt;&gt;"Closed"),"INVALID – corrective action not closed: use Fail, then Pass after CA","")&amp;IF(AND(TRIM(AA221)&lt;&gt;"",TRIM(AB221)=""),"INVALID – CA status missing for the recorded corrective action","")&amp;IF(AND(TRIM(U221)="Pass after CA",OR(OR(LEN(BA221)&lt;5,ISNUMBER(MATCH(BA221,L_Placeholder,0))),TRIM(AB221)&lt;&gt;"Closed")),"INVALID – corrective action not recorded/closed","")</f>
        <v/>
      </c>
    </row>
    <row r="222" customFormat="false" ht="91.5" hidden="false" customHeight="true" outlineLevel="0" collapsed="false">
      <c r="A222" s="57" t="s">
        <v>761</v>
      </c>
      <c r="B222" s="57" t="s">
        <v>232</v>
      </c>
      <c r="C222" s="57" t="str">
        <f aca="false">Flights!$F$11</f>
        <v>MH0003</v>
      </c>
      <c r="D222" s="58" t="n">
        <f aca="false">Flights!$D$11</f>
        <v>46304</v>
      </c>
      <c r="E222" s="57" t="str">
        <f aca="false">Flights!$G$11&amp;"-"&amp;Flights!$H$11</f>
        <v>LHR-KUL</v>
      </c>
      <c r="F222" s="57" t="str">
        <f aca="false">Flights!$K$11</f>
        <v>BC</v>
      </c>
      <c r="G222" s="57" t="s">
        <v>79</v>
      </c>
      <c r="H222" s="57" t="s">
        <v>356</v>
      </c>
      <c r="I222" s="57" t="s">
        <v>389</v>
      </c>
      <c r="J222" s="57" t="s">
        <v>762</v>
      </c>
      <c r="K222" s="67" t="s">
        <v>763</v>
      </c>
      <c r="L222" s="67" t="s">
        <v>652</v>
      </c>
      <c r="M222" s="67"/>
      <c r="N222" s="67" t="s">
        <v>422</v>
      </c>
      <c r="O222" s="67" t="s">
        <v>764</v>
      </c>
      <c r="P222" s="57" t="s">
        <v>184</v>
      </c>
      <c r="Q222" s="59" t="n">
        <f aca="false">ROUND((Flights!$AC$11)*1440,0)/1440</f>
        <v>46297.4166666667</v>
      </c>
      <c r="R222" s="59" t="n">
        <f aca="false">Q222+(IF(AND(INDEX(TZ_DSTS,MATCH(P222,TZ_STN,0))&lt;&gt;"",Q222&gt;=INDEX(TZ_DSTS,MATCH(P222,TZ_STN,0)),Q222&lt;INDEX(TZ_DSTE,MATCH(P222,TZ_STN,0))),INDEX(TZ_DST,MATCH(P222,TZ_STN,0)),INDEX(TZ_STD,MATCH(P222,TZ_STN,0))))/24</f>
        <v>46297.75</v>
      </c>
      <c r="S222" s="59" t="n">
        <f aca="false">Q222-T7EarlyD*24/24</f>
        <v>46283.4166666667</v>
      </c>
      <c r="T222" s="60"/>
      <c r="U222" s="60"/>
      <c r="V222" s="60"/>
      <c r="W222" s="61"/>
      <c r="X222" s="60"/>
      <c r="Y222" s="60"/>
      <c r="Z222" s="60"/>
      <c r="AA222" s="60"/>
      <c r="AB222" s="60"/>
      <c r="AC222" s="60"/>
      <c r="AD222" s="66"/>
      <c r="AE222" s="60"/>
      <c r="AF222" s="61" t="str">
        <f aca="false">IF(AND(ISNUMBER(X222),ISNUMBER(Y222)),Y222-X222,"")</f>
        <v/>
      </c>
      <c r="AG222" s="62" t="str">
        <f aca="false">IF(ISNUMBER(AD222),AD222-(IF(AND(INDEX(TZ_DSTS,MATCH(P222,TZ_STN,0))&lt;&gt;"",(AD222-INDEX(TZ_STD,MATCH(P222,TZ_STN,0))/24)&gt;=INDEX(TZ_DSTS,MATCH(P222,TZ_STN,0)),(AD222-INDEX(TZ_STD,MATCH(P222,TZ_STN,0))/24)&lt;INDEX(TZ_DSTE,MATCH(P222,TZ_STN,0))),INDEX(TZ_DST,MATCH(P222,TZ_STN,0)),INDEX(TZ_STD,MATCH(P222,TZ_STN,0))))/24,"")</f>
        <v/>
      </c>
      <c r="AH222" s="65" t="str">
        <f aca="false">IFERROR(IF(N222="N/A – rule","N/A – RULE",IF(TRIM(U222)="N/A",IF(AT222=0,"INVALID – N/A not permitted for this check",IF(AND(TRIM(AB222)&lt;&gt;"",TRIM(AB222)&lt;&gt;"Closed"),"INVALID – corrective action still open",IF(AND(NOT(OR(LEN(AZ222)&lt;15,ISNUMBER(MATCH(AZ222,L_Placeholder,0)))),NOT(OR(LEN(AU222)&lt;2,ISNUMBER(MATCH(AU222,L_Placeholder,0)))),NOT(OR(LEN(AX222)&lt;2,ISNUMBER(MATCH(AX222,L_Placeholder,0)))),TRIM(AE222)&lt;&gt;TRIM(T222)),"N/A – JUSTIFIED","INVALID – N/A needs a real justification (15+ chars), PIC and a different verifier"))),IF(OR(TRIM(U222)="Pass",TRIM(U222)="Pass after CA"),IF(NOT(ISNUMBER(AD222)),"INVALID – completion time missing",IF(OR(LEN(AU222)&lt;2,ISNUMBER(MATCH(AU222,L_Placeholder,0))),"INVALID – PIC missing",IF(OR(LEN(AV222)&lt;2,ISNUMBER(MATCH(AV222,L_Placeholder,0))),"INVALID – result / assessment missing",IF(OR(OR(LEN(AW222)&lt;3,ISNUMBER(MATCH(AW222,L_Placeholder,0))),SUMPRODUCT(--ISNUMBER(SEARCH(L_EvidencePhrase,AW222)))&gt;0),"INVALID – evidence missing, placeholder or not yet on file",IF(OR(LEN(AX222)&lt;2,ISNUMBER(MATCH(AX222,L_Placeholder,0))),"INVALID – verifier missing",IF(AX222=AU222,"INVALID – verifier must be someone other than the PIC",IF(AND(TRIM(U222)="Pass",SUMPRODUCT(--ISNUMBER(SEARCH(L_ResultBad,AV222)))&gt;0),"INVALID – result describes a problem: use Fail, then Pass after CA",IF(AND(AQ222=1,OR(LEN(AY222)&lt;3,ISNUMBER(MATCH(AY222,L_Placeholder,0)))),"INVALID – batch ID missing or placeholder",IF(AND(AR222=1,OR(NOT(ISNUMBER(X222)),NOT(ISNUMBER(Y222)))),"INVALID – expected/actual qty missing",IF(AND(AR222=1,OR(X222&lt;=0,Y222&lt;0)),"INVALID – expected qty must be above 0 and actual not negative",IF(BB222&lt;&gt;"",BB222,IF(AND(AS222=1,Documents!$J$11&lt;&gt;"ON FILE"),"INVALID – GLD not on file (Documents sheet)",IF(AND(AS222=2,Documents!$O$11&lt;&gt;"ON FILE"),"INVALID – menu checklist not on file (Documents sheet)",IF(AND(AS222=3,NOT(ISNUMBER(Flights!$AX$11))),"INVALID – enter carrying flight KUL departure (Flights AX)",IF(AND(AS222=3,OR(Flights!$AZ$11&gt;Flights!$AA$11,Flights!$AX$11&lt;Flights!$AA$11-3)),"INVALID – carrying flight (Flights AX) cannot arrive before this leg's STD, or is over 3 days early",IF(AG222&gt;AsOfUTC,"INVALID – completion time is in the future",IF(AND(ISNUMBER(S222),AG222&lt;S222),IF(H222="Physical uplift","INVALID – before uplift window (cannot confirm loading)","INVALID – before valid window"),IF(AG222&gt;Flights!$AA$11,"INVALID – completed after departure (cannot establish readiness)",IF(AND(H222="Preparation",AG222&gt;IF(ISNUMBER(Flights!$BA$11),MIN(Flights!$BA$11,Flights!$AA$11),Flights!$AA$11)),"INVALID – completed after loading / departure (cannot establish readiness)",IF(AND(H222="Physical uplift",AG222&gt;Q222),"INVALID – recorded after the loading flight departed",IF(AG222&gt;Q222,"COMPLETE – LATE","COMPLETE"))))))))))))))))))))),IF(TRIM(U222)="Fail","FAIL – DISCREPANCY",IF(AND(TRIM(U222)&lt;&gt;"",TRIM(U222)&lt;&gt;"Not started",TRIM(U222)&lt;&gt;"In progress"),"INVALID – unrecognised status (use the list)",IF(AsOfUTC&gt;Q222,"OVERDUE",IF(N222="Clarification required","OPEN – CLARIFICATION","OPEN"))))))),"INVALID – error value in an input cell")</f>
        <v>OPEN – CLARIFICATION</v>
      </c>
      <c r="AI222" s="61" t="n">
        <f aca="false">IF(OR(AH222="N/A – RULE",AH222="N/A – JUSTIFIED"),0,1)</f>
        <v>1</v>
      </c>
      <c r="AJ222" s="61" t="n">
        <f aca="false">IF(LEFT(AH222,8)="COMPLETE",1,0)</f>
        <v>0</v>
      </c>
      <c r="AK222" s="61" t="n">
        <f aca="false">IF(AND(AI222=1,AJ222=0,AsOfUTC&gt;Q222),1,0)</f>
        <v>0</v>
      </c>
      <c r="AL222" s="61" t="n">
        <f aca="false">IFERROR(IF(AND(AI222=1,OR(TRIM(U222)="Fail",AND(TRIM(AB222)&lt;&gt;"",TRIM(AB222)&lt;&gt;"Closed"),AND(ISNUMBER(AF222),AF222&lt;&gt;0,TRIM(U222)&lt;&gt;"Pass after CA"))),1,0),1)</f>
        <v>0</v>
      </c>
      <c r="AM222" s="61" t="n">
        <f aca="false">IF(LEFT(AH222,7)="INVALID",1,0)</f>
        <v>0</v>
      </c>
      <c r="AN222" s="61" t="n">
        <f aca="false">IF(AND(N222="Clarification required",AI222=1,AJ222=0),1,0)</f>
        <v>1</v>
      </c>
      <c r="AO222" s="61" t="str">
        <f aca="false">IF(AK222=1,SUM(AK$5:AK222),"")</f>
        <v/>
      </c>
      <c r="AP222" s="61" t="str">
        <f aca="false">IF(AL222=1,SUM(AL$5:AL222),"")</f>
        <v/>
      </c>
      <c r="AQ222" s="61" t="n">
        <v>0</v>
      </c>
      <c r="AR222" s="61" t="n">
        <v>0</v>
      </c>
      <c r="AS222" s="61" t="n">
        <v>3</v>
      </c>
      <c r="AT222" s="61" t="n">
        <v>0</v>
      </c>
      <c r="AU222" s="61" t="str">
        <f aca="false">SUBSTITUTE(SUBSTITUTE(SUBSTITUTE(SUBSTITUTE(SUBSTITUTE(SUBSTITUTE(SUBSTITUTE(SUBSTITUTE(SUBSTITUTE(SUBSTITUTE(SUBSTITUTE(SUBSTITUTE(SUBSTITUTE(LOWER(T222&amp;""),CHAR(160),"")," ",""),".",""),"-",""),"/",""),"?",""),"_",""),",",""),"[",""),"]",""),"(",""),")",""),"*","")</f>
        <v/>
      </c>
      <c r="AV222" s="61" t="str">
        <f aca="false">SUBSTITUTE(SUBSTITUTE(SUBSTITUTE(SUBSTITUTE(SUBSTITUTE(SUBSTITUTE(SUBSTITUTE(SUBSTITUTE(SUBSTITUTE(SUBSTITUTE(SUBSTITUTE(SUBSTITUTE(SUBSTITUTE(LOWER(V222&amp;""),CHAR(160),"")," ",""),".",""),"-",""),"/",""),"?",""),"_",""),",",""),"[",""),"]",""),"(",""),")",""),"*","")</f>
        <v/>
      </c>
      <c r="AW222" s="61" t="str">
        <f aca="false">SUBSTITUTE(SUBSTITUTE(SUBSTITUTE(SUBSTITUTE(SUBSTITUTE(SUBSTITUTE(SUBSTITUTE(SUBSTITUTE(SUBSTITUTE(SUBSTITUTE(SUBSTITUTE(SUBSTITUTE(SUBSTITUTE(LOWER(Z222&amp;""),CHAR(160),"")," ",""),".",""),"-",""),"/",""),"?",""),"_",""),",",""),"[",""),"]",""),"(",""),")",""),"*","")</f>
        <v/>
      </c>
      <c r="AX222" s="61" t="str">
        <f aca="false">SUBSTITUTE(SUBSTITUTE(SUBSTITUTE(SUBSTITUTE(SUBSTITUTE(SUBSTITUTE(SUBSTITUTE(SUBSTITUTE(SUBSTITUTE(SUBSTITUTE(SUBSTITUTE(SUBSTITUTE(SUBSTITUTE(LOWER(AE222&amp;""),CHAR(160),"")," ",""),".",""),"-",""),"/",""),"?",""),"_",""),",",""),"[",""),"]",""),"(",""),")",""),"*","")</f>
        <v/>
      </c>
      <c r="AY222" s="61" t="str">
        <f aca="false">SUBSTITUTE(SUBSTITUTE(SUBSTITUTE(SUBSTITUTE(SUBSTITUTE(SUBSTITUTE(SUBSTITUTE(SUBSTITUTE(SUBSTITUTE(SUBSTITUTE(SUBSTITUTE(SUBSTITUTE(SUBSTITUTE(LOWER(W222&amp;""),CHAR(160),"")," ",""),".",""),"-",""),"/",""),"?",""),"_",""),",",""),"[",""),"]",""),"(",""),")",""),"*","")</f>
        <v/>
      </c>
      <c r="AZ222" s="61" t="str">
        <f aca="false">SUBSTITUTE(SUBSTITUTE(SUBSTITUTE(SUBSTITUTE(SUBSTITUTE(SUBSTITUTE(SUBSTITUTE(SUBSTITUTE(SUBSTITUTE(SUBSTITUTE(SUBSTITUTE(SUBSTITUTE(SUBSTITUTE(LOWER(AC222&amp;""),CHAR(160),"")," ",""),".",""),"-",""),"/",""),"?",""),"_",""),",",""),"[",""),"]",""),"(",""),")",""),"*","")</f>
        <v/>
      </c>
      <c r="BA222" s="61" t="str">
        <f aca="false">SUBSTITUTE(SUBSTITUTE(SUBSTITUTE(SUBSTITUTE(SUBSTITUTE(SUBSTITUTE(SUBSTITUTE(SUBSTITUTE(SUBSTITUTE(SUBSTITUTE(SUBSTITUTE(SUBSTITUTE(SUBSTITUTE(LOWER(AA222&amp;""),CHAR(160),"")," ",""),".",""),"-",""),"/",""),"?",""),"_",""),",",""),"[",""),"]",""),"(",""),")",""),"*","")</f>
        <v/>
      </c>
      <c r="BB222" s="61" t="str">
        <f aca="false">IF(AND(TRIM(U222)="Pass",ISNUMBER(AF222)),IF(AF222&lt;&gt;0,"INVALID – qty variance: use Fail or Pass after CA",""),"")&amp;IF(AND(TRIM(U222)="Pass after CA",ISNUMBER(AF222)),IF(AF222&lt;&gt;0,"INVALID – after the corrective action the actual qty must equal expected (update Actual)",""),"")&amp;IF(AND(TRIM(U222)="Pass",TRIM(AB222)&lt;&gt;"",TRIM(AB222)&lt;&gt;"Closed"),"INVALID – corrective action not closed: use Fail, then Pass after CA","")&amp;IF(AND(TRIM(AA222)&lt;&gt;"",TRIM(AB222)=""),"INVALID – CA status missing for the recorded corrective action","")&amp;IF(AND(TRIM(U222)="Pass after CA",OR(OR(LEN(BA222)&lt;5,ISNUMBER(MATCH(BA222,L_Placeholder,0))),TRIM(AB222)&lt;&gt;"Closed")),"INVALID – corrective action not recorded/closed","")</f>
        <v/>
      </c>
    </row>
    <row r="223" customFormat="false" ht="39.75" hidden="false" customHeight="true" outlineLevel="0" collapsed="false">
      <c r="A223" s="57" t="s">
        <v>765</v>
      </c>
      <c r="B223" s="57" t="s">
        <v>232</v>
      </c>
      <c r="C223" s="57" t="str">
        <f aca="false">Flights!$F$11</f>
        <v>MH0003</v>
      </c>
      <c r="D223" s="58" t="n">
        <f aca="false">Flights!$D$11</f>
        <v>46304</v>
      </c>
      <c r="E223" s="57" t="str">
        <f aca="false">Flights!$G$11&amp;"-"&amp;Flights!$H$11</f>
        <v>LHR-KUL</v>
      </c>
      <c r="F223" s="57" t="str">
        <f aca="false">Flights!$K$11</f>
        <v>BC</v>
      </c>
      <c r="G223" s="57" t="s">
        <v>81</v>
      </c>
      <c r="H223" s="57" t="s">
        <v>356</v>
      </c>
      <c r="I223" s="57" t="s">
        <v>357</v>
      </c>
      <c r="J223" s="57" t="s">
        <v>394</v>
      </c>
      <c r="K223" s="67" t="s">
        <v>395</v>
      </c>
      <c r="L223" s="67" t="s">
        <v>396</v>
      </c>
      <c r="M223" s="67"/>
      <c r="N223" s="67" t="s">
        <v>361</v>
      </c>
      <c r="O223" s="67"/>
      <c r="P223" s="57" t="s">
        <v>183</v>
      </c>
      <c r="Q223" s="59" t="n">
        <f aca="false">ROUND((Flights!$AD$11)*1440,0)/1440</f>
        <v>46303.4166666667</v>
      </c>
      <c r="R223" s="59" t="n">
        <f aca="false">Q223+(IF(AND(INDEX(TZ_DSTS,MATCH(P223,TZ_STN,0))&lt;&gt;"",Q223&gt;=INDEX(TZ_DSTS,MATCH(P223,TZ_STN,0)),Q223&lt;INDEX(TZ_DSTE,MATCH(P223,TZ_STN,0))),INDEX(TZ_DST,MATCH(P223,TZ_STN,0)),INDEX(TZ_STD,MATCH(P223,TZ_STN,0))))/24</f>
        <v>46303.4583333333</v>
      </c>
      <c r="S223" s="59" t="n">
        <f aca="false">Q223-T24EarlyH/24</f>
        <v>46302.4166666667</v>
      </c>
      <c r="T223" s="60"/>
      <c r="U223" s="60"/>
      <c r="V223" s="60"/>
      <c r="W223" s="60"/>
      <c r="X223" s="60"/>
      <c r="Y223" s="60"/>
      <c r="Z223" s="60"/>
      <c r="AA223" s="60"/>
      <c r="AB223" s="60"/>
      <c r="AC223" s="60"/>
      <c r="AD223" s="66"/>
      <c r="AE223" s="60"/>
      <c r="AF223" s="61" t="str">
        <f aca="false">IF(AND(ISNUMBER(X223),ISNUMBER(Y223)),Y223-X223,"")</f>
        <v/>
      </c>
      <c r="AG223" s="62" t="str">
        <f aca="false">IF(ISNUMBER(AD223),AD223-(IF(AND(INDEX(TZ_DSTS,MATCH(P223,TZ_STN,0))&lt;&gt;"",(AD223-INDEX(TZ_STD,MATCH(P223,TZ_STN,0))/24)&gt;=INDEX(TZ_DSTS,MATCH(P223,TZ_STN,0)),(AD223-INDEX(TZ_STD,MATCH(P223,TZ_STN,0))/24)&lt;INDEX(TZ_DSTE,MATCH(P223,TZ_STN,0))),INDEX(TZ_DST,MATCH(P223,TZ_STN,0)),INDEX(TZ_STD,MATCH(P223,TZ_STN,0))))/24,"")</f>
        <v/>
      </c>
      <c r="AH223" s="65" t="str">
        <f aca="false">IFERROR(IF(N223="N/A – rule","N/A – RULE",IF(TRIM(U223)="N/A",IF(AT223=0,"INVALID – N/A not permitted for this check",IF(AND(TRIM(AB223)&lt;&gt;"",TRIM(AB223)&lt;&gt;"Closed"),"INVALID – corrective action still open",IF(AND(NOT(OR(LEN(AZ223)&lt;15,ISNUMBER(MATCH(AZ223,L_Placeholder,0)))),NOT(OR(LEN(AU223)&lt;2,ISNUMBER(MATCH(AU223,L_Placeholder,0)))),NOT(OR(LEN(AX223)&lt;2,ISNUMBER(MATCH(AX223,L_Placeholder,0)))),TRIM(AE223)&lt;&gt;TRIM(T223)),"N/A – JUSTIFIED","INVALID – N/A needs a real justification (15+ chars), PIC and a different verifier"))),IF(OR(TRIM(U223)="Pass",TRIM(U223)="Pass after CA"),IF(NOT(ISNUMBER(AD223)),"INVALID – completion time missing",IF(OR(LEN(AU223)&lt;2,ISNUMBER(MATCH(AU223,L_Placeholder,0))),"INVALID – PIC missing",IF(OR(LEN(AV223)&lt;2,ISNUMBER(MATCH(AV223,L_Placeholder,0))),"INVALID – result / assessment missing",IF(OR(OR(LEN(AW223)&lt;3,ISNUMBER(MATCH(AW223,L_Placeholder,0))),SUMPRODUCT(--ISNUMBER(SEARCH(L_EvidencePhrase,AW223)))&gt;0),"INVALID – evidence missing, placeholder or not yet on file",IF(OR(LEN(AX223)&lt;2,ISNUMBER(MATCH(AX223,L_Placeholder,0))),"INVALID – verifier missing",IF(AX223=AU223,"INVALID – verifier must be someone other than the PIC",IF(AND(TRIM(U223)="Pass",SUMPRODUCT(--ISNUMBER(SEARCH(L_ResultBad,AV223)))&gt;0),"INVALID – result describes a problem: use Fail, then Pass after CA",IF(AND(AQ223=1,OR(LEN(AY223)&lt;3,ISNUMBER(MATCH(AY223,L_Placeholder,0)))),"INVALID – batch ID missing or placeholder",IF(AND(AR223=1,OR(NOT(ISNUMBER(X223)),NOT(ISNUMBER(Y223)))),"INVALID – expected/actual qty missing",IF(AND(AR223=1,OR(X223&lt;=0,Y223&lt;0)),"INVALID – expected qty must be above 0 and actual not negative",IF(BB223&lt;&gt;"",BB223,IF(AND(AS223=1,Documents!$J$11&lt;&gt;"ON FILE"),"INVALID – GLD not on file (Documents sheet)",IF(AND(AS223=2,Documents!$O$11&lt;&gt;"ON FILE"),"INVALID – menu checklist not on file (Documents sheet)",IF(AND(AS223=3,NOT(ISNUMBER(Flights!$AX$11))),"INVALID – enter carrying flight KUL departure (Flights AX)",IF(AND(AS223=3,OR(Flights!$AZ$11&gt;Flights!$AA$11,Flights!$AX$11&lt;Flights!$AA$11-3)),"INVALID – carrying flight (Flights AX) cannot arrive before this leg's STD, or is over 3 days early",IF(AG223&gt;AsOfUTC,"INVALID – completion time is in the future",IF(AND(ISNUMBER(S223),AG223&lt;S223),IF(H223="Physical uplift","INVALID – before uplift window (cannot confirm loading)","INVALID – before valid window"),IF(AG223&gt;Flights!$AA$11,"INVALID – completed after departure (cannot establish readiness)",IF(AND(H223="Preparation",AG223&gt;IF(ISNUMBER(Flights!$BA$11),MIN(Flights!$BA$11,Flights!$AA$11),Flights!$AA$11)),"INVALID – completed after loading / departure (cannot establish readiness)",IF(AND(H223="Physical uplift",AG223&gt;Q223),"INVALID – recorded after the loading flight departed",IF(AG223&gt;Q223,"COMPLETE – LATE","COMPLETE"))))))))))))))))))))),IF(TRIM(U223)="Fail","FAIL – DISCREPANCY",IF(AND(TRIM(U223)&lt;&gt;"",TRIM(U223)&lt;&gt;"Not started",TRIM(U223)&lt;&gt;"In progress"),"INVALID – unrecognised status (use the list)",IF(AsOfUTC&gt;Q223,"OVERDUE",IF(N223="Clarification required","OPEN – CLARIFICATION","OPEN"))))))),"INVALID – error value in an input cell")</f>
        <v>OPEN</v>
      </c>
      <c r="AI223" s="61" t="n">
        <f aca="false">IF(OR(AH223="N/A – RULE",AH223="N/A – JUSTIFIED"),0,1)</f>
        <v>1</v>
      </c>
      <c r="AJ223" s="61" t="n">
        <f aca="false">IF(LEFT(AH223,8)="COMPLETE",1,0)</f>
        <v>0</v>
      </c>
      <c r="AK223" s="61" t="n">
        <f aca="false">IF(AND(AI223=1,AJ223=0,AsOfUTC&gt;Q223),1,0)</f>
        <v>0</v>
      </c>
      <c r="AL223" s="61" t="n">
        <f aca="false">IFERROR(IF(AND(AI223=1,OR(TRIM(U223)="Fail",AND(TRIM(AB223)&lt;&gt;"",TRIM(AB223)&lt;&gt;"Closed"),AND(ISNUMBER(AF223),AF223&lt;&gt;0,TRIM(U223)&lt;&gt;"Pass after CA"))),1,0),1)</f>
        <v>0</v>
      </c>
      <c r="AM223" s="61" t="n">
        <f aca="false">IF(LEFT(AH223,7)="INVALID",1,0)</f>
        <v>0</v>
      </c>
      <c r="AN223" s="61" t="n">
        <f aca="false">IF(AND(N223="Clarification required",AI223=1,AJ223=0),1,0)</f>
        <v>0</v>
      </c>
      <c r="AO223" s="61" t="str">
        <f aca="false">IF(AK223=1,SUM(AK$5:AK223),"")</f>
        <v/>
      </c>
      <c r="AP223" s="61" t="str">
        <f aca="false">IF(AL223=1,SUM(AL$5:AL223),"")</f>
        <v/>
      </c>
      <c r="AQ223" s="61" t="n">
        <v>1</v>
      </c>
      <c r="AR223" s="61" t="n">
        <v>0</v>
      </c>
      <c r="AS223" s="61" t="n">
        <v>0</v>
      </c>
      <c r="AT223" s="61" t="n">
        <v>0</v>
      </c>
      <c r="AU223" s="61" t="str">
        <f aca="false">SUBSTITUTE(SUBSTITUTE(SUBSTITUTE(SUBSTITUTE(SUBSTITUTE(SUBSTITUTE(SUBSTITUTE(SUBSTITUTE(SUBSTITUTE(SUBSTITUTE(SUBSTITUTE(SUBSTITUTE(SUBSTITUTE(LOWER(T223&amp;""),CHAR(160),"")," ",""),".",""),"-",""),"/",""),"?",""),"_",""),",",""),"[",""),"]",""),"(",""),")",""),"*","")</f>
        <v/>
      </c>
      <c r="AV223" s="61" t="str">
        <f aca="false">SUBSTITUTE(SUBSTITUTE(SUBSTITUTE(SUBSTITUTE(SUBSTITUTE(SUBSTITUTE(SUBSTITUTE(SUBSTITUTE(SUBSTITUTE(SUBSTITUTE(SUBSTITUTE(SUBSTITUTE(SUBSTITUTE(LOWER(V223&amp;""),CHAR(160),"")," ",""),".",""),"-",""),"/",""),"?",""),"_",""),",",""),"[",""),"]",""),"(",""),")",""),"*","")</f>
        <v/>
      </c>
      <c r="AW223" s="61" t="str">
        <f aca="false">SUBSTITUTE(SUBSTITUTE(SUBSTITUTE(SUBSTITUTE(SUBSTITUTE(SUBSTITUTE(SUBSTITUTE(SUBSTITUTE(SUBSTITUTE(SUBSTITUTE(SUBSTITUTE(SUBSTITUTE(SUBSTITUTE(LOWER(Z223&amp;""),CHAR(160),"")," ",""),".",""),"-",""),"/",""),"?",""),"_",""),",",""),"[",""),"]",""),"(",""),")",""),"*","")</f>
        <v/>
      </c>
      <c r="AX223" s="61" t="str">
        <f aca="false">SUBSTITUTE(SUBSTITUTE(SUBSTITUTE(SUBSTITUTE(SUBSTITUTE(SUBSTITUTE(SUBSTITUTE(SUBSTITUTE(SUBSTITUTE(SUBSTITUTE(SUBSTITUTE(SUBSTITUTE(SUBSTITUTE(LOWER(AE223&amp;""),CHAR(160),"")," ",""),".",""),"-",""),"/",""),"?",""),"_",""),",",""),"[",""),"]",""),"(",""),")",""),"*","")</f>
        <v/>
      </c>
      <c r="AY223" s="61" t="str">
        <f aca="false">SUBSTITUTE(SUBSTITUTE(SUBSTITUTE(SUBSTITUTE(SUBSTITUTE(SUBSTITUTE(SUBSTITUTE(SUBSTITUTE(SUBSTITUTE(SUBSTITUTE(SUBSTITUTE(SUBSTITUTE(SUBSTITUTE(LOWER(W223&amp;""),CHAR(160),"")," ",""),".",""),"-",""),"/",""),"?",""),"_",""),",",""),"[",""),"]",""),"(",""),")",""),"*","")</f>
        <v/>
      </c>
      <c r="AZ223" s="61" t="str">
        <f aca="false">SUBSTITUTE(SUBSTITUTE(SUBSTITUTE(SUBSTITUTE(SUBSTITUTE(SUBSTITUTE(SUBSTITUTE(SUBSTITUTE(SUBSTITUTE(SUBSTITUTE(SUBSTITUTE(SUBSTITUTE(SUBSTITUTE(LOWER(AC223&amp;""),CHAR(160),"")," ",""),".",""),"-",""),"/",""),"?",""),"_",""),",",""),"[",""),"]",""),"(",""),")",""),"*","")</f>
        <v/>
      </c>
      <c r="BA223" s="61" t="str">
        <f aca="false">SUBSTITUTE(SUBSTITUTE(SUBSTITUTE(SUBSTITUTE(SUBSTITUTE(SUBSTITUTE(SUBSTITUTE(SUBSTITUTE(SUBSTITUTE(SUBSTITUTE(SUBSTITUTE(SUBSTITUTE(SUBSTITUTE(LOWER(AA223&amp;""),CHAR(160),"")," ",""),".",""),"-",""),"/",""),"?",""),"_",""),",",""),"[",""),"]",""),"(",""),")",""),"*","")</f>
        <v/>
      </c>
      <c r="BB223" s="61" t="str">
        <f aca="false">IF(AND(TRIM(U223)="Pass",ISNUMBER(AF223)),IF(AF223&lt;&gt;0,"INVALID – qty variance: use Fail or Pass after CA",""),"")&amp;IF(AND(TRIM(U223)="Pass after CA",ISNUMBER(AF223)),IF(AF223&lt;&gt;0,"INVALID – after the corrective action the actual qty must equal expected (update Actual)",""),"")&amp;IF(AND(TRIM(U223)="Pass",TRIM(AB223)&lt;&gt;"",TRIM(AB223)&lt;&gt;"Closed"),"INVALID – corrective action not closed: use Fail, then Pass after CA","")&amp;IF(AND(TRIM(AA223)&lt;&gt;"",TRIM(AB223)=""),"INVALID – CA status missing for the recorded corrective action","")&amp;IF(AND(TRIM(U223)="Pass after CA",OR(OR(LEN(BA223)&lt;5,ISNUMBER(MATCH(BA223,L_Placeholder,0))),TRIM(AB223)&lt;&gt;"Closed")),"INVALID – corrective action not recorded/closed","")</f>
        <v/>
      </c>
    </row>
    <row r="224" customFormat="false" ht="39.75" hidden="false" customHeight="true" outlineLevel="0" collapsed="false">
      <c r="A224" s="57" t="s">
        <v>766</v>
      </c>
      <c r="B224" s="57" t="s">
        <v>232</v>
      </c>
      <c r="C224" s="57" t="str">
        <f aca="false">Flights!$F$11</f>
        <v>MH0003</v>
      </c>
      <c r="D224" s="58" t="n">
        <f aca="false">Flights!$D$11</f>
        <v>46304</v>
      </c>
      <c r="E224" s="57" t="str">
        <f aca="false">Flights!$G$11&amp;"-"&amp;Flights!$H$11</f>
        <v>LHR-KUL</v>
      </c>
      <c r="F224" s="57" t="str">
        <f aca="false">Flights!$K$11</f>
        <v>BC</v>
      </c>
      <c r="G224" s="57" t="s">
        <v>398</v>
      </c>
      <c r="H224" s="57" t="s">
        <v>356</v>
      </c>
      <c r="I224" s="57" t="s">
        <v>357</v>
      </c>
      <c r="J224" s="57" t="s">
        <v>399</v>
      </c>
      <c r="K224" s="67"/>
      <c r="L224" s="67" t="s">
        <v>400</v>
      </c>
      <c r="M224" s="67"/>
      <c r="N224" s="67" t="s">
        <v>361</v>
      </c>
      <c r="O224" s="67" t="s">
        <v>401</v>
      </c>
      <c r="P224" s="57" t="s">
        <v>183</v>
      </c>
      <c r="Q224" s="59" t="n">
        <f aca="false">ROUND((Flights!$AE$11)*1440,0)/1440</f>
        <v>46303.9166666667</v>
      </c>
      <c r="R224" s="59" t="n">
        <f aca="false">Q224+(IF(AND(INDEX(TZ_DSTS,MATCH(P224,TZ_STN,0))&lt;&gt;"",Q224&gt;=INDEX(TZ_DSTS,MATCH(P224,TZ_STN,0)),Q224&lt;INDEX(TZ_DSTE,MATCH(P224,TZ_STN,0))),INDEX(TZ_DST,MATCH(P224,TZ_STN,0)),INDEX(TZ_STD,MATCH(P224,TZ_STN,0))))/24</f>
        <v>46303.9583333333</v>
      </c>
      <c r="S224" s="59" t="n">
        <f aca="false">Q224-T12EarlyH/24</f>
        <v>46303.4166666667</v>
      </c>
      <c r="T224" s="60"/>
      <c r="U224" s="60"/>
      <c r="V224" s="60"/>
      <c r="W224" s="61"/>
      <c r="X224" s="60"/>
      <c r="Y224" s="60"/>
      <c r="Z224" s="60"/>
      <c r="AA224" s="60"/>
      <c r="AB224" s="60"/>
      <c r="AC224" s="60"/>
      <c r="AD224" s="66"/>
      <c r="AE224" s="60"/>
      <c r="AF224" s="61" t="str">
        <f aca="false">IF(AND(ISNUMBER(X224),ISNUMBER(Y224)),Y224-X224,"")</f>
        <v/>
      </c>
      <c r="AG224" s="62" t="str">
        <f aca="false">IF(ISNUMBER(AD224),AD224-(IF(AND(INDEX(TZ_DSTS,MATCH(P224,TZ_STN,0))&lt;&gt;"",(AD224-INDEX(TZ_STD,MATCH(P224,TZ_STN,0))/24)&gt;=INDEX(TZ_DSTS,MATCH(P224,TZ_STN,0)),(AD224-INDEX(TZ_STD,MATCH(P224,TZ_STN,0))/24)&lt;INDEX(TZ_DSTE,MATCH(P224,TZ_STN,0))),INDEX(TZ_DST,MATCH(P224,TZ_STN,0)),INDEX(TZ_STD,MATCH(P224,TZ_STN,0))))/24,"")</f>
        <v/>
      </c>
      <c r="AH224" s="65" t="str">
        <f aca="false">IFERROR(IF(N224="N/A – rule","N/A – RULE",IF(TRIM(U224)="N/A",IF(AT224=0,"INVALID – N/A not permitted for this check",IF(AND(TRIM(AB224)&lt;&gt;"",TRIM(AB224)&lt;&gt;"Closed"),"INVALID – corrective action still open",IF(AND(NOT(OR(LEN(AZ224)&lt;15,ISNUMBER(MATCH(AZ224,L_Placeholder,0)))),NOT(OR(LEN(AU224)&lt;2,ISNUMBER(MATCH(AU224,L_Placeholder,0)))),NOT(OR(LEN(AX224)&lt;2,ISNUMBER(MATCH(AX224,L_Placeholder,0)))),TRIM(AE224)&lt;&gt;TRIM(T224)),"N/A – JUSTIFIED","INVALID – N/A needs a real justification (15+ chars), PIC and a different verifier"))),IF(OR(TRIM(U224)="Pass",TRIM(U224)="Pass after CA"),IF(NOT(ISNUMBER(AD224)),"INVALID – completion time missing",IF(OR(LEN(AU224)&lt;2,ISNUMBER(MATCH(AU224,L_Placeholder,0))),"INVALID – PIC missing",IF(OR(LEN(AV224)&lt;2,ISNUMBER(MATCH(AV224,L_Placeholder,0))),"INVALID – result / assessment missing",IF(OR(OR(LEN(AW224)&lt;3,ISNUMBER(MATCH(AW224,L_Placeholder,0))),SUMPRODUCT(--ISNUMBER(SEARCH(L_EvidencePhrase,AW224)))&gt;0),"INVALID – evidence missing, placeholder or not yet on file",IF(OR(LEN(AX224)&lt;2,ISNUMBER(MATCH(AX224,L_Placeholder,0))),"INVALID – verifier missing",IF(AX224=AU224,"INVALID – verifier must be someone other than the PIC",IF(AND(TRIM(U224)="Pass",SUMPRODUCT(--ISNUMBER(SEARCH(L_ResultBad,AV224)))&gt;0),"INVALID – result describes a problem: use Fail, then Pass after CA",IF(AND(AQ224=1,OR(LEN(AY224)&lt;3,ISNUMBER(MATCH(AY224,L_Placeholder,0)))),"INVALID – batch ID missing or placeholder",IF(AND(AR224=1,OR(NOT(ISNUMBER(X224)),NOT(ISNUMBER(Y224)))),"INVALID – expected/actual qty missing",IF(AND(AR224=1,OR(X224&lt;=0,Y224&lt;0)),"INVALID – expected qty must be above 0 and actual not negative",IF(BB224&lt;&gt;"",BB224,IF(AND(AS224=1,Documents!$J$11&lt;&gt;"ON FILE"),"INVALID – GLD not on file (Documents sheet)",IF(AND(AS224=2,Documents!$O$11&lt;&gt;"ON FILE"),"INVALID – menu checklist not on file (Documents sheet)",IF(AND(AS224=3,NOT(ISNUMBER(Flights!$AX$11))),"INVALID – enter carrying flight KUL departure (Flights AX)",IF(AND(AS224=3,OR(Flights!$AZ$11&gt;Flights!$AA$11,Flights!$AX$11&lt;Flights!$AA$11-3)),"INVALID – carrying flight (Flights AX) cannot arrive before this leg's STD, or is over 3 days early",IF(AG224&gt;AsOfUTC,"INVALID – completion time is in the future",IF(AND(ISNUMBER(S224),AG224&lt;S224),IF(H224="Physical uplift","INVALID – before uplift window (cannot confirm loading)","INVALID – before valid window"),IF(AG224&gt;Flights!$AA$11,"INVALID – completed after departure (cannot establish readiness)",IF(AND(H224="Preparation",AG224&gt;IF(ISNUMBER(Flights!$BA$11),MIN(Flights!$BA$11,Flights!$AA$11),Flights!$AA$11)),"INVALID – completed after loading / departure (cannot establish readiness)",IF(AND(H224="Physical uplift",AG224&gt;Q224),"INVALID – recorded after the loading flight departed",IF(AG224&gt;Q224,"COMPLETE – LATE","COMPLETE"))))))))))))))))))))),IF(TRIM(U224)="Fail","FAIL – DISCREPANCY",IF(AND(TRIM(U224)&lt;&gt;"",TRIM(U224)&lt;&gt;"Not started",TRIM(U224)&lt;&gt;"In progress"),"INVALID – unrecognised status (use the list)",IF(AsOfUTC&gt;Q224,"OVERDUE",IF(N224="Clarification required","OPEN – CLARIFICATION","OPEN"))))))),"INVALID – error value in an input cell")</f>
        <v>OPEN</v>
      </c>
      <c r="AI224" s="61" t="n">
        <f aca="false">IF(OR(AH224="N/A – RULE",AH224="N/A – JUSTIFIED"),0,1)</f>
        <v>1</v>
      </c>
      <c r="AJ224" s="61" t="n">
        <f aca="false">IF(LEFT(AH224,8)="COMPLETE",1,0)</f>
        <v>0</v>
      </c>
      <c r="AK224" s="61" t="n">
        <f aca="false">IF(AND(AI224=1,AJ224=0,AsOfUTC&gt;Q224),1,0)</f>
        <v>0</v>
      </c>
      <c r="AL224" s="61" t="n">
        <f aca="false">IFERROR(IF(AND(AI224=1,OR(TRIM(U224)="Fail",AND(TRIM(AB224)&lt;&gt;"",TRIM(AB224)&lt;&gt;"Closed"),AND(ISNUMBER(AF224),AF224&lt;&gt;0,TRIM(U224)&lt;&gt;"Pass after CA"))),1,0),1)</f>
        <v>0</v>
      </c>
      <c r="AM224" s="61" t="n">
        <f aca="false">IF(LEFT(AH224,7)="INVALID",1,0)</f>
        <v>0</v>
      </c>
      <c r="AN224" s="61" t="n">
        <f aca="false">IF(AND(N224="Clarification required",AI224=1,AJ224=0),1,0)</f>
        <v>0</v>
      </c>
      <c r="AO224" s="61" t="str">
        <f aca="false">IF(AK224=1,SUM(AK$5:AK224),"")</f>
        <v/>
      </c>
      <c r="AP224" s="61" t="str">
        <f aca="false">IF(AL224=1,SUM(AL$5:AL224),"")</f>
        <v/>
      </c>
      <c r="AQ224" s="61" t="n">
        <v>0</v>
      </c>
      <c r="AR224" s="61" t="n">
        <v>0</v>
      </c>
      <c r="AS224" s="61" t="n">
        <v>0</v>
      </c>
      <c r="AT224" s="61" t="n">
        <v>0</v>
      </c>
      <c r="AU224" s="61" t="str">
        <f aca="false">SUBSTITUTE(SUBSTITUTE(SUBSTITUTE(SUBSTITUTE(SUBSTITUTE(SUBSTITUTE(SUBSTITUTE(SUBSTITUTE(SUBSTITUTE(SUBSTITUTE(SUBSTITUTE(SUBSTITUTE(SUBSTITUTE(LOWER(T224&amp;""),CHAR(160),"")," ",""),".",""),"-",""),"/",""),"?",""),"_",""),",",""),"[",""),"]",""),"(",""),")",""),"*","")</f>
        <v/>
      </c>
      <c r="AV224" s="61" t="str">
        <f aca="false">SUBSTITUTE(SUBSTITUTE(SUBSTITUTE(SUBSTITUTE(SUBSTITUTE(SUBSTITUTE(SUBSTITUTE(SUBSTITUTE(SUBSTITUTE(SUBSTITUTE(SUBSTITUTE(SUBSTITUTE(SUBSTITUTE(LOWER(V224&amp;""),CHAR(160),"")," ",""),".",""),"-",""),"/",""),"?",""),"_",""),",",""),"[",""),"]",""),"(",""),")",""),"*","")</f>
        <v/>
      </c>
      <c r="AW224" s="61" t="str">
        <f aca="false">SUBSTITUTE(SUBSTITUTE(SUBSTITUTE(SUBSTITUTE(SUBSTITUTE(SUBSTITUTE(SUBSTITUTE(SUBSTITUTE(SUBSTITUTE(SUBSTITUTE(SUBSTITUTE(SUBSTITUTE(SUBSTITUTE(LOWER(Z224&amp;""),CHAR(160),"")," ",""),".",""),"-",""),"/",""),"?",""),"_",""),",",""),"[",""),"]",""),"(",""),")",""),"*","")</f>
        <v/>
      </c>
      <c r="AX224" s="61" t="str">
        <f aca="false">SUBSTITUTE(SUBSTITUTE(SUBSTITUTE(SUBSTITUTE(SUBSTITUTE(SUBSTITUTE(SUBSTITUTE(SUBSTITUTE(SUBSTITUTE(SUBSTITUTE(SUBSTITUTE(SUBSTITUTE(SUBSTITUTE(LOWER(AE224&amp;""),CHAR(160),"")," ",""),".",""),"-",""),"/",""),"?",""),"_",""),",",""),"[",""),"]",""),"(",""),")",""),"*","")</f>
        <v/>
      </c>
      <c r="AY224" s="61" t="str">
        <f aca="false">SUBSTITUTE(SUBSTITUTE(SUBSTITUTE(SUBSTITUTE(SUBSTITUTE(SUBSTITUTE(SUBSTITUTE(SUBSTITUTE(SUBSTITUTE(SUBSTITUTE(SUBSTITUTE(SUBSTITUTE(SUBSTITUTE(LOWER(W224&amp;""),CHAR(160),"")," ",""),".",""),"-",""),"/",""),"?",""),"_",""),",",""),"[",""),"]",""),"(",""),")",""),"*","")</f>
        <v/>
      </c>
      <c r="AZ224" s="61" t="str">
        <f aca="false">SUBSTITUTE(SUBSTITUTE(SUBSTITUTE(SUBSTITUTE(SUBSTITUTE(SUBSTITUTE(SUBSTITUTE(SUBSTITUTE(SUBSTITUTE(SUBSTITUTE(SUBSTITUTE(SUBSTITUTE(SUBSTITUTE(LOWER(AC224&amp;""),CHAR(160),"")," ",""),".",""),"-",""),"/",""),"?",""),"_",""),",",""),"[",""),"]",""),"(",""),")",""),"*","")</f>
        <v/>
      </c>
      <c r="BA224" s="61" t="str">
        <f aca="false">SUBSTITUTE(SUBSTITUTE(SUBSTITUTE(SUBSTITUTE(SUBSTITUTE(SUBSTITUTE(SUBSTITUTE(SUBSTITUTE(SUBSTITUTE(SUBSTITUTE(SUBSTITUTE(SUBSTITUTE(SUBSTITUTE(LOWER(AA224&amp;""),CHAR(160),"")," ",""),".",""),"-",""),"/",""),"?",""),"_",""),",",""),"[",""),"]",""),"(",""),")",""),"*","")</f>
        <v/>
      </c>
      <c r="BB224" s="61" t="str">
        <f aca="false">IF(AND(TRIM(U224)="Pass",ISNUMBER(AF224)),IF(AF224&lt;&gt;0,"INVALID – qty variance: use Fail or Pass after CA",""),"")&amp;IF(AND(TRIM(U224)="Pass after CA",ISNUMBER(AF224)),IF(AF224&lt;&gt;0,"INVALID – after the corrective action the actual qty must equal expected (update Actual)",""),"")&amp;IF(AND(TRIM(U224)="Pass",TRIM(AB224)&lt;&gt;"",TRIM(AB224)&lt;&gt;"Closed"),"INVALID – corrective action not closed: use Fail, then Pass after CA","")&amp;IF(AND(TRIM(AA224)&lt;&gt;"",TRIM(AB224)=""),"INVALID – CA status missing for the recorded corrective action","")&amp;IF(AND(TRIM(U224)="Pass after CA",OR(OR(LEN(BA224)&lt;5,ISNUMBER(MATCH(BA224,L_Placeholder,0))),TRIM(AB224)&lt;&gt;"Closed")),"INVALID – corrective action not recorded/closed","")</f>
        <v/>
      </c>
    </row>
    <row r="225" customFormat="false" ht="39.75" hidden="false" customHeight="true" outlineLevel="0" collapsed="false">
      <c r="A225" s="57" t="s">
        <v>767</v>
      </c>
      <c r="B225" s="57" t="s">
        <v>232</v>
      </c>
      <c r="C225" s="57" t="str">
        <f aca="false">Flights!$F$11</f>
        <v>MH0003</v>
      </c>
      <c r="D225" s="58" t="n">
        <f aca="false">Flights!$D$11</f>
        <v>46304</v>
      </c>
      <c r="E225" s="57" t="str">
        <f aca="false">Flights!$G$11&amp;"-"&amp;Flights!$H$11</f>
        <v>LHR-KUL</v>
      </c>
      <c r="F225" s="57" t="str">
        <f aca="false">Flights!$K$11</f>
        <v>BC</v>
      </c>
      <c r="G225" s="57" t="s">
        <v>398</v>
      </c>
      <c r="H225" s="57" t="s">
        <v>356</v>
      </c>
      <c r="I225" s="57" t="s">
        <v>357</v>
      </c>
      <c r="J225" s="57" t="s">
        <v>403</v>
      </c>
      <c r="K225" s="67" t="s">
        <v>404</v>
      </c>
      <c r="L225" s="67" t="s">
        <v>400</v>
      </c>
      <c r="M225" s="67"/>
      <c r="N225" s="67" t="s">
        <v>361</v>
      </c>
      <c r="O225" s="67" t="s">
        <v>401</v>
      </c>
      <c r="P225" s="57" t="s">
        <v>183</v>
      </c>
      <c r="Q225" s="59" t="n">
        <f aca="false">ROUND((Flights!$AE$11)*1440,0)/1440</f>
        <v>46303.9166666667</v>
      </c>
      <c r="R225" s="59" t="n">
        <f aca="false">Q225+(IF(AND(INDEX(TZ_DSTS,MATCH(P225,TZ_STN,0))&lt;&gt;"",Q225&gt;=INDEX(TZ_DSTS,MATCH(P225,TZ_STN,0)),Q225&lt;INDEX(TZ_DSTE,MATCH(P225,TZ_STN,0))),INDEX(TZ_DST,MATCH(P225,TZ_STN,0)),INDEX(TZ_STD,MATCH(P225,TZ_STN,0))))/24</f>
        <v>46303.9583333333</v>
      </c>
      <c r="S225" s="59" t="n">
        <f aca="false">Q225-T12EarlyH/24</f>
        <v>46303.4166666667</v>
      </c>
      <c r="T225" s="60"/>
      <c r="U225" s="60"/>
      <c r="V225" s="60"/>
      <c r="W225" s="61"/>
      <c r="X225" s="60"/>
      <c r="Y225" s="60"/>
      <c r="Z225" s="60"/>
      <c r="AA225" s="60"/>
      <c r="AB225" s="60"/>
      <c r="AC225" s="60"/>
      <c r="AD225" s="66"/>
      <c r="AE225" s="60"/>
      <c r="AF225" s="61" t="str">
        <f aca="false">IF(AND(ISNUMBER(X225),ISNUMBER(Y225)),Y225-X225,"")</f>
        <v/>
      </c>
      <c r="AG225" s="62" t="str">
        <f aca="false">IF(ISNUMBER(AD225),AD225-(IF(AND(INDEX(TZ_DSTS,MATCH(P225,TZ_STN,0))&lt;&gt;"",(AD225-INDEX(TZ_STD,MATCH(P225,TZ_STN,0))/24)&gt;=INDEX(TZ_DSTS,MATCH(P225,TZ_STN,0)),(AD225-INDEX(TZ_STD,MATCH(P225,TZ_STN,0))/24)&lt;INDEX(TZ_DSTE,MATCH(P225,TZ_STN,0))),INDEX(TZ_DST,MATCH(P225,TZ_STN,0)),INDEX(TZ_STD,MATCH(P225,TZ_STN,0))))/24,"")</f>
        <v/>
      </c>
      <c r="AH225" s="65" t="str">
        <f aca="false">IFERROR(IF(N225="N/A – rule","N/A – RULE",IF(TRIM(U225)="N/A",IF(AT225=0,"INVALID – N/A not permitted for this check",IF(AND(TRIM(AB225)&lt;&gt;"",TRIM(AB225)&lt;&gt;"Closed"),"INVALID – corrective action still open",IF(AND(NOT(OR(LEN(AZ225)&lt;15,ISNUMBER(MATCH(AZ225,L_Placeholder,0)))),NOT(OR(LEN(AU225)&lt;2,ISNUMBER(MATCH(AU225,L_Placeholder,0)))),NOT(OR(LEN(AX225)&lt;2,ISNUMBER(MATCH(AX225,L_Placeholder,0)))),TRIM(AE225)&lt;&gt;TRIM(T225)),"N/A – JUSTIFIED","INVALID – N/A needs a real justification (15+ chars), PIC and a different verifier"))),IF(OR(TRIM(U225)="Pass",TRIM(U225)="Pass after CA"),IF(NOT(ISNUMBER(AD225)),"INVALID – completion time missing",IF(OR(LEN(AU225)&lt;2,ISNUMBER(MATCH(AU225,L_Placeholder,0))),"INVALID – PIC missing",IF(OR(LEN(AV225)&lt;2,ISNUMBER(MATCH(AV225,L_Placeholder,0))),"INVALID – result / assessment missing",IF(OR(OR(LEN(AW225)&lt;3,ISNUMBER(MATCH(AW225,L_Placeholder,0))),SUMPRODUCT(--ISNUMBER(SEARCH(L_EvidencePhrase,AW225)))&gt;0),"INVALID – evidence missing, placeholder or not yet on file",IF(OR(LEN(AX225)&lt;2,ISNUMBER(MATCH(AX225,L_Placeholder,0))),"INVALID – verifier missing",IF(AX225=AU225,"INVALID – verifier must be someone other than the PIC",IF(AND(TRIM(U225)="Pass",SUMPRODUCT(--ISNUMBER(SEARCH(L_ResultBad,AV225)))&gt;0),"INVALID – result describes a problem: use Fail, then Pass after CA",IF(AND(AQ225=1,OR(LEN(AY225)&lt;3,ISNUMBER(MATCH(AY225,L_Placeholder,0)))),"INVALID – batch ID missing or placeholder",IF(AND(AR225=1,OR(NOT(ISNUMBER(X225)),NOT(ISNUMBER(Y225)))),"INVALID – expected/actual qty missing",IF(AND(AR225=1,OR(X225&lt;=0,Y225&lt;0)),"INVALID – expected qty must be above 0 and actual not negative",IF(BB225&lt;&gt;"",BB225,IF(AND(AS225=1,Documents!$J$11&lt;&gt;"ON FILE"),"INVALID – GLD not on file (Documents sheet)",IF(AND(AS225=2,Documents!$O$11&lt;&gt;"ON FILE"),"INVALID – menu checklist not on file (Documents sheet)",IF(AND(AS225=3,NOT(ISNUMBER(Flights!$AX$11))),"INVALID – enter carrying flight KUL departure (Flights AX)",IF(AND(AS225=3,OR(Flights!$AZ$11&gt;Flights!$AA$11,Flights!$AX$11&lt;Flights!$AA$11-3)),"INVALID – carrying flight (Flights AX) cannot arrive before this leg's STD, or is over 3 days early",IF(AG225&gt;AsOfUTC,"INVALID – completion time is in the future",IF(AND(ISNUMBER(S225),AG225&lt;S225),IF(H225="Physical uplift","INVALID – before uplift window (cannot confirm loading)","INVALID – before valid window"),IF(AG225&gt;Flights!$AA$11,"INVALID – completed after departure (cannot establish readiness)",IF(AND(H225="Preparation",AG225&gt;IF(ISNUMBER(Flights!$BA$11),MIN(Flights!$BA$11,Flights!$AA$11),Flights!$AA$11)),"INVALID – completed after loading / departure (cannot establish readiness)",IF(AND(H225="Physical uplift",AG225&gt;Q225),"INVALID – recorded after the loading flight departed",IF(AG225&gt;Q225,"COMPLETE – LATE","COMPLETE"))))))))))))))))))))),IF(TRIM(U225)="Fail","FAIL – DISCREPANCY",IF(AND(TRIM(U225)&lt;&gt;"",TRIM(U225)&lt;&gt;"Not started",TRIM(U225)&lt;&gt;"In progress"),"INVALID – unrecognised status (use the list)",IF(AsOfUTC&gt;Q225,"OVERDUE",IF(N225="Clarification required","OPEN – CLARIFICATION","OPEN"))))))),"INVALID – error value in an input cell")</f>
        <v>OPEN</v>
      </c>
      <c r="AI225" s="61" t="n">
        <f aca="false">IF(OR(AH225="N/A – RULE",AH225="N/A – JUSTIFIED"),0,1)</f>
        <v>1</v>
      </c>
      <c r="AJ225" s="61" t="n">
        <f aca="false">IF(LEFT(AH225,8)="COMPLETE",1,0)</f>
        <v>0</v>
      </c>
      <c r="AK225" s="61" t="n">
        <f aca="false">IF(AND(AI225=1,AJ225=0,AsOfUTC&gt;Q225),1,0)</f>
        <v>0</v>
      </c>
      <c r="AL225" s="61" t="n">
        <f aca="false">IFERROR(IF(AND(AI225=1,OR(TRIM(U225)="Fail",AND(TRIM(AB225)&lt;&gt;"",TRIM(AB225)&lt;&gt;"Closed"),AND(ISNUMBER(AF225),AF225&lt;&gt;0,TRIM(U225)&lt;&gt;"Pass after CA"))),1,0),1)</f>
        <v>0</v>
      </c>
      <c r="AM225" s="61" t="n">
        <f aca="false">IF(LEFT(AH225,7)="INVALID",1,0)</f>
        <v>0</v>
      </c>
      <c r="AN225" s="61" t="n">
        <f aca="false">IF(AND(N225="Clarification required",AI225=1,AJ225=0),1,0)</f>
        <v>0</v>
      </c>
      <c r="AO225" s="61" t="str">
        <f aca="false">IF(AK225=1,SUM(AK$5:AK225),"")</f>
        <v/>
      </c>
      <c r="AP225" s="61" t="str">
        <f aca="false">IF(AL225=1,SUM(AL$5:AL225),"")</f>
        <v/>
      </c>
      <c r="AQ225" s="61" t="n">
        <v>0</v>
      </c>
      <c r="AR225" s="61" t="n">
        <v>1</v>
      </c>
      <c r="AS225" s="61" t="n">
        <v>0</v>
      </c>
      <c r="AT225" s="61" t="n">
        <v>0</v>
      </c>
      <c r="AU225" s="61" t="str">
        <f aca="false">SUBSTITUTE(SUBSTITUTE(SUBSTITUTE(SUBSTITUTE(SUBSTITUTE(SUBSTITUTE(SUBSTITUTE(SUBSTITUTE(SUBSTITUTE(SUBSTITUTE(SUBSTITUTE(SUBSTITUTE(SUBSTITUTE(LOWER(T225&amp;""),CHAR(160),"")," ",""),".",""),"-",""),"/",""),"?",""),"_",""),",",""),"[",""),"]",""),"(",""),")",""),"*","")</f>
        <v/>
      </c>
      <c r="AV225" s="61" t="str">
        <f aca="false">SUBSTITUTE(SUBSTITUTE(SUBSTITUTE(SUBSTITUTE(SUBSTITUTE(SUBSTITUTE(SUBSTITUTE(SUBSTITUTE(SUBSTITUTE(SUBSTITUTE(SUBSTITUTE(SUBSTITUTE(SUBSTITUTE(LOWER(V225&amp;""),CHAR(160),"")," ",""),".",""),"-",""),"/",""),"?",""),"_",""),",",""),"[",""),"]",""),"(",""),")",""),"*","")</f>
        <v/>
      </c>
      <c r="AW225" s="61" t="str">
        <f aca="false">SUBSTITUTE(SUBSTITUTE(SUBSTITUTE(SUBSTITUTE(SUBSTITUTE(SUBSTITUTE(SUBSTITUTE(SUBSTITUTE(SUBSTITUTE(SUBSTITUTE(SUBSTITUTE(SUBSTITUTE(SUBSTITUTE(LOWER(Z225&amp;""),CHAR(160),"")," ",""),".",""),"-",""),"/",""),"?",""),"_",""),",",""),"[",""),"]",""),"(",""),")",""),"*","")</f>
        <v/>
      </c>
      <c r="AX225" s="61" t="str">
        <f aca="false">SUBSTITUTE(SUBSTITUTE(SUBSTITUTE(SUBSTITUTE(SUBSTITUTE(SUBSTITUTE(SUBSTITUTE(SUBSTITUTE(SUBSTITUTE(SUBSTITUTE(SUBSTITUTE(SUBSTITUTE(SUBSTITUTE(LOWER(AE225&amp;""),CHAR(160),"")," ",""),".",""),"-",""),"/",""),"?",""),"_",""),",",""),"[",""),"]",""),"(",""),")",""),"*","")</f>
        <v/>
      </c>
      <c r="AY225" s="61" t="str">
        <f aca="false">SUBSTITUTE(SUBSTITUTE(SUBSTITUTE(SUBSTITUTE(SUBSTITUTE(SUBSTITUTE(SUBSTITUTE(SUBSTITUTE(SUBSTITUTE(SUBSTITUTE(SUBSTITUTE(SUBSTITUTE(SUBSTITUTE(LOWER(W225&amp;""),CHAR(160),"")," ",""),".",""),"-",""),"/",""),"?",""),"_",""),",",""),"[",""),"]",""),"(",""),")",""),"*","")</f>
        <v/>
      </c>
      <c r="AZ225" s="61" t="str">
        <f aca="false">SUBSTITUTE(SUBSTITUTE(SUBSTITUTE(SUBSTITUTE(SUBSTITUTE(SUBSTITUTE(SUBSTITUTE(SUBSTITUTE(SUBSTITUTE(SUBSTITUTE(SUBSTITUTE(SUBSTITUTE(SUBSTITUTE(LOWER(AC225&amp;""),CHAR(160),"")," ",""),".",""),"-",""),"/",""),"?",""),"_",""),",",""),"[",""),"]",""),"(",""),")",""),"*","")</f>
        <v/>
      </c>
      <c r="BA225" s="61" t="str">
        <f aca="false">SUBSTITUTE(SUBSTITUTE(SUBSTITUTE(SUBSTITUTE(SUBSTITUTE(SUBSTITUTE(SUBSTITUTE(SUBSTITUTE(SUBSTITUTE(SUBSTITUTE(SUBSTITUTE(SUBSTITUTE(SUBSTITUTE(LOWER(AA225&amp;""),CHAR(160),"")," ",""),".",""),"-",""),"/",""),"?",""),"_",""),",",""),"[",""),"]",""),"(",""),")",""),"*","")</f>
        <v/>
      </c>
      <c r="BB225" s="61" t="str">
        <f aca="false">IF(AND(TRIM(U225)="Pass",ISNUMBER(AF225)),IF(AF225&lt;&gt;0,"INVALID – qty variance: use Fail or Pass after CA",""),"")&amp;IF(AND(TRIM(U225)="Pass after CA",ISNUMBER(AF225)),IF(AF225&lt;&gt;0,"INVALID – after the corrective action the actual qty must equal expected (update Actual)",""),"")&amp;IF(AND(TRIM(U225)="Pass",TRIM(AB225)&lt;&gt;"",TRIM(AB225)&lt;&gt;"Closed"),"INVALID – corrective action not closed: use Fail, then Pass after CA","")&amp;IF(AND(TRIM(AA225)&lt;&gt;"",TRIM(AB225)=""),"INVALID – CA status missing for the recorded corrective action","")&amp;IF(AND(TRIM(U225)="Pass after CA",OR(OR(LEN(BA225)&lt;5,ISNUMBER(MATCH(BA225,L_Placeholder,0))),TRIM(AB225)&lt;&gt;"Closed")),"INVALID – corrective action not recorded/closed","")</f>
        <v/>
      </c>
    </row>
    <row r="226" customFormat="false" ht="39.75" hidden="false" customHeight="true" outlineLevel="0" collapsed="false">
      <c r="A226" s="57" t="s">
        <v>768</v>
      </c>
      <c r="B226" s="57" t="s">
        <v>232</v>
      </c>
      <c r="C226" s="57" t="str">
        <f aca="false">Flights!$F$11</f>
        <v>MH0003</v>
      </c>
      <c r="D226" s="58" t="n">
        <f aca="false">Flights!$D$11</f>
        <v>46304</v>
      </c>
      <c r="E226" s="57" t="str">
        <f aca="false">Flights!$G$11&amp;"-"&amp;Flights!$H$11</f>
        <v>LHR-KUL</v>
      </c>
      <c r="F226" s="57" t="str">
        <f aca="false">Flights!$K$11</f>
        <v>BC</v>
      </c>
      <c r="G226" s="57" t="s">
        <v>398</v>
      </c>
      <c r="H226" s="57" t="s">
        <v>356</v>
      </c>
      <c r="I226" s="57" t="s">
        <v>406</v>
      </c>
      <c r="J226" s="57" t="s">
        <v>407</v>
      </c>
      <c r="K226" s="67"/>
      <c r="L226" s="67" t="s">
        <v>400</v>
      </c>
      <c r="M226" s="67"/>
      <c r="N226" s="67" t="s">
        <v>361</v>
      </c>
      <c r="O226" s="67" t="s">
        <v>401</v>
      </c>
      <c r="P226" s="57" t="s">
        <v>183</v>
      </c>
      <c r="Q226" s="59" t="n">
        <f aca="false">ROUND((Flights!$AE$11)*1440,0)/1440</f>
        <v>46303.9166666667</v>
      </c>
      <c r="R226" s="59" t="n">
        <f aca="false">Q226+(IF(AND(INDEX(TZ_DSTS,MATCH(P226,TZ_STN,0))&lt;&gt;"",Q226&gt;=INDEX(TZ_DSTS,MATCH(P226,TZ_STN,0)),Q226&lt;INDEX(TZ_DSTE,MATCH(P226,TZ_STN,0))),INDEX(TZ_DST,MATCH(P226,TZ_STN,0)),INDEX(TZ_STD,MATCH(P226,TZ_STN,0))))/24</f>
        <v>46303.9583333333</v>
      </c>
      <c r="S226" s="59" t="n">
        <f aca="false">Q226-T12EarlyH/24</f>
        <v>46303.4166666667</v>
      </c>
      <c r="T226" s="60"/>
      <c r="U226" s="60"/>
      <c r="V226" s="60"/>
      <c r="W226" s="61"/>
      <c r="X226" s="60"/>
      <c r="Y226" s="60"/>
      <c r="Z226" s="60"/>
      <c r="AA226" s="60"/>
      <c r="AB226" s="60"/>
      <c r="AC226" s="60"/>
      <c r="AD226" s="66"/>
      <c r="AE226" s="60"/>
      <c r="AF226" s="61" t="str">
        <f aca="false">IF(AND(ISNUMBER(X226),ISNUMBER(Y226)),Y226-X226,"")</f>
        <v/>
      </c>
      <c r="AG226" s="62" t="str">
        <f aca="false">IF(ISNUMBER(AD226),AD226-(IF(AND(INDEX(TZ_DSTS,MATCH(P226,TZ_STN,0))&lt;&gt;"",(AD226-INDEX(TZ_STD,MATCH(P226,TZ_STN,0))/24)&gt;=INDEX(TZ_DSTS,MATCH(P226,TZ_STN,0)),(AD226-INDEX(TZ_STD,MATCH(P226,TZ_STN,0))/24)&lt;INDEX(TZ_DSTE,MATCH(P226,TZ_STN,0))),INDEX(TZ_DST,MATCH(P226,TZ_STN,0)),INDEX(TZ_STD,MATCH(P226,TZ_STN,0))))/24,"")</f>
        <v/>
      </c>
      <c r="AH226" s="65" t="str">
        <f aca="false">IFERROR(IF(N226="N/A – rule","N/A – RULE",IF(TRIM(U226)="N/A",IF(AT226=0,"INVALID – N/A not permitted for this check",IF(AND(TRIM(AB226)&lt;&gt;"",TRIM(AB226)&lt;&gt;"Closed"),"INVALID – corrective action still open",IF(AND(NOT(OR(LEN(AZ226)&lt;15,ISNUMBER(MATCH(AZ226,L_Placeholder,0)))),NOT(OR(LEN(AU226)&lt;2,ISNUMBER(MATCH(AU226,L_Placeholder,0)))),NOT(OR(LEN(AX226)&lt;2,ISNUMBER(MATCH(AX226,L_Placeholder,0)))),TRIM(AE226)&lt;&gt;TRIM(T226)),"N/A – JUSTIFIED","INVALID – N/A needs a real justification (15+ chars), PIC and a different verifier"))),IF(OR(TRIM(U226)="Pass",TRIM(U226)="Pass after CA"),IF(NOT(ISNUMBER(AD226)),"INVALID – completion time missing",IF(OR(LEN(AU226)&lt;2,ISNUMBER(MATCH(AU226,L_Placeholder,0))),"INVALID – PIC missing",IF(OR(LEN(AV226)&lt;2,ISNUMBER(MATCH(AV226,L_Placeholder,0))),"INVALID – result / assessment missing",IF(OR(OR(LEN(AW226)&lt;3,ISNUMBER(MATCH(AW226,L_Placeholder,0))),SUMPRODUCT(--ISNUMBER(SEARCH(L_EvidencePhrase,AW226)))&gt;0),"INVALID – evidence missing, placeholder or not yet on file",IF(OR(LEN(AX226)&lt;2,ISNUMBER(MATCH(AX226,L_Placeholder,0))),"INVALID – verifier missing",IF(AX226=AU226,"INVALID – verifier must be someone other than the PIC",IF(AND(TRIM(U226)="Pass",SUMPRODUCT(--ISNUMBER(SEARCH(L_ResultBad,AV226)))&gt;0),"INVALID – result describes a problem: use Fail, then Pass after CA",IF(AND(AQ226=1,OR(LEN(AY226)&lt;3,ISNUMBER(MATCH(AY226,L_Placeholder,0)))),"INVALID – batch ID missing or placeholder",IF(AND(AR226=1,OR(NOT(ISNUMBER(X226)),NOT(ISNUMBER(Y226)))),"INVALID – expected/actual qty missing",IF(AND(AR226=1,OR(X226&lt;=0,Y226&lt;0)),"INVALID – expected qty must be above 0 and actual not negative",IF(BB226&lt;&gt;"",BB226,IF(AND(AS226=1,Documents!$J$11&lt;&gt;"ON FILE"),"INVALID – GLD not on file (Documents sheet)",IF(AND(AS226=2,Documents!$O$11&lt;&gt;"ON FILE"),"INVALID – menu checklist not on file (Documents sheet)",IF(AND(AS226=3,NOT(ISNUMBER(Flights!$AX$11))),"INVALID – enter carrying flight KUL departure (Flights AX)",IF(AND(AS226=3,OR(Flights!$AZ$11&gt;Flights!$AA$11,Flights!$AX$11&lt;Flights!$AA$11-3)),"INVALID – carrying flight (Flights AX) cannot arrive before this leg's STD, or is over 3 days early",IF(AG226&gt;AsOfUTC,"INVALID – completion time is in the future",IF(AND(ISNUMBER(S226),AG226&lt;S226),IF(H226="Physical uplift","INVALID – before uplift window (cannot confirm loading)","INVALID – before valid window"),IF(AG226&gt;Flights!$AA$11,"INVALID – completed after departure (cannot establish readiness)",IF(AND(H226="Preparation",AG226&gt;IF(ISNUMBER(Flights!$BA$11),MIN(Flights!$BA$11,Flights!$AA$11),Flights!$AA$11)),"INVALID – completed after loading / departure (cannot establish readiness)",IF(AND(H226="Physical uplift",AG226&gt;Q226),"INVALID – recorded after the loading flight departed",IF(AG226&gt;Q226,"COMPLETE – LATE","COMPLETE"))))))))))))))))))))),IF(TRIM(U226)="Fail","FAIL – DISCREPANCY",IF(AND(TRIM(U226)&lt;&gt;"",TRIM(U226)&lt;&gt;"Not started",TRIM(U226)&lt;&gt;"In progress"),"INVALID – unrecognised status (use the list)",IF(AsOfUTC&gt;Q226,"OVERDUE",IF(N226="Clarification required","OPEN – CLARIFICATION","OPEN"))))))),"INVALID – error value in an input cell")</f>
        <v>OPEN</v>
      </c>
      <c r="AI226" s="61" t="n">
        <f aca="false">IF(OR(AH226="N/A – RULE",AH226="N/A – JUSTIFIED"),0,1)</f>
        <v>1</v>
      </c>
      <c r="AJ226" s="61" t="n">
        <f aca="false">IF(LEFT(AH226,8)="COMPLETE",1,0)</f>
        <v>0</v>
      </c>
      <c r="AK226" s="61" t="n">
        <f aca="false">IF(AND(AI226=1,AJ226=0,AsOfUTC&gt;Q226),1,0)</f>
        <v>0</v>
      </c>
      <c r="AL226" s="61" t="n">
        <f aca="false">IFERROR(IF(AND(AI226=1,OR(TRIM(U226)="Fail",AND(TRIM(AB226)&lt;&gt;"",TRIM(AB226)&lt;&gt;"Closed"),AND(ISNUMBER(AF226),AF226&lt;&gt;0,TRIM(U226)&lt;&gt;"Pass after CA"))),1,0),1)</f>
        <v>0</v>
      </c>
      <c r="AM226" s="61" t="n">
        <f aca="false">IF(LEFT(AH226,7)="INVALID",1,0)</f>
        <v>0</v>
      </c>
      <c r="AN226" s="61" t="n">
        <f aca="false">IF(AND(N226="Clarification required",AI226=1,AJ226=0),1,0)</f>
        <v>0</v>
      </c>
      <c r="AO226" s="61" t="str">
        <f aca="false">IF(AK226=1,SUM(AK$5:AK226),"")</f>
        <v/>
      </c>
      <c r="AP226" s="61" t="str">
        <f aca="false">IF(AL226=1,SUM(AL$5:AL226),"")</f>
        <v/>
      </c>
      <c r="AQ226" s="61" t="n">
        <v>0</v>
      </c>
      <c r="AR226" s="61" t="n">
        <v>0</v>
      </c>
      <c r="AS226" s="61" t="n">
        <v>0</v>
      </c>
      <c r="AT226" s="61" t="n">
        <v>0</v>
      </c>
      <c r="AU226" s="61" t="str">
        <f aca="false">SUBSTITUTE(SUBSTITUTE(SUBSTITUTE(SUBSTITUTE(SUBSTITUTE(SUBSTITUTE(SUBSTITUTE(SUBSTITUTE(SUBSTITUTE(SUBSTITUTE(SUBSTITUTE(SUBSTITUTE(SUBSTITUTE(LOWER(T226&amp;""),CHAR(160),"")," ",""),".",""),"-",""),"/",""),"?",""),"_",""),",",""),"[",""),"]",""),"(",""),")",""),"*","")</f>
        <v/>
      </c>
      <c r="AV226" s="61" t="str">
        <f aca="false">SUBSTITUTE(SUBSTITUTE(SUBSTITUTE(SUBSTITUTE(SUBSTITUTE(SUBSTITUTE(SUBSTITUTE(SUBSTITUTE(SUBSTITUTE(SUBSTITUTE(SUBSTITUTE(SUBSTITUTE(SUBSTITUTE(LOWER(V226&amp;""),CHAR(160),"")," ",""),".",""),"-",""),"/",""),"?",""),"_",""),",",""),"[",""),"]",""),"(",""),")",""),"*","")</f>
        <v/>
      </c>
      <c r="AW226" s="61" t="str">
        <f aca="false">SUBSTITUTE(SUBSTITUTE(SUBSTITUTE(SUBSTITUTE(SUBSTITUTE(SUBSTITUTE(SUBSTITUTE(SUBSTITUTE(SUBSTITUTE(SUBSTITUTE(SUBSTITUTE(SUBSTITUTE(SUBSTITUTE(LOWER(Z226&amp;""),CHAR(160),"")," ",""),".",""),"-",""),"/",""),"?",""),"_",""),",",""),"[",""),"]",""),"(",""),")",""),"*","")</f>
        <v/>
      </c>
      <c r="AX226" s="61" t="str">
        <f aca="false">SUBSTITUTE(SUBSTITUTE(SUBSTITUTE(SUBSTITUTE(SUBSTITUTE(SUBSTITUTE(SUBSTITUTE(SUBSTITUTE(SUBSTITUTE(SUBSTITUTE(SUBSTITUTE(SUBSTITUTE(SUBSTITUTE(LOWER(AE226&amp;""),CHAR(160),"")," ",""),".",""),"-",""),"/",""),"?",""),"_",""),",",""),"[",""),"]",""),"(",""),")",""),"*","")</f>
        <v/>
      </c>
      <c r="AY226" s="61" t="str">
        <f aca="false">SUBSTITUTE(SUBSTITUTE(SUBSTITUTE(SUBSTITUTE(SUBSTITUTE(SUBSTITUTE(SUBSTITUTE(SUBSTITUTE(SUBSTITUTE(SUBSTITUTE(SUBSTITUTE(SUBSTITUTE(SUBSTITUTE(LOWER(W226&amp;""),CHAR(160),"")," ",""),".",""),"-",""),"/",""),"?",""),"_",""),",",""),"[",""),"]",""),"(",""),")",""),"*","")</f>
        <v/>
      </c>
      <c r="AZ226" s="61" t="str">
        <f aca="false">SUBSTITUTE(SUBSTITUTE(SUBSTITUTE(SUBSTITUTE(SUBSTITUTE(SUBSTITUTE(SUBSTITUTE(SUBSTITUTE(SUBSTITUTE(SUBSTITUTE(SUBSTITUTE(SUBSTITUTE(SUBSTITUTE(LOWER(AC226&amp;""),CHAR(160),"")," ",""),".",""),"-",""),"/",""),"?",""),"_",""),",",""),"[",""),"]",""),"(",""),")",""),"*","")</f>
        <v/>
      </c>
      <c r="BA226" s="61" t="str">
        <f aca="false">SUBSTITUTE(SUBSTITUTE(SUBSTITUTE(SUBSTITUTE(SUBSTITUTE(SUBSTITUTE(SUBSTITUTE(SUBSTITUTE(SUBSTITUTE(SUBSTITUTE(SUBSTITUTE(SUBSTITUTE(SUBSTITUTE(LOWER(AA226&amp;""),CHAR(160),"")," ",""),".",""),"-",""),"/",""),"?",""),"_",""),",",""),"[",""),"]",""),"(",""),")",""),"*","")</f>
        <v/>
      </c>
      <c r="BB226" s="61" t="str">
        <f aca="false">IF(AND(TRIM(U226)="Pass",ISNUMBER(AF226)),IF(AF226&lt;&gt;0,"INVALID – qty variance: use Fail or Pass after CA",""),"")&amp;IF(AND(TRIM(U226)="Pass after CA",ISNUMBER(AF226)),IF(AF226&lt;&gt;0,"INVALID – after the corrective action the actual qty must equal expected (update Actual)",""),"")&amp;IF(AND(TRIM(U226)="Pass",TRIM(AB226)&lt;&gt;"",TRIM(AB226)&lt;&gt;"Closed"),"INVALID – corrective action not closed: use Fail, then Pass after CA","")&amp;IF(AND(TRIM(AA226)&lt;&gt;"",TRIM(AB226)=""),"INVALID – CA status missing for the recorded corrective action","")&amp;IF(AND(TRIM(U226)="Pass after CA",OR(OR(LEN(BA226)&lt;5,ISNUMBER(MATCH(BA226,L_Placeholder,0))),TRIM(AB226)&lt;&gt;"Closed")),"INVALID – corrective action not recorded/closed","")</f>
        <v/>
      </c>
    </row>
    <row r="227" customFormat="false" ht="39.75" hidden="false" customHeight="true" outlineLevel="0" collapsed="false">
      <c r="A227" s="57" t="s">
        <v>769</v>
      </c>
      <c r="B227" s="57" t="s">
        <v>232</v>
      </c>
      <c r="C227" s="57" t="str">
        <f aca="false">Flights!$F$11</f>
        <v>MH0003</v>
      </c>
      <c r="D227" s="58" t="n">
        <f aca="false">Flights!$D$11</f>
        <v>46304</v>
      </c>
      <c r="E227" s="57" t="str">
        <f aca="false">Flights!$G$11&amp;"-"&amp;Flights!$H$11</f>
        <v>LHR-KUL</v>
      </c>
      <c r="F227" s="57" t="str">
        <f aca="false">Flights!$K$11</f>
        <v>BC</v>
      </c>
      <c r="G227" s="57" t="s">
        <v>398</v>
      </c>
      <c r="H227" s="57" t="s">
        <v>356</v>
      </c>
      <c r="I227" s="57" t="s">
        <v>406</v>
      </c>
      <c r="J227" s="57" t="s">
        <v>409</v>
      </c>
      <c r="K227" s="67"/>
      <c r="L227" s="67" t="s">
        <v>400</v>
      </c>
      <c r="M227" s="67"/>
      <c r="N227" s="67" t="s">
        <v>361</v>
      </c>
      <c r="O227" s="67" t="s">
        <v>401</v>
      </c>
      <c r="P227" s="57" t="s">
        <v>183</v>
      </c>
      <c r="Q227" s="59" t="n">
        <f aca="false">ROUND((Flights!$AE$11)*1440,0)/1440</f>
        <v>46303.9166666667</v>
      </c>
      <c r="R227" s="59" t="n">
        <f aca="false">Q227+(IF(AND(INDEX(TZ_DSTS,MATCH(P227,TZ_STN,0))&lt;&gt;"",Q227&gt;=INDEX(TZ_DSTS,MATCH(P227,TZ_STN,0)),Q227&lt;INDEX(TZ_DSTE,MATCH(P227,TZ_STN,0))),INDEX(TZ_DST,MATCH(P227,TZ_STN,0)),INDEX(TZ_STD,MATCH(P227,TZ_STN,0))))/24</f>
        <v>46303.9583333333</v>
      </c>
      <c r="S227" s="59" t="n">
        <f aca="false">Q227-T12EarlyH/24</f>
        <v>46303.4166666667</v>
      </c>
      <c r="T227" s="60"/>
      <c r="U227" s="60"/>
      <c r="V227" s="60"/>
      <c r="W227" s="61"/>
      <c r="X227" s="60"/>
      <c r="Y227" s="60"/>
      <c r="Z227" s="60"/>
      <c r="AA227" s="60"/>
      <c r="AB227" s="60"/>
      <c r="AC227" s="60"/>
      <c r="AD227" s="66"/>
      <c r="AE227" s="60"/>
      <c r="AF227" s="61" t="str">
        <f aca="false">IF(AND(ISNUMBER(X227),ISNUMBER(Y227)),Y227-X227,"")</f>
        <v/>
      </c>
      <c r="AG227" s="62" t="str">
        <f aca="false">IF(ISNUMBER(AD227),AD227-(IF(AND(INDEX(TZ_DSTS,MATCH(P227,TZ_STN,0))&lt;&gt;"",(AD227-INDEX(TZ_STD,MATCH(P227,TZ_STN,0))/24)&gt;=INDEX(TZ_DSTS,MATCH(P227,TZ_STN,0)),(AD227-INDEX(TZ_STD,MATCH(P227,TZ_STN,0))/24)&lt;INDEX(TZ_DSTE,MATCH(P227,TZ_STN,0))),INDEX(TZ_DST,MATCH(P227,TZ_STN,0)),INDEX(TZ_STD,MATCH(P227,TZ_STN,0))))/24,"")</f>
        <v/>
      </c>
      <c r="AH227" s="65" t="str">
        <f aca="false">IFERROR(IF(N227="N/A – rule","N/A – RULE",IF(TRIM(U227)="N/A",IF(AT227=0,"INVALID – N/A not permitted for this check",IF(AND(TRIM(AB227)&lt;&gt;"",TRIM(AB227)&lt;&gt;"Closed"),"INVALID – corrective action still open",IF(AND(NOT(OR(LEN(AZ227)&lt;15,ISNUMBER(MATCH(AZ227,L_Placeholder,0)))),NOT(OR(LEN(AU227)&lt;2,ISNUMBER(MATCH(AU227,L_Placeholder,0)))),NOT(OR(LEN(AX227)&lt;2,ISNUMBER(MATCH(AX227,L_Placeholder,0)))),TRIM(AE227)&lt;&gt;TRIM(T227)),"N/A – JUSTIFIED","INVALID – N/A needs a real justification (15+ chars), PIC and a different verifier"))),IF(OR(TRIM(U227)="Pass",TRIM(U227)="Pass after CA"),IF(NOT(ISNUMBER(AD227)),"INVALID – completion time missing",IF(OR(LEN(AU227)&lt;2,ISNUMBER(MATCH(AU227,L_Placeholder,0))),"INVALID – PIC missing",IF(OR(LEN(AV227)&lt;2,ISNUMBER(MATCH(AV227,L_Placeholder,0))),"INVALID – result / assessment missing",IF(OR(OR(LEN(AW227)&lt;3,ISNUMBER(MATCH(AW227,L_Placeholder,0))),SUMPRODUCT(--ISNUMBER(SEARCH(L_EvidencePhrase,AW227)))&gt;0),"INVALID – evidence missing, placeholder or not yet on file",IF(OR(LEN(AX227)&lt;2,ISNUMBER(MATCH(AX227,L_Placeholder,0))),"INVALID – verifier missing",IF(AX227=AU227,"INVALID – verifier must be someone other than the PIC",IF(AND(TRIM(U227)="Pass",SUMPRODUCT(--ISNUMBER(SEARCH(L_ResultBad,AV227)))&gt;0),"INVALID – result describes a problem: use Fail, then Pass after CA",IF(AND(AQ227=1,OR(LEN(AY227)&lt;3,ISNUMBER(MATCH(AY227,L_Placeholder,0)))),"INVALID – batch ID missing or placeholder",IF(AND(AR227=1,OR(NOT(ISNUMBER(X227)),NOT(ISNUMBER(Y227)))),"INVALID – expected/actual qty missing",IF(AND(AR227=1,OR(X227&lt;=0,Y227&lt;0)),"INVALID – expected qty must be above 0 and actual not negative",IF(BB227&lt;&gt;"",BB227,IF(AND(AS227=1,Documents!$J$11&lt;&gt;"ON FILE"),"INVALID – GLD not on file (Documents sheet)",IF(AND(AS227=2,Documents!$O$11&lt;&gt;"ON FILE"),"INVALID – menu checklist not on file (Documents sheet)",IF(AND(AS227=3,NOT(ISNUMBER(Flights!$AX$11))),"INVALID – enter carrying flight KUL departure (Flights AX)",IF(AND(AS227=3,OR(Flights!$AZ$11&gt;Flights!$AA$11,Flights!$AX$11&lt;Flights!$AA$11-3)),"INVALID – carrying flight (Flights AX) cannot arrive before this leg's STD, or is over 3 days early",IF(AG227&gt;AsOfUTC,"INVALID – completion time is in the future",IF(AND(ISNUMBER(S227),AG227&lt;S227),IF(H227="Physical uplift","INVALID – before uplift window (cannot confirm loading)","INVALID – before valid window"),IF(AG227&gt;Flights!$AA$11,"INVALID – completed after departure (cannot establish readiness)",IF(AND(H227="Preparation",AG227&gt;IF(ISNUMBER(Flights!$BA$11),MIN(Flights!$BA$11,Flights!$AA$11),Flights!$AA$11)),"INVALID – completed after loading / departure (cannot establish readiness)",IF(AND(H227="Physical uplift",AG227&gt;Q227),"INVALID – recorded after the loading flight departed",IF(AG227&gt;Q227,"COMPLETE – LATE","COMPLETE"))))))))))))))))))))),IF(TRIM(U227)="Fail","FAIL – DISCREPANCY",IF(AND(TRIM(U227)&lt;&gt;"",TRIM(U227)&lt;&gt;"Not started",TRIM(U227)&lt;&gt;"In progress"),"INVALID – unrecognised status (use the list)",IF(AsOfUTC&gt;Q227,"OVERDUE",IF(N227="Clarification required","OPEN – CLARIFICATION","OPEN"))))))),"INVALID – error value in an input cell")</f>
        <v>OPEN</v>
      </c>
      <c r="AI227" s="61" t="n">
        <f aca="false">IF(OR(AH227="N/A – RULE",AH227="N/A – JUSTIFIED"),0,1)</f>
        <v>1</v>
      </c>
      <c r="AJ227" s="61" t="n">
        <f aca="false">IF(LEFT(AH227,8)="COMPLETE",1,0)</f>
        <v>0</v>
      </c>
      <c r="AK227" s="61" t="n">
        <f aca="false">IF(AND(AI227=1,AJ227=0,AsOfUTC&gt;Q227),1,0)</f>
        <v>0</v>
      </c>
      <c r="AL227" s="61" t="n">
        <f aca="false">IFERROR(IF(AND(AI227=1,OR(TRIM(U227)="Fail",AND(TRIM(AB227)&lt;&gt;"",TRIM(AB227)&lt;&gt;"Closed"),AND(ISNUMBER(AF227),AF227&lt;&gt;0,TRIM(U227)&lt;&gt;"Pass after CA"))),1,0),1)</f>
        <v>0</v>
      </c>
      <c r="AM227" s="61" t="n">
        <f aca="false">IF(LEFT(AH227,7)="INVALID",1,0)</f>
        <v>0</v>
      </c>
      <c r="AN227" s="61" t="n">
        <f aca="false">IF(AND(N227="Clarification required",AI227=1,AJ227=0),1,0)</f>
        <v>0</v>
      </c>
      <c r="AO227" s="61" t="str">
        <f aca="false">IF(AK227=1,SUM(AK$5:AK227),"")</f>
        <v/>
      </c>
      <c r="AP227" s="61" t="str">
        <f aca="false">IF(AL227=1,SUM(AL$5:AL227),"")</f>
        <v/>
      </c>
      <c r="AQ227" s="61" t="n">
        <v>0</v>
      </c>
      <c r="AR227" s="61" t="n">
        <v>0</v>
      </c>
      <c r="AS227" s="61" t="n">
        <v>0</v>
      </c>
      <c r="AT227" s="61" t="n">
        <v>0</v>
      </c>
      <c r="AU227" s="61" t="str">
        <f aca="false">SUBSTITUTE(SUBSTITUTE(SUBSTITUTE(SUBSTITUTE(SUBSTITUTE(SUBSTITUTE(SUBSTITUTE(SUBSTITUTE(SUBSTITUTE(SUBSTITUTE(SUBSTITUTE(SUBSTITUTE(SUBSTITUTE(LOWER(T227&amp;""),CHAR(160),"")," ",""),".",""),"-",""),"/",""),"?",""),"_",""),",",""),"[",""),"]",""),"(",""),")",""),"*","")</f>
        <v/>
      </c>
      <c r="AV227" s="61" t="str">
        <f aca="false">SUBSTITUTE(SUBSTITUTE(SUBSTITUTE(SUBSTITUTE(SUBSTITUTE(SUBSTITUTE(SUBSTITUTE(SUBSTITUTE(SUBSTITUTE(SUBSTITUTE(SUBSTITUTE(SUBSTITUTE(SUBSTITUTE(LOWER(V227&amp;""),CHAR(160),"")," ",""),".",""),"-",""),"/",""),"?",""),"_",""),",",""),"[",""),"]",""),"(",""),")",""),"*","")</f>
        <v/>
      </c>
      <c r="AW227" s="61" t="str">
        <f aca="false">SUBSTITUTE(SUBSTITUTE(SUBSTITUTE(SUBSTITUTE(SUBSTITUTE(SUBSTITUTE(SUBSTITUTE(SUBSTITUTE(SUBSTITUTE(SUBSTITUTE(SUBSTITUTE(SUBSTITUTE(SUBSTITUTE(LOWER(Z227&amp;""),CHAR(160),"")," ",""),".",""),"-",""),"/",""),"?",""),"_",""),",",""),"[",""),"]",""),"(",""),")",""),"*","")</f>
        <v/>
      </c>
      <c r="AX227" s="61" t="str">
        <f aca="false">SUBSTITUTE(SUBSTITUTE(SUBSTITUTE(SUBSTITUTE(SUBSTITUTE(SUBSTITUTE(SUBSTITUTE(SUBSTITUTE(SUBSTITUTE(SUBSTITUTE(SUBSTITUTE(SUBSTITUTE(SUBSTITUTE(LOWER(AE227&amp;""),CHAR(160),"")," ",""),".",""),"-",""),"/",""),"?",""),"_",""),",",""),"[",""),"]",""),"(",""),")",""),"*","")</f>
        <v/>
      </c>
      <c r="AY227" s="61" t="str">
        <f aca="false">SUBSTITUTE(SUBSTITUTE(SUBSTITUTE(SUBSTITUTE(SUBSTITUTE(SUBSTITUTE(SUBSTITUTE(SUBSTITUTE(SUBSTITUTE(SUBSTITUTE(SUBSTITUTE(SUBSTITUTE(SUBSTITUTE(LOWER(W227&amp;""),CHAR(160),"")," ",""),".",""),"-",""),"/",""),"?",""),"_",""),",",""),"[",""),"]",""),"(",""),")",""),"*","")</f>
        <v/>
      </c>
      <c r="AZ227" s="61" t="str">
        <f aca="false">SUBSTITUTE(SUBSTITUTE(SUBSTITUTE(SUBSTITUTE(SUBSTITUTE(SUBSTITUTE(SUBSTITUTE(SUBSTITUTE(SUBSTITUTE(SUBSTITUTE(SUBSTITUTE(SUBSTITUTE(SUBSTITUTE(LOWER(AC227&amp;""),CHAR(160),"")," ",""),".",""),"-",""),"/",""),"?",""),"_",""),",",""),"[",""),"]",""),"(",""),")",""),"*","")</f>
        <v/>
      </c>
      <c r="BA227" s="61" t="str">
        <f aca="false">SUBSTITUTE(SUBSTITUTE(SUBSTITUTE(SUBSTITUTE(SUBSTITUTE(SUBSTITUTE(SUBSTITUTE(SUBSTITUTE(SUBSTITUTE(SUBSTITUTE(SUBSTITUTE(SUBSTITUTE(SUBSTITUTE(LOWER(AA227&amp;""),CHAR(160),"")," ",""),".",""),"-",""),"/",""),"?",""),"_",""),",",""),"[",""),"]",""),"(",""),")",""),"*","")</f>
        <v/>
      </c>
      <c r="BB227" s="61" t="str">
        <f aca="false">IF(AND(TRIM(U227)="Pass",ISNUMBER(AF227)),IF(AF227&lt;&gt;0,"INVALID – qty variance: use Fail or Pass after CA",""),"")&amp;IF(AND(TRIM(U227)="Pass after CA",ISNUMBER(AF227)),IF(AF227&lt;&gt;0,"INVALID – after the corrective action the actual qty must equal expected (update Actual)",""),"")&amp;IF(AND(TRIM(U227)="Pass",TRIM(AB227)&lt;&gt;"",TRIM(AB227)&lt;&gt;"Closed"),"INVALID – corrective action not closed: use Fail, then Pass after CA","")&amp;IF(AND(TRIM(AA227)&lt;&gt;"",TRIM(AB227)=""),"INVALID – CA status missing for the recorded corrective action","")&amp;IF(AND(TRIM(U227)="Pass after CA",OR(OR(LEN(BA227)&lt;5,ISNUMBER(MATCH(BA227,L_Placeholder,0))),TRIM(AB227)&lt;&gt;"Closed")),"INVALID – corrective action not recorded/closed","")</f>
        <v/>
      </c>
    </row>
    <row r="228" customFormat="false" ht="39.75" hidden="false" customHeight="true" outlineLevel="0" collapsed="false">
      <c r="A228" s="57" t="s">
        <v>770</v>
      </c>
      <c r="B228" s="57" t="s">
        <v>232</v>
      </c>
      <c r="C228" s="57" t="str">
        <f aca="false">Flights!$F$11</f>
        <v>MH0003</v>
      </c>
      <c r="D228" s="58" t="n">
        <f aca="false">Flights!$D$11</f>
        <v>46304</v>
      </c>
      <c r="E228" s="57" t="str">
        <f aca="false">Flights!$G$11&amp;"-"&amp;Flights!$H$11</f>
        <v>LHR-KUL</v>
      </c>
      <c r="F228" s="57" t="str">
        <f aca="false">Flights!$K$11</f>
        <v>BC</v>
      </c>
      <c r="G228" s="57" t="s">
        <v>398</v>
      </c>
      <c r="H228" s="57" t="s">
        <v>356</v>
      </c>
      <c r="I228" s="57" t="s">
        <v>406</v>
      </c>
      <c r="J228" s="57" t="s">
        <v>411</v>
      </c>
      <c r="K228" s="67"/>
      <c r="L228" s="67" t="s">
        <v>400</v>
      </c>
      <c r="M228" s="67"/>
      <c r="N228" s="67" t="s">
        <v>361</v>
      </c>
      <c r="O228" s="67" t="s">
        <v>401</v>
      </c>
      <c r="P228" s="57" t="s">
        <v>183</v>
      </c>
      <c r="Q228" s="59" t="n">
        <f aca="false">ROUND((Flights!$AE$11)*1440,0)/1440</f>
        <v>46303.9166666667</v>
      </c>
      <c r="R228" s="59" t="n">
        <f aca="false">Q228+(IF(AND(INDEX(TZ_DSTS,MATCH(P228,TZ_STN,0))&lt;&gt;"",Q228&gt;=INDEX(TZ_DSTS,MATCH(P228,TZ_STN,0)),Q228&lt;INDEX(TZ_DSTE,MATCH(P228,TZ_STN,0))),INDEX(TZ_DST,MATCH(P228,TZ_STN,0)),INDEX(TZ_STD,MATCH(P228,TZ_STN,0))))/24</f>
        <v>46303.9583333333</v>
      </c>
      <c r="S228" s="59" t="n">
        <f aca="false">Q228-T12EarlyH/24</f>
        <v>46303.4166666667</v>
      </c>
      <c r="T228" s="60"/>
      <c r="U228" s="60"/>
      <c r="V228" s="60"/>
      <c r="W228" s="61"/>
      <c r="X228" s="60"/>
      <c r="Y228" s="60"/>
      <c r="Z228" s="60"/>
      <c r="AA228" s="60"/>
      <c r="AB228" s="60"/>
      <c r="AC228" s="60"/>
      <c r="AD228" s="66"/>
      <c r="AE228" s="60"/>
      <c r="AF228" s="61" t="str">
        <f aca="false">IF(AND(ISNUMBER(X228),ISNUMBER(Y228)),Y228-X228,"")</f>
        <v/>
      </c>
      <c r="AG228" s="62" t="str">
        <f aca="false">IF(ISNUMBER(AD228),AD228-(IF(AND(INDEX(TZ_DSTS,MATCH(P228,TZ_STN,0))&lt;&gt;"",(AD228-INDEX(TZ_STD,MATCH(P228,TZ_STN,0))/24)&gt;=INDEX(TZ_DSTS,MATCH(P228,TZ_STN,0)),(AD228-INDEX(TZ_STD,MATCH(P228,TZ_STN,0))/24)&lt;INDEX(TZ_DSTE,MATCH(P228,TZ_STN,0))),INDEX(TZ_DST,MATCH(P228,TZ_STN,0)),INDEX(TZ_STD,MATCH(P228,TZ_STN,0))))/24,"")</f>
        <v/>
      </c>
      <c r="AH228" s="65" t="str">
        <f aca="false">IFERROR(IF(N228="N/A – rule","N/A – RULE",IF(TRIM(U228)="N/A",IF(AT228=0,"INVALID – N/A not permitted for this check",IF(AND(TRIM(AB228)&lt;&gt;"",TRIM(AB228)&lt;&gt;"Closed"),"INVALID – corrective action still open",IF(AND(NOT(OR(LEN(AZ228)&lt;15,ISNUMBER(MATCH(AZ228,L_Placeholder,0)))),NOT(OR(LEN(AU228)&lt;2,ISNUMBER(MATCH(AU228,L_Placeholder,0)))),NOT(OR(LEN(AX228)&lt;2,ISNUMBER(MATCH(AX228,L_Placeholder,0)))),TRIM(AE228)&lt;&gt;TRIM(T228)),"N/A – JUSTIFIED","INVALID – N/A needs a real justification (15+ chars), PIC and a different verifier"))),IF(OR(TRIM(U228)="Pass",TRIM(U228)="Pass after CA"),IF(NOT(ISNUMBER(AD228)),"INVALID – completion time missing",IF(OR(LEN(AU228)&lt;2,ISNUMBER(MATCH(AU228,L_Placeholder,0))),"INVALID – PIC missing",IF(OR(LEN(AV228)&lt;2,ISNUMBER(MATCH(AV228,L_Placeholder,0))),"INVALID – result / assessment missing",IF(OR(OR(LEN(AW228)&lt;3,ISNUMBER(MATCH(AW228,L_Placeholder,0))),SUMPRODUCT(--ISNUMBER(SEARCH(L_EvidencePhrase,AW228)))&gt;0),"INVALID – evidence missing, placeholder or not yet on file",IF(OR(LEN(AX228)&lt;2,ISNUMBER(MATCH(AX228,L_Placeholder,0))),"INVALID – verifier missing",IF(AX228=AU228,"INVALID – verifier must be someone other than the PIC",IF(AND(TRIM(U228)="Pass",SUMPRODUCT(--ISNUMBER(SEARCH(L_ResultBad,AV228)))&gt;0),"INVALID – result describes a problem: use Fail, then Pass after CA",IF(AND(AQ228=1,OR(LEN(AY228)&lt;3,ISNUMBER(MATCH(AY228,L_Placeholder,0)))),"INVALID – batch ID missing or placeholder",IF(AND(AR228=1,OR(NOT(ISNUMBER(X228)),NOT(ISNUMBER(Y228)))),"INVALID – expected/actual qty missing",IF(AND(AR228=1,OR(X228&lt;=0,Y228&lt;0)),"INVALID – expected qty must be above 0 and actual not negative",IF(BB228&lt;&gt;"",BB228,IF(AND(AS228=1,Documents!$J$11&lt;&gt;"ON FILE"),"INVALID – GLD not on file (Documents sheet)",IF(AND(AS228=2,Documents!$O$11&lt;&gt;"ON FILE"),"INVALID – menu checklist not on file (Documents sheet)",IF(AND(AS228=3,NOT(ISNUMBER(Flights!$AX$11))),"INVALID – enter carrying flight KUL departure (Flights AX)",IF(AND(AS228=3,OR(Flights!$AZ$11&gt;Flights!$AA$11,Flights!$AX$11&lt;Flights!$AA$11-3)),"INVALID – carrying flight (Flights AX) cannot arrive before this leg's STD, or is over 3 days early",IF(AG228&gt;AsOfUTC,"INVALID – completion time is in the future",IF(AND(ISNUMBER(S228),AG228&lt;S228),IF(H228="Physical uplift","INVALID – before uplift window (cannot confirm loading)","INVALID – before valid window"),IF(AG228&gt;Flights!$AA$11,"INVALID – completed after departure (cannot establish readiness)",IF(AND(H228="Preparation",AG228&gt;IF(ISNUMBER(Flights!$BA$11),MIN(Flights!$BA$11,Flights!$AA$11),Flights!$AA$11)),"INVALID – completed after loading / departure (cannot establish readiness)",IF(AND(H228="Physical uplift",AG228&gt;Q228),"INVALID – recorded after the loading flight departed",IF(AG228&gt;Q228,"COMPLETE – LATE","COMPLETE"))))))))))))))))))))),IF(TRIM(U228)="Fail","FAIL – DISCREPANCY",IF(AND(TRIM(U228)&lt;&gt;"",TRIM(U228)&lt;&gt;"Not started",TRIM(U228)&lt;&gt;"In progress"),"INVALID – unrecognised status (use the list)",IF(AsOfUTC&gt;Q228,"OVERDUE",IF(N228="Clarification required","OPEN – CLARIFICATION","OPEN"))))))),"INVALID – error value in an input cell")</f>
        <v>OPEN</v>
      </c>
      <c r="AI228" s="61" t="n">
        <f aca="false">IF(OR(AH228="N/A – RULE",AH228="N/A – JUSTIFIED"),0,1)</f>
        <v>1</v>
      </c>
      <c r="AJ228" s="61" t="n">
        <f aca="false">IF(LEFT(AH228,8)="COMPLETE",1,0)</f>
        <v>0</v>
      </c>
      <c r="AK228" s="61" t="n">
        <f aca="false">IF(AND(AI228=1,AJ228=0,AsOfUTC&gt;Q228),1,0)</f>
        <v>0</v>
      </c>
      <c r="AL228" s="61" t="n">
        <f aca="false">IFERROR(IF(AND(AI228=1,OR(TRIM(U228)="Fail",AND(TRIM(AB228)&lt;&gt;"",TRIM(AB228)&lt;&gt;"Closed"),AND(ISNUMBER(AF228),AF228&lt;&gt;0,TRIM(U228)&lt;&gt;"Pass after CA"))),1,0),1)</f>
        <v>0</v>
      </c>
      <c r="AM228" s="61" t="n">
        <f aca="false">IF(LEFT(AH228,7)="INVALID",1,0)</f>
        <v>0</v>
      </c>
      <c r="AN228" s="61" t="n">
        <f aca="false">IF(AND(N228="Clarification required",AI228=1,AJ228=0),1,0)</f>
        <v>0</v>
      </c>
      <c r="AO228" s="61" t="str">
        <f aca="false">IF(AK228=1,SUM(AK$5:AK228),"")</f>
        <v/>
      </c>
      <c r="AP228" s="61" t="str">
        <f aca="false">IF(AL228=1,SUM(AL$5:AL228),"")</f>
        <v/>
      </c>
      <c r="AQ228" s="61" t="n">
        <v>0</v>
      </c>
      <c r="AR228" s="61" t="n">
        <v>0</v>
      </c>
      <c r="AS228" s="61" t="n">
        <v>0</v>
      </c>
      <c r="AT228" s="61" t="n">
        <v>0</v>
      </c>
      <c r="AU228" s="61" t="str">
        <f aca="false">SUBSTITUTE(SUBSTITUTE(SUBSTITUTE(SUBSTITUTE(SUBSTITUTE(SUBSTITUTE(SUBSTITUTE(SUBSTITUTE(SUBSTITUTE(SUBSTITUTE(SUBSTITUTE(SUBSTITUTE(SUBSTITUTE(LOWER(T228&amp;""),CHAR(160),"")," ",""),".",""),"-",""),"/",""),"?",""),"_",""),",",""),"[",""),"]",""),"(",""),")",""),"*","")</f>
        <v/>
      </c>
      <c r="AV228" s="61" t="str">
        <f aca="false">SUBSTITUTE(SUBSTITUTE(SUBSTITUTE(SUBSTITUTE(SUBSTITUTE(SUBSTITUTE(SUBSTITUTE(SUBSTITUTE(SUBSTITUTE(SUBSTITUTE(SUBSTITUTE(SUBSTITUTE(SUBSTITUTE(LOWER(V228&amp;""),CHAR(160),"")," ",""),".",""),"-",""),"/",""),"?",""),"_",""),",",""),"[",""),"]",""),"(",""),")",""),"*","")</f>
        <v/>
      </c>
      <c r="AW228" s="61" t="str">
        <f aca="false">SUBSTITUTE(SUBSTITUTE(SUBSTITUTE(SUBSTITUTE(SUBSTITUTE(SUBSTITUTE(SUBSTITUTE(SUBSTITUTE(SUBSTITUTE(SUBSTITUTE(SUBSTITUTE(SUBSTITUTE(SUBSTITUTE(LOWER(Z228&amp;""),CHAR(160),"")," ",""),".",""),"-",""),"/",""),"?",""),"_",""),",",""),"[",""),"]",""),"(",""),")",""),"*","")</f>
        <v/>
      </c>
      <c r="AX228" s="61" t="str">
        <f aca="false">SUBSTITUTE(SUBSTITUTE(SUBSTITUTE(SUBSTITUTE(SUBSTITUTE(SUBSTITUTE(SUBSTITUTE(SUBSTITUTE(SUBSTITUTE(SUBSTITUTE(SUBSTITUTE(SUBSTITUTE(SUBSTITUTE(LOWER(AE228&amp;""),CHAR(160),"")," ",""),".",""),"-",""),"/",""),"?",""),"_",""),",",""),"[",""),"]",""),"(",""),")",""),"*","")</f>
        <v/>
      </c>
      <c r="AY228" s="61" t="str">
        <f aca="false">SUBSTITUTE(SUBSTITUTE(SUBSTITUTE(SUBSTITUTE(SUBSTITUTE(SUBSTITUTE(SUBSTITUTE(SUBSTITUTE(SUBSTITUTE(SUBSTITUTE(SUBSTITUTE(SUBSTITUTE(SUBSTITUTE(LOWER(W228&amp;""),CHAR(160),"")," ",""),".",""),"-",""),"/",""),"?",""),"_",""),",",""),"[",""),"]",""),"(",""),")",""),"*","")</f>
        <v/>
      </c>
      <c r="AZ228" s="61" t="str">
        <f aca="false">SUBSTITUTE(SUBSTITUTE(SUBSTITUTE(SUBSTITUTE(SUBSTITUTE(SUBSTITUTE(SUBSTITUTE(SUBSTITUTE(SUBSTITUTE(SUBSTITUTE(SUBSTITUTE(SUBSTITUTE(SUBSTITUTE(LOWER(AC228&amp;""),CHAR(160),"")," ",""),".",""),"-",""),"/",""),"?",""),"_",""),",",""),"[",""),"]",""),"(",""),")",""),"*","")</f>
        <v/>
      </c>
      <c r="BA228" s="61" t="str">
        <f aca="false">SUBSTITUTE(SUBSTITUTE(SUBSTITUTE(SUBSTITUTE(SUBSTITUTE(SUBSTITUTE(SUBSTITUTE(SUBSTITUTE(SUBSTITUTE(SUBSTITUTE(SUBSTITUTE(SUBSTITUTE(SUBSTITUTE(LOWER(AA228&amp;""),CHAR(160),"")," ",""),".",""),"-",""),"/",""),"?",""),"_",""),",",""),"[",""),"]",""),"(",""),")",""),"*","")</f>
        <v/>
      </c>
      <c r="BB228" s="61" t="str">
        <f aca="false">IF(AND(TRIM(U228)="Pass",ISNUMBER(AF228)),IF(AF228&lt;&gt;0,"INVALID – qty variance: use Fail or Pass after CA",""),"")&amp;IF(AND(TRIM(U228)="Pass after CA",ISNUMBER(AF228)),IF(AF228&lt;&gt;0,"INVALID – after the corrective action the actual qty must equal expected (update Actual)",""),"")&amp;IF(AND(TRIM(U228)="Pass",TRIM(AB228)&lt;&gt;"",TRIM(AB228)&lt;&gt;"Closed"),"INVALID – corrective action not closed: use Fail, then Pass after CA","")&amp;IF(AND(TRIM(AA228)&lt;&gt;"",TRIM(AB228)=""),"INVALID – CA status missing for the recorded corrective action","")&amp;IF(AND(TRIM(U228)="Pass after CA",OR(OR(LEN(BA228)&lt;5,ISNUMBER(MATCH(BA228,L_Placeholder,0))),TRIM(AB228)&lt;&gt;"Closed")),"INVALID – corrective action not recorded/closed","")</f>
        <v/>
      </c>
    </row>
    <row r="229" customFormat="false" ht="141" hidden="false" customHeight="true" outlineLevel="0" collapsed="false">
      <c r="A229" s="57" t="s">
        <v>771</v>
      </c>
      <c r="B229" s="57" t="s">
        <v>232</v>
      </c>
      <c r="C229" s="57" t="str">
        <f aca="false">Flights!$F$11</f>
        <v>MH0003</v>
      </c>
      <c r="D229" s="58" t="n">
        <f aca="false">Flights!$D$11</f>
        <v>46304</v>
      </c>
      <c r="E229" s="57" t="str">
        <f aca="false">Flights!$G$11&amp;"-"&amp;Flights!$H$11</f>
        <v>LHR-KUL</v>
      </c>
      <c r="F229" s="57" t="str">
        <f aca="false">Flights!$K$11</f>
        <v>BC</v>
      </c>
      <c r="G229" s="57" t="s">
        <v>398</v>
      </c>
      <c r="H229" s="57" t="s">
        <v>356</v>
      </c>
      <c r="I229" s="57" t="s">
        <v>406</v>
      </c>
      <c r="J229" s="57" t="s">
        <v>413</v>
      </c>
      <c r="K229" s="67" t="s">
        <v>414</v>
      </c>
      <c r="L229" s="67" t="s">
        <v>400</v>
      </c>
      <c r="M229" s="67"/>
      <c r="N229" s="67" t="s">
        <v>361</v>
      </c>
      <c r="O229" s="67" t="s">
        <v>401</v>
      </c>
      <c r="P229" s="57" t="s">
        <v>183</v>
      </c>
      <c r="Q229" s="59" t="n">
        <f aca="false">ROUND((Flights!$AE$11)*1440,0)/1440</f>
        <v>46303.9166666667</v>
      </c>
      <c r="R229" s="59" t="n">
        <f aca="false">Q229+(IF(AND(INDEX(TZ_DSTS,MATCH(P229,TZ_STN,0))&lt;&gt;"",Q229&gt;=INDEX(TZ_DSTS,MATCH(P229,TZ_STN,0)),Q229&lt;INDEX(TZ_DSTE,MATCH(P229,TZ_STN,0))),INDEX(TZ_DST,MATCH(P229,TZ_STN,0)),INDEX(TZ_STD,MATCH(P229,TZ_STN,0))))/24</f>
        <v>46303.9583333333</v>
      </c>
      <c r="S229" s="59" t="n">
        <f aca="false">Q229-T12EarlyH/24</f>
        <v>46303.4166666667</v>
      </c>
      <c r="T229" s="60"/>
      <c r="U229" s="60"/>
      <c r="V229" s="60"/>
      <c r="W229" s="61"/>
      <c r="X229" s="60"/>
      <c r="Y229" s="60"/>
      <c r="Z229" s="60"/>
      <c r="AA229" s="60"/>
      <c r="AB229" s="60"/>
      <c r="AC229" s="60"/>
      <c r="AD229" s="66"/>
      <c r="AE229" s="60"/>
      <c r="AF229" s="61" t="str">
        <f aca="false">IF(AND(ISNUMBER(X229),ISNUMBER(Y229)),Y229-X229,"")</f>
        <v/>
      </c>
      <c r="AG229" s="62" t="str">
        <f aca="false">IF(ISNUMBER(AD229),AD229-(IF(AND(INDEX(TZ_DSTS,MATCH(P229,TZ_STN,0))&lt;&gt;"",(AD229-INDEX(TZ_STD,MATCH(P229,TZ_STN,0))/24)&gt;=INDEX(TZ_DSTS,MATCH(P229,TZ_STN,0)),(AD229-INDEX(TZ_STD,MATCH(P229,TZ_STN,0))/24)&lt;INDEX(TZ_DSTE,MATCH(P229,TZ_STN,0))),INDEX(TZ_DST,MATCH(P229,TZ_STN,0)),INDEX(TZ_STD,MATCH(P229,TZ_STN,0))))/24,"")</f>
        <v/>
      </c>
      <c r="AH229" s="65" t="str">
        <f aca="false">IFERROR(IF(N229="N/A – rule","N/A – RULE",IF(TRIM(U229)="N/A",IF(AT229=0,"INVALID – N/A not permitted for this check",IF(AND(TRIM(AB229)&lt;&gt;"",TRIM(AB229)&lt;&gt;"Closed"),"INVALID – corrective action still open",IF(AND(NOT(OR(LEN(AZ229)&lt;15,ISNUMBER(MATCH(AZ229,L_Placeholder,0)))),NOT(OR(LEN(AU229)&lt;2,ISNUMBER(MATCH(AU229,L_Placeholder,0)))),NOT(OR(LEN(AX229)&lt;2,ISNUMBER(MATCH(AX229,L_Placeholder,0)))),TRIM(AE229)&lt;&gt;TRIM(T229)),"N/A – JUSTIFIED","INVALID – N/A needs a real justification (15+ chars), PIC and a different verifier"))),IF(OR(TRIM(U229)="Pass",TRIM(U229)="Pass after CA"),IF(NOT(ISNUMBER(AD229)),"INVALID – completion time missing",IF(OR(LEN(AU229)&lt;2,ISNUMBER(MATCH(AU229,L_Placeholder,0))),"INVALID – PIC missing",IF(OR(LEN(AV229)&lt;2,ISNUMBER(MATCH(AV229,L_Placeholder,0))),"INVALID – result / assessment missing",IF(OR(OR(LEN(AW229)&lt;3,ISNUMBER(MATCH(AW229,L_Placeholder,0))),SUMPRODUCT(--ISNUMBER(SEARCH(L_EvidencePhrase,AW229)))&gt;0),"INVALID – evidence missing, placeholder or not yet on file",IF(OR(LEN(AX229)&lt;2,ISNUMBER(MATCH(AX229,L_Placeholder,0))),"INVALID – verifier missing",IF(AX229=AU229,"INVALID – verifier must be someone other than the PIC",IF(AND(TRIM(U229)="Pass",SUMPRODUCT(--ISNUMBER(SEARCH(L_ResultBad,AV229)))&gt;0),"INVALID – result describes a problem: use Fail, then Pass after CA",IF(AND(AQ229=1,OR(LEN(AY229)&lt;3,ISNUMBER(MATCH(AY229,L_Placeholder,0)))),"INVALID – batch ID missing or placeholder",IF(AND(AR229=1,OR(NOT(ISNUMBER(X229)),NOT(ISNUMBER(Y229)))),"INVALID – expected/actual qty missing",IF(AND(AR229=1,OR(X229&lt;=0,Y229&lt;0)),"INVALID – expected qty must be above 0 and actual not negative",IF(BB229&lt;&gt;"",BB229,IF(AND(AS229=1,Documents!$J$11&lt;&gt;"ON FILE"),"INVALID – GLD not on file (Documents sheet)",IF(AND(AS229=2,Documents!$O$11&lt;&gt;"ON FILE"),"INVALID – menu checklist not on file (Documents sheet)",IF(AND(AS229=3,NOT(ISNUMBER(Flights!$AX$11))),"INVALID – enter carrying flight KUL departure (Flights AX)",IF(AND(AS229=3,OR(Flights!$AZ$11&gt;Flights!$AA$11,Flights!$AX$11&lt;Flights!$AA$11-3)),"INVALID – carrying flight (Flights AX) cannot arrive before this leg's STD, or is over 3 days early",IF(AG229&gt;AsOfUTC,"INVALID – completion time is in the future",IF(AND(ISNUMBER(S229),AG229&lt;S229),IF(H229="Physical uplift","INVALID – before uplift window (cannot confirm loading)","INVALID – before valid window"),IF(AG229&gt;Flights!$AA$11,"INVALID – completed after departure (cannot establish readiness)",IF(AND(H229="Preparation",AG229&gt;IF(ISNUMBER(Flights!$BA$11),MIN(Flights!$BA$11,Flights!$AA$11),Flights!$AA$11)),"INVALID – completed after loading / departure (cannot establish readiness)",IF(AND(H229="Physical uplift",AG229&gt;Q229),"INVALID – recorded after the loading flight departed",IF(AG229&gt;Q229,"COMPLETE – LATE","COMPLETE"))))))))))))))))))))),IF(TRIM(U229)="Fail","FAIL – DISCREPANCY",IF(AND(TRIM(U229)&lt;&gt;"",TRIM(U229)&lt;&gt;"Not started",TRIM(U229)&lt;&gt;"In progress"),"INVALID – unrecognised status (use the list)",IF(AsOfUTC&gt;Q229,"OVERDUE",IF(N229="Clarification required","OPEN – CLARIFICATION","OPEN"))))))),"INVALID – error value in an input cell")</f>
        <v>OPEN</v>
      </c>
      <c r="AI229" s="61" t="n">
        <f aca="false">IF(OR(AH229="N/A – RULE",AH229="N/A – JUSTIFIED"),0,1)</f>
        <v>1</v>
      </c>
      <c r="AJ229" s="61" t="n">
        <f aca="false">IF(LEFT(AH229,8)="COMPLETE",1,0)</f>
        <v>0</v>
      </c>
      <c r="AK229" s="61" t="n">
        <f aca="false">IF(AND(AI229=1,AJ229=0,AsOfUTC&gt;Q229),1,0)</f>
        <v>0</v>
      </c>
      <c r="AL229" s="61" t="n">
        <f aca="false">IFERROR(IF(AND(AI229=1,OR(TRIM(U229)="Fail",AND(TRIM(AB229)&lt;&gt;"",TRIM(AB229)&lt;&gt;"Closed"),AND(ISNUMBER(AF229),AF229&lt;&gt;0,TRIM(U229)&lt;&gt;"Pass after CA"))),1,0),1)</f>
        <v>0</v>
      </c>
      <c r="AM229" s="61" t="n">
        <f aca="false">IF(LEFT(AH229,7)="INVALID",1,0)</f>
        <v>0</v>
      </c>
      <c r="AN229" s="61" t="n">
        <f aca="false">IF(AND(N229="Clarification required",AI229=1,AJ229=0),1,0)</f>
        <v>0</v>
      </c>
      <c r="AO229" s="61" t="str">
        <f aca="false">IF(AK229=1,SUM(AK$5:AK229),"")</f>
        <v/>
      </c>
      <c r="AP229" s="61" t="str">
        <f aca="false">IF(AL229=1,SUM(AL$5:AL229),"")</f>
        <v/>
      </c>
      <c r="AQ229" s="61" t="n">
        <v>0</v>
      </c>
      <c r="AR229" s="61" t="n">
        <v>1</v>
      </c>
      <c r="AS229" s="61" t="n">
        <v>0</v>
      </c>
      <c r="AT229" s="61" t="n">
        <v>0</v>
      </c>
      <c r="AU229" s="61" t="str">
        <f aca="false">SUBSTITUTE(SUBSTITUTE(SUBSTITUTE(SUBSTITUTE(SUBSTITUTE(SUBSTITUTE(SUBSTITUTE(SUBSTITUTE(SUBSTITUTE(SUBSTITUTE(SUBSTITUTE(SUBSTITUTE(SUBSTITUTE(LOWER(T229&amp;""),CHAR(160),"")," ",""),".",""),"-",""),"/",""),"?",""),"_",""),",",""),"[",""),"]",""),"(",""),")",""),"*","")</f>
        <v/>
      </c>
      <c r="AV229" s="61" t="str">
        <f aca="false">SUBSTITUTE(SUBSTITUTE(SUBSTITUTE(SUBSTITUTE(SUBSTITUTE(SUBSTITUTE(SUBSTITUTE(SUBSTITUTE(SUBSTITUTE(SUBSTITUTE(SUBSTITUTE(SUBSTITUTE(SUBSTITUTE(LOWER(V229&amp;""),CHAR(160),"")," ",""),".",""),"-",""),"/",""),"?",""),"_",""),",",""),"[",""),"]",""),"(",""),")",""),"*","")</f>
        <v/>
      </c>
      <c r="AW229" s="61" t="str">
        <f aca="false">SUBSTITUTE(SUBSTITUTE(SUBSTITUTE(SUBSTITUTE(SUBSTITUTE(SUBSTITUTE(SUBSTITUTE(SUBSTITUTE(SUBSTITUTE(SUBSTITUTE(SUBSTITUTE(SUBSTITUTE(SUBSTITUTE(LOWER(Z229&amp;""),CHAR(160),"")," ",""),".",""),"-",""),"/",""),"?",""),"_",""),",",""),"[",""),"]",""),"(",""),")",""),"*","")</f>
        <v/>
      </c>
      <c r="AX229" s="61" t="str">
        <f aca="false">SUBSTITUTE(SUBSTITUTE(SUBSTITUTE(SUBSTITUTE(SUBSTITUTE(SUBSTITUTE(SUBSTITUTE(SUBSTITUTE(SUBSTITUTE(SUBSTITUTE(SUBSTITUTE(SUBSTITUTE(SUBSTITUTE(LOWER(AE229&amp;""),CHAR(160),"")," ",""),".",""),"-",""),"/",""),"?",""),"_",""),",",""),"[",""),"]",""),"(",""),")",""),"*","")</f>
        <v/>
      </c>
      <c r="AY229" s="61" t="str">
        <f aca="false">SUBSTITUTE(SUBSTITUTE(SUBSTITUTE(SUBSTITUTE(SUBSTITUTE(SUBSTITUTE(SUBSTITUTE(SUBSTITUTE(SUBSTITUTE(SUBSTITUTE(SUBSTITUTE(SUBSTITUTE(SUBSTITUTE(LOWER(W229&amp;""),CHAR(160),"")," ",""),".",""),"-",""),"/",""),"?",""),"_",""),",",""),"[",""),"]",""),"(",""),")",""),"*","")</f>
        <v/>
      </c>
      <c r="AZ229" s="61" t="str">
        <f aca="false">SUBSTITUTE(SUBSTITUTE(SUBSTITUTE(SUBSTITUTE(SUBSTITUTE(SUBSTITUTE(SUBSTITUTE(SUBSTITUTE(SUBSTITUTE(SUBSTITUTE(SUBSTITUTE(SUBSTITUTE(SUBSTITUTE(LOWER(AC229&amp;""),CHAR(160),"")," ",""),".",""),"-",""),"/",""),"?",""),"_",""),",",""),"[",""),"]",""),"(",""),")",""),"*","")</f>
        <v/>
      </c>
      <c r="BA229" s="61" t="str">
        <f aca="false">SUBSTITUTE(SUBSTITUTE(SUBSTITUTE(SUBSTITUTE(SUBSTITUTE(SUBSTITUTE(SUBSTITUTE(SUBSTITUTE(SUBSTITUTE(SUBSTITUTE(SUBSTITUTE(SUBSTITUTE(SUBSTITUTE(LOWER(AA229&amp;""),CHAR(160),"")," ",""),".",""),"-",""),"/",""),"?",""),"_",""),",",""),"[",""),"]",""),"(",""),")",""),"*","")</f>
        <v/>
      </c>
      <c r="BB229" s="61" t="str">
        <f aca="false">IF(AND(TRIM(U229)="Pass",ISNUMBER(AF229)),IF(AF229&lt;&gt;0,"INVALID – qty variance: use Fail or Pass after CA",""),"")&amp;IF(AND(TRIM(U229)="Pass after CA",ISNUMBER(AF229)),IF(AF229&lt;&gt;0,"INVALID – after the corrective action the actual qty must equal expected (update Actual)",""),"")&amp;IF(AND(TRIM(U229)="Pass",TRIM(AB229)&lt;&gt;"",TRIM(AB229)&lt;&gt;"Closed"),"INVALID – corrective action not closed: use Fail, then Pass after CA","")&amp;IF(AND(TRIM(AA229)&lt;&gt;"",TRIM(AB229)=""),"INVALID – CA status missing for the recorded corrective action","")&amp;IF(AND(TRIM(U229)="Pass after CA",OR(OR(LEN(BA229)&lt;5,ISNUMBER(MATCH(BA229,L_Placeholder,0))),TRIM(AB229)&lt;&gt;"Closed")),"INVALID – corrective action not recorded/closed","")</f>
        <v/>
      </c>
    </row>
    <row r="230" customFormat="false" ht="39.75" hidden="false" customHeight="true" outlineLevel="0" collapsed="false">
      <c r="A230" s="57" t="s">
        <v>772</v>
      </c>
      <c r="B230" s="57" t="s">
        <v>232</v>
      </c>
      <c r="C230" s="57" t="str">
        <f aca="false">Flights!$F$11</f>
        <v>MH0003</v>
      </c>
      <c r="D230" s="58" t="n">
        <f aca="false">Flights!$D$11</f>
        <v>46304</v>
      </c>
      <c r="E230" s="57" t="str">
        <f aca="false">Flights!$G$11&amp;"-"&amp;Flights!$H$11</f>
        <v>LHR-KUL</v>
      </c>
      <c r="F230" s="57" t="str">
        <f aca="false">Flights!$K$11</f>
        <v>BC</v>
      </c>
      <c r="G230" s="57" t="s">
        <v>398</v>
      </c>
      <c r="H230" s="57" t="s">
        <v>356</v>
      </c>
      <c r="I230" s="57" t="s">
        <v>406</v>
      </c>
      <c r="J230" s="57" t="s">
        <v>416</v>
      </c>
      <c r="K230" s="67"/>
      <c r="L230" s="67" t="s">
        <v>400</v>
      </c>
      <c r="M230" s="67"/>
      <c r="N230" s="67" t="s">
        <v>361</v>
      </c>
      <c r="O230" s="67" t="s">
        <v>401</v>
      </c>
      <c r="P230" s="57" t="s">
        <v>183</v>
      </c>
      <c r="Q230" s="59" t="n">
        <f aca="false">ROUND((Flights!$AE$11)*1440,0)/1440</f>
        <v>46303.9166666667</v>
      </c>
      <c r="R230" s="59" t="n">
        <f aca="false">Q230+(IF(AND(INDEX(TZ_DSTS,MATCH(P230,TZ_STN,0))&lt;&gt;"",Q230&gt;=INDEX(TZ_DSTS,MATCH(P230,TZ_STN,0)),Q230&lt;INDEX(TZ_DSTE,MATCH(P230,TZ_STN,0))),INDEX(TZ_DST,MATCH(P230,TZ_STN,0)),INDEX(TZ_STD,MATCH(P230,TZ_STN,0))))/24</f>
        <v>46303.9583333333</v>
      </c>
      <c r="S230" s="59" t="n">
        <f aca="false">Q230-T12EarlyH/24</f>
        <v>46303.4166666667</v>
      </c>
      <c r="T230" s="60"/>
      <c r="U230" s="60"/>
      <c r="V230" s="60"/>
      <c r="W230" s="61"/>
      <c r="X230" s="60"/>
      <c r="Y230" s="60"/>
      <c r="Z230" s="60"/>
      <c r="AA230" s="60"/>
      <c r="AB230" s="60"/>
      <c r="AC230" s="60"/>
      <c r="AD230" s="66"/>
      <c r="AE230" s="60"/>
      <c r="AF230" s="61" t="str">
        <f aca="false">IF(AND(ISNUMBER(X230),ISNUMBER(Y230)),Y230-X230,"")</f>
        <v/>
      </c>
      <c r="AG230" s="62" t="str">
        <f aca="false">IF(ISNUMBER(AD230),AD230-(IF(AND(INDEX(TZ_DSTS,MATCH(P230,TZ_STN,0))&lt;&gt;"",(AD230-INDEX(TZ_STD,MATCH(P230,TZ_STN,0))/24)&gt;=INDEX(TZ_DSTS,MATCH(P230,TZ_STN,0)),(AD230-INDEX(TZ_STD,MATCH(P230,TZ_STN,0))/24)&lt;INDEX(TZ_DSTE,MATCH(P230,TZ_STN,0))),INDEX(TZ_DST,MATCH(P230,TZ_STN,0)),INDEX(TZ_STD,MATCH(P230,TZ_STN,0))))/24,"")</f>
        <v/>
      </c>
      <c r="AH230" s="65" t="str">
        <f aca="false">IFERROR(IF(N230="N/A – rule","N/A – RULE",IF(TRIM(U230)="N/A",IF(AT230=0,"INVALID – N/A not permitted for this check",IF(AND(TRIM(AB230)&lt;&gt;"",TRIM(AB230)&lt;&gt;"Closed"),"INVALID – corrective action still open",IF(AND(NOT(OR(LEN(AZ230)&lt;15,ISNUMBER(MATCH(AZ230,L_Placeholder,0)))),NOT(OR(LEN(AU230)&lt;2,ISNUMBER(MATCH(AU230,L_Placeholder,0)))),NOT(OR(LEN(AX230)&lt;2,ISNUMBER(MATCH(AX230,L_Placeholder,0)))),TRIM(AE230)&lt;&gt;TRIM(T230)),"N/A – JUSTIFIED","INVALID – N/A needs a real justification (15+ chars), PIC and a different verifier"))),IF(OR(TRIM(U230)="Pass",TRIM(U230)="Pass after CA"),IF(NOT(ISNUMBER(AD230)),"INVALID – completion time missing",IF(OR(LEN(AU230)&lt;2,ISNUMBER(MATCH(AU230,L_Placeholder,0))),"INVALID – PIC missing",IF(OR(LEN(AV230)&lt;2,ISNUMBER(MATCH(AV230,L_Placeholder,0))),"INVALID – result / assessment missing",IF(OR(OR(LEN(AW230)&lt;3,ISNUMBER(MATCH(AW230,L_Placeholder,0))),SUMPRODUCT(--ISNUMBER(SEARCH(L_EvidencePhrase,AW230)))&gt;0),"INVALID – evidence missing, placeholder or not yet on file",IF(OR(LEN(AX230)&lt;2,ISNUMBER(MATCH(AX230,L_Placeholder,0))),"INVALID – verifier missing",IF(AX230=AU230,"INVALID – verifier must be someone other than the PIC",IF(AND(TRIM(U230)="Pass",SUMPRODUCT(--ISNUMBER(SEARCH(L_ResultBad,AV230)))&gt;0),"INVALID – result describes a problem: use Fail, then Pass after CA",IF(AND(AQ230=1,OR(LEN(AY230)&lt;3,ISNUMBER(MATCH(AY230,L_Placeholder,0)))),"INVALID – batch ID missing or placeholder",IF(AND(AR230=1,OR(NOT(ISNUMBER(X230)),NOT(ISNUMBER(Y230)))),"INVALID – expected/actual qty missing",IF(AND(AR230=1,OR(X230&lt;=0,Y230&lt;0)),"INVALID – expected qty must be above 0 and actual not negative",IF(BB230&lt;&gt;"",BB230,IF(AND(AS230=1,Documents!$J$11&lt;&gt;"ON FILE"),"INVALID – GLD not on file (Documents sheet)",IF(AND(AS230=2,Documents!$O$11&lt;&gt;"ON FILE"),"INVALID – menu checklist not on file (Documents sheet)",IF(AND(AS230=3,NOT(ISNUMBER(Flights!$AX$11))),"INVALID – enter carrying flight KUL departure (Flights AX)",IF(AND(AS230=3,OR(Flights!$AZ$11&gt;Flights!$AA$11,Flights!$AX$11&lt;Flights!$AA$11-3)),"INVALID – carrying flight (Flights AX) cannot arrive before this leg's STD, or is over 3 days early",IF(AG230&gt;AsOfUTC,"INVALID – completion time is in the future",IF(AND(ISNUMBER(S230),AG230&lt;S230),IF(H230="Physical uplift","INVALID – before uplift window (cannot confirm loading)","INVALID – before valid window"),IF(AG230&gt;Flights!$AA$11,"INVALID – completed after departure (cannot establish readiness)",IF(AND(H230="Preparation",AG230&gt;IF(ISNUMBER(Flights!$BA$11),MIN(Flights!$BA$11,Flights!$AA$11),Flights!$AA$11)),"INVALID – completed after loading / departure (cannot establish readiness)",IF(AND(H230="Physical uplift",AG230&gt;Q230),"INVALID – recorded after the loading flight departed",IF(AG230&gt;Q230,"COMPLETE – LATE","COMPLETE"))))))))))))))))))))),IF(TRIM(U230)="Fail","FAIL – DISCREPANCY",IF(AND(TRIM(U230)&lt;&gt;"",TRIM(U230)&lt;&gt;"Not started",TRIM(U230)&lt;&gt;"In progress"),"INVALID – unrecognised status (use the list)",IF(AsOfUTC&gt;Q230,"OVERDUE",IF(N230="Clarification required","OPEN – CLARIFICATION","OPEN"))))))),"INVALID – error value in an input cell")</f>
        <v>OPEN</v>
      </c>
      <c r="AI230" s="61" t="n">
        <f aca="false">IF(OR(AH230="N/A – RULE",AH230="N/A – JUSTIFIED"),0,1)</f>
        <v>1</v>
      </c>
      <c r="AJ230" s="61" t="n">
        <f aca="false">IF(LEFT(AH230,8)="COMPLETE",1,0)</f>
        <v>0</v>
      </c>
      <c r="AK230" s="61" t="n">
        <f aca="false">IF(AND(AI230=1,AJ230=0,AsOfUTC&gt;Q230),1,0)</f>
        <v>0</v>
      </c>
      <c r="AL230" s="61" t="n">
        <f aca="false">IFERROR(IF(AND(AI230=1,OR(TRIM(U230)="Fail",AND(TRIM(AB230)&lt;&gt;"",TRIM(AB230)&lt;&gt;"Closed"),AND(ISNUMBER(AF230),AF230&lt;&gt;0,TRIM(U230)&lt;&gt;"Pass after CA"))),1,0),1)</f>
        <v>0</v>
      </c>
      <c r="AM230" s="61" t="n">
        <f aca="false">IF(LEFT(AH230,7)="INVALID",1,0)</f>
        <v>0</v>
      </c>
      <c r="AN230" s="61" t="n">
        <f aca="false">IF(AND(N230="Clarification required",AI230=1,AJ230=0),1,0)</f>
        <v>0</v>
      </c>
      <c r="AO230" s="61" t="str">
        <f aca="false">IF(AK230=1,SUM(AK$5:AK230),"")</f>
        <v/>
      </c>
      <c r="AP230" s="61" t="str">
        <f aca="false">IF(AL230=1,SUM(AL$5:AL230),"")</f>
        <v/>
      </c>
      <c r="AQ230" s="61" t="n">
        <v>0</v>
      </c>
      <c r="AR230" s="61" t="n">
        <v>0</v>
      </c>
      <c r="AS230" s="61" t="n">
        <v>0</v>
      </c>
      <c r="AT230" s="61" t="n">
        <v>0</v>
      </c>
      <c r="AU230" s="61" t="str">
        <f aca="false">SUBSTITUTE(SUBSTITUTE(SUBSTITUTE(SUBSTITUTE(SUBSTITUTE(SUBSTITUTE(SUBSTITUTE(SUBSTITUTE(SUBSTITUTE(SUBSTITUTE(SUBSTITUTE(SUBSTITUTE(SUBSTITUTE(LOWER(T230&amp;""),CHAR(160),"")," ",""),".",""),"-",""),"/",""),"?",""),"_",""),",",""),"[",""),"]",""),"(",""),")",""),"*","")</f>
        <v/>
      </c>
      <c r="AV230" s="61" t="str">
        <f aca="false">SUBSTITUTE(SUBSTITUTE(SUBSTITUTE(SUBSTITUTE(SUBSTITUTE(SUBSTITUTE(SUBSTITUTE(SUBSTITUTE(SUBSTITUTE(SUBSTITUTE(SUBSTITUTE(SUBSTITUTE(SUBSTITUTE(LOWER(V230&amp;""),CHAR(160),"")," ",""),".",""),"-",""),"/",""),"?",""),"_",""),",",""),"[",""),"]",""),"(",""),")",""),"*","")</f>
        <v/>
      </c>
      <c r="AW230" s="61" t="str">
        <f aca="false">SUBSTITUTE(SUBSTITUTE(SUBSTITUTE(SUBSTITUTE(SUBSTITUTE(SUBSTITUTE(SUBSTITUTE(SUBSTITUTE(SUBSTITUTE(SUBSTITUTE(SUBSTITUTE(SUBSTITUTE(SUBSTITUTE(LOWER(Z230&amp;""),CHAR(160),"")," ",""),".",""),"-",""),"/",""),"?",""),"_",""),",",""),"[",""),"]",""),"(",""),")",""),"*","")</f>
        <v/>
      </c>
      <c r="AX230" s="61" t="str">
        <f aca="false">SUBSTITUTE(SUBSTITUTE(SUBSTITUTE(SUBSTITUTE(SUBSTITUTE(SUBSTITUTE(SUBSTITUTE(SUBSTITUTE(SUBSTITUTE(SUBSTITUTE(SUBSTITUTE(SUBSTITUTE(SUBSTITUTE(LOWER(AE230&amp;""),CHAR(160),"")," ",""),".",""),"-",""),"/",""),"?",""),"_",""),",",""),"[",""),"]",""),"(",""),")",""),"*","")</f>
        <v/>
      </c>
      <c r="AY230" s="61" t="str">
        <f aca="false">SUBSTITUTE(SUBSTITUTE(SUBSTITUTE(SUBSTITUTE(SUBSTITUTE(SUBSTITUTE(SUBSTITUTE(SUBSTITUTE(SUBSTITUTE(SUBSTITUTE(SUBSTITUTE(SUBSTITUTE(SUBSTITUTE(LOWER(W230&amp;""),CHAR(160),"")," ",""),".",""),"-",""),"/",""),"?",""),"_",""),",",""),"[",""),"]",""),"(",""),")",""),"*","")</f>
        <v/>
      </c>
      <c r="AZ230" s="61" t="str">
        <f aca="false">SUBSTITUTE(SUBSTITUTE(SUBSTITUTE(SUBSTITUTE(SUBSTITUTE(SUBSTITUTE(SUBSTITUTE(SUBSTITUTE(SUBSTITUTE(SUBSTITUTE(SUBSTITUTE(SUBSTITUTE(SUBSTITUTE(LOWER(AC230&amp;""),CHAR(160),"")," ",""),".",""),"-",""),"/",""),"?",""),"_",""),",",""),"[",""),"]",""),"(",""),")",""),"*","")</f>
        <v/>
      </c>
      <c r="BA230" s="61" t="str">
        <f aca="false">SUBSTITUTE(SUBSTITUTE(SUBSTITUTE(SUBSTITUTE(SUBSTITUTE(SUBSTITUTE(SUBSTITUTE(SUBSTITUTE(SUBSTITUTE(SUBSTITUTE(SUBSTITUTE(SUBSTITUTE(SUBSTITUTE(LOWER(AA230&amp;""),CHAR(160),"")," ",""),".",""),"-",""),"/",""),"?",""),"_",""),",",""),"[",""),"]",""),"(",""),")",""),"*","")</f>
        <v/>
      </c>
      <c r="BB230" s="61" t="str">
        <f aca="false">IF(AND(TRIM(U230)="Pass",ISNUMBER(AF230)),IF(AF230&lt;&gt;0,"INVALID – qty variance: use Fail or Pass after CA",""),"")&amp;IF(AND(TRIM(U230)="Pass after CA",ISNUMBER(AF230)),IF(AF230&lt;&gt;0,"INVALID – after the corrective action the actual qty must equal expected (update Actual)",""),"")&amp;IF(AND(TRIM(U230)="Pass",TRIM(AB230)&lt;&gt;"",TRIM(AB230)&lt;&gt;"Closed"),"INVALID – corrective action not closed: use Fail, then Pass after CA","")&amp;IF(AND(TRIM(AA230)&lt;&gt;"",TRIM(AB230)=""),"INVALID – CA status missing for the recorded corrective action","")&amp;IF(AND(TRIM(U230)="Pass after CA",OR(OR(LEN(BA230)&lt;5,ISNUMBER(MATCH(BA230,L_Placeholder,0))),TRIM(AB230)&lt;&gt;"Closed")),"INVALID – corrective action not recorded/closed","")</f>
        <v/>
      </c>
    </row>
    <row r="231" customFormat="false" ht="39.75" hidden="false" customHeight="true" outlineLevel="0" collapsed="false">
      <c r="A231" s="57" t="s">
        <v>773</v>
      </c>
      <c r="B231" s="57" t="s">
        <v>232</v>
      </c>
      <c r="C231" s="57" t="str">
        <f aca="false">Flights!$F$11</f>
        <v>MH0003</v>
      </c>
      <c r="D231" s="58" t="n">
        <f aca="false">Flights!$D$11</f>
        <v>46304</v>
      </c>
      <c r="E231" s="57" t="str">
        <f aca="false">Flights!$G$11&amp;"-"&amp;Flights!$H$11</f>
        <v>LHR-KUL</v>
      </c>
      <c r="F231" s="57" t="str">
        <f aca="false">Flights!$K$11</f>
        <v>BC</v>
      </c>
      <c r="G231" s="57" t="s">
        <v>398</v>
      </c>
      <c r="H231" s="57" t="s">
        <v>356</v>
      </c>
      <c r="I231" s="57" t="s">
        <v>418</v>
      </c>
      <c r="J231" s="57" t="s">
        <v>419</v>
      </c>
      <c r="K231" s="67" t="s">
        <v>479</v>
      </c>
      <c r="L231" s="67" t="s">
        <v>421</v>
      </c>
      <c r="M231" s="67" t="s">
        <v>183</v>
      </c>
      <c r="N231" s="67" t="s">
        <v>361</v>
      </c>
      <c r="O231" s="67"/>
      <c r="P231" s="57" t="s">
        <v>183</v>
      </c>
      <c r="Q231" s="59" t="n">
        <f aca="false">ROUND((Flights!$AE$11)*1440,0)/1440</f>
        <v>46303.9166666667</v>
      </c>
      <c r="R231" s="59" t="n">
        <f aca="false">Q231+(IF(AND(INDEX(TZ_DSTS,MATCH(P231,TZ_STN,0))&lt;&gt;"",Q231&gt;=INDEX(TZ_DSTS,MATCH(P231,TZ_STN,0)),Q231&lt;INDEX(TZ_DSTE,MATCH(P231,TZ_STN,0))),INDEX(TZ_DST,MATCH(P231,TZ_STN,0)),INDEX(TZ_STD,MATCH(P231,TZ_STN,0))))/24</f>
        <v>46303.9583333333</v>
      </c>
      <c r="S231" s="59" t="n">
        <f aca="false">Q231-T12EarlyH/24</f>
        <v>46303.4166666667</v>
      </c>
      <c r="T231" s="60"/>
      <c r="U231" s="60"/>
      <c r="V231" s="60"/>
      <c r="W231" s="61"/>
      <c r="X231" s="60"/>
      <c r="Y231" s="60"/>
      <c r="Z231" s="60"/>
      <c r="AA231" s="60"/>
      <c r="AB231" s="60"/>
      <c r="AC231" s="60"/>
      <c r="AD231" s="66"/>
      <c r="AE231" s="60"/>
      <c r="AF231" s="61" t="str">
        <f aca="false">IF(AND(ISNUMBER(X231),ISNUMBER(Y231)),Y231-X231,"")</f>
        <v/>
      </c>
      <c r="AG231" s="62" t="str">
        <f aca="false">IF(ISNUMBER(AD231),AD231-(IF(AND(INDEX(TZ_DSTS,MATCH(P231,TZ_STN,0))&lt;&gt;"",(AD231-INDEX(TZ_STD,MATCH(P231,TZ_STN,0))/24)&gt;=INDEX(TZ_DSTS,MATCH(P231,TZ_STN,0)),(AD231-INDEX(TZ_STD,MATCH(P231,TZ_STN,0))/24)&lt;INDEX(TZ_DSTE,MATCH(P231,TZ_STN,0))),INDEX(TZ_DST,MATCH(P231,TZ_STN,0)),INDEX(TZ_STD,MATCH(P231,TZ_STN,0))))/24,"")</f>
        <v/>
      </c>
      <c r="AH231" s="65" t="str">
        <f aca="false">IFERROR(IF(N231="N/A – rule","N/A – RULE",IF(TRIM(U231)="N/A",IF(AT231=0,"INVALID – N/A not permitted for this check",IF(AND(TRIM(AB231)&lt;&gt;"",TRIM(AB231)&lt;&gt;"Closed"),"INVALID – corrective action still open",IF(AND(NOT(OR(LEN(AZ231)&lt;15,ISNUMBER(MATCH(AZ231,L_Placeholder,0)))),NOT(OR(LEN(AU231)&lt;2,ISNUMBER(MATCH(AU231,L_Placeholder,0)))),NOT(OR(LEN(AX231)&lt;2,ISNUMBER(MATCH(AX231,L_Placeholder,0)))),TRIM(AE231)&lt;&gt;TRIM(T231)),"N/A – JUSTIFIED","INVALID – N/A needs a real justification (15+ chars), PIC and a different verifier"))),IF(OR(TRIM(U231)="Pass",TRIM(U231)="Pass after CA"),IF(NOT(ISNUMBER(AD231)),"INVALID – completion time missing",IF(OR(LEN(AU231)&lt;2,ISNUMBER(MATCH(AU231,L_Placeholder,0))),"INVALID – PIC missing",IF(OR(LEN(AV231)&lt;2,ISNUMBER(MATCH(AV231,L_Placeholder,0))),"INVALID – result / assessment missing",IF(OR(OR(LEN(AW231)&lt;3,ISNUMBER(MATCH(AW231,L_Placeholder,0))),SUMPRODUCT(--ISNUMBER(SEARCH(L_EvidencePhrase,AW231)))&gt;0),"INVALID – evidence missing, placeholder or not yet on file",IF(OR(LEN(AX231)&lt;2,ISNUMBER(MATCH(AX231,L_Placeholder,0))),"INVALID – verifier missing",IF(AX231=AU231,"INVALID – verifier must be someone other than the PIC",IF(AND(TRIM(U231)="Pass",SUMPRODUCT(--ISNUMBER(SEARCH(L_ResultBad,AV231)))&gt;0),"INVALID – result describes a problem: use Fail, then Pass after CA",IF(AND(AQ231=1,OR(LEN(AY231)&lt;3,ISNUMBER(MATCH(AY231,L_Placeholder,0)))),"INVALID – batch ID missing or placeholder",IF(AND(AR231=1,OR(NOT(ISNUMBER(X231)),NOT(ISNUMBER(Y231)))),"INVALID – expected/actual qty missing",IF(AND(AR231=1,OR(X231&lt;=0,Y231&lt;0)),"INVALID – expected qty must be above 0 and actual not negative",IF(BB231&lt;&gt;"",BB231,IF(AND(AS231=1,Documents!$J$11&lt;&gt;"ON FILE"),"INVALID – GLD not on file (Documents sheet)",IF(AND(AS231=2,Documents!$O$11&lt;&gt;"ON FILE"),"INVALID – menu checklist not on file (Documents sheet)",IF(AND(AS231=3,NOT(ISNUMBER(Flights!$AX$11))),"INVALID – enter carrying flight KUL departure (Flights AX)",IF(AND(AS231=3,OR(Flights!$AZ$11&gt;Flights!$AA$11,Flights!$AX$11&lt;Flights!$AA$11-3)),"INVALID – carrying flight (Flights AX) cannot arrive before this leg's STD, or is over 3 days early",IF(AG231&gt;AsOfUTC,"INVALID – completion time is in the future",IF(AND(ISNUMBER(S231),AG231&lt;S231),IF(H231="Physical uplift","INVALID – before uplift window (cannot confirm loading)","INVALID – before valid window"),IF(AG231&gt;Flights!$AA$11,"INVALID – completed after departure (cannot establish readiness)",IF(AND(H231="Preparation",AG231&gt;IF(ISNUMBER(Flights!$BA$11),MIN(Flights!$BA$11,Flights!$AA$11),Flights!$AA$11)),"INVALID – completed after loading / departure (cannot establish readiness)",IF(AND(H231="Physical uplift",AG231&gt;Q231),"INVALID – recorded after the loading flight departed",IF(AG231&gt;Q231,"COMPLETE – LATE","COMPLETE"))))))))))))))))))))),IF(TRIM(U231)="Fail","FAIL – DISCREPANCY",IF(AND(TRIM(U231)&lt;&gt;"",TRIM(U231)&lt;&gt;"Not started",TRIM(U231)&lt;&gt;"In progress"),"INVALID – unrecognised status (use the list)",IF(AsOfUTC&gt;Q231,"OVERDUE",IF(N231="Clarification required","OPEN – CLARIFICATION","OPEN"))))))),"INVALID – error value in an input cell")</f>
        <v>OPEN</v>
      </c>
      <c r="AI231" s="61" t="n">
        <f aca="false">IF(OR(AH231="N/A – RULE",AH231="N/A – JUSTIFIED"),0,1)</f>
        <v>1</v>
      </c>
      <c r="AJ231" s="61" t="n">
        <f aca="false">IF(LEFT(AH231,8)="COMPLETE",1,0)</f>
        <v>0</v>
      </c>
      <c r="AK231" s="61" t="n">
        <f aca="false">IF(AND(AI231=1,AJ231=0,AsOfUTC&gt;Q231),1,0)</f>
        <v>0</v>
      </c>
      <c r="AL231" s="61" t="n">
        <f aca="false">IFERROR(IF(AND(AI231=1,OR(TRIM(U231)="Fail",AND(TRIM(AB231)&lt;&gt;"",TRIM(AB231)&lt;&gt;"Closed"),AND(ISNUMBER(AF231),AF231&lt;&gt;0,TRIM(U231)&lt;&gt;"Pass after CA"))),1,0),1)</f>
        <v>0</v>
      </c>
      <c r="AM231" s="61" t="n">
        <f aca="false">IF(LEFT(AH231,7)="INVALID",1,0)</f>
        <v>0</v>
      </c>
      <c r="AN231" s="61" t="n">
        <f aca="false">IF(AND(N231="Clarification required",AI231=1,AJ231=0),1,0)</f>
        <v>0</v>
      </c>
      <c r="AO231" s="61" t="str">
        <f aca="false">IF(AK231=1,SUM(AK$5:AK231),"")</f>
        <v/>
      </c>
      <c r="AP231" s="61" t="str">
        <f aca="false">IF(AL231=1,SUM(AL$5:AL231),"")</f>
        <v/>
      </c>
      <c r="AQ231" s="61" t="n">
        <v>0</v>
      </c>
      <c r="AR231" s="61" t="n">
        <v>0</v>
      </c>
      <c r="AS231" s="61" t="n">
        <v>0</v>
      </c>
      <c r="AT231" s="61" t="n">
        <v>0</v>
      </c>
      <c r="AU231" s="61" t="str">
        <f aca="false">SUBSTITUTE(SUBSTITUTE(SUBSTITUTE(SUBSTITUTE(SUBSTITUTE(SUBSTITUTE(SUBSTITUTE(SUBSTITUTE(SUBSTITUTE(SUBSTITUTE(SUBSTITUTE(SUBSTITUTE(SUBSTITUTE(LOWER(T231&amp;""),CHAR(160),"")," ",""),".",""),"-",""),"/",""),"?",""),"_",""),",",""),"[",""),"]",""),"(",""),")",""),"*","")</f>
        <v/>
      </c>
      <c r="AV231" s="61" t="str">
        <f aca="false">SUBSTITUTE(SUBSTITUTE(SUBSTITUTE(SUBSTITUTE(SUBSTITUTE(SUBSTITUTE(SUBSTITUTE(SUBSTITUTE(SUBSTITUTE(SUBSTITUTE(SUBSTITUTE(SUBSTITUTE(SUBSTITUTE(LOWER(V231&amp;""),CHAR(160),"")," ",""),".",""),"-",""),"/",""),"?",""),"_",""),",",""),"[",""),"]",""),"(",""),")",""),"*","")</f>
        <v/>
      </c>
      <c r="AW231" s="61" t="str">
        <f aca="false">SUBSTITUTE(SUBSTITUTE(SUBSTITUTE(SUBSTITUTE(SUBSTITUTE(SUBSTITUTE(SUBSTITUTE(SUBSTITUTE(SUBSTITUTE(SUBSTITUTE(SUBSTITUTE(SUBSTITUTE(SUBSTITUTE(LOWER(Z231&amp;""),CHAR(160),"")," ",""),".",""),"-",""),"/",""),"?",""),"_",""),",",""),"[",""),"]",""),"(",""),")",""),"*","")</f>
        <v/>
      </c>
      <c r="AX231" s="61" t="str">
        <f aca="false">SUBSTITUTE(SUBSTITUTE(SUBSTITUTE(SUBSTITUTE(SUBSTITUTE(SUBSTITUTE(SUBSTITUTE(SUBSTITUTE(SUBSTITUTE(SUBSTITUTE(SUBSTITUTE(SUBSTITUTE(SUBSTITUTE(LOWER(AE231&amp;""),CHAR(160),"")," ",""),".",""),"-",""),"/",""),"?",""),"_",""),",",""),"[",""),"]",""),"(",""),")",""),"*","")</f>
        <v/>
      </c>
      <c r="AY231" s="61" t="str">
        <f aca="false">SUBSTITUTE(SUBSTITUTE(SUBSTITUTE(SUBSTITUTE(SUBSTITUTE(SUBSTITUTE(SUBSTITUTE(SUBSTITUTE(SUBSTITUTE(SUBSTITUTE(SUBSTITUTE(SUBSTITUTE(SUBSTITUTE(LOWER(W231&amp;""),CHAR(160),"")," ",""),".",""),"-",""),"/",""),"?",""),"_",""),",",""),"[",""),"]",""),"(",""),")",""),"*","")</f>
        <v/>
      </c>
      <c r="AZ231" s="61" t="str">
        <f aca="false">SUBSTITUTE(SUBSTITUTE(SUBSTITUTE(SUBSTITUTE(SUBSTITUTE(SUBSTITUTE(SUBSTITUTE(SUBSTITUTE(SUBSTITUTE(SUBSTITUTE(SUBSTITUTE(SUBSTITUTE(SUBSTITUTE(LOWER(AC231&amp;""),CHAR(160),"")," ",""),".",""),"-",""),"/",""),"?",""),"_",""),",",""),"[",""),"]",""),"(",""),")",""),"*","")</f>
        <v/>
      </c>
      <c r="BA231" s="61" t="str">
        <f aca="false">SUBSTITUTE(SUBSTITUTE(SUBSTITUTE(SUBSTITUTE(SUBSTITUTE(SUBSTITUTE(SUBSTITUTE(SUBSTITUTE(SUBSTITUTE(SUBSTITUTE(SUBSTITUTE(SUBSTITUTE(SUBSTITUTE(LOWER(AA231&amp;""),CHAR(160),"")," ",""),".",""),"-",""),"/",""),"?",""),"_",""),",",""),"[",""),"]",""),"(",""),")",""),"*","")</f>
        <v/>
      </c>
      <c r="BB231" s="61" t="str">
        <f aca="false">IF(AND(TRIM(U231)="Pass",ISNUMBER(AF231)),IF(AF231&lt;&gt;0,"INVALID – qty variance: use Fail or Pass after CA",""),"")&amp;IF(AND(TRIM(U231)="Pass after CA",ISNUMBER(AF231)),IF(AF231&lt;&gt;0,"INVALID – after the corrective action the actual qty must equal expected (update Actual)",""),"")&amp;IF(AND(TRIM(U231)="Pass",TRIM(AB231)&lt;&gt;"",TRIM(AB231)&lt;&gt;"Closed"),"INVALID – corrective action not closed: use Fail, then Pass after CA","")&amp;IF(AND(TRIM(AA231)&lt;&gt;"",TRIM(AB231)=""),"INVALID – CA status missing for the recorded corrective action","")&amp;IF(AND(TRIM(U231)="Pass after CA",OR(OR(LEN(BA231)&lt;5,ISNUMBER(MATCH(BA231,L_Placeholder,0))),TRIM(AB231)&lt;&gt;"Closed")),"INVALID – corrective action not recorded/closed","")</f>
        <v/>
      </c>
    </row>
    <row r="232" customFormat="false" ht="78.75" hidden="false" customHeight="true" outlineLevel="0" collapsed="false">
      <c r="A232" s="57" t="s">
        <v>774</v>
      </c>
      <c r="B232" s="57" t="s">
        <v>232</v>
      </c>
      <c r="C232" s="57" t="str">
        <f aca="false">Flights!$F$11</f>
        <v>MH0003</v>
      </c>
      <c r="D232" s="58" t="n">
        <f aca="false">Flights!$D$11</f>
        <v>46304</v>
      </c>
      <c r="E232" s="57" t="str">
        <f aca="false">Flights!$G$11&amp;"-"&amp;Flights!$H$11</f>
        <v>LHR-KUL</v>
      </c>
      <c r="F232" s="57" t="str">
        <f aca="false">Flights!$K$11</f>
        <v>BC</v>
      </c>
      <c r="G232" s="57" t="s">
        <v>398</v>
      </c>
      <c r="H232" s="57" t="s">
        <v>356</v>
      </c>
      <c r="I232" s="57" t="s">
        <v>418</v>
      </c>
      <c r="J232" s="57" t="s">
        <v>707</v>
      </c>
      <c r="K232" s="67" t="s">
        <v>708</v>
      </c>
      <c r="L232" s="67" t="s">
        <v>709</v>
      </c>
      <c r="M232" s="67" t="s">
        <v>184</v>
      </c>
      <c r="N232" s="67" t="s">
        <v>422</v>
      </c>
      <c r="O232" s="67" t="s">
        <v>775</v>
      </c>
      <c r="P232" s="57" t="s">
        <v>184</v>
      </c>
      <c r="Q232" s="59" t="n">
        <f aca="false">ROUND((MIN(Flights!$AE$11,Flights!$AY$11))*1440,0)/1440</f>
        <v>46303.6006944444</v>
      </c>
      <c r="R232" s="59" t="n">
        <f aca="false">Q232+(IF(AND(INDEX(TZ_DSTS,MATCH(P232,TZ_STN,0))&lt;&gt;"",Q232&gt;=INDEX(TZ_DSTS,MATCH(P232,TZ_STN,0)),Q232&lt;INDEX(TZ_DSTE,MATCH(P232,TZ_STN,0))),INDEX(TZ_DST,MATCH(P232,TZ_STN,0)),INDEX(TZ_STD,MATCH(P232,TZ_STN,0))))/24</f>
        <v>46303.9340277778</v>
      </c>
      <c r="S232" s="59" t="n">
        <f aca="false">Q232-T12EarlyH/24</f>
        <v>46303.1006944444</v>
      </c>
      <c r="T232" s="60"/>
      <c r="U232" s="60"/>
      <c r="V232" s="60"/>
      <c r="W232" s="61"/>
      <c r="X232" s="60"/>
      <c r="Y232" s="60"/>
      <c r="Z232" s="60"/>
      <c r="AA232" s="60"/>
      <c r="AB232" s="60"/>
      <c r="AC232" s="60"/>
      <c r="AD232" s="66"/>
      <c r="AE232" s="60"/>
      <c r="AF232" s="61" t="str">
        <f aca="false">IF(AND(ISNUMBER(X232),ISNUMBER(Y232)),Y232-X232,"")</f>
        <v/>
      </c>
      <c r="AG232" s="62" t="str">
        <f aca="false">IF(ISNUMBER(AD232),AD232-(IF(AND(INDEX(TZ_DSTS,MATCH(P232,TZ_STN,0))&lt;&gt;"",(AD232-INDEX(TZ_STD,MATCH(P232,TZ_STN,0))/24)&gt;=INDEX(TZ_DSTS,MATCH(P232,TZ_STN,0)),(AD232-INDEX(TZ_STD,MATCH(P232,TZ_STN,0))/24)&lt;INDEX(TZ_DSTE,MATCH(P232,TZ_STN,0))),INDEX(TZ_DST,MATCH(P232,TZ_STN,0)),INDEX(TZ_STD,MATCH(P232,TZ_STN,0))))/24,"")</f>
        <v/>
      </c>
      <c r="AH232" s="65" t="str">
        <f aca="false">IFERROR(IF(N232="N/A – rule","N/A – RULE",IF(TRIM(U232)="N/A",IF(AT232=0,"INVALID – N/A not permitted for this check",IF(AND(TRIM(AB232)&lt;&gt;"",TRIM(AB232)&lt;&gt;"Closed"),"INVALID – corrective action still open",IF(AND(NOT(OR(LEN(AZ232)&lt;15,ISNUMBER(MATCH(AZ232,L_Placeholder,0)))),NOT(OR(LEN(AU232)&lt;2,ISNUMBER(MATCH(AU232,L_Placeholder,0)))),NOT(OR(LEN(AX232)&lt;2,ISNUMBER(MATCH(AX232,L_Placeholder,0)))),TRIM(AE232)&lt;&gt;TRIM(T232)),"N/A – JUSTIFIED","INVALID – N/A needs a real justification (15+ chars), PIC and a different verifier"))),IF(OR(TRIM(U232)="Pass",TRIM(U232)="Pass after CA"),IF(NOT(ISNUMBER(AD232)),"INVALID – completion time missing",IF(OR(LEN(AU232)&lt;2,ISNUMBER(MATCH(AU232,L_Placeholder,0))),"INVALID – PIC missing",IF(OR(LEN(AV232)&lt;2,ISNUMBER(MATCH(AV232,L_Placeholder,0))),"INVALID – result / assessment missing",IF(OR(OR(LEN(AW232)&lt;3,ISNUMBER(MATCH(AW232,L_Placeholder,0))),SUMPRODUCT(--ISNUMBER(SEARCH(L_EvidencePhrase,AW232)))&gt;0),"INVALID – evidence missing, placeholder or not yet on file",IF(OR(LEN(AX232)&lt;2,ISNUMBER(MATCH(AX232,L_Placeholder,0))),"INVALID – verifier missing",IF(AX232=AU232,"INVALID – verifier must be someone other than the PIC",IF(AND(TRIM(U232)="Pass",SUMPRODUCT(--ISNUMBER(SEARCH(L_ResultBad,AV232)))&gt;0),"INVALID – result describes a problem: use Fail, then Pass after CA",IF(AND(AQ232=1,OR(LEN(AY232)&lt;3,ISNUMBER(MATCH(AY232,L_Placeholder,0)))),"INVALID – batch ID missing or placeholder",IF(AND(AR232=1,OR(NOT(ISNUMBER(X232)),NOT(ISNUMBER(Y232)))),"INVALID – expected/actual qty missing",IF(AND(AR232=1,OR(X232&lt;=0,Y232&lt;0)),"INVALID – expected qty must be above 0 and actual not negative",IF(BB232&lt;&gt;"",BB232,IF(AND(AS232=1,Documents!$J$11&lt;&gt;"ON FILE"),"INVALID – GLD not on file (Documents sheet)",IF(AND(AS232=2,Documents!$O$11&lt;&gt;"ON FILE"),"INVALID – menu checklist not on file (Documents sheet)",IF(AND(AS232=3,NOT(ISNUMBER(Flights!$AX$11))),"INVALID – enter carrying flight KUL departure (Flights AX)",IF(AND(AS232=3,OR(Flights!$AZ$11&gt;Flights!$AA$11,Flights!$AX$11&lt;Flights!$AA$11-3)),"INVALID – carrying flight (Flights AX) cannot arrive before this leg's STD, or is over 3 days early",IF(AG232&gt;AsOfUTC,"INVALID – completion time is in the future",IF(AND(ISNUMBER(S232),AG232&lt;S232),IF(H232="Physical uplift","INVALID – before uplift window (cannot confirm loading)","INVALID – before valid window"),IF(AG232&gt;Flights!$AA$11,"INVALID – completed after departure (cannot establish readiness)",IF(AND(H232="Preparation",AG232&gt;Flights!$AY$11+UpliftWindowH/24),"INVALID – completed after the carrying flight left KUL",IF(AND(H232="Physical uplift",AG232&gt;Q232),"INVALID – recorded after the loading flight departed",IF(AG232&gt;Q232,"COMPLETE – LATE","COMPLETE"))))))))))))))))))))),IF(TRIM(U232)="Fail","FAIL – DISCREPANCY",IF(AND(TRIM(U232)&lt;&gt;"",TRIM(U232)&lt;&gt;"Not started",TRIM(U232)&lt;&gt;"In progress"),"INVALID – unrecognised status (use the list)",IF(AsOfUTC&gt;Q232,"OVERDUE",IF(N232="Clarification required","OPEN – CLARIFICATION","OPEN"))))))),"INVALID – error value in an input cell")</f>
        <v>OPEN – CLARIFICATION</v>
      </c>
      <c r="AI232" s="61" t="n">
        <f aca="false">IF(OR(AH232="N/A – RULE",AH232="N/A – JUSTIFIED"),0,1)</f>
        <v>1</v>
      </c>
      <c r="AJ232" s="61" t="n">
        <f aca="false">IF(LEFT(AH232,8)="COMPLETE",1,0)</f>
        <v>0</v>
      </c>
      <c r="AK232" s="61" t="n">
        <f aca="false">IF(AND(AI232=1,AJ232=0,AsOfUTC&gt;Q232),1,0)</f>
        <v>0</v>
      </c>
      <c r="AL232" s="61" t="n">
        <f aca="false">IFERROR(IF(AND(AI232=1,OR(TRIM(U232)="Fail",AND(TRIM(AB232)&lt;&gt;"",TRIM(AB232)&lt;&gt;"Closed"),AND(ISNUMBER(AF232),AF232&lt;&gt;0,TRIM(U232)&lt;&gt;"Pass after CA"))),1,0),1)</f>
        <v>0</v>
      </c>
      <c r="AM232" s="61" t="n">
        <f aca="false">IF(LEFT(AH232,7)="INVALID",1,0)</f>
        <v>0</v>
      </c>
      <c r="AN232" s="61" t="n">
        <f aca="false">IF(AND(N232="Clarification required",AI232=1,AJ232=0),1,0)</f>
        <v>1</v>
      </c>
      <c r="AO232" s="61" t="str">
        <f aca="false">IF(AK232=1,SUM(AK$5:AK232),"")</f>
        <v/>
      </c>
      <c r="AP232" s="61" t="str">
        <f aca="false">IF(AL232=1,SUM(AL$5:AL232),"")</f>
        <v/>
      </c>
      <c r="AQ232" s="61" t="n">
        <v>0</v>
      </c>
      <c r="AR232" s="61" t="n">
        <v>0</v>
      </c>
      <c r="AS232" s="61" t="n">
        <v>0</v>
      </c>
      <c r="AT232" s="61" t="n">
        <v>1</v>
      </c>
      <c r="AU232" s="61" t="str">
        <f aca="false">SUBSTITUTE(SUBSTITUTE(SUBSTITUTE(SUBSTITUTE(SUBSTITUTE(SUBSTITUTE(SUBSTITUTE(SUBSTITUTE(SUBSTITUTE(SUBSTITUTE(SUBSTITUTE(SUBSTITUTE(SUBSTITUTE(LOWER(T232&amp;""),CHAR(160),"")," ",""),".",""),"-",""),"/",""),"?",""),"_",""),",",""),"[",""),"]",""),"(",""),")",""),"*","")</f>
        <v/>
      </c>
      <c r="AV232" s="61" t="str">
        <f aca="false">SUBSTITUTE(SUBSTITUTE(SUBSTITUTE(SUBSTITUTE(SUBSTITUTE(SUBSTITUTE(SUBSTITUTE(SUBSTITUTE(SUBSTITUTE(SUBSTITUTE(SUBSTITUTE(SUBSTITUTE(SUBSTITUTE(LOWER(V232&amp;""),CHAR(160),"")," ",""),".",""),"-",""),"/",""),"?",""),"_",""),",",""),"[",""),"]",""),"(",""),")",""),"*","")</f>
        <v/>
      </c>
      <c r="AW232" s="61" t="str">
        <f aca="false">SUBSTITUTE(SUBSTITUTE(SUBSTITUTE(SUBSTITUTE(SUBSTITUTE(SUBSTITUTE(SUBSTITUTE(SUBSTITUTE(SUBSTITUTE(SUBSTITUTE(SUBSTITUTE(SUBSTITUTE(SUBSTITUTE(LOWER(Z232&amp;""),CHAR(160),"")," ",""),".",""),"-",""),"/",""),"?",""),"_",""),",",""),"[",""),"]",""),"(",""),")",""),"*","")</f>
        <v/>
      </c>
      <c r="AX232" s="61" t="str">
        <f aca="false">SUBSTITUTE(SUBSTITUTE(SUBSTITUTE(SUBSTITUTE(SUBSTITUTE(SUBSTITUTE(SUBSTITUTE(SUBSTITUTE(SUBSTITUTE(SUBSTITUTE(SUBSTITUTE(SUBSTITUTE(SUBSTITUTE(LOWER(AE232&amp;""),CHAR(160),"")," ",""),".",""),"-",""),"/",""),"?",""),"_",""),",",""),"[",""),"]",""),"(",""),")",""),"*","")</f>
        <v/>
      </c>
      <c r="AY232" s="61" t="str">
        <f aca="false">SUBSTITUTE(SUBSTITUTE(SUBSTITUTE(SUBSTITUTE(SUBSTITUTE(SUBSTITUTE(SUBSTITUTE(SUBSTITUTE(SUBSTITUTE(SUBSTITUTE(SUBSTITUTE(SUBSTITUTE(SUBSTITUTE(LOWER(W232&amp;""),CHAR(160),"")," ",""),".",""),"-",""),"/",""),"?",""),"_",""),",",""),"[",""),"]",""),"(",""),")",""),"*","")</f>
        <v/>
      </c>
      <c r="AZ232" s="61" t="str">
        <f aca="false">SUBSTITUTE(SUBSTITUTE(SUBSTITUTE(SUBSTITUTE(SUBSTITUTE(SUBSTITUTE(SUBSTITUTE(SUBSTITUTE(SUBSTITUTE(SUBSTITUTE(SUBSTITUTE(SUBSTITUTE(SUBSTITUTE(LOWER(AC232&amp;""),CHAR(160),"")," ",""),".",""),"-",""),"/",""),"?",""),"_",""),",",""),"[",""),"]",""),"(",""),")",""),"*","")</f>
        <v/>
      </c>
      <c r="BA232" s="61" t="str">
        <f aca="false">SUBSTITUTE(SUBSTITUTE(SUBSTITUTE(SUBSTITUTE(SUBSTITUTE(SUBSTITUTE(SUBSTITUTE(SUBSTITUTE(SUBSTITUTE(SUBSTITUTE(SUBSTITUTE(SUBSTITUTE(SUBSTITUTE(LOWER(AA232&amp;""),CHAR(160),"")," ",""),".",""),"-",""),"/",""),"?",""),"_",""),",",""),"[",""),"]",""),"(",""),")",""),"*","")</f>
        <v/>
      </c>
      <c r="BB232" s="61" t="str">
        <f aca="false">IF(AND(TRIM(U232)="Pass",ISNUMBER(AF232)),IF(AF232&lt;&gt;0,"INVALID – qty variance: use Fail or Pass after CA",""),"")&amp;IF(AND(TRIM(U232)="Pass after CA",ISNUMBER(AF232)),IF(AF232&lt;&gt;0,"INVALID – after the corrective action the actual qty must equal expected (update Actual)",""),"")&amp;IF(AND(TRIM(U232)="Pass",TRIM(AB232)&lt;&gt;"",TRIM(AB232)&lt;&gt;"Closed"),"INVALID – corrective action not closed: use Fail, then Pass after CA","")&amp;IF(AND(TRIM(AA232)&lt;&gt;"",TRIM(AB232)=""),"INVALID – CA status missing for the recorded corrective action","")&amp;IF(AND(TRIM(U232)="Pass after CA",OR(OR(LEN(BA232)&lt;5,ISNUMBER(MATCH(BA232,L_Placeholder,0))),TRIM(AB232)&lt;&gt;"Closed")),"INVALID – corrective action not recorded/closed","")</f>
        <v/>
      </c>
    </row>
    <row r="233" customFormat="false" ht="41.25" hidden="false" customHeight="true" outlineLevel="0" collapsed="false">
      <c r="A233" s="57" t="s">
        <v>776</v>
      </c>
      <c r="B233" s="57" t="s">
        <v>232</v>
      </c>
      <c r="C233" s="57" t="str">
        <f aca="false">Flights!$F$11</f>
        <v>MH0003</v>
      </c>
      <c r="D233" s="58" t="n">
        <f aca="false">Flights!$D$11</f>
        <v>46304</v>
      </c>
      <c r="E233" s="57" t="str">
        <f aca="false">Flights!$G$11&amp;"-"&amp;Flights!$H$11</f>
        <v>LHR-KUL</v>
      </c>
      <c r="F233" s="57" t="str">
        <f aca="false">Flights!$K$11</f>
        <v>BC</v>
      </c>
      <c r="G233" s="57" t="s">
        <v>398</v>
      </c>
      <c r="H233" s="57" t="s">
        <v>356</v>
      </c>
      <c r="I233" s="57" t="s">
        <v>418</v>
      </c>
      <c r="J233" s="57" t="s">
        <v>581</v>
      </c>
      <c r="K233" s="67" t="s">
        <v>479</v>
      </c>
      <c r="L233" s="67" t="s">
        <v>712</v>
      </c>
      <c r="M233" s="67" t="s">
        <v>184</v>
      </c>
      <c r="N233" s="67" t="s">
        <v>361</v>
      </c>
      <c r="O233" s="67" t="s">
        <v>777</v>
      </c>
      <c r="P233" s="57" t="s">
        <v>184</v>
      </c>
      <c r="Q233" s="59" t="n">
        <f aca="false">ROUND((MIN(Flights!$AE$11,Flights!$AY$11))*1440,0)/1440</f>
        <v>46303.6006944444</v>
      </c>
      <c r="R233" s="59" t="n">
        <f aca="false">Q233+(IF(AND(INDEX(TZ_DSTS,MATCH(P233,TZ_STN,0))&lt;&gt;"",Q233&gt;=INDEX(TZ_DSTS,MATCH(P233,TZ_STN,0)),Q233&lt;INDEX(TZ_DSTE,MATCH(P233,TZ_STN,0))),INDEX(TZ_DST,MATCH(P233,TZ_STN,0)),INDEX(TZ_STD,MATCH(P233,TZ_STN,0))))/24</f>
        <v>46303.9340277778</v>
      </c>
      <c r="S233" s="59" t="n">
        <f aca="false">Q233-T12EarlyH/24</f>
        <v>46303.1006944444</v>
      </c>
      <c r="T233" s="60"/>
      <c r="U233" s="60"/>
      <c r="V233" s="60"/>
      <c r="W233" s="61"/>
      <c r="X233" s="60"/>
      <c r="Y233" s="60"/>
      <c r="Z233" s="60"/>
      <c r="AA233" s="60"/>
      <c r="AB233" s="60"/>
      <c r="AC233" s="60"/>
      <c r="AD233" s="66"/>
      <c r="AE233" s="60"/>
      <c r="AF233" s="61" t="str">
        <f aca="false">IF(AND(ISNUMBER(X233),ISNUMBER(Y233)),Y233-X233,"")</f>
        <v/>
      </c>
      <c r="AG233" s="62" t="str">
        <f aca="false">IF(ISNUMBER(AD233),AD233-(IF(AND(INDEX(TZ_DSTS,MATCH(P233,TZ_STN,0))&lt;&gt;"",(AD233-INDEX(TZ_STD,MATCH(P233,TZ_STN,0))/24)&gt;=INDEX(TZ_DSTS,MATCH(P233,TZ_STN,0)),(AD233-INDEX(TZ_STD,MATCH(P233,TZ_STN,0))/24)&lt;INDEX(TZ_DSTE,MATCH(P233,TZ_STN,0))),INDEX(TZ_DST,MATCH(P233,TZ_STN,0)),INDEX(TZ_STD,MATCH(P233,TZ_STN,0))))/24,"")</f>
        <v/>
      </c>
      <c r="AH233" s="65" t="str">
        <f aca="false">IFERROR(IF(N233="N/A – rule","N/A – RULE",IF(TRIM(U233)="N/A",IF(AT233=0,"INVALID – N/A not permitted for this check",IF(AND(TRIM(AB233)&lt;&gt;"",TRIM(AB233)&lt;&gt;"Closed"),"INVALID – corrective action still open",IF(AND(NOT(OR(LEN(AZ233)&lt;15,ISNUMBER(MATCH(AZ233,L_Placeholder,0)))),NOT(OR(LEN(AU233)&lt;2,ISNUMBER(MATCH(AU233,L_Placeholder,0)))),NOT(OR(LEN(AX233)&lt;2,ISNUMBER(MATCH(AX233,L_Placeholder,0)))),TRIM(AE233)&lt;&gt;TRIM(T233)),"N/A – JUSTIFIED","INVALID – N/A needs a real justification (15+ chars), PIC and a different verifier"))),IF(OR(TRIM(U233)="Pass",TRIM(U233)="Pass after CA"),IF(NOT(ISNUMBER(AD233)),"INVALID – completion time missing",IF(OR(LEN(AU233)&lt;2,ISNUMBER(MATCH(AU233,L_Placeholder,0))),"INVALID – PIC missing",IF(OR(LEN(AV233)&lt;2,ISNUMBER(MATCH(AV233,L_Placeholder,0))),"INVALID – result / assessment missing",IF(OR(OR(LEN(AW233)&lt;3,ISNUMBER(MATCH(AW233,L_Placeholder,0))),SUMPRODUCT(--ISNUMBER(SEARCH(L_EvidencePhrase,AW233)))&gt;0),"INVALID – evidence missing, placeholder or not yet on file",IF(OR(LEN(AX233)&lt;2,ISNUMBER(MATCH(AX233,L_Placeholder,0))),"INVALID – verifier missing",IF(AX233=AU233,"INVALID – verifier must be someone other than the PIC",IF(AND(TRIM(U233)="Pass",SUMPRODUCT(--ISNUMBER(SEARCH(L_ResultBad,AV233)))&gt;0),"INVALID – result describes a problem: use Fail, then Pass after CA",IF(AND(AQ233=1,OR(LEN(AY233)&lt;3,ISNUMBER(MATCH(AY233,L_Placeholder,0)))),"INVALID – batch ID missing or placeholder",IF(AND(AR233=1,OR(NOT(ISNUMBER(X233)),NOT(ISNUMBER(Y233)))),"INVALID – expected/actual qty missing",IF(AND(AR233=1,OR(X233&lt;=0,Y233&lt;0)),"INVALID – expected qty must be above 0 and actual not negative",IF(BB233&lt;&gt;"",BB233,IF(AND(AS233=1,Documents!$J$11&lt;&gt;"ON FILE"),"INVALID – GLD not on file (Documents sheet)",IF(AND(AS233=2,Documents!$O$11&lt;&gt;"ON FILE"),"INVALID – menu checklist not on file (Documents sheet)",IF(AND(AS233=3,NOT(ISNUMBER(Flights!$AX$11))),"INVALID – enter carrying flight KUL departure (Flights AX)",IF(AND(AS233=3,OR(Flights!$AZ$11&gt;Flights!$AA$11,Flights!$AX$11&lt;Flights!$AA$11-3)),"INVALID – carrying flight (Flights AX) cannot arrive before this leg's STD, or is over 3 days early",IF(AG233&gt;AsOfUTC,"INVALID – completion time is in the future",IF(AND(ISNUMBER(S233),AG233&lt;S233),IF(H233="Physical uplift","INVALID – before uplift window (cannot confirm loading)","INVALID – before valid window"),IF(AG233&gt;Flights!$AA$11,"INVALID – completed after departure (cannot establish readiness)",IF(AND(H233="Preparation",AG233&gt;Flights!$AY$11+UpliftWindowH/24),"INVALID – completed after the carrying flight left KUL",IF(AND(H233="Physical uplift",AG233&gt;Q233),"INVALID – recorded after the loading flight departed",IF(AG233&gt;Q233,"COMPLETE – LATE","COMPLETE"))))))))))))))))))))),IF(TRIM(U233)="Fail","FAIL – DISCREPANCY",IF(AND(TRIM(U233)&lt;&gt;"",TRIM(U233)&lt;&gt;"Not started",TRIM(U233)&lt;&gt;"In progress"),"INVALID – unrecognised status (use the list)",IF(AsOfUTC&gt;Q233,"OVERDUE",IF(N233="Clarification required","OPEN – CLARIFICATION","OPEN"))))))),"INVALID – error value in an input cell")</f>
        <v>OPEN</v>
      </c>
      <c r="AI233" s="61" t="n">
        <f aca="false">IF(OR(AH233="N/A – RULE",AH233="N/A – JUSTIFIED"),0,1)</f>
        <v>1</v>
      </c>
      <c r="AJ233" s="61" t="n">
        <f aca="false">IF(LEFT(AH233,8)="COMPLETE",1,0)</f>
        <v>0</v>
      </c>
      <c r="AK233" s="61" t="n">
        <f aca="false">IF(AND(AI233=1,AJ233=0,AsOfUTC&gt;Q233),1,0)</f>
        <v>0</v>
      </c>
      <c r="AL233" s="61" t="n">
        <f aca="false">IFERROR(IF(AND(AI233=1,OR(TRIM(U233)="Fail",AND(TRIM(AB233)&lt;&gt;"",TRIM(AB233)&lt;&gt;"Closed"),AND(ISNUMBER(AF233),AF233&lt;&gt;0,TRIM(U233)&lt;&gt;"Pass after CA"))),1,0),1)</f>
        <v>0</v>
      </c>
      <c r="AM233" s="61" t="n">
        <f aca="false">IF(LEFT(AH233,7)="INVALID",1,0)</f>
        <v>0</v>
      </c>
      <c r="AN233" s="61" t="n">
        <f aca="false">IF(AND(N233="Clarification required",AI233=1,AJ233=0),1,0)</f>
        <v>0</v>
      </c>
      <c r="AO233" s="61" t="str">
        <f aca="false">IF(AK233=1,SUM(AK$5:AK233),"")</f>
        <v/>
      </c>
      <c r="AP233" s="61" t="str">
        <f aca="false">IF(AL233=1,SUM(AL$5:AL233),"")</f>
        <v/>
      </c>
      <c r="AQ233" s="61" t="n">
        <v>0</v>
      </c>
      <c r="AR233" s="61" t="n">
        <v>0</v>
      </c>
      <c r="AS233" s="61" t="n">
        <v>0</v>
      </c>
      <c r="AT233" s="61" t="n">
        <v>0</v>
      </c>
      <c r="AU233" s="61" t="str">
        <f aca="false">SUBSTITUTE(SUBSTITUTE(SUBSTITUTE(SUBSTITUTE(SUBSTITUTE(SUBSTITUTE(SUBSTITUTE(SUBSTITUTE(SUBSTITUTE(SUBSTITUTE(SUBSTITUTE(SUBSTITUTE(SUBSTITUTE(LOWER(T233&amp;""),CHAR(160),"")," ",""),".",""),"-",""),"/",""),"?",""),"_",""),",",""),"[",""),"]",""),"(",""),")",""),"*","")</f>
        <v/>
      </c>
      <c r="AV233" s="61" t="str">
        <f aca="false">SUBSTITUTE(SUBSTITUTE(SUBSTITUTE(SUBSTITUTE(SUBSTITUTE(SUBSTITUTE(SUBSTITUTE(SUBSTITUTE(SUBSTITUTE(SUBSTITUTE(SUBSTITUTE(SUBSTITUTE(SUBSTITUTE(LOWER(V233&amp;""),CHAR(160),"")," ",""),".",""),"-",""),"/",""),"?",""),"_",""),",",""),"[",""),"]",""),"(",""),")",""),"*","")</f>
        <v/>
      </c>
      <c r="AW233" s="61" t="str">
        <f aca="false">SUBSTITUTE(SUBSTITUTE(SUBSTITUTE(SUBSTITUTE(SUBSTITUTE(SUBSTITUTE(SUBSTITUTE(SUBSTITUTE(SUBSTITUTE(SUBSTITUTE(SUBSTITUTE(SUBSTITUTE(SUBSTITUTE(LOWER(Z233&amp;""),CHAR(160),"")," ",""),".",""),"-",""),"/",""),"?",""),"_",""),",",""),"[",""),"]",""),"(",""),")",""),"*","")</f>
        <v/>
      </c>
      <c r="AX233" s="61" t="str">
        <f aca="false">SUBSTITUTE(SUBSTITUTE(SUBSTITUTE(SUBSTITUTE(SUBSTITUTE(SUBSTITUTE(SUBSTITUTE(SUBSTITUTE(SUBSTITUTE(SUBSTITUTE(SUBSTITUTE(SUBSTITUTE(SUBSTITUTE(LOWER(AE233&amp;""),CHAR(160),"")," ",""),".",""),"-",""),"/",""),"?",""),"_",""),",",""),"[",""),"]",""),"(",""),")",""),"*","")</f>
        <v/>
      </c>
      <c r="AY233" s="61" t="str">
        <f aca="false">SUBSTITUTE(SUBSTITUTE(SUBSTITUTE(SUBSTITUTE(SUBSTITUTE(SUBSTITUTE(SUBSTITUTE(SUBSTITUTE(SUBSTITUTE(SUBSTITUTE(SUBSTITUTE(SUBSTITUTE(SUBSTITUTE(LOWER(W233&amp;""),CHAR(160),"")," ",""),".",""),"-",""),"/",""),"?",""),"_",""),",",""),"[",""),"]",""),"(",""),")",""),"*","")</f>
        <v/>
      </c>
      <c r="AZ233" s="61" t="str">
        <f aca="false">SUBSTITUTE(SUBSTITUTE(SUBSTITUTE(SUBSTITUTE(SUBSTITUTE(SUBSTITUTE(SUBSTITUTE(SUBSTITUTE(SUBSTITUTE(SUBSTITUTE(SUBSTITUTE(SUBSTITUTE(SUBSTITUTE(LOWER(AC233&amp;""),CHAR(160),"")," ",""),".",""),"-",""),"/",""),"?",""),"_",""),",",""),"[",""),"]",""),"(",""),")",""),"*","")</f>
        <v/>
      </c>
      <c r="BA233" s="61" t="str">
        <f aca="false">SUBSTITUTE(SUBSTITUTE(SUBSTITUTE(SUBSTITUTE(SUBSTITUTE(SUBSTITUTE(SUBSTITUTE(SUBSTITUTE(SUBSTITUTE(SUBSTITUTE(SUBSTITUTE(SUBSTITUTE(SUBSTITUTE(LOWER(AA233&amp;""),CHAR(160),"")," ",""),".",""),"-",""),"/",""),"?",""),"_",""),",",""),"[",""),"]",""),"(",""),")",""),"*","")</f>
        <v/>
      </c>
      <c r="BB233" s="61" t="str">
        <f aca="false">IF(AND(TRIM(U233)="Pass",ISNUMBER(AF233)),IF(AF233&lt;&gt;0,"INVALID – qty variance: use Fail or Pass after CA",""),"")&amp;IF(AND(TRIM(U233)="Pass after CA",ISNUMBER(AF233)),IF(AF233&lt;&gt;0,"INVALID – after the corrective action the actual qty must equal expected (update Actual)",""),"")&amp;IF(AND(TRIM(U233)="Pass",TRIM(AB233)&lt;&gt;"",TRIM(AB233)&lt;&gt;"Closed"),"INVALID – corrective action not closed: use Fail, then Pass after CA","")&amp;IF(AND(TRIM(AA233)&lt;&gt;"",TRIM(AB233)=""),"INVALID – CA status missing for the recorded corrective action","")&amp;IF(AND(TRIM(U233)="Pass after CA",OR(OR(LEN(BA233)&lt;5,ISNUMBER(MATCH(BA233,L_Placeholder,0))),TRIM(AB233)&lt;&gt;"Closed")),"INVALID – corrective action not recorded/closed","")</f>
        <v/>
      </c>
    </row>
    <row r="234" customFormat="false" ht="41.25" hidden="false" customHeight="true" outlineLevel="0" collapsed="false">
      <c r="A234" s="57" t="s">
        <v>778</v>
      </c>
      <c r="B234" s="57" t="s">
        <v>232</v>
      </c>
      <c r="C234" s="57" t="str">
        <f aca="false">Flights!$F$11</f>
        <v>MH0003</v>
      </c>
      <c r="D234" s="58" t="n">
        <f aca="false">Flights!$D$11</f>
        <v>46304</v>
      </c>
      <c r="E234" s="57" t="str">
        <f aca="false">Flights!$G$11&amp;"-"&amp;Flights!$H$11</f>
        <v>LHR-KUL</v>
      </c>
      <c r="F234" s="57" t="str">
        <f aca="false">Flights!$K$11</f>
        <v>BC</v>
      </c>
      <c r="G234" s="57" t="s">
        <v>398</v>
      </c>
      <c r="H234" s="57" t="s">
        <v>356</v>
      </c>
      <c r="I234" s="57" t="s">
        <v>477</v>
      </c>
      <c r="J234" s="57" t="s">
        <v>478</v>
      </c>
      <c r="K234" s="67" t="s">
        <v>479</v>
      </c>
      <c r="L234" s="67" t="s">
        <v>714</v>
      </c>
      <c r="M234" s="67" t="s">
        <v>429</v>
      </c>
      <c r="N234" s="67" t="s">
        <v>361</v>
      </c>
      <c r="O234" s="67" t="s">
        <v>430</v>
      </c>
      <c r="P234" s="57" t="s">
        <v>183</v>
      </c>
      <c r="Q234" s="59" t="n">
        <f aca="false">ROUND((Flights!$AE$11)*1440,0)/1440</f>
        <v>46303.9166666667</v>
      </c>
      <c r="R234" s="59" t="n">
        <f aca="false">Q234+(IF(AND(INDEX(TZ_DSTS,MATCH(P234,TZ_STN,0))&lt;&gt;"",Q234&gt;=INDEX(TZ_DSTS,MATCH(P234,TZ_STN,0)),Q234&lt;INDEX(TZ_DSTE,MATCH(P234,TZ_STN,0))),INDEX(TZ_DST,MATCH(P234,TZ_STN,0)),INDEX(TZ_STD,MATCH(P234,TZ_STN,0))))/24</f>
        <v>46303.9583333333</v>
      </c>
      <c r="S234" s="59" t="n">
        <f aca="false">Q234-T12EarlyH/24</f>
        <v>46303.4166666667</v>
      </c>
      <c r="T234" s="60"/>
      <c r="U234" s="60"/>
      <c r="V234" s="60"/>
      <c r="W234" s="61"/>
      <c r="X234" s="60"/>
      <c r="Y234" s="60"/>
      <c r="Z234" s="60"/>
      <c r="AA234" s="60"/>
      <c r="AB234" s="60"/>
      <c r="AC234" s="60"/>
      <c r="AD234" s="66"/>
      <c r="AE234" s="60"/>
      <c r="AF234" s="61" t="str">
        <f aca="false">IF(AND(ISNUMBER(X234),ISNUMBER(Y234)),Y234-X234,"")</f>
        <v/>
      </c>
      <c r="AG234" s="62" t="str">
        <f aca="false">IF(ISNUMBER(AD234),AD234-(IF(AND(INDEX(TZ_DSTS,MATCH(P234,TZ_STN,0))&lt;&gt;"",(AD234-INDEX(TZ_STD,MATCH(P234,TZ_STN,0))/24)&gt;=INDEX(TZ_DSTS,MATCH(P234,TZ_STN,0)),(AD234-INDEX(TZ_STD,MATCH(P234,TZ_STN,0))/24)&lt;INDEX(TZ_DSTE,MATCH(P234,TZ_STN,0))),INDEX(TZ_DST,MATCH(P234,TZ_STN,0)),INDEX(TZ_STD,MATCH(P234,TZ_STN,0))))/24,"")</f>
        <v/>
      </c>
      <c r="AH234" s="65" t="str">
        <f aca="false">IFERROR(IF(N234="N/A – rule","N/A – RULE",IF(TRIM(U234)="N/A",IF(AT234=0,"INVALID – N/A not permitted for this check",IF(AND(TRIM(AB234)&lt;&gt;"",TRIM(AB234)&lt;&gt;"Closed"),"INVALID – corrective action still open",IF(AND(NOT(OR(LEN(AZ234)&lt;15,ISNUMBER(MATCH(AZ234,L_Placeholder,0)))),NOT(OR(LEN(AU234)&lt;2,ISNUMBER(MATCH(AU234,L_Placeholder,0)))),NOT(OR(LEN(AX234)&lt;2,ISNUMBER(MATCH(AX234,L_Placeholder,0)))),TRIM(AE234)&lt;&gt;TRIM(T234)),"N/A – JUSTIFIED","INVALID – N/A needs a real justification (15+ chars), PIC and a different verifier"))),IF(OR(TRIM(U234)="Pass",TRIM(U234)="Pass after CA"),IF(NOT(ISNUMBER(AD234)),"INVALID – completion time missing",IF(OR(LEN(AU234)&lt;2,ISNUMBER(MATCH(AU234,L_Placeholder,0))),"INVALID – PIC missing",IF(OR(LEN(AV234)&lt;2,ISNUMBER(MATCH(AV234,L_Placeholder,0))),"INVALID – result / assessment missing",IF(OR(OR(LEN(AW234)&lt;3,ISNUMBER(MATCH(AW234,L_Placeholder,0))),SUMPRODUCT(--ISNUMBER(SEARCH(L_EvidencePhrase,AW234)))&gt;0),"INVALID – evidence missing, placeholder or not yet on file",IF(OR(LEN(AX234)&lt;2,ISNUMBER(MATCH(AX234,L_Placeholder,0))),"INVALID – verifier missing",IF(AX234=AU234,"INVALID – verifier must be someone other than the PIC",IF(AND(TRIM(U234)="Pass",SUMPRODUCT(--ISNUMBER(SEARCH(L_ResultBad,AV234)))&gt;0),"INVALID – result describes a problem: use Fail, then Pass after CA",IF(AND(AQ234=1,OR(LEN(AY234)&lt;3,ISNUMBER(MATCH(AY234,L_Placeholder,0)))),"INVALID – batch ID missing or placeholder",IF(AND(AR234=1,OR(NOT(ISNUMBER(X234)),NOT(ISNUMBER(Y234)))),"INVALID – expected/actual qty missing",IF(AND(AR234=1,OR(X234&lt;=0,Y234&lt;0)),"INVALID – expected qty must be above 0 and actual not negative",IF(BB234&lt;&gt;"",BB234,IF(AND(AS234=1,Documents!$J$11&lt;&gt;"ON FILE"),"INVALID – GLD not on file (Documents sheet)",IF(AND(AS234=2,Documents!$O$11&lt;&gt;"ON FILE"),"INVALID – menu checklist not on file (Documents sheet)",IF(AND(AS234=3,NOT(ISNUMBER(Flights!$AX$11))),"INVALID – enter carrying flight KUL departure (Flights AX)",IF(AND(AS234=3,OR(Flights!$AZ$11&gt;Flights!$AA$11,Flights!$AX$11&lt;Flights!$AA$11-3)),"INVALID – carrying flight (Flights AX) cannot arrive before this leg's STD, or is over 3 days early",IF(AG234&gt;AsOfUTC,"INVALID – completion time is in the future",IF(AND(ISNUMBER(S234),AG234&lt;S234),IF(H234="Physical uplift","INVALID – before uplift window (cannot confirm loading)","INVALID – before valid window"),IF(AG234&gt;Flights!$AA$11,"INVALID – completed after departure (cannot establish readiness)",IF(AND(H234="Preparation",AG234&gt;IF(ISNUMBER(Flights!$BA$11),MIN(Flights!$BA$11,Flights!$AA$11),Flights!$AA$11)),"INVALID – completed after loading / departure (cannot establish readiness)",IF(AND(H234="Physical uplift",AG234&gt;Q234),"INVALID – recorded after the loading flight departed",IF(AG234&gt;Q234,"COMPLETE – LATE","COMPLETE"))))))))))))))))))))),IF(TRIM(U234)="Fail","FAIL – DISCREPANCY",IF(AND(TRIM(U234)&lt;&gt;"",TRIM(U234)&lt;&gt;"Not started",TRIM(U234)&lt;&gt;"In progress"),"INVALID – unrecognised status (use the list)",IF(AsOfUTC&gt;Q234,"OVERDUE",IF(N234="Clarification required","OPEN – CLARIFICATION","OPEN"))))))),"INVALID – error value in an input cell")</f>
        <v>OPEN</v>
      </c>
      <c r="AI234" s="61" t="n">
        <f aca="false">IF(OR(AH234="N/A – RULE",AH234="N/A – JUSTIFIED"),0,1)</f>
        <v>1</v>
      </c>
      <c r="AJ234" s="61" t="n">
        <f aca="false">IF(LEFT(AH234,8)="COMPLETE",1,0)</f>
        <v>0</v>
      </c>
      <c r="AK234" s="61" t="n">
        <f aca="false">IF(AND(AI234=1,AJ234=0,AsOfUTC&gt;Q234),1,0)</f>
        <v>0</v>
      </c>
      <c r="AL234" s="61" t="n">
        <f aca="false">IFERROR(IF(AND(AI234=1,OR(TRIM(U234)="Fail",AND(TRIM(AB234)&lt;&gt;"",TRIM(AB234)&lt;&gt;"Closed"),AND(ISNUMBER(AF234),AF234&lt;&gt;0,TRIM(U234)&lt;&gt;"Pass after CA"))),1,0),1)</f>
        <v>0</v>
      </c>
      <c r="AM234" s="61" t="n">
        <f aca="false">IF(LEFT(AH234,7)="INVALID",1,0)</f>
        <v>0</v>
      </c>
      <c r="AN234" s="61" t="n">
        <f aca="false">IF(AND(N234="Clarification required",AI234=1,AJ234=0),1,0)</f>
        <v>0</v>
      </c>
      <c r="AO234" s="61" t="str">
        <f aca="false">IF(AK234=1,SUM(AK$5:AK234),"")</f>
        <v/>
      </c>
      <c r="AP234" s="61" t="str">
        <f aca="false">IF(AL234=1,SUM(AL$5:AL234),"")</f>
        <v/>
      </c>
      <c r="AQ234" s="61" t="n">
        <v>0</v>
      </c>
      <c r="AR234" s="61" t="n">
        <v>0</v>
      </c>
      <c r="AS234" s="61" t="n">
        <v>0</v>
      </c>
      <c r="AT234" s="61" t="n">
        <v>0</v>
      </c>
      <c r="AU234" s="61" t="str">
        <f aca="false">SUBSTITUTE(SUBSTITUTE(SUBSTITUTE(SUBSTITUTE(SUBSTITUTE(SUBSTITUTE(SUBSTITUTE(SUBSTITUTE(SUBSTITUTE(SUBSTITUTE(SUBSTITUTE(SUBSTITUTE(SUBSTITUTE(LOWER(T234&amp;""),CHAR(160),"")," ",""),".",""),"-",""),"/",""),"?",""),"_",""),",",""),"[",""),"]",""),"(",""),")",""),"*","")</f>
        <v/>
      </c>
      <c r="AV234" s="61" t="str">
        <f aca="false">SUBSTITUTE(SUBSTITUTE(SUBSTITUTE(SUBSTITUTE(SUBSTITUTE(SUBSTITUTE(SUBSTITUTE(SUBSTITUTE(SUBSTITUTE(SUBSTITUTE(SUBSTITUTE(SUBSTITUTE(SUBSTITUTE(LOWER(V234&amp;""),CHAR(160),"")," ",""),".",""),"-",""),"/",""),"?",""),"_",""),",",""),"[",""),"]",""),"(",""),")",""),"*","")</f>
        <v/>
      </c>
      <c r="AW234" s="61" t="str">
        <f aca="false">SUBSTITUTE(SUBSTITUTE(SUBSTITUTE(SUBSTITUTE(SUBSTITUTE(SUBSTITUTE(SUBSTITUTE(SUBSTITUTE(SUBSTITUTE(SUBSTITUTE(SUBSTITUTE(SUBSTITUTE(SUBSTITUTE(LOWER(Z234&amp;""),CHAR(160),"")," ",""),".",""),"-",""),"/",""),"?",""),"_",""),",",""),"[",""),"]",""),"(",""),")",""),"*","")</f>
        <v/>
      </c>
      <c r="AX234" s="61" t="str">
        <f aca="false">SUBSTITUTE(SUBSTITUTE(SUBSTITUTE(SUBSTITUTE(SUBSTITUTE(SUBSTITUTE(SUBSTITUTE(SUBSTITUTE(SUBSTITUTE(SUBSTITUTE(SUBSTITUTE(SUBSTITUTE(SUBSTITUTE(LOWER(AE234&amp;""),CHAR(160),"")," ",""),".",""),"-",""),"/",""),"?",""),"_",""),",",""),"[",""),"]",""),"(",""),")",""),"*","")</f>
        <v/>
      </c>
      <c r="AY234" s="61" t="str">
        <f aca="false">SUBSTITUTE(SUBSTITUTE(SUBSTITUTE(SUBSTITUTE(SUBSTITUTE(SUBSTITUTE(SUBSTITUTE(SUBSTITUTE(SUBSTITUTE(SUBSTITUTE(SUBSTITUTE(SUBSTITUTE(SUBSTITUTE(LOWER(W234&amp;""),CHAR(160),"")," ",""),".",""),"-",""),"/",""),"?",""),"_",""),",",""),"[",""),"]",""),"(",""),")",""),"*","")</f>
        <v/>
      </c>
      <c r="AZ234" s="61" t="str">
        <f aca="false">SUBSTITUTE(SUBSTITUTE(SUBSTITUTE(SUBSTITUTE(SUBSTITUTE(SUBSTITUTE(SUBSTITUTE(SUBSTITUTE(SUBSTITUTE(SUBSTITUTE(SUBSTITUTE(SUBSTITUTE(SUBSTITUTE(LOWER(AC234&amp;""),CHAR(160),"")," ",""),".",""),"-",""),"/",""),"?",""),"_",""),",",""),"[",""),"]",""),"(",""),")",""),"*","")</f>
        <v/>
      </c>
      <c r="BA234" s="61" t="str">
        <f aca="false">SUBSTITUTE(SUBSTITUTE(SUBSTITUTE(SUBSTITUTE(SUBSTITUTE(SUBSTITUTE(SUBSTITUTE(SUBSTITUTE(SUBSTITUTE(SUBSTITUTE(SUBSTITUTE(SUBSTITUTE(SUBSTITUTE(LOWER(AA234&amp;""),CHAR(160),"")," ",""),".",""),"-",""),"/",""),"?",""),"_",""),",",""),"[",""),"]",""),"(",""),")",""),"*","")</f>
        <v/>
      </c>
      <c r="BB234" s="61" t="str">
        <f aca="false">IF(AND(TRIM(U234)="Pass",ISNUMBER(AF234)),IF(AF234&lt;&gt;0,"INVALID – qty variance: use Fail or Pass after CA",""),"")&amp;IF(AND(TRIM(U234)="Pass after CA",ISNUMBER(AF234)),IF(AF234&lt;&gt;0,"INVALID – after the corrective action the actual qty must equal expected (update Actual)",""),"")&amp;IF(AND(TRIM(U234)="Pass",TRIM(AB234)&lt;&gt;"",TRIM(AB234)&lt;&gt;"Closed"),"INVALID – corrective action not closed: use Fail, then Pass after CA","")&amp;IF(AND(TRIM(AA234)&lt;&gt;"",TRIM(AB234)=""),"INVALID – CA status missing for the recorded corrective action","")&amp;IF(AND(TRIM(U234)="Pass after CA",OR(OR(LEN(BA234)&lt;5,ISNUMBER(MATCH(BA234,L_Placeholder,0))),TRIM(AB234)&lt;&gt;"Closed")),"INVALID – corrective action not recorded/closed","")</f>
        <v/>
      </c>
    </row>
    <row r="235" customFormat="false" ht="41.25" hidden="false" customHeight="true" outlineLevel="0" collapsed="false">
      <c r="A235" s="57" t="s">
        <v>779</v>
      </c>
      <c r="B235" s="57" t="s">
        <v>232</v>
      </c>
      <c r="C235" s="57" t="str">
        <f aca="false">Flights!$F$11</f>
        <v>MH0003</v>
      </c>
      <c r="D235" s="58" t="n">
        <f aca="false">Flights!$D$11</f>
        <v>46304</v>
      </c>
      <c r="E235" s="57" t="str">
        <f aca="false">Flights!$G$11&amp;"-"&amp;Flights!$H$11</f>
        <v>LHR-KUL</v>
      </c>
      <c r="F235" s="57" t="str">
        <f aca="false">Flights!$K$11</f>
        <v>BC</v>
      </c>
      <c r="G235" s="57" t="s">
        <v>398</v>
      </c>
      <c r="H235" s="57" t="s">
        <v>356</v>
      </c>
      <c r="I235" s="57" t="s">
        <v>477</v>
      </c>
      <c r="J235" s="57" t="s">
        <v>483</v>
      </c>
      <c r="K235" s="67" t="s">
        <v>479</v>
      </c>
      <c r="L235" s="67" t="s">
        <v>716</v>
      </c>
      <c r="M235" s="67" t="s">
        <v>429</v>
      </c>
      <c r="N235" s="67" t="s">
        <v>361</v>
      </c>
      <c r="O235" s="67" t="s">
        <v>430</v>
      </c>
      <c r="P235" s="57" t="s">
        <v>183</v>
      </c>
      <c r="Q235" s="59" t="n">
        <f aca="false">ROUND((Flights!$AE$11)*1440,0)/1440</f>
        <v>46303.9166666667</v>
      </c>
      <c r="R235" s="59" t="n">
        <f aca="false">Q235+(IF(AND(INDEX(TZ_DSTS,MATCH(P235,TZ_STN,0))&lt;&gt;"",Q235&gt;=INDEX(TZ_DSTS,MATCH(P235,TZ_STN,0)),Q235&lt;INDEX(TZ_DSTE,MATCH(P235,TZ_STN,0))),INDEX(TZ_DST,MATCH(P235,TZ_STN,0)),INDEX(TZ_STD,MATCH(P235,TZ_STN,0))))/24</f>
        <v>46303.9583333333</v>
      </c>
      <c r="S235" s="59" t="n">
        <f aca="false">Q235-T12EarlyH/24</f>
        <v>46303.4166666667</v>
      </c>
      <c r="T235" s="60"/>
      <c r="U235" s="60"/>
      <c r="V235" s="60"/>
      <c r="W235" s="61"/>
      <c r="X235" s="60"/>
      <c r="Y235" s="60"/>
      <c r="Z235" s="60"/>
      <c r="AA235" s="60"/>
      <c r="AB235" s="60"/>
      <c r="AC235" s="60"/>
      <c r="AD235" s="66"/>
      <c r="AE235" s="60"/>
      <c r="AF235" s="61" t="str">
        <f aca="false">IF(AND(ISNUMBER(X235),ISNUMBER(Y235)),Y235-X235,"")</f>
        <v/>
      </c>
      <c r="AG235" s="62" t="str">
        <f aca="false">IF(ISNUMBER(AD235),AD235-(IF(AND(INDEX(TZ_DSTS,MATCH(P235,TZ_STN,0))&lt;&gt;"",(AD235-INDEX(TZ_STD,MATCH(P235,TZ_STN,0))/24)&gt;=INDEX(TZ_DSTS,MATCH(P235,TZ_STN,0)),(AD235-INDEX(TZ_STD,MATCH(P235,TZ_STN,0))/24)&lt;INDEX(TZ_DSTE,MATCH(P235,TZ_STN,0))),INDEX(TZ_DST,MATCH(P235,TZ_STN,0)),INDEX(TZ_STD,MATCH(P235,TZ_STN,0))))/24,"")</f>
        <v/>
      </c>
      <c r="AH235" s="65" t="str">
        <f aca="false">IFERROR(IF(N235="N/A – rule","N/A – RULE",IF(TRIM(U235)="N/A",IF(AT235=0,"INVALID – N/A not permitted for this check",IF(AND(TRIM(AB235)&lt;&gt;"",TRIM(AB235)&lt;&gt;"Closed"),"INVALID – corrective action still open",IF(AND(NOT(OR(LEN(AZ235)&lt;15,ISNUMBER(MATCH(AZ235,L_Placeholder,0)))),NOT(OR(LEN(AU235)&lt;2,ISNUMBER(MATCH(AU235,L_Placeholder,0)))),NOT(OR(LEN(AX235)&lt;2,ISNUMBER(MATCH(AX235,L_Placeholder,0)))),TRIM(AE235)&lt;&gt;TRIM(T235)),"N/A – JUSTIFIED","INVALID – N/A needs a real justification (15+ chars), PIC and a different verifier"))),IF(OR(TRIM(U235)="Pass",TRIM(U235)="Pass after CA"),IF(NOT(ISNUMBER(AD235)),"INVALID – completion time missing",IF(OR(LEN(AU235)&lt;2,ISNUMBER(MATCH(AU235,L_Placeholder,0))),"INVALID – PIC missing",IF(OR(LEN(AV235)&lt;2,ISNUMBER(MATCH(AV235,L_Placeholder,0))),"INVALID – result / assessment missing",IF(OR(OR(LEN(AW235)&lt;3,ISNUMBER(MATCH(AW235,L_Placeholder,0))),SUMPRODUCT(--ISNUMBER(SEARCH(L_EvidencePhrase,AW235)))&gt;0),"INVALID – evidence missing, placeholder or not yet on file",IF(OR(LEN(AX235)&lt;2,ISNUMBER(MATCH(AX235,L_Placeholder,0))),"INVALID – verifier missing",IF(AX235=AU235,"INVALID – verifier must be someone other than the PIC",IF(AND(TRIM(U235)="Pass",SUMPRODUCT(--ISNUMBER(SEARCH(L_ResultBad,AV235)))&gt;0),"INVALID – result describes a problem: use Fail, then Pass after CA",IF(AND(AQ235=1,OR(LEN(AY235)&lt;3,ISNUMBER(MATCH(AY235,L_Placeholder,0)))),"INVALID – batch ID missing or placeholder",IF(AND(AR235=1,OR(NOT(ISNUMBER(X235)),NOT(ISNUMBER(Y235)))),"INVALID – expected/actual qty missing",IF(AND(AR235=1,OR(X235&lt;=0,Y235&lt;0)),"INVALID – expected qty must be above 0 and actual not negative",IF(BB235&lt;&gt;"",BB235,IF(AND(AS235=1,Documents!$J$11&lt;&gt;"ON FILE"),"INVALID – GLD not on file (Documents sheet)",IF(AND(AS235=2,Documents!$O$11&lt;&gt;"ON FILE"),"INVALID – menu checklist not on file (Documents sheet)",IF(AND(AS235=3,NOT(ISNUMBER(Flights!$AX$11))),"INVALID – enter carrying flight KUL departure (Flights AX)",IF(AND(AS235=3,OR(Flights!$AZ$11&gt;Flights!$AA$11,Flights!$AX$11&lt;Flights!$AA$11-3)),"INVALID – carrying flight (Flights AX) cannot arrive before this leg's STD, or is over 3 days early",IF(AG235&gt;AsOfUTC,"INVALID – completion time is in the future",IF(AND(ISNUMBER(S235),AG235&lt;S235),IF(H235="Physical uplift","INVALID – before uplift window (cannot confirm loading)","INVALID – before valid window"),IF(AG235&gt;Flights!$AA$11,"INVALID – completed after departure (cannot establish readiness)",IF(AND(H235="Preparation",AG235&gt;IF(ISNUMBER(Flights!$BA$11),MIN(Flights!$BA$11,Flights!$AA$11),Flights!$AA$11)),"INVALID – completed after loading / departure (cannot establish readiness)",IF(AND(H235="Physical uplift",AG235&gt;Q235),"INVALID – recorded after the loading flight departed",IF(AG235&gt;Q235,"COMPLETE – LATE","COMPLETE"))))))))))))))))))))),IF(TRIM(U235)="Fail","FAIL – DISCREPANCY",IF(AND(TRIM(U235)&lt;&gt;"",TRIM(U235)&lt;&gt;"Not started",TRIM(U235)&lt;&gt;"In progress"),"INVALID – unrecognised status (use the list)",IF(AsOfUTC&gt;Q235,"OVERDUE",IF(N235="Clarification required","OPEN – CLARIFICATION","OPEN"))))))),"INVALID – error value in an input cell")</f>
        <v>OPEN</v>
      </c>
      <c r="AI235" s="61" t="n">
        <f aca="false">IF(OR(AH235="N/A – RULE",AH235="N/A – JUSTIFIED"),0,1)</f>
        <v>1</v>
      </c>
      <c r="AJ235" s="61" t="n">
        <f aca="false">IF(LEFT(AH235,8)="COMPLETE",1,0)</f>
        <v>0</v>
      </c>
      <c r="AK235" s="61" t="n">
        <f aca="false">IF(AND(AI235=1,AJ235=0,AsOfUTC&gt;Q235),1,0)</f>
        <v>0</v>
      </c>
      <c r="AL235" s="61" t="n">
        <f aca="false">IFERROR(IF(AND(AI235=1,OR(TRIM(U235)="Fail",AND(TRIM(AB235)&lt;&gt;"",TRIM(AB235)&lt;&gt;"Closed"),AND(ISNUMBER(AF235),AF235&lt;&gt;0,TRIM(U235)&lt;&gt;"Pass after CA"))),1,0),1)</f>
        <v>0</v>
      </c>
      <c r="AM235" s="61" t="n">
        <f aca="false">IF(LEFT(AH235,7)="INVALID",1,0)</f>
        <v>0</v>
      </c>
      <c r="AN235" s="61" t="n">
        <f aca="false">IF(AND(N235="Clarification required",AI235=1,AJ235=0),1,0)</f>
        <v>0</v>
      </c>
      <c r="AO235" s="61" t="str">
        <f aca="false">IF(AK235=1,SUM(AK$5:AK235),"")</f>
        <v/>
      </c>
      <c r="AP235" s="61" t="str">
        <f aca="false">IF(AL235=1,SUM(AL$5:AL235),"")</f>
        <v/>
      </c>
      <c r="AQ235" s="61" t="n">
        <v>0</v>
      </c>
      <c r="AR235" s="61" t="n">
        <v>0</v>
      </c>
      <c r="AS235" s="61" t="n">
        <v>0</v>
      </c>
      <c r="AT235" s="61" t="n">
        <v>0</v>
      </c>
      <c r="AU235" s="61" t="str">
        <f aca="false">SUBSTITUTE(SUBSTITUTE(SUBSTITUTE(SUBSTITUTE(SUBSTITUTE(SUBSTITUTE(SUBSTITUTE(SUBSTITUTE(SUBSTITUTE(SUBSTITUTE(SUBSTITUTE(SUBSTITUTE(SUBSTITUTE(LOWER(T235&amp;""),CHAR(160),"")," ",""),".",""),"-",""),"/",""),"?",""),"_",""),",",""),"[",""),"]",""),"(",""),")",""),"*","")</f>
        <v/>
      </c>
      <c r="AV235" s="61" t="str">
        <f aca="false">SUBSTITUTE(SUBSTITUTE(SUBSTITUTE(SUBSTITUTE(SUBSTITUTE(SUBSTITUTE(SUBSTITUTE(SUBSTITUTE(SUBSTITUTE(SUBSTITUTE(SUBSTITUTE(SUBSTITUTE(SUBSTITUTE(LOWER(V235&amp;""),CHAR(160),"")," ",""),".",""),"-",""),"/",""),"?",""),"_",""),",",""),"[",""),"]",""),"(",""),")",""),"*","")</f>
        <v/>
      </c>
      <c r="AW235" s="61" t="str">
        <f aca="false">SUBSTITUTE(SUBSTITUTE(SUBSTITUTE(SUBSTITUTE(SUBSTITUTE(SUBSTITUTE(SUBSTITUTE(SUBSTITUTE(SUBSTITUTE(SUBSTITUTE(SUBSTITUTE(SUBSTITUTE(SUBSTITUTE(LOWER(Z235&amp;""),CHAR(160),"")," ",""),".",""),"-",""),"/",""),"?",""),"_",""),",",""),"[",""),"]",""),"(",""),")",""),"*","")</f>
        <v/>
      </c>
      <c r="AX235" s="61" t="str">
        <f aca="false">SUBSTITUTE(SUBSTITUTE(SUBSTITUTE(SUBSTITUTE(SUBSTITUTE(SUBSTITUTE(SUBSTITUTE(SUBSTITUTE(SUBSTITUTE(SUBSTITUTE(SUBSTITUTE(SUBSTITUTE(SUBSTITUTE(LOWER(AE235&amp;""),CHAR(160),"")," ",""),".",""),"-",""),"/",""),"?",""),"_",""),",",""),"[",""),"]",""),"(",""),")",""),"*","")</f>
        <v/>
      </c>
      <c r="AY235" s="61" t="str">
        <f aca="false">SUBSTITUTE(SUBSTITUTE(SUBSTITUTE(SUBSTITUTE(SUBSTITUTE(SUBSTITUTE(SUBSTITUTE(SUBSTITUTE(SUBSTITUTE(SUBSTITUTE(SUBSTITUTE(SUBSTITUTE(SUBSTITUTE(LOWER(W235&amp;""),CHAR(160),"")," ",""),".",""),"-",""),"/",""),"?",""),"_",""),",",""),"[",""),"]",""),"(",""),")",""),"*","")</f>
        <v/>
      </c>
      <c r="AZ235" s="61" t="str">
        <f aca="false">SUBSTITUTE(SUBSTITUTE(SUBSTITUTE(SUBSTITUTE(SUBSTITUTE(SUBSTITUTE(SUBSTITUTE(SUBSTITUTE(SUBSTITUTE(SUBSTITUTE(SUBSTITUTE(SUBSTITUTE(SUBSTITUTE(LOWER(AC235&amp;""),CHAR(160),"")," ",""),".",""),"-",""),"/",""),"?",""),"_",""),",",""),"[",""),"]",""),"(",""),")",""),"*","")</f>
        <v/>
      </c>
      <c r="BA235" s="61" t="str">
        <f aca="false">SUBSTITUTE(SUBSTITUTE(SUBSTITUTE(SUBSTITUTE(SUBSTITUTE(SUBSTITUTE(SUBSTITUTE(SUBSTITUTE(SUBSTITUTE(SUBSTITUTE(SUBSTITUTE(SUBSTITUTE(SUBSTITUTE(LOWER(AA235&amp;""),CHAR(160),"")," ",""),".",""),"-",""),"/",""),"?",""),"_",""),",",""),"[",""),"]",""),"(",""),")",""),"*","")</f>
        <v/>
      </c>
      <c r="BB235" s="61" t="str">
        <f aca="false">IF(AND(TRIM(U235)="Pass",ISNUMBER(AF235)),IF(AF235&lt;&gt;0,"INVALID – qty variance: use Fail or Pass after CA",""),"")&amp;IF(AND(TRIM(U235)="Pass after CA",ISNUMBER(AF235)),IF(AF235&lt;&gt;0,"INVALID – after the corrective action the actual qty must equal expected (update Actual)",""),"")&amp;IF(AND(TRIM(U235)="Pass",TRIM(AB235)&lt;&gt;"",TRIM(AB235)&lt;&gt;"Closed"),"INVALID – corrective action not closed: use Fail, then Pass after CA","")&amp;IF(AND(TRIM(AA235)&lt;&gt;"",TRIM(AB235)=""),"INVALID – CA status missing for the recorded corrective action","")&amp;IF(AND(TRIM(U235)="Pass after CA",OR(OR(LEN(BA235)&lt;5,ISNUMBER(MATCH(BA235,L_Placeholder,0))),TRIM(AB235)&lt;&gt;"Closed")),"INVALID – corrective action not recorded/closed","")</f>
        <v/>
      </c>
    </row>
    <row r="236" customFormat="false" ht="41.25" hidden="false" customHeight="true" outlineLevel="0" collapsed="false">
      <c r="A236" s="57" t="s">
        <v>780</v>
      </c>
      <c r="B236" s="57" t="s">
        <v>232</v>
      </c>
      <c r="C236" s="57" t="str">
        <f aca="false">Flights!$F$11</f>
        <v>MH0003</v>
      </c>
      <c r="D236" s="58" t="n">
        <f aca="false">Flights!$D$11</f>
        <v>46304</v>
      </c>
      <c r="E236" s="57" t="str">
        <f aca="false">Flights!$G$11&amp;"-"&amp;Flights!$H$11</f>
        <v>LHR-KUL</v>
      </c>
      <c r="F236" s="57" t="str">
        <f aca="false">Flights!$K$11</f>
        <v>BC</v>
      </c>
      <c r="G236" s="57" t="s">
        <v>398</v>
      </c>
      <c r="H236" s="57" t="s">
        <v>356</v>
      </c>
      <c r="I236" s="57" t="s">
        <v>477</v>
      </c>
      <c r="J236" s="57" t="s">
        <v>486</v>
      </c>
      <c r="K236" s="67" t="s">
        <v>479</v>
      </c>
      <c r="L236" s="67" t="s">
        <v>718</v>
      </c>
      <c r="M236" s="67" t="s">
        <v>429</v>
      </c>
      <c r="N236" s="67" t="s">
        <v>361</v>
      </c>
      <c r="O236" s="67" t="s">
        <v>430</v>
      </c>
      <c r="P236" s="57" t="s">
        <v>183</v>
      </c>
      <c r="Q236" s="59" t="n">
        <f aca="false">ROUND((Flights!$AE$11)*1440,0)/1440</f>
        <v>46303.9166666667</v>
      </c>
      <c r="R236" s="59" t="n">
        <f aca="false">Q236+(IF(AND(INDEX(TZ_DSTS,MATCH(P236,TZ_STN,0))&lt;&gt;"",Q236&gt;=INDEX(TZ_DSTS,MATCH(P236,TZ_STN,0)),Q236&lt;INDEX(TZ_DSTE,MATCH(P236,TZ_STN,0))),INDEX(TZ_DST,MATCH(P236,TZ_STN,0)),INDEX(TZ_STD,MATCH(P236,TZ_STN,0))))/24</f>
        <v>46303.9583333333</v>
      </c>
      <c r="S236" s="59" t="n">
        <f aca="false">Q236-T12EarlyH/24</f>
        <v>46303.4166666667</v>
      </c>
      <c r="T236" s="60"/>
      <c r="U236" s="60"/>
      <c r="V236" s="60"/>
      <c r="W236" s="61"/>
      <c r="X236" s="60"/>
      <c r="Y236" s="60"/>
      <c r="Z236" s="60"/>
      <c r="AA236" s="60"/>
      <c r="AB236" s="60"/>
      <c r="AC236" s="60"/>
      <c r="AD236" s="66"/>
      <c r="AE236" s="60"/>
      <c r="AF236" s="61" t="str">
        <f aca="false">IF(AND(ISNUMBER(X236),ISNUMBER(Y236)),Y236-X236,"")</f>
        <v/>
      </c>
      <c r="AG236" s="62" t="str">
        <f aca="false">IF(ISNUMBER(AD236),AD236-(IF(AND(INDEX(TZ_DSTS,MATCH(P236,TZ_STN,0))&lt;&gt;"",(AD236-INDEX(TZ_STD,MATCH(P236,TZ_STN,0))/24)&gt;=INDEX(TZ_DSTS,MATCH(P236,TZ_STN,0)),(AD236-INDEX(TZ_STD,MATCH(P236,TZ_STN,0))/24)&lt;INDEX(TZ_DSTE,MATCH(P236,TZ_STN,0))),INDEX(TZ_DST,MATCH(P236,TZ_STN,0)),INDEX(TZ_STD,MATCH(P236,TZ_STN,0))))/24,"")</f>
        <v/>
      </c>
      <c r="AH236" s="65" t="str">
        <f aca="false">IFERROR(IF(N236="N/A – rule","N/A – RULE",IF(TRIM(U236)="N/A",IF(AT236=0,"INVALID – N/A not permitted for this check",IF(AND(TRIM(AB236)&lt;&gt;"",TRIM(AB236)&lt;&gt;"Closed"),"INVALID – corrective action still open",IF(AND(NOT(OR(LEN(AZ236)&lt;15,ISNUMBER(MATCH(AZ236,L_Placeholder,0)))),NOT(OR(LEN(AU236)&lt;2,ISNUMBER(MATCH(AU236,L_Placeholder,0)))),NOT(OR(LEN(AX236)&lt;2,ISNUMBER(MATCH(AX236,L_Placeholder,0)))),TRIM(AE236)&lt;&gt;TRIM(T236)),"N/A – JUSTIFIED","INVALID – N/A needs a real justification (15+ chars), PIC and a different verifier"))),IF(OR(TRIM(U236)="Pass",TRIM(U236)="Pass after CA"),IF(NOT(ISNUMBER(AD236)),"INVALID – completion time missing",IF(OR(LEN(AU236)&lt;2,ISNUMBER(MATCH(AU236,L_Placeholder,0))),"INVALID – PIC missing",IF(OR(LEN(AV236)&lt;2,ISNUMBER(MATCH(AV236,L_Placeholder,0))),"INVALID – result / assessment missing",IF(OR(OR(LEN(AW236)&lt;3,ISNUMBER(MATCH(AW236,L_Placeholder,0))),SUMPRODUCT(--ISNUMBER(SEARCH(L_EvidencePhrase,AW236)))&gt;0),"INVALID – evidence missing, placeholder or not yet on file",IF(OR(LEN(AX236)&lt;2,ISNUMBER(MATCH(AX236,L_Placeholder,0))),"INVALID – verifier missing",IF(AX236=AU236,"INVALID – verifier must be someone other than the PIC",IF(AND(TRIM(U236)="Pass",SUMPRODUCT(--ISNUMBER(SEARCH(L_ResultBad,AV236)))&gt;0),"INVALID – result describes a problem: use Fail, then Pass after CA",IF(AND(AQ236=1,OR(LEN(AY236)&lt;3,ISNUMBER(MATCH(AY236,L_Placeholder,0)))),"INVALID – batch ID missing or placeholder",IF(AND(AR236=1,OR(NOT(ISNUMBER(X236)),NOT(ISNUMBER(Y236)))),"INVALID – expected/actual qty missing",IF(AND(AR236=1,OR(X236&lt;=0,Y236&lt;0)),"INVALID – expected qty must be above 0 and actual not negative",IF(BB236&lt;&gt;"",BB236,IF(AND(AS236=1,Documents!$J$11&lt;&gt;"ON FILE"),"INVALID – GLD not on file (Documents sheet)",IF(AND(AS236=2,Documents!$O$11&lt;&gt;"ON FILE"),"INVALID – menu checklist not on file (Documents sheet)",IF(AND(AS236=3,NOT(ISNUMBER(Flights!$AX$11))),"INVALID – enter carrying flight KUL departure (Flights AX)",IF(AND(AS236=3,OR(Flights!$AZ$11&gt;Flights!$AA$11,Flights!$AX$11&lt;Flights!$AA$11-3)),"INVALID – carrying flight (Flights AX) cannot arrive before this leg's STD, or is over 3 days early",IF(AG236&gt;AsOfUTC,"INVALID – completion time is in the future",IF(AND(ISNUMBER(S236),AG236&lt;S236),IF(H236="Physical uplift","INVALID – before uplift window (cannot confirm loading)","INVALID – before valid window"),IF(AG236&gt;Flights!$AA$11,"INVALID – completed after departure (cannot establish readiness)",IF(AND(H236="Preparation",AG236&gt;IF(ISNUMBER(Flights!$BA$11),MIN(Flights!$BA$11,Flights!$AA$11),Flights!$AA$11)),"INVALID – completed after loading / departure (cannot establish readiness)",IF(AND(H236="Physical uplift",AG236&gt;Q236),"INVALID – recorded after the loading flight departed",IF(AG236&gt;Q236,"COMPLETE – LATE","COMPLETE"))))))))))))))))))))),IF(TRIM(U236)="Fail","FAIL – DISCREPANCY",IF(AND(TRIM(U236)&lt;&gt;"",TRIM(U236)&lt;&gt;"Not started",TRIM(U236)&lt;&gt;"In progress"),"INVALID – unrecognised status (use the list)",IF(AsOfUTC&gt;Q236,"OVERDUE",IF(N236="Clarification required","OPEN – CLARIFICATION","OPEN"))))))),"INVALID – error value in an input cell")</f>
        <v>OPEN</v>
      </c>
      <c r="AI236" s="61" t="n">
        <f aca="false">IF(OR(AH236="N/A – RULE",AH236="N/A – JUSTIFIED"),0,1)</f>
        <v>1</v>
      </c>
      <c r="AJ236" s="61" t="n">
        <f aca="false">IF(LEFT(AH236,8)="COMPLETE",1,0)</f>
        <v>0</v>
      </c>
      <c r="AK236" s="61" t="n">
        <f aca="false">IF(AND(AI236=1,AJ236=0,AsOfUTC&gt;Q236),1,0)</f>
        <v>0</v>
      </c>
      <c r="AL236" s="61" t="n">
        <f aca="false">IFERROR(IF(AND(AI236=1,OR(TRIM(U236)="Fail",AND(TRIM(AB236)&lt;&gt;"",TRIM(AB236)&lt;&gt;"Closed"),AND(ISNUMBER(AF236),AF236&lt;&gt;0,TRIM(U236)&lt;&gt;"Pass after CA"))),1,0),1)</f>
        <v>0</v>
      </c>
      <c r="AM236" s="61" t="n">
        <f aca="false">IF(LEFT(AH236,7)="INVALID",1,0)</f>
        <v>0</v>
      </c>
      <c r="AN236" s="61" t="n">
        <f aca="false">IF(AND(N236="Clarification required",AI236=1,AJ236=0),1,0)</f>
        <v>0</v>
      </c>
      <c r="AO236" s="61" t="str">
        <f aca="false">IF(AK236=1,SUM(AK$5:AK236),"")</f>
        <v/>
      </c>
      <c r="AP236" s="61" t="str">
        <f aca="false">IF(AL236=1,SUM(AL$5:AL236),"")</f>
        <v/>
      </c>
      <c r="AQ236" s="61" t="n">
        <v>0</v>
      </c>
      <c r="AR236" s="61" t="n">
        <v>0</v>
      </c>
      <c r="AS236" s="61" t="n">
        <v>0</v>
      </c>
      <c r="AT236" s="61" t="n">
        <v>0</v>
      </c>
      <c r="AU236" s="61" t="str">
        <f aca="false">SUBSTITUTE(SUBSTITUTE(SUBSTITUTE(SUBSTITUTE(SUBSTITUTE(SUBSTITUTE(SUBSTITUTE(SUBSTITUTE(SUBSTITUTE(SUBSTITUTE(SUBSTITUTE(SUBSTITUTE(SUBSTITUTE(LOWER(T236&amp;""),CHAR(160),"")," ",""),".",""),"-",""),"/",""),"?",""),"_",""),",",""),"[",""),"]",""),"(",""),")",""),"*","")</f>
        <v/>
      </c>
      <c r="AV236" s="61" t="str">
        <f aca="false">SUBSTITUTE(SUBSTITUTE(SUBSTITUTE(SUBSTITUTE(SUBSTITUTE(SUBSTITUTE(SUBSTITUTE(SUBSTITUTE(SUBSTITUTE(SUBSTITUTE(SUBSTITUTE(SUBSTITUTE(SUBSTITUTE(LOWER(V236&amp;""),CHAR(160),"")," ",""),".",""),"-",""),"/",""),"?",""),"_",""),",",""),"[",""),"]",""),"(",""),")",""),"*","")</f>
        <v/>
      </c>
      <c r="AW236" s="61" t="str">
        <f aca="false">SUBSTITUTE(SUBSTITUTE(SUBSTITUTE(SUBSTITUTE(SUBSTITUTE(SUBSTITUTE(SUBSTITUTE(SUBSTITUTE(SUBSTITUTE(SUBSTITUTE(SUBSTITUTE(SUBSTITUTE(SUBSTITUTE(LOWER(Z236&amp;""),CHAR(160),"")," ",""),".",""),"-",""),"/",""),"?",""),"_",""),",",""),"[",""),"]",""),"(",""),")",""),"*","")</f>
        <v/>
      </c>
      <c r="AX236" s="61" t="str">
        <f aca="false">SUBSTITUTE(SUBSTITUTE(SUBSTITUTE(SUBSTITUTE(SUBSTITUTE(SUBSTITUTE(SUBSTITUTE(SUBSTITUTE(SUBSTITUTE(SUBSTITUTE(SUBSTITUTE(SUBSTITUTE(SUBSTITUTE(LOWER(AE236&amp;""),CHAR(160),"")," ",""),".",""),"-",""),"/",""),"?",""),"_",""),",",""),"[",""),"]",""),"(",""),")",""),"*","")</f>
        <v/>
      </c>
      <c r="AY236" s="61" t="str">
        <f aca="false">SUBSTITUTE(SUBSTITUTE(SUBSTITUTE(SUBSTITUTE(SUBSTITUTE(SUBSTITUTE(SUBSTITUTE(SUBSTITUTE(SUBSTITUTE(SUBSTITUTE(SUBSTITUTE(SUBSTITUTE(SUBSTITUTE(LOWER(W236&amp;""),CHAR(160),"")," ",""),".",""),"-",""),"/",""),"?",""),"_",""),",",""),"[",""),"]",""),"(",""),")",""),"*","")</f>
        <v/>
      </c>
      <c r="AZ236" s="61" t="str">
        <f aca="false">SUBSTITUTE(SUBSTITUTE(SUBSTITUTE(SUBSTITUTE(SUBSTITUTE(SUBSTITUTE(SUBSTITUTE(SUBSTITUTE(SUBSTITUTE(SUBSTITUTE(SUBSTITUTE(SUBSTITUTE(SUBSTITUTE(LOWER(AC236&amp;""),CHAR(160),"")," ",""),".",""),"-",""),"/",""),"?",""),"_",""),",",""),"[",""),"]",""),"(",""),")",""),"*","")</f>
        <v/>
      </c>
      <c r="BA236" s="61" t="str">
        <f aca="false">SUBSTITUTE(SUBSTITUTE(SUBSTITUTE(SUBSTITUTE(SUBSTITUTE(SUBSTITUTE(SUBSTITUTE(SUBSTITUTE(SUBSTITUTE(SUBSTITUTE(SUBSTITUTE(SUBSTITUTE(SUBSTITUTE(LOWER(AA236&amp;""),CHAR(160),"")," ",""),".",""),"-",""),"/",""),"?",""),"_",""),",",""),"[",""),"]",""),"(",""),")",""),"*","")</f>
        <v/>
      </c>
      <c r="BB236" s="61" t="str">
        <f aca="false">IF(AND(TRIM(U236)="Pass",ISNUMBER(AF236)),IF(AF236&lt;&gt;0,"INVALID – qty variance: use Fail or Pass after CA",""),"")&amp;IF(AND(TRIM(U236)="Pass after CA",ISNUMBER(AF236)),IF(AF236&lt;&gt;0,"INVALID – after the corrective action the actual qty must equal expected (update Actual)",""),"")&amp;IF(AND(TRIM(U236)="Pass",TRIM(AB236)&lt;&gt;"",TRIM(AB236)&lt;&gt;"Closed"),"INVALID – corrective action not closed: use Fail, then Pass after CA","")&amp;IF(AND(TRIM(AA236)&lt;&gt;"",TRIM(AB236)=""),"INVALID – CA status missing for the recorded corrective action","")&amp;IF(AND(TRIM(U236)="Pass after CA",OR(OR(LEN(BA236)&lt;5,ISNUMBER(MATCH(BA236,L_Placeholder,0))),TRIM(AB236)&lt;&gt;"Closed")),"INVALID – corrective action not recorded/closed","")</f>
        <v/>
      </c>
    </row>
    <row r="237" customFormat="false" ht="41.25" hidden="false" customHeight="true" outlineLevel="0" collapsed="false">
      <c r="A237" s="57" t="s">
        <v>781</v>
      </c>
      <c r="B237" s="57" t="s">
        <v>232</v>
      </c>
      <c r="C237" s="57" t="str">
        <f aca="false">Flights!$F$11</f>
        <v>MH0003</v>
      </c>
      <c r="D237" s="58" t="n">
        <f aca="false">Flights!$D$11</f>
        <v>46304</v>
      </c>
      <c r="E237" s="57" t="str">
        <f aca="false">Flights!$G$11&amp;"-"&amp;Flights!$H$11</f>
        <v>LHR-KUL</v>
      </c>
      <c r="F237" s="57" t="str">
        <f aca="false">Flights!$K$11</f>
        <v>BC</v>
      </c>
      <c r="G237" s="57" t="s">
        <v>398</v>
      </c>
      <c r="H237" s="57" t="s">
        <v>356</v>
      </c>
      <c r="I237" s="57" t="s">
        <v>477</v>
      </c>
      <c r="J237" s="57" t="s">
        <v>489</v>
      </c>
      <c r="K237" s="67" t="s">
        <v>479</v>
      </c>
      <c r="L237" s="67" t="s">
        <v>720</v>
      </c>
      <c r="M237" s="67" t="s">
        <v>429</v>
      </c>
      <c r="N237" s="67" t="s">
        <v>361</v>
      </c>
      <c r="O237" s="67" t="s">
        <v>430</v>
      </c>
      <c r="P237" s="57" t="s">
        <v>183</v>
      </c>
      <c r="Q237" s="59" t="n">
        <f aca="false">ROUND((Flights!$AE$11)*1440,0)/1440</f>
        <v>46303.9166666667</v>
      </c>
      <c r="R237" s="59" t="n">
        <f aca="false">Q237+(IF(AND(INDEX(TZ_DSTS,MATCH(P237,TZ_STN,0))&lt;&gt;"",Q237&gt;=INDEX(TZ_DSTS,MATCH(P237,TZ_STN,0)),Q237&lt;INDEX(TZ_DSTE,MATCH(P237,TZ_STN,0))),INDEX(TZ_DST,MATCH(P237,TZ_STN,0)),INDEX(TZ_STD,MATCH(P237,TZ_STN,0))))/24</f>
        <v>46303.9583333333</v>
      </c>
      <c r="S237" s="59" t="n">
        <f aca="false">Q237-T12EarlyH/24</f>
        <v>46303.4166666667</v>
      </c>
      <c r="T237" s="60"/>
      <c r="U237" s="60"/>
      <c r="V237" s="60"/>
      <c r="W237" s="61"/>
      <c r="X237" s="60"/>
      <c r="Y237" s="60"/>
      <c r="Z237" s="60"/>
      <c r="AA237" s="60"/>
      <c r="AB237" s="60"/>
      <c r="AC237" s="60"/>
      <c r="AD237" s="66"/>
      <c r="AE237" s="60"/>
      <c r="AF237" s="61" t="str">
        <f aca="false">IF(AND(ISNUMBER(X237),ISNUMBER(Y237)),Y237-X237,"")</f>
        <v/>
      </c>
      <c r="AG237" s="62" t="str">
        <f aca="false">IF(ISNUMBER(AD237),AD237-(IF(AND(INDEX(TZ_DSTS,MATCH(P237,TZ_STN,0))&lt;&gt;"",(AD237-INDEX(TZ_STD,MATCH(P237,TZ_STN,0))/24)&gt;=INDEX(TZ_DSTS,MATCH(P237,TZ_STN,0)),(AD237-INDEX(TZ_STD,MATCH(P237,TZ_STN,0))/24)&lt;INDEX(TZ_DSTE,MATCH(P237,TZ_STN,0))),INDEX(TZ_DST,MATCH(P237,TZ_STN,0)),INDEX(TZ_STD,MATCH(P237,TZ_STN,0))))/24,"")</f>
        <v/>
      </c>
      <c r="AH237" s="65" t="str">
        <f aca="false">IFERROR(IF(N237="N/A – rule","N/A – RULE",IF(TRIM(U237)="N/A",IF(AT237=0,"INVALID – N/A not permitted for this check",IF(AND(TRIM(AB237)&lt;&gt;"",TRIM(AB237)&lt;&gt;"Closed"),"INVALID – corrective action still open",IF(AND(NOT(OR(LEN(AZ237)&lt;15,ISNUMBER(MATCH(AZ237,L_Placeholder,0)))),NOT(OR(LEN(AU237)&lt;2,ISNUMBER(MATCH(AU237,L_Placeholder,0)))),NOT(OR(LEN(AX237)&lt;2,ISNUMBER(MATCH(AX237,L_Placeholder,0)))),TRIM(AE237)&lt;&gt;TRIM(T237)),"N/A – JUSTIFIED","INVALID – N/A needs a real justification (15+ chars), PIC and a different verifier"))),IF(OR(TRIM(U237)="Pass",TRIM(U237)="Pass after CA"),IF(NOT(ISNUMBER(AD237)),"INVALID – completion time missing",IF(OR(LEN(AU237)&lt;2,ISNUMBER(MATCH(AU237,L_Placeholder,0))),"INVALID – PIC missing",IF(OR(LEN(AV237)&lt;2,ISNUMBER(MATCH(AV237,L_Placeholder,0))),"INVALID – result / assessment missing",IF(OR(OR(LEN(AW237)&lt;3,ISNUMBER(MATCH(AW237,L_Placeholder,0))),SUMPRODUCT(--ISNUMBER(SEARCH(L_EvidencePhrase,AW237)))&gt;0),"INVALID – evidence missing, placeholder or not yet on file",IF(OR(LEN(AX237)&lt;2,ISNUMBER(MATCH(AX237,L_Placeholder,0))),"INVALID – verifier missing",IF(AX237=AU237,"INVALID – verifier must be someone other than the PIC",IF(AND(TRIM(U237)="Pass",SUMPRODUCT(--ISNUMBER(SEARCH(L_ResultBad,AV237)))&gt;0),"INVALID – result describes a problem: use Fail, then Pass after CA",IF(AND(AQ237=1,OR(LEN(AY237)&lt;3,ISNUMBER(MATCH(AY237,L_Placeholder,0)))),"INVALID – batch ID missing or placeholder",IF(AND(AR237=1,OR(NOT(ISNUMBER(X237)),NOT(ISNUMBER(Y237)))),"INVALID – expected/actual qty missing",IF(AND(AR237=1,OR(X237&lt;=0,Y237&lt;0)),"INVALID – expected qty must be above 0 and actual not negative",IF(BB237&lt;&gt;"",BB237,IF(AND(AS237=1,Documents!$J$11&lt;&gt;"ON FILE"),"INVALID – GLD not on file (Documents sheet)",IF(AND(AS237=2,Documents!$O$11&lt;&gt;"ON FILE"),"INVALID – menu checklist not on file (Documents sheet)",IF(AND(AS237=3,NOT(ISNUMBER(Flights!$AX$11))),"INVALID – enter carrying flight KUL departure (Flights AX)",IF(AND(AS237=3,OR(Flights!$AZ$11&gt;Flights!$AA$11,Flights!$AX$11&lt;Flights!$AA$11-3)),"INVALID – carrying flight (Flights AX) cannot arrive before this leg's STD, or is over 3 days early",IF(AG237&gt;AsOfUTC,"INVALID – completion time is in the future",IF(AND(ISNUMBER(S237),AG237&lt;S237),IF(H237="Physical uplift","INVALID – before uplift window (cannot confirm loading)","INVALID – before valid window"),IF(AG237&gt;Flights!$AA$11,"INVALID – completed after departure (cannot establish readiness)",IF(AND(H237="Preparation",AG237&gt;IF(ISNUMBER(Flights!$BA$11),MIN(Flights!$BA$11,Flights!$AA$11),Flights!$AA$11)),"INVALID – completed after loading / departure (cannot establish readiness)",IF(AND(H237="Physical uplift",AG237&gt;Q237),"INVALID – recorded after the loading flight departed",IF(AG237&gt;Q237,"COMPLETE – LATE","COMPLETE"))))))))))))))))))))),IF(TRIM(U237)="Fail","FAIL – DISCREPANCY",IF(AND(TRIM(U237)&lt;&gt;"",TRIM(U237)&lt;&gt;"Not started",TRIM(U237)&lt;&gt;"In progress"),"INVALID – unrecognised status (use the list)",IF(AsOfUTC&gt;Q237,"OVERDUE",IF(N237="Clarification required","OPEN – CLARIFICATION","OPEN"))))))),"INVALID – error value in an input cell")</f>
        <v>OPEN</v>
      </c>
      <c r="AI237" s="61" t="n">
        <f aca="false">IF(OR(AH237="N/A – RULE",AH237="N/A – JUSTIFIED"),0,1)</f>
        <v>1</v>
      </c>
      <c r="AJ237" s="61" t="n">
        <f aca="false">IF(LEFT(AH237,8)="COMPLETE",1,0)</f>
        <v>0</v>
      </c>
      <c r="AK237" s="61" t="n">
        <f aca="false">IF(AND(AI237=1,AJ237=0,AsOfUTC&gt;Q237),1,0)</f>
        <v>0</v>
      </c>
      <c r="AL237" s="61" t="n">
        <f aca="false">IFERROR(IF(AND(AI237=1,OR(TRIM(U237)="Fail",AND(TRIM(AB237)&lt;&gt;"",TRIM(AB237)&lt;&gt;"Closed"),AND(ISNUMBER(AF237),AF237&lt;&gt;0,TRIM(U237)&lt;&gt;"Pass after CA"))),1,0),1)</f>
        <v>0</v>
      </c>
      <c r="AM237" s="61" t="n">
        <f aca="false">IF(LEFT(AH237,7)="INVALID",1,0)</f>
        <v>0</v>
      </c>
      <c r="AN237" s="61" t="n">
        <f aca="false">IF(AND(N237="Clarification required",AI237=1,AJ237=0),1,0)</f>
        <v>0</v>
      </c>
      <c r="AO237" s="61" t="str">
        <f aca="false">IF(AK237=1,SUM(AK$5:AK237),"")</f>
        <v/>
      </c>
      <c r="AP237" s="61" t="str">
        <f aca="false">IF(AL237=1,SUM(AL$5:AL237),"")</f>
        <v/>
      </c>
      <c r="AQ237" s="61" t="n">
        <v>0</v>
      </c>
      <c r="AR237" s="61" t="n">
        <v>0</v>
      </c>
      <c r="AS237" s="61" t="n">
        <v>0</v>
      </c>
      <c r="AT237" s="61" t="n">
        <v>0</v>
      </c>
      <c r="AU237" s="61" t="str">
        <f aca="false">SUBSTITUTE(SUBSTITUTE(SUBSTITUTE(SUBSTITUTE(SUBSTITUTE(SUBSTITUTE(SUBSTITUTE(SUBSTITUTE(SUBSTITUTE(SUBSTITUTE(SUBSTITUTE(SUBSTITUTE(SUBSTITUTE(LOWER(T237&amp;""),CHAR(160),"")," ",""),".",""),"-",""),"/",""),"?",""),"_",""),",",""),"[",""),"]",""),"(",""),")",""),"*","")</f>
        <v/>
      </c>
      <c r="AV237" s="61" t="str">
        <f aca="false">SUBSTITUTE(SUBSTITUTE(SUBSTITUTE(SUBSTITUTE(SUBSTITUTE(SUBSTITUTE(SUBSTITUTE(SUBSTITUTE(SUBSTITUTE(SUBSTITUTE(SUBSTITUTE(SUBSTITUTE(SUBSTITUTE(LOWER(V237&amp;""),CHAR(160),"")," ",""),".",""),"-",""),"/",""),"?",""),"_",""),",",""),"[",""),"]",""),"(",""),")",""),"*","")</f>
        <v/>
      </c>
      <c r="AW237" s="61" t="str">
        <f aca="false">SUBSTITUTE(SUBSTITUTE(SUBSTITUTE(SUBSTITUTE(SUBSTITUTE(SUBSTITUTE(SUBSTITUTE(SUBSTITUTE(SUBSTITUTE(SUBSTITUTE(SUBSTITUTE(SUBSTITUTE(SUBSTITUTE(LOWER(Z237&amp;""),CHAR(160),"")," ",""),".",""),"-",""),"/",""),"?",""),"_",""),",",""),"[",""),"]",""),"(",""),")",""),"*","")</f>
        <v/>
      </c>
      <c r="AX237" s="61" t="str">
        <f aca="false">SUBSTITUTE(SUBSTITUTE(SUBSTITUTE(SUBSTITUTE(SUBSTITUTE(SUBSTITUTE(SUBSTITUTE(SUBSTITUTE(SUBSTITUTE(SUBSTITUTE(SUBSTITUTE(SUBSTITUTE(SUBSTITUTE(LOWER(AE237&amp;""),CHAR(160),"")," ",""),".",""),"-",""),"/",""),"?",""),"_",""),",",""),"[",""),"]",""),"(",""),")",""),"*","")</f>
        <v/>
      </c>
      <c r="AY237" s="61" t="str">
        <f aca="false">SUBSTITUTE(SUBSTITUTE(SUBSTITUTE(SUBSTITUTE(SUBSTITUTE(SUBSTITUTE(SUBSTITUTE(SUBSTITUTE(SUBSTITUTE(SUBSTITUTE(SUBSTITUTE(SUBSTITUTE(SUBSTITUTE(LOWER(W237&amp;""),CHAR(160),"")," ",""),".",""),"-",""),"/",""),"?",""),"_",""),",",""),"[",""),"]",""),"(",""),")",""),"*","")</f>
        <v/>
      </c>
      <c r="AZ237" s="61" t="str">
        <f aca="false">SUBSTITUTE(SUBSTITUTE(SUBSTITUTE(SUBSTITUTE(SUBSTITUTE(SUBSTITUTE(SUBSTITUTE(SUBSTITUTE(SUBSTITUTE(SUBSTITUTE(SUBSTITUTE(SUBSTITUTE(SUBSTITUTE(LOWER(AC237&amp;""),CHAR(160),"")," ",""),".",""),"-",""),"/",""),"?",""),"_",""),",",""),"[",""),"]",""),"(",""),")",""),"*","")</f>
        <v/>
      </c>
      <c r="BA237" s="61" t="str">
        <f aca="false">SUBSTITUTE(SUBSTITUTE(SUBSTITUTE(SUBSTITUTE(SUBSTITUTE(SUBSTITUTE(SUBSTITUTE(SUBSTITUTE(SUBSTITUTE(SUBSTITUTE(SUBSTITUTE(SUBSTITUTE(SUBSTITUTE(LOWER(AA237&amp;""),CHAR(160),"")," ",""),".",""),"-",""),"/",""),"?",""),"_",""),",",""),"[",""),"]",""),"(",""),")",""),"*","")</f>
        <v/>
      </c>
      <c r="BB237" s="61" t="str">
        <f aca="false">IF(AND(TRIM(U237)="Pass",ISNUMBER(AF237)),IF(AF237&lt;&gt;0,"INVALID – qty variance: use Fail or Pass after CA",""),"")&amp;IF(AND(TRIM(U237)="Pass after CA",ISNUMBER(AF237)),IF(AF237&lt;&gt;0,"INVALID – after the corrective action the actual qty must equal expected (update Actual)",""),"")&amp;IF(AND(TRIM(U237)="Pass",TRIM(AB237)&lt;&gt;"",TRIM(AB237)&lt;&gt;"Closed"),"INVALID – corrective action not closed: use Fail, then Pass after CA","")&amp;IF(AND(TRIM(AA237)&lt;&gt;"",TRIM(AB237)=""),"INVALID – CA status missing for the recorded corrective action","")&amp;IF(AND(TRIM(U237)="Pass after CA",OR(OR(LEN(BA237)&lt;5,ISNUMBER(MATCH(BA237,L_Placeholder,0))),TRIM(AB237)&lt;&gt;"Closed")),"INVALID – corrective action not recorded/closed","")</f>
        <v/>
      </c>
    </row>
    <row r="238" customFormat="false" ht="41.25" hidden="false" customHeight="true" outlineLevel="0" collapsed="false">
      <c r="A238" s="57" t="s">
        <v>782</v>
      </c>
      <c r="B238" s="57" t="s">
        <v>232</v>
      </c>
      <c r="C238" s="57" t="str">
        <f aca="false">Flights!$F$11</f>
        <v>MH0003</v>
      </c>
      <c r="D238" s="58" t="n">
        <f aca="false">Flights!$D$11</f>
        <v>46304</v>
      </c>
      <c r="E238" s="57" t="str">
        <f aca="false">Flights!$G$11&amp;"-"&amp;Flights!$H$11</f>
        <v>LHR-KUL</v>
      </c>
      <c r="F238" s="57" t="str">
        <f aca="false">Flights!$K$11</f>
        <v>BC</v>
      </c>
      <c r="G238" s="57" t="s">
        <v>398</v>
      </c>
      <c r="H238" s="57" t="s">
        <v>356</v>
      </c>
      <c r="I238" s="57" t="s">
        <v>477</v>
      </c>
      <c r="J238" s="57" t="s">
        <v>493</v>
      </c>
      <c r="K238" s="67" t="s">
        <v>479</v>
      </c>
      <c r="L238" s="67" t="s">
        <v>722</v>
      </c>
      <c r="M238" s="67" t="s">
        <v>429</v>
      </c>
      <c r="N238" s="67" t="s">
        <v>361</v>
      </c>
      <c r="O238" s="67" t="s">
        <v>430</v>
      </c>
      <c r="P238" s="57" t="s">
        <v>183</v>
      </c>
      <c r="Q238" s="59" t="n">
        <f aca="false">ROUND((Flights!$AE$11)*1440,0)/1440</f>
        <v>46303.9166666667</v>
      </c>
      <c r="R238" s="59" t="n">
        <f aca="false">Q238+(IF(AND(INDEX(TZ_DSTS,MATCH(P238,TZ_STN,0))&lt;&gt;"",Q238&gt;=INDEX(TZ_DSTS,MATCH(P238,TZ_STN,0)),Q238&lt;INDEX(TZ_DSTE,MATCH(P238,TZ_STN,0))),INDEX(TZ_DST,MATCH(P238,TZ_STN,0)),INDEX(TZ_STD,MATCH(P238,TZ_STN,0))))/24</f>
        <v>46303.9583333333</v>
      </c>
      <c r="S238" s="59" t="n">
        <f aca="false">Q238-T12EarlyH/24</f>
        <v>46303.4166666667</v>
      </c>
      <c r="T238" s="60"/>
      <c r="U238" s="60"/>
      <c r="V238" s="60"/>
      <c r="W238" s="61"/>
      <c r="X238" s="60"/>
      <c r="Y238" s="60"/>
      <c r="Z238" s="60"/>
      <c r="AA238" s="60"/>
      <c r="AB238" s="60"/>
      <c r="AC238" s="60"/>
      <c r="AD238" s="66"/>
      <c r="AE238" s="60"/>
      <c r="AF238" s="61" t="str">
        <f aca="false">IF(AND(ISNUMBER(X238),ISNUMBER(Y238)),Y238-X238,"")</f>
        <v/>
      </c>
      <c r="AG238" s="62" t="str">
        <f aca="false">IF(ISNUMBER(AD238),AD238-(IF(AND(INDEX(TZ_DSTS,MATCH(P238,TZ_STN,0))&lt;&gt;"",(AD238-INDEX(TZ_STD,MATCH(P238,TZ_STN,0))/24)&gt;=INDEX(TZ_DSTS,MATCH(P238,TZ_STN,0)),(AD238-INDEX(TZ_STD,MATCH(P238,TZ_STN,0))/24)&lt;INDEX(TZ_DSTE,MATCH(P238,TZ_STN,0))),INDEX(TZ_DST,MATCH(P238,TZ_STN,0)),INDEX(TZ_STD,MATCH(P238,TZ_STN,0))))/24,"")</f>
        <v/>
      </c>
      <c r="AH238" s="65" t="str">
        <f aca="false">IFERROR(IF(N238="N/A – rule","N/A – RULE",IF(TRIM(U238)="N/A",IF(AT238=0,"INVALID – N/A not permitted for this check",IF(AND(TRIM(AB238)&lt;&gt;"",TRIM(AB238)&lt;&gt;"Closed"),"INVALID – corrective action still open",IF(AND(NOT(OR(LEN(AZ238)&lt;15,ISNUMBER(MATCH(AZ238,L_Placeholder,0)))),NOT(OR(LEN(AU238)&lt;2,ISNUMBER(MATCH(AU238,L_Placeholder,0)))),NOT(OR(LEN(AX238)&lt;2,ISNUMBER(MATCH(AX238,L_Placeholder,0)))),TRIM(AE238)&lt;&gt;TRIM(T238)),"N/A – JUSTIFIED","INVALID – N/A needs a real justification (15+ chars), PIC and a different verifier"))),IF(OR(TRIM(U238)="Pass",TRIM(U238)="Pass after CA"),IF(NOT(ISNUMBER(AD238)),"INVALID – completion time missing",IF(OR(LEN(AU238)&lt;2,ISNUMBER(MATCH(AU238,L_Placeholder,0))),"INVALID – PIC missing",IF(OR(LEN(AV238)&lt;2,ISNUMBER(MATCH(AV238,L_Placeholder,0))),"INVALID – result / assessment missing",IF(OR(OR(LEN(AW238)&lt;3,ISNUMBER(MATCH(AW238,L_Placeholder,0))),SUMPRODUCT(--ISNUMBER(SEARCH(L_EvidencePhrase,AW238)))&gt;0),"INVALID – evidence missing, placeholder or not yet on file",IF(OR(LEN(AX238)&lt;2,ISNUMBER(MATCH(AX238,L_Placeholder,0))),"INVALID – verifier missing",IF(AX238=AU238,"INVALID – verifier must be someone other than the PIC",IF(AND(TRIM(U238)="Pass",SUMPRODUCT(--ISNUMBER(SEARCH(L_ResultBad,AV238)))&gt;0),"INVALID – result describes a problem: use Fail, then Pass after CA",IF(AND(AQ238=1,OR(LEN(AY238)&lt;3,ISNUMBER(MATCH(AY238,L_Placeholder,0)))),"INVALID – batch ID missing or placeholder",IF(AND(AR238=1,OR(NOT(ISNUMBER(X238)),NOT(ISNUMBER(Y238)))),"INVALID – expected/actual qty missing",IF(AND(AR238=1,OR(X238&lt;=0,Y238&lt;0)),"INVALID – expected qty must be above 0 and actual not negative",IF(BB238&lt;&gt;"",BB238,IF(AND(AS238=1,Documents!$J$11&lt;&gt;"ON FILE"),"INVALID – GLD not on file (Documents sheet)",IF(AND(AS238=2,Documents!$O$11&lt;&gt;"ON FILE"),"INVALID – menu checklist not on file (Documents sheet)",IF(AND(AS238=3,NOT(ISNUMBER(Flights!$AX$11))),"INVALID – enter carrying flight KUL departure (Flights AX)",IF(AND(AS238=3,OR(Flights!$AZ$11&gt;Flights!$AA$11,Flights!$AX$11&lt;Flights!$AA$11-3)),"INVALID – carrying flight (Flights AX) cannot arrive before this leg's STD, or is over 3 days early",IF(AG238&gt;AsOfUTC,"INVALID – completion time is in the future",IF(AND(ISNUMBER(S238),AG238&lt;S238),IF(H238="Physical uplift","INVALID – before uplift window (cannot confirm loading)","INVALID – before valid window"),IF(AG238&gt;Flights!$AA$11,"INVALID – completed after departure (cannot establish readiness)",IF(AND(H238="Preparation",AG238&gt;IF(ISNUMBER(Flights!$BA$11),MIN(Flights!$BA$11,Flights!$AA$11),Flights!$AA$11)),"INVALID – completed after loading / departure (cannot establish readiness)",IF(AND(H238="Physical uplift",AG238&gt;Q238),"INVALID – recorded after the loading flight departed",IF(AG238&gt;Q238,"COMPLETE – LATE","COMPLETE"))))))))))))))))))))),IF(TRIM(U238)="Fail","FAIL – DISCREPANCY",IF(AND(TRIM(U238)&lt;&gt;"",TRIM(U238)&lt;&gt;"Not started",TRIM(U238)&lt;&gt;"In progress"),"INVALID – unrecognised status (use the list)",IF(AsOfUTC&gt;Q238,"OVERDUE",IF(N238="Clarification required","OPEN – CLARIFICATION","OPEN"))))))),"INVALID – error value in an input cell")</f>
        <v>OPEN</v>
      </c>
      <c r="AI238" s="61" t="n">
        <f aca="false">IF(OR(AH238="N/A – RULE",AH238="N/A – JUSTIFIED"),0,1)</f>
        <v>1</v>
      </c>
      <c r="AJ238" s="61" t="n">
        <f aca="false">IF(LEFT(AH238,8)="COMPLETE",1,0)</f>
        <v>0</v>
      </c>
      <c r="AK238" s="61" t="n">
        <f aca="false">IF(AND(AI238=1,AJ238=0,AsOfUTC&gt;Q238),1,0)</f>
        <v>0</v>
      </c>
      <c r="AL238" s="61" t="n">
        <f aca="false">IFERROR(IF(AND(AI238=1,OR(TRIM(U238)="Fail",AND(TRIM(AB238)&lt;&gt;"",TRIM(AB238)&lt;&gt;"Closed"),AND(ISNUMBER(AF238),AF238&lt;&gt;0,TRIM(U238)&lt;&gt;"Pass after CA"))),1,0),1)</f>
        <v>0</v>
      </c>
      <c r="AM238" s="61" t="n">
        <f aca="false">IF(LEFT(AH238,7)="INVALID",1,0)</f>
        <v>0</v>
      </c>
      <c r="AN238" s="61" t="n">
        <f aca="false">IF(AND(N238="Clarification required",AI238=1,AJ238=0),1,0)</f>
        <v>0</v>
      </c>
      <c r="AO238" s="61" t="str">
        <f aca="false">IF(AK238=1,SUM(AK$5:AK238),"")</f>
        <v/>
      </c>
      <c r="AP238" s="61" t="str">
        <f aca="false">IF(AL238=1,SUM(AL$5:AL238),"")</f>
        <v/>
      </c>
      <c r="AQ238" s="61" t="n">
        <v>0</v>
      </c>
      <c r="AR238" s="61" t="n">
        <v>0</v>
      </c>
      <c r="AS238" s="61" t="n">
        <v>0</v>
      </c>
      <c r="AT238" s="61" t="n">
        <v>0</v>
      </c>
      <c r="AU238" s="61" t="str">
        <f aca="false">SUBSTITUTE(SUBSTITUTE(SUBSTITUTE(SUBSTITUTE(SUBSTITUTE(SUBSTITUTE(SUBSTITUTE(SUBSTITUTE(SUBSTITUTE(SUBSTITUTE(SUBSTITUTE(SUBSTITUTE(SUBSTITUTE(LOWER(T238&amp;""),CHAR(160),"")," ",""),".",""),"-",""),"/",""),"?",""),"_",""),",",""),"[",""),"]",""),"(",""),")",""),"*","")</f>
        <v/>
      </c>
      <c r="AV238" s="61" t="str">
        <f aca="false">SUBSTITUTE(SUBSTITUTE(SUBSTITUTE(SUBSTITUTE(SUBSTITUTE(SUBSTITUTE(SUBSTITUTE(SUBSTITUTE(SUBSTITUTE(SUBSTITUTE(SUBSTITUTE(SUBSTITUTE(SUBSTITUTE(LOWER(V238&amp;""),CHAR(160),"")," ",""),".",""),"-",""),"/",""),"?",""),"_",""),",",""),"[",""),"]",""),"(",""),")",""),"*","")</f>
        <v/>
      </c>
      <c r="AW238" s="61" t="str">
        <f aca="false">SUBSTITUTE(SUBSTITUTE(SUBSTITUTE(SUBSTITUTE(SUBSTITUTE(SUBSTITUTE(SUBSTITUTE(SUBSTITUTE(SUBSTITUTE(SUBSTITUTE(SUBSTITUTE(SUBSTITUTE(SUBSTITUTE(LOWER(Z238&amp;""),CHAR(160),"")," ",""),".",""),"-",""),"/",""),"?",""),"_",""),",",""),"[",""),"]",""),"(",""),")",""),"*","")</f>
        <v/>
      </c>
      <c r="AX238" s="61" t="str">
        <f aca="false">SUBSTITUTE(SUBSTITUTE(SUBSTITUTE(SUBSTITUTE(SUBSTITUTE(SUBSTITUTE(SUBSTITUTE(SUBSTITUTE(SUBSTITUTE(SUBSTITUTE(SUBSTITUTE(SUBSTITUTE(SUBSTITUTE(LOWER(AE238&amp;""),CHAR(160),"")," ",""),".",""),"-",""),"/",""),"?",""),"_",""),",",""),"[",""),"]",""),"(",""),")",""),"*","")</f>
        <v/>
      </c>
      <c r="AY238" s="61" t="str">
        <f aca="false">SUBSTITUTE(SUBSTITUTE(SUBSTITUTE(SUBSTITUTE(SUBSTITUTE(SUBSTITUTE(SUBSTITUTE(SUBSTITUTE(SUBSTITUTE(SUBSTITUTE(SUBSTITUTE(SUBSTITUTE(SUBSTITUTE(LOWER(W238&amp;""),CHAR(160),"")," ",""),".",""),"-",""),"/",""),"?",""),"_",""),",",""),"[",""),"]",""),"(",""),")",""),"*","")</f>
        <v/>
      </c>
      <c r="AZ238" s="61" t="str">
        <f aca="false">SUBSTITUTE(SUBSTITUTE(SUBSTITUTE(SUBSTITUTE(SUBSTITUTE(SUBSTITUTE(SUBSTITUTE(SUBSTITUTE(SUBSTITUTE(SUBSTITUTE(SUBSTITUTE(SUBSTITUTE(SUBSTITUTE(LOWER(AC238&amp;""),CHAR(160),"")," ",""),".",""),"-",""),"/",""),"?",""),"_",""),",",""),"[",""),"]",""),"(",""),")",""),"*","")</f>
        <v/>
      </c>
      <c r="BA238" s="61" t="str">
        <f aca="false">SUBSTITUTE(SUBSTITUTE(SUBSTITUTE(SUBSTITUTE(SUBSTITUTE(SUBSTITUTE(SUBSTITUTE(SUBSTITUTE(SUBSTITUTE(SUBSTITUTE(SUBSTITUTE(SUBSTITUTE(SUBSTITUTE(LOWER(AA238&amp;""),CHAR(160),"")," ",""),".",""),"-",""),"/",""),"?",""),"_",""),",",""),"[",""),"]",""),"(",""),")",""),"*","")</f>
        <v/>
      </c>
      <c r="BB238" s="61" t="str">
        <f aca="false">IF(AND(TRIM(U238)="Pass",ISNUMBER(AF238)),IF(AF238&lt;&gt;0,"INVALID – qty variance: use Fail or Pass after CA",""),"")&amp;IF(AND(TRIM(U238)="Pass after CA",ISNUMBER(AF238)),IF(AF238&lt;&gt;0,"INVALID – after the corrective action the actual qty must equal expected (update Actual)",""),"")&amp;IF(AND(TRIM(U238)="Pass",TRIM(AB238)&lt;&gt;"",TRIM(AB238)&lt;&gt;"Closed"),"INVALID – corrective action not closed: use Fail, then Pass after CA","")&amp;IF(AND(TRIM(AA238)&lt;&gt;"",TRIM(AB238)=""),"INVALID – CA status missing for the recorded corrective action","")&amp;IF(AND(TRIM(U238)="Pass after CA",OR(OR(LEN(BA238)&lt;5,ISNUMBER(MATCH(BA238,L_Placeholder,0))),TRIM(AB238)&lt;&gt;"Closed")),"INVALID – corrective action not recorded/closed","")</f>
        <v/>
      </c>
    </row>
    <row r="239" customFormat="false" ht="54" hidden="false" customHeight="true" outlineLevel="0" collapsed="false">
      <c r="A239" s="57" t="s">
        <v>783</v>
      </c>
      <c r="B239" s="57" t="s">
        <v>232</v>
      </c>
      <c r="C239" s="57" t="str">
        <f aca="false">Flights!$F$11</f>
        <v>MH0003</v>
      </c>
      <c r="D239" s="58" t="n">
        <f aca="false">Flights!$D$11</f>
        <v>46304</v>
      </c>
      <c r="E239" s="57" t="str">
        <f aca="false">Flights!$G$11&amp;"-"&amp;Flights!$H$11</f>
        <v>LHR-KUL</v>
      </c>
      <c r="F239" s="57" t="str">
        <f aca="false">Flights!$K$11</f>
        <v>BC</v>
      </c>
      <c r="G239" s="57" t="s">
        <v>398</v>
      </c>
      <c r="H239" s="57" t="s">
        <v>356</v>
      </c>
      <c r="I239" s="57" t="s">
        <v>477</v>
      </c>
      <c r="J239" s="57" t="s">
        <v>496</v>
      </c>
      <c r="K239" s="67" t="s">
        <v>594</v>
      </c>
      <c r="L239" s="67" t="s">
        <v>724</v>
      </c>
      <c r="M239" s="67" t="s">
        <v>429</v>
      </c>
      <c r="N239" s="67" t="s">
        <v>361</v>
      </c>
      <c r="O239" s="67" t="s">
        <v>784</v>
      </c>
      <c r="P239" s="57" t="s">
        <v>183</v>
      </c>
      <c r="Q239" s="59" t="n">
        <f aca="false">ROUND((Flights!$AE$11)*1440,0)/1440</f>
        <v>46303.9166666667</v>
      </c>
      <c r="R239" s="59" t="n">
        <f aca="false">Q239+(IF(AND(INDEX(TZ_DSTS,MATCH(P239,TZ_STN,0))&lt;&gt;"",Q239&gt;=INDEX(TZ_DSTS,MATCH(P239,TZ_STN,0)),Q239&lt;INDEX(TZ_DSTE,MATCH(P239,TZ_STN,0))),INDEX(TZ_DST,MATCH(P239,TZ_STN,0)),INDEX(TZ_STD,MATCH(P239,TZ_STN,0))))/24</f>
        <v>46303.9583333333</v>
      </c>
      <c r="S239" s="59" t="n">
        <f aca="false">Q239-T12EarlyH/24</f>
        <v>46303.4166666667</v>
      </c>
      <c r="T239" s="60"/>
      <c r="U239" s="60"/>
      <c r="V239" s="60"/>
      <c r="W239" s="61"/>
      <c r="X239" s="60"/>
      <c r="Y239" s="60"/>
      <c r="Z239" s="60"/>
      <c r="AA239" s="60"/>
      <c r="AB239" s="60"/>
      <c r="AC239" s="60"/>
      <c r="AD239" s="66"/>
      <c r="AE239" s="60"/>
      <c r="AF239" s="61" t="str">
        <f aca="false">IF(AND(ISNUMBER(X239),ISNUMBER(Y239)),Y239-X239,"")</f>
        <v/>
      </c>
      <c r="AG239" s="62" t="str">
        <f aca="false">IF(ISNUMBER(AD239),AD239-(IF(AND(INDEX(TZ_DSTS,MATCH(P239,TZ_STN,0))&lt;&gt;"",(AD239-INDEX(TZ_STD,MATCH(P239,TZ_STN,0))/24)&gt;=INDEX(TZ_DSTS,MATCH(P239,TZ_STN,0)),(AD239-INDEX(TZ_STD,MATCH(P239,TZ_STN,0))/24)&lt;INDEX(TZ_DSTE,MATCH(P239,TZ_STN,0))),INDEX(TZ_DST,MATCH(P239,TZ_STN,0)),INDEX(TZ_STD,MATCH(P239,TZ_STN,0))))/24,"")</f>
        <v/>
      </c>
      <c r="AH239" s="65" t="str">
        <f aca="false">IFERROR(IF(N239="N/A – rule","N/A – RULE",IF(TRIM(U239)="N/A",IF(AT239=0,"INVALID – N/A not permitted for this check",IF(AND(TRIM(AB239)&lt;&gt;"",TRIM(AB239)&lt;&gt;"Closed"),"INVALID – corrective action still open",IF(AND(NOT(OR(LEN(AZ239)&lt;15,ISNUMBER(MATCH(AZ239,L_Placeholder,0)))),NOT(OR(LEN(AU239)&lt;2,ISNUMBER(MATCH(AU239,L_Placeholder,0)))),NOT(OR(LEN(AX239)&lt;2,ISNUMBER(MATCH(AX239,L_Placeholder,0)))),TRIM(AE239)&lt;&gt;TRIM(T239)),"N/A – JUSTIFIED","INVALID – N/A needs a real justification (15+ chars), PIC and a different verifier"))),IF(OR(TRIM(U239)="Pass",TRIM(U239)="Pass after CA"),IF(NOT(ISNUMBER(AD239)),"INVALID – completion time missing",IF(OR(LEN(AU239)&lt;2,ISNUMBER(MATCH(AU239,L_Placeholder,0))),"INVALID – PIC missing",IF(OR(LEN(AV239)&lt;2,ISNUMBER(MATCH(AV239,L_Placeholder,0))),"INVALID – result / assessment missing",IF(OR(OR(LEN(AW239)&lt;3,ISNUMBER(MATCH(AW239,L_Placeholder,0))),SUMPRODUCT(--ISNUMBER(SEARCH(L_EvidencePhrase,AW239)))&gt;0),"INVALID – evidence missing, placeholder or not yet on file",IF(OR(LEN(AX239)&lt;2,ISNUMBER(MATCH(AX239,L_Placeholder,0))),"INVALID – verifier missing",IF(AX239=AU239,"INVALID – verifier must be someone other than the PIC",IF(AND(TRIM(U239)="Pass",SUMPRODUCT(--ISNUMBER(SEARCH(L_ResultBad,AV239)))&gt;0),"INVALID – result describes a problem: use Fail, then Pass after CA",IF(AND(AQ239=1,OR(LEN(AY239)&lt;3,ISNUMBER(MATCH(AY239,L_Placeholder,0)))),"INVALID – batch ID missing or placeholder",IF(AND(AR239=1,OR(NOT(ISNUMBER(X239)),NOT(ISNUMBER(Y239)))),"INVALID – expected/actual qty missing",IF(AND(AR239=1,OR(X239&lt;=0,Y239&lt;0)),"INVALID – expected qty must be above 0 and actual not negative",IF(BB239&lt;&gt;"",BB239,IF(AND(AS239=1,Documents!$J$11&lt;&gt;"ON FILE"),"INVALID – GLD not on file (Documents sheet)",IF(AND(AS239=2,Documents!$O$11&lt;&gt;"ON FILE"),"INVALID – menu checklist not on file (Documents sheet)",IF(AND(AS239=3,NOT(ISNUMBER(Flights!$AX$11))),"INVALID – enter carrying flight KUL departure (Flights AX)",IF(AND(AS239=3,OR(Flights!$AZ$11&gt;Flights!$AA$11,Flights!$AX$11&lt;Flights!$AA$11-3)),"INVALID – carrying flight (Flights AX) cannot arrive before this leg's STD, or is over 3 days early",IF(AG239&gt;AsOfUTC,"INVALID – completion time is in the future",IF(AND(ISNUMBER(S239),AG239&lt;S239),IF(H239="Physical uplift","INVALID – before uplift window (cannot confirm loading)","INVALID – before valid window"),IF(AG239&gt;Flights!$AA$11,"INVALID – completed after departure (cannot establish readiness)",IF(AND(H239="Preparation",AG239&gt;IF(ISNUMBER(Flights!$BA$11),MIN(Flights!$BA$11,Flights!$AA$11),Flights!$AA$11)),"INVALID – completed after loading / departure (cannot establish readiness)",IF(AND(H239="Physical uplift",AG239&gt;Q239),"INVALID – recorded after the loading flight departed",IF(AG239&gt;Q239,"COMPLETE – LATE","COMPLETE"))))))))))))))))))))),IF(TRIM(U239)="Fail","FAIL – DISCREPANCY",IF(AND(TRIM(U239)&lt;&gt;"",TRIM(U239)&lt;&gt;"Not started",TRIM(U239)&lt;&gt;"In progress"),"INVALID – unrecognised status (use the list)",IF(AsOfUTC&gt;Q239,"OVERDUE",IF(N239="Clarification required","OPEN – CLARIFICATION","OPEN"))))))),"INVALID – error value in an input cell")</f>
        <v>OPEN</v>
      </c>
      <c r="AI239" s="61" t="n">
        <f aca="false">IF(OR(AH239="N/A – RULE",AH239="N/A – JUSTIFIED"),0,1)</f>
        <v>1</v>
      </c>
      <c r="AJ239" s="61" t="n">
        <f aca="false">IF(LEFT(AH239,8)="COMPLETE",1,0)</f>
        <v>0</v>
      </c>
      <c r="AK239" s="61" t="n">
        <f aca="false">IF(AND(AI239=1,AJ239=0,AsOfUTC&gt;Q239),1,0)</f>
        <v>0</v>
      </c>
      <c r="AL239" s="61" t="n">
        <f aca="false">IFERROR(IF(AND(AI239=1,OR(TRIM(U239)="Fail",AND(TRIM(AB239)&lt;&gt;"",TRIM(AB239)&lt;&gt;"Closed"),AND(ISNUMBER(AF239),AF239&lt;&gt;0,TRIM(U239)&lt;&gt;"Pass after CA"))),1,0),1)</f>
        <v>0</v>
      </c>
      <c r="AM239" s="61" t="n">
        <f aca="false">IF(LEFT(AH239,7)="INVALID",1,0)</f>
        <v>0</v>
      </c>
      <c r="AN239" s="61" t="n">
        <f aca="false">IF(AND(N239="Clarification required",AI239=1,AJ239=0),1,0)</f>
        <v>0</v>
      </c>
      <c r="AO239" s="61" t="str">
        <f aca="false">IF(AK239=1,SUM(AK$5:AK239),"")</f>
        <v/>
      </c>
      <c r="AP239" s="61" t="str">
        <f aca="false">IF(AL239=1,SUM(AL$5:AL239),"")</f>
        <v/>
      </c>
      <c r="AQ239" s="61" t="n">
        <v>0</v>
      </c>
      <c r="AR239" s="61" t="n">
        <v>0</v>
      </c>
      <c r="AS239" s="61" t="n">
        <v>0</v>
      </c>
      <c r="AT239" s="61" t="n">
        <v>0</v>
      </c>
      <c r="AU239" s="61" t="str">
        <f aca="false">SUBSTITUTE(SUBSTITUTE(SUBSTITUTE(SUBSTITUTE(SUBSTITUTE(SUBSTITUTE(SUBSTITUTE(SUBSTITUTE(SUBSTITUTE(SUBSTITUTE(SUBSTITUTE(SUBSTITUTE(SUBSTITUTE(LOWER(T239&amp;""),CHAR(160),"")," ",""),".",""),"-",""),"/",""),"?",""),"_",""),",",""),"[",""),"]",""),"(",""),")",""),"*","")</f>
        <v/>
      </c>
      <c r="AV239" s="61" t="str">
        <f aca="false">SUBSTITUTE(SUBSTITUTE(SUBSTITUTE(SUBSTITUTE(SUBSTITUTE(SUBSTITUTE(SUBSTITUTE(SUBSTITUTE(SUBSTITUTE(SUBSTITUTE(SUBSTITUTE(SUBSTITUTE(SUBSTITUTE(LOWER(V239&amp;""),CHAR(160),"")," ",""),".",""),"-",""),"/",""),"?",""),"_",""),",",""),"[",""),"]",""),"(",""),")",""),"*","")</f>
        <v/>
      </c>
      <c r="AW239" s="61" t="str">
        <f aca="false">SUBSTITUTE(SUBSTITUTE(SUBSTITUTE(SUBSTITUTE(SUBSTITUTE(SUBSTITUTE(SUBSTITUTE(SUBSTITUTE(SUBSTITUTE(SUBSTITUTE(SUBSTITUTE(SUBSTITUTE(SUBSTITUTE(LOWER(Z239&amp;""),CHAR(160),"")," ",""),".",""),"-",""),"/",""),"?",""),"_",""),",",""),"[",""),"]",""),"(",""),")",""),"*","")</f>
        <v/>
      </c>
      <c r="AX239" s="61" t="str">
        <f aca="false">SUBSTITUTE(SUBSTITUTE(SUBSTITUTE(SUBSTITUTE(SUBSTITUTE(SUBSTITUTE(SUBSTITUTE(SUBSTITUTE(SUBSTITUTE(SUBSTITUTE(SUBSTITUTE(SUBSTITUTE(SUBSTITUTE(LOWER(AE239&amp;""),CHAR(160),"")," ",""),".",""),"-",""),"/",""),"?",""),"_",""),",",""),"[",""),"]",""),"(",""),")",""),"*","")</f>
        <v/>
      </c>
      <c r="AY239" s="61" t="str">
        <f aca="false">SUBSTITUTE(SUBSTITUTE(SUBSTITUTE(SUBSTITUTE(SUBSTITUTE(SUBSTITUTE(SUBSTITUTE(SUBSTITUTE(SUBSTITUTE(SUBSTITUTE(SUBSTITUTE(SUBSTITUTE(SUBSTITUTE(LOWER(W239&amp;""),CHAR(160),"")," ",""),".",""),"-",""),"/",""),"?",""),"_",""),",",""),"[",""),"]",""),"(",""),")",""),"*","")</f>
        <v/>
      </c>
      <c r="AZ239" s="61" t="str">
        <f aca="false">SUBSTITUTE(SUBSTITUTE(SUBSTITUTE(SUBSTITUTE(SUBSTITUTE(SUBSTITUTE(SUBSTITUTE(SUBSTITUTE(SUBSTITUTE(SUBSTITUTE(SUBSTITUTE(SUBSTITUTE(SUBSTITUTE(LOWER(AC239&amp;""),CHAR(160),"")," ",""),".",""),"-",""),"/",""),"?",""),"_",""),",",""),"[",""),"]",""),"(",""),")",""),"*","")</f>
        <v/>
      </c>
      <c r="BA239" s="61" t="str">
        <f aca="false">SUBSTITUTE(SUBSTITUTE(SUBSTITUTE(SUBSTITUTE(SUBSTITUTE(SUBSTITUTE(SUBSTITUTE(SUBSTITUTE(SUBSTITUTE(SUBSTITUTE(SUBSTITUTE(SUBSTITUTE(SUBSTITUTE(LOWER(AA239&amp;""),CHAR(160),"")," ",""),".",""),"-",""),"/",""),"?",""),"_",""),",",""),"[",""),"]",""),"(",""),")",""),"*","")</f>
        <v/>
      </c>
      <c r="BB239" s="61" t="str">
        <f aca="false">IF(AND(TRIM(U239)="Pass",ISNUMBER(AF239)),IF(AF239&lt;&gt;0,"INVALID – qty variance: use Fail or Pass after CA",""),"")&amp;IF(AND(TRIM(U239)="Pass after CA",ISNUMBER(AF239)),IF(AF239&lt;&gt;0,"INVALID – after the corrective action the actual qty must equal expected (update Actual)",""),"")&amp;IF(AND(TRIM(U239)="Pass",TRIM(AB239)&lt;&gt;"",TRIM(AB239)&lt;&gt;"Closed"),"INVALID – corrective action not closed: use Fail, then Pass after CA","")&amp;IF(AND(TRIM(AA239)&lt;&gt;"",TRIM(AB239)=""),"INVALID – CA status missing for the recorded corrective action","")&amp;IF(AND(TRIM(U239)="Pass after CA",OR(OR(LEN(BA239)&lt;5,ISNUMBER(MATCH(BA239,L_Placeholder,0))),TRIM(AB239)&lt;&gt;"Closed")),"INVALID – corrective action not recorded/closed","")</f>
        <v/>
      </c>
    </row>
    <row r="240" customFormat="false" ht="41.25" hidden="false" customHeight="true" outlineLevel="0" collapsed="false">
      <c r="A240" s="57" t="s">
        <v>785</v>
      </c>
      <c r="B240" s="57" t="s">
        <v>232</v>
      </c>
      <c r="C240" s="57" t="str">
        <f aca="false">Flights!$F$11</f>
        <v>MH0003</v>
      </c>
      <c r="D240" s="58" t="n">
        <f aca="false">Flights!$D$11</f>
        <v>46304</v>
      </c>
      <c r="E240" s="57" t="str">
        <f aca="false">Flights!$G$11&amp;"-"&amp;Flights!$H$11</f>
        <v>LHR-KUL</v>
      </c>
      <c r="F240" s="57" t="str">
        <f aca="false">Flights!$K$11</f>
        <v>BC</v>
      </c>
      <c r="G240" s="57" t="s">
        <v>398</v>
      </c>
      <c r="H240" s="57" t="s">
        <v>356</v>
      </c>
      <c r="I240" s="57" t="s">
        <v>477</v>
      </c>
      <c r="J240" s="57" t="s">
        <v>501</v>
      </c>
      <c r="K240" s="67" t="s">
        <v>479</v>
      </c>
      <c r="L240" s="67" t="s">
        <v>726</v>
      </c>
      <c r="M240" s="67" t="s">
        <v>429</v>
      </c>
      <c r="N240" s="67" t="s">
        <v>361</v>
      </c>
      <c r="O240" s="67" t="s">
        <v>430</v>
      </c>
      <c r="P240" s="57" t="s">
        <v>183</v>
      </c>
      <c r="Q240" s="59" t="n">
        <f aca="false">ROUND((Flights!$AE$11)*1440,0)/1440</f>
        <v>46303.9166666667</v>
      </c>
      <c r="R240" s="59" t="n">
        <f aca="false">Q240+(IF(AND(INDEX(TZ_DSTS,MATCH(P240,TZ_STN,0))&lt;&gt;"",Q240&gt;=INDEX(TZ_DSTS,MATCH(P240,TZ_STN,0)),Q240&lt;INDEX(TZ_DSTE,MATCH(P240,TZ_STN,0))),INDEX(TZ_DST,MATCH(P240,TZ_STN,0)),INDEX(TZ_STD,MATCH(P240,TZ_STN,0))))/24</f>
        <v>46303.9583333333</v>
      </c>
      <c r="S240" s="59" t="n">
        <f aca="false">Q240-T12EarlyH/24</f>
        <v>46303.4166666667</v>
      </c>
      <c r="T240" s="60"/>
      <c r="U240" s="60"/>
      <c r="V240" s="60"/>
      <c r="W240" s="61"/>
      <c r="X240" s="60"/>
      <c r="Y240" s="60"/>
      <c r="Z240" s="60"/>
      <c r="AA240" s="60"/>
      <c r="AB240" s="60"/>
      <c r="AC240" s="60"/>
      <c r="AD240" s="66"/>
      <c r="AE240" s="60"/>
      <c r="AF240" s="61" t="str">
        <f aca="false">IF(AND(ISNUMBER(X240),ISNUMBER(Y240)),Y240-X240,"")</f>
        <v/>
      </c>
      <c r="AG240" s="62" t="str">
        <f aca="false">IF(ISNUMBER(AD240),AD240-(IF(AND(INDEX(TZ_DSTS,MATCH(P240,TZ_STN,0))&lt;&gt;"",(AD240-INDEX(TZ_STD,MATCH(P240,TZ_STN,0))/24)&gt;=INDEX(TZ_DSTS,MATCH(P240,TZ_STN,0)),(AD240-INDEX(TZ_STD,MATCH(P240,TZ_STN,0))/24)&lt;INDEX(TZ_DSTE,MATCH(P240,TZ_STN,0))),INDEX(TZ_DST,MATCH(P240,TZ_STN,0)),INDEX(TZ_STD,MATCH(P240,TZ_STN,0))))/24,"")</f>
        <v/>
      </c>
      <c r="AH240" s="65" t="str">
        <f aca="false">IFERROR(IF(N240="N/A – rule","N/A – RULE",IF(TRIM(U240)="N/A",IF(AT240=0,"INVALID – N/A not permitted for this check",IF(AND(TRIM(AB240)&lt;&gt;"",TRIM(AB240)&lt;&gt;"Closed"),"INVALID – corrective action still open",IF(AND(NOT(OR(LEN(AZ240)&lt;15,ISNUMBER(MATCH(AZ240,L_Placeholder,0)))),NOT(OR(LEN(AU240)&lt;2,ISNUMBER(MATCH(AU240,L_Placeholder,0)))),NOT(OR(LEN(AX240)&lt;2,ISNUMBER(MATCH(AX240,L_Placeholder,0)))),TRIM(AE240)&lt;&gt;TRIM(T240)),"N/A – JUSTIFIED","INVALID – N/A needs a real justification (15+ chars), PIC and a different verifier"))),IF(OR(TRIM(U240)="Pass",TRIM(U240)="Pass after CA"),IF(NOT(ISNUMBER(AD240)),"INVALID – completion time missing",IF(OR(LEN(AU240)&lt;2,ISNUMBER(MATCH(AU240,L_Placeholder,0))),"INVALID – PIC missing",IF(OR(LEN(AV240)&lt;2,ISNUMBER(MATCH(AV240,L_Placeholder,0))),"INVALID – result / assessment missing",IF(OR(OR(LEN(AW240)&lt;3,ISNUMBER(MATCH(AW240,L_Placeholder,0))),SUMPRODUCT(--ISNUMBER(SEARCH(L_EvidencePhrase,AW240)))&gt;0),"INVALID – evidence missing, placeholder or not yet on file",IF(OR(LEN(AX240)&lt;2,ISNUMBER(MATCH(AX240,L_Placeholder,0))),"INVALID – verifier missing",IF(AX240=AU240,"INVALID – verifier must be someone other than the PIC",IF(AND(TRIM(U240)="Pass",SUMPRODUCT(--ISNUMBER(SEARCH(L_ResultBad,AV240)))&gt;0),"INVALID – result describes a problem: use Fail, then Pass after CA",IF(AND(AQ240=1,OR(LEN(AY240)&lt;3,ISNUMBER(MATCH(AY240,L_Placeholder,0)))),"INVALID – batch ID missing or placeholder",IF(AND(AR240=1,OR(NOT(ISNUMBER(X240)),NOT(ISNUMBER(Y240)))),"INVALID – expected/actual qty missing",IF(AND(AR240=1,OR(X240&lt;=0,Y240&lt;0)),"INVALID – expected qty must be above 0 and actual not negative",IF(BB240&lt;&gt;"",BB240,IF(AND(AS240=1,Documents!$J$11&lt;&gt;"ON FILE"),"INVALID – GLD not on file (Documents sheet)",IF(AND(AS240=2,Documents!$O$11&lt;&gt;"ON FILE"),"INVALID – menu checklist not on file (Documents sheet)",IF(AND(AS240=3,NOT(ISNUMBER(Flights!$AX$11))),"INVALID – enter carrying flight KUL departure (Flights AX)",IF(AND(AS240=3,OR(Flights!$AZ$11&gt;Flights!$AA$11,Flights!$AX$11&lt;Flights!$AA$11-3)),"INVALID – carrying flight (Flights AX) cannot arrive before this leg's STD, or is over 3 days early",IF(AG240&gt;AsOfUTC,"INVALID – completion time is in the future",IF(AND(ISNUMBER(S240),AG240&lt;S240),IF(H240="Physical uplift","INVALID – before uplift window (cannot confirm loading)","INVALID – before valid window"),IF(AG240&gt;Flights!$AA$11,"INVALID – completed after departure (cannot establish readiness)",IF(AND(H240="Preparation",AG240&gt;IF(ISNUMBER(Flights!$BA$11),MIN(Flights!$BA$11,Flights!$AA$11),Flights!$AA$11)),"INVALID – completed after loading / departure (cannot establish readiness)",IF(AND(H240="Physical uplift",AG240&gt;Q240),"INVALID – recorded after the loading flight departed",IF(AG240&gt;Q240,"COMPLETE – LATE","COMPLETE"))))))))))))))))))))),IF(TRIM(U240)="Fail","FAIL – DISCREPANCY",IF(AND(TRIM(U240)&lt;&gt;"",TRIM(U240)&lt;&gt;"Not started",TRIM(U240)&lt;&gt;"In progress"),"INVALID – unrecognised status (use the list)",IF(AsOfUTC&gt;Q240,"OVERDUE",IF(N240="Clarification required","OPEN – CLARIFICATION","OPEN"))))))),"INVALID – error value in an input cell")</f>
        <v>OPEN</v>
      </c>
      <c r="AI240" s="61" t="n">
        <f aca="false">IF(OR(AH240="N/A – RULE",AH240="N/A – JUSTIFIED"),0,1)</f>
        <v>1</v>
      </c>
      <c r="AJ240" s="61" t="n">
        <f aca="false">IF(LEFT(AH240,8)="COMPLETE",1,0)</f>
        <v>0</v>
      </c>
      <c r="AK240" s="61" t="n">
        <f aca="false">IF(AND(AI240=1,AJ240=0,AsOfUTC&gt;Q240),1,0)</f>
        <v>0</v>
      </c>
      <c r="AL240" s="61" t="n">
        <f aca="false">IFERROR(IF(AND(AI240=1,OR(TRIM(U240)="Fail",AND(TRIM(AB240)&lt;&gt;"",TRIM(AB240)&lt;&gt;"Closed"),AND(ISNUMBER(AF240),AF240&lt;&gt;0,TRIM(U240)&lt;&gt;"Pass after CA"))),1,0),1)</f>
        <v>0</v>
      </c>
      <c r="AM240" s="61" t="n">
        <f aca="false">IF(LEFT(AH240,7)="INVALID",1,0)</f>
        <v>0</v>
      </c>
      <c r="AN240" s="61" t="n">
        <f aca="false">IF(AND(N240="Clarification required",AI240=1,AJ240=0),1,0)</f>
        <v>0</v>
      </c>
      <c r="AO240" s="61" t="str">
        <f aca="false">IF(AK240=1,SUM(AK$5:AK240),"")</f>
        <v/>
      </c>
      <c r="AP240" s="61" t="str">
        <f aca="false">IF(AL240=1,SUM(AL$5:AL240),"")</f>
        <v/>
      </c>
      <c r="AQ240" s="61" t="n">
        <v>0</v>
      </c>
      <c r="AR240" s="61" t="n">
        <v>0</v>
      </c>
      <c r="AS240" s="61" t="n">
        <v>0</v>
      </c>
      <c r="AT240" s="61" t="n">
        <v>0</v>
      </c>
      <c r="AU240" s="61" t="str">
        <f aca="false">SUBSTITUTE(SUBSTITUTE(SUBSTITUTE(SUBSTITUTE(SUBSTITUTE(SUBSTITUTE(SUBSTITUTE(SUBSTITUTE(SUBSTITUTE(SUBSTITUTE(SUBSTITUTE(SUBSTITUTE(SUBSTITUTE(LOWER(T240&amp;""),CHAR(160),"")," ",""),".",""),"-",""),"/",""),"?",""),"_",""),",",""),"[",""),"]",""),"(",""),")",""),"*","")</f>
        <v/>
      </c>
      <c r="AV240" s="61" t="str">
        <f aca="false">SUBSTITUTE(SUBSTITUTE(SUBSTITUTE(SUBSTITUTE(SUBSTITUTE(SUBSTITUTE(SUBSTITUTE(SUBSTITUTE(SUBSTITUTE(SUBSTITUTE(SUBSTITUTE(SUBSTITUTE(SUBSTITUTE(LOWER(V240&amp;""),CHAR(160),"")," ",""),".",""),"-",""),"/",""),"?",""),"_",""),",",""),"[",""),"]",""),"(",""),")",""),"*","")</f>
        <v/>
      </c>
      <c r="AW240" s="61" t="str">
        <f aca="false">SUBSTITUTE(SUBSTITUTE(SUBSTITUTE(SUBSTITUTE(SUBSTITUTE(SUBSTITUTE(SUBSTITUTE(SUBSTITUTE(SUBSTITUTE(SUBSTITUTE(SUBSTITUTE(SUBSTITUTE(SUBSTITUTE(LOWER(Z240&amp;""),CHAR(160),"")," ",""),".",""),"-",""),"/",""),"?",""),"_",""),",",""),"[",""),"]",""),"(",""),")",""),"*","")</f>
        <v/>
      </c>
      <c r="AX240" s="61" t="str">
        <f aca="false">SUBSTITUTE(SUBSTITUTE(SUBSTITUTE(SUBSTITUTE(SUBSTITUTE(SUBSTITUTE(SUBSTITUTE(SUBSTITUTE(SUBSTITUTE(SUBSTITUTE(SUBSTITUTE(SUBSTITUTE(SUBSTITUTE(LOWER(AE240&amp;""),CHAR(160),"")," ",""),".",""),"-",""),"/",""),"?",""),"_",""),",",""),"[",""),"]",""),"(",""),")",""),"*","")</f>
        <v/>
      </c>
      <c r="AY240" s="61" t="str">
        <f aca="false">SUBSTITUTE(SUBSTITUTE(SUBSTITUTE(SUBSTITUTE(SUBSTITUTE(SUBSTITUTE(SUBSTITUTE(SUBSTITUTE(SUBSTITUTE(SUBSTITUTE(SUBSTITUTE(SUBSTITUTE(SUBSTITUTE(LOWER(W240&amp;""),CHAR(160),"")," ",""),".",""),"-",""),"/",""),"?",""),"_",""),",",""),"[",""),"]",""),"(",""),")",""),"*","")</f>
        <v/>
      </c>
      <c r="AZ240" s="61" t="str">
        <f aca="false">SUBSTITUTE(SUBSTITUTE(SUBSTITUTE(SUBSTITUTE(SUBSTITUTE(SUBSTITUTE(SUBSTITUTE(SUBSTITUTE(SUBSTITUTE(SUBSTITUTE(SUBSTITUTE(SUBSTITUTE(SUBSTITUTE(LOWER(AC240&amp;""),CHAR(160),"")," ",""),".",""),"-",""),"/",""),"?",""),"_",""),",",""),"[",""),"]",""),"(",""),")",""),"*","")</f>
        <v/>
      </c>
      <c r="BA240" s="61" t="str">
        <f aca="false">SUBSTITUTE(SUBSTITUTE(SUBSTITUTE(SUBSTITUTE(SUBSTITUTE(SUBSTITUTE(SUBSTITUTE(SUBSTITUTE(SUBSTITUTE(SUBSTITUTE(SUBSTITUTE(SUBSTITUTE(SUBSTITUTE(LOWER(AA240&amp;""),CHAR(160),"")," ",""),".",""),"-",""),"/",""),"?",""),"_",""),",",""),"[",""),"]",""),"(",""),")",""),"*","")</f>
        <v/>
      </c>
      <c r="BB240" s="61" t="str">
        <f aca="false">IF(AND(TRIM(U240)="Pass",ISNUMBER(AF240)),IF(AF240&lt;&gt;0,"INVALID – qty variance: use Fail or Pass after CA",""),"")&amp;IF(AND(TRIM(U240)="Pass after CA",ISNUMBER(AF240)),IF(AF240&lt;&gt;0,"INVALID – after the corrective action the actual qty must equal expected (update Actual)",""),"")&amp;IF(AND(TRIM(U240)="Pass",TRIM(AB240)&lt;&gt;"",TRIM(AB240)&lt;&gt;"Closed"),"INVALID – corrective action not closed: use Fail, then Pass after CA","")&amp;IF(AND(TRIM(AA240)&lt;&gt;"",TRIM(AB240)=""),"INVALID – CA status missing for the recorded corrective action","")&amp;IF(AND(TRIM(U240)="Pass after CA",OR(OR(LEN(BA240)&lt;5,ISNUMBER(MATCH(BA240,L_Placeholder,0))),TRIM(AB240)&lt;&gt;"Closed")),"INVALID – corrective action not recorded/closed","")</f>
        <v/>
      </c>
    </row>
    <row r="241" customFormat="false" ht="41.25" hidden="false" customHeight="true" outlineLevel="0" collapsed="false">
      <c r="A241" s="57" t="s">
        <v>786</v>
      </c>
      <c r="B241" s="57" t="s">
        <v>232</v>
      </c>
      <c r="C241" s="57" t="str">
        <f aca="false">Flights!$F$11</f>
        <v>MH0003</v>
      </c>
      <c r="D241" s="58" t="n">
        <f aca="false">Flights!$D$11</f>
        <v>46304</v>
      </c>
      <c r="E241" s="57" t="str">
        <f aca="false">Flights!$G$11&amp;"-"&amp;Flights!$H$11</f>
        <v>LHR-KUL</v>
      </c>
      <c r="F241" s="57" t="str">
        <f aca="false">Flights!$K$11</f>
        <v>BC</v>
      </c>
      <c r="G241" s="57" t="s">
        <v>398</v>
      </c>
      <c r="H241" s="57" t="s">
        <v>356</v>
      </c>
      <c r="I241" s="57" t="s">
        <v>425</v>
      </c>
      <c r="J241" s="57" t="s">
        <v>504</v>
      </c>
      <c r="K241" s="67" t="s">
        <v>427</v>
      </c>
      <c r="L241" s="67" t="s">
        <v>728</v>
      </c>
      <c r="M241" s="67" t="s">
        <v>429</v>
      </c>
      <c r="N241" s="67" t="s">
        <v>361</v>
      </c>
      <c r="O241" s="67" t="s">
        <v>430</v>
      </c>
      <c r="P241" s="57" t="s">
        <v>183</v>
      </c>
      <c r="Q241" s="59" t="n">
        <f aca="false">ROUND((Flights!$AE$11)*1440,0)/1440</f>
        <v>46303.9166666667</v>
      </c>
      <c r="R241" s="59" t="n">
        <f aca="false">Q241+(IF(AND(INDEX(TZ_DSTS,MATCH(P241,TZ_STN,0))&lt;&gt;"",Q241&gt;=INDEX(TZ_DSTS,MATCH(P241,TZ_STN,0)),Q241&lt;INDEX(TZ_DSTE,MATCH(P241,TZ_STN,0))),INDEX(TZ_DST,MATCH(P241,TZ_STN,0)),INDEX(TZ_STD,MATCH(P241,TZ_STN,0))))/24</f>
        <v>46303.9583333333</v>
      </c>
      <c r="S241" s="59" t="n">
        <f aca="false">Q241-T12EarlyH/24</f>
        <v>46303.4166666667</v>
      </c>
      <c r="T241" s="60"/>
      <c r="U241" s="60"/>
      <c r="V241" s="60"/>
      <c r="W241" s="61"/>
      <c r="X241" s="60"/>
      <c r="Y241" s="60"/>
      <c r="Z241" s="60"/>
      <c r="AA241" s="60"/>
      <c r="AB241" s="60"/>
      <c r="AC241" s="60"/>
      <c r="AD241" s="66"/>
      <c r="AE241" s="60"/>
      <c r="AF241" s="61" t="str">
        <f aca="false">IF(AND(ISNUMBER(X241),ISNUMBER(Y241)),Y241-X241,"")</f>
        <v/>
      </c>
      <c r="AG241" s="62" t="str">
        <f aca="false">IF(ISNUMBER(AD241),AD241-(IF(AND(INDEX(TZ_DSTS,MATCH(P241,TZ_STN,0))&lt;&gt;"",(AD241-INDEX(TZ_STD,MATCH(P241,TZ_STN,0))/24)&gt;=INDEX(TZ_DSTS,MATCH(P241,TZ_STN,0)),(AD241-INDEX(TZ_STD,MATCH(P241,TZ_STN,0))/24)&lt;INDEX(TZ_DSTE,MATCH(P241,TZ_STN,0))),INDEX(TZ_DST,MATCH(P241,TZ_STN,0)),INDEX(TZ_STD,MATCH(P241,TZ_STN,0))))/24,"")</f>
        <v/>
      </c>
      <c r="AH241" s="65" t="str">
        <f aca="false">IFERROR(IF(N241="N/A – rule","N/A – RULE",IF(TRIM(U241)="N/A",IF(AT241=0,"INVALID – N/A not permitted for this check",IF(AND(TRIM(AB241)&lt;&gt;"",TRIM(AB241)&lt;&gt;"Closed"),"INVALID – corrective action still open",IF(AND(NOT(OR(LEN(AZ241)&lt;15,ISNUMBER(MATCH(AZ241,L_Placeholder,0)))),NOT(OR(LEN(AU241)&lt;2,ISNUMBER(MATCH(AU241,L_Placeholder,0)))),NOT(OR(LEN(AX241)&lt;2,ISNUMBER(MATCH(AX241,L_Placeholder,0)))),TRIM(AE241)&lt;&gt;TRIM(T241)),"N/A – JUSTIFIED","INVALID – N/A needs a real justification (15+ chars), PIC and a different verifier"))),IF(OR(TRIM(U241)="Pass",TRIM(U241)="Pass after CA"),IF(NOT(ISNUMBER(AD241)),"INVALID – completion time missing",IF(OR(LEN(AU241)&lt;2,ISNUMBER(MATCH(AU241,L_Placeholder,0))),"INVALID – PIC missing",IF(OR(LEN(AV241)&lt;2,ISNUMBER(MATCH(AV241,L_Placeholder,0))),"INVALID – result / assessment missing",IF(OR(OR(LEN(AW241)&lt;3,ISNUMBER(MATCH(AW241,L_Placeholder,0))),SUMPRODUCT(--ISNUMBER(SEARCH(L_EvidencePhrase,AW241)))&gt;0),"INVALID – evidence missing, placeholder or not yet on file",IF(OR(LEN(AX241)&lt;2,ISNUMBER(MATCH(AX241,L_Placeholder,0))),"INVALID – verifier missing",IF(AX241=AU241,"INVALID – verifier must be someone other than the PIC",IF(AND(TRIM(U241)="Pass",SUMPRODUCT(--ISNUMBER(SEARCH(L_ResultBad,AV241)))&gt;0),"INVALID – result describes a problem: use Fail, then Pass after CA",IF(AND(AQ241=1,OR(LEN(AY241)&lt;3,ISNUMBER(MATCH(AY241,L_Placeholder,0)))),"INVALID – batch ID missing or placeholder",IF(AND(AR241=1,OR(NOT(ISNUMBER(X241)),NOT(ISNUMBER(Y241)))),"INVALID – expected/actual qty missing",IF(AND(AR241=1,OR(X241&lt;=0,Y241&lt;0)),"INVALID – expected qty must be above 0 and actual not negative",IF(BB241&lt;&gt;"",BB241,IF(AND(AS241=1,Documents!$J$11&lt;&gt;"ON FILE"),"INVALID – GLD not on file (Documents sheet)",IF(AND(AS241=2,Documents!$O$11&lt;&gt;"ON FILE"),"INVALID – menu checklist not on file (Documents sheet)",IF(AND(AS241=3,NOT(ISNUMBER(Flights!$AX$11))),"INVALID – enter carrying flight KUL departure (Flights AX)",IF(AND(AS241=3,OR(Flights!$AZ$11&gt;Flights!$AA$11,Flights!$AX$11&lt;Flights!$AA$11-3)),"INVALID – carrying flight (Flights AX) cannot arrive before this leg's STD, or is over 3 days early",IF(AG241&gt;AsOfUTC,"INVALID – completion time is in the future",IF(AND(ISNUMBER(S241),AG241&lt;S241),IF(H241="Physical uplift","INVALID – before uplift window (cannot confirm loading)","INVALID – before valid window"),IF(AG241&gt;Flights!$AA$11,"INVALID – completed after departure (cannot establish readiness)",IF(AND(H241="Preparation",AG241&gt;IF(ISNUMBER(Flights!$BA$11),MIN(Flights!$BA$11,Flights!$AA$11),Flights!$AA$11)),"INVALID – completed after loading / departure (cannot establish readiness)",IF(AND(H241="Physical uplift",AG241&gt;Q241),"INVALID – recorded after the loading flight departed",IF(AG241&gt;Q241,"COMPLETE – LATE","COMPLETE"))))))))))))))))))))),IF(TRIM(U241)="Fail","FAIL – DISCREPANCY",IF(AND(TRIM(U241)&lt;&gt;"",TRIM(U241)&lt;&gt;"Not started",TRIM(U241)&lt;&gt;"In progress"),"INVALID – unrecognised status (use the list)",IF(AsOfUTC&gt;Q241,"OVERDUE",IF(N241="Clarification required","OPEN – CLARIFICATION","OPEN"))))))),"INVALID – error value in an input cell")</f>
        <v>OPEN</v>
      </c>
      <c r="AI241" s="61" t="n">
        <f aca="false">IF(OR(AH241="N/A – RULE",AH241="N/A – JUSTIFIED"),0,1)</f>
        <v>1</v>
      </c>
      <c r="AJ241" s="61" t="n">
        <f aca="false">IF(LEFT(AH241,8)="COMPLETE",1,0)</f>
        <v>0</v>
      </c>
      <c r="AK241" s="61" t="n">
        <f aca="false">IF(AND(AI241=1,AJ241=0,AsOfUTC&gt;Q241),1,0)</f>
        <v>0</v>
      </c>
      <c r="AL241" s="61" t="n">
        <f aca="false">IFERROR(IF(AND(AI241=1,OR(TRIM(U241)="Fail",AND(TRIM(AB241)&lt;&gt;"",TRIM(AB241)&lt;&gt;"Closed"),AND(ISNUMBER(AF241),AF241&lt;&gt;0,TRIM(U241)&lt;&gt;"Pass after CA"))),1,0),1)</f>
        <v>0</v>
      </c>
      <c r="AM241" s="61" t="n">
        <f aca="false">IF(LEFT(AH241,7)="INVALID",1,0)</f>
        <v>0</v>
      </c>
      <c r="AN241" s="61" t="n">
        <f aca="false">IF(AND(N241="Clarification required",AI241=1,AJ241=0),1,0)</f>
        <v>0</v>
      </c>
      <c r="AO241" s="61" t="str">
        <f aca="false">IF(AK241=1,SUM(AK$5:AK241),"")</f>
        <v/>
      </c>
      <c r="AP241" s="61" t="str">
        <f aca="false">IF(AL241=1,SUM(AL$5:AL241),"")</f>
        <v/>
      </c>
      <c r="AQ241" s="61" t="n">
        <v>0</v>
      </c>
      <c r="AR241" s="61" t="n">
        <v>0</v>
      </c>
      <c r="AS241" s="61" t="n">
        <v>0</v>
      </c>
      <c r="AT241" s="61" t="n">
        <v>0</v>
      </c>
      <c r="AU241" s="61" t="str">
        <f aca="false">SUBSTITUTE(SUBSTITUTE(SUBSTITUTE(SUBSTITUTE(SUBSTITUTE(SUBSTITUTE(SUBSTITUTE(SUBSTITUTE(SUBSTITUTE(SUBSTITUTE(SUBSTITUTE(SUBSTITUTE(SUBSTITUTE(LOWER(T241&amp;""),CHAR(160),"")," ",""),".",""),"-",""),"/",""),"?",""),"_",""),",",""),"[",""),"]",""),"(",""),")",""),"*","")</f>
        <v/>
      </c>
      <c r="AV241" s="61" t="str">
        <f aca="false">SUBSTITUTE(SUBSTITUTE(SUBSTITUTE(SUBSTITUTE(SUBSTITUTE(SUBSTITUTE(SUBSTITUTE(SUBSTITUTE(SUBSTITUTE(SUBSTITUTE(SUBSTITUTE(SUBSTITUTE(SUBSTITUTE(LOWER(V241&amp;""),CHAR(160),"")," ",""),".",""),"-",""),"/",""),"?",""),"_",""),",",""),"[",""),"]",""),"(",""),")",""),"*","")</f>
        <v/>
      </c>
      <c r="AW241" s="61" t="str">
        <f aca="false">SUBSTITUTE(SUBSTITUTE(SUBSTITUTE(SUBSTITUTE(SUBSTITUTE(SUBSTITUTE(SUBSTITUTE(SUBSTITUTE(SUBSTITUTE(SUBSTITUTE(SUBSTITUTE(SUBSTITUTE(SUBSTITUTE(LOWER(Z241&amp;""),CHAR(160),"")," ",""),".",""),"-",""),"/",""),"?",""),"_",""),",",""),"[",""),"]",""),"(",""),")",""),"*","")</f>
        <v/>
      </c>
      <c r="AX241" s="61" t="str">
        <f aca="false">SUBSTITUTE(SUBSTITUTE(SUBSTITUTE(SUBSTITUTE(SUBSTITUTE(SUBSTITUTE(SUBSTITUTE(SUBSTITUTE(SUBSTITUTE(SUBSTITUTE(SUBSTITUTE(SUBSTITUTE(SUBSTITUTE(LOWER(AE241&amp;""),CHAR(160),"")," ",""),".",""),"-",""),"/",""),"?",""),"_",""),",",""),"[",""),"]",""),"(",""),")",""),"*","")</f>
        <v/>
      </c>
      <c r="AY241" s="61" t="str">
        <f aca="false">SUBSTITUTE(SUBSTITUTE(SUBSTITUTE(SUBSTITUTE(SUBSTITUTE(SUBSTITUTE(SUBSTITUTE(SUBSTITUTE(SUBSTITUTE(SUBSTITUTE(SUBSTITUTE(SUBSTITUTE(SUBSTITUTE(LOWER(W241&amp;""),CHAR(160),"")," ",""),".",""),"-",""),"/",""),"?",""),"_",""),",",""),"[",""),"]",""),"(",""),")",""),"*","")</f>
        <v/>
      </c>
      <c r="AZ241" s="61" t="str">
        <f aca="false">SUBSTITUTE(SUBSTITUTE(SUBSTITUTE(SUBSTITUTE(SUBSTITUTE(SUBSTITUTE(SUBSTITUTE(SUBSTITUTE(SUBSTITUTE(SUBSTITUTE(SUBSTITUTE(SUBSTITUTE(SUBSTITUTE(LOWER(AC241&amp;""),CHAR(160),"")," ",""),".",""),"-",""),"/",""),"?",""),"_",""),",",""),"[",""),"]",""),"(",""),")",""),"*","")</f>
        <v/>
      </c>
      <c r="BA241" s="61" t="str">
        <f aca="false">SUBSTITUTE(SUBSTITUTE(SUBSTITUTE(SUBSTITUTE(SUBSTITUTE(SUBSTITUTE(SUBSTITUTE(SUBSTITUTE(SUBSTITUTE(SUBSTITUTE(SUBSTITUTE(SUBSTITUTE(SUBSTITUTE(LOWER(AA241&amp;""),CHAR(160),"")," ",""),".",""),"-",""),"/",""),"?",""),"_",""),",",""),"[",""),"]",""),"(",""),")",""),"*","")</f>
        <v/>
      </c>
      <c r="BB241" s="61" t="str">
        <f aca="false">IF(AND(TRIM(U241)="Pass",ISNUMBER(AF241)),IF(AF241&lt;&gt;0,"INVALID – qty variance: use Fail or Pass after CA",""),"")&amp;IF(AND(TRIM(U241)="Pass after CA",ISNUMBER(AF241)),IF(AF241&lt;&gt;0,"INVALID – after the corrective action the actual qty must equal expected (update Actual)",""),"")&amp;IF(AND(TRIM(U241)="Pass",TRIM(AB241)&lt;&gt;"",TRIM(AB241)&lt;&gt;"Closed"),"INVALID – corrective action not closed: use Fail, then Pass after CA","")&amp;IF(AND(TRIM(AA241)&lt;&gt;"",TRIM(AB241)=""),"INVALID – CA status missing for the recorded corrective action","")&amp;IF(AND(TRIM(U241)="Pass after CA",OR(OR(LEN(BA241)&lt;5,ISNUMBER(MATCH(BA241,L_Placeholder,0))),TRIM(AB241)&lt;&gt;"Closed")),"INVALID – corrective action not recorded/closed","")</f>
        <v/>
      </c>
    </row>
    <row r="242" customFormat="false" ht="41.25" hidden="false" customHeight="true" outlineLevel="0" collapsed="false">
      <c r="A242" s="57" t="s">
        <v>787</v>
      </c>
      <c r="B242" s="57" t="s">
        <v>232</v>
      </c>
      <c r="C242" s="57" t="str">
        <f aca="false">Flights!$F$11</f>
        <v>MH0003</v>
      </c>
      <c r="D242" s="58" t="n">
        <f aca="false">Flights!$D$11</f>
        <v>46304</v>
      </c>
      <c r="E242" s="57" t="str">
        <f aca="false">Flights!$G$11&amp;"-"&amp;Flights!$H$11</f>
        <v>LHR-KUL</v>
      </c>
      <c r="F242" s="57" t="str">
        <f aca="false">Flights!$K$11</f>
        <v>BC</v>
      </c>
      <c r="G242" s="57" t="s">
        <v>398</v>
      </c>
      <c r="H242" s="57" t="s">
        <v>356</v>
      </c>
      <c r="I242" s="57" t="s">
        <v>425</v>
      </c>
      <c r="J242" s="57" t="s">
        <v>601</v>
      </c>
      <c r="K242" s="67" t="s">
        <v>427</v>
      </c>
      <c r="L242" s="67" t="s">
        <v>730</v>
      </c>
      <c r="M242" s="67" t="s">
        <v>429</v>
      </c>
      <c r="N242" s="67" t="s">
        <v>361</v>
      </c>
      <c r="O242" s="67" t="s">
        <v>430</v>
      </c>
      <c r="P242" s="57" t="s">
        <v>183</v>
      </c>
      <c r="Q242" s="59" t="n">
        <f aca="false">ROUND((Flights!$AE$11)*1440,0)/1440</f>
        <v>46303.9166666667</v>
      </c>
      <c r="R242" s="59" t="n">
        <f aca="false">Q242+(IF(AND(INDEX(TZ_DSTS,MATCH(P242,TZ_STN,0))&lt;&gt;"",Q242&gt;=INDEX(TZ_DSTS,MATCH(P242,TZ_STN,0)),Q242&lt;INDEX(TZ_DSTE,MATCH(P242,TZ_STN,0))),INDEX(TZ_DST,MATCH(P242,TZ_STN,0)),INDEX(TZ_STD,MATCH(P242,TZ_STN,0))))/24</f>
        <v>46303.9583333333</v>
      </c>
      <c r="S242" s="59" t="n">
        <f aca="false">Q242-T12EarlyH/24</f>
        <v>46303.4166666667</v>
      </c>
      <c r="T242" s="60"/>
      <c r="U242" s="60"/>
      <c r="V242" s="60"/>
      <c r="W242" s="61"/>
      <c r="X242" s="60"/>
      <c r="Y242" s="60"/>
      <c r="Z242" s="60"/>
      <c r="AA242" s="60"/>
      <c r="AB242" s="60"/>
      <c r="AC242" s="60"/>
      <c r="AD242" s="66"/>
      <c r="AE242" s="60"/>
      <c r="AF242" s="61" t="str">
        <f aca="false">IF(AND(ISNUMBER(X242),ISNUMBER(Y242)),Y242-X242,"")</f>
        <v/>
      </c>
      <c r="AG242" s="62" t="str">
        <f aca="false">IF(ISNUMBER(AD242),AD242-(IF(AND(INDEX(TZ_DSTS,MATCH(P242,TZ_STN,0))&lt;&gt;"",(AD242-INDEX(TZ_STD,MATCH(P242,TZ_STN,0))/24)&gt;=INDEX(TZ_DSTS,MATCH(P242,TZ_STN,0)),(AD242-INDEX(TZ_STD,MATCH(P242,TZ_STN,0))/24)&lt;INDEX(TZ_DSTE,MATCH(P242,TZ_STN,0))),INDEX(TZ_DST,MATCH(P242,TZ_STN,0)),INDEX(TZ_STD,MATCH(P242,TZ_STN,0))))/24,"")</f>
        <v/>
      </c>
      <c r="AH242" s="65" t="str">
        <f aca="false">IFERROR(IF(N242="N/A – rule","N/A – RULE",IF(TRIM(U242)="N/A",IF(AT242=0,"INVALID – N/A not permitted for this check",IF(AND(TRIM(AB242)&lt;&gt;"",TRIM(AB242)&lt;&gt;"Closed"),"INVALID – corrective action still open",IF(AND(NOT(OR(LEN(AZ242)&lt;15,ISNUMBER(MATCH(AZ242,L_Placeholder,0)))),NOT(OR(LEN(AU242)&lt;2,ISNUMBER(MATCH(AU242,L_Placeholder,0)))),NOT(OR(LEN(AX242)&lt;2,ISNUMBER(MATCH(AX242,L_Placeholder,0)))),TRIM(AE242)&lt;&gt;TRIM(T242)),"N/A – JUSTIFIED","INVALID – N/A needs a real justification (15+ chars), PIC and a different verifier"))),IF(OR(TRIM(U242)="Pass",TRIM(U242)="Pass after CA"),IF(NOT(ISNUMBER(AD242)),"INVALID – completion time missing",IF(OR(LEN(AU242)&lt;2,ISNUMBER(MATCH(AU242,L_Placeholder,0))),"INVALID – PIC missing",IF(OR(LEN(AV242)&lt;2,ISNUMBER(MATCH(AV242,L_Placeholder,0))),"INVALID – result / assessment missing",IF(OR(OR(LEN(AW242)&lt;3,ISNUMBER(MATCH(AW242,L_Placeholder,0))),SUMPRODUCT(--ISNUMBER(SEARCH(L_EvidencePhrase,AW242)))&gt;0),"INVALID – evidence missing, placeholder or not yet on file",IF(OR(LEN(AX242)&lt;2,ISNUMBER(MATCH(AX242,L_Placeholder,0))),"INVALID – verifier missing",IF(AX242=AU242,"INVALID – verifier must be someone other than the PIC",IF(AND(TRIM(U242)="Pass",SUMPRODUCT(--ISNUMBER(SEARCH(L_ResultBad,AV242)))&gt;0),"INVALID – result describes a problem: use Fail, then Pass after CA",IF(AND(AQ242=1,OR(LEN(AY242)&lt;3,ISNUMBER(MATCH(AY242,L_Placeholder,0)))),"INVALID – batch ID missing or placeholder",IF(AND(AR242=1,OR(NOT(ISNUMBER(X242)),NOT(ISNUMBER(Y242)))),"INVALID – expected/actual qty missing",IF(AND(AR242=1,OR(X242&lt;=0,Y242&lt;0)),"INVALID – expected qty must be above 0 and actual not negative",IF(BB242&lt;&gt;"",BB242,IF(AND(AS242=1,Documents!$J$11&lt;&gt;"ON FILE"),"INVALID – GLD not on file (Documents sheet)",IF(AND(AS242=2,Documents!$O$11&lt;&gt;"ON FILE"),"INVALID – menu checklist not on file (Documents sheet)",IF(AND(AS242=3,NOT(ISNUMBER(Flights!$AX$11))),"INVALID – enter carrying flight KUL departure (Flights AX)",IF(AND(AS242=3,OR(Flights!$AZ$11&gt;Flights!$AA$11,Flights!$AX$11&lt;Flights!$AA$11-3)),"INVALID – carrying flight (Flights AX) cannot arrive before this leg's STD, or is over 3 days early",IF(AG242&gt;AsOfUTC,"INVALID – completion time is in the future",IF(AND(ISNUMBER(S242),AG242&lt;S242),IF(H242="Physical uplift","INVALID – before uplift window (cannot confirm loading)","INVALID – before valid window"),IF(AG242&gt;Flights!$AA$11,"INVALID – completed after departure (cannot establish readiness)",IF(AND(H242="Preparation",AG242&gt;IF(ISNUMBER(Flights!$BA$11),MIN(Flights!$BA$11,Flights!$AA$11),Flights!$AA$11)),"INVALID – completed after loading / departure (cannot establish readiness)",IF(AND(H242="Physical uplift",AG242&gt;Q242),"INVALID – recorded after the loading flight departed",IF(AG242&gt;Q242,"COMPLETE – LATE","COMPLETE"))))))))))))))))))))),IF(TRIM(U242)="Fail","FAIL – DISCREPANCY",IF(AND(TRIM(U242)&lt;&gt;"",TRIM(U242)&lt;&gt;"Not started",TRIM(U242)&lt;&gt;"In progress"),"INVALID – unrecognised status (use the list)",IF(AsOfUTC&gt;Q242,"OVERDUE",IF(N242="Clarification required","OPEN – CLARIFICATION","OPEN"))))))),"INVALID – error value in an input cell")</f>
        <v>OPEN</v>
      </c>
      <c r="AI242" s="61" t="n">
        <f aca="false">IF(OR(AH242="N/A – RULE",AH242="N/A – JUSTIFIED"),0,1)</f>
        <v>1</v>
      </c>
      <c r="AJ242" s="61" t="n">
        <f aca="false">IF(LEFT(AH242,8)="COMPLETE",1,0)</f>
        <v>0</v>
      </c>
      <c r="AK242" s="61" t="n">
        <f aca="false">IF(AND(AI242=1,AJ242=0,AsOfUTC&gt;Q242),1,0)</f>
        <v>0</v>
      </c>
      <c r="AL242" s="61" t="n">
        <f aca="false">IFERROR(IF(AND(AI242=1,OR(TRIM(U242)="Fail",AND(TRIM(AB242)&lt;&gt;"",TRIM(AB242)&lt;&gt;"Closed"),AND(ISNUMBER(AF242),AF242&lt;&gt;0,TRIM(U242)&lt;&gt;"Pass after CA"))),1,0),1)</f>
        <v>0</v>
      </c>
      <c r="AM242" s="61" t="n">
        <f aca="false">IF(LEFT(AH242,7)="INVALID",1,0)</f>
        <v>0</v>
      </c>
      <c r="AN242" s="61" t="n">
        <f aca="false">IF(AND(N242="Clarification required",AI242=1,AJ242=0),1,0)</f>
        <v>0</v>
      </c>
      <c r="AO242" s="61" t="str">
        <f aca="false">IF(AK242=1,SUM(AK$5:AK242),"")</f>
        <v/>
      </c>
      <c r="AP242" s="61" t="str">
        <f aca="false">IF(AL242=1,SUM(AL$5:AL242),"")</f>
        <v/>
      </c>
      <c r="AQ242" s="61" t="n">
        <v>0</v>
      </c>
      <c r="AR242" s="61" t="n">
        <v>0</v>
      </c>
      <c r="AS242" s="61" t="n">
        <v>0</v>
      </c>
      <c r="AT242" s="61" t="n">
        <v>0</v>
      </c>
      <c r="AU242" s="61" t="str">
        <f aca="false">SUBSTITUTE(SUBSTITUTE(SUBSTITUTE(SUBSTITUTE(SUBSTITUTE(SUBSTITUTE(SUBSTITUTE(SUBSTITUTE(SUBSTITUTE(SUBSTITUTE(SUBSTITUTE(SUBSTITUTE(SUBSTITUTE(LOWER(T242&amp;""),CHAR(160),"")," ",""),".",""),"-",""),"/",""),"?",""),"_",""),",",""),"[",""),"]",""),"(",""),")",""),"*","")</f>
        <v/>
      </c>
      <c r="AV242" s="61" t="str">
        <f aca="false">SUBSTITUTE(SUBSTITUTE(SUBSTITUTE(SUBSTITUTE(SUBSTITUTE(SUBSTITUTE(SUBSTITUTE(SUBSTITUTE(SUBSTITUTE(SUBSTITUTE(SUBSTITUTE(SUBSTITUTE(SUBSTITUTE(LOWER(V242&amp;""),CHAR(160),"")," ",""),".",""),"-",""),"/",""),"?",""),"_",""),",",""),"[",""),"]",""),"(",""),")",""),"*","")</f>
        <v/>
      </c>
      <c r="AW242" s="61" t="str">
        <f aca="false">SUBSTITUTE(SUBSTITUTE(SUBSTITUTE(SUBSTITUTE(SUBSTITUTE(SUBSTITUTE(SUBSTITUTE(SUBSTITUTE(SUBSTITUTE(SUBSTITUTE(SUBSTITUTE(SUBSTITUTE(SUBSTITUTE(LOWER(Z242&amp;""),CHAR(160),"")," ",""),".",""),"-",""),"/",""),"?",""),"_",""),",",""),"[",""),"]",""),"(",""),")",""),"*","")</f>
        <v/>
      </c>
      <c r="AX242" s="61" t="str">
        <f aca="false">SUBSTITUTE(SUBSTITUTE(SUBSTITUTE(SUBSTITUTE(SUBSTITUTE(SUBSTITUTE(SUBSTITUTE(SUBSTITUTE(SUBSTITUTE(SUBSTITUTE(SUBSTITUTE(SUBSTITUTE(SUBSTITUTE(LOWER(AE242&amp;""),CHAR(160),"")," ",""),".",""),"-",""),"/",""),"?",""),"_",""),",",""),"[",""),"]",""),"(",""),")",""),"*","")</f>
        <v/>
      </c>
      <c r="AY242" s="61" t="str">
        <f aca="false">SUBSTITUTE(SUBSTITUTE(SUBSTITUTE(SUBSTITUTE(SUBSTITUTE(SUBSTITUTE(SUBSTITUTE(SUBSTITUTE(SUBSTITUTE(SUBSTITUTE(SUBSTITUTE(SUBSTITUTE(SUBSTITUTE(LOWER(W242&amp;""),CHAR(160),"")," ",""),".",""),"-",""),"/",""),"?",""),"_",""),",",""),"[",""),"]",""),"(",""),")",""),"*","")</f>
        <v/>
      </c>
      <c r="AZ242" s="61" t="str">
        <f aca="false">SUBSTITUTE(SUBSTITUTE(SUBSTITUTE(SUBSTITUTE(SUBSTITUTE(SUBSTITUTE(SUBSTITUTE(SUBSTITUTE(SUBSTITUTE(SUBSTITUTE(SUBSTITUTE(SUBSTITUTE(SUBSTITUTE(LOWER(AC242&amp;""),CHAR(160),"")," ",""),".",""),"-",""),"/",""),"?",""),"_",""),",",""),"[",""),"]",""),"(",""),")",""),"*","")</f>
        <v/>
      </c>
      <c r="BA242" s="61" t="str">
        <f aca="false">SUBSTITUTE(SUBSTITUTE(SUBSTITUTE(SUBSTITUTE(SUBSTITUTE(SUBSTITUTE(SUBSTITUTE(SUBSTITUTE(SUBSTITUTE(SUBSTITUTE(SUBSTITUTE(SUBSTITUTE(SUBSTITUTE(LOWER(AA242&amp;""),CHAR(160),"")," ",""),".",""),"-",""),"/",""),"?",""),"_",""),",",""),"[",""),"]",""),"(",""),")",""),"*","")</f>
        <v/>
      </c>
      <c r="BB242" s="61" t="str">
        <f aca="false">IF(AND(TRIM(U242)="Pass",ISNUMBER(AF242)),IF(AF242&lt;&gt;0,"INVALID – qty variance: use Fail or Pass after CA",""),"")&amp;IF(AND(TRIM(U242)="Pass after CA",ISNUMBER(AF242)),IF(AF242&lt;&gt;0,"INVALID – after the corrective action the actual qty must equal expected (update Actual)",""),"")&amp;IF(AND(TRIM(U242)="Pass",TRIM(AB242)&lt;&gt;"",TRIM(AB242)&lt;&gt;"Closed"),"INVALID – corrective action not closed: use Fail, then Pass after CA","")&amp;IF(AND(TRIM(AA242)&lt;&gt;"",TRIM(AB242)=""),"INVALID – CA status missing for the recorded corrective action","")&amp;IF(AND(TRIM(U242)="Pass after CA",OR(OR(LEN(BA242)&lt;5,ISNUMBER(MATCH(BA242,L_Placeholder,0))),TRIM(AB242)&lt;&gt;"Closed")),"INVALID – corrective action not recorded/closed","")</f>
        <v/>
      </c>
    </row>
    <row r="243" customFormat="false" ht="41.25" hidden="false" customHeight="true" outlineLevel="0" collapsed="false">
      <c r="A243" s="57" t="s">
        <v>788</v>
      </c>
      <c r="B243" s="57" t="s">
        <v>232</v>
      </c>
      <c r="C243" s="57" t="str">
        <f aca="false">Flights!$F$11</f>
        <v>MH0003</v>
      </c>
      <c r="D243" s="58" t="n">
        <f aca="false">Flights!$D$11</f>
        <v>46304</v>
      </c>
      <c r="E243" s="57" t="str">
        <f aca="false">Flights!$G$11&amp;"-"&amp;Flights!$H$11</f>
        <v>LHR-KUL</v>
      </c>
      <c r="F243" s="57" t="str">
        <f aca="false">Flights!$K$11</f>
        <v>BC</v>
      </c>
      <c r="G243" s="57" t="s">
        <v>398</v>
      </c>
      <c r="H243" s="57" t="s">
        <v>356</v>
      </c>
      <c r="I243" s="57" t="s">
        <v>425</v>
      </c>
      <c r="J243" s="57" t="s">
        <v>604</v>
      </c>
      <c r="K243" s="67" t="s">
        <v>427</v>
      </c>
      <c r="L243" s="67" t="s">
        <v>732</v>
      </c>
      <c r="M243" s="67" t="s">
        <v>429</v>
      </c>
      <c r="N243" s="67" t="s">
        <v>361</v>
      </c>
      <c r="O243" s="67" t="s">
        <v>430</v>
      </c>
      <c r="P243" s="57" t="s">
        <v>183</v>
      </c>
      <c r="Q243" s="59" t="n">
        <f aca="false">ROUND((Flights!$AE$11)*1440,0)/1440</f>
        <v>46303.9166666667</v>
      </c>
      <c r="R243" s="59" t="n">
        <f aca="false">Q243+(IF(AND(INDEX(TZ_DSTS,MATCH(P243,TZ_STN,0))&lt;&gt;"",Q243&gt;=INDEX(TZ_DSTS,MATCH(P243,TZ_STN,0)),Q243&lt;INDEX(TZ_DSTE,MATCH(P243,TZ_STN,0))),INDEX(TZ_DST,MATCH(P243,TZ_STN,0)),INDEX(TZ_STD,MATCH(P243,TZ_STN,0))))/24</f>
        <v>46303.9583333333</v>
      </c>
      <c r="S243" s="59" t="n">
        <f aca="false">Q243-T12EarlyH/24</f>
        <v>46303.4166666667</v>
      </c>
      <c r="T243" s="60"/>
      <c r="U243" s="60"/>
      <c r="V243" s="60"/>
      <c r="W243" s="61"/>
      <c r="X243" s="60"/>
      <c r="Y243" s="60"/>
      <c r="Z243" s="60"/>
      <c r="AA243" s="60"/>
      <c r="AB243" s="60"/>
      <c r="AC243" s="60"/>
      <c r="AD243" s="66"/>
      <c r="AE243" s="60"/>
      <c r="AF243" s="61" t="str">
        <f aca="false">IF(AND(ISNUMBER(X243),ISNUMBER(Y243)),Y243-X243,"")</f>
        <v/>
      </c>
      <c r="AG243" s="62" t="str">
        <f aca="false">IF(ISNUMBER(AD243),AD243-(IF(AND(INDEX(TZ_DSTS,MATCH(P243,TZ_STN,0))&lt;&gt;"",(AD243-INDEX(TZ_STD,MATCH(P243,TZ_STN,0))/24)&gt;=INDEX(TZ_DSTS,MATCH(P243,TZ_STN,0)),(AD243-INDEX(TZ_STD,MATCH(P243,TZ_STN,0))/24)&lt;INDEX(TZ_DSTE,MATCH(P243,TZ_STN,0))),INDEX(TZ_DST,MATCH(P243,TZ_STN,0)),INDEX(TZ_STD,MATCH(P243,TZ_STN,0))))/24,"")</f>
        <v/>
      </c>
      <c r="AH243" s="65" t="str">
        <f aca="false">IFERROR(IF(N243="N/A – rule","N/A – RULE",IF(TRIM(U243)="N/A",IF(AT243=0,"INVALID – N/A not permitted for this check",IF(AND(TRIM(AB243)&lt;&gt;"",TRIM(AB243)&lt;&gt;"Closed"),"INVALID – corrective action still open",IF(AND(NOT(OR(LEN(AZ243)&lt;15,ISNUMBER(MATCH(AZ243,L_Placeholder,0)))),NOT(OR(LEN(AU243)&lt;2,ISNUMBER(MATCH(AU243,L_Placeholder,0)))),NOT(OR(LEN(AX243)&lt;2,ISNUMBER(MATCH(AX243,L_Placeholder,0)))),TRIM(AE243)&lt;&gt;TRIM(T243)),"N/A – JUSTIFIED","INVALID – N/A needs a real justification (15+ chars), PIC and a different verifier"))),IF(OR(TRIM(U243)="Pass",TRIM(U243)="Pass after CA"),IF(NOT(ISNUMBER(AD243)),"INVALID – completion time missing",IF(OR(LEN(AU243)&lt;2,ISNUMBER(MATCH(AU243,L_Placeholder,0))),"INVALID – PIC missing",IF(OR(LEN(AV243)&lt;2,ISNUMBER(MATCH(AV243,L_Placeholder,0))),"INVALID – result / assessment missing",IF(OR(OR(LEN(AW243)&lt;3,ISNUMBER(MATCH(AW243,L_Placeholder,0))),SUMPRODUCT(--ISNUMBER(SEARCH(L_EvidencePhrase,AW243)))&gt;0),"INVALID – evidence missing, placeholder or not yet on file",IF(OR(LEN(AX243)&lt;2,ISNUMBER(MATCH(AX243,L_Placeholder,0))),"INVALID – verifier missing",IF(AX243=AU243,"INVALID – verifier must be someone other than the PIC",IF(AND(TRIM(U243)="Pass",SUMPRODUCT(--ISNUMBER(SEARCH(L_ResultBad,AV243)))&gt;0),"INVALID – result describes a problem: use Fail, then Pass after CA",IF(AND(AQ243=1,OR(LEN(AY243)&lt;3,ISNUMBER(MATCH(AY243,L_Placeholder,0)))),"INVALID – batch ID missing or placeholder",IF(AND(AR243=1,OR(NOT(ISNUMBER(X243)),NOT(ISNUMBER(Y243)))),"INVALID – expected/actual qty missing",IF(AND(AR243=1,OR(X243&lt;=0,Y243&lt;0)),"INVALID – expected qty must be above 0 and actual not negative",IF(BB243&lt;&gt;"",BB243,IF(AND(AS243=1,Documents!$J$11&lt;&gt;"ON FILE"),"INVALID – GLD not on file (Documents sheet)",IF(AND(AS243=2,Documents!$O$11&lt;&gt;"ON FILE"),"INVALID – menu checklist not on file (Documents sheet)",IF(AND(AS243=3,NOT(ISNUMBER(Flights!$AX$11))),"INVALID – enter carrying flight KUL departure (Flights AX)",IF(AND(AS243=3,OR(Flights!$AZ$11&gt;Flights!$AA$11,Flights!$AX$11&lt;Flights!$AA$11-3)),"INVALID – carrying flight (Flights AX) cannot arrive before this leg's STD, or is over 3 days early",IF(AG243&gt;AsOfUTC,"INVALID – completion time is in the future",IF(AND(ISNUMBER(S243),AG243&lt;S243),IF(H243="Physical uplift","INVALID – before uplift window (cannot confirm loading)","INVALID – before valid window"),IF(AG243&gt;Flights!$AA$11,"INVALID – completed after departure (cannot establish readiness)",IF(AND(H243="Preparation",AG243&gt;IF(ISNUMBER(Flights!$BA$11),MIN(Flights!$BA$11,Flights!$AA$11),Flights!$AA$11)),"INVALID – completed after loading / departure (cannot establish readiness)",IF(AND(H243="Physical uplift",AG243&gt;Q243),"INVALID – recorded after the loading flight departed",IF(AG243&gt;Q243,"COMPLETE – LATE","COMPLETE"))))))))))))))))))))),IF(TRIM(U243)="Fail","FAIL – DISCREPANCY",IF(AND(TRIM(U243)&lt;&gt;"",TRIM(U243)&lt;&gt;"Not started",TRIM(U243)&lt;&gt;"In progress"),"INVALID – unrecognised status (use the list)",IF(AsOfUTC&gt;Q243,"OVERDUE",IF(N243="Clarification required","OPEN – CLARIFICATION","OPEN"))))))),"INVALID – error value in an input cell")</f>
        <v>OPEN</v>
      </c>
      <c r="AI243" s="61" t="n">
        <f aca="false">IF(OR(AH243="N/A – RULE",AH243="N/A – JUSTIFIED"),0,1)</f>
        <v>1</v>
      </c>
      <c r="AJ243" s="61" t="n">
        <f aca="false">IF(LEFT(AH243,8)="COMPLETE",1,0)</f>
        <v>0</v>
      </c>
      <c r="AK243" s="61" t="n">
        <f aca="false">IF(AND(AI243=1,AJ243=0,AsOfUTC&gt;Q243),1,0)</f>
        <v>0</v>
      </c>
      <c r="AL243" s="61" t="n">
        <f aca="false">IFERROR(IF(AND(AI243=1,OR(TRIM(U243)="Fail",AND(TRIM(AB243)&lt;&gt;"",TRIM(AB243)&lt;&gt;"Closed"),AND(ISNUMBER(AF243),AF243&lt;&gt;0,TRIM(U243)&lt;&gt;"Pass after CA"))),1,0),1)</f>
        <v>0</v>
      </c>
      <c r="AM243" s="61" t="n">
        <f aca="false">IF(LEFT(AH243,7)="INVALID",1,0)</f>
        <v>0</v>
      </c>
      <c r="AN243" s="61" t="n">
        <f aca="false">IF(AND(N243="Clarification required",AI243=1,AJ243=0),1,0)</f>
        <v>0</v>
      </c>
      <c r="AO243" s="61" t="str">
        <f aca="false">IF(AK243=1,SUM(AK$5:AK243),"")</f>
        <v/>
      </c>
      <c r="AP243" s="61" t="str">
        <f aca="false">IF(AL243=1,SUM(AL$5:AL243),"")</f>
        <v/>
      </c>
      <c r="AQ243" s="61" t="n">
        <v>0</v>
      </c>
      <c r="AR243" s="61" t="n">
        <v>0</v>
      </c>
      <c r="AS243" s="61" t="n">
        <v>0</v>
      </c>
      <c r="AT243" s="61" t="n">
        <v>0</v>
      </c>
      <c r="AU243" s="61" t="str">
        <f aca="false">SUBSTITUTE(SUBSTITUTE(SUBSTITUTE(SUBSTITUTE(SUBSTITUTE(SUBSTITUTE(SUBSTITUTE(SUBSTITUTE(SUBSTITUTE(SUBSTITUTE(SUBSTITUTE(SUBSTITUTE(SUBSTITUTE(LOWER(T243&amp;""),CHAR(160),"")," ",""),".",""),"-",""),"/",""),"?",""),"_",""),",",""),"[",""),"]",""),"(",""),")",""),"*","")</f>
        <v/>
      </c>
      <c r="AV243" s="61" t="str">
        <f aca="false">SUBSTITUTE(SUBSTITUTE(SUBSTITUTE(SUBSTITUTE(SUBSTITUTE(SUBSTITUTE(SUBSTITUTE(SUBSTITUTE(SUBSTITUTE(SUBSTITUTE(SUBSTITUTE(SUBSTITUTE(SUBSTITUTE(LOWER(V243&amp;""),CHAR(160),"")," ",""),".",""),"-",""),"/",""),"?",""),"_",""),",",""),"[",""),"]",""),"(",""),")",""),"*","")</f>
        <v/>
      </c>
      <c r="AW243" s="61" t="str">
        <f aca="false">SUBSTITUTE(SUBSTITUTE(SUBSTITUTE(SUBSTITUTE(SUBSTITUTE(SUBSTITUTE(SUBSTITUTE(SUBSTITUTE(SUBSTITUTE(SUBSTITUTE(SUBSTITUTE(SUBSTITUTE(SUBSTITUTE(LOWER(Z243&amp;""),CHAR(160),"")," ",""),".",""),"-",""),"/",""),"?",""),"_",""),",",""),"[",""),"]",""),"(",""),")",""),"*","")</f>
        <v/>
      </c>
      <c r="AX243" s="61" t="str">
        <f aca="false">SUBSTITUTE(SUBSTITUTE(SUBSTITUTE(SUBSTITUTE(SUBSTITUTE(SUBSTITUTE(SUBSTITUTE(SUBSTITUTE(SUBSTITUTE(SUBSTITUTE(SUBSTITUTE(SUBSTITUTE(SUBSTITUTE(LOWER(AE243&amp;""),CHAR(160),"")," ",""),".",""),"-",""),"/",""),"?",""),"_",""),",",""),"[",""),"]",""),"(",""),")",""),"*","")</f>
        <v/>
      </c>
      <c r="AY243" s="61" t="str">
        <f aca="false">SUBSTITUTE(SUBSTITUTE(SUBSTITUTE(SUBSTITUTE(SUBSTITUTE(SUBSTITUTE(SUBSTITUTE(SUBSTITUTE(SUBSTITUTE(SUBSTITUTE(SUBSTITUTE(SUBSTITUTE(SUBSTITUTE(LOWER(W243&amp;""),CHAR(160),"")," ",""),".",""),"-",""),"/",""),"?",""),"_",""),",",""),"[",""),"]",""),"(",""),")",""),"*","")</f>
        <v/>
      </c>
      <c r="AZ243" s="61" t="str">
        <f aca="false">SUBSTITUTE(SUBSTITUTE(SUBSTITUTE(SUBSTITUTE(SUBSTITUTE(SUBSTITUTE(SUBSTITUTE(SUBSTITUTE(SUBSTITUTE(SUBSTITUTE(SUBSTITUTE(SUBSTITUTE(SUBSTITUTE(LOWER(AC243&amp;""),CHAR(160),"")," ",""),".",""),"-",""),"/",""),"?",""),"_",""),",",""),"[",""),"]",""),"(",""),")",""),"*","")</f>
        <v/>
      </c>
      <c r="BA243" s="61" t="str">
        <f aca="false">SUBSTITUTE(SUBSTITUTE(SUBSTITUTE(SUBSTITUTE(SUBSTITUTE(SUBSTITUTE(SUBSTITUTE(SUBSTITUTE(SUBSTITUTE(SUBSTITUTE(SUBSTITUTE(SUBSTITUTE(SUBSTITUTE(LOWER(AA243&amp;""),CHAR(160),"")," ",""),".",""),"-",""),"/",""),"?",""),"_",""),",",""),"[",""),"]",""),"(",""),")",""),"*","")</f>
        <v/>
      </c>
      <c r="BB243" s="61" t="str">
        <f aca="false">IF(AND(TRIM(U243)="Pass",ISNUMBER(AF243)),IF(AF243&lt;&gt;0,"INVALID – qty variance: use Fail or Pass after CA",""),"")&amp;IF(AND(TRIM(U243)="Pass after CA",ISNUMBER(AF243)),IF(AF243&lt;&gt;0,"INVALID – after the corrective action the actual qty must equal expected (update Actual)",""),"")&amp;IF(AND(TRIM(U243)="Pass",TRIM(AB243)&lt;&gt;"",TRIM(AB243)&lt;&gt;"Closed"),"INVALID – corrective action not closed: use Fail, then Pass after CA","")&amp;IF(AND(TRIM(AA243)&lt;&gt;"",TRIM(AB243)=""),"INVALID – CA status missing for the recorded corrective action","")&amp;IF(AND(TRIM(U243)="Pass after CA",OR(OR(LEN(BA243)&lt;5,ISNUMBER(MATCH(BA243,L_Placeholder,0))),TRIM(AB243)&lt;&gt;"Closed")),"INVALID – corrective action not recorded/closed","")</f>
        <v/>
      </c>
    </row>
    <row r="244" customFormat="false" ht="54" hidden="false" customHeight="true" outlineLevel="0" collapsed="false">
      <c r="A244" s="57" t="s">
        <v>789</v>
      </c>
      <c r="B244" s="57" t="s">
        <v>232</v>
      </c>
      <c r="C244" s="57" t="str">
        <f aca="false">Flights!$F$11</f>
        <v>MH0003</v>
      </c>
      <c r="D244" s="58" t="n">
        <f aca="false">Flights!$D$11</f>
        <v>46304</v>
      </c>
      <c r="E244" s="57" t="str">
        <f aca="false">Flights!$G$11&amp;"-"&amp;Flights!$H$11</f>
        <v>LHR-KUL</v>
      </c>
      <c r="F244" s="57" t="str">
        <f aca="false">Flights!$K$11</f>
        <v>BC</v>
      </c>
      <c r="G244" s="57" t="s">
        <v>398</v>
      </c>
      <c r="H244" s="57" t="s">
        <v>356</v>
      </c>
      <c r="I244" s="57" t="s">
        <v>607</v>
      </c>
      <c r="J244" s="57" t="s">
        <v>608</v>
      </c>
      <c r="K244" s="67" t="s">
        <v>479</v>
      </c>
      <c r="L244" s="67" t="s">
        <v>734</v>
      </c>
      <c r="M244" s="67" t="s">
        <v>184</v>
      </c>
      <c r="N244" s="67" t="s">
        <v>361</v>
      </c>
      <c r="O244" s="67" t="s">
        <v>790</v>
      </c>
      <c r="P244" s="57" t="s">
        <v>184</v>
      </c>
      <c r="Q244" s="59" t="n">
        <f aca="false">ROUND((MIN(Flights!$AE$11,Flights!$AY$11))*1440,0)/1440</f>
        <v>46303.6006944444</v>
      </c>
      <c r="R244" s="59" t="n">
        <f aca="false">Q244+(IF(AND(INDEX(TZ_DSTS,MATCH(P244,TZ_STN,0))&lt;&gt;"",Q244&gt;=INDEX(TZ_DSTS,MATCH(P244,TZ_STN,0)),Q244&lt;INDEX(TZ_DSTE,MATCH(P244,TZ_STN,0))),INDEX(TZ_DST,MATCH(P244,TZ_STN,0)),INDEX(TZ_STD,MATCH(P244,TZ_STN,0))))/24</f>
        <v>46303.9340277778</v>
      </c>
      <c r="S244" s="59" t="n">
        <f aca="false">Q244-T12EarlyH/24</f>
        <v>46303.1006944444</v>
      </c>
      <c r="T244" s="60"/>
      <c r="U244" s="60"/>
      <c r="V244" s="60"/>
      <c r="W244" s="61"/>
      <c r="X244" s="60"/>
      <c r="Y244" s="60"/>
      <c r="Z244" s="60"/>
      <c r="AA244" s="60"/>
      <c r="AB244" s="60"/>
      <c r="AC244" s="60"/>
      <c r="AD244" s="66"/>
      <c r="AE244" s="60"/>
      <c r="AF244" s="61" t="str">
        <f aca="false">IF(AND(ISNUMBER(X244),ISNUMBER(Y244)),Y244-X244,"")</f>
        <v/>
      </c>
      <c r="AG244" s="62" t="str">
        <f aca="false">IF(ISNUMBER(AD244),AD244-(IF(AND(INDEX(TZ_DSTS,MATCH(P244,TZ_STN,0))&lt;&gt;"",(AD244-INDEX(TZ_STD,MATCH(P244,TZ_STN,0))/24)&gt;=INDEX(TZ_DSTS,MATCH(P244,TZ_STN,0)),(AD244-INDEX(TZ_STD,MATCH(P244,TZ_STN,0))/24)&lt;INDEX(TZ_DSTE,MATCH(P244,TZ_STN,0))),INDEX(TZ_DST,MATCH(P244,TZ_STN,0)),INDEX(TZ_STD,MATCH(P244,TZ_STN,0))))/24,"")</f>
        <v/>
      </c>
      <c r="AH244" s="65" t="str">
        <f aca="false">IFERROR(IF(N244="N/A – rule","N/A – RULE",IF(TRIM(U244)="N/A",IF(AT244=0,"INVALID – N/A not permitted for this check",IF(AND(TRIM(AB244)&lt;&gt;"",TRIM(AB244)&lt;&gt;"Closed"),"INVALID – corrective action still open",IF(AND(NOT(OR(LEN(AZ244)&lt;15,ISNUMBER(MATCH(AZ244,L_Placeholder,0)))),NOT(OR(LEN(AU244)&lt;2,ISNUMBER(MATCH(AU244,L_Placeholder,0)))),NOT(OR(LEN(AX244)&lt;2,ISNUMBER(MATCH(AX244,L_Placeholder,0)))),TRIM(AE244)&lt;&gt;TRIM(T244)),"N/A – JUSTIFIED","INVALID – N/A needs a real justification (15+ chars), PIC and a different verifier"))),IF(OR(TRIM(U244)="Pass",TRIM(U244)="Pass after CA"),IF(NOT(ISNUMBER(AD244)),"INVALID – completion time missing",IF(OR(LEN(AU244)&lt;2,ISNUMBER(MATCH(AU244,L_Placeholder,0))),"INVALID – PIC missing",IF(OR(LEN(AV244)&lt;2,ISNUMBER(MATCH(AV244,L_Placeholder,0))),"INVALID – result / assessment missing",IF(OR(OR(LEN(AW244)&lt;3,ISNUMBER(MATCH(AW244,L_Placeholder,0))),SUMPRODUCT(--ISNUMBER(SEARCH(L_EvidencePhrase,AW244)))&gt;0),"INVALID – evidence missing, placeholder or not yet on file",IF(OR(LEN(AX244)&lt;2,ISNUMBER(MATCH(AX244,L_Placeholder,0))),"INVALID – verifier missing",IF(AX244=AU244,"INVALID – verifier must be someone other than the PIC",IF(AND(TRIM(U244)="Pass",SUMPRODUCT(--ISNUMBER(SEARCH(L_ResultBad,AV244)))&gt;0),"INVALID – result describes a problem: use Fail, then Pass after CA",IF(AND(AQ244=1,OR(LEN(AY244)&lt;3,ISNUMBER(MATCH(AY244,L_Placeholder,0)))),"INVALID – batch ID missing or placeholder",IF(AND(AR244=1,OR(NOT(ISNUMBER(X244)),NOT(ISNUMBER(Y244)))),"INVALID – expected/actual qty missing",IF(AND(AR244=1,OR(X244&lt;=0,Y244&lt;0)),"INVALID – expected qty must be above 0 and actual not negative",IF(BB244&lt;&gt;"",BB244,IF(AND(AS244=1,Documents!$J$11&lt;&gt;"ON FILE"),"INVALID – GLD not on file (Documents sheet)",IF(AND(AS244=2,Documents!$O$11&lt;&gt;"ON FILE"),"INVALID – menu checklist not on file (Documents sheet)",IF(AND(AS244=3,NOT(ISNUMBER(Flights!$AX$11))),"INVALID – enter carrying flight KUL departure (Flights AX)",IF(AND(AS244=3,OR(Flights!$AZ$11&gt;Flights!$AA$11,Flights!$AX$11&lt;Flights!$AA$11-3)),"INVALID – carrying flight (Flights AX) cannot arrive before this leg's STD, or is over 3 days early",IF(AG244&gt;AsOfUTC,"INVALID – completion time is in the future",IF(AND(ISNUMBER(S244),AG244&lt;S244),IF(H244="Physical uplift","INVALID – before uplift window (cannot confirm loading)","INVALID – before valid window"),IF(AG244&gt;Flights!$AA$11,"INVALID – completed after departure (cannot establish readiness)",IF(AND(H244="Preparation",AG244&gt;Flights!$AY$11+UpliftWindowH/24),"INVALID – completed after the carrying flight left KUL",IF(AND(H244="Physical uplift",AG244&gt;Q244),"INVALID – recorded after the loading flight departed",IF(AG244&gt;Q244,"COMPLETE – LATE","COMPLETE"))))))))))))))))))))),IF(TRIM(U244)="Fail","FAIL – DISCREPANCY",IF(AND(TRIM(U244)&lt;&gt;"",TRIM(U244)&lt;&gt;"Not started",TRIM(U244)&lt;&gt;"In progress"),"INVALID – unrecognised status (use the list)",IF(AsOfUTC&gt;Q244,"OVERDUE",IF(N244="Clarification required","OPEN – CLARIFICATION","OPEN"))))))),"INVALID – error value in an input cell")</f>
        <v>OPEN</v>
      </c>
      <c r="AI244" s="61" t="n">
        <f aca="false">IF(OR(AH244="N/A – RULE",AH244="N/A – JUSTIFIED"),0,1)</f>
        <v>1</v>
      </c>
      <c r="AJ244" s="61" t="n">
        <f aca="false">IF(LEFT(AH244,8)="COMPLETE",1,0)</f>
        <v>0</v>
      </c>
      <c r="AK244" s="61" t="n">
        <f aca="false">IF(AND(AI244=1,AJ244=0,AsOfUTC&gt;Q244),1,0)</f>
        <v>0</v>
      </c>
      <c r="AL244" s="61" t="n">
        <f aca="false">IFERROR(IF(AND(AI244=1,OR(TRIM(U244)="Fail",AND(TRIM(AB244)&lt;&gt;"",TRIM(AB244)&lt;&gt;"Closed"),AND(ISNUMBER(AF244),AF244&lt;&gt;0,TRIM(U244)&lt;&gt;"Pass after CA"))),1,0),1)</f>
        <v>0</v>
      </c>
      <c r="AM244" s="61" t="n">
        <f aca="false">IF(LEFT(AH244,7)="INVALID",1,0)</f>
        <v>0</v>
      </c>
      <c r="AN244" s="61" t="n">
        <f aca="false">IF(AND(N244="Clarification required",AI244=1,AJ244=0),1,0)</f>
        <v>0</v>
      </c>
      <c r="AO244" s="61" t="str">
        <f aca="false">IF(AK244=1,SUM(AK$5:AK244),"")</f>
        <v/>
      </c>
      <c r="AP244" s="61" t="str">
        <f aca="false">IF(AL244=1,SUM(AL$5:AL244),"")</f>
        <v/>
      </c>
      <c r="AQ244" s="61" t="n">
        <v>0</v>
      </c>
      <c r="AR244" s="61" t="n">
        <v>0</v>
      </c>
      <c r="AS244" s="61" t="n">
        <v>0</v>
      </c>
      <c r="AT244" s="61" t="n">
        <v>0</v>
      </c>
      <c r="AU244" s="61" t="str">
        <f aca="false">SUBSTITUTE(SUBSTITUTE(SUBSTITUTE(SUBSTITUTE(SUBSTITUTE(SUBSTITUTE(SUBSTITUTE(SUBSTITUTE(SUBSTITUTE(SUBSTITUTE(SUBSTITUTE(SUBSTITUTE(SUBSTITUTE(LOWER(T244&amp;""),CHAR(160),"")," ",""),".",""),"-",""),"/",""),"?",""),"_",""),",",""),"[",""),"]",""),"(",""),")",""),"*","")</f>
        <v/>
      </c>
      <c r="AV244" s="61" t="str">
        <f aca="false">SUBSTITUTE(SUBSTITUTE(SUBSTITUTE(SUBSTITUTE(SUBSTITUTE(SUBSTITUTE(SUBSTITUTE(SUBSTITUTE(SUBSTITUTE(SUBSTITUTE(SUBSTITUTE(SUBSTITUTE(SUBSTITUTE(LOWER(V244&amp;""),CHAR(160),"")," ",""),".",""),"-",""),"/",""),"?",""),"_",""),",",""),"[",""),"]",""),"(",""),")",""),"*","")</f>
        <v/>
      </c>
      <c r="AW244" s="61" t="str">
        <f aca="false">SUBSTITUTE(SUBSTITUTE(SUBSTITUTE(SUBSTITUTE(SUBSTITUTE(SUBSTITUTE(SUBSTITUTE(SUBSTITUTE(SUBSTITUTE(SUBSTITUTE(SUBSTITUTE(SUBSTITUTE(SUBSTITUTE(LOWER(Z244&amp;""),CHAR(160),"")," ",""),".",""),"-",""),"/",""),"?",""),"_",""),",",""),"[",""),"]",""),"(",""),")",""),"*","")</f>
        <v/>
      </c>
      <c r="AX244" s="61" t="str">
        <f aca="false">SUBSTITUTE(SUBSTITUTE(SUBSTITUTE(SUBSTITUTE(SUBSTITUTE(SUBSTITUTE(SUBSTITUTE(SUBSTITUTE(SUBSTITUTE(SUBSTITUTE(SUBSTITUTE(SUBSTITUTE(SUBSTITUTE(LOWER(AE244&amp;""),CHAR(160),"")," ",""),".",""),"-",""),"/",""),"?",""),"_",""),",",""),"[",""),"]",""),"(",""),")",""),"*","")</f>
        <v/>
      </c>
      <c r="AY244" s="61" t="str">
        <f aca="false">SUBSTITUTE(SUBSTITUTE(SUBSTITUTE(SUBSTITUTE(SUBSTITUTE(SUBSTITUTE(SUBSTITUTE(SUBSTITUTE(SUBSTITUTE(SUBSTITUTE(SUBSTITUTE(SUBSTITUTE(SUBSTITUTE(LOWER(W244&amp;""),CHAR(160),"")," ",""),".",""),"-",""),"/",""),"?",""),"_",""),",",""),"[",""),"]",""),"(",""),")",""),"*","")</f>
        <v/>
      </c>
      <c r="AZ244" s="61" t="str">
        <f aca="false">SUBSTITUTE(SUBSTITUTE(SUBSTITUTE(SUBSTITUTE(SUBSTITUTE(SUBSTITUTE(SUBSTITUTE(SUBSTITUTE(SUBSTITUTE(SUBSTITUTE(SUBSTITUTE(SUBSTITUTE(SUBSTITUTE(LOWER(AC244&amp;""),CHAR(160),"")," ",""),".",""),"-",""),"/",""),"?",""),"_",""),",",""),"[",""),"]",""),"(",""),")",""),"*","")</f>
        <v/>
      </c>
      <c r="BA244" s="61" t="str">
        <f aca="false">SUBSTITUTE(SUBSTITUTE(SUBSTITUTE(SUBSTITUTE(SUBSTITUTE(SUBSTITUTE(SUBSTITUTE(SUBSTITUTE(SUBSTITUTE(SUBSTITUTE(SUBSTITUTE(SUBSTITUTE(SUBSTITUTE(LOWER(AA244&amp;""),CHAR(160),"")," ",""),".",""),"-",""),"/",""),"?",""),"_",""),",",""),"[",""),"]",""),"(",""),")",""),"*","")</f>
        <v/>
      </c>
      <c r="BB244" s="61" t="str">
        <f aca="false">IF(AND(TRIM(U244)="Pass",ISNUMBER(AF244)),IF(AF244&lt;&gt;0,"INVALID – qty variance: use Fail or Pass after CA",""),"")&amp;IF(AND(TRIM(U244)="Pass after CA",ISNUMBER(AF244)),IF(AF244&lt;&gt;0,"INVALID – after the corrective action the actual qty must equal expected (update Actual)",""),"")&amp;IF(AND(TRIM(U244)="Pass",TRIM(AB244)&lt;&gt;"",TRIM(AB244)&lt;&gt;"Closed"),"INVALID – corrective action not closed: use Fail, then Pass after CA","")&amp;IF(AND(TRIM(AA244)&lt;&gt;"",TRIM(AB244)=""),"INVALID – CA status missing for the recorded corrective action","")&amp;IF(AND(TRIM(U244)="Pass after CA",OR(OR(LEN(BA244)&lt;5,ISNUMBER(MATCH(BA244,L_Placeholder,0))),TRIM(AB244)&lt;&gt;"Closed")),"INVALID – corrective action not recorded/closed","")</f>
        <v/>
      </c>
    </row>
    <row r="245" customFormat="false" ht="39.75" hidden="false" customHeight="true" outlineLevel="0" collapsed="false">
      <c r="A245" s="57" t="s">
        <v>791</v>
      </c>
      <c r="B245" s="57" t="s">
        <v>232</v>
      </c>
      <c r="C245" s="57" t="str">
        <f aca="false">Flights!$F$11</f>
        <v>MH0003</v>
      </c>
      <c r="D245" s="58" t="n">
        <f aca="false">Flights!$D$11</f>
        <v>46304</v>
      </c>
      <c r="E245" s="57" t="str">
        <f aca="false">Flights!$G$11&amp;"-"&amp;Flights!$H$11</f>
        <v>LHR-KUL</v>
      </c>
      <c r="F245" s="57" t="str">
        <f aca="false">Flights!$K$11</f>
        <v>BC</v>
      </c>
      <c r="G245" s="57" t="s">
        <v>437</v>
      </c>
      <c r="H245" s="57" t="s">
        <v>438</v>
      </c>
      <c r="I245" s="57" t="s">
        <v>357</v>
      </c>
      <c r="J245" s="57" t="s">
        <v>439</v>
      </c>
      <c r="K245" s="67" t="s">
        <v>404</v>
      </c>
      <c r="L245" s="67" t="s">
        <v>440</v>
      </c>
      <c r="M245" s="67"/>
      <c r="N245" s="67" t="s">
        <v>361</v>
      </c>
      <c r="O245" s="67" t="s">
        <v>441</v>
      </c>
      <c r="P245" s="57" t="s">
        <v>183</v>
      </c>
      <c r="Q245" s="59" t="n">
        <f aca="false">ROUND((Flights!$AF$11)*1440,0)/1440</f>
        <v>46304.4166666667</v>
      </c>
      <c r="R245" s="59" t="n">
        <f aca="false">Q245+(IF(AND(INDEX(TZ_DSTS,MATCH(P245,TZ_STN,0))&lt;&gt;"",Q245&gt;=INDEX(TZ_DSTS,MATCH(P245,TZ_STN,0)),Q245&lt;INDEX(TZ_DSTE,MATCH(P245,TZ_STN,0))),INDEX(TZ_DST,MATCH(P245,TZ_STN,0)),INDEX(TZ_STD,MATCH(P245,TZ_STN,0))))/24</f>
        <v>46304.4583333333</v>
      </c>
      <c r="S245" s="59" t="n">
        <f aca="false">IF(ISNUMBER(Flights!$AZ$11),MAX(Q245-UpliftWindowH/24,Flights!$AZ$11),Q245-UpliftWindowH/24)</f>
        <v>46304.4166666667</v>
      </c>
      <c r="T245" s="60"/>
      <c r="U245" s="60"/>
      <c r="V245" s="60"/>
      <c r="W245" s="61"/>
      <c r="X245" s="60"/>
      <c r="Y245" s="60"/>
      <c r="Z245" s="60"/>
      <c r="AA245" s="60"/>
      <c r="AB245" s="60"/>
      <c r="AC245" s="60"/>
      <c r="AD245" s="66"/>
      <c r="AE245" s="60"/>
      <c r="AF245" s="61" t="str">
        <f aca="false">IF(AND(ISNUMBER(X245),ISNUMBER(Y245)),Y245-X245,"")</f>
        <v/>
      </c>
      <c r="AG245" s="62" t="str">
        <f aca="false">IF(ISNUMBER(AD245),AD245-(IF(AND(INDEX(TZ_DSTS,MATCH(P245,TZ_STN,0))&lt;&gt;"",(AD245-INDEX(TZ_STD,MATCH(P245,TZ_STN,0))/24)&gt;=INDEX(TZ_DSTS,MATCH(P245,TZ_STN,0)),(AD245-INDEX(TZ_STD,MATCH(P245,TZ_STN,0))/24)&lt;INDEX(TZ_DSTE,MATCH(P245,TZ_STN,0))),INDEX(TZ_DST,MATCH(P245,TZ_STN,0)),INDEX(TZ_STD,MATCH(P245,TZ_STN,0))))/24,"")</f>
        <v/>
      </c>
      <c r="AH245" s="65" t="str">
        <f aca="false">IFERROR(IF(N245="N/A – rule","N/A – RULE",IF(TRIM(U245)="N/A",IF(AT245=0,"INVALID – N/A not permitted for this check",IF(AND(TRIM(AB245)&lt;&gt;"",TRIM(AB245)&lt;&gt;"Closed"),"INVALID – corrective action still open",IF(AND(NOT(OR(LEN(AZ245)&lt;15,ISNUMBER(MATCH(AZ245,L_Placeholder,0)))),NOT(OR(LEN(AU245)&lt;2,ISNUMBER(MATCH(AU245,L_Placeholder,0)))),NOT(OR(LEN(AX245)&lt;2,ISNUMBER(MATCH(AX245,L_Placeholder,0)))),TRIM(AE245)&lt;&gt;TRIM(T245)),"N/A – JUSTIFIED","INVALID – N/A needs a real justification (15+ chars), PIC and a different verifier"))),IF(OR(TRIM(U245)="Pass",TRIM(U245)="Pass after CA"),IF(NOT(ISNUMBER(AD245)),"INVALID – completion time missing",IF(OR(LEN(AU245)&lt;2,ISNUMBER(MATCH(AU245,L_Placeholder,0))),"INVALID – PIC missing",IF(OR(LEN(AV245)&lt;2,ISNUMBER(MATCH(AV245,L_Placeholder,0))),"INVALID – result / assessment missing",IF(OR(OR(LEN(AW245)&lt;3,ISNUMBER(MATCH(AW245,L_Placeholder,0))),SUMPRODUCT(--ISNUMBER(SEARCH(L_EvidencePhrase,AW245)))&gt;0),"INVALID – evidence missing, placeholder or not yet on file",IF(OR(LEN(AX245)&lt;2,ISNUMBER(MATCH(AX245,L_Placeholder,0))),"INVALID – verifier missing",IF(AX245=AU245,"INVALID – verifier must be someone other than the PIC",IF(AND(TRIM(U245)="Pass",SUMPRODUCT(--ISNUMBER(SEARCH(L_ResultBad,AV245)))&gt;0),"INVALID – result describes a problem: use Fail, then Pass after CA",IF(AND(AQ245=1,OR(LEN(AY245)&lt;3,ISNUMBER(MATCH(AY245,L_Placeholder,0)))),"INVALID – batch ID missing or placeholder",IF(AND(AR245=1,OR(NOT(ISNUMBER(X245)),NOT(ISNUMBER(Y245)))),"INVALID – expected/actual qty missing",IF(AND(AR245=1,OR(X245&lt;=0,Y245&lt;0)),"INVALID – expected qty must be above 0 and actual not negative",IF(AH225="N/A – JUSTIFIED","INVALID – preparation row F07-T12-02 is N/A",IF(AND(AR245=1,ISNUMBER(X225),X245&lt;&gt;X225),"INVALID – expected qty differs from preparation check F07-T12-02",IF(BB245&lt;&gt;"",BB245,IF(AND(AS245=1,Documents!$J$11&lt;&gt;"ON FILE"),"INVALID – GLD not on file (Documents sheet)",IF(AND(AS245=2,Documents!$O$11&lt;&gt;"ON FILE"),"INVALID – menu checklist not on file (Documents sheet)",IF(AND(AS245=3,NOT(ISNUMBER(Flights!$AX$11))),"INVALID – enter carrying flight KUL departure (Flights AX)",IF(AND(AS245=3,OR(Flights!$AZ$11&gt;Flights!$AA$11,Flights!$AX$11&lt;Flights!$AA$11-3)),"INVALID – carrying flight (Flights AX) cannot arrive before this leg's STD, or is over 3 days early",IF(AG245&gt;AsOfUTC,"INVALID – completion time is in the future",IF(AND(ISNUMBER(S245),AG245&lt;S245),IF(H245="Physical uplift","INVALID – before uplift window (cannot confirm loading)","INVALID – before valid window"),IF(AG245&gt;Flights!$AA$11,"INVALID – completed after departure (cannot establish readiness)",IF(AND(H245="Preparation",AG245&gt;IF(ISNUMBER(Flights!$BA$11),MIN(Flights!$BA$11,Flights!$AA$11),Flights!$AA$11)),"INVALID – completed after loading / departure (cannot establish readiness)",IF(AND(H245="Physical uplift",AG245&gt;Q245),"INVALID – recorded after the loading flight departed",IF(AG245&gt;Q245,"COMPLETE – LATE","COMPLETE"))))))))))))))))))))))),IF(TRIM(U245)="Fail","FAIL – DISCREPANCY",IF(AND(TRIM(U245)&lt;&gt;"",TRIM(U245)&lt;&gt;"Not started",TRIM(U245)&lt;&gt;"In progress"),"INVALID – unrecognised status (use the list)",IF(AsOfUTC&gt;Q245,"OVERDUE",IF(N245="Clarification required","OPEN – CLARIFICATION","OPEN"))))))),"INVALID – error value in an input cell")</f>
        <v>OPEN</v>
      </c>
      <c r="AI245" s="61" t="n">
        <f aca="false">IF(OR(AH245="N/A – RULE",AH245="N/A – JUSTIFIED"),0,1)</f>
        <v>1</v>
      </c>
      <c r="AJ245" s="61" t="n">
        <f aca="false">IF(LEFT(AH245,8)="COMPLETE",1,0)</f>
        <v>0</v>
      </c>
      <c r="AK245" s="61" t="n">
        <f aca="false">IF(AND(AI245=1,AJ245=0,AsOfUTC&gt;Q245),1,0)</f>
        <v>0</v>
      </c>
      <c r="AL245" s="61" t="n">
        <f aca="false">IFERROR(IF(AND(AI245=1,OR(TRIM(U245)="Fail",AND(TRIM(AB245)&lt;&gt;"",TRIM(AB245)&lt;&gt;"Closed"),AND(ISNUMBER(AF245),AF245&lt;&gt;0,TRIM(U245)&lt;&gt;"Pass after CA"))),1,0),1)</f>
        <v>0</v>
      </c>
      <c r="AM245" s="61" t="n">
        <f aca="false">IF(LEFT(AH245,7)="INVALID",1,0)</f>
        <v>0</v>
      </c>
      <c r="AN245" s="61" t="n">
        <f aca="false">IF(AND(N245="Clarification required",AI245=1,AJ245=0),1,0)</f>
        <v>0</v>
      </c>
      <c r="AO245" s="61" t="str">
        <f aca="false">IF(AK245=1,SUM(AK$5:AK245),"")</f>
        <v/>
      </c>
      <c r="AP245" s="61" t="str">
        <f aca="false">IF(AL245=1,SUM(AL$5:AL245),"")</f>
        <v/>
      </c>
      <c r="AQ245" s="61" t="n">
        <v>0</v>
      </c>
      <c r="AR245" s="61" t="n">
        <v>1</v>
      </c>
      <c r="AS245" s="61" t="n">
        <v>0</v>
      </c>
      <c r="AT245" s="61" t="n">
        <v>0</v>
      </c>
      <c r="AU245" s="61" t="str">
        <f aca="false">SUBSTITUTE(SUBSTITUTE(SUBSTITUTE(SUBSTITUTE(SUBSTITUTE(SUBSTITUTE(SUBSTITUTE(SUBSTITUTE(SUBSTITUTE(SUBSTITUTE(SUBSTITUTE(SUBSTITUTE(SUBSTITUTE(LOWER(T245&amp;""),CHAR(160),"")," ",""),".",""),"-",""),"/",""),"?",""),"_",""),",",""),"[",""),"]",""),"(",""),")",""),"*","")</f>
        <v/>
      </c>
      <c r="AV245" s="61" t="str">
        <f aca="false">SUBSTITUTE(SUBSTITUTE(SUBSTITUTE(SUBSTITUTE(SUBSTITUTE(SUBSTITUTE(SUBSTITUTE(SUBSTITUTE(SUBSTITUTE(SUBSTITUTE(SUBSTITUTE(SUBSTITUTE(SUBSTITUTE(LOWER(V245&amp;""),CHAR(160),"")," ",""),".",""),"-",""),"/",""),"?",""),"_",""),",",""),"[",""),"]",""),"(",""),")",""),"*","")</f>
        <v/>
      </c>
      <c r="AW245" s="61" t="str">
        <f aca="false">SUBSTITUTE(SUBSTITUTE(SUBSTITUTE(SUBSTITUTE(SUBSTITUTE(SUBSTITUTE(SUBSTITUTE(SUBSTITUTE(SUBSTITUTE(SUBSTITUTE(SUBSTITUTE(SUBSTITUTE(SUBSTITUTE(LOWER(Z245&amp;""),CHAR(160),"")," ",""),".",""),"-",""),"/",""),"?",""),"_",""),",",""),"[",""),"]",""),"(",""),")",""),"*","")</f>
        <v/>
      </c>
      <c r="AX245" s="61" t="str">
        <f aca="false">SUBSTITUTE(SUBSTITUTE(SUBSTITUTE(SUBSTITUTE(SUBSTITUTE(SUBSTITUTE(SUBSTITUTE(SUBSTITUTE(SUBSTITUTE(SUBSTITUTE(SUBSTITUTE(SUBSTITUTE(SUBSTITUTE(LOWER(AE245&amp;""),CHAR(160),"")," ",""),".",""),"-",""),"/",""),"?",""),"_",""),",",""),"[",""),"]",""),"(",""),")",""),"*","")</f>
        <v/>
      </c>
      <c r="AY245" s="61" t="str">
        <f aca="false">SUBSTITUTE(SUBSTITUTE(SUBSTITUTE(SUBSTITUTE(SUBSTITUTE(SUBSTITUTE(SUBSTITUTE(SUBSTITUTE(SUBSTITUTE(SUBSTITUTE(SUBSTITUTE(SUBSTITUTE(SUBSTITUTE(LOWER(W245&amp;""),CHAR(160),"")," ",""),".",""),"-",""),"/",""),"?",""),"_",""),",",""),"[",""),"]",""),"(",""),")",""),"*","")</f>
        <v/>
      </c>
      <c r="AZ245" s="61" t="str">
        <f aca="false">SUBSTITUTE(SUBSTITUTE(SUBSTITUTE(SUBSTITUTE(SUBSTITUTE(SUBSTITUTE(SUBSTITUTE(SUBSTITUTE(SUBSTITUTE(SUBSTITUTE(SUBSTITUTE(SUBSTITUTE(SUBSTITUTE(LOWER(AC245&amp;""),CHAR(160),"")," ",""),".",""),"-",""),"/",""),"?",""),"_",""),",",""),"[",""),"]",""),"(",""),")",""),"*","")</f>
        <v/>
      </c>
      <c r="BA245" s="61" t="str">
        <f aca="false">SUBSTITUTE(SUBSTITUTE(SUBSTITUTE(SUBSTITUTE(SUBSTITUTE(SUBSTITUTE(SUBSTITUTE(SUBSTITUTE(SUBSTITUTE(SUBSTITUTE(SUBSTITUTE(SUBSTITUTE(SUBSTITUTE(LOWER(AA245&amp;""),CHAR(160),"")," ",""),".",""),"-",""),"/",""),"?",""),"_",""),",",""),"[",""),"]",""),"(",""),")",""),"*","")</f>
        <v/>
      </c>
      <c r="BB245" s="61" t="str">
        <f aca="false">IF(AND(TRIM(U245)="Pass",ISNUMBER(AF245)),IF(AF245&lt;&gt;0,"INVALID – qty variance: use Fail or Pass after CA",""),"")&amp;IF(AND(TRIM(U245)="Pass after CA",ISNUMBER(AF245)),IF(AF245&lt;&gt;0,"INVALID – after the corrective action the actual qty must equal expected (update Actual)",""),"")&amp;IF(AND(TRIM(U245)="Pass",TRIM(AB245)&lt;&gt;"",TRIM(AB245)&lt;&gt;"Closed"),"INVALID – corrective action not closed: use Fail, then Pass after CA","")&amp;IF(AND(TRIM(AA245)&lt;&gt;"",TRIM(AB245)=""),"INVALID – CA status missing for the recorded corrective action","")&amp;IF(AND(TRIM(U245)="Pass after CA",OR(OR(LEN(BA245)&lt;5,ISNUMBER(MATCH(BA245,L_Placeholder,0))),TRIM(AB245)&lt;&gt;"Closed")),"INVALID – corrective action not recorded/closed","")</f>
        <v/>
      </c>
    </row>
    <row r="246" customFormat="false" ht="39.75" hidden="false" customHeight="true" outlineLevel="0" collapsed="false">
      <c r="A246" s="57" t="s">
        <v>792</v>
      </c>
      <c r="B246" s="57" t="s">
        <v>232</v>
      </c>
      <c r="C246" s="57" t="str">
        <f aca="false">Flights!$F$11</f>
        <v>MH0003</v>
      </c>
      <c r="D246" s="58" t="n">
        <f aca="false">Flights!$D$11</f>
        <v>46304</v>
      </c>
      <c r="E246" s="57" t="str">
        <f aca="false">Flights!$G$11&amp;"-"&amp;Flights!$H$11</f>
        <v>LHR-KUL</v>
      </c>
      <c r="F246" s="57" t="str">
        <f aca="false">Flights!$K$11</f>
        <v>BC</v>
      </c>
      <c r="G246" s="57" t="s">
        <v>437</v>
      </c>
      <c r="H246" s="57" t="s">
        <v>438</v>
      </c>
      <c r="I246" s="57" t="s">
        <v>406</v>
      </c>
      <c r="J246" s="57" t="s">
        <v>443</v>
      </c>
      <c r="K246" s="67" t="s">
        <v>404</v>
      </c>
      <c r="L246" s="67" t="s">
        <v>440</v>
      </c>
      <c r="M246" s="67"/>
      <c r="N246" s="67" t="s">
        <v>361</v>
      </c>
      <c r="O246" s="67" t="s">
        <v>441</v>
      </c>
      <c r="P246" s="57" t="s">
        <v>183</v>
      </c>
      <c r="Q246" s="59" t="n">
        <f aca="false">ROUND((Flights!$AF$11)*1440,0)/1440</f>
        <v>46304.4166666667</v>
      </c>
      <c r="R246" s="59" t="n">
        <f aca="false">Q246+(IF(AND(INDEX(TZ_DSTS,MATCH(P246,TZ_STN,0))&lt;&gt;"",Q246&gt;=INDEX(TZ_DSTS,MATCH(P246,TZ_STN,0)),Q246&lt;INDEX(TZ_DSTE,MATCH(P246,TZ_STN,0))),INDEX(TZ_DST,MATCH(P246,TZ_STN,0)),INDEX(TZ_STD,MATCH(P246,TZ_STN,0))))/24</f>
        <v>46304.4583333333</v>
      </c>
      <c r="S246" s="59" t="n">
        <f aca="false">IF(ISNUMBER(Flights!$AZ$11),MAX(Q246-UpliftWindowH/24,Flights!$AZ$11),Q246-UpliftWindowH/24)</f>
        <v>46304.4166666667</v>
      </c>
      <c r="T246" s="60"/>
      <c r="U246" s="60"/>
      <c r="V246" s="60"/>
      <c r="W246" s="61"/>
      <c r="X246" s="60"/>
      <c r="Y246" s="60"/>
      <c r="Z246" s="60"/>
      <c r="AA246" s="60"/>
      <c r="AB246" s="60"/>
      <c r="AC246" s="60"/>
      <c r="AD246" s="66"/>
      <c r="AE246" s="60"/>
      <c r="AF246" s="61" t="str">
        <f aca="false">IF(AND(ISNUMBER(X246),ISNUMBER(Y246)),Y246-X246,"")</f>
        <v/>
      </c>
      <c r="AG246" s="62" t="str">
        <f aca="false">IF(ISNUMBER(AD246),AD246-(IF(AND(INDEX(TZ_DSTS,MATCH(P246,TZ_STN,0))&lt;&gt;"",(AD246-INDEX(TZ_STD,MATCH(P246,TZ_STN,0))/24)&gt;=INDEX(TZ_DSTS,MATCH(P246,TZ_STN,0)),(AD246-INDEX(TZ_STD,MATCH(P246,TZ_STN,0))/24)&lt;INDEX(TZ_DSTE,MATCH(P246,TZ_STN,0))),INDEX(TZ_DST,MATCH(P246,TZ_STN,0)),INDEX(TZ_STD,MATCH(P246,TZ_STN,0))))/24,"")</f>
        <v/>
      </c>
      <c r="AH246" s="65" t="str">
        <f aca="false">IFERROR(IF(N246="N/A – rule","N/A – RULE",IF(TRIM(U246)="N/A",IF(AT246=0,"INVALID – N/A not permitted for this check",IF(AND(TRIM(AB246)&lt;&gt;"",TRIM(AB246)&lt;&gt;"Closed"),"INVALID – corrective action still open",IF(AND(NOT(OR(LEN(AZ246)&lt;15,ISNUMBER(MATCH(AZ246,L_Placeholder,0)))),NOT(OR(LEN(AU246)&lt;2,ISNUMBER(MATCH(AU246,L_Placeholder,0)))),NOT(OR(LEN(AX246)&lt;2,ISNUMBER(MATCH(AX246,L_Placeholder,0)))),TRIM(AE246)&lt;&gt;TRIM(T246)),"N/A – JUSTIFIED","INVALID – N/A needs a real justification (15+ chars), PIC and a different verifier"))),IF(OR(TRIM(U246)="Pass",TRIM(U246)="Pass after CA"),IF(NOT(ISNUMBER(AD246)),"INVALID – completion time missing",IF(OR(LEN(AU246)&lt;2,ISNUMBER(MATCH(AU246,L_Placeholder,0))),"INVALID – PIC missing",IF(OR(LEN(AV246)&lt;2,ISNUMBER(MATCH(AV246,L_Placeholder,0))),"INVALID – result / assessment missing",IF(OR(OR(LEN(AW246)&lt;3,ISNUMBER(MATCH(AW246,L_Placeholder,0))),SUMPRODUCT(--ISNUMBER(SEARCH(L_EvidencePhrase,AW246)))&gt;0),"INVALID – evidence missing, placeholder or not yet on file",IF(OR(LEN(AX246)&lt;2,ISNUMBER(MATCH(AX246,L_Placeholder,0))),"INVALID – verifier missing",IF(AX246=AU246,"INVALID – verifier must be someone other than the PIC",IF(AND(TRIM(U246)="Pass",SUMPRODUCT(--ISNUMBER(SEARCH(L_ResultBad,AV246)))&gt;0),"INVALID – result describes a problem: use Fail, then Pass after CA",IF(AND(AQ246=1,OR(LEN(AY246)&lt;3,ISNUMBER(MATCH(AY246,L_Placeholder,0)))),"INVALID – batch ID missing or placeholder",IF(AND(AR246=1,OR(NOT(ISNUMBER(X246)),NOT(ISNUMBER(Y246)))),"INVALID – expected/actual qty missing",IF(AND(AR246=1,OR(X246&lt;=0,Y246&lt;0)),"INVALID – expected qty must be above 0 and actual not negative",IF(AH229="N/A – JUSTIFIED","INVALID – preparation row F07-T12-06 is N/A",IF(AND(AR246=1,ISNUMBER(X229),X246&lt;&gt;X229),"INVALID – expected qty differs from preparation check F07-T12-06",IF(BB246&lt;&gt;"",BB246,IF(AND(AS246=1,Documents!$J$11&lt;&gt;"ON FILE"),"INVALID – GLD not on file (Documents sheet)",IF(AND(AS246=2,Documents!$O$11&lt;&gt;"ON FILE"),"INVALID – menu checklist not on file (Documents sheet)",IF(AND(AS246=3,NOT(ISNUMBER(Flights!$AX$11))),"INVALID – enter carrying flight KUL departure (Flights AX)",IF(AND(AS246=3,OR(Flights!$AZ$11&gt;Flights!$AA$11,Flights!$AX$11&lt;Flights!$AA$11-3)),"INVALID – carrying flight (Flights AX) cannot arrive before this leg's STD, or is over 3 days early",IF(AG246&gt;AsOfUTC,"INVALID – completion time is in the future",IF(AND(ISNUMBER(S246),AG246&lt;S246),IF(H246="Physical uplift","INVALID – before uplift window (cannot confirm loading)","INVALID – before valid window"),IF(AG246&gt;Flights!$AA$11,"INVALID – completed after departure (cannot establish readiness)",IF(AND(H246="Preparation",AG246&gt;IF(ISNUMBER(Flights!$BA$11),MIN(Flights!$BA$11,Flights!$AA$11),Flights!$AA$11)),"INVALID – completed after loading / departure (cannot establish readiness)",IF(AND(H246="Physical uplift",AG246&gt;Q246),"INVALID – recorded after the loading flight departed",IF(AG246&gt;Q246,"COMPLETE – LATE","COMPLETE"))))))))))))))))))))))),IF(TRIM(U246)="Fail","FAIL – DISCREPANCY",IF(AND(TRIM(U246)&lt;&gt;"",TRIM(U246)&lt;&gt;"Not started",TRIM(U246)&lt;&gt;"In progress"),"INVALID – unrecognised status (use the list)",IF(AsOfUTC&gt;Q246,"OVERDUE",IF(N246="Clarification required","OPEN – CLARIFICATION","OPEN"))))))),"INVALID – error value in an input cell")</f>
        <v>OPEN</v>
      </c>
      <c r="AI246" s="61" t="n">
        <f aca="false">IF(OR(AH246="N/A – RULE",AH246="N/A – JUSTIFIED"),0,1)</f>
        <v>1</v>
      </c>
      <c r="AJ246" s="61" t="n">
        <f aca="false">IF(LEFT(AH246,8)="COMPLETE",1,0)</f>
        <v>0</v>
      </c>
      <c r="AK246" s="61" t="n">
        <f aca="false">IF(AND(AI246=1,AJ246=0,AsOfUTC&gt;Q246),1,0)</f>
        <v>0</v>
      </c>
      <c r="AL246" s="61" t="n">
        <f aca="false">IFERROR(IF(AND(AI246=1,OR(TRIM(U246)="Fail",AND(TRIM(AB246)&lt;&gt;"",TRIM(AB246)&lt;&gt;"Closed"),AND(ISNUMBER(AF246),AF246&lt;&gt;0,TRIM(U246)&lt;&gt;"Pass after CA"))),1,0),1)</f>
        <v>0</v>
      </c>
      <c r="AM246" s="61" t="n">
        <f aca="false">IF(LEFT(AH246,7)="INVALID",1,0)</f>
        <v>0</v>
      </c>
      <c r="AN246" s="61" t="n">
        <f aca="false">IF(AND(N246="Clarification required",AI246=1,AJ246=0),1,0)</f>
        <v>0</v>
      </c>
      <c r="AO246" s="61" t="str">
        <f aca="false">IF(AK246=1,SUM(AK$5:AK246),"")</f>
        <v/>
      </c>
      <c r="AP246" s="61" t="str">
        <f aca="false">IF(AL246=1,SUM(AL$5:AL246),"")</f>
        <v/>
      </c>
      <c r="AQ246" s="61" t="n">
        <v>0</v>
      </c>
      <c r="AR246" s="61" t="n">
        <v>1</v>
      </c>
      <c r="AS246" s="61" t="n">
        <v>0</v>
      </c>
      <c r="AT246" s="61" t="n">
        <v>0</v>
      </c>
      <c r="AU246" s="61" t="str">
        <f aca="false">SUBSTITUTE(SUBSTITUTE(SUBSTITUTE(SUBSTITUTE(SUBSTITUTE(SUBSTITUTE(SUBSTITUTE(SUBSTITUTE(SUBSTITUTE(SUBSTITUTE(SUBSTITUTE(SUBSTITUTE(SUBSTITUTE(LOWER(T246&amp;""),CHAR(160),"")," ",""),".",""),"-",""),"/",""),"?",""),"_",""),",",""),"[",""),"]",""),"(",""),")",""),"*","")</f>
        <v/>
      </c>
      <c r="AV246" s="61" t="str">
        <f aca="false">SUBSTITUTE(SUBSTITUTE(SUBSTITUTE(SUBSTITUTE(SUBSTITUTE(SUBSTITUTE(SUBSTITUTE(SUBSTITUTE(SUBSTITUTE(SUBSTITUTE(SUBSTITUTE(SUBSTITUTE(SUBSTITUTE(LOWER(V246&amp;""),CHAR(160),"")," ",""),".",""),"-",""),"/",""),"?",""),"_",""),",",""),"[",""),"]",""),"(",""),")",""),"*","")</f>
        <v/>
      </c>
      <c r="AW246" s="61" t="str">
        <f aca="false">SUBSTITUTE(SUBSTITUTE(SUBSTITUTE(SUBSTITUTE(SUBSTITUTE(SUBSTITUTE(SUBSTITUTE(SUBSTITUTE(SUBSTITUTE(SUBSTITUTE(SUBSTITUTE(SUBSTITUTE(SUBSTITUTE(LOWER(Z246&amp;""),CHAR(160),"")," ",""),".",""),"-",""),"/",""),"?",""),"_",""),",",""),"[",""),"]",""),"(",""),")",""),"*","")</f>
        <v/>
      </c>
      <c r="AX246" s="61" t="str">
        <f aca="false">SUBSTITUTE(SUBSTITUTE(SUBSTITUTE(SUBSTITUTE(SUBSTITUTE(SUBSTITUTE(SUBSTITUTE(SUBSTITUTE(SUBSTITUTE(SUBSTITUTE(SUBSTITUTE(SUBSTITUTE(SUBSTITUTE(LOWER(AE246&amp;""),CHAR(160),"")," ",""),".",""),"-",""),"/",""),"?",""),"_",""),",",""),"[",""),"]",""),"(",""),")",""),"*","")</f>
        <v/>
      </c>
      <c r="AY246" s="61" t="str">
        <f aca="false">SUBSTITUTE(SUBSTITUTE(SUBSTITUTE(SUBSTITUTE(SUBSTITUTE(SUBSTITUTE(SUBSTITUTE(SUBSTITUTE(SUBSTITUTE(SUBSTITUTE(SUBSTITUTE(SUBSTITUTE(SUBSTITUTE(LOWER(W246&amp;""),CHAR(160),"")," ",""),".",""),"-",""),"/",""),"?",""),"_",""),",",""),"[",""),"]",""),"(",""),")",""),"*","")</f>
        <v/>
      </c>
      <c r="AZ246" s="61" t="str">
        <f aca="false">SUBSTITUTE(SUBSTITUTE(SUBSTITUTE(SUBSTITUTE(SUBSTITUTE(SUBSTITUTE(SUBSTITUTE(SUBSTITUTE(SUBSTITUTE(SUBSTITUTE(SUBSTITUTE(SUBSTITUTE(SUBSTITUTE(LOWER(AC246&amp;""),CHAR(160),"")," ",""),".",""),"-",""),"/",""),"?",""),"_",""),",",""),"[",""),"]",""),"(",""),")",""),"*","")</f>
        <v/>
      </c>
      <c r="BA246" s="61" t="str">
        <f aca="false">SUBSTITUTE(SUBSTITUTE(SUBSTITUTE(SUBSTITUTE(SUBSTITUTE(SUBSTITUTE(SUBSTITUTE(SUBSTITUTE(SUBSTITUTE(SUBSTITUTE(SUBSTITUTE(SUBSTITUTE(SUBSTITUTE(LOWER(AA246&amp;""),CHAR(160),"")," ",""),".",""),"-",""),"/",""),"?",""),"_",""),",",""),"[",""),"]",""),"(",""),")",""),"*","")</f>
        <v/>
      </c>
      <c r="BB246" s="61" t="str">
        <f aca="false">IF(AND(TRIM(U246)="Pass",ISNUMBER(AF246)),IF(AF246&lt;&gt;0,"INVALID – qty variance: use Fail or Pass after CA",""),"")&amp;IF(AND(TRIM(U246)="Pass after CA",ISNUMBER(AF246)),IF(AF246&lt;&gt;0,"INVALID – after the corrective action the actual qty must equal expected (update Actual)",""),"")&amp;IF(AND(TRIM(U246)="Pass",TRIM(AB246)&lt;&gt;"",TRIM(AB246)&lt;&gt;"Closed"),"INVALID – corrective action not closed: use Fail, then Pass after CA","")&amp;IF(AND(TRIM(AA246)&lt;&gt;"",TRIM(AB246)=""),"INVALID – CA status missing for the recorded corrective action","")&amp;IF(AND(TRIM(U246)="Pass after CA",OR(OR(LEN(BA246)&lt;5,ISNUMBER(MATCH(BA246,L_Placeholder,0))),TRIM(AB246)&lt;&gt;"Closed")),"INVALID – corrective action not recorded/closed","")</f>
        <v/>
      </c>
    </row>
    <row r="247" customFormat="false" ht="41.25" hidden="false" customHeight="true" outlineLevel="0" collapsed="false">
      <c r="A247" s="57" t="s">
        <v>793</v>
      </c>
      <c r="B247" s="57" t="s">
        <v>232</v>
      </c>
      <c r="C247" s="57" t="str">
        <f aca="false">Flights!$F$11</f>
        <v>MH0003</v>
      </c>
      <c r="D247" s="58" t="n">
        <f aca="false">Flights!$D$11</f>
        <v>46304</v>
      </c>
      <c r="E247" s="57" t="str">
        <f aca="false">Flights!$G$11&amp;"-"&amp;Flights!$H$11</f>
        <v>LHR-KUL</v>
      </c>
      <c r="F247" s="57" t="str">
        <f aca="false">Flights!$K$11</f>
        <v>BC</v>
      </c>
      <c r="G247" s="57" t="s">
        <v>437</v>
      </c>
      <c r="H247" s="57" t="s">
        <v>438</v>
      </c>
      <c r="I247" s="57" t="s">
        <v>389</v>
      </c>
      <c r="J247" s="57" t="s">
        <v>794</v>
      </c>
      <c r="K247" s="67" t="s">
        <v>795</v>
      </c>
      <c r="L247" s="67" t="s">
        <v>677</v>
      </c>
      <c r="M247" s="67"/>
      <c r="N247" s="67" t="s">
        <v>361</v>
      </c>
      <c r="O247" s="67" t="s">
        <v>678</v>
      </c>
      <c r="P247" s="57" t="s">
        <v>184</v>
      </c>
      <c r="Q247" s="59" t="n">
        <f aca="false">ROUND((Flights!$AY$11+UpliftWindowH/24)*1440,0)/1440</f>
        <v>46303.8506944444</v>
      </c>
      <c r="R247" s="59" t="n">
        <f aca="false">Q247+(IF(AND(INDEX(TZ_DSTS,MATCH(P247,TZ_STN,0))&lt;&gt;"",Q247&gt;=INDEX(TZ_DSTS,MATCH(P247,TZ_STN,0)),Q247&lt;INDEX(TZ_DSTE,MATCH(P247,TZ_STN,0))),INDEX(TZ_DST,MATCH(P247,TZ_STN,0)),INDEX(TZ_STD,MATCH(P247,TZ_STN,0))))/24</f>
        <v>46304.1840277778</v>
      </c>
      <c r="S247" s="59" t="n">
        <f aca="false">Q247-UpliftWindowH/24</f>
        <v>46303.6006944444</v>
      </c>
      <c r="T247" s="60"/>
      <c r="U247" s="60"/>
      <c r="V247" s="60"/>
      <c r="W247" s="61"/>
      <c r="X247" s="60"/>
      <c r="Y247" s="60"/>
      <c r="Z247" s="60"/>
      <c r="AA247" s="60"/>
      <c r="AB247" s="60"/>
      <c r="AC247" s="60"/>
      <c r="AD247" s="66"/>
      <c r="AE247" s="60"/>
      <c r="AF247" s="61" t="str">
        <f aca="false">IF(AND(ISNUMBER(X247),ISNUMBER(Y247)),Y247-X247,"")</f>
        <v/>
      </c>
      <c r="AG247" s="62" t="str">
        <f aca="false">IF(ISNUMBER(AD247),AD247-(IF(AND(INDEX(TZ_DSTS,MATCH(P247,TZ_STN,0))&lt;&gt;"",(AD247-INDEX(TZ_STD,MATCH(P247,TZ_STN,0))/24)&gt;=INDEX(TZ_DSTS,MATCH(P247,TZ_STN,0)),(AD247-INDEX(TZ_STD,MATCH(P247,TZ_STN,0))/24)&lt;INDEX(TZ_DSTE,MATCH(P247,TZ_STN,0))),INDEX(TZ_DST,MATCH(P247,TZ_STN,0)),INDEX(TZ_STD,MATCH(P247,TZ_STN,0))))/24,"")</f>
        <v/>
      </c>
      <c r="AH247" s="65" t="str">
        <f aca="false">IFERROR(IF(N247="N/A – rule","N/A – RULE",IF(TRIM(U247)="N/A",IF(AT247=0,"INVALID – N/A not permitted for this check",IF(AND(TRIM(AB247)&lt;&gt;"",TRIM(AB247)&lt;&gt;"Closed"),"INVALID – corrective action still open",IF(AND(NOT(OR(LEN(AZ247)&lt;15,ISNUMBER(MATCH(AZ247,L_Placeholder,0)))),NOT(OR(LEN(AU247)&lt;2,ISNUMBER(MATCH(AU247,L_Placeholder,0)))),NOT(OR(LEN(AX247)&lt;2,ISNUMBER(MATCH(AX247,L_Placeholder,0)))),TRIM(AE247)&lt;&gt;TRIM(T247)),"N/A – JUSTIFIED","INVALID – N/A needs a real justification (15+ chars), PIC and a different verifier"))),IF(OR(TRIM(U247)="Pass",TRIM(U247)="Pass after CA"),IF(NOT(ISNUMBER(AD247)),"INVALID – completion time missing",IF(OR(LEN(AU247)&lt;2,ISNUMBER(MATCH(AU247,L_Placeholder,0))),"INVALID – PIC missing",IF(OR(LEN(AV247)&lt;2,ISNUMBER(MATCH(AV247,L_Placeholder,0))),"INVALID – result / assessment missing",IF(OR(OR(LEN(AW247)&lt;3,ISNUMBER(MATCH(AW247,L_Placeholder,0))),SUMPRODUCT(--ISNUMBER(SEARCH(L_EvidencePhrase,AW247)))&gt;0),"INVALID – evidence missing, placeholder or not yet on file",IF(OR(LEN(AX247)&lt;2,ISNUMBER(MATCH(AX247,L_Placeholder,0))),"INVALID – verifier missing",IF(AX247=AU247,"INVALID – verifier must be someone other than the PIC",IF(AND(TRIM(U247)="Pass",SUMPRODUCT(--ISNUMBER(SEARCH(L_ResultBad,AV247)))&gt;0),"INVALID – result describes a problem: use Fail, then Pass after CA",IF(AND(AQ247=1,OR(LEN(AY247)&lt;3,ISNUMBER(MATCH(AY247,L_Placeholder,0)))),"INVALID – batch ID missing or placeholder",IF(AND(AR247=1,OR(NOT(ISNUMBER(X247)),NOT(ISNUMBER(Y247)))),"INVALID – expected/actual qty missing",IF(AND(AR247=1,OR(X247&lt;=0,Y247&lt;0)),"INVALID – expected qty must be above 0 and actual not negative",IF(BB247&lt;&gt;"",BB247,IF(AND(AS247=1,Documents!$J$11&lt;&gt;"ON FILE"),"INVALID – GLD not on file (Documents sheet)",IF(AND(AS247=2,Documents!$O$11&lt;&gt;"ON FILE"),"INVALID – menu checklist not on file (Documents sheet)",IF(AND(AS247=3,NOT(ISNUMBER(Flights!$AX$11))),"INVALID – enter carrying flight KUL departure (Flights AX)",IF(AND(AS247=3,OR(Flights!$AZ$11&gt;Flights!$AA$11,Flights!$AX$11&lt;Flights!$AA$11-3)),"INVALID – carrying flight (Flights AX) cannot arrive before this leg's STD, or is over 3 days early",IF(AG247&gt;AsOfUTC,"INVALID – completion time is in the future",IF(AND(ISNUMBER(S247),AG247&lt;S247),IF(H247="Physical uplift","INVALID – before uplift window (cannot confirm loading)","INVALID – before valid window"),IF(AG247&gt;Flights!$AA$11,"INVALID – completed after departure (cannot establish readiness)",IF(AND(H247="Preparation",AG247&gt;Flights!$AY$11+UpliftWindowH/24),"INVALID – completed after the carrying flight left KUL",IF(AND(H247="Physical uplift",AG247&gt;Q247),"INVALID – recorded after the loading flight departed",IF(AG247&gt;Q247,"COMPLETE – LATE","COMPLETE"))))))))))))))))))))),IF(TRIM(U247)="Fail","FAIL – DISCREPANCY",IF(AND(TRIM(U247)&lt;&gt;"",TRIM(U247)&lt;&gt;"Not started",TRIM(U247)&lt;&gt;"In progress"),"INVALID – unrecognised status (use the list)",IF(AsOfUTC&gt;Q247,"OVERDUE",IF(N247="Clarification required","OPEN – CLARIFICATION","OPEN"))))))),"INVALID – error value in an input cell")</f>
        <v>OPEN</v>
      </c>
      <c r="AI247" s="61" t="n">
        <f aca="false">IF(OR(AH247="N/A – RULE",AH247="N/A – JUSTIFIED"),0,1)</f>
        <v>1</v>
      </c>
      <c r="AJ247" s="61" t="n">
        <f aca="false">IF(LEFT(AH247,8)="COMPLETE",1,0)</f>
        <v>0</v>
      </c>
      <c r="AK247" s="61" t="n">
        <f aca="false">IF(AND(AI247=1,AJ247=0,AsOfUTC&gt;Q247),1,0)</f>
        <v>0</v>
      </c>
      <c r="AL247" s="61" t="n">
        <f aca="false">IFERROR(IF(AND(AI247=1,OR(TRIM(U247)="Fail",AND(TRIM(AB247)&lt;&gt;"",TRIM(AB247)&lt;&gt;"Closed"),AND(ISNUMBER(AF247),AF247&lt;&gt;0,TRIM(U247)&lt;&gt;"Pass after CA"))),1,0),1)</f>
        <v>0</v>
      </c>
      <c r="AM247" s="61" t="n">
        <f aca="false">IF(LEFT(AH247,7)="INVALID",1,0)</f>
        <v>0</v>
      </c>
      <c r="AN247" s="61" t="n">
        <f aca="false">IF(AND(N247="Clarification required",AI247=1,AJ247=0),1,0)</f>
        <v>0</v>
      </c>
      <c r="AO247" s="61" t="str">
        <f aca="false">IF(AK247=1,SUM(AK$5:AK247),"")</f>
        <v/>
      </c>
      <c r="AP247" s="61" t="str">
        <f aca="false">IF(AL247=1,SUM(AL$5:AL247),"")</f>
        <v/>
      </c>
      <c r="AQ247" s="61" t="n">
        <v>0</v>
      </c>
      <c r="AR247" s="61" t="n">
        <v>0</v>
      </c>
      <c r="AS247" s="61" t="n">
        <v>0</v>
      </c>
      <c r="AT247" s="61" t="n">
        <v>0</v>
      </c>
      <c r="AU247" s="61" t="str">
        <f aca="false">SUBSTITUTE(SUBSTITUTE(SUBSTITUTE(SUBSTITUTE(SUBSTITUTE(SUBSTITUTE(SUBSTITUTE(SUBSTITUTE(SUBSTITUTE(SUBSTITUTE(SUBSTITUTE(SUBSTITUTE(SUBSTITUTE(LOWER(T247&amp;""),CHAR(160),"")," ",""),".",""),"-",""),"/",""),"?",""),"_",""),",",""),"[",""),"]",""),"(",""),")",""),"*","")</f>
        <v/>
      </c>
      <c r="AV247" s="61" t="str">
        <f aca="false">SUBSTITUTE(SUBSTITUTE(SUBSTITUTE(SUBSTITUTE(SUBSTITUTE(SUBSTITUTE(SUBSTITUTE(SUBSTITUTE(SUBSTITUTE(SUBSTITUTE(SUBSTITUTE(SUBSTITUTE(SUBSTITUTE(LOWER(V247&amp;""),CHAR(160),"")," ",""),".",""),"-",""),"/",""),"?",""),"_",""),",",""),"[",""),"]",""),"(",""),")",""),"*","")</f>
        <v/>
      </c>
      <c r="AW247" s="61" t="str">
        <f aca="false">SUBSTITUTE(SUBSTITUTE(SUBSTITUTE(SUBSTITUTE(SUBSTITUTE(SUBSTITUTE(SUBSTITUTE(SUBSTITUTE(SUBSTITUTE(SUBSTITUTE(SUBSTITUTE(SUBSTITUTE(SUBSTITUTE(LOWER(Z247&amp;""),CHAR(160),"")," ",""),".",""),"-",""),"/",""),"?",""),"_",""),",",""),"[",""),"]",""),"(",""),")",""),"*","")</f>
        <v/>
      </c>
      <c r="AX247" s="61" t="str">
        <f aca="false">SUBSTITUTE(SUBSTITUTE(SUBSTITUTE(SUBSTITUTE(SUBSTITUTE(SUBSTITUTE(SUBSTITUTE(SUBSTITUTE(SUBSTITUTE(SUBSTITUTE(SUBSTITUTE(SUBSTITUTE(SUBSTITUTE(LOWER(AE247&amp;""),CHAR(160),"")," ",""),".",""),"-",""),"/",""),"?",""),"_",""),",",""),"[",""),"]",""),"(",""),")",""),"*","")</f>
        <v/>
      </c>
      <c r="AY247" s="61" t="str">
        <f aca="false">SUBSTITUTE(SUBSTITUTE(SUBSTITUTE(SUBSTITUTE(SUBSTITUTE(SUBSTITUTE(SUBSTITUTE(SUBSTITUTE(SUBSTITUTE(SUBSTITUTE(SUBSTITUTE(SUBSTITUTE(SUBSTITUTE(LOWER(W247&amp;""),CHAR(160),"")," ",""),".",""),"-",""),"/",""),"?",""),"_",""),",",""),"[",""),"]",""),"(",""),")",""),"*","")</f>
        <v/>
      </c>
      <c r="AZ247" s="61" t="str">
        <f aca="false">SUBSTITUTE(SUBSTITUTE(SUBSTITUTE(SUBSTITUTE(SUBSTITUTE(SUBSTITUTE(SUBSTITUTE(SUBSTITUTE(SUBSTITUTE(SUBSTITUTE(SUBSTITUTE(SUBSTITUTE(SUBSTITUTE(LOWER(AC247&amp;""),CHAR(160),"")," ",""),".",""),"-",""),"/",""),"?",""),"_",""),",",""),"[",""),"]",""),"(",""),")",""),"*","")</f>
        <v/>
      </c>
      <c r="BA247" s="61" t="str">
        <f aca="false">SUBSTITUTE(SUBSTITUTE(SUBSTITUTE(SUBSTITUTE(SUBSTITUTE(SUBSTITUTE(SUBSTITUTE(SUBSTITUTE(SUBSTITUTE(SUBSTITUTE(SUBSTITUTE(SUBSTITUTE(SUBSTITUTE(LOWER(AA247&amp;""),CHAR(160),"")," ",""),".",""),"-",""),"/",""),"?",""),"_",""),",",""),"[",""),"]",""),"(",""),")",""),"*","")</f>
        <v/>
      </c>
      <c r="BB247" s="61" t="str">
        <f aca="false">IF(AND(TRIM(U247)="Pass",ISNUMBER(AF247)),IF(AF247&lt;&gt;0,"INVALID – qty variance: use Fail or Pass after CA",""),"")&amp;IF(AND(TRIM(U247)="Pass after CA",ISNUMBER(AF247)),IF(AF247&lt;&gt;0,"INVALID – after the corrective action the actual qty must equal expected (update Actual)",""),"")&amp;IF(AND(TRIM(U247)="Pass",TRIM(AB247)&lt;&gt;"",TRIM(AB247)&lt;&gt;"Closed"),"INVALID – corrective action not closed: use Fail, then Pass after CA","")&amp;IF(AND(TRIM(AA247)&lt;&gt;"",TRIM(AB247)=""),"INVALID – CA status missing for the recorded corrective action","")&amp;IF(AND(TRIM(U247)="Pass after CA",OR(OR(LEN(BA247)&lt;5,ISNUMBER(MATCH(BA247,L_Placeholder,0))),TRIM(AB247)&lt;&gt;"Closed")),"INVALID – corrective action not recorded/closed","")</f>
        <v/>
      </c>
    </row>
    <row r="248" customFormat="false" ht="39.75" hidden="false" customHeight="true" outlineLevel="0" collapsed="false">
      <c r="A248" s="57" t="s">
        <v>796</v>
      </c>
      <c r="B248" s="57" t="s">
        <v>232</v>
      </c>
      <c r="C248" s="57" t="str">
        <f aca="false">Flights!$F$11</f>
        <v>MH0003</v>
      </c>
      <c r="D248" s="58" t="n">
        <f aca="false">Flights!$D$11</f>
        <v>46304</v>
      </c>
      <c r="E248" s="57" t="str">
        <f aca="false">Flights!$G$11&amp;"-"&amp;Flights!$H$11</f>
        <v>LHR-KUL</v>
      </c>
      <c r="F248" s="57" t="str">
        <f aca="false">Flights!$K$11</f>
        <v>BC</v>
      </c>
      <c r="G248" s="57" t="s">
        <v>437</v>
      </c>
      <c r="H248" s="57" t="s">
        <v>438</v>
      </c>
      <c r="I248" s="57" t="s">
        <v>418</v>
      </c>
      <c r="J248" s="57" t="s">
        <v>445</v>
      </c>
      <c r="K248" s="67" t="s">
        <v>479</v>
      </c>
      <c r="L248" s="67" t="s">
        <v>421</v>
      </c>
      <c r="M248" s="67" t="s">
        <v>183</v>
      </c>
      <c r="N248" s="67" t="s">
        <v>361</v>
      </c>
      <c r="O248" s="67"/>
      <c r="P248" s="57" t="s">
        <v>183</v>
      </c>
      <c r="Q248" s="59" t="n">
        <f aca="false">ROUND((Flights!$AF$11)*1440,0)/1440</f>
        <v>46304.4166666667</v>
      </c>
      <c r="R248" s="59" t="n">
        <f aca="false">Q248+(IF(AND(INDEX(TZ_DSTS,MATCH(P248,TZ_STN,0))&lt;&gt;"",Q248&gt;=INDEX(TZ_DSTS,MATCH(P248,TZ_STN,0)),Q248&lt;INDEX(TZ_DSTE,MATCH(P248,TZ_STN,0))),INDEX(TZ_DST,MATCH(P248,TZ_STN,0)),INDEX(TZ_STD,MATCH(P248,TZ_STN,0))))/24</f>
        <v>46304.4583333333</v>
      </c>
      <c r="S248" s="59" t="n">
        <f aca="false">IF(ISNUMBER(Flights!$AZ$11),MAX(Q248-UpliftWindowH/24,Flights!$AZ$11),Q248-UpliftWindowH/24)</f>
        <v>46304.4166666667</v>
      </c>
      <c r="T248" s="60"/>
      <c r="U248" s="60"/>
      <c r="V248" s="60"/>
      <c r="W248" s="61"/>
      <c r="X248" s="60"/>
      <c r="Y248" s="60"/>
      <c r="Z248" s="60"/>
      <c r="AA248" s="60"/>
      <c r="AB248" s="60"/>
      <c r="AC248" s="60"/>
      <c r="AD248" s="66"/>
      <c r="AE248" s="60"/>
      <c r="AF248" s="61" t="str">
        <f aca="false">IF(AND(ISNUMBER(X248),ISNUMBER(Y248)),Y248-X248,"")</f>
        <v/>
      </c>
      <c r="AG248" s="62" t="str">
        <f aca="false">IF(ISNUMBER(AD248),AD248-(IF(AND(INDEX(TZ_DSTS,MATCH(P248,TZ_STN,0))&lt;&gt;"",(AD248-INDEX(TZ_STD,MATCH(P248,TZ_STN,0))/24)&gt;=INDEX(TZ_DSTS,MATCH(P248,TZ_STN,0)),(AD248-INDEX(TZ_STD,MATCH(P248,TZ_STN,0))/24)&lt;INDEX(TZ_DSTE,MATCH(P248,TZ_STN,0))),INDEX(TZ_DST,MATCH(P248,TZ_STN,0)),INDEX(TZ_STD,MATCH(P248,TZ_STN,0))))/24,"")</f>
        <v/>
      </c>
      <c r="AH248" s="65" t="str">
        <f aca="false">IFERROR(IF(N248="N/A – rule","N/A – RULE",IF(TRIM(U248)="N/A",IF(AT248=0,"INVALID – N/A not permitted for this check",IF(AND(TRIM(AB248)&lt;&gt;"",TRIM(AB248)&lt;&gt;"Closed"),"INVALID – corrective action still open",IF(AND(NOT(OR(LEN(AZ248)&lt;15,ISNUMBER(MATCH(AZ248,L_Placeholder,0)))),NOT(OR(LEN(AU248)&lt;2,ISNUMBER(MATCH(AU248,L_Placeholder,0)))),NOT(OR(LEN(AX248)&lt;2,ISNUMBER(MATCH(AX248,L_Placeholder,0)))),TRIM(AE248)&lt;&gt;TRIM(T248)),"N/A – JUSTIFIED","INVALID – N/A needs a real justification (15+ chars), PIC and a different verifier"))),IF(OR(TRIM(U248)="Pass",TRIM(U248)="Pass after CA"),IF(NOT(ISNUMBER(AD248)),"INVALID – completion time missing",IF(OR(LEN(AU248)&lt;2,ISNUMBER(MATCH(AU248,L_Placeholder,0))),"INVALID – PIC missing",IF(OR(LEN(AV248)&lt;2,ISNUMBER(MATCH(AV248,L_Placeholder,0))),"INVALID – result / assessment missing",IF(OR(OR(LEN(AW248)&lt;3,ISNUMBER(MATCH(AW248,L_Placeholder,0))),SUMPRODUCT(--ISNUMBER(SEARCH(L_EvidencePhrase,AW248)))&gt;0),"INVALID – evidence missing, placeholder or not yet on file",IF(OR(LEN(AX248)&lt;2,ISNUMBER(MATCH(AX248,L_Placeholder,0))),"INVALID – verifier missing",IF(AX248=AU248,"INVALID – verifier must be someone other than the PIC",IF(AND(TRIM(U248)="Pass",SUMPRODUCT(--ISNUMBER(SEARCH(L_ResultBad,AV248)))&gt;0),"INVALID – result describes a problem: use Fail, then Pass after CA",IF(AND(AQ248=1,OR(LEN(AY248)&lt;3,ISNUMBER(MATCH(AY248,L_Placeholder,0)))),"INVALID – batch ID missing or placeholder",IF(AND(AR248=1,OR(NOT(ISNUMBER(X248)),NOT(ISNUMBER(Y248)))),"INVALID – expected/actual qty missing",IF(AND(AR248=1,OR(X248&lt;=0,Y248&lt;0)),"INVALID – expected qty must be above 0 and actual not negative",IF(AH231="N/A – JUSTIFIED","INVALID – preparation row F07-T12-08 is N/A",IF(AND(AR248=1,ISNUMBER(X231),X248&lt;&gt;X231),"INVALID – expected qty differs from preparation check F07-T12-08",IF(BB248&lt;&gt;"",BB248,IF(AND(AS248=1,Documents!$J$11&lt;&gt;"ON FILE"),"INVALID – GLD not on file (Documents sheet)",IF(AND(AS248=2,Documents!$O$11&lt;&gt;"ON FILE"),"INVALID – menu checklist not on file (Documents sheet)",IF(AND(AS248=3,NOT(ISNUMBER(Flights!$AX$11))),"INVALID – enter carrying flight KUL departure (Flights AX)",IF(AND(AS248=3,OR(Flights!$AZ$11&gt;Flights!$AA$11,Flights!$AX$11&lt;Flights!$AA$11-3)),"INVALID – carrying flight (Flights AX) cannot arrive before this leg's STD, or is over 3 days early",IF(AG248&gt;AsOfUTC,"INVALID – completion time is in the future",IF(AND(ISNUMBER(S248),AG248&lt;S248),IF(H248="Physical uplift","INVALID – before uplift window (cannot confirm loading)","INVALID – before valid window"),IF(AG248&gt;Flights!$AA$11,"INVALID – completed after departure (cannot establish readiness)",IF(AND(H248="Preparation",AG248&gt;IF(ISNUMBER(Flights!$BA$11),MIN(Flights!$BA$11,Flights!$AA$11),Flights!$AA$11)),"INVALID – completed after loading / departure (cannot establish readiness)",IF(AND(H248="Physical uplift",AG248&gt;Q248),"INVALID – recorded after the loading flight departed",IF(AG248&gt;Q248,"COMPLETE – LATE","COMPLETE"))))))))))))))))))))))),IF(TRIM(U248)="Fail","FAIL – DISCREPANCY",IF(AND(TRIM(U248)&lt;&gt;"",TRIM(U248)&lt;&gt;"Not started",TRIM(U248)&lt;&gt;"In progress"),"INVALID – unrecognised status (use the list)",IF(AsOfUTC&gt;Q248,"OVERDUE",IF(N248="Clarification required","OPEN – CLARIFICATION","OPEN"))))))),"INVALID – error value in an input cell")</f>
        <v>OPEN</v>
      </c>
      <c r="AI248" s="61" t="n">
        <f aca="false">IF(OR(AH248="N/A – RULE",AH248="N/A – JUSTIFIED"),0,1)</f>
        <v>1</v>
      </c>
      <c r="AJ248" s="61" t="n">
        <f aca="false">IF(LEFT(AH248,8)="COMPLETE",1,0)</f>
        <v>0</v>
      </c>
      <c r="AK248" s="61" t="n">
        <f aca="false">IF(AND(AI248=1,AJ248=0,AsOfUTC&gt;Q248),1,0)</f>
        <v>0</v>
      </c>
      <c r="AL248" s="61" t="n">
        <f aca="false">IFERROR(IF(AND(AI248=1,OR(TRIM(U248)="Fail",AND(TRIM(AB248)&lt;&gt;"",TRIM(AB248)&lt;&gt;"Closed"),AND(ISNUMBER(AF248),AF248&lt;&gt;0,TRIM(U248)&lt;&gt;"Pass after CA"))),1,0),1)</f>
        <v>0</v>
      </c>
      <c r="AM248" s="61" t="n">
        <f aca="false">IF(LEFT(AH248,7)="INVALID",1,0)</f>
        <v>0</v>
      </c>
      <c r="AN248" s="61" t="n">
        <f aca="false">IF(AND(N248="Clarification required",AI248=1,AJ248=0),1,0)</f>
        <v>0</v>
      </c>
      <c r="AO248" s="61" t="str">
        <f aca="false">IF(AK248=1,SUM(AK$5:AK248),"")</f>
        <v/>
      </c>
      <c r="AP248" s="61" t="str">
        <f aca="false">IF(AL248=1,SUM(AL$5:AL248),"")</f>
        <v/>
      </c>
      <c r="AQ248" s="61" t="n">
        <v>0</v>
      </c>
      <c r="AR248" s="61" t="n">
        <v>0</v>
      </c>
      <c r="AS248" s="61" t="n">
        <v>0</v>
      </c>
      <c r="AT248" s="61" t="n">
        <v>0</v>
      </c>
      <c r="AU248" s="61" t="str">
        <f aca="false">SUBSTITUTE(SUBSTITUTE(SUBSTITUTE(SUBSTITUTE(SUBSTITUTE(SUBSTITUTE(SUBSTITUTE(SUBSTITUTE(SUBSTITUTE(SUBSTITUTE(SUBSTITUTE(SUBSTITUTE(SUBSTITUTE(LOWER(T248&amp;""),CHAR(160),"")," ",""),".",""),"-",""),"/",""),"?",""),"_",""),",",""),"[",""),"]",""),"(",""),")",""),"*","")</f>
        <v/>
      </c>
      <c r="AV248" s="61" t="str">
        <f aca="false">SUBSTITUTE(SUBSTITUTE(SUBSTITUTE(SUBSTITUTE(SUBSTITUTE(SUBSTITUTE(SUBSTITUTE(SUBSTITUTE(SUBSTITUTE(SUBSTITUTE(SUBSTITUTE(SUBSTITUTE(SUBSTITUTE(LOWER(V248&amp;""),CHAR(160),"")," ",""),".",""),"-",""),"/",""),"?",""),"_",""),",",""),"[",""),"]",""),"(",""),")",""),"*","")</f>
        <v/>
      </c>
      <c r="AW248" s="61" t="str">
        <f aca="false">SUBSTITUTE(SUBSTITUTE(SUBSTITUTE(SUBSTITUTE(SUBSTITUTE(SUBSTITUTE(SUBSTITUTE(SUBSTITUTE(SUBSTITUTE(SUBSTITUTE(SUBSTITUTE(SUBSTITUTE(SUBSTITUTE(LOWER(Z248&amp;""),CHAR(160),"")," ",""),".",""),"-",""),"/",""),"?",""),"_",""),",",""),"[",""),"]",""),"(",""),")",""),"*","")</f>
        <v/>
      </c>
      <c r="AX248" s="61" t="str">
        <f aca="false">SUBSTITUTE(SUBSTITUTE(SUBSTITUTE(SUBSTITUTE(SUBSTITUTE(SUBSTITUTE(SUBSTITUTE(SUBSTITUTE(SUBSTITUTE(SUBSTITUTE(SUBSTITUTE(SUBSTITUTE(SUBSTITUTE(LOWER(AE248&amp;""),CHAR(160),"")," ",""),".",""),"-",""),"/",""),"?",""),"_",""),",",""),"[",""),"]",""),"(",""),")",""),"*","")</f>
        <v/>
      </c>
      <c r="AY248" s="61" t="str">
        <f aca="false">SUBSTITUTE(SUBSTITUTE(SUBSTITUTE(SUBSTITUTE(SUBSTITUTE(SUBSTITUTE(SUBSTITUTE(SUBSTITUTE(SUBSTITUTE(SUBSTITUTE(SUBSTITUTE(SUBSTITUTE(SUBSTITUTE(LOWER(W248&amp;""),CHAR(160),"")," ",""),".",""),"-",""),"/",""),"?",""),"_",""),",",""),"[",""),"]",""),"(",""),")",""),"*","")</f>
        <v/>
      </c>
      <c r="AZ248" s="61" t="str">
        <f aca="false">SUBSTITUTE(SUBSTITUTE(SUBSTITUTE(SUBSTITUTE(SUBSTITUTE(SUBSTITUTE(SUBSTITUTE(SUBSTITUTE(SUBSTITUTE(SUBSTITUTE(SUBSTITUTE(SUBSTITUTE(SUBSTITUTE(LOWER(AC248&amp;""),CHAR(160),"")," ",""),".",""),"-",""),"/",""),"?",""),"_",""),",",""),"[",""),"]",""),"(",""),")",""),"*","")</f>
        <v/>
      </c>
      <c r="BA248" s="61" t="str">
        <f aca="false">SUBSTITUTE(SUBSTITUTE(SUBSTITUTE(SUBSTITUTE(SUBSTITUTE(SUBSTITUTE(SUBSTITUTE(SUBSTITUTE(SUBSTITUTE(SUBSTITUTE(SUBSTITUTE(SUBSTITUTE(SUBSTITUTE(LOWER(AA248&amp;""),CHAR(160),"")," ",""),".",""),"-",""),"/",""),"?",""),"_",""),",",""),"[",""),"]",""),"(",""),")",""),"*","")</f>
        <v/>
      </c>
      <c r="BB248" s="61" t="str">
        <f aca="false">IF(AND(TRIM(U248)="Pass",ISNUMBER(AF248)),IF(AF248&lt;&gt;0,"INVALID – qty variance: use Fail or Pass after CA",""),"")&amp;IF(AND(TRIM(U248)="Pass after CA",ISNUMBER(AF248)),IF(AF248&lt;&gt;0,"INVALID – after the corrective action the actual qty must equal expected (update Actual)",""),"")&amp;IF(AND(TRIM(U248)="Pass",TRIM(AB248)&lt;&gt;"",TRIM(AB248)&lt;&gt;"Closed"),"INVALID – corrective action not closed: use Fail, then Pass after CA","")&amp;IF(AND(TRIM(AA248)&lt;&gt;"",TRIM(AB248)=""),"INVALID – CA status missing for the recorded corrective action","")&amp;IF(AND(TRIM(U248)="Pass after CA",OR(OR(LEN(BA248)&lt;5,ISNUMBER(MATCH(BA248,L_Placeholder,0))),TRIM(AB248)&lt;&gt;"Closed")),"INVALID – corrective action not recorded/closed","")</f>
        <v/>
      </c>
    </row>
    <row r="249" customFormat="false" ht="41.25" hidden="false" customHeight="true" outlineLevel="0" collapsed="false">
      <c r="A249" s="57" t="s">
        <v>797</v>
      </c>
      <c r="B249" s="57" t="s">
        <v>232</v>
      </c>
      <c r="C249" s="57" t="str">
        <f aca="false">Flights!$F$11</f>
        <v>MH0003</v>
      </c>
      <c r="D249" s="58" t="n">
        <f aca="false">Flights!$D$11</f>
        <v>46304</v>
      </c>
      <c r="E249" s="57" t="str">
        <f aca="false">Flights!$G$11&amp;"-"&amp;Flights!$H$11</f>
        <v>LHR-KUL</v>
      </c>
      <c r="F249" s="57" t="str">
        <f aca="false">Flights!$K$11</f>
        <v>BC</v>
      </c>
      <c r="G249" s="57" t="s">
        <v>437</v>
      </c>
      <c r="H249" s="57" t="s">
        <v>438</v>
      </c>
      <c r="I249" s="57" t="s">
        <v>418</v>
      </c>
      <c r="J249" s="57" t="s">
        <v>739</v>
      </c>
      <c r="K249" s="67" t="s">
        <v>708</v>
      </c>
      <c r="L249" s="67" t="s">
        <v>709</v>
      </c>
      <c r="M249" s="67" t="s">
        <v>184</v>
      </c>
      <c r="N249" s="67" t="s">
        <v>422</v>
      </c>
      <c r="O249" s="67" t="s">
        <v>798</v>
      </c>
      <c r="P249" s="57" t="s">
        <v>183</v>
      </c>
      <c r="Q249" s="59" t="n">
        <f aca="false">ROUND((Flights!$AF$11)*1440,0)/1440</f>
        <v>46304.4166666667</v>
      </c>
      <c r="R249" s="59" t="n">
        <f aca="false">Q249+(IF(AND(INDEX(TZ_DSTS,MATCH(P249,TZ_STN,0))&lt;&gt;"",Q249&gt;=INDEX(TZ_DSTS,MATCH(P249,TZ_STN,0)),Q249&lt;INDEX(TZ_DSTE,MATCH(P249,TZ_STN,0))),INDEX(TZ_DST,MATCH(P249,TZ_STN,0)),INDEX(TZ_STD,MATCH(P249,TZ_STN,0))))/24</f>
        <v>46304.4583333333</v>
      </c>
      <c r="S249" s="59" t="n">
        <f aca="false">IF(ISNUMBER(Flights!$AZ$11),MAX(Q249-UpliftWindowH/24,Flights!$AZ$11),Q249-UpliftWindowH/24)</f>
        <v>46304.4166666667</v>
      </c>
      <c r="T249" s="60"/>
      <c r="U249" s="60"/>
      <c r="V249" s="60"/>
      <c r="W249" s="61"/>
      <c r="X249" s="60"/>
      <c r="Y249" s="60"/>
      <c r="Z249" s="60"/>
      <c r="AA249" s="60"/>
      <c r="AB249" s="60"/>
      <c r="AC249" s="60"/>
      <c r="AD249" s="66"/>
      <c r="AE249" s="60"/>
      <c r="AF249" s="61" t="str">
        <f aca="false">IF(AND(ISNUMBER(X249),ISNUMBER(Y249)),Y249-X249,"")</f>
        <v/>
      </c>
      <c r="AG249" s="62" t="str">
        <f aca="false">IF(ISNUMBER(AD249),AD249-(IF(AND(INDEX(TZ_DSTS,MATCH(P249,TZ_STN,0))&lt;&gt;"",(AD249-INDEX(TZ_STD,MATCH(P249,TZ_STN,0))/24)&gt;=INDEX(TZ_DSTS,MATCH(P249,TZ_STN,0)),(AD249-INDEX(TZ_STD,MATCH(P249,TZ_STN,0))/24)&lt;INDEX(TZ_DSTE,MATCH(P249,TZ_STN,0))),INDEX(TZ_DST,MATCH(P249,TZ_STN,0)),INDEX(TZ_STD,MATCH(P249,TZ_STN,0))))/24,"")</f>
        <v/>
      </c>
      <c r="AH249" s="65" t="str">
        <f aca="false">IFERROR(IF(N249="N/A – rule","N/A – RULE",IF(TRIM(U249)="N/A",IF(AT249=0,"INVALID – N/A not permitted for this check",IF(AND(TRIM(AB249)&lt;&gt;"",TRIM(AB249)&lt;&gt;"Closed"),"INVALID – corrective action still open",IF(AND(NOT(OR(LEN(AZ249)&lt;15,ISNUMBER(MATCH(AZ249,L_Placeholder,0)))),NOT(OR(LEN(AU249)&lt;2,ISNUMBER(MATCH(AU249,L_Placeholder,0)))),NOT(OR(LEN(AX249)&lt;2,ISNUMBER(MATCH(AX249,L_Placeholder,0)))),TRIM(AE249)&lt;&gt;TRIM(T249)),"N/A – JUSTIFIED","INVALID – N/A needs a real justification (15+ chars), PIC and a different verifier"))),IF(OR(TRIM(U249)="Pass",TRIM(U249)="Pass after CA"),IF(NOT(ISNUMBER(AD249)),"INVALID – completion time missing",IF(OR(LEN(AU249)&lt;2,ISNUMBER(MATCH(AU249,L_Placeholder,0))),"INVALID – PIC missing",IF(OR(LEN(AV249)&lt;2,ISNUMBER(MATCH(AV249,L_Placeholder,0))),"INVALID – result / assessment missing",IF(OR(OR(LEN(AW249)&lt;3,ISNUMBER(MATCH(AW249,L_Placeholder,0))),SUMPRODUCT(--ISNUMBER(SEARCH(L_EvidencePhrase,AW249)))&gt;0),"INVALID – evidence missing, placeholder or not yet on file",IF(OR(LEN(AX249)&lt;2,ISNUMBER(MATCH(AX249,L_Placeholder,0))),"INVALID – verifier missing",IF(AX249=AU249,"INVALID – verifier must be someone other than the PIC",IF(AND(TRIM(U249)="Pass",SUMPRODUCT(--ISNUMBER(SEARCH(L_ResultBad,AV249)))&gt;0),"INVALID – result describes a problem: use Fail, then Pass after CA",IF(AND(AQ249=1,OR(LEN(AY249)&lt;3,ISNUMBER(MATCH(AY249,L_Placeholder,0)))),"INVALID – batch ID missing or placeholder",IF(AND(AR249=1,OR(NOT(ISNUMBER(X249)),NOT(ISNUMBER(Y249)))),"INVALID – expected/actual qty missing",IF(AND(AR249=1,OR(X249&lt;=0,Y249&lt;0)),"INVALID – expected qty must be above 0 and actual not negative",IF(AH232="N/A – JUSTIFIED","INVALID – preparation row F07-T12-09 is N/A",IF(AND(AR249=1,ISNUMBER(X232),X249&lt;&gt;X232),"INVALID – expected qty differs from preparation check F07-T12-09",IF(BB249&lt;&gt;"",BB249,IF(AND(AS249=1,Documents!$J$11&lt;&gt;"ON FILE"),"INVALID – GLD not on file (Documents sheet)",IF(AND(AS249=2,Documents!$O$11&lt;&gt;"ON FILE"),"INVALID – menu checklist not on file (Documents sheet)",IF(AND(AS249=3,NOT(ISNUMBER(Flights!$AX$11))),"INVALID – enter carrying flight KUL departure (Flights AX)",IF(AND(AS249=3,OR(Flights!$AZ$11&gt;Flights!$AA$11,Flights!$AX$11&lt;Flights!$AA$11-3)),"INVALID – carrying flight (Flights AX) cannot arrive before this leg's STD, or is over 3 days early",IF(AG249&gt;AsOfUTC,"INVALID – completion time is in the future",IF(AND(ISNUMBER(S249),AG249&lt;S249),IF(H249="Physical uplift","INVALID – before uplift window (cannot confirm loading)","INVALID – before valid window"),IF(AG249&gt;Flights!$AA$11,"INVALID – completed after departure (cannot establish readiness)",IF(AND(H249="Preparation",AG249&gt;IF(ISNUMBER(Flights!$BA$11),MIN(Flights!$BA$11,Flights!$AA$11),Flights!$AA$11)),"INVALID – completed after loading / departure (cannot establish readiness)",IF(AND(H249="Physical uplift",AG249&gt;Q249),"INVALID – recorded after the loading flight departed",IF(AG249&gt;Q249,"COMPLETE – LATE","COMPLETE"))))))))))))))))))))))),IF(TRIM(U249)="Fail","FAIL – DISCREPANCY",IF(AND(TRIM(U249)&lt;&gt;"",TRIM(U249)&lt;&gt;"Not started",TRIM(U249)&lt;&gt;"In progress"),"INVALID – unrecognised status (use the list)",IF(AsOfUTC&gt;Q249,"OVERDUE",IF(N249="Clarification required","OPEN – CLARIFICATION","OPEN"))))))),"INVALID – error value in an input cell")</f>
        <v>OPEN – CLARIFICATION</v>
      </c>
      <c r="AI249" s="61" t="n">
        <f aca="false">IF(OR(AH249="N/A – RULE",AH249="N/A – JUSTIFIED"),0,1)</f>
        <v>1</v>
      </c>
      <c r="AJ249" s="61" t="n">
        <f aca="false">IF(LEFT(AH249,8)="COMPLETE",1,0)</f>
        <v>0</v>
      </c>
      <c r="AK249" s="61" t="n">
        <f aca="false">IF(AND(AI249=1,AJ249=0,AsOfUTC&gt;Q249),1,0)</f>
        <v>0</v>
      </c>
      <c r="AL249" s="61" t="n">
        <f aca="false">IFERROR(IF(AND(AI249=1,OR(TRIM(U249)="Fail",AND(TRIM(AB249)&lt;&gt;"",TRIM(AB249)&lt;&gt;"Closed"),AND(ISNUMBER(AF249),AF249&lt;&gt;0,TRIM(U249)&lt;&gt;"Pass after CA"))),1,0),1)</f>
        <v>0</v>
      </c>
      <c r="AM249" s="61" t="n">
        <f aca="false">IF(LEFT(AH249,7)="INVALID",1,0)</f>
        <v>0</v>
      </c>
      <c r="AN249" s="61" t="n">
        <f aca="false">IF(AND(N249="Clarification required",AI249=1,AJ249=0),1,0)</f>
        <v>1</v>
      </c>
      <c r="AO249" s="61" t="str">
        <f aca="false">IF(AK249=1,SUM(AK$5:AK249),"")</f>
        <v/>
      </c>
      <c r="AP249" s="61" t="str">
        <f aca="false">IF(AL249=1,SUM(AL$5:AL249),"")</f>
        <v/>
      </c>
      <c r="AQ249" s="61" t="n">
        <v>0</v>
      </c>
      <c r="AR249" s="61" t="n">
        <v>0</v>
      </c>
      <c r="AS249" s="61" t="n">
        <v>0</v>
      </c>
      <c r="AT249" s="61" t="n">
        <v>1</v>
      </c>
      <c r="AU249" s="61" t="str">
        <f aca="false">SUBSTITUTE(SUBSTITUTE(SUBSTITUTE(SUBSTITUTE(SUBSTITUTE(SUBSTITUTE(SUBSTITUTE(SUBSTITUTE(SUBSTITUTE(SUBSTITUTE(SUBSTITUTE(SUBSTITUTE(SUBSTITUTE(LOWER(T249&amp;""),CHAR(160),"")," ",""),".",""),"-",""),"/",""),"?",""),"_",""),",",""),"[",""),"]",""),"(",""),")",""),"*","")</f>
        <v/>
      </c>
      <c r="AV249" s="61" t="str">
        <f aca="false">SUBSTITUTE(SUBSTITUTE(SUBSTITUTE(SUBSTITUTE(SUBSTITUTE(SUBSTITUTE(SUBSTITUTE(SUBSTITUTE(SUBSTITUTE(SUBSTITUTE(SUBSTITUTE(SUBSTITUTE(SUBSTITUTE(LOWER(V249&amp;""),CHAR(160),"")," ",""),".",""),"-",""),"/",""),"?",""),"_",""),",",""),"[",""),"]",""),"(",""),")",""),"*","")</f>
        <v/>
      </c>
      <c r="AW249" s="61" t="str">
        <f aca="false">SUBSTITUTE(SUBSTITUTE(SUBSTITUTE(SUBSTITUTE(SUBSTITUTE(SUBSTITUTE(SUBSTITUTE(SUBSTITUTE(SUBSTITUTE(SUBSTITUTE(SUBSTITUTE(SUBSTITUTE(SUBSTITUTE(LOWER(Z249&amp;""),CHAR(160),"")," ",""),".",""),"-",""),"/",""),"?",""),"_",""),",",""),"[",""),"]",""),"(",""),")",""),"*","")</f>
        <v/>
      </c>
      <c r="AX249" s="61" t="str">
        <f aca="false">SUBSTITUTE(SUBSTITUTE(SUBSTITUTE(SUBSTITUTE(SUBSTITUTE(SUBSTITUTE(SUBSTITUTE(SUBSTITUTE(SUBSTITUTE(SUBSTITUTE(SUBSTITUTE(SUBSTITUTE(SUBSTITUTE(LOWER(AE249&amp;""),CHAR(160),"")," ",""),".",""),"-",""),"/",""),"?",""),"_",""),",",""),"[",""),"]",""),"(",""),")",""),"*","")</f>
        <v/>
      </c>
      <c r="AY249" s="61" t="str">
        <f aca="false">SUBSTITUTE(SUBSTITUTE(SUBSTITUTE(SUBSTITUTE(SUBSTITUTE(SUBSTITUTE(SUBSTITUTE(SUBSTITUTE(SUBSTITUTE(SUBSTITUTE(SUBSTITUTE(SUBSTITUTE(SUBSTITUTE(LOWER(W249&amp;""),CHAR(160),"")," ",""),".",""),"-",""),"/",""),"?",""),"_",""),",",""),"[",""),"]",""),"(",""),")",""),"*","")</f>
        <v/>
      </c>
      <c r="AZ249" s="61" t="str">
        <f aca="false">SUBSTITUTE(SUBSTITUTE(SUBSTITUTE(SUBSTITUTE(SUBSTITUTE(SUBSTITUTE(SUBSTITUTE(SUBSTITUTE(SUBSTITUTE(SUBSTITUTE(SUBSTITUTE(SUBSTITUTE(SUBSTITUTE(LOWER(AC249&amp;""),CHAR(160),"")," ",""),".",""),"-",""),"/",""),"?",""),"_",""),",",""),"[",""),"]",""),"(",""),")",""),"*","")</f>
        <v/>
      </c>
      <c r="BA249" s="61" t="str">
        <f aca="false">SUBSTITUTE(SUBSTITUTE(SUBSTITUTE(SUBSTITUTE(SUBSTITUTE(SUBSTITUTE(SUBSTITUTE(SUBSTITUTE(SUBSTITUTE(SUBSTITUTE(SUBSTITUTE(SUBSTITUTE(SUBSTITUTE(LOWER(AA249&amp;""),CHAR(160),"")," ",""),".",""),"-",""),"/",""),"?",""),"_",""),",",""),"[",""),"]",""),"(",""),")",""),"*","")</f>
        <v/>
      </c>
      <c r="BB249" s="61" t="str">
        <f aca="false">IF(AND(TRIM(U249)="Pass",ISNUMBER(AF249)),IF(AF249&lt;&gt;0,"INVALID – qty variance: use Fail or Pass after CA",""),"")&amp;IF(AND(TRIM(U249)="Pass after CA",ISNUMBER(AF249)),IF(AF249&lt;&gt;0,"INVALID – after the corrective action the actual qty must equal expected (update Actual)",""),"")&amp;IF(AND(TRIM(U249)="Pass",TRIM(AB249)&lt;&gt;"",TRIM(AB249)&lt;&gt;"Closed"),"INVALID – corrective action not closed: use Fail, then Pass after CA","")&amp;IF(AND(TRIM(AA249)&lt;&gt;"",TRIM(AB249)=""),"INVALID – CA status missing for the recorded corrective action","")&amp;IF(AND(TRIM(U249)="Pass after CA",OR(OR(LEN(BA249)&lt;5,ISNUMBER(MATCH(BA249,L_Placeholder,0))),TRIM(AB249)&lt;&gt;"Closed")),"INVALID – corrective action not recorded/closed","")</f>
        <v/>
      </c>
    </row>
    <row r="250" customFormat="false" ht="39.75" hidden="false" customHeight="true" outlineLevel="0" collapsed="false">
      <c r="A250" s="57" t="s">
        <v>799</v>
      </c>
      <c r="B250" s="57" t="s">
        <v>232</v>
      </c>
      <c r="C250" s="57" t="str">
        <f aca="false">Flights!$F$11</f>
        <v>MH0003</v>
      </c>
      <c r="D250" s="58" t="n">
        <f aca="false">Flights!$D$11</f>
        <v>46304</v>
      </c>
      <c r="E250" s="57" t="str">
        <f aca="false">Flights!$G$11&amp;"-"&amp;Flights!$H$11</f>
        <v>LHR-KUL</v>
      </c>
      <c r="F250" s="57" t="str">
        <f aca="false">Flights!$K$11</f>
        <v>BC</v>
      </c>
      <c r="G250" s="57" t="s">
        <v>437</v>
      </c>
      <c r="H250" s="57" t="s">
        <v>438</v>
      </c>
      <c r="I250" s="57" t="s">
        <v>418</v>
      </c>
      <c r="J250" s="57" t="s">
        <v>621</v>
      </c>
      <c r="K250" s="67" t="s">
        <v>479</v>
      </c>
      <c r="L250" s="67" t="s">
        <v>712</v>
      </c>
      <c r="M250" s="67" t="s">
        <v>184</v>
      </c>
      <c r="N250" s="67" t="s">
        <v>361</v>
      </c>
      <c r="O250" s="67"/>
      <c r="P250" s="57" t="s">
        <v>183</v>
      </c>
      <c r="Q250" s="59" t="n">
        <f aca="false">ROUND((Flights!$AF$11)*1440,0)/1440</f>
        <v>46304.4166666667</v>
      </c>
      <c r="R250" s="59" t="n">
        <f aca="false">Q250+(IF(AND(INDEX(TZ_DSTS,MATCH(P250,TZ_STN,0))&lt;&gt;"",Q250&gt;=INDEX(TZ_DSTS,MATCH(P250,TZ_STN,0)),Q250&lt;INDEX(TZ_DSTE,MATCH(P250,TZ_STN,0))),INDEX(TZ_DST,MATCH(P250,TZ_STN,0)),INDEX(TZ_STD,MATCH(P250,TZ_STN,0))))/24</f>
        <v>46304.4583333333</v>
      </c>
      <c r="S250" s="59" t="n">
        <f aca="false">IF(ISNUMBER(Flights!$AZ$11),MAX(Q250-UpliftWindowH/24,Flights!$AZ$11),Q250-UpliftWindowH/24)</f>
        <v>46304.4166666667</v>
      </c>
      <c r="T250" s="60"/>
      <c r="U250" s="60"/>
      <c r="V250" s="60"/>
      <c r="W250" s="61"/>
      <c r="X250" s="60"/>
      <c r="Y250" s="60"/>
      <c r="Z250" s="60"/>
      <c r="AA250" s="60"/>
      <c r="AB250" s="60"/>
      <c r="AC250" s="60"/>
      <c r="AD250" s="66"/>
      <c r="AE250" s="60"/>
      <c r="AF250" s="61" t="str">
        <f aca="false">IF(AND(ISNUMBER(X250),ISNUMBER(Y250)),Y250-X250,"")</f>
        <v/>
      </c>
      <c r="AG250" s="62" t="str">
        <f aca="false">IF(ISNUMBER(AD250),AD250-(IF(AND(INDEX(TZ_DSTS,MATCH(P250,TZ_STN,0))&lt;&gt;"",(AD250-INDEX(TZ_STD,MATCH(P250,TZ_STN,0))/24)&gt;=INDEX(TZ_DSTS,MATCH(P250,TZ_STN,0)),(AD250-INDEX(TZ_STD,MATCH(P250,TZ_STN,0))/24)&lt;INDEX(TZ_DSTE,MATCH(P250,TZ_STN,0))),INDEX(TZ_DST,MATCH(P250,TZ_STN,0)),INDEX(TZ_STD,MATCH(P250,TZ_STN,0))))/24,"")</f>
        <v/>
      </c>
      <c r="AH250" s="65" t="str">
        <f aca="false">IFERROR(IF(N250="N/A – rule","N/A – RULE",IF(TRIM(U250)="N/A",IF(AT250=0,"INVALID – N/A not permitted for this check",IF(AND(TRIM(AB250)&lt;&gt;"",TRIM(AB250)&lt;&gt;"Closed"),"INVALID – corrective action still open",IF(AND(NOT(OR(LEN(AZ250)&lt;15,ISNUMBER(MATCH(AZ250,L_Placeholder,0)))),NOT(OR(LEN(AU250)&lt;2,ISNUMBER(MATCH(AU250,L_Placeholder,0)))),NOT(OR(LEN(AX250)&lt;2,ISNUMBER(MATCH(AX250,L_Placeholder,0)))),TRIM(AE250)&lt;&gt;TRIM(T250)),"N/A – JUSTIFIED","INVALID – N/A needs a real justification (15+ chars), PIC and a different verifier"))),IF(OR(TRIM(U250)="Pass",TRIM(U250)="Pass after CA"),IF(NOT(ISNUMBER(AD250)),"INVALID – completion time missing",IF(OR(LEN(AU250)&lt;2,ISNUMBER(MATCH(AU250,L_Placeholder,0))),"INVALID – PIC missing",IF(OR(LEN(AV250)&lt;2,ISNUMBER(MATCH(AV250,L_Placeholder,0))),"INVALID – result / assessment missing",IF(OR(OR(LEN(AW250)&lt;3,ISNUMBER(MATCH(AW250,L_Placeholder,0))),SUMPRODUCT(--ISNUMBER(SEARCH(L_EvidencePhrase,AW250)))&gt;0),"INVALID – evidence missing, placeholder or not yet on file",IF(OR(LEN(AX250)&lt;2,ISNUMBER(MATCH(AX250,L_Placeholder,0))),"INVALID – verifier missing",IF(AX250=AU250,"INVALID – verifier must be someone other than the PIC",IF(AND(TRIM(U250)="Pass",SUMPRODUCT(--ISNUMBER(SEARCH(L_ResultBad,AV250)))&gt;0),"INVALID – result describes a problem: use Fail, then Pass after CA",IF(AND(AQ250=1,OR(LEN(AY250)&lt;3,ISNUMBER(MATCH(AY250,L_Placeholder,0)))),"INVALID – batch ID missing or placeholder",IF(AND(AR250=1,OR(NOT(ISNUMBER(X250)),NOT(ISNUMBER(Y250)))),"INVALID – expected/actual qty missing",IF(AND(AR250=1,OR(X250&lt;=0,Y250&lt;0)),"INVALID – expected qty must be above 0 and actual not negative",IF(AH233="N/A – JUSTIFIED","INVALID – preparation row F07-T12-10 is N/A",IF(AND(AR250=1,ISNUMBER(X233),X250&lt;&gt;X233),"INVALID – expected qty differs from preparation check F07-T12-10",IF(BB250&lt;&gt;"",BB250,IF(AND(AS250=1,Documents!$J$11&lt;&gt;"ON FILE"),"INVALID – GLD not on file (Documents sheet)",IF(AND(AS250=2,Documents!$O$11&lt;&gt;"ON FILE"),"INVALID – menu checklist not on file (Documents sheet)",IF(AND(AS250=3,NOT(ISNUMBER(Flights!$AX$11))),"INVALID – enter carrying flight KUL departure (Flights AX)",IF(AND(AS250=3,OR(Flights!$AZ$11&gt;Flights!$AA$11,Flights!$AX$11&lt;Flights!$AA$11-3)),"INVALID – carrying flight (Flights AX) cannot arrive before this leg's STD, or is over 3 days early",IF(AG250&gt;AsOfUTC,"INVALID – completion time is in the future",IF(AND(ISNUMBER(S250),AG250&lt;S250),IF(H250="Physical uplift","INVALID – before uplift window (cannot confirm loading)","INVALID – before valid window"),IF(AG250&gt;Flights!$AA$11,"INVALID – completed after departure (cannot establish readiness)",IF(AND(H250="Preparation",AG250&gt;IF(ISNUMBER(Flights!$BA$11),MIN(Flights!$BA$11,Flights!$AA$11),Flights!$AA$11)),"INVALID – completed after loading / departure (cannot establish readiness)",IF(AND(H250="Physical uplift",AG250&gt;Q250),"INVALID – recorded after the loading flight departed",IF(AG250&gt;Q250,"COMPLETE – LATE","COMPLETE"))))))))))))))))))))))),IF(TRIM(U250)="Fail","FAIL – DISCREPANCY",IF(AND(TRIM(U250)&lt;&gt;"",TRIM(U250)&lt;&gt;"Not started",TRIM(U250)&lt;&gt;"In progress"),"INVALID – unrecognised status (use the list)",IF(AsOfUTC&gt;Q250,"OVERDUE",IF(N250="Clarification required","OPEN – CLARIFICATION","OPEN"))))))),"INVALID – error value in an input cell")</f>
        <v>OPEN</v>
      </c>
      <c r="AI250" s="61" t="n">
        <f aca="false">IF(OR(AH250="N/A – RULE",AH250="N/A – JUSTIFIED"),0,1)</f>
        <v>1</v>
      </c>
      <c r="AJ250" s="61" t="n">
        <f aca="false">IF(LEFT(AH250,8)="COMPLETE",1,0)</f>
        <v>0</v>
      </c>
      <c r="AK250" s="61" t="n">
        <f aca="false">IF(AND(AI250=1,AJ250=0,AsOfUTC&gt;Q250),1,0)</f>
        <v>0</v>
      </c>
      <c r="AL250" s="61" t="n">
        <f aca="false">IFERROR(IF(AND(AI250=1,OR(TRIM(U250)="Fail",AND(TRIM(AB250)&lt;&gt;"",TRIM(AB250)&lt;&gt;"Closed"),AND(ISNUMBER(AF250),AF250&lt;&gt;0,TRIM(U250)&lt;&gt;"Pass after CA"))),1,0),1)</f>
        <v>0</v>
      </c>
      <c r="AM250" s="61" t="n">
        <f aca="false">IF(LEFT(AH250,7)="INVALID",1,0)</f>
        <v>0</v>
      </c>
      <c r="AN250" s="61" t="n">
        <f aca="false">IF(AND(N250="Clarification required",AI250=1,AJ250=0),1,0)</f>
        <v>0</v>
      </c>
      <c r="AO250" s="61" t="str">
        <f aca="false">IF(AK250=1,SUM(AK$5:AK250),"")</f>
        <v/>
      </c>
      <c r="AP250" s="61" t="str">
        <f aca="false">IF(AL250=1,SUM(AL$5:AL250),"")</f>
        <v/>
      </c>
      <c r="AQ250" s="61" t="n">
        <v>0</v>
      </c>
      <c r="AR250" s="61" t="n">
        <v>0</v>
      </c>
      <c r="AS250" s="61" t="n">
        <v>0</v>
      </c>
      <c r="AT250" s="61" t="n">
        <v>0</v>
      </c>
      <c r="AU250" s="61" t="str">
        <f aca="false">SUBSTITUTE(SUBSTITUTE(SUBSTITUTE(SUBSTITUTE(SUBSTITUTE(SUBSTITUTE(SUBSTITUTE(SUBSTITUTE(SUBSTITUTE(SUBSTITUTE(SUBSTITUTE(SUBSTITUTE(SUBSTITUTE(LOWER(T250&amp;""),CHAR(160),"")," ",""),".",""),"-",""),"/",""),"?",""),"_",""),",",""),"[",""),"]",""),"(",""),")",""),"*","")</f>
        <v/>
      </c>
      <c r="AV250" s="61" t="str">
        <f aca="false">SUBSTITUTE(SUBSTITUTE(SUBSTITUTE(SUBSTITUTE(SUBSTITUTE(SUBSTITUTE(SUBSTITUTE(SUBSTITUTE(SUBSTITUTE(SUBSTITUTE(SUBSTITUTE(SUBSTITUTE(SUBSTITUTE(LOWER(V250&amp;""),CHAR(160),"")," ",""),".",""),"-",""),"/",""),"?",""),"_",""),",",""),"[",""),"]",""),"(",""),")",""),"*","")</f>
        <v/>
      </c>
      <c r="AW250" s="61" t="str">
        <f aca="false">SUBSTITUTE(SUBSTITUTE(SUBSTITUTE(SUBSTITUTE(SUBSTITUTE(SUBSTITUTE(SUBSTITUTE(SUBSTITUTE(SUBSTITUTE(SUBSTITUTE(SUBSTITUTE(SUBSTITUTE(SUBSTITUTE(LOWER(Z250&amp;""),CHAR(160),"")," ",""),".",""),"-",""),"/",""),"?",""),"_",""),",",""),"[",""),"]",""),"(",""),")",""),"*","")</f>
        <v/>
      </c>
      <c r="AX250" s="61" t="str">
        <f aca="false">SUBSTITUTE(SUBSTITUTE(SUBSTITUTE(SUBSTITUTE(SUBSTITUTE(SUBSTITUTE(SUBSTITUTE(SUBSTITUTE(SUBSTITUTE(SUBSTITUTE(SUBSTITUTE(SUBSTITUTE(SUBSTITUTE(LOWER(AE250&amp;""),CHAR(160),"")," ",""),".",""),"-",""),"/",""),"?",""),"_",""),",",""),"[",""),"]",""),"(",""),")",""),"*","")</f>
        <v/>
      </c>
      <c r="AY250" s="61" t="str">
        <f aca="false">SUBSTITUTE(SUBSTITUTE(SUBSTITUTE(SUBSTITUTE(SUBSTITUTE(SUBSTITUTE(SUBSTITUTE(SUBSTITUTE(SUBSTITUTE(SUBSTITUTE(SUBSTITUTE(SUBSTITUTE(SUBSTITUTE(LOWER(W250&amp;""),CHAR(160),"")," ",""),".",""),"-",""),"/",""),"?",""),"_",""),",",""),"[",""),"]",""),"(",""),")",""),"*","")</f>
        <v/>
      </c>
      <c r="AZ250" s="61" t="str">
        <f aca="false">SUBSTITUTE(SUBSTITUTE(SUBSTITUTE(SUBSTITUTE(SUBSTITUTE(SUBSTITUTE(SUBSTITUTE(SUBSTITUTE(SUBSTITUTE(SUBSTITUTE(SUBSTITUTE(SUBSTITUTE(SUBSTITUTE(LOWER(AC250&amp;""),CHAR(160),"")," ",""),".",""),"-",""),"/",""),"?",""),"_",""),",",""),"[",""),"]",""),"(",""),")",""),"*","")</f>
        <v/>
      </c>
      <c r="BA250" s="61" t="str">
        <f aca="false">SUBSTITUTE(SUBSTITUTE(SUBSTITUTE(SUBSTITUTE(SUBSTITUTE(SUBSTITUTE(SUBSTITUTE(SUBSTITUTE(SUBSTITUTE(SUBSTITUTE(SUBSTITUTE(SUBSTITUTE(SUBSTITUTE(LOWER(AA250&amp;""),CHAR(160),"")," ",""),".",""),"-",""),"/",""),"?",""),"_",""),",",""),"[",""),"]",""),"(",""),")",""),"*","")</f>
        <v/>
      </c>
      <c r="BB250" s="61" t="str">
        <f aca="false">IF(AND(TRIM(U250)="Pass",ISNUMBER(AF250)),IF(AF250&lt;&gt;0,"INVALID – qty variance: use Fail or Pass after CA",""),"")&amp;IF(AND(TRIM(U250)="Pass after CA",ISNUMBER(AF250)),IF(AF250&lt;&gt;0,"INVALID – after the corrective action the actual qty must equal expected (update Actual)",""),"")&amp;IF(AND(TRIM(U250)="Pass",TRIM(AB250)&lt;&gt;"",TRIM(AB250)&lt;&gt;"Closed"),"INVALID – corrective action not closed: use Fail, then Pass after CA","")&amp;IF(AND(TRIM(AA250)&lt;&gt;"",TRIM(AB250)=""),"INVALID – CA status missing for the recorded corrective action","")&amp;IF(AND(TRIM(U250)="Pass after CA",OR(OR(LEN(BA250)&lt;5,ISNUMBER(MATCH(BA250,L_Placeholder,0))),TRIM(AB250)&lt;&gt;"Closed")),"INVALID – corrective action not recorded/closed","")</f>
        <v/>
      </c>
    </row>
    <row r="251" customFormat="false" ht="39.75" hidden="false" customHeight="true" outlineLevel="0" collapsed="false">
      <c r="A251" s="57" t="s">
        <v>800</v>
      </c>
      <c r="B251" s="57" t="s">
        <v>232</v>
      </c>
      <c r="C251" s="57" t="str">
        <f aca="false">Flights!$F$11</f>
        <v>MH0003</v>
      </c>
      <c r="D251" s="58" t="n">
        <f aca="false">Flights!$D$11</f>
        <v>46304</v>
      </c>
      <c r="E251" s="57" t="str">
        <f aca="false">Flights!$G$11&amp;"-"&amp;Flights!$H$11</f>
        <v>LHR-KUL</v>
      </c>
      <c r="F251" s="57" t="str">
        <f aca="false">Flights!$K$11</f>
        <v>BC</v>
      </c>
      <c r="G251" s="57" t="s">
        <v>437</v>
      </c>
      <c r="H251" s="57" t="s">
        <v>438</v>
      </c>
      <c r="I251" s="57" t="s">
        <v>477</v>
      </c>
      <c r="J251" s="57" t="s">
        <v>515</v>
      </c>
      <c r="K251" s="67" t="s">
        <v>479</v>
      </c>
      <c r="L251" s="67" t="s">
        <v>714</v>
      </c>
      <c r="M251" s="67" t="s">
        <v>429</v>
      </c>
      <c r="N251" s="67" t="s">
        <v>361</v>
      </c>
      <c r="O251" s="67"/>
      <c r="P251" s="57" t="s">
        <v>183</v>
      </c>
      <c r="Q251" s="59" t="n">
        <f aca="false">ROUND((Flights!$AF$11)*1440,0)/1440</f>
        <v>46304.4166666667</v>
      </c>
      <c r="R251" s="59" t="n">
        <f aca="false">Q251+(IF(AND(INDEX(TZ_DSTS,MATCH(P251,TZ_STN,0))&lt;&gt;"",Q251&gt;=INDEX(TZ_DSTS,MATCH(P251,TZ_STN,0)),Q251&lt;INDEX(TZ_DSTE,MATCH(P251,TZ_STN,0))),INDEX(TZ_DST,MATCH(P251,TZ_STN,0)),INDEX(TZ_STD,MATCH(P251,TZ_STN,0))))/24</f>
        <v>46304.4583333333</v>
      </c>
      <c r="S251" s="59" t="n">
        <f aca="false">IF(ISNUMBER(Flights!$AZ$11),MAX(Q251-UpliftWindowH/24,Flights!$AZ$11),Q251-UpliftWindowH/24)</f>
        <v>46304.4166666667</v>
      </c>
      <c r="T251" s="60"/>
      <c r="U251" s="60"/>
      <c r="V251" s="60"/>
      <c r="W251" s="61"/>
      <c r="X251" s="60"/>
      <c r="Y251" s="60"/>
      <c r="Z251" s="60"/>
      <c r="AA251" s="60"/>
      <c r="AB251" s="60"/>
      <c r="AC251" s="60"/>
      <c r="AD251" s="66"/>
      <c r="AE251" s="60"/>
      <c r="AF251" s="61" t="str">
        <f aca="false">IF(AND(ISNUMBER(X251),ISNUMBER(Y251)),Y251-X251,"")</f>
        <v/>
      </c>
      <c r="AG251" s="62" t="str">
        <f aca="false">IF(ISNUMBER(AD251),AD251-(IF(AND(INDEX(TZ_DSTS,MATCH(P251,TZ_STN,0))&lt;&gt;"",(AD251-INDEX(TZ_STD,MATCH(P251,TZ_STN,0))/24)&gt;=INDEX(TZ_DSTS,MATCH(P251,TZ_STN,0)),(AD251-INDEX(TZ_STD,MATCH(P251,TZ_STN,0))/24)&lt;INDEX(TZ_DSTE,MATCH(P251,TZ_STN,0))),INDEX(TZ_DST,MATCH(P251,TZ_STN,0)),INDEX(TZ_STD,MATCH(P251,TZ_STN,0))))/24,"")</f>
        <v/>
      </c>
      <c r="AH251" s="65" t="str">
        <f aca="false">IFERROR(IF(N251="N/A – rule","N/A – RULE",IF(TRIM(U251)="N/A",IF(AT251=0,"INVALID – N/A not permitted for this check",IF(AND(TRIM(AB251)&lt;&gt;"",TRIM(AB251)&lt;&gt;"Closed"),"INVALID – corrective action still open",IF(AND(NOT(OR(LEN(AZ251)&lt;15,ISNUMBER(MATCH(AZ251,L_Placeholder,0)))),NOT(OR(LEN(AU251)&lt;2,ISNUMBER(MATCH(AU251,L_Placeholder,0)))),NOT(OR(LEN(AX251)&lt;2,ISNUMBER(MATCH(AX251,L_Placeholder,0)))),TRIM(AE251)&lt;&gt;TRIM(T251)),"N/A – JUSTIFIED","INVALID – N/A needs a real justification (15+ chars), PIC and a different verifier"))),IF(OR(TRIM(U251)="Pass",TRIM(U251)="Pass after CA"),IF(NOT(ISNUMBER(AD251)),"INVALID – completion time missing",IF(OR(LEN(AU251)&lt;2,ISNUMBER(MATCH(AU251,L_Placeholder,0))),"INVALID – PIC missing",IF(OR(LEN(AV251)&lt;2,ISNUMBER(MATCH(AV251,L_Placeholder,0))),"INVALID – result / assessment missing",IF(OR(OR(LEN(AW251)&lt;3,ISNUMBER(MATCH(AW251,L_Placeholder,0))),SUMPRODUCT(--ISNUMBER(SEARCH(L_EvidencePhrase,AW251)))&gt;0),"INVALID – evidence missing, placeholder or not yet on file",IF(OR(LEN(AX251)&lt;2,ISNUMBER(MATCH(AX251,L_Placeholder,0))),"INVALID – verifier missing",IF(AX251=AU251,"INVALID – verifier must be someone other than the PIC",IF(AND(TRIM(U251)="Pass",SUMPRODUCT(--ISNUMBER(SEARCH(L_ResultBad,AV251)))&gt;0),"INVALID – result describes a problem: use Fail, then Pass after CA",IF(AND(AQ251=1,OR(LEN(AY251)&lt;3,ISNUMBER(MATCH(AY251,L_Placeholder,0)))),"INVALID – batch ID missing or placeholder",IF(AND(AR251=1,OR(NOT(ISNUMBER(X251)),NOT(ISNUMBER(Y251)))),"INVALID – expected/actual qty missing",IF(AND(AR251=1,OR(X251&lt;=0,Y251&lt;0)),"INVALID – expected qty must be above 0 and actual not negative",IF(AH234="N/A – JUSTIFIED","INVALID – preparation row F07-T12-11 is N/A",IF(AND(AR251=1,ISNUMBER(X234),X251&lt;&gt;X234),"INVALID – expected qty differs from preparation check F07-T12-11",IF(BB251&lt;&gt;"",BB251,IF(AND(AS251=1,Documents!$J$11&lt;&gt;"ON FILE"),"INVALID – GLD not on file (Documents sheet)",IF(AND(AS251=2,Documents!$O$11&lt;&gt;"ON FILE"),"INVALID – menu checklist not on file (Documents sheet)",IF(AND(AS251=3,NOT(ISNUMBER(Flights!$AX$11))),"INVALID – enter carrying flight KUL departure (Flights AX)",IF(AND(AS251=3,OR(Flights!$AZ$11&gt;Flights!$AA$11,Flights!$AX$11&lt;Flights!$AA$11-3)),"INVALID – carrying flight (Flights AX) cannot arrive before this leg's STD, or is over 3 days early",IF(AG251&gt;AsOfUTC,"INVALID – completion time is in the future",IF(AND(ISNUMBER(S251),AG251&lt;S251),IF(H251="Physical uplift","INVALID – before uplift window (cannot confirm loading)","INVALID – before valid window"),IF(AG251&gt;Flights!$AA$11,"INVALID – completed after departure (cannot establish readiness)",IF(AND(H251="Preparation",AG251&gt;IF(ISNUMBER(Flights!$BA$11),MIN(Flights!$BA$11,Flights!$AA$11),Flights!$AA$11)),"INVALID – completed after loading / departure (cannot establish readiness)",IF(AND(H251="Physical uplift",AG251&gt;Q251),"INVALID – recorded after the loading flight departed",IF(AG251&gt;Q251,"COMPLETE – LATE","COMPLETE"))))))))))))))))))))))),IF(TRIM(U251)="Fail","FAIL – DISCREPANCY",IF(AND(TRIM(U251)&lt;&gt;"",TRIM(U251)&lt;&gt;"Not started",TRIM(U251)&lt;&gt;"In progress"),"INVALID – unrecognised status (use the list)",IF(AsOfUTC&gt;Q251,"OVERDUE",IF(N251="Clarification required","OPEN – CLARIFICATION","OPEN"))))))),"INVALID – error value in an input cell")</f>
        <v>OPEN</v>
      </c>
      <c r="AI251" s="61" t="n">
        <f aca="false">IF(OR(AH251="N/A – RULE",AH251="N/A – JUSTIFIED"),0,1)</f>
        <v>1</v>
      </c>
      <c r="AJ251" s="61" t="n">
        <f aca="false">IF(LEFT(AH251,8)="COMPLETE",1,0)</f>
        <v>0</v>
      </c>
      <c r="AK251" s="61" t="n">
        <f aca="false">IF(AND(AI251=1,AJ251=0,AsOfUTC&gt;Q251),1,0)</f>
        <v>0</v>
      </c>
      <c r="AL251" s="61" t="n">
        <f aca="false">IFERROR(IF(AND(AI251=1,OR(TRIM(U251)="Fail",AND(TRIM(AB251)&lt;&gt;"",TRIM(AB251)&lt;&gt;"Closed"),AND(ISNUMBER(AF251),AF251&lt;&gt;0,TRIM(U251)&lt;&gt;"Pass after CA"))),1,0),1)</f>
        <v>0</v>
      </c>
      <c r="AM251" s="61" t="n">
        <f aca="false">IF(LEFT(AH251,7)="INVALID",1,0)</f>
        <v>0</v>
      </c>
      <c r="AN251" s="61" t="n">
        <f aca="false">IF(AND(N251="Clarification required",AI251=1,AJ251=0),1,0)</f>
        <v>0</v>
      </c>
      <c r="AO251" s="61" t="str">
        <f aca="false">IF(AK251=1,SUM(AK$5:AK251),"")</f>
        <v/>
      </c>
      <c r="AP251" s="61" t="str">
        <f aca="false">IF(AL251=1,SUM(AL$5:AL251),"")</f>
        <v/>
      </c>
      <c r="AQ251" s="61" t="n">
        <v>0</v>
      </c>
      <c r="AR251" s="61" t="n">
        <v>0</v>
      </c>
      <c r="AS251" s="61" t="n">
        <v>0</v>
      </c>
      <c r="AT251" s="61" t="n">
        <v>0</v>
      </c>
      <c r="AU251" s="61" t="str">
        <f aca="false">SUBSTITUTE(SUBSTITUTE(SUBSTITUTE(SUBSTITUTE(SUBSTITUTE(SUBSTITUTE(SUBSTITUTE(SUBSTITUTE(SUBSTITUTE(SUBSTITUTE(SUBSTITUTE(SUBSTITUTE(SUBSTITUTE(LOWER(T251&amp;""),CHAR(160),"")," ",""),".",""),"-",""),"/",""),"?",""),"_",""),",",""),"[",""),"]",""),"(",""),")",""),"*","")</f>
        <v/>
      </c>
      <c r="AV251" s="61" t="str">
        <f aca="false">SUBSTITUTE(SUBSTITUTE(SUBSTITUTE(SUBSTITUTE(SUBSTITUTE(SUBSTITUTE(SUBSTITUTE(SUBSTITUTE(SUBSTITUTE(SUBSTITUTE(SUBSTITUTE(SUBSTITUTE(SUBSTITUTE(LOWER(V251&amp;""),CHAR(160),"")," ",""),".",""),"-",""),"/",""),"?",""),"_",""),",",""),"[",""),"]",""),"(",""),")",""),"*","")</f>
        <v/>
      </c>
      <c r="AW251" s="61" t="str">
        <f aca="false">SUBSTITUTE(SUBSTITUTE(SUBSTITUTE(SUBSTITUTE(SUBSTITUTE(SUBSTITUTE(SUBSTITUTE(SUBSTITUTE(SUBSTITUTE(SUBSTITUTE(SUBSTITUTE(SUBSTITUTE(SUBSTITUTE(LOWER(Z251&amp;""),CHAR(160),"")," ",""),".",""),"-",""),"/",""),"?",""),"_",""),",",""),"[",""),"]",""),"(",""),")",""),"*","")</f>
        <v/>
      </c>
      <c r="AX251" s="61" t="str">
        <f aca="false">SUBSTITUTE(SUBSTITUTE(SUBSTITUTE(SUBSTITUTE(SUBSTITUTE(SUBSTITUTE(SUBSTITUTE(SUBSTITUTE(SUBSTITUTE(SUBSTITUTE(SUBSTITUTE(SUBSTITUTE(SUBSTITUTE(LOWER(AE251&amp;""),CHAR(160),"")," ",""),".",""),"-",""),"/",""),"?",""),"_",""),",",""),"[",""),"]",""),"(",""),")",""),"*","")</f>
        <v/>
      </c>
      <c r="AY251" s="61" t="str">
        <f aca="false">SUBSTITUTE(SUBSTITUTE(SUBSTITUTE(SUBSTITUTE(SUBSTITUTE(SUBSTITUTE(SUBSTITUTE(SUBSTITUTE(SUBSTITUTE(SUBSTITUTE(SUBSTITUTE(SUBSTITUTE(SUBSTITUTE(LOWER(W251&amp;""),CHAR(160),"")," ",""),".",""),"-",""),"/",""),"?",""),"_",""),",",""),"[",""),"]",""),"(",""),")",""),"*","")</f>
        <v/>
      </c>
      <c r="AZ251" s="61" t="str">
        <f aca="false">SUBSTITUTE(SUBSTITUTE(SUBSTITUTE(SUBSTITUTE(SUBSTITUTE(SUBSTITUTE(SUBSTITUTE(SUBSTITUTE(SUBSTITUTE(SUBSTITUTE(SUBSTITUTE(SUBSTITUTE(SUBSTITUTE(LOWER(AC251&amp;""),CHAR(160),"")," ",""),".",""),"-",""),"/",""),"?",""),"_",""),",",""),"[",""),"]",""),"(",""),")",""),"*","")</f>
        <v/>
      </c>
      <c r="BA251" s="61" t="str">
        <f aca="false">SUBSTITUTE(SUBSTITUTE(SUBSTITUTE(SUBSTITUTE(SUBSTITUTE(SUBSTITUTE(SUBSTITUTE(SUBSTITUTE(SUBSTITUTE(SUBSTITUTE(SUBSTITUTE(SUBSTITUTE(SUBSTITUTE(LOWER(AA251&amp;""),CHAR(160),"")," ",""),".",""),"-",""),"/",""),"?",""),"_",""),",",""),"[",""),"]",""),"(",""),")",""),"*","")</f>
        <v/>
      </c>
      <c r="BB251" s="61" t="str">
        <f aca="false">IF(AND(TRIM(U251)="Pass",ISNUMBER(AF251)),IF(AF251&lt;&gt;0,"INVALID – qty variance: use Fail or Pass after CA",""),"")&amp;IF(AND(TRIM(U251)="Pass after CA",ISNUMBER(AF251)),IF(AF251&lt;&gt;0,"INVALID – after the corrective action the actual qty must equal expected (update Actual)",""),"")&amp;IF(AND(TRIM(U251)="Pass",TRIM(AB251)&lt;&gt;"",TRIM(AB251)&lt;&gt;"Closed"),"INVALID – corrective action not closed: use Fail, then Pass after CA","")&amp;IF(AND(TRIM(AA251)&lt;&gt;"",TRIM(AB251)=""),"INVALID – CA status missing for the recorded corrective action","")&amp;IF(AND(TRIM(U251)="Pass after CA",OR(OR(LEN(BA251)&lt;5,ISNUMBER(MATCH(BA251,L_Placeholder,0))),TRIM(AB251)&lt;&gt;"Closed")),"INVALID – corrective action not recorded/closed","")</f>
        <v/>
      </c>
    </row>
    <row r="252" customFormat="false" ht="39.75" hidden="false" customHeight="true" outlineLevel="0" collapsed="false">
      <c r="A252" s="57" t="s">
        <v>801</v>
      </c>
      <c r="B252" s="57" t="s">
        <v>232</v>
      </c>
      <c r="C252" s="57" t="str">
        <f aca="false">Flights!$F$11</f>
        <v>MH0003</v>
      </c>
      <c r="D252" s="58" t="n">
        <f aca="false">Flights!$D$11</f>
        <v>46304</v>
      </c>
      <c r="E252" s="57" t="str">
        <f aca="false">Flights!$G$11&amp;"-"&amp;Flights!$H$11</f>
        <v>LHR-KUL</v>
      </c>
      <c r="F252" s="57" t="str">
        <f aca="false">Flights!$K$11</f>
        <v>BC</v>
      </c>
      <c r="G252" s="57" t="s">
        <v>437</v>
      </c>
      <c r="H252" s="57" t="s">
        <v>438</v>
      </c>
      <c r="I252" s="57" t="s">
        <v>477</v>
      </c>
      <c r="J252" s="57" t="s">
        <v>517</v>
      </c>
      <c r="K252" s="67" t="s">
        <v>479</v>
      </c>
      <c r="L252" s="67" t="s">
        <v>716</v>
      </c>
      <c r="M252" s="67" t="s">
        <v>429</v>
      </c>
      <c r="N252" s="67" t="s">
        <v>361</v>
      </c>
      <c r="O252" s="67"/>
      <c r="P252" s="57" t="s">
        <v>183</v>
      </c>
      <c r="Q252" s="59" t="n">
        <f aca="false">ROUND((Flights!$AF$11)*1440,0)/1440</f>
        <v>46304.4166666667</v>
      </c>
      <c r="R252" s="59" t="n">
        <f aca="false">Q252+(IF(AND(INDEX(TZ_DSTS,MATCH(P252,TZ_STN,0))&lt;&gt;"",Q252&gt;=INDEX(TZ_DSTS,MATCH(P252,TZ_STN,0)),Q252&lt;INDEX(TZ_DSTE,MATCH(P252,TZ_STN,0))),INDEX(TZ_DST,MATCH(P252,TZ_STN,0)),INDEX(TZ_STD,MATCH(P252,TZ_STN,0))))/24</f>
        <v>46304.4583333333</v>
      </c>
      <c r="S252" s="59" t="n">
        <f aca="false">IF(ISNUMBER(Flights!$AZ$11),MAX(Q252-UpliftWindowH/24,Flights!$AZ$11),Q252-UpliftWindowH/24)</f>
        <v>46304.4166666667</v>
      </c>
      <c r="T252" s="60"/>
      <c r="U252" s="60"/>
      <c r="V252" s="60"/>
      <c r="W252" s="61"/>
      <c r="X252" s="60"/>
      <c r="Y252" s="60"/>
      <c r="Z252" s="60"/>
      <c r="AA252" s="60"/>
      <c r="AB252" s="60"/>
      <c r="AC252" s="60"/>
      <c r="AD252" s="66"/>
      <c r="AE252" s="60"/>
      <c r="AF252" s="61" t="str">
        <f aca="false">IF(AND(ISNUMBER(X252),ISNUMBER(Y252)),Y252-X252,"")</f>
        <v/>
      </c>
      <c r="AG252" s="62" t="str">
        <f aca="false">IF(ISNUMBER(AD252),AD252-(IF(AND(INDEX(TZ_DSTS,MATCH(P252,TZ_STN,0))&lt;&gt;"",(AD252-INDEX(TZ_STD,MATCH(P252,TZ_STN,0))/24)&gt;=INDEX(TZ_DSTS,MATCH(P252,TZ_STN,0)),(AD252-INDEX(TZ_STD,MATCH(P252,TZ_STN,0))/24)&lt;INDEX(TZ_DSTE,MATCH(P252,TZ_STN,0))),INDEX(TZ_DST,MATCH(P252,TZ_STN,0)),INDEX(TZ_STD,MATCH(P252,TZ_STN,0))))/24,"")</f>
        <v/>
      </c>
      <c r="AH252" s="65" t="str">
        <f aca="false">IFERROR(IF(N252="N/A – rule","N/A – RULE",IF(TRIM(U252)="N/A",IF(AT252=0,"INVALID – N/A not permitted for this check",IF(AND(TRIM(AB252)&lt;&gt;"",TRIM(AB252)&lt;&gt;"Closed"),"INVALID – corrective action still open",IF(AND(NOT(OR(LEN(AZ252)&lt;15,ISNUMBER(MATCH(AZ252,L_Placeholder,0)))),NOT(OR(LEN(AU252)&lt;2,ISNUMBER(MATCH(AU252,L_Placeholder,0)))),NOT(OR(LEN(AX252)&lt;2,ISNUMBER(MATCH(AX252,L_Placeholder,0)))),TRIM(AE252)&lt;&gt;TRIM(T252)),"N/A – JUSTIFIED","INVALID – N/A needs a real justification (15+ chars), PIC and a different verifier"))),IF(OR(TRIM(U252)="Pass",TRIM(U252)="Pass after CA"),IF(NOT(ISNUMBER(AD252)),"INVALID – completion time missing",IF(OR(LEN(AU252)&lt;2,ISNUMBER(MATCH(AU252,L_Placeholder,0))),"INVALID – PIC missing",IF(OR(LEN(AV252)&lt;2,ISNUMBER(MATCH(AV252,L_Placeholder,0))),"INVALID – result / assessment missing",IF(OR(OR(LEN(AW252)&lt;3,ISNUMBER(MATCH(AW252,L_Placeholder,0))),SUMPRODUCT(--ISNUMBER(SEARCH(L_EvidencePhrase,AW252)))&gt;0),"INVALID – evidence missing, placeholder or not yet on file",IF(OR(LEN(AX252)&lt;2,ISNUMBER(MATCH(AX252,L_Placeholder,0))),"INVALID – verifier missing",IF(AX252=AU252,"INVALID – verifier must be someone other than the PIC",IF(AND(TRIM(U252)="Pass",SUMPRODUCT(--ISNUMBER(SEARCH(L_ResultBad,AV252)))&gt;0),"INVALID – result describes a problem: use Fail, then Pass after CA",IF(AND(AQ252=1,OR(LEN(AY252)&lt;3,ISNUMBER(MATCH(AY252,L_Placeholder,0)))),"INVALID – batch ID missing or placeholder",IF(AND(AR252=1,OR(NOT(ISNUMBER(X252)),NOT(ISNUMBER(Y252)))),"INVALID – expected/actual qty missing",IF(AND(AR252=1,OR(X252&lt;=0,Y252&lt;0)),"INVALID – expected qty must be above 0 and actual not negative",IF(AH235="N/A – JUSTIFIED","INVALID – preparation row F07-T12-12 is N/A",IF(AND(AR252=1,ISNUMBER(X235),X252&lt;&gt;X235),"INVALID – expected qty differs from preparation check F07-T12-12",IF(BB252&lt;&gt;"",BB252,IF(AND(AS252=1,Documents!$J$11&lt;&gt;"ON FILE"),"INVALID – GLD not on file (Documents sheet)",IF(AND(AS252=2,Documents!$O$11&lt;&gt;"ON FILE"),"INVALID – menu checklist not on file (Documents sheet)",IF(AND(AS252=3,NOT(ISNUMBER(Flights!$AX$11))),"INVALID – enter carrying flight KUL departure (Flights AX)",IF(AND(AS252=3,OR(Flights!$AZ$11&gt;Flights!$AA$11,Flights!$AX$11&lt;Flights!$AA$11-3)),"INVALID – carrying flight (Flights AX) cannot arrive before this leg's STD, or is over 3 days early",IF(AG252&gt;AsOfUTC,"INVALID – completion time is in the future",IF(AND(ISNUMBER(S252),AG252&lt;S252),IF(H252="Physical uplift","INVALID – before uplift window (cannot confirm loading)","INVALID – before valid window"),IF(AG252&gt;Flights!$AA$11,"INVALID – completed after departure (cannot establish readiness)",IF(AND(H252="Preparation",AG252&gt;IF(ISNUMBER(Flights!$BA$11),MIN(Flights!$BA$11,Flights!$AA$11),Flights!$AA$11)),"INVALID – completed after loading / departure (cannot establish readiness)",IF(AND(H252="Physical uplift",AG252&gt;Q252),"INVALID – recorded after the loading flight departed",IF(AG252&gt;Q252,"COMPLETE – LATE","COMPLETE"))))))))))))))))))))))),IF(TRIM(U252)="Fail","FAIL – DISCREPANCY",IF(AND(TRIM(U252)&lt;&gt;"",TRIM(U252)&lt;&gt;"Not started",TRIM(U252)&lt;&gt;"In progress"),"INVALID – unrecognised status (use the list)",IF(AsOfUTC&gt;Q252,"OVERDUE",IF(N252="Clarification required","OPEN – CLARIFICATION","OPEN"))))))),"INVALID – error value in an input cell")</f>
        <v>OPEN</v>
      </c>
      <c r="AI252" s="61" t="n">
        <f aca="false">IF(OR(AH252="N/A – RULE",AH252="N/A – JUSTIFIED"),0,1)</f>
        <v>1</v>
      </c>
      <c r="AJ252" s="61" t="n">
        <f aca="false">IF(LEFT(AH252,8)="COMPLETE",1,0)</f>
        <v>0</v>
      </c>
      <c r="AK252" s="61" t="n">
        <f aca="false">IF(AND(AI252=1,AJ252=0,AsOfUTC&gt;Q252),1,0)</f>
        <v>0</v>
      </c>
      <c r="AL252" s="61" t="n">
        <f aca="false">IFERROR(IF(AND(AI252=1,OR(TRIM(U252)="Fail",AND(TRIM(AB252)&lt;&gt;"",TRIM(AB252)&lt;&gt;"Closed"),AND(ISNUMBER(AF252),AF252&lt;&gt;0,TRIM(U252)&lt;&gt;"Pass after CA"))),1,0),1)</f>
        <v>0</v>
      </c>
      <c r="AM252" s="61" t="n">
        <f aca="false">IF(LEFT(AH252,7)="INVALID",1,0)</f>
        <v>0</v>
      </c>
      <c r="AN252" s="61" t="n">
        <f aca="false">IF(AND(N252="Clarification required",AI252=1,AJ252=0),1,0)</f>
        <v>0</v>
      </c>
      <c r="AO252" s="61" t="str">
        <f aca="false">IF(AK252=1,SUM(AK$5:AK252),"")</f>
        <v/>
      </c>
      <c r="AP252" s="61" t="str">
        <f aca="false">IF(AL252=1,SUM(AL$5:AL252),"")</f>
        <v/>
      </c>
      <c r="AQ252" s="61" t="n">
        <v>0</v>
      </c>
      <c r="AR252" s="61" t="n">
        <v>0</v>
      </c>
      <c r="AS252" s="61" t="n">
        <v>0</v>
      </c>
      <c r="AT252" s="61" t="n">
        <v>0</v>
      </c>
      <c r="AU252" s="61" t="str">
        <f aca="false">SUBSTITUTE(SUBSTITUTE(SUBSTITUTE(SUBSTITUTE(SUBSTITUTE(SUBSTITUTE(SUBSTITUTE(SUBSTITUTE(SUBSTITUTE(SUBSTITUTE(SUBSTITUTE(SUBSTITUTE(SUBSTITUTE(LOWER(T252&amp;""),CHAR(160),"")," ",""),".",""),"-",""),"/",""),"?",""),"_",""),",",""),"[",""),"]",""),"(",""),")",""),"*","")</f>
        <v/>
      </c>
      <c r="AV252" s="61" t="str">
        <f aca="false">SUBSTITUTE(SUBSTITUTE(SUBSTITUTE(SUBSTITUTE(SUBSTITUTE(SUBSTITUTE(SUBSTITUTE(SUBSTITUTE(SUBSTITUTE(SUBSTITUTE(SUBSTITUTE(SUBSTITUTE(SUBSTITUTE(LOWER(V252&amp;""),CHAR(160),"")," ",""),".",""),"-",""),"/",""),"?",""),"_",""),",",""),"[",""),"]",""),"(",""),")",""),"*","")</f>
        <v/>
      </c>
      <c r="AW252" s="61" t="str">
        <f aca="false">SUBSTITUTE(SUBSTITUTE(SUBSTITUTE(SUBSTITUTE(SUBSTITUTE(SUBSTITUTE(SUBSTITUTE(SUBSTITUTE(SUBSTITUTE(SUBSTITUTE(SUBSTITUTE(SUBSTITUTE(SUBSTITUTE(LOWER(Z252&amp;""),CHAR(160),"")," ",""),".",""),"-",""),"/",""),"?",""),"_",""),",",""),"[",""),"]",""),"(",""),")",""),"*","")</f>
        <v/>
      </c>
      <c r="AX252" s="61" t="str">
        <f aca="false">SUBSTITUTE(SUBSTITUTE(SUBSTITUTE(SUBSTITUTE(SUBSTITUTE(SUBSTITUTE(SUBSTITUTE(SUBSTITUTE(SUBSTITUTE(SUBSTITUTE(SUBSTITUTE(SUBSTITUTE(SUBSTITUTE(LOWER(AE252&amp;""),CHAR(160),"")," ",""),".",""),"-",""),"/",""),"?",""),"_",""),",",""),"[",""),"]",""),"(",""),")",""),"*","")</f>
        <v/>
      </c>
      <c r="AY252" s="61" t="str">
        <f aca="false">SUBSTITUTE(SUBSTITUTE(SUBSTITUTE(SUBSTITUTE(SUBSTITUTE(SUBSTITUTE(SUBSTITUTE(SUBSTITUTE(SUBSTITUTE(SUBSTITUTE(SUBSTITUTE(SUBSTITUTE(SUBSTITUTE(LOWER(W252&amp;""),CHAR(160),"")," ",""),".",""),"-",""),"/",""),"?",""),"_",""),",",""),"[",""),"]",""),"(",""),")",""),"*","")</f>
        <v/>
      </c>
      <c r="AZ252" s="61" t="str">
        <f aca="false">SUBSTITUTE(SUBSTITUTE(SUBSTITUTE(SUBSTITUTE(SUBSTITUTE(SUBSTITUTE(SUBSTITUTE(SUBSTITUTE(SUBSTITUTE(SUBSTITUTE(SUBSTITUTE(SUBSTITUTE(SUBSTITUTE(LOWER(AC252&amp;""),CHAR(160),"")," ",""),".",""),"-",""),"/",""),"?",""),"_",""),",",""),"[",""),"]",""),"(",""),")",""),"*","")</f>
        <v/>
      </c>
      <c r="BA252" s="61" t="str">
        <f aca="false">SUBSTITUTE(SUBSTITUTE(SUBSTITUTE(SUBSTITUTE(SUBSTITUTE(SUBSTITUTE(SUBSTITUTE(SUBSTITUTE(SUBSTITUTE(SUBSTITUTE(SUBSTITUTE(SUBSTITUTE(SUBSTITUTE(LOWER(AA252&amp;""),CHAR(160),"")," ",""),".",""),"-",""),"/",""),"?",""),"_",""),",",""),"[",""),"]",""),"(",""),")",""),"*","")</f>
        <v/>
      </c>
      <c r="BB252" s="61" t="str">
        <f aca="false">IF(AND(TRIM(U252)="Pass",ISNUMBER(AF252)),IF(AF252&lt;&gt;0,"INVALID – qty variance: use Fail or Pass after CA",""),"")&amp;IF(AND(TRIM(U252)="Pass after CA",ISNUMBER(AF252)),IF(AF252&lt;&gt;0,"INVALID – after the corrective action the actual qty must equal expected (update Actual)",""),"")&amp;IF(AND(TRIM(U252)="Pass",TRIM(AB252)&lt;&gt;"",TRIM(AB252)&lt;&gt;"Closed"),"INVALID – corrective action not closed: use Fail, then Pass after CA","")&amp;IF(AND(TRIM(AA252)&lt;&gt;"",TRIM(AB252)=""),"INVALID – CA status missing for the recorded corrective action","")&amp;IF(AND(TRIM(U252)="Pass after CA",OR(OR(LEN(BA252)&lt;5,ISNUMBER(MATCH(BA252,L_Placeholder,0))),TRIM(AB252)&lt;&gt;"Closed")),"INVALID – corrective action not recorded/closed","")</f>
        <v/>
      </c>
    </row>
    <row r="253" customFormat="false" ht="39.75" hidden="false" customHeight="true" outlineLevel="0" collapsed="false">
      <c r="A253" s="57" t="s">
        <v>802</v>
      </c>
      <c r="B253" s="57" t="s">
        <v>232</v>
      </c>
      <c r="C253" s="57" t="str">
        <f aca="false">Flights!$F$11</f>
        <v>MH0003</v>
      </c>
      <c r="D253" s="58" t="n">
        <f aca="false">Flights!$D$11</f>
        <v>46304</v>
      </c>
      <c r="E253" s="57" t="str">
        <f aca="false">Flights!$G$11&amp;"-"&amp;Flights!$H$11</f>
        <v>LHR-KUL</v>
      </c>
      <c r="F253" s="57" t="str">
        <f aca="false">Flights!$K$11</f>
        <v>BC</v>
      </c>
      <c r="G253" s="57" t="s">
        <v>437</v>
      </c>
      <c r="H253" s="57" t="s">
        <v>438</v>
      </c>
      <c r="I253" s="57" t="s">
        <v>477</v>
      </c>
      <c r="J253" s="57" t="s">
        <v>519</v>
      </c>
      <c r="K253" s="67" t="s">
        <v>479</v>
      </c>
      <c r="L253" s="67" t="s">
        <v>718</v>
      </c>
      <c r="M253" s="67" t="s">
        <v>429</v>
      </c>
      <c r="N253" s="67" t="s">
        <v>361</v>
      </c>
      <c r="O253" s="67"/>
      <c r="P253" s="57" t="s">
        <v>183</v>
      </c>
      <c r="Q253" s="59" t="n">
        <f aca="false">ROUND((Flights!$AF$11)*1440,0)/1440</f>
        <v>46304.4166666667</v>
      </c>
      <c r="R253" s="59" t="n">
        <f aca="false">Q253+(IF(AND(INDEX(TZ_DSTS,MATCH(P253,TZ_STN,0))&lt;&gt;"",Q253&gt;=INDEX(TZ_DSTS,MATCH(P253,TZ_STN,0)),Q253&lt;INDEX(TZ_DSTE,MATCH(P253,TZ_STN,0))),INDEX(TZ_DST,MATCH(P253,TZ_STN,0)),INDEX(TZ_STD,MATCH(P253,TZ_STN,0))))/24</f>
        <v>46304.4583333333</v>
      </c>
      <c r="S253" s="59" t="n">
        <f aca="false">IF(ISNUMBER(Flights!$AZ$11),MAX(Q253-UpliftWindowH/24,Flights!$AZ$11),Q253-UpliftWindowH/24)</f>
        <v>46304.4166666667</v>
      </c>
      <c r="T253" s="60"/>
      <c r="U253" s="60"/>
      <c r="V253" s="60"/>
      <c r="W253" s="61"/>
      <c r="X253" s="60"/>
      <c r="Y253" s="60"/>
      <c r="Z253" s="60"/>
      <c r="AA253" s="60"/>
      <c r="AB253" s="60"/>
      <c r="AC253" s="60"/>
      <c r="AD253" s="66"/>
      <c r="AE253" s="60"/>
      <c r="AF253" s="61" t="str">
        <f aca="false">IF(AND(ISNUMBER(X253),ISNUMBER(Y253)),Y253-X253,"")</f>
        <v/>
      </c>
      <c r="AG253" s="62" t="str">
        <f aca="false">IF(ISNUMBER(AD253),AD253-(IF(AND(INDEX(TZ_DSTS,MATCH(P253,TZ_STN,0))&lt;&gt;"",(AD253-INDEX(TZ_STD,MATCH(P253,TZ_STN,0))/24)&gt;=INDEX(TZ_DSTS,MATCH(P253,TZ_STN,0)),(AD253-INDEX(TZ_STD,MATCH(P253,TZ_STN,0))/24)&lt;INDEX(TZ_DSTE,MATCH(P253,TZ_STN,0))),INDEX(TZ_DST,MATCH(P253,TZ_STN,0)),INDEX(TZ_STD,MATCH(P253,TZ_STN,0))))/24,"")</f>
        <v/>
      </c>
      <c r="AH253" s="65" t="str">
        <f aca="false">IFERROR(IF(N253="N/A – rule","N/A – RULE",IF(TRIM(U253)="N/A",IF(AT253=0,"INVALID – N/A not permitted for this check",IF(AND(TRIM(AB253)&lt;&gt;"",TRIM(AB253)&lt;&gt;"Closed"),"INVALID – corrective action still open",IF(AND(NOT(OR(LEN(AZ253)&lt;15,ISNUMBER(MATCH(AZ253,L_Placeholder,0)))),NOT(OR(LEN(AU253)&lt;2,ISNUMBER(MATCH(AU253,L_Placeholder,0)))),NOT(OR(LEN(AX253)&lt;2,ISNUMBER(MATCH(AX253,L_Placeholder,0)))),TRIM(AE253)&lt;&gt;TRIM(T253)),"N/A – JUSTIFIED","INVALID – N/A needs a real justification (15+ chars), PIC and a different verifier"))),IF(OR(TRIM(U253)="Pass",TRIM(U253)="Pass after CA"),IF(NOT(ISNUMBER(AD253)),"INVALID – completion time missing",IF(OR(LEN(AU253)&lt;2,ISNUMBER(MATCH(AU253,L_Placeholder,0))),"INVALID – PIC missing",IF(OR(LEN(AV253)&lt;2,ISNUMBER(MATCH(AV253,L_Placeholder,0))),"INVALID – result / assessment missing",IF(OR(OR(LEN(AW253)&lt;3,ISNUMBER(MATCH(AW253,L_Placeholder,0))),SUMPRODUCT(--ISNUMBER(SEARCH(L_EvidencePhrase,AW253)))&gt;0),"INVALID – evidence missing, placeholder or not yet on file",IF(OR(LEN(AX253)&lt;2,ISNUMBER(MATCH(AX253,L_Placeholder,0))),"INVALID – verifier missing",IF(AX253=AU253,"INVALID – verifier must be someone other than the PIC",IF(AND(TRIM(U253)="Pass",SUMPRODUCT(--ISNUMBER(SEARCH(L_ResultBad,AV253)))&gt;0),"INVALID – result describes a problem: use Fail, then Pass after CA",IF(AND(AQ253=1,OR(LEN(AY253)&lt;3,ISNUMBER(MATCH(AY253,L_Placeholder,0)))),"INVALID – batch ID missing or placeholder",IF(AND(AR253=1,OR(NOT(ISNUMBER(X253)),NOT(ISNUMBER(Y253)))),"INVALID – expected/actual qty missing",IF(AND(AR253=1,OR(X253&lt;=0,Y253&lt;0)),"INVALID – expected qty must be above 0 and actual not negative",IF(AH236="N/A – JUSTIFIED","INVALID – preparation row F07-T12-13 is N/A",IF(AND(AR253=1,ISNUMBER(X236),X253&lt;&gt;X236),"INVALID – expected qty differs from preparation check F07-T12-13",IF(BB253&lt;&gt;"",BB253,IF(AND(AS253=1,Documents!$J$11&lt;&gt;"ON FILE"),"INVALID – GLD not on file (Documents sheet)",IF(AND(AS253=2,Documents!$O$11&lt;&gt;"ON FILE"),"INVALID – menu checklist not on file (Documents sheet)",IF(AND(AS253=3,NOT(ISNUMBER(Flights!$AX$11))),"INVALID – enter carrying flight KUL departure (Flights AX)",IF(AND(AS253=3,OR(Flights!$AZ$11&gt;Flights!$AA$11,Flights!$AX$11&lt;Flights!$AA$11-3)),"INVALID – carrying flight (Flights AX) cannot arrive before this leg's STD, or is over 3 days early",IF(AG253&gt;AsOfUTC,"INVALID – completion time is in the future",IF(AND(ISNUMBER(S253),AG253&lt;S253),IF(H253="Physical uplift","INVALID – before uplift window (cannot confirm loading)","INVALID – before valid window"),IF(AG253&gt;Flights!$AA$11,"INVALID – completed after departure (cannot establish readiness)",IF(AND(H253="Preparation",AG253&gt;IF(ISNUMBER(Flights!$BA$11),MIN(Flights!$BA$11,Flights!$AA$11),Flights!$AA$11)),"INVALID – completed after loading / departure (cannot establish readiness)",IF(AND(H253="Physical uplift",AG253&gt;Q253),"INVALID – recorded after the loading flight departed",IF(AG253&gt;Q253,"COMPLETE – LATE","COMPLETE"))))))))))))))))))))))),IF(TRIM(U253)="Fail","FAIL – DISCREPANCY",IF(AND(TRIM(U253)&lt;&gt;"",TRIM(U253)&lt;&gt;"Not started",TRIM(U253)&lt;&gt;"In progress"),"INVALID – unrecognised status (use the list)",IF(AsOfUTC&gt;Q253,"OVERDUE",IF(N253="Clarification required","OPEN – CLARIFICATION","OPEN"))))))),"INVALID – error value in an input cell")</f>
        <v>OPEN</v>
      </c>
      <c r="AI253" s="61" t="n">
        <f aca="false">IF(OR(AH253="N/A – RULE",AH253="N/A – JUSTIFIED"),0,1)</f>
        <v>1</v>
      </c>
      <c r="AJ253" s="61" t="n">
        <f aca="false">IF(LEFT(AH253,8)="COMPLETE",1,0)</f>
        <v>0</v>
      </c>
      <c r="AK253" s="61" t="n">
        <f aca="false">IF(AND(AI253=1,AJ253=0,AsOfUTC&gt;Q253),1,0)</f>
        <v>0</v>
      </c>
      <c r="AL253" s="61" t="n">
        <f aca="false">IFERROR(IF(AND(AI253=1,OR(TRIM(U253)="Fail",AND(TRIM(AB253)&lt;&gt;"",TRIM(AB253)&lt;&gt;"Closed"),AND(ISNUMBER(AF253),AF253&lt;&gt;0,TRIM(U253)&lt;&gt;"Pass after CA"))),1,0),1)</f>
        <v>0</v>
      </c>
      <c r="AM253" s="61" t="n">
        <f aca="false">IF(LEFT(AH253,7)="INVALID",1,0)</f>
        <v>0</v>
      </c>
      <c r="AN253" s="61" t="n">
        <f aca="false">IF(AND(N253="Clarification required",AI253=1,AJ253=0),1,0)</f>
        <v>0</v>
      </c>
      <c r="AO253" s="61" t="str">
        <f aca="false">IF(AK253=1,SUM(AK$5:AK253),"")</f>
        <v/>
      </c>
      <c r="AP253" s="61" t="str">
        <f aca="false">IF(AL253=1,SUM(AL$5:AL253),"")</f>
        <v/>
      </c>
      <c r="AQ253" s="61" t="n">
        <v>0</v>
      </c>
      <c r="AR253" s="61" t="n">
        <v>0</v>
      </c>
      <c r="AS253" s="61" t="n">
        <v>0</v>
      </c>
      <c r="AT253" s="61" t="n">
        <v>0</v>
      </c>
      <c r="AU253" s="61" t="str">
        <f aca="false">SUBSTITUTE(SUBSTITUTE(SUBSTITUTE(SUBSTITUTE(SUBSTITUTE(SUBSTITUTE(SUBSTITUTE(SUBSTITUTE(SUBSTITUTE(SUBSTITUTE(SUBSTITUTE(SUBSTITUTE(SUBSTITUTE(LOWER(T253&amp;""),CHAR(160),"")," ",""),".",""),"-",""),"/",""),"?",""),"_",""),",",""),"[",""),"]",""),"(",""),")",""),"*","")</f>
        <v/>
      </c>
      <c r="AV253" s="61" t="str">
        <f aca="false">SUBSTITUTE(SUBSTITUTE(SUBSTITUTE(SUBSTITUTE(SUBSTITUTE(SUBSTITUTE(SUBSTITUTE(SUBSTITUTE(SUBSTITUTE(SUBSTITUTE(SUBSTITUTE(SUBSTITUTE(SUBSTITUTE(LOWER(V253&amp;""),CHAR(160),"")," ",""),".",""),"-",""),"/",""),"?",""),"_",""),",",""),"[",""),"]",""),"(",""),")",""),"*","")</f>
        <v/>
      </c>
      <c r="AW253" s="61" t="str">
        <f aca="false">SUBSTITUTE(SUBSTITUTE(SUBSTITUTE(SUBSTITUTE(SUBSTITUTE(SUBSTITUTE(SUBSTITUTE(SUBSTITUTE(SUBSTITUTE(SUBSTITUTE(SUBSTITUTE(SUBSTITUTE(SUBSTITUTE(LOWER(Z253&amp;""),CHAR(160),"")," ",""),".",""),"-",""),"/",""),"?",""),"_",""),",",""),"[",""),"]",""),"(",""),")",""),"*","")</f>
        <v/>
      </c>
      <c r="AX253" s="61" t="str">
        <f aca="false">SUBSTITUTE(SUBSTITUTE(SUBSTITUTE(SUBSTITUTE(SUBSTITUTE(SUBSTITUTE(SUBSTITUTE(SUBSTITUTE(SUBSTITUTE(SUBSTITUTE(SUBSTITUTE(SUBSTITUTE(SUBSTITUTE(LOWER(AE253&amp;""),CHAR(160),"")," ",""),".",""),"-",""),"/",""),"?",""),"_",""),",",""),"[",""),"]",""),"(",""),")",""),"*","")</f>
        <v/>
      </c>
      <c r="AY253" s="61" t="str">
        <f aca="false">SUBSTITUTE(SUBSTITUTE(SUBSTITUTE(SUBSTITUTE(SUBSTITUTE(SUBSTITUTE(SUBSTITUTE(SUBSTITUTE(SUBSTITUTE(SUBSTITUTE(SUBSTITUTE(SUBSTITUTE(SUBSTITUTE(LOWER(W253&amp;""),CHAR(160),"")," ",""),".",""),"-",""),"/",""),"?",""),"_",""),",",""),"[",""),"]",""),"(",""),")",""),"*","")</f>
        <v/>
      </c>
      <c r="AZ253" s="61" t="str">
        <f aca="false">SUBSTITUTE(SUBSTITUTE(SUBSTITUTE(SUBSTITUTE(SUBSTITUTE(SUBSTITUTE(SUBSTITUTE(SUBSTITUTE(SUBSTITUTE(SUBSTITUTE(SUBSTITUTE(SUBSTITUTE(SUBSTITUTE(LOWER(AC253&amp;""),CHAR(160),"")," ",""),".",""),"-",""),"/",""),"?",""),"_",""),",",""),"[",""),"]",""),"(",""),")",""),"*","")</f>
        <v/>
      </c>
      <c r="BA253" s="61" t="str">
        <f aca="false">SUBSTITUTE(SUBSTITUTE(SUBSTITUTE(SUBSTITUTE(SUBSTITUTE(SUBSTITUTE(SUBSTITUTE(SUBSTITUTE(SUBSTITUTE(SUBSTITUTE(SUBSTITUTE(SUBSTITUTE(SUBSTITUTE(LOWER(AA253&amp;""),CHAR(160),"")," ",""),".",""),"-",""),"/",""),"?",""),"_",""),",",""),"[",""),"]",""),"(",""),")",""),"*","")</f>
        <v/>
      </c>
      <c r="BB253" s="61" t="str">
        <f aca="false">IF(AND(TRIM(U253)="Pass",ISNUMBER(AF253)),IF(AF253&lt;&gt;0,"INVALID – qty variance: use Fail or Pass after CA",""),"")&amp;IF(AND(TRIM(U253)="Pass after CA",ISNUMBER(AF253)),IF(AF253&lt;&gt;0,"INVALID – after the corrective action the actual qty must equal expected (update Actual)",""),"")&amp;IF(AND(TRIM(U253)="Pass",TRIM(AB253)&lt;&gt;"",TRIM(AB253)&lt;&gt;"Closed"),"INVALID – corrective action not closed: use Fail, then Pass after CA","")&amp;IF(AND(TRIM(AA253)&lt;&gt;"",TRIM(AB253)=""),"INVALID – CA status missing for the recorded corrective action","")&amp;IF(AND(TRIM(U253)="Pass after CA",OR(OR(LEN(BA253)&lt;5,ISNUMBER(MATCH(BA253,L_Placeholder,0))),TRIM(AB253)&lt;&gt;"Closed")),"INVALID – corrective action not recorded/closed","")</f>
        <v/>
      </c>
    </row>
    <row r="254" customFormat="false" ht="39.75" hidden="false" customHeight="true" outlineLevel="0" collapsed="false">
      <c r="A254" s="57" t="s">
        <v>803</v>
      </c>
      <c r="B254" s="57" t="s">
        <v>232</v>
      </c>
      <c r="C254" s="57" t="str">
        <f aca="false">Flights!$F$11</f>
        <v>MH0003</v>
      </c>
      <c r="D254" s="58" t="n">
        <f aca="false">Flights!$D$11</f>
        <v>46304</v>
      </c>
      <c r="E254" s="57" t="str">
        <f aca="false">Flights!$G$11&amp;"-"&amp;Flights!$H$11</f>
        <v>LHR-KUL</v>
      </c>
      <c r="F254" s="57" t="str">
        <f aca="false">Flights!$K$11</f>
        <v>BC</v>
      </c>
      <c r="G254" s="57" t="s">
        <v>437</v>
      </c>
      <c r="H254" s="57" t="s">
        <v>438</v>
      </c>
      <c r="I254" s="57" t="s">
        <v>477</v>
      </c>
      <c r="J254" s="57" t="s">
        <v>521</v>
      </c>
      <c r="K254" s="67" t="s">
        <v>479</v>
      </c>
      <c r="L254" s="67" t="s">
        <v>720</v>
      </c>
      <c r="M254" s="67" t="s">
        <v>429</v>
      </c>
      <c r="N254" s="67" t="s">
        <v>361</v>
      </c>
      <c r="O254" s="67"/>
      <c r="P254" s="57" t="s">
        <v>183</v>
      </c>
      <c r="Q254" s="59" t="n">
        <f aca="false">ROUND((Flights!$AF$11)*1440,0)/1440</f>
        <v>46304.4166666667</v>
      </c>
      <c r="R254" s="59" t="n">
        <f aca="false">Q254+(IF(AND(INDEX(TZ_DSTS,MATCH(P254,TZ_STN,0))&lt;&gt;"",Q254&gt;=INDEX(TZ_DSTS,MATCH(P254,TZ_STN,0)),Q254&lt;INDEX(TZ_DSTE,MATCH(P254,TZ_STN,0))),INDEX(TZ_DST,MATCH(P254,TZ_STN,0)),INDEX(TZ_STD,MATCH(P254,TZ_STN,0))))/24</f>
        <v>46304.4583333333</v>
      </c>
      <c r="S254" s="59" t="n">
        <f aca="false">IF(ISNUMBER(Flights!$AZ$11),MAX(Q254-UpliftWindowH/24,Flights!$AZ$11),Q254-UpliftWindowH/24)</f>
        <v>46304.4166666667</v>
      </c>
      <c r="T254" s="60"/>
      <c r="U254" s="60"/>
      <c r="V254" s="60"/>
      <c r="W254" s="61"/>
      <c r="X254" s="60"/>
      <c r="Y254" s="60"/>
      <c r="Z254" s="60"/>
      <c r="AA254" s="60"/>
      <c r="AB254" s="60"/>
      <c r="AC254" s="60"/>
      <c r="AD254" s="66"/>
      <c r="AE254" s="60"/>
      <c r="AF254" s="61" t="str">
        <f aca="false">IF(AND(ISNUMBER(X254),ISNUMBER(Y254)),Y254-X254,"")</f>
        <v/>
      </c>
      <c r="AG254" s="62" t="str">
        <f aca="false">IF(ISNUMBER(AD254),AD254-(IF(AND(INDEX(TZ_DSTS,MATCH(P254,TZ_STN,0))&lt;&gt;"",(AD254-INDEX(TZ_STD,MATCH(P254,TZ_STN,0))/24)&gt;=INDEX(TZ_DSTS,MATCH(P254,TZ_STN,0)),(AD254-INDEX(TZ_STD,MATCH(P254,TZ_STN,0))/24)&lt;INDEX(TZ_DSTE,MATCH(P254,TZ_STN,0))),INDEX(TZ_DST,MATCH(P254,TZ_STN,0)),INDEX(TZ_STD,MATCH(P254,TZ_STN,0))))/24,"")</f>
        <v/>
      </c>
      <c r="AH254" s="65" t="str">
        <f aca="false">IFERROR(IF(N254="N/A – rule","N/A – RULE",IF(TRIM(U254)="N/A",IF(AT254=0,"INVALID – N/A not permitted for this check",IF(AND(TRIM(AB254)&lt;&gt;"",TRIM(AB254)&lt;&gt;"Closed"),"INVALID – corrective action still open",IF(AND(NOT(OR(LEN(AZ254)&lt;15,ISNUMBER(MATCH(AZ254,L_Placeholder,0)))),NOT(OR(LEN(AU254)&lt;2,ISNUMBER(MATCH(AU254,L_Placeholder,0)))),NOT(OR(LEN(AX254)&lt;2,ISNUMBER(MATCH(AX254,L_Placeholder,0)))),TRIM(AE254)&lt;&gt;TRIM(T254)),"N/A – JUSTIFIED","INVALID – N/A needs a real justification (15+ chars), PIC and a different verifier"))),IF(OR(TRIM(U254)="Pass",TRIM(U254)="Pass after CA"),IF(NOT(ISNUMBER(AD254)),"INVALID – completion time missing",IF(OR(LEN(AU254)&lt;2,ISNUMBER(MATCH(AU254,L_Placeholder,0))),"INVALID – PIC missing",IF(OR(LEN(AV254)&lt;2,ISNUMBER(MATCH(AV254,L_Placeholder,0))),"INVALID – result / assessment missing",IF(OR(OR(LEN(AW254)&lt;3,ISNUMBER(MATCH(AW254,L_Placeholder,0))),SUMPRODUCT(--ISNUMBER(SEARCH(L_EvidencePhrase,AW254)))&gt;0),"INVALID – evidence missing, placeholder or not yet on file",IF(OR(LEN(AX254)&lt;2,ISNUMBER(MATCH(AX254,L_Placeholder,0))),"INVALID – verifier missing",IF(AX254=AU254,"INVALID – verifier must be someone other than the PIC",IF(AND(TRIM(U254)="Pass",SUMPRODUCT(--ISNUMBER(SEARCH(L_ResultBad,AV254)))&gt;0),"INVALID – result describes a problem: use Fail, then Pass after CA",IF(AND(AQ254=1,OR(LEN(AY254)&lt;3,ISNUMBER(MATCH(AY254,L_Placeholder,0)))),"INVALID – batch ID missing or placeholder",IF(AND(AR254=1,OR(NOT(ISNUMBER(X254)),NOT(ISNUMBER(Y254)))),"INVALID – expected/actual qty missing",IF(AND(AR254=1,OR(X254&lt;=0,Y254&lt;0)),"INVALID – expected qty must be above 0 and actual not negative",IF(AH237="N/A – JUSTIFIED","INVALID – preparation row F07-T12-14 is N/A",IF(AND(AR254=1,ISNUMBER(X237),X254&lt;&gt;X237),"INVALID – expected qty differs from preparation check F07-T12-14",IF(BB254&lt;&gt;"",BB254,IF(AND(AS254=1,Documents!$J$11&lt;&gt;"ON FILE"),"INVALID – GLD not on file (Documents sheet)",IF(AND(AS254=2,Documents!$O$11&lt;&gt;"ON FILE"),"INVALID – menu checklist not on file (Documents sheet)",IF(AND(AS254=3,NOT(ISNUMBER(Flights!$AX$11))),"INVALID – enter carrying flight KUL departure (Flights AX)",IF(AND(AS254=3,OR(Flights!$AZ$11&gt;Flights!$AA$11,Flights!$AX$11&lt;Flights!$AA$11-3)),"INVALID – carrying flight (Flights AX) cannot arrive before this leg's STD, or is over 3 days early",IF(AG254&gt;AsOfUTC,"INVALID – completion time is in the future",IF(AND(ISNUMBER(S254),AG254&lt;S254),IF(H254="Physical uplift","INVALID – before uplift window (cannot confirm loading)","INVALID – before valid window"),IF(AG254&gt;Flights!$AA$11,"INVALID – completed after departure (cannot establish readiness)",IF(AND(H254="Preparation",AG254&gt;IF(ISNUMBER(Flights!$BA$11),MIN(Flights!$BA$11,Flights!$AA$11),Flights!$AA$11)),"INVALID – completed after loading / departure (cannot establish readiness)",IF(AND(H254="Physical uplift",AG254&gt;Q254),"INVALID – recorded after the loading flight departed",IF(AG254&gt;Q254,"COMPLETE – LATE","COMPLETE"))))))))))))))))))))))),IF(TRIM(U254)="Fail","FAIL – DISCREPANCY",IF(AND(TRIM(U254)&lt;&gt;"",TRIM(U254)&lt;&gt;"Not started",TRIM(U254)&lt;&gt;"In progress"),"INVALID – unrecognised status (use the list)",IF(AsOfUTC&gt;Q254,"OVERDUE",IF(N254="Clarification required","OPEN – CLARIFICATION","OPEN"))))))),"INVALID – error value in an input cell")</f>
        <v>OPEN</v>
      </c>
      <c r="AI254" s="61" t="n">
        <f aca="false">IF(OR(AH254="N/A – RULE",AH254="N/A – JUSTIFIED"),0,1)</f>
        <v>1</v>
      </c>
      <c r="AJ254" s="61" t="n">
        <f aca="false">IF(LEFT(AH254,8)="COMPLETE",1,0)</f>
        <v>0</v>
      </c>
      <c r="AK254" s="61" t="n">
        <f aca="false">IF(AND(AI254=1,AJ254=0,AsOfUTC&gt;Q254),1,0)</f>
        <v>0</v>
      </c>
      <c r="AL254" s="61" t="n">
        <f aca="false">IFERROR(IF(AND(AI254=1,OR(TRIM(U254)="Fail",AND(TRIM(AB254)&lt;&gt;"",TRIM(AB254)&lt;&gt;"Closed"),AND(ISNUMBER(AF254),AF254&lt;&gt;0,TRIM(U254)&lt;&gt;"Pass after CA"))),1,0),1)</f>
        <v>0</v>
      </c>
      <c r="AM254" s="61" t="n">
        <f aca="false">IF(LEFT(AH254,7)="INVALID",1,0)</f>
        <v>0</v>
      </c>
      <c r="AN254" s="61" t="n">
        <f aca="false">IF(AND(N254="Clarification required",AI254=1,AJ254=0),1,0)</f>
        <v>0</v>
      </c>
      <c r="AO254" s="61" t="str">
        <f aca="false">IF(AK254=1,SUM(AK$5:AK254),"")</f>
        <v/>
      </c>
      <c r="AP254" s="61" t="str">
        <f aca="false">IF(AL254=1,SUM(AL$5:AL254),"")</f>
        <v/>
      </c>
      <c r="AQ254" s="61" t="n">
        <v>0</v>
      </c>
      <c r="AR254" s="61" t="n">
        <v>0</v>
      </c>
      <c r="AS254" s="61" t="n">
        <v>0</v>
      </c>
      <c r="AT254" s="61" t="n">
        <v>0</v>
      </c>
      <c r="AU254" s="61" t="str">
        <f aca="false">SUBSTITUTE(SUBSTITUTE(SUBSTITUTE(SUBSTITUTE(SUBSTITUTE(SUBSTITUTE(SUBSTITUTE(SUBSTITUTE(SUBSTITUTE(SUBSTITUTE(SUBSTITUTE(SUBSTITUTE(SUBSTITUTE(LOWER(T254&amp;""),CHAR(160),"")," ",""),".",""),"-",""),"/",""),"?",""),"_",""),",",""),"[",""),"]",""),"(",""),")",""),"*","")</f>
        <v/>
      </c>
      <c r="AV254" s="61" t="str">
        <f aca="false">SUBSTITUTE(SUBSTITUTE(SUBSTITUTE(SUBSTITUTE(SUBSTITUTE(SUBSTITUTE(SUBSTITUTE(SUBSTITUTE(SUBSTITUTE(SUBSTITUTE(SUBSTITUTE(SUBSTITUTE(SUBSTITUTE(LOWER(V254&amp;""),CHAR(160),"")," ",""),".",""),"-",""),"/",""),"?",""),"_",""),",",""),"[",""),"]",""),"(",""),")",""),"*","")</f>
        <v/>
      </c>
      <c r="AW254" s="61" t="str">
        <f aca="false">SUBSTITUTE(SUBSTITUTE(SUBSTITUTE(SUBSTITUTE(SUBSTITUTE(SUBSTITUTE(SUBSTITUTE(SUBSTITUTE(SUBSTITUTE(SUBSTITUTE(SUBSTITUTE(SUBSTITUTE(SUBSTITUTE(LOWER(Z254&amp;""),CHAR(160),"")," ",""),".",""),"-",""),"/",""),"?",""),"_",""),",",""),"[",""),"]",""),"(",""),")",""),"*","")</f>
        <v/>
      </c>
      <c r="AX254" s="61" t="str">
        <f aca="false">SUBSTITUTE(SUBSTITUTE(SUBSTITUTE(SUBSTITUTE(SUBSTITUTE(SUBSTITUTE(SUBSTITUTE(SUBSTITUTE(SUBSTITUTE(SUBSTITUTE(SUBSTITUTE(SUBSTITUTE(SUBSTITUTE(LOWER(AE254&amp;""),CHAR(160),"")," ",""),".",""),"-",""),"/",""),"?",""),"_",""),",",""),"[",""),"]",""),"(",""),")",""),"*","")</f>
        <v/>
      </c>
      <c r="AY254" s="61" t="str">
        <f aca="false">SUBSTITUTE(SUBSTITUTE(SUBSTITUTE(SUBSTITUTE(SUBSTITUTE(SUBSTITUTE(SUBSTITUTE(SUBSTITUTE(SUBSTITUTE(SUBSTITUTE(SUBSTITUTE(SUBSTITUTE(SUBSTITUTE(LOWER(W254&amp;""),CHAR(160),"")," ",""),".",""),"-",""),"/",""),"?",""),"_",""),",",""),"[",""),"]",""),"(",""),")",""),"*","")</f>
        <v/>
      </c>
      <c r="AZ254" s="61" t="str">
        <f aca="false">SUBSTITUTE(SUBSTITUTE(SUBSTITUTE(SUBSTITUTE(SUBSTITUTE(SUBSTITUTE(SUBSTITUTE(SUBSTITUTE(SUBSTITUTE(SUBSTITUTE(SUBSTITUTE(SUBSTITUTE(SUBSTITUTE(LOWER(AC254&amp;""),CHAR(160),"")," ",""),".",""),"-",""),"/",""),"?",""),"_",""),",",""),"[",""),"]",""),"(",""),")",""),"*","")</f>
        <v/>
      </c>
      <c r="BA254" s="61" t="str">
        <f aca="false">SUBSTITUTE(SUBSTITUTE(SUBSTITUTE(SUBSTITUTE(SUBSTITUTE(SUBSTITUTE(SUBSTITUTE(SUBSTITUTE(SUBSTITUTE(SUBSTITUTE(SUBSTITUTE(SUBSTITUTE(SUBSTITUTE(LOWER(AA254&amp;""),CHAR(160),"")," ",""),".",""),"-",""),"/",""),"?",""),"_",""),",",""),"[",""),"]",""),"(",""),")",""),"*","")</f>
        <v/>
      </c>
      <c r="BB254" s="61" t="str">
        <f aca="false">IF(AND(TRIM(U254)="Pass",ISNUMBER(AF254)),IF(AF254&lt;&gt;0,"INVALID – qty variance: use Fail or Pass after CA",""),"")&amp;IF(AND(TRIM(U254)="Pass after CA",ISNUMBER(AF254)),IF(AF254&lt;&gt;0,"INVALID – after the corrective action the actual qty must equal expected (update Actual)",""),"")&amp;IF(AND(TRIM(U254)="Pass",TRIM(AB254)&lt;&gt;"",TRIM(AB254)&lt;&gt;"Closed"),"INVALID – corrective action not closed: use Fail, then Pass after CA","")&amp;IF(AND(TRIM(AA254)&lt;&gt;"",TRIM(AB254)=""),"INVALID – CA status missing for the recorded corrective action","")&amp;IF(AND(TRIM(U254)="Pass after CA",OR(OR(LEN(BA254)&lt;5,ISNUMBER(MATCH(BA254,L_Placeholder,0))),TRIM(AB254)&lt;&gt;"Closed")),"INVALID – corrective action not recorded/closed","")</f>
        <v/>
      </c>
    </row>
    <row r="255" customFormat="false" ht="39.75" hidden="false" customHeight="true" outlineLevel="0" collapsed="false">
      <c r="A255" s="57" t="s">
        <v>804</v>
      </c>
      <c r="B255" s="57" t="s">
        <v>232</v>
      </c>
      <c r="C255" s="57" t="str">
        <f aca="false">Flights!$F$11</f>
        <v>MH0003</v>
      </c>
      <c r="D255" s="58" t="n">
        <f aca="false">Flights!$D$11</f>
        <v>46304</v>
      </c>
      <c r="E255" s="57" t="str">
        <f aca="false">Flights!$G$11&amp;"-"&amp;Flights!$H$11</f>
        <v>LHR-KUL</v>
      </c>
      <c r="F255" s="57" t="str">
        <f aca="false">Flights!$K$11</f>
        <v>BC</v>
      </c>
      <c r="G255" s="57" t="s">
        <v>437</v>
      </c>
      <c r="H255" s="57" t="s">
        <v>438</v>
      </c>
      <c r="I255" s="57" t="s">
        <v>477</v>
      </c>
      <c r="J255" s="57" t="s">
        <v>524</v>
      </c>
      <c r="K255" s="67" t="s">
        <v>479</v>
      </c>
      <c r="L255" s="67" t="s">
        <v>722</v>
      </c>
      <c r="M255" s="67" t="s">
        <v>429</v>
      </c>
      <c r="N255" s="67" t="s">
        <v>361</v>
      </c>
      <c r="O255" s="67"/>
      <c r="P255" s="57" t="s">
        <v>183</v>
      </c>
      <c r="Q255" s="59" t="n">
        <f aca="false">ROUND((Flights!$AF$11)*1440,0)/1440</f>
        <v>46304.4166666667</v>
      </c>
      <c r="R255" s="59" t="n">
        <f aca="false">Q255+(IF(AND(INDEX(TZ_DSTS,MATCH(P255,TZ_STN,0))&lt;&gt;"",Q255&gt;=INDEX(TZ_DSTS,MATCH(P255,TZ_STN,0)),Q255&lt;INDEX(TZ_DSTE,MATCH(P255,TZ_STN,0))),INDEX(TZ_DST,MATCH(P255,TZ_STN,0)),INDEX(TZ_STD,MATCH(P255,TZ_STN,0))))/24</f>
        <v>46304.4583333333</v>
      </c>
      <c r="S255" s="59" t="n">
        <f aca="false">IF(ISNUMBER(Flights!$AZ$11),MAX(Q255-UpliftWindowH/24,Flights!$AZ$11),Q255-UpliftWindowH/24)</f>
        <v>46304.4166666667</v>
      </c>
      <c r="T255" s="60"/>
      <c r="U255" s="60"/>
      <c r="V255" s="60"/>
      <c r="W255" s="61"/>
      <c r="X255" s="60"/>
      <c r="Y255" s="60"/>
      <c r="Z255" s="60"/>
      <c r="AA255" s="60"/>
      <c r="AB255" s="60"/>
      <c r="AC255" s="60"/>
      <c r="AD255" s="66"/>
      <c r="AE255" s="60"/>
      <c r="AF255" s="61" t="str">
        <f aca="false">IF(AND(ISNUMBER(X255),ISNUMBER(Y255)),Y255-X255,"")</f>
        <v/>
      </c>
      <c r="AG255" s="62" t="str">
        <f aca="false">IF(ISNUMBER(AD255),AD255-(IF(AND(INDEX(TZ_DSTS,MATCH(P255,TZ_STN,0))&lt;&gt;"",(AD255-INDEX(TZ_STD,MATCH(P255,TZ_STN,0))/24)&gt;=INDEX(TZ_DSTS,MATCH(P255,TZ_STN,0)),(AD255-INDEX(TZ_STD,MATCH(P255,TZ_STN,0))/24)&lt;INDEX(TZ_DSTE,MATCH(P255,TZ_STN,0))),INDEX(TZ_DST,MATCH(P255,TZ_STN,0)),INDEX(TZ_STD,MATCH(P255,TZ_STN,0))))/24,"")</f>
        <v/>
      </c>
      <c r="AH255" s="65" t="str">
        <f aca="false">IFERROR(IF(N255="N/A – rule","N/A – RULE",IF(TRIM(U255)="N/A",IF(AT255=0,"INVALID – N/A not permitted for this check",IF(AND(TRIM(AB255)&lt;&gt;"",TRIM(AB255)&lt;&gt;"Closed"),"INVALID – corrective action still open",IF(AND(NOT(OR(LEN(AZ255)&lt;15,ISNUMBER(MATCH(AZ255,L_Placeholder,0)))),NOT(OR(LEN(AU255)&lt;2,ISNUMBER(MATCH(AU255,L_Placeholder,0)))),NOT(OR(LEN(AX255)&lt;2,ISNUMBER(MATCH(AX255,L_Placeholder,0)))),TRIM(AE255)&lt;&gt;TRIM(T255)),"N/A – JUSTIFIED","INVALID – N/A needs a real justification (15+ chars), PIC and a different verifier"))),IF(OR(TRIM(U255)="Pass",TRIM(U255)="Pass after CA"),IF(NOT(ISNUMBER(AD255)),"INVALID – completion time missing",IF(OR(LEN(AU255)&lt;2,ISNUMBER(MATCH(AU255,L_Placeholder,0))),"INVALID – PIC missing",IF(OR(LEN(AV255)&lt;2,ISNUMBER(MATCH(AV255,L_Placeholder,0))),"INVALID – result / assessment missing",IF(OR(OR(LEN(AW255)&lt;3,ISNUMBER(MATCH(AW255,L_Placeholder,0))),SUMPRODUCT(--ISNUMBER(SEARCH(L_EvidencePhrase,AW255)))&gt;0),"INVALID – evidence missing, placeholder or not yet on file",IF(OR(LEN(AX255)&lt;2,ISNUMBER(MATCH(AX255,L_Placeholder,0))),"INVALID – verifier missing",IF(AX255=AU255,"INVALID – verifier must be someone other than the PIC",IF(AND(TRIM(U255)="Pass",SUMPRODUCT(--ISNUMBER(SEARCH(L_ResultBad,AV255)))&gt;0),"INVALID – result describes a problem: use Fail, then Pass after CA",IF(AND(AQ255=1,OR(LEN(AY255)&lt;3,ISNUMBER(MATCH(AY255,L_Placeholder,0)))),"INVALID – batch ID missing or placeholder",IF(AND(AR255=1,OR(NOT(ISNUMBER(X255)),NOT(ISNUMBER(Y255)))),"INVALID – expected/actual qty missing",IF(AND(AR255=1,OR(X255&lt;=0,Y255&lt;0)),"INVALID – expected qty must be above 0 and actual not negative",IF(AH238="N/A – JUSTIFIED","INVALID – preparation row F07-T12-15 is N/A",IF(AND(AR255=1,ISNUMBER(X238),X255&lt;&gt;X238),"INVALID – expected qty differs from preparation check F07-T12-15",IF(BB255&lt;&gt;"",BB255,IF(AND(AS255=1,Documents!$J$11&lt;&gt;"ON FILE"),"INVALID – GLD not on file (Documents sheet)",IF(AND(AS255=2,Documents!$O$11&lt;&gt;"ON FILE"),"INVALID – menu checklist not on file (Documents sheet)",IF(AND(AS255=3,NOT(ISNUMBER(Flights!$AX$11))),"INVALID – enter carrying flight KUL departure (Flights AX)",IF(AND(AS255=3,OR(Flights!$AZ$11&gt;Flights!$AA$11,Flights!$AX$11&lt;Flights!$AA$11-3)),"INVALID – carrying flight (Flights AX) cannot arrive before this leg's STD, or is over 3 days early",IF(AG255&gt;AsOfUTC,"INVALID – completion time is in the future",IF(AND(ISNUMBER(S255),AG255&lt;S255),IF(H255="Physical uplift","INVALID – before uplift window (cannot confirm loading)","INVALID – before valid window"),IF(AG255&gt;Flights!$AA$11,"INVALID – completed after departure (cannot establish readiness)",IF(AND(H255="Preparation",AG255&gt;IF(ISNUMBER(Flights!$BA$11),MIN(Flights!$BA$11,Flights!$AA$11),Flights!$AA$11)),"INVALID – completed after loading / departure (cannot establish readiness)",IF(AND(H255="Physical uplift",AG255&gt;Q255),"INVALID – recorded after the loading flight departed",IF(AG255&gt;Q255,"COMPLETE – LATE","COMPLETE"))))))))))))))))))))))),IF(TRIM(U255)="Fail","FAIL – DISCREPANCY",IF(AND(TRIM(U255)&lt;&gt;"",TRIM(U255)&lt;&gt;"Not started",TRIM(U255)&lt;&gt;"In progress"),"INVALID – unrecognised status (use the list)",IF(AsOfUTC&gt;Q255,"OVERDUE",IF(N255="Clarification required","OPEN – CLARIFICATION","OPEN"))))))),"INVALID – error value in an input cell")</f>
        <v>OPEN</v>
      </c>
      <c r="AI255" s="61" t="n">
        <f aca="false">IF(OR(AH255="N/A – RULE",AH255="N/A – JUSTIFIED"),0,1)</f>
        <v>1</v>
      </c>
      <c r="AJ255" s="61" t="n">
        <f aca="false">IF(LEFT(AH255,8)="COMPLETE",1,0)</f>
        <v>0</v>
      </c>
      <c r="AK255" s="61" t="n">
        <f aca="false">IF(AND(AI255=1,AJ255=0,AsOfUTC&gt;Q255),1,0)</f>
        <v>0</v>
      </c>
      <c r="AL255" s="61" t="n">
        <f aca="false">IFERROR(IF(AND(AI255=1,OR(TRIM(U255)="Fail",AND(TRIM(AB255)&lt;&gt;"",TRIM(AB255)&lt;&gt;"Closed"),AND(ISNUMBER(AF255),AF255&lt;&gt;0,TRIM(U255)&lt;&gt;"Pass after CA"))),1,0),1)</f>
        <v>0</v>
      </c>
      <c r="AM255" s="61" t="n">
        <f aca="false">IF(LEFT(AH255,7)="INVALID",1,0)</f>
        <v>0</v>
      </c>
      <c r="AN255" s="61" t="n">
        <f aca="false">IF(AND(N255="Clarification required",AI255=1,AJ255=0),1,0)</f>
        <v>0</v>
      </c>
      <c r="AO255" s="61" t="str">
        <f aca="false">IF(AK255=1,SUM(AK$5:AK255),"")</f>
        <v/>
      </c>
      <c r="AP255" s="61" t="str">
        <f aca="false">IF(AL255=1,SUM(AL$5:AL255),"")</f>
        <v/>
      </c>
      <c r="AQ255" s="61" t="n">
        <v>0</v>
      </c>
      <c r="AR255" s="61" t="n">
        <v>0</v>
      </c>
      <c r="AS255" s="61" t="n">
        <v>0</v>
      </c>
      <c r="AT255" s="61" t="n">
        <v>0</v>
      </c>
      <c r="AU255" s="61" t="str">
        <f aca="false">SUBSTITUTE(SUBSTITUTE(SUBSTITUTE(SUBSTITUTE(SUBSTITUTE(SUBSTITUTE(SUBSTITUTE(SUBSTITUTE(SUBSTITUTE(SUBSTITUTE(SUBSTITUTE(SUBSTITUTE(SUBSTITUTE(LOWER(T255&amp;""),CHAR(160),"")," ",""),".",""),"-",""),"/",""),"?",""),"_",""),",",""),"[",""),"]",""),"(",""),")",""),"*","")</f>
        <v/>
      </c>
      <c r="AV255" s="61" t="str">
        <f aca="false">SUBSTITUTE(SUBSTITUTE(SUBSTITUTE(SUBSTITUTE(SUBSTITUTE(SUBSTITUTE(SUBSTITUTE(SUBSTITUTE(SUBSTITUTE(SUBSTITUTE(SUBSTITUTE(SUBSTITUTE(SUBSTITUTE(LOWER(V255&amp;""),CHAR(160),"")," ",""),".",""),"-",""),"/",""),"?",""),"_",""),",",""),"[",""),"]",""),"(",""),")",""),"*","")</f>
        <v/>
      </c>
      <c r="AW255" s="61" t="str">
        <f aca="false">SUBSTITUTE(SUBSTITUTE(SUBSTITUTE(SUBSTITUTE(SUBSTITUTE(SUBSTITUTE(SUBSTITUTE(SUBSTITUTE(SUBSTITUTE(SUBSTITUTE(SUBSTITUTE(SUBSTITUTE(SUBSTITUTE(LOWER(Z255&amp;""),CHAR(160),"")," ",""),".",""),"-",""),"/",""),"?",""),"_",""),",",""),"[",""),"]",""),"(",""),")",""),"*","")</f>
        <v/>
      </c>
      <c r="AX255" s="61" t="str">
        <f aca="false">SUBSTITUTE(SUBSTITUTE(SUBSTITUTE(SUBSTITUTE(SUBSTITUTE(SUBSTITUTE(SUBSTITUTE(SUBSTITUTE(SUBSTITUTE(SUBSTITUTE(SUBSTITUTE(SUBSTITUTE(SUBSTITUTE(LOWER(AE255&amp;""),CHAR(160),"")," ",""),".",""),"-",""),"/",""),"?",""),"_",""),",",""),"[",""),"]",""),"(",""),")",""),"*","")</f>
        <v/>
      </c>
      <c r="AY255" s="61" t="str">
        <f aca="false">SUBSTITUTE(SUBSTITUTE(SUBSTITUTE(SUBSTITUTE(SUBSTITUTE(SUBSTITUTE(SUBSTITUTE(SUBSTITUTE(SUBSTITUTE(SUBSTITUTE(SUBSTITUTE(SUBSTITUTE(SUBSTITUTE(LOWER(W255&amp;""),CHAR(160),"")," ",""),".",""),"-",""),"/",""),"?",""),"_",""),",",""),"[",""),"]",""),"(",""),")",""),"*","")</f>
        <v/>
      </c>
      <c r="AZ255" s="61" t="str">
        <f aca="false">SUBSTITUTE(SUBSTITUTE(SUBSTITUTE(SUBSTITUTE(SUBSTITUTE(SUBSTITUTE(SUBSTITUTE(SUBSTITUTE(SUBSTITUTE(SUBSTITUTE(SUBSTITUTE(SUBSTITUTE(SUBSTITUTE(LOWER(AC255&amp;""),CHAR(160),"")," ",""),".",""),"-",""),"/",""),"?",""),"_",""),",",""),"[",""),"]",""),"(",""),")",""),"*","")</f>
        <v/>
      </c>
      <c r="BA255" s="61" t="str">
        <f aca="false">SUBSTITUTE(SUBSTITUTE(SUBSTITUTE(SUBSTITUTE(SUBSTITUTE(SUBSTITUTE(SUBSTITUTE(SUBSTITUTE(SUBSTITUTE(SUBSTITUTE(SUBSTITUTE(SUBSTITUTE(SUBSTITUTE(LOWER(AA255&amp;""),CHAR(160),"")," ",""),".",""),"-",""),"/",""),"?",""),"_",""),",",""),"[",""),"]",""),"(",""),")",""),"*","")</f>
        <v/>
      </c>
      <c r="BB255" s="61" t="str">
        <f aca="false">IF(AND(TRIM(U255)="Pass",ISNUMBER(AF255)),IF(AF255&lt;&gt;0,"INVALID – qty variance: use Fail or Pass after CA",""),"")&amp;IF(AND(TRIM(U255)="Pass after CA",ISNUMBER(AF255)),IF(AF255&lt;&gt;0,"INVALID – after the corrective action the actual qty must equal expected (update Actual)",""),"")&amp;IF(AND(TRIM(U255)="Pass",TRIM(AB255)&lt;&gt;"",TRIM(AB255)&lt;&gt;"Closed"),"INVALID – corrective action not closed: use Fail, then Pass after CA","")&amp;IF(AND(TRIM(AA255)&lt;&gt;"",TRIM(AB255)=""),"INVALID – CA status missing for the recorded corrective action","")&amp;IF(AND(TRIM(U255)="Pass after CA",OR(OR(LEN(BA255)&lt;5,ISNUMBER(MATCH(BA255,L_Placeholder,0))),TRIM(AB255)&lt;&gt;"Closed")),"INVALID – corrective action not recorded/closed","")</f>
        <v/>
      </c>
    </row>
    <row r="256" customFormat="false" ht="39.75" hidden="false" customHeight="true" outlineLevel="0" collapsed="false">
      <c r="A256" s="57" t="s">
        <v>805</v>
      </c>
      <c r="B256" s="57" t="s">
        <v>232</v>
      </c>
      <c r="C256" s="57" t="str">
        <f aca="false">Flights!$F$11</f>
        <v>MH0003</v>
      </c>
      <c r="D256" s="58" t="n">
        <f aca="false">Flights!$D$11</f>
        <v>46304</v>
      </c>
      <c r="E256" s="57" t="str">
        <f aca="false">Flights!$G$11&amp;"-"&amp;Flights!$H$11</f>
        <v>LHR-KUL</v>
      </c>
      <c r="F256" s="57" t="str">
        <f aca="false">Flights!$K$11</f>
        <v>BC</v>
      </c>
      <c r="G256" s="57" t="s">
        <v>437</v>
      </c>
      <c r="H256" s="57" t="s">
        <v>438</v>
      </c>
      <c r="I256" s="57" t="s">
        <v>477</v>
      </c>
      <c r="J256" s="57" t="s">
        <v>526</v>
      </c>
      <c r="K256" s="67" t="s">
        <v>594</v>
      </c>
      <c r="L256" s="67" t="s">
        <v>724</v>
      </c>
      <c r="M256" s="67" t="s">
        <v>429</v>
      </c>
      <c r="N256" s="67" t="s">
        <v>361</v>
      </c>
      <c r="O256" s="67" t="s">
        <v>527</v>
      </c>
      <c r="P256" s="57" t="s">
        <v>183</v>
      </c>
      <c r="Q256" s="59" t="n">
        <f aca="false">ROUND((Flights!$AF$11)*1440,0)/1440</f>
        <v>46304.4166666667</v>
      </c>
      <c r="R256" s="59" t="n">
        <f aca="false">Q256+(IF(AND(INDEX(TZ_DSTS,MATCH(P256,TZ_STN,0))&lt;&gt;"",Q256&gt;=INDEX(TZ_DSTS,MATCH(P256,TZ_STN,0)),Q256&lt;INDEX(TZ_DSTE,MATCH(P256,TZ_STN,0))),INDEX(TZ_DST,MATCH(P256,TZ_STN,0)),INDEX(TZ_STD,MATCH(P256,TZ_STN,0))))/24</f>
        <v>46304.4583333333</v>
      </c>
      <c r="S256" s="59" t="n">
        <f aca="false">IF(ISNUMBER(Flights!$AZ$11),MAX(Q256-UpliftWindowH/24,Flights!$AZ$11),Q256-UpliftWindowH/24)</f>
        <v>46304.4166666667</v>
      </c>
      <c r="T256" s="60"/>
      <c r="U256" s="60"/>
      <c r="V256" s="60"/>
      <c r="W256" s="61"/>
      <c r="X256" s="60"/>
      <c r="Y256" s="60"/>
      <c r="Z256" s="60"/>
      <c r="AA256" s="60"/>
      <c r="AB256" s="60"/>
      <c r="AC256" s="60"/>
      <c r="AD256" s="66"/>
      <c r="AE256" s="60"/>
      <c r="AF256" s="61" t="str">
        <f aca="false">IF(AND(ISNUMBER(X256),ISNUMBER(Y256)),Y256-X256,"")</f>
        <v/>
      </c>
      <c r="AG256" s="62" t="str">
        <f aca="false">IF(ISNUMBER(AD256),AD256-(IF(AND(INDEX(TZ_DSTS,MATCH(P256,TZ_STN,0))&lt;&gt;"",(AD256-INDEX(TZ_STD,MATCH(P256,TZ_STN,0))/24)&gt;=INDEX(TZ_DSTS,MATCH(P256,TZ_STN,0)),(AD256-INDEX(TZ_STD,MATCH(P256,TZ_STN,0))/24)&lt;INDEX(TZ_DSTE,MATCH(P256,TZ_STN,0))),INDEX(TZ_DST,MATCH(P256,TZ_STN,0)),INDEX(TZ_STD,MATCH(P256,TZ_STN,0))))/24,"")</f>
        <v/>
      </c>
      <c r="AH256" s="65" t="str">
        <f aca="false">IFERROR(IF(N256="N/A – rule","N/A – RULE",IF(TRIM(U256)="N/A",IF(AT256=0,"INVALID – N/A not permitted for this check",IF(AND(TRIM(AB256)&lt;&gt;"",TRIM(AB256)&lt;&gt;"Closed"),"INVALID – corrective action still open",IF(AND(NOT(OR(LEN(AZ256)&lt;15,ISNUMBER(MATCH(AZ256,L_Placeholder,0)))),NOT(OR(LEN(AU256)&lt;2,ISNUMBER(MATCH(AU256,L_Placeholder,0)))),NOT(OR(LEN(AX256)&lt;2,ISNUMBER(MATCH(AX256,L_Placeholder,0)))),TRIM(AE256)&lt;&gt;TRIM(T256)),"N/A – JUSTIFIED","INVALID – N/A needs a real justification (15+ chars), PIC and a different verifier"))),IF(OR(TRIM(U256)="Pass",TRIM(U256)="Pass after CA"),IF(NOT(ISNUMBER(AD256)),"INVALID – completion time missing",IF(OR(LEN(AU256)&lt;2,ISNUMBER(MATCH(AU256,L_Placeholder,0))),"INVALID – PIC missing",IF(OR(LEN(AV256)&lt;2,ISNUMBER(MATCH(AV256,L_Placeholder,0))),"INVALID – result / assessment missing",IF(OR(OR(LEN(AW256)&lt;3,ISNUMBER(MATCH(AW256,L_Placeholder,0))),SUMPRODUCT(--ISNUMBER(SEARCH(L_EvidencePhrase,AW256)))&gt;0),"INVALID – evidence missing, placeholder or not yet on file",IF(OR(LEN(AX256)&lt;2,ISNUMBER(MATCH(AX256,L_Placeholder,0))),"INVALID – verifier missing",IF(AX256=AU256,"INVALID – verifier must be someone other than the PIC",IF(AND(TRIM(U256)="Pass",SUMPRODUCT(--ISNUMBER(SEARCH(L_ResultBad,AV256)))&gt;0),"INVALID – result describes a problem: use Fail, then Pass after CA",IF(AND(AQ256=1,OR(LEN(AY256)&lt;3,ISNUMBER(MATCH(AY256,L_Placeholder,0)))),"INVALID – batch ID missing or placeholder",IF(AND(AR256=1,OR(NOT(ISNUMBER(X256)),NOT(ISNUMBER(Y256)))),"INVALID – expected/actual qty missing",IF(AND(AR256=1,OR(X256&lt;=0,Y256&lt;0)),"INVALID – expected qty must be above 0 and actual not negative",IF(AH239="N/A – JUSTIFIED","INVALID – preparation row F07-T12-16 is N/A",IF(AND(AR256=1,ISNUMBER(X239),X256&lt;&gt;X239),"INVALID – expected qty differs from preparation check F07-T12-16",IF(BB256&lt;&gt;"",BB256,IF(AND(AS256=1,Documents!$J$11&lt;&gt;"ON FILE"),"INVALID – GLD not on file (Documents sheet)",IF(AND(AS256=2,Documents!$O$11&lt;&gt;"ON FILE"),"INVALID – menu checklist not on file (Documents sheet)",IF(AND(AS256=3,NOT(ISNUMBER(Flights!$AX$11))),"INVALID – enter carrying flight KUL departure (Flights AX)",IF(AND(AS256=3,OR(Flights!$AZ$11&gt;Flights!$AA$11,Flights!$AX$11&lt;Flights!$AA$11-3)),"INVALID – carrying flight (Flights AX) cannot arrive before this leg's STD, or is over 3 days early",IF(AG256&gt;AsOfUTC,"INVALID – completion time is in the future",IF(AND(ISNUMBER(S256),AG256&lt;S256),IF(H256="Physical uplift","INVALID – before uplift window (cannot confirm loading)","INVALID – before valid window"),IF(AG256&gt;Flights!$AA$11,"INVALID – completed after departure (cannot establish readiness)",IF(AND(H256="Preparation",AG256&gt;IF(ISNUMBER(Flights!$BA$11),MIN(Flights!$BA$11,Flights!$AA$11),Flights!$AA$11)),"INVALID – completed after loading / departure (cannot establish readiness)",IF(AND(H256="Physical uplift",AG256&gt;Q256),"INVALID – recorded after the loading flight departed",IF(AG256&gt;Q256,"COMPLETE – LATE","COMPLETE"))))))))))))))))))))))),IF(TRIM(U256)="Fail","FAIL – DISCREPANCY",IF(AND(TRIM(U256)&lt;&gt;"",TRIM(U256)&lt;&gt;"Not started",TRIM(U256)&lt;&gt;"In progress"),"INVALID – unrecognised status (use the list)",IF(AsOfUTC&gt;Q256,"OVERDUE",IF(N256="Clarification required","OPEN – CLARIFICATION","OPEN"))))))),"INVALID – error value in an input cell")</f>
        <v>OPEN</v>
      </c>
      <c r="AI256" s="61" t="n">
        <f aca="false">IF(OR(AH256="N/A – RULE",AH256="N/A – JUSTIFIED"),0,1)</f>
        <v>1</v>
      </c>
      <c r="AJ256" s="61" t="n">
        <f aca="false">IF(LEFT(AH256,8)="COMPLETE",1,0)</f>
        <v>0</v>
      </c>
      <c r="AK256" s="61" t="n">
        <f aca="false">IF(AND(AI256=1,AJ256=0,AsOfUTC&gt;Q256),1,0)</f>
        <v>0</v>
      </c>
      <c r="AL256" s="61" t="n">
        <f aca="false">IFERROR(IF(AND(AI256=1,OR(TRIM(U256)="Fail",AND(TRIM(AB256)&lt;&gt;"",TRIM(AB256)&lt;&gt;"Closed"),AND(ISNUMBER(AF256),AF256&lt;&gt;0,TRIM(U256)&lt;&gt;"Pass after CA"))),1,0),1)</f>
        <v>0</v>
      </c>
      <c r="AM256" s="61" t="n">
        <f aca="false">IF(LEFT(AH256,7)="INVALID",1,0)</f>
        <v>0</v>
      </c>
      <c r="AN256" s="61" t="n">
        <f aca="false">IF(AND(N256="Clarification required",AI256=1,AJ256=0),1,0)</f>
        <v>0</v>
      </c>
      <c r="AO256" s="61" t="str">
        <f aca="false">IF(AK256=1,SUM(AK$5:AK256),"")</f>
        <v/>
      </c>
      <c r="AP256" s="61" t="str">
        <f aca="false">IF(AL256=1,SUM(AL$5:AL256),"")</f>
        <v/>
      </c>
      <c r="AQ256" s="61" t="n">
        <v>0</v>
      </c>
      <c r="AR256" s="61" t="n">
        <v>0</v>
      </c>
      <c r="AS256" s="61" t="n">
        <v>0</v>
      </c>
      <c r="AT256" s="61" t="n">
        <v>0</v>
      </c>
      <c r="AU256" s="61" t="str">
        <f aca="false">SUBSTITUTE(SUBSTITUTE(SUBSTITUTE(SUBSTITUTE(SUBSTITUTE(SUBSTITUTE(SUBSTITUTE(SUBSTITUTE(SUBSTITUTE(SUBSTITUTE(SUBSTITUTE(SUBSTITUTE(SUBSTITUTE(LOWER(T256&amp;""),CHAR(160),"")," ",""),".",""),"-",""),"/",""),"?",""),"_",""),",",""),"[",""),"]",""),"(",""),")",""),"*","")</f>
        <v/>
      </c>
      <c r="AV256" s="61" t="str">
        <f aca="false">SUBSTITUTE(SUBSTITUTE(SUBSTITUTE(SUBSTITUTE(SUBSTITUTE(SUBSTITUTE(SUBSTITUTE(SUBSTITUTE(SUBSTITUTE(SUBSTITUTE(SUBSTITUTE(SUBSTITUTE(SUBSTITUTE(LOWER(V256&amp;""),CHAR(160),"")," ",""),".",""),"-",""),"/",""),"?",""),"_",""),",",""),"[",""),"]",""),"(",""),")",""),"*","")</f>
        <v/>
      </c>
      <c r="AW256" s="61" t="str">
        <f aca="false">SUBSTITUTE(SUBSTITUTE(SUBSTITUTE(SUBSTITUTE(SUBSTITUTE(SUBSTITUTE(SUBSTITUTE(SUBSTITUTE(SUBSTITUTE(SUBSTITUTE(SUBSTITUTE(SUBSTITUTE(SUBSTITUTE(LOWER(Z256&amp;""),CHAR(160),"")," ",""),".",""),"-",""),"/",""),"?",""),"_",""),",",""),"[",""),"]",""),"(",""),")",""),"*","")</f>
        <v/>
      </c>
      <c r="AX256" s="61" t="str">
        <f aca="false">SUBSTITUTE(SUBSTITUTE(SUBSTITUTE(SUBSTITUTE(SUBSTITUTE(SUBSTITUTE(SUBSTITUTE(SUBSTITUTE(SUBSTITUTE(SUBSTITUTE(SUBSTITUTE(SUBSTITUTE(SUBSTITUTE(LOWER(AE256&amp;""),CHAR(160),"")," ",""),".",""),"-",""),"/",""),"?",""),"_",""),",",""),"[",""),"]",""),"(",""),")",""),"*","")</f>
        <v/>
      </c>
      <c r="AY256" s="61" t="str">
        <f aca="false">SUBSTITUTE(SUBSTITUTE(SUBSTITUTE(SUBSTITUTE(SUBSTITUTE(SUBSTITUTE(SUBSTITUTE(SUBSTITUTE(SUBSTITUTE(SUBSTITUTE(SUBSTITUTE(SUBSTITUTE(SUBSTITUTE(LOWER(W256&amp;""),CHAR(160),"")," ",""),".",""),"-",""),"/",""),"?",""),"_",""),",",""),"[",""),"]",""),"(",""),")",""),"*","")</f>
        <v/>
      </c>
      <c r="AZ256" s="61" t="str">
        <f aca="false">SUBSTITUTE(SUBSTITUTE(SUBSTITUTE(SUBSTITUTE(SUBSTITUTE(SUBSTITUTE(SUBSTITUTE(SUBSTITUTE(SUBSTITUTE(SUBSTITUTE(SUBSTITUTE(SUBSTITUTE(SUBSTITUTE(LOWER(AC256&amp;""),CHAR(160),"")," ",""),".",""),"-",""),"/",""),"?",""),"_",""),",",""),"[",""),"]",""),"(",""),")",""),"*","")</f>
        <v/>
      </c>
      <c r="BA256" s="61" t="str">
        <f aca="false">SUBSTITUTE(SUBSTITUTE(SUBSTITUTE(SUBSTITUTE(SUBSTITUTE(SUBSTITUTE(SUBSTITUTE(SUBSTITUTE(SUBSTITUTE(SUBSTITUTE(SUBSTITUTE(SUBSTITUTE(SUBSTITUTE(LOWER(AA256&amp;""),CHAR(160),"")," ",""),".",""),"-",""),"/",""),"?",""),"_",""),",",""),"[",""),"]",""),"(",""),")",""),"*","")</f>
        <v/>
      </c>
      <c r="BB256" s="61" t="str">
        <f aca="false">IF(AND(TRIM(U256)="Pass",ISNUMBER(AF256)),IF(AF256&lt;&gt;0,"INVALID – qty variance: use Fail or Pass after CA",""),"")&amp;IF(AND(TRIM(U256)="Pass after CA",ISNUMBER(AF256)),IF(AF256&lt;&gt;0,"INVALID – after the corrective action the actual qty must equal expected (update Actual)",""),"")&amp;IF(AND(TRIM(U256)="Pass",TRIM(AB256)&lt;&gt;"",TRIM(AB256)&lt;&gt;"Closed"),"INVALID – corrective action not closed: use Fail, then Pass after CA","")&amp;IF(AND(TRIM(AA256)&lt;&gt;"",TRIM(AB256)=""),"INVALID – CA status missing for the recorded corrective action","")&amp;IF(AND(TRIM(U256)="Pass after CA",OR(OR(LEN(BA256)&lt;5,ISNUMBER(MATCH(BA256,L_Placeholder,0))),TRIM(AB256)&lt;&gt;"Closed")),"INVALID – corrective action not recorded/closed","")</f>
        <v/>
      </c>
    </row>
    <row r="257" customFormat="false" ht="39.75" hidden="false" customHeight="true" outlineLevel="0" collapsed="false">
      <c r="A257" s="57" t="s">
        <v>806</v>
      </c>
      <c r="B257" s="57" t="s">
        <v>232</v>
      </c>
      <c r="C257" s="57" t="str">
        <f aca="false">Flights!$F$11</f>
        <v>MH0003</v>
      </c>
      <c r="D257" s="58" t="n">
        <f aca="false">Flights!$D$11</f>
        <v>46304</v>
      </c>
      <c r="E257" s="57" t="str">
        <f aca="false">Flights!$G$11&amp;"-"&amp;Flights!$H$11</f>
        <v>LHR-KUL</v>
      </c>
      <c r="F257" s="57" t="str">
        <f aca="false">Flights!$K$11</f>
        <v>BC</v>
      </c>
      <c r="G257" s="57" t="s">
        <v>437</v>
      </c>
      <c r="H257" s="57" t="s">
        <v>438</v>
      </c>
      <c r="I257" s="57" t="s">
        <v>477</v>
      </c>
      <c r="J257" s="57" t="s">
        <v>529</v>
      </c>
      <c r="K257" s="67" t="s">
        <v>479</v>
      </c>
      <c r="L257" s="67" t="s">
        <v>726</v>
      </c>
      <c r="M257" s="67" t="s">
        <v>429</v>
      </c>
      <c r="N257" s="67" t="s">
        <v>361</v>
      </c>
      <c r="O257" s="67"/>
      <c r="P257" s="57" t="s">
        <v>183</v>
      </c>
      <c r="Q257" s="59" t="n">
        <f aca="false">ROUND((Flights!$AF$11)*1440,0)/1440</f>
        <v>46304.4166666667</v>
      </c>
      <c r="R257" s="59" t="n">
        <f aca="false">Q257+(IF(AND(INDEX(TZ_DSTS,MATCH(P257,TZ_STN,0))&lt;&gt;"",Q257&gt;=INDEX(TZ_DSTS,MATCH(P257,TZ_STN,0)),Q257&lt;INDEX(TZ_DSTE,MATCH(P257,TZ_STN,0))),INDEX(TZ_DST,MATCH(P257,TZ_STN,0)),INDEX(TZ_STD,MATCH(P257,TZ_STN,0))))/24</f>
        <v>46304.4583333333</v>
      </c>
      <c r="S257" s="59" t="n">
        <f aca="false">IF(ISNUMBER(Flights!$AZ$11),MAX(Q257-UpliftWindowH/24,Flights!$AZ$11),Q257-UpliftWindowH/24)</f>
        <v>46304.4166666667</v>
      </c>
      <c r="T257" s="60"/>
      <c r="U257" s="60"/>
      <c r="V257" s="60"/>
      <c r="W257" s="61"/>
      <c r="X257" s="60"/>
      <c r="Y257" s="60"/>
      <c r="Z257" s="60"/>
      <c r="AA257" s="60"/>
      <c r="AB257" s="60"/>
      <c r="AC257" s="60"/>
      <c r="AD257" s="66"/>
      <c r="AE257" s="60"/>
      <c r="AF257" s="61" t="str">
        <f aca="false">IF(AND(ISNUMBER(X257),ISNUMBER(Y257)),Y257-X257,"")</f>
        <v/>
      </c>
      <c r="AG257" s="62" t="str">
        <f aca="false">IF(ISNUMBER(AD257),AD257-(IF(AND(INDEX(TZ_DSTS,MATCH(P257,TZ_STN,0))&lt;&gt;"",(AD257-INDEX(TZ_STD,MATCH(P257,TZ_STN,0))/24)&gt;=INDEX(TZ_DSTS,MATCH(P257,TZ_STN,0)),(AD257-INDEX(TZ_STD,MATCH(P257,TZ_STN,0))/24)&lt;INDEX(TZ_DSTE,MATCH(P257,TZ_STN,0))),INDEX(TZ_DST,MATCH(P257,TZ_STN,0)),INDEX(TZ_STD,MATCH(P257,TZ_STN,0))))/24,"")</f>
        <v/>
      </c>
      <c r="AH257" s="65" t="str">
        <f aca="false">IFERROR(IF(N257="N/A – rule","N/A – RULE",IF(TRIM(U257)="N/A",IF(AT257=0,"INVALID – N/A not permitted for this check",IF(AND(TRIM(AB257)&lt;&gt;"",TRIM(AB257)&lt;&gt;"Closed"),"INVALID – corrective action still open",IF(AND(NOT(OR(LEN(AZ257)&lt;15,ISNUMBER(MATCH(AZ257,L_Placeholder,0)))),NOT(OR(LEN(AU257)&lt;2,ISNUMBER(MATCH(AU257,L_Placeholder,0)))),NOT(OR(LEN(AX257)&lt;2,ISNUMBER(MATCH(AX257,L_Placeholder,0)))),TRIM(AE257)&lt;&gt;TRIM(T257)),"N/A – JUSTIFIED","INVALID – N/A needs a real justification (15+ chars), PIC and a different verifier"))),IF(OR(TRIM(U257)="Pass",TRIM(U257)="Pass after CA"),IF(NOT(ISNUMBER(AD257)),"INVALID – completion time missing",IF(OR(LEN(AU257)&lt;2,ISNUMBER(MATCH(AU257,L_Placeholder,0))),"INVALID – PIC missing",IF(OR(LEN(AV257)&lt;2,ISNUMBER(MATCH(AV257,L_Placeholder,0))),"INVALID – result / assessment missing",IF(OR(OR(LEN(AW257)&lt;3,ISNUMBER(MATCH(AW257,L_Placeholder,0))),SUMPRODUCT(--ISNUMBER(SEARCH(L_EvidencePhrase,AW257)))&gt;0),"INVALID – evidence missing, placeholder or not yet on file",IF(OR(LEN(AX257)&lt;2,ISNUMBER(MATCH(AX257,L_Placeholder,0))),"INVALID – verifier missing",IF(AX257=AU257,"INVALID – verifier must be someone other than the PIC",IF(AND(TRIM(U257)="Pass",SUMPRODUCT(--ISNUMBER(SEARCH(L_ResultBad,AV257)))&gt;0),"INVALID – result describes a problem: use Fail, then Pass after CA",IF(AND(AQ257=1,OR(LEN(AY257)&lt;3,ISNUMBER(MATCH(AY257,L_Placeholder,0)))),"INVALID – batch ID missing or placeholder",IF(AND(AR257=1,OR(NOT(ISNUMBER(X257)),NOT(ISNUMBER(Y257)))),"INVALID – expected/actual qty missing",IF(AND(AR257=1,OR(X257&lt;=0,Y257&lt;0)),"INVALID – expected qty must be above 0 and actual not negative",IF(AH240="N/A – JUSTIFIED","INVALID – preparation row F07-T12-17 is N/A",IF(AND(AR257=1,ISNUMBER(X240),X257&lt;&gt;X240),"INVALID – expected qty differs from preparation check F07-T12-17",IF(BB257&lt;&gt;"",BB257,IF(AND(AS257=1,Documents!$J$11&lt;&gt;"ON FILE"),"INVALID – GLD not on file (Documents sheet)",IF(AND(AS257=2,Documents!$O$11&lt;&gt;"ON FILE"),"INVALID – menu checklist not on file (Documents sheet)",IF(AND(AS257=3,NOT(ISNUMBER(Flights!$AX$11))),"INVALID – enter carrying flight KUL departure (Flights AX)",IF(AND(AS257=3,OR(Flights!$AZ$11&gt;Flights!$AA$11,Flights!$AX$11&lt;Flights!$AA$11-3)),"INVALID – carrying flight (Flights AX) cannot arrive before this leg's STD, or is over 3 days early",IF(AG257&gt;AsOfUTC,"INVALID – completion time is in the future",IF(AND(ISNUMBER(S257),AG257&lt;S257),IF(H257="Physical uplift","INVALID – before uplift window (cannot confirm loading)","INVALID – before valid window"),IF(AG257&gt;Flights!$AA$11,"INVALID – completed after departure (cannot establish readiness)",IF(AND(H257="Preparation",AG257&gt;IF(ISNUMBER(Flights!$BA$11),MIN(Flights!$BA$11,Flights!$AA$11),Flights!$AA$11)),"INVALID – completed after loading / departure (cannot establish readiness)",IF(AND(H257="Physical uplift",AG257&gt;Q257),"INVALID – recorded after the loading flight departed",IF(AG257&gt;Q257,"COMPLETE – LATE","COMPLETE"))))))))))))))))))))))),IF(TRIM(U257)="Fail","FAIL – DISCREPANCY",IF(AND(TRIM(U257)&lt;&gt;"",TRIM(U257)&lt;&gt;"Not started",TRIM(U257)&lt;&gt;"In progress"),"INVALID – unrecognised status (use the list)",IF(AsOfUTC&gt;Q257,"OVERDUE",IF(N257="Clarification required","OPEN – CLARIFICATION","OPEN"))))))),"INVALID – error value in an input cell")</f>
        <v>OPEN</v>
      </c>
      <c r="AI257" s="61" t="n">
        <f aca="false">IF(OR(AH257="N/A – RULE",AH257="N/A – JUSTIFIED"),0,1)</f>
        <v>1</v>
      </c>
      <c r="AJ257" s="61" t="n">
        <f aca="false">IF(LEFT(AH257,8)="COMPLETE",1,0)</f>
        <v>0</v>
      </c>
      <c r="AK257" s="61" t="n">
        <f aca="false">IF(AND(AI257=1,AJ257=0,AsOfUTC&gt;Q257),1,0)</f>
        <v>0</v>
      </c>
      <c r="AL257" s="61" t="n">
        <f aca="false">IFERROR(IF(AND(AI257=1,OR(TRIM(U257)="Fail",AND(TRIM(AB257)&lt;&gt;"",TRIM(AB257)&lt;&gt;"Closed"),AND(ISNUMBER(AF257),AF257&lt;&gt;0,TRIM(U257)&lt;&gt;"Pass after CA"))),1,0),1)</f>
        <v>0</v>
      </c>
      <c r="AM257" s="61" t="n">
        <f aca="false">IF(LEFT(AH257,7)="INVALID",1,0)</f>
        <v>0</v>
      </c>
      <c r="AN257" s="61" t="n">
        <f aca="false">IF(AND(N257="Clarification required",AI257=1,AJ257=0),1,0)</f>
        <v>0</v>
      </c>
      <c r="AO257" s="61" t="str">
        <f aca="false">IF(AK257=1,SUM(AK$5:AK257),"")</f>
        <v/>
      </c>
      <c r="AP257" s="61" t="str">
        <f aca="false">IF(AL257=1,SUM(AL$5:AL257),"")</f>
        <v/>
      </c>
      <c r="AQ257" s="61" t="n">
        <v>0</v>
      </c>
      <c r="AR257" s="61" t="n">
        <v>0</v>
      </c>
      <c r="AS257" s="61" t="n">
        <v>0</v>
      </c>
      <c r="AT257" s="61" t="n">
        <v>0</v>
      </c>
      <c r="AU257" s="61" t="str">
        <f aca="false">SUBSTITUTE(SUBSTITUTE(SUBSTITUTE(SUBSTITUTE(SUBSTITUTE(SUBSTITUTE(SUBSTITUTE(SUBSTITUTE(SUBSTITUTE(SUBSTITUTE(SUBSTITUTE(SUBSTITUTE(SUBSTITUTE(LOWER(T257&amp;""),CHAR(160),"")," ",""),".",""),"-",""),"/",""),"?",""),"_",""),",",""),"[",""),"]",""),"(",""),")",""),"*","")</f>
        <v/>
      </c>
      <c r="AV257" s="61" t="str">
        <f aca="false">SUBSTITUTE(SUBSTITUTE(SUBSTITUTE(SUBSTITUTE(SUBSTITUTE(SUBSTITUTE(SUBSTITUTE(SUBSTITUTE(SUBSTITUTE(SUBSTITUTE(SUBSTITUTE(SUBSTITUTE(SUBSTITUTE(LOWER(V257&amp;""),CHAR(160),"")," ",""),".",""),"-",""),"/",""),"?",""),"_",""),",",""),"[",""),"]",""),"(",""),")",""),"*","")</f>
        <v/>
      </c>
      <c r="AW257" s="61" t="str">
        <f aca="false">SUBSTITUTE(SUBSTITUTE(SUBSTITUTE(SUBSTITUTE(SUBSTITUTE(SUBSTITUTE(SUBSTITUTE(SUBSTITUTE(SUBSTITUTE(SUBSTITUTE(SUBSTITUTE(SUBSTITUTE(SUBSTITUTE(LOWER(Z257&amp;""),CHAR(160),"")," ",""),".",""),"-",""),"/",""),"?",""),"_",""),",",""),"[",""),"]",""),"(",""),")",""),"*","")</f>
        <v/>
      </c>
      <c r="AX257" s="61" t="str">
        <f aca="false">SUBSTITUTE(SUBSTITUTE(SUBSTITUTE(SUBSTITUTE(SUBSTITUTE(SUBSTITUTE(SUBSTITUTE(SUBSTITUTE(SUBSTITUTE(SUBSTITUTE(SUBSTITUTE(SUBSTITUTE(SUBSTITUTE(LOWER(AE257&amp;""),CHAR(160),"")," ",""),".",""),"-",""),"/",""),"?",""),"_",""),",",""),"[",""),"]",""),"(",""),")",""),"*","")</f>
        <v/>
      </c>
      <c r="AY257" s="61" t="str">
        <f aca="false">SUBSTITUTE(SUBSTITUTE(SUBSTITUTE(SUBSTITUTE(SUBSTITUTE(SUBSTITUTE(SUBSTITUTE(SUBSTITUTE(SUBSTITUTE(SUBSTITUTE(SUBSTITUTE(SUBSTITUTE(SUBSTITUTE(LOWER(W257&amp;""),CHAR(160),"")," ",""),".",""),"-",""),"/",""),"?",""),"_",""),",",""),"[",""),"]",""),"(",""),")",""),"*","")</f>
        <v/>
      </c>
      <c r="AZ257" s="61" t="str">
        <f aca="false">SUBSTITUTE(SUBSTITUTE(SUBSTITUTE(SUBSTITUTE(SUBSTITUTE(SUBSTITUTE(SUBSTITUTE(SUBSTITUTE(SUBSTITUTE(SUBSTITUTE(SUBSTITUTE(SUBSTITUTE(SUBSTITUTE(LOWER(AC257&amp;""),CHAR(160),"")," ",""),".",""),"-",""),"/",""),"?",""),"_",""),",",""),"[",""),"]",""),"(",""),")",""),"*","")</f>
        <v/>
      </c>
      <c r="BA257" s="61" t="str">
        <f aca="false">SUBSTITUTE(SUBSTITUTE(SUBSTITUTE(SUBSTITUTE(SUBSTITUTE(SUBSTITUTE(SUBSTITUTE(SUBSTITUTE(SUBSTITUTE(SUBSTITUTE(SUBSTITUTE(SUBSTITUTE(SUBSTITUTE(LOWER(AA257&amp;""),CHAR(160),"")," ",""),".",""),"-",""),"/",""),"?",""),"_",""),",",""),"[",""),"]",""),"(",""),")",""),"*","")</f>
        <v/>
      </c>
      <c r="BB257" s="61" t="str">
        <f aca="false">IF(AND(TRIM(U257)="Pass",ISNUMBER(AF257)),IF(AF257&lt;&gt;0,"INVALID – qty variance: use Fail or Pass after CA",""),"")&amp;IF(AND(TRIM(U257)="Pass after CA",ISNUMBER(AF257)),IF(AF257&lt;&gt;0,"INVALID – after the corrective action the actual qty must equal expected (update Actual)",""),"")&amp;IF(AND(TRIM(U257)="Pass",TRIM(AB257)&lt;&gt;"",TRIM(AB257)&lt;&gt;"Closed"),"INVALID – corrective action not closed: use Fail, then Pass after CA","")&amp;IF(AND(TRIM(AA257)&lt;&gt;"",TRIM(AB257)=""),"INVALID – CA status missing for the recorded corrective action","")&amp;IF(AND(TRIM(U257)="Pass after CA",OR(OR(LEN(BA257)&lt;5,ISNUMBER(MATCH(BA257,L_Placeholder,0))),TRIM(AB257)&lt;&gt;"Closed")),"INVALID – corrective action not recorded/closed","")</f>
        <v/>
      </c>
    </row>
    <row r="258" customFormat="false" ht="39.75" hidden="false" customHeight="true" outlineLevel="0" collapsed="false">
      <c r="A258" s="57" t="s">
        <v>807</v>
      </c>
      <c r="B258" s="57" t="s">
        <v>232</v>
      </c>
      <c r="C258" s="57" t="str">
        <f aca="false">Flights!$F$11</f>
        <v>MH0003</v>
      </c>
      <c r="D258" s="58" t="n">
        <f aca="false">Flights!$D$11</f>
        <v>46304</v>
      </c>
      <c r="E258" s="57" t="str">
        <f aca="false">Flights!$G$11&amp;"-"&amp;Flights!$H$11</f>
        <v>LHR-KUL</v>
      </c>
      <c r="F258" s="57" t="str">
        <f aca="false">Flights!$K$11</f>
        <v>BC</v>
      </c>
      <c r="G258" s="57" t="s">
        <v>437</v>
      </c>
      <c r="H258" s="57" t="s">
        <v>438</v>
      </c>
      <c r="I258" s="57" t="s">
        <v>425</v>
      </c>
      <c r="J258" s="57" t="s">
        <v>531</v>
      </c>
      <c r="K258" s="67" t="s">
        <v>427</v>
      </c>
      <c r="L258" s="67" t="s">
        <v>728</v>
      </c>
      <c r="M258" s="67" t="s">
        <v>429</v>
      </c>
      <c r="N258" s="67" t="s">
        <v>361</v>
      </c>
      <c r="O258" s="67"/>
      <c r="P258" s="57" t="s">
        <v>183</v>
      </c>
      <c r="Q258" s="59" t="n">
        <f aca="false">ROUND((Flights!$AF$11)*1440,0)/1440</f>
        <v>46304.4166666667</v>
      </c>
      <c r="R258" s="59" t="n">
        <f aca="false">Q258+(IF(AND(INDEX(TZ_DSTS,MATCH(P258,TZ_STN,0))&lt;&gt;"",Q258&gt;=INDEX(TZ_DSTS,MATCH(P258,TZ_STN,0)),Q258&lt;INDEX(TZ_DSTE,MATCH(P258,TZ_STN,0))),INDEX(TZ_DST,MATCH(P258,TZ_STN,0)),INDEX(TZ_STD,MATCH(P258,TZ_STN,0))))/24</f>
        <v>46304.4583333333</v>
      </c>
      <c r="S258" s="59" t="n">
        <f aca="false">IF(ISNUMBER(Flights!$AZ$11),MAX(Q258-UpliftWindowH/24,Flights!$AZ$11),Q258-UpliftWindowH/24)</f>
        <v>46304.4166666667</v>
      </c>
      <c r="T258" s="60"/>
      <c r="U258" s="60"/>
      <c r="V258" s="60"/>
      <c r="W258" s="61"/>
      <c r="X258" s="60"/>
      <c r="Y258" s="60"/>
      <c r="Z258" s="60"/>
      <c r="AA258" s="60"/>
      <c r="AB258" s="60"/>
      <c r="AC258" s="60"/>
      <c r="AD258" s="66"/>
      <c r="AE258" s="60"/>
      <c r="AF258" s="61" t="str">
        <f aca="false">IF(AND(ISNUMBER(X258),ISNUMBER(Y258)),Y258-X258,"")</f>
        <v/>
      </c>
      <c r="AG258" s="62" t="str">
        <f aca="false">IF(ISNUMBER(AD258),AD258-(IF(AND(INDEX(TZ_DSTS,MATCH(P258,TZ_STN,0))&lt;&gt;"",(AD258-INDEX(TZ_STD,MATCH(P258,TZ_STN,0))/24)&gt;=INDEX(TZ_DSTS,MATCH(P258,TZ_STN,0)),(AD258-INDEX(TZ_STD,MATCH(P258,TZ_STN,0))/24)&lt;INDEX(TZ_DSTE,MATCH(P258,TZ_STN,0))),INDEX(TZ_DST,MATCH(P258,TZ_STN,0)),INDEX(TZ_STD,MATCH(P258,TZ_STN,0))))/24,"")</f>
        <v/>
      </c>
      <c r="AH258" s="65" t="str">
        <f aca="false">IFERROR(IF(N258="N/A – rule","N/A – RULE",IF(TRIM(U258)="N/A",IF(AT258=0,"INVALID – N/A not permitted for this check",IF(AND(TRIM(AB258)&lt;&gt;"",TRIM(AB258)&lt;&gt;"Closed"),"INVALID – corrective action still open",IF(AND(NOT(OR(LEN(AZ258)&lt;15,ISNUMBER(MATCH(AZ258,L_Placeholder,0)))),NOT(OR(LEN(AU258)&lt;2,ISNUMBER(MATCH(AU258,L_Placeholder,0)))),NOT(OR(LEN(AX258)&lt;2,ISNUMBER(MATCH(AX258,L_Placeholder,0)))),TRIM(AE258)&lt;&gt;TRIM(T258)),"N/A – JUSTIFIED","INVALID – N/A needs a real justification (15+ chars), PIC and a different verifier"))),IF(OR(TRIM(U258)="Pass",TRIM(U258)="Pass after CA"),IF(NOT(ISNUMBER(AD258)),"INVALID – completion time missing",IF(OR(LEN(AU258)&lt;2,ISNUMBER(MATCH(AU258,L_Placeholder,0))),"INVALID – PIC missing",IF(OR(LEN(AV258)&lt;2,ISNUMBER(MATCH(AV258,L_Placeholder,0))),"INVALID – result / assessment missing",IF(OR(OR(LEN(AW258)&lt;3,ISNUMBER(MATCH(AW258,L_Placeholder,0))),SUMPRODUCT(--ISNUMBER(SEARCH(L_EvidencePhrase,AW258)))&gt;0),"INVALID – evidence missing, placeholder or not yet on file",IF(OR(LEN(AX258)&lt;2,ISNUMBER(MATCH(AX258,L_Placeholder,0))),"INVALID – verifier missing",IF(AX258=AU258,"INVALID – verifier must be someone other than the PIC",IF(AND(TRIM(U258)="Pass",SUMPRODUCT(--ISNUMBER(SEARCH(L_ResultBad,AV258)))&gt;0),"INVALID – result describes a problem: use Fail, then Pass after CA",IF(AND(AQ258=1,OR(LEN(AY258)&lt;3,ISNUMBER(MATCH(AY258,L_Placeholder,0)))),"INVALID – batch ID missing or placeholder",IF(AND(AR258=1,OR(NOT(ISNUMBER(X258)),NOT(ISNUMBER(Y258)))),"INVALID – expected/actual qty missing",IF(AND(AR258=1,OR(X258&lt;=0,Y258&lt;0)),"INVALID – expected qty must be above 0 and actual not negative",IF(AH241="N/A – JUSTIFIED","INVALID – preparation row F07-T12-18 is N/A",IF(AND(AR258=1,ISNUMBER(X241),X258&lt;&gt;X241),"INVALID – expected qty differs from preparation check F07-T12-18",IF(BB258&lt;&gt;"",BB258,IF(AND(AS258=1,Documents!$J$11&lt;&gt;"ON FILE"),"INVALID – GLD not on file (Documents sheet)",IF(AND(AS258=2,Documents!$O$11&lt;&gt;"ON FILE"),"INVALID – menu checklist not on file (Documents sheet)",IF(AND(AS258=3,NOT(ISNUMBER(Flights!$AX$11))),"INVALID – enter carrying flight KUL departure (Flights AX)",IF(AND(AS258=3,OR(Flights!$AZ$11&gt;Flights!$AA$11,Flights!$AX$11&lt;Flights!$AA$11-3)),"INVALID – carrying flight (Flights AX) cannot arrive before this leg's STD, or is over 3 days early",IF(AG258&gt;AsOfUTC,"INVALID – completion time is in the future",IF(AND(ISNUMBER(S258),AG258&lt;S258),IF(H258="Physical uplift","INVALID – before uplift window (cannot confirm loading)","INVALID – before valid window"),IF(AG258&gt;Flights!$AA$11,"INVALID – completed after departure (cannot establish readiness)",IF(AND(H258="Preparation",AG258&gt;IF(ISNUMBER(Flights!$BA$11),MIN(Flights!$BA$11,Flights!$AA$11),Flights!$AA$11)),"INVALID – completed after loading / departure (cannot establish readiness)",IF(AND(H258="Physical uplift",AG258&gt;Q258),"INVALID – recorded after the loading flight departed",IF(AG258&gt;Q258,"COMPLETE – LATE","COMPLETE"))))))))))))))))))))))),IF(TRIM(U258)="Fail","FAIL – DISCREPANCY",IF(AND(TRIM(U258)&lt;&gt;"",TRIM(U258)&lt;&gt;"Not started",TRIM(U258)&lt;&gt;"In progress"),"INVALID – unrecognised status (use the list)",IF(AsOfUTC&gt;Q258,"OVERDUE",IF(N258="Clarification required","OPEN – CLARIFICATION","OPEN"))))))),"INVALID – error value in an input cell")</f>
        <v>OPEN</v>
      </c>
      <c r="AI258" s="61" t="n">
        <f aca="false">IF(OR(AH258="N/A – RULE",AH258="N/A – JUSTIFIED"),0,1)</f>
        <v>1</v>
      </c>
      <c r="AJ258" s="61" t="n">
        <f aca="false">IF(LEFT(AH258,8)="COMPLETE",1,0)</f>
        <v>0</v>
      </c>
      <c r="AK258" s="61" t="n">
        <f aca="false">IF(AND(AI258=1,AJ258=0,AsOfUTC&gt;Q258),1,0)</f>
        <v>0</v>
      </c>
      <c r="AL258" s="61" t="n">
        <f aca="false">IFERROR(IF(AND(AI258=1,OR(TRIM(U258)="Fail",AND(TRIM(AB258)&lt;&gt;"",TRIM(AB258)&lt;&gt;"Closed"),AND(ISNUMBER(AF258),AF258&lt;&gt;0,TRIM(U258)&lt;&gt;"Pass after CA"))),1,0),1)</f>
        <v>0</v>
      </c>
      <c r="AM258" s="61" t="n">
        <f aca="false">IF(LEFT(AH258,7)="INVALID",1,0)</f>
        <v>0</v>
      </c>
      <c r="AN258" s="61" t="n">
        <f aca="false">IF(AND(N258="Clarification required",AI258=1,AJ258=0),1,0)</f>
        <v>0</v>
      </c>
      <c r="AO258" s="61" t="str">
        <f aca="false">IF(AK258=1,SUM(AK$5:AK258),"")</f>
        <v/>
      </c>
      <c r="AP258" s="61" t="str">
        <f aca="false">IF(AL258=1,SUM(AL$5:AL258),"")</f>
        <v/>
      </c>
      <c r="AQ258" s="61" t="n">
        <v>0</v>
      </c>
      <c r="AR258" s="61" t="n">
        <v>0</v>
      </c>
      <c r="AS258" s="61" t="n">
        <v>0</v>
      </c>
      <c r="AT258" s="61" t="n">
        <v>0</v>
      </c>
      <c r="AU258" s="61" t="str">
        <f aca="false">SUBSTITUTE(SUBSTITUTE(SUBSTITUTE(SUBSTITUTE(SUBSTITUTE(SUBSTITUTE(SUBSTITUTE(SUBSTITUTE(SUBSTITUTE(SUBSTITUTE(SUBSTITUTE(SUBSTITUTE(SUBSTITUTE(LOWER(T258&amp;""),CHAR(160),"")," ",""),".",""),"-",""),"/",""),"?",""),"_",""),",",""),"[",""),"]",""),"(",""),")",""),"*","")</f>
        <v/>
      </c>
      <c r="AV258" s="61" t="str">
        <f aca="false">SUBSTITUTE(SUBSTITUTE(SUBSTITUTE(SUBSTITUTE(SUBSTITUTE(SUBSTITUTE(SUBSTITUTE(SUBSTITUTE(SUBSTITUTE(SUBSTITUTE(SUBSTITUTE(SUBSTITUTE(SUBSTITUTE(LOWER(V258&amp;""),CHAR(160),"")," ",""),".",""),"-",""),"/",""),"?",""),"_",""),",",""),"[",""),"]",""),"(",""),")",""),"*","")</f>
        <v/>
      </c>
      <c r="AW258" s="61" t="str">
        <f aca="false">SUBSTITUTE(SUBSTITUTE(SUBSTITUTE(SUBSTITUTE(SUBSTITUTE(SUBSTITUTE(SUBSTITUTE(SUBSTITUTE(SUBSTITUTE(SUBSTITUTE(SUBSTITUTE(SUBSTITUTE(SUBSTITUTE(LOWER(Z258&amp;""),CHAR(160),"")," ",""),".",""),"-",""),"/",""),"?",""),"_",""),",",""),"[",""),"]",""),"(",""),")",""),"*","")</f>
        <v/>
      </c>
      <c r="AX258" s="61" t="str">
        <f aca="false">SUBSTITUTE(SUBSTITUTE(SUBSTITUTE(SUBSTITUTE(SUBSTITUTE(SUBSTITUTE(SUBSTITUTE(SUBSTITUTE(SUBSTITUTE(SUBSTITUTE(SUBSTITUTE(SUBSTITUTE(SUBSTITUTE(LOWER(AE258&amp;""),CHAR(160),"")," ",""),".",""),"-",""),"/",""),"?",""),"_",""),",",""),"[",""),"]",""),"(",""),")",""),"*","")</f>
        <v/>
      </c>
      <c r="AY258" s="61" t="str">
        <f aca="false">SUBSTITUTE(SUBSTITUTE(SUBSTITUTE(SUBSTITUTE(SUBSTITUTE(SUBSTITUTE(SUBSTITUTE(SUBSTITUTE(SUBSTITUTE(SUBSTITUTE(SUBSTITUTE(SUBSTITUTE(SUBSTITUTE(LOWER(W258&amp;""),CHAR(160),"")," ",""),".",""),"-",""),"/",""),"?",""),"_",""),",",""),"[",""),"]",""),"(",""),")",""),"*","")</f>
        <v/>
      </c>
      <c r="AZ258" s="61" t="str">
        <f aca="false">SUBSTITUTE(SUBSTITUTE(SUBSTITUTE(SUBSTITUTE(SUBSTITUTE(SUBSTITUTE(SUBSTITUTE(SUBSTITUTE(SUBSTITUTE(SUBSTITUTE(SUBSTITUTE(SUBSTITUTE(SUBSTITUTE(LOWER(AC258&amp;""),CHAR(160),"")," ",""),".",""),"-",""),"/",""),"?",""),"_",""),",",""),"[",""),"]",""),"(",""),")",""),"*","")</f>
        <v/>
      </c>
      <c r="BA258" s="61" t="str">
        <f aca="false">SUBSTITUTE(SUBSTITUTE(SUBSTITUTE(SUBSTITUTE(SUBSTITUTE(SUBSTITUTE(SUBSTITUTE(SUBSTITUTE(SUBSTITUTE(SUBSTITUTE(SUBSTITUTE(SUBSTITUTE(SUBSTITUTE(LOWER(AA258&amp;""),CHAR(160),"")," ",""),".",""),"-",""),"/",""),"?",""),"_",""),",",""),"[",""),"]",""),"(",""),")",""),"*","")</f>
        <v/>
      </c>
      <c r="BB258" s="61" t="str">
        <f aca="false">IF(AND(TRIM(U258)="Pass",ISNUMBER(AF258)),IF(AF258&lt;&gt;0,"INVALID – qty variance: use Fail or Pass after CA",""),"")&amp;IF(AND(TRIM(U258)="Pass after CA",ISNUMBER(AF258)),IF(AF258&lt;&gt;0,"INVALID – after the corrective action the actual qty must equal expected (update Actual)",""),"")&amp;IF(AND(TRIM(U258)="Pass",TRIM(AB258)&lt;&gt;"",TRIM(AB258)&lt;&gt;"Closed"),"INVALID – corrective action not closed: use Fail, then Pass after CA","")&amp;IF(AND(TRIM(AA258)&lt;&gt;"",TRIM(AB258)=""),"INVALID – CA status missing for the recorded corrective action","")&amp;IF(AND(TRIM(U258)="Pass after CA",OR(OR(LEN(BA258)&lt;5,ISNUMBER(MATCH(BA258,L_Placeholder,0))),TRIM(AB258)&lt;&gt;"Closed")),"INVALID – corrective action not recorded/closed","")</f>
        <v/>
      </c>
    </row>
    <row r="259" customFormat="false" ht="39.75" hidden="false" customHeight="true" outlineLevel="0" collapsed="false">
      <c r="A259" s="57" t="s">
        <v>808</v>
      </c>
      <c r="B259" s="57" t="s">
        <v>232</v>
      </c>
      <c r="C259" s="57" t="str">
        <f aca="false">Flights!$F$11</f>
        <v>MH0003</v>
      </c>
      <c r="D259" s="58" t="n">
        <f aca="false">Flights!$D$11</f>
        <v>46304</v>
      </c>
      <c r="E259" s="57" t="str">
        <f aca="false">Flights!$G$11&amp;"-"&amp;Flights!$H$11</f>
        <v>LHR-KUL</v>
      </c>
      <c r="F259" s="57" t="str">
        <f aca="false">Flights!$K$11</f>
        <v>BC</v>
      </c>
      <c r="G259" s="57" t="s">
        <v>437</v>
      </c>
      <c r="H259" s="57" t="s">
        <v>438</v>
      </c>
      <c r="I259" s="57" t="s">
        <v>425</v>
      </c>
      <c r="J259" s="57" t="s">
        <v>631</v>
      </c>
      <c r="K259" s="67" t="s">
        <v>427</v>
      </c>
      <c r="L259" s="67" t="s">
        <v>730</v>
      </c>
      <c r="M259" s="67" t="s">
        <v>429</v>
      </c>
      <c r="N259" s="67" t="s">
        <v>361</v>
      </c>
      <c r="O259" s="67"/>
      <c r="P259" s="57" t="s">
        <v>183</v>
      </c>
      <c r="Q259" s="59" t="n">
        <f aca="false">ROUND((Flights!$AF$11)*1440,0)/1440</f>
        <v>46304.4166666667</v>
      </c>
      <c r="R259" s="59" t="n">
        <f aca="false">Q259+(IF(AND(INDEX(TZ_DSTS,MATCH(P259,TZ_STN,0))&lt;&gt;"",Q259&gt;=INDEX(TZ_DSTS,MATCH(P259,TZ_STN,0)),Q259&lt;INDEX(TZ_DSTE,MATCH(P259,TZ_STN,0))),INDEX(TZ_DST,MATCH(P259,TZ_STN,0)),INDEX(TZ_STD,MATCH(P259,TZ_STN,0))))/24</f>
        <v>46304.4583333333</v>
      </c>
      <c r="S259" s="59" t="n">
        <f aca="false">IF(ISNUMBER(Flights!$AZ$11),MAX(Q259-UpliftWindowH/24,Flights!$AZ$11),Q259-UpliftWindowH/24)</f>
        <v>46304.4166666667</v>
      </c>
      <c r="T259" s="60"/>
      <c r="U259" s="60"/>
      <c r="V259" s="60"/>
      <c r="W259" s="61"/>
      <c r="X259" s="60"/>
      <c r="Y259" s="60"/>
      <c r="Z259" s="60"/>
      <c r="AA259" s="60"/>
      <c r="AB259" s="60"/>
      <c r="AC259" s="60"/>
      <c r="AD259" s="66"/>
      <c r="AE259" s="60"/>
      <c r="AF259" s="61" t="str">
        <f aca="false">IF(AND(ISNUMBER(X259),ISNUMBER(Y259)),Y259-X259,"")</f>
        <v/>
      </c>
      <c r="AG259" s="62" t="str">
        <f aca="false">IF(ISNUMBER(AD259),AD259-(IF(AND(INDEX(TZ_DSTS,MATCH(P259,TZ_STN,0))&lt;&gt;"",(AD259-INDEX(TZ_STD,MATCH(P259,TZ_STN,0))/24)&gt;=INDEX(TZ_DSTS,MATCH(P259,TZ_STN,0)),(AD259-INDEX(TZ_STD,MATCH(P259,TZ_STN,0))/24)&lt;INDEX(TZ_DSTE,MATCH(P259,TZ_STN,0))),INDEX(TZ_DST,MATCH(P259,TZ_STN,0)),INDEX(TZ_STD,MATCH(P259,TZ_STN,0))))/24,"")</f>
        <v/>
      </c>
      <c r="AH259" s="65" t="str">
        <f aca="false">IFERROR(IF(N259="N/A – rule","N/A – RULE",IF(TRIM(U259)="N/A",IF(AT259=0,"INVALID – N/A not permitted for this check",IF(AND(TRIM(AB259)&lt;&gt;"",TRIM(AB259)&lt;&gt;"Closed"),"INVALID – corrective action still open",IF(AND(NOT(OR(LEN(AZ259)&lt;15,ISNUMBER(MATCH(AZ259,L_Placeholder,0)))),NOT(OR(LEN(AU259)&lt;2,ISNUMBER(MATCH(AU259,L_Placeholder,0)))),NOT(OR(LEN(AX259)&lt;2,ISNUMBER(MATCH(AX259,L_Placeholder,0)))),TRIM(AE259)&lt;&gt;TRIM(T259)),"N/A – JUSTIFIED","INVALID – N/A needs a real justification (15+ chars), PIC and a different verifier"))),IF(OR(TRIM(U259)="Pass",TRIM(U259)="Pass after CA"),IF(NOT(ISNUMBER(AD259)),"INVALID – completion time missing",IF(OR(LEN(AU259)&lt;2,ISNUMBER(MATCH(AU259,L_Placeholder,0))),"INVALID – PIC missing",IF(OR(LEN(AV259)&lt;2,ISNUMBER(MATCH(AV259,L_Placeholder,0))),"INVALID – result / assessment missing",IF(OR(OR(LEN(AW259)&lt;3,ISNUMBER(MATCH(AW259,L_Placeholder,0))),SUMPRODUCT(--ISNUMBER(SEARCH(L_EvidencePhrase,AW259)))&gt;0),"INVALID – evidence missing, placeholder or not yet on file",IF(OR(LEN(AX259)&lt;2,ISNUMBER(MATCH(AX259,L_Placeholder,0))),"INVALID – verifier missing",IF(AX259=AU259,"INVALID – verifier must be someone other than the PIC",IF(AND(TRIM(U259)="Pass",SUMPRODUCT(--ISNUMBER(SEARCH(L_ResultBad,AV259)))&gt;0),"INVALID – result describes a problem: use Fail, then Pass after CA",IF(AND(AQ259=1,OR(LEN(AY259)&lt;3,ISNUMBER(MATCH(AY259,L_Placeholder,0)))),"INVALID – batch ID missing or placeholder",IF(AND(AR259=1,OR(NOT(ISNUMBER(X259)),NOT(ISNUMBER(Y259)))),"INVALID – expected/actual qty missing",IF(AND(AR259=1,OR(X259&lt;=0,Y259&lt;0)),"INVALID – expected qty must be above 0 and actual not negative",IF(AH242="N/A – JUSTIFIED","INVALID – preparation row F07-T12-19 is N/A",IF(AND(AR259=1,ISNUMBER(X242),X259&lt;&gt;X242),"INVALID – expected qty differs from preparation check F07-T12-19",IF(BB259&lt;&gt;"",BB259,IF(AND(AS259=1,Documents!$J$11&lt;&gt;"ON FILE"),"INVALID – GLD not on file (Documents sheet)",IF(AND(AS259=2,Documents!$O$11&lt;&gt;"ON FILE"),"INVALID – menu checklist not on file (Documents sheet)",IF(AND(AS259=3,NOT(ISNUMBER(Flights!$AX$11))),"INVALID – enter carrying flight KUL departure (Flights AX)",IF(AND(AS259=3,OR(Flights!$AZ$11&gt;Flights!$AA$11,Flights!$AX$11&lt;Flights!$AA$11-3)),"INVALID – carrying flight (Flights AX) cannot arrive before this leg's STD, or is over 3 days early",IF(AG259&gt;AsOfUTC,"INVALID – completion time is in the future",IF(AND(ISNUMBER(S259),AG259&lt;S259),IF(H259="Physical uplift","INVALID – before uplift window (cannot confirm loading)","INVALID – before valid window"),IF(AG259&gt;Flights!$AA$11,"INVALID – completed after departure (cannot establish readiness)",IF(AND(H259="Preparation",AG259&gt;IF(ISNUMBER(Flights!$BA$11),MIN(Flights!$BA$11,Flights!$AA$11),Flights!$AA$11)),"INVALID – completed after loading / departure (cannot establish readiness)",IF(AND(H259="Physical uplift",AG259&gt;Q259),"INVALID – recorded after the loading flight departed",IF(AG259&gt;Q259,"COMPLETE – LATE","COMPLETE"))))))))))))))))))))))),IF(TRIM(U259)="Fail","FAIL – DISCREPANCY",IF(AND(TRIM(U259)&lt;&gt;"",TRIM(U259)&lt;&gt;"Not started",TRIM(U259)&lt;&gt;"In progress"),"INVALID – unrecognised status (use the list)",IF(AsOfUTC&gt;Q259,"OVERDUE",IF(N259="Clarification required","OPEN – CLARIFICATION","OPEN"))))))),"INVALID – error value in an input cell")</f>
        <v>OPEN</v>
      </c>
      <c r="AI259" s="61" t="n">
        <f aca="false">IF(OR(AH259="N/A – RULE",AH259="N/A – JUSTIFIED"),0,1)</f>
        <v>1</v>
      </c>
      <c r="AJ259" s="61" t="n">
        <f aca="false">IF(LEFT(AH259,8)="COMPLETE",1,0)</f>
        <v>0</v>
      </c>
      <c r="AK259" s="61" t="n">
        <f aca="false">IF(AND(AI259=1,AJ259=0,AsOfUTC&gt;Q259),1,0)</f>
        <v>0</v>
      </c>
      <c r="AL259" s="61" t="n">
        <f aca="false">IFERROR(IF(AND(AI259=1,OR(TRIM(U259)="Fail",AND(TRIM(AB259)&lt;&gt;"",TRIM(AB259)&lt;&gt;"Closed"),AND(ISNUMBER(AF259),AF259&lt;&gt;0,TRIM(U259)&lt;&gt;"Pass after CA"))),1,0),1)</f>
        <v>0</v>
      </c>
      <c r="AM259" s="61" t="n">
        <f aca="false">IF(LEFT(AH259,7)="INVALID",1,0)</f>
        <v>0</v>
      </c>
      <c r="AN259" s="61" t="n">
        <f aca="false">IF(AND(N259="Clarification required",AI259=1,AJ259=0),1,0)</f>
        <v>0</v>
      </c>
      <c r="AO259" s="61" t="str">
        <f aca="false">IF(AK259=1,SUM(AK$5:AK259),"")</f>
        <v/>
      </c>
      <c r="AP259" s="61" t="str">
        <f aca="false">IF(AL259=1,SUM(AL$5:AL259),"")</f>
        <v/>
      </c>
      <c r="AQ259" s="61" t="n">
        <v>0</v>
      </c>
      <c r="AR259" s="61" t="n">
        <v>0</v>
      </c>
      <c r="AS259" s="61" t="n">
        <v>0</v>
      </c>
      <c r="AT259" s="61" t="n">
        <v>0</v>
      </c>
      <c r="AU259" s="61" t="str">
        <f aca="false">SUBSTITUTE(SUBSTITUTE(SUBSTITUTE(SUBSTITUTE(SUBSTITUTE(SUBSTITUTE(SUBSTITUTE(SUBSTITUTE(SUBSTITUTE(SUBSTITUTE(SUBSTITUTE(SUBSTITUTE(SUBSTITUTE(LOWER(T259&amp;""),CHAR(160),"")," ",""),".",""),"-",""),"/",""),"?",""),"_",""),",",""),"[",""),"]",""),"(",""),")",""),"*","")</f>
        <v/>
      </c>
      <c r="AV259" s="61" t="str">
        <f aca="false">SUBSTITUTE(SUBSTITUTE(SUBSTITUTE(SUBSTITUTE(SUBSTITUTE(SUBSTITUTE(SUBSTITUTE(SUBSTITUTE(SUBSTITUTE(SUBSTITUTE(SUBSTITUTE(SUBSTITUTE(SUBSTITUTE(LOWER(V259&amp;""),CHAR(160),"")," ",""),".",""),"-",""),"/",""),"?",""),"_",""),",",""),"[",""),"]",""),"(",""),")",""),"*","")</f>
        <v/>
      </c>
      <c r="AW259" s="61" t="str">
        <f aca="false">SUBSTITUTE(SUBSTITUTE(SUBSTITUTE(SUBSTITUTE(SUBSTITUTE(SUBSTITUTE(SUBSTITUTE(SUBSTITUTE(SUBSTITUTE(SUBSTITUTE(SUBSTITUTE(SUBSTITUTE(SUBSTITUTE(LOWER(Z259&amp;""),CHAR(160),"")," ",""),".",""),"-",""),"/",""),"?",""),"_",""),",",""),"[",""),"]",""),"(",""),")",""),"*","")</f>
        <v/>
      </c>
      <c r="AX259" s="61" t="str">
        <f aca="false">SUBSTITUTE(SUBSTITUTE(SUBSTITUTE(SUBSTITUTE(SUBSTITUTE(SUBSTITUTE(SUBSTITUTE(SUBSTITUTE(SUBSTITUTE(SUBSTITUTE(SUBSTITUTE(SUBSTITUTE(SUBSTITUTE(LOWER(AE259&amp;""),CHAR(160),"")," ",""),".",""),"-",""),"/",""),"?",""),"_",""),",",""),"[",""),"]",""),"(",""),")",""),"*","")</f>
        <v/>
      </c>
      <c r="AY259" s="61" t="str">
        <f aca="false">SUBSTITUTE(SUBSTITUTE(SUBSTITUTE(SUBSTITUTE(SUBSTITUTE(SUBSTITUTE(SUBSTITUTE(SUBSTITUTE(SUBSTITUTE(SUBSTITUTE(SUBSTITUTE(SUBSTITUTE(SUBSTITUTE(LOWER(W259&amp;""),CHAR(160),"")," ",""),".",""),"-",""),"/",""),"?",""),"_",""),",",""),"[",""),"]",""),"(",""),")",""),"*","")</f>
        <v/>
      </c>
      <c r="AZ259" s="61" t="str">
        <f aca="false">SUBSTITUTE(SUBSTITUTE(SUBSTITUTE(SUBSTITUTE(SUBSTITUTE(SUBSTITUTE(SUBSTITUTE(SUBSTITUTE(SUBSTITUTE(SUBSTITUTE(SUBSTITUTE(SUBSTITUTE(SUBSTITUTE(LOWER(AC259&amp;""),CHAR(160),"")," ",""),".",""),"-",""),"/",""),"?",""),"_",""),",",""),"[",""),"]",""),"(",""),")",""),"*","")</f>
        <v/>
      </c>
      <c r="BA259" s="61" t="str">
        <f aca="false">SUBSTITUTE(SUBSTITUTE(SUBSTITUTE(SUBSTITUTE(SUBSTITUTE(SUBSTITUTE(SUBSTITUTE(SUBSTITUTE(SUBSTITUTE(SUBSTITUTE(SUBSTITUTE(SUBSTITUTE(SUBSTITUTE(LOWER(AA259&amp;""),CHAR(160),"")," ",""),".",""),"-",""),"/",""),"?",""),"_",""),",",""),"[",""),"]",""),"(",""),")",""),"*","")</f>
        <v/>
      </c>
      <c r="BB259" s="61" t="str">
        <f aca="false">IF(AND(TRIM(U259)="Pass",ISNUMBER(AF259)),IF(AF259&lt;&gt;0,"INVALID – qty variance: use Fail or Pass after CA",""),"")&amp;IF(AND(TRIM(U259)="Pass after CA",ISNUMBER(AF259)),IF(AF259&lt;&gt;0,"INVALID – after the corrective action the actual qty must equal expected (update Actual)",""),"")&amp;IF(AND(TRIM(U259)="Pass",TRIM(AB259)&lt;&gt;"",TRIM(AB259)&lt;&gt;"Closed"),"INVALID – corrective action not closed: use Fail, then Pass after CA","")&amp;IF(AND(TRIM(AA259)&lt;&gt;"",TRIM(AB259)=""),"INVALID – CA status missing for the recorded corrective action","")&amp;IF(AND(TRIM(U259)="Pass after CA",OR(OR(LEN(BA259)&lt;5,ISNUMBER(MATCH(BA259,L_Placeholder,0))),TRIM(AB259)&lt;&gt;"Closed")),"INVALID – corrective action not recorded/closed","")</f>
        <v/>
      </c>
    </row>
    <row r="260" customFormat="false" ht="39.75" hidden="false" customHeight="true" outlineLevel="0" collapsed="false">
      <c r="A260" s="57" t="s">
        <v>809</v>
      </c>
      <c r="B260" s="57" t="s">
        <v>232</v>
      </c>
      <c r="C260" s="57" t="str">
        <f aca="false">Flights!$F$11</f>
        <v>MH0003</v>
      </c>
      <c r="D260" s="58" t="n">
        <f aca="false">Flights!$D$11</f>
        <v>46304</v>
      </c>
      <c r="E260" s="57" t="str">
        <f aca="false">Flights!$G$11&amp;"-"&amp;Flights!$H$11</f>
        <v>LHR-KUL</v>
      </c>
      <c r="F260" s="57" t="str">
        <f aca="false">Flights!$K$11</f>
        <v>BC</v>
      </c>
      <c r="G260" s="57" t="s">
        <v>437</v>
      </c>
      <c r="H260" s="57" t="s">
        <v>438</v>
      </c>
      <c r="I260" s="57" t="s">
        <v>425</v>
      </c>
      <c r="J260" s="57" t="s">
        <v>633</v>
      </c>
      <c r="K260" s="67" t="s">
        <v>427</v>
      </c>
      <c r="L260" s="67" t="s">
        <v>732</v>
      </c>
      <c r="M260" s="67" t="s">
        <v>429</v>
      </c>
      <c r="N260" s="67" t="s">
        <v>361</v>
      </c>
      <c r="O260" s="67"/>
      <c r="P260" s="57" t="s">
        <v>183</v>
      </c>
      <c r="Q260" s="59" t="n">
        <f aca="false">ROUND((Flights!$AF$11)*1440,0)/1440</f>
        <v>46304.4166666667</v>
      </c>
      <c r="R260" s="59" t="n">
        <f aca="false">Q260+(IF(AND(INDEX(TZ_DSTS,MATCH(P260,TZ_STN,0))&lt;&gt;"",Q260&gt;=INDEX(TZ_DSTS,MATCH(P260,TZ_STN,0)),Q260&lt;INDEX(TZ_DSTE,MATCH(P260,TZ_STN,0))),INDEX(TZ_DST,MATCH(P260,TZ_STN,0)),INDEX(TZ_STD,MATCH(P260,TZ_STN,0))))/24</f>
        <v>46304.4583333333</v>
      </c>
      <c r="S260" s="59" t="n">
        <f aca="false">IF(ISNUMBER(Flights!$AZ$11),MAX(Q260-UpliftWindowH/24,Flights!$AZ$11),Q260-UpliftWindowH/24)</f>
        <v>46304.4166666667</v>
      </c>
      <c r="T260" s="60"/>
      <c r="U260" s="60"/>
      <c r="V260" s="60"/>
      <c r="W260" s="61"/>
      <c r="X260" s="60"/>
      <c r="Y260" s="60"/>
      <c r="Z260" s="60"/>
      <c r="AA260" s="60"/>
      <c r="AB260" s="60"/>
      <c r="AC260" s="60"/>
      <c r="AD260" s="66"/>
      <c r="AE260" s="60"/>
      <c r="AF260" s="61" t="str">
        <f aca="false">IF(AND(ISNUMBER(X260),ISNUMBER(Y260)),Y260-X260,"")</f>
        <v/>
      </c>
      <c r="AG260" s="62" t="str">
        <f aca="false">IF(ISNUMBER(AD260),AD260-(IF(AND(INDEX(TZ_DSTS,MATCH(P260,TZ_STN,0))&lt;&gt;"",(AD260-INDEX(TZ_STD,MATCH(P260,TZ_STN,0))/24)&gt;=INDEX(TZ_DSTS,MATCH(P260,TZ_STN,0)),(AD260-INDEX(TZ_STD,MATCH(P260,TZ_STN,0))/24)&lt;INDEX(TZ_DSTE,MATCH(P260,TZ_STN,0))),INDEX(TZ_DST,MATCH(P260,TZ_STN,0)),INDEX(TZ_STD,MATCH(P260,TZ_STN,0))))/24,"")</f>
        <v/>
      </c>
      <c r="AH260" s="65" t="str">
        <f aca="false">IFERROR(IF(N260="N/A – rule","N/A – RULE",IF(TRIM(U260)="N/A",IF(AT260=0,"INVALID – N/A not permitted for this check",IF(AND(TRIM(AB260)&lt;&gt;"",TRIM(AB260)&lt;&gt;"Closed"),"INVALID – corrective action still open",IF(AND(NOT(OR(LEN(AZ260)&lt;15,ISNUMBER(MATCH(AZ260,L_Placeholder,0)))),NOT(OR(LEN(AU260)&lt;2,ISNUMBER(MATCH(AU260,L_Placeholder,0)))),NOT(OR(LEN(AX260)&lt;2,ISNUMBER(MATCH(AX260,L_Placeholder,0)))),TRIM(AE260)&lt;&gt;TRIM(T260)),"N/A – JUSTIFIED","INVALID – N/A needs a real justification (15+ chars), PIC and a different verifier"))),IF(OR(TRIM(U260)="Pass",TRIM(U260)="Pass after CA"),IF(NOT(ISNUMBER(AD260)),"INVALID – completion time missing",IF(OR(LEN(AU260)&lt;2,ISNUMBER(MATCH(AU260,L_Placeholder,0))),"INVALID – PIC missing",IF(OR(LEN(AV260)&lt;2,ISNUMBER(MATCH(AV260,L_Placeholder,0))),"INVALID – result / assessment missing",IF(OR(OR(LEN(AW260)&lt;3,ISNUMBER(MATCH(AW260,L_Placeholder,0))),SUMPRODUCT(--ISNUMBER(SEARCH(L_EvidencePhrase,AW260)))&gt;0),"INVALID – evidence missing, placeholder or not yet on file",IF(OR(LEN(AX260)&lt;2,ISNUMBER(MATCH(AX260,L_Placeholder,0))),"INVALID – verifier missing",IF(AX260=AU260,"INVALID – verifier must be someone other than the PIC",IF(AND(TRIM(U260)="Pass",SUMPRODUCT(--ISNUMBER(SEARCH(L_ResultBad,AV260)))&gt;0),"INVALID – result describes a problem: use Fail, then Pass after CA",IF(AND(AQ260=1,OR(LEN(AY260)&lt;3,ISNUMBER(MATCH(AY260,L_Placeholder,0)))),"INVALID – batch ID missing or placeholder",IF(AND(AR260=1,OR(NOT(ISNUMBER(X260)),NOT(ISNUMBER(Y260)))),"INVALID – expected/actual qty missing",IF(AND(AR260=1,OR(X260&lt;=0,Y260&lt;0)),"INVALID – expected qty must be above 0 and actual not negative",IF(AH243="N/A – JUSTIFIED","INVALID – preparation row F07-T12-20 is N/A",IF(AND(AR260=1,ISNUMBER(X243),X260&lt;&gt;X243),"INVALID – expected qty differs from preparation check F07-T12-20",IF(BB260&lt;&gt;"",BB260,IF(AND(AS260=1,Documents!$J$11&lt;&gt;"ON FILE"),"INVALID – GLD not on file (Documents sheet)",IF(AND(AS260=2,Documents!$O$11&lt;&gt;"ON FILE"),"INVALID – menu checklist not on file (Documents sheet)",IF(AND(AS260=3,NOT(ISNUMBER(Flights!$AX$11))),"INVALID – enter carrying flight KUL departure (Flights AX)",IF(AND(AS260=3,OR(Flights!$AZ$11&gt;Flights!$AA$11,Flights!$AX$11&lt;Flights!$AA$11-3)),"INVALID – carrying flight (Flights AX) cannot arrive before this leg's STD, or is over 3 days early",IF(AG260&gt;AsOfUTC,"INVALID – completion time is in the future",IF(AND(ISNUMBER(S260),AG260&lt;S260),IF(H260="Physical uplift","INVALID – before uplift window (cannot confirm loading)","INVALID – before valid window"),IF(AG260&gt;Flights!$AA$11,"INVALID – completed after departure (cannot establish readiness)",IF(AND(H260="Preparation",AG260&gt;IF(ISNUMBER(Flights!$BA$11),MIN(Flights!$BA$11,Flights!$AA$11),Flights!$AA$11)),"INVALID – completed after loading / departure (cannot establish readiness)",IF(AND(H260="Physical uplift",AG260&gt;Q260),"INVALID – recorded after the loading flight departed",IF(AG260&gt;Q260,"COMPLETE – LATE","COMPLETE"))))))))))))))))))))))),IF(TRIM(U260)="Fail","FAIL – DISCREPANCY",IF(AND(TRIM(U260)&lt;&gt;"",TRIM(U260)&lt;&gt;"Not started",TRIM(U260)&lt;&gt;"In progress"),"INVALID – unrecognised status (use the list)",IF(AsOfUTC&gt;Q260,"OVERDUE",IF(N260="Clarification required","OPEN – CLARIFICATION","OPEN"))))))),"INVALID – error value in an input cell")</f>
        <v>OPEN</v>
      </c>
      <c r="AI260" s="61" t="n">
        <f aca="false">IF(OR(AH260="N/A – RULE",AH260="N/A – JUSTIFIED"),0,1)</f>
        <v>1</v>
      </c>
      <c r="AJ260" s="61" t="n">
        <f aca="false">IF(LEFT(AH260,8)="COMPLETE",1,0)</f>
        <v>0</v>
      </c>
      <c r="AK260" s="61" t="n">
        <f aca="false">IF(AND(AI260=1,AJ260=0,AsOfUTC&gt;Q260),1,0)</f>
        <v>0</v>
      </c>
      <c r="AL260" s="61" t="n">
        <f aca="false">IFERROR(IF(AND(AI260=1,OR(TRIM(U260)="Fail",AND(TRIM(AB260)&lt;&gt;"",TRIM(AB260)&lt;&gt;"Closed"),AND(ISNUMBER(AF260),AF260&lt;&gt;0,TRIM(U260)&lt;&gt;"Pass after CA"))),1,0),1)</f>
        <v>0</v>
      </c>
      <c r="AM260" s="61" t="n">
        <f aca="false">IF(LEFT(AH260,7)="INVALID",1,0)</f>
        <v>0</v>
      </c>
      <c r="AN260" s="61" t="n">
        <f aca="false">IF(AND(N260="Clarification required",AI260=1,AJ260=0),1,0)</f>
        <v>0</v>
      </c>
      <c r="AO260" s="61" t="str">
        <f aca="false">IF(AK260=1,SUM(AK$5:AK260),"")</f>
        <v/>
      </c>
      <c r="AP260" s="61" t="str">
        <f aca="false">IF(AL260=1,SUM(AL$5:AL260),"")</f>
        <v/>
      </c>
      <c r="AQ260" s="61" t="n">
        <v>0</v>
      </c>
      <c r="AR260" s="61" t="n">
        <v>0</v>
      </c>
      <c r="AS260" s="61" t="n">
        <v>0</v>
      </c>
      <c r="AT260" s="61" t="n">
        <v>0</v>
      </c>
      <c r="AU260" s="61" t="str">
        <f aca="false">SUBSTITUTE(SUBSTITUTE(SUBSTITUTE(SUBSTITUTE(SUBSTITUTE(SUBSTITUTE(SUBSTITUTE(SUBSTITUTE(SUBSTITUTE(SUBSTITUTE(SUBSTITUTE(SUBSTITUTE(SUBSTITUTE(LOWER(T260&amp;""),CHAR(160),"")," ",""),".",""),"-",""),"/",""),"?",""),"_",""),",",""),"[",""),"]",""),"(",""),")",""),"*","")</f>
        <v/>
      </c>
      <c r="AV260" s="61" t="str">
        <f aca="false">SUBSTITUTE(SUBSTITUTE(SUBSTITUTE(SUBSTITUTE(SUBSTITUTE(SUBSTITUTE(SUBSTITUTE(SUBSTITUTE(SUBSTITUTE(SUBSTITUTE(SUBSTITUTE(SUBSTITUTE(SUBSTITUTE(LOWER(V260&amp;""),CHAR(160),"")," ",""),".",""),"-",""),"/",""),"?",""),"_",""),",",""),"[",""),"]",""),"(",""),")",""),"*","")</f>
        <v/>
      </c>
      <c r="AW260" s="61" t="str">
        <f aca="false">SUBSTITUTE(SUBSTITUTE(SUBSTITUTE(SUBSTITUTE(SUBSTITUTE(SUBSTITUTE(SUBSTITUTE(SUBSTITUTE(SUBSTITUTE(SUBSTITUTE(SUBSTITUTE(SUBSTITUTE(SUBSTITUTE(LOWER(Z260&amp;""),CHAR(160),"")," ",""),".",""),"-",""),"/",""),"?",""),"_",""),",",""),"[",""),"]",""),"(",""),")",""),"*","")</f>
        <v/>
      </c>
      <c r="AX260" s="61" t="str">
        <f aca="false">SUBSTITUTE(SUBSTITUTE(SUBSTITUTE(SUBSTITUTE(SUBSTITUTE(SUBSTITUTE(SUBSTITUTE(SUBSTITUTE(SUBSTITUTE(SUBSTITUTE(SUBSTITUTE(SUBSTITUTE(SUBSTITUTE(LOWER(AE260&amp;""),CHAR(160),"")," ",""),".",""),"-",""),"/",""),"?",""),"_",""),",",""),"[",""),"]",""),"(",""),")",""),"*","")</f>
        <v/>
      </c>
      <c r="AY260" s="61" t="str">
        <f aca="false">SUBSTITUTE(SUBSTITUTE(SUBSTITUTE(SUBSTITUTE(SUBSTITUTE(SUBSTITUTE(SUBSTITUTE(SUBSTITUTE(SUBSTITUTE(SUBSTITUTE(SUBSTITUTE(SUBSTITUTE(SUBSTITUTE(LOWER(W260&amp;""),CHAR(160),"")," ",""),".",""),"-",""),"/",""),"?",""),"_",""),",",""),"[",""),"]",""),"(",""),")",""),"*","")</f>
        <v/>
      </c>
      <c r="AZ260" s="61" t="str">
        <f aca="false">SUBSTITUTE(SUBSTITUTE(SUBSTITUTE(SUBSTITUTE(SUBSTITUTE(SUBSTITUTE(SUBSTITUTE(SUBSTITUTE(SUBSTITUTE(SUBSTITUTE(SUBSTITUTE(SUBSTITUTE(SUBSTITUTE(LOWER(AC260&amp;""),CHAR(160),"")," ",""),".",""),"-",""),"/",""),"?",""),"_",""),",",""),"[",""),"]",""),"(",""),")",""),"*","")</f>
        <v/>
      </c>
      <c r="BA260" s="61" t="str">
        <f aca="false">SUBSTITUTE(SUBSTITUTE(SUBSTITUTE(SUBSTITUTE(SUBSTITUTE(SUBSTITUTE(SUBSTITUTE(SUBSTITUTE(SUBSTITUTE(SUBSTITUTE(SUBSTITUTE(SUBSTITUTE(SUBSTITUTE(LOWER(AA260&amp;""),CHAR(160),"")," ",""),".",""),"-",""),"/",""),"?",""),"_",""),",",""),"[",""),"]",""),"(",""),")",""),"*","")</f>
        <v/>
      </c>
      <c r="BB260" s="61" t="str">
        <f aca="false">IF(AND(TRIM(U260)="Pass",ISNUMBER(AF260)),IF(AF260&lt;&gt;0,"INVALID – qty variance: use Fail or Pass after CA",""),"")&amp;IF(AND(TRIM(U260)="Pass after CA",ISNUMBER(AF260)),IF(AF260&lt;&gt;0,"INVALID – after the corrective action the actual qty must equal expected (update Actual)",""),"")&amp;IF(AND(TRIM(U260)="Pass",TRIM(AB260)&lt;&gt;"",TRIM(AB260)&lt;&gt;"Closed"),"INVALID – corrective action not closed: use Fail, then Pass after CA","")&amp;IF(AND(TRIM(AA260)&lt;&gt;"",TRIM(AB260)=""),"INVALID – CA status missing for the recorded corrective action","")&amp;IF(AND(TRIM(U260)="Pass after CA",OR(OR(LEN(BA260)&lt;5,ISNUMBER(MATCH(BA260,L_Placeholder,0))),TRIM(AB260)&lt;&gt;"Closed")),"INVALID – corrective action not recorded/closed","")</f>
        <v/>
      </c>
    </row>
    <row r="261" customFormat="false" ht="39.75" hidden="false" customHeight="true" outlineLevel="0" collapsed="false">
      <c r="A261" s="57" t="s">
        <v>810</v>
      </c>
      <c r="B261" s="57" t="s">
        <v>232</v>
      </c>
      <c r="C261" s="57" t="str">
        <f aca="false">Flights!$F$11</f>
        <v>MH0003</v>
      </c>
      <c r="D261" s="58" t="n">
        <f aca="false">Flights!$D$11</f>
        <v>46304</v>
      </c>
      <c r="E261" s="57" t="str">
        <f aca="false">Flights!$G$11&amp;"-"&amp;Flights!$H$11</f>
        <v>LHR-KUL</v>
      </c>
      <c r="F261" s="57" t="str">
        <f aca="false">Flights!$K$11</f>
        <v>BC</v>
      </c>
      <c r="G261" s="57" t="s">
        <v>437</v>
      </c>
      <c r="H261" s="57" t="s">
        <v>438</v>
      </c>
      <c r="I261" s="57" t="s">
        <v>607</v>
      </c>
      <c r="J261" s="57" t="s">
        <v>635</v>
      </c>
      <c r="K261" s="67" t="s">
        <v>479</v>
      </c>
      <c r="L261" s="67" t="s">
        <v>734</v>
      </c>
      <c r="M261" s="67" t="s">
        <v>184</v>
      </c>
      <c r="N261" s="67" t="s">
        <v>361</v>
      </c>
      <c r="O261" s="67" t="s">
        <v>610</v>
      </c>
      <c r="P261" s="57" t="s">
        <v>183</v>
      </c>
      <c r="Q261" s="59" t="n">
        <f aca="false">ROUND((Flights!$AF$11)*1440,0)/1440</f>
        <v>46304.4166666667</v>
      </c>
      <c r="R261" s="59" t="n">
        <f aca="false">Q261+(IF(AND(INDEX(TZ_DSTS,MATCH(P261,TZ_STN,0))&lt;&gt;"",Q261&gt;=INDEX(TZ_DSTS,MATCH(P261,TZ_STN,0)),Q261&lt;INDEX(TZ_DSTE,MATCH(P261,TZ_STN,0))),INDEX(TZ_DST,MATCH(P261,TZ_STN,0)),INDEX(TZ_STD,MATCH(P261,TZ_STN,0))))/24</f>
        <v>46304.4583333333</v>
      </c>
      <c r="S261" s="59" t="n">
        <f aca="false">IF(ISNUMBER(Flights!$AZ$11),MAX(Q261-UpliftWindowH/24,Flights!$AZ$11),Q261-UpliftWindowH/24)</f>
        <v>46304.4166666667</v>
      </c>
      <c r="T261" s="60"/>
      <c r="U261" s="60"/>
      <c r="V261" s="60"/>
      <c r="W261" s="61"/>
      <c r="X261" s="60"/>
      <c r="Y261" s="60"/>
      <c r="Z261" s="60"/>
      <c r="AA261" s="60"/>
      <c r="AB261" s="60"/>
      <c r="AC261" s="60"/>
      <c r="AD261" s="66"/>
      <c r="AE261" s="60"/>
      <c r="AF261" s="61" t="str">
        <f aca="false">IF(AND(ISNUMBER(X261),ISNUMBER(Y261)),Y261-X261,"")</f>
        <v/>
      </c>
      <c r="AG261" s="62" t="str">
        <f aca="false">IF(ISNUMBER(AD261),AD261-(IF(AND(INDEX(TZ_DSTS,MATCH(P261,TZ_STN,0))&lt;&gt;"",(AD261-INDEX(TZ_STD,MATCH(P261,TZ_STN,0))/24)&gt;=INDEX(TZ_DSTS,MATCH(P261,TZ_STN,0)),(AD261-INDEX(TZ_STD,MATCH(P261,TZ_STN,0))/24)&lt;INDEX(TZ_DSTE,MATCH(P261,TZ_STN,0))),INDEX(TZ_DST,MATCH(P261,TZ_STN,0)),INDEX(TZ_STD,MATCH(P261,TZ_STN,0))))/24,"")</f>
        <v/>
      </c>
      <c r="AH261" s="65" t="str">
        <f aca="false">IFERROR(IF(N261="N/A – rule","N/A – RULE",IF(TRIM(U261)="N/A",IF(AT261=0,"INVALID – N/A not permitted for this check",IF(AND(TRIM(AB261)&lt;&gt;"",TRIM(AB261)&lt;&gt;"Closed"),"INVALID – corrective action still open",IF(AND(NOT(OR(LEN(AZ261)&lt;15,ISNUMBER(MATCH(AZ261,L_Placeholder,0)))),NOT(OR(LEN(AU261)&lt;2,ISNUMBER(MATCH(AU261,L_Placeholder,0)))),NOT(OR(LEN(AX261)&lt;2,ISNUMBER(MATCH(AX261,L_Placeholder,0)))),TRIM(AE261)&lt;&gt;TRIM(T261)),"N/A – JUSTIFIED","INVALID – N/A needs a real justification (15+ chars), PIC and a different verifier"))),IF(OR(TRIM(U261)="Pass",TRIM(U261)="Pass after CA"),IF(NOT(ISNUMBER(AD261)),"INVALID – completion time missing",IF(OR(LEN(AU261)&lt;2,ISNUMBER(MATCH(AU261,L_Placeholder,0))),"INVALID – PIC missing",IF(OR(LEN(AV261)&lt;2,ISNUMBER(MATCH(AV261,L_Placeholder,0))),"INVALID – result / assessment missing",IF(OR(OR(LEN(AW261)&lt;3,ISNUMBER(MATCH(AW261,L_Placeholder,0))),SUMPRODUCT(--ISNUMBER(SEARCH(L_EvidencePhrase,AW261)))&gt;0),"INVALID – evidence missing, placeholder or not yet on file",IF(OR(LEN(AX261)&lt;2,ISNUMBER(MATCH(AX261,L_Placeholder,0))),"INVALID – verifier missing",IF(AX261=AU261,"INVALID – verifier must be someone other than the PIC",IF(AND(TRIM(U261)="Pass",SUMPRODUCT(--ISNUMBER(SEARCH(L_ResultBad,AV261)))&gt;0),"INVALID – result describes a problem: use Fail, then Pass after CA",IF(AND(AQ261=1,OR(LEN(AY261)&lt;3,ISNUMBER(MATCH(AY261,L_Placeholder,0)))),"INVALID – batch ID missing or placeholder",IF(AND(AR261=1,OR(NOT(ISNUMBER(X261)),NOT(ISNUMBER(Y261)))),"INVALID – expected/actual qty missing",IF(AND(AR261=1,OR(X261&lt;=0,Y261&lt;0)),"INVALID – expected qty must be above 0 and actual not negative",IF(AH244="N/A – JUSTIFIED","INVALID – preparation row F07-T12-21 is N/A",IF(AND(AR261=1,ISNUMBER(X244),X261&lt;&gt;X244),"INVALID – expected qty differs from preparation check F07-T12-21",IF(BB261&lt;&gt;"",BB261,IF(AND(AS261=1,Documents!$J$11&lt;&gt;"ON FILE"),"INVALID – GLD not on file (Documents sheet)",IF(AND(AS261=2,Documents!$O$11&lt;&gt;"ON FILE"),"INVALID – menu checklist not on file (Documents sheet)",IF(AND(AS261=3,NOT(ISNUMBER(Flights!$AX$11))),"INVALID – enter carrying flight KUL departure (Flights AX)",IF(AND(AS261=3,OR(Flights!$AZ$11&gt;Flights!$AA$11,Flights!$AX$11&lt;Flights!$AA$11-3)),"INVALID – carrying flight (Flights AX) cannot arrive before this leg's STD, or is over 3 days early",IF(AG261&gt;AsOfUTC,"INVALID – completion time is in the future",IF(AND(ISNUMBER(S261),AG261&lt;S261),IF(H261="Physical uplift","INVALID – before uplift window (cannot confirm loading)","INVALID – before valid window"),IF(AG261&gt;Flights!$AA$11,"INVALID – completed after departure (cannot establish readiness)",IF(AND(H261="Preparation",AG261&gt;IF(ISNUMBER(Flights!$BA$11),MIN(Flights!$BA$11,Flights!$AA$11),Flights!$AA$11)),"INVALID – completed after loading / departure (cannot establish readiness)",IF(AND(H261="Physical uplift",AG261&gt;Q261),"INVALID – recorded after the loading flight departed",IF(AG261&gt;Q261,"COMPLETE – LATE","COMPLETE"))))))))))))))))))))))),IF(TRIM(U261)="Fail","FAIL – DISCREPANCY",IF(AND(TRIM(U261)&lt;&gt;"",TRIM(U261)&lt;&gt;"Not started",TRIM(U261)&lt;&gt;"In progress"),"INVALID – unrecognised status (use the list)",IF(AsOfUTC&gt;Q261,"OVERDUE",IF(N261="Clarification required","OPEN – CLARIFICATION","OPEN"))))))),"INVALID – error value in an input cell")</f>
        <v>OPEN</v>
      </c>
      <c r="AI261" s="61" t="n">
        <f aca="false">IF(OR(AH261="N/A – RULE",AH261="N/A – JUSTIFIED"),0,1)</f>
        <v>1</v>
      </c>
      <c r="AJ261" s="61" t="n">
        <f aca="false">IF(LEFT(AH261,8)="COMPLETE",1,0)</f>
        <v>0</v>
      </c>
      <c r="AK261" s="61" t="n">
        <f aca="false">IF(AND(AI261=1,AJ261=0,AsOfUTC&gt;Q261),1,0)</f>
        <v>0</v>
      </c>
      <c r="AL261" s="61" t="n">
        <f aca="false">IFERROR(IF(AND(AI261=1,OR(TRIM(U261)="Fail",AND(TRIM(AB261)&lt;&gt;"",TRIM(AB261)&lt;&gt;"Closed"),AND(ISNUMBER(AF261),AF261&lt;&gt;0,TRIM(U261)&lt;&gt;"Pass after CA"))),1,0),1)</f>
        <v>0</v>
      </c>
      <c r="AM261" s="61" t="n">
        <f aca="false">IF(LEFT(AH261,7)="INVALID",1,0)</f>
        <v>0</v>
      </c>
      <c r="AN261" s="61" t="n">
        <f aca="false">IF(AND(N261="Clarification required",AI261=1,AJ261=0),1,0)</f>
        <v>0</v>
      </c>
      <c r="AO261" s="61" t="str">
        <f aca="false">IF(AK261=1,SUM(AK$5:AK261),"")</f>
        <v/>
      </c>
      <c r="AP261" s="61" t="str">
        <f aca="false">IF(AL261=1,SUM(AL$5:AL261),"")</f>
        <v/>
      </c>
      <c r="AQ261" s="61" t="n">
        <v>0</v>
      </c>
      <c r="AR261" s="61" t="n">
        <v>0</v>
      </c>
      <c r="AS261" s="61" t="n">
        <v>0</v>
      </c>
      <c r="AT261" s="61" t="n">
        <v>0</v>
      </c>
      <c r="AU261" s="61" t="str">
        <f aca="false">SUBSTITUTE(SUBSTITUTE(SUBSTITUTE(SUBSTITUTE(SUBSTITUTE(SUBSTITUTE(SUBSTITUTE(SUBSTITUTE(SUBSTITUTE(SUBSTITUTE(SUBSTITUTE(SUBSTITUTE(SUBSTITUTE(LOWER(T261&amp;""),CHAR(160),"")," ",""),".",""),"-",""),"/",""),"?",""),"_",""),",",""),"[",""),"]",""),"(",""),")",""),"*","")</f>
        <v/>
      </c>
      <c r="AV261" s="61" t="str">
        <f aca="false">SUBSTITUTE(SUBSTITUTE(SUBSTITUTE(SUBSTITUTE(SUBSTITUTE(SUBSTITUTE(SUBSTITUTE(SUBSTITUTE(SUBSTITUTE(SUBSTITUTE(SUBSTITUTE(SUBSTITUTE(SUBSTITUTE(LOWER(V261&amp;""),CHAR(160),"")," ",""),".",""),"-",""),"/",""),"?",""),"_",""),",",""),"[",""),"]",""),"(",""),")",""),"*","")</f>
        <v/>
      </c>
      <c r="AW261" s="61" t="str">
        <f aca="false">SUBSTITUTE(SUBSTITUTE(SUBSTITUTE(SUBSTITUTE(SUBSTITUTE(SUBSTITUTE(SUBSTITUTE(SUBSTITUTE(SUBSTITUTE(SUBSTITUTE(SUBSTITUTE(SUBSTITUTE(SUBSTITUTE(LOWER(Z261&amp;""),CHAR(160),"")," ",""),".",""),"-",""),"/",""),"?",""),"_",""),",",""),"[",""),"]",""),"(",""),")",""),"*","")</f>
        <v/>
      </c>
      <c r="AX261" s="61" t="str">
        <f aca="false">SUBSTITUTE(SUBSTITUTE(SUBSTITUTE(SUBSTITUTE(SUBSTITUTE(SUBSTITUTE(SUBSTITUTE(SUBSTITUTE(SUBSTITUTE(SUBSTITUTE(SUBSTITUTE(SUBSTITUTE(SUBSTITUTE(LOWER(AE261&amp;""),CHAR(160),"")," ",""),".",""),"-",""),"/",""),"?",""),"_",""),",",""),"[",""),"]",""),"(",""),")",""),"*","")</f>
        <v/>
      </c>
      <c r="AY261" s="61" t="str">
        <f aca="false">SUBSTITUTE(SUBSTITUTE(SUBSTITUTE(SUBSTITUTE(SUBSTITUTE(SUBSTITUTE(SUBSTITUTE(SUBSTITUTE(SUBSTITUTE(SUBSTITUTE(SUBSTITUTE(SUBSTITUTE(SUBSTITUTE(LOWER(W261&amp;""),CHAR(160),"")," ",""),".",""),"-",""),"/",""),"?",""),"_",""),",",""),"[",""),"]",""),"(",""),")",""),"*","")</f>
        <v/>
      </c>
      <c r="AZ261" s="61" t="str">
        <f aca="false">SUBSTITUTE(SUBSTITUTE(SUBSTITUTE(SUBSTITUTE(SUBSTITUTE(SUBSTITUTE(SUBSTITUTE(SUBSTITUTE(SUBSTITUTE(SUBSTITUTE(SUBSTITUTE(SUBSTITUTE(SUBSTITUTE(LOWER(AC261&amp;""),CHAR(160),"")," ",""),".",""),"-",""),"/",""),"?",""),"_",""),",",""),"[",""),"]",""),"(",""),")",""),"*","")</f>
        <v/>
      </c>
      <c r="BA261" s="61" t="str">
        <f aca="false">SUBSTITUTE(SUBSTITUTE(SUBSTITUTE(SUBSTITUTE(SUBSTITUTE(SUBSTITUTE(SUBSTITUTE(SUBSTITUTE(SUBSTITUTE(SUBSTITUTE(SUBSTITUTE(SUBSTITUTE(SUBSTITUTE(LOWER(AA261&amp;""),CHAR(160),"")," ",""),".",""),"-",""),"/",""),"?",""),"_",""),",",""),"[",""),"]",""),"(",""),")",""),"*","")</f>
        <v/>
      </c>
      <c r="BB261" s="61" t="str">
        <f aca="false">IF(AND(TRIM(U261)="Pass",ISNUMBER(AF261)),IF(AF261&lt;&gt;0,"INVALID – qty variance: use Fail or Pass after CA",""),"")&amp;IF(AND(TRIM(U261)="Pass after CA",ISNUMBER(AF261)),IF(AF261&lt;&gt;0,"INVALID – after the corrective action the actual qty must equal expected (update Actual)",""),"")&amp;IF(AND(TRIM(U261)="Pass",TRIM(AB261)&lt;&gt;"",TRIM(AB261)&lt;&gt;"Closed"),"INVALID – corrective action not closed: use Fail, then Pass after CA","")&amp;IF(AND(TRIM(AA261)&lt;&gt;"",TRIM(AB261)=""),"INVALID – CA status missing for the recorded corrective action","")&amp;IF(AND(TRIM(U261)="Pass after CA",OR(OR(LEN(BA261)&lt;5,ISNUMBER(MATCH(BA261,L_Placeholder,0))),TRIM(AB261)&lt;&gt;"Closed")),"INVALID – corrective action not recorded/closed","")</f>
        <v/>
      </c>
    </row>
    <row r="262" customFormat="false" ht="39.75" hidden="false" customHeight="true" outlineLevel="0" collapsed="false">
      <c r="A262" s="57" t="s">
        <v>811</v>
      </c>
      <c r="B262" s="57" t="s">
        <v>235</v>
      </c>
      <c r="C262" s="57" t="str">
        <f aca="false">Flights!$F$12</f>
        <v>MH0752</v>
      </c>
      <c r="D262" s="58" t="n">
        <f aca="false">Flights!$D$12</f>
        <v>46305</v>
      </c>
      <c r="E262" s="57" t="str">
        <f aca="false">Flights!$G$12&amp;"-"&amp;Flights!$H$12</f>
        <v>KUL-HAN</v>
      </c>
      <c r="F262" s="57" t="str">
        <f aca="false">Flights!$K$12</f>
        <v>EY</v>
      </c>
      <c r="G262" s="57" t="s">
        <v>79</v>
      </c>
      <c r="H262" s="57" t="s">
        <v>356</v>
      </c>
      <c r="I262" s="57" t="s">
        <v>357</v>
      </c>
      <c r="J262" s="57" t="s">
        <v>358</v>
      </c>
      <c r="K262" s="67" t="s">
        <v>359</v>
      </c>
      <c r="L262" s="67" t="s">
        <v>360</v>
      </c>
      <c r="M262" s="67"/>
      <c r="N262" s="67" t="s">
        <v>361</v>
      </c>
      <c r="O262" s="67"/>
      <c r="P262" s="57" t="s">
        <v>184</v>
      </c>
      <c r="Q262" s="59" t="n">
        <f aca="false">ROUND((Flights!$AC$12)*1440,0)/1440</f>
        <v>46298.0659722222</v>
      </c>
      <c r="R262" s="59" t="n">
        <f aca="false">Q262+(IF(AND(INDEX(TZ_DSTS,MATCH(P262,TZ_STN,0))&lt;&gt;"",Q262&gt;=INDEX(TZ_DSTS,MATCH(P262,TZ_STN,0)),Q262&lt;INDEX(TZ_DSTE,MATCH(P262,TZ_STN,0))),INDEX(TZ_DST,MATCH(P262,TZ_STN,0)),INDEX(TZ_STD,MATCH(P262,TZ_STN,0))))/24</f>
        <v>46298.3993055556</v>
      </c>
      <c r="S262" s="59" t="n">
        <f aca="false">Q262-T7EarlyD*24/24</f>
        <v>46284.0659722222</v>
      </c>
      <c r="T262" s="60"/>
      <c r="U262" s="60"/>
      <c r="V262" s="60"/>
      <c r="W262" s="61"/>
      <c r="X262" s="60"/>
      <c r="Y262" s="60"/>
      <c r="Z262" s="60"/>
      <c r="AA262" s="60"/>
      <c r="AB262" s="60"/>
      <c r="AC262" s="60"/>
      <c r="AD262" s="66"/>
      <c r="AE262" s="60"/>
      <c r="AF262" s="61" t="str">
        <f aca="false">IF(AND(ISNUMBER(X262),ISNUMBER(Y262)),Y262-X262,"")</f>
        <v/>
      </c>
      <c r="AG262" s="62" t="str">
        <f aca="false">IF(ISNUMBER(AD262),AD262-(IF(AND(INDEX(TZ_DSTS,MATCH(P262,TZ_STN,0))&lt;&gt;"",(AD262-INDEX(TZ_STD,MATCH(P262,TZ_STN,0))/24)&gt;=INDEX(TZ_DSTS,MATCH(P262,TZ_STN,0)),(AD262-INDEX(TZ_STD,MATCH(P262,TZ_STN,0))/24)&lt;INDEX(TZ_DSTE,MATCH(P262,TZ_STN,0))),INDEX(TZ_DST,MATCH(P262,TZ_STN,0)),INDEX(TZ_STD,MATCH(P262,TZ_STN,0))))/24,"")</f>
        <v/>
      </c>
      <c r="AH262" s="65" t="str">
        <f aca="false">IFERROR(IF(N262="N/A – rule","N/A – RULE",IF(TRIM(U262)="N/A",IF(AT262=0,"INVALID – N/A not permitted for this check",IF(AND(TRIM(AB262)&lt;&gt;"",TRIM(AB262)&lt;&gt;"Closed"),"INVALID – corrective action still open",IF(AND(NOT(OR(LEN(AZ262)&lt;15,ISNUMBER(MATCH(AZ262,L_Placeholder,0)))),NOT(OR(LEN(AU262)&lt;2,ISNUMBER(MATCH(AU262,L_Placeholder,0)))),NOT(OR(LEN(AX262)&lt;2,ISNUMBER(MATCH(AX262,L_Placeholder,0)))),TRIM(AE262)&lt;&gt;TRIM(T262)),"N/A – JUSTIFIED","INVALID – N/A needs a real justification (15+ chars), PIC and a different verifier"))),IF(OR(TRIM(U262)="Pass",TRIM(U262)="Pass after CA"),IF(NOT(ISNUMBER(AD262)),"INVALID – completion time missing",IF(OR(LEN(AU262)&lt;2,ISNUMBER(MATCH(AU262,L_Placeholder,0))),"INVALID – PIC missing",IF(OR(LEN(AV262)&lt;2,ISNUMBER(MATCH(AV262,L_Placeholder,0))),"INVALID – result / assessment missing",IF(OR(OR(LEN(AW262)&lt;3,ISNUMBER(MATCH(AW262,L_Placeholder,0))),SUMPRODUCT(--ISNUMBER(SEARCH(L_EvidencePhrase,AW262)))&gt;0),"INVALID – evidence missing, placeholder or not yet on file",IF(OR(LEN(AX262)&lt;2,ISNUMBER(MATCH(AX262,L_Placeholder,0))),"INVALID – verifier missing",IF(AX262=AU262,"INVALID – verifier must be someone other than the PIC",IF(AND(TRIM(U262)="Pass",SUMPRODUCT(--ISNUMBER(SEARCH(L_ResultBad,AV262)))&gt;0),"INVALID – result describes a problem: use Fail, then Pass after CA",IF(AND(AQ262=1,OR(LEN(AY262)&lt;3,ISNUMBER(MATCH(AY262,L_Placeholder,0)))),"INVALID – batch ID missing or placeholder",IF(AND(AR262=1,OR(NOT(ISNUMBER(X262)),NOT(ISNUMBER(Y262)))),"INVALID – expected/actual qty missing",IF(AND(AR262=1,OR(X262&lt;=0,Y262&lt;0)),"INVALID – expected qty must be above 0 and actual not negative",IF(BB262&lt;&gt;"",BB262,IF(AND(AS262=1,Documents!$J$12&lt;&gt;"ON FILE"),"INVALID – GLD not on file (Documents sheet)",IF(AND(AS262=2,Documents!$O$12&lt;&gt;"ON FILE"),"INVALID – menu checklist not on file (Documents sheet)",IF(AND(AS262=3,NOT(ISNUMBER(Flights!$AX$12))),"INVALID – enter carrying flight KUL departure (Flights AX)",IF(AND(AS262=3,OR(Flights!$AZ$12&gt;Flights!$AA$12,Flights!$AX$12&lt;Flights!$AA$12-3)),"INVALID – carrying flight (Flights AX) cannot arrive before this leg's STD, or is over 3 days early",IF(AG262&gt;AsOfUTC,"INVALID – completion time is in the future",IF(AND(ISNUMBER(S262),AG262&lt;S262),IF(H262="Physical uplift","INVALID – before uplift window (cannot confirm loading)","INVALID – before valid window"),IF(AG262&gt;Flights!$AA$12,"INVALID – completed after departure (cannot establish readiness)",IF(AND(H262="Preparation",AG262&gt;IF(ISNUMBER(Flights!$BA$12),MIN(Flights!$BA$12,Flights!$AA$12),Flights!$AA$12)),"INVALID – completed after loading / departure (cannot establish readiness)",IF(AND(H262="Physical uplift",AG262&gt;Q262),"INVALID – recorded after the loading flight departed",IF(AG262&gt;Q262,"COMPLETE – LATE","COMPLETE"))))))))))))))))))))),IF(TRIM(U262)="Fail","FAIL – DISCREPANCY",IF(AND(TRIM(U262)&lt;&gt;"",TRIM(U262)&lt;&gt;"Not started",TRIM(U262)&lt;&gt;"In progress"),"INVALID – unrecognised status (use the list)",IF(AsOfUTC&gt;Q262,"OVERDUE",IF(N262="Clarification required","OPEN – CLARIFICATION","OPEN"))))))),"INVALID – error value in an input cell")</f>
        <v>OPEN</v>
      </c>
      <c r="AI262" s="61" t="n">
        <f aca="false">IF(OR(AH262="N/A – RULE",AH262="N/A – JUSTIFIED"),0,1)</f>
        <v>1</v>
      </c>
      <c r="AJ262" s="61" t="n">
        <f aca="false">IF(LEFT(AH262,8)="COMPLETE",1,0)</f>
        <v>0</v>
      </c>
      <c r="AK262" s="61" t="n">
        <f aca="false">IF(AND(AI262=1,AJ262=0,AsOfUTC&gt;Q262),1,0)</f>
        <v>0</v>
      </c>
      <c r="AL262" s="61" t="n">
        <f aca="false">IFERROR(IF(AND(AI262=1,OR(TRIM(U262)="Fail",AND(TRIM(AB262)&lt;&gt;"",TRIM(AB262)&lt;&gt;"Closed"),AND(ISNUMBER(AF262),AF262&lt;&gt;0,TRIM(U262)&lt;&gt;"Pass after CA"))),1,0),1)</f>
        <v>0</v>
      </c>
      <c r="AM262" s="61" t="n">
        <f aca="false">IF(LEFT(AH262,7)="INVALID",1,0)</f>
        <v>0</v>
      </c>
      <c r="AN262" s="61" t="n">
        <f aca="false">IF(AND(N262="Clarification required",AI262=1,AJ262=0),1,0)</f>
        <v>0</v>
      </c>
      <c r="AO262" s="61" t="str">
        <f aca="false">IF(AK262=1,SUM(AK$5:AK262),"")</f>
        <v/>
      </c>
      <c r="AP262" s="61" t="str">
        <f aca="false">IF(AL262=1,SUM(AL$5:AL262),"")</f>
        <v/>
      </c>
      <c r="AQ262" s="61" t="n">
        <v>0</v>
      </c>
      <c r="AR262" s="61" t="n">
        <v>0</v>
      </c>
      <c r="AS262" s="61" t="n">
        <v>0</v>
      </c>
      <c r="AT262" s="61" t="n">
        <v>0</v>
      </c>
      <c r="AU262" s="61" t="str">
        <f aca="false">SUBSTITUTE(SUBSTITUTE(SUBSTITUTE(SUBSTITUTE(SUBSTITUTE(SUBSTITUTE(SUBSTITUTE(SUBSTITUTE(SUBSTITUTE(SUBSTITUTE(SUBSTITUTE(SUBSTITUTE(SUBSTITUTE(LOWER(T262&amp;""),CHAR(160),"")," ",""),".",""),"-",""),"/",""),"?",""),"_",""),",",""),"[",""),"]",""),"(",""),")",""),"*","")</f>
        <v/>
      </c>
      <c r="AV262" s="61" t="str">
        <f aca="false">SUBSTITUTE(SUBSTITUTE(SUBSTITUTE(SUBSTITUTE(SUBSTITUTE(SUBSTITUTE(SUBSTITUTE(SUBSTITUTE(SUBSTITUTE(SUBSTITUTE(SUBSTITUTE(SUBSTITUTE(SUBSTITUTE(LOWER(V262&amp;""),CHAR(160),"")," ",""),".",""),"-",""),"/",""),"?",""),"_",""),",",""),"[",""),"]",""),"(",""),")",""),"*","")</f>
        <v/>
      </c>
      <c r="AW262" s="61" t="str">
        <f aca="false">SUBSTITUTE(SUBSTITUTE(SUBSTITUTE(SUBSTITUTE(SUBSTITUTE(SUBSTITUTE(SUBSTITUTE(SUBSTITUTE(SUBSTITUTE(SUBSTITUTE(SUBSTITUTE(SUBSTITUTE(SUBSTITUTE(LOWER(Z262&amp;""),CHAR(160),"")," ",""),".",""),"-",""),"/",""),"?",""),"_",""),",",""),"[",""),"]",""),"(",""),")",""),"*","")</f>
        <v/>
      </c>
      <c r="AX262" s="61" t="str">
        <f aca="false">SUBSTITUTE(SUBSTITUTE(SUBSTITUTE(SUBSTITUTE(SUBSTITUTE(SUBSTITUTE(SUBSTITUTE(SUBSTITUTE(SUBSTITUTE(SUBSTITUTE(SUBSTITUTE(SUBSTITUTE(SUBSTITUTE(LOWER(AE262&amp;""),CHAR(160),"")," ",""),".",""),"-",""),"/",""),"?",""),"_",""),",",""),"[",""),"]",""),"(",""),")",""),"*","")</f>
        <v/>
      </c>
      <c r="AY262" s="61" t="str">
        <f aca="false">SUBSTITUTE(SUBSTITUTE(SUBSTITUTE(SUBSTITUTE(SUBSTITUTE(SUBSTITUTE(SUBSTITUTE(SUBSTITUTE(SUBSTITUTE(SUBSTITUTE(SUBSTITUTE(SUBSTITUTE(SUBSTITUTE(LOWER(W262&amp;""),CHAR(160),"")," ",""),".",""),"-",""),"/",""),"?",""),"_",""),",",""),"[",""),"]",""),"(",""),")",""),"*","")</f>
        <v/>
      </c>
      <c r="AZ262" s="61" t="str">
        <f aca="false">SUBSTITUTE(SUBSTITUTE(SUBSTITUTE(SUBSTITUTE(SUBSTITUTE(SUBSTITUTE(SUBSTITUTE(SUBSTITUTE(SUBSTITUTE(SUBSTITUTE(SUBSTITUTE(SUBSTITUTE(SUBSTITUTE(LOWER(AC262&amp;""),CHAR(160),"")," ",""),".",""),"-",""),"/",""),"?",""),"_",""),",",""),"[",""),"]",""),"(",""),")",""),"*","")</f>
        <v/>
      </c>
      <c r="BA262" s="61" t="str">
        <f aca="false">SUBSTITUTE(SUBSTITUTE(SUBSTITUTE(SUBSTITUTE(SUBSTITUTE(SUBSTITUTE(SUBSTITUTE(SUBSTITUTE(SUBSTITUTE(SUBSTITUTE(SUBSTITUTE(SUBSTITUTE(SUBSTITUTE(LOWER(AA262&amp;""),CHAR(160),"")," ",""),".",""),"-",""),"/",""),"?",""),"_",""),",",""),"[",""),"]",""),"(",""),")",""),"*","")</f>
        <v/>
      </c>
      <c r="BB262" s="61" t="str">
        <f aca="false">IF(AND(TRIM(U262)="Pass",ISNUMBER(AF262)),IF(AF262&lt;&gt;0,"INVALID – qty variance: use Fail or Pass after CA",""),"")&amp;IF(AND(TRIM(U262)="Pass after CA",ISNUMBER(AF262)),IF(AF262&lt;&gt;0,"INVALID – after the corrective action the actual qty must equal expected (update Actual)",""),"")&amp;IF(AND(TRIM(U262)="Pass",TRIM(AB262)&lt;&gt;"",TRIM(AB262)&lt;&gt;"Closed"),"INVALID – corrective action not closed: use Fail, then Pass after CA","")&amp;IF(AND(TRIM(AA262)&lt;&gt;"",TRIM(AB262)=""),"INVALID – CA status missing for the recorded corrective action","")&amp;IF(AND(TRIM(U262)="Pass after CA",OR(OR(LEN(BA262)&lt;5,ISNUMBER(MATCH(BA262,L_Placeholder,0))),TRIM(AB262)&lt;&gt;"Closed")),"INVALID – corrective action not recorded/closed","")</f>
        <v/>
      </c>
    </row>
    <row r="263" customFormat="false" ht="39.75" hidden="false" customHeight="true" outlineLevel="0" collapsed="false">
      <c r="A263" s="57" t="s">
        <v>812</v>
      </c>
      <c r="B263" s="57" t="s">
        <v>235</v>
      </c>
      <c r="C263" s="57" t="str">
        <f aca="false">Flights!$F$12</f>
        <v>MH0752</v>
      </c>
      <c r="D263" s="58" t="n">
        <f aca="false">Flights!$D$12</f>
        <v>46305</v>
      </c>
      <c r="E263" s="57" t="str">
        <f aca="false">Flights!$G$12&amp;"-"&amp;Flights!$H$12</f>
        <v>KUL-HAN</v>
      </c>
      <c r="F263" s="57" t="str">
        <f aca="false">Flights!$K$12</f>
        <v>EY</v>
      </c>
      <c r="G263" s="57" t="s">
        <v>79</v>
      </c>
      <c r="H263" s="57" t="s">
        <v>356</v>
      </c>
      <c r="I263" s="57" t="s">
        <v>363</v>
      </c>
      <c r="J263" s="57" t="s">
        <v>364</v>
      </c>
      <c r="K263" s="67" t="s">
        <v>365</v>
      </c>
      <c r="L263" s="67" t="s">
        <v>360</v>
      </c>
      <c r="M263" s="67"/>
      <c r="N263" s="67" t="s">
        <v>361</v>
      </c>
      <c r="O263" s="67"/>
      <c r="P263" s="57" t="s">
        <v>184</v>
      </c>
      <c r="Q263" s="59" t="n">
        <f aca="false">ROUND((Flights!$AC$12)*1440,0)/1440</f>
        <v>46298.0659722222</v>
      </c>
      <c r="R263" s="59" t="n">
        <f aca="false">Q263+(IF(AND(INDEX(TZ_DSTS,MATCH(P263,TZ_STN,0))&lt;&gt;"",Q263&gt;=INDEX(TZ_DSTS,MATCH(P263,TZ_STN,0)),Q263&lt;INDEX(TZ_DSTE,MATCH(P263,TZ_STN,0))),INDEX(TZ_DST,MATCH(P263,TZ_STN,0)),INDEX(TZ_STD,MATCH(P263,TZ_STN,0))))/24</f>
        <v>46298.3993055556</v>
      </c>
      <c r="S263" s="59" t="n">
        <f aca="false">Q263-T7EarlyD*24/24</f>
        <v>46284.0659722222</v>
      </c>
      <c r="T263" s="60"/>
      <c r="U263" s="60"/>
      <c r="V263" s="60"/>
      <c r="W263" s="61"/>
      <c r="X263" s="60"/>
      <c r="Y263" s="60"/>
      <c r="Z263" s="60"/>
      <c r="AA263" s="60"/>
      <c r="AB263" s="60"/>
      <c r="AC263" s="60"/>
      <c r="AD263" s="66"/>
      <c r="AE263" s="60"/>
      <c r="AF263" s="61" t="str">
        <f aca="false">IF(AND(ISNUMBER(X263),ISNUMBER(Y263)),Y263-X263,"")</f>
        <v/>
      </c>
      <c r="AG263" s="62" t="str">
        <f aca="false">IF(ISNUMBER(AD263),AD263-(IF(AND(INDEX(TZ_DSTS,MATCH(P263,TZ_STN,0))&lt;&gt;"",(AD263-INDEX(TZ_STD,MATCH(P263,TZ_STN,0))/24)&gt;=INDEX(TZ_DSTS,MATCH(P263,TZ_STN,0)),(AD263-INDEX(TZ_STD,MATCH(P263,TZ_STN,0))/24)&lt;INDEX(TZ_DSTE,MATCH(P263,TZ_STN,0))),INDEX(TZ_DST,MATCH(P263,TZ_STN,0)),INDEX(TZ_STD,MATCH(P263,TZ_STN,0))))/24,"")</f>
        <v/>
      </c>
      <c r="AH263" s="65" t="str">
        <f aca="false">IFERROR(IF(N263="N/A – rule","N/A – RULE",IF(TRIM(U263)="N/A",IF(AT263=0,"INVALID – N/A not permitted for this check",IF(AND(TRIM(AB263)&lt;&gt;"",TRIM(AB263)&lt;&gt;"Closed"),"INVALID – corrective action still open",IF(AND(NOT(OR(LEN(AZ263)&lt;15,ISNUMBER(MATCH(AZ263,L_Placeholder,0)))),NOT(OR(LEN(AU263)&lt;2,ISNUMBER(MATCH(AU263,L_Placeholder,0)))),NOT(OR(LEN(AX263)&lt;2,ISNUMBER(MATCH(AX263,L_Placeholder,0)))),TRIM(AE263)&lt;&gt;TRIM(T263)),"N/A – JUSTIFIED","INVALID – N/A needs a real justification (15+ chars), PIC and a different verifier"))),IF(OR(TRIM(U263)="Pass",TRIM(U263)="Pass after CA"),IF(NOT(ISNUMBER(AD263)),"INVALID – completion time missing",IF(OR(LEN(AU263)&lt;2,ISNUMBER(MATCH(AU263,L_Placeholder,0))),"INVALID – PIC missing",IF(OR(LEN(AV263)&lt;2,ISNUMBER(MATCH(AV263,L_Placeholder,0))),"INVALID – result / assessment missing",IF(OR(OR(LEN(AW263)&lt;3,ISNUMBER(MATCH(AW263,L_Placeholder,0))),SUMPRODUCT(--ISNUMBER(SEARCH(L_EvidencePhrase,AW263)))&gt;0),"INVALID – evidence missing, placeholder or not yet on file",IF(OR(LEN(AX263)&lt;2,ISNUMBER(MATCH(AX263,L_Placeholder,0))),"INVALID – verifier missing",IF(AX263=AU263,"INVALID – verifier must be someone other than the PIC",IF(AND(TRIM(U263)="Pass",SUMPRODUCT(--ISNUMBER(SEARCH(L_ResultBad,AV263)))&gt;0),"INVALID – result describes a problem: use Fail, then Pass after CA",IF(AND(AQ263=1,OR(LEN(AY263)&lt;3,ISNUMBER(MATCH(AY263,L_Placeholder,0)))),"INVALID – batch ID missing or placeholder",IF(AND(AR263=1,OR(NOT(ISNUMBER(X263)),NOT(ISNUMBER(Y263)))),"INVALID – expected/actual qty missing",IF(AND(AR263=1,OR(X263&lt;=0,Y263&lt;0)),"INVALID – expected qty must be above 0 and actual not negative",IF(BB263&lt;&gt;"",BB263,IF(AND(AS263=1,Documents!$J$12&lt;&gt;"ON FILE"),"INVALID – GLD not on file (Documents sheet)",IF(AND(AS263=2,Documents!$O$12&lt;&gt;"ON FILE"),"INVALID – menu checklist not on file (Documents sheet)",IF(AND(AS263=3,NOT(ISNUMBER(Flights!$AX$12))),"INVALID – enter carrying flight KUL departure (Flights AX)",IF(AND(AS263=3,OR(Flights!$AZ$12&gt;Flights!$AA$12,Flights!$AX$12&lt;Flights!$AA$12-3)),"INVALID – carrying flight (Flights AX) cannot arrive before this leg's STD, or is over 3 days early",IF(AG263&gt;AsOfUTC,"INVALID – completion time is in the future",IF(AND(ISNUMBER(S263),AG263&lt;S263),IF(H263="Physical uplift","INVALID – before uplift window (cannot confirm loading)","INVALID – before valid window"),IF(AG263&gt;Flights!$AA$12,"INVALID – completed after departure (cannot establish readiness)",IF(AND(H263="Preparation",AG263&gt;IF(ISNUMBER(Flights!$BA$12),MIN(Flights!$BA$12,Flights!$AA$12),Flights!$AA$12)),"INVALID – completed after loading / departure (cannot establish readiness)",IF(AND(H263="Physical uplift",AG263&gt;Q263),"INVALID – recorded after the loading flight departed",IF(AG263&gt;Q263,"COMPLETE – LATE","COMPLETE"))))))))))))))))))))),IF(TRIM(U263)="Fail","FAIL – DISCREPANCY",IF(AND(TRIM(U263)&lt;&gt;"",TRIM(U263)&lt;&gt;"Not started",TRIM(U263)&lt;&gt;"In progress"),"INVALID – unrecognised status (use the list)",IF(AsOfUTC&gt;Q263,"OVERDUE",IF(N263="Clarification required","OPEN – CLARIFICATION","OPEN"))))))),"INVALID – error value in an input cell")</f>
        <v>OPEN</v>
      </c>
      <c r="AI263" s="61" t="n">
        <f aca="false">IF(OR(AH263="N/A – RULE",AH263="N/A – JUSTIFIED"),0,1)</f>
        <v>1</v>
      </c>
      <c r="AJ263" s="61" t="n">
        <f aca="false">IF(LEFT(AH263,8)="COMPLETE",1,0)</f>
        <v>0</v>
      </c>
      <c r="AK263" s="61" t="n">
        <f aca="false">IF(AND(AI263=1,AJ263=0,AsOfUTC&gt;Q263),1,0)</f>
        <v>0</v>
      </c>
      <c r="AL263" s="61" t="n">
        <f aca="false">IFERROR(IF(AND(AI263=1,OR(TRIM(U263)="Fail",AND(TRIM(AB263)&lt;&gt;"",TRIM(AB263)&lt;&gt;"Closed"),AND(ISNUMBER(AF263),AF263&lt;&gt;0,TRIM(U263)&lt;&gt;"Pass after CA"))),1,0),1)</f>
        <v>0</v>
      </c>
      <c r="AM263" s="61" t="n">
        <f aca="false">IF(LEFT(AH263,7)="INVALID",1,0)</f>
        <v>0</v>
      </c>
      <c r="AN263" s="61" t="n">
        <f aca="false">IF(AND(N263="Clarification required",AI263=1,AJ263=0),1,0)</f>
        <v>0</v>
      </c>
      <c r="AO263" s="61" t="str">
        <f aca="false">IF(AK263=1,SUM(AK$5:AK263),"")</f>
        <v/>
      </c>
      <c r="AP263" s="61" t="str">
        <f aca="false">IF(AL263=1,SUM(AL$5:AL263),"")</f>
        <v/>
      </c>
      <c r="AQ263" s="61" t="n">
        <v>0</v>
      </c>
      <c r="AR263" s="61" t="n">
        <v>0</v>
      </c>
      <c r="AS263" s="61" t="n">
        <v>0</v>
      </c>
      <c r="AT263" s="61" t="n">
        <v>0</v>
      </c>
      <c r="AU263" s="61" t="str">
        <f aca="false">SUBSTITUTE(SUBSTITUTE(SUBSTITUTE(SUBSTITUTE(SUBSTITUTE(SUBSTITUTE(SUBSTITUTE(SUBSTITUTE(SUBSTITUTE(SUBSTITUTE(SUBSTITUTE(SUBSTITUTE(SUBSTITUTE(LOWER(T263&amp;""),CHAR(160),"")," ",""),".",""),"-",""),"/",""),"?",""),"_",""),",",""),"[",""),"]",""),"(",""),")",""),"*","")</f>
        <v/>
      </c>
      <c r="AV263" s="61" t="str">
        <f aca="false">SUBSTITUTE(SUBSTITUTE(SUBSTITUTE(SUBSTITUTE(SUBSTITUTE(SUBSTITUTE(SUBSTITUTE(SUBSTITUTE(SUBSTITUTE(SUBSTITUTE(SUBSTITUTE(SUBSTITUTE(SUBSTITUTE(LOWER(V263&amp;""),CHAR(160),"")," ",""),".",""),"-",""),"/",""),"?",""),"_",""),",",""),"[",""),"]",""),"(",""),")",""),"*","")</f>
        <v/>
      </c>
      <c r="AW263" s="61" t="str">
        <f aca="false">SUBSTITUTE(SUBSTITUTE(SUBSTITUTE(SUBSTITUTE(SUBSTITUTE(SUBSTITUTE(SUBSTITUTE(SUBSTITUTE(SUBSTITUTE(SUBSTITUTE(SUBSTITUTE(SUBSTITUTE(SUBSTITUTE(LOWER(Z263&amp;""),CHAR(160),"")," ",""),".",""),"-",""),"/",""),"?",""),"_",""),",",""),"[",""),"]",""),"(",""),")",""),"*","")</f>
        <v/>
      </c>
      <c r="AX263" s="61" t="str">
        <f aca="false">SUBSTITUTE(SUBSTITUTE(SUBSTITUTE(SUBSTITUTE(SUBSTITUTE(SUBSTITUTE(SUBSTITUTE(SUBSTITUTE(SUBSTITUTE(SUBSTITUTE(SUBSTITUTE(SUBSTITUTE(SUBSTITUTE(LOWER(AE263&amp;""),CHAR(160),"")," ",""),".",""),"-",""),"/",""),"?",""),"_",""),",",""),"[",""),"]",""),"(",""),")",""),"*","")</f>
        <v/>
      </c>
      <c r="AY263" s="61" t="str">
        <f aca="false">SUBSTITUTE(SUBSTITUTE(SUBSTITUTE(SUBSTITUTE(SUBSTITUTE(SUBSTITUTE(SUBSTITUTE(SUBSTITUTE(SUBSTITUTE(SUBSTITUTE(SUBSTITUTE(SUBSTITUTE(SUBSTITUTE(LOWER(W263&amp;""),CHAR(160),"")," ",""),".",""),"-",""),"/",""),"?",""),"_",""),",",""),"[",""),"]",""),"(",""),")",""),"*","")</f>
        <v/>
      </c>
      <c r="AZ263" s="61" t="str">
        <f aca="false">SUBSTITUTE(SUBSTITUTE(SUBSTITUTE(SUBSTITUTE(SUBSTITUTE(SUBSTITUTE(SUBSTITUTE(SUBSTITUTE(SUBSTITUTE(SUBSTITUTE(SUBSTITUTE(SUBSTITUTE(SUBSTITUTE(LOWER(AC263&amp;""),CHAR(160),"")," ",""),".",""),"-",""),"/",""),"?",""),"_",""),",",""),"[",""),"]",""),"(",""),")",""),"*","")</f>
        <v/>
      </c>
      <c r="BA263" s="61" t="str">
        <f aca="false">SUBSTITUTE(SUBSTITUTE(SUBSTITUTE(SUBSTITUTE(SUBSTITUTE(SUBSTITUTE(SUBSTITUTE(SUBSTITUTE(SUBSTITUTE(SUBSTITUTE(SUBSTITUTE(SUBSTITUTE(SUBSTITUTE(LOWER(AA263&amp;""),CHAR(160),"")," ",""),".",""),"-",""),"/",""),"?",""),"_",""),",",""),"[",""),"]",""),"(",""),")",""),"*","")</f>
        <v/>
      </c>
      <c r="BB263" s="61" t="str">
        <f aca="false">IF(AND(TRIM(U263)="Pass",ISNUMBER(AF263)),IF(AF263&lt;&gt;0,"INVALID – qty variance: use Fail or Pass after CA",""),"")&amp;IF(AND(TRIM(U263)="Pass after CA",ISNUMBER(AF263)),IF(AF263&lt;&gt;0,"INVALID – after the corrective action the actual qty must equal expected (update Actual)",""),"")&amp;IF(AND(TRIM(U263)="Pass",TRIM(AB263)&lt;&gt;"",TRIM(AB263)&lt;&gt;"Closed"),"INVALID – corrective action not closed: use Fail, then Pass after CA","")&amp;IF(AND(TRIM(AA263)&lt;&gt;"",TRIM(AB263)=""),"INVALID – CA status missing for the recorded corrective action","")&amp;IF(AND(TRIM(U263)="Pass after CA",OR(OR(LEN(BA263)&lt;5,ISNUMBER(MATCH(BA263,L_Placeholder,0))),TRIM(AB263)&lt;&gt;"Closed")),"INVALID – corrective action not recorded/closed","")</f>
        <v/>
      </c>
    </row>
    <row r="264" customFormat="false" ht="41.25" hidden="false" customHeight="true" outlineLevel="0" collapsed="false">
      <c r="A264" s="57" t="s">
        <v>813</v>
      </c>
      <c r="B264" s="57" t="s">
        <v>235</v>
      </c>
      <c r="C264" s="57" t="str">
        <f aca="false">Flights!$F$12</f>
        <v>MH0752</v>
      </c>
      <c r="D264" s="58" t="n">
        <f aca="false">Flights!$D$12</f>
        <v>46305</v>
      </c>
      <c r="E264" s="57" t="str">
        <f aca="false">Flights!$G$12&amp;"-"&amp;Flights!$H$12</f>
        <v>KUL-HAN</v>
      </c>
      <c r="F264" s="57" t="str">
        <f aca="false">Flights!$K$12</f>
        <v>EY</v>
      </c>
      <c r="G264" s="57" t="s">
        <v>79</v>
      </c>
      <c r="H264" s="57" t="s">
        <v>356</v>
      </c>
      <c r="I264" s="57" t="s">
        <v>367</v>
      </c>
      <c r="J264" s="57" t="s">
        <v>368</v>
      </c>
      <c r="K264" s="67" t="s">
        <v>369</v>
      </c>
      <c r="L264" s="67" t="s">
        <v>360</v>
      </c>
      <c r="M264" s="67"/>
      <c r="N264" s="67" t="str">
        <f aca="false">IF(TRIM(Flights!$L$12)="A339","Required","N/A – rule")</f>
        <v>N/A – rule</v>
      </c>
      <c r="O264" s="67" t="s">
        <v>370</v>
      </c>
      <c r="P264" s="57" t="s">
        <v>184</v>
      </c>
      <c r="Q264" s="59" t="n">
        <f aca="false">ROUND((Flights!$AC$12)*1440,0)/1440</f>
        <v>46298.0659722222</v>
      </c>
      <c r="R264" s="59" t="n">
        <f aca="false">Q264+(IF(AND(INDEX(TZ_DSTS,MATCH(P264,TZ_STN,0))&lt;&gt;"",Q264&gt;=INDEX(TZ_DSTS,MATCH(P264,TZ_STN,0)),Q264&lt;INDEX(TZ_DSTE,MATCH(P264,TZ_STN,0))),INDEX(TZ_DST,MATCH(P264,TZ_STN,0)),INDEX(TZ_STD,MATCH(P264,TZ_STN,0))))/24</f>
        <v>46298.3993055556</v>
      </c>
      <c r="S264" s="59" t="n">
        <f aca="false">Q264-T7EarlyD*24/24</f>
        <v>46284.0659722222</v>
      </c>
      <c r="T264" s="60"/>
      <c r="U264" s="60"/>
      <c r="V264" s="60"/>
      <c r="W264" s="61"/>
      <c r="X264" s="60"/>
      <c r="Y264" s="60"/>
      <c r="Z264" s="60"/>
      <c r="AA264" s="60"/>
      <c r="AB264" s="60"/>
      <c r="AC264" s="60"/>
      <c r="AD264" s="66"/>
      <c r="AE264" s="60"/>
      <c r="AF264" s="61" t="str">
        <f aca="false">IF(AND(ISNUMBER(X264),ISNUMBER(Y264)),Y264-X264,"")</f>
        <v/>
      </c>
      <c r="AG264" s="62" t="str">
        <f aca="false">IF(ISNUMBER(AD264),AD264-(IF(AND(INDEX(TZ_DSTS,MATCH(P264,TZ_STN,0))&lt;&gt;"",(AD264-INDEX(TZ_STD,MATCH(P264,TZ_STN,0))/24)&gt;=INDEX(TZ_DSTS,MATCH(P264,TZ_STN,0)),(AD264-INDEX(TZ_STD,MATCH(P264,TZ_STN,0))/24)&lt;INDEX(TZ_DSTE,MATCH(P264,TZ_STN,0))),INDEX(TZ_DST,MATCH(P264,TZ_STN,0)),INDEX(TZ_STD,MATCH(P264,TZ_STN,0))))/24,"")</f>
        <v/>
      </c>
      <c r="AH264" s="65" t="str">
        <f aca="false">IFERROR(IF(N264="N/A – rule","N/A – RULE",IF(TRIM(U264)="N/A",IF(AT264=0,"INVALID – N/A not permitted for this check",IF(AND(TRIM(AB264)&lt;&gt;"",TRIM(AB264)&lt;&gt;"Closed"),"INVALID – corrective action still open",IF(AND(NOT(OR(LEN(AZ264)&lt;15,ISNUMBER(MATCH(AZ264,L_Placeholder,0)))),NOT(OR(LEN(AU264)&lt;2,ISNUMBER(MATCH(AU264,L_Placeholder,0)))),NOT(OR(LEN(AX264)&lt;2,ISNUMBER(MATCH(AX264,L_Placeholder,0)))),TRIM(AE264)&lt;&gt;TRIM(T264)),"N/A – JUSTIFIED","INVALID – N/A needs a real justification (15+ chars), PIC and a different verifier"))),IF(OR(TRIM(U264)="Pass",TRIM(U264)="Pass after CA"),IF(NOT(ISNUMBER(AD264)),"INVALID – completion time missing",IF(OR(LEN(AU264)&lt;2,ISNUMBER(MATCH(AU264,L_Placeholder,0))),"INVALID – PIC missing",IF(OR(LEN(AV264)&lt;2,ISNUMBER(MATCH(AV264,L_Placeholder,0))),"INVALID – result / assessment missing",IF(OR(OR(LEN(AW264)&lt;3,ISNUMBER(MATCH(AW264,L_Placeholder,0))),SUMPRODUCT(--ISNUMBER(SEARCH(L_EvidencePhrase,AW264)))&gt;0),"INVALID – evidence missing, placeholder or not yet on file",IF(OR(LEN(AX264)&lt;2,ISNUMBER(MATCH(AX264,L_Placeholder,0))),"INVALID – verifier missing",IF(AX264=AU264,"INVALID – verifier must be someone other than the PIC",IF(AND(TRIM(U264)="Pass",SUMPRODUCT(--ISNUMBER(SEARCH(L_ResultBad,AV264)))&gt;0),"INVALID – result describes a problem: use Fail, then Pass after CA",IF(AND(AQ264=1,OR(LEN(AY264)&lt;3,ISNUMBER(MATCH(AY264,L_Placeholder,0)))),"INVALID – batch ID missing or placeholder",IF(AND(AR264=1,OR(NOT(ISNUMBER(X264)),NOT(ISNUMBER(Y264)))),"INVALID – expected/actual qty missing",IF(AND(AR264=1,OR(X264&lt;=0,Y264&lt;0)),"INVALID – expected qty must be above 0 and actual not negative",IF(BB264&lt;&gt;"",BB264,IF(AND(AS264=1,Documents!$J$12&lt;&gt;"ON FILE"),"INVALID – GLD not on file (Documents sheet)",IF(AND(AS264=2,Documents!$O$12&lt;&gt;"ON FILE"),"INVALID – menu checklist not on file (Documents sheet)",IF(AND(AS264=3,NOT(ISNUMBER(Flights!$AX$12))),"INVALID – enter carrying flight KUL departure (Flights AX)",IF(AND(AS264=3,OR(Flights!$AZ$12&gt;Flights!$AA$12,Flights!$AX$12&lt;Flights!$AA$12-3)),"INVALID – carrying flight (Flights AX) cannot arrive before this leg's STD, or is over 3 days early",IF(AG264&gt;AsOfUTC,"INVALID – completion time is in the future",IF(AND(ISNUMBER(S264),AG264&lt;S264),IF(H264="Physical uplift","INVALID – before uplift window (cannot confirm loading)","INVALID – before valid window"),IF(AG264&gt;Flights!$AA$12,"INVALID – completed after departure (cannot establish readiness)",IF(AND(H264="Preparation",AG264&gt;IF(ISNUMBER(Flights!$BA$12),MIN(Flights!$BA$12,Flights!$AA$12),Flights!$AA$12)),"INVALID – completed after loading / departure (cannot establish readiness)",IF(AND(H264="Physical uplift",AG264&gt;Q264),"INVALID – recorded after the loading flight departed",IF(AG264&gt;Q264,"COMPLETE – LATE","COMPLETE"))))))))))))))))))))),IF(TRIM(U264)="Fail","FAIL – DISCREPANCY",IF(AND(TRIM(U264)&lt;&gt;"",TRIM(U264)&lt;&gt;"Not started",TRIM(U264)&lt;&gt;"In progress"),"INVALID – unrecognised status (use the list)",IF(AsOfUTC&gt;Q264,"OVERDUE",IF(N264="Clarification required","OPEN – CLARIFICATION","OPEN"))))))),"INVALID – error value in an input cell")</f>
        <v>N/A – RULE</v>
      </c>
      <c r="AI264" s="61" t="n">
        <f aca="false">IF(OR(AH264="N/A – RULE",AH264="N/A – JUSTIFIED"),0,1)</f>
        <v>0</v>
      </c>
      <c r="AJ264" s="61" t="n">
        <f aca="false">IF(LEFT(AH264,8)="COMPLETE",1,0)</f>
        <v>0</v>
      </c>
      <c r="AK264" s="61" t="n">
        <f aca="false">IF(AND(AI264=1,AJ264=0,AsOfUTC&gt;Q264),1,0)</f>
        <v>0</v>
      </c>
      <c r="AL264" s="61" t="n">
        <f aca="false">IFERROR(IF(AND(AI264=1,OR(TRIM(U264)="Fail",AND(TRIM(AB264)&lt;&gt;"",TRIM(AB264)&lt;&gt;"Closed"),AND(ISNUMBER(AF264),AF264&lt;&gt;0,TRIM(U264)&lt;&gt;"Pass after CA"))),1,0),1)</f>
        <v>0</v>
      </c>
      <c r="AM264" s="61" t="n">
        <f aca="false">IF(LEFT(AH264,7)="INVALID",1,0)</f>
        <v>0</v>
      </c>
      <c r="AN264" s="61" t="n">
        <f aca="false">IF(AND(N264="Clarification required",AI264=1,AJ264=0),1,0)</f>
        <v>0</v>
      </c>
      <c r="AO264" s="61" t="str">
        <f aca="false">IF(AK264=1,SUM(AK$5:AK264),"")</f>
        <v/>
      </c>
      <c r="AP264" s="61" t="str">
        <f aca="false">IF(AL264=1,SUM(AL$5:AL264),"")</f>
        <v/>
      </c>
      <c r="AQ264" s="61" t="n">
        <v>0</v>
      </c>
      <c r="AR264" s="61" t="n">
        <v>0</v>
      </c>
      <c r="AS264" s="61" t="n">
        <v>0</v>
      </c>
      <c r="AT264" s="61" t="n">
        <v>0</v>
      </c>
      <c r="AU264" s="61" t="str">
        <f aca="false">SUBSTITUTE(SUBSTITUTE(SUBSTITUTE(SUBSTITUTE(SUBSTITUTE(SUBSTITUTE(SUBSTITUTE(SUBSTITUTE(SUBSTITUTE(SUBSTITUTE(SUBSTITUTE(SUBSTITUTE(SUBSTITUTE(LOWER(T264&amp;""),CHAR(160),"")," ",""),".",""),"-",""),"/",""),"?",""),"_",""),",",""),"[",""),"]",""),"(",""),")",""),"*","")</f>
        <v/>
      </c>
      <c r="AV264" s="61" t="str">
        <f aca="false">SUBSTITUTE(SUBSTITUTE(SUBSTITUTE(SUBSTITUTE(SUBSTITUTE(SUBSTITUTE(SUBSTITUTE(SUBSTITUTE(SUBSTITUTE(SUBSTITUTE(SUBSTITUTE(SUBSTITUTE(SUBSTITUTE(LOWER(V264&amp;""),CHAR(160),"")," ",""),".",""),"-",""),"/",""),"?",""),"_",""),",",""),"[",""),"]",""),"(",""),")",""),"*","")</f>
        <v/>
      </c>
      <c r="AW264" s="61" t="str">
        <f aca="false">SUBSTITUTE(SUBSTITUTE(SUBSTITUTE(SUBSTITUTE(SUBSTITUTE(SUBSTITUTE(SUBSTITUTE(SUBSTITUTE(SUBSTITUTE(SUBSTITUTE(SUBSTITUTE(SUBSTITUTE(SUBSTITUTE(LOWER(Z264&amp;""),CHAR(160),"")," ",""),".",""),"-",""),"/",""),"?",""),"_",""),",",""),"[",""),"]",""),"(",""),")",""),"*","")</f>
        <v/>
      </c>
      <c r="AX264" s="61" t="str">
        <f aca="false">SUBSTITUTE(SUBSTITUTE(SUBSTITUTE(SUBSTITUTE(SUBSTITUTE(SUBSTITUTE(SUBSTITUTE(SUBSTITUTE(SUBSTITUTE(SUBSTITUTE(SUBSTITUTE(SUBSTITUTE(SUBSTITUTE(LOWER(AE264&amp;""),CHAR(160),"")," ",""),".",""),"-",""),"/",""),"?",""),"_",""),",",""),"[",""),"]",""),"(",""),")",""),"*","")</f>
        <v/>
      </c>
      <c r="AY264" s="61" t="str">
        <f aca="false">SUBSTITUTE(SUBSTITUTE(SUBSTITUTE(SUBSTITUTE(SUBSTITUTE(SUBSTITUTE(SUBSTITUTE(SUBSTITUTE(SUBSTITUTE(SUBSTITUTE(SUBSTITUTE(SUBSTITUTE(SUBSTITUTE(LOWER(W264&amp;""),CHAR(160),"")," ",""),".",""),"-",""),"/",""),"?",""),"_",""),",",""),"[",""),"]",""),"(",""),")",""),"*","")</f>
        <v/>
      </c>
      <c r="AZ264" s="61" t="str">
        <f aca="false">SUBSTITUTE(SUBSTITUTE(SUBSTITUTE(SUBSTITUTE(SUBSTITUTE(SUBSTITUTE(SUBSTITUTE(SUBSTITUTE(SUBSTITUTE(SUBSTITUTE(SUBSTITUTE(SUBSTITUTE(SUBSTITUTE(LOWER(AC264&amp;""),CHAR(160),"")," ",""),".",""),"-",""),"/",""),"?",""),"_",""),",",""),"[",""),"]",""),"(",""),")",""),"*","")</f>
        <v/>
      </c>
      <c r="BA264" s="61" t="str">
        <f aca="false">SUBSTITUTE(SUBSTITUTE(SUBSTITUTE(SUBSTITUTE(SUBSTITUTE(SUBSTITUTE(SUBSTITUTE(SUBSTITUTE(SUBSTITUTE(SUBSTITUTE(SUBSTITUTE(SUBSTITUTE(SUBSTITUTE(LOWER(AA264&amp;""),CHAR(160),"")," ",""),".",""),"-",""),"/",""),"?",""),"_",""),",",""),"[",""),"]",""),"(",""),")",""),"*","")</f>
        <v/>
      </c>
      <c r="BB264" s="61" t="str">
        <f aca="false">IF(AND(TRIM(U264)="Pass",ISNUMBER(AF264)),IF(AF264&lt;&gt;0,"INVALID – qty variance: use Fail or Pass after CA",""),"")&amp;IF(AND(TRIM(U264)="Pass after CA",ISNUMBER(AF264)),IF(AF264&lt;&gt;0,"INVALID – after the corrective action the actual qty must equal expected (update Actual)",""),"")&amp;IF(AND(TRIM(U264)="Pass",TRIM(AB264)&lt;&gt;"",TRIM(AB264)&lt;&gt;"Closed"),"INVALID – corrective action not closed: use Fail, then Pass after CA","")&amp;IF(AND(TRIM(AA264)&lt;&gt;"",TRIM(AB264)=""),"INVALID – CA status missing for the recorded corrective action","")&amp;IF(AND(TRIM(U264)="Pass after CA",OR(OR(LEN(BA264)&lt;5,ISNUMBER(MATCH(BA264,L_Placeholder,0))),TRIM(AB264)&lt;&gt;"Closed")),"INVALID – corrective action not recorded/closed","")</f>
        <v/>
      </c>
    </row>
    <row r="265" customFormat="false" ht="39.75" hidden="false" customHeight="true" outlineLevel="0" collapsed="false">
      <c r="A265" s="57" t="s">
        <v>814</v>
      </c>
      <c r="B265" s="57" t="s">
        <v>235</v>
      </c>
      <c r="C265" s="57" t="str">
        <f aca="false">Flights!$F$12</f>
        <v>MH0752</v>
      </c>
      <c r="D265" s="58" t="n">
        <f aca="false">Flights!$D$12</f>
        <v>46305</v>
      </c>
      <c r="E265" s="57" t="str">
        <f aca="false">Flights!$G$12&amp;"-"&amp;Flights!$H$12</f>
        <v>KUL-HAN</v>
      </c>
      <c r="F265" s="57" t="str">
        <f aca="false">Flights!$K$12</f>
        <v>EY</v>
      </c>
      <c r="G265" s="57" t="s">
        <v>79</v>
      </c>
      <c r="H265" s="57" t="s">
        <v>356</v>
      </c>
      <c r="I265" s="57" t="s">
        <v>372</v>
      </c>
      <c r="J265" s="57" t="s">
        <v>373</v>
      </c>
      <c r="K265" s="67" t="s">
        <v>374</v>
      </c>
      <c r="L265" s="67" t="s">
        <v>360</v>
      </c>
      <c r="M265" s="67"/>
      <c r="N265" s="67" t="s">
        <v>361</v>
      </c>
      <c r="O265" s="67"/>
      <c r="P265" s="57" t="s">
        <v>184</v>
      </c>
      <c r="Q265" s="59" t="n">
        <f aca="false">ROUND((Flights!$AC$12)*1440,0)/1440</f>
        <v>46298.0659722222</v>
      </c>
      <c r="R265" s="59" t="n">
        <f aca="false">Q265+(IF(AND(INDEX(TZ_DSTS,MATCH(P265,TZ_STN,0))&lt;&gt;"",Q265&gt;=INDEX(TZ_DSTS,MATCH(P265,TZ_STN,0)),Q265&lt;INDEX(TZ_DSTE,MATCH(P265,TZ_STN,0))),INDEX(TZ_DST,MATCH(P265,TZ_STN,0)),INDEX(TZ_STD,MATCH(P265,TZ_STN,0))))/24</f>
        <v>46298.3993055556</v>
      </c>
      <c r="S265" s="59" t="n">
        <f aca="false">Q265-T7EarlyD*24/24</f>
        <v>46284.0659722222</v>
      </c>
      <c r="T265" s="60"/>
      <c r="U265" s="60"/>
      <c r="V265" s="60"/>
      <c r="W265" s="61"/>
      <c r="X265" s="60"/>
      <c r="Y265" s="60"/>
      <c r="Z265" s="60"/>
      <c r="AA265" s="60"/>
      <c r="AB265" s="60"/>
      <c r="AC265" s="60"/>
      <c r="AD265" s="66"/>
      <c r="AE265" s="60"/>
      <c r="AF265" s="61" t="str">
        <f aca="false">IF(AND(ISNUMBER(X265),ISNUMBER(Y265)),Y265-X265,"")</f>
        <v/>
      </c>
      <c r="AG265" s="62" t="str">
        <f aca="false">IF(ISNUMBER(AD265),AD265-(IF(AND(INDEX(TZ_DSTS,MATCH(P265,TZ_STN,0))&lt;&gt;"",(AD265-INDEX(TZ_STD,MATCH(P265,TZ_STN,0))/24)&gt;=INDEX(TZ_DSTS,MATCH(P265,TZ_STN,0)),(AD265-INDEX(TZ_STD,MATCH(P265,TZ_STN,0))/24)&lt;INDEX(TZ_DSTE,MATCH(P265,TZ_STN,0))),INDEX(TZ_DST,MATCH(P265,TZ_STN,0)),INDEX(TZ_STD,MATCH(P265,TZ_STN,0))))/24,"")</f>
        <v/>
      </c>
      <c r="AH265" s="65" t="str">
        <f aca="false">IFERROR(IF(N265="N/A – rule","N/A – RULE",IF(TRIM(U265)="N/A",IF(AT265=0,"INVALID – N/A not permitted for this check",IF(AND(TRIM(AB265)&lt;&gt;"",TRIM(AB265)&lt;&gt;"Closed"),"INVALID – corrective action still open",IF(AND(NOT(OR(LEN(AZ265)&lt;15,ISNUMBER(MATCH(AZ265,L_Placeholder,0)))),NOT(OR(LEN(AU265)&lt;2,ISNUMBER(MATCH(AU265,L_Placeholder,0)))),NOT(OR(LEN(AX265)&lt;2,ISNUMBER(MATCH(AX265,L_Placeholder,0)))),TRIM(AE265)&lt;&gt;TRIM(T265)),"N/A – JUSTIFIED","INVALID – N/A needs a real justification (15+ chars), PIC and a different verifier"))),IF(OR(TRIM(U265)="Pass",TRIM(U265)="Pass after CA"),IF(NOT(ISNUMBER(AD265)),"INVALID – completion time missing",IF(OR(LEN(AU265)&lt;2,ISNUMBER(MATCH(AU265,L_Placeholder,0))),"INVALID – PIC missing",IF(OR(LEN(AV265)&lt;2,ISNUMBER(MATCH(AV265,L_Placeholder,0))),"INVALID – result / assessment missing",IF(OR(OR(LEN(AW265)&lt;3,ISNUMBER(MATCH(AW265,L_Placeholder,0))),SUMPRODUCT(--ISNUMBER(SEARCH(L_EvidencePhrase,AW265)))&gt;0),"INVALID – evidence missing, placeholder or not yet on file",IF(OR(LEN(AX265)&lt;2,ISNUMBER(MATCH(AX265,L_Placeholder,0))),"INVALID – verifier missing",IF(AX265=AU265,"INVALID – verifier must be someone other than the PIC",IF(AND(TRIM(U265)="Pass",SUMPRODUCT(--ISNUMBER(SEARCH(L_ResultBad,AV265)))&gt;0),"INVALID – result describes a problem: use Fail, then Pass after CA",IF(AND(AQ265=1,OR(LEN(AY265)&lt;3,ISNUMBER(MATCH(AY265,L_Placeholder,0)))),"INVALID – batch ID missing or placeholder",IF(AND(AR265=1,OR(NOT(ISNUMBER(X265)),NOT(ISNUMBER(Y265)))),"INVALID – expected/actual qty missing",IF(AND(AR265=1,OR(X265&lt;=0,Y265&lt;0)),"INVALID – expected qty must be above 0 and actual not negative",IF(BB265&lt;&gt;"",BB265,IF(AND(AS265=1,Documents!$J$12&lt;&gt;"ON FILE"),"INVALID – GLD not on file (Documents sheet)",IF(AND(AS265=2,Documents!$O$12&lt;&gt;"ON FILE"),"INVALID – menu checklist not on file (Documents sheet)",IF(AND(AS265=3,NOT(ISNUMBER(Flights!$AX$12))),"INVALID – enter carrying flight KUL departure (Flights AX)",IF(AND(AS265=3,OR(Flights!$AZ$12&gt;Flights!$AA$12,Flights!$AX$12&lt;Flights!$AA$12-3)),"INVALID – carrying flight (Flights AX) cannot arrive before this leg's STD, or is over 3 days early",IF(AG265&gt;AsOfUTC,"INVALID – completion time is in the future",IF(AND(ISNUMBER(S265),AG265&lt;S265),IF(H265="Physical uplift","INVALID – before uplift window (cannot confirm loading)","INVALID – before valid window"),IF(AG265&gt;Flights!$AA$12,"INVALID – completed after departure (cannot establish readiness)",IF(AND(H265="Preparation",AG265&gt;IF(ISNUMBER(Flights!$BA$12),MIN(Flights!$BA$12,Flights!$AA$12),Flights!$AA$12)),"INVALID – completed after loading / departure (cannot establish readiness)",IF(AND(H265="Physical uplift",AG265&gt;Q265),"INVALID – recorded after the loading flight departed",IF(AG265&gt;Q265,"COMPLETE – LATE","COMPLETE"))))))))))))))))))))),IF(TRIM(U265)="Fail","FAIL – DISCREPANCY",IF(AND(TRIM(U265)&lt;&gt;"",TRIM(U265)&lt;&gt;"Not started",TRIM(U265)&lt;&gt;"In progress"),"INVALID – unrecognised status (use the list)",IF(AsOfUTC&gt;Q265,"OVERDUE",IF(N265="Clarification required","OPEN – CLARIFICATION","OPEN"))))))),"INVALID – error value in an input cell")</f>
        <v>OPEN</v>
      </c>
      <c r="AI265" s="61" t="n">
        <f aca="false">IF(OR(AH265="N/A – RULE",AH265="N/A – JUSTIFIED"),0,1)</f>
        <v>1</v>
      </c>
      <c r="AJ265" s="61" t="n">
        <f aca="false">IF(LEFT(AH265,8)="COMPLETE",1,0)</f>
        <v>0</v>
      </c>
      <c r="AK265" s="61" t="n">
        <f aca="false">IF(AND(AI265=1,AJ265=0,AsOfUTC&gt;Q265),1,0)</f>
        <v>0</v>
      </c>
      <c r="AL265" s="61" t="n">
        <f aca="false">IFERROR(IF(AND(AI265=1,OR(TRIM(U265)="Fail",AND(TRIM(AB265)&lt;&gt;"",TRIM(AB265)&lt;&gt;"Closed"),AND(ISNUMBER(AF265),AF265&lt;&gt;0,TRIM(U265)&lt;&gt;"Pass after CA"))),1,0),1)</f>
        <v>0</v>
      </c>
      <c r="AM265" s="61" t="n">
        <f aca="false">IF(LEFT(AH265,7)="INVALID",1,0)</f>
        <v>0</v>
      </c>
      <c r="AN265" s="61" t="n">
        <f aca="false">IF(AND(N265="Clarification required",AI265=1,AJ265=0),1,0)</f>
        <v>0</v>
      </c>
      <c r="AO265" s="61" t="str">
        <f aca="false">IF(AK265=1,SUM(AK$5:AK265),"")</f>
        <v/>
      </c>
      <c r="AP265" s="61" t="str">
        <f aca="false">IF(AL265=1,SUM(AL$5:AL265),"")</f>
        <v/>
      </c>
      <c r="AQ265" s="61" t="n">
        <v>0</v>
      </c>
      <c r="AR265" s="61" t="n">
        <v>0</v>
      </c>
      <c r="AS265" s="61" t="n">
        <v>0</v>
      </c>
      <c r="AT265" s="61" t="n">
        <v>0</v>
      </c>
      <c r="AU265" s="61" t="str">
        <f aca="false">SUBSTITUTE(SUBSTITUTE(SUBSTITUTE(SUBSTITUTE(SUBSTITUTE(SUBSTITUTE(SUBSTITUTE(SUBSTITUTE(SUBSTITUTE(SUBSTITUTE(SUBSTITUTE(SUBSTITUTE(SUBSTITUTE(LOWER(T265&amp;""),CHAR(160),"")," ",""),".",""),"-",""),"/",""),"?",""),"_",""),",",""),"[",""),"]",""),"(",""),")",""),"*","")</f>
        <v/>
      </c>
      <c r="AV265" s="61" t="str">
        <f aca="false">SUBSTITUTE(SUBSTITUTE(SUBSTITUTE(SUBSTITUTE(SUBSTITUTE(SUBSTITUTE(SUBSTITUTE(SUBSTITUTE(SUBSTITUTE(SUBSTITUTE(SUBSTITUTE(SUBSTITUTE(SUBSTITUTE(LOWER(V265&amp;""),CHAR(160),"")," ",""),".",""),"-",""),"/",""),"?",""),"_",""),",",""),"[",""),"]",""),"(",""),")",""),"*","")</f>
        <v/>
      </c>
      <c r="AW265" s="61" t="str">
        <f aca="false">SUBSTITUTE(SUBSTITUTE(SUBSTITUTE(SUBSTITUTE(SUBSTITUTE(SUBSTITUTE(SUBSTITUTE(SUBSTITUTE(SUBSTITUTE(SUBSTITUTE(SUBSTITUTE(SUBSTITUTE(SUBSTITUTE(LOWER(Z265&amp;""),CHAR(160),"")," ",""),".",""),"-",""),"/",""),"?",""),"_",""),",",""),"[",""),"]",""),"(",""),")",""),"*","")</f>
        <v/>
      </c>
      <c r="AX265" s="61" t="str">
        <f aca="false">SUBSTITUTE(SUBSTITUTE(SUBSTITUTE(SUBSTITUTE(SUBSTITUTE(SUBSTITUTE(SUBSTITUTE(SUBSTITUTE(SUBSTITUTE(SUBSTITUTE(SUBSTITUTE(SUBSTITUTE(SUBSTITUTE(LOWER(AE265&amp;""),CHAR(160),"")," ",""),".",""),"-",""),"/",""),"?",""),"_",""),",",""),"[",""),"]",""),"(",""),")",""),"*","")</f>
        <v/>
      </c>
      <c r="AY265" s="61" t="str">
        <f aca="false">SUBSTITUTE(SUBSTITUTE(SUBSTITUTE(SUBSTITUTE(SUBSTITUTE(SUBSTITUTE(SUBSTITUTE(SUBSTITUTE(SUBSTITUTE(SUBSTITUTE(SUBSTITUTE(SUBSTITUTE(SUBSTITUTE(LOWER(W265&amp;""),CHAR(160),"")," ",""),".",""),"-",""),"/",""),"?",""),"_",""),",",""),"[",""),"]",""),"(",""),")",""),"*","")</f>
        <v/>
      </c>
      <c r="AZ265" s="61" t="str">
        <f aca="false">SUBSTITUTE(SUBSTITUTE(SUBSTITUTE(SUBSTITUTE(SUBSTITUTE(SUBSTITUTE(SUBSTITUTE(SUBSTITUTE(SUBSTITUTE(SUBSTITUTE(SUBSTITUTE(SUBSTITUTE(SUBSTITUTE(LOWER(AC265&amp;""),CHAR(160),"")," ",""),".",""),"-",""),"/",""),"?",""),"_",""),",",""),"[",""),"]",""),"(",""),")",""),"*","")</f>
        <v/>
      </c>
      <c r="BA265" s="61" t="str">
        <f aca="false">SUBSTITUTE(SUBSTITUTE(SUBSTITUTE(SUBSTITUTE(SUBSTITUTE(SUBSTITUTE(SUBSTITUTE(SUBSTITUTE(SUBSTITUTE(SUBSTITUTE(SUBSTITUTE(SUBSTITUTE(SUBSTITUTE(LOWER(AA265&amp;""),CHAR(160),"")," ",""),".",""),"-",""),"/",""),"?",""),"_",""),",",""),"[",""),"]",""),"(",""),")",""),"*","")</f>
        <v/>
      </c>
      <c r="BB265" s="61" t="str">
        <f aca="false">IF(AND(TRIM(U265)="Pass",ISNUMBER(AF265)),IF(AF265&lt;&gt;0,"INVALID – qty variance: use Fail or Pass after CA",""),"")&amp;IF(AND(TRIM(U265)="Pass after CA",ISNUMBER(AF265)),IF(AF265&lt;&gt;0,"INVALID – after the corrective action the actual qty must equal expected (update Actual)",""),"")&amp;IF(AND(TRIM(U265)="Pass",TRIM(AB265)&lt;&gt;"",TRIM(AB265)&lt;&gt;"Closed"),"INVALID – corrective action not closed: use Fail, then Pass after CA","")&amp;IF(AND(TRIM(AA265)&lt;&gt;"",TRIM(AB265)=""),"INVALID – CA status missing for the recorded corrective action","")&amp;IF(AND(TRIM(U265)="Pass after CA",OR(OR(LEN(BA265)&lt;5,ISNUMBER(MATCH(BA265,L_Placeholder,0))),TRIM(AB265)&lt;&gt;"Closed")),"INVALID – corrective action not recorded/closed","")</f>
        <v/>
      </c>
    </row>
    <row r="266" customFormat="false" ht="39.75" hidden="false" customHeight="true" outlineLevel="0" collapsed="false">
      <c r="A266" s="57" t="s">
        <v>815</v>
      </c>
      <c r="B266" s="57" t="s">
        <v>235</v>
      </c>
      <c r="C266" s="57" t="str">
        <f aca="false">Flights!$F$12</f>
        <v>MH0752</v>
      </c>
      <c r="D266" s="58" t="n">
        <f aca="false">Flights!$D$12</f>
        <v>46305</v>
      </c>
      <c r="E266" s="57" t="str">
        <f aca="false">Flights!$G$12&amp;"-"&amp;Flights!$H$12</f>
        <v>KUL-HAN</v>
      </c>
      <c r="F266" s="57" t="str">
        <f aca="false">Flights!$K$12</f>
        <v>EY</v>
      </c>
      <c r="G266" s="57" t="s">
        <v>79</v>
      </c>
      <c r="H266" s="57" t="s">
        <v>356</v>
      </c>
      <c r="I266" s="57" t="s">
        <v>376</v>
      </c>
      <c r="J266" s="57" t="s">
        <v>377</v>
      </c>
      <c r="K266" s="67" t="s">
        <v>378</v>
      </c>
      <c r="L266" s="67" t="s">
        <v>360</v>
      </c>
      <c r="M266" s="67"/>
      <c r="N266" s="67" t="s">
        <v>361</v>
      </c>
      <c r="O266" s="67"/>
      <c r="P266" s="57" t="s">
        <v>184</v>
      </c>
      <c r="Q266" s="59" t="n">
        <f aca="false">ROUND((Flights!$AC$12)*1440,0)/1440</f>
        <v>46298.0659722222</v>
      </c>
      <c r="R266" s="59" t="n">
        <f aca="false">Q266+(IF(AND(INDEX(TZ_DSTS,MATCH(P266,TZ_STN,0))&lt;&gt;"",Q266&gt;=INDEX(TZ_DSTS,MATCH(P266,TZ_STN,0)),Q266&lt;INDEX(TZ_DSTE,MATCH(P266,TZ_STN,0))),INDEX(TZ_DST,MATCH(P266,TZ_STN,0)),INDEX(TZ_STD,MATCH(P266,TZ_STN,0))))/24</f>
        <v>46298.3993055556</v>
      </c>
      <c r="S266" s="59" t="n">
        <f aca="false">Q266-T7EarlyD*24/24</f>
        <v>46284.0659722222</v>
      </c>
      <c r="T266" s="60"/>
      <c r="U266" s="60"/>
      <c r="V266" s="60"/>
      <c r="W266" s="61"/>
      <c r="X266" s="60"/>
      <c r="Y266" s="60"/>
      <c r="Z266" s="60"/>
      <c r="AA266" s="60"/>
      <c r="AB266" s="60"/>
      <c r="AC266" s="60"/>
      <c r="AD266" s="66"/>
      <c r="AE266" s="60"/>
      <c r="AF266" s="61" t="str">
        <f aca="false">IF(AND(ISNUMBER(X266),ISNUMBER(Y266)),Y266-X266,"")</f>
        <v/>
      </c>
      <c r="AG266" s="62" t="str">
        <f aca="false">IF(ISNUMBER(AD266),AD266-(IF(AND(INDEX(TZ_DSTS,MATCH(P266,TZ_STN,0))&lt;&gt;"",(AD266-INDEX(TZ_STD,MATCH(P266,TZ_STN,0))/24)&gt;=INDEX(TZ_DSTS,MATCH(P266,TZ_STN,0)),(AD266-INDEX(TZ_STD,MATCH(P266,TZ_STN,0))/24)&lt;INDEX(TZ_DSTE,MATCH(P266,TZ_STN,0))),INDEX(TZ_DST,MATCH(P266,TZ_STN,0)),INDEX(TZ_STD,MATCH(P266,TZ_STN,0))))/24,"")</f>
        <v/>
      </c>
      <c r="AH266" s="65" t="str">
        <f aca="false">IFERROR(IF(N266="N/A – rule","N/A – RULE",IF(TRIM(U266)="N/A",IF(AT266=0,"INVALID – N/A not permitted for this check",IF(AND(TRIM(AB266)&lt;&gt;"",TRIM(AB266)&lt;&gt;"Closed"),"INVALID – corrective action still open",IF(AND(NOT(OR(LEN(AZ266)&lt;15,ISNUMBER(MATCH(AZ266,L_Placeholder,0)))),NOT(OR(LEN(AU266)&lt;2,ISNUMBER(MATCH(AU266,L_Placeholder,0)))),NOT(OR(LEN(AX266)&lt;2,ISNUMBER(MATCH(AX266,L_Placeholder,0)))),TRIM(AE266)&lt;&gt;TRIM(T266)),"N/A – JUSTIFIED","INVALID – N/A needs a real justification (15+ chars), PIC and a different verifier"))),IF(OR(TRIM(U266)="Pass",TRIM(U266)="Pass after CA"),IF(NOT(ISNUMBER(AD266)),"INVALID – completion time missing",IF(OR(LEN(AU266)&lt;2,ISNUMBER(MATCH(AU266,L_Placeholder,0))),"INVALID – PIC missing",IF(OR(LEN(AV266)&lt;2,ISNUMBER(MATCH(AV266,L_Placeholder,0))),"INVALID – result / assessment missing",IF(OR(OR(LEN(AW266)&lt;3,ISNUMBER(MATCH(AW266,L_Placeholder,0))),SUMPRODUCT(--ISNUMBER(SEARCH(L_EvidencePhrase,AW266)))&gt;0),"INVALID – evidence missing, placeholder or not yet on file",IF(OR(LEN(AX266)&lt;2,ISNUMBER(MATCH(AX266,L_Placeholder,0))),"INVALID – verifier missing",IF(AX266=AU266,"INVALID – verifier must be someone other than the PIC",IF(AND(TRIM(U266)="Pass",SUMPRODUCT(--ISNUMBER(SEARCH(L_ResultBad,AV266)))&gt;0),"INVALID – result describes a problem: use Fail, then Pass after CA",IF(AND(AQ266=1,OR(LEN(AY266)&lt;3,ISNUMBER(MATCH(AY266,L_Placeholder,0)))),"INVALID – batch ID missing or placeholder",IF(AND(AR266=1,OR(NOT(ISNUMBER(X266)),NOT(ISNUMBER(Y266)))),"INVALID – expected/actual qty missing",IF(AND(AR266=1,OR(X266&lt;=0,Y266&lt;0)),"INVALID – expected qty must be above 0 and actual not negative",IF(BB266&lt;&gt;"",BB266,IF(AND(AS266=1,Documents!$J$12&lt;&gt;"ON FILE"),"INVALID – GLD not on file (Documents sheet)",IF(AND(AS266=2,Documents!$O$12&lt;&gt;"ON FILE"),"INVALID – menu checklist not on file (Documents sheet)",IF(AND(AS266=3,NOT(ISNUMBER(Flights!$AX$12))),"INVALID – enter carrying flight KUL departure (Flights AX)",IF(AND(AS266=3,OR(Flights!$AZ$12&gt;Flights!$AA$12,Flights!$AX$12&lt;Flights!$AA$12-3)),"INVALID – carrying flight (Flights AX) cannot arrive before this leg's STD, or is over 3 days early",IF(AG266&gt;AsOfUTC,"INVALID – completion time is in the future",IF(AND(ISNUMBER(S266),AG266&lt;S266),IF(H266="Physical uplift","INVALID – before uplift window (cannot confirm loading)","INVALID – before valid window"),IF(AG266&gt;Flights!$AA$12,"INVALID – completed after departure (cannot establish readiness)",IF(AND(H266="Preparation",AG266&gt;IF(ISNUMBER(Flights!$BA$12),MIN(Flights!$BA$12,Flights!$AA$12),Flights!$AA$12)),"INVALID – completed after loading / departure (cannot establish readiness)",IF(AND(H266="Physical uplift",AG266&gt;Q266),"INVALID – recorded after the loading flight departed",IF(AG266&gt;Q266,"COMPLETE – LATE","COMPLETE"))))))))))))))))))))),IF(TRIM(U266)="Fail","FAIL – DISCREPANCY",IF(AND(TRIM(U266)&lt;&gt;"",TRIM(U266)&lt;&gt;"Not started",TRIM(U266)&lt;&gt;"In progress"),"INVALID – unrecognised status (use the list)",IF(AsOfUTC&gt;Q266,"OVERDUE",IF(N266="Clarification required","OPEN – CLARIFICATION","OPEN"))))))),"INVALID – error value in an input cell")</f>
        <v>OPEN</v>
      </c>
      <c r="AI266" s="61" t="n">
        <f aca="false">IF(OR(AH266="N/A – RULE",AH266="N/A – JUSTIFIED"),0,1)</f>
        <v>1</v>
      </c>
      <c r="AJ266" s="61" t="n">
        <f aca="false">IF(LEFT(AH266,8)="COMPLETE",1,0)</f>
        <v>0</v>
      </c>
      <c r="AK266" s="61" t="n">
        <f aca="false">IF(AND(AI266=1,AJ266=0,AsOfUTC&gt;Q266),1,0)</f>
        <v>0</v>
      </c>
      <c r="AL266" s="61" t="n">
        <f aca="false">IFERROR(IF(AND(AI266=1,OR(TRIM(U266)="Fail",AND(TRIM(AB266)&lt;&gt;"",TRIM(AB266)&lt;&gt;"Closed"),AND(ISNUMBER(AF266),AF266&lt;&gt;0,TRIM(U266)&lt;&gt;"Pass after CA"))),1,0),1)</f>
        <v>0</v>
      </c>
      <c r="AM266" s="61" t="n">
        <f aca="false">IF(LEFT(AH266,7)="INVALID",1,0)</f>
        <v>0</v>
      </c>
      <c r="AN266" s="61" t="n">
        <f aca="false">IF(AND(N266="Clarification required",AI266=1,AJ266=0),1,0)</f>
        <v>0</v>
      </c>
      <c r="AO266" s="61" t="str">
        <f aca="false">IF(AK266=1,SUM(AK$5:AK266),"")</f>
        <v/>
      </c>
      <c r="AP266" s="61" t="str">
        <f aca="false">IF(AL266=1,SUM(AL$5:AL266),"")</f>
        <v/>
      </c>
      <c r="AQ266" s="61" t="n">
        <v>0</v>
      </c>
      <c r="AR266" s="61" t="n">
        <v>0</v>
      </c>
      <c r="AS266" s="61" t="n">
        <v>0</v>
      </c>
      <c r="AT266" s="61" t="n">
        <v>0</v>
      </c>
      <c r="AU266" s="61" t="str">
        <f aca="false">SUBSTITUTE(SUBSTITUTE(SUBSTITUTE(SUBSTITUTE(SUBSTITUTE(SUBSTITUTE(SUBSTITUTE(SUBSTITUTE(SUBSTITUTE(SUBSTITUTE(SUBSTITUTE(SUBSTITUTE(SUBSTITUTE(LOWER(T266&amp;""),CHAR(160),"")," ",""),".",""),"-",""),"/",""),"?",""),"_",""),",",""),"[",""),"]",""),"(",""),")",""),"*","")</f>
        <v/>
      </c>
      <c r="AV266" s="61" t="str">
        <f aca="false">SUBSTITUTE(SUBSTITUTE(SUBSTITUTE(SUBSTITUTE(SUBSTITUTE(SUBSTITUTE(SUBSTITUTE(SUBSTITUTE(SUBSTITUTE(SUBSTITUTE(SUBSTITUTE(SUBSTITUTE(SUBSTITUTE(LOWER(V266&amp;""),CHAR(160),"")," ",""),".",""),"-",""),"/",""),"?",""),"_",""),",",""),"[",""),"]",""),"(",""),")",""),"*","")</f>
        <v/>
      </c>
      <c r="AW266" s="61" t="str">
        <f aca="false">SUBSTITUTE(SUBSTITUTE(SUBSTITUTE(SUBSTITUTE(SUBSTITUTE(SUBSTITUTE(SUBSTITUTE(SUBSTITUTE(SUBSTITUTE(SUBSTITUTE(SUBSTITUTE(SUBSTITUTE(SUBSTITUTE(LOWER(Z266&amp;""),CHAR(160),"")," ",""),".",""),"-",""),"/",""),"?",""),"_",""),",",""),"[",""),"]",""),"(",""),")",""),"*","")</f>
        <v/>
      </c>
      <c r="AX266" s="61" t="str">
        <f aca="false">SUBSTITUTE(SUBSTITUTE(SUBSTITUTE(SUBSTITUTE(SUBSTITUTE(SUBSTITUTE(SUBSTITUTE(SUBSTITUTE(SUBSTITUTE(SUBSTITUTE(SUBSTITUTE(SUBSTITUTE(SUBSTITUTE(LOWER(AE266&amp;""),CHAR(160),"")," ",""),".",""),"-",""),"/",""),"?",""),"_",""),",",""),"[",""),"]",""),"(",""),")",""),"*","")</f>
        <v/>
      </c>
      <c r="AY266" s="61" t="str">
        <f aca="false">SUBSTITUTE(SUBSTITUTE(SUBSTITUTE(SUBSTITUTE(SUBSTITUTE(SUBSTITUTE(SUBSTITUTE(SUBSTITUTE(SUBSTITUTE(SUBSTITUTE(SUBSTITUTE(SUBSTITUTE(SUBSTITUTE(LOWER(W266&amp;""),CHAR(160),"")," ",""),".",""),"-",""),"/",""),"?",""),"_",""),",",""),"[",""),"]",""),"(",""),")",""),"*","")</f>
        <v/>
      </c>
      <c r="AZ266" s="61" t="str">
        <f aca="false">SUBSTITUTE(SUBSTITUTE(SUBSTITUTE(SUBSTITUTE(SUBSTITUTE(SUBSTITUTE(SUBSTITUTE(SUBSTITUTE(SUBSTITUTE(SUBSTITUTE(SUBSTITUTE(SUBSTITUTE(SUBSTITUTE(LOWER(AC266&amp;""),CHAR(160),"")," ",""),".",""),"-",""),"/",""),"?",""),"_",""),",",""),"[",""),"]",""),"(",""),")",""),"*","")</f>
        <v/>
      </c>
      <c r="BA266" s="61" t="str">
        <f aca="false">SUBSTITUTE(SUBSTITUTE(SUBSTITUTE(SUBSTITUTE(SUBSTITUTE(SUBSTITUTE(SUBSTITUTE(SUBSTITUTE(SUBSTITUTE(SUBSTITUTE(SUBSTITUTE(SUBSTITUTE(SUBSTITUTE(LOWER(AA266&amp;""),CHAR(160),"")," ",""),".",""),"-",""),"/",""),"?",""),"_",""),",",""),"[",""),"]",""),"(",""),")",""),"*","")</f>
        <v/>
      </c>
      <c r="BB266" s="61" t="str">
        <f aca="false">IF(AND(TRIM(U266)="Pass",ISNUMBER(AF266)),IF(AF266&lt;&gt;0,"INVALID – qty variance: use Fail or Pass after CA",""),"")&amp;IF(AND(TRIM(U266)="Pass after CA",ISNUMBER(AF266)),IF(AF266&lt;&gt;0,"INVALID – after the corrective action the actual qty must equal expected (update Actual)",""),"")&amp;IF(AND(TRIM(U266)="Pass",TRIM(AB266)&lt;&gt;"",TRIM(AB266)&lt;&gt;"Closed"),"INVALID – corrective action not closed: use Fail, then Pass after CA","")&amp;IF(AND(TRIM(AA266)&lt;&gt;"",TRIM(AB266)=""),"INVALID – CA status missing for the recorded corrective action","")&amp;IF(AND(TRIM(U266)="Pass after CA",OR(OR(LEN(BA266)&lt;5,ISNUMBER(MATCH(BA266,L_Placeholder,0))),TRIM(AB266)&lt;&gt;"Closed")),"INVALID – corrective action not recorded/closed","")</f>
        <v/>
      </c>
    </row>
    <row r="267" customFormat="false" ht="39.75" hidden="false" customHeight="true" outlineLevel="0" collapsed="false">
      <c r="A267" s="57" t="s">
        <v>816</v>
      </c>
      <c r="B267" s="57" t="s">
        <v>235</v>
      </c>
      <c r="C267" s="57" t="str">
        <f aca="false">Flights!$F$12</f>
        <v>MH0752</v>
      </c>
      <c r="D267" s="58" t="n">
        <f aca="false">Flights!$D$12</f>
        <v>46305</v>
      </c>
      <c r="E267" s="57" t="str">
        <f aca="false">Flights!$G$12&amp;"-"&amp;Flights!$H$12</f>
        <v>KUL-HAN</v>
      </c>
      <c r="F267" s="57" t="str">
        <f aca="false">Flights!$K$12</f>
        <v>EY</v>
      </c>
      <c r="G267" s="57" t="s">
        <v>79</v>
      </c>
      <c r="H267" s="57" t="s">
        <v>356</v>
      </c>
      <c r="I267" s="57" t="s">
        <v>376</v>
      </c>
      <c r="J267" s="57" t="s">
        <v>380</v>
      </c>
      <c r="K267" s="67" t="s">
        <v>381</v>
      </c>
      <c r="L267" s="67" t="s">
        <v>360</v>
      </c>
      <c r="M267" s="67"/>
      <c r="N267" s="67" t="s">
        <v>361</v>
      </c>
      <c r="O267" s="67"/>
      <c r="P267" s="57" t="s">
        <v>184</v>
      </c>
      <c r="Q267" s="59" t="n">
        <f aca="false">ROUND((Flights!$AC$12)*1440,0)/1440</f>
        <v>46298.0659722222</v>
      </c>
      <c r="R267" s="59" t="n">
        <f aca="false">Q267+(IF(AND(INDEX(TZ_DSTS,MATCH(P267,TZ_STN,0))&lt;&gt;"",Q267&gt;=INDEX(TZ_DSTS,MATCH(P267,TZ_STN,0)),Q267&lt;INDEX(TZ_DSTE,MATCH(P267,TZ_STN,0))),INDEX(TZ_DST,MATCH(P267,TZ_STN,0)),INDEX(TZ_STD,MATCH(P267,TZ_STN,0))))/24</f>
        <v>46298.3993055556</v>
      </c>
      <c r="S267" s="59" t="n">
        <f aca="false">Q267-T7EarlyD*24/24</f>
        <v>46284.0659722222</v>
      </c>
      <c r="T267" s="60"/>
      <c r="U267" s="60"/>
      <c r="V267" s="60"/>
      <c r="W267" s="61"/>
      <c r="X267" s="60"/>
      <c r="Y267" s="60"/>
      <c r="Z267" s="60"/>
      <c r="AA267" s="60"/>
      <c r="AB267" s="60"/>
      <c r="AC267" s="60"/>
      <c r="AD267" s="66"/>
      <c r="AE267" s="60"/>
      <c r="AF267" s="61" t="str">
        <f aca="false">IF(AND(ISNUMBER(X267),ISNUMBER(Y267)),Y267-X267,"")</f>
        <v/>
      </c>
      <c r="AG267" s="62" t="str">
        <f aca="false">IF(ISNUMBER(AD267),AD267-(IF(AND(INDEX(TZ_DSTS,MATCH(P267,TZ_STN,0))&lt;&gt;"",(AD267-INDEX(TZ_STD,MATCH(P267,TZ_STN,0))/24)&gt;=INDEX(TZ_DSTS,MATCH(P267,TZ_STN,0)),(AD267-INDEX(TZ_STD,MATCH(P267,TZ_STN,0))/24)&lt;INDEX(TZ_DSTE,MATCH(P267,TZ_STN,0))),INDEX(TZ_DST,MATCH(P267,TZ_STN,0)),INDEX(TZ_STD,MATCH(P267,TZ_STN,0))))/24,"")</f>
        <v/>
      </c>
      <c r="AH267" s="65" t="str">
        <f aca="false">IFERROR(IF(N267="N/A – rule","N/A – RULE",IF(TRIM(U267)="N/A",IF(AT267=0,"INVALID – N/A not permitted for this check",IF(AND(TRIM(AB267)&lt;&gt;"",TRIM(AB267)&lt;&gt;"Closed"),"INVALID – corrective action still open",IF(AND(NOT(OR(LEN(AZ267)&lt;15,ISNUMBER(MATCH(AZ267,L_Placeholder,0)))),NOT(OR(LEN(AU267)&lt;2,ISNUMBER(MATCH(AU267,L_Placeholder,0)))),NOT(OR(LEN(AX267)&lt;2,ISNUMBER(MATCH(AX267,L_Placeholder,0)))),TRIM(AE267)&lt;&gt;TRIM(T267)),"N/A – JUSTIFIED","INVALID – N/A needs a real justification (15+ chars), PIC and a different verifier"))),IF(OR(TRIM(U267)="Pass",TRIM(U267)="Pass after CA"),IF(NOT(ISNUMBER(AD267)),"INVALID – completion time missing",IF(OR(LEN(AU267)&lt;2,ISNUMBER(MATCH(AU267,L_Placeholder,0))),"INVALID – PIC missing",IF(OR(LEN(AV267)&lt;2,ISNUMBER(MATCH(AV267,L_Placeholder,0))),"INVALID – result / assessment missing",IF(OR(OR(LEN(AW267)&lt;3,ISNUMBER(MATCH(AW267,L_Placeholder,0))),SUMPRODUCT(--ISNUMBER(SEARCH(L_EvidencePhrase,AW267)))&gt;0),"INVALID – evidence missing, placeholder or not yet on file",IF(OR(LEN(AX267)&lt;2,ISNUMBER(MATCH(AX267,L_Placeholder,0))),"INVALID – verifier missing",IF(AX267=AU267,"INVALID – verifier must be someone other than the PIC",IF(AND(TRIM(U267)="Pass",SUMPRODUCT(--ISNUMBER(SEARCH(L_ResultBad,AV267)))&gt;0),"INVALID – result describes a problem: use Fail, then Pass after CA",IF(AND(AQ267=1,OR(LEN(AY267)&lt;3,ISNUMBER(MATCH(AY267,L_Placeholder,0)))),"INVALID – batch ID missing or placeholder",IF(AND(AR267=1,OR(NOT(ISNUMBER(X267)),NOT(ISNUMBER(Y267)))),"INVALID – expected/actual qty missing",IF(AND(AR267=1,OR(X267&lt;=0,Y267&lt;0)),"INVALID – expected qty must be above 0 and actual not negative",IF(BB267&lt;&gt;"",BB267,IF(AND(AS267=1,Documents!$J$12&lt;&gt;"ON FILE"),"INVALID – GLD not on file (Documents sheet)",IF(AND(AS267=2,Documents!$O$12&lt;&gt;"ON FILE"),"INVALID – menu checklist not on file (Documents sheet)",IF(AND(AS267=3,NOT(ISNUMBER(Flights!$AX$12))),"INVALID – enter carrying flight KUL departure (Flights AX)",IF(AND(AS267=3,OR(Flights!$AZ$12&gt;Flights!$AA$12,Flights!$AX$12&lt;Flights!$AA$12-3)),"INVALID – carrying flight (Flights AX) cannot arrive before this leg's STD, or is over 3 days early",IF(AG267&gt;AsOfUTC,"INVALID – completion time is in the future",IF(AND(ISNUMBER(S267),AG267&lt;S267),IF(H267="Physical uplift","INVALID – before uplift window (cannot confirm loading)","INVALID – before valid window"),IF(AG267&gt;Flights!$AA$12,"INVALID – completed after departure (cannot establish readiness)",IF(AND(H267="Preparation",AG267&gt;IF(ISNUMBER(Flights!$BA$12),MIN(Flights!$BA$12,Flights!$AA$12),Flights!$AA$12)),"INVALID – completed after loading / departure (cannot establish readiness)",IF(AND(H267="Physical uplift",AG267&gt;Q267),"INVALID – recorded after the loading flight departed",IF(AG267&gt;Q267,"COMPLETE – LATE","COMPLETE"))))))))))))))))))))),IF(TRIM(U267)="Fail","FAIL – DISCREPANCY",IF(AND(TRIM(U267)&lt;&gt;"",TRIM(U267)&lt;&gt;"Not started",TRIM(U267)&lt;&gt;"In progress"),"INVALID – unrecognised status (use the list)",IF(AsOfUTC&gt;Q267,"OVERDUE",IF(N267="Clarification required","OPEN – CLARIFICATION","OPEN"))))))),"INVALID – error value in an input cell")</f>
        <v>OPEN</v>
      </c>
      <c r="AI267" s="61" t="n">
        <f aca="false">IF(OR(AH267="N/A – RULE",AH267="N/A – JUSTIFIED"),0,1)</f>
        <v>1</v>
      </c>
      <c r="AJ267" s="61" t="n">
        <f aca="false">IF(LEFT(AH267,8)="COMPLETE",1,0)</f>
        <v>0</v>
      </c>
      <c r="AK267" s="61" t="n">
        <f aca="false">IF(AND(AI267=1,AJ267=0,AsOfUTC&gt;Q267),1,0)</f>
        <v>0</v>
      </c>
      <c r="AL267" s="61" t="n">
        <f aca="false">IFERROR(IF(AND(AI267=1,OR(TRIM(U267)="Fail",AND(TRIM(AB267)&lt;&gt;"",TRIM(AB267)&lt;&gt;"Closed"),AND(ISNUMBER(AF267),AF267&lt;&gt;0,TRIM(U267)&lt;&gt;"Pass after CA"))),1,0),1)</f>
        <v>0</v>
      </c>
      <c r="AM267" s="61" t="n">
        <f aca="false">IF(LEFT(AH267,7)="INVALID",1,0)</f>
        <v>0</v>
      </c>
      <c r="AN267" s="61" t="n">
        <f aca="false">IF(AND(N267="Clarification required",AI267=1,AJ267=0),1,0)</f>
        <v>0</v>
      </c>
      <c r="AO267" s="61" t="str">
        <f aca="false">IF(AK267=1,SUM(AK$5:AK267),"")</f>
        <v/>
      </c>
      <c r="AP267" s="61" t="str">
        <f aca="false">IF(AL267=1,SUM(AL$5:AL267),"")</f>
        <v/>
      </c>
      <c r="AQ267" s="61" t="n">
        <v>0</v>
      </c>
      <c r="AR267" s="61" t="n">
        <v>0</v>
      </c>
      <c r="AS267" s="61" t="n">
        <v>0</v>
      </c>
      <c r="AT267" s="61" t="n">
        <v>0</v>
      </c>
      <c r="AU267" s="61" t="str">
        <f aca="false">SUBSTITUTE(SUBSTITUTE(SUBSTITUTE(SUBSTITUTE(SUBSTITUTE(SUBSTITUTE(SUBSTITUTE(SUBSTITUTE(SUBSTITUTE(SUBSTITUTE(SUBSTITUTE(SUBSTITUTE(SUBSTITUTE(LOWER(T267&amp;""),CHAR(160),"")," ",""),".",""),"-",""),"/",""),"?",""),"_",""),",",""),"[",""),"]",""),"(",""),")",""),"*","")</f>
        <v/>
      </c>
      <c r="AV267" s="61" t="str">
        <f aca="false">SUBSTITUTE(SUBSTITUTE(SUBSTITUTE(SUBSTITUTE(SUBSTITUTE(SUBSTITUTE(SUBSTITUTE(SUBSTITUTE(SUBSTITUTE(SUBSTITUTE(SUBSTITUTE(SUBSTITUTE(SUBSTITUTE(LOWER(V267&amp;""),CHAR(160),"")," ",""),".",""),"-",""),"/",""),"?",""),"_",""),",",""),"[",""),"]",""),"(",""),")",""),"*","")</f>
        <v/>
      </c>
      <c r="AW267" s="61" t="str">
        <f aca="false">SUBSTITUTE(SUBSTITUTE(SUBSTITUTE(SUBSTITUTE(SUBSTITUTE(SUBSTITUTE(SUBSTITUTE(SUBSTITUTE(SUBSTITUTE(SUBSTITUTE(SUBSTITUTE(SUBSTITUTE(SUBSTITUTE(LOWER(Z267&amp;""),CHAR(160),"")," ",""),".",""),"-",""),"/",""),"?",""),"_",""),",",""),"[",""),"]",""),"(",""),")",""),"*","")</f>
        <v/>
      </c>
      <c r="AX267" s="61" t="str">
        <f aca="false">SUBSTITUTE(SUBSTITUTE(SUBSTITUTE(SUBSTITUTE(SUBSTITUTE(SUBSTITUTE(SUBSTITUTE(SUBSTITUTE(SUBSTITUTE(SUBSTITUTE(SUBSTITUTE(SUBSTITUTE(SUBSTITUTE(LOWER(AE267&amp;""),CHAR(160),"")," ",""),".",""),"-",""),"/",""),"?",""),"_",""),",",""),"[",""),"]",""),"(",""),")",""),"*","")</f>
        <v/>
      </c>
      <c r="AY267" s="61" t="str">
        <f aca="false">SUBSTITUTE(SUBSTITUTE(SUBSTITUTE(SUBSTITUTE(SUBSTITUTE(SUBSTITUTE(SUBSTITUTE(SUBSTITUTE(SUBSTITUTE(SUBSTITUTE(SUBSTITUTE(SUBSTITUTE(SUBSTITUTE(LOWER(W267&amp;""),CHAR(160),"")," ",""),".",""),"-",""),"/",""),"?",""),"_",""),",",""),"[",""),"]",""),"(",""),")",""),"*","")</f>
        <v/>
      </c>
      <c r="AZ267" s="61" t="str">
        <f aca="false">SUBSTITUTE(SUBSTITUTE(SUBSTITUTE(SUBSTITUTE(SUBSTITUTE(SUBSTITUTE(SUBSTITUTE(SUBSTITUTE(SUBSTITUTE(SUBSTITUTE(SUBSTITUTE(SUBSTITUTE(SUBSTITUTE(LOWER(AC267&amp;""),CHAR(160),"")," ",""),".",""),"-",""),"/",""),"?",""),"_",""),",",""),"[",""),"]",""),"(",""),")",""),"*","")</f>
        <v/>
      </c>
      <c r="BA267" s="61" t="str">
        <f aca="false">SUBSTITUTE(SUBSTITUTE(SUBSTITUTE(SUBSTITUTE(SUBSTITUTE(SUBSTITUTE(SUBSTITUTE(SUBSTITUTE(SUBSTITUTE(SUBSTITUTE(SUBSTITUTE(SUBSTITUTE(SUBSTITUTE(LOWER(AA267&amp;""),CHAR(160),"")," ",""),".",""),"-",""),"/",""),"?",""),"_",""),",",""),"[",""),"]",""),"(",""),")",""),"*","")</f>
        <v/>
      </c>
      <c r="BB267" s="61" t="str">
        <f aca="false">IF(AND(TRIM(U267)="Pass",ISNUMBER(AF267)),IF(AF267&lt;&gt;0,"INVALID – qty variance: use Fail or Pass after CA",""),"")&amp;IF(AND(TRIM(U267)="Pass after CA",ISNUMBER(AF267)),IF(AF267&lt;&gt;0,"INVALID – after the corrective action the actual qty must equal expected (update Actual)",""),"")&amp;IF(AND(TRIM(U267)="Pass",TRIM(AB267)&lt;&gt;"",TRIM(AB267)&lt;&gt;"Closed"),"INVALID – corrective action not closed: use Fail, then Pass after CA","")&amp;IF(AND(TRIM(AA267)&lt;&gt;"",TRIM(AB267)=""),"INVALID – CA status missing for the recorded corrective action","")&amp;IF(AND(TRIM(U267)="Pass after CA",OR(OR(LEN(BA267)&lt;5,ISNUMBER(MATCH(BA267,L_Placeholder,0))),TRIM(AB267)&lt;&gt;"Closed")),"INVALID – corrective action not recorded/closed","")</f>
        <v/>
      </c>
    </row>
    <row r="268" customFormat="false" ht="39.75" hidden="false" customHeight="true" outlineLevel="0" collapsed="false">
      <c r="A268" s="57" t="s">
        <v>817</v>
      </c>
      <c r="B268" s="57" t="s">
        <v>235</v>
      </c>
      <c r="C268" s="57" t="str">
        <f aca="false">Flights!$F$12</f>
        <v>MH0752</v>
      </c>
      <c r="D268" s="58" t="n">
        <f aca="false">Flights!$D$12</f>
        <v>46305</v>
      </c>
      <c r="E268" s="57" t="str">
        <f aca="false">Flights!$G$12&amp;"-"&amp;Flights!$H$12</f>
        <v>KUL-HAN</v>
      </c>
      <c r="F268" s="57" t="str">
        <f aca="false">Flights!$K$12</f>
        <v>EY</v>
      </c>
      <c r="G268" s="57" t="s">
        <v>79</v>
      </c>
      <c r="H268" s="57" t="s">
        <v>356</v>
      </c>
      <c r="I268" s="57" t="s">
        <v>383</v>
      </c>
      <c r="J268" s="57" t="s">
        <v>384</v>
      </c>
      <c r="K268" s="67" t="s">
        <v>385</v>
      </c>
      <c r="L268" s="67" t="s">
        <v>360</v>
      </c>
      <c r="M268" s="67"/>
      <c r="N268" s="67" t="s">
        <v>361</v>
      </c>
      <c r="O268" s="67"/>
      <c r="P268" s="57" t="s">
        <v>184</v>
      </c>
      <c r="Q268" s="59" t="n">
        <f aca="false">ROUND((Flights!$AC$12)*1440,0)/1440</f>
        <v>46298.0659722222</v>
      </c>
      <c r="R268" s="59" t="n">
        <f aca="false">Q268+(IF(AND(INDEX(TZ_DSTS,MATCH(P268,TZ_STN,0))&lt;&gt;"",Q268&gt;=INDEX(TZ_DSTS,MATCH(P268,TZ_STN,0)),Q268&lt;INDEX(TZ_DSTE,MATCH(P268,TZ_STN,0))),INDEX(TZ_DST,MATCH(P268,TZ_STN,0)),INDEX(TZ_STD,MATCH(P268,TZ_STN,0))))/24</f>
        <v>46298.3993055556</v>
      </c>
      <c r="S268" s="59" t="n">
        <f aca="false">Q268-T7EarlyD*24/24</f>
        <v>46284.0659722222</v>
      </c>
      <c r="T268" s="60"/>
      <c r="U268" s="60"/>
      <c r="V268" s="60"/>
      <c r="W268" s="61"/>
      <c r="X268" s="60"/>
      <c r="Y268" s="60"/>
      <c r="Z268" s="60"/>
      <c r="AA268" s="60"/>
      <c r="AB268" s="60"/>
      <c r="AC268" s="60"/>
      <c r="AD268" s="66"/>
      <c r="AE268" s="60"/>
      <c r="AF268" s="61" t="str">
        <f aca="false">IF(AND(ISNUMBER(X268),ISNUMBER(Y268)),Y268-X268,"")</f>
        <v/>
      </c>
      <c r="AG268" s="62" t="str">
        <f aca="false">IF(ISNUMBER(AD268),AD268-(IF(AND(INDEX(TZ_DSTS,MATCH(P268,TZ_STN,0))&lt;&gt;"",(AD268-INDEX(TZ_STD,MATCH(P268,TZ_STN,0))/24)&gt;=INDEX(TZ_DSTS,MATCH(P268,TZ_STN,0)),(AD268-INDEX(TZ_STD,MATCH(P268,TZ_STN,0))/24)&lt;INDEX(TZ_DSTE,MATCH(P268,TZ_STN,0))),INDEX(TZ_DST,MATCH(P268,TZ_STN,0)),INDEX(TZ_STD,MATCH(P268,TZ_STN,0))))/24,"")</f>
        <v/>
      </c>
      <c r="AH268" s="65" t="str">
        <f aca="false">IFERROR(IF(N268="N/A – rule","N/A – RULE",IF(TRIM(U268)="N/A",IF(AT268=0,"INVALID – N/A not permitted for this check",IF(AND(TRIM(AB268)&lt;&gt;"",TRIM(AB268)&lt;&gt;"Closed"),"INVALID – corrective action still open",IF(AND(NOT(OR(LEN(AZ268)&lt;15,ISNUMBER(MATCH(AZ268,L_Placeholder,0)))),NOT(OR(LEN(AU268)&lt;2,ISNUMBER(MATCH(AU268,L_Placeholder,0)))),NOT(OR(LEN(AX268)&lt;2,ISNUMBER(MATCH(AX268,L_Placeholder,0)))),TRIM(AE268)&lt;&gt;TRIM(T268)),"N/A – JUSTIFIED","INVALID – N/A needs a real justification (15+ chars), PIC and a different verifier"))),IF(OR(TRIM(U268)="Pass",TRIM(U268)="Pass after CA"),IF(NOT(ISNUMBER(AD268)),"INVALID – completion time missing",IF(OR(LEN(AU268)&lt;2,ISNUMBER(MATCH(AU268,L_Placeholder,0))),"INVALID – PIC missing",IF(OR(LEN(AV268)&lt;2,ISNUMBER(MATCH(AV268,L_Placeholder,0))),"INVALID – result / assessment missing",IF(OR(OR(LEN(AW268)&lt;3,ISNUMBER(MATCH(AW268,L_Placeholder,0))),SUMPRODUCT(--ISNUMBER(SEARCH(L_EvidencePhrase,AW268)))&gt;0),"INVALID – evidence missing, placeholder or not yet on file",IF(OR(LEN(AX268)&lt;2,ISNUMBER(MATCH(AX268,L_Placeholder,0))),"INVALID – verifier missing",IF(AX268=AU268,"INVALID – verifier must be someone other than the PIC",IF(AND(TRIM(U268)="Pass",SUMPRODUCT(--ISNUMBER(SEARCH(L_ResultBad,AV268)))&gt;0),"INVALID – result describes a problem: use Fail, then Pass after CA",IF(AND(AQ268=1,OR(LEN(AY268)&lt;3,ISNUMBER(MATCH(AY268,L_Placeholder,0)))),"INVALID – batch ID missing or placeholder",IF(AND(AR268=1,OR(NOT(ISNUMBER(X268)),NOT(ISNUMBER(Y268)))),"INVALID – expected/actual qty missing",IF(AND(AR268=1,OR(X268&lt;=0,Y268&lt;0)),"INVALID – expected qty must be above 0 and actual not negative",IF(BB268&lt;&gt;"",BB268,IF(AND(AS268=1,Documents!$J$12&lt;&gt;"ON FILE"),"INVALID – GLD not on file (Documents sheet)",IF(AND(AS268=2,Documents!$O$12&lt;&gt;"ON FILE"),"INVALID – menu checklist not on file (Documents sheet)",IF(AND(AS268=3,NOT(ISNUMBER(Flights!$AX$12))),"INVALID – enter carrying flight KUL departure (Flights AX)",IF(AND(AS268=3,OR(Flights!$AZ$12&gt;Flights!$AA$12,Flights!$AX$12&lt;Flights!$AA$12-3)),"INVALID – carrying flight (Flights AX) cannot arrive before this leg's STD, or is over 3 days early",IF(AG268&gt;AsOfUTC,"INVALID – completion time is in the future",IF(AND(ISNUMBER(S268),AG268&lt;S268),IF(H268="Physical uplift","INVALID – before uplift window (cannot confirm loading)","INVALID – before valid window"),IF(AG268&gt;Flights!$AA$12,"INVALID – completed after departure (cannot establish readiness)",IF(AND(H268="Preparation",AG268&gt;IF(ISNUMBER(Flights!$BA$12),MIN(Flights!$BA$12,Flights!$AA$12),Flights!$AA$12)),"INVALID – completed after loading / departure (cannot establish readiness)",IF(AND(H268="Physical uplift",AG268&gt;Q268),"INVALID – recorded after the loading flight departed",IF(AG268&gt;Q268,"COMPLETE – LATE","COMPLETE"))))))))))))))))))))),IF(TRIM(U268)="Fail","FAIL – DISCREPANCY",IF(AND(TRIM(U268)&lt;&gt;"",TRIM(U268)&lt;&gt;"Not started",TRIM(U268)&lt;&gt;"In progress"),"INVALID – unrecognised status (use the list)",IF(AsOfUTC&gt;Q268,"OVERDUE",IF(N268="Clarification required","OPEN – CLARIFICATION","OPEN"))))))),"INVALID – error value in an input cell")</f>
        <v>OPEN</v>
      </c>
      <c r="AI268" s="61" t="n">
        <f aca="false">IF(OR(AH268="N/A – RULE",AH268="N/A – JUSTIFIED"),0,1)</f>
        <v>1</v>
      </c>
      <c r="AJ268" s="61" t="n">
        <f aca="false">IF(LEFT(AH268,8)="COMPLETE",1,0)</f>
        <v>0</v>
      </c>
      <c r="AK268" s="61" t="n">
        <f aca="false">IF(AND(AI268=1,AJ268=0,AsOfUTC&gt;Q268),1,0)</f>
        <v>0</v>
      </c>
      <c r="AL268" s="61" t="n">
        <f aca="false">IFERROR(IF(AND(AI268=1,OR(TRIM(U268)="Fail",AND(TRIM(AB268)&lt;&gt;"",TRIM(AB268)&lt;&gt;"Closed"),AND(ISNUMBER(AF268),AF268&lt;&gt;0,TRIM(U268)&lt;&gt;"Pass after CA"))),1,0),1)</f>
        <v>0</v>
      </c>
      <c r="AM268" s="61" t="n">
        <f aca="false">IF(LEFT(AH268,7)="INVALID",1,0)</f>
        <v>0</v>
      </c>
      <c r="AN268" s="61" t="n">
        <f aca="false">IF(AND(N268="Clarification required",AI268=1,AJ268=0),1,0)</f>
        <v>0</v>
      </c>
      <c r="AO268" s="61" t="str">
        <f aca="false">IF(AK268=1,SUM(AK$5:AK268),"")</f>
        <v/>
      </c>
      <c r="AP268" s="61" t="str">
        <f aca="false">IF(AL268=1,SUM(AL$5:AL268),"")</f>
        <v/>
      </c>
      <c r="AQ268" s="61" t="n">
        <v>0</v>
      </c>
      <c r="AR268" s="61" t="n">
        <v>0</v>
      </c>
      <c r="AS268" s="61" t="n">
        <v>1</v>
      </c>
      <c r="AT268" s="61" t="n">
        <v>0</v>
      </c>
      <c r="AU268" s="61" t="str">
        <f aca="false">SUBSTITUTE(SUBSTITUTE(SUBSTITUTE(SUBSTITUTE(SUBSTITUTE(SUBSTITUTE(SUBSTITUTE(SUBSTITUTE(SUBSTITUTE(SUBSTITUTE(SUBSTITUTE(SUBSTITUTE(SUBSTITUTE(LOWER(T268&amp;""),CHAR(160),"")," ",""),".",""),"-",""),"/",""),"?",""),"_",""),",",""),"[",""),"]",""),"(",""),")",""),"*","")</f>
        <v/>
      </c>
      <c r="AV268" s="61" t="str">
        <f aca="false">SUBSTITUTE(SUBSTITUTE(SUBSTITUTE(SUBSTITUTE(SUBSTITUTE(SUBSTITUTE(SUBSTITUTE(SUBSTITUTE(SUBSTITUTE(SUBSTITUTE(SUBSTITUTE(SUBSTITUTE(SUBSTITUTE(LOWER(V268&amp;""),CHAR(160),"")," ",""),".",""),"-",""),"/",""),"?",""),"_",""),",",""),"[",""),"]",""),"(",""),")",""),"*","")</f>
        <v/>
      </c>
      <c r="AW268" s="61" t="str">
        <f aca="false">SUBSTITUTE(SUBSTITUTE(SUBSTITUTE(SUBSTITUTE(SUBSTITUTE(SUBSTITUTE(SUBSTITUTE(SUBSTITUTE(SUBSTITUTE(SUBSTITUTE(SUBSTITUTE(SUBSTITUTE(SUBSTITUTE(LOWER(Z268&amp;""),CHAR(160),"")," ",""),".",""),"-",""),"/",""),"?",""),"_",""),",",""),"[",""),"]",""),"(",""),")",""),"*","")</f>
        <v/>
      </c>
      <c r="AX268" s="61" t="str">
        <f aca="false">SUBSTITUTE(SUBSTITUTE(SUBSTITUTE(SUBSTITUTE(SUBSTITUTE(SUBSTITUTE(SUBSTITUTE(SUBSTITUTE(SUBSTITUTE(SUBSTITUTE(SUBSTITUTE(SUBSTITUTE(SUBSTITUTE(LOWER(AE268&amp;""),CHAR(160),"")," ",""),".",""),"-",""),"/",""),"?",""),"_",""),",",""),"[",""),"]",""),"(",""),")",""),"*","")</f>
        <v/>
      </c>
      <c r="AY268" s="61" t="str">
        <f aca="false">SUBSTITUTE(SUBSTITUTE(SUBSTITUTE(SUBSTITUTE(SUBSTITUTE(SUBSTITUTE(SUBSTITUTE(SUBSTITUTE(SUBSTITUTE(SUBSTITUTE(SUBSTITUTE(SUBSTITUTE(SUBSTITUTE(LOWER(W268&amp;""),CHAR(160),"")," ",""),".",""),"-",""),"/",""),"?",""),"_",""),",",""),"[",""),"]",""),"(",""),")",""),"*","")</f>
        <v/>
      </c>
      <c r="AZ268" s="61" t="str">
        <f aca="false">SUBSTITUTE(SUBSTITUTE(SUBSTITUTE(SUBSTITUTE(SUBSTITUTE(SUBSTITUTE(SUBSTITUTE(SUBSTITUTE(SUBSTITUTE(SUBSTITUTE(SUBSTITUTE(SUBSTITUTE(SUBSTITUTE(LOWER(AC268&amp;""),CHAR(160),"")," ",""),".",""),"-",""),"/",""),"?",""),"_",""),",",""),"[",""),"]",""),"(",""),")",""),"*","")</f>
        <v/>
      </c>
      <c r="BA268" s="61" t="str">
        <f aca="false">SUBSTITUTE(SUBSTITUTE(SUBSTITUTE(SUBSTITUTE(SUBSTITUTE(SUBSTITUTE(SUBSTITUTE(SUBSTITUTE(SUBSTITUTE(SUBSTITUTE(SUBSTITUTE(SUBSTITUTE(SUBSTITUTE(LOWER(AA268&amp;""),CHAR(160),"")," ",""),".",""),"-",""),"/",""),"?",""),"_",""),",",""),"[",""),"]",""),"(",""),")",""),"*","")</f>
        <v/>
      </c>
      <c r="BB268" s="61" t="str">
        <f aca="false">IF(AND(TRIM(U268)="Pass",ISNUMBER(AF268)),IF(AF268&lt;&gt;0,"INVALID – qty variance: use Fail or Pass after CA",""),"")&amp;IF(AND(TRIM(U268)="Pass after CA",ISNUMBER(AF268)),IF(AF268&lt;&gt;0,"INVALID – after the corrective action the actual qty must equal expected (update Actual)",""),"")&amp;IF(AND(TRIM(U268)="Pass",TRIM(AB268)&lt;&gt;"",TRIM(AB268)&lt;&gt;"Closed"),"INVALID – corrective action not closed: use Fail, then Pass after CA","")&amp;IF(AND(TRIM(AA268)&lt;&gt;"",TRIM(AB268)=""),"INVALID – CA status missing for the recorded corrective action","")&amp;IF(AND(TRIM(U268)="Pass after CA",OR(OR(LEN(BA268)&lt;5,ISNUMBER(MATCH(BA268,L_Placeholder,0))),TRIM(AB268)&lt;&gt;"Closed")),"INVALID – corrective action not recorded/closed","")</f>
        <v/>
      </c>
    </row>
    <row r="269" customFormat="false" ht="39.75" hidden="false" customHeight="true" outlineLevel="0" collapsed="false">
      <c r="A269" s="57" t="s">
        <v>818</v>
      </c>
      <c r="B269" s="57" t="s">
        <v>235</v>
      </c>
      <c r="C269" s="57" t="str">
        <f aca="false">Flights!$F$12</f>
        <v>MH0752</v>
      </c>
      <c r="D269" s="58" t="n">
        <f aca="false">Flights!$D$12</f>
        <v>46305</v>
      </c>
      <c r="E269" s="57" t="str">
        <f aca="false">Flights!$G$12&amp;"-"&amp;Flights!$H$12</f>
        <v>KUL-HAN</v>
      </c>
      <c r="F269" s="57" t="str">
        <f aca="false">Flights!$K$12</f>
        <v>EY</v>
      </c>
      <c r="G269" s="57" t="s">
        <v>79</v>
      </c>
      <c r="H269" s="57" t="s">
        <v>356</v>
      </c>
      <c r="I269" s="57" t="s">
        <v>383</v>
      </c>
      <c r="J269" s="57" t="s">
        <v>387</v>
      </c>
      <c r="K269" s="67" t="s">
        <v>385</v>
      </c>
      <c r="L269" s="67" t="s">
        <v>360</v>
      </c>
      <c r="M269" s="67"/>
      <c r="N269" s="67" t="s">
        <v>361</v>
      </c>
      <c r="O269" s="67"/>
      <c r="P269" s="57" t="s">
        <v>184</v>
      </c>
      <c r="Q269" s="59" t="n">
        <f aca="false">ROUND((Flights!$AC$12)*1440,0)/1440</f>
        <v>46298.0659722222</v>
      </c>
      <c r="R269" s="59" t="n">
        <f aca="false">Q269+(IF(AND(INDEX(TZ_DSTS,MATCH(P269,TZ_STN,0))&lt;&gt;"",Q269&gt;=INDEX(TZ_DSTS,MATCH(P269,TZ_STN,0)),Q269&lt;INDEX(TZ_DSTE,MATCH(P269,TZ_STN,0))),INDEX(TZ_DST,MATCH(P269,TZ_STN,0)),INDEX(TZ_STD,MATCH(P269,TZ_STN,0))))/24</f>
        <v>46298.3993055556</v>
      </c>
      <c r="S269" s="59" t="n">
        <f aca="false">Q269-T7EarlyD*24/24</f>
        <v>46284.0659722222</v>
      </c>
      <c r="T269" s="60"/>
      <c r="U269" s="60"/>
      <c r="V269" s="60"/>
      <c r="W269" s="61"/>
      <c r="X269" s="60"/>
      <c r="Y269" s="60"/>
      <c r="Z269" s="60"/>
      <c r="AA269" s="60"/>
      <c r="AB269" s="60"/>
      <c r="AC269" s="60"/>
      <c r="AD269" s="66"/>
      <c r="AE269" s="60"/>
      <c r="AF269" s="61" t="str">
        <f aca="false">IF(AND(ISNUMBER(X269),ISNUMBER(Y269)),Y269-X269,"")</f>
        <v/>
      </c>
      <c r="AG269" s="62" t="str">
        <f aca="false">IF(ISNUMBER(AD269),AD269-(IF(AND(INDEX(TZ_DSTS,MATCH(P269,TZ_STN,0))&lt;&gt;"",(AD269-INDEX(TZ_STD,MATCH(P269,TZ_STN,0))/24)&gt;=INDEX(TZ_DSTS,MATCH(P269,TZ_STN,0)),(AD269-INDEX(TZ_STD,MATCH(P269,TZ_STN,0))/24)&lt;INDEX(TZ_DSTE,MATCH(P269,TZ_STN,0))),INDEX(TZ_DST,MATCH(P269,TZ_STN,0)),INDEX(TZ_STD,MATCH(P269,TZ_STN,0))))/24,"")</f>
        <v/>
      </c>
      <c r="AH269" s="65" t="str">
        <f aca="false">IFERROR(IF(N269="N/A – rule","N/A – RULE",IF(TRIM(U269)="N/A",IF(AT269=0,"INVALID – N/A not permitted for this check",IF(AND(TRIM(AB269)&lt;&gt;"",TRIM(AB269)&lt;&gt;"Closed"),"INVALID – corrective action still open",IF(AND(NOT(OR(LEN(AZ269)&lt;15,ISNUMBER(MATCH(AZ269,L_Placeholder,0)))),NOT(OR(LEN(AU269)&lt;2,ISNUMBER(MATCH(AU269,L_Placeholder,0)))),NOT(OR(LEN(AX269)&lt;2,ISNUMBER(MATCH(AX269,L_Placeholder,0)))),TRIM(AE269)&lt;&gt;TRIM(T269)),"N/A – JUSTIFIED","INVALID – N/A needs a real justification (15+ chars), PIC and a different verifier"))),IF(OR(TRIM(U269)="Pass",TRIM(U269)="Pass after CA"),IF(NOT(ISNUMBER(AD269)),"INVALID – completion time missing",IF(OR(LEN(AU269)&lt;2,ISNUMBER(MATCH(AU269,L_Placeholder,0))),"INVALID – PIC missing",IF(OR(LEN(AV269)&lt;2,ISNUMBER(MATCH(AV269,L_Placeholder,0))),"INVALID – result / assessment missing",IF(OR(OR(LEN(AW269)&lt;3,ISNUMBER(MATCH(AW269,L_Placeholder,0))),SUMPRODUCT(--ISNUMBER(SEARCH(L_EvidencePhrase,AW269)))&gt;0),"INVALID – evidence missing, placeholder or not yet on file",IF(OR(LEN(AX269)&lt;2,ISNUMBER(MATCH(AX269,L_Placeholder,0))),"INVALID – verifier missing",IF(AX269=AU269,"INVALID – verifier must be someone other than the PIC",IF(AND(TRIM(U269)="Pass",SUMPRODUCT(--ISNUMBER(SEARCH(L_ResultBad,AV269)))&gt;0),"INVALID – result describes a problem: use Fail, then Pass after CA",IF(AND(AQ269=1,OR(LEN(AY269)&lt;3,ISNUMBER(MATCH(AY269,L_Placeholder,0)))),"INVALID – batch ID missing or placeholder",IF(AND(AR269=1,OR(NOT(ISNUMBER(X269)),NOT(ISNUMBER(Y269)))),"INVALID – expected/actual qty missing",IF(AND(AR269=1,OR(X269&lt;=0,Y269&lt;0)),"INVALID – expected qty must be above 0 and actual not negative",IF(BB269&lt;&gt;"",BB269,IF(AND(AS269=1,Documents!$J$12&lt;&gt;"ON FILE"),"INVALID – GLD not on file (Documents sheet)",IF(AND(AS269=2,Documents!$O$12&lt;&gt;"ON FILE"),"INVALID – menu checklist not on file (Documents sheet)",IF(AND(AS269=3,NOT(ISNUMBER(Flights!$AX$12))),"INVALID – enter carrying flight KUL departure (Flights AX)",IF(AND(AS269=3,OR(Flights!$AZ$12&gt;Flights!$AA$12,Flights!$AX$12&lt;Flights!$AA$12-3)),"INVALID – carrying flight (Flights AX) cannot arrive before this leg's STD, or is over 3 days early",IF(AG269&gt;AsOfUTC,"INVALID – completion time is in the future",IF(AND(ISNUMBER(S269),AG269&lt;S269),IF(H269="Physical uplift","INVALID – before uplift window (cannot confirm loading)","INVALID – before valid window"),IF(AG269&gt;Flights!$AA$12,"INVALID – completed after departure (cannot establish readiness)",IF(AND(H269="Preparation",AG269&gt;IF(ISNUMBER(Flights!$BA$12),MIN(Flights!$BA$12,Flights!$AA$12),Flights!$AA$12)),"INVALID – completed after loading / departure (cannot establish readiness)",IF(AND(H269="Physical uplift",AG269&gt;Q269),"INVALID – recorded after the loading flight departed",IF(AG269&gt;Q269,"COMPLETE – LATE","COMPLETE"))))))))))))))))))))),IF(TRIM(U269)="Fail","FAIL – DISCREPANCY",IF(AND(TRIM(U269)&lt;&gt;"",TRIM(U269)&lt;&gt;"Not started",TRIM(U269)&lt;&gt;"In progress"),"INVALID – unrecognised status (use the list)",IF(AsOfUTC&gt;Q269,"OVERDUE",IF(N269="Clarification required","OPEN – CLARIFICATION","OPEN"))))))),"INVALID – error value in an input cell")</f>
        <v>OPEN</v>
      </c>
      <c r="AI269" s="61" t="n">
        <f aca="false">IF(OR(AH269="N/A – RULE",AH269="N/A – JUSTIFIED"),0,1)</f>
        <v>1</v>
      </c>
      <c r="AJ269" s="61" t="n">
        <f aca="false">IF(LEFT(AH269,8)="COMPLETE",1,0)</f>
        <v>0</v>
      </c>
      <c r="AK269" s="61" t="n">
        <f aca="false">IF(AND(AI269=1,AJ269=0,AsOfUTC&gt;Q269),1,0)</f>
        <v>0</v>
      </c>
      <c r="AL269" s="61" t="n">
        <f aca="false">IFERROR(IF(AND(AI269=1,OR(TRIM(U269)="Fail",AND(TRIM(AB269)&lt;&gt;"",TRIM(AB269)&lt;&gt;"Closed"),AND(ISNUMBER(AF269),AF269&lt;&gt;0,TRIM(U269)&lt;&gt;"Pass after CA"))),1,0),1)</f>
        <v>0</v>
      </c>
      <c r="AM269" s="61" t="n">
        <f aca="false">IF(LEFT(AH269,7)="INVALID",1,0)</f>
        <v>0</v>
      </c>
      <c r="AN269" s="61" t="n">
        <f aca="false">IF(AND(N269="Clarification required",AI269=1,AJ269=0),1,0)</f>
        <v>0</v>
      </c>
      <c r="AO269" s="61" t="str">
        <f aca="false">IF(AK269=1,SUM(AK$5:AK269),"")</f>
        <v/>
      </c>
      <c r="AP269" s="61" t="str">
        <f aca="false">IF(AL269=1,SUM(AL$5:AL269),"")</f>
        <v/>
      </c>
      <c r="AQ269" s="61" t="n">
        <v>0</v>
      </c>
      <c r="AR269" s="61" t="n">
        <v>0</v>
      </c>
      <c r="AS269" s="61" t="n">
        <v>2</v>
      </c>
      <c r="AT269" s="61" t="n">
        <v>0</v>
      </c>
      <c r="AU269" s="61" t="str">
        <f aca="false">SUBSTITUTE(SUBSTITUTE(SUBSTITUTE(SUBSTITUTE(SUBSTITUTE(SUBSTITUTE(SUBSTITUTE(SUBSTITUTE(SUBSTITUTE(SUBSTITUTE(SUBSTITUTE(SUBSTITUTE(SUBSTITUTE(LOWER(T269&amp;""),CHAR(160),"")," ",""),".",""),"-",""),"/",""),"?",""),"_",""),",",""),"[",""),"]",""),"(",""),")",""),"*","")</f>
        <v/>
      </c>
      <c r="AV269" s="61" t="str">
        <f aca="false">SUBSTITUTE(SUBSTITUTE(SUBSTITUTE(SUBSTITUTE(SUBSTITUTE(SUBSTITUTE(SUBSTITUTE(SUBSTITUTE(SUBSTITUTE(SUBSTITUTE(SUBSTITUTE(SUBSTITUTE(SUBSTITUTE(LOWER(V269&amp;""),CHAR(160),"")," ",""),".",""),"-",""),"/",""),"?",""),"_",""),",",""),"[",""),"]",""),"(",""),")",""),"*","")</f>
        <v/>
      </c>
      <c r="AW269" s="61" t="str">
        <f aca="false">SUBSTITUTE(SUBSTITUTE(SUBSTITUTE(SUBSTITUTE(SUBSTITUTE(SUBSTITUTE(SUBSTITUTE(SUBSTITUTE(SUBSTITUTE(SUBSTITUTE(SUBSTITUTE(SUBSTITUTE(SUBSTITUTE(LOWER(Z269&amp;""),CHAR(160),"")," ",""),".",""),"-",""),"/",""),"?",""),"_",""),",",""),"[",""),"]",""),"(",""),")",""),"*","")</f>
        <v/>
      </c>
      <c r="AX269" s="61" t="str">
        <f aca="false">SUBSTITUTE(SUBSTITUTE(SUBSTITUTE(SUBSTITUTE(SUBSTITUTE(SUBSTITUTE(SUBSTITUTE(SUBSTITUTE(SUBSTITUTE(SUBSTITUTE(SUBSTITUTE(SUBSTITUTE(SUBSTITUTE(LOWER(AE269&amp;""),CHAR(160),"")," ",""),".",""),"-",""),"/",""),"?",""),"_",""),",",""),"[",""),"]",""),"(",""),")",""),"*","")</f>
        <v/>
      </c>
      <c r="AY269" s="61" t="str">
        <f aca="false">SUBSTITUTE(SUBSTITUTE(SUBSTITUTE(SUBSTITUTE(SUBSTITUTE(SUBSTITUTE(SUBSTITUTE(SUBSTITUTE(SUBSTITUTE(SUBSTITUTE(SUBSTITUTE(SUBSTITUTE(SUBSTITUTE(LOWER(W269&amp;""),CHAR(160),"")," ",""),".",""),"-",""),"/",""),"?",""),"_",""),",",""),"[",""),"]",""),"(",""),")",""),"*","")</f>
        <v/>
      </c>
      <c r="AZ269" s="61" t="str">
        <f aca="false">SUBSTITUTE(SUBSTITUTE(SUBSTITUTE(SUBSTITUTE(SUBSTITUTE(SUBSTITUTE(SUBSTITUTE(SUBSTITUTE(SUBSTITUTE(SUBSTITUTE(SUBSTITUTE(SUBSTITUTE(SUBSTITUTE(LOWER(AC269&amp;""),CHAR(160),"")," ",""),".",""),"-",""),"/",""),"?",""),"_",""),",",""),"[",""),"]",""),"(",""),")",""),"*","")</f>
        <v/>
      </c>
      <c r="BA269" s="61" t="str">
        <f aca="false">SUBSTITUTE(SUBSTITUTE(SUBSTITUTE(SUBSTITUTE(SUBSTITUTE(SUBSTITUTE(SUBSTITUTE(SUBSTITUTE(SUBSTITUTE(SUBSTITUTE(SUBSTITUTE(SUBSTITUTE(SUBSTITUTE(LOWER(AA269&amp;""),CHAR(160),"")," ",""),".",""),"-",""),"/",""),"?",""),"_",""),",",""),"[",""),"]",""),"(",""),")",""),"*","")</f>
        <v/>
      </c>
      <c r="BB269" s="61" t="str">
        <f aca="false">IF(AND(TRIM(U269)="Pass",ISNUMBER(AF269)),IF(AF269&lt;&gt;0,"INVALID – qty variance: use Fail or Pass after CA",""),"")&amp;IF(AND(TRIM(U269)="Pass after CA",ISNUMBER(AF269)),IF(AF269&lt;&gt;0,"INVALID – after the corrective action the actual qty must equal expected (update Actual)",""),"")&amp;IF(AND(TRIM(U269)="Pass",TRIM(AB269)&lt;&gt;"",TRIM(AB269)&lt;&gt;"Closed"),"INVALID – corrective action not closed: use Fail, then Pass after CA","")&amp;IF(AND(TRIM(AA269)&lt;&gt;"",TRIM(AB269)=""),"INVALID – CA status missing for the recorded corrective action","")&amp;IF(AND(TRIM(U269)="Pass after CA",OR(OR(LEN(BA269)&lt;5,ISNUMBER(MATCH(BA269,L_Placeholder,0))),TRIM(AB269)&lt;&gt;"Closed")),"INVALID – corrective action not recorded/closed","")</f>
        <v/>
      </c>
    </row>
    <row r="270" customFormat="false" ht="39.75" hidden="false" customHeight="true" outlineLevel="0" collapsed="false">
      <c r="A270" s="57" t="s">
        <v>819</v>
      </c>
      <c r="B270" s="57" t="s">
        <v>235</v>
      </c>
      <c r="C270" s="57" t="str">
        <f aca="false">Flights!$F$12</f>
        <v>MH0752</v>
      </c>
      <c r="D270" s="58" t="n">
        <f aca="false">Flights!$D$12</f>
        <v>46305</v>
      </c>
      <c r="E270" s="57" t="str">
        <f aca="false">Flights!$G$12&amp;"-"&amp;Flights!$H$12</f>
        <v>KUL-HAN</v>
      </c>
      <c r="F270" s="57" t="str">
        <f aca="false">Flights!$K$12</f>
        <v>EY</v>
      </c>
      <c r="G270" s="57" t="s">
        <v>79</v>
      </c>
      <c r="H270" s="57" t="s">
        <v>356</v>
      </c>
      <c r="I270" s="57" t="s">
        <v>389</v>
      </c>
      <c r="J270" s="57" t="s">
        <v>390</v>
      </c>
      <c r="K270" s="67" t="s">
        <v>820</v>
      </c>
      <c r="L270" s="67" t="s">
        <v>821</v>
      </c>
      <c r="M270" s="67"/>
      <c r="N270" s="67" t="s">
        <v>361</v>
      </c>
      <c r="O270" s="67"/>
      <c r="P270" s="57" t="s">
        <v>184</v>
      </c>
      <c r="Q270" s="59" t="n">
        <f aca="false">ROUND((Flights!$AC$12)*1440,0)/1440</f>
        <v>46298.0659722222</v>
      </c>
      <c r="R270" s="59" t="n">
        <f aca="false">Q270+(IF(AND(INDEX(TZ_DSTS,MATCH(P270,TZ_STN,0))&lt;&gt;"",Q270&gt;=INDEX(TZ_DSTS,MATCH(P270,TZ_STN,0)),Q270&lt;INDEX(TZ_DSTE,MATCH(P270,TZ_STN,0))),INDEX(TZ_DST,MATCH(P270,TZ_STN,0)),INDEX(TZ_STD,MATCH(P270,TZ_STN,0))))/24</f>
        <v>46298.3993055556</v>
      </c>
      <c r="S270" s="59" t="n">
        <f aca="false">Q270-T7EarlyD*24/24</f>
        <v>46284.0659722222</v>
      </c>
      <c r="T270" s="60"/>
      <c r="U270" s="60"/>
      <c r="V270" s="60"/>
      <c r="W270" s="61"/>
      <c r="X270" s="60"/>
      <c r="Y270" s="60"/>
      <c r="Z270" s="60"/>
      <c r="AA270" s="60"/>
      <c r="AB270" s="60"/>
      <c r="AC270" s="60"/>
      <c r="AD270" s="66"/>
      <c r="AE270" s="60"/>
      <c r="AF270" s="61" t="str">
        <f aca="false">IF(AND(ISNUMBER(X270),ISNUMBER(Y270)),Y270-X270,"")</f>
        <v/>
      </c>
      <c r="AG270" s="62" t="str">
        <f aca="false">IF(ISNUMBER(AD270),AD270-(IF(AND(INDEX(TZ_DSTS,MATCH(P270,TZ_STN,0))&lt;&gt;"",(AD270-INDEX(TZ_STD,MATCH(P270,TZ_STN,0))/24)&gt;=INDEX(TZ_DSTS,MATCH(P270,TZ_STN,0)),(AD270-INDEX(TZ_STD,MATCH(P270,TZ_STN,0))/24)&lt;INDEX(TZ_DSTE,MATCH(P270,TZ_STN,0))),INDEX(TZ_DST,MATCH(P270,TZ_STN,0)),INDEX(TZ_STD,MATCH(P270,TZ_STN,0))))/24,"")</f>
        <v/>
      </c>
      <c r="AH270" s="65" t="str">
        <f aca="false">IFERROR(IF(N270="N/A – rule","N/A – RULE",IF(TRIM(U270)="N/A",IF(AT270=0,"INVALID – N/A not permitted for this check",IF(AND(TRIM(AB270)&lt;&gt;"",TRIM(AB270)&lt;&gt;"Closed"),"INVALID – corrective action still open",IF(AND(NOT(OR(LEN(AZ270)&lt;15,ISNUMBER(MATCH(AZ270,L_Placeholder,0)))),NOT(OR(LEN(AU270)&lt;2,ISNUMBER(MATCH(AU270,L_Placeholder,0)))),NOT(OR(LEN(AX270)&lt;2,ISNUMBER(MATCH(AX270,L_Placeholder,0)))),TRIM(AE270)&lt;&gt;TRIM(T270)),"N/A – JUSTIFIED","INVALID – N/A needs a real justification (15+ chars), PIC and a different verifier"))),IF(OR(TRIM(U270)="Pass",TRIM(U270)="Pass after CA"),IF(NOT(ISNUMBER(AD270)),"INVALID – completion time missing",IF(OR(LEN(AU270)&lt;2,ISNUMBER(MATCH(AU270,L_Placeholder,0))),"INVALID – PIC missing",IF(OR(LEN(AV270)&lt;2,ISNUMBER(MATCH(AV270,L_Placeholder,0))),"INVALID – result / assessment missing",IF(OR(OR(LEN(AW270)&lt;3,ISNUMBER(MATCH(AW270,L_Placeholder,0))),SUMPRODUCT(--ISNUMBER(SEARCH(L_EvidencePhrase,AW270)))&gt;0),"INVALID – evidence missing, placeholder or not yet on file",IF(OR(LEN(AX270)&lt;2,ISNUMBER(MATCH(AX270,L_Placeholder,0))),"INVALID – verifier missing",IF(AX270=AU270,"INVALID – verifier must be someone other than the PIC",IF(AND(TRIM(U270)="Pass",SUMPRODUCT(--ISNUMBER(SEARCH(L_ResultBad,AV270)))&gt;0),"INVALID – result describes a problem: use Fail, then Pass after CA",IF(AND(AQ270=1,OR(LEN(AY270)&lt;3,ISNUMBER(MATCH(AY270,L_Placeholder,0)))),"INVALID – batch ID missing or placeholder",IF(AND(AR270=1,OR(NOT(ISNUMBER(X270)),NOT(ISNUMBER(Y270)))),"INVALID – expected/actual qty missing",IF(AND(AR270=1,OR(X270&lt;=0,Y270&lt;0)),"INVALID – expected qty must be above 0 and actual not negative",IF(BB270&lt;&gt;"",BB270,IF(AND(AS270=1,Documents!$J$12&lt;&gt;"ON FILE"),"INVALID – GLD not on file (Documents sheet)",IF(AND(AS270=2,Documents!$O$12&lt;&gt;"ON FILE"),"INVALID – menu checklist not on file (Documents sheet)",IF(AND(AS270=3,NOT(ISNUMBER(Flights!$AX$12))),"INVALID – enter carrying flight KUL departure (Flights AX)",IF(AND(AS270=3,OR(Flights!$AZ$12&gt;Flights!$AA$12,Flights!$AX$12&lt;Flights!$AA$12-3)),"INVALID – carrying flight (Flights AX) cannot arrive before this leg's STD, or is over 3 days early",IF(AG270&gt;AsOfUTC,"INVALID – completion time is in the future",IF(AND(ISNUMBER(S270),AG270&lt;S270),IF(H270="Physical uplift","INVALID – before uplift window (cannot confirm loading)","INVALID – before valid window"),IF(AG270&gt;Flights!$AA$12,"INVALID – completed after departure (cannot establish readiness)",IF(AND(H270="Preparation",AG270&gt;IF(ISNUMBER(Flights!$BA$12),MIN(Flights!$BA$12,Flights!$AA$12),Flights!$AA$12)),"INVALID – completed after loading / departure (cannot establish readiness)",IF(AND(H270="Physical uplift",AG270&gt;Q270),"INVALID – recorded after the loading flight departed",IF(AG270&gt;Q270,"COMPLETE – LATE","COMPLETE"))))))))))))))))))))),IF(TRIM(U270)="Fail","FAIL – DISCREPANCY",IF(AND(TRIM(U270)&lt;&gt;"",TRIM(U270)&lt;&gt;"Not started",TRIM(U270)&lt;&gt;"In progress"),"INVALID – unrecognised status (use the list)",IF(AsOfUTC&gt;Q270,"OVERDUE",IF(N270="Clarification required","OPEN – CLARIFICATION","OPEN"))))))),"INVALID – error value in an input cell")</f>
        <v>OPEN</v>
      </c>
      <c r="AI270" s="61" t="n">
        <f aca="false">IF(OR(AH270="N/A – RULE",AH270="N/A – JUSTIFIED"),0,1)</f>
        <v>1</v>
      </c>
      <c r="AJ270" s="61" t="n">
        <f aca="false">IF(LEFT(AH270,8)="COMPLETE",1,0)</f>
        <v>0</v>
      </c>
      <c r="AK270" s="61" t="n">
        <f aca="false">IF(AND(AI270=1,AJ270=0,AsOfUTC&gt;Q270),1,0)</f>
        <v>0</v>
      </c>
      <c r="AL270" s="61" t="n">
        <f aca="false">IFERROR(IF(AND(AI270=1,OR(TRIM(U270)="Fail",AND(TRIM(AB270)&lt;&gt;"",TRIM(AB270)&lt;&gt;"Closed"),AND(ISNUMBER(AF270),AF270&lt;&gt;0,TRIM(U270)&lt;&gt;"Pass after CA"))),1,0),1)</f>
        <v>0</v>
      </c>
      <c r="AM270" s="61" t="n">
        <f aca="false">IF(LEFT(AH270,7)="INVALID",1,0)</f>
        <v>0</v>
      </c>
      <c r="AN270" s="61" t="n">
        <f aca="false">IF(AND(N270="Clarification required",AI270=1,AJ270=0),1,0)</f>
        <v>0</v>
      </c>
      <c r="AO270" s="61" t="str">
        <f aca="false">IF(AK270=1,SUM(AK$5:AK270),"")</f>
        <v/>
      </c>
      <c r="AP270" s="61" t="str">
        <f aca="false">IF(AL270=1,SUM(AL$5:AL270),"")</f>
        <v/>
      </c>
      <c r="AQ270" s="61" t="n">
        <v>0</v>
      </c>
      <c r="AR270" s="61" t="n">
        <v>0</v>
      </c>
      <c r="AS270" s="61" t="n">
        <v>0</v>
      </c>
      <c r="AT270" s="61" t="n">
        <v>0</v>
      </c>
      <c r="AU270" s="61" t="str">
        <f aca="false">SUBSTITUTE(SUBSTITUTE(SUBSTITUTE(SUBSTITUTE(SUBSTITUTE(SUBSTITUTE(SUBSTITUTE(SUBSTITUTE(SUBSTITUTE(SUBSTITUTE(SUBSTITUTE(SUBSTITUTE(SUBSTITUTE(LOWER(T270&amp;""),CHAR(160),"")," ",""),".",""),"-",""),"/",""),"?",""),"_",""),",",""),"[",""),"]",""),"(",""),")",""),"*","")</f>
        <v/>
      </c>
      <c r="AV270" s="61" t="str">
        <f aca="false">SUBSTITUTE(SUBSTITUTE(SUBSTITUTE(SUBSTITUTE(SUBSTITUTE(SUBSTITUTE(SUBSTITUTE(SUBSTITUTE(SUBSTITUTE(SUBSTITUTE(SUBSTITUTE(SUBSTITUTE(SUBSTITUTE(LOWER(V270&amp;""),CHAR(160),"")," ",""),".",""),"-",""),"/",""),"?",""),"_",""),",",""),"[",""),"]",""),"(",""),")",""),"*","")</f>
        <v/>
      </c>
      <c r="AW270" s="61" t="str">
        <f aca="false">SUBSTITUTE(SUBSTITUTE(SUBSTITUTE(SUBSTITUTE(SUBSTITUTE(SUBSTITUTE(SUBSTITUTE(SUBSTITUTE(SUBSTITUTE(SUBSTITUTE(SUBSTITUTE(SUBSTITUTE(SUBSTITUTE(LOWER(Z270&amp;""),CHAR(160),"")," ",""),".",""),"-",""),"/",""),"?",""),"_",""),",",""),"[",""),"]",""),"(",""),")",""),"*","")</f>
        <v/>
      </c>
      <c r="AX270" s="61" t="str">
        <f aca="false">SUBSTITUTE(SUBSTITUTE(SUBSTITUTE(SUBSTITUTE(SUBSTITUTE(SUBSTITUTE(SUBSTITUTE(SUBSTITUTE(SUBSTITUTE(SUBSTITUTE(SUBSTITUTE(SUBSTITUTE(SUBSTITUTE(LOWER(AE270&amp;""),CHAR(160),"")," ",""),".",""),"-",""),"/",""),"?",""),"_",""),",",""),"[",""),"]",""),"(",""),")",""),"*","")</f>
        <v/>
      </c>
      <c r="AY270" s="61" t="str">
        <f aca="false">SUBSTITUTE(SUBSTITUTE(SUBSTITUTE(SUBSTITUTE(SUBSTITUTE(SUBSTITUTE(SUBSTITUTE(SUBSTITUTE(SUBSTITUTE(SUBSTITUTE(SUBSTITUTE(SUBSTITUTE(SUBSTITUTE(LOWER(W270&amp;""),CHAR(160),"")," ",""),".",""),"-",""),"/",""),"?",""),"_",""),",",""),"[",""),"]",""),"(",""),")",""),"*","")</f>
        <v/>
      </c>
      <c r="AZ270" s="61" t="str">
        <f aca="false">SUBSTITUTE(SUBSTITUTE(SUBSTITUTE(SUBSTITUTE(SUBSTITUTE(SUBSTITUTE(SUBSTITUTE(SUBSTITUTE(SUBSTITUTE(SUBSTITUTE(SUBSTITUTE(SUBSTITUTE(SUBSTITUTE(LOWER(AC270&amp;""),CHAR(160),"")," ",""),".",""),"-",""),"/",""),"?",""),"_",""),",",""),"[",""),"]",""),"(",""),")",""),"*","")</f>
        <v/>
      </c>
      <c r="BA270" s="61" t="str">
        <f aca="false">SUBSTITUTE(SUBSTITUTE(SUBSTITUTE(SUBSTITUTE(SUBSTITUTE(SUBSTITUTE(SUBSTITUTE(SUBSTITUTE(SUBSTITUTE(SUBSTITUTE(SUBSTITUTE(SUBSTITUTE(SUBSTITUTE(LOWER(AA270&amp;""),CHAR(160),"")," ",""),".",""),"-",""),"/",""),"?",""),"_",""),",",""),"[",""),"]",""),"(",""),")",""),"*","")</f>
        <v/>
      </c>
      <c r="BB270" s="61" t="str">
        <f aca="false">IF(AND(TRIM(U270)="Pass",ISNUMBER(AF270)),IF(AF270&lt;&gt;0,"INVALID – qty variance: use Fail or Pass after CA",""),"")&amp;IF(AND(TRIM(U270)="Pass after CA",ISNUMBER(AF270)),IF(AF270&lt;&gt;0,"INVALID – after the corrective action the actual qty must equal expected (update Actual)",""),"")&amp;IF(AND(TRIM(U270)="Pass",TRIM(AB270)&lt;&gt;"",TRIM(AB270)&lt;&gt;"Closed"),"INVALID – corrective action not closed: use Fail, then Pass after CA","")&amp;IF(AND(TRIM(AA270)&lt;&gt;"",TRIM(AB270)=""),"INVALID – CA status missing for the recorded corrective action","")&amp;IF(AND(TRIM(U270)="Pass after CA",OR(OR(LEN(BA270)&lt;5,ISNUMBER(MATCH(BA270,L_Placeholder,0))),TRIM(AB270)&lt;&gt;"Closed")),"INVALID – corrective action not recorded/closed","")</f>
        <v/>
      </c>
    </row>
    <row r="271" customFormat="false" ht="39.75" hidden="false" customHeight="true" outlineLevel="0" collapsed="false">
      <c r="A271" s="57" t="s">
        <v>822</v>
      </c>
      <c r="B271" s="57" t="s">
        <v>235</v>
      </c>
      <c r="C271" s="57" t="str">
        <f aca="false">Flights!$F$12</f>
        <v>MH0752</v>
      </c>
      <c r="D271" s="58" t="n">
        <f aca="false">Flights!$D$12</f>
        <v>46305</v>
      </c>
      <c r="E271" s="57" t="str">
        <f aca="false">Flights!$G$12&amp;"-"&amp;Flights!$H$12</f>
        <v>KUL-HAN</v>
      </c>
      <c r="F271" s="57" t="str">
        <f aca="false">Flights!$K$12</f>
        <v>EY</v>
      </c>
      <c r="G271" s="57" t="s">
        <v>81</v>
      </c>
      <c r="H271" s="57" t="s">
        <v>356</v>
      </c>
      <c r="I271" s="57" t="s">
        <v>357</v>
      </c>
      <c r="J271" s="57" t="s">
        <v>394</v>
      </c>
      <c r="K271" s="67" t="s">
        <v>395</v>
      </c>
      <c r="L271" s="67" t="s">
        <v>396</v>
      </c>
      <c r="M271" s="67"/>
      <c r="N271" s="67" t="s">
        <v>361</v>
      </c>
      <c r="O271" s="67"/>
      <c r="P271" s="57" t="s">
        <v>184</v>
      </c>
      <c r="Q271" s="59" t="n">
        <f aca="false">ROUND((Flights!$AD$12)*1440,0)/1440</f>
        <v>46304.0659722222</v>
      </c>
      <c r="R271" s="59" t="n">
        <f aca="false">Q271+(IF(AND(INDEX(TZ_DSTS,MATCH(P271,TZ_STN,0))&lt;&gt;"",Q271&gt;=INDEX(TZ_DSTS,MATCH(P271,TZ_STN,0)),Q271&lt;INDEX(TZ_DSTE,MATCH(P271,TZ_STN,0))),INDEX(TZ_DST,MATCH(P271,TZ_STN,0)),INDEX(TZ_STD,MATCH(P271,TZ_STN,0))))/24</f>
        <v>46304.3993055556</v>
      </c>
      <c r="S271" s="59" t="n">
        <f aca="false">Q271-T24EarlyH/24</f>
        <v>46303.0659722222</v>
      </c>
      <c r="T271" s="60"/>
      <c r="U271" s="60"/>
      <c r="V271" s="60"/>
      <c r="W271" s="60"/>
      <c r="X271" s="60"/>
      <c r="Y271" s="60"/>
      <c r="Z271" s="60"/>
      <c r="AA271" s="60"/>
      <c r="AB271" s="60"/>
      <c r="AC271" s="60"/>
      <c r="AD271" s="66"/>
      <c r="AE271" s="60"/>
      <c r="AF271" s="61" t="str">
        <f aca="false">IF(AND(ISNUMBER(X271),ISNUMBER(Y271)),Y271-X271,"")</f>
        <v/>
      </c>
      <c r="AG271" s="62" t="str">
        <f aca="false">IF(ISNUMBER(AD271),AD271-(IF(AND(INDEX(TZ_DSTS,MATCH(P271,TZ_STN,0))&lt;&gt;"",(AD271-INDEX(TZ_STD,MATCH(P271,TZ_STN,0))/24)&gt;=INDEX(TZ_DSTS,MATCH(P271,TZ_STN,0)),(AD271-INDEX(TZ_STD,MATCH(P271,TZ_STN,0))/24)&lt;INDEX(TZ_DSTE,MATCH(P271,TZ_STN,0))),INDEX(TZ_DST,MATCH(P271,TZ_STN,0)),INDEX(TZ_STD,MATCH(P271,TZ_STN,0))))/24,"")</f>
        <v/>
      </c>
      <c r="AH271" s="65" t="str">
        <f aca="false">IFERROR(IF(N271="N/A – rule","N/A – RULE",IF(TRIM(U271)="N/A",IF(AT271=0,"INVALID – N/A not permitted for this check",IF(AND(TRIM(AB271)&lt;&gt;"",TRIM(AB271)&lt;&gt;"Closed"),"INVALID – corrective action still open",IF(AND(NOT(OR(LEN(AZ271)&lt;15,ISNUMBER(MATCH(AZ271,L_Placeholder,0)))),NOT(OR(LEN(AU271)&lt;2,ISNUMBER(MATCH(AU271,L_Placeholder,0)))),NOT(OR(LEN(AX271)&lt;2,ISNUMBER(MATCH(AX271,L_Placeholder,0)))),TRIM(AE271)&lt;&gt;TRIM(T271)),"N/A – JUSTIFIED","INVALID – N/A needs a real justification (15+ chars), PIC and a different verifier"))),IF(OR(TRIM(U271)="Pass",TRIM(U271)="Pass after CA"),IF(NOT(ISNUMBER(AD271)),"INVALID – completion time missing",IF(OR(LEN(AU271)&lt;2,ISNUMBER(MATCH(AU271,L_Placeholder,0))),"INVALID – PIC missing",IF(OR(LEN(AV271)&lt;2,ISNUMBER(MATCH(AV271,L_Placeholder,0))),"INVALID – result / assessment missing",IF(OR(OR(LEN(AW271)&lt;3,ISNUMBER(MATCH(AW271,L_Placeholder,0))),SUMPRODUCT(--ISNUMBER(SEARCH(L_EvidencePhrase,AW271)))&gt;0),"INVALID – evidence missing, placeholder or not yet on file",IF(OR(LEN(AX271)&lt;2,ISNUMBER(MATCH(AX271,L_Placeholder,0))),"INVALID – verifier missing",IF(AX271=AU271,"INVALID – verifier must be someone other than the PIC",IF(AND(TRIM(U271)="Pass",SUMPRODUCT(--ISNUMBER(SEARCH(L_ResultBad,AV271)))&gt;0),"INVALID – result describes a problem: use Fail, then Pass after CA",IF(AND(AQ271=1,OR(LEN(AY271)&lt;3,ISNUMBER(MATCH(AY271,L_Placeholder,0)))),"INVALID – batch ID missing or placeholder",IF(AND(AR271=1,OR(NOT(ISNUMBER(X271)),NOT(ISNUMBER(Y271)))),"INVALID – expected/actual qty missing",IF(AND(AR271=1,OR(X271&lt;=0,Y271&lt;0)),"INVALID – expected qty must be above 0 and actual not negative",IF(BB271&lt;&gt;"",BB271,IF(AND(AS271=1,Documents!$J$12&lt;&gt;"ON FILE"),"INVALID – GLD not on file (Documents sheet)",IF(AND(AS271=2,Documents!$O$12&lt;&gt;"ON FILE"),"INVALID – menu checklist not on file (Documents sheet)",IF(AND(AS271=3,NOT(ISNUMBER(Flights!$AX$12))),"INVALID – enter carrying flight KUL departure (Flights AX)",IF(AND(AS271=3,OR(Flights!$AZ$12&gt;Flights!$AA$12,Flights!$AX$12&lt;Flights!$AA$12-3)),"INVALID – carrying flight (Flights AX) cannot arrive before this leg's STD, or is over 3 days early",IF(AG271&gt;AsOfUTC,"INVALID – completion time is in the future",IF(AND(ISNUMBER(S271),AG271&lt;S271),IF(H271="Physical uplift","INVALID – before uplift window (cannot confirm loading)","INVALID – before valid window"),IF(AG271&gt;Flights!$AA$12,"INVALID – completed after departure (cannot establish readiness)",IF(AND(H271="Preparation",AG271&gt;IF(ISNUMBER(Flights!$BA$12),MIN(Flights!$BA$12,Flights!$AA$12),Flights!$AA$12)),"INVALID – completed after loading / departure (cannot establish readiness)",IF(AND(H271="Physical uplift",AG271&gt;Q271),"INVALID – recorded after the loading flight departed",IF(AG271&gt;Q271,"COMPLETE – LATE","COMPLETE"))))))))))))))))))))),IF(TRIM(U271)="Fail","FAIL – DISCREPANCY",IF(AND(TRIM(U271)&lt;&gt;"",TRIM(U271)&lt;&gt;"Not started",TRIM(U271)&lt;&gt;"In progress"),"INVALID – unrecognised status (use the list)",IF(AsOfUTC&gt;Q271,"OVERDUE",IF(N271="Clarification required","OPEN – CLARIFICATION","OPEN"))))))),"INVALID – error value in an input cell")</f>
        <v>OPEN</v>
      </c>
      <c r="AI271" s="61" t="n">
        <f aca="false">IF(OR(AH271="N/A – RULE",AH271="N/A – JUSTIFIED"),0,1)</f>
        <v>1</v>
      </c>
      <c r="AJ271" s="61" t="n">
        <f aca="false">IF(LEFT(AH271,8)="COMPLETE",1,0)</f>
        <v>0</v>
      </c>
      <c r="AK271" s="61" t="n">
        <f aca="false">IF(AND(AI271=1,AJ271=0,AsOfUTC&gt;Q271),1,0)</f>
        <v>0</v>
      </c>
      <c r="AL271" s="61" t="n">
        <f aca="false">IFERROR(IF(AND(AI271=1,OR(TRIM(U271)="Fail",AND(TRIM(AB271)&lt;&gt;"",TRIM(AB271)&lt;&gt;"Closed"),AND(ISNUMBER(AF271),AF271&lt;&gt;0,TRIM(U271)&lt;&gt;"Pass after CA"))),1,0),1)</f>
        <v>0</v>
      </c>
      <c r="AM271" s="61" t="n">
        <f aca="false">IF(LEFT(AH271,7)="INVALID",1,0)</f>
        <v>0</v>
      </c>
      <c r="AN271" s="61" t="n">
        <f aca="false">IF(AND(N271="Clarification required",AI271=1,AJ271=0),1,0)</f>
        <v>0</v>
      </c>
      <c r="AO271" s="61" t="str">
        <f aca="false">IF(AK271=1,SUM(AK$5:AK271),"")</f>
        <v/>
      </c>
      <c r="AP271" s="61" t="str">
        <f aca="false">IF(AL271=1,SUM(AL$5:AL271),"")</f>
        <v/>
      </c>
      <c r="AQ271" s="61" t="n">
        <v>1</v>
      </c>
      <c r="AR271" s="61" t="n">
        <v>0</v>
      </c>
      <c r="AS271" s="61" t="n">
        <v>0</v>
      </c>
      <c r="AT271" s="61" t="n">
        <v>0</v>
      </c>
      <c r="AU271" s="61" t="str">
        <f aca="false">SUBSTITUTE(SUBSTITUTE(SUBSTITUTE(SUBSTITUTE(SUBSTITUTE(SUBSTITUTE(SUBSTITUTE(SUBSTITUTE(SUBSTITUTE(SUBSTITUTE(SUBSTITUTE(SUBSTITUTE(SUBSTITUTE(LOWER(T271&amp;""),CHAR(160),"")," ",""),".",""),"-",""),"/",""),"?",""),"_",""),",",""),"[",""),"]",""),"(",""),")",""),"*","")</f>
        <v/>
      </c>
      <c r="AV271" s="61" t="str">
        <f aca="false">SUBSTITUTE(SUBSTITUTE(SUBSTITUTE(SUBSTITUTE(SUBSTITUTE(SUBSTITUTE(SUBSTITUTE(SUBSTITUTE(SUBSTITUTE(SUBSTITUTE(SUBSTITUTE(SUBSTITUTE(SUBSTITUTE(LOWER(V271&amp;""),CHAR(160),"")," ",""),".",""),"-",""),"/",""),"?",""),"_",""),",",""),"[",""),"]",""),"(",""),")",""),"*","")</f>
        <v/>
      </c>
      <c r="AW271" s="61" t="str">
        <f aca="false">SUBSTITUTE(SUBSTITUTE(SUBSTITUTE(SUBSTITUTE(SUBSTITUTE(SUBSTITUTE(SUBSTITUTE(SUBSTITUTE(SUBSTITUTE(SUBSTITUTE(SUBSTITUTE(SUBSTITUTE(SUBSTITUTE(LOWER(Z271&amp;""),CHAR(160),"")," ",""),".",""),"-",""),"/",""),"?",""),"_",""),",",""),"[",""),"]",""),"(",""),")",""),"*","")</f>
        <v/>
      </c>
      <c r="AX271" s="61" t="str">
        <f aca="false">SUBSTITUTE(SUBSTITUTE(SUBSTITUTE(SUBSTITUTE(SUBSTITUTE(SUBSTITUTE(SUBSTITUTE(SUBSTITUTE(SUBSTITUTE(SUBSTITUTE(SUBSTITUTE(SUBSTITUTE(SUBSTITUTE(LOWER(AE271&amp;""),CHAR(160),"")," ",""),".",""),"-",""),"/",""),"?",""),"_",""),",",""),"[",""),"]",""),"(",""),")",""),"*","")</f>
        <v/>
      </c>
      <c r="AY271" s="61" t="str">
        <f aca="false">SUBSTITUTE(SUBSTITUTE(SUBSTITUTE(SUBSTITUTE(SUBSTITUTE(SUBSTITUTE(SUBSTITUTE(SUBSTITUTE(SUBSTITUTE(SUBSTITUTE(SUBSTITUTE(SUBSTITUTE(SUBSTITUTE(LOWER(W271&amp;""),CHAR(160),"")," ",""),".",""),"-",""),"/",""),"?",""),"_",""),",",""),"[",""),"]",""),"(",""),")",""),"*","")</f>
        <v/>
      </c>
      <c r="AZ271" s="61" t="str">
        <f aca="false">SUBSTITUTE(SUBSTITUTE(SUBSTITUTE(SUBSTITUTE(SUBSTITUTE(SUBSTITUTE(SUBSTITUTE(SUBSTITUTE(SUBSTITUTE(SUBSTITUTE(SUBSTITUTE(SUBSTITUTE(SUBSTITUTE(LOWER(AC271&amp;""),CHAR(160),"")," ",""),".",""),"-",""),"/",""),"?",""),"_",""),",",""),"[",""),"]",""),"(",""),")",""),"*","")</f>
        <v/>
      </c>
      <c r="BA271" s="61" t="str">
        <f aca="false">SUBSTITUTE(SUBSTITUTE(SUBSTITUTE(SUBSTITUTE(SUBSTITUTE(SUBSTITUTE(SUBSTITUTE(SUBSTITUTE(SUBSTITUTE(SUBSTITUTE(SUBSTITUTE(SUBSTITUTE(SUBSTITUTE(LOWER(AA271&amp;""),CHAR(160),"")," ",""),".",""),"-",""),"/",""),"?",""),"_",""),",",""),"[",""),"]",""),"(",""),")",""),"*","")</f>
        <v/>
      </c>
      <c r="BB271" s="61" t="str">
        <f aca="false">IF(AND(TRIM(U271)="Pass",ISNUMBER(AF271)),IF(AF271&lt;&gt;0,"INVALID – qty variance: use Fail or Pass after CA",""),"")&amp;IF(AND(TRIM(U271)="Pass after CA",ISNUMBER(AF271)),IF(AF271&lt;&gt;0,"INVALID – after the corrective action the actual qty must equal expected (update Actual)",""),"")&amp;IF(AND(TRIM(U271)="Pass",TRIM(AB271)&lt;&gt;"",TRIM(AB271)&lt;&gt;"Closed"),"INVALID – corrective action not closed: use Fail, then Pass after CA","")&amp;IF(AND(TRIM(AA271)&lt;&gt;"",TRIM(AB271)=""),"INVALID – CA status missing for the recorded corrective action","")&amp;IF(AND(TRIM(U271)="Pass after CA",OR(OR(LEN(BA271)&lt;5,ISNUMBER(MATCH(BA271,L_Placeholder,0))),TRIM(AB271)&lt;&gt;"Closed")),"INVALID – corrective action not recorded/closed","")</f>
        <v/>
      </c>
    </row>
    <row r="272" customFormat="false" ht="39.75" hidden="false" customHeight="true" outlineLevel="0" collapsed="false">
      <c r="A272" s="57" t="s">
        <v>823</v>
      </c>
      <c r="B272" s="57" t="s">
        <v>235</v>
      </c>
      <c r="C272" s="57" t="str">
        <f aca="false">Flights!$F$12</f>
        <v>MH0752</v>
      </c>
      <c r="D272" s="58" t="n">
        <f aca="false">Flights!$D$12</f>
        <v>46305</v>
      </c>
      <c r="E272" s="57" t="str">
        <f aca="false">Flights!$G$12&amp;"-"&amp;Flights!$H$12</f>
        <v>KUL-HAN</v>
      </c>
      <c r="F272" s="57" t="str">
        <f aca="false">Flights!$K$12</f>
        <v>EY</v>
      </c>
      <c r="G272" s="57" t="s">
        <v>398</v>
      </c>
      <c r="H272" s="57" t="s">
        <v>356</v>
      </c>
      <c r="I272" s="57" t="s">
        <v>357</v>
      </c>
      <c r="J272" s="57" t="s">
        <v>399</v>
      </c>
      <c r="K272" s="67"/>
      <c r="L272" s="67" t="s">
        <v>400</v>
      </c>
      <c r="M272" s="67"/>
      <c r="N272" s="67" t="s">
        <v>361</v>
      </c>
      <c r="O272" s="67" t="s">
        <v>401</v>
      </c>
      <c r="P272" s="57" t="s">
        <v>184</v>
      </c>
      <c r="Q272" s="59" t="n">
        <f aca="false">ROUND((Flights!$AE$12)*1440,0)/1440</f>
        <v>46304.5659722222</v>
      </c>
      <c r="R272" s="59" t="n">
        <f aca="false">Q272+(IF(AND(INDEX(TZ_DSTS,MATCH(P272,TZ_STN,0))&lt;&gt;"",Q272&gt;=INDEX(TZ_DSTS,MATCH(P272,TZ_STN,0)),Q272&lt;INDEX(TZ_DSTE,MATCH(P272,TZ_STN,0))),INDEX(TZ_DST,MATCH(P272,TZ_STN,0)),INDEX(TZ_STD,MATCH(P272,TZ_STN,0))))/24</f>
        <v>46304.8993055556</v>
      </c>
      <c r="S272" s="59" t="n">
        <f aca="false">Q272-T12EarlyH/24</f>
        <v>46304.0659722222</v>
      </c>
      <c r="T272" s="60"/>
      <c r="U272" s="60"/>
      <c r="V272" s="60"/>
      <c r="W272" s="61"/>
      <c r="X272" s="60"/>
      <c r="Y272" s="60"/>
      <c r="Z272" s="60"/>
      <c r="AA272" s="60"/>
      <c r="AB272" s="60"/>
      <c r="AC272" s="60"/>
      <c r="AD272" s="66"/>
      <c r="AE272" s="60"/>
      <c r="AF272" s="61" t="str">
        <f aca="false">IF(AND(ISNUMBER(X272),ISNUMBER(Y272)),Y272-X272,"")</f>
        <v/>
      </c>
      <c r="AG272" s="62" t="str">
        <f aca="false">IF(ISNUMBER(AD272),AD272-(IF(AND(INDEX(TZ_DSTS,MATCH(P272,TZ_STN,0))&lt;&gt;"",(AD272-INDEX(TZ_STD,MATCH(P272,TZ_STN,0))/24)&gt;=INDEX(TZ_DSTS,MATCH(P272,TZ_STN,0)),(AD272-INDEX(TZ_STD,MATCH(P272,TZ_STN,0))/24)&lt;INDEX(TZ_DSTE,MATCH(P272,TZ_STN,0))),INDEX(TZ_DST,MATCH(P272,TZ_STN,0)),INDEX(TZ_STD,MATCH(P272,TZ_STN,0))))/24,"")</f>
        <v/>
      </c>
      <c r="AH272" s="65" t="str">
        <f aca="false">IFERROR(IF(N272="N/A – rule","N/A – RULE",IF(TRIM(U272)="N/A",IF(AT272=0,"INVALID – N/A not permitted for this check",IF(AND(TRIM(AB272)&lt;&gt;"",TRIM(AB272)&lt;&gt;"Closed"),"INVALID – corrective action still open",IF(AND(NOT(OR(LEN(AZ272)&lt;15,ISNUMBER(MATCH(AZ272,L_Placeholder,0)))),NOT(OR(LEN(AU272)&lt;2,ISNUMBER(MATCH(AU272,L_Placeholder,0)))),NOT(OR(LEN(AX272)&lt;2,ISNUMBER(MATCH(AX272,L_Placeholder,0)))),TRIM(AE272)&lt;&gt;TRIM(T272)),"N/A – JUSTIFIED","INVALID – N/A needs a real justification (15+ chars), PIC and a different verifier"))),IF(OR(TRIM(U272)="Pass",TRIM(U272)="Pass after CA"),IF(NOT(ISNUMBER(AD272)),"INVALID – completion time missing",IF(OR(LEN(AU272)&lt;2,ISNUMBER(MATCH(AU272,L_Placeholder,0))),"INVALID – PIC missing",IF(OR(LEN(AV272)&lt;2,ISNUMBER(MATCH(AV272,L_Placeholder,0))),"INVALID – result / assessment missing",IF(OR(OR(LEN(AW272)&lt;3,ISNUMBER(MATCH(AW272,L_Placeholder,0))),SUMPRODUCT(--ISNUMBER(SEARCH(L_EvidencePhrase,AW272)))&gt;0),"INVALID – evidence missing, placeholder or not yet on file",IF(OR(LEN(AX272)&lt;2,ISNUMBER(MATCH(AX272,L_Placeholder,0))),"INVALID – verifier missing",IF(AX272=AU272,"INVALID – verifier must be someone other than the PIC",IF(AND(TRIM(U272)="Pass",SUMPRODUCT(--ISNUMBER(SEARCH(L_ResultBad,AV272)))&gt;0),"INVALID – result describes a problem: use Fail, then Pass after CA",IF(AND(AQ272=1,OR(LEN(AY272)&lt;3,ISNUMBER(MATCH(AY272,L_Placeholder,0)))),"INVALID – batch ID missing or placeholder",IF(AND(AR272=1,OR(NOT(ISNUMBER(X272)),NOT(ISNUMBER(Y272)))),"INVALID – expected/actual qty missing",IF(AND(AR272=1,OR(X272&lt;=0,Y272&lt;0)),"INVALID – expected qty must be above 0 and actual not negative",IF(BB272&lt;&gt;"",BB272,IF(AND(AS272=1,Documents!$J$12&lt;&gt;"ON FILE"),"INVALID – GLD not on file (Documents sheet)",IF(AND(AS272=2,Documents!$O$12&lt;&gt;"ON FILE"),"INVALID – menu checklist not on file (Documents sheet)",IF(AND(AS272=3,NOT(ISNUMBER(Flights!$AX$12))),"INVALID – enter carrying flight KUL departure (Flights AX)",IF(AND(AS272=3,OR(Flights!$AZ$12&gt;Flights!$AA$12,Flights!$AX$12&lt;Flights!$AA$12-3)),"INVALID – carrying flight (Flights AX) cannot arrive before this leg's STD, or is over 3 days early",IF(AG272&gt;AsOfUTC,"INVALID – completion time is in the future",IF(AND(ISNUMBER(S272),AG272&lt;S272),IF(H272="Physical uplift","INVALID – before uplift window (cannot confirm loading)","INVALID – before valid window"),IF(AG272&gt;Flights!$AA$12,"INVALID – completed after departure (cannot establish readiness)",IF(AND(H272="Preparation",AG272&gt;IF(ISNUMBER(Flights!$BA$12),MIN(Flights!$BA$12,Flights!$AA$12),Flights!$AA$12)),"INVALID – completed after loading / departure (cannot establish readiness)",IF(AND(H272="Physical uplift",AG272&gt;Q272),"INVALID – recorded after the loading flight departed",IF(AG272&gt;Q272,"COMPLETE – LATE","COMPLETE"))))))))))))))))))))),IF(TRIM(U272)="Fail","FAIL – DISCREPANCY",IF(AND(TRIM(U272)&lt;&gt;"",TRIM(U272)&lt;&gt;"Not started",TRIM(U272)&lt;&gt;"In progress"),"INVALID – unrecognised status (use the list)",IF(AsOfUTC&gt;Q272,"OVERDUE",IF(N272="Clarification required","OPEN – CLARIFICATION","OPEN"))))))),"INVALID – error value in an input cell")</f>
        <v>OPEN</v>
      </c>
      <c r="AI272" s="61" t="n">
        <f aca="false">IF(OR(AH272="N/A – RULE",AH272="N/A – JUSTIFIED"),0,1)</f>
        <v>1</v>
      </c>
      <c r="AJ272" s="61" t="n">
        <f aca="false">IF(LEFT(AH272,8)="COMPLETE",1,0)</f>
        <v>0</v>
      </c>
      <c r="AK272" s="61" t="n">
        <f aca="false">IF(AND(AI272=1,AJ272=0,AsOfUTC&gt;Q272),1,0)</f>
        <v>0</v>
      </c>
      <c r="AL272" s="61" t="n">
        <f aca="false">IFERROR(IF(AND(AI272=1,OR(TRIM(U272)="Fail",AND(TRIM(AB272)&lt;&gt;"",TRIM(AB272)&lt;&gt;"Closed"),AND(ISNUMBER(AF272),AF272&lt;&gt;0,TRIM(U272)&lt;&gt;"Pass after CA"))),1,0),1)</f>
        <v>0</v>
      </c>
      <c r="AM272" s="61" t="n">
        <f aca="false">IF(LEFT(AH272,7)="INVALID",1,0)</f>
        <v>0</v>
      </c>
      <c r="AN272" s="61" t="n">
        <f aca="false">IF(AND(N272="Clarification required",AI272=1,AJ272=0),1,0)</f>
        <v>0</v>
      </c>
      <c r="AO272" s="61" t="str">
        <f aca="false">IF(AK272=1,SUM(AK$5:AK272),"")</f>
        <v/>
      </c>
      <c r="AP272" s="61" t="str">
        <f aca="false">IF(AL272=1,SUM(AL$5:AL272),"")</f>
        <v/>
      </c>
      <c r="AQ272" s="61" t="n">
        <v>0</v>
      </c>
      <c r="AR272" s="61" t="n">
        <v>0</v>
      </c>
      <c r="AS272" s="61" t="n">
        <v>0</v>
      </c>
      <c r="AT272" s="61" t="n">
        <v>0</v>
      </c>
      <c r="AU272" s="61" t="str">
        <f aca="false">SUBSTITUTE(SUBSTITUTE(SUBSTITUTE(SUBSTITUTE(SUBSTITUTE(SUBSTITUTE(SUBSTITUTE(SUBSTITUTE(SUBSTITUTE(SUBSTITUTE(SUBSTITUTE(SUBSTITUTE(SUBSTITUTE(LOWER(T272&amp;""),CHAR(160),"")," ",""),".",""),"-",""),"/",""),"?",""),"_",""),",",""),"[",""),"]",""),"(",""),")",""),"*","")</f>
        <v/>
      </c>
      <c r="AV272" s="61" t="str">
        <f aca="false">SUBSTITUTE(SUBSTITUTE(SUBSTITUTE(SUBSTITUTE(SUBSTITUTE(SUBSTITUTE(SUBSTITUTE(SUBSTITUTE(SUBSTITUTE(SUBSTITUTE(SUBSTITUTE(SUBSTITUTE(SUBSTITUTE(LOWER(V272&amp;""),CHAR(160),"")," ",""),".",""),"-",""),"/",""),"?",""),"_",""),",",""),"[",""),"]",""),"(",""),")",""),"*","")</f>
        <v/>
      </c>
      <c r="AW272" s="61" t="str">
        <f aca="false">SUBSTITUTE(SUBSTITUTE(SUBSTITUTE(SUBSTITUTE(SUBSTITUTE(SUBSTITUTE(SUBSTITUTE(SUBSTITUTE(SUBSTITUTE(SUBSTITUTE(SUBSTITUTE(SUBSTITUTE(SUBSTITUTE(LOWER(Z272&amp;""),CHAR(160),"")," ",""),".",""),"-",""),"/",""),"?",""),"_",""),",",""),"[",""),"]",""),"(",""),")",""),"*","")</f>
        <v/>
      </c>
      <c r="AX272" s="61" t="str">
        <f aca="false">SUBSTITUTE(SUBSTITUTE(SUBSTITUTE(SUBSTITUTE(SUBSTITUTE(SUBSTITUTE(SUBSTITUTE(SUBSTITUTE(SUBSTITUTE(SUBSTITUTE(SUBSTITUTE(SUBSTITUTE(SUBSTITUTE(LOWER(AE272&amp;""),CHAR(160),"")," ",""),".",""),"-",""),"/",""),"?",""),"_",""),",",""),"[",""),"]",""),"(",""),")",""),"*","")</f>
        <v/>
      </c>
      <c r="AY272" s="61" t="str">
        <f aca="false">SUBSTITUTE(SUBSTITUTE(SUBSTITUTE(SUBSTITUTE(SUBSTITUTE(SUBSTITUTE(SUBSTITUTE(SUBSTITUTE(SUBSTITUTE(SUBSTITUTE(SUBSTITUTE(SUBSTITUTE(SUBSTITUTE(LOWER(W272&amp;""),CHAR(160),"")," ",""),".",""),"-",""),"/",""),"?",""),"_",""),",",""),"[",""),"]",""),"(",""),")",""),"*","")</f>
        <v/>
      </c>
      <c r="AZ272" s="61" t="str">
        <f aca="false">SUBSTITUTE(SUBSTITUTE(SUBSTITUTE(SUBSTITUTE(SUBSTITUTE(SUBSTITUTE(SUBSTITUTE(SUBSTITUTE(SUBSTITUTE(SUBSTITUTE(SUBSTITUTE(SUBSTITUTE(SUBSTITUTE(LOWER(AC272&amp;""),CHAR(160),"")," ",""),".",""),"-",""),"/",""),"?",""),"_",""),",",""),"[",""),"]",""),"(",""),")",""),"*","")</f>
        <v/>
      </c>
      <c r="BA272" s="61" t="str">
        <f aca="false">SUBSTITUTE(SUBSTITUTE(SUBSTITUTE(SUBSTITUTE(SUBSTITUTE(SUBSTITUTE(SUBSTITUTE(SUBSTITUTE(SUBSTITUTE(SUBSTITUTE(SUBSTITUTE(SUBSTITUTE(SUBSTITUTE(LOWER(AA272&amp;""),CHAR(160),"")," ",""),".",""),"-",""),"/",""),"?",""),"_",""),",",""),"[",""),"]",""),"(",""),")",""),"*","")</f>
        <v/>
      </c>
      <c r="BB272" s="61" t="str">
        <f aca="false">IF(AND(TRIM(U272)="Pass",ISNUMBER(AF272)),IF(AF272&lt;&gt;0,"INVALID – qty variance: use Fail or Pass after CA",""),"")&amp;IF(AND(TRIM(U272)="Pass after CA",ISNUMBER(AF272)),IF(AF272&lt;&gt;0,"INVALID – after the corrective action the actual qty must equal expected (update Actual)",""),"")&amp;IF(AND(TRIM(U272)="Pass",TRIM(AB272)&lt;&gt;"",TRIM(AB272)&lt;&gt;"Closed"),"INVALID – corrective action not closed: use Fail, then Pass after CA","")&amp;IF(AND(TRIM(AA272)&lt;&gt;"",TRIM(AB272)=""),"INVALID – CA status missing for the recorded corrective action","")&amp;IF(AND(TRIM(U272)="Pass after CA",OR(OR(LEN(BA272)&lt;5,ISNUMBER(MATCH(BA272,L_Placeholder,0))),TRIM(AB272)&lt;&gt;"Closed")),"INVALID – corrective action not recorded/closed","")</f>
        <v/>
      </c>
    </row>
    <row r="273" customFormat="false" ht="39.75" hidden="false" customHeight="true" outlineLevel="0" collapsed="false">
      <c r="A273" s="57" t="s">
        <v>824</v>
      </c>
      <c r="B273" s="57" t="s">
        <v>235</v>
      </c>
      <c r="C273" s="57" t="str">
        <f aca="false">Flights!$F$12</f>
        <v>MH0752</v>
      </c>
      <c r="D273" s="58" t="n">
        <f aca="false">Flights!$D$12</f>
        <v>46305</v>
      </c>
      <c r="E273" s="57" t="str">
        <f aca="false">Flights!$G$12&amp;"-"&amp;Flights!$H$12</f>
        <v>KUL-HAN</v>
      </c>
      <c r="F273" s="57" t="str">
        <f aca="false">Flights!$K$12</f>
        <v>EY</v>
      </c>
      <c r="G273" s="57" t="s">
        <v>398</v>
      </c>
      <c r="H273" s="57" t="s">
        <v>356</v>
      </c>
      <c r="I273" s="57" t="s">
        <v>357</v>
      </c>
      <c r="J273" s="57" t="s">
        <v>403</v>
      </c>
      <c r="K273" s="67" t="s">
        <v>404</v>
      </c>
      <c r="L273" s="67" t="s">
        <v>400</v>
      </c>
      <c r="M273" s="67"/>
      <c r="N273" s="67" t="s">
        <v>361</v>
      </c>
      <c r="O273" s="67" t="s">
        <v>401</v>
      </c>
      <c r="P273" s="57" t="s">
        <v>184</v>
      </c>
      <c r="Q273" s="59" t="n">
        <f aca="false">ROUND((Flights!$AE$12)*1440,0)/1440</f>
        <v>46304.5659722222</v>
      </c>
      <c r="R273" s="59" t="n">
        <f aca="false">Q273+(IF(AND(INDEX(TZ_DSTS,MATCH(P273,TZ_STN,0))&lt;&gt;"",Q273&gt;=INDEX(TZ_DSTS,MATCH(P273,TZ_STN,0)),Q273&lt;INDEX(TZ_DSTE,MATCH(P273,TZ_STN,0))),INDEX(TZ_DST,MATCH(P273,TZ_STN,0)),INDEX(TZ_STD,MATCH(P273,TZ_STN,0))))/24</f>
        <v>46304.8993055556</v>
      </c>
      <c r="S273" s="59" t="n">
        <f aca="false">Q273-T12EarlyH/24</f>
        <v>46304.0659722222</v>
      </c>
      <c r="T273" s="60"/>
      <c r="U273" s="60"/>
      <c r="V273" s="60"/>
      <c r="W273" s="61"/>
      <c r="X273" s="60"/>
      <c r="Y273" s="60"/>
      <c r="Z273" s="60"/>
      <c r="AA273" s="60"/>
      <c r="AB273" s="60"/>
      <c r="AC273" s="60"/>
      <c r="AD273" s="66"/>
      <c r="AE273" s="60"/>
      <c r="AF273" s="61" t="str">
        <f aca="false">IF(AND(ISNUMBER(X273),ISNUMBER(Y273)),Y273-X273,"")</f>
        <v/>
      </c>
      <c r="AG273" s="62" t="str">
        <f aca="false">IF(ISNUMBER(AD273),AD273-(IF(AND(INDEX(TZ_DSTS,MATCH(P273,TZ_STN,0))&lt;&gt;"",(AD273-INDEX(TZ_STD,MATCH(P273,TZ_STN,0))/24)&gt;=INDEX(TZ_DSTS,MATCH(P273,TZ_STN,0)),(AD273-INDEX(TZ_STD,MATCH(P273,TZ_STN,0))/24)&lt;INDEX(TZ_DSTE,MATCH(P273,TZ_STN,0))),INDEX(TZ_DST,MATCH(P273,TZ_STN,0)),INDEX(TZ_STD,MATCH(P273,TZ_STN,0))))/24,"")</f>
        <v/>
      </c>
      <c r="AH273" s="65" t="str">
        <f aca="false">IFERROR(IF(N273="N/A – rule","N/A – RULE",IF(TRIM(U273)="N/A",IF(AT273=0,"INVALID – N/A not permitted for this check",IF(AND(TRIM(AB273)&lt;&gt;"",TRIM(AB273)&lt;&gt;"Closed"),"INVALID – corrective action still open",IF(AND(NOT(OR(LEN(AZ273)&lt;15,ISNUMBER(MATCH(AZ273,L_Placeholder,0)))),NOT(OR(LEN(AU273)&lt;2,ISNUMBER(MATCH(AU273,L_Placeholder,0)))),NOT(OR(LEN(AX273)&lt;2,ISNUMBER(MATCH(AX273,L_Placeholder,0)))),TRIM(AE273)&lt;&gt;TRIM(T273)),"N/A – JUSTIFIED","INVALID – N/A needs a real justification (15+ chars), PIC and a different verifier"))),IF(OR(TRIM(U273)="Pass",TRIM(U273)="Pass after CA"),IF(NOT(ISNUMBER(AD273)),"INVALID – completion time missing",IF(OR(LEN(AU273)&lt;2,ISNUMBER(MATCH(AU273,L_Placeholder,0))),"INVALID – PIC missing",IF(OR(LEN(AV273)&lt;2,ISNUMBER(MATCH(AV273,L_Placeholder,0))),"INVALID – result / assessment missing",IF(OR(OR(LEN(AW273)&lt;3,ISNUMBER(MATCH(AW273,L_Placeholder,0))),SUMPRODUCT(--ISNUMBER(SEARCH(L_EvidencePhrase,AW273)))&gt;0),"INVALID – evidence missing, placeholder or not yet on file",IF(OR(LEN(AX273)&lt;2,ISNUMBER(MATCH(AX273,L_Placeholder,0))),"INVALID – verifier missing",IF(AX273=AU273,"INVALID – verifier must be someone other than the PIC",IF(AND(TRIM(U273)="Pass",SUMPRODUCT(--ISNUMBER(SEARCH(L_ResultBad,AV273)))&gt;0),"INVALID – result describes a problem: use Fail, then Pass after CA",IF(AND(AQ273=1,OR(LEN(AY273)&lt;3,ISNUMBER(MATCH(AY273,L_Placeholder,0)))),"INVALID – batch ID missing or placeholder",IF(AND(AR273=1,OR(NOT(ISNUMBER(X273)),NOT(ISNUMBER(Y273)))),"INVALID – expected/actual qty missing",IF(AND(AR273=1,OR(X273&lt;=0,Y273&lt;0)),"INVALID – expected qty must be above 0 and actual not negative",IF(BB273&lt;&gt;"",BB273,IF(AND(AS273=1,Documents!$J$12&lt;&gt;"ON FILE"),"INVALID – GLD not on file (Documents sheet)",IF(AND(AS273=2,Documents!$O$12&lt;&gt;"ON FILE"),"INVALID – menu checklist not on file (Documents sheet)",IF(AND(AS273=3,NOT(ISNUMBER(Flights!$AX$12))),"INVALID – enter carrying flight KUL departure (Flights AX)",IF(AND(AS273=3,OR(Flights!$AZ$12&gt;Flights!$AA$12,Flights!$AX$12&lt;Flights!$AA$12-3)),"INVALID – carrying flight (Flights AX) cannot arrive before this leg's STD, or is over 3 days early",IF(AG273&gt;AsOfUTC,"INVALID – completion time is in the future",IF(AND(ISNUMBER(S273),AG273&lt;S273),IF(H273="Physical uplift","INVALID – before uplift window (cannot confirm loading)","INVALID – before valid window"),IF(AG273&gt;Flights!$AA$12,"INVALID – completed after departure (cannot establish readiness)",IF(AND(H273="Preparation",AG273&gt;IF(ISNUMBER(Flights!$BA$12),MIN(Flights!$BA$12,Flights!$AA$12),Flights!$AA$12)),"INVALID – completed after loading / departure (cannot establish readiness)",IF(AND(H273="Physical uplift",AG273&gt;Q273),"INVALID – recorded after the loading flight departed",IF(AG273&gt;Q273,"COMPLETE – LATE","COMPLETE"))))))))))))))))))))),IF(TRIM(U273)="Fail","FAIL – DISCREPANCY",IF(AND(TRIM(U273)&lt;&gt;"",TRIM(U273)&lt;&gt;"Not started",TRIM(U273)&lt;&gt;"In progress"),"INVALID – unrecognised status (use the list)",IF(AsOfUTC&gt;Q273,"OVERDUE",IF(N273="Clarification required","OPEN – CLARIFICATION","OPEN"))))))),"INVALID – error value in an input cell")</f>
        <v>OPEN</v>
      </c>
      <c r="AI273" s="61" t="n">
        <f aca="false">IF(OR(AH273="N/A – RULE",AH273="N/A – JUSTIFIED"),0,1)</f>
        <v>1</v>
      </c>
      <c r="AJ273" s="61" t="n">
        <f aca="false">IF(LEFT(AH273,8)="COMPLETE",1,0)</f>
        <v>0</v>
      </c>
      <c r="AK273" s="61" t="n">
        <f aca="false">IF(AND(AI273=1,AJ273=0,AsOfUTC&gt;Q273),1,0)</f>
        <v>0</v>
      </c>
      <c r="AL273" s="61" t="n">
        <f aca="false">IFERROR(IF(AND(AI273=1,OR(TRIM(U273)="Fail",AND(TRIM(AB273)&lt;&gt;"",TRIM(AB273)&lt;&gt;"Closed"),AND(ISNUMBER(AF273),AF273&lt;&gt;0,TRIM(U273)&lt;&gt;"Pass after CA"))),1,0),1)</f>
        <v>0</v>
      </c>
      <c r="AM273" s="61" t="n">
        <f aca="false">IF(LEFT(AH273,7)="INVALID",1,0)</f>
        <v>0</v>
      </c>
      <c r="AN273" s="61" t="n">
        <f aca="false">IF(AND(N273="Clarification required",AI273=1,AJ273=0),1,0)</f>
        <v>0</v>
      </c>
      <c r="AO273" s="61" t="str">
        <f aca="false">IF(AK273=1,SUM(AK$5:AK273),"")</f>
        <v/>
      </c>
      <c r="AP273" s="61" t="str">
        <f aca="false">IF(AL273=1,SUM(AL$5:AL273),"")</f>
        <v/>
      </c>
      <c r="AQ273" s="61" t="n">
        <v>0</v>
      </c>
      <c r="AR273" s="61" t="n">
        <v>1</v>
      </c>
      <c r="AS273" s="61" t="n">
        <v>0</v>
      </c>
      <c r="AT273" s="61" t="n">
        <v>0</v>
      </c>
      <c r="AU273" s="61" t="str">
        <f aca="false">SUBSTITUTE(SUBSTITUTE(SUBSTITUTE(SUBSTITUTE(SUBSTITUTE(SUBSTITUTE(SUBSTITUTE(SUBSTITUTE(SUBSTITUTE(SUBSTITUTE(SUBSTITUTE(SUBSTITUTE(SUBSTITUTE(LOWER(T273&amp;""),CHAR(160),"")," ",""),".",""),"-",""),"/",""),"?",""),"_",""),",",""),"[",""),"]",""),"(",""),")",""),"*","")</f>
        <v/>
      </c>
      <c r="AV273" s="61" t="str">
        <f aca="false">SUBSTITUTE(SUBSTITUTE(SUBSTITUTE(SUBSTITUTE(SUBSTITUTE(SUBSTITUTE(SUBSTITUTE(SUBSTITUTE(SUBSTITUTE(SUBSTITUTE(SUBSTITUTE(SUBSTITUTE(SUBSTITUTE(LOWER(V273&amp;""),CHAR(160),"")," ",""),".",""),"-",""),"/",""),"?",""),"_",""),",",""),"[",""),"]",""),"(",""),")",""),"*","")</f>
        <v/>
      </c>
      <c r="AW273" s="61" t="str">
        <f aca="false">SUBSTITUTE(SUBSTITUTE(SUBSTITUTE(SUBSTITUTE(SUBSTITUTE(SUBSTITUTE(SUBSTITUTE(SUBSTITUTE(SUBSTITUTE(SUBSTITUTE(SUBSTITUTE(SUBSTITUTE(SUBSTITUTE(LOWER(Z273&amp;""),CHAR(160),"")," ",""),".",""),"-",""),"/",""),"?",""),"_",""),",",""),"[",""),"]",""),"(",""),")",""),"*","")</f>
        <v/>
      </c>
      <c r="AX273" s="61" t="str">
        <f aca="false">SUBSTITUTE(SUBSTITUTE(SUBSTITUTE(SUBSTITUTE(SUBSTITUTE(SUBSTITUTE(SUBSTITUTE(SUBSTITUTE(SUBSTITUTE(SUBSTITUTE(SUBSTITUTE(SUBSTITUTE(SUBSTITUTE(LOWER(AE273&amp;""),CHAR(160),"")," ",""),".",""),"-",""),"/",""),"?",""),"_",""),",",""),"[",""),"]",""),"(",""),")",""),"*","")</f>
        <v/>
      </c>
      <c r="AY273" s="61" t="str">
        <f aca="false">SUBSTITUTE(SUBSTITUTE(SUBSTITUTE(SUBSTITUTE(SUBSTITUTE(SUBSTITUTE(SUBSTITUTE(SUBSTITUTE(SUBSTITUTE(SUBSTITUTE(SUBSTITUTE(SUBSTITUTE(SUBSTITUTE(LOWER(W273&amp;""),CHAR(160),"")," ",""),".",""),"-",""),"/",""),"?",""),"_",""),",",""),"[",""),"]",""),"(",""),")",""),"*","")</f>
        <v/>
      </c>
      <c r="AZ273" s="61" t="str">
        <f aca="false">SUBSTITUTE(SUBSTITUTE(SUBSTITUTE(SUBSTITUTE(SUBSTITUTE(SUBSTITUTE(SUBSTITUTE(SUBSTITUTE(SUBSTITUTE(SUBSTITUTE(SUBSTITUTE(SUBSTITUTE(SUBSTITUTE(LOWER(AC273&amp;""),CHAR(160),"")," ",""),".",""),"-",""),"/",""),"?",""),"_",""),",",""),"[",""),"]",""),"(",""),")",""),"*","")</f>
        <v/>
      </c>
      <c r="BA273" s="61" t="str">
        <f aca="false">SUBSTITUTE(SUBSTITUTE(SUBSTITUTE(SUBSTITUTE(SUBSTITUTE(SUBSTITUTE(SUBSTITUTE(SUBSTITUTE(SUBSTITUTE(SUBSTITUTE(SUBSTITUTE(SUBSTITUTE(SUBSTITUTE(LOWER(AA273&amp;""),CHAR(160),"")," ",""),".",""),"-",""),"/",""),"?",""),"_",""),",",""),"[",""),"]",""),"(",""),")",""),"*","")</f>
        <v/>
      </c>
      <c r="BB273" s="61" t="str">
        <f aca="false">IF(AND(TRIM(U273)="Pass",ISNUMBER(AF273)),IF(AF273&lt;&gt;0,"INVALID – qty variance: use Fail or Pass after CA",""),"")&amp;IF(AND(TRIM(U273)="Pass after CA",ISNUMBER(AF273)),IF(AF273&lt;&gt;0,"INVALID – after the corrective action the actual qty must equal expected (update Actual)",""),"")&amp;IF(AND(TRIM(U273)="Pass",TRIM(AB273)&lt;&gt;"",TRIM(AB273)&lt;&gt;"Closed"),"INVALID – corrective action not closed: use Fail, then Pass after CA","")&amp;IF(AND(TRIM(AA273)&lt;&gt;"",TRIM(AB273)=""),"INVALID – CA status missing for the recorded corrective action","")&amp;IF(AND(TRIM(U273)="Pass after CA",OR(OR(LEN(BA273)&lt;5,ISNUMBER(MATCH(BA273,L_Placeholder,0))),TRIM(AB273)&lt;&gt;"Closed")),"INVALID – corrective action not recorded/closed","")</f>
        <v/>
      </c>
    </row>
    <row r="274" customFormat="false" ht="39.75" hidden="false" customHeight="true" outlineLevel="0" collapsed="false">
      <c r="A274" s="57" t="s">
        <v>825</v>
      </c>
      <c r="B274" s="57" t="s">
        <v>235</v>
      </c>
      <c r="C274" s="57" t="str">
        <f aca="false">Flights!$F$12</f>
        <v>MH0752</v>
      </c>
      <c r="D274" s="58" t="n">
        <f aca="false">Flights!$D$12</f>
        <v>46305</v>
      </c>
      <c r="E274" s="57" t="str">
        <f aca="false">Flights!$G$12&amp;"-"&amp;Flights!$H$12</f>
        <v>KUL-HAN</v>
      </c>
      <c r="F274" s="57" t="str">
        <f aca="false">Flights!$K$12</f>
        <v>EY</v>
      </c>
      <c r="G274" s="57" t="s">
        <v>398</v>
      </c>
      <c r="H274" s="57" t="s">
        <v>356</v>
      </c>
      <c r="I274" s="57" t="s">
        <v>406</v>
      </c>
      <c r="J274" s="57" t="s">
        <v>407</v>
      </c>
      <c r="K274" s="67"/>
      <c r="L274" s="67" t="s">
        <v>400</v>
      </c>
      <c r="M274" s="67"/>
      <c r="N274" s="67" t="s">
        <v>361</v>
      </c>
      <c r="O274" s="67" t="s">
        <v>401</v>
      </c>
      <c r="P274" s="57" t="s">
        <v>184</v>
      </c>
      <c r="Q274" s="59" t="n">
        <f aca="false">ROUND((Flights!$AE$12)*1440,0)/1440</f>
        <v>46304.5659722222</v>
      </c>
      <c r="R274" s="59" t="n">
        <f aca="false">Q274+(IF(AND(INDEX(TZ_DSTS,MATCH(P274,TZ_STN,0))&lt;&gt;"",Q274&gt;=INDEX(TZ_DSTS,MATCH(P274,TZ_STN,0)),Q274&lt;INDEX(TZ_DSTE,MATCH(P274,TZ_STN,0))),INDEX(TZ_DST,MATCH(P274,TZ_STN,0)),INDEX(TZ_STD,MATCH(P274,TZ_STN,0))))/24</f>
        <v>46304.8993055556</v>
      </c>
      <c r="S274" s="59" t="n">
        <f aca="false">Q274-T12EarlyH/24</f>
        <v>46304.0659722222</v>
      </c>
      <c r="T274" s="60"/>
      <c r="U274" s="60"/>
      <c r="V274" s="60"/>
      <c r="W274" s="61"/>
      <c r="X274" s="60"/>
      <c r="Y274" s="60"/>
      <c r="Z274" s="60"/>
      <c r="AA274" s="60"/>
      <c r="AB274" s="60"/>
      <c r="AC274" s="60"/>
      <c r="AD274" s="66"/>
      <c r="AE274" s="60"/>
      <c r="AF274" s="61" t="str">
        <f aca="false">IF(AND(ISNUMBER(X274),ISNUMBER(Y274)),Y274-X274,"")</f>
        <v/>
      </c>
      <c r="AG274" s="62" t="str">
        <f aca="false">IF(ISNUMBER(AD274),AD274-(IF(AND(INDEX(TZ_DSTS,MATCH(P274,TZ_STN,0))&lt;&gt;"",(AD274-INDEX(TZ_STD,MATCH(P274,TZ_STN,0))/24)&gt;=INDEX(TZ_DSTS,MATCH(P274,TZ_STN,0)),(AD274-INDEX(TZ_STD,MATCH(P274,TZ_STN,0))/24)&lt;INDEX(TZ_DSTE,MATCH(P274,TZ_STN,0))),INDEX(TZ_DST,MATCH(P274,TZ_STN,0)),INDEX(TZ_STD,MATCH(P274,TZ_STN,0))))/24,"")</f>
        <v/>
      </c>
      <c r="AH274" s="65" t="str">
        <f aca="false">IFERROR(IF(N274="N/A – rule","N/A – RULE",IF(TRIM(U274)="N/A",IF(AT274=0,"INVALID – N/A not permitted for this check",IF(AND(TRIM(AB274)&lt;&gt;"",TRIM(AB274)&lt;&gt;"Closed"),"INVALID – corrective action still open",IF(AND(NOT(OR(LEN(AZ274)&lt;15,ISNUMBER(MATCH(AZ274,L_Placeholder,0)))),NOT(OR(LEN(AU274)&lt;2,ISNUMBER(MATCH(AU274,L_Placeholder,0)))),NOT(OR(LEN(AX274)&lt;2,ISNUMBER(MATCH(AX274,L_Placeholder,0)))),TRIM(AE274)&lt;&gt;TRIM(T274)),"N/A – JUSTIFIED","INVALID – N/A needs a real justification (15+ chars), PIC and a different verifier"))),IF(OR(TRIM(U274)="Pass",TRIM(U274)="Pass after CA"),IF(NOT(ISNUMBER(AD274)),"INVALID – completion time missing",IF(OR(LEN(AU274)&lt;2,ISNUMBER(MATCH(AU274,L_Placeholder,0))),"INVALID – PIC missing",IF(OR(LEN(AV274)&lt;2,ISNUMBER(MATCH(AV274,L_Placeholder,0))),"INVALID – result / assessment missing",IF(OR(OR(LEN(AW274)&lt;3,ISNUMBER(MATCH(AW274,L_Placeholder,0))),SUMPRODUCT(--ISNUMBER(SEARCH(L_EvidencePhrase,AW274)))&gt;0),"INVALID – evidence missing, placeholder or not yet on file",IF(OR(LEN(AX274)&lt;2,ISNUMBER(MATCH(AX274,L_Placeholder,0))),"INVALID – verifier missing",IF(AX274=AU274,"INVALID – verifier must be someone other than the PIC",IF(AND(TRIM(U274)="Pass",SUMPRODUCT(--ISNUMBER(SEARCH(L_ResultBad,AV274)))&gt;0),"INVALID – result describes a problem: use Fail, then Pass after CA",IF(AND(AQ274=1,OR(LEN(AY274)&lt;3,ISNUMBER(MATCH(AY274,L_Placeholder,0)))),"INVALID – batch ID missing or placeholder",IF(AND(AR274=1,OR(NOT(ISNUMBER(X274)),NOT(ISNUMBER(Y274)))),"INVALID – expected/actual qty missing",IF(AND(AR274=1,OR(X274&lt;=0,Y274&lt;0)),"INVALID – expected qty must be above 0 and actual not negative",IF(BB274&lt;&gt;"",BB274,IF(AND(AS274=1,Documents!$J$12&lt;&gt;"ON FILE"),"INVALID – GLD not on file (Documents sheet)",IF(AND(AS274=2,Documents!$O$12&lt;&gt;"ON FILE"),"INVALID – menu checklist not on file (Documents sheet)",IF(AND(AS274=3,NOT(ISNUMBER(Flights!$AX$12))),"INVALID – enter carrying flight KUL departure (Flights AX)",IF(AND(AS274=3,OR(Flights!$AZ$12&gt;Flights!$AA$12,Flights!$AX$12&lt;Flights!$AA$12-3)),"INVALID – carrying flight (Flights AX) cannot arrive before this leg's STD, or is over 3 days early",IF(AG274&gt;AsOfUTC,"INVALID – completion time is in the future",IF(AND(ISNUMBER(S274),AG274&lt;S274),IF(H274="Physical uplift","INVALID – before uplift window (cannot confirm loading)","INVALID – before valid window"),IF(AG274&gt;Flights!$AA$12,"INVALID – completed after departure (cannot establish readiness)",IF(AND(H274="Preparation",AG274&gt;IF(ISNUMBER(Flights!$BA$12),MIN(Flights!$BA$12,Flights!$AA$12),Flights!$AA$12)),"INVALID – completed after loading / departure (cannot establish readiness)",IF(AND(H274="Physical uplift",AG274&gt;Q274),"INVALID – recorded after the loading flight departed",IF(AG274&gt;Q274,"COMPLETE – LATE","COMPLETE"))))))))))))))))))))),IF(TRIM(U274)="Fail","FAIL – DISCREPANCY",IF(AND(TRIM(U274)&lt;&gt;"",TRIM(U274)&lt;&gt;"Not started",TRIM(U274)&lt;&gt;"In progress"),"INVALID – unrecognised status (use the list)",IF(AsOfUTC&gt;Q274,"OVERDUE",IF(N274="Clarification required","OPEN – CLARIFICATION","OPEN"))))))),"INVALID – error value in an input cell")</f>
        <v>OPEN</v>
      </c>
      <c r="AI274" s="61" t="n">
        <f aca="false">IF(OR(AH274="N/A – RULE",AH274="N/A – JUSTIFIED"),0,1)</f>
        <v>1</v>
      </c>
      <c r="AJ274" s="61" t="n">
        <f aca="false">IF(LEFT(AH274,8)="COMPLETE",1,0)</f>
        <v>0</v>
      </c>
      <c r="AK274" s="61" t="n">
        <f aca="false">IF(AND(AI274=1,AJ274=0,AsOfUTC&gt;Q274),1,0)</f>
        <v>0</v>
      </c>
      <c r="AL274" s="61" t="n">
        <f aca="false">IFERROR(IF(AND(AI274=1,OR(TRIM(U274)="Fail",AND(TRIM(AB274)&lt;&gt;"",TRIM(AB274)&lt;&gt;"Closed"),AND(ISNUMBER(AF274),AF274&lt;&gt;0,TRIM(U274)&lt;&gt;"Pass after CA"))),1,0),1)</f>
        <v>0</v>
      </c>
      <c r="AM274" s="61" t="n">
        <f aca="false">IF(LEFT(AH274,7)="INVALID",1,0)</f>
        <v>0</v>
      </c>
      <c r="AN274" s="61" t="n">
        <f aca="false">IF(AND(N274="Clarification required",AI274=1,AJ274=0),1,0)</f>
        <v>0</v>
      </c>
      <c r="AO274" s="61" t="str">
        <f aca="false">IF(AK274=1,SUM(AK$5:AK274),"")</f>
        <v/>
      </c>
      <c r="AP274" s="61" t="str">
        <f aca="false">IF(AL274=1,SUM(AL$5:AL274),"")</f>
        <v/>
      </c>
      <c r="AQ274" s="61" t="n">
        <v>0</v>
      </c>
      <c r="AR274" s="61" t="n">
        <v>0</v>
      </c>
      <c r="AS274" s="61" t="n">
        <v>0</v>
      </c>
      <c r="AT274" s="61" t="n">
        <v>0</v>
      </c>
      <c r="AU274" s="61" t="str">
        <f aca="false">SUBSTITUTE(SUBSTITUTE(SUBSTITUTE(SUBSTITUTE(SUBSTITUTE(SUBSTITUTE(SUBSTITUTE(SUBSTITUTE(SUBSTITUTE(SUBSTITUTE(SUBSTITUTE(SUBSTITUTE(SUBSTITUTE(LOWER(T274&amp;""),CHAR(160),"")," ",""),".",""),"-",""),"/",""),"?",""),"_",""),",",""),"[",""),"]",""),"(",""),")",""),"*","")</f>
        <v/>
      </c>
      <c r="AV274" s="61" t="str">
        <f aca="false">SUBSTITUTE(SUBSTITUTE(SUBSTITUTE(SUBSTITUTE(SUBSTITUTE(SUBSTITUTE(SUBSTITUTE(SUBSTITUTE(SUBSTITUTE(SUBSTITUTE(SUBSTITUTE(SUBSTITUTE(SUBSTITUTE(LOWER(V274&amp;""),CHAR(160),"")," ",""),".",""),"-",""),"/",""),"?",""),"_",""),",",""),"[",""),"]",""),"(",""),")",""),"*","")</f>
        <v/>
      </c>
      <c r="AW274" s="61" t="str">
        <f aca="false">SUBSTITUTE(SUBSTITUTE(SUBSTITUTE(SUBSTITUTE(SUBSTITUTE(SUBSTITUTE(SUBSTITUTE(SUBSTITUTE(SUBSTITUTE(SUBSTITUTE(SUBSTITUTE(SUBSTITUTE(SUBSTITUTE(LOWER(Z274&amp;""),CHAR(160),"")," ",""),".",""),"-",""),"/",""),"?",""),"_",""),",",""),"[",""),"]",""),"(",""),")",""),"*","")</f>
        <v/>
      </c>
      <c r="AX274" s="61" t="str">
        <f aca="false">SUBSTITUTE(SUBSTITUTE(SUBSTITUTE(SUBSTITUTE(SUBSTITUTE(SUBSTITUTE(SUBSTITUTE(SUBSTITUTE(SUBSTITUTE(SUBSTITUTE(SUBSTITUTE(SUBSTITUTE(SUBSTITUTE(LOWER(AE274&amp;""),CHAR(160),"")," ",""),".",""),"-",""),"/",""),"?",""),"_",""),",",""),"[",""),"]",""),"(",""),")",""),"*","")</f>
        <v/>
      </c>
      <c r="AY274" s="61" t="str">
        <f aca="false">SUBSTITUTE(SUBSTITUTE(SUBSTITUTE(SUBSTITUTE(SUBSTITUTE(SUBSTITUTE(SUBSTITUTE(SUBSTITUTE(SUBSTITUTE(SUBSTITUTE(SUBSTITUTE(SUBSTITUTE(SUBSTITUTE(LOWER(W274&amp;""),CHAR(160),"")," ",""),".",""),"-",""),"/",""),"?",""),"_",""),",",""),"[",""),"]",""),"(",""),")",""),"*","")</f>
        <v/>
      </c>
      <c r="AZ274" s="61" t="str">
        <f aca="false">SUBSTITUTE(SUBSTITUTE(SUBSTITUTE(SUBSTITUTE(SUBSTITUTE(SUBSTITUTE(SUBSTITUTE(SUBSTITUTE(SUBSTITUTE(SUBSTITUTE(SUBSTITUTE(SUBSTITUTE(SUBSTITUTE(LOWER(AC274&amp;""),CHAR(160),"")," ",""),".",""),"-",""),"/",""),"?",""),"_",""),",",""),"[",""),"]",""),"(",""),")",""),"*","")</f>
        <v/>
      </c>
      <c r="BA274" s="61" t="str">
        <f aca="false">SUBSTITUTE(SUBSTITUTE(SUBSTITUTE(SUBSTITUTE(SUBSTITUTE(SUBSTITUTE(SUBSTITUTE(SUBSTITUTE(SUBSTITUTE(SUBSTITUTE(SUBSTITUTE(SUBSTITUTE(SUBSTITUTE(LOWER(AA274&amp;""),CHAR(160),"")," ",""),".",""),"-",""),"/",""),"?",""),"_",""),",",""),"[",""),"]",""),"(",""),")",""),"*","")</f>
        <v/>
      </c>
      <c r="BB274" s="61" t="str">
        <f aca="false">IF(AND(TRIM(U274)="Pass",ISNUMBER(AF274)),IF(AF274&lt;&gt;0,"INVALID – qty variance: use Fail or Pass after CA",""),"")&amp;IF(AND(TRIM(U274)="Pass after CA",ISNUMBER(AF274)),IF(AF274&lt;&gt;0,"INVALID – after the corrective action the actual qty must equal expected (update Actual)",""),"")&amp;IF(AND(TRIM(U274)="Pass",TRIM(AB274)&lt;&gt;"",TRIM(AB274)&lt;&gt;"Closed"),"INVALID – corrective action not closed: use Fail, then Pass after CA","")&amp;IF(AND(TRIM(AA274)&lt;&gt;"",TRIM(AB274)=""),"INVALID – CA status missing for the recorded corrective action","")&amp;IF(AND(TRIM(U274)="Pass after CA",OR(OR(LEN(BA274)&lt;5,ISNUMBER(MATCH(BA274,L_Placeholder,0))),TRIM(AB274)&lt;&gt;"Closed")),"INVALID – corrective action not recorded/closed","")</f>
        <v/>
      </c>
    </row>
    <row r="275" customFormat="false" ht="39.75" hidden="false" customHeight="true" outlineLevel="0" collapsed="false">
      <c r="A275" s="57" t="s">
        <v>826</v>
      </c>
      <c r="B275" s="57" t="s">
        <v>235</v>
      </c>
      <c r="C275" s="57" t="str">
        <f aca="false">Flights!$F$12</f>
        <v>MH0752</v>
      </c>
      <c r="D275" s="58" t="n">
        <f aca="false">Flights!$D$12</f>
        <v>46305</v>
      </c>
      <c r="E275" s="57" t="str">
        <f aca="false">Flights!$G$12&amp;"-"&amp;Flights!$H$12</f>
        <v>KUL-HAN</v>
      </c>
      <c r="F275" s="57" t="str">
        <f aca="false">Flights!$K$12</f>
        <v>EY</v>
      </c>
      <c r="G275" s="57" t="s">
        <v>398</v>
      </c>
      <c r="H275" s="57" t="s">
        <v>356</v>
      </c>
      <c r="I275" s="57" t="s">
        <v>406</v>
      </c>
      <c r="J275" s="57" t="s">
        <v>409</v>
      </c>
      <c r="K275" s="67"/>
      <c r="L275" s="67" t="s">
        <v>400</v>
      </c>
      <c r="M275" s="67"/>
      <c r="N275" s="67" t="s">
        <v>361</v>
      </c>
      <c r="O275" s="67" t="s">
        <v>401</v>
      </c>
      <c r="P275" s="57" t="s">
        <v>184</v>
      </c>
      <c r="Q275" s="59" t="n">
        <f aca="false">ROUND((Flights!$AE$12)*1440,0)/1440</f>
        <v>46304.5659722222</v>
      </c>
      <c r="R275" s="59" t="n">
        <f aca="false">Q275+(IF(AND(INDEX(TZ_DSTS,MATCH(P275,TZ_STN,0))&lt;&gt;"",Q275&gt;=INDEX(TZ_DSTS,MATCH(P275,TZ_STN,0)),Q275&lt;INDEX(TZ_DSTE,MATCH(P275,TZ_STN,0))),INDEX(TZ_DST,MATCH(P275,TZ_STN,0)),INDEX(TZ_STD,MATCH(P275,TZ_STN,0))))/24</f>
        <v>46304.8993055556</v>
      </c>
      <c r="S275" s="59" t="n">
        <f aca="false">Q275-T12EarlyH/24</f>
        <v>46304.0659722222</v>
      </c>
      <c r="T275" s="60"/>
      <c r="U275" s="60"/>
      <c r="V275" s="60"/>
      <c r="W275" s="61"/>
      <c r="X275" s="60"/>
      <c r="Y275" s="60"/>
      <c r="Z275" s="60"/>
      <c r="AA275" s="60"/>
      <c r="AB275" s="60"/>
      <c r="AC275" s="60"/>
      <c r="AD275" s="66"/>
      <c r="AE275" s="60"/>
      <c r="AF275" s="61" t="str">
        <f aca="false">IF(AND(ISNUMBER(X275),ISNUMBER(Y275)),Y275-X275,"")</f>
        <v/>
      </c>
      <c r="AG275" s="62" t="str">
        <f aca="false">IF(ISNUMBER(AD275),AD275-(IF(AND(INDEX(TZ_DSTS,MATCH(P275,TZ_STN,0))&lt;&gt;"",(AD275-INDEX(TZ_STD,MATCH(P275,TZ_STN,0))/24)&gt;=INDEX(TZ_DSTS,MATCH(P275,TZ_STN,0)),(AD275-INDEX(TZ_STD,MATCH(P275,TZ_STN,0))/24)&lt;INDEX(TZ_DSTE,MATCH(P275,TZ_STN,0))),INDEX(TZ_DST,MATCH(P275,TZ_STN,0)),INDEX(TZ_STD,MATCH(P275,TZ_STN,0))))/24,"")</f>
        <v/>
      </c>
      <c r="AH275" s="65" t="str">
        <f aca="false">IFERROR(IF(N275="N/A – rule","N/A – RULE",IF(TRIM(U275)="N/A",IF(AT275=0,"INVALID – N/A not permitted for this check",IF(AND(TRIM(AB275)&lt;&gt;"",TRIM(AB275)&lt;&gt;"Closed"),"INVALID – corrective action still open",IF(AND(NOT(OR(LEN(AZ275)&lt;15,ISNUMBER(MATCH(AZ275,L_Placeholder,0)))),NOT(OR(LEN(AU275)&lt;2,ISNUMBER(MATCH(AU275,L_Placeholder,0)))),NOT(OR(LEN(AX275)&lt;2,ISNUMBER(MATCH(AX275,L_Placeholder,0)))),TRIM(AE275)&lt;&gt;TRIM(T275)),"N/A – JUSTIFIED","INVALID – N/A needs a real justification (15+ chars), PIC and a different verifier"))),IF(OR(TRIM(U275)="Pass",TRIM(U275)="Pass after CA"),IF(NOT(ISNUMBER(AD275)),"INVALID – completion time missing",IF(OR(LEN(AU275)&lt;2,ISNUMBER(MATCH(AU275,L_Placeholder,0))),"INVALID – PIC missing",IF(OR(LEN(AV275)&lt;2,ISNUMBER(MATCH(AV275,L_Placeholder,0))),"INVALID – result / assessment missing",IF(OR(OR(LEN(AW275)&lt;3,ISNUMBER(MATCH(AW275,L_Placeholder,0))),SUMPRODUCT(--ISNUMBER(SEARCH(L_EvidencePhrase,AW275)))&gt;0),"INVALID – evidence missing, placeholder or not yet on file",IF(OR(LEN(AX275)&lt;2,ISNUMBER(MATCH(AX275,L_Placeholder,0))),"INVALID – verifier missing",IF(AX275=AU275,"INVALID – verifier must be someone other than the PIC",IF(AND(TRIM(U275)="Pass",SUMPRODUCT(--ISNUMBER(SEARCH(L_ResultBad,AV275)))&gt;0),"INVALID – result describes a problem: use Fail, then Pass after CA",IF(AND(AQ275=1,OR(LEN(AY275)&lt;3,ISNUMBER(MATCH(AY275,L_Placeholder,0)))),"INVALID – batch ID missing or placeholder",IF(AND(AR275=1,OR(NOT(ISNUMBER(X275)),NOT(ISNUMBER(Y275)))),"INVALID – expected/actual qty missing",IF(AND(AR275=1,OR(X275&lt;=0,Y275&lt;0)),"INVALID – expected qty must be above 0 and actual not negative",IF(BB275&lt;&gt;"",BB275,IF(AND(AS275=1,Documents!$J$12&lt;&gt;"ON FILE"),"INVALID – GLD not on file (Documents sheet)",IF(AND(AS275=2,Documents!$O$12&lt;&gt;"ON FILE"),"INVALID – menu checklist not on file (Documents sheet)",IF(AND(AS275=3,NOT(ISNUMBER(Flights!$AX$12))),"INVALID – enter carrying flight KUL departure (Flights AX)",IF(AND(AS275=3,OR(Flights!$AZ$12&gt;Flights!$AA$12,Flights!$AX$12&lt;Flights!$AA$12-3)),"INVALID – carrying flight (Flights AX) cannot arrive before this leg's STD, or is over 3 days early",IF(AG275&gt;AsOfUTC,"INVALID – completion time is in the future",IF(AND(ISNUMBER(S275),AG275&lt;S275),IF(H275="Physical uplift","INVALID – before uplift window (cannot confirm loading)","INVALID – before valid window"),IF(AG275&gt;Flights!$AA$12,"INVALID – completed after departure (cannot establish readiness)",IF(AND(H275="Preparation",AG275&gt;IF(ISNUMBER(Flights!$BA$12),MIN(Flights!$BA$12,Flights!$AA$12),Flights!$AA$12)),"INVALID – completed after loading / departure (cannot establish readiness)",IF(AND(H275="Physical uplift",AG275&gt;Q275),"INVALID – recorded after the loading flight departed",IF(AG275&gt;Q275,"COMPLETE – LATE","COMPLETE"))))))))))))))))))))),IF(TRIM(U275)="Fail","FAIL – DISCREPANCY",IF(AND(TRIM(U275)&lt;&gt;"",TRIM(U275)&lt;&gt;"Not started",TRIM(U275)&lt;&gt;"In progress"),"INVALID – unrecognised status (use the list)",IF(AsOfUTC&gt;Q275,"OVERDUE",IF(N275="Clarification required","OPEN – CLARIFICATION","OPEN"))))))),"INVALID – error value in an input cell")</f>
        <v>OPEN</v>
      </c>
      <c r="AI275" s="61" t="n">
        <f aca="false">IF(OR(AH275="N/A – RULE",AH275="N/A – JUSTIFIED"),0,1)</f>
        <v>1</v>
      </c>
      <c r="AJ275" s="61" t="n">
        <f aca="false">IF(LEFT(AH275,8)="COMPLETE",1,0)</f>
        <v>0</v>
      </c>
      <c r="AK275" s="61" t="n">
        <f aca="false">IF(AND(AI275=1,AJ275=0,AsOfUTC&gt;Q275),1,0)</f>
        <v>0</v>
      </c>
      <c r="AL275" s="61" t="n">
        <f aca="false">IFERROR(IF(AND(AI275=1,OR(TRIM(U275)="Fail",AND(TRIM(AB275)&lt;&gt;"",TRIM(AB275)&lt;&gt;"Closed"),AND(ISNUMBER(AF275),AF275&lt;&gt;0,TRIM(U275)&lt;&gt;"Pass after CA"))),1,0),1)</f>
        <v>0</v>
      </c>
      <c r="AM275" s="61" t="n">
        <f aca="false">IF(LEFT(AH275,7)="INVALID",1,0)</f>
        <v>0</v>
      </c>
      <c r="AN275" s="61" t="n">
        <f aca="false">IF(AND(N275="Clarification required",AI275=1,AJ275=0),1,0)</f>
        <v>0</v>
      </c>
      <c r="AO275" s="61" t="str">
        <f aca="false">IF(AK275=1,SUM(AK$5:AK275),"")</f>
        <v/>
      </c>
      <c r="AP275" s="61" t="str">
        <f aca="false">IF(AL275=1,SUM(AL$5:AL275),"")</f>
        <v/>
      </c>
      <c r="AQ275" s="61" t="n">
        <v>0</v>
      </c>
      <c r="AR275" s="61" t="n">
        <v>0</v>
      </c>
      <c r="AS275" s="61" t="n">
        <v>0</v>
      </c>
      <c r="AT275" s="61" t="n">
        <v>0</v>
      </c>
      <c r="AU275" s="61" t="str">
        <f aca="false">SUBSTITUTE(SUBSTITUTE(SUBSTITUTE(SUBSTITUTE(SUBSTITUTE(SUBSTITUTE(SUBSTITUTE(SUBSTITUTE(SUBSTITUTE(SUBSTITUTE(SUBSTITUTE(SUBSTITUTE(SUBSTITUTE(LOWER(T275&amp;""),CHAR(160),"")," ",""),".",""),"-",""),"/",""),"?",""),"_",""),",",""),"[",""),"]",""),"(",""),")",""),"*","")</f>
        <v/>
      </c>
      <c r="AV275" s="61" t="str">
        <f aca="false">SUBSTITUTE(SUBSTITUTE(SUBSTITUTE(SUBSTITUTE(SUBSTITUTE(SUBSTITUTE(SUBSTITUTE(SUBSTITUTE(SUBSTITUTE(SUBSTITUTE(SUBSTITUTE(SUBSTITUTE(SUBSTITUTE(LOWER(V275&amp;""),CHAR(160),"")," ",""),".",""),"-",""),"/",""),"?",""),"_",""),",",""),"[",""),"]",""),"(",""),")",""),"*","")</f>
        <v/>
      </c>
      <c r="AW275" s="61" t="str">
        <f aca="false">SUBSTITUTE(SUBSTITUTE(SUBSTITUTE(SUBSTITUTE(SUBSTITUTE(SUBSTITUTE(SUBSTITUTE(SUBSTITUTE(SUBSTITUTE(SUBSTITUTE(SUBSTITUTE(SUBSTITUTE(SUBSTITUTE(LOWER(Z275&amp;""),CHAR(160),"")," ",""),".",""),"-",""),"/",""),"?",""),"_",""),",",""),"[",""),"]",""),"(",""),")",""),"*","")</f>
        <v/>
      </c>
      <c r="AX275" s="61" t="str">
        <f aca="false">SUBSTITUTE(SUBSTITUTE(SUBSTITUTE(SUBSTITUTE(SUBSTITUTE(SUBSTITUTE(SUBSTITUTE(SUBSTITUTE(SUBSTITUTE(SUBSTITUTE(SUBSTITUTE(SUBSTITUTE(SUBSTITUTE(LOWER(AE275&amp;""),CHAR(160),"")," ",""),".",""),"-",""),"/",""),"?",""),"_",""),",",""),"[",""),"]",""),"(",""),")",""),"*","")</f>
        <v/>
      </c>
      <c r="AY275" s="61" t="str">
        <f aca="false">SUBSTITUTE(SUBSTITUTE(SUBSTITUTE(SUBSTITUTE(SUBSTITUTE(SUBSTITUTE(SUBSTITUTE(SUBSTITUTE(SUBSTITUTE(SUBSTITUTE(SUBSTITUTE(SUBSTITUTE(SUBSTITUTE(LOWER(W275&amp;""),CHAR(160),"")," ",""),".",""),"-",""),"/",""),"?",""),"_",""),",",""),"[",""),"]",""),"(",""),")",""),"*","")</f>
        <v/>
      </c>
      <c r="AZ275" s="61" t="str">
        <f aca="false">SUBSTITUTE(SUBSTITUTE(SUBSTITUTE(SUBSTITUTE(SUBSTITUTE(SUBSTITUTE(SUBSTITUTE(SUBSTITUTE(SUBSTITUTE(SUBSTITUTE(SUBSTITUTE(SUBSTITUTE(SUBSTITUTE(LOWER(AC275&amp;""),CHAR(160),"")," ",""),".",""),"-",""),"/",""),"?",""),"_",""),",",""),"[",""),"]",""),"(",""),")",""),"*","")</f>
        <v/>
      </c>
      <c r="BA275" s="61" t="str">
        <f aca="false">SUBSTITUTE(SUBSTITUTE(SUBSTITUTE(SUBSTITUTE(SUBSTITUTE(SUBSTITUTE(SUBSTITUTE(SUBSTITUTE(SUBSTITUTE(SUBSTITUTE(SUBSTITUTE(SUBSTITUTE(SUBSTITUTE(LOWER(AA275&amp;""),CHAR(160),"")," ",""),".",""),"-",""),"/",""),"?",""),"_",""),",",""),"[",""),"]",""),"(",""),")",""),"*","")</f>
        <v/>
      </c>
      <c r="BB275" s="61" t="str">
        <f aca="false">IF(AND(TRIM(U275)="Pass",ISNUMBER(AF275)),IF(AF275&lt;&gt;0,"INVALID – qty variance: use Fail or Pass after CA",""),"")&amp;IF(AND(TRIM(U275)="Pass after CA",ISNUMBER(AF275)),IF(AF275&lt;&gt;0,"INVALID – after the corrective action the actual qty must equal expected (update Actual)",""),"")&amp;IF(AND(TRIM(U275)="Pass",TRIM(AB275)&lt;&gt;"",TRIM(AB275)&lt;&gt;"Closed"),"INVALID – corrective action not closed: use Fail, then Pass after CA","")&amp;IF(AND(TRIM(AA275)&lt;&gt;"",TRIM(AB275)=""),"INVALID – CA status missing for the recorded corrective action","")&amp;IF(AND(TRIM(U275)="Pass after CA",OR(OR(LEN(BA275)&lt;5,ISNUMBER(MATCH(BA275,L_Placeholder,0))),TRIM(AB275)&lt;&gt;"Closed")),"INVALID – corrective action not recorded/closed","")</f>
        <v/>
      </c>
    </row>
    <row r="276" customFormat="false" ht="39.75" hidden="false" customHeight="true" outlineLevel="0" collapsed="false">
      <c r="A276" s="57" t="s">
        <v>827</v>
      </c>
      <c r="B276" s="57" t="s">
        <v>235</v>
      </c>
      <c r="C276" s="57" t="str">
        <f aca="false">Flights!$F$12</f>
        <v>MH0752</v>
      </c>
      <c r="D276" s="58" t="n">
        <f aca="false">Flights!$D$12</f>
        <v>46305</v>
      </c>
      <c r="E276" s="57" t="str">
        <f aca="false">Flights!$G$12&amp;"-"&amp;Flights!$H$12</f>
        <v>KUL-HAN</v>
      </c>
      <c r="F276" s="57" t="str">
        <f aca="false">Flights!$K$12</f>
        <v>EY</v>
      </c>
      <c r="G276" s="57" t="s">
        <v>398</v>
      </c>
      <c r="H276" s="57" t="s">
        <v>356</v>
      </c>
      <c r="I276" s="57" t="s">
        <v>406</v>
      </c>
      <c r="J276" s="57" t="s">
        <v>411</v>
      </c>
      <c r="K276" s="67"/>
      <c r="L276" s="67" t="s">
        <v>400</v>
      </c>
      <c r="M276" s="67"/>
      <c r="N276" s="67" t="s">
        <v>361</v>
      </c>
      <c r="O276" s="67" t="s">
        <v>401</v>
      </c>
      <c r="P276" s="57" t="s">
        <v>184</v>
      </c>
      <c r="Q276" s="59" t="n">
        <f aca="false">ROUND((Flights!$AE$12)*1440,0)/1440</f>
        <v>46304.5659722222</v>
      </c>
      <c r="R276" s="59" t="n">
        <f aca="false">Q276+(IF(AND(INDEX(TZ_DSTS,MATCH(P276,TZ_STN,0))&lt;&gt;"",Q276&gt;=INDEX(TZ_DSTS,MATCH(P276,TZ_STN,0)),Q276&lt;INDEX(TZ_DSTE,MATCH(P276,TZ_STN,0))),INDEX(TZ_DST,MATCH(P276,TZ_STN,0)),INDEX(TZ_STD,MATCH(P276,TZ_STN,0))))/24</f>
        <v>46304.8993055556</v>
      </c>
      <c r="S276" s="59" t="n">
        <f aca="false">Q276-T12EarlyH/24</f>
        <v>46304.0659722222</v>
      </c>
      <c r="T276" s="60"/>
      <c r="U276" s="60"/>
      <c r="V276" s="60"/>
      <c r="W276" s="61"/>
      <c r="X276" s="60"/>
      <c r="Y276" s="60"/>
      <c r="Z276" s="60"/>
      <c r="AA276" s="60"/>
      <c r="AB276" s="60"/>
      <c r="AC276" s="60"/>
      <c r="AD276" s="66"/>
      <c r="AE276" s="60"/>
      <c r="AF276" s="61" t="str">
        <f aca="false">IF(AND(ISNUMBER(X276),ISNUMBER(Y276)),Y276-X276,"")</f>
        <v/>
      </c>
      <c r="AG276" s="62" t="str">
        <f aca="false">IF(ISNUMBER(AD276),AD276-(IF(AND(INDEX(TZ_DSTS,MATCH(P276,TZ_STN,0))&lt;&gt;"",(AD276-INDEX(TZ_STD,MATCH(P276,TZ_STN,0))/24)&gt;=INDEX(TZ_DSTS,MATCH(P276,TZ_STN,0)),(AD276-INDEX(TZ_STD,MATCH(P276,TZ_STN,0))/24)&lt;INDEX(TZ_DSTE,MATCH(P276,TZ_STN,0))),INDEX(TZ_DST,MATCH(P276,TZ_STN,0)),INDEX(TZ_STD,MATCH(P276,TZ_STN,0))))/24,"")</f>
        <v/>
      </c>
      <c r="AH276" s="65" t="str">
        <f aca="false">IFERROR(IF(N276="N/A – rule","N/A – RULE",IF(TRIM(U276)="N/A",IF(AT276=0,"INVALID – N/A not permitted for this check",IF(AND(TRIM(AB276)&lt;&gt;"",TRIM(AB276)&lt;&gt;"Closed"),"INVALID – corrective action still open",IF(AND(NOT(OR(LEN(AZ276)&lt;15,ISNUMBER(MATCH(AZ276,L_Placeholder,0)))),NOT(OR(LEN(AU276)&lt;2,ISNUMBER(MATCH(AU276,L_Placeholder,0)))),NOT(OR(LEN(AX276)&lt;2,ISNUMBER(MATCH(AX276,L_Placeholder,0)))),TRIM(AE276)&lt;&gt;TRIM(T276)),"N/A – JUSTIFIED","INVALID – N/A needs a real justification (15+ chars), PIC and a different verifier"))),IF(OR(TRIM(U276)="Pass",TRIM(U276)="Pass after CA"),IF(NOT(ISNUMBER(AD276)),"INVALID – completion time missing",IF(OR(LEN(AU276)&lt;2,ISNUMBER(MATCH(AU276,L_Placeholder,0))),"INVALID – PIC missing",IF(OR(LEN(AV276)&lt;2,ISNUMBER(MATCH(AV276,L_Placeholder,0))),"INVALID – result / assessment missing",IF(OR(OR(LEN(AW276)&lt;3,ISNUMBER(MATCH(AW276,L_Placeholder,0))),SUMPRODUCT(--ISNUMBER(SEARCH(L_EvidencePhrase,AW276)))&gt;0),"INVALID – evidence missing, placeholder or not yet on file",IF(OR(LEN(AX276)&lt;2,ISNUMBER(MATCH(AX276,L_Placeholder,0))),"INVALID – verifier missing",IF(AX276=AU276,"INVALID – verifier must be someone other than the PIC",IF(AND(TRIM(U276)="Pass",SUMPRODUCT(--ISNUMBER(SEARCH(L_ResultBad,AV276)))&gt;0),"INVALID – result describes a problem: use Fail, then Pass after CA",IF(AND(AQ276=1,OR(LEN(AY276)&lt;3,ISNUMBER(MATCH(AY276,L_Placeholder,0)))),"INVALID – batch ID missing or placeholder",IF(AND(AR276=1,OR(NOT(ISNUMBER(X276)),NOT(ISNUMBER(Y276)))),"INVALID – expected/actual qty missing",IF(AND(AR276=1,OR(X276&lt;=0,Y276&lt;0)),"INVALID – expected qty must be above 0 and actual not negative",IF(BB276&lt;&gt;"",BB276,IF(AND(AS276=1,Documents!$J$12&lt;&gt;"ON FILE"),"INVALID – GLD not on file (Documents sheet)",IF(AND(AS276=2,Documents!$O$12&lt;&gt;"ON FILE"),"INVALID – menu checklist not on file (Documents sheet)",IF(AND(AS276=3,NOT(ISNUMBER(Flights!$AX$12))),"INVALID – enter carrying flight KUL departure (Flights AX)",IF(AND(AS276=3,OR(Flights!$AZ$12&gt;Flights!$AA$12,Flights!$AX$12&lt;Flights!$AA$12-3)),"INVALID – carrying flight (Flights AX) cannot arrive before this leg's STD, or is over 3 days early",IF(AG276&gt;AsOfUTC,"INVALID – completion time is in the future",IF(AND(ISNUMBER(S276),AG276&lt;S276),IF(H276="Physical uplift","INVALID – before uplift window (cannot confirm loading)","INVALID – before valid window"),IF(AG276&gt;Flights!$AA$12,"INVALID – completed after departure (cannot establish readiness)",IF(AND(H276="Preparation",AG276&gt;IF(ISNUMBER(Flights!$BA$12),MIN(Flights!$BA$12,Flights!$AA$12),Flights!$AA$12)),"INVALID – completed after loading / departure (cannot establish readiness)",IF(AND(H276="Physical uplift",AG276&gt;Q276),"INVALID – recorded after the loading flight departed",IF(AG276&gt;Q276,"COMPLETE – LATE","COMPLETE"))))))))))))))))))))),IF(TRIM(U276)="Fail","FAIL – DISCREPANCY",IF(AND(TRIM(U276)&lt;&gt;"",TRIM(U276)&lt;&gt;"Not started",TRIM(U276)&lt;&gt;"In progress"),"INVALID – unrecognised status (use the list)",IF(AsOfUTC&gt;Q276,"OVERDUE",IF(N276="Clarification required","OPEN – CLARIFICATION","OPEN"))))))),"INVALID – error value in an input cell")</f>
        <v>OPEN</v>
      </c>
      <c r="AI276" s="61" t="n">
        <f aca="false">IF(OR(AH276="N/A – RULE",AH276="N/A – JUSTIFIED"),0,1)</f>
        <v>1</v>
      </c>
      <c r="AJ276" s="61" t="n">
        <f aca="false">IF(LEFT(AH276,8)="COMPLETE",1,0)</f>
        <v>0</v>
      </c>
      <c r="AK276" s="61" t="n">
        <f aca="false">IF(AND(AI276=1,AJ276=0,AsOfUTC&gt;Q276),1,0)</f>
        <v>0</v>
      </c>
      <c r="AL276" s="61" t="n">
        <f aca="false">IFERROR(IF(AND(AI276=1,OR(TRIM(U276)="Fail",AND(TRIM(AB276)&lt;&gt;"",TRIM(AB276)&lt;&gt;"Closed"),AND(ISNUMBER(AF276),AF276&lt;&gt;0,TRIM(U276)&lt;&gt;"Pass after CA"))),1,0),1)</f>
        <v>0</v>
      </c>
      <c r="AM276" s="61" t="n">
        <f aca="false">IF(LEFT(AH276,7)="INVALID",1,0)</f>
        <v>0</v>
      </c>
      <c r="AN276" s="61" t="n">
        <f aca="false">IF(AND(N276="Clarification required",AI276=1,AJ276=0),1,0)</f>
        <v>0</v>
      </c>
      <c r="AO276" s="61" t="str">
        <f aca="false">IF(AK276=1,SUM(AK$5:AK276),"")</f>
        <v/>
      </c>
      <c r="AP276" s="61" t="str">
        <f aca="false">IF(AL276=1,SUM(AL$5:AL276),"")</f>
        <v/>
      </c>
      <c r="AQ276" s="61" t="n">
        <v>0</v>
      </c>
      <c r="AR276" s="61" t="n">
        <v>0</v>
      </c>
      <c r="AS276" s="61" t="n">
        <v>0</v>
      </c>
      <c r="AT276" s="61" t="n">
        <v>0</v>
      </c>
      <c r="AU276" s="61" t="str">
        <f aca="false">SUBSTITUTE(SUBSTITUTE(SUBSTITUTE(SUBSTITUTE(SUBSTITUTE(SUBSTITUTE(SUBSTITUTE(SUBSTITUTE(SUBSTITUTE(SUBSTITUTE(SUBSTITUTE(SUBSTITUTE(SUBSTITUTE(LOWER(T276&amp;""),CHAR(160),"")," ",""),".",""),"-",""),"/",""),"?",""),"_",""),",",""),"[",""),"]",""),"(",""),")",""),"*","")</f>
        <v/>
      </c>
      <c r="AV276" s="61" t="str">
        <f aca="false">SUBSTITUTE(SUBSTITUTE(SUBSTITUTE(SUBSTITUTE(SUBSTITUTE(SUBSTITUTE(SUBSTITUTE(SUBSTITUTE(SUBSTITUTE(SUBSTITUTE(SUBSTITUTE(SUBSTITUTE(SUBSTITUTE(LOWER(V276&amp;""),CHAR(160),"")," ",""),".",""),"-",""),"/",""),"?",""),"_",""),",",""),"[",""),"]",""),"(",""),")",""),"*","")</f>
        <v/>
      </c>
      <c r="AW276" s="61" t="str">
        <f aca="false">SUBSTITUTE(SUBSTITUTE(SUBSTITUTE(SUBSTITUTE(SUBSTITUTE(SUBSTITUTE(SUBSTITUTE(SUBSTITUTE(SUBSTITUTE(SUBSTITUTE(SUBSTITUTE(SUBSTITUTE(SUBSTITUTE(LOWER(Z276&amp;""),CHAR(160),"")," ",""),".",""),"-",""),"/",""),"?",""),"_",""),",",""),"[",""),"]",""),"(",""),")",""),"*","")</f>
        <v/>
      </c>
      <c r="AX276" s="61" t="str">
        <f aca="false">SUBSTITUTE(SUBSTITUTE(SUBSTITUTE(SUBSTITUTE(SUBSTITUTE(SUBSTITUTE(SUBSTITUTE(SUBSTITUTE(SUBSTITUTE(SUBSTITUTE(SUBSTITUTE(SUBSTITUTE(SUBSTITUTE(LOWER(AE276&amp;""),CHAR(160),"")," ",""),".",""),"-",""),"/",""),"?",""),"_",""),",",""),"[",""),"]",""),"(",""),")",""),"*","")</f>
        <v/>
      </c>
      <c r="AY276" s="61" t="str">
        <f aca="false">SUBSTITUTE(SUBSTITUTE(SUBSTITUTE(SUBSTITUTE(SUBSTITUTE(SUBSTITUTE(SUBSTITUTE(SUBSTITUTE(SUBSTITUTE(SUBSTITUTE(SUBSTITUTE(SUBSTITUTE(SUBSTITUTE(LOWER(W276&amp;""),CHAR(160),"")," ",""),".",""),"-",""),"/",""),"?",""),"_",""),",",""),"[",""),"]",""),"(",""),")",""),"*","")</f>
        <v/>
      </c>
      <c r="AZ276" s="61" t="str">
        <f aca="false">SUBSTITUTE(SUBSTITUTE(SUBSTITUTE(SUBSTITUTE(SUBSTITUTE(SUBSTITUTE(SUBSTITUTE(SUBSTITUTE(SUBSTITUTE(SUBSTITUTE(SUBSTITUTE(SUBSTITUTE(SUBSTITUTE(LOWER(AC276&amp;""),CHAR(160),"")," ",""),".",""),"-",""),"/",""),"?",""),"_",""),",",""),"[",""),"]",""),"(",""),")",""),"*","")</f>
        <v/>
      </c>
      <c r="BA276" s="61" t="str">
        <f aca="false">SUBSTITUTE(SUBSTITUTE(SUBSTITUTE(SUBSTITUTE(SUBSTITUTE(SUBSTITUTE(SUBSTITUTE(SUBSTITUTE(SUBSTITUTE(SUBSTITUTE(SUBSTITUTE(SUBSTITUTE(SUBSTITUTE(LOWER(AA276&amp;""),CHAR(160),"")," ",""),".",""),"-",""),"/",""),"?",""),"_",""),",",""),"[",""),"]",""),"(",""),")",""),"*","")</f>
        <v/>
      </c>
      <c r="BB276" s="61" t="str">
        <f aca="false">IF(AND(TRIM(U276)="Pass",ISNUMBER(AF276)),IF(AF276&lt;&gt;0,"INVALID – qty variance: use Fail or Pass after CA",""),"")&amp;IF(AND(TRIM(U276)="Pass after CA",ISNUMBER(AF276)),IF(AF276&lt;&gt;0,"INVALID – after the corrective action the actual qty must equal expected (update Actual)",""),"")&amp;IF(AND(TRIM(U276)="Pass",TRIM(AB276)&lt;&gt;"",TRIM(AB276)&lt;&gt;"Closed"),"INVALID – corrective action not closed: use Fail, then Pass after CA","")&amp;IF(AND(TRIM(AA276)&lt;&gt;"",TRIM(AB276)=""),"INVALID – CA status missing for the recorded corrective action","")&amp;IF(AND(TRIM(U276)="Pass after CA",OR(OR(LEN(BA276)&lt;5,ISNUMBER(MATCH(BA276,L_Placeholder,0))),TRIM(AB276)&lt;&gt;"Closed")),"INVALID – corrective action not recorded/closed","")</f>
        <v/>
      </c>
    </row>
    <row r="277" customFormat="false" ht="78.75" hidden="false" customHeight="true" outlineLevel="0" collapsed="false">
      <c r="A277" s="57" t="s">
        <v>828</v>
      </c>
      <c r="B277" s="57" t="s">
        <v>235</v>
      </c>
      <c r="C277" s="57" t="str">
        <f aca="false">Flights!$F$12</f>
        <v>MH0752</v>
      </c>
      <c r="D277" s="58" t="n">
        <f aca="false">Flights!$D$12</f>
        <v>46305</v>
      </c>
      <c r="E277" s="57" t="str">
        <f aca="false">Flights!$G$12&amp;"-"&amp;Flights!$H$12</f>
        <v>KUL-HAN</v>
      </c>
      <c r="F277" s="57" t="str">
        <f aca="false">Flights!$K$12</f>
        <v>EY</v>
      </c>
      <c r="G277" s="57" t="s">
        <v>398</v>
      </c>
      <c r="H277" s="57" t="s">
        <v>356</v>
      </c>
      <c r="I277" s="57" t="s">
        <v>406</v>
      </c>
      <c r="J277" s="57" t="s">
        <v>413</v>
      </c>
      <c r="K277" s="67" t="s">
        <v>469</v>
      </c>
      <c r="L277" s="67" t="s">
        <v>400</v>
      </c>
      <c r="M277" s="67"/>
      <c r="N277" s="67" t="s">
        <v>361</v>
      </c>
      <c r="O277" s="67" t="s">
        <v>401</v>
      </c>
      <c r="P277" s="57" t="s">
        <v>184</v>
      </c>
      <c r="Q277" s="59" t="n">
        <f aca="false">ROUND((Flights!$AE$12)*1440,0)/1440</f>
        <v>46304.5659722222</v>
      </c>
      <c r="R277" s="59" t="n">
        <f aca="false">Q277+(IF(AND(INDEX(TZ_DSTS,MATCH(P277,TZ_STN,0))&lt;&gt;"",Q277&gt;=INDEX(TZ_DSTS,MATCH(P277,TZ_STN,0)),Q277&lt;INDEX(TZ_DSTE,MATCH(P277,TZ_STN,0))),INDEX(TZ_DST,MATCH(P277,TZ_STN,0)),INDEX(TZ_STD,MATCH(P277,TZ_STN,0))))/24</f>
        <v>46304.8993055556</v>
      </c>
      <c r="S277" s="59" t="n">
        <f aca="false">Q277-T12EarlyH/24</f>
        <v>46304.0659722222</v>
      </c>
      <c r="T277" s="60"/>
      <c r="U277" s="60"/>
      <c r="V277" s="60"/>
      <c r="W277" s="61"/>
      <c r="X277" s="60"/>
      <c r="Y277" s="60"/>
      <c r="Z277" s="60"/>
      <c r="AA277" s="60"/>
      <c r="AB277" s="60"/>
      <c r="AC277" s="60"/>
      <c r="AD277" s="66"/>
      <c r="AE277" s="60"/>
      <c r="AF277" s="61" t="str">
        <f aca="false">IF(AND(ISNUMBER(X277),ISNUMBER(Y277)),Y277-X277,"")</f>
        <v/>
      </c>
      <c r="AG277" s="62" t="str">
        <f aca="false">IF(ISNUMBER(AD277),AD277-(IF(AND(INDEX(TZ_DSTS,MATCH(P277,TZ_STN,0))&lt;&gt;"",(AD277-INDEX(TZ_STD,MATCH(P277,TZ_STN,0))/24)&gt;=INDEX(TZ_DSTS,MATCH(P277,TZ_STN,0)),(AD277-INDEX(TZ_STD,MATCH(P277,TZ_STN,0))/24)&lt;INDEX(TZ_DSTE,MATCH(P277,TZ_STN,0))),INDEX(TZ_DST,MATCH(P277,TZ_STN,0)),INDEX(TZ_STD,MATCH(P277,TZ_STN,0))))/24,"")</f>
        <v/>
      </c>
      <c r="AH277" s="65" t="str">
        <f aca="false">IFERROR(IF(N277="N/A – rule","N/A – RULE",IF(TRIM(U277)="N/A",IF(AT277=0,"INVALID – N/A not permitted for this check",IF(AND(TRIM(AB277)&lt;&gt;"",TRIM(AB277)&lt;&gt;"Closed"),"INVALID – corrective action still open",IF(AND(NOT(OR(LEN(AZ277)&lt;15,ISNUMBER(MATCH(AZ277,L_Placeholder,0)))),NOT(OR(LEN(AU277)&lt;2,ISNUMBER(MATCH(AU277,L_Placeholder,0)))),NOT(OR(LEN(AX277)&lt;2,ISNUMBER(MATCH(AX277,L_Placeholder,0)))),TRIM(AE277)&lt;&gt;TRIM(T277)),"N/A – JUSTIFIED","INVALID – N/A needs a real justification (15+ chars), PIC and a different verifier"))),IF(OR(TRIM(U277)="Pass",TRIM(U277)="Pass after CA"),IF(NOT(ISNUMBER(AD277)),"INVALID – completion time missing",IF(OR(LEN(AU277)&lt;2,ISNUMBER(MATCH(AU277,L_Placeholder,0))),"INVALID – PIC missing",IF(OR(LEN(AV277)&lt;2,ISNUMBER(MATCH(AV277,L_Placeholder,0))),"INVALID – result / assessment missing",IF(OR(OR(LEN(AW277)&lt;3,ISNUMBER(MATCH(AW277,L_Placeholder,0))),SUMPRODUCT(--ISNUMBER(SEARCH(L_EvidencePhrase,AW277)))&gt;0),"INVALID – evidence missing, placeholder or not yet on file",IF(OR(LEN(AX277)&lt;2,ISNUMBER(MATCH(AX277,L_Placeholder,0))),"INVALID – verifier missing",IF(AX277=AU277,"INVALID – verifier must be someone other than the PIC",IF(AND(TRIM(U277)="Pass",SUMPRODUCT(--ISNUMBER(SEARCH(L_ResultBad,AV277)))&gt;0),"INVALID – result describes a problem: use Fail, then Pass after CA",IF(AND(AQ277=1,OR(LEN(AY277)&lt;3,ISNUMBER(MATCH(AY277,L_Placeholder,0)))),"INVALID – batch ID missing or placeholder",IF(AND(AR277=1,OR(NOT(ISNUMBER(X277)),NOT(ISNUMBER(Y277)))),"INVALID – expected/actual qty missing",IF(AND(AR277=1,OR(X277&lt;=0,Y277&lt;0)),"INVALID – expected qty must be above 0 and actual not negative",IF(BB277&lt;&gt;"",BB277,IF(AND(AS277=1,Documents!$J$12&lt;&gt;"ON FILE"),"INVALID – GLD not on file (Documents sheet)",IF(AND(AS277=2,Documents!$O$12&lt;&gt;"ON FILE"),"INVALID – menu checklist not on file (Documents sheet)",IF(AND(AS277=3,NOT(ISNUMBER(Flights!$AX$12))),"INVALID – enter carrying flight KUL departure (Flights AX)",IF(AND(AS277=3,OR(Flights!$AZ$12&gt;Flights!$AA$12,Flights!$AX$12&lt;Flights!$AA$12-3)),"INVALID – carrying flight (Flights AX) cannot arrive before this leg's STD, or is over 3 days early",IF(AG277&gt;AsOfUTC,"INVALID – completion time is in the future",IF(AND(ISNUMBER(S277),AG277&lt;S277),IF(H277="Physical uplift","INVALID – before uplift window (cannot confirm loading)","INVALID – before valid window"),IF(AG277&gt;Flights!$AA$12,"INVALID – completed after departure (cannot establish readiness)",IF(AND(H277="Preparation",AG277&gt;IF(ISNUMBER(Flights!$BA$12),MIN(Flights!$BA$12,Flights!$AA$12),Flights!$AA$12)),"INVALID – completed after loading / departure (cannot establish readiness)",IF(AND(H277="Physical uplift",AG277&gt;Q277),"INVALID – recorded after the loading flight departed",IF(AG277&gt;Q277,"COMPLETE – LATE","COMPLETE"))))))))))))))))))))),IF(TRIM(U277)="Fail","FAIL – DISCREPANCY",IF(AND(TRIM(U277)&lt;&gt;"",TRIM(U277)&lt;&gt;"Not started",TRIM(U277)&lt;&gt;"In progress"),"INVALID – unrecognised status (use the list)",IF(AsOfUTC&gt;Q277,"OVERDUE",IF(N277="Clarification required","OPEN – CLARIFICATION","OPEN"))))))),"INVALID – error value in an input cell")</f>
        <v>OPEN</v>
      </c>
      <c r="AI277" s="61" t="n">
        <f aca="false">IF(OR(AH277="N/A – RULE",AH277="N/A – JUSTIFIED"),0,1)</f>
        <v>1</v>
      </c>
      <c r="AJ277" s="61" t="n">
        <f aca="false">IF(LEFT(AH277,8)="COMPLETE",1,0)</f>
        <v>0</v>
      </c>
      <c r="AK277" s="61" t="n">
        <f aca="false">IF(AND(AI277=1,AJ277=0,AsOfUTC&gt;Q277),1,0)</f>
        <v>0</v>
      </c>
      <c r="AL277" s="61" t="n">
        <f aca="false">IFERROR(IF(AND(AI277=1,OR(TRIM(U277)="Fail",AND(TRIM(AB277)&lt;&gt;"",TRIM(AB277)&lt;&gt;"Closed"),AND(ISNUMBER(AF277),AF277&lt;&gt;0,TRIM(U277)&lt;&gt;"Pass after CA"))),1,0),1)</f>
        <v>0</v>
      </c>
      <c r="AM277" s="61" t="n">
        <f aca="false">IF(LEFT(AH277,7)="INVALID",1,0)</f>
        <v>0</v>
      </c>
      <c r="AN277" s="61" t="n">
        <f aca="false">IF(AND(N277="Clarification required",AI277=1,AJ277=0),1,0)</f>
        <v>0</v>
      </c>
      <c r="AO277" s="61" t="str">
        <f aca="false">IF(AK277=1,SUM(AK$5:AK277),"")</f>
        <v/>
      </c>
      <c r="AP277" s="61" t="str">
        <f aca="false">IF(AL277=1,SUM(AL$5:AL277),"")</f>
        <v/>
      </c>
      <c r="AQ277" s="61" t="n">
        <v>0</v>
      </c>
      <c r="AR277" s="61" t="n">
        <v>1</v>
      </c>
      <c r="AS277" s="61" t="n">
        <v>0</v>
      </c>
      <c r="AT277" s="61" t="n">
        <v>0</v>
      </c>
      <c r="AU277" s="61" t="str">
        <f aca="false">SUBSTITUTE(SUBSTITUTE(SUBSTITUTE(SUBSTITUTE(SUBSTITUTE(SUBSTITUTE(SUBSTITUTE(SUBSTITUTE(SUBSTITUTE(SUBSTITUTE(SUBSTITUTE(SUBSTITUTE(SUBSTITUTE(LOWER(T277&amp;""),CHAR(160),"")," ",""),".",""),"-",""),"/",""),"?",""),"_",""),",",""),"[",""),"]",""),"(",""),")",""),"*","")</f>
        <v/>
      </c>
      <c r="AV277" s="61" t="str">
        <f aca="false">SUBSTITUTE(SUBSTITUTE(SUBSTITUTE(SUBSTITUTE(SUBSTITUTE(SUBSTITUTE(SUBSTITUTE(SUBSTITUTE(SUBSTITUTE(SUBSTITUTE(SUBSTITUTE(SUBSTITUTE(SUBSTITUTE(LOWER(V277&amp;""),CHAR(160),"")," ",""),".",""),"-",""),"/",""),"?",""),"_",""),",",""),"[",""),"]",""),"(",""),")",""),"*","")</f>
        <v/>
      </c>
      <c r="AW277" s="61" t="str">
        <f aca="false">SUBSTITUTE(SUBSTITUTE(SUBSTITUTE(SUBSTITUTE(SUBSTITUTE(SUBSTITUTE(SUBSTITUTE(SUBSTITUTE(SUBSTITUTE(SUBSTITUTE(SUBSTITUTE(SUBSTITUTE(SUBSTITUTE(LOWER(Z277&amp;""),CHAR(160),"")," ",""),".",""),"-",""),"/",""),"?",""),"_",""),",",""),"[",""),"]",""),"(",""),")",""),"*","")</f>
        <v/>
      </c>
      <c r="AX277" s="61" t="str">
        <f aca="false">SUBSTITUTE(SUBSTITUTE(SUBSTITUTE(SUBSTITUTE(SUBSTITUTE(SUBSTITUTE(SUBSTITUTE(SUBSTITUTE(SUBSTITUTE(SUBSTITUTE(SUBSTITUTE(SUBSTITUTE(SUBSTITUTE(LOWER(AE277&amp;""),CHAR(160),"")," ",""),".",""),"-",""),"/",""),"?",""),"_",""),",",""),"[",""),"]",""),"(",""),")",""),"*","")</f>
        <v/>
      </c>
      <c r="AY277" s="61" t="str">
        <f aca="false">SUBSTITUTE(SUBSTITUTE(SUBSTITUTE(SUBSTITUTE(SUBSTITUTE(SUBSTITUTE(SUBSTITUTE(SUBSTITUTE(SUBSTITUTE(SUBSTITUTE(SUBSTITUTE(SUBSTITUTE(SUBSTITUTE(LOWER(W277&amp;""),CHAR(160),"")," ",""),".",""),"-",""),"/",""),"?",""),"_",""),",",""),"[",""),"]",""),"(",""),")",""),"*","")</f>
        <v/>
      </c>
      <c r="AZ277" s="61" t="str">
        <f aca="false">SUBSTITUTE(SUBSTITUTE(SUBSTITUTE(SUBSTITUTE(SUBSTITUTE(SUBSTITUTE(SUBSTITUTE(SUBSTITUTE(SUBSTITUTE(SUBSTITUTE(SUBSTITUTE(SUBSTITUTE(SUBSTITUTE(LOWER(AC277&amp;""),CHAR(160),"")," ",""),".",""),"-",""),"/",""),"?",""),"_",""),",",""),"[",""),"]",""),"(",""),")",""),"*","")</f>
        <v/>
      </c>
      <c r="BA277" s="61" t="str">
        <f aca="false">SUBSTITUTE(SUBSTITUTE(SUBSTITUTE(SUBSTITUTE(SUBSTITUTE(SUBSTITUTE(SUBSTITUTE(SUBSTITUTE(SUBSTITUTE(SUBSTITUTE(SUBSTITUTE(SUBSTITUTE(SUBSTITUTE(LOWER(AA277&amp;""),CHAR(160),"")," ",""),".",""),"-",""),"/",""),"?",""),"_",""),",",""),"[",""),"]",""),"(",""),")",""),"*","")</f>
        <v/>
      </c>
      <c r="BB277" s="61" t="str">
        <f aca="false">IF(AND(TRIM(U277)="Pass",ISNUMBER(AF277)),IF(AF277&lt;&gt;0,"INVALID – qty variance: use Fail or Pass after CA",""),"")&amp;IF(AND(TRIM(U277)="Pass after CA",ISNUMBER(AF277)),IF(AF277&lt;&gt;0,"INVALID – after the corrective action the actual qty must equal expected (update Actual)",""),"")&amp;IF(AND(TRIM(U277)="Pass",TRIM(AB277)&lt;&gt;"",TRIM(AB277)&lt;&gt;"Closed"),"INVALID – corrective action not closed: use Fail, then Pass after CA","")&amp;IF(AND(TRIM(AA277)&lt;&gt;"",TRIM(AB277)=""),"INVALID – CA status missing for the recorded corrective action","")&amp;IF(AND(TRIM(U277)="Pass after CA",OR(OR(LEN(BA277)&lt;5,ISNUMBER(MATCH(BA277,L_Placeholder,0))),TRIM(AB277)&lt;&gt;"Closed")),"INVALID – corrective action not recorded/closed","")</f>
        <v/>
      </c>
    </row>
    <row r="278" customFormat="false" ht="39.75" hidden="false" customHeight="true" outlineLevel="0" collapsed="false">
      <c r="A278" s="57" t="s">
        <v>829</v>
      </c>
      <c r="B278" s="57" t="s">
        <v>235</v>
      </c>
      <c r="C278" s="57" t="str">
        <f aca="false">Flights!$F$12</f>
        <v>MH0752</v>
      </c>
      <c r="D278" s="58" t="n">
        <f aca="false">Flights!$D$12</f>
        <v>46305</v>
      </c>
      <c r="E278" s="57" t="str">
        <f aca="false">Flights!$G$12&amp;"-"&amp;Flights!$H$12</f>
        <v>KUL-HAN</v>
      </c>
      <c r="F278" s="57" t="str">
        <f aca="false">Flights!$K$12</f>
        <v>EY</v>
      </c>
      <c r="G278" s="57" t="s">
        <v>398</v>
      </c>
      <c r="H278" s="57" t="s">
        <v>356</v>
      </c>
      <c r="I278" s="57" t="s">
        <v>406</v>
      </c>
      <c r="J278" s="57" t="s">
        <v>416</v>
      </c>
      <c r="K278" s="67"/>
      <c r="L278" s="67" t="s">
        <v>400</v>
      </c>
      <c r="M278" s="67"/>
      <c r="N278" s="67" t="s">
        <v>361</v>
      </c>
      <c r="O278" s="67" t="s">
        <v>401</v>
      </c>
      <c r="P278" s="57" t="s">
        <v>184</v>
      </c>
      <c r="Q278" s="59" t="n">
        <f aca="false">ROUND((Flights!$AE$12)*1440,0)/1440</f>
        <v>46304.5659722222</v>
      </c>
      <c r="R278" s="59" t="n">
        <f aca="false">Q278+(IF(AND(INDEX(TZ_DSTS,MATCH(P278,TZ_STN,0))&lt;&gt;"",Q278&gt;=INDEX(TZ_DSTS,MATCH(P278,TZ_STN,0)),Q278&lt;INDEX(TZ_DSTE,MATCH(P278,TZ_STN,0))),INDEX(TZ_DST,MATCH(P278,TZ_STN,0)),INDEX(TZ_STD,MATCH(P278,TZ_STN,0))))/24</f>
        <v>46304.8993055556</v>
      </c>
      <c r="S278" s="59" t="n">
        <f aca="false">Q278-T12EarlyH/24</f>
        <v>46304.0659722222</v>
      </c>
      <c r="T278" s="60"/>
      <c r="U278" s="60"/>
      <c r="V278" s="60"/>
      <c r="W278" s="61"/>
      <c r="X278" s="60"/>
      <c r="Y278" s="60"/>
      <c r="Z278" s="60"/>
      <c r="AA278" s="60"/>
      <c r="AB278" s="60"/>
      <c r="AC278" s="60"/>
      <c r="AD278" s="66"/>
      <c r="AE278" s="60"/>
      <c r="AF278" s="61" t="str">
        <f aca="false">IF(AND(ISNUMBER(X278),ISNUMBER(Y278)),Y278-X278,"")</f>
        <v/>
      </c>
      <c r="AG278" s="62" t="str">
        <f aca="false">IF(ISNUMBER(AD278),AD278-(IF(AND(INDEX(TZ_DSTS,MATCH(P278,TZ_STN,0))&lt;&gt;"",(AD278-INDEX(TZ_STD,MATCH(P278,TZ_STN,0))/24)&gt;=INDEX(TZ_DSTS,MATCH(P278,TZ_STN,0)),(AD278-INDEX(TZ_STD,MATCH(P278,TZ_STN,0))/24)&lt;INDEX(TZ_DSTE,MATCH(P278,TZ_STN,0))),INDEX(TZ_DST,MATCH(P278,TZ_STN,0)),INDEX(TZ_STD,MATCH(P278,TZ_STN,0))))/24,"")</f>
        <v/>
      </c>
      <c r="AH278" s="65" t="str">
        <f aca="false">IFERROR(IF(N278="N/A – rule","N/A – RULE",IF(TRIM(U278)="N/A",IF(AT278=0,"INVALID – N/A not permitted for this check",IF(AND(TRIM(AB278)&lt;&gt;"",TRIM(AB278)&lt;&gt;"Closed"),"INVALID – corrective action still open",IF(AND(NOT(OR(LEN(AZ278)&lt;15,ISNUMBER(MATCH(AZ278,L_Placeholder,0)))),NOT(OR(LEN(AU278)&lt;2,ISNUMBER(MATCH(AU278,L_Placeholder,0)))),NOT(OR(LEN(AX278)&lt;2,ISNUMBER(MATCH(AX278,L_Placeholder,0)))),TRIM(AE278)&lt;&gt;TRIM(T278)),"N/A – JUSTIFIED","INVALID – N/A needs a real justification (15+ chars), PIC and a different verifier"))),IF(OR(TRIM(U278)="Pass",TRIM(U278)="Pass after CA"),IF(NOT(ISNUMBER(AD278)),"INVALID – completion time missing",IF(OR(LEN(AU278)&lt;2,ISNUMBER(MATCH(AU278,L_Placeholder,0))),"INVALID – PIC missing",IF(OR(LEN(AV278)&lt;2,ISNUMBER(MATCH(AV278,L_Placeholder,0))),"INVALID – result / assessment missing",IF(OR(OR(LEN(AW278)&lt;3,ISNUMBER(MATCH(AW278,L_Placeholder,0))),SUMPRODUCT(--ISNUMBER(SEARCH(L_EvidencePhrase,AW278)))&gt;0),"INVALID – evidence missing, placeholder or not yet on file",IF(OR(LEN(AX278)&lt;2,ISNUMBER(MATCH(AX278,L_Placeholder,0))),"INVALID – verifier missing",IF(AX278=AU278,"INVALID – verifier must be someone other than the PIC",IF(AND(TRIM(U278)="Pass",SUMPRODUCT(--ISNUMBER(SEARCH(L_ResultBad,AV278)))&gt;0),"INVALID – result describes a problem: use Fail, then Pass after CA",IF(AND(AQ278=1,OR(LEN(AY278)&lt;3,ISNUMBER(MATCH(AY278,L_Placeholder,0)))),"INVALID – batch ID missing or placeholder",IF(AND(AR278=1,OR(NOT(ISNUMBER(X278)),NOT(ISNUMBER(Y278)))),"INVALID – expected/actual qty missing",IF(AND(AR278=1,OR(X278&lt;=0,Y278&lt;0)),"INVALID – expected qty must be above 0 and actual not negative",IF(BB278&lt;&gt;"",BB278,IF(AND(AS278=1,Documents!$J$12&lt;&gt;"ON FILE"),"INVALID – GLD not on file (Documents sheet)",IF(AND(AS278=2,Documents!$O$12&lt;&gt;"ON FILE"),"INVALID – menu checklist not on file (Documents sheet)",IF(AND(AS278=3,NOT(ISNUMBER(Flights!$AX$12))),"INVALID – enter carrying flight KUL departure (Flights AX)",IF(AND(AS278=3,OR(Flights!$AZ$12&gt;Flights!$AA$12,Flights!$AX$12&lt;Flights!$AA$12-3)),"INVALID – carrying flight (Flights AX) cannot arrive before this leg's STD, or is over 3 days early",IF(AG278&gt;AsOfUTC,"INVALID – completion time is in the future",IF(AND(ISNUMBER(S278),AG278&lt;S278),IF(H278="Physical uplift","INVALID – before uplift window (cannot confirm loading)","INVALID – before valid window"),IF(AG278&gt;Flights!$AA$12,"INVALID – completed after departure (cannot establish readiness)",IF(AND(H278="Preparation",AG278&gt;IF(ISNUMBER(Flights!$BA$12),MIN(Flights!$BA$12,Flights!$AA$12),Flights!$AA$12)),"INVALID – completed after loading / departure (cannot establish readiness)",IF(AND(H278="Physical uplift",AG278&gt;Q278),"INVALID – recorded after the loading flight departed",IF(AG278&gt;Q278,"COMPLETE – LATE","COMPLETE"))))))))))))))))))))),IF(TRIM(U278)="Fail","FAIL – DISCREPANCY",IF(AND(TRIM(U278)&lt;&gt;"",TRIM(U278)&lt;&gt;"Not started",TRIM(U278)&lt;&gt;"In progress"),"INVALID – unrecognised status (use the list)",IF(AsOfUTC&gt;Q278,"OVERDUE",IF(N278="Clarification required","OPEN – CLARIFICATION","OPEN"))))))),"INVALID – error value in an input cell")</f>
        <v>OPEN</v>
      </c>
      <c r="AI278" s="61" t="n">
        <f aca="false">IF(OR(AH278="N/A – RULE",AH278="N/A – JUSTIFIED"),0,1)</f>
        <v>1</v>
      </c>
      <c r="AJ278" s="61" t="n">
        <f aca="false">IF(LEFT(AH278,8)="COMPLETE",1,0)</f>
        <v>0</v>
      </c>
      <c r="AK278" s="61" t="n">
        <f aca="false">IF(AND(AI278=1,AJ278=0,AsOfUTC&gt;Q278),1,0)</f>
        <v>0</v>
      </c>
      <c r="AL278" s="61" t="n">
        <f aca="false">IFERROR(IF(AND(AI278=1,OR(TRIM(U278)="Fail",AND(TRIM(AB278)&lt;&gt;"",TRIM(AB278)&lt;&gt;"Closed"),AND(ISNUMBER(AF278),AF278&lt;&gt;0,TRIM(U278)&lt;&gt;"Pass after CA"))),1,0),1)</f>
        <v>0</v>
      </c>
      <c r="AM278" s="61" t="n">
        <f aca="false">IF(LEFT(AH278,7)="INVALID",1,0)</f>
        <v>0</v>
      </c>
      <c r="AN278" s="61" t="n">
        <f aca="false">IF(AND(N278="Clarification required",AI278=1,AJ278=0),1,0)</f>
        <v>0</v>
      </c>
      <c r="AO278" s="61" t="str">
        <f aca="false">IF(AK278=1,SUM(AK$5:AK278),"")</f>
        <v/>
      </c>
      <c r="AP278" s="61" t="str">
        <f aca="false">IF(AL278=1,SUM(AL$5:AL278),"")</f>
        <v/>
      </c>
      <c r="AQ278" s="61" t="n">
        <v>0</v>
      </c>
      <c r="AR278" s="61" t="n">
        <v>0</v>
      </c>
      <c r="AS278" s="61" t="n">
        <v>0</v>
      </c>
      <c r="AT278" s="61" t="n">
        <v>0</v>
      </c>
      <c r="AU278" s="61" t="str">
        <f aca="false">SUBSTITUTE(SUBSTITUTE(SUBSTITUTE(SUBSTITUTE(SUBSTITUTE(SUBSTITUTE(SUBSTITUTE(SUBSTITUTE(SUBSTITUTE(SUBSTITUTE(SUBSTITUTE(SUBSTITUTE(SUBSTITUTE(LOWER(T278&amp;""),CHAR(160),"")," ",""),".",""),"-",""),"/",""),"?",""),"_",""),",",""),"[",""),"]",""),"(",""),")",""),"*","")</f>
        <v/>
      </c>
      <c r="AV278" s="61" t="str">
        <f aca="false">SUBSTITUTE(SUBSTITUTE(SUBSTITUTE(SUBSTITUTE(SUBSTITUTE(SUBSTITUTE(SUBSTITUTE(SUBSTITUTE(SUBSTITUTE(SUBSTITUTE(SUBSTITUTE(SUBSTITUTE(SUBSTITUTE(LOWER(V278&amp;""),CHAR(160),"")," ",""),".",""),"-",""),"/",""),"?",""),"_",""),",",""),"[",""),"]",""),"(",""),")",""),"*","")</f>
        <v/>
      </c>
      <c r="AW278" s="61" t="str">
        <f aca="false">SUBSTITUTE(SUBSTITUTE(SUBSTITUTE(SUBSTITUTE(SUBSTITUTE(SUBSTITUTE(SUBSTITUTE(SUBSTITUTE(SUBSTITUTE(SUBSTITUTE(SUBSTITUTE(SUBSTITUTE(SUBSTITUTE(LOWER(Z278&amp;""),CHAR(160),"")," ",""),".",""),"-",""),"/",""),"?",""),"_",""),",",""),"[",""),"]",""),"(",""),")",""),"*","")</f>
        <v/>
      </c>
      <c r="AX278" s="61" t="str">
        <f aca="false">SUBSTITUTE(SUBSTITUTE(SUBSTITUTE(SUBSTITUTE(SUBSTITUTE(SUBSTITUTE(SUBSTITUTE(SUBSTITUTE(SUBSTITUTE(SUBSTITUTE(SUBSTITUTE(SUBSTITUTE(SUBSTITUTE(LOWER(AE278&amp;""),CHAR(160),"")," ",""),".",""),"-",""),"/",""),"?",""),"_",""),",",""),"[",""),"]",""),"(",""),")",""),"*","")</f>
        <v/>
      </c>
      <c r="AY278" s="61" t="str">
        <f aca="false">SUBSTITUTE(SUBSTITUTE(SUBSTITUTE(SUBSTITUTE(SUBSTITUTE(SUBSTITUTE(SUBSTITUTE(SUBSTITUTE(SUBSTITUTE(SUBSTITUTE(SUBSTITUTE(SUBSTITUTE(SUBSTITUTE(LOWER(W278&amp;""),CHAR(160),"")," ",""),".",""),"-",""),"/",""),"?",""),"_",""),",",""),"[",""),"]",""),"(",""),")",""),"*","")</f>
        <v/>
      </c>
      <c r="AZ278" s="61" t="str">
        <f aca="false">SUBSTITUTE(SUBSTITUTE(SUBSTITUTE(SUBSTITUTE(SUBSTITUTE(SUBSTITUTE(SUBSTITUTE(SUBSTITUTE(SUBSTITUTE(SUBSTITUTE(SUBSTITUTE(SUBSTITUTE(SUBSTITUTE(LOWER(AC278&amp;""),CHAR(160),"")," ",""),".",""),"-",""),"/",""),"?",""),"_",""),",",""),"[",""),"]",""),"(",""),")",""),"*","")</f>
        <v/>
      </c>
      <c r="BA278" s="61" t="str">
        <f aca="false">SUBSTITUTE(SUBSTITUTE(SUBSTITUTE(SUBSTITUTE(SUBSTITUTE(SUBSTITUTE(SUBSTITUTE(SUBSTITUTE(SUBSTITUTE(SUBSTITUTE(SUBSTITUTE(SUBSTITUTE(SUBSTITUTE(LOWER(AA278&amp;""),CHAR(160),"")," ",""),".",""),"-",""),"/",""),"?",""),"_",""),",",""),"[",""),"]",""),"(",""),")",""),"*","")</f>
        <v/>
      </c>
      <c r="BB278" s="61" t="str">
        <f aca="false">IF(AND(TRIM(U278)="Pass",ISNUMBER(AF278)),IF(AF278&lt;&gt;0,"INVALID – qty variance: use Fail or Pass after CA",""),"")&amp;IF(AND(TRIM(U278)="Pass after CA",ISNUMBER(AF278)),IF(AF278&lt;&gt;0,"INVALID – after the corrective action the actual qty must equal expected (update Actual)",""),"")&amp;IF(AND(TRIM(U278)="Pass",TRIM(AB278)&lt;&gt;"",TRIM(AB278)&lt;&gt;"Closed"),"INVALID – corrective action not closed: use Fail, then Pass after CA","")&amp;IF(AND(TRIM(AA278)&lt;&gt;"",TRIM(AB278)=""),"INVALID – CA status missing for the recorded corrective action","")&amp;IF(AND(TRIM(U278)="Pass after CA",OR(OR(LEN(BA278)&lt;5,ISNUMBER(MATCH(BA278,L_Placeholder,0))),TRIM(AB278)&lt;&gt;"Closed")),"INVALID – corrective action not recorded/closed","")</f>
        <v/>
      </c>
    </row>
    <row r="279" customFormat="false" ht="41.25" hidden="false" customHeight="true" outlineLevel="0" collapsed="false">
      <c r="A279" s="57" t="s">
        <v>830</v>
      </c>
      <c r="B279" s="57" t="s">
        <v>235</v>
      </c>
      <c r="C279" s="57" t="str">
        <f aca="false">Flights!$F$12</f>
        <v>MH0752</v>
      </c>
      <c r="D279" s="58" t="n">
        <f aca="false">Flights!$D$12</f>
        <v>46305</v>
      </c>
      <c r="E279" s="57" t="str">
        <f aca="false">Flights!$G$12&amp;"-"&amp;Flights!$H$12</f>
        <v>KUL-HAN</v>
      </c>
      <c r="F279" s="57" t="str">
        <f aca="false">Flights!$K$12</f>
        <v>EY</v>
      </c>
      <c r="G279" s="57" t="s">
        <v>398</v>
      </c>
      <c r="H279" s="57" t="s">
        <v>356</v>
      </c>
      <c r="I279" s="57" t="s">
        <v>425</v>
      </c>
      <c r="J279" s="57" t="s">
        <v>426</v>
      </c>
      <c r="K279" s="67" t="s">
        <v>427</v>
      </c>
      <c r="L279" s="67" t="s">
        <v>831</v>
      </c>
      <c r="M279" s="67" t="s">
        <v>429</v>
      </c>
      <c r="N279" s="67" t="s">
        <v>361</v>
      </c>
      <c r="O279" s="67" t="s">
        <v>481</v>
      </c>
      <c r="P279" s="57" t="s">
        <v>184</v>
      </c>
      <c r="Q279" s="59" t="n">
        <f aca="false">ROUND((Flights!$AE$12)*1440,0)/1440</f>
        <v>46304.5659722222</v>
      </c>
      <c r="R279" s="59" t="n">
        <f aca="false">Q279+(IF(AND(INDEX(TZ_DSTS,MATCH(P279,TZ_STN,0))&lt;&gt;"",Q279&gt;=INDEX(TZ_DSTS,MATCH(P279,TZ_STN,0)),Q279&lt;INDEX(TZ_DSTE,MATCH(P279,TZ_STN,0))),INDEX(TZ_DST,MATCH(P279,TZ_STN,0)),INDEX(TZ_STD,MATCH(P279,TZ_STN,0))))/24</f>
        <v>46304.8993055556</v>
      </c>
      <c r="S279" s="59" t="n">
        <f aca="false">Q279-T12EarlyH/24</f>
        <v>46304.0659722222</v>
      </c>
      <c r="T279" s="60"/>
      <c r="U279" s="60"/>
      <c r="V279" s="60"/>
      <c r="W279" s="61"/>
      <c r="X279" s="60"/>
      <c r="Y279" s="60"/>
      <c r="Z279" s="60"/>
      <c r="AA279" s="60"/>
      <c r="AB279" s="60"/>
      <c r="AC279" s="60"/>
      <c r="AD279" s="66"/>
      <c r="AE279" s="60"/>
      <c r="AF279" s="61" t="str">
        <f aca="false">IF(AND(ISNUMBER(X279),ISNUMBER(Y279)),Y279-X279,"")</f>
        <v/>
      </c>
      <c r="AG279" s="62" t="str">
        <f aca="false">IF(ISNUMBER(AD279),AD279-(IF(AND(INDEX(TZ_DSTS,MATCH(P279,TZ_STN,0))&lt;&gt;"",(AD279-INDEX(TZ_STD,MATCH(P279,TZ_STN,0))/24)&gt;=INDEX(TZ_DSTS,MATCH(P279,TZ_STN,0)),(AD279-INDEX(TZ_STD,MATCH(P279,TZ_STN,0))/24)&lt;INDEX(TZ_DSTE,MATCH(P279,TZ_STN,0))),INDEX(TZ_DST,MATCH(P279,TZ_STN,0)),INDEX(TZ_STD,MATCH(P279,TZ_STN,0))))/24,"")</f>
        <v/>
      </c>
      <c r="AH279" s="65" t="str">
        <f aca="false">IFERROR(IF(N279="N/A – rule","N/A – RULE",IF(TRIM(U279)="N/A",IF(AT279=0,"INVALID – N/A not permitted for this check",IF(AND(TRIM(AB279)&lt;&gt;"",TRIM(AB279)&lt;&gt;"Closed"),"INVALID – corrective action still open",IF(AND(NOT(OR(LEN(AZ279)&lt;15,ISNUMBER(MATCH(AZ279,L_Placeholder,0)))),NOT(OR(LEN(AU279)&lt;2,ISNUMBER(MATCH(AU279,L_Placeholder,0)))),NOT(OR(LEN(AX279)&lt;2,ISNUMBER(MATCH(AX279,L_Placeholder,0)))),TRIM(AE279)&lt;&gt;TRIM(T279)),"N/A – JUSTIFIED","INVALID – N/A needs a real justification (15+ chars), PIC and a different verifier"))),IF(OR(TRIM(U279)="Pass",TRIM(U279)="Pass after CA"),IF(NOT(ISNUMBER(AD279)),"INVALID – completion time missing",IF(OR(LEN(AU279)&lt;2,ISNUMBER(MATCH(AU279,L_Placeholder,0))),"INVALID – PIC missing",IF(OR(LEN(AV279)&lt;2,ISNUMBER(MATCH(AV279,L_Placeholder,0))),"INVALID – result / assessment missing",IF(OR(OR(LEN(AW279)&lt;3,ISNUMBER(MATCH(AW279,L_Placeholder,0))),SUMPRODUCT(--ISNUMBER(SEARCH(L_EvidencePhrase,AW279)))&gt;0),"INVALID – evidence missing, placeholder or not yet on file",IF(OR(LEN(AX279)&lt;2,ISNUMBER(MATCH(AX279,L_Placeholder,0))),"INVALID – verifier missing",IF(AX279=AU279,"INVALID – verifier must be someone other than the PIC",IF(AND(TRIM(U279)="Pass",SUMPRODUCT(--ISNUMBER(SEARCH(L_ResultBad,AV279)))&gt;0),"INVALID – result describes a problem: use Fail, then Pass after CA",IF(AND(AQ279=1,OR(LEN(AY279)&lt;3,ISNUMBER(MATCH(AY279,L_Placeholder,0)))),"INVALID – batch ID missing or placeholder",IF(AND(AR279=1,OR(NOT(ISNUMBER(X279)),NOT(ISNUMBER(Y279)))),"INVALID – expected/actual qty missing",IF(AND(AR279=1,OR(X279&lt;=0,Y279&lt;0)),"INVALID – expected qty must be above 0 and actual not negative",IF(BB279&lt;&gt;"",BB279,IF(AND(AS279=1,Documents!$J$12&lt;&gt;"ON FILE"),"INVALID – GLD not on file (Documents sheet)",IF(AND(AS279=2,Documents!$O$12&lt;&gt;"ON FILE"),"INVALID – menu checklist not on file (Documents sheet)",IF(AND(AS279=3,NOT(ISNUMBER(Flights!$AX$12))),"INVALID – enter carrying flight KUL departure (Flights AX)",IF(AND(AS279=3,OR(Flights!$AZ$12&gt;Flights!$AA$12,Flights!$AX$12&lt;Flights!$AA$12-3)),"INVALID – carrying flight (Flights AX) cannot arrive before this leg's STD, or is over 3 days early",IF(AG279&gt;AsOfUTC,"INVALID – completion time is in the future",IF(AND(ISNUMBER(S279),AG279&lt;S279),IF(H279="Physical uplift","INVALID – before uplift window (cannot confirm loading)","INVALID – before valid window"),IF(AG279&gt;Flights!$AA$12,"INVALID – completed after departure (cannot establish readiness)",IF(AND(H279="Preparation",AG279&gt;IF(ISNUMBER(Flights!$BA$12),MIN(Flights!$BA$12,Flights!$AA$12),Flights!$AA$12)),"INVALID – completed after loading / departure (cannot establish readiness)",IF(AND(H279="Physical uplift",AG279&gt;Q279),"INVALID – recorded after the loading flight departed",IF(AG279&gt;Q279,"COMPLETE – LATE","COMPLETE"))))))))))))))))))))),IF(TRIM(U279)="Fail","FAIL – DISCREPANCY",IF(AND(TRIM(U279)&lt;&gt;"",TRIM(U279)&lt;&gt;"Not started",TRIM(U279)&lt;&gt;"In progress"),"INVALID – unrecognised status (use the list)",IF(AsOfUTC&gt;Q279,"OVERDUE",IF(N279="Clarification required","OPEN – CLARIFICATION","OPEN"))))))),"INVALID – error value in an input cell")</f>
        <v>OPEN</v>
      </c>
      <c r="AI279" s="61" t="n">
        <f aca="false">IF(OR(AH279="N/A – RULE",AH279="N/A – JUSTIFIED"),0,1)</f>
        <v>1</v>
      </c>
      <c r="AJ279" s="61" t="n">
        <f aca="false">IF(LEFT(AH279,8)="COMPLETE",1,0)</f>
        <v>0</v>
      </c>
      <c r="AK279" s="61" t="n">
        <f aca="false">IF(AND(AI279=1,AJ279=0,AsOfUTC&gt;Q279),1,0)</f>
        <v>0</v>
      </c>
      <c r="AL279" s="61" t="n">
        <f aca="false">IFERROR(IF(AND(AI279=1,OR(TRIM(U279)="Fail",AND(TRIM(AB279)&lt;&gt;"",TRIM(AB279)&lt;&gt;"Closed"),AND(ISNUMBER(AF279),AF279&lt;&gt;0,TRIM(U279)&lt;&gt;"Pass after CA"))),1,0),1)</f>
        <v>0</v>
      </c>
      <c r="AM279" s="61" t="n">
        <f aca="false">IF(LEFT(AH279,7)="INVALID",1,0)</f>
        <v>0</v>
      </c>
      <c r="AN279" s="61" t="n">
        <f aca="false">IF(AND(N279="Clarification required",AI279=1,AJ279=0),1,0)</f>
        <v>0</v>
      </c>
      <c r="AO279" s="61" t="str">
        <f aca="false">IF(AK279=1,SUM(AK$5:AK279),"")</f>
        <v/>
      </c>
      <c r="AP279" s="61" t="str">
        <f aca="false">IF(AL279=1,SUM(AL$5:AL279),"")</f>
        <v/>
      </c>
      <c r="AQ279" s="61" t="n">
        <v>0</v>
      </c>
      <c r="AR279" s="61" t="n">
        <v>0</v>
      </c>
      <c r="AS279" s="61" t="n">
        <v>0</v>
      </c>
      <c r="AT279" s="61" t="n">
        <v>0</v>
      </c>
      <c r="AU279" s="61" t="str">
        <f aca="false">SUBSTITUTE(SUBSTITUTE(SUBSTITUTE(SUBSTITUTE(SUBSTITUTE(SUBSTITUTE(SUBSTITUTE(SUBSTITUTE(SUBSTITUTE(SUBSTITUTE(SUBSTITUTE(SUBSTITUTE(SUBSTITUTE(LOWER(T279&amp;""),CHAR(160),"")," ",""),".",""),"-",""),"/",""),"?",""),"_",""),",",""),"[",""),"]",""),"(",""),")",""),"*","")</f>
        <v/>
      </c>
      <c r="AV279" s="61" t="str">
        <f aca="false">SUBSTITUTE(SUBSTITUTE(SUBSTITUTE(SUBSTITUTE(SUBSTITUTE(SUBSTITUTE(SUBSTITUTE(SUBSTITUTE(SUBSTITUTE(SUBSTITUTE(SUBSTITUTE(SUBSTITUTE(SUBSTITUTE(LOWER(V279&amp;""),CHAR(160),"")," ",""),".",""),"-",""),"/",""),"?",""),"_",""),",",""),"[",""),"]",""),"(",""),")",""),"*","")</f>
        <v/>
      </c>
      <c r="AW279" s="61" t="str">
        <f aca="false">SUBSTITUTE(SUBSTITUTE(SUBSTITUTE(SUBSTITUTE(SUBSTITUTE(SUBSTITUTE(SUBSTITUTE(SUBSTITUTE(SUBSTITUTE(SUBSTITUTE(SUBSTITUTE(SUBSTITUTE(SUBSTITUTE(LOWER(Z279&amp;""),CHAR(160),"")," ",""),".",""),"-",""),"/",""),"?",""),"_",""),",",""),"[",""),"]",""),"(",""),")",""),"*","")</f>
        <v/>
      </c>
      <c r="AX279" s="61" t="str">
        <f aca="false">SUBSTITUTE(SUBSTITUTE(SUBSTITUTE(SUBSTITUTE(SUBSTITUTE(SUBSTITUTE(SUBSTITUTE(SUBSTITUTE(SUBSTITUTE(SUBSTITUTE(SUBSTITUTE(SUBSTITUTE(SUBSTITUTE(LOWER(AE279&amp;""),CHAR(160),"")," ",""),".",""),"-",""),"/",""),"?",""),"_",""),",",""),"[",""),"]",""),"(",""),")",""),"*","")</f>
        <v/>
      </c>
      <c r="AY279" s="61" t="str">
        <f aca="false">SUBSTITUTE(SUBSTITUTE(SUBSTITUTE(SUBSTITUTE(SUBSTITUTE(SUBSTITUTE(SUBSTITUTE(SUBSTITUTE(SUBSTITUTE(SUBSTITUTE(SUBSTITUTE(SUBSTITUTE(SUBSTITUTE(LOWER(W279&amp;""),CHAR(160),"")," ",""),".",""),"-",""),"/",""),"?",""),"_",""),",",""),"[",""),"]",""),"(",""),")",""),"*","")</f>
        <v/>
      </c>
      <c r="AZ279" s="61" t="str">
        <f aca="false">SUBSTITUTE(SUBSTITUTE(SUBSTITUTE(SUBSTITUTE(SUBSTITUTE(SUBSTITUTE(SUBSTITUTE(SUBSTITUTE(SUBSTITUTE(SUBSTITUTE(SUBSTITUTE(SUBSTITUTE(SUBSTITUTE(LOWER(AC279&amp;""),CHAR(160),"")," ",""),".",""),"-",""),"/",""),"?",""),"_",""),",",""),"[",""),"]",""),"(",""),")",""),"*","")</f>
        <v/>
      </c>
      <c r="BA279" s="61" t="str">
        <f aca="false">SUBSTITUTE(SUBSTITUTE(SUBSTITUTE(SUBSTITUTE(SUBSTITUTE(SUBSTITUTE(SUBSTITUTE(SUBSTITUTE(SUBSTITUTE(SUBSTITUTE(SUBSTITUTE(SUBSTITUTE(SUBSTITUTE(LOWER(AA279&amp;""),CHAR(160),"")," ",""),".",""),"-",""),"/",""),"?",""),"_",""),",",""),"[",""),"]",""),"(",""),")",""),"*","")</f>
        <v/>
      </c>
      <c r="BB279" s="61" t="str">
        <f aca="false">IF(AND(TRIM(U279)="Pass",ISNUMBER(AF279)),IF(AF279&lt;&gt;0,"INVALID – qty variance: use Fail or Pass after CA",""),"")&amp;IF(AND(TRIM(U279)="Pass after CA",ISNUMBER(AF279)),IF(AF279&lt;&gt;0,"INVALID – after the corrective action the actual qty must equal expected (update Actual)",""),"")&amp;IF(AND(TRIM(U279)="Pass",TRIM(AB279)&lt;&gt;"",TRIM(AB279)&lt;&gt;"Closed"),"INVALID – corrective action not closed: use Fail, then Pass after CA","")&amp;IF(AND(TRIM(AA279)&lt;&gt;"",TRIM(AB279)=""),"INVALID – CA status missing for the recorded corrective action","")&amp;IF(AND(TRIM(U279)="Pass after CA",OR(OR(LEN(BA279)&lt;5,ISNUMBER(MATCH(BA279,L_Placeholder,0))),TRIM(AB279)&lt;&gt;"Closed")),"INVALID – corrective action not recorded/closed","")</f>
        <v/>
      </c>
    </row>
    <row r="280" customFormat="false" ht="39.75" hidden="false" customHeight="true" outlineLevel="0" collapsed="false">
      <c r="A280" s="57" t="s">
        <v>832</v>
      </c>
      <c r="B280" s="57" t="s">
        <v>235</v>
      </c>
      <c r="C280" s="57" t="str">
        <f aca="false">Flights!$F$12</f>
        <v>MH0752</v>
      </c>
      <c r="D280" s="58" t="n">
        <f aca="false">Flights!$D$12</f>
        <v>46305</v>
      </c>
      <c r="E280" s="57" t="str">
        <f aca="false">Flights!$G$12&amp;"-"&amp;Flights!$H$12</f>
        <v>KUL-HAN</v>
      </c>
      <c r="F280" s="57" t="str">
        <f aca="false">Flights!$K$12</f>
        <v>EY</v>
      </c>
      <c r="G280" s="57" t="s">
        <v>437</v>
      </c>
      <c r="H280" s="57" t="s">
        <v>438</v>
      </c>
      <c r="I280" s="57" t="s">
        <v>357</v>
      </c>
      <c r="J280" s="57" t="s">
        <v>439</v>
      </c>
      <c r="K280" s="67" t="s">
        <v>404</v>
      </c>
      <c r="L280" s="67" t="s">
        <v>440</v>
      </c>
      <c r="M280" s="67"/>
      <c r="N280" s="67" t="s">
        <v>361</v>
      </c>
      <c r="O280" s="67" t="s">
        <v>441</v>
      </c>
      <c r="P280" s="57" t="s">
        <v>184</v>
      </c>
      <c r="Q280" s="59" t="n">
        <f aca="false">ROUND((Flights!$AF$12)*1440,0)/1440</f>
        <v>46305.0659722222</v>
      </c>
      <c r="R280" s="59" t="n">
        <f aca="false">Q280+(IF(AND(INDEX(TZ_DSTS,MATCH(P280,TZ_STN,0))&lt;&gt;"",Q280&gt;=INDEX(TZ_DSTS,MATCH(P280,TZ_STN,0)),Q280&lt;INDEX(TZ_DSTE,MATCH(P280,TZ_STN,0))),INDEX(TZ_DST,MATCH(P280,TZ_STN,0)),INDEX(TZ_STD,MATCH(P280,TZ_STN,0))))/24</f>
        <v>46305.3993055556</v>
      </c>
      <c r="S280" s="59" t="n">
        <f aca="false">IF(ISNUMBER(Flights!$AZ$12),MAX(Q280-UpliftWindowH/24,Flights!$AZ$12),Q280-UpliftWindowH/24)</f>
        <v>46304.8159722222</v>
      </c>
      <c r="T280" s="60"/>
      <c r="U280" s="60"/>
      <c r="V280" s="60"/>
      <c r="W280" s="61"/>
      <c r="X280" s="60"/>
      <c r="Y280" s="60"/>
      <c r="Z280" s="60"/>
      <c r="AA280" s="60"/>
      <c r="AB280" s="60"/>
      <c r="AC280" s="60"/>
      <c r="AD280" s="66"/>
      <c r="AE280" s="60"/>
      <c r="AF280" s="61" t="str">
        <f aca="false">IF(AND(ISNUMBER(X280),ISNUMBER(Y280)),Y280-X280,"")</f>
        <v/>
      </c>
      <c r="AG280" s="62" t="str">
        <f aca="false">IF(ISNUMBER(AD280),AD280-(IF(AND(INDEX(TZ_DSTS,MATCH(P280,TZ_STN,0))&lt;&gt;"",(AD280-INDEX(TZ_STD,MATCH(P280,TZ_STN,0))/24)&gt;=INDEX(TZ_DSTS,MATCH(P280,TZ_STN,0)),(AD280-INDEX(TZ_STD,MATCH(P280,TZ_STN,0))/24)&lt;INDEX(TZ_DSTE,MATCH(P280,TZ_STN,0))),INDEX(TZ_DST,MATCH(P280,TZ_STN,0)),INDEX(TZ_STD,MATCH(P280,TZ_STN,0))))/24,"")</f>
        <v/>
      </c>
      <c r="AH280" s="65" t="str">
        <f aca="false">IFERROR(IF(N280="N/A – rule","N/A – RULE",IF(TRIM(U280)="N/A",IF(AT280=0,"INVALID – N/A not permitted for this check",IF(AND(TRIM(AB280)&lt;&gt;"",TRIM(AB280)&lt;&gt;"Closed"),"INVALID – corrective action still open",IF(AND(NOT(OR(LEN(AZ280)&lt;15,ISNUMBER(MATCH(AZ280,L_Placeholder,0)))),NOT(OR(LEN(AU280)&lt;2,ISNUMBER(MATCH(AU280,L_Placeholder,0)))),NOT(OR(LEN(AX280)&lt;2,ISNUMBER(MATCH(AX280,L_Placeholder,0)))),TRIM(AE280)&lt;&gt;TRIM(T280)),"N/A – JUSTIFIED","INVALID – N/A needs a real justification (15+ chars), PIC and a different verifier"))),IF(OR(TRIM(U280)="Pass",TRIM(U280)="Pass after CA"),IF(NOT(ISNUMBER(AD280)),"INVALID – completion time missing",IF(OR(LEN(AU280)&lt;2,ISNUMBER(MATCH(AU280,L_Placeholder,0))),"INVALID – PIC missing",IF(OR(LEN(AV280)&lt;2,ISNUMBER(MATCH(AV280,L_Placeholder,0))),"INVALID – result / assessment missing",IF(OR(OR(LEN(AW280)&lt;3,ISNUMBER(MATCH(AW280,L_Placeholder,0))),SUMPRODUCT(--ISNUMBER(SEARCH(L_EvidencePhrase,AW280)))&gt;0),"INVALID – evidence missing, placeholder or not yet on file",IF(OR(LEN(AX280)&lt;2,ISNUMBER(MATCH(AX280,L_Placeholder,0))),"INVALID – verifier missing",IF(AX280=AU280,"INVALID – verifier must be someone other than the PIC",IF(AND(TRIM(U280)="Pass",SUMPRODUCT(--ISNUMBER(SEARCH(L_ResultBad,AV280)))&gt;0),"INVALID – result describes a problem: use Fail, then Pass after CA",IF(AND(AQ280=1,OR(LEN(AY280)&lt;3,ISNUMBER(MATCH(AY280,L_Placeholder,0)))),"INVALID – batch ID missing or placeholder",IF(AND(AR280=1,OR(NOT(ISNUMBER(X280)),NOT(ISNUMBER(Y280)))),"INVALID – expected/actual qty missing",IF(AND(AR280=1,OR(X280&lt;=0,Y280&lt;0)),"INVALID – expected qty must be above 0 and actual not negative",IF(AH273="N/A – JUSTIFIED","INVALID – preparation row F08-T12-02 is N/A",IF(AND(AR280=1,ISNUMBER(X273),X280&lt;&gt;X273),"INVALID – expected qty differs from preparation check F08-T12-02",IF(BB280&lt;&gt;"",BB280,IF(AND(AS280=1,Documents!$J$12&lt;&gt;"ON FILE"),"INVALID – GLD not on file (Documents sheet)",IF(AND(AS280=2,Documents!$O$12&lt;&gt;"ON FILE"),"INVALID – menu checklist not on file (Documents sheet)",IF(AND(AS280=3,NOT(ISNUMBER(Flights!$AX$12))),"INVALID – enter carrying flight KUL departure (Flights AX)",IF(AND(AS280=3,OR(Flights!$AZ$12&gt;Flights!$AA$12,Flights!$AX$12&lt;Flights!$AA$12-3)),"INVALID – carrying flight (Flights AX) cannot arrive before this leg's STD, or is over 3 days early",IF(AG280&gt;AsOfUTC,"INVALID – completion time is in the future",IF(AND(ISNUMBER(S280),AG280&lt;S280),IF(H280="Physical uplift","INVALID – before uplift window (cannot confirm loading)","INVALID – before valid window"),IF(AG280&gt;Flights!$AA$12,"INVALID – completed after departure (cannot establish readiness)",IF(AND(H280="Preparation",AG280&gt;IF(ISNUMBER(Flights!$BA$12),MIN(Flights!$BA$12,Flights!$AA$12),Flights!$AA$12)),"INVALID – completed after loading / departure (cannot establish readiness)",IF(AND(H280="Physical uplift",AG280&gt;Q280),"INVALID – recorded after the loading flight departed",IF(AG280&gt;Q280,"COMPLETE – LATE","COMPLETE"))))))))))))))))))))))),IF(TRIM(U280)="Fail","FAIL – DISCREPANCY",IF(AND(TRIM(U280)&lt;&gt;"",TRIM(U280)&lt;&gt;"Not started",TRIM(U280)&lt;&gt;"In progress"),"INVALID – unrecognised status (use the list)",IF(AsOfUTC&gt;Q280,"OVERDUE",IF(N280="Clarification required","OPEN – CLARIFICATION","OPEN"))))))),"INVALID – error value in an input cell")</f>
        <v>OPEN</v>
      </c>
      <c r="AI280" s="61" t="n">
        <f aca="false">IF(OR(AH280="N/A – RULE",AH280="N/A – JUSTIFIED"),0,1)</f>
        <v>1</v>
      </c>
      <c r="AJ280" s="61" t="n">
        <f aca="false">IF(LEFT(AH280,8)="COMPLETE",1,0)</f>
        <v>0</v>
      </c>
      <c r="AK280" s="61" t="n">
        <f aca="false">IF(AND(AI280=1,AJ280=0,AsOfUTC&gt;Q280),1,0)</f>
        <v>0</v>
      </c>
      <c r="AL280" s="61" t="n">
        <f aca="false">IFERROR(IF(AND(AI280=1,OR(TRIM(U280)="Fail",AND(TRIM(AB280)&lt;&gt;"",TRIM(AB280)&lt;&gt;"Closed"),AND(ISNUMBER(AF280),AF280&lt;&gt;0,TRIM(U280)&lt;&gt;"Pass after CA"))),1,0),1)</f>
        <v>0</v>
      </c>
      <c r="AM280" s="61" t="n">
        <f aca="false">IF(LEFT(AH280,7)="INVALID",1,0)</f>
        <v>0</v>
      </c>
      <c r="AN280" s="61" t="n">
        <f aca="false">IF(AND(N280="Clarification required",AI280=1,AJ280=0),1,0)</f>
        <v>0</v>
      </c>
      <c r="AO280" s="61" t="str">
        <f aca="false">IF(AK280=1,SUM(AK$5:AK280),"")</f>
        <v/>
      </c>
      <c r="AP280" s="61" t="str">
        <f aca="false">IF(AL280=1,SUM(AL$5:AL280),"")</f>
        <v/>
      </c>
      <c r="AQ280" s="61" t="n">
        <v>0</v>
      </c>
      <c r="AR280" s="61" t="n">
        <v>1</v>
      </c>
      <c r="AS280" s="61" t="n">
        <v>0</v>
      </c>
      <c r="AT280" s="61" t="n">
        <v>0</v>
      </c>
      <c r="AU280" s="61" t="str">
        <f aca="false">SUBSTITUTE(SUBSTITUTE(SUBSTITUTE(SUBSTITUTE(SUBSTITUTE(SUBSTITUTE(SUBSTITUTE(SUBSTITUTE(SUBSTITUTE(SUBSTITUTE(SUBSTITUTE(SUBSTITUTE(SUBSTITUTE(LOWER(T280&amp;""),CHAR(160),"")," ",""),".",""),"-",""),"/",""),"?",""),"_",""),",",""),"[",""),"]",""),"(",""),")",""),"*","")</f>
        <v/>
      </c>
      <c r="AV280" s="61" t="str">
        <f aca="false">SUBSTITUTE(SUBSTITUTE(SUBSTITUTE(SUBSTITUTE(SUBSTITUTE(SUBSTITUTE(SUBSTITUTE(SUBSTITUTE(SUBSTITUTE(SUBSTITUTE(SUBSTITUTE(SUBSTITUTE(SUBSTITUTE(LOWER(V280&amp;""),CHAR(160),"")," ",""),".",""),"-",""),"/",""),"?",""),"_",""),",",""),"[",""),"]",""),"(",""),")",""),"*","")</f>
        <v/>
      </c>
      <c r="AW280" s="61" t="str">
        <f aca="false">SUBSTITUTE(SUBSTITUTE(SUBSTITUTE(SUBSTITUTE(SUBSTITUTE(SUBSTITUTE(SUBSTITUTE(SUBSTITUTE(SUBSTITUTE(SUBSTITUTE(SUBSTITUTE(SUBSTITUTE(SUBSTITUTE(LOWER(Z280&amp;""),CHAR(160),"")," ",""),".",""),"-",""),"/",""),"?",""),"_",""),",",""),"[",""),"]",""),"(",""),")",""),"*","")</f>
        <v/>
      </c>
      <c r="AX280" s="61" t="str">
        <f aca="false">SUBSTITUTE(SUBSTITUTE(SUBSTITUTE(SUBSTITUTE(SUBSTITUTE(SUBSTITUTE(SUBSTITUTE(SUBSTITUTE(SUBSTITUTE(SUBSTITUTE(SUBSTITUTE(SUBSTITUTE(SUBSTITUTE(LOWER(AE280&amp;""),CHAR(160),"")," ",""),".",""),"-",""),"/",""),"?",""),"_",""),",",""),"[",""),"]",""),"(",""),")",""),"*","")</f>
        <v/>
      </c>
      <c r="AY280" s="61" t="str">
        <f aca="false">SUBSTITUTE(SUBSTITUTE(SUBSTITUTE(SUBSTITUTE(SUBSTITUTE(SUBSTITUTE(SUBSTITUTE(SUBSTITUTE(SUBSTITUTE(SUBSTITUTE(SUBSTITUTE(SUBSTITUTE(SUBSTITUTE(LOWER(W280&amp;""),CHAR(160),"")," ",""),".",""),"-",""),"/",""),"?",""),"_",""),",",""),"[",""),"]",""),"(",""),")",""),"*","")</f>
        <v/>
      </c>
      <c r="AZ280" s="61" t="str">
        <f aca="false">SUBSTITUTE(SUBSTITUTE(SUBSTITUTE(SUBSTITUTE(SUBSTITUTE(SUBSTITUTE(SUBSTITUTE(SUBSTITUTE(SUBSTITUTE(SUBSTITUTE(SUBSTITUTE(SUBSTITUTE(SUBSTITUTE(LOWER(AC280&amp;""),CHAR(160),"")," ",""),".",""),"-",""),"/",""),"?",""),"_",""),",",""),"[",""),"]",""),"(",""),")",""),"*","")</f>
        <v/>
      </c>
      <c r="BA280" s="61" t="str">
        <f aca="false">SUBSTITUTE(SUBSTITUTE(SUBSTITUTE(SUBSTITUTE(SUBSTITUTE(SUBSTITUTE(SUBSTITUTE(SUBSTITUTE(SUBSTITUTE(SUBSTITUTE(SUBSTITUTE(SUBSTITUTE(SUBSTITUTE(LOWER(AA280&amp;""),CHAR(160),"")," ",""),".",""),"-",""),"/",""),"?",""),"_",""),",",""),"[",""),"]",""),"(",""),")",""),"*","")</f>
        <v/>
      </c>
      <c r="BB280" s="61" t="str">
        <f aca="false">IF(AND(TRIM(U280)="Pass",ISNUMBER(AF280)),IF(AF280&lt;&gt;0,"INVALID – qty variance: use Fail or Pass after CA",""),"")&amp;IF(AND(TRIM(U280)="Pass after CA",ISNUMBER(AF280)),IF(AF280&lt;&gt;0,"INVALID – after the corrective action the actual qty must equal expected (update Actual)",""),"")&amp;IF(AND(TRIM(U280)="Pass",TRIM(AB280)&lt;&gt;"",TRIM(AB280)&lt;&gt;"Closed"),"INVALID – corrective action not closed: use Fail, then Pass after CA","")&amp;IF(AND(TRIM(AA280)&lt;&gt;"",TRIM(AB280)=""),"INVALID – CA status missing for the recorded corrective action","")&amp;IF(AND(TRIM(U280)="Pass after CA",OR(OR(LEN(BA280)&lt;5,ISNUMBER(MATCH(BA280,L_Placeholder,0))),TRIM(AB280)&lt;&gt;"Closed")),"INVALID – corrective action not recorded/closed","")</f>
        <v/>
      </c>
    </row>
    <row r="281" customFormat="false" ht="39.75" hidden="false" customHeight="true" outlineLevel="0" collapsed="false">
      <c r="A281" s="57" t="s">
        <v>833</v>
      </c>
      <c r="B281" s="57" t="s">
        <v>235</v>
      </c>
      <c r="C281" s="57" t="str">
        <f aca="false">Flights!$F$12</f>
        <v>MH0752</v>
      </c>
      <c r="D281" s="58" t="n">
        <f aca="false">Flights!$D$12</f>
        <v>46305</v>
      </c>
      <c r="E281" s="57" t="str">
        <f aca="false">Flights!$G$12&amp;"-"&amp;Flights!$H$12</f>
        <v>KUL-HAN</v>
      </c>
      <c r="F281" s="57" t="str">
        <f aca="false">Flights!$K$12</f>
        <v>EY</v>
      </c>
      <c r="G281" s="57" t="s">
        <v>437</v>
      </c>
      <c r="H281" s="57" t="s">
        <v>438</v>
      </c>
      <c r="I281" s="57" t="s">
        <v>406</v>
      </c>
      <c r="J281" s="57" t="s">
        <v>443</v>
      </c>
      <c r="K281" s="67" t="s">
        <v>404</v>
      </c>
      <c r="L281" s="67" t="s">
        <v>440</v>
      </c>
      <c r="M281" s="67"/>
      <c r="N281" s="67" t="s">
        <v>361</v>
      </c>
      <c r="O281" s="67" t="s">
        <v>441</v>
      </c>
      <c r="P281" s="57" t="s">
        <v>184</v>
      </c>
      <c r="Q281" s="59" t="n">
        <f aca="false">ROUND((Flights!$AF$12)*1440,0)/1440</f>
        <v>46305.0659722222</v>
      </c>
      <c r="R281" s="59" t="n">
        <f aca="false">Q281+(IF(AND(INDEX(TZ_DSTS,MATCH(P281,TZ_STN,0))&lt;&gt;"",Q281&gt;=INDEX(TZ_DSTS,MATCH(P281,TZ_STN,0)),Q281&lt;INDEX(TZ_DSTE,MATCH(P281,TZ_STN,0))),INDEX(TZ_DST,MATCH(P281,TZ_STN,0)),INDEX(TZ_STD,MATCH(P281,TZ_STN,0))))/24</f>
        <v>46305.3993055556</v>
      </c>
      <c r="S281" s="59" t="n">
        <f aca="false">IF(ISNUMBER(Flights!$AZ$12),MAX(Q281-UpliftWindowH/24,Flights!$AZ$12),Q281-UpliftWindowH/24)</f>
        <v>46304.8159722222</v>
      </c>
      <c r="T281" s="60"/>
      <c r="U281" s="60"/>
      <c r="V281" s="60"/>
      <c r="W281" s="61"/>
      <c r="X281" s="60"/>
      <c r="Y281" s="60"/>
      <c r="Z281" s="60"/>
      <c r="AA281" s="60"/>
      <c r="AB281" s="60"/>
      <c r="AC281" s="60"/>
      <c r="AD281" s="66"/>
      <c r="AE281" s="60"/>
      <c r="AF281" s="61" t="str">
        <f aca="false">IF(AND(ISNUMBER(X281),ISNUMBER(Y281)),Y281-X281,"")</f>
        <v/>
      </c>
      <c r="AG281" s="62" t="str">
        <f aca="false">IF(ISNUMBER(AD281),AD281-(IF(AND(INDEX(TZ_DSTS,MATCH(P281,TZ_STN,0))&lt;&gt;"",(AD281-INDEX(TZ_STD,MATCH(P281,TZ_STN,0))/24)&gt;=INDEX(TZ_DSTS,MATCH(P281,TZ_STN,0)),(AD281-INDEX(TZ_STD,MATCH(P281,TZ_STN,0))/24)&lt;INDEX(TZ_DSTE,MATCH(P281,TZ_STN,0))),INDEX(TZ_DST,MATCH(P281,TZ_STN,0)),INDEX(TZ_STD,MATCH(P281,TZ_STN,0))))/24,"")</f>
        <v/>
      </c>
      <c r="AH281" s="65" t="str">
        <f aca="false">IFERROR(IF(N281="N/A – rule","N/A – RULE",IF(TRIM(U281)="N/A",IF(AT281=0,"INVALID – N/A not permitted for this check",IF(AND(TRIM(AB281)&lt;&gt;"",TRIM(AB281)&lt;&gt;"Closed"),"INVALID – corrective action still open",IF(AND(NOT(OR(LEN(AZ281)&lt;15,ISNUMBER(MATCH(AZ281,L_Placeholder,0)))),NOT(OR(LEN(AU281)&lt;2,ISNUMBER(MATCH(AU281,L_Placeholder,0)))),NOT(OR(LEN(AX281)&lt;2,ISNUMBER(MATCH(AX281,L_Placeholder,0)))),TRIM(AE281)&lt;&gt;TRIM(T281)),"N/A – JUSTIFIED","INVALID – N/A needs a real justification (15+ chars), PIC and a different verifier"))),IF(OR(TRIM(U281)="Pass",TRIM(U281)="Pass after CA"),IF(NOT(ISNUMBER(AD281)),"INVALID – completion time missing",IF(OR(LEN(AU281)&lt;2,ISNUMBER(MATCH(AU281,L_Placeholder,0))),"INVALID – PIC missing",IF(OR(LEN(AV281)&lt;2,ISNUMBER(MATCH(AV281,L_Placeholder,0))),"INVALID – result / assessment missing",IF(OR(OR(LEN(AW281)&lt;3,ISNUMBER(MATCH(AW281,L_Placeholder,0))),SUMPRODUCT(--ISNUMBER(SEARCH(L_EvidencePhrase,AW281)))&gt;0),"INVALID – evidence missing, placeholder or not yet on file",IF(OR(LEN(AX281)&lt;2,ISNUMBER(MATCH(AX281,L_Placeholder,0))),"INVALID – verifier missing",IF(AX281=AU281,"INVALID – verifier must be someone other than the PIC",IF(AND(TRIM(U281)="Pass",SUMPRODUCT(--ISNUMBER(SEARCH(L_ResultBad,AV281)))&gt;0),"INVALID – result describes a problem: use Fail, then Pass after CA",IF(AND(AQ281=1,OR(LEN(AY281)&lt;3,ISNUMBER(MATCH(AY281,L_Placeholder,0)))),"INVALID – batch ID missing or placeholder",IF(AND(AR281=1,OR(NOT(ISNUMBER(X281)),NOT(ISNUMBER(Y281)))),"INVALID – expected/actual qty missing",IF(AND(AR281=1,OR(X281&lt;=0,Y281&lt;0)),"INVALID – expected qty must be above 0 and actual not negative",IF(AH277="N/A – JUSTIFIED","INVALID – preparation row F08-T12-06 is N/A",IF(AND(AR281=1,ISNUMBER(X277),X281&lt;&gt;X277),"INVALID – expected qty differs from preparation check F08-T12-06",IF(BB281&lt;&gt;"",BB281,IF(AND(AS281=1,Documents!$J$12&lt;&gt;"ON FILE"),"INVALID – GLD not on file (Documents sheet)",IF(AND(AS281=2,Documents!$O$12&lt;&gt;"ON FILE"),"INVALID – menu checklist not on file (Documents sheet)",IF(AND(AS281=3,NOT(ISNUMBER(Flights!$AX$12))),"INVALID – enter carrying flight KUL departure (Flights AX)",IF(AND(AS281=3,OR(Flights!$AZ$12&gt;Flights!$AA$12,Flights!$AX$12&lt;Flights!$AA$12-3)),"INVALID – carrying flight (Flights AX) cannot arrive before this leg's STD, or is over 3 days early",IF(AG281&gt;AsOfUTC,"INVALID – completion time is in the future",IF(AND(ISNUMBER(S281),AG281&lt;S281),IF(H281="Physical uplift","INVALID – before uplift window (cannot confirm loading)","INVALID – before valid window"),IF(AG281&gt;Flights!$AA$12,"INVALID – completed after departure (cannot establish readiness)",IF(AND(H281="Preparation",AG281&gt;IF(ISNUMBER(Flights!$BA$12),MIN(Flights!$BA$12,Flights!$AA$12),Flights!$AA$12)),"INVALID – completed after loading / departure (cannot establish readiness)",IF(AND(H281="Physical uplift",AG281&gt;Q281),"INVALID – recorded after the loading flight departed",IF(AG281&gt;Q281,"COMPLETE – LATE","COMPLETE"))))))))))))))))))))))),IF(TRIM(U281)="Fail","FAIL – DISCREPANCY",IF(AND(TRIM(U281)&lt;&gt;"",TRIM(U281)&lt;&gt;"Not started",TRIM(U281)&lt;&gt;"In progress"),"INVALID – unrecognised status (use the list)",IF(AsOfUTC&gt;Q281,"OVERDUE",IF(N281="Clarification required","OPEN – CLARIFICATION","OPEN"))))))),"INVALID – error value in an input cell")</f>
        <v>OPEN</v>
      </c>
      <c r="AI281" s="61" t="n">
        <f aca="false">IF(OR(AH281="N/A – RULE",AH281="N/A – JUSTIFIED"),0,1)</f>
        <v>1</v>
      </c>
      <c r="AJ281" s="61" t="n">
        <f aca="false">IF(LEFT(AH281,8)="COMPLETE",1,0)</f>
        <v>0</v>
      </c>
      <c r="AK281" s="61" t="n">
        <f aca="false">IF(AND(AI281=1,AJ281=0,AsOfUTC&gt;Q281),1,0)</f>
        <v>0</v>
      </c>
      <c r="AL281" s="61" t="n">
        <f aca="false">IFERROR(IF(AND(AI281=1,OR(TRIM(U281)="Fail",AND(TRIM(AB281)&lt;&gt;"",TRIM(AB281)&lt;&gt;"Closed"),AND(ISNUMBER(AF281),AF281&lt;&gt;0,TRIM(U281)&lt;&gt;"Pass after CA"))),1,0),1)</f>
        <v>0</v>
      </c>
      <c r="AM281" s="61" t="n">
        <f aca="false">IF(LEFT(AH281,7)="INVALID",1,0)</f>
        <v>0</v>
      </c>
      <c r="AN281" s="61" t="n">
        <f aca="false">IF(AND(N281="Clarification required",AI281=1,AJ281=0),1,0)</f>
        <v>0</v>
      </c>
      <c r="AO281" s="61" t="str">
        <f aca="false">IF(AK281=1,SUM(AK$5:AK281),"")</f>
        <v/>
      </c>
      <c r="AP281" s="61" t="str">
        <f aca="false">IF(AL281=1,SUM(AL$5:AL281),"")</f>
        <v/>
      </c>
      <c r="AQ281" s="61" t="n">
        <v>0</v>
      </c>
      <c r="AR281" s="61" t="n">
        <v>1</v>
      </c>
      <c r="AS281" s="61" t="n">
        <v>0</v>
      </c>
      <c r="AT281" s="61" t="n">
        <v>0</v>
      </c>
      <c r="AU281" s="61" t="str">
        <f aca="false">SUBSTITUTE(SUBSTITUTE(SUBSTITUTE(SUBSTITUTE(SUBSTITUTE(SUBSTITUTE(SUBSTITUTE(SUBSTITUTE(SUBSTITUTE(SUBSTITUTE(SUBSTITUTE(SUBSTITUTE(SUBSTITUTE(LOWER(T281&amp;""),CHAR(160),"")," ",""),".",""),"-",""),"/",""),"?",""),"_",""),",",""),"[",""),"]",""),"(",""),")",""),"*","")</f>
        <v/>
      </c>
      <c r="AV281" s="61" t="str">
        <f aca="false">SUBSTITUTE(SUBSTITUTE(SUBSTITUTE(SUBSTITUTE(SUBSTITUTE(SUBSTITUTE(SUBSTITUTE(SUBSTITUTE(SUBSTITUTE(SUBSTITUTE(SUBSTITUTE(SUBSTITUTE(SUBSTITUTE(LOWER(V281&amp;""),CHAR(160),"")," ",""),".",""),"-",""),"/",""),"?",""),"_",""),",",""),"[",""),"]",""),"(",""),")",""),"*","")</f>
        <v/>
      </c>
      <c r="AW281" s="61" t="str">
        <f aca="false">SUBSTITUTE(SUBSTITUTE(SUBSTITUTE(SUBSTITUTE(SUBSTITUTE(SUBSTITUTE(SUBSTITUTE(SUBSTITUTE(SUBSTITUTE(SUBSTITUTE(SUBSTITUTE(SUBSTITUTE(SUBSTITUTE(LOWER(Z281&amp;""),CHAR(160),"")," ",""),".",""),"-",""),"/",""),"?",""),"_",""),",",""),"[",""),"]",""),"(",""),")",""),"*","")</f>
        <v/>
      </c>
      <c r="AX281" s="61" t="str">
        <f aca="false">SUBSTITUTE(SUBSTITUTE(SUBSTITUTE(SUBSTITUTE(SUBSTITUTE(SUBSTITUTE(SUBSTITUTE(SUBSTITUTE(SUBSTITUTE(SUBSTITUTE(SUBSTITUTE(SUBSTITUTE(SUBSTITUTE(LOWER(AE281&amp;""),CHAR(160),"")," ",""),".",""),"-",""),"/",""),"?",""),"_",""),",",""),"[",""),"]",""),"(",""),")",""),"*","")</f>
        <v/>
      </c>
      <c r="AY281" s="61" t="str">
        <f aca="false">SUBSTITUTE(SUBSTITUTE(SUBSTITUTE(SUBSTITUTE(SUBSTITUTE(SUBSTITUTE(SUBSTITUTE(SUBSTITUTE(SUBSTITUTE(SUBSTITUTE(SUBSTITUTE(SUBSTITUTE(SUBSTITUTE(LOWER(W281&amp;""),CHAR(160),"")," ",""),".",""),"-",""),"/",""),"?",""),"_",""),",",""),"[",""),"]",""),"(",""),")",""),"*","")</f>
        <v/>
      </c>
      <c r="AZ281" s="61" t="str">
        <f aca="false">SUBSTITUTE(SUBSTITUTE(SUBSTITUTE(SUBSTITUTE(SUBSTITUTE(SUBSTITUTE(SUBSTITUTE(SUBSTITUTE(SUBSTITUTE(SUBSTITUTE(SUBSTITUTE(SUBSTITUTE(SUBSTITUTE(LOWER(AC281&amp;""),CHAR(160),"")," ",""),".",""),"-",""),"/",""),"?",""),"_",""),",",""),"[",""),"]",""),"(",""),")",""),"*","")</f>
        <v/>
      </c>
      <c r="BA281" s="61" t="str">
        <f aca="false">SUBSTITUTE(SUBSTITUTE(SUBSTITUTE(SUBSTITUTE(SUBSTITUTE(SUBSTITUTE(SUBSTITUTE(SUBSTITUTE(SUBSTITUTE(SUBSTITUTE(SUBSTITUTE(SUBSTITUTE(SUBSTITUTE(LOWER(AA281&amp;""),CHAR(160),"")," ",""),".",""),"-",""),"/",""),"?",""),"_",""),",",""),"[",""),"]",""),"(",""),")",""),"*","")</f>
        <v/>
      </c>
      <c r="BB281" s="61" t="str">
        <f aca="false">IF(AND(TRIM(U281)="Pass",ISNUMBER(AF281)),IF(AF281&lt;&gt;0,"INVALID – qty variance: use Fail or Pass after CA",""),"")&amp;IF(AND(TRIM(U281)="Pass after CA",ISNUMBER(AF281)),IF(AF281&lt;&gt;0,"INVALID – after the corrective action the actual qty must equal expected (update Actual)",""),"")&amp;IF(AND(TRIM(U281)="Pass",TRIM(AB281)&lt;&gt;"",TRIM(AB281)&lt;&gt;"Closed"),"INVALID – corrective action not closed: use Fail, then Pass after CA","")&amp;IF(AND(TRIM(AA281)&lt;&gt;"",TRIM(AB281)=""),"INVALID – CA status missing for the recorded corrective action","")&amp;IF(AND(TRIM(U281)="Pass after CA",OR(OR(LEN(BA281)&lt;5,ISNUMBER(MATCH(BA281,L_Placeholder,0))),TRIM(AB281)&lt;&gt;"Closed")),"INVALID – corrective action not recorded/closed","")</f>
        <v/>
      </c>
    </row>
    <row r="282" customFormat="false" ht="39.75" hidden="false" customHeight="true" outlineLevel="0" collapsed="false">
      <c r="A282" s="57" t="s">
        <v>834</v>
      </c>
      <c r="B282" s="57" t="s">
        <v>235</v>
      </c>
      <c r="C282" s="57" t="str">
        <f aca="false">Flights!$F$12</f>
        <v>MH0752</v>
      </c>
      <c r="D282" s="58" t="n">
        <f aca="false">Flights!$D$12</f>
        <v>46305</v>
      </c>
      <c r="E282" s="57" t="str">
        <f aca="false">Flights!$G$12&amp;"-"&amp;Flights!$H$12</f>
        <v>KUL-HAN</v>
      </c>
      <c r="F282" s="57" t="str">
        <f aca="false">Flights!$K$12</f>
        <v>EY</v>
      </c>
      <c r="G282" s="57" t="s">
        <v>437</v>
      </c>
      <c r="H282" s="57" t="s">
        <v>438</v>
      </c>
      <c r="I282" s="57" t="s">
        <v>425</v>
      </c>
      <c r="J282" s="57" t="s">
        <v>447</v>
      </c>
      <c r="K282" s="67" t="s">
        <v>427</v>
      </c>
      <c r="L282" s="67" t="s">
        <v>831</v>
      </c>
      <c r="M282" s="67" t="s">
        <v>429</v>
      </c>
      <c r="N282" s="67" t="s">
        <v>361</v>
      </c>
      <c r="O282" s="67"/>
      <c r="P282" s="57" t="s">
        <v>184</v>
      </c>
      <c r="Q282" s="59" t="n">
        <f aca="false">ROUND((Flights!$AF$12)*1440,0)/1440</f>
        <v>46305.0659722222</v>
      </c>
      <c r="R282" s="59" t="n">
        <f aca="false">Q282+(IF(AND(INDEX(TZ_DSTS,MATCH(P282,TZ_STN,0))&lt;&gt;"",Q282&gt;=INDEX(TZ_DSTS,MATCH(P282,TZ_STN,0)),Q282&lt;INDEX(TZ_DSTE,MATCH(P282,TZ_STN,0))),INDEX(TZ_DST,MATCH(P282,TZ_STN,0)),INDEX(TZ_STD,MATCH(P282,TZ_STN,0))))/24</f>
        <v>46305.3993055556</v>
      </c>
      <c r="S282" s="59" t="n">
        <f aca="false">IF(ISNUMBER(Flights!$AZ$12),MAX(Q282-UpliftWindowH/24,Flights!$AZ$12),Q282-UpliftWindowH/24)</f>
        <v>46304.8159722222</v>
      </c>
      <c r="T282" s="60"/>
      <c r="U282" s="60"/>
      <c r="V282" s="60"/>
      <c r="W282" s="61"/>
      <c r="X282" s="60"/>
      <c r="Y282" s="60"/>
      <c r="Z282" s="60"/>
      <c r="AA282" s="60"/>
      <c r="AB282" s="60"/>
      <c r="AC282" s="60"/>
      <c r="AD282" s="66"/>
      <c r="AE282" s="60"/>
      <c r="AF282" s="61" t="str">
        <f aca="false">IF(AND(ISNUMBER(X282),ISNUMBER(Y282)),Y282-X282,"")</f>
        <v/>
      </c>
      <c r="AG282" s="62" t="str">
        <f aca="false">IF(ISNUMBER(AD282),AD282-(IF(AND(INDEX(TZ_DSTS,MATCH(P282,TZ_STN,0))&lt;&gt;"",(AD282-INDEX(TZ_STD,MATCH(P282,TZ_STN,0))/24)&gt;=INDEX(TZ_DSTS,MATCH(P282,TZ_STN,0)),(AD282-INDEX(TZ_STD,MATCH(P282,TZ_STN,0))/24)&lt;INDEX(TZ_DSTE,MATCH(P282,TZ_STN,0))),INDEX(TZ_DST,MATCH(P282,TZ_STN,0)),INDEX(TZ_STD,MATCH(P282,TZ_STN,0))))/24,"")</f>
        <v/>
      </c>
      <c r="AH282" s="65" t="str">
        <f aca="false">IFERROR(IF(N282="N/A – rule","N/A – RULE",IF(TRIM(U282)="N/A",IF(AT282=0,"INVALID – N/A not permitted for this check",IF(AND(TRIM(AB282)&lt;&gt;"",TRIM(AB282)&lt;&gt;"Closed"),"INVALID – corrective action still open",IF(AND(NOT(OR(LEN(AZ282)&lt;15,ISNUMBER(MATCH(AZ282,L_Placeholder,0)))),NOT(OR(LEN(AU282)&lt;2,ISNUMBER(MATCH(AU282,L_Placeholder,0)))),NOT(OR(LEN(AX282)&lt;2,ISNUMBER(MATCH(AX282,L_Placeholder,0)))),TRIM(AE282)&lt;&gt;TRIM(T282)),"N/A – JUSTIFIED","INVALID – N/A needs a real justification (15+ chars), PIC and a different verifier"))),IF(OR(TRIM(U282)="Pass",TRIM(U282)="Pass after CA"),IF(NOT(ISNUMBER(AD282)),"INVALID – completion time missing",IF(OR(LEN(AU282)&lt;2,ISNUMBER(MATCH(AU282,L_Placeholder,0))),"INVALID – PIC missing",IF(OR(LEN(AV282)&lt;2,ISNUMBER(MATCH(AV282,L_Placeholder,0))),"INVALID – result / assessment missing",IF(OR(OR(LEN(AW282)&lt;3,ISNUMBER(MATCH(AW282,L_Placeholder,0))),SUMPRODUCT(--ISNUMBER(SEARCH(L_EvidencePhrase,AW282)))&gt;0),"INVALID – evidence missing, placeholder or not yet on file",IF(OR(LEN(AX282)&lt;2,ISNUMBER(MATCH(AX282,L_Placeholder,0))),"INVALID – verifier missing",IF(AX282=AU282,"INVALID – verifier must be someone other than the PIC",IF(AND(TRIM(U282)="Pass",SUMPRODUCT(--ISNUMBER(SEARCH(L_ResultBad,AV282)))&gt;0),"INVALID – result describes a problem: use Fail, then Pass after CA",IF(AND(AQ282=1,OR(LEN(AY282)&lt;3,ISNUMBER(MATCH(AY282,L_Placeholder,0)))),"INVALID – batch ID missing or placeholder",IF(AND(AR282=1,OR(NOT(ISNUMBER(X282)),NOT(ISNUMBER(Y282)))),"INVALID – expected/actual qty missing",IF(AND(AR282=1,OR(X282&lt;=0,Y282&lt;0)),"INVALID – expected qty must be above 0 and actual not negative",IF(AH279="N/A – JUSTIFIED","INVALID – preparation row F08-T12-08 is N/A",IF(AND(AR282=1,ISNUMBER(X279),X282&lt;&gt;X279),"INVALID – expected qty differs from preparation check F08-T12-08",IF(BB282&lt;&gt;"",BB282,IF(AND(AS282=1,Documents!$J$12&lt;&gt;"ON FILE"),"INVALID – GLD not on file (Documents sheet)",IF(AND(AS282=2,Documents!$O$12&lt;&gt;"ON FILE"),"INVALID – menu checklist not on file (Documents sheet)",IF(AND(AS282=3,NOT(ISNUMBER(Flights!$AX$12))),"INVALID – enter carrying flight KUL departure (Flights AX)",IF(AND(AS282=3,OR(Flights!$AZ$12&gt;Flights!$AA$12,Flights!$AX$12&lt;Flights!$AA$12-3)),"INVALID – carrying flight (Flights AX) cannot arrive before this leg's STD, or is over 3 days early",IF(AG282&gt;AsOfUTC,"INVALID – completion time is in the future",IF(AND(ISNUMBER(S282),AG282&lt;S282),IF(H282="Physical uplift","INVALID – before uplift window (cannot confirm loading)","INVALID – before valid window"),IF(AG282&gt;Flights!$AA$12,"INVALID – completed after departure (cannot establish readiness)",IF(AND(H282="Preparation",AG282&gt;IF(ISNUMBER(Flights!$BA$12),MIN(Flights!$BA$12,Flights!$AA$12),Flights!$AA$12)),"INVALID – completed after loading / departure (cannot establish readiness)",IF(AND(H282="Physical uplift",AG282&gt;Q282),"INVALID – recorded after the loading flight departed",IF(AG282&gt;Q282,"COMPLETE – LATE","COMPLETE"))))))))))))))))))))))),IF(TRIM(U282)="Fail","FAIL – DISCREPANCY",IF(AND(TRIM(U282)&lt;&gt;"",TRIM(U282)&lt;&gt;"Not started",TRIM(U282)&lt;&gt;"In progress"),"INVALID – unrecognised status (use the list)",IF(AsOfUTC&gt;Q282,"OVERDUE",IF(N282="Clarification required","OPEN – CLARIFICATION","OPEN"))))))),"INVALID – error value in an input cell")</f>
        <v>OPEN</v>
      </c>
      <c r="AI282" s="61" t="n">
        <f aca="false">IF(OR(AH282="N/A – RULE",AH282="N/A – JUSTIFIED"),0,1)</f>
        <v>1</v>
      </c>
      <c r="AJ282" s="61" t="n">
        <f aca="false">IF(LEFT(AH282,8)="COMPLETE",1,0)</f>
        <v>0</v>
      </c>
      <c r="AK282" s="61" t="n">
        <f aca="false">IF(AND(AI282=1,AJ282=0,AsOfUTC&gt;Q282),1,0)</f>
        <v>0</v>
      </c>
      <c r="AL282" s="61" t="n">
        <f aca="false">IFERROR(IF(AND(AI282=1,OR(TRIM(U282)="Fail",AND(TRIM(AB282)&lt;&gt;"",TRIM(AB282)&lt;&gt;"Closed"),AND(ISNUMBER(AF282),AF282&lt;&gt;0,TRIM(U282)&lt;&gt;"Pass after CA"))),1,0),1)</f>
        <v>0</v>
      </c>
      <c r="AM282" s="61" t="n">
        <f aca="false">IF(LEFT(AH282,7)="INVALID",1,0)</f>
        <v>0</v>
      </c>
      <c r="AN282" s="61" t="n">
        <f aca="false">IF(AND(N282="Clarification required",AI282=1,AJ282=0),1,0)</f>
        <v>0</v>
      </c>
      <c r="AO282" s="61" t="str">
        <f aca="false">IF(AK282=1,SUM(AK$5:AK282),"")</f>
        <v/>
      </c>
      <c r="AP282" s="61" t="str">
        <f aca="false">IF(AL282=1,SUM(AL$5:AL282),"")</f>
        <v/>
      </c>
      <c r="AQ282" s="61" t="n">
        <v>0</v>
      </c>
      <c r="AR282" s="61" t="n">
        <v>0</v>
      </c>
      <c r="AS282" s="61" t="n">
        <v>0</v>
      </c>
      <c r="AT282" s="61" t="n">
        <v>0</v>
      </c>
      <c r="AU282" s="61" t="str">
        <f aca="false">SUBSTITUTE(SUBSTITUTE(SUBSTITUTE(SUBSTITUTE(SUBSTITUTE(SUBSTITUTE(SUBSTITUTE(SUBSTITUTE(SUBSTITUTE(SUBSTITUTE(SUBSTITUTE(SUBSTITUTE(SUBSTITUTE(LOWER(T282&amp;""),CHAR(160),"")," ",""),".",""),"-",""),"/",""),"?",""),"_",""),",",""),"[",""),"]",""),"(",""),")",""),"*","")</f>
        <v/>
      </c>
      <c r="AV282" s="61" t="str">
        <f aca="false">SUBSTITUTE(SUBSTITUTE(SUBSTITUTE(SUBSTITUTE(SUBSTITUTE(SUBSTITUTE(SUBSTITUTE(SUBSTITUTE(SUBSTITUTE(SUBSTITUTE(SUBSTITUTE(SUBSTITUTE(SUBSTITUTE(LOWER(V282&amp;""),CHAR(160),"")," ",""),".",""),"-",""),"/",""),"?",""),"_",""),",",""),"[",""),"]",""),"(",""),")",""),"*","")</f>
        <v/>
      </c>
      <c r="AW282" s="61" t="str">
        <f aca="false">SUBSTITUTE(SUBSTITUTE(SUBSTITUTE(SUBSTITUTE(SUBSTITUTE(SUBSTITUTE(SUBSTITUTE(SUBSTITUTE(SUBSTITUTE(SUBSTITUTE(SUBSTITUTE(SUBSTITUTE(SUBSTITUTE(LOWER(Z282&amp;""),CHAR(160),"")," ",""),".",""),"-",""),"/",""),"?",""),"_",""),",",""),"[",""),"]",""),"(",""),")",""),"*","")</f>
        <v/>
      </c>
      <c r="AX282" s="61" t="str">
        <f aca="false">SUBSTITUTE(SUBSTITUTE(SUBSTITUTE(SUBSTITUTE(SUBSTITUTE(SUBSTITUTE(SUBSTITUTE(SUBSTITUTE(SUBSTITUTE(SUBSTITUTE(SUBSTITUTE(SUBSTITUTE(SUBSTITUTE(LOWER(AE282&amp;""),CHAR(160),"")," ",""),".",""),"-",""),"/",""),"?",""),"_",""),",",""),"[",""),"]",""),"(",""),")",""),"*","")</f>
        <v/>
      </c>
      <c r="AY282" s="61" t="str">
        <f aca="false">SUBSTITUTE(SUBSTITUTE(SUBSTITUTE(SUBSTITUTE(SUBSTITUTE(SUBSTITUTE(SUBSTITUTE(SUBSTITUTE(SUBSTITUTE(SUBSTITUTE(SUBSTITUTE(SUBSTITUTE(SUBSTITUTE(LOWER(W282&amp;""),CHAR(160),"")," ",""),".",""),"-",""),"/",""),"?",""),"_",""),",",""),"[",""),"]",""),"(",""),")",""),"*","")</f>
        <v/>
      </c>
      <c r="AZ282" s="61" t="str">
        <f aca="false">SUBSTITUTE(SUBSTITUTE(SUBSTITUTE(SUBSTITUTE(SUBSTITUTE(SUBSTITUTE(SUBSTITUTE(SUBSTITUTE(SUBSTITUTE(SUBSTITUTE(SUBSTITUTE(SUBSTITUTE(SUBSTITUTE(LOWER(AC282&amp;""),CHAR(160),"")," ",""),".",""),"-",""),"/",""),"?",""),"_",""),",",""),"[",""),"]",""),"(",""),")",""),"*","")</f>
        <v/>
      </c>
      <c r="BA282" s="61" t="str">
        <f aca="false">SUBSTITUTE(SUBSTITUTE(SUBSTITUTE(SUBSTITUTE(SUBSTITUTE(SUBSTITUTE(SUBSTITUTE(SUBSTITUTE(SUBSTITUTE(SUBSTITUTE(SUBSTITUTE(SUBSTITUTE(SUBSTITUTE(LOWER(AA282&amp;""),CHAR(160),"")," ",""),".",""),"-",""),"/",""),"?",""),"_",""),",",""),"[",""),"]",""),"(",""),")",""),"*","")</f>
        <v/>
      </c>
      <c r="BB282" s="61" t="str">
        <f aca="false">IF(AND(TRIM(U282)="Pass",ISNUMBER(AF282)),IF(AF282&lt;&gt;0,"INVALID – qty variance: use Fail or Pass after CA",""),"")&amp;IF(AND(TRIM(U282)="Pass after CA",ISNUMBER(AF282)),IF(AF282&lt;&gt;0,"INVALID – after the corrective action the actual qty must equal expected (update Actual)",""),"")&amp;IF(AND(TRIM(U282)="Pass",TRIM(AB282)&lt;&gt;"",TRIM(AB282)&lt;&gt;"Closed"),"INVALID – corrective action not closed: use Fail, then Pass after CA","")&amp;IF(AND(TRIM(AA282)&lt;&gt;"",TRIM(AB282)=""),"INVALID – CA status missing for the recorded corrective action","")&amp;IF(AND(TRIM(U282)="Pass after CA",OR(OR(LEN(BA282)&lt;5,ISNUMBER(MATCH(BA282,L_Placeholder,0))),TRIM(AB282)&lt;&gt;"Closed")),"INVALID – corrective action not recorded/closed","")</f>
        <v/>
      </c>
    </row>
    <row r="283" customFormat="false" ht="39.75" hidden="false" customHeight="true" outlineLevel="0" collapsed="false">
      <c r="A283" s="57" t="s">
        <v>835</v>
      </c>
      <c r="B283" s="57" t="s">
        <v>243</v>
      </c>
      <c r="C283" s="57" t="str">
        <f aca="false">Flights!$F$13</f>
        <v>MH0753</v>
      </c>
      <c r="D283" s="58" t="n">
        <f aca="false">Flights!$D$13</f>
        <v>46306</v>
      </c>
      <c r="E283" s="57" t="str">
        <f aca="false">Flights!$G$13&amp;"-"&amp;Flights!$H$13</f>
        <v>HAN-KUL</v>
      </c>
      <c r="F283" s="57" t="str">
        <f aca="false">Flights!$K$13</f>
        <v>BC</v>
      </c>
      <c r="G283" s="57" t="s">
        <v>79</v>
      </c>
      <c r="H283" s="57" t="s">
        <v>356</v>
      </c>
      <c r="I283" s="57" t="s">
        <v>357</v>
      </c>
      <c r="J283" s="57" t="s">
        <v>358</v>
      </c>
      <c r="K283" s="67" t="s">
        <v>359</v>
      </c>
      <c r="L283" s="67" t="s">
        <v>360</v>
      </c>
      <c r="M283" s="67"/>
      <c r="N283" s="67" t="s">
        <v>361</v>
      </c>
      <c r="O283" s="67"/>
      <c r="P283" s="57" t="s">
        <v>237</v>
      </c>
      <c r="Q283" s="59" t="n">
        <f aca="false">ROUND((Flights!$AC$13)*1440,0)/1440</f>
        <v>46299.2534722222</v>
      </c>
      <c r="R283" s="59" t="n">
        <f aca="false">Q283+(IF(AND(INDEX(TZ_DSTS,MATCH(P283,TZ_STN,0))&lt;&gt;"",Q283&gt;=INDEX(TZ_DSTS,MATCH(P283,TZ_STN,0)),Q283&lt;INDEX(TZ_DSTE,MATCH(P283,TZ_STN,0))),INDEX(TZ_DST,MATCH(P283,TZ_STN,0)),INDEX(TZ_STD,MATCH(P283,TZ_STN,0))))/24</f>
        <v>46299.5451388889</v>
      </c>
      <c r="S283" s="59" t="n">
        <f aca="false">Q283-T7EarlyD*24/24</f>
        <v>46285.2534722222</v>
      </c>
      <c r="T283" s="60"/>
      <c r="U283" s="60"/>
      <c r="V283" s="60"/>
      <c r="W283" s="61"/>
      <c r="X283" s="60"/>
      <c r="Y283" s="60"/>
      <c r="Z283" s="60"/>
      <c r="AA283" s="60"/>
      <c r="AB283" s="60"/>
      <c r="AC283" s="60"/>
      <c r="AD283" s="66"/>
      <c r="AE283" s="60"/>
      <c r="AF283" s="61" t="str">
        <f aca="false">IF(AND(ISNUMBER(X283),ISNUMBER(Y283)),Y283-X283,"")</f>
        <v/>
      </c>
      <c r="AG283" s="62" t="str">
        <f aca="false">IF(ISNUMBER(AD283),AD283-(IF(AND(INDEX(TZ_DSTS,MATCH(P283,TZ_STN,0))&lt;&gt;"",(AD283-INDEX(TZ_STD,MATCH(P283,TZ_STN,0))/24)&gt;=INDEX(TZ_DSTS,MATCH(P283,TZ_STN,0)),(AD283-INDEX(TZ_STD,MATCH(P283,TZ_STN,0))/24)&lt;INDEX(TZ_DSTE,MATCH(P283,TZ_STN,0))),INDEX(TZ_DST,MATCH(P283,TZ_STN,0)),INDEX(TZ_STD,MATCH(P283,TZ_STN,0))))/24,"")</f>
        <v/>
      </c>
      <c r="AH283" s="65" t="str">
        <f aca="false">IFERROR(IF(N283="N/A – rule","N/A – RULE",IF(TRIM(U283)="N/A",IF(AT283=0,"INVALID – N/A not permitted for this check",IF(AND(TRIM(AB283)&lt;&gt;"",TRIM(AB283)&lt;&gt;"Closed"),"INVALID – corrective action still open",IF(AND(NOT(OR(LEN(AZ283)&lt;15,ISNUMBER(MATCH(AZ283,L_Placeholder,0)))),NOT(OR(LEN(AU283)&lt;2,ISNUMBER(MATCH(AU283,L_Placeholder,0)))),NOT(OR(LEN(AX283)&lt;2,ISNUMBER(MATCH(AX283,L_Placeholder,0)))),TRIM(AE283)&lt;&gt;TRIM(T283)),"N/A – JUSTIFIED","INVALID – N/A needs a real justification (15+ chars), PIC and a different verifier"))),IF(OR(TRIM(U283)="Pass",TRIM(U283)="Pass after CA"),IF(NOT(ISNUMBER(AD283)),"INVALID – completion time missing",IF(OR(LEN(AU283)&lt;2,ISNUMBER(MATCH(AU283,L_Placeholder,0))),"INVALID – PIC missing",IF(OR(LEN(AV283)&lt;2,ISNUMBER(MATCH(AV283,L_Placeholder,0))),"INVALID – result / assessment missing",IF(OR(OR(LEN(AW283)&lt;3,ISNUMBER(MATCH(AW283,L_Placeholder,0))),SUMPRODUCT(--ISNUMBER(SEARCH(L_EvidencePhrase,AW283)))&gt;0),"INVALID – evidence missing, placeholder or not yet on file",IF(OR(LEN(AX283)&lt;2,ISNUMBER(MATCH(AX283,L_Placeholder,0))),"INVALID – verifier missing",IF(AX283=AU283,"INVALID – verifier must be someone other than the PIC",IF(AND(TRIM(U283)="Pass",SUMPRODUCT(--ISNUMBER(SEARCH(L_ResultBad,AV283)))&gt;0),"INVALID – result describes a problem: use Fail, then Pass after CA",IF(AND(AQ283=1,OR(LEN(AY283)&lt;3,ISNUMBER(MATCH(AY283,L_Placeholder,0)))),"INVALID – batch ID missing or placeholder",IF(AND(AR283=1,OR(NOT(ISNUMBER(X283)),NOT(ISNUMBER(Y283)))),"INVALID – expected/actual qty missing",IF(AND(AR283=1,OR(X283&lt;=0,Y283&lt;0)),"INVALID – expected qty must be above 0 and actual not negative",IF(BB283&lt;&gt;"",BB283,IF(AND(AS283=1,Documents!$J$13&lt;&gt;"ON FILE"),"INVALID – GLD not on file (Documents sheet)",IF(AND(AS283=2,Documents!$O$13&lt;&gt;"ON FILE"),"INVALID – menu checklist not on file (Documents sheet)",IF(AND(AS283=3,NOT(ISNUMBER(Flights!$AX$13))),"INVALID – enter carrying flight KUL departure (Flights AX)",IF(AND(AS283=3,OR(Flights!$AZ$13&gt;Flights!$AA$13,Flights!$AX$13&lt;Flights!$AA$13-3)),"INVALID – carrying flight (Flights AX) cannot arrive before this leg's STD, or is over 3 days early",IF(AG283&gt;AsOfUTC,"INVALID – completion time is in the future",IF(AND(ISNUMBER(S283),AG283&lt;S283),IF(H283="Physical uplift","INVALID – before uplift window (cannot confirm loading)","INVALID – before valid window"),IF(AG283&gt;Flights!$AA$13,"INVALID – completed after departure (cannot establish readiness)",IF(AND(H283="Preparation",AG283&gt;IF(ISNUMBER(Flights!$BA$13),MIN(Flights!$BA$13,Flights!$AA$13),Flights!$AA$13)),"INVALID – completed after loading / departure (cannot establish readiness)",IF(AND(H283="Physical uplift",AG283&gt;Q283),"INVALID – recorded after the loading flight departed",IF(AG283&gt;Q283,"COMPLETE – LATE","COMPLETE"))))))))))))))))))))),IF(TRIM(U283)="Fail","FAIL – DISCREPANCY",IF(AND(TRIM(U283)&lt;&gt;"",TRIM(U283)&lt;&gt;"Not started",TRIM(U283)&lt;&gt;"In progress"),"INVALID – unrecognised status (use the list)",IF(AsOfUTC&gt;Q283,"OVERDUE",IF(N283="Clarification required","OPEN – CLARIFICATION","OPEN"))))))),"INVALID – error value in an input cell")</f>
        <v>OPEN</v>
      </c>
      <c r="AI283" s="61" t="n">
        <f aca="false">IF(OR(AH283="N/A – RULE",AH283="N/A – JUSTIFIED"),0,1)</f>
        <v>1</v>
      </c>
      <c r="AJ283" s="61" t="n">
        <f aca="false">IF(LEFT(AH283,8)="COMPLETE",1,0)</f>
        <v>0</v>
      </c>
      <c r="AK283" s="61" t="n">
        <f aca="false">IF(AND(AI283=1,AJ283=0,AsOfUTC&gt;Q283),1,0)</f>
        <v>0</v>
      </c>
      <c r="AL283" s="61" t="n">
        <f aca="false">IFERROR(IF(AND(AI283=1,OR(TRIM(U283)="Fail",AND(TRIM(AB283)&lt;&gt;"",TRIM(AB283)&lt;&gt;"Closed"),AND(ISNUMBER(AF283),AF283&lt;&gt;0,TRIM(U283)&lt;&gt;"Pass after CA"))),1,0),1)</f>
        <v>0</v>
      </c>
      <c r="AM283" s="61" t="n">
        <f aca="false">IF(LEFT(AH283,7)="INVALID",1,0)</f>
        <v>0</v>
      </c>
      <c r="AN283" s="61" t="n">
        <f aca="false">IF(AND(N283="Clarification required",AI283=1,AJ283=0),1,0)</f>
        <v>0</v>
      </c>
      <c r="AO283" s="61" t="str">
        <f aca="false">IF(AK283=1,SUM(AK$5:AK283),"")</f>
        <v/>
      </c>
      <c r="AP283" s="61" t="str">
        <f aca="false">IF(AL283=1,SUM(AL$5:AL283),"")</f>
        <v/>
      </c>
      <c r="AQ283" s="61" t="n">
        <v>0</v>
      </c>
      <c r="AR283" s="61" t="n">
        <v>0</v>
      </c>
      <c r="AS283" s="61" t="n">
        <v>0</v>
      </c>
      <c r="AT283" s="61" t="n">
        <v>0</v>
      </c>
      <c r="AU283" s="61" t="str">
        <f aca="false">SUBSTITUTE(SUBSTITUTE(SUBSTITUTE(SUBSTITUTE(SUBSTITUTE(SUBSTITUTE(SUBSTITUTE(SUBSTITUTE(SUBSTITUTE(SUBSTITUTE(SUBSTITUTE(SUBSTITUTE(SUBSTITUTE(LOWER(T283&amp;""),CHAR(160),"")," ",""),".",""),"-",""),"/",""),"?",""),"_",""),",",""),"[",""),"]",""),"(",""),")",""),"*","")</f>
        <v/>
      </c>
      <c r="AV283" s="61" t="str">
        <f aca="false">SUBSTITUTE(SUBSTITUTE(SUBSTITUTE(SUBSTITUTE(SUBSTITUTE(SUBSTITUTE(SUBSTITUTE(SUBSTITUTE(SUBSTITUTE(SUBSTITUTE(SUBSTITUTE(SUBSTITUTE(SUBSTITUTE(LOWER(V283&amp;""),CHAR(160),"")," ",""),".",""),"-",""),"/",""),"?",""),"_",""),",",""),"[",""),"]",""),"(",""),")",""),"*","")</f>
        <v/>
      </c>
      <c r="AW283" s="61" t="str">
        <f aca="false">SUBSTITUTE(SUBSTITUTE(SUBSTITUTE(SUBSTITUTE(SUBSTITUTE(SUBSTITUTE(SUBSTITUTE(SUBSTITUTE(SUBSTITUTE(SUBSTITUTE(SUBSTITUTE(SUBSTITUTE(SUBSTITUTE(LOWER(Z283&amp;""),CHAR(160),"")," ",""),".",""),"-",""),"/",""),"?",""),"_",""),",",""),"[",""),"]",""),"(",""),")",""),"*","")</f>
        <v/>
      </c>
      <c r="AX283" s="61" t="str">
        <f aca="false">SUBSTITUTE(SUBSTITUTE(SUBSTITUTE(SUBSTITUTE(SUBSTITUTE(SUBSTITUTE(SUBSTITUTE(SUBSTITUTE(SUBSTITUTE(SUBSTITUTE(SUBSTITUTE(SUBSTITUTE(SUBSTITUTE(LOWER(AE283&amp;""),CHAR(160),"")," ",""),".",""),"-",""),"/",""),"?",""),"_",""),",",""),"[",""),"]",""),"(",""),")",""),"*","")</f>
        <v/>
      </c>
      <c r="AY283" s="61" t="str">
        <f aca="false">SUBSTITUTE(SUBSTITUTE(SUBSTITUTE(SUBSTITUTE(SUBSTITUTE(SUBSTITUTE(SUBSTITUTE(SUBSTITUTE(SUBSTITUTE(SUBSTITUTE(SUBSTITUTE(SUBSTITUTE(SUBSTITUTE(LOWER(W283&amp;""),CHAR(160),"")," ",""),".",""),"-",""),"/",""),"?",""),"_",""),",",""),"[",""),"]",""),"(",""),")",""),"*","")</f>
        <v/>
      </c>
      <c r="AZ283" s="61" t="str">
        <f aca="false">SUBSTITUTE(SUBSTITUTE(SUBSTITUTE(SUBSTITUTE(SUBSTITUTE(SUBSTITUTE(SUBSTITUTE(SUBSTITUTE(SUBSTITUTE(SUBSTITUTE(SUBSTITUTE(SUBSTITUTE(SUBSTITUTE(LOWER(AC283&amp;""),CHAR(160),"")," ",""),".",""),"-",""),"/",""),"?",""),"_",""),",",""),"[",""),"]",""),"(",""),")",""),"*","")</f>
        <v/>
      </c>
      <c r="BA283" s="61" t="str">
        <f aca="false">SUBSTITUTE(SUBSTITUTE(SUBSTITUTE(SUBSTITUTE(SUBSTITUTE(SUBSTITUTE(SUBSTITUTE(SUBSTITUTE(SUBSTITUTE(SUBSTITUTE(SUBSTITUTE(SUBSTITUTE(SUBSTITUTE(LOWER(AA283&amp;""),CHAR(160),"")," ",""),".",""),"-",""),"/",""),"?",""),"_",""),",",""),"[",""),"]",""),"(",""),")",""),"*","")</f>
        <v/>
      </c>
      <c r="BB283" s="61" t="str">
        <f aca="false">IF(AND(TRIM(U283)="Pass",ISNUMBER(AF283)),IF(AF283&lt;&gt;0,"INVALID – qty variance: use Fail or Pass after CA",""),"")&amp;IF(AND(TRIM(U283)="Pass after CA",ISNUMBER(AF283)),IF(AF283&lt;&gt;0,"INVALID – after the corrective action the actual qty must equal expected (update Actual)",""),"")&amp;IF(AND(TRIM(U283)="Pass",TRIM(AB283)&lt;&gt;"",TRIM(AB283)&lt;&gt;"Closed"),"INVALID – corrective action not closed: use Fail, then Pass after CA","")&amp;IF(AND(TRIM(AA283)&lt;&gt;"",TRIM(AB283)=""),"INVALID – CA status missing for the recorded corrective action","")&amp;IF(AND(TRIM(U283)="Pass after CA",OR(OR(LEN(BA283)&lt;5,ISNUMBER(MATCH(BA283,L_Placeholder,0))),TRIM(AB283)&lt;&gt;"Closed")),"INVALID – corrective action not recorded/closed","")</f>
        <v/>
      </c>
    </row>
    <row r="284" customFormat="false" ht="39.75" hidden="false" customHeight="true" outlineLevel="0" collapsed="false">
      <c r="A284" s="57" t="s">
        <v>836</v>
      </c>
      <c r="B284" s="57" t="s">
        <v>243</v>
      </c>
      <c r="C284" s="57" t="str">
        <f aca="false">Flights!$F$13</f>
        <v>MH0753</v>
      </c>
      <c r="D284" s="58" t="n">
        <f aca="false">Flights!$D$13</f>
        <v>46306</v>
      </c>
      <c r="E284" s="57" t="str">
        <f aca="false">Flights!$G$13&amp;"-"&amp;Flights!$H$13</f>
        <v>HAN-KUL</v>
      </c>
      <c r="F284" s="57" t="str">
        <f aca="false">Flights!$K$13</f>
        <v>BC</v>
      </c>
      <c r="G284" s="57" t="s">
        <v>79</v>
      </c>
      <c r="H284" s="57" t="s">
        <v>356</v>
      </c>
      <c r="I284" s="57" t="s">
        <v>363</v>
      </c>
      <c r="J284" s="57" t="s">
        <v>364</v>
      </c>
      <c r="K284" s="67" t="s">
        <v>365</v>
      </c>
      <c r="L284" s="67" t="s">
        <v>360</v>
      </c>
      <c r="M284" s="67"/>
      <c r="N284" s="67" t="s">
        <v>361</v>
      </c>
      <c r="O284" s="67"/>
      <c r="P284" s="57" t="s">
        <v>237</v>
      </c>
      <c r="Q284" s="59" t="n">
        <f aca="false">ROUND((Flights!$AC$13)*1440,0)/1440</f>
        <v>46299.2534722222</v>
      </c>
      <c r="R284" s="59" t="n">
        <f aca="false">Q284+(IF(AND(INDEX(TZ_DSTS,MATCH(P284,TZ_STN,0))&lt;&gt;"",Q284&gt;=INDEX(TZ_DSTS,MATCH(P284,TZ_STN,0)),Q284&lt;INDEX(TZ_DSTE,MATCH(P284,TZ_STN,0))),INDEX(TZ_DST,MATCH(P284,TZ_STN,0)),INDEX(TZ_STD,MATCH(P284,TZ_STN,0))))/24</f>
        <v>46299.5451388889</v>
      </c>
      <c r="S284" s="59" t="n">
        <f aca="false">Q284-T7EarlyD*24/24</f>
        <v>46285.2534722222</v>
      </c>
      <c r="T284" s="60"/>
      <c r="U284" s="60"/>
      <c r="V284" s="60"/>
      <c r="W284" s="61"/>
      <c r="X284" s="60"/>
      <c r="Y284" s="60"/>
      <c r="Z284" s="60"/>
      <c r="AA284" s="60"/>
      <c r="AB284" s="60"/>
      <c r="AC284" s="60"/>
      <c r="AD284" s="66"/>
      <c r="AE284" s="60"/>
      <c r="AF284" s="61" t="str">
        <f aca="false">IF(AND(ISNUMBER(X284),ISNUMBER(Y284)),Y284-X284,"")</f>
        <v/>
      </c>
      <c r="AG284" s="62" t="str">
        <f aca="false">IF(ISNUMBER(AD284),AD284-(IF(AND(INDEX(TZ_DSTS,MATCH(P284,TZ_STN,0))&lt;&gt;"",(AD284-INDEX(TZ_STD,MATCH(P284,TZ_STN,0))/24)&gt;=INDEX(TZ_DSTS,MATCH(P284,TZ_STN,0)),(AD284-INDEX(TZ_STD,MATCH(P284,TZ_STN,0))/24)&lt;INDEX(TZ_DSTE,MATCH(P284,TZ_STN,0))),INDEX(TZ_DST,MATCH(P284,TZ_STN,0)),INDEX(TZ_STD,MATCH(P284,TZ_STN,0))))/24,"")</f>
        <v/>
      </c>
      <c r="AH284" s="65" t="str">
        <f aca="false">IFERROR(IF(N284="N/A – rule","N/A – RULE",IF(TRIM(U284)="N/A",IF(AT284=0,"INVALID – N/A not permitted for this check",IF(AND(TRIM(AB284)&lt;&gt;"",TRIM(AB284)&lt;&gt;"Closed"),"INVALID – corrective action still open",IF(AND(NOT(OR(LEN(AZ284)&lt;15,ISNUMBER(MATCH(AZ284,L_Placeholder,0)))),NOT(OR(LEN(AU284)&lt;2,ISNUMBER(MATCH(AU284,L_Placeholder,0)))),NOT(OR(LEN(AX284)&lt;2,ISNUMBER(MATCH(AX284,L_Placeholder,0)))),TRIM(AE284)&lt;&gt;TRIM(T284)),"N/A – JUSTIFIED","INVALID – N/A needs a real justification (15+ chars), PIC and a different verifier"))),IF(OR(TRIM(U284)="Pass",TRIM(U284)="Pass after CA"),IF(NOT(ISNUMBER(AD284)),"INVALID – completion time missing",IF(OR(LEN(AU284)&lt;2,ISNUMBER(MATCH(AU284,L_Placeholder,0))),"INVALID – PIC missing",IF(OR(LEN(AV284)&lt;2,ISNUMBER(MATCH(AV284,L_Placeholder,0))),"INVALID – result / assessment missing",IF(OR(OR(LEN(AW284)&lt;3,ISNUMBER(MATCH(AW284,L_Placeholder,0))),SUMPRODUCT(--ISNUMBER(SEARCH(L_EvidencePhrase,AW284)))&gt;0),"INVALID – evidence missing, placeholder or not yet on file",IF(OR(LEN(AX284)&lt;2,ISNUMBER(MATCH(AX284,L_Placeholder,0))),"INVALID – verifier missing",IF(AX284=AU284,"INVALID – verifier must be someone other than the PIC",IF(AND(TRIM(U284)="Pass",SUMPRODUCT(--ISNUMBER(SEARCH(L_ResultBad,AV284)))&gt;0),"INVALID – result describes a problem: use Fail, then Pass after CA",IF(AND(AQ284=1,OR(LEN(AY284)&lt;3,ISNUMBER(MATCH(AY284,L_Placeholder,0)))),"INVALID – batch ID missing or placeholder",IF(AND(AR284=1,OR(NOT(ISNUMBER(X284)),NOT(ISNUMBER(Y284)))),"INVALID – expected/actual qty missing",IF(AND(AR284=1,OR(X284&lt;=0,Y284&lt;0)),"INVALID – expected qty must be above 0 and actual not negative",IF(BB284&lt;&gt;"",BB284,IF(AND(AS284=1,Documents!$J$13&lt;&gt;"ON FILE"),"INVALID – GLD not on file (Documents sheet)",IF(AND(AS284=2,Documents!$O$13&lt;&gt;"ON FILE"),"INVALID – menu checklist not on file (Documents sheet)",IF(AND(AS284=3,NOT(ISNUMBER(Flights!$AX$13))),"INVALID – enter carrying flight KUL departure (Flights AX)",IF(AND(AS284=3,OR(Flights!$AZ$13&gt;Flights!$AA$13,Flights!$AX$13&lt;Flights!$AA$13-3)),"INVALID – carrying flight (Flights AX) cannot arrive before this leg's STD, or is over 3 days early",IF(AG284&gt;AsOfUTC,"INVALID – completion time is in the future",IF(AND(ISNUMBER(S284),AG284&lt;S284),IF(H284="Physical uplift","INVALID – before uplift window (cannot confirm loading)","INVALID – before valid window"),IF(AG284&gt;Flights!$AA$13,"INVALID – completed after departure (cannot establish readiness)",IF(AND(H284="Preparation",AG284&gt;IF(ISNUMBER(Flights!$BA$13),MIN(Flights!$BA$13,Flights!$AA$13),Flights!$AA$13)),"INVALID – completed after loading / departure (cannot establish readiness)",IF(AND(H284="Physical uplift",AG284&gt;Q284),"INVALID – recorded after the loading flight departed",IF(AG284&gt;Q284,"COMPLETE – LATE","COMPLETE"))))))))))))))))))))),IF(TRIM(U284)="Fail","FAIL – DISCREPANCY",IF(AND(TRIM(U284)&lt;&gt;"",TRIM(U284)&lt;&gt;"Not started",TRIM(U284)&lt;&gt;"In progress"),"INVALID – unrecognised status (use the list)",IF(AsOfUTC&gt;Q284,"OVERDUE",IF(N284="Clarification required","OPEN – CLARIFICATION","OPEN"))))))),"INVALID – error value in an input cell")</f>
        <v>OPEN</v>
      </c>
      <c r="AI284" s="61" t="n">
        <f aca="false">IF(OR(AH284="N/A – RULE",AH284="N/A – JUSTIFIED"),0,1)</f>
        <v>1</v>
      </c>
      <c r="AJ284" s="61" t="n">
        <f aca="false">IF(LEFT(AH284,8)="COMPLETE",1,0)</f>
        <v>0</v>
      </c>
      <c r="AK284" s="61" t="n">
        <f aca="false">IF(AND(AI284=1,AJ284=0,AsOfUTC&gt;Q284),1,0)</f>
        <v>0</v>
      </c>
      <c r="AL284" s="61" t="n">
        <f aca="false">IFERROR(IF(AND(AI284=1,OR(TRIM(U284)="Fail",AND(TRIM(AB284)&lt;&gt;"",TRIM(AB284)&lt;&gt;"Closed"),AND(ISNUMBER(AF284),AF284&lt;&gt;0,TRIM(U284)&lt;&gt;"Pass after CA"))),1,0),1)</f>
        <v>0</v>
      </c>
      <c r="AM284" s="61" t="n">
        <f aca="false">IF(LEFT(AH284,7)="INVALID",1,0)</f>
        <v>0</v>
      </c>
      <c r="AN284" s="61" t="n">
        <f aca="false">IF(AND(N284="Clarification required",AI284=1,AJ284=0),1,0)</f>
        <v>0</v>
      </c>
      <c r="AO284" s="61" t="str">
        <f aca="false">IF(AK284=1,SUM(AK$5:AK284),"")</f>
        <v/>
      </c>
      <c r="AP284" s="61" t="str">
        <f aca="false">IF(AL284=1,SUM(AL$5:AL284),"")</f>
        <v/>
      </c>
      <c r="AQ284" s="61" t="n">
        <v>0</v>
      </c>
      <c r="AR284" s="61" t="n">
        <v>0</v>
      </c>
      <c r="AS284" s="61" t="n">
        <v>0</v>
      </c>
      <c r="AT284" s="61" t="n">
        <v>0</v>
      </c>
      <c r="AU284" s="61" t="str">
        <f aca="false">SUBSTITUTE(SUBSTITUTE(SUBSTITUTE(SUBSTITUTE(SUBSTITUTE(SUBSTITUTE(SUBSTITUTE(SUBSTITUTE(SUBSTITUTE(SUBSTITUTE(SUBSTITUTE(SUBSTITUTE(SUBSTITUTE(LOWER(T284&amp;""),CHAR(160),"")," ",""),".",""),"-",""),"/",""),"?",""),"_",""),",",""),"[",""),"]",""),"(",""),")",""),"*","")</f>
        <v/>
      </c>
      <c r="AV284" s="61" t="str">
        <f aca="false">SUBSTITUTE(SUBSTITUTE(SUBSTITUTE(SUBSTITUTE(SUBSTITUTE(SUBSTITUTE(SUBSTITUTE(SUBSTITUTE(SUBSTITUTE(SUBSTITUTE(SUBSTITUTE(SUBSTITUTE(SUBSTITUTE(LOWER(V284&amp;""),CHAR(160),"")," ",""),".",""),"-",""),"/",""),"?",""),"_",""),",",""),"[",""),"]",""),"(",""),")",""),"*","")</f>
        <v/>
      </c>
      <c r="AW284" s="61" t="str">
        <f aca="false">SUBSTITUTE(SUBSTITUTE(SUBSTITUTE(SUBSTITUTE(SUBSTITUTE(SUBSTITUTE(SUBSTITUTE(SUBSTITUTE(SUBSTITUTE(SUBSTITUTE(SUBSTITUTE(SUBSTITUTE(SUBSTITUTE(LOWER(Z284&amp;""),CHAR(160),"")," ",""),".",""),"-",""),"/",""),"?",""),"_",""),",",""),"[",""),"]",""),"(",""),")",""),"*","")</f>
        <v/>
      </c>
      <c r="AX284" s="61" t="str">
        <f aca="false">SUBSTITUTE(SUBSTITUTE(SUBSTITUTE(SUBSTITUTE(SUBSTITUTE(SUBSTITUTE(SUBSTITUTE(SUBSTITUTE(SUBSTITUTE(SUBSTITUTE(SUBSTITUTE(SUBSTITUTE(SUBSTITUTE(LOWER(AE284&amp;""),CHAR(160),"")," ",""),".",""),"-",""),"/",""),"?",""),"_",""),",",""),"[",""),"]",""),"(",""),")",""),"*","")</f>
        <v/>
      </c>
      <c r="AY284" s="61" t="str">
        <f aca="false">SUBSTITUTE(SUBSTITUTE(SUBSTITUTE(SUBSTITUTE(SUBSTITUTE(SUBSTITUTE(SUBSTITUTE(SUBSTITUTE(SUBSTITUTE(SUBSTITUTE(SUBSTITUTE(SUBSTITUTE(SUBSTITUTE(LOWER(W284&amp;""),CHAR(160),"")," ",""),".",""),"-",""),"/",""),"?",""),"_",""),",",""),"[",""),"]",""),"(",""),")",""),"*","")</f>
        <v/>
      </c>
      <c r="AZ284" s="61" t="str">
        <f aca="false">SUBSTITUTE(SUBSTITUTE(SUBSTITUTE(SUBSTITUTE(SUBSTITUTE(SUBSTITUTE(SUBSTITUTE(SUBSTITUTE(SUBSTITUTE(SUBSTITUTE(SUBSTITUTE(SUBSTITUTE(SUBSTITUTE(LOWER(AC284&amp;""),CHAR(160),"")," ",""),".",""),"-",""),"/",""),"?",""),"_",""),",",""),"[",""),"]",""),"(",""),")",""),"*","")</f>
        <v/>
      </c>
      <c r="BA284" s="61" t="str">
        <f aca="false">SUBSTITUTE(SUBSTITUTE(SUBSTITUTE(SUBSTITUTE(SUBSTITUTE(SUBSTITUTE(SUBSTITUTE(SUBSTITUTE(SUBSTITUTE(SUBSTITUTE(SUBSTITUTE(SUBSTITUTE(SUBSTITUTE(LOWER(AA284&amp;""),CHAR(160),"")," ",""),".",""),"-",""),"/",""),"?",""),"_",""),",",""),"[",""),"]",""),"(",""),")",""),"*","")</f>
        <v/>
      </c>
      <c r="BB284" s="61" t="str">
        <f aca="false">IF(AND(TRIM(U284)="Pass",ISNUMBER(AF284)),IF(AF284&lt;&gt;0,"INVALID – qty variance: use Fail or Pass after CA",""),"")&amp;IF(AND(TRIM(U284)="Pass after CA",ISNUMBER(AF284)),IF(AF284&lt;&gt;0,"INVALID – after the corrective action the actual qty must equal expected (update Actual)",""),"")&amp;IF(AND(TRIM(U284)="Pass",TRIM(AB284)&lt;&gt;"",TRIM(AB284)&lt;&gt;"Closed"),"INVALID – corrective action not closed: use Fail, then Pass after CA","")&amp;IF(AND(TRIM(AA284)&lt;&gt;"",TRIM(AB284)=""),"INVALID – CA status missing for the recorded corrective action","")&amp;IF(AND(TRIM(U284)="Pass after CA",OR(OR(LEN(BA284)&lt;5,ISNUMBER(MATCH(BA284,L_Placeholder,0))),TRIM(AB284)&lt;&gt;"Closed")),"INVALID – corrective action not recorded/closed","")</f>
        <v/>
      </c>
    </row>
    <row r="285" customFormat="false" ht="41.25" hidden="false" customHeight="true" outlineLevel="0" collapsed="false">
      <c r="A285" s="57" t="s">
        <v>837</v>
      </c>
      <c r="B285" s="57" t="s">
        <v>243</v>
      </c>
      <c r="C285" s="57" t="str">
        <f aca="false">Flights!$F$13</f>
        <v>MH0753</v>
      </c>
      <c r="D285" s="58" t="n">
        <f aca="false">Flights!$D$13</f>
        <v>46306</v>
      </c>
      <c r="E285" s="57" t="str">
        <f aca="false">Flights!$G$13&amp;"-"&amp;Flights!$H$13</f>
        <v>HAN-KUL</v>
      </c>
      <c r="F285" s="57" t="str">
        <f aca="false">Flights!$K$13</f>
        <v>BC</v>
      </c>
      <c r="G285" s="57" t="s">
        <v>79</v>
      </c>
      <c r="H285" s="57" t="s">
        <v>356</v>
      </c>
      <c r="I285" s="57" t="s">
        <v>367</v>
      </c>
      <c r="J285" s="57" t="s">
        <v>368</v>
      </c>
      <c r="K285" s="67" t="s">
        <v>369</v>
      </c>
      <c r="L285" s="67" t="s">
        <v>360</v>
      </c>
      <c r="M285" s="67"/>
      <c r="N285" s="67" t="str">
        <f aca="false">IF(TRIM(Flights!$L$13)="A339","Required","N/A – rule")</f>
        <v>N/A – rule</v>
      </c>
      <c r="O285" s="67" t="s">
        <v>370</v>
      </c>
      <c r="P285" s="57" t="s">
        <v>237</v>
      </c>
      <c r="Q285" s="59" t="n">
        <f aca="false">ROUND((Flights!$AC$13)*1440,0)/1440</f>
        <v>46299.2534722222</v>
      </c>
      <c r="R285" s="59" t="n">
        <f aca="false">Q285+(IF(AND(INDEX(TZ_DSTS,MATCH(P285,TZ_STN,0))&lt;&gt;"",Q285&gt;=INDEX(TZ_DSTS,MATCH(P285,TZ_STN,0)),Q285&lt;INDEX(TZ_DSTE,MATCH(P285,TZ_STN,0))),INDEX(TZ_DST,MATCH(P285,TZ_STN,0)),INDEX(TZ_STD,MATCH(P285,TZ_STN,0))))/24</f>
        <v>46299.5451388889</v>
      </c>
      <c r="S285" s="59" t="n">
        <f aca="false">Q285-T7EarlyD*24/24</f>
        <v>46285.2534722222</v>
      </c>
      <c r="T285" s="60"/>
      <c r="U285" s="60"/>
      <c r="V285" s="60"/>
      <c r="W285" s="61"/>
      <c r="X285" s="60"/>
      <c r="Y285" s="60"/>
      <c r="Z285" s="60"/>
      <c r="AA285" s="60"/>
      <c r="AB285" s="60"/>
      <c r="AC285" s="60"/>
      <c r="AD285" s="66"/>
      <c r="AE285" s="60"/>
      <c r="AF285" s="61" t="str">
        <f aca="false">IF(AND(ISNUMBER(X285),ISNUMBER(Y285)),Y285-X285,"")</f>
        <v/>
      </c>
      <c r="AG285" s="62" t="str">
        <f aca="false">IF(ISNUMBER(AD285),AD285-(IF(AND(INDEX(TZ_DSTS,MATCH(P285,TZ_STN,0))&lt;&gt;"",(AD285-INDEX(TZ_STD,MATCH(P285,TZ_STN,0))/24)&gt;=INDEX(TZ_DSTS,MATCH(P285,TZ_STN,0)),(AD285-INDEX(TZ_STD,MATCH(P285,TZ_STN,0))/24)&lt;INDEX(TZ_DSTE,MATCH(P285,TZ_STN,0))),INDEX(TZ_DST,MATCH(P285,TZ_STN,0)),INDEX(TZ_STD,MATCH(P285,TZ_STN,0))))/24,"")</f>
        <v/>
      </c>
      <c r="AH285" s="65" t="str">
        <f aca="false">IFERROR(IF(N285="N/A – rule","N/A – RULE",IF(TRIM(U285)="N/A",IF(AT285=0,"INVALID – N/A not permitted for this check",IF(AND(TRIM(AB285)&lt;&gt;"",TRIM(AB285)&lt;&gt;"Closed"),"INVALID – corrective action still open",IF(AND(NOT(OR(LEN(AZ285)&lt;15,ISNUMBER(MATCH(AZ285,L_Placeholder,0)))),NOT(OR(LEN(AU285)&lt;2,ISNUMBER(MATCH(AU285,L_Placeholder,0)))),NOT(OR(LEN(AX285)&lt;2,ISNUMBER(MATCH(AX285,L_Placeholder,0)))),TRIM(AE285)&lt;&gt;TRIM(T285)),"N/A – JUSTIFIED","INVALID – N/A needs a real justification (15+ chars), PIC and a different verifier"))),IF(OR(TRIM(U285)="Pass",TRIM(U285)="Pass after CA"),IF(NOT(ISNUMBER(AD285)),"INVALID – completion time missing",IF(OR(LEN(AU285)&lt;2,ISNUMBER(MATCH(AU285,L_Placeholder,0))),"INVALID – PIC missing",IF(OR(LEN(AV285)&lt;2,ISNUMBER(MATCH(AV285,L_Placeholder,0))),"INVALID – result / assessment missing",IF(OR(OR(LEN(AW285)&lt;3,ISNUMBER(MATCH(AW285,L_Placeholder,0))),SUMPRODUCT(--ISNUMBER(SEARCH(L_EvidencePhrase,AW285)))&gt;0),"INVALID – evidence missing, placeholder or not yet on file",IF(OR(LEN(AX285)&lt;2,ISNUMBER(MATCH(AX285,L_Placeholder,0))),"INVALID – verifier missing",IF(AX285=AU285,"INVALID – verifier must be someone other than the PIC",IF(AND(TRIM(U285)="Pass",SUMPRODUCT(--ISNUMBER(SEARCH(L_ResultBad,AV285)))&gt;0),"INVALID – result describes a problem: use Fail, then Pass after CA",IF(AND(AQ285=1,OR(LEN(AY285)&lt;3,ISNUMBER(MATCH(AY285,L_Placeholder,0)))),"INVALID – batch ID missing or placeholder",IF(AND(AR285=1,OR(NOT(ISNUMBER(X285)),NOT(ISNUMBER(Y285)))),"INVALID – expected/actual qty missing",IF(AND(AR285=1,OR(X285&lt;=0,Y285&lt;0)),"INVALID – expected qty must be above 0 and actual not negative",IF(BB285&lt;&gt;"",BB285,IF(AND(AS285=1,Documents!$J$13&lt;&gt;"ON FILE"),"INVALID – GLD not on file (Documents sheet)",IF(AND(AS285=2,Documents!$O$13&lt;&gt;"ON FILE"),"INVALID – menu checklist not on file (Documents sheet)",IF(AND(AS285=3,NOT(ISNUMBER(Flights!$AX$13))),"INVALID – enter carrying flight KUL departure (Flights AX)",IF(AND(AS285=3,OR(Flights!$AZ$13&gt;Flights!$AA$13,Flights!$AX$13&lt;Flights!$AA$13-3)),"INVALID – carrying flight (Flights AX) cannot arrive before this leg's STD, or is over 3 days early",IF(AG285&gt;AsOfUTC,"INVALID – completion time is in the future",IF(AND(ISNUMBER(S285),AG285&lt;S285),IF(H285="Physical uplift","INVALID – before uplift window (cannot confirm loading)","INVALID – before valid window"),IF(AG285&gt;Flights!$AA$13,"INVALID – completed after departure (cannot establish readiness)",IF(AND(H285="Preparation",AG285&gt;IF(ISNUMBER(Flights!$BA$13),MIN(Flights!$BA$13,Flights!$AA$13),Flights!$AA$13)),"INVALID – completed after loading / departure (cannot establish readiness)",IF(AND(H285="Physical uplift",AG285&gt;Q285),"INVALID – recorded after the loading flight departed",IF(AG285&gt;Q285,"COMPLETE – LATE","COMPLETE"))))))))))))))))))))),IF(TRIM(U285)="Fail","FAIL – DISCREPANCY",IF(AND(TRIM(U285)&lt;&gt;"",TRIM(U285)&lt;&gt;"Not started",TRIM(U285)&lt;&gt;"In progress"),"INVALID – unrecognised status (use the list)",IF(AsOfUTC&gt;Q285,"OVERDUE",IF(N285="Clarification required","OPEN – CLARIFICATION","OPEN"))))))),"INVALID – error value in an input cell")</f>
        <v>N/A – RULE</v>
      </c>
      <c r="AI285" s="61" t="n">
        <f aca="false">IF(OR(AH285="N/A – RULE",AH285="N/A – JUSTIFIED"),0,1)</f>
        <v>0</v>
      </c>
      <c r="AJ285" s="61" t="n">
        <f aca="false">IF(LEFT(AH285,8)="COMPLETE",1,0)</f>
        <v>0</v>
      </c>
      <c r="AK285" s="61" t="n">
        <f aca="false">IF(AND(AI285=1,AJ285=0,AsOfUTC&gt;Q285),1,0)</f>
        <v>0</v>
      </c>
      <c r="AL285" s="61" t="n">
        <f aca="false">IFERROR(IF(AND(AI285=1,OR(TRIM(U285)="Fail",AND(TRIM(AB285)&lt;&gt;"",TRIM(AB285)&lt;&gt;"Closed"),AND(ISNUMBER(AF285),AF285&lt;&gt;0,TRIM(U285)&lt;&gt;"Pass after CA"))),1,0),1)</f>
        <v>0</v>
      </c>
      <c r="AM285" s="61" t="n">
        <f aca="false">IF(LEFT(AH285,7)="INVALID",1,0)</f>
        <v>0</v>
      </c>
      <c r="AN285" s="61" t="n">
        <f aca="false">IF(AND(N285="Clarification required",AI285=1,AJ285=0),1,0)</f>
        <v>0</v>
      </c>
      <c r="AO285" s="61" t="str">
        <f aca="false">IF(AK285=1,SUM(AK$5:AK285),"")</f>
        <v/>
      </c>
      <c r="AP285" s="61" t="str">
        <f aca="false">IF(AL285=1,SUM(AL$5:AL285),"")</f>
        <v/>
      </c>
      <c r="AQ285" s="61" t="n">
        <v>0</v>
      </c>
      <c r="AR285" s="61" t="n">
        <v>0</v>
      </c>
      <c r="AS285" s="61" t="n">
        <v>0</v>
      </c>
      <c r="AT285" s="61" t="n">
        <v>0</v>
      </c>
      <c r="AU285" s="61" t="str">
        <f aca="false">SUBSTITUTE(SUBSTITUTE(SUBSTITUTE(SUBSTITUTE(SUBSTITUTE(SUBSTITUTE(SUBSTITUTE(SUBSTITUTE(SUBSTITUTE(SUBSTITUTE(SUBSTITUTE(SUBSTITUTE(SUBSTITUTE(LOWER(T285&amp;""),CHAR(160),"")," ",""),".",""),"-",""),"/",""),"?",""),"_",""),",",""),"[",""),"]",""),"(",""),")",""),"*","")</f>
        <v/>
      </c>
      <c r="AV285" s="61" t="str">
        <f aca="false">SUBSTITUTE(SUBSTITUTE(SUBSTITUTE(SUBSTITUTE(SUBSTITUTE(SUBSTITUTE(SUBSTITUTE(SUBSTITUTE(SUBSTITUTE(SUBSTITUTE(SUBSTITUTE(SUBSTITUTE(SUBSTITUTE(LOWER(V285&amp;""),CHAR(160),"")," ",""),".",""),"-",""),"/",""),"?",""),"_",""),",",""),"[",""),"]",""),"(",""),")",""),"*","")</f>
        <v/>
      </c>
      <c r="AW285" s="61" t="str">
        <f aca="false">SUBSTITUTE(SUBSTITUTE(SUBSTITUTE(SUBSTITUTE(SUBSTITUTE(SUBSTITUTE(SUBSTITUTE(SUBSTITUTE(SUBSTITUTE(SUBSTITUTE(SUBSTITUTE(SUBSTITUTE(SUBSTITUTE(LOWER(Z285&amp;""),CHAR(160),"")," ",""),".",""),"-",""),"/",""),"?",""),"_",""),",",""),"[",""),"]",""),"(",""),")",""),"*","")</f>
        <v/>
      </c>
      <c r="AX285" s="61" t="str">
        <f aca="false">SUBSTITUTE(SUBSTITUTE(SUBSTITUTE(SUBSTITUTE(SUBSTITUTE(SUBSTITUTE(SUBSTITUTE(SUBSTITUTE(SUBSTITUTE(SUBSTITUTE(SUBSTITUTE(SUBSTITUTE(SUBSTITUTE(LOWER(AE285&amp;""),CHAR(160),"")," ",""),".",""),"-",""),"/",""),"?",""),"_",""),",",""),"[",""),"]",""),"(",""),")",""),"*","")</f>
        <v/>
      </c>
      <c r="AY285" s="61" t="str">
        <f aca="false">SUBSTITUTE(SUBSTITUTE(SUBSTITUTE(SUBSTITUTE(SUBSTITUTE(SUBSTITUTE(SUBSTITUTE(SUBSTITUTE(SUBSTITUTE(SUBSTITUTE(SUBSTITUTE(SUBSTITUTE(SUBSTITUTE(LOWER(W285&amp;""),CHAR(160),"")," ",""),".",""),"-",""),"/",""),"?",""),"_",""),",",""),"[",""),"]",""),"(",""),")",""),"*","")</f>
        <v/>
      </c>
      <c r="AZ285" s="61" t="str">
        <f aca="false">SUBSTITUTE(SUBSTITUTE(SUBSTITUTE(SUBSTITUTE(SUBSTITUTE(SUBSTITUTE(SUBSTITUTE(SUBSTITUTE(SUBSTITUTE(SUBSTITUTE(SUBSTITUTE(SUBSTITUTE(SUBSTITUTE(LOWER(AC285&amp;""),CHAR(160),"")," ",""),".",""),"-",""),"/",""),"?",""),"_",""),",",""),"[",""),"]",""),"(",""),")",""),"*","")</f>
        <v/>
      </c>
      <c r="BA285" s="61" t="str">
        <f aca="false">SUBSTITUTE(SUBSTITUTE(SUBSTITUTE(SUBSTITUTE(SUBSTITUTE(SUBSTITUTE(SUBSTITUTE(SUBSTITUTE(SUBSTITUTE(SUBSTITUTE(SUBSTITUTE(SUBSTITUTE(SUBSTITUTE(LOWER(AA285&amp;""),CHAR(160),"")," ",""),".",""),"-",""),"/",""),"?",""),"_",""),",",""),"[",""),"]",""),"(",""),")",""),"*","")</f>
        <v/>
      </c>
      <c r="BB285" s="61" t="str">
        <f aca="false">IF(AND(TRIM(U285)="Pass",ISNUMBER(AF285)),IF(AF285&lt;&gt;0,"INVALID – qty variance: use Fail or Pass after CA",""),"")&amp;IF(AND(TRIM(U285)="Pass after CA",ISNUMBER(AF285)),IF(AF285&lt;&gt;0,"INVALID – after the corrective action the actual qty must equal expected (update Actual)",""),"")&amp;IF(AND(TRIM(U285)="Pass",TRIM(AB285)&lt;&gt;"",TRIM(AB285)&lt;&gt;"Closed"),"INVALID – corrective action not closed: use Fail, then Pass after CA","")&amp;IF(AND(TRIM(AA285)&lt;&gt;"",TRIM(AB285)=""),"INVALID – CA status missing for the recorded corrective action","")&amp;IF(AND(TRIM(U285)="Pass after CA",OR(OR(LEN(BA285)&lt;5,ISNUMBER(MATCH(BA285,L_Placeholder,0))),TRIM(AB285)&lt;&gt;"Closed")),"INVALID – corrective action not recorded/closed","")</f>
        <v/>
      </c>
    </row>
    <row r="286" customFormat="false" ht="39.75" hidden="false" customHeight="true" outlineLevel="0" collapsed="false">
      <c r="A286" s="57" t="s">
        <v>838</v>
      </c>
      <c r="B286" s="57" t="s">
        <v>243</v>
      </c>
      <c r="C286" s="57" t="str">
        <f aca="false">Flights!$F$13</f>
        <v>MH0753</v>
      </c>
      <c r="D286" s="58" t="n">
        <f aca="false">Flights!$D$13</f>
        <v>46306</v>
      </c>
      <c r="E286" s="57" t="str">
        <f aca="false">Flights!$G$13&amp;"-"&amp;Flights!$H$13</f>
        <v>HAN-KUL</v>
      </c>
      <c r="F286" s="57" t="str">
        <f aca="false">Flights!$K$13</f>
        <v>BC</v>
      </c>
      <c r="G286" s="57" t="s">
        <v>79</v>
      </c>
      <c r="H286" s="57" t="s">
        <v>356</v>
      </c>
      <c r="I286" s="57" t="s">
        <v>372</v>
      </c>
      <c r="J286" s="57" t="s">
        <v>373</v>
      </c>
      <c r="K286" s="67" t="s">
        <v>374</v>
      </c>
      <c r="L286" s="67" t="s">
        <v>360</v>
      </c>
      <c r="M286" s="67"/>
      <c r="N286" s="67" t="s">
        <v>361</v>
      </c>
      <c r="O286" s="67"/>
      <c r="P286" s="57" t="s">
        <v>237</v>
      </c>
      <c r="Q286" s="59" t="n">
        <f aca="false">ROUND((Flights!$AC$13)*1440,0)/1440</f>
        <v>46299.2534722222</v>
      </c>
      <c r="R286" s="59" t="n">
        <f aca="false">Q286+(IF(AND(INDEX(TZ_DSTS,MATCH(P286,TZ_STN,0))&lt;&gt;"",Q286&gt;=INDEX(TZ_DSTS,MATCH(P286,TZ_STN,0)),Q286&lt;INDEX(TZ_DSTE,MATCH(P286,TZ_STN,0))),INDEX(TZ_DST,MATCH(P286,TZ_STN,0)),INDEX(TZ_STD,MATCH(P286,TZ_STN,0))))/24</f>
        <v>46299.5451388889</v>
      </c>
      <c r="S286" s="59" t="n">
        <f aca="false">Q286-T7EarlyD*24/24</f>
        <v>46285.2534722222</v>
      </c>
      <c r="T286" s="60"/>
      <c r="U286" s="60"/>
      <c r="V286" s="60"/>
      <c r="W286" s="61"/>
      <c r="X286" s="60"/>
      <c r="Y286" s="60"/>
      <c r="Z286" s="60"/>
      <c r="AA286" s="60"/>
      <c r="AB286" s="60"/>
      <c r="AC286" s="60"/>
      <c r="AD286" s="66"/>
      <c r="AE286" s="60"/>
      <c r="AF286" s="61" t="str">
        <f aca="false">IF(AND(ISNUMBER(X286),ISNUMBER(Y286)),Y286-X286,"")</f>
        <v/>
      </c>
      <c r="AG286" s="62" t="str">
        <f aca="false">IF(ISNUMBER(AD286),AD286-(IF(AND(INDEX(TZ_DSTS,MATCH(P286,TZ_STN,0))&lt;&gt;"",(AD286-INDEX(TZ_STD,MATCH(P286,TZ_STN,0))/24)&gt;=INDEX(TZ_DSTS,MATCH(P286,TZ_STN,0)),(AD286-INDEX(TZ_STD,MATCH(P286,TZ_STN,0))/24)&lt;INDEX(TZ_DSTE,MATCH(P286,TZ_STN,0))),INDEX(TZ_DST,MATCH(P286,TZ_STN,0)),INDEX(TZ_STD,MATCH(P286,TZ_STN,0))))/24,"")</f>
        <v/>
      </c>
      <c r="AH286" s="65" t="str">
        <f aca="false">IFERROR(IF(N286="N/A – rule","N/A – RULE",IF(TRIM(U286)="N/A",IF(AT286=0,"INVALID – N/A not permitted for this check",IF(AND(TRIM(AB286)&lt;&gt;"",TRIM(AB286)&lt;&gt;"Closed"),"INVALID – corrective action still open",IF(AND(NOT(OR(LEN(AZ286)&lt;15,ISNUMBER(MATCH(AZ286,L_Placeholder,0)))),NOT(OR(LEN(AU286)&lt;2,ISNUMBER(MATCH(AU286,L_Placeholder,0)))),NOT(OR(LEN(AX286)&lt;2,ISNUMBER(MATCH(AX286,L_Placeholder,0)))),TRIM(AE286)&lt;&gt;TRIM(T286)),"N/A – JUSTIFIED","INVALID – N/A needs a real justification (15+ chars), PIC and a different verifier"))),IF(OR(TRIM(U286)="Pass",TRIM(U286)="Pass after CA"),IF(NOT(ISNUMBER(AD286)),"INVALID – completion time missing",IF(OR(LEN(AU286)&lt;2,ISNUMBER(MATCH(AU286,L_Placeholder,0))),"INVALID – PIC missing",IF(OR(LEN(AV286)&lt;2,ISNUMBER(MATCH(AV286,L_Placeholder,0))),"INVALID – result / assessment missing",IF(OR(OR(LEN(AW286)&lt;3,ISNUMBER(MATCH(AW286,L_Placeholder,0))),SUMPRODUCT(--ISNUMBER(SEARCH(L_EvidencePhrase,AW286)))&gt;0),"INVALID – evidence missing, placeholder or not yet on file",IF(OR(LEN(AX286)&lt;2,ISNUMBER(MATCH(AX286,L_Placeholder,0))),"INVALID – verifier missing",IF(AX286=AU286,"INVALID – verifier must be someone other than the PIC",IF(AND(TRIM(U286)="Pass",SUMPRODUCT(--ISNUMBER(SEARCH(L_ResultBad,AV286)))&gt;0),"INVALID – result describes a problem: use Fail, then Pass after CA",IF(AND(AQ286=1,OR(LEN(AY286)&lt;3,ISNUMBER(MATCH(AY286,L_Placeholder,0)))),"INVALID – batch ID missing or placeholder",IF(AND(AR286=1,OR(NOT(ISNUMBER(X286)),NOT(ISNUMBER(Y286)))),"INVALID – expected/actual qty missing",IF(AND(AR286=1,OR(X286&lt;=0,Y286&lt;0)),"INVALID – expected qty must be above 0 and actual not negative",IF(BB286&lt;&gt;"",BB286,IF(AND(AS286=1,Documents!$J$13&lt;&gt;"ON FILE"),"INVALID – GLD not on file (Documents sheet)",IF(AND(AS286=2,Documents!$O$13&lt;&gt;"ON FILE"),"INVALID – menu checklist not on file (Documents sheet)",IF(AND(AS286=3,NOT(ISNUMBER(Flights!$AX$13))),"INVALID – enter carrying flight KUL departure (Flights AX)",IF(AND(AS286=3,OR(Flights!$AZ$13&gt;Flights!$AA$13,Flights!$AX$13&lt;Flights!$AA$13-3)),"INVALID – carrying flight (Flights AX) cannot arrive before this leg's STD, or is over 3 days early",IF(AG286&gt;AsOfUTC,"INVALID – completion time is in the future",IF(AND(ISNUMBER(S286),AG286&lt;S286),IF(H286="Physical uplift","INVALID – before uplift window (cannot confirm loading)","INVALID – before valid window"),IF(AG286&gt;Flights!$AA$13,"INVALID – completed after departure (cannot establish readiness)",IF(AND(H286="Preparation",AG286&gt;IF(ISNUMBER(Flights!$BA$13),MIN(Flights!$BA$13,Flights!$AA$13),Flights!$AA$13)),"INVALID – completed after loading / departure (cannot establish readiness)",IF(AND(H286="Physical uplift",AG286&gt;Q286),"INVALID – recorded after the loading flight departed",IF(AG286&gt;Q286,"COMPLETE – LATE","COMPLETE"))))))))))))))))))))),IF(TRIM(U286)="Fail","FAIL – DISCREPANCY",IF(AND(TRIM(U286)&lt;&gt;"",TRIM(U286)&lt;&gt;"Not started",TRIM(U286)&lt;&gt;"In progress"),"INVALID – unrecognised status (use the list)",IF(AsOfUTC&gt;Q286,"OVERDUE",IF(N286="Clarification required","OPEN – CLARIFICATION","OPEN"))))))),"INVALID – error value in an input cell")</f>
        <v>OPEN</v>
      </c>
      <c r="AI286" s="61" t="n">
        <f aca="false">IF(OR(AH286="N/A – RULE",AH286="N/A – JUSTIFIED"),0,1)</f>
        <v>1</v>
      </c>
      <c r="AJ286" s="61" t="n">
        <f aca="false">IF(LEFT(AH286,8)="COMPLETE",1,0)</f>
        <v>0</v>
      </c>
      <c r="AK286" s="61" t="n">
        <f aca="false">IF(AND(AI286=1,AJ286=0,AsOfUTC&gt;Q286),1,0)</f>
        <v>0</v>
      </c>
      <c r="AL286" s="61" t="n">
        <f aca="false">IFERROR(IF(AND(AI286=1,OR(TRIM(U286)="Fail",AND(TRIM(AB286)&lt;&gt;"",TRIM(AB286)&lt;&gt;"Closed"),AND(ISNUMBER(AF286),AF286&lt;&gt;0,TRIM(U286)&lt;&gt;"Pass after CA"))),1,0),1)</f>
        <v>0</v>
      </c>
      <c r="AM286" s="61" t="n">
        <f aca="false">IF(LEFT(AH286,7)="INVALID",1,0)</f>
        <v>0</v>
      </c>
      <c r="AN286" s="61" t="n">
        <f aca="false">IF(AND(N286="Clarification required",AI286=1,AJ286=0),1,0)</f>
        <v>0</v>
      </c>
      <c r="AO286" s="61" t="str">
        <f aca="false">IF(AK286=1,SUM(AK$5:AK286),"")</f>
        <v/>
      </c>
      <c r="AP286" s="61" t="str">
        <f aca="false">IF(AL286=1,SUM(AL$5:AL286),"")</f>
        <v/>
      </c>
      <c r="AQ286" s="61" t="n">
        <v>0</v>
      </c>
      <c r="AR286" s="61" t="n">
        <v>0</v>
      </c>
      <c r="AS286" s="61" t="n">
        <v>0</v>
      </c>
      <c r="AT286" s="61" t="n">
        <v>0</v>
      </c>
      <c r="AU286" s="61" t="str">
        <f aca="false">SUBSTITUTE(SUBSTITUTE(SUBSTITUTE(SUBSTITUTE(SUBSTITUTE(SUBSTITUTE(SUBSTITUTE(SUBSTITUTE(SUBSTITUTE(SUBSTITUTE(SUBSTITUTE(SUBSTITUTE(SUBSTITUTE(LOWER(T286&amp;""),CHAR(160),"")," ",""),".",""),"-",""),"/",""),"?",""),"_",""),",",""),"[",""),"]",""),"(",""),")",""),"*","")</f>
        <v/>
      </c>
      <c r="AV286" s="61" t="str">
        <f aca="false">SUBSTITUTE(SUBSTITUTE(SUBSTITUTE(SUBSTITUTE(SUBSTITUTE(SUBSTITUTE(SUBSTITUTE(SUBSTITUTE(SUBSTITUTE(SUBSTITUTE(SUBSTITUTE(SUBSTITUTE(SUBSTITUTE(LOWER(V286&amp;""),CHAR(160),"")," ",""),".",""),"-",""),"/",""),"?",""),"_",""),",",""),"[",""),"]",""),"(",""),")",""),"*","")</f>
        <v/>
      </c>
      <c r="AW286" s="61" t="str">
        <f aca="false">SUBSTITUTE(SUBSTITUTE(SUBSTITUTE(SUBSTITUTE(SUBSTITUTE(SUBSTITUTE(SUBSTITUTE(SUBSTITUTE(SUBSTITUTE(SUBSTITUTE(SUBSTITUTE(SUBSTITUTE(SUBSTITUTE(LOWER(Z286&amp;""),CHAR(160),"")," ",""),".",""),"-",""),"/",""),"?",""),"_",""),",",""),"[",""),"]",""),"(",""),")",""),"*","")</f>
        <v/>
      </c>
      <c r="AX286" s="61" t="str">
        <f aca="false">SUBSTITUTE(SUBSTITUTE(SUBSTITUTE(SUBSTITUTE(SUBSTITUTE(SUBSTITUTE(SUBSTITUTE(SUBSTITUTE(SUBSTITUTE(SUBSTITUTE(SUBSTITUTE(SUBSTITUTE(SUBSTITUTE(LOWER(AE286&amp;""),CHAR(160),"")," ",""),".",""),"-",""),"/",""),"?",""),"_",""),",",""),"[",""),"]",""),"(",""),")",""),"*","")</f>
        <v/>
      </c>
      <c r="AY286" s="61" t="str">
        <f aca="false">SUBSTITUTE(SUBSTITUTE(SUBSTITUTE(SUBSTITUTE(SUBSTITUTE(SUBSTITUTE(SUBSTITUTE(SUBSTITUTE(SUBSTITUTE(SUBSTITUTE(SUBSTITUTE(SUBSTITUTE(SUBSTITUTE(LOWER(W286&amp;""),CHAR(160),"")," ",""),".",""),"-",""),"/",""),"?",""),"_",""),",",""),"[",""),"]",""),"(",""),")",""),"*","")</f>
        <v/>
      </c>
      <c r="AZ286" s="61" t="str">
        <f aca="false">SUBSTITUTE(SUBSTITUTE(SUBSTITUTE(SUBSTITUTE(SUBSTITUTE(SUBSTITUTE(SUBSTITUTE(SUBSTITUTE(SUBSTITUTE(SUBSTITUTE(SUBSTITUTE(SUBSTITUTE(SUBSTITUTE(LOWER(AC286&amp;""),CHAR(160),"")," ",""),".",""),"-",""),"/",""),"?",""),"_",""),",",""),"[",""),"]",""),"(",""),")",""),"*","")</f>
        <v/>
      </c>
      <c r="BA286" s="61" t="str">
        <f aca="false">SUBSTITUTE(SUBSTITUTE(SUBSTITUTE(SUBSTITUTE(SUBSTITUTE(SUBSTITUTE(SUBSTITUTE(SUBSTITUTE(SUBSTITUTE(SUBSTITUTE(SUBSTITUTE(SUBSTITUTE(SUBSTITUTE(LOWER(AA286&amp;""),CHAR(160),"")," ",""),".",""),"-",""),"/",""),"?",""),"_",""),",",""),"[",""),"]",""),"(",""),")",""),"*","")</f>
        <v/>
      </c>
      <c r="BB286" s="61" t="str">
        <f aca="false">IF(AND(TRIM(U286)="Pass",ISNUMBER(AF286)),IF(AF286&lt;&gt;0,"INVALID – qty variance: use Fail or Pass after CA",""),"")&amp;IF(AND(TRIM(U286)="Pass after CA",ISNUMBER(AF286)),IF(AF286&lt;&gt;0,"INVALID – after the corrective action the actual qty must equal expected (update Actual)",""),"")&amp;IF(AND(TRIM(U286)="Pass",TRIM(AB286)&lt;&gt;"",TRIM(AB286)&lt;&gt;"Closed"),"INVALID – corrective action not closed: use Fail, then Pass after CA","")&amp;IF(AND(TRIM(AA286)&lt;&gt;"",TRIM(AB286)=""),"INVALID – CA status missing for the recorded corrective action","")&amp;IF(AND(TRIM(U286)="Pass after CA",OR(OR(LEN(BA286)&lt;5,ISNUMBER(MATCH(BA286,L_Placeholder,0))),TRIM(AB286)&lt;&gt;"Closed")),"INVALID – corrective action not recorded/closed","")</f>
        <v/>
      </c>
    </row>
    <row r="287" customFormat="false" ht="39.75" hidden="false" customHeight="true" outlineLevel="0" collapsed="false">
      <c r="A287" s="57" t="s">
        <v>839</v>
      </c>
      <c r="B287" s="57" t="s">
        <v>243</v>
      </c>
      <c r="C287" s="57" t="str">
        <f aca="false">Flights!$F$13</f>
        <v>MH0753</v>
      </c>
      <c r="D287" s="58" t="n">
        <f aca="false">Flights!$D$13</f>
        <v>46306</v>
      </c>
      <c r="E287" s="57" t="str">
        <f aca="false">Flights!$G$13&amp;"-"&amp;Flights!$H$13</f>
        <v>HAN-KUL</v>
      </c>
      <c r="F287" s="57" t="str">
        <f aca="false">Flights!$K$13</f>
        <v>BC</v>
      </c>
      <c r="G287" s="57" t="s">
        <v>79</v>
      </c>
      <c r="H287" s="57" t="s">
        <v>356</v>
      </c>
      <c r="I287" s="57" t="s">
        <v>376</v>
      </c>
      <c r="J287" s="57" t="s">
        <v>377</v>
      </c>
      <c r="K287" s="67" t="s">
        <v>378</v>
      </c>
      <c r="L287" s="67" t="s">
        <v>360</v>
      </c>
      <c r="M287" s="67"/>
      <c r="N287" s="67" t="s">
        <v>361</v>
      </c>
      <c r="O287" s="67"/>
      <c r="P287" s="57" t="s">
        <v>237</v>
      </c>
      <c r="Q287" s="59" t="n">
        <f aca="false">ROUND((Flights!$AC$13)*1440,0)/1440</f>
        <v>46299.2534722222</v>
      </c>
      <c r="R287" s="59" t="n">
        <f aca="false">Q287+(IF(AND(INDEX(TZ_DSTS,MATCH(P287,TZ_STN,0))&lt;&gt;"",Q287&gt;=INDEX(TZ_DSTS,MATCH(P287,TZ_STN,0)),Q287&lt;INDEX(TZ_DSTE,MATCH(P287,TZ_STN,0))),INDEX(TZ_DST,MATCH(P287,TZ_STN,0)),INDEX(TZ_STD,MATCH(P287,TZ_STN,0))))/24</f>
        <v>46299.5451388889</v>
      </c>
      <c r="S287" s="59" t="n">
        <f aca="false">Q287-T7EarlyD*24/24</f>
        <v>46285.2534722222</v>
      </c>
      <c r="T287" s="60"/>
      <c r="U287" s="60"/>
      <c r="V287" s="60"/>
      <c r="W287" s="61"/>
      <c r="X287" s="60"/>
      <c r="Y287" s="60"/>
      <c r="Z287" s="60"/>
      <c r="AA287" s="60"/>
      <c r="AB287" s="60"/>
      <c r="AC287" s="60"/>
      <c r="AD287" s="66"/>
      <c r="AE287" s="60"/>
      <c r="AF287" s="61" t="str">
        <f aca="false">IF(AND(ISNUMBER(X287),ISNUMBER(Y287)),Y287-X287,"")</f>
        <v/>
      </c>
      <c r="AG287" s="62" t="str">
        <f aca="false">IF(ISNUMBER(AD287),AD287-(IF(AND(INDEX(TZ_DSTS,MATCH(P287,TZ_STN,0))&lt;&gt;"",(AD287-INDEX(TZ_STD,MATCH(P287,TZ_STN,0))/24)&gt;=INDEX(TZ_DSTS,MATCH(P287,TZ_STN,0)),(AD287-INDEX(TZ_STD,MATCH(P287,TZ_STN,0))/24)&lt;INDEX(TZ_DSTE,MATCH(P287,TZ_STN,0))),INDEX(TZ_DST,MATCH(P287,TZ_STN,0)),INDEX(TZ_STD,MATCH(P287,TZ_STN,0))))/24,"")</f>
        <v/>
      </c>
      <c r="AH287" s="65" t="str">
        <f aca="false">IFERROR(IF(N287="N/A – rule","N/A – RULE",IF(TRIM(U287)="N/A",IF(AT287=0,"INVALID – N/A not permitted for this check",IF(AND(TRIM(AB287)&lt;&gt;"",TRIM(AB287)&lt;&gt;"Closed"),"INVALID – corrective action still open",IF(AND(NOT(OR(LEN(AZ287)&lt;15,ISNUMBER(MATCH(AZ287,L_Placeholder,0)))),NOT(OR(LEN(AU287)&lt;2,ISNUMBER(MATCH(AU287,L_Placeholder,0)))),NOT(OR(LEN(AX287)&lt;2,ISNUMBER(MATCH(AX287,L_Placeholder,0)))),TRIM(AE287)&lt;&gt;TRIM(T287)),"N/A – JUSTIFIED","INVALID – N/A needs a real justification (15+ chars), PIC and a different verifier"))),IF(OR(TRIM(U287)="Pass",TRIM(U287)="Pass after CA"),IF(NOT(ISNUMBER(AD287)),"INVALID – completion time missing",IF(OR(LEN(AU287)&lt;2,ISNUMBER(MATCH(AU287,L_Placeholder,0))),"INVALID – PIC missing",IF(OR(LEN(AV287)&lt;2,ISNUMBER(MATCH(AV287,L_Placeholder,0))),"INVALID – result / assessment missing",IF(OR(OR(LEN(AW287)&lt;3,ISNUMBER(MATCH(AW287,L_Placeholder,0))),SUMPRODUCT(--ISNUMBER(SEARCH(L_EvidencePhrase,AW287)))&gt;0),"INVALID – evidence missing, placeholder or not yet on file",IF(OR(LEN(AX287)&lt;2,ISNUMBER(MATCH(AX287,L_Placeholder,0))),"INVALID – verifier missing",IF(AX287=AU287,"INVALID – verifier must be someone other than the PIC",IF(AND(TRIM(U287)="Pass",SUMPRODUCT(--ISNUMBER(SEARCH(L_ResultBad,AV287)))&gt;0),"INVALID – result describes a problem: use Fail, then Pass after CA",IF(AND(AQ287=1,OR(LEN(AY287)&lt;3,ISNUMBER(MATCH(AY287,L_Placeholder,0)))),"INVALID – batch ID missing or placeholder",IF(AND(AR287=1,OR(NOT(ISNUMBER(X287)),NOT(ISNUMBER(Y287)))),"INVALID – expected/actual qty missing",IF(AND(AR287=1,OR(X287&lt;=0,Y287&lt;0)),"INVALID – expected qty must be above 0 and actual not negative",IF(BB287&lt;&gt;"",BB287,IF(AND(AS287=1,Documents!$J$13&lt;&gt;"ON FILE"),"INVALID – GLD not on file (Documents sheet)",IF(AND(AS287=2,Documents!$O$13&lt;&gt;"ON FILE"),"INVALID – menu checklist not on file (Documents sheet)",IF(AND(AS287=3,NOT(ISNUMBER(Flights!$AX$13))),"INVALID – enter carrying flight KUL departure (Flights AX)",IF(AND(AS287=3,OR(Flights!$AZ$13&gt;Flights!$AA$13,Flights!$AX$13&lt;Flights!$AA$13-3)),"INVALID – carrying flight (Flights AX) cannot arrive before this leg's STD, or is over 3 days early",IF(AG287&gt;AsOfUTC,"INVALID – completion time is in the future",IF(AND(ISNUMBER(S287),AG287&lt;S287),IF(H287="Physical uplift","INVALID – before uplift window (cannot confirm loading)","INVALID – before valid window"),IF(AG287&gt;Flights!$AA$13,"INVALID – completed after departure (cannot establish readiness)",IF(AND(H287="Preparation",AG287&gt;IF(ISNUMBER(Flights!$BA$13),MIN(Flights!$BA$13,Flights!$AA$13),Flights!$AA$13)),"INVALID – completed after loading / departure (cannot establish readiness)",IF(AND(H287="Physical uplift",AG287&gt;Q287),"INVALID – recorded after the loading flight departed",IF(AG287&gt;Q287,"COMPLETE – LATE","COMPLETE"))))))))))))))))))))),IF(TRIM(U287)="Fail","FAIL – DISCREPANCY",IF(AND(TRIM(U287)&lt;&gt;"",TRIM(U287)&lt;&gt;"Not started",TRIM(U287)&lt;&gt;"In progress"),"INVALID – unrecognised status (use the list)",IF(AsOfUTC&gt;Q287,"OVERDUE",IF(N287="Clarification required","OPEN – CLARIFICATION","OPEN"))))))),"INVALID – error value in an input cell")</f>
        <v>OPEN</v>
      </c>
      <c r="AI287" s="61" t="n">
        <f aca="false">IF(OR(AH287="N/A – RULE",AH287="N/A – JUSTIFIED"),0,1)</f>
        <v>1</v>
      </c>
      <c r="AJ287" s="61" t="n">
        <f aca="false">IF(LEFT(AH287,8)="COMPLETE",1,0)</f>
        <v>0</v>
      </c>
      <c r="AK287" s="61" t="n">
        <f aca="false">IF(AND(AI287=1,AJ287=0,AsOfUTC&gt;Q287),1,0)</f>
        <v>0</v>
      </c>
      <c r="AL287" s="61" t="n">
        <f aca="false">IFERROR(IF(AND(AI287=1,OR(TRIM(U287)="Fail",AND(TRIM(AB287)&lt;&gt;"",TRIM(AB287)&lt;&gt;"Closed"),AND(ISNUMBER(AF287),AF287&lt;&gt;0,TRIM(U287)&lt;&gt;"Pass after CA"))),1,0),1)</f>
        <v>0</v>
      </c>
      <c r="AM287" s="61" t="n">
        <f aca="false">IF(LEFT(AH287,7)="INVALID",1,0)</f>
        <v>0</v>
      </c>
      <c r="AN287" s="61" t="n">
        <f aca="false">IF(AND(N287="Clarification required",AI287=1,AJ287=0),1,0)</f>
        <v>0</v>
      </c>
      <c r="AO287" s="61" t="str">
        <f aca="false">IF(AK287=1,SUM(AK$5:AK287),"")</f>
        <v/>
      </c>
      <c r="AP287" s="61" t="str">
        <f aca="false">IF(AL287=1,SUM(AL$5:AL287),"")</f>
        <v/>
      </c>
      <c r="AQ287" s="61" t="n">
        <v>0</v>
      </c>
      <c r="AR287" s="61" t="n">
        <v>0</v>
      </c>
      <c r="AS287" s="61" t="n">
        <v>0</v>
      </c>
      <c r="AT287" s="61" t="n">
        <v>0</v>
      </c>
      <c r="AU287" s="61" t="str">
        <f aca="false">SUBSTITUTE(SUBSTITUTE(SUBSTITUTE(SUBSTITUTE(SUBSTITUTE(SUBSTITUTE(SUBSTITUTE(SUBSTITUTE(SUBSTITUTE(SUBSTITUTE(SUBSTITUTE(SUBSTITUTE(SUBSTITUTE(LOWER(T287&amp;""),CHAR(160),"")," ",""),".",""),"-",""),"/",""),"?",""),"_",""),",",""),"[",""),"]",""),"(",""),")",""),"*","")</f>
        <v/>
      </c>
      <c r="AV287" s="61" t="str">
        <f aca="false">SUBSTITUTE(SUBSTITUTE(SUBSTITUTE(SUBSTITUTE(SUBSTITUTE(SUBSTITUTE(SUBSTITUTE(SUBSTITUTE(SUBSTITUTE(SUBSTITUTE(SUBSTITUTE(SUBSTITUTE(SUBSTITUTE(LOWER(V287&amp;""),CHAR(160),"")," ",""),".",""),"-",""),"/",""),"?",""),"_",""),",",""),"[",""),"]",""),"(",""),")",""),"*","")</f>
        <v/>
      </c>
      <c r="AW287" s="61" t="str">
        <f aca="false">SUBSTITUTE(SUBSTITUTE(SUBSTITUTE(SUBSTITUTE(SUBSTITUTE(SUBSTITUTE(SUBSTITUTE(SUBSTITUTE(SUBSTITUTE(SUBSTITUTE(SUBSTITUTE(SUBSTITUTE(SUBSTITUTE(LOWER(Z287&amp;""),CHAR(160),"")," ",""),".",""),"-",""),"/",""),"?",""),"_",""),",",""),"[",""),"]",""),"(",""),")",""),"*","")</f>
        <v/>
      </c>
      <c r="AX287" s="61" t="str">
        <f aca="false">SUBSTITUTE(SUBSTITUTE(SUBSTITUTE(SUBSTITUTE(SUBSTITUTE(SUBSTITUTE(SUBSTITUTE(SUBSTITUTE(SUBSTITUTE(SUBSTITUTE(SUBSTITUTE(SUBSTITUTE(SUBSTITUTE(LOWER(AE287&amp;""),CHAR(160),"")," ",""),".",""),"-",""),"/",""),"?",""),"_",""),",",""),"[",""),"]",""),"(",""),")",""),"*","")</f>
        <v/>
      </c>
      <c r="AY287" s="61" t="str">
        <f aca="false">SUBSTITUTE(SUBSTITUTE(SUBSTITUTE(SUBSTITUTE(SUBSTITUTE(SUBSTITUTE(SUBSTITUTE(SUBSTITUTE(SUBSTITUTE(SUBSTITUTE(SUBSTITUTE(SUBSTITUTE(SUBSTITUTE(LOWER(W287&amp;""),CHAR(160),"")," ",""),".",""),"-",""),"/",""),"?",""),"_",""),",",""),"[",""),"]",""),"(",""),")",""),"*","")</f>
        <v/>
      </c>
      <c r="AZ287" s="61" t="str">
        <f aca="false">SUBSTITUTE(SUBSTITUTE(SUBSTITUTE(SUBSTITUTE(SUBSTITUTE(SUBSTITUTE(SUBSTITUTE(SUBSTITUTE(SUBSTITUTE(SUBSTITUTE(SUBSTITUTE(SUBSTITUTE(SUBSTITUTE(LOWER(AC287&amp;""),CHAR(160),"")," ",""),".",""),"-",""),"/",""),"?",""),"_",""),",",""),"[",""),"]",""),"(",""),")",""),"*","")</f>
        <v/>
      </c>
      <c r="BA287" s="61" t="str">
        <f aca="false">SUBSTITUTE(SUBSTITUTE(SUBSTITUTE(SUBSTITUTE(SUBSTITUTE(SUBSTITUTE(SUBSTITUTE(SUBSTITUTE(SUBSTITUTE(SUBSTITUTE(SUBSTITUTE(SUBSTITUTE(SUBSTITUTE(LOWER(AA287&amp;""),CHAR(160),"")," ",""),".",""),"-",""),"/",""),"?",""),"_",""),",",""),"[",""),"]",""),"(",""),")",""),"*","")</f>
        <v/>
      </c>
      <c r="BB287" s="61" t="str">
        <f aca="false">IF(AND(TRIM(U287)="Pass",ISNUMBER(AF287)),IF(AF287&lt;&gt;0,"INVALID – qty variance: use Fail or Pass after CA",""),"")&amp;IF(AND(TRIM(U287)="Pass after CA",ISNUMBER(AF287)),IF(AF287&lt;&gt;0,"INVALID – after the corrective action the actual qty must equal expected (update Actual)",""),"")&amp;IF(AND(TRIM(U287)="Pass",TRIM(AB287)&lt;&gt;"",TRIM(AB287)&lt;&gt;"Closed"),"INVALID – corrective action not closed: use Fail, then Pass after CA","")&amp;IF(AND(TRIM(AA287)&lt;&gt;"",TRIM(AB287)=""),"INVALID – CA status missing for the recorded corrective action","")&amp;IF(AND(TRIM(U287)="Pass after CA",OR(OR(LEN(BA287)&lt;5,ISNUMBER(MATCH(BA287,L_Placeholder,0))),TRIM(AB287)&lt;&gt;"Closed")),"INVALID – corrective action not recorded/closed","")</f>
        <v/>
      </c>
    </row>
    <row r="288" customFormat="false" ht="39.75" hidden="false" customHeight="true" outlineLevel="0" collapsed="false">
      <c r="A288" s="57" t="s">
        <v>840</v>
      </c>
      <c r="B288" s="57" t="s">
        <v>243</v>
      </c>
      <c r="C288" s="57" t="str">
        <f aca="false">Flights!$F$13</f>
        <v>MH0753</v>
      </c>
      <c r="D288" s="58" t="n">
        <f aca="false">Flights!$D$13</f>
        <v>46306</v>
      </c>
      <c r="E288" s="57" t="str">
        <f aca="false">Flights!$G$13&amp;"-"&amp;Flights!$H$13</f>
        <v>HAN-KUL</v>
      </c>
      <c r="F288" s="57" t="str">
        <f aca="false">Flights!$K$13</f>
        <v>BC</v>
      </c>
      <c r="G288" s="57" t="s">
        <v>79</v>
      </c>
      <c r="H288" s="57" t="s">
        <v>356</v>
      </c>
      <c r="I288" s="57" t="s">
        <v>376</v>
      </c>
      <c r="J288" s="57" t="s">
        <v>380</v>
      </c>
      <c r="K288" s="67" t="s">
        <v>381</v>
      </c>
      <c r="L288" s="67" t="s">
        <v>360</v>
      </c>
      <c r="M288" s="67"/>
      <c r="N288" s="67" t="s">
        <v>361</v>
      </c>
      <c r="O288" s="67"/>
      <c r="P288" s="57" t="s">
        <v>237</v>
      </c>
      <c r="Q288" s="59" t="n">
        <f aca="false">ROUND((Flights!$AC$13)*1440,0)/1440</f>
        <v>46299.2534722222</v>
      </c>
      <c r="R288" s="59" t="n">
        <f aca="false">Q288+(IF(AND(INDEX(TZ_DSTS,MATCH(P288,TZ_STN,0))&lt;&gt;"",Q288&gt;=INDEX(TZ_DSTS,MATCH(P288,TZ_STN,0)),Q288&lt;INDEX(TZ_DSTE,MATCH(P288,TZ_STN,0))),INDEX(TZ_DST,MATCH(P288,TZ_STN,0)),INDEX(TZ_STD,MATCH(P288,TZ_STN,0))))/24</f>
        <v>46299.5451388889</v>
      </c>
      <c r="S288" s="59" t="n">
        <f aca="false">Q288-T7EarlyD*24/24</f>
        <v>46285.2534722222</v>
      </c>
      <c r="T288" s="60"/>
      <c r="U288" s="60"/>
      <c r="V288" s="60"/>
      <c r="W288" s="61"/>
      <c r="X288" s="60"/>
      <c r="Y288" s="60"/>
      <c r="Z288" s="60"/>
      <c r="AA288" s="60"/>
      <c r="AB288" s="60"/>
      <c r="AC288" s="60"/>
      <c r="AD288" s="66"/>
      <c r="AE288" s="60"/>
      <c r="AF288" s="61" t="str">
        <f aca="false">IF(AND(ISNUMBER(X288),ISNUMBER(Y288)),Y288-X288,"")</f>
        <v/>
      </c>
      <c r="AG288" s="62" t="str">
        <f aca="false">IF(ISNUMBER(AD288),AD288-(IF(AND(INDEX(TZ_DSTS,MATCH(P288,TZ_STN,0))&lt;&gt;"",(AD288-INDEX(TZ_STD,MATCH(P288,TZ_STN,0))/24)&gt;=INDEX(TZ_DSTS,MATCH(P288,TZ_STN,0)),(AD288-INDEX(TZ_STD,MATCH(P288,TZ_STN,0))/24)&lt;INDEX(TZ_DSTE,MATCH(P288,TZ_STN,0))),INDEX(TZ_DST,MATCH(P288,TZ_STN,0)),INDEX(TZ_STD,MATCH(P288,TZ_STN,0))))/24,"")</f>
        <v/>
      </c>
      <c r="AH288" s="65" t="str">
        <f aca="false">IFERROR(IF(N288="N/A – rule","N/A – RULE",IF(TRIM(U288)="N/A",IF(AT288=0,"INVALID – N/A not permitted for this check",IF(AND(TRIM(AB288)&lt;&gt;"",TRIM(AB288)&lt;&gt;"Closed"),"INVALID – corrective action still open",IF(AND(NOT(OR(LEN(AZ288)&lt;15,ISNUMBER(MATCH(AZ288,L_Placeholder,0)))),NOT(OR(LEN(AU288)&lt;2,ISNUMBER(MATCH(AU288,L_Placeholder,0)))),NOT(OR(LEN(AX288)&lt;2,ISNUMBER(MATCH(AX288,L_Placeholder,0)))),TRIM(AE288)&lt;&gt;TRIM(T288)),"N/A – JUSTIFIED","INVALID – N/A needs a real justification (15+ chars), PIC and a different verifier"))),IF(OR(TRIM(U288)="Pass",TRIM(U288)="Pass after CA"),IF(NOT(ISNUMBER(AD288)),"INVALID – completion time missing",IF(OR(LEN(AU288)&lt;2,ISNUMBER(MATCH(AU288,L_Placeholder,0))),"INVALID – PIC missing",IF(OR(LEN(AV288)&lt;2,ISNUMBER(MATCH(AV288,L_Placeholder,0))),"INVALID – result / assessment missing",IF(OR(OR(LEN(AW288)&lt;3,ISNUMBER(MATCH(AW288,L_Placeholder,0))),SUMPRODUCT(--ISNUMBER(SEARCH(L_EvidencePhrase,AW288)))&gt;0),"INVALID – evidence missing, placeholder or not yet on file",IF(OR(LEN(AX288)&lt;2,ISNUMBER(MATCH(AX288,L_Placeholder,0))),"INVALID – verifier missing",IF(AX288=AU288,"INVALID – verifier must be someone other than the PIC",IF(AND(TRIM(U288)="Pass",SUMPRODUCT(--ISNUMBER(SEARCH(L_ResultBad,AV288)))&gt;0),"INVALID – result describes a problem: use Fail, then Pass after CA",IF(AND(AQ288=1,OR(LEN(AY288)&lt;3,ISNUMBER(MATCH(AY288,L_Placeholder,0)))),"INVALID – batch ID missing or placeholder",IF(AND(AR288=1,OR(NOT(ISNUMBER(X288)),NOT(ISNUMBER(Y288)))),"INVALID – expected/actual qty missing",IF(AND(AR288=1,OR(X288&lt;=0,Y288&lt;0)),"INVALID – expected qty must be above 0 and actual not negative",IF(BB288&lt;&gt;"",BB288,IF(AND(AS288=1,Documents!$J$13&lt;&gt;"ON FILE"),"INVALID – GLD not on file (Documents sheet)",IF(AND(AS288=2,Documents!$O$13&lt;&gt;"ON FILE"),"INVALID – menu checklist not on file (Documents sheet)",IF(AND(AS288=3,NOT(ISNUMBER(Flights!$AX$13))),"INVALID – enter carrying flight KUL departure (Flights AX)",IF(AND(AS288=3,OR(Flights!$AZ$13&gt;Flights!$AA$13,Flights!$AX$13&lt;Flights!$AA$13-3)),"INVALID – carrying flight (Flights AX) cannot arrive before this leg's STD, or is over 3 days early",IF(AG288&gt;AsOfUTC,"INVALID – completion time is in the future",IF(AND(ISNUMBER(S288),AG288&lt;S288),IF(H288="Physical uplift","INVALID – before uplift window (cannot confirm loading)","INVALID – before valid window"),IF(AG288&gt;Flights!$AA$13,"INVALID – completed after departure (cannot establish readiness)",IF(AND(H288="Preparation",AG288&gt;IF(ISNUMBER(Flights!$BA$13),MIN(Flights!$BA$13,Flights!$AA$13),Flights!$AA$13)),"INVALID – completed after loading / departure (cannot establish readiness)",IF(AND(H288="Physical uplift",AG288&gt;Q288),"INVALID – recorded after the loading flight departed",IF(AG288&gt;Q288,"COMPLETE – LATE","COMPLETE"))))))))))))))))))))),IF(TRIM(U288)="Fail","FAIL – DISCREPANCY",IF(AND(TRIM(U288)&lt;&gt;"",TRIM(U288)&lt;&gt;"Not started",TRIM(U288)&lt;&gt;"In progress"),"INVALID – unrecognised status (use the list)",IF(AsOfUTC&gt;Q288,"OVERDUE",IF(N288="Clarification required","OPEN – CLARIFICATION","OPEN"))))))),"INVALID – error value in an input cell")</f>
        <v>OPEN</v>
      </c>
      <c r="AI288" s="61" t="n">
        <f aca="false">IF(OR(AH288="N/A – RULE",AH288="N/A – JUSTIFIED"),0,1)</f>
        <v>1</v>
      </c>
      <c r="AJ288" s="61" t="n">
        <f aca="false">IF(LEFT(AH288,8)="COMPLETE",1,0)</f>
        <v>0</v>
      </c>
      <c r="AK288" s="61" t="n">
        <f aca="false">IF(AND(AI288=1,AJ288=0,AsOfUTC&gt;Q288),1,0)</f>
        <v>0</v>
      </c>
      <c r="AL288" s="61" t="n">
        <f aca="false">IFERROR(IF(AND(AI288=1,OR(TRIM(U288)="Fail",AND(TRIM(AB288)&lt;&gt;"",TRIM(AB288)&lt;&gt;"Closed"),AND(ISNUMBER(AF288),AF288&lt;&gt;0,TRIM(U288)&lt;&gt;"Pass after CA"))),1,0),1)</f>
        <v>0</v>
      </c>
      <c r="AM288" s="61" t="n">
        <f aca="false">IF(LEFT(AH288,7)="INVALID",1,0)</f>
        <v>0</v>
      </c>
      <c r="AN288" s="61" t="n">
        <f aca="false">IF(AND(N288="Clarification required",AI288=1,AJ288=0),1,0)</f>
        <v>0</v>
      </c>
      <c r="AO288" s="61" t="str">
        <f aca="false">IF(AK288=1,SUM(AK$5:AK288),"")</f>
        <v/>
      </c>
      <c r="AP288" s="61" t="str">
        <f aca="false">IF(AL288=1,SUM(AL$5:AL288),"")</f>
        <v/>
      </c>
      <c r="AQ288" s="61" t="n">
        <v>0</v>
      </c>
      <c r="AR288" s="61" t="n">
        <v>0</v>
      </c>
      <c r="AS288" s="61" t="n">
        <v>0</v>
      </c>
      <c r="AT288" s="61" t="n">
        <v>0</v>
      </c>
      <c r="AU288" s="61" t="str">
        <f aca="false">SUBSTITUTE(SUBSTITUTE(SUBSTITUTE(SUBSTITUTE(SUBSTITUTE(SUBSTITUTE(SUBSTITUTE(SUBSTITUTE(SUBSTITUTE(SUBSTITUTE(SUBSTITUTE(SUBSTITUTE(SUBSTITUTE(LOWER(T288&amp;""),CHAR(160),"")," ",""),".",""),"-",""),"/",""),"?",""),"_",""),",",""),"[",""),"]",""),"(",""),")",""),"*","")</f>
        <v/>
      </c>
      <c r="AV288" s="61" t="str">
        <f aca="false">SUBSTITUTE(SUBSTITUTE(SUBSTITUTE(SUBSTITUTE(SUBSTITUTE(SUBSTITUTE(SUBSTITUTE(SUBSTITUTE(SUBSTITUTE(SUBSTITUTE(SUBSTITUTE(SUBSTITUTE(SUBSTITUTE(LOWER(V288&amp;""),CHAR(160),"")," ",""),".",""),"-",""),"/",""),"?",""),"_",""),",",""),"[",""),"]",""),"(",""),")",""),"*","")</f>
        <v/>
      </c>
      <c r="AW288" s="61" t="str">
        <f aca="false">SUBSTITUTE(SUBSTITUTE(SUBSTITUTE(SUBSTITUTE(SUBSTITUTE(SUBSTITUTE(SUBSTITUTE(SUBSTITUTE(SUBSTITUTE(SUBSTITUTE(SUBSTITUTE(SUBSTITUTE(SUBSTITUTE(LOWER(Z288&amp;""),CHAR(160),"")," ",""),".",""),"-",""),"/",""),"?",""),"_",""),",",""),"[",""),"]",""),"(",""),")",""),"*","")</f>
        <v/>
      </c>
      <c r="AX288" s="61" t="str">
        <f aca="false">SUBSTITUTE(SUBSTITUTE(SUBSTITUTE(SUBSTITUTE(SUBSTITUTE(SUBSTITUTE(SUBSTITUTE(SUBSTITUTE(SUBSTITUTE(SUBSTITUTE(SUBSTITUTE(SUBSTITUTE(SUBSTITUTE(LOWER(AE288&amp;""),CHAR(160),"")," ",""),".",""),"-",""),"/",""),"?",""),"_",""),",",""),"[",""),"]",""),"(",""),")",""),"*","")</f>
        <v/>
      </c>
      <c r="AY288" s="61" t="str">
        <f aca="false">SUBSTITUTE(SUBSTITUTE(SUBSTITUTE(SUBSTITUTE(SUBSTITUTE(SUBSTITUTE(SUBSTITUTE(SUBSTITUTE(SUBSTITUTE(SUBSTITUTE(SUBSTITUTE(SUBSTITUTE(SUBSTITUTE(LOWER(W288&amp;""),CHAR(160),"")," ",""),".",""),"-",""),"/",""),"?",""),"_",""),",",""),"[",""),"]",""),"(",""),")",""),"*","")</f>
        <v/>
      </c>
      <c r="AZ288" s="61" t="str">
        <f aca="false">SUBSTITUTE(SUBSTITUTE(SUBSTITUTE(SUBSTITUTE(SUBSTITUTE(SUBSTITUTE(SUBSTITUTE(SUBSTITUTE(SUBSTITUTE(SUBSTITUTE(SUBSTITUTE(SUBSTITUTE(SUBSTITUTE(LOWER(AC288&amp;""),CHAR(160),"")," ",""),".",""),"-",""),"/",""),"?",""),"_",""),",",""),"[",""),"]",""),"(",""),")",""),"*","")</f>
        <v/>
      </c>
      <c r="BA288" s="61" t="str">
        <f aca="false">SUBSTITUTE(SUBSTITUTE(SUBSTITUTE(SUBSTITUTE(SUBSTITUTE(SUBSTITUTE(SUBSTITUTE(SUBSTITUTE(SUBSTITUTE(SUBSTITUTE(SUBSTITUTE(SUBSTITUTE(SUBSTITUTE(LOWER(AA288&amp;""),CHAR(160),"")," ",""),".",""),"-",""),"/",""),"?",""),"_",""),",",""),"[",""),"]",""),"(",""),")",""),"*","")</f>
        <v/>
      </c>
      <c r="BB288" s="61" t="str">
        <f aca="false">IF(AND(TRIM(U288)="Pass",ISNUMBER(AF288)),IF(AF288&lt;&gt;0,"INVALID – qty variance: use Fail or Pass after CA",""),"")&amp;IF(AND(TRIM(U288)="Pass after CA",ISNUMBER(AF288)),IF(AF288&lt;&gt;0,"INVALID – after the corrective action the actual qty must equal expected (update Actual)",""),"")&amp;IF(AND(TRIM(U288)="Pass",TRIM(AB288)&lt;&gt;"",TRIM(AB288)&lt;&gt;"Closed"),"INVALID – corrective action not closed: use Fail, then Pass after CA","")&amp;IF(AND(TRIM(AA288)&lt;&gt;"",TRIM(AB288)=""),"INVALID – CA status missing for the recorded corrective action","")&amp;IF(AND(TRIM(U288)="Pass after CA",OR(OR(LEN(BA288)&lt;5,ISNUMBER(MATCH(BA288,L_Placeholder,0))),TRIM(AB288)&lt;&gt;"Closed")),"INVALID – corrective action not recorded/closed","")</f>
        <v/>
      </c>
    </row>
    <row r="289" customFormat="false" ht="39.75" hidden="false" customHeight="true" outlineLevel="0" collapsed="false">
      <c r="A289" s="57" t="s">
        <v>841</v>
      </c>
      <c r="B289" s="57" t="s">
        <v>243</v>
      </c>
      <c r="C289" s="57" t="str">
        <f aca="false">Flights!$F$13</f>
        <v>MH0753</v>
      </c>
      <c r="D289" s="58" t="n">
        <f aca="false">Flights!$D$13</f>
        <v>46306</v>
      </c>
      <c r="E289" s="57" t="str">
        <f aca="false">Flights!$G$13&amp;"-"&amp;Flights!$H$13</f>
        <v>HAN-KUL</v>
      </c>
      <c r="F289" s="57" t="str">
        <f aca="false">Flights!$K$13</f>
        <v>BC</v>
      </c>
      <c r="G289" s="57" t="s">
        <v>79</v>
      </c>
      <c r="H289" s="57" t="s">
        <v>356</v>
      </c>
      <c r="I289" s="57" t="s">
        <v>383</v>
      </c>
      <c r="J289" s="57" t="s">
        <v>384</v>
      </c>
      <c r="K289" s="67" t="s">
        <v>385</v>
      </c>
      <c r="L289" s="67" t="s">
        <v>360</v>
      </c>
      <c r="M289" s="67"/>
      <c r="N289" s="67" t="s">
        <v>361</v>
      </c>
      <c r="O289" s="67"/>
      <c r="P289" s="57" t="s">
        <v>237</v>
      </c>
      <c r="Q289" s="59" t="n">
        <f aca="false">ROUND((Flights!$AC$13)*1440,0)/1440</f>
        <v>46299.2534722222</v>
      </c>
      <c r="R289" s="59" t="n">
        <f aca="false">Q289+(IF(AND(INDEX(TZ_DSTS,MATCH(P289,TZ_STN,0))&lt;&gt;"",Q289&gt;=INDEX(TZ_DSTS,MATCH(P289,TZ_STN,0)),Q289&lt;INDEX(TZ_DSTE,MATCH(P289,TZ_STN,0))),INDEX(TZ_DST,MATCH(P289,TZ_STN,0)),INDEX(TZ_STD,MATCH(P289,TZ_STN,0))))/24</f>
        <v>46299.5451388889</v>
      </c>
      <c r="S289" s="59" t="n">
        <f aca="false">Q289-T7EarlyD*24/24</f>
        <v>46285.2534722222</v>
      </c>
      <c r="T289" s="60"/>
      <c r="U289" s="60"/>
      <c r="V289" s="60"/>
      <c r="W289" s="61"/>
      <c r="X289" s="60"/>
      <c r="Y289" s="60"/>
      <c r="Z289" s="60"/>
      <c r="AA289" s="60"/>
      <c r="AB289" s="60"/>
      <c r="AC289" s="60"/>
      <c r="AD289" s="66"/>
      <c r="AE289" s="60"/>
      <c r="AF289" s="61" t="str">
        <f aca="false">IF(AND(ISNUMBER(X289),ISNUMBER(Y289)),Y289-X289,"")</f>
        <v/>
      </c>
      <c r="AG289" s="62" t="str">
        <f aca="false">IF(ISNUMBER(AD289),AD289-(IF(AND(INDEX(TZ_DSTS,MATCH(P289,TZ_STN,0))&lt;&gt;"",(AD289-INDEX(TZ_STD,MATCH(P289,TZ_STN,0))/24)&gt;=INDEX(TZ_DSTS,MATCH(P289,TZ_STN,0)),(AD289-INDEX(TZ_STD,MATCH(P289,TZ_STN,0))/24)&lt;INDEX(TZ_DSTE,MATCH(P289,TZ_STN,0))),INDEX(TZ_DST,MATCH(P289,TZ_STN,0)),INDEX(TZ_STD,MATCH(P289,TZ_STN,0))))/24,"")</f>
        <v/>
      </c>
      <c r="AH289" s="65" t="str">
        <f aca="false">IFERROR(IF(N289="N/A – rule","N/A – RULE",IF(TRIM(U289)="N/A",IF(AT289=0,"INVALID – N/A not permitted for this check",IF(AND(TRIM(AB289)&lt;&gt;"",TRIM(AB289)&lt;&gt;"Closed"),"INVALID – corrective action still open",IF(AND(NOT(OR(LEN(AZ289)&lt;15,ISNUMBER(MATCH(AZ289,L_Placeholder,0)))),NOT(OR(LEN(AU289)&lt;2,ISNUMBER(MATCH(AU289,L_Placeholder,0)))),NOT(OR(LEN(AX289)&lt;2,ISNUMBER(MATCH(AX289,L_Placeholder,0)))),TRIM(AE289)&lt;&gt;TRIM(T289)),"N/A – JUSTIFIED","INVALID – N/A needs a real justification (15+ chars), PIC and a different verifier"))),IF(OR(TRIM(U289)="Pass",TRIM(U289)="Pass after CA"),IF(NOT(ISNUMBER(AD289)),"INVALID – completion time missing",IF(OR(LEN(AU289)&lt;2,ISNUMBER(MATCH(AU289,L_Placeholder,0))),"INVALID – PIC missing",IF(OR(LEN(AV289)&lt;2,ISNUMBER(MATCH(AV289,L_Placeholder,0))),"INVALID – result / assessment missing",IF(OR(OR(LEN(AW289)&lt;3,ISNUMBER(MATCH(AW289,L_Placeholder,0))),SUMPRODUCT(--ISNUMBER(SEARCH(L_EvidencePhrase,AW289)))&gt;0),"INVALID – evidence missing, placeholder or not yet on file",IF(OR(LEN(AX289)&lt;2,ISNUMBER(MATCH(AX289,L_Placeholder,0))),"INVALID – verifier missing",IF(AX289=AU289,"INVALID – verifier must be someone other than the PIC",IF(AND(TRIM(U289)="Pass",SUMPRODUCT(--ISNUMBER(SEARCH(L_ResultBad,AV289)))&gt;0),"INVALID – result describes a problem: use Fail, then Pass after CA",IF(AND(AQ289=1,OR(LEN(AY289)&lt;3,ISNUMBER(MATCH(AY289,L_Placeholder,0)))),"INVALID – batch ID missing or placeholder",IF(AND(AR289=1,OR(NOT(ISNUMBER(X289)),NOT(ISNUMBER(Y289)))),"INVALID – expected/actual qty missing",IF(AND(AR289=1,OR(X289&lt;=0,Y289&lt;0)),"INVALID – expected qty must be above 0 and actual not negative",IF(BB289&lt;&gt;"",BB289,IF(AND(AS289=1,Documents!$J$13&lt;&gt;"ON FILE"),"INVALID – GLD not on file (Documents sheet)",IF(AND(AS289=2,Documents!$O$13&lt;&gt;"ON FILE"),"INVALID – menu checklist not on file (Documents sheet)",IF(AND(AS289=3,NOT(ISNUMBER(Flights!$AX$13))),"INVALID – enter carrying flight KUL departure (Flights AX)",IF(AND(AS289=3,OR(Flights!$AZ$13&gt;Flights!$AA$13,Flights!$AX$13&lt;Flights!$AA$13-3)),"INVALID – carrying flight (Flights AX) cannot arrive before this leg's STD, or is over 3 days early",IF(AG289&gt;AsOfUTC,"INVALID – completion time is in the future",IF(AND(ISNUMBER(S289),AG289&lt;S289),IF(H289="Physical uplift","INVALID – before uplift window (cannot confirm loading)","INVALID – before valid window"),IF(AG289&gt;Flights!$AA$13,"INVALID – completed after departure (cannot establish readiness)",IF(AND(H289="Preparation",AG289&gt;IF(ISNUMBER(Flights!$BA$13),MIN(Flights!$BA$13,Flights!$AA$13),Flights!$AA$13)),"INVALID – completed after loading / departure (cannot establish readiness)",IF(AND(H289="Physical uplift",AG289&gt;Q289),"INVALID – recorded after the loading flight departed",IF(AG289&gt;Q289,"COMPLETE – LATE","COMPLETE"))))))))))))))))))))),IF(TRIM(U289)="Fail","FAIL – DISCREPANCY",IF(AND(TRIM(U289)&lt;&gt;"",TRIM(U289)&lt;&gt;"Not started",TRIM(U289)&lt;&gt;"In progress"),"INVALID – unrecognised status (use the list)",IF(AsOfUTC&gt;Q289,"OVERDUE",IF(N289="Clarification required","OPEN – CLARIFICATION","OPEN"))))))),"INVALID – error value in an input cell")</f>
        <v>OPEN</v>
      </c>
      <c r="AI289" s="61" t="n">
        <f aca="false">IF(OR(AH289="N/A – RULE",AH289="N/A – JUSTIFIED"),0,1)</f>
        <v>1</v>
      </c>
      <c r="AJ289" s="61" t="n">
        <f aca="false">IF(LEFT(AH289,8)="COMPLETE",1,0)</f>
        <v>0</v>
      </c>
      <c r="AK289" s="61" t="n">
        <f aca="false">IF(AND(AI289=1,AJ289=0,AsOfUTC&gt;Q289),1,0)</f>
        <v>0</v>
      </c>
      <c r="AL289" s="61" t="n">
        <f aca="false">IFERROR(IF(AND(AI289=1,OR(TRIM(U289)="Fail",AND(TRIM(AB289)&lt;&gt;"",TRIM(AB289)&lt;&gt;"Closed"),AND(ISNUMBER(AF289),AF289&lt;&gt;0,TRIM(U289)&lt;&gt;"Pass after CA"))),1,0),1)</f>
        <v>0</v>
      </c>
      <c r="AM289" s="61" t="n">
        <f aca="false">IF(LEFT(AH289,7)="INVALID",1,0)</f>
        <v>0</v>
      </c>
      <c r="AN289" s="61" t="n">
        <f aca="false">IF(AND(N289="Clarification required",AI289=1,AJ289=0),1,0)</f>
        <v>0</v>
      </c>
      <c r="AO289" s="61" t="str">
        <f aca="false">IF(AK289=1,SUM(AK$5:AK289),"")</f>
        <v/>
      </c>
      <c r="AP289" s="61" t="str">
        <f aca="false">IF(AL289=1,SUM(AL$5:AL289),"")</f>
        <v/>
      </c>
      <c r="AQ289" s="61" t="n">
        <v>0</v>
      </c>
      <c r="AR289" s="61" t="n">
        <v>0</v>
      </c>
      <c r="AS289" s="61" t="n">
        <v>1</v>
      </c>
      <c r="AT289" s="61" t="n">
        <v>0</v>
      </c>
      <c r="AU289" s="61" t="str">
        <f aca="false">SUBSTITUTE(SUBSTITUTE(SUBSTITUTE(SUBSTITUTE(SUBSTITUTE(SUBSTITUTE(SUBSTITUTE(SUBSTITUTE(SUBSTITUTE(SUBSTITUTE(SUBSTITUTE(SUBSTITUTE(SUBSTITUTE(LOWER(T289&amp;""),CHAR(160),"")," ",""),".",""),"-",""),"/",""),"?",""),"_",""),",",""),"[",""),"]",""),"(",""),")",""),"*","")</f>
        <v/>
      </c>
      <c r="AV289" s="61" t="str">
        <f aca="false">SUBSTITUTE(SUBSTITUTE(SUBSTITUTE(SUBSTITUTE(SUBSTITUTE(SUBSTITUTE(SUBSTITUTE(SUBSTITUTE(SUBSTITUTE(SUBSTITUTE(SUBSTITUTE(SUBSTITUTE(SUBSTITUTE(LOWER(V289&amp;""),CHAR(160),"")," ",""),".",""),"-",""),"/",""),"?",""),"_",""),",",""),"[",""),"]",""),"(",""),")",""),"*","")</f>
        <v/>
      </c>
      <c r="AW289" s="61" t="str">
        <f aca="false">SUBSTITUTE(SUBSTITUTE(SUBSTITUTE(SUBSTITUTE(SUBSTITUTE(SUBSTITUTE(SUBSTITUTE(SUBSTITUTE(SUBSTITUTE(SUBSTITUTE(SUBSTITUTE(SUBSTITUTE(SUBSTITUTE(LOWER(Z289&amp;""),CHAR(160),"")," ",""),".",""),"-",""),"/",""),"?",""),"_",""),",",""),"[",""),"]",""),"(",""),")",""),"*","")</f>
        <v/>
      </c>
      <c r="AX289" s="61" t="str">
        <f aca="false">SUBSTITUTE(SUBSTITUTE(SUBSTITUTE(SUBSTITUTE(SUBSTITUTE(SUBSTITUTE(SUBSTITUTE(SUBSTITUTE(SUBSTITUTE(SUBSTITUTE(SUBSTITUTE(SUBSTITUTE(SUBSTITUTE(LOWER(AE289&amp;""),CHAR(160),"")," ",""),".",""),"-",""),"/",""),"?",""),"_",""),",",""),"[",""),"]",""),"(",""),")",""),"*","")</f>
        <v/>
      </c>
      <c r="AY289" s="61" t="str">
        <f aca="false">SUBSTITUTE(SUBSTITUTE(SUBSTITUTE(SUBSTITUTE(SUBSTITUTE(SUBSTITUTE(SUBSTITUTE(SUBSTITUTE(SUBSTITUTE(SUBSTITUTE(SUBSTITUTE(SUBSTITUTE(SUBSTITUTE(LOWER(W289&amp;""),CHAR(160),"")," ",""),".",""),"-",""),"/",""),"?",""),"_",""),",",""),"[",""),"]",""),"(",""),")",""),"*","")</f>
        <v/>
      </c>
      <c r="AZ289" s="61" t="str">
        <f aca="false">SUBSTITUTE(SUBSTITUTE(SUBSTITUTE(SUBSTITUTE(SUBSTITUTE(SUBSTITUTE(SUBSTITUTE(SUBSTITUTE(SUBSTITUTE(SUBSTITUTE(SUBSTITUTE(SUBSTITUTE(SUBSTITUTE(LOWER(AC289&amp;""),CHAR(160),"")," ",""),".",""),"-",""),"/",""),"?",""),"_",""),",",""),"[",""),"]",""),"(",""),")",""),"*","")</f>
        <v/>
      </c>
      <c r="BA289" s="61" t="str">
        <f aca="false">SUBSTITUTE(SUBSTITUTE(SUBSTITUTE(SUBSTITUTE(SUBSTITUTE(SUBSTITUTE(SUBSTITUTE(SUBSTITUTE(SUBSTITUTE(SUBSTITUTE(SUBSTITUTE(SUBSTITUTE(SUBSTITUTE(LOWER(AA289&amp;""),CHAR(160),"")," ",""),".",""),"-",""),"/",""),"?",""),"_",""),",",""),"[",""),"]",""),"(",""),")",""),"*","")</f>
        <v/>
      </c>
      <c r="BB289" s="61" t="str">
        <f aca="false">IF(AND(TRIM(U289)="Pass",ISNUMBER(AF289)),IF(AF289&lt;&gt;0,"INVALID – qty variance: use Fail or Pass after CA",""),"")&amp;IF(AND(TRIM(U289)="Pass after CA",ISNUMBER(AF289)),IF(AF289&lt;&gt;0,"INVALID – after the corrective action the actual qty must equal expected (update Actual)",""),"")&amp;IF(AND(TRIM(U289)="Pass",TRIM(AB289)&lt;&gt;"",TRIM(AB289)&lt;&gt;"Closed"),"INVALID – corrective action not closed: use Fail, then Pass after CA","")&amp;IF(AND(TRIM(AA289)&lt;&gt;"",TRIM(AB289)=""),"INVALID – CA status missing for the recorded corrective action","")&amp;IF(AND(TRIM(U289)="Pass after CA",OR(OR(LEN(BA289)&lt;5,ISNUMBER(MATCH(BA289,L_Placeholder,0))),TRIM(AB289)&lt;&gt;"Closed")),"INVALID – corrective action not recorded/closed","")</f>
        <v/>
      </c>
    </row>
    <row r="290" customFormat="false" ht="39.75" hidden="false" customHeight="true" outlineLevel="0" collapsed="false">
      <c r="A290" s="57" t="s">
        <v>842</v>
      </c>
      <c r="B290" s="57" t="s">
        <v>243</v>
      </c>
      <c r="C290" s="57" t="str">
        <f aca="false">Flights!$F$13</f>
        <v>MH0753</v>
      </c>
      <c r="D290" s="58" t="n">
        <f aca="false">Flights!$D$13</f>
        <v>46306</v>
      </c>
      <c r="E290" s="57" t="str">
        <f aca="false">Flights!$G$13&amp;"-"&amp;Flights!$H$13</f>
        <v>HAN-KUL</v>
      </c>
      <c r="F290" s="57" t="str">
        <f aca="false">Flights!$K$13</f>
        <v>BC</v>
      </c>
      <c r="G290" s="57" t="s">
        <v>79</v>
      </c>
      <c r="H290" s="57" t="s">
        <v>356</v>
      </c>
      <c r="I290" s="57" t="s">
        <v>383</v>
      </c>
      <c r="J290" s="57" t="s">
        <v>387</v>
      </c>
      <c r="K290" s="67" t="s">
        <v>385</v>
      </c>
      <c r="L290" s="67" t="s">
        <v>360</v>
      </c>
      <c r="M290" s="67"/>
      <c r="N290" s="67" t="s">
        <v>361</v>
      </c>
      <c r="O290" s="67"/>
      <c r="P290" s="57" t="s">
        <v>237</v>
      </c>
      <c r="Q290" s="59" t="n">
        <f aca="false">ROUND((Flights!$AC$13)*1440,0)/1440</f>
        <v>46299.2534722222</v>
      </c>
      <c r="R290" s="59" t="n">
        <f aca="false">Q290+(IF(AND(INDEX(TZ_DSTS,MATCH(P290,TZ_STN,0))&lt;&gt;"",Q290&gt;=INDEX(TZ_DSTS,MATCH(P290,TZ_STN,0)),Q290&lt;INDEX(TZ_DSTE,MATCH(P290,TZ_STN,0))),INDEX(TZ_DST,MATCH(P290,TZ_STN,0)),INDEX(TZ_STD,MATCH(P290,TZ_STN,0))))/24</f>
        <v>46299.5451388889</v>
      </c>
      <c r="S290" s="59" t="n">
        <f aca="false">Q290-T7EarlyD*24/24</f>
        <v>46285.2534722222</v>
      </c>
      <c r="T290" s="60"/>
      <c r="U290" s="60"/>
      <c r="V290" s="60"/>
      <c r="W290" s="61"/>
      <c r="X290" s="60"/>
      <c r="Y290" s="60"/>
      <c r="Z290" s="60"/>
      <c r="AA290" s="60"/>
      <c r="AB290" s="60"/>
      <c r="AC290" s="60"/>
      <c r="AD290" s="66"/>
      <c r="AE290" s="60"/>
      <c r="AF290" s="61" t="str">
        <f aca="false">IF(AND(ISNUMBER(X290),ISNUMBER(Y290)),Y290-X290,"")</f>
        <v/>
      </c>
      <c r="AG290" s="62" t="str">
        <f aca="false">IF(ISNUMBER(AD290),AD290-(IF(AND(INDEX(TZ_DSTS,MATCH(P290,TZ_STN,0))&lt;&gt;"",(AD290-INDEX(TZ_STD,MATCH(P290,TZ_STN,0))/24)&gt;=INDEX(TZ_DSTS,MATCH(P290,TZ_STN,0)),(AD290-INDEX(TZ_STD,MATCH(P290,TZ_STN,0))/24)&lt;INDEX(TZ_DSTE,MATCH(P290,TZ_STN,0))),INDEX(TZ_DST,MATCH(P290,TZ_STN,0)),INDEX(TZ_STD,MATCH(P290,TZ_STN,0))))/24,"")</f>
        <v/>
      </c>
      <c r="AH290" s="65" t="str">
        <f aca="false">IFERROR(IF(N290="N/A – rule","N/A – RULE",IF(TRIM(U290)="N/A",IF(AT290=0,"INVALID – N/A not permitted for this check",IF(AND(TRIM(AB290)&lt;&gt;"",TRIM(AB290)&lt;&gt;"Closed"),"INVALID – corrective action still open",IF(AND(NOT(OR(LEN(AZ290)&lt;15,ISNUMBER(MATCH(AZ290,L_Placeholder,0)))),NOT(OR(LEN(AU290)&lt;2,ISNUMBER(MATCH(AU290,L_Placeholder,0)))),NOT(OR(LEN(AX290)&lt;2,ISNUMBER(MATCH(AX290,L_Placeholder,0)))),TRIM(AE290)&lt;&gt;TRIM(T290)),"N/A – JUSTIFIED","INVALID – N/A needs a real justification (15+ chars), PIC and a different verifier"))),IF(OR(TRIM(U290)="Pass",TRIM(U290)="Pass after CA"),IF(NOT(ISNUMBER(AD290)),"INVALID – completion time missing",IF(OR(LEN(AU290)&lt;2,ISNUMBER(MATCH(AU290,L_Placeholder,0))),"INVALID – PIC missing",IF(OR(LEN(AV290)&lt;2,ISNUMBER(MATCH(AV290,L_Placeholder,0))),"INVALID – result / assessment missing",IF(OR(OR(LEN(AW290)&lt;3,ISNUMBER(MATCH(AW290,L_Placeholder,0))),SUMPRODUCT(--ISNUMBER(SEARCH(L_EvidencePhrase,AW290)))&gt;0),"INVALID – evidence missing, placeholder or not yet on file",IF(OR(LEN(AX290)&lt;2,ISNUMBER(MATCH(AX290,L_Placeholder,0))),"INVALID – verifier missing",IF(AX290=AU290,"INVALID – verifier must be someone other than the PIC",IF(AND(TRIM(U290)="Pass",SUMPRODUCT(--ISNUMBER(SEARCH(L_ResultBad,AV290)))&gt;0),"INVALID – result describes a problem: use Fail, then Pass after CA",IF(AND(AQ290=1,OR(LEN(AY290)&lt;3,ISNUMBER(MATCH(AY290,L_Placeholder,0)))),"INVALID – batch ID missing or placeholder",IF(AND(AR290=1,OR(NOT(ISNUMBER(X290)),NOT(ISNUMBER(Y290)))),"INVALID – expected/actual qty missing",IF(AND(AR290=1,OR(X290&lt;=0,Y290&lt;0)),"INVALID – expected qty must be above 0 and actual not negative",IF(BB290&lt;&gt;"",BB290,IF(AND(AS290=1,Documents!$J$13&lt;&gt;"ON FILE"),"INVALID – GLD not on file (Documents sheet)",IF(AND(AS290=2,Documents!$O$13&lt;&gt;"ON FILE"),"INVALID – menu checklist not on file (Documents sheet)",IF(AND(AS290=3,NOT(ISNUMBER(Flights!$AX$13))),"INVALID – enter carrying flight KUL departure (Flights AX)",IF(AND(AS290=3,OR(Flights!$AZ$13&gt;Flights!$AA$13,Flights!$AX$13&lt;Flights!$AA$13-3)),"INVALID – carrying flight (Flights AX) cannot arrive before this leg's STD, or is over 3 days early",IF(AG290&gt;AsOfUTC,"INVALID – completion time is in the future",IF(AND(ISNUMBER(S290),AG290&lt;S290),IF(H290="Physical uplift","INVALID – before uplift window (cannot confirm loading)","INVALID – before valid window"),IF(AG290&gt;Flights!$AA$13,"INVALID – completed after departure (cannot establish readiness)",IF(AND(H290="Preparation",AG290&gt;IF(ISNUMBER(Flights!$BA$13),MIN(Flights!$BA$13,Flights!$AA$13),Flights!$AA$13)),"INVALID – completed after loading / departure (cannot establish readiness)",IF(AND(H290="Physical uplift",AG290&gt;Q290),"INVALID – recorded after the loading flight departed",IF(AG290&gt;Q290,"COMPLETE – LATE","COMPLETE"))))))))))))))))))))),IF(TRIM(U290)="Fail","FAIL – DISCREPANCY",IF(AND(TRIM(U290)&lt;&gt;"",TRIM(U290)&lt;&gt;"Not started",TRIM(U290)&lt;&gt;"In progress"),"INVALID – unrecognised status (use the list)",IF(AsOfUTC&gt;Q290,"OVERDUE",IF(N290="Clarification required","OPEN – CLARIFICATION","OPEN"))))))),"INVALID – error value in an input cell")</f>
        <v>OPEN</v>
      </c>
      <c r="AI290" s="61" t="n">
        <f aca="false">IF(OR(AH290="N/A – RULE",AH290="N/A – JUSTIFIED"),0,1)</f>
        <v>1</v>
      </c>
      <c r="AJ290" s="61" t="n">
        <f aca="false">IF(LEFT(AH290,8)="COMPLETE",1,0)</f>
        <v>0</v>
      </c>
      <c r="AK290" s="61" t="n">
        <f aca="false">IF(AND(AI290=1,AJ290=0,AsOfUTC&gt;Q290),1,0)</f>
        <v>0</v>
      </c>
      <c r="AL290" s="61" t="n">
        <f aca="false">IFERROR(IF(AND(AI290=1,OR(TRIM(U290)="Fail",AND(TRIM(AB290)&lt;&gt;"",TRIM(AB290)&lt;&gt;"Closed"),AND(ISNUMBER(AF290),AF290&lt;&gt;0,TRIM(U290)&lt;&gt;"Pass after CA"))),1,0),1)</f>
        <v>0</v>
      </c>
      <c r="AM290" s="61" t="n">
        <f aca="false">IF(LEFT(AH290,7)="INVALID",1,0)</f>
        <v>0</v>
      </c>
      <c r="AN290" s="61" t="n">
        <f aca="false">IF(AND(N290="Clarification required",AI290=1,AJ290=0),1,0)</f>
        <v>0</v>
      </c>
      <c r="AO290" s="61" t="str">
        <f aca="false">IF(AK290=1,SUM(AK$5:AK290),"")</f>
        <v/>
      </c>
      <c r="AP290" s="61" t="str">
        <f aca="false">IF(AL290=1,SUM(AL$5:AL290),"")</f>
        <v/>
      </c>
      <c r="AQ290" s="61" t="n">
        <v>0</v>
      </c>
      <c r="AR290" s="61" t="n">
        <v>0</v>
      </c>
      <c r="AS290" s="61" t="n">
        <v>2</v>
      </c>
      <c r="AT290" s="61" t="n">
        <v>0</v>
      </c>
      <c r="AU290" s="61" t="str">
        <f aca="false">SUBSTITUTE(SUBSTITUTE(SUBSTITUTE(SUBSTITUTE(SUBSTITUTE(SUBSTITUTE(SUBSTITUTE(SUBSTITUTE(SUBSTITUTE(SUBSTITUTE(SUBSTITUTE(SUBSTITUTE(SUBSTITUTE(LOWER(T290&amp;""),CHAR(160),"")," ",""),".",""),"-",""),"/",""),"?",""),"_",""),",",""),"[",""),"]",""),"(",""),")",""),"*","")</f>
        <v/>
      </c>
      <c r="AV290" s="61" t="str">
        <f aca="false">SUBSTITUTE(SUBSTITUTE(SUBSTITUTE(SUBSTITUTE(SUBSTITUTE(SUBSTITUTE(SUBSTITUTE(SUBSTITUTE(SUBSTITUTE(SUBSTITUTE(SUBSTITUTE(SUBSTITUTE(SUBSTITUTE(LOWER(V290&amp;""),CHAR(160),"")," ",""),".",""),"-",""),"/",""),"?",""),"_",""),",",""),"[",""),"]",""),"(",""),")",""),"*","")</f>
        <v/>
      </c>
      <c r="AW290" s="61" t="str">
        <f aca="false">SUBSTITUTE(SUBSTITUTE(SUBSTITUTE(SUBSTITUTE(SUBSTITUTE(SUBSTITUTE(SUBSTITUTE(SUBSTITUTE(SUBSTITUTE(SUBSTITUTE(SUBSTITUTE(SUBSTITUTE(SUBSTITUTE(LOWER(Z290&amp;""),CHAR(160),"")," ",""),".",""),"-",""),"/",""),"?",""),"_",""),",",""),"[",""),"]",""),"(",""),")",""),"*","")</f>
        <v/>
      </c>
      <c r="AX290" s="61" t="str">
        <f aca="false">SUBSTITUTE(SUBSTITUTE(SUBSTITUTE(SUBSTITUTE(SUBSTITUTE(SUBSTITUTE(SUBSTITUTE(SUBSTITUTE(SUBSTITUTE(SUBSTITUTE(SUBSTITUTE(SUBSTITUTE(SUBSTITUTE(LOWER(AE290&amp;""),CHAR(160),"")," ",""),".",""),"-",""),"/",""),"?",""),"_",""),",",""),"[",""),"]",""),"(",""),")",""),"*","")</f>
        <v/>
      </c>
      <c r="AY290" s="61" t="str">
        <f aca="false">SUBSTITUTE(SUBSTITUTE(SUBSTITUTE(SUBSTITUTE(SUBSTITUTE(SUBSTITUTE(SUBSTITUTE(SUBSTITUTE(SUBSTITUTE(SUBSTITUTE(SUBSTITUTE(SUBSTITUTE(SUBSTITUTE(LOWER(W290&amp;""),CHAR(160),"")," ",""),".",""),"-",""),"/",""),"?",""),"_",""),",",""),"[",""),"]",""),"(",""),")",""),"*","")</f>
        <v/>
      </c>
      <c r="AZ290" s="61" t="str">
        <f aca="false">SUBSTITUTE(SUBSTITUTE(SUBSTITUTE(SUBSTITUTE(SUBSTITUTE(SUBSTITUTE(SUBSTITUTE(SUBSTITUTE(SUBSTITUTE(SUBSTITUTE(SUBSTITUTE(SUBSTITUTE(SUBSTITUTE(LOWER(AC290&amp;""),CHAR(160),"")," ",""),".",""),"-",""),"/",""),"?",""),"_",""),",",""),"[",""),"]",""),"(",""),")",""),"*","")</f>
        <v/>
      </c>
      <c r="BA290" s="61" t="str">
        <f aca="false">SUBSTITUTE(SUBSTITUTE(SUBSTITUTE(SUBSTITUTE(SUBSTITUTE(SUBSTITUTE(SUBSTITUTE(SUBSTITUTE(SUBSTITUTE(SUBSTITUTE(SUBSTITUTE(SUBSTITUTE(SUBSTITUTE(LOWER(AA290&amp;""),CHAR(160),"")," ",""),".",""),"-",""),"/",""),"?",""),"_",""),",",""),"[",""),"]",""),"(",""),")",""),"*","")</f>
        <v/>
      </c>
      <c r="BB290" s="61" t="str">
        <f aca="false">IF(AND(TRIM(U290)="Pass",ISNUMBER(AF290)),IF(AF290&lt;&gt;0,"INVALID – qty variance: use Fail or Pass after CA",""),"")&amp;IF(AND(TRIM(U290)="Pass after CA",ISNUMBER(AF290)),IF(AF290&lt;&gt;0,"INVALID – after the corrective action the actual qty must equal expected (update Actual)",""),"")&amp;IF(AND(TRIM(U290)="Pass",TRIM(AB290)&lt;&gt;"",TRIM(AB290)&lt;&gt;"Closed"),"INVALID – corrective action not closed: use Fail, then Pass after CA","")&amp;IF(AND(TRIM(AA290)&lt;&gt;"",TRIM(AB290)=""),"INVALID – CA status missing for the recorded corrective action","")&amp;IF(AND(TRIM(U290)="Pass after CA",OR(OR(LEN(BA290)&lt;5,ISNUMBER(MATCH(BA290,L_Placeholder,0))),TRIM(AB290)&lt;&gt;"Closed")),"INVALID – corrective action not recorded/closed","")</f>
        <v/>
      </c>
    </row>
    <row r="291" customFormat="false" ht="39.75" hidden="false" customHeight="true" outlineLevel="0" collapsed="false">
      <c r="A291" s="57" t="s">
        <v>843</v>
      </c>
      <c r="B291" s="57" t="s">
        <v>243</v>
      </c>
      <c r="C291" s="57" t="str">
        <f aca="false">Flights!$F$13</f>
        <v>MH0753</v>
      </c>
      <c r="D291" s="58" t="n">
        <f aca="false">Flights!$D$13</f>
        <v>46306</v>
      </c>
      <c r="E291" s="57" t="str">
        <f aca="false">Flights!$G$13&amp;"-"&amp;Flights!$H$13</f>
        <v>HAN-KUL</v>
      </c>
      <c r="F291" s="57" t="str">
        <f aca="false">Flights!$K$13</f>
        <v>BC</v>
      </c>
      <c r="G291" s="57" t="s">
        <v>79</v>
      </c>
      <c r="H291" s="57" t="s">
        <v>356</v>
      </c>
      <c r="I291" s="57" t="s">
        <v>389</v>
      </c>
      <c r="J291" s="57" t="s">
        <v>390</v>
      </c>
      <c r="K291" s="67" t="s">
        <v>844</v>
      </c>
      <c r="L291" s="67" t="s">
        <v>821</v>
      </c>
      <c r="M291" s="67"/>
      <c r="N291" s="67" t="s">
        <v>361</v>
      </c>
      <c r="O291" s="67"/>
      <c r="P291" s="57" t="s">
        <v>237</v>
      </c>
      <c r="Q291" s="59" t="n">
        <f aca="false">ROUND((Flights!$AC$13)*1440,0)/1440</f>
        <v>46299.2534722222</v>
      </c>
      <c r="R291" s="59" t="n">
        <f aca="false">Q291+(IF(AND(INDEX(TZ_DSTS,MATCH(P291,TZ_STN,0))&lt;&gt;"",Q291&gt;=INDEX(TZ_DSTS,MATCH(P291,TZ_STN,0)),Q291&lt;INDEX(TZ_DSTE,MATCH(P291,TZ_STN,0))),INDEX(TZ_DST,MATCH(P291,TZ_STN,0)),INDEX(TZ_STD,MATCH(P291,TZ_STN,0))))/24</f>
        <v>46299.5451388889</v>
      </c>
      <c r="S291" s="59" t="n">
        <f aca="false">Q291-T7EarlyD*24/24</f>
        <v>46285.2534722222</v>
      </c>
      <c r="T291" s="60"/>
      <c r="U291" s="60"/>
      <c r="V291" s="60"/>
      <c r="W291" s="61"/>
      <c r="X291" s="60"/>
      <c r="Y291" s="60"/>
      <c r="Z291" s="60"/>
      <c r="AA291" s="60"/>
      <c r="AB291" s="60"/>
      <c r="AC291" s="60"/>
      <c r="AD291" s="66"/>
      <c r="AE291" s="60"/>
      <c r="AF291" s="61" t="str">
        <f aca="false">IF(AND(ISNUMBER(X291),ISNUMBER(Y291)),Y291-X291,"")</f>
        <v/>
      </c>
      <c r="AG291" s="62" t="str">
        <f aca="false">IF(ISNUMBER(AD291),AD291-(IF(AND(INDEX(TZ_DSTS,MATCH(P291,TZ_STN,0))&lt;&gt;"",(AD291-INDEX(TZ_STD,MATCH(P291,TZ_STN,0))/24)&gt;=INDEX(TZ_DSTS,MATCH(P291,TZ_STN,0)),(AD291-INDEX(TZ_STD,MATCH(P291,TZ_STN,0))/24)&lt;INDEX(TZ_DSTE,MATCH(P291,TZ_STN,0))),INDEX(TZ_DST,MATCH(P291,TZ_STN,0)),INDEX(TZ_STD,MATCH(P291,TZ_STN,0))))/24,"")</f>
        <v/>
      </c>
      <c r="AH291" s="65" t="str">
        <f aca="false">IFERROR(IF(N291="N/A – rule","N/A – RULE",IF(TRIM(U291)="N/A",IF(AT291=0,"INVALID – N/A not permitted for this check",IF(AND(TRIM(AB291)&lt;&gt;"",TRIM(AB291)&lt;&gt;"Closed"),"INVALID – corrective action still open",IF(AND(NOT(OR(LEN(AZ291)&lt;15,ISNUMBER(MATCH(AZ291,L_Placeholder,0)))),NOT(OR(LEN(AU291)&lt;2,ISNUMBER(MATCH(AU291,L_Placeholder,0)))),NOT(OR(LEN(AX291)&lt;2,ISNUMBER(MATCH(AX291,L_Placeholder,0)))),TRIM(AE291)&lt;&gt;TRIM(T291)),"N/A – JUSTIFIED","INVALID – N/A needs a real justification (15+ chars), PIC and a different verifier"))),IF(OR(TRIM(U291)="Pass",TRIM(U291)="Pass after CA"),IF(NOT(ISNUMBER(AD291)),"INVALID – completion time missing",IF(OR(LEN(AU291)&lt;2,ISNUMBER(MATCH(AU291,L_Placeholder,0))),"INVALID – PIC missing",IF(OR(LEN(AV291)&lt;2,ISNUMBER(MATCH(AV291,L_Placeholder,0))),"INVALID – result / assessment missing",IF(OR(OR(LEN(AW291)&lt;3,ISNUMBER(MATCH(AW291,L_Placeholder,0))),SUMPRODUCT(--ISNUMBER(SEARCH(L_EvidencePhrase,AW291)))&gt;0),"INVALID – evidence missing, placeholder or not yet on file",IF(OR(LEN(AX291)&lt;2,ISNUMBER(MATCH(AX291,L_Placeholder,0))),"INVALID – verifier missing",IF(AX291=AU291,"INVALID – verifier must be someone other than the PIC",IF(AND(TRIM(U291)="Pass",SUMPRODUCT(--ISNUMBER(SEARCH(L_ResultBad,AV291)))&gt;0),"INVALID – result describes a problem: use Fail, then Pass after CA",IF(AND(AQ291=1,OR(LEN(AY291)&lt;3,ISNUMBER(MATCH(AY291,L_Placeholder,0)))),"INVALID – batch ID missing or placeholder",IF(AND(AR291=1,OR(NOT(ISNUMBER(X291)),NOT(ISNUMBER(Y291)))),"INVALID – expected/actual qty missing",IF(AND(AR291=1,OR(X291&lt;=0,Y291&lt;0)),"INVALID – expected qty must be above 0 and actual not negative",IF(BB291&lt;&gt;"",BB291,IF(AND(AS291=1,Documents!$J$13&lt;&gt;"ON FILE"),"INVALID – GLD not on file (Documents sheet)",IF(AND(AS291=2,Documents!$O$13&lt;&gt;"ON FILE"),"INVALID – menu checklist not on file (Documents sheet)",IF(AND(AS291=3,NOT(ISNUMBER(Flights!$AX$13))),"INVALID – enter carrying flight KUL departure (Flights AX)",IF(AND(AS291=3,OR(Flights!$AZ$13&gt;Flights!$AA$13,Flights!$AX$13&lt;Flights!$AA$13-3)),"INVALID – carrying flight (Flights AX) cannot arrive before this leg's STD, or is over 3 days early",IF(AG291&gt;AsOfUTC,"INVALID – completion time is in the future",IF(AND(ISNUMBER(S291),AG291&lt;S291),IF(H291="Physical uplift","INVALID – before uplift window (cannot confirm loading)","INVALID – before valid window"),IF(AG291&gt;Flights!$AA$13,"INVALID – completed after departure (cannot establish readiness)",IF(AND(H291="Preparation",AG291&gt;IF(ISNUMBER(Flights!$BA$13),MIN(Flights!$BA$13,Flights!$AA$13),Flights!$AA$13)),"INVALID – completed after loading / departure (cannot establish readiness)",IF(AND(H291="Physical uplift",AG291&gt;Q291),"INVALID – recorded after the loading flight departed",IF(AG291&gt;Q291,"COMPLETE – LATE","COMPLETE"))))))))))))))))))))),IF(TRIM(U291)="Fail","FAIL – DISCREPANCY",IF(AND(TRIM(U291)&lt;&gt;"",TRIM(U291)&lt;&gt;"Not started",TRIM(U291)&lt;&gt;"In progress"),"INVALID – unrecognised status (use the list)",IF(AsOfUTC&gt;Q291,"OVERDUE",IF(N291="Clarification required","OPEN – CLARIFICATION","OPEN"))))))),"INVALID – error value in an input cell")</f>
        <v>OPEN</v>
      </c>
      <c r="AI291" s="61" t="n">
        <f aca="false">IF(OR(AH291="N/A – RULE",AH291="N/A – JUSTIFIED"),0,1)</f>
        <v>1</v>
      </c>
      <c r="AJ291" s="61" t="n">
        <f aca="false">IF(LEFT(AH291,8)="COMPLETE",1,0)</f>
        <v>0</v>
      </c>
      <c r="AK291" s="61" t="n">
        <f aca="false">IF(AND(AI291=1,AJ291=0,AsOfUTC&gt;Q291),1,0)</f>
        <v>0</v>
      </c>
      <c r="AL291" s="61" t="n">
        <f aca="false">IFERROR(IF(AND(AI291=1,OR(TRIM(U291)="Fail",AND(TRIM(AB291)&lt;&gt;"",TRIM(AB291)&lt;&gt;"Closed"),AND(ISNUMBER(AF291),AF291&lt;&gt;0,TRIM(U291)&lt;&gt;"Pass after CA"))),1,0),1)</f>
        <v>0</v>
      </c>
      <c r="AM291" s="61" t="n">
        <f aca="false">IF(LEFT(AH291,7)="INVALID",1,0)</f>
        <v>0</v>
      </c>
      <c r="AN291" s="61" t="n">
        <f aca="false">IF(AND(N291="Clarification required",AI291=1,AJ291=0),1,0)</f>
        <v>0</v>
      </c>
      <c r="AO291" s="61" t="str">
        <f aca="false">IF(AK291=1,SUM(AK$5:AK291),"")</f>
        <v/>
      </c>
      <c r="AP291" s="61" t="str">
        <f aca="false">IF(AL291=1,SUM(AL$5:AL291),"")</f>
        <v/>
      </c>
      <c r="AQ291" s="61" t="n">
        <v>0</v>
      </c>
      <c r="AR291" s="61" t="n">
        <v>0</v>
      </c>
      <c r="AS291" s="61" t="n">
        <v>0</v>
      </c>
      <c r="AT291" s="61" t="n">
        <v>0</v>
      </c>
      <c r="AU291" s="61" t="str">
        <f aca="false">SUBSTITUTE(SUBSTITUTE(SUBSTITUTE(SUBSTITUTE(SUBSTITUTE(SUBSTITUTE(SUBSTITUTE(SUBSTITUTE(SUBSTITUTE(SUBSTITUTE(SUBSTITUTE(SUBSTITUTE(SUBSTITUTE(LOWER(T291&amp;""),CHAR(160),"")," ",""),".",""),"-",""),"/",""),"?",""),"_",""),",",""),"[",""),"]",""),"(",""),")",""),"*","")</f>
        <v/>
      </c>
      <c r="AV291" s="61" t="str">
        <f aca="false">SUBSTITUTE(SUBSTITUTE(SUBSTITUTE(SUBSTITUTE(SUBSTITUTE(SUBSTITUTE(SUBSTITUTE(SUBSTITUTE(SUBSTITUTE(SUBSTITUTE(SUBSTITUTE(SUBSTITUTE(SUBSTITUTE(LOWER(V291&amp;""),CHAR(160),"")," ",""),".",""),"-",""),"/",""),"?",""),"_",""),",",""),"[",""),"]",""),"(",""),")",""),"*","")</f>
        <v/>
      </c>
      <c r="AW291" s="61" t="str">
        <f aca="false">SUBSTITUTE(SUBSTITUTE(SUBSTITUTE(SUBSTITUTE(SUBSTITUTE(SUBSTITUTE(SUBSTITUTE(SUBSTITUTE(SUBSTITUTE(SUBSTITUTE(SUBSTITUTE(SUBSTITUTE(SUBSTITUTE(LOWER(Z291&amp;""),CHAR(160),"")," ",""),".",""),"-",""),"/",""),"?",""),"_",""),",",""),"[",""),"]",""),"(",""),")",""),"*","")</f>
        <v/>
      </c>
      <c r="AX291" s="61" t="str">
        <f aca="false">SUBSTITUTE(SUBSTITUTE(SUBSTITUTE(SUBSTITUTE(SUBSTITUTE(SUBSTITUTE(SUBSTITUTE(SUBSTITUTE(SUBSTITUTE(SUBSTITUTE(SUBSTITUTE(SUBSTITUTE(SUBSTITUTE(LOWER(AE291&amp;""),CHAR(160),"")," ",""),".",""),"-",""),"/",""),"?",""),"_",""),",",""),"[",""),"]",""),"(",""),")",""),"*","")</f>
        <v/>
      </c>
      <c r="AY291" s="61" t="str">
        <f aca="false">SUBSTITUTE(SUBSTITUTE(SUBSTITUTE(SUBSTITUTE(SUBSTITUTE(SUBSTITUTE(SUBSTITUTE(SUBSTITUTE(SUBSTITUTE(SUBSTITUTE(SUBSTITUTE(SUBSTITUTE(SUBSTITUTE(LOWER(W291&amp;""),CHAR(160),"")," ",""),".",""),"-",""),"/",""),"?",""),"_",""),",",""),"[",""),"]",""),"(",""),")",""),"*","")</f>
        <v/>
      </c>
      <c r="AZ291" s="61" t="str">
        <f aca="false">SUBSTITUTE(SUBSTITUTE(SUBSTITUTE(SUBSTITUTE(SUBSTITUTE(SUBSTITUTE(SUBSTITUTE(SUBSTITUTE(SUBSTITUTE(SUBSTITUTE(SUBSTITUTE(SUBSTITUTE(SUBSTITUTE(LOWER(AC291&amp;""),CHAR(160),"")," ",""),".",""),"-",""),"/",""),"?",""),"_",""),",",""),"[",""),"]",""),"(",""),")",""),"*","")</f>
        <v/>
      </c>
      <c r="BA291" s="61" t="str">
        <f aca="false">SUBSTITUTE(SUBSTITUTE(SUBSTITUTE(SUBSTITUTE(SUBSTITUTE(SUBSTITUTE(SUBSTITUTE(SUBSTITUTE(SUBSTITUTE(SUBSTITUTE(SUBSTITUTE(SUBSTITUTE(SUBSTITUTE(LOWER(AA291&amp;""),CHAR(160),"")," ",""),".",""),"-",""),"/",""),"?",""),"_",""),",",""),"[",""),"]",""),"(",""),")",""),"*","")</f>
        <v/>
      </c>
      <c r="BB291" s="61" t="str">
        <f aca="false">IF(AND(TRIM(U291)="Pass",ISNUMBER(AF291)),IF(AF291&lt;&gt;0,"INVALID – qty variance: use Fail or Pass after CA",""),"")&amp;IF(AND(TRIM(U291)="Pass after CA",ISNUMBER(AF291)),IF(AF291&lt;&gt;0,"INVALID – after the corrective action the actual qty must equal expected (update Actual)",""),"")&amp;IF(AND(TRIM(U291)="Pass",TRIM(AB291)&lt;&gt;"",TRIM(AB291)&lt;&gt;"Closed"),"INVALID – corrective action not closed: use Fail, then Pass after CA","")&amp;IF(AND(TRIM(AA291)&lt;&gt;"",TRIM(AB291)=""),"INVALID – CA status missing for the recorded corrective action","")&amp;IF(AND(TRIM(U291)="Pass after CA",OR(OR(LEN(BA291)&lt;5,ISNUMBER(MATCH(BA291,L_Placeholder,0))),TRIM(AB291)&lt;&gt;"Closed")),"INVALID – corrective action not recorded/closed","")</f>
        <v/>
      </c>
    </row>
    <row r="292" customFormat="false" ht="39.75" hidden="false" customHeight="true" outlineLevel="0" collapsed="false">
      <c r="A292" s="57" t="s">
        <v>845</v>
      </c>
      <c r="B292" s="57" t="s">
        <v>243</v>
      </c>
      <c r="C292" s="57" t="str">
        <f aca="false">Flights!$F$13</f>
        <v>MH0753</v>
      </c>
      <c r="D292" s="58" t="n">
        <f aca="false">Flights!$D$13</f>
        <v>46306</v>
      </c>
      <c r="E292" s="57" t="str">
        <f aca="false">Flights!$G$13&amp;"-"&amp;Flights!$H$13</f>
        <v>HAN-KUL</v>
      </c>
      <c r="F292" s="57" t="str">
        <f aca="false">Flights!$K$13</f>
        <v>BC</v>
      </c>
      <c r="G292" s="57" t="s">
        <v>81</v>
      </c>
      <c r="H292" s="57" t="s">
        <v>356</v>
      </c>
      <c r="I292" s="57" t="s">
        <v>357</v>
      </c>
      <c r="J292" s="57" t="s">
        <v>394</v>
      </c>
      <c r="K292" s="67" t="s">
        <v>395</v>
      </c>
      <c r="L292" s="67" t="s">
        <v>396</v>
      </c>
      <c r="M292" s="67"/>
      <c r="N292" s="67" t="s">
        <v>361</v>
      </c>
      <c r="O292" s="67"/>
      <c r="P292" s="57" t="s">
        <v>237</v>
      </c>
      <c r="Q292" s="59" t="n">
        <f aca="false">ROUND((Flights!$AD$13)*1440,0)/1440</f>
        <v>46305.2534722222</v>
      </c>
      <c r="R292" s="59" t="n">
        <f aca="false">Q292+(IF(AND(INDEX(TZ_DSTS,MATCH(P292,TZ_STN,0))&lt;&gt;"",Q292&gt;=INDEX(TZ_DSTS,MATCH(P292,TZ_STN,0)),Q292&lt;INDEX(TZ_DSTE,MATCH(P292,TZ_STN,0))),INDEX(TZ_DST,MATCH(P292,TZ_STN,0)),INDEX(TZ_STD,MATCH(P292,TZ_STN,0))))/24</f>
        <v>46305.5451388889</v>
      </c>
      <c r="S292" s="59" t="n">
        <f aca="false">Q292-T24EarlyH/24</f>
        <v>46304.2534722222</v>
      </c>
      <c r="T292" s="60"/>
      <c r="U292" s="60"/>
      <c r="V292" s="60"/>
      <c r="W292" s="60"/>
      <c r="X292" s="60"/>
      <c r="Y292" s="60"/>
      <c r="Z292" s="60"/>
      <c r="AA292" s="60"/>
      <c r="AB292" s="60"/>
      <c r="AC292" s="60"/>
      <c r="AD292" s="66"/>
      <c r="AE292" s="60"/>
      <c r="AF292" s="61" t="str">
        <f aca="false">IF(AND(ISNUMBER(X292),ISNUMBER(Y292)),Y292-X292,"")</f>
        <v/>
      </c>
      <c r="AG292" s="62" t="str">
        <f aca="false">IF(ISNUMBER(AD292),AD292-(IF(AND(INDEX(TZ_DSTS,MATCH(P292,TZ_STN,0))&lt;&gt;"",(AD292-INDEX(TZ_STD,MATCH(P292,TZ_STN,0))/24)&gt;=INDEX(TZ_DSTS,MATCH(P292,TZ_STN,0)),(AD292-INDEX(TZ_STD,MATCH(P292,TZ_STN,0))/24)&lt;INDEX(TZ_DSTE,MATCH(P292,TZ_STN,0))),INDEX(TZ_DST,MATCH(P292,TZ_STN,0)),INDEX(TZ_STD,MATCH(P292,TZ_STN,0))))/24,"")</f>
        <v/>
      </c>
      <c r="AH292" s="65" t="str">
        <f aca="false">IFERROR(IF(N292="N/A – rule","N/A – RULE",IF(TRIM(U292)="N/A",IF(AT292=0,"INVALID – N/A not permitted for this check",IF(AND(TRIM(AB292)&lt;&gt;"",TRIM(AB292)&lt;&gt;"Closed"),"INVALID – corrective action still open",IF(AND(NOT(OR(LEN(AZ292)&lt;15,ISNUMBER(MATCH(AZ292,L_Placeholder,0)))),NOT(OR(LEN(AU292)&lt;2,ISNUMBER(MATCH(AU292,L_Placeholder,0)))),NOT(OR(LEN(AX292)&lt;2,ISNUMBER(MATCH(AX292,L_Placeholder,0)))),TRIM(AE292)&lt;&gt;TRIM(T292)),"N/A – JUSTIFIED","INVALID – N/A needs a real justification (15+ chars), PIC and a different verifier"))),IF(OR(TRIM(U292)="Pass",TRIM(U292)="Pass after CA"),IF(NOT(ISNUMBER(AD292)),"INVALID – completion time missing",IF(OR(LEN(AU292)&lt;2,ISNUMBER(MATCH(AU292,L_Placeholder,0))),"INVALID – PIC missing",IF(OR(LEN(AV292)&lt;2,ISNUMBER(MATCH(AV292,L_Placeholder,0))),"INVALID – result / assessment missing",IF(OR(OR(LEN(AW292)&lt;3,ISNUMBER(MATCH(AW292,L_Placeholder,0))),SUMPRODUCT(--ISNUMBER(SEARCH(L_EvidencePhrase,AW292)))&gt;0),"INVALID – evidence missing, placeholder or not yet on file",IF(OR(LEN(AX292)&lt;2,ISNUMBER(MATCH(AX292,L_Placeholder,0))),"INVALID – verifier missing",IF(AX292=AU292,"INVALID – verifier must be someone other than the PIC",IF(AND(TRIM(U292)="Pass",SUMPRODUCT(--ISNUMBER(SEARCH(L_ResultBad,AV292)))&gt;0),"INVALID – result describes a problem: use Fail, then Pass after CA",IF(AND(AQ292=1,OR(LEN(AY292)&lt;3,ISNUMBER(MATCH(AY292,L_Placeholder,0)))),"INVALID – batch ID missing or placeholder",IF(AND(AR292=1,OR(NOT(ISNUMBER(X292)),NOT(ISNUMBER(Y292)))),"INVALID – expected/actual qty missing",IF(AND(AR292=1,OR(X292&lt;=0,Y292&lt;0)),"INVALID – expected qty must be above 0 and actual not negative",IF(BB292&lt;&gt;"",BB292,IF(AND(AS292=1,Documents!$J$13&lt;&gt;"ON FILE"),"INVALID – GLD not on file (Documents sheet)",IF(AND(AS292=2,Documents!$O$13&lt;&gt;"ON FILE"),"INVALID – menu checklist not on file (Documents sheet)",IF(AND(AS292=3,NOT(ISNUMBER(Flights!$AX$13))),"INVALID – enter carrying flight KUL departure (Flights AX)",IF(AND(AS292=3,OR(Flights!$AZ$13&gt;Flights!$AA$13,Flights!$AX$13&lt;Flights!$AA$13-3)),"INVALID – carrying flight (Flights AX) cannot arrive before this leg's STD, or is over 3 days early",IF(AG292&gt;AsOfUTC,"INVALID – completion time is in the future",IF(AND(ISNUMBER(S292),AG292&lt;S292),IF(H292="Physical uplift","INVALID – before uplift window (cannot confirm loading)","INVALID – before valid window"),IF(AG292&gt;Flights!$AA$13,"INVALID – completed after departure (cannot establish readiness)",IF(AND(H292="Preparation",AG292&gt;IF(ISNUMBER(Flights!$BA$13),MIN(Flights!$BA$13,Flights!$AA$13),Flights!$AA$13)),"INVALID – completed after loading / departure (cannot establish readiness)",IF(AND(H292="Physical uplift",AG292&gt;Q292),"INVALID – recorded after the loading flight departed",IF(AG292&gt;Q292,"COMPLETE – LATE","COMPLETE"))))))))))))))))))))),IF(TRIM(U292)="Fail","FAIL – DISCREPANCY",IF(AND(TRIM(U292)&lt;&gt;"",TRIM(U292)&lt;&gt;"Not started",TRIM(U292)&lt;&gt;"In progress"),"INVALID – unrecognised status (use the list)",IF(AsOfUTC&gt;Q292,"OVERDUE",IF(N292="Clarification required","OPEN – CLARIFICATION","OPEN"))))))),"INVALID – error value in an input cell")</f>
        <v>OPEN</v>
      </c>
      <c r="AI292" s="61" t="n">
        <f aca="false">IF(OR(AH292="N/A – RULE",AH292="N/A – JUSTIFIED"),0,1)</f>
        <v>1</v>
      </c>
      <c r="AJ292" s="61" t="n">
        <f aca="false">IF(LEFT(AH292,8)="COMPLETE",1,0)</f>
        <v>0</v>
      </c>
      <c r="AK292" s="61" t="n">
        <f aca="false">IF(AND(AI292=1,AJ292=0,AsOfUTC&gt;Q292),1,0)</f>
        <v>0</v>
      </c>
      <c r="AL292" s="61" t="n">
        <f aca="false">IFERROR(IF(AND(AI292=1,OR(TRIM(U292)="Fail",AND(TRIM(AB292)&lt;&gt;"",TRIM(AB292)&lt;&gt;"Closed"),AND(ISNUMBER(AF292),AF292&lt;&gt;0,TRIM(U292)&lt;&gt;"Pass after CA"))),1,0),1)</f>
        <v>0</v>
      </c>
      <c r="AM292" s="61" t="n">
        <f aca="false">IF(LEFT(AH292,7)="INVALID",1,0)</f>
        <v>0</v>
      </c>
      <c r="AN292" s="61" t="n">
        <f aca="false">IF(AND(N292="Clarification required",AI292=1,AJ292=0),1,0)</f>
        <v>0</v>
      </c>
      <c r="AO292" s="61" t="str">
        <f aca="false">IF(AK292=1,SUM(AK$5:AK292),"")</f>
        <v/>
      </c>
      <c r="AP292" s="61" t="str">
        <f aca="false">IF(AL292=1,SUM(AL$5:AL292),"")</f>
        <v/>
      </c>
      <c r="AQ292" s="61" t="n">
        <v>1</v>
      </c>
      <c r="AR292" s="61" t="n">
        <v>0</v>
      </c>
      <c r="AS292" s="61" t="n">
        <v>0</v>
      </c>
      <c r="AT292" s="61" t="n">
        <v>0</v>
      </c>
      <c r="AU292" s="61" t="str">
        <f aca="false">SUBSTITUTE(SUBSTITUTE(SUBSTITUTE(SUBSTITUTE(SUBSTITUTE(SUBSTITUTE(SUBSTITUTE(SUBSTITUTE(SUBSTITUTE(SUBSTITUTE(SUBSTITUTE(SUBSTITUTE(SUBSTITUTE(LOWER(T292&amp;""),CHAR(160),"")," ",""),".",""),"-",""),"/",""),"?",""),"_",""),",",""),"[",""),"]",""),"(",""),")",""),"*","")</f>
        <v/>
      </c>
      <c r="AV292" s="61" t="str">
        <f aca="false">SUBSTITUTE(SUBSTITUTE(SUBSTITUTE(SUBSTITUTE(SUBSTITUTE(SUBSTITUTE(SUBSTITUTE(SUBSTITUTE(SUBSTITUTE(SUBSTITUTE(SUBSTITUTE(SUBSTITUTE(SUBSTITUTE(LOWER(V292&amp;""),CHAR(160),"")," ",""),".",""),"-",""),"/",""),"?",""),"_",""),",",""),"[",""),"]",""),"(",""),")",""),"*","")</f>
        <v/>
      </c>
      <c r="AW292" s="61" t="str">
        <f aca="false">SUBSTITUTE(SUBSTITUTE(SUBSTITUTE(SUBSTITUTE(SUBSTITUTE(SUBSTITUTE(SUBSTITUTE(SUBSTITUTE(SUBSTITUTE(SUBSTITUTE(SUBSTITUTE(SUBSTITUTE(SUBSTITUTE(LOWER(Z292&amp;""),CHAR(160),"")," ",""),".",""),"-",""),"/",""),"?",""),"_",""),",",""),"[",""),"]",""),"(",""),")",""),"*","")</f>
        <v/>
      </c>
      <c r="AX292" s="61" t="str">
        <f aca="false">SUBSTITUTE(SUBSTITUTE(SUBSTITUTE(SUBSTITUTE(SUBSTITUTE(SUBSTITUTE(SUBSTITUTE(SUBSTITUTE(SUBSTITUTE(SUBSTITUTE(SUBSTITUTE(SUBSTITUTE(SUBSTITUTE(LOWER(AE292&amp;""),CHAR(160),"")," ",""),".",""),"-",""),"/",""),"?",""),"_",""),",",""),"[",""),"]",""),"(",""),")",""),"*","")</f>
        <v/>
      </c>
      <c r="AY292" s="61" t="str">
        <f aca="false">SUBSTITUTE(SUBSTITUTE(SUBSTITUTE(SUBSTITUTE(SUBSTITUTE(SUBSTITUTE(SUBSTITUTE(SUBSTITUTE(SUBSTITUTE(SUBSTITUTE(SUBSTITUTE(SUBSTITUTE(SUBSTITUTE(LOWER(W292&amp;""),CHAR(160),"")," ",""),".",""),"-",""),"/",""),"?",""),"_",""),",",""),"[",""),"]",""),"(",""),")",""),"*","")</f>
        <v/>
      </c>
      <c r="AZ292" s="61" t="str">
        <f aca="false">SUBSTITUTE(SUBSTITUTE(SUBSTITUTE(SUBSTITUTE(SUBSTITUTE(SUBSTITUTE(SUBSTITUTE(SUBSTITUTE(SUBSTITUTE(SUBSTITUTE(SUBSTITUTE(SUBSTITUTE(SUBSTITUTE(LOWER(AC292&amp;""),CHAR(160),"")," ",""),".",""),"-",""),"/",""),"?",""),"_",""),",",""),"[",""),"]",""),"(",""),")",""),"*","")</f>
        <v/>
      </c>
      <c r="BA292" s="61" t="str">
        <f aca="false">SUBSTITUTE(SUBSTITUTE(SUBSTITUTE(SUBSTITUTE(SUBSTITUTE(SUBSTITUTE(SUBSTITUTE(SUBSTITUTE(SUBSTITUTE(SUBSTITUTE(SUBSTITUTE(SUBSTITUTE(SUBSTITUTE(LOWER(AA292&amp;""),CHAR(160),"")," ",""),".",""),"-",""),"/",""),"?",""),"_",""),",",""),"[",""),"]",""),"(",""),")",""),"*","")</f>
        <v/>
      </c>
      <c r="BB292" s="61" t="str">
        <f aca="false">IF(AND(TRIM(U292)="Pass",ISNUMBER(AF292)),IF(AF292&lt;&gt;0,"INVALID – qty variance: use Fail or Pass after CA",""),"")&amp;IF(AND(TRIM(U292)="Pass after CA",ISNUMBER(AF292)),IF(AF292&lt;&gt;0,"INVALID – after the corrective action the actual qty must equal expected (update Actual)",""),"")&amp;IF(AND(TRIM(U292)="Pass",TRIM(AB292)&lt;&gt;"",TRIM(AB292)&lt;&gt;"Closed"),"INVALID – corrective action not closed: use Fail, then Pass after CA","")&amp;IF(AND(TRIM(AA292)&lt;&gt;"",TRIM(AB292)=""),"INVALID – CA status missing for the recorded corrective action","")&amp;IF(AND(TRIM(U292)="Pass after CA",OR(OR(LEN(BA292)&lt;5,ISNUMBER(MATCH(BA292,L_Placeholder,0))),TRIM(AB292)&lt;&gt;"Closed")),"INVALID – corrective action not recorded/closed","")</f>
        <v/>
      </c>
    </row>
    <row r="293" customFormat="false" ht="39.75" hidden="false" customHeight="true" outlineLevel="0" collapsed="false">
      <c r="A293" s="57" t="s">
        <v>846</v>
      </c>
      <c r="B293" s="57" t="s">
        <v>243</v>
      </c>
      <c r="C293" s="57" t="str">
        <f aca="false">Flights!$F$13</f>
        <v>MH0753</v>
      </c>
      <c r="D293" s="58" t="n">
        <f aca="false">Flights!$D$13</f>
        <v>46306</v>
      </c>
      <c r="E293" s="57" t="str">
        <f aca="false">Flights!$G$13&amp;"-"&amp;Flights!$H$13</f>
        <v>HAN-KUL</v>
      </c>
      <c r="F293" s="57" t="str">
        <f aca="false">Flights!$K$13</f>
        <v>BC</v>
      </c>
      <c r="G293" s="57" t="s">
        <v>398</v>
      </c>
      <c r="H293" s="57" t="s">
        <v>356</v>
      </c>
      <c r="I293" s="57" t="s">
        <v>357</v>
      </c>
      <c r="J293" s="57" t="s">
        <v>399</v>
      </c>
      <c r="K293" s="67"/>
      <c r="L293" s="67" t="s">
        <v>400</v>
      </c>
      <c r="M293" s="67"/>
      <c r="N293" s="67" t="s">
        <v>361</v>
      </c>
      <c r="O293" s="67" t="s">
        <v>401</v>
      </c>
      <c r="P293" s="57" t="s">
        <v>237</v>
      </c>
      <c r="Q293" s="59" t="n">
        <f aca="false">ROUND((Flights!$AE$13)*1440,0)/1440</f>
        <v>46305.7534722222</v>
      </c>
      <c r="R293" s="59" t="n">
        <f aca="false">Q293+(IF(AND(INDEX(TZ_DSTS,MATCH(P293,TZ_STN,0))&lt;&gt;"",Q293&gt;=INDEX(TZ_DSTS,MATCH(P293,TZ_STN,0)),Q293&lt;INDEX(TZ_DSTE,MATCH(P293,TZ_STN,0))),INDEX(TZ_DST,MATCH(P293,TZ_STN,0)),INDEX(TZ_STD,MATCH(P293,TZ_STN,0))))/24</f>
        <v>46306.0451388889</v>
      </c>
      <c r="S293" s="59" t="n">
        <f aca="false">Q293-T12EarlyH/24</f>
        <v>46305.2534722222</v>
      </c>
      <c r="T293" s="60"/>
      <c r="U293" s="60"/>
      <c r="V293" s="60"/>
      <c r="W293" s="61"/>
      <c r="X293" s="60"/>
      <c r="Y293" s="60"/>
      <c r="Z293" s="60"/>
      <c r="AA293" s="60"/>
      <c r="AB293" s="60"/>
      <c r="AC293" s="60"/>
      <c r="AD293" s="66"/>
      <c r="AE293" s="60"/>
      <c r="AF293" s="61" t="str">
        <f aca="false">IF(AND(ISNUMBER(X293),ISNUMBER(Y293)),Y293-X293,"")</f>
        <v/>
      </c>
      <c r="AG293" s="62" t="str">
        <f aca="false">IF(ISNUMBER(AD293),AD293-(IF(AND(INDEX(TZ_DSTS,MATCH(P293,TZ_STN,0))&lt;&gt;"",(AD293-INDEX(TZ_STD,MATCH(P293,TZ_STN,0))/24)&gt;=INDEX(TZ_DSTS,MATCH(P293,TZ_STN,0)),(AD293-INDEX(TZ_STD,MATCH(P293,TZ_STN,0))/24)&lt;INDEX(TZ_DSTE,MATCH(P293,TZ_STN,0))),INDEX(TZ_DST,MATCH(P293,TZ_STN,0)),INDEX(TZ_STD,MATCH(P293,TZ_STN,0))))/24,"")</f>
        <v/>
      </c>
      <c r="AH293" s="65" t="str">
        <f aca="false">IFERROR(IF(N293="N/A – rule","N/A – RULE",IF(TRIM(U293)="N/A",IF(AT293=0,"INVALID – N/A not permitted for this check",IF(AND(TRIM(AB293)&lt;&gt;"",TRIM(AB293)&lt;&gt;"Closed"),"INVALID – corrective action still open",IF(AND(NOT(OR(LEN(AZ293)&lt;15,ISNUMBER(MATCH(AZ293,L_Placeholder,0)))),NOT(OR(LEN(AU293)&lt;2,ISNUMBER(MATCH(AU293,L_Placeholder,0)))),NOT(OR(LEN(AX293)&lt;2,ISNUMBER(MATCH(AX293,L_Placeholder,0)))),TRIM(AE293)&lt;&gt;TRIM(T293)),"N/A – JUSTIFIED","INVALID – N/A needs a real justification (15+ chars), PIC and a different verifier"))),IF(OR(TRIM(U293)="Pass",TRIM(U293)="Pass after CA"),IF(NOT(ISNUMBER(AD293)),"INVALID – completion time missing",IF(OR(LEN(AU293)&lt;2,ISNUMBER(MATCH(AU293,L_Placeholder,0))),"INVALID – PIC missing",IF(OR(LEN(AV293)&lt;2,ISNUMBER(MATCH(AV293,L_Placeholder,0))),"INVALID – result / assessment missing",IF(OR(OR(LEN(AW293)&lt;3,ISNUMBER(MATCH(AW293,L_Placeholder,0))),SUMPRODUCT(--ISNUMBER(SEARCH(L_EvidencePhrase,AW293)))&gt;0),"INVALID – evidence missing, placeholder or not yet on file",IF(OR(LEN(AX293)&lt;2,ISNUMBER(MATCH(AX293,L_Placeholder,0))),"INVALID – verifier missing",IF(AX293=AU293,"INVALID – verifier must be someone other than the PIC",IF(AND(TRIM(U293)="Pass",SUMPRODUCT(--ISNUMBER(SEARCH(L_ResultBad,AV293)))&gt;0),"INVALID – result describes a problem: use Fail, then Pass after CA",IF(AND(AQ293=1,OR(LEN(AY293)&lt;3,ISNUMBER(MATCH(AY293,L_Placeholder,0)))),"INVALID – batch ID missing or placeholder",IF(AND(AR293=1,OR(NOT(ISNUMBER(X293)),NOT(ISNUMBER(Y293)))),"INVALID – expected/actual qty missing",IF(AND(AR293=1,OR(X293&lt;=0,Y293&lt;0)),"INVALID – expected qty must be above 0 and actual not negative",IF(BB293&lt;&gt;"",BB293,IF(AND(AS293=1,Documents!$J$13&lt;&gt;"ON FILE"),"INVALID – GLD not on file (Documents sheet)",IF(AND(AS293=2,Documents!$O$13&lt;&gt;"ON FILE"),"INVALID – menu checklist not on file (Documents sheet)",IF(AND(AS293=3,NOT(ISNUMBER(Flights!$AX$13))),"INVALID – enter carrying flight KUL departure (Flights AX)",IF(AND(AS293=3,OR(Flights!$AZ$13&gt;Flights!$AA$13,Flights!$AX$13&lt;Flights!$AA$13-3)),"INVALID – carrying flight (Flights AX) cannot arrive before this leg's STD, or is over 3 days early",IF(AG293&gt;AsOfUTC,"INVALID – completion time is in the future",IF(AND(ISNUMBER(S293),AG293&lt;S293),IF(H293="Physical uplift","INVALID – before uplift window (cannot confirm loading)","INVALID – before valid window"),IF(AG293&gt;Flights!$AA$13,"INVALID – completed after departure (cannot establish readiness)",IF(AND(H293="Preparation",AG293&gt;IF(ISNUMBER(Flights!$BA$13),MIN(Flights!$BA$13,Flights!$AA$13),Flights!$AA$13)),"INVALID – completed after loading / departure (cannot establish readiness)",IF(AND(H293="Physical uplift",AG293&gt;Q293),"INVALID – recorded after the loading flight departed",IF(AG293&gt;Q293,"COMPLETE – LATE","COMPLETE"))))))))))))))))))))),IF(TRIM(U293)="Fail","FAIL – DISCREPANCY",IF(AND(TRIM(U293)&lt;&gt;"",TRIM(U293)&lt;&gt;"Not started",TRIM(U293)&lt;&gt;"In progress"),"INVALID – unrecognised status (use the list)",IF(AsOfUTC&gt;Q293,"OVERDUE",IF(N293="Clarification required","OPEN – CLARIFICATION","OPEN"))))))),"INVALID – error value in an input cell")</f>
        <v>OPEN</v>
      </c>
      <c r="AI293" s="61" t="n">
        <f aca="false">IF(OR(AH293="N/A – RULE",AH293="N/A – JUSTIFIED"),0,1)</f>
        <v>1</v>
      </c>
      <c r="AJ293" s="61" t="n">
        <f aca="false">IF(LEFT(AH293,8)="COMPLETE",1,0)</f>
        <v>0</v>
      </c>
      <c r="AK293" s="61" t="n">
        <f aca="false">IF(AND(AI293=1,AJ293=0,AsOfUTC&gt;Q293),1,0)</f>
        <v>0</v>
      </c>
      <c r="AL293" s="61" t="n">
        <f aca="false">IFERROR(IF(AND(AI293=1,OR(TRIM(U293)="Fail",AND(TRIM(AB293)&lt;&gt;"",TRIM(AB293)&lt;&gt;"Closed"),AND(ISNUMBER(AF293),AF293&lt;&gt;0,TRIM(U293)&lt;&gt;"Pass after CA"))),1,0),1)</f>
        <v>0</v>
      </c>
      <c r="AM293" s="61" t="n">
        <f aca="false">IF(LEFT(AH293,7)="INVALID",1,0)</f>
        <v>0</v>
      </c>
      <c r="AN293" s="61" t="n">
        <f aca="false">IF(AND(N293="Clarification required",AI293=1,AJ293=0),1,0)</f>
        <v>0</v>
      </c>
      <c r="AO293" s="61" t="str">
        <f aca="false">IF(AK293=1,SUM(AK$5:AK293),"")</f>
        <v/>
      </c>
      <c r="AP293" s="61" t="str">
        <f aca="false">IF(AL293=1,SUM(AL$5:AL293),"")</f>
        <v/>
      </c>
      <c r="AQ293" s="61" t="n">
        <v>0</v>
      </c>
      <c r="AR293" s="61" t="n">
        <v>0</v>
      </c>
      <c r="AS293" s="61" t="n">
        <v>0</v>
      </c>
      <c r="AT293" s="61" t="n">
        <v>0</v>
      </c>
      <c r="AU293" s="61" t="str">
        <f aca="false">SUBSTITUTE(SUBSTITUTE(SUBSTITUTE(SUBSTITUTE(SUBSTITUTE(SUBSTITUTE(SUBSTITUTE(SUBSTITUTE(SUBSTITUTE(SUBSTITUTE(SUBSTITUTE(SUBSTITUTE(SUBSTITUTE(LOWER(T293&amp;""),CHAR(160),"")," ",""),".",""),"-",""),"/",""),"?",""),"_",""),",",""),"[",""),"]",""),"(",""),")",""),"*","")</f>
        <v/>
      </c>
      <c r="AV293" s="61" t="str">
        <f aca="false">SUBSTITUTE(SUBSTITUTE(SUBSTITUTE(SUBSTITUTE(SUBSTITUTE(SUBSTITUTE(SUBSTITUTE(SUBSTITUTE(SUBSTITUTE(SUBSTITUTE(SUBSTITUTE(SUBSTITUTE(SUBSTITUTE(LOWER(V293&amp;""),CHAR(160),"")," ",""),".",""),"-",""),"/",""),"?",""),"_",""),",",""),"[",""),"]",""),"(",""),")",""),"*","")</f>
        <v/>
      </c>
      <c r="AW293" s="61" t="str">
        <f aca="false">SUBSTITUTE(SUBSTITUTE(SUBSTITUTE(SUBSTITUTE(SUBSTITUTE(SUBSTITUTE(SUBSTITUTE(SUBSTITUTE(SUBSTITUTE(SUBSTITUTE(SUBSTITUTE(SUBSTITUTE(SUBSTITUTE(LOWER(Z293&amp;""),CHAR(160),"")," ",""),".",""),"-",""),"/",""),"?",""),"_",""),",",""),"[",""),"]",""),"(",""),")",""),"*","")</f>
        <v/>
      </c>
      <c r="AX293" s="61" t="str">
        <f aca="false">SUBSTITUTE(SUBSTITUTE(SUBSTITUTE(SUBSTITUTE(SUBSTITUTE(SUBSTITUTE(SUBSTITUTE(SUBSTITUTE(SUBSTITUTE(SUBSTITUTE(SUBSTITUTE(SUBSTITUTE(SUBSTITUTE(LOWER(AE293&amp;""),CHAR(160),"")," ",""),".",""),"-",""),"/",""),"?",""),"_",""),",",""),"[",""),"]",""),"(",""),")",""),"*","")</f>
        <v/>
      </c>
      <c r="AY293" s="61" t="str">
        <f aca="false">SUBSTITUTE(SUBSTITUTE(SUBSTITUTE(SUBSTITUTE(SUBSTITUTE(SUBSTITUTE(SUBSTITUTE(SUBSTITUTE(SUBSTITUTE(SUBSTITUTE(SUBSTITUTE(SUBSTITUTE(SUBSTITUTE(LOWER(W293&amp;""),CHAR(160),"")," ",""),".",""),"-",""),"/",""),"?",""),"_",""),",",""),"[",""),"]",""),"(",""),")",""),"*","")</f>
        <v/>
      </c>
      <c r="AZ293" s="61" t="str">
        <f aca="false">SUBSTITUTE(SUBSTITUTE(SUBSTITUTE(SUBSTITUTE(SUBSTITUTE(SUBSTITUTE(SUBSTITUTE(SUBSTITUTE(SUBSTITUTE(SUBSTITUTE(SUBSTITUTE(SUBSTITUTE(SUBSTITUTE(LOWER(AC293&amp;""),CHAR(160),"")," ",""),".",""),"-",""),"/",""),"?",""),"_",""),",",""),"[",""),"]",""),"(",""),")",""),"*","")</f>
        <v/>
      </c>
      <c r="BA293" s="61" t="str">
        <f aca="false">SUBSTITUTE(SUBSTITUTE(SUBSTITUTE(SUBSTITUTE(SUBSTITUTE(SUBSTITUTE(SUBSTITUTE(SUBSTITUTE(SUBSTITUTE(SUBSTITUTE(SUBSTITUTE(SUBSTITUTE(SUBSTITUTE(LOWER(AA293&amp;""),CHAR(160),"")," ",""),".",""),"-",""),"/",""),"?",""),"_",""),",",""),"[",""),"]",""),"(",""),")",""),"*","")</f>
        <v/>
      </c>
      <c r="BB293" s="61" t="str">
        <f aca="false">IF(AND(TRIM(U293)="Pass",ISNUMBER(AF293)),IF(AF293&lt;&gt;0,"INVALID – qty variance: use Fail or Pass after CA",""),"")&amp;IF(AND(TRIM(U293)="Pass after CA",ISNUMBER(AF293)),IF(AF293&lt;&gt;0,"INVALID – after the corrective action the actual qty must equal expected (update Actual)",""),"")&amp;IF(AND(TRIM(U293)="Pass",TRIM(AB293)&lt;&gt;"",TRIM(AB293)&lt;&gt;"Closed"),"INVALID – corrective action not closed: use Fail, then Pass after CA","")&amp;IF(AND(TRIM(AA293)&lt;&gt;"",TRIM(AB293)=""),"INVALID – CA status missing for the recorded corrective action","")&amp;IF(AND(TRIM(U293)="Pass after CA",OR(OR(LEN(BA293)&lt;5,ISNUMBER(MATCH(BA293,L_Placeholder,0))),TRIM(AB293)&lt;&gt;"Closed")),"INVALID – corrective action not recorded/closed","")</f>
        <v/>
      </c>
    </row>
    <row r="294" customFormat="false" ht="39.75" hidden="false" customHeight="true" outlineLevel="0" collapsed="false">
      <c r="A294" s="57" t="s">
        <v>847</v>
      </c>
      <c r="B294" s="57" t="s">
        <v>243</v>
      </c>
      <c r="C294" s="57" t="str">
        <f aca="false">Flights!$F$13</f>
        <v>MH0753</v>
      </c>
      <c r="D294" s="58" t="n">
        <f aca="false">Flights!$D$13</f>
        <v>46306</v>
      </c>
      <c r="E294" s="57" t="str">
        <f aca="false">Flights!$G$13&amp;"-"&amp;Flights!$H$13</f>
        <v>HAN-KUL</v>
      </c>
      <c r="F294" s="57" t="str">
        <f aca="false">Flights!$K$13</f>
        <v>BC</v>
      </c>
      <c r="G294" s="57" t="s">
        <v>398</v>
      </c>
      <c r="H294" s="57" t="s">
        <v>356</v>
      </c>
      <c r="I294" s="57" t="s">
        <v>357</v>
      </c>
      <c r="J294" s="57" t="s">
        <v>403</v>
      </c>
      <c r="K294" s="67" t="s">
        <v>404</v>
      </c>
      <c r="L294" s="67" t="s">
        <v>400</v>
      </c>
      <c r="M294" s="67"/>
      <c r="N294" s="67" t="s">
        <v>361</v>
      </c>
      <c r="O294" s="67" t="s">
        <v>401</v>
      </c>
      <c r="P294" s="57" t="s">
        <v>237</v>
      </c>
      <c r="Q294" s="59" t="n">
        <f aca="false">ROUND((Flights!$AE$13)*1440,0)/1440</f>
        <v>46305.7534722222</v>
      </c>
      <c r="R294" s="59" t="n">
        <f aca="false">Q294+(IF(AND(INDEX(TZ_DSTS,MATCH(P294,TZ_STN,0))&lt;&gt;"",Q294&gt;=INDEX(TZ_DSTS,MATCH(P294,TZ_STN,0)),Q294&lt;INDEX(TZ_DSTE,MATCH(P294,TZ_STN,0))),INDEX(TZ_DST,MATCH(P294,TZ_STN,0)),INDEX(TZ_STD,MATCH(P294,TZ_STN,0))))/24</f>
        <v>46306.0451388889</v>
      </c>
      <c r="S294" s="59" t="n">
        <f aca="false">Q294-T12EarlyH/24</f>
        <v>46305.2534722222</v>
      </c>
      <c r="T294" s="60"/>
      <c r="U294" s="60"/>
      <c r="V294" s="60"/>
      <c r="W294" s="61"/>
      <c r="X294" s="60"/>
      <c r="Y294" s="60"/>
      <c r="Z294" s="60"/>
      <c r="AA294" s="60"/>
      <c r="AB294" s="60"/>
      <c r="AC294" s="60"/>
      <c r="AD294" s="66"/>
      <c r="AE294" s="60"/>
      <c r="AF294" s="61" t="str">
        <f aca="false">IF(AND(ISNUMBER(X294),ISNUMBER(Y294)),Y294-X294,"")</f>
        <v/>
      </c>
      <c r="AG294" s="62" t="str">
        <f aca="false">IF(ISNUMBER(AD294),AD294-(IF(AND(INDEX(TZ_DSTS,MATCH(P294,TZ_STN,0))&lt;&gt;"",(AD294-INDEX(TZ_STD,MATCH(P294,TZ_STN,0))/24)&gt;=INDEX(TZ_DSTS,MATCH(P294,TZ_STN,0)),(AD294-INDEX(TZ_STD,MATCH(P294,TZ_STN,0))/24)&lt;INDEX(TZ_DSTE,MATCH(P294,TZ_STN,0))),INDEX(TZ_DST,MATCH(P294,TZ_STN,0)),INDEX(TZ_STD,MATCH(P294,TZ_STN,0))))/24,"")</f>
        <v/>
      </c>
      <c r="AH294" s="65" t="str">
        <f aca="false">IFERROR(IF(N294="N/A – rule","N/A – RULE",IF(TRIM(U294)="N/A",IF(AT294=0,"INVALID – N/A not permitted for this check",IF(AND(TRIM(AB294)&lt;&gt;"",TRIM(AB294)&lt;&gt;"Closed"),"INVALID – corrective action still open",IF(AND(NOT(OR(LEN(AZ294)&lt;15,ISNUMBER(MATCH(AZ294,L_Placeholder,0)))),NOT(OR(LEN(AU294)&lt;2,ISNUMBER(MATCH(AU294,L_Placeholder,0)))),NOT(OR(LEN(AX294)&lt;2,ISNUMBER(MATCH(AX294,L_Placeholder,0)))),TRIM(AE294)&lt;&gt;TRIM(T294)),"N/A – JUSTIFIED","INVALID – N/A needs a real justification (15+ chars), PIC and a different verifier"))),IF(OR(TRIM(U294)="Pass",TRIM(U294)="Pass after CA"),IF(NOT(ISNUMBER(AD294)),"INVALID – completion time missing",IF(OR(LEN(AU294)&lt;2,ISNUMBER(MATCH(AU294,L_Placeholder,0))),"INVALID – PIC missing",IF(OR(LEN(AV294)&lt;2,ISNUMBER(MATCH(AV294,L_Placeholder,0))),"INVALID – result / assessment missing",IF(OR(OR(LEN(AW294)&lt;3,ISNUMBER(MATCH(AW294,L_Placeholder,0))),SUMPRODUCT(--ISNUMBER(SEARCH(L_EvidencePhrase,AW294)))&gt;0),"INVALID – evidence missing, placeholder or not yet on file",IF(OR(LEN(AX294)&lt;2,ISNUMBER(MATCH(AX294,L_Placeholder,0))),"INVALID – verifier missing",IF(AX294=AU294,"INVALID – verifier must be someone other than the PIC",IF(AND(TRIM(U294)="Pass",SUMPRODUCT(--ISNUMBER(SEARCH(L_ResultBad,AV294)))&gt;0),"INVALID – result describes a problem: use Fail, then Pass after CA",IF(AND(AQ294=1,OR(LEN(AY294)&lt;3,ISNUMBER(MATCH(AY294,L_Placeholder,0)))),"INVALID – batch ID missing or placeholder",IF(AND(AR294=1,OR(NOT(ISNUMBER(X294)),NOT(ISNUMBER(Y294)))),"INVALID – expected/actual qty missing",IF(AND(AR294=1,OR(X294&lt;=0,Y294&lt;0)),"INVALID – expected qty must be above 0 and actual not negative",IF(BB294&lt;&gt;"",BB294,IF(AND(AS294=1,Documents!$J$13&lt;&gt;"ON FILE"),"INVALID – GLD not on file (Documents sheet)",IF(AND(AS294=2,Documents!$O$13&lt;&gt;"ON FILE"),"INVALID – menu checklist not on file (Documents sheet)",IF(AND(AS294=3,NOT(ISNUMBER(Flights!$AX$13))),"INVALID – enter carrying flight KUL departure (Flights AX)",IF(AND(AS294=3,OR(Flights!$AZ$13&gt;Flights!$AA$13,Flights!$AX$13&lt;Flights!$AA$13-3)),"INVALID – carrying flight (Flights AX) cannot arrive before this leg's STD, or is over 3 days early",IF(AG294&gt;AsOfUTC,"INVALID – completion time is in the future",IF(AND(ISNUMBER(S294),AG294&lt;S294),IF(H294="Physical uplift","INVALID – before uplift window (cannot confirm loading)","INVALID – before valid window"),IF(AG294&gt;Flights!$AA$13,"INVALID – completed after departure (cannot establish readiness)",IF(AND(H294="Preparation",AG294&gt;IF(ISNUMBER(Flights!$BA$13),MIN(Flights!$BA$13,Flights!$AA$13),Flights!$AA$13)),"INVALID – completed after loading / departure (cannot establish readiness)",IF(AND(H294="Physical uplift",AG294&gt;Q294),"INVALID – recorded after the loading flight departed",IF(AG294&gt;Q294,"COMPLETE – LATE","COMPLETE"))))))))))))))))))))),IF(TRIM(U294)="Fail","FAIL – DISCREPANCY",IF(AND(TRIM(U294)&lt;&gt;"",TRIM(U294)&lt;&gt;"Not started",TRIM(U294)&lt;&gt;"In progress"),"INVALID – unrecognised status (use the list)",IF(AsOfUTC&gt;Q294,"OVERDUE",IF(N294="Clarification required","OPEN – CLARIFICATION","OPEN"))))))),"INVALID – error value in an input cell")</f>
        <v>OPEN</v>
      </c>
      <c r="AI294" s="61" t="n">
        <f aca="false">IF(OR(AH294="N/A – RULE",AH294="N/A – JUSTIFIED"),0,1)</f>
        <v>1</v>
      </c>
      <c r="AJ294" s="61" t="n">
        <f aca="false">IF(LEFT(AH294,8)="COMPLETE",1,0)</f>
        <v>0</v>
      </c>
      <c r="AK294" s="61" t="n">
        <f aca="false">IF(AND(AI294=1,AJ294=0,AsOfUTC&gt;Q294),1,0)</f>
        <v>0</v>
      </c>
      <c r="AL294" s="61" t="n">
        <f aca="false">IFERROR(IF(AND(AI294=1,OR(TRIM(U294)="Fail",AND(TRIM(AB294)&lt;&gt;"",TRIM(AB294)&lt;&gt;"Closed"),AND(ISNUMBER(AF294),AF294&lt;&gt;0,TRIM(U294)&lt;&gt;"Pass after CA"))),1,0),1)</f>
        <v>0</v>
      </c>
      <c r="AM294" s="61" t="n">
        <f aca="false">IF(LEFT(AH294,7)="INVALID",1,0)</f>
        <v>0</v>
      </c>
      <c r="AN294" s="61" t="n">
        <f aca="false">IF(AND(N294="Clarification required",AI294=1,AJ294=0),1,0)</f>
        <v>0</v>
      </c>
      <c r="AO294" s="61" t="str">
        <f aca="false">IF(AK294=1,SUM(AK$5:AK294),"")</f>
        <v/>
      </c>
      <c r="AP294" s="61" t="str">
        <f aca="false">IF(AL294=1,SUM(AL$5:AL294),"")</f>
        <v/>
      </c>
      <c r="AQ294" s="61" t="n">
        <v>0</v>
      </c>
      <c r="AR294" s="61" t="n">
        <v>1</v>
      </c>
      <c r="AS294" s="61" t="n">
        <v>0</v>
      </c>
      <c r="AT294" s="61" t="n">
        <v>0</v>
      </c>
      <c r="AU294" s="61" t="str">
        <f aca="false">SUBSTITUTE(SUBSTITUTE(SUBSTITUTE(SUBSTITUTE(SUBSTITUTE(SUBSTITUTE(SUBSTITUTE(SUBSTITUTE(SUBSTITUTE(SUBSTITUTE(SUBSTITUTE(SUBSTITUTE(SUBSTITUTE(LOWER(T294&amp;""),CHAR(160),"")," ",""),".",""),"-",""),"/",""),"?",""),"_",""),",",""),"[",""),"]",""),"(",""),")",""),"*","")</f>
        <v/>
      </c>
      <c r="AV294" s="61" t="str">
        <f aca="false">SUBSTITUTE(SUBSTITUTE(SUBSTITUTE(SUBSTITUTE(SUBSTITUTE(SUBSTITUTE(SUBSTITUTE(SUBSTITUTE(SUBSTITUTE(SUBSTITUTE(SUBSTITUTE(SUBSTITUTE(SUBSTITUTE(LOWER(V294&amp;""),CHAR(160),"")," ",""),".",""),"-",""),"/",""),"?",""),"_",""),",",""),"[",""),"]",""),"(",""),")",""),"*","")</f>
        <v/>
      </c>
      <c r="AW294" s="61" t="str">
        <f aca="false">SUBSTITUTE(SUBSTITUTE(SUBSTITUTE(SUBSTITUTE(SUBSTITUTE(SUBSTITUTE(SUBSTITUTE(SUBSTITUTE(SUBSTITUTE(SUBSTITUTE(SUBSTITUTE(SUBSTITUTE(SUBSTITUTE(LOWER(Z294&amp;""),CHAR(160),"")," ",""),".",""),"-",""),"/",""),"?",""),"_",""),",",""),"[",""),"]",""),"(",""),")",""),"*","")</f>
        <v/>
      </c>
      <c r="AX294" s="61" t="str">
        <f aca="false">SUBSTITUTE(SUBSTITUTE(SUBSTITUTE(SUBSTITUTE(SUBSTITUTE(SUBSTITUTE(SUBSTITUTE(SUBSTITUTE(SUBSTITUTE(SUBSTITUTE(SUBSTITUTE(SUBSTITUTE(SUBSTITUTE(LOWER(AE294&amp;""),CHAR(160),"")," ",""),".",""),"-",""),"/",""),"?",""),"_",""),",",""),"[",""),"]",""),"(",""),")",""),"*","")</f>
        <v/>
      </c>
      <c r="AY294" s="61" t="str">
        <f aca="false">SUBSTITUTE(SUBSTITUTE(SUBSTITUTE(SUBSTITUTE(SUBSTITUTE(SUBSTITUTE(SUBSTITUTE(SUBSTITUTE(SUBSTITUTE(SUBSTITUTE(SUBSTITUTE(SUBSTITUTE(SUBSTITUTE(LOWER(W294&amp;""),CHAR(160),"")," ",""),".",""),"-",""),"/",""),"?",""),"_",""),",",""),"[",""),"]",""),"(",""),")",""),"*","")</f>
        <v/>
      </c>
      <c r="AZ294" s="61" t="str">
        <f aca="false">SUBSTITUTE(SUBSTITUTE(SUBSTITUTE(SUBSTITUTE(SUBSTITUTE(SUBSTITUTE(SUBSTITUTE(SUBSTITUTE(SUBSTITUTE(SUBSTITUTE(SUBSTITUTE(SUBSTITUTE(SUBSTITUTE(LOWER(AC294&amp;""),CHAR(160),"")," ",""),".",""),"-",""),"/",""),"?",""),"_",""),",",""),"[",""),"]",""),"(",""),")",""),"*","")</f>
        <v/>
      </c>
      <c r="BA294" s="61" t="str">
        <f aca="false">SUBSTITUTE(SUBSTITUTE(SUBSTITUTE(SUBSTITUTE(SUBSTITUTE(SUBSTITUTE(SUBSTITUTE(SUBSTITUTE(SUBSTITUTE(SUBSTITUTE(SUBSTITUTE(SUBSTITUTE(SUBSTITUTE(LOWER(AA294&amp;""),CHAR(160),"")," ",""),".",""),"-",""),"/",""),"?",""),"_",""),",",""),"[",""),"]",""),"(",""),")",""),"*","")</f>
        <v/>
      </c>
      <c r="BB294" s="61" t="str">
        <f aca="false">IF(AND(TRIM(U294)="Pass",ISNUMBER(AF294)),IF(AF294&lt;&gt;0,"INVALID – qty variance: use Fail or Pass after CA",""),"")&amp;IF(AND(TRIM(U294)="Pass after CA",ISNUMBER(AF294)),IF(AF294&lt;&gt;0,"INVALID – after the corrective action the actual qty must equal expected (update Actual)",""),"")&amp;IF(AND(TRIM(U294)="Pass",TRIM(AB294)&lt;&gt;"",TRIM(AB294)&lt;&gt;"Closed"),"INVALID – corrective action not closed: use Fail, then Pass after CA","")&amp;IF(AND(TRIM(AA294)&lt;&gt;"",TRIM(AB294)=""),"INVALID – CA status missing for the recorded corrective action","")&amp;IF(AND(TRIM(U294)="Pass after CA",OR(OR(LEN(BA294)&lt;5,ISNUMBER(MATCH(BA294,L_Placeholder,0))),TRIM(AB294)&lt;&gt;"Closed")),"INVALID – corrective action not recorded/closed","")</f>
        <v/>
      </c>
    </row>
    <row r="295" customFormat="false" ht="39.75" hidden="false" customHeight="true" outlineLevel="0" collapsed="false">
      <c r="A295" s="57" t="s">
        <v>848</v>
      </c>
      <c r="B295" s="57" t="s">
        <v>243</v>
      </c>
      <c r="C295" s="57" t="str">
        <f aca="false">Flights!$F$13</f>
        <v>MH0753</v>
      </c>
      <c r="D295" s="58" t="n">
        <f aca="false">Flights!$D$13</f>
        <v>46306</v>
      </c>
      <c r="E295" s="57" t="str">
        <f aca="false">Flights!$G$13&amp;"-"&amp;Flights!$H$13</f>
        <v>HAN-KUL</v>
      </c>
      <c r="F295" s="57" t="str">
        <f aca="false">Flights!$K$13</f>
        <v>BC</v>
      </c>
      <c r="G295" s="57" t="s">
        <v>398</v>
      </c>
      <c r="H295" s="57" t="s">
        <v>356</v>
      </c>
      <c r="I295" s="57" t="s">
        <v>406</v>
      </c>
      <c r="J295" s="57" t="s">
        <v>407</v>
      </c>
      <c r="K295" s="67"/>
      <c r="L295" s="67" t="s">
        <v>400</v>
      </c>
      <c r="M295" s="67"/>
      <c r="N295" s="67" t="s">
        <v>361</v>
      </c>
      <c r="O295" s="67" t="s">
        <v>401</v>
      </c>
      <c r="P295" s="57" t="s">
        <v>237</v>
      </c>
      <c r="Q295" s="59" t="n">
        <f aca="false">ROUND((Flights!$AE$13)*1440,0)/1440</f>
        <v>46305.7534722222</v>
      </c>
      <c r="R295" s="59" t="n">
        <f aca="false">Q295+(IF(AND(INDEX(TZ_DSTS,MATCH(P295,TZ_STN,0))&lt;&gt;"",Q295&gt;=INDEX(TZ_DSTS,MATCH(P295,TZ_STN,0)),Q295&lt;INDEX(TZ_DSTE,MATCH(P295,TZ_STN,0))),INDEX(TZ_DST,MATCH(P295,TZ_STN,0)),INDEX(TZ_STD,MATCH(P295,TZ_STN,0))))/24</f>
        <v>46306.0451388889</v>
      </c>
      <c r="S295" s="59" t="n">
        <f aca="false">Q295-T12EarlyH/24</f>
        <v>46305.2534722222</v>
      </c>
      <c r="T295" s="60"/>
      <c r="U295" s="60"/>
      <c r="V295" s="60"/>
      <c r="W295" s="61"/>
      <c r="X295" s="60"/>
      <c r="Y295" s="60"/>
      <c r="Z295" s="60"/>
      <c r="AA295" s="60"/>
      <c r="AB295" s="60"/>
      <c r="AC295" s="60"/>
      <c r="AD295" s="66"/>
      <c r="AE295" s="60"/>
      <c r="AF295" s="61" t="str">
        <f aca="false">IF(AND(ISNUMBER(X295),ISNUMBER(Y295)),Y295-X295,"")</f>
        <v/>
      </c>
      <c r="AG295" s="62" t="str">
        <f aca="false">IF(ISNUMBER(AD295),AD295-(IF(AND(INDEX(TZ_DSTS,MATCH(P295,TZ_STN,0))&lt;&gt;"",(AD295-INDEX(TZ_STD,MATCH(P295,TZ_STN,0))/24)&gt;=INDEX(TZ_DSTS,MATCH(P295,TZ_STN,0)),(AD295-INDEX(TZ_STD,MATCH(P295,TZ_STN,0))/24)&lt;INDEX(TZ_DSTE,MATCH(P295,TZ_STN,0))),INDEX(TZ_DST,MATCH(P295,TZ_STN,0)),INDEX(TZ_STD,MATCH(P295,TZ_STN,0))))/24,"")</f>
        <v/>
      </c>
      <c r="AH295" s="65" t="str">
        <f aca="false">IFERROR(IF(N295="N/A – rule","N/A – RULE",IF(TRIM(U295)="N/A",IF(AT295=0,"INVALID – N/A not permitted for this check",IF(AND(TRIM(AB295)&lt;&gt;"",TRIM(AB295)&lt;&gt;"Closed"),"INVALID – corrective action still open",IF(AND(NOT(OR(LEN(AZ295)&lt;15,ISNUMBER(MATCH(AZ295,L_Placeholder,0)))),NOT(OR(LEN(AU295)&lt;2,ISNUMBER(MATCH(AU295,L_Placeholder,0)))),NOT(OR(LEN(AX295)&lt;2,ISNUMBER(MATCH(AX295,L_Placeholder,0)))),TRIM(AE295)&lt;&gt;TRIM(T295)),"N/A – JUSTIFIED","INVALID – N/A needs a real justification (15+ chars), PIC and a different verifier"))),IF(OR(TRIM(U295)="Pass",TRIM(U295)="Pass after CA"),IF(NOT(ISNUMBER(AD295)),"INVALID – completion time missing",IF(OR(LEN(AU295)&lt;2,ISNUMBER(MATCH(AU295,L_Placeholder,0))),"INVALID – PIC missing",IF(OR(LEN(AV295)&lt;2,ISNUMBER(MATCH(AV295,L_Placeholder,0))),"INVALID – result / assessment missing",IF(OR(OR(LEN(AW295)&lt;3,ISNUMBER(MATCH(AW295,L_Placeholder,0))),SUMPRODUCT(--ISNUMBER(SEARCH(L_EvidencePhrase,AW295)))&gt;0),"INVALID – evidence missing, placeholder or not yet on file",IF(OR(LEN(AX295)&lt;2,ISNUMBER(MATCH(AX295,L_Placeholder,0))),"INVALID – verifier missing",IF(AX295=AU295,"INVALID – verifier must be someone other than the PIC",IF(AND(TRIM(U295)="Pass",SUMPRODUCT(--ISNUMBER(SEARCH(L_ResultBad,AV295)))&gt;0),"INVALID – result describes a problem: use Fail, then Pass after CA",IF(AND(AQ295=1,OR(LEN(AY295)&lt;3,ISNUMBER(MATCH(AY295,L_Placeholder,0)))),"INVALID – batch ID missing or placeholder",IF(AND(AR295=1,OR(NOT(ISNUMBER(X295)),NOT(ISNUMBER(Y295)))),"INVALID – expected/actual qty missing",IF(AND(AR295=1,OR(X295&lt;=0,Y295&lt;0)),"INVALID – expected qty must be above 0 and actual not negative",IF(BB295&lt;&gt;"",BB295,IF(AND(AS295=1,Documents!$J$13&lt;&gt;"ON FILE"),"INVALID – GLD not on file (Documents sheet)",IF(AND(AS295=2,Documents!$O$13&lt;&gt;"ON FILE"),"INVALID – menu checklist not on file (Documents sheet)",IF(AND(AS295=3,NOT(ISNUMBER(Flights!$AX$13))),"INVALID – enter carrying flight KUL departure (Flights AX)",IF(AND(AS295=3,OR(Flights!$AZ$13&gt;Flights!$AA$13,Flights!$AX$13&lt;Flights!$AA$13-3)),"INVALID – carrying flight (Flights AX) cannot arrive before this leg's STD, or is over 3 days early",IF(AG295&gt;AsOfUTC,"INVALID – completion time is in the future",IF(AND(ISNUMBER(S295),AG295&lt;S295),IF(H295="Physical uplift","INVALID – before uplift window (cannot confirm loading)","INVALID – before valid window"),IF(AG295&gt;Flights!$AA$13,"INVALID – completed after departure (cannot establish readiness)",IF(AND(H295="Preparation",AG295&gt;IF(ISNUMBER(Flights!$BA$13),MIN(Flights!$BA$13,Flights!$AA$13),Flights!$AA$13)),"INVALID – completed after loading / departure (cannot establish readiness)",IF(AND(H295="Physical uplift",AG295&gt;Q295),"INVALID – recorded after the loading flight departed",IF(AG295&gt;Q295,"COMPLETE – LATE","COMPLETE"))))))))))))))))))))),IF(TRIM(U295)="Fail","FAIL – DISCREPANCY",IF(AND(TRIM(U295)&lt;&gt;"",TRIM(U295)&lt;&gt;"Not started",TRIM(U295)&lt;&gt;"In progress"),"INVALID – unrecognised status (use the list)",IF(AsOfUTC&gt;Q295,"OVERDUE",IF(N295="Clarification required","OPEN – CLARIFICATION","OPEN"))))))),"INVALID – error value in an input cell")</f>
        <v>OPEN</v>
      </c>
      <c r="AI295" s="61" t="n">
        <f aca="false">IF(OR(AH295="N/A – RULE",AH295="N/A – JUSTIFIED"),0,1)</f>
        <v>1</v>
      </c>
      <c r="AJ295" s="61" t="n">
        <f aca="false">IF(LEFT(AH295,8)="COMPLETE",1,0)</f>
        <v>0</v>
      </c>
      <c r="AK295" s="61" t="n">
        <f aca="false">IF(AND(AI295=1,AJ295=0,AsOfUTC&gt;Q295),1,0)</f>
        <v>0</v>
      </c>
      <c r="AL295" s="61" t="n">
        <f aca="false">IFERROR(IF(AND(AI295=1,OR(TRIM(U295)="Fail",AND(TRIM(AB295)&lt;&gt;"",TRIM(AB295)&lt;&gt;"Closed"),AND(ISNUMBER(AF295),AF295&lt;&gt;0,TRIM(U295)&lt;&gt;"Pass after CA"))),1,0),1)</f>
        <v>0</v>
      </c>
      <c r="AM295" s="61" t="n">
        <f aca="false">IF(LEFT(AH295,7)="INVALID",1,0)</f>
        <v>0</v>
      </c>
      <c r="AN295" s="61" t="n">
        <f aca="false">IF(AND(N295="Clarification required",AI295=1,AJ295=0),1,0)</f>
        <v>0</v>
      </c>
      <c r="AO295" s="61" t="str">
        <f aca="false">IF(AK295=1,SUM(AK$5:AK295),"")</f>
        <v/>
      </c>
      <c r="AP295" s="61" t="str">
        <f aca="false">IF(AL295=1,SUM(AL$5:AL295),"")</f>
        <v/>
      </c>
      <c r="AQ295" s="61" t="n">
        <v>0</v>
      </c>
      <c r="AR295" s="61" t="n">
        <v>0</v>
      </c>
      <c r="AS295" s="61" t="n">
        <v>0</v>
      </c>
      <c r="AT295" s="61" t="n">
        <v>0</v>
      </c>
      <c r="AU295" s="61" t="str">
        <f aca="false">SUBSTITUTE(SUBSTITUTE(SUBSTITUTE(SUBSTITUTE(SUBSTITUTE(SUBSTITUTE(SUBSTITUTE(SUBSTITUTE(SUBSTITUTE(SUBSTITUTE(SUBSTITUTE(SUBSTITUTE(SUBSTITUTE(LOWER(T295&amp;""),CHAR(160),"")," ",""),".",""),"-",""),"/",""),"?",""),"_",""),",",""),"[",""),"]",""),"(",""),")",""),"*","")</f>
        <v/>
      </c>
      <c r="AV295" s="61" t="str">
        <f aca="false">SUBSTITUTE(SUBSTITUTE(SUBSTITUTE(SUBSTITUTE(SUBSTITUTE(SUBSTITUTE(SUBSTITUTE(SUBSTITUTE(SUBSTITUTE(SUBSTITUTE(SUBSTITUTE(SUBSTITUTE(SUBSTITUTE(LOWER(V295&amp;""),CHAR(160),"")," ",""),".",""),"-",""),"/",""),"?",""),"_",""),",",""),"[",""),"]",""),"(",""),")",""),"*","")</f>
        <v/>
      </c>
      <c r="AW295" s="61" t="str">
        <f aca="false">SUBSTITUTE(SUBSTITUTE(SUBSTITUTE(SUBSTITUTE(SUBSTITUTE(SUBSTITUTE(SUBSTITUTE(SUBSTITUTE(SUBSTITUTE(SUBSTITUTE(SUBSTITUTE(SUBSTITUTE(SUBSTITUTE(LOWER(Z295&amp;""),CHAR(160),"")," ",""),".",""),"-",""),"/",""),"?",""),"_",""),",",""),"[",""),"]",""),"(",""),")",""),"*","")</f>
        <v/>
      </c>
      <c r="AX295" s="61" t="str">
        <f aca="false">SUBSTITUTE(SUBSTITUTE(SUBSTITUTE(SUBSTITUTE(SUBSTITUTE(SUBSTITUTE(SUBSTITUTE(SUBSTITUTE(SUBSTITUTE(SUBSTITUTE(SUBSTITUTE(SUBSTITUTE(SUBSTITUTE(LOWER(AE295&amp;""),CHAR(160),"")," ",""),".",""),"-",""),"/",""),"?",""),"_",""),",",""),"[",""),"]",""),"(",""),")",""),"*","")</f>
        <v/>
      </c>
      <c r="AY295" s="61" t="str">
        <f aca="false">SUBSTITUTE(SUBSTITUTE(SUBSTITUTE(SUBSTITUTE(SUBSTITUTE(SUBSTITUTE(SUBSTITUTE(SUBSTITUTE(SUBSTITUTE(SUBSTITUTE(SUBSTITUTE(SUBSTITUTE(SUBSTITUTE(LOWER(W295&amp;""),CHAR(160),"")," ",""),".",""),"-",""),"/",""),"?",""),"_",""),",",""),"[",""),"]",""),"(",""),")",""),"*","")</f>
        <v/>
      </c>
      <c r="AZ295" s="61" t="str">
        <f aca="false">SUBSTITUTE(SUBSTITUTE(SUBSTITUTE(SUBSTITUTE(SUBSTITUTE(SUBSTITUTE(SUBSTITUTE(SUBSTITUTE(SUBSTITUTE(SUBSTITUTE(SUBSTITUTE(SUBSTITUTE(SUBSTITUTE(LOWER(AC295&amp;""),CHAR(160),"")," ",""),".",""),"-",""),"/",""),"?",""),"_",""),",",""),"[",""),"]",""),"(",""),")",""),"*","")</f>
        <v/>
      </c>
      <c r="BA295" s="61" t="str">
        <f aca="false">SUBSTITUTE(SUBSTITUTE(SUBSTITUTE(SUBSTITUTE(SUBSTITUTE(SUBSTITUTE(SUBSTITUTE(SUBSTITUTE(SUBSTITUTE(SUBSTITUTE(SUBSTITUTE(SUBSTITUTE(SUBSTITUTE(LOWER(AA295&amp;""),CHAR(160),"")," ",""),".",""),"-",""),"/",""),"?",""),"_",""),",",""),"[",""),"]",""),"(",""),")",""),"*","")</f>
        <v/>
      </c>
      <c r="BB295" s="61" t="str">
        <f aca="false">IF(AND(TRIM(U295)="Pass",ISNUMBER(AF295)),IF(AF295&lt;&gt;0,"INVALID – qty variance: use Fail or Pass after CA",""),"")&amp;IF(AND(TRIM(U295)="Pass after CA",ISNUMBER(AF295)),IF(AF295&lt;&gt;0,"INVALID – after the corrective action the actual qty must equal expected (update Actual)",""),"")&amp;IF(AND(TRIM(U295)="Pass",TRIM(AB295)&lt;&gt;"",TRIM(AB295)&lt;&gt;"Closed"),"INVALID – corrective action not closed: use Fail, then Pass after CA","")&amp;IF(AND(TRIM(AA295)&lt;&gt;"",TRIM(AB295)=""),"INVALID – CA status missing for the recorded corrective action","")&amp;IF(AND(TRIM(U295)="Pass after CA",OR(OR(LEN(BA295)&lt;5,ISNUMBER(MATCH(BA295,L_Placeholder,0))),TRIM(AB295)&lt;&gt;"Closed")),"INVALID – corrective action not recorded/closed","")</f>
        <v/>
      </c>
    </row>
    <row r="296" customFormat="false" ht="39.75" hidden="false" customHeight="true" outlineLevel="0" collapsed="false">
      <c r="A296" s="57" t="s">
        <v>849</v>
      </c>
      <c r="B296" s="57" t="s">
        <v>243</v>
      </c>
      <c r="C296" s="57" t="str">
        <f aca="false">Flights!$F$13</f>
        <v>MH0753</v>
      </c>
      <c r="D296" s="58" t="n">
        <f aca="false">Flights!$D$13</f>
        <v>46306</v>
      </c>
      <c r="E296" s="57" t="str">
        <f aca="false">Flights!$G$13&amp;"-"&amp;Flights!$H$13</f>
        <v>HAN-KUL</v>
      </c>
      <c r="F296" s="57" t="str">
        <f aca="false">Flights!$K$13</f>
        <v>BC</v>
      </c>
      <c r="G296" s="57" t="s">
        <v>398</v>
      </c>
      <c r="H296" s="57" t="s">
        <v>356</v>
      </c>
      <c r="I296" s="57" t="s">
        <v>406</v>
      </c>
      <c r="J296" s="57" t="s">
        <v>409</v>
      </c>
      <c r="K296" s="67"/>
      <c r="L296" s="67" t="s">
        <v>400</v>
      </c>
      <c r="M296" s="67"/>
      <c r="N296" s="67" t="s">
        <v>361</v>
      </c>
      <c r="O296" s="67" t="s">
        <v>401</v>
      </c>
      <c r="P296" s="57" t="s">
        <v>237</v>
      </c>
      <c r="Q296" s="59" t="n">
        <f aca="false">ROUND((Flights!$AE$13)*1440,0)/1440</f>
        <v>46305.7534722222</v>
      </c>
      <c r="R296" s="59" t="n">
        <f aca="false">Q296+(IF(AND(INDEX(TZ_DSTS,MATCH(P296,TZ_STN,0))&lt;&gt;"",Q296&gt;=INDEX(TZ_DSTS,MATCH(P296,TZ_STN,0)),Q296&lt;INDEX(TZ_DSTE,MATCH(P296,TZ_STN,0))),INDEX(TZ_DST,MATCH(P296,TZ_STN,0)),INDEX(TZ_STD,MATCH(P296,TZ_STN,0))))/24</f>
        <v>46306.0451388889</v>
      </c>
      <c r="S296" s="59" t="n">
        <f aca="false">Q296-T12EarlyH/24</f>
        <v>46305.2534722222</v>
      </c>
      <c r="T296" s="60"/>
      <c r="U296" s="60"/>
      <c r="V296" s="60"/>
      <c r="W296" s="61"/>
      <c r="X296" s="60"/>
      <c r="Y296" s="60"/>
      <c r="Z296" s="60"/>
      <c r="AA296" s="60"/>
      <c r="AB296" s="60"/>
      <c r="AC296" s="60"/>
      <c r="AD296" s="66"/>
      <c r="AE296" s="60"/>
      <c r="AF296" s="61" t="str">
        <f aca="false">IF(AND(ISNUMBER(X296),ISNUMBER(Y296)),Y296-X296,"")</f>
        <v/>
      </c>
      <c r="AG296" s="62" t="str">
        <f aca="false">IF(ISNUMBER(AD296),AD296-(IF(AND(INDEX(TZ_DSTS,MATCH(P296,TZ_STN,0))&lt;&gt;"",(AD296-INDEX(TZ_STD,MATCH(P296,TZ_STN,0))/24)&gt;=INDEX(TZ_DSTS,MATCH(P296,TZ_STN,0)),(AD296-INDEX(TZ_STD,MATCH(P296,TZ_STN,0))/24)&lt;INDEX(TZ_DSTE,MATCH(P296,TZ_STN,0))),INDEX(TZ_DST,MATCH(P296,TZ_STN,0)),INDEX(TZ_STD,MATCH(P296,TZ_STN,0))))/24,"")</f>
        <v/>
      </c>
      <c r="AH296" s="65" t="str">
        <f aca="false">IFERROR(IF(N296="N/A – rule","N/A – RULE",IF(TRIM(U296)="N/A",IF(AT296=0,"INVALID – N/A not permitted for this check",IF(AND(TRIM(AB296)&lt;&gt;"",TRIM(AB296)&lt;&gt;"Closed"),"INVALID – corrective action still open",IF(AND(NOT(OR(LEN(AZ296)&lt;15,ISNUMBER(MATCH(AZ296,L_Placeholder,0)))),NOT(OR(LEN(AU296)&lt;2,ISNUMBER(MATCH(AU296,L_Placeholder,0)))),NOT(OR(LEN(AX296)&lt;2,ISNUMBER(MATCH(AX296,L_Placeholder,0)))),TRIM(AE296)&lt;&gt;TRIM(T296)),"N/A – JUSTIFIED","INVALID – N/A needs a real justification (15+ chars), PIC and a different verifier"))),IF(OR(TRIM(U296)="Pass",TRIM(U296)="Pass after CA"),IF(NOT(ISNUMBER(AD296)),"INVALID – completion time missing",IF(OR(LEN(AU296)&lt;2,ISNUMBER(MATCH(AU296,L_Placeholder,0))),"INVALID – PIC missing",IF(OR(LEN(AV296)&lt;2,ISNUMBER(MATCH(AV296,L_Placeholder,0))),"INVALID – result / assessment missing",IF(OR(OR(LEN(AW296)&lt;3,ISNUMBER(MATCH(AW296,L_Placeholder,0))),SUMPRODUCT(--ISNUMBER(SEARCH(L_EvidencePhrase,AW296)))&gt;0),"INVALID – evidence missing, placeholder or not yet on file",IF(OR(LEN(AX296)&lt;2,ISNUMBER(MATCH(AX296,L_Placeholder,0))),"INVALID – verifier missing",IF(AX296=AU296,"INVALID – verifier must be someone other than the PIC",IF(AND(TRIM(U296)="Pass",SUMPRODUCT(--ISNUMBER(SEARCH(L_ResultBad,AV296)))&gt;0),"INVALID – result describes a problem: use Fail, then Pass after CA",IF(AND(AQ296=1,OR(LEN(AY296)&lt;3,ISNUMBER(MATCH(AY296,L_Placeholder,0)))),"INVALID – batch ID missing or placeholder",IF(AND(AR296=1,OR(NOT(ISNUMBER(X296)),NOT(ISNUMBER(Y296)))),"INVALID – expected/actual qty missing",IF(AND(AR296=1,OR(X296&lt;=0,Y296&lt;0)),"INVALID – expected qty must be above 0 and actual not negative",IF(BB296&lt;&gt;"",BB296,IF(AND(AS296=1,Documents!$J$13&lt;&gt;"ON FILE"),"INVALID – GLD not on file (Documents sheet)",IF(AND(AS296=2,Documents!$O$13&lt;&gt;"ON FILE"),"INVALID – menu checklist not on file (Documents sheet)",IF(AND(AS296=3,NOT(ISNUMBER(Flights!$AX$13))),"INVALID – enter carrying flight KUL departure (Flights AX)",IF(AND(AS296=3,OR(Flights!$AZ$13&gt;Flights!$AA$13,Flights!$AX$13&lt;Flights!$AA$13-3)),"INVALID – carrying flight (Flights AX) cannot arrive before this leg's STD, or is over 3 days early",IF(AG296&gt;AsOfUTC,"INVALID – completion time is in the future",IF(AND(ISNUMBER(S296),AG296&lt;S296),IF(H296="Physical uplift","INVALID – before uplift window (cannot confirm loading)","INVALID – before valid window"),IF(AG296&gt;Flights!$AA$13,"INVALID – completed after departure (cannot establish readiness)",IF(AND(H296="Preparation",AG296&gt;IF(ISNUMBER(Flights!$BA$13),MIN(Flights!$BA$13,Flights!$AA$13),Flights!$AA$13)),"INVALID – completed after loading / departure (cannot establish readiness)",IF(AND(H296="Physical uplift",AG296&gt;Q296),"INVALID – recorded after the loading flight departed",IF(AG296&gt;Q296,"COMPLETE – LATE","COMPLETE"))))))))))))))))))))),IF(TRIM(U296)="Fail","FAIL – DISCREPANCY",IF(AND(TRIM(U296)&lt;&gt;"",TRIM(U296)&lt;&gt;"Not started",TRIM(U296)&lt;&gt;"In progress"),"INVALID – unrecognised status (use the list)",IF(AsOfUTC&gt;Q296,"OVERDUE",IF(N296="Clarification required","OPEN – CLARIFICATION","OPEN"))))))),"INVALID – error value in an input cell")</f>
        <v>OPEN</v>
      </c>
      <c r="AI296" s="61" t="n">
        <f aca="false">IF(OR(AH296="N/A – RULE",AH296="N/A – JUSTIFIED"),0,1)</f>
        <v>1</v>
      </c>
      <c r="AJ296" s="61" t="n">
        <f aca="false">IF(LEFT(AH296,8)="COMPLETE",1,0)</f>
        <v>0</v>
      </c>
      <c r="AK296" s="61" t="n">
        <f aca="false">IF(AND(AI296=1,AJ296=0,AsOfUTC&gt;Q296),1,0)</f>
        <v>0</v>
      </c>
      <c r="AL296" s="61" t="n">
        <f aca="false">IFERROR(IF(AND(AI296=1,OR(TRIM(U296)="Fail",AND(TRIM(AB296)&lt;&gt;"",TRIM(AB296)&lt;&gt;"Closed"),AND(ISNUMBER(AF296),AF296&lt;&gt;0,TRIM(U296)&lt;&gt;"Pass after CA"))),1,0),1)</f>
        <v>0</v>
      </c>
      <c r="AM296" s="61" t="n">
        <f aca="false">IF(LEFT(AH296,7)="INVALID",1,0)</f>
        <v>0</v>
      </c>
      <c r="AN296" s="61" t="n">
        <f aca="false">IF(AND(N296="Clarification required",AI296=1,AJ296=0),1,0)</f>
        <v>0</v>
      </c>
      <c r="AO296" s="61" t="str">
        <f aca="false">IF(AK296=1,SUM(AK$5:AK296),"")</f>
        <v/>
      </c>
      <c r="AP296" s="61" t="str">
        <f aca="false">IF(AL296=1,SUM(AL$5:AL296),"")</f>
        <v/>
      </c>
      <c r="AQ296" s="61" t="n">
        <v>0</v>
      </c>
      <c r="AR296" s="61" t="n">
        <v>0</v>
      </c>
      <c r="AS296" s="61" t="n">
        <v>0</v>
      </c>
      <c r="AT296" s="61" t="n">
        <v>0</v>
      </c>
      <c r="AU296" s="61" t="str">
        <f aca="false">SUBSTITUTE(SUBSTITUTE(SUBSTITUTE(SUBSTITUTE(SUBSTITUTE(SUBSTITUTE(SUBSTITUTE(SUBSTITUTE(SUBSTITUTE(SUBSTITUTE(SUBSTITUTE(SUBSTITUTE(SUBSTITUTE(LOWER(T296&amp;""),CHAR(160),"")," ",""),".",""),"-",""),"/",""),"?",""),"_",""),",",""),"[",""),"]",""),"(",""),")",""),"*","")</f>
        <v/>
      </c>
      <c r="AV296" s="61" t="str">
        <f aca="false">SUBSTITUTE(SUBSTITUTE(SUBSTITUTE(SUBSTITUTE(SUBSTITUTE(SUBSTITUTE(SUBSTITUTE(SUBSTITUTE(SUBSTITUTE(SUBSTITUTE(SUBSTITUTE(SUBSTITUTE(SUBSTITUTE(LOWER(V296&amp;""),CHAR(160),"")," ",""),".",""),"-",""),"/",""),"?",""),"_",""),",",""),"[",""),"]",""),"(",""),")",""),"*","")</f>
        <v/>
      </c>
      <c r="AW296" s="61" t="str">
        <f aca="false">SUBSTITUTE(SUBSTITUTE(SUBSTITUTE(SUBSTITUTE(SUBSTITUTE(SUBSTITUTE(SUBSTITUTE(SUBSTITUTE(SUBSTITUTE(SUBSTITUTE(SUBSTITUTE(SUBSTITUTE(SUBSTITUTE(LOWER(Z296&amp;""),CHAR(160),"")," ",""),".",""),"-",""),"/",""),"?",""),"_",""),",",""),"[",""),"]",""),"(",""),")",""),"*","")</f>
        <v/>
      </c>
      <c r="AX296" s="61" t="str">
        <f aca="false">SUBSTITUTE(SUBSTITUTE(SUBSTITUTE(SUBSTITUTE(SUBSTITUTE(SUBSTITUTE(SUBSTITUTE(SUBSTITUTE(SUBSTITUTE(SUBSTITUTE(SUBSTITUTE(SUBSTITUTE(SUBSTITUTE(LOWER(AE296&amp;""),CHAR(160),"")," ",""),".",""),"-",""),"/",""),"?",""),"_",""),",",""),"[",""),"]",""),"(",""),")",""),"*","")</f>
        <v/>
      </c>
      <c r="AY296" s="61" t="str">
        <f aca="false">SUBSTITUTE(SUBSTITUTE(SUBSTITUTE(SUBSTITUTE(SUBSTITUTE(SUBSTITUTE(SUBSTITUTE(SUBSTITUTE(SUBSTITUTE(SUBSTITUTE(SUBSTITUTE(SUBSTITUTE(SUBSTITUTE(LOWER(W296&amp;""),CHAR(160),"")," ",""),".",""),"-",""),"/",""),"?",""),"_",""),",",""),"[",""),"]",""),"(",""),")",""),"*","")</f>
        <v/>
      </c>
      <c r="AZ296" s="61" t="str">
        <f aca="false">SUBSTITUTE(SUBSTITUTE(SUBSTITUTE(SUBSTITUTE(SUBSTITUTE(SUBSTITUTE(SUBSTITUTE(SUBSTITUTE(SUBSTITUTE(SUBSTITUTE(SUBSTITUTE(SUBSTITUTE(SUBSTITUTE(LOWER(AC296&amp;""),CHAR(160),"")," ",""),".",""),"-",""),"/",""),"?",""),"_",""),",",""),"[",""),"]",""),"(",""),")",""),"*","")</f>
        <v/>
      </c>
      <c r="BA296" s="61" t="str">
        <f aca="false">SUBSTITUTE(SUBSTITUTE(SUBSTITUTE(SUBSTITUTE(SUBSTITUTE(SUBSTITUTE(SUBSTITUTE(SUBSTITUTE(SUBSTITUTE(SUBSTITUTE(SUBSTITUTE(SUBSTITUTE(SUBSTITUTE(LOWER(AA296&amp;""),CHAR(160),"")," ",""),".",""),"-",""),"/",""),"?",""),"_",""),",",""),"[",""),"]",""),"(",""),")",""),"*","")</f>
        <v/>
      </c>
      <c r="BB296" s="61" t="str">
        <f aca="false">IF(AND(TRIM(U296)="Pass",ISNUMBER(AF296)),IF(AF296&lt;&gt;0,"INVALID – qty variance: use Fail or Pass after CA",""),"")&amp;IF(AND(TRIM(U296)="Pass after CA",ISNUMBER(AF296)),IF(AF296&lt;&gt;0,"INVALID – after the corrective action the actual qty must equal expected (update Actual)",""),"")&amp;IF(AND(TRIM(U296)="Pass",TRIM(AB296)&lt;&gt;"",TRIM(AB296)&lt;&gt;"Closed"),"INVALID – corrective action not closed: use Fail, then Pass after CA","")&amp;IF(AND(TRIM(AA296)&lt;&gt;"",TRIM(AB296)=""),"INVALID – CA status missing for the recorded corrective action","")&amp;IF(AND(TRIM(U296)="Pass after CA",OR(OR(LEN(BA296)&lt;5,ISNUMBER(MATCH(BA296,L_Placeholder,0))),TRIM(AB296)&lt;&gt;"Closed")),"INVALID – corrective action not recorded/closed","")</f>
        <v/>
      </c>
    </row>
    <row r="297" customFormat="false" ht="39.75" hidden="false" customHeight="true" outlineLevel="0" collapsed="false">
      <c r="A297" s="57" t="s">
        <v>850</v>
      </c>
      <c r="B297" s="57" t="s">
        <v>243</v>
      </c>
      <c r="C297" s="57" t="str">
        <f aca="false">Flights!$F$13</f>
        <v>MH0753</v>
      </c>
      <c r="D297" s="58" t="n">
        <f aca="false">Flights!$D$13</f>
        <v>46306</v>
      </c>
      <c r="E297" s="57" t="str">
        <f aca="false">Flights!$G$13&amp;"-"&amp;Flights!$H$13</f>
        <v>HAN-KUL</v>
      </c>
      <c r="F297" s="57" t="str">
        <f aca="false">Flights!$K$13</f>
        <v>BC</v>
      </c>
      <c r="G297" s="57" t="s">
        <v>398</v>
      </c>
      <c r="H297" s="57" t="s">
        <v>356</v>
      </c>
      <c r="I297" s="57" t="s">
        <v>406</v>
      </c>
      <c r="J297" s="57" t="s">
        <v>411</v>
      </c>
      <c r="K297" s="67"/>
      <c r="L297" s="67" t="s">
        <v>400</v>
      </c>
      <c r="M297" s="67"/>
      <c r="N297" s="67" t="s">
        <v>361</v>
      </c>
      <c r="O297" s="67" t="s">
        <v>401</v>
      </c>
      <c r="P297" s="57" t="s">
        <v>237</v>
      </c>
      <c r="Q297" s="59" t="n">
        <f aca="false">ROUND((Flights!$AE$13)*1440,0)/1440</f>
        <v>46305.7534722222</v>
      </c>
      <c r="R297" s="59" t="n">
        <f aca="false">Q297+(IF(AND(INDEX(TZ_DSTS,MATCH(P297,TZ_STN,0))&lt;&gt;"",Q297&gt;=INDEX(TZ_DSTS,MATCH(P297,TZ_STN,0)),Q297&lt;INDEX(TZ_DSTE,MATCH(P297,TZ_STN,0))),INDEX(TZ_DST,MATCH(P297,TZ_STN,0)),INDEX(TZ_STD,MATCH(P297,TZ_STN,0))))/24</f>
        <v>46306.0451388889</v>
      </c>
      <c r="S297" s="59" t="n">
        <f aca="false">Q297-T12EarlyH/24</f>
        <v>46305.2534722222</v>
      </c>
      <c r="T297" s="60"/>
      <c r="U297" s="60"/>
      <c r="V297" s="60"/>
      <c r="W297" s="61"/>
      <c r="X297" s="60"/>
      <c r="Y297" s="60"/>
      <c r="Z297" s="60"/>
      <c r="AA297" s="60"/>
      <c r="AB297" s="60"/>
      <c r="AC297" s="60"/>
      <c r="AD297" s="66"/>
      <c r="AE297" s="60"/>
      <c r="AF297" s="61" t="str">
        <f aca="false">IF(AND(ISNUMBER(X297),ISNUMBER(Y297)),Y297-X297,"")</f>
        <v/>
      </c>
      <c r="AG297" s="62" t="str">
        <f aca="false">IF(ISNUMBER(AD297),AD297-(IF(AND(INDEX(TZ_DSTS,MATCH(P297,TZ_STN,0))&lt;&gt;"",(AD297-INDEX(TZ_STD,MATCH(P297,TZ_STN,0))/24)&gt;=INDEX(TZ_DSTS,MATCH(P297,TZ_STN,0)),(AD297-INDEX(TZ_STD,MATCH(P297,TZ_STN,0))/24)&lt;INDEX(TZ_DSTE,MATCH(P297,TZ_STN,0))),INDEX(TZ_DST,MATCH(P297,TZ_STN,0)),INDEX(TZ_STD,MATCH(P297,TZ_STN,0))))/24,"")</f>
        <v/>
      </c>
      <c r="AH297" s="65" t="str">
        <f aca="false">IFERROR(IF(N297="N/A – rule","N/A – RULE",IF(TRIM(U297)="N/A",IF(AT297=0,"INVALID – N/A not permitted for this check",IF(AND(TRIM(AB297)&lt;&gt;"",TRIM(AB297)&lt;&gt;"Closed"),"INVALID – corrective action still open",IF(AND(NOT(OR(LEN(AZ297)&lt;15,ISNUMBER(MATCH(AZ297,L_Placeholder,0)))),NOT(OR(LEN(AU297)&lt;2,ISNUMBER(MATCH(AU297,L_Placeholder,0)))),NOT(OR(LEN(AX297)&lt;2,ISNUMBER(MATCH(AX297,L_Placeholder,0)))),TRIM(AE297)&lt;&gt;TRIM(T297)),"N/A – JUSTIFIED","INVALID – N/A needs a real justification (15+ chars), PIC and a different verifier"))),IF(OR(TRIM(U297)="Pass",TRIM(U297)="Pass after CA"),IF(NOT(ISNUMBER(AD297)),"INVALID – completion time missing",IF(OR(LEN(AU297)&lt;2,ISNUMBER(MATCH(AU297,L_Placeholder,0))),"INVALID – PIC missing",IF(OR(LEN(AV297)&lt;2,ISNUMBER(MATCH(AV297,L_Placeholder,0))),"INVALID – result / assessment missing",IF(OR(OR(LEN(AW297)&lt;3,ISNUMBER(MATCH(AW297,L_Placeholder,0))),SUMPRODUCT(--ISNUMBER(SEARCH(L_EvidencePhrase,AW297)))&gt;0),"INVALID – evidence missing, placeholder or not yet on file",IF(OR(LEN(AX297)&lt;2,ISNUMBER(MATCH(AX297,L_Placeholder,0))),"INVALID – verifier missing",IF(AX297=AU297,"INVALID – verifier must be someone other than the PIC",IF(AND(TRIM(U297)="Pass",SUMPRODUCT(--ISNUMBER(SEARCH(L_ResultBad,AV297)))&gt;0),"INVALID – result describes a problem: use Fail, then Pass after CA",IF(AND(AQ297=1,OR(LEN(AY297)&lt;3,ISNUMBER(MATCH(AY297,L_Placeholder,0)))),"INVALID – batch ID missing or placeholder",IF(AND(AR297=1,OR(NOT(ISNUMBER(X297)),NOT(ISNUMBER(Y297)))),"INVALID – expected/actual qty missing",IF(AND(AR297=1,OR(X297&lt;=0,Y297&lt;0)),"INVALID – expected qty must be above 0 and actual not negative",IF(BB297&lt;&gt;"",BB297,IF(AND(AS297=1,Documents!$J$13&lt;&gt;"ON FILE"),"INVALID – GLD not on file (Documents sheet)",IF(AND(AS297=2,Documents!$O$13&lt;&gt;"ON FILE"),"INVALID – menu checklist not on file (Documents sheet)",IF(AND(AS297=3,NOT(ISNUMBER(Flights!$AX$13))),"INVALID – enter carrying flight KUL departure (Flights AX)",IF(AND(AS297=3,OR(Flights!$AZ$13&gt;Flights!$AA$13,Flights!$AX$13&lt;Flights!$AA$13-3)),"INVALID – carrying flight (Flights AX) cannot arrive before this leg's STD, or is over 3 days early",IF(AG297&gt;AsOfUTC,"INVALID – completion time is in the future",IF(AND(ISNUMBER(S297),AG297&lt;S297),IF(H297="Physical uplift","INVALID – before uplift window (cannot confirm loading)","INVALID – before valid window"),IF(AG297&gt;Flights!$AA$13,"INVALID – completed after departure (cannot establish readiness)",IF(AND(H297="Preparation",AG297&gt;IF(ISNUMBER(Flights!$BA$13),MIN(Flights!$BA$13,Flights!$AA$13),Flights!$AA$13)),"INVALID – completed after loading / departure (cannot establish readiness)",IF(AND(H297="Physical uplift",AG297&gt;Q297),"INVALID – recorded after the loading flight departed",IF(AG297&gt;Q297,"COMPLETE – LATE","COMPLETE"))))))))))))))))))))),IF(TRIM(U297)="Fail","FAIL – DISCREPANCY",IF(AND(TRIM(U297)&lt;&gt;"",TRIM(U297)&lt;&gt;"Not started",TRIM(U297)&lt;&gt;"In progress"),"INVALID – unrecognised status (use the list)",IF(AsOfUTC&gt;Q297,"OVERDUE",IF(N297="Clarification required","OPEN – CLARIFICATION","OPEN"))))))),"INVALID – error value in an input cell")</f>
        <v>OPEN</v>
      </c>
      <c r="AI297" s="61" t="n">
        <f aca="false">IF(OR(AH297="N/A – RULE",AH297="N/A – JUSTIFIED"),0,1)</f>
        <v>1</v>
      </c>
      <c r="AJ297" s="61" t="n">
        <f aca="false">IF(LEFT(AH297,8)="COMPLETE",1,0)</f>
        <v>0</v>
      </c>
      <c r="AK297" s="61" t="n">
        <f aca="false">IF(AND(AI297=1,AJ297=0,AsOfUTC&gt;Q297),1,0)</f>
        <v>0</v>
      </c>
      <c r="AL297" s="61" t="n">
        <f aca="false">IFERROR(IF(AND(AI297=1,OR(TRIM(U297)="Fail",AND(TRIM(AB297)&lt;&gt;"",TRIM(AB297)&lt;&gt;"Closed"),AND(ISNUMBER(AF297),AF297&lt;&gt;0,TRIM(U297)&lt;&gt;"Pass after CA"))),1,0),1)</f>
        <v>0</v>
      </c>
      <c r="AM297" s="61" t="n">
        <f aca="false">IF(LEFT(AH297,7)="INVALID",1,0)</f>
        <v>0</v>
      </c>
      <c r="AN297" s="61" t="n">
        <f aca="false">IF(AND(N297="Clarification required",AI297=1,AJ297=0),1,0)</f>
        <v>0</v>
      </c>
      <c r="AO297" s="61" t="str">
        <f aca="false">IF(AK297=1,SUM(AK$5:AK297),"")</f>
        <v/>
      </c>
      <c r="AP297" s="61" t="str">
        <f aca="false">IF(AL297=1,SUM(AL$5:AL297),"")</f>
        <v/>
      </c>
      <c r="AQ297" s="61" t="n">
        <v>0</v>
      </c>
      <c r="AR297" s="61" t="n">
        <v>0</v>
      </c>
      <c r="AS297" s="61" t="n">
        <v>0</v>
      </c>
      <c r="AT297" s="61" t="n">
        <v>0</v>
      </c>
      <c r="AU297" s="61" t="str">
        <f aca="false">SUBSTITUTE(SUBSTITUTE(SUBSTITUTE(SUBSTITUTE(SUBSTITUTE(SUBSTITUTE(SUBSTITUTE(SUBSTITUTE(SUBSTITUTE(SUBSTITUTE(SUBSTITUTE(SUBSTITUTE(SUBSTITUTE(LOWER(T297&amp;""),CHAR(160),"")," ",""),".",""),"-",""),"/",""),"?",""),"_",""),",",""),"[",""),"]",""),"(",""),")",""),"*","")</f>
        <v/>
      </c>
      <c r="AV297" s="61" t="str">
        <f aca="false">SUBSTITUTE(SUBSTITUTE(SUBSTITUTE(SUBSTITUTE(SUBSTITUTE(SUBSTITUTE(SUBSTITUTE(SUBSTITUTE(SUBSTITUTE(SUBSTITUTE(SUBSTITUTE(SUBSTITUTE(SUBSTITUTE(LOWER(V297&amp;""),CHAR(160),"")," ",""),".",""),"-",""),"/",""),"?",""),"_",""),",",""),"[",""),"]",""),"(",""),")",""),"*","")</f>
        <v/>
      </c>
      <c r="AW297" s="61" t="str">
        <f aca="false">SUBSTITUTE(SUBSTITUTE(SUBSTITUTE(SUBSTITUTE(SUBSTITUTE(SUBSTITUTE(SUBSTITUTE(SUBSTITUTE(SUBSTITUTE(SUBSTITUTE(SUBSTITUTE(SUBSTITUTE(SUBSTITUTE(LOWER(Z297&amp;""),CHAR(160),"")," ",""),".",""),"-",""),"/",""),"?",""),"_",""),",",""),"[",""),"]",""),"(",""),")",""),"*","")</f>
        <v/>
      </c>
      <c r="AX297" s="61" t="str">
        <f aca="false">SUBSTITUTE(SUBSTITUTE(SUBSTITUTE(SUBSTITUTE(SUBSTITUTE(SUBSTITUTE(SUBSTITUTE(SUBSTITUTE(SUBSTITUTE(SUBSTITUTE(SUBSTITUTE(SUBSTITUTE(SUBSTITUTE(LOWER(AE297&amp;""),CHAR(160),"")," ",""),".",""),"-",""),"/",""),"?",""),"_",""),",",""),"[",""),"]",""),"(",""),")",""),"*","")</f>
        <v/>
      </c>
      <c r="AY297" s="61" t="str">
        <f aca="false">SUBSTITUTE(SUBSTITUTE(SUBSTITUTE(SUBSTITUTE(SUBSTITUTE(SUBSTITUTE(SUBSTITUTE(SUBSTITUTE(SUBSTITUTE(SUBSTITUTE(SUBSTITUTE(SUBSTITUTE(SUBSTITUTE(LOWER(W297&amp;""),CHAR(160),"")," ",""),".",""),"-",""),"/",""),"?",""),"_",""),",",""),"[",""),"]",""),"(",""),")",""),"*","")</f>
        <v/>
      </c>
      <c r="AZ297" s="61" t="str">
        <f aca="false">SUBSTITUTE(SUBSTITUTE(SUBSTITUTE(SUBSTITUTE(SUBSTITUTE(SUBSTITUTE(SUBSTITUTE(SUBSTITUTE(SUBSTITUTE(SUBSTITUTE(SUBSTITUTE(SUBSTITUTE(SUBSTITUTE(LOWER(AC297&amp;""),CHAR(160),"")," ",""),".",""),"-",""),"/",""),"?",""),"_",""),",",""),"[",""),"]",""),"(",""),")",""),"*","")</f>
        <v/>
      </c>
      <c r="BA297" s="61" t="str">
        <f aca="false">SUBSTITUTE(SUBSTITUTE(SUBSTITUTE(SUBSTITUTE(SUBSTITUTE(SUBSTITUTE(SUBSTITUTE(SUBSTITUTE(SUBSTITUTE(SUBSTITUTE(SUBSTITUTE(SUBSTITUTE(SUBSTITUTE(LOWER(AA297&amp;""),CHAR(160),"")," ",""),".",""),"-",""),"/",""),"?",""),"_",""),",",""),"[",""),"]",""),"(",""),")",""),"*","")</f>
        <v/>
      </c>
      <c r="BB297" s="61" t="str">
        <f aca="false">IF(AND(TRIM(U297)="Pass",ISNUMBER(AF297)),IF(AF297&lt;&gt;0,"INVALID – qty variance: use Fail or Pass after CA",""),"")&amp;IF(AND(TRIM(U297)="Pass after CA",ISNUMBER(AF297)),IF(AF297&lt;&gt;0,"INVALID – after the corrective action the actual qty must equal expected (update Actual)",""),"")&amp;IF(AND(TRIM(U297)="Pass",TRIM(AB297)&lt;&gt;"",TRIM(AB297)&lt;&gt;"Closed"),"INVALID – corrective action not closed: use Fail, then Pass after CA","")&amp;IF(AND(TRIM(AA297)&lt;&gt;"",TRIM(AB297)=""),"INVALID – CA status missing for the recorded corrective action","")&amp;IF(AND(TRIM(U297)="Pass after CA",OR(OR(LEN(BA297)&lt;5,ISNUMBER(MATCH(BA297,L_Placeholder,0))),TRIM(AB297)&lt;&gt;"Closed")),"INVALID – corrective action not recorded/closed","")</f>
        <v/>
      </c>
    </row>
    <row r="298" customFormat="false" ht="78.75" hidden="false" customHeight="true" outlineLevel="0" collapsed="false">
      <c r="A298" s="57" t="s">
        <v>851</v>
      </c>
      <c r="B298" s="57" t="s">
        <v>243</v>
      </c>
      <c r="C298" s="57" t="str">
        <f aca="false">Flights!$F$13</f>
        <v>MH0753</v>
      </c>
      <c r="D298" s="58" t="n">
        <f aca="false">Flights!$D$13</f>
        <v>46306</v>
      </c>
      <c r="E298" s="57" t="str">
        <f aca="false">Flights!$G$13&amp;"-"&amp;Flights!$H$13</f>
        <v>HAN-KUL</v>
      </c>
      <c r="F298" s="57" t="str">
        <f aca="false">Flights!$K$13</f>
        <v>BC</v>
      </c>
      <c r="G298" s="57" t="s">
        <v>398</v>
      </c>
      <c r="H298" s="57" t="s">
        <v>356</v>
      </c>
      <c r="I298" s="57" t="s">
        <v>406</v>
      </c>
      <c r="J298" s="57" t="s">
        <v>413</v>
      </c>
      <c r="K298" s="67" t="s">
        <v>469</v>
      </c>
      <c r="L298" s="67" t="s">
        <v>400</v>
      </c>
      <c r="M298" s="67"/>
      <c r="N298" s="67" t="s">
        <v>361</v>
      </c>
      <c r="O298" s="67" t="s">
        <v>401</v>
      </c>
      <c r="P298" s="57" t="s">
        <v>237</v>
      </c>
      <c r="Q298" s="59" t="n">
        <f aca="false">ROUND((Flights!$AE$13)*1440,0)/1440</f>
        <v>46305.7534722222</v>
      </c>
      <c r="R298" s="59" t="n">
        <f aca="false">Q298+(IF(AND(INDEX(TZ_DSTS,MATCH(P298,TZ_STN,0))&lt;&gt;"",Q298&gt;=INDEX(TZ_DSTS,MATCH(P298,TZ_STN,0)),Q298&lt;INDEX(TZ_DSTE,MATCH(P298,TZ_STN,0))),INDEX(TZ_DST,MATCH(P298,TZ_STN,0)),INDEX(TZ_STD,MATCH(P298,TZ_STN,0))))/24</f>
        <v>46306.0451388889</v>
      </c>
      <c r="S298" s="59" t="n">
        <f aca="false">Q298-T12EarlyH/24</f>
        <v>46305.2534722222</v>
      </c>
      <c r="T298" s="60"/>
      <c r="U298" s="60"/>
      <c r="V298" s="60"/>
      <c r="W298" s="61"/>
      <c r="X298" s="60"/>
      <c r="Y298" s="60"/>
      <c r="Z298" s="60"/>
      <c r="AA298" s="60"/>
      <c r="AB298" s="60"/>
      <c r="AC298" s="60"/>
      <c r="AD298" s="66"/>
      <c r="AE298" s="60"/>
      <c r="AF298" s="61" t="str">
        <f aca="false">IF(AND(ISNUMBER(X298),ISNUMBER(Y298)),Y298-X298,"")</f>
        <v/>
      </c>
      <c r="AG298" s="62" t="str">
        <f aca="false">IF(ISNUMBER(AD298),AD298-(IF(AND(INDEX(TZ_DSTS,MATCH(P298,TZ_STN,0))&lt;&gt;"",(AD298-INDEX(TZ_STD,MATCH(P298,TZ_STN,0))/24)&gt;=INDEX(TZ_DSTS,MATCH(P298,TZ_STN,0)),(AD298-INDEX(TZ_STD,MATCH(P298,TZ_STN,0))/24)&lt;INDEX(TZ_DSTE,MATCH(P298,TZ_STN,0))),INDEX(TZ_DST,MATCH(P298,TZ_STN,0)),INDEX(TZ_STD,MATCH(P298,TZ_STN,0))))/24,"")</f>
        <v/>
      </c>
      <c r="AH298" s="65" t="str">
        <f aca="false">IFERROR(IF(N298="N/A – rule","N/A – RULE",IF(TRIM(U298)="N/A",IF(AT298=0,"INVALID – N/A not permitted for this check",IF(AND(TRIM(AB298)&lt;&gt;"",TRIM(AB298)&lt;&gt;"Closed"),"INVALID – corrective action still open",IF(AND(NOT(OR(LEN(AZ298)&lt;15,ISNUMBER(MATCH(AZ298,L_Placeholder,0)))),NOT(OR(LEN(AU298)&lt;2,ISNUMBER(MATCH(AU298,L_Placeholder,0)))),NOT(OR(LEN(AX298)&lt;2,ISNUMBER(MATCH(AX298,L_Placeholder,0)))),TRIM(AE298)&lt;&gt;TRIM(T298)),"N/A – JUSTIFIED","INVALID – N/A needs a real justification (15+ chars), PIC and a different verifier"))),IF(OR(TRIM(U298)="Pass",TRIM(U298)="Pass after CA"),IF(NOT(ISNUMBER(AD298)),"INVALID – completion time missing",IF(OR(LEN(AU298)&lt;2,ISNUMBER(MATCH(AU298,L_Placeholder,0))),"INVALID – PIC missing",IF(OR(LEN(AV298)&lt;2,ISNUMBER(MATCH(AV298,L_Placeholder,0))),"INVALID – result / assessment missing",IF(OR(OR(LEN(AW298)&lt;3,ISNUMBER(MATCH(AW298,L_Placeholder,0))),SUMPRODUCT(--ISNUMBER(SEARCH(L_EvidencePhrase,AW298)))&gt;0),"INVALID – evidence missing, placeholder or not yet on file",IF(OR(LEN(AX298)&lt;2,ISNUMBER(MATCH(AX298,L_Placeholder,0))),"INVALID – verifier missing",IF(AX298=AU298,"INVALID – verifier must be someone other than the PIC",IF(AND(TRIM(U298)="Pass",SUMPRODUCT(--ISNUMBER(SEARCH(L_ResultBad,AV298)))&gt;0),"INVALID – result describes a problem: use Fail, then Pass after CA",IF(AND(AQ298=1,OR(LEN(AY298)&lt;3,ISNUMBER(MATCH(AY298,L_Placeholder,0)))),"INVALID – batch ID missing or placeholder",IF(AND(AR298=1,OR(NOT(ISNUMBER(X298)),NOT(ISNUMBER(Y298)))),"INVALID – expected/actual qty missing",IF(AND(AR298=1,OR(X298&lt;=0,Y298&lt;0)),"INVALID – expected qty must be above 0 and actual not negative",IF(BB298&lt;&gt;"",BB298,IF(AND(AS298=1,Documents!$J$13&lt;&gt;"ON FILE"),"INVALID – GLD not on file (Documents sheet)",IF(AND(AS298=2,Documents!$O$13&lt;&gt;"ON FILE"),"INVALID – menu checklist not on file (Documents sheet)",IF(AND(AS298=3,NOT(ISNUMBER(Flights!$AX$13))),"INVALID – enter carrying flight KUL departure (Flights AX)",IF(AND(AS298=3,OR(Flights!$AZ$13&gt;Flights!$AA$13,Flights!$AX$13&lt;Flights!$AA$13-3)),"INVALID – carrying flight (Flights AX) cannot arrive before this leg's STD, or is over 3 days early",IF(AG298&gt;AsOfUTC,"INVALID – completion time is in the future",IF(AND(ISNUMBER(S298),AG298&lt;S298),IF(H298="Physical uplift","INVALID – before uplift window (cannot confirm loading)","INVALID – before valid window"),IF(AG298&gt;Flights!$AA$13,"INVALID – completed after departure (cannot establish readiness)",IF(AND(H298="Preparation",AG298&gt;IF(ISNUMBER(Flights!$BA$13),MIN(Flights!$BA$13,Flights!$AA$13),Flights!$AA$13)),"INVALID – completed after loading / departure (cannot establish readiness)",IF(AND(H298="Physical uplift",AG298&gt;Q298),"INVALID – recorded after the loading flight departed",IF(AG298&gt;Q298,"COMPLETE – LATE","COMPLETE"))))))))))))))))))))),IF(TRIM(U298)="Fail","FAIL – DISCREPANCY",IF(AND(TRIM(U298)&lt;&gt;"",TRIM(U298)&lt;&gt;"Not started",TRIM(U298)&lt;&gt;"In progress"),"INVALID – unrecognised status (use the list)",IF(AsOfUTC&gt;Q298,"OVERDUE",IF(N298="Clarification required","OPEN – CLARIFICATION","OPEN"))))))),"INVALID – error value in an input cell")</f>
        <v>OPEN</v>
      </c>
      <c r="AI298" s="61" t="n">
        <f aca="false">IF(OR(AH298="N/A – RULE",AH298="N/A – JUSTIFIED"),0,1)</f>
        <v>1</v>
      </c>
      <c r="AJ298" s="61" t="n">
        <f aca="false">IF(LEFT(AH298,8)="COMPLETE",1,0)</f>
        <v>0</v>
      </c>
      <c r="AK298" s="61" t="n">
        <f aca="false">IF(AND(AI298=1,AJ298=0,AsOfUTC&gt;Q298),1,0)</f>
        <v>0</v>
      </c>
      <c r="AL298" s="61" t="n">
        <f aca="false">IFERROR(IF(AND(AI298=1,OR(TRIM(U298)="Fail",AND(TRIM(AB298)&lt;&gt;"",TRIM(AB298)&lt;&gt;"Closed"),AND(ISNUMBER(AF298),AF298&lt;&gt;0,TRIM(U298)&lt;&gt;"Pass after CA"))),1,0),1)</f>
        <v>0</v>
      </c>
      <c r="AM298" s="61" t="n">
        <f aca="false">IF(LEFT(AH298,7)="INVALID",1,0)</f>
        <v>0</v>
      </c>
      <c r="AN298" s="61" t="n">
        <f aca="false">IF(AND(N298="Clarification required",AI298=1,AJ298=0),1,0)</f>
        <v>0</v>
      </c>
      <c r="AO298" s="61" t="str">
        <f aca="false">IF(AK298=1,SUM(AK$5:AK298),"")</f>
        <v/>
      </c>
      <c r="AP298" s="61" t="str">
        <f aca="false">IF(AL298=1,SUM(AL$5:AL298),"")</f>
        <v/>
      </c>
      <c r="AQ298" s="61" t="n">
        <v>0</v>
      </c>
      <c r="AR298" s="61" t="n">
        <v>1</v>
      </c>
      <c r="AS298" s="61" t="n">
        <v>0</v>
      </c>
      <c r="AT298" s="61" t="n">
        <v>0</v>
      </c>
      <c r="AU298" s="61" t="str">
        <f aca="false">SUBSTITUTE(SUBSTITUTE(SUBSTITUTE(SUBSTITUTE(SUBSTITUTE(SUBSTITUTE(SUBSTITUTE(SUBSTITUTE(SUBSTITUTE(SUBSTITUTE(SUBSTITUTE(SUBSTITUTE(SUBSTITUTE(LOWER(T298&amp;""),CHAR(160),"")," ",""),".",""),"-",""),"/",""),"?",""),"_",""),",",""),"[",""),"]",""),"(",""),")",""),"*","")</f>
        <v/>
      </c>
      <c r="AV298" s="61" t="str">
        <f aca="false">SUBSTITUTE(SUBSTITUTE(SUBSTITUTE(SUBSTITUTE(SUBSTITUTE(SUBSTITUTE(SUBSTITUTE(SUBSTITUTE(SUBSTITUTE(SUBSTITUTE(SUBSTITUTE(SUBSTITUTE(SUBSTITUTE(LOWER(V298&amp;""),CHAR(160),"")," ",""),".",""),"-",""),"/",""),"?",""),"_",""),",",""),"[",""),"]",""),"(",""),")",""),"*","")</f>
        <v/>
      </c>
      <c r="AW298" s="61" t="str">
        <f aca="false">SUBSTITUTE(SUBSTITUTE(SUBSTITUTE(SUBSTITUTE(SUBSTITUTE(SUBSTITUTE(SUBSTITUTE(SUBSTITUTE(SUBSTITUTE(SUBSTITUTE(SUBSTITUTE(SUBSTITUTE(SUBSTITUTE(LOWER(Z298&amp;""),CHAR(160),"")," ",""),".",""),"-",""),"/",""),"?",""),"_",""),",",""),"[",""),"]",""),"(",""),")",""),"*","")</f>
        <v/>
      </c>
      <c r="AX298" s="61" t="str">
        <f aca="false">SUBSTITUTE(SUBSTITUTE(SUBSTITUTE(SUBSTITUTE(SUBSTITUTE(SUBSTITUTE(SUBSTITUTE(SUBSTITUTE(SUBSTITUTE(SUBSTITUTE(SUBSTITUTE(SUBSTITUTE(SUBSTITUTE(LOWER(AE298&amp;""),CHAR(160),"")," ",""),".",""),"-",""),"/",""),"?",""),"_",""),",",""),"[",""),"]",""),"(",""),")",""),"*","")</f>
        <v/>
      </c>
      <c r="AY298" s="61" t="str">
        <f aca="false">SUBSTITUTE(SUBSTITUTE(SUBSTITUTE(SUBSTITUTE(SUBSTITUTE(SUBSTITUTE(SUBSTITUTE(SUBSTITUTE(SUBSTITUTE(SUBSTITUTE(SUBSTITUTE(SUBSTITUTE(SUBSTITUTE(LOWER(W298&amp;""),CHAR(160),"")," ",""),".",""),"-",""),"/",""),"?",""),"_",""),",",""),"[",""),"]",""),"(",""),")",""),"*","")</f>
        <v/>
      </c>
      <c r="AZ298" s="61" t="str">
        <f aca="false">SUBSTITUTE(SUBSTITUTE(SUBSTITUTE(SUBSTITUTE(SUBSTITUTE(SUBSTITUTE(SUBSTITUTE(SUBSTITUTE(SUBSTITUTE(SUBSTITUTE(SUBSTITUTE(SUBSTITUTE(SUBSTITUTE(LOWER(AC298&amp;""),CHAR(160),"")," ",""),".",""),"-",""),"/",""),"?",""),"_",""),",",""),"[",""),"]",""),"(",""),")",""),"*","")</f>
        <v/>
      </c>
      <c r="BA298" s="61" t="str">
        <f aca="false">SUBSTITUTE(SUBSTITUTE(SUBSTITUTE(SUBSTITUTE(SUBSTITUTE(SUBSTITUTE(SUBSTITUTE(SUBSTITUTE(SUBSTITUTE(SUBSTITUTE(SUBSTITUTE(SUBSTITUTE(SUBSTITUTE(LOWER(AA298&amp;""),CHAR(160),"")," ",""),".",""),"-",""),"/",""),"?",""),"_",""),",",""),"[",""),"]",""),"(",""),")",""),"*","")</f>
        <v/>
      </c>
      <c r="BB298" s="61" t="str">
        <f aca="false">IF(AND(TRIM(U298)="Pass",ISNUMBER(AF298)),IF(AF298&lt;&gt;0,"INVALID – qty variance: use Fail or Pass after CA",""),"")&amp;IF(AND(TRIM(U298)="Pass after CA",ISNUMBER(AF298)),IF(AF298&lt;&gt;0,"INVALID – after the corrective action the actual qty must equal expected (update Actual)",""),"")&amp;IF(AND(TRIM(U298)="Pass",TRIM(AB298)&lt;&gt;"",TRIM(AB298)&lt;&gt;"Closed"),"INVALID – corrective action not closed: use Fail, then Pass after CA","")&amp;IF(AND(TRIM(AA298)&lt;&gt;"",TRIM(AB298)=""),"INVALID – CA status missing for the recorded corrective action","")&amp;IF(AND(TRIM(U298)="Pass after CA",OR(OR(LEN(BA298)&lt;5,ISNUMBER(MATCH(BA298,L_Placeholder,0))),TRIM(AB298)&lt;&gt;"Closed")),"INVALID – corrective action not recorded/closed","")</f>
        <v/>
      </c>
    </row>
    <row r="299" customFormat="false" ht="39.75" hidden="false" customHeight="true" outlineLevel="0" collapsed="false">
      <c r="A299" s="57" t="s">
        <v>852</v>
      </c>
      <c r="B299" s="57" t="s">
        <v>243</v>
      </c>
      <c r="C299" s="57" t="str">
        <f aca="false">Flights!$F$13</f>
        <v>MH0753</v>
      </c>
      <c r="D299" s="58" t="n">
        <f aca="false">Flights!$D$13</f>
        <v>46306</v>
      </c>
      <c r="E299" s="57" t="str">
        <f aca="false">Flights!$G$13&amp;"-"&amp;Flights!$H$13</f>
        <v>HAN-KUL</v>
      </c>
      <c r="F299" s="57" t="str">
        <f aca="false">Flights!$K$13</f>
        <v>BC</v>
      </c>
      <c r="G299" s="57" t="s">
        <v>398</v>
      </c>
      <c r="H299" s="57" t="s">
        <v>356</v>
      </c>
      <c r="I299" s="57" t="s">
        <v>406</v>
      </c>
      <c r="J299" s="57" t="s">
        <v>416</v>
      </c>
      <c r="K299" s="67"/>
      <c r="L299" s="67" t="s">
        <v>400</v>
      </c>
      <c r="M299" s="67"/>
      <c r="N299" s="67" t="s">
        <v>361</v>
      </c>
      <c r="O299" s="67" t="s">
        <v>401</v>
      </c>
      <c r="P299" s="57" t="s">
        <v>237</v>
      </c>
      <c r="Q299" s="59" t="n">
        <f aca="false">ROUND((Flights!$AE$13)*1440,0)/1440</f>
        <v>46305.7534722222</v>
      </c>
      <c r="R299" s="59" t="n">
        <f aca="false">Q299+(IF(AND(INDEX(TZ_DSTS,MATCH(P299,TZ_STN,0))&lt;&gt;"",Q299&gt;=INDEX(TZ_DSTS,MATCH(P299,TZ_STN,0)),Q299&lt;INDEX(TZ_DSTE,MATCH(P299,TZ_STN,0))),INDEX(TZ_DST,MATCH(P299,TZ_STN,0)),INDEX(TZ_STD,MATCH(P299,TZ_STN,0))))/24</f>
        <v>46306.0451388889</v>
      </c>
      <c r="S299" s="59" t="n">
        <f aca="false">Q299-T12EarlyH/24</f>
        <v>46305.2534722222</v>
      </c>
      <c r="T299" s="60"/>
      <c r="U299" s="60"/>
      <c r="V299" s="60"/>
      <c r="W299" s="61"/>
      <c r="X299" s="60"/>
      <c r="Y299" s="60"/>
      <c r="Z299" s="60"/>
      <c r="AA299" s="60"/>
      <c r="AB299" s="60"/>
      <c r="AC299" s="60"/>
      <c r="AD299" s="66"/>
      <c r="AE299" s="60"/>
      <c r="AF299" s="61" t="str">
        <f aca="false">IF(AND(ISNUMBER(X299),ISNUMBER(Y299)),Y299-X299,"")</f>
        <v/>
      </c>
      <c r="AG299" s="62" t="str">
        <f aca="false">IF(ISNUMBER(AD299),AD299-(IF(AND(INDEX(TZ_DSTS,MATCH(P299,TZ_STN,0))&lt;&gt;"",(AD299-INDEX(TZ_STD,MATCH(P299,TZ_STN,0))/24)&gt;=INDEX(TZ_DSTS,MATCH(P299,TZ_STN,0)),(AD299-INDEX(TZ_STD,MATCH(P299,TZ_STN,0))/24)&lt;INDEX(TZ_DSTE,MATCH(P299,TZ_STN,0))),INDEX(TZ_DST,MATCH(P299,TZ_STN,0)),INDEX(TZ_STD,MATCH(P299,TZ_STN,0))))/24,"")</f>
        <v/>
      </c>
      <c r="AH299" s="65" t="str">
        <f aca="false">IFERROR(IF(N299="N/A – rule","N/A – RULE",IF(TRIM(U299)="N/A",IF(AT299=0,"INVALID – N/A not permitted for this check",IF(AND(TRIM(AB299)&lt;&gt;"",TRIM(AB299)&lt;&gt;"Closed"),"INVALID – corrective action still open",IF(AND(NOT(OR(LEN(AZ299)&lt;15,ISNUMBER(MATCH(AZ299,L_Placeholder,0)))),NOT(OR(LEN(AU299)&lt;2,ISNUMBER(MATCH(AU299,L_Placeholder,0)))),NOT(OR(LEN(AX299)&lt;2,ISNUMBER(MATCH(AX299,L_Placeholder,0)))),TRIM(AE299)&lt;&gt;TRIM(T299)),"N/A – JUSTIFIED","INVALID – N/A needs a real justification (15+ chars), PIC and a different verifier"))),IF(OR(TRIM(U299)="Pass",TRIM(U299)="Pass after CA"),IF(NOT(ISNUMBER(AD299)),"INVALID – completion time missing",IF(OR(LEN(AU299)&lt;2,ISNUMBER(MATCH(AU299,L_Placeholder,0))),"INVALID – PIC missing",IF(OR(LEN(AV299)&lt;2,ISNUMBER(MATCH(AV299,L_Placeholder,0))),"INVALID – result / assessment missing",IF(OR(OR(LEN(AW299)&lt;3,ISNUMBER(MATCH(AW299,L_Placeholder,0))),SUMPRODUCT(--ISNUMBER(SEARCH(L_EvidencePhrase,AW299)))&gt;0),"INVALID – evidence missing, placeholder or not yet on file",IF(OR(LEN(AX299)&lt;2,ISNUMBER(MATCH(AX299,L_Placeholder,0))),"INVALID – verifier missing",IF(AX299=AU299,"INVALID – verifier must be someone other than the PIC",IF(AND(TRIM(U299)="Pass",SUMPRODUCT(--ISNUMBER(SEARCH(L_ResultBad,AV299)))&gt;0),"INVALID – result describes a problem: use Fail, then Pass after CA",IF(AND(AQ299=1,OR(LEN(AY299)&lt;3,ISNUMBER(MATCH(AY299,L_Placeholder,0)))),"INVALID – batch ID missing or placeholder",IF(AND(AR299=1,OR(NOT(ISNUMBER(X299)),NOT(ISNUMBER(Y299)))),"INVALID – expected/actual qty missing",IF(AND(AR299=1,OR(X299&lt;=0,Y299&lt;0)),"INVALID – expected qty must be above 0 and actual not negative",IF(BB299&lt;&gt;"",BB299,IF(AND(AS299=1,Documents!$J$13&lt;&gt;"ON FILE"),"INVALID – GLD not on file (Documents sheet)",IF(AND(AS299=2,Documents!$O$13&lt;&gt;"ON FILE"),"INVALID – menu checklist not on file (Documents sheet)",IF(AND(AS299=3,NOT(ISNUMBER(Flights!$AX$13))),"INVALID – enter carrying flight KUL departure (Flights AX)",IF(AND(AS299=3,OR(Flights!$AZ$13&gt;Flights!$AA$13,Flights!$AX$13&lt;Flights!$AA$13-3)),"INVALID – carrying flight (Flights AX) cannot arrive before this leg's STD, or is over 3 days early",IF(AG299&gt;AsOfUTC,"INVALID – completion time is in the future",IF(AND(ISNUMBER(S299),AG299&lt;S299),IF(H299="Physical uplift","INVALID – before uplift window (cannot confirm loading)","INVALID – before valid window"),IF(AG299&gt;Flights!$AA$13,"INVALID – completed after departure (cannot establish readiness)",IF(AND(H299="Preparation",AG299&gt;IF(ISNUMBER(Flights!$BA$13),MIN(Flights!$BA$13,Flights!$AA$13),Flights!$AA$13)),"INVALID – completed after loading / departure (cannot establish readiness)",IF(AND(H299="Physical uplift",AG299&gt;Q299),"INVALID – recorded after the loading flight departed",IF(AG299&gt;Q299,"COMPLETE – LATE","COMPLETE"))))))))))))))))))))),IF(TRIM(U299)="Fail","FAIL – DISCREPANCY",IF(AND(TRIM(U299)&lt;&gt;"",TRIM(U299)&lt;&gt;"Not started",TRIM(U299)&lt;&gt;"In progress"),"INVALID – unrecognised status (use the list)",IF(AsOfUTC&gt;Q299,"OVERDUE",IF(N299="Clarification required","OPEN – CLARIFICATION","OPEN"))))))),"INVALID – error value in an input cell")</f>
        <v>OPEN</v>
      </c>
      <c r="AI299" s="61" t="n">
        <f aca="false">IF(OR(AH299="N/A – RULE",AH299="N/A – JUSTIFIED"),0,1)</f>
        <v>1</v>
      </c>
      <c r="AJ299" s="61" t="n">
        <f aca="false">IF(LEFT(AH299,8)="COMPLETE",1,0)</f>
        <v>0</v>
      </c>
      <c r="AK299" s="61" t="n">
        <f aca="false">IF(AND(AI299=1,AJ299=0,AsOfUTC&gt;Q299),1,0)</f>
        <v>0</v>
      </c>
      <c r="AL299" s="61" t="n">
        <f aca="false">IFERROR(IF(AND(AI299=1,OR(TRIM(U299)="Fail",AND(TRIM(AB299)&lt;&gt;"",TRIM(AB299)&lt;&gt;"Closed"),AND(ISNUMBER(AF299),AF299&lt;&gt;0,TRIM(U299)&lt;&gt;"Pass after CA"))),1,0),1)</f>
        <v>0</v>
      </c>
      <c r="AM299" s="61" t="n">
        <f aca="false">IF(LEFT(AH299,7)="INVALID",1,0)</f>
        <v>0</v>
      </c>
      <c r="AN299" s="61" t="n">
        <f aca="false">IF(AND(N299="Clarification required",AI299=1,AJ299=0),1,0)</f>
        <v>0</v>
      </c>
      <c r="AO299" s="61" t="str">
        <f aca="false">IF(AK299=1,SUM(AK$5:AK299),"")</f>
        <v/>
      </c>
      <c r="AP299" s="61" t="str">
        <f aca="false">IF(AL299=1,SUM(AL$5:AL299),"")</f>
        <v/>
      </c>
      <c r="AQ299" s="61" t="n">
        <v>0</v>
      </c>
      <c r="AR299" s="61" t="n">
        <v>0</v>
      </c>
      <c r="AS299" s="61" t="n">
        <v>0</v>
      </c>
      <c r="AT299" s="61" t="n">
        <v>0</v>
      </c>
      <c r="AU299" s="61" t="str">
        <f aca="false">SUBSTITUTE(SUBSTITUTE(SUBSTITUTE(SUBSTITUTE(SUBSTITUTE(SUBSTITUTE(SUBSTITUTE(SUBSTITUTE(SUBSTITUTE(SUBSTITUTE(SUBSTITUTE(SUBSTITUTE(SUBSTITUTE(LOWER(T299&amp;""),CHAR(160),"")," ",""),".",""),"-",""),"/",""),"?",""),"_",""),",",""),"[",""),"]",""),"(",""),")",""),"*","")</f>
        <v/>
      </c>
      <c r="AV299" s="61" t="str">
        <f aca="false">SUBSTITUTE(SUBSTITUTE(SUBSTITUTE(SUBSTITUTE(SUBSTITUTE(SUBSTITUTE(SUBSTITUTE(SUBSTITUTE(SUBSTITUTE(SUBSTITUTE(SUBSTITUTE(SUBSTITUTE(SUBSTITUTE(LOWER(V299&amp;""),CHAR(160),"")," ",""),".",""),"-",""),"/",""),"?",""),"_",""),",",""),"[",""),"]",""),"(",""),")",""),"*","")</f>
        <v/>
      </c>
      <c r="AW299" s="61" t="str">
        <f aca="false">SUBSTITUTE(SUBSTITUTE(SUBSTITUTE(SUBSTITUTE(SUBSTITUTE(SUBSTITUTE(SUBSTITUTE(SUBSTITUTE(SUBSTITUTE(SUBSTITUTE(SUBSTITUTE(SUBSTITUTE(SUBSTITUTE(LOWER(Z299&amp;""),CHAR(160),"")," ",""),".",""),"-",""),"/",""),"?",""),"_",""),",",""),"[",""),"]",""),"(",""),")",""),"*","")</f>
        <v/>
      </c>
      <c r="AX299" s="61" t="str">
        <f aca="false">SUBSTITUTE(SUBSTITUTE(SUBSTITUTE(SUBSTITUTE(SUBSTITUTE(SUBSTITUTE(SUBSTITUTE(SUBSTITUTE(SUBSTITUTE(SUBSTITUTE(SUBSTITUTE(SUBSTITUTE(SUBSTITUTE(LOWER(AE299&amp;""),CHAR(160),"")," ",""),".",""),"-",""),"/",""),"?",""),"_",""),",",""),"[",""),"]",""),"(",""),")",""),"*","")</f>
        <v/>
      </c>
      <c r="AY299" s="61" t="str">
        <f aca="false">SUBSTITUTE(SUBSTITUTE(SUBSTITUTE(SUBSTITUTE(SUBSTITUTE(SUBSTITUTE(SUBSTITUTE(SUBSTITUTE(SUBSTITUTE(SUBSTITUTE(SUBSTITUTE(SUBSTITUTE(SUBSTITUTE(LOWER(W299&amp;""),CHAR(160),"")," ",""),".",""),"-",""),"/",""),"?",""),"_",""),",",""),"[",""),"]",""),"(",""),")",""),"*","")</f>
        <v/>
      </c>
      <c r="AZ299" s="61" t="str">
        <f aca="false">SUBSTITUTE(SUBSTITUTE(SUBSTITUTE(SUBSTITUTE(SUBSTITUTE(SUBSTITUTE(SUBSTITUTE(SUBSTITUTE(SUBSTITUTE(SUBSTITUTE(SUBSTITUTE(SUBSTITUTE(SUBSTITUTE(LOWER(AC299&amp;""),CHAR(160),"")," ",""),".",""),"-",""),"/",""),"?",""),"_",""),",",""),"[",""),"]",""),"(",""),")",""),"*","")</f>
        <v/>
      </c>
      <c r="BA299" s="61" t="str">
        <f aca="false">SUBSTITUTE(SUBSTITUTE(SUBSTITUTE(SUBSTITUTE(SUBSTITUTE(SUBSTITUTE(SUBSTITUTE(SUBSTITUTE(SUBSTITUTE(SUBSTITUTE(SUBSTITUTE(SUBSTITUTE(SUBSTITUTE(LOWER(AA299&amp;""),CHAR(160),"")," ",""),".",""),"-",""),"/",""),"?",""),"_",""),",",""),"[",""),"]",""),"(",""),")",""),"*","")</f>
        <v/>
      </c>
      <c r="BB299" s="61" t="str">
        <f aca="false">IF(AND(TRIM(U299)="Pass",ISNUMBER(AF299)),IF(AF299&lt;&gt;0,"INVALID – qty variance: use Fail or Pass after CA",""),"")&amp;IF(AND(TRIM(U299)="Pass after CA",ISNUMBER(AF299)),IF(AF299&lt;&gt;0,"INVALID – after the corrective action the actual qty must equal expected (update Actual)",""),"")&amp;IF(AND(TRIM(U299)="Pass",TRIM(AB299)&lt;&gt;"",TRIM(AB299)&lt;&gt;"Closed"),"INVALID – corrective action not closed: use Fail, then Pass after CA","")&amp;IF(AND(TRIM(AA299)&lt;&gt;"",TRIM(AB299)=""),"INVALID – CA status missing for the recorded corrective action","")&amp;IF(AND(TRIM(U299)="Pass after CA",OR(OR(LEN(BA299)&lt;5,ISNUMBER(MATCH(BA299,L_Placeholder,0))),TRIM(AB299)&lt;&gt;"Closed")),"INVALID – corrective action not recorded/closed","")</f>
        <v/>
      </c>
    </row>
    <row r="300" customFormat="false" ht="66" hidden="false" customHeight="true" outlineLevel="0" collapsed="false">
      <c r="A300" s="57" t="s">
        <v>853</v>
      </c>
      <c r="B300" s="57" t="s">
        <v>243</v>
      </c>
      <c r="C300" s="57" t="str">
        <f aca="false">Flights!$F$13</f>
        <v>MH0753</v>
      </c>
      <c r="D300" s="58" t="n">
        <f aca="false">Flights!$D$13</f>
        <v>46306</v>
      </c>
      <c r="E300" s="57" t="str">
        <f aca="false">Flights!$G$13&amp;"-"&amp;Flights!$H$13</f>
        <v>HAN-KUL</v>
      </c>
      <c r="F300" s="57" t="str">
        <f aca="false">Flights!$K$13</f>
        <v>BC</v>
      </c>
      <c r="G300" s="57" t="s">
        <v>398</v>
      </c>
      <c r="H300" s="57" t="s">
        <v>356</v>
      </c>
      <c r="I300" s="57" t="s">
        <v>418</v>
      </c>
      <c r="J300" s="57" t="s">
        <v>472</v>
      </c>
      <c r="K300" s="67" t="s">
        <v>473</v>
      </c>
      <c r="L300" s="67" t="s">
        <v>854</v>
      </c>
      <c r="M300" s="67" t="s">
        <v>429</v>
      </c>
      <c r="N300" s="67" t="s">
        <v>361</v>
      </c>
      <c r="O300" s="67" t="s">
        <v>855</v>
      </c>
      <c r="P300" s="57" t="s">
        <v>237</v>
      </c>
      <c r="Q300" s="59" t="n">
        <f aca="false">ROUND((Flights!$AE$13)*1440,0)/1440</f>
        <v>46305.7534722222</v>
      </c>
      <c r="R300" s="59" t="n">
        <f aca="false">Q300+(IF(AND(INDEX(TZ_DSTS,MATCH(P300,TZ_STN,0))&lt;&gt;"",Q300&gt;=INDEX(TZ_DSTS,MATCH(P300,TZ_STN,0)),Q300&lt;INDEX(TZ_DSTE,MATCH(P300,TZ_STN,0))),INDEX(TZ_DST,MATCH(P300,TZ_STN,0)),INDEX(TZ_STD,MATCH(P300,TZ_STN,0))))/24</f>
        <v>46306.0451388889</v>
      </c>
      <c r="S300" s="59" t="n">
        <f aca="false">Q300-T12EarlyH/24</f>
        <v>46305.2534722222</v>
      </c>
      <c r="T300" s="60"/>
      <c r="U300" s="60"/>
      <c r="V300" s="60"/>
      <c r="W300" s="61"/>
      <c r="X300" s="60"/>
      <c r="Y300" s="60"/>
      <c r="Z300" s="60"/>
      <c r="AA300" s="60"/>
      <c r="AB300" s="60"/>
      <c r="AC300" s="60"/>
      <c r="AD300" s="66"/>
      <c r="AE300" s="60"/>
      <c r="AF300" s="61" t="str">
        <f aca="false">IF(AND(ISNUMBER(X300),ISNUMBER(Y300)),Y300-X300,"")</f>
        <v/>
      </c>
      <c r="AG300" s="62" t="str">
        <f aca="false">IF(ISNUMBER(AD300),AD300-(IF(AND(INDEX(TZ_DSTS,MATCH(P300,TZ_STN,0))&lt;&gt;"",(AD300-INDEX(TZ_STD,MATCH(P300,TZ_STN,0))/24)&gt;=INDEX(TZ_DSTS,MATCH(P300,TZ_STN,0)),(AD300-INDEX(TZ_STD,MATCH(P300,TZ_STN,0))/24)&lt;INDEX(TZ_DSTE,MATCH(P300,TZ_STN,0))),INDEX(TZ_DST,MATCH(P300,TZ_STN,0)),INDEX(TZ_STD,MATCH(P300,TZ_STN,0))))/24,"")</f>
        <v/>
      </c>
      <c r="AH300" s="65" t="str">
        <f aca="false">IFERROR(IF(N300="N/A – rule","N/A – RULE",IF(TRIM(U300)="N/A",IF(AT300=0,"INVALID – N/A not permitted for this check",IF(AND(TRIM(AB300)&lt;&gt;"",TRIM(AB300)&lt;&gt;"Closed"),"INVALID – corrective action still open",IF(AND(NOT(OR(LEN(AZ300)&lt;15,ISNUMBER(MATCH(AZ300,L_Placeholder,0)))),NOT(OR(LEN(AU300)&lt;2,ISNUMBER(MATCH(AU300,L_Placeholder,0)))),NOT(OR(LEN(AX300)&lt;2,ISNUMBER(MATCH(AX300,L_Placeholder,0)))),TRIM(AE300)&lt;&gt;TRIM(T300)),"N/A – JUSTIFIED","INVALID – N/A needs a real justification (15+ chars), PIC and a different verifier"))),IF(OR(TRIM(U300)="Pass",TRIM(U300)="Pass after CA"),IF(NOT(ISNUMBER(AD300)),"INVALID – completion time missing",IF(OR(LEN(AU300)&lt;2,ISNUMBER(MATCH(AU300,L_Placeholder,0))),"INVALID – PIC missing",IF(OR(LEN(AV300)&lt;2,ISNUMBER(MATCH(AV300,L_Placeholder,0))),"INVALID – result / assessment missing",IF(OR(OR(LEN(AW300)&lt;3,ISNUMBER(MATCH(AW300,L_Placeholder,0))),SUMPRODUCT(--ISNUMBER(SEARCH(L_EvidencePhrase,AW300)))&gt;0),"INVALID – evidence missing, placeholder or not yet on file",IF(OR(LEN(AX300)&lt;2,ISNUMBER(MATCH(AX300,L_Placeholder,0))),"INVALID – verifier missing",IF(AX300=AU300,"INVALID – verifier must be someone other than the PIC",IF(AND(TRIM(U300)="Pass",SUMPRODUCT(--ISNUMBER(SEARCH(L_ResultBad,AV300)))&gt;0),"INVALID – result describes a problem: use Fail, then Pass after CA",IF(AND(AQ300=1,OR(LEN(AY300)&lt;3,ISNUMBER(MATCH(AY300,L_Placeholder,0)))),"INVALID – batch ID missing or placeholder",IF(AND(AR300=1,OR(NOT(ISNUMBER(X300)),NOT(ISNUMBER(Y300)))),"INVALID – expected/actual qty missing",IF(AND(AR300=1,OR(X300&lt;=0,Y300&lt;0)),"INVALID – expected qty must be above 0 and actual not negative",IF(BB300&lt;&gt;"",BB300,IF(AND(AS300=1,Documents!$J$13&lt;&gt;"ON FILE"),"INVALID – GLD not on file (Documents sheet)",IF(AND(AS300=2,Documents!$O$13&lt;&gt;"ON FILE"),"INVALID – menu checklist not on file (Documents sheet)",IF(AND(AS300=3,NOT(ISNUMBER(Flights!$AX$13))),"INVALID – enter carrying flight KUL departure (Flights AX)",IF(AND(AS300=3,OR(Flights!$AZ$13&gt;Flights!$AA$13,Flights!$AX$13&lt;Flights!$AA$13-3)),"INVALID – carrying flight (Flights AX) cannot arrive before this leg's STD, or is over 3 days early",IF(AG300&gt;AsOfUTC,"INVALID – completion time is in the future",IF(AND(ISNUMBER(S300),AG300&lt;S300),IF(H300="Physical uplift","INVALID – before uplift window (cannot confirm loading)","INVALID – before valid window"),IF(AG300&gt;Flights!$AA$13,"INVALID – completed after departure (cannot establish readiness)",IF(AND(H300="Preparation",AG300&gt;IF(ISNUMBER(Flights!$BA$13),MIN(Flights!$BA$13,Flights!$AA$13),Flights!$AA$13)),"INVALID – completed after loading / departure (cannot establish readiness)",IF(AND(H300="Physical uplift",AG300&gt;Q300),"INVALID – recorded after the loading flight departed",IF(AG300&gt;Q300,"COMPLETE – LATE","COMPLETE"))))))))))))))))))))),IF(TRIM(U300)="Fail","FAIL – DISCREPANCY",IF(AND(TRIM(U300)&lt;&gt;"",TRIM(U300)&lt;&gt;"Not started",TRIM(U300)&lt;&gt;"In progress"),"INVALID – unrecognised status (use the list)",IF(AsOfUTC&gt;Q300,"OVERDUE",IF(N300="Clarification required","OPEN – CLARIFICATION","OPEN"))))))),"INVALID – error value in an input cell")</f>
        <v>OPEN</v>
      </c>
      <c r="AI300" s="61" t="n">
        <f aca="false">IF(OR(AH300="N/A – RULE",AH300="N/A – JUSTIFIED"),0,1)</f>
        <v>1</v>
      </c>
      <c r="AJ300" s="61" t="n">
        <f aca="false">IF(LEFT(AH300,8)="COMPLETE",1,0)</f>
        <v>0</v>
      </c>
      <c r="AK300" s="61" t="n">
        <f aca="false">IF(AND(AI300=1,AJ300=0,AsOfUTC&gt;Q300),1,0)</f>
        <v>0</v>
      </c>
      <c r="AL300" s="61" t="n">
        <f aca="false">IFERROR(IF(AND(AI300=1,OR(TRIM(U300)="Fail",AND(TRIM(AB300)&lt;&gt;"",TRIM(AB300)&lt;&gt;"Closed"),AND(ISNUMBER(AF300),AF300&lt;&gt;0,TRIM(U300)&lt;&gt;"Pass after CA"))),1,0),1)</f>
        <v>0</v>
      </c>
      <c r="AM300" s="61" t="n">
        <f aca="false">IF(LEFT(AH300,7)="INVALID",1,0)</f>
        <v>0</v>
      </c>
      <c r="AN300" s="61" t="n">
        <f aca="false">IF(AND(N300="Clarification required",AI300=1,AJ300=0),1,0)</f>
        <v>0</v>
      </c>
      <c r="AO300" s="61" t="str">
        <f aca="false">IF(AK300=1,SUM(AK$5:AK300),"")</f>
        <v/>
      </c>
      <c r="AP300" s="61" t="str">
        <f aca="false">IF(AL300=1,SUM(AL$5:AL300),"")</f>
        <v/>
      </c>
      <c r="AQ300" s="61" t="n">
        <v>0</v>
      </c>
      <c r="AR300" s="61" t="n">
        <v>0</v>
      </c>
      <c r="AS300" s="61" t="n">
        <v>0</v>
      </c>
      <c r="AT300" s="61" t="n">
        <v>0</v>
      </c>
      <c r="AU300" s="61" t="str">
        <f aca="false">SUBSTITUTE(SUBSTITUTE(SUBSTITUTE(SUBSTITUTE(SUBSTITUTE(SUBSTITUTE(SUBSTITUTE(SUBSTITUTE(SUBSTITUTE(SUBSTITUTE(SUBSTITUTE(SUBSTITUTE(SUBSTITUTE(LOWER(T300&amp;""),CHAR(160),"")," ",""),".",""),"-",""),"/",""),"?",""),"_",""),",",""),"[",""),"]",""),"(",""),")",""),"*","")</f>
        <v/>
      </c>
      <c r="AV300" s="61" t="str">
        <f aca="false">SUBSTITUTE(SUBSTITUTE(SUBSTITUTE(SUBSTITUTE(SUBSTITUTE(SUBSTITUTE(SUBSTITUTE(SUBSTITUTE(SUBSTITUTE(SUBSTITUTE(SUBSTITUTE(SUBSTITUTE(SUBSTITUTE(LOWER(V300&amp;""),CHAR(160),"")," ",""),".",""),"-",""),"/",""),"?",""),"_",""),",",""),"[",""),"]",""),"(",""),")",""),"*","")</f>
        <v/>
      </c>
      <c r="AW300" s="61" t="str">
        <f aca="false">SUBSTITUTE(SUBSTITUTE(SUBSTITUTE(SUBSTITUTE(SUBSTITUTE(SUBSTITUTE(SUBSTITUTE(SUBSTITUTE(SUBSTITUTE(SUBSTITUTE(SUBSTITUTE(SUBSTITUTE(SUBSTITUTE(LOWER(Z300&amp;""),CHAR(160),"")," ",""),".",""),"-",""),"/",""),"?",""),"_",""),",",""),"[",""),"]",""),"(",""),")",""),"*","")</f>
        <v/>
      </c>
      <c r="AX300" s="61" t="str">
        <f aca="false">SUBSTITUTE(SUBSTITUTE(SUBSTITUTE(SUBSTITUTE(SUBSTITUTE(SUBSTITUTE(SUBSTITUTE(SUBSTITUTE(SUBSTITUTE(SUBSTITUTE(SUBSTITUTE(SUBSTITUTE(SUBSTITUTE(LOWER(AE300&amp;""),CHAR(160),"")," ",""),".",""),"-",""),"/",""),"?",""),"_",""),",",""),"[",""),"]",""),"(",""),")",""),"*","")</f>
        <v/>
      </c>
      <c r="AY300" s="61" t="str">
        <f aca="false">SUBSTITUTE(SUBSTITUTE(SUBSTITUTE(SUBSTITUTE(SUBSTITUTE(SUBSTITUTE(SUBSTITUTE(SUBSTITUTE(SUBSTITUTE(SUBSTITUTE(SUBSTITUTE(SUBSTITUTE(SUBSTITUTE(LOWER(W300&amp;""),CHAR(160),"")," ",""),".",""),"-",""),"/",""),"?",""),"_",""),",",""),"[",""),"]",""),"(",""),")",""),"*","")</f>
        <v/>
      </c>
      <c r="AZ300" s="61" t="str">
        <f aca="false">SUBSTITUTE(SUBSTITUTE(SUBSTITUTE(SUBSTITUTE(SUBSTITUTE(SUBSTITUTE(SUBSTITUTE(SUBSTITUTE(SUBSTITUTE(SUBSTITUTE(SUBSTITUTE(SUBSTITUTE(SUBSTITUTE(LOWER(AC300&amp;""),CHAR(160),"")," ",""),".",""),"-",""),"/",""),"?",""),"_",""),",",""),"[",""),"]",""),"(",""),")",""),"*","")</f>
        <v/>
      </c>
      <c r="BA300" s="61" t="str">
        <f aca="false">SUBSTITUTE(SUBSTITUTE(SUBSTITUTE(SUBSTITUTE(SUBSTITUTE(SUBSTITUTE(SUBSTITUTE(SUBSTITUTE(SUBSTITUTE(SUBSTITUTE(SUBSTITUTE(SUBSTITUTE(SUBSTITUTE(LOWER(AA300&amp;""),CHAR(160),"")," ",""),".",""),"-",""),"/",""),"?",""),"_",""),",",""),"[",""),"]",""),"(",""),")",""),"*","")</f>
        <v/>
      </c>
      <c r="BB300" s="61" t="str">
        <f aca="false">IF(AND(TRIM(U300)="Pass",ISNUMBER(AF300)),IF(AF300&lt;&gt;0,"INVALID – qty variance: use Fail or Pass after CA",""),"")&amp;IF(AND(TRIM(U300)="Pass after CA",ISNUMBER(AF300)),IF(AF300&lt;&gt;0,"INVALID – after the corrective action the actual qty must equal expected (update Actual)",""),"")&amp;IF(AND(TRIM(U300)="Pass",TRIM(AB300)&lt;&gt;"",TRIM(AB300)&lt;&gt;"Closed"),"INVALID – corrective action not closed: use Fail, then Pass after CA","")&amp;IF(AND(TRIM(AA300)&lt;&gt;"",TRIM(AB300)=""),"INVALID – CA status missing for the recorded corrective action","")&amp;IF(AND(TRIM(U300)="Pass after CA",OR(OR(LEN(BA300)&lt;5,ISNUMBER(MATCH(BA300,L_Placeholder,0))),TRIM(AB300)&lt;&gt;"Closed")),"INVALID – corrective action not recorded/closed","")</f>
        <v/>
      </c>
    </row>
    <row r="301" customFormat="false" ht="41.25" hidden="false" customHeight="true" outlineLevel="0" collapsed="false">
      <c r="A301" s="57" t="s">
        <v>856</v>
      </c>
      <c r="B301" s="57" t="s">
        <v>243</v>
      </c>
      <c r="C301" s="57" t="str">
        <f aca="false">Flights!$F$13</f>
        <v>MH0753</v>
      </c>
      <c r="D301" s="58" t="n">
        <f aca="false">Flights!$D$13</f>
        <v>46306</v>
      </c>
      <c r="E301" s="57" t="str">
        <f aca="false">Flights!$G$13&amp;"-"&amp;Flights!$H$13</f>
        <v>HAN-KUL</v>
      </c>
      <c r="F301" s="57" t="str">
        <f aca="false">Flights!$K$13</f>
        <v>BC</v>
      </c>
      <c r="G301" s="57" t="s">
        <v>398</v>
      </c>
      <c r="H301" s="57" t="s">
        <v>356</v>
      </c>
      <c r="I301" s="57" t="s">
        <v>477</v>
      </c>
      <c r="J301" s="57" t="s">
        <v>478</v>
      </c>
      <c r="K301" s="67" t="s">
        <v>479</v>
      </c>
      <c r="L301" s="67" t="s">
        <v>857</v>
      </c>
      <c r="M301" s="67" t="s">
        <v>429</v>
      </c>
      <c r="N301" s="67" t="s">
        <v>361</v>
      </c>
      <c r="O301" s="67" t="s">
        <v>858</v>
      </c>
      <c r="P301" s="57" t="s">
        <v>237</v>
      </c>
      <c r="Q301" s="59" t="n">
        <f aca="false">ROUND((Flights!$AE$13)*1440,0)/1440</f>
        <v>46305.7534722222</v>
      </c>
      <c r="R301" s="59" t="n">
        <f aca="false">Q301+(IF(AND(INDEX(TZ_DSTS,MATCH(P301,TZ_STN,0))&lt;&gt;"",Q301&gt;=INDEX(TZ_DSTS,MATCH(P301,TZ_STN,0)),Q301&lt;INDEX(TZ_DSTE,MATCH(P301,TZ_STN,0))),INDEX(TZ_DST,MATCH(P301,TZ_STN,0)),INDEX(TZ_STD,MATCH(P301,TZ_STN,0))))/24</f>
        <v>46306.0451388889</v>
      </c>
      <c r="S301" s="59" t="n">
        <f aca="false">Q301-T12EarlyH/24</f>
        <v>46305.2534722222</v>
      </c>
      <c r="T301" s="60"/>
      <c r="U301" s="60"/>
      <c r="V301" s="60"/>
      <c r="W301" s="61"/>
      <c r="X301" s="60"/>
      <c r="Y301" s="60"/>
      <c r="Z301" s="60"/>
      <c r="AA301" s="60"/>
      <c r="AB301" s="60"/>
      <c r="AC301" s="60"/>
      <c r="AD301" s="66"/>
      <c r="AE301" s="60"/>
      <c r="AF301" s="61" t="str">
        <f aca="false">IF(AND(ISNUMBER(X301),ISNUMBER(Y301)),Y301-X301,"")</f>
        <v/>
      </c>
      <c r="AG301" s="62" t="str">
        <f aca="false">IF(ISNUMBER(AD301),AD301-(IF(AND(INDEX(TZ_DSTS,MATCH(P301,TZ_STN,0))&lt;&gt;"",(AD301-INDEX(TZ_STD,MATCH(P301,TZ_STN,0))/24)&gt;=INDEX(TZ_DSTS,MATCH(P301,TZ_STN,0)),(AD301-INDEX(TZ_STD,MATCH(P301,TZ_STN,0))/24)&lt;INDEX(TZ_DSTE,MATCH(P301,TZ_STN,0))),INDEX(TZ_DST,MATCH(P301,TZ_STN,0)),INDEX(TZ_STD,MATCH(P301,TZ_STN,0))))/24,"")</f>
        <v/>
      </c>
      <c r="AH301" s="65" t="str">
        <f aca="false">IFERROR(IF(N301="N/A – rule","N/A – RULE",IF(TRIM(U301)="N/A",IF(AT301=0,"INVALID – N/A not permitted for this check",IF(AND(TRIM(AB301)&lt;&gt;"",TRIM(AB301)&lt;&gt;"Closed"),"INVALID – corrective action still open",IF(AND(NOT(OR(LEN(AZ301)&lt;15,ISNUMBER(MATCH(AZ301,L_Placeholder,0)))),NOT(OR(LEN(AU301)&lt;2,ISNUMBER(MATCH(AU301,L_Placeholder,0)))),NOT(OR(LEN(AX301)&lt;2,ISNUMBER(MATCH(AX301,L_Placeholder,0)))),TRIM(AE301)&lt;&gt;TRIM(T301)),"N/A – JUSTIFIED","INVALID – N/A needs a real justification (15+ chars), PIC and a different verifier"))),IF(OR(TRIM(U301)="Pass",TRIM(U301)="Pass after CA"),IF(NOT(ISNUMBER(AD301)),"INVALID – completion time missing",IF(OR(LEN(AU301)&lt;2,ISNUMBER(MATCH(AU301,L_Placeholder,0))),"INVALID – PIC missing",IF(OR(LEN(AV301)&lt;2,ISNUMBER(MATCH(AV301,L_Placeholder,0))),"INVALID – result / assessment missing",IF(OR(OR(LEN(AW301)&lt;3,ISNUMBER(MATCH(AW301,L_Placeholder,0))),SUMPRODUCT(--ISNUMBER(SEARCH(L_EvidencePhrase,AW301)))&gt;0),"INVALID – evidence missing, placeholder or not yet on file",IF(OR(LEN(AX301)&lt;2,ISNUMBER(MATCH(AX301,L_Placeholder,0))),"INVALID – verifier missing",IF(AX301=AU301,"INVALID – verifier must be someone other than the PIC",IF(AND(TRIM(U301)="Pass",SUMPRODUCT(--ISNUMBER(SEARCH(L_ResultBad,AV301)))&gt;0),"INVALID – result describes a problem: use Fail, then Pass after CA",IF(AND(AQ301=1,OR(LEN(AY301)&lt;3,ISNUMBER(MATCH(AY301,L_Placeholder,0)))),"INVALID – batch ID missing or placeholder",IF(AND(AR301=1,OR(NOT(ISNUMBER(X301)),NOT(ISNUMBER(Y301)))),"INVALID – expected/actual qty missing",IF(AND(AR301=1,OR(X301&lt;=0,Y301&lt;0)),"INVALID – expected qty must be above 0 and actual not negative",IF(BB301&lt;&gt;"",BB301,IF(AND(AS301=1,Documents!$J$13&lt;&gt;"ON FILE"),"INVALID – GLD not on file (Documents sheet)",IF(AND(AS301=2,Documents!$O$13&lt;&gt;"ON FILE"),"INVALID – menu checklist not on file (Documents sheet)",IF(AND(AS301=3,NOT(ISNUMBER(Flights!$AX$13))),"INVALID – enter carrying flight KUL departure (Flights AX)",IF(AND(AS301=3,OR(Flights!$AZ$13&gt;Flights!$AA$13,Flights!$AX$13&lt;Flights!$AA$13-3)),"INVALID – carrying flight (Flights AX) cannot arrive before this leg's STD, or is over 3 days early",IF(AG301&gt;AsOfUTC,"INVALID – completion time is in the future",IF(AND(ISNUMBER(S301),AG301&lt;S301),IF(H301="Physical uplift","INVALID – before uplift window (cannot confirm loading)","INVALID – before valid window"),IF(AG301&gt;Flights!$AA$13,"INVALID – completed after departure (cannot establish readiness)",IF(AND(H301="Preparation",AG301&gt;IF(ISNUMBER(Flights!$BA$13),MIN(Flights!$BA$13,Flights!$AA$13),Flights!$AA$13)),"INVALID – completed after loading / departure (cannot establish readiness)",IF(AND(H301="Physical uplift",AG301&gt;Q301),"INVALID – recorded after the loading flight departed",IF(AG301&gt;Q301,"COMPLETE – LATE","COMPLETE"))))))))))))))))))))),IF(TRIM(U301)="Fail","FAIL – DISCREPANCY",IF(AND(TRIM(U301)&lt;&gt;"",TRIM(U301)&lt;&gt;"Not started",TRIM(U301)&lt;&gt;"In progress"),"INVALID – unrecognised status (use the list)",IF(AsOfUTC&gt;Q301,"OVERDUE",IF(N301="Clarification required","OPEN – CLARIFICATION","OPEN"))))))),"INVALID – error value in an input cell")</f>
        <v>OPEN</v>
      </c>
      <c r="AI301" s="61" t="n">
        <f aca="false">IF(OR(AH301="N/A – RULE",AH301="N/A – JUSTIFIED"),0,1)</f>
        <v>1</v>
      </c>
      <c r="AJ301" s="61" t="n">
        <f aca="false">IF(LEFT(AH301,8)="COMPLETE",1,0)</f>
        <v>0</v>
      </c>
      <c r="AK301" s="61" t="n">
        <f aca="false">IF(AND(AI301=1,AJ301=0,AsOfUTC&gt;Q301),1,0)</f>
        <v>0</v>
      </c>
      <c r="AL301" s="61" t="n">
        <f aca="false">IFERROR(IF(AND(AI301=1,OR(TRIM(U301)="Fail",AND(TRIM(AB301)&lt;&gt;"",TRIM(AB301)&lt;&gt;"Closed"),AND(ISNUMBER(AF301),AF301&lt;&gt;0,TRIM(U301)&lt;&gt;"Pass after CA"))),1,0),1)</f>
        <v>0</v>
      </c>
      <c r="AM301" s="61" t="n">
        <f aca="false">IF(LEFT(AH301,7)="INVALID",1,0)</f>
        <v>0</v>
      </c>
      <c r="AN301" s="61" t="n">
        <f aca="false">IF(AND(N301="Clarification required",AI301=1,AJ301=0),1,0)</f>
        <v>0</v>
      </c>
      <c r="AO301" s="61" t="str">
        <f aca="false">IF(AK301=1,SUM(AK$5:AK301),"")</f>
        <v/>
      </c>
      <c r="AP301" s="61" t="str">
        <f aca="false">IF(AL301=1,SUM(AL$5:AL301),"")</f>
        <v/>
      </c>
      <c r="AQ301" s="61" t="n">
        <v>0</v>
      </c>
      <c r="AR301" s="61" t="n">
        <v>0</v>
      </c>
      <c r="AS301" s="61" t="n">
        <v>0</v>
      </c>
      <c r="AT301" s="61" t="n">
        <v>0</v>
      </c>
      <c r="AU301" s="61" t="str">
        <f aca="false">SUBSTITUTE(SUBSTITUTE(SUBSTITUTE(SUBSTITUTE(SUBSTITUTE(SUBSTITUTE(SUBSTITUTE(SUBSTITUTE(SUBSTITUTE(SUBSTITUTE(SUBSTITUTE(SUBSTITUTE(SUBSTITUTE(LOWER(T301&amp;""),CHAR(160),"")," ",""),".",""),"-",""),"/",""),"?",""),"_",""),",",""),"[",""),"]",""),"(",""),")",""),"*","")</f>
        <v/>
      </c>
      <c r="AV301" s="61" t="str">
        <f aca="false">SUBSTITUTE(SUBSTITUTE(SUBSTITUTE(SUBSTITUTE(SUBSTITUTE(SUBSTITUTE(SUBSTITUTE(SUBSTITUTE(SUBSTITUTE(SUBSTITUTE(SUBSTITUTE(SUBSTITUTE(SUBSTITUTE(LOWER(V301&amp;""),CHAR(160),"")," ",""),".",""),"-",""),"/",""),"?",""),"_",""),",",""),"[",""),"]",""),"(",""),")",""),"*","")</f>
        <v/>
      </c>
      <c r="AW301" s="61" t="str">
        <f aca="false">SUBSTITUTE(SUBSTITUTE(SUBSTITUTE(SUBSTITUTE(SUBSTITUTE(SUBSTITUTE(SUBSTITUTE(SUBSTITUTE(SUBSTITUTE(SUBSTITUTE(SUBSTITUTE(SUBSTITUTE(SUBSTITUTE(LOWER(Z301&amp;""),CHAR(160),"")," ",""),".",""),"-",""),"/",""),"?",""),"_",""),",",""),"[",""),"]",""),"(",""),")",""),"*","")</f>
        <v/>
      </c>
      <c r="AX301" s="61" t="str">
        <f aca="false">SUBSTITUTE(SUBSTITUTE(SUBSTITUTE(SUBSTITUTE(SUBSTITUTE(SUBSTITUTE(SUBSTITUTE(SUBSTITUTE(SUBSTITUTE(SUBSTITUTE(SUBSTITUTE(SUBSTITUTE(SUBSTITUTE(LOWER(AE301&amp;""),CHAR(160),"")," ",""),".",""),"-",""),"/",""),"?",""),"_",""),",",""),"[",""),"]",""),"(",""),")",""),"*","")</f>
        <v/>
      </c>
      <c r="AY301" s="61" t="str">
        <f aca="false">SUBSTITUTE(SUBSTITUTE(SUBSTITUTE(SUBSTITUTE(SUBSTITUTE(SUBSTITUTE(SUBSTITUTE(SUBSTITUTE(SUBSTITUTE(SUBSTITUTE(SUBSTITUTE(SUBSTITUTE(SUBSTITUTE(LOWER(W301&amp;""),CHAR(160),"")," ",""),".",""),"-",""),"/",""),"?",""),"_",""),",",""),"[",""),"]",""),"(",""),")",""),"*","")</f>
        <v/>
      </c>
      <c r="AZ301" s="61" t="str">
        <f aca="false">SUBSTITUTE(SUBSTITUTE(SUBSTITUTE(SUBSTITUTE(SUBSTITUTE(SUBSTITUTE(SUBSTITUTE(SUBSTITUTE(SUBSTITUTE(SUBSTITUTE(SUBSTITUTE(SUBSTITUTE(SUBSTITUTE(LOWER(AC301&amp;""),CHAR(160),"")," ",""),".",""),"-",""),"/",""),"?",""),"_",""),",",""),"[",""),"]",""),"(",""),")",""),"*","")</f>
        <v/>
      </c>
      <c r="BA301" s="61" t="str">
        <f aca="false">SUBSTITUTE(SUBSTITUTE(SUBSTITUTE(SUBSTITUTE(SUBSTITUTE(SUBSTITUTE(SUBSTITUTE(SUBSTITUTE(SUBSTITUTE(SUBSTITUTE(SUBSTITUTE(SUBSTITUTE(SUBSTITUTE(LOWER(AA301&amp;""),CHAR(160),"")," ",""),".",""),"-",""),"/",""),"?",""),"_",""),",",""),"[",""),"]",""),"(",""),")",""),"*","")</f>
        <v/>
      </c>
      <c r="BB301" s="61" t="str">
        <f aca="false">IF(AND(TRIM(U301)="Pass",ISNUMBER(AF301)),IF(AF301&lt;&gt;0,"INVALID – qty variance: use Fail or Pass after CA",""),"")&amp;IF(AND(TRIM(U301)="Pass after CA",ISNUMBER(AF301)),IF(AF301&lt;&gt;0,"INVALID – after the corrective action the actual qty must equal expected (update Actual)",""),"")&amp;IF(AND(TRIM(U301)="Pass",TRIM(AB301)&lt;&gt;"",TRIM(AB301)&lt;&gt;"Closed"),"INVALID – corrective action not closed: use Fail, then Pass after CA","")&amp;IF(AND(TRIM(AA301)&lt;&gt;"",TRIM(AB301)=""),"INVALID – CA status missing for the recorded corrective action","")&amp;IF(AND(TRIM(U301)="Pass after CA",OR(OR(LEN(BA301)&lt;5,ISNUMBER(MATCH(BA301,L_Placeholder,0))),TRIM(AB301)&lt;&gt;"Closed")),"INVALID – corrective action not recorded/closed","")</f>
        <v/>
      </c>
    </row>
    <row r="302" customFormat="false" ht="41.25" hidden="false" customHeight="true" outlineLevel="0" collapsed="false">
      <c r="A302" s="57" t="s">
        <v>859</v>
      </c>
      <c r="B302" s="57" t="s">
        <v>243</v>
      </c>
      <c r="C302" s="57" t="str">
        <f aca="false">Flights!$F$13</f>
        <v>MH0753</v>
      </c>
      <c r="D302" s="58" t="n">
        <f aca="false">Flights!$D$13</f>
        <v>46306</v>
      </c>
      <c r="E302" s="57" t="str">
        <f aca="false">Flights!$G$13&amp;"-"&amp;Flights!$H$13</f>
        <v>HAN-KUL</v>
      </c>
      <c r="F302" s="57" t="str">
        <f aca="false">Flights!$K$13</f>
        <v>BC</v>
      </c>
      <c r="G302" s="57" t="s">
        <v>398</v>
      </c>
      <c r="H302" s="57" t="s">
        <v>356</v>
      </c>
      <c r="I302" s="57" t="s">
        <v>477</v>
      </c>
      <c r="J302" s="57" t="s">
        <v>483</v>
      </c>
      <c r="K302" s="67" t="s">
        <v>479</v>
      </c>
      <c r="L302" s="67" t="s">
        <v>860</v>
      </c>
      <c r="M302" s="67" t="s">
        <v>429</v>
      </c>
      <c r="N302" s="67" t="s">
        <v>361</v>
      </c>
      <c r="O302" s="67" t="s">
        <v>858</v>
      </c>
      <c r="P302" s="57" t="s">
        <v>237</v>
      </c>
      <c r="Q302" s="59" t="n">
        <f aca="false">ROUND((Flights!$AE$13)*1440,0)/1440</f>
        <v>46305.7534722222</v>
      </c>
      <c r="R302" s="59" t="n">
        <f aca="false">Q302+(IF(AND(INDEX(TZ_DSTS,MATCH(P302,TZ_STN,0))&lt;&gt;"",Q302&gt;=INDEX(TZ_DSTS,MATCH(P302,TZ_STN,0)),Q302&lt;INDEX(TZ_DSTE,MATCH(P302,TZ_STN,0))),INDEX(TZ_DST,MATCH(P302,TZ_STN,0)),INDEX(TZ_STD,MATCH(P302,TZ_STN,0))))/24</f>
        <v>46306.0451388889</v>
      </c>
      <c r="S302" s="59" t="n">
        <f aca="false">Q302-T12EarlyH/24</f>
        <v>46305.2534722222</v>
      </c>
      <c r="T302" s="60"/>
      <c r="U302" s="60"/>
      <c r="V302" s="60"/>
      <c r="W302" s="61"/>
      <c r="X302" s="60"/>
      <c r="Y302" s="60"/>
      <c r="Z302" s="60"/>
      <c r="AA302" s="60"/>
      <c r="AB302" s="60"/>
      <c r="AC302" s="60"/>
      <c r="AD302" s="66"/>
      <c r="AE302" s="60"/>
      <c r="AF302" s="61" t="str">
        <f aca="false">IF(AND(ISNUMBER(X302),ISNUMBER(Y302)),Y302-X302,"")</f>
        <v/>
      </c>
      <c r="AG302" s="62" t="str">
        <f aca="false">IF(ISNUMBER(AD302),AD302-(IF(AND(INDEX(TZ_DSTS,MATCH(P302,TZ_STN,0))&lt;&gt;"",(AD302-INDEX(TZ_STD,MATCH(P302,TZ_STN,0))/24)&gt;=INDEX(TZ_DSTS,MATCH(P302,TZ_STN,0)),(AD302-INDEX(TZ_STD,MATCH(P302,TZ_STN,0))/24)&lt;INDEX(TZ_DSTE,MATCH(P302,TZ_STN,0))),INDEX(TZ_DST,MATCH(P302,TZ_STN,0)),INDEX(TZ_STD,MATCH(P302,TZ_STN,0))))/24,"")</f>
        <v/>
      </c>
      <c r="AH302" s="65" t="str">
        <f aca="false">IFERROR(IF(N302="N/A – rule","N/A – RULE",IF(TRIM(U302)="N/A",IF(AT302=0,"INVALID – N/A not permitted for this check",IF(AND(TRIM(AB302)&lt;&gt;"",TRIM(AB302)&lt;&gt;"Closed"),"INVALID – corrective action still open",IF(AND(NOT(OR(LEN(AZ302)&lt;15,ISNUMBER(MATCH(AZ302,L_Placeholder,0)))),NOT(OR(LEN(AU302)&lt;2,ISNUMBER(MATCH(AU302,L_Placeholder,0)))),NOT(OR(LEN(AX302)&lt;2,ISNUMBER(MATCH(AX302,L_Placeholder,0)))),TRIM(AE302)&lt;&gt;TRIM(T302)),"N/A – JUSTIFIED","INVALID – N/A needs a real justification (15+ chars), PIC and a different verifier"))),IF(OR(TRIM(U302)="Pass",TRIM(U302)="Pass after CA"),IF(NOT(ISNUMBER(AD302)),"INVALID – completion time missing",IF(OR(LEN(AU302)&lt;2,ISNUMBER(MATCH(AU302,L_Placeholder,0))),"INVALID – PIC missing",IF(OR(LEN(AV302)&lt;2,ISNUMBER(MATCH(AV302,L_Placeholder,0))),"INVALID – result / assessment missing",IF(OR(OR(LEN(AW302)&lt;3,ISNUMBER(MATCH(AW302,L_Placeholder,0))),SUMPRODUCT(--ISNUMBER(SEARCH(L_EvidencePhrase,AW302)))&gt;0),"INVALID – evidence missing, placeholder or not yet on file",IF(OR(LEN(AX302)&lt;2,ISNUMBER(MATCH(AX302,L_Placeholder,0))),"INVALID – verifier missing",IF(AX302=AU302,"INVALID – verifier must be someone other than the PIC",IF(AND(TRIM(U302)="Pass",SUMPRODUCT(--ISNUMBER(SEARCH(L_ResultBad,AV302)))&gt;0),"INVALID – result describes a problem: use Fail, then Pass after CA",IF(AND(AQ302=1,OR(LEN(AY302)&lt;3,ISNUMBER(MATCH(AY302,L_Placeholder,0)))),"INVALID – batch ID missing or placeholder",IF(AND(AR302=1,OR(NOT(ISNUMBER(X302)),NOT(ISNUMBER(Y302)))),"INVALID – expected/actual qty missing",IF(AND(AR302=1,OR(X302&lt;=0,Y302&lt;0)),"INVALID – expected qty must be above 0 and actual not negative",IF(BB302&lt;&gt;"",BB302,IF(AND(AS302=1,Documents!$J$13&lt;&gt;"ON FILE"),"INVALID – GLD not on file (Documents sheet)",IF(AND(AS302=2,Documents!$O$13&lt;&gt;"ON FILE"),"INVALID – menu checklist not on file (Documents sheet)",IF(AND(AS302=3,NOT(ISNUMBER(Flights!$AX$13))),"INVALID – enter carrying flight KUL departure (Flights AX)",IF(AND(AS302=3,OR(Flights!$AZ$13&gt;Flights!$AA$13,Flights!$AX$13&lt;Flights!$AA$13-3)),"INVALID – carrying flight (Flights AX) cannot arrive before this leg's STD, or is over 3 days early",IF(AG302&gt;AsOfUTC,"INVALID – completion time is in the future",IF(AND(ISNUMBER(S302),AG302&lt;S302),IF(H302="Physical uplift","INVALID – before uplift window (cannot confirm loading)","INVALID – before valid window"),IF(AG302&gt;Flights!$AA$13,"INVALID – completed after departure (cannot establish readiness)",IF(AND(H302="Preparation",AG302&gt;IF(ISNUMBER(Flights!$BA$13),MIN(Flights!$BA$13,Flights!$AA$13),Flights!$AA$13)),"INVALID – completed after loading / departure (cannot establish readiness)",IF(AND(H302="Physical uplift",AG302&gt;Q302),"INVALID – recorded after the loading flight departed",IF(AG302&gt;Q302,"COMPLETE – LATE","COMPLETE"))))))))))))))))))))),IF(TRIM(U302)="Fail","FAIL – DISCREPANCY",IF(AND(TRIM(U302)&lt;&gt;"",TRIM(U302)&lt;&gt;"Not started",TRIM(U302)&lt;&gt;"In progress"),"INVALID – unrecognised status (use the list)",IF(AsOfUTC&gt;Q302,"OVERDUE",IF(N302="Clarification required","OPEN – CLARIFICATION","OPEN"))))))),"INVALID – error value in an input cell")</f>
        <v>OPEN</v>
      </c>
      <c r="AI302" s="61" t="n">
        <f aca="false">IF(OR(AH302="N/A – RULE",AH302="N/A – JUSTIFIED"),0,1)</f>
        <v>1</v>
      </c>
      <c r="AJ302" s="61" t="n">
        <f aca="false">IF(LEFT(AH302,8)="COMPLETE",1,0)</f>
        <v>0</v>
      </c>
      <c r="AK302" s="61" t="n">
        <f aca="false">IF(AND(AI302=1,AJ302=0,AsOfUTC&gt;Q302),1,0)</f>
        <v>0</v>
      </c>
      <c r="AL302" s="61" t="n">
        <f aca="false">IFERROR(IF(AND(AI302=1,OR(TRIM(U302)="Fail",AND(TRIM(AB302)&lt;&gt;"",TRIM(AB302)&lt;&gt;"Closed"),AND(ISNUMBER(AF302),AF302&lt;&gt;0,TRIM(U302)&lt;&gt;"Pass after CA"))),1,0),1)</f>
        <v>0</v>
      </c>
      <c r="AM302" s="61" t="n">
        <f aca="false">IF(LEFT(AH302,7)="INVALID",1,0)</f>
        <v>0</v>
      </c>
      <c r="AN302" s="61" t="n">
        <f aca="false">IF(AND(N302="Clarification required",AI302=1,AJ302=0),1,0)</f>
        <v>0</v>
      </c>
      <c r="AO302" s="61" t="str">
        <f aca="false">IF(AK302=1,SUM(AK$5:AK302),"")</f>
        <v/>
      </c>
      <c r="AP302" s="61" t="str">
        <f aca="false">IF(AL302=1,SUM(AL$5:AL302),"")</f>
        <v/>
      </c>
      <c r="AQ302" s="61" t="n">
        <v>0</v>
      </c>
      <c r="AR302" s="61" t="n">
        <v>0</v>
      </c>
      <c r="AS302" s="61" t="n">
        <v>0</v>
      </c>
      <c r="AT302" s="61" t="n">
        <v>0</v>
      </c>
      <c r="AU302" s="61" t="str">
        <f aca="false">SUBSTITUTE(SUBSTITUTE(SUBSTITUTE(SUBSTITUTE(SUBSTITUTE(SUBSTITUTE(SUBSTITUTE(SUBSTITUTE(SUBSTITUTE(SUBSTITUTE(SUBSTITUTE(SUBSTITUTE(SUBSTITUTE(LOWER(T302&amp;""),CHAR(160),"")," ",""),".",""),"-",""),"/",""),"?",""),"_",""),",",""),"[",""),"]",""),"(",""),")",""),"*","")</f>
        <v/>
      </c>
      <c r="AV302" s="61" t="str">
        <f aca="false">SUBSTITUTE(SUBSTITUTE(SUBSTITUTE(SUBSTITUTE(SUBSTITUTE(SUBSTITUTE(SUBSTITUTE(SUBSTITUTE(SUBSTITUTE(SUBSTITUTE(SUBSTITUTE(SUBSTITUTE(SUBSTITUTE(LOWER(V302&amp;""),CHAR(160),"")," ",""),".",""),"-",""),"/",""),"?",""),"_",""),",",""),"[",""),"]",""),"(",""),")",""),"*","")</f>
        <v/>
      </c>
      <c r="AW302" s="61" t="str">
        <f aca="false">SUBSTITUTE(SUBSTITUTE(SUBSTITUTE(SUBSTITUTE(SUBSTITUTE(SUBSTITUTE(SUBSTITUTE(SUBSTITUTE(SUBSTITUTE(SUBSTITUTE(SUBSTITUTE(SUBSTITUTE(SUBSTITUTE(LOWER(Z302&amp;""),CHAR(160),"")," ",""),".",""),"-",""),"/",""),"?",""),"_",""),",",""),"[",""),"]",""),"(",""),")",""),"*","")</f>
        <v/>
      </c>
      <c r="AX302" s="61" t="str">
        <f aca="false">SUBSTITUTE(SUBSTITUTE(SUBSTITUTE(SUBSTITUTE(SUBSTITUTE(SUBSTITUTE(SUBSTITUTE(SUBSTITUTE(SUBSTITUTE(SUBSTITUTE(SUBSTITUTE(SUBSTITUTE(SUBSTITUTE(LOWER(AE302&amp;""),CHAR(160),"")," ",""),".",""),"-",""),"/",""),"?",""),"_",""),",",""),"[",""),"]",""),"(",""),")",""),"*","")</f>
        <v/>
      </c>
      <c r="AY302" s="61" t="str">
        <f aca="false">SUBSTITUTE(SUBSTITUTE(SUBSTITUTE(SUBSTITUTE(SUBSTITUTE(SUBSTITUTE(SUBSTITUTE(SUBSTITUTE(SUBSTITUTE(SUBSTITUTE(SUBSTITUTE(SUBSTITUTE(SUBSTITUTE(LOWER(W302&amp;""),CHAR(160),"")," ",""),".",""),"-",""),"/",""),"?",""),"_",""),",",""),"[",""),"]",""),"(",""),")",""),"*","")</f>
        <v/>
      </c>
      <c r="AZ302" s="61" t="str">
        <f aca="false">SUBSTITUTE(SUBSTITUTE(SUBSTITUTE(SUBSTITUTE(SUBSTITUTE(SUBSTITUTE(SUBSTITUTE(SUBSTITUTE(SUBSTITUTE(SUBSTITUTE(SUBSTITUTE(SUBSTITUTE(SUBSTITUTE(LOWER(AC302&amp;""),CHAR(160),"")," ",""),".",""),"-",""),"/",""),"?",""),"_",""),",",""),"[",""),"]",""),"(",""),")",""),"*","")</f>
        <v/>
      </c>
      <c r="BA302" s="61" t="str">
        <f aca="false">SUBSTITUTE(SUBSTITUTE(SUBSTITUTE(SUBSTITUTE(SUBSTITUTE(SUBSTITUTE(SUBSTITUTE(SUBSTITUTE(SUBSTITUTE(SUBSTITUTE(SUBSTITUTE(SUBSTITUTE(SUBSTITUTE(LOWER(AA302&amp;""),CHAR(160),"")," ",""),".",""),"-",""),"/",""),"?",""),"_",""),",",""),"[",""),"]",""),"(",""),")",""),"*","")</f>
        <v/>
      </c>
      <c r="BB302" s="61" t="str">
        <f aca="false">IF(AND(TRIM(U302)="Pass",ISNUMBER(AF302)),IF(AF302&lt;&gt;0,"INVALID – qty variance: use Fail or Pass after CA",""),"")&amp;IF(AND(TRIM(U302)="Pass after CA",ISNUMBER(AF302)),IF(AF302&lt;&gt;0,"INVALID – after the corrective action the actual qty must equal expected (update Actual)",""),"")&amp;IF(AND(TRIM(U302)="Pass",TRIM(AB302)&lt;&gt;"",TRIM(AB302)&lt;&gt;"Closed"),"INVALID – corrective action not closed: use Fail, then Pass after CA","")&amp;IF(AND(TRIM(AA302)&lt;&gt;"",TRIM(AB302)=""),"INVALID – CA status missing for the recorded corrective action","")&amp;IF(AND(TRIM(U302)="Pass after CA",OR(OR(LEN(BA302)&lt;5,ISNUMBER(MATCH(BA302,L_Placeholder,0))),TRIM(AB302)&lt;&gt;"Closed")),"INVALID – corrective action not recorded/closed","")</f>
        <v/>
      </c>
    </row>
    <row r="303" customFormat="false" ht="41.25" hidden="false" customHeight="true" outlineLevel="0" collapsed="false">
      <c r="A303" s="57" t="s">
        <v>861</v>
      </c>
      <c r="B303" s="57" t="s">
        <v>243</v>
      </c>
      <c r="C303" s="57" t="str">
        <f aca="false">Flights!$F$13</f>
        <v>MH0753</v>
      </c>
      <c r="D303" s="58" t="n">
        <f aca="false">Flights!$D$13</f>
        <v>46306</v>
      </c>
      <c r="E303" s="57" t="str">
        <f aca="false">Flights!$G$13&amp;"-"&amp;Flights!$H$13</f>
        <v>HAN-KUL</v>
      </c>
      <c r="F303" s="57" t="str">
        <f aca="false">Flights!$K$13</f>
        <v>BC</v>
      </c>
      <c r="G303" s="57" t="s">
        <v>398</v>
      </c>
      <c r="H303" s="57" t="s">
        <v>356</v>
      </c>
      <c r="I303" s="57" t="s">
        <v>477</v>
      </c>
      <c r="J303" s="57" t="s">
        <v>486</v>
      </c>
      <c r="K303" s="67" t="s">
        <v>479</v>
      </c>
      <c r="L303" s="67" t="s">
        <v>862</v>
      </c>
      <c r="M303" s="67" t="s">
        <v>429</v>
      </c>
      <c r="N303" s="67" t="s">
        <v>361</v>
      </c>
      <c r="O303" s="67" t="s">
        <v>858</v>
      </c>
      <c r="P303" s="57" t="s">
        <v>237</v>
      </c>
      <c r="Q303" s="59" t="n">
        <f aca="false">ROUND((Flights!$AE$13)*1440,0)/1440</f>
        <v>46305.7534722222</v>
      </c>
      <c r="R303" s="59" t="n">
        <f aca="false">Q303+(IF(AND(INDEX(TZ_DSTS,MATCH(P303,TZ_STN,0))&lt;&gt;"",Q303&gt;=INDEX(TZ_DSTS,MATCH(P303,TZ_STN,0)),Q303&lt;INDEX(TZ_DSTE,MATCH(P303,TZ_STN,0))),INDEX(TZ_DST,MATCH(P303,TZ_STN,0)),INDEX(TZ_STD,MATCH(P303,TZ_STN,0))))/24</f>
        <v>46306.0451388889</v>
      </c>
      <c r="S303" s="59" t="n">
        <f aca="false">Q303-T12EarlyH/24</f>
        <v>46305.2534722222</v>
      </c>
      <c r="T303" s="60"/>
      <c r="U303" s="60"/>
      <c r="V303" s="60"/>
      <c r="W303" s="61"/>
      <c r="X303" s="60"/>
      <c r="Y303" s="60"/>
      <c r="Z303" s="60"/>
      <c r="AA303" s="60"/>
      <c r="AB303" s="60"/>
      <c r="AC303" s="60"/>
      <c r="AD303" s="66"/>
      <c r="AE303" s="60"/>
      <c r="AF303" s="61" t="str">
        <f aca="false">IF(AND(ISNUMBER(X303),ISNUMBER(Y303)),Y303-X303,"")</f>
        <v/>
      </c>
      <c r="AG303" s="62" t="str">
        <f aca="false">IF(ISNUMBER(AD303),AD303-(IF(AND(INDEX(TZ_DSTS,MATCH(P303,TZ_STN,0))&lt;&gt;"",(AD303-INDEX(TZ_STD,MATCH(P303,TZ_STN,0))/24)&gt;=INDEX(TZ_DSTS,MATCH(P303,TZ_STN,0)),(AD303-INDEX(TZ_STD,MATCH(P303,TZ_STN,0))/24)&lt;INDEX(TZ_DSTE,MATCH(P303,TZ_STN,0))),INDEX(TZ_DST,MATCH(P303,TZ_STN,0)),INDEX(TZ_STD,MATCH(P303,TZ_STN,0))))/24,"")</f>
        <v/>
      </c>
      <c r="AH303" s="65" t="str">
        <f aca="false">IFERROR(IF(N303="N/A – rule","N/A – RULE",IF(TRIM(U303)="N/A",IF(AT303=0,"INVALID – N/A not permitted for this check",IF(AND(TRIM(AB303)&lt;&gt;"",TRIM(AB303)&lt;&gt;"Closed"),"INVALID – corrective action still open",IF(AND(NOT(OR(LEN(AZ303)&lt;15,ISNUMBER(MATCH(AZ303,L_Placeholder,0)))),NOT(OR(LEN(AU303)&lt;2,ISNUMBER(MATCH(AU303,L_Placeholder,0)))),NOT(OR(LEN(AX303)&lt;2,ISNUMBER(MATCH(AX303,L_Placeholder,0)))),TRIM(AE303)&lt;&gt;TRIM(T303)),"N/A – JUSTIFIED","INVALID – N/A needs a real justification (15+ chars), PIC and a different verifier"))),IF(OR(TRIM(U303)="Pass",TRIM(U303)="Pass after CA"),IF(NOT(ISNUMBER(AD303)),"INVALID – completion time missing",IF(OR(LEN(AU303)&lt;2,ISNUMBER(MATCH(AU303,L_Placeholder,0))),"INVALID – PIC missing",IF(OR(LEN(AV303)&lt;2,ISNUMBER(MATCH(AV303,L_Placeholder,0))),"INVALID – result / assessment missing",IF(OR(OR(LEN(AW303)&lt;3,ISNUMBER(MATCH(AW303,L_Placeholder,0))),SUMPRODUCT(--ISNUMBER(SEARCH(L_EvidencePhrase,AW303)))&gt;0),"INVALID – evidence missing, placeholder or not yet on file",IF(OR(LEN(AX303)&lt;2,ISNUMBER(MATCH(AX303,L_Placeholder,0))),"INVALID – verifier missing",IF(AX303=AU303,"INVALID – verifier must be someone other than the PIC",IF(AND(TRIM(U303)="Pass",SUMPRODUCT(--ISNUMBER(SEARCH(L_ResultBad,AV303)))&gt;0),"INVALID – result describes a problem: use Fail, then Pass after CA",IF(AND(AQ303=1,OR(LEN(AY303)&lt;3,ISNUMBER(MATCH(AY303,L_Placeholder,0)))),"INVALID – batch ID missing or placeholder",IF(AND(AR303=1,OR(NOT(ISNUMBER(X303)),NOT(ISNUMBER(Y303)))),"INVALID – expected/actual qty missing",IF(AND(AR303=1,OR(X303&lt;=0,Y303&lt;0)),"INVALID – expected qty must be above 0 and actual not negative",IF(BB303&lt;&gt;"",BB303,IF(AND(AS303=1,Documents!$J$13&lt;&gt;"ON FILE"),"INVALID – GLD not on file (Documents sheet)",IF(AND(AS303=2,Documents!$O$13&lt;&gt;"ON FILE"),"INVALID – menu checklist not on file (Documents sheet)",IF(AND(AS303=3,NOT(ISNUMBER(Flights!$AX$13))),"INVALID – enter carrying flight KUL departure (Flights AX)",IF(AND(AS303=3,OR(Flights!$AZ$13&gt;Flights!$AA$13,Flights!$AX$13&lt;Flights!$AA$13-3)),"INVALID – carrying flight (Flights AX) cannot arrive before this leg's STD, or is over 3 days early",IF(AG303&gt;AsOfUTC,"INVALID – completion time is in the future",IF(AND(ISNUMBER(S303),AG303&lt;S303),IF(H303="Physical uplift","INVALID – before uplift window (cannot confirm loading)","INVALID – before valid window"),IF(AG303&gt;Flights!$AA$13,"INVALID – completed after departure (cannot establish readiness)",IF(AND(H303="Preparation",AG303&gt;IF(ISNUMBER(Flights!$BA$13),MIN(Flights!$BA$13,Flights!$AA$13),Flights!$AA$13)),"INVALID – completed after loading / departure (cannot establish readiness)",IF(AND(H303="Physical uplift",AG303&gt;Q303),"INVALID – recorded after the loading flight departed",IF(AG303&gt;Q303,"COMPLETE – LATE","COMPLETE"))))))))))))))))))))),IF(TRIM(U303)="Fail","FAIL – DISCREPANCY",IF(AND(TRIM(U303)&lt;&gt;"",TRIM(U303)&lt;&gt;"Not started",TRIM(U303)&lt;&gt;"In progress"),"INVALID – unrecognised status (use the list)",IF(AsOfUTC&gt;Q303,"OVERDUE",IF(N303="Clarification required","OPEN – CLARIFICATION","OPEN"))))))),"INVALID – error value in an input cell")</f>
        <v>OPEN</v>
      </c>
      <c r="AI303" s="61" t="n">
        <f aca="false">IF(OR(AH303="N/A – RULE",AH303="N/A – JUSTIFIED"),0,1)</f>
        <v>1</v>
      </c>
      <c r="AJ303" s="61" t="n">
        <f aca="false">IF(LEFT(AH303,8)="COMPLETE",1,0)</f>
        <v>0</v>
      </c>
      <c r="AK303" s="61" t="n">
        <f aca="false">IF(AND(AI303=1,AJ303=0,AsOfUTC&gt;Q303),1,0)</f>
        <v>0</v>
      </c>
      <c r="AL303" s="61" t="n">
        <f aca="false">IFERROR(IF(AND(AI303=1,OR(TRIM(U303)="Fail",AND(TRIM(AB303)&lt;&gt;"",TRIM(AB303)&lt;&gt;"Closed"),AND(ISNUMBER(AF303),AF303&lt;&gt;0,TRIM(U303)&lt;&gt;"Pass after CA"))),1,0),1)</f>
        <v>0</v>
      </c>
      <c r="AM303" s="61" t="n">
        <f aca="false">IF(LEFT(AH303,7)="INVALID",1,0)</f>
        <v>0</v>
      </c>
      <c r="AN303" s="61" t="n">
        <f aca="false">IF(AND(N303="Clarification required",AI303=1,AJ303=0),1,0)</f>
        <v>0</v>
      </c>
      <c r="AO303" s="61" t="str">
        <f aca="false">IF(AK303=1,SUM(AK$5:AK303),"")</f>
        <v/>
      </c>
      <c r="AP303" s="61" t="str">
        <f aca="false">IF(AL303=1,SUM(AL$5:AL303),"")</f>
        <v/>
      </c>
      <c r="AQ303" s="61" t="n">
        <v>0</v>
      </c>
      <c r="AR303" s="61" t="n">
        <v>0</v>
      </c>
      <c r="AS303" s="61" t="n">
        <v>0</v>
      </c>
      <c r="AT303" s="61" t="n">
        <v>0</v>
      </c>
      <c r="AU303" s="61" t="str">
        <f aca="false">SUBSTITUTE(SUBSTITUTE(SUBSTITUTE(SUBSTITUTE(SUBSTITUTE(SUBSTITUTE(SUBSTITUTE(SUBSTITUTE(SUBSTITUTE(SUBSTITUTE(SUBSTITUTE(SUBSTITUTE(SUBSTITUTE(LOWER(T303&amp;""),CHAR(160),"")," ",""),".",""),"-",""),"/",""),"?",""),"_",""),",",""),"[",""),"]",""),"(",""),")",""),"*","")</f>
        <v/>
      </c>
      <c r="AV303" s="61" t="str">
        <f aca="false">SUBSTITUTE(SUBSTITUTE(SUBSTITUTE(SUBSTITUTE(SUBSTITUTE(SUBSTITUTE(SUBSTITUTE(SUBSTITUTE(SUBSTITUTE(SUBSTITUTE(SUBSTITUTE(SUBSTITUTE(SUBSTITUTE(LOWER(V303&amp;""),CHAR(160),"")," ",""),".",""),"-",""),"/",""),"?",""),"_",""),",",""),"[",""),"]",""),"(",""),")",""),"*","")</f>
        <v/>
      </c>
      <c r="AW303" s="61" t="str">
        <f aca="false">SUBSTITUTE(SUBSTITUTE(SUBSTITUTE(SUBSTITUTE(SUBSTITUTE(SUBSTITUTE(SUBSTITUTE(SUBSTITUTE(SUBSTITUTE(SUBSTITUTE(SUBSTITUTE(SUBSTITUTE(SUBSTITUTE(LOWER(Z303&amp;""),CHAR(160),"")," ",""),".",""),"-",""),"/",""),"?",""),"_",""),",",""),"[",""),"]",""),"(",""),")",""),"*","")</f>
        <v/>
      </c>
      <c r="AX303" s="61" t="str">
        <f aca="false">SUBSTITUTE(SUBSTITUTE(SUBSTITUTE(SUBSTITUTE(SUBSTITUTE(SUBSTITUTE(SUBSTITUTE(SUBSTITUTE(SUBSTITUTE(SUBSTITUTE(SUBSTITUTE(SUBSTITUTE(SUBSTITUTE(LOWER(AE303&amp;""),CHAR(160),"")," ",""),".",""),"-",""),"/",""),"?",""),"_",""),",",""),"[",""),"]",""),"(",""),")",""),"*","")</f>
        <v/>
      </c>
      <c r="AY303" s="61" t="str">
        <f aca="false">SUBSTITUTE(SUBSTITUTE(SUBSTITUTE(SUBSTITUTE(SUBSTITUTE(SUBSTITUTE(SUBSTITUTE(SUBSTITUTE(SUBSTITUTE(SUBSTITUTE(SUBSTITUTE(SUBSTITUTE(SUBSTITUTE(LOWER(W303&amp;""),CHAR(160),"")," ",""),".",""),"-",""),"/",""),"?",""),"_",""),",",""),"[",""),"]",""),"(",""),")",""),"*","")</f>
        <v/>
      </c>
      <c r="AZ303" s="61" t="str">
        <f aca="false">SUBSTITUTE(SUBSTITUTE(SUBSTITUTE(SUBSTITUTE(SUBSTITUTE(SUBSTITUTE(SUBSTITUTE(SUBSTITUTE(SUBSTITUTE(SUBSTITUTE(SUBSTITUTE(SUBSTITUTE(SUBSTITUTE(LOWER(AC303&amp;""),CHAR(160),"")," ",""),".",""),"-",""),"/",""),"?",""),"_",""),",",""),"[",""),"]",""),"(",""),")",""),"*","")</f>
        <v/>
      </c>
      <c r="BA303" s="61" t="str">
        <f aca="false">SUBSTITUTE(SUBSTITUTE(SUBSTITUTE(SUBSTITUTE(SUBSTITUTE(SUBSTITUTE(SUBSTITUTE(SUBSTITUTE(SUBSTITUTE(SUBSTITUTE(SUBSTITUTE(SUBSTITUTE(SUBSTITUTE(LOWER(AA303&amp;""),CHAR(160),"")," ",""),".",""),"-",""),"/",""),"?",""),"_",""),",",""),"[",""),"]",""),"(",""),")",""),"*","")</f>
        <v/>
      </c>
      <c r="BB303" s="61" t="str">
        <f aca="false">IF(AND(TRIM(U303)="Pass",ISNUMBER(AF303)),IF(AF303&lt;&gt;0,"INVALID – qty variance: use Fail or Pass after CA",""),"")&amp;IF(AND(TRIM(U303)="Pass after CA",ISNUMBER(AF303)),IF(AF303&lt;&gt;0,"INVALID – after the corrective action the actual qty must equal expected (update Actual)",""),"")&amp;IF(AND(TRIM(U303)="Pass",TRIM(AB303)&lt;&gt;"",TRIM(AB303)&lt;&gt;"Closed"),"INVALID – corrective action not closed: use Fail, then Pass after CA","")&amp;IF(AND(TRIM(AA303)&lt;&gt;"",TRIM(AB303)=""),"INVALID – CA status missing for the recorded corrective action","")&amp;IF(AND(TRIM(U303)="Pass after CA",OR(OR(LEN(BA303)&lt;5,ISNUMBER(MATCH(BA303,L_Placeholder,0))),TRIM(AB303)&lt;&gt;"Closed")),"INVALID – corrective action not recorded/closed","")</f>
        <v/>
      </c>
    </row>
    <row r="304" customFormat="false" ht="116.25" hidden="false" customHeight="true" outlineLevel="0" collapsed="false">
      <c r="A304" s="57" t="s">
        <v>863</v>
      </c>
      <c r="B304" s="57" t="s">
        <v>243</v>
      </c>
      <c r="C304" s="57" t="str">
        <f aca="false">Flights!$F$13</f>
        <v>MH0753</v>
      </c>
      <c r="D304" s="58" t="n">
        <f aca="false">Flights!$D$13</f>
        <v>46306</v>
      </c>
      <c r="E304" s="57" t="str">
        <f aca="false">Flights!$G$13&amp;"-"&amp;Flights!$H$13</f>
        <v>HAN-KUL</v>
      </c>
      <c r="F304" s="57" t="str">
        <f aca="false">Flights!$K$13</f>
        <v>BC</v>
      </c>
      <c r="G304" s="57" t="s">
        <v>398</v>
      </c>
      <c r="H304" s="57" t="s">
        <v>356</v>
      </c>
      <c r="I304" s="57" t="s">
        <v>477</v>
      </c>
      <c r="J304" s="57" t="s">
        <v>489</v>
      </c>
      <c r="K304" s="67" t="s">
        <v>479</v>
      </c>
      <c r="L304" s="67" t="s">
        <v>864</v>
      </c>
      <c r="M304" s="67" t="s">
        <v>429</v>
      </c>
      <c r="N304" s="67" t="s">
        <v>422</v>
      </c>
      <c r="O304" s="67" t="s">
        <v>865</v>
      </c>
      <c r="P304" s="57" t="s">
        <v>237</v>
      </c>
      <c r="Q304" s="59" t="n">
        <f aca="false">ROUND((Flights!$AE$13)*1440,0)/1440</f>
        <v>46305.7534722222</v>
      </c>
      <c r="R304" s="59" t="n">
        <f aca="false">Q304+(IF(AND(INDEX(TZ_DSTS,MATCH(P304,TZ_STN,0))&lt;&gt;"",Q304&gt;=INDEX(TZ_DSTS,MATCH(P304,TZ_STN,0)),Q304&lt;INDEX(TZ_DSTE,MATCH(P304,TZ_STN,0))),INDEX(TZ_DST,MATCH(P304,TZ_STN,0)),INDEX(TZ_STD,MATCH(P304,TZ_STN,0))))/24</f>
        <v>46306.0451388889</v>
      </c>
      <c r="S304" s="59" t="n">
        <f aca="false">Q304-T12EarlyH/24</f>
        <v>46305.2534722222</v>
      </c>
      <c r="T304" s="60"/>
      <c r="U304" s="60"/>
      <c r="V304" s="60"/>
      <c r="W304" s="61"/>
      <c r="X304" s="60"/>
      <c r="Y304" s="60"/>
      <c r="Z304" s="60"/>
      <c r="AA304" s="60"/>
      <c r="AB304" s="60"/>
      <c r="AC304" s="60"/>
      <c r="AD304" s="66"/>
      <c r="AE304" s="60"/>
      <c r="AF304" s="61" t="str">
        <f aca="false">IF(AND(ISNUMBER(X304),ISNUMBER(Y304)),Y304-X304,"")</f>
        <v/>
      </c>
      <c r="AG304" s="62" t="str">
        <f aca="false">IF(ISNUMBER(AD304),AD304-(IF(AND(INDEX(TZ_DSTS,MATCH(P304,TZ_STN,0))&lt;&gt;"",(AD304-INDEX(TZ_STD,MATCH(P304,TZ_STN,0))/24)&gt;=INDEX(TZ_DSTS,MATCH(P304,TZ_STN,0)),(AD304-INDEX(TZ_STD,MATCH(P304,TZ_STN,0))/24)&lt;INDEX(TZ_DSTE,MATCH(P304,TZ_STN,0))),INDEX(TZ_DST,MATCH(P304,TZ_STN,0)),INDEX(TZ_STD,MATCH(P304,TZ_STN,0))))/24,"")</f>
        <v/>
      </c>
      <c r="AH304" s="65" t="str">
        <f aca="false">IFERROR(IF(N304="N/A – rule","N/A – RULE",IF(TRIM(U304)="N/A",IF(AT304=0,"INVALID – N/A not permitted for this check",IF(AND(TRIM(AB304)&lt;&gt;"",TRIM(AB304)&lt;&gt;"Closed"),"INVALID – corrective action still open",IF(AND(NOT(OR(LEN(AZ304)&lt;15,ISNUMBER(MATCH(AZ304,L_Placeholder,0)))),NOT(OR(LEN(AU304)&lt;2,ISNUMBER(MATCH(AU304,L_Placeholder,0)))),NOT(OR(LEN(AX304)&lt;2,ISNUMBER(MATCH(AX304,L_Placeholder,0)))),TRIM(AE304)&lt;&gt;TRIM(T304)),"N/A – JUSTIFIED","INVALID – N/A needs a real justification (15+ chars), PIC and a different verifier"))),IF(OR(TRIM(U304)="Pass",TRIM(U304)="Pass after CA"),IF(NOT(ISNUMBER(AD304)),"INVALID – completion time missing",IF(OR(LEN(AU304)&lt;2,ISNUMBER(MATCH(AU304,L_Placeholder,0))),"INVALID – PIC missing",IF(OR(LEN(AV304)&lt;2,ISNUMBER(MATCH(AV304,L_Placeholder,0))),"INVALID – result / assessment missing",IF(OR(OR(LEN(AW304)&lt;3,ISNUMBER(MATCH(AW304,L_Placeholder,0))),SUMPRODUCT(--ISNUMBER(SEARCH(L_EvidencePhrase,AW304)))&gt;0),"INVALID – evidence missing, placeholder or not yet on file",IF(OR(LEN(AX304)&lt;2,ISNUMBER(MATCH(AX304,L_Placeholder,0))),"INVALID – verifier missing",IF(AX304=AU304,"INVALID – verifier must be someone other than the PIC",IF(AND(TRIM(U304)="Pass",SUMPRODUCT(--ISNUMBER(SEARCH(L_ResultBad,AV304)))&gt;0),"INVALID – result describes a problem: use Fail, then Pass after CA",IF(AND(AQ304=1,OR(LEN(AY304)&lt;3,ISNUMBER(MATCH(AY304,L_Placeholder,0)))),"INVALID – batch ID missing or placeholder",IF(AND(AR304=1,OR(NOT(ISNUMBER(X304)),NOT(ISNUMBER(Y304)))),"INVALID – expected/actual qty missing",IF(AND(AR304=1,OR(X304&lt;=0,Y304&lt;0)),"INVALID – expected qty must be above 0 and actual not negative",IF(BB304&lt;&gt;"",BB304,IF(AND(AS304=1,Documents!$J$13&lt;&gt;"ON FILE"),"INVALID – GLD not on file (Documents sheet)",IF(AND(AS304=2,Documents!$O$13&lt;&gt;"ON FILE"),"INVALID – menu checklist not on file (Documents sheet)",IF(AND(AS304=3,NOT(ISNUMBER(Flights!$AX$13))),"INVALID – enter carrying flight KUL departure (Flights AX)",IF(AND(AS304=3,OR(Flights!$AZ$13&gt;Flights!$AA$13,Flights!$AX$13&lt;Flights!$AA$13-3)),"INVALID – carrying flight (Flights AX) cannot arrive before this leg's STD, or is over 3 days early",IF(AG304&gt;AsOfUTC,"INVALID – completion time is in the future",IF(AND(ISNUMBER(S304),AG304&lt;S304),IF(H304="Physical uplift","INVALID – before uplift window (cannot confirm loading)","INVALID – before valid window"),IF(AG304&gt;Flights!$AA$13,"INVALID – completed after departure (cannot establish readiness)",IF(AND(H304="Preparation",AG304&gt;IF(ISNUMBER(Flights!$BA$13),MIN(Flights!$BA$13,Flights!$AA$13),Flights!$AA$13)),"INVALID – completed after loading / departure (cannot establish readiness)",IF(AND(H304="Physical uplift",AG304&gt;Q304),"INVALID – recorded after the loading flight departed",IF(AG304&gt;Q304,"COMPLETE – LATE","COMPLETE"))))))))))))))))))))),IF(TRIM(U304)="Fail","FAIL – DISCREPANCY",IF(AND(TRIM(U304)&lt;&gt;"",TRIM(U304)&lt;&gt;"Not started",TRIM(U304)&lt;&gt;"In progress"),"INVALID – unrecognised status (use the list)",IF(AsOfUTC&gt;Q304,"OVERDUE",IF(N304="Clarification required","OPEN – CLARIFICATION","OPEN"))))))),"INVALID – error value in an input cell")</f>
        <v>OPEN – CLARIFICATION</v>
      </c>
      <c r="AI304" s="61" t="n">
        <f aca="false">IF(OR(AH304="N/A – RULE",AH304="N/A – JUSTIFIED"),0,1)</f>
        <v>1</v>
      </c>
      <c r="AJ304" s="61" t="n">
        <f aca="false">IF(LEFT(AH304,8)="COMPLETE",1,0)</f>
        <v>0</v>
      </c>
      <c r="AK304" s="61" t="n">
        <f aca="false">IF(AND(AI304=1,AJ304=0,AsOfUTC&gt;Q304),1,0)</f>
        <v>0</v>
      </c>
      <c r="AL304" s="61" t="n">
        <f aca="false">IFERROR(IF(AND(AI304=1,OR(TRIM(U304)="Fail",AND(TRIM(AB304)&lt;&gt;"",TRIM(AB304)&lt;&gt;"Closed"),AND(ISNUMBER(AF304),AF304&lt;&gt;0,TRIM(U304)&lt;&gt;"Pass after CA"))),1,0),1)</f>
        <v>0</v>
      </c>
      <c r="AM304" s="61" t="n">
        <f aca="false">IF(LEFT(AH304,7)="INVALID",1,0)</f>
        <v>0</v>
      </c>
      <c r="AN304" s="61" t="n">
        <f aca="false">IF(AND(N304="Clarification required",AI304=1,AJ304=0),1,0)</f>
        <v>1</v>
      </c>
      <c r="AO304" s="61" t="str">
        <f aca="false">IF(AK304=1,SUM(AK$5:AK304),"")</f>
        <v/>
      </c>
      <c r="AP304" s="61" t="str">
        <f aca="false">IF(AL304=1,SUM(AL$5:AL304),"")</f>
        <v/>
      </c>
      <c r="AQ304" s="61" t="n">
        <v>0</v>
      </c>
      <c r="AR304" s="61" t="n">
        <v>0</v>
      </c>
      <c r="AS304" s="61" t="n">
        <v>0</v>
      </c>
      <c r="AT304" s="61" t="n">
        <v>1</v>
      </c>
      <c r="AU304" s="61" t="str">
        <f aca="false">SUBSTITUTE(SUBSTITUTE(SUBSTITUTE(SUBSTITUTE(SUBSTITUTE(SUBSTITUTE(SUBSTITUTE(SUBSTITUTE(SUBSTITUTE(SUBSTITUTE(SUBSTITUTE(SUBSTITUTE(SUBSTITUTE(LOWER(T304&amp;""),CHAR(160),"")," ",""),".",""),"-",""),"/",""),"?",""),"_",""),",",""),"[",""),"]",""),"(",""),")",""),"*","")</f>
        <v/>
      </c>
      <c r="AV304" s="61" t="str">
        <f aca="false">SUBSTITUTE(SUBSTITUTE(SUBSTITUTE(SUBSTITUTE(SUBSTITUTE(SUBSTITUTE(SUBSTITUTE(SUBSTITUTE(SUBSTITUTE(SUBSTITUTE(SUBSTITUTE(SUBSTITUTE(SUBSTITUTE(LOWER(V304&amp;""),CHAR(160),"")," ",""),".",""),"-",""),"/",""),"?",""),"_",""),",",""),"[",""),"]",""),"(",""),")",""),"*","")</f>
        <v/>
      </c>
      <c r="AW304" s="61" t="str">
        <f aca="false">SUBSTITUTE(SUBSTITUTE(SUBSTITUTE(SUBSTITUTE(SUBSTITUTE(SUBSTITUTE(SUBSTITUTE(SUBSTITUTE(SUBSTITUTE(SUBSTITUTE(SUBSTITUTE(SUBSTITUTE(SUBSTITUTE(LOWER(Z304&amp;""),CHAR(160),"")," ",""),".",""),"-",""),"/",""),"?",""),"_",""),",",""),"[",""),"]",""),"(",""),")",""),"*","")</f>
        <v/>
      </c>
      <c r="AX304" s="61" t="str">
        <f aca="false">SUBSTITUTE(SUBSTITUTE(SUBSTITUTE(SUBSTITUTE(SUBSTITUTE(SUBSTITUTE(SUBSTITUTE(SUBSTITUTE(SUBSTITUTE(SUBSTITUTE(SUBSTITUTE(SUBSTITUTE(SUBSTITUTE(LOWER(AE304&amp;""),CHAR(160),"")," ",""),".",""),"-",""),"/",""),"?",""),"_",""),",",""),"[",""),"]",""),"(",""),")",""),"*","")</f>
        <v/>
      </c>
      <c r="AY304" s="61" t="str">
        <f aca="false">SUBSTITUTE(SUBSTITUTE(SUBSTITUTE(SUBSTITUTE(SUBSTITUTE(SUBSTITUTE(SUBSTITUTE(SUBSTITUTE(SUBSTITUTE(SUBSTITUTE(SUBSTITUTE(SUBSTITUTE(SUBSTITUTE(LOWER(W304&amp;""),CHAR(160),"")," ",""),".",""),"-",""),"/",""),"?",""),"_",""),",",""),"[",""),"]",""),"(",""),")",""),"*","")</f>
        <v/>
      </c>
      <c r="AZ304" s="61" t="str">
        <f aca="false">SUBSTITUTE(SUBSTITUTE(SUBSTITUTE(SUBSTITUTE(SUBSTITUTE(SUBSTITUTE(SUBSTITUTE(SUBSTITUTE(SUBSTITUTE(SUBSTITUTE(SUBSTITUTE(SUBSTITUTE(SUBSTITUTE(LOWER(AC304&amp;""),CHAR(160),"")," ",""),".",""),"-",""),"/",""),"?",""),"_",""),",",""),"[",""),"]",""),"(",""),")",""),"*","")</f>
        <v/>
      </c>
      <c r="BA304" s="61" t="str">
        <f aca="false">SUBSTITUTE(SUBSTITUTE(SUBSTITUTE(SUBSTITUTE(SUBSTITUTE(SUBSTITUTE(SUBSTITUTE(SUBSTITUTE(SUBSTITUTE(SUBSTITUTE(SUBSTITUTE(SUBSTITUTE(SUBSTITUTE(LOWER(AA304&amp;""),CHAR(160),"")," ",""),".",""),"-",""),"/",""),"?",""),"_",""),",",""),"[",""),"]",""),"(",""),")",""),"*","")</f>
        <v/>
      </c>
      <c r="BB304" s="61" t="str">
        <f aca="false">IF(AND(TRIM(U304)="Pass",ISNUMBER(AF304)),IF(AF304&lt;&gt;0,"INVALID – qty variance: use Fail or Pass after CA",""),"")&amp;IF(AND(TRIM(U304)="Pass after CA",ISNUMBER(AF304)),IF(AF304&lt;&gt;0,"INVALID – after the corrective action the actual qty must equal expected (update Actual)",""),"")&amp;IF(AND(TRIM(U304)="Pass",TRIM(AB304)&lt;&gt;"",TRIM(AB304)&lt;&gt;"Closed"),"INVALID – corrective action not closed: use Fail, then Pass after CA","")&amp;IF(AND(TRIM(AA304)&lt;&gt;"",TRIM(AB304)=""),"INVALID – CA status missing for the recorded corrective action","")&amp;IF(AND(TRIM(U304)="Pass after CA",OR(OR(LEN(BA304)&lt;5,ISNUMBER(MATCH(BA304,L_Placeholder,0))),TRIM(AB304)&lt;&gt;"Closed")),"INVALID – corrective action not recorded/closed","")</f>
        <v/>
      </c>
    </row>
    <row r="305" customFormat="false" ht="116.25" hidden="false" customHeight="true" outlineLevel="0" collapsed="false">
      <c r="A305" s="57" t="s">
        <v>866</v>
      </c>
      <c r="B305" s="57" t="s">
        <v>243</v>
      </c>
      <c r="C305" s="57" t="str">
        <f aca="false">Flights!$F$13</f>
        <v>MH0753</v>
      </c>
      <c r="D305" s="58" t="n">
        <f aca="false">Flights!$D$13</f>
        <v>46306</v>
      </c>
      <c r="E305" s="57" t="str">
        <f aca="false">Flights!$G$13&amp;"-"&amp;Flights!$H$13</f>
        <v>HAN-KUL</v>
      </c>
      <c r="F305" s="57" t="str">
        <f aca="false">Flights!$K$13</f>
        <v>BC</v>
      </c>
      <c r="G305" s="57" t="s">
        <v>398</v>
      </c>
      <c r="H305" s="57" t="s">
        <v>356</v>
      </c>
      <c r="I305" s="57" t="s">
        <v>477</v>
      </c>
      <c r="J305" s="57" t="s">
        <v>493</v>
      </c>
      <c r="K305" s="67" t="s">
        <v>479</v>
      </c>
      <c r="L305" s="67" t="s">
        <v>867</v>
      </c>
      <c r="M305" s="67" t="s">
        <v>429</v>
      </c>
      <c r="N305" s="67" t="s">
        <v>422</v>
      </c>
      <c r="O305" s="67" t="s">
        <v>865</v>
      </c>
      <c r="P305" s="57" t="s">
        <v>237</v>
      </c>
      <c r="Q305" s="59" t="n">
        <f aca="false">ROUND((Flights!$AE$13)*1440,0)/1440</f>
        <v>46305.7534722222</v>
      </c>
      <c r="R305" s="59" t="n">
        <f aca="false">Q305+(IF(AND(INDEX(TZ_DSTS,MATCH(P305,TZ_STN,0))&lt;&gt;"",Q305&gt;=INDEX(TZ_DSTS,MATCH(P305,TZ_STN,0)),Q305&lt;INDEX(TZ_DSTE,MATCH(P305,TZ_STN,0))),INDEX(TZ_DST,MATCH(P305,TZ_STN,0)),INDEX(TZ_STD,MATCH(P305,TZ_STN,0))))/24</f>
        <v>46306.0451388889</v>
      </c>
      <c r="S305" s="59" t="n">
        <f aca="false">Q305-T12EarlyH/24</f>
        <v>46305.2534722222</v>
      </c>
      <c r="T305" s="60"/>
      <c r="U305" s="60"/>
      <c r="V305" s="60"/>
      <c r="W305" s="61"/>
      <c r="X305" s="60"/>
      <c r="Y305" s="60"/>
      <c r="Z305" s="60"/>
      <c r="AA305" s="60"/>
      <c r="AB305" s="60"/>
      <c r="AC305" s="60"/>
      <c r="AD305" s="66"/>
      <c r="AE305" s="60"/>
      <c r="AF305" s="61" t="str">
        <f aca="false">IF(AND(ISNUMBER(X305),ISNUMBER(Y305)),Y305-X305,"")</f>
        <v/>
      </c>
      <c r="AG305" s="62" t="str">
        <f aca="false">IF(ISNUMBER(AD305),AD305-(IF(AND(INDEX(TZ_DSTS,MATCH(P305,TZ_STN,0))&lt;&gt;"",(AD305-INDEX(TZ_STD,MATCH(P305,TZ_STN,0))/24)&gt;=INDEX(TZ_DSTS,MATCH(P305,TZ_STN,0)),(AD305-INDEX(TZ_STD,MATCH(P305,TZ_STN,0))/24)&lt;INDEX(TZ_DSTE,MATCH(P305,TZ_STN,0))),INDEX(TZ_DST,MATCH(P305,TZ_STN,0)),INDEX(TZ_STD,MATCH(P305,TZ_STN,0))))/24,"")</f>
        <v/>
      </c>
      <c r="AH305" s="65" t="str">
        <f aca="false">IFERROR(IF(N305="N/A – rule","N/A – RULE",IF(TRIM(U305)="N/A",IF(AT305=0,"INVALID – N/A not permitted for this check",IF(AND(TRIM(AB305)&lt;&gt;"",TRIM(AB305)&lt;&gt;"Closed"),"INVALID – corrective action still open",IF(AND(NOT(OR(LEN(AZ305)&lt;15,ISNUMBER(MATCH(AZ305,L_Placeholder,0)))),NOT(OR(LEN(AU305)&lt;2,ISNUMBER(MATCH(AU305,L_Placeholder,0)))),NOT(OR(LEN(AX305)&lt;2,ISNUMBER(MATCH(AX305,L_Placeholder,0)))),TRIM(AE305)&lt;&gt;TRIM(T305)),"N/A – JUSTIFIED","INVALID – N/A needs a real justification (15+ chars), PIC and a different verifier"))),IF(OR(TRIM(U305)="Pass",TRIM(U305)="Pass after CA"),IF(NOT(ISNUMBER(AD305)),"INVALID – completion time missing",IF(OR(LEN(AU305)&lt;2,ISNUMBER(MATCH(AU305,L_Placeholder,0))),"INVALID – PIC missing",IF(OR(LEN(AV305)&lt;2,ISNUMBER(MATCH(AV305,L_Placeholder,0))),"INVALID – result / assessment missing",IF(OR(OR(LEN(AW305)&lt;3,ISNUMBER(MATCH(AW305,L_Placeholder,0))),SUMPRODUCT(--ISNUMBER(SEARCH(L_EvidencePhrase,AW305)))&gt;0),"INVALID – evidence missing, placeholder or not yet on file",IF(OR(LEN(AX305)&lt;2,ISNUMBER(MATCH(AX305,L_Placeholder,0))),"INVALID – verifier missing",IF(AX305=AU305,"INVALID – verifier must be someone other than the PIC",IF(AND(TRIM(U305)="Pass",SUMPRODUCT(--ISNUMBER(SEARCH(L_ResultBad,AV305)))&gt;0),"INVALID – result describes a problem: use Fail, then Pass after CA",IF(AND(AQ305=1,OR(LEN(AY305)&lt;3,ISNUMBER(MATCH(AY305,L_Placeholder,0)))),"INVALID – batch ID missing or placeholder",IF(AND(AR305=1,OR(NOT(ISNUMBER(X305)),NOT(ISNUMBER(Y305)))),"INVALID – expected/actual qty missing",IF(AND(AR305=1,OR(X305&lt;=0,Y305&lt;0)),"INVALID – expected qty must be above 0 and actual not negative",IF(BB305&lt;&gt;"",BB305,IF(AND(AS305=1,Documents!$J$13&lt;&gt;"ON FILE"),"INVALID – GLD not on file (Documents sheet)",IF(AND(AS305=2,Documents!$O$13&lt;&gt;"ON FILE"),"INVALID – menu checklist not on file (Documents sheet)",IF(AND(AS305=3,NOT(ISNUMBER(Flights!$AX$13))),"INVALID – enter carrying flight KUL departure (Flights AX)",IF(AND(AS305=3,OR(Flights!$AZ$13&gt;Flights!$AA$13,Flights!$AX$13&lt;Flights!$AA$13-3)),"INVALID – carrying flight (Flights AX) cannot arrive before this leg's STD, or is over 3 days early",IF(AG305&gt;AsOfUTC,"INVALID – completion time is in the future",IF(AND(ISNUMBER(S305),AG305&lt;S305),IF(H305="Physical uplift","INVALID – before uplift window (cannot confirm loading)","INVALID – before valid window"),IF(AG305&gt;Flights!$AA$13,"INVALID – completed after departure (cannot establish readiness)",IF(AND(H305="Preparation",AG305&gt;IF(ISNUMBER(Flights!$BA$13),MIN(Flights!$BA$13,Flights!$AA$13),Flights!$AA$13)),"INVALID – completed after loading / departure (cannot establish readiness)",IF(AND(H305="Physical uplift",AG305&gt;Q305),"INVALID – recorded after the loading flight departed",IF(AG305&gt;Q305,"COMPLETE – LATE","COMPLETE"))))))))))))))))))))),IF(TRIM(U305)="Fail","FAIL – DISCREPANCY",IF(AND(TRIM(U305)&lt;&gt;"",TRIM(U305)&lt;&gt;"Not started",TRIM(U305)&lt;&gt;"In progress"),"INVALID – unrecognised status (use the list)",IF(AsOfUTC&gt;Q305,"OVERDUE",IF(N305="Clarification required","OPEN – CLARIFICATION","OPEN"))))))),"INVALID – error value in an input cell")</f>
        <v>OPEN – CLARIFICATION</v>
      </c>
      <c r="AI305" s="61" t="n">
        <f aca="false">IF(OR(AH305="N/A – RULE",AH305="N/A – JUSTIFIED"),0,1)</f>
        <v>1</v>
      </c>
      <c r="AJ305" s="61" t="n">
        <f aca="false">IF(LEFT(AH305,8)="COMPLETE",1,0)</f>
        <v>0</v>
      </c>
      <c r="AK305" s="61" t="n">
        <f aca="false">IF(AND(AI305=1,AJ305=0,AsOfUTC&gt;Q305),1,0)</f>
        <v>0</v>
      </c>
      <c r="AL305" s="61" t="n">
        <f aca="false">IFERROR(IF(AND(AI305=1,OR(TRIM(U305)="Fail",AND(TRIM(AB305)&lt;&gt;"",TRIM(AB305)&lt;&gt;"Closed"),AND(ISNUMBER(AF305),AF305&lt;&gt;0,TRIM(U305)&lt;&gt;"Pass after CA"))),1,0),1)</f>
        <v>0</v>
      </c>
      <c r="AM305" s="61" t="n">
        <f aca="false">IF(LEFT(AH305,7)="INVALID",1,0)</f>
        <v>0</v>
      </c>
      <c r="AN305" s="61" t="n">
        <f aca="false">IF(AND(N305="Clarification required",AI305=1,AJ305=0),1,0)</f>
        <v>1</v>
      </c>
      <c r="AO305" s="61" t="str">
        <f aca="false">IF(AK305=1,SUM(AK$5:AK305),"")</f>
        <v/>
      </c>
      <c r="AP305" s="61" t="str">
        <f aca="false">IF(AL305=1,SUM(AL$5:AL305),"")</f>
        <v/>
      </c>
      <c r="AQ305" s="61" t="n">
        <v>0</v>
      </c>
      <c r="AR305" s="61" t="n">
        <v>0</v>
      </c>
      <c r="AS305" s="61" t="n">
        <v>0</v>
      </c>
      <c r="AT305" s="61" t="n">
        <v>1</v>
      </c>
      <c r="AU305" s="61" t="str">
        <f aca="false">SUBSTITUTE(SUBSTITUTE(SUBSTITUTE(SUBSTITUTE(SUBSTITUTE(SUBSTITUTE(SUBSTITUTE(SUBSTITUTE(SUBSTITUTE(SUBSTITUTE(SUBSTITUTE(SUBSTITUTE(SUBSTITUTE(LOWER(T305&amp;""),CHAR(160),"")," ",""),".",""),"-",""),"/",""),"?",""),"_",""),",",""),"[",""),"]",""),"(",""),")",""),"*","")</f>
        <v/>
      </c>
      <c r="AV305" s="61" t="str">
        <f aca="false">SUBSTITUTE(SUBSTITUTE(SUBSTITUTE(SUBSTITUTE(SUBSTITUTE(SUBSTITUTE(SUBSTITUTE(SUBSTITUTE(SUBSTITUTE(SUBSTITUTE(SUBSTITUTE(SUBSTITUTE(SUBSTITUTE(LOWER(V305&amp;""),CHAR(160),"")," ",""),".",""),"-",""),"/",""),"?",""),"_",""),",",""),"[",""),"]",""),"(",""),")",""),"*","")</f>
        <v/>
      </c>
      <c r="AW305" s="61" t="str">
        <f aca="false">SUBSTITUTE(SUBSTITUTE(SUBSTITUTE(SUBSTITUTE(SUBSTITUTE(SUBSTITUTE(SUBSTITUTE(SUBSTITUTE(SUBSTITUTE(SUBSTITUTE(SUBSTITUTE(SUBSTITUTE(SUBSTITUTE(LOWER(Z305&amp;""),CHAR(160),"")," ",""),".",""),"-",""),"/",""),"?",""),"_",""),",",""),"[",""),"]",""),"(",""),")",""),"*","")</f>
        <v/>
      </c>
      <c r="AX305" s="61" t="str">
        <f aca="false">SUBSTITUTE(SUBSTITUTE(SUBSTITUTE(SUBSTITUTE(SUBSTITUTE(SUBSTITUTE(SUBSTITUTE(SUBSTITUTE(SUBSTITUTE(SUBSTITUTE(SUBSTITUTE(SUBSTITUTE(SUBSTITUTE(LOWER(AE305&amp;""),CHAR(160),"")," ",""),".",""),"-",""),"/",""),"?",""),"_",""),",",""),"[",""),"]",""),"(",""),")",""),"*","")</f>
        <v/>
      </c>
      <c r="AY305" s="61" t="str">
        <f aca="false">SUBSTITUTE(SUBSTITUTE(SUBSTITUTE(SUBSTITUTE(SUBSTITUTE(SUBSTITUTE(SUBSTITUTE(SUBSTITUTE(SUBSTITUTE(SUBSTITUTE(SUBSTITUTE(SUBSTITUTE(SUBSTITUTE(LOWER(W305&amp;""),CHAR(160),"")," ",""),".",""),"-",""),"/",""),"?",""),"_",""),",",""),"[",""),"]",""),"(",""),")",""),"*","")</f>
        <v/>
      </c>
      <c r="AZ305" s="61" t="str">
        <f aca="false">SUBSTITUTE(SUBSTITUTE(SUBSTITUTE(SUBSTITUTE(SUBSTITUTE(SUBSTITUTE(SUBSTITUTE(SUBSTITUTE(SUBSTITUTE(SUBSTITUTE(SUBSTITUTE(SUBSTITUTE(SUBSTITUTE(LOWER(AC305&amp;""),CHAR(160),"")," ",""),".",""),"-",""),"/",""),"?",""),"_",""),",",""),"[",""),"]",""),"(",""),")",""),"*","")</f>
        <v/>
      </c>
      <c r="BA305" s="61" t="str">
        <f aca="false">SUBSTITUTE(SUBSTITUTE(SUBSTITUTE(SUBSTITUTE(SUBSTITUTE(SUBSTITUTE(SUBSTITUTE(SUBSTITUTE(SUBSTITUTE(SUBSTITUTE(SUBSTITUTE(SUBSTITUTE(SUBSTITUTE(LOWER(AA305&amp;""),CHAR(160),"")," ",""),".",""),"-",""),"/",""),"?",""),"_",""),",",""),"[",""),"]",""),"(",""),")",""),"*","")</f>
        <v/>
      </c>
      <c r="BB305" s="61" t="str">
        <f aca="false">IF(AND(TRIM(U305)="Pass",ISNUMBER(AF305)),IF(AF305&lt;&gt;0,"INVALID – qty variance: use Fail or Pass after CA",""),"")&amp;IF(AND(TRIM(U305)="Pass after CA",ISNUMBER(AF305)),IF(AF305&lt;&gt;0,"INVALID – after the corrective action the actual qty must equal expected (update Actual)",""),"")&amp;IF(AND(TRIM(U305)="Pass",TRIM(AB305)&lt;&gt;"",TRIM(AB305)&lt;&gt;"Closed"),"INVALID – corrective action not closed: use Fail, then Pass after CA","")&amp;IF(AND(TRIM(AA305)&lt;&gt;"",TRIM(AB305)=""),"INVALID – CA status missing for the recorded corrective action","")&amp;IF(AND(TRIM(U305)="Pass after CA",OR(OR(LEN(BA305)&lt;5,ISNUMBER(MATCH(BA305,L_Placeholder,0))),TRIM(AB305)&lt;&gt;"Closed")),"INVALID – corrective action not recorded/closed","")</f>
        <v/>
      </c>
    </row>
    <row r="306" customFormat="false" ht="54" hidden="false" customHeight="true" outlineLevel="0" collapsed="false">
      <c r="A306" s="57" t="s">
        <v>868</v>
      </c>
      <c r="B306" s="57" t="s">
        <v>243</v>
      </c>
      <c r="C306" s="57" t="str">
        <f aca="false">Flights!$F$13</f>
        <v>MH0753</v>
      </c>
      <c r="D306" s="58" t="n">
        <f aca="false">Flights!$D$13</f>
        <v>46306</v>
      </c>
      <c r="E306" s="57" t="str">
        <f aca="false">Flights!$G$13&amp;"-"&amp;Flights!$H$13</f>
        <v>HAN-KUL</v>
      </c>
      <c r="F306" s="57" t="str">
        <f aca="false">Flights!$K$13</f>
        <v>BC</v>
      </c>
      <c r="G306" s="57" t="s">
        <v>398</v>
      </c>
      <c r="H306" s="57" t="s">
        <v>356</v>
      </c>
      <c r="I306" s="57" t="s">
        <v>477</v>
      </c>
      <c r="J306" s="57" t="s">
        <v>496</v>
      </c>
      <c r="K306" s="67" t="s">
        <v>497</v>
      </c>
      <c r="L306" s="67" t="s">
        <v>869</v>
      </c>
      <c r="M306" s="67" t="s">
        <v>429</v>
      </c>
      <c r="N306" s="67" t="s">
        <v>361</v>
      </c>
      <c r="O306" s="67" t="s">
        <v>870</v>
      </c>
      <c r="P306" s="57" t="s">
        <v>237</v>
      </c>
      <c r="Q306" s="59" t="n">
        <f aca="false">ROUND((Flights!$AE$13)*1440,0)/1440</f>
        <v>46305.7534722222</v>
      </c>
      <c r="R306" s="59" t="n">
        <f aca="false">Q306+(IF(AND(INDEX(TZ_DSTS,MATCH(P306,TZ_STN,0))&lt;&gt;"",Q306&gt;=INDEX(TZ_DSTS,MATCH(P306,TZ_STN,0)),Q306&lt;INDEX(TZ_DSTE,MATCH(P306,TZ_STN,0))),INDEX(TZ_DST,MATCH(P306,TZ_STN,0)),INDEX(TZ_STD,MATCH(P306,TZ_STN,0))))/24</f>
        <v>46306.0451388889</v>
      </c>
      <c r="S306" s="59" t="n">
        <f aca="false">Q306-T12EarlyH/24</f>
        <v>46305.2534722222</v>
      </c>
      <c r="T306" s="60"/>
      <c r="U306" s="60"/>
      <c r="V306" s="60"/>
      <c r="W306" s="61"/>
      <c r="X306" s="60"/>
      <c r="Y306" s="60"/>
      <c r="Z306" s="60"/>
      <c r="AA306" s="60"/>
      <c r="AB306" s="60"/>
      <c r="AC306" s="60"/>
      <c r="AD306" s="66"/>
      <c r="AE306" s="60"/>
      <c r="AF306" s="61" t="str">
        <f aca="false">IF(AND(ISNUMBER(X306),ISNUMBER(Y306)),Y306-X306,"")</f>
        <v/>
      </c>
      <c r="AG306" s="62" t="str">
        <f aca="false">IF(ISNUMBER(AD306),AD306-(IF(AND(INDEX(TZ_DSTS,MATCH(P306,TZ_STN,0))&lt;&gt;"",(AD306-INDEX(TZ_STD,MATCH(P306,TZ_STN,0))/24)&gt;=INDEX(TZ_DSTS,MATCH(P306,TZ_STN,0)),(AD306-INDEX(TZ_STD,MATCH(P306,TZ_STN,0))/24)&lt;INDEX(TZ_DSTE,MATCH(P306,TZ_STN,0))),INDEX(TZ_DST,MATCH(P306,TZ_STN,0)),INDEX(TZ_STD,MATCH(P306,TZ_STN,0))))/24,"")</f>
        <v/>
      </c>
      <c r="AH306" s="65" t="str">
        <f aca="false">IFERROR(IF(N306="N/A – rule","N/A – RULE",IF(TRIM(U306)="N/A",IF(AT306=0,"INVALID – N/A not permitted for this check",IF(AND(TRIM(AB306)&lt;&gt;"",TRIM(AB306)&lt;&gt;"Closed"),"INVALID – corrective action still open",IF(AND(NOT(OR(LEN(AZ306)&lt;15,ISNUMBER(MATCH(AZ306,L_Placeholder,0)))),NOT(OR(LEN(AU306)&lt;2,ISNUMBER(MATCH(AU306,L_Placeholder,0)))),NOT(OR(LEN(AX306)&lt;2,ISNUMBER(MATCH(AX306,L_Placeholder,0)))),TRIM(AE306)&lt;&gt;TRIM(T306)),"N/A – JUSTIFIED","INVALID – N/A needs a real justification (15+ chars), PIC and a different verifier"))),IF(OR(TRIM(U306)="Pass",TRIM(U306)="Pass after CA"),IF(NOT(ISNUMBER(AD306)),"INVALID – completion time missing",IF(OR(LEN(AU306)&lt;2,ISNUMBER(MATCH(AU306,L_Placeholder,0))),"INVALID – PIC missing",IF(OR(LEN(AV306)&lt;2,ISNUMBER(MATCH(AV306,L_Placeholder,0))),"INVALID – result / assessment missing",IF(OR(OR(LEN(AW306)&lt;3,ISNUMBER(MATCH(AW306,L_Placeholder,0))),SUMPRODUCT(--ISNUMBER(SEARCH(L_EvidencePhrase,AW306)))&gt;0),"INVALID – evidence missing, placeholder or not yet on file",IF(OR(LEN(AX306)&lt;2,ISNUMBER(MATCH(AX306,L_Placeholder,0))),"INVALID – verifier missing",IF(AX306=AU306,"INVALID – verifier must be someone other than the PIC",IF(AND(TRIM(U306)="Pass",SUMPRODUCT(--ISNUMBER(SEARCH(L_ResultBad,AV306)))&gt;0),"INVALID – result describes a problem: use Fail, then Pass after CA",IF(AND(AQ306=1,OR(LEN(AY306)&lt;3,ISNUMBER(MATCH(AY306,L_Placeholder,0)))),"INVALID – batch ID missing or placeholder",IF(AND(AR306=1,OR(NOT(ISNUMBER(X306)),NOT(ISNUMBER(Y306)))),"INVALID – expected/actual qty missing",IF(AND(AR306=1,OR(X306&lt;=0,Y306&lt;0)),"INVALID – expected qty must be above 0 and actual not negative",IF(BB306&lt;&gt;"",BB306,IF(AND(AS306=1,Documents!$J$13&lt;&gt;"ON FILE"),"INVALID – GLD not on file (Documents sheet)",IF(AND(AS306=2,Documents!$O$13&lt;&gt;"ON FILE"),"INVALID – menu checklist not on file (Documents sheet)",IF(AND(AS306=3,NOT(ISNUMBER(Flights!$AX$13))),"INVALID – enter carrying flight KUL departure (Flights AX)",IF(AND(AS306=3,OR(Flights!$AZ$13&gt;Flights!$AA$13,Flights!$AX$13&lt;Flights!$AA$13-3)),"INVALID – carrying flight (Flights AX) cannot arrive before this leg's STD, or is over 3 days early",IF(AG306&gt;AsOfUTC,"INVALID – completion time is in the future",IF(AND(ISNUMBER(S306),AG306&lt;S306),IF(H306="Physical uplift","INVALID – before uplift window (cannot confirm loading)","INVALID – before valid window"),IF(AG306&gt;Flights!$AA$13,"INVALID – completed after departure (cannot establish readiness)",IF(AND(H306="Preparation",AG306&gt;IF(ISNUMBER(Flights!$BA$13),MIN(Flights!$BA$13,Flights!$AA$13),Flights!$AA$13)),"INVALID – completed after loading / departure (cannot establish readiness)",IF(AND(H306="Physical uplift",AG306&gt;Q306),"INVALID – recorded after the loading flight departed",IF(AG306&gt;Q306,"COMPLETE – LATE","COMPLETE"))))))))))))))))))))),IF(TRIM(U306)="Fail","FAIL – DISCREPANCY",IF(AND(TRIM(U306)&lt;&gt;"",TRIM(U306)&lt;&gt;"Not started",TRIM(U306)&lt;&gt;"In progress"),"INVALID – unrecognised status (use the list)",IF(AsOfUTC&gt;Q306,"OVERDUE",IF(N306="Clarification required","OPEN – CLARIFICATION","OPEN"))))))),"INVALID – error value in an input cell")</f>
        <v>OPEN</v>
      </c>
      <c r="AI306" s="61" t="n">
        <f aca="false">IF(OR(AH306="N/A – RULE",AH306="N/A – JUSTIFIED"),0,1)</f>
        <v>1</v>
      </c>
      <c r="AJ306" s="61" t="n">
        <f aca="false">IF(LEFT(AH306,8)="COMPLETE",1,0)</f>
        <v>0</v>
      </c>
      <c r="AK306" s="61" t="n">
        <f aca="false">IF(AND(AI306=1,AJ306=0,AsOfUTC&gt;Q306),1,0)</f>
        <v>0</v>
      </c>
      <c r="AL306" s="61" t="n">
        <f aca="false">IFERROR(IF(AND(AI306=1,OR(TRIM(U306)="Fail",AND(TRIM(AB306)&lt;&gt;"",TRIM(AB306)&lt;&gt;"Closed"),AND(ISNUMBER(AF306),AF306&lt;&gt;0,TRIM(U306)&lt;&gt;"Pass after CA"))),1,0),1)</f>
        <v>0</v>
      </c>
      <c r="AM306" s="61" t="n">
        <f aca="false">IF(LEFT(AH306,7)="INVALID",1,0)</f>
        <v>0</v>
      </c>
      <c r="AN306" s="61" t="n">
        <f aca="false">IF(AND(N306="Clarification required",AI306=1,AJ306=0),1,0)</f>
        <v>0</v>
      </c>
      <c r="AO306" s="61" t="str">
        <f aca="false">IF(AK306=1,SUM(AK$5:AK306),"")</f>
        <v/>
      </c>
      <c r="AP306" s="61" t="str">
        <f aca="false">IF(AL306=1,SUM(AL$5:AL306),"")</f>
        <v/>
      </c>
      <c r="AQ306" s="61" t="n">
        <v>0</v>
      </c>
      <c r="AR306" s="61" t="n">
        <v>0</v>
      </c>
      <c r="AS306" s="61" t="n">
        <v>0</v>
      </c>
      <c r="AT306" s="61" t="n">
        <v>0</v>
      </c>
      <c r="AU306" s="61" t="str">
        <f aca="false">SUBSTITUTE(SUBSTITUTE(SUBSTITUTE(SUBSTITUTE(SUBSTITUTE(SUBSTITUTE(SUBSTITUTE(SUBSTITUTE(SUBSTITUTE(SUBSTITUTE(SUBSTITUTE(SUBSTITUTE(SUBSTITUTE(LOWER(T306&amp;""),CHAR(160),"")," ",""),".",""),"-",""),"/",""),"?",""),"_",""),",",""),"[",""),"]",""),"(",""),")",""),"*","")</f>
        <v/>
      </c>
      <c r="AV306" s="61" t="str">
        <f aca="false">SUBSTITUTE(SUBSTITUTE(SUBSTITUTE(SUBSTITUTE(SUBSTITUTE(SUBSTITUTE(SUBSTITUTE(SUBSTITUTE(SUBSTITUTE(SUBSTITUTE(SUBSTITUTE(SUBSTITUTE(SUBSTITUTE(LOWER(V306&amp;""),CHAR(160),"")," ",""),".",""),"-",""),"/",""),"?",""),"_",""),",",""),"[",""),"]",""),"(",""),")",""),"*","")</f>
        <v/>
      </c>
      <c r="AW306" s="61" t="str">
        <f aca="false">SUBSTITUTE(SUBSTITUTE(SUBSTITUTE(SUBSTITUTE(SUBSTITUTE(SUBSTITUTE(SUBSTITUTE(SUBSTITUTE(SUBSTITUTE(SUBSTITUTE(SUBSTITUTE(SUBSTITUTE(SUBSTITUTE(LOWER(Z306&amp;""),CHAR(160),"")," ",""),".",""),"-",""),"/",""),"?",""),"_",""),",",""),"[",""),"]",""),"(",""),")",""),"*","")</f>
        <v/>
      </c>
      <c r="AX306" s="61" t="str">
        <f aca="false">SUBSTITUTE(SUBSTITUTE(SUBSTITUTE(SUBSTITUTE(SUBSTITUTE(SUBSTITUTE(SUBSTITUTE(SUBSTITUTE(SUBSTITUTE(SUBSTITUTE(SUBSTITUTE(SUBSTITUTE(SUBSTITUTE(LOWER(AE306&amp;""),CHAR(160),"")," ",""),".",""),"-",""),"/",""),"?",""),"_",""),",",""),"[",""),"]",""),"(",""),")",""),"*","")</f>
        <v/>
      </c>
      <c r="AY306" s="61" t="str">
        <f aca="false">SUBSTITUTE(SUBSTITUTE(SUBSTITUTE(SUBSTITUTE(SUBSTITUTE(SUBSTITUTE(SUBSTITUTE(SUBSTITUTE(SUBSTITUTE(SUBSTITUTE(SUBSTITUTE(SUBSTITUTE(SUBSTITUTE(LOWER(W306&amp;""),CHAR(160),"")," ",""),".",""),"-",""),"/",""),"?",""),"_",""),",",""),"[",""),"]",""),"(",""),")",""),"*","")</f>
        <v/>
      </c>
      <c r="AZ306" s="61" t="str">
        <f aca="false">SUBSTITUTE(SUBSTITUTE(SUBSTITUTE(SUBSTITUTE(SUBSTITUTE(SUBSTITUTE(SUBSTITUTE(SUBSTITUTE(SUBSTITUTE(SUBSTITUTE(SUBSTITUTE(SUBSTITUTE(SUBSTITUTE(LOWER(AC306&amp;""),CHAR(160),"")," ",""),".",""),"-",""),"/",""),"?",""),"_",""),",",""),"[",""),"]",""),"(",""),")",""),"*","")</f>
        <v/>
      </c>
      <c r="BA306" s="61" t="str">
        <f aca="false">SUBSTITUTE(SUBSTITUTE(SUBSTITUTE(SUBSTITUTE(SUBSTITUTE(SUBSTITUTE(SUBSTITUTE(SUBSTITUTE(SUBSTITUTE(SUBSTITUTE(SUBSTITUTE(SUBSTITUTE(SUBSTITUTE(LOWER(AA306&amp;""),CHAR(160),"")," ",""),".",""),"-",""),"/",""),"?",""),"_",""),",",""),"[",""),"]",""),"(",""),")",""),"*","")</f>
        <v/>
      </c>
      <c r="BB306" s="61" t="str">
        <f aca="false">IF(AND(TRIM(U306)="Pass",ISNUMBER(AF306)),IF(AF306&lt;&gt;0,"INVALID – qty variance: use Fail or Pass after CA",""),"")&amp;IF(AND(TRIM(U306)="Pass after CA",ISNUMBER(AF306)),IF(AF306&lt;&gt;0,"INVALID – after the corrective action the actual qty must equal expected (update Actual)",""),"")&amp;IF(AND(TRIM(U306)="Pass",TRIM(AB306)&lt;&gt;"",TRIM(AB306)&lt;&gt;"Closed"),"INVALID – corrective action not closed: use Fail, then Pass after CA","")&amp;IF(AND(TRIM(AA306)&lt;&gt;"",TRIM(AB306)=""),"INVALID – CA status missing for the recorded corrective action","")&amp;IF(AND(TRIM(U306)="Pass after CA",OR(OR(LEN(BA306)&lt;5,ISNUMBER(MATCH(BA306,L_Placeholder,0))),TRIM(AB306)&lt;&gt;"Closed")),"INVALID – corrective action not recorded/closed","")</f>
        <v/>
      </c>
    </row>
    <row r="307" customFormat="false" ht="41.25" hidden="false" customHeight="true" outlineLevel="0" collapsed="false">
      <c r="A307" s="57" t="s">
        <v>871</v>
      </c>
      <c r="B307" s="57" t="s">
        <v>243</v>
      </c>
      <c r="C307" s="57" t="str">
        <f aca="false">Flights!$F$13</f>
        <v>MH0753</v>
      </c>
      <c r="D307" s="58" t="n">
        <f aca="false">Flights!$D$13</f>
        <v>46306</v>
      </c>
      <c r="E307" s="57" t="str">
        <f aca="false">Flights!$G$13&amp;"-"&amp;Flights!$H$13</f>
        <v>HAN-KUL</v>
      </c>
      <c r="F307" s="57" t="str">
        <f aca="false">Flights!$K$13</f>
        <v>BC</v>
      </c>
      <c r="G307" s="57" t="s">
        <v>398</v>
      </c>
      <c r="H307" s="57" t="s">
        <v>356</v>
      </c>
      <c r="I307" s="57" t="s">
        <v>477</v>
      </c>
      <c r="J307" s="57" t="s">
        <v>501</v>
      </c>
      <c r="K307" s="67" t="s">
        <v>479</v>
      </c>
      <c r="L307" s="67" t="s">
        <v>872</v>
      </c>
      <c r="M307" s="67" t="s">
        <v>429</v>
      </c>
      <c r="N307" s="67" t="s">
        <v>361</v>
      </c>
      <c r="O307" s="67" t="s">
        <v>858</v>
      </c>
      <c r="P307" s="57" t="s">
        <v>237</v>
      </c>
      <c r="Q307" s="59" t="n">
        <f aca="false">ROUND((Flights!$AE$13)*1440,0)/1440</f>
        <v>46305.7534722222</v>
      </c>
      <c r="R307" s="59" t="n">
        <f aca="false">Q307+(IF(AND(INDEX(TZ_DSTS,MATCH(P307,TZ_STN,0))&lt;&gt;"",Q307&gt;=INDEX(TZ_DSTS,MATCH(P307,TZ_STN,0)),Q307&lt;INDEX(TZ_DSTE,MATCH(P307,TZ_STN,0))),INDEX(TZ_DST,MATCH(P307,TZ_STN,0)),INDEX(TZ_STD,MATCH(P307,TZ_STN,0))))/24</f>
        <v>46306.0451388889</v>
      </c>
      <c r="S307" s="59" t="n">
        <f aca="false">Q307-T12EarlyH/24</f>
        <v>46305.2534722222</v>
      </c>
      <c r="T307" s="60"/>
      <c r="U307" s="60"/>
      <c r="V307" s="60"/>
      <c r="W307" s="61"/>
      <c r="X307" s="60"/>
      <c r="Y307" s="60"/>
      <c r="Z307" s="60"/>
      <c r="AA307" s="60"/>
      <c r="AB307" s="60"/>
      <c r="AC307" s="60"/>
      <c r="AD307" s="66"/>
      <c r="AE307" s="60"/>
      <c r="AF307" s="61" t="str">
        <f aca="false">IF(AND(ISNUMBER(X307),ISNUMBER(Y307)),Y307-X307,"")</f>
        <v/>
      </c>
      <c r="AG307" s="62" t="str">
        <f aca="false">IF(ISNUMBER(AD307),AD307-(IF(AND(INDEX(TZ_DSTS,MATCH(P307,TZ_STN,0))&lt;&gt;"",(AD307-INDEX(TZ_STD,MATCH(P307,TZ_STN,0))/24)&gt;=INDEX(TZ_DSTS,MATCH(P307,TZ_STN,0)),(AD307-INDEX(TZ_STD,MATCH(P307,TZ_STN,0))/24)&lt;INDEX(TZ_DSTE,MATCH(P307,TZ_STN,0))),INDEX(TZ_DST,MATCH(P307,TZ_STN,0)),INDEX(TZ_STD,MATCH(P307,TZ_STN,0))))/24,"")</f>
        <v/>
      </c>
      <c r="AH307" s="65" t="str">
        <f aca="false">IFERROR(IF(N307="N/A – rule","N/A – RULE",IF(TRIM(U307)="N/A",IF(AT307=0,"INVALID – N/A not permitted for this check",IF(AND(TRIM(AB307)&lt;&gt;"",TRIM(AB307)&lt;&gt;"Closed"),"INVALID – corrective action still open",IF(AND(NOT(OR(LEN(AZ307)&lt;15,ISNUMBER(MATCH(AZ307,L_Placeholder,0)))),NOT(OR(LEN(AU307)&lt;2,ISNUMBER(MATCH(AU307,L_Placeholder,0)))),NOT(OR(LEN(AX307)&lt;2,ISNUMBER(MATCH(AX307,L_Placeholder,0)))),TRIM(AE307)&lt;&gt;TRIM(T307)),"N/A – JUSTIFIED","INVALID – N/A needs a real justification (15+ chars), PIC and a different verifier"))),IF(OR(TRIM(U307)="Pass",TRIM(U307)="Pass after CA"),IF(NOT(ISNUMBER(AD307)),"INVALID – completion time missing",IF(OR(LEN(AU307)&lt;2,ISNUMBER(MATCH(AU307,L_Placeholder,0))),"INVALID – PIC missing",IF(OR(LEN(AV307)&lt;2,ISNUMBER(MATCH(AV307,L_Placeholder,0))),"INVALID – result / assessment missing",IF(OR(OR(LEN(AW307)&lt;3,ISNUMBER(MATCH(AW307,L_Placeholder,0))),SUMPRODUCT(--ISNUMBER(SEARCH(L_EvidencePhrase,AW307)))&gt;0),"INVALID – evidence missing, placeholder or not yet on file",IF(OR(LEN(AX307)&lt;2,ISNUMBER(MATCH(AX307,L_Placeholder,0))),"INVALID – verifier missing",IF(AX307=AU307,"INVALID – verifier must be someone other than the PIC",IF(AND(TRIM(U307)="Pass",SUMPRODUCT(--ISNUMBER(SEARCH(L_ResultBad,AV307)))&gt;0),"INVALID – result describes a problem: use Fail, then Pass after CA",IF(AND(AQ307=1,OR(LEN(AY307)&lt;3,ISNUMBER(MATCH(AY307,L_Placeholder,0)))),"INVALID – batch ID missing or placeholder",IF(AND(AR307=1,OR(NOT(ISNUMBER(X307)),NOT(ISNUMBER(Y307)))),"INVALID – expected/actual qty missing",IF(AND(AR307=1,OR(X307&lt;=0,Y307&lt;0)),"INVALID – expected qty must be above 0 and actual not negative",IF(BB307&lt;&gt;"",BB307,IF(AND(AS307=1,Documents!$J$13&lt;&gt;"ON FILE"),"INVALID – GLD not on file (Documents sheet)",IF(AND(AS307=2,Documents!$O$13&lt;&gt;"ON FILE"),"INVALID – menu checklist not on file (Documents sheet)",IF(AND(AS307=3,NOT(ISNUMBER(Flights!$AX$13))),"INVALID – enter carrying flight KUL departure (Flights AX)",IF(AND(AS307=3,OR(Flights!$AZ$13&gt;Flights!$AA$13,Flights!$AX$13&lt;Flights!$AA$13-3)),"INVALID – carrying flight (Flights AX) cannot arrive before this leg's STD, or is over 3 days early",IF(AG307&gt;AsOfUTC,"INVALID – completion time is in the future",IF(AND(ISNUMBER(S307),AG307&lt;S307),IF(H307="Physical uplift","INVALID – before uplift window (cannot confirm loading)","INVALID – before valid window"),IF(AG307&gt;Flights!$AA$13,"INVALID – completed after departure (cannot establish readiness)",IF(AND(H307="Preparation",AG307&gt;IF(ISNUMBER(Flights!$BA$13),MIN(Flights!$BA$13,Flights!$AA$13),Flights!$AA$13)),"INVALID – completed after loading / departure (cannot establish readiness)",IF(AND(H307="Physical uplift",AG307&gt;Q307),"INVALID – recorded after the loading flight departed",IF(AG307&gt;Q307,"COMPLETE – LATE","COMPLETE"))))))))))))))))))))),IF(TRIM(U307)="Fail","FAIL – DISCREPANCY",IF(AND(TRIM(U307)&lt;&gt;"",TRIM(U307)&lt;&gt;"Not started",TRIM(U307)&lt;&gt;"In progress"),"INVALID – unrecognised status (use the list)",IF(AsOfUTC&gt;Q307,"OVERDUE",IF(N307="Clarification required","OPEN – CLARIFICATION","OPEN"))))))),"INVALID – error value in an input cell")</f>
        <v>OPEN</v>
      </c>
      <c r="AI307" s="61" t="n">
        <f aca="false">IF(OR(AH307="N/A – RULE",AH307="N/A – JUSTIFIED"),0,1)</f>
        <v>1</v>
      </c>
      <c r="AJ307" s="61" t="n">
        <f aca="false">IF(LEFT(AH307,8)="COMPLETE",1,0)</f>
        <v>0</v>
      </c>
      <c r="AK307" s="61" t="n">
        <f aca="false">IF(AND(AI307=1,AJ307=0,AsOfUTC&gt;Q307),1,0)</f>
        <v>0</v>
      </c>
      <c r="AL307" s="61" t="n">
        <f aca="false">IFERROR(IF(AND(AI307=1,OR(TRIM(U307)="Fail",AND(TRIM(AB307)&lt;&gt;"",TRIM(AB307)&lt;&gt;"Closed"),AND(ISNUMBER(AF307),AF307&lt;&gt;0,TRIM(U307)&lt;&gt;"Pass after CA"))),1,0),1)</f>
        <v>0</v>
      </c>
      <c r="AM307" s="61" t="n">
        <f aca="false">IF(LEFT(AH307,7)="INVALID",1,0)</f>
        <v>0</v>
      </c>
      <c r="AN307" s="61" t="n">
        <f aca="false">IF(AND(N307="Clarification required",AI307=1,AJ307=0),1,0)</f>
        <v>0</v>
      </c>
      <c r="AO307" s="61" t="str">
        <f aca="false">IF(AK307=1,SUM(AK$5:AK307),"")</f>
        <v/>
      </c>
      <c r="AP307" s="61" t="str">
        <f aca="false">IF(AL307=1,SUM(AL$5:AL307),"")</f>
        <v/>
      </c>
      <c r="AQ307" s="61" t="n">
        <v>0</v>
      </c>
      <c r="AR307" s="61" t="n">
        <v>0</v>
      </c>
      <c r="AS307" s="61" t="n">
        <v>0</v>
      </c>
      <c r="AT307" s="61" t="n">
        <v>0</v>
      </c>
      <c r="AU307" s="61" t="str">
        <f aca="false">SUBSTITUTE(SUBSTITUTE(SUBSTITUTE(SUBSTITUTE(SUBSTITUTE(SUBSTITUTE(SUBSTITUTE(SUBSTITUTE(SUBSTITUTE(SUBSTITUTE(SUBSTITUTE(SUBSTITUTE(SUBSTITUTE(LOWER(T307&amp;""),CHAR(160),"")," ",""),".",""),"-",""),"/",""),"?",""),"_",""),",",""),"[",""),"]",""),"(",""),")",""),"*","")</f>
        <v/>
      </c>
      <c r="AV307" s="61" t="str">
        <f aca="false">SUBSTITUTE(SUBSTITUTE(SUBSTITUTE(SUBSTITUTE(SUBSTITUTE(SUBSTITUTE(SUBSTITUTE(SUBSTITUTE(SUBSTITUTE(SUBSTITUTE(SUBSTITUTE(SUBSTITUTE(SUBSTITUTE(LOWER(V307&amp;""),CHAR(160),"")," ",""),".",""),"-",""),"/",""),"?",""),"_",""),",",""),"[",""),"]",""),"(",""),")",""),"*","")</f>
        <v/>
      </c>
      <c r="AW307" s="61" t="str">
        <f aca="false">SUBSTITUTE(SUBSTITUTE(SUBSTITUTE(SUBSTITUTE(SUBSTITUTE(SUBSTITUTE(SUBSTITUTE(SUBSTITUTE(SUBSTITUTE(SUBSTITUTE(SUBSTITUTE(SUBSTITUTE(SUBSTITUTE(LOWER(Z307&amp;""),CHAR(160),"")," ",""),".",""),"-",""),"/",""),"?",""),"_",""),",",""),"[",""),"]",""),"(",""),")",""),"*","")</f>
        <v/>
      </c>
      <c r="AX307" s="61" t="str">
        <f aca="false">SUBSTITUTE(SUBSTITUTE(SUBSTITUTE(SUBSTITUTE(SUBSTITUTE(SUBSTITUTE(SUBSTITUTE(SUBSTITUTE(SUBSTITUTE(SUBSTITUTE(SUBSTITUTE(SUBSTITUTE(SUBSTITUTE(LOWER(AE307&amp;""),CHAR(160),"")," ",""),".",""),"-",""),"/",""),"?",""),"_",""),",",""),"[",""),"]",""),"(",""),")",""),"*","")</f>
        <v/>
      </c>
      <c r="AY307" s="61" t="str">
        <f aca="false">SUBSTITUTE(SUBSTITUTE(SUBSTITUTE(SUBSTITUTE(SUBSTITUTE(SUBSTITUTE(SUBSTITUTE(SUBSTITUTE(SUBSTITUTE(SUBSTITUTE(SUBSTITUTE(SUBSTITUTE(SUBSTITUTE(LOWER(W307&amp;""),CHAR(160),"")," ",""),".",""),"-",""),"/",""),"?",""),"_",""),",",""),"[",""),"]",""),"(",""),")",""),"*","")</f>
        <v/>
      </c>
      <c r="AZ307" s="61" t="str">
        <f aca="false">SUBSTITUTE(SUBSTITUTE(SUBSTITUTE(SUBSTITUTE(SUBSTITUTE(SUBSTITUTE(SUBSTITUTE(SUBSTITUTE(SUBSTITUTE(SUBSTITUTE(SUBSTITUTE(SUBSTITUTE(SUBSTITUTE(LOWER(AC307&amp;""),CHAR(160),"")," ",""),".",""),"-",""),"/",""),"?",""),"_",""),",",""),"[",""),"]",""),"(",""),")",""),"*","")</f>
        <v/>
      </c>
      <c r="BA307" s="61" t="str">
        <f aca="false">SUBSTITUTE(SUBSTITUTE(SUBSTITUTE(SUBSTITUTE(SUBSTITUTE(SUBSTITUTE(SUBSTITUTE(SUBSTITUTE(SUBSTITUTE(SUBSTITUTE(SUBSTITUTE(SUBSTITUTE(SUBSTITUTE(LOWER(AA307&amp;""),CHAR(160),"")," ",""),".",""),"-",""),"/",""),"?",""),"_",""),",",""),"[",""),"]",""),"(",""),")",""),"*","")</f>
        <v/>
      </c>
      <c r="BB307" s="61" t="str">
        <f aca="false">IF(AND(TRIM(U307)="Pass",ISNUMBER(AF307)),IF(AF307&lt;&gt;0,"INVALID – qty variance: use Fail or Pass after CA",""),"")&amp;IF(AND(TRIM(U307)="Pass after CA",ISNUMBER(AF307)),IF(AF307&lt;&gt;0,"INVALID – after the corrective action the actual qty must equal expected (update Actual)",""),"")&amp;IF(AND(TRIM(U307)="Pass",TRIM(AB307)&lt;&gt;"",TRIM(AB307)&lt;&gt;"Closed"),"INVALID – corrective action not closed: use Fail, then Pass after CA","")&amp;IF(AND(TRIM(AA307)&lt;&gt;"",TRIM(AB307)=""),"INVALID – CA status missing for the recorded corrective action","")&amp;IF(AND(TRIM(U307)="Pass after CA",OR(OR(LEN(BA307)&lt;5,ISNUMBER(MATCH(BA307,L_Placeholder,0))),TRIM(AB307)&lt;&gt;"Closed")),"INVALID – corrective action not recorded/closed","")</f>
        <v/>
      </c>
    </row>
    <row r="308" customFormat="false" ht="41.25" hidden="false" customHeight="true" outlineLevel="0" collapsed="false">
      <c r="A308" s="57" t="s">
        <v>873</v>
      </c>
      <c r="B308" s="57" t="s">
        <v>243</v>
      </c>
      <c r="C308" s="57" t="str">
        <f aca="false">Flights!$F$13</f>
        <v>MH0753</v>
      </c>
      <c r="D308" s="58" t="n">
        <f aca="false">Flights!$D$13</f>
        <v>46306</v>
      </c>
      <c r="E308" s="57" t="str">
        <f aca="false">Flights!$G$13&amp;"-"&amp;Flights!$H$13</f>
        <v>HAN-KUL</v>
      </c>
      <c r="F308" s="57" t="str">
        <f aca="false">Flights!$K$13</f>
        <v>BC</v>
      </c>
      <c r="G308" s="57" t="s">
        <v>398</v>
      </c>
      <c r="H308" s="57" t="s">
        <v>356</v>
      </c>
      <c r="I308" s="57" t="s">
        <v>425</v>
      </c>
      <c r="J308" s="57" t="s">
        <v>504</v>
      </c>
      <c r="K308" s="67" t="s">
        <v>427</v>
      </c>
      <c r="L308" s="67" t="s">
        <v>874</v>
      </c>
      <c r="M308" s="67" t="s">
        <v>429</v>
      </c>
      <c r="N308" s="67" t="s">
        <v>361</v>
      </c>
      <c r="O308" s="67" t="s">
        <v>858</v>
      </c>
      <c r="P308" s="57" t="s">
        <v>237</v>
      </c>
      <c r="Q308" s="59" t="n">
        <f aca="false">ROUND((Flights!$AE$13)*1440,0)/1440</f>
        <v>46305.7534722222</v>
      </c>
      <c r="R308" s="59" t="n">
        <f aca="false">Q308+(IF(AND(INDEX(TZ_DSTS,MATCH(P308,TZ_STN,0))&lt;&gt;"",Q308&gt;=INDEX(TZ_DSTS,MATCH(P308,TZ_STN,0)),Q308&lt;INDEX(TZ_DSTE,MATCH(P308,TZ_STN,0))),INDEX(TZ_DST,MATCH(P308,TZ_STN,0)),INDEX(TZ_STD,MATCH(P308,TZ_STN,0))))/24</f>
        <v>46306.0451388889</v>
      </c>
      <c r="S308" s="59" t="n">
        <f aca="false">Q308-T12EarlyH/24</f>
        <v>46305.2534722222</v>
      </c>
      <c r="T308" s="60"/>
      <c r="U308" s="60"/>
      <c r="V308" s="60"/>
      <c r="W308" s="61"/>
      <c r="X308" s="60"/>
      <c r="Y308" s="60"/>
      <c r="Z308" s="60"/>
      <c r="AA308" s="60"/>
      <c r="AB308" s="60"/>
      <c r="AC308" s="60"/>
      <c r="AD308" s="66"/>
      <c r="AE308" s="60"/>
      <c r="AF308" s="61" t="str">
        <f aca="false">IF(AND(ISNUMBER(X308),ISNUMBER(Y308)),Y308-X308,"")</f>
        <v/>
      </c>
      <c r="AG308" s="62" t="str">
        <f aca="false">IF(ISNUMBER(AD308),AD308-(IF(AND(INDEX(TZ_DSTS,MATCH(P308,TZ_STN,0))&lt;&gt;"",(AD308-INDEX(TZ_STD,MATCH(P308,TZ_STN,0))/24)&gt;=INDEX(TZ_DSTS,MATCH(P308,TZ_STN,0)),(AD308-INDEX(TZ_STD,MATCH(P308,TZ_STN,0))/24)&lt;INDEX(TZ_DSTE,MATCH(P308,TZ_STN,0))),INDEX(TZ_DST,MATCH(P308,TZ_STN,0)),INDEX(TZ_STD,MATCH(P308,TZ_STN,0))))/24,"")</f>
        <v/>
      </c>
      <c r="AH308" s="65" t="str">
        <f aca="false">IFERROR(IF(N308="N/A – rule","N/A – RULE",IF(TRIM(U308)="N/A",IF(AT308=0,"INVALID – N/A not permitted for this check",IF(AND(TRIM(AB308)&lt;&gt;"",TRIM(AB308)&lt;&gt;"Closed"),"INVALID – corrective action still open",IF(AND(NOT(OR(LEN(AZ308)&lt;15,ISNUMBER(MATCH(AZ308,L_Placeholder,0)))),NOT(OR(LEN(AU308)&lt;2,ISNUMBER(MATCH(AU308,L_Placeholder,0)))),NOT(OR(LEN(AX308)&lt;2,ISNUMBER(MATCH(AX308,L_Placeholder,0)))),TRIM(AE308)&lt;&gt;TRIM(T308)),"N/A – JUSTIFIED","INVALID – N/A needs a real justification (15+ chars), PIC and a different verifier"))),IF(OR(TRIM(U308)="Pass",TRIM(U308)="Pass after CA"),IF(NOT(ISNUMBER(AD308)),"INVALID – completion time missing",IF(OR(LEN(AU308)&lt;2,ISNUMBER(MATCH(AU308,L_Placeholder,0))),"INVALID – PIC missing",IF(OR(LEN(AV308)&lt;2,ISNUMBER(MATCH(AV308,L_Placeholder,0))),"INVALID – result / assessment missing",IF(OR(OR(LEN(AW308)&lt;3,ISNUMBER(MATCH(AW308,L_Placeholder,0))),SUMPRODUCT(--ISNUMBER(SEARCH(L_EvidencePhrase,AW308)))&gt;0),"INVALID – evidence missing, placeholder or not yet on file",IF(OR(LEN(AX308)&lt;2,ISNUMBER(MATCH(AX308,L_Placeholder,0))),"INVALID – verifier missing",IF(AX308=AU308,"INVALID – verifier must be someone other than the PIC",IF(AND(TRIM(U308)="Pass",SUMPRODUCT(--ISNUMBER(SEARCH(L_ResultBad,AV308)))&gt;0),"INVALID – result describes a problem: use Fail, then Pass after CA",IF(AND(AQ308=1,OR(LEN(AY308)&lt;3,ISNUMBER(MATCH(AY308,L_Placeholder,0)))),"INVALID – batch ID missing or placeholder",IF(AND(AR308=1,OR(NOT(ISNUMBER(X308)),NOT(ISNUMBER(Y308)))),"INVALID – expected/actual qty missing",IF(AND(AR308=1,OR(X308&lt;=0,Y308&lt;0)),"INVALID – expected qty must be above 0 and actual not negative",IF(BB308&lt;&gt;"",BB308,IF(AND(AS308=1,Documents!$J$13&lt;&gt;"ON FILE"),"INVALID – GLD not on file (Documents sheet)",IF(AND(AS308=2,Documents!$O$13&lt;&gt;"ON FILE"),"INVALID – menu checklist not on file (Documents sheet)",IF(AND(AS308=3,NOT(ISNUMBER(Flights!$AX$13))),"INVALID – enter carrying flight KUL departure (Flights AX)",IF(AND(AS308=3,OR(Flights!$AZ$13&gt;Flights!$AA$13,Flights!$AX$13&lt;Flights!$AA$13-3)),"INVALID – carrying flight (Flights AX) cannot arrive before this leg's STD, or is over 3 days early",IF(AG308&gt;AsOfUTC,"INVALID – completion time is in the future",IF(AND(ISNUMBER(S308),AG308&lt;S308),IF(H308="Physical uplift","INVALID – before uplift window (cannot confirm loading)","INVALID – before valid window"),IF(AG308&gt;Flights!$AA$13,"INVALID – completed after departure (cannot establish readiness)",IF(AND(H308="Preparation",AG308&gt;IF(ISNUMBER(Flights!$BA$13),MIN(Flights!$BA$13,Flights!$AA$13),Flights!$AA$13)),"INVALID – completed after loading / departure (cannot establish readiness)",IF(AND(H308="Physical uplift",AG308&gt;Q308),"INVALID – recorded after the loading flight departed",IF(AG308&gt;Q308,"COMPLETE – LATE","COMPLETE"))))))))))))))))))))),IF(TRIM(U308)="Fail","FAIL – DISCREPANCY",IF(AND(TRIM(U308)&lt;&gt;"",TRIM(U308)&lt;&gt;"Not started",TRIM(U308)&lt;&gt;"In progress"),"INVALID – unrecognised status (use the list)",IF(AsOfUTC&gt;Q308,"OVERDUE",IF(N308="Clarification required","OPEN – CLARIFICATION","OPEN"))))))),"INVALID – error value in an input cell")</f>
        <v>OPEN</v>
      </c>
      <c r="AI308" s="61" t="n">
        <f aca="false">IF(OR(AH308="N/A – RULE",AH308="N/A – JUSTIFIED"),0,1)</f>
        <v>1</v>
      </c>
      <c r="AJ308" s="61" t="n">
        <f aca="false">IF(LEFT(AH308,8)="COMPLETE",1,0)</f>
        <v>0</v>
      </c>
      <c r="AK308" s="61" t="n">
        <f aca="false">IF(AND(AI308=1,AJ308=0,AsOfUTC&gt;Q308),1,0)</f>
        <v>0</v>
      </c>
      <c r="AL308" s="61" t="n">
        <f aca="false">IFERROR(IF(AND(AI308=1,OR(TRIM(U308)="Fail",AND(TRIM(AB308)&lt;&gt;"",TRIM(AB308)&lt;&gt;"Closed"),AND(ISNUMBER(AF308),AF308&lt;&gt;0,TRIM(U308)&lt;&gt;"Pass after CA"))),1,0),1)</f>
        <v>0</v>
      </c>
      <c r="AM308" s="61" t="n">
        <f aca="false">IF(LEFT(AH308,7)="INVALID",1,0)</f>
        <v>0</v>
      </c>
      <c r="AN308" s="61" t="n">
        <f aca="false">IF(AND(N308="Clarification required",AI308=1,AJ308=0),1,0)</f>
        <v>0</v>
      </c>
      <c r="AO308" s="61" t="str">
        <f aca="false">IF(AK308=1,SUM(AK$5:AK308),"")</f>
        <v/>
      </c>
      <c r="AP308" s="61" t="str">
        <f aca="false">IF(AL308=1,SUM(AL$5:AL308),"")</f>
        <v/>
      </c>
      <c r="AQ308" s="61" t="n">
        <v>0</v>
      </c>
      <c r="AR308" s="61" t="n">
        <v>0</v>
      </c>
      <c r="AS308" s="61" t="n">
        <v>0</v>
      </c>
      <c r="AT308" s="61" t="n">
        <v>0</v>
      </c>
      <c r="AU308" s="61" t="str">
        <f aca="false">SUBSTITUTE(SUBSTITUTE(SUBSTITUTE(SUBSTITUTE(SUBSTITUTE(SUBSTITUTE(SUBSTITUTE(SUBSTITUTE(SUBSTITUTE(SUBSTITUTE(SUBSTITUTE(SUBSTITUTE(SUBSTITUTE(LOWER(T308&amp;""),CHAR(160),"")," ",""),".",""),"-",""),"/",""),"?",""),"_",""),",",""),"[",""),"]",""),"(",""),")",""),"*","")</f>
        <v/>
      </c>
      <c r="AV308" s="61" t="str">
        <f aca="false">SUBSTITUTE(SUBSTITUTE(SUBSTITUTE(SUBSTITUTE(SUBSTITUTE(SUBSTITUTE(SUBSTITUTE(SUBSTITUTE(SUBSTITUTE(SUBSTITUTE(SUBSTITUTE(SUBSTITUTE(SUBSTITUTE(LOWER(V308&amp;""),CHAR(160),"")," ",""),".",""),"-",""),"/",""),"?",""),"_",""),",",""),"[",""),"]",""),"(",""),")",""),"*","")</f>
        <v/>
      </c>
      <c r="AW308" s="61" t="str">
        <f aca="false">SUBSTITUTE(SUBSTITUTE(SUBSTITUTE(SUBSTITUTE(SUBSTITUTE(SUBSTITUTE(SUBSTITUTE(SUBSTITUTE(SUBSTITUTE(SUBSTITUTE(SUBSTITUTE(SUBSTITUTE(SUBSTITUTE(LOWER(Z308&amp;""),CHAR(160),"")," ",""),".",""),"-",""),"/",""),"?",""),"_",""),",",""),"[",""),"]",""),"(",""),")",""),"*","")</f>
        <v/>
      </c>
      <c r="AX308" s="61" t="str">
        <f aca="false">SUBSTITUTE(SUBSTITUTE(SUBSTITUTE(SUBSTITUTE(SUBSTITUTE(SUBSTITUTE(SUBSTITUTE(SUBSTITUTE(SUBSTITUTE(SUBSTITUTE(SUBSTITUTE(SUBSTITUTE(SUBSTITUTE(LOWER(AE308&amp;""),CHAR(160),"")," ",""),".",""),"-",""),"/",""),"?",""),"_",""),",",""),"[",""),"]",""),"(",""),")",""),"*","")</f>
        <v/>
      </c>
      <c r="AY308" s="61" t="str">
        <f aca="false">SUBSTITUTE(SUBSTITUTE(SUBSTITUTE(SUBSTITUTE(SUBSTITUTE(SUBSTITUTE(SUBSTITUTE(SUBSTITUTE(SUBSTITUTE(SUBSTITUTE(SUBSTITUTE(SUBSTITUTE(SUBSTITUTE(LOWER(W308&amp;""),CHAR(160),"")," ",""),".",""),"-",""),"/",""),"?",""),"_",""),",",""),"[",""),"]",""),"(",""),")",""),"*","")</f>
        <v/>
      </c>
      <c r="AZ308" s="61" t="str">
        <f aca="false">SUBSTITUTE(SUBSTITUTE(SUBSTITUTE(SUBSTITUTE(SUBSTITUTE(SUBSTITUTE(SUBSTITUTE(SUBSTITUTE(SUBSTITUTE(SUBSTITUTE(SUBSTITUTE(SUBSTITUTE(SUBSTITUTE(LOWER(AC308&amp;""),CHAR(160),"")," ",""),".",""),"-",""),"/",""),"?",""),"_",""),",",""),"[",""),"]",""),"(",""),")",""),"*","")</f>
        <v/>
      </c>
      <c r="BA308" s="61" t="str">
        <f aca="false">SUBSTITUTE(SUBSTITUTE(SUBSTITUTE(SUBSTITUTE(SUBSTITUTE(SUBSTITUTE(SUBSTITUTE(SUBSTITUTE(SUBSTITUTE(SUBSTITUTE(SUBSTITUTE(SUBSTITUTE(SUBSTITUTE(LOWER(AA308&amp;""),CHAR(160),"")," ",""),".",""),"-",""),"/",""),"?",""),"_",""),",",""),"[",""),"]",""),"(",""),")",""),"*","")</f>
        <v/>
      </c>
      <c r="BB308" s="61" t="str">
        <f aca="false">IF(AND(TRIM(U308)="Pass",ISNUMBER(AF308)),IF(AF308&lt;&gt;0,"INVALID – qty variance: use Fail or Pass after CA",""),"")&amp;IF(AND(TRIM(U308)="Pass after CA",ISNUMBER(AF308)),IF(AF308&lt;&gt;0,"INVALID – after the corrective action the actual qty must equal expected (update Actual)",""),"")&amp;IF(AND(TRIM(U308)="Pass",TRIM(AB308)&lt;&gt;"",TRIM(AB308)&lt;&gt;"Closed"),"INVALID – corrective action not closed: use Fail, then Pass after CA","")&amp;IF(AND(TRIM(AA308)&lt;&gt;"",TRIM(AB308)=""),"INVALID – CA status missing for the recorded corrective action","")&amp;IF(AND(TRIM(U308)="Pass after CA",OR(OR(LEN(BA308)&lt;5,ISNUMBER(MATCH(BA308,L_Placeholder,0))),TRIM(AB308)&lt;&gt;"Closed")),"INVALID – corrective action not recorded/closed","")</f>
        <v/>
      </c>
    </row>
    <row r="309" customFormat="false" ht="41.25" hidden="false" customHeight="true" outlineLevel="0" collapsed="false">
      <c r="A309" s="57" t="s">
        <v>875</v>
      </c>
      <c r="B309" s="57" t="s">
        <v>243</v>
      </c>
      <c r="C309" s="57" t="str">
        <f aca="false">Flights!$F$13</f>
        <v>MH0753</v>
      </c>
      <c r="D309" s="58" t="n">
        <f aca="false">Flights!$D$13</f>
        <v>46306</v>
      </c>
      <c r="E309" s="57" t="str">
        <f aca="false">Flights!$G$13&amp;"-"&amp;Flights!$H$13</f>
        <v>HAN-KUL</v>
      </c>
      <c r="F309" s="57" t="str">
        <f aca="false">Flights!$K$13</f>
        <v>BC</v>
      </c>
      <c r="G309" s="57" t="s">
        <v>398</v>
      </c>
      <c r="H309" s="57" t="s">
        <v>356</v>
      </c>
      <c r="I309" s="57" t="s">
        <v>425</v>
      </c>
      <c r="J309" s="57" t="s">
        <v>507</v>
      </c>
      <c r="K309" s="67" t="s">
        <v>427</v>
      </c>
      <c r="L309" s="67" t="s">
        <v>876</v>
      </c>
      <c r="M309" s="67" t="s">
        <v>429</v>
      </c>
      <c r="N309" s="67" t="s">
        <v>361</v>
      </c>
      <c r="O309" s="67" t="s">
        <v>858</v>
      </c>
      <c r="P309" s="57" t="s">
        <v>237</v>
      </c>
      <c r="Q309" s="59" t="n">
        <f aca="false">ROUND((Flights!$AE$13)*1440,0)/1440</f>
        <v>46305.7534722222</v>
      </c>
      <c r="R309" s="59" t="n">
        <f aca="false">Q309+(IF(AND(INDEX(TZ_DSTS,MATCH(P309,TZ_STN,0))&lt;&gt;"",Q309&gt;=INDEX(TZ_DSTS,MATCH(P309,TZ_STN,0)),Q309&lt;INDEX(TZ_DSTE,MATCH(P309,TZ_STN,0))),INDEX(TZ_DST,MATCH(P309,TZ_STN,0)),INDEX(TZ_STD,MATCH(P309,TZ_STN,0))))/24</f>
        <v>46306.0451388889</v>
      </c>
      <c r="S309" s="59" t="n">
        <f aca="false">Q309-T12EarlyH/24</f>
        <v>46305.2534722222</v>
      </c>
      <c r="T309" s="60"/>
      <c r="U309" s="60"/>
      <c r="V309" s="60"/>
      <c r="W309" s="61"/>
      <c r="X309" s="60"/>
      <c r="Y309" s="60"/>
      <c r="Z309" s="60"/>
      <c r="AA309" s="60"/>
      <c r="AB309" s="60"/>
      <c r="AC309" s="60"/>
      <c r="AD309" s="66"/>
      <c r="AE309" s="60"/>
      <c r="AF309" s="61" t="str">
        <f aca="false">IF(AND(ISNUMBER(X309),ISNUMBER(Y309)),Y309-X309,"")</f>
        <v/>
      </c>
      <c r="AG309" s="62" t="str">
        <f aca="false">IF(ISNUMBER(AD309),AD309-(IF(AND(INDEX(TZ_DSTS,MATCH(P309,TZ_STN,0))&lt;&gt;"",(AD309-INDEX(TZ_STD,MATCH(P309,TZ_STN,0))/24)&gt;=INDEX(TZ_DSTS,MATCH(P309,TZ_STN,0)),(AD309-INDEX(TZ_STD,MATCH(P309,TZ_STN,0))/24)&lt;INDEX(TZ_DSTE,MATCH(P309,TZ_STN,0))),INDEX(TZ_DST,MATCH(P309,TZ_STN,0)),INDEX(TZ_STD,MATCH(P309,TZ_STN,0))))/24,"")</f>
        <v/>
      </c>
      <c r="AH309" s="65" t="str">
        <f aca="false">IFERROR(IF(N309="N/A – rule","N/A – RULE",IF(TRIM(U309)="N/A",IF(AT309=0,"INVALID – N/A not permitted for this check",IF(AND(TRIM(AB309)&lt;&gt;"",TRIM(AB309)&lt;&gt;"Closed"),"INVALID – corrective action still open",IF(AND(NOT(OR(LEN(AZ309)&lt;15,ISNUMBER(MATCH(AZ309,L_Placeholder,0)))),NOT(OR(LEN(AU309)&lt;2,ISNUMBER(MATCH(AU309,L_Placeholder,0)))),NOT(OR(LEN(AX309)&lt;2,ISNUMBER(MATCH(AX309,L_Placeholder,0)))),TRIM(AE309)&lt;&gt;TRIM(T309)),"N/A – JUSTIFIED","INVALID – N/A needs a real justification (15+ chars), PIC and a different verifier"))),IF(OR(TRIM(U309)="Pass",TRIM(U309)="Pass after CA"),IF(NOT(ISNUMBER(AD309)),"INVALID – completion time missing",IF(OR(LEN(AU309)&lt;2,ISNUMBER(MATCH(AU309,L_Placeholder,0))),"INVALID – PIC missing",IF(OR(LEN(AV309)&lt;2,ISNUMBER(MATCH(AV309,L_Placeholder,0))),"INVALID – result / assessment missing",IF(OR(OR(LEN(AW309)&lt;3,ISNUMBER(MATCH(AW309,L_Placeholder,0))),SUMPRODUCT(--ISNUMBER(SEARCH(L_EvidencePhrase,AW309)))&gt;0),"INVALID – evidence missing, placeholder or not yet on file",IF(OR(LEN(AX309)&lt;2,ISNUMBER(MATCH(AX309,L_Placeholder,0))),"INVALID – verifier missing",IF(AX309=AU309,"INVALID – verifier must be someone other than the PIC",IF(AND(TRIM(U309)="Pass",SUMPRODUCT(--ISNUMBER(SEARCH(L_ResultBad,AV309)))&gt;0),"INVALID – result describes a problem: use Fail, then Pass after CA",IF(AND(AQ309=1,OR(LEN(AY309)&lt;3,ISNUMBER(MATCH(AY309,L_Placeholder,0)))),"INVALID – batch ID missing or placeholder",IF(AND(AR309=1,OR(NOT(ISNUMBER(X309)),NOT(ISNUMBER(Y309)))),"INVALID – expected/actual qty missing",IF(AND(AR309=1,OR(X309&lt;=0,Y309&lt;0)),"INVALID – expected qty must be above 0 and actual not negative",IF(BB309&lt;&gt;"",BB309,IF(AND(AS309=1,Documents!$J$13&lt;&gt;"ON FILE"),"INVALID – GLD not on file (Documents sheet)",IF(AND(AS309=2,Documents!$O$13&lt;&gt;"ON FILE"),"INVALID – menu checklist not on file (Documents sheet)",IF(AND(AS309=3,NOT(ISNUMBER(Flights!$AX$13))),"INVALID – enter carrying flight KUL departure (Flights AX)",IF(AND(AS309=3,OR(Flights!$AZ$13&gt;Flights!$AA$13,Flights!$AX$13&lt;Flights!$AA$13-3)),"INVALID – carrying flight (Flights AX) cannot arrive before this leg's STD, or is over 3 days early",IF(AG309&gt;AsOfUTC,"INVALID – completion time is in the future",IF(AND(ISNUMBER(S309),AG309&lt;S309),IF(H309="Physical uplift","INVALID – before uplift window (cannot confirm loading)","INVALID – before valid window"),IF(AG309&gt;Flights!$AA$13,"INVALID – completed after departure (cannot establish readiness)",IF(AND(H309="Preparation",AG309&gt;IF(ISNUMBER(Flights!$BA$13),MIN(Flights!$BA$13,Flights!$AA$13),Flights!$AA$13)),"INVALID – completed after loading / departure (cannot establish readiness)",IF(AND(H309="Physical uplift",AG309&gt;Q309),"INVALID – recorded after the loading flight departed",IF(AG309&gt;Q309,"COMPLETE – LATE","COMPLETE"))))))))))))))))))))),IF(TRIM(U309)="Fail","FAIL – DISCREPANCY",IF(AND(TRIM(U309)&lt;&gt;"",TRIM(U309)&lt;&gt;"Not started",TRIM(U309)&lt;&gt;"In progress"),"INVALID – unrecognised status (use the list)",IF(AsOfUTC&gt;Q309,"OVERDUE",IF(N309="Clarification required","OPEN – CLARIFICATION","OPEN"))))))),"INVALID – error value in an input cell")</f>
        <v>OPEN</v>
      </c>
      <c r="AI309" s="61" t="n">
        <f aca="false">IF(OR(AH309="N/A – RULE",AH309="N/A – JUSTIFIED"),0,1)</f>
        <v>1</v>
      </c>
      <c r="AJ309" s="61" t="n">
        <f aca="false">IF(LEFT(AH309,8)="COMPLETE",1,0)</f>
        <v>0</v>
      </c>
      <c r="AK309" s="61" t="n">
        <f aca="false">IF(AND(AI309=1,AJ309=0,AsOfUTC&gt;Q309),1,0)</f>
        <v>0</v>
      </c>
      <c r="AL309" s="61" t="n">
        <f aca="false">IFERROR(IF(AND(AI309=1,OR(TRIM(U309)="Fail",AND(TRIM(AB309)&lt;&gt;"",TRIM(AB309)&lt;&gt;"Closed"),AND(ISNUMBER(AF309),AF309&lt;&gt;0,TRIM(U309)&lt;&gt;"Pass after CA"))),1,0),1)</f>
        <v>0</v>
      </c>
      <c r="AM309" s="61" t="n">
        <f aca="false">IF(LEFT(AH309,7)="INVALID",1,0)</f>
        <v>0</v>
      </c>
      <c r="AN309" s="61" t="n">
        <f aca="false">IF(AND(N309="Clarification required",AI309=1,AJ309=0),1,0)</f>
        <v>0</v>
      </c>
      <c r="AO309" s="61" t="str">
        <f aca="false">IF(AK309=1,SUM(AK$5:AK309),"")</f>
        <v/>
      </c>
      <c r="AP309" s="61" t="str">
        <f aca="false">IF(AL309=1,SUM(AL$5:AL309),"")</f>
        <v/>
      </c>
      <c r="AQ309" s="61" t="n">
        <v>0</v>
      </c>
      <c r="AR309" s="61" t="n">
        <v>0</v>
      </c>
      <c r="AS309" s="61" t="n">
        <v>0</v>
      </c>
      <c r="AT309" s="61" t="n">
        <v>0</v>
      </c>
      <c r="AU309" s="61" t="str">
        <f aca="false">SUBSTITUTE(SUBSTITUTE(SUBSTITUTE(SUBSTITUTE(SUBSTITUTE(SUBSTITUTE(SUBSTITUTE(SUBSTITUTE(SUBSTITUTE(SUBSTITUTE(SUBSTITUTE(SUBSTITUTE(SUBSTITUTE(LOWER(T309&amp;""),CHAR(160),"")," ",""),".",""),"-",""),"/",""),"?",""),"_",""),",",""),"[",""),"]",""),"(",""),")",""),"*","")</f>
        <v/>
      </c>
      <c r="AV309" s="61" t="str">
        <f aca="false">SUBSTITUTE(SUBSTITUTE(SUBSTITUTE(SUBSTITUTE(SUBSTITUTE(SUBSTITUTE(SUBSTITUTE(SUBSTITUTE(SUBSTITUTE(SUBSTITUTE(SUBSTITUTE(SUBSTITUTE(SUBSTITUTE(LOWER(V309&amp;""),CHAR(160),"")," ",""),".",""),"-",""),"/",""),"?",""),"_",""),",",""),"[",""),"]",""),"(",""),")",""),"*","")</f>
        <v/>
      </c>
      <c r="AW309" s="61" t="str">
        <f aca="false">SUBSTITUTE(SUBSTITUTE(SUBSTITUTE(SUBSTITUTE(SUBSTITUTE(SUBSTITUTE(SUBSTITUTE(SUBSTITUTE(SUBSTITUTE(SUBSTITUTE(SUBSTITUTE(SUBSTITUTE(SUBSTITUTE(LOWER(Z309&amp;""),CHAR(160),"")," ",""),".",""),"-",""),"/",""),"?",""),"_",""),",",""),"[",""),"]",""),"(",""),")",""),"*","")</f>
        <v/>
      </c>
      <c r="AX309" s="61" t="str">
        <f aca="false">SUBSTITUTE(SUBSTITUTE(SUBSTITUTE(SUBSTITUTE(SUBSTITUTE(SUBSTITUTE(SUBSTITUTE(SUBSTITUTE(SUBSTITUTE(SUBSTITUTE(SUBSTITUTE(SUBSTITUTE(SUBSTITUTE(LOWER(AE309&amp;""),CHAR(160),"")," ",""),".",""),"-",""),"/",""),"?",""),"_",""),",",""),"[",""),"]",""),"(",""),")",""),"*","")</f>
        <v/>
      </c>
      <c r="AY309" s="61" t="str">
        <f aca="false">SUBSTITUTE(SUBSTITUTE(SUBSTITUTE(SUBSTITUTE(SUBSTITUTE(SUBSTITUTE(SUBSTITUTE(SUBSTITUTE(SUBSTITUTE(SUBSTITUTE(SUBSTITUTE(SUBSTITUTE(SUBSTITUTE(LOWER(W309&amp;""),CHAR(160),"")," ",""),".",""),"-",""),"/",""),"?",""),"_",""),",",""),"[",""),"]",""),"(",""),")",""),"*","")</f>
        <v/>
      </c>
      <c r="AZ309" s="61" t="str">
        <f aca="false">SUBSTITUTE(SUBSTITUTE(SUBSTITUTE(SUBSTITUTE(SUBSTITUTE(SUBSTITUTE(SUBSTITUTE(SUBSTITUTE(SUBSTITUTE(SUBSTITUTE(SUBSTITUTE(SUBSTITUTE(SUBSTITUTE(LOWER(AC309&amp;""),CHAR(160),"")," ",""),".",""),"-",""),"/",""),"?",""),"_",""),",",""),"[",""),"]",""),"(",""),")",""),"*","")</f>
        <v/>
      </c>
      <c r="BA309" s="61" t="str">
        <f aca="false">SUBSTITUTE(SUBSTITUTE(SUBSTITUTE(SUBSTITUTE(SUBSTITUTE(SUBSTITUTE(SUBSTITUTE(SUBSTITUTE(SUBSTITUTE(SUBSTITUTE(SUBSTITUTE(SUBSTITUTE(SUBSTITUTE(LOWER(AA309&amp;""),CHAR(160),"")," ",""),".",""),"-",""),"/",""),"?",""),"_",""),",",""),"[",""),"]",""),"(",""),")",""),"*","")</f>
        <v/>
      </c>
      <c r="BB309" s="61" t="str">
        <f aca="false">IF(AND(TRIM(U309)="Pass",ISNUMBER(AF309)),IF(AF309&lt;&gt;0,"INVALID – qty variance: use Fail or Pass after CA",""),"")&amp;IF(AND(TRIM(U309)="Pass after CA",ISNUMBER(AF309)),IF(AF309&lt;&gt;0,"INVALID – after the corrective action the actual qty must equal expected (update Actual)",""),"")&amp;IF(AND(TRIM(U309)="Pass",TRIM(AB309)&lt;&gt;"",TRIM(AB309)&lt;&gt;"Closed"),"INVALID – corrective action not closed: use Fail, then Pass after CA","")&amp;IF(AND(TRIM(AA309)&lt;&gt;"",TRIM(AB309)=""),"INVALID – CA status missing for the recorded corrective action","")&amp;IF(AND(TRIM(U309)="Pass after CA",OR(OR(LEN(BA309)&lt;5,ISNUMBER(MATCH(BA309,L_Placeholder,0))),TRIM(AB309)&lt;&gt;"Closed")),"INVALID – corrective action not recorded/closed","")</f>
        <v/>
      </c>
    </row>
    <row r="310" customFormat="false" ht="39.75" hidden="false" customHeight="true" outlineLevel="0" collapsed="false">
      <c r="A310" s="57" t="s">
        <v>877</v>
      </c>
      <c r="B310" s="57" t="s">
        <v>243</v>
      </c>
      <c r="C310" s="57" t="str">
        <f aca="false">Flights!$F$13</f>
        <v>MH0753</v>
      </c>
      <c r="D310" s="58" t="n">
        <f aca="false">Flights!$D$13</f>
        <v>46306</v>
      </c>
      <c r="E310" s="57" t="str">
        <f aca="false">Flights!$G$13&amp;"-"&amp;Flights!$H$13</f>
        <v>HAN-KUL</v>
      </c>
      <c r="F310" s="57" t="str">
        <f aca="false">Flights!$K$13</f>
        <v>BC</v>
      </c>
      <c r="G310" s="57" t="s">
        <v>437</v>
      </c>
      <c r="H310" s="57" t="s">
        <v>438</v>
      </c>
      <c r="I310" s="57" t="s">
        <v>357</v>
      </c>
      <c r="J310" s="57" t="s">
        <v>439</v>
      </c>
      <c r="K310" s="67" t="s">
        <v>404</v>
      </c>
      <c r="L310" s="67" t="s">
        <v>440</v>
      </c>
      <c r="M310" s="67"/>
      <c r="N310" s="67" t="s">
        <v>361</v>
      </c>
      <c r="O310" s="67" t="s">
        <v>441</v>
      </c>
      <c r="P310" s="57" t="s">
        <v>237</v>
      </c>
      <c r="Q310" s="59" t="n">
        <f aca="false">ROUND((Flights!$AF$13)*1440,0)/1440</f>
        <v>46306.2534722222</v>
      </c>
      <c r="R310" s="59" t="n">
        <f aca="false">Q310+(IF(AND(INDEX(TZ_DSTS,MATCH(P310,TZ_STN,0))&lt;&gt;"",Q310&gt;=INDEX(TZ_DSTS,MATCH(P310,TZ_STN,0)),Q310&lt;INDEX(TZ_DSTE,MATCH(P310,TZ_STN,0))),INDEX(TZ_DST,MATCH(P310,TZ_STN,0)),INDEX(TZ_STD,MATCH(P310,TZ_STN,0))))/24</f>
        <v>46306.5451388889</v>
      </c>
      <c r="S310" s="59" t="n">
        <f aca="false">IF(ISNUMBER(Flights!$AZ$13),MAX(Q310-UpliftWindowH/24,Flights!$AZ$13),Q310-UpliftWindowH/24)</f>
        <v>46306.0034722222</v>
      </c>
      <c r="T310" s="60"/>
      <c r="U310" s="60"/>
      <c r="V310" s="60"/>
      <c r="W310" s="61"/>
      <c r="X310" s="60"/>
      <c r="Y310" s="60"/>
      <c r="Z310" s="60"/>
      <c r="AA310" s="60"/>
      <c r="AB310" s="60"/>
      <c r="AC310" s="60"/>
      <c r="AD310" s="66"/>
      <c r="AE310" s="60"/>
      <c r="AF310" s="61" t="str">
        <f aca="false">IF(AND(ISNUMBER(X310),ISNUMBER(Y310)),Y310-X310,"")</f>
        <v/>
      </c>
      <c r="AG310" s="62" t="str">
        <f aca="false">IF(ISNUMBER(AD310),AD310-(IF(AND(INDEX(TZ_DSTS,MATCH(P310,TZ_STN,0))&lt;&gt;"",(AD310-INDEX(TZ_STD,MATCH(P310,TZ_STN,0))/24)&gt;=INDEX(TZ_DSTS,MATCH(P310,TZ_STN,0)),(AD310-INDEX(TZ_STD,MATCH(P310,TZ_STN,0))/24)&lt;INDEX(TZ_DSTE,MATCH(P310,TZ_STN,0))),INDEX(TZ_DST,MATCH(P310,TZ_STN,0)),INDEX(TZ_STD,MATCH(P310,TZ_STN,0))))/24,"")</f>
        <v/>
      </c>
      <c r="AH310" s="65" t="str">
        <f aca="false">IFERROR(IF(N310="N/A – rule","N/A – RULE",IF(TRIM(U310)="N/A",IF(AT310=0,"INVALID – N/A not permitted for this check",IF(AND(TRIM(AB310)&lt;&gt;"",TRIM(AB310)&lt;&gt;"Closed"),"INVALID – corrective action still open",IF(AND(NOT(OR(LEN(AZ310)&lt;15,ISNUMBER(MATCH(AZ310,L_Placeholder,0)))),NOT(OR(LEN(AU310)&lt;2,ISNUMBER(MATCH(AU310,L_Placeholder,0)))),NOT(OR(LEN(AX310)&lt;2,ISNUMBER(MATCH(AX310,L_Placeholder,0)))),TRIM(AE310)&lt;&gt;TRIM(T310)),"N/A – JUSTIFIED","INVALID – N/A needs a real justification (15+ chars), PIC and a different verifier"))),IF(OR(TRIM(U310)="Pass",TRIM(U310)="Pass after CA"),IF(NOT(ISNUMBER(AD310)),"INVALID – completion time missing",IF(OR(LEN(AU310)&lt;2,ISNUMBER(MATCH(AU310,L_Placeholder,0))),"INVALID – PIC missing",IF(OR(LEN(AV310)&lt;2,ISNUMBER(MATCH(AV310,L_Placeholder,0))),"INVALID – result / assessment missing",IF(OR(OR(LEN(AW310)&lt;3,ISNUMBER(MATCH(AW310,L_Placeholder,0))),SUMPRODUCT(--ISNUMBER(SEARCH(L_EvidencePhrase,AW310)))&gt;0),"INVALID – evidence missing, placeholder or not yet on file",IF(OR(LEN(AX310)&lt;2,ISNUMBER(MATCH(AX310,L_Placeholder,0))),"INVALID – verifier missing",IF(AX310=AU310,"INVALID – verifier must be someone other than the PIC",IF(AND(TRIM(U310)="Pass",SUMPRODUCT(--ISNUMBER(SEARCH(L_ResultBad,AV310)))&gt;0),"INVALID – result describes a problem: use Fail, then Pass after CA",IF(AND(AQ310=1,OR(LEN(AY310)&lt;3,ISNUMBER(MATCH(AY310,L_Placeholder,0)))),"INVALID – batch ID missing or placeholder",IF(AND(AR310=1,OR(NOT(ISNUMBER(X310)),NOT(ISNUMBER(Y310)))),"INVALID – expected/actual qty missing",IF(AND(AR310=1,OR(X310&lt;=0,Y310&lt;0)),"INVALID – expected qty must be above 0 and actual not negative",IF(AH294="N/A – JUSTIFIED","INVALID – preparation row F09-T12-02 is N/A",IF(AND(AR310=1,ISNUMBER(X294),X310&lt;&gt;X294),"INVALID – expected qty differs from preparation check F09-T12-02",IF(BB310&lt;&gt;"",BB310,IF(AND(AS310=1,Documents!$J$13&lt;&gt;"ON FILE"),"INVALID – GLD not on file (Documents sheet)",IF(AND(AS310=2,Documents!$O$13&lt;&gt;"ON FILE"),"INVALID – menu checklist not on file (Documents sheet)",IF(AND(AS310=3,NOT(ISNUMBER(Flights!$AX$13))),"INVALID – enter carrying flight KUL departure (Flights AX)",IF(AND(AS310=3,OR(Flights!$AZ$13&gt;Flights!$AA$13,Flights!$AX$13&lt;Flights!$AA$13-3)),"INVALID – carrying flight (Flights AX) cannot arrive before this leg's STD, or is over 3 days early",IF(AG310&gt;AsOfUTC,"INVALID – completion time is in the future",IF(AND(ISNUMBER(S310),AG310&lt;S310),IF(H310="Physical uplift","INVALID – before uplift window (cannot confirm loading)","INVALID – before valid window"),IF(AG310&gt;Flights!$AA$13,"INVALID – completed after departure (cannot establish readiness)",IF(AND(H310="Preparation",AG310&gt;IF(ISNUMBER(Flights!$BA$13),MIN(Flights!$BA$13,Flights!$AA$13),Flights!$AA$13)),"INVALID – completed after loading / departure (cannot establish readiness)",IF(AND(H310="Physical uplift",AG310&gt;Q310),"INVALID – recorded after the loading flight departed",IF(AG310&gt;Q310,"COMPLETE – LATE","COMPLETE"))))))))))))))))))))))),IF(TRIM(U310)="Fail","FAIL – DISCREPANCY",IF(AND(TRIM(U310)&lt;&gt;"",TRIM(U310)&lt;&gt;"Not started",TRIM(U310)&lt;&gt;"In progress"),"INVALID – unrecognised status (use the list)",IF(AsOfUTC&gt;Q310,"OVERDUE",IF(N310="Clarification required","OPEN – CLARIFICATION","OPEN"))))))),"INVALID – error value in an input cell")</f>
        <v>OPEN</v>
      </c>
      <c r="AI310" s="61" t="n">
        <f aca="false">IF(OR(AH310="N/A – RULE",AH310="N/A – JUSTIFIED"),0,1)</f>
        <v>1</v>
      </c>
      <c r="AJ310" s="61" t="n">
        <f aca="false">IF(LEFT(AH310,8)="COMPLETE",1,0)</f>
        <v>0</v>
      </c>
      <c r="AK310" s="61" t="n">
        <f aca="false">IF(AND(AI310=1,AJ310=0,AsOfUTC&gt;Q310),1,0)</f>
        <v>0</v>
      </c>
      <c r="AL310" s="61" t="n">
        <f aca="false">IFERROR(IF(AND(AI310=1,OR(TRIM(U310)="Fail",AND(TRIM(AB310)&lt;&gt;"",TRIM(AB310)&lt;&gt;"Closed"),AND(ISNUMBER(AF310),AF310&lt;&gt;0,TRIM(U310)&lt;&gt;"Pass after CA"))),1,0),1)</f>
        <v>0</v>
      </c>
      <c r="AM310" s="61" t="n">
        <f aca="false">IF(LEFT(AH310,7)="INVALID",1,0)</f>
        <v>0</v>
      </c>
      <c r="AN310" s="61" t="n">
        <f aca="false">IF(AND(N310="Clarification required",AI310=1,AJ310=0),1,0)</f>
        <v>0</v>
      </c>
      <c r="AO310" s="61" t="str">
        <f aca="false">IF(AK310=1,SUM(AK$5:AK310),"")</f>
        <v/>
      </c>
      <c r="AP310" s="61" t="str">
        <f aca="false">IF(AL310=1,SUM(AL$5:AL310),"")</f>
        <v/>
      </c>
      <c r="AQ310" s="61" t="n">
        <v>0</v>
      </c>
      <c r="AR310" s="61" t="n">
        <v>1</v>
      </c>
      <c r="AS310" s="61" t="n">
        <v>0</v>
      </c>
      <c r="AT310" s="61" t="n">
        <v>0</v>
      </c>
      <c r="AU310" s="61" t="str">
        <f aca="false">SUBSTITUTE(SUBSTITUTE(SUBSTITUTE(SUBSTITUTE(SUBSTITUTE(SUBSTITUTE(SUBSTITUTE(SUBSTITUTE(SUBSTITUTE(SUBSTITUTE(SUBSTITUTE(SUBSTITUTE(SUBSTITUTE(LOWER(T310&amp;""),CHAR(160),"")," ",""),".",""),"-",""),"/",""),"?",""),"_",""),",",""),"[",""),"]",""),"(",""),")",""),"*","")</f>
        <v/>
      </c>
      <c r="AV310" s="61" t="str">
        <f aca="false">SUBSTITUTE(SUBSTITUTE(SUBSTITUTE(SUBSTITUTE(SUBSTITUTE(SUBSTITUTE(SUBSTITUTE(SUBSTITUTE(SUBSTITUTE(SUBSTITUTE(SUBSTITUTE(SUBSTITUTE(SUBSTITUTE(LOWER(V310&amp;""),CHAR(160),"")," ",""),".",""),"-",""),"/",""),"?",""),"_",""),",",""),"[",""),"]",""),"(",""),")",""),"*","")</f>
        <v/>
      </c>
      <c r="AW310" s="61" t="str">
        <f aca="false">SUBSTITUTE(SUBSTITUTE(SUBSTITUTE(SUBSTITUTE(SUBSTITUTE(SUBSTITUTE(SUBSTITUTE(SUBSTITUTE(SUBSTITUTE(SUBSTITUTE(SUBSTITUTE(SUBSTITUTE(SUBSTITUTE(LOWER(Z310&amp;""),CHAR(160),"")," ",""),".",""),"-",""),"/",""),"?",""),"_",""),",",""),"[",""),"]",""),"(",""),")",""),"*","")</f>
        <v/>
      </c>
      <c r="AX310" s="61" t="str">
        <f aca="false">SUBSTITUTE(SUBSTITUTE(SUBSTITUTE(SUBSTITUTE(SUBSTITUTE(SUBSTITUTE(SUBSTITUTE(SUBSTITUTE(SUBSTITUTE(SUBSTITUTE(SUBSTITUTE(SUBSTITUTE(SUBSTITUTE(LOWER(AE310&amp;""),CHAR(160),"")," ",""),".",""),"-",""),"/",""),"?",""),"_",""),",",""),"[",""),"]",""),"(",""),")",""),"*","")</f>
        <v/>
      </c>
      <c r="AY310" s="61" t="str">
        <f aca="false">SUBSTITUTE(SUBSTITUTE(SUBSTITUTE(SUBSTITUTE(SUBSTITUTE(SUBSTITUTE(SUBSTITUTE(SUBSTITUTE(SUBSTITUTE(SUBSTITUTE(SUBSTITUTE(SUBSTITUTE(SUBSTITUTE(LOWER(W310&amp;""),CHAR(160),"")," ",""),".",""),"-",""),"/",""),"?",""),"_",""),",",""),"[",""),"]",""),"(",""),")",""),"*","")</f>
        <v/>
      </c>
      <c r="AZ310" s="61" t="str">
        <f aca="false">SUBSTITUTE(SUBSTITUTE(SUBSTITUTE(SUBSTITUTE(SUBSTITUTE(SUBSTITUTE(SUBSTITUTE(SUBSTITUTE(SUBSTITUTE(SUBSTITUTE(SUBSTITUTE(SUBSTITUTE(SUBSTITUTE(LOWER(AC310&amp;""),CHAR(160),"")," ",""),".",""),"-",""),"/",""),"?",""),"_",""),",",""),"[",""),"]",""),"(",""),")",""),"*","")</f>
        <v/>
      </c>
      <c r="BA310" s="61" t="str">
        <f aca="false">SUBSTITUTE(SUBSTITUTE(SUBSTITUTE(SUBSTITUTE(SUBSTITUTE(SUBSTITUTE(SUBSTITUTE(SUBSTITUTE(SUBSTITUTE(SUBSTITUTE(SUBSTITUTE(SUBSTITUTE(SUBSTITUTE(LOWER(AA310&amp;""),CHAR(160),"")," ",""),".",""),"-",""),"/",""),"?",""),"_",""),",",""),"[",""),"]",""),"(",""),")",""),"*","")</f>
        <v/>
      </c>
      <c r="BB310" s="61" t="str">
        <f aca="false">IF(AND(TRIM(U310)="Pass",ISNUMBER(AF310)),IF(AF310&lt;&gt;0,"INVALID – qty variance: use Fail or Pass after CA",""),"")&amp;IF(AND(TRIM(U310)="Pass after CA",ISNUMBER(AF310)),IF(AF310&lt;&gt;0,"INVALID – after the corrective action the actual qty must equal expected (update Actual)",""),"")&amp;IF(AND(TRIM(U310)="Pass",TRIM(AB310)&lt;&gt;"",TRIM(AB310)&lt;&gt;"Closed"),"INVALID – corrective action not closed: use Fail, then Pass after CA","")&amp;IF(AND(TRIM(AA310)&lt;&gt;"",TRIM(AB310)=""),"INVALID – CA status missing for the recorded corrective action","")&amp;IF(AND(TRIM(U310)="Pass after CA",OR(OR(LEN(BA310)&lt;5,ISNUMBER(MATCH(BA310,L_Placeholder,0))),TRIM(AB310)&lt;&gt;"Closed")),"INVALID – corrective action not recorded/closed","")</f>
        <v/>
      </c>
    </row>
    <row r="311" customFormat="false" ht="39.75" hidden="false" customHeight="true" outlineLevel="0" collapsed="false">
      <c r="A311" s="57" t="s">
        <v>878</v>
      </c>
      <c r="B311" s="57" t="s">
        <v>243</v>
      </c>
      <c r="C311" s="57" t="str">
        <f aca="false">Flights!$F$13</f>
        <v>MH0753</v>
      </c>
      <c r="D311" s="58" t="n">
        <f aca="false">Flights!$D$13</f>
        <v>46306</v>
      </c>
      <c r="E311" s="57" t="str">
        <f aca="false">Flights!$G$13&amp;"-"&amp;Flights!$H$13</f>
        <v>HAN-KUL</v>
      </c>
      <c r="F311" s="57" t="str">
        <f aca="false">Flights!$K$13</f>
        <v>BC</v>
      </c>
      <c r="G311" s="57" t="s">
        <v>437</v>
      </c>
      <c r="H311" s="57" t="s">
        <v>438</v>
      </c>
      <c r="I311" s="57" t="s">
        <v>406</v>
      </c>
      <c r="J311" s="57" t="s">
        <v>443</v>
      </c>
      <c r="K311" s="67" t="s">
        <v>404</v>
      </c>
      <c r="L311" s="67" t="s">
        <v>440</v>
      </c>
      <c r="M311" s="67"/>
      <c r="N311" s="67" t="s">
        <v>361</v>
      </c>
      <c r="O311" s="67" t="s">
        <v>441</v>
      </c>
      <c r="P311" s="57" t="s">
        <v>237</v>
      </c>
      <c r="Q311" s="59" t="n">
        <f aca="false">ROUND((Flights!$AF$13)*1440,0)/1440</f>
        <v>46306.2534722222</v>
      </c>
      <c r="R311" s="59" t="n">
        <f aca="false">Q311+(IF(AND(INDEX(TZ_DSTS,MATCH(P311,TZ_STN,0))&lt;&gt;"",Q311&gt;=INDEX(TZ_DSTS,MATCH(P311,TZ_STN,0)),Q311&lt;INDEX(TZ_DSTE,MATCH(P311,TZ_STN,0))),INDEX(TZ_DST,MATCH(P311,TZ_STN,0)),INDEX(TZ_STD,MATCH(P311,TZ_STN,0))))/24</f>
        <v>46306.5451388889</v>
      </c>
      <c r="S311" s="59" t="n">
        <f aca="false">IF(ISNUMBER(Flights!$AZ$13),MAX(Q311-UpliftWindowH/24,Flights!$AZ$13),Q311-UpliftWindowH/24)</f>
        <v>46306.0034722222</v>
      </c>
      <c r="T311" s="60"/>
      <c r="U311" s="60"/>
      <c r="V311" s="60"/>
      <c r="W311" s="61"/>
      <c r="X311" s="60"/>
      <c r="Y311" s="60"/>
      <c r="Z311" s="60"/>
      <c r="AA311" s="60"/>
      <c r="AB311" s="60"/>
      <c r="AC311" s="60"/>
      <c r="AD311" s="66"/>
      <c r="AE311" s="60"/>
      <c r="AF311" s="61" t="str">
        <f aca="false">IF(AND(ISNUMBER(X311),ISNUMBER(Y311)),Y311-X311,"")</f>
        <v/>
      </c>
      <c r="AG311" s="62" t="str">
        <f aca="false">IF(ISNUMBER(AD311),AD311-(IF(AND(INDEX(TZ_DSTS,MATCH(P311,TZ_STN,0))&lt;&gt;"",(AD311-INDEX(TZ_STD,MATCH(P311,TZ_STN,0))/24)&gt;=INDEX(TZ_DSTS,MATCH(P311,TZ_STN,0)),(AD311-INDEX(TZ_STD,MATCH(P311,TZ_STN,0))/24)&lt;INDEX(TZ_DSTE,MATCH(P311,TZ_STN,0))),INDEX(TZ_DST,MATCH(P311,TZ_STN,0)),INDEX(TZ_STD,MATCH(P311,TZ_STN,0))))/24,"")</f>
        <v/>
      </c>
      <c r="AH311" s="65" t="str">
        <f aca="false">IFERROR(IF(N311="N/A – rule","N/A – RULE",IF(TRIM(U311)="N/A",IF(AT311=0,"INVALID – N/A not permitted for this check",IF(AND(TRIM(AB311)&lt;&gt;"",TRIM(AB311)&lt;&gt;"Closed"),"INVALID – corrective action still open",IF(AND(NOT(OR(LEN(AZ311)&lt;15,ISNUMBER(MATCH(AZ311,L_Placeholder,0)))),NOT(OR(LEN(AU311)&lt;2,ISNUMBER(MATCH(AU311,L_Placeholder,0)))),NOT(OR(LEN(AX311)&lt;2,ISNUMBER(MATCH(AX311,L_Placeholder,0)))),TRIM(AE311)&lt;&gt;TRIM(T311)),"N/A – JUSTIFIED","INVALID – N/A needs a real justification (15+ chars), PIC and a different verifier"))),IF(OR(TRIM(U311)="Pass",TRIM(U311)="Pass after CA"),IF(NOT(ISNUMBER(AD311)),"INVALID – completion time missing",IF(OR(LEN(AU311)&lt;2,ISNUMBER(MATCH(AU311,L_Placeholder,0))),"INVALID – PIC missing",IF(OR(LEN(AV311)&lt;2,ISNUMBER(MATCH(AV311,L_Placeholder,0))),"INVALID – result / assessment missing",IF(OR(OR(LEN(AW311)&lt;3,ISNUMBER(MATCH(AW311,L_Placeholder,0))),SUMPRODUCT(--ISNUMBER(SEARCH(L_EvidencePhrase,AW311)))&gt;0),"INVALID – evidence missing, placeholder or not yet on file",IF(OR(LEN(AX311)&lt;2,ISNUMBER(MATCH(AX311,L_Placeholder,0))),"INVALID – verifier missing",IF(AX311=AU311,"INVALID – verifier must be someone other than the PIC",IF(AND(TRIM(U311)="Pass",SUMPRODUCT(--ISNUMBER(SEARCH(L_ResultBad,AV311)))&gt;0),"INVALID – result describes a problem: use Fail, then Pass after CA",IF(AND(AQ311=1,OR(LEN(AY311)&lt;3,ISNUMBER(MATCH(AY311,L_Placeholder,0)))),"INVALID – batch ID missing or placeholder",IF(AND(AR311=1,OR(NOT(ISNUMBER(X311)),NOT(ISNUMBER(Y311)))),"INVALID – expected/actual qty missing",IF(AND(AR311=1,OR(X311&lt;=0,Y311&lt;0)),"INVALID – expected qty must be above 0 and actual not negative",IF(AH298="N/A – JUSTIFIED","INVALID – preparation row F09-T12-06 is N/A",IF(AND(AR311=1,ISNUMBER(X298),X311&lt;&gt;X298),"INVALID – expected qty differs from preparation check F09-T12-06",IF(BB311&lt;&gt;"",BB311,IF(AND(AS311=1,Documents!$J$13&lt;&gt;"ON FILE"),"INVALID – GLD not on file (Documents sheet)",IF(AND(AS311=2,Documents!$O$13&lt;&gt;"ON FILE"),"INVALID – menu checklist not on file (Documents sheet)",IF(AND(AS311=3,NOT(ISNUMBER(Flights!$AX$13))),"INVALID – enter carrying flight KUL departure (Flights AX)",IF(AND(AS311=3,OR(Flights!$AZ$13&gt;Flights!$AA$13,Flights!$AX$13&lt;Flights!$AA$13-3)),"INVALID – carrying flight (Flights AX) cannot arrive before this leg's STD, or is over 3 days early",IF(AG311&gt;AsOfUTC,"INVALID – completion time is in the future",IF(AND(ISNUMBER(S311),AG311&lt;S311),IF(H311="Physical uplift","INVALID – before uplift window (cannot confirm loading)","INVALID – before valid window"),IF(AG311&gt;Flights!$AA$13,"INVALID – completed after departure (cannot establish readiness)",IF(AND(H311="Preparation",AG311&gt;IF(ISNUMBER(Flights!$BA$13),MIN(Flights!$BA$13,Flights!$AA$13),Flights!$AA$13)),"INVALID – completed after loading / departure (cannot establish readiness)",IF(AND(H311="Physical uplift",AG311&gt;Q311),"INVALID – recorded after the loading flight departed",IF(AG311&gt;Q311,"COMPLETE – LATE","COMPLETE"))))))))))))))))))))))),IF(TRIM(U311)="Fail","FAIL – DISCREPANCY",IF(AND(TRIM(U311)&lt;&gt;"",TRIM(U311)&lt;&gt;"Not started",TRIM(U311)&lt;&gt;"In progress"),"INVALID – unrecognised status (use the list)",IF(AsOfUTC&gt;Q311,"OVERDUE",IF(N311="Clarification required","OPEN – CLARIFICATION","OPEN"))))))),"INVALID – error value in an input cell")</f>
        <v>OPEN</v>
      </c>
      <c r="AI311" s="61" t="n">
        <f aca="false">IF(OR(AH311="N/A – RULE",AH311="N/A – JUSTIFIED"),0,1)</f>
        <v>1</v>
      </c>
      <c r="AJ311" s="61" t="n">
        <f aca="false">IF(LEFT(AH311,8)="COMPLETE",1,0)</f>
        <v>0</v>
      </c>
      <c r="AK311" s="61" t="n">
        <f aca="false">IF(AND(AI311=1,AJ311=0,AsOfUTC&gt;Q311),1,0)</f>
        <v>0</v>
      </c>
      <c r="AL311" s="61" t="n">
        <f aca="false">IFERROR(IF(AND(AI311=1,OR(TRIM(U311)="Fail",AND(TRIM(AB311)&lt;&gt;"",TRIM(AB311)&lt;&gt;"Closed"),AND(ISNUMBER(AF311),AF311&lt;&gt;0,TRIM(U311)&lt;&gt;"Pass after CA"))),1,0),1)</f>
        <v>0</v>
      </c>
      <c r="AM311" s="61" t="n">
        <f aca="false">IF(LEFT(AH311,7)="INVALID",1,0)</f>
        <v>0</v>
      </c>
      <c r="AN311" s="61" t="n">
        <f aca="false">IF(AND(N311="Clarification required",AI311=1,AJ311=0),1,0)</f>
        <v>0</v>
      </c>
      <c r="AO311" s="61" t="str">
        <f aca="false">IF(AK311=1,SUM(AK$5:AK311),"")</f>
        <v/>
      </c>
      <c r="AP311" s="61" t="str">
        <f aca="false">IF(AL311=1,SUM(AL$5:AL311),"")</f>
        <v/>
      </c>
      <c r="AQ311" s="61" t="n">
        <v>0</v>
      </c>
      <c r="AR311" s="61" t="n">
        <v>1</v>
      </c>
      <c r="AS311" s="61" t="n">
        <v>0</v>
      </c>
      <c r="AT311" s="61" t="n">
        <v>0</v>
      </c>
      <c r="AU311" s="61" t="str">
        <f aca="false">SUBSTITUTE(SUBSTITUTE(SUBSTITUTE(SUBSTITUTE(SUBSTITUTE(SUBSTITUTE(SUBSTITUTE(SUBSTITUTE(SUBSTITUTE(SUBSTITUTE(SUBSTITUTE(SUBSTITUTE(SUBSTITUTE(LOWER(T311&amp;""),CHAR(160),"")," ",""),".",""),"-",""),"/",""),"?",""),"_",""),",",""),"[",""),"]",""),"(",""),")",""),"*","")</f>
        <v/>
      </c>
      <c r="AV311" s="61" t="str">
        <f aca="false">SUBSTITUTE(SUBSTITUTE(SUBSTITUTE(SUBSTITUTE(SUBSTITUTE(SUBSTITUTE(SUBSTITUTE(SUBSTITUTE(SUBSTITUTE(SUBSTITUTE(SUBSTITUTE(SUBSTITUTE(SUBSTITUTE(LOWER(V311&amp;""),CHAR(160),"")," ",""),".",""),"-",""),"/",""),"?",""),"_",""),",",""),"[",""),"]",""),"(",""),")",""),"*","")</f>
        <v/>
      </c>
      <c r="AW311" s="61" t="str">
        <f aca="false">SUBSTITUTE(SUBSTITUTE(SUBSTITUTE(SUBSTITUTE(SUBSTITUTE(SUBSTITUTE(SUBSTITUTE(SUBSTITUTE(SUBSTITUTE(SUBSTITUTE(SUBSTITUTE(SUBSTITUTE(SUBSTITUTE(LOWER(Z311&amp;""),CHAR(160),"")," ",""),".",""),"-",""),"/",""),"?",""),"_",""),",",""),"[",""),"]",""),"(",""),")",""),"*","")</f>
        <v/>
      </c>
      <c r="AX311" s="61" t="str">
        <f aca="false">SUBSTITUTE(SUBSTITUTE(SUBSTITUTE(SUBSTITUTE(SUBSTITUTE(SUBSTITUTE(SUBSTITUTE(SUBSTITUTE(SUBSTITUTE(SUBSTITUTE(SUBSTITUTE(SUBSTITUTE(SUBSTITUTE(LOWER(AE311&amp;""),CHAR(160),"")," ",""),".",""),"-",""),"/",""),"?",""),"_",""),",",""),"[",""),"]",""),"(",""),")",""),"*","")</f>
        <v/>
      </c>
      <c r="AY311" s="61" t="str">
        <f aca="false">SUBSTITUTE(SUBSTITUTE(SUBSTITUTE(SUBSTITUTE(SUBSTITUTE(SUBSTITUTE(SUBSTITUTE(SUBSTITUTE(SUBSTITUTE(SUBSTITUTE(SUBSTITUTE(SUBSTITUTE(SUBSTITUTE(LOWER(W311&amp;""),CHAR(160),"")," ",""),".",""),"-",""),"/",""),"?",""),"_",""),",",""),"[",""),"]",""),"(",""),")",""),"*","")</f>
        <v/>
      </c>
      <c r="AZ311" s="61" t="str">
        <f aca="false">SUBSTITUTE(SUBSTITUTE(SUBSTITUTE(SUBSTITUTE(SUBSTITUTE(SUBSTITUTE(SUBSTITUTE(SUBSTITUTE(SUBSTITUTE(SUBSTITUTE(SUBSTITUTE(SUBSTITUTE(SUBSTITUTE(LOWER(AC311&amp;""),CHAR(160),"")," ",""),".",""),"-",""),"/",""),"?",""),"_",""),",",""),"[",""),"]",""),"(",""),")",""),"*","")</f>
        <v/>
      </c>
      <c r="BA311" s="61" t="str">
        <f aca="false">SUBSTITUTE(SUBSTITUTE(SUBSTITUTE(SUBSTITUTE(SUBSTITUTE(SUBSTITUTE(SUBSTITUTE(SUBSTITUTE(SUBSTITUTE(SUBSTITUTE(SUBSTITUTE(SUBSTITUTE(SUBSTITUTE(LOWER(AA311&amp;""),CHAR(160),"")," ",""),".",""),"-",""),"/",""),"?",""),"_",""),",",""),"[",""),"]",""),"(",""),")",""),"*","")</f>
        <v/>
      </c>
      <c r="BB311" s="61" t="str">
        <f aca="false">IF(AND(TRIM(U311)="Pass",ISNUMBER(AF311)),IF(AF311&lt;&gt;0,"INVALID – qty variance: use Fail or Pass after CA",""),"")&amp;IF(AND(TRIM(U311)="Pass after CA",ISNUMBER(AF311)),IF(AF311&lt;&gt;0,"INVALID – after the corrective action the actual qty must equal expected (update Actual)",""),"")&amp;IF(AND(TRIM(U311)="Pass",TRIM(AB311)&lt;&gt;"",TRIM(AB311)&lt;&gt;"Closed"),"INVALID – corrective action not closed: use Fail, then Pass after CA","")&amp;IF(AND(TRIM(AA311)&lt;&gt;"",TRIM(AB311)=""),"INVALID – CA status missing for the recorded corrective action","")&amp;IF(AND(TRIM(U311)="Pass after CA",OR(OR(LEN(BA311)&lt;5,ISNUMBER(MATCH(BA311,L_Placeholder,0))),TRIM(AB311)&lt;&gt;"Closed")),"INVALID – corrective action not recorded/closed","")</f>
        <v/>
      </c>
    </row>
    <row r="312" customFormat="false" ht="41.25" hidden="false" customHeight="true" outlineLevel="0" collapsed="false">
      <c r="A312" s="57" t="s">
        <v>879</v>
      </c>
      <c r="B312" s="57" t="s">
        <v>243</v>
      </c>
      <c r="C312" s="57" t="str">
        <f aca="false">Flights!$F$13</f>
        <v>MH0753</v>
      </c>
      <c r="D312" s="58" t="n">
        <f aca="false">Flights!$D$13</f>
        <v>46306</v>
      </c>
      <c r="E312" s="57" t="str">
        <f aca="false">Flights!$G$13&amp;"-"&amp;Flights!$H$13</f>
        <v>HAN-KUL</v>
      </c>
      <c r="F312" s="57" t="str">
        <f aca="false">Flights!$K$13</f>
        <v>BC</v>
      </c>
      <c r="G312" s="57" t="s">
        <v>437</v>
      </c>
      <c r="H312" s="57" t="s">
        <v>438</v>
      </c>
      <c r="I312" s="57" t="s">
        <v>418</v>
      </c>
      <c r="J312" s="57" t="s">
        <v>512</v>
      </c>
      <c r="K312" s="67" t="s">
        <v>473</v>
      </c>
      <c r="L312" s="67" t="s">
        <v>854</v>
      </c>
      <c r="M312" s="67" t="s">
        <v>429</v>
      </c>
      <c r="N312" s="67" t="s">
        <v>361</v>
      </c>
      <c r="O312" s="67" t="s">
        <v>513</v>
      </c>
      <c r="P312" s="57" t="s">
        <v>237</v>
      </c>
      <c r="Q312" s="59" t="n">
        <f aca="false">ROUND((Flights!$AF$13)*1440,0)/1440</f>
        <v>46306.2534722222</v>
      </c>
      <c r="R312" s="59" t="n">
        <f aca="false">Q312+(IF(AND(INDEX(TZ_DSTS,MATCH(P312,TZ_STN,0))&lt;&gt;"",Q312&gt;=INDEX(TZ_DSTS,MATCH(P312,TZ_STN,0)),Q312&lt;INDEX(TZ_DSTE,MATCH(P312,TZ_STN,0))),INDEX(TZ_DST,MATCH(P312,TZ_STN,0)),INDEX(TZ_STD,MATCH(P312,TZ_STN,0))))/24</f>
        <v>46306.5451388889</v>
      </c>
      <c r="S312" s="59" t="n">
        <f aca="false">IF(ISNUMBER(Flights!$AZ$13),MAX(Q312-UpliftWindowH/24,Flights!$AZ$13),Q312-UpliftWindowH/24)</f>
        <v>46306.0034722222</v>
      </c>
      <c r="T312" s="60"/>
      <c r="U312" s="60"/>
      <c r="V312" s="60"/>
      <c r="W312" s="61"/>
      <c r="X312" s="60"/>
      <c r="Y312" s="60"/>
      <c r="Z312" s="60"/>
      <c r="AA312" s="60"/>
      <c r="AB312" s="60"/>
      <c r="AC312" s="60"/>
      <c r="AD312" s="66"/>
      <c r="AE312" s="60"/>
      <c r="AF312" s="61" t="str">
        <f aca="false">IF(AND(ISNUMBER(X312),ISNUMBER(Y312)),Y312-X312,"")</f>
        <v/>
      </c>
      <c r="AG312" s="62" t="str">
        <f aca="false">IF(ISNUMBER(AD312),AD312-(IF(AND(INDEX(TZ_DSTS,MATCH(P312,TZ_STN,0))&lt;&gt;"",(AD312-INDEX(TZ_STD,MATCH(P312,TZ_STN,0))/24)&gt;=INDEX(TZ_DSTS,MATCH(P312,TZ_STN,0)),(AD312-INDEX(TZ_STD,MATCH(P312,TZ_STN,0))/24)&lt;INDEX(TZ_DSTE,MATCH(P312,TZ_STN,0))),INDEX(TZ_DST,MATCH(P312,TZ_STN,0)),INDEX(TZ_STD,MATCH(P312,TZ_STN,0))))/24,"")</f>
        <v/>
      </c>
      <c r="AH312" s="65" t="str">
        <f aca="false">IFERROR(IF(N312="N/A – rule","N/A – RULE",IF(TRIM(U312)="N/A",IF(AT312=0,"INVALID – N/A not permitted for this check",IF(AND(TRIM(AB312)&lt;&gt;"",TRIM(AB312)&lt;&gt;"Closed"),"INVALID – corrective action still open",IF(AND(NOT(OR(LEN(AZ312)&lt;15,ISNUMBER(MATCH(AZ312,L_Placeholder,0)))),NOT(OR(LEN(AU312)&lt;2,ISNUMBER(MATCH(AU312,L_Placeholder,0)))),NOT(OR(LEN(AX312)&lt;2,ISNUMBER(MATCH(AX312,L_Placeholder,0)))),TRIM(AE312)&lt;&gt;TRIM(T312)),"N/A – JUSTIFIED","INVALID – N/A needs a real justification (15+ chars), PIC and a different verifier"))),IF(OR(TRIM(U312)="Pass",TRIM(U312)="Pass after CA"),IF(NOT(ISNUMBER(AD312)),"INVALID – completion time missing",IF(OR(LEN(AU312)&lt;2,ISNUMBER(MATCH(AU312,L_Placeholder,0))),"INVALID – PIC missing",IF(OR(LEN(AV312)&lt;2,ISNUMBER(MATCH(AV312,L_Placeholder,0))),"INVALID – result / assessment missing",IF(OR(OR(LEN(AW312)&lt;3,ISNUMBER(MATCH(AW312,L_Placeholder,0))),SUMPRODUCT(--ISNUMBER(SEARCH(L_EvidencePhrase,AW312)))&gt;0),"INVALID – evidence missing, placeholder or not yet on file",IF(OR(LEN(AX312)&lt;2,ISNUMBER(MATCH(AX312,L_Placeholder,0))),"INVALID – verifier missing",IF(AX312=AU312,"INVALID – verifier must be someone other than the PIC",IF(AND(TRIM(U312)="Pass",SUMPRODUCT(--ISNUMBER(SEARCH(L_ResultBad,AV312)))&gt;0),"INVALID – result describes a problem: use Fail, then Pass after CA",IF(AND(AQ312=1,OR(LEN(AY312)&lt;3,ISNUMBER(MATCH(AY312,L_Placeholder,0)))),"INVALID – batch ID missing or placeholder",IF(AND(AR312=1,OR(NOT(ISNUMBER(X312)),NOT(ISNUMBER(Y312)))),"INVALID – expected/actual qty missing",IF(AND(AR312=1,OR(X312&lt;=0,Y312&lt;0)),"INVALID – expected qty must be above 0 and actual not negative",IF(AH300="N/A – JUSTIFIED","INVALID – preparation row F09-T12-08 is N/A",IF(AND(AR312=1,ISNUMBER(X300),X312&lt;&gt;X300),"INVALID – expected qty differs from preparation check F09-T12-08",IF(BB312&lt;&gt;"",BB312,IF(AND(AS312=1,Documents!$J$13&lt;&gt;"ON FILE"),"INVALID – GLD not on file (Documents sheet)",IF(AND(AS312=2,Documents!$O$13&lt;&gt;"ON FILE"),"INVALID – menu checklist not on file (Documents sheet)",IF(AND(AS312=3,NOT(ISNUMBER(Flights!$AX$13))),"INVALID – enter carrying flight KUL departure (Flights AX)",IF(AND(AS312=3,OR(Flights!$AZ$13&gt;Flights!$AA$13,Flights!$AX$13&lt;Flights!$AA$13-3)),"INVALID – carrying flight (Flights AX) cannot arrive before this leg's STD, or is over 3 days early",IF(AG312&gt;AsOfUTC,"INVALID – completion time is in the future",IF(AND(ISNUMBER(S312),AG312&lt;S312),IF(H312="Physical uplift","INVALID – before uplift window (cannot confirm loading)","INVALID – before valid window"),IF(AG312&gt;Flights!$AA$13,"INVALID – completed after departure (cannot establish readiness)",IF(AND(H312="Preparation",AG312&gt;IF(ISNUMBER(Flights!$BA$13),MIN(Flights!$BA$13,Flights!$AA$13),Flights!$AA$13)),"INVALID – completed after loading / departure (cannot establish readiness)",IF(AND(H312="Physical uplift",AG312&gt;Q312),"INVALID – recorded after the loading flight departed",IF(AG312&gt;Q312,"COMPLETE – LATE","COMPLETE"))))))))))))))))))))))),IF(TRIM(U312)="Fail","FAIL – DISCREPANCY",IF(AND(TRIM(U312)&lt;&gt;"",TRIM(U312)&lt;&gt;"Not started",TRIM(U312)&lt;&gt;"In progress"),"INVALID – unrecognised status (use the list)",IF(AsOfUTC&gt;Q312,"OVERDUE",IF(N312="Clarification required","OPEN – CLARIFICATION","OPEN"))))))),"INVALID – error value in an input cell")</f>
        <v>OPEN</v>
      </c>
      <c r="AI312" s="61" t="n">
        <f aca="false">IF(OR(AH312="N/A – RULE",AH312="N/A – JUSTIFIED"),0,1)</f>
        <v>1</v>
      </c>
      <c r="AJ312" s="61" t="n">
        <f aca="false">IF(LEFT(AH312,8)="COMPLETE",1,0)</f>
        <v>0</v>
      </c>
      <c r="AK312" s="61" t="n">
        <f aca="false">IF(AND(AI312=1,AJ312=0,AsOfUTC&gt;Q312),1,0)</f>
        <v>0</v>
      </c>
      <c r="AL312" s="61" t="n">
        <f aca="false">IFERROR(IF(AND(AI312=1,OR(TRIM(U312)="Fail",AND(TRIM(AB312)&lt;&gt;"",TRIM(AB312)&lt;&gt;"Closed"),AND(ISNUMBER(AF312),AF312&lt;&gt;0,TRIM(U312)&lt;&gt;"Pass after CA"))),1,0),1)</f>
        <v>0</v>
      </c>
      <c r="AM312" s="61" t="n">
        <f aca="false">IF(LEFT(AH312,7)="INVALID",1,0)</f>
        <v>0</v>
      </c>
      <c r="AN312" s="61" t="n">
        <f aca="false">IF(AND(N312="Clarification required",AI312=1,AJ312=0),1,0)</f>
        <v>0</v>
      </c>
      <c r="AO312" s="61" t="str">
        <f aca="false">IF(AK312=1,SUM(AK$5:AK312),"")</f>
        <v/>
      </c>
      <c r="AP312" s="61" t="str">
        <f aca="false">IF(AL312=1,SUM(AL$5:AL312),"")</f>
        <v/>
      </c>
      <c r="AQ312" s="61" t="n">
        <v>0</v>
      </c>
      <c r="AR312" s="61" t="n">
        <v>0</v>
      </c>
      <c r="AS312" s="61" t="n">
        <v>0</v>
      </c>
      <c r="AT312" s="61" t="n">
        <v>0</v>
      </c>
      <c r="AU312" s="61" t="str">
        <f aca="false">SUBSTITUTE(SUBSTITUTE(SUBSTITUTE(SUBSTITUTE(SUBSTITUTE(SUBSTITUTE(SUBSTITUTE(SUBSTITUTE(SUBSTITUTE(SUBSTITUTE(SUBSTITUTE(SUBSTITUTE(SUBSTITUTE(LOWER(T312&amp;""),CHAR(160),"")," ",""),".",""),"-",""),"/",""),"?",""),"_",""),",",""),"[",""),"]",""),"(",""),")",""),"*","")</f>
        <v/>
      </c>
      <c r="AV312" s="61" t="str">
        <f aca="false">SUBSTITUTE(SUBSTITUTE(SUBSTITUTE(SUBSTITUTE(SUBSTITUTE(SUBSTITUTE(SUBSTITUTE(SUBSTITUTE(SUBSTITUTE(SUBSTITUTE(SUBSTITUTE(SUBSTITUTE(SUBSTITUTE(LOWER(V312&amp;""),CHAR(160),"")," ",""),".",""),"-",""),"/",""),"?",""),"_",""),",",""),"[",""),"]",""),"(",""),")",""),"*","")</f>
        <v/>
      </c>
      <c r="AW312" s="61" t="str">
        <f aca="false">SUBSTITUTE(SUBSTITUTE(SUBSTITUTE(SUBSTITUTE(SUBSTITUTE(SUBSTITUTE(SUBSTITUTE(SUBSTITUTE(SUBSTITUTE(SUBSTITUTE(SUBSTITUTE(SUBSTITUTE(SUBSTITUTE(LOWER(Z312&amp;""),CHAR(160),"")," ",""),".",""),"-",""),"/",""),"?",""),"_",""),",",""),"[",""),"]",""),"(",""),")",""),"*","")</f>
        <v/>
      </c>
      <c r="AX312" s="61" t="str">
        <f aca="false">SUBSTITUTE(SUBSTITUTE(SUBSTITUTE(SUBSTITUTE(SUBSTITUTE(SUBSTITUTE(SUBSTITUTE(SUBSTITUTE(SUBSTITUTE(SUBSTITUTE(SUBSTITUTE(SUBSTITUTE(SUBSTITUTE(LOWER(AE312&amp;""),CHAR(160),"")," ",""),".",""),"-",""),"/",""),"?",""),"_",""),",",""),"[",""),"]",""),"(",""),")",""),"*","")</f>
        <v/>
      </c>
      <c r="AY312" s="61" t="str">
        <f aca="false">SUBSTITUTE(SUBSTITUTE(SUBSTITUTE(SUBSTITUTE(SUBSTITUTE(SUBSTITUTE(SUBSTITUTE(SUBSTITUTE(SUBSTITUTE(SUBSTITUTE(SUBSTITUTE(SUBSTITUTE(SUBSTITUTE(LOWER(W312&amp;""),CHAR(160),"")," ",""),".",""),"-",""),"/",""),"?",""),"_",""),",",""),"[",""),"]",""),"(",""),")",""),"*","")</f>
        <v/>
      </c>
      <c r="AZ312" s="61" t="str">
        <f aca="false">SUBSTITUTE(SUBSTITUTE(SUBSTITUTE(SUBSTITUTE(SUBSTITUTE(SUBSTITUTE(SUBSTITUTE(SUBSTITUTE(SUBSTITUTE(SUBSTITUTE(SUBSTITUTE(SUBSTITUTE(SUBSTITUTE(LOWER(AC312&amp;""),CHAR(160),"")," ",""),".",""),"-",""),"/",""),"?",""),"_",""),",",""),"[",""),"]",""),"(",""),")",""),"*","")</f>
        <v/>
      </c>
      <c r="BA312" s="61" t="str">
        <f aca="false">SUBSTITUTE(SUBSTITUTE(SUBSTITUTE(SUBSTITUTE(SUBSTITUTE(SUBSTITUTE(SUBSTITUTE(SUBSTITUTE(SUBSTITUTE(SUBSTITUTE(SUBSTITUTE(SUBSTITUTE(SUBSTITUTE(LOWER(AA312&amp;""),CHAR(160),"")," ",""),".",""),"-",""),"/",""),"?",""),"_",""),",",""),"[",""),"]",""),"(",""),")",""),"*","")</f>
        <v/>
      </c>
      <c r="BB312" s="61" t="str">
        <f aca="false">IF(AND(TRIM(U312)="Pass",ISNUMBER(AF312)),IF(AF312&lt;&gt;0,"INVALID – qty variance: use Fail or Pass after CA",""),"")&amp;IF(AND(TRIM(U312)="Pass after CA",ISNUMBER(AF312)),IF(AF312&lt;&gt;0,"INVALID – after the corrective action the actual qty must equal expected (update Actual)",""),"")&amp;IF(AND(TRIM(U312)="Pass",TRIM(AB312)&lt;&gt;"",TRIM(AB312)&lt;&gt;"Closed"),"INVALID – corrective action not closed: use Fail, then Pass after CA","")&amp;IF(AND(TRIM(AA312)&lt;&gt;"",TRIM(AB312)=""),"INVALID – CA status missing for the recorded corrective action","")&amp;IF(AND(TRIM(U312)="Pass after CA",OR(OR(LEN(BA312)&lt;5,ISNUMBER(MATCH(BA312,L_Placeholder,0))),TRIM(AB312)&lt;&gt;"Closed")),"INVALID – corrective action not recorded/closed","")</f>
        <v/>
      </c>
    </row>
    <row r="313" customFormat="false" ht="39.75" hidden="false" customHeight="true" outlineLevel="0" collapsed="false">
      <c r="A313" s="57" t="s">
        <v>880</v>
      </c>
      <c r="B313" s="57" t="s">
        <v>243</v>
      </c>
      <c r="C313" s="57" t="str">
        <f aca="false">Flights!$F$13</f>
        <v>MH0753</v>
      </c>
      <c r="D313" s="58" t="n">
        <f aca="false">Flights!$D$13</f>
        <v>46306</v>
      </c>
      <c r="E313" s="57" t="str">
        <f aca="false">Flights!$G$13&amp;"-"&amp;Flights!$H$13</f>
        <v>HAN-KUL</v>
      </c>
      <c r="F313" s="57" t="str">
        <f aca="false">Flights!$K$13</f>
        <v>BC</v>
      </c>
      <c r="G313" s="57" t="s">
        <v>437</v>
      </c>
      <c r="H313" s="57" t="s">
        <v>438</v>
      </c>
      <c r="I313" s="57" t="s">
        <v>477</v>
      </c>
      <c r="J313" s="57" t="s">
        <v>515</v>
      </c>
      <c r="K313" s="67" t="s">
        <v>479</v>
      </c>
      <c r="L313" s="67" t="s">
        <v>857</v>
      </c>
      <c r="M313" s="67" t="s">
        <v>429</v>
      </c>
      <c r="N313" s="67" t="s">
        <v>361</v>
      </c>
      <c r="O313" s="67"/>
      <c r="P313" s="57" t="s">
        <v>237</v>
      </c>
      <c r="Q313" s="59" t="n">
        <f aca="false">ROUND((Flights!$AF$13)*1440,0)/1440</f>
        <v>46306.2534722222</v>
      </c>
      <c r="R313" s="59" t="n">
        <f aca="false">Q313+(IF(AND(INDEX(TZ_DSTS,MATCH(P313,TZ_STN,0))&lt;&gt;"",Q313&gt;=INDEX(TZ_DSTS,MATCH(P313,TZ_STN,0)),Q313&lt;INDEX(TZ_DSTE,MATCH(P313,TZ_STN,0))),INDEX(TZ_DST,MATCH(P313,TZ_STN,0)),INDEX(TZ_STD,MATCH(P313,TZ_STN,0))))/24</f>
        <v>46306.5451388889</v>
      </c>
      <c r="S313" s="59" t="n">
        <f aca="false">IF(ISNUMBER(Flights!$AZ$13),MAX(Q313-UpliftWindowH/24,Flights!$AZ$13),Q313-UpliftWindowH/24)</f>
        <v>46306.0034722222</v>
      </c>
      <c r="T313" s="60"/>
      <c r="U313" s="60"/>
      <c r="V313" s="60"/>
      <c r="W313" s="61"/>
      <c r="X313" s="60"/>
      <c r="Y313" s="60"/>
      <c r="Z313" s="60"/>
      <c r="AA313" s="60"/>
      <c r="AB313" s="60"/>
      <c r="AC313" s="60"/>
      <c r="AD313" s="66"/>
      <c r="AE313" s="60"/>
      <c r="AF313" s="61" t="str">
        <f aca="false">IF(AND(ISNUMBER(X313),ISNUMBER(Y313)),Y313-X313,"")</f>
        <v/>
      </c>
      <c r="AG313" s="62" t="str">
        <f aca="false">IF(ISNUMBER(AD313),AD313-(IF(AND(INDEX(TZ_DSTS,MATCH(P313,TZ_STN,0))&lt;&gt;"",(AD313-INDEX(TZ_STD,MATCH(P313,TZ_STN,0))/24)&gt;=INDEX(TZ_DSTS,MATCH(P313,TZ_STN,0)),(AD313-INDEX(TZ_STD,MATCH(P313,TZ_STN,0))/24)&lt;INDEX(TZ_DSTE,MATCH(P313,TZ_STN,0))),INDEX(TZ_DST,MATCH(P313,TZ_STN,0)),INDEX(TZ_STD,MATCH(P313,TZ_STN,0))))/24,"")</f>
        <v/>
      </c>
      <c r="AH313" s="65" t="str">
        <f aca="false">IFERROR(IF(N313="N/A – rule","N/A – RULE",IF(TRIM(U313)="N/A",IF(AT313=0,"INVALID – N/A not permitted for this check",IF(AND(TRIM(AB313)&lt;&gt;"",TRIM(AB313)&lt;&gt;"Closed"),"INVALID – corrective action still open",IF(AND(NOT(OR(LEN(AZ313)&lt;15,ISNUMBER(MATCH(AZ313,L_Placeholder,0)))),NOT(OR(LEN(AU313)&lt;2,ISNUMBER(MATCH(AU313,L_Placeholder,0)))),NOT(OR(LEN(AX313)&lt;2,ISNUMBER(MATCH(AX313,L_Placeholder,0)))),TRIM(AE313)&lt;&gt;TRIM(T313)),"N/A – JUSTIFIED","INVALID – N/A needs a real justification (15+ chars), PIC and a different verifier"))),IF(OR(TRIM(U313)="Pass",TRIM(U313)="Pass after CA"),IF(NOT(ISNUMBER(AD313)),"INVALID – completion time missing",IF(OR(LEN(AU313)&lt;2,ISNUMBER(MATCH(AU313,L_Placeholder,0))),"INVALID – PIC missing",IF(OR(LEN(AV313)&lt;2,ISNUMBER(MATCH(AV313,L_Placeholder,0))),"INVALID – result / assessment missing",IF(OR(OR(LEN(AW313)&lt;3,ISNUMBER(MATCH(AW313,L_Placeholder,0))),SUMPRODUCT(--ISNUMBER(SEARCH(L_EvidencePhrase,AW313)))&gt;0),"INVALID – evidence missing, placeholder or not yet on file",IF(OR(LEN(AX313)&lt;2,ISNUMBER(MATCH(AX313,L_Placeholder,0))),"INVALID – verifier missing",IF(AX313=AU313,"INVALID – verifier must be someone other than the PIC",IF(AND(TRIM(U313)="Pass",SUMPRODUCT(--ISNUMBER(SEARCH(L_ResultBad,AV313)))&gt;0),"INVALID – result describes a problem: use Fail, then Pass after CA",IF(AND(AQ313=1,OR(LEN(AY313)&lt;3,ISNUMBER(MATCH(AY313,L_Placeholder,0)))),"INVALID – batch ID missing or placeholder",IF(AND(AR313=1,OR(NOT(ISNUMBER(X313)),NOT(ISNUMBER(Y313)))),"INVALID – expected/actual qty missing",IF(AND(AR313=1,OR(X313&lt;=0,Y313&lt;0)),"INVALID – expected qty must be above 0 and actual not negative",IF(AH301="N/A – JUSTIFIED","INVALID – preparation row F09-T12-09 is N/A",IF(AND(AR313=1,ISNUMBER(X301),X313&lt;&gt;X301),"INVALID – expected qty differs from preparation check F09-T12-09",IF(BB313&lt;&gt;"",BB313,IF(AND(AS313=1,Documents!$J$13&lt;&gt;"ON FILE"),"INVALID – GLD not on file (Documents sheet)",IF(AND(AS313=2,Documents!$O$13&lt;&gt;"ON FILE"),"INVALID – menu checklist not on file (Documents sheet)",IF(AND(AS313=3,NOT(ISNUMBER(Flights!$AX$13))),"INVALID – enter carrying flight KUL departure (Flights AX)",IF(AND(AS313=3,OR(Flights!$AZ$13&gt;Flights!$AA$13,Flights!$AX$13&lt;Flights!$AA$13-3)),"INVALID – carrying flight (Flights AX) cannot arrive before this leg's STD, or is over 3 days early",IF(AG313&gt;AsOfUTC,"INVALID – completion time is in the future",IF(AND(ISNUMBER(S313),AG313&lt;S313),IF(H313="Physical uplift","INVALID – before uplift window (cannot confirm loading)","INVALID – before valid window"),IF(AG313&gt;Flights!$AA$13,"INVALID – completed after departure (cannot establish readiness)",IF(AND(H313="Preparation",AG313&gt;IF(ISNUMBER(Flights!$BA$13),MIN(Flights!$BA$13,Flights!$AA$13),Flights!$AA$13)),"INVALID – completed after loading / departure (cannot establish readiness)",IF(AND(H313="Physical uplift",AG313&gt;Q313),"INVALID – recorded after the loading flight departed",IF(AG313&gt;Q313,"COMPLETE – LATE","COMPLETE"))))))))))))))))))))))),IF(TRIM(U313)="Fail","FAIL – DISCREPANCY",IF(AND(TRIM(U313)&lt;&gt;"",TRIM(U313)&lt;&gt;"Not started",TRIM(U313)&lt;&gt;"In progress"),"INVALID – unrecognised status (use the list)",IF(AsOfUTC&gt;Q313,"OVERDUE",IF(N313="Clarification required","OPEN – CLARIFICATION","OPEN"))))))),"INVALID – error value in an input cell")</f>
        <v>OPEN</v>
      </c>
      <c r="AI313" s="61" t="n">
        <f aca="false">IF(OR(AH313="N/A – RULE",AH313="N/A – JUSTIFIED"),0,1)</f>
        <v>1</v>
      </c>
      <c r="AJ313" s="61" t="n">
        <f aca="false">IF(LEFT(AH313,8)="COMPLETE",1,0)</f>
        <v>0</v>
      </c>
      <c r="AK313" s="61" t="n">
        <f aca="false">IF(AND(AI313=1,AJ313=0,AsOfUTC&gt;Q313),1,0)</f>
        <v>0</v>
      </c>
      <c r="AL313" s="61" t="n">
        <f aca="false">IFERROR(IF(AND(AI313=1,OR(TRIM(U313)="Fail",AND(TRIM(AB313)&lt;&gt;"",TRIM(AB313)&lt;&gt;"Closed"),AND(ISNUMBER(AF313),AF313&lt;&gt;0,TRIM(U313)&lt;&gt;"Pass after CA"))),1,0),1)</f>
        <v>0</v>
      </c>
      <c r="AM313" s="61" t="n">
        <f aca="false">IF(LEFT(AH313,7)="INVALID",1,0)</f>
        <v>0</v>
      </c>
      <c r="AN313" s="61" t="n">
        <f aca="false">IF(AND(N313="Clarification required",AI313=1,AJ313=0),1,0)</f>
        <v>0</v>
      </c>
      <c r="AO313" s="61" t="str">
        <f aca="false">IF(AK313=1,SUM(AK$5:AK313),"")</f>
        <v/>
      </c>
      <c r="AP313" s="61" t="str">
        <f aca="false">IF(AL313=1,SUM(AL$5:AL313),"")</f>
        <v/>
      </c>
      <c r="AQ313" s="61" t="n">
        <v>0</v>
      </c>
      <c r="AR313" s="61" t="n">
        <v>0</v>
      </c>
      <c r="AS313" s="61" t="n">
        <v>0</v>
      </c>
      <c r="AT313" s="61" t="n">
        <v>0</v>
      </c>
      <c r="AU313" s="61" t="str">
        <f aca="false">SUBSTITUTE(SUBSTITUTE(SUBSTITUTE(SUBSTITUTE(SUBSTITUTE(SUBSTITUTE(SUBSTITUTE(SUBSTITUTE(SUBSTITUTE(SUBSTITUTE(SUBSTITUTE(SUBSTITUTE(SUBSTITUTE(LOWER(T313&amp;""),CHAR(160),"")," ",""),".",""),"-",""),"/",""),"?",""),"_",""),",",""),"[",""),"]",""),"(",""),")",""),"*","")</f>
        <v/>
      </c>
      <c r="AV313" s="61" t="str">
        <f aca="false">SUBSTITUTE(SUBSTITUTE(SUBSTITUTE(SUBSTITUTE(SUBSTITUTE(SUBSTITUTE(SUBSTITUTE(SUBSTITUTE(SUBSTITUTE(SUBSTITUTE(SUBSTITUTE(SUBSTITUTE(SUBSTITUTE(LOWER(V313&amp;""),CHAR(160),"")," ",""),".",""),"-",""),"/",""),"?",""),"_",""),",",""),"[",""),"]",""),"(",""),")",""),"*","")</f>
        <v/>
      </c>
      <c r="AW313" s="61" t="str">
        <f aca="false">SUBSTITUTE(SUBSTITUTE(SUBSTITUTE(SUBSTITUTE(SUBSTITUTE(SUBSTITUTE(SUBSTITUTE(SUBSTITUTE(SUBSTITUTE(SUBSTITUTE(SUBSTITUTE(SUBSTITUTE(SUBSTITUTE(LOWER(Z313&amp;""),CHAR(160),"")," ",""),".",""),"-",""),"/",""),"?",""),"_",""),",",""),"[",""),"]",""),"(",""),")",""),"*","")</f>
        <v/>
      </c>
      <c r="AX313" s="61" t="str">
        <f aca="false">SUBSTITUTE(SUBSTITUTE(SUBSTITUTE(SUBSTITUTE(SUBSTITUTE(SUBSTITUTE(SUBSTITUTE(SUBSTITUTE(SUBSTITUTE(SUBSTITUTE(SUBSTITUTE(SUBSTITUTE(SUBSTITUTE(LOWER(AE313&amp;""),CHAR(160),"")," ",""),".",""),"-",""),"/",""),"?",""),"_",""),",",""),"[",""),"]",""),"(",""),")",""),"*","")</f>
        <v/>
      </c>
      <c r="AY313" s="61" t="str">
        <f aca="false">SUBSTITUTE(SUBSTITUTE(SUBSTITUTE(SUBSTITUTE(SUBSTITUTE(SUBSTITUTE(SUBSTITUTE(SUBSTITUTE(SUBSTITUTE(SUBSTITUTE(SUBSTITUTE(SUBSTITUTE(SUBSTITUTE(LOWER(W313&amp;""),CHAR(160),"")," ",""),".",""),"-",""),"/",""),"?",""),"_",""),",",""),"[",""),"]",""),"(",""),")",""),"*","")</f>
        <v/>
      </c>
      <c r="AZ313" s="61" t="str">
        <f aca="false">SUBSTITUTE(SUBSTITUTE(SUBSTITUTE(SUBSTITUTE(SUBSTITUTE(SUBSTITUTE(SUBSTITUTE(SUBSTITUTE(SUBSTITUTE(SUBSTITUTE(SUBSTITUTE(SUBSTITUTE(SUBSTITUTE(LOWER(AC313&amp;""),CHAR(160),"")," ",""),".",""),"-",""),"/",""),"?",""),"_",""),",",""),"[",""),"]",""),"(",""),")",""),"*","")</f>
        <v/>
      </c>
      <c r="BA313" s="61" t="str">
        <f aca="false">SUBSTITUTE(SUBSTITUTE(SUBSTITUTE(SUBSTITUTE(SUBSTITUTE(SUBSTITUTE(SUBSTITUTE(SUBSTITUTE(SUBSTITUTE(SUBSTITUTE(SUBSTITUTE(SUBSTITUTE(SUBSTITUTE(LOWER(AA313&amp;""),CHAR(160),"")," ",""),".",""),"-",""),"/",""),"?",""),"_",""),",",""),"[",""),"]",""),"(",""),")",""),"*","")</f>
        <v/>
      </c>
      <c r="BB313" s="61" t="str">
        <f aca="false">IF(AND(TRIM(U313)="Pass",ISNUMBER(AF313)),IF(AF313&lt;&gt;0,"INVALID – qty variance: use Fail or Pass after CA",""),"")&amp;IF(AND(TRIM(U313)="Pass after CA",ISNUMBER(AF313)),IF(AF313&lt;&gt;0,"INVALID – after the corrective action the actual qty must equal expected (update Actual)",""),"")&amp;IF(AND(TRIM(U313)="Pass",TRIM(AB313)&lt;&gt;"",TRIM(AB313)&lt;&gt;"Closed"),"INVALID – corrective action not closed: use Fail, then Pass after CA","")&amp;IF(AND(TRIM(AA313)&lt;&gt;"",TRIM(AB313)=""),"INVALID – CA status missing for the recorded corrective action","")&amp;IF(AND(TRIM(U313)="Pass after CA",OR(OR(LEN(BA313)&lt;5,ISNUMBER(MATCH(BA313,L_Placeholder,0))),TRIM(AB313)&lt;&gt;"Closed")),"INVALID – corrective action not recorded/closed","")</f>
        <v/>
      </c>
    </row>
    <row r="314" customFormat="false" ht="39.75" hidden="false" customHeight="true" outlineLevel="0" collapsed="false">
      <c r="A314" s="57" t="s">
        <v>881</v>
      </c>
      <c r="B314" s="57" t="s">
        <v>243</v>
      </c>
      <c r="C314" s="57" t="str">
        <f aca="false">Flights!$F$13</f>
        <v>MH0753</v>
      </c>
      <c r="D314" s="58" t="n">
        <f aca="false">Flights!$D$13</f>
        <v>46306</v>
      </c>
      <c r="E314" s="57" t="str">
        <f aca="false">Flights!$G$13&amp;"-"&amp;Flights!$H$13</f>
        <v>HAN-KUL</v>
      </c>
      <c r="F314" s="57" t="str">
        <f aca="false">Flights!$K$13</f>
        <v>BC</v>
      </c>
      <c r="G314" s="57" t="s">
        <v>437</v>
      </c>
      <c r="H314" s="57" t="s">
        <v>438</v>
      </c>
      <c r="I314" s="57" t="s">
        <v>477</v>
      </c>
      <c r="J314" s="57" t="s">
        <v>517</v>
      </c>
      <c r="K314" s="67" t="s">
        <v>479</v>
      </c>
      <c r="L314" s="67" t="s">
        <v>860</v>
      </c>
      <c r="M314" s="67" t="s">
        <v>429</v>
      </c>
      <c r="N314" s="67" t="s">
        <v>361</v>
      </c>
      <c r="O314" s="67"/>
      <c r="P314" s="57" t="s">
        <v>237</v>
      </c>
      <c r="Q314" s="59" t="n">
        <f aca="false">ROUND((Flights!$AF$13)*1440,0)/1440</f>
        <v>46306.2534722222</v>
      </c>
      <c r="R314" s="59" t="n">
        <f aca="false">Q314+(IF(AND(INDEX(TZ_DSTS,MATCH(P314,TZ_STN,0))&lt;&gt;"",Q314&gt;=INDEX(TZ_DSTS,MATCH(P314,TZ_STN,0)),Q314&lt;INDEX(TZ_DSTE,MATCH(P314,TZ_STN,0))),INDEX(TZ_DST,MATCH(P314,TZ_STN,0)),INDEX(TZ_STD,MATCH(P314,TZ_STN,0))))/24</f>
        <v>46306.5451388889</v>
      </c>
      <c r="S314" s="59" t="n">
        <f aca="false">IF(ISNUMBER(Flights!$AZ$13),MAX(Q314-UpliftWindowH/24,Flights!$AZ$13),Q314-UpliftWindowH/24)</f>
        <v>46306.0034722222</v>
      </c>
      <c r="T314" s="60"/>
      <c r="U314" s="60"/>
      <c r="V314" s="60"/>
      <c r="W314" s="61"/>
      <c r="X314" s="60"/>
      <c r="Y314" s="60"/>
      <c r="Z314" s="60"/>
      <c r="AA314" s="60"/>
      <c r="AB314" s="60"/>
      <c r="AC314" s="60"/>
      <c r="AD314" s="66"/>
      <c r="AE314" s="60"/>
      <c r="AF314" s="61" t="str">
        <f aca="false">IF(AND(ISNUMBER(X314),ISNUMBER(Y314)),Y314-X314,"")</f>
        <v/>
      </c>
      <c r="AG314" s="62" t="str">
        <f aca="false">IF(ISNUMBER(AD314),AD314-(IF(AND(INDEX(TZ_DSTS,MATCH(P314,TZ_STN,0))&lt;&gt;"",(AD314-INDEX(TZ_STD,MATCH(P314,TZ_STN,0))/24)&gt;=INDEX(TZ_DSTS,MATCH(P314,TZ_STN,0)),(AD314-INDEX(TZ_STD,MATCH(P314,TZ_STN,0))/24)&lt;INDEX(TZ_DSTE,MATCH(P314,TZ_STN,0))),INDEX(TZ_DST,MATCH(P314,TZ_STN,0)),INDEX(TZ_STD,MATCH(P314,TZ_STN,0))))/24,"")</f>
        <v/>
      </c>
      <c r="AH314" s="65" t="str">
        <f aca="false">IFERROR(IF(N314="N/A – rule","N/A – RULE",IF(TRIM(U314)="N/A",IF(AT314=0,"INVALID – N/A not permitted for this check",IF(AND(TRIM(AB314)&lt;&gt;"",TRIM(AB314)&lt;&gt;"Closed"),"INVALID – corrective action still open",IF(AND(NOT(OR(LEN(AZ314)&lt;15,ISNUMBER(MATCH(AZ314,L_Placeholder,0)))),NOT(OR(LEN(AU314)&lt;2,ISNUMBER(MATCH(AU314,L_Placeholder,0)))),NOT(OR(LEN(AX314)&lt;2,ISNUMBER(MATCH(AX314,L_Placeholder,0)))),TRIM(AE314)&lt;&gt;TRIM(T314)),"N/A – JUSTIFIED","INVALID – N/A needs a real justification (15+ chars), PIC and a different verifier"))),IF(OR(TRIM(U314)="Pass",TRIM(U314)="Pass after CA"),IF(NOT(ISNUMBER(AD314)),"INVALID – completion time missing",IF(OR(LEN(AU314)&lt;2,ISNUMBER(MATCH(AU314,L_Placeholder,0))),"INVALID – PIC missing",IF(OR(LEN(AV314)&lt;2,ISNUMBER(MATCH(AV314,L_Placeholder,0))),"INVALID – result / assessment missing",IF(OR(OR(LEN(AW314)&lt;3,ISNUMBER(MATCH(AW314,L_Placeholder,0))),SUMPRODUCT(--ISNUMBER(SEARCH(L_EvidencePhrase,AW314)))&gt;0),"INVALID – evidence missing, placeholder or not yet on file",IF(OR(LEN(AX314)&lt;2,ISNUMBER(MATCH(AX314,L_Placeholder,0))),"INVALID – verifier missing",IF(AX314=AU314,"INVALID – verifier must be someone other than the PIC",IF(AND(TRIM(U314)="Pass",SUMPRODUCT(--ISNUMBER(SEARCH(L_ResultBad,AV314)))&gt;0),"INVALID – result describes a problem: use Fail, then Pass after CA",IF(AND(AQ314=1,OR(LEN(AY314)&lt;3,ISNUMBER(MATCH(AY314,L_Placeholder,0)))),"INVALID – batch ID missing or placeholder",IF(AND(AR314=1,OR(NOT(ISNUMBER(X314)),NOT(ISNUMBER(Y314)))),"INVALID – expected/actual qty missing",IF(AND(AR314=1,OR(X314&lt;=0,Y314&lt;0)),"INVALID – expected qty must be above 0 and actual not negative",IF(AH302="N/A – JUSTIFIED","INVALID – preparation row F09-T12-10 is N/A",IF(AND(AR314=1,ISNUMBER(X302),X314&lt;&gt;X302),"INVALID – expected qty differs from preparation check F09-T12-10",IF(BB314&lt;&gt;"",BB314,IF(AND(AS314=1,Documents!$J$13&lt;&gt;"ON FILE"),"INVALID – GLD not on file (Documents sheet)",IF(AND(AS314=2,Documents!$O$13&lt;&gt;"ON FILE"),"INVALID – menu checklist not on file (Documents sheet)",IF(AND(AS314=3,NOT(ISNUMBER(Flights!$AX$13))),"INVALID – enter carrying flight KUL departure (Flights AX)",IF(AND(AS314=3,OR(Flights!$AZ$13&gt;Flights!$AA$13,Flights!$AX$13&lt;Flights!$AA$13-3)),"INVALID – carrying flight (Flights AX) cannot arrive before this leg's STD, or is over 3 days early",IF(AG314&gt;AsOfUTC,"INVALID – completion time is in the future",IF(AND(ISNUMBER(S314),AG314&lt;S314),IF(H314="Physical uplift","INVALID – before uplift window (cannot confirm loading)","INVALID – before valid window"),IF(AG314&gt;Flights!$AA$13,"INVALID – completed after departure (cannot establish readiness)",IF(AND(H314="Preparation",AG314&gt;IF(ISNUMBER(Flights!$BA$13),MIN(Flights!$BA$13,Flights!$AA$13),Flights!$AA$13)),"INVALID – completed after loading / departure (cannot establish readiness)",IF(AND(H314="Physical uplift",AG314&gt;Q314),"INVALID – recorded after the loading flight departed",IF(AG314&gt;Q314,"COMPLETE – LATE","COMPLETE"))))))))))))))))))))))),IF(TRIM(U314)="Fail","FAIL – DISCREPANCY",IF(AND(TRIM(U314)&lt;&gt;"",TRIM(U314)&lt;&gt;"Not started",TRIM(U314)&lt;&gt;"In progress"),"INVALID – unrecognised status (use the list)",IF(AsOfUTC&gt;Q314,"OVERDUE",IF(N314="Clarification required","OPEN – CLARIFICATION","OPEN"))))))),"INVALID – error value in an input cell")</f>
        <v>OPEN</v>
      </c>
      <c r="AI314" s="61" t="n">
        <f aca="false">IF(OR(AH314="N/A – RULE",AH314="N/A – JUSTIFIED"),0,1)</f>
        <v>1</v>
      </c>
      <c r="AJ314" s="61" t="n">
        <f aca="false">IF(LEFT(AH314,8)="COMPLETE",1,0)</f>
        <v>0</v>
      </c>
      <c r="AK314" s="61" t="n">
        <f aca="false">IF(AND(AI314=1,AJ314=0,AsOfUTC&gt;Q314),1,0)</f>
        <v>0</v>
      </c>
      <c r="AL314" s="61" t="n">
        <f aca="false">IFERROR(IF(AND(AI314=1,OR(TRIM(U314)="Fail",AND(TRIM(AB314)&lt;&gt;"",TRIM(AB314)&lt;&gt;"Closed"),AND(ISNUMBER(AF314),AF314&lt;&gt;0,TRIM(U314)&lt;&gt;"Pass after CA"))),1,0),1)</f>
        <v>0</v>
      </c>
      <c r="AM314" s="61" t="n">
        <f aca="false">IF(LEFT(AH314,7)="INVALID",1,0)</f>
        <v>0</v>
      </c>
      <c r="AN314" s="61" t="n">
        <f aca="false">IF(AND(N314="Clarification required",AI314=1,AJ314=0),1,0)</f>
        <v>0</v>
      </c>
      <c r="AO314" s="61" t="str">
        <f aca="false">IF(AK314=1,SUM(AK$5:AK314),"")</f>
        <v/>
      </c>
      <c r="AP314" s="61" t="str">
        <f aca="false">IF(AL314=1,SUM(AL$5:AL314),"")</f>
        <v/>
      </c>
      <c r="AQ314" s="61" t="n">
        <v>0</v>
      </c>
      <c r="AR314" s="61" t="n">
        <v>0</v>
      </c>
      <c r="AS314" s="61" t="n">
        <v>0</v>
      </c>
      <c r="AT314" s="61" t="n">
        <v>0</v>
      </c>
      <c r="AU314" s="61" t="str">
        <f aca="false">SUBSTITUTE(SUBSTITUTE(SUBSTITUTE(SUBSTITUTE(SUBSTITUTE(SUBSTITUTE(SUBSTITUTE(SUBSTITUTE(SUBSTITUTE(SUBSTITUTE(SUBSTITUTE(SUBSTITUTE(SUBSTITUTE(LOWER(T314&amp;""),CHAR(160),"")," ",""),".",""),"-",""),"/",""),"?",""),"_",""),",",""),"[",""),"]",""),"(",""),")",""),"*","")</f>
        <v/>
      </c>
      <c r="AV314" s="61" t="str">
        <f aca="false">SUBSTITUTE(SUBSTITUTE(SUBSTITUTE(SUBSTITUTE(SUBSTITUTE(SUBSTITUTE(SUBSTITUTE(SUBSTITUTE(SUBSTITUTE(SUBSTITUTE(SUBSTITUTE(SUBSTITUTE(SUBSTITUTE(LOWER(V314&amp;""),CHAR(160),"")," ",""),".",""),"-",""),"/",""),"?",""),"_",""),",",""),"[",""),"]",""),"(",""),")",""),"*","")</f>
        <v/>
      </c>
      <c r="AW314" s="61" t="str">
        <f aca="false">SUBSTITUTE(SUBSTITUTE(SUBSTITUTE(SUBSTITUTE(SUBSTITUTE(SUBSTITUTE(SUBSTITUTE(SUBSTITUTE(SUBSTITUTE(SUBSTITUTE(SUBSTITUTE(SUBSTITUTE(SUBSTITUTE(LOWER(Z314&amp;""),CHAR(160),"")," ",""),".",""),"-",""),"/",""),"?",""),"_",""),",",""),"[",""),"]",""),"(",""),")",""),"*","")</f>
        <v/>
      </c>
      <c r="AX314" s="61" t="str">
        <f aca="false">SUBSTITUTE(SUBSTITUTE(SUBSTITUTE(SUBSTITUTE(SUBSTITUTE(SUBSTITUTE(SUBSTITUTE(SUBSTITUTE(SUBSTITUTE(SUBSTITUTE(SUBSTITUTE(SUBSTITUTE(SUBSTITUTE(LOWER(AE314&amp;""),CHAR(160),"")," ",""),".",""),"-",""),"/",""),"?",""),"_",""),",",""),"[",""),"]",""),"(",""),")",""),"*","")</f>
        <v/>
      </c>
      <c r="AY314" s="61" t="str">
        <f aca="false">SUBSTITUTE(SUBSTITUTE(SUBSTITUTE(SUBSTITUTE(SUBSTITUTE(SUBSTITUTE(SUBSTITUTE(SUBSTITUTE(SUBSTITUTE(SUBSTITUTE(SUBSTITUTE(SUBSTITUTE(SUBSTITUTE(LOWER(W314&amp;""),CHAR(160),"")," ",""),".",""),"-",""),"/",""),"?",""),"_",""),",",""),"[",""),"]",""),"(",""),")",""),"*","")</f>
        <v/>
      </c>
      <c r="AZ314" s="61" t="str">
        <f aca="false">SUBSTITUTE(SUBSTITUTE(SUBSTITUTE(SUBSTITUTE(SUBSTITUTE(SUBSTITUTE(SUBSTITUTE(SUBSTITUTE(SUBSTITUTE(SUBSTITUTE(SUBSTITUTE(SUBSTITUTE(SUBSTITUTE(LOWER(AC314&amp;""),CHAR(160),"")," ",""),".",""),"-",""),"/",""),"?",""),"_",""),",",""),"[",""),"]",""),"(",""),")",""),"*","")</f>
        <v/>
      </c>
      <c r="BA314" s="61" t="str">
        <f aca="false">SUBSTITUTE(SUBSTITUTE(SUBSTITUTE(SUBSTITUTE(SUBSTITUTE(SUBSTITUTE(SUBSTITUTE(SUBSTITUTE(SUBSTITUTE(SUBSTITUTE(SUBSTITUTE(SUBSTITUTE(SUBSTITUTE(LOWER(AA314&amp;""),CHAR(160),"")," ",""),".",""),"-",""),"/",""),"?",""),"_",""),",",""),"[",""),"]",""),"(",""),")",""),"*","")</f>
        <v/>
      </c>
      <c r="BB314" s="61" t="str">
        <f aca="false">IF(AND(TRIM(U314)="Pass",ISNUMBER(AF314)),IF(AF314&lt;&gt;0,"INVALID – qty variance: use Fail or Pass after CA",""),"")&amp;IF(AND(TRIM(U314)="Pass after CA",ISNUMBER(AF314)),IF(AF314&lt;&gt;0,"INVALID – after the corrective action the actual qty must equal expected (update Actual)",""),"")&amp;IF(AND(TRIM(U314)="Pass",TRIM(AB314)&lt;&gt;"",TRIM(AB314)&lt;&gt;"Closed"),"INVALID – corrective action not closed: use Fail, then Pass after CA","")&amp;IF(AND(TRIM(AA314)&lt;&gt;"",TRIM(AB314)=""),"INVALID – CA status missing for the recorded corrective action","")&amp;IF(AND(TRIM(U314)="Pass after CA",OR(OR(LEN(BA314)&lt;5,ISNUMBER(MATCH(BA314,L_Placeholder,0))),TRIM(AB314)&lt;&gt;"Closed")),"INVALID – corrective action not recorded/closed","")</f>
        <v/>
      </c>
    </row>
    <row r="315" customFormat="false" ht="39.75" hidden="false" customHeight="true" outlineLevel="0" collapsed="false">
      <c r="A315" s="57" t="s">
        <v>882</v>
      </c>
      <c r="B315" s="57" t="s">
        <v>243</v>
      </c>
      <c r="C315" s="57" t="str">
        <f aca="false">Flights!$F$13</f>
        <v>MH0753</v>
      </c>
      <c r="D315" s="58" t="n">
        <f aca="false">Flights!$D$13</f>
        <v>46306</v>
      </c>
      <c r="E315" s="57" t="str">
        <f aca="false">Flights!$G$13&amp;"-"&amp;Flights!$H$13</f>
        <v>HAN-KUL</v>
      </c>
      <c r="F315" s="57" t="str">
        <f aca="false">Flights!$K$13</f>
        <v>BC</v>
      </c>
      <c r="G315" s="57" t="s">
        <v>437</v>
      </c>
      <c r="H315" s="57" t="s">
        <v>438</v>
      </c>
      <c r="I315" s="57" t="s">
        <v>477</v>
      </c>
      <c r="J315" s="57" t="s">
        <v>519</v>
      </c>
      <c r="K315" s="67" t="s">
        <v>479</v>
      </c>
      <c r="L315" s="67" t="s">
        <v>862</v>
      </c>
      <c r="M315" s="67" t="s">
        <v>429</v>
      </c>
      <c r="N315" s="67" t="s">
        <v>361</v>
      </c>
      <c r="O315" s="67"/>
      <c r="P315" s="57" t="s">
        <v>237</v>
      </c>
      <c r="Q315" s="59" t="n">
        <f aca="false">ROUND((Flights!$AF$13)*1440,0)/1440</f>
        <v>46306.2534722222</v>
      </c>
      <c r="R315" s="59" t="n">
        <f aca="false">Q315+(IF(AND(INDEX(TZ_DSTS,MATCH(P315,TZ_STN,0))&lt;&gt;"",Q315&gt;=INDEX(TZ_DSTS,MATCH(P315,TZ_STN,0)),Q315&lt;INDEX(TZ_DSTE,MATCH(P315,TZ_STN,0))),INDEX(TZ_DST,MATCH(P315,TZ_STN,0)),INDEX(TZ_STD,MATCH(P315,TZ_STN,0))))/24</f>
        <v>46306.5451388889</v>
      </c>
      <c r="S315" s="59" t="n">
        <f aca="false">IF(ISNUMBER(Flights!$AZ$13),MAX(Q315-UpliftWindowH/24,Flights!$AZ$13),Q315-UpliftWindowH/24)</f>
        <v>46306.0034722222</v>
      </c>
      <c r="T315" s="60"/>
      <c r="U315" s="60"/>
      <c r="V315" s="60"/>
      <c r="W315" s="61"/>
      <c r="X315" s="60"/>
      <c r="Y315" s="60"/>
      <c r="Z315" s="60"/>
      <c r="AA315" s="60"/>
      <c r="AB315" s="60"/>
      <c r="AC315" s="60"/>
      <c r="AD315" s="66"/>
      <c r="AE315" s="60"/>
      <c r="AF315" s="61" t="str">
        <f aca="false">IF(AND(ISNUMBER(X315),ISNUMBER(Y315)),Y315-X315,"")</f>
        <v/>
      </c>
      <c r="AG315" s="62" t="str">
        <f aca="false">IF(ISNUMBER(AD315),AD315-(IF(AND(INDEX(TZ_DSTS,MATCH(P315,TZ_STN,0))&lt;&gt;"",(AD315-INDEX(TZ_STD,MATCH(P315,TZ_STN,0))/24)&gt;=INDEX(TZ_DSTS,MATCH(P315,TZ_STN,0)),(AD315-INDEX(TZ_STD,MATCH(P315,TZ_STN,0))/24)&lt;INDEX(TZ_DSTE,MATCH(P315,TZ_STN,0))),INDEX(TZ_DST,MATCH(P315,TZ_STN,0)),INDEX(TZ_STD,MATCH(P315,TZ_STN,0))))/24,"")</f>
        <v/>
      </c>
      <c r="AH315" s="65" t="str">
        <f aca="false">IFERROR(IF(N315="N/A – rule","N/A – RULE",IF(TRIM(U315)="N/A",IF(AT315=0,"INVALID – N/A not permitted for this check",IF(AND(TRIM(AB315)&lt;&gt;"",TRIM(AB315)&lt;&gt;"Closed"),"INVALID – corrective action still open",IF(AND(NOT(OR(LEN(AZ315)&lt;15,ISNUMBER(MATCH(AZ315,L_Placeholder,0)))),NOT(OR(LEN(AU315)&lt;2,ISNUMBER(MATCH(AU315,L_Placeholder,0)))),NOT(OR(LEN(AX315)&lt;2,ISNUMBER(MATCH(AX315,L_Placeholder,0)))),TRIM(AE315)&lt;&gt;TRIM(T315)),"N/A – JUSTIFIED","INVALID – N/A needs a real justification (15+ chars), PIC and a different verifier"))),IF(OR(TRIM(U315)="Pass",TRIM(U315)="Pass after CA"),IF(NOT(ISNUMBER(AD315)),"INVALID – completion time missing",IF(OR(LEN(AU315)&lt;2,ISNUMBER(MATCH(AU315,L_Placeholder,0))),"INVALID – PIC missing",IF(OR(LEN(AV315)&lt;2,ISNUMBER(MATCH(AV315,L_Placeholder,0))),"INVALID – result / assessment missing",IF(OR(OR(LEN(AW315)&lt;3,ISNUMBER(MATCH(AW315,L_Placeholder,0))),SUMPRODUCT(--ISNUMBER(SEARCH(L_EvidencePhrase,AW315)))&gt;0),"INVALID – evidence missing, placeholder or not yet on file",IF(OR(LEN(AX315)&lt;2,ISNUMBER(MATCH(AX315,L_Placeholder,0))),"INVALID – verifier missing",IF(AX315=AU315,"INVALID – verifier must be someone other than the PIC",IF(AND(TRIM(U315)="Pass",SUMPRODUCT(--ISNUMBER(SEARCH(L_ResultBad,AV315)))&gt;0),"INVALID – result describes a problem: use Fail, then Pass after CA",IF(AND(AQ315=1,OR(LEN(AY315)&lt;3,ISNUMBER(MATCH(AY315,L_Placeholder,0)))),"INVALID – batch ID missing or placeholder",IF(AND(AR315=1,OR(NOT(ISNUMBER(X315)),NOT(ISNUMBER(Y315)))),"INVALID – expected/actual qty missing",IF(AND(AR315=1,OR(X315&lt;=0,Y315&lt;0)),"INVALID – expected qty must be above 0 and actual not negative",IF(AH303="N/A – JUSTIFIED","INVALID – preparation row F09-T12-11 is N/A",IF(AND(AR315=1,ISNUMBER(X303),X315&lt;&gt;X303),"INVALID – expected qty differs from preparation check F09-T12-11",IF(BB315&lt;&gt;"",BB315,IF(AND(AS315=1,Documents!$J$13&lt;&gt;"ON FILE"),"INVALID – GLD not on file (Documents sheet)",IF(AND(AS315=2,Documents!$O$13&lt;&gt;"ON FILE"),"INVALID – menu checklist not on file (Documents sheet)",IF(AND(AS315=3,NOT(ISNUMBER(Flights!$AX$13))),"INVALID – enter carrying flight KUL departure (Flights AX)",IF(AND(AS315=3,OR(Flights!$AZ$13&gt;Flights!$AA$13,Flights!$AX$13&lt;Flights!$AA$13-3)),"INVALID – carrying flight (Flights AX) cannot arrive before this leg's STD, or is over 3 days early",IF(AG315&gt;AsOfUTC,"INVALID – completion time is in the future",IF(AND(ISNUMBER(S315),AG315&lt;S315),IF(H315="Physical uplift","INVALID – before uplift window (cannot confirm loading)","INVALID – before valid window"),IF(AG315&gt;Flights!$AA$13,"INVALID – completed after departure (cannot establish readiness)",IF(AND(H315="Preparation",AG315&gt;IF(ISNUMBER(Flights!$BA$13),MIN(Flights!$BA$13,Flights!$AA$13),Flights!$AA$13)),"INVALID – completed after loading / departure (cannot establish readiness)",IF(AND(H315="Physical uplift",AG315&gt;Q315),"INVALID – recorded after the loading flight departed",IF(AG315&gt;Q315,"COMPLETE – LATE","COMPLETE"))))))))))))))))))))))),IF(TRIM(U315)="Fail","FAIL – DISCREPANCY",IF(AND(TRIM(U315)&lt;&gt;"",TRIM(U315)&lt;&gt;"Not started",TRIM(U315)&lt;&gt;"In progress"),"INVALID – unrecognised status (use the list)",IF(AsOfUTC&gt;Q315,"OVERDUE",IF(N315="Clarification required","OPEN – CLARIFICATION","OPEN"))))))),"INVALID – error value in an input cell")</f>
        <v>OPEN</v>
      </c>
      <c r="AI315" s="61" t="n">
        <f aca="false">IF(OR(AH315="N/A – RULE",AH315="N/A – JUSTIFIED"),0,1)</f>
        <v>1</v>
      </c>
      <c r="AJ315" s="61" t="n">
        <f aca="false">IF(LEFT(AH315,8)="COMPLETE",1,0)</f>
        <v>0</v>
      </c>
      <c r="AK315" s="61" t="n">
        <f aca="false">IF(AND(AI315=1,AJ315=0,AsOfUTC&gt;Q315),1,0)</f>
        <v>0</v>
      </c>
      <c r="AL315" s="61" t="n">
        <f aca="false">IFERROR(IF(AND(AI315=1,OR(TRIM(U315)="Fail",AND(TRIM(AB315)&lt;&gt;"",TRIM(AB315)&lt;&gt;"Closed"),AND(ISNUMBER(AF315),AF315&lt;&gt;0,TRIM(U315)&lt;&gt;"Pass after CA"))),1,0),1)</f>
        <v>0</v>
      </c>
      <c r="AM315" s="61" t="n">
        <f aca="false">IF(LEFT(AH315,7)="INVALID",1,0)</f>
        <v>0</v>
      </c>
      <c r="AN315" s="61" t="n">
        <f aca="false">IF(AND(N315="Clarification required",AI315=1,AJ315=0),1,0)</f>
        <v>0</v>
      </c>
      <c r="AO315" s="61" t="str">
        <f aca="false">IF(AK315=1,SUM(AK$5:AK315),"")</f>
        <v/>
      </c>
      <c r="AP315" s="61" t="str">
        <f aca="false">IF(AL315=1,SUM(AL$5:AL315),"")</f>
        <v/>
      </c>
      <c r="AQ315" s="61" t="n">
        <v>0</v>
      </c>
      <c r="AR315" s="61" t="n">
        <v>0</v>
      </c>
      <c r="AS315" s="61" t="n">
        <v>0</v>
      </c>
      <c r="AT315" s="61" t="n">
        <v>0</v>
      </c>
      <c r="AU315" s="61" t="str">
        <f aca="false">SUBSTITUTE(SUBSTITUTE(SUBSTITUTE(SUBSTITUTE(SUBSTITUTE(SUBSTITUTE(SUBSTITUTE(SUBSTITUTE(SUBSTITUTE(SUBSTITUTE(SUBSTITUTE(SUBSTITUTE(SUBSTITUTE(LOWER(T315&amp;""),CHAR(160),"")," ",""),".",""),"-",""),"/",""),"?",""),"_",""),",",""),"[",""),"]",""),"(",""),")",""),"*","")</f>
        <v/>
      </c>
      <c r="AV315" s="61" t="str">
        <f aca="false">SUBSTITUTE(SUBSTITUTE(SUBSTITUTE(SUBSTITUTE(SUBSTITUTE(SUBSTITUTE(SUBSTITUTE(SUBSTITUTE(SUBSTITUTE(SUBSTITUTE(SUBSTITUTE(SUBSTITUTE(SUBSTITUTE(LOWER(V315&amp;""),CHAR(160),"")," ",""),".",""),"-",""),"/",""),"?",""),"_",""),",",""),"[",""),"]",""),"(",""),")",""),"*","")</f>
        <v/>
      </c>
      <c r="AW315" s="61" t="str">
        <f aca="false">SUBSTITUTE(SUBSTITUTE(SUBSTITUTE(SUBSTITUTE(SUBSTITUTE(SUBSTITUTE(SUBSTITUTE(SUBSTITUTE(SUBSTITUTE(SUBSTITUTE(SUBSTITUTE(SUBSTITUTE(SUBSTITUTE(LOWER(Z315&amp;""),CHAR(160),"")," ",""),".",""),"-",""),"/",""),"?",""),"_",""),",",""),"[",""),"]",""),"(",""),")",""),"*","")</f>
        <v/>
      </c>
      <c r="AX315" s="61" t="str">
        <f aca="false">SUBSTITUTE(SUBSTITUTE(SUBSTITUTE(SUBSTITUTE(SUBSTITUTE(SUBSTITUTE(SUBSTITUTE(SUBSTITUTE(SUBSTITUTE(SUBSTITUTE(SUBSTITUTE(SUBSTITUTE(SUBSTITUTE(LOWER(AE315&amp;""),CHAR(160),"")," ",""),".",""),"-",""),"/",""),"?",""),"_",""),",",""),"[",""),"]",""),"(",""),")",""),"*","")</f>
        <v/>
      </c>
      <c r="AY315" s="61" t="str">
        <f aca="false">SUBSTITUTE(SUBSTITUTE(SUBSTITUTE(SUBSTITUTE(SUBSTITUTE(SUBSTITUTE(SUBSTITUTE(SUBSTITUTE(SUBSTITUTE(SUBSTITUTE(SUBSTITUTE(SUBSTITUTE(SUBSTITUTE(LOWER(W315&amp;""),CHAR(160),"")," ",""),".",""),"-",""),"/",""),"?",""),"_",""),",",""),"[",""),"]",""),"(",""),")",""),"*","")</f>
        <v/>
      </c>
      <c r="AZ315" s="61" t="str">
        <f aca="false">SUBSTITUTE(SUBSTITUTE(SUBSTITUTE(SUBSTITUTE(SUBSTITUTE(SUBSTITUTE(SUBSTITUTE(SUBSTITUTE(SUBSTITUTE(SUBSTITUTE(SUBSTITUTE(SUBSTITUTE(SUBSTITUTE(LOWER(AC315&amp;""),CHAR(160),"")," ",""),".",""),"-",""),"/",""),"?",""),"_",""),",",""),"[",""),"]",""),"(",""),")",""),"*","")</f>
        <v/>
      </c>
      <c r="BA315" s="61" t="str">
        <f aca="false">SUBSTITUTE(SUBSTITUTE(SUBSTITUTE(SUBSTITUTE(SUBSTITUTE(SUBSTITUTE(SUBSTITUTE(SUBSTITUTE(SUBSTITUTE(SUBSTITUTE(SUBSTITUTE(SUBSTITUTE(SUBSTITUTE(LOWER(AA315&amp;""),CHAR(160),"")," ",""),".",""),"-",""),"/",""),"?",""),"_",""),",",""),"[",""),"]",""),"(",""),")",""),"*","")</f>
        <v/>
      </c>
      <c r="BB315" s="61" t="str">
        <f aca="false">IF(AND(TRIM(U315)="Pass",ISNUMBER(AF315)),IF(AF315&lt;&gt;0,"INVALID – qty variance: use Fail or Pass after CA",""),"")&amp;IF(AND(TRIM(U315)="Pass after CA",ISNUMBER(AF315)),IF(AF315&lt;&gt;0,"INVALID – after the corrective action the actual qty must equal expected (update Actual)",""),"")&amp;IF(AND(TRIM(U315)="Pass",TRIM(AB315)&lt;&gt;"",TRIM(AB315)&lt;&gt;"Closed"),"INVALID – corrective action not closed: use Fail, then Pass after CA","")&amp;IF(AND(TRIM(AA315)&lt;&gt;"",TRIM(AB315)=""),"INVALID – CA status missing for the recorded corrective action","")&amp;IF(AND(TRIM(U315)="Pass after CA",OR(OR(LEN(BA315)&lt;5,ISNUMBER(MATCH(BA315,L_Placeholder,0))),TRIM(AB315)&lt;&gt;"Closed")),"INVALID – corrective action not recorded/closed","")</f>
        <v/>
      </c>
    </row>
    <row r="316" customFormat="false" ht="78.75" hidden="false" customHeight="true" outlineLevel="0" collapsed="false">
      <c r="A316" s="57" t="s">
        <v>883</v>
      </c>
      <c r="B316" s="57" t="s">
        <v>243</v>
      </c>
      <c r="C316" s="57" t="str">
        <f aca="false">Flights!$F$13</f>
        <v>MH0753</v>
      </c>
      <c r="D316" s="58" t="n">
        <f aca="false">Flights!$D$13</f>
        <v>46306</v>
      </c>
      <c r="E316" s="57" t="str">
        <f aca="false">Flights!$G$13&amp;"-"&amp;Flights!$H$13</f>
        <v>HAN-KUL</v>
      </c>
      <c r="F316" s="57" t="str">
        <f aca="false">Flights!$K$13</f>
        <v>BC</v>
      </c>
      <c r="G316" s="57" t="s">
        <v>437</v>
      </c>
      <c r="H316" s="57" t="s">
        <v>438</v>
      </c>
      <c r="I316" s="57" t="s">
        <v>477</v>
      </c>
      <c r="J316" s="57" t="s">
        <v>521</v>
      </c>
      <c r="K316" s="67" t="s">
        <v>479</v>
      </c>
      <c r="L316" s="67" t="s">
        <v>864</v>
      </c>
      <c r="M316" s="67" t="s">
        <v>429</v>
      </c>
      <c r="N316" s="67" t="s">
        <v>422</v>
      </c>
      <c r="O316" s="67" t="s">
        <v>522</v>
      </c>
      <c r="P316" s="57" t="s">
        <v>237</v>
      </c>
      <c r="Q316" s="59" t="n">
        <f aca="false">ROUND((Flights!$AF$13)*1440,0)/1440</f>
        <v>46306.2534722222</v>
      </c>
      <c r="R316" s="59" t="n">
        <f aca="false">Q316+(IF(AND(INDEX(TZ_DSTS,MATCH(P316,TZ_STN,0))&lt;&gt;"",Q316&gt;=INDEX(TZ_DSTS,MATCH(P316,TZ_STN,0)),Q316&lt;INDEX(TZ_DSTE,MATCH(P316,TZ_STN,0))),INDEX(TZ_DST,MATCH(P316,TZ_STN,0)),INDEX(TZ_STD,MATCH(P316,TZ_STN,0))))/24</f>
        <v>46306.5451388889</v>
      </c>
      <c r="S316" s="59" t="n">
        <f aca="false">IF(ISNUMBER(Flights!$AZ$13),MAX(Q316-UpliftWindowH/24,Flights!$AZ$13),Q316-UpliftWindowH/24)</f>
        <v>46306.0034722222</v>
      </c>
      <c r="T316" s="60"/>
      <c r="U316" s="60"/>
      <c r="V316" s="60"/>
      <c r="W316" s="61"/>
      <c r="X316" s="60"/>
      <c r="Y316" s="60"/>
      <c r="Z316" s="60"/>
      <c r="AA316" s="60"/>
      <c r="AB316" s="60"/>
      <c r="AC316" s="60"/>
      <c r="AD316" s="66"/>
      <c r="AE316" s="60"/>
      <c r="AF316" s="61" t="str">
        <f aca="false">IF(AND(ISNUMBER(X316),ISNUMBER(Y316)),Y316-X316,"")</f>
        <v/>
      </c>
      <c r="AG316" s="62" t="str">
        <f aca="false">IF(ISNUMBER(AD316),AD316-(IF(AND(INDEX(TZ_DSTS,MATCH(P316,TZ_STN,0))&lt;&gt;"",(AD316-INDEX(TZ_STD,MATCH(P316,TZ_STN,0))/24)&gt;=INDEX(TZ_DSTS,MATCH(P316,TZ_STN,0)),(AD316-INDEX(TZ_STD,MATCH(P316,TZ_STN,0))/24)&lt;INDEX(TZ_DSTE,MATCH(P316,TZ_STN,0))),INDEX(TZ_DST,MATCH(P316,TZ_STN,0)),INDEX(TZ_STD,MATCH(P316,TZ_STN,0))))/24,"")</f>
        <v/>
      </c>
      <c r="AH316" s="65" t="str">
        <f aca="false">IFERROR(IF(N316="N/A – rule","N/A – RULE",IF(TRIM(U316)="N/A",IF(AT316=0,"INVALID – N/A not permitted for this check",IF(AND(TRIM(AB316)&lt;&gt;"",TRIM(AB316)&lt;&gt;"Closed"),"INVALID – corrective action still open",IF(AND(NOT(OR(LEN(AZ316)&lt;15,ISNUMBER(MATCH(AZ316,L_Placeholder,0)))),NOT(OR(LEN(AU316)&lt;2,ISNUMBER(MATCH(AU316,L_Placeholder,0)))),NOT(OR(LEN(AX316)&lt;2,ISNUMBER(MATCH(AX316,L_Placeholder,0)))),TRIM(AE316)&lt;&gt;TRIM(T316)),"N/A – JUSTIFIED","INVALID – N/A needs a real justification (15+ chars), PIC and a different verifier"))),IF(OR(TRIM(U316)="Pass",TRIM(U316)="Pass after CA"),IF(NOT(ISNUMBER(AD316)),"INVALID – completion time missing",IF(OR(LEN(AU316)&lt;2,ISNUMBER(MATCH(AU316,L_Placeholder,0))),"INVALID – PIC missing",IF(OR(LEN(AV316)&lt;2,ISNUMBER(MATCH(AV316,L_Placeholder,0))),"INVALID – result / assessment missing",IF(OR(OR(LEN(AW316)&lt;3,ISNUMBER(MATCH(AW316,L_Placeholder,0))),SUMPRODUCT(--ISNUMBER(SEARCH(L_EvidencePhrase,AW316)))&gt;0),"INVALID – evidence missing, placeholder or not yet on file",IF(OR(LEN(AX316)&lt;2,ISNUMBER(MATCH(AX316,L_Placeholder,0))),"INVALID – verifier missing",IF(AX316=AU316,"INVALID – verifier must be someone other than the PIC",IF(AND(TRIM(U316)="Pass",SUMPRODUCT(--ISNUMBER(SEARCH(L_ResultBad,AV316)))&gt;0),"INVALID – result describes a problem: use Fail, then Pass after CA",IF(AND(AQ316=1,OR(LEN(AY316)&lt;3,ISNUMBER(MATCH(AY316,L_Placeholder,0)))),"INVALID – batch ID missing or placeholder",IF(AND(AR316=1,OR(NOT(ISNUMBER(X316)),NOT(ISNUMBER(Y316)))),"INVALID – expected/actual qty missing",IF(AND(AR316=1,OR(X316&lt;=0,Y316&lt;0)),"INVALID – expected qty must be above 0 and actual not negative",IF(AH304="N/A – JUSTIFIED","INVALID – preparation row F09-T12-12 is N/A",IF(AND(AR316=1,ISNUMBER(X304),X316&lt;&gt;X304),"INVALID – expected qty differs from preparation check F09-T12-12",IF(BB316&lt;&gt;"",BB316,IF(AND(AS316=1,Documents!$J$13&lt;&gt;"ON FILE"),"INVALID – GLD not on file (Documents sheet)",IF(AND(AS316=2,Documents!$O$13&lt;&gt;"ON FILE"),"INVALID – menu checklist not on file (Documents sheet)",IF(AND(AS316=3,NOT(ISNUMBER(Flights!$AX$13))),"INVALID – enter carrying flight KUL departure (Flights AX)",IF(AND(AS316=3,OR(Flights!$AZ$13&gt;Flights!$AA$13,Flights!$AX$13&lt;Flights!$AA$13-3)),"INVALID – carrying flight (Flights AX) cannot arrive before this leg's STD, or is over 3 days early",IF(AG316&gt;AsOfUTC,"INVALID – completion time is in the future",IF(AND(ISNUMBER(S316),AG316&lt;S316),IF(H316="Physical uplift","INVALID – before uplift window (cannot confirm loading)","INVALID – before valid window"),IF(AG316&gt;Flights!$AA$13,"INVALID – completed after departure (cannot establish readiness)",IF(AND(H316="Preparation",AG316&gt;IF(ISNUMBER(Flights!$BA$13),MIN(Flights!$BA$13,Flights!$AA$13),Flights!$AA$13)),"INVALID – completed after loading / departure (cannot establish readiness)",IF(AND(H316="Physical uplift",AG316&gt;Q316),"INVALID – recorded after the loading flight departed",IF(AG316&gt;Q316,"COMPLETE – LATE","COMPLETE"))))))))))))))))))))))),IF(TRIM(U316)="Fail","FAIL – DISCREPANCY",IF(AND(TRIM(U316)&lt;&gt;"",TRIM(U316)&lt;&gt;"Not started",TRIM(U316)&lt;&gt;"In progress"),"INVALID – unrecognised status (use the list)",IF(AsOfUTC&gt;Q316,"OVERDUE",IF(N316="Clarification required","OPEN – CLARIFICATION","OPEN"))))))),"INVALID – error value in an input cell")</f>
        <v>OPEN – CLARIFICATION</v>
      </c>
      <c r="AI316" s="61" t="n">
        <f aca="false">IF(OR(AH316="N/A – RULE",AH316="N/A – JUSTIFIED"),0,1)</f>
        <v>1</v>
      </c>
      <c r="AJ316" s="61" t="n">
        <f aca="false">IF(LEFT(AH316,8)="COMPLETE",1,0)</f>
        <v>0</v>
      </c>
      <c r="AK316" s="61" t="n">
        <f aca="false">IF(AND(AI316=1,AJ316=0,AsOfUTC&gt;Q316),1,0)</f>
        <v>0</v>
      </c>
      <c r="AL316" s="61" t="n">
        <f aca="false">IFERROR(IF(AND(AI316=1,OR(TRIM(U316)="Fail",AND(TRIM(AB316)&lt;&gt;"",TRIM(AB316)&lt;&gt;"Closed"),AND(ISNUMBER(AF316),AF316&lt;&gt;0,TRIM(U316)&lt;&gt;"Pass after CA"))),1,0),1)</f>
        <v>0</v>
      </c>
      <c r="AM316" s="61" t="n">
        <f aca="false">IF(LEFT(AH316,7)="INVALID",1,0)</f>
        <v>0</v>
      </c>
      <c r="AN316" s="61" t="n">
        <f aca="false">IF(AND(N316="Clarification required",AI316=1,AJ316=0),1,0)</f>
        <v>1</v>
      </c>
      <c r="AO316" s="61" t="str">
        <f aca="false">IF(AK316=1,SUM(AK$5:AK316),"")</f>
        <v/>
      </c>
      <c r="AP316" s="61" t="str">
        <f aca="false">IF(AL316=1,SUM(AL$5:AL316),"")</f>
        <v/>
      </c>
      <c r="AQ316" s="61" t="n">
        <v>0</v>
      </c>
      <c r="AR316" s="61" t="n">
        <v>0</v>
      </c>
      <c r="AS316" s="61" t="n">
        <v>0</v>
      </c>
      <c r="AT316" s="61" t="n">
        <v>1</v>
      </c>
      <c r="AU316" s="61" t="str">
        <f aca="false">SUBSTITUTE(SUBSTITUTE(SUBSTITUTE(SUBSTITUTE(SUBSTITUTE(SUBSTITUTE(SUBSTITUTE(SUBSTITUTE(SUBSTITUTE(SUBSTITUTE(SUBSTITUTE(SUBSTITUTE(SUBSTITUTE(LOWER(T316&amp;""),CHAR(160),"")," ",""),".",""),"-",""),"/",""),"?",""),"_",""),",",""),"[",""),"]",""),"(",""),")",""),"*","")</f>
        <v/>
      </c>
      <c r="AV316" s="61" t="str">
        <f aca="false">SUBSTITUTE(SUBSTITUTE(SUBSTITUTE(SUBSTITUTE(SUBSTITUTE(SUBSTITUTE(SUBSTITUTE(SUBSTITUTE(SUBSTITUTE(SUBSTITUTE(SUBSTITUTE(SUBSTITUTE(SUBSTITUTE(LOWER(V316&amp;""),CHAR(160),"")," ",""),".",""),"-",""),"/",""),"?",""),"_",""),",",""),"[",""),"]",""),"(",""),")",""),"*","")</f>
        <v/>
      </c>
      <c r="AW316" s="61" t="str">
        <f aca="false">SUBSTITUTE(SUBSTITUTE(SUBSTITUTE(SUBSTITUTE(SUBSTITUTE(SUBSTITUTE(SUBSTITUTE(SUBSTITUTE(SUBSTITUTE(SUBSTITUTE(SUBSTITUTE(SUBSTITUTE(SUBSTITUTE(LOWER(Z316&amp;""),CHAR(160),"")," ",""),".",""),"-",""),"/",""),"?",""),"_",""),",",""),"[",""),"]",""),"(",""),")",""),"*","")</f>
        <v/>
      </c>
      <c r="AX316" s="61" t="str">
        <f aca="false">SUBSTITUTE(SUBSTITUTE(SUBSTITUTE(SUBSTITUTE(SUBSTITUTE(SUBSTITUTE(SUBSTITUTE(SUBSTITUTE(SUBSTITUTE(SUBSTITUTE(SUBSTITUTE(SUBSTITUTE(SUBSTITUTE(LOWER(AE316&amp;""),CHAR(160),"")," ",""),".",""),"-",""),"/",""),"?",""),"_",""),",",""),"[",""),"]",""),"(",""),")",""),"*","")</f>
        <v/>
      </c>
      <c r="AY316" s="61" t="str">
        <f aca="false">SUBSTITUTE(SUBSTITUTE(SUBSTITUTE(SUBSTITUTE(SUBSTITUTE(SUBSTITUTE(SUBSTITUTE(SUBSTITUTE(SUBSTITUTE(SUBSTITUTE(SUBSTITUTE(SUBSTITUTE(SUBSTITUTE(LOWER(W316&amp;""),CHAR(160),"")," ",""),".",""),"-",""),"/",""),"?",""),"_",""),",",""),"[",""),"]",""),"(",""),")",""),"*","")</f>
        <v/>
      </c>
      <c r="AZ316" s="61" t="str">
        <f aca="false">SUBSTITUTE(SUBSTITUTE(SUBSTITUTE(SUBSTITUTE(SUBSTITUTE(SUBSTITUTE(SUBSTITUTE(SUBSTITUTE(SUBSTITUTE(SUBSTITUTE(SUBSTITUTE(SUBSTITUTE(SUBSTITUTE(LOWER(AC316&amp;""),CHAR(160),"")," ",""),".",""),"-",""),"/",""),"?",""),"_",""),",",""),"[",""),"]",""),"(",""),")",""),"*","")</f>
        <v/>
      </c>
      <c r="BA316" s="61" t="str">
        <f aca="false">SUBSTITUTE(SUBSTITUTE(SUBSTITUTE(SUBSTITUTE(SUBSTITUTE(SUBSTITUTE(SUBSTITUTE(SUBSTITUTE(SUBSTITUTE(SUBSTITUTE(SUBSTITUTE(SUBSTITUTE(SUBSTITUTE(LOWER(AA316&amp;""),CHAR(160),"")," ",""),".",""),"-",""),"/",""),"?",""),"_",""),",",""),"[",""),"]",""),"(",""),")",""),"*","")</f>
        <v/>
      </c>
      <c r="BB316" s="61" t="str">
        <f aca="false">IF(AND(TRIM(U316)="Pass",ISNUMBER(AF316)),IF(AF316&lt;&gt;0,"INVALID – qty variance: use Fail or Pass after CA",""),"")&amp;IF(AND(TRIM(U316)="Pass after CA",ISNUMBER(AF316)),IF(AF316&lt;&gt;0,"INVALID – after the corrective action the actual qty must equal expected (update Actual)",""),"")&amp;IF(AND(TRIM(U316)="Pass",TRIM(AB316)&lt;&gt;"",TRIM(AB316)&lt;&gt;"Closed"),"INVALID – corrective action not closed: use Fail, then Pass after CA","")&amp;IF(AND(TRIM(AA316)&lt;&gt;"",TRIM(AB316)=""),"INVALID – CA status missing for the recorded corrective action","")&amp;IF(AND(TRIM(U316)="Pass after CA",OR(OR(LEN(BA316)&lt;5,ISNUMBER(MATCH(BA316,L_Placeholder,0))),TRIM(AB316)&lt;&gt;"Closed")),"INVALID – corrective action not recorded/closed","")</f>
        <v/>
      </c>
    </row>
    <row r="317" customFormat="false" ht="78.75" hidden="false" customHeight="true" outlineLevel="0" collapsed="false">
      <c r="A317" s="57" t="s">
        <v>884</v>
      </c>
      <c r="B317" s="57" t="s">
        <v>243</v>
      </c>
      <c r="C317" s="57" t="str">
        <f aca="false">Flights!$F$13</f>
        <v>MH0753</v>
      </c>
      <c r="D317" s="58" t="n">
        <f aca="false">Flights!$D$13</f>
        <v>46306</v>
      </c>
      <c r="E317" s="57" t="str">
        <f aca="false">Flights!$G$13&amp;"-"&amp;Flights!$H$13</f>
        <v>HAN-KUL</v>
      </c>
      <c r="F317" s="57" t="str">
        <f aca="false">Flights!$K$13</f>
        <v>BC</v>
      </c>
      <c r="G317" s="57" t="s">
        <v>437</v>
      </c>
      <c r="H317" s="57" t="s">
        <v>438</v>
      </c>
      <c r="I317" s="57" t="s">
        <v>477</v>
      </c>
      <c r="J317" s="57" t="s">
        <v>524</v>
      </c>
      <c r="K317" s="67" t="s">
        <v>479</v>
      </c>
      <c r="L317" s="67" t="s">
        <v>867</v>
      </c>
      <c r="M317" s="67" t="s">
        <v>429</v>
      </c>
      <c r="N317" s="67" t="s">
        <v>422</v>
      </c>
      <c r="O317" s="67" t="s">
        <v>522</v>
      </c>
      <c r="P317" s="57" t="s">
        <v>237</v>
      </c>
      <c r="Q317" s="59" t="n">
        <f aca="false">ROUND((Flights!$AF$13)*1440,0)/1440</f>
        <v>46306.2534722222</v>
      </c>
      <c r="R317" s="59" t="n">
        <f aca="false">Q317+(IF(AND(INDEX(TZ_DSTS,MATCH(P317,TZ_STN,0))&lt;&gt;"",Q317&gt;=INDEX(TZ_DSTS,MATCH(P317,TZ_STN,0)),Q317&lt;INDEX(TZ_DSTE,MATCH(P317,TZ_STN,0))),INDEX(TZ_DST,MATCH(P317,TZ_STN,0)),INDEX(TZ_STD,MATCH(P317,TZ_STN,0))))/24</f>
        <v>46306.5451388889</v>
      </c>
      <c r="S317" s="59" t="n">
        <f aca="false">IF(ISNUMBER(Flights!$AZ$13),MAX(Q317-UpliftWindowH/24,Flights!$AZ$13),Q317-UpliftWindowH/24)</f>
        <v>46306.0034722222</v>
      </c>
      <c r="T317" s="60"/>
      <c r="U317" s="60"/>
      <c r="V317" s="60"/>
      <c r="W317" s="61"/>
      <c r="X317" s="60"/>
      <c r="Y317" s="60"/>
      <c r="Z317" s="60"/>
      <c r="AA317" s="60"/>
      <c r="AB317" s="60"/>
      <c r="AC317" s="60"/>
      <c r="AD317" s="66"/>
      <c r="AE317" s="60"/>
      <c r="AF317" s="61" t="str">
        <f aca="false">IF(AND(ISNUMBER(X317),ISNUMBER(Y317)),Y317-X317,"")</f>
        <v/>
      </c>
      <c r="AG317" s="62" t="str">
        <f aca="false">IF(ISNUMBER(AD317),AD317-(IF(AND(INDEX(TZ_DSTS,MATCH(P317,TZ_STN,0))&lt;&gt;"",(AD317-INDEX(TZ_STD,MATCH(P317,TZ_STN,0))/24)&gt;=INDEX(TZ_DSTS,MATCH(P317,TZ_STN,0)),(AD317-INDEX(TZ_STD,MATCH(P317,TZ_STN,0))/24)&lt;INDEX(TZ_DSTE,MATCH(P317,TZ_STN,0))),INDEX(TZ_DST,MATCH(P317,TZ_STN,0)),INDEX(TZ_STD,MATCH(P317,TZ_STN,0))))/24,"")</f>
        <v/>
      </c>
      <c r="AH317" s="65" t="str">
        <f aca="false">IFERROR(IF(N317="N/A – rule","N/A – RULE",IF(TRIM(U317)="N/A",IF(AT317=0,"INVALID – N/A not permitted for this check",IF(AND(TRIM(AB317)&lt;&gt;"",TRIM(AB317)&lt;&gt;"Closed"),"INVALID – corrective action still open",IF(AND(NOT(OR(LEN(AZ317)&lt;15,ISNUMBER(MATCH(AZ317,L_Placeholder,0)))),NOT(OR(LEN(AU317)&lt;2,ISNUMBER(MATCH(AU317,L_Placeholder,0)))),NOT(OR(LEN(AX317)&lt;2,ISNUMBER(MATCH(AX317,L_Placeholder,0)))),TRIM(AE317)&lt;&gt;TRIM(T317)),"N/A – JUSTIFIED","INVALID – N/A needs a real justification (15+ chars), PIC and a different verifier"))),IF(OR(TRIM(U317)="Pass",TRIM(U317)="Pass after CA"),IF(NOT(ISNUMBER(AD317)),"INVALID – completion time missing",IF(OR(LEN(AU317)&lt;2,ISNUMBER(MATCH(AU317,L_Placeholder,0))),"INVALID – PIC missing",IF(OR(LEN(AV317)&lt;2,ISNUMBER(MATCH(AV317,L_Placeholder,0))),"INVALID – result / assessment missing",IF(OR(OR(LEN(AW317)&lt;3,ISNUMBER(MATCH(AW317,L_Placeholder,0))),SUMPRODUCT(--ISNUMBER(SEARCH(L_EvidencePhrase,AW317)))&gt;0),"INVALID – evidence missing, placeholder or not yet on file",IF(OR(LEN(AX317)&lt;2,ISNUMBER(MATCH(AX317,L_Placeholder,0))),"INVALID – verifier missing",IF(AX317=AU317,"INVALID – verifier must be someone other than the PIC",IF(AND(TRIM(U317)="Pass",SUMPRODUCT(--ISNUMBER(SEARCH(L_ResultBad,AV317)))&gt;0),"INVALID – result describes a problem: use Fail, then Pass after CA",IF(AND(AQ317=1,OR(LEN(AY317)&lt;3,ISNUMBER(MATCH(AY317,L_Placeholder,0)))),"INVALID – batch ID missing or placeholder",IF(AND(AR317=1,OR(NOT(ISNUMBER(X317)),NOT(ISNUMBER(Y317)))),"INVALID – expected/actual qty missing",IF(AND(AR317=1,OR(X317&lt;=0,Y317&lt;0)),"INVALID – expected qty must be above 0 and actual not negative",IF(AH305="N/A – JUSTIFIED","INVALID – preparation row F09-T12-13 is N/A",IF(AND(AR317=1,ISNUMBER(X305),X317&lt;&gt;X305),"INVALID – expected qty differs from preparation check F09-T12-13",IF(BB317&lt;&gt;"",BB317,IF(AND(AS317=1,Documents!$J$13&lt;&gt;"ON FILE"),"INVALID – GLD not on file (Documents sheet)",IF(AND(AS317=2,Documents!$O$13&lt;&gt;"ON FILE"),"INVALID – menu checklist not on file (Documents sheet)",IF(AND(AS317=3,NOT(ISNUMBER(Flights!$AX$13))),"INVALID – enter carrying flight KUL departure (Flights AX)",IF(AND(AS317=3,OR(Flights!$AZ$13&gt;Flights!$AA$13,Flights!$AX$13&lt;Flights!$AA$13-3)),"INVALID – carrying flight (Flights AX) cannot arrive before this leg's STD, or is over 3 days early",IF(AG317&gt;AsOfUTC,"INVALID – completion time is in the future",IF(AND(ISNUMBER(S317),AG317&lt;S317),IF(H317="Physical uplift","INVALID – before uplift window (cannot confirm loading)","INVALID – before valid window"),IF(AG317&gt;Flights!$AA$13,"INVALID – completed after departure (cannot establish readiness)",IF(AND(H317="Preparation",AG317&gt;IF(ISNUMBER(Flights!$BA$13),MIN(Flights!$BA$13,Flights!$AA$13),Flights!$AA$13)),"INVALID – completed after loading / departure (cannot establish readiness)",IF(AND(H317="Physical uplift",AG317&gt;Q317),"INVALID – recorded after the loading flight departed",IF(AG317&gt;Q317,"COMPLETE – LATE","COMPLETE"))))))))))))))))))))))),IF(TRIM(U317)="Fail","FAIL – DISCREPANCY",IF(AND(TRIM(U317)&lt;&gt;"",TRIM(U317)&lt;&gt;"Not started",TRIM(U317)&lt;&gt;"In progress"),"INVALID – unrecognised status (use the list)",IF(AsOfUTC&gt;Q317,"OVERDUE",IF(N317="Clarification required","OPEN – CLARIFICATION","OPEN"))))))),"INVALID – error value in an input cell")</f>
        <v>OPEN – CLARIFICATION</v>
      </c>
      <c r="AI317" s="61" t="n">
        <f aca="false">IF(OR(AH317="N/A – RULE",AH317="N/A – JUSTIFIED"),0,1)</f>
        <v>1</v>
      </c>
      <c r="AJ317" s="61" t="n">
        <f aca="false">IF(LEFT(AH317,8)="COMPLETE",1,0)</f>
        <v>0</v>
      </c>
      <c r="AK317" s="61" t="n">
        <f aca="false">IF(AND(AI317=1,AJ317=0,AsOfUTC&gt;Q317),1,0)</f>
        <v>0</v>
      </c>
      <c r="AL317" s="61" t="n">
        <f aca="false">IFERROR(IF(AND(AI317=1,OR(TRIM(U317)="Fail",AND(TRIM(AB317)&lt;&gt;"",TRIM(AB317)&lt;&gt;"Closed"),AND(ISNUMBER(AF317),AF317&lt;&gt;0,TRIM(U317)&lt;&gt;"Pass after CA"))),1,0),1)</f>
        <v>0</v>
      </c>
      <c r="AM317" s="61" t="n">
        <f aca="false">IF(LEFT(AH317,7)="INVALID",1,0)</f>
        <v>0</v>
      </c>
      <c r="AN317" s="61" t="n">
        <f aca="false">IF(AND(N317="Clarification required",AI317=1,AJ317=0),1,0)</f>
        <v>1</v>
      </c>
      <c r="AO317" s="61" t="str">
        <f aca="false">IF(AK317=1,SUM(AK$5:AK317),"")</f>
        <v/>
      </c>
      <c r="AP317" s="61" t="str">
        <f aca="false">IF(AL317=1,SUM(AL$5:AL317),"")</f>
        <v/>
      </c>
      <c r="AQ317" s="61" t="n">
        <v>0</v>
      </c>
      <c r="AR317" s="61" t="n">
        <v>0</v>
      </c>
      <c r="AS317" s="61" t="n">
        <v>0</v>
      </c>
      <c r="AT317" s="61" t="n">
        <v>1</v>
      </c>
      <c r="AU317" s="61" t="str">
        <f aca="false">SUBSTITUTE(SUBSTITUTE(SUBSTITUTE(SUBSTITUTE(SUBSTITUTE(SUBSTITUTE(SUBSTITUTE(SUBSTITUTE(SUBSTITUTE(SUBSTITUTE(SUBSTITUTE(SUBSTITUTE(SUBSTITUTE(LOWER(T317&amp;""),CHAR(160),"")," ",""),".",""),"-",""),"/",""),"?",""),"_",""),",",""),"[",""),"]",""),"(",""),")",""),"*","")</f>
        <v/>
      </c>
      <c r="AV317" s="61" t="str">
        <f aca="false">SUBSTITUTE(SUBSTITUTE(SUBSTITUTE(SUBSTITUTE(SUBSTITUTE(SUBSTITUTE(SUBSTITUTE(SUBSTITUTE(SUBSTITUTE(SUBSTITUTE(SUBSTITUTE(SUBSTITUTE(SUBSTITUTE(LOWER(V317&amp;""),CHAR(160),"")," ",""),".",""),"-",""),"/",""),"?",""),"_",""),",",""),"[",""),"]",""),"(",""),")",""),"*","")</f>
        <v/>
      </c>
      <c r="AW317" s="61" t="str">
        <f aca="false">SUBSTITUTE(SUBSTITUTE(SUBSTITUTE(SUBSTITUTE(SUBSTITUTE(SUBSTITUTE(SUBSTITUTE(SUBSTITUTE(SUBSTITUTE(SUBSTITUTE(SUBSTITUTE(SUBSTITUTE(SUBSTITUTE(LOWER(Z317&amp;""),CHAR(160),"")," ",""),".",""),"-",""),"/",""),"?",""),"_",""),",",""),"[",""),"]",""),"(",""),")",""),"*","")</f>
        <v/>
      </c>
      <c r="AX317" s="61" t="str">
        <f aca="false">SUBSTITUTE(SUBSTITUTE(SUBSTITUTE(SUBSTITUTE(SUBSTITUTE(SUBSTITUTE(SUBSTITUTE(SUBSTITUTE(SUBSTITUTE(SUBSTITUTE(SUBSTITUTE(SUBSTITUTE(SUBSTITUTE(LOWER(AE317&amp;""),CHAR(160),"")," ",""),".",""),"-",""),"/",""),"?",""),"_",""),",",""),"[",""),"]",""),"(",""),")",""),"*","")</f>
        <v/>
      </c>
      <c r="AY317" s="61" t="str">
        <f aca="false">SUBSTITUTE(SUBSTITUTE(SUBSTITUTE(SUBSTITUTE(SUBSTITUTE(SUBSTITUTE(SUBSTITUTE(SUBSTITUTE(SUBSTITUTE(SUBSTITUTE(SUBSTITUTE(SUBSTITUTE(SUBSTITUTE(LOWER(W317&amp;""),CHAR(160),"")," ",""),".",""),"-",""),"/",""),"?",""),"_",""),",",""),"[",""),"]",""),"(",""),")",""),"*","")</f>
        <v/>
      </c>
      <c r="AZ317" s="61" t="str">
        <f aca="false">SUBSTITUTE(SUBSTITUTE(SUBSTITUTE(SUBSTITUTE(SUBSTITUTE(SUBSTITUTE(SUBSTITUTE(SUBSTITUTE(SUBSTITUTE(SUBSTITUTE(SUBSTITUTE(SUBSTITUTE(SUBSTITUTE(LOWER(AC317&amp;""),CHAR(160),"")," ",""),".",""),"-",""),"/",""),"?",""),"_",""),",",""),"[",""),"]",""),"(",""),")",""),"*","")</f>
        <v/>
      </c>
      <c r="BA317" s="61" t="str">
        <f aca="false">SUBSTITUTE(SUBSTITUTE(SUBSTITUTE(SUBSTITUTE(SUBSTITUTE(SUBSTITUTE(SUBSTITUTE(SUBSTITUTE(SUBSTITUTE(SUBSTITUTE(SUBSTITUTE(SUBSTITUTE(SUBSTITUTE(LOWER(AA317&amp;""),CHAR(160),"")," ",""),".",""),"-",""),"/",""),"?",""),"_",""),",",""),"[",""),"]",""),"(",""),")",""),"*","")</f>
        <v/>
      </c>
      <c r="BB317" s="61" t="str">
        <f aca="false">IF(AND(TRIM(U317)="Pass",ISNUMBER(AF317)),IF(AF317&lt;&gt;0,"INVALID – qty variance: use Fail or Pass after CA",""),"")&amp;IF(AND(TRIM(U317)="Pass after CA",ISNUMBER(AF317)),IF(AF317&lt;&gt;0,"INVALID – after the corrective action the actual qty must equal expected (update Actual)",""),"")&amp;IF(AND(TRIM(U317)="Pass",TRIM(AB317)&lt;&gt;"",TRIM(AB317)&lt;&gt;"Closed"),"INVALID – corrective action not closed: use Fail, then Pass after CA","")&amp;IF(AND(TRIM(AA317)&lt;&gt;"",TRIM(AB317)=""),"INVALID – CA status missing for the recorded corrective action","")&amp;IF(AND(TRIM(U317)="Pass after CA",OR(OR(LEN(BA317)&lt;5,ISNUMBER(MATCH(BA317,L_Placeholder,0))),TRIM(AB317)&lt;&gt;"Closed")),"INVALID – corrective action not recorded/closed","")</f>
        <v/>
      </c>
    </row>
    <row r="318" customFormat="false" ht="39.75" hidden="false" customHeight="true" outlineLevel="0" collapsed="false">
      <c r="A318" s="57" t="s">
        <v>885</v>
      </c>
      <c r="B318" s="57" t="s">
        <v>243</v>
      </c>
      <c r="C318" s="57" t="str">
        <f aca="false">Flights!$F$13</f>
        <v>MH0753</v>
      </c>
      <c r="D318" s="58" t="n">
        <f aca="false">Flights!$D$13</f>
        <v>46306</v>
      </c>
      <c r="E318" s="57" t="str">
        <f aca="false">Flights!$G$13&amp;"-"&amp;Flights!$H$13</f>
        <v>HAN-KUL</v>
      </c>
      <c r="F318" s="57" t="str">
        <f aca="false">Flights!$K$13</f>
        <v>BC</v>
      </c>
      <c r="G318" s="57" t="s">
        <v>437</v>
      </c>
      <c r="H318" s="57" t="s">
        <v>438</v>
      </c>
      <c r="I318" s="57" t="s">
        <v>477</v>
      </c>
      <c r="J318" s="57" t="s">
        <v>526</v>
      </c>
      <c r="K318" s="67" t="s">
        <v>497</v>
      </c>
      <c r="L318" s="67" t="s">
        <v>869</v>
      </c>
      <c r="M318" s="67" t="s">
        <v>429</v>
      </c>
      <c r="N318" s="67" t="s">
        <v>361</v>
      </c>
      <c r="O318" s="67" t="s">
        <v>527</v>
      </c>
      <c r="P318" s="57" t="s">
        <v>237</v>
      </c>
      <c r="Q318" s="59" t="n">
        <f aca="false">ROUND((Flights!$AF$13)*1440,0)/1440</f>
        <v>46306.2534722222</v>
      </c>
      <c r="R318" s="59" t="n">
        <f aca="false">Q318+(IF(AND(INDEX(TZ_DSTS,MATCH(P318,TZ_STN,0))&lt;&gt;"",Q318&gt;=INDEX(TZ_DSTS,MATCH(P318,TZ_STN,0)),Q318&lt;INDEX(TZ_DSTE,MATCH(P318,TZ_STN,0))),INDEX(TZ_DST,MATCH(P318,TZ_STN,0)),INDEX(TZ_STD,MATCH(P318,TZ_STN,0))))/24</f>
        <v>46306.5451388889</v>
      </c>
      <c r="S318" s="59" t="n">
        <f aca="false">IF(ISNUMBER(Flights!$AZ$13),MAX(Q318-UpliftWindowH/24,Flights!$AZ$13),Q318-UpliftWindowH/24)</f>
        <v>46306.0034722222</v>
      </c>
      <c r="T318" s="60"/>
      <c r="U318" s="60"/>
      <c r="V318" s="60"/>
      <c r="W318" s="61"/>
      <c r="X318" s="60"/>
      <c r="Y318" s="60"/>
      <c r="Z318" s="60"/>
      <c r="AA318" s="60"/>
      <c r="AB318" s="60"/>
      <c r="AC318" s="60"/>
      <c r="AD318" s="66"/>
      <c r="AE318" s="60"/>
      <c r="AF318" s="61" t="str">
        <f aca="false">IF(AND(ISNUMBER(X318),ISNUMBER(Y318)),Y318-X318,"")</f>
        <v/>
      </c>
      <c r="AG318" s="62" t="str">
        <f aca="false">IF(ISNUMBER(AD318),AD318-(IF(AND(INDEX(TZ_DSTS,MATCH(P318,TZ_STN,0))&lt;&gt;"",(AD318-INDEX(TZ_STD,MATCH(P318,TZ_STN,0))/24)&gt;=INDEX(TZ_DSTS,MATCH(P318,TZ_STN,0)),(AD318-INDEX(TZ_STD,MATCH(P318,TZ_STN,0))/24)&lt;INDEX(TZ_DSTE,MATCH(P318,TZ_STN,0))),INDEX(TZ_DST,MATCH(P318,TZ_STN,0)),INDEX(TZ_STD,MATCH(P318,TZ_STN,0))))/24,"")</f>
        <v/>
      </c>
      <c r="AH318" s="65" t="str">
        <f aca="false">IFERROR(IF(N318="N/A – rule","N/A – RULE",IF(TRIM(U318)="N/A",IF(AT318=0,"INVALID – N/A not permitted for this check",IF(AND(TRIM(AB318)&lt;&gt;"",TRIM(AB318)&lt;&gt;"Closed"),"INVALID – corrective action still open",IF(AND(NOT(OR(LEN(AZ318)&lt;15,ISNUMBER(MATCH(AZ318,L_Placeholder,0)))),NOT(OR(LEN(AU318)&lt;2,ISNUMBER(MATCH(AU318,L_Placeholder,0)))),NOT(OR(LEN(AX318)&lt;2,ISNUMBER(MATCH(AX318,L_Placeholder,0)))),TRIM(AE318)&lt;&gt;TRIM(T318)),"N/A – JUSTIFIED","INVALID – N/A needs a real justification (15+ chars), PIC and a different verifier"))),IF(OR(TRIM(U318)="Pass",TRIM(U318)="Pass after CA"),IF(NOT(ISNUMBER(AD318)),"INVALID – completion time missing",IF(OR(LEN(AU318)&lt;2,ISNUMBER(MATCH(AU318,L_Placeholder,0))),"INVALID – PIC missing",IF(OR(LEN(AV318)&lt;2,ISNUMBER(MATCH(AV318,L_Placeholder,0))),"INVALID – result / assessment missing",IF(OR(OR(LEN(AW318)&lt;3,ISNUMBER(MATCH(AW318,L_Placeholder,0))),SUMPRODUCT(--ISNUMBER(SEARCH(L_EvidencePhrase,AW318)))&gt;0),"INVALID – evidence missing, placeholder or not yet on file",IF(OR(LEN(AX318)&lt;2,ISNUMBER(MATCH(AX318,L_Placeholder,0))),"INVALID – verifier missing",IF(AX318=AU318,"INVALID – verifier must be someone other than the PIC",IF(AND(TRIM(U318)="Pass",SUMPRODUCT(--ISNUMBER(SEARCH(L_ResultBad,AV318)))&gt;0),"INVALID – result describes a problem: use Fail, then Pass after CA",IF(AND(AQ318=1,OR(LEN(AY318)&lt;3,ISNUMBER(MATCH(AY318,L_Placeholder,0)))),"INVALID – batch ID missing or placeholder",IF(AND(AR318=1,OR(NOT(ISNUMBER(X318)),NOT(ISNUMBER(Y318)))),"INVALID – expected/actual qty missing",IF(AND(AR318=1,OR(X318&lt;=0,Y318&lt;0)),"INVALID – expected qty must be above 0 and actual not negative",IF(AH306="N/A – JUSTIFIED","INVALID – preparation row F09-T12-14 is N/A",IF(AND(AR318=1,ISNUMBER(X306),X318&lt;&gt;X306),"INVALID – expected qty differs from preparation check F09-T12-14",IF(BB318&lt;&gt;"",BB318,IF(AND(AS318=1,Documents!$J$13&lt;&gt;"ON FILE"),"INVALID – GLD not on file (Documents sheet)",IF(AND(AS318=2,Documents!$O$13&lt;&gt;"ON FILE"),"INVALID – menu checklist not on file (Documents sheet)",IF(AND(AS318=3,NOT(ISNUMBER(Flights!$AX$13))),"INVALID – enter carrying flight KUL departure (Flights AX)",IF(AND(AS318=3,OR(Flights!$AZ$13&gt;Flights!$AA$13,Flights!$AX$13&lt;Flights!$AA$13-3)),"INVALID – carrying flight (Flights AX) cannot arrive before this leg's STD, or is over 3 days early",IF(AG318&gt;AsOfUTC,"INVALID – completion time is in the future",IF(AND(ISNUMBER(S318),AG318&lt;S318),IF(H318="Physical uplift","INVALID – before uplift window (cannot confirm loading)","INVALID – before valid window"),IF(AG318&gt;Flights!$AA$13,"INVALID – completed after departure (cannot establish readiness)",IF(AND(H318="Preparation",AG318&gt;IF(ISNUMBER(Flights!$BA$13),MIN(Flights!$BA$13,Flights!$AA$13),Flights!$AA$13)),"INVALID – completed after loading / departure (cannot establish readiness)",IF(AND(H318="Physical uplift",AG318&gt;Q318),"INVALID – recorded after the loading flight departed",IF(AG318&gt;Q318,"COMPLETE – LATE","COMPLETE"))))))))))))))))))))))),IF(TRIM(U318)="Fail","FAIL – DISCREPANCY",IF(AND(TRIM(U318)&lt;&gt;"",TRIM(U318)&lt;&gt;"Not started",TRIM(U318)&lt;&gt;"In progress"),"INVALID – unrecognised status (use the list)",IF(AsOfUTC&gt;Q318,"OVERDUE",IF(N318="Clarification required","OPEN – CLARIFICATION","OPEN"))))))),"INVALID – error value in an input cell")</f>
        <v>OPEN</v>
      </c>
      <c r="AI318" s="61" t="n">
        <f aca="false">IF(OR(AH318="N/A – RULE",AH318="N/A – JUSTIFIED"),0,1)</f>
        <v>1</v>
      </c>
      <c r="AJ318" s="61" t="n">
        <f aca="false">IF(LEFT(AH318,8)="COMPLETE",1,0)</f>
        <v>0</v>
      </c>
      <c r="AK318" s="61" t="n">
        <f aca="false">IF(AND(AI318=1,AJ318=0,AsOfUTC&gt;Q318),1,0)</f>
        <v>0</v>
      </c>
      <c r="AL318" s="61" t="n">
        <f aca="false">IFERROR(IF(AND(AI318=1,OR(TRIM(U318)="Fail",AND(TRIM(AB318)&lt;&gt;"",TRIM(AB318)&lt;&gt;"Closed"),AND(ISNUMBER(AF318),AF318&lt;&gt;0,TRIM(U318)&lt;&gt;"Pass after CA"))),1,0),1)</f>
        <v>0</v>
      </c>
      <c r="AM318" s="61" t="n">
        <f aca="false">IF(LEFT(AH318,7)="INVALID",1,0)</f>
        <v>0</v>
      </c>
      <c r="AN318" s="61" t="n">
        <f aca="false">IF(AND(N318="Clarification required",AI318=1,AJ318=0),1,0)</f>
        <v>0</v>
      </c>
      <c r="AO318" s="61" t="str">
        <f aca="false">IF(AK318=1,SUM(AK$5:AK318),"")</f>
        <v/>
      </c>
      <c r="AP318" s="61" t="str">
        <f aca="false">IF(AL318=1,SUM(AL$5:AL318),"")</f>
        <v/>
      </c>
      <c r="AQ318" s="61" t="n">
        <v>0</v>
      </c>
      <c r="AR318" s="61" t="n">
        <v>0</v>
      </c>
      <c r="AS318" s="61" t="n">
        <v>0</v>
      </c>
      <c r="AT318" s="61" t="n">
        <v>0</v>
      </c>
      <c r="AU318" s="61" t="str">
        <f aca="false">SUBSTITUTE(SUBSTITUTE(SUBSTITUTE(SUBSTITUTE(SUBSTITUTE(SUBSTITUTE(SUBSTITUTE(SUBSTITUTE(SUBSTITUTE(SUBSTITUTE(SUBSTITUTE(SUBSTITUTE(SUBSTITUTE(LOWER(T318&amp;""),CHAR(160),"")," ",""),".",""),"-",""),"/",""),"?",""),"_",""),",",""),"[",""),"]",""),"(",""),")",""),"*","")</f>
        <v/>
      </c>
      <c r="AV318" s="61" t="str">
        <f aca="false">SUBSTITUTE(SUBSTITUTE(SUBSTITUTE(SUBSTITUTE(SUBSTITUTE(SUBSTITUTE(SUBSTITUTE(SUBSTITUTE(SUBSTITUTE(SUBSTITUTE(SUBSTITUTE(SUBSTITUTE(SUBSTITUTE(LOWER(V318&amp;""),CHAR(160),"")," ",""),".",""),"-",""),"/",""),"?",""),"_",""),",",""),"[",""),"]",""),"(",""),")",""),"*","")</f>
        <v/>
      </c>
      <c r="AW318" s="61" t="str">
        <f aca="false">SUBSTITUTE(SUBSTITUTE(SUBSTITUTE(SUBSTITUTE(SUBSTITUTE(SUBSTITUTE(SUBSTITUTE(SUBSTITUTE(SUBSTITUTE(SUBSTITUTE(SUBSTITUTE(SUBSTITUTE(SUBSTITUTE(LOWER(Z318&amp;""),CHAR(160),"")," ",""),".",""),"-",""),"/",""),"?",""),"_",""),",",""),"[",""),"]",""),"(",""),")",""),"*","")</f>
        <v/>
      </c>
      <c r="AX318" s="61" t="str">
        <f aca="false">SUBSTITUTE(SUBSTITUTE(SUBSTITUTE(SUBSTITUTE(SUBSTITUTE(SUBSTITUTE(SUBSTITUTE(SUBSTITUTE(SUBSTITUTE(SUBSTITUTE(SUBSTITUTE(SUBSTITUTE(SUBSTITUTE(LOWER(AE318&amp;""),CHAR(160),"")," ",""),".",""),"-",""),"/",""),"?",""),"_",""),",",""),"[",""),"]",""),"(",""),")",""),"*","")</f>
        <v/>
      </c>
      <c r="AY318" s="61" t="str">
        <f aca="false">SUBSTITUTE(SUBSTITUTE(SUBSTITUTE(SUBSTITUTE(SUBSTITUTE(SUBSTITUTE(SUBSTITUTE(SUBSTITUTE(SUBSTITUTE(SUBSTITUTE(SUBSTITUTE(SUBSTITUTE(SUBSTITUTE(LOWER(W318&amp;""),CHAR(160),"")," ",""),".",""),"-",""),"/",""),"?",""),"_",""),",",""),"[",""),"]",""),"(",""),")",""),"*","")</f>
        <v/>
      </c>
      <c r="AZ318" s="61" t="str">
        <f aca="false">SUBSTITUTE(SUBSTITUTE(SUBSTITUTE(SUBSTITUTE(SUBSTITUTE(SUBSTITUTE(SUBSTITUTE(SUBSTITUTE(SUBSTITUTE(SUBSTITUTE(SUBSTITUTE(SUBSTITUTE(SUBSTITUTE(LOWER(AC318&amp;""),CHAR(160),"")," ",""),".",""),"-",""),"/",""),"?",""),"_",""),",",""),"[",""),"]",""),"(",""),")",""),"*","")</f>
        <v/>
      </c>
      <c r="BA318" s="61" t="str">
        <f aca="false">SUBSTITUTE(SUBSTITUTE(SUBSTITUTE(SUBSTITUTE(SUBSTITUTE(SUBSTITUTE(SUBSTITUTE(SUBSTITUTE(SUBSTITUTE(SUBSTITUTE(SUBSTITUTE(SUBSTITUTE(SUBSTITUTE(LOWER(AA318&amp;""),CHAR(160),"")," ",""),".",""),"-",""),"/",""),"?",""),"_",""),",",""),"[",""),"]",""),"(",""),")",""),"*","")</f>
        <v/>
      </c>
      <c r="BB318" s="61" t="str">
        <f aca="false">IF(AND(TRIM(U318)="Pass",ISNUMBER(AF318)),IF(AF318&lt;&gt;0,"INVALID – qty variance: use Fail or Pass after CA",""),"")&amp;IF(AND(TRIM(U318)="Pass after CA",ISNUMBER(AF318)),IF(AF318&lt;&gt;0,"INVALID – after the corrective action the actual qty must equal expected (update Actual)",""),"")&amp;IF(AND(TRIM(U318)="Pass",TRIM(AB318)&lt;&gt;"",TRIM(AB318)&lt;&gt;"Closed"),"INVALID – corrective action not closed: use Fail, then Pass after CA","")&amp;IF(AND(TRIM(AA318)&lt;&gt;"",TRIM(AB318)=""),"INVALID – CA status missing for the recorded corrective action","")&amp;IF(AND(TRIM(U318)="Pass after CA",OR(OR(LEN(BA318)&lt;5,ISNUMBER(MATCH(BA318,L_Placeholder,0))),TRIM(AB318)&lt;&gt;"Closed")),"INVALID – corrective action not recorded/closed","")</f>
        <v/>
      </c>
    </row>
    <row r="319" customFormat="false" ht="39.75" hidden="false" customHeight="true" outlineLevel="0" collapsed="false">
      <c r="A319" s="57" t="s">
        <v>886</v>
      </c>
      <c r="B319" s="57" t="s">
        <v>243</v>
      </c>
      <c r="C319" s="57" t="str">
        <f aca="false">Flights!$F$13</f>
        <v>MH0753</v>
      </c>
      <c r="D319" s="58" t="n">
        <f aca="false">Flights!$D$13</f>
        <v>46306</v>
      </c>
      <c r="E319" s="57" t="str">
        <f aca="false">Flights!$G$13&amp;"-"&amp;Flights!$H$13</f>
        <v>HAN-KUL</v>
      </c>
      <c r="F319" s="57" t="str">
        <f aca="false">Flights!$K$13</f>
        <v>BC</v>
      </c>
      <c r="G319" s="57" t="s">
        <v>437</v>
      </c>
      <c r="H319" s="57" t="s">
        <v>438</v>
      </c>
      <c r="I319" s="57" t="s">
        <v>477</v>
      </c>
      <c r="J319" s="57" t="s">
        <v>529</v>
      </c>
      <c r="K319" s="67" t="s">
        <v>479</v>
      </c>
      <c r="L319" s="67" t="s">
        <v>872</v>
      </c>
      <c r="M319" s="67" t="s">
        <v>429</v>
      </c>
      <c r="N319" s="67" t="s">
        <v>361</v>
      </c>
      <c r="O319" s="67"/>
      <c r="P319" s="57" t="s">
        <v>237</v>
      </c>
      <c r="Q319" s="59" t="n">
        <f aca="false">ROUND((Flights!$AF$13)*1440,0)/1440</f>
        <v>46306.2534722222</v>
      </c>
      <c r="R319" s="59" t="n">
        <f aca="false">Q319+(IF(AND(INDEX(TZ_DSTS,MATCH(P319,TZ_STN,0))&lt;&gt;"",Q319&gt;=INDEX(TZ_DSTS,MATCH(P319,TZ_STN,0)),Q319&lt;INDEX(TZ_DSTE,MATCH(P319,TZ_STN,0))),INDEX(TZ_DST,MATCH(P319,TZ_STN,0)),INDEX(TZ_STD,MATCH(P319,TZ_STN,0))))/24</f>
        <v>46306.5451388889</v>
      </c>
      <c r="S319" s="59" t="n">
        <f aca="false">IF(ISNUMBER(Flights!$AZ$13),MAX(Q319-UpliftWindowH/24,Flights!$AZ$13),Q319-UpliftWindowH/24)</f>
        <v>46306.0034722222</v>
      </c>
      <c r="T319" s="60"/>
      <c r="U319" s="60"/>
      <c r="V319" s="60"/>
      <c r="W319" s="61"/>
      <c r="X319" s="60"/>
      <c r="Y319" s="60"/>
      <c r="Z319" s="60"/>
      <c r="AA319" s="60"/>
      <c r="AB319" s="60"/>
      <c r="AC319" s="60"/>
      <c r="AD319" s="66"/>
      <c r="AE319" s="60"/>
      <c r="AF319" s="61" t="str">
        <f aca="false">IF(AND(ISNUMBER(X319),ISNUMBER(Y319)),Y319-X319,"")</f>
        <v/>
      </c>
      <c r="AG319" s="62" t="str">
        <f aca="false">IF(ISNUMBER(AD319),AD319-(IF(AND(INDEX(TZ_DSTS,MATCH(P319,TZ_STN,0))&lt;&gt;"",(AD319-INDEX(TZ_STD,MATCH(P319,TZ_STN,0))/24)&gt;=INDEX(TZ_DSTS,MATCH(P319,TZ_STN,0)),(AD319-INDEX(TZ_STD,MATCH(P319,TZ_STN,0))/24)&lt;INDEX(TZ_DSTE,MATCH(P319,TZ_STN,0))),INDEX(TZ_DST,MATCH(P319,TZ_STN,0)),INDEX(TZ_STD,MATCH(P319,TZ_STN,0))))/24,"")</f>
        <v/>
      </c>
      <c r="AH319" s="65" t="str">
        <f aca="false">IFERROR(IF(N319="N/A – rule","N/A – RULE",IF(TRIM(U319)="N/A",IF(AT319=0,"INVALID – N/A not permitted for this check",IF(AND(TRIM(AB319)&lt;&gt;"",TRIM(AB319)&lt;&gt;"Closed"),"INVALID – corrective action still open",IF(AND(NOT(OR(LEN(AZ319)&lt;15,ISNUMBER(MATCH(AZ319,L_Placeholder,0)))),NOT(OR(LEN(AU319)&lt;2,ISNUMBER(MATCH(AU319,L_Placeholder,0)))),NOT(OR(LEN(AX319)&lt;2,ISNUMBER(MATCH(AX319,L_Placeholder,0)))),TRIM(AE319)&lt;&gt;TRIM(T319)),"N/A – JUSTIFIED","INVALID – N/A needs a real justification (15+ chars), PIC and a different verifier"))),IF(OR(TRIM(U319)="Pass",TRIM(U319)="Pass after CA"),IF(NOT(ISNUMBER(AD319)),"INVALID – completion time missing",IF(OR(LEN(AU319)&lt;2,ISNUMBER(MATCH(AU319,L_Placeholder,0))),"INVALID – PIC missing",IF(OR(LEN(AV319)&lt;2,ISNUMBER(MATCH(AV319,L_Placeholder,0))),"INVALID – result / assessment missing",IF(OR(OR(LEN(AW319)&lt;3,ISNUMBER(MATCH(AW319,L_Placeholder,0))),SUMPRODUCT(--ISNUMBER(SEARCH(L_EvidencePhrase,AW319)))&gt;0),"INVALID – evidence missing, placeholder or not yet on file",IF(OR(LEN(AX319)&lt;2,ISNUMBER(MATCH(AX319,L_Placeholder,0))),"INVALID – verifier missing",IF(AX319=AU319,"INVALID – verifier must be someone other than the PIC",IF(AND(TRIM(U319)="Pass",SUMPRODUCT(--ISNUMBER(SEARCH(L_ResultBad,AV319)))&gt;0),"INVALID – result describes a problem: use Fail, then Pass after CA",IF(AND(AQ319=1,OR(LEN(AY319)&lt;3,ISNUMBER(MATCH(AY319,L_Placeholder,0)))),"INVALID – batch ID missing or placeholder",IF(AND(AR319=1,OR(NOT(ISNUMBER(X319)),NOT(ISNUMBER(Y319)))),"INVALID – expected/actual qty missing",IF(AND(AR319=1,OR(X319&lt;=0,Y319&lt;0)),"INVALID – expected qty must be above 0 and actual not negative",IF(AH307="N/A – JUSTIFIED","INVALID – preparation row F09-T12-15 is N/A",IF(AND(AR319=1,ISNUMBER(X307),X319&lt;&gt;X307),"INVALID – expected qty differs from preparation check F09-T12-15",IF(BB319&lt;&gt;"",BB319,IF(AND(AS319=1,Documents!$J$13&lt;&gt;"ON FILE"),"INVALID – GLD not on file (Documents sheet)",IF(AND(AS319=2,Documents!$O$13&lt;&gt;"ON FILE"),"INVALID – menu checklist not on file (Documents sheet)",IF(AND(AS319=3,NOT(ISNUMBER(Flights!$AX$13))),"INVALID – enter carrying flight KUL departure (Flights AX)",IF(AND(AS319=3,OR(Flights!$AZ$13&gt;Flights!$AA$13,Flights!$AX$13&lt;Flights!$AA$13-3)),"INVALID – carrying flight (Flights AX) cannot arrive before this leg's STD, or is over 3 days early",IF(AG319&gt;AsOfUTC,"INVALID – completion time is in the future",IF(AND(ISNUMBER(S319),AG319&lt;S319),IF(H319="Physical uplift","INVALID – before uplift window (cannot confirm loading)","INVALID – before valid window"),IF(AG319&gt;Flights!$AA$13,"INVALID – completed after departure (cannot establish readiness)",IF(AND(H319="Preparation",AG319&gt;IF(ISNUMBER(Flights!$BA$13),MIN(Flights!$BA$13,Flights!$AA$13),Flights!$AA$13)),"INVALID – completed after loading / departure (cannot establish readiness)",IF(AND(H319="Physical uplift",AG319&gt;Q319),"INVALID – recorded after the loading flight departed",IF(AG319&gt;Q319,"COMPLETE – LATE","COMPLETE"))))))))))))))))))))))),IF(TRIM(U319)="Fail","FAIL – DISCREPANCY",IF(AND(TRIM(U319)&lt;&gt;"",TRIM(U319)&lt;&gt;"Not started",TRIM(U319)&lt;&gt;"In progress"),"INVALID – unrecognised status (use the list)",IF(AsOfUTC&gt;Q319,"OVERDUE",IF(N319="Clarification required","OPEN – CLARIFICATION","OPEN"))))))),"INVALID – error value in an input cell")</f>
        <v>OPEN</v>
      </c>
      <c r="AI319" s="61" t="n">
        <f aca="false">IF(OR(AH319="N/A – RULE",AH319="N/A – JUSTIFIED"),0,1)</f>
        <v>1</v>
      </c>
      <c r="AJ319" s="61" t="n">
        <f aca="false">IF(LEFT(AH319,8)="COMPLETE",1,0)</f>
        <v>0</v>
      </c>
      <c r="AK319" s="61" t="n">
        <f aca="false">IF(AND(AI319=1,AJ319=0,AsOfUTC&gt;Q319),1,0)</f>
        <v>0</v>
      </c>
      <c r="AL319" s="61" t="n">
        <f aca="false">IFERROR(IF(AND(AI319=1,OR(TRIM(U319)="Fail",AND(TRIM(AB319)&lt;&gt;"",TRIM(AB319)&lt;&gt;"Closed"),AND(ISNUMBER(AF319),AF319&lt;&gt;0,TRIM(U319)&lt;&gt;"Pass after CA"))),1,0),1)</f>
        <v>0</v>
      </c>
      <c r="AM319" s="61" t="n">
        <f aca="false">IF(LEFT(AH319,7)="INVALID",1,0)</f>
        <v>0</v>
      </c>
      <c r="AN319" s="61" t="n">
        <f aca="false">IF(AND(N319="Clarification required",AI319=1,AJ319=0),1,0)</f>
        <v>0</v>
      </c>
      <c r="AO319" s="61" t="str">
        <f aca="false">IF(AK319=1,SUM(AK$5:AK319),"")</f>
        <v/>
      </c>
      <c r="AP319" s="61" t="str">
        <f aca="false">IF(AL319=1,SUM(AL$5:AL319),"")</f>
        <v/>
      </c>
      <c r="AQ319" s="61" t="n">
        <v>0</v>
      </c>
      <c r="AR319" s="61" t="n">
        <v>0</v>
      </c>
      <c r="AS319" s="61" t="n">
        <v>0</v>
      </c>
      <c r="AT319" s="61" t="n">
        <v>0</v>
      </c>
      <c r="AU319" s="61" t="str">
        <f aca="false">SUBSTITUTE(SUBSTITUTE(SUBSTITUTE(SUBSTITUTE(SUBSTITUTE(SUBSTITUTE(SUBSTITUTE(SUBSTITUTE(SUBSTITUTE(SUBSTITUTE(SUBSTITUTE(SUBSTITUTE(SUBSTITUTE(LOWER(T319&amp;""),CHAR(160),"")," ",""),".",""),"-",""),"/",""),"?",""),"_",""),",",""),"[",""),"]",""),"(",""),")",""),"*","")</f>
        <v/>
      </c>
      <c r="AV319" s="61" t="str">
        <f aca="false">SUBSTITUTE(SUBSTITUTE(SUBSTITUTE(SUBSTITUTE(SUBSTITUTE(SUBSTITUTE(SUBSTITUTE(SUBSTITUTE(SUBSTITUTE(SUBSTITUTE(SUBSTITUTE(SUBSTITUTE(SUBSTITUTE(LOWER(V319&amp;""),CHAR(160),"")," ",""),".",""),"-",""),"/",""),"?",""),"_",""),",",""),"[",""),"]",""),"(",""),")",""),"*","")</f>
        <v/>
      </c>
      <c r="AW319" s="61" t="str">
        <f aca="false">SUBSTITUTE(SUBSTITUTE(SUBSTITUTE(SUBSTITUTE(SUBSTITUTE(SUBSTITUTE(SUBSTITUTE(SUBSTITUTE(SUBSTITUTE(SUBSTITUTE(SUBSTITUTE(SUBSTITUTE(SUBSTITUTE(LOWER(Z319&amp;""),CHAR(160),"")," ",""),".",""),"-",""),"/",""),"?",""),"_",""),",",""),"[",""),"]",""),"(",""),")",""),"*","")</f>
        <v/>
      </c>
      <c r="AX319" s="61" t="str">
        <f aca="false">SUBSTITUTE(SUBSTITUTE(SUBSTITUTE(SUBSTITUTE(SUBSTITUTE(SUBSTITUTE(SUBSTITUTE(SUBSTITUTE(SUBSTITUTE(SUBSTITUTE(SUBSTITUTE(SUBSTITUTE(SUBSTITUTE(LOWER(AE319&amp;""),CHAR(160),"")," ",""),".",""),"-",""),"/",""),"?",""),"_",""),",",""),"[",""),"]",""),"(",""),")",""),"*","")</f>
        <v/>
      </c>
      <c r="AY319" s="61" t="str">
        <f aca="false">SUBSTITUTE(SUBSTITUTE(SUBSTITUTE(SUBSTITUTE(SUBSTITUTE(SUBSTITUTE(SUBSTITUTE(SUBSTITUTE(SUBSTITUTE(SUBSTITUTE(SUBSTITUTE(SUBSTITUTE(SUBSTITUTE(LOWER(W319&amp;""),CHAR(160),"")," ",""),".",""),"-",""),"/",""),"?",""),"_",""),",",""),"[",""),"]",""),"(",""),")",""),"*","")</f>
        <v/>
      </c>
      <c r="AZ319" s="61" t="str">
        <f aca="false">SUBSTITUTE(SUBSTITUTE(SUBSTITUTE(SUBSTITUTE(SUBSTITUTE(SUBSTITUTE(SUBSTITUTE(SUBSTITUTE(SUBSTITUTE(SUBSTITUTE(SUBSTITUTE(SUBSTITUTE(SUBSTITUTE(LOWER(AC319&amp;""),CHAR(160),"")," ",""),".",""),"-",""),"/",""),"?",""),"_",""),",",""),"[",""),"]",""),"(",""),")",""),"*","")</f>
        <v/>
      </c>
      <c r="BA319" s="61" t="str">
        <f aca="false">SUBSTITUTE(SUBSTITUTE(SUBSTITUTE(SUBSTITUTE(SUBSTITUTE(SUBSTITUTE(SUBSTITUTE(SUBSTITUTE(SUBSTITUTE(SUBSTITUTE(SUBSTITUTE(SUBSTITUTE(SUBSTITUTE(LOWER(AA319&amp;""),CHAR(160),"")," ",""),".",""),"-",""),"/",""),"?",""),"_",""),",",""),"[",""),"]",""),"(",""),")",""),"*","")</f>
        <v/>
      </c>
      <c r="BB319" s="61" t="str">
        <f aca="false">IF(AND(TRIM(U319)="Pass",ISNUMBER(AF319)),IF(AF319&lt;&gt;0,"INVALID – qty variance: use Fail or Pass after CA",""),"")&amp;IF(AND(TRIM(U319)="Pass after CA",ISNUMBER(AF319)),IF(AF319&lt;&gt;0,"INVALID – after the corrective action the actual qty must equal expected (update Actual)",""),"")&amp;IF(AND(TRIM(U319)="Pass",TRIM(AB319)&lt;&gt;"",TRIM(AB319)&lt;&gt;"Closed"),"INVALID – corrective action not closed: use Fail, then Pass after CA","")&amp;IF(AND(TRIM(AA319)&lt;&gt;"",TRIM(AB319)=""),"INVALID – CA status missing for the recorded corrective action","")&amp;IF(AND(TRIM(U319)="Pass after CA",OR(OR(LEN(BA319)&lt;5,ISNUMBER(MATCH(BA319,L_Placeholder,0))),TRIM(AB319)&lt;&gt;"Closed")),"INVALID – corrective action not recorded/closed","")</f>
        <v/>
      </c>
    </row>
    <row r="320" customFormat="false" ht="39.75" hidden="false" customHeight="true" outlineLevel="0" collapsed="false">
      <c r="A320" s="57" t="s">
        <v>887</v>
      </c>
      <c r="B320" s="57" t="s">
        <v>243</v>
      </c>
      <c r="C320" s="57" t="str">
        <f aca="false">Flights!$F$13</f>
        <v>MH0753</v>
      </c>
      <c r="D320" s="58" t="n">
        <f aca="false">Flights!$D$13</f>
        <v>46306</v>
      </c>
      <c r="E320" s="57" t="str">
        <f aca="false">Flights!$G$13&amp;"-"&amp;Flights!$H$13</f>
        <v>HAN-KUL</v>
      </c>
      <c r="F320" s="57" t="str">
        <f aca="false">Flights!$K$13</f>
        <v>BC</v>
      </c>
      <c r="G320" s="57" t="s">
        <v>437</v>
      </c>
      <c r="H320" s="57" t="s">
        <v>438</v>
      </c>
      <c r="I320" s="57" t="s">
        <v>425</v>
      </c>
      <c r="J320" s="57" t="s">
        <v>531</v>
      </c>
      <c r="K320" s="67" t="s">
        <v>427</v>
      </c>
      <c r="L320" s="67" t="s">
        <v>874</v>
      </c>
      <c r="M320" s="67" t="s">
        <v>429</v>
      </c>
      <c r="N320" s="67" t="s">
        <v>361</v>
      </c>
      <c r="O320" s="67"/>
      <c r="P320" s="57" t="s">
        <v>237</v>
      </c>
      <c r="Q320" s="59" t="n">
        <f aca="false">ROUND((Flights!$AF$13)*1440,0)/1440</f>
        <v>46306.2534722222</v>
      </c>
      <c r="R320" s="59" t="n">
        <f aca="false">Q320+(IF(AND(INDEX(TZ_DSTS,MATCH(P320,TZ_STN,0))&lt;&gt;"",Q320&gt;=INDEX(TZ_DSTS,MATCH(P320,TZ_STN,0)),Q320&lt;INDEX(TZ_DSTE,MATCH(P320,TZ_STN,0))),INDEX(TZ_DST,MATCH(P320,TZ_STN,0)),INDEX(TZ_STD,MATCH(P320,TZ_STN,0))))/24</f>
        <v>46306.5451388889</v>
      </c>
      <c r="S320" s="59" t="n">
        <f aca="false">IF(ISNUMBER(Flights!$AZ$13),MAX(Q320-UpliftWindowH/24,Flights!$AZ$13),Q320-UpliftWindowH/24)</f>
        <v>46306.0034722222</v>
      </c>
      <c r="T320" s="60"/>
      <c r="U320" s="60"/>
      <c r="V320" s="60"/>
      <c r="W320" s="61"/>
      <c r="X320" s="60"/>
      <c r="Y320" s="60"/>
      <c r="Z320" s="60"/>
      <c r="AA320" s="60"/>
      <c r="AB320" s="60"/>
      <c r="AC320" s="60"/>
      <c r="AD320" s="66"/>
      <c r="AE320" s="60"/>
      <c r="AF320" s="61" t="str">
        <f aca="false">IF(AND(ISNUMBER(X320),ISNUMBER(Y320)),Y320-X320,"")</f>
        <v/>
      </c>
      <c r="AG320" s="62" t="str">
        <f aca="false">IF(ISNUMBER(AD320),AD320-(IF(AND(INDEX(TZ_DSTS,MATCH(P320,TZ_STN,0))&lt;&gt;"",(AD320-INDEX(TZ_STD,MATCH(P320,TZ_STN,0))/24)&gt;=INDEX(TZ_DSTS,MATCH(P320,TZ_STN,0)),(AD320-INDEX(TZ_STD,MATCH(P320,TZ_STN,0))/24)&lt;INDEX(TZ_DSTE,MATCH(P320,TZ_STN,0))),INDEX(TZ_DST,MATCH(P320,TZ_STN,0)),INDEX(TZ_STD,MATCH(P320,TZ_STN,0))))/24,"")</f>
        <v/>
      </c>
      <c r="AH320" s="65" t="str">
        <f aca="false">IFERROR(IF(N320="N/A – rule","N/A – RULE",IF(TRIM(U320)="N/A",IF(AT320=0,"INVALID – N/A not permitted for this check",IF(AND(TRIM(AB320)&lt;&gt;"",TRIM(AB320)&lt;&gt;"Closed"),"INVALID – corrective action still open",IF(AND(NOT(OR(LEN(AZ320)&lt;15,ISNUMBER(MATCH(AZ320,L_Placeholder,0)))),NOT(OR(LEN(AU320)&lt;2,ISNUMBER(MATCH(AU320,L_Placeholder,0)))),NOT(OR(LEN(AX320)&lt;2,ISNUMBER(MATCH(AX320,L_Placeholder,0)))),TRIM(AE320)&lt;&gt;TRIM(T320)),"N/A – JUSTIFIED","INVALID – N/A needs a real justification (15+ chars), PIC and a different verifier"))),IF(OR(TRIM(U320)="Pass",TRIM(U320)="Pass after CA"),IF(NOT(ISNUMBER(AD320)),"INVALID – completion time missing",IF(OR(LEN(AU320)&lt;2,ISNUMBER(MATCH(AU320,L_Placeholder,0))),"INVALID – PIC missing",IF(OR(LEN(AV320)&lt;2,ISNUMBER(MATCH(AV320,L_Placeholder,0))),"INVALID – result / assessment missing",IF(OR(OR(LEN(AW320)&lt;3,ISNUMBER(MATCH(AW320,L_Placeholder,0))),SUMPRODUCT(--ISNUMBER(SEARCH(L_EvidencePhrase,AW320)))&gt;0),"INVALID – evidence missing, placeholder or not yet on file",IF(OR(LEN(AX320)&lt;2,ISNUMBER(MATCH(AX320,L_Placeholder,0))),"INVALID – verifier missing",IF(AX320=AU320,"INVALID – verifier must be someone other than the PIC",IF(AND(TRIM(U320)="Pass",SUMPRODUCT(--ISNUMBER(SEARCH(L_ResultBad,AV320)))&gt;0),"INVALID – result describes a problem: use Fail, then Pass after CA",IF(AND(AQ320=1,OR(LEN(AY320)&lt;3,ISNUMBER(MATCH(AY320,L_Placeholder,0)))),"INVALID – batch ID missing or placeholder",IF(AND(AR320=1,OR(NOT(ISNUMBER(X320)),NOT(ISNUMBER(Y320)))),"INVALID – expected/actual qty missing",IF(AND(AR320=1,OR(X320&lt;=0,Y320&lt;0)),"INVALID – expected qty must be above 0 and actual not negative",IF(AH308="N/A – JUSTIFIED","INVALID – preparation row F09-T12-16 is N/A",IF(AND(AR320=1,ISNUMBER(X308),X320&lt;&gt;X308),"INVALID – expected qty differs from preparation check F09-T12-16",IF(BB320&lt;&gt;"",BB320,IF(AND(AS320=1,Documents!$J$13&lt;&gt;"ON FILE"),"INVALID – GLD not on file (Documents sheet)",IF(AND(AS320=2,Documents!$O$13&lt;&gt;"ON FILE"),"INVALID – menu checklist not on file (Documents sheet)",IF(AND(AS320=3,NOT(ISNUMBER(Flights!$AX$13))),"INVALID – enter carrying flight KUL departure (Flights AX)",IF(AND(AS320=3,OR(Flights!$AZ$13&gt;Flights!$AA$13,Flights!$AX$13&lt;Flights!$AA$13-3)),"INVALID – carrying flight (Flights AX) cannot arrive before this leg's STD, or is over 3 days early",IF(AG320&gt;AsOfUTC,"INVALID – completion time is in the future",IF(AND(ISNUMBER(S320),AG320&lt;S320),IF(H320="Physical uplift","INVALID – before uplift window (cannot confirm loading)","INVALID – before valid window"),IF(AG320&gt;Flights!$AA$13,"INVALID – completed after departure (cannot establish readiness)",IF(AND(H320="Preparation",AG320&gt;IF(ISNUMBER(Flights!$BA$13),MIN(Flights!$BA$13,Flights!$AA$13),Flights!$AA$13)),"INVALID – completed after loading / departure (cannot establish readiness)",IF(AND(H320="Physical uplift",AG320&gt;Q320),"INVALID – recorded after the loading flight departed",IF(AG320&gt;Q320,"COMPLETE – LATE","COMPLETE"))))))))))))))))))))))),IF(TRIM(U320)="Fail","FAIL – DISCREPANCY",IF(AND(TRIM(U320)&lt;&gt;"",TRIM(U320)&lt;&gt;"Not started",TRIM(U320)&lt;&gt;"In progress"),"INVALID – unrecognised status (use the list)",IF(AsOfUTC&gt;Q320,"OVERDUE",IF(N320="Clarification required","OPEN – CLARIFICATION","OPEN"))))))),"INVALID – error value in an input cell")</f>
        <v>OPEN</v>
      </c>
      <c r="AI320" s="61" t="n">
        <f aca="false">IF(OR(AH320="N/A – RULE",AH320="N/A – JUSTIFIED"),0,1)</f>
        <v>1</v>
      </c>
      <c r="AJ320" s="61" t="n">
        <f aca="false">IF(LEFT(AH320,8)="COMPLETE",1,0)</f>
        <v>0</v>
      </c>
      <c r="AK320" s="61" t="n">
        <f aca="false">IF(AND(AI320=1,AJ320=0,AsOfUTC&gt;Q320),1,0)</f>
        <v>0</v>
      </c>
      <c r="AL320" s="61" t="n">
        <f aca="false">IFERROR(IF(AND(AI320=1,OR(TRIM(U320)="Fail",AND(TRIM(AB320)&lt;&gt;"",TRIM(AB320)&lt;&gt;"Closed"),AND(ISNUMBER(AF320),AF320&lt;&gt;0,TRIM(U320)&lt;&gt;"Pass after CA"))),1,0),1)</f>
        <v>0</v>
      </c>
      <c r="AM320" s="61" t="n">
        <f aca="false">IF(LEFT(AH320,7)="INVALID",1,0)</f>
        <v>0</v>
      </c>
      <c r="AN320" s="61" t="n">
        <f aca="false">IF(AND(N320="Clarification required",AI320=1,AJ320=0),1,0)</f>
        <v>0</v>
      </c>
      <c r="AO320" s="61" t="str">
        <f aca="false">IF(AK320=1,SUM(AK$5:AK320),"")</f>
        <v/>
      </c>
      <c r="AP320" s="61" t="str">
        <f aca="false">IF(AL320=1,SUM(AL$5:AL320),"")</f>
        <v/>
      </c>
      <c r="AQ320" s="61" t="n">
        <v>0</v>
      </c>
      <c r="AR320" s="61" t="n">
        <v>0</v>
      </c>
      <c r="AS320" s="61" t="n">
        <v>0</v>
      </c>
      <c r="AT320" s="61" t="n">
        <v>0</v>
      </c>
      <c r="AU320" s="61" t="str">
        <f aca="false">SUBSTITUTE(SUBSTITUTE(SUBSTITUTE(SUBSTITUTE(SUBSTITUTE(SUBSTITUTE(SUBSTITUTE(SUBSTITUTE(SUBSTITUTE(SUBSTITUTE(SUBSTITUTE(SUBSTITUTE(SUBSTITUTE(LOWER(T320&amp;""),CHAR(160),"")," ",""),".",""),"-",""),"/",""),"?",""),"_",""),",",""),"[",""),"]",""),"(",""),")",""),"*","")</f>
        <v/>
      </c>
      <c r="AV320" s="61" t="str">
        <f aca="false">SUBSTITUTE(SUBSTITUTE(SUBSTITUTE(SUBSTITUTE(SUBSTITUTE(SUBSTITUTE(SUBSTITUTE(SUBSTITUTE(SUBSTITUTE(SUBSTITUTE(SUBSTITUTE(SUBSTITUTE(SUBSTITUTE(LOWER(V320&amp;""),CHAR(160),"")," ",""),".",""),"-",""),"/",""),"?",""),"_",""),",",""),"[",""),"]",""),"(",""),")",""),"*","")</f>
        <v/>
      </c>
      <c r="AW320" s="61" t="str">
        <f aca="false">SUBSTITUTE(SUBSTITUTE(SUBSTITUTE(SUBSTITUTE(SUBSTITUTE(SUBSTITUTE(SUBSTITUTE(SUBSTITUTE(SUBSTITUTE(SUBSTITUTE(SUBSTITUTE(SUBSTITUTE(SUBSTITUTE(LOWER(Z320&amp;""),CHAR(160),"")," ",""),".",""),"-",""),"/",""),"?",""),"_",""),",",""),"[",""),"]",""),"(",""),")",""),"*","")</f>
        <v/>
      </c>
      <c r="AX320" s="61" t="str">
        <f aca="false">SUBSTITUTE(SUBSTITUTE(SUBSTITUTE(SUBSTITUTE(SUBSTITUTE(SUBSTITUTE(SUBSTITUTE(SUBSTITUTE(SUBSTITUTE(SUBSTITUTE(SUBSTITUTE(SUBSTITUTE(SUBSTITUTE(LOWER(AE320&amp;""),CHAR(160),"")," ",""),".",""),"-",""),"/",""),"?",""),"_",""),",",""),"[",""),"]",""),"(",""),")",""),"*","")</f>
        <v/>
      </c>
      <c r="AY320" s="61" t="str">
        <f aca="false">SUBSTITUTE(SUBSTITUTE(SUBSTITUTE(SUBSTITUTE(SUBSTITUTE(SUBSTITUTE(SUBSTITUTE(SUBSTITUTE(SUBSTITUTE(SUBSTITUTE(SUBSTITUTE(SUBSTITUTE(SUBSTITUTE(LOWER(W320&amp;""),CHAR(160),"")," ",""),".",""),"-",""),"/",""),"?",""),"_",""),",",""),"[",""),"]",""),"(",""),")",""),"*","")</f>
        <v/>
      </c>
      <c r="AZ320" s="61" t="str">
        <f aca="false">SUBSTITUTE(SUBSTITUTE(SUBSTITUTE(SUBSTITUTE(SUBSTITUTE(SUBSTITUTE(SUBSTITUTE(SUBSTITUTE(SUBSTITUTE(SUBSTITUTE(SUBSTITUTE(SUBSTITUTE(SUBSTITUTE(LOWER(AC320&amp;""),CHAR(160),"")," ",""),".",""),"-",""),"/",""),"?",""),"_",""),",",""),"[",""),"]",""),"(",""),")",""),"*","")</f>
        <v/>
      </c>
      <c r="BA320" s="61" t="str">
        <f aca="false">SUBSTITUTE(SUBSTITUTE(SUBSTITUTE(SUBSTITUTE(SUBSTITUTE(SUBSTITUTE(SUBSTITUTE(SUBSTITUTE(SUBSTITUTE(SUBSTITUTE(SUBSTITUTE(SUBSTITUTE(SUBSTITUTE(LOWER(AA320&amp;""),CHAR(160),"")," ",""),".",""),"-",""),"/",""),"?",""),"_",""),",",""),"[",""),"]",""),"(",""),")",""),"*","")</f>
        <v/>
      </c>
      <c r="BB320" s="61" t="str">
        <f aca="false">IF(AND(TRIM(U320)="Pass",ISNUMBER(AF320)),IF(AF320&lt;&gt;0,"INVALID – qty variance: use Fail or Pass after CA",""),"")&amp;IF(AND(TRIM(U320)="Pass after CA",ISNUMBER(AF320)),IF(AF320&lt;&gt;0,"INVALID – after the corrective action the actual qty must equal expected (update Actual)",""),"")&amp;IF(AND(TRIM(U320)="Pass",TRIM(AB320)&lt;&gt;"",TRIM(AB320)&lt;&gt;"Closed"),"INVALID – corrective action not closed: use Fail, then Pass after CA","")&amp;IF(AND(TRIM(AA320)&lt;&gt;"",TRIM(AB320)=""),"INVALID – CA status missing for the recorded corrective action","")&amp;IF(AND(TRIM(U320)="Pass after CA",OR(OR(LEN(BA320)&lt;5,ISNUMBER(MATCH(BA320,L_Placeholder,0))),TRIM(AB320)&lt;&gt;"Closed")),"INVALID – corrective action not recorded/closed","")</f>
        <v/>
      </c>
    </row>
    <row r="321" customFormat="false" ht="39.75" hidden="false" customHeight="true" outlineLevel="0" collapsed="false">
      <c r="A321" s="57" t="s">
        <v>888</v>
      </c>
      <c r="B321" s="57" t="s">
        <v>243</v>
      </c>
      <c r="C321" s="57" t="str">
        <f aca="false">Flights!$F$13</f>
        <v>MH0753</v>
      </c>
      <c r="D321" s="58" t="n">
        <f aca="false">Flights!$D$13</f>
        <v>46306</v>
      </c>
      <c r="E321" s="57" t="str">
        <f aca="false">Flights!$G$13&amp;"-"&amp;Flights!$H$13</f>
        <v>HAN-KUL</v>
      </c>
      <c r="F321" s="57" t="str">
        <f aca="false">Flights!$K$13</f>
        <v>BC</v>
      </c>
      <c r="G321" s="57" t="s">
        <v>437</v>
      </c>
      <c r="H321" s="57" t="s">
        <v>438</v>
      </c>
      <c r="I321" s="57" t="s">
        <v>425</v>
      </c>
      <c r="J321" s="57" t="s">
        <v>533</v>
      </c>
      <c r="K321" s="67" t="s">
        <v>427</v>
      </c>
      <c r="L321" s="67" t="s">
        <v>876</v>
      </c>
      <c r="M321" s="67" t="s">
        <v>429</v>
      </c>
      <c r="N321" s="67" t="s">
        <v>361</v>
      </c>
      <c r="O321" s="67"/>
      <c r="P321" s="57" t="s">
        <v>237</v>
      </c>
      <c r="Q321" s="59" t="n">
        <f aca="false">ROUND((Flights!$AF$13)*1440,0)/1440</f>
        <v>46306.2534722222</v>
      </c>
      <c r="R321" s="59" t="n">
        <f aca="false">Q321+(IF(AND(INDEX(TZ_DSTS,MATCH(P321,TZ_STN,0))&lt;&gt;"",Q321&gt;=INDEX(TZ_DSTS,MATCH(P321,TZ_STN,0)),Q321&lt;INDEX(TZ_DSTE,MATCH(P321,TZ_STN,0))),INDEX(TZ_DST,MATCH(P321,TZ_STN,0)),INDEX(TZ_STD,MATCH(P321,TZ_STN,0))))/24</f>
        <v>46306.5451388889</v>
      </c>
      <c r="S321" s="59" t="n">
        <f aca="false">IF(ISNUMBER(Flights!$AZ$13),MAX(Q321-UpliftWindowH/24,Flights!$AZ$13),Q321-UpliftWindowH/24)</f>
        <v>46306.0034722222</v>
      </c>
      <c r="T321" s="60"/>
      <c r="U321" s="60"/>
      <c r="V321" s="60"/>
      <c r="W321" s="61"/>
      <c r="X321" s="60"/>
      <c r="Y321" s="60"/>
      <c r="Z321" s="60"/>
      <c r="AA321" s="60"/>
      <c r="AB321" s="60"/>
      <c r="AC321" s="60"/>
      <c r="AD321" s="66"/>
      <c r="AE321" s="60"/>
      <c r="AF321" s="61" t="str">
        <f aca="false">IF(AND(ISNUMBER(X321),ISNUMBER(Y321)),Y321-X321,"")</f>
        <v/>
      </c>
      <c r="AG321" s="62" t="str">
        <f aca="false">IF(ISNUMBER(AD321),AD321-(IF(AND(INDEX(TZ_DSTS,MATCH(P321,TZ_STN,0))&lt;&gt;"",(AD321-INDEX(TZ_STD,MATCH(P321,TZ_STN,0))/24)&gt;=INDEX(TZ_DSTS,MATCH(P321,TZ_STN,0)),(AD321-INDEX(TZ_STD,MATCH(P321,TZ_STN,0))/24)&lt;INDEX(TZ_DSTE,MATCH(P321,TZ_STN,0))),INDEX(TZ_DST,MATCH(P321,TZ_STN,0)),INDEX(TZ_STD,MATCH(P321,TZ_STN,0))))/24,"")</f>
        <v/>
      </c>
      <c r="AH321" s="65" t="str">
        <f aca="false">IFERROR(IF(N321="N/A – rule","N/A – RULE",IF(TRIM(U321)="N/A",IF(AT321=0,"INVALID – N/A not permitted for this check",IF(AND(TRIM(AB321)&lt;&gt;"",TRIM(AB321)&lt;&gt;"Closed"),"INVALID – corrective action still open",IF(AND(NOT(OR(LEN(AZ321)&lt;15,ISNUMBER(MATCH(AZ321,L_Placeholder,0)))),NOT(OR(LEN(AU321)&lt;2,ISNUMBER(MATCH(AU321,L_Placeholder,0)))),NOT(OR(LEN(AX321)&lt;2,ISNUMBER(MATCH(AX321,L_Placeholder,0)))),TRIM(AE321)&lt;&gt;TRIM(T321)),"N/A – JUSTIFIED","INVALID – N/A needs a real justification (15+ chars), PIC and a different verifier"))),IF(OR(TRIM(U321)="Pass",TRIM(U321)="Pass after CA"),IF(NOT(ISNUMBER(AD321)),"INVALID – completion time missing",IF(OR(LEN(AU321)&lt;2,ISNUMBER(MATCH(AU321,L_Placeholder,0))),"INVALID – PIC missing",IF(OR(LEN(AV321)&lt;2,ISNUMBER(MATCH(AV321,L_Placeholder,0))),"INVALID – result / assessment missing",IF(OR(OR(LEN(AW321)&lt;3,ISNUMBER(MATCH(AW321,L_Placeholder,0))),SUMPRODUCT(--ISNUMBER(SEARCH(L_EvidencePhrase,AW321)))&gt;0),"INVALID – evidence missing, placeholder or not yet on file",IF(OR(LEN(AX321)&lt;2,ISNUMBER(MATCH(AX321,L_Placeholder,0))),"INVALID – verifier missing",IF(AX321=AU321,"INVALID – verifier must be someone other than the PIC",IF(AND(TRIM(U321)="Pass",SUMPRODUCT(--ISNUMBER(SEARCH(L_ResultBad,AV321)))&gt;0),"INVALID – result describes a problem: use Fail, then Pass after CA",IF(AND(AQ321=1,OR(LEN(AY321)&lt;3,ISNUMBER(MATCH(AY321,L_Placeholder,0)))),"INVALID – batch ID missing or placeholder",IF(AND(AR321=1,OR(NOT(ISNUMBER(X321)),NOT(ISNUMBER(Y321)))),"INVALID – expected/actual qty missing",IF(AND(AR321=1,OR(X321&lt;=0,Y321&lt;0)),"INVALID – expected qty must be above 0 and actual not negative",IF(AH309="N/A – JUSTIFIED","INVALID – preparation row F09-T12-17 is N/A",IF(AND(AR321=1,ISNUMBER(X309),X321&lt;&gt;X309),"INVALID – expected qty differs from preparation check F09-T12-17",IF(BB321&lt;&gt;"",BB321,IF(AND(AS321=1,Documents!$J$13&lt;&gt;"ON FILE"),"INVALID – GLD not on file (Documents sheet)",IF(AND(AS321=2,Documents!$O$13&lt;&gt;"ON FILE"),"INVALID – menu checklist not on file (Documents sheet)",IF(AND(AS321=3,NOT(ISNUMBER(Flights!$AX$13))),"INVALID – enter carrying flight KUL departure (Flights AX)",IF(AND(AS321=3,OR(Flights!$AZ$13&gt;Flights!$AA$13,Flights!$AX$13&lt;Flights!$AA$13-3)),"INVALID – carrying flight (Flights AX) cannot arrive before this leg's STD, or is over 3 days early",IF(AG321&gt;AsOfUTC,"INVALID – completion time is in the future",IF(AND(ISNUMBER(S321),AG321&lt;S321),IF(H321="Physical uplift","INVALID – before uplift window (cannot confirm loading)","INVALID – before valid window"),IF(AG321&gt;Flights!$AA$13,"INVALID – completed after departure (cannot establish readiness)",IF(AND(H321="Preparation",AG321&gt;IF(ISNUMBER(Flights!$BA$13),MIN(Flights!$BA$13,Flights!$AA$13),Flights!$AA$13)),"INVALID – completed after loading / departure (cannot establish readiness)",IF(AND(H321="Physical uplift",AG321&gt;Q321),"INVALID – recorded after the loading flight departed",IF(AG321&gt;Q321,"COMPLETE – LATE","COMPLETE"))))))))))))))))))))))),IF(TRIM(U321)="Fail","FAIL – DISCREPANCY",IF(AND(TRIM(U321)&lt;&gt;"",TRIM(U321)&lt;&gt;"Not started",TRIM(U321)&lt;&gt;"In progress"),"INVALID – unrecognised status (use the list)",IF(AsOfUTC&gt;Q321,"OVERDUE",IF(N321="Clarification required","OPEN – CLARIFICATION","OPEN"))))))),"INVALID – error value in an input cell")</f>
        <v>OPEN</v>
      </c>
      <c r="AI321" s="61" t="n">
        <f aca="false">IF(OR(AH321="N/A – RULE",AH321="N/A – JUSTIFIED"),0,1)</f>
        <v>1</v>
      </c>
      <c r="AJ321" s="61" t="n">
        <f aca="false">IF(LEFT(AH321,8)="COMPLETE",1,0)</f>
        <v>0</v>
      </c>
      <c r="AK321" s="61" t="n">
        <f aca="false">IF(AND(AI321=1,AJ321=0,AsOfUTC&gt;Q321),1,0)</f>
        <v>0</v>
      </c>
      <c r="AL321" s="61" t="n">
        <f aca="false">IFERROR(IF(AND(AI321=1,OR(TRIM(U321)="Fail",AND(TRIM(AB321)&lt;&gt;"",TRIM(AB321)&lt;&gt;"Closed"),AND(ISNUMBER(AF321),AF321&lt;&gt;0,TRIM(U321)&lt;&gt;"Pass after CA"))),1,0),1)</f>
        <v>0</v>
      </c>
      <c r="AM321" s="61" t="n">
        <f aca="false">IF(LEFT(AH321,7)="INVALID",1,0)</f>
        <v>0</v>
      </c>
      <c r="AN321" s="61" t="n">
        <f aca="false">IF(AND(N321="Clarification required",AI321=1,AJ321=0),1,0)</f>
        <v>0</v>
      </c>
      <c r="AO321" s="61" t="str">
        <f aca="false">IF(AK321=1,SUM(AK$5:AK321),"")</f>
        <v/>
      </c>
      <c r="AP321" s="61" t="str">
        <f aca="false">IF(AL321=1,SUM(AL$5:AL321),"")</f>
        <v/>
      </c>
      <c r="AQ321" s="61" t="n">
        <v>0</v>
      </c>
      <c r="AR321" s="61" t="n">
        <v>0</v>
      </c>
      <c r="AS321" s="61" t="n">
        <v>0</v>
      </c>
      <c r="AT321" s="61" t="n">
        <v>0</v>
      </c>
      <c r="AU321" s="61" t="str">
        <f aca="false">SUBSTITUTE(SUBSTITUTE(SUBSTITUTE(SUBSTITUTE(SUBSTITUTE(SUBSTITUTE(SUBSTITUTE(SUBSTITUTE(SUBSTITUTE(SUBSTITUTE(SUBSTITUTE(SUBSTITUTE(SUBSTITUTE(LOWER(T321&amp;""),CHAR(160),"")," ",""),".",""),"-",""),"/",""),"?",""),"_",""),",",""),"[",""),"]",""),"(",""),")",""),"*","")</f>
        <v/>
      </c>
      <c r="AV321" s="61" t="str">
        <f aca="false">SUBSTITUTE(SUBSTITUTE(SUBSTITUTE(SUBSTITUTE(SUBSTITUTE(SUBSTITUTE(SUBSTITUTE(SUBSTITUTE(SUBSTITUTE(SUBSTITUTE(SUBSTITUTE(SUBSTITUTE(SUBSTITUTE(LOWER(V321&amp;""),CHAR(160),"")," ",""),".",""),"-",""),"/",""),"?",""),"_",""),",",""),"[",""),"]",""),"(",""),")",""),"*","")</f>
        <v/>
      </c>
      <c r="AW321" s="61" t="str">
        <f aca="false">SUBSTITUTE(SUBSTITUTE(SUBSTITUTE(SUBSTITUTE(SUBSTITUTE(SUBSTITUTE(SUBSTITUTE(SUBSTITUTE(SUBSTITUTE(SUBSTITUTE(SUBSTITUTE(SUBSTITUTE(SUBSTITUTE(LOWER(Z321&amp;""),CHAR(160),"")," ",""),".",""),"-",""),"/",""),"?",""),"_",""),",",""),"[",""),"]",""),"(",""),")",""),"*","")</f>
        <v/>
      </c>
      <c r="AX321" s="61" t="str">
        <f aca="false">SUBSTITUTE(SUBSTITUTE(SUBSTITUTE(SUBSTITUTE(SUBSTITUTE(SUBSTITUTE(SUBSTITUTE(SUBSTITUTE(SUBSTITUTE(SUBSTITUTE(SUBSTITUTE(SUBSTITUTE(SUBSTITUTE(LOWER(AE321&amp;""),CHAR(160),"")," ",""),".",""),"-",""),"/",""),"?",""),"_",""),",",""),"[",""),"]",""),"(",""),")",""),"*","")</f>
        <v/>
      </c>
      <c r="AY321" s="61" t="str">
        <f aca="false">SUBSTITUTE(SUBSTITUTE(SUBSTITUTE(SUBSTITUTE(SUBSTITUTE(SUBSTITUTE(SUBSTITUTE(SUBSTITUTE(SUBSTITUTE(SUBSTITUTE(SUBSTITUTE(SUBSTITUTE(SUBSTITUTE(LOWER(W321&amp;""),CHAR(160),"")," ",""),".",""),"-",""),"/",""),"?",""),"_",""),",",""),"[",""),"]",""),"(",""),")",""),"*","")</f>
        <v/>
      </c>
      <c r="AZ321" s="61" t="str">
        <f aca="false">SUBSTITUTE(SUBSTITUTE(SUBSTITUTE(SUBSTITUTE(SUBSTITUTE(SUBSTITUTE(SUBSTITUTE(SUBSTITUTE(SUBSTITUTE(SUBSTITUTE(SUBSTITUTE(SUBSTITUTE(SUBSTITUTE(LOWER(AC321&amp;""),CHAR(160),"")," ",""),".",""),"-",""),"/",""),"?",""),"_",""),",",""),"[",""),"]",""),"(",""),")",""),"*","")</f>
        <v/>
      </c>
      <c r="BA321" s="61" t="str">
        <f aca="false">SUBSTITUTE(SUBSTITUTE(SUBSTITUTE(SUBSTITUTE(SUBSTITUTE(SUBSTITUTE(SUBSTITUTE(SUBSTITUTE(SUBSTITUTE(SUBSTITUTE(SUBSTITUTE(SUBSTITUTE(SUBSTITUTE(LOWER(AA321&amp;""),CHAR(160),"")," ",""),".",""),"-",""),"/",""),"?",""),"_",""),",",""),"[",""),"]",""),"(",""),")",""),"*","")</f>
        <v/>
      </c>
      <c r="BB321" s="61" t="str">
        <f aca="false">IF(AND(TRIM(U321)="Pass",ISNUMBER(AF321)),IF(AF321&lt;&gt;0,"INVALID – qty variance: use Fail or Pass after CA",""),"")&amp;IF(AND(TRIM(U321)="Pass after CA",ISNUMBER(AF321)),IF(AF321&lt;&gt;0,"INVALID – after the corrective action the actual qty must equal expected (update Actual)",""),"")&amp;IF(AND(TRIM(U321)="Pass",TRIM(AB321)&lt;&gt;"",TRIM(AB321)&lt;&gt;"Closed"),"INVALID – corrective action not closed: use Fail, then Pass after CA","")&amp;IF(AND(TRIM(AA321)&lt;&gt;"",TRIM(AB321)=""),"INVALID – CA status missing for the recorded corrective action","")&amp;IF(AND(TRIM(U321)="Pass after CA",OR(OR(LEN(BA321)&lt;5,ISNUMBER(MATCH(BA321,L_Placeholder,0))),TRIM(AB321)&lt;&gt;"Closed")),"INVALID – corrective action not recorded/closed","")</f>
        <v/>
      </c>
    </row>
    <row r="322" customFormat="false" ht="39.75" hidden="false" customHeight="true" outlineLevel="0" collapsed="false">
      <c r="A322" s="57" t="s">
        <v>889</v>
      </c>
      <c r="B322" s="57" t="s">
        <v>248</v>
      </c>
      <c r="C322" s="57" t="str">
        <f aca="false">Flights!$F$14</f>
        <v>MH1140</v>
      </c>
      <c r="D322" s="58" t="n">
        <f aca="false">Flights!$D$14</f>
        <v>46307</v>
      </c>
      <c r="E322" s="57" t="str">
        <f aca="false">Flights!$G$14&amp;"-"&amp;Flights!$H$14</f>
        <v>KUL-PEN</v>
      </c>
      <c r="F322" s="57" t="str">
        <f aca="false">Flights!$K$14</f>
        <v>BC</v>
      </c>
      <c r="G322" s="57" t="s">
        <v>79</v>
      </c>
      <c r="H322" s="57" t="s">
        <v>356</v>
      </c>
      <c r="I322" s="57" t="s">
        <v>357</v>
      </c>
      <c r="J322" s="57" t="s">
        <v>358</v>
      </c>
      <c r="K322" s="67" t="s">
        <v>359</v>
      </c>
      <c r="L322" s="67" t="s">
        <v>360</v>
      </c>
      <c r="M322" s="67"/>
      <c r="N322" s="67" t="s">
        <v>361</v>
      </c>
      <c r="O322" s="67" t="s">
        <v>890</v>
      </c>
      <c r="P322" s="57" t="s">
        <v>184</v>
      </c>
      <c r="Q322" s="59" t="n">
        <f aca="false">ROUND((Flights!$AC$14)*1440,0)/1440</f>
        <v>46300.15625</v>
      </c>
      <c r="R322" s="59" t="n">
        <f aca="false">Q322+(IF(AND(INDEX(TZ_DSTS,MATCH(P322,TZ_STN,0))&lt;&gt;"",Q322&gt;=INDEX(TZ_DSTS,MATCH(P322,TZ_STN,0)),Q322&lt;INDEX(TZ_DSTE,MATCH(P322,TZ_STN,0))),INDEX(TZ_DST,MATCH(P322,TZ_STN,0)),INDEX(TZ_STD,MATCH(P322,TZ_STN,0))))/24</f>
        <v>46300.4895833333</v>
      </c>
      <c r="S322" s="59" t="n">
        <f aca="false">Q322-T7EarlyD*24/24</f>
        <v>46286.15625</v>
      </c>
      <c r="T322" s="60"/>
      <c r="U322" s="60"/>
      <c r="V322" s="60"/>
      <c r="W322" s="61"/>
      <c r="X322" s="60"/>
      <c r="Y322" s="60"/>
      <c r="Z322" s="60"/>
      <c r="AA322" s="60"/>
      <c r="AB322" s="60"/>
      <c r="AC322" s="60"/>
      <c r="AD322" s="66"/>
      <c r="AE322" s="60"/>
      <c r="AF322" s="61" t="str">
        <f aca="false">IF(AND(ISNUMBER(X322),ISNUMBER(Y322)),Y322-X322,"")</f>
        <v/>
      </c>
      <c r="AG322" s="62" t="str">
        <f aca="false">IF(ISNUMBER(AD322),AD322-(IF(AND(INDEX(TZ_DSTS,MATCH(P322,TZ_STN,0))&lt;&gt;"",(AD322-INDEX(TZ_STD,MATCH(P322,TZ_STN,0))/24)&gt;=INDEX(TZ_DSTS,MATCH(P322,TZ_STN,0)),(AD322-INDEX(TZ_STD,MATCH(P322,TZ_STN,0))/24)&lt;INDEX(TZ_DSTE,MATCH(P322,TZ_STN,0))),INDEX(TZ_DST,MATCH(P322,TZ_STN,0)),INDEX(TZ_STD,MATCH(P322,TZ_STN,0))))/24,"")</f>
        <v/>
      </c>
      <c r="AH322" s="65" t="str">
        <f aca="false">IFERROR(IF(N322="N/A – rule","N/A – RULE",IF(TRIM(U322)="N/A",IF(AT322=0,"INVALID – N/A not permitted for this check",IF(AND(TRIM(AB322)&lt;&gt;"",TRIM(AB322)&lt;&gt;"Closed"),"INVALID – corrective action still open",IF(AND(NOT(OR(LEN(AZ322)&lt;15,ISNUMBER(MATCH(AZ322,L_Placeholder,0)))),NOT(OR(LEN(AU322)&lt;2,ISNUMBER(MATCH(AU322,L_Placeholder,0)))),NOT(OR(LEN(AX322)&lt;2,ISNUMBER(MATCH(AX322,L_Placeholder,0)))),TRIM(AE322)&lt;&gt;TRIM(T322)),"N/A – JUSTIFIED","INVALID – N/A needs a real justification (15+ chars), PIC and a different verifier"))),IF(OR(TRIM(U322)="Pass",TRIM(U322)="Pass after CA"),IF(NOT(ISNUMBER(AD322)),"INVALID – completion time missing",IF(OR(LEN(AU322)&lt;2,ISNUMBER(MATCH(AU322,L_Placeholder,0))),"INVALID – PIC missing",IF(OR(LEN(AV322)&lt;2,ISNUMBER(MATCH(AV322,L_Placeholder,0))),"INVALID – result / assessment missing",IF(OR(OR(LEN(AW322)&lt;3,ISNUMBER(MATCH(AW322,L_Placeholder,0))),SUMPRODUCT(--ISNUMBER(SEARCH(L_EvidencePhrase,AW322)))&gt;0),"INVALID – evidence missing, placeholder or not yet on file",IF(OR(LEN(AX322)&lt;2,ISNUMBER(MATCH(AX322,L_Placeholder,0))),"INVALID – verifier missing",IF(AX322=AU322,"INVALID – verifier must be someone other than the PIC",IF(AND(TRIM(U322)="Pass",SUMPRODUCT(--ISNUMBER(SEARCH(L_ResultBad,AV322)))&gt;0),"INVALID – result describes a problem: use Fail, then Pass after CA",IF(AND(AQ322=1,OR(LEN(AY322)&lt;3,ISNUMBER(MATCH(AY322,L_Placeholder,0)))),"INVALID – batch ID missing or placeholder",IF(AND(AR322=1,OR(NOT(ISNUMBER(X322)),NOT(ISNUMBER(Y322)))),"INVALID – expected/actual qty missing",IF(AND(AR322=1,OR(X322&lt;=0,Y322&lt;0)),"INVALID – expected qty must be above 0 and actual not negative",IF(BB322&lt;&gt;"",BB322,IF(AND(AS322=1,Documents!$J$14&lt;&gt;"ON FILE"),"INVALID – GLD not on file (Documents sheet)",IF(AND(AS322=2,Documents!$O$14&lt;&gt;"ON FILE"),"INVALID – menu checklist not on file (Documents sheet)",IF(AND(AS322=3,NOT(ISNUMBER(Flights!$AX$14))),"INVALID – enter carrying flight KUL departure (Flights AX)",IF(AND(AS322=3,OR(Flights!$AZ$14&gt;Flights!$AA$14,Flights!$AX$14&lt;Flights!$AA$14-3)),"INVALID – carrying flight (Flights AX) cannot arrive before this leg's STD, or is over 3 days early",IF(AG322&gt;AsOfUTC,"INVALID – completion time is in the future",IF(AND(ISNUMBER(S322),AG322&lt;S322),IF(H322="Physical uplift","INVALID – before uplift window (cannot confirm loading)","INVALID – before valid window"),IF(AG322&gt;Flights!$AA$14,"INVALID – completed after departure (cannot establish readiness)",IF(AND(H322="Preparation",AG322&gt;IF(ISNUMBER(Flights!$BA$14),MIN(Flights!$BA$14,Flights!$AA$14),Flights!$AA$14)),"INVALID – completed after loading / departure (cannot establish readiness)",IF(AND(H322="Physical uplift",AG322&gt;Q322),"INVALID – recorded after the loading flight departed",IF(AG322&gt;Q322,"COMPLETE – LATE","COMPLETE"))))))))))))))))))))),IF(TRIM(U322)="Fail","FAIL – DISCREPANCY",IF(AND(TRIM(U322)&lt;&gt;"",TRIM(U322)&lt;&gt;"Not started",TRIM(U322)&lt;&gt;"In progress"),"INVALID – unrecognised status (use the list)",IF(AsOfUTC&gt;Q322,"OVERDUE",IF(N322="Clarification required","OPEN – CLARIFICATION","OPEN"))))))),"INVALID – error value in an input cell")</f>
        <v>OPEN</v>
      </c>
      <c r="AI322" s="61" t="n">
        <f aca="false">IF(OR(AH322="N/A – RULE",AH322="N/A – JUSTIFIED"),0,1)</f>
        <v>1</v>
      </c>
      <c r="AJ322" s="61" t="n">
        <f aca="false">IF(LEFT(AH322,8)="COMPLETE",1,0)</f>
        <v>0</v>
      </c>
      <c r="AK322" s="61" t="n">
        <f aca="false">IF(AND(AI322=1,AJ322=0,AsOfUTC&gt;Q322),1,0)</f>
        <v>0</v>
      </c>
      <c r="AL322" s="61" t="n">
        <f aca="false">IFERROR(IF(AND(AI322=1,OR(TRIM(U322)="Fail",AND(TRIM(AB322)&lt;&gt;"",TRIM(AB322)&lt;&gt;"Closed"),AND(ISNUMBER(AF322),AF322&lt;&gt;0,TRIM(U322)&lt;&gt;"Pass after CA"))),1,0),1)</f>
        <v>0</v>
      </c>
      <c r="AM322" s="61" t="n">
        <f aca="false">IF(LEFT(AH322,7)="INVALID",1,0)</f>
        <v>0</v>
      </c>
      <c r="AN322" s="61" t="n">
        <f aca="false">IF(AND(N322="Clarification required",AI322=1,AJ322=0),1,0)</f>
        <v>0</v>
      </c>
      <c r="AO322" s="61" t="str">
        <f aca="false">IF(AK322=1,SUM(AK$5:AK322),"")</f>
        <v/>
      </c>
      <c r="AP322" s="61" t="str">
        <f aca="false">IF(AL322=1,SUM(AL$5:AL322),"")</f>
        <v/>
      </c>
      <c r="AQ322" s="61" t="n">
        <v>0</v>
      </c>
      <c r="AR322" s="61" t="n">
        <v>0</v>
      </c>
      <c r="AS322" s="61" t="n">
        <v>0</v>
      </c>
      <c r="AT322" s="61" t="n">
        <v>0</v>
      </c>
      <c r="AU322" s="61" t="str">
        <f aca="false">SUBSTITUTE(SUBSTITUTE(SUBSTITUTE(SUBSTITUTE(SUBSTITUTE(SUBSTITUTE(SUBSTITUTE(SUBSTITUTE(SUBSTITUTE(SUBSTITUTE(SUBSTITUTE(SUBSTITUTE(SUBSTITUTE(LOWER(T322&amp;""),CHAR(160),"")," ",""),".",""),"-",""),"/",""),"?",""),"_",""),",",""),"[",""),"]",""),"(",""),")",""),"*","")</f>
        <v/>
      </c>
      <c r="AV322" s="61" t="str">
        <f aca="false">SUBSTITUTE(SUBSTITUTE(SUBSTITUTE(SUBSTITUTE(SUBSTITUTE(SUBSTITUTE(SUBSTITUTE(SUBSTITUTE(SUBSTITUTE(SUBSTITUTE(SUBSTITUTE(SUBSTITUTE(SUBSTITUTE(LOWER(V322&amp;""),CHAR(160),"")," ",""),".",""),"-",""),"/",""),"?",""),"_",""),",",""),"[",""),"]",""),"(",""),")",""),"*","")</f>
        <v/>
      </c>
      <c r="AW322" s="61" t="str">
        <f aca="false">SUBSTITUTE(SUBSTITUTE(SUBSTITUTE(SUBSTITUTE(SUBSTITUTE(SUBSTITUTE(SUBSTITUTE(SUBSTITUTE(SUBSTITUTE(SUBSTITUTE(SUBSTITUTE(SUBSTITUTE(SUBSTITUTE(LOWER(Z322&amp;""),CHAR(160),"")," ",""),".",""),"-",""),"/",""),"?",""),"_",""),",",""),"[",""),"]",""),"(",""),")",""),"*","")</f>
        <v/>
      </c>
      <c r="AX322" s="61" t="str">
        <f aca="false">SUBSTITUTE(SUBSTITUTE(SUBSTITUTE(SUBSTITUTE(SUBSTITUTE(SUBSTITUTE(SUBSTITUTE(SUBSTITUTE(SUBSTITUTE(SUBSTITUTE(SUBSTITUTE(SUBSTITUTE(SUBSTITUTE(LOWER(AE322&amp;""),CHAR(160),"")," ",""),".",""),"-",""),"/",""),"?",""),"_",""),",",""),"[",""),"]",""),"(",""),")",""),"*","")</f>
        <v/>
      </c>
      <c r="AY322" s="61" t="str">
        <f aca="false">SUBSTITUTE(SUBSTITUTE(SUBSTITUTE(SUBSTITUTE(SUBSTITUTE(SUBSTITUTE(SUBSTITUTE(SUBSTITUTE(SUBSTITUTE(SUBSTITUTE(SUBSTITUTE(SUBSTITUTE(SUBSTITUTE(LOWER(W322&amp;""),CHAR(160),"")," ",""),".",""),"-",""),"/",""),"?",""),"_",""),",",""),"[",""),"]",""),"(",""),")",""),"*","")</f>
        <v/>
      </c>
      <c r="AZ322" s="61" t="str">
        <f aca="false">SUBSTITUTE(SUBSTITUTE(SUBSTITUTE(SUBSTITUTE(SUBSTITUTE(SUBSTITUTE(SUBSTITUTE(SUBSTITUTE(SUBSTITUTE(SUBSTITUTE(SUBSTITUTE(SUBSTITUTE(SUBSTITUTE(LOWER(AC322&amp;""),CHAR(160),"")," ",""),".",""),"-",""),"/",""),"?",""),"_",""),",",""),"[",""),"]",""),"(",""),")",""),"*","")</f>
        <v/>
      </c>
      <c r="BA322" s="61" t="str">
        <f aca="false">SUBSTITUTE(SUBSTITUTE(SUBSTITUTE(SUBSTITUTE(SUBSTITUTE(SUBSTITUTE(SUBSTITUTE(SUBSTITUTE(SUBSTITUTE(SUBSTITUTE(SUBSTITUTE(SUBSTITUTE(SUBSTITUTE(LOWER(AA322&amp;""),CHAR(160),"")," ",""),".",""),"-",""),"/",""),"?",""),"_",""),",",""),"[",""),"]",""),"(",""),")",""),"*","")</f>
        <v/>
      </c>
      <c r="BB322" s="61" t="str">
        <f aca="false">IF(AND(TRIM(U322)="Pass",ISNUMBER(AF322)),IF(AF322&lt;&gt;0,"INVALID – qty variance: use Fail or Pass after CA",""),"")&amp;IF(AND(TRIM(U322)="Pass after CA",ISNUMBER(AF322)),IF(AF322&lt;&gt;0,"INVALID – after the corrective action the actual qty must equal expected (update Actual)",""),"")&amp;IF(AND(TRIM(U322)="Pass",TRIM(AB322)&lt;&gt;"",TRIM(AB322)&lt;&gt;"Closed"),"INVALID – corrective action not closed: use Fail, then Pass after CA","")&amp;IF(AND(TRIM(AA322)&lt;&gt;"",TRIM(AB322)=""),"INVALID – CA status missing for the recorded corrective action","")&amp;IF(AND(TRIM(U322)="Pass after CA",OR(OR(LEN(BA322)&lt;5,ISNUMBER(MATCH(BA322,L_Placeholder,0))),TRIM(AB322)&lt;&gt;"Closed")),"INVALID – corrective action not recorded/closed","")</f>
        <v/>
      </c>
    </row>
    <row r="323" customFormat="false" ht="41.25" hidden="false" customHeight="true" outlineLevel="0" collapsed="false">
      <c r="A323" s="57" t="s">
        <v>891</v>
      </c>
      <c r="B323" s="57" t="s">
        <v>248</v>
      </c>
      <c r="C323" s="57" t="str">
        <f aca="false">Flights!$F$14</f>
        <v>MH1140</v>
      </c>
      <c r="D323" s="58" t="n">
        <f aca="false">Flights!$D$14</f>
        <v>46307</v>
      </c>
      <c r="E323" s="57" t="str">
        <f aca="false">Flights!$G$14&amp;"-"&amp;Flights!$H$14</f>
        <v>KUL-PEN</v>
      </c>
      <c r="F323" s="57" t="str">
        <f aca="false">Flights!$K$14</f>
        <v>BC</v>
      </c>
      <c r="G323" s="57" t="s">
        <v>79</v>
      </c>
      <c r="H323" s="57" t="s">
        <v>356</v>
      </c>
      <c r="I323" s="57" t="s">
        <v>363</v>
      </c>
      <c r="J323" s="57" t="s">
        <v>364</v>
      </c>
      <c r="K323" s="67" t="s">
        <v>365</v>
      </c>
      <c r="L323" s="67" t="s">
        <v>360</v>
      </c>
      <c r="M323" s="67"/>
      <c r="N323" s="67" t="s">
        <v>361</v>
      </c>
      <c r="O323" s="67" t="s">
        <v>892</v>
      </c>
      <c r="P323" s="57" t="s">
        <v>184</v>
      </c>
      <c r="Q323" s="59" t="n">
        <f aca="false">ROUND((Flights!$AC$14)*1440,0)/1440</f>
        <v>46300.15625</v>
      </c>
      <c r="R323" s="59" t="n">
        <f aca="false">Q323+(IF(AND(INDEX(TZ_DSTS,MATCH(P323,TZ_STN,0))&lt;&gt;"",Q323&gt;=INDEX(TZ_DSTS,MATCH(P323,TZ_STN,0)),Q323&lt;INDEX(TZ_DSTE,MATCH(P323,TZ_STN,0))),INDEX(TZ_DST,MATCH(P323,TZ_STN,0)),INDEX(TZ_STD,MATCH(P323,TZ_STN,0))))/24</f>
        <v>46300.4895833333</v>
      </c>
      <c r="S323" s="59" t="n">
        <f aca="false">Q323-T7EarlyD*24/24</f>
        <v>46286.15625</v>
      </c>
      <c r="T323" s="60"/>
      <c r="U323" s="60"/>
      <c r="V323" s="60"/>
      <c r="W323" s="61"/>
      <c r="X323" s="60"/>
      <c r="Y323" s="60"/>
      <c r="Z323" s="60"/>
      <c r="AA323" s="60"/>
      <c r="AB323" s="60"/>
      <c r="AC323" s="60"/>
      <c r="AD323" s="66"/>
      <c r="AE323" s="60"/>
      <c r="AF323" s="61" t="str">
        <f aca="false">IF(AND(ISNUMBER(X323),ISNUMBER(Y323)),Y323-X323,"")</f>
        <v/>
      </c>
      <c r="AG323" s="62" t="str">
        <f aca="false">IF(ISNUMBER(AD323),AD323-(IF(AND(INDEX(TZ_DSTS,MATCH(P323,TZ_STN,0))&lt;&gt;"",(AD323-INDEX(TZ_STD,MATCH(P323,TZ_STN,0))/24)&gt;=INDEX(TZ_DSTS,MATCH(P323,TZ_STN,0)),(AD323-INDEX(TZ_STD,MATCH(P323,TZ_STN,0))/24)&lt;INDEX(TZ_DSTE,MATCH(P323,TZ_STN,0))),INDEX(TZ_DST,MATCH(P323,TZ_STN,0)),INDEX(TZ_STD,MATCH(P323,TZ_STN,0))))/24,"")</f>
        <v/>
      </c>
      <c r="AH323" s="65" t="str">
        <f aca="false">IFERROR(IF(N323="N/A – rule","N/A – RULE",IF(TRIM(U323)="N/A",IF(AT323=0,"INVALID – N/A not permitted for this check",IF(AND(TRIM(AB323)&lt;&gt;"",TRIM(AB323)&lt;&gt;"Closed"),"INVALID – corrective action still open",IF(AND(NOT(OR(LEN(AZ323)&lt;15,ISNUMBER(MATCH(AZ323,L_Placeholder,0)))),NOT(OR(LEN(AU323)&lt;2,ISNUMBER(MATCH(AU323,L_Placeholder,0)))),NOT(OR(LEN(AX323)&lt;2,ISNUMBER(MATCH(AX323,L_Placeholder,0)))),TRIM(AE323)&lt;&gt;TRIM(T323)),"N/A – JUSTIFIED","INVALID – N/A needs a real justification (15+ chars), PIC and a different verifier"))),IF(OR(TRIM(U323)="Pass",TRIM(U323)="Pass after CA"),IF(NOT(ISNUMBER(AD323)),"INVALID – completion time missing",IF(OR(LEN(AU323)&lt;2,ISNUMBER(MATCH(AU323,L_Placeholder,0))),"INVALID – PIC missing",IF(OR(LEN(AV323)&lt;2,ISNUMBER(MATCH(AV323,L_Placeholder,0))),"INVALID – result / assessment missing",IF(OR(OR(LEN(AW323)&lt;3,ISNUMBER(MATCH(AW323,L_Placeholder,0))),SUMPRODUCT(--ISNUMBER(SEARCH(L_EvidencePhrase,AW323)))&gt;0),"INVALID – evidence missing, placeholder or not yet on file",IF(OR(LEN(AX323)&lt;2,ISNUMBER(MATCH(AX323,L_Placeholder,0))),"INVALID – verifier missing",IF(AX323=AU323,"INVALID – verifier must be someone other than the PIC",IF(AND(TRIM(U323)="Pass",SUMPRODUCT(--ISNUMBER(SEARCH(L_ResultBad,AV323)))&gt;0),"INVALID – result describes a problem: use Fail, then Pass after CA",IF(AND(AQ323=1,OR(LEN(AY323)&lt;3,ISNUMBER(MATCH(AY323,L_Placeholder,0)))),"INVALID – batch ID missing or placeholder",IF(AND(AR323=1,OR(NOT(ISNUMBER(X323)),NOT(ISNUMBER(Y323)))),"INVALID – expected/actual qty missing",IF(AND(AR323=1,OR(X323&lt;=0,Y323&lt;0)),"INVALID – expected qty must be above 0 and actual not negative",IF(BB323&lt;&gt;"",BB323,IF(AND(AS323=1,Documents!$J$14&lt;&gt;"ON FILE"),"INVALID – GLD not on file (Documents sheet)",IF(AND(AS323=2,Documents!$O$14&lt;&gt;"ON FILE"),"INVALID – menu checklist not on file (Documents sheet)",IF(AND(AS323=3,NOT(ISNUMBER(Flights!$AX$14))),"INVALID – enter carrying flight KUL departure (Flights AX)",IF(AND(AS323=3,OR(Flights!$AZ$14&gt;Flights!$AA$14,Flights!$AX$14&lt;Flights!$AA$14-3)),"INVALID – carrying flight (Flights AX) cannot arrive before this leg's STD, or is over 3 days early",IF(AG323&gt;AsOfUTC,"INVALID – completion time is in the future",IF(AND(ISNUMBER(S323),AG323&lt;S323),IF(H323="Physical uplift","INVALID – before uplift window (cannot confirm loading)","INVALID – before valid window"),IF(AG323&gt;Flights!$AA$14,"INVALID – completed after departure (cannot establish readiness)",IF(AND(H323="Preparation",AG323&gt;IF(ISNUMBER(Flights!$BA$14),MIN(Flights!$BA$14,Flights!$AA$14),Flights!$AA$14)),"INVALID – completed after loading / departure (cannot establish readiness)",IF(AND(H323="Physical uplift",AG323&gt;Q323),"INVALID – recorded after the loading flight departed",IF(AG323&gt;Q323,"COMPLETE – LATE","COMPLETE"))))))))))))))))))))),IF(TRIM(U323)="Fail","FAIL – DISCREPANCY",IF(AND(TRIM(U323)&lt;&gt;"",TRIM(U323)&lt;&gt;"Not started",TRIM(U323)&lt;&gt;"In progress"),"INVALID – unrecognised status (use the list)",IF(AsOfUTC&gt;Q323,"OVERDUE",IF(N323="Clarification required","OPEN – CLARIFICATION","OPEN"))))))),"INVALID – error value in an input cell")</f>
        <v>OPEN</v>
      </c>
      <c r="AI323" s="61" t="n">
        <f aca="false">IF(OR(AH323="N/A – RULE",AH323="N/A – JUSTIFIED"),0,1)</f>
        <v>1</v>
      </c>
      <c r="AJ323" s="61" t="n">
        <f aca="false">IF(LEFT(AH323,8)="COMPLETE",1,0)</f>
        <v>0</v>
      </c>
      <c r="AK323" s="61" t="n">
        <f aca="false">IF(AND(AI323=1,AJ323=0,AsOfUTC&gt;Q323),1,0)</f>
        <v>0</v>
      </c>
      <c r="AL323" s="61" t="n">
        <f aca="false">IFERROR(IF(AND(AI323=1,OR(TRIM(U323)="Fail",AND(TRIM(AB323)&lt;&gt;"",TRIM(AB323)&lt;&gt;"Closed"),AND(ISNUMBER(AF323),AF323&lt;&gt;0,TRIM(U323)&lt;&gt;"Pass after CA"))),1,0),1)</f>
        <v>0</v>
      </c>
      <c r="AM323" s="61" t="n">
        <f aca="false">IF(LEFT(AH323,7)="INVALID",1,0)</f>
        <v>0</v>
      </c>
      <c r="AN323" s="61" t="n">
        <f aca="false">IF(AND(N323="Clarification required",AI323=1,AJ323=0),1,0)</f>
        <v>0</v>
      </c>
      <c r="AO323" s="61" t="str">
        <f aca="false">IF(AK323=1,SUM(AK$5:AK323),"")</f>
        <v/>
      </c>
      <c r="AP323" s="61" t="str">
        <f aca="false">IF(AL323=1,SUM(AL$5:AL323),"")</f>
        <v/>
      </c>
      <c r="AQ323" s="61" t="n">
        <v>0</v>
      </c>
      <c r="AR323" s="61" t="n">
        <v>0</v>
      </c>
      <c r="AS323" s="61" t="n">
        <v>0</v>
      </c>
      <c r="AT323" s="61" t="n">
        <v>1</v>
      </c>
      <c r="AU323" s="61" t="str">
        <f aca="false">SUBSTITUTE(SUBSTITUTE(SUBSTITUTE(SUBSTITUTE(SUBSTITUTE(SUBSTITUTE(SUBSTITUTE(SUBSTITUTE(SUBSTITUTE(SUBSTITUTE(SUBSTITUTE(SUBSTITUTE(SUBSTITUTE(LOWER(T323&amp;""),CHAR(160),"")," ",""),".",""),"-",""),"/",""),"?",""),"_",""),",",""),"[",""),"]",""),"(",""),")",""),"*","")</f>
        <v/>
      </c>
      <c r="AV323" s="61" t="str">
        <f aca="false">SUBSTITUTE(SUBSTITUTE(SUBSTITUTE(SUBSTITUTE(SUBSTITUTE(SUBSTITUTE(SUBSTITUTE(SUBSTITUTE(SUBSTITUTE(SUBSTITUTE(SUBSTITUTE(SUBSTITUTE(SUBSTITUTE(LOWER(V323&amp;""),CHAR(160),"")," ",""),".",""),"-",""),"/",""),"?",""),"_",""),",",""),"[",""),"]",""),"(",""),")",""),"*","")</f>
        <v/>
      </c>
      <c r="AW323" s="61" t="str">
        <f aca="false">SUBSTITUTE(SUBSTITUTE(SUBSTITUTE(SUBSTITUTE(SUBSTITUTE(SUBSTITUTE(SUBSTITUTE(SUBSTITUTE(SUBSTITUTE(SUBSTITUTE(SUBSTITUTE(SUBSTITUTE(SUBSTITUTE(LOWER(Z323&amp;""),CHAR(160),"")," ",""),".",""),"-",""),"/",""),"?",""),"_",""),",",""),"[",""),"]",""),"(",""),")",""),"*","")</f>
        <v/>
      </c>
      <c r="AX323" s="61" t="str">
        <f aca="false">SUBSTITUTE(SUBSTITUTE(SUBSTITUTE(SUBSTITUTE(SUBSTITUTE(SUBSTITUTE(SUBSTITUTE(SUBSTITUTE(SUBSTITUTE(SUBSTITUTE(SUBSTITUTE(SUBSTITUTE(SUBSTITUTE(LOWER(AE323&amp;""),CHAR(160),"")," ",""),".",""),"-",""),"/",""),"?",""),"_",""),",",""),"[",""),"]",""),"(",""),")",""),"*","")</f>
        <v/>
      </c>
      <c r="AY323" s="61" t="str">
        <f aca="false">SUBSTITUTE(SUBSTITUTE(SUBSTITUTE(SUBSTITUTE(SUBSTITUTE(SUBSTITUTE(SUBSTITUTE(SUBSTITUTE(SUBSTITUTE(SUBSTITUTE(SUBSTITUTE(SUBSTITUTE(SUBSTITUTE(LOWER(W323&amp;""),CHAR(160),"")," ",""),".",""),"-",""),"/",""),"?",""),"_",""),",",""),"[",""),"]",""),"(",""),")",""),"*","")</f>
        <v/>
      </c>
      <c r="AZ323" s="61" t="str">
        <f aca="false">SUBSTITUTE(SUBSTITUTE(SUBSTITUTE(SUBSTITUTE(SUBSTITUTE(SUBSTITUTE(SUBSTITUTE(SUBSTITUTE(SUBSTITUTE(SUBSTITUTE(SUBSTITUTE(SUBSTITUTE(SUBSTITUTE(LOWER(AC323&amp;""),CHAR(160),"")," ",""),".",""),"-",""),"/",""),"?",""),"_",""),",",""),"[",""),"]",""),"(",""),")",""),"*","")</f>
        <v/>
      </c>
      <c r="BA323" s="61" t="str">
        <f aca="false">SUBSTITUTE(SUBSTITUTE(SUBSTITUTE(SUBSTITUTE(SUBSTITUTE(SUBSTITUTE(SUBSTITUTE(SUBSTITUTE(SUBSTITUTE(SUBSTITUTE(SUBSTITUTE(SUBSTITUTE(SUBSTITUTE(LOWER(AA323&amp;""),CHAR(160),"")," ",""),".",""),"-",""),"/",""),"?",""),"_",""),",",""),"[",""),"]",""),"(",""),")",""),"*","")</f>
        <v/>
      </c>
      <c r="BB323" s="61" t="str">
        <f aca="false">IF(AND(TRIM(U323)="Pass",ISNUMBER(AF323)),IF(AF323&lt;&gt;0,"INVALID – qty variance: use Fail or Pass after CA",""),"")&amp;IF(AND(TRIM(U323)="Pass after CA",ISNUMBER(AF323)),IF(AF323&lt;&gt;0,"INVALID – after the corrective action the actual qty must equal expected (update Actual)",""),"")&amp;IF(AND(TRIM(U323)="Pass",TRIM(AB323)&lt;&gt;"",TRIM(AB323)&lt;&gt;"Closed"),"INVALID – corrective action not closed: use Fail, then Pass after CA","")&amp;IF(AND(TRIM(AA323)&lt;&gt;"",TRIM(AB323)=""),"INVALID – CA status missing for the recorded corrective action","")&amp;IF(AND(TRIM(U323)="Pass after CA",OR(OR(LEN(BA323)&lt;5,ISNUMBER(MATCH(BA323,L_Placeholder,0))),TRIM(AB323)&lt;&gt;"Closed")),"INVALID – corrective action not recorded/closed","")</f>
        <v/>
      </c>
    </row>
    <row r="324" customFormat="false" ht="41.25" hidden="false" customHeight="true" outlineLevel="0" collapsed="false">
      <c r="A324" s="57" t="s">
        <v>893</v>
      </c>
      <c r="B324" s="57" t="s">
        <v>248</v>
      </c>
      <c r="C324" s="57" t="str">
        <f aca="false">Flights!$F$14</f>
        <v>MH1140</v>
      </c>
      <c r="D324" s="58" t="n">
        <f aca="false">Flights!$D$14</f>
        <v>46307</v>
      </c>
      <c r="E324" s="57" t="str">
        <f aca="false">Flights!$G$14&amp;"-"&amp;Flights!$H$14</f>
        <v>KUL-PEN</v>
      </c>
      <c r="F324" s="57" t="str">
        <f aca="false">Flights!$K$14</f>
        <v>BC</v>
      </c>
      <c r="G324" s="57" t="s">
        <v>79</v>
      </c>
      <c r="H324" s="57" t="s">
        <v>356</v>
      </c>
      <c r="I324" s="57" t="s">
        <v>367</v>
      </c>
      <c r="J324" s="57" t="s">
        <v>368</v>
      </c>
      <c r="K324" s="67" t="s">
        <v>369</v>
      </c>
      <c r="L324" s="67" t="s">
        <v>360</v>
      </c>
      <c r="M324" s="67"/>
      <c r="N324" s="67" t="str">
        <f aca="false">IF(TRIM(Flights!$L$14)="A339","Required","N/A – rule")</f>
        <v>N/A – rule</v>
      </c>
      <c r="O324" s="67" t="s">
        <v>370</v>
      </c>
      <c r="P324" s="57" t="s">
        <v>184</v>
      </c>
      <c r="Q324" s="59" t="n">
        <f aca="false">ROUND((Flights!$AC$14)*1440,0)/1440</f>
        <v>46300.15625</v>
      </c>
      <c r="R324" s="59" t="n">
        <f aca="false">Q324+(IF(AND(INDEX(TZ_DSTS,MATCH(P324,TZ_STN,0))&lt;&gt;"",Q324&gt;=INDEX(TZ_DSTS,MATCH(P324,TZ_STN,0)),Q324&lt;INDEX(TZ_DSTE,MATCH(P324,TZ_STN,0))),INDEX(TZ_DST,MATCH(P324,TZ_STN,0)),INDEX(TZ_STD,MATCH(P324,TZ_STN,0))))/24</f>
        <v>46300.4895833333</v>
      </c>
      <c r="S324" s="59" t="n">
        <f aca="false">Q324-T7EarlyD*24/24</f>
        <v>46286.15625</v>
      </c>
      <c r="T324" s="60"/>
      <c r="U324" s="60"/>
      <c r="V324" s="60"/>
      <c r="W324" s="61"/>
      <c r="X324" s="60"/>
      <c r="Y324" s="60"/>
      <c r="Z324" s="60"/>
      <c r="AA324" s="60"/>
      <c r="AB324" s="60"/>
      <c r="AC324" s="60"/>
      <c r="AD324" s="66"/>
      <c r="AE324" s="60"/>
      <c r="AF324" s="61" t="str">
        <f aca="false">IF(AND(ISNUMBER(X324),ISNUMBER(Y324)),Y324-X324,"")</f>
        <v/>
      </c>
      <c r="AG324" s="62" t="str">
        <f aca="false">IF(ISNUMBER(AD324),AD324-(IF(AND(INDEX(TZ_DSTS,MATCH(P324,TZ_STN,0))&lt;&gt;"",(AD324-INDEX(TZ_STD,MATCH(P324,TZ_STN,0))/24)&gt;=INDEX(TZ_DSTS,MATCH(P324,TZ_STN,0)),(AD324-INDEX(TZ_STD,MATCH(P324,TZ_STN,0))/24)&lt;INDEX(TZ_DSTE,MATCH(P324,TZ_STN,0))),INDEX(TZ_DST,MATCH(P324,TZ_STN,0)),INDEX(TZ_STD,MATCH(P324,TZ_STN,0))))/24,"")</f>
        <v/>
      </c>
      <c r="AH324" s="65" t="str">
        <f aca="false">IFERROR(IF(N324="N/A – rule","N/A – RULE",IF(TRIM(U324)="N/A",IF(AT324=0,"INVALID – N/A not permitted for this check",IF(AND(TRIM(AB324)&lt;&gt;"",TRIM(AB324)&lt;&gt;"Closed"),"INVALID – corrective action still open",IF(AND(NOT(OR(LEN(AZ324)&lt;15,ISNUMBER(MATCH(AZ324,L_Placeholder,0)))),NOT(OR(LEN(AU324)&lt;2,ISNUMBER(MATCH(AU324,L_Placeholder,0)))),NOT(OR(LEN(AX324)&lt;2,ISNUMBER(MATCH(AX324,L_Placeholder,0)))),TRIM(AE324)&lt;&gt;TRIM(T324)),"N/A – JUSTIFIED","INVALID – N/A needs a real justification (15+ chars), PIC and a different verifier"))),IF(OR(TRIM(U324)="Pass",TRIM(U324)="Pass after CA"),IF(NOT(ISNUMBER(AD324)),"INVALID – completion time missing",IF(OR(LEN(AU324)&lt;2,ISNUMBER(MATCH(AU324,L_Placeholder,0))),"INVALID – PIC missing",IF(OR(LEN(AV324)&lt;2,ISNUMBER(MATCH(AV324,L_Placeholder,0))),"INVALID – result / assessment missing",IF(OR(OR(LEN(AW324)&lt;3,ISNUMBER(MATCH(AW324,L_Placeholder,0))),SUMPRODUCT(--ISNUMBER(SEARCH(L_EvidencePhrase,AW324)))&gt;0),"INVALID – evidence missing, placeholder or not yet on file",IF(OR(LEN(AX324)&lt;2,ISNUMBER(MATCH(AX324,L_Placeholder,0))),"INVALID – verifier missing",IF(AX324=AU324,"INVALID – verifier must be someone other than the PIC",IF(AND(TRIM(U324)="Pass",SUMPRODUCT(--ISNUMBER(SEARCH(L_ResultBad,AV324)))&gt;0),"INVALID – result describes a problem: use Fail, then Pass after CA",IF(AND(AQ324=1,OR(LEN(AY324)&lt;3,ISNUMBER(MATCH(AY324,L_Placeholder,0)))),"INVALID – batch ID missing or placeholder",IF(AND(AR324=1,OR(NOT(ISNUMBER(X324)),NOT(ISNUMBER(Y324)))),"INVALID – expected/actual qty missing",IF(AND(AR324=1,OR(X324&lt;=0,Y324&lt;0)),"INVALID – expected qty must be above 0 and actual not negative",IF(BB324&lt;&gt;"",BB324,IF(AND(AS324=1,Documents!$J$14&lt;&gt;"ON FILE"),"INVALID – GLD not on file (Documents sheet)",IF(AND(AS324=2,Documents!$O$14&lt;&gt;"ON FILE"),"INVALID – menu checklist not on file (Documents sheet)",IF(AND(AS324=3,NOT(ISNUMBER(Flights!$AX$14))),"INVALID – enter carrying flight KUL departure (Flights AX)",IF(AND(AS324=3,OR(Flights!$AZ$14&gt;Flights!$AA$14,Flights!$AX$14&lt;Flights!$AA$14-3)),"INVALID – carrying flight (Flights AX) cannot arrive before this leg's STD, or is over 3 days early",IF(AG324&gt;AsOfUTC,"INVALID – completion time is in the future",IF(AND(ISNUMBER(S324),AG324&lt;S324),IF(H324="Physical uplift","INVALID – before uplift window (cannot confirm loading)","INVALID – before valid window"),IF(AG324&gt;Flights!$AA$14,"INVALID – completed after departure (cannot establish readiness)",IF(AND(H324="Preparation",AG324&gt;IF(ISNUMBER(Flights!$BA$14),MIN(Flights!$BA$14,Flights!$AA$14),Flights!$AA$14)),"INVALID – completed after loading / departure (cannot establish readiness)",IF(AND(H324="Physical uplift",AG324&gt;Q324),"INVALID – recorded after the loading flight departed",IF(AG324&gt;Q324,"COMPLETE – LATE","COMPLETE"))))))))))))))))))))),IF(TRIM(U324)="Fail","FAIL – DISCREPANCY",IF(AND(TRIM(U324)&lt;&gt;"",TRIM(U324)&lt;&gt;"Not started",TRIM(U324)&lt;&gt;"In progress"),"INVALID – unrecognised status (use the list)",IF(AsOfUTC&gt;Q324,"OVERDUE",IF(N324="Clarification required","OPEN – CLARIFICATION","OPEN"))))))),"INVALID – error value in an input cell")</f>
        <v>N/A – RULE</v>
      </c>
      <c r="AI324" s="61" t="n">
        <f aca="false">IF(OR(AH324="N/A – RULE",AH324="N/A – JUSTIFIED"),0,1)</f>
        <v>0</v>
      </c>
      <c r="AJ324" s="61" t="n">
        <f aca="false">IF(LEFT(AH324,8)="COMPLETE",1,0)</f>
        <v>0</v>
      </c>
      <c r="AK324" s="61" t="n">
        <f aca="false">IF(AND(AI324=1,AJ324=0,AsOfUTC&gt;Q324),1,0)</f>
        <v>0</v>
      </c>
      <c r="AL324" s="61" t="n">
        <f aca="false">IFERROR(IF(AND(AI324=1,OR(TRIM(U324)="Fail",AND(TRIM(AB324)&lt;&gt;"",TRIM(AB324)&lt;&gt;"Closed"),AND(ISNUMBER(AF324),AF324&lt;&gt;0,TRIM(U324)&lt;&gt;"Pass after CA"))),1,0),1)</f>
        <v>0</v>
      </c>
      <c r="AM324" s="61" t="n">
        <f aca="false">IF(LEFT(AH324,7)="INVALID",1,0)</f>
        <v>0</v>
      </c>
      <c r="AN324" s="61" t="n">
        <f aca="false">IF(AND(N324="Clarification required",AI324=1,AJ324=0),1,0)</f>
        <v>0</v>
      </c>
      <c r="AO324" s="61" t="str">
        <f aca="false">IF(AK324=1,SUM(AK$5:AK324),"")</f>
        <v/>
      </c>
      <c r="AP324" s="61" t="str">
        <f aca="false">IF(AL324=1,SUM(AL$5:AL324),"")</f>
        <v/>
      </c>
      <c r="AQ324" s="61" t="n">
        <v>0</v>
      </c>
      <c r="AR324" s="61" t="n">
        <v>0</v>
      </c>
      <c r="AS324" s="61" t="n">
        <v>0</v>
      </c>
      <c r="AT324" s="61" t="n">
        <v>0</v>
      </c>
      <c r="AU324" s="61" t="str">
        <f aca="false">SUBSTITUTE(SUBSTITUTE(SUBSTITUTE(SUBSTITUTE(SUBSTITUTE(SUBSTITUTE(SUBSTITUTE(SUBSTITUTE(SUBSTITUTE(SUBSTITUTE(SUBSTITUTE(SUBSTITUTE(SUBSTITUTE(LOWER(T324&amp;""),CHAR(160),"")," ",""),".",""),"-",""),"/",""),"?",""),"_",""),",",""),"[",""),"]",""),"(",""),")",""),"*","")</f>
        <v/>
      </c>
      <c r="AV324" s="61" t="str">
        <f aca="false">SUBSTITUTE(SUBSTITUTE(SUBSTITUTE(SUBSTITUTE(SUBSTITUTE(SUBSTITUTE(SUBSTITUTE(SUBSTITUTE(SUBSTITUTE(SUBSTITUTE(SUBSTITUTE(SUBSTITUTE(SUBSTITUTE(LOWER(V324&amp;""),CHAR(160),"")," ",""),".",""),"-",""),"/",""),"?",""),"_",""),",",""),"[",""),"]",""),"(",""),")",""),"*","")</f>
        <v/>
      </c>
      <c r="AW324" s="61" t="str">
        <f aca="false">SUBSTITUTE(SUBSTITUTE(SUBSTITUTE(SUBSTITUTE(SUBSTITUTE(SUBSTITUTE(SUBSTITUTE(SUBSTITUTE(SUBSTITUTE(SUBSTITUTE(SUBSTITUTE(SUBSTITUTE(SUBSTITUTE(LOWER(Z324&amp;""),CHAR(160),"")," ",""),".",""),"-",""),"/",""),"?",""),"_",""),",",""),"[",""),"]",""),"(",""),")",""),"*","")</f>
        <v/>
      </c>
      <c r="AX324" s="61" t="str">
        <f aca="false">SUBSTITUTE(SUBSTITUTE(SUBSTITUTE(SUBSTITUTE(SUBSTITUTE(SUBSTITUTE(SUBSTITUTE(SUBSTITUTE(SUBSTITUTE(SUBSTITUTE(SUBSTITUTE(SUBSTITUTE(SUBSTITUTE(LOWER(AE324&amp;""),CHAR(160),"")," ",""),".",""),"-",""),"/",""),"?",""),"_",""),",",""),"[",""),"]",""),"(",""),")",""),"*","")</f>
        <v/>
      </c>
      <c r="AY324" s="61" t="str">
        <f aca="false">SUBSTITUTE(SUBSTITUTE(SUBSTITUTE(SUBSTITUTE(SUBSTITUTE(SUBSTITUTE(SUBSTITUTE(SUBSTITUTE(SUBSTITUTE(SUBSTITUTE(SUBSTITUTE(SUBSTITUTE(SUBSTITUTE(LOWER(W324&amp;""),CHAR(160),"")," ",""),".",""),"-",""),"/",""),"?",""),"_",""),",",""),"[",""),"]",""),"(",""),")",""),"*","")</f>
        <v/>
      </c>
      <c r="AZ324" s="61" t="str">
        <f aca="false">SUBSTITUTE(SUBSTITUTE(SUBSTITUTE(SUBSTITUTE(SUBSTITUTE(SUBSTITUTE(SUBSTITUTE(SUBSTITUTE(SUBSTITUTE(SUBSTITUTE(SUBSTITUTE(SUBSTITUTE(SUBSTITUTE(LOWER(AC324&amp;""),CHAR(160),"")," ",""),".",""),"-",""),"/",""),"?",""),"_",""),",",""),"[",""),"]",""),"(",""),")",""),"*","")</f>
        <v/>
      </c>
      <c r="BA324" s="61" t="str">
        <f aca="false">SUBSTITUTE(SUBSTITUTE(SUBSTITUTE(SUBSTITUTE(SUBSTITUTE(SUBSTITUTE(SUBSTITUTE(SUBSTITUTE(SUBSTITUTE(SUBSTITUTE(SUBSTITUTE(SUBSTITUTE(SUBSTITUTE(LOWER(AA324&amp;""),CHAR(160),"")," ",""),".",""),"-",""),"/",""),"?",""),"_",""),",",""),"[",""),"]",""),"(",""),")",""),"*","")</f>
        <v/>
      </c>
      <c r="BB324" s="61" t="str">
        <f aca="false">IF(AND(TRIM(U324)="Pass",ISNUMBER(AF324)),IF(AF324&lt;&gt;0,"INVALID – qty variance: use Fail or Pass after CA",""),"")&amp;IF(AND(TRIM(U324)="Pass after CA",ISNUMBER(AF324)),IF(AF324&lt;&gt;0,"INVALID – after the corrective action the actual qty must equal expected (update Actual)",""),"")&amp;IF(AND(TRIM(U324)="Pass",TRIM(AB324)&lt;&gt;"",TRIM(AB324)&lt;&gt;"Closed"),"INVALID – corrective action not closed: use Fail, then Pass after CA","")&amp;IF(AND(TRIM(AA324)&lt;&gt;"",TRIM(AB324)=""),"INVALID – CA status missing for the recorded corrective action","")&amp;IF(AND(TRIM(U324)="Pass after CA",OR(OR(LEN(BA324)&lt;5,ISNUMBER(MATCH(BA324,L_Placeholder,0))),TRIM(AB324)&lt;&gt;"Closed")),"INVALID – corrective action not recorded/closed","")</f>
        <v/>
      </c>
    </row>
    <row r="325" customFormat="false" ht="39.75" hidden="false" customHeight="true" outlineLevel="0" collapsed="false">
      <c r="A325" s="57" t="s">
        <v>894</v>
      </c>
      <c r="B325" s="57" t="s">
        <v>248</v>
      </c>
      <c r="C325" s="57" t="str">
        <f aca="false">Flights!$F$14</f>
        <v>MH1140</v>
      </c>
      <c r="D325" s="58" t="n">
        <f aca="false">Flights!$D$14</f>
        <v>46307</v>
      </c>
      <c r="E325" s="57" t="str">
        <f aca="false">Flights!$G$14&amp;"-"&amp;Flights!$H$14</f>
        <v>KUL-PEN</v>
      </c>
      <c r="F325" s="57" t="str">
        <f aca="false">Flights!$K$14</f>
        <v>BC</v>
      </c>
      <c r="G325" s="57" t="s">
        <v>79</v>
      </c>
      <c r="H325" s="57" t="s">
        <v>356</v>
      </c>
      <c r="I325" s="57" t="s">
        <v>372</v>
      </c>
      <c r="J325" s="57" t="s">
        <v>373</v>
      </c>
      <c r="K325" s="67" t="s">
        <v>374</v>
      </c>
      <c r="L325" s="67" t="s">
        <v>360</v>
      </c>
      <c r="M325" s="67"/>
      <c r="N325" s="67" t="s">
        <v>361</v>
      </c>
      <c r="O325" s="67"/>
      <c r="P325" s="57" t="s">
        <v>184</v>
      </c>
      <c r="Q325" s="59" t="n">
        <f aca="false">ROUND((Flights!$AC$14)*1440,0)/1440</f>
        <v>46300.15625</v>
      </c>
      <c r="R325" s="59" t="n">
        <f aca="false">Q325+(IF(AND(INDEX(TZ_DSTS,MATCH(P325,TZ_STN,0))&lt;&gt;"",Q325&gt;=INDEX(TZ_DSTS,MATCH(P325,TZ_STN,0)),Q325&lt;INDEX(TZ_DSTE,MATCH(P325,TZ_STN,0))),INDEX(TZ_DST,MATCH(P325,TZ_STN,0)),INDEX(TZ_STD,MATCH(P325,TZ_STN,0))))/24</f>
        <v>46300.4895833333</v>
      </c>
      <c r="S325" s="59" t="n">
        <f aca="false">Q325-T7EarlyD*24/24</f>
        <v>46286.15625</v>
      </c>
      <c r="T325" s="60"/>
      <c r="U325" s="60"/>
      <c r="V325" s="60"/>
      <c r="W325" s="61"/>
      <c r="X325" s="60"/>
      <c r="Y325" s="60"/>
      <c r="Z325" s="60"/>
      <c r="AA325" s="60"/>
      <c r="AB325" s="60"/>
      <c r="AC325" s="60"/>
      <c r="AD325" s="66"/>
      <c r="AE325" s="60"/>
      <c r="AF325" s="61" t="str">
        <f aca="false">IF(AND(ISNUMBER(X325),ISNUMBER(Y325)),Y325-X325,"")</f>
        <v/>
      </c>
      <c r="AG325" s="62" t="str">
        <f aca="false">IF(ISNUMBER(AD325),AD325-(IF(AND(INDEX(TZ_DSTS,MATCH(P325,TZ_STN,0))&lt;&gt;"",(AD325-INDEX(TZ_STD,MATCH(P325,TZ_STN,0))/24)&gt;=INDEX(TZ_DSTS,MATCH(P325,TZ_STN,0)),(AD325-INDEX(TZ_STD,MATCH(P325,TZ_STN,0))/24)&lt;INDEX(TZ_DSTE,MATCH(P325,TZ_STN,0))),INDEX(TZ_DST,MATCH(P325,TZ_STN,0)),INDEX(TZ_STD,MATCH(P325,TZ_STN,0))))/24,"")</f>
        <v/>
      </c>
      <c r="AH325" s="65" t="str">
        <f aca="false">IFERROR(IF(N325="N/A – rule","N/A – RULE",IF(TRIM(U325)="N/A",IF(AT325=0,"INVALID – N/A not permitted for this check",IF(AND(TRIM(AB325)&lt;&gt;"",TRIM(AB325)&lt;&gt;"Closed"),"INVALID – corrective action still open",IF(AND(NOT(OR(LEN(AZ325)&lt;15,ISNUMBER(MATCH(AZ325,L_Placeholder,0)))),NOT(OR(LEN(AU325)&lt;2,ISNUMBER(MATCH(AU325,L_Placeholder,0)))),NOT(OR(LEN(AX325)&lt;2,ISNUMBER(MATCH(AX325,L_Placeholder,0)))),TRIM(AE325)&lt;&gt;TRIM(T325)),"N/A – JUSTIFIED","INVALID – N/A needs a real justification (15+ chars), PIC and a different verifier"))),IF(OR(TRIM(U325)="Pass",TRIM(U325)="Pass after CA"),IF(NOT(ISNUMBER(AD325)),"INVALID – completion time missing",IF(OR(LEN(AU325)&lt;2,ISNUMBER(MATCH(AU325,L_Placeholder,0))),"INVALID – PIC missing",IF(OR(LEN(AV325)&lt;2,ISNUMBER(MATCH(AV325,L_Placeholder,0))),"INVALID – result / assessment missing",IF(OR(OR(LEN(AW325)&lt;3,ISNUMBER(MATCH(AW325,L_Placeholder,0))),SUMPRODUCT(--ISNUMBER(SEARCH(L_EvidencePhrase,AW325)))&gt;0),"INVALID – evidence missing, placeholder or not yet on file",IF(OR(LEN(AX325)&lt;2,ISNUMBER(MATCH(AX325,L_Placeholder,0))),"INVALID – verifier missing",IF(AX325=AU325,"INVALID – verifier must be someone other than the PIC",IF(AND(TRIM(U325)="Pass",SUMPRODUCT(--ISNUMBER(SEARCH(L_ResultBad,AV325)))&gt;0),"INVALID – result describes a problem: use Fail, then Pass after CA",IF(AND(AQ325=1,OR(LEN(AY325)&lt;3,ISNUMBER(MATCH(AY325,L_Placeholder,0)))),"INVALID – batch ID missing or placeholder",IF(AND(AR325=1,OR(NOT(ISNUMBER(X325)),NOT(ISNUMBER(Y325)))),"INVALID – expected/actual qty missing",IF(AND(AR325=1,OR(X325&lt;=0,Y325&lt;0)),"INVALID – expected qty must be above 0 and actual not negative",IF(BB325&lt;&gt;"",BB325,IF(AND(AS325=1,Documents!$J$14&lt;&gt;"ON FILE"),"INVALID – GLD not on file (Documents sheet)",IF(AND(AS325=2,Documents!$O$14&lt;&gt;"ON FILE"),"INVALID – menu checklist not on file (Documents sheet)",IF(AND(AS325=3,NOT(ISNUMBER(Flights!$AX$14))),"INVALID – enter carrying flight KUL departure (Flights AX)",IF(AND(AS325=3,OR(Flights!$AZ$14&gt;Flights!$AA$14,Flights!$AX$14&lt;Flights!$AA$14-3)),"INVALID – carrying flight (Flights AX) cannot arrive before this leg's STD, or is over 3 days early",IF(AG325&gt;AsOfUTC,"INVALID – completion time is in the future",IF(AND(ISNUMBER(S325),AG325&lt;S325),IF(H325="Physical uplift","INVALID – before uplift window (cannot confirm loading)","INVALID – before valid window"),IF(AG325&gt;Flights!$AA$14,"INVALID – completed after departure (cannot establish readiness)",IF(AND(H325="Preparation",AG325&gt;IF(ISNUMBER(Flights!$BA$14),MIN(Flights!$BA$14,Flights!$AA$14),Flights!$AA$14)),"INVALID – completed after loading / departure (cannot establish readiness)",IF(AND(H325="Physical uplift",AG325&gt;Q325),"INVALID – recorded after the loading flight departed",IF(AG325&gt;Q325,"COMPLETE – LATE","COMPLETE"))))))))))))))))))))),IF(TRIM(U325)="Fail","FAIL – DISCREPANCY",IF(AND(TRIM(U325)&lt;&gt;"",TRIM(U325)&lt;&gt;"Not started",TRIM(U325)&lt;&gt;"In progress"),"INVALID – unrecognised status (use the list)",IF(AsOfUTC&gt;Q325,"OVERDUE",IF(N325="Clarification required","OPEN – CLARIFICATION","OPEN"))))))),"INVALID – error value in an input cell")</f>
        <v>OPEN</v>
      </c>
      <c r="AI325" s="61" t="n">
        <f aca="false">IF(OR(AH325="N/A – RULE",AH325="N/A – JUSTIFIED"),0,1)</f>
        <v>1</v>
      </c>
      <c r="AJ325" s="61" t="n">
        <f aca="false">IF(LEFT(AH325,8)="COMPLETE",1,0)</f>
        <v>0</v>
      </c>
      <c r="AK325" s="61" t="n">
        <f aca="false">IF(AND(AI325=1,AJ325=0,AsOfUTC&gt;Q325),1,0)</f>
        <v>0</v>
      </c>
      <c r="AL325" s="61" t="n">
        <f aca="false">IFERROR(IF(AND(AI325=1,OR(TRIM(U325)="Fail",AND(TRIM(AB325)&lt;&gt;"",TRIM(AB325)&lt;&gt;"Closed"),AND(ISNUMBER(AF325),AF325&lt;&gt;0,TRIM(U325)&lt;&gt;"Pass after CA"))),1,0),1)</f>
        <v>0</v>
      </c>
      <c r="AM325" s="61" t="n">
        <f aca="false">IF(LEFT(AH325,7)="INVALID",1,0)</f>
        <v>0</v>
      </c>
      <c r="AN325" s="61" t="n">
        <f aca="false">IF(AND(N325="Clarification required",AI325=1,AJ325=0),1,0)</f>
        <v>0</v>
      </c>
      <c r="AO325" s="61" t="str">
        <f aca="false">IF(AK325=1,SUM(AK$5:AK325),"")</f>
        <v/>
      </c>
      <c r="AP325" s="61" t="str">
        <f aca="false">IF(AL325=1,SUM(AL$5:AL325),"")</f>
        <v/>
      </c>
      <c r="AQ325" s="61" t="n">
        <v>0</v>
      </c>
      <c r="AR325" s="61" t="n">
        <v>0</v>
      </c>
      <c r="AS325" s="61" t="n">
        <v>0</v>
      </c>
      <c r="AT325" s="61" t="n">
        <v>0</v>
      </c>
      <c r="AU325" s="61" t="str">
        <f aca="false">SUBSTITUTE(SUBSTITUTE(SUBSTITUTE(SUBSTITUTE(SUBSTITUTE(SUBSTITUTE(SUBSTITUTE(SUBSTITUTE(SUBSTITUTE(SUBSTITUTE(SUBSTITUTE(SUBSTITUTE(SUBSTITUTE(LOWER(T325&amp;""),CHAR(160),"")," ",""),".",""),"-",""),"/",""),"?",""),"_",""),",",""),"[",""),"]",""),"(",""),")",""),"*","")</f>
        <v/>
      </c>
      <c r="AV325" s="61" t="str">
        <f aca="false">SUBSTITUTE(SUBSTITUTE(SUBSTITUTE(SUBSTITUTE(SUBSTITUTE(SUBSTITUTE(SUBSTITUTE(SUBSTITUTE(SUBSTITUTE(SUBSTITUTE(SUBSTITUTE(SUBSTITUTE(SUBSTITUTE(LOWER(V325&amp;""),CHAR(160),"")," ",""),".",""),"-",""),"/",""),"?",""),"_",""),",",""),"[",""),"]",""),"(",""),")",""),"*","")</f>
        <v/>
      </c>
      <c r="AW325" s="61" t="str">
        <f aca="false">SUBSTITUTE(SUBSTITUTE(SUBSTITUTE(SUBSTITUTE(SUBSTITUTE(SUBSTITUTE(SUBSTITUTE(SUBSTITUTE(SUBSTITUTE(SUBSTITUTE(SUBSTITUTE(SUBSTITUTE(SUBSTITUTE(LOWER(Z325&amp;""),CHAR(160),"")," ",""),".",""),"-",""),"/",""),"?",""),"_",""),",",""),"[",""),"]",""),"(",""),")",""),"*","")</f>
        <v/>
      </c>
      <c r="AX325" s="61" t="str">
        <f aca="false">SUBSTITUTE(SUBSTITUTE(SUBSTITUTE(SUBSTITUTE(SUBSTITUTE(SUBSTITUTE(SUBSTITUTE(SUBSTITUTE(SUBSTITUTE(SUBSTITUTE(SUBSTITUTE(SUBSTITUTE(SUBSTITUTE(LOWER(AE325&amp;""),CHAR(160),"")," ",""),".",""),"-",""),"/",""),"?",""),"_",""),",",""),"[",""),"]",""),"(",""),")",""),"*","")</f>
        <v/>
      </c>
      <c r="AY325" s="61" t="str">
        <f aca="false">SUBSTITUTE(SUBSTITUTE(SUBSTITUTE(SUBSTITUTE(SUBSTITUTE(SUBSTITUTE(SUBSTITUTE(SUBSTITUTE(SUBSTITUTE(SUBSTITUTE(SUBSTITUTE(SUBSTITUTE(SUBSTITUTE(LOWER(W325&amp;""),CHAR(160),"")," ",""),".",""),"-",""),"/",""),"?",""),"_",""),",",""),"[",""),"]",""),"(",""),")",""),"*","")</f>
        <v/>
      </c>
      <c r="AZ325" s="61" t="str">
        <f aca="false">SUBSTITUTE(SUBSTITUTE(SUBSTITUTE(SUBSTITUTE(SUBSTITUTE(SUBSTITUTE(SUBSTITUTE(SUBSTITUTE(SUBSTITUTE(SUBSTITUTE(SUBSTITUTE(SUBSTITUTE(SUBSTITUTE(LOWER(AC325&amp;""),CHAR(160),"")," ",""),".",""),"-",""),"/",""),"?",""),"_",""),",",""),"[",""),"]",""),"(",""),")",""),"*","")</f>
        <v/>
      </c>
      <c r="BA325" s="61" t="str">
        <f aca="false">SUBSTITUTE(SUBSTITUTE(SUBSTITUTE(SUBSTITUTE(SUBSTITUTE(SUBSTITUTE(SUBSTITUTE(SUBSTITUTE(SUBSTITUTE(SUBSTITUTE(SUBSTITUTE(SUBSTITUTE(SUBSTITUTE(LOWER(AA325&amp;""),CHAR(160),"")," ",""),".",""),"-",""),"/",""),"?",""),"_",""),",",""),"[",""),"]",""),"(",""),")",""),"*","")</f>
        <v/>
      </c>
      <c r="BB325" s="61" t="str">
        <f aca="false">IF(AND(TRIM(U325)="Pass",ISNUMBER(AF325)),IF(AF325&lt;&gt;0,"INVALID – qty variance: use Fail or Pass after CA",""),"")&amp;IF(AND(TRIM(U325)="Pass after CA",ISNUMBER(AF325)),IF(AF325&lt;&gt;0,"INVALID – after the corrective action the actual qty must equal expected (update Actual)",""),"")&amp;IF(AND(TRIM(U325)="Pass",TRIM(AB325)&lt;&gt;"",TRIM(AB325)&lt;&gt;"Closed"),"INVALID – corrective action not closed: use Fail, then Pass after CA","")&amp;IF(AND(TRIM(AA325)&lt;&gt;"",TRIM(AB325)=""),"INVALID – CA status missing for the recorded corrective action","")&amp;IF(AND(TRIM(U325)="Pass after CA",OR(OR(LEN(BA325)&lt;5,ISNUMBER(MATCH(BA325,L_Placeholder,0))),TRIM(AB325)&lt;&gt;"Closed")),"INVALID – corrective action not recorded/closed","")</f>
        <v/>
      </c>
    </row>
    <row r="326" customFormat="false" ht="39.75" hidden="false" customHeight="true" outlineLevel="0" collapsed="false">
      <c r="A326" s="57" t="s">
        <v>895</v>
      </c>
      <c r="B326" s="57" t="s">
        <v>248</v>
      </c>
      <c r="C326" s="57" t="str">
        <f aca="false">Flights!$F$14</f>
        <v>MH1140</v>
      </c>
      <c r="D326" s="58" t="n">
        <f aca="false">Flights!$D$14</f>
        <v>46307</v>
      </c>
      <c r="E326" s="57" t="str">
        <f aca="false">Flights!$G$14&amp;"-"&amp;Flights!$H$14</f>
        <v>KUL-PEN</v>
      </c>
      <c r="F326" s="57" t="str">
        <f aca="false">Flights!$K$14</f>
        <v>BC</v>
      </c>
      <c r="G326" s="57" t="s">
        <v>79</v>
      </c>
      <c r="H326" s="57" t="s">
        <v>356</v>
      </c>
      <c r="I326" s="57" t="s">
        <v>376</v>
      </c>
      <c r="J326" s="57" t="s">
        <v>377</v>
      </c>
      <c r="K326" s="67" t="s">
        <v>378</v>
      </c>
      <c r="L326" s="67" t="s">
        <v>360</v>
      </c>
      <c r="M326" s="67"/>
      <c r="N326" s="67" t="s">
        <v>361</v>
      </c>
      <c r="O326" s="67"/>
      <c r="P326" s="57" t="s">
        <v>184</v>
      </c>
      <c r="Q326" s="59" t="n">
        <f aca="false">ROUND((Flights!$AC$14)*1440,0)/1440</f>
        <v>46300.15625</v>
      </c>
      <c r="R326" s="59" t="n">
        <f aca="false">Q326+(IF(AND(INDEX(TZ_DSTS,MATCH(P326,TZ_STN,0))&lt;&gt;"",Q326&gt;=INDEX(TZ_DSTS,MATCH(P326,TZ_STN,0)),Q326&lt;INDEX(TZ_DSTE,MATCH(P326,TZ_STN,0))),INDEX(TZ_DST,MATCH(P326,TZ_STN,0)),INDEX(TZ_STD,MATCH(P326,TZ_STN,0))))/24</f>
        <v>46300.4895833333</v>
      </c>
      <c r="S326" s="59" t="n">
        <f aca="false">Q326-T7EarlyD*24/24</f>
        <v>46286.15625</v>
      </c>
      <c r="T326" s="60"/>
      <c r="U326" s="60"/>
      <c r="V326" s="60"/>
      <c r="W326" s="61"/>
      <c r="X326" s="60"/>
      <c r="Y326" s="60"/>
      <c r="Z326" s="60"/>
      <c r="AA326" s="60"/>
      <c r="AB326" s="60"/>
      <c r="AC326" s="60"/>
      <c r="AD326" s="66"/>
      <c r="AE326" s="60"/>
      <c r="AF326" s="61" t="str">
        <f aca="false">IF(AND(ISNUMBER(X326),ISNUMBER(Y326)),Y326-X326,"")</f>
        <v/>
      </c>
      <c r="AG326" s="62" t="str">
        <f aca="false">IF(ISNUMBER(AD326),AD326-(IF(AND(INDEX(TZ_DSTS,MATCH(P326,TZ_STN,0))&lt;&gt;"",(AD326-INDEX(TZ_STD,MATCH(P326,TZ_STN,0))/24)&gt;=INDEX(TZ_DSTS,MATCH(P326,TZ_STN,0)),(AD326-INDEX(TZ_STD,MATCH(P326,TZ_STN,0))/24)&lt;INDEX(TZ_DSTE,MATCH(P326,TZ_STN,0))),INDEX(TZ_DST,MATCH(P326,TZ_STN,0)),INDEX(TZ_STD,MATCH(P326,TZ_STN,0))))/24,"")</f>
        <v/>
      </c>
      <c r="AH326" s="65" t="str">
        <f aca="false">IFERROR(IF(N326="N/A – rule","N/A – RULE",IF(TRIM(U326)="N/A",IF(AT326=0,"INVALID – N/A not permitted for this check",IF(AND(TRIM(AB326)&lt;&gt;"",TRIM(AB326)&lt;&gt;"Closed"),"INVALID – corrective action still open",IF(AND(NOT(OR(LEN(AZ326)&lt;15,ISNUMBER(MATCH(AZ326,L_Placeholder,0)))),NOT(OR(LEN(AU326)&lt;2,ISNUMBER(MATCH(AU326,L_Placeholder,0)))),NOT(OR(LEN(AX326)&lt;2,ISNUMBER(MATCH(AX326,L_Placeholder,0)))),TRIM(AE326)&lt;&gt;TRIM(T326)),"N/A – JUSTIFIED","INVALID – N/A needs a real justification (15+ chars), PIC and a different verifier"))),IF(OR(TRIM(U326)="Pass",TRIM(U326)="Pass after CA"),IF(NOT(ISNUMBER(AD326)),"INVALID – completion time missing",IF(OR(LEN(AU326)&lt;2,ISNUMBER(MATCH(AU326,L_Placeholder,0))),"INVALID – PIC missing",IF(OR(LEN(AV326)&lt;2,ISNUMBER(MATCH(AV326,L_Placeholder,0))),"INVALID – result / assessment missing",IF(OR(OR(LEN(AW326)&lt;3,ISNUMBER(MATCH(AW326,L_Placeholder,0))),SUMPRODUCT(--ISNUMBER(SEARCH(L_EvidencePhrase,AW326)))&gt;0),"INVALID – evidence missing, placeholder or not yet on file",IF(OR(LEN(AX326)&lt;2,ISNUMBER(MATCH(AX326,L_Placeholder,0))),"INVALID – verifier missing",IF(AX326=AU326,"INVALID – verifier must be someone other than the PIC",IF(AND(TRIM(U326)="Pass",SUMPRODUCT(--ISNUMBER(SEARCH(L_ResultBad,AV326)))&gt;0),"INVALID – result describes a problem: use Fail, then Pass after CA",IF(AND(AQ326=1,OR(LEN(AY326)&lt;3,ISNUMBER(MATCH(AY326,L_Placeholder,0)))),"INVALID – batch ID missing or placeholder",IF(AND(AR326=1,OR(NOT(ISNUMBER(X326)),NOT(ISNUMBER(Y326)))),"INVALID – expected/actual qty missing",IF(AND(AR326=1,OR(X326&lt;=0,Y326&lt;0)),"INVALID – expected qty must be above 0 and actual not negative",IF(BB326&lt;&gt;"",BB326,IF(AND(AS326=1,Documents!$J$14&lt;&gt;"ON FILE"),"INVALID – GLD not on file (Documents sheet)",IF(AND(AS326=2,Documents!$O$14&lt;&gt;"ON FILE"),"INVALID – menu checklist not on file (Documents sheet)",IF(AND(AS326=3,NOT(ISNUMBER(Flights!$AX$14))),"INVALID – enter carrying flight KUL departure (Flights AX)",IF(AND(AS326=3,OR(Flights!$AZ$14&gt;Flights!$AA$14,Flights!$AX$14&lt;Flights!$AA$14-3)),"INVALID – carrying flight (Flights AX) cannot arrive before this leg's STD, or is over 3 days early",IF(AG326&gt;AsOfUTC,"INVALID – completion time is in the future",IF(AND(ISNUMBER(S326),AG326&lt;S326),IF(H326="Physical uplift","INVALID – before uplift window (cannot confirm loading)","INVALID – before valid window"),IF(AG326&gt;Flights!$AA$14,"INVALID – completed after departure (cannot establish readiness)",IF(AND(H326="Preparation",AG326&gt;IF(ISNUMBER(Flights!$BA$14),MIN(Flights!$BA$14,Flights!$AA$14),Flights!$AA$14)),"INVALID – completed after loading / departure (cannot establish readiness)",IF(AND(H326="Physical uplift",AG326&gt;Q326),"INVALID – recorded after the loading flight departed",IF(AG326&gt;Q326,"COMPLETE – LATE","COMPLETE"))))))))))))))))))))),IF(TRIM(U326)="Fail","FAIL – DISCREPANCY",IF(AND(TRIM(U326)&lt;&gt;"",TRIM(U326)&lt;&gt;"Not started",TRIM(U326)&lt;&gt;"In progress"),"INVALID – unrecognised status (use the list)",IF(AsOfUTC&gt;Q326,"OVERDUE",IF(N326="Clarification required","OPEN – CLARIFICATION","OPEN"))))))),"INVALID – error value in an input cell")</f>
        <v>OPEN</v>
      </c>
      <c r="AI326" s="61" t="n">
        <f aca="false">IF(OR(AH326="N/A – RULE",AH326="N/A – JUSTIFIED"),0,1)</f>
        <v>1</v>
      </c>
      <c r="AJ326" s="61" t="n">
        <f aca="false">IF(LEFT(AH326,8)="COMPLETE",1,0)</f>
        <v>0</v>
      </c>
      <c r="AK326" s="61" t="n">
        <f aca="false">IF(AND(AI326=1,AJ326=0,AsOfUTC&gt;Q326),1,0)</f>
        <v>0</v>
      </c>
      <c r="AL326" s="61" t="n">
        <f aca="false">IFERROR(IF(AND(AI326=1,OR(TRIM(U326)="Fail",AND(TRIM(AB326)&lt;&gt;"",TRIM(AB326)&lt;&gt;"Closed"),AND(ISNUMBER(AF326),AF326&lt;&gt;0,TRIM(U326)&lt;&gt;"Pass after CA"))),1,0),1)</f>
        <v>0</v>
      </c>
      <c r="AM326" s="61" t="n">
        <f aca="false">IF(LEFT(AH326,7)="INVALID",1,0)</f>
        <v>0</v>
      </c>
      <c r="AN326" s="61" t="n">
        <f aca="false">IF(AND(N326="Clarification required",AI326=1,AJ326=0),1,0)</f>
        <v>0</v>
      </c>
      <c r="AO326" s="61" t="str">
        <f aca="false">IF(AK326=1,SUM(AK$5:AK326),"")</f>
        <v/>
      </c>
      <c r="AP326" s="61" t="str">
        <f aca="false">IF(AL326=1,SUM(AL$5:AL326),"")</f>
        <v/>
      </c>
      <c r="AQ326" s="61" t="n">
        <v>0</v>
      </c>
      <c r="AR326" s="61" t="n">
        <v>0</v>
      </c>
      <c r="AS326" s="61" t="n">
        <v>0</v>
      </c>
      <c r="AT326" s="61" t="n">
        <v>0</v>
      </c>
      <c r="AU326" s="61" t="str">
        <f aca="false">SUBSTITUTE(SUBSTITUTE(SUBSTITUTE(SUBSTITUTE(SUBSTITUTE(SUBSTITUTE(SUBSTITUTE(SUBSTITUTE(SUBSTITUTE(SUBSTITUTE(SUBSTITUTE(SUBSTITUTE(SUBSTITUTE(LOWER(T326&amp;""),CHAR(160),"")," ",""),".",""),"-",""),"/",""),"?",""),"_",""),",",""),"[",""),"]",""),"(",""),")",""),"*","")</f>
        <v/>
      </c>
      <c r="AV326" s="61" t="str">
        <f aca="false">SUBSTITUTE(SUBSTITUTE(SUBSTITUTE(SUBSTITUTE(SUBSTITUTE(SUBSTITUTE(SUBSTITUTE(SUBSTITUTE(SUBSTITUTE(SUBSTITUTE(SUBSTITUTE(SUBSTITUTE(SUBSTITUTE(LOWER(V326&amp;""),CHAR(160),"")," ",""),".",""),"-",""),"/",""),"?",""),"_",""),",",""),"[",""),"]",""),"(",""),")",""),"*","")</f>
        <v/>
      </c>
      <c r="AW326" s="61" t="str">
        <f aca="false">SUBSTITUTE(SUBSTITUTE(SUBSTITUTE(SUBSTITUTE(SUBSTITUTE(SUBSTITUTE(SUBSTITUTE(SUBSTITUTE(SUBSTITUTE(SUBSTITUTE(SUBSTITUTE(SUBSTITUTE(SUBSTITUTE(LOWER(Z326&amp;""),CHAR(160),"")," ",""),".",""),"-",""),"/",""),"?",""),"_",""),",",""),"[",""),"]",""),"(",""),")",""),"*","")</f>
        <v/>
      </c>
      <c r="AX326" s="61" t="str">
        <f aca="false">SUBSTITUTE(SUBSTITUTE(SUBSTITUTE(SUBSTITUTE(SUBSTITUTE(SUBSTITUTE(SUBSTITUTE(SUBSTITUTE(SUBSTITUTE(SUBSTITUTE(SUBSTITUTE(SUBSTITUTE(SUBSTITUTE(LOWER(AE326&amp;""),CHAR(160),"")," ",""),".",""),"-",""),"/",""),"?",""),"_",""),",",""),"[",""),"]",""),"(",""),")",""),"*","")</f>
        <v/>
      </c>
      <c r="AY326" s="61" t="str">
        <f aca="false">SUBSTITUTE(SUBSTITUTE(SUBSTITUTE(SUBSTITUTE(SUBSTITUTE(SUBSTITUTE(SUBSTITUTE(SUBSTITUTE(SUBSTITUTE(SUBSTITUTE(SUBSTITUTE(SUBSTITUTE(SUBSTITUTE(LOWER(W326&amp;""),CHAR(160),"")," ",""),".",""),"-",""),"/",""),"?",""),"_",""),",",""),"[",""),"]",""),"(",""),")",""),"*","")</f>
        <v/>
      </c>
      <c r="AZ326" s="61" t="str">
        <f aca="false">SUBSTITUTE(SUBSTITUTE(SUBSTITUTE(SUBSTITUTE(SUBSTITUTE(SUBSTITUTE(SUBSTITUTE(SUBSTITUTE(SUBSTITUTE(SUBSTITUTE(SUBSTITUTE(SUBSTITUTE(SUBSTITUTE(LOWER(AC326&amp;""),CHAR(160),"")," ",""),".",""),"-",""),"/",""),"?",""),"_",""),",",""),"[",""),"]",""),"(",""),")",""),"*","")</f>
        <v/>
      </c>
      <c r="BA326" s="61" t="str">
        <f aca="false">SUBSTITUTE(SUBSTITUTE(SUBSTITUTE(SUBSTITUTE(SUBSTITUTE(SUBSTITUTE(SUBSTITUTE(SUBSTITUTE(SUBSTITUTE(SUBSTITUTE(SUBSTITUTE(SUBSTITUTE(SUBSTITUTE(LOWER(AA326&amp;""),CHAR(160),"")," ",""),".",""),"-",""),"/",""),"?",""),"_",""),",",""),"[",""),"]",""),"(",""),")",""),"*","")</f>
        <v/>
      </c>
      <c r="BB326" s="61" t="str">
        <f aca="false">IF(AND(TRIM(U326)="Pass",ISNUMBER(AF326)),IF(AF326&lt;&gt;0,"INVALID – qty variance: use Fail or Pass after CA",""),"")&amp;IF(AND(TRIM(U326)="Pass after CA",ISNUMBER(AF326)),IF(AF326&lt;&gt;0,"INVALID – after the corrective action the actual qty must equal expected (update Actual)",""),"")&amp;IF(AND(TRIM(U326)="Pass",TRIM(AB326)&lt;&gt;"",TRIM(AB326)&lt;&gt;"Closed"),"INVALID – corrective action not closed: use Fail, then Pass after CA","")&amp;IF(AND(TRIM(AA326)&lt;&gt;"",TRIM(AB326)=""),"INVALID – CA status missing for the recorded corrective action","")&amp;IF(AND(TRIM(U326)="Pass after CA",OR(OR(LEN(BA326)&lt;5,ISNUMBER(MATCH(BA326,L_Placeholder,0))),TRIM(AB326)&lt;&gt;"Closed")),"INVALID – corrective action not recorded/closed","")</f>
        <v/>
      </c>
    </row>
    <row r="327" customFormat="false" ht="39.75" hidden="false" customHeight="true" outlineLevel="0" collapsed="false">
      <c r="A327" s="57" t="s">
        <v>896</v>
      </c>
      <c r="B327" s="57" t="s">
        <v>248</v>
      </c>
      <c r="C327" s="57" t="str">
        <f aca="false">Flights!$F$14</f>
        <v>MH1140</v>
      </c>
      <c r="D327" s="58" t="n">
        <f aca="false">Flights!$D$14</f>
        <v>46307</v>
      </c>
      <c r="E327" s="57" t="str">
        <f aca="false">Flights!$G$14&amp;"-"&amp;Flights!$H$14</f>
        <v>KUL-PEN</v>
      </c>
      <c r="F327" s="57" t="str">
        <f aca="false">Flights!$K$14</f>
        <v>BC</v>
      </c>
      <c r="G327" s="57" t="s">
        <v>79</v>
      </c>
      <c r="H327" s="57" t="s">
        <v>356</v>
      </c>
      <c r="I327" s="57" t="s">
        <v>376</v>
      </c>
      <c r="J327" s="57" t="s">
        <v>380</v>
      </c>
      <c r="K327" s="67" t="s">
        <v>381</v>
      </c>
      <c r="L327" s="67" t="s">
        <v>360</v>
      </c>
      <c r="M327" s="67"/>
      <c r="N327" s="67" t="s">
        <v>361</v>
      </c>
      <c r="O327" s="67"/>
      <c r="P327" s="57" t="s">
        <v>184</v>
      </c>
      <c r="Q327" s="59" t="n">
        <f aca="false">ROUND((Flights!$AC$14)*1440,0)/1440</f>
        <v>46300.15625</v>
      </c>
      <c r="R327" s="59" t="n">
        <f aca="false">Q327+(IF(AND(INDEX(TZ_DSTS,MATCH(P327,TZ_STN,0))&lt;&gt;"",Q327&gt;=INDEX(TZ_DSTS,MATCH(P327,TZ_STN,0)),Q327&lt;INDEX(TZ_DSTE,MATCH(P327,TZ_STN,0))),INDEX(TZ_DST,MATCH(P327,TZ_STN,0)),INDEX(TZ_STD,MATCH(P327,TZ_STN,0))))/24</f>
        <v>46300.4895833333</v>
      </c>
      <c r="S327" s="59" t="n">
        <f aca="false">Q327-T7EarlyD*24/24</f>
        <v>46286.15625</v>
      </c>
      <c r="T327" s="60"/>
      <c r="U327" s="60"/>
      <c r="V327" s="60"/>
      <c r="W327" s="61"/>
      <c r="X327" s="60"/>
      <c r="Y327" s="60"/>
      <c r="Z327" s="60"/>
      <c r="AA327" s="60"/>
      <c r="AB327" s="60"/>
      <c r="AC327" s="60"/>
      <c r="AD327" s="66"/>
      <c r="AE327" s="60"/>
      <c r="AF327" s="61" t="str">
        <f aca="false">IF(AND(ISNUMBER(X327),ISNUMBER(Y327)),Y327-X327,"")</f>
        <v/>
      </c>
      <c r="AG327" s="62" t="str">
        <f aca="false">IF(ISNUMBER(AD327),AD327-(IF(AND(INDEX(TZ_DSTS,MATCH(P327,TZ_STN,0))&lt;&gt;"",(AD327-INDEX(TZ_STD,MATCH(P327,TZ_STN,0))/24)&gt;=INDEX(TZ_DSTS,MATCH(P327,TZ_STN,0)),(AD327-INDEX(TZ_STD,MATCH(P327,TZ_STN,0))/24)&lt;INDEX(TZ_DSTE,MATCH(P327,TZ_STN,0))),INDEX(TZ_DST,MATCH(P327,TZ_STN,0)),INDEX(TZ_STD,MATCH(P327,TZ_STN,0))))/24,"")</f>
        <v/>
      </c>
      <c r="AH327" s="65" t="str">
        <f aca="false">IFERROR(IF(N327="N/A – rule","N/A – RULE",IF(TRIM(U327)="N/A",IF(AT327=0,"INVALID – N/A not permitted for this check",IF(AND(TRIM(AB327)&lt;&gt;"",TRIM(AB327)&lt;&gt;"Closed"),"INVALID – corrective action still open",IF(AND(NOT(OR(LEN(AZ327)&lt;15,ISNUMBER(MATCH(AZ327,L_Placeholder,0)))),NOT(OR(LEN(AU327)&lt;2,ISNUMBER(MATCH(AU327,L_Placeholder,0)))),NOT(OR(LEN(AX327)&lt;2,ISNUMBER(MATCH(AX327,L_Placeholder,0)))),TRIM(AE327)&lt;&gt;TRIM(T327)),"N/A – JUSTIFIED","INVALID – N/A needs a real justification (15+ chars), PIC and a different verifier"))),IF(OR(TRIM(U327)="Pass",TRIM(U327)="Pass after CA"),IF(NOT(ISNUMBER(AD327)),"INVALID – completion time missing",IF(OR(LEN(AU327)&lt;2,ISNUMBER(MATCH(AU327,L_Placeholder,0))),"INVALID – PIC missing",IF(OR(LEN(AV327)&lt;2,ISNUMBER(MATCH(AV327,L_Placeholder,0))),"INVALID – result / assessment missing",IF(OR(OR(LEN(AW327)&lt;3,ISNUMBER(MATCH(AW327,L_Placeholder,0))),SUMPRODUCT(--ISNUMBER(SEARCH(L_EvidencePhrase,AW327)))&gt;0),"INVALID – evidence missing, placeholder or not yet on file",IF(OR(LEN(AX327)&lt;2,ISNUMBER(MATCH(AX327,L_Placeholder,0))),"INVALID – verifier missing",IF(AX327=AU327,"INVALID – verifier must be someone other than the PIC",IF(AND(TRIM(U327)="Pass",SUMPRODUCT(--ISNUMBER(SEARCH(L_ResultBad,AV327)))&gt;0),"INVALID – result describes a problem: use Fail, then Pass after CA",IF(AND(AQ327=1,OR(LEN(AY327)&lt;3,ISNUMBER(MATCH(AY327,L_Placeholder,0)))),"INVALID – batch ID missing or placeholder",IF(AND(AR327=1,OR(NOT(ISNUMBER(X327)),NOT(ISNUMBER(Y327)))),"INVALID – expected/actual qty missing",IF(AND(AR327=1,OR(X327&lt;=0,Y327&lt;0)),"INVALID – expected qty must be above 0 and actual not negative",IF(BB327&lt;&gt;"",BB327,IF(AND(AS327=1,Documents!$J$14&lt;&gt;"ON FILE"),"INVALID – GLD not on file (Documents sheet)",IF(AND(AS327=2,Documents!$O$14&lt;&gt;"ON FILE"),"INVALID – menu checklist not on file (Documents sheet)",IF(AND(AS327=3,NOT(ISNUMBER(Flights!$AX$14))),"INVALID – enter carrying flight KUL departure (Flights AX)",IF(AND(AS327=3,OR(Flights!$AZ$14&gt;Flights!$AA$14,Flights!$AX$14&lt;Flights!$AA$14-3)),"INVALID – carrying flight (Flights AX) cannot arrive before this leg's STD, or is over 3 days early",IF(AG327&gt;AsOfUTC,"INVALID – completion time is in the future",IF(AND(ISNUMBER(S327),AG327&lt;S327),IF(H327="Physical uplift","INVALID – before uplift window (cannot confirm loading)","INVALID – before valid window"),IF(AG327&gt;Flights!$AA$14,"INVALID – completed after departure (cannot establish readiness)",IF(AND(H327="Preparation",AG327&gt;IF(ISNUMBER(Flights!$BA$14),MIN(Flights!$BA$14,Flights!$AA$14),Flights!$AA$14)),"INVALID – completed after loading / departure (cannot establish readiness)",IF(AND(H327="Physical uplift",AG327&gt;Q327),"INVALID – recorded after the loading flight departed",IF(AG327&gt;Q327,"COMPLETE – LATE","COMPLETE"))))))))))))))))))))),IF(TRIM(U327)="Fail","FAIL – DISCREPANCY",IF(AND(TRIM(U327)&lt;&gt;"",TRIM(U327)&lt;&gt;"Not started",TRIM(U327)&lt;&gt;"In progress"),"INVALID – unrecognised status (use the list)",IF(AsOfUTC&gt;Q327,"OVERDUE",IF(N327="Clarification required","OPEN – CLARIFICATION","OPEN"))))))),"INVALID – error value in an input cell")</f>
        <v>OPEN</v>
      </c>
      <c r="AI327" s="61" t="n">
        <f aca="false">IF(OR(AH327="N/A – RULE",AH327="N/A – JUSTIFIED"),0,1)</f>
        <v>1</v>
      </c>
      <c r="AJ327" s="61" t="n">
        <f aca="false">IF(LEFT(AH327,8)="COMPLETE",1,0)</f>
        <v>0</v>
      </c>
      <c r="AK327" s="61" t="n">
        <f aca="false">IF(AND(AI327=1,AJ327=0,AsOfUTC&gt;Q327),1,0)</f>
        <v>0</v>
      </c>
      <c r="AL327" s="61" t="n">
        <f aca="false">IFERROR(IF(AND(AI327=1,OR(TRIM(U327)="Fail",AND(TRIM(AB327)&lt;&gt;"",TRIM(AB327)&lt;&gt;"Closed"),AND(ISNUMBER(AF327),AF327&lt;&gt;0,TRIM(U327)&lt;&gt;"Pass after CA"))),1,0),1)</f>
        <v>0</v>
      </c>
      <c r="AM327" s="61" t="n">
        <f aca="false">IF(LEFT(AH327,7)="INVALID",1,0)</f>
        <v>0</v>
      </c>
      <c r="AN327" s="61" t="n">
        <f aca="false">IF(AND(N327="Clarification required",AI327=1,AJ327=0),1,0)</f>
        <v>0</v>
      </c>
      <c r="AO327" s="61" t="str">
        <f aca="false">IF(AK327=1,SUM(AK$5:AK327),"")</f>
        <v/>
      </c>
      <c r="AP327" s="61" t="str">
        <f aca="false">IF(AL327=1,SUM(AL$5:AL327),"")</f>
        <v/>
      </c>
      <c r="AQ327" s="61" t="n">
        <v>0</v>
      </c>
      <c r="AR327" s="61" t="n">
        <v>0</v>
      </c>
      <c r="AS327" s="61" t="n">
        <v>0</v>
      </c>
      <c r="AT327" s="61" t="n">
        <v>0</v>
      </c>
      <c r="AU327" s="61" t="str">
        <f aca="false">SUBSTITUTE(SUBSTITUTE(SUBSTITUTE(SUBSTITUTE(SUBSTITUTE(SUBSTITUTE(SUBSTITUTE(SUBSTITUTE(SUBSTITUTE(SUBSTITUTE(SUBSTITUTE(SUBSTITUTE(SUBSTITUTE(LOWER(T327&amp;""),CHAR(160),"")," ",""),".",""),"-",""),"/",""),"?",""),"_",""),",",""),"[",""),"]",""),"(",""),")",""),"*","")</f>
        <v/>
      </c>
      <c r="AV327" s="61" t="str">
        <f aca="false">SUBSTITUTE(SUBSTITUTE(SUBSTITUTE(SUBSTITUTE(SUBSTITUTE(SUBSTITUTE(SUBSTITUTE(SUBSTITUTE(SUBSTITUTE(SUBSTITUTE(SUBSTITUTE(SUBSTITUTE(SUBSTITUTE(LOWER(V327&amp;""),CHAR(160),"")," ",""),".",""),"-",""),"/",""),"?",""),"_",""),",",""),"[",""),"]",""),"(",""),")",""),"*","")</f>
        <v/>
      </c>
      <c r="AW327" s="61" t="str">
        <f aca="false">SUBSTITUTE(SUBSTITUTE(SUBSTITUTE(SUBSTITUTE(SUBSTITUTE(SUBSTITUTE(SUBSTITUTE(SUBSTITUTE(SUBSTITUTE(SUBSTITUTE(SUBSTITUTE(SUBSTITUTE(SUBSTITUTE(LOWER(Z327&amp;""),CHAR(160),"")," ",""),".",""),"-",""),"/",""),"?",""),"_",""),",",""),"[",""),"]",""),"(",""),")",""),"*","")</f>
        <v/>
      </c>
      <c r="AX327" s="61" t="str">
        <f aca="false">SUBSTITUTE(SUBSTITUTE(SUBSTITUTE(SUBSTITUTE(SUBSTITUTE(SUBSTITUTE(SUBSTITUTE(SUBSTITUTE(SUBSTITUTE(SUBSTITUTE(SUBSTITUTE(SUBSTITUTE(SUBSTITUTE(LOWER(AE327&amp;""),CHAR(160),"")," ",""),".",""),"-",""),"/",""),"?",""),"_",""),",",""),"[",""),"]",""),"(",""),")",""),"*","")</f>
        <v/>
      </c>
      <c r="AY327" s="61" t="str">
        <f aca="false">SUBSTITUTE(SUBSTITUTE(SUBSTITUTE(SUBSTITUTE(SUBSTITUTE(SUBSTITUTE(SUBSTITUTE(SUBSTITUTE(SUBSTITUTE(SUBSTITUTE(SUBSTITUTE(SUBSTITUTE(SUBSTITUTE(LOWER(W327&amp;""),CHAR(160),"")," ",""),".",""),"-",""),"/",""),"?",""),"_",""),",",""),"[",""),"]",""),"(",""),")",""),"*","")</f>
        <v/>
      </c>
      <c r="AZ327" s="61" t="str">
        <f aca="false">SUBSTITUTE(SUBSTITUTE(SUBSTITUTE(SUBSTITUTE(SUBSTITUTE(SUBSTITUTE(SUBSTITUTE(SUBSTITUTE(SUBSTITUTE(SUBSTITUTE(SUBSTITUTE(SUBSTITUTE(SUBSTITUTE(LOWER(AC327&amp;""),CHAR(160),"")," ",""),".",""),"-",""),"/",""),"?",""),"_",""),",",""),"[",""),"]",""),"(",""),")",""),"*","")</f>
        <v/>
      </c>
      <c r="BA327" s="61" t="str">
        <f aca="false">SUBSTITUTE(SUBSTITUTE(SUBSTITUTE(SUBSTITUTE(SUBSTITUTE(SUBSTITUTE(SUBSTITUTE(SUBSTITUTE(SUBSTITUTE(SUBSTITUTE(SUBSTITUTE(SUBSTITUTE(SUBSTITUTE(LOWER(AA327&amp;""),CHAR(160),"")," ",""),".",""),"-",""),"/",""),"?",""),"_",""),",",""),"[",""),"]",""),"(",""),")",""),"*","")</f>
        <v/>
      </c>
      <c r="BB327" s="61" t="str">
        <f aca="false">IF(AND(TRIM(U327)="Pass",ISNUMBER(AF327)),IF(AF327&lt;&gt;0,"INVALID – qty variance: use Fail or Pass after CA",""),"")&amp;IF(AND(TRIM(U327)="Pass after CA",ISNUMBER(AF327)),IF(AF327&lt;&gt;0,"INVALID – after the corrective action the actual qty must equal expected (update Actual)",""),"")&amp;IF(AND(TRIM(U327)="Pass",TRIM(AB327)&lt;&gt;"",TRIM(AB327)&lt;&gt;"Closed"),"INVALID – corrective action not closed: use Fail, then Pass after CA","")&amp;IF(AND(TRIM(AA327)&lt;&gt;"",TRIM(AB327)=""),"INVALID – CA status missing for the recorded corrective action","")&amp;IF(AND(TRIM(U327)="Pass after CA",OR(OR(LEN(BA327)&lt;5,ISNUMBER(MATCH(BA327,L_Placeholder,0))),TRIM(AB327)&lt;&gt;"Closed")),"INVALID – corrective action not recorded/closed","")</f>
        <v/>
      </c>
    </row>
    <row r="328" customFormat="false" ht="39.75" hidden="false" customHeight="true" outlineLevel="0" collapsed="false">
      <c r="A328" s="57" t="s">
        <v>897</v>
      </c>
      <c r="B328" s="57" t="s">
        <v>248</v>
      </c>
      <c r="C328" s="57" t="str">
        <f aca="false">Flights!$F$14</f>
        <v>MH1140</v>
      </c>
      <c r="D328" s="58" t="n">
        <f aca="false">Flights!$D$14</f>
        <v>46307</v>
      </c>
      <c r="E328" s="57" t="str">
        <f aca="false">Flights!$G$14&amp;"-"&amp;Flights!$H$14</f>
        <v>KUL-PEN</v>
      </c>
      <c r="F328" s="57" t="str">
        <f aca="false">Flights!$K$14</f>
        <v>BC</v>
      </c>
      <c r="G328" s="57" t="s">
        <v>79</v>
      </c>
      <c r="H328" s="57" t="s">
        <v>356</v>
      </c>
      <c r="I328" s="57" t="s">
        <v>383</v>
      </c>
      <c r="J328" s="57" t="s">
        <v>384</v>
      </c>
      <c r="K328" s="67" t="s">
        <v>385</v>
      </c>
      <c r="L328" s="67" t="s">
        <v>360</v>
      </c>
      <c r="M328" s="67"/>
      <c r="N328" s="67" t="s">
        <v>361</v>
      </c>
      <c r="O328" s="67"/>
      <c r="P328" s="57" t="s">
        <v>184</v>
      </c>
      <c r="Q328" s="59" t="n">
        <f aca="false">ROUND((Flights!$AC$14)*1440,0)/1440</f>
        <v>46300.15625</v>
      </c>
      <c r="R328" s="59" t="n">
        <f aca="false">Q328+(IF(AND(INDEX(TZ_DSTS,MATCH(P328,TZ_STN,0))&lt;&gt;"",Q328&gt;=INDEX(TZ_DSTS,MATCH(P328,TZ_STN,0)),Q328&lt;INDEX(TZ_DSTE,MATCH(P328,TZ_STN,0))),INDEX(TZ_DST,MATCH(P328,TZ_STN,0)),INDEX(TZ_STD,MATCH(P328,TZ_STN,0))))/24</f>
        <v>46300.4895833333</v>
      </c>
      <c r="S328" s="59" t="n">
        <f aca="false">Q328-T7EarlyD*24/24</f>
        <v>46286.15625</v>
      </c>
      <c r="T328" s="60"/>
      <c r="U328" s="60"/>
      <c r="V328" s="60"/>
      <c r="W328" s="61"/>
      <c r="X328" s="60"/>
      <c r="Y328" s="60"/>
      <c r="Z328" s="60"/>
      <c r="AA328" s="60"/>
      <c r="AB328" s="60"/>
      <c r="AC328" s="60"/>
      <c r="AD328" s="66"/>
      <c r="AE328" s="60"/>
      <c r="AF328" s="61" t="str">
        <f aca="false">IF(AND(ISNUMBER(X328),ISNUMBER(Y328)),Y328-X328,"")</f>
        <v/>
      </c>
      <c r="AG328" s="62" t="str">
        <f aca="false">IF(ISNUMBER(AD328),AD328-(IF(AND(INDEX(TZ_DSTS,MATCH(P328,TZ_STN,0))&lt;&gt;"",(AD328-INDEX(TZ_STD,MATCH(P328,TZ_STN,0))/24)&gt;=INDEX(TZ_DSTS,MATCH(P328,TZ_STN,0)),(AD328-INDEX(TZ_STD,MATCH(P328,TZ_STN,0))/24)&lt;INDEX(TZ_DSTE,MATCH(P328,TZ_STN,0))),INDEX(TZ_DST,MATCH(P328,TZ_STN,0)),INDEX(TZ_STD,MATCH(P328,TZ_STN,0))))/24,"")</f>
        <v/>
      </c>
      <c r="AH328" s="65" t="str">
        <f aca="false">IFERROR(IF(N328="N/A – rule","N/A – RULE",IF(TRIM(U328)="N/A",IF(AT328=0,"INVALID – N/A not permitted for this check",IF(AND(TRIM(AB328)&lt;&gt;"",TRIM(AB328)&lt;&gt;"Closed"),"INVALID – corrective action still open",IF(AND(NOT(OR(LEN(AZ328)&lt;15,ISNUMBER(MATCH(AZ328,L_Placeholder,0)))),NOT(OR(LEN(AU328)&lt;2,ISNUMBER(MATCH(AU328,L_Placeholder,0)))),NOT(OR(LEN(AX328)&lt;2,ISNUMBER(MATCH(AX328,L_Placeholder,0)))),TRIM(AE328)&lt;&gt;TRIM(T328)),"N/A – JUSTIFIED","INVALID – N/A needs a real justification (15+ chars), PIC and a different verifier"))),IF(OR(TRIM(U328)="Pass",TRIM(U328)="Pass after CA"),IF(NOT(ISNUMBER(AD328)),"INVALID – completion time missing",IF(OR(LEN(AU328)&lt;2,ISNUMBER(MATCH(AU328,L_Placeholder,0))),"INVALID – PIC missing",IF(OR(LEN(AV328)&lt;2,ISNUMBER(MATCH(AV328,L_Placeholder,0))),"INVALID – result / assessment missing",IF(OR(OR(LEN(AW328)&lt;3,ISNUMBER(MATCH(AW328,L_Placeholder,0))),SUMPRODUCT(--ISNUMBER(SEARCH(L_EvidencePhrase,AW328)))&gt;0),"INVALID – evidence missing, placeholder or not yet on file",IF(OR(LEN(AX328)&lt;2,ISNUMBER(MATCH(AX328,L_Placeholder,0))),"INVALID – verifier missing",IF(AX328=AU328,"INVALID – verifier must be someone other than the PIC",IF(AND(TRIM(U328)="Pass",SUMPRODUCT(--ISNUMBER(SEARCH(L_ResultBad,AV328)))&gt;0),"INVALID – result describes a problem: use Fail, then Pass after CA",IF(AND(AQ328=1,OR(LEN(AY328)&lt;3,ISNUMBER(MATCH(AY328,L_Placeholder,0)))),"INVALID – batch ID missing or placeholder",IF(AND(AR328=1,OR(NOT(ISNUMBER(X328)),NOT(ISNUMBER(Y328)))),"INVALID – expected/actual qty missing",IF(AND(AR328=1,OR(X328&lt;=0,Y328&lt;0)),"INVALID – expected qty must be above 0 and actual not negative",IF(BB328&lt;&gt;"",BB328,IF(AND(AS328=1,Documents!$J$14&lt;&gt;"ON FILE"),"INVALID – GLD not on file (Documents sheet)",IF(AND(AS328=2,Documents!$O$14&lt;&gt;"ON FILE"),"INVALID – menu checklist not on file (Documents sheet)",IF(AND(AS328=3,NOT(ISNUMBER(Flights!$AX$14))),"INVALID – enter carrying flight KUL departure (Flights AX)",IF(AND(AS328=3,OR(Flights!$AZ$14&gt;Flights!$AA$14,Flights!$AX$14&lt;Flights!$AA$14-3)),"INVALID – carrying flight (Flights AX) cannot arrive before this leg's STD, or is over 3 days early",IF(AG328&gt;AsOfUTC,"INVALID – completion time is in the future",IF(AND(ISNUMBER(S328),AG328&lt;S328),IF(H328="Physical uplift","INVALID – before uplift window (cannot confirm loading)","INVALID – before valid window"),IF(AG328&gt;Flights!$AA$14,"INVALID – completed after departure (cannot establish readiness)",IF(AND(H328="Preparation",AG328&gt;IF(ISNUMBER(Flights!$BA$14),MIN(Flights!$BA$14,Flights!$AA$14),Flights!$AA$14)),"INVALID – completed after loading / departure (cannot establish readiness)",IF(AND(H328="Physical uplift",AG328&gt;Q328),"INVALID – recorded after the loading flight departed",IF(AG328&gt;Q328,"COMPLETE – LATE","COMPLETE"))))))))))))))))))))),IF(TRIM(U328)="Fail","FAIL – DISCREPANCY",IF(AND(TRIM(U328)&lt;&gt;"",TRIM(U328)&lt;&gt;"Not started",TRIM(U328)&lt;&gt;"In progress"),"INVALID – unrecognised status (use the list)",IF(AsOfUTC&gt;Q328,"OVERDUE",IF(N328="Clarification required","OPEN – CLARIFICATION","OPEN"))))))),"INVALID – error value in an input cell")</f>
        <v>OPEN</v>
      </c>
      <c r="AI328" s="61" t="n">
        <f aca="false">IF(OR(AH328="N/A – RULE",AH328="N/A – JUSTIFIED"),0,1)</f>
        <v>1</v>
      </c>
      <c r="AJ328" s="61" t="n">
        <f aca="false">IF(LEFT(AH328,8)="COMPLETE",1,0)</f>
        <v>0</v>
      </c>
      <c r="AK328" s="61" t="n">
        <f aca="false">IF(AND(AI328=1,AJ328=0,AsOfUTC&gt;Q328),1,0)</f>
        <v>0</v>
      </c>
      <c r="AL328" s="61" t="n">
        <f aca="false">IFERROR(IF(AND(AI328=1,OR(TRIM(U328)="Fail",AND(TRIM(AB328)&lt;&gt;"",TRIM(AB328)&lt;&gt;"Closed"),AND(ISNUMBER(AF328),AF328&lt;&gt;0,TRIM(U328)&lt;&gt;"Pass after CA"))),1,0),1)</f>
        <v>0</v>
      </c>
      <c r="AM328" s="61" t="n">
        <f aca="false">IF(LEFT(AH328,7)="INVALID",1,0)</f>
        <v>0</v>
      </c>
      <c r="AN328" s="61" t="n">
        <f aca="false">IF(AND(N328="Clarification required",AI328=1,AJ328=0),1,0)</f>
        <v>0</v>
      </c>
      <c r="AO328" s="61" t="str">
        <f aca="false">IF(AK328=1,SUM(AK$5:AK328),"")</f>
        <v/>
      </c>
      <c r="AP328" s="61" t="str">
        <f aca="false">IF(AL328=1,SUM(AL$5:AL328),"")</f>
        <v/>
      </c>
      <c r="AQ328" s="61" t="n">
        <v>0</v>
      </c>
      <c r="AR328" s="61" t="n">
        <v>0</v>
      </c>
      <c r="AS328" s="61" t="n">
        <v>1</v>
      </c>
      <c r="AT328" s="61" t="n">
        <v>0</v>
      </c>
      <c r="AU328" s="61" t="str">
        <f aca="false">SUBSTITUTE(SUBSTITUTE(SUBSTITUTE(SUBSTITUTE(SUBSTITUTE(SUBSTITUTE(SUBSTITUTE(SUBSTITUTE(SUBSTITUTE(SUBSTITUTE(SUBSTITUTE(SUBSTITUTE(SUBSTITUTE(LOWER(T328&amp;""),CHAR(160),"")," ",""),".",""),"-",""),"/",""),"?",""),"_",""),",",""),"[",""),"]",""),"(",""),")",""),"*","")</f>
        <v/>
      </c>
      <c r="AV328" s="61" t="str">
        <f aca="false">SUBSTITUTE(SUBSTITUTE(SUBSTITUTE(SUBSTITUTE(SUBSTITUTE(SUBSTITUTE(SUBSTITUTE(SUBSTITUTE(SUBSTITUTE(SUBSTITUTE(SUBSTITUTE(SUBSTITUTE(SUBSTITUTE(LOWER(V328&amp;""),CHAR(160),"")," ",""),".",""),"-",""),"/",""),"?",""),"_",""),",",""),"[",""),"]",""),"(",""),")",""),"*","")</f>
        <v/>
      </c>
      <c r="AW328" s="61" t="str">
        <f aca="false">SUBSTITUTE(SUBSTITUTE(SUBSTITUTE(SUBSTITUTE(SUBSTITUTE(SUBSTITUTE(SUBSTITUTE(SUBSTITUTE(SUBSTITUTE(SUBSTITUTE(SUBSTITUTE(SUBSTITUTE(SUBSTITUTE(LOWER(Z328&amp;""),CHAR(160),"")," ",""),".",""),"-",""),"/",""),"?",""),"_",""),",",""),"[",""),"]",""),"(",""),")",""),"*","")</f>
        <v/>
      </c>
      <c r="AX328" s="61" t="str">
        <f aca="false">SUBSTITUTE(SUBSTITUTE(SUBSTITUTE(SUBSTITUTE(SUBSTITUTE(SUBSTITUTE(SUBSTITUTE(SUBSTITUTE(SUBSTITUTE(SUBSTITUTE(SUBSTITUTE(SUBSTITUTE(SUBSTITUTE(LOWER(AE328&amp;""),CHAR(160),"")," ",""),".",""),"-",""),"/",""),"?",""),"_",""),",",""),"[",""),"]",""),"(",""),")",""),"*","")</f>
        <v/>
      </c>
      <c r="AY328" s="61" t="str">
        <f aca="false">SUBSTITUTE(SUBSTITUTE(SUBSTITUTE(SUBSTITUTE(SUBSTITUTE(SUBSTITUTE(SUBSTITUTE(SUBSTITUTE(SUBSTITUTE(SUBSTITUTE(SUBSTITUTE(SUBSTITUTE(SUBSTITUTE(LOWER(W328&amp;""),CHAR(160),"")," ",""),".",""),"-",""),"/",""),"?",""),"_",""),",",""),"[",""),"]",""),"(",""),")",""),"*","")</f>
        <v/>
      </c>
      <c r="AZ328" s="61" t="str">
        <f aca="false">SUBSTITUTE(SUBSTITUTE(SUBSTITUTE(SUBSTITUTE(SUBSTITUTE(SUBSTITUTE(SUBSTITUTE(SUBSTITUTE(SUBSTITUTE(SUBSTITUTE(SUBSTITUTE(SUBSTITUTE(SUBSTITUTE(LOWER(AC328&amp;""),CHAR(160),"")," ",""),".",""),"-",""),"/",""),"?",""),"_",""),",",""),"[",""),"]",""),"(",""),")",""),"*","")</f>
        <v/>
      </c>
      <c r="BA328" s="61" t="str">
        <f aca="false">SUBSTITUTE(SUBSTITUTE(SUBSTITUTE(SUBSTITUTE(SUBSTITUTE(SUBSTITUTE(SUBSTITUTE(SUBSTITUTE(SUBSTITUTE(SUBSTITUTE(SUBSTITUTE(SUBSTITUTE(SUBSTITUTE(LOWER(AA328&amp;""),CHAR(160),"")," ",""),".",""),"-",""),"/",""),"?",""),"_",""),",",""),"[",""),"]",""),"(",""),")",""),"*","")</f>
        <v/>
      </c>
      <c r="BB328" s="61" t="str">
        <f aca="false">IF(AND(TRIM(U328)="Pass",ISNUMBER(AF328)),IF(AF328&lt;&gt;0,"INVALID – qty variance: use Fail or Pass after CA",""),"")&amp;IF(AND(TRIM(U328)="Pass after CA",ISNUMBER(AF328)),IF(AF328&lt;&gt;0,"INVALID – after the corrective action the actual qty must equal expected (update Actual)",""),"")&amp;IF(AND(TRIM(U328)="Pass",TRIM(AB328)&lt;&gt;"",TRIM(AB328)&lt;&gt;"Closed"),"INVALID – corrective action not closed: use Fail, then Pass after CA","")&amp;IF(AND(TRIM(AA328)&lt;&gt;"",TRIM(AB328)=""),"INVALID – CA status missing for the recorded corrective action","")&amp;IF(AND(TRIM(U328)="Pass after CA",OR(OR(LEN(BA328)&lt;5,ISNUMBER(MATCH(BA328,L_Placeholder,0))),TRIM(AB328)&lt;&gt;"Closed")),"INVALID – corrective action not recorded/closed","")</f>
        <v/>
      </c>
    </row>
    <row r="329" customFormat="false" ht="39.75" hidden="false" customHeight="true" outlineLevel="0" collapsed="false">
      <c r="A329" s="57" t="s">
        <v>898</v>
      </c>
      <c r="B329" s="57" t="s">
        <v>248</v>
      </c>
      <c r="C329" s="57" t="str">
        <f aca="false">Flights!$F$14</f>
        <v>MH1140</v>
      </c>
      <c r="D329" s="58" t="n">
        <f aca="false">Flights!$D$14</f>
        <v>46307</v>
      </c>
      <c r="E329" s="57" t="str">
        <f aca="false">Flights!$G$14&amp;"-"&amp;Flights!$H$14</f>
        <v>KUL-PEN</v>
      </c>
      <c r="F329" s="57" t="str">
        <f aca="false">Flights!$K$14</f>
        <v>BC</v>
      </c>
      <c r="G329" s="57" t="s">
        <v>79</v>
      </c>
      <c r="H329" s="57" t="s">
        <v>356</v>
      </c>
      <c r="I329" s="57" t="s">
        <v>383</v>
      </c>
      <c r="J329" s="57" t="s">
        <v>387</v>
      </c>
      <c r="K329" s="67" t="s">
        <v>385</v>
      </c>
      <c r="L329" s="67" t="s">
        <v>360</v>
      </c>
      <c r="M329" s="67"/>
      <c r="N329" s="67" t="s">
        <v>361</v>
      </c>
      <c r="O329" s="67"/>
      <c r="P329" s="57" t="s">
        <v>184</v>
      </c>
      <c r="Q329" s="59" t="n">
        <f aca="false">ROUND((Flights!$AC$14)*1440,0)/1440</f>
        <v>46300.15625</v>
      </c>
      <c r="R329" s="59" t="n">
        <f aca="false">Q329+(IF(AND(INDEX(TZ_DSTS,MATCH(P329,TZ_STN,0))&lt;&gt;"",Q329&gt;=INDEX(TZ_DSTS,MATCH(P329,TZ_STN,0)),Q329&lt;INDEX(TZ_DSTE,MATCH(P329,TZ_STN,0))),INDEX(TZ_DST,MATCH(P329,TZ_STN,0)),INDEX(TZ_STD,MATCH(P329,TZ_STN,0))))/24</f>
        <v>46300.4895833333</v>
      </c>
      <c r="S329" s="59" t="n">
        <f aca="false">Q329-T7EarlyD*24/24</f>
        <v>46286.15625</v>
      </c>
      <c r="T329" s="60"/>
      <c r="U329" s="60"/>
      <c r="V329" s="60"/>
      <c r="W329" s="61"/>
      <c r="X329" s="60"/>
      <c r="Y329" s="60"/>
      <c r="Z329" s="60"/>
      <c r="AA329" s="60"/>
      <c r="AB329" s="60"/>
      <c r="AC329" s="60"/>
      <c r="AD329" s="66"/>
      <c r="AE329" s="60"/>
      <c r="AF329" s="61" t="str">
        <f aca="false">IF(AND(ISNUMBER(X329),ISNUMBER(Y329)),Y329-X329,"")</f>
        <v/>
      </c>
      <c r="AG329" s="62" t="str">
        <f aca="false">IF(ISNUMBER(AD329),AD329-(IF(AND(INDEX(TZ_DSTS,MATCH(P329,TZ_STN,0))&lt;&gt;"",(AD329-INDEX(TZ_STD,MATCH(P329,TZ_STN,0))/24)&gt;=INDEX(TZ_DSTS,MATCH(P329,TZ_STN,0)),(AD329-INDEX(TZ_STD,MATCH(P329,TZ_STN,0))/24)&lt;INDEX(TZ_DSTE,MATCH(P329,TZ_STN,0))),INDEX(TZ_DST,MATCH(P329,TZ_STN,0)),INDEX(TZ_STD,MATCH(P329,TZ_STN,0))))/24,"")</f>
        <v/>
      </c>
      <c r="AH329" s="65" t="str">
        <f aca="false">IFERROR(IF(N329="N/A – rule","N/A – RULE",IF(TRIM(U329)="N/A",IF(AT329=0,"INVALID – N/A not permitted for this check",IF(AND(TRIM(AB329)&lt;&gt;"",TRIM(AB329)&lt;&gt;"Closed"),"INVALID – corrective action still open",IF(AND(NOT(OR(LEN(AZ329)&lt;15,ISNUMBER(MATCH(AZ329,L_Placeholder,0)))),NOT(OR(LEN(AU329)&lt;2,ISNUMBER(MATCH(AU329,L_Placeholder,0)))),NOT(OR(LEN(AX329)&lt;2,ISNUMBER(MATCH(AX329,L_Placeholder,0)))),TRIM(AE329)&lt;&gt;TRIM(T329)),"N/A – JUSTIFIED","INVALID – N/A needs a real justification (15+ chars), PIC and a different verifier"))),IF(OR(TRIM(U329)="Pass",TRIM(U329)="Pass after CA"),IF(NOT(ISNUMBER(AD329)),"INVALID – completion time missing",IF(OR(LEN(AU329)&lt;2,ISNUMBER(MATCH(AU329,L_Placeholder,0))),"INVALID – PIC missing",IF(OR(LEN(AV329)&lt;2,ISNUMBER(MATCH(AV329,L_Placeholder,0))),"INVALID – result / assessment missing",IF(OR(OR(LEN(AW329)&lt;3,ISNUMBER(MATCH(AW329,L_Placeholder,0))),SUMPRODUCT(--ISNUMBER(SEARCH(L_EvidencePhrase,AW329)))&gt;0),"INVALID – evidence missing, placeholder or not yet on file",IF(OR(LEN(AX329)&lt;2,ISNUMBER(MATCH(AX329,L_Placeholder,0))),"INVALID – verifier missing",IF(AX329=AU329,"INVALID – verifier must be someone other than the PIC",IF(AND(TRIM(U329)="Pass",SUMPRODUCT(--ISNUMBER(SEARCH(L_ResultBad,AV329)))&gt;0),"INVALID – result describes a problem: use Fail, then Pass after CA",IF(AND(AQ329=1,OR(LEN(AY329)&lt;3,ISNUMBER(MATCH(AY329,L_Placeholder,0)))),"INVALID – batch ID missing or placeholder",IF(AND(AR329=1,OR(NOT(ISNUMBER(X329)),NOT(ISNUMBER(Y329)))),"INVALID – expected/actual qty missing",IF(AND(AR329=1,OR(X329&lt;=0,Y329&lt;0)),"INVALID – expected qty must be above 0 and actual not negative",IF(BB329&lt;&gt;"",BB329,IF(AND(AS329=1,Documents!$J$14&lt;&gt;"ON FILE"),"INVALID – GLD not on file (Documents sheet)",IF(AND(AS329=2,Documents!$O$14&lt;&gt;"ON FILE"),"INVALID – menu checklist not on file (Documents sheet)",IF(AND(AS329=3,NOT(ISNUMBER(Flights!$AX$14))),"INVALID – enter carrying flight KUL departure (Flights AX)",IF(AND(AS329=3,OR(Flights!$AZ$14&gt;Flights!$AA$14,Flights!$AX$14&lt;Flights!$AA$14-3)),"INVALID – carrying flight (Flights AX) cannot arrive before this leg's STD, or is over 3 days early",IF(AG329&gt;AsOfUTC,"INVALID – completion time is in the future",IF(AND(ISNUMBER(S329),AG329&lt;S329),IF(H329="Physical uplift","INVALID – before uplift window (cannot confirm loading)","INVALID – before valid window"),IF(AG329&gt;Flights!$AA$14,"INVALID – completed after departure (cannot establish readiness)",IF(AND(H329="Preparation",AG329&gt;IF(ISNUMBER(Flights!$BA$14),MIN(Flights!$BA$14,Flights!$AA$14),Flights!$AA$14)),"INVALID – completed after loading / departure (cannot establish readiness)",IF(AND(H329="Physical uplift",AG329&gt;Q329),"INVALID – recorded after the loading flight departed",IF(AG329&gt;Q329,"COMPLETE – LATE","COMPLETE"))))))))))))))))))))),IF(TRIM(U329)="Fail","FAIL – DISCREPANCY",IF(AND(TRIM(U329)&lt;&gt;"",TRIM(U329)&lt;&gt;"Not started",TRIM(U329)&lt;&gt;"In progress"),"INVALID – unrecognised status (use the list)",IF(AsOfUTC&gt;Q329,"OVERDUE",IF(N329="Clarification required","OPEN – CLARIFICATION","OPEN"))))))),"INVALID – error value in an input cell")</f>
        <v>OPEN</v>
      </c>
      <c r="AI329" s="61" t="n">
        <f aca="false">IF(OR(AH329="N/A – RULE",AH329="N/A – JUSTIFIED"),0,1)</f>
        <v>1</v>
      </c>
      <c r="AJ329" s="61" t="n">
        <f aca="false">IF(LEFT(AH329,8)="COMPLETE",1,0)</f>
        <v>0</v>
      </c>
      <c r="AK329" s="61" t="n">
        <f aca="false">IF(AND(AI329=1,AJ329=0,AsOfUTC&gt;Q329),1,0)</f>
        <v>0</v>
      </c>
      <c r="AL329" s="61" t="n">
        <f aca="false">IFERROR(IF(AND(AI329=1,OR(TRIM(U329)="Fail",AND(TRIM(AB329)&lt;&gt;"",TRIM(AB329)&lt;&gt;"Closed"),AND(ISNUMBER(AF329),AF329&lt;&gt;0,TRIM(U329)&lt;&gt;"Pass after CA"))),1,0),1)</f>
        <v>0</v>
      </c>
      <c r="AM329" s="61" t="n">
        <f aca="false">IF(LEFT(AH329,7)="INVALID",1,0)</f>
        <v>0</v>
      </c>
      <c r="AN329" s="61" t="n">
        <f aca="false">IF(AND(N329="Clarification required",AI329=1,AJ329=0),1,0)</f>
        <v>0</v>
      </c>
      <c r="AO329" s="61" t="str">
        <f aca="false">IF(AK329=1,SUM(AK$5:AK329),"")</f>
        <v/>
      </c>
      <c r="AP329" s="61" t="str">
        <f aca="false">IF(AL329=1,SUM(AL$5:AL329),"")</f>
        <v/>
      </c>
      <c r="AQ329" s="61" t="n">
        <v>0</v>
      </c>
      <c r="AR329" s="61" t="n">
        <v>0</v>
      </c>
      <c r="AS329" s="61" t="n">
        <v>2</v>
      </c>
      <c r="AT329" s="61" t="n">
        <v>0</v>
      </c>
      <c r="AU329" s="61" t="str">
        <f aca="false">SUBSTITUTE(SUBSTITUTE(SUBSTITUTE(SUBSTITUTE(SUBSTITUTE(SUBSTITUTE(SUBSTITUTE(SUBSTITUTE(SUBSTITUTE(SUBSTITUTE(SUBSTITUTE(SUBSTITUTE(SUBSTITUTE(LOWER(T329&amp;""),CHAR(160),"")," ",""),".",""),"-",""),"/",""),"?",""),"_",""),",",""),"[",""),"]",""),"(",""),")",""),"*","")</f>
        <v/>
      </c>
      <c r="AV329" s="61" t="str">
        <f aca="false">SUBSTITUTE(SUBSTITUTE(SUBSTITUTE(SUBSTITUTE(SUBSTITUTE(SUBSTITUTE(SUBSTITUTE(SUBSTITUTE(SUBSTITUTE(SUBSTITUTE(SUBSTITUTE(SUBSTITUTE(SUBSTITUTE(LOWER(V329&amp;""),CHAR(160),"")," ",""),".",""),"-",""),"/",""),"?",""),"_",""),",",""),"[",""),"]",""),"(",""),")",""),"*","")</f>
        <v/>
      </c>
      <c r="AW329" s="61" t="str">
        <f aca="false">SUBSTITUTE(SUBSTITUTE(SUBSTITUTE(SUBSTITUTE(SUBSTITUTE(SUBSTITUTE(SUBSTITUTE(SUBSTITUTE(SUBSTITUTE(SUBSTITUTE(SUBSTITUTE(SUBSTITUTE(SUBSTITUTE(LOWER(Z329&amp;""),CHAR(160),"")," ",""),".",""),"-",""),"/",""),"?",""),"_",""),",",""),"[",""),"]",""),"(",""),")",""),"*","")</f>
        <v/>
      </c>
      <c r="AX329" s="61" t="str">
        <f aca="false">SUBSTITUTE(SUBSTITUTE(SUBSTITUTE(SUBSTITUTE(SUBSTITUTE(SUBSTITUTE(SUBSTITUTE(SUBSTITUTE(SUBSTITUTE(SUBSTITUTE(SUBSTITUTE(SUBSTITUTE(SUBSTITUTE(LOWER(AE329&amp;""),CHAR(160),"")," ",""),".",""),"-",""),"/",""),"?",""),"_",""),",",""),"[",""),"]",""),"(",""),")",""),"*","")</f>
        <v/>
      </c>
      <c r="AY329" s="61" t="str">
        <f aca="false">SUBSTITUTE(SUBSTITUTE(SUBSTITUTE(SUBSTITUTE(SUBSTITUTE(SUBSTITUTE(SUBSTITUTE(SUBSTITUTE(SUBSTITUTE(SUBSTITUTE(SUBSTITUTE(SUBSTITUTE(SUBSTITUTE(LOWER(W329&amp;""),CHAR(160),"")," ",""),".",""),"-",""),"/",""),"?",""),"_",""),",",""),"[",""),"]",""),"(",""),")",""),"*","")</f>
        <v/>
      </c>
      <c r="AZ329" s="61" t="str">
        <f aca="false">SUBSTITUTE(SUBSTITUTE(SUBSTITUTE(SUBSTITUTE(SUBSTITUTE(SUBSTITUTE(SUBSTITUTE(SUBSTITUTE(SUBSTITUTE(SUBSTITUTE(SUBSTITUTE(SUBSTITUTE(SUBSTITUTE(LOWER(AC329&amp;""),CHAR(160),"")," ",""),".",""),"-",""),"/",""),"?",""),"_",""),",",""),"[",""),"]",""),"(",""),")",""),"*","")</f>
        <v/>
      </c>
      <c r="BA329" s="61" t="str">
        <f aca="false">SUBSTITUTE(SUBSTITUTE(SUBSTITUTE(SUBSTITUTE(SUBSTITUTE(SUBSTITUTE(SUBSTITUTE(SUBSTITUTE(SUBSTITUTE(SUBSTITUTE(SUBSTITUTE(SUBSTITUTE(SUBSTITUTE(LOWER(AA329&amp;""),CHAR(160),"")," ",""),".",""),"-",""),"/",""),"?",""),"_",""),",",""),"[",""),"]",""),"(",""),")",""),"*","")</f>
        <v/>
      </c>
      <c r="BB329" s="61" t="str">
        <f aca="false">IF(AND(TRIM(U329)="Pass",ISNUMBER(AF329)),IF(AF329&lt;&gt;0,"INVALID – qty variance: use Fail or Pass after CA",""),"")&amp;IF(AND(TRIM(U329)="Pass after CA",ISNUMBER(AF329)),IF(AF329&lt;&gt;0,"INVALID – after the corrective action the actual qty must equal expected (update Actual)",""),"")&amp;IF(AND(TRIM(U329)="Pass",TRIM(AB329)&lt;&gt;"",TRIM(AB329)&lt;&gt;"Closed"),"INVALID – corrective action not closed: use Fail, then Pass after CA","")&amp;IF(AND(TRIM(AA329)&lt;&gt;"",TRIM(AB329)=""),"INVALID – CA status missing for the recorded corrective action","")&amp;IF(AND(TRIM(U329)="Pass after CA",OR(OR(LEN(BA329)&lt;5,ISNUMBER(MATCH(BA329,L_Placeholder,0))),TRIM(AB329)&lt;&gt;"Closed")),"INVALID – corrective action not recorded/closed","")</f>
        <v/>
      </c>
    </row>
    <row r="330" customFormat="false" ht="39.75" hidden="false" customHeight="true" outlineLevel="0" collapsed="false">
      <c r="A330" s="57" t="s">
        <v>899</v>
      </c>
      <c r="B330" s="57" t="s">
        <v>248</v>
      </c>
      <c r="C330" s="57" t="str">
        <f aca="false">Flights!$F$14</f>
        <v>MH1140</v>
      </c>
      <c r="D330" s="58" t="n">
        <f aca="false">Flights!$D$14</f>
        <v>46307</v>
      </c>
      <c r="E330" s="57" t="str">
        <f aca="false">Flights!$G$14&amp;"-"&amp;Flights!$H$14</f>
        <v>KUL-PEN</v>
      </c>
      <c r="F330" s="57" t="str">
        <f aca="false">Flights!$K$14</f>
        <v>BC</v>
      </c>
      <c r="G330" s="57" t="s">
        <v>79</v>
      </c>
      <c r="H330" s="57" t="s">
        <v>356</v>
      </c>
      <c r="I330" s="57" t="s">
        <v>389</v>
      </c>
      <c r="J330" s="57" t="s">
        <v>390</v>
      </c>
      <c r="K330" s="67" t="s">
        <v>900</v>
      </c>
      <c r="L330" s="67" t="s">
        <v>901</v>
      </c>
      <c r="M330" s="67"/>
      <c r="N330" s="67" t="s">
        <v>361</v>
      </c>
      <c r="O330" s="67"/>
      <c r="P330" s="57" t="s">
        <v>184</v>
      </c>
      <c r="Q330" s="59" t="n">
        <f aca="false">ROUND((Flights!$AC$14)*1440,0)/1440</f>
        <v>46300.15625</v>
      </c>
      <c r="R330" s="59" t="n">
        <f aca="false">Q330+(IF(AND(INDEX(TZ_DSTS,MATCH(P330,TZ_STN,0))&lt;&gt;"",Q330&gt;=INDEX(TZ_DSTS,MATCH(P330,TZ_STN,0)),Q330&lt;INDEX(TZ_DSTE,MATCH(P330,TZ_STN,0))),INDEX(TZ_DST,MATCH(P330,TZ_STN,0)),INDEX(TZ_STD,MATCH(P330,TZ_STN,0))))/24</f>
        <v>46300.4895833333</v>
      </c>
      <c r="S330" s="59" t="n">
        <f aca="false">Q330-T7EarlyD*24/24</f>
        <v>46286.15625</v>
      </c>
      <c r="T330" s="60"/>
      <c r="U330" s="60"/>
      <c r="V330" s="60"/>
      <c r="W330" s="61"/>
      <c r="X330" s="60"/>
      <c r="Y330" s="60"/>
      <c r="Z330" s="60"/>
      <c r="AA330" s="60"/>
      <c r="AB330" s="60"/>
      <c r="AC330" s="60"/>
      <c r="AD330" s="66"/>
      <c r="AE330" s="60"/>
      <c r="AF330" s="61" t="str">
        <f aca="false">IF(AND(ISNUMBER(X330),ISNUMBER(Y330)),Y330-X330,"")</f>
        <v/>
      </c>
      <c r="AG330" s="62" t="str">
        <f aca="false">IF(ISNUMBER(AD330),AD330-(IF(AND(INDEX(TZ_DSTS,MATCH(P330,TZ_STN,0))&lt;&gt;"",(AD330-INDEX(TZ_STD,MATCH(P330,TZ_STN,0))/24)&gt;=INDEX(TZ_DSTS,MATCH(P330,TZ_STN,0)),(AD330-INDEX(TZ_STD,MATCH(P330,TZ_STN,0))/24)&lt;INDEX(TZ_DSTE,MATCH(P330,TZ_STN,0))),INDEX(TZ_DST,MATCH(P330,TZ_STN,0)),INDEX(TZ_STD,MATCH(P330,TZ_STN,0))))/24,"")</f>
        <v/>
      </c>
      <c r="AH330" s="65" t="str">
        <f aca="false">IFERROR(IF(N330="N/A – rule","N/A – RULE",IF(TRIM(U330)="N/A",IF(AT330=0,"INVALID – N/A not permitted for this check",IF(AND(TRIM(AB330)&lt;&gt;"",TRIM(AB330)&lt;&gt;"Closed"),"INVALID – corrective action still open",IF(AND(NOT(OR(LEN(AZ330)&lt;15,ISNUMBER(MATCH(AZ330,L_Placeholder,0)))),NOT(OR(LEN(AU330)&lt;2,ISNUMBER(MATCH(AU330,L_Placeholder,0)))),NOT(OR(LEN(AX330)&lt;2,ISNUMBER(MATCH(AX330,L_Placeholder,0)))),TRIM(AE330)&lt;&gt;TRIM(T330)),"N/A – JUSTIFIED","INVALID – N/A needs a real justification (15+ chars), PIC and a different verifier"))),IF(OR(TRIM(U330)="Pass",TRIM(U330)="Pass after CA"),IF(NOT(ISNUMBER(AD330)),"INVALID – completion time missing",IF(OR(LEN(AU330)&lt;2,ISNUMBER(MATCH(AU330,L_Placeholder,0))),"INVALID – PIC missing",IF(OR(LEN(AV330)&lt;2,ISNUMBER(MATCH(AV330,L_Placeholder,0))),"INVALID – result / assessment missing",IF(OR(OR(LEN(AW330)&lt;3,ISNUMBER(MATCH(AW330,L_Placeholder,0))),SUMPRODUCT(--ISNUMBER(SEARCH(L_EvidencePhrase,AW330)))&gt;0),"INVALID – evidence missing, placeholder or not yet on file",IF(OR(LEN(AX330)&lt;2,ISNUMBER(MATCH(AX330,L_Placeholder,0))),"INVALID – verifier missing",IF(AX330=AU330,"INVALID – verifier must be someone other than the PIC",IF(AND(TRIM(U330)="Pass",SUMPRODUCT(--ISNUMBER(SEARCH(L_ResultBad,AV330)))&gt;0),"INVALID – result describes a problem: use Fail, then Pass after CA",IF(AND(AQ330=1,OR(LEN(AY330)&lt;3,ISNUMBER(MATCH(AY330,L_Placeholder,0)))),"INVALID – batch ID missing or placeholder",IF(AND(AR330=1,OR(NOT(ISNUMBER(X330)),NOT(ISNUMBER(Y330)))),"INVALID – expected/actual qty missing",IF(AND(AR330=1,OR(X330&lt;=0,Y330&lt;0)),"INVALID – expected qty must be above 0 and actual not negative",IF(BB330&lt;&gt;"",BB330,IF(AND(AS330=1,Documents!$J$14&lt;&gt;"ON FILE"),"INVALID – GLD not on file (Documents sheet)",IF(AND(AS330=2,Documents!$O$14&lt;&gt;"ON FILE"),"INVALID – menu checklist not on file (Documents sheet)",IF(AND(AS330=3,NOT(ISNUMBER(Flights!$AX$14))),"INVALID – enter carrying flight KUL departure (Flights AX)",IF(AND(AS330=3,OR(Flights!$AZ$14&gt;Flights!$AA$14,Flights!$AX$14&lt;Flights!$AA$14-3)),"INVALID – carrying flight (Flights AX) cannot arrive before this leg's STD, or is over 3 days early",IF(AG330&gt;AsOfUTC,"INVALID – completion time is in the future",IF(AND(ISNUMBER(S330),AG330&lt;S330),IF(H330="Physical uplift","INVALID – before uplift window (cannot confirm loading)","INVALID – before valid window"),IF(AG330&gt;Flights!$AA$14,"INVALID – completed after departure (cannot establish readiness)",IF(AND(H330="Preparation",AG330&gt;IF(ISNUMBER(Flights!$BA$14),MIN(Flights!$BA$14,Flights!$AA$14),Flights!$AA$14)),"INVALID – completed after loading / departure (cannot establish readiness)",IF(AND(H330="Physical uplift",AG330&gt;Q330),"INVALID – recorded after the loading flight departed",IF(AG330&gt;Q330,"COMPLETE – LATE","COMPLETE"))))))))))))))))))))),IF(TRIM(U330)="Fail","FAIL – DISCREPANCY",IF(AND(TRIM(U330)&lt;&gt;"",TRIM(U330)&lt;&gt;"Not started",TRIM(U330)&lt;&gt;"In progress"),"INVALID – unrecognised status (use the list)",IF(AsOfUTC&gt;Q330,"OVERDUE",IF(N330="Clarification required","OPEN – CLARIFICATION","OPEN"))))))),"INVALID – error value in an input cell")</f>
        <v>OPEN</v>
      </c>
      <c r="AI330" s="61" t="n">
        <f aca="false">IF(OR(AH330="N/A – RULE",AH330="N/A – JUSTIFIED"),0,1)</f>
        <v>1</v>
      </c>
      <c r="AJ330" s="61" t="n">
        <f aca="false">IF(LEFT(AH330,8)="COMPLETE",1,0)</f>
        <v>0</v>
      </c>
      <c r="AK330" s="61" t="n">
        <f aca="false">IF(AND(AI330=1,AJ330=0,AsOfUTC&gt;Q330),1,0)</f>
        <v>0</v>
      </c>
      <c r="AL330" s="61" t="n">
        <f aca="false">IFERROR(IF(AND(AI330=1,OR(TRIM(U330)="Fail",AND(TRIM(AB330)&lt;&gt;"",TRIM(AB330)&lt;&gt;"Closed"),AND(ISNUMBER(AF330),AF330&lt;&gt;0,TRIM(U330)&lt;&gt;"Pass after CA"))),1,0),1)</f>
        <v>0</v>
      </c>
      <c r="AM330" s="61" t="n">
        <f aca="false">IF(LEFT(AH330,7)="INVALID",1,0)</f>
        <v>0</v>
      </c>
      <c r="AN330" s="61" t="n">
        <f aca="false">IF(AND(N330="Clarification required",AI330=1,AJ330=0),1,0)</f>
        <v>0</v>
      </c>
      <c r="AO330" s="61" t="str">
        <f aca="false">IF(AK330=1,SUM(AK$5:AK330),"")</f>
        <v/>
      </c>
      <c r="AP330" s="61" t="str">
        <f aca="false">IF(AL330=1,SUM(AL$5:AL330),"")</f>
        <v/>
      </c>
      <c r="AQ330" s="61" t="n">
        <v>0</v>
      </c>
      <c r="AR330" s="61" t="n">
        <v>0</v>
      </c>
      <c r="AS330" s="61" t="n">
        <v>0</v>
      </c>
      <c r="AT330" s="61" t="n">
        <v>0</v>
      </c>
      <c r="AU330" s="61" t="str">
        <f aca="false">SUBSTITUTE(SUBSTITUTE(SUBSTITUTE(SUBSTITUTE(SUBSTITUTE(SUBSTITUTE(SUBSTITUTE(SUBSTITUTE(SUBSTITUTE(SUBSTITUTE(SUBSTITUTE(SUBSTITUTE(SUBSTITUTE(LOWER(T330&amp;""),CHAR(160),"")," ",""),".",""),"-",""),"/",""),"?",""),"_",""),",",""),"[",""),"]",""),"(",""),")",""),"*","")</f>
        <v/>
      </c>
      <c r="AV330" s="61" t="str">
        <f aca="false">SUBSTITUTE(SUBSTITUTE(SUBSTITUTE(SUBSTITUTE(SUBSTITUTE(SUBSTITUTE(SUBSTITUTE(SUBSTITUTE(SUBSTITUTE(SUBSTITUTE(SUBSTITUTE(SUBSTITUTE(SUBSTITUTE(LOWER(V330&amp;""),CHAR(160),"")," ",""),".",""),"-",""),"/",""),"?",""),"_",""),",",""),"[",""),"]",""),"(",""),")",""),"*","")</f>
        <v/>
      </c>
      <c r="AW330" s="61" t="str">
        <f aca="false">SUBSTITUTE(SUBSTITUTE(SUBSTITUTE(SUBSTITUTE(SUBSTITUTE(SUBSTITUTE(SUBSTITUTE(SUBSTITUTE(SUBSTITUTE(SUBSTITUTE(SUBSTITUTE(SUBSTITUTE(SUBSTITUTE(LOWER(Z330&amp;""),CHAR(160),"")," ",""),".",""),"-",""),"/",""),"?",""),"_",""),",",""),"[",""),"]",""),"(",""),")",""),"*","")</f>
        <v/>
      </c>
      <c r="AX330" s="61" t="str">
        <f aca="false">SUBSTITUTE(SUBSTITUTE(SUBSTITUTE(SUBSTITUTE(SUBSTITUTE(SUBSTITUTE(SUBSTITUTE(SUBSTITUTE(SUBSTITUTE(SUBSTITUTE(SUBSTITUTE(SUBSTITUTE(SUBSTITUTE(LOWER(AE330&amp;""),CHAR(160),"")," ",""),".",""),"-",""),"/",""),"?",""),"_",""),",",""),"[",""),"]",""),"(",""),")",""),"*","")</f>
        <v/>
      </c>
      <c r="AY330" s="61" t="str">
        <f aca="false">SUBSTITUTE(SUBSTITUTE(SUBSTITUTE(SUBSTITUTE(SUBSTITUTE(SUBSTITUTE(SUBSTITUTE(SUBSTITUTE(SUBSTITUTE(SUBSTITUTE(SUBSTITUTE(SUBSTITUTE(SUBSTITUTE(LOWER(W330&amp;""),CHAR(160),"")," ",""),".",""),"-",""),"/",""),"?",""),"_",""),",",""),"[",""),"]",""),"(",""),")",""),"*","")</f>
        <v/>
      </c>
      <c r="AZ330" s="61" t="str">
        <f aca="false">SUBSTITUTE(SUBSTITUTE(SUBSTITUTE(SUBSTITUTE(SUBSTITUTE(SUBSTITUTE(SUBSTITUTE(SUBSTITUTE(SUBSTITUTE(SUBSTITUTE(SUBSTITUTE(SUBSTITUTE(SUBSTITUTE(LOWER(AC330&amp;""),CHAR(160),"")," ",""),".",""),"-",""),"/",""),"?",""),"_",""),",",""),"[",""),"]",""),"(",""),")",""),"*","")</f>
        <v/>
      </c>
      <c r="BA330" s="61" t="str">
        <f aca="false">SUBSTITUTE(SUBSTITUTE(SUBSTITUTE(SUBSTITUTE(SUBSTITUTE(SUBSTITUTE(SUBSTITUTE(SUBSTITUTE(SUBSTITUTE(SUBSTITUTE(SUBSTITUTE(SUBSTITUTE(SUBSTITUTE(LOWER(AA330&amp;""),CHAR(160),"")," ",""),".",""),"-",""),"/",""),"?",""),"_",""),",",""),"[",""),"]",""),"(",""),")",""),"*","")</f>
        <v/>
      </c>
      <c r="BB330" s="61" t="str">
        <f aca="false">IF(AND(TRIM(U330)="Pass",ISNUMBER(AF330)),IF(AF330&lt;&gt;0,"INVALID – qty variance: use Fail or Pass after CA",""),"")&amp;IF(AND(TRIM(U330)="Pass after CA",ISNUMBER(AF330)),IF(AF330&lt;&gt;0,"INVALID – after the corrective action the actual qty must equal expected (update Actual)",""),"")&amp;IF(AND(TRIM(U330)="Pass",TRIM(AB330)&lt;&gt;"",TRIM(AB330)&lt;&gt;"Closed"),"INVALID – corrective action not closed: use Fail, then Pass after CA","")&amp;IF(AND(TRIM(AA330)&lt;&gt;"",TRIM(AB330)=""),"INVALID – CA status missing for the recorded corrective action","")&amp;IF(AND(TRIM(U330)="Pass after CA",OR(OR(LEN(BA330)&lt;5,ISNUMBER(MATCH(BA330,L_Placeholder,0))),TRIM(AB330)&lt;&gt;"Closed")),"INVALID – corrective action not recorded/closed","")</f>
        <v/>
      </c>
    </row>
    <row r="331" customFormat="false" ht="39.75" hidden="false" customHeight="true" outlineLevel="0" collapsed="false">
      <c r="A331" s="57" t="s">
        <v>902</v>
      </c>
      <c r="B331" s="57" t="s">
        <v>248</v>
      </c>
      <c r="C331" s="57" t="str">
        <f aca="false">Flights!$F$14</f>
        <v>MH1140</v>
      </c>
      <c r="D331" s="58" t="n">
        <f aca="false">Flights!$D$14</f>
        <v>46307</v>
      </c>
      <c r="E331" s="57" t="str">
        <f aca="false">Flights!$G$14&amp;"-"&amp;Flights!$H$14</f>
        <v>KUL-PEN</v>
      </c>
      <c r="F331" s="57" t="str">
        <f aca="false">Flights!$K$14</f>
        <v>BC</v>
      </c>
      <c r="G331" s="57" t="s">
        <v>81</v>
      </c>
      <c r="H331" s="57" t="s">
        <v>356</v>
      </c>
      <c r="I331" s="57" t="s">
        <v>357</v>
      </c>
      <c r="J331" s="57" t="s">
        <v>394</v>
      </c>
      <c r="K331" s="67" t="s">
        <v>395</v>
      </c>
      <c r="L331" s="67" t="s">
        <v>396</v>
      </c>
      <c r="M331" s="67"/>
      <c r="N331" s="67" t="s">
        <v>361</v>
      </c>
      <c r="O331" s="67"/>
      <c r="P331" s="57" t="s">
        <v>184</v>
      </c>
      <c r="Q331" s="59" t="n">
        <f aca="false">ROUND((Flights!$AD$14)*1440,0)/1440</f>
        <v>46306.15625</v>
      </c>
      <c r="R331" s="59" t="n">
        <f aca="false">Q331+(IF(AND(INDEX(TZ_DSTS,MATCH(P331,TZ_STN,0))&lt;&gt;"",Q331&gt;=INDEX(TZ_DSTS,MATCH(P331,TZ_STN,0)),Q331&lt;INDEX(TZ_DSTE,MATCH(P331,TZ_STN,0))),INDEX(TZ_DST,MATCH(P331,TZ_STN,0)),INDEX(TZ_STD,MATCH(P331,TZ_STN,0))))/24</f>
        <v>46306.4895833333</v>
      </c>
      <c r="S331" s="59" t="n">
        <f aca="false">Q331-T24EarlyH/24</f>
        <v>46305.15625</v>
      </c>
      <c r="T331" s="60"/>
      <c r="U331" s="60"/>
      <c r="V331" s="60"/>
      <c r="W331" s="60"/>
      <c r="X331" s="60"/>
      <c r="Y331" s="60"/>
      <c r="Z331" s="60"/>
      <c r="AA331" s="60"/>
      <c r="AB331" s="60"/>
      <c r="AC331" s="60"/>
      <c r="AD331" s="66"/>
      <c r="AE331" s="60"/>
      <c r="AF331" s="61" t="str">
        <f aca="false">IF(AND(ISNUMBER(X331),ISNUMBER(Y331)),Y331-X331,"")</f>
        <v/>
      </c>
      <c r="AG331" s="62" t="str">
        <f aca="false">IF(ISNUMBER(AD331),AD331-(IF(AND(INDEX(TZ_DSTS,MATCH(P331,TZ_STN,0))&lt;&gt;"",(AD331-INDEX(TZ_STD,MATCH(P331,TZ_STN,0))/24)&gt;=INDEX(TZ_DSTS,MATCH(P331,TZ_STN,0)),(AD331-INDEX(TZ_STD,MATCH(P331,TZ_STN,0))/24)&lt;INDEX(TZ_DSTE,MATCH(P331,TZ_STN,0))),INDEX(TZ_DST,MATCH(P331,TZ_STN,0)),INDEX(TZ_STD,MATCH(P331,TZ_STN,0))))/24,"")</f>
        <v/>
      </c>
      <c r="AH331" s="65" t="str">
        <f aca="false">IFERROR(IF(N331="N/A – rule","N/A – RULE",IF(TRIM(U331)="N/A",IF(AT331=0,"INVALID – N/A not permitted for this check",IF(AND(TRIM(AB331)&lt;&gt;"",TRIM(AB331)&lt;&gt;"Closed"),"INVALID – corrective action still open",IF(AND(NOT(OR(LEN(AZ331)&lt;15,ISNUMBER(MATCH(AZ331,L_Placeholder,0)))),NOT(OR(LEN(AU331)&lt;2,ISNUMBER(MATCH(AU331,L_Placeholder,0)))),NOT(OR(LEN(AX331)&lt;2,ISNUMBER(MATCH(AX331,L_Placeholder,0)))),TRIM(AE331)&lt;&gt;TRIM(T331)),"N/A – JUSTIFIED","INVALID – N/A needs a real justification (15+ chars), PIC and a different verifier"))),IF(OR(TRIM(U331)="Pass",TRIM(U331)="Pass after CA"),IF(NOT(ISNUMBER(AD331)),"INVALID – completion time missing",IF(OR(LEN(AU331)&lt;2,ISNUMBER(MATCH(AU331,L_Placeholder,0))),"INVALID – PIC missing",IF(OR(LEN(AV331)&lt;2,ISNUMBER(MATCH(AV331,L_Placeholder,0))),"INVALID – result / assessment missing",IF(OR(OR(LEN(AW331)&lt;3,ISNUMBER(MATCH(AW331,L_Placeholder,0))),SUMPRODUCT(--ISNUMBER(SEARCH(L_EvidencePhrase,AW331)))&gt;0),"INVALID – evidence missing, placeholder or not yet on file",IF(OR(LEN(AX331)&lt;2,ISNUMBER(MATCH(AX331,L_Placeholder,0))),"INVALID – verifier missing",IF(AX331=AU331,"INVALID – verifier must be someone other than the PIC",IF(AND(TRIM(U331)="Pass",SUMPRODUCT(--ISNUMBER(SEARCH(L_ResultBad,AV331)))&gt;0),"INVALID – result describes a problem: use Fail, then Pass after CA",IF(AND(AQ331=1,OR(LEN(AY331)&lt;3,ISNUMBER(MATCH(AY331,L_Placeholder,0)))),"INVALID – batch ID missing or placeholder",IF(AND(AR331=1,OR(NOT(ISNUMBER(X331)),NOT(ISNUMBER(Y331)))),"INVALID – expected/actual qty missing",IF(AND(AR331=1,OR(X331&lt;=0,Y331&lt;0)),"INVALID – expected qty must be above 0 and actual not negative",IF(BB331&lt;&gt;"",BB331,IF(AND(AS331=1,Documents!$J$14&lt;&gt;"ON FILE"),"INVALID – GLD not on file (Documents sheet)",IF(AND(AS331=2,Documents!$O$14&lt;&gt;"ON FILE"),"INVALID – menu checklist not on file (Documents sheet)",IF(AND(AS331=3,NOT(ISNUMBER(Flights!$AX$14))),"INVALID – enter carrying flight KUL departure (Flights AX)",IF(AND(AS331=3,OR(Flights!$AZ$14&gt;Flights!$AA$14,Flights!$AX$14&lt;Flights!$AA$14-3)),"INVALID – carrying flight (Flights AX) cannot arrive before this leg's STD, or is over 3 days early",IF(AG331&gt;AsOfUTC,"INVALID – completion time is in the future",IF(AND(ISNUMBER(S331),AG331&lt;S331),IF(H331="Physical uplift","INVALID – before uplift window (cannot confirm loading)","INVALID – before valid window"),IF(AG331&gt;Flights!$AA$14,"INVALID – completed after departure (cannot establish readiness)",IF(AND(H331="Preparation",AG331&gt;IF(ISNUMBER(Flights!$BA$14),MIN(Flights!$BA$14,Flights!$AA$14),Flights!$AA$14)),"INVALID – completed after loading / departure (cannot establish readiness)",IF(AND(H331="Physical uplift",AG331&gt;Q331),"INVALID – recorded after the loading flight departed",IF(AG331&gt;Q331,"COMPLETE – LATE","COMPLETE"))))))))))))))))))))),IF(TRIM(U331)="Fail","FAIL – DISCREPANCY",IF(AND(TRIM(U331)&lt;&gt;"",TRIM(U331)&lt;&gt;"Not started",TRIM(U331)&lt;&gt;"In progress"),"INVALID – unrecognised status (use the list)",IF(AsOfUTC&gt;Q331,"OVERDUE",IF(N331="Clarification required","OPEN – CLARIFICATION","OPEN"))))))),"INVALID – error value in an input cell")</f>
        <v>OPEN</v>
      </c>
      <c r="AI331" s="61" t="n">
        <f aca="false">IF(OR(AH331="N/A – RULE",AH331="N/A – JUSTIFIED"),0,1)</f>
        <v>1</v>
      </c>
      <c r="AJ331" s="61" t="n">
        <f aca="false">IF(LEFT(AH331,8)="COMPLETE",1,0)</f>
        <v>0</v>
      </c>
      <c r="AK331" s="61" t="n">
        <f aca="false">IF(AND(AI331=1,AJ331=0,AsOfUTC&gt;Q331),1,0)</f>
        <v>0</v>
      </c>
      <c r="AL331" s="61" t="n">
        <f aca="false">IFERROR(IF(AND(AI331=1,OR(TRIM(U331)="Fail",AND(TRIM(AB331)&lt;&gt;"",TRIM(AB331)&lt;&gt;"Closed"),AND(ISNUMBER(AF331),AF331&lt;&gt;0,TRIM(U331)&lt;&gt;"Pass after CA"))),1,0),1)</f>
        <v>0</v>
      </c>
      <c r="AM331" s="61" t="n">
        <f aca="false">IF(LEFT(AH331,7)="INVALID",1,0)</f>
        <v>0</v>
      </c>
      <c r="AN331" s="61" t="n">
        <f aca="false">IF(AND(N331="Clarification required",AI331=1,AJ331=0),1,0)</f>
        <v>0</v>
      </c>
      <c r="AO331" s="61" t="str">
        <f aca="false">IF(AK331=1,SUM(AK$5:AK331),"")</f>
        <v/>
      </c>
      <c r="AP331" s="61" t="str">
        <f aca="false">IF(AL331=1,SUM(AL$5:AL331),"")</f>
        <v/>
      </c>
      <c r="AQ331" s="61" t="n">
        <v>1</v>
      </c>
      <c r="AR331" s="61" t="n">
        <v>0</v>
      </c>
      <c r="AS331" s="61" t="n">
        <v>0</v>
      </c>
      <c r="AT331" s="61" t="n">
        <v>0</v>
      </c>
      <c r="AU331" s="61" t="str">
        <f aca="false">SUBSTITUTE(SUBSTITUTE(SUBSTITUTE(SUBSTITUTE(SUBSTITUTE(SUBSTITUTE(SUBSTITUTE(SUBSTITUTE(SUBSTITUTE(SUBSTITUTE(SUBSTITUTE(SUBSTITUTE(SUBSTITUTE(LOWER(T331&amp;""),CHAR(160),"")," ",""),".",""),"-",""),"/",""),"?",""),"_",""),",",""),"[",""),"]",""),"(",""),")",""),"*","")</f>
        <v/>
      </c>
      <c r="AV331" s="61" t="str">
        <f aca="false">SUBSTITUTE(SUBSTITUTE(SUBSTITUTE(SUBSTITUTE(SUBSTITUTE(SUBSTITUTE(SUBSTITUTE(SUBSTITUTE(SUBSTITUTE(SUBSTITUTE(SUBSTITUTE(SUBSTITUTE(SUBSTITUTE(LOWER(V331&amp;""),CHAR(160),"")," ",""),".",""),"-",""),"/",""),"?",""),"_",""),",",""),"[",""),"]",""),"(",""),")",""),"*","")</f>
        <v/>
      </c>
      <c r="AW331" s="61" t="str">
        <f aca="false">SUBSTITUTE(SUBSTITUTE(SUBSTITUTE(SUBSTITUTE(SUBSTITUTE(SUBSTITUTE(SUBSTITUTE(SUBSTITUTE(SUBSTITUTE(SUBSTITUTE(SUBSTITUTE(SUBSTITUTE(SUBSTITUTE(LOWER(Z331&amp;""),CHAR(160),"")," ",""),".",""),"-",""),"/",""),"?",""),"_",""),",",""),"[",""),"]",""),"(",""),")",""),"*","")</f>
        <v/>
      </c>
      <c r="AX331" s="61" t="str">
        <f aca="false">SUBSTITUTE(SUBSTITUTE(SUBSTITUTE(SUBSTITUTE(SUBSTITUTE(SUBSTITUTE(SUBSTITUTE(SUBSTITUTE(SUBSTITUTE(SUBSTITUTE(SUBSTITUTE(SUBSTITUTE(SUBSTITUTE(LOWER(AE331&amp;""),CHAR(160),"")," ",""),".",""),"-",""),"/",""),"?",""),"_",""),",",""),"[",""),"]",""),"(",""),")",""),"*","")</f>
        <v/>
      </c>
      <c r="AY331" s="61" t="str">
        <f aca="false">SUBSTITUTE(SUBSTITUTE(SUBSTITUTE(SUBSTITUTE(SUBSTITUTE(SUBSTITUTE(SUBSTITUTE(SUBSTITUTE(SUBSTITUTE(SUBSTITUTE(SUBSTITUTE(SUBSTITUTE(SUBSTITUTE(LOWER(W331&amp;""),CHAR(160),"")," ",""),".",""),"-",""),"/",""),"?",""),"_",""),",",""),"[",""),"]",""),"(",""),")",""),"*","")</f>
        <v/>
      </c>
      <c r="AZ331" s="61" t="str">
        <f aca="false">SUBSTITUTE(SUBSTITUTE(SUBSTITUTE(SUBSTITUTE(SUBSTITUTE(SUBSTITUTE(SUBSTITUTE(SUBSTITUTE(SUBSTITUTE(SUBSTITUTE(SUBSTITUTE(SUBSTITUTE(SUBSTITUTE(LOWER(AC331&amp;""),CHAR(160),"")," ",""),".",""),"-",""),"/",""),"?",""),"_",""),",",""),"[",""),"]",""),"(",""),")",""),"*","")</f>
        <v/>
      </c>
      <c r="BA331" s="61" t="str">
        <f aca="false">SUBSTITUTE(SUBSTITUTE(SUBSTITUTE(SUBSTITUTE(SUBSTITUTE(SUBSTITUTE(SUBSTITUTE(SUBSTITUTE(SUBSTITUTE(SUBSTITUTE(SUBSTITUTE(SUBSTITUTE(SUBSTITUTE(LOWER(AA331&amp;""),CHAR(160),"")," ",""),".",""),"-",""),"/",""),"?",""),"_",""),",",""),"[",""),"]",""),"(",""),")",""),"*","")</f>
        <v/>
      </c>
      <c r="BB331" s="61" t="str">
        <f aca="false">IF(AND(TRIM(U331)="Pass",ISNUMBER(AF331)),IF(AF331&lt;&gt;0,"INVALID – qty variance: use Fail or Pass after CA",""),"")&amp;IF(AND(TRIM(U331)="Pass after CA",ISNUMBER(AF331)),IF(AF331&lt;&gt;0,"INVALID – after the corrective action the actual qty must equal expected (update Actual)",""),"")&amp;IF(AND(TRIM(U331)="Pass",TRIM(AB331)&lt;&gt;"",TRIM(AB331)&lt;&gt;"Closed"),"INVALID – corrective action not closed: use Fail, then Pass after CA","")&amp;IF(AND(TRIM(AA331)&lt;&gt;"",TRIM(AB331)=""),"INVALID – CA status missing for the recorded corrective action","")&amp;IF(AND(TRIM(U331)="Pass after CA",OR(OR(LEN(BA331)&lt;5,ISNUMBER(MATCH(BA331,L_Placeholder,0))),TRIM(AB331)&lt;&gt;"Closed")),"INVALID – corrective action not recorded/closed","")</f>
        <v/>
      </c>
    </row>
    <row r="332" customFormat="false" ht="39.75" hidden="false" customHeight="true" outlineLevel="0" collapsed="false">
      <c r="A332" s="57" t="s">
        <v>903</v>
      </c>
      <c r="B332" s="57" t="s">
        <v>248</v>
      </c>
      <c r="C332" s="57" t="str">
        <f aca="false">Flights!$F$14</f>
        <v>MH1140</v>
      </c>
      <c r="D332" s="58" t="n">
        <f aca="false">Flights!$D$14</f>
        <v>46307</v>
      </c>
      <c r="E332" s="57" t="str">
        <f aca="false">Flights!$G$14&amp;"-"&amp;Flights!$H$14</f>
        <v>KUL-PEN</v>
      </c>
      <c r="F332" s="57" t="str">
        <f aca="false">Flights!$K$14</f>
        <v>BC</v>
      </c>
      <c r="G332" s="57" t="s">
        <v>398</v>
      </c>
      <c r="H332" s="57" t="s">
        <v>356</v>
      </c>
      <c r="I332" s="57" t="s">
        <v>357</v>
      </c>
      <c r="J332" s="57" t="s">
        <v>399</v>
      </c>
      <c r="K332" s="67"/>
      <c r="L332" s="67" t="s">
        <v>400</v>
      </c>
      <c r="M332" s="67"/>
      <c r="N332" s="67" t="s">
        <v>361</v>
      </c>
      <c r="O332" s="67" t="s">
        <v>401</v>
      </c>
      <c r="P332" s="57" t="s">
        <v>184</v>
      </c>
      <c r="Q332" s="59" t="n">
        <f aca="false">ROUND((Flights!$AE$14)*1440,0)/1440</f>
        <v>46306.65625</v>
      </c>
      <c r="R332" s="59" t="n">
        <f aca="false">Q332+(IF(AND(INDEX(TZ_DSTS,MATCH(P332,TZ_STN,0))&lt;&gt;"",Q332&gt;=INDEX(TZ_DSTS,MATCH(P332,TZ_STN,0)),Q332&lt;INDEX(TZ_DSTE,MATCH(P332,TZ_STN,0))),INDEX(TZ_DST,MATCH(P332,TZ_STN,0)),INDEX(TZ_STD,MATCH(P332,TZ_STN,0))))/24</f>
        <v>46306.9895833333</v>
      </c>
      <c r="S332" s="59" t="n">
        <f aca="false">Q332-T12EarlyH/24</f>
        <v>46306.15625</v>
      </c>
      <c r="T332" s="60"/>
      <c r="U332" s="60"/>
      <c r="V332" s="60"/>
      <c r="W332" s="61"/>
      <c r="X332" s="60"/>
      <c r="Y332" s="60"/>
      <c r="Z332" s="60"/>
      <c r="AA332" s="60"/>
      <c r="AB332" s="60"/>
      <c r="AC332" s="60"/>
      <c r="AD332" s="66"/>
      <c r="AE332" s="60"/>
      <c r="AF332" s="61" t="str">
        <f aca="false">IF(AND(ISNUMBER(X332),ISNUMBER(Y332)),Y332-X332,"")</f>
        <v/>
      </c>
      <c r="AG332" s="62" t="str">
        <f aca="false">IF(ISNUMBER(AD332),AD332-(IF(AND(INDEX(TZ_DSTS,MATCH(P332,TZ_STN,0))&lt;&gt;"",(AD332-INDEX(TZ_STD,MATCH(P332,TZ_STN,0))/24)&gt;=INDEX(TZ_DSTS,MATCH(P332,TZ_STN,0)),(AD332-INDEX(TZ_STD,MATCH(P332,TZ_STN,0))/24)&lt;INDEX(TZ_DSTE,MATCH(P332,TZ_STN,0))),INDEX(TZ_DST,MATCH(P332,TZ_STN,0)),INDEX(TZ_STD,MATCH(P332,TZ_STN,0))))/24,"")</f>
        <v/>
      </c>
      <c r="AH332" s="65" t="str">
        <f aca="false">IFERROR(IF(N332="N/A – rule","N/A – RULE",IF(TRIM(U332)="N/A",IF(AT332=0,"INVALID – N/A not permitted for this check",IF(AND(TRIM(AB332)&lt;&gt;"",TRIM(AB332)&lt;&gt;"Closed"),"INVALID – corrective action still open",IF(AND(NOT(OR(LEN(AZ332)&lt;15,ISNUMBER(MATCH(AZ332,L_Placeholder,0)))),NOT(OR(LEN(AU332)&lt;2,ISNUMBER(MATCH(AU332,L_Placeholder,0)))),NOT(OR(LEN(AX332)&lt;2,ISNUMBER(MATCH(AX332,L_Placeholder,0)))),TRIM(AE332)&lt;&gt;TRIM(T332)),"N/A – JUSTIFIED","INVALID – N/A needs a real justification (15+ chars), PIC and a different verifier"))),IF(OR(TRIM(U332)="Pass",TRIM(U332)="Pass after CA"),IF(NOT(ISNUMBER(AD332)),"INVALID – completion time missing",IF(OR(LEN(AU332)&lt;2,ISNUMBER(MATCH(AU332,L_Placeholder,0))),"INVALID – PIC missing",IF(OR(LEN(AV332)&lt;2,ISNUMBER(MATCH(AV332,L_Placeholder,0))),"INVALID – result / assessment missing",IF(OR(OR(LEN(AW332)&lt;3,ISNUMBER(MATCH(AW332,L_Placeholder,0))),SUMPRODUCT(--ISNUMBER(SEARCH(L_EvidencePhrase,AW332)))&gt;0),"INVALID – evidence missing, placeholder or not yet on file",IF(OR(LEN(AX332)&lt;2,ISNUMBER(MATCH(AX332,L_Placeholder,0))),"INVALID – verifier missing",IF(AX332=AU332,"INVALID – verifier must be someone other than the PIC",IF(AND(TRIM(U332)="Pass",SUMPRODUCT(--ISNUMBER(SEARCH(L_ResultBad,AV332)))&gt;0),"INVALID – result describes a problem: use Fail, then Pass after CA",IF(AND(AQ332=1,OR(LEN(AY332)&lt;3,ISNUMBER(MATCH(AY332,L_Placeholder,0)))),"INVALID – batch ID missing or placeholder",IF(AND(AR332=1,OR(NOT(ISNUMBER(X332)),NOT(ISNUMBER(Y332)))),"INVALID – expected/actual qty missing",IF(AND(AR332=1,OR(X332&lt;=0,Y332&lt;0)),"INVALID – expected qty must be above 0 and actual not negative",IF(BB332&lt;&gt;"",BB332,IF(AND(AS332=1,Documents!$J$14&lt;&gt;"ON FILE"),"INVALID – GLD not on file (Documents sheet)",IF(AND(AS332=2,Documents!$O$14&lt;&gt;"ON FILE"),"INVALID – menu checklist not on file (Documents sheet)",IF(AND(AS332=3,NOT(ISNUMBER(Flights!$AX$14))),"INVALID – enter carrying flight KUL departure (Flights AX)",IF(AND(AS332=3,OR(Flights!$AZ$14&gt;Flights!$AA$14,Flights!$AX$14&lt;Flights!$AA$14-3)),"INVALID – carrying flight (Flights AX) cannot arrive before this leg's STD, or is over 3 days early",IF(AG332&gt;AsOfUTC,"INVALID – completion time is in the future",IF(AND(ISNUMBER(S332),AG332&lt;S332),IF(H332="Physical uplift","INVALID – before uplift window (cannot confirm loading)","INVALID – before valid window"),IF(AG332&gt;Flights!$AA$14,"INVALID – completed after departure (cannot establish readiness)",IF(AND(H332="Preparation",AG332&gt;IF(ISNUMBER(Flights!$BA$14),MIN(Flights!$BA$14,Flights!$AA$14),Flights!$AA$14)),"INVALID – completed after loading / departure (cannot establish readiness)",IF(AND(H332="Physical uplift",AG332&gt;Q332),"INVALID – recorded after the loading flight departed",IF(AG332&gt;Q332,"COMPLETE – LATE","COMPLETE"))))))))))))))))))))),IF(TRIM(U332)="Fail","FAIL – DISCREPANCY",IF(AND(TRIM(U332)&lt;&gt;"",TRIM(U332)&lt;&gt;"Not started",TRIM(U332)&lt;&gt;"In progress"),"INVALID – unrecognised status (use the list)",IF(AsOfUTC&gt;Q332,"OVERDUE",IF(N332="Clarification required","OPEN – CLARIFICATION","OPEN"))))))),"INVALID – error value in an input cell")</f>
        <v>OPEN</v>
      </c>
      <c r="AI332" s="61" t="n">
        <f aca="false">IF(OR(AH332="N/A – RULE",AH332="N/A – JUSTIFIED"),0,1)</f>
        <v>1</v>
      </c>
      <c r="AJ332" s="61" t="n">
        <f aca="false">IF(LEFT(AH332,8)="COMPLETE",1,0)</f>
        <v>0</v>
      </c>
      <c r="AK332" s="61" t="n">
        <f aca="false">IF(AND(AI332=1,AJ332=0,AsOfUTC&gt;Q332),1,0)</f>
        <v>0</v>
      </c>
      <c r="AL332" s="61" t="n">
        <f aca="false">IFERROR(IF(AND(AI332=1,OR(TRIM(U332)="Fail",AND(TRIM(AB332)&lt;&gt;"",TRIM(AB332)&lt;&gt;"Closed"),AND(ISNUMBER(AF332),AF332&lt;&gt;0,TRIM(U332)&lt;&gt;"Pass after CA"))),1,0),1)</f>
        <v>0</v>
      </c>
      <c r="AM332" s="61" t="n">
        <f aca="false">IF(LEFT(AH332,7)="INVALID",1,0)</f>
        <v>0</v>
      </c>
      <c r="AN332" s="61" t="n">
        <f aca="false">IF(AND(N332="Clarification required",AI332=1,AJ332=0),1,0)</f>
        <v>0</v>
      </c>
      <c r="AO332" s="61" t="str">
        <f aca="false">IF(AK332=1,SUM(AK$5:AK332),"")</f>
        <v/>
      </c>
      <c r="AP332" s="61" t="str">
        <f aca="false">IF(AL332=1,SUM(AL$5:AL332),"")</f>
        <v/>
      </c>
      <c r="AQ332" s="61" t="n">
        <v>0</v>
      </c>
      <c r="AR332" s="61" t="n">
        <v>0</v>
      </c>
      <c r="AS332" s="61" t="n">
        <v>0</v>
      </c>
      <c r="AT332" s="61" t="n">
        <v>0</v>
      </c>
      <c r="AU332" s="61" t="str">
        <f aca="false">SUBSTITUTE(SUBSTITUTE(SUBSTITUTE(SUBSTITUTE(SUBSTITUTE(SUBSTITUTE(SUBSTITUTE(SUBSTITUTE(SUBSTITUTE(SUBSTITUTE(SUBSTITUTE(SUBSTITUTE(SUBSTITUTE(LOWER(T332&amp;""),CHAR(160),"")," ",""),".",""),"-",""),"/",""),"?",""),"_",""),",",""),"[",""),"]",""),"(",""),")",""),"*","")</f>
        <v/>
      </c>
      <c r="AV332" s="61" t="str">
        <f aca="false">SUBSTITUTE(SUBSTITUTE(SUBSTITUTE(SUBSTITUTE(SUBSTITUTE(SUBSTITUTE(SUBSTITUTE(SUBSTITUTE(SUBSTITUTE(SUBSTITUTE(SUBSTITUTE(SUBSTITUTE(SUBSTITUTE(LOWER(V332&amp;""),CHAR(160),"")," ",""),".",""),"-",""),"/",""),"?",""),"_",""),",",""),"[",""),"]",""),"(",""),")",""),"*","")</f>
        <v/>
      </c>
      <c r="AW332" s="61" t="str">
        <f aca="false">SUBSTITUTE(SUBSTITUTE(SUBSTITUTE(SUBSTITUTE(SUBSTITUTE(SUBSTITUTE(SUBSTITUTE(SUBSTITUTE(SUBSTITUTE(SUBSTITUTE(SUBSTITUTE(SUBSTITUTE(SUBSTITUTE(LOWER(Z332&amp;""),CHAR(160),"")," ",""),".",""),"-",""),"/",""),"?",""),"_",""),",",""),"[",""),"]",""),"(",""),")",""),"*","")</f>
        <v/>
      </c>
      <c r="AX332" s="61" t="str">
        <f aca="false">SUBSTITUTE(SUBSTITUTE(SUBSTITUTE(SUBSTITUTE(SUBSTITUTE(SUBSTITUTE(SUBSTITUTE(SUBSTITUTE(SUBSTITUTE(SUBSTITUTE(SUBSTITUTE(SUBSTITUTE(SUBSTITUTE(LOWER(AE332&amp;""),CHAR(160),"")," ",""),".",""),"-",""),"/",""),"?",""),"_",""),",",""),"[",""),"]",""),"(",""),")",""),"*","")</f>
        <v/>
      </c>
      <c r="AY332" s="61" t="str">
        <f aca="false">SUBSTITUTE(SUBSTITUTE(SUBSTITUTE(SUBSTITUTE(SUBSTITUTE(SUBSTITUTE(SUBSTITUTE(SUBSTITUTE(SUBSTITUTE(SUBSTITUTE(SUBSTITUTE(SUBSTITUTE(SUBSTITUTE(LOWER(W332&amp;""),CHAR(160),"")," ",""),".",""),"-",""),"/",""),"?",""),"_",""),",",""),"[",""),"]",""),"(",""),")",""),"*","")</f>
        <v/>
      </c>
      <c r="AZ332" s="61" t="str">
        <f aca="false">SUBSTITUTE(SUBSTITUTE(SUBSTITUTE(SUBSTITUTE(SUBSTITUTE(SUBSTITUTE(SUBSTITUTE(SUBSTITUTE(SUBSTITUTE(SUBSTITUTE(SUBSTITUTE(SUBSTITUTE(SUBSTITUTE(LOWER(AC332&amp;""),CHAR(160),"")," ",""),".",""),"-",""),"/",""),"?",""),"_",""),",",""),"[",""),"]",""),"(",""),")",""),"*","")</f>
        <v/>
      </c>
      <c r="BA332" s="61" t="str">
        <f aca="false">SUBSTITUTE(SUBSTITUTE(SUBSTITUTE(SUBSTITUTE(SUBSTITUTE(SUBSTITUTE(SUBSTITUTE(SUBSTITUTE(SUBSTITUTE(SUBSTITUTE(SUBSTITUTE(SUBSTITUTE(SUBSTITUTE(LOWER(AA332&amp;""),CHAR(160),"")," ",""),".",""),"-",""),"/",""),"?",""),"_",""),",",""),"[",""),"]",""),"(",""),")",""),"*","")</f>
        <v/>
      </c>
      <c r="BB332" s="61" t="str">
        <f aca="false">IF(AND(TRIM(U332)="Pass",ISNUMBER(AF332)),IF(AF332&lt;&gt;0,"INVALID – qty variance: use Fail or Pass after CA",""),"")&amp;IF(AND(TRIM(U332)="Pass after CA",ISNUMBER(AF332)),IF(AF332&lt;&gt;0,"INVALID – after the corrective action the actual qty must equal expected (update Actual)",""),"")&amp;IF(AND(TRIM(U332)="Pass",TRIM(AB332)&lt;&gt;"",TRIM(AB332)&lt;&gt;"Closed"),"INVALID – corrective action not closed: use Fail, then Pass after CA","")&amp;IF(AND(TRIM(AA332)&lt;&gt;"",TRIM(AB332)=""),"INVALID – CA status missing for the recorded corrective action","")&amp;IF(AND(TRIM(U332)="Pass after CA",OR(OR(LEN(BA332)&lt;5,ISNUMBER(MATCH(BA332,L_Placeholder,0))),TRIM(AB332)&lt;&gt;"Closed")),"INVALID – corrective action not recorded/closed","")</f>
        <v/>
      </c>
    </row>
    <row r="333" customFormat="false" ht="39.75" hidden="false" customHeight="true" outlineLevel="0" collapsed="false">
      <c r="A333" s="57" t="s">
        <v>904</v>
      </c>
      <c r="B333" s="57" t="s">
        <v>248</v>
      </c>
      <c r="C333" s="57" t="str">
        <f aca="false">Flights!$F$14</f>
        <v>MH1140</v>
      </c>
      <c r="D333" s="58" t="n">
        <f aca="false">Flights!$D$14</f>
        <v>46307</v>
      </c>
      <c r="E333" s="57" t="str">
        <f aca="false">Flights!$G$14&amp;"-"&amp;Flights!$H$14</f>
        <v>KUL-PEN</v>
      </c>
      <c r="F333" s="57" t="str">
        <f aca="false">Flights!$K$14</f>
        <v>BC</v>
      </c>
      <c r="G333" s="57" t="s">
        <v>398</v>
      </c>
      <c r="H333" s="57" t="s">
        <v>356</v>
      </c>
      <c r="I333" s="57" t="s">
        <v>357</v>
      </c>
      <c r="J333" s="57" t="s">
        <v>403</v>
      </c>
      <c r="K333" s="67" t="s">
        <v>404</v>
      </c>
      <c r="L333" s="67" t="s">
        <v>400</v>
      </c>
      <c r="M333" s="67"/>
      <c r="N333" s="67" t="s">
        <v>361</v>
      </c>
      <c r="O333" s="67" t="s">
        <v>401</v>
      </c>
      <c r="P333" s="57" t="s">
        <v>184</v>
      </c>
      <c r="Q333" s="59" t="n">
        <f aca="false">ROUND((Flights!$AE$14)*1440,0)/1440</f>
        <v>46306.65625</v>
      </c>
      <c r="R333" s="59" t="n">
        <f aca="false">Q333+(IF(AND(INDEX(TZ_DSTS,MATCH(P333,TZ_STN,0))&lt;&gt;"",Q333&gt;=INDEX(TZ_DSTS,MATCH(P333,TZ_STN,0)),Q333&lt;INDEX(TZ_DSTE,MATCH(P333,TZ_STN,0))),INDEX(TZ_DST,MATCH(P333,TZ_STN,0)),INDEX(TZ_STD,MATCH(P333,TZ_STN,0))))/24</f>
        <v>46306.9895833333</v>
      </c>
      <c r="S333" s="59" t="n">
        <f aca="false">Q333-T12EarlyH/24</f>
        <v>46306.15625</v>
      </c>
      <c r="T333" s="60"/>
      <c r="U333" s="60"/>
      <c r="V333" s="60"/>
      <c r="W333" s="61"/>
      <c r="X333" s="60"/>
      <c r="Y333" s="60"/>
      <c r="Z333" s="60"/>
      <c r="AA333" s="60"/>
      <c r="AB333" s="60"/>
      <c r="AC333" s="60"/>
      <c r="AD333" s="66"/>
      <c r="AE333" s="60"/>
      <c r="AF333" s="61" t="str">
        <f aca="false">IF(AND(ISNUMBER(X333),ISNUMBER(Y333)),Y333-X333,"")</f>
        <v/>
      </c>
      <c r="AG333" s="62" t="str">
        <f aca="false">IF(ISNUMBER(AD333),AD333-(IF(AND(INDEX(TZ_DSTS,MATCH(P333,TZ_STN,0))&lt;&gt;"",(AD333-INDEX(TZ_STD,MATCH(P333,TZ_STN,0))/24)&gt;=INDEX(TZ_DSTS,MATCH(P333,TZ_STN,0)),(AD333-INDEX(TZ_STD,MATCH(P333,TZ_STN,0))/24)&lt;INDEX(TZ_DSTE,MATCH(P333,TZ_STN,0))),INDEX(TZ_DST,MATCH(P333,TZ_STN,0)),INDEX(TZ_STD,MATCH(P333,TZ_STN,0))))/24,"")</f>
        <v/>
      </c>
      <c r="AH333" s="65" t="str">
        <f aca="false">IFERROR(IF(N333="N/A – rule","N/A – RULE",IF(TRIM(U333)="N/A",IF(AT333=0,"INVALID – N/A not permitted for this check",IF(AND(TRIM(AB333)&lt;&gt;"",TRIM(AB333)&lt;&gt;"Closed"),"INVALID – corrective action still open",IF(AND(NOT(OR(LEN(AZ333)&lt;15,ISNUMBER(MATCH(AZ333,L_Placeholder,0)))),NOT(OR(LEN(AU333)&lt;2,ISNUMBER(MATCH(AU333,L_Placeholder,0)))),NOT(OR(LEN(AX333)&lt;2,ISNUMBER(MATCH(AX333,L_Placeholder,0)))),TRIM(AE333)&lt;&gt;TRIM(T333)),"N/A – JUSTIFIED","INVALID – N/A needs a real justification (15+ chars), PIC and a different verifier"))),IF(OR(TRIM(U333)="Pass",TRIM(U333)="Pass after CA"),IF(NOT(ISNUMBER(AD333)),"INVALID – completion time missing",IF(OR(LEN(AU333)&lt;2,ISNUMBER(MATCH(AU333,L_Placeholder,0))),"INVALID – PIC missing",IF(OR(LEN(AV333)&lt;2,ISNUMBER(MATCH(AV333,L_Placeholder,0))),"INVALID – result / assessment missing",IF(OR(OR(LEN(AW333)&lt;3,ISNUMBER(MATCH(AW333,L_Placeholder,0))),SUMPRODUCT(--ISNUMBER(SEARCH(L_EvidencePhrase,AW333)))&gt;0),"INVALID – evidence missing, placeholder or not yet on file",IF(OR(LEN(AX333)&lt;2,ISNUMBER(MATCH(AX333,L_Placeholder,0))),"INVALID – verifier missing",IF(AX333=AU333,"INVALID – verifier must be someone other than the PIC",IF(AND(TRIM(U333)="Pass",SUMPRODUCT(--ISNUMBER(SEARCH(L_ResultBad,AV333)))&gt;0),"INVALID – result describes a problem: use Fail, then Pass after CA",IF(AND(AQ333=1,OR(LEN(AY333)&lt;3,ISNUMBER(MATCH(AY333,L_Placeholder,0)))),"INVALID – batch ID missing or placeholder",IF(AND(AR333=1,OR(NOT(ISNUMBER(X333)),NOT(ISNUMBER(Y333)))),"INVALID – expected/actual qty missing",IF(AND(AR333=1,OR(X333&lt;=0,Y333&lt;0)),"INVALID – expected qty must be above 0 and actual not negative",IF(BB333&lt;&gt;"",BB333,IF(AND(AS333=1,Documents!$J$14&lt;&gt;"ON FILE"),"INVALID – GLD not on file (Documents sheet)",IF(AND(AS333=2,Documents!$O$14&lt;&gt;"ON FILE"),"INVALID – menu checklist not on file (Documents sheet)",IF(AND(AS333=3,NOT(ISNUMBER(Flights!$AX$14))),"INVALID – enter carrying flight KUL departure (Flights AX)",IF(AND(AS333=3,OR(Flights!$AZ$14&gt;Flights!$AA$14,Flights!$AX$14&lt;Flights!$AA$14-3)),"INVALID – carrying flight (Flights AX) cannot arrive before this leg's STD, or is over 3 days early",IF(AG333&gt;AsOfUTC,"INVALID – completion time is in the future",IF(AND(ISNUMBER(S333),AG333&lt;S333),IF(H333="Physical uplift","INVALID – before uplift window (cannot confirm loading)","INVALID – before valid window"),IF(AG333&gt;Flights!$AA$14,"INVALID – completed after departure (cannot establish readiness)",IF(AND(H333="Preparation",AG333&gt;IF(ISNUMBER(Flights!$BA$14),MIN(Flights!$BA$14,Flights!$AA$14),Flights!$AA$14)),"INVALID – completed after loading / departure (cannot establish readiness)",IF(AND(H333="Physical uplift",AG333&gt;Q333),"INVALID – recorded after the loading flight departed",IF(AG333&gt;Q333,"COMPLETE – LATE","COMPLETE"))))))))))))))))))))),IF(TRIM(U333)="Fail","FAIL – DISCREPANCY",IF(AND(TRIM(U333)&lt;&gt;"",TRIM(U333)&lt;&gt;"Not started",TRIM(U333)&lt;&gt;"In progress"),"INVALID – unrecognised status (use the list)",IF(AsOfUTC&gt;Q333,"OVERDUE",IF(N333="Clarification required","OPEN – CLARIFICATION","OPEN"))))))),"INVALID – error value in an input cell")</f>
        <v>OPEN</v>
      </c>
      <c r="AI333" s="61" t="n">
        <f aca="false">IF(OR(AH333="N/A – RULE",AH333="N/A – JUSTIFIED"),0,1)</f>
        <v>1</v>
      </c>
      <c r="AJ333" s="61" t="n">
        <f aca="false">IF(LEFT(AH333,8)="COMPLETE",1,0)</f>
        <v>0</v>
      </c>
      <c r="AK333" s="61" t="n">
        <f aca="false">IF(AND(AI333=1,AJ333=0,AsOfUTC&gt;Q333),1,0)</f>
        <v>0</v>
      </c>
      <c r="AL333" s="61" t="n">
        <f aca="false">IFERROR(IF(AND(AI333=1,OR(TRIM(U333)="Fail",AND(TRIM(AB333)&lt;&gt;"",TRIM(AB333)&lt;&gt;"Closed"),AND(ISNUMBER(AF333),AF333&lt;&gt;0,TRIM(U333)&lt;&gt;"Pass after CA"))),1,0),1)</f>
        <v>0</v>
      </c>
      <c r="AM333" s="61" t="n">
        <f aca="false">IF(LEFT(AH333,7)="INVALID",1,0)</f>
        <v>0</v>
      </c>
      <c r="AN333" s="61" t="n">
        <f aca="false">IF(AND(N333="Clarification required",AI333=1,AJ333=0),1,0)</f>
        <v>0</v>
      </c>
      <c r="AO333" s="61" t="str">
        <f aca="false">IF(AK333=1,SUM(AK$5:AK333),"")</f>
        <v/>
      </c>
      <c r="AP333" s="61" t="str">
        <f aca="false">IF(AL333=1,SUM(AL$5:AL333),"")</f>
        <v/>
      </c>
      <c r="AQ333" s="61" t="n">
        <v>0</v>
      </c>
      <c r="AR333" s="61" t="n">
        <v>1</v>
      </c>
      <c r="AS333" s="61" t="n">
        <v>0</v>
      </c>
      <c r="AT333" s="61" t="n">
        <v>0</v>
      </c>
      <c r="AU333" s="61" t="str">
        <f aca="false">SUBSTITUTE(SUBSTITUTE(SUBSTITUTE(SUBSTITUTE(SUBSTITUTE(SUBSTITUTE(SUBSTITUTE(SUBSTITUTE(SUBSTITUTE(SUBSTITUTE(SUBSTITUTE(SUBSTITUTE(SUBSTITUTE(LOWER(T333&amp;""),CHAR(160),"")," ",""),".",""),"-",""),"/",""),"?",""),"_",""),",",""),"[",""),"]",""),"(",""),")",""),"*","")</f>
        <v/>
      </c>
      <c r="AV333" s="61" t="str">
        <f aca="false">SUBSTITUTE(SUBSTITUTE(SUBSTITUTE(SUBSTITUTE(SUBSTITUTE(SUBSTITUTE(SUBSTITUTE(SUBSTITUTE(SUBSTITUTE(SUBSTITUTE(SUBSTITUTE(SUBSTITUTE(SUBSTITUTE(LOWER(V333&amp;""),CHAR(160),"")," ",""),".",""),"-",""),"/",""),"?",""),"_",""),",",""),"[",""),"]",""),"(",""),")",""),"*","")</f>
        <v/>
      </c>
      <c r="AW333" s="61" t="str">
        <f aca="false">SUBSTITUTE(SUBSTITUTE(SUBSTITUTE(SUBSTITUTE(SUBSTITUTE(SUBSTITUTE(SUBSTITUTE(SUBSTITUTE(SUBSTITUTE(SUBSTITUTE(SUBSTITUTE(SUBSTITUTE(SUBSTITUTE(LOWER(Z333&amp;""),CHAR(160),"")," ",""),".",""),"-",""),"/",""),"?",""),"_",""),",",""),"[",""),"]",""),"(",""),")",""),"*","")</f>
        <v/>
      </c>
      <c r="AX333" s="61" t="str">
        <f aca="false">SUBSTITUTE(SUBSTITUTE(SUBSTITUTE(SUBSTITUTE(SUBSTITUTE(SUBSTITUTE(SUBSTITUTE(SUBSTITUTE(SUBSTITUTE(SUBSTITUTE(SUBSTITUTE(SUBSTITUTE(SUBSTITUTE(LOWER(AE333&amp;""),CHAR(160),"")," ",""),".",""),"-",""),"/",""),"?",""),"_",""),",",""),"[",""),"]",""),"(",""),")",""),"*","")</f>
        <v/>
      </c>
      <c r="AY333" s="61" t="str">
        <f aca="false">SUBSTITUTE(SUBSTITUTE(SUBSTITUTE(SUBSTITUTE(SUBSTITUTE(SUBSTITUTE(SUBSTITUTE(SUBSTITUTE(SUBSTITUTE(SUBSTITUTE(SUBSTITUTE(SUBSTITUTE(SUBSTITUTE(LOWER(W333&amp;""),CHAR(160),"")," ",""),".",""),"-",""),"/",""),"?",""),"_",""),",",""),"[",""),"]",""),"(",""),")",""),"*","")</f>
        <v/>
      </c>
      <c r="AZ333" s="61" t="str">
        <f aca="false">SUBSTITUTE(SUBSTITUTE(SUBSTITUTE(SUBSTITUTE(SUBSTITUTE(SUBSTITUTE(SUBSTITUTE(SUBSTITUTE(SUBSTITUTE(SUBSTITUTE(SUBSTITUTE(SUBSTITUTE(SUBSTITUTE(LOWER(AC333&amp;""),CHAR(160),"")," ",""),".",""),"-",""),"/",""),"?",""),"_",""),",",""),"[",""),"]",""),"(",""),")",""),"*","")</f>
        <v/>
      </c>
      <c r="BA333" s="61" t="str">
        <f aca="false">SUBSTITUTE(SUBSTITUTE(SUBSTITUTE(SUBSTITUTE(SUBSTITUTE(SUBSTITUTE(SUBSTITUTE(SUBSTITUTE(SUBSTITUTE(SUBSTITUTE(SUBSTITUTE(SUBSTITUTE(SUBSTITUTE(LOWER(AA333&amp;""),CHAR(160),"")," ",""),".",""),"-",""),"/",""),"?",""),"_",""),",",""),"[",""),"]",""),"(",""),")",""),"*","")</f>
        <v/>
      </c>
      <c r="BB333" s="61" t="str">
        <f aca="false">IF(AND(TRIM(U333)="Pass",ISNUMBER(AF333)),IF(AF333&lt;&gt;0,"INVALID – qty variance: use Fail or Pass after CA",""),"")&amp;IF(AND(TRIM(U333)="Pass after CA",ISNUMBER(AF333)),IF(AF333&lt;&gt;0,"INVALID – after the corrective action the actual qty must equal expected (update Actual)",""),"")&amp;IF(AND(TRIM(U333)="Pass",TRIM(AB333)&lt;&gt;"",TRIM(AB333)&lt;&gt;"Closed"),"INVALID – corrective action not closed: use Fail, then Pass after CA","")&amp;IF(AND(TRIM(AA333)&lt;&gt;"",TRIM(AB333)=""),"INVALID – CA status missing for the recorded corrective action","")&amp;IF(AND(TRIM(U333)="Pass after CA",OR(OR(LEN(BA333)&lt;5,ISNUMBER(MATCH(BA333,L_Placeholder,0))),TRIM(AB333)&lt;&gt;"Closed")),"INVALID – corrective action not recorded/closed","")</f>
        <v/>
      </c>
    </row>
    <row r="334" customFormat="false" ht="39.75" hidden="false" customHeight="true" outlineLevel="0" collapsed="false">
      <c r="A334" s="57" t="s">
        <v>905</v>
      </c>
      <c r="B334" s="57" t="s">
        <v>248</v>
      </c>
      <c r="C334" s="57" t="str">
        <f aca="false">Flights!$F$14</f>
        <v>MH1140</v>
      </c>
      <c r="D334" s="58" t="n">
        <f aca="false">Flights!$D$14</f>
        <v>46307</v>
      </c>
      <c r="E334" s="57" t="str">
        <f aca="false">Flights!$G$14&amp;"-"&amp;Flights!$H$14</f>
        <v>KUL-PEN</v>
      </c>
      <c r="F334" s="57" t="str">
        <f aca="false">Flights!$K$14</f>
        <v>BC</v>
      </c>
      <c r="G334" s="57" t="s">
        <v>398</v>
      </c>
      <c r="H334" s="57" t="s">
        <v>356</v>
      </c>
      <c r="I334" s="57" t="s">
        <v>406</v>
      </c>
      <c r="J334" s="57" t="s">
        <v>407</v>
      </c>
      <c r="K334" s="67"/>
      <c r="L334" s="67" t="s">
        <v>400</v>
      </c>
      <c r="M334" s="67"/>
      <c r="N334" s="67" t="s">
        <v>361</v>
      </c>
      <c r="O334" s="67" t="s">
        <v>401</v>
      </c>
      <c r="P334" s="57" t="s">
        <v>184</v>
      </c>
      <c r="Q334" s="59" t="n">
        <f aca="false">ROUND((Flights!$AE$14)*1440,0)/1440</f>
        <v>46306.65625</v>
      </c>
      <c r="R334" s="59" t="n">
        <f aca="false">Q334+(IF(AND(INDEX(TZ_DSTS,MATCH(P334,TZ_STN,0))&lt;&gt;"",Q334&gt;=INDEX(TZ_DSTS,MATCH(P334,TZ_STN,0)),Q334&lt;INDEX(TZ_DSTE,MATCH(P334,TZ_STN,0))),INDEX(TZ_DST,MATCH(P334,TZ_STN,0)),INDEX(TZ_STD,MATCH(P334,TZ_STN,0))))/24</f>
        <v>46306.9895833333</v>
      </c>
      <c r="S334" s="59" t="n">
        <f aca="false">Q334-T12EarlyH/24</f>
        <v>46306.15625</v>
      </c>
      <c r="T334" s="60"/>
      <c r="U334" s="60"/>
      <c r="V334" s="60"/>
      <c r="W334" s="61"/>
      <c r="X334" s="60"/>
      <c r="Y334" s="60"/>
      <c r="Z334" s="60"/>
      <c r="AA334" s="60"/>
      <c r="AB334" s="60"/>
      <c r="AC334" s="60"/>
      <c r="AD334" s="66"/>
      <c r="AE334" s="60"/>
      <c r="AF334" s="61" t="str">
        <f aca="false">IF(AND(ISNUMBER(X334),ISNUMBER(Y334)),Y334-X334,"")</f>
        <v/>
      </c>
      <c r="AG334" s="62" t="str">
        <f aca="false">IF(ISNUMBER(AD334),AD334-(IF(AND(INDEX(TZ_DSTS,MATCH(P334,TZ_STN,0))&lt;&gt;"",(AD334-INDEX(TZ_STD,MATCH(P334,TZ_STN,0))/24)&gt;=INDEX(TZ_DSTS,MATCH(P334,TZ_STN,0)),(AD334-INDEX(TZ_STD,MATCH(P334,TZ_STN,0))/24)&lt;INDEX(TZ_DSTE,MATCH(P334,TZ_STN,0))),INDEX(TZ_DST,MATCH(P334,TZ_STN,0)),INDEX(TZ_STD,MATCH(P334,TZ_STN,0))))/24,"")</f>
        <v/>
      </c>
      <c r="AH334" s="65" t="str">
        <f aca="false">IFERROR(IF(N334="N/A – rule","N/A – RULE",IF(TRIM(U334)="N/A",IF(AT334=0,"INVALID – N/A not permitted for this check",IF(AND(TRIM(AB334)&lt;&gt;"",TRIM(AB334)&lt;&gt;"Closed"),"INVALID – corrective action still open",IF(AND(NOT(OR(LEN(AZ334)&lt;15,ISNUMBER(MATCH(AZ334,L_Placeholder,0)))),NOT(OR(LEN(AU334)&lt;2,ISNUMBER(MATCH(AU334,L_Placeholder,0)))),NOT(OR(LEN(AX334)&lt;2,ISNUMBER(MATCH(AX334,L_Placeholder,0)))),TRIM(AE334)&lt;&gt;TRIM(T334)),"N/A – JUSTIFIED","INVALID – N/A needs a real justification (15+ chars), PIC and a different verifier"))),IF(OR(TRIM(U334)="Pass",TRIM(U334)="Pass after CA"),IF(NOT(ISNUMBER(AD334)),"INVALID – completion time missing",IF(OR(LEN(AU334)&lt;2,ISNUMBER(MATCH(AU334,L_Placeholder,0))),"INVALID – PIC missing",IF(OR(LEN(AV334)&lt;2,ISNUMBER(MATCH(AV334,L_Placeholder,0))),"INVALID – result / assessment missing",IF(OR(OR(LEN(AW334)&lt;3,ISNUMBER(MATCH(AW334,L_Placeholder,0))),SUMPRODUCT(--ISNUMBER(SEARCH(L_EvidencePhrase,AW334)))&gt;0),"INVALID – evidence missing, placeholder or not yet on file",IF(OR(LEN(AX334)&lt;2,ISNUMBER(MATCH(AX334,L_Placeholder,0))),"INVALID – verifier missing",IF(AX334=AU334,"INVALID – verifier must be someone other than the PIC",IF(AND(TRIM(U334)="Pass",SUMPRODUCT(--ISNUMBER(SEARCH(L_ResultBad,AV334)))&gt;0),"INVALID – result describes a problem: use Fail, then Pass after CA",IF(AND(AQ334=1,OR(LEN(AY334)&lt;3,ISNUMBER(MATCH(AY334,L_Placeholder,0)))),"INVALID – batch ID missing or placeholder",IF(AND(AR334=1,OR(NOT(ISNUMBER(X334)),NOT(ISNUMBER(Y334)))),"INVALID – expected/actual qty missing",IF(AND(AR334=1,OR(X334&lt;=0,Y334&lt;0)),"INVALID – expected qty must be above 0 and actual not negative",IF(BB334&lt;&gt;"",BB334,IF(AND(AS334=1,Documents!$J$14&lt;&gt;"ON FILE"),"INVALID – GLD not on file (Documents sheet)",IF(AND(AS334=2,Documents!$O$14&lt;&gt;"ON FILE"),"INVALID – menu checklist not on file (Documents sheet)",IF(AND(AS334=3,NOT(ISNUMBER(Flights!$AX$14))),"INVALID – enter carrying flight KUL departure (Flights AX)",IF(AND(AS334=3,OR(Flights!$AZ$14&gt;Flights!$AA$14,Flights!$AX$14&lt;Flights!$AA$14-3)),"INVALID – carrying flight (Flights AX) cannot arrive before this leg's STD, or is over 3 days early",IF(AG334&gt;AsOfUTC,"INVALID – completion time is in the future",IF(AND(ISNUMBER(S334),AG334&lt;S334),IF(H334="Physical uplift","INVALID – before uplift window (cannot confirm loading)","INVALID – before valid window"),IF(AG334&gt;Flights!$AA$14,"INVALID – completed after departure (cannot establish readiness)",IF(AND(H334="Preparation",AG334&gt;IF(ISNUMBER(Flights!$BA$14),MIN(Flights!$BA$14,Flights!$AA$14),Flights!$AA$14)),"INVALID – completed after loading / departure (cannot establish readiness)",IF(AND(H334="Physical uplift",AG334&gt;Q334),"INVALID – recorded after the loading flight departed",IF(AG334&gt;Q334,"COMPLETE – LATE","COMPLETE"))))))))))))))))))))),IF(TRIM(U334)="Fail","FAIL – DISCREPANCY",IF(AND(TRIM(U334)&lt;&gt;"",TRIM(U334)&lt;&gt;"Not started",TRIM(U334)&lt;&gt;"In progress"),"INVALID – unrecognised status (use the list)",IF(AsOfUTC&gt;Q334,"OVERDUE",IF(N334="Clarification required","OPEN – CLARIFICATION","OPEN"))))))),"INVALID – error value in an input cell")</f>
        <v>OPEN</v>
      </c>
      <c r="AI334" s="61" t="n">
        <f aca="false">IF(OR(AH334="N/A – RULE",AH334="N/A – JUSTIFIED"),0,1)</f>
        <v>1</v>
      </c>
      <c r="AJ334" s="61" t="n">
        <f aca="false">IF(LEFT(AH334,8)="COMPLETE",1,0)</f>
        <v>0</v>
      </c>
      <c r="AK334" s="61" t="n">
        <f aca="false">IF(AND(AI334=1,AJ334=0,AsOfUTC&gt;Q334),1,0)</f>
        <v>0</v>
      </c>
      <c r="AL334" s="61" t="n">
        <f aca="false">IFERROR(IF(AND(AI334=1,OR(TRIM(U334)="Fail",AND(TRIM(AB334)&lt;&gt;"",TRIM(AB334)&lt;&gt;"Closed"),AND(ISNUMBER(AF334),AF334&lt;&gt;0,TRIM(U334)&lt;&gt;"Pass after CA"))),1,0),1)</f>
        <v>0</v>
      </c>
      <c r="AM334" s="61" t="n">
        <f aca="false">IF(LEFT(AH334,7)="INVALID",1,0)</f>
        <v>0</v>
      </c>
      <c r="AN334" s="61" t="n">
        <f aca="false">IF(AND(N334="Clarification required",AI334=1,AJ334=0),1,0)</f>
        <v>0</v>
      </c>
      <c r="AO334" s="61" t="str">
        <f aca="false">IF(AK334=1,SUM(AK$5:AK334),"")</f>
        <v/>
      </c>
      <c r="AP334" s="61" t="str">
        <f aca="false">IF(AL334=1,SUM(AL$5:AL334),"")</f>
        <v/>
      </c>
      <c r="AQ334" s="61" t="n">
        <v>0</v>
      </c>
      <c r="AR334" s="61" t="n">
        <v>0</v>
      </c>
      <c r="AS334" s="61" t="n">
        <v>0</v>
      </c>
      <c r="AT334" s="61" t="n">
        <v>0</v>
      </c>
      <c r="AU334" s="61" t="str">
        <f aca="false">SUBSTITUTE(SUBSTITUTE(SUBSTITUTE(SUBSTITUTE(SUBSTITUTE(SUBSTITUTE(SUBSTITUTE(SUBSTITUTE(SUBSTITUTE(SUBSTITUTE(SUBSTITUTE(SUBSTITUTE(SUBSTITUTE(LOWER(T334&amp;""),CHAR(160),"")," ",""),".",""),"-",""),"/",""),"?",""),"_",""),",",""),"[",""),"]",""),"(",""),")",""),"*","")</f>
        <v/>
      </c>
      <c r="AV334" s="61" t="str">
        <f aca="false">SUBSTITUTE(SUBSTITUTE(SUBSTITUTE(SUBSTITUTE(SUBSTITUTE(SUBSTITUTE(SUBSTITUTE(SUBSTITUTE(SUBSTITUTE(SUBSTITUTE(SUBSTITUTE(SUBSTITUTE(SUBSTITUTE(LOWER(V334&amp;""),CHAR(160),"")," ",""),".",""),"-",""),"/",""),"?",""),"_",""),",",""),"[",""),"]",""),"(",""),")",""),"*","")</f>
        <v/>
      </c>
      <c r="AW334" s="61" t="str">
        <f aca="false">SUBSTITUTE(SUBSTITUTE(SUBSTITUTE(SUBSTITUTE(SUBSTITUTE(SUBSTITUTE(SUBSTITUTE(SUBSTITUTE(SUBSTITUTE(SUBSTITUTE(SUBSTITUTE(SUBSTITUTE(SUBSTITUTE(LOWER(Z334&amp;""),CHAR(160),"")," ",""),".",""),"-",""),"/",""),"?",""),"_",""),",",""),"[",""),"]",""),"(",""),")",""),"*","")</f>
        <v/>
      </c>
      <c r="AX334" s="61" t="str">
        <f aca="false">SUBSTITUTE(SUBSTITUTE(SUBSTITUTE(SUBSTITUTE(SUBSTITUTE(SUBSTITUTE(SUBSTITUTE(SUBSTITUTE(SUBSTITUTE(SUBSTITUTE(SUBSTITUTE(SUBSTITUTE(SUBSTITUTE(LOWER(AE334&amp;""),CHAR(160),"")," ",""),".",""),"-",""),"/",""),"?",""),"_",""),",",""),"[",""),"]",""),"(",""),")",""),"*","")</f>
        <v/>
      </c>
      <c r="AY334" s="61" t="str">
        <f aca="false">SUBSTITUTE(SUBSTITUTE(SUBSTITUTE(SUBSTITUTE(SUBSTITUTE(SUBSTITUTE(SUBSTITUTE(SUBSTITUTE(SUBSTITUTE(SUBSTITUTE(SUBSTITUTE(SUBSTITUTE(SUBSTITUTE(LOWER(W334&amp;""),CHAR(160),"")," ",""),".",""),"-",""),"/",""),"?",""),"_",""),",",""),"[",""),"]",""),"(",""),")",""),"*","")</f>
        <v/>
      </c>
      <c r="AZ334" s="61" t="str">
        <f aca="false">SUBSTITUTE(SUBSTITUTE(SUBSTITUTE(SUBSTITUTE(SUBSTITUTE(SUBSTITUTE(SUBSTITUTE(SUBSTITUTE(SUBSTITUTE(SUBSTITUTE(SUBSTITUTE(SUBSTITUTE(SUBSTITUTE(LOWER(AC334&amp;""),CHAR(160),"")," ",""),".",""),"-",""),"/",""),"?",""),"_",""),",",""),"[",""),"]",""),"(",""),")",""),"*","")</f>
        <v/>
      </c>
      <c r="BA334" s="61" t="str">
        <f aca="false">SUBSTITUTE(SUBSTITUTE(SUBSTITUTE(SUBSTITUTE(SUBSTITUTE(SUBSTITUTE(SUBSTITUTE(SUBSTITUTE(SUBSTITUTE(SUBSTITUTE(SUBSTITUTE(SUBSTITUTE(SUBSTITUTE(LOWER(AA334&amp;""),CHAR(160),"")," ",""),".",""),"-",""),"/",""),"?",""),"_",""),",",""),"[",""),"]",""),"(",""),")",""),"*","")</f>
        <v/>
      </c>
      <c r="BB334" s="61" t="str">
        <f aca="false">IF(AND(TRIM(U334)="Pass",ISNUMBER(AF334)),IF(AF334&lt;&gt;0,"INVALID – qty variance: use Fail or Pass after CA",""),"")&amp;IF(AND(TRIM(U334)="Pass after CA",ISNUMBER(AF334)),IF(AF334&lt;&gt;0,"INVALID – after the corrective action the actual qty must equal expected (update Actual)",""),"")&amp;IF(AND(TRIM(U334)="Pass",TRIM(AB334)&lt;&gt;"",TRIM(AB334)&lt;&gt;"Closed"),"INVALID – corrective action not closed: use Fail, then Pass after CA","")&amp;IF(AND(TRIM(AA334)&lt;&gt;"",TRIM(AB334)=""),"INVALID – CA status missing for the recorded corrective action","")&amp;IF(AND(TRIM(U334)="Pass after CA",OR(OR(LEN(BA334)&lt;5,ISNUMBER(MATCH(BA334,L_Placeholder,0))),TRIM(AB334)&lt;&gt;"Closed")),"INVALID – corrective action not recorded/closed","")</f>
        <v/>
      </c>
    </row>
    <row r="335" customFormat="false" ht="39.75" hidden="false" customHeight="true" outlineLevel="0" collapsed="false">
      <c r="A335" s="57" t="s">
        <v>906</v>
      </c>
      <c r="B335" s="57" t="s">
        <v>248</v>
      </c>
      <c r="C335" s="57" t="str">
        <f aca="false">Flights!$F$14</f>
        <v>MH1140</v>
      </c>
      <c r="D335" s="58" t="n">
        <f aca="false">Flights!$D$14</f>
        <v>46307</v>
      </c>
      <c r="E335" s="57" t="str">
        <f aca="false">Flights!$G$14&amp;"-"&amp;Flights!$H$14</f>
        <v>KUL-PEN</v>
      </c>
      <c r="F335" s="57" t="str">
        <f aca="false">Flights!$K$14</f>
        <v>BC</v>
      </c>
      <c r="G335" s="57" t="s">
        <v>398</v>
      </c>
      <c r="H335" s="57" t="s">
        <v>356</v>
      </c>
      <c r="I335" s="57" t="s">
        <v>406</v>
      </c>
      <c r="J335" s="57" t="s">
        <v>409</v>
      </c>
      <c r="K335" s="67"/>
      <c r="L335" s="67" t="s">
        <v>400</v>
      </c>
      <c r="M335" s="67"/>
      <c r="N335" s="67" t="s">
        <v>361</v>
      </c>
      <c r="O335" s="67" t="s">
        <v>401</v>
      </c>
      <c r="P335" s="57" t="s">
        <v>184</v>
      </c>
      <c r="Q335" s="59" t="n">
        <f aca="false">ROUND((Flights!$AE$14)*1440,0)/1440</f>
        <v>46306.65625</v>
      </c>
      <c r="R335" s="59" t="n">
        <f aca="false">Q335+(IF(AND(INDEX(TZ_DSTS,MATCH(P335,TZ_STN,0))&lt;&gt;"",Q335&gt;=INDEX(TZ_DSTS,MATCH(P335,TZ_STN,0)),Q335&lt;INDEX(TZ_DSTE,MATCH(P335,TZ_STN,0))),INDEX(TZ_DST,MATCH(P335,TZ_STN,0)),INDEX(TZ_STD,MATCH(P335,TZ_STN,0))))/24</f>
        <v>46306.9895833333</v>
      </c>
      <c r="S335" s="59" t="n">
        <f aca="false">Q335-T12EarlyH/24</f>
        <v>46306.15625</v>
      </c>
      <c r="T335" s="60"/>
      <c r="U335" s="60"/>
      <c r="V335" s="60"/>
      <c r="W335" s="61"/>
      <c r="X335" s="60"/>
      <c r="Y335" s="60"/>
      <c r="Z335" s="60"/>
      <c r="AA335" s="60"/>
      <c r="AB335" s="60"/>
      <c r="AC335" s="60"/>
      <c r="AD335" s="66"/>
      <c r="AE335" s="60"/>
      <c r="AF335" s="61" t="str">
        <f aca="false">IF(AND(ISNUMBER(X335),ISNUMBER(Y335)),Y335-X335,"")</f>
        <v/>
      </c>
      <c r="AG335" s="62" t="str">
        <f aca="false">IF(ISNUMBER(AD335),AD335-(IF(AND(INDEX(TZ_DSTS,MATCH(P335,TZ_STN,0))&lt;&gt;"",(AD335-INDEX(TZ_STD,MATCH(P335,TZ_STN,0))/24)&gt;=INDEX(TZ_DSTS,MATCH(P335,TZ_STN,0)),(AD335-INDEX(TZ_STD,MATCH(P335,TZ_STN,0))/24)&lt;INDEX(TZ_DSTE,MATCH(P335,TZ_STN,0))),INDEX(TZ_DST,MATCH(P335,TZ_STN,0)),INDEX(TZ_STD,MATCH(P335,TZ_STN,0))))/24,"")</f>
        <v/>
      </c>
      <c r="AH335" s="65" t="str">
        <f aca="false">IFERROR(IF(N335="N/A – rule","N/A – RULE",IF(TRIM(U335)="N/A",IF(AT335=0,"INVALID – N/A not permitted for this check",IF(AND(TRIM(AB335)&lt;&gt;"",TRIM(AB335)&lt;&gt;"Closed"),"INVALID – corrective action still open",IF(AND(NOT(OR(LEN(AZ335)&lt;15,ISNUMBER(MATCH(AZ335,L_Placeholder,0)))),NOT(OR(LEN(AU335)&lt;2,ISNUMBER(MATCH(AU335,L_Placeholder,0)))),NOT(OR(LEN(AX335)&lt;2,ISNUMBER(MATCH(AX335,L_Placeholder,0)))),TRIM(AE335)&lt;&gt;TRIM(T335)),"N/A – JUSTIFIED","INVALID – N/A needs a real justification (15+ chars), PIC and a different verifier"))),IF(OR(TRIM(U335)="Pass",TRIM(U335)="Pass after CA"),IF(NOT(ISNUMBER(AD335)),"INVALID – completion time missing",IF(OR(LEN(AU335)&lt;2,ISNUMBER(MATCH(AU335,L_Placeholder,0))),"INVALID – PIC missing",IF(OR(LEN(AV335)&lt;2,ISNUMBER(MATCH(AV335,L_Placeholder,0))),"INVALID – result / assessment missing",IF(OR(OR(LEN(AW335)&lt;3,ISNUMBER(MATCH(AW335,L_Placeholder,0))),SUMPRODUCT(--ISNUMBER(SEARCH(L_EvidencePhrase,AW335)))&gt;0),"INVALID – evidence missing, placeholder or not yet on file",IF(OR(LEN(AX335)&lt;2,ISNUMBER(MATCH(AX335,L_Placeholder,0))),"INVALID – verifier missing",IF(AX335=AU335,"INVALID – verifier must be someone other than the PIC",IF(AND(TRIM(U335)="Pass",SUMPRODUCT(--ISNUMBER(SEARCH(L_ResultBad,AV335)))&gt;0),"INVALID – result describes a problem: use Fail, then Pass after CA",IF(AND(AQ335=1,OR(LEN(AY335)&lt;3,ISNUMBER(MATCH(AY335,L_Placeholder,0)))),"INVALID – batch ID missing or placeholder",IF(AND(AR335=1,OR(NOT(ISNUMBER(X335)),NOT(ISNUMBER(Y335)))),"INVALID – expected/actual qty missing",IF(AND(AR335=1,OR(X335&lt;=0,Y335&lt;0)),"INVALID – expected qty must be above 0 and actual not negative",IF(BB335&lt;&gt;"",BB335,IF(AND(AS335=1,Documents!$J$14&lt;&gt;"ON FILE"),"INVALID – GLD not on file (Documents sheet)",IF(AND(AS335=2,Documents!$O$14&lt;&gt;"ON FILE"),"INVALID – menu checklist not on file (Documents sheet)",IF(AND(AS335=3,NOT(ISNUMBER(Flights!$AX$14))),"INVALID – enter carrying flight KUL departure (Flights AX)",IF(AND(AS335=3,OR(Flights!$AZ$14&gt;Flights!$AA$14,Flights!$AX$14&lt;Flights!$AA$14-3)),"INVALID – carrying flight (Flights AX) cannot arrive before this leg's STD, or is over 3 days early",IF(AG335&gt;AsOfUTC,"INVALID – completion time is in the future",IF(AND(ISNUMBER(S335),AG335&lt;S335),IF(H335="Physical uplift","INVALID – before uplift window (cannot confirm loading)","INVALID – before valid window"),IF(AG335&gt;Flights!$AA$14,"INVALID – completed after departure (cannot establish readiness)",IF(AND(H335="Preparation",AG335&gt;IF(ISNUMBER(Flights!$BA$14),MIN(Flights!$BA$14,Flights!$AA$14),Flights!$AA$14)),"INVALID – completed after loading / departure (cannot establish readiness)",IF(AND(H335="Physical uplift",AG335&gt;Q335),"INVALID – recorded after the loading flight departed",IF(AG335&gt;Q335,"COMPLETE – LATE","COMPLETE"))))))))))))))))))))),IF(TRIM(U335)="Fail","FAIL – DISCREPANCY",IF(AND(TRIM(U335)&lt;&gt;"",TRIM(U335)&lt;&gt;"Not started",TRIM(U335)&lt;&gt;"In progress"),"INVALID – unrecognised status (use the list)",IF(AsOfUTC&gt;Q335,"OVERDUE",IF(N335="Clarification required","OPEN – CLARIFICATION","OPEN"))))))),"INVALID – error value in an input cell")</f>
        <v>OPEN</v>
      </c>
      <c r="AI335" s="61" t="n">
        <f aca="false">IF(OR(AH335="N/A – RULE",AH335="N/A – JUSTIFIED"),0,1)</f>
        <v>1</v>
      </c>
      <c r="AJ335" s="61" t="n">
        <f aca="false">IF(LEFT(AH335,8)="COMPLETE",1,0)</f>
        <v>0</v>
      </c>
      <c r="AK335" s="61" t="n">
        <f aca="false">IF(AND(AI335=1,AJ335=0,AsOfUTC&gt;Q335),1,0)</f>
        <v>0</v>
      </c>
      <c r="AL335" s="61" t="n">
        <f aca="false">IFERROR(IF(AND(AI335=1,OR(TRIM(U335)="Fail",AND(TRIM(AB335)&lt;&gt;"",TRIM(AB335)&lt;&gt;"Closed"),AND(ISNUMBER(AF335),AF335&lt;&gt;0,TRIM(U335)&lt;&gt;"Pass after CA"))),1,0),1)</f>
        <v>0</v>
      </c>
      <c r="AM335" s="61" t="n">
        <f aca="false">IF(LEFT(AH335,7)="INVALID",1,0)</f>
        <v>0</v>
      </c>
      <c r="AN335" s="61" t="n">
        <f aca="false">IF(AND(N335="Clarification required",AI335=1,AJ335=0),1,0)</f>
        <v>0</v>
      </c>
      <c r="AO335" s="61" t="str">
        <f aca="false">IF(AK335=1,SUM(AK$5:AK335),"")</f>
        <v/>
      </c>
      <c r="AP335" s="61" t="str">
        <f aca="false">IF(AL335=1,SUM(AL$5:AL335),"")</f>
        <v/>
      </c>
      <c r="AQ335" s="61" t="n">
        <v>0</v>
      </c>
      <c r="AR335" s="61" t="n">
        <v>0</v>
      </c>
      <c r="AS335" s="61" t="n">
        <v>0</v>
      </c>
      <c r="AT335" s="61" t="n">
        <v>0</v>
      </c>
      <c r="AU335" s="61" t="str">
        <f aca="false">SUBSTITUTE(SUBSTITUTE(SUBSTITUTE(SUBSTITUTE(SUBSTITUTE(SUBSTITUTE(SUBSTITUTE(SUBSTITUTE(SUBSTITUTE(SUBSTITUTE(SUBSTITUTE(SUBSTITUTE(SUBSTITUTE(LOWER(T335&amp;""),CHAR(160),"")," ",""),".",""),"-",""),"/",""),"?",""),"_",""),",",""),"[",""),"]",""),"(",""),")",""),"*","")</f>
        <v/>
      </c>
      <c r="AV335" s="61" t="str">
        <f aca="false">SUBSTITUTE(SUBSTITUTE(SUBSTITUTE(SUBSTITUTE(SUBSTITUTE(SUBSTITUTE(SUBSTITUTE(SUBSTITUTE(SUBSTITUTE(SUBSTITUTE(SUBSTITUTE(SUBSTITUTE(SUBSTITUTE(LOWER(V335&amp;""),CHAR(160),"")," ",""),".",""),"-",""),"/",""),"?",""),"_",""),",",""),"[",""),"]",""),"(",""),")",""),"*","")</f>
        <v/>
      </c>
      <c r="AW335" s="61" t="str">
        <f aca="false">SUBSTITUTE(SUBSTITUTE(SUBSTITUTE(SUBSTITUTE(SUBSTITUTE(SUBSTITUTE(SUBSTITUTE(SUBSTITUTE(SUBSTITUTE(SUBSTITUTE(SUBSTITUTE(SUBSTITUTE(SUBSTITUTE(LOWER(Z335&amp;""),CHAR(160),"")," ",""),".",""),"-",""),"/",""),"?",""),"_",""),",",""),"[",""),"]",""),"(",""),")",""),"*","")</f>
        <v/>
      </c>
      <c r="AX335" s="61" t="str">
        <f aca="false">SUBSTITUTE(SUBSTITUTE(SUBSTITUTE(SUBSTITUTE(SUBSTITUTE(SUBSTITUTE(SUBSTITUTE(SUBSTITUTE(SUBSTITUTE(SUBSTITUTE(SUBSTITUTE(SUBSTITUTE(SUBSTITUTE(LOWER(AE335&amp;""),CHAR(160),"")," ",""),".",""),"-",""),"/",""),"?",""),"_",""),",",""),"[",""),"]",""),"(",""),")",""),"*","")</f>
        <v/>
      </c>
      <c r="AY335" s="61" t="str">
        <f aca="false">SUBSTITUTE(SUBSTITUTE(SUBSTITUTE(SUBSTITUTE(SUBSTITUTE(SUBSTITUTE(SUBSTITUTE(SUBSTITUTE(SUBSTITUTE(SUBSTITUTE(SUBSTITUTE(SUBSTITUTE(SUBSTITUTE(LOWER(W335&amp;""),CHAR(160),"")," ",""),".",""),"-",""),"/",""),"?",""),"_",""),",",""),"[",""),"]",""),"(",""),")",""),"*","")</f>
        <v/>
      </c>
      <c r="AZ335" s="61" t="str">
        <f aca="false">SUBSTITUTE(SUBSTITUTE(SUBSTITUTE(SUBSTITUTE(SUBSTITUTE(SUBSTITUTE(SUBSTITUTE(SUBSTITUTE(SUBSTITUTE(SUBSTITUTE(SUBSTITUTE(SUBSTITUTE(SUBSTITUTE(LOWER(AC335&amp;""),CHAR(160),"")," ",""),".",""),"-",""),"/",""),"?",""),"_",""),",",""),"[",""),"]",""),"(",""),")",""),"*","")</f>
        <v/>
      </c>
      <c r="BA335" s="61" t="str">
        <f aca="false">SUBSTITUTE(SUBSTITUTE(SUBSTITUTE(SUBSTITUTE(SUBSTITUTE(SUBSTITUTE(SUBSTITUTE(SUBSTITUTE(SUBSTITUTE(SUBSTITUTE(SUBSTITUTE(SUBSTITUTE(SUBSTITUTE(LOWER(AA335&amp;""),CHAR(160),"")," ",""),".",""),"-",""),"/",""),"?",""),"_",""),",",""),"[",""),"]",""),"(",""),")",""),"*","")</f>
        <v/>
      </c>
      <c r="BB335" s="61" t="str">
        <f aca="false">IF(AND(TRIM(U335)="Pass",ISNUMBER(AF335)),IF(AF335&lt;&gt;0,"INVALID – qty variance: use Fail or Pass after CA",""),"")&amp;IF(AND(TRIM(U335)="Pass after CA",ISNUMBER(AF335)),IF(AF335&lt;&gt;0,"INVALID – after the corrective action the actual qty must equal expected (update Actual)",""),"")&amp;IF(AND(TRIM(U335)="Pass",TRIM(AB335)&lt;&gt;"",TRIM(AB335)&lt;&gt;"Closed"),"INVALID – corrective action not closed: use Fail, then Pass after CA","")&amp;IF(AND(TRIM(AA335)&lt;&gt;"",TRIM(AB335)=""),"INVALID – CA status missing for the recorded corrective action","")&amp;IF(AND(TRIM(U335)="Pass after CA",OR(OR(LEN(BA335)&lt;5,ISNUMBER(MATCH(BA335,L_Placeholder,0))),TRIM(AB335)&lt;&gt;"Closed")),"INVALID – corrective action not recorded/closed","")</f>
        <v/>
      </c>
    </row>
    <row r="336" customFormat="false" ht="39.75" hidden="false" customHeight="true" outlineLevel="0" collapsed="false">
      <c r="A336" s="57" t="s">
        <v>907</v>
      </c>
      <c r="B336" s="57" t="s">
        <v>248</v>
      </c>
      <c r="C336" s="57" t="str">
        <f aca="false">Flights!$F$14</f>
        <v>MH1140</v>
      </c>
      <c r="D336" s="58" t="n">
        <f aca="false">Flights!$D$14</f>
        <v>46307</v>
      </c>
      <c r="E336" s="57" t="str">
        <f aca="false">Flights!$G$14&amp;"-"&amp;Flights!$H$14</f>
        <v>KUL-PEN</v>
      </c>
      <c r="F336" s="57" t="str">
        <f aca="false">Flights!$K$14</f>
        <v>BC</v>
      </c>
      <c r="G336" s="57" t="s">
        <v>398</v>
      </c>
      <c r="H336" s="57" t="s">
        <v>356</v>
      </c>
      <c r="I336" s="57" t="s">
        <v>406</v>
      </c>
      <c r="J336" s="57" t="s">
        <v>411</v>
      </c>
      <c r="K336" s="67"/>
      <c r="L336" s="67" t="s">
        <v>400</v>
      </c>
      <c r="M336" s="67"/>
      <c r="N336" s="67" t="s">
        <v>361</v>
      </c>
      <c r="O336" s="67" t="s">
        <v>401</v>
      </c>
      <c r="P336" s="57" t="s">
        <v>184</v>
      </c>
      <c r="Q336" s="59" t="n">
        <f aca="false">ROUND((Flights!$AE$14)*1440,0)/1440</f>
        <v>46306.65625</v>
      </c>
      <c r="R336" s="59" t="n">
        <f aca="false">Q336+(IF(AND(INDEX(TZ_DSTS,MATCH(P336,TZ_STN,0))&lt;&gt;"",Q336&gt;=INDEX(TZ_DSTS,MATCH(P336,TZ_STN,0)),Q336&lt;INDEX(TZ_DSTE,MATCH(P336,TZ_STN,0))),INDEX(TZ_DST,MATCH(P336,TZ_STN,0)),INDEX(TZ_STD,MATCH(P336,TZ_STN,0))))/24</f>
        <v>46306.9895833333</v>
      </c>
      <c r="S336" s="59" t="n">
        <f aca="false">Q336-T12EarlyH/24</f>
        <v>46306.15625</v>
      </c>
      <c r="T336" s="60"/>
      <c r="U336" s="60"/>
      <c r="V336" s="60"/>
      <c r="W336" s="61"/>
      <c r="X336" s="60"/>
      <c r="Y336" s="60"/>
      <c r="Z336" s="60"/>
      <c r="AA336" s="60"/>
      <c r="AB336" s="60"/>
      <c r="AC336" s="60"/>
      <c r="AD336" s="66"/>
      <c r="AE336" s="60"/>
      <c r="AF336" s="61" t="str">
        <f aca="false">IF(AND(ISNUMBER(X336),ISNUMBER(Y336)),Y336-X336,"")</f>
        <v/>
      </c>
      <c r="AG336" s="62" t="str">
        <f aca="false">IF(ISNUMBER(AD336),AD336-(IF(AND(INDEX(TZ_DSTS,MATCH(P336,TZ_STN,0))&lt;&gt;"",(AD336-INDEX(TZ_STD,MATCH(P336,TZ_STN,0))/24)&gt;=INDEX(TZ_DSTS,MATCH(P336,TZ_STN,0)),(AD336-INDEX(TZ_STD,MATCH(P336,TZ_STN,0))/24)&lt;INDEX(TZ_DSTE,MATCH(P336,TZ_STN,0))),INDEX(TZ_DST,MATCH(P336,TZ_STN,0)),INDEX(TZ_STD,MATCH(P336,TZ_STN,0))))/24,"")</f>
        <v/>
      </c>
      <c r="AH336" s="65" t="str">
        <f aca="false">IFERROR(IF(N336="N/A – rule","N/A – RULE",IF(TRIM(U336)="N/A",IF(AT336=0,"INVALID – N/A not permitted for this check",IF(AND(TRIM(AB336)&lt;&gt;"",TRIM(AB336)&lt;&gt;"Closed"),"INVALID – corrective action still open",IF(AND(NOT(OR(LEN(AZ336)&lt;15,ISNUMBER(MATCH(AZ336,L_Placeholder,0)))),NOT(OR(LEN(AU336)&lt;2,ISNUMBER(MATCH(AU336,L_Placeholder,0)))),NOT(OR(LEN(AX336)&lt;2,ISNUMBER(MATCH(AX336,L_Placeholder,0)))),TRIM(AE336)&lt;&gt;TRIM(T336)),"N/A – JUSTIFIED","INVALID – N/A needs a real justification (15+ chars), PIC and a different verifier"))),IF(OR(TRIM(U336)="Pass",TRIM(U336)="Pass after CA"),IF(NOT(ISNUMBER(AD336)),"INVALID – completion time missing",IF(OR(LEN(AU336)&lt;2,ISNUMBER(MATCH(AU336,L_Placeholder,0))),"INVALID – PIC missing",IF(OR(LEN(AV336)&lt;2,ISNUMBER(MATCH(AV336,L_Placeholder,0))),"INVALID – result / assessment missing",IF(OR(OR(LEN(AW336)&lt;3,ISNUMBER(MATCH(AW336,L_Placeholder,0))),SUMPRODUCT(--ISNUMBER(SEARCH(L_EvidencePhrase,AW336)))&gt;0),"INVALID – evidence missing, placeholder or not yet on file",IF(OR(LEN(AX336)&lt;2,ISNUMBER(MATCH(AX336,L_Placeholder,0))),"INVALID – verifier missing",IF(AX336=AU336,"INVALID – verifier must be someone other than the PIC",IF(AND(TRIM(U336)="Pass",SUMPRODUCT(--ISNUMBER(SEARCH(L_ResultBad,AV336)))&gt;0),"INVALID – result describes a problem: use Fail, then Pass after CA",IF(AND(AQ336=1,OR(LEN(AY336)&lt;3,ISNUMBER(MATCH(AY336,L_Placeholder,0)))),"INVALID – batch ID missing or placeholder",IF(AND(AR336=1,OR(NOT(ISNUMBER(X336)),NOT(ISNUMBER(Y336)))),"INVALID – expected/actual qty missing",IF(AND(AR336=1,OR(X336&lt;=0,Y336&lt;0)),"INVALID – expected qty must be above 0 and actual not negative",IF(BB336&lt;&gt;"",BB336,IF(AND(AS336=1,Documents!$J$14&lt;&gt;"ON FILE"),"INVALID – GLD not on file (Documents sheet)",IF(AND(AS336=2,Documents!$O$14&lt;&gt;"ON FILE"),"INVALID – menu checklist not on file (Documents sheet)",IF(AND(AS336=3,NOT(ISNUMBER(Flights!$AX$14))),"INVALID – enter carrying flight KUL departure (Flights AX)",IF(AND(AS336=3,OR(Flights!$AZ$14&gt;Flights!$AA$14,Flights!$AX$14&lt;Flights!$AA$14-3)),"INVALID – carrying flight (Flights AX) cannot arrive before this leg's STD, or is over 3 days early",IF(AG336&gt;AsOfUTC,"INVALID – completion time is in the future",IF(AND(ISNUMBER(S336),AG336&lt;S336),IF(H336="Physical uplift","INVALID – before uplift window (cannot confirm loading)","INVALID – before valid window"),IF(AG336&gt;Flights!$AA$14,"INVALID – completed after departure (cannot establish readiness)",IF(AND(H336="Preparation",AG336&gt;IF(ISNUMBER(Flights!$BA$14),MIN(Flights!$BA$14,Flights!$AA$14),Flights!$AA$14)),"INVALID – completed after loading / departure (cannot establish readiness)",IF(AND(H336="Physical uplift",AG336&gt;Q336),"INVALID – recorded after the loading flight departed",IF(AG336&gt;Q336,"COMPLETE – LATE","COMPLETE"))))))))))))))))))))),IF(TRIM(U336)="Fail","FAIL – DISCREPANCY",IF(AND(TRIM(U336)&lt;&gt;"",TRIM(U336)&lt;&gt;"Not started",TRIM(U336)&lt;&gt;"In progress"),"INVALID – unrecognised status (use the list)",IF(AsOfUTC&gt;Q336,"OVERDUE",IF(N336="Clarification required","OPEN – CLARIFICATION","OPEN"))))))),"INVALID – error value in an input cell")</f>
        <v>OPEN</v>
      </c>
      <c r="AI336" s="61" t="n">
        <f aca="false">IF(OR(AH336="N/A – RULE",AH336="N/A – JUSTIFIED"),0,1)</f>
        <v>1</v>
      </c>
      <c r="AJ336" s="61" t="n">
        <f aca="false">IF(LEFT(AH336,8)="COMPLETE",1,0)</f>
        <v>0</v>
      </c>
      <c r="AK336" s="61" t="n">
        <f aca="false">IF(AND(AI336=1,AJ336=0,AsOfUTC&gt;Q336),1,0)</f>
        <v>0</v>
      </c>
      <c r="AL336" s="61" t="n">
        <f aca="false">IFERROR(IF(AND(AI336=1,OR(TRIM(U336)="Fail",AND(TRIM(AB336)&lt;&gt;"",TRIM(AB336)&lt;&gt;"Closed"),AND(ISNUMBER(AF336),AF336&lt;&gt;0,TRIM(U336)&lt;&gt;"Pass after CA"))),1,0),1)</f>
        <v>0</v>
      </c>
      <c r="AM336" s="61" t="n">
        <f aca="false">IF(LEFT(AH336,7)="INVALID",1,0)</f>
        <v>0</v>
      </c>
      <c r="AN336" s="61" t="n">
        <f aca="false">IF(AND(N336="Clarification required",AI336=1,AJ336=0),1,0)</f>
        <v>0</v>
      </c>
      <c r="AO336" s="61" t="str">
        <f aca="false">IF(AK336=1,SUM(AK$5:AK336),"")</f>
        <v/>
      </c>
      <c r="AP336" s="61" t="str">
        <f aca="false">IF(AL336=1,SUM(AL$5:AL336),"")</f>
        <v/>
      </c>
      <c r="AQ336" s="61" t="n">
        <v>0</v>
      </c>
      <c r="AR336" s="61" t="n">
        <v>0</v>
      </c>
      <c r="AS336" s="61" t="n">
        <v>0</v>
      </c>
      <c r="AT336" s="61" t="n">
        <v>0</v>
      </c>
      <c r="AU336" s="61" t="str">
        <f aca="false">SUBSTITUTE(SUBSTITUTE(SUBSTITUTE(SUBSTITUTE(SUBSTITUTE(SUBSTITUTE(SUBSTITUTE(SUBSTITUTE(SUBSTITUTE(SUBSTITUTE(SUBSTITUTE(SUBSTITUTE(SUBSTITUTE(LOWER(T336&amp;""),CHAR(160),"")," ",""),".",""),"-",""),"/",""),"?",""),"_",""),",",""),"[",""),"]",""),"(",""),")",""),"*","")</f>
        <v/>
      </c>
      <c r="AV336" s="61" t="str">
        <f aca="false">SUBSTITUTE(SUBSTITUTE(SUBSTITUTE(SUBSTITUTE(SUBSTITUTE(SUBSTITUTE(SUBSTITUTE(SUBSTITUTE(SUBSTITUTE(SUBSTITUTE(SUBSTITUTE(SUBSTITUTE(SUBSTITUTE(LOWER(V336&amp;""),CHAR(160),"")," ",""),".",""),"-",""),"/",""),"?",""),"_",""),",",""),"[",""),"]",""),"(",""),")",""),"*","")</f>
        <v/>
      </c>
      <c r="AW336" s="61" t="str">
        <f aca="false">SUBSTITUTE(SUBSTITUTE(SUBSTITUTE(SUBSTITUTE(SUBSTITUTE(SUBSTITUTE(SUBSTITUTE(SUBSTITUTE(SUBSTITUTE(SUBSTITUTE(SUBSTITUTE(SUBSTITUTE(SUBSTITUTE(LOWER(Z336&amp;""),CHAR(160),"")," ",""),".",""),"-",""),"/",""),"?",""),"_",""),",",""),"[",""),"]",""),"(",""),")",""),"*","")</f>
        <v/>
      </c>
      <c r="AX336" s="61" t="str">
        <f aca="false">SUBSTITUTE(SUBSTITUTE(SUBSTITUTE(SUBSTITUTE(SUBSTITUTE(SUBSTITUTE(SUBSTITUTE(SUBSTITUTE(SUBSTITUTE(SUBSTITUTE(SUBSTITUTE(SUBSTITUTE(SUBSTITUTE(LOWER(AE336&amp;""),CHAR(160),"")," ",""),".",""),"-",""),"/",""),"?",""),"_",""),",",""),"[",""),"]",""),"(",""),")",""),"*","")</f>
        <v/>
      </c>
      <c r="AY336" s="61" t="str">
        <f aca="false">SUBSTITUTE(SUBSTITUTE(SUBSTITUTE(SUBSTITUTE(SUBSTITUTE(SUBSTITUTE(SUBSTITUTE(SUBSTITUTE(SUBSTITUTE(SUBSTITUTE(SUBSTITUTE(SUBSTITUTE(SUBSTITUTE(LOWER(W336&amp;""),CHAR(160),"")," ",""),".",""),"-",""),"/",""),"?",""),"_",""),",",""),"[",""),"]",""),"(",""),")",""),"*","")</f>
        <v/>
      </c>
      <c r="AZ336" s="61" t="str">
        <f aca="false">SUBSTITUTE(SUBSTITUTE(SUBSTITUTE(SUBSTITUTE(SUBSTITUTE(SUBSTITUTE(SUBSTITUTE(SUBSTITUTE(SUBSTITUTE(SUBSTITUTE(SUBSTITUTE(SUBSTITUTE(SUBSTITUTE(LOWER(AC336&amp;""),CHAR(160),"")," ",""),".",""),"-",""),"/",""),"?",""),"_",""),",",""),"[",""),"]",""),"(",""),")",""),"*","")</f>
        <v/>
      </c>
      <c r="BA336" s="61" t="str">
        <f aca="false">SUBSTITUTE(SUBSTITUTE(SUBSTITUTE(SUBSTITUTE(SUBSTITUTE(SUBSTITUTE(SUBSTITUTE(SUBSTITUTE(SUBSTITUTE(SUBSTITUTE(SUBSTITUTE(SUBSTITUTE(SUBSTITUTE(LOWER(AA336&amp;""),CHAR(160),"")," ",""),".",""),"-",""),"/",""),"?",""),"_",""),",",""),"[",""),"]",""),"(",""),")",""),"*","")</f>
        <v/>
      </c>
      <c r="BB336" s="61" t="str">
        <f aca="false">IF(AND(TRIM(U336)="Pass",ISNUMBER(AF336)),IF(AF336&lt;&gt;0,"INVALID – qty variance: use Fail or Pass after CA",""),"")&amp;IF(AND(TRIM(U336)="Pass after CA",ISNUMBER(AF336)),IF(AF336&lt;&gt;0,"INVALID – after the corrective action the actual qty must equal expected (update Actual)",""),"")&amp;IF(AND(TRIM(U336)="Pass",TRIM(AB336)&lt;&gt;"",TRIM(AB336)&lt;&gt;"Closed"),"INVALID – corrective action not closed: use Fail, then Pass after CA","")&amp;IF(AND(TRIM(AA336)&lt;&gt;"",TRIM(AB336)=""),"INVALID – CA status missing for the recorded corrective action","")&amp;IF(AND(TRIM(U336)="Pass after CA",OR(OR(LEN(BA336)&lt;5,ISNUMBER(MATCH(BA336,L_Placeholder,0))),TRIM(AB336)&lt;&gt;"Closed")),"INVALID – corrective action not recorded/closed","")</f>
        <v/>
      </c>
    </row>
    <row r="337" customFormat="false" ht="78.75" hidden="false" customHeight="true" outlineLevel="0" collapsed="false">
      <c r="A337" s="57" t="s">
        <v>908</v>
      </c>
      <c r="B337" s="57" t="s">
        <v>248</v>
      </c>
      <c r="C337" s="57" t="str">
        <f aca="false">Flights!$F$14</f>
        <v>MH1140</v>
      </c>
      <c r="D337" s="58" t="n">
        <f aca="false">Flights!$D$14</f>
        <v>46307</v>
      </c>
      <c r="E337" s="57" t="str">
        <f aca="false">Flights!$G$14&amp;"-"&amp;Flights!$H$14</f>
        <v>KUL-PEN</v>
      </c>
      <c r="F337" s="57" t="str">
        <f aca="false">Flights!$K$14</f>
        <v>BC</v>
      </c>
      <c r="G337" s="57" t="s">
        <v>398</v>
      </c>
      <c r="H337" s="57" t="s">
        <v>356</v>
      </c>
      <c r="I337" s="57" t="s">
        <v>406</v>
      </c>
      <c r="J337" s="57" t="s">
        <v>413</v>
      </c>
      <c r="K337" s="67" t="s">
        <v>469</v>
      </c>
      <c r="L337" s="67" t="s">
        <v>400</v>
      </c>
      <c r="M337" s="67"/>
      <c r="N337" s="67" t="s">
        <v>361</v>
      </c>
      <c r="O337" s="67" t="s">
        <v>401</v>
      </c>
      <c r="P337" s="57" t="s">
        <v>184</v>
      </c>
      <c r="Q337" s="59" t="n">
        <f aca="false">ROUND((Flights!$AE$14)*1440,0)/1440</f>
        <v>46306.65625</v>
      </c>
      <c r="R337" s="59" t="n">
        <f aca="false">Q337+(IF(AND(INDEX(TZ_DSTS,MATCH(P337,TZ_STN,0))&lt;&gt;"",Q337&gt;=INDEX(TZ_DSTS,MATCH(P337,TZ_STN,0)),Q337&lt;INDEX(TZ_DSTE,MATCH(P337,TZ_STN,0))),INDEX(TZ_DST,MATCH(P337,TZ_STN,0)),INDEX(TZ_STD,MATCH(P337,TZ_STN,0))))/24</f>
        <v>46306.9895833333</v>
      </c>
      <c r="S337" s="59" t="n">
        <f aca="false">Q337-T12EarlyH/24</f>
        <v>46306.15625</v>
      </c>
      <c r="T337" s="60"/>
      <c r="U337" s="60"/>
      <c r="V337" s="60"/>
      <c r="W337" s="61"/>
      <c r="X337" s="60"/>
      <c r="Y337" s="60"/>
      <c r="Z337" s="60"/>
      <c r="AA337" s="60"/>
      <c r="AB337" s="60"/>
      <c r="AC337" s="60"/>
      <c r="AD337" s="66"/>
      <c r="AE337" s="60"/>
      <c r="AF337" s="61" t="str">
        <f aca="false">IF(AND(ISNUMBER(X337),ISNUMBER(Y337)),Y337-X337,"")</f>
        <v/>
      </c>
      <c r="AG337" s="62" t="str">
        <f aca="false">IF(ISNUMBER(AD337),AD337-(IF(AND(INDEX(TZ_DSTS,MATCH(P337,TZ_STN,0))&lt;&gt;"",(AD337-INDEX(TZ_STD,MATCH(P337,TZ_STN,0))/24)&gt;=INDEX(TZ_DSTS,MATCH(P337,TZ_STN,0)),(AD337-INDEX(TZ_STD,MATCH(P337,TZ_STN,0))/24)&lt;INDEX(TZ_DSTE,MATCH(P337,TZ_STN,0))),INDEX(TZ_DST,MATCH(P337,TZ_STN,0)),INDEX(TZ_STD,MATCH(P337,TZ_STN,0))))/24,"")</f>
        <v/>
      </c>
      <c r="AH337" s="65" t="str">
        <f aca="false">IFERROR(IF(N337="N/A – rule","N/A – RULE",IF(TRIM(U337)="N/A",IF(AT337=0,"INVALID – N/A not permitted for this check",IF(AND(TRIM(AB337)&lt;&gt;"",TRIM(AB337)&lt;&gt;"Closed"),"INVALID – corrective action still open",IF(AND(NOT(OR(LEN(AZ337)&lt;15,ISNUMBER(MATCH(AZ337,L_Placeholder,0)))),NOT(OR(LEN(AU337)&lt;2,ISNUMBER(MATCH(AU337,L_Placeholder,0)))),NOT(OR(LEN(AX337)&lt;2,ISNUMBER(MATCH(AX337,L_Placeholder,0)))),TRIM(AE337)&lt;&gt;TRIM(T337)),"N/A – JUSTIFIED","INVALID – N/A needs a real justification (15+ chars), PIC and a different verifier"))),IF(OR(TRIM(U337)="Pass",TRIM(U337)="Pass after CA"),IF(NOT(ISNUMBER(AD337)),"INVALID – completion time missing",IF(OR(LEN(AU337)&lt;2,ISNUMBER(MATCH(AU337,L_Placeholder,0))),"INVALID – PIC missing",IF(OR(LEN(AV337)&lt;2,ISNUMBER(MATCH(AV337,L_Placeholder,0))),"INVALID – result / assessment missing",IF(OR(OR(LEN(AW337)&lt;3,ISNUMBER(MATCH(AW337,L_Placeholder,0))),SUMPRODUCT(--ISNUMBER(SEARCH(L_EvidencePhrase,AW337)))&gt;0),"INVALID – evidence missing, placeholder or not yet on file",IF(OR(LEN(AX337)&lt;2,ISNUMBER(MATCH(AX337,L_Placeholder,0))),"INVALID – verifier missing",IF(AX337=AU337,"INVALID – verifier must be someone other than the PIC",IF(AND(TRIM(U337)="Pass",SUMPRODUCT(--ISNUMBER(SEARCH(L_ResultBad,AV337)))&gt;0),"INVALID – result describes a problem: use Fail, then Pass after CA",IF(AND(AQ337=1,OR(LEN(AY337)&lt;3,ISNUMBER(MATCH(AY337,L_Placeholder,0)))),"INVALID – batch ID missing or placeholder",IF(AND(AR337=1,OR(NOT(ISNUMBER(X337)),NOT(ISNUMBER(Y337)))),"INVALID – expected/actual qty missing",IF(AND(AR337=1,OR(X337&lt;=0,Y337&lt;0)),"INVALID – expected qty must be above 0 and actual not negative",IF(BB337&lt;&gt;"",BB337,IF(AND(AS337=1,Documents!$J$14&lt;&gt;"ON FILE"),"INVALID – GLD not on file (Documents sheet)",IF(AND(AS337=2,Documents!$O$14&lt;&gt;"ON FILE"),"INVALID – menu checklist not on file (Documents sheet)",IF(AND(AS337=3,NOT(ISNUMBER(Flights!$AX$14))),"INVALID – enter carrying flight KUL departure (Flights AX)",IF(AND(AS337=3,OR(Flights!$AZ$14&gt;Flights!$AA$14,Flights!$AX$14&lt;Flights!$AA$14-3)),"INVALID – carrying flight (Flights AX) cannot arrive before this leg's STD, or is over 3 days early",IF(AG337&gt;AsOfUTC,"INVALID – completion time is in the future",IF(AND(ISNUMBER(S337),AG337&lt;S337),IF(H337="Physical uplift","INVALID – before uplift window (cannot confirm loading)","INVALID – before valid window"),IF(AG337&gt;Flights!$AA$14,"INVALID – completed after departure (cannot establish readiness)",IF(AND(H337="Preparation",AG337&gt;IF(ISNUMBER(Flights!$BA$14),MIN(Flights!$BA$14,Flights!$AA$14),Flights!$AA$14)),"INVALID – completed after loading / departure (cannot establish readiness)",IF(AND(H337="Physical uplift",AG337&gt;Q337),"INVALID – recorded after the loading flight departed",IF(AG337&gt;Q337,"COMPLETE – LATE","COMPLETE"))))))))))))))))))))),IF(TRIM(U337)="Fail","FAIL – DISCREPANCY",IF(AND(TRIM(U337)&lt;&gt;"",TRIM(U337)&lt;&gt;"Not started",TRIM(U337)&lt;&gt;"In progress"),"INVALID – unrecognised status (use the list)",IF(AsOfUTC&gt;Q337,"OVERDUE",IF(N337="Clarification required","OPEN – CLARIFICATION","OPEN"))))))),"INVALID – error value in an input cell")</f>
        <v>OPEN</v>
      </c>
      <c r="AI337" s="61" t="n">
        <f aca="false">IF(OR(AH337="N/A – RULE",AH337="N/A – JUSTIFIED"),0,1)</f>
        <v>1</v>
      </c>
      <c r="AJ337" s="61" t="n">
        <f aca="false">IF(LEFT(AH337,8)="COMPLETE",1,0)</f>
        <v>0</v>
      </c>
      <c r="AK337" s="61" t="n">
        <f aca="false">IF(AND(AI337=1,AJ337=0,AsOfUTC&gt;Q337),1,0)</f>
        <v>0</v>
      </c>
      <c r="AL337" s="61" t="n">
        <f aca="false">IFERROR(IF(AND(AI337=1,OR(TRIM(U337)="Fail",AND(TRIM(AB337)&lt;&gt;"",TRIM(AB337)&lt;&gt;"Closed"),AND(ISNUMBER(AF337),AF337&lt;&gt;0,TRIM(U337)&lt;&gt;"Pass after CA"))),1,0),1)</f>
        <v>0</v>
      </c>
      <c r="AM337" s="61" t="n">
        <f aca="false">IF(LEFT(AH337,7)="INVALID",1,0)</f>
        <v>0</v>
      </c>
      <c r="AN337" s="61" t="n">
        <f aca="false">IF(AND(N337="Clarification required",AI337=1,AJ337=0),1,0)</f>
        <v>0</v>
      </c>
      <c r="AO337" s="61" t="str">
        <f aca="false">IF(AK337=1,SUM(AK$5:AK337),"")</f>
        <v/>
      </c>
      <c r="AP337" s="61" t="str">
        <f aca="false">IF(AL337=1,SUM(AL$5:AL337),"")</f>
        <v/>
      </c>
      <c r="AQ337" s="61" t="n">
        <v>0</v>
      </c>
      <c r="AR337" s="61" t="n">
        <v>1</v>
      </c>
      <c r="AS337" s="61" t="n">
        <v>0</v>
      </c>
      <c r="AT337" s="61" t="n">
        <v>0</v>
      </c>
      <c r="AU337" s="61" t="str">
        <f aca="false">SUBSTITUTE(SUBSTITUTE(SUBSTITUTE(SUBSTITUTE(SUBSTITUTE(SUBSTITUTE(SUBSTITUTE(SUBSTITUTE(SUBSTITUTE(SUBSTITUTE(SUBSTITUTE(SUBSTITUTE(SUBSTITUTE(LOWER(T337&amp;""),CHAR(160),"")," ",""),".",""),"-",""),"/",""),"?",""),"_",""),",",""),"[",""),"]",""),"(",""),")",""),"*","")</f>
        <v/>
      </c>
      <c r="AV337" s="61" t="str">
        <f aca="false">SUBSTITUTE(SUBSTITUTE(SUBSTITUTE(SUBSTITUTE(SUBSTITUTE(SUBSTITUTE(SUBSTITUTE(SUBSTITUTE(SUBSTITUTE(SUBSTITUTE(SUBSTITUTE(SUBSTITUTE(SUBSTITUTE(LOWER(V337&amp;""),CHAR(160),"")," ",""),".",""),"-",""),"/",""),"?",""),"_",""),",",""),"[",""),"]",""),"(",""),")",""),"*","")</f>
        <v/>
      </c>
      <c r="AW337" s="61" t="str">
        <f aca="false">SUBSTITUTE(SUBSTITUTE(SUBSTITUTE(SUBSTITUTE(SUBSTITUTE(SUBSTITUTE(SUBSTITUTE(SUBSTITUTE(SUBSTITUTE(SUBSTITUTE(SUBSTITUTE(SUBSTITUTE(SUBSTITUTE(LOWER(Z337&amp;""),CHAR(160),"")," ",""),".",""),"-",""),"/",""),"?",""),"_",""),",",""),"[",""),"]",""),"(",""),")",""),"*","")</f>
        <v/>
      </c>
      <c r="AX337" s="61" t="str">
        <f aca="false">SUBSTITUTE(SUBSTITUTE(SUBSTITUTE(SUBSTITUTE(SUBSTITUTE(SUBSTITUTE(SUBSTITUTE(SUBSTITUTE(SUBSTITUTE(SUBSTITUTE(SUBSTITUTE(SUBSTITUTE(SUBSTITUTE(LOWER(AE337&amp;""),CHAR(160),"")," ",""),".",""),"-",""),"/",""),"?",""),"_",""),",",""),"[",""),"]",""),"(",""),")",""),"*","")</f>
        <v/>
      </c>
      <c r="AY337" s="61" t="str">
        <f aca="false">SUBSTITUTE(SUBSTITUTE(SUBSTITUTE(SUBSTITUTE(SUBSTITUTE(SUBSTITUTE(SUBSTITUTE(SUBSTITUTE(SUBSTITUTE(SUBSTITUTE(SUBSTITUTE(SUBSTITUTE(SUBSTITUTE(LOWER(W337&amp;""),CHAR(160),"")," ",""),".",""),"-",""),"/",""),"?",""),"_",""),",",""),"[",""),"]",""),"(",""),")",""),"*","")</f>
        <v/>
      </c>
      <c r="AZ337" s="61" t="str">
        <f aca="false">SUBSTITUTE(SUBSTITUTE(SUBSTITUTE(SUBSTITUTE(SUBSTITUTE(SUBSTITUTE(SUBSTITUTE(SUBSTITUTE(SUBSTITUTE(SUBSTITUTE(SUBSTITUTE(SUBSTITUTE(SUBSTITUTE(LOWER(AC337&amp;""),CHAR(160),"")," ",""),".",""),"-",""),"/",""),"?",""),"_",""),",",""),"[",""),"]",""),"(",""),")",""),"*","")</f>
        <v/>
      </c>
      <c r="BA337" s="61" t="str">
        <f aca="false">SUBSTITUTE(SUBSTITUTE(SUBSTITUTE(SUBSTITUTE(SUBSTITUTE(SUBSTITUTE(SUBSTITUTE(SUBSTITUTE(SUBSTITUTE(SUBSTITUTE(SUBSTITUTE(SUBSTITUTE(SUBSTITUTE(LOWER(AA337&amp;""),CHAR(160),"")," ",""),".",""),"-",""),"/",""),"?",""),"_",""),",",""),"[",""),"]",""),"(",""),")",""),"*","")</f>
        <v/>
      </c>
      <c r="BB337" s="61" t="str">
        <f aca="false">IF(AND(TRIM(U337)="Pass",ISNUMBER(AF337)),IF(AF337&lt;&gt;0,"INVALID – qty variance: use Fail or Pass after CA",""),"")&amp;IF(AND(TRIM(U337)="Pass after CA",ISNUMBER(AF337)),IF(AF337&lt;&gt;0,"INVALID – after the corrective action the actual qty must equal expected (update Actual)",""),"")&amp;IF(AND(TRIM(U337)="Pass",TRIM(AB337)&lt;&gt;"",TRIM(AB337)&lt;&gt;"Closed"),"INVALID – corrective action not closed: use Fail, then Pass after CA","")&amp;IF(AND(TRIM(AA337)&lt;&gt;"",TRIM(AB337)=""),"INVALID – CA status missing for the recorded corrective action","")&amp;IF(AND(TRIM(U337)="Pass after CA",OR(OR(LEN(BA337)&lt;5,ISNUMBER(MATCH(BA337,L_Placeholder,0))),TRIM(AB337)&lt;&gt;"Closed")),"INVALID – corrective action not recorded/closed","")</f>
        <v/>
      </c>
    </row>
    <row r="338" customFormat="false" ht="39.75" hidden="false" customHeight="true" outlineLevel="0" collapsed="false">
      <c r="A338" s="57" t="s">
        <v>909</v>
      </c>
      <c r="B338" s="57" t="s">
        <v>248</v>
      </c>
      <c r="C338" s="57" t="str">
        <f aca="false">Flights!$F$14</f>
        <v>MH1140</v>
      </c>
      <c r="D338" s="58" t="n">
        <f aca="false">Flights!$D$14</f>
        <v>46307</v>
      </c>
      <c r="E338" s="57" t="str">
        <f aca="false">Flights!$G$14&amp;"-"&amp;Flights!$H$14</f>
        <v>KUL-PEN</v>
      </c>
      <c r="F338" s="57" t="str">
        <f aca="false">Flights!$K$14</f>
        <v>BC</v>
      </c>
      <c r="G338" s="57" t="s">
        <v>398</v>
      </c>
      <c r="H338" s="57" t="s">
        <v>356</v>
      </c>
      <c r="I338" s="57" t="s">
        <v>406</v>
      </c>
      <c r="J338" s="57" t="s">
        <v>416</v>
      </c>
      <c r="K338" s="67"/>
      <c r="L338" s="67" t="s">
        <v>400</v>
      </c>
      <c r="M338" s="67"/>
      <c r="N338" s="67" t="s">
        <v>361</v>
      </c>
      <c r="O338" s="67" t="s">
        <v>401</v>
      </c>
      <c r="P338" s="57" t="s">
        <v>184</v>
      </c>
      <c r="Q338" s="59" t="n">
        <f aca="false">ROUND((Flights!$AE$14)*1440,0)/1440</f>
        <v>46306.65625</v>
      </c>
      <c r="R338" s="59" t="n">
        <f aca="false">Q338+(IF(AND(INDEX(TZ_DSTS,MATCH(P338,TZ_STN,0))&lt;&gt;"",Q338&gt;=INDEX(TZ_DSTS,MATCH(P338,TZ_STN,0)),Q338&lt;INDEX(TZ_DSTE,MATCH(P338,TZ_STN,0))),INDEX(TZ_DST,MATCH(P338,TZ_STN,0)),INDEX(TZ_STD,MATCH(P338,TZ_STN,0))))/24</f>
        <v>46306.9895833333</v>
      </c>
      <c r="S338" s="59" t="n">
        <f aca="false">Q338-T12EarlyH/24</f>
        <v>46306.15625</v>
      </c>
      <c r="T338" s="60"/>
      <c r="U338" s="60"/>
      <c r="V338" s="60"/>
      <c r="W338" s="61"/>
      <c r="X338" s="60"/>
      <c r="Y338" s="60"/>
      <c r="Z338" s="60"/>
      <c r="AA338" s="60"/>
      <c r="AB338" s="60"/>
      <c r="AC338" s="60"/>
      <c r="AD338" s="66"/>
      <c r="AE338" s="60"/>
      <c r="AF338" s="61" t="str">
        <f aca="false">IF(AND(ISNUMBER(X338),ISNUMBER(Y338)),Y338-X338,"")</f>
        <v/>
      </c>
      <c r="AG338" s="62" t="str">
        <f aca="false">IF(ISNUMBER(AD338),AD338-(IF(AND(INDEX(TZ_DSTS,MATCH(P338,TZ_STN,0))&lt;&gt;"",(AD338-INDEX(TZ_STD,MATCH(P338,TZ_STN,0))/24)&gt;=INDEX(TZ_DSTS,MATCH(P338,TZ_STN,0)),(AD338-INDEX(TZ_STD,MATCH(P338,TZ_STN,0))/24)&lt;INDEX(TZ_DSTE,MATCH(P338,TZ_STN,0))),INDEX(TZ_DST,MATCH(P338,TZ_STN,0)),INDEX(TZ_STD,MATCH(P338,TZ_STN,0))))/24,"")</f>
        <v/>
      </c>
      <c r="AH338" s="65" t="str">
        <f aca="false">IFERROR(IF(N338="N/A – rule","N/A – RULE",IF(TRIM(U338)="N/A",IF(AT338=0,"INVALID – N/A not permitted for this check",IF(AND(TRIM(AB338)&lt;&gt;"",TRIM(AB338)&lt;&gt;"Closed"),"INVALID – corrective action still open",IF(AND(NOT(OR(LEN(AZ338)&lt;15,ISNUMBER(MATCH(AZ338,L_Placeholder,0)))),NOT(OR(LEN(AU338)&lt;2,ISNUMBER(MATCH(AU338,L_Placeholder,0)))),NOT(OR(LEN(AX338)&lt;2,ISNUMBER(MATCH(AX338,L_Placeholder,0)))),TRIM(AE338)&lt;&gt;TRIM(T338)),"N/A – JUSTIFIED","INVALID – N/A needs a real justification (15+ chars), PIC and a different verifier"))),IF(OR(TRIM(U338)="Pass",TRIM(U338)="Pass after CA"),IF(NOT(ISNUMBER(AD338)),"INVALID – completion time missing",IF(OR(LEN(AU338)&lt;2,ISNUMBER(MATCH(AU338,L_Placeholder,0))),"INVALID – PIC missing",IF(OR(LEN(AV338)&lt;2,ISNUMBER(MATCH(AV338,L_Placeholder,0))),"INVALID – result / assessment missing",IF(OR(OR(LEN(AW338)&lt;3,ISNUMBER(MATCH(AW338,L_Placeholder,0))),SUMPRODUCT(--ISNUMBER(SEARCH(L_EvidencePhrase,AW338)))&gt;0),"INVALID – evidence missing, placeholder or not yet on file",IF(OR(LEN(AX338)&lt;2,ISNUMBER(MATCH(AX338,L_Placeholder,0))),"INVALID – verifier missing",IF(AX338=AU338,"INVALID – verifier must be someone other than the PIC",IF(AND(TRIM(U338)="Pass",SUMPRODUCT(--ISNUMBER(SEARCH(L_ResultBad,AV338)))&gt;0),"INVALID – result describes a problem: use Fail, then Pass after CA",IF(AND(AQ338=1,OR(LEN(AY338)&lt;3,ISNUMBER(MATCH(AY338,L_Placeholder,0)))),"INVALID – batch ID missing or placeholder",IF(AND(AR338=1,OR(NOT(ISNUMBER(X338)),NOT(ISNUMBER(Y338)))),"INVALID – expected/actual qty missing",IF(AND(AR338=1,OR(X338&lt;=0,Y338&lt;0)),"INVALID – expected qty must be above 0 and actual not negative",IF(BB338&lt;&gt;"",BB338,IF(AND(AS338=1,Documents!$J$14&lt;&gt;"ON FILE"),"INVALID – GLD not on file (Documents sheet)",IF(AND(AS338=2,Documents!$O$14&lt;&gt;"ON FILE"),"INVALID – menu checklist not on file (Documents sheet)",IF(AND(AS338=3,NOT(ISNUMBER(Flights!$AX$14))),"INVALID – enter carrying flight KUL departure (Flights AX)",IF(AND(AS338=3,OR(Flights!$AZ$14&gt;Flights!$AA$14,Flights!$AX$14&lt;Flights!$AA$14-3)),"INVALID – carrying flight (Flights AX) cannot arrive before this leg's STD, or is over 3 days early",IF(AG338&gt;AsOfUTC,"INVALID – completion time is in the future",IF(AND(ISNUMBER(S338),AG338&lt;S338),IF(H338="Physical uplift","INVALID – before uplift window (cannot confirm loading)","INVALID – before valid window"),IF(AG338&gt;Flights!$AA$14,"INVALID – completed after departure (cannot establish readiness)",IF(AND(H338="Preparation",AG338&gt;IF(ISNUMBER(Flights!$BA$14),MIN(Flights!$BA$14,Flights!$AA$14),Flights!$AA$14)),"INVALID – completed after loading / departure (cannot establish readiness)",IF(AND(H338="Physical uplift",AG338&gt;Q338),"INVALID – recorded after the loading flight departed",IF(AG338&gt;Q338,"COMPLETE – LATE","COMPLETE"))))))))))))))))))))),IF(TRIM(U338)="Fail","FAIL – DISCREPANCY",IF(AND(TRIM(U338)&lt;&gt;"",TRIM(U338)&lt;&gt;"Not started",TRIM(U338)&lt;&gt;"In progress"),"INVALID – unrecognised status (use the list)",IF(AsOfUTC&gt;Q338,"OVERDUE",IF(N338="Clarification required","OPEN – CLARIFICATION","OPEN"))))))),"INVALID – error value in an input cell")</f>
        <v>OPEN</v>
      </c>
      <c r="AI338" s="61" t="n">
        <f aca="false">IF(OR(AH338="N/A – RULE",AH338="N/A – JUSTIFIED"),0,1)</f>
        <v>1</v>
      </c>
      <c r="AJ338" s="61" t="n">
        <f aca="false">IF(LEFT(AH338,8)="COMPLETE",1,0)</f>
        <v>0</v>
      </c>
      <c r="AK338" s="61" t="n">
        <f aca="false">IF(AND(AI338=1,AJ338=0,AsOfUTC&gt;Q338),1,0)</f>
        <v>0</v>
      </c>
      <c r="AL338" s="61" t="n">
        <f aca="false">IFERROR(IF(AND(AI338=1,OR(TRIM(U338)="Fail",AND(TRIM(AB338)&lt;&gt;"",TRIM(AB338)&lt;&gt;"Closed"),AND(ISNUMBER(AF338),AF338&lt;&gt;0,TRIM(U338)&lt;&gt;"Pass after CA"))),1,0),1)</f>
        <v>0</v>
      </c>
      <c r="AM338" s="61" t="n">
        <f aca="false">IF(LEFT(AH338,7)="INVALID",1,0)</f>
        <v>0</v>
      </c>
      <c r="AN338" s="61" t="n">
        <f aca="false">IF(AND(N338="Clarification required",AI338=1,AJ338=0),1,0)</f>
        <v>0</v>
      </c>
      <c r="AO338" s="61" t="str">
        <f aca="false">IF(AK338=1,SUM(AK$5:AK338),"")</f>
        <v/>
      </c>
      <c r="AP338" s="61" t="str">
        <f aca="false">IF(AL338=1,SUM(AL$5:AL338),"")</f>
        <v/>
      </c>
      <c r="AQ338" s="61" t="n">
        <v>0</v>
      </c>
      <c r="AR338" s="61" t="n">
        <v>0</v>
      </c>
      <c r="AS338" s="61" t="n">
        <v>0</v>
      </c>
      <c r="AT338" s="61" t="n">
        <v>0</v>
      </c>
      <c r="AU338" s="61" t="str">
        <f aca="false">SUBSTITUTE(SUBSTITUTE(SUBSTITUTE(SUBSTITUTE(SUBSTITUTE(SUBSTITUTE(SUBSTITUTE(SUBSTITUTE(SUBSTITUTE(SUBSTITUTE(SUBSTITUTE(SUBSTITUTE(SUBSTITUTE(LOWER(T338&amp;""),CHAR(160),"")," ",""),".",""),"-",""),"/",""),"?",""),"_",""),",",""),"[",""),"]",""),"(",""),")",""),"*","")</f>
        <v/>
      </c>
      <c r="AV338" s="61" t="str">
        <f aca="false">SUBSTITUTE(SUBSTITUTE(SUBSTITUTE(SUBSTITUTE(SUBSTITUTE(SUBSTITUTE(SUBSTITUTE(SUBSTITUTE(SUBSTITUTE(SUBSTITUTE(SUBSTITUTE(SUBSTITUTE(SUBSTITUTE(LOWER(V338&amp;""),CHAR(160),"")," ",""),".",""),"-",""),"/",""),"?",""),"_",""),",",""),"[",""),"]",""),"(",""),")",""),"*","")</f>
        <v/>
      </c>
      <c r="AW338" s="61" t="str">
        <f aca="false">SUBSTITUTE(SUBSTITUTE(SUBSTITUTE(SUBSTITUTE(SUBSTITUTE(SUBSTITUTE(SUBSTITUTE(SUBSTITUTE(SUBSTITUTE(SUBSTITUTE(SUBSTITUTE(SUBSTITUTE(SUBSTITUTE(LOWER(Z338&amp;""),CHAR(160),"")," ",""),".",""),"-",""),"/",""),"?",""),"_",""),",",""),"[",""),"]",""),"(",""),")",""),"*","")</f>
        <v/>
      </c>
      <c r="AX338" s="61" t="str">
        <f aca="false">SUBSTITUTE(SUBSTITUTE(SUBSTITUTE(SUBSTITUTE(SUBSTITUTE(SUBSTITUTE(SUBSTITUTE(SUBSTITUTE(SUBSTITUTE(SUBSTITUTE(SUBSTITUTE(SUBSTITUTE(SUBSTITUTE(LOWER(AE338&amp;""),CHAR(160),"")," ",""),".",""),"-",""),"/",""),"?",""),"_",""),",",""),"[",""),"]",""),"(",""),")",""),"*","")</f>
        <v/>
      </c>
      <c r="AY338" s="61" t="str">
        <f aca="false">SUBSTITUTE(SUBSTITUTE(SUBSTITUTE(SUBSTITUTE(SUBSTITUTE(SUBSTITUTE(SUBSTITUTE(SUBSTITUTE(SUBSTITUTE(SUBSTITUTE(SUBSTITUTE(SUBSTITUTE(SUBSTITUTE(LOWER(W338&amp;""),CHAR(160),"")," ",""),".",""),"-",""),"/",""),"?",""),"_",""),",",""),"[",""),"]",""),"(",""),")",""),"*","")</f>
        <v/>
      </c>
      <c r="AZ338" s="61" t="str">
        <f aca="false">SUBSTITUTE(SUBSTITUTE(SUBSTITUTE(SUBSTITUTE(SUBSTITUTE(SUBSTITUTE(SUBSTITUTE(SUBSTITUTE(SUBSTITUTE(SUBSTITUTE(SUBSTITUTE(SUBSTITUTE(SUBSTITUTE(LOWER(AC338&amp;""),CHAR(160),"")," ",""),".",""),"-",""),"/",""),"?",""),"_",""),",",""),"[",""),"]",""),"(",""),")",""),"*","")</f>
        <v/>
      </c>
      <c r="BA338" s="61" t="str">
        <f aca="false">SUBSTITUTE(SUBSTITUTE(SUBSTITUTE(SUBSTITUTE(SUBSTITUTE(SUBSTITUTE(SUBSTITUTE(SUBSTITUTE(SUBSTITUTE(SUBSTITUTE(SUBSTITUTE(SUBSTITUTE(SUBSTITUTE(LOWER(AA338&amp;""),CHAR(160),"")," ",""),".",""),"-",""),"/",""),"?",""),"_",""),",",""),"[",""),"]",""),"(",""),")",""),"*","")</f>
        <v/>
      </c>
      <c r="BB338" s="61" t="str">
        <f aca="false">IF(AND(TRIM(U338)="Pass",ISNUMBER(AF338)),IF(AF338&lt;&gt;0,"INVALID – qty variance: use Fail or Pass after CA",""),"")&amp;IF(AND(TRIM(U338)="Pass after CA",ISNUMBER(AF338)),IF(AF338&lt;&gt;0,"INVALID – after the corrective action the actual qty must equal expected (update Actual)",""),"")&amp;IF(AND(TRIM(U338)="Pass",TRIM(AB338)&lt;&gt;"",TRIM(AB338)&lt;&gt;"Closed"),"INVALID – corrective action not closed: use Fail, then Pass after CA","")&amp;IF(AND(TRIM(AA338)&lt;&gt;"",TRIM(AB338)=""),"INVALID – CA status missing for the recorded corrective action","")&amp;IF(AND(TRIM(U338)="Pass after CA",OR(OR(LEN(BA338)&lt;5,ISNUMBER(MATCH(BA338,L_Placeholder,0))),TRIM(AB338)&lt;&gt;"Closed")),"INVALID – corrective action not recorded/closed","")</f>
        <v/>
      </c>
    </row>
    <row r="339" customFormat="false" ht="66" hidden="false" customHeight="true" outlineLevel="0" collapsed="false">
      <c r="A339" s="57" t="s">
        <v>910</v>
      </c>
      <c r="B339" s="57" t="s">
        <v>248</v>
      </c>
      <c r="C339" s="57" t="str">
        <f aca="false">Flights!$F$14</f>
        <v>MH1140</v>
      </c>
      <c r="D339" s="58" t="n">
        <f aca="false">Flights!$D$14</f>
        <v>46307</v>
      </c>
      <c r="E339" s="57" t="str">
        <f aca="false">Flights!$G$14&amp;"-"&amp;Flights!$H$14</f>
        <v>KUL-PEN</v>
      </c>
      <c r="F339" s="57" t="str">
        <f aca="false">Flights!$K$14</f>
        <v>BC</v>
      </c>
      <c r="G339" s="57" t="s">
        <v>398</v>
      </c>
      <c r="H339" s="57" t="s">
        <v>356</v>
      </c>
      <c r="I339" s="57" t="s">
        <v>418</v>
      </c>
      <c r="J339" s="57" t="s">
        <v>472</v>
      </c>
      <c r="K339" s="67" t="s">
        <v>473</v>
      </c>
      <c r="L339" s="67" t="s">
        <v>911</v>
      </c>
      <c r="M339" s="67" t="s">
        <v>429</v>
      </c>
      <c r="N339" s="67" t="s">
        <v>361</v>
      </c>
      <c r="O339" s="67" t="s">
        <v>475</v>
      </c>
      <c r="P339" s="57" t="s">
        <v>184</v>
      </c>
      <c r="Q339" s="59" t="n">
        <f aca="false">ROUND((Flights!$AE$14)*1440,0)/1440</f>
        <v>46306.65625</v>
      </c>
      <c r="R339" s="59" t="n">
        <f aca="false">Q339+(IF(AND(INDEX(TZ_DSTS,MATCH(P339,TZ_STN,0))&lt;&gt;"",Q339&gt;=INDEX(TZ_DSTS,MATCH(P339,TZ_STN,0)),Q339&lt;INDEX(TZ_DSTE,MATCH(P339,TZ_STN,0))),INDEX(TZ_DST,MATCH(P339,TZ_STN,0)),INDEX(TZ_STD,MATCH(P339,TZ_STN,0))))/24</f>
        <v>46306.9895833333</v>
      </c>
      <c r="S339" s="59" t="n">
        <f aca="false">Q339-T12EarlyH/24</f>
        <v>46306.15625</v>
      </c>
      <c r="T339" s="60"/>
      <c r="U339" s="60"/>
      <c r="V339" s="60"/>
      <c r="W339" s="61"/>
      <c r="X339" s="60"/>
      <c r="Y339" s="60"/>
      <c r="Z339" s="60"/>
      <c r="AA339" s="60"/>
      <c r="AB339" s="60"/>
      <c r="AC339" s="60"/>
      <c r="AD339" s="66"/>
      <c r="AE339" s="60"/>
      <c r="AF339" s="61" t="str">
        <f aca="false">IF(AND(ISNUMBER(X339),ISNUMBER(Y339)),Y339-X339,"")</f>
        <v/>
      </c>
      <c r="AG339" s="62" t="str">
        <f aca="false">IF(ISNUMBER(AD339),AD339-(IF(AND(INDEX(TZ_DSTS,MATCH(P339,TZ_STN,0))&lt;&gt;"",(AD339-INDEX(TZ_STD,MATCH(P339,TZ_STN,0))/24)&gt;=INDEX(TZ_DSTS,MATCH(P339,TZ_STN,0)),(AD339-INDEX(TZ_STD,MATCH(P339,TZ_STN,0))/24)&lt;INDEX(TZ_DSTE,MATCH(P339,TZ_STN,0))),INDEX(TZ_DST,MATCH(P339,TZ_STN,0)),INDEX(TZ_STD,MATCH(P339,TZ_STN,0))))/24,"")</f>
        <v/>
      </c>
      <c r="AH339" s="65" t="str">
        <f aca="false">IFERROR(IF(N339="N/A – rule","N/A – RULE",IF(TRIM(U339)="N/A",IF(AT339=0,"INVALID – N/A not permitted for this check",IF(AND(TRIM(AB339)&lt;&gt;"",TRIM(AB339)&lt;&gt;"Closed"),"INVALID – corrective action still open",IF(AND(NOT(OR(LEN(AZ339)&lt;15,ISNUMBER(MATCH(AZ339,L_Placeholder,0)))),NOT(OR(LEN(AU339)&lt;2,ISNUMBER(MATCH(AU339,L_Placeholder,0)))),NOT(OR(LEN(AX339)&lt;2,ISNUMBER(MATCH(AX339,L_Placeholder,0)))),TRIM(AE339)&lt;&gt;TRIM(T339)),"N/A – JUSTIFIED","INVALID – N/A needs a real justification (15+ chars), PIC and a different verifier"))),IF(OR(TRIM(U339)="Pass",TRIM(U339)="Pass after CA"),IF(NOT(ISNUMBER(AD339)),"INVALID – completion time missing",IF(OR(LEN(AU339)&lt;2,ISNUMBER(MATCH(AU339,L_Placeholder,0))),"INVALID – PIC missing",IF(OR(LEN(AV339)&lt;2,ISNUMBER(MATCH(AV339,L_Placeholder,0))),"INVALID – result / assessment missing",IF(OR(OR(LEN(AW339)&lt;3,ISNUMBER(MATCH(AW339,L_Placeholder,0))),SUMPRODUCT(--ISNUMBER(SEARCH(L_EvidencePhrase,AW339)))&gt;0),"INVALID – evidence missing, placeholder or not yet on file",IF(OR(LEN(AX339)&lt;2,ISNUMBER(MATCH(AX339,L_Placeholder,0))),"INVALID – verifier missing",IF(AX339=AU339,"INVALID – verifier must be someone other than the PIC",IF(AND(TRIM(U339)="Pass",SUMPRODUCT(--ISNUMBER(SEARCH(L_ResultBad,AV339)))&gt;0),"INVALID – result describes a problem: use Fail, then Pass after CA",IF(AND(AQ339=1,OR(LEN(AY339)&lt;3,ISNUMBER(MATCH(AY339,L_Placeholder,0)))),"INVALID – batch ID missing or placeholder",IF(AND(AR339=1,OR(NOT(ISNUMBER(X339)),NOT(ISNUMBER(Y339)))),"INVALID – expected/actual qty missing",IF(AND(AR339=1,OR(X339&lt;=0,Y339&lt;0)),"INVALID – expected qty must be above 0 and actual not negative",IF(BB339&lt;&gt;"",BB339,IF(AND(AS339=1,Documents!$J$14&lt;&gt;"ON FILE"),"INVALID – GLD not on file (Documents sheet)",IF(AND(AS339=2,Documents!$O$14&lt;&gt;"ON FILE"),"INVALID – menu checklist not on file (Documents sheet)",IF(AND(AS339=3,NOT(ISNUMBER(Flights!$AX$14))),"INVALID – enter carrying flight KUL departure (Flights AX)",IF(AND(AS339=3,OR(Flights!$AZ$14&gt;Flights!$AA$14,Flights!$AX$14&lt;Flights!$AA$14-3)),"INVALID – carrying flight (Flights AX) cannot arrive before this leg's STD, or is over 3 days early",IF(AG339&gt;AsOfUTC,"INVALID – completion time is in the future",IF(AND(ISNUMBER(S339),AG339&lt;S339),IF(H339="Physical uplift","INVALID – before uplift window (cannot confirm loading)","INVALID – before valid window"),IF(AG339&gt;Flights!$AA$14,"INVALID – completed after departure (cannot establish readiness)",IF(AND(H339="Preparation",AG339&gt;IF(ISNUMBER(Flights!$BA$14),MIN(Flights!$BA$14,Flights!$AA$14),Flights!$AA$14)),"INVALID – completed after loading / departure (cannot establish readiness)",IF(AND(H339="Physical uplift",AG339&gt;Q339),"INVALID – recorded after the loading flight departed",IF(AG339&gt;Q339,"COMPLETE – LATE","COMPLETE"))))))))))))))))))))),IF(TRIM(U339)="Fail","FAIL – DISCREPANCY",IF(AND(TRIM(U339)&lt;&gt;"",TRIM(U339)&lt;&gt;"Not started",TRIM(U339)&lt;&gt;"In progress"),"INVALID – unrecognised status (use the list)",IF(AsOfUTC&gt;Q339,"OVERDUE",IF(N339="Clarification required","OPEN – CLARIFICATION","OPEN"))))))),"INVALID – error value in an input cell")</f>
        <v>OPEN</v>
      </c>
      <c r="AI339" s="61" t="n">
        <f aca="false">IF(OR(AH339="N/A – RULE",AH339="N/A – JUSTIFIED"),0,1)</f>
        <v>1</v>
      </c>
      <c r="AJ339" s="61" t="n">
        <f aca="false">IF(LEFT(AH339,8)="COMPLETE",1,0)</f>
        <v>0</v>
      </c>
      <c r="AK339" s="61" t="n">
        <f aca="false">IF(AND(AI339=1,AJ339=0,AsOfUTC&gt;Q339),1,0)</f>
        <v>0</v>
      </c>
      <c r="AL339" s="61" t="n">
        <f aca="false">IFERROR(IF(AND(AI339=1,OR(TRIM(U339)="Fail",AND(TRIM(AB339)&lt;&gt;"",TRIM(AB339)&lt;&gt;"Closed"),AND(ISNUMBER(AF339),AF339&lt;&gt;0,TRIM(U339)&lt;&gt;"Pass after CA"))),1,0),1)</f>
        <v>0</v>
      </c>
      <c r="AM339" s="61" t="n">
        <f aca="false">IF(LEFT(AH339,7)="INVALID",1,0)</f>
        <v>0</v>
      </c>
      <c r="AN339" s="61" t="n">
        <f aca="false">IF(AND(N339="Clarification required",AI339=1,AJ339=0),1,0)</f>
        <v>0</v>
      </c>
      <c r="AO339" s="61" t="str">
        <f aca="false">IF(AK339=1,SUM(AK$5:AK339),"")</f>
        <v/>
      </c>
      <c r="AP339" s="61" t="str">
        <f aca="false">IF(AL339=1,SUM(AL$5:AL339),"")</f>
        <v/>
      </c>
      <c r="AQ339" s="61" t="n">
        <v>0</v>
      </c>
      <c r="AR339" s="61" t="n">
        <v>0</v>
      </c>
      <c r="AS339" s="61" t="n">
        <v>0</v>
      </c>
      <c r="AT339" s="61" t="n">
        <v>0</v>
      </c>
      <c r="AU339" s="61" t="str">
        <f aca="false">SUBSTITUTE(SUBSTITUTE(SUBSTITUTE(SUBSTITUTE(SUBSTITUTE(SUBSTITUTE(SUBSTITUTE(SUBSTITUTE(SUBSTITUTE(SUBSTITUTE(SUBSTITUTE(SUBSTITUTE(SUBSTITUTE(LOWER(T339&amp;""),CHAR(160),"")," ",""),".",""),"-",""),"/",""),"?",""),"_",""),",",""),"[",""),"]",""),"(",""),")",""),"*","")</f>
        <v/>
      </c>
      <c r="AV339" s="61" t="str">
        <f aca="false">SUBSTITUTE(SUBSTITUTE(SUBSTITUTE(SUBSTITUTE(SUBSTITUTE(SUBSTITUTE(SUBSTITUTE(SUBSTITUTE(SUBSTITUTE(SUBSTITUTE(SUBSTITUTE(SUBSTITUTE(SUBSTITUTE(LOWER(V339&amp;""),CHAR(160),"")," ",""),".",""),"-",""),"/",""),"?",""),"_",""),",",""),"[",""),"]",""),"(",""),")",""),"*","")</f>
        <v/>
      </c>
      <c r="AW339" s="61" t="str">
        <f aca="false">SUBSTITUTE(SUBSTITUTE(SUBSTITUTE(SUBSTITUTE(SUBSTITUTE(SUBSTITUTE(SUBSTITUTE(SUBSTITUTE(SUBSTITUTE(SUBSTITUTE(SUBSTITUTE(SUBSTITUTE(SUBSTITUTE(LOWER(Z339&amp;""),CHAR(160),"")," ",""),".",""),"-",""),"/",""),"?",""),"_",""),",",""),"[",""),"]",""),"(",""),")",""),"*","")</f>
        <v/>
      </c>
      <c r="AX339" s="61" t="str">
        <f aca="false">SUBSTITUTE(SUBSTITUTE(SUBSTITUTE(SUBSTITUTE(SUBSTITUTE(SUBSTITUTE(SUBSTITUTE(SUBSTITUTE(SUBSTITUTE(SUBSTITUTE(SUBSTITUTE(SUBSTITUTE(SUBSTITUTE(LOWER(AE339&amp;""),CHAR(160),"")," ",""),".",""),"-",""),"/",""),"?",""),"_",""),",",""),"[",""),"]",""),"(",""),")",""),"*","")</f>
        <v/>
      </c>
      <c r="AY339" s="61" t="str">
        <f aca="false">SUBSTITUTE(SUBSTITUTE(SUBSTITUTE(SUBSTITUTE(SUBSTITUTE(SUBSTITUTE(SUBSTITUTE(SUBSTITUTE(SUBSTITUTE(SUBSTITUTE(SUBSTITUTE(SUBSTITUTE(SUBSTITUTE(LOWER(W339&amp;""),CHAR(160),"")," ",""),".",""),"-",""),"/",""),"?",""),"_",""),",",""),"[",""),"]",""),"(",""),")",""),"*","")</f>
        <v/>
      </c>
      <c r="AZ339" s="61" t="str">
        <f aca="false">SUBSTITUTE(SUBSTITUTE(SUBSTITUTE(SUBSTITUTE(SUBSTITUTE(SUBSTITUTE(SUBSTITUTE(SUBSTITUTE(SUBSTITUTE(SUBSTITUTE(SUBSTITUTE(SUBSTITUTE(SUBSTITUTE(LOWER(AC339&amp;""),CHAR(160),"")," ",""),".",""),"-",""),"/",""),"?",""),"_",""),",",""),"[",""),"]",""),"(",""),")",""),"*","")</f>
        <v/>
      </c>
      <c r="BA339" s="61" t="str">
        <f aca="false">SUBSTITUTE(SUBSTITUTE(SUBSTITUTE(SUBSTITUTE(SUBSTITUTE(SUBSTITUTE(SUBSTITUTE(SUBSTITUTE(SUBSTITUTE(SUBSTITUTE(SUBSTITUTE(SUBSTITUTE(SUBSTITUTE(LOWER(AA339&amp;""),CHAR(160),"")," ",""),".",""),"-",""),"/",""),"?",""),"_",""),",",""),"[",""),"]",""),"(",""),")",""),"*","")</f>
        <v/>
      </c>
      <c r="BB339" s="61" t="str">
        <f aca="false">IF(AND(TRIM(U339)="Pass",ISNUMBER(AF339)),IF(AF339&lt;&gt;0,"INVALID – qty variance: use Fail or Pass after CA",""),"")&amp;IF(AND(TRIM(U339)="Pass after CA",ISNUMBER(AF339)),IF(AF339&lt;&gt;0,"INVALID – after the corrective action the actual qty must equal expected (update Actual)",""),"")&amp;IF(AND(TRIM(U339)="Pass",TRIM(AB339)&lt;&gt;"",TRIM(AB339)&lt;&gt;"Closed"),"INVALID – corrective action not closed: use Fail, then Pass after CA","")&amp;IF(AND(TRIM(AA339)&lt;&gt;"",TRIM(AB339)=""),"INVALID – CA status missing for the recorded corrective action","")&amp;IF(AND(TRIM(U339)="Pass after CA",OR(OR(LEN(BA339)&lt;5,ISNUMBER(MATCH(BA339,L_Placeholder,0))),TRIM(AB339)&lt;&gt;"Closed")),"INVALID – corrective action not recorded/closed","")</f>
        <v/>
      </c>
    </row>
    <row r="340" customFormat="false" ht="41.25" hidden="false" customHeight="true" outlineLevel="0" collapsed="false">
      <c r="A340" s="57" t="s">
        <v>912</v>
      </c>
      <c r="B340" s="57" t="s">
        <v>248</v>
      </c>
      <c r="C340" s="57" t="str">
        <f aca="false">Flights!$F$14</f>
        <v>MH1140</v>
      </c>
      <c r="D340" s="58" t="n">
        <f aca="false">Flights!$D$14</f>
        <v>46307</v>
      </c>
      <c r="E340" s="57" t="str">
        <f aca="false">Flights!$G$14&amp;"-"&amp;Flights!$H$14</f>
        <v>KUL-PEN</v>
      </c>
      <c r="F340" s="57" t="str">
        <f aca="false">Flights!$K$14</f>
        <v>BC</v>
      </c>
      <c r="G340" s="57" t="s">
        <v>398</v>
      </c>
      <c r="H340" s="57" t="s">
        <v>356</v>
      </c>
      <c r="I340" s="57" t="s">
        <v>477</v>
      </c>
      <c r="J340" s="57" t="s">
        <v>478</v>
      </c>
      <c r="K340" s="67" t="s">
        <v>479</v>
      </c>
      <c r="L340" s="67" t="s">
        <v>913</v>
      </c>
      <c r="M340" s="67" t="s">
        <v>429</v>
      </c>
      <c r="N340" s="67" t="s">
        <v>361</v>
      </c>
      <c r="O340" s="67" t="s">
        <v>481</v>
      </c>
      <c r="P340" s="57" t="s">
        <v>184</v>
      </c>
      <c r="Q340" s="59" t="n">
        <f aca="false">ROUND((Flights!$AE$14)*1440,0)/1440</f>
        <v>46306.65625</v>
      </c>
      <c r="R340" s="59" t="n">
        <f aca="false">Q340+(IF(AND(INDEX(TZ_DSTS,MATCH(P340,TZ_STN,0))&lt;&gt;"",Q340&gt;=INDEX(TZ_DSTS,MATCH(P340,TZ_STN,0)),Q340&lt;INDEX(TZ_DSTE,MATCH(P340,TZ_STN,0))),INDEX(TZ_DST,MATCH(P340,TZ_STN,0)),INDEX(TZ_STD,MATCH(P340,TZ_STN,0))))/24</f>
        <v>46306.9895833333</v>
      </c>
      <c r="S340" s="59" t="n">
        <f aca="false">Q340-T12EarlyH/24</f>
        <v>46306.15625</v>
      </c>
      <c r="T340" s="60"/>
      <c r="U340" s="60"/>
      <c r="V340" s="60"/>
      <c r="W340" s="61"/>
      <c r="X340" s="60"/>
      <c r="Y340" s="60"/>
      <c r="Z340" s="60"/>
      <c r="AA340" s="60"/>
      <c r="AB340" s="60"/>
      <c r="AC340" s="60"/>
      <c r="AD340" s="66"/>
      <c r="AE340" s="60"/>
      <c r="AF340" s="61" t="str">
        <f aca="false">IF(AND(ISNUMBER(X340),ISNUMBER(Y340)),Y340-X340,"")</f>
        <v/>
      </c>
      <c r="AG340" s="62" t="str">
        <f aca="false">IF(ISNUMBER(AD340),AD340-(IF(AND(INDEX(TZ_DSTS,MATCH(P340,TZ_STN,0))&lt;&gt;"",(AD340-INDEX(TZ_STD,MATCH(P340,TZ_STN,0))/24)&gt;=INDEX(TZ_DSTS,MATCH(P340,TZ_STN,0)),(AD340-INDEX(TZ_STD,MATCH(P340,TZ_STN,0))/24)&lt;INDEX(TZ_DSTE,MATCH(P340,TZ_STN,0))),INDEX(TZ_DST,MATCH(P340,TZ_STN,0)),INDEX(TZ_STD,MATCH(P340,TZ_STN,0))))/24,"")</f>
        <v/>
      </c>
      <c r="AH340" s="65" t="str">
        <f aca="false">IFERROR(IF(N340="N/A – rule","N/A – RULE",IF(TRIM(U340)="N/A",IF(AT340=0,"INVALID – N/A not permitted for this check",IF(AND(TRIM(AB340)&lt;&gt;"",TRIM(AB340)&lt;&gt;"Closed"),"INVALID – corrective action still open",IF(AND(NOT(OR(LEN(AZ340)&lt;15,ISNUMBER(MATCH(AZ340,L_Placeholder,0)))),NOT(OR(LEN(AU340)&lt;2,ISNUMBER(MATCH(AU340,L_Placeholder,0)))),NOT(OR(LEN(AX340)&lt;2,ISNUMBER(MATCH(AX340,L_Placeholder,0)))),TRIM(AE340)&lt;&gt;TRIM(T340)),"N/A – JUSTIFIED","INVALID – N/A needs a real justification (15+ chars), PIC and a different verifier"))),IF(OR(TRIM(U340)="Pass",TRIM(U340)="Pass after CA"),IF(NOT(ISNUMBER(AD340)),"INVALID – completion time missing",IF(OR(LEN(AU340)&lt;2,ISNUMBER(MATCH(AU340,L_Placeholder,0))),"INVALID – PIC missing",IF(OR(LEN(AV340)&lt;2,ISNUMBER(MATCH(AV340,L_Placeholder,0))),"INVALID – result / assessment missing",IF(OR(OR(LEN(AW340)&lt;3,ISNUMBER(MATCH(AW340,L_Placeholder,0))),SUMPRODUCT(--ISNUMBER(SEARCH(L_EvidencePhrase,AW340)))&gt;0),"INVALID – evidence missing, placeholder or not yet on file",IF(OR(LEN(AX340)&lt;2,ISNUMBER(MATCH(AX340,L_Placeholder,0))),"INVALID – verifier missing",IF(AX340=AU340,"INVALID – verifier must be someone other than the PIC",IF(AND(TRIM(U340)="Pass",SUMPRODUCT(--ISNUMBER(SEARCH(L_ResultBad,AV340)))&gt;0),"INVALID – result describes a problem: use Fail, then Pass after CA",IF(AND(AQ340=1,OR(LEN(AY340)&lt;3,ISNUMBER(MATCH(AY340,L_Placeholder,0)))),"INVALID – batch ID missing or placeholder",IF(AND(AR340=1,OR(NOT(ISNUMBER(X340)),NOT(ISNUMBER(Y340)))),"INVALID – expected/actual qty missing",IF(AND(AR340=1,OR(X340&lt;=0,Y340&lt;0)),"INVALID – expected qty must be above 0 and actual not negative",IF(BB340&lt;&gt;"",BB340,IF(AND(AS340=1,Documents!$J$14&lt;&gt;"ON FILE"),"INVALID – GLD not on file (Documents sheet)",IF(AND(AS340=2,Documents!$O$14&lt;&gt;"ON FILE"),"INVALID – menu checklist not on file (Documents sheet)",IF(AND(AS340=3,NOT(ISNUMBER(Flights!$AX$14))),"INVALID – enter carrying flight KUL departure (Flights AX)",IF(AND(AS340=3,OR(Flights!$AZ$14&gt;Flights!$AA$14,Flights!$AX$14&lt;Flights!$AA$14-3)),"INVALID – carrying flight (Flights AX) cannot arrive before this leg's STD, or is over 3 days early",IF(AG340&gt;AsOfUTC,"INVALID – completion time is in the future",IF(AND(ISNUMBER(S340),AG340&lt;S340),IF(H340="Physical uplift","INVALID – before uplift window (cannot confirm loading)","INVALID – before valid window"),IF(AG340&gt;Flights!$AA$14,"INVALID – completed after departure (cannot establish readiness)",IF(AND(H340="Preparation",AG340&gt;IF(ISNUMBER(Flights!$BA$14),MIN(Flights!$BA$14,Flights!$AA$14),Flights!$AA$14)),"INVALID – completed after loading / departure (cannot establish readiness)",IF(AND(H340="Physical uplift",AG340&gt;Q340),"INVALID – recorded after the loading flight departed",IF(AG340&gt;Q340,"COMPLETE – LATE","COMPLETE"))))))))))))))))))))),IF(TRIM(U340)="Fail","FAIL – DISCREPANCY",IF(AND(TRIM(U340)&lt;&gt;"",TRIM(U340)&lt;&gt;"Not started",TRIM(U340)&lt;&gt;"In progress"),"INVALID – unrecognised status (use the list)",IF(AsOfUTC&gt;Q340,"OVERDUE",IF(N340="Clarification required","OPEN – CLARIFICATION","OPEN"))))))),"INVALID – error value in an input cell")</f>
        <v>OPEN</v>
      </c>
      <c r="AI340" s="61" t="n">
        <f aca="false">IF(OR(AH340="N/A – RULE",AH340="N/A – JUSTIFIED"),0,1)</f>
        <v>1</v>
      </c>
      <c r="AJ340" s="61" t="n">
        <f aca="false">IF(LEFT(AH340,8)="COMPLETE",1,0)</f>
        <v>0</v>
      </c>
      <c r="AK340" s="61" t="n">
        <f aca="false">IF(AND(AI340=1,AJ340=0,AsOfUTC&gt;Q340),1,0)</f>
        <v>0</v>
      </c>
      <c r="AL340" s="61" t="n">
        <f aca="false">IFERROR(IF(AND(AI340=1,OR(TRIM(U340)="Fail",AND(TRIM(AB340)&lt;&gt;"",TRIM(AB340)&lt;&gt;"Closed"),AND(ISNUMBER(AF340),AF340&lt;&gt;0,TRIM(U340)&lt;&gt;"Pass after CA"))),1,0),1)</f>
        <v>0</v>
      </c>
      <c r="AM340" s="61" t="n">
        <f aca="false">IF(LEFT(AH340,7)="INVALID",1,0)</f>
        <v>0</v>
      </c>
      <c r="AN340" s="61" t="n">
        <f aca="false">IF(AND(N340="Clarification required",AI340=1,AJ340=0),1,0)</f>
        <v>0</v>
      </c>
      <c r="AO340" s="61" t="str">
        <f aca="false">IF(AK340=1,SUM(AK$5:AK340),"")</f>
        <v/>
      </c>
      <c r="AP340" s="61" t="str">
        <f aca="false">IF(AL340=1,SUM(AL$5:AL340),"")</f>
        <v/>
      </c>
      <c r="AQ340" s="61" t="n">
        <v>0</v>
      </c>
      <c r="AR340" s="61" t="n">
        <v>0</v>
      </c>
      <c r="AS340" s="61" t="n">
        <v>0</v>
      </c>
      <c r="AT340" s="61" t="n">
        <v>0</v>
      </c>
      <c r="AU340" s="61" t="str">
        <f aca="false">SUBSTITUTE(SUBSTITUTE(SUBSTITUTE(SUBSTITUTE(SUBSTITUTE(SUBSTITUTE(SUBSTITUTE(SUBSTITUTE(SUBSTITUTE(SUBSTITUTE(SUBSTITUTE(SUBSTITUTE(SUBSTITUTE(LOWER(T340&amp;""),CHAR(160),"")," ",""),".",""),"-",""),"/",""),"?",""),"_",""),",",""),"[",""),"]",""),"(",""),")",""),"*","")</f>
        <v/>
      </c>
      <c r="AV340" s="61" t="str">
        <f aca="false">SUBSTITUTE(SUBSTITUTE(SUBSTITUTE(SUBSTITUTE(SUBSTITUTE(SUBSTITUTE(SUBSTITUTE(SUBSTITUTE(SUBSTITUTE(SUBSTITUTE(SUBSTITUTE(SUBSTITUTE(SUBSTITUTE(LOWER(V340&amp;""),CHAR(160),"")," ",""),".",""),"-",""),"/",""),"?",""),"_",""),",",""),"[",""),"]",""),"(",""),")",""),"*","")</f>
        <v/>
      </c>
      <c r="AW340" s="61" t="str">
        <f aca="false">SUBSTITUTE(SUBSTITUTE(SUBSTITUTE(SUBSTITUTE(SUBSTITUTE(SUBSTITUTE(SUBSTITUTE(SUBSTITUTE(SUBSTITUTE(SUBSTITUTE(SUBSTITUTE(SUBSTITUTE(SUBSTITUTE(LOWER(Z340&amp;""),CHAR(160),"")," ",""),".",""),"-",""),"/",""),"?",""),"_",""),",",""),"[",""),"]",""),"(",""),")",""),"*","")</f>
        <v/>
      </c>
      <c r="AX340" s="61" t="str">
        <f aca="false">SUBSTITUTE(SUBSTITUTE(SUBSTITUTE(SUBSTITUTE(SUBSTITUTE(SUBSTITUTE(SUBSTITUTE(SUBSTITUTE(SUBSTITUTE(SUBSTITUTE(SUBSTITUTE(SUBSTITUTE(SUBSTITUTE(LOWER(AE340&amp;""),CHAR(160),"")," ",""),".",""),"-",""),"/",""),"?",""),"_",""),",",""),"[",""),"]",""),"(",""),")",""),"*","")</f>
        <v/>
      </c>
      <c r="AY340" s="61" t="str">
        <f aca="false">SUBSTITUTE(SUBSTITUTE(SUBSTITUTE(SUBSTITUTE(SUBSTITUTE(SUBSTITUTE(SUBSTITUTE(SUBSTITUTE(SUBSTITUTE(SUBSTITUTE(SUBSTITUTE(SUBSTITUTE(SUBSTITUTE(LOWER(W340&amp;""),CHAR(160),"")," ",""),".",""),"-",""),"/",""),"?",""),"_",""),",",""),"[",""),"]",""),"(",""),")",""),"*","")</f>
        <v/>
      </c>
      <c r="AZ340" s="61" t="str">
        <f aca="false">SUBSTITUTE(SUBSTITUTE(SUBSTITUTE(SUBSTITUTE(SUBSTITUTE(SUBSTITUTE(SUBSTITUTE(SUBSTITUTE(SUBSTITUTE(SUBSTITUTE(SUBSTITUTE(SUBSTITUTE(SUBSTITUTE(LOWER(AC340&amp;""),CHAR(160),"")," ",""),".",""),"-",""),"/",""),"?",""),"_",""),",",""),"[",""),"]",""),"(",""),")",""),"*","")</f>
        <v/>
      </c>
      <c r="BA340" s="61" t="str">
        <f aca="false">SUBSTITUTE(SUBSTITUTE(SUBSTITUTE(SUBSTITUTE(SUBSTITUTE(SUBSTITUTE(SUBSTITUTE(SUBSTITUTE(SUBSTITUTE(SUBSTITUTE(SUBSTITUTE(SUBSTITUTE(SUBSTITUTE(LOWER(AA340&amp;""),CHAR(160),"")," ",""),".",""),"-",""),"/",""),"?",""),"_",""),",",""),"[",""),"]",""),"(",""),")",""),"*","")</f>
        <v/>
      </c>
      <c r="BB340" s="61" t="str">
        <f aca="false">IF(AND(TRIM(U340)="Pass",ISNUMBER(AF340)),IF(AF340&lt;&gt;0,"INVALID – qty variance: use Fail or Pass after CA",""),"")&amp;IF(AND(TRIM(U340)="Pass after CA",ISNUMBER(AF340)),IF(AF340&lt;&gt;0,"INVALID – after the corrective action the actual qty must equal expected (update Actual)",""),"")&amp;IF(AND(TRIM(U340)="Pass",TRIM(AB340)&lt;&gt;"",TRIM(AB340)&lt;&gt;"Closed"),"INVALID – corrective action not closed: use Fail, then Pass after CA","")&amp;IF(AND(TRIM(AA340)&lt;&gt;"",TRIM(AB340)=""),"INVALID – CA status missing for the recorded corrective action","")&amp;IF(AND(TRIM(U340)="Pass after CA",OR(OR(LEN(BA340)&lt;5,ISNUMBER(MATCH(BA340,L_Placeholder,0))),TRIM(AB340)&lt;&gt;"Closed")),"INVALID – corrective action not recorded/closed","")</f>
        <v/>
      </c>
    </row>
    <row r="341" customFormat="false" ht="41.25" hidden="false" customHeight="true" outlineLevel="0" collapsed="false">
      <c r="A341" s="57" t="s">
        <v>914</v>
      </c>
      <c r="B341" s="57" t="s">
        <v>248</v>
      </c>
      <c r="C341" s="57" t="str">
        <f aca="false">Flights!$F$14</f>
        <v>MH1140</v>
      </c>
      <c r="D341" s="58" t="n">
        <f aca="false">Flights!$D$14</f>
        <v>46307</v>
      </c>
      <c r="E341" s="57" t="str">
        <f aca="false">Flights!$G$14&amp;"-"&amp;Flights!$H$14</f>
        <v>KUL-PEN</v>
      </c>
      <c r="F341" s="57" t="str">
        <f aca="false">Flights!$K$14</f>
        <v>BC</v>
      </c>
      <c r="G341" s="57" t="s">
        <v>398</v>
      </c>
      <c r="H341" s="57" t="s">
        <v>356</v>
      </c>
      <c r="I341" s="57" t="s">
        <v>477</v>
      </c>
      <c r="J341" s="57" t="s">
        <v>483</v>
      </c>
      <c r="K341" s="67" t="s">
        <v>479</v>
      </c>
      <c r="L341" s="67" t="s">
        <v>915</v>
      </c>
      <c r="M341" s="67" t="s">
        <v>429</v>
      </c>
      <c r="N341" s="67" t="s">
        <v>361</v>
      </c>
      <c r="O341" s="67" t="s">
        <v>481</v>
      </c>
      <c r="P341" s="57" t="s">
        <v>184</v>
      </c>
      <c r="Q341" s="59" t="n">
        <f aca="false">ROUND((Flights!$AE$14)*1440,0)/1440</f>
        <v>46306.65625</v>
      </c>
      <c r="R341" s="59" t="n">
        <f aca="false">Q341+(IF(AND(INDEX(TZ_DSTS,MATCH(P341,TZ_STN,0))&lt;&gt;"",Q341&gt;=INDEX(TZ_DSTS,MATCH(P341,TZ_STN,0)),Q341&lt;INDEX(TZ_DSTE,MATCH(P341,TZ_STN,0))),INDEX(TZ_DST,MATCH(P341,TZ_STN,0)),INDEX(TZ_STD,MATCH(P341,TZ_STN,0))))/24</f>
        <v>46306.9895833333</v>
      </c>
      <c r="S341" s="59" t="n">
        <f aca="false">Q341-T12EarlyH/24</f>
        <v>46306.15625</v>
      </c>
      <c r="T341" s="60"/>
      <c r="U341" s="60"/>
      <c r="V341" s="60"/>
      <c r="W341" s="61"/>
      <c r="X341" s="60"/>
      <c r="Y341" s="60"/>
      <c r="Z341" s="60"/>
      <c r="AA341" s="60"/>
      <c r="AB341" s="60"/>
      <c r="AC341" s="60"/>
      <c r="AD341" s="66"/>
      <c r="AE341" s="60"/>
      <c r="AF341" s="61" t="str">
        <f aca="false">IF(AND(ISNUMBER(X341),ISNUMBER(Y341)),Y341-X341,"")</f>
        <v/>
      </c>
      <c r="AG341" s="62" t="str">
        <f aca="false">IF(ISNUMBER(AD341),AD341-(IF(AND(INDEX(TZ_DSTS,MATCH(P341,TZ_STN,0))&lt;&gt;"",(AD341-INDEX(TZ_STD,MATCH(P341,TZ_STN,0))/24)&gt;=INDEX(TZ_DSTS,MATCH(P341,TZ_STN,0)),(AD341-INDEX(TZ_STD,MATCH(P341,TZ_STN,0))/24)&lt;INDEX(TZ_DSTE,MATCH(P341,TZ_STN,0))),INDEX(TZ_DST,MATCH(P341,TZ_STN,0)),INDEX(TZ_STD,MATCH(P341,TZ_STN,0))))/24,"")</f>
        <v/>
      </c>
      <c r="AH341" s="65" t="str">
        <f aca="false">IFERROR(IF(N341="N/A – rule","N/A – RULE",IF(TRIM(U341)="N/A",IF(AT341=0,"INVALID – N/A not permitted for this check",IF(AND(TRIM(AB341)&lt;&gt;"",TRIM(AB341)&lt;&gt;"Closed"),"INVALID – corrective action still open",IF(AND(NOT(OR(LEN(AZ341)&lt;15,ISNUMBER(MATCH(AZ341,L_Placeholder,0)))),NOT(OR(LEN(AU341)&lt;2,ISNUMBER(MATCH(AU341,L_Placeholder,0)))),NOT(OR(LEN(AX341)&lt;2,ISNUMBER(MATCH(AX341,L_Placeholder,0)))),TRIM(AE341)&lt;&gt;TRIM(T341)),"N/A – JUSTIFIED","INVALID – N/A needs a real justification (15+ chars), PIC and a different verifier"))),IF(OR(TRIM(U341)="Pass",TRIM(U341)="Pass after CA"),IF(NOT(ISNUMBER(AD341)),"INVALID – completion time missing",IF(OR(LEN(AU341)&lt;2,ISNUMBER(MATCH(AU341,L_Placeholder,0))),"INVALID – PIC missing",IF(OR(LEN(AV341)&lt;2,ISNUMBER(MATCH(AV341,L_Placeholder,0))),"INVALID – result / assessment missing",IF(OR(OR(LEN(AW341)&lt;3,ISNUMBER(MATCH(AW341,L_Placeholder,0))),SUMPRODUCT(--ISNUMBER(SEARCH(L_EvidencePhrase,AW341)))&gt;0),"INVALID – evidence missing, placeholder or not yet on file",IF(OR(LEN(AX341)&lt;2,ISNUMBER(MATCH(AX341,L_Placeholder,0))),"INVALID – verifier missing",IF(AX341=AU341,"INVALID – verifier must be someone other than the PIC",IF(AND(TRIM(U341)="Pass",SUMPRODUCT(--ISNUMBER(SEARCH(L_ResultBad,AV341)))&gt;0),"INVALID – result describes a problem: use Fail, then Pass after CA",IF(AND(AQ341=1,OR(LEN(AY341)&lt;3,ISNUMBER(MATCH(AY341,L_Placeholder,0)))),"INVALID – batch ID missing or placeholder",IF(AND(AR341=1,OR(NOT(ISNUMBER(X341)),NOT(ISNUMBER(Y341)))),"INVALID – expected/actual qty missing",IF(AND(AR341=1,OR(X341&lt;=0,Y341&lt;0)),"INVALID – expected qty must be above 0 and actual not negative",IF(BB341&lt;&gt;"",BB341,IF(AND(AS341=1,Documents!$J$14&lt;&gt;"ON FILE"),"INVALID – GLD not on file (Documents sheet)",IF(AND(AS341=2,Documents!$O$14&lt;&gt;"ON FILE"),"INVALID – menu checklist not on file (Documents sheet)",IF(AND(AS341=3,NOT(ISNUMBER(Flights!$AX$14))),"INVALID – enter carrying flight KUL departure (Flights AX)",IF(AND(AS341=3,OR(Flights!$AZ$14&gt;Flights!$AA$14,Flights!$AX$14&lt;Flights!$AA$14-3)),"INVALID – carrying flight (Flights AX) cannot arrive before this leg's STD, or is over 3 days early",IF(AG341&gt;AsOfUTC,"INVALID – completion time is in the future",IF(AND(ISNUMBER(S341),AG341&lt;S341),IF(H341="Physical uplift","INVALID – before uplift window (cannot confirm loading)","INVALID – before valid window"),IF(AG341&gt;Flights!$AA$14,"INVALID – completed after departure (cannot establish readiness)",IF(AND(H341="Preparation",AG341&gt;IF(ISNUMBER(Flights!$BA$14),MIN(Flights!$BA$14,Flights!$AA$14),Flights!$AA$14)),"INVALID – completed after loading / departure (cannot establish readiness)",IF(AND(H341="Physical uplift",AG341&gt;Q341),"INVALID – recorded after the loading flight departed",IF(AG341&gt;Q341,"COMPLETE – LATE","COMPLETE"))))))))))))))))))))),IF(TRIM(U341)="Fail","FAIL – DISCREPANCY",IF(AND(TRIM(U341)&lt;&gt;"",TRIM(U341)&lt;&gt;"Not started",TRIM(U341)&lt;&gt;"In progress"),"INVALID – unrecognised status (use the list)",IF(AsOfUTC&gt;Q341,"OVERDUE",IF(N341="Clarification required","OPEN – CLARIFICATION","OPEN"))))))),"INVALID – error value in an input cell")</f>
        <v>OPEN</v>
      </c>
      <c r="AI341" s="61" t="n">
        <f aca="false">IF(OR(AH341="N/A – RULE",AH341="N/A – JUSTIFIED"),0,1)</f>
        <v>1</v>
      </c>
      <c r="AJ341" s="61" t="n">
        <f aca="false">IF(LEFT(AH341,8)="COMPLETE",1,0)</f>
        <v>0</v>
      </c>
      <c r="AK341" s="61" t="n">
        <f aca="false">IF(AND(AI341=1,AJ341=0,AsOfUTC&gt;Q341),1,0)</f>
        <v>0</v>
      </c>
      <c r="AL341" s="61" t="n">
        <f aca="false">IFERROR(IF(AND(AI341=1,OR(TRIM(U341)="Fail",AND(TRIM(AB341)&lt;&gt;"",TRIM(AB341)&lt;&gt;"Closed"),AND(ISNUMBER(AF341),AF341&lt;&gt;0,TRIM(U341)&lt;&gt;"Pass after CA"))),1,0),1)</f>
        <v>0</v>
      </c>
      <c r="AM341" s="61" t="n">
        <f aca="false">IF(LEFT(AH341,7)="INVALID",1,0)</f>
        <v>0</v>
      </c>
      <c r="AN341" s="61" t="n">
        <f aca="false">IF(AND(N341="Clarification required",AI341=1,AJ341=0),1,0)</f>
        <v>0</v>
      </c>
      <c r="AO341" s="61" t="str">
        <f aca="false">IF(AK341=1,SUM(AK$5:AK341),"")</f>
        <v/>
      </c>
      <c r="AP341" s="61" t="str">
        <f aca="false">IF(AL341=1,SUM(AL$5:AL341),"")</f>
        <v/>
      </c>
      <c r="AQ341" s="61" t="n">
        <v>0</v>
      </c>
      <c r="AR341" s="61" t="n">
        <v>0</v>
      </c>
      <c r="AS341" s="61" t="n">
        <v>0</v>
      </c>
      <c r="AT341" s="61" t="n">
        <v>0</v>
      </c>
      <c r="AU341" s="61" t="str">
        <f aca="false">SUBSTITUTE(SUBSTITUTE(SUBSTITUTE(SUBSTITUTE(SUBSTITUTE(SUBSTITUTE(SUBSTITUTE(SUBSTITUTE(SUBSTITUTE(SUBSTITUTE(SUBSTITUTE(SUBSTITUTE(SUBSTITUTE(LOWER(T341&amp;""),CHAR(160),"")," ",""),".",""),"-",""),"/",""),"?",""),"_",""),",",""),"[",""),"]",""),"(",""),")",""),"*","")</f>
        <v/>
      </c>
      <c r="AV341" s="61" t="str">
        <f aca="false">SUBSTITUTE(SUBSTITUTE(SUBSTITUTE(SUBSTITUTE(SUBSTITUTE(SUBSTITUTE(SUBSTITUTE(SUBSTITUTE(SUBSTITUTE(SUBSTITUTE(SUBSTITUTE(SUBSTITUTE(SUBSTITUTE(LOWER(V341&amp;""),CHAR(160),"")," ",""),".",""),"-",""),"/",""),"?",""),"_",""),",",""),"[",""),"]",""),"(",""),")",""),"*","")</f>
        <v/>
      </c>
      <c r="AW341" s="61" t="str">
        <f aca="false">SUBSTITUTE(SUBSTITUTE(SUBSTITUTE(SUBSTITUTE(SUBSTITUTE(SUBSTITUTE(SUBSTITUTE(SUBSTITUTE(SUBSTITUTE(SUBSTITUTE(SUBSTITUTE(SUBSTITUTE(SUBSTITUTE(LOWER(Z341&amp;""),CHAR(160),"")," ",""),".",""),"-",""),"/",""),"?",""),"_",""),",",""),"[",""),"]",""),"(",""),")",""),"*","")</f>
        <v/>
      </c>
      <c r="AX341" s="61" t="str">
        <f aca="false">SUBSTITUTE(SUBSTITUTE(SUBSTITUTE(SUBSTITUTE(SUBSTITUTE(SUBSTITUTE(SUBSTITUTE(SUBSTITUTE(SUBSTITUTE(SUBSTITUTE(SUBSTITUTE(SUBSTITUTE(SUBSTITUTE(LOWER(AE341&amp;""),CHAR(160),"")," ",""),".",""),"-",""),"/",""),"?",""),"_",""),",",""),"[",""),"]",""),"(",""),")",""),"*","")</f>
        <v/>
      </c>
      <c r="AY341" s="61" t="str">
        <f aca="false">SUBSTITUTE(SUBSTITUTE(SUBSTITUTE(SUBSTITUTE(SUBSTITUTE(SUBSTITUTE(SUBSTITUTE(SUBSTITUTE(SUBSTITUTE(SUBSTITUTE(SUBSTITUTE(SUBSTITUTE(SUBSTITUTE(LOWER(W341&amp;""),CHAR(160),"")," ",""),".",""),"-",""),"/",""),"?",""),"_",""),",",""),"[",""),"]",""),"(",""),")",""),"*","")</f>
        <v/>
      </c>
      <c r="AZ341" s="61" t="str">
        <f aca="false">SUBSTITUTE(SUBSTITUTE(SUBSTITUTE(SUBSTITUTE(SUBSTITUTE(SUBSTITUTE(SUBSTITUTE(SUBSTITUTE(SUBSTITUTE(SUBSTITUTE(SUBSTITUTE(SUBSTITUTE(SUBSTITUTE(LOWER(AC341&amp;""),CHAR(160),"")," ",""),".",""),"-",""),"/",""),"?",""),"_",""),",",""),"[",""),"]",""),"(",""),")",""),"*","")</f>
        <v/>
      </c>
      <c r="BA341" s="61" t="str">
        <f aca="false">SUBSTITUTE(SUBSTITUTE(SUBSTITUTE(SUBSTITUTE(SUBSTITUTE(SUBSTITUTE(SUBSTITUTE(SUBSTITUTE(SUBSTITUTE(SUBSTITUTE(SUBSTITUTE(SUBSTITUTE(SUBSTITUTE(LOWER(AA341&amp;""),CHAR(160),"")," ",""),".",""),"-",""),"/",""),"?",""),"_",""),",",""),"[",""),"]",""),"(",""),")",""),"*","")</f>
        <v/>
      </c>
      <c r="BB341" s="61" t="str">
        <f aca="false">IF(AND(TRIM(U341)="Pass",ISNUMBER(AF341)),IF(AF341&lt;&gt;0,"INVALID – qty variance: use Fail or Pass after CA",""),"")&amp;IF(AND(TRIM(U341)="Pass after CA",ISNUMBER(AF341)),IF(AF341&lt;&gt;0,"INVALID – after the corrective action the actual qty must equal expected (update Actual)",""),"")&amp;IF(AND(TRIM(U341)="Pass",TRIM(AB341)&lt;&gt;"",TRIM(AB341)&lt;&gt;"Closed"),"INVALID – corrective action not closed: use Fail, then Pass after CA","")&amp;IF(AND(TRIM(AA341)&lt;&gt;"",TRIM(AB341)=""),"INVALID – CA status missing for the recorded corrective action","")&amp;IF(AND(TRIM(U341)="Pass after CA",OR(OR(LEN(BA341)&lt;5,ISNUMBER(MATCH(BA341,L_Placeholder,0))),TRIM(AB341)&lt;&gt;"Closed")),"INVALID – corrective action not recorded/closed","")</f>
        <v/>
      </c>
    </row>
    <row r="342" customFormat="false" ht="41.25" hidden="false" customHeight="true" outlineLevel="0" collapsed="false">
      <c r="A342" s="57" t="s">
        <v>916</v>
      </c>
      <c r="B342" s="57" t="s">
        <v>248</v>
      </c>
      <c r="C342" s="57" t="str">
        <f aca="false">Flights!$F$14</f>
        <v>MH1140</v>
      </c>
      <c r="D342" s="58" t="n">
        <f aca="false">Flights!$D$14</f>
        <v>46307</v>
      </c>
      <c r="E342" s="57" t="str">
        <f aca="false">Flights!$G$14&amp;"-"&amp;Flights!$H$14</f>
        <v>KUL-PEN</v>
      </c>
      <c r="F342" s="57" t="str">
        <f aca="false">Flights!$K$14</f>
        <v>BC</v>
      </c>
      <c r="G342" s="57" t="s">
        <v>398</v>
      </c>
      <c r="H342" s="57" t="s">
        <v>356</v>
      </c>
      <c r="I342" s="57" t="s">
        <v>477</v>
      </c>
      <c r="J342" s="57" t="s">
        <v>486</v>
      </c>
      <c r="K342" s="67" t="s">
        <v>479</v>
      </c>
      <c r="L342" s="67" t="s">
        <v>917</v>
      </c>
      <c r="M342" s="67" t="s">
        <v>429</v>
      </c>
      <c r="N342" s="67" t="s">
        <v>361</v>
      </c>
      <c r="O342" s="67" t="s">
        <v>481</v>
      </c>
      <c r="P342" s="57" t="s">
        <v>184</v>
      </c>
      <c r="Q342" s="59" t="n">
        <f aca="false">ROUND((Flights!$AE$14)*1440,0)/1440</f>
        <v>46306.65625</v>
      </c>
      <c r="R342" s="59" t="n">
        <f aca="false">Q342+(IF(AND(INDEX(TZ_DSTS,MATCH(P342,TZ_STN,0))&lt;&gt;"",Q342&gt;=INDEX(TZ_DSTS,MATCH(P342,TZ_STN,0)),Q342&lt;INDEX(TZ_DSTE,MATCH(P342,TZ_STN,0))),INDEX(TZ_DST,MATCH(P342,TZ_STN,0)),INDEX(TZ_STD,MATCH(P342,TZ_STN,0))))/24</f>
        <v>46306.9895833333</v>
      </c>
      <c r="S342" s="59" t="n">
        <f aca="false">Q342-T12EarlyH/24</f>
        <v>46306.15625</v>
      </c>
      <c r="T342" s="60"/>
      <c r="U342" s="60"/>
      <c r="V342" s="60"/>
      <c r="W342" s="61"/>
      <c r="X342" s="60"/>
      <c r="Y342" s="60"/>
      <c r="Z342" s="60"/>
      <c r="AA342" s="60"/>
      <c r="AB342" s="60"/>
      <c r="AC342" s="60"/>
      <c r="AD342" s="66"/>
      <c r="AE342" s="60"/>
      <c r="AF342" s="61" t="str">
        <f aca="false">IF(AND(ISNUMBER(X342),ISNUMBER(Y342)),Y342-X342,"")</f>
        <v/>
      </c>
      <c r="AG342" s="62" t="str">
        <f aca="false">IF(ISNUMBER(AD342),AD342-(IF(AND(INDEX(TZ_DSTS,MATCH(P342,TZ_STN,0))&lt;&gt;"",(AD342-INDEX(TZ_STD,MATCH(P342,TZ_STN,0))/24)&gt;=INDEX(TZ_DSTS,MATCH(P342,TZ_STN,0)),(AD342-INDEX(TZ_STD,MATCH(P342,TZ_STN,0))/24)&lt;INDEX(TZ_DSTE,MATCH(P342,TZ_STN,0))),INDEX(TZ_DST,MATCH(P342,TZ_STN,0)),INDEX(TZ_STD,MATCH(P342,TZ_STN,0))))/24,"")</f>
        <v/>
      </c>
      <c r="AH342" s="65" t="str">
        <f aca="false">IFERROR(IF(N342="N/A – rule","N/A – RULE",IF(TRIM(U342)="N/A",IF(AT342=0,"INVALID – N/A not permitted for this check",IF(AND(TRIM(AB342)&lt;&gt;"",TRIM(AB342)&lt;&gt;"Closed"),"INVALID – corrective action still open",IF(AND(NOT(OR(LEN(AZ342)&lt;15,ISNUMBER(MATCH(AZ342,L_Placeholder,0)))),NOT(OR(LEN(AU342)&lt;2,ISNUMBER(MATCH(AU342,L_Placeholder,0)))),NOT(OR(LEN(AX342)&lt;2,ISNUMBER(MATCH(AX342,L_Placeholder,0)))),TRIM(AE342)&lt;&gt;TRIM(T342)),"N/A – JUSTIFIED","INVALID – N/A needs a real justification (15+ chars), PIC and a different verifier"))),IF(OR(TRIM(U342)="Pass",TRIM(U342)="Pass after CA"),IF(NOT(ISNUMBER(AD342)),"INVALID – completion time missing",IF(OR(LEN(AU342)&lt;2,ISNUMBER(MATCH(AU342,L_Placeholder,0))),"INVALID – PIC missing",IF(OR(LEN(AV342)&lt;2,ISNUMBER(MATCH(AV342,L_Placeholder,0))),"INVALID – result / assessment missing",IF(OR(OR(LEN(AW342)&lt;3,ISNUMBER(MATCH(AW342,L_Placeholder,0))),SUMPRODUCT(--ISNUMBER(SEARCH(L_EvidencePhrase,AW342)))&gt;0),"INVALID – evidence missing, placeholder or not yet on file",IF(OR(LEN(AX342)&lt;2,ISNUMBER(MATCH(AX342,L_Placeholder,0))),"INVALID – verifier missing",IF(AX342=AU342,"INVALID – verifier must be someone other than the PIC",IF(AND(TRIM(U342)="Pass",SUMPRODUCT(--ISNUMBER(SEARCH(L_ResultBad,AV342)))&gt;0),"INVALID – result describes a problem: use Fail, then Pass after CA",IF(AND(AQ342=1,OR(LEN(AY342)&lt;3,ISNUMBER(MATCH(AY342,L_Placeholder,0)))),"INVALID – batch ID missing or placeholder",IF(AND(AR342=1,OR(NOT(ISNUMBER(X342)),NOT(ISNUMBER(Y342)))),"INVALID – expected/actual qty missing",IF(AND(AR342=1,OR(X342&lt;=0,Y342&lt;0)),"INVALID – expected qty must be above 0 and actual not negative",IF(BB342&lt;&gt;"",BB342,IF(AND(AS342=1,Documents!$J$14&lt;&gt;"ON FILE"),"INVALID – GLD not on file (Documents sheet)",IF(AND(AS342=2,Documents!$O$14&lt;&gt;"ON FILE"),"INVALID – menu checklist not on file (Documents sheet)",IF(AND(AS342=3,NOT(ISNUMBER(Flights!$AX$14))),"INVALID – enter carrying flight KUL departure (Flights AX)",IF(AND(AS342=3,OR(Flights!$AZ$14&gt;Flights!$AA$14,Flights!$AX$14&lt;Flights!$AA$14-3)),"INVALID – carrying flight (Flights AX) cannot arrive before this leg's STD, or is over 3 days early",IF(AG342&gt;AsOfUTC,"INVALID – completion time is in the future",IF(AND(ISNUMBER(S342),AG342&lt;S342),IF(H342="Physical uplift","INVALID – before uplift window (cannot confirm loading)","INVALID – before valid window"),IF(AG342&gt;Flights!$AA$14,"INVALID – completed after departure (cannot establish readiness)",IF(AND(H342="Preparation",AG342&gt;IF(ISNUMBER(Flights!$BA$14),MIN(Flights!$BA$14,Flights!$AA$14),Flights!$AA$14)),"INVALID – completed after loading / departure (cannot establish readiness)",IF(AND(H342="Physical uplift",AG342&gt;Q342),"INVALID – recorded after the loading flight departed",IF(AG342&gt;Q342,"COMPLETE – LATE","COMPLETE"))))))))))))))))))))),IF(TRIM(U342)="Fail","FAIL – DISCREPANCY",IF(AND(TRIM(U342)&lt;&gt;"",TRIM(U342)&lt;&gt;"Not started",TRIM(U342)&lt;&gt;"In progress"),"INVALID – unrecognised status (use the list)",IF(AsOfUTC&gt;Q342,"OVERDUE",IF(N342="Clarification required","OPEN – CLARIFICATION","OPEN"))))))),"INVALID – error value in an input cell")</f>
        <v>OPEN</v>
      </c>
      <c r="AI342" s="61" t="n">
        <f aca="false">IF(OR(AH342="N/A – RULE",AH342="N/A – JUSTIFIED"),0,1)</f>
        <v>1</v>
      </c>
      <c r="AJ342" s="61" t="n">
        <f aca="false">IF(LEFT(AH342,8)="COMPLETE",1,0)</f>
        <v>0</v>
      </c>
      <c r="AK342" s="61" t="n">
        <f aca="false">IF(AND(AI342=1,AJ342=0,AsOfUTC&gt;Q342),1,0)</f>
        <v>0</v>
      </c>
      <c r="AL342" s="61" t="n">
        <f aca="false">IFERROR(IF(AND(AI342=1,OR(TRIM(U342)="Fail",AND(TRIM(AB342)&lt;&gt;"",TRIM(AB342)&lt;&gt;"Closed"),AND(ISNUMBER(AF342),AF342&lt;&gt;0,TRIM(U342)&lt;&gt;"Pass after CA"))),1,0),1)</f>
        <v>0</v>
      </c>
      <c r="AM342" s="61" t="n">
        <f aca="false">IF(LEFT(AH342,7)="INVALID",1,0)</f>
        <v>0</v>
      </c>
      <c r="AN342" s="61" t="n">
        <f aca="false">IF(AND(N342="Clarification required",AI342=1,AJ342=0),1,0)</f>
        <v>0</v>
      </c>
      <c r="AO342" s="61" t="str">
        <f aca="false">IF(AK342=1,SUM(AK$5:AK342),"")</f>
        <v/>
      </c>
      <c r="AP342" s="61" t="str">
        <f aca="false">IF(AL342=1,SUM(AL$5:AL342),"")</f>
        <v/>
      </c>
      <c r="AQ342" s="61" t="n">
        <v>0</v>
      </c>
      <c r="AR342" s="61" t="n">
        <v>0</v>
      </c>
      <c r="AS342" s="61" t="n">
        <v>0</v>
      </c>
      <c r="AT342" s="61" t="n">
        <v>0</v>
      </c>
      <c r="AU342" s="61" t="str">
        <f aca="false">SUBSTITUTE(SUBSTITUTE(SUBSTITUTE(SUBSTITUTE(SUBSTITUTE(SUBSTITUTE(SUBSTITUTE(SUBSTITUTE(SUBSTITUTE(SUBSTITUTE(SUBSTITUTE(SUBSTITUTE(SUBSTITUTE(LOWER(T342&amp;""),CHAR(160),"")," ",""),".",""),"-",""),"/",""),"?",""),"_",""),",",""),"[",""),"]",""),"(",""),")",""),"*","")</f>
        <v/>
      </c>
      <c r="AV342" s="61" t="str">
        <f aca="false">SUBSTITUTE(SUBSTITUTE(SUBSTITUTE(SUBSTITUTE(SUBSTITUTE(SUBSTITUTE(SUBSTITUTE(SUBSTITUTE(SUBSTITUTE(SUBSTITUTE(SUBSTITUTE(SUBSTITUTE(SUBSTITUTE(LOWER(V342&amp;""),CHAR(160),"")," ",""),".",""),"-",""),"/",""),"?",""),"_",""),",",""),"[",""),"]",""),"(",""),")",""),"*","")</f>
        <v/>
      </c>
      <c r="AW342" s="61" t="str">
        <f aca="false">SUBSTITUTE(SUBSTITUTE(SUBSTITUTE(SUBSTITUTE(SUBSTITUTE(SUBSTITUTE(SUBSTITUTE(SUBSTITUTE(SUBSTITUTE(SUBSTITUTE(SUBSTITUTE(SUBSTITUTE(SUBSTITUTE(LOWER(Z342&amp;""),CHAR(160),"")," ",""),".",""),"-",""),"/",""),"?",""),"_",""),",",""),"[",""),"]",""),"(",""),")",""),"*","")</f>
        <v/>
      </c>
      <c r="AX342" s="61" t="str">
        <f aca="false">SUBSTITUTE(SUBSTITUTE(SUBSTITUTE(SUBSTITUTE(SUBSTITUTE(SUBSTITUTE(SUBSTITUTE(SUBSTITUTE(SUBSTITUTE(SUBSTITUTE(SUBSTITUTE(SUBSTITUTE(SUBSTITUTE(LOWER(AE342&amp;""),CHAR(160),"")," ",""),".",""),"-",""),"/",""),"?",""),"_",""),",",""),"[",""),"]",""),"(",""),")",""),"*","")</f>
        <v/>
      </c>
      <c r="AY342" s="61" t="str">
        <f aca="false">SUBSTITUTE(SUBSTITUTE(SUBSTITUTE(SUBSTITUTE(SUBSTITUTE(SUBSTITUTE(SUBSTITUTE(SUBSTITUTE(SUBSTITUTE(SUBSTITUTE(SUBSTITUTE(SUBSTITUTE(SUBSTITUTE(LOWER(W342&amp;""),CHAR(160),"")," ",""),".",""),"-",""),"/",""),"?",""),"_",""),",",""),"[",""),"]",""),"(",""),")",""),"*","")</f>
        <v/>
      </c>
      <c r="AZ342" s="61" t="str">
        <f aca="false">SUBSTITUTE(SUBSTITUTE(SUBSTITUTE(SUBSTITUTE(SUBSTITUTE(SUBSTITUTE(SUBSTITUTE(SUBSTITUTE(SUBSTITUTE(SUBSTITUTE(SUBSTITUTE(SUBSTITUTE(SUBSTITUTE(LOWER(AC342&amp;""),CHAR(160),"")," ",""),".",""),"-",""),"/",""),"?",""),"_",""),",",""),"[",""),"]",""),"(",""),")",""),"*","")</f>
        <v/>
      </c>
      <c r="BA342" s="61" t="str">
        <f aca="false">SUBSTITUTE(SUBSTITUTE(SUBSTITUTE(SUBSTITUTE(SUBSTITUTE(SUBSTITUTE(SUBSTITUTE(SUBSTITUTE(SUBSTITUTE(SUBSTITUTE(SUBSTITUTE(SUBSTITUTE(SUBSTITUTE(LOWER(AA342&amp;""),CHAR(160),"")," ",""),".",""),"-",""),"/",""),"?",""),"_",""),",",""),"[",""),"]",""),"(",""),")",""),"*","")</f>
        <v/>
      </c>
      <c r="BB342" s="61" t="str">
        <f aca="false">IF(AND(TRIM(U342)="Pass",ISNUMBER(AF342)),IF(AF342&lt;&gt;0,"INVALID – qty variance: use Fail or Pass after CA",""),"")&amp;IF(AND(TRIM(U342)="Pass after CA",ISNUMBER(AF342)),IF(AF342&lt;&gt;0,"INVALID – after the corrective action the actual qty must equal expected (update Actual)",""),"")&amp;IF(AND(TRIM(U342)="Pass",TRIM(AB342)&lt;&gt;"",TRIM(AB342)&lt;&gt;"Closed"),"INVALID – corrective action not closed: use Fail, then Pass after CA","")&amp;IF(AND(TRIM(AA342)&lt;&gt;"",TRIM(AB342)=""),"INVALID – CA status missing for the recorded corrective action","")&amp;IF(AND(TRIM(U342)="Pass after CA",OR(OR(LEN(BA342)&lt;5,ISNUMBER(MATCH(BA342,L_Placeholder,0))),TRIM(AB342)&lt;&gt;"Closed")),"INVALID – corrective action not recorded/closed","")</f>
        <v/>
      </c>
    </row>
    <row r="343" customFormat="false" ht="54" hidden="false" customHeight="true" outlineLevel="0" collapsed="false">
      <c r="A343" s="57" t="s">
        <v>918</v>
      </c>
      <c r="B343" s="57" t="s">
        <v>248</v>
      </c>
      <c r="C343" s="57" t="str">
        <f aca="false">Flights!$F$14</f>
        <v>MH1140</v>
      </c>
      <c r="D343" s="58" t="n">
        <f aca="false">Flights!$D$14</f>
        <v>46307</v>
      </c>
      <c r="E343" s="57" t="str">
        <f aca="false">Flights!$G$14&amp;"-"&amp;Flights!$H$14</f>
        <v>KUL-PEN</v>
      </c>
      <c r="F343" s="57" t="str">
        <f aca="false">Flights!$K$14</f>
        <v>BC</v>
      </c>
      <c r="G343" s="57" t="s">
        <v>398</v>
      </c>
      <c r="H343" s="57" t="s">
        <v>356</v>
      </c>
      <c r="I343" s="57" t="s">
        <v>477</v>
      </c>
      <c r="J343" s="57" t="s">
        <v>496</v>
      </c>
      <c r="K343" s="67" t="s">
        <v>497</v>
      </c>
      <c r="L343" s="67" t="s">
        <v>919</v>
      </c>
      <c r="M343" s="67" t="s">
        <v>429</v>
      </c>
      <c r="N343" s="67" t="s">
        <v>361</v>
      </c>
      <c r="O343" s="67" t="s">
        <v>499</v>
      </c>
      <c r="P343" s="57" t="s">
        <v>184</v>
      </c>
      <c r="Q343" s="59" t="n">
        <f aca="false">ROUND((Flights!$AE$14)*1440,0)/1440</f>
        <v>46306.65625</v>
      </c>
      <c r="R343" s="59" t="n">
        <f aca="false">Q343+(IF(AND(INDEX(TZ_DSTS,MATCH(P343,TZ_STN,0))&lt;&gt;"",Q343&gt;=INDEX(TZ_DSTS,MATCH(P343,TZ_STN,0)),Q343&lt;INDEX(TZ_DSTE,MATCH(P343,TZ_STN,0))),INDEX(TZ_DST,MATCH(P343,TZ_STN,0)),INDEX(TZ_STD,MATCH(P343,TZ_STN,0))))/24</f>
        <v>46306.9895833333</v>
      </c>
      <c r="S343" s="59" t="n">
        <f aca="false">Q343-T12EarlyH/24</f>
        <v>46306.15625</v>
      </c>
      <c r="T343" s="60"/>
      <c r="U343" s="60"/>
      <c r="V343" s="60"/>
      <c r="W343" s="61"/>
      <c r="X343" s="60"/>
      <c r="Y343" s="60"/>
      <c r="Z343" s="60"/>
      <c r="AA343" s="60"/>
      <c r="AB343" s="60"/>
      <c r="AC343" s="60"/>
      <c r="AD343" s="66"/>
      <c r="AE343" s="60"/>
      <c r="AF343" s="61" t="str">
        <f aca="false">IF(AND(ISNUMBER(X343),ISNUMBER(Y343)),Y343-X343,"")</f>
        <v/>
      </c>
      <c r="AG343" s="62" t="str">
        <f aca="false">IF(ISNUMBER(AD343),AD343-(IF(AND(INDEX(TZ_DSTS,MATCH(P343,TZ_STN,0))&lt;&gt;"",(AD343-INDEX(TZ_STD,MATCH(P343,TZ_STN,0))/24)&gt;=INDEX(TZ_DSTS,MATCH(P343,TZ_STN,0)),(AD343-INDEX(TZ_STD,MATCH(P343,TZ_STN,0))/24)&lt;INDEX(TZ_DSTE,MATCH(P343,TZ_STN,0))),INDEX(TZ_DST,MATCH(P343,TZ_STN,0)),INDEX(TZ_STD,MATCH(P343,TZ_STN,0))))/24,"")</f>
        <v/>
      </c>
      <c r="AH343" s="65" t="str">
        <f aca="false">IFERROR(IF(N343="N/A – rule","N/A – RULE",IF(TRIM(U343)="N/A",IF(AT343=0,"INVALID – N/A not permitted for this check",IF(AND(TRIM(AB343)&lt;&gt;"",TRIM(AB343)&lt;&gt;"Closed"),"INVALID – corrective action still open",IF(AND(NOT(OR(LEN(AZ343)&lt;15,ISNUMBER(MATCH(AZ343,L_Placeholder,0)))),NOT(OR(LEN(AU343)&lt;2,ISNUMBER(MATCH(AU343,L_Placeholder,0)))),NOT(OR(LEN(AX343)&lt;2,ISNUMBER(MATCH(AX343,L_Placeholder,0)))),TRIM(AE343)&lt;&gt;TRIM(T343)),"N/A – JUSTIFIED","INVALID – N/A needs a real justification (15+ chars), PIC and a different verifier"))),IF(OR(TRIM(U343)="Pass",TRIM(U343)="Pass after CA"),IF(NOT(ISNUMBER(AD343)),"INVALID – completion time missing",IF(OR(LEN(AU343)&lt;2,ISNUMBER(MATCH(AU343,L_Placeholder,0))),"INVALID – PIC missing",IF(OR(LEN(AV343)&lt;2,ISNUMBER(MATCH(AV343,L_Placeholder,0))),"INVALID – result / assessment missing",IF(OR(OR(LEN(AW343)&lt;3,ISNUMBER(MATCH(AW343,L_Placeholder,0))),SUMPRODUCT(--ISNUMBER(SEARCH(L_EvidencePhrase,AW343)))&gt;0),"INVALID – evidence missing, placeholder or not yet on file",IF(OR(LEN(AX343)&lt;2,ISNUMBER(MATCH(AX343,L_Placeholder,0))),"INVALID – verifier missing",IF(AX343=AU343,"INVALID – verifier must be someone other than the PIC",IF(AND(TRIM(U343)="Pass",SUMPRODUCT(--ISNUMBER(SEARCH(L_ResultBad,AV343)))&gt;0),"INVALID – result describes a problem: use Fail, then Pass after CA",IF(AND(AQ343=1,OR(LEN(AY343)&lt;3,ISNUMBER(MATCH(AY343,L_Placeholder,0)))),"INVALID – batch ID missing or placeholder",IF(AND(AR343=1,OR(NOT(ISNUMBER(X343)),NOT(ISNUMBER(Y343)))),"INVALID – expected/actual qty missing",IF(AND(AR343=1,OR(X343&lt;=0,Y343&lt;0)),"INVALID – expected qty must be above 0 and actual not negative",IF(BB343&lt;&gt;"",BB343,IF(AND(AS343=1,Documents!$J$14&lt;&gt;"ON FILE"),"INVALID – GLD not on file (Documents sheet)",IF(AND(AS343=2,Documents!$O$14&lt;&gt;"ON FILE"),"INVALID – menu checklist not on file (Documents sheet)",IF(AND(AS343=3,NOT(ISNUMBER(Flights!$AX$14))),"INVALID – enter carrying flight KUL departure (Flights AX)",IF(AND(AS343=3,OR(Flights!$AZ$14&gt;Flights!$AA$14,Flights!$AX$14&lt;Flights!$AA$14-3)),"INVALID – carrying flight (Flights AX) cannot arrive before this leg's STD, or is over 3 days early",IF(AG343&gt;AsOfUTC,"INVALID – completion time is in the future",IF(AND(ISNUMBER(S343),AG343&lt;S343),IF(H343="Physical uplift","INVALID – before uplift window (cannot confirm loading)","INVALID – before valid window"),IF(AG343&gt;Flights!$AA$14,"INVALID – completed after departure (cannot establish readiness)",IF(AND(H343="Preparation",AG343&gt;IF(ISNUMBER(Flights!$BA$14),MIN(Flights!$BA$14,Flights!$AA$14),Flights!$AA$14)),"INVALID – completed after loading / departure (cannot establish readiness)",IF(AND(H343="Physical uplift",AG343&gt;Q343),"INVALID – recorded after the loading flight departed",IF(AG343&gt;Q343,"COMPLETE – LATE","COMPLETE"))))))))))))))))))))),IF(TRIM(U343)="Fail","FAIL – DISCREPANCY",IF(AND(TRIM(U343)&lt;&gt;"",TRIM(U343)&lt;&gt;"Not started",TRIM(U343)&lt;&gt;"In progress"),"INVALID – unrecognised status (use the list)",IF(AsOfUTC&gt;Q343,"OVERDUE",IF(N343="Clarification required","OPEN – CLARIFICATION","OPEN"))))))),"INVALID – error value in an input cell")</f>
        <v>OPEN</v>
      </c>
      <c r="AI343" s="61" t="n">
        <f aca="false">IF(OR(AH343="N/A – RULE",AH343="N/A – JUSTIFIED"),0,1)</f>
        <v>1</v>
      </c>
      <c r="AJ343" s="61" t="n">
        <f aca="false">IF(LEFT(AH343,8)="COMPLETE",1,0)</f>
        <v>0</v>
      </c>
      <c r="AK343" s="61" t="n">
        <f aca="false">IF(AND(AI343=1,AJ343=0,AsOfUTC&gt;Q343),1,0)</f>
        <v>0</v>
      </c>
      <c r="AL343" s="61" t="n">
        <f aca="false">IFERROR(IF(AND(AI343=1,OR(TRIM(U343)="Fail",AND(TRIM(AB343)&lt;&gt;"",TRIM(AB343)&lt;&gt;"Closed"),AND(ISNUMBER(AF343),AF343&lt;&gt;0,TRIM(U343)&lt;&gt;"Pass after CA"))),1,0),1)</f>
        <v>0</v>
      </c>
      <c r="AM343" s="61" t="n">
        <f aca="false">IF(LEFT(AH343,7)="INVALID",1,0)</f>
        <v>0</v>
      </c>
      <c r="AN343" s="61" t="n">
        <f aca="false">IF(AND(N343="Clarification required",AI343=1,AJ343=0),1,0)</f>
        <v>0</v>
      </c>
      <c r="AO343" s="61" t="str">
        <f aca="false">IF(AK343=1,SUM(AK$5:AK343),"")</f>
        <v/>
      </c>
      <c r="AP343" s="61" t="str">
        <f aca="false">IF(AL343=1,SUM(AL$5:AL343),"")</f>
        <v/>
      </c>
      <c r="AQ343" s="61" t="n">
        <v>0</v>
      </c>
      <c r="AR343" s="61" t="n">
        <v>0</v>
      </c>
      <c r="AS343" s="61" t="n">
        <v>0</v>
      </c>
      <c r="AT343" s="61" t="n">
        <v>0</v>
      </c>
      <c r="AU343" s="61" t="str">
        <f aca="false">SUBSTITUTE(SUBSTITUTE(SUBSTITUTE(SUBSTITUTE(SUBSTITUTE(SUBSTITUTE(SUBSTITUTE(SUBSTITUTE(SUBSTITUTE(SUBSTITUTE(SUBSTITUTE(SUBSTITUTE(SUBSTITUTE(LOWER(T343&amp;""),CHAR(160),"")," ",""),".",""),"-",""),"/",""),"?",""),"_",""),",",""),"[",""),"]",""),"(",""),")",""),"*","")</f>
        <v/>
      </c>
      <c r="AV343" s="61" t="str">
        <f aca="false">SUBSTITUTE(SUBSTITUTE(SUBSTITUTE(SUBSTITUTE(SUBSTITUTE(SUBSTITUTE(SUBSTITUTE(SUBSTITUTE(SUBSTITUTE(SUBSTITUTE(SUBSTITUTE(SUBSTITUTE(SUBSTITUTE(LOWER(V343&amp;""),CHAR(160),"")," ",""),".",""),"-",""),"/",""),"?",""),"_",""),",",""),"[",""),"]",""),"(",""),")",""),"*","")</f>
        <v/>
      </c>
      <c r="AW343" s="61" t="str">
        <f aca="false">SUBSTITUTE(SUBSTITUTE(SUBSTITUTE(SUBSTITUTE(SUBSTITUTE(SUBSTITUTE(SUBSTITUTE(SUBSTITUTE(SUBSTITUTE(SUBSTITUTE(SUBSTITUTE(SUBSTITUTE(SUBSTITUTE(LOWER(Z343&amp;""),CHAR(160),"")," ",""),".",""),"-",""),"/",""),"?",""),"_",""),",",""),"[",""),"]",""),"(",""),")",""),"*","")</f>
        <v/>
      </c>
      <c r="AX343" s="61" t="str">
        <f aca="false">SUBSTITUTE(SUBSTITUTE(SUBSTITUTE(SUBSTITUTE(SUBSTITUTE(SUBSTITUTE(SUBSTITUTE(SUBSTITUTE(SUBSTITUTE(SUBSTITUTE(SUBSTITUTE(SUBSTITUTE(SUBSTITUTE(LOWER(AE343&amp;""),CHAR(160),"")," ",""),".",""),"-",""),"/",""),"?",""),"_",""),",",""),"[",""),"]",""),"(",""),")",""),"*","")</f>
        <v/>
      </c>
      <c r="AY343" s="61" t="str">
        <f aca="false">SUBSTITUTE(SUBSTITUTE(SUBSTITUTE(SUBSTITUTE(SUBSTITUTE(SUBSTITUTE(SUBSTITUTE(SUBSTITUTE(SUBSTITUTE(SUBSTITUTE(SUBSTITUTE(SUBSTITUTE(SUBSTITUTE(LOWER(W343&amp;""),CHAR(160),"")," ",""),".",""),"-",""),"/",""),"?",""),"_",""),",",""),"[",""),"]",""),"(",""),")",""),"*","")</f>
        <v/>
      </c>
      <c r="AZ343" s="61" t="str">
        <f aca="false">SUBSTITUTE(SUBSTITUTE(SUBSTITUTE(SUBSTITUTE(SUBSTITUTE(SUBSTITUTE(SUBSTITUTE(SUBSTITUTE(SUBSTITUTE(SUBSTITUTE(SUBSTITUTE(SUBSTITUTE(SUBSTITUTE(LOWER(AC343&amp;""),CHAR(160),"")," ",""),".",""),"-",""),"/",""),"?",""),"_",""),",",""),"[",""),"]",""),"(",""),")",""),"*","")</f>
        <v/>
      </c>
      <c r="BA343" s="61" t="str">
        <f aca="false">SUBSTITUTE(SUBSTITUTE(SUBSTITUTE(SUBSTITUTE(SUBSTITUTE(SUBSTITUTE(SUBSTITUTE(SUBSTITUTE(SUBSTITUTE(SUBSTITUTE(SUBSTITUTE(SUBSTITUTE(SUBSTITUTE(LOWER(AA343&amp;""),CHAR(160),"")," ",""),".",""),"-",""),"/",""),"?",""),"_",""),",",""),"[",""),"]",""),"(",""),")",""),"*","")</f>
        <v/>
      </c>
      <c r="BB343" s="61" t="str">
        <f aca="false">IF(AND(TRIM(U343)="Pass",ISNUMBER(AF343)),IF(AF343&lt;&gt;0,"INVALID – qty variance: use Fail or Pass after CA",""),"")&amp;IF(AND(TRIM(U343)="Pass after CA",ISNUMBER(AF343)),IF(AF343&lt;&gt;0,"INVALID – after the corrective action the actual qty must equal expected (update Actual)",""),"")&amp;IF(AND(TRIM(U343)="Pass",TRIM(AB343)&lt;&gt;"",TRIM(AB343)&lt;&gt;"Closed"),"INVALID – corrective action not closed: use Fail, then Pass after CA","")&amp;IF(AND(TRIM(AA343)&lt;&gt;"",TRIM(AB343)=""),"INVALID – CA status missing for the recorded corrective action","")&amp;IF(AND(TRIM(U343)="Pass after CA",OR(OR(LEN(BA343)&lt;5,ISNUMBER(MATCH(BA343,L_Placeholder,0))),TRIM(AB343)&lt;&gt;"Closed")),"INVALID – corrective action not recorded/closed","")</f>
        <v/>
      </c>
    </row>
    <row r="344" customFormat="false" ht="41.25" hidden="false" customHeight="true" outlineLevel="0" collapsed="false">
      <c r="A344" s="57" t="s">
        <v>920</v>
      </c>
      <c r="B344" s="57" t="s">
        <v>248</v>
      </c>
      <c r="C344" s="57" t="str">
        <f aca="false">Flights!$F$14</f>
        <v>MH1140</v>
      </c>
      <c r="D344" s="58" t="n">
        <f aca="false">Flights!$D$14</f>
        <v>46307</v>
      </c>
      <c r="E344" s="57" t="str">
        <f aca="false">Flights!$G$14&amp;"-"&amp;Flights!$H$14</f>
        <v>KUL-PEN</v>
      </c>
      <c r="F344" s="57" t="str">
        <f aca="false">Flights!$K$14</f>
        <v>BC</v>
      </c>
      <c r="G344" s="57" t="s">
        <v>398</v>
      </c>
      <c r="H344" s="57" t="s">
        <v>356</v>
      </c>
      <c r="I344" s="57" t="s">
        <v>477</v>
      </c>
      <c r="J344" s="57" t="s">
        <v>501</v>
      </c>
      <c r="K344" s="67" t="s">
        <v>479</v>
      </c>
      <c r="L344" s="67" t="s">
        <v>921</v>
      </c>
      <c r="M344" s="67" t="s">
        <v>429</v>
      </c>
      <c r="N344" s="67" t="s">
        <v>361</v>
      </c>
      <c r="O344" s="67" t="s">
        <v>481</v>
      </c>
      <c r="P344" s="57" t="s">
        <v>184</v>
      </c>
      <c r="Q344" s="59" t="n">
        <f aca="false">ROUND((Flights!$AE$14)*1440,0)/1440</f>
        <v>46306.65625</v>
      </c>
      <c r="R344" s="59" t="n">
        <f aca="false">Q344+(IF(AND(INDEX(TZ_DSTS,MATCH(P344,TZ_STN,0))&lt;&gt;"",Q344&gt;=INDEX(TZ_DSTS,MATCH(P344,TZ_STN,0)),Q344&lt;INDEX(TZ_DSTE,MATCH(P344,TZ_STN,0))),INDEX(TZ_DST,MATCH(P344,TZ_STN,0)),INDEX(TZ_STD,MATCH(P344,TZ_STN,0))))/24</f>
        <v>46306.9895833333</v>
      </c>
      <c r="S344" s="59" t="n">
        <f aca="false">Q344-T12EarlyH/24</f>
        <v>46306.15625</v>
      </c>
      <c r="T344" s="60"/>
      <c r="U344" s="60"/>
      <c r="V344" s="60"/>
      <c r="W344" s="61"/>
      <c r="X344" s="60"/>
      <c r="Y344" s="60"/>
      <c r="Z344" s="60"/>
      <c r="AA344" s="60"/>
      <c r="AB344" s="60"/>
      <c r="AC344" s="60"/>
      <c r="AD344" s="66"/>
      <c r="AE344" s="60"/>
      <c r="AF344" s="61" t="str">
        <f aca="false">IF(AND(ISNUMBER(X344),ISNUMBER(Y344)),Y344-X344,"")</f>
        <v/>
      </c>
      <c r="AG344" s="62" t="str">
        <f aca="false">IF(ISNUMBER(AD344),AD344-(IF(AND(INDEX(TZ_DSTS,MATCH(P344,TZ_STN,0))&lt;&gt;"",(AD344-INDEX(TZ_STD,MATCH(P344,TZ_STN,0))/24)&gt;=INDEX(TZ_DSTS,MATCH(P344,TZ_STN,0)),(AD344-INDEX(TZ_STD,MATCH(P344,TZ_STN,0))/24)&lt;INDEX(TZ_DSTE,MATCH(P344,TZ_STN,0))),INDEX(TZ_DST,MATCH(P344,TZ_STN,0)),INDEX(TZ_STD,MATCH(P344,TZ_STN,0))))/24,"")</f>
        <v/>
      </c>
      <c r="AH344" s="65" t="str">
        <f aca="false">IFERROR(IF(N344="N/A – rule","N/A – RULE",IF(TRIM(U344)="N/A",IF(AT344=0,"INVALID – N/A not permitted for this check",IF(AND(TRIM(AB344)&lt;&gt;"",TRIM(AB344)&lt;&gt;"Closed"),"INVALID – corrective action still open",IF(AND(NOT(OR(LEN(AZ344)&lt;15,ISNUMBER(MATCH(AZ344,L_Placeholder,0)))),NOT(OR(LEN(AU344)&lt;2,ISNUMBER(MATCH(AU344,L_Placeholder,0)))),NOT(OR(LEN(AX344)&lt;2,ISNUMBER(MATCH(AX344,L_Placeholder,0)))),TRIM(AE344)&lt;&gt;TRIM(T344)),"N/A – JUSTIFIED","INVALID – N/A needs a real justification (15+ chars), PIC and a different verifier"))),IF(OR(TRIM(U344)="Pass",TRIM(U344)="Pass after CA"),IF(NOT(ISNUMBER(AD344)),"INVALID – completion time missing",IF(OR(LEN(AU344)&lt;2,ISNUMBER(MATCH(AU344,L_Placeholder,0))),"INVALID – PIC missing",IF(OR(LEN(AV344)&lt;2,ISNUMBER(MATCH(AV344,L_Placeholder,0))),"INVALID – result / assessment missing",IF(OR(OR(LEN(AW344)&lt;3,ISNUMBER(MATCH(AW344,L_Placeholder,0))),SUMPRODUCT(--ISNUMBER(SEARCH(L_EvidencePhrase,AW344)))&gt;0),"INVALID – evidence missing, placeholder or not yet on file",IF(OR(LEN(AX344)&lt;2,ISNUMBER(MATCH(AX344,L_Placeholder,0))),"INVALID – verifier missing",IF(AX344=AU344,"INVALID – verifier must be someone other than the PIC",IF(AND(TRIM(U344)="Pass",SUMPRODUCT(--ISNUMBER(SEARCH(L_ResultBad,AV344)))&gt;0),"INVALID – result describes a problem: use Fail, then Pass after CA",IF(AND(AQ344=1,OR(LEN(AY344)&lt;3,ISNUMBER(MATCH(AY344,L_Placeholder,0)))),"INVALID – batch ID missing or placeholder",IF(AND(AR344=1,OR(NOT(ISNUMBER(X344)),NOT(ISNUMBER(Y344)))),"INVALID – expected/actual qty missing",IF(AND(AR344=1,OR(X344&lt;=0,Y344&lt;0)),"INVALID – expected qty must be above 0 and actual not negative",IF(BB344&lt;&gt;"",BB344,IF(AND(AS344=1,Documents!$J$14&lt;&gt;"ON FILE"),"INVALID – GLD not on file (Documents sheet)",IF(AND(AS344=2,Documents!$O$14&lt;&gt;"ON FILE"),"INVALID – menu checklist not on file (Documents sheet)",IF(AND(AS344=3,NOT(ISNUMBER(Flights!$AX$14))),"INVALID – enter carrying flight KUL departure (Flights AX)",IF(AND(AS344=3,OR(Flights!$AZ$14&gt;Flights!$AA$14,Flights!$AX$14&lt;Flights!$AA$14-3)),"INVALID – carrying flight (Flights AX) cannot arrive before this leg's STD, or is over 3 days early",IF(AG344&gt;AsOfUTC,"INVALID – completion time is in the future",IF(AND(ISNUMBER(S344),AG344&lt;S344),IF(H344="Physical uplift","INVALID – before uplift window (cannot confirm loading)","INVALID – before valid window"),IF(AG344&gt;Flights!$AA$14,"INVALID – completed after departure (cannot establish readiness)",IF(AND(H344="Preparation",AG344&gt;IF(ISNUMBER(Flights!$BA$14),MIN(Flights!$BA$14,Flights!$AA$14),Flights!$AA$14)),"INVALID – completed after loading / departure (cannot establish readiness)",IF(AND(H344="Physical uplift",AG344&gt;Q344),"INVALID – recorded after the loading flight departed",IF(AG344&gt;Q344,"COMPLETE – LATE","COMPLETE"))))))))))))))))))))),IF(TRIM(U344)="Fail","FAIL – DISCREPANCY",IF(AND(TRIM(U344)&lt;&gt;"",TRIM(U344)&lt;&gt;"Not started",TRIM(U344)&lt;&gt;"In progress"),"INVALID – unrecognised status (use the list)",IF(AsOfUTC&gt;Q344,"OVERDUE",IF(N344="Clarification required","OPEN – CLARIFICATION","OPEN"))))))),"INVALID – error value in an input cell")</f>
        <v>OPEN</v>
      </c>
      <c r="AI344" s="61" t="n">
        <f aca="false">IF(OR(AH344="N/A – RULE",AH344="N/A – JUSTIFIED"),0,1)</f>
        <v>1</v>
      </c>
      <c r="AJ344" s="61" t="n">
        <f aca="false">IF(LEFT(AH344,8)="COMPLETE",1,0)</f>
        <v>0</v>
      </c>
      <c r="AK344" s="61" t="n">
        <f aca="false">IF(AND(AI344=1,AJ344=0,AsOfUTC&gt;Q344),1,0)</f>
        <v>0</v>
      </c>
      <c r="AL344" s="61" t="n">
        <f aca="false">IFERROR(IF(AND(AI344=1,OR(TRIM(U344)="Fail",AND(TRIM(AB344)&lt;&gt;"",TRIM(AB344)&lt;&gt;"Closed"),AND(ISNUMBER(AF344),AF344&lt;&gt;0,TRIM(U344)&lt;&gt;"Pass after CA"))),1,0),1)</f>
        <v>0</v>
      </c>
      <c r="AM344" s="61" t="n">
        <f aca="false">IF(LEFT(AH344,7)="INVALID",1,0)</f>
        <v>0</v>
      </c>
      <c r="AN344" s="61" t="n">
        <f aca="false">IF(AND(N344="Clarification required",AI344=1,AJ344=0),1,0)</f>
        <v>0</v>
      </c>
      <c r="AO344" s="61" t="str">
        <f aca="false">IF(AK344=1,SUM(AK$5:AK344),"")</f>
        <v/>
      </c>
      <c r="AP344" s="61" t="str">
        <f aca="false">IF(AL344=1,SUM(AL$5:AL344),"")</f>
        <v/>
      </c>
      <c r="AQ344" s="61" t="n">
        <v>0</v>
      </c>
      <c r="AR344" s="61" t="n">
        <v>0</v>
      </c>
      <c r="AS344" s="61" t="n">
        <v>0</v>
      </c>
      <c r="AT344" s="61" t="n">
        <v>0</v>
      </c>
      <c r="AU344" s="61" t="str">
        <f aca="false">SUBSTITUTE(SUBSTITUTE(SUBSTITUTE(SUBSTITUTE(SUBSTITUTE(SUBSTITUTE(SUBSTITUTE(SUBSTITUTE(SUBSTITUTE(SUBSTITUTE(SUBSTITUTE(SUBSTITUTE(SUBSTITUTE(LOWER(T344&amp;""),CHAR(160),"")," ",""),".",""),"-",""),"/",""),"?",""),"_",""),",",""),"[",""),"]",""),"(",""),")",""),"*","")</f>
        <v/>
      </c>
      <c r="AV344" s="61" t="str">
        <f aca="false">SUBSTITUTE(SUBSTITUTE(SUBSTITUTE(SUBSTITUTE(SUBSTITUTE(SUBSTITUTE(SUBSTITUTE(SUBSTITUTE(SUBSTITUTE(SUBSTITUTE(SUBSTITUTE(SUBSTITUTE(SUBSTITUTE(LOWER(V344&amp;""),CHAR(160),"")," ",""),".",""),"-",""),"/",""),"?",""),"_",""),",",""),"[",""),"]",""),"(",""),")",""),"*","")</f>
        <v/>
      </c>
      <c r="AW344" s="61" t="str">
        <f aca="false">SUBSTITUTE(SUBSTITUTE(SUBSTITUTE(SUBSTITUTE(SUBSTITUTE(SUBSTITUTE(SUBSTITUTE(SUBSTITUTE(SUBSTITUTE(SUBSTITUTE(SUBSTITUTE(SUBSTITUTE(SUBSTITUTE(LOWER(Z344&amp;""),CHAR(160),"")," ",""),".",""),"-",""),"/",""),"?",""),"_",""),",",""),"[",""),"]",""),"(",""),")",""),"*","")</f>
        <v/>
      </c>
      <c r="AX344" s="61" t="str">
        <f aca="false">SUBSTITUTE(SUBSTITUTE(SUBSTITUTE(SUBSTITUTE(SUBSTITUTE(SUBSTITUTE(SUBSTITUTE(SUBSTITUTE(SUBSTITUTE(SUBSTITUTE(SUBSTITUTE(SUBSTITUTE(SUBSTITUTE(LOWER(AE344&amp;""),CHAR(160),"")," ",""),".",""),"-",""),"/",""),"?",""),"_",""),",",""),"[",""),"]",""),"(",""),")",""),"*","")</f>
        <v/>
      </c>
      <c r="AY344" s="61" t="str">
        <f aca="false">SUBSTITUTE(SUBSTITUTE(SUBSTITUTE(SUBSTITUTE(SUBSTITUTE(SUBSTITUTE(SUBSTITUTE(SUBSTITUTE(SUBSTITUTE(SUBSTITUTE(SUBSTITUTE(SUBSTITUTE(SUBSTITUTE(LOWER(W344&amp;""),CHAR(160),"")," ",""),".",""),"-",""),"/",""),"?",""),"_",""),",",""),"[",""),"]",""),"(",""),")",""),"*","")</f>
        <v/>
      </c>
      <c r="AZ344" s="61" t="str">
        <f aca="false">SUBSTITUTE(SUBSTITUTE(SUBSTITUTE(SUBSTITUTE(SUBSTITUTE(SUBSTITUTE(SUBSTITUTE(SUBSTITUTE(SUBSTITUTE(SUBSTITUTE(SUBSTITUTE(SUBSTITUTE(SUBSTITUTE(LOWER(AC344&amp;""),CHAR(160),"")," ",""),".",""),"-",""),"/",""),"?",""),"_",""),",",""),"[",""),"]",""),"(",""),")",""),"*","")</f>
        <v/>
      </c>
      <c r="BA344" s="61" t="str">
        <f aca="false">SUBSTITUTE(SUBSTITUTE(SUBSTITUTE(SUBSTITUTE(SUBSTITUTE(SUBSTITUTE(SUBSTITUTE(SUBSTITUTE(SUBSTITUTE(SUBSTITUTE(SUBSTITUTE(SUBSTITUTE(SUBSTITUTE(LOWER(AA344&amp;""),CHAR(160),"")," ",""),".",""),"-",""),"/",""),"?",""),"_",""),",",""),"[",""),"]",""),"(",""),")",""),"*","")</f>
        <v/>
      </c>
      <c r="BB344" s="61" t="str">
        <f aca="false">IF(AND(TRIM(U344)="Pass",ISNUMBER(AF344)),IF(AF344&lt;&gt;0,"INVALID – qty variance: use Fail or Pass after CA",""),"")&amp;IF(AND(TRIM(U344)="Pass after CA",ISNUMBER(AF344)),IF(AF344&lt;&gt;0,"INVALID – after the corrective action the actual qty must equal expected (update Actual)",""),"")&amp;IF(AND(TRIM(U344)="Pass",TRIM(AB344)&lt;&gt;"",TRIM(AB344)&lt;&gt;"Closed"),"INVALID – corrective action not closed: use Fail, then Pass after CA","")&amp;IF(AND(TRIM(AA344)&lt;&gt;"",TRIM(AB344)=""),"INVALID – CA status missing for the recorded corrective action","")&amp;IF(AND(TRIM(U344)="Pass after CA",OR(OR(LEN(BA344)&lt;5,ISNUMBER(MATCH(BA344,L_Placeholder,0))),TRIM(AB344)&lt;&gt;"Closed")),"INVALID – corrective action not recorded/closed","")</f>
        <v/>
      </c>
    </row>
    <row r="345" customFormat="false" ht="41.25" hidden="false" customHeight="true" outlineLevel="0" collapsed="false">
      <c r="A345" s="57" t="s">
        <v>922</v>
      </c>
      <c r="B345" s="57" t="s">
        <v>248</v>
      </c>
      <c r="C345" s="57" t="str">
        <f aca="false">Flights!$F$14</f>
        <v>MH1140</v>
      </c>
      <c r="D345" s="58" t="n">
        <f aca="false">Flights!$D$14</f>
        <v>46307</v>
      </c>
      <c r="E345" s="57" t="str">
        <f aca="false">Flights!$G$14&amp;"-"&amp;Flights!$H$14</f>
        <v>KUL-PEN</v>
      </c>
      <c r="F345" s="57" t="str">
        <f aca="false">Flights!$K$14</f>
        <v>BC</v>
      </c>
      <c r="G345" s="57" t="s">
        <v>398</v>
      </c>
      <c r="H345" s="57" t="s">
        <v>356</v>
      </c>
      <c r="I345" s="57" t="s">
        <v>425</v>
      </c>
      <c r="J345" s="57" t="s">
        <v>504</v>
      </c>
      <c r="K345" s="67" t="s">
        <v>427</v>
      </c>
      <c r="L345" s="67" t="s">
        <v>923</v>
      </c>
      <c r="M345" s="67" t="s">
        <v>429</v>
      </c>
      <c r="N345" s="67" t="s">
        <v>361</v>
      </c>
      <c r="O345" s="67" t="s">
        <v>481</v>
      </c>
      <c r="P345" s="57" t="s">
        <v>184</v>
      </c>
      <c r="Q345" s="59" t="n">
        <f aca="false">ROUND((Flights!$AE$14)*1440,0)/1440</f>
        <v>46306.65625</v>
      </c>
      <c r="R345" s="59" t="n">
        <f aca="false">Q345+(IF(AND(INDEX(TZ_DSTS,MATCH(P345,TZ_STN,0))&lt;&gt;"",Q345&gt;=INDEX(TZ_DSTS,MATCH(P345,TZ_STN,0)),Q345&lt;INDEX(TZ_DSTE,MATCH(P345,TZ_STN,0))),INDEX(TZ_DST,MATCH(P345,TZ_STN,0)),INDEX(TZ_STD,MATCH(P345,TZ_STN,0))))/24</f>
        <v>46306.9895833333</v>
      </c>
      <c r="S345" s="59" t="n">
        <f aca="false">Q345-T12EarlyH/24</f>
        <v>46306.15625</v>
      </c>
      <c r="T345" s="60"/>
      <c r="U345" s="60"/>
      <c r="V345" s="60"/>
      <c r="W345" s="61"/>
      <c r="X345" s="60"/>
      <c r="Y345" s="60"/>
      <c r="Z345" s="60"/>
      <c r="AA345" s="60"/>
      <c r="AB345" s="60"/>
      <c r="AC345" s="60"/>
      <c r="AD345" s="66"/>
      <c r="AE345" s="60"/>
      <c r="AF345" s="61" t="str">
        <f aca="false">IF(AND(ISNUMBER(X345),ISNUMBER(Y345)),Y345-X345,"")</f>
        <v/>
      </c>
      <c r="AG345" s="62" t="str">
        <f aca="false">IF(ISNUMBER(AD345),AD345-(IF(AND(INDEX(TZ_DSTS,MATCH(P345,TZ_STN,0))&lt;&gt;"",(AD345-INDEX(TZ_STD,MATCH(P345,TZ_STN,0))/24)&gt;=INDEX(TZ_DSTS,MATCH(P345,TZ_STN,0)),(AD345-INDEX(TZ_STD,MATCH(P345,TZ_STN,0))/24)&lt;INDEX(TZ_DSTE,MATCH(P345,TZ_STN,0))),INDEX(TZ_DST,MATCH(P345,TZ_STN,0)),INDEX(TZ_STD,MATCH(P345,TZ_STN,0))))/24,"")</f>
        <v/>
      </c>
      <c r="AH345" s="65" t="str">
        <f aca="false">IFERROR(IF(N345="N/A – rule","N/A – RULE",IF(TRIM(U345)="N/A",IF(AT345=0,"INVALID – N/A not permitted for this check",IF(AND(TRIM(AB345)&lt;&gt;"",TRIM(AB345)&lt;&gt;"Closed"),"INVALID – corrective action still open",IF(AND(NOT(OR(LEN(AZ345)&lt;15,ISNUMBER(MATCH(AZ345,L_Placeholder,0)))),NOT(OR(LEN(AU345)&lt;2,ISNUMBER(MATCH(AU345,L_Placeholder,0)))),NOT(OR(LEN(AX345)&lt;2,ISNUMBER(MATCH(AX345,L_Placeholder,0)))),TRIM(AE345)&lt;&gt;TRIM(T345)),"N/A – JUSTIFIED","INVALID – N/A needs a real justification (15+ chars), PIC and a different verifier"))),IF(OR(TRIM(U345)="Pass",TRIM(U345)="Pass after CA"),IF(NOT(ISNUMBER(AD345)),"INVALID – completion time missing",IF(OR(LEN(AU345)&lt;2,ISNUMBER(MATCH(AU345,L_Placeholder,0))),"INVALID – PIC missing",IF(OR(LEN(AV345)&lt;2,ISNUMBER(MATCH(AV345,L_Placeholder,0))),"INVALID – result / assessment missing",IF(OR(OR(LEN(AW345)&lt;3,ISNUMBER(MATCH(AW345,L_Placeholder,0))),SUMPRODUCT(--ISNUMBER(SEARCH(L_EvidencePhrase,AW345)))&gt;0),"INVALID – evidence missing, placeholder or not yet on file",IF(OR(LEN(AX345)&lt;2,ISNUMBER(MATCH(AX345,L_Placeholder,0))),"INVALID – verifier missing",IF(AX345=AU345,"INVALID – verifier must be someone other than the PIC",IF(AND(TRIM(U345)="Pass",SUMPRODUCT(--ISNUMBER(SEARCH(L_ResultBad,AV345)))&gt;0),"INVALID – result describes a problem: use Fail, then Pass after CA",IF(AND(AQ345=1,OR(LEN(AY345)&lt;3,ISNUMBER(MATCH(AY345,L_Placeholder,0)))),"INVALID – batch ID missing or placeholder",IF(AND(AR345=1,OR(NOT(ISNUMBER(X345)),NOT(ISNUMBER(Y345)))),"INVALID – expected/actual qty missing",IF(AND(AR345=1,OR(X345&lt;=0,Y345&lt;0)),"INVALID – expected qty must be above 0 and actual not negative",IF(BB345&lt;&gt;"",BB345,IF(AND(AS345=1,Documents!$J$14&lt;&gt;"ON FILE"),"INVALID – GLD not on file (Documents sheet)",IF(AND(AS345=2,Documents!$O$14&lt;&gt;"ON FILE"),"INVALID – menu checklist not on file (Documents sheet)",IF(AND(AS345=3,NOT(ISNUMBER(Flights!$AX$14))),"INVALID – enter carrying flight KUL departure (Flights AX)",IF(AND(AS345=3,OR(Flights!$AZ$14&gt;Flights!$AA$14,Flights!$AX$14&lt;Flights!$AA$14-3)),"INVALID – carrying flight (Flights AX) cannot arrive before this leg's STD, or is over 3 days early",IF(AG345&gt;AsOfUTC,"INVALID – completion time is in the future",IF(AND(ISNUMBER(S345),AG345&lt;S345),IF(H345="Physical uplift","INVALID – before uplift window (cannot confirm loading)","INVALID – before valid window"),IF(AG345&gt;Flights!$AA$14,"INVALID – completed after departure (cannot establish readiness)",IF(AND(H345="Preparation",AG345&gt;IF(ISNUMBER(Flights!$BA$14),MIN(Flights!$BA$14,Flights!$AA$14),Flights!$AA$14)),"INVALID – completed after loading / departure (cannot establish readiness)",IF(AND(H345="Physical uplift",AG345&gt;Q345),"INVALID – recorded after the loading flight departed",IF(AG345&gt;Q345,"COMPLETE – LATE","COMPLETE"))))))))))))))))))))),IF(TRIM(U345)="Fail","FAIL – DISCREPANCY",IF(AND(TRIM(U345)&lt;&gt;"",TRIM(U345)&lt;&gt;"Not started",TRIM(U345)&lt;&gt;"In progress"),"INVALID – unrecognised status (use the list)",IF(AsOfUTC&gt;Q345,"OVERDUE",IF(N345="Clarification required","OPEN – CLARIFICATION","OPEN"))))))),"INVALID – error value in an input cell")</f>
        <v>OPEN</v>
      </c>
      <c r="AI345" s="61" t="n">
        <f aca="false">IF(OR(AH345="N/A – RULE",AH345="N/A – JUSTIFIED"),0,1)</f>
        <v>1</v>
      </c>
      <c r="AJ345" s="61" t="n">
        <f aca="false">IF(LEFT(AH345,8)="COMPLETE",1,0)</f>
        <v>0</v>
      </c>
      <c r="AK345" s="61" t="n">
        <f aca="false">IF(AND(AI345=1,AJ345=0,AsOfUTC&gt;Q345),1,0)</f>
        <v>0</v>
      </c>
      <c r="AL345" s="61" t="n">
        <f aca="false">IFERROR(IF(AND(AI345=1,OR(TRIM(U345)="Fail",AND(TRIM(AB345)&lt;&gt;"",TRIM(AB345)&lt;&gt;"Closed"),AND(ISNUMBER(AF345),AF345&lt;&gt;0,TRIM(U345)&lt;&gt;"Pass after CA"))),1,0),1)</f>
        <v>0</v>
      </c>
      <c r="AM345" s="61" t="n">
        <f aca="false">IF(LEFT(AH345,7)="INVALID",1,0)</f>
        <v>0</v>
      </c>
      <c r="AN345" s="61" t="n">
        <f aca="false">IF(AND(N345="Clarification required",AI345=1,AJ345=0),1,0)</f>
        <v>0</v>
      </c>
      <c r="AO345" s="61" t="str">
        <f aca="false">IF(AK345=1,SUM(AK$5:AK345),"")</f>
        <v/>
      </c>
      <c r="AP345" s="61" t="str">
        <f aca="false">IF(AL345=1,SUM(AL$5:AL345),"")</f>
        <v/>
      </c>
      <c r="AQ345" s="61" t="n">
        <v>0</v>
      </c>
      <c r="AR345" s="61" t="n">
        <v>0</v>
      </c>
      <c r="AS345" s="61" t="n">
        <v>0</v>
      </c>
      <c r="AT345" s="61" t="n">
        <v>0</v>
      </c>
      <c r="AU345" s="61" t="str">
        <f aca="false">SUBSTITUTE(SUBSTITUTE(SUBSTITUTE(SUBSTITUTE(SUBSTITUTE(SUBSTITUTE(SUBSTITUTE(SUBSTITUTE(SUBSTITUTE(SUBSTITUTE(SUBSTITUTE(SUBSTITUTE(SUBSTITUTE(LOWER(T345&amp;""),CHAR(160),"")," ",""),".",""),"-",""),"/",""),"?",""),"_",""),",",""),"[",""),"]",""),"(",""),")",""),"*","")</f>
        <v/>
      </c>
      <c r="AV345" s="61" t="str">
        <f aca="false">SUBSTITUTE(SUBSTITUTE(SUBSTITUTE(SUBSTITUTE(SUBSTITUTE(SUBSTITUTE(SUBSTITUTE(SUBSTITUTE(SUBSTITUTE(SUBSTITUTE(SUBSTITUTE(SUBSTITUTE(SUBSTITUTE(LOWER(V345&amp;""),CHAR(160),"")," ",""),".",""),"-",""),"/",""),"?",""),"_",""),",",""),"[",""),"]",""),"(",""),")",""),"*","")</f>
        <v/>
      </c>
      <c r="AW345" s="61" t="str">
        <f aca="false">SUBSTITUTE(SUBSTITUTE(SUBSTITUTE(SUBSTITUTE(SUBSTITUTE(SUBSTITUTE(SUBSTITUTE(SUBSTITUTE(SUBSTITUTE(SUBSTITUTE(SUBSTITUTE(SUBSTITUTE(SUBSTITUTE(LOWER(Z345&amp;""),CHAR(160),"")," ",""),".",""),"-",""),"/",""),"?",""),"_",""),",",""),"[",""),"]",""),"(",""),")",""),"*","")</f>
        <v/>
      </c>
      <c r="AX345" s="61" t="str">
        <f aca="false">SUBSTITUTE(SUBSTITUTE(SUBSTITUTE(SUBSTITUTE(SUBSTITUTE(SUBSTITUTE(SUBSTITUTE(SUBSTITUTE(SUBSTITUTE(SUBSTITUTE(SUBSTITUTE(SUBSTITUTE(SUBSTITUTE(LOWER(AE345&amp;""),CHAR(160),"")," ",""),".",""),"-",""),"/",""),"?",""),"_",""),",",""),"[",""),"]",""),"(",""),")",""),"*","")</f>
        <v/>
      </c>
      <c r="AY345" s="61" t="str">
        <f aca="false">SUBSTITUTE(SUBSTITUTE(SUBSTITUTE(SUBSTITUTE(SUBSTITUTE(SUBSTITUTE(SUBSTITUTE(SUBSTITUTE(SUBSTITUTE(SUBSTITUTE(SUBSTITUTE(SUBSTITUTE(SUBSTITUTE(LOWER(W345&amp;""),CHAR(160),"")," ",""),".",""),"-",""),"/",""),"?",""),"_",""),",",""),"[",""),"]",""),"(",""),")",""),"*","")</f>
        <v/>
      </c>
      <c r="AZ345" s="61" t="str">
        <f aca="false">SUBSTITUTE(SUBSTITUTE(SUBSTITUTE(SUBSTITUTE(SUBSTITUTE(SUBSTITUTE(SUBSTITUTE(SUBSTITUTE(SUBSTITUTE(SUBSTITUTE(SUBSTITUTE(SUBSTITUTE(SUBSTITUTE(LOWER(AC345&amp;""),CHAR(160),"")," ",""),".",""),"-",""),"/",""),"?",""),"_",""),",",""),"[",""),"]",""),"(",""),")",""),"*","")</f>
        <v/>
      </c>
      <c r="BA345" s="61" t="str">
        <f aca="false">SUBSTITUTE(SUBSTITUTE(SUBSTITUTE(SUBSTITUTE(SUBSTITUTE(SUBSTITUTE(SUBSTITUTE(SUBSTITUTE(SUBSTITUTE(SUBSTITUTE(SUBSTITUTE(SUBSTITUTE(SUBSTITUTE(LOWER(AA345&amp;""),CHAR(160),"")," ",""),".",""),"-",""),"/",""),"?",""),"_",""),",",""),"[",""),"]",""),"(",""),")",""),"*","")</f>
        <v/>
      </c>
      <c r="BB345" s="61" t="str">
        <f aca="false">IF(AND(TRIM(U345)="Pass",ISNUMBER(AF345)),IF(AF345&lt;&gt;0,"INVALID – qty variance: use Fail or Pass after CA",""),"")&amp;IF(AND(TRIM(U345)="Pass after CA",ISNUMBER(AF345)),IF(AF345&lt;&gt;0,"INVALID – after the corrective action the actual qty must equal expected (update Actual)",""),"")&amp;IF(AND(TRIM(U345)="Pass",TRIM(AB345)&lt;&gt;"",TRIM(AB345)&lt;&gt;"Closed"),"INVALID – corrective action not closed: use Fail, then Pass after CA","")&amp;IF(AND(TRIM(AA345)&lt;&gt;"",TRIM(AB345)=""),"INVALID – CA status missing for the recorded corrective action","")&amp;IF(AND(TRIM(U345)="Pass after CA",OR(OR(LEN(BA345)&lt;5,ISNUMBER(MATCH(BA345,L_Placeholder,0))),TRIM(AB345)&lt;&gt;"Closed")),"INVALID – corrective action not recorded/closed","")</f>
        <v/>
      </c>
    </row>
    <row r="346" customFormat="false" ht="41.25" hidden="false" customHeight="true" outlineLevel="0" collapsed="false">
      <c r="A346" s="57" t="s">
        <v>924</v>
      </c>
      <c r="B346" s="57" t="s">
        <v>248</v>
      </c>
      <c r="C346" s="57" t="str">
        <f aca="false">Flights!$F$14</f>
        <v>MH1140</v>
      </c>
      <c r="D346" s="58" t="n">
        <f aca="false">Flights!$D$14</f>
        <v>46307</v>
      </c>
      <c r="E346" s="57" t="str">
        <f aca="false">Flights!$G$14&amp;"-"&amp;Flights!$H$14</f>
        <v>KUL-PEN</v>
      </c>
      <c r="F346" s="57" t="str">
        <f aca="false">Flights!$K$14</f>
        <v>BC</v>
      </c>
      <c r="G346" s="57" t="s">
        <v>398</v>
      </c>
      <c r="H346" s="57" t="s">
        <v>356</v>
      </c>
      <c r="I346" s="57" t="s">
        <v>425</v>
      </c>
      <c r="J346" s="57" t="s">
        <v>507</v>
      </c>
      <c r="K346" s="67" t="s">
        <v>427</v>
      </c>
      <c r="L346" s="67" t="s">
        <v>925</v>
      </c>
      <c r="M346" s="67" t="s">
        <v>429</v>
      </c>
      <c r="N346" s="67" t="s">
        <v>361</v>
      </c>
      <c r="O346" s="67" t="s">
        <v>481</v>
      </c>
      <c r="P346" s="57" t="s">
        <v>184</v>
      </c>
      <c r="Q346" s="59" t="n">
        <f aca="false">ROUND((Flights!$AE$14)*1440,0)/1440</f>
        <v>46306.65625</v>
      </c>
      <c r="R346" s="59" t="n">
        <f aca="false">Q346+(IF(AND(INDEX(TZ_DSTS,MATCH(P346,TZ_STN,0))&lt;&gt;"",Q346&gt;=INDEX(TZ_DSTS,MATCH(P346,TZ_STN,0)),Q346&lt;INDEX(TZ_DSTE,MATCH(P346,TZ_STN,0))),INDEX(TZ_DST,MATCH(P346,TZ_STN,0)),INDEX(TZ_STD,MATCH(P346,TZ_STN,0))))/24</f>
        <v>46306.9895833333</v>
      </c>
      <c r="S346" s="59" t="n">
        <f aca="false">Q346-T12EarlyH/24</f>
        <v>46306.15625</v>
      </c>
      <c r="T346" s="60"/>
      <c r="U346" s="60"/>
      <c r="V346" s="60"/>
      <c r="W346" s="61"/>
      <c r="X346" s="60"/>
      <c r="Y346" s="60"/>
      <c r="Z346" s="60"/>
      <c r="AA346" s="60"/>
      <c r="AB346" s="60"/>
      <c r="AC346" s="60"/>
      <c r="AD346" s="66"/>
      <c r="AE346" s="60"/>
      <c r="AF346" s="61" t="str">
        <f aca="false">IF(AND(ISNUMBER(X346),ISNUMBER(Y346)),Y346-X346,"")</f>
        <v/>
      </c>
      <c r="AG346" s="62" t="str">
        <f aca="false">IF(ISNUMBER(AD346),AD346-(IF(AND(INDEX(TZ_DSTS,MATCH(P346,TZ_STN,0))&lt;&gt;"",(AD346-INDEX(TZ_STD,MATCH(P346,TZ_STN,0))/24)&gt;=INDEX(TZ_DSTS,MATCH(P346,TZ_STN,0)),(AD346-INDEX(TZ_STD,MATCH(P346,TZ_STN,0))/24)&lt;INDEX(TZ_DSTE,MATCH(P346,TZ_STN,0))),INDEX(TZ_DST,MATCH(P346,TZ_STN,0)),INDEX(TZ_STD,MATCH(P346,TZ_STN,0))))/24,"")</f>
        <v/>
      </c>
      <c r="AH346" s="65" t="str">
        <f aca="false">IFERROR(IF(N346="N/A – rule","N/A – RULE",IF(TRIM(U346)="N/A",IF(AT346=0,"INVALID – N/A not permitted for this check",IF(AND(TRIM(AB346)&lt;&gt;"",TRIM(AB346)&lt;&gt;"Closed"),"INVALID – corrective action still open",IF(AND(NOT(OR(LEN(AZ346)&lt;15,ISNUMBER(MATCH(AZ346,L_Placeholder,0)))),NOT(OR(LEN(AU346)&lt;2,ISNUMBER(MATCH(AU346,L_Placeholder,0)))),NOT(OR(LEN(AX346)&lt;2,ISNUMBER(MATCH(AX346,L_Placeholder,0)))),TRIM(AE346)&lt;&gt;TRIM(T346)),"N/A – JUSTIFIED","INVALID – N/A needs a real justification (15+ chars), PIC and a different verifier"))),IF(OR(TRIM(U346)="Pass",TRIM(U346)="Pass after CA"),IF(NOT(ISNUMBER(AD346)),"INVALID – completion time missing",IF(OR(LEN(AU346)&lt;2,ISNUMBER(MATCH(AU346,L_Placeholder,0))),"INVALID – PIC missing",IF(OR(LEN(AV346)&lt;2,ISNUMBER(MATCH(AV346,L_Placeholder,0))),"INVALID – result / assessment missing",IF(OR(OR(LEN(AW346)&lt;3,ISNUMBER(MATCH(AW346,L_Placeholder,0))),SUMPRODUCT(--ISNUMBER(SEARCH(L_EvidencePhrase,AW346)))&gt;0),"INVALID – evidence missing, placeholder or not yet on file",IF(OR(LEN(AX346)&lt;2,ISNUMBER(MATCH(AX346,L_Placeholder,0))),"INVALID – verifier missing",IF(AX346=AU346,"INVALID – verifier must be someone other than the PIC",IF(AND(TRIM(U346)="Pass",SUMPRODUCT(--ISNUMBER(SEARCH(L_ResultBad,AV346)))&gt;0),"INVALID – result describes a problem: use Fail, then Pass after CA",IF(AND(AQ346=1,OR(LEN(AY346)&lt;3,ISNUMBER(MATCH(AY346,L_Placeholder,0)))),"INVALID – batch ID missing or placeholder",IF(AND(AR346=1,OR(NOT(ISNUMBER(X346)),NOT(ISNUMBER(Y346)))),"INVALID – expected/actual qty missing",IF(AND(AR346=1,OR(X346&lt;=0,Y346&lt;0)),"INVALID – expected qty must be above 0 and actual not negative",IF(BB346&lt;&gt;"",BB346,IF(AND(AS346=1,Documents!$J$14&lt;&gt;"ON FILE"),"INVALID – GLD not on file (Documents sheet)",IF(AND(AS346=2,Documents!$O$14&lt;&gt;"ON FILE"),"INVALID – menu checklist not on file (Documents sheet)",IF(AND(AS346=3,NOT(ISNUMBER(Flights!$AX$14))),"INVALID – enter carrying flight KUL departure (Flights AX)",IF(AND(AS346=3,OR(Flights!$AZ$14&gt;Flights!$AA$14,Flights!$AX$14&lt;Flights!$AA$14-3)),"INVALID – carrying flight (Flights AX) cannot arrive before this leg's STD, or is over 3 days early",IF(AG346&gt;AsOfUTC,"INVALID – completion time is in the future",IF(AND(ISNUMBER(S346),AG346&lt;S346),IF(H346="Physical uplift","INVALID – before uplift window (cannot confirm loading)","INVALID – before valid window"),IF(AG346&gt;Flights!$AA$14,"INVALID – completed after departure (cannot establish readiness)",IF(AND(H346="Preparation",AG346&gt;IF(ISNUMBER(Flights!$BA$14),MIN(Flights!$BA$14,Flights!$AA$14),Flights!$AA$14)),"INVALID – completed after loading / departure (cannot establish readiness)",IF(AND(H346="Physical uplift",AG346&gt;Q346),"INVALID – recorded after the loading flight departed",IF(AG346&gt;Q346,"COMPLETE – LATE","COMPLETE"))))))))))))))))))))),IF(TRIM(U346)="Fail","FAIL – DISCREPANCY",IF(AND(TRIM(U346)&lt;&gt;"",TRIM(U346)&lt;&gt;"Not started",TRIM(U346)&lt;&gt;"In progress"),"INVALID – unrecognised status (use the list)",IF(AsOfUTC&gt;Q346,"OVERDUE",IF(N346="Clarification required","OPEN – CLARIFICATION","OPEN"))))))),"INVALID – error value in an input cell")</f>
        <v>OPEN</v>
      </c>
      <c r="AI346" s="61" t="n">
        <f aca="false">IF(OR(AH346="N/A – RULE",AH346="N/A – JUSTIFIED"),0,1)</f>
        <v>1</v>
      </c>
      <c r="AJ346" s="61" t="n">
        <f aca="false">IF(LEFT(AH346,8)="COMPLETE",1,0)</f>
        <v>0</v>
      </c>
      <c r="AK346" s="61" t="n">
        <f aca="false">IF(AND(AI346=1,AJ346=0,AsOfUTC&gt;Q346),1,0)</f>
        <v>0</v>
      </c>
      <c r="AL346" s="61" t="n">
        <f aca="false">IFERROR(IF(AND(AI346=1,OR(TRIM(U346)="Fail",AND(TRIM(AB346)&lt;&gt;"",TRIM(AB346)&lt;&gt;"Closed"),AND(ISNUMBER(AF346),AF346&lt;&gt;0,TRIM(U346)&lt;&gt;"Pass after CA"))),1,0),1)</f>
        <v>0</v>
      </c>
      <c r="AM346" s="61" t="n">
        <f aca="false">IF(LEFT(AH346,7)="INVALID",1,0)</f>
        <v>0</v>
      </c>
      <c r="AN346" s="61" t="n">
        <f aca="false">IF(AND(N346="Clarification required",AI346=1,AJ346=0),1,0)</f>
        <v>0</v>
      </c>
      <c r="AO346" s="61" t="str">
        <f aca="false">IF(AK346=1,SUM(AK$5:AK346),"")</f>
        <v/>
      </c>
      <c r="AP346" s="61" t="str">
        <f aca="false">IF(AL346=1,SUM(AL$5:AL346),"")</f>
        <v/>
      </c>
      <c r="AQ346" s="61" t="n">
        <v>0</v>
      </c>
      <c r="AR346" s="61" t="n">
        <v>0</v>
      </c>
      <c r="AS346" s="61" t="n">
        <v>0</v>
      </c>
      <c r="AT346" s="61" t="n">
        <v>0</v>
      </c>
      <c r="AU346" s="61" t="str">
        <f aca="false">SUBSTITUTE(SUBSTITUTE(SUBSTITUTE(SUBSTITUTE(SUBSTITUTE(SUBSTITUTE(SUBSTITUTE(SUBSTITUTE(SUBSTITUTE(SUBSTITUTE(SUBSTITUTE(SUBSTITUTE(SUBSTITUTE(LOWER(T346&amp;""),CHAR(160),"")," ",""),".",""),"-",""),"/",""),"?",""),"_",""),",",""),"[",""),"]",""),"(",""),")",""),"*","")</f>
        <v/>
      </c>
      <c r="AV346" s="61" t="str">
        <f aca="false">SUBSTITUTE(SUBSTITUTE(SUBSTITUTE(SUBSTITUTE(SUBSTITUTE(SUBSTITUTE(SUBSTITUTE(SUBSTITUTE(SUBSTITUTE(SUBSTITUTE(SUBSTITUTE(SUBSTITUTE(SUBSTITUTE(LOWER(V346&amp;""),CHAR(160),"")," ",""),".",""),"-",""),"/",""),"?",""),"_",""),",",""),"[",""),"]",""),"(",""),")",""),"*","")</f>
        <v/>
      </c>
      <c r="AW346" s="61" t="str">
        <f aca="false">SUBSTITUTE(SUBSTITUTE(SUBSTITUTE(SUBSTITUTE(SUBSTITUTE(SUBSTITUTE(SUBSTITUTE(SUBSTITUTE(SUBSTITUTE(SUBSTITUTE(SUBSTITUTE(SUBSTITUTE(SUBSTITUTE(LOWER(Z346&amp;""),CHAR(160),"")," ",""),".",""),"-",""),"/",""),"?",""),"_",""),",",""),"[",""),"]",""),"(",""),")",""),"*","")</f>
        <v/>
      </c>
      <c r="AX346" s="61" t="str">
        <f aca="false">SUBSTITUTE(SUBSTITUTE(SUBSTITUTE(SUBSTITUTE(SUBSTITUTE(SUBSTITUTE(SUBSTITUTE(SUBSTITUTE(SUBSTITUTE(SUBSTITUTE(SUBSTITUTE(SUBSTITUTE(SUBSTITUTE(LOWER(AE346&amp;""),CHAR(160),"")," ",""),".",""),"-",""),"/",""),"?",""),"_",""),",",""),"[",""),"]",""),"(",""),")",""),"*","")</f>
        <v/>
      </c>
      <c r="AY346" s="61" t="str">
        <f aca="false">SUBSTITUTE(SUBSTITUTE(SUBSTITUTE(SUBSTITUTE(SUBSTITUTE(SUBSTITUTE(SUBSTITUTE(SUBSTITUTE(SUBSTITUTE(SUBSTITUTE(SUBSTITUTE(SUBSTITUTE(SUBSTITUTE(LOWER(W346&amp;""),CHAR(160),"")," ",""),".",""),"-",""),"/",""),"?",""),"_",""),",",""),"[",""),"]",""),"(",""),")",""),"*","")</f>
        <v/>
      </c>
      <c r="AZ346" s="61" t="str">
        <f aca="false">SUBSTITUTE(SUBSTITUTE(SUBSTITUTE(SUBSTITUTE(SUBSTITUTE(SUBSTITUTE(SUBSTITUTE(SUBSTITUTE(SUBSTITUTE(SUBSTITUTE(SUBSTITUTE(SUBSTITUTE(SUBSTITUTE(LOWER(AC346&amp;""),CHAR(160),"")," ",""),".",""),"-",""),"/",""),"?",""),"_",""),",",""),"[",""),"]",""),"(",""),")",""),"*","")</f>
        <v/>
      </c>
      <c r="BA346" s="61" t="str">
        <f aca="false">SUBSTITUTE(SUBSTITUTE(SUBSTITUTE(SUBSTITUTE(SUBSTITUTE(SUBSTITUTE(SUBSTITUTE(SUBSTITUTE(SUBSTITUTE(SUBSTITUTE(SUBSTITUTE(SUBSTITUTE(SUBSTITUTE(LOWER(AA346&amp;""),CHAR(160),"")," ",""),".",""),"-",""),"/",""),"?",""),"_",""),",",""),"[",""),"]",""),"(",""),")",""),"*","")</f>
        <v/>
      </c>
      <c r="BB346" s="61" t="str">
        <f aca="false">IF(AND(TRIM(U346)="Pass",ISNUMBER(AF346)),IF(AF346&lt;&gt;0,"INVALID – qty variance: use Fail or Pass after CA",""),"")&amp;IF(AND(TRIM(U346)="Pass after CA",ISNUMBER(AF346)),IF(AF346&lt;&gt;0,"INVALID – after the corrective action the actual qty must equal expected (update Actual)",""),"")&amp;IF(AND(TRIM(U346)="Pass",TRIM(AB346)&lt;&gt;"",TRIM(AB346)&lt;&gt;"Closed"),"INVALID – corrective action not closed: use Fail, then Pass after CA","")&amp;IF(AND(TRIM(AA346)&lt;&gt;"",TRIM(AB346)=""),"INVALID – CA status missing for the recorded corrective action","")&amp;IF(AND(TRIM(U346)="Pass after CA",OR(OR(LEN(BA346)&lt;5,ISNUMBER(MATCH(BA346,L_Placeholder,0))),TRIM(AB346)&lt;&gt;"Closed")),"INVALID – corrective action not recorded/closed","")</f>
        <v/>
      </c>
    </row>
    <row r="347" customFormat="false" ht="39.75" hidden="false" customHeight="true" outlineLevel="0" collapsed="false">
      <c r="A347" s="57" t="s">
        <v>926</v>
      </c>
      <c r="B347" s="57" t="s">
        <v>248</v>
      </c>
      <c r="C347" s="57" t="str">
        <f aca="false">Flights!$F$14</f>
        <v>MH1140</v>
      </c>
      <c r="D347" s="58" t="n">
        <f aca="false">Flights!$D$14</f>
        <v>46307</v>
      </c>
      <c r="E347" s="57" t="str">
        <f aca="false">Flights!$G$14&amp;"-"&amp;Flights!$H$14</f>
        <v>KUL-PEN</v>
      </c>
      <c r="F347" s="57" t="str">
        <f aca="false">Flights!$K$14</f>
        <v>BC</v>
      </c>
      <c r="G347" s="57" t="s">
        <v>437</v>
      </c>
      <c r="H347" s="57" t="s">
        <v>438</v>
      </c>
      <c r="I347" s="57" t="s">
        <v>357</v>
      </c>
      <c r="J347" s="57" t="s">
        <v>439</v>
      </c>
      <c r="K347" s="67" t="s">
        <v>404</v>
      </c>
      <c r="L347" s="67" t="s">
        <v>440</v>
      </c>
      <c r="M347" s="67"/>
      <c r="N347" s="67" t="s">
        <v>361</v>
      </c>
      <c r="O347" s="67" t="s">
        <v>441</v>
      </c>
      <c r="P347" s="57" t="s">
        <v>184</v>
      </c>
      <c r="Q347" s="59" t="n">
        <f aca="false">ROUND((Flights!$AF$14)*1440,0)/1440</f>
        <v>46307.15625</v>
      </c>
      <c r="R347" s="59" t="n">
        <f aca="false">Q347+(IF(AND(INDEX(TZ_DSTS,MATCH(P347,TZ_STN,0))&lt;&gt;"",Q347&gt;=INDEX(TZ_DSTS,MATCH(P347,TZ_STN,0)),Q347&lt;INDEX(TZ_DSTE,MATCH(P347,TZ_STN,0))),INDEX(TZ_DST,MATCH(P347,TZ_STN,0)),INDEX(TZ_STD,MATCH(P347,TZ_STN,0))))/24</f>
        <v>46307.4895833333</v>
      </c>
      <c r="S347" s="59" t="n">
        <f aca="false">IF(ISNUMBER(Flights!$AZ$14),MAX(Q347-UpliftWindowH/24,Flights!$AZ$14),Q347-UpliftWindowH/24)</f>
        <v>46306.90625</v>
      </c>
      <c r="T347" s="60"/>
      <c r="U347" s="60"/>
      <c r="V347" s="60"/>
      <c r="W347" s="61"/>
      <c r="X347" s="60"/>
      <c r="Y347" s="60"/>
      <c r="Z347" s="60"/>
      <c r="AA347" s="60"/>
      <c r="AB347" s="60"/>
      <c r="AC347" s="60"/>
      <c r="AD347" s="66"/>
      <c r="AE347" s="60"/>
      <c r="AF347" s="61" t="str">
        <f aca="false">IF(AND(ISNUMBER(X347),ISNUMBER(Y347)),Y347-X347,"")</f>
        <v/>
      </c>
      <c r="AG347" s="62" t="str">
        <f aca="false">IF(ISNUMBER(AD347),AD347-(IF(AND(INDEX(TZ_DSTS,MATCH(P347,TZ_STN,0))&lt;&gt;"",(AD347-INDEX(TZ_STD,MATCH(P347,TZ_STN,0))/24)&gt;=INDEX(TZ_DSTS,MATCH(P347,TZ_STN,0)),(AD347-INDEX(TZ_STD,MATCH(P347,TZ_STN,0))/24)&lt;INDEX(TZ_DSTE,MATCH(P347,TZ_STN,0))),INDEX(TZ_DST,MATCH(P347,TZ_STN,0)),INDEX(TZ_STD,MATCH(P347,TZ_STN,0))))/24,"")</f>
        <v/>
      </c>
      <c r="AH347" s="65" t="str">
        <f aca="false">IFERROR(IF(N347="N/A – rule","N/A – RULE",IF(TRIM(U347)="N/A",IF(AT347=0,"INVALID – N/A not permitted for this check",IF(AND(TRIM(AB347)&lt;&gt;"",TRIM(AB347)&lt;&gt;"Closed"),"INVALID – corrective action still open",IF(AND(NOT(OR(LEN(AZ347)&lt;15,ISNUMBER(MATCH(AZ347,L_Placeholder,0)))),NOT(OR(LEN(AU347)&lt;2,ISNUMBER(MATCH(AU347,L_Placeholder,0)))),NOT(OR(LEN(AX347)&lt;2,ISNUMBER(MATCH(AX347,L_Placeholder,0)))),TRIM(AE347)&lt;&gt;TRIM(T347)),"N/A – JUSTIFIED","INVALID – N/A needs a real justification (15+ chars), PIC and a different verifier"))),IF(OR(TRIM(U347)="Pass",TRIM(U347)="Pass after CA"),IF(NOT(ISNUMBER(AD347)),"INVALID – completion time missing",IF(OR(LEN(AU347)&lt;2,ISNUMBER(MATCH(AU347,L_Placeholder,0))),"INVALID – PIC missing",IF(OR(LEN(AV347)&lt;2,ISNUMBER(MATCH(AV347,L_Placeholder,0))),"INVALID – result / assessment missing",IF(OR(OR(LEN(AW347)&lt;3,ISNUMBER(MATCH(AW347,L_Placeholder,0))),SUMPRODUCT(--ISNUMBER(SEARCH(L_EvidencePhrase,AW347)))&gt;0),"INVALID – evidence missing, placeholder or not yet on file",IF(OR(LEN(AX347)&lt;2,ISNUMBER(MATCH(AX347,L_Placeholder,0))),"INVALID – verifier missing",IF(AX347=AU347,"INVALID – verifier must be someone other than the PIC",IF(AND(TRIM(U347)="Pass",SUMPRODUCT(--ISNUMBER(SEARCH(L_ResultBad,AV347)))&gt;0),"INVALID – result describes a problem: use Fail, then Pass after CA",IF(AND(AQ347=1,OR(LEN(AY347)&lt;3,ISNUMBER(MATCH(AY347,L_Placeholder,0)))),"INVALID – batch ID missing or placeholder",IF(AND(AR347=1,OR(NOT(ISNUMBER(X347)),NOT(ISNUMBER(Y347)))),"INVALID – expected/actual qty missing",IF(AND(AR347=1,OR(X347&lt;=0,Y347&lt;0)),"INVALID – expected qty must be above 0 and actual not negative",IF(AH333="N/A – JUSTIFIED","INVALID – preparation row F10-T12-02 is N/A",IF(AND(AR347=1,ISNUMBER(X333),X347&lt;&gt;X333),"INVALID – expected qty differs from preparation check F10-T12-02",IF(BB347&lt;&gt;"",BB347,IF(AND(AS347=1,Documents!$J$14&lt;&gt;"ON FILE"),"INVALID – GLD not on file (Documents sheet)",IF(AND(AS347=2,Documents!$O$14&lt;&gt;"ON FILE"),"INVALID – menu checklist not on file (Documents sheet)",IF(AND(AS347=3,NOT(ISNUMBER(Flights!$AX$14))),"INVALID – enter carrying flight KUL departure (Flights AX)",IF(AND(AS347=3,OR(Flights!$AZ$14&gt;Flights!$AA$14,Flights!$AX$14&lt;Flights!$AA$14-3)),"INVALID – carrying flight (Flights AX) cannot arrive before this leg's STD, or is over 3 days early",IF(AG347&gt;AsOfUTC,"INVALID – completion time is in the future",IF(AND(ISNUMBER(S347),AG347&lt;S347),IF(H347="Physical uplift","INVALID – before uplift window (cannot confirm loading)","INVALID – before valid window"),IF(AG347&gt;Flights!$AA$14,"INVALID – completed after departure (cannot establish readiness)",IF(AND(H347="Preparation",AG347&gt;IF(ISNUMBER(Flights!$BA$14),MIN(Flights!$BA$14,Flights!$AA$14),Flights!$AA$14)),"INVALID – completed after loading / departure (cannot establish readiness)",IF(AND(H347="Physical uplift",AG347&gt;Q347),"INVALID – recorded after the loading flight departed",IF(AG347&gt;Q347,"COMPLETE – LATE","COMPLETE"))))))))))))))))))))))),IF(TRIM(U347)="Fail","FAIL – DISCREPANCY",IF(AND(TRIM(U347)&lt;&gt;"",TRIM(U347)&lt;&gt;"Not started",TRIM(U347)&lt;&gt;"In progress"),"INVALID – unrecognised status (use the list)",IF(AsOfUTC&gt;Q347,"OVERDUE",IF(N347="Clarification required","OPEN – CLARIFICATION","OPEN"))))))),"INVALID – error value in an input cell")</f>
        <v>OPEN</v>
      </c>
      <c r="AI347" s="61" t="n">
        <f aca="false">IF(OR(AH347="N/A – RULE",AH347="N/A – JUSTIFIED"),0,1)</f>
        <v>1</v>
      </c>
      <c r="AJ347" s="61" t="n">
        <f aca="false">IF(LEFT(AH347,8)="COMPLETE",1,0)</f>
        <v>0</v>
      </c>
      <c r="AK347" s="61" t="n">
        <f aca="false">IF(AND(AI347=1,AJ347=0,AsOfUTC&gt;Q347),1,0)</f>
        <v>0</v>
      </c>
      <c r="AL347" s="61" t="n">
        <f aca="false">IFERROR(IF(AND(AI347=1,OR(TRIM(U347)="Fail",AND(TRIM(AB347)&lt;&gt;"",TRIM(AB347)&lt;&gt;"Closed"),AND(ISNUMBER(AF347),AF347&lt;&gt;0,TRIM(U347)&lt;&gt;"Pass after CA"))),1,0),1)</f>
        <v>0</v>
      </c>
      <c r="AM347" s="61" t="n">
        <f aca="false">IF(LEFT(AH347,7)="INVALID",1,0)</f>
        <v>0</v>
      </c>
      <c r="AN347" s="61" t="n">
        <f aca="false">IF(AND(N347="Clarification required",AI347=1,AJ347=0),1,0)</f>
        <v>0</v>
      </c>
      <c r="AO347" s="61" t="str">
        <f aca="false">IF(AK347=1,SUM(AK$5:AK347),"")</f>
        <v/>
      </c>
      <c r="AP347" s="61" t="str">
        <f aca="false">IF(AL347=1,SUM(AL$5:AL347),"")</f>
        <v/>
      </c>
      <c r="AQ347" s="61" t="n">
        <v>0</v>
      </c>
      <c r="AR347" s="61" t="n">
        <v>1</v>
      </c>
      <c r="AS347" s="61" t="n">
        <v>0</v>
      </c>
      <c r="AT347" s="61" t="n">
        <v>0</v>
      </c>
      <c r="AU347" s="61" t="str">
        <f aca="false">SUBSTITUTE(SUBSTITUTE(SUBSTITUTE(SUBSTITUTE(SUBSTITUTE(SUBSTITUTE(SUBSTITUTE(SUBSTITUTE(SUBSTITUTE(SUBSTITUTE(SUBSTITUTE(SUBSTITUTE(SUBSTITUTE(LOWER(T347&amp;""),CHAR(160),"")," ",""),".",""),"-",""),"/",""),"?",""),"_",""),",",""),"[",""),"]",""),"(",""),")",""),"*","")</f>
        <v/>
      </c>
      <c r="AV347" s="61" t="str">
        <f aca="false">SUBSTITUTE(SUBSTITUTE(SUBSTITUTE(SUBSTITUTE(SUBSTITUTE(SUBSTITUTE(SUBSTITUTE(SUBSTITUTE(SUBSTITUTE(SUBSTITUTE(SUBSTITUTE(SUBSTITUTE(SUBSTITUTE(LOWER(V347&amp;""),CHAR(160),"")," ",""),".",""),"-",""),"/",""),"?",""),"_",""),",",""),"[",""),"]",""),"(",""),")",""),"*","")</f>
        <v/>
      </c>
      <c r="AW347" s="61" t="str">
        <f aca="false">SUBSTITUTE(SUBSTITUTE(SUBSTITUTE(SUBSTITUTE(SUBSTITUTE(SUBSTITUTE(SUBSTITUTE(SUBSTITUTE(SUBSTITUTE(SUBSTITUTE(SUBSTITUTE(SUBSTITUTE(SUBSTITUTE(LOWER(Z347&amp;""),CHAR(160),"")," ",""),".",""),"-",""),"/",""),"?",""),"_",""),",",""),"[",""),"]",""),"(",""),")",""),"*","")</f>
        <v/>
      </c>
      <c r="AX347" s="61" t="str">
        <f aca="false">SUBSTITUTE(SUBSTITUTE(SUBSTITUTE(SUBSTITUTE(SUBSTITUTE(SUBSTITUTE(SUBSTITUTE(SUBSTITUTE(SUBSTITUTE(SUBSTITUTE(SUBSTITUTE(SUBSTITUTE(SUBSTITUTE(LOWER(AE347&amp;""),CHAR(160),"")," ",""),".",""),"-",""),"/",""),"?",""),"_",""),",",""),"[",""),"]",""),"(",""),")",""),"*","")</f>
        <v/>
      </c>
      <c r="AY347" s="61" t="str">
        <f aca="false">SUBSTITUTE(SUBSTITUTE(SUBSTITUTE(SUBSTITUTE(SUBSTITUTE(SUBSTITUTE(SUBSTITUTE(SUBSTITUTE(SUBSTITUTE(SUBSTITUTE(SUBSTITUTE(SUBSTITUTE(SUBSTITUTE(LOWER(W347&amp;""),CHAR(160),"")," ",""),".",""),"-",""),"/",""),"?",""),"_",""),",",""),"[",""),"]",""),"(",""),")",""),"*","")</f>
        <v/>
      </c>
      <c r="AZ347" s="61" t="str">
        <f aca="false">SUBSTITUTE(SUBSTITUTE(SUBSTITUTE(SUBSTITUTE(SUBSTITUTE(SUBSTITUTE(SUBSTITUTE(SUBSTITUTE(SUBSTITUTE(SUBSTITUTE(SUBSTITUTE(SUBSTITUTE(SUBSTITUTE(LOWER(AC347&amp;""),CHAR(160),"")," ",""),".",""),"-",""),"/",""),"?",""),"_",""),",",""),"[",""),"]",""),"(",""),")",""),"*","")</f>
        <v/>
      </c>
      <c r="BA347" s="61" t="str">
        <f aca="false">SUBSTITUTE(SUBSTITUTE(SUBSTITUTE(SUBSTITUTE(SUBSTITUTE(SUBSTITUTE(SUBSTITUTE(SUBSTITUTE(SUBSTITUTE(SUBSTITUTE(SUBSTITUTE(SUBSTITUTE(SUBSTITUTE(LOWER(AA347&amp;""),CHAR(160),"")," ",""),".",""),"-",""),"/",""),"?",""),"_",""),",",""),"[",""),"]",""),"(",""),")",""),"*","")</f>
        <v/>
      </c>
      <c r="BB347" s="61" t="str">
        <f aca="false">IF(AND(TRIM(U347)="Pass",ISNUMBER(AF347)),IF(AF347&lt;&gt;0,"INVALID – qty variance: use Fail or Pass after CA",""),"")&amp;IF(AND(TRIM(U347)="Pass after CA",ISNUMBER(AF347)),IF(AF347&lt;&gt;0,"INVALID – after the corrective action the actual qty must equal expected (update Actual)",""),"")&amp;IF(AND(TRIM(U347)="Pass",TRIM(AB347)&lt;&gt;"",TRIM(AB347)&lt;&gt;"Closed"),"INVALID – corrective action not closed: use Fail, then Pass after CA","")&amp;IF(AND(TRIM(AA347)&lt;&gt;"",TRIM(AB347)=""),"INVALID – CA status missing for the recorded corrective action","")&amp;IF(AND(TRIM(U347)="Pass after CA",OR(OR(LEN(BA347)&lt;5,ISNUMBER(MATCH(BA347,L_Placeholder,0))),TRIM(AB347)&lt;&gt;"Closed")),"INVALID – corrective action not recorded/closed","")</f>
        <v/>
      </c>
    </row>
    <row r="348" customFormat="false" ht="39.75" hidden="false" customHeight="true" outlineLevel="0" collapsed="false">
      <c r="A348" s="57" t="s">
        <v>927</v>
      </c>
      <c r="B348" s="57" t="s">
        <v>248</v>
      </c>
      <c r="C348" s="57" t="str">
        <f aca="false">Flights!$F$14</f>
        <v>MH1140</v>
      </c>
      <c r="D348" s="58" t="n">
        <f aca="false">Flights!$D$14</f>
        <v>46307</v>
      </c>
      <c r="E348" s="57" t="str">
        <f aca="false">Flights!$G$14&amp;"-"&amp;Flights!$H$14</f>
        <v>KUL-PEN</v>
      </c>
      <c r="F348" s="57" t="str">
        <f aca="false">Flights!$K$14</f>
        <v>BC</v>
      </c>
      <c r="G348" s="57" t="s">
        <v>437</v>
      </c>
      <c r="H348" s="57" t="s">
        <v>438</v>
      </c>
      <c r="I348" s="57" t="s">
        <v>406</v>
      </c>
      <c r="J348" s="57" t="s">
        <v>443</v>
      </c>
      <c r="K348" s="67" t="s">
        <v>404</v>
      </c>
      <c r="L348" s="67" t="s">
        <v>440</v>
      </c>
      <c r="M348" s="67"/>
      <c r="N348" s="67" t="s">
        <v>361</v>
      </c>
      <c r="O348" s="67" t="s">
        <v>441</v>
      </c>
      <c r="P348" s="57" t="s">
        <v>184</v>
      </c>
      <c r="Q348" s="59" t="n">
        <f aca="false">ROUND((Flights!$AF$14)*1440,0)/1440</f>
        <v>46307.15625</v>
      </c>
      <c r="R348" s="59" t="n">
        <f aca="false">Q348+(IF(AND(INDEX(TZ_DSTS,MATCH(P348,TZ_STN,0))&lt;&gt;"",Q348&gt;=INDEX(TZ_DSTS,MATCH(P348,TZ_STN,0)),Q348&lt;INDEX(TZ_DSTE,MATCH(P348,TZ_STN,0))),INDEX(TZ_DST,MATCH(P348,TZ_STN,0)),INDEX(TZ_STD,MATCH(P348,TZ_STN,0))))/24</f>
        <v>46307.4895833333</v>
      </c>
      <c r="S348" s="59" t="n">
        <f aca="false">IF(ISNUMBER(Flights!$AZ$14),MAX(Q348-UpliftWindowH/24,Flights!$AZ$14),Q348-UpliftWindowH/24)</f>
        <v>46306.90625</v>
      </c>
      <c r="T348" s="60"/>
      <c r="U348" s="60"/>
      <c r="V348" s="60"/>
      <c r="W348" s="61"/>
      <c r="X348" s="60"/>
      <c r="Y348" s="60"/>
      <c r="Z348" s="60"/>
      <c r="AA348" s="60"/>
      <c r="AB348" s="60"/>
      <c r="AC348" s="60"/>
      <c r="AD348" s="66"/>
      <c r="AE348" s="60"/>
      <c r="AF348" s="61" t="str">
        <f aca="false">IF(AND(ISNUMBER(X348),ISNUMBER(Y348)),Y348-X348,"")</f>
        <v/>
      </c>
      <c r="AG348" s="62" t="str">
        <f aca="false">IF(ISNUMBER(AD348),AD348-(IF(AND(INDEX(TZ_DSTS,MATCH(P348,TZ_STN,0))&lt;&gt;"",(AD348-INDEX(TZ_STD,MATCH(P348,TZ_STN,0))/24)&gt;=INDEX(TZ_DSTS,MATCH(P348,TZ_STN,0)),(AD348-INDEX(TZ_STD,MATCH(P348,TZ_STN,0))/24)&lt;INDEX(TZ_DSTE,MATCH(P348,TZ_STN,0))),INDEX(TZ_DST,MATCH(P348,TZ_STN,0)),INDEX(TZ_STD,MATCH(P348,TZ_STN,0))))/24,"")</f>
        <v/>
      </c>
      <c r="AH348" s="65" t="str">
        <f aca="false">IFERROR(IF(N348="N/A – rule","N/A – RULE",IF(TRIM(U348)="N/A",IF(AT348=0,"INVALID – N/A not permitted for this check",IF(AND(TRIM(AB348)&lt;&gt;"",TRIM(AB348)&lt;&gt;"Closed"),"INVALID – corrective action still open",IF(AND(NOT(OR(LEN(AZ348)&lt;15,ISNUMBER(MATCH(AZ348,L_Placeholder,0)))),NOT(OR(LEN(AU348)&lt;2,ISNUMBER(MATCH(AU348,L_Placeholder,0)))),NOT(OR(LEN(AX348)&lt;2,ISNUMBER(MATCH(AX348,L_Placeholder,0)))),TRIM(AE348)&lt;&gt;TRIM(T348)),"N/A – JUSTIFIED","INVALID – N/A needs a real justification (15+ chars), PIC and a different verifier"))),IF(OR(TRIM(U348)="Pass",TRIM(U348)="Pass after CA"),IF(NOT(ISNUMBER(AD348)),"INVALID – completion time missing",IF(OR(LEN(AU348)&lt;2,ISNUMBER(MATCH(AU348,L_Placeholder,0))),"INVALID – PIC missing",IF(OR(LEN(AV348)&lt;2,ISNUMBER(MATCH(AV348,L_Placeholder,0))),"INVALID – result / assessment missing",IF(OR(OR(LEN(AW348)&lt;3,ISNUMBER(MATCH(AW348,L_Placeholder,0))),SUMPRODUCT(--ISNUMBER(SEARCH(L_EvidencePhrase,AW348)))&gt;0),"INVALID – evidence missing, placeholder or not yet on file",IF(OR(LEN(AX348)&lt;2,ISNUMBER(MATCH(AX348,L_Placeholder,0))),"INVALID – verifier missing",IF(AX348=AU348,"INVALID – verifier must be someone other than the PIC",IF(AND(TRIM(U348)="Pass",SUMPRODUCT(--ISNUMBER(SEARCH(L_ResultBad,AV348)))&gt;0),"INVALID – result describes a problem: use Fail, then Pass after CA",IF(AND(AQ348=1,OR(LEN(AY348)&lt;3,ISNUMBER(MATCH(AY348,L_Placeholder,0)))),"INVALID – batch ID missing or placeholder",IF(AND(AR348=1,OR(NOT(ISNUMBER(X348)),NOT(ISNUMBER(Y348)))),"INVALID – expected/actual qty missing",IF(AND(AR348=1,OR(X348&lt;=0,Y348&lt;0)),"INVALID – expected qty must be above 0 and actual not negative",IF(AH337="N/A – JUSTIFIED","INVALID – preparation row F10-T12-06 is N/A",IF(AND(AR348=1,ISNUMBER(X337),X348&lt;&gt;X337),"INVALID – expected qty differs from preparation check F10-T12-06",IF(BB348&lt;&gt;"",BB348,IF(AND(AS348=1,Documents!$J$14&lt;&gt;"ON FILE"),"INVALID – GLD not on file (Documents sheet)",IF(AND(AS348=2,Documents!$O$14&lt;&gt;"ON FILE"),"INVALID – menu checklist not on file (Documents sheet)",IF(AND(AS348=3,NOT(ISNUMBER(Flights!$AX$14))),"INVALID – enter carrying flight KUL departure (Flights AX)",IF(AND(AS348=3,OR(Flights!$AZ$14&gt;Flights!$AA$14,Flights!$AX$14&lt;Flights!$AA$14-3)),"INVALID – carrying flight (Flights AX) cannot arrive before this leg's STD, or is over 3 days early",IF(AG348&gt;AsOfUTC,"INVALID – completion time is in the future",IF(AND(ISNUMBER(S348),AG348&lt;S348),IF(H348="Physical uplift","INVALID – before uplift window (cannot confirm loading)","INVALID – before valid window"),IF(AG348&gt;Flights!$AA$14,"INVALID – completed after departure (cannot establish readiness)",IF(AND(H348="Preparation",AG348&gt;IF(ISNUMBER(Flights!$BA$14),MIN(Flights!$BA$14,Flights!$AA$14),Flights!$AA$14)),"INVALID – completed after loading / departure (cannot establish readiness)",IF(AND(H348="Physical uplift",AG348&gt;Q348),"INVALID – recorded after the loading flight departed",IF(AG348&gt;Q348,"COMPLETE – LATE","COMPLETE"))))))))))))))))))))))),IF(TRIM(U348)="Fail","FAIL – DISCREPANCY",IF(AND(TRIM(U348)&lt;&gt;"",TRIM(U348)&lt;&gt;"Not started",TRIM(U348)&lt;&gt;"In progress"),"INVALID – unrecognised status (use the list)",IF(AsOfUTC&gt;Q348,"OVERDUE",IF(N348="Clarification required","OPEN – CLARIFICATION","OPEN"))))))),"INVALID – error value in an input cell")</f>
        <v>OPEN</v>
      </c>
      <c r="AI348" s="61" t="n">
        <f aca="false">IF(OR(AH348="N/A – RULE",AH348="N/A – JUSTIFIED"),0,1)</f>
        <v>1</v>
      </c>
      <c r="AJ348" s="61" t="n">
        <f aca="false">IF(LEFT(AH348,8)="COMPLETE",1,0)</f>
        <v>0</v>
      </c>
      <c r="AK348" s="61" t="n">
        <f aca="false">IF(AND(AI348=1,AJ348=0,AsOfUTC&gt;Q348),1,0)</f>
        <v>0</v>
      </c>
      <c r="AL348" s="61" t="n">
        <f aca="false">IFERROR(IF(AND(AI348=1,OR(TRIM(U348)="Fail",AND(TRIM(AB348)&lt;&gt;"",TRIM(AB348)&lt;&gt;"Closed"),AND(ISNUMBER(AF348),AF348&lt;&gt;0,TRIM(U348)&lt;&gt;"Pass after CA"))),1,0),1)</f>
        <v>0</v>
      </c>
      <c r="AM348" s="61" t="n">
        <f aca="false">IF(LEFT(AH348,7)="INVALID",1,0)</f>
        <v>0</v>
      </c>
      <c r="AN348" s="61" t="n">
        <f aca="false">IF(AND(N348="Clarification required",AI348=1,AJ348=0),1,0)</f>
        <v>0</v>
      </c>
      <c r="AO348" s="61" t="str">
        <f aca="false">IF(AK348=1,SUM(AK$5:AK348),"")</f>
        <v/>
      </c>
      <c r="AP348" s="61" t="str">
        <f aca="false">IF(AL348=1,SUM(AL$5:AL348),"")</f>
        <v/>
      </c>
      <c r="AQ348" s="61" t="n">
        <v>0</v>
      </c>
      <c r="AR348" s="61" t="n">
        <v>1</v>
      </c>
      <c r="AS348" s="61" t="n">
        <v>0</v>
      </c>
      <c r="AT348" s="61" t="n">
        <v>0</v>
      </c>
      <c r="AU348" s="61" t="str">
        <f aca="false">SUBSTITUTE(SUBSTITUTE(SUBSTITUTE(SUBSTITUTE(SUBSTITUTE(SUBSTITUTE(SUBSTITUTE(SUBSTITUTE(SUBSTITUTE(SUBSTITUTE(SUBSTITUTE(SUBSTITUTE(SUBSTITUTE(LOWER(T348&amp;""),CHAR(160),"")," ",""),".",""),"-",""),"/",""),"?",""),"_",""),",",""),"[",""),"]",""),"(",""),")",""),"*","")</f>
        <v/>
      </c>
      <c r="AV348" s="61" t="str">
        <f aca="false">SUBSTITUTE(SUBSTITUTE(SUBSTITUTE(SUBSTITUTE(SUBSTITUTE(SUBSTITUTE(SUBSTITUTE(SUBSTITUTE(SUBSTITUTE(SUBSTITUTE(SUBSTITUTE(SUBSTITUTE(SUBSTITUTE(LOWER(V348&amp;""),CHAR(160),"")," ",""),".",""),"-",""),"/",""),"?",""),"_",""),",",""),"[",""),"]",""),"(",""),")",""),"*","")</f>
        <v/>
      </c>
      <c r="AW348" s="61" t="str">
        <f aca="false">SUBSTITUTE(SUBSTITUTE(SUBSTITUTE(SUBSTITUTE(SUBSTITUTE(SUBSTITUTE(SUBSTITUTE(SUBSTITUTE(SUBSTITUTE(SUBSTITUTE(SUBSTITUTE(SUBSTITUTE(SUBSTITUTE(LOWER(Z348&amp;""),CHAR(160),"")," ",""),".",""),"-",""),"/",""),"?",""),"_",""),",",""),"[",""),"]",""),"(",""),")",""),"*","")</f>
        <v/>
      </c>
      <c r="AX348" s="61" t="str">
        <f aca="false">SUBSTITUTE(SUBSTITUTE(SUBSTITUTE(SUBSTITUTE(SUBSTITUTE(SUBSTITUTE(SUBSTITUTE(SUBSTITUTE(SUBSTITUTE(SUBSTITUTE(SUBSTITUTE(SUBSTITUTE(SUBSTITUTE(LOWER(AE348&amp;""),CHAR(160),"")," ",""),".",""),"-",""),"/",""),"?",""),"_",""),",",""),"[",""),"]",""),"(",""),")",""),"*","")</f>
        <v/>
      </c>
      <c r="AY348" s="61" t="str">
        <f aca="false">SUBSTITUTE(SUBSTITUTE(SUBSTITUTE(SUBSTITUTE(SUBSTITUTE(SUBSTITUTE(SUBSTITUTE(SUBSTITUTE(SUBSTITUTE(SUBSTITUTE(SUBSTITUTE(SUBSTITUTE(SUBSTITUTE(LOWER(W348&amp;""),CHAR(160),"")," ",""),".",""),"-",""),"/",""),"?",""),"_",""),",",""),"[",""),"]",""),"(",""),")",""),"*","")</f>
        <v/>
      </c>
      <c r="AZ348" s="61" t="str">
        <f aca="false">SUBSTITUTE(SUBSTITUTE(SUBSTITUTE(SUBSTITUTE(SUBSTITUTE(SUBSTITUTE(SUBSTITUTE(SUBSTITUTE(SUBSTITUTE(SUBSTITUTE(SUBSTITUTE(SUBSTITUTE(SUBSTITUTE(LOWER(AC348&amp;""),CHAR(160),"")," ",""),".",""),"-",""),"/",""),"?",""),"_",""),",",""),"[",""),"]",""),"(",""),")",""),"*","")</f>
        <v/>
      </c>
      <c r="BA348" s="61" t="str">
        <f aca="false">SUBSTITUTE(SUBSTITUTE(SUBSTITUTE(SUBSTITUTE(SUBSTITUTE(SUBSTITUTE(SUBSTITUTE(SUBSTITUTE(SUBSTITUTE(SUBSTITUTE(SUBSTITUTE(SUBSTITUTE(SUBSTITUTE(LOWER(AA348&amp;""),CHAR(160),"")," ",""),".",""),"-",""),"/",""),"?",""),"_",""),",",""),"[",""),"]",""),"(",""),")",""),"*","")</f>
        <v/>
      </c>
      <c r="BB348" s="61" t="str">
        <f aca="false">IF(AND(TRIM(U348)="Pass",ISNUMBER(AF348)),IF(AF348&lt;&gt;0,"INVALID – qty variance: use Fail or Pass after CA",""),"")&amp;IF(AND(TRIM(U348)="Pass after CA",ISNUMBER(AF348)),IF(AF348&lt;&gt;0,"INVALID – after the corrective action the actual qty must equal expected (update Actual)",""),"")&amp;IF(AND(TRIM(U348)="Pass",TRIM(AB348)&lt;&gt;"",TRIM(AB348)&lt;&gt;"Closed"),"INVALID – corrective action not closed: use Fail, then Pass after CA","")&amp;IF(AND(TRIM(AA348)&lt;&gt;"",TRIM(AB348)=""),"INVALID – CA status missing for the recorded corrective action","")&amp;IF(AND(TRIM(U348)="Pass after CA",OR(OR(LEN(BA348)&lt;5,ISNUMBER(MATCH(BA348,L_Placeholder,0))),TRIM(AB348)&lt;&gt;"Closed")),"INVALID – corrective action not recorded/closed","")</f>
        <v/>
      </c>
    </row>
    <row r="349" customFormat="false" ht="41.25" hidden="false" customHeight="true" outlineLevel="0" collapsed="false">
      <c r="A349" s="57" t="s">
        <v>928</v>
      </c>
      <c r="B349" s="57" t="s">
        <v>248</v>
      </c>
      <c r="C349" s="57" t="str">
        <f aca="false">Flights!$F$14</f>
        <v>MH1140</v>
      </c>
      <c r="D349" s="58" t="n">
        <f aca="false">Flights!$D$14</f>
        <v>46307</v>
      </c>
      <c r="E349" s="57" t="str">
        <f aca="false">Flights!$G$14&amp;"-"&amp;Flights!$H$14</f>
        <v>KUL-PEN</v>
      </c>
      <c r="F349" s="57" t="str">
        <f aca="false">Flights!$K$14</f>
        <v>BC</v>
      </c>
      <c r="G349" s="57" t="s">
        <v>437</v>
      </c>
      <c r="H349" s="57" t="s">
        <v>438</v>
      </c>
      <c r="I349" s="57" t="s">
        <v>418</v>
      </c>
      <c r="J349" s="57" t="s">
        <v>512</v>
      </c>
      <c r="K349" s="67" t="s">
        <v>473</v>
      </c>
      <c r="L349" s="67" t="s">
        <v>911</v>
      </c>
      <c r="M349" s="67" t="s">
        <v>429</v>
      </c>
      <c r="N349" s="67" t="s">
        <v>361</v>
      </c>
      <c r="O349" s="67" t="s">
        <v>513</v>
      </c>
      <c r="P349" s="57" t="s">
        <v>184</v>
      </c>
      <c r="Q349" s="59" t="n">
        <f aca="false">ROUND((Flights!$AF$14)*1440,0)/1440</f>
        <v>46307.15625</v>
      </c>
      <c r="R349" s="59" t="n">
        <f aca="false">Q349+(IF(AND(INDEX(TZ_DSTS,MATCH(P349,TZ_STN,0))&lt;&gt;"",Q349&gt;=INDEX(TZ_DSTS,MATCH(P349,TZ_STN,0)),Q349&lt;INDEX(TZ_DSTE,MATCH(P349,TZ_STN,0))),INDEX(TZ_DST,MATCH(P349,TZ_STN,0)),INDEX(TZ_STD,MATCH(P349,TZ_STN,0))))/24</f>
        <v>46307.4895833333</v>
      </c>
      <c r="S349" s="59" t="n">
        <f aca="false">IF(ISNUMBER(Flights!$AZ$14),MAX(Q349-UpliftWindowH/24,Flights!$AZ$14),Q349-UpliftWindowH/24)</f>
        <v>46306.90625</v>
      </c>
      <c r="T349" s="60"/>
      <c r="U349" s="60"/>
      <c r="V349" s="60"/>
      <c r="W349" s="61"/>
      <c r="X349" s="60"/>
      <c r="Y349" s="60"/>
      <c r="Z349" s="60"/>
      <c r="AA349" s="60"/>
      <c r="AB349" s="60"/>
      <c r="AC349" s="60"/>
      <c r="AD349" s="66"/>
      <c r="AE349" s="60"/>
      <c r="AF349" s="61" t="str">
        <f aca="false">IF(AND(ISNUMBER(X349),ISNUMBER(Y349)),Y349-X349,"")</f>
        <v/>
      </c>
      <c r="AG349" s="62" t="str">
        <f aca="false">IF(ISNUMBER(AD349),AD349-(IF(AND(INDEX(TZ_DSTS,MATCH(P349,TZ_STN,0))&lt;&gt;"",(AD349-INDEX(TZ_STD,MATCH(P349,TZ_STN,0))/24)&gt;=INDEX(TZ_DSTS,MATCH(P349,TZ_STN,0)),(AD349-INDEX(TZ_STD,MATCH(P349,TZ_STN,0))/24)&lt;INDEX(TZ_DSTE,MATCH(P349,TZ_STN,0))),INDEX(TZ_DST,MATCH(P349,TZ_STN,0)),INDEX(TZ_STD,MATCH(P349,TZ_STN,0))))/24,"")</f>
        <v/>
      </c>
      <c r="AH349" s="65" t="str">
        <f aca="false">IFERROR(IF(N349="N/A – rule","N/A – RULE",IF(TRIM(U349)="N/A",IF(AT349=0,"INVALID – N/A not permitted for this check",IF(AND(TRIM(AB349)&lt;&gt;"",TRIM(AB349)&lt;&gt;"Closed"),"INVALID – corrective action still open",IF(AND(NOT(OR(LEN(AZ349)&lt;15,ISNUMBER(MATCH(AZ349,L_Placeholder,0)))),NOT(OR(LEN(AU349)&lt;2,ISNUMBER(MATCH(AU349,L_Placeholder,0)))),NOT(OR(LEN(AX349)&lt;2,ISNUMBER(MATCH(AX349,L_Placeholder,0)))),TRIM(AE349)&lt;&gt;TRIM(T349)),"N/A – JUSTIFIED","INVALID – N/A needs a real justification (15+ chars), PIC and a different verifier"))),IF(OR(TRIM(U349)="Pass",TRIM(U349)="Pass after CA"),IF(NOT(ISNUMBER(AD349)),"INVALID – completion time missing",IF(OR(LEN(AU349)&lt;2,ISNUMBER(MATCH(AU349,L_Placeholder,0))),"INVALID – PIC missing",IF(OR(LEN(AV349)&lt;2,ISNUMBER(MATCH(AV349,L_Placeholder,0))),"INVALID – result / assessment missing",IF(OR(OR(LEN(AW349)&lt;3,ISNUMBER(MATCH(AW349,L_Placeholder,0))),SUMPRODUCT(--ISNUMBER(SEARCH(L_EvidencePhrase,AW349)))&gt;0),"INVALID – evidence missing, placeholder or not yet on file",IF(OR(LEN(AX349)&lt;2,ISNUMBER(MATCH(AX349,L_Placeholder,0))),"INVALID – verifier missing",IF(AX349=AU349,"INVALID – verifier must be someone other than the PIC",IF(AND(TRIM(U349)="Pass",SUMPRODUCT(--ISNUMBER(SEARCH(L_ResultBad,AV349)))&gt;0),"INVALID – result describes a problem: use Fail, then Pass after CA",IF(AND(AQ349=1,OR(LEN(AY349)&lt;3,ISNUMBER(MATCH(AY349,L_Placeholder,0)))),"INVALID – batch ID missing or placeholder",IF(AND(AR349=1,OR(NOT(ISNUMBER(X349)),NOT(ISNUMBER(Y349)))),"INVALID – expected/actual qty missing",IF(AND(AR349=1,OR(X349&lt;=0,Y349&lt;0)),"INVALID – expected qty must be above 0 and actual not negative",IF(AH339="N/A – JUSTIFIED","INVALID – preparation row F10-T12-08 is N/A",IF(AND(AR349=1,ISNUMBER(X339),X349&lt;&gt;X339),"INVALID – expected qty differs from preparation check F10-T12-08",IF(BB349&lt;&gt;"",BB349,IF(AND(AS349=1,Documents!$J$14&lt;&gt;"ON FILE"),"INVALID – GLD not on file (Documents sheet)",IF(AND(AS349=2,Documents!$O$14&lt;&gt;"ON FILE"),"INVALID – menu checklist not on file (Documents sheet)",IF(AND(AS349=3,NOT(ISNUMBER(Flights!$AX$14))),"INVALID – enter carrying flight KUL departure (Flights AX)",IF(AND(AS349=3,OR(Flights!$AZ$14&gt;Flights!$AA$14,Flights!$AX$14&lt;Flights!$AA$14-3)),"INVALID – carrying flight (Flights AX) cannot arrive before this leg's STD, or is over 3 days early",IF(AG349&gt;AsOfUTC,"INVALID – completion time is in the future",IF(AND(ISNUMBER(S349),AG349&lt;S349),IF(H349="Physical uplift","INVALID – before uplift window (cannot confirm loading)","INVALID – before valid window"),IF(AG349&gt;Flights!$AA$14,"INVALID – completed after departure (cannot establish readiness)",IF(AND(H349="Preparation",AG349&gt;IF(ISNUMBER(Flights!$BA$14),MIN(Flights!$BA$14,Flights!$AA$14),Flights!$AA$14)),"INVALID – completed after loading / departure (cannot establish readiness)",IF(AND(H349="Physical uplift",AG349&gt;Q349),"INVALID – recorded after the loading flight departed",IF(AG349&gt;Q349,"COMPLETE – LATE","COMPLETE"))))))))))))))))))))))),IF(TRIM(U349)="Fail","FAIL – DISCREPANCY",IF(AND(TRIM(U349)&lt;&gt;"",TRIM(U349)&lt;&gt;"Not started",TRIM(U349)&lt;&gt;"In progress"),"INVALID – unrecognised status (use the list)",IF(AsOfUTC&gt;Q349,"OVERDUE",IF(N349="Clarification required","OPEN – CLARIFICATION","OPEN"))))))),"INVALID – error value in an input cell")</f>
        <v>OPEN</v>
      </c>
      <c r="AI349" s="61" t="n">
        <f aca="false">IF(OR(AH349="N/A – RULE",AH349="N/A – JUSTIFIED"),0,1)</f>
        <v>1</v>
      </c>
      <c r="AJ349" s="61" t="n">
        <f aca="false">IF(LEFT(AH349,8)="COMPLETE",1,0)</f>
        <v>0</v>
      </c>
      <c r="AK349" s="61" t="n">
        <f aca="false">IF(AND(AI349=1,AJ349=0,AsOfUTC&gt;Q349),1,0)</f>
        <v>0</v>
      </c>
      <c r="AL349" s="61" t="n">
        <f aca="false">IFERROR(IF(AND(AI349=1,OR(TRIM(U349)="Fail",AND(TRIM(AB349)&lt;&gt;"",TRIM(AB349)&lt;&gt;"Closed"),AND(ISNUMBER(AF349),AF349&lt;&gt;0,TRIM(U349)&lt;&gt;"Pass after CA"))),1,0),1)</f>
        <v>0</v>
      </c>
      <c r="AM349" s="61" t="n">
        <f aca="false">IF(LEFT(AH349,7)="INVALID",1,0)</f>
        <v>0</v>
      </c>
      <c r="AN349" s="61" t="n">
        <f aca="false">IF(AND(N349="Clarification required",AI349=1,AJ349=0),1,0)</f>
        <v>0</v>
      </c>
      <c r="AO349" s="61" t="str">
        <f aca="false">IF(AK349=1,SUM(AK$5:AK349),"")</f>
        <v/>
      </c>
      <c r="AP349" s="61" t="str">
        <f aca="false">IF(AL349=1,SUM(AL$5:AL349),"")</f>
        <v/>
      </c>
      <c r="AQ349" s="61" t="n">
        <v>0</v>
      </c>
      <c r="AR349" s="61" t="n">
        <v>0</v>
      </c>
      <c r="AS349" s="61" t="n">
        <v>0</v>
      </c>
      <c r="AT349" s="61" t="n">
        <v>0</v>
      </c>
      <c r="AU349" s="61" t="str">
        <f aca="false">SUBSTITUTE(SUBSTITUTE(SUBSTITUTE(SUBSTITUTE(SUBSTITUTE(SUBSTITUTE(SUBSTITUTE(SUBSTITUTE(SUBSTITUTE(SUBSTITUTE(SUBSTITUTE(SUBSTITUTE(SUBSTITUTE(LOWER(T349&amp;""),CHAR(160),"")," ",""),".",""),"-",""),"/",""),"?",""),"_",""),",",""),"[",""),"]",""),"(",""),")",""),"*","")</f>
        <v/>
      </c>
      <c r="AV349" s="61" t="str">
        <f aca="false">SUBSTITUTE(SUBSTITUTE(SUBSTITUTE(SUBSTITUTE(SUBSTITUTE(SUBSTITUTE(SUBSTITUTE(SUBSTITUTE(SUBSTITUTE(SUBSTITUTE(SUBSTITUTE(SUBSTITUTE(SUBSTITUTE(LOWER(V349&amp;""),CHAR(160),"")," ",""),".",""),"-",""),"/",""),"?",""),"_",""),",",""),"[",""),"]",""),"(",""),")",""),"*","")</f>
        <v/>
      </c>
      <c r="AW349" s="61" t="str">
        <f aca="false">SUBSTITUTE(SUBSTITUTE(SUBSTITUTE(SUBSTITUTE(SUBSTITUTE(SUBSTITUTE(SUBSTITUTE(SUBSTITUTE(SUBSTITUTE(SUBSTITUTE(SUBSTITUTE(SUBSTITUTE(SUBSTITUTE(LOWER(Z349&amp;""),CHAR(160),"")," ",""),".",""),"-",""),"/",""),"?",""),"_",""),",",""),"[",""),"]",""),"(",""),")",""),"*","")</f>
        <v/>
      </c>
      <c r="AX349" s="61" t="str">
        <f aca="false">SUBSTITUTE(SUBSTITUTE(SUBSTITUTE(SUBSTITUTE(SUBSTITUTE(SUBSTITUTE(SUBSTITUTE(SUBSTITUTE(SUBSTITUTE(SUBSTITUTE(SUBSTITUTE(SUBSTITUTE(SUBSTITUTE(LOWER(AE349&amp;""),CHAR(160),"")," ",""),".",""),"-",""),"/",""),"?",""),"_",""),",",""),"[",""),"]",""),"(",""),")",""),"*","")</f>
        <v/>
      </c>
      <c r="AY349" s="61" t="str">
        <f aca="false">SUBSTITUTE(SUBSTITUTE(SUBSTITUTE(SUBSTITUTE(SUBSTITUTE(SUBSTITUTE(SUBSTITUTE(SUBSTITUTE(SUBSTITUTE(SUBSTITUTE(SUBSTITUTE(SUBSTITUTE(SUBSTITUTE(LOWER(W349&amp;""),CHAR(160),"")," ",""),".",""),"-",""),"/",""),"?",""),"_",""),",",""),"[",""),"]",""),"(",""),")",""),"*","")</f>
        <v/>
      </c>
      <c r="AZ349" s="61" t="str">
        <f aca="false">SUBSTITUTE(SUBSTITUTE(SUBSTITUTE(SUBSTITUTE(SUBSTITUTE(SUBSTITUTE(SUBSTITUTE(SUBSTITUTE(SUBSTITUTE(SUBSTITUTE(SUBSTITUTE(SUBSTITUTE(SUBSTITUTE(LOWER(AC349&amp;""),CHAR(160),"")," ",""),".",""),"-",""),"/",""),"?",""),"_",""),",",""),"[",""),"]",""),"(",""),")",""),"*","")</f>
        <v/>
      </c>
      <c r="BA349" s="61" t="str">
        <f aca="false">SUBSTITUTE(SUBSTITUTE(SUBSTITUTE(SUBSTITUTE(SUBSTITUTE(SUBSTITUTE(SUBSTITUTE(SUBSTITUTE(SUBSTITUTE(SUBSTITUTE(SUBSTITUTE(SUBSTITUTE(SUBSTITUTE(LOWER(AA349&amp;""),CHAR(160),"")," ",""),".",""),"-",""),"/",""),"?",""),"_",""),",",""),"[",""),"]",""),"(",""),")",""),"*","")</f>
        <v/>
      </c>
      <c r="BB349" s="61" t="str">
        <f aca="false">IF(AND(TRIM(U349)="Pass",ISNUMBER(AF349)),IF(AF349&lt;&gt;0,"INVALID – qty variance: use Fail or Pass after CA",""),"")&amp;IF(AND(TRIM(U349)="Pass after CA",ISNUMBER(AF349)),IF(AF349&lt;&gt;0,"INVALID – after the corrective action the actual qty must equal expected (update Actual)",""),"")&amp;IF(AND(TRIM(U349)="Pass",TRIM(AB349)&lt;&gt;"",TRIM(AB349)&lt;&gt;"Closed"),"INVALID – corrective action not closed: use Fail, then Pass after CA","")&amp;IF(AND(TRIM(AA349)&lt;&gt;"",TRIM(AB349)=""),"INVALID – CA status missing for the recorded corrective action","")&amp;IF(AND(TRIM(U349)="Pass after CA",OR(OR(LEN(BA349)&lt;5,ISNUMBER(MATCH(BA349,L_Placeholder,0))),TRIM(AB349)&lt;&gt;"Closed")),"INVALID – corrective action not recorded/closed","")</f>
        <v/>
      </c>
    </row>
    <row r="350" customFormat="false" ht="39.75" hidden="false" customHeight="true" outlineLevel="0" collapsed="false">
      <c r="A350" s="57" t="s">
        <v>929</v>
      </c>
      <c r="B350" s="57" t="s">
        <v>248</v>
      </c>
      <c r="C350" s="57" t="str">
        <f aca="false">Flights!$F$14</f>
        <v>MH1140</v>
      </c>
      <c r="D350" s="58" t="n">
        <f aca="false">Flights!$D$14</f>
        <v>46307</v>
      </c>
      <c r="E350" s="57" t="str">
        <f aca="false">Flights!$G$14&amp;"-"&amp;Flights!$H$14</f>
        <v>KUL-PEN</v>
      </c>
      <c r="F350" s="57" t="str">
        <f aca="false">Flights!$K$14</f>
        <v>BC</v>
      </c>
      <c r="G350" s="57" t="s">
        <v>437</v>
      </c>
      <c r="H350" s="57" t="s">
        <v>438</v>
      </c>
      <c r="I350" s="57" t="s">
        <v>477</v>
      </c>
      <c r="J350" s="57" t="s">
        <v>515</v>
      </c>
      <c r="K350" s="67" t="s">
        <v>479</v>
      </c>
      <c r="L350" s="67" t="s">
        <v>913</v>
      </c>
      <c r="M350" s="67" t="s">
        <v>429</v>
      </c>
      <c r="N350" s="67" t="s">
        <v>361</v>
      </c>
      <c r="O350" s="67"/>
      <c r="P350" s="57" t="s">
        <v>184</v>
      </c>
      <c r="Q350" s="59" t="n">
        <f aca="false">ROUND((Flights!$AF$14)*1440,0)/1440</f>
        <v>46307.15625</v>
      </c>
      <c r="R350" s="59" t="n">
        <f aca="false">Q350+(IF(AND(INDEX(TZ_DSTS,MATCH(P350,TZ_STN,0))&lt;&gt;"",Q350&gt;=INDEX(TZ_DSTS,MATCH(P350,TZ_STN,0)),Q350&lt;INDEX(TZ_DSTE,MATCH(P350,TZ_STN,0))),INDEX(TZ_DST,MATCH(P350,TZ_STN,0)),INDEX(TZ_STD,MATCH(P350,TZ_STN,0))))/24</f>
        <v>46307.4895833333</v>
      </c>
      <c r="S350" s="59" t="n">
        <f aca="false">IF(ISNUMBER(Flights!$AZ$14),MAX(Q350-UpliftWindowH/24,Flights!$AZ$14),Q350-UpliftWindowH/24)</f>
        <v>46306.90625</v>
      </c>
      <c r="T350" s="60"/>
      <c r="U350" s="60"/>
      <c r="V350" s="60"/>
      <c r="W350" s="61"/>
      <c r="X350" s="60"/>
      <c r="Y350" s="60"/>
      <c r="Z350" s="60"/>
      <c r="AA350" s="60"/>
      <c r="AB350" s="60"/>
      <c r="AC350" s="60"/>
      <c r="AD350" s="66"/>
      <c r="AE350" s="60"/>
      <c r="AF350" s="61" t="str">
        <f aca="false">IF(AND(ISNUMBER(X350),ISNUMBER(Y350)),Y350-X350,"")</f>
        <v/>
      </c>
      <c r="AG350" s="62" t="str">
        <f aca="false">IF(ISNUMBER(AD350),AD350-(IF(AND(INDEX(TZ_DSTS,MATCH(P350,TZ_STN,0))&lt;&gt;"",(AD350-INDEX(TZ_STD,MATCH(P350,TZ_STN,0))/24)&gt;=INDEX(TZ_DSTS,MATCH(P350,TZ_STN,0)),(AD350-INDEX(TZ_STD,MATCH(P350,TZ_STN,0))/24)&lt;INDEX(TZ_DSTE,MATCH(P350,TZ_STN,0))),INDEX(TZ_DST,MATCH(P350,TZ_STN,0)),INDEX(TZ_STD,MATCH(P350,TZ_STN,0))))/24,"")</f>
        <v/>
      </c>
      <c r="AH350" s="65" t="str">
        <f aca="false">IFERROR(IF(N350="N/A – rule","N/A – RULE",IF(TRIM(U350)="N/A",IF(AT350=0,"INVALID – N/A not permitted for this check",IF(AND(TRIM(AB350)&lt;&gt;"",TRIM(AB350)&lt;&gt;"Closed"),"INVALID – corrective action still open",IF(AND(NOT(OR(LEN(AZ350)&lt;15,ISNUMBER(MATCH(AZ350,L_Placeholder,0)))),NOT(OR(LEN(AU350)&lt;2,ISNUMBER(MATCH(AU350,L_Placeholder,0)))),NOT(OR(LEN(AX350)&lt;2,ISNUMBER(MATCH(AX350,L_Placeholder,0)))),TRIM(AE350)&lt;&gt;TRIM(T350)),"N/A – JUSTIFIED","INVALID – N/A needs a real justification (15+ chars), PIC and a different verifier"))),IF(OR(TRIM(U350)="Pass",TRIM(U350)="Pass after CA"),IF(NOT(ISNUMBER(AD350)),"INVALID – completion time missing",IF(OR(LEN(AU350)&lt;2,ISNUMBER(MATCH(AU350,L_Placeholder,0))),"INVALID – PIC missing",IF(OR(LEN(AV350)&lt;2,ISNUMBER(MATCH(AV350,L_Placeholder,0))),"INVALID – result / assessment missing",IF(OR(OR(LEN(AW350)&lt;3,ISNUMBER(MATCH(AW350,L_Placeholder,0))),SUMPRODUCT(--ISNUMBER(SEARCH(L_EvidencePhrase,AW350)))&gt;0),"INVALID – evidence missing, placeholder or not yet on file",IF(OR(LEN(AX350)&lt;2,ISNUMBER(MATCH(AX350,L_Placeholder,0))),"INVALID – verifier missing",IF(AX350=AU350,"INVALID – verifier must be someone other than the PIC",IF(AND(TRIM(U350)="Pass",SUMPRODUCT(--ISNUMBER(SEARCH(L_ResultBad,AV350)))&gt;0),"INVALID – result describes a problem: use Fail, then Pass after CA",IF(AND(AQ350=1,OR(LEN(AY350)&lt;3,ISNUMBER(MATCH(AY350,L_Placeholder,0)))),"INVALID – batch ID missing or placeholder",IF(AND(AR350=1,OR(NOT(ISNUMBER(X350)),NOT(ISNUMBER(Y350)))),"INVALID – expected/actual qty missing",IF(AND(AR350=1,OR(X350&lt;=0,Y350&lt;0)),"INVALID – expected qty must be above 0 and actual not negative",IF(AH340="N/A – JUSTIFIED","INVALID – preparation row F10-T12-09 is N/A",IF(AND(AR350=1,ISNUMBER(X340),X350&lt;&gt;X340),"INVALID – expected qty differs from preparation check F10-T12-09",IF(BB350&lt;&gt;"",BB350,IF(AND(AS350=1,Documents!$J$14&lt;&gt;"ON FILE"),"INVALID – GLD not on file (Documents sheet)",IF(AND(AS350=2,Documents!$O$14&lt;&gt;"ON FILE"),"INVALID – menu checklist not on file (Documents sheet)",IF(AND(AS350=3,NOT(ISNUMBER(Flights!$AX$14))),"INVALID – enter carrying flight KUL departure (Flights AX)",IF(AND(AS350=3,OR(Flights!$AZ$14&gt;Flights!$AA$14,Flights!$AX$14&lt;Flights!$AA$14-3)),"INVALID – carrying flight (Flights AX) cannot arrive before this leg's STD, or is over 3 days early",IF(AG350&gt;AsOfUTC,"INVALID – completion time is in the future",IF(AND(ISNUMBER(S350),AG350&lt;S350),IF(H350="Physical uplift","INVALID – before uplift window (cannot confirm loading)","INVALID – before valid window"),IF(AG350&gt;Flights!$AA$14,"INVALID – completed after departure (cannot establish readiness)",IF(AND(H350="Preparation",AG350&gt;IF(ISNUMBER(Flights!$BA$14),MIN(Flights!$BA$14,Flights!$AA$14),Flights!$AA$14)),"INVALID – completed after loading / departure (cannot establish readiness)",IF(AND(H350="Physical uplift",AG350&gt;Q350),"INVALID – recorded after the loading flight departed",IF(AG350&gt;Q350,"COMPLETE – LATE","COMPLETE"))))))))))))))))))))))),IF(TRIM(U350)="Fail","FAIL – DISCREPANCY",IF(AND(TRIM(U350)&lt;&gt;"",TRIM(U350)&lt;&gt;"Not started",TRIM(U350)&lt;&gt;"In progress"),"INVALID – unrecognised status (use the list)",IF(AsOfUTC&gt;Q350,"OVERDUE",IF(N350="Clarification required","OPEN – CLARIFICATION","OPEN"))))))),"INVALID – error value in an input cell")</f>
        <v>OPEN</v>
      </c>
      <c r="AI350" s="61" t="n">
        <f aca="false">IF(OR(AH350="N/A – RULE",AH350="N/A – JUSTIFIED"),0,1)</f>
        <v>1</v>
      </c>
      <c r="AJ350" s="61" t="n">
        <f aca="false">IF(LEFT(AH350,8)="COMPLETE",1,0)</f>
        <v>0</v>
      </c>
      <c r="AK350" s="61" t="n">
        <f aca="false">IF(AND(AI350=1,AJ350=0,AsOfUTC&gt;Q350),1,0)</f>
        <v>0</v>
      </c>
      <c r="AL350" s="61" t="n">
        <f aca="false">IFERROR(IF(AND(AI350=1,OR(TRIM(U350)="Fail",AND(TRIM(AB350)&lt;&gt;"",TRIM(AB350)&lt;&gt;"Closed"),AND(ISNUMBER(AF350),AF350&lt;&gt;0,TRIM(U350)&lt;&gt;"Pass after CA"))),1,0),1)</f>
        <v>0</v>
      </c>
      <c r="AM350" s="61" t="n">
        <f aca="false">IF(LEFT(AH350,7)="INVALID",1,0)</f>
        <v>0</v>
      </c>
      <c r="AN350" s="61" t="n">
        <f aca="false">IF(AND(N350="Clarification required",AI350=1,AJ350=0),1,0)</f>
        <v>0</v>
      </c>
      <c r="AO350" s="61" t="str">
        <f aca="false">IF(AK350=1,SUM(AK$5:AK350),"")</f>
        <v/>
      </c>
      <c r="AP350" s="61" t="str">
        <f aca="false">IF(AL350=1,SUM(AL$5:AL350),"")</f>
        <v/>
      </c>
      <c r="AQ350" s="61" t="n">
        <v>0</v>
      </c>
      <c r="AR350" s="61" t="n">
        <v>0</v>
      </c>
      <c r="AS350" s="61" t="n">
        <v>0</v>
      </c>
      <c r="AT350" s="61" t="n">
        <v>0</v>
      </c>
      <c r="AU350" s="61" t="str">
        <f aca="false">SUBSTITUTE(SUBSTITUTE(SUBSTITUTE(SUBSTITUTE(SUBSTITUTE(SUBSTITUTE(SUBSTITUTE(SUBSTITUTE(SUBSTITUTE(SUBSTITUTE(SUBSTITUTE(SUBSTITUTE(SUBSTITUTE(LOWER(T350&amp;""),CHAR(160),"")," ",""),".",""),"-",""),"/",""),"?",""),"_",""),",",""),"[",""),"]",""),"(",""),")",""),"*","")</f>
        <v/>
      </c>
      <c r="AV350" s="61" t="str">
        <f aca="false">SUBSTITUTE(SUBSTITUTE(SUBSTITUTE(SUBSTITUTE(SUBSTITUTE(SUBSTITUTE(SUBSTITUTE(SUBSTITUTE(SUBSTITUTE(SUBSTITUTE(SUBSTITUTE(SUBSTITUTE(SUBSTITUTE(LOWER(V350&amp;""),CHAR(160),"")," ",""),".",""),"-",""),"/",""),"?",""),"_",""),",",""),"[",""),"]",""),"(",""),")",""),"*","")</f>
        <v/>
      </c>
      <c r="AW350" s="61" t="str">
        <f aca="false">SUBSTITUTE(SUBSTITUTE(SUBSTITUTE(SUBSTITUTE(SUBSTITUTE(SUBSTITUTE(SUBSTITUTE(SUBSTITUTE(SUBSTITUTE(SUBSTITUTE(SUBSTITUTE(SUBSTITUTE(SUBSTITUTE(LOWER(Z350&amp;""),CHAR(160),"")," ",""),".",""),"-",""),"/",""),"?",""),"_",""),",",""),"[",""),"]",""),"(",""),")",""),"*","")</f>
        <v/>
      </c>
      <c r="AX350" s="61" t="str">
        <f aca="false">SUBSTITUTE(SUBSTITUTE(SUBSTITUTE(SUBSTITUTE(SUBSTITUTE(SUBSTITUTE(SUBSTITUTE(SUBSTITUTE(SUBSTITUTE(SUBSTITUTE(SUBSTITUTE(SUBSTITUTE(SUBSTITUTE(LOWER(AE350&amp;""),CHAR(160),"")," ",""),".",""),"-",""),"/",""),"?",""),"_",""),",",""),"[",""),"]",""),"(",""),")",""),"*","")</f>
        <v/>
      </c>
      <c r="AY350" s="61" t="str">
        <f aca="false">SUBSTITUTE(SUBSTITUTE(SUBSTITUTE(SUBSTITUTE(SUBSTITUTE(SUBSTITUTE(SUBSTITUTE(SUBSTITUTE(SUBSTITUTE(SUBSTITUTE(SUBSTITUTE(SUBSTITUTE(SUBSTITUTE(LOWER(W350&amp;""),CHAR(160),"")," ",""),".",""),"-",""),"/",""),"?",""),"_",""),",",""),"[",""),"]",""),"(",""),")",""),"*","")</f>
        <v/>
      </c>
      <c r="AZ350" s="61" t="str">
        <f aca="false">SUBSTITUTE(SUBSTITUTE(SUBSTITUTE(SUBSTITUTE(SUBSTITUTE(SUBSTITUTE(SUBSTITUTE(SUBSTITUTE(SUBSTITUTE(SUBSTITUTE(SUBSTITUTE(SUBSTITUTE(SUBSTITUTE(LOWER(AC350&amp;""),CHAR(160),"")," ",""),".",""),"-",""),"/",""),"?",""),"_",""),",",""),"[",""),"]",""),"(",""),")",""),"*","")</f>
        <v/>
      </c>
      <c r="BA350" s="61" t="str">
        <f aca="false">SUBSTITUTE(SUBSTITUTE(SUBSTITUTE(SUBSTITUTE(SUBSTITUTE(SUBSTITUTE(SUBSTITUTE(SUBSTITUTE(SUBSTITUTE(SUBSTITUTE(SUBSTITUTE(SUBSTITUTE(SUBSTITUTE(LOWER(AA350&amp;""),CHAR(160),"")," ",""),".",""),"-",""),"/",""),"?",""),"_",""),",",""),"[",""),"]",""),"(",""),")",""),"*","")</f>
        <v/>
      </c>
      <c r="BB350" s="61" t="str">
        <f aca="false">IF(AND(TRIM(U350)="Pass",ISNUMBER(AF350)),IF(AF350&lt;&gt;0,"INVALID – qty variance: use Fail or Pass after CA",""),"")&amp;IF(AND(TRIM(U350)="Pass after CA",ISNUMBER(AF350)),IF(AF350&lt;&gt;0,"INVALID – after the corrective action the actual qty must equal expected (update Actual)",""),"")&amp;IF(AND(TRIM(U350)="Pass",TRIM(AB350)&lt;&gt;"",TRIM(AB350)&lt;&gt;"Closed"),"INVALID – corrective action not closed: use Fail, then Pass after CA","")&amp;IF(AND(TRIM(AA350)&lt;&gt;"",TRIM(AB350)=""),"INVALID – CA status missing for the recorded corrective action","")&amp;IF(AND(TRIM(U350)="Pass after CA",OR(OR(LEN(BA350)&lt;5,ISNUMBER(MATCH(BA350,L_Placeholder,0))),TRIM(AB350)&lt;&gt;"Closed")),"INVALID – corrective action not recorded/closed","")</f>
        <v/>
      </c>
    </row>
    <row r="351" customFormat="false" ht="39.75" hidden="false" customHeight="true" outlineLevel="0" collapsed="false">
      <c r="A351" s="57" t="s">
        <v>930</v>
      </c>
      <c r="B351" s="57" t="s">
        <v>248</v>
      </c>
      <c r="C351" s="57" t="str">
        <f aca="false">Flights!$F$14</f>
        <v>MH1140</v>
      </c>
      <c r="D351" s="58" t="n">
        <f aca="false">Flights!$D$14</f>
        <v>46307</v>
      </c>
      <c r="E351" s="57" t="str">
        <f aca="false">Flights!$G$14&amp;"-"&amp;Flights!$H$14</f>
        <v>KUL-PEN</v>
      </c>
      <c r="F351" s="57" t="str">
        <f aca="false">Flights!$K$14</f>
        <v>BC</v>
      </c>
      <c r="G351" s="57" t="s">
        <v>437</v>
      </c>
      <c r="H351" s="57" t="s">
        <v>438</v>
      </c>
      <c r="I351" s="57" t="s">
        <v>477</v>
      </c>
      <c r="J351" s="57" t="s">
        <v>517</v>
      </c>
      <c r="K351" s="67" t="s">
        <v>479</v>
      </c>
      <c r="L351" s="67" t="s">
        <v>915</v>
      </c>
      <c r="M351" s="67" t="s">
        <v>429</v>
      </c>
      <c r="N351" s="67" t="s">
        <v>361</v>
      </c>
      <c r="O351" s="67"/>
      <c r="P351" s="57" t="s">
        <v>184</v>
      </c>
      <c r="Q351" s="59" t="n">
        <f aca="false">ROUND((Flights!$AF$14)*1440,0)/1440</f>
        <v>46307.15625</v>
      </c>
      <c r="R351" s="59" t="n">
        <f aca="false">Q351+(IF(AND(INDEX(TZ_DSTS,MATCH(P351,TZ_STN,0))&lt;&gt;"",Q351&gt;=INDEX(TZ_DSTS,MATCH(P351,TZ_STN,0)),Q351&lt;INDEX(TZ_DSTE,MATCH(P351,TZ_STN,0))),INDEX(TZ_DST,MATCH(P351,TZ_STN,0)),INDEX(TZ_STD,MATCH(P351,TZ_STN,0))))/24</f>
        <v>46307.4895833333</v>
      </c>
      <c r="S351" s="59" t="n">
        <f aca="false">IF(ISNUMBER(Flights!$AZ$14),MAX(Q351-UpliftWindowH/24,Flights!$AZ$14),Q351-UpliftWindowH/24)</f>
        <v>46306.90625</v>
      </c>
      <c r="T351" s="60"/>
      <c r="U351" s="60"/>
      <c r="V351" s="60"/>
      <c r="W351" s="61"/>
      <c r="X351" s="60"/>
      <c r="Y351" s="60"/>
      <c r="Z351" s="60"/>
      <c r="AA351" s="60"/>
      <c r="AB351" s="60"/>
      <c r="AC351" s="60"/>
      <c r="AD351" s="66"/>
      <c r="AE351" s="60"/>
      <c r="AF351" s="61" t="str">
        <f aca="false">IF(AND(ISNUMBER(X351),ISNUMBER(Y351)),Y351-X351,"")</f>
        <v/>
      </c>
      <c r="AG351" s="62" t="str">
        <f aca="false">IF(ISNUMBER(AD351),AD351-(IF(AND(INDEX(TZ_DSTS,MATCH(P351,TZ_STN,0))&lt;&gt;"",(AD351-INDEX(TZ_STD,MATCH(P351,TZ_STN,0))/24)&gt;=INDEX(TZ_DSTS,MATCH(P351,TZ_STN,0)),(AD351-INDEX(TZ_STD,MATCH(P351,TZ_STN,0))/24)&lt;INDEX(TZ_DSTE,MATCH(P351,TZ_STN,0))),INDEX(TZ_DST,MATCH(P351,TZ_STN,0)),INDEX(TZ_STD,MATCH(P351,TZ_STN,0))))/24,"")</f>
        <v/>
      </c>
      <c r="AH351" s="65" t="str">
        <f aca="false">IFERROR(IF(N351="N/A – rule","N/A – RULE",IF(TRIM(U351)="N/A",IF(AT351=0,"INVALID – N/A not permitted for this check",IF(AND(TRIM(AB351)&lt;&gt;"",TRIM(AB351)&lt;&gt;"Closed"),"INVALID – corrective action still open",IF(AND(NOT(OR(LEN(AZ351)&lt;15,ISNUMBER(MATCH(AZ351,L_Placeholder,0)))),NOT(OR(LEN(AU351)&lt;2,ISNUMBER(MATCH(AU351,L_Placeholder,0)))),NOT(OR(LEN(AX351)&lt;2,ISNUMBER(MATCH(AX351,L_Placeholder,0)))),TRIM(AE351)&lt;&gt;TRIM(T351)),"N/A – JUSTIFIED","INVALID – N/A needs a real justification (15+ chars), PIC and a different verifier"))),IF(OR(TRIM(U351)="Pass",TRIM(U351)="Pass after CA"),IF(NOT(ISNUMBER(AD351)),"INVALID – completion time missing",IF(OR(LEN(AU351)&lt;2,ISNUMBER(MATCH(AU351,L_Placeholder,0))),"INVALID – PIC missing",IF(OR(LEN(AV351)&lt;2,ISNUMBER(MATCH(AV351,L_Placeholder,0))),"INVALID – result / assessment missing",IF(OR(OR(LEN(AW351)&lt;3,ISNUMBER(MATCH(AW351,L_Placeholder,0))),SUMPRODUCT(--ISNUMBER(SEARCH(L_EvidencePhrase,AW351)))&gt;0),"INVALID – evidence missing, placeholder or not yet on file",IF(OR(LEN(AX351)&lt;2,ISNUMBER(MATCH(AX351,L_Placeholder,0))),"INVALID – verifier missing",IF(AX351=AU351,"INVALID – verifier must be someone other than the PIC",IF(AND(TRIM(U351)="Pass",SUMPRODUCT(--ISNUMBER(SEARCH(L_ResultBad,AV351)))&gt;0),"INVALID – result describes a problem: use Fail, then Pass after CA",IF(AND(AQ351=1,OR(LEN(AY351)&lt;3,ISNUMBER(MATCH(AY351,L_Placeholder,0)))),"INVALID – batch ID missing or placeholder",IF(AND(AR351=1,OR(NOT(ISNUMBER(X351)),NOT(ISNUMBER(Y351)))),"INVALID – expected/actual qty missing",IF(AND(AR351=1,OR(X351&lt;=0,Y351&lt;0)),"INVALID – expected qty must be above 0 and actual not negative",IF(AH341="N/A – JUSTIFIED","INVALID – preparation row F10-T12-10 is N/A",IF(AND(AR351=1,ISNUMBER(X341),X351&lt;&gt;X341),"INVALID – expected qty differs from preparation check F10-T12-10",IF(BB351&lt;&gt;"",BB351,IF(AND(AS351=1,Documents!$J$14&lt;&gt;"ON FILE"),"INVALID – GLD not on file (Documents sheet)",IF(AND(AS351=2,Documents!$O$14&lt;&gt;"ON FILE"),"INVALID – menu checklist not on file (Documents sheet)",IF(AND(AS351=3,NOT(ISNUMBER(Flights!$AX$14))),"INVALID – enter carrying flight KUL departure (Flights AX)",IF(AND(AS351=3,OR(Flights!$AZ$14&gt;Flights!$AA$14,Flights!$AX$14&lt;Flights!$AA$14-3)),"INVALID – carrying flight (Flights AX) cannot arrive before this leg's STD, or is over 3 days early",IF(AG351&gt;AsOfUTC,"INVALID – completion time is in the future",IF(AND(ISNUMBER(S351),AG351&lt;S351),IF(H351="Physical uplift","INVALID – before uplift window (cannot confirm loading)","INVALID – before valid window"),IF(AG351&gt;Flights!$AA$14,"INVALID – completed after departure (cannot establish readiness)",IF(AND(H351="Preparation",AG351&gt;IF(ISNUMBER(Flights!$BA$14),MIN(Flights!$BA$14,Flights!$AA$14),Flights!$AA$14)),"INVALID – completed after loading / departure (cannot establish readiness)",IF(AND(H351="Physical uplift",AG351&gt;Q351),"INVALID – recorded after the loading flight departed",IF(AG351&gt;Q351,"COMPLETE – LATE","COMPLETE"))))))))))))))))))))))),IF(TRIM(U351)="Fail","FAIL – DISCREPANCY",IF(AND(TRIM(U351)&lt;&gt;"",TRIM(U351)&lt;&gt;"Not started",TRIM(U351)&lt;&gt;"In progress"),"INVALID – unrecognised status (use the list)",IF(AsOfUTC&gt;Q351,"OVERDUE",IF(N351="Clarification required","OPEN – CLARIFICATION","OPEN"))))))),"INVALID – error value in an input cell")</f>
        <v>OPEN</v>
      </c>
      <c r="AI351" s="61" t="n">
        <f aca="false">IF(OR(AH351="N/A – RULE",AH351="N/A – JUSTIFIED"),0,1)</f>
        <v>1</v>
      </c>
      <c r="AJ351" s="61" t="n">
        <f aca="false">IF(LEFT(AH351,8)="COMPLETE",1,0)</f>
        <v>0</v>
      </c>
      <c r="AK351" s="61" t="n">
        <f aca="false">IF(AND(AI351=1,AJ351=0,AsOfUTC&gt;Q351),1,0)</f>
        <v>0</v>
      </c>
      <c r="AL351" s="61" t="n">
        <f aca="false">IFERROR(IF(AND(AI351=1,OR(TRIM(U351)="Fail",AND(TRIM(AB351)&lt;&gt;"",TRIM(AB351)&lt;&gt;"Closed"),AND(ISNUMBER(AF351),AF351&lt;&gt;0,TRIM(U351)&lt;&gt;"Pass after CA"))),1,0),1)</f>
        <v>0</v>
      </c>
      <c r="AM351" s="61" t="n">
        <f aca="false">IF(LEFT(AH351,7)="INVALID",1,0)</f>
        <v>0</v>
      </c>
      <c r="AN351" s="61" t="n">
        <f aca="false">IF(AND(N351="Clarification required",AI351=1,AJ351=0),1,0)</f>
        <v>0</v>
      </c>
      <c r="AO351" s="61" t="str">
        <f aca="false">IF(AK351=1,SUM(AK$5:AK351),"")</f>
        <v/>
      </c>
      <c r="AP351" s="61" t="str">
        <f aca="false">IF(AL351=1,SUM(AL$5:AL351),"")</f>
        <v/>
      </c>
      <c r="AQ351" s="61" t="n">
        <v>0</v>
      </c>
      <c r="AR351" s="61" t="n">
        <v>0</v>
      </c>
      <c r="AS351" s="61" t="n">
        <v>0</v>
      </c>
      <c r="AT351" s="61" t="n">
        <v>0</v>
      </c>
      <c r="AU351" s="61" t="str">
        <f aca="false">SUBSTITUTE(SUBSTITUTE(SUBSTITUTE(SUBSTITUTE(SUBSTITUTE(SUBSTITUTE(SUBSTITUTE(SUBSTITUTE(SUBSTITUTE(SUBSTITUTE(SUBSTITUTE(SUBSTITUTE(SUBSTITUTE(LOWER(T351&amp;""),CHAR(160),"")," ",""),".",""),"-",""),"/",""),"?",""),"_",""),",",""),"[",""),"]",""),"(",""),")",""),"*","")</f>
        <v/>
      </c>
      <c r="AV351" s="61" t="str">
        <f aca="false">SUBSTITUTE(SUBSTITUTE(SUBSTITUTE(SUBSTITUTE(SUBSTITUTE(SUBSTITUTE(SUBSTITUTE(SUBSTITUTE(SUBSTITUTE(SUBSTITUTE(SUBSTITUTE(SUBSTITUTE(SUBSTITUTE(LOWER(V351&amp;""),CHAR(160),"")," ",""),".",""),"-",""),"/",""),"?",""),"_",""),",",""),"[",""),"]",""),"(",""),")",""),"*","")</f>
        <v/>
      </c>
      <c r="AW351" s="61" t="str">
        <f aca="false">SUBSTITUTE(SUBSTITUTE(SUBSTITUTE(SUBSTITUTE(SUBSTITUTE(SUBSTITUTE(SUBSTITUTE(SUBSTITUTE(SUBSTITUTE(SUBSTITUTE(SUBSTITUTE(SUBSTITUTE(SUBSTITUTE(LOWER(Z351&amp;""),CHAR(160),"")," ",""),".",""),"-",""),"/",""),"?",""),"_",""),",",""),"[",""),"]",""),"(",""),")",""),"*","")</f>
        <v/>
      </c>
      <c r="AX351" s="61" t="str">
        <f aca="false">SUBSTITUTE(SUBSTITUTE(SUBSTITUTE(SUBSTITUTE(SUBSTITUTE(SUBSTITUTE(SUBSTITUTE(SUBSTITUTE(SUBSTITUTE(SUBSTITUTE(SUBSTITUTE(SUBSTITUTE(SUBSTITUTE(LOWER(AE351&amp;""),CHAR(160),"")," ",""),".",""),"-",""),"/",""),"?",""),"_",""),",",""),"[",""),"]",""),"(",""),")",""),"*","")</f>
        <v/>
      </c>
      <c r="AY351" s="61" t="str">
        <f aca="false">SUBSTITUTE(SUBSTITUTE(SUBSTITUTE(SUBSTITUTE(SUBSTITUTE(SUBSTITUTE(SUBSTITUTE(SUBSTITUTE(SUBSTITUTE(SUBSTITUTE(SUBSTITUTE(SUBSTITUTE(SUBSTITUTE(LOWER(W351&amp;""),CHAR(160),"")," ",""),".",""),"-",""),"/",""),"?",""),"_",""),",",""),"[",""),"]",""),"(",""),")",""),"*","")</f>
        <v/>
      </c>
      <c r="AZ351" s="61" t="str">
        <f aca="false">SUBSTITUTE(SUBSTITUTE(SUBSTITUTE(SUBSTITUTE(SUBSTITUTE(SUBSTITUTE(SUBSTITUTE(SUBSTITUTE(SUBSTITUTE(SUBSTITUTE(SUBSTITUTE(SUBSTITUTE(SUBSTITUTE(LOWER(AC351&amp;""),CHAR(160),"")," ",""),".",""),"-",""),"/",""),"?",""),"_",""),",",""),"[",""),"]",""),"(",""),")",""),"*","")</f>
        <v/>
      </c>
      <c r="BA351" s="61" t="str">
        <f aca="false">SUBSTITUTE(SUBSTITUTE(SUBSTITUTE(SUBSTITUTE(SUBSTITUTE(SUBSTITUTE(SUBSTITUTE(SUBSTITUTE(SUBSTITUTE(SUBSTITUTE(SUBSTITUTE(SUBSTITUTE(SUBSTITUTE(LOWER(AA351&amp;""),CHAR(160),"")," ",""),".",""),"-",""),"/",""),"?",""),"_",""),",",""),"[",""),"]",""),"(",""),")",""),"*","")</f>
        <v/>
      </c>
      <c r="BB351" s="61" t="str">
        <f aca="false">IF(AND(TRIM(U351)="Pass",ISNUMBER(AF351)),IF(AF351&lt;&gt;0,"INVALID – qty variance: use Fail or Pass after CA",""),"")&amp;IF(AND(TRIM(U351)="Pass after CA",ISNUMBER(AF351)),IF(AF351&lt;&gt;0,"INVALID – after the corrective action the actual qty must equal expected (update Actual)",""),"")&amp;IF(AND(TRIM(U351)="Pass",TRIM(AB351)&lt;&gt;"",TRIM(AB351)&lt;&gt;"Closed"),"INVALID – corrective action not closed: use Fail, then Pass after CA","")&amp;IF(AND(TRIM(AA351)&lt;&gt;"",TRIM(AB351)=""),"INVALID – CA status missing for the recorded corrective action","")&amp;IF(AND(TRIM(U351)="Pass after CA",OR(OR(LEN(BA351)&lt;5,ISNUMBER(MATCH(BA351,L_Placeholder,0))),TRIM(AB351)&lt;&gt;"Closed")),"INVALID – corrective action not recorded/closed","")</f>
        <v/>
      </c>
    </row>
    <row r="352" customFormat="false" ht="39.75" hidden="false" customHeight="true" outlineLevel="0" collapsed="false">
      <c r="A352" s="57" t="s">
        <v>931</v>
      </c>
      <c r="B352" s="57" t="s">
        <v>248</v>
      </c>
      <c r="C352" s="57" t="str">
        <f aca="false">Flights!$F$14</f>
        <v>MH1140</v>
      </c>
      <c r="D352" s="58" t="n">
        <f aca="false">Flights!$D$14</f>
        <v>46307</v>
      </c>
      <c r="E352" s="57" t="str">
        <f aca="false">Flights!$G$14&amp;"-"&amp;Flights!$H$14</f>
        <v>KUL-PEN</v>
      </c>
      <c r="F352" s="57" t="str">
        <f aca="false">Flights!$K$14</f>
        <v>BC</v>
      </c>
      <c r="G352" s="57" t="s">
        <v>437</v>
      </c>
      <c r="H352" s="57" t="s">
        <v>438</v>
      </c>
      <c r="I352" s="57" t="s">
        <v>477</v>
      </c>
      <c r="J352" s="57" t="s">
        <v>519</v>
      </c>
      <c r="K352" s="67" t="s">
        <v>479</v>
      </c>
      <c r="L352" s="67" t="s">
        <v>917</v>
      </c>
      <c r="M352" s="67" t="s">
        <v>429</v>
      </c>
      <c r="N352" s="67" t="s">
        <v>361</v>
      </c>
      <c r="O352" s="67"/>
      <c r="P352" s="57" t="s">
        <v>184</v>
      </c>
      <c r="Q352" s="59" t="n">
        <f aca="false">ROUND((Flights!$AF$14)*1440,0)/1440</f>
        <v>46307.15625</v>
      </c>
      <c r="R352" s="59" t="n">
        <f aca="false">Q352+(IF(AND(INDEX(TZ_DSTS,MATCH(P352,TZ_STN,0))&lt;&gt;"",Q352&gt;=INDEX(TZ_DSTS,MATCH(P352,TZ_STN,0)),Q352&lt;INDEX(TZ_DSTE,MATCH(P352,TZ_STN,0))),INDEX(TZ_DST,MATCH(P352,TZ_STN,0)),INDEX(TZ_STD,MATCH(P352,TZ_STN,0))))/24</f>
        <v>46307.4895833333</v>
      </c>
      <c r="S352" s="59" t="n">
        <f aca="false">IF(ISNUMBER(Flights!$AZ$14),MAX(Q352-UpliftWindowH/24,Flights!$AZ$14),Q352-UpliftWindowH/24)</f>
        <v>46306.90625</v>
      </c>
      <c r="T352" s="60"/>
      <c r="U352" s="60"/>
      <c r="V352" s="60"/>
      <c r="W352" s="61"/>
      <c r="X352" s="60"/>
      <c r="Y352" s="60"/>
      <c r="Z352" s="60"/>
      <c r="AA352" s="60"/>
      <c r="AB352" s="60"/>
      <c r="AC352" s="60"/>
      <c r="AD352" s="66"/>
      <c r="AE352" s="60"/>
      <c r="AF352" s="61" t="str">
        <f aca="false">IF(AND(ISNUMBER(X352),ISNUMBER(Y352)),Y352-X352,"")</f>
        <v/>
      </c>
      <c r="AG352" s="62" t="str">
        <f aca="false">IF(ISNUMBER(AD352),AD352-(IF(AND(INDEX(TZ_DSTS,MATCH(P352,TZ_STN,0))&lt;&gt;"",(AD352-INDEX(TZ_STD,MATCH(P352,TZ_STN,0))/24)&gt;=INDEX(TZ_DSTS,MATCH(P352,TZ_STN,0)),(AD352-INDEX(TZ_STD,MATCH(P352,TZ_STN,0))/24)&lt;INDEX(TZ_DSTE,MATCH(P352,TZ_STN,0))),INDEX(TZ_DST,MATCH(P352,TZ_STN,0)),INDEX(TZ_STD,MATCH(P352,TZ_STN,0))))/24,"")</f>
        <v/>
      </c>
      <c r="AH352" s="65" t="str">
        <f aca="false">IFERROR(IF(N352="N/A – rule","N/A – RULE",IF(TRIM(U352)="N/A",IF(AT352=0,"INVALID – N/A not permitted for this check",IF(AND(TRIM(AB352)&lt;&gt;"",TRIM(AB352)&lt;&gt;"Closed"),"INVALID – corrective action still open",IF(AND(NOT(OR(LEN(AZ352)&lt;15,ISNUMBER(MATCH(AZ352,L_Placeholder,0)))),NOT(OR(LEN(AU352)&lt;2,ISNUMBER(MATCH(AU352,L_Placeholder,0)))),NOT(OR(LEN(AX352)&lt;2,ISNUMBER(MATCH(AX352,L_Placeholder,0)))),TRIM(AE352)&lt;&gt;TRIM(T352)),"N/A – JUSTIFIED","INVALID – N/A needs a real justification (15+ chars), PIC and a different verifier"))),IF(OR(TRIM(U352)="Pass",TRIM(U352)="Pass after CA"),IF(NOT(ISNUMBER(AD352)),"INVALID – completion time missing",IF(OR(LEN(AU352)&lt;2,ISNUMBER(MATCH(AU352,L_Placeholder,0))),"INVALID – PIC missing",IF(OR(LEN(AV352)&lt;2,ISNUMBER(MATCH(AV352,L_Placeholder,0))),"INVALID – result / assessment missing",IF(OR(OR(LEN(AW352)&lt;3,ISNUMBER(MATCH(AW352,L_Placeholder,0))),SUMPRODUCT(--ISNUMBER(SEARCH(L_EvidencePhrase,AW352)))&gt;0),"INVALID – evidence missing, placeholder or not yet on file",IF(OR(LEN(AX352)&lt;2,ISNUMBER(MATCH(AX352,L_Placeholder,0))),"INVALID – verifier missing",IF(AX352=AU352,"INVALID – verifier must be someone other than the PIC",IF(AND(TRIM(U352)="Pass",SUMPRODUCT(--ISNUMBER(SEARCH(L_ResultBad,AV352)))&gt;0),"INVALID – result describes a problem: use Fail, then Pass after CA",IF(AND(AQ352=1,OR(LEN(AY352)&lt;3,ISNUMBER(MATCH(AY352,L_Placeholder,0)))),"INVALID – batch ID missing or placeholder",IF(AND(AR352=1,OR(NOT(ISNUMBER(X352)),NOT(ISNUMBER(Y352)))),"INVALID – expected/actual qty missing",IF(AND(AR352=1,OR(X352&lt;=0,Y352&lt;0)),"INVALID – expected qty must be above 0 and actual not negative",IF(AH342="N/A – JUSTIFIED","INVALID – preparation row F10-T12-11 is N/A",IF(AND(AR352=1,ISNUMBER(X342),X352&lt;&gt;X342),"INVALID – expected qty differs from preparation check F10-T12-11",IF(BB352&lt;&gt;"",BB352,IF(AND(AS352=1,Documents!$J$14&lt;&gt;"ON FILE"),"INVALID – GLD not on file (Documents sheet)",IF(AND(AS352=2,Documents!$O$14&lt;&gt;"ON FILE"),"INVALID – menu checklist not on file (Documents sheet)",IF(AND(AS352=3,NOT(ISNUMBER(Flights!$AX$14))),"INVALID – enter carrying flight KUL departure (Flights AX)",IF(AND(AS352=3,OR(Flights!$AZ$14&gt;Flights!$AA$14,Flights!$AX$14&lt;Flights!$AA$14-3)),"INVALID – carrying flight (Flights AX) cannot arrive before this leg's STD, or is over 3 days early",IF(AG352&gt;AsOfUTC,"INVALID – completion time is in the future",IF(AND(ISNUMBER(S352),AG352&lt;S352),IF(H352="Physical uplift","INVALID – before uplift window (cannot confirm loading)","INVALID – before valid window"),IF(AG352&gt;Flights!$AA$14,"INVALID – completed after departure (cannot establish readiness)",IF(AND(H352="Preparation",AG352&gt;IF(ISNUMBER(Flights!$BA$14),MIN(Flights!$BA$14,Flights!$AA$14),Flights!$AA$14)),"INVALID – completed after loading / departure (cannot establish readiness)",IF(AND(H352="Physical uplift",AG352&gt;Q352),"INVALID – recorded after the loading flight departed",IF(AG352&gt;Q352,"COMPLETE – LATE","COMPLETE"))))))))))))))))))))))),IF(TRIM(U352)="Fail","FAIL – DISCREPANCY",IF(AND(TRIM(U352)&lt;&gt;"",TRIM(U352)&lt;&gt;"Not started",TRIM(U352)&lt;&gt;"In progress"),"INVALID – unrecognised status (use the list)",IF(AsOfUTC&gt;Q352,"OVERDUE",IF(N352="Clarification required","OPEN – CLARIFICATION","OPEN"))))))),"INVALID – error value in an input cell")</f>
        <v>OPEN</v>
      </c>
      <c r="AI352" s="61" t="n">
        <f aca="false">IF(OR(AH352="N/A – RULE",AH352="N/A – JUSTIFIED"),0,1)</f>
        <v>1</v>
      </c>
      <c r="AJ352" s="61" t="n">
        <f aca="false">IF(LEFT(AH352,8)="COMPLETE",1,0)</f>
        <v>0</v>
      </c>
      <c r="AK352" s="61" t="n">
        <f aca="false">IF(AND(AI352=1,AJ352=0,AsOfUTC&gt;Q352),1,0)</f>
        <v>0</v>
      </c>
      <c r="AL352" s="61" t="n">
        <f aca="false">IFERROR(IF(AND(AI352=1,OR(TRIM(U352)="Fail",AND(TRIM(AB352)&lt;&gt;"",TRIM(AB352)&lt;&gt;"Closed"),AND(ISNUMBER(AF352),AF352&lt;&gt;0,TRIM(U352)&lt;&gt;"Pass after CA"))),1,0),1)</f>
        <v>0</v>
      </c>
      <c r="AM352" s="61" t="n">
        <f aca="false">IF(LEFT(AH352,7)="INVALID",1,0)</f>
        <v>0</v>
      </c>
      <c r="AN352" s="61" t="n">
        <f aca="false">IF(AND(N352="Clarification required",AI352=1,AJ352=0),1,0)</f>
        <v>0</v>
      </c>
      <c r="AO352" s="61" t="str">
        <f aca="false">IF(AK352=1,SUM(AK$5:AK352),"")</f>
        <v/>
      </c>
      <c r="AP352" s="61" t="str">
        <f aca="false">IF(AL352=1,SUM(AL$5:AL352),"")</f>
        <v/>
      </c>
      <c r="AQ352" s="61" t="n">
        <v>0</v>
      </c>
      <c r="AR352" s="61" t="n">
        <v>0</v>
      </c>
      <c r="AS352" s="61" t="n">
        <v>0</v>
      </c>
      <c r="AT352" s="61" t="n">
        <v>0</v>
      </c>
      <c r="AU352" s="61" t="str">
        <f aca="false">SUBSTITUTE(SUBSTITUTE(SUBSTITUTE(SUBSTITUTE(SUBSTITUTE(SUBSTITUTE(SUBSTITUTE(SUBSTITUTE(SUBSTITUTE(SUBSTITUTE(SUBSTITUTE(SUBSTITUTE(SUBSTITUTE(LOWER(T352&amp;""),CHAR(160),"")," ",""),".",""),"-",""),"/",""),"?",""),"_",""),",",""),"[",""),"]",""),"(",""),")",""),"*","")</f>
        <v/>
      </c>
      <c r="AV352" s="61" t="str">
        <f aca="false">SUBSTITUTE(SUBSTITUTE(SUBSTITUTE(SUBSTITUTE(SUBSTITUTE(SUBSTITUTE(SUBSTITUTE(SUBSTITUTE(SUBSTITUTE(SUBSTITUTE(SUBSTITUTE(SUBSTITUTE(SUBSTITUTE(LOWER(V352&amp;""),CHAR(160),"")," ",""),".",""),"-",""),"/",""),"?",""),"_",""),",",""),"[",""),"]",""),"(",""),")",""),"*","")</f>
        <v/>
      </c>
      <c r="AW352" s="61" t="str">
        <f aca="false">SUBSTITUTE(SUBSTITUTE(SUBSTITUTE(SUBSTITUTE(SUBSTITUTE(SUBSTITUTE(SUBSTITUTE(SUBSTITUTE(SUBSTITUTE(SUBSTITUTE(SUBSTITUTE(SUBSTITUTE(SUBSTITUTE(LOWER(Z352&amp;""),CHAR(160),"")," ",""),".",""),"-",""),"/",""),"?",""),"_",""),",",""),"[",""),"]",""),"(",""),")",""),"*","")</f>
        <v/>
      </c>
      <c r="AX352" s="61" t="str">
        <f aca="false">SUBSTITUTE(SUBSTITUTE(SUBSTITUTE(SUBSTITUTE(SUBSTITUTE(SUBSTITUTE(SUBSTITUTE(SUBSTITUTE(SUBSTITUTE(SUBSTITUTE(SUBSTITUTE(SUBSTITUTE(SUBSTITUTE(LOWER(AE352&amp;""),CHAR(160),"")," ",""),".",""),"-",""),"/",""),"?",""),"_",""),",",""),"[",""),"]",""),"(",""),")",""),"*","")</f>
        <v/>
      </c>
      <c r="AY352" s="61" t="str">
        <f aca="false">SUBSTITUTE(SUBSTITUTE(SUBSTITUTE(SUBSTITUTE(SUBSTITUTE(SUBSTITUTE(SUBSTITUTE(SUBSTITUTE(SUBSTITUTE(SUBSTITUTE(SUBSTITUTE(SUBSTITUTE(SUBSTITUTE(LOWER(W352&amp;""),CHAR(160),"")," ",""),".",""),"-",""),"/",""),"?",""),"_",""),",",""),"[",""),"]",""),"(",""),")",""),"*","")</f>
        <v/>
      </c>
      <c r="AZ352" s="61" t="str">
        <f aca="false">SUBSTITUTE(SUBSTITUTE(SUBSTITUTE(SUBSTITUTE(SUBSTITUTE(SUBSTITUTE(SUBSTITUTE(SUBSTITUTE(SUBSTITUTE(SUBSTITUTE(SUBSTITUTE(SUBSTITUTE(SUBSTITUTE(LOWER(AC352&amp;""),CHAR(160),"")," ",""),".",""),"-",""),"/",""),"?",""),"_",""),",",""),"[",""),"]",""),"(",""),")",""),"*","")</f>
        <v/>
      </c>
      <c r="BA352" s="61" t="str">
        <f aca="false">SUBSTITUTE(SUBSTITUTE(SUBSTITUTE(SUBSTITUTE(SUBSTITUTE(SUBSTITUTE(SUBSTITUTE(SUBSTITUTE(SUBSTITUTE(SUBSTITUTE(SUBSTITUTE(SUBSTITUTE(SUBSTITUTE(LOWER(AA352&amp;""),CHAR(160),"")," ",""),".",""),"-",""),"/",""),"?",""),"_",""),",",""),"[",""),"]",""),"(",""),")",""),"*","")</f>
        <v/>
      </c>
      <c r="BB352" s="61" t="str">
        <f aca="false">IF(AND(TRIM(U352)="Pass",ISNUMBER(AF352)),IF(AF352&lt;&gt;0,"INVALID – qty variance: use Fail or Pass after CA",""),"")&amp;IF(AND(TRIM(U352)="Pass after CA",ISNUMBER(AF352)),IF(AF352&lt;&gt;0,"INVALID – after the corrective action the actual qty must equal expected (update Actual)",""),"")&amp;IF(AND(TRIM(U352)="Pass",TRIM(AB352)&lt;&gt;"",TRIM(AB352)&lt;&gt;"Closed"),"INVALID – corrective action not closed: use Fail, then Pass after CA","")&amp;IF(AND(TRIM(AA352)&lt;&gt;"",TRIM(AB352)=""),"INVALID – CA status missing for the recorded corrective action","")&amp;IF(AND(TRIM(U352)="Pass after CA",OR(OR(LEN(BA352)&lt;5,ISNUMBER(MATCH(BA352,L_Placeholder,0))),TRIM(AB352)&lt;&gt;"Closed")),"INVALID – corrective action not recorded/closed","")</f>
        <v/>
      </c>
    </row>
    <row r="353" customFormat="false" ht="39.75" hidden="false" customHeight="true" outlineLevel="0" collapsed="false">
      <c r="A353" s="57" t="s">
        <v>932</v>
      </c>
      <c r="B353" s="57" t="s">
        <v>248</v>
      </c>
      <c r="C353" s="57" t="str">
        <f aca="false">Flights!$F$14</f>
        <v>MH1140</v>
      </c>
      <c r="D353" s="58" t="n">
        <f aca="false">Flights!$D$14</f>
        <v>46307</v>
      </c>
      <c r="E353" s="57" t="str">
        <f aca="false">Flights!$G$14&amp;"-"&amp;Flights!$H$14</f>
        <v>KUL-PEN</v>
      </c>
      <c r="F353" s="57" t="str">
        <f aca="false">Flights!$K$14</f>
        <v>BC</v>
      </c>
      <c r="G353" s="57" t="s">
        <v>437</v>
      </c>
      <c r="H353" s="57" t="s">
        <v>438</v>
      </c>
      <c r="I353" s="57" t="s">
        <v>477</v>
      </c>
      <c r="J353" s="57" t="s">
        <v>526</v>
      </c>
      <c r="K353" s="67" t="s">
        <v>497</v>
      </c>
      <c r="L353" s="67" t="s">
        <v>919</v>
      </c>
      <c r="M353" s="67" t="s">
        <v>429</v>
      </c>
      <c r="N353" s="67" t="s">
        <v>361</v>
      </c>
      <c r="O353" s="67" t="s">
        <v>527</v>
      </c>
      <c r="P353" s="57" t="s">
        <v>184</v>
      </c>
      <c r="Q353" s="59" t="n">
        <f aca="false">ROUND((Flights!$AF$14)*1440,0)/1440</f>
        <v>46307.15625</v>
      </c>
      <c r="R353" s="59" t="n">
        <f aca="false">Q353+(IF(AND(INDEX(TZ_DSTS,MATCH(P353,TZ_STN,0))&lt;&gt;"",Q353&gt;=INDEX(TZ_DSTS,MATCH(P353,TZ_STN,0)),Q353&lt;INDEX(TZ_DSTE,MATCH(P353,TZ_STN,0))),INDEX(TZ_DST,MATCH(P353,TZ_STN,0)),INDEX(TZ_STD,MATCH(P353,TZ_STN,0))))/24</f>
        <v>46307.4895833333</v>
      </c>
      <c r="S353" s="59" t="n">
        <f aca="false">IF(ISNUMBER(Flights!$AZ$14),MAX(Q353-UpliftWindowH/24,Flights!$AZ$14),Q353-UpliftWindowH/24)</f>
        <v>46306.90625</v>
      </c>
      <c r="T353" s="60"/>
      <c r="U353" s="60"/>
      <c r="V353" s="60"/>
      <c r="W353" s="61"/>
      <c r="X353" s="60"/>
      <c r="Y353" s="60"/>
      <c r="Z353" s="60"/>
      <c r="AA353" s="60"/>
      <c r="AB353" s="60"/>
      <c r="AC353" s="60"/>
      <c r="AD353" s="66"/>
      <c r="AE353" s="60"/>
      <c r="AF353" s="61" t="str">
        <f aca="false">IF(AND(ISNUMBER(X353),ISNUMBER(Y353)),Y353-X353,"")</f>
        <v/>
      </c>
      <c r="AG353" s="62" t="str">
        <f aca="false">IF(ISNUMBER(AD353),AD353-(IF(AND(INDEX(TZ_DSTS,MATCH(P353,TZ_STN,0))&lt;&gt;"",(AD353-INDEX(TZ_STD,MATCH(P353,TZ_STN,0))/24)&gt;=INDEX(TZ_DSTS,MATCH(P353,TZ_STN,0)),(AD353-INDEX(TZ_STD,MATCH(P353,TZ_STN,0))/24)&lt;INDEX(TZ_DSTE,MATCH(P353,TZ_STN,0))),INDEX(TZ_DST,MATCH(P353,TZ_STN,0)),INDEX(TZ_STD,MATCH(P353,TZ_STN,0))))/24,"")</f>
        <v/>
      </c>
      <c r="AH353" s="65" t="str">
        <f aca="false">IFERROR(IF(N353="N/A – rule","N/A – RULE",IF(TRIM(U353)="N/A",IF(AT353=0,"INVALID – N/A not permitted for this check",IF(AND(TRIM(AB353)&lt;&gt;"",TRIM(AB353)&lt;&gt;"Closed"),"INVALID – corrective action still open",IF(AND(NOT(OR(LEN(AZ353)&lt;15,ISNUMBER(MATCH(AZ353,L_Placeholder,0)))),NOT(OR(LEN(AU353)&lt;2,ISNUMBER(MATCH(AU353,L_Placeholder,0)))),NOT(OR(LEN(AX353)&lt;2,ISNUMBER(MATCH(AX353,L_Placeholder,0)))),TRIM(AE353)&lt;&gt;TRIM(T353)),"N/A – JUSTIFIED","INVALID – N/A needs a real justification (15+ chars), PIC and a different verifier"))),IF(OR(TRIM(U353)="Pass",TRIM(U353)="Pass after CA"),IF(NOT(ISNUMBER(AD353)),"INVALID – completion time missing",IF(OR(LEN(AU353)&lt;2,ISNUMBER(MATCH(AU353,L_Placeholder,0))),"INVALID – PIC missing",IF(OR(LEN(AV353)&lt;2,ISNUMBER(MATCH(AV353,L_Placeholder,0))),"INVALID – result / assessment missing",IF(OR(OR(LEN(AW353)&lt;3,ISNUMBER(MATCH(AW353,L_Placeholder,0))),SUMPRODUCT(--ISNUMBER(SEARCH(L_EvidencePhrase,AW353)))&gt;0),"INVALID – evidence missing, placeholder or not yet on file",IF(OR(LEN(AX353)&lt;2,ISNUMBER(MATCH(AX353,L_Placeholder,0))),"INVALID – verifier missing",IF(AX353=AU353,"INVALID – verifier must be someone other than the PIC",IF(AND(TRIM(U353)="Pass",SUMPRODUCT(--ISNUMBER(SEARCH(L_ResultBad,AV353)))&gt;0),"INVALID – result describes a problem: use Fail, then Pass after CA",IF(AND(AQ353=1,OR(LEN(AY353)&lt;3,ISNUMBER(MATCH(AY353,L_Placeholder,0)))),"INVALID – batch ID missing or placeholder",IF(AND(AR353=1,OR(NOT(ISNUMBER(X353)),NOT(ISNUMBER(Y353)))),"INVALID – expected/actual qty missing",IF(AND(AR353=1,OR(X353&lt;=0,Y353&lt;0)),"INVALID – expected qty must be above 0 and actual not negative",IF(AH343="N/A – JUSTIFIED","INVALID – preparation row F10-T12-12 is N/A",IF(AND(AR353=1,ISNUMBER(X343),X353&lt;&gt;X343),"INVALID – expected qty differs from preparation check F10-T12-12",IF(BB353&lt;&gt;"",BB353,IF(AND(AS353=1,Documents!$J$14&lt;&gt;"ON FILE"),"INVALID – GLD not on file (Documents sheet)",IF(AND(AS353=2,Documents!$O$14&lt;&gt;"ON FILE"),"INVALID – menu checklist not on file (Documents sheet)",IF(AND(AS353=3,NOT(ISNUMBER(Flights!$AX$14))),"INVALID – enter carrying flight KUL departure (Flights AX)",IF(AND(AS353=3,OR(Flights!$AZ$14&gt;Flights!$AA$14,Flights!$AX$14&lt;Flights!$AA$14-3)),"INVALID – carrying flight (Flights AX) cannot arrive before this leg's STD, or is over 3 days early",IF(AG353&gt;AsOfUTC,"INVALID – completion time is in the future",IF(AND(ISNUMBER(S353),AG353&lt;S353),IF(H353="Physical uplift","INVALID – before uplift window (cannot confirm loading)","INVALID – before valid window"),IF(AG353&gt;Flights!$AA$14,"INVALID – completed after departure (cannot establish readiness)",IF(AND(H353="Preparation",AG353&gt;IF(ISNUMBER(Flights!$BA$14),MIN(Flights!$BA$14,Flights!$AA$14),Flights!$AA$14)),"INVALID – completed after loading / departure (cannot establish readiness)",IF(AND(H353="Physical uplift",AG353&gt;Q353),"INVALID – recorded after the loading flight departed",IF(AG353&gt;Q353,"COMPLETE – LATE","COMPLETE"))))))))))))))))))))))),IF(TRIM(U353)="Fail","FAIL – DISCREPANCY",IF(AND(TRIM(U353)&lt;&gt;"",TRIM(U353)&lt;&gt;"Not started",TRIM(U353)&lt;&gt;"In progress"),"INVALID – unrecognised status (use the list)",IF(AsOfUTC&gt;Q353,"OVERDUE",IF(N353="Clarification required","OPEN – CLARIFICATION","OPEN"))))))),"INVALID – error value in an input cell")</f>
        <v>OPEN</v>
      </c>
      <c r="AI353" s="61" t="n">
        <f aca="false">IF(OR(AH353="N/A – RULE",AH353="N/A – JUSTIFIED"),0,1)</f>
        <v>1</v>
      </c>
      <c r="AJ353" s="61" t="n">
        <f aca="false">IF(LEFT(AH353,8)="COMPLETE",1,0)</f>
        <v>0</v>
      </c>
      <c r="AK353" s="61" t="n">
        <f aca="false">IF(AND(AI353=1,AJ353=0,AsOfUTC&gt;Q353),1,0)</f>
        <v>0</v>
      </c>
      <c r="AL353" s="61" t="n">
        <f aca="false">IFERROR(IF(AND(AI353=1,OR(TRIM(U353)="Fail",AND(TRIM(AB353)&lt;&gt;"",TRIM(AB353)&lt;&gt;"Closed"),AND(ISNUMBER(AF353),AF353&lt;&gt;0,TRIM(U353)&lt;&gt;"Pass after CA"))),1,0),1)</f>
        <v>0</v>
      </c>
      <c r="AM353" s="61" t="n">
        <f aca="false">IF(LEFT(AH353,7)="INVALID",1,0)</f>
        <v>0</v>
      </c>
      <c r="AN353" s="61" t="n">
        <f aca="false">IF(AND(N353="Clarification required",AI353=1,AJ353=0),1,0)</f>
        <v>0</v>
      </c>
      <c r="AO353" s="61" t="str">
        <f aca="false">IF(AK353=1,SUM(AK$5:AK353),"")</f>
        <v/>
      </c>
      <c r="AP353" s="61" t="str">
        <f aca="false">IF(AL353=1,SUM(AL$5:AL353),"")</f>
        <v/>
      </c>
      <c r="AQ353" s="61" t="n">
        <v>0</v>
      </c>
      <c r="AR353" s="61" t="n">
        <v>0</v>
      </c>
      <c r="AS353" s="61" t="n">
        <v>0</v>
      </c>
      <c r="AT353" s="61" t="n">
        <v>0</v>
      </c>
      <c r="AU353" s="61" t="str">
        <f aca="false">SUBSTITUTE(SUBSTITUTE(SUBSTITUTE(SUBSTITUTE(SUBSTITUTE(SUBSTITUTE(SUBSTITUTE(SUBSTITUTE(SUBSTITUTE(SUBSTITUTE(SUBSTITUTE(SUBSTITUTE(SUBSTITUTE(LOWER(T353&amp;""),CHAR(160),"")," ",""),".",""),"-",""),"/",""),"?",""),"_",""),",",""),"[",""),"]",""),"(",""),")",""),"*","")</f>
        <v/>
      </c>
      <c r="AV353" s="61" t="str">
        <f aca="false">SUBSTITUTE(SUBSTITUTE(SUBSTITUTE(SUBSTITUTE(SUBSTITUTE(SUBSTITUTE(SUBSTITUTE(SUBSTITUTE(SUBSTITUTE(SUBSTITUTE(SUBSTITUTE(SUBSTITUTE(SUBSTITUTE(LOWER(V353&amp;""),CHAR(160),"")," ",""),".",""),"-",""),"/",""),"?",""),"_",""),",",""),"[",""),"]",""),"(",""),")",""),"*","")</f>
        <v/>
      </c>
      <c r="AW353" s="61" t="str">
        <f aca="false">SUBSTITUTE(SUBSTITUTE(SUBSTITUTE(SUBSTITUTE(SUBSTITUTE(SUBSTITUTE(SUBSTITUTE(SUBSTITUTE(SUBSTITUTE(SUBSTITUTE(SUBSTITUTE(SUBSTITUTE(SUBSTITUTE(LOWER(Z353&amp;""),CHAR(160),"")," ",""),".",""),"-",""),"/",""),"?",""),"_",""),",",""),"[",""),"]",""),"(",""),")",""),"*","")</f>
        <v/>
      </c>
      <c r="AX353" s="61" t="str">
        <f aca="false">SUBSTITUTE(SUBSTITUTE(SUBSTITUTE(SUBSTITUTE(SUBSTITUTE(SUBSTITUTE(SUBSTITUTE(SUBSTITUTE(SUBSTITUTE(SUBSTITUTE(SUBSTITUTE(SUBSTITUTE(SUBSTITUTE(LOWER(AE353&amp;""),CHAR(160),"")," ",""),".",""),"-",""),"/",""),"?",""),"_",""),",",""),"[",""),"]",""),"(",""),")",""),"*","")</f>
        <v/>
      </c>
      <c r="AY353" s="61" t="str">
        <f aca="false">SUBSTITUTE(SUBSTITUTE(SUBSTITUTE(SUBSTITUTE(SUBSTITUTE(SUBSTITUTE(SUBSTITUTE(SUBSTITUTE(SUBSTITUTE(SUBSTITUTE(SUBSTITUTE(SUBSTITUTE(SUBSTITUTE(LOWER(W353&amp;""),CHAR(160),"")," ",""),".",""),"-",""),"/",""),"?",""),"_",""),",",""),"[",""),"]",""),"(",""),")",""),"*","")</f>
        <v/>
      </c>
      <c r="AZ353" s="61" t="str">
        <f aca="false">SUBSTITUTE(SUBSTITUTE(SUBSTITUTE(SUBSTITUTE(SUBSTITUTE(SUBSTITUTE(SUBSTITUTE(SUBSTITUTE(SUBSTITUTE(SUBSTITUTE(SUBSTITUTE(SUBSTITUTE(SUBSTITUTE(LOWER(AC353&amp;""),CHAR(160),"")," ",""),".",""),"-",""),"/",""),"?",""),"_",""),",",""),"[",""),"]",""),"(",""),")",""),"*","")</f>
        <v/>
      </c>
      <c r="BA353" s="61" t="str">
        <f aca="false">SUBSTITUTE(SUBSTITUTE(SUBSTITUTE(SUBSTITUTE(SUBSTITUTE(SUBSTITUTE(SUBSTITUTE(SUBSTITUTE(SUBSTITUTE(SUBSTITUTE(SUBSTITUTE(SUBSTITUTE(SUBSTITUTE(LOWER(AA353&amp;""),CHAR(160),"")," ",""),".",""),"-",""),"/",""),"?",""),"_",""),",",""),"[",""),"]",""),"(",""),")",""),"*","")</f>
        <v/>
      </c>
      <c r="BB353" s="61" t="str">
        <f aca="false">IF(AND(TRIM(U353)="Pass",ISNUMBER(AF353)),IF(AF353&lt;&gt;0,"INVALID – qty variance: use Fail or Pass after CA",""),"")&amp;IF(AND(TRIM(U353)="Pass after CA",ISNUMBER(AF353)),IF(AF353&lt;&gt;0,"INVALID – after the corrective action the actual qty must equal expected (update Actual)",""),"")&amp;IF(AND(TRIM(U353)="Pass",TRIM(AB353)&lt;&gt;"",TRIM(AB353)&lt;&gt;"Closed"),"INVALID – corrective action not closed: use Fail, then Pass after CA","")&amp;IF(AND(TRIM(AA353)&lt;&gt;"",TRIM(AB353)=""),"INVALID – CA status missing for the recorded corrective action","")&amp;IF(AND(TRIM(U353)="Pass after CA",OR(OR(LEN(BA353)&lt;5,ISNUMBER(MATCH(BA353,L_Placeholder,0))),TRIM(AB353)&lt;&gt;"Closed")),"INVALID – corrective action not recorded/closed","")</f>
        <v/>
      </c>
    </row>
    <row r="354" customFormat="false" ht="39.75" hidden="false" customHeight="true" outlineLevel="0" collapsed="false">
      <c r="A354" s="57" t="s">
        <v>933</v>
      </c>
      <c r="B354" s="57" t="s">
        <v>248</v>
      </c>
      <c r="C354" s="57" t="str">
        <f aca="false">Flights!$F$14</f>
        <v>MH1140</v>
      </c>
      <c r="D354" s="58" t="n">
        <f aca="false">Flights!$D$14</f>
        <v>46307</v>
      </c>
      <c r="E354" s="57" t="str">
        <f aca="false">Flights!$G$14&amp;"-"&amp;Flights!$H$14</f>
        <v>KUL-PEN</v>
      </c>
      <c r="F354" s="57" t="str">
        <f aca="false">Flights!$K$14</f>
        <v>BC</v>
      </c>
      <c r="G354" s="57" t="s">
        <v>437</v>
      </c>
      <c r="H354" s="57" t="s">
        <v>438</v>
      </c>
      <c r="I354" s="57" t="s">
        <v>477</v>
      </c>
      <c r="J354" s="57" t="s">
        <v>529</v>
      </c>
      <c r="K354" s="67" t="s">
        <v>479</v>
      </c>
      <c r="L354" s="67" t="s">
        <v>921</v>
      </c>
      <c r="M354" s="67" t="s">
        <v>429</v>
      </c>
      <c r="N354" s="67" t="s">
        <v>361</v>
      </c>
      <c r="O354" s="67"/>
      <c r="P354" s="57" t="s">
        <v>184</v>
      </c>
      <c r="Q354" s="59" t="n">
        <f aca="false">ROUND((Flights!$AF$14)*1440,0)/1440</f>
        <v>46307.15625</v>
      </c>
      <c r="R354" s="59" t="n">
        <f aca="false">Q354+(IF(AND(INDEX(TZ_DSTS,MATCH(P354,TZ_STN,0))&lt;&gt;"",Q354&gt;=INDEX(TZ_DSTS,MATCH(P354,TZ_STN,0)),Q354&lt;INDEX(TZ_DSTE,MATCH(P354,TZ_STN,0))),INDEX(TZ_DST,MATCH(P354,TZ_STN,0)),INDEX(TZ_STD,MATCH(P354,TZ_STN,0))))/24</f>
        <v>46307.4895833333</v>
      </c>
      <c r="S354" s="59" t="n">
        <f aca="false">IF(ISNUMBER(Flights!$AZ$14),MAX(Q354-UpliftWindowH/24,Flights!$AZ$14),Q354-UpliftWindowH/24)</f>
        <v>46306.90625</v>
      </c>
      <c r="T354" s="60"/>
      <c r="U354" s="60"/>
      <c r="V354" s="60"/>
      <c r="W354" s="61"/>
      <c r="X354" s="60"/>
      <c r="Y354" s="60"/>
      <c r="Z354" s="60"/>
      <c r="AA354" s="60"/>
      <c r="AB354" s="60"/>
      <c r="AC354" s="60"/>
      <c r="AD354" s="66"/>
      <c r="AE354" s="60"/>
      <c r="AF354" s="61" t="str">
        <f aca="false">IF(AND(ISNUMBER(X354),ISNUMBER(Y354)),Y354-X354,"")</f>
        <v/>
      </c>
      <c r="AG354" s="62" t="str">
        <f aca="false">IF(ISNUMBER(AD354),AD354-(IF(AND(INDEX(TZ_DSTS,MATCH(P354,TZ_STN,0))&lt;&gt;"",(AD354-INDEX(TZ_STD,MATCH(P354,TZ_STN,0))/24)&gt;=INDEX(TZ_DSTS,MATCH(P354,TZ_STN,0)),(AD354-INDEX(TZ_STD,MATCH(P354,TZ_STN,0))/24)&lt;INDEX(TZ_DSTE,MATCH(P354,TZ_STN,0))),INDEX(TZ_DST,MATCH(P354,TZ_STN,0)),INDEX(TZ_STD,MATCH(P354,TZ_STN,0))))/24,"")</f>
        <v/>
      </c>
      <c r="AH354" s="65" t="str">
        <f aca="false">IFERROR(IF(N354="N/A – rule","N/A – RULE",IF(TRIM(U354)="N/A",IF(AT354=0,"INVALID – N/A not permitted for this check",IF(AND(TRIM(AB354)&lt;&gt;"",TRIM(AB354)&lt;&gt;"Closed"),"INVALID – corrective action still open",IF(AND(NOT(OR(LEN(AZ354)&lt;15,ISNUMBER(MATCH(AZ354,L_Placeholder,0)))),NOT(OR(LEN(AU354)&lt;2,ISNUMBER(MATCH(AU354,L_Placeholder,0)))),NOT(OR(LEN(AX354)&lt;2,ISNUMBER(MATCH(AX354,L_Placeholder,0)))),TRIM(AE354)&lt;&gt;TRIM(T354)),"N/A – JUSTIFIED","INVALID – N/A needs a real justification (15+ chars), PIC and a different verifier"))),IF(OR(TRIM(U354)="Pass",TRIM(U354)="Pass after CA"),IF(NOT(ISNUMBER(AD354)),"INVALID – completion time missing",IF(OR(LEN(AU354)&lt;2,ISNUMBER(MATCH(AU354,L_Placeholder,0))),"INVALID – PIC missing",IF(OR(LEN(AV354)&lt;2,ISNUMBER(MATCH(AV354,L_Placeholder,0))),"INVALID – result / assessment missing",IF(OR(OR(LEN(AW354)&lt;3,ISNUMBER(MATCH(AW354,L_Placeholder,0))),SUMPRODUCT(--ISNUMBER(SEARCH(L_EvidencePhrase,AW354)))&gt;0),"INVALID – evidence missing, placeholder or not yet on file",IF(OR(LEN(AX354)&lt;2,ISNUMBER(MATCH(AX354,L_Placeholder,0))),"INVALID – verifier missing",IF(AX354=AU354,"INVALID – verifier must be someone other than the PIC",IF(AND(TRIM(U354)="Pass",SUMPRODUCT(--ISNUMBER(SEARCH(L_ResultBad,AV354)))&gt;0),"INVALID – result describes a problem: use Fail, then Pass after CA",IF(AND(AQ354=1,OR(LEN(AY354)&lt;3,ISNUMBER(MATCH(AY354,L_Placeholder,0)))),"INVALID – batch ID missing or placeholder",IF(AND(AR354=1,OR(NOT(ISNUMBER(X354)),NOT(ISNUMBER(Y354)))),"INVALID – expected/actual qty missing",IF(AND(AR354=1,OR(X354&lt;=0,Y354&lt;0)),"INVALID – expected qty must be above 0 and actual not negative",IF(AH344="N/A – JUSTIFIED","INVALID – preparation row F10-T12-13 is N/A",IF(AND(AR354=1,ISNUMBER(X344),X354&lt;&gt;X344),"INVALID – expected qty differs from preparation check F10-T12-13",IF(BB354&lt;&gt;"",BB354,IF(AND(AS354=1,Documents!$J$14&lt;&gt;"ON FILE"),"INVALID – GLD not on file (Documents sheet)",IF(AND(AS354=2,Documents!$O$14&lt;&gt;"ON FILE"),"INVALID – menu checklist not on file (Documents sheet)",IF(AND(AS354=3,NOT(ISNUMBER(Flights!$AX$14))),"INVALID – enter carrying flight KUL departure (Flights AX)",IF(AND(AS354=3,OR(Flights!$AZ$14&gt;Flights!$AA$14,Flights!$AX$14&lt;Flights!$AA$14-3)),"INVALID – carrying flight (Flights AX) cannot arrive before this leg's STD, or is over 3 days early",IF(AG354&gt;AsOfUTC,"INVALID – completion time is in the future",IF(AND(ISNUMBER(S354),AG354&lt;S354),IF(H354="Physical uplift","INVALID – before uplift window (cannot confirm loading)","INVALID – before valid window"),IF(AG354&gt;Flights!$AA$14,"INVALID – completed after departure (cannot establish readiness)",IF(AND(H354="Preparation",AG354&gt;IF(ISNUMBER(Flights!$BA$14),MIN(Flights!$BA$14,Flights!$AA$14),Flights!$AA$14)),"INVALID – completed after loading / departure (cannot establish readiness)",IF(AND(H354="Physical uplift",AG354&gt;Q354),"INVALID – recorded after the loading flight departed",IF(AG354&gt;Q354,"COMPLETE – LATE","COMPLETE"))))))))))))))))))))))),IF(TRIM(U354)="Fail","FAIL – DISCREPANCY",IF(AND(TRIM(U354)&lt;&gt;"",TRIM(U354)&lt;&gt;"Not started",TRIM(U354)&lt;&gt;"In progress"),"INVALID – unrecognised status (use the list)",IF(AsOfUTC&gt;Q354,"OVERDUE",IF(N354="Clarification required","OPEN – CLARIFICATION","OPEN"))))))),"INVALID – error value in an input cell")</f>
        <v>OPEN</v>
      </c>
      <c r="AI354" s="61" t="n">
        <f aca="false">IF(OR(AH354="N/A – RULE",AH354="N/A – JUSTIFIED"),0,1)</f>
        <v>1</v>
      </c>
      <c r="AJ354" s="61" t="n">
        <f aca="false">IF(LEFT(AH354,8)="COMPLETE",1,0)</f>
        <v>0</v>
      </c>
      <c r="AK354" s="61" t="n">
        <f aca="false">IF(AND(AI354=1,AJ354=0,AsOfUTC&gt;Q354),1,0)</f>
        <v>0</v>
      </c>
      <c r="AL354" s="61" t="n">
        <f aca="false">IFERROR(IF(AND(AI354=1,OR(TRIM(U354)="Fail",AND(TRIM(AB354)&lt;&gt;"",TRIM(AB354)&lt;&gt;"Closed"),AND(ISNUMBER(AF354),AF354&lt;&gt;0,TRIM(U354)&lt;&gt;"Pass after CA"))),1,0),1)</f>
        <v>0</v>
      </c>
      <c r="AM354" s="61" t="n">
        <f aca="false">IF(LEFT(AH354,7)="INVALID",1,0)</f>
        <v>0</v>
      </c>
      <c r="AN354" s="61" t="n">
        <f aca="false">IF(AND(N354="Clarification required",AI354=1,AJ354=0),1,0)</f>
        <v>0</v>
      </c>
      <c r="AO354" s="61" t="str">
        <f aca="false">IF(AK354=1,SUM(AK$5:AK354),"")</f>
        <v/>
      </c>
      <c r="AP354" s="61" t="str">
        <f aca="false">IF(AL354=1,SUM(AL$5:AL354),"")</f>
        <v/>
      </c>
      <c r="AQ354" s="61" t="n">
        <v>0</v>
      </c>
      <c r="AR354" s="61" t="n">
        <v>0</v>
      </c>
      <c r="AS354" s="61" t="n">
        <v>0</v>
      </c>
      <c r="AT354" s="61" t="n">
        <v>0</v>
      </c>
      <c r="AU354" s="61" t="str">
        <f aca="false">SUBSTITUTE(SUBSTITUTE(SUBSTITUTE(SUBSTITUTE(SUBSTITUTE(SUBSTITUTE(SUBSTITUTE(SUBSTITUTE(SUBSTITUTE(SUBSTITUTE(SUBSTITUTE(SUBSTITUTE(SUBSTITUTE(LOWER(T354&amp;""),CHAR(160),"")," ",""),".",""),"-",""),"/",""),"?",""),"_",""),",",""),"[",""),"]",""),"(",""),")",""),"*","")</f>
        <v/>
      </c>
      <c r="AV354" s="61" t="str">
        <f aca="false">SUBSTITUTE(SUBSTITUTE(SUBSTITUTE(SUBSTITUTE(SUBSTITUTE(SUBSTITUTE(SUBSTITUTE(SUBSTITUTE(SUBSTITUTE(SUBSTITUTE(SUBSTITUTE(SUBSTITUTE(SUBSTITUTE(LOWER(V354&amp;""),CHAR(160),"")," ",""),".",""),"-",""),"/",""),"?",""),"_",""),",",""),"[",""),"]",""),"(",""),")",""),"*","")</f>
        <v/>
      </c>
      <c r="AW354" s="61" t="str">
        <f aca="false">SUBSTITUTE(SUBSTITUTE(SUBSTITUTE(SUBSTITUTE(SUBSTITUTE(SUBSTITUTE(SUBSTITUTE(SUBSTITUTE(SUBSTITUTE(SUBSTITUTE(SUBSTITUTE(SUBSTITUTE(SUBSTITUTE(LOWER(Z354&amp;""),CHAR(160),"")," ",""),".",""),"-",""),"/",""),"?",""),"_",""),",",""),"[",""),"]",""),"(",""),")",""),"*","")</f>
        <v/>
      </c>
      <c r="AX354" s="61" t="str">
        <f aca="false">SUBSTITUTE(SUBSTITUTE(SUBSTITUTE(SUBSTITUTE(SUBSTITUTE(SUBSTITUTE(SUBSTITUTE(SUBSTITUTE(SUBSTITUTE(SUBSTITUTE(SUBSTITUTE(SUBSTITUTE(SUBSTITUTE(LOWER(AE354&amp;""),CHAR(160),"")," ",""),".",""),"-",""),"/",""),"?",""),"_",""),",",""),"[",""),"]",""),"(",""),")",""),"*","")</f>
        <v/>
      </c>
      <c r="AY354" s="61" t="str">
        <f aca="false">SUBSTITUTE(SUBSTITUTE(SUBSTITUTE(SUBSTITUTE(SUBSTITUTE(SUBSTITUTE(SUBSTITUTE(SUBSTITUTE(SUBSTITUTE(SUBSTITUTE(SUBSTITUTE(SUBSTITUTE(SUBSTITUTE(LOWER(W354&amp;""),CHAR(160),"")," ",""),".",""),"-",""),"/",""),"?",""),"_",""),",",""),"[",""),"]",""),"(",""),")",""),"*","")</f>
        <v/>
      </c>
      <c r="AZ354" s="61" t="str">
        <f aca="false">SUBSTITUTE(SUBSTITUTE(SUBSTITUTE(SUBSTITUTE(SUBSTITUTE(SUBSTITUTE(SUBSTITUTE(SUBSTITUTE(SUBSTITUTE(SUBSTITUTE(SUBSTITUTE(SUBSTITUTE(SUBSTITUTE(LOWER(AC354&amp;""),CHAR(160),"")," ",""),".",""),"-",""),"/",""),"?",""),"_",""),",",""),"[",""),"]",""),"(",""),")",""),"*","")</f>
        <v/>
      </c>
      <c r="BA354" s="61" t="str">
        <f aca="false">SUBSTITUTE(SUBSTITUTE(SUBSTITUTE(SUBSTITUTE(SUBSTITUTE(SUBSTITUTE(SUBSTITUTE(SUBSTITUTE(SUBSTITUTE(SUBSTITUTE(SUBSTITUTE(SUBSTITUTE(SUBSTITUTE(LOWER(AA354&amp;""),CHAR(160),"")," ",""),".",""),"-",""),"/",""),"?",""),"_",""),",",""),"[",""),"]",""),"(",""),")",""),"*","")</f>
        <v/>
      </c>
      <c r="BB354" s="61" t="str">
        <f aca="false">IF(AND(TRIM(U354)="Pass",ISNUMBER(AF354)),IF(AF354&lt;&gt;0,"INVALID – qty variance: use Fail or Pass after CA",""),"")&amp;IF(AND(TRIM(U354)="Pass after CA",ISNUMBER(AF354)),IF(AF354&lt;&gt;0,"INVALID – after the corrective action the actual qty must equal expected (update Actual)",""),"")&amp;IF(AND(TRIM(U354)="Pass",TRIM(AB354)&lt;&gt;"",TRIM(AB354)&lt;&gt;"Closed"),"INVALID – corrective action not closed: use Fail, then Pass after CA","")&amp;IF(AND(TRIM(AA354)&lt;&gt;"",TRIM(AB354)=""),"INVALID – CA status missing for the recorded corrective action","")&amp;IF(AND(TRIM(U354)="Pass after CA",OR(OR(LEN(BA354)&lt;5,ISNUMBER(MATCH(BA354,L_Placeholder,0))),TRIM(AB354)&lt;&gt;"Closed")),"INVALID – corrective action not recorded/closed","")</f>
        <v/>
      </c>
    </row>
    <row r="355" customFormat="false" ht="39.75" hidden="false" customHeight="true" outlineLevel="0" collapsed="false">
      <c r="A355" s="57" t="s">
        <v>934</v>
      </c>
      <c r="B355" s="57" t="s">
        <v>248</v>
      </c>
      <c r="C355" s="57" t="str">
        <f aca="false">Flights!$F$14</f>
        <v>MH1140</v>
      </c>
      <c r="D355" s="58" t="n">
        <f aca="false">Flights!$D$14</f>
        <v>46307</v>
      </c>
      <c r="E355" s="57" t="str">
        <f aca="false">Flights!$G$14&amp;"-"&amp;Flights!$H$14</f>
        <v>KUL-PEN</v>
      </c>
      <c r="F355" s="57" t="str">
        <f aca="false">Flights!$K$14</f>
        <v>BC</v>
      </c>
      <c r="G355" s="57" t="s">
        <v>437</v>
      </c>
      <c r="H355" s="57" t="s">
        <v>438</v>
      </c>
      <c r="I355" s="57" t="s">
        <v>425</v>
      </c>
      <c r="J355" s="57" t="s">
        <v>531</v>
      </c>
      <c r="K355" s="67" t="s">
        <v>427</v>
      </c>
      <c r="L355" s="67" t="s">
        <v>923</v>
      </c>
      <c r="M355" s="67" t="s">
        <v>429</v>
      </c>
      <c r="N355" s="67" t="s">
        <v>361</v>
      </c>
      <c r="O355" s="67"/>
      <c r="P355" s="57" t="s">
        <v>184</v>
      </c>
      <c r="Q355" s="59" t="n">
        <f aca="false">ROUND((Flights!$AF$14)*1440,0)/1440</f>
        <v>46307.15625</v>
      </c>
      <c r="R355" s="59" t="n">
        <f aca="false">Q355+(IF(AND(INDEX(TZ_DSTS,MATCH(P355,TZ_STN,0))&lt;&gt;"",Q355&gt;=INDEX(TZ_DSTS,MATCH(P355,TZ_STN,0)),Q355&lt;INDEX(TZ_DSTE,MATCH(P355,TZ_STN,0))),INDEX(TZ_DST,MATCH(P355,TZ_STN,0)),INDEX(TZ_STD,MATCH(P355,TZ_STN,0))))/24</f>
        <v>46307.4895833333</v>
      </c>
      <c r="S355" s="59" t="n">
        <f aca="false">IF(ISNUMBER(Flights!$AZ$14),MAX(Q355-UpliftWindowH/24,Flights!$AZ$14),Q355-UpliftWindowH/24)</f>
        <v>46306.90625</v>
      </c>
      <c r="T355" s="60"/>
      <c r="U355" s="60"/>
      <c r="V355" s="60"/>
      <c r="W355" s="61"/>
      <c r="X355" s="60"/>
      <c r="Y355" s="60"/>
      <c r="Z355" s="60"/>
      <c r="AA355" s="60"/>
      <c r="AB355" s="60"/>
      <c r="AC355" s="60"/>
      <c r="AD355" s="66"/>
      <c r="AE355" s="60"/>
      <c r="AF355" s="61" t="str">
        <f aca="false">IF(AND(ISNUMBER(X355),ISNUMBER(Y355)),Y355-X355,"")</f>
        <v/>
      </c>
      <c r="AG355" s="62" t="str">
        <f aca="false">IF(ISNUMBER(AD355),AD355-(IF(AND(INDEX(TZ_DSTS,MATCH(P355,TZ_STN,0))&lt;&gt;"",(AD355-INDEX(TZ_STD,MATCH(P355,TZ_STN,0))/24)&gt;=INDEX(TZ_DSTS,MATCH(P355,TZ_STN,0)),(AD355-INDEX(TZ_STD,MATCH(P355,TZ_STN,0))/24)&lt;INDEX(TZ_DSTE,MATCH(P355,TZ_STN,0))),INDEX(TZ_DST,MATCH(P355,TZ_STN,0)),INDEX(TZ_STD,MATCH(P355,TZ_STN,0))))/24,"")</f>
        <v/>
      </c>
      <c r="AH355" s="65" t="str">
        <f aca="false">IFERROR(IF(N355="N/A – rule","N/A – RULE",IF(TRIM(U355)="N/A",IF(AT355=0,"INVALID – N/A not permitted for this check",IF(AND(TRIM(AB355)&lt;&gt;"",TRIM(AB355)&lt;&gt;"Closed"),"INVALID – corrective action still open",IF(AND(NOT(OR(LEN(AZ355)&lt;15,ISNUMBER(MATCH(AZ355,L_Placeholder,0)))),NOT(OR(LEN(AU355)&lt;2,ISNUMBER(MATCH(AU355,L_Placeholder,0)))),NOT(OR(LEN(AX355)&lt;2,ISNUMBER(MATCH(AX355,L_Placeholder,0)))),TRIM(AE355)&lt;&gt;TRIM(T355)),"N/A – JUSTIFIED","INVALID – N/A needs a real justification (15+ chars), PIC and a different verifier"))),IF(OR(TRIM(U355)="Pass",TRIM(U355)="Pass after CA"),IF(NOT(ISNUMBER(AD355)),"INVALID – completion time missing",IF(OR(LEN(AU355)&lt;2,ISNUMBER(MATCH(AU355,L_Placeholder,0))),"INVALID – PIC missing",IF(OR(LEN(AV355)&lt;2,ISNUMBER(MATCH(AV355,L_Placeholder,0))),"INVALID – result / assessment missing",IF(OR(OR(LEN(AW355)&lt;3,ISNUMBER(MATCH(AW355,L_Placeholder,0))),SUMPRODUCT(--ISNUMBER(SEARCH(L_EvidencePhrase,AW355)))&gt;0),"INVALID – evidence missing, placeholder or not yet on file",IF(OR(LEN(AX355)&lt;2,ISNUMBER(MATCH(AX355,L_Placeholder,0))),"INVALID – verifier missing",IF(AX355=AU355,"INVALID – verifier must be someone other than the PIC",IF(AND(TRIM(U355)="Pass",SUMPRODUCT(--ISNUMBER(SEARCH(L_ResultBad,AV355)))&gt;0),"INVALID – result describes a problem: use Fail, then Pass after CA",IF(AND(AQ355=1,OR(LEN(AY355)&lt;3,ISNUMBER(MATCH(AY355,L_Placeholder,0)))),"INVALID – batch ID missing or placeholder",IF(AND(AR355=1,OR(NOT(ISNUMBER(X355)),NOT(ISNUMBER(Y355)))),"INVALID – expected/actual qty missing",IF(AND(AR355=1,OR(X355&lt;=0,Y355&lt;0)),"INVALID – expected qty must be above 0 and actual not negative",IF(AH345="N/A – JUSTIFIED","INVALID – preparation row F10-T12-14 is N/A",IF(AND(AR355=1,ISNUMBER(X345),X355&lt;&gt;X345),"INVALID – expected qty differs from preparation check F10-T12-14",IF(BB355&lt;&gt;"",BB355,IF(AND(AS355=1,Documents!$J$14&lt;&gt;"ON FILE"),"INVALID – GLD not on file (Documents sheet)",IF(AND(AS355=2,Documents!$O$14&lt;&gt;"ON FILE"),"INVALID – menu checklist not on file (Documents sheet)",IF(AND(AS355=3,NOT(ISNUMBER(Flights!$AX$14))),"INVALID – enter carrying flight KUL departure (Flights AX)",IF(AND(AS355=3,OR(Flights!$AZ$14&gt;Flights!$AA$14,Flights!$AX$14&lt;Flights!$AA$14-3)),"INVALID – carrying flight (Flights AX) cannot arrive before this leg's STD, or is over 3 days early",IF(AG355&gt;AsOfUTC,"INVALID – completion time is in the future",IF(AND(ISNUMBER(S355),AG355&lt;S355),IF(H355="Physical uplift","INVALID – before uplift window (cannot confirm loading)","INVALID – before valid window"),IF(AG355&gt;Flights!$AA$14,"INVALID – completed after departure (cannot establish readiness)",IF(AND(H355="Preparation",AG355&gt;IF(ISNUMBER(Flights!$BA$14),MIN(Flights!$BA$14,Flights!$AA$14),Flights!$AA$14)),"INVALID – completed after loading / departure (cannot establish readiness)",IF(AND(H355="Physical uplift",AG355&gt;Q355),"INVALID – recorded after the loading flight departed",IF(AG355&gt;Q355,"COMPLETE – LATE","COMPLETE"))))))))))))))))))))))),IF(TRIM(U355)="Fail","FAIL – DISCREPANCY",IF(AND(TRIM(U355)&lt;&gt;"",TRIM(U355)&lt;&gt;"Not started",TRIM(U355)&lt;&gt;"In progress"),"INVALID – unrecognised status (use the list)",IF(AsOfUTC&gt;Q355,"OVERDUE",IF(N355="Clarification required","OPEN – CLARIFICATION","OPEN"))))))),"INVALID – error value in an input cell")</f>
        <v>OPEN</v>
      </c>
      <c r="AI355" s="61" t="n">
        <f aca="false">IF(OR(AH355="N/A – RULE",AH355="N/A – JUSTIFIED"),0,1)</f>
        <v>1</v>
      </c>
      <c r="AJ355" s="61" t="n">
        <f aca="false">IF(LEFT(AH355,8)="COMPLETE",1,0)</f>
        <v>0</v>
      </c>
      <c r="AK355" s="61" t="n">
        <f aca="false">IF(AND(AI355=1,AJ355=0,AsOfUTC&gt;Q355),1,0)</f>
        <v>0</v>
      </c>
      <c r="AL355" s="61" t="n">
        <f aca="false">IFERROR(IF(AND(AI355=1,OR(TRIM(U355)="Fail",AND(TRIM(AB355)&lt;&gt;"",TRIM(AB355)&lt;&gt;"Closed"),AND(ISNUMBER(AF355),AF355&lt;&gt;0,TRIM(U355)&lt;&gt;"Pass after CA"))),1,0),1)</f>
        <v>0</v>
      </c>
      <c r="AM355" s="61" t="n">
        <f aca="false">IF(LEFT(AH355,7)="INVALID",1,0)</f>
        <v>0</v>
      </c>
      <c r="AN355" s="61" t="n">
        <f aca="false">IF(AND(N355="Clarification required",AI355=1,AJ355=0),1,0)</f>
        <v>0</v>
      </c>
      <c r="AO355" s="61" t="str">
        <f aca="false">IF(AK355=1,SUM(AK$5:AK355),"")</f>
        <v/>
      </c>
      <c r="AP355" s="61" t="str">
        <f aca="false">IF(AL355=1,SUM(AL$5:AL355),"")</f>
        <v/>
      </c>
      <c r="AQ355" s="61" t="n">
        <v>0</v>
      </c>
      <c r="AR355" s="61" t="n">
        <v>0</v>
      </c>
      <c r="AS355" s="61" t="n">
        <v>0</v>
      </c>
      <c r="AT355" s="61" t="n">
        <v>0</v>
      </c>
      <c r="AU355" s="61" t="str">
        <f aca="false">SUBSTITUTE(SUBSTITUTE(SUBSTITUTE(SUBSTITUTE(SUBSTITUTE(SUBSTITUTE(SUBSTITUTE(SUBSTITUTE(SUBSTITUTE(SUBSTITUTE(SUBSTITUTE(SUBSTITUTE(SUBSTITUTE(LOWER(T355&amp;""),CHAR(160),"")," ",""),".",""),"-",""),"/",""),"?",""),"_",""),",",""),"[",""),"]",""),"(",""),")",""),"*","")</f>
        <v/>
      </c>
      <c r="AV355" s="61" t="str">
        <f aca="false">SUBSTITUTE(SUBSTITUTE(SUBSTITUTE(SUBSTITUTE(SUBSTITUTE(SUBSTITUTE(SUBSTITUTE(SUBSTITUTE(SUBSTITUTE(SUBSTITUTE(SUBSTITUTE(SUBSTITUTE(SUBSTITUTE(LOWER(V355&amp;""),CHAR(160),"")," ",""),".",""),"-",""),"/",""),"?",""),"_",""),",",""),"[",""),"]",""),"(",""),")",""),"*","")</f>
        <v/>
      </c>
      <c r="AW355" s="61" t="str">
        <f aca="false">SUBSTITUTE(SUBSTITUTE(SUBSTITUTE(SUBSTITUTE(SUBSTITUTE(SUBSTITUTE(SUBSTITUTE(SUBSTITUTE(SUBSTITUTE(SUBSTITUTE(SUBSTITUTE(SUBSTITUTE(SUBSTITUTE(LOWER(Z355&amp;""),CHAR(160),"")," ",""),".",""),"-",""),"/",""),"?",""),"_",""),",",""),"[",""),"]",""),"(",""),")",""),"*","")</f>
        <v/>
      </c>
      <c r="AX355" s="61" t="str">
        <f aca="false">SUBSTITUTE(SUBSTITUTE(SUBSTITUTE(SUBSTITUTE(SUBSTITUTE(SUBSTITUTE(SUBSTITUTE(SUBSTITUTE(SUBSTITUTE(SUBSTITUTE(SUBSTITUTE(SUBSTITUTE(SUBSTITUTE(LOWER(AE355&amp;""),CHAR(160),"")," ",""),".",""),"-",""),"/",""),"?",""),"_",""),",",""),"[",""),"]",""),"(",""),")",""),"*","")</f>
        <v/>
      </c>
      <c r="AY355" s="61" t="str">
        <f aca="false">SUBSTITUTE(SUBSTITUTE(SUBSTITUTE(SUBSTITUTE(SUBSTITUTE(SUBSTITUTE(SUBSTITUTE(SUBSTITUTE(SUBSTITUTE(SUBSTITUTE(SUBSTITUTE(SUBSTITUTE(SUBSTITUTE(LOWER(W355&amp;""),CHAR(160),"")," ",""),".",""),"-",""),"/",""),"?",""),"_",""),",",""),"[",""),"]",""),"(",""),")",""),"*","")</f>
        <v/>
      </c>
      <c r="AZ355" s="61" t="str">
        <f aca="false">SUBSTITUTE(SUBSTITUTE(SUBSTITUTE(SUBSTITUTE(SUBSTITUTE(SUBSTITUTE(SUBSTITUTE(SUBSTITUTE(SUBSTITUTE(SUBSTITUTE(SUBSTITUTE(SUBSTITUTE(SUBSTITUTE(LOWER(AC355&amp;""),CHAR(160),"")," ",""),".",""),"-",""),"/",""),"?",""),"_",""),",",""),"[",""),"]",""),"(",""),")",""),"*","")</f>
        <v/>
      </c>
      <c r="BA355" s="61" t="str">
        <f aca="false">SUBSTITUTE(SUBSTITUTE(SUBSTITUTE(SUBSTITUTE(SUBSTITUTE(SUBSTITUTE(SUBSTITUTE(SUBSTITUTE(SUBSTITUTE(SUBSTITUTE(SUBSTITUTE(SUBSTITUTE(SUBSTITUTE(LOWER(AA355&amp;""),CHAR(160),"")," ",""),".",""),"-",""),"/",""),"?",""),"_",""),",",""),"[",""),"]",""),"(",""),")",""),"*","")</f>
        <v/>
      </c>
      <c r="BB355" s="61" t="str">
        <f aca="false">IF(AND(TRIM(U355)="Pass",ISNUMBER(AF355)),IF(AF355&lt;&gt;0,"INVALID – qty variance: use Fail or Pass after CA",""),"")&amp;IF(AND(TRIM(U355)="Pass after CA",ISNUMBER(AF355)),IF(AF355&lt;&gt;0,"INVALID – after the corrective action the actual qty must equal expected (update Actual)",""),"")&amp;IF(AND(TRIM(U355)="Pass",TRIM(AB355)&lt;&gt;"",TRIM(AB355)&lt;&gt;"Closed"),"INVALID – corrective action not closed: use Fail, then Pass after CA","")&amp;IF(AND(TRIM(AA355)&lt;&gt;"",TRIM(AB355)=""),"INVALID – CA status missing for the recorded corrective action","")&amp;IF(AND(TRIM(U355)="Pass after CA",OR(OR(LEN(BA355)&lt;5,ISNUMBER(MATCH(BA355,L_Placeholder,0))),TRIM(AB355)&lt;&gt;"Closed")),"INVALID – corrective action not recorded/closed","")</f>
        <v/>
      </c>
    </row>
    <row r="356" customFormat="false" ht="39.75" hidden="false" customHeight="true" outlineLevel="0" collapsed="false">
      <c r="A356" s="57" t="s">
        <v>935</v>
      </c>
      <c r="B356" s="57" t="s">
        <v>248</v>
      </c>
      <c r="C356" s="57" t="str">
        <f aca="false">Flights!$F$14</f>
        <v>MH1140</v>
      </c>
      <c r="D356" s="58" t="n">
        <f aca="false">Flights!$D$14</f>
        <v>46307</v>
      </c>
      <c r="E356" s="57" t="str">
        <f aca="false">Flights!$G$14&amp;"-"&amp;Flights!$H$14</f>
        <v>KUL-PEN</v>
      </c>
      <c r="F356" s="57" t="str">
        <f aca="false">Flights!$K$14</f>
        <v>BC</v>
      </c>
      <c r="G356" s="57" t="s">
        <v>437</v>
      </c>
      <c r="H356" s="57" t="s">
        <v>438</v>
      </c>
      <c r="I356" s="57" t="s">
        <v>425</v>
      </c>
      <c r="J356" s="57" t="s">
        <v>533</v>
      </c>
      <c r="K356" s="67" t="s">
        <v>427</v>
      </c>
      <c r="L356" s="67" t="s">
        <v>925</v>
      </c>
      <c r="M356" s="67" t="s">
        <v>429</v>
      </c>
      <c r="N356" s="67" t="s">
        <v>361</v>
      </c>
      <c r="O356" s="67"/>
      <c r="P356" s="57" t="s">
        <v>184</v>
      </c>
      <c r="Q356" s="59" t="n">
        <f aca="false">ROUND((Flights!$AF$14)*1440,0)/1440</f>
        <v>46307.15625</v>
      </c>
      <c r="R356" s="59" t="n">
        <f aca="false">Q356+(IF(AND(INDEX(TZ_DSTS,MATCH(P356,TZ_STN,0))&lt;&gt;"",Q356&gt;=INDEX(TZ_DSTS,MATCH(P356,TZ_STN,0)),Q356&lt;INDEX(TZ_DSTE,MATCH(P356,TZ_STN,0))),INDEX(TZ_DST,MATCH(P356,TZ_STN,0)),INDEX(TZ_STD,MATCH(P356,TZ_STN,0))))/24</f>
        <v>46307.4895833333</v>
      </c>
      <c r="S356" s="59" t="n">
        <f aca="false">IF(ISNUMBER(Flights!$AZ$14),MAX(Q356-UpliftWindowH/24,Flights!$AZ$14),Q356-UpliftWindowH/24)</f>
        <v>46306.90625</v>
      </c>
      <c r="T356" s="60"/>
      <c r="U356" s="60"/>
      <c r="V356" s="60"/>
      <c r="W356" s="61"/>
      <c r="X356" s="60"/>
      <c r="Y356" s="60"/>
      <c r="Z356" s="60"/>
      <c r="AA356" s="60"/>
      <c r="AB356" s="60"/>
      <c r="AC356" s="60"/>
      <c r="AD356" s="66"/>
      <c r="AE356" s="60"/>
      <c r="AF356" s="61" t="str">
        <f aca="false">IF(AND(ISNUMBER(X356),ISNUMBER(Y356)),Y356-X356,"")</f>
        <v/>
      </c>
      <c r="AG356" s="62" t="str">
        <f aca="false">IF(ISNUMBER(AD356),AD356-(IF(AND(INDEX(TZ_DSTS,MATCH(P356,TZ_STN,0))&lt;&gt;"",(AD356-INDEX(TZ_STD,MATCH(P356,TZ_STN,0))/24)&gt;=INDEX(TZ_DSTS,MATCH(P356,TZ_STN,0)),(AD356-INDEX(TZ_STD,MATCH(P356,TZ_STN,0))/24)&lt;INDEX(TZ_DSTE,MATCH(P356,TZ_STN,0))),INDEX(TZ_DST,MATCH(P356,TZ_STN,0)),INDEX(TZ_STD,MATCH(P356,TZ_STN,0))))/24,"")</f>
        <v/>
      </c>
      <c r="AH356" s="65" t="str">
        <f aca="false">IFERROR(IF(N356="N/A – rule","N/A – RULE",IF(TRIM(U356)="N/A",IF(AT356=0,"INVALID – N/A not permitted for this check",IF(AND(TRIM(AB356)&lt;&gt;"",TRIM(AB356)&lt;&gt;"Closed"),"INVALID – corrective action still open",IF(AND(NOT(OR(LEN(AZ356)&lt;15,ISNUMBER(MATCH(AZ356,L_Placeholder,0)))),NOT(OR(LEN(AU356)&lt;2,ISNUMBER(MATCH(AU356,L_Placeholder,0)))),NOT(OR(LEN(AX356)&lt;2,ISNUMBER(MATCH(AX356,L_Placeholder,0)))),TRIM(AE356)&lt;&gt;TRIM(T356)),"N/A – JUSTIFIED","INVALID – N/A needs a real justification (15+ chars), PIC and a different verifier"))),IF(OR(TRIM(U356)="Pass",TRIM(U356)="Pass after CA"),IF(NOT(ISNUMBER(AD356)),"INVALID – completion time missing",IF(OR(LEN(AU356)&lt;2,ISNUMBER(MATCH(AU356,L_Placeholder,0))),"INVALID – PIC missing",IF(OR(LEN(AV356)&lt;2,ISNUMBER(MATCH(AV356,L_Placeholder,0))),"INVALID – result / assessment missing",IF(OR(OR(LEN(AW356)&lt;3,ISNUMBER(MATCH(AW356,L_Placeholder,0))),SUMPRODUCT(--ISNUMBER(SEARCH(L_EvidencePhrase,AW356)))&gt;0),"INVALID – evidence missing, placeholder or not yet on file",IF(OR(LEN(AX356)&lt;2,ISNUMBER(MATCH(AX356,L_Placeholder,0))),"INVALID – verifier missing",IF(AX356=AU356,"INVALID – verifier must be someone other than the PIC",IF(AND(TRIM(U356)="Pass",SUMPRODUCT(--ISNUMBER(SEARCH(L_ResultBad,AV356)))&gt;0),"INVALID – result describes a problem: use Fail, then Pass after CA",IF(AND(AQ356=1,OR(LEN(AY356)&lt;3,ISNUMBER(MATCH(AY356,L_Placeholder,0)))),"INVALID – batch ID missing or placeholder",IF(AND(AR356=1,OR(NOT(ISNUMBER(X356)),NOT(ISNUMBER(Y356)))),"INVALID – expected/actual qty missing",IF(AND(AR356=1,OR(X356&lt;=0,Y356&lt;0)),"INVALID – expected qty must be above 0 and actual not negative",IF(AH346="N/A – JUSTIFIED","INVALID – preparation row F10-T12-15 is N/A",IF(AND(AR356=1,ISNUMBER(X346),X356&lt;&gt;X346),"INVALID – expected qty differs from preparation check F10-T12-15",IF(BB356&lt;&gt;"",BB356,IF(AND(AS356=1,Documents!$J$14&lt;&gt;"ON FILE"),"INVALID – GLD not on file (Documents sheet)",IF(AND(AS356=2,Documents!$O$14&lt;&gt;"ON FILE"),"INVALID – menu checklist not on file (Documents sheet)",IF(AND(AS356=3,NOT(ISNUMBER(Flights!$AX$14))),"INVALID – enter carrying flight KUL departure (Flights AX)",IF(AND(AS356=3,OR(Flights!$AZ$14&gt;Flights!$AA$14,Flights!$AX$14&lt;Flights!$AA$14-3)),"INVALID – carrying flight (Flights AX) cannot arrive before this leg's STD, or is over 3 days early",IF(AG356&gt;AsOfUTC,"INVALID – completion time is in the future",IF(AND(ISNUMBER(S356),AG356&lt;S356),IF(H356="Physical uplift","INVALID – before uplift window (cannot confirm loading)","INVALID – before valid window"),IF(AG356&gt;Flights!$AA$14,"INVALID – completed after departure (cannot establish readiness)",IF(AND(H356="Preparation",AG356&gt;IF(ISNUMBER(Flights!$BA$14),MIN(Flights!$BA$14,Flights!$AA$14),Flights!$AA$14)),"INVALID – completed after loading / departure (cannot establish readiness)",IF(AND(H356="Physical uplift",AG356&gt;Q356),"INVALID – recorded after the loading flight departed",IF(AG356&gt;Q356,"COMPLETE – LATE","COMPLETE"))))))))))))))))))))))),IF(TRIM(U356)="Fail","FAIL – DISCREPANCY",IF(AND(TRIM(U356)&lt;&gt;"",TRIM(U356)&lt;&gt;"Not started",TRIM(U356)&lt;&gt;"In progress"),"INVALID – unrecognised status (use the list)",IF(AsOfUTC&gt;Q356,"OVERDUE",IF(N356="Clarification required","OPEN – CLARIFICATION","OPEN"))))))),"INVALID – error value in an input cell")</f>
        <v>OPEN</v>
      </c>
      <c r="AI356" s="61" t="n">
        <f aca="false">IF(OR(AH356="N/A – RULE",AH356="N/A – JUSTIFIED"),0,1)</f>
        <v>1</v>
      </c>
      <c r="AJ356" s="61" t="n">
        <f aca="false">IF(LEFT(AH356,8)="COMPLETE",1,0)</f>
        <v>0</v>
      </c>
      <c r="AK356" s="61" t="n">
        <f aca="false">IF(AND(AI356=1,AJ356=0,AsOfUTC&gt;Q356),1,0)</f>
        <v>0</v>
      </c>
      <c r="AL356" s="61" t="n">
        <f aca="false">IFERROR(IF(AND(AI356=1,OR(TRIM(U356)="Fail",AND(TRIM(AB356)&lt;&gt;"",TRIM(AB356)&lt;&gt;"Closed"),AND(ISNUMBER(AF356),AF356&lt;&gt;0,TRIM(U356)&lt;&gt;"Pass after CA"))),1,0),1)</f>
        <v>0</v>
      </c>
      <c r="AM356" s="61" t="n">
        <f aca="false">IF(LEFT(AH356,7)="INVALID",1,0)</f>
        <v>0</v>
      </c>
      <c r="AN356" s="61" t="n">
        <f aca="false">IF(AND(N356="Clarification required",AI356=1,AJ356=0),1,0)</f>
        <v>0</v>
      </c>
      <c r="AO356" s="61" t="str">
        <f aca="false">IF(AK356=1,SUM(AK$5:AK356),"")</f>
        <v/>
      </c>
      <c r="AP356" s="61" t="str">
        <f aca="false">IF(AL356=1,SUM(AL$5:AL356),"")</f>
        <v/>
      </c>
      <c r="AQ356" s="61" t="n">
        <v>0</v>
      </c>
      <c r="AR356" s="61" t="n">
        <v>0</v>
      </c>
      <c r="AS356" s="61" t="n">
        <v>0</v>
      </c>
      <c r="AT356" s="61" t="n">
        <v>0</v>
      </c>
      <c r="AU356" s="61" t="str">
        <f aca="false">SUBSTITUTE(SUBSTITUTE(SUBSTITUTE(SUBSTITUTE(SUBSTITUTE(SUBSTITUTE(SUBSTITUTE(SUBSTITUTE(SUBSTITUTE(SUBSTITUTE(SUBSTITUTE(SUBSTITUTE(SUBSTITUTE(LOWER(T356&amp;""),CHAR(160),"")," ",""),".",""),"-",""),"/",""),"?",""),"_",""),",",""),"[",""),"]",""),"(",""),")",""),"*","")</f>
        <v/>
      </c>
      <c r="AV356" s="61" t="str">
        <f aca="false">SUBSTITUTE(SUBSTITUTE(SUBSTITUTE(SUBSTITUTE(SUBSTITUTE(SUBSTITUTE(SUBSTITUTE(SUBSTITUTE(SUBSTITUTE(SUBSTITUTE(SUBSTITUTE(SUBSTITUTE(SUBSTITUTE(LOWER(V356&amp;""),CHAR(160),"")," ",""),".",""),"-",""),"/",""),"?",""),"_",""),",",""),"[",""),"]",""),"(",""),")",""),"*","")</f>
        <v/>
      </c>
      <c r="AW356" s="61" t="str">
        <f aca="false">SUBSTITUTE(SUBSTITUTE(SUBSTITUTE(SUBSTITUTE(SUBSTITUTE(SUBSTITUTE(SUBSTITUTE(SUBSTITUTE(SUBSTITUTE(SUBSTITUTE(SUBSTITUTE(SUBSTITUTE(SUBSTITUTE(LOWER(Z356&amp;""),CHAR(160),"")," ",""),".",""),"-",""),"/",""),"?",""),"_",""),",",""),"[",""),"]",""),"(",""),")",""),"*","")</f>
        <v/>
      </c>
      <c r="AX356" s="61" t="str">
        <f aca="false">SUBSTITUTE(SUBSTITUTE(SUBSTITUTE(SUBSTITUTE(SUBSTITUTE(SUBSTITUTE(SUBSTITUTE(SUBSTITUTE(SUBSTITUTE(SUBSTITUTE(SUBSTITUTE(SUBSTITUTE(SUBSTITUTE(LOWER(AE356&amp;""),CHAR(160),"")," ",""),".",""),"-",""),"/",""),"?",""),"_",""),",",""),"[",""),"]",""),"(",""),")",""),"*","")</f>
        <v/>
      </c>
      <c r="AY356" s="61" t="str">
        <f aca="false">SUBSTITUTE(SUBSTITUTE(SUBSTITUTE(SUBSTITUTE(SUBSTITUTE(SUBSTITUTE(SUBSTITUTE(SUBSTITUTE(SUBSTITUTE(SUBSTITUTE(SUBSTITUTE(SUBSTITUTE(SUBSTITUTE(LOWER(W356&amp;""),CHAR(160),"")," ",""),".",""),"-",""),"/",""),"?",""),"_",""),",",""),"[",""),"]",""),"(",""),")",""),"*","")</f>
        <v/>
      </c>
      <c r="AZ356" s="61" t="str">
        <f aca="false">SUBSTITUTE(SUBSTITUTE(SUBSTITUTE(SUBSTITUTE(SUBSTITUTE(SUBSTITUTE(SUBSTITUTE(SUBSTITUTE(SUBSTITUTE(SUBSTITUTE(SUBSTITUTE(SUBSTITUTE(SUBSTITUTE(LOWER(AC356&amp;""),CHAR(160),"")," ",""),".",""),"-",""),"/",""),"?",""),"_",""),",",""),"[",""),"]",""),"(",""),")",""),"*","")</f>
        <v/>
      </c>
      <c r="BA356" s="61" t="str">
        <f aca="false">SUBSTITUTE(SUBSTITUTE(SUBSTITUTE(SUBSTITUTE(SUBSTITUTE(SUBSTITUTE(SUBSTITUTE(SUBSTITUTE(SUBSTITUTE(SUBSTITUTE(SUBSTITUTE(SUBSTITUTE(SUBSTITUTE(LOWER(AA356&amp;""),CHAR(160),"")," ",""),".",""),"-",""),"/",""),"?",""),"_",""),",",""),"[",""),"]",""),"(",""),")",""),"*","")</f>
        <v/>
      </c>
      <c r="BB356" s="61" t="str">
        <f aca="false">IF(AND(TRIM(U356)="Pass",ISNUMBER(AF356)),IF(AF356&lt;&gt;0,"INVALID – qty variance: use Fail or Pass after CA",""),"")&amp;IF(AND(TRIM(U356)="Pass after CA",ISNUMBER(AF356)),IF(AF356&lt;&gt;0,"INVALID – after the corrective action the actual qty must equal expected (update Actual)",""),"")&amp;IF(AND(TRIM(U356)="Pass",TRIM(AB356)&lt;&gt;"",TRIM(AB356)&lt;&gt;"Closed"),"INVALID – corrective action not closed: use Fail, then Pass after CA","")&amp;IF(AND(TRIM(AA356)&lt;&gt;"",TRIM(AB356)=""),"INVALID – CA status missing for the recorded corrective action","")&amp;IF(AND(TRIM(U356)="Pass after CA",OR(OR(LEN(BA356)&lt;5,ISNUMBER(MATCH(BA356,L_Placeholder,0))),TRIM(AB356)&lt;&gt;"Closed")),"INVALID – corrective action not recorded/closed","")</f>
        <v/>
      </c>
    </row>
    <row r="357" customFormat="false" ht="39.75" hidden="false" customHeight="true" outlineLevel="0" collapsed="false">
      <c r="A357" s="57" t="s">
        <v>936</v>
      </c>
      <c r="B357" s="57" t="s">
        <v>255</v>
      </c>
      <c r="C357" s="57" t="str">
        <f aca="false">Flights!$F$15</f>
        <v>MH1149</v>
      </c>
      <c r="D357" s="58" t="n">
        <f aca="false">Flights!$D$15</f>
        <v>46307</v>
      </c>
      <c r="E357" s="57" t="str">
        <f aca="false">Flights!$G$15&amp;"-"&amp;Flights!$H$15</f>
        <v>PEN-KUL</v>
      </c>
      <c r="F357" s="57" t="str">
        <f aca="false">Flights!$K$15</f>
        <v>EY</v>
      </c>
      <c r="G357" s="57" t="s">
        <v>79</v>
      </c>
      <c r="H357" s="57" t="s">
        <v>356</v>
      </c>
      <c r="I357" s="57" t="s">
        <v>357</v>
      </c>
      <c r="J357" s="57" t="s">
        <v>358</v>
      </c>
      <c r="K357" s="67" t="s">
        <v>359</v>
      </c>
      <c r="L357" s="67" t="s">
        <v>360</v>
      </c>
      <c r="M357" s="67"/>
      <c r="N357" s="67" t="s">
        <v>361</v>
      </c>
      <c r="O357" s="67" t="s">
        <v>890</v>
      </c>
      <c r="P357" s="57" t="s">
        <v>184</v>
      </c>
      <c r="Q357" s="59" t="n">
        <f aca="false">ROUND((Flights!$AC$15)*1440,0)/1440</f>
        <v>46300.3263888889</v>
      </c>
      <c r="R357" s="59" t="n">
        <f aca="false">Q357+(IF(AND(INDEX(TZ_DSTS,MATCH(P357,TZ_STN,0))&lt;&gt;"",Q357&gt;=INDEX(TZ_DSTS,MATCH(P357,TZ_STN,0)),Q357&lt;INDEX(TZ_DSTE,MATCH(P357,TZ_STN,0))),INDEX(TZ_DST,MATCH(P357,TZ_STN,0)),INDEX(TZ_STD,MATCH(P357,TZ_STN,0))))/24</f>
        <v>46300.6597222222</v>
      </c>
      <c r="S357" s="59" t="n">
        <f aca="false">Q357-T7EarlyD*24/24</f>
        <v>46286.3263888889</v>
      </c>
      <c r="T357" s="60"/>
      <c r="U357" s="60"/>
      <c r="V357" s="60"/>
      <c r="W357" s="61"/>
      <c r="X357" s="60"/>
      <c r="Y357" s="60"/>
      <c r="Z357" s="60"/>
      <c r="AA357" s="60"/>
      <c r="AB357" s="60"/>
      <c r="AC357" s="60"/>
      <c r="AD357" s="66"/>
      <c r="AE357" s="60"/>
      <c r="AF357" s="61" t="str">
        <f aca="false">IF(AND(ISNUMBER(X357),ISNUMBER(Y357)),Y357-X357,"")</f>
        <v/>
      </c>
      <c r="AG357" s="62" t="str">
        <f aca="false">IF(ISNUMBER(AD357),AD357-(IF(AND(INDEX(TZ_DSTS,MATCH(P357,TZ_STN,0))&lt;&gt;"",(AD357-INDEX(TZ_STD,MATCH(P357,TZ_STN,0))/24)&gt;=INDEX(TZ_DSTS,MATCH(P357,TZ_STN,0)),(AD357-INDEX(TZ_STD,MATCH(P357,TZ_STN,0))/24)&lt;INDEX(TZ_DSTE,MATCH(P357,TZ_STN,0))),INDEX(TZ_DST,MATCH(P357,TZ_STN,0)),INDEX(TZ_STD,MATCH(P357,TZ_STN,0))))/24,"")</f>
        <v/>
      </c>
      <c r="AH357" s="65" t="str">
        <f aca="false">IFERROR(IF(N357="N/A – rule","N/A – RULE",IF(TRIM(U357)="N/A",IF(AT357=0,"INVALID – N/A not permitted for this check",IF(AND(TRIM(AB357)&lt;&gt;"",TRIM(AB357)&lt;&gt;"Closed"),"INVALID – corrective action still open",IF(AND(NOT(OR(LEN(AZ357)&lt;15,ISNUMBER(MATCH(AZ357,L_Placeholder,0)))),NOT(OR(LEN(AU357)&lt;2,ISNUMBER(MATCH(AU357,L_Placeholder,0)))),NOT(OR(LEN(AX357)&lt;2,ISNUMBER(MATCH(AX357,L_Placeholder,0)))),TRIM(AE357)&lt;&gt;TRIM(T357)),"N/A – JUSTIFIED","INVALID – N/A needs a real justification (15+ chars), PIC and a different verifier"))),IF(OR(TRIM(U357)="Pass",TRIM(U357)="Pass after CA"),IF(NOT(ISNUMBER(AD357)),"INVALID – completion time missing",IF(OR(LEN(AU357)&lt;2,ISNUMBER(MATCH(AU357,L_Placeholder,0))),"INVALID – PIC missing",IF(OR(LEN(AV357)&lt;2,ISNUMBER(MATCH(AV357,L_Placeholder,0))),"INVALID – result / assessment missing",IF(OR(OR(LEN(AW357)&lt;3,ISNUMBER(MATCH(AW357,L_Placeholder,0))),SUMPRODUCT(--ISNUMBER(SEARCH(L_EvidencePhrase,AW357)))&gt;0),"INVALID – evidence missing, placeholder or not yet on file",IF(OR(LEN(AX357)&lt;2,ISNUMBER(MATCH(AX357,L_Placeholder,0))),"INVALID – verifier missing",IF(AX357=AU357,"INVALID – verifier must be someone other than the PIC",IF(AND(TRIM(U357)="Pass",SUMPRODUCT(--ISNUMBER(SEARCH(L_ResultBad,AV357)))&gt;0),"INVALID – result describes a problem: use Fail, then Pass after CA",IF(AND(AQ357=1,OR(LEN(AY357)&lt;3,ISNUMBER(MATCH(AY357,L_Placeholder,0)))),"INVALID – batch ID missing or placeholder",IF(AND(AR357=1,OR(NOT(ISNUMBER(X357)),NOT(ISNUMBER(Y357)))),"INVALID – expected/actual qty missing",IF(AND(AR357=1,OR(X357&lt;=0,Y357&lt;0)),"INVALID – expected qty must be above 0 and actual not negative",IF(BB357&lt;&gt;"",BB357,IF(AND(AS357=1,Documents!$J$15&lt;&gt;"ON FILE"),"INVALID – GLD not on file (Documents sheet)",IF(AND(AS357=2,Documents!$O$15&lt;&gt;"ON FILE"),"INVALID – menu checklist not on file (Documents sheet)",IF(AND(AS357=3,NOT(ISNUMBER(Flights!$AX$15))),"INVALID – enter carrying flight KUL departure (Flights AX)",IF(AND(AS357=3,OR(Flights!$AZ$15&gt;Flights!$AA$15,Flights!$AX$15&lt;Flights!$AA$15-3)),"INVALID – carrying flight (Flights AX) cannot arrive before this leg's STD, or is over 3 days early",IF(AG357&gt;AsOfUTC,"INVALID – completion time is in the future",IF(AND(ISNUMBER(S357),AG357&lt;S357),IF(H357="Physical uplift","INVALID – before uplift window (cannot confirm loading)","INVALID – before valid window"),IF(AG357&gt;Flights!$AA$15,"INVALID – completed after departure (cannot establish readiness)",IF(AND(H357="Preparation",AG357&gt;IF(ISNUMBER(Flights!$BA$15),MIN(Flights!$BA$15,Flights!$AA$15),Flights!$AA$15)),"INVALID – completed after loading / departure (cannot establish readiness)",IF(AND(H357="Physical uplift",AG357&gt;Q357),"INVALID – recorded after the loading flight departed",IF(AG357&gt;Q357,"COMPLETE – LATE","COMPLETE"))))))))))))))))))))),IF(TRIM(U357)="Fail","FAIL – DISCREPANCY",IF(AND(TRIM(U357)&lt;&gt;"",TRIM(U357)&lt;&gt;"Not started",TRIM(U357)&lt;&gt;"In progress"),"INVALID – unrecognised status (use the list)",IF(AsOfUTC&gt;Q357,"OVERDUE",IF(N357="Clarification required","OPEN – CLARIFICATION","OPEN"))))))),"INVALID – error value in an input cell")</f>
        <v>OPEN</v>
      </c>
      <c r="AI357" s="61" t="n">
        <f aca="false">IF(OR(AH357="N/A – RULE",AH357="N/A – JUSTIFIED"),0,1)</f>
        <v>1</v>
      </c>
      <c r="AJ357" s="61" t="n">
        <f aca="false">IF(LEFT(AH357,8)="COMPLETE",1,0)</f>
        <v>0</v>
      </c>
      <c r="AK357" s="61" t="n">
        <f aca="false">IF(AND(AI357=1,AJ357=0,AsOfUTC&gt;Q357),1,0)</f>
        <v>0</v>
      </c>
      <c r="AL357" s="61" t="n">
        <f aca="false">IFERROR(IF(AND(AI357=1,OR(TRIM(U357)="Fail",AND(TRIM(AB357)&lt;&gt;"",TRIM(AB357)&lt;&gt;"Closed"),AND(ISNUMBER(AF357),AF357&lt;&gt;0,TRIM(U357)&lt;&gt;"Pass after CA"))),1,0),1)</f>
        <v>0</v>
      </c>
      <c r="AM357" s="61" t="n">
        <f aca="false">IF(LEFT(AH357,7)="INVALID",1,0)</f>
        <v>0</v>
      </c>
      <c r="AN357" s="61" t="n">
        <f aca="false">IF(AND(N357="Clarification required",AI357=1,AJ357=0),1,0)</f>
        <v>0</v>
      </c>
      <c r="AO357" s="61" t="str">
        <f aca="false">IF(AK357=1,SUM(AK$5:AK357),"")</f>
        <v/>
      </c>
      <c r="AP357" s="61" t="str">
        <f aca="false">IF(AL357=1,SUM(AL$5:AL357),"")</f>
        <v/>
      </c>
      <c r="AQ357" s="61" t="n">
        <v>0</v>
      </c>
      <c r="AR357" s="61" t="n">
        <v>0</v>
      </c>
      <c r="AS357" s="61" t="n">
        <v>0</v>
      </c>
      <c r="AT357" s="61" t="n">
        <v>0</v>
      </c>
      <c r="AU357" s="61" t="str">
        <f aca="false">SUBSTITUTE(SUBSTITUTE(SUBSTITUTE(SUBSTITUTE(SUBSTITUTE(SUBSTITUTE(SUBSTITUTE(SUBSTITUTE(SUBSTITUTE(SUBSTITUTE(SUBSTITUTE(SUBSTITUTE(SUBSTITUTE(LOWER(T357&amp;""),CHAR(160),"")," ",""),".",""),"-",""),"/",""),"?",""),"_",""),",",""),"[",""),"]",""),"(",""),")",""),"*","")</f>
        <v/>
      </c>
      <c r="AV357" s="61" t="str">
        <f aca="false">SUBSTITUTE(SUBSTITUTE(SUBSTITUTE(SUBSTITUTE(SUBSTITUTE(SUBSTITUTE(SUBSTITUTE(SUBSTITUTE(SUBSTITUTE(SUBSTITUTE(SUBSTITUTE(SUBSTITUTE(SUBSTITUTE(LOWER(V357&amp;""),CHAR(160),"")," ",""),".",""),"-",""),"/",""),"?",""),"_",""),",",""),"[",""),"]",""),"(",""),")",""),"*","")</f>
        <v/>
      </c>
      <c r="AW357" s="61" t="str">
        <f aca="false">SUBSTITUTE(SUBSTITUTE(SUBSTITUTE(SUBSTITUTE(SUBSTITUTE(SUBSTITUTE(SUBSTITUTE(SUBSTITUTE(SUBSTITUTE(SUBSTITUTE(SUBSTITUTE(SUBSTITUTE(SUBSTITUTE(LOWER(Z357&amp;""),CHAR(160),"")," ",""),".",""),"-",""),"/",""),"?",""),"_",""),",",""),"[",""),"]",""),"(",""),")",""),"*","")</f>
        <v/>
      </c>
      <c r="AX357" s="61" t="str">
        <f aca="false">SUBSTITUTE(SUBSTITUTE(SUBSTITUTE(SUBSTITUTE(SUBSTITUTE(SUBSTITUTE(SUBSTITUTE(SUBSTITUTE(SUBSTITUTE(SUBSTITUTE(SUBSTITUTE(SUBSTITUTE(SUBSTITUTE(LOWER(AE357&amp;""),CHAR(160),"")," ",""),".",""),"-",""),"/",""),"?",""),"_",""),",",""),"[",""),"]",""),"(",""),")",""),"*","")</f>
        <v/>
      </c>
      <c r="AY357" s="61" t="str">
        <f aca="false">SUBSTITUTE(SUBSTITUTE(SUBSTITUTE(SUBSTITUTE(SUBSTITUTE(SUBSTITUTE(SUBSTITUTE(SUBSTITUTE(SUBSTITUTE(SUBSTITUTE(SUBSTITUTE(SUBSTITUTE(SUBSTITUTE(LOWER(W357&amp;""),CHAR(160),"")," ",""),".",""),"-",""),"/",""),"?",""),"_",""),",",""),"[",""),"]",""),"(",""),")",""),"*","")</f>
        <v/>
      </c>
      <c r="AZ357" s="61" t="str">
        <f aca="false">SUBSTITUTE(SUBSTITUTE(SUBSTITUTE(SUBSTITUTE(SUBSTITUTE(SUBSTITUTE(SUBSTITUTE(SUBSTITUTE(SUBSTITUTE(SUBSTITUTE(SUBSTITUTE(SUBSTITUTE(SUBSTITUTE(LOWER(AC357&amp;""),CHAR(160),"")," ",""),".",""),"-",""),"/",""),"?",""),"_",""),",",""),"[",""),"]",""),"(",""),")",""),"*","")</f>
        <v/>
      </c>
      <c r="BA357" s="61" t="str">
        <f aca="false">SUBSTITUTE(SUBSTITUTE(SUBSTITUTE(SUBSTITUTE(SUBSTITUTE(SUBSTITUTE(SUBSTITUTE(SUBSTITUTE(SUBSTITUTE(SUBSTITUTE(SUBSTITUTE(SUBSTITUTE(SUBSTITUTE(LOWER(AA357&amp;""),CHAR(160),"")," ",""),".",""),"-",""),"/",""),"?",""),"_",""),",",""),"[",""),"]",""),"(",""),")",""),"*","")</f>
        <v/>
      </c>
      <c r="BB357" s="61" t="str">
        <f aca="false">IF(AND(TRIM(U357)="Pass",ISNUMBER(AF357)),IF(AF357&lt;&gt;0,"INVALID – qty variance: use Fail or Pass after CA",""),"")&amp;IF(AND(TRIM(U357)="Pass after CA",ISNUMBER(AF357)),IF(AF357&lt;&gt;0,"INVALID – after the corrective action the actual qty must equal expected (update Actual)",""),"")&amp;IF(AND(TRIM(U357)="Pass",TRIM(AB357)&lt;&gt;"",TRIM(AB357)&lt;&gt;"Closed"),"INVALID – corrective action not closed: use Fail, then Pass after CA","")&amp;IF(AND(TRIM(AA357)&lt;&gt;"",TRIM(AB357)=""),"INVALID – CA status missing for the recorded corrective action","")&amp;IF(AND(TRIM(U357)="Pass after CA",OR(OR(LEN(BA357)&lt;5,ISNUMBER(MATCH(BA357,L_Placeholder,0))),TRIM(AB357)&lt;&gt;"Closed")),"INVALID – corrective action not recorded/closed","")</f>
        <v/>
      </c>
    </row>
    <row r="358" customFormat="false" ht="41.25" hidden="false" customHeight="true" outlineLevel="0" collapsed="false">
      <c r="A358" s="57" t="s">
        <v>937</v>
      </c>
      <c r="B358" s="57" t="s">
        <v>255</v>
      </c>
      <c r="C358" s="57" t="str">
        <f aca="false">Flights!$F$15</f>
        <v>MH1149</v>
      </c>
      <c r="D358" s="58" t="n">
        <f aca="false">Flights!$D$15</f>
        <v>46307</v>
      </c>
      <c r="E358" s="57" t="str">
        <f aca="false">Flights!$G$15&amp;"-"&amp;Flights!$H$15</f>
        <v>PEN-KUL</v>
      </c>
      <c r="F358" s="57" t="str">
        <f aca="false">Flights!$K$15</f>
        <v>EY</v>
      </c>
      <c r="G358" s="57" t="s">
        <v>79</v>
      </c>
      <c r="H358" s="57" t="s">
        <v>356</v>
      </c>
      <c r="I358" s="57" t="s">
        <v>363</v>
      </c>
      <c r="J358" s="57" t="s">
        <v>364</v>
      </c>
      <c r="K358" s="67" t="s">
        <v>365</v>
      </c>
      <c r="L358" s="67" t="s">
        <v>360</v>
      </c>
      <c r="M358" s="67"/>
      <c r="N358" s="67" t="s">
        <v>361</v>
      </c>
      <c r="O358" s="67" t="s">
        <v>892</v>
      </c>
      <c r="P358" s="57" t="s">
        <v>184</v>
      </c>
      <c r="Q358" s="59" t="n">
        <f aca="false">ROUND((Flights!$AC$15)*1440,0)/1440</f>
        <v>46300.3263888889</v>
      </c>
      <c r="R358" s="59" t="n">
        <f aca="false">Q358+(IF(AND(INDEX(TZ_DSTS,MATCH(P358,TZ_STN,0))&lt;&gt;"",Q358&gt;=INDEX(TZ_DSTS,MATCH(P358,TZ_STN,0)),Q358&lt;INDEX(TZ_DSTE,MATCH(P358,TZ_STN,0))),INDEX(TZ_DST,MATCH(P358,TZ_STN,0)),INDEX(TZ_STD,MATCH(P358,TZ_STN,0))))/24</f>
        <v>46300.6597222222</v>
      </c>
      <c r="S358" s="59" t="n">
        <f aca="false">Q358-T7EarlyD*24/24</f>
        <v>46286.3263888889</v>
      </c>
      <c r="T358" s="60"/>
      <c r="U358" s="60"/>
      <c r="V358" s="60"/>
      <c r="W358" s="61"/>
      <c r="X358" s="60"/>
      <c r="Y358" s="60"/>
      <c r="Z358" s="60"/>
      <c r="AA358" s="60"/>
      <c r="AB358" s="60"/>
      <c r="AC358" s="60"/>
      <c r="AD358" s="66"/>
      <c r="AE358" s="60"/>
      <c r="AF358" s="61" t="str">
        <f aca="false">IF(AND(ISNUMBER(X358),ISNUMBER(Y358)),Y358-X358,"")</f>
        <v/>
      </c>
      <c r="AG358" s="62" t="str">
        <f aca="false">IF(ISNUMBER(AD358),AD358-(IF(AND(INDEX(TZ_DSTS,MATCH(P358,TZ_STN,0))&lt;&gt;"",(AD358-INDEX(TZ_STD,MATCH(P358,TZ_STN,0))/24)&gt;=INDEX(TZ_DSTS,MATCH(P358,TZ_STN,0)),(AD358-INDEX(TZ_STD,MATCH(P358,TZ_STN,0))/24)&lt;INDEX(TZ_DSTE,MATCH(P358,TZ_STN,0))),INDEX(TZ_DST,MATCH(P358,TZ_STN,0)),INDEX(TZ_STD,MATCH(P358,TZ_STN,0))))/24,"")</f>
        <v/>
      </c>
      <c r="AH358" s="65" t="str">
        <f aca="false">IFERROR(IF(N358="N/A – rule","N/A – RULE",IF(TRIM(U358)="N/A",IF(AT358=0,"INVALID – N/A not permitted for this check",IF(AND(TRIM(AB358)&lt;&gt;"",TRIM(AB358)&lt;&gt;"Closed"),"INVALID – corrective action still open",IF(AND(NOT(OR(LEN(AZ358)&lt;15,ISNUMBER(MATCH(AZ358,L_Placeholder,0)))),NOT(OR(LEN(AU358)&lt;2,ISNUMBER(MATCH(AU358,L_Placeholder,0)))),NOT(OR(LEN(AX358)&lt;2,ISNUMBER(MATCH(AX358,L_Placeholder,0)))),TRIM(AE358)&lt;&gt;TRIM(T358)),"N/A – JUSTIFIED","INVALID – N/A needs a real justification (15+ chars), PIC and a different verifier"))),IF(OR(TRIM(U358)="Pass",TRIM(U358)="Pass after CA"),IF(NOT(ISNUMBER(AD358)),"INVALID – completion time missing",IF(OR(LEN(AU358)&lt;2,ISNUMBER(MATCH(AU358,L_Placeholder,0))),"INVALID – PIC missing",IF(OR(LEN(AV358)&lt;2,ISNUMBER(MATCH(AV358,L_Placeholder,0))),"INVALID – result / assessment missing",IF(OR(OR(LEN(AW358)&lt;3,ISNUMBER(MATCH(AW358,L_Placeholder,0))),SUMPRODUCT(--ISNUMBER(SEARCH(L_EvidencePhrase,AW358)))&gt;0),"INVALID – evidence missing, placeholder or not yet on file",IF(OR(LEN(AX358)&lt;2,ISNUMBER(MATCH(AX358,L_Placeholder,0))),"INVALID – verifier missing",IF(AX358=AU358,"INVALID – verifier must be someone other than the PIC",IF(AND(TRIM(U358)="Pass",SUMPRODUCT(--ISNUMBER(SEARCH(L_ResultBad,AV358)))&gt;0),"INVALID – result describes a problem: use Fail, then Pass after CA",IF(AND(AQ358=1,OR(LEN(AY358)&lt;3,ISNUMBER(MATCH(AY358,L_Placeholder,0)))),"INVALID – batch ID missing or placeholder",IF(AND(AR358=1,OR(NOT(ISNUMBER(X358)),NOT(ISNUMBER(Y358)))),"INVALID – expected/actual qty missing",IF(AND(AR358=1,OR(X358&lt;=0,Y358&lt;0)),"INVALID – expected qty must be above 0 and actual not negative",IF(BB358&lt;&gt;"",BB358,IF(AND(AS358=1,Documents!$J$15&lt;&gt;"ON FILE"),"INVALID – GLD not on file (Documents sheet)",IF(AND(AS358=2,Documents!$O$15&lt;&gt;"ON FILE"),"INVALID – menu checklist not on file (Documents sheet)",IF(AND(AS358=3,NOT(ISNUMBER(Flights!$AX$15))),"INVALID – enter carrying flight KUL departure (Flights AX)",IF(AND(AS358=3,OR(Flights!$AZ$15&gt;Flights!$AA$15,Flights!$AX$15&lt;Flights!$AA$15-3)),"INVALID – carrying flight (Flights AX) cannot arrive before this leg's STD, or is over 3 days early",IF(AG358&gt;AsOfUTC,"INVALID – completion time is in the future",IF(AND(ISNUMBER(S358),AG358&lt;S358),IF(H358="Physical uplift","INVALID – before uplift window (cannot confirm loading)","INVALID – before valid window"),IF(AG358&gt;Flights!$AA$15,"INVALID – completed after departure (cannot establish readiness)",IF(AND(H358="Preparation",AG358&gt;IF(ISNUMBER(Flights!$BA$15),MIN(Flights!$BA$15,Flights!$AA$15),Flights!$AA$15)),"INVALID – completed after loading / departure (cannot establish readiness)",IF(AND(H358="Physical uplift",AG358&gt;Q358),"INVALID – recorded after the loading flight departed",IF(AG358&gt;Q358,"COMPLETE – LATE","COMPLETE"))))))))))))))))))))),IF(TRIM(U358)="Fail","FAIL – DISCREPANCY",IF(AND(TRIM(U358)&lt;&gt;"",TRIM(U358)&lt;&gt;"Not started",TRIM(U358)&lt;&gt;"In progress"),"INVALID – unrecognised status (use the list)",IF(AsOfUTC&gt;Q358,"OVERDUE",IF(N358="Clarification required","OPEN – CLARIFICATION","OPEN"))))))),"INVALID – error value in an input cell")</f>
        <v>OPEN</v>
      </c>
      <c r="AI358" s="61" t="n">
        <f aca="false">IF(OR(AH358="N/A – RULE",AH358="N/A – JUSTIFIED"),0,1)</f>
        <v>1</v>
      </c>
      <c r="AJ358" s="61" t="n">
        <f aca="false">IF(LEFT(AH358,8)="COMPLETE",1,0)</f>
        <v>0</v>
      </c>
      <c r="AK358" s="61" t="n">
        <f aca="false">IF(AND(AI358=1,AJ358=0,AsOfUTC&gt;Q358),1,0)</f>
        <v>0</v>
      </c>
      <c r="AL358" s="61" t="n">
        <f aca="false">IFERROR(IF(AND(AI358=1,OR(TRIM(U358)="Fail",AND(TRIM(AB358)&lt;&gt;"",TRIM(AB358)&lt;&gt;"Closed"),AND(ISNUMBER(AF358),AF358&lt;&gt;0,TRIM(U358)&lt;&gt;"Pass after CA"))),1,0),1)</f>
        <v>0</v>
      </c>
      <c r="AM358" s="61" t="n">
        <f aca="false">IF(LEFT(AH358,7)="INVALID",1,0)</f>
        <v>0</v>
      </c>
      <c r="AN358" s="61" t="n">
        <f aca="false">IF(AND(N358="Clarification required",AI358=1,AJ358=0),1,0)</f>
        <v>0</v>
      </c>
      <c r="AO358" s="61" t="str">
        <f aca="false">IF(AK358=1,SUM(AK$5:AK358),"")</f>
        <v/>
      </c>
      <c r="AP358" s="61" t="str">
        <f aca="false">IF(AL358=1,SUM(AL$5:AL358),"")</f>
        <v/>
      </c>
      <c r="AQ358" s="61" t="n">
        <v>0</v>
      </c>
      <c r="AR358" s="61" t="n">
        <v>0</v>
      </c>
      <c r="AS358" s="61" t="n">
        <v>0</v>
      </c>
      <c r="AT358" s="61" t="n">
        <v>1</v>
      </c>
      <c r="AU358" s="61" t="str">
        <f aca="false">SUBSTITUTE(SUBSTITUTE(SUBSTITUTE(SUBSTITUTE(SUBSTITUTE(SUBSTITUTE(SUBSTITUTE(SUBSTITUTE(SUBSTITUTE(SUBSTITUTE(SUBSTITUTE(SUBSTITUTE(SUBSTITUTE(LOWER(T358&amp;""),CHAR(160),"")," ",""),".",""),"-",""),"/",""),"?",""),"_",""),",",""),"[",""),"]",""),"(",""),")",""),"*","")</f>
        <v/>
      </c>
      <c r="AV358" s="61" t="str">
        <f aca="false">SUBSTITUTE(SUBSTITUTE(SUBSTITUTE(SUBSTITUTE(SUBSTITUTE(SUBSTITUTE(SUBSTITUTE(SUBSTITUTE(SUBSTITUTE(SUBSTITUTE(SUBSTITUTE(SUBSTITUTE(SUBSTITUTE(LOWER(V358&amp;""),CHAR(160),"")," ",""),".",""),"-",""),"/",""),"?",""),"_",""),",",""),"[",""),"]",""),"(",""),")",""),"*","")</f>
        <v/>
      </c>
      <c r="AW358" s="61" t="str">
        <f aca="false">SUBSTITUTE(SUBSTITUTE(SUBSTITUTE(SUBSTITUTE(SUBSTITUTE(SUBSTITUTE(SUBSTITUTE(SUBSTITUTE(SUBSTITUTE(SUBSTITUTE(SUBSTITUTE(SUBSTITUTE(SUBSTITUTE(LOWER(Z358&amp;""),CHAR(160),"")," ",""),".",""),"-",""),"/",""),"?",""),"_",""),",",""),"[",""),"]",""),"(",""),")",""),"*","")</f>
        <v/>
      </c>
      <c r="AX358" s="61" t="str">
        <f aca="false">SUBSTITUTE(SUBSTITUTE(SUBSTITUTE(SUBSTITUTE(SUBSTITUTE(SUBSTITUTE(SUBSTITUTE(SUBSTITUTE(SUBSTITUTE(SUBSTITUTE(SUBSTITUTE(SUBSTITUTE(SUBSTITUTE(LOWER(AE358&amp;""),CHAR(160),"")," ",""),".",""),"-",""),"/",""),"?",""),"_",""),",",""),"[",""),"]",""),"(",""),")",""),"*","")</f>
        <v/>
      </c>
      <c r="AY358" s="61" t="str">
        <f aca="false">SUBSTITUTE(SUBSTITUTE(SUBSTITUTE(SUBSTITUTE(SUBSTITUTE(SUBSTITUTE(SUBSTITUTE(SUBSTITUTE(SUBSTITUTE(SUBSTITUTE(SUBSTITUTE(SUBSTITUTE(SUBSTITUTE(LOWER(W358&amp;""),CHAR(160),"")," ",""),".",""),"-",""),"/",""),"?",""),"_",""),",",""),"[",""),"]",""),"(",""),")",""),"*","")</f>
        <v/>
      </c>
      <c r="AZ358" s="61" t="str">
        <f aca="false">SUBSTITUTE(SUBSTITUTE(SUBSTITUTE(SUBSTITUTE(SUBSTITUTE(SUBSTITUTE(SUBSTITUTE(SUBSTITUTE(SUBSTITUTE(SUBSTITUTE(SUBSTITUTE(SUBSTITUTE(SUBSTITUTE(LOWER(AC358&amp;""),CHAR(160),"")," ",""),".",""),"-",""),"/",""),"?",""),"_",""),",",""),"[",""),"]",""),"(",""),")",""),"*","")</f>
        <v/>
      </c>
      <c r="BA358" s="61" t="str">
        <f aca="false">SUBSTITUTE(SUBSTITUTE(SUBSTITUTE(SUBSTITUTE(SUBSTITUTE(SUBSTITUTE(SUBSTITUTE(SUBSTITUTE(SUBSTITUTE(SUBSTITUTE(SUBSTITUTE(SUBSTITUTE(SUBSTITUTE(LOWER(AA358&amp;""),CHAR(160),"")," ",""),".",""),"-",""),"/",""),"?",""),"_",""),",",""),"[",""),"]",""),"(",""),")",""),"*","")</f>
        <v/>
      </c>
      <c r="BB358" s="61" t="str">
        <f aca="false">IF(AND(TRIM(U358)="Pass",ISNUMBER(AF358)),IF(AF358&lt;&gt;0,"INVALID – qty variance: use Fail or Pass after CA",""),"")&amp;IF(AND(TRIM(U358)="Pass after CA",ISNUMBER(AF358)),IF(AF358&lt;&gt;0,"INVALID – after the corrective action the actual qty must equal expected (update Actual)",""),"")&amp;IF(AND(TRIM(U358)="Pass",TRIM(AB358)&lt;&gt;"",TRIM(AB358)&lt;&gt;"Closed"),"INVALID – corrective action not closed: use Fail, then Pass after CA","")&amp;IF(AND(TRIM(AA358)&lt;&gt;"",TRIM(AB358)=""),"INVALID – CA status missing for the recorded corrective action","")&amp;IF(AND(TRIM(U358)="Pass after CA",OR(OR(LEN(BA358)&lt;5,ISNUMBER(MATCH(BA358,L_Placeholder,0))),TRIM(AB358)&lt;&gt;"Closed")),"INVALID – corrective action not recorded/closed","")</f>
        <v/>
      </c>
    </row>
    <row r="359" customFormat="false" ht="41.25" hidden="false" customHeight="true" outlineLevel="0" collapsed="false">
      <c r="A359" s="57" t="s">
        <v>938</v>
      </c>
      <c r="B359" s="57" t="s">
        <v>255</v>
      </c>
      <c r="C359" s="57" t="str">
        <f aca="false">Flights!$F$15</f>
        <v>MH1149</v>
      </c>
      <c r="D359" s="58" t="n">
        <f aca="false">Flights!$D$15</f>
        <v>46307</v>
      </c>
      <c r="E359" s="57" t="str">
        <f aca="false">Flights!$G$15&amp;"-"&amp;Flights!$H$15</f>
        <v>PEN-KUL</v>
      </c>
      <c r="F359" s="57" t="str">
        <f aca="false">Flights!$K$15</f>
        <v>EY</v>
      </c>
      <c r="G359" s="57" t="s">
        <v>79</v>
      </c>
      <c r="H359" s="57" t="s">
        <v>356</v>
      </c>
      <c r="I359" s="57" t="s">
        <v>367</v>
      </c>
      <c r="J359" s="57" t="s">
        <v>368</v>
      </c>
      <c r="K359" s="67" t="s">
        <v>369</v>
      </c>
      <c r="L359" s="67" t="s">
        <v>360</v>
      </c>
      <c r="M359" s="67"/>
      <c r="N359" s="67" t="str">
        <f aca="false">IF(TRIM(Flights!$L$15)="A339","Required","N/A – rule")</f>
        <v>N/A – rule</v>
      </c>
      <c r="O359" s="67" t="s">
        <v>370</v>
      </c>
      <c r="P359" s="57" t="s">
        <v>184</v>
      </c>
      <c r="Q359" s="59" t="n">
        <f aca="false">ROUND((Flights!$AC$15)*1440,0)/1440</f>
        <v>46300.3263888889</v>
      </c>
      <c r="R359" s="59" t="n">
        <f aca="false">Q359+(IF(AND(INDEX(TZ_DSTS,MATCH(P359,TZ_STN,0))&lt;&gt;"",Q359&gt;=INDEX(TZ_DSTS,MATCH(P359,TZ_STN,0)),Q359&lt;INDEX(TZ_DSTE,MATCH(P359,TZ_STN,0))),INDEX(TZ_DST,MATCH(P359,TZ_STN,0)),INDEX(TZ_STD,MATCH(P359,TZ_STN,0))))/24</f>
        <v>46300.6597222222</v>
      </c>
      <c r="S359" s="59" t="n">
        <f aca="false">Q359-T7EarlyD*24/24</f>
        <v>46286.3263888889</v>
      </c>
      <c r="T359" s="60"/>
      <c r="U359" s="60"/>
      <c r="V359" s="60"/>
      <c r="W359" s="61"/>
      <c r="X359" s="60"/>
      <c r="Y359" s="60"/>
      <c r="Z359" s="60"/>
      <c r="AA359" s="60"/>
      <c r="AB359" s="60"/>
      <c r="AC359" s="60"/>
      <c r="AD359" s="66"/>
      <c r="AE359" s="60"/>
      <c r="AF359" s="61" t="str">
        <f aca="false">IF(AND(ISNUMBER(X359),ISNUMBER(Y359)),Y359-X359,"")</f>
        <v/>
      </c>
      <c r="AG359" s="62" t="str">
        <f aca="false">IF(ISNUMBER(AD359),AD359-(IF(AND(INDEX(TZ_DSTS,MATCH(P359,TZ_STN,0))&lt;&gt;"",(AD359-INDEX(TZ_STD,MATCH(P359,TZ_STN,0))/24)&gt;=INDEX(TZ_DSTS,MATCH(P359,TZ_STN,0)),(AD359-INDEX(TZ_STD,MATCH(P359,TZ_STN,0))/24)&lt;INDEX(TZ_DSTE,MATCH(P359,TZ_STN,0))),INDEX(TZ_DST,MATCH(P359,TZ_STN,0)),INDEX(TZ_STD,MATCH(P359,TZ_STN,0))))/24,"")</f>
        <v/>
      </c>
      <c r="AH359" s="65" t="str">
        <f aca="false">IFERROR(IF(N359="N/A – rule","N/A – RULE",IF(TRIM(U359)="N/A",IF(AT359=0,"INVALID – N/A not permitted for this check",IF(AND(TRIM(AB359)&lt;&gt;"",TRIM(AB359)&lt;&gt;"Closed"),"INVALID – corrective action still open",IF(AND(NOT(OR(LEN(AZ359)&lt;15,ISNUMBER(MATCH(AZ359,L_Placeholder,0)))),NOT(OR(LEN(AU359)&lt;2,ISNUMBER(MATCH(AU359,L_Placeholder,0)))),NOT(OR(LEN(AX359)&lt;2,ISNUMBER(MATCH(AX359,L_Placeholder,0)))),TRIM(AE359)&lt;&gt;TRIM(T359)),"N/A – JUSTIFIED","INVALID – N/A needs a real justification (15+ chars), PIC and a different verifier"))),IF(OR(TRIM(U359)="Pass",TRIM(U359)="Pass after CA"),IF(NOT(ISNUMBER(AD359)),"INVALID – completion time missing",IF(OR(LEN(AU359)&lt;2,ISNUMBER(MATCH(AU359,L_Placeholder,0))),"INVALID – PIC missing",IF(OR(LEN(AV359)&lt;2,ISNUMBER(MATCH(AV359,L_Placeholder,0))),"INVALID – result / assessment missing",IF(OR(OR(LEN(AW359)&lt;3,ISNUMBER(MATCH(AW359,L_Placeholder,0))),SUMPRODUCT(--ISNUMBER(SEARCH(L_EvidencePhrase,AW359)))&gt;0),"INVALID – evidence missing, placeholder or not yet on file",IF(OR(LEN(AX359)&lt;2,ISNUMBER(MATCH(AX359,L_Placeholder,0))),"INVALID – verifier missing",IF(AX359=AU359,"INVALID – verifier must be someone other than the PIC",IF(AND(TRIM(U359)="Pass",SUMPRODUCT(--ISNUMBER(SEARCH(L_ResultBad,AV359)))&gt;0),"INVALID – result describes a problem: use Fail, then Pass after CA",IF(AND(AQ359=1,OR(LEN(AY359)&lt;3,ISNUMBER(MATCH(AY359,L_Placeholder,0)))),"INVALID – batch ID missing or placeholder",IF(AND(AR359=1,OR(NOT(ISNUMBER(X359)),NOT(ISNUMBER(Y359)))),"INVALID – expected/actual qty missing",IF(AND(AR359=1,OR(X359&lt;=0,Y359&lt;0)),"INVALID – expected qty must be above 0 and actual not negative",IF(BB359&lt;&gt;"",BB359,IF(AND(AS359=1,Documents!$J$15&lt;&gt;"ON FILE"),"INVALID – GLD not on file (Documents sheet)",IF(AND(AS359=2,Documents!$O$15&lt;&gt;"ON FILE"),"INVALID – menu checklist not on file (Documents sheet)",IF(AND(AS359=3,NOT(ISNUMBER(Flights!$AX$15))),"INVALID – enter carrying flight KUL departure (Flights AX)",IF(AND(AS359=3,OR(Flights!$AZ$15&gt;Flights!$AA$15,Flights!$AX$15&lt;Flights!$AA$15-3)),"INVALID – carrying flight (Flights AX) cannot arrive before this leg's STD, or is over 3 days early",IF(AG359&gt;AsOfUTC,"INVALID – completion time is in the future",IF(AND(ISNUMBER(S359),AG359&lt;S359),IF(H359="Physical uplift","INVALID – before uplift window (cannot confirm loading)","INVALID – before valid window"),IF(AG359&gt;Flights!$AA$15,"INVALID – completed after departure (cannot establish readiness)",IF(AND(H359="Preparation",AG359&gt;IF(ISNUMBER(Flights!$BA$15),MIN(Flights!$BA$15,Flights!$AA$15),Flights!$AA$15)),"INVALID – completed after loading / departure (cannot establish readiness)",IF(AND(H359="Physical uplift",AG359&gt;Q359),"INVALID – recorded after the loading flight departed",IF(AG359&gt;Q359,"COMPLETE – LATE","COMPLETE"))))))))))))))))))))),IF(TRIM(U359)="Fail","FAIL – DISCREPANCY",IF(AND(TRIM(U359)&lt;&gt;"",TRIM(U359)&lt;&gt;"Not started",TRIM(U359)&lt;&gt;"In progress"),"INVALID – unrecognised status (use the list)",IF(AsOfUTC&gt;Q359,"OVERDUE",IF(N359="Clarification required","OPEN – CLARIFICATION","OPEN"))))))),"INVALID – error value in an input cell")</f>
        <v>N/A – RULE</v>
      </c>
      <c r="AI359" s="61" t="n">
        <f aca="false">IF(OR(AH359="N/A – RULE",AH359="N/A – JUSTIFIED"),0,1)</f>
        <v>0</v>
      </c>
      <c r="AJ359" s="61" t="n">
        <f aca="false">IF(LEFT(AH359,8)="COMPLETE",1,0)</f>
        <v>0</v>
      </c>
      <c r="AK359" s="61" t="n">
        <f aca="false">IF(AND(AI359=1,AJ359=0,AsOfUTC&gt;Q359),1,0)</f>
        <v>0</v>
      </c>
      <c r="AL359" s="61" t="n">
        <f aca="false">IFERROR(IF(AND(AI359=1,OR(TRIM(U359)="Fail",AND(TRIM(AB359)&lt;&gt;"",TRIM(AB359)&lt;&gt;"Closed"),AND(ISNUMBER(AF359),AF359&lt;&gt;0,TRIM(U359)&lt;&gt;"Pass after CA"))),1,0),1)</f>
        <v>0</v>
      </c>
      <c r="AM359" s="61" t="n">
        <f aca="false">IF(LEFT(AH359,7)="INVALID",1,0)</f>
        <v>0</v>
      </c>
      <c r="AN359" s="61" t="n">
        <f aca="false">IF(AND(N359="Clarification required",AI359=1,AJ359=0),1,0)</f>
        <v>0</v>
      </c>
      <c r="AO359" s="61" t="str">
        <f aca="false">IF(AK359=1,SUM(AK$5:AK359),"")</f>
        <v/>
      </c>
      <c r="AP359" s="61" t="str">
        <f aca="false">IF(AL359=1,SUM(AL$5:AL359),"")</f>
        <v/>
      </c>
      <c r="AQ359" s="61" t="n">
        <v>0</v>
      </c>
      <c r="AR359" s="61" t="n">
        <v>0</v>
      </c>
      <c r="AS359" s="61" t="n">
        <v>0</v>
      </c>
      <c r="AT359" s="61" t="n">
        <v>0</v>
      </c>
      <c r="AU359" s="61" t="str">
        <f aca="false">SUBSTITUTE(SUBSTITUTE(SUBSTITUTE(SUBSTITUTE(SUBSTITUTE(SUBSTITUTE(SUBSTITUTE(SUBSTITUTE(SUBSTITUTE(SUBSTITUTE(SUBSTITUTE(SUBSTITUTE(SUBSTITUTE(LOWER(T359&amp;""),CHAR(160),"")," ",""),".",""),"-",""),"/",""),"?",""),"_",""),",",""),"[",""),"]",""),"(",""),")",""),"*","")</f>
        <v/>
      </c>
      <c r="AV359" s="61" t="str">
        <f aca="false">SUBSTITUTE(SUBSTITUTE(SUBSTITUTE(SUBSTITUTE(SUBSTITUTE(SUBSTITUTE(SUBSTITUTE(SUBSTITUTE(SUBSTITUTE(SUBSTITUTE(SUBSTITUTE(SUBSTITUTE(SUBSTITUTE(LOWER(V359&amp;""),CHAR(160),"")," ",""),".",""),"-",""),"/",""),"?",""),"_",""),",",""),"[",""),"]",""),"(",""),")",""),"*","")</f>
        <v/>
      </c>
      <c r="AW359" s="61" t="str">
        <f aca="false">SUBSTITUTE(SUBSTITUTE(SUBSTITUTE(SUBSTITUTE(SUBSTITUTE(SUBSTITUTE(SUBSTITUTE(SUBSTITUTE(SUBSTITUTE(SUBSTITUTE(SUBSTITUTE(SUBSTITUTE(SUBSTITUTE(LOWER(Z359&amp;""),CHAR(160),"")," ",""),".",""),"-",""),"/",""),"?",""),"_",""),",",""),"[",""),"]",""),"(",""),")",""),"*","")</f>
        <v/>
      </c>
      <c r="AX359" s="61" t="str">
        <f aca="false">SUBSTITUTE(SUBSTITUTE(SUBSTITUTE(SUBSTITUTE(SUBSTITUTE(SUBSTITUTE(SUBSTITUTE(SUBSTITUTE(SUBSTITUTE(SUBSTITUTE(SUBSTITUTE(SUBSTITUTE(SUBSTITUTE(LOWER(AE359&amp;""),CHAR(160),"")," ",""),".",""),"-",""),"/",""),"?",""),"_",""),",",""),"[",""),"]",""),"(",""),")",""),"*","")</f>
        <v/>
      </c>
      <c r="AY359" s="61" t="str">
        <f aca="false">SUBSTITUTE(SUBSTITUTE(SUBSTITUTE(SUBSTITUTE(SUBSTITUTE(SUBSTITUTE(SUBSTITUTE(SUBSTITUTE(SUBSTITUTE(SUBSTITUTE(SUBSTITUTE(SUBSTITUTE(SUBSTITUTE(LOWER(W359&amp;""),CHAR(160),"")," ",""),".",""),"-",""),"/",""),"?",""),"_",""),",",""),"[",""),"]",""),"(",""),")",""),"*","")</f>
        <v/>
      </c>
      <c r="AZ359" s="61" t="str">
        <f aca="false">SUBSTITUTE(SUBSTITUTE(SUBSTITUTE(SUBSTITUTE(SUBSTITUTE(SUBSTITUTE(SUBSTITUTE(SUBSTITUTE(SUBSTITUTE(SUBSTITUTE(SUBSTITUTE(SUBSTITUTE(SUBSTITUTE(LOWER(AC359&amp;""),CHAR(160),"")," ",""),".",""),"-",""),"/",""),"?",""),"_",""),",",""),"[",""),"]",""),"(",""),")",""),"*","")</f>
        <v/>
      </c>
      <c r="BA359" s="61" t="str">
        <f aca="false">SUBSTITUTE(SUBSTITUTE(SUBSTITUTE(SUBSTITUTE(SUBSTITUTE(SUBSTITUTE(SUBSTITUTE(SUBSTITUTE(SUBSTITUTE(SUBSTITUTE(SUBSTITUTE(SUBSTITUTE(SUBSTITUTE(LOWER(AA359&amp;""),CHAR(160),"")," ",""),".",""),"-",""),"/",""),"?",""),"_",""),",",""),"[",""),"]",""),"(",""),")",""),"*","")</f>
        <v/>
      </c>
      <c r="BB359" s="61" t="str">
        <f aca="false">IF(AND(TRIM(U359)="Pass",ISNUMBER(AF359)),IF(AF359&lt;&gt;0,"INVALID – qty variance: use Fail or Pass after CA",""),"")&amp;IF(AND(TRIM(U359)="Pass after CA",ISNUMBER(AF359)),IF(AF359&lt;&gt;0,"INVALID – after the corrective action the actual qty must equal expected (update Actual)",""),"")&amp;IF(AND(TRIM(U359)="Pass",TRIM(AB359)&lt;&gt;"",TRIM(AB359)&lt;&gt;"Closed"),"INVALID – corrective action not closed: use Fail, then Pass after CA","")&amp;IF(AND(TRIM(AA359)&lt;&gt;"",TRIM(AB359)=""),"INVALID – CA status missing for the recorded corrective action","")&amp;IF(AND(TRIM(U359)="Pass after CA",OR(OR(LEN(BA359)&lt;5,ISNUMBER(MATCH(BA359,L_Placeholder,0))),TRIM(AB359)&lt;&gt;"Closed")),"INVALID – corrective action not recorded/closed","")</f>
        <v/>
      </c>
    </row>
    <row r="360" customFormat="false" ht="39.75" hidden="false" customHeight="true" outlineLevel="0" collapsed="false">
      <c r="A360" s="57" t="s">
        <v>939</v>
      </c>
      <c r="B360" s="57" t="s">
        <v>255</v>
      </c>
      <c r="C360" s="57" t="str">
        <f aca="false">Flights!$F$15</f>
        <v>MH1149</v>
      </c>
      <c r="D360" s="58" t="n">
        <f aca="false">Flights!$D$15</f>
        <v>46307</v>
      </c>
      <c r="E360" s="57" t="str">
        <f aca="false">Flights!$G$15&amp;"-"&amp;Flights!$H$15</f>
        <v>PEN-KUL</v>
      </c>
      <c r="F360" s="57" t="str">
        <f aca="false">Flights!$K$15</f>
        <v>EY</v>
      </c>
      <c r="G360" s="57" t="s">
        <v>79</v>
      </c>
      <c r="H360" s="57" t="s">
        <v>356</v>
      </c>
      <c r="I360" s="57" t="s">
        <v>372</v>
      </c>
      <c r="J360" s="57" t="s">
        <v>373</v>
      </c>
      <c r="K360" s="67" t="s">
        <v>374</v>
      </c>
      <c r="L360" s="67" t="s">
        <v>360</v>
      </c>
      <c r="M360" s="67"/>
      <c r="N360" s="67" t="s">
        <v>361</v>
      </c>
      <c r="O360" s="67"/>
      <c r="P360" s="57" t="s">
        <v>184</v>
      </c>
      <c r="Q360" s="59" t="n">
        <f aca="false">ROUND((Flights!$AC$15)*1440,0)/1440</f>
        <v>46300.3263888889</v>
      </c>
      <c r="R360" s="59" t="n">
        <f aca="false">Q360+(IF(AND(INDEX(TZ_DSTS,MATCH(P360,TZ_STN,0))&lt;&gt;"",Q360&gt;=INDEX(TZ_DSTS,MATCH(P360,TZ_STN,0)),Q360&lt;INDEX(TZ_DSTE,MATCH(P360,TZ_STN,0))),INDEX(TZ_DST,MATCH(P360,TZ_STN,0)),INDEX(TZ_STD,MATCH(P360,TZ_STN,0))))/24</f>
        <v>46300.6597222222</v>
      </c>
      <c r="S360" s="59" t="n">
        <f aca="false">Q360-T7EarlyD*24/24</f>
        <v>46286.3263888889</v>
      </c>
      <c r="T360" s="60"/>
      <c r="U360" s="60"/>
      <c r="V360" s="60"/>
      <c r="W360" s="61"/>
      <c r="X360" s="60"/>
      <c r="Y360" s="60"/>
      <c r="Z360" s="60"/>
      <c r="AA360" s="60"/>
      <c r="AB360" s="60"/>
      <c r="AC360" s="60"/>
      <c r="AD360" s="66"/>
      <c r="AE360" s="60"/>
      <c r="AF360" s="61" t="str">
        <f aca="false">IF(AND(ISNUMBER(X360),ISNUMBER(Y360)),Y360-X360,"")</f>
        <v/>
      </c>
      <c r="AG360" s="62" t="str">
        <f aca="false">IF(ISNUMBER(AD360),AD360-(IF(AND(INDEX(TZ_DSTS,MATCH(P360,TZ_STN,0))&lt;&gt;"",(AD360-INDEX(TZ_STD,MATCH(P360,TZ_STN,0))/24)&gt;=INDEX(TZ_DSTS,MATCH(P360,TZ_STN,0)),(AD360-INDEX(TZ_STD,MATCH(P360,TZ_STN,0))/24)&lt;INDEX(TZ_DSTE,MATCH(P360,TZ_STN,0))),INDEX(TZ_DST,MATCH(P360,TZ_STN,0)),INDEX(TZ_STD,MATCH(P360,TZ_STN,0))))/24,"")</f>
        <v/>
      </c>
      <c r="AH360" s="65" t="str">
        <f aca="false">IFERROR(IF(N360="N/A – rule","N/A – RULE",IF(TRIM(U360)="N/A",IF(AT360=0,"INVALID – N/A not permitted for this check",IF(AND(TRIM(AB360)&lt;&gt;"",TRIM(AB360)&lt;&gt;"Closed"),"INVALID – corrective action still open",IF(AND(NOT(OR(LEN(AZ360)&lt;15,ISNUMBER(MATCH(AZ360,L_Placeholder,0)))),NOT(OR(LEN(AU360)&lt;2,ISNUMBER(MATCH(AU360,L_Placeholder,0)))),NOT(OR(LEN(AX360)&lt;2,ISNUMBER(MATCH(AX360,L_Placeholder,0)))),TRIM(AE360)&lt;&gt;TRIM(T360)),"N/A – JUSTIFIED","INVALID – N/A needs a real justification (15+ chars), PIC and a different verifier"))),IF(OR(TRIM(U360)="Pass",TRIM(U360)="Pass after CA"),IF(NOT(ISNUMBER(AD360)),"INVALID – completion time missing",IF(OR(LEN(AU360)&lt;2,ISNUMBER(MATCH(AU360,L_Placeholder,0))),"INVALID – PIC missing",IF(OR(LEN(AV360)&lt;2,ISNUMBER(MATCH(AV360,L_Placeholder,0))),"INVALID – result / assessment missing",IF(OR(OR(LEN(AW360)&lt;3,ISNUMBER(MATCH(AW360,L_Placeholder,0))),SUMPRODUCT(--ISNUMBER(SEARCH(L_EvidencePhrase,AW360)))&gt;0),"INVALID – evidence missing, placeholder or not yet on file",IF(OR(LEN(AX360)&lt;2,ISNUMBER(MATCH(AX360,L_Placeholder,0))),"INVALID – verifier missing",IF(AX360=AU360,"INVALID – verifier must be someone other than the PIC",IF(AND(TRIM(U360)="Pass",SUMPRODUCT(--ISNUMBER(SEARCH(L_ResultBad,AV360)))&gt;0),"INVALID – result describes a problem: use Fail, then Pass after CA",IF(AND(AQ360=1,OR(LEN(AY360)&lt;3,ISNUMBER(MATCH(AY360,L_Placeholder,0)))),"INVALID – batch ID missing or placeholder",IF(AND(AR360=1,OR(NOT(ISNUMBER(X360)),NOT(ISNUMBER(Y360)))),"INVALID – expected/actual qty missing",IF(AND(AR360=1,OR(X360&lt;=0,Y360&lt;0)),"INVALID – expected qty must be above 0 and actual not negative",IF(BB360&lt;&gt;"",BB360,IF(AND(AS360=1,Documents!$J$15&lt;&gt;"ON FILE"),"INVALID – GLD not on file (Documents sheet)",IF(AND(AS360=2,Documents!$O$15&lt;&gt;"ON FILE"),"INVALID – menu checklist not on file (Documents sheet)",IF(AND(AS360=3,NOT(ISNUMBER(Flights!$AX$15))),"INVALID – enter carrying flight KUL departure (Flights AX)",IF(AND(AS360=3,OR(Flights!$AZ$15&gt;Flights!$AA$15,Flights!$AX$15&lt;Flights!$AA$15-3)),"INVALID – carrying flight (Flights AX) cannot arrive before this leg's STD, or is over 3 days early",IF(AG360&gt;AsOfUTC,"INVALID – completion time is in the future",IF(AND(ISNUMBER(S360),AG360&lt;S360),IF(H360="Physical uplift","INVALID – before uplift window (cannot confirm loading)","INVALID – before valid window"),IF(AG360&gt;Flights!$AA$15,"INVALID – completed after departure (cannot establish readiness)",IF(AND(H360="Preparation",AG360&gt;IF(ISNUMBER(Flights!$BA$15),MIN(Flights!$BA$15,Flights!$AA$15),Flights!$AA$15)),"INVALID – completed after loading / departure (cannot establish readiness)",IF(AND(H360="Physical uplift",AG360&gt;Q360),"INVALID – recorded after the loading flight departed",IF(AG360&gt;Q360,"COMPLETE – LATE","COMPLETE"))))))))))))))))))))),IF(TRIM(U360)="Fail","FAIL – DISCREPANCY",IF(AND(TRIM(U360)&lt;&gt;"",TRIM(U360)&lt;&gt;"Not started",TRIM(U360)&lt;&gt;"In progress"),"INVALID – unrecognised status (use the list)",IF(AsOfUTC&gt;Q360,"OVERDUE",IF(N360="Clarification required","OPEN – CLARIFICATION","OPEN"))))))),"INVALID – error value in an input cell")</f>
        <v>OPEN</v>
      </c>
      <c r="AI360" s="61" t="n">
        <f aca="false">IF(OR(AH360="N/A – RULE",AH360="N/A – JUSTIFIED"),0,1)</f>
        <v>1</v>
      </c>
      <c r="AJ360" s="61" t="n">
        <f aca="false">IF(LEFT(AH360,8)="COMPLETE",1,0)</f>
        <v>0</v>
      </c>
      <c r="AK360" s="61" t="n">
        <f aca="false">IF(AND(AI360=1,AJ360=0,AsOfUTC&gt;Q360),1,0)</f>
        <v>0</v>
      </c>
      <c r="AL360" s="61" t="n">
        <f aca="false">IFERROR(IF(AND(AI360=1,OR(TRIM(U360)="Fail",AND(TRIM(AB360)&lt;&gt;"",TRIM(AB360)&lt;&gt;"Closed"),AND(ISNUMBER(AF360),AF360&lt;&gt;0,TRIM(U360)&lt;&gt;"Pass after CA"))),1,0),1)</f>
        <v>0</v>
      </c>
      <c r="AM360" s="61" t="n">
        <f aca="false">IF(LEFT(AH360,7)="INVALID",1,0)</f>
        <v>0</v>
      </c>
      <c r="AN360" s="61" t="n">
        <f aca="false">IF(AND(N360="Clarification required",AI360=1,AJ360=0),1,0)</f>
        <v>0</v>
      </c>
      <c r="AO360" s="61" t="str">
        <f aca="false">IF(AK360=1,SUM(AK$5:AK360),"")</f>
        <v/>
      </c>
      <c r="AP360" s="61" t="str">
        <f aca="false">IF(AL360=1,SUM(AL$5:AL360),"")</f>
        <v/>
      </c>
      <c r="AQ360" s="61" t="n">
        <v>0</v>
      </c>
      <c r="AR360" s="61" t="n">
        <v>0</v>
      </c>
      <c r="AS360" s="61" t="n">
        <v>0</v>
      </c>
      <c r="AT360" s="61" t="n">
        <v>0</v>
      </c>
      <c r="AU360" s="61" t="str">
        <f aca="false">SUBSTITUTE(SUBSTITUTE(SUBSTITUTE(SUBSTITUTE(SUBSTITUTE(SUBSTITUTE(SUBSTITUTE(SUBSTITUTE(SUBSTITUTE(SUBSTITUTE(SUBSTITUTE(SUBSTITUTE(SUBSTITUTE(LOWER(T360&amp;""),CHAR(160),"")," ",""),".",""),"-",""),"/",""),"?",""),"_",""),",",""),"[",""),"]",""),"(",""),")",""),"*","")</f>
        <v/>
      </c>
      <c r="AV360" s="61" t="str">
        <f aca="false">SUBSTITUTE(SUBSTITUTE(SUBSTITUTE(SUBSTITUTE(SUBSTITUTE(SUBSTITUTE(SUBSTITUTE(SUBSTITUTE(SUBSTITUTE(SUBSTITUTE(SUBSTITUTE(SUBSTITUTE(SUBSTITUTE(LOWER(V360&amp;""),CHAR(160),"")," ",""),".",""),"-",""),"/",""),"?",""),"_",""),",",""),"[",""),"]",""),"(",""),")",""),"*","")</f>
        <v/>
      </c>
      <c r="AW360" s="61" t="str">
        <f aca="false">SUBSTITUTE(SUBSTITUTE(SUBSTITUTE(SUBSTITUTE(SUBSTITUTE(SUBSTITUTE(SUBSTITUTE(SUBSTITUTE(SUBSTITUTE(SUBSTITUTE(SUBSTITUTE(SUBSTITUTE(SUBSTITUTE(LOWER(Z360&amp;""),CHAR(160),"")," ",""),".",""),"-",""),"/",""),"?",""),"_",""),",",""),"[",""),"]",""),"(",""),")",""),"*","")</f>
        <v/>
      </c>
      <c r="AX360" s="61" t="str">
        <f aca="false">SUBSTITUTE(SUBSTITUTE(SUBSTITUTE(SUBSTITUTE(SUBSTITUTE(SUBSTITUTE(SUBSTITUTE(SUBSTITUTE(SUBSTITUTE(SUBSTITUTE(SUBSTITUTE(SUBSTITUTE(SUBSTITUTE(LOWER(AE360&amp;""),CHAR(160),"")," ",""),".",""),"-",""),"/",""),"?",""),"_",""),",",""),"[",""),"]",""),"(",""),")",""),"*","")</f>
        <v/>
      </c>
      <c r="AY360" s="61" t="str">
        <f aca="false">SUBSTITUTE(SUBSTITUTE(SUBSTITUTE(SUBSTITUTE(SUBSTITUTE(SUBSTITUTE(SUBSTITUTE(SUBSTITUTE(SUBSTITUTE(SUBSTITUTE(SUBSTITUTE(SUBSTITUTE(SUBSTITUTE(LOWER(W360&amp;""),CHAR(160),"")," ",""),".",""),"-",""),"/",""),"?",""),"_",""),",",""),"[",""),"]",""),"(",""),")",""),"*","")</f>
        <v/>
      </c>
      <c r="AZ360" s="61" t="str">
        <f aca="false">SUBSTITUTE(SUBSTITUTE(SUBSTITUTE(SUBSTITUTE(SUBSTITUTE(SUBSTITUTE(SUBSTITUTE(SUBSTITUTE(SUBSTITUTE(SUBSTITUTE(SUBSTITUTE(SUBSTITUTE(SUBSTITUTE(LOWER(AC360&amp;""),CHAR(160),"")," ",""),".",""),"-",""),"/",""),"?",""),"_",""),",",""),"[",""),"]",""),"(",""),")",""),"*","")</f>
        <v/>
      </c>
      <c r="BA360" s="61" t="str">
        <f aca="false">SUBSTITUTE(SUBSTITUTE(SUBSTITUTE(SUBSTITUTE(SUBSTITUTE(SUBSTITUTE(SUBSTITUTE(SUBSTITUTE(SUBSTITUTE(SUBSTITUTE(SUBSTITUTE(SUBSTITUTE(SUBSTITUTE(LOWER(AA360&amp;""),CHAR(160),"")," ",""),".",""),"-",""),"/",""),"?",""),"_",""),",",""),"[",""),"]",""),"(",""),")",""),"*","")</f>
        <v/>
      </c>
      <c r="BB360" s="61" t="str">
        <f aca="false">IF(AND(TRIM(U360)="Pass",ISNUMBER(AF360)),IF(AF360&lt;&gt;0,"INVALID – qty variance: use Fail or Pass after CA",""),"")&amp;IF(AND(TRIM(U360)="Pass after CA",ISNUMBER(AF360)),IF(AF360&lt;&gt;0,"INVALID – after the corrective action the actual qty must equal expected (update Actual)",""),"")&amp;IF(AND(TRIM(U360)="Pass",TRIM(AB360)&lt;&gt;"",TRIM(AB360)&lt;&gt;"Closed"),"INVALID – corrective action not closed: use Fail, then Pass after CA","")&amp;IF(AND(TRIM(AA360)&lt;&gt;"",TRIM(AB360)=""),"INVALID – CA status missing for the recorded corrective action","")&amp;IF(AND(TRIM(U360)="Pass after CA",OR(OR(LEN(BA360)&lt;5,ISNUMBER(MATCH(BA360,L_Placeholder,0))),TRIM(AB360)&lt;&gt;"Closed")),"INVALID – corrective action not recorded/closed","")</f>
        <v/>
      </c>
    </row>
    <row r="361" customFormat="false" ht="39.75" hidden="false" customHeight="true" outlineLevel="0" collapsed="false">
      <c r="A361" s="57" t="s">
        <v>940</v>
      </c>
      <c r="B361" s="57" t="s">
        <v>255</v>
      </c>
      <c r="C361" s="57" t="str">
        <f aca="false">Flights!$F$15</f>
        <v>MH1149</v>
      </c>
      <c r="D361" s="58" t="n">
        <f aca="false">Flights!$D$15</f>
        <v>46307</v>
      </c>
      <c r="E361" s="57" t="str">
        <f aca="false">Flights!$G$15&amp;"-"&amp;Flights!$H$15</f>
        <v>PEN-KUL</v>
      </c>
      <c r="F361" s="57" t="str">
        <f aca="false">Flights!$K$15</f>
        <v>EY</v>
      </c>
      <c r="G361" s="57" t="s">
        <v>79</v>
      </c>
      <c r="H361" s="57" t="s">
        <v>356</v>
      </c>
      <c r="I361" s="57" t="s">
        <v>376</v>
      </c>
      <c r="J361" s="57" t="s">
        <v>377</v>
      </c>
      <c r="K361" s="67" t="s">
        <v>378</v>
      </c>
      <c r="L361" s="67" t="s">
        <v>360</v>
      </c>
      <c r="M361" s="67"/>
      <c r="N361" s="67" t="s">
        <v>361</v>
      </c>
      <c r="O361" s="67"/>
      <c r="P361" s="57" t="s">
        <v>184</v>
      </c>
      <c r="Q361" s="59" t="n">
        <f aca="false">ROUND((Flights!$AC$15)*1440,0)/1440</f>
        <v>46300.3263888889</v>
      </c>
      <c r="R361" s="59" t="n">
        <f aca="false">Q361+(IF(AND(INDEX(TZ_DSTS,MATCH(P361,TZ_STN,0))&lt;&gt;"",Q361&gt;=INDEX(TZ_DSTS,MATCH(P361,TZ_STN,0)),Q361&lt;INDEX(TZ_DSTE,MATCH(P361,TZ_STN,0))),INDEX(TZ_DST,MATCH(P361,TZ_STN,0)),INDEX(TZ_STD,MATCH(P361,TZ_STN,0))))/24</f>
        <v>46300.6597222222</v>
      </c>
      <c r="S361" s="59" t="n">
        <f aca="false">Q361-T7EarlyD*24/24</f>
        <v>46286.3263888889</v>
      </c>
      <c r="T361" s="60"/>
      <c r="U361" s="60"/>
      <c r="V361" s="60"/>
      <c r="W361" s="61"/>
      <c r="X361" s="60"/>
      <c r="Y361" s="60"/>
      <c r="Z361" s="60"/>
      <c r="AA361" s="60"/>
      <c r="AB361" s="60"/>
      <c r="AC361" s="60"/>
      <c r="AD361" s="66"/>
      <c r="AE361" s="60"/>
      <c r="AF361" s="61" t="str">
        <f aca="false">IF(AND(ISNUMBER(X361),ISNUMBER(Y361)),Y361-X361,"")</f>
        <v/>
      </c>
      <c r="AG361" s="62" t="str">
        <f aca="false">IF(ISNUMBER(AD361),AD361-(IF(AND(INDEX(TZ_DSTS,MATCH(P361,TZ_STN,0))&lt;&gt;"",(AD361-INDEX(TZ_STD,MATCH(P361,TZ_STN,0))/24)&gt;=INDEX(TZ_DSTS,MATCH(P361,TZ_STN,0)),(AD361-INDEX(TZ_STD,MATCH(P361,TZ_STN,0))/24)&lt;INDEX(TZ_DSTE,MATCH(P361,TZ_STN,0))),INDEX(TZ_DST,MATCH(P361,TZ_STN,0)),INDEX(TZ_STD,MATCH(P361,TZ_STN,0))))/24,"")</f>
        <v/>
      </c>
      <c r="AH361" s="65" t="str">
        <f aca="false">IFERROR(IF(N361="N/A – rule","N/A – RULE",IF(TRIM(U361)="N/A",IF(AT361=0,"INVALID – N/A not permitted for this check",IF(AND(TRIM(AB361)&lt;&gt;"",TRIM(AB361)&lt;&gt;"Closed"),"INVALID – corrective action still open",IF(AND(NOT(OR(LEN(AZ361)&lt;15,ISNUMBER(MATCH(AZ361,L_Placeholder,0)))),NOT(OR(LEN(AU361)&lt;2,ISNUMBER(MATCH(AU361,L_Placeholder,0)))),NOT(OR(LEN(AX361)&lt;2,ISNUMBER(MATCH(AX361,L_Placeholder,0)))),TRIM(AE361)&lt;&gt;TRIM(T361)),"N/A – JUSTIFIED","INVALID – N/A needs a real justification (15+ chars), PIC and a different verifier"))),IF(OR(TRIM(U361)="Pass",TRIM(U361)="Pass after CA"),IF(NOT(ISNUMBER(AD361)),"INVALID – completion time missing",IF(OR(LEN(AU361)&lt;2,ISNUMBER(MATCH(AU361,L_Placeholder,0))),"INVALID – PIC missing",IF(OR(LEN(AV361)&lt;2,ISNUMBER(MATCH(AV361,L_Placeholder,0))),"INVALID – result / assessment missing",IF(OR(OR(LEN(AW361)&lt;3,ISNUMBER(MATCH(AW361,L_Placeholder,0))),SUMPRODUCT(--ISNUMBER(SEARCH(L_EvidencePhrase,AW361)))&gt;0),"INVALID – evidence missing, placeholder or not yet on file",IF(OR(LEN(AX361)&lt;2,ISNUMBER(MATCH(AX361,L_Placeholder,0))),"INVALID – verifier missing",IF(AX361=AU361,"INVALID – verifier must be someone other than the PIC",IF(AND(TRIM(U361)="Pass",SUMPRODUCT(--ISNUMBER(SEARCH(L_ResultBad,AV361)))&gt;0),"INVALID – result describes a problem: use Fail, then Pass after CA",IF(AND(AQ361=1,OR(LEN(AY361)&lt;3,ISNUMBER(MATCH(AY361,L_Placeholder,0)))),"INVALID – batch ID missing or placeholder",IF(AND(AR361=1,OR(NOT(ISNUMBER(X361)),NOT(ISNUMBER(Y361)))),"INVALID – expected/actual qty missing",IF(AND(AR361=1,OR(X361&lt;=0,Y361&lt;0)),"INVALID – expected qty must be above 0 and actual not negative",IF(BB361&lt;&gt;"",BB361,IF(AND(AS361=1,Documents!$J$15&lt;&gt;"ON FILE"),"INVALID – GLD not on file (Documents sheet)",IF(AND(AS361=2,Documents!$O$15&lt;&gt;"ON FILE"),"INVALID – menu checklist not on file (Documents sheet)",IF(AND(AS361=3,NOT(ISNUMBER(Flights!$AX$15))),"INVALID – enter carrying flight KUL departure (Flights AX)",IF(AND(AS361=3,OR(Flights!$AZ$15&gt;Flights!$AA$15,Flights!$AX$15&lt;Flights!$AA$15-3)),"INVALID – carrying flight (Flights AX) cannot arrive before this leg's STD, or is over 3 days early",IF(AG361&gt;AsOfUTC,"INVALID – completion time is in the future",IF(AND(ISNUMBER(S361),AG361&lt;S361),IF(H361="Physical uplift","INVALID – before uplift window (cannot confirm loading)","INVALID – before valid window"),IF(AG361&gt;Flights!$AA$15,"INVALID – completed after departure (cannot establish readiness)",IF(AND(H361="Preparation",AG361&gt;IF(ISNUMBER(Flights!$BA$15),MIN(Flights!$BA$15,Flights!$AA$15),Flights!$AA$15)),"INVALID – completed after loading / departure (cannot establish readiness)",IF(AND(H361="Physical uplift",AG361&gt;Q361),"INVALID – recorded after the loading flight departed",IF(AG361&gt;Q361,"COMPLETE – LATE","COMPLETE"))))))))))))))))))))),IF(TRIM(U361)="Fail","FAIL – DISCREPANCY",IF(AND(TRIM(U361)&lt;&gt;"",TRIM(U361)&lt;&gt;"Not started",TRIM(U361)&lt;&gt;"In progress"),"INVALID – unrecognised status (use the list)",IF(AsOfUTC&gt;Q361,"OVERDUE",IF(N361="Clarification required","OPEN – CLARIFICATION","OPEN"))))))),"INVALID – error value in an input cell")</f>
        <v>OPEN</v>
      </c>
      <c r="AI361" s="61" t="n">
        <f aca="false">IF(OR(AH361="N/A – RULE",AH361="N/A – JUSTIFIED"),0,1)</f>
        <v>1</v>
      </c>
      <c r="AJ361" s="61" t="n">
        <f aca="false">IF(LEFT(AH361,8)="COMPLETE",1,0)</f>
        <v>0</v>
      </c>
      <c r="AK361" s="61" t="n">
        <f aca="false">IF(AND(AI361=1,AJ361=0,AsOfUTC&gt;Q361),1,0)</f>
        <v>0</v>
      </c>
      <c r="AL361" s="61" t="n">
        <f aca="false">IFERROR(IF(AND(AI361=1,OR(TRIM(U361)="Fail",AND(TRIM(AB361)&lt;&gt;"",TRIM(AB361)&lt;&gt;"Closed"),AND(ISNUMBER(AF361),AF361&lt;&gt;0,TRIM(U361)&lt;&gt;"Pass after CA"))),1,0),1)</f>
        <v>0</v>
      </c>
      <c r="AM361" s="61" t="n">
        <f aca="false">IF(LEFT(AH361,7)="INVALID",1,0)</f>
        <v>0</v>
      </c>
      <c r="AN361" s="61" t="n">
        <f aca="false">IF(AND(N361="Clarification required",AI361=1,AJ361=0),1,0)</f>
        <v>0</v>
      </c>
      <c r="AO361" s="61" t="str">
        <f aca="false">IF(AK361=1,SUM(AK$5:AK361),"")</f>
        <v/>
      </c>
      <c r="AP361" s="61" t="str">
        <f aca="false">IF(AL361=1,SUM(AL$5:AL361),"")</f>
        <v/>
      </c>
      <c r="AQ361" s="61" t="n">
        <v>0</v>
      </c>
      <c r="AR361" s="61" t="n">
        <v>0</v>
      </c>
      <c r="AS361" s="61" t="n">
        <v>0</v>
      </c>
      <c r="AT361" s="61" t="n">
        <v>0</v>
      </c>
      <c r="AU361" s="61" t="str">
        <f aca="false">SUBSTITUTE(SUBSTITUTE(SUBSTITUTE(SUBSTITUTE(SUBSTITUTE(SUBSTITUTE(SUBSTITUTE(SUBSTITUTE(SUBSTITUTE(SUBSTITUTE(SUBSTITUTE(SUBSTITUTE(SUBSTITUTE(LOWER(T361&amp;""),CHAR(160),"")," ",""),".",""),"-",""),"/",""),"?",""),"_",""),",",""),"[",""),"]",""),"(",""),")",""),"*","")</f>
        <v/>
      </c>
      <c r="AV361" s="61" t="str">
        <f aca="false">SUBSTITUTE(SUBSTITUTE(SUBSTITUTE(SUBSTITUTE(SUBSTITUTE(SUBSTITUTE(SUBSTITUTE(SUBSTITUTE(SUBSTITUTE(SUBSTITUTE(SUBSTITUTE(SUBSTITUTE(SUBSTITUTE(LOWER(V361&amp;""),CHAR(160),"")," ",""),".",""),"-",""),"/",""),"?",""),"_",""),",",""),"[",""),"]",""),"(",""),")",""),"*","")</f>
        <v/>
      </c>
      <c r="AW361" s="61" t="str">
        <f aca="false">SUBSTITUTE(SUBSTITUTE(SUBSTITUTE(SUBSTITUTE(SUBSTITUTE(SUBSTITUTE(SUBSTITUTE(SUBSTITUTE(SUBSTITUTE(SUBSTITUTE(SUBSTITUTE(SUBSTITUTE(SUBSTITUTE(LOWER(Z361&amp;""),CHAR(160),"")," ",""),".",""),"-",""),"/",""),"?",""),"_",""),",",""),"[",""),"]",""),"(",""),")",""),"*","")</f>
        <v/>
      </c>
      <c r="AX361" s="61" t="str">
        <f aca="false">SUBSTITUTE(SUBSTITUTE(SUBSTITUTE(SUBSTITUTE(SUBSTITUTE(SUBSTITUTE(SUBSTITUTE(SUBSTITUTE(SUBSTITUTE(SUBSTITUTE(SUBSTITUTE(SUBSTITUTE(SUBSTITUTE(LOWER(AE361&amp;""),CHAR(160),"")," ",""),".",""),"-",""),"/",""),"?",""),"_",""),",",""),"[",""),"]",""),"(",""),")",""),"*","")</f>
        <v/>
      </c>
      <c r="AY361" s="61" t="str">
        <f aca="false">SUBSTITUTE(SUBSTITUTE(SUBSTITUTE(SUBSTITUTE(SUBSTITUTE(SUBSTITUTE(SUBSTITUTE(SUBSTITUTE(SUBSTITUTE(SUBSTITUTE(SUBSTITUTE(SUBSTITUTE(SUBSTITUTE(LOWER(W361&amp;""),CHAR(160),"")," ",""),".",""),"-",""),"/",""),"?",""),"_",""),",",""),"[",""),"]",""),"(",""),")",""),"*","")</f>
        <v/>
      </c>
      <c r="AZ361" s="61" t="str">
        <f aca="false">SUBSTITUTE(SUBSTITUTE(SUBSTITUTE(SUBSTITUTE(SUBSTITUTE(SUBSTITUTE(SUBSTITUTE(SUBSTITUTE(SUBSTITUTE(SUBSTITUTE(SUBSTITUTE(SUBSTITUTE(SUBSTITUTE(LOWER(AC361&amp;""),CHAR(160),"")," ",""),".",""),"-",""),"/",""),"?",""),"_",""),",",""),"[",""),"]",""),"(",""),")",""),"*","")</f>
        <v/>
      </c>
      <c r="BA361" s="61" t="str">
        <f aca="false">SUBSTITUTE(SUBSTITUTE(SUBSTITUTE(SUBSTITUTE(SUBSTITUTE(SUBSTITUTE(SUBSTITUTE(SUBSTITUTE(SUBSTITUTE(SUBSTITUTE(SUBSTITUTE(SUBSTITUTE(SUBSTITUTE(LOWER(AA361&amp;""),CHAR(160),"")," ",""),".",""),"-",""),"/",""),"?",""),"_",""),",",""),"[",""),"]",""),"(",""),")",""),"*","")</f>
        <v/>
      </c>
      <c r="BB361" s="61" t="str">
        <f aca="false">IF(AND(TRIM(U361)="Pass",ISNUMBER(AF361)),IF(AF361&lt;&gt;0,"INVALID – qty variance: use Fail or Pass after CA",""),"")&amp;IF(AND(TRIM(U361)="Pass after CA",ISNUMBER(AF361)),IF(AF361&lt;&gt;0,"INVALID – after the corrective action the actual qty must equal expected (update Actual)",""),"")&amp;IF(AND(TRIM(U361)="Pass",TRIM(AB361)&lt;&gt;"",TRIM(AB361)&lt;&gt;"Closed"),"INVALID – corrective action not closed: use Fail, then Pass after CA","")&amp;IF(AND(TRIM(AA361)&lt;&gt;"",TRIM(AB361)=""),"INVALID – CA status missing for the recorded corrective action","")&amp;IF(AND(TRIM(U361)="Pass after CA",OR(OR(LEN(BA361)&lt;5,ISNUMBER(MATCH(BA361,L_Placeholder,0))),TRIM(AB361)&lt;&gt;"Closed")),"INVALID – corrective action not recorded/closed","")</f>
        <v/>
      </c>
    </row>
    <row r="362" customFormat="false" ht="39.75" hidden="false" customHeight="true" outlineLevel="0" collapsed="false">
      <c r="A362" s="57" t="s">
        <v>941</v>
      </c>
      <c r="B362" s="57" t="s">
        <v>255</v>
      </c>
      <c r="C362" s="57" t="str">
        <f aca="false">Flights!$F$15</f>
        <v>MH1149</v>
      </c>
      <c r="D362" s="58" t="n">
        <f aca="false">Flights!$D$15</f>
        <v>46307</v>
      </c>
      <c r="E362" s="57" t="str">
        <f aca="false">Flights!$G$15&amp;"-"&amp;Flights!$H$15</f>
        <v>PEN-KUL</v>
      </c>
      <c r="F362" s="57" t="str">
        <f aca="false">Flights!$K$15</f>
        <v>EY</v>
      </c>
      <c r="G362" s="57" t="s">
        <v>79</v>
      </c>
      <c r="H362" s="57" t="s">
        <v>356</v>
      </c>
      <c r="I362" s="57" t="s">
        <v>376</v>
      </c>
      <c r="J362" s="57" t="s">
        <v>380</v>
      </c>
      <c r="K362" s="67" t="s">
        <v>381</v>
      </c>
      <c r="L362" s="67" t="s">
        <v>360</v>
      </c>
      <c r="M362" s="67"/>
      <c r="N362" s="67" t="s">
        <v>361</v>
      </c>
      <c r="O362" s="67"/>
      <c r="P362" s="57" t="s">
        <v>184</v>
      </c>
      <c r="Q362" s="59" t="n">
        <f aca="false">ROUND((Flights!$AC$15)*1440,0)/1440</f>
        <v>46300.3263888889</v>
      </c>
      <c r="R362" s="59" t="n">
        <f aca="false">Q362+(IF(AND(INDEX(TZ_DSTS,MATCH(P362,TZ_STN,0))&lt;&gt;"",Q362&gt;=INDEX(TZ_DSTS,MATCH(P362,TZ_STN,0)),Q362&lt;INDEX(TZ_DSTE,MATCH(P362,TZ_STN,0))),INDEX(TZ_DST,MATCH(P362,TZ_STN,0)),INDEX(TZ_STD,MATCH(P362,TZ_STN,0))))/24</f>
        <v>46300.6597222222</v>
      </c>
      <c r="S362" s="59" t="n">
        <f aca="false">Q362-T7EarlyD*24/24</f>
        <v>46286.3263888889</v>
      </c>
      <c r="T362" s="60"/>
      <c r="U362" s="60"/>
      <c r="V362" s="60"/>
      <c r="W362" s="61"/>
      <c r="X362" s="60"/>
      <c r="Y362" s="60"/>
      <c r="Z362" s="60"/>
      <c r="AA362" s="60"/>
      <c r="AB362" s="60"/>
      <c r="AC362" s="60"/>
      <c r="AD362" s="66"/>
      <c r="AE362" s="60"/>
      <c r="AF362" s="61" t="str">
        <f aca="false">IF(AND(ISNUMBER(X362),ISNUMBER(Y362)),Y362-X362,"")</f>
        <v/>
      </c>
      <c r="AG362" s="62" t="str">
        <f aca="false">IF(ISNUMBER(AD362),AD362-(IF(AND(INDEX(TZ_DSTS,MATCH(P362,TZ_STN,0))&lt;&gt;"",(AD362-INDEX(TZ_STD,MATCH(P362,TZ_STN,0))/24)&gt;=INDEX(TZ_DSTS,MATCH(P362,TZ_STN,0)),(AD362-INDEX(TZ_STD,MATCH(P362,TZ_STN,0))/24)&lt;INDEX(TZ_DSTE,MATCH(P362,TZ_STN,0))),INDEX(TZ_DST,MATCH(P362,TZ_STN,0)),INDEX(TZ_STD,MATCH(P362,TZ_STN,0))))/24,"")</f>
        <v/>
      </c>
      <c r="AH362" s="65" t="str">
        <f aca="false">IFERROR(IF(N362="N/A – rule","N/A – RULE",IF(TRIM(U362)="N/A",IF(AT362=0,"INVALID – N/A not permitted for this check",IF(AND(TRIM(AB362)&lt;&gt;"",TRIM(AB362)&lt;&gt;"Closed"),"INVALID – corrective action still open",IF(AND(NOT(OR(LEN(AZ362)&lt;15,ISNUMBER(MATCH(AZ362,L_Placeholder,0)))),NOT(OR(LEN(AU362)&lt;2,ISNUMBER(MATCH(AU362,L_Placeholder,0)))),NOT(OR(LEN(AX362)&lt;2,ISNUMBER(MATCH(AX362,L_Placeholder,0)))),TRIM(AE362)&lt;&gt;TRIM(T362)),"N/A – JUSTIFIED","INVALID – N/A needs a real justification (15+ chars), PIC and a different verifier"))),IF(OR(TRIM(U362)="Pass",TRIM(U362)="Pass after CA"),IF(NOT(ISNUMBER(AD362)),"INVALID – completion time missing",IF(OR(LEN(AU362)&lt;2,ISNUMBER(MATCH(AU362,L_Placeholder,0))),"INVALID – PIC missing",IF(OR(LEN(AV362)&lt;2,ISNUMBER(MATCH(AV362,L_Placeholder,0))),"INVALID – result / assessment missing",IF(OR(OR(LEN(AW362)&lt;3,ISNUMBER(MATCH(AW362,L_Placeholder,0))),SUMPRODUCT(--ISNUMBER(SEARCH(L_EvidencePhrase,AW362)))&gt;0),"INVALID – evidence missing, placeholder or not yet on file",IF(OR(LEN(AX362)&lt;2,ISNUMBER(MATCH(AX362,L_Placeholder,0))),"INVALID – verifier missing",IF(AX362=AU362,"INVALID – verifier must be someone other than the PIC",IF(AND(TRIM(U362)="Pass",SUMPRODUCT(--ISNUMBER(SEARCH(L_ResultBad,AV362)))&gt;0),"INVALID – result describes a problem: use Fail, then Pass after CA",IF(AND(AQ362=1,OR(LEN(AY362)&lt;3,ISNUMBER(MATCH(AY362,L_Placeholder,0)))),"INVALID – batch ID missing or placeholder",IF(AND(AR362=1,OR(NOT(ISNUMBER(X362)),NOT(ISNUMBER(Y362)))),"INVALID – expected/actual qty missing",IF(AND(AR362=1,OR(X362&lt;=0,Y362&lt;0)),"INVALID – expected qty must be above 0 and actual not negative",IF(BB362&lt;&gt;"",BB362,IF(AND(AS362=1,Documents!$J$15&lt;&gt;"ON FILE"),"INVALID – GLD not on file (Documents sheet)",IF(AND(AS362=2,Documents!$O$15&lt;&gt;"ON FILE"),"INVALID – menu checklist not on file (Documents sheet)",IF(AND(AS362=3,NOT(ISNUMBER(Flights!$AX$15))),"INVALID – enter carrying flight KUL departure (Flights AX)",IF(AND(AS362=3,OR(Flights!$AZ$15&gt;Flights!$AA$15,Flights!$AX$15&lt;Flights!$AA$15-3)),"INVALID – carrying flight (Flights AX) cannot arrive before this leg's STD, or is over 3 days early",IF(AG362&gt;AsOfUTC,"INVALID – completion time is in the future",IF(AND(ISNUMBER(S362),AG362&lt;S362),IF(H362="Physical uplift","INVALID – before uplift window (cannot confirm loading)","INVALID – before valid window"),IF(AG362&gt;Flights!$AA$15,"INVALID – completed after departure (cannot establish readiness)",IF(AND(H362="Preparation",AG362&gt;IF(ISNUMBER(Flights!$BA$15),MIN(Flights!$BA$15,Flights!$AA$15),Flights!$AA$15)),"INVALID – completed after loading / departure (cannot establish readiness)",IF(AND(H362="Physical uplift",AG362&gt;Q362),"INVALID – recorded after the loading flight departed",IF(AG362&gt;Q362,"COMPLETE – LATE","COMPLETE"))))))))))))))))))))),IF(TRIM(U362)="Fail","FAIL – DISCREPANCY",IF(AND(TRIM(U362)&lt;&gt;"",TRIM(U362)&lt;&gt;"Not started",TRIM(U362)&lt;&gt;"In progress"),"INVALID – unrecognised status (use the list)",IF(AsOfUTC&gt;Q362,"OVERDUE",IF(N362="Clarification required","OPEN – CLARIFICATION","OPEN"))))))),"INVALID – error value in an input cell")</f>
        <v>OPEN</v>
      </c>
      <c r="AI362" s="61" t="n">
        <f aca="false">IF(OR(AH362="N/A – RULE",AH362="N/A – JUSTIFIED"),0,1)</f>
        <v>1</v>
      </c>
      <c r="AJ362" s="61" t="n">
        <f aca="false">IF(LEFT(AH362,8)="COMPLETE",1,0)</f>
        <v>0</v>
      </c>
      <c r="AK362" s="61" t="n">
        <f aca="false">IF(AND(AI362=1,AJ362=0,AsOfUTC&gt;Q362),1,0)</f>
        <v>0</v>
      </c>
      <c r="AL362" s="61" t="n">
        <f aca="false">IFERROR(IF(AND(AI362=1,OR(TRIM(U362)="Fail",AND(TRIM(AB362)&lt;&gt;"",TRIM(AB362)&lt;&gt;"Closed"),AND(ISNUMBER(AF362),AF362&lt;&gt;0,TRIM(U362)&lt;&gt;"Pass after CA"))),1,0),1)</f>
        <v>0</v>
      </c>
      <c r="AM362" s="61" t="n">
        <f aca="false">IF(LEFT(AH362,7)="INVALID",1,0)</f>
        <v>0</v>
      </c>
      <c r="AN362" s="61" t="n">
        <f aca="false">IF(AND(N362="Clarification required",AI362=1,AJ362=0),1,0)</f>
        <v>0</v>
      </c>
      <c r="AO362" s="61" t="str">
        <f aca="false">IF(AK362=1,SUM(AK$5:AK362),"")</f>
        <v/>
      </c>
      <c r="AP362" s="61" t="str">
        <f aca="false">IF(AL362=1,SUM(AL$5:AL362),"")</f>
        <v/>
      </c>
      <c r="AQ362" s="61" t="n">
        <v>0</v>
      </c>
      <c r="AR362" s="61" t="n">
        <v>0</v>
      </c>
      <c r="AS362" s="61" t="n">
        <v>0</v>
      </c>
      <c r="AT362" s="61" t="n">
        <v>0</v>
      </c>
      <c r="AU362" s="61" t="str">
        <f aca="false">SUBSTITUTE(SUBSTITUTE(SUBSTITUTE(SUBSTITUTE(SUBSTITUTE(SUBSTITUTE(SUBSTITUTE(SUBSTITUTE(SUBSTITUTE(SUBSTITUTE(SUBSTITUTE(SUBSTITUTE(SUBSTITUTE(LOWER(T362&amp;""),CHAR(160),"")," ",""),".",""),"-",""),"/",""),"?",""),"_",""),",",""),"[",""),"]",""),"(",""),")",""),"*","")</f>
        <v/>
      </c>
      <c r="AV362" s="61" t="str">
        <f aca="false">SUBSTITUTE(SUBSTITUTE(SUBSTITUTE(SUBSTITUTE(SUBSTITUTE(SUBSTITUTE(SUBSTITUTE(SUBSTITUTE(SUBSTITUTE(SUBSTITUTE(SUBSTITUTE(SUBSTITUTE(SUBSTITUTE(LOWER(V362&amp;""),CHAR(160),"")," ",""),".",""),"-",""),"/",""),"?",""),"_",""),",",""),"[",""),"]",""),"(",""),")",""),"*","")</f>
        <v/>
      </c>
      <c r="AW362" s="61" t="str">
        <f aca="false">SUBSTITUTE(SUBSTITUTE(SUBSTITUTE(SUBSTITUTE(SUBSTITUTE(SUBSTITUTE(SUBSTITUTE(SUBSTITUTE(SUBSTITUTE(SUBSTITUTE(SUBSTITUTE(SUBSTITUTE(SUBSTITUTE(LOWER(Z362&amp;""),CHAR(160),"")," ",""),".",""),"-",""),"/",""),"?",""),"_",""),",",""),"[",""),"]",""),"(",""),")",""),"*","")</f>
        <v/>
      </c>
      <c r="AX362" s="61" t="str">
        <f aca="false">SUBSTITUTE(SUBSTITUTE(SUBSTITUTE(SUBSTITUTE(SUBSTITUTE(SUBSTITUTE(SUBSTITUTE(SUBSTITUTE(SUBSTITUTE(SUBSTITUTE(SUBSTITUTE(SUBSTITUTE(SUBSTITUTE(LOWER(AE362&amp;""),CHAR(160),"")," ",""),".",""),"-",""),"/",""),"?",""),"_",""),",",""),"[",""),"]",""),"(",""),")",""),"*","")</f>
        <v/>
      </c>
      <c r="AY362" s="61" t="str">
        <f aca="false">SUBSTITUTE(SUBSTITUTE(SUBSTITUTE(SUBSTITUTE(SUBSTITUTE(SUBSTITUTE(SUBSTITUTE(SUBSTITUTE(SUBSTITUTE(SUBSTITUTE(SUBSTITUTE(SUBSTITUTE(SUBSTITUTE(LOWER(W362&amp;""),CHAR(160),"")," ",""),".",""),"-",""),"/",""),"?",""),"_",""),",",""),"[",""),"]",""),"(",""),")",""),"*","")</f>
        <v/>
      </c>
      <c r="AZ362" s="61" t="str">
        <f aca="false">SUBSTITUTE(SUBSTITUTE(SUBSTITUTE(SUBSTITUTE(SUBSTITUTE(SUBSTITUTE(SUBSTITUTE(SUBSTITUTE(SUBSTITUTE(SUBSTITUTE(SUBSTITUTE(SUBSTITUTE(SUBSTITUTE(LOWER(AC362&amp;""),CHAR(160),"")," ",""),".",""),"-",""),"/",""),"?",""),"_",""),",",""),"[",""),"]",""),"(",""),")",""),"*","")</f>
        <v/>
      </c>
      <c r="BA362" s="61" t="str">
        <f aca="false">SUBSTITUTE(SUBSTITUTE(SUBSTITUTE(SUBSTITUTE(SUBSTITUTE(SUBSTITUTE(SUBSTITUTE(SUBSTITUTE(SUBSTITUTE(SUBSTITUTE(SUBSTITUTE(SUBSTITUTE(SUBSTITUTE(LOWER(AA362&amp;""),CHAR(160),"")," ",""),".",""),"-",""),"/",""),"?",""),"_",""),",",""),"[",""),"]",""),"(",""),")",""),"*","")</f>
        <v/>
      </c>
      <c r="BB362" s="61" t="str">
        <f aca="false">IF(AND(TRIM(U362)="Pass",ISNUMBER(AF362)),IF(AF362&lt;&gt;0,"INVALID – qty variance: use Fail or Pass after CA",""),"")&amp;IF(AND(TRIM(U362)="Pass after CA",ISNUMBER(AF362)),IF(AF362&lt;&gt;0,"INVALID – after the corrective action the actual qty must equal expected (update Actual)",""),"")&amp;IF(AND(TRIM(U362)="Pass",TRIM(AB362)&lt;&gt;"",TRIM(AB362)&lt;&gt;"Closed"),"INVALID – corrective action not closed: use Fail, then Pass after CA","")&amp;IF(AND(TRIM(AA362)&lt;&gt;"",TRIM(AB362)=""),"INVALID – CA status missing for the recorded corrective action","")&amp;IF(AND(TRIM(U362)="Pass after CA",OR(OR(LEN(BA362)&lt;5,ISNUMBER(MATCH(BA362,L_Placeholder,0))),TRIM(AB362)&lt;&gt;"Closed")),"INVALID – corrective action not recorded/closed","")</f>
        <v/>
      </c>
    </row>
    <row r="363" customFormat="false" ht="39.75" hidden="false" customHeight="true" outlineLevel="0" collapsed="false">
      <c r="A363" s="57" t="s">
        <v>942</v>
      </c>
      <c r="B363" s="57" t="s">
        <v>255</v>
      </c>
      <c r="C363" s="57" t="str">
        <f aca="false">Flights!$F$15</f>
        <v>MH1149</v>
      </c>
      <c r="D363" s="58" t="n">
        <f aca="false">Flights!$D$15</f>
        <v>46307</v>
      </c>
      <c r="E363" s="57" t="str">
        <f aca="false">Flights!$G$15&amp;"-"&amp;Flights!$H$15</f>
        <v>PEN-KUL</v>
      </c>
      <c r="F363" s="57" t="str">
        <f aca="false">Flights!$K$15</f>
        <v>EY</v>
      </c>
      <c r="G363" s="57" t="s">
        <v>79</v>
      </c>
      <c r="H363" s="57" t="s">
        <v>356</v>
      </c>
      <c r="I363" s="57" t="s">
        <v>383</v>
      </c>
      <c r="J363" s="57" t="s">
        <v>384</v>
      </c>
      <c r="K363" s="67" t="s">
        <v>385</v>
      </c>
      <c r="L363" s="67" t="s">
        <v>360</v>
      </c>
      <c r="M363" s="67"/>
      <c r="N363" s="67" t="s">
        <v>361</v>
      </c>
      <c r="O363" s="67"/>
      <c r="P363" s="57" t="s">
        <v>184</v>
      </c>
      <c r="Q363" s="59" t="n">
        <f aca="false">ROUND((Flights!$AC$15)*1440,0)/1440</f>
        <v>46300.3263888889</v>
      </c>
      <c r="R363" s="59" t="n">
        <f aca="false">Q363+(IF(AND(INDEX(TZ_DSTS,MATCH(P363,TZ_STN,0))&lt;&gt;"",Q363&gt;=INDEX(TZ_DSTS,MATCH(P363,TZ_STN,0)),Q363&lt;INDEX(TZ_DSTE,MATCH(P363,TZ_STN,0))),INDEX(TZ_DST,MATCH(P363,TZ_STN,0)),INDEX(TZ_STD,MATCH(P363,TZ_STN,0))))/24</f>
        <v>46300.6597222222</v>
      </c>
      <c r="S363" s="59" t="n">
        <f aca="false">Q363-T7EarlyD*24/24</f>
        <v>46286.3263888889</v>
      </c>
      <c r="T363" s="60"/>
      <c r="U363" s="60"/>
      <c r="V363" s="60"/>
      <c r="W363" s="61"/>
      <c r="X363" s="60"/>
      <c r="Y363" s="60"/>
      <c r="Z363" s="60"/>
      <c r="AA363" s="60"/>
      <c r="AB363" s="60"/>
      <c r="AC363" s="60"/>
      <c r="AD363" s="66"/>
      <c r="AE363" s="60"/>
      <c r="AF363" s="61" t="str">
        <f aca="false">IF(AND(ISNUMBER(X363),ISNUMBER(Y363)),Y363-X363,"")</f>
        <v/>
      </c>
      <c r="AG363" s="62" t="str">
        <f aca="false">IF(ISNUMBER(AD363),AD363-(IF(AND(INDEX(TZ_DSTS,MATCH(P363,TZ_STN,0))&lt;&gt;"",(AD363-INDEX(TZ_STD,MATCH(P363,TZ_STN,0))/24)&gt;=INDEX(TZ_DSTS,MATCH(P363,TZ_STN,0)),(AD363-INDEX(TZ_STD,MATCH(P363,TZ_STN,0))/24)&lt;INDEX(TZ_DSTE,MATCH(P363,TZ_STN,0))),INDEX(TZ_DST,MATCH(P363,TZ_STN,0)),INDEX(TZ_STD,MATCH(P363,TZ_STN,0))))/24,"")</f>
        <v/>
      </c>
      <c r="AH363" s="65" t="str">
        <f aca="false">IFERROR(IF(N363="N/A – rule","N/A – RULE",IF(TRIM(U363)="N/A",IF(AT363=0,"INVALID – N/A not permitted for this check",IF(AND(TRIM(AB363)&lt;&gt;"",TRIM(AB363)&lt;&gt;"Closed"),"INVALID – corrective action still open",IF(AND(NOT(OR(LEN(AZ363)&lt;15,ISNUMBER(MATCH(AZ363,L_Placeholder,0)))),NOT(OR(LEN(AU363)&lt;2,ISNUMBER(MATCH(AU363,L_Placeholder,0)))),NOT(OR(LEN(AX363)&lt;2,ISNUMBER(MATCH(AX363,L_Placeholder,0)))),TRIM(AE363)&lt;&gt;TRIM(T363)),"N/A – JUSTIFIED","INVALID – N/A needs a real justification (15+ chars), PIC and a different verifier"))),IF(OR(TRIM(U363)="Pass",TRIM(U363)="Pass after CA"),IF(NOT(ISNUMBER(AD363)),"INVALID – completion time missing",IF(OR(LEN(AU363)&lt;2,ISNUMBER(MATCH(AU363,L_Placeholder,0))),"INVALID – PIC missing",IF(OR(LEN(AV363)&lt;2,ISNUMBER(MATCH(AV363,L_Placeholder,0))),"INVALID – result / assessment missing",IF(OR(OR(LEN(AW363)&lt;3,ISNUMBER(MATCH(AW363,L_Placeholder,0))),SUMPRODUCT(--ISNUMBER(SEARCH(L_EvidencePhrase,AW363)))&gt;0),"INVALID – evidence missing, placeholder or not yet on file",IF(OR(LEN(AX363)&lt;2,ISNUMBER(MATCH(AX363,L_Placeholder,0))),"INVALID – verifier missing",IF(AX363=AU363,"INVALID – verifier must be someone other than the PIC",IF(AND(TRIM(U363)="Pass",SUMPRODUCT(--ISNUMBER(SEARCH(L_ResultBad,AV363)))&gt;0),"INVALID – result describes a problem: use Fail, then Pass after CA",IF(AND(AQ363=1,OR(LEN(AY363)&lt;3,ISNUMBER(MATCH(AY363,L_Placeholder,0)))),"INVALID – batch ID missing or placeholder",IF(AND(AR363=1,OR(NOT(ISNUMBER(X363)),NOT(ISNUMBER(Y363)))),"INVALID – expected/actual qty missing",IF(AND(AR363=1,OR(X363&lt;=0,Y363&lt;0)),"INVALID – expected qty must be above 0 and actual not negative",IF(BB363&lt;&gt;"",BB363,IF(AND(AS363=1,Documents!$J$15&lt;&gt;"ON FILE"),"INVALID – GLD not on file (Documents sheet)",IF(AND(AS363=2,Documents!$O$15&lt;&gt;"ON FILE"),"INVALID – menu checklist not on file (Documents sheet)",IF(AND(AS363=3,NOT(ISNUMBER(Flights!$AX$15))),"INVALID – enter carrying flight KUL departure (Flights AX)",IF(AND(AS363=3,OR(Flights!$AZ$15&gt;Flights!$AA$15,Flights!$AX$15&lt;Flights!$AA$15-3)),"INVALID – carrying flight (Flights AX) cannot arrive before this leg's STD, or is over 3 days early",IF(AG363&gt;AsOfUTC,"INVALID – completion time is in the future",IF(AND(ISNUMBER(S363),AG363&lt;S363),IF(H363="Physical uplift","INVALID – before uplift window (cannot confirm loading)","INVALID – before valid window"),IF(AG363&gt;Flights!$AA$15,"INVALID – completed after departure (cannot establish readiness)",IF(AND(H363="Preparation",AG363&gt;IF(ISNUMBER(Flights!$BA$15),MIN(Flights!$BA$15,Flights!$AA$15),Flights!$AA$15)),"INVALID – completed after loading / departure (cannot establish readiness)",IF(AND(H363="Physical uplift",AG363&gt;Q363),"INVALID – recorded after the loading flight departed",IF(AG363&gt;Q363,"COMPLETE – LATE","COMPLETE"))))))))))))))))))))),IF(TRIM(U363)="Fail","FAIL – DISCREPANCY",IF(AND(TRIM(U363)&lt;&gt;"",TRIM(U363)&lt;&gt;"Not started",TRIM(U363)&lt;&gt;"In progress"),"INVALID – unrecognised status (use the list)",IF(AsOfUTC&gt;Q363,"OVERDUE",IF(N363="Clarification required","OPEN – CLARIFICATION","OPEN"))))))),"INVALID – error value in an input cell")</f>
        <v>OPEN</v>
      </c>
      <c r="AI363" s="61" t="n">
        <f aca="false">IF(OR(AH363="N/A – RULE",AH363="N/A – JUSTIFIED"),0,1)</f>
        <v>1</v>
      </c>
      <c r="AJ363" s="61" t="n">
        <f aca="false">IF(LEFT(AH363,8)="COMPLETE",1,0)</f>
        <v>0</v>
      </c>
      <c r="AK363" s="61" t="n">
        <f aca="false">IF(AND(AI363=1,AJ363=0,AsOfUTC&gt;Q363),1,0)</f>
        <v>0</v>
      </c>
      <c r="AL363" s="61" t="n">
        <f aca="false">IFERROR(IF(AND(AI363=1,OR(TRIM(U363)="Fail",AND(TRIM(AB363)&lt;&gt;"",TRIM(AB363)&lt;&gt;"Closed"),AND(ISNUMBER(AF363),AF363&lt;&gt;0,TRIM(U363)&lt;&gt;"Pass after CA"))),1,0),1)</f>
        <v>0</v>
      </c>
      <c r="AM363" s="61" t="n">
        <f aca="false">IF(LEFT(AH363,7)="INVALID",1,0)</f>
        <v>0</v>
      </c>
      <c r="AN363" s="61" t="n">
        <f aca="false">IF(AND(N363="Clarification required",AI363=1,AJ363=0),1,0)</f>
        <v>0</v>
      </c>
      <c r="AO363" s="61" t="str">
        <f aca="false">IF(AK363=1,SUM(AK$5:AK363),"")</f>
        <v/>
      </c>
      <c r="AP363" s="61" t="str">
        <f aca="false">IF(AL363=1,SUM(AL$5:AL363),"")</f>
        <v/>
      </c>
      <c r="AQ363" s="61" t="n">
        <v>0</v>
      </c>
      <c r="AR363" s="61" t="n">
        <v>0</v>
      </c>
      <c r="AS363" s="61" t="n">
        <v>1</v>
      </c>
      <c r="AT363" s="61" t="n">
        <v>0</v>
      </c>
      <c r="AU363" s="61" t="str">
        <f aca="false">SUBSTITUTE(SUBSTITUTE(SUBSTITUTE(SUBSTITUTE(SUBSTITUTE(SUBSTITUTE(SUBSTITUTE(SUBSTITUTE(SUBSTITUTE(SUBSTITUTE(SUBSTITUTE(SUBSTITUTE(SUBSTITUTE(LOWER(T363&amp;""),CHAR(160),"")," ",""),".",""),"-",""),"/",""),"?",""),"_",""),",",""),"[",""),"]",""),"(",""),")",""),"*","")</f>
        <v/>
      </c>
      <c r="AV363" s="61" t="str">
        <f aca="false">SUBSTITUTE(SUBSTITUTE(SUBSTITUTE(SUBSTITUTE(SUBSTITUTE(SUBSTITUTE(SUBSTITUTE(SUBSTITUTE(SUBSTITUTE(SUBSTITUTE(SUBSTITUTE(SUBSTITUTE(SUBSTITUTE(LOWER(V363&amp;""),CHAR(160),"")," ",""),".",""),"-",""),"/",""),"?",""),"_",""),",",""),"[",""),"]",""),"(",""),")",""),"*","")</f>
        <v/>
      </c>
      <c r="AW363" s="61" t="str">
        <f aca="false">SUBSTITUTE(SUBSTITUTE(SUBSTITUTE(SUBSTITUTE(SUBSTITUTE(SUBSTITUTE(SUBSTITUTE(SUBSTITUTE(SUBSTITUTE(SUBSTITUTE(SUBSTITUTE(SUBSTITUTE(SUBSTITUTE(LOWER(Z363&amp;""),CHAR(160),"")," ",""),".",""),"-",""),"/",""),"?",""),"_",""),",",""),"[",""),"]",""),"(",""),")",""),"*","")</f>
        <v/>
      </c>
      <c r="AX363" s="61" t="str">
        <f aca="false">SUBSTITUTE(SUBSTITUTE(SUBSTITUTE(SUBSTITUTE(SUBSTITUTE(SUBSTITUTE(SUBSTITUTE(SUBSTITUTE(SUBSTITUTE(SUBSTITUTE(SUBSTITUTE(SUBSTITUTE(SUBSTITUTE(LOWER(AE363&amp;""),CHAR(160),"")," ",""),".",""),"-",""),"/",""),"?",""),"_",""),",",""),"[",""),"]",""),"(",""),")",""),"*","")</f>
        <v/>
      </c>
      <c r="AY363" s="61" t="str">
        <f aca="false">SUBSTITUTE(SUBSTITUTE(SUBSTITUTE(SUBSTITUTE(SUBSTITUTE(SUBSTITUTE(SUBSTITUTE(SUBSTITUTE(SUBSTITUTE(SUBSTITUTE(SUBSTITUTE(SUBSTITUTE(SUBSTITUTE(LOWER(W363&amp;""),CHAR(160),"")," ",""),".",""),"-",""),"/",""),"?",""),"_",""),",",""),"[",""),"]",""),"(",""),")",""),"*","")</f>
        <v/>
      </c>
      <c r="AZ363" s="61" t="str">
        <f aca="false">SUBSTITUTE(SUBSTITUTE(SUBSTITUTE(SUBSTITUTE(SUBSTITUTE(SUBSTITUTE(SUBSTITUTE(SUBSTITUTE(SUBSTITUTE(SUBSTITUTE(SUBSTITUTE(SUBSTITUTE(SUBSTITUTE(LOWER(AC363&amp;""),CHAR(160),"")," ",""),".",""),"-",""),"/",""),"?",""),"_",""),",",""),"[",""),"]",""),"(",""),")",""),"*","")</f>
        <v/>
      </c>
      <c r="BA363" s="61" t="str">
        <f aca="false">SUBSTITUTE(SUBSTITUTE(SUBSTITUTE(SUBSTITUTE(SUBSTITUTE(SUBSTITUTE(SUBSTITUTE(SUBSTITUTE(SUBSTITUTE(SUBSTITUTE(SUBSTITUTE(SUBSTITUTE(SUBSTITUTE(LOWER(AA363&amp;""),CHAR(160),"")," ",""),".",""),"-",""),"/",""),"?",""),"_",""),",",""),"[",""),"]",""),"(",""),")",""),"*","")</f>
        <v/>
      </c>
      <c r="BB363" s="61" t="str">
        <f aca="false">IF(AND(TRIM(U363)="Pass",ISNUMBER(AF363)),IF(AF363&lt;&gt;0,"INVALID – qty variance: use Fail or Pass after CA",""),"")&amp;IF(AND(TRIM(U363)="Pass after CA",ISNUMBER(AF363)),IF(AF363&lt;&gt;0,"INVALID – after the corrective action the actual qty must equal expected (update Actual)",""),"")&amp;IF(AND(TRIM(U363)="Pass",TRIM(AB363)&lt;&gt;"",TRIM(AB363)&lt;&gt;"Closed"),"INVALID – corrective action not closed: use Fail, then Pass after CA","")&amp;IF(AND(TRIM(AA363)&lt;&gt;"",TRIM(AB363)=""),"INVALID – CA status missing for the recorded corrective action","")&amp;IF(AND(TRIM(U363)="Pass after CA",OR(OR(LEN(BA363)&lt;5,ISNUMBER(MATCH(BA363,L_Placeholder,0))),TRIM(AB363)&lt;&gt;"Closed")),"INVALID – corrective action not recorded/closed","")</f>
        <v/>
      </c>
    </row>
    <row r="364" customFormat="false" ht="39.75" hidden="false" customHeight="true" outlineLevel="0" collapsed="false">
      <c r="A364" s="57" t="s">
        <v>943</v>
      </c>
      <c r="B364" s="57" t="s">
        <v>255</v>
      </c>
      <c r="C364" s="57" t="str">
        <f aca="false">Flights!$F$15</f>
        <v>MH1149</v>
      </c>
      <c r="D364" s="58" t="n">
        <f aca="false">Flights!$D$15</f>
        <v>46307</v>
      </c>
      <c r="E364" s="57" t="str">
        <f aca="false">Flights!$G$15&amp;"-"&amp;Flights!$H$15</f>
        <v>PEN-KUL</v>
      </c>
      <c r="F364" s="57" t="str">
        <f aca="false">Flights!$K$15</f>
        <v>EY</v>
      </c>
      <c r="G364" s="57" t="s">
        <v>79</v>
      </c>
      <c r="H364" s="57" t="s">
        <v>356</v>
      </c>
      <c r="I364" s="57" t="s">
        <v>383</v>
      </c>
      <c r="J364" s="57" t="s">
        <v>387</v>
      </c>
      <c r="K364" s="67" t="s">
        <v>385</v>
      </c>
      <c r="L364" s="67" t="s">
        <v>360</v>
      </c>
      <c r="M364" s="67"/>
      <c r="N364" s="67" t="s">
        <v>361</v>
      </c>
      <c r="O364" s="67"/>
      <c r="P364" s="57" t="s">
        <v>184</v>
      </c>
      <c r="Q364" s="59" t="n">
        <f aca="false">ROUND((Flights!$AC$15)*1440,0)/1440</f>
        <v>46300.3263888889</v>
      </c>
      <c r="R364" s="59" t="n">
        <f aca="false">Q364+(IF(AND(INDEX(TZ_DSTS,MATCH(P364,TZ_STN,0))&lt;&gt;"",Q364&gt;=INDEX(TZ_DSTS,MATCH(P364,TZ_STN,0)),Q364&lt;INDEX(TZ_DSTE,MATCH(P364,TZ_STN,0))),INDEX(TZ_DST,MATCH(P364,TZ_STN,0)),INDEX(TZ_STD,MATCH(P364,TZ_STN,0))))/24</f>
        <v>46300.6597222222</v>
      </c>
      <c r="S364" s="59" t="n">
        <f aca="false">Q364-T7EarlyD*24/24</f>
        <v>46286.3263888889</v>
      </c>
      <c r="T364" s="60"/>
      <c r="U364" s="60"/>
      <c r="V364" s="60"/>
      <c r="W364" s="61"/>
      <c r="X364" s="60"/>
      <c r="Y364" s="60"/>
      <c r="Z364" s="60"/>
      <c r="AA364" s="60"/>
      <c r="AB364" s="60"/>
      <c r="AC364" s="60"/>
      <c r="AD364" s="66"/>
      <c r="AE364" s="60"/>
      <c r="AF364" s="61" t="str">
        <f aca="false">IF(AND(ISNUMBER(X364),ISNUMBER(Y364)),Y364-X364,"")</f>
        <v/>
      </c>
      <c r="AG364" s="62" t="str">
        <f aca="false">IF(ISNUMBER(AD364),AD364-(IF(AND(INDEX(TZ_DSTS,MATCH(P364,TZ_STN,0))&lt;&gt;"",(AD364-INDEX(TZ_STD,MATCH(P364,TZ_STN,0))/24)&gt;=INDEX(TZ_DSTS,MATCH(P364,TZ_STN,0)),(AD364-INDEX(TZ_STD,MATCH(P364,TZ_STN,0))/24)&lt;INDEX(TZ_DSTE,MATCH(P364,TZ_STN,0))),INDEX(TZ_DST,MATCH(P364,TZ_STN,0)),INDEX(TZ_STD,MATCH(P364,TZ_STN,0))))/24,"")</f>
        <v/>
      </c>
      <c r="AH364" s="65" t="str">
        <f aca="false">IFERROR(IF(N364="N/A – rule","N/A – RULE",IF(TRIM(U364)="N/A",IF(AT364=0,"INVALID – N/A not permitted for this check",IF(AND(TRIM(AB364)&lt;&gt;"",TRIM(AB364)&lt;&gt;"Closed"),"INVALID – corrective action still open",IF(AND(NOT(OR(LEN(AZ364)&lt;15,ISNUMBER(MATCH(AZ364,L_Placeholder,0)))),NOT(OR(LEN(AU364)&lt;2,ISNUMBER(MATCH(AU364,L_Placeholder,0)))),NOT(OR(LEN(AX364)&lt;2,ISNUMBER(MATCH(AX364,L_Placeholder,0)))),TRIM(AE364)&lt;&gt;TRIM(T364)),"N/A – JUSTIFIED","INVALID – N/A needs a real justification (15+ chars), PIC and a different verifier"))),IF(OR(TRIM(U364)="Pass",TRIM(U364)="Pass after CA"),IF(NOT(ISNUMBER(AD364)),"INVALID – completion time missing",IF(OR(LEN(AU364)&lt;2,ISNUMBER(MATCH(AU364,L_Placeholder,0))),"INVALID – PIC missing",IF(OR(LEN(AV364)&lt;2,ISNUMBER(MATCH(AV364,L_Placeholder,0))),"INVALID – result / assessment missing",IF(OR(OR(LEN(AW364)&lt;3,ISNUMBER(MATCH(AW364,L_Placeholder,0))),SUMPRODUCT(--ISNUMBER(SEARCH(L_EvidencePhrase,AW364)))&gt;0),"INVALID – evidence missing, placeholder or not yet on file",IF(OR(LEN(AX364)&lt;2,ISNUMBER(MATCH(AX364,L_Placeholder,0))),"INVALID – verifier missing",IF(AX364=AU364,"INVALID – verifier must be someone other than the PIC",IF(AND(TRIM(U364)="Pass",SUMPRODUCT(--ISNUMBER(SEARCH(L_ResultBad,AV364)))&gt;0),"INVALID – result describes a problem: use Fail, then Pass after CA",IF(AND(AQ364=1,OR(LEN(AY364)&lt;3,ISNUMBER(MATCH(AY364,L_Placeholder,0)))),"INVALID – batch ID missing or placeholder",IF(AND(AR364=1,OR(NOT(ISNUMBER(X364)),NOT(ISNUMBER(Y364)))),"INVALID – expected/actual qty missing",IF(AND(AR364=1,OR(X364&lt;=0,Y364&lt;0)),"INVALID – expected qty must be above 0 and actual not negative",IF(BB364&lt;&gt;"",BB364,IF(AND(AS364=1,Documents!$J$15&lt;&gt;"ON FILE"),"INVALID – GLD not on file (Documents sheet)",IF(AND(AS364=2,Documents!$O$15&lt;&gt;"ON FILE"),"INVALID – menu checklist not on file (Documents sheet)",IF(AND(AS364=3,NOT(ISNUMBER(Flights!$AX$15))),"INVALID – enter carrying flight KUL departure (Flights AX)",IF(AND(AS364=3,OR(Flights!$AZ$15&gt;Flights!$AA$15,Flights!$AX$15&lt;Flights!$AA$15-3)),"INVALID – carrying flight (Flights AX) cannot arrive before this leg's STD, or is over 3 days early",IF(AG364&gt;AsOfUTC,"INVALID – completion time is in the future",IF(AND(ISNUMBER(S364),AG364&lt;S364),IF(H364="Physical uplift","INVALID – before uplift window (cannot confirm loading)","INVALID – before valid window"),IF(AG364&gt;Flights!$AA$15,"INVALID – completed after departure (cannot establish readiness)",IF(AND(H364="Preparation",AG364&gt;IF(ISNUMBER(Flights!$BA$15),MIN(Flights!$BA$15,Flights!$AA$15),Flights!$AA$15)),"INVALID – completed after loading / departure (cannot establish readiness)",IF(AND(H364="Physical uplift",AG364&gt;Q364),"INVALID – recorded after the loading flight departed",IF(AG364&gt;Q364,"COMPLETE – LATE","COMPLETE"))))))))))))))))))))),IF(TRIM(U364)="Fail","FAIL – DISCREPANCY",IF(AND(TRIM(U364)&lt;&gt;"",TRIM(U364)&lt;&gt;"Not started",TRIM(U364)&lt;&gt;"In progress"),"INVALID – unrecognised status (use the list)",IF(AsOfUTC&gt;Q364,"OVERDUE",IF(N364="Clarification required","OPEN – CLARIFICATION","OPEN"))))))),"INVALID – error value in an input cell")</f>
        <v>OPEN</v>
      </c>
      <c r="AI364" s="61" t="n">
        <f aca="false">IF(OR(AH364="N/A – RULE",AH364="N/A – JUSTIFIED"),0,1)</f>
        <v>1</v>
      </c>
      <c r="AJ364" s="61" t="n">
        <f aca="false">IF(LEFT(AH364,8)="COMPLETE",1,0)</f>
        <v>0</v>
      </c>
      <c r="AK364" s="61" t="n">
        <f aca="false">IF(AND(AI364=1,AJ364=0,AsOfUTC&gt;Q364),1,0)</f>
        <v>0</v>
      </c>
      <c r="AL364" s="61" t="n">
        <f aca="false">IFERROR(IF(AND(AI364=1,OR(TRIM(U364)="Fail",AND(TRIM(AB364)&lt;&gt;"",TRIM(AB364)&lt;&gt;"Closed"),AND(ISNUMBER(AF364),AF364&lt;&gt;0,TRIM(U364)&lt;&gt;"Pass after CA"))),1,0),1)</f>
        <v>0</v>
      </c>
      <c r="AM364" s="61" t="n">
        <f aca="false">IF(LEFT(AH364,7)="INVALID",1,0)</f>
        <v>0</v>
      </c>
      <c r="AN364" s="61" t="n">
        <f aca="false">IF(AND(N364="Clarification required",AI364=1,AJ364=0),1,0)</f>
        <v>0</v>
      </c>
      <c r="AO364" s="61" t="str">
        <f aca="false">IF(AK364=1,SUM(AK$5:AK364),"")</f>
        <v/>
      </c>
      <c r="AP364" s="61" t="str">
        <f aca="false">IF(AL364=1,SUM(AL$5:AL364),"")</f>
        <v/>
      </c>
      <c r="AQ364" s="61" t="n">
        <v>0</v>
      </c>
      <c r="AR364" s="61" t="n">
        <v>0</v>
      </c>
      <c r="AS364" s="61" t="n">
        <v>2</v>
      </c>
      <c r="AT364" s="61" t="n">
        <v>0</v>
      </c>
      <c r="AU364" s="61" t="str">
        <f aca="false">SUBSTITUTE(SUBSTITUTE(SUBSTITUTE(SUBSTITUTE(SUBSTITUTE(SUBSTITUTE(SUBSTITUTE(SUBSTITUTE(SUBSTITUTE(SUBSTITUTE(SUBSTITUTE(SUBSTITUTE(SUBSTITUTE(LOWER(T364&amp;""),CHAR(160),"")," ",""),".",""),"-",""),"/",""),"?",""),"_",""),",",""),"[",""),"]",""),"(",""),")",""),"*","")</f>
        <v/>
      </c>
      <c r="AV364" s="61" t="str">
        <f aca="false">SUBSTITUTE(SUBSTITUTE(SUBSTITUTE(SUBSTITUTE(SUBSTITUTE(SUBSTITUTE(SUBSTITUTE(SUBSTITUTE(SUBSTITUTE(SUBSTITUTE(SUBSTITUTE(SUBSTITUTE(SUBSTITUTE(LOWER(V364&amp;""),CHAR(160),"")," ",""),".",""),"-",""),"/",""),"?",""),"_",""),",",""),"[",""),"]",""),"(",""),")",""),"*","")</f>
        <v/>
      </c>
      <c r="AW364" s="61" t="str">
        <f aca="false">SUBSTITUTE(SUBSTITUTE(SUBSTITUTE(SUBSTITUTE(SUBSTITUTE(SUBSTITUTE(SUBSTITUTE(SUBSTITUTE(SUBSTITUTE(SUBSTITUTE(SUBSTITUTE(SUBSTITUTE(SUBSTITUTE(LOWER(Z364&amp;""),CHAR(160),"")," ",""),".",""),"-",""),"/",""),"?",""),"_",""),",",""),"[",""),"]",""),"(",""),")",""),"*","")</f>
        <v/>
      </c>
      <c r="AX364" s="61" t="str">
        <f aca="false">SUBSTITUTE(SUBSTITUTE(SUBSTITUTE(SUBSTITUTE(SUBSTITUTE(SUBSTITUTE(SUBSTITUTE(SUBSTITUTE(SUBSTITUTE(SUBSTITUTE(SUBSTITUTE(SUBSTITUTE(SUBSTITUTE(LOWER(AE364&amp;""),CHAR(160),"")," ",""),".",""),"-",""),"/",""),"?",""),"_",""),",",""),"[",""),"]",""),"(",""),")",""),"*","")</f>
        <v/>
      </c>
      <c r="AY364" s="61" t="str">
        <f aca="false">SUBSTITUTE(SUBSTITUTE(SUBSTITUTE(SUBSTITUTE(SUBSTITUTE(SUBSTITUTE(SUBSTITUTE(SUBSTITUTE(SUBSTITUTE(SUBSTITUTE(SUBSTITUTE(SUBSTITUTE(SUBSTITUTE(LOWER(W364&amp;""),CHAR(160),"")," ",""),".",""),"-",""),"/",""),"?",""),"_",""),",",""),"[",""),"]",""),"(",""),")",""),"*","")</f>
        <v/>
      </c>
      <c r="AZ364" s="61" t="str">
        <f aca="false">SUBSTITUTE(SUBSTITUTE(SUBSTITUTE(SUBSTITUTE(SUBSTITUTE(SUBSTITUTE(SUBSTITUTE(SUBSTITUTE(SUBSTITUTE(SUBSTITUTE(SUBSTITUTE(SUBSTITUTE(SUBSTITUTE(LOWER(AC364&amp;""),CHAR(160),"")," ",""),".",""),"-",""),"/",""),"?",""),"_",""),",",""),"[",""),"]",""),"(",""),")",""),"*","")</f>
        <v/>
      </c>
      <c r="BA364" s="61" t="str">
        <f aca="false">SUBSTITUTE(SUBSTITUTE(SUBSTITUTE(SUBSTITUTE(SUBSTITUTE(SUBSTITUTE(SUBSTITUTE(SUBSTITUTE(SUBSTITUTE(SUBSTITUTE(SUBSTITUTE(SUBSTITUTE(SUBSTITUTE(LOWER(AA364&amp;""),CHAR(160),"")," ",""),".",""),"-",""),"/",""),"?",""),"_",""),",",""),"[",""),"]",""),"(",""),")",""),"*","")</f>
        <v/>
      </c>
      <c r="BB364" s="61" t="str">
        <f aca="false">IF(AND(TRIM(U364)="Pass",ISNUMBER(AF364)),IF(AF364&lt;&gt;0,"INVALID – qty variance: use Fail or Pass after CA",""),"")&amp;IF(AND(TRIM(U364)="Pass after CA",ISNUMBER(AF364)),IF(AF364&lt;&gt;0,"INVALID – after the corrective action the actual qty must equal expected (update Actual)",""),"")&amp;IF(AND(TRIM(U364)="Pass",TRIM(AB364)&lt;&gt;"",TRIM(AB364)&lt;&gt;"Closed"),"INVALID – corrective action not closed: use Fail, then Pass after CA","")&amp;IF(AND(TRIM(AA364)&lt;&gt;"",TRIM(AB364)=""),"INVALID – CA status missing for the recorded corrective action","")&amp;IF(AND(TRIM(U364)="Pass after CA",OR(OR(LEN(BA364)&lt;5,ISNUMBER(MATCH(BA364,L_Placeholder,0))),TRIM(AB364)&lt;&gt;"Closed")),"INVALID – corrective action not recorded/closed","")</f>
        <v/>
      </c>
    </row>
    <row r="365" customFormat="false" ht="41.25" hidden="false" customHeight="true" outlineLevel="0" collapsed="false">
      <c r="A365" s="57" t="s">
        <v>944</v>
      </c>
      <c r="B365" s="57" t="s">
        <v>255</v>
      </c>
      <c r="C365" s="57" t="str">
        <f aca="false">Flights!$F$15</f>
        <v>MH1149</v>
      </c>
      <c r="D365" s="58" t="n">
        <f aca="false">Flights!$D$15</f>
        <v>46307</v>
      </c>
      <c r="E365" s="57" t="str">
        <f aca="false">Flights!$G$15&amp;"-"&amp;Flights!$H$15</f>
        <v>PEN-KUL</v>
      </c>
      <c r="F365" s="57" t="str">
        <f aca="false">Flights!$K$15</f>
        <v>EY</v>
      </c>
      <c r="G365" s="57" t="s">
        <v>79</v>
      </c>
      <c r="H365" s="57" t="s">
        <v>356</v>
      </c>
      <c r="I365" s="57" t="s">
        <v>389</v>
      </c>
      <c r="J365" s="57" t="s">
        <v>390</v>
      </c>
      <c r="K365" s="67" t="s">
        <v>900</v>
      </c>
      <c r="L365" s="67" t="s">
        <v>901</v>
      </c>
      <c r="M365" s="67"/>
      <c r="N365" s="67" t="s">
        <v>361</v>
      </c>
      <c r="O365" s="67" t="s">
        <v>945</v>
      </c>
      <c r="P365" s="57" t="s">
        <v>184</v>
      </c>
      <c r="Q365" s="59" t="n">
        <f aca="false">ROUND((Flights!$AC$15)*1440,0)/1440</f>
        <v>46300.3263888889</v>
      </c>
      <c r="R365" s="59" t="n">
        <f aca="false">Q365+(IF(AND(INDEX(TZ_DSTS,MATCH(P365,TZ_STN,0))&lt;&gt;"",Q365&gt;=INDEX(TZ_DSTS,MATCH(P365,TZ_STN,0)),Q365&lt;INDEX(TZ_DSTE,MATCH(P365,TZ_STN,0))),INDEX(TZ_DST,MATCH(P365,TZ_STN,0)),INDEX(TZ_STD,MATCH(P365,TZ_STN,0))))/24</f>
        <v>46300.6597222222</v>
      </c>
      <c r="S365" s="59" t="n">
        <f aca="false">Q365-T7EarlyD*24/24</f>
        <v>46286.3263888889</v>
      </c>
      <c r="T365" s="60"/>
      <c r="U365" s="60"/>
      <c r="V365" s="60"/>
      <c r="W365" s="61"/>
      <c r="X365" s="60"/>
      <c r="Y365" s="60"/>
      <c r="Z365" s="60"/>
      <c r="AA365" s="60"/>
      <c r="AB365" s="60"/>
      <c r="AC365" s="60"/>
      <c r="AD365" s="66"/>
      <c r="AE365" s="60"/>
      <c r="AF365" s="61" t="str">
        <f aca="false">IF(AND(ISNUMBER(X365),ISNUMBER(Y365)),Y365-X365,"")</f>
        <v/>
      </c>
      <c r="AG365" s="62" t="str">
        <f aca="false">IF(ISNUMBER(AD365),AD365-(IF(AND(INDEX(TZ_DSTS,MATCH(P365,TZ_STN,0))&lt;&gt;"",(AD365-INDEX(TZ_STD,MATCH(P365,TZ_STN,0))/24)&gt;=INDEX(TZ_DSTS,MATCH(P365,TZ_STN,0)),(AD365-INDEX(TZ_STD,MATCH(P365,TZ_STN,0))/24)&lt;INDEX(TZ_DSTE,MATCH(P365,TZ_STN,0))),INDEX(TZ_DST,MATCH(P365,TZ_STN,0)),INDEX(TZ_STD,MATCH(P365,TZ_STN,0))))/24,"")</f>
        <v/>
      </c>
      <c r="AH365" s="65" t="str">
        <f aca="false">IFERROR(IF(N365="N/A – rule","N/A – RULE",IF(TRIM(U365)="N/A",IF(AT365=0,"INVALID – N/A not permitted for this check",IF(AND(TRIM(AB365)&lt;&gt;"",TRIM(AB365)&lt;&gt;"Closed"),"INVALID – corrective action still open",IF(AND(NOT(OR(LEN(AZ365)&lt;15,ISNUMBER(MATCH(AZ365,L_Placeholder,0)))),NOT(OR(LEN(AU365)&lt;2,ISNUMBER(MATCH(AU365,L_Placeholder,0)))),NOT(OR(LEN(AX365)&lt;2,ISNUMBER(MATCH(AX365,L_Placeholder,0)))),TRIM(AE365)&lt;&gt;TRIM(T365)),"N/A – JUSTIFIED","INVALID – N/A needs a real justification (15+ chars), PIC and a different verifier"))),IF(OR(TRIM(U365)="Pass",TRIM(U365)="Pass after CA"),IF(NOT(ISNUMBER(AD365)),"INVALID – completion time missing",IF(OR(LEN(AU365)&lt;2,ISNUMBER(MATCH(AU365,L_Placeholder,0))),"INVALID – PIC missing",IF(OR(LEN(AV365)&lt;2,ISNUMBER(MATCH(AV365,L_Placeholder,0))),"INVALID – result / assessment missing",IF(OR(OR(LEN(AW365)&lt;3,ISNUMBER(MATCH(AW365,L_Placeholder,0))),SUMPRODUCT(--ISNUMBER(SEARCH(L_EvidencePhrase,AW365)))&gt;0),"INVALID – evidence missing, placeholder or not yet on file",IF(OR(LEN(AX365)&lt;2,ISNUMBER(MATCH(AX365,L_Placeholder,0))),"INVALID – verifier missing",IF(AX365=AU365,"INVALID – verifier must be someone other than the PIC",IF(AND(TRIM(U365)="Pass",SUMPRODUCT(--ISNUMBER(SEARCH(L_ResultBad,AV365)))&gt;0),"INVALID – result describes a problem: use Fail, then Pass after CA",IF(AND(AQ365=1,OR(LEN(AY365)&lt;3,ISNUMBER(MATCH(AY365,L_Placeholder,0)))),"INVALID – batch ID missing or placeholder",IF(AND(AR365=1,OR(NOT(ISNUMBER(X365)),NOT(ISNUMBER(Y365)))),"INVALID – expected/actual qty missing",IF(AND(AR365=1,OR(X365&lt;=0,Y365&lt;0)),"INVALID – expected qty must be above 0 and actual not negative",IF(BB365&lt;&gt;"",BB365,IF(AND(AS365=1,Documents!$J$15&lt;&gt;"ON FILE"),"INVALID – GLD not on file (Documents sheet)",IF(AND(AS365=2,Documents!$O$15&lt;&gt;"ON FILE"),"INVALID – menu checklist not on file (Documents sheet)",IF(AND(AS365=3,NOT(ISNUMBER(Flights!$AX$15))),"INVALID – enter carrying flight KUL departure (Flights AX)",IF(AND(AS365=3,OR(Flights!$AZ$15&gt;Flights!$AA$15,Flights!$AX$15&lt;Flights!$AA$15-3)),"INVALID – carrying flight (Flights AX) cannot arrive before this leg's STD, or is over 3 days early",IF(AG365&gt;AsOfUTC,"INVALID – completion time is in the future",IF(AND(ISNUMBER(S365),AG365&lt;S365),IF(H365="Physical uplift","INVALID – before uplift window (cannot confirm loading)","INVALID – before valid window"),IF(AG365&gt;Flights!$AA$15,"INVALID – completed after departure (cannot establish readiness)",IF(AND(H365="Preparation",AG365&gt;IF(ISNUMBER(Flights!$BA$15),MIN(Flights!$BA$15,Flights!$AA$15),Flights!$AA$15)),"INVALID – completed after loading / departure (cannot establish readiness)",IF(AND(H365="Physical uplift",AG365&gt;Q365),"INVALID – recorded after the loading flight departed",IF(AG365&gt;Q365,"COMPLETE – LATE","COMPLETE"))))))))))))))))))))),IF(TRIM(U365)="Fail","FAIL – DISCREPANCY",IF(AND(TRIM(U365)&lt;&gt;"",TRIM(U365)&lt;&gt;"Not started",TRIM(U365)&lt;&gt;"In progress"),"INVALID – unrecognised status (use the list)",IF(AsOfUTC&gt;Q365,"OVERDUE",IF(N365="Clarification required","OPEN – CLARIFICATION","OPEN"))))))),"INVALID – error value in an input cell")</f>
        <v>OPEN</v>
      </c>
      <c r="AI365" s="61" t="n">
        <f aca="false">IF(OR(AH365="N/A – RULE",AH365="N/A – JUSTIFIED"),0,1)</f>
        <v>1</v>
      </c>
      <c r="AJ365" s="61" t="n">
        <f aca="false">IF(LEFT(AH365,8)="COMPLETE",1,0)</f>
        <v>0</v>
      </c>
      <c r="AK365" s="61" t="n">
        <f aca="false">IF(AND(AI365=1,AJ365=0,AsOfUTC&gt;Q365),1,0)</f>
        <v>0</v>
      </c>
      <c r="AL365" s="61" t="n">
        <f aca="false">IFERROR(IF(AND(AI365=1,OR(TRIM(U365)="Fail",AND(TRIM(AB365)&lt;&gt;"",TRIM(AB365)&lt;&gt;"Closed"),AND(ISNUMBER(AF365),AF365&lt;&gt;0,TRIM(U365)&lt;&gt;"Pass after CA"))),1,0),1)</f>
        <v>0</v>
      </c>
      <c r="AM365" s="61" t="n">
        <f aca="false">IF(LEFT(AH365,7)="INVALID",1,0)</f>
        <v>0</v>
      </c>
      <c r="AN365" s="61" t="n">
        <f aca="false">IF(AND(N365="Clarification required",AI365=1,AJ365=0),1,0)</f>
        <v>0</v>
      </c>
      <c r="AO365" s="61" t="str">
        <f aca="false">IF(AK365=1,SUM(AK$5:AK365),"")</f>
        <v/>
      </c>
      <c r="AP365" s="61" t="str">
        <f aca="false">IF(AL365=1,SUM(AL$5:AL365),"")</f>
        <v/>
      </c>
      <c r="AQ365" s="61" t="n">
        <v>0</v>
      </c>
      <c r="AR365" s="61" t="n">
        <v>0</v>
      </c>
      <c r="AS365" s="61" t="n">
        <v>0</v>
      </c>
      <c r="AT365" s="61" t="n">
        <v>0</v>
      </c>
      <c r="AU365" s="61" t="str">
        <f aca="false">SUBSTITUTE(SUBSTITUTE(SUBSTITUTE(SUBSTITUTE(SUBSTITUTE(SUBSTITUTE(SUBSTITUTE(SUBSTITUTE(SUBSTITUTE(SUBSTITUTE(SUBSTITUTE(SUBSTITUTE(SUBSTITUTE(LOWER(T365&amp;""),CHAR(160),"")," ",""),".",""),"-",""),"/",""),"?",""),"_",""),",",""),"[",""),"]",""),"(",""),")",""),"*","")</f>
        <v/>
      </c>
      <c r="AV365" s="61" t="str">
        <f aca="false">SUBSTITUTE(SUBSTITUTE(SUBSTITUTE(SUBSTITUTE(SUBSTITUTE(SUBSTITUTE(SUBSTITUTE(SUBSTITUTE(SUBSTITUTE(SUBSTITUTE(SUBSTITUTE(SUBSTITUTE(SUBSTITUTE(LOWER(V365&amp;""),CHAR(160),"")," ",""),".",""),"-",""),"/",""),"?",""),"_",""),",",""),"[",""),"]",""),"(",""),")",""),"*","")</f>
        <v/>
      </c>
      <c r="AW365" s="61" t="str">
        <f aca="false">SUBSTITUTE(SUBSTITUTE(SUBSTITUTE(SUBSTITUTE(SUBSTITUTE(SUBSTITUTE(SUBSTITUTE(SUBSTITUTE(SUBSTITUTE(SUBSTITUTE(SUBSTITUTE(SUBSTITUTE(SUBSTITUTE(LOWER(Z365&amp;""),CHAR(160),"")," ",""),".",""),"-",""),"/",""),"?",""),"_",""),",",""),"[",""),"]",""),"(",""),")",""),"*","")</f>
        <v/>
      </c>
      <c r="AX365" s="61" t="str">
        <f aca="false">SUBSTITUTE(SUBSTITUTE(SUBSTITUTE(SUBSTITUTE(SUBSTITUTE(SUBSTITUTE(SUBSTITUTE(SUBSTITUTE(SUBSTITUTE(SUBSTITUTE(SUBSTITUTE(SUBSTITUTE(SUBSTITUTE(LOWER(AE365&amp;""),CHAR(160),"")," ",""),".",""),"-",""),"/",""),"?",""),"_",""),",",""),"[",""),"]",""),"(",""),")",""),"*","")</f>
        <v/>
      </c>
      <c r="AY365" s="61" t="str">
        <f aca="false">SUBSTITUTE(SUBSTITUTE(SUBSTITUTE(SUBSTITUTE(SUBSTITUTE(SUBSTITUTE(SUBSTITUTE(SUBSTITUTE(SUBSTITUTE(SUBSTITUTE(SUBSTITUTE(SUBSTITUTE(SUBSTITUTE(LOWER(W365&amp;""),CHAR(160),"")," ",""),".",""),"-",""),"/",""),"?",""),"_",""),",",""),"[",""),"]",""),"(",""),")",""),"*","")</f>
        <v/>
      </c>
      <c r="AZ365" s="61" t="str">
        <f aca="false">SUBSTITUTE(SUBSTITUTE(SUBSTITUTE(SUBSTITUTE(SUBSTITUTE(SUBSTITUTE(SUBSTITUTE(SUBSTITUTE(SUBSTITUTE(SUBSTITUTE(SUBSTITUTE(SUBSTITUTE(SUBSTITUTE(LOWER(AC365&amp;""),CHAR(160),"")," ",""),".",""),"-",""),"/",""),"?",""),"_",""),",",""),"[",""),"]",""),"(",""),")",""),"*","")</f>
        <v/>
      </c>
      <c r="BA365" s="61" t="str">
        <f aca="false">SUBSTITUTE(SUBSTITUTE(SUBSTITUTE(SUBSTITUTE(SUBSTITUTE(SUBSTITUTE(SUBSTITUTE(SUBSTITUTE(SUBSTITUTE(SUBSTITUTE(SUBSTITUTE(SUBSTITUTE(SUBSTITUTE(LOWER(AA365&amp;""),CHAR(160),"")," ",""),".",""),"-",""),"/",""),"?",""),"_",""),",",""),"[",""),"]",""),"(",""),")",""),"*","")</f>
        <v/>
      </c>
      <c r="BB365" s="61" t="str">
        <f aca="false">IF(AND(TRIM(U365)="Pass",ISNUMBER(AF365)),IF(AF365&lt;&gt;0,"INVALID – qty variance: use Fail or Pass after CA",""),"")&amp;IF(AND(TRIM(U365)="Pass after CA",ISNUMBER(AF365)),IF(AF365&lt;&gt;0,"INVALID – after the corrective action the actual qty must equal expected (update Actual)",""),"")&amp;IF(AND(TRIM(U365)="Pass",TRIM(AB365)&lt;&gt;"",TRIM(AB365)&lt;&gt;"Closed"),"INVALID – corrective action not closed: use Fail, then Pass after CA","")&amp;IF(AND(TRIM(AA365)&lt;&gt;"",TRIM(AB365)=""),"INVALID – CA status missing for the recorded corrective action","")&amp;IF(AND(TRIM(U365)="Pass after CA",OR(OR(LEN(BA365)&lt;5,ISNUMBER(MATCH(BA365,L_Placeholder,0))),TRIM(AB365)&lt;&gt;"Closed")),"INVALID – corrective action not recorded/closed","")</f>
        <v/>
      </c>
    </row>
    <row r="366" customFormat="false" ht="78.75" hidden="false" customHeight="true" outlineLevel="0" collapsed="false">
      <c r="A366" s="57" t="s">
        <v>946</v>
      </c>
      <c r="B366" s="57" t="s">
        <v>255</v>
      </c>
      <c r="C366" s="57" t="str">
        <f aca="false">Flights!$F$15</f>
        <v>MH1149</v>
      </c>
      <c r="D366" s="58" t="n">
        <f aca="false">Flights!$D$15</f>
        <v>46307</v>
      </c>
      <c r="E366" s="57" t="str">
        <f aca="false">Flights!$G$15&amp;"-"&amp;Flights!$H$15</f>
        <v>PEN-KUL</v>
      </c>
      <c r="F366" s="57" t="str">
        <f aca="false">Flights!$K$15</f>
        <v>EY</v>
      </c>
      <c r="G366" s="57" t="s">
        <v>79</v>
      </c>
      <c r="H366" s="57" t="s">
        <v>356</v>
      </c>
      <c r="I366" s="57" t="s">
        <v>389</v>
      </c>
      <c r="J366" s="57" t="s">
        <v>947</v>
      </c>
      <c r="K366" s="67" t="s">
        <v>948</v>
      </c>
      <c r="L366" s="67" t="s">
        <v>901</v>
      </c>
      <c r="M366" s="67"/>
      <c r="N366" s="67" t="s">
        <v>422</v>
      </c>
      <c r="O366" s="67" t="s">
        <v>949</v>
      </c>
      <c r="P366" s="57" t="s">
        <v>184</v>
      </c>
      <c r="Q366" s="59" t="n">
        <f aca="false">ROUND((Flights!$AC$15)*1440,0)/1440</f>
        <v>46300.3263888889</v>
      </c>
      <c r="R366" s="59" t="n">
        <f aca="false">Q366+(IF(AND(INDEX(TZ_DSTS,MATCH(P366,TZ_STN,0))&lt;&gt;"",Q366&gt;=INDEX(TZ_DSTS,MATCH(P366,TZ_STN,0)),Q366&lt;INDEX(TZ_DSTE,MATCH(P366,TZ_STN,0))),INDEX(TZ_DST,MATCH(P366,TZ_STN,0)),INDEX(TZ_STD,MATCH(P366,TZ_STN,0))))/24</f>
        <v>46300.6597222222</v>
      </c>
      <c r="S366" s="59" t="n">
        <f aca="false">Q366-T7EarlyD*24/24</f>
        <v>46286.3263888889</v>
      </c>
      <c r="T366" s="60"/>
      <c r="U366" s="60"/>
      <c r="V366" s="60"/>
      <c r="W366" s="61"/>
      <c r="X366" s="60"/>
      <c r="Y366" s="60"/>
      <c r="Z366" s="60"/>
      <c r="AA366" s="60"/>
      <c r="AB366" s="60"/>
      <c r="AC366" s="60"/>
      <c r="AD366" s="66"/>
      <c r="AE366" s="60"/>
      <c r="AF366" s="61" t="str">
        <f aca="false">IF(AND(ISNUMBER(X366),ISNUMBER(Y366)),Y366-X366,"")</f>
        <v/>
      </c>
      <c r="AG366" s="62" t="str">
        <f aca="false">IF(ISNUMBER(AD366),AD366-(IF(AND(INDEX(TZ_DSTS,MATCH(P366,TZ_STN,0))&lt;&gt;"",(AD366-INDEX(TZ_STD,MATCH(P366,TZ_STN,0))/24)&gt;=INDEX(TZ_DSTS,MATCH(P366,TZ_STN,0)),(AD366-INDEX(TZ_STD,MATCH(P366,TZ_STN,0))/24)&lt;INDEX(TZ_DSTE,MATCH(P366,TZ_STN,0))),INDEX(TZ_DST,MATCH(P366,TZ_STN,0)),INDEX(TZ_STD,MATCH(P366,TZ_STN,0))))/24,"")</f>
        <v/>
      </c>
      <c r="AH366" s="65" t="str">
        <f aca="false">IFERROR(IF(N366="N/A – rule","N/A – RULE",IF(TRIM(U366)="N/A",IF(AT366=0,"INVALID – N/A not permitted for this check",IF(AND(TRIM(AB366)&lt;&gt;"",TRIM(AB366)&lt;&gt;"Closed"),"INVALID – corrective action still open",IF(AND(NOT(OR(LEN(AZ366)&lt;15,ISNUMBER(MATCH(AZ366,L_Placeholder,0)))),NOT(OR(LEN(AU366)&lt;2,ISNUMBER(MATCH(AU366,L_Placeholder,0)))),NOT(OR(LEN(AX366)&lt;2,ISNUMBER(MATCH(AX366,L_Placeholder,0)))),TRIM(AE366)&lt;&gt;TRIM(T366)),"N/A – JUSTIFIED","INVALID – N/A needs a real justification (15+ chars), PIC and a different verifier"))),IF(OR(TRIM(U366)="Pass",TRIM(U366)="Pass after CA"),IF(NOT(ISNUMBER(AD366)),"INVALID – completion time missing",IF(OR(LEN(AU366)&lt;2,ISNUMBER(MATCH(AU366,L_Placeholder,0))),"INVALID – PIC missing",IF(OR(LEN(AV366)&lt;2,ISNUMBER(MATCH(AV366,L_Placeholder,0))),"INVALID – result / assessment missing",IF(OR(OR(LEN(AW366)&lt;3,ISNUMBER(MATCH(AW366,L_Placeholder,0))),SUMPRODUCT(--ISNUMBER(SEARCH(L_EvidencePhrase,AW366)))&gt;0),"INVALID – evidence missing, placeholder or not yet on file",IF(OR(LEN(AX366)&lt;2,ISNUMBER(MATCH(AX366,L_Placeholder,0))),"INVALID – verifier missing",IF(AX366=AU366,"INVALID – verifier must be someone other than the PIC",IF(AND(TRIM(U366)="Pass",SUMPRODUCT(--ISNUMBER(SEARCH(L_ResultBad,AV366)))&gt;0),"INVALID – result describes a problem: use Fail, then Pass after CA",IF(AND(AQ366=1,OR(LEN(AY366)&lt;3,ISNUMBER(MATCH(AY366,L_Placeholder,0)))),"INVALID – batch ID missing or placeholder",IF(AND(AR366=1,OR(NOT(ISNUMBER(X366)),NOT(ISNUMBER(Y366)))),"INVALID – expected/actual qty missing",IF(AND(AR366=1,OR(X366&lt;=0,Y366&lt;0)),"INVALID – expected qty must be above 0 and actual not negative",IF(BB366&lt;&gt;"",BB366,IF(AND(AS366=1,Documents!$J$15&lt;&gt;"ON FILE"),"INVALID – GLD not on file (Documents sheet)",IF(AND(AS366=2,Documents!$O$15&lt;&gt;"ON FILE"),"INVALID – menu checklist not on file (Documents sheet)",IF(AND(AS366=3,NOT(ISNUMBER(Flights!$AX$15))),"INVALID – enter carrying flight KUL departure (Flights AX)",IF(AND(AS366=3,OR(Flights!$AZ$15&gt;Flights!$AA$15,Flights!$AX$15&lt;Flights!$AA$15-3)),"INVALID – carrying flight (Flights AX) cannot arrive before this leg's STD, or is over 3 days early",IF(AG366&gt;AsOfUTC,"INVALID – completion time is in the future",IF(AND(ISNUMBER(S366),AG366&lt;S366),IF(H366="Physical uplift","INVALID – before uplift window (cannot confirm loading)","INVALID – before valid window"),IF(AG366&gt;Flights!$AA$15,"INVALID – completed after departure (cannot establish readiness)",IF(AND(H366="Preparation",AG366&gt;IF(ISNUMBER(Flights!$BA$15),MIN(Flights!$BA$15,Flights!$AA$15),Flights!$AA$15)),"INVALID – completed after loading / departure (cannot establish readiness)",IF(AND(H366="Physical uplift",AG366&gt;Q366),"INVALID – recorded after the loading flight departed",IF(AG366&gt;Q366,"COMPLETE – LATE","COMPLETE"))))))))))))))))))))),IF(TRIM(U366)="Fail","FAIL – DISCREPANCY",IF(AND(TRIM(U366)&lt;&gt;"",TRIM(U366)&lt;&gt;"Not started",TRIM(U366)&lt;&gt;"In progress"),"INVALID – unrecognised status (use the list)",IF(AsOfUTC&gt;Q366,"OVERDUE",IF(N366="Clarification required","OPEN – CLARIFICATION","OPEN"))))))),"INVALID – error value in an input cell")</f>
        <v>OPEN – CLARIFICATION</v>
      </c>
      <c r="AI366" s="61" t="n">
        <f aca="false">IF(OR(AH366="N/A – RULE",AH366="N/A – JUSTIFIED"),0,1)</f>
        <v>1</v>
      </c>
      <c r="AJ366" s="61" t="n">
        <f aca="false">IF(LEFT(AH366,8)="COMPLETE",1,0)</f>
        <v>0</v>
      </c>
      <c r="AK366" s="61" t="n">
        <f aca="false">IF(AND(AI366=1,AJ366=0,AsOfUTC&gt;Q366),1,0)</f>
        <v>0</v>
      </c>
      <c r="AL366" s="61" t="n">
        <f aca="false">IFERROR(IF(AND(AI366=1,OR(TRIM(U366)="Fail",AND(TRIM(AB366)&lt;&gt;"",TRIM(AB366)&lt;&gt;"Closed"),AND(ISNUMBER(AF366),AF366&lt;&gt;0,TRIM(U366)&lt;&gt;"Pass after CA"))),1,0),1)</f>
        <v>0</v>
      </c>
      <c r="AM366" s="61" t="n">
        <f aca="false">IF(LEFT(AH366,7)="INVALID",1,0)</f>
        <v>0</v>
      </c>
      <c r="AN366" s="61" t="n">
        <f aca="false">IF(AND(N366="Clarification required",AI366=1,AJ366=0),1,0)</f>
        <v>1</v>
      </c>
      <c r="AO366" s="61" t="str">
        <f aca="false">IF(AK366=1,SUM(AK$5:AK366),"")</f>
        <v/>
      </c>
      <c r="AP366" s="61" t="str">
        <f aca="false">IF(AL366=1,SUM(AL$5:AL366),"")</f>
        <v/>
      </c>
      <c r="AQ366" s="61" t="n">
        <v>0</v>
      </c>
      <c r="AR366" s="61" t="n">
        <v>0</v>
      </c>
      <c r="AS366" s="61" t="n">
        <v>3</v>
      </c>
      <c r="AT366" s="61" t="n">
        <v>0</v>
      </c>
      <c r="AU366" s="61" t="str">
        <f aca="false">SUBSTITUTE(SUBSTITUTE(SUBSTITUTE(SUBSTITUTE(SUBSTITUTE(SUBSTITUTE(SUBSTITUTE(SUBSTITUTE(SUBSTITUTE(SUBSTITUTE(SUBSTITUTE(SUBSTITUTE(SUBSTITUTE(LOWER(T366&amp;""),CHAR(160),"")," ",""),".",""),"-",""),"/",""),"?",""),"_",""),",",""),"[",""),"]",""),"(",""),")",""),"*","")</f>
        <v/>
      </c>
      <c r="AV366" s="61" t="str">
        <f aca="false">SUBSTITUTE(SUBSTITUTE(SUBSTITUTE(SUBSTITUTE(SUBSTITUTE(SUBSTITUTE(SUBSTITUTE(SUBSTITUTE(SUBSTITUTE(SUBSTITUTE(SUBSTITUTE(SUBSTITUTE(SUBSTITUTE(LOWER(V366&amp;""),CHAR(160),"")," ",""),".",""),"-",""),"/",""),"?",""),"_",""),",",""),"[",""),"]",""),"(",""),")",""),"*","")</f>
        <v/>
      </c>
      <c r="AW366" s="61" t="str">
        <f aca="false">SUBSTITUTE(SUBSTITUTE(SUBSTITUTE(SUBSTITUTE(SUBSTITUTE(SUBSTITUTE(SUBSTITUTE(SUBSTITUTE(SUBSTITUTE(SUBSTITUTE(SUBSTITUTE(SUBSTITUTE(SUBSTITUTE(LOWER(Z366&amp;""),CHAR(160),"")," ",""),".",""),"-",""),"/",""),"?",""),"_",""),",",""),"[",""),"]",""),"(",""),")",""),"*","")</f>
        <v/>
      </c>
      <c r="AX366" s="61" t="str">
        <f aca="false">SUBSTITUTE(SUBSTITUTE(SUBSTITUTE(SUBSTITUTE(SUBSTITUTE(SUBSTITUTE(SUBSTITUTE(SUBSTITUTE(SUBSTITUTE(SUBSTITUTE(SUBSTITUTE(SUBSTITUTE(SUBSTITUTE(LOWER(AE366&amp;""),CHAR(160),"")," ",""),".",""),"-",""),"/",""),"?",""),"_",""),",",""),"[",""),"]",""),"(",""),")",""),"*","")</f>
        <v/>
      </c>
      <c r="AY366" s="61" t="str">
        <f aca="false">SUBSTITUTE(SUBSTITUTE(SUBSTITUTE(SUBSTITUTE(SUBSTITUTE(SUBSTITUTE(SUBSTITUTE(SUBSTITUTE(SUBSTITUTE(SUBSTITUTE(SUBSTITUTE(SUBSTITUTE(SUBSTITUTE(LOWER(W366&amp;""),CHAR(160),"")," ",""),".",""),"-",""),"/",""),"?",""),"_",""),",",""),"[",""),"]",""),"(",""),")",""),"*","")</f>
        <v/>
      </c>
      <c r="AZ366" s="61" t="str">
        <f aca="false">SUBSTITUTE(SUBSTITUTE(SUBSTITUTE(SUBSTITUTE(SUBSTITUTE(SUBSTITUTE(SUBSTITUTE(SUBSTITUTE(SUBSTITUTE(SUBSTITUTE(SUBSTITUTE(SUBSTITUTE(SUBSTITUTE(LOWER(AC366&amp;""),CHAR(160),"")," ",""),".",""),"-",""),"/",""),"?",""),"_",""),",",""),"[",""),"]",""),"(",""),")",""),"*","")</f>
        <v/>
      </c>
      <c r="BA366" s="61" t="str">
        <f aca="false">SUBSTITUTE(SUBSTITUTE(SUBSTITUTE(SUBSTITUTE(SUBSTITUTE(SUBSTITUTE(SUBSTITUTE(SUBSTITUTE(SUBSTITUTE(SUBSTITUTE(SUBSTITUTE(SUBSTITUTE(SUBSTITUTE(LOWER(AA366&amp;""),CHAR(160),"")," ",""),".",""),"-",""),"/",""),"?",""),"_",""),",",""),"[",""),"]",""),"(",""),")",""),"*","")</f>
        <v/>
      </c>
      <c r="BB366" s="61" t="str">
        <f aca="false">IF(AND(TRIM(U366)="Pass",ISNUMBER(AF366)),IF(AF366&lt;&gt;0,"INVALID – qty variance: use Fail or Pass after CA",""),"")&amp;IF(AND(TRIM(U366)="Pass after CA",ISNUMBER(AF366)),IF(AF366&lt;&gt;0,"INVALID – after the corrective action the actual qty must equal expected (update Actual)",""),"")&amp;IF(AND(TRIM(U366)="Pass",TRIM(AB366)&lt;&gt;"",TRIM(AB366)&lt;&gt;"Closed"),"INVALID – corrective action not closed: use Fail, then Pass after CA","")&amp;IF(AND(TRIM(AA366)&lt;&gt;"",TRIM(AB366)=""),"INVALID – CA status missing for the recorded corrective action","")&amp;IF(AND(TRIM(U366)="Pass after CA",OR(OR(LEN(BA366)&lt;5,ISNUMBER(MATCH(BA366,L_Placeholder,0))),TRIM(AB366)&lt;&gt;"Closed")),"INVALID – corrective action not recorded/closed","")</f>
        <v/>
      </c>
    </row>
    <row r="367" customFormat="false" ht="39.75" hidden="false" customHeight="true" outlineLevel="0" collapsed="false">
      <c r="A367" s="57" t="s">
        <v>950</v>
      </c>
      <c r="B367" s="57" t="s">
        <v>255</v>
      </c>
      <c r="C367" s="57" t="str">
        <f aca="false">Flights!$F$15</f>
        <v>MH1149</v>
      </c>
      <c r="D367" s="58" t="n">
        <f aca="false">Flights!$D$15</f>
        <v>46307</v>
      </c>
      <c r="E367" s="57" t="str">
        <f aca="false">Flights!$G$15&amp;"-"&amp;Flights!$H$15</f>
        <v>PEN-KUL</v>
      </c>
      <c r="F367" s="57" t="str">
        <f aca="false">Flights!$K$15</f>
        <v>EY</v>
      </c>
      <c r="G367" s="57" t="s">
        <v>81</v>
      </c>
      <c r="H367" s="57" t="s">
        <v>356</v>
      </c>
      <c r="I367" s="57" t="s">
        <v>357</v>
      </c>
      <c r="J367" s="57" t="s">
        <v>394</v>
      </c>
      <c r="K367" s="67" t="s">
        <v>395</v>
      </c>
      <c r="L367" s="67" t="s">
        <v>396</v>
      </c>
      <c r="M367" s="67"/>
      <c r="N367" s="67" t="s">
        <v>361</v>
      </c>
      <c r="O367" s="67" t="s">
        <v>951</v>
      </c>
      <c r="P367" s="57" t="s">
        <v>184</v>
      </c>
      <c r="Q367" s="59" t="n">
        <f aca="false">ROUND((MIN(Flights!$AD$15,Flights!$AY$15))*1440,0)/1440</f>
        <v>46306.3263888889</v>
      </c>
      <c r="R367" s="59" t="n">
        <f aca="false">Q367+(IF(AND(INDEX(TZ_DSTS,MATCH(P367,TZ_STN,0))&lt;&gt;"",Q367&gt;=INDEX(TZ_DSTS,MATCH(P367,TZ_STN,0)),Q367&lt;INDEX(TZ_DSTE,MATCH(P367,TZ_STN,0))),INDEX(TZ_DST,MATCH(P367,TZ_STN,0)),INDEX(TZ_STD,MATCH(P367,TZ_STN,0))))/24</f>
        <v>46306.6597222222</v>
      </c>
      <c r="S367" s="59" t="n">
        <f aca="false">Q367-T24EarlyH/24</f>
        <v>46305.3263888889</v>
      </c>
      <c r="T367" s="60"/>
      <c r="U367" s="60"/>
      <c r="V367" s="60"/>
      <c r="W367" s="60"/>
      <c r="X367" s="60"/>
      <c r="Y367" s="60"/>
      <c r="Z367" s="60"/>
      <c r="AA367" s="60"/>
      <c r="AB367" s="60"/>
      <c r="AC367" s="60"/>
      <c r="AD367" s="66"/>
      <c r="AE367" s="60"/>
      <c r="AF367" s="61" t="str">
        <f aca="false">IF(AND(ISNUMBER(X367),ISNUMBER(Y367)),Y367-X367,"")</f>
        <v/>
      </c>
      <c r="AG367" s="62" t="str">
        <f aca="false">IF(ISNUMBER(AD367),AD367-(IF(AND(INDEX(TZ_DSTS,MATCH(P367,TZ_STN,0))&lt;&gt;"",(AD367-INDEX(TZ_STD,MATCH(P367,TZ_STN,0))/24)&gt;=INDEX(TZ_DSTS,MATCH(P367,TZ_STN,0)),(AD367-INDEX(TZ_STD,MATCH(P367,TZ_STN,0))/24)&lt;INDEX(TZ_DSTE,MATCH(P367,TZ_STN,0))),INDEX(TZ_DST,MATCH(P367,TZ_STN,0)),INDEX(TZ_STD,MATCH(P367,TZ_STN,0))))/24,"")</f>
        <v/>
      </c>
      <c r="AH367" s="65" t="str">
        <f aca="false">IFERROR(IF(N367="N/A – rule","N/A – RULE",IF(TRIM(U367)="N/A",IF(AT367=0,"INVALID – N/A not permitted for this check",IF(AND(TRIM(AB367)&lt;&gt;"",TRIM(AB367)&lt;&gt;"Closed"),"INVALID – corrective action still open",IF(AND(NOT(OR(LEN(AZ367)&lt;15,ISNUMBER(MATCH(AZ367,L_Placeholder,0)))),NOT(OR(LEN(AU367)&lt;2,ISNUMBER(MATCH(AU367,L_Placeholder,0)))),NOT(OR(LEN(AX367)&lt;2,ISNUMBER(MATCH(AX367,L_Placeholder,0)))),TRIM(AE367)&lt;&gt;TRIM(T367)),"N/A – JUSTIFIED","INVALID – N/A needs a real justification (15+ chars), PIC and a different verifier"))),IF(OR(TRIM(U367)="Pass",TRIM(U367)="Pass after CA"),IF(NOT(ISNUMBER(AD367)),"INVALID – completion time missing",IF(OR(LEN(AU367)&lt;2,ISNUMBER(MATCH(AU367,L_Placeholder,0))),"INVALID – PIC missing",IF(OR(LEN(AV367)&lt;2,ISNUMBER(MATCH(AV367,L_Placeholder,0))),"INVALID – result / assessment missing",IF(OR(OR(LEN(AW367)&lt;3,ISNUMBER(MATCH(AW367,L_Placeholder,0))),SUMPRODUCT(--ISNUMBER(SEARCH(L_EvidencePhrase,AW367)))&gt;0),"INVALID – evidence missing, placeholder or not yet on file",IF(OR(LEN(AX367)&lt;2,ISNUMBER(MATCH(AX367,L_Placeholder,0))),"INVALID – verifier missing",IF(AX367=AU367,"INVALID – verifier must be someone other than the PIC",IF(AND(TRIM(U367)="Pass",SUMPRODUCT(--ISNUMBER(SEARCH(L_ResultBad,AV367)))&gt;0),"INVALID – result describes a problem: use Fail, then Pass after CA",IF(AND(AQ367=1,OR(LEN(AY367)&lt;3,ISNUMBER(MATCH(AY367,L_Placeholder,0)))),"INVALID – batch ID missing or placeholder",IF(AND(AR367=1,OR(NOT(ISNUMBER(X367)),NOT(ISNUMBER(Y367)))),"INVALID – expected/actual qty missing",IF(AND(AR367=1,OR(X367&lt;=0,Y367&lt;0)),"INVALID – expected qty must be above 0 and actual not negative",IF(BB367&lt;&gt;"",BB367,IF(AND(AS367=1,Documents!$J$15&lt;&gt;"ON FILE"),"INVALID – GLD not on file (Documents sheet)",IF(AND(AS367=2,Documents!$O$15&lt;&gt;"ON FILE"),"INVALID – menu checklist not on file (Documents sheet)",IF(AND(AS367=3,NOT(ISNUMBER(Flights!$AX$15))),"INVALID – enter carrying flight KUL departure (Flights AX)",IF(AND(AS367=3,OR(Flights!$AZ$15&gt;Flights!$AA$15,Flights!$AX$15&lt;Flights!$AA$15-3)),"INVALID – carrying flight (Flights AX) cannot arrive before this leg's STD, or is over 3 days early",IF(AG367&gt;AsOfUTC,"INVALID – completion time is in the future",IF(AND(ISNUMBER(S367),AG367&lt;S367),IF(H367="Physical uplift","INVALID – before uplift window (cannot confirm loading)","INVALID – before valid window"),IF(AG367&gt;Flights!$AA$15,"INVALID – completed after departure (cannot establish readiness)",IF(AND(H367="Preparation",AG367&gt;Flights!$AY$15+UpliftWindowH/24),"INVALID – completed after the carrying flight left KUL",IF(AND(H367="Physical uplift",AG367&gt;Q367),"INVALID – recorded after the loading flight departed",IF(AG367&gt;Q367,"COMPLETE – LATE","COMPLETE"))))))))))))))))))))),IF(TRIM(U367)="Fail","FAIL – DISCREPANCY",IF(AND(TRIM(U367)&lt;&gt;"",TRIM(U367)&lt;&gt;"Not started",TRIM(U367)&lt;&gt;"In progress"),"INVALID – unrecognised status (use the list)",IF(AsOfUTC&gt;Q367,"OVERDUE",IF(N367="Clarification required","OPEN – CLARIFICATION","OPEN"))))))),"INVALID – error value in an input cell")</f>
        <v>OPEN</v>
      </c>
      <c r="AI367" s="61" t="n">
        <f aca="false">IF(OR(AH367="N/A – RULE",AH367="N/A – JUSTIFIED"),0,1)</f>
        <v>1</v>
      </c>
      <c r="AJ367" s="61" t="n">
        <f aca="false">IF(LEFT(AH367,8)="COMPLETE",1,0)</f>
        <v>0</v>
      </c>
      <c r="AK367" s="61" t="n">
        <f aca="false">IF(AND(AI367=1,AJ367=0,AsOfUTC&gt;Q367),1,0)</f>
        <v>0</v>
      </c>
      <c r="AL367" s="61" t="n">
        <f aca="false">IFERROR(IF(AND(AI367=1,OR(TRIM(U367)="Fail",AND(TRIM(AB367)&lt;&gt;"",TRIM(AB367)&lt;&gt;"Closed"),AND(ISNUMBER(AF367),AF367&lt;&gt;0,TRIM(U367)&lt;&gt;"Pass after CA"))),1,0),1)</f>
        <v>0</v>
      </c>
      <c r="AM367" s="61" t="n">
        <f aca="false">IF(LEFT(AH367,7)="INVALID",1,0)</f>
        <v>0</v>
      </c>
      <c r="AN367" s="61" t="n">
        <f aca="false">IF(AND(N367="Clarification required",AI367=1,AJ367=0),1,0)</f>
        <v>0</v>
      </c>
      <c r="AO367" s="61" t="str">
        <f aca="false">IF(AK367=1,SUM(AK$5:AK367),"")</f>
        <v/>
      </c>
      <c r="AP367" s="61" t="str">
        <f aca="false">IF(AL367=1,SUM(AL$5:AL367),"")</f>
        <v/>
      </c>
      <c r="AQ367" s="61" t="n">
        <v>1</v>
      </c>
      <c r="AR367" s="61" t="n">
        <v>0</v>
      </c>
      <c r="AS367" s="61" t="n">
        <v>0</v>
      </c>
      <c r="AT367" s="61" t="n">
        <v>0</v>
      </c>
      <c r="AU367" s="61" t="str">
        <f aca="false">SUBSTITUTE(SUBSTITUTE(SUBSTITUTE(SUBSTITUTE(SUBSTITUTE(SUBSTITUTE(SUBSTITUTE(SUBSTITUTE(SUBSTITUTE(SUBSTITUTE(SUBSTITUTE(SUBSTITUTE(SUBSTITUTE(LOWER(T367&amp;""),CHAR(160),"")," ",""),".",""),"-",""),"/",""),"?",""),"_",""),",",""),"[",""),"]",""),"(",""),")",""),"*","")</f>
        <v/>
      </c>
      <c r="AV367" s="61" t="str">
        <f aca="false">SUBSTITUTE(SUBSTITUTE(SUBSTITUTE(SUBSTITUTE(SUBSTITUTE(SUBSTITUTE(SUBSTITUTE(SUBSTITUTE(SUBSTITUTE(SUBSTITUTE(SUBSTITUTE(SUBSTITUTE(SUBSTITUTE(LOWER(V367&amp;""),CHAR(160),"")," ",""),".",""),"-",""),"/",""),"?",""),"_",""),",",""),"[",""),"]",""),"(",""),")",""),"*","")</f>
        <v/>
      </c>
      <c r="AW367" s="61" t="str">
        <f aca="false">SUBSTITUTE(SUBSTITUTE(SUBSTITUTE(SUBSTITUTE(SUBSTITUTE(SUBSTITUTE(SUBSTITUTE(SUBSTITUTE(SUBSTITUTE(SUBSTITUTE(SUBSTITUTE(SUBSTITUTE(SUBSTITUTE(LOWER(Z367&amp;""),CHAR(160),"")," ",""),".",""),"-",""),"/",""),"?",""),"_",""),",",""),"[",""),"]",""),"(",""),")",""),"*","")</f>
        <v/>
      </c>
      <c r="AX367" s="61" t="str">
        <f aca="false">SUBSTITUTE(SUBSTITUTE(SUBSTITUTE(SUBSTITUTE(SUBSTITUTE(SUBSTITUTE(SUBSTITUTE(SUBSTITUTE(SUBSTITUTE(SUBSTITUTE(SUBSTITUTE(SUBSTITUTE(SUBSTITUTE(LOWER(AE367&amp;""),CHAR(160),"")," ",""),".",""),"-",""),"/",""),"?",""),"_",""),",",""),"[",""),"]",""),"(",""),")",""),"*","")</f>
        <v/>
      </c>
      <c r="AY367" s="61" t="str">
        <f aca="false">SUBSTITUTE(SUBSTITUTE(SUBSTITUTE(SUBSTITUTE(SUBSTITUTE(SUBSTITUTE(SUBSTITUTE(SUBSTITUTE(SUBSTITUTE(SUBSTITUTE(SUBSTITUTE(SUBSTITUTE(SUBSTITUTE(LOWER(W367&amp;""),CHAR(160),"")," ",""),".",""),"-",""),"/",""),"?",""),"_",""),",",""),"[",""),"]",""),"(",""),")",""),"*","")</f>
        <v/>
      </c>
      <c r="AZ367" s="61" t="str">
        <f aca="false">SUBSTITUTE(SUBSTITUTE(SUBSTITUTE(SUBSTITUTE(SUBSTITUTE(SUBSTITUTE(SUBSTITUTE(SUBSTITUTE(SUBSTITUTE(SUBSTITUTE(SUBSTITUTE(SUBSTITUTE(SUBSTITUTE(LOWER(AC367&amp;""),CHAR(160),"")," ",""),".",""),"-",""),"/",""),"?",""),"_",""),",",""),"[",""),"]",""),"(",""),")",""),"*","")</f>
        <v/>
      </c>
      <c r="BA367" s="61" t="str">
        <f aca="false">SUBSTITUTE(SUBSTITUTE(SUBSTITUTE(SUBSTITUTE(SUBSTITUTE(SUBSTITUTE(SUBSTITUTE(SUBSTITUTE(SUBSTITUTE(SUBSTITUTE(SUBSTITUTE(SUBSTITUTE(SUBSTITUTE(LOWER(AA367&amp;""),CHAR(160),"")," ",""),".",""),"-",""),"/",""),"?",""),"_",""),",",""),"[",""),"]",""),"(",""),")",""),"*","")</f>
        <v/>
      </c>
      <c r="BB367" s="61" t="str">
        <f aca="false">IF(AND(TRIM(U367)="Pass",ISNUMBER(AF367)),IF(AF367&lt;&gt;0,"INVALID – qty variance: use Fail or Pass after CA",""),"")&amp;IF(AND(TRIM(U367)="Pass after CA",ISNUMBER(AF367)),IF(AF367&lt;&gt;0,"INVALID – after the corrective action the actual qty must equal expected (update Actual)",""),"")&amp;IF(AND(TRIM(U367)="Pass",TRIM(AB367)&lt;&gt;"",TRIM(AB367)&lt;&gt;"Closed"),"INVALID – corrective action not closed: use Fail, then Pass after CA","")&amp;IF(AND(TRIM(AA367)&lt;&gt;"",TRIM(AB367)=""),"INVALID – CA status missing for the recorded corrective action","")&amp;IF(AND(TRIM(U367)="Pass after CA",OR(OR(LEN(BA367)&lt;5,ISNUMBER(MATCH(BA367,L_Placeholder,0))),TRIM(AB367)&lt;&gt;"Closed")),"INVALID – corrective action not recorded/closed","")</f>
        <v/>
      </c>
    </row>
    <row r="368" customFormat="false" ht="41.25" hidden="false" customHeight="true" outlineLevel="0" collapsed="false">
      <c r="A368" s="57" t="s">
        <v>952</v>
      </c>
      <c r="B368" s="57" t="s">
        <v>255</v>
      </c>
      <c r="C368" s="57" t="str">
        <f aca="false">Flights!$F$15</f>
        <v>MH1149</v>
      </c>
      <c r="D368" s="58" t="n">
        <f aca="false">Flights!$D$15</f>
        <v>46307</v>
      </c>
      <c r="E368" s="57" t="str">
        <f aca="false">Flights!$G$15&amp;"-"&amp;Flights!$H$15</f>
        <v>PEN-KUL</v>
      </c>
      <c r="F368" s="57" t="str">
        <f aca="false">Flights!$K$15</f>
        <v>EY</v>
      </c>
      <c r="G368" s="57" t="s">
        <v>398</v>
      </c>
      <c r="H368" s="57" t="s">
        <v>356</v>
      </c>
      <c r="I368" s="57" t="s">
        <v>357</v>
      </c>
      <c r="J368" s="57" t="s">
        <v>399</v>
      </c>
      <c r="K368" s="67"/>
      <c r="L368" s="67" t="s">
        <v>400</v>
      </c>
      <c r="M368" s="67"/>
      <c r="N368" s="67" t="s">
        <v>361</v>
      </c>
      <c r="O368" s="67" t="s">
        <v>953</v>
      </c>
      <c r="P368" s="57" t="s">
        <v>184</v>
      </c>
      <c r="Q368" s="59" t="n">
        <f aca="false">ROUND((MIN(Flights!$AE$15,Flights!$AY$15))*1440,0)/1440</f>
        <v>46306.8263888889</v>
      </c>
      <c r="R368" s="59" t="n">
        <f aca="false">Q368+(IF(AND(INDEX(TZ_DSTS,MATCH(P368,TZ_STN,0))&lt;&gt;"",Q368&gt;=INDEX(TZ_DSTS,MATCH(P368,TZ_STN,0)),Q368&lt;INDEX(TZ_DSTE,MATCH(P368,TZ_STN,0))),INDEX(TZ_DST,MATCH(P368,TZ_STN,0)),INDEX(TZ_STD,MATCH(P368,TZ_STN,0))))/24</f>
        <v>46307.1597222222</v>
      </c>
      <c r="S368" s="59" t="n">
        <f aca="false">Q368-T12EarlyH/24</f>
        <v>46306.3263888889</v>
      </c>
      <c r="T368" s="60"/>
      <c r="U368" s="60"/>
      <c r="V368" s="60"/>
      <c r="W368" s="61"/>
      <c r="X368" s="60"/>
      <c r="Y368" s="60"/>
      <c r="Z368" s="60"/>
      <c r="AA368" s="60"/>
      <c r="AB368" s="60"/>
      <c r="AC368" s="60"/>
      <c r="AD368" s="66"/>
      <c r="AE368" s="60"/>
      <c r="AF368" s="61" t="str">
        <f aca="false">IF(AND(ISNUMBER(X368),ISNUMBER(Y368)),Y368-X368,"")</f>
        <v/>
      </c>
      <c r="AG368" s="62" t="str">
        <f aca="false">IF(ISNUMBER(AD368),AD368-(IF(AND(INDEX(TZ_DSTS,MATCH(P368,TZ_STN,0))&lt;&gt;"",(AD368-INDEX(TZ_STD,MATCH(P368,TZ_STN,0))/24)&gt;=INDEX(TZ_DSTS,MATCH(P368,TZ_STN,0)),(AD368-INDEX(TZ_STD,MATCH(P368,TZ_STN,0))/24)&lt;INDEX(TZ_DSTE,MATCH(P368,TZ_STN,0))),INDEX(TZ_DST,MATCH(P368,TZ_STN,0)),INDEX(TZ_STD,MATCH(P368,TZ_STN,0))))/24,"")</f>
        <v/>
      </c>
      <c r="AH368" s="65" t="str">
        <f aca="false">IFERROR(IF(N368="N/A – rule","N/A – RULE",IF(TRIM(U368)="N/A",IF(AT368=0,"INVALID – N/A not permitted for this check",IF(AND(TRIM(AB368)&lt;&gt;"",TRIM(AB368)&lt;&gt;"Closed"),"INVALID – corrective action still open",IF(AND(NOT(OR(LEN(AZ368)&lt;15,ISNUMBER(MATCH(AZ368,L_Placeholder,0)))),NOT(OR(LEN(AU368)&lt;2,ISNUMBER(MATCH(AU368,L_Placeholder,0)))),NOT(OR(LEN(AX368)&lt;2,ISNUMBER(MATCH(AX368,L_Placeholder,0)))),TRIM(AE368)&lt;&gt;TRIM(T368)),"N/A – JUSTIFIED","INVALID – N/A needs a real justification (15+ chars), PIC and a different verifier"))),IF(OR(TRIM(U368)="Pass",TRIM(U368)="Pass after CA"),IF(NOT(ISNUMBER(AD368)),"INVALID – completion time missing",IF(OR(LEN(AU368)&lt;2,ISNUMBER(MATCH(AU368,L_Placeholder,0))),"INVALID – PIC missing",IF(OR(LEN(AV368)&lt;2,ISNUMBER(MATCH(AV368,L_Placeholder,0))),"INVALID – result / assessment missing",IF(OR(OR(LEN(AW368)&lt;3,ISNUMBER(MATCH(AW368,L_Placeholder,0))),SUMPRODUCT(--ISNUMBER(SEARCH(L_EvidencePhrase,AW368)))&gt;0),"INVALID – evidence missing, placeholder or not yet on file",IF(OR(LEN(AX368)&lt;2,ISNUMBER(MATCH(AX368,L_Placeholder,0))),"INVALID – verifier missing",IF(AX368=AU368,"INVALID – verifier must be someone other than the PIC",IF(AND(TRIM(U368)="Pass",SUMPRODUCT(--ISNUMBER(SEARCH(L_ResultBad,AV368)))&gt;0),"INVALID – result describes a problem: use Fail, then Pass after CA",IF(AND(AQ368=1,OR(LEN(AY368)&lt;3,ISNUMBER(MATCH(AY368,L_Placeholder,0)))),"INVALID – batch ID missing or placeholder",IF(AND(AR368=1,OR(NOT(ISNUMBER(X368)),NOT(ISNUMBER(Y368)))),"INVALID – expected/actual qty missing",IF(AND(AR368=1,OR(X368&lt;=0,Y368&lt;0)),"INVALID – expected qty must be above 0 and actual not negative",IF(BB368&lt;&gt;"",BB368,IF(AND(AS368=1,Documents!$J$15&lt;&gt;"ON FILE"),"INVALID – GLD not on file (Documents sheet)",IF(AND(AS368=2,Documents!$O$15&lt;&gt;"ON FILE"),"INVALID – menu checklist not on file (Documents sheet)",IF(AND(AS368=3,NOT(ISNUMBER(Flights!$AX$15))),"INVALID – enter carrying flight KUL departure (Flights AX)",IF(AND(AS368=3,OR(Flights!$AZ$15&gt;Flights!$AA$15,Flights!$AX$15&lt;Flights!$AA$15-3)),"INVALID – carrying flight (Flights AX) cannot arrive before this leg's STD, or is over 3 days early",IF(AG368&gt;AsOfUTC,"INVALID – completion time is in the future",IF(AND(ISNUMBER(S368),AG368&lt;S368),IF(H368="Physical uplift","INVALID – before uplift window (cannot confirm loading)","INVALID – before valid window"),IF(AG368&gt;Flights!$AA$15,"INVALID – completed after departure (cannot establish readiness)",IF(AND(H368="Preparation",AG368&gt;Flights!$AY$15+UpliftWindowH/24),"INVALID – completed after the carrying flight left KUL",IF(AND(H368="Physical uplift",AG368&gt;Q368),"INVALID – recorded after the loading flight departed",IF(AG368&gt;Q368,"COMPLETE – LATE","COMPLETE"))))))))))))))))))))),IF(TRIM(U368)="Fail","FAIL – DISCREPANCY",IF(AND(TRIM(U368)&lt;&gt;"",TRIM(U368)&lt;&gt;"Not started",TRIM(U368)&lt;&gt;"In progress"),"INVALID – unrecognised status (use the list)",IF(AsOfUTC&gt;Q368,"OVERDUE",IF(N368="Clarification required","OPEN – CLARIFICATION","OPEN"))))))),"INVALID – error value in an input cell")</f>
        <v>OPEN</v>
      </c>
      <c r="AI368" s="61" t="n">
        <f aca="false">IF(OR(AH368="N/A – RULE",AH368="N/A – JUSTIFIED"),0,1)</f>
        <v>1</v>
      </c>
      <c r="AJ368" s="61" t="n">
        <f aca="false">IF(LEFT(AH368,8)="COMPLETE",1,0)</f>
        <v>0</v>
      </c>
      <c r="AK368" s="61" t="n">
        <f aca="false">IF(AND(AI368=1,AJ368=0,AsOfUTC&gt;Q368),1,0)</f>
        <v>0</v>
      </c>
      <c r="AL368" s="61" t="n">
        <f aca="false">IFERROR(IF(AND(AI368=1,OR(TRIM(U368)="Fail",AND(TRIM(AB368)&lt;&gt;"",TRIM(AB368)&lt;&gt;"Closed"),AND(ISNUMBER(AF368),AF368&lt;&gt;0,TRIM(U368)&lt;&gt;"Pass after CA"))),1,0),1)</f>
        <v>0</v>
      </c>
      <c r="AM368" s="61" t="n">
        <f aca="false">IF(LEFT(AH368,7)="INVALID",1,0)</f>
        <v>0</v>
      </c>
      <c r="AN368" s="61" t="n">
        <f aca="false">IF(AND(N368="Clarification required",AI368=1,AJ368=0),1,0)</f>
        <v>0</v>
      </c>
      <c r="AO368" s="61" t="str">
        <f aca="false">IF(AK368=1,SUM(AK$5:AK368),"")</f>
        <v/>
      </c>
      <c r="AP368" s="61" t="str">
        <f aca="false">IF(AL368=1,SUM(AL$5:AL368),"")</f>
        <v/>
      </c>
      <c r="AQ368" s="61" t="n">
        <v>0</v>
      </c>
      <c r="AR368" s="61" t="n">
        <v>0</v>
      </c>
      <c r="AS368" s="61" t="n">
        <v>0</v>
      </c>
      <c r="AT368" s="61" t="n">
        <v>0</v>
      </c>
      <c r="AU368" s="61" t="str">
        <f aca="false">SUBSTITUTE(SUBSTITUTE(SUBSTITUTE(SUBSTITUTE(SUBSTITUTE(SUBSTITUTE(SUBSTITUTE(SUBSTITUTE(SUBSTITUTE(SUBSTITUTE(SUBSTITUTE(SUBSTITUTE(SUBSTITUTE(LOWER(T368&amp;""),CHAR(160),"")," ",""),".",""),"-",""),"/",""),"?",""),"_",""),",",""),"[",""),"]",""),"(",""),")",""),"*","")</f>
        <v/>
      </c>
      <c r="AV368" s="61" t="str">
        <f aca="false">SUBSTITUTE(SUBSTITUTE(SUBSTITUTE(SUBSTITUTE(SUBSTITUTE(SUBSTITUTE(SUBSTITUTE(SUBSTITUTE(SUBSTITUTE(SUBSTITUTE(SUBSTITUTE(SUBSTITUTE(SUBSTITUTE(LOWER(V368&amp;""),CHAR(160),"")," ",""),".",""),"-",""),"/",""),"?",""),"_",""),",",""),"[",""),"]",""),"(",""),")",""),"*","")</f>
        <v/>
      </c>
      <c r="AW368" s="61" t="str">
        <f aca="false">SUBSTITUTE(SUBSTITUTE(SUBSTITUTE(SUBSTITUTE(SUBSTITUTE(SUBSTITUTE(SUBSTITUTE(SUBSTITUTE(SUBSTITUTE(SUBSTITUTE(SUBSTITUTE(SUBSTITUTE(SUBSTITUTE(LOWER(Z368&amp;""),CHAR(160),"")," ",""),".",""),"-",""),"/",""),"?",""),"_",""),",",""),"[",""),"]",""),"(",""),")",""),"*","")</f>
        <v/>
      </c>
      <c r="AX368" s="61" t="str">
        <f aca="false">SUBSTITUTE(SUBSTITUTE(SUBSTITUTE(SUBSTITUTE(SUBSTITUTE(SUBSTITUTE(SUBSTITUTE(SUBSTITUTE(SUBSTITUTE(SUBSTITUTE(SUBSTITUTE(SUBSTITUTE(SUBSTITUTE(LOWER(AE368&amp;""),CHAR(160),"")," ",""),".",""),"-",""),"/",""),"?",""),"_",""),",",""),"[",""),"]",""),"(",""),")",""),"*","")</f>
        <v/>
      </c>
      <c r="AY368" s="61" t="str">
        <f aca="false">SUBSTITUTE(SUBSTITUTE(SUBSTITUTE(SUBSTITUTE(SUBSTITUTE(SUBSTITUTE(SUBSTITUTE(SUBSTITUTE(SUBSTITUTE(SUBSTITUTE(SUBSTITUTE(SUBSTITUTE(SUBSTITUTE(LOWER(W368&amp;""),CHAR(160),"")," ",""),".",""),"-",""),"/",""),"?",""),"_",""),",",""),"[",""),"]",""),"(",""),")",""),"*","")</f>
        <v/>
      </c>
      <c r="AZ368" s="61" t="str">
        <f aca="false">SUBSTITUTE(SUBSTITUTE(SUBSTITUTE(SUBSTITUTE(SUBSTITUTE(SUBSTITUTE(SUBSTITUTE(SUBSTITUTE(SUBSTITUTE(SUBSTITUTE(SUBSTITUTE(SUBSTITUTE(SUBSTITUTE(LOWER(AC368&amp;""),CHAR(160),"")," ",""),".",""),"-",""),"/",""),"?",""),"_",""),",",""),"[",""),"]",""),"(",""),")",""),"*","")</f>
        <v/>
      </c>
      <c r="BA368" s="61" t="str">
        <f aca="false">SUBSTITUTE(SUBSTITUTE(SUBSTITUTE(SUBSTITUTE(SUBSTITUTE(SUBSTITUTE(SUBSTITUTE(SUBSTITUTE(SUBSTITUTE(SUBSTITUTE(SUBSTITUTE(SUBSTITUTE(SUBSTITUTE(LOWER(AA368&amp;""),CHAR(160),"")," ",""),".",""),"-",""),"/",""),"?",""),"_",""),",",""),"[",""),"]",""),"(",""),")",""),"*","")</f>
        <v/>
      </c>
      <c r="BB368" s="61" t="str">
        <f aca="false">IF(AND(TRIM(U368)="Pass",ISNUMBER(AF368)),IF(AF368&lt;&gt;0,"INVALID – qty variance: use Fail or Pass after CA",""),"")&amp;IF(AND(TRIM(U368)="Pass after CA",ISNUMBER(AF368)),IF(AF368&lt;&gt;0,"INVALID – after the corrective action the actual qty must equal expected (update Actual)",""),"")&amp;IF(AND(TRIM(U368)="Pass",TRIM(AB368)&lt;&gt;"",TRIM(AB368)&lt;&gt;"Closed"),"INVALID – corrective action not closed: use Fail, then Pass after CA","")&amp;IF(AND(TRIM(AA368)&lt;&gt;"",TRIM(AB368)=""),"INVALID – CA status missing for the recorded corrective action","")&amp;IF(AND(TRIM(U368)="Pass after CA",OR(OR(LEN(BA368)&lt;5,ISNUMBER(MATCH(BA368,L_Placeholder,0))),TRIM(AB368)&lt;&gt;"Closed")),"INVALID – corrective action not recorded/closed","")</f>
        <v/>
      </c>
    </row>
    <row r="369" customFormat="false" ht="41.25" hidden="false" customHeight="true" outlineLevel="0" collapsed="false">
      <c r="A369" s="57" t="s">
        <v>954</v>
      </c>
      <c r="B369" s="57" t="s">
        <v>255</v>
      </c>
      <c r="C369" s="57" t="str">
        <f aca="false">Flights!$F$15</f>
        <v>MH1149</v>
      </c>
      <c r="D369" s="58" t="n">
        <f aca="false">Flights!$D$15</f>
        <v>46307</v>
      </c>
      <c r="E369" s="57" t="str">
        <f aca="false">Flights!$G$15&amp;"-"&amp;Flights!$H$15</f>
        <v>PEN-KUL</v>
      </c>
      <c r="F369" s="57" t="str">
        <f aca="false">Flights!$K$15</f>
        <v>EY</v>
      </c>
      <c r="G369" s="57" t="s">
        <v>398</v>
      </c>
      <c r="H369" s="57" t="s">
        <v>356</v>
      </c>
      <c r="I369" s="57" t="s">
        <v>357</v>
      </c>
      <c r="J369" s="57" t="s">
        <v>403</v>
      </c>
      <c r="K369" s="67" t="s">
        <v>404</v>
      </c>
      <c r="L369" s="67" t="s">
        <v>400</v>
      </c>
      <c r="M369" s="67"/>
      <c r="N369" s="67" t="s">
        <v>361</v>
      </c>
      <c r="O369" s="67" t="s">
        <v>953</v>
      </c>
      <c r="P369" s="57" t="s">
        <v>184</v>
      </c>
      <c r="Q369" s="59" t="n">
        <f aca="false">ROUND((MIN(Flights!$AE$15,Flights!$AY$15))*1440,0)/1440</f>
        <v>46306.8263888889</v>
      </c>
      <c r="R369" s="59" t="n">
        <f aca="false">Q369+(IF(AND(INDEX(TZ_DSTS,MATCH(P369,TZ_STN,0))&lt;&gt;"",Q369&gt;=INDEX(TZ_DSTS,MATCH(P369,TZ_STN,0)),Q369&lt;INDEX(TZ_DSTE,MATCH(P369,TZ_STN,0))),INDEX(TZ_DST,MATCH(P369,TZ_STN,0)),INDEX(TZ_STD,MATCH(P369,TZ_STN,0))))/24</f>
        <v>46307.1597222222</v>
      </c>
      <c r="S369" s="59" t="n">
        <f aca="false">Q369-T12EarlyH/24</f>
        <v>46306.3263888889</v>
      </c>
      <c r="T369" s="60"/>
      <c r="U369" s="60"/>
      <c r="V369" s="60"/>
      <c r="W369" s="61"/>
      <c r="X369" s="60"/>
      <c r="Y369" s="60"/>
      <c r="Z369" s="60"/>
      <c r="AA369" s="60"/>
      <c r="AB369" s="60"/>
      <c r="AC369" s="60"/>
      <c r="AD369" s="66"/>
      <c r="AE369" s="60"/>
      <c r="AF369" s="61" t="str">
        <f aca="false">IF(AND(ISNUMBER(X369),ISNUMBER(Y369)),Y369-X369,"")</f>
        <v/>
      </c>
      <c r="AG369" s="62" t="str">
        <f aca="false">IF(ISNUMBER(AD369),AD369-(IF(AND(INDEX(TZ_DSTS,MATCH(P369,TZ_STN,0))&lt;&gt;"",(AD369-INDEX(TZ_STD,MATCH(P369,TZ_STN,0))/24)&gt;=INDEX(TZ_DSTS,MATCH(P369,TZ_STN,0)),(AD369-INDEX(TZ_STD,MATCH(P369,TZ_STN,0))/24)&lt;INDEX(TZ_DSTE,MATCH(P369,TZ_STN,0))),INDEX(TZ_DST,MATCH(P369,TZ_STN,0)),INDEX(TZ_STD,MATCH(P369,TZ_STN,0))))/24,"")</f>
        <v/>
      </c>
      <c r="AH369" s="65" t="str">
        <f aca="false">IFERROR(IF(N369="N/A – rule","N/A – RULE",IF(TRIM(U369)="N/A",IF(AT369=0,"INVALID – N/A not permitted for this check",IF(AND(TRIM(AB369)&lt;&gt;"",TRIM(AB369)&lt;&gt;"Closed"),"INVALID – corrective action still open",IF(AND(NOT(OR(LEN(AZ369)&lt;15,ISNUMBER(MATCH(AZ369,L_Placeholder,0)))),NOT(OR(LEN(AU369)&lt;2,ISNUMBER(MATCH(AU369,L_Placeholder,0)))),NOT(OR(LEN(AX369)&lt;2,ISNUMBER(MATCH(AX369,L_Placeholder,0)))),TRIM(AE369)&lt;&gt;TRIM(T369)),"N/A – JUSTIFIED","INVALID – N/A needs a real justification (15+ chars), PIC and a different verifier"))),IF(OR(TRIM(U369)="Pass",TRIM(U369)="Pass after CA"),IF(NOT(ISNUMBER(AD369)),"INVALID – completion time missing",IF(OR(LEN(AU369)&lt;2,ISNUMBER(MATCH(AU369,L_Placeholder,0))),"INVALID – PIC missing",IF(OR(LEN(AV369)&lt;2,ISNUMBER(MATCH(AV369,L_Placeholder,0))),"INVALID – result / assessment missing",IF(OR(OR(LEN(AW369)&lt;3,ISNUMBER(MATCH(AW369,L_Placeholder,0))),SUMPRODUCT(--ISNUMBER(SEARCH(L_EvidencePhrase,AW369)))&gt;0),"INVALID – evidence missing, placeholder or not yet on file",IF(OR(LEN(AX369)&lt;2,ISNUMBER(MATCH(AX369,L_Placeholder,0))),"INVALID – verifier missing",IF(AX369=AU369,"INVALID – verifier must be someone other than the PIC",IF(AND(TRIM(U369)="Pass",SUMPRODUCT(--ISNUMBER(SEARCH(L_ResultBad,AV369)))&gt;0),"INVALID – result describes a problem: use Fail, then Pass after CA",IF(AND(AQ369=1,OR(LEN(AY369)&lt;3,ISNUMBER(MATCH(AY369,L_Placeholder,0)))),"INVALID – batch ID missing or placeholder",IF(AND(AR369=1,OR(NOT(ISNUMBER(X369)),NOT(ISNUMBER(Y369)))),"INVALID – expected/actual qty missing",IF(AND(AR369=1,OR(X369&lt;=0,Y369&lt;0)),"INVALID – expected qty must be above 0 and actual not negative",IF(BB369&lt;&gt;"",BB369,IF(AND(AS369=1,Documents!$J$15&lt;&gt;"ON FILE"),"INVALID – GLD not on file (Documents sheet)",IF(AND(AS369=2,Documents!$O$15&lt;&gt;"ON FILE"),"INVALID – menu checklist not on file (Documents sheet)",IF(AND(AS369=3,NOT(ISNUMBER(Flights!$AX$15))),"INVALID – enter carrying flight KUL departure (Flights AX)",IF(AND(AS369=3,OR(Flights!$AZ$15&gt;Flights!$AA$15,Flights!$AX$15&lt;Flights!$AA$15-3)),"INVALID – carrying flight (Flights AX) cannot arrive before this leg's STD, or is over 3 days early",IF(AG369&gt;AsOfUTC,"INVALID – completion time is in the future",IF(AND(ISNUMBER(S369),AG369&lt;S369),IF(H369="Physical uplift","INVALID – before uplift window (cannot confirm loading)","INVALID – before valid window"),IF(AG369&gt;Flights!$AA$15,"INVALID – completed after departure (cannot establish readiness)",IF(AND(H369="Preparation",AG369&gt;Flights!$AY$15+UpliftWindowH/24),"INVALID – completed after the carrying flight left KUL",IF(AND(H369="Physical uplift",AG369&gt;Q369),"INVALID – recorded after the loading flight departed",IF(AG369&gt;Q369,"COMPLETE – LATE","COMPLETE"))))))))))))))))))))),IF(TRIM(U369)="Fail","FAIL – DISCREPANCY",IF(AND(TRIM(U369)&lt;&gt;"",TRIM(U369)&lt;&gt;"Not started",TRIM(U369)&lt;&gt;"In progress"),"INVALID – unrecognised status (use the list)",IF(AsOfUTC&gt;Q369,"OVERDUE",IF(N369="Clarification required","OPEN – CLARIFICATION","OPEN"))))))),"INVALID – error value in an input cell")</f>
        <v>OPEN</v>
      </c>
      <c r="AI369" s="61" t="n">
        <f aca="false">IF(OR(AH369="N/A – RULE",AH369="N/A – JUSTIFIED"),0,1)</f>
        <v>1</v>
      </c>
      <c r="AJ369" s="61" t="n">
        <f aca="false">IF(LEFT(AH369,8)="COMPLETE",1,0)</f>
        <v>0</v>
      </c>
      <c r="AK369" s="61" t="n">
        <f aca="false">IF(AND(AI369=1,AJ369=0,AsOfUTC&gt;Q369),1,0)</f>
        <v>0</v>
      </c>
      <c r="AL369" s="61" t="n">
        <f aca="false">IFERROR(IF(AND(AI369=1,OR(TRIM(U369)="Fail",AND(TRIM(AB369)&lt;&gt;"",TRIM(AB369)&lt;&gt;"Closed"),AND(ISNUMBER(AF369),AF369&lt;&gt;0,TRIM(U369)&lt;&gt;"Pass after CA"))),1,0),1)</f>
        <v>0</v>
      </c>
      <c r="AM369" s="61" t="n">
        <f aca="false">IF(LEFT(AH369,7)="INVALID",1,0)</f>
        <v>0</v>
      </c>
      <c r="AN369" s="61" t="n">
        <f aca="false">IF(AND(N369="Clarification required",AI369=1,AJ369=0),1,0)</f>
        <v>0</v>
      </c>
      <c r="AO369" s="61" t="str">
        <f aca="false">IF(AK369=1,SUM(AK$5:AK369),"")</f>
        <v/>
      </c>
      <c r="AP369" s="61" t="str">
        <f aca="false">IF(AL369=1,SUM(AL$5:AL369),"")</f>
        <v/>
      </c>
      <c r="AQ369" s="61" t="n">
        <v>0</v>
      </c>
      <c r="AR369" s="61" t="n">
        <v>1</v>
      </c>
      <c r="AS369" s="61" t="n">
        <v>0</v>
      </c>
      <c r="AT369" s="61" t="n">
        <v>0</v>
      </c>
      <c r="AU369" s="61" t="str">
        <f aca="false">SUBSTITUTE(SUBSTITUTE(SUBSTITUTE(SUBSTITUTE(SUBSTITUTE(SUBSTITUTE(SUBSTITUTE(SUBSTITUTE(SUBSTITUTE(SUBSTITUTE(SUBSTITUTE(SUBSTITUTE(SUBSTITUTE(LOWER(T369&amp;""),CHAR(160),"")," ",""),".",""),"-",""),"/",""),"?",""),"_",""),",",""),"[",""),"]",""),"(",""),")",""),"*","")</f>
        <v/>
      </c>
      <c r="AV369" s="61" t="str">
        <f aca="false">SUBSTITUTE(SUBSTITUTE(SUBSTITUTE(SUBSTITUTE(SUBSTITUTE(SUBSTITUTE(SUBSTITUTE(SUBSTITUTE(SUBSTITUTE(SUBSTITUTE(SUBSTITUTE(SUBSTITUTE(SUBSTITUTE(LOWER(V369&amp;""),CHAR(160),"")," ",""),".",""),"-",""),"/",""),"?",""),"_",""),",",""),"[",""),"]",""),"(",""),")",""),"*","")</f>
        <v/>
      </c>
      <c r="AW369" s="61" t="str">
        <f aca="false">SUBSTITUTE(SUBSTITUTE(SUBSTITUTE(SUBSTITUTE(SUBSTITUTE(SUBSTITUTE(SUBSTITUTE(SUBSTITUTE(SUBSTITUTE(SUBSTITUTE(SUBSTITUTE(SUBSTITUTE(SUBSTITUTE(LOWER(Z369&amp;""),CHAR(160),"")," ",""),".",""),"-",""),"/",""),"?",""),"_",""),",",""),"[",""),"]",""),"(",""),")",""),"*","")</f>
        <v/>
      </c>
      <c r="AX369" s="61" t="str">
        <f aca="false">SUBSTITUTE(SUBSTITUTE(SUBSTITUTE(SUBSTITUTE(SUBSTITUTE(SUBSTITUTE(SUBSTITUTE(SUBSTITUTE(SUBSTITUTE(SUBSTITUTE(SUBSTITUTE(SUBSTITUTE(SUBSTITUTE(LOWER(AE369&amp;""),CHAR(160),"")," ",""),".",""),"-",""),"/",""),"?",""),"_",""),",",""),"[",""),"]",""),"(",""),")",""),"*","")</f>
        <v/>
      </c>
      <c r="AY369" s="61" t="str">
        <f aca="false">SUBSTITUTE(SUBSTITUTE(SUBSTITUTE(SUBSTITUTE(SUBSTITUTE(SUBSTITUTE(SUBSTITUTE(SUBSTITUTE(SUBSTITUTE(SUBSTITUTE(SUBSTITUTE(SUBSTITUTE(SUBSTITUTE(LOWER(W369&amp;""),CHAR(160),"")," ",""),".",""),"-",""),"/",""),"?",""),"_",""),",",""),"[",""),"]",""),"(",""),")",""),"*","")</f>
        <v/>
      </c>
      <c r="AZ369" s="61" t="str">
        <f aca="false">SUBSTITUTE(SUBSTITUTE(SUBSTITUTE(SUBSTITUTE(SUBSTITUTE(SUBSTITUTE(SUBSTITUTE(SUBSTITUTE(SUBSTITUTE(SUBSTITUTE(SUBSTITUTE(SUBSTITUTE(SUBSTITUTE(LOWER(AC369&amp;""),CHAR(160),"")," ",""),".",""),"-",""),"/",""),"?",""),"_",""),",",""),"[",""),"]",""),"(",""),")",""),"*","")</f>
        <v/>
      </c>
      <c r="BA369" s="61" t="str">
        <f aca="false">SUBSTITUTE(SUBSTITUTE(SUBSTITUTE(SUBSTITUTE(SUBSTITUTE(SUBSTITUTE(SUBSTITUTE(SUBSTITUTE(SUBSTITUTE(SUBSTITUTE(SUBSTITUTE(SUBSTITUTE(SUBSTITUTE(LOWER(AA369&amp;""),CHAR(160),"")," ",""),".",""),"-",""),"/",""),"?",""),"_",""),",",""),"[",""),"]",""),"(",""),")",""),"*","")</f>
        <v/>
      </c>
      <c r="BB369" s="61" t="str">
        <f aca="false">IF(AND(TRIM(U369)="Pass",ISNUMBER(AF369)),IF(AF369&lt;&gt;0,"INVALID – qty variance: use Fail or Pass after CA",""),"")&amp;IF(AND(TRIM(U369)="Pass after CA",ISNUMBER(AF369)),IF(AF369&lt;&gt;0,"INVALID – after the corrective action the actual qty must equal expected (update Actual)",""),"")&amp;IF(AND(TRIM(U369)="Pass",TRIM(AB369)&lt;&gt;"",TRIM(AB369)&lt;&gt;"Closed"),"INVALID – corrective action not closed: use Fail, then Pass after CA","")&amp;IF(AND(TRIM(AA369)&lt;&gt;"",TRIM(AB369)=""),"INVALID – CA status missing for the recorded corrective action","")&amp;IF(AND(TRIM(U369)="Pass after CA",OR(OR(LEN(BA369)&lt;5,ISNUMBER(MATCH(BA369,L_Placeholder,0))),TRIM(AB369)&lt;&gt;"Closed")),"INVALID – corrective action not recorded/closed","")</f>
        <v/>
      </c>
    </row>
    <row r="370" customFormat="false" ht="41.25" hidden="false" customHeight="true" outlineLevel="0" collapsed="false">
      <c r="A370" s="57" t="s">
        <v>955</v>
      </c>
      <c r="B370" s="57" t="s">
        <v>255</v>
      </c>
      <c r="C370" s="57" t="str">
        <f aca="false">Flights!$F$15</f>
        <v>MH1149</v>
      </c>
      <c r="D370" s="58" t="n">
        <f aca="false">Flights!$D$15</f>
        <v>46307</v>
      </c>
      <c r="E370" s="57" t="str">
        <f aca="false">Flights!$G$15&amp;"-"&amp;Flights!$H$15</f>
        <v>PEN-KUL</v>
      </c>
      <c r="F370" s="57" t="str">
        <f aca="false">Flights!$K$15</f>
        <v>EY</v>
      </c>
      <c r="G370" s="57" t="s">
        <v>398</v>
      </c>
      <c r="H370" s="57" t="s">
        <v>356</v>
      </c>
      <c r="I370" s="57" t="s">
        <v>406</v>
      </c>
      <c r="J370" s="57" t="s">
        <v>407</v>
      </c>
      <c r="K370" s="67"/>
      <c r="L370" s="67" t="s">
        <v>400</v>
      </c>
      <c r="M370" s="67"/>
      <c r="N370" s="67" t="s">
        <v>361</v>
      </c>
      <c r="O370" s="67" t="s">
        <v>953</v>
      </c>
      <c r="P370" s="57" t="s">
        <v>184</v>
      </c>
      <c r="Q370" s="59" t="n">
        <f aca="false">ROUND((MIN(Flights!$AE$15,Flights!$AY$15))*1440,0)/1440</f>
        <v>46306.8263888889</v>
      </c>
      <c r="R370" s="59" t="n">
        <f aca="false">Q370+(IF(AND(INDEX(TZ_DSTS,MATCH(P370,TZ_STN,0))&lt;&gt;"",Q370&gt;=INDEX(TZ_DSTS,MATCH(P370,TZ_STN,0)),Q370&lt;INDEX(TZ_DSTE,MATCH(P370,TZ_STN,0))),INDEX(TZ_DST,MATCH(P370,TZ_STN,0)),INDEX(TZ_STD,MATCH(P370,TZ_STN,0))))/24</f>
        <v>46307.1597222222</v>
      </c>
      <c r="S370" s="59" t="n">
        <f aca="false">Q370-T12EarlyH/24</f>
        <v>46306.3263888889</v>
      </c>
      <c r="T370" s="60"/>
      <c r="U370" s="60"/>
      <c r="V370" s="60"/>
      <c r="W370" s="61"/>
      <c r="X370" s="60"/>
      <c r="Y370" s="60"/>
      <c r="Z370" s="60"/>
      <c r="AA370" s="60"/>
      <c r="AB370" s="60"/>
      <c r="AC370" s="60"/>
      <c r="AD370" s="66"/>
      <c r="AE370" s="60"/>
      <c r="AF370" s="61" t="str">
        <f aca="false">IF(AND(ISNUMBER(X370),ISNUMBER(Y370)),Y370-X370,"")</f>
        <v/>
      </c>
      <c r="AG370" s="62" t="str">
        <f aca="false">IF(ISNUMBER(AD370),AD370-(IF(AND(INDEX(TZ_DSTS,MATCH(P370,TZ_STN,0))&lt;&gt;"",(AD370-INDEX(TZ_STD,MATCH(P370,TZ_STN,0))/24)&gt;=INDEX(TZ_DSTS,MATCH(P370,TZ_STN,0)),(AD370-INDEX(TZ_STD,MATCH(P370,TZ_STN,0))/24)&lt;INDEX(TZ_DSTE,MATCH(P370,TZ_STN,0))),INDEX(TZ_DST,MATCH(P370,TZ_STN,0)),INDEX(TZ_STD,MATCH(P370,TZ_STN,0))))/24,"")</f>
        <v/>
      </c>
      <c r="AH370" s="65" t="str">
        <f aca="false">IFERROR(IF(N370="N/A – rule","N/A – RULE",IF(TRIM(U370)="N/A",IF(AT370=0,"INVALID – N/A not permitted for this check",IF(AND(TRIM(AB370)&lt;&gt;"",TRIM(AB370)&lt;&gt;"Closed"),"INVALID – corrective action still open",IF(AND(NOT(OR(LEN(AZ370)&lt;15,ISNUMBER(MATCH(AZ370,L_Placeholder,0)))),NOT(OR(LEN(AU370)&lt;2,ISNUMBER(MATCH(AU370,L_Placeholder,0)))),NOT(OR(LEN(AX370)&lt;2,ISNUMBER(MATCH(AX370,L_Placeholder,0)))),TRIM(AE370)&lt;&gt;TRIM(T370)),"N/A – JUSTIFIED","INVALID – N/A needs a real justification (15+ chars), PIC and a different verifier"))),IF(OR(TRIM(U370)="Pass",TRIM(U370)="Pass after CA"),IF(NOT(ISNUMBER(AD370)),"INVALID – completion time missing",IF(OR(LEN(AU370)&lt;2,ISNUMBER(MATCH(AU370,L_Placeholder,0))),"INVALID – PIC missing",IF(OR(LEN(AV370)&lt;2,ISNUMBER(MATCH(AV370,L_Placeholder,0))),"INVALID – result / assessment missing",IF(OR(OR(LEN(AW370)&lt;3,ISNUMBER(MATCH(AW370,L_Placeholder,0))),SUMPRODUCT(--ISNUMBER(SEARCH(L_EvidencePhrase,AW370)))&gt;0),"INVALID – evidence missing, placeholder or not yet on file",IF(OR(LEN(AX370)&lt;2,ISNUMBER(MATCH(AX370,L_Placeholder,0))),"INVALID – verifier missing",IF(AX370=AU370,"INVALID – verifier must be someone other than the PIC",IF(AND(TRIM(U370)="Pass",SUMPRODUCT(--ISNUMBER(SEARCH(L_ResultBad,AV370)))&gt;0),"INVALID – result describes a problem: use Fail, then Pass after CA",IF(AND(AQ370=1,OR(LEN(AY370)&lt;3,ISNUMBER(MATCH(AY370,L_Placeholder,0)))),"INVALID – batch ID missing or placeholder",IF(AND(AR370=1,OR(NOT(ISNUMBER(X370)),NOT(ISNUMBER(Y370)))),"INVALID – expected/actual qty missing",IF(AND(AR370=1,OR(X370&lt;=0,Y370&lt;0)),"INVALID – expected qty must be above 0 and actual not negative",IF(BB370&lt;&gt;"",BB370,IF(AND(AS370=1,Documents!$J$15&lt;&gt;"ON FILE"),"INVALID – GLD not on file (Documents sheet)",IF(AND(AS370=2,Documents!$O$15&lt;&gt;"ON FILE"),"INVALID – menu checklist not on file (Documents sheet)",IF(AND(AS370=3,NOT(ISNUMBER(Flights!$AX$15))),"INVALID – enter carrying flight KUL departure (Flights AX)",IF(AND(AS370=3,OR(Flights!$AZ$15&gt;Flights!$AA$15,Flights!$AX$15&lt;Flights!$AA$15-3)),"INVALID – carrying flight (Flights AX) cannot arrive before this leg's STD, or is over 3 days early",IF(AG370&gt;AsOfUTC,"INVALID – completion time is in the future",IF(AND(ISNUMBER(S370),AG370&lt;S370),IF(H370="Physical uplift","INVALID – before uplift window (cannot confirm loading)","INVALID – before valid window"),IF(AG370&gt;Flights!$AA$15,"INVALID – completed after departure (cannot establish readiness)",IF(AND(H370="Preparation",AG370&gt;Flights!$AY$15+UpliftWindowH/24),"INVALID – completed after the carrying flight left KUL",IF(AND(H370="Physical uplift",AG370&gt;Q370),"INVALID – recorded after the loading flight departed",IF(AG370&gt;Q370,"COMPLETE – LATE","COMPLETE"))))))))))))))))))))),IF(TRIM(U370)="Fail","FAIL – DISCREPANCY",IF(AND(TRIM(U370)&lt;&gt;"",TRIM(U370)&lt;&gt;"Not started",TRIM(U370)&lt;&gt;"In progress"),"INVALID – unrecognised status (use the list)",IF(AsOfUTC&gt;Q370,"OVERDUE",IF(N370="Clarification required","OPEN – CLARIFICATION","OPEN"))))))),"INVALID – error value in an input cell")</f>
        <v>OPEN</v>
      </c>
      <c r="AI370" s="61" t="n">
        <f aca="false">IF(OR(AH370="N/A – RULE",AH370="N/A – JUSTIFIED"),0,1)</f>
        <v>1</v>
      </c>
      <c r="AJ370" s="61" t="n">
        <f aca="false">IF(LEFT(AH370,8)="COMPLETE",1,0)</f>
        <v>0</v>
      </c>
      <c r="AK370" s="61" t="n">
        <f aca="false">IF(AND(AI370=1,AJ370=0,AsOfUTC&gt;Q370),1,0)</f>
        <v>0</v>
      </c>
      <c r="AL370" s="61" t="n">
        <f aca="false">IFERROR(IF(AND(AI370=1,OR(TRIM(U370)="Fail",AND(TRIM(AB370)&lt;&gt;"",TRIM(AB370)&lt;&gt;"Closed"),AND(ISNUMBER(AF370),AF370&lt;&gt;0,TRIM(U370)&lt;&gt;"Pass after CA"))),1,0),1)</f>
        <v>0</v>
      </c>
      <c r="AM370" s="61" t="n">
        <f aca="false">IF(LEFT(AH370,7)="INVALID",1,0)</f>
        <v>0</v>
      </c>
      <c r="AN370" s="61" t="n">
        <f aca="false">IF(AND(N370="Clarification required",AI370=1,AJ370=0),1,0)</f>
        <v>0</v>
      </c>
      <c r="AO370" s="61" t="str">
        <f aca="false">IF(AK370=1,SUM(AK$5:AK370),"")</f>
        <v/>
      </c>
      <c r="AP370" s="61" t="str">
        <f aca="false">IF(AL370=1,SUM(AL$5:AL370),"")</f>
        <v/>
      </c>
      <c r="AQ370" s="61" t="n">
        <v>0</v>
      </c>
      <c r="AR370" s="61" t="n">
        <v>0</v>
      </c>
      <c r="AS370" s="61" t="n">
        <v>0</v>
      </c>
      <c r="AT370" s="61" t="n">
        <v>0</v>
      </c>
      <c r="AU370" s="61" t="str">
        <f aca="false">SUBSTITUTE(SUBSTITUTE(SUBSTITUTE(SUBSTITUTE(SUBSTITUTE(SUBSTITUTE(SUBSTITUTE(SUBSTITUTE(SUBSTITUTE(SUBSTITUTE(SUBSTITUTE(SUBSTITUTE(SUBSTITUTE(LOWER(T370&amp;""),CHAR(160),"")," ",""),".",""),"-",""),"/",""),"?",""),"_",""),",",""),"[",""),"]",""),"(",""),")",""),"*","")</f>
        <v/>
      </c>
      <c r="AV370" s="61" t="str">
        <f aca="false">SUBSTITUTE(SUBSTITUTE(SUBSTITUTE(SUBSTITUTE(SUBSTITUTE(SUBSTITUTE(SUBSTITUTE(SUBSTITUTE(SUBSTITUTE(SUBSTITUTE(SUBSTITUTE(SUBSTITUTE(SUBSTITUTE(LOWER(V370&amp;""),CHAR(160),"")," ",""),".",""),"-",""),"/",""),"?",""),"_",""),",",""),"[",""),"]",""),"(",""),")",""),"*","")</f>
        <v/>
      </c>
      <c r="AW370" s="61" t="str">
        <f aca="false">SUBSTITUTE(SUBSTITUTE(SUBSTITUTE(SUBSTITUTE(SUBSTITUTE(SUBSTITUTE(SUBSTITUTE(SUBSTITUTE(SUBSTITUTE(SUBSTITUTE(SUBSTITUTE(SUBSTITUTE(SUBSTITUTE(LOWER(Z370&amp;""),CHAR(160),"")," ",""),".",""),"-",""),"/",""),"?",""),"_",""),",",""),"[",""),"]",""),"(",""),")",""),"*","")</f>
        <v/>
      </c>
      <c r="AX370" s="61" t="str">
        <f aca="false">SUBSTITUTE(SUBSTITUTE(SUBSTITUTE(SUBSTITUTE(SUBSTITUTE(SUBSTITUTE(SUBSTITUTE(SUBSTITUTE(SUBSTITUTE(SUBSTITUTE(SUBSTITUTE(SUBSTITUTE(SUBSTITUTE(LOWER(AE370&amp;""),CHAR(160),"")," ",""),".",""),"-",""),"/",""),"?",""),"_",""),",",""),"[",""),"]",""),"(",""),")",""),"*","")</f>
        <v/>
      </c>
      <c r="AY370" s="61" t="str">
        <f aca="false">SUBSTITUTE(SUBSTITUTE(SUBSTITUTE(SUBSTITUTE(SUBSTITUTE(SUBSTITUTE(SUBSTITUTE(SUBSTITUTE(SUBSTITUTE(SUBSTITUTE(SUBSTITUTE(SUBSTITUTE(SUBSTITUTE(LOWER(W370&amp;""),CHAR(160),"")," ",""),".",""),"-",""),"/",""),"?",""),"_",""),",",""),"[",""),"]",""),"(",""),")",""),"*","")</f>
        <v/>
      </c>
      <c r="AZ370" s="61" t="str">
        <f aca="false">SUBSTITUTE(SUBSTITUTE(SUBSTITUTE(SUBSTITUTE(SUBSTITUTE(SUBSTITUTE(SUBSTITUTE(SUBSTITUTE(SUBSTITUTE(SUBSTITUTE(SUBSTITUTE(SUBSTITUTE(SUBSTITUTE(LOWER(AC370&amp;""),CHAR(160),"")," ",""),".",""),"-",""),"/",""),"?",""),"_",""),",",""),"[",""),"]",""),"(",""),")",""),"*","")</f>
        <v/>
      </c>
      <c r="BA370" s="61" t="str">
        <f aca="false">SUBSTITUTE(SUBSTITUTE(SUBSTITUTE(SUBSTITUTE(SUBSTITUTE(SUBSTITUTE(SUBSTITUTE(SUBSTITUTE(SUBSTITUTE(SUBSTITUTE(SUBSTITUTE(SUBSTITUTE(SUBSTITUTE(LOWER(AA370&amp;""),CHAR(160),"")," ",""),".",""),"-",""),"/",""),"?",""),"_",""),",",""),"[",""),"]",""),"(",""),")",""),"*","")</f>
        <v/>
      </c>
      <c r="BB370" s="61" t="str">
        <f aca="false">IF(AND(TRIM(U370)="Pass",ISNUMBER(AF370)),IF(AF370&lt;&gt;0,"INVALID – qty variance: use Fail or Pass after CA",""),"")&amp;IF(AND(TRIM(U370)="Pass after CA",ISNUMBER(AF370)),IF(AF370&lt;&gt;0,"INVALID – after the corrective action the actual qty must equal expected (update Actual)",""),"")&amp;IF(AND(TRIM(U370)="Pass",TRIM(AB370)&lt;&gt;"",TRIM(AB370)&lt;&gt;"Closed"),"INVALID – corrective action not closed: use Fail, then Pass after CA","")&amp;IF(AND(TRIM(AA370)&lt;&gt;"",TRIM(AB370)=""),"INVALID – CA status missing for the recorded corrective action","")&amp;IF(AND(TRIM(U370)="Pass after CA",OR(OR(LEN(BA370)&lt;5,ISNUMBER(MATCH(BA370,L_Placeholder,0))),TRIM(AB370)&lt;&gt;"Closed")),"INVALID – corrective action not recorded/closed","")</f>
        <v/>
      </c>
    </row>
    <row r="371" customFormat="false" ht="41.25" hidden="false" customHeight="true" outlineLevel="0" collapsed="false">
      <c r="A371" s="57" t="s">
        <v>956</v>
      </c>
      <c r="B371" s="57" t="s">
        <v>255</v>
      </c>
      <c r="C371" s="57" t="str">
        <f aca="false">Flights!$F$15</f>
        <v>MH1149</v>
      </c>
      <c r="D371" s="58" t="n">
        <f aca="false">Flights!$D$15</f>
        <v>46307</v>
      </c>
      <c r="E371" s="57" t="str">
        <f aca="false">Flights!$G$15&amp;"-"&amp;Flights!$H$15</f>
        <v>PEN-KUL</v>
      </c>
      <c r="F371" s="57" t="str">
        <f aca="false">Flights!$K$15</f>
        <v>EY</v>
      </c>
      <c r="G371" s="57" t="s">
        <v>398</v>
      </c>
      <c r="H371" s="57" t="s">
        <v>356</v>
      </c>
      <c r="I371" s="57" t="s">
        <v>406</v>
      </c>
      <c r="J371" s="57" t="s">
        <v>409</v>
      </c>
      <c r="K371" s="67"/>
      <c r="L371" s="67" t="s">
        <v>400</v>
      </c>
      <c r="M371" s="67"/>
      <c r="N371" s="67" t="s">
        <v>361</v>
      </c>
      <c r="O371" s="67" t="s">
        <v>953</v>
      </c>
      <c r="P371" s="57" t="s">
        <v>184</v>
      </c>
      <c r="Q371" s="59" t="n">
        <f aca="false">ROUND((MIN(Flights!$AE$15,Flights!$AY$15))*1440,0)/1440</f>
        <v>46306.8263888889</v>
      </c>
      <c r="R371" s="59" t="n">
        <f aca="false">Q371+(IF(AND(INDEX(TZ_DSTS,MATCH(P371,TZ_STN,0))&lt;&gt;"",Q371&gt;=INDEX(TZ_DSTS,MATCH(P371,TZ_STN,0)),Q371&lt;INDEX(TZ_DSTE,MATCH(P371,TZ_STN,0))),INDEX(TZ_DST,MATCH(P371,TZ_STN,0)),INDEX(TZ_STD,MATCH(P371,TZ_STN,0))))/24</f>
        <v>46307.1597222222</v>
      </c>
      <c r="S371" s="59" t="n">
        <f aca="false">Q371-T12EarlyH/24</f>
        <v>46306.3263888889</v>
      </c>
      <c r="T371" s="60"/>
      <c r="U371" s="60"/>
      <c r="V371" s="60"/>
      <c r="W371" s="61"/>
      <c r="X371" s="60"/>
      <c r="Y371" s="60"/>
      <c r="Z371" s="60"/>
      <c r="AA371" s="60"/>
      <c r="AB371" s="60"/>
      <c r="AC371" s="60"/>
      <c r="AD371" s="66"/>
      <c r="AE371" s="60"/>
      <c r="AF371" s="61" t="str">
        <f aca="false">IF(AND(ISNUMBER(X371),ISNUMBER(Y371)),Y371-X371,"")</f>
        <v/>
      </c>
      <c r="AG371" s="62" t="str">
        <f aca="false">IF(ISNUMBER(AD371),AD371-(IF(AND(INDEX(TZ_DSTS,MATCH(P371,TZ_STN,0))&lt;&gt;"",(AD371-INDEX(TZ_STD,MATCH(P371,TZ_STN,0))/24)&gt;=INDEX(TZ_DSTS,MATCH(P371,TZ_STN,0)),(AD371-INDEX(TZ_STD,MATCH(P371,TZ_STN,0))/24)&lt;INDEX(TZ_DSTE,MATCH(P371,TZ_STN,0))),INDEX(TZ_DST,MATCH(P371,TZ_STN,0)),INDEX(TZ_STD,MATCH(P371,TZ_STN,0))))/24,"")</f>
        <v/>
      </c>
      <c r="AH371" s="65" t="str">
        <f aca="false">IFERROR(IF(N371="N/A – rule","N/A – RULE",IF(TRIM(U371)="N/A",IF(AT371=0,"INVALID – N/A not permitted for this check",IF(AND(TRIM(AB371)&lt;&gt;"",TRIM(AB371)&lt;&gt;"Closed"),"INVALID – corrective action still open",IF(AND(NOT(OR(LEN(AZ371)&lt;15,ISNUMBER(MATCH(AZ371,L_Placeholder,0)))),NOT(OR(LEN(AU371)&lt;2,ISNUMBER(MATCH(AU371,L_Placeholder,0)))),NOT(OR(LEN(AX371)&lt;2,ISNUMBER(MATCH(AX371,L_Placeholder,0)))),TRIM(AE371)&lt;&gt;TRIM(T371)),"N/A – JUSTIFIED","INVALID – N/A needs a real justification (15+ chars), PIC and a different verifier"))),IF(OR(TRIM(U371)="Pass",TRIM(U371)="Pass after CA"),IF(NOT(ISNUMBER(AD371)),"INVALID – completion time missing",IF(OR(LEN(AU371)&lt;2,ISNUMBER(MATCH(AU371,L_Placeholder,0))),"INVALID – PIC missing",IF(OR(LEN(AV371)&lt;2,ISNUMBER(MATCH(AV371,L_Placeholder,0))),"INVALID – result / assessment missing",IF(OR(OR(LEN(AW371)&lt;3,ISNUMBER(MATCH(AW371,L_Placeholder,0))),SUMPRODUCT(--ISNUMBER(SEARCH(L_EvidencePhrase,AW371)))&gt;0),"INVALID – evidence missing, placeholder or not yet on file",IF(OR(LEN(AX371)&lt;2,ISNUMBER(MATCH(AX371,L_Placeholder,0))),"INVALID – verifier missing",IF(AX371=AU371,"INVALID – verifier must be someone other than the PIC",IF(AND(TRIM(U371)="Pass",SUMPRODUCT(--ISNUMBER(SEARCH(L_ResultBad,AV371)))&gt;0),"INVALID – result describes a problem: use Fail, then Pass after CA",IF(AND(AQ371=1,OR(LEN(AY371)&lt;3,ISNUMBER(MATCH(AY371,L_Placeholder,0)))),"INVALID – batch ID missing or placeholder",IF(AND(AR371=1,OR(NOT(ISNUMBER(X371)),NOT(ISNUMBER(Y371)))),"INVALID – expected/actual qty missing",IF(AND(AR371=1,OR(X371&lt;=0,Y371&lt;0)),"INVALID – expected qty must be above 0 and actual not negative",IF(BB371&lt;&gt;"",BB371,IF(AND(AS371=1,Documents!$J$15&lt;&gt;"ON FILE"),"INVALID – GLD not on file (Documents sheet)",IF(AND(AS371=2,Documents!$O$15&lt;&gt;"ON FILE"),"INVALID – menu checklist not on file (Documents sheet)",IF(AND(AS371=3,NOT(ISNUMBER(Flights!$AX$15))),"INVALID – enter carrying flight KUL departure (Flights AX)",IF(AND(AS371=3,OR(Flights!$AZ$15&gt;Flights!$AA$15,Flights!$AX$15&lt;Flights!$AA$15-3)),"INVALID – carrying flight (Flights AX) cannot arrive before this leg's STD, or is over 3 days early",IF(AG371&gt;AsOfUTC,"INVALID – completion time is in the future",IF(AND(ISNUMBER(S371),AG371&lt;S371),IF(H371="Physical uplift","INVALID – before uplift window (cannot confirm loading)","INVALID – before valid window"),IF(AG371&gt;Flights!$AA$15,"INVALID – completed after departure (cannot establish readiness)",IF(AND(H371="Preparation",AG371&gt;Flights!$AY$15+UpliftWindowH/24),"INVALID – completed after the carrying flight left KUL",IF(AND(H371="Physical uplift",AG371&gt;Q371),"INVALID – recorded after the loading flight departed",IF(AG371&gt;Q371,"COMPLETE – LATE","COMPLETE"))))))))))))))))))))),IF(TRIM(U371)="Fail","FAIL – DISCREPANCY",IF(AND(TRIM(U371)&lt;&gt;"",TRIM(U371)&lt;&gt;"Not started",TRIM(U371)&lt;&gt;"In progress"),"INVALID – unrecognised status (use the list)",IF(AsOfUTC&gt;Q371,"OVERDUE",IF(N371="Clarification required","OPEN – CLARIFICATION","OPEN"))))))),"INVALID – error value in an input cell")</f>
        <v>OPEN</v>
      </c>
      <c r="AI371" s="61" t="n">
        <f aca="false">IF(OR(AH371="N/A – RULE",AH371="N/A – JUSTIFIED"),0,1)</f>
        <v>1</v>
      </c>
      <c r="AJ371" s="61" t="n">
        <f aca="false">IF(LEFT(AH371,8)="COMPLETE",1,0)</f>
        <v>0</v>
      </c>
      <c r="AK371" s="61" t="n">
        <f aca="false">IF(AND(AI371=1,AJ371=0,AsOfUTC&gt;Q371),1,0)</f>
        <v>0</v>
      </c>
      <c r="AL371" s="61" t="n">
        <f aca="false">IFERROR(IF(AND(AI371=1,OR(TRIM(U371)="Fail",AND(TRIM(AB371)&lt;&gt;"",TRIM(AB371)&lt;&gt;"Closed"),AND(ISNUMBER(AF371),AF371&lt;&gt;0,TRIM(U371)&lt;&gt;"Pass after CA"))),1,0),1)</f>
        <v>0</v>
      </c>
      <c r="AM371" s="61" t="n">
        <f aca="false">IF(LEFT(AH371,7)="INVALID",1,0)</f>
        <v>0</v>
      </c>
      <c r="AN371" s="61" t="n">
        <f aca="false">IF(AND(N371="Clarification required",AI371=1,AJ371=0),1,0)</f>
        <v>0</v>
      </c>
      <c r="AO371" s="61" t="str">
        <f aca="false">IF(AK371=1,SUM(AK$5:AK371),"")</f>
        <v/>
      </c>
      <c r="AP371" s="61" t="str">
        <f aca="false">IF(AL371=1,SUM(AL$5:AL371),"")</f>
        <v/>
      </c>
      <c r="AQ371" s="61" t="n">
        <v>0</v>
      </c>
      <c r="AR371" s="61" t="n">
        <v>0</v>
      </c>
      <c r="AS371" s="61" t="n">
        <v>0</v>
      </c>
      <c r="AT371" s="61" t="n">
        <v>0</v>
      </c>
      <c r="AU371" s="61" t="str">
        <f aca="false">SUBSTITUTE(SUBSTITUTE(SUBSTITUTE(SUBSTITUTE(SUBSTITUTE(SUBSTITUTE(SUBSTITUTE(SUBSTITUTE(SUBSTITUTE(SUBSTITUTE(SUBSTITUTE(SUBSTITUTE(SUBSTITUTE(LOWER(T371&amp;""),CHAR(160),"")," ",""),".",""),"-",""),"/",""),"?",""),"_",""),",",""),"[",""),"]",""),"(",""),")",""),"*","")</f>
        <v/>
      </c>
      <c r="AV371" s="61" t="str">
        <f aca="false">SUBSTITUTE(SUBSTITUTE(SUBSTITUTE(SUBSTITUTE(SUBSTITUTE(SUBSTITUTE(SUBSTITUTE(SUBSTITUTE(SUBSTITUTE(SUBSTITUTE(SUBSTITUTE(SUBSTITUTE(SUBSTITUTE(LOWER(V371&amp;""),CHAR(160),"")," ",""),".",""),"-",""),"/",""),"?",""),"_",""),",",""),"[",""),"]",""),"(",""),")",""),"*","")</f>
        <v/>
      </c>
      <c r="AW371" s="61" t="str">
        <f aca="false">SUBSTITUTE(SUBSTITUTE(SUBSTITUTE(SUBSTITUTE(SUBSTITUTE(SUBSTITUTE(SUBSTITUTE(SUBSTITUTE(SUBSTITUTE(SUBSTITUTE(SUBSTITUTE(SUBSTITUTE(SUBSTITUTE(LOWER(Z371&amp;""),CHAR(160),"")," ",""),".",""),"-",""),"/",""),"?",""),"_",""),",",""),"[",""),"]",""),"(",""),")",""),"*","")</f>
        <v/>
      </c>
      <c r="AX371" s="61" t="str">
        <f aca="false">SUBSTITUTE(SUBSTITUTE(SUBSTITUTE(SUBSTITUTE(SUBSTITUTE(SUBSTITUTE(SUBSTITUTE(SUBSTITUTE(SUBSTITUTE(SUBSTITUTE(SUBSTITUTE(SUBSTITUTE(SUBSTITUTE(LOWER(AE371&amp;""),CHAR(160),"")," ",""),".",""),"-",""),"/",""),"?",""),"_",""),",",""),"[",""),"]",""),"(",""),")",""),"*","")</f>
        <v/>
      </c>
      <c r="AY371" s="61" t="str">
        <f aca="false">SUBSTITUTE(SUBSTITUTE(SUBSTITUTE(SUBSTITUTE(SUBSTITUTE(SUBSTITUTE(SUBSTITUTE(SUBSTITUTE(SUBSTITUTE(SUBSTITUTE(SUBSTITUTE(SUBSTITUTE(SUBSTITUTE(LOWER(W371&amp;""),CHAR(160),"")," ",""),".",""),"-",""),"/",""),"?",""),"_",""),",",""),"[",""),"]",""),"(",""),")",""),"*","")</f>
        <v/>
      </c>
      <c r="AZ371" s="61" t="str">
        <f aca="false">SUBSTITUTE(SUBSTITUTE(SUBSTITUTE(SUBSTITUTE(SUBSTITUTE(SUBSTITUTE(SUBSTITUTE(SUBSTITUTE(SUBSTITUTE(SUBSTITUTE(SUBSTITUTE(SUBSTITUTE(SUBSTITUTE(LOWER(AC371&amp;""),CHAR(160),"")," ",""),".",""),"-",""),"/",""),"?",""),"_",""),",",""),"[",""),"]",""),"(",""),")",""),"*","")</f>
        <v/>
      </c>
      <c r="BA371" s="61" t="str">
        <f aca="false">SUBSTITUTE(SUBSTITUTE(SUBSTITUTE(SUBSTITUTE(SUBSTITUTE(SUBSTITUTE(SUBSTITUTE(SUBSTITUTE(SUBSTITUTE(SUBSTITUTE(SUBSTITUTE(SUBSTITUTE(SUBSTITUTE(LOWER(AA371&amp;""),CHAR(160),"")," ",""),".",""),"-",""),"/",""),"?",""),"_",""),",",""),"[",""),"]",""),"(",""),")",""),"*","")</f>
        <v/>
      </c>
      <c r="BB371" s="61" t="str">
        <f aca="false">IF(AND(TRIM(U371)="Pass",ISNUMBER(AF371)),IF(AF371&lt;&gt;0,"INVALID – qty variance: use Fail or Pass after CA",""),"")&amp;IF(AND(TRIM(U371)="Pass after CA",ISNUMBER(AF371)),IF(AF371&lt;&gt;0,"INVALID – after the corrective action the actual qty must equal expected (update Actual)",""),"")&amp;IF(AND(TRIM(U371)="Pass",TRIM(AB371)&lt;&gt;"",TRIM(AB371)&lt;&gt;"Closed"),"INVALID – corrective action not closed: use Fail, then Pass after CA","")&amp;IF(AND(TRIM(AA371)&lt;&gt;"",TRIM(AB371)=""),"INVALID – CA status missing for the recorded corrective action","")&amp;IF(AND(TRIM(U371)="Pass after CA",OR(OR(LEN(BA371)&lt;5,ISNUMBER(MATCH(BA371,L_Placeholder,0))),TRIM(AB371)&lt;&gt;"Closed")),"INVALID – corrective action not recorded/closed","")</f>
        <v/>
      </c>
    </row>
    <row r="372" customFormat="false" ht="41.25" hidden="false" customHeight="true" outlineLevel="0" collapsed="false">
      <c r="A372" s="57" t="s">
        <v>957</v>
      </c>
      <c r="B372" s="57" t="s">
        <v>255</v>
      </c>
      <c r="C372" s="57" t="str">
        <f aca="false">Flights!$F$15</f>
        <v>MH1149</v>
      </c>
      <c r="D372" s="58" t="n">
        <f aca="false">Flights!$D$15</f>
        <v>46307</v>
      </c>
      <c r="E372" s="57" t="str">
        <f aca="false">Flights!$G$15&amp;"-"&amp;Flights!$H$15</f>
        <v>PEN-KUL</v>
      </c>
      <c r="F372" s="57" t="str">
        <f aca="false">Flights!$K$15</f>
        <v>EY</v>
      </c>
      <c r="G372" s="57" t="s">
        <v>398</v>
      </c>
      <c r="H372" s="57" t="s">
        <v>356</v>
      </c>
      <c r="I372" s="57" t="s">
        <v>406</v>
      </c>
      <c r="J372" s="57" t="s">
        <v>411</v>
      </c>
      <c r="K372" s="67"/>
      <c r="L372" s="67" t="s">
        <v>400</v>
      </c>
      <c r="M372" s="67"/>
      <c r="N372" s="67" t="s">
        <v>361</v>
      </c>
      <c r="O372" s="67" t="s">
        <v>953</v>
      </c>
      <c r="P372" s="57" t="s">
        <v>184</v>
      </c>
      <c r="Q372" s="59" t="n">
        <f aca="false">ROUND((MIN(Flights!$AE$15,Flights!$AY$15))*1440,0)/1440</f>
        <v>46306.8263888889</v>
      </c>
      <c r="R372" s="59" t="n">
        <f aca="false">Q372+(IF(AND(INDEX(TZ_DSTS,MATCH(P372,TZ_STN,0))&lt;&gt;"",Q372&gt;=INDEX(TZ_DSTS,MATCH(P372,TZ_STN,0)),Q372&lt;INDEX(TZ_DSTE,MATCH(P372,TZ_STN,0))),INDEX(TZ_DST,MATCH(P372,TZ_STN,0)),INDEX(TZ_STD,MATCH(P372,TZ_STN,0))))/24</f>
        <v>46307.1597222222</v>
      </c>
      <c r="S372" s="59" t="n">
        <f aca="false">Q372-T12EarlyH/24</f>
        <v>46306.3263888889</v>
      </c>
      <c r="T372" s="60"/>
      <c r="U372" s="60"/>
      <c r="V372" s="60"/>
      <c r="W372" s="61"/>
      <c r="X372" s="60"/>
      <c r="Y372" s="60"/>
      <c r="Z372" s="60"/>
      <c r="AA372" s="60"/>
      <c r="AB372" s="60"/>
      <c r="AC372" s="60"/>
      <c r="AD372" s="66"/>
      <c r="AE372" s="60"/>
      <c r="AF372" s="61" t="str">
        <f aca="false">IF(AND(ISNUMBER(X372),ISNUMBER(Y372)),Y372-X372,"")</f>
        <v/>
      </c>
      <c r="AG372" s="62" t="str">
        <f aca="false">IF(ISNUMBER(AD372),AD372-(IF(AND(INDEX(TZ_DSTS,MATCH(P372,TZ_STN,0))&lt;&gt;"",(AD372-INDEX(TZ_STD,MATCH(P372,TZ_STN,0))/24)&gt;=INDEX(TZ_DSTS,MATCH(P372,TZ_STN,0)),(AD372-INDEX(TZ_STD,MATCH(P372,TZ_STN,0))/24)&lt;INDEX(TZ_DSTE,MATCH(P372,TZ_STN,0))),INDEX(TZ_DST,MATCH(P372,TZ_STN,0)),INDEX(TZ_STD,MATCH(P372,TZ_STN,0))))/24,"")</f>
        <v/>
      </c>
      <c r="AH372" s="65" t="str">
        <f aca="false">IFERROR(IF(N372="N/A – rule","N/A – RULE",IF(TRIM(U372)="N/A",IF(AT372=0,"INVALID – N/A not permitted for this check",IF(AND(TRIM(AB372)&lt;&gt;"",TRIM(AB372)&lt;&gt;"Closed"),"INVALID – corrective action still open",IF(AND(NOT(OR(LEN(AZ372)&lt;15,ISNUMBER(MATCH(AZ372,L_Placeholder,0)))),NOT(OR(LEN(AU372)&lt;2,ISNUMBER(MATCH(AU372,L_Placeholder,0)))),NOT(OR(LEN(AX372)&lt;2,ISNUMBER(MATCH(AX372,L_Placeholder,0)))),TRIM(AE372)&lt;&gt;TRIM(T372)),"N/A – JUSTIFIED","INVALID – N/A needs a real justification (15+ chars), PIC and a different verifier"))),IF(OR(TRIM(U372)="Pass",TRIM(U372)="Pass after CA"),IF(NOT(ISNUMBER(AD372)),"INVALID – completion time missing",IF(OR(LEN(AU372)&lt;2,ISNUMBER(MATCH(AU372,L_Placeholder,0))),"INVALID – PIC missing",IF(OR(LEN(AV372)&lt;2,ISNUMBER(MATCH(AV372,L_Placeholder,0))),"INVALID – result / assessment missing",IF(OR(OR(LEN(AW372)&lt;3,ISNUMBER(MATCH(AW372,L_Placeholder,0))),SUMPRODUCT(--ISNUMBER(SEARCH(L_EvidencePhrase,AW372)))&gt;0),"INVALID – evidence missing, placeholder or not yet on file",IF(OR(LEN(AX372)&lt;2,ISNUMBER(MATCH(AX372,L_Placeholder,0))),"INVALID – verifier missing",IF(AX372=AU372,"INVALID – verifier must be someone other than the PIC",IF(AND(TRIM(U372)="Pass",SUMPRODUCT(--ISNUMBER(SEARCH(L_ResultBad,AV372)))&gt;0),"INVALID – result describes a problem: use Fail, then Pass after CA",IF(AND(AQ372=1,OR(LEN(AY372)&lt;3,ISNUMBER(MATCH(AY372,L_Placeholder,0)))),"INVALID – batch ID missing or placeholder",IF(AND(AR372=1,OR(NOT(ISNUMBER(X372)),NOT(ISNUMBER(Y372)))),"INVALID – expected/actual qty missing",IF(AND(AR372=1,OR(X372&lt;=0,Y372&lt;0)),"INVALID – expected qty must be above 0 and actual not negative",IF(BB372&lt;&gt;"",BB372,IF(AND(AS372=1,Documents!$J$15&lt;&gt;"ON FILE"),"INVALID – GLD not on file (Documents sheet)",IF(AND(AS372=2,Documents!$O$15&lt;&gt;"ON FILE"),"INVALID – menu checklist not on file (Documents sheet)",IF(AND(AS372=3,NOT(ISNUMBER(Flights!$AX$15))),"INVALID – enter carrying flight KUL departure (Flights AX)",IF(AND(AS372=3,OR(Flights!$AZ$15&gt;Flights!$AA$15,Flights!$AX$15&lt;Flights!$AA$15-3)),"INVALID – carrying flight (Flights AX) cannot arrive before this leg's STD, or is over 3 days early",IF(AG372&gt;AsOfUTC,"INVALID – completion time is in the future",IF(AND(ISNUMBER(S372),AG372&lt;S372),IF(H372="Physical uplift","INVALID – before uplift window (cannot confirm loading)","INVALID – before valid window"),IF(AG372&gt;Flights!$AA$15,"INVALID – completed after departure (cannot establish readiness)",IF(AND(H372="Preparation",AG372&gt;Flights!$AY$15+UpliftWindowH/24),"INVALID – completed after the carrying flight left KUL",IF(AND(H372="Physical uplift",AG372&gt;Q372),"INVALID – recorded after the loading flight departed",IF(AG372&gt;Q372,"COMPLETE – LATE","COMPLETE"))))))))))))))))))))),IF(TRIM(U372)="Fail","FAIL – DISCREPANCY",IF(AND(TRIM(U372)&lt;&gt;"",TRIM(U372)&lt;&gt;"Not started",TRIM(U372)&lt;&gt;"In progress"),"INVALID – unrecognised status (use the list)",IF(AsOfUTC&gt;Q372,"OVERDUE",IF(N372="Clarification required","OPEN – CLARIFICATION","OPEN"))))))),"INVALID – error value in an input cell")</f>
        <v>OPEN</v>
      </c>
      <c r="AI372" s="61" t="n">
        <f aca="false">IF(OR(AH372="N/A – RULE",AH372="N/A – JUSTIFIED"),0,1)</f>
        <v>1</v>
      </c>
      <c r="AJ372" s="61" t="n">
        <f aca="false">IF(LEFT(AH372,8)="COMPLETE",1,0)</f>
        <v>0</v>
      </c>
      <c r="AK372" s="61" t="n">
        <f aca="false">IF(AND(AI372=1,AJ372=0,AsOfUTC&gt;Q372),1,0)</f>
        <v>0</v>
      </c>
      <c r="AL372" s="61" t="n">
        <f aca="false">IFERROR(IF(AND(AI372=1,OR(TRIM(U372)="Fail",AND(TRIM(AB372)&lt;&gt;"",TRIM(AB372)&lt;&gt;"Closed"),AND(ISNUMBER(AF372),AF372&lt;&gt;0,TRIM(U372)&lt;&gt;"Pass after CA"))),1,0),1)</f>
        <v>0</v>
      </c>
      <c r="AM372" s="61" t="n">
        <f aca="false">IF(LEFT(AH372,7)="INVALID",1,0)</f>
        <v>0</v>
      </c>
      <c r="AN372" s="61" t="n">
        <f aca="false">IF(AND(N372="Clarification required",AI372=1,AJ372=0),1,0)</f>
        <v>0</v>
      </c>
      <c r="AO372" s="61" t="str">
        <f aca="false">IF(AK372=1,SUM(AK$5:AK372),"")</f>
        <v/>
      </c>
      <c r="AP372" s="61" t="str">
        <f aca="false">IF(AL372=1,SUM(AL$5:AL372),"")</f>
        <v/>
      </c>
      <c r="AQ372" s="61" t="n">
        <v>0</v>
      </c>
      <c r="AR372" s="61" t="n">
        <v>0</v>
      </c>
      <c r="AS372" s="61" t="n">
        <v>0</v>
      </c>
      <c r="AT372" s="61" t="n">
        <v>0</v>
      </c>
      <c r="AU372" s="61" t="str">
        <f aca="false">SUBSTITUTE(SUBSTITUTE(SUBSTITUTE(SUBSTITUTE(SUBSTITUTE(SUBSTITUTE(SUBSTITUTE(SUBSTITUTE(SUBSTITUTE(SUBSTITUTE(SUBSTITUTE(SUBSTITUTE(SUBSTITUTE(LOWER(T372&amp;""),CHAR(160),"")," ",""),".",""),"-",""),"/",""),"?",""),"_",""),",",""),"[",""),"]",""),"(",""),")",""),"*","")</f>
        <v/>
      </c>
      <c r="AV372" s="61" t="str">
        <f aca="false">SUBSTITUTE(SUBSTITUTE(SUBSTITUTE(SUBSTITUTE(SUBSTITUTE(SUBSTITUTE(SUBSTITUTE(SUBSTITUTE(SUBSTITUTE(SUBSTITUTE(SUBSTITUTE(SUBSTITUTE(SUBSTITUTE(LOWER(V372&amp;""),CHAR(160),"")," ",""),".",""),"-",""),"/",""),"?",""),"_",""),",",""),"[",""),"]",""),"(",""),")",""),"*","")</f>
        <v/>
      </c>
      <c r="AW372" s="61" t="str">
        <f aca="false">SUBSTITUTE(SUBSTITUTE(SUBSTITUTE(SUBSTITUTE(SUBSTITUTE(SUBSTITUTE(SUBSTITUTE(SUBSTITUTE(SUBSTITUTE(SUBSTITUTE(SUBSTITUTE(SUBSTITUTE(SUBSTITUTE(LOWER(Z372&amp;""),CHAR(160),"")," ",""),".",""),"-",""),"/",""),"?",""),"_",""),",",""),"[",""),"]",""),"(",""),")",""),"*","")</f>
        <v/>
      </c>
      <c r="AX372" s="61" t="str">
        <f aca="false">SUBSTITUTE(SUBSTITUTE(SUBSTITUTE(SUBSTITUTE(SUBSTITUTE(SUBSTITUTE(SUBSTITUTE(SUBSTITUTE(SUBSTITUTE(SUBSTITUTE(SUBSTITUTE(SUBSTITUTE(SUBSTITUTE(LOWER(AE372&amp;""),CHAR(160),"")," ",""),".",""),"-",""),"/",""),"?",""),"_",""),",",""),"[",""),"]",""),"(",""),")",""),"*","")</f>
        <v/>
      </c>
      <c r="AY372" s="61" t="str">
        <f aca="false">SUBSTITUTE(SUBSTITUTE(SUBSTITUTE(SUBSTITUTE(SUBSTITUTE(SUBSTITUTE(SUBSTITUTE(SUBSTITUTE(SUBSTITUTE(SUBSTITUTE(SUBSTITUTE(SUBSTITUTE(SUBSTITUTE(LOWER(W372&amp;""),CHAR(160),"")," ",""),".",""),"-",""),"/",""),"?",""),"_",""),",",""),"[",""),"]",""),"(",""),")",""),"*","")</f>
        <v/>
      </c>
      <c r="AZ372" s="61" t="str">
        <f aca="false">SUBSTITUTE(SUBSTITUTE(SUBSTITUTE(SUBSTITUTE(SUBSTITUTE(SUBSTITUTE(SUBSTITUTE(SUBSTITUTE(SUBSTITUTE(SUBSTITUTE(SUBSTITUTE(SUBSTITUTE(SUBSTITUTE(LOWER(AC372&amp;""),CHAR(160),"")," ",""),".",""),"-",""),"/",""),"?",""),"_",""),",",""),"[",""),"]",""),"(",""),")",""),"*","")</f>
        <v/>
      </c>
      <c r="BA372" s="61" t="str">
        <f aca="false">SUBSTITUTE(SUBSTITUTE(SUBSTITUTE(SUBSTITUTE(SUBSTITUTE(SUBSTITUTE(SUBSTITUTE(SUBSTITUTE(SUBSTITUTE(SUBSTITUTE(SUBSTITUTE(SUBSTITUTE(SUBSTITUTE(LOWER(AA372&amp;""),CHAR(160),"")," ",""),".",""),"-",""),"/",""),"?",""),"_",""),",",""),"[",""),"]",""),"(",""),")",""),"*","")</f>
        <v/>
      </c>
      <c r="BB372" s="61" t="str">
        <f aca="false">IF(AND(TRIM(U372)="Pass",ISNUMBER(AF372)),IF(AF372&lt;&gt;0,"INVALID – qty variance: use Fail or Pass after CA",""),"")&amp;IF(AND(TRIM(U372)="Pass after CA",ISNUMBER(AF372)),IF(AF372&lt;&gt;0,"INVALID – after the corrective action the actual qty must equal expected (update Actual)",""),"")&amp;IF(AND(TRIM(U372)="Pass",TRIM(AB372)&lt;&gt;"",TRIM(AB372)&lt;&gt;"Closed"),"INVALID – corrective action not closed: use Fail, then Pass after CA","")&amp;IF(AND(TRIM(AA372)&lt;&gt;"",TRIM(AB372)=""),"INVALID – CA status missing for the recorded corrective action","")&amp;IF(AND(TRIM(U372)="Pass after CA",OR(OR(LEN(BA372)&lt;5,ISNUMBER(MATCH(BA372,L_Placeholder,0))),TRIM(AB372)&lt;&gt;"Closed")),"INVALID – corrective action not recorded/closed","")</f>
        <v/>
      </c>
    </row>
    <row r="373" customFormat="false" ht="78.75" hidden="false" customHeight="true" outlineLevel="0" collapsed="false">
      <c r="A373" s="57" t="s">
        <v>958</v>
      </c>
      <c r="B373" s="57" t="s">
        <v>255</v>
      </c>
      <c r="C373" s="57" t="str">
        <f aca="false">Flights!$F$15</f>
        <v>MH1149</v>
      </c>
      <c r="D373" s="58" t="n">
        <f aca="false">Flights!$D$15</f>
        <v>46307</v>
      </c>
      <c r="E373" s="57" t="str">
        <f aca="false">Flights!$G$15&amp;"-"&amp;Flights!$H$15</f>
        <v>PEN-KUL</v>
      </c>
      <c r="F373" s="57" t="str">
        <f aca="false">Flights!$K$15</f>
        <v>EY</v>
      </c>
      <c r="G373" s="57" t="s">
        <v>398</v>
      </c>
      <c r="H373" s="57" t="s">
        <v>356</v>
      </c>
      <c r="I373" s="57" t="s">
        <v>406</v>
      </c>
      <c r="J373" s="57" t="s">
        <v>413</v>
      </c>
      <c r="K373" s="67" t="s">
        <v>469</v>
      </c>
      <c r="L373" s="67" t="s">
        <v>400</v>
      </c>
      <c r="M373" s="67"/>
      <c r="N373" s="67" t="s">
        <v>361</v>
      </c>
      <c r="O373" s="67" t="s">
        <v>953</v>
      </c>
      <c r="P373" s="57" t="s">
        <v>184</v>
      </c>
      <c r="Q373" s="59" t="n">
        <f aca="false">ROUND((MIN(Flights!$AE$15,Flights!$AY$15))*1440,0)/1440</f>
        <v>46306.8263888889</v>
      </c>
      <c r="R373" s="59" t="n">
        <f aca="false">Q373+(IF(AND(INDEX(TZ_DSTS,MATCH(P373,TZ_STN,0))&lt;&gt;"",Q373&gt;=INDEX(TZ_DSTS,MATCH(P373,TZ_STN,0)),Q373&lt;INDEX(TZ_DSTE,MATCH(P373,TZ_STN,0))),INDEX(TZ_DST,MATCH(P373,TZ_STN,0)),INDEX(TZ_STD,MATCH(P373,TZ_STN,0))))/24</f>
        <v>46307.1597222222</v>
      </c>
      <c r="S373" s="59" t="n">
        <f aca="false">Q373-T12EarlyH/24</f>
        <v>46306.3263888889</v>
      </c>
      <c r="T373" s="60"/>
      <c r="U373" s="60"/>
      <c r="V373" s="60"/>
      <c r="W373" s="61"/>
      <c r="X373" s="60"/>
      <c r="Y373" s="60"/>
      <c r="Z373" s="60"/>
      <c r="AA373" s="60"/>
      <c r="AB373" s="60"/>
      <c r="AC373" s="60"/>
      <c r="AD373" s="66"/>
      <c r="AE373" s="60"/>
      <c r="AF373" s="61" t="str">
        <f aca="false">IF(AND(ISNUMBER(X373),ISNUMBER(Y373)),Y373-X373,"")</f>
        <v/>
      </c>
      <c r="AG373" s="62" t="str">
        <f aca="false">IF(ISNUMBER(AD373),AD373-(IF(AND(INDEX(TZ_DSTS,MATCH(P373,TZ_STN,0))&lt;&gt;"",(AD373-INDEX(TZ_STD,MATCH(P373,TZ_STN,0))/24)&gt;=INDEX(TZ_DSTS,MATCH(P373,TZ_STN,0)),(AD373-INDEX(TZ_STD,MATCH(P373,TZ_STN,0))/24)&lt;INDEX(TZ_DSTE,MATCH(P373,TZ_STN,0))),INDEX(TZ_DST,MATCH(P373,TZ_STN,0)),INDEX(TZ_STD,MATCH(P373,TZ_STN,0))))/24,"")</f>
        <v/>
      </c>
      <c r="AH373" s="65" t="str">
        <f aca="false">IFERROR(IF(N373="N/A – rule","N/A – RULE",IF(TRIM(U373)="N/A",IF(AT373=0,"INVALID – N/A not permitted for this check",IF(AND(TRIM(AB373)&lt;&gt;"",TRIM(AB373)&lt;&gt;"Closed"),"INVALID – corrective action still open",IF(AND(NOT(OR(LEN(AZ373)&lt;15,ISNUMBER(MATCH(AZ373,L_Placeholder,0)))),NOT(OR(LEN(AU373)&lt;2,ISNUMBER(MATCH(AU373,L_Placeholder,0)))),NOT(OR(LEN(AX373)&lt;2,ISNUMBER(MATCH(AX373,L_Placeholder,0)))),TRIM(AE373)&lt;&gt;TRIM(T373)),"N/A – JUSTIFIED","INVALID – N/A needs a real justification (15+ chars), PIC and a different verifier"))),IF(OR(TRIM(U373)="Pass",TRIM(U373)="Pass after CA"),IF(NOT(ISNUMBER(AD373)),"INVALID – completion time missing",IF(OR(LEN(AU373)&lt;2,ISNUMBER(MATCH(AU373,L_Placeholder,0))),"INVALID – PIC missing",IF(OR(LEN(AV373)&lt;2,ISNUMBER(MATCH(AV373,L_Placeholder,0))),"INVALID – result / assessment missing",IF(OR(OR(LEN(AW373)&lt;3,ISNUMBER(MATCH(AW373,L_Placeholder,0))),SUMPRODUCT(--ISNUMBER(SEARCH(L_EvidencePhrase,AW373)))&gt;0),"INVALID – evidence missing, placeholder or not yet on file",IF(OR(LEN(AX373)&lt;2,ISNUMBER(MATCH(AX373,L_Placeholder,0))),"INVALID – verifier missing",IF(AX373=AU373,"INVALID – verifier must be someone other than the PIC",IF(AND(TRIM(U373)="Pass",SUMPRODUCT(--ISNUMBER(SEARCH(L_ResultBad,AV373)))&gt;0),"INVALID – result describes a problem: use Fail, then Pass after CA",IF(AND(AQ373=1,OR(LEN(AY373)&lt;3,ISNUMBER(MATCH(AY373,L_Placeholder,0)))),"INVALID – batch ID missing or placeholder",IF(AND(AR373=1,OR(NOT(ISNUMBER(X373)),NOT(ISNUMBER(Y373)))),"INVALID – expected/actual qty missing",IF(AND(AR373=1,OR(X373&lt;=0,Y373&lt;0)),"INVALID – expected qty must be above 0 and actual not negative",IF(BB373&lt;&gt;"",BB373,IF(AND(AS373=1,Documents!$J$15&lt;&gt;"ON FILE"),"INVALID – GLD not on file (Documents sheet)",IF(AND(AS373=2,Documents!$O$15&lt;&gt;"ON FILE"),"INVALID – menu checklist not on file (Documents sheet)",IF(AND(AS373=3,NOT(ISNUMBER(Flights!$AX$15))),"INVALID – enter carrying flight KUL departure (Flights AX)",IF(AND(AS373=3,OR(Flights!$AZ$15&gt;Flights!$AA$15,Flights!$AX$15&lt;Flights!$AA$15-3)),"INVALID – carrying flight (Flights AX) cannot arrive before this leg's STD, or is over 3 days early",IF(AG373&gt;AsOfUTC,"INVALID – completion time is in the future",IF(AND(ISNUMBER(S373),AG373&lt;S373),IF(H373="Physical uplift","INVALID – before uplift window (cannot confirm loading)","INVALID – before valid window"),IF(AG373&gt;Flights!$AA$15,"INVALID – completed after departure (cannot establish readiness)",IF(AND(H373="Preparation",AG373&gt;Flights!$AY$15+UpliftWindowH/24),"INVALID – completed after the carrying flight left KUL",IF(AND(H373="Physical uplift",AG373&gt;Q373),"INVALID – recorded after the loading flight departed",IF(AG373&gt;Q373,"COMPLETE – LATE","COMPLETE"))))))))))))))))))))),IF(TRIM(U373)="Fail","FAIL – DISCREPANCY",IF(AND(TRIM(U373)&lt;&gt;"",TRIM(U373)&lt;&gt;"Not started",TRIM(U373)&lt;&gt;"In progress"),"INVALID – unrecognised status (use the list)",IF(AsOfUTC&gt;Q373,"OVERDUE",IF(N373="Clarification required","OPEN – CLARIFICATION","OPEN"))))))),"INVALID – error value in an input cell")</f>
        <v>OPEN</v>
      </c>
      <c r="AI373" s="61" t="n">
        <f aca="false">IF(OR(AH373="N/A – RULE",AH373="N/A – JUSTIFIED"),0,1)</f>
        <v>1</v>
      </c>
      <c r="AJ373" s="61" t="n">
        <f aca="false">IF(LEFT(AH373,8)="COMPLETE",1,0)</f>
        <v>0</v>
      </c>
      <c r="AK373" s="61" t="n">
        <f aca="false">IF(AND(AI373=1,AJ373=0,AsOfUTC&gt;Q373),1,0)</f>
        <v>0</v>
      </c>
      <c r="AL373" s="61" t="n">
        <f aca="false">IFERROR(IF(AND(AI373=1,OR(TRIM(U373)="Fail",AND(TRIM(AB373)&lt;&gt;"",TRIM(AB373)&lt;&gt;"Closed"),AND(ISNUMBER(AF373),AF373&lt;&gt;0,TRIM(U373)&lt;&gt;"Pass after CA"))),1,0),1)</f>
        <v>0</v>
      </c>
      <c r="AM373" s="61" t="n">
        <f aca="false">IF(LEFT(AH373,7)="INVALID",1,0)</f>
        <v>0</v>
      </c>
      <c r="AN373" s="61" t="n">
        <f aca="false">IF(AND(N373="Clarification required",AI373=1,AJ373=0),1,0)</f>
        <v>0</v>
      </c>
      <c r="AO373" s="61" t="str">
        <f aca="false">IF(AK373=1,SUM(AK$5:AK373),"")</f>
        <v/>
      </c>
      <c r="AP373" s="61" t="str">
        <f aca="false">IF(AL373=1,SUM(AL$5:AL373),"")</f>
        <v/>
      </c>
      <c r="AQ373" s="61" t="n">
        <v>0</v>
      </c>
      <c r="AR373" s="61" t="n">
        <v>1</v>
      </c>
      <c r="AS373" s="61" t="n">
        <v>0</v>
      </c>
      <c r="AT373" s="61" t="n">
        <v>0</v>
      </c>
      <c r="AU373" s="61" t="str">
        <f aca="false">SUBSTITUTE(SUBSTITUTE(SUBSTITUTE(SUBSTITUTE(SUBSTITUTE(SUBSTITUTE(SUBSTITUTE(SUBSTITUTE(SUBSTITUTE(SUBSTITUTE(SUBSTITUTE(SUBSTITUTE(SUBSTITUTE(LOWER(T373&amp;""),CHAR(160),"")," ",""),".",""),"-",""),"/",""),"?",""),"_",""),",",""),"[",""),"]",""),"(",""),")",""),"*","")</f>
        <v/>
      </c>
      <c r="AV373" s="61" t="str">
        <f aca="false">SUBSTITUTE(SUBSTITUTE(SUBSTITUTE(SUBSTITUTE(SUBSTITUTE(SUBSTITUTE(SUBSTITUTE(SUBSTITUTE(SUBSTITUTE(SUBSTITUTE(SUBSTITUTE(SUBSTITUTE(SUBSTITUTE(LOWER(V373&amp;""),CHAR(160),"")," ",""),".",""),"-",""),"/",""),"?",""),"_",""),",",""),"[",""),"]",""),"(",""),")",""),"*","")</f>
        <v/>
      </c>
      <c r="AW373" s="61" t="str">
        <f aca="false">SUBSTITUTE(SUBSTITUTE(SUBSTITUTE(SUBSTITUTE(SUBSTITUTE(SUBSTITUTE(SUBSTITUTE(SUBSTITUTE(SUBSTITUTE(SUBSTITUTE(SUBSTITUTE(SUBSTITUTE(SUBSTITUTE(LOWER(Z373&amp;""),CHAR(160),"")," ",""),".",""),"-",""),"/",""),"?",""),"_",""),",",""),"[",""),"]",""),"(",""),")",""),"*","")</f>
        <v/>
      </c>
      <c r="AX373" s="61" t="str">
        <f aca="false">SUBSTITUTE(SUBSTITUTE(SUBSTITUTE(SUBSTITUTE(SUBSTITUTE(SUBSTITUTE(SUBSTITUTE(SUBSTITUTE(SUBSTITUTE(SUBSTITUTE(SUBSTITUTE(SUBSTITUTE(SUBSTITUTE(LOWER(AE373&amp;""),CHAR(160),"")," ",""),".",""),"-",""),"/",""),"?",""),"_",""),",",""),"[",""),"]",""),"(",""),")",""),"*","")</f>
        <v/>
      </c>
      <c r="AY373" s="61" t="str">
        <f aca="false">SUBSTITUTE(SUBSTITUTE(SUBSTITUTE(SUBSTITUTE(SUBSTITUTE(SUBSTITUTE(SUBSTITUTE(SUBSTITUTE(SUBSTITUTE(SUBSTITUTE(SUBSTITUTE(SUBSTITUTE(SUBSTITUTE(LOWER(W373&amp;""),CHAR(160),"")," ",""),".",""),"-",""),"/",""),"?",""),"_",""),",",""),"[",""),"]",""),"(",""),")",""),"*","")</f>
        <v/>
      </c>
      <c r="AZ373" s="61" t="str">
        <f aca="false">SUBSTITUTE(SUBSTITUTE(SUBSTITUTE(SUBSTITUTE(SUBSTITUTE(SUBSTITUTE(SUBSTITUTE(SUBSTITUTE(SUBSTITUTE(SUBSTITUTE(SUBSTITUTE(SUBSTITUTE(SUBSTITUTE(LOWER(AC373&amp;""),CHAR(160),"")," ",""),".",""),"-",""),"/",""),"?",""),"_",""),",",""),"[",""),"]",""),"(",""),")",""),"*","")</f>
        <v/>
      </c>
      <c r="BA373" s="61" t="str">
        <f aca="false">SUBSTITUTE(SUBSTITUTE(SUBSTITUTE(SUBSTITUTE(SUBSTITUTE(SUBSTITUTE(SUBSTITUTE(SUBSTITUTE(SUBSTITUTE(SUBSTITUTE(SUBSTITUTE(SUBSTITUTE(SUBSTITUTE(LOWER(AA373&amp;""),CHAR(160),"")," ",""),".",""),"-",""),"/",""),"?",""),"_",""),",",""),"[",""),"]",""),"(",""),")",""),"*","")</f>
        <v/>
      </c>
      <c r="BB373" s="61" t="str">
        <f aca="false">IF(AND(TRIM(U373)="Pass",ISNUMBER(AF373)),IF(AF373&lt;&gt;0,"INVALID – qty variance: use Fail or Pass after CA",""),"")&amp;IF(AND(TRIM(U373)="Pass after CA",ISNUMBER(AF373)),IF(AF373&lt;&gt;0,"INVALID – after the corrective action the actual qty must equal expected (update Actual)",""),"")&amp;IF(AND(TRIM(U373)="Pass",TRIM(AB373)&lt;&gt;"",TRIM(AB373)&lt;&gt;"Closed"),"INVALID – corrective action not closed: use Fail, then Pass after CA","")&amp;IF(AND(TRIM(AA373)&lt;&gt;"",TRIM(AB373)=""),"INVALID – CA status missing for the recorded corrective action","")&amp;IF(AND(TRIM(U373)="Pass after CA",OR(OR(LEN(BA373)&lt;5,ISNUMBER(MATCH(BA373,L_Placeholder,0))),TRIM(AB373)&lt;&gt;"Closed")),"INVALID – corrective action not recorded/closed","")</f>
        <v/>
      </c>
    </row>
    <row r="374" customFormat="false" ht="41.25" hidden="false" customHeight="true" outlineLevel="0" collapsed="false">
      <c r="A374" s="57" t="s">
        <v>959</v>
      </c>
      <c r="B374" s="57" t="s">
        <v>255</v>
      </c>
      <c r="C374" s="57" t="str">
        <f aca="false">Flights!$F$15</f>
        <v>MH1149</v>
      </c>
      <c r="D374" s="58" t="n">
        <f aca="false">Flights!$D$15</f>
        <v>46307</v>
      </c>
      <c r="E374" s="57" t="str">
        <f aca="false">Flights!$G$15&amp;"-"&amp;Flights!$H$15</f>
        <v>PEN-KUL</v>
      </c>
      <c r="F374" s="57" t="str">
        <f aca="false">Flights!$K$15</f>
        <v>EY</v>
      </c>
      <c r="G374" s="57" t="s">
        <v>398</v>
      </c>
      <c r="H374" s="57" t="s">
        <v>356</v>
      </c>
      <c r="I374" s="57" t="s">
        <v>406</v>
      </c>
      <c r="J374" s="57" t="s">
        <v>416</v>
      </c>
      <c r="K374" s="67"/>
      <c r="L374" s="67" t="s">
        <v>400</v>
      </c>
      <c r="M374" s="67"/>
      <c r="N374" s="67" t="s">
        <v>361</v>
      </c>
      <c r="O374" s="67" t="s">
        <v>953</v>
      </c>
      <c r="P374" s="57" t="s">
        <v>184</v>
      </c>
      <c r="Q374" s="59" t="n">
        <f aca="false">ROUND((MIN(Flights!$AE$15,Flights!$AY$15))*1440,0)/1440</f>
        <v>46306.8263888889</v>
      </c>
      <c r="R374" s="59" t="n">
        <f aca="false">Q374+(IF(AND(INDEX(TZ_DSTS,MATCH(P374,TZ_STN,0))&lt;&gt;"",Q374&gt;=INDEX(TZ_DSTS,MATCH(P374,TZ_STN,0)),Q374&lt;INDEX(TZ_DSTE,MATCH(P374,TZ_STN,0))),INDEX(TZ_DST,MATCH(P374,TZ_STN,0)),INDEX(TZ_STD,MATCH(P374,TZ_STN,0))))/24</f>
        <v>46307.1597222222</v>
      </c>
      <c r="S374" s="59" t="n">
        <f aca="false">Q374-T12EarlyH/24</f>
        <v>46306.3263888889</v>
      </c>
      <c r="T374" s="60"/>
      <c r="U374" s="60"/>
      <c r="V374" s="60"/>
      <c r="W374" s="61"/>
      <c r="X374" s="60"/>
      <c r="Y374" s="60"/>
      <c r="Z374" s="60"/>
      <c r="AA374" s="60"/>
      <c r="AB374" s="60"/>
      <c r="AC374" s="60"/>
      <c r="AD374" s="66"/>
      <c r="AE374" s="60"/>
      <c r="AF374" s="61" t="str">
        <f aca="false">IF(AND(ISNUMBER(X374),ISNUMBER(Y374)),Y374-X374,"")</f>
        <v/>
      </c>
      <c r="AG374" s="62" t="str">
        <f aca="false">IF(ISNUMBER(AD374),AD374-(IF(AND(INDEX(TZ_DSTS,MATCH(P374,TZ_STN,0))&lt;&gt;"",(AD374-INDEX(TZ_STD,MATCH(P374,TZ_STN,0))/24)&gt;=INDEX(TZ_DSTS,MATCH(P374,TZ_STN,0)),(AD374-INDEX(TZ_STD,MATCH(P374,TZ_STN,0))/24)&lt;INDEX(TZ_DSTE,MATCH(P374,TZ_STN,0))),INDEX(TZ_DST,MATCH(P374,TZ_STN,0)),INDEX(TZ_STD,MATCH(P374,TZ_STN,0))))/24,"")</f>
        <v/>
      </c>
      <c r="AH374" s="65" t="str">
        <f aca="false">IFERROR(IF(N374="N/A – rule","N/A – RULE",IF(TRIM(U374)="N/A",IF(AT374=0,"INVALID – N/A not permitted for this check",IF(AND(TRIM(AB374)&lt;&gt;"",TRIM(AB374)&lt;&gt;"Closed"),"INVALID – corrective action still open",IF(AND(NOT(OR(LEN(AZ374)&lt;15,ISNUMBER(MATCH(AZ374,L_Placeholder,0)))),NOT(OR(LEN(AU374)&lt;2,ISNUMBER(MATCH(AU374,L_Placeholder,0)))),NOT(OR(LEN(AX374)&lt;2,ISNUMBER(MATCH(AX374,L_Placeholder,0)))),TRIM(AE374)&lt;&gt;TRIM(T374)),"N/A – JUSTIFIED","INVALID – N/A needs a real justification (15+ chars), PIC and a different verifier"))),IF(OR(TRIM(U374)="Pass",TRIM(U374)="Pass after CA"),IF(NOT(ISNUMBER(AD374)),"INVALID – completion time missing",IF(OR(LEN(AU374)&lt;2,ISNUMBER(MATCH(AU374,L_Placeholder,0))),"INVALID – PIC missing",IF(OR(LEN(AV374)&lt;2,ISNUMBER(MATCH(AV374,L_Placeholder,0))),"INVALID – result / assessment missing",IF(OR(OR(LEN(AW374)&lt;3,ISNUMBER(MATCH(AW374,L_Placeholder,0))),SUMPRODUCT(--ISNUMBER(SEARCH(L_EvidencePhrase,AW374)))&gt;0),"INVALID – evidence missing, placeholder or not yet on file",IF(OR(LEN(AX374)&lt;2,ISNUMBER(MATCH(AX374,L_Placeholder,0))),"INVALID – verifier missing",IF(AX374=AU374,"INVALID – verifier must be someone other than the PIC",IF(AND(TRIM(U374)="Pass",SUMPRODUCT(--ISNUMBER(SEARCH(L_ResultBad,AV374)))&gt;0),"INVALID – result describes a problem: use Fail, then Pass after CA",IF(AND(AQ374=1,OR(LEN(AY374)&lt;3,ISNUMBER(MATCH(AY374,L_Placeholder,0)))),"INVALID – batch ID missing or placeholder",IF(AND(AR374=1,OR(NOT(ISNUMBER(X374)),NOT(ISNUMBER(Y374)))),"INVALID – expected/actual qty missing",IF(AND(AR374=1,OR(X374&lt;=0,Y374&lt;0)),"INVALID – expected qty must be above 0 and actual not negative",IF(BB374&lt;&gt;"",BB374,IF(AND(AS374=1,Documents!$J$15&lt;&gt;"ON FILE"),"INVALID – GLD not on file (Documents sheet)",IF(AND(AS374=2,Documents!$O$15&lt;&gt;"ON FILE"),"INVALID – menu checklist not on file (Documents sheet)",IF(AND(AS374=3,NOT(ISNUMBER(Flights!$AX$15))),"INVALID – enter carrying flight KUL departure (Flights AX)",IF(AND(AS374=3,OR(Flights!$AZ$15&gt;Flights!$AA$15,Flights!$AX$15&lt;Flights!$AA$15-3)),"INVALID – carrying flight (Flights AX) cannot arrive before this leg's STD, or is over 3 days early",IF(AG374&gt;AsOfUTC,"INVALID – completion time is in the future",IF(AND(ISNUMBER(S374),AG374&lt;S374),IF(H374="Physical uplift","INVALID – before uplift window (cannot confirm loading)","INVALID – before valid window"),IF(AG374&gt;Flights!$AA$15,"INVALID – completed after departure (cannot establish readiness)",IF(AND(H374="Preparation",AG374&gt;Flights!$AY$15+UpliftWindowH/24),"INVALID – completed after the carrying flight left KUL",IF(AND(H374="Physical uplift",AG374&gt;Q374),"INVALID – recorded after the loading flight departed",IF(AG374&gt;Q374,"COMPLETE – LATE","COMPLETE"))))))))))))))))))))),IF(TRIM(U374)="Fail","FAIL – DISCREPANCY",IF(AND(TRIM(U374)&lt;&gt;"",TRIM(U374)&lt;&gt;"Not started",TRIM(U374)&lt;&gt;"In progress"),"INVALID – unrecognised status (use the list)",IF(AsOfUTC&gt;Q374,"OVERDUE",IF(N374="Clarification required","OPEN – CLARIFICATION","OPEN"))))))),"INVALID – error value in an input cell")</f>
        <v>OPEN</v>
      </c>
      <c r="AI374" s="61" t="n">
        <f aca="false">IF(OR(AH374="N/A – RULE",AH374="N/A – JUSTIFIED"),0,1)</f>
        <v>1</v>
      </c>
      <c r="AJ374" s="61" t="n">
        <f aca="false">IF(LEFT(AH374,8)="COMPLETE",1,0)</f>
        <v>0</v>
      </c>
      <c r="AK374" s="61" t="n">
        <f aca="false">IF(AND(AI374=1,AJ374=0,AsOfUTC&gt;Q374),1,0)</f>
        <v>0</v>
      </c>
      <c r="AL374" s="61" t="n">
        <f aca="false">IFERROR(IF(AND(AI374=1,OR(TRIM(U374)="Fail",AND(TRIM(AB374)&lt;&gt;"",TRIM(AB374)&lt;&gt;"Closed"),AND(ISNUMBER(AF374),AF374&lt;&gt;0,TRIM(U374)&lt;&gt;"Pass after CA"))),1,0),1)</f>
        <v>0</v>
      </c>
      <c r="AM374" s="61" t="n">
        <f aca="false">IF(LEFT(AH374,7)="INVALID",1,0)</f>
        <v>0</v>
      </c>
      <c r="AN374" s="61" t="n">
        <f aca="false">IF(AND(N374="Clarification required",AI374=1,AJ374=0),1,0)</f>
        <v>0</v>
      </c>
      <c r="AO374" s="61" t="str">
        <f aca="false">IF(AK374=1,SUM(AK$5:AK374),"")</f>
        <v/>
      </c>
      <c r="AP374" s="61" t="str">
        <f aca="false">IF(AL374=1,SUM(AL$5:AL374),"")</f>
        <v/>
      </c>
      <c r="AQ374" s="61" t="n">
        <v>0</v>
      </c>
      <c r="AR374" s="61" t="n">
        <v>0</v>
      </c>
      <c r="AS374" s="61" t="n">
        <v>0</v>
      </c>
      <c r="AT374" s="61" t="n">
        <v>0</v>
      </c>
      <c r="AU374" s="61" t="str">
        <f aca="false">SUBSTITUTE(SUBSTITUTE(SUBSTITUTE(SUBSTITUTE(SUBSTITUTE(SUBSTITUTE(SUBSTITUTE(SUBSTITUTE(SUBSTITUTE(SUBSTITUTE(SUBSTITUTE(SUBSTITUTE(SUBSTITUTE(LOWER(T374&amp;""),CHAR(160),"")," ",""),".",""),"-",""),"/",""),"?",""),"_",""),",",""),"[",""),"]",""),"(",""),")",""),"*","")</f>
        <v/>
      </c>
      <c r="AV374" s="61" t="str">
        <f aca="false">SUBSTITUTE(SUBSTITUTE(SUBSTITUTE(SUBSTITUTE(SUBSTITUTE(SUBSTITUTE(SUBSTITUTE(SUBSTITUTE(SUBSTITUTE(SUBSTITUTE(SUBSTITUTE(SUBSTITUTE(SUBSTITUTE(LOWER(V374&amp;""),CHAR(160),"")," ",""),".",""),"-",""),"/",""),"?",""),"_",""),",",""),"[",""),"]",""),"(",""),")",""),"*","")</f>
        <v/>
      </c>
      <c r="AW374" s="61" t="str">
        <f aca="false">SUBSTITUTE(SUBSTITUTE(SUBSTITUTE(SUBSTITUTE(SUBSTITUTE(SUBSTITUTE(SUBSTITUTE(SUBSTITUTE(SUBSTITUTE(SUBSTITUTE(SUBSTITUTE(SUBSTITUTE(SUBSTITUTE(LOWER(Z374&amp;""),CHAR(160),"")," ",""),".",""),"-",""),"/",""),"?",""),"_",""),",",""),"[",""),"]",""),"(",""),")",""),"*","")</f>
        <v/>
      </c>
      <c r="AX374" s="61" t="str">
        <f aca="false">SUBSTITUTE(SUBSTITUTE(SUBSTITUTE(SUBSTITUTE(SUBSTITUTE(SUBSTITUTE(SUBSTITUTE(SUBSTITUTE(SUBSTITUTE(SUBSTITUTE(SUBSTITUTE(SUBSTITUTE(SUBSTITUTE(LOWER(AE374&amp;""),CHAR(160),"")," ",""),".",""),"-",""),"/",""),"?",""),"_",""),",",""),"[",""),"]",""),"(",""),")",""),"*","")</f>
        <v/>
      </c>
      <c r="AY374" s="61" t="str">
        <f aca="false">SUBSTITUTE(SUBSTITUTE(SUBSTITUTE(SUBSTITUTE(SUBSTITUTE(SUBSTITUTE(SUBSTITUTE(SUBSTITUTE(SUBSTITUTE(SUBSTITUTE(SUBSTITUTE(SUBSTITUTE(SUBSTITUTE(LOWER(W374&amp;""),CHAR(160),"")," ",""),".",""),"-",""),"/",""),"?",""),"_",""),",",""),"[",""),"]",""),"(",""),")",""),"*","")</f>
        <v/>
      </c>
      <c r="AZ374" s="61" t="str">
        <f aca="false">SUBSTITUTE(SUBSTITUTE(SUBSTITUTE(SUBSTITUTE(SUBSTITUTE(SUBSTITUTE(SUBSTITUTE(SUBSTITUTE(SUBSTITUTE(SUBSTITUTE(SUBSTITUTE(SUBSTITUTE(SUBSTITUTE(LOWER(AC374&amp;""),CHAR(160),"")," ",""),".",""),"-",""),"/",""),"?",""),"_",""),",",""),"[",""),"]",""),"(",""),")",""),"*","")</f>
        <v/>
      </c>
      <c r="BA374" s="61" t="str">
        <f aca="false">SUBSTITUTE(SUBSTITUTE(SUBSTITUTE(SUBSTITUTE(SUBSTITUTE(SUBSTITUTE(SUBSTITUTE(SUBSTITUTE(SUBSTITUTE(SUBSTITUTE(SUBSTITUTE(SUBSTITUTE(SUBSTITUTE(LOWER(AA374&amp;""),CHAR(160),"")," ",""),".",""),"-",""),"/",""),"?",""),"_",""),",",""),"[",""),"]",""),"(",""),")",""),"*","")</f>
        <v/>
      </c>
      <c r="BB374" s="61" t="str">
        <f aca="false">IF(AND(TRIM(U374)="Pass",ISNUMBER(AF374)),IF(AF374&lt;&gt;0,"INVALID – qty variance: use Fail or Pass after CA",""),"")&amp;IF(AND(TRIM(U374)="Pass after CA",ISNUMBER(AF374)),IF(AF374&lt;&gt;0,"INVALID – after the corrective action the actual qty must equal expected (update Actual)",""),"")&amp;IF(AND(TRIM(U374)="Pass",TRIM(AB374)&lt;&gt;"",TRIM(AB374)&lt;&gt;"Closed"),"INVALID – corrective action not closed: use Fail, then Pass after CA","")&amp;IF(AND(TRIM(AA374)&lt;&gt;"",TRIM(AB374)=""),"INVALID – CA status missing for the recorded corrective action","")&amp;IF(AND(TRIM(U374)="Pass after CA",OR(OR(LEN(BA374)&lt;5,ISNUMBER(MATCH(BA374,L_Placeholder,0))),TRIM(AB374)&lt;&gt;"Closed")),"INVALID – corrective action not recorded/closed","")</f>
        <v/>
      </c>
    </row>
    <row r="375" customFormat="false" ht="66" hidden="false" customHeight="true" outlineLevel="0" collapsed="false">
      <c r="A375" s="57" t="s">
        <v>960</v>
      </c>
      <c r="B375" s="57" t="s">
        <v>255</v>
      </c>
      <c r="C375" s="57" t="str">
        <f aca="false">Flights!$F$15</f>
        <v>MH1149</v>
      </c>
      <c r="D375" s="58" t="n">
        <f aca="false">Flights!$D$15</f>
        <v>46307</v>
      </c>
      <c r="E375" s="57" t="str">
        <f aca="false">Flights!$G$15&amp;"-"&amp;Flights!$H$15</f>
        <v>PEN-KUL</v>
      </c>
      <c r="F375" s="57" t="str">
        <f aca="false">Flights!$K$15</f>
        <v>EY</v>
      </c>
      <c r="G375" s="57" t="s">
        <v>398</v>
      </c>
      <c r="H375" s="57" t="s">
        <v>356</v>
      </c>
      <c r="I375" s="57" t="s">
        <v>425</v>
      </c>
      <c r="J375" s="57" t="s">
        <v>426</v>
      </c>
      <c r="K375" s="67" t="s">
        <v>427</v>
      </c>
      <c r="L375" s="67" t="s">
        <v>961</v>
      </c>
      <c r="M375" s="67" t="s">
        <v>429</v>
      </c>
      <c r="N375" s="67" t="s">
        <v>361</v>
      </c>
      <c r="O375" s="67" t="s">
        <v>962</v>
      </c>
      <c r="P375" s="57" t="s">
        <v>184</v>
      </c>
      <c r="Q375" s="59" t="n">
        <f aca="false">ROUND((MIN(Flights!$AE$15,Flights!$AY$15))*1440,0)/1440</f>
        <v>46306.8263888889</v>
      </c>
      <c r="R375" s="59" t="n">
        <f aca="false">Q375+(IF(AND(INDEX(TZ_DSTS,MATCH(P375,TZ_STN,0))&lt;&gt;"",Q375&gt;=INDEX(TZ_DSTS,MATCH(P375,TZ_STN,0)),Q375&lt;INDEX(TZ_DSTE,MATCH(P375,TZ_STN,0))),INDEX(TZ_DST,MATCH(P375,TZ_STN,0)),INDEX(TZ_STD,MATCH(P375,TZ_STN,0))))/24</f>
        <v>46307.1597222222</v>
      </c>
      <c r="S375" s="59" t="n">
        <f aca="false">Q375-T12EarlyH/24</f>
        <v>46306.3263888889</v>
      </c>
      <c r="T375" s="60"/>
      <c r="U375" s="60"/>
      <c r="V375" s="60"/>
      <c r="W375" s="61"/>
      <c r="X375" s="60"/>
      <c r="Y375" s="60"/>
      <c r="Z375" s="60"/>
      <c r="AA375" s="60"/>
      <c r="AB375" s="60"/>
      <c r="AC375" s="60"/>
      <c r="AD375" s="66"/>
      <c r="AE375" s="60"/>
      <c r="AF375" s="61" t="str">
        <f aca="false">IF(AND(ISNUMBER(X375),ISNUMBER(Y375)),Y375-X375,"")</f>
        <v/>
      </c>
      <c r="AG375" s="62" t="str">
        <f aca="false">IF(ISNUMBER(AD375),AD375-(IF(AND(INDEX(TZ_DSTS,MATCH(P375,TZ_STN,0))&lt;&gt;"",(AD375-INDEX(TZ_STD,MATCH(P375,TZ_STN,0))/24)&gt;=INDEX(TZ_DSTS,MATCH(P375,TZ_STN,0)),(AD375-INDEX(TZ_STD,MATCH(P375,TZ_STN,0))/24)&lt;INDEX(TZ_DSTE,MATCH(P375,TZ_STN,0))),INDEX(TZ_DST,MATCH(P375,TZ_STN,0)),INDEX(TZ_STD,MATCH(P375,TZ_STN,0))))/24,"")</f>
        <v/>
      </c>
      <c r="AH375" s="65" t="str">
        <f aca="false">IFERROR(IF(N375="N/A – rule","N/A – RULE",IF(TRIM(U375)="N/A",IF(AT375=0,"INVALID – N/A not permitted for this check",IF(AND(TRIM(AB375)&lt;&gt;"",TRIM(AB375)&lt;&gt;"Closed"),"INVALID – corrective action still open",IF(AND(NOT(OR(LEN(AZ375)&lt;15,ISNUMBER(MATCH(AZ375,L_Placeholder,0)))),NOT(OR(LEN(AU375)&lt;2,ISNUMBER(MATCH(AU375,L_Placeholder,0)))),NOT(OR(LEN(AX375)&lt;2,ISNUMBER(MATCH(AX375,L_Placeholder,0)))),TRIM(AE375)&lt;&gt;TRIM(T375)),"N/A – JUSTIFIED","INVALID – N/A needs a real justification (15+ chars), PIC and a different verifier"))),IF(OR(TRIM(U375)="Pass",TRIM(U375)="Pass after CA"),IF(NOT(ISNUMBER(AD375)),"INVALID – completion time missing",IF(OR(LEN(AU375)&lt;2,ISNUMBER(MATCH(AU375,L_Placeholder,0))),"INVALID – PIC missing",IF(OR(LEN(AV375)&lt;2,ISNUMBER(MATCH(AV375,L_Placeholder,0))),"INVALID – result / assessment missing",IF(OR(OR(LEN(AW375)&lt;3,ISNUMBER(MATCH(AW375,L_Placeholder,0))),SUMPRODUCT(--ISNUMBER(SEARCH(L_EvidencePhrase,AW375)))&gt;0),"INVALID – evidence missing, placeholder or not yet on file",IF(OR(LEN(AX375)&lt;2,ISNUMBER(MATCH(AX375,L_Placeholder,0))),"INVALID – verifier missing",IF(AX375=AU375,"INVALID – verifier must be someone other than the PIC",IF(AND(TRIM(U375)="Pass",SUMPRODUCT(--ISNUMBER(SEARCH(L_ResultBad,AV375)))&gt;0),"INVALID – result describes a problem: use Fail, then Pass after CA",IF(AND(AQ375=1,OR(LEN(AY375)&lt;3,ISNUMBER(MATCH(AY375,L_Placeholder,0)))),"INVALID – batch ID missing or placeholder",IF(AND(AR375=1,OR(NOT(ISNUMBER(X375)),NOT(ISNUMBER(Y375)))),"INVALID – expected/actual qty missing",IF(AND(AR375=1,OR(X375&lt;=0,Y375&lt;0)),"INVALID – expected qty must be above 0 and actual not negative",IF(BB375&lt;&gt;"",BB375,IF(AND(AS375=1,Documents!$J$15&lt;&gt;"ON FILE"),"INVALID – GLD not on file (Documents sheet)",IF(AND(AS375=2,Documents!$O$15&lt;&gt;"ON FILE"),"INVALID – menu checklist not on file (Documents sheet)",IF(AND(AS375=3,NOT(ISNUMBER(Flights!$AX$15))),"INVALID – enter carrying flight KUL departure (Flights AX)",IF(AND(AS375=3,OR(Flights!$AZ$15&gt;Flights!$AA$15,Flights!$AX$15&lt;Flights!$AA$15-3)),"INVALID – carrying flight (Flights AX) cannot arrive before this leg's STD, or is over 3 days early",IF(AG375&gt;AsOfUTC,"INVALID – completion time is in the future",IF(AND(ISNUMBER(S375),AG375&lt;S375),IF(H375="Physical uplift","INVALID – before uplift window (cannot confirm loading)","INVALID – before valid window"),IF(AG375&gt;Flights!$AA$15,"INVALID – completed after departure (cannot establish readiness)",IF(AND(H375="Preparation",AG375&gt;Flights!$AY$15+UpliftWindowH/24),"INVALID – completed after the carrying flight left KUL",IF(AND(H375="Physical uplift",AG375&gt;Q375),"INVALID – recorded after the loading flight departed",IF(AG375&gt;Q375,"COMPLETE – LATE","COMPLETE"))))))))))))))))))))),IF(TRIM(U375)="Fail","FAIL – DISCREPANCY",IF(AND(TRIM(U375)&lt;&gt;"",TRIM(U375)&lt;&gt;"Not started",TRIM(U375)&lt;&gt;"In progress"),"INVALID – unrecognised status (use the list)",IF(AsOfUTC&gt;Q375,"OVERDUE",IF(N375="Clarification required","OPEN – CLARIFICATION","OPEN"))))))),"INVALID – error value in an input cell")</f>
        <v>OPEN</v>
      </c>
      <c r="AI375" s="61" t="n">
        <f aca="false">IF(OR(AH375="N/A – RULE",AH375="N/A – JUSTIFIED"),0,1)</f>
        <v>1</v>
      </c>
      <c r="AJ375" s="61" t="n">
        <f aca="false">IF(LEFT(AH375,8)="COMPLETE",1,0)</f>
        <v>0</v>
      </c>
      <c r="AK375" s="61" t="n">
        <f aca="false">IF(AND(AI375=1,AJ375=0,AsOfUTC&gt;Q375),1,0)</f>
        <v>0</v>
      </c>
      <c r="AL375" s="61" t="n">
        <f aca="false">IFERROR(IF(AND(AI375=1,OR(TRIM(U375)="Fail",AND(TRIM(AB375)&lt;&gt;"",TRIM(AB375)&lt;&gt;"Closed"),AND(ISNUMBER(AF375),AF375&lt;&gt;0,TRIM(U375)&lt;&gt;"Pass after CA"))),1,0),1)</f>
        <v>0</v>
      </c>
      <c r="AM375" s="61" t="n">
        <f aca="false">IF(LEFT(AH375,7)="INVALID",1,0)</f>
        <v>0</v>
      </c>
      <c r="AN375" s="61" t="n">
        <f aca="false">IF(AND(N375="Clarification required",AI375=1,AJ375=0),1,0)</f>
        <v>0</v>
      </c>
      <c r="AO375" s="61" t="str">
        <f aca="false">IF(AK375=1,SUM(AK$5:AK375),"")</f>
        <v/>
      </c>
      <c r="AP375" s="61" t="str">
        <f aca="false">IF(AL375=1,SUM(AL$5:AL375),"")</f>
        <v/>
      </c>
      <c r="AQ375" s="61" t="n">
        <v>0</v>
      </c>
      <c r="AR375" s="61" t="n">
        <v>0</v>
      </c>
      <c r="AS375" s="61" t="n">
        <v>0</v>
      </c>
      <c r="AT375" s="61" t="n">
        <v>0</v>
      </c>
      <c r="AU375" s="61" t="str">
        <f aca="false">SUBSTITUTE(SUBSTITUTE(SUBSTITUTE(SUBSTITUTE(SUBSTITUTE(SUBSTITUTE(SUBSTITUTE(SUBSTITUTE(SUBSTITUTE(SUBSTITUTE(SUBSTITUTE(SUBSTITUTE(SUBSTITUTE(LOWER(T375&amp;""),CHAR(160),"")," ",""),".",""),"-",""),"/",""),"?",""),"_",""),",",""),"[",""),"]",""),"(",""),")",""),"*","")</f>
        <v/>
      </c>
      <c r="AV375" s="61" t="str">
        <f aca="false">SUBSTITUTE(SUBSTITUTE(SUBSTITUTE(SUBSTITUTE(SUBSTITUTE(SUBSTITUTE(SUBSTITUTE(SUBSTITUTE(SUBSTITUTE(SUBSTITUTE(SUBSTITUTE(SUBSTITUTE(SUBSTITUTE(LOWER(V375&amp;""),CHAR(160),"")," ",""),".",""),"-",""),"/",""),"?",""),"_",""),",",""),"[",""),"]",""),"(",""),")",""),"*","")</f>
        <v/>
      </c>
      <c r="AW375" s="61" t="str">
        <f aca="false">SUBSTITUTE(SUBSTITUTE(SUBSTITUTE(SUBSTITUTE(SUBSTITUTE(SUBSTITUTE(SUBSTITUTE(SUBSTITUTE(SUBSTITUTE(SUBSTITUTE(SUBSTITUTE(SUBSTITUTE(SUBSTITUTE(LOWER(Z375&amp;""),CHAR(160),"")," ",""),".",""),"-",""),"/",""),"?",""),"_",""),",",""),"[",""),"]",""),"(",""),")",""),"*","")</f>
        <v/>
      </c>
      <c r="AX375" s="61" t="str">
        <f aca="false">SUBSTITUTE(SUBSTITUTE(SUBSTITUTE(SUBSTITUTE(SUBSTITUTE(SUBSTITUTE(SUBSTITUTE(SUBSTITUTE(SUBSTITUTE(SUBSTITUTE(SUBSTITUTE(SUBSTITUTE(SUBSTITUTE(LOWER(AE375&amp;""),CHAR(160),"")," ",""),".",""),"-",""),"/",""),"?",""),"_",""),",",""),"[",""),"]",""),"(",""),")",""),"*","")</f>
        <v/>
      </c>
      <c r="AY375" s="61" t="str">
        <f aca="false">SUBSTITUTE(SUBSTITUTE(SUBSTITUTE(SUBSTITUTE(SUBSTITUTE(SUBSTITUTE(SUBSTITUTE(SUBSTITUTE(SUBSTITUTE(SUBSTITUTE(SUBSTITUTE(SUBSTITUTE(SUBSTITUTE(LOWER(W375&amp;""),CHAR(160),"")," ",""),".",""),"-",""),"/",""),"?",""),"_",""),",",""),"[",""),"]",""),"(",""),")",""),"*","")</f>
        <v/>
      </c>
      <c r="AZ375" s="61" t="str">
        <f aca="false">SUBSTITUTE(SUBSTITUTE(SUBSTITUTE(SUBSTITUTE(SUBSTITUTE(SUBSTITUTE(SUBSTITUTE(SUBSTITUTE(SUBSTITUTE(SUBSTITUTE(SUBSTITUTE(SUBSTITUTE(SUBSTITUTE(LOWER(AC375&amp;""),CHAR(160),"")," ",""),".",""),"-",""),"/",""),"?",""),"_",""),",",""),"[",""),"]",""),"(",""),")",""),"*","")</f>
        <v/>
      </c>
      <c r="BA375" s="61" t="str">
        <f aca="false">SUBSTITUTE(SUBSTITUTE(SUBSTITUTE(SUBSTITUTE(SUBSTITUTE(SUBSTITUTE(SUBSTITUTE(SUBSTITUTE(SUBSTITUTE(SUBSTITUTE(SUBSTITUTE(SUBSTITUTE(SUBSTITUTE(LOWER(AA375&amp;""),CHAR(160),"")," ",""),".",""),"-",""),"/",""),"?",""),"_",""),",",""),"[",""),"]",""),"(",""),")",""),"*","")</f>
        <v/>
      </c>
      <c r="BB375" s="61" t="str">
        <f aca="false">IF(AND(TRIM(U375)="Pass",ISNUMBER(AF375)),IF(AF375&lt;&gt;0,"INVALID – qty variance: use Fail or Pass after CA",""),"")&amp;IF(AND(TRIM(U375)="Pass after CA",ISNUMBER(AF375)),IF(AF375&lt;&gt;0,"INVALID – after the corrective action the actual qty must equal expected (update Actual)",""),"")&amp;IF(AND(TRIM(U375)="Pass",TRIM(AB375)&lt;&gt;"",TRIM(AB375)&lt;&gt;"Closed"),"INVALID – corrective action not closed: use Fail, then Pass after CA","")&amp;IF(AND(TRIM(AA375)&lt;&gt;"",TRIM(AB375)=""),"INVALID – CA status missing for the recorded corrective action","")&amp;IF(AND(TRIM(U375)="Pass after CA",OR(OR(LEN(BA375)&lt;5,ISNUMBER(MATCH(BA375,L_Placeholder,0))),TRIM(AB375)&lt;&gt;"Closed")),"INVALID – corrective action not recorded/closed","")</f>
        <v/>
      </c>
    </row>
    <row r="376" customFormat="false" ht="39.75" hidden="false" customHeight="true" outlineLevel="0" collapsed="false">
      <c r="A376" s="57" t="s">
        <v>963</v>
      </c>
      <c r="B376" s="57" t="s">
        <v>255</v>
      </c>
      <c r="C376" s="57" t="str">
        <f aca="false">Flights!$F$15</f>
        <v>MH1149</v>
      </c>
      <c r="D376" s="58" t="n">
        <f aca="false">Flights!$D$15</f>
        <v>46307</v>
      </c>
      <c r="E376" s="57" t="str">
        <f aca="false">Flights!$G$15&amp;"-"&amp;Flights!$H$15</f>
        <v>PEN-KUL</v>
      </c>
      <c r="F376" s="57" t="str">
        <f aca="false">Flights!$K$15</f>
        <v>EY</v>
      </c>
      <c r="G376" s="57" t="s">
        <v>437</v>
      </c>
      <c r="H376" s="57" t="s">
        <v>438</v>
      </c>
      <c r="I376" s="57" t="s">
        <v>357</v>
      </c>
      <c r="J376" s="57" t="s">
        <v>439</v>
      </c>
      <c r="K376" s="67" t="s">
        <v>404</v>
      </c>
      <c r="L376" s="67" t="s">
        <v>440</v>
      </c>
      <c r="M376" s="67"/>
      <c r="N376" s="67" t="s">
        <v>361</v>
      </c>
      <c r="O376" s="67" t="s">
        <v>441</v>
      </c>
      <c r="P376" s="57" t="s">
        <v>251</v>
      </c>
      <c r="Q376" s="59" t="n">
        <f aca="false">ROUND((Flights!$AF$15)*1440,0)/1440</f>
        <v>46307.3263888889</v>
      </c>
      <c r="R376" s="59" t="n">
        <f aca="false">Q376+(IF(AND(INDEX(TZ_DSTS,MATCH(P376,TZ_STN,0))&lt;&gt;"",Q376&gt;=INDEX(TZ_DSTS,MATCH(P376,TZ_STN,0)),Q376&lt;INDEX(TZ_DSTE,MATCH(P376,TZ_STN,0))),INDEX(TZ_DST,MATCH(P376,TZ_STN,0)),INDEX(TZ_STD,MATCH(P376,TZ_STN,0))))/24</f>
        <v>46307.6597222222</v>
      </c>
      <c r="S376" s="59" t="n">
        <f aca="false">IF(ISNUMBER(Flights!$AZ$15),MAX(Q376-UpliftWindowH/24,Flights!$AZ$15),Q376-UpliftWindowH/24)</f>
        <v>46307.1979166667</v>
      </c>
      <c r="T376" s="60"/>
      <c r="U376" s="60"/>
      <c r="V376" s="60"/>
      <c r="W376" s="61"/>
      <c r="X376" s="60"/>
      <c r="Y376" s="60"/>
      <c r="Z376" s="60"/>
      <c r="AA376" s="60"/>
      <c r="AB376" s="60"/>
      <c r="AC376" s="60"/>
      <c r="AD376" s="66"/>
      <c r="AE376" s="60"/>
      <c r="AF376" s="61" t="str">
        <f aca="false">IF(AND(ISNUMBER(X376),ISNUMBER(Y376)),Y376-X376,"")</f>
        <v/>
      </c>
      <c r="AG376" s="62" t="str">
        <f aca="false">IF(ISNUMBER(AD376),AD376-(IF(AND(INDEX(TZ_DSTS,MATCH(P376,TZ_STN,0))&lt;&gt;"",(AD376-INDEX(TZ_STD,MATCH(P376,TZ_STN,0))/24)&gt;=INDEX(TZ_DSTS,MATCH(P376,TZ_STN,0)),(AD376-INDEX(TZ_STD,MATCH(P376,TZ_STN,0))/24)&lt;INDEX(TZ_DSTE,MATCH(P376,TZ_STN,0))),INDEX(TZ_DST,MATCH(P376,TZ_STN,0)),INDEX(TZ_STD,MATCH(P376,TZ_STN,0))))/24,"")</f>
        <v/>
      </c>
      <c r="AH376" s="65" t="str">
        <f aca="false">IFERROR(IF(N376="N/A – rule","N/A – RULE",IF(TRIM(U376)="N/A",IF(AT376=0,"INVALID – N/A not permitted for this check",IF(AND(TRIM(AB376)&lt;&gt;"",TRIM(AB376)&lt;&gt;"Closed"),"INVALID – corrective action still open",IF(AND(NOT(OR(LEN(AZ376)&lt;15,ISNUMBER(MATCH(AZ376,L_Placeholder,0)))),NOT(OR(LEN(AU376)&lt;2,ISNUMBER(MATCH(AU376,L_Placeholder,0)))),NOT(OR(LEN(AX376)&lt;2,ISNUMBER(MATCH(AX376,L_Placeholder,0)))),TRIM(AE376)&lt;&gt;TRIM(T376)),"N/A – JUSTIFIED","INVALID – N/A needs a real justification (15+ chars), PIC and a different verifier"))),IF(OR(TRIM(U376)="Pass",TRIM(U376)="Pass after CA"),IF(NOT(ISNUMBER(AD376)),"INVALID – completion time missing",IF(OR(LEN(AU376)&lt;2,ISNUMBER(MATCH(AU376,L_Placeholder,0))),"INVALID – PIC missing",IF(OR(LEN(AV376)&lt;2,ISNUMBER(MATCH(AV376,L_Placeholder,0))),"INVALID – result / assessment missing",IF(OR(OR(LEN(AW376)&lt;3,ISNUMBER(MATCH(AW376,L_Placeholder,0))),SUMPRODUCT(--ISNUMBER(SEARCH(L_EvidencePhrase,AW376)))&gt;0),"INVALID – evidence missing, placeholder or not yet on file",IF(OR(LEN(AX376)&lt;2,ISNUMBER(MATCH(AX376,L_Placeholder,0))),"INVALID – verifier missing",IF(AX376=AU376,"INVALID – verifier must be someone other than the PIC",IF(AND(TRIM(U376)="Pass",SUMPRODUCT(--ISNUMBER(SEARCH(L_ResultBad,AV376)))&gt;0),"INVALID – result describes a problem: use Fail, then Pass after CA",IF(AND(AQ376=1,OR(LEN(AY376)&lt;3,ISNUMBER(MATCH(AY376,L_Placeholder,0)))),"INVALID – batch ID missing or placeholder",IF(AND(AR376=1,OR(NOT(ISNUMBER(X376)),NOT(ISNUMBER(Y376)))),"INVALID – expected/actual qty missing",IF(AND(AR376=1,OR(X376&lt;=0,Y376&lt;0)),"INVALID – expected qty must be above 0 and actual not negative",IF(AH369="N/A – JUSTIFIED","INVALID – preparation row F11-T12-02 is N/A",IF(AND(AR376=1,ISNUMBER(X369),X376&lt;&gt;X369),"INVALID – expected qty differs from preparation check F11-T12-02",IF(BB376&lt;&gt;"",BB376,IF(AND(AS376=1,Documents!$J$15&lt;&gt;"ON FILE"),"INVALID – GLD not on file (Documents sheet)",IF(AND(AS376=2,Documents!$O$15&lt;&gt;"ON FILE"),"INVALID – menu checklist not on file (Documents sheet)",IF(AND(AS376=3,NOT(ISNUMBER(Flights!$AX$15))),"INVALID – enter carrying flight KUL departure (Flights AX)",IF(AND(AS376=3,OR(Flights!$AZ$15&gt;Flights!$AA$15,Flights!$AX$15&lt;Flights!$AA$15-3)),"INVALID – carrying flight (Flights AX) cannot arrive before this leg's STD, or is over 3 days early",IF(AG376&gt;AsOfUTC,"INVALID – completion time is in the future",IF(AND(ISNUMBER(S376),AG376&lt;S376),IF(H376="Physical uplift","INVALID – before uplift window (cannot confirm loading)","INVALID – before valid window"),IF(AG376&gt;Flights!$AA$15,"INVALID – completed after departure (cannot establish readiness)",IF(AND(H376="Preparation",AG376&gt;IF(ISNUMBER(Flights!$BA$15),MIN(Flights!$BA$15,Flights!$AA$15),Flights!$AA$15)),"INVALID – completed after loading / departure (cannot establish readiness)",IF(AND(H376="Physical uplift",AG376&gt;Q376),"INVALID – recorded after the loading flight departed",IF(AG376&gt;Q376,"COMPLETE – LATE","COMPLETE"))))))))))))))))))))))),IF(TRIM(U376)="Fail","FAIL – DISCREPANCY",IF(AND(TRIM(U376)&lt;&gt;"",TRIM(U376)&lt;&gt;"Not started",TRIM(U376)&lt;&gt;"In progress"),"INVALID – unrecognised status (use the list)",IF(AsOfUTC&gt;Q376,"OVERDUE",IF(N376="Clarification required","OPEN – CLARIFICATION","OPEN"))))))),"INVALID – error value in an input cell")</f>
        <v>OPEN</v>
      </c>
      <c r="AI376" s="61" t="n">
        <f aca="false">IF(OR(AH376="N/A – RULE",AH376="N/A – JUSTIFIED"),0,1)</f>
        <v>1</v>
      </c>
      <c r="AJ376" s="61" t="n">
        <f aca="false">IF(LEFT(AH376,8)="COMPLETE",1,0)</f>
        <v>0</v>
      </c>
      <c r="AK376" s="61" t="n">
        <f aca="false">IF(AND(AI376=1,AJ376=0,AsOfUTC&gt;Q376),1,0)</f>
        <v>0</v>
      </c>
      <c r="AL376" s="61" t="n">
        <f aca="false">IFERROR(IF(AND(AI376=1,OR(TRIM(U376)="Fail",AND(TRIM(AB376)&lt;&gt;"",TRIM(AB376)&lt;&gt;"Closed"),AND(ISNUMBER(AF376),AF376&lt;&gt;0,TRIM(U376)&lt;&gt;"Pass after CA"))),1,0),1)</f>
        <v>0</v>
      </c>
      <c r="AM376" s="61" t="n">
        <f aca="false">IF(LEFT(AH376,7)="INVALID",1,0)</f>
        <v>0</v>
      </c>
      <c r="AN376" s="61" t="n">
        <f aca="false">IF(AND(N376="Clarification required",AI376=1,AJ376=0),1,0)</f>
        <v>0</v>
      </c>
      <c r="AO376" s="61" t="str">
        <f aca="false">IF(AK376=1,SUM(AK$5:AK376),"")</f>
        <v/>
      </c>
      <c r="AP376" s="61" t="str">
        <f aca="false">IF(AL376=1,SUM(AL$5:AL376),"")</f>
        <v/>
      </c>
      <c r="AQ376" s="61" t="n">
        <v>0</v>
      </c>
      <c r="AR376" s="61" t="n">
        <v>1</v>
      </c>
      <c r="AS376" s="61" t="n">
        <v>0</v>
      </c>
      <c r="AT376" s="61" t="n">
        <v>0</v>
      </c>
      <c r="AU376" s="61" t="str">
        <f aca="false">SUBSTITUTE(SUBSTITUTE(SUBSTITUTE(SUBSTITUTE(SUBSTITUTE(SUBSTITUTE(SUBSTITUTE(SUBSTITUTE(SUBSTITUTE(SUBSTITUTE(SUBSTITUTE(SUBSTITUTE(SUBSTITUTE(LOWER(T376&amp;""),CHAR(160),"")," ",""),".",""),"-",""),"/",""),"?",""),"_",""),",",""),"[",""),"]",""),"(",""),")",""),"*","")</f>
        <v/>
      </c>
      <c r="AV376" s="61" t="str">
        <f aca="false">SUBSTITUTE(SUBSTITUTE(SUBSTITUTE(SUBSTITUTE(SUBSTITUTE(SUBSTITUTE(SUBSTITUTE(SUBSTITUTE(SUBSTITUTE(SUBSTITUTE(SUBSTITUTE(SUBSTITUTE(SUBSTITUTE(LOWER(V376&amp;""),CHAR(160),"")," ",""),".",""),"-",""),"/",""),"?",""),"_",""),",",""),"[",""),"]",""),"(",""),")",""),"*","")</f>
        <v/>
      </c>
      <c r="AW376" s="61" t="str">
        <f aca="false">SUBSTITUTE(SUBSTITUTE(SUBSTITUTE(SUBSTITUTE(SUBSTITUTE(SUBSTITUTE(SUBSTITUTE(SUBSTITUTE(SUBSTITUTE(SUBSTITUTE(SUBSTITUTE(SUBSTITUTE(SUBSTITUTE(LOWER(Z376&amp;""),CHAR(160),"")," ",""),".",""),"-",""),"/",""),"?",""),"_",""),",",""),"[",""),"]",""),"(",""),")",""),"*","")</f>
        <v/>
      </c>
      <c r="AX376" s="61" t="str">
        <f aca="false">SUBSTITUTE(SUBSTITUTE(SUBSTITUTE(SUBSTITUTE(SUBSTITUTE(SUBSTITUTE(SUBSTITUTE(SUBSTITUTE(SUBSTITUTE(SUBSTITUTE(SUBSTITUTE(SUBSTITUTE(SUBSTITUTE(LOWER(AE376&amp;""),CHAR(160),"")," ",""),".",""),"-",""),"/",""),"?",""),"_",""),",",""),"[",""),"]",""),"(",""),")",""),"*","")</f>
        <v/>
      </c>
      <c r="AY376" s="61" t="str">
        <f aca="false">SUBSTITUTE(SUBSTITUTE(SUBSTITUTE(SUBSTITUTE(SUBSTITUTE(SUBSTITUTE(SUBSTITUTE(SUBSTITUTE(SUBSTITUTE(SUBSTITUTE(SUBSTITUTE(SUBSTITUTE(SUBSTITUTE(LOWER(W376&amp;""),CHAR(160),"")," ",""),".",""),"-",""),"/",""),"?",""),"_",""),",",""),"[",""),"]",""),"(",""),")",""),"*","")</f>
        <v/>
      </c>
      <c r="AZ376" s="61" t="str">
        <f aca="false">SUBSTITUTE(SUBSTITUTE(SUBSTITUTE(SUBSTITUTE(SUBSTITUTE(SUBSTITUTE(SUBSTITUTE(SUBSTITUTE(SUBSTITUTE(SUBSTITUTE(SUBSTITUTE(SUBSTITUTE(SUBSTITUTE(LOWER(AC376&amp;""),CHAR(160),"")," ",""),".",""),"-",""),"/",""),"?",""),"_",""),",",""),"[",""),"]",""),"(",""),")",""),"*","")</f>
        <v/>
      </c>
      <c r="BA376" s="61" t="str">
        <f aca="false">SUBSTITUTE(SUBSTITUTE(SUBSTITUTE(SUBSTITUTE(SUBSTITUTE(SUBSTITUTE(SUBSTITUTE(SUBSTITUTE(SUBSTITUTE(SUBSTITUTE(SUBSTITUTE(SUBSTITUTE(SUBSTITUTE(LOWER(AA376&amp;""),CHAR(160),"")," ",""),".",""),"-",""),"/",""),"?",""),"_",""),",",""),"[",""),"]",""),"(",""),")",""),"*","")</f>
        <v/>
      </c>
      <c r="BB376" s="61" t="str">
        <f aca="false">IF(AND(TRIM(U376)="Pass",ISNUMBER(AF376)),IF(AF376&lt;&gt;0,"INVALID – qty variance: use Fail or Pass after CA",""),"")&amp;IF(AND(TRIM(U376)="Pass after CA",ISNUMBER(AF376)),IF(AF376&lt;&gt;0,"INVALID – after the corrective action the actual qty must equal expected (update Actual)",""),"")&amp;IF(AND(TRIM(U376)="Pass",TRIM(AB376)&lt;&gt;"",TRIM(AB376)&lt;&gt;"Closed"),"INVALID – corrective action not closed: use Fail, then Pass after CA","")&amp;IF(AND(TRIM(AA376)&lt;&gt;"",TRIM(AB376)=""),"INVALID – CA status missing for the recorded corrective action","")&amp;IF(AND(TRIM(U376)="Pass after CA",OR(OR(LEN(BA376)&lt;5,ISNUMBER(MATCH(BA376,L_Placeholder,0))),TRIM(AB376)&lt;&gt;"Closed")),"INVALID – corrective action not recorded/closed","")</f>
        <v/>
      </c>
    </row>
    <row r="377" customFormat="false" ht="39.75" hidden="false" customHeight="true" outlineLevel="0" collapsed="false">
      <c r="A377" s="57" t="s">
        <v>964</v>
      </c>
      <c r="B377" s="57" t="s">
        <v>255</v>
      </c>
      <c r="C377" s="57" t="str">
        <f aca="false">Flights!$F$15</f>
        <v>MH1149</v>
      </c>
      <c r="D377" s="58" t="n">
        <f aca="false">Flights!$D$15</f>
        <v>46307</v>
      </c>
      <c r="E377" s="57" t="str">
        <f aca="false">Flights!$G$15&amp;"-"&amp;Flights!$H$15</f>
        <v>PEN-KUL</v>
      </c>
      <c r="F377" s="57" t="str">
        <f aca="false">Flights!$K$15</f>
        <v>EY</v>
      </c>
      <c r="G377" s="57" t="s">
        <v>437</v>
      </c>
      <c r="H377" s="57" t="s">
        <v>438</v>
      </c>
      <c r="I377" s="57" t="s">
        <v>406</v>
      </c>
      <c r="J377" s="57" t="s">
        <v>443</v>
      </c>
      <c r="K377" s="67" t="s">
        <v>404</v>
      </c>
      <c r="L377" s="67" t="s">
        <v>440</v>
      </c>
      <c r="M377" s="67"/>
      <c r="N377" s="67" t="s">
        <v>361</v>
      </c>
      <c r="O377" s="67" t="s">
        <v>441</v>
      </c>
      <c r="P377" s="57" t="s">
        <v>251</v>
      </c>
      <c r="Q377" s="59" t="n">
        <f aca="false">ROUND((Flights!$AF$15)*1440,0)/1440</f>
        <v>46307.3263888889</v>
      </c>
      <c r="R377" s="59" t="n">
        <f aca="false">Q377+(IF(AND(INDEX(TZ_DSTS,MATCH(P377,TZ_STN,0))&lt;&gt;"",Q377&gt;=INDEX(TZ_DSTS,MATCH(P377,TZ_STN,0)),Q377&lt;INDEX(TZ_DSTE,MATCH(P377,TZ_STN,0))),INDEX(TZ_DST,MATCH(P377,TZ_STN,0)),INDEX(TZ_STD,MATCH(P377,TZ_STN,0))))/24</f>
        <v>46307.6597222222</v>
      </c>
      <c r="S377" s="59" t="n">
        <f aca="false">IF(ISNUMBER(Flights!$AZ$15),MAX(Q377-UpliftWindowH/24,Flights!$AZ$15),Q377-UpliftWindowH/24)</f>
        <v>46307.1979166667</v>
      </c>
      <c r="T377" s="60"/>
      <c r="U377" s="60"/>
      <c r="V377" s="60"/>
      <c r="W377" s="61"/>
      <c r="X377" s="60"/>
      <c r="Y377" s="60"/>
      <c r="Z377" s="60"/>
      <c r="AA377" s="60"/>
      <c r="AB377" s="60"/>
      <c r="AC377" s="60"/>
      <c r="AD377" s="66"/>
      <c r="AE377" s="60"/>
      <c r="AF377" s="61" t="str">
        <f aca="false">IF(AND(ISNUMBER(X377),ISNUMBER(Y377)),Y377-X377,"")</f>
        <v/>
      </c>
      <c r="AG377" s="62" t="str">
        <f aca="false">IF(ISNUMBER(AD377),AD377-(IF(AND(INDEX(TZ_DSTS,MATCH(P377,TZ_STN,0))&lt;&gt;"",(AD377-INDEX(TZ_STD,MATCH(P377,TZ_STN,0))/24)&gt;=INDEX(TZ_DSTS,MATCH(P377,TZ_STN,0)),(AD377-INDEX(TZ_STD,MATCH(P377,TZ_STN,0))/24)&lt;INDEX(TZ_DSTE,MATCH(P377,TZ_STN,0))),INDEX(TZ_DST,MATCH(P377,TZ_STN,0)),INDEX(TZ_STD,MATCH(P377,TZ_STN,0))))/24,"")</f>
        <v/>
      </c>
      <c r="AH377" s="65" t="str">
        <f aca="false">IFERROR(IF(N377="N/A – rule","N/A – RULE",IF(TRIM(U377)="N/A",IF(AT377=0,"INVALID – N/A not permitted for this check",IF(AND(TRIM(AB377)&lt;&gt;"",TRIM(AB377)&lt;&gt;"Closed"),"INVALID – corrective action still open",IF(AND(NOT(OR(LEN(AZ377)&lt;15,ISNUMBER(MATCH(AZ377,L_Placeholder,0)))),NOT(OR(LEN(AU377)&lt;2,ISNUMBER(MATCH(AU377,L_Placeholder,0)))),NOT(OR(LEN(AX377)&lt;2,ISNUMBER(MATCH(AX377,L_Placeholder,0)))),TRIM(AE377)&lt;&gt;TRIM(T377)),"N/A – JUSTIFIED","INVALID – N/A needs a real justification (15+ chars), PIC and a different verifier"))),IF(OR(TRIM(U377)="Pass",TRIM(U377)="Pass after CA"),IF(NOT(ISNUMBER(AD377)),"INVALID – completion time missing",IF(OR(LEN(AU377)&lt;2,ISNUMBER(MATCH(AU377,L_Placeholder,0))),"INVALID – PIC missing",IF(OR(LEN(AV377)&lt;2,ISNUMBER(MATCH(AV377,L_Placeholder,0))),"INVALID – result / assessment missing",IF(OR(OR(LEN(AW377)&lt;3,ISNUMBER(MATCH(AW377,L_Placeholder,0))),SUMPRODUCT(--ISNUMBER(SEARCH(L_EvidencePhrase,AW377)))&gt;0),"INVALID – evidence missing, placeholder or not yet on file",IF(OR(LEN(AX377)&lt;2,ISNUMBER(MATCH(AX377,L_Placeholder,0))),"INVALID – verifier missing",IF(AX377=AU377,"INVALID – verifier must be someone other than the PIC",IF(AND(TRIM(U377)="Pass",SUMPRODUCT(--ISNUMBER(SEARCH(L_ResultBad,AV377)))&gt;0),"INVALID – result describes a problem: use Fail, then Pass after CA",IF(AND(AQ377=1,OR(LEN(AY377)&lt;3,ISNUMBER(MATCH(AY377,L_Placeholder,0)))),"INVALID – batch ID missing or placeholder",IF(AND(AR377=1,OR(NOT(ISNUMBER(X377)),NOT(ISNUMBER(Y377)))),"INVALID – expected/actual qty missing",IF(AND(AR377=1,OR(X377&lt;=0,Y377&lt;0)),"INVALID – expected qty must be above 0 and actual not negative",IF(AH373="N/A – JUSTIFIED","INVALID – preparation row F11-T12-06 is N/A",IF(AND(AR377=1,ISNUMBER(X373),X377&lt;&gt;X373),"INVALID – expected qty differs from preparation check F11-T12-06",IF(BB377&lt;&gt;"",BB377,IF(AND(AS377=1,Documents!$J$15&lt;&gt;"ON FILE"),"INVALID – GLD not on file (Documents sheet)",IF(AND(AS377=2,Documents!$O$15&lt;&gt;"ON FILE"),"INVALID – menu checklist not on file (Documents sheet)",IF(AND(AS377=3,NOT(ISNUMBER(Flights!$AX$15))),"INVALID – enter carrying flight KUL departure (Flights AX)",IF(AND(AS377=3,OR(Flights!$AZ$15&gt;Flights!$AA$15,Flights!$AX$15&lt;Flights!$AA$15-3)),"INVALID – carrying flight (Flights AX) cannot arrive before this leg's STD, or is over 3 days early",IF(AG377&gt;AsOfUTC,"INVALID – completion time is in the future",IF(AND(ISNUMBER(S377),AG377&lt;S377),IF(H377="Physical uplift","INVALID – before uplift window (cannot confirm loading)","INVALID – before valid window"),IF(AG377&gt;Flights!$AA$15,"INVALID – completed after departure (cannot establish readiness)",IF(AND(H377="Preparation",AG377&gt;IF(ISNUMBER(Flights!$BA$15),MIN(Flights!$BA$15,Flights!$AA$15),Flights!$AA$15)),"INVALID – completed after loading / departure (cannot establish readiness)",IF(AND(H377="Physical uplift",AG377&gt;Q377),"INVALID – recorded after the loading flight departed",IF(AG377&gt;Q377,"COMPLETE – LATE","COMPLETE"))))))))))))))))))))))),IF(TRIM(U377)="Fail","FAIL – DISCREPANCY",IF(AND(TRIM(U377)&lt;&gt;"",TRIM(U377)&lt;&gt;"Not started",TRIM(U377)&lt;&gt;"In progress"),"INVALID – unrecognised status (use the list)",IF(AsOfUTC&gt;Q377,"OVERDUE",IF(N377="Clarification required","OPEN – CLARIFICATION","OPEN"))))))),"INVALID – error value in an input cell")</f>
        <v>OPEN</v>
      </c>
      <c r="AI377" s="61" t="n">
        <f aca="false">IF(OR(AH377="N/A – RULE",AH377="N/A – JUSTIFIED"),0,1)</f>
        <v>1</v>
      </c>
      <c r="AJ377" s="61" t="n">
        <f aca="false">IF(LEFT(AH377,8)="COMPLETE",1,0)</f>
        <v>0</v>
      </c>
      <c r="AK377" s="61" t="n">
        <f aca="false">IF(AND(AI377=1,AJ377=0,AsOfUTC&gt;Q377),1,0)</f>
        <v>0</v>
      </c>
      <c r="AL377" s="61" t="n">
        <f aca="false">IFERROR(IF(AND(AI377=1,OR(TRIM(U377)="Fail",AND(TRIM(AB377)&lt;&gt;"",TRIM(AB377)&lt;&gt;"Closed"),AND(ISNUMBER(AF377),AF377&lt;&gt;0,TRIM(U377)&lt;&gt;"Pass after CA"))),1,0),1)</f>
        <v>0</v>
      </c>
      <c r="AM377" s="61" t="n">
        <f aca="false">IF(LEFT(AH377,7)="INVALID",1,0)</f>
        <v>0</v>
      </c>
      <c r="AN377" s="61" t="n">
        <f aca="false">IF(AND(N377="Clarification required",AI377=1,AJ377=0),1,0)</f>
        <v>0</v>
      </c>
      <c r="AO377" s="61" t="str">
        <f aca="false">IF(AK377=1,SUM(AK$5:AK377),"")</f>
        <v/>
      </c>
      <c r="AP377" s="61" t="str">
        <f aca="false">IF(AL377=1,SUM(AL$5:AL377),"")</f>
        <v/>
      </c>
      <c r="AQ377" s="61" t="n">
        <v>0</v>
      </c>
      <c r="AR377" s="61" t="n">
        <v>1</v>
      </c>
      <c r="AS377" s="61" t="n">
        <v>0</v>
      </c>
      <c r="AT377" s="61" t="n">
        <v>0</v>
      </c>
      <c r="AU377" s="61" t="str">
        <f aca="false">SUBSTITUTE(SUBSTITUTE(SUBSTITUTE(SUBSTITUTE(SUBSTITUTE(SUBSTITUTE(SUBSTITUTE(SUBSTITUTE(SUBSTITUTE(SUBSTITUTE(SUBSTITUTE(SUBSTITUTE(SUBSTITUTE(LOWER(T377&amp;""),CHAR(160),"")," ",""),".",""),"-",""),"/",""),"?",""),"_",""),",",""),"[",""),"]",""),"(",""),")",""),"*","")</f>
        <v/>
      </c>
      <c r="AV377" s="61" t="str">
        <f aca="false">SUBSTITUTE(SUBSTITUTE(SUBSTITUTE(SUBSTITUTE(SUBSTITUTE(SUBSTITUTE(SUBSTITUTE(SUBSTITUTE(SUBSTITUTE(SUBSTITUTE(SUBSTITUTE(SUBSTITUTE(SUBSTITUTE(LOWER(V377&amp;""),CHAR(160),"")," ",""),".",""),"-",""),"/",""),"?",""),"_",""),",",""),"[",""),"]",""),"(",""),")",""),"*","")</f>
        <v/>
      </c>
      <c r="AW377" s="61" t="str">
        <f aca="false">SUBSTITUTE(SUBSTITUTE(SUBSTITUTE(SUBSTITUTE(SUBSTITUTE(SUBSTITUTE(SUBSTITUTE(SUBSTITUTE(SUBSTITUTE(SUBSTITUTE(SUBSTITUTE(SUBSTITUTE(SUBSTITUTE(LOWER(Z377&amp;""),CHAR(160),"")," ",""),".",""),"-",""),"/",""),"?",""),"_",""),",",""),"[",""),"]",""),"(",""),")",""),"*","")</f>
        <v/>
      </c>
      <c r="AX377" s="61" t="str">
        <f aca="false">SUBSTITUTE(SUBSTITUTE(SUBSTITUTE(SUBSTITUTE(SUBSTITUTE(SUBSTITUTE(SUBSTITUTE(SUBSTITUTE(SUBSTITUTE(SUBSTITUTE(SUBSTITUTE(SUBSTITUTE(SUBSTITUTE(LOWER(AE377&amp;""),CHAR(160),"")," ",""),".",""),"-",""),"/",""),"?",""),"_",""),",",""),"[",""),"]",""),"(",""),")",""),"*","")</f>
        <v/>
      </c>
      <c r="AY377" s="61" t="str">
        <f aca="false">SUBSTITUTE(SUBSTITUTE(SUBSTITUTE(SUBSTITUTE(SUBSTITUTE(SUBSTITUTE(SUBSTITUTE(SUBSTITUTE(SUBSTITUTE(SUBSTITUTE(SUBSTITUTE(SUBSTITUTE(SUBSTITUTE(LOWER(W377&amp;""),CHAR(160),"")," ",""),".",""),"-",""),"/",""),"?",""),"_",""),",",""),"[",""),"]",""),"(",""),")",""),"*","")</f>
        <v/>
      </c>
      <c r="AZ377" s="61" t="str">
        <f aca="false">SUBSTITUTE(SUBSTITUTE(SUBSTITUTE(SUBSTITUTE(SUBSTITUTE(SUBSTITUTE(SUBSTITUTE(SUBSTITUTE(SUBSTITUTE(SUBSTITUTE(SUBSTITUTE(SUBSTITUTE(SUBSTITUTE(LOWER(AC377&amp;""),CHAR(160),"")," ",""),".",""),"-",""),"/",""),"?",""),"_",""),",",""),"[",""),"]",""),"(",""),")",""),"*","")</f>
        <v/>
      </c>
      <c r="BA377" s="61" t="str">
        <f aca="false">SUBSTITUTE(SUBSTITUTE(SUBSTITUTE(SUBSTITUTE(SUBSTITUTE(SUBSTITUTE(SUBSTITUTE(SUBSTITUTE(SUBSTITUTE(SUBSTITUTE(SUBSTITUTE(SUBSTITUTE(SUBSTITUTE(LOWER(AA377&amp;""),CHAR(160),"")," ",""),".",""),"-",""),"/",""),"?",""),"_",""),",",""),"[",""),"]",""),"(",""),")",""),"*","")</f>
        <v/>
      </c>
      <c r="BB377" s="61" t="str">
        <f aca="false">IF(AND(TRIM(U377)="Pass",ISNUMBER(AF377)),IF(AF377&lt;&gt;0,"INVALID – qty variance: use Fail or Pass after CA",""),"")&amp;IF(AND(TRIM(U377)="Pass after CA",ISNUMBER(AF377)),IF(AF377&lt;&gt;0,"INVALID – after the corrective action the actual qty must equal expected (update Actual)",""),"")&amp;IF(AND(TRIM(U377)="Pass",TRIM(AB377)&lt;&gt;"",TRIM(AB377)&lt;&gt;"Closed"),"INVALID – corrective action not closed: use Fail, then Pass after CA","")&amp;IF(AND(TRIM(AA377)&lt;&gt;"",TRIM(AB377)=""),"INVALID – CA status missing for the recorded corrective action","")&amp;IF(AND(TRIM(U377)="Pass after CA",OR(OR(LEN(BA377)&lt;5,ISNUMBER(MATCH(BA377,L_Placeholder,0))),TRIM(AB377)&lt;&gt;"Closed")),"INVALID – corrective action not recorded/closed","")</f>
        <v/>
      </c>
    </row>
    <row r="378" customFormat="false" ht="66" hidden="false" customHeight="true" outlineLevel="0" collapsed="false">
      <c r="A378" s="57" t="s">
        <v>965</v>
      </c>
      <c r="B378" s="57" t="s">
        <v>255</v>
      </c>
      <c r="C378" s="57" t="str">
        <f aca="false">Flights!$F$15</f>
        <v>MH1149</v>
      </c>
      <c r="D378" s="58" t="n">
        <f aca="false">Flights!$D$15</f>
        <v>46307</v>
      </c>
      <c r="E378" s="57" t="str">
        <f aca="false">Flights!$G$15&amp;"-"&amp;Flights!$H$15</f>
        <v>PEN-KUL</v>
      </c>
      <c r="F378" s="57" t="str">
        <f aca="false">Flights!$K$15</f>
        <v>EY</v>
      </c>
      <c r="G378" s="57" t="s">
        <v>437</v>
      </c>
      <c r="H378" s="57" t="s">
        <v>438</v>
      </c>
      <c r="I378" s="57" t="s">
        <v>389</v>
      </c>
      <c r="J378" s="57" t="s">
        <v>966</v>
      </c>
      <c r="K378" s="67" t="s">
        <v>967</v>
      </c>
      <c r="L378" s="67" t="s">
        <v>968</v>
      </c>
      <c r="M378" s="67"/>
      <c r="N378" s="67" t="s">
        <v>361</v>
      </c>
      <c r="O378" s="67" t="s">
        <v>969</v>
      </c>
      <c r="P378" s="57" t="s">
        <v>184</v>
      </c>
      <c r="Q378" s="59" t="n">
        <f aca="false">ROUND((Flights!$AY$15+UpliftWindowH/24)*1440,0)/1440</f>
        <v>46307.15625</v>
      </c>
      <c r="R378" s="59" t="n">
        <f aca="false">Q378+(IF(AND(INDEX(TZ_DSTS,MATCH(P378,TZ_STN,0))&lt;&gt;"",Q378&gt;=INDEX(TZ_DSTS,MATCH(P378,TZ_STN,0)),Q378&lt;INDEX(TZ_DSTE,MATCH(P378,TZ_STN,0))),INDEX(TZ_DST,MATCH(P378,TZ_STN,0)),INDEX(TZ_STD,MATCH(P378,TZ_STN,0))))/24</f>
        <v>46307.4895833333</v>
      </c>
      <c r="S378" s="59" t="n">
        <f aca="false">Q378-UpliftWindowH/24</f>
        <v>46306.90625</v>
      </c>
      <c r="T378" s="60"/>
      <c r="U378" s="60"/>
      <c r="V378" s="60"/>
      <c r="W378" s="61"/>
      <c r="X378" s="60"/>
      <c r="Y378" s="60"/>
      <c r="Z378" s="60"/>
      <c r="AA378" s="60"/>
      <c r="AB378" s="60"/>
      <c r="AC378" s="60"/>
      <c r="AD378" s="66"/>
      <c r="AE378" s="60"/>
      <c r="AF378" s="61" t="str">
        <f aca="false">IF(AND(ISNUMBER(X378),ISNUMBER(Y378)),Y378-X378,"")</f>
        <v/>
      </c>
      <c r="AG378" s="62" t="str">
        <f aca="false">IF(ISNUMBER(AD378),AD378-(IF(AND(INDEX(TZ_DSTS,MATCH(P378,TZ_STN,0))&lt;&gt;"",(AD378-INDEX(TZ_STD,MATCH(P378,TZ_STN,0))/24)&gt;=INDEX(TZ_DSTS,MATCH(P378,TZ_STN,0)),(AD378-INDEX(TZ_STD,MATCH(P378,TZ_STN,0))/24)&lt;INDEX(TZ_DSTE,MATCH(P378,TZ_STN,0))),INDEX(TZ_DST,MATCH(P378,TZ_STN,0)),INDEX(TZ_STD,MATCH(P378,TZ_STN,0))))/24,"")</f>
        <v/>
      </c>
      <c r="AH378" s="65" t="str">
        <f aca="false">IFERROR(IF(N378="N/A – rule","N/A – RULE",IF(TRIM(U378)="N/A",IF(AT378=0,"INVALID – N/A not permitted for this check",IF(AND(TRIM(AB378)&lt;&gt;"",TRIM(AB378)&lt;&gt;"Closed"),"INVALID – corrective action still open",IF(AND(NOT(OR(LEN(AZ378)&lt;15,ISNUMBER(MATCH(AZ378,L_Placeholder,0)))),NOT(OR(LEN(AU378)&lt;2,ISNUMBER(MATCH(AU378,L_Placeholder,0)))),NOT(OR(LEN(AX378)&lt;2,ISNUMBER(MATCH(AX378,L_Placeholder,0)))),TRIM(AE378)&lt;&gt;TRIM(T378)),"N/A – JUSTIFIED","INVALID – N/A needs a real justification (15+ chars), PIC and a different verifier"))),IF(OR(TRIM(U378)="Pass",TRIM(U378)="Pass after CA"),IF(NOT(ISNUMBER(AD378)),"INVALID – completion time missing",IF(OR(LEN(AU378)&lt;2,ISNUMBER(MATCH(AU378,L_Placeholder,0))),"INVALID – PIC missing",IF(OR(LEN(AV378)&lt;2,ISNUMBER(MATCH(AV378,L_Placeholder,0))),"INVALID – result / assessment missing",IF(OR(OR(LEN(AW378)&lt;3,ISNUMBER(MATCH(AW378,L_Placeholder,0))),SUMPRODUCT(--ISNUMBER(SEARCH(L_EvidencePhrase,AW378)))&gt;0),"INVALID – evidence missing, placeholder or not yet on file",IF(OR(LEN(AX378)&lt;2,ISNUMBER(MATCH(AX378,L_Placeholder,0))),"INVALID – verifier missing",IF(AX378=AU378,"INVALID – verifier must be someone other than the PIC",IF(AND(TRIM(U378)="Pass",SUMPRODUCT(--ISNUMBER(SEARCH(L_ResultBad,AV378)))&gt;0),"INVALID – result describes a problem: use Fail, then Pass after CA",IF(AND(AQ378=1,OR(LEN(AY378)&lt;3,ISNUMBER(MATCH(AY378,L_Placeholder,0)))),"INVALID – batch ID missing or placeholder",IF(AND(AR378=1,OR(NOT(ISNUMBER(X378)),NOT(ISNUMBER(Y378)))),"INVALID – expected/actual qty missing",IF(AND(AR378=1,OR(X378&lt;=0,Y378&lt;0)),"INVALID – expected qty must be above 0 and actual not negative",IF(BB378&lt;&gt;"",BB378,IF(AND(AS378=1,Documents!$J$15&lt;&gt;"ON FILE"),"INVALID – GLD not on file (Documents sheet)",IF(AND(AS378=2,Documents!$O$15&lt;&gt;"ON FILE"),"INVALID – menu checklist not on file (Documents sheet)",IF(AND(AS378=3,NOT(ISNUMBER(Flights!$AX$15))),"INVALID – enter carrying flight KUL departure (Flights AX)",IF(AND(AS378=3,OR(Flights!$AZ$15&gt;Flights!$AA$15,Flights!$AX$15&lt;Flights!$AA$15-3)),"INVALID – carrying flight (Flights AX) cannot arrive before this leg's STD, or is over 3 days early",IF(AG378&gt;AsOfUTC,"INVALID – completion time is in the future",IF(AND(ISNUMBER(S378),AG378&lt;S378),IF(H378="Physical uplift","INVALID – before uplift window (cannot confirm loading)","INVALID – before valid window"),IF(AG378&gt;Flights!$AA$15,"INVALID – completed after departure (cannot establish readiness)",IF(AND(H378="Preparation",AG378&gt;Flights!$AY$15+UpliftWindowH/24),"INVALID – completed after the carrying flight left KUL",IF(AND(H378="Physical uplift",AG378&gt;Q378),"INVALID – recorded after the loading flight departed",IF(AG378&gt;Q378,"COMPLETE – LATE","COMPLETE"))))))))))))))))))))),IF(TRIM(U378)="Fail","FAIL – DISCREPANCY",IF(AND(TRIM(U378)&lt;&gt;"",TRIM(U378)&lt;&gt;"Not started",TRIM(U378)&lt;&gt;"In progress"),"INVALID – unrecognised status (use the list)",IF(AsOfUTC&gt;Q378,"OVERDUE",IF(N378="Clarification required","OPEN – CLARIFICATION","OPEN"))))))),"INVALID – error value in an input cell")</f>
        <v>OPEN</v>
      </c>
      <c r="AI378" s="61" t="n">
        <f aca="false">IF(OR(AH378="N/A – RULE",AH378="N/A – JUSTIFIED"),0,1)</f>
        <v>1</v>
      </c>
      <c r="AJ378" s="61" t="n">
        <f aca="false">IF(LEFT(AH378,8)="COMPLETE",1,0)</f>
        <v>0</v>
      </c>
      <c r="AK378" s="61" t="n">
        <f aca="false">IF(AND(AI378=1,AJ378=0,AsOfUTC&gt;Q378),1,0)</f>
        <v>0</v>
      </c>
      <c r="AL378" s="61" t="n">
        <f aca="false">IFERROR(IF(AND(AI378=1,OR(TRIM(U378)="Fail",AND(TRIM(AB378)&lt;&gt;"",TRIM(AB378)&lt;&gt;"Closed"),AND(ISNUMBER(AF378),AF378&lt;&gt;0,TRIM(U378)&lt;&gt;"Pass after CA"))),1,0),1)</f>
        <v>0</v>
      </c>
      <c r="AM378" s="61" t="n">
        <f aca="false">IF(LEFT(AH378,7)="INVALID",1,0)</f>
        <v>0</v>
      </c>
      <c r="AN378" s="61" t="n">
        <f aca="false">IF(AND(N378="Clarification required",AI378=1,AJ378=0),1,0)</f>
        <v>0</v>
      </c>
      <c r="AO378" s="61" t="str">
        <f aca="false">IF(AK378=1,SUM(AK$5:AK378),"")</f>
        <v/>
      </c>
      <c r="AP378" s="61" t="str">
        <f aca="false">IF(AL378=1,SUM(AL$5:AL378),"")</f>
        <v/>
      </c>
      <c r="AQ378" s="61" t="n">
        <v>0</v>
      </c>
      <c r="AR378" s="61" t="n">
        <v>0</v>
      </c>
      <c r="AS378" s="61" t="n">
        <v>0</v>
      </c>
      <c r="AT378" s="61" t="n">
        <v>0</v>
      </c>
      <c r="AU378" s="61" t="str">
        <f aca="false">SUBSTITUTE(SUBSTITUTE(SUBSTITUTE(SUBSTITUTE(SUBSTITUTE(SUBSTITUTE(SUBSTITUTE(SUBSTITUTE(SUBSTITUTE(SUBSTITUTE(SUBSTITUTE(SUBSTITUTE(SUBSTITUTE(LOWER(T378&amp;""),CHAR(160),"")," ",""),".",""),"-",""),"/",""),"?",""),"_",""),",",""),"[",""),"]",""),"(",""),")",""),"*","")</f>
        <v/>
      </c>
      <c r="AV378" s="61" t="str">
        <f aca="false">SUBSTITUTE(SUBSTITUTE(SUBSTITUTE(SUBSTITUTE(SUBSTITUTE(SUBSTITUTE(SUBSTITUTE(SUBSTITUTE(SUBSTITUTE(SUBSTITUTE(SUBSTITUTE(SUBSTITUTE(SUBSTITUTE(LOWER(V378&amp;""),CHAR(160),"")," ",""),".",""),"-",""),"/",""),"?",""),"_",""),",",""),"[",""),"]",""),"(",""),")",""),"*","")</f>
        <v/>
      </c>
      <c r="AW378" s="61" t="str">
        <f aca="false">SUBSTITUTE(SUBSTITUTE(SUBSTITUTE(SUBSTITUTE(SUBSTITUTE(SUBSTITUTE(SUBSTITUTE(SUBSTITUTE(SUBSTITUTE(SUBSTITUTE(SUBSTITUTE(SUBSTITUTE(SUBSTITUTE(LOWER(Z378&amp;""),CHAR(160),"")," ",""),".",""),"-",""),"/",""),"?",""),"_",""),",",""),"[",""),"]",""),"(",""),")",""),"*","")</f>
        <v/>
      </c>
      <c r="AX378" s="61" t="str">
        <f aca="false">SUBSTITUTE(SUBSTITUTE(SUBSTITUTE(SUBSTITUTE(SUBSTITUTE(SUBSTITUTE(SUBSTITUTE(SUBSTITUTE(SUBSTITUTE(SUBSTITUTE(SUBSTITUTE(SUBSTITUTE(SUBSTITUTE(LOWER(AE378&amp;""),CHAR(160),"")," ",""),".",""),"-",""),"/",""),"?",""),"_",""),",",""),"[",""),"]",""),"(",""),")",""),"*","")</f>
        <v/>
      </c>
      <c r="AY378" s="61" t="str">
        <f aca="false">SUBSTITUTE(SUBSTITUTE(SUBSTITUTE(SUBSTITUTE(SUBSTITUTE(SUBSTITUTE(SUBSTITUTE(SUBSTITUTE(SUBSTITUTE(SUBSTITUTE(SUBSTITUTE(SUBSTITUTE(SUBSTITUTE(LOWER(W378&amp;""),CHAR(160),"")," ",""),".",""),"-",""),"/",""),"?",""),"_",""),",",""),"[",""),"]",""),"(",""),")",""),"*","")</f>
        <v/>
      </c>
      <c r="AZ378" s="61" t="str">
        <f aca="false">SUBSTITUTE(SUBSTITUTE(SUBSTITUTE(SUBSTITUTE(SUBSTITUTE(SUBSTITUTE(SUBSTITUTE(SUBSTITUTE(SUBSTITUTE(SUBSTITUTE(SUBSTITUTE(SUBSTITUTE(SUBSTITUTE(LOWER(AC378&amp;""),CHAR(160),"")," ",""),".",""),"-",""),"/",""),"?",""),"_",""),",",""),"[",""),"]",""),"(",""),")",""),"*","")</f>
        <v/>
      </c>
      <c r="BA378" s="61" t="str">
        <f aca="false">SUBSTITUTE(SUBSTITUTE(SUBSTITUTE(SUBSTITUTE(SUBSTITUTE(SUBSTITUTE(SUBSTITUTE(SUBSTITUTE(SUBSTITUTE(SUBSTITUTE(SUBSTITUTE(SUBSTITUTE(SUBSTITUTE(LOWER(AA378&amp;""),CHAR(160),"")," ",""),".",""),"-",""),"/",""),"?",""),"_",""),",",""),"[",""),"]",""),"(",""),")",""),"*","")</f>
        <v/>
      </c>
      <c r="BB378" s="61" t="str">
        <f aca="false">IF(AND(TRIM(U378)="Pass",ISNUMBER(AF378)),IF(AF378&lt;&gt;0,"INVALID – qty variance: use Fail or Pass after CA",""),"")&amp;IF(AND(TRIM(U378)="Pass after CA",ISNUMBER(AF378)),IF(AF378&lt;&gt;0,"INVALID – after the corrective action the actual qty must equal expected (update Actual)",""),"")&amp;IF(AND(TRIM(U378)="Pass",TRIM(AB378)&lt;&gt;"",TRIM(AB378)&lt;&gt;"Closed"),"INVALID – corrective action not closed: use Fail, then Pass after CA","")&amp;IF(AND(TRIM(AA378)&lt;&gt;"",TRIM(AB378)=""),"INVALID – CA status missing for the recorded corrective action","")&amp;IF(AND(TRIM(U378)="Pass after CA",OR(OR(LEN(BA378)&lt;5,ISNUMBER(MATCH(BA378,L_Placeholder,0))),TRIM(AB378)&lt;&gt;"Closed")),"INVALID – corrective action not recorded/closed","")</f>
        <v/>
      </c>
    </row>
    <row r="379" customFormat="false" ht="39.75" hidden="false" customHeight="true" outlineLevel="0" collapsed="false">
      <c r="A379" s="57" t="s">
        <v>970</v>
      </c>
      <c r="B379" s="57" t="s">
        <v>255</v>
      </c>
      <c r="C379" s="57" t="str">
        <f aca="false">Flights!$F$15</f>
        <v>MH1149</v>
      </c>
      <c r="D379" s="58" t="n">
        <f aca="false">Flights!$D$15</f>
        <v>46307</v>
      </c>
      <c r="E379" s="57" t="str">
        <f aca="false">Flights!$G$15&amp;"-"&amp;Flights!$H$15</f>
        <v>PEN-KUL</v>
      </c>
      <c r="F379" s="57" t="str">
        <f aca="false">Flights!$K$15</f>
        <v>EY</v>
      </c>
      <c r="G379" s="57" t="s">
        <v>437</v>
      </c>
      <c r="H379" s="57" t="s">
        <v>438</v>
      </c>
      <c r="I379" s="57" t="s">
        <v>425</v>
      </c>
      <c r="J379" s="57" t="s">
        <v>447</v>
      </c>
      <c r="K379" s="67" t="s">
        <v>427</v>
      </c>
      <c r="L379" s="67" t="s">
        <v>961</v>
      </c>
      <c r="M379" s="67" t="s">
        <v>429</v>
      </c>
      <c r="N379" s="67" t="s">
        <v>361</v>
      </c>
      <c r="O379" s="67"/>
      <c r="P379" s="57" t="s">
        <v>251</v>
      </c>
      <c r="Q379" s="59" t="n">
        <f aca="false">ROUND((Flights!$AF$15)*1440,0)/1440</f>
        <v>46307.3263888889</v>
      </c>
      <c r="R379" s="59" t="n">
        <f aca="false">Q379+(IF(AND(INDEX(TZ_DSTS,MATCH(P379,TZ_STN,0))&lt;&gt;"",Q379&gt;=INDEX(TZ_DSTS,MATCH(P379,TZ_STN,0)),Q379&lt;INDEX(TZ_DSTE,MATCH(P379,TZ_STN,0))),INDEX(TZ_DST,MATCH(P379,TZ_STN,0)),INDEX(TZ_STD,MATCH(P379,TZ_STN,0))))/24</f>
        <v>46307.6597222222</v>
      </c>
      <c r="S379" s="59" t="n">
        <f aca="false">IF(ISNUMBER(Flights!$AZ$15),MAX(Q379-UpliftWindowH/24,Flights!$AZ$15),Q379-UpliftWindowH/24)</f>
        <v>46307.1979166667</v>
      </c>
      <c r="T379" s="60"/>
      <c r="U379" s="60"/>
      <c r="V379" s="60"/>
      <c r="W379" s="61"/>
      <c r="X379" s="60"/>
      <c r="Y379" s="60"/>
      <c r="Z379" s="60"/>
      <c r="AA379" s="60"/>
      <c r="AB379" s="60"/>
      <c r="AC379" s="60"/>
      <c r="AD379" s="66"/>
      <c r="AE379" s="60"/>
      <c r="AF379" s="61" t="str">
        <f aca="false">IF(AND(ISNUMBER(X379),ISNUMBER(Y379)),Y379-X379,"")</f>
        <v/>
      </c>
      <c r="AG379" s="62" t="str">
        <f aca="false">IF(ISNUMBER(AD379),AD379-(IF(AND(INDEX(TZ_DSTS,MATCH(P379,TZ_STN,0))&lt;&gt;"",(AD379-INDEX(TZ_STD,MATCH(P379,TZ_STN,0))/24)&gt;=INDEX(TZ_DSTS,MATCH(P379,TZ_STN,0)),(AD379-INDEX(TZ_STD,MATCH(P379,TZ_STN,0))/24)&lt;INDEX(TZ_DSTE,MATCH(P379,TZ_STN,0))),INDEX(TZ_DST,MATCH(P379,TZ_STN,0)),INDEX(TZ_STD,MATCH(P379,TZ_STN,0))))/24,"")</f>
        <v/>
      </c>
      <c r="AH379" s="65" t="str">
        <f aca="false">IFERROR(IF(N379="N/A – rule","N/A – RULE",IF(TRIM(U379)="N/A",IF(AT379=0,"INVALID – N/A not permitted for this check",IF(AND(TRIM(AB379)&lt;&gt;"",TRIM(AB379)&lt;&gt;"Closed"),"INVALID – corrective action still open",IF(AND(NOT(OR(LEN(AZ379)&lt;15,ISNUMBER(MATCH(AZ379,L_Placeholder,0)))),NOT(OR(LEN(AU379)&lt;2,ISNUMBER(MATCH(AU379,L_Placeholder,0)))),NOT(OR(LEN(AX379)&lt;2,ISNUMBER(MATCH(AX379,L_Placeholder,0)))),TRIM(AE379)&lt;&gt;TRIM(T379)),"N/A – JUSTIFIED","INVALID – N/A needs a real justification (15+ chars), PIC and a different verifier"))),IF(OR(TRIM(U379)="Pass",TRIM(U379)="Pass after CA"),IF(NOT(ISNUMBER(AD379)),"INVALID – completion time missing",IF(OR(LEN(AU379)&lt;2,ISNUMBER(MATCH(AU379,L_Placeholder,0))),"INVALID – PIC missing",IF(OR(LEN(AV379)&lt;2,ISNUMBER(MATCH(AV379,L_Placeholder,0))),"INVALID – result / assessment missing",IF(OR(OR(LEN(AW379)&lt;3,ISNUMBER(MATCH(AW379,L_Placeholder,0))),SUMPRODUCT(--ISNUMBER(SEARCH(L_EvidencePhrase,AW379)))&gt;0),"INVALID – evidence missing, placeholder or not yet on file",IF(OR(LEN(AX379)&lt;2,ISNUMBER(MATCH(AX379,L_Placeholder,0))),"INVALID – verifier missing",IF(AX379=AU379,"INVALID – verifier must be someone other than the PIC",IF(AND(TRIM(U379)="Pass",SUMPRODUCT(--ISNUMBER(SEARCH(L_ResultBad,AV379)))&gt;0),"INVALID – result describes a problem: use Fail, then Pass after CA",IF(AND(AQ379=1,OR(LEN(AY379)&lt;3,ISNUMBER(MATCH(AY379,L_Placeholder,0)))),"INVALID – batch ID missing or placeholder",IF(AND(AR379=1,OR(NOT(ISNUMBER(X379)),NOT(ISNUMBER(Y379)))),"INVALID – expected/actual qty missing",IF(AND(AR379=1,OR(X379&lt;=0,Y379&lt;0)),"INVALID – expected qty must be above 0 and actual not negative",IF(AH375="N/A – JUSTIFIED","INVALID – preparation row F11-T12-08 is N/A",IF(AND(AR379=1,ISNUMBER(X375),X379&lt;&gt;X375),"INVALID – expected qty differs from preparation check F11-T12-08",IF(BB379&lt;&gt;"",BB379,IF(AND(AS379=1,Documents!$J$15&lt;&gt;"ON FILE"),"INVALID – GLD not on file (Documents sheet)",IF(AND(AS379=2,Documents!$O$15&lt;&gt;"ON FILE"),"INVALID – menu checklist not on file (Documents sheet)",IF(AND(AS379=3,NOT(ISNUMBER(Flights!$AX$15))),"INVALID – enter carrying flight KUL departure (Flights AX)",IF(AND(AS379=3,OR(Flights!$AZ$15&gt;Flights!$AA$15,Flights!$AX$15&lt;Flights!$AA$15-3)),"INVALID – carrying flight (Flights AX) cannot arrive before this leg's STD, or is over 3 days early",IF(AG379&gt;AsOfUTC,"INVALID – completion time is in the future",IF(AND(ISNUMBER(S379),AG379&lt;S379),IF(H379="Physical uplift","INVALID – before uplift window (cannot confirm loading)","INVALID – before valid window"),IF(AG379&gt;Flights!$AA$15,"INVALID – completed after departure (cannot establish readiness)",IF(AND(H379="Preparation",AG379&gt;IF(ISNUMBER(Flights!$BA$15),MIN(Flights!$BA$15,Flights!$AA$15),Flights!$AA$15)),"INVALID – completed after loading / departure (cannot establish readiness)",IF(AND(H379="Physical uplift",AG379&gt;Q379),"INVALID – recorded after the loading flight departed",IF(AG379&gt;Q379,"COMPLETE – LATE","COMPLETE"))))))))))))))))))))))),IF(TRIM(U379)="Fail","FAIL – DISCREPANCY",IF(AND(TRIM(U379)&lt;&gt;"",TRIM(U379)&lt;&gt;"Not started",TRIM(U379)&lt;&gt;"In progress"),"INVALID – unrecognised status (use the list)",IF(AsOfUTC&gt;Q379,"OVERDUE",IF(N379="Clarification required","OPEN – CLARIFICATION","OPEN"))))))),"INVALID – error value in an input cell")</f>
        <v>OPEN</v>
      </c>
      <c r="AI379" s="61" t="n">
        <f aca="false">IF(OR(AH379="N/A – RULE",AH379="N/A – JUSTIFIED"),0,1)</f>
        <v>1</v>
      </c>
      <c r="AJ379" s="61" t="n">
        <f aca="false">IF(LEFT(AH379,8)="COMPLETE",1,0)</f>
        <v>0</v>
      </c>
      <c r="AK379" s="61" t="n">
        <f aca="false">IF(AND(AI379=1,AJ379=0,AsOfUTC&gt;Q379),1,0)</f>
        <v>0</v>
      </c>
      <c r="AL379" s="61" t="n">
        <f aca="false">IFERROR(IF(AND(AI379=1,OR(TRIM(U379)="Fail",AND(TRIM(AB379)&lt;&gt;"",TRIM(AB379)&lt;&gt;"Closed"),AND(ISNUMBER(AF379),AF379&lt;&gt;0,TRIM(U379)&lt;&gt;"Pass after CA"))),1,0),1)</f>
        <v>0</v>
      </c>
      <c r="AM379" s="61" t="n">
        <f aca="false">IF(LEFT(AH379,7)="INVALID",1,0)</f>
        <v>0</v>
      </c>
      <c r="AN379" s="61" t="n">
        <f aca="false">IF(AND(N379="Clarification required",AI379=1,AJ379=0),1,0)</f>
        <v>0</v>
      </c>
      <c r="AO379" s="61" t="str">
        <f aca="false">IF(AK379=1,SUM(AK$5:AK379),"")</f>
        <v/>
      </c>
      <c r="AP379" s="61" t="str">
        <f aca="false">IF(AL379=1,SUM(AL$5:AL379),"")</f>
        <v/>
      </c>
      <c r="AQ379" s="61" t="n">
        <v>0</v>
      </c>
      <c r="AR379" s="61" t="n">
        <v>0</v>
      </c>
      <c r="AS379" s="61" t="n">
        <v>0</v>
      </c>
      <c r="AT379" s="61" t="n">
        <v>0</v>
      </c>
      <c r="AU379" s="61" t="str">
        <f aca="false">SUBSTITUTE(SUBSTITUTE(SUBSTITUTE(SUBSTITUTE(SUBSTITUTE(SUBSTITUTE(SUBSTITUTE(SUBSTITUTE(SUBSTITUTE(SUBSTITUTE(SUBSTITUTE(SUBSTITUTE(SUBSTITUTE(LOWER(T379&amp;""),CHAR(160),"")," ",""),".",""),"-",""),"/",""),"?",""),"_",""),",",""),"[",""),"]",""),"(",""),")",""),"*","")</f>
        <v/>
      </c>
      <c r="AV379" s="61" t="str">
        <f aca="false">SUBSTITUTE(SUBSTITUTE(SUBSTITUTE(SUBSTITUTE(SUBSTITUTE(SUBSTITUTE(SUBSTITUTE(SUBSTITUTE(SUBSTITUTE(SUBSTITUTE(SUBSTITUTE(SUBSTITUTE(SUBSTITUTE(LOWER(V379&amp;""),CHAR(160),"")," ",""),".",""),"-",""),"/",""),"?",""),"_",""),",",""),"[",""),"]",""),"(",""),")",""),"*","")</f>
        <v/>
      </c>
      <c r="AW379" s="61" t="str">
        <f aca="false">SUBSTITUTE(SUBSTITUTE(SUBSTITUTE(SUBSTITUTE(SUBSTITUTE(SUBSTITUTE(SUBSTITUTE(SUBSTITUTE(SUBSTITUTE(SUBSTITUTE(SUBSTITUTE(SUBSTITUTE(SUBSTITUTE(LOWER(Z379&amp;""),CHAR(160),"")," ",""),".",""),"-",""),"/",""),"?",""),"_",""),",",""),"[",""),"]",""),"(",""),")",""),"*","")</f>
        <v/>
      </c>
      <c r="AX379" s="61" t="str">
        <f aca="false">SUBSTITUTE(SUBSTITUTE(SUBSTITUTE(SUBSTITUTE(SUBSTITUTE(SUBSTITUTE(SUBSTITUTE(SUBSTITUTE(SUBSTITUTE(SUBSTITUTE(SUBSTITUTE(SUBSTITUTE(SUBSTITUTE(LOWER(AE379&amp;""),CHAR(160),"")," ",""),".",""),"-",""),"/",""),"?",""),"_",""),",",""),"[",""),"]",""),"(",""),")",""),"*","")</f>
        <v/>
      </c>
      <c r="AY379" s="61" t="str">
        <f aca="false">SUBSTITUTE(SUBSTITUTE(SUBSTITUTE(SUBSTITUTE(SUBSTITUTE(SUBSTITUTE(SUBSTITUTE(SUBSTITUTE(SUBSTITUTE(SUBSTITUTE(SUBSTITUTE(SUBSTITUTE(SUBSTITUTE(LOWER(W379&amp;""),CHAR(160),"")," ",""),".",""),"-",""),"/",""),"?",""),"_",""),",",""),"[",""),"]",""),"(",""),")",""),"*","")</f>
        <v/>
      </c>
      <c r="AZ379" s="61" t="str">
        <f aca="false">SUBSTITUTE(SUBSTITUTE(SUBSTITUTE(SUBSTITUTE(SUBSTITUTE(SUBSTITUTE(SUBSTITUTE(SUBSTITUTE(SUBSTITUTE(SUBSTITUTE(SUBSTITUTE(SUBSTITUTE(SUBSTITUTE(LOWER(AC379&amp;""),CHAR(160),"")," ",""),".",""),"-",""),"/",""),"?",""),"_",""),",",""),"[",""),"]",""),"(",""),")",""),"*","")</f>
        <v/>
      </c>
      <c r="BA379" s="61" t="str">
        <f aca="false">SUBSTITUTE(SUBSTITUTE(SUBSTITUTE(SUBSTITUTE(SUBSTITUTE(SUBSTITUTE(SUBSTITUTE(SUBSTITUTE(SUBSTITUTE(SUBSTITUTE(SUBSTITUTE(SUBSTITUTE(SUBSTITUTE(LOWER(AA379&amp;""),CHAR(160),"")," ",""),".",""),"-",""),"/",""),"?",""),"_",""),",",""),"[",""),"]",""),"(",""),")",""),"*","")</f>
        <v/>
      </c>
      <c r="BB379" s="61" t="str">
        <f aca="false">IF(AND(TRIM(U379)="Pass",ISNUMBER(AF379)),IF(AF379&lt;&gt;0,"INVALID – qty variance: use Fail or Pass after CA",""),"")&amp;IF(AND(TRIM(U379)="Pass after CA",ISNUMBER(AF379)),IF(AF379&lt;&gt;0,"INVALID – after the corrective action the actual qty must equal expected (update Actual)",""),"")&amp;IF(AND(TRIM(U379)="Pass",TRIM(AB379)&lt;&gt;"",TRIM(AB379)&lt;&gt;"Closed"),"INVALID – corrective action not closed: use Fail, then Pass after CA","")&amp;IF(AND(TRIM(AA379)&lt;&gt;"",TRIM(AB379)=""),"INVALID – CA status missing for the recorded corrective action","")&amp;IF(AND(TRIM(U379)="Pass after CA",OR(OR(LEN(BA379)&lt;5,ISNUMBER(MATCH(BA379,L_Placeholder,0))),TRIM(AB379)&lt;&gt;"Closed")),"INVALID – corrective action not recorded/closed","")</f>
        <v/>
      </c>
    </row>
    <row r="380" customFormat="false" ht="39.75" hidden="false" customHeight="true" outlineLevel="0" collapsed="false">
      <c r="A380" s="57" t="s">
        <v>971</v>
      </c>
      <c r="B380" s="57" t="s">
        <v>258</v>
      </c>
      <c r="C380" s="57" t="str">
        <f aca="false">Flights!$F$16</f>
        <v>MH0139</v>
      </c>
      <c r="D380" s="58" t="n">
        <f aca="false">Flights!$D$16</f>
        <v>46307</v>
      </c>
      <c r="E380" s="57" t="str">
        <f aca="false">Flights!$G$16&amp;"-"&amp;Flights!$H$16</f>
        <v>KUL-ADL</v>
      </c>
      <c r="F380" s="57" t="str">
        <f aca="false">Flights!$K$16</f>
        <v>BC</v>
      </c>
      <c r="G380" s="57" t="s">
        <v>79</v>
      </c>
      <c r="H380" s="57" t="s">
        <v>356</v>
      </c>
      <c r="I380" s="57" t="s">
        <v>357</v>
      </c>
      <c r="J380" s="57" t="s">
        <v>358</v>
      </c>
      <c r="K380" s="67" t="s">
        <v>359</v>
      </c>
      <c r="L380" s="67" t="s">
        <v>360</v>
      </c>
      <c r="M380" s="67"/>
      <c r="N380" s="67" t="s">
        <v>361</v>
      </c>
      <c r="O380" s="67"/>
      <c r="P380" s="57" t="s">
        <v>184</v>
      </c>
      <c r="Q380" s="59" t="n">
        <f aca="false">ROUND((Flights!$AC$16)*1440,0)/1440</f>
        <v>46300.6006944444</v>
      </c>
      <c r="R380" s="59" t="n">
        <f aca="false">Q380+(IF(AND(INDEX(TZ_DSTS,MATCH(P380,TZ_STN,0))&lt;&gt;"",Q380&gt;=INDEX(TZ_DSTS,MATCH(P380,TZ_STN,0)),Q380&lt;INDEX(TZ_DSTE,MATCH(P380,TZ_STN,0))),INDEX(TZ_DST,MATCH(P380,TZ_STN,0)),INDEX(TZ_STD,MATCH(P380,TZ_STN,0))))/24</f>
        <v>46300.9340277778</v>
      </c>
      <c r="S380" s="59" t="n">
        <f aca="false">Q380-T7EarlyD*24/24</f>
        <v>46286.6006944444</v>
      </c>
      <c r="T380" s="60"/>
      <c r="U380" s="60"/>
      <c r="V380" s="60"/>
      <c r="W380" s="61"/>
      <c r="X380" s="60"/>
      <c r="Y380" s="60"/>
      <c r="Z380" s="60"/>
      <c r="AA380" s="60"/>
      <c r="AB380" s="60"/>
      <c r="AC380" s="60"/>
      <c r="AD380" s="66"/>
      <c r="AE380" s="60"/>
      <c r="AF380" s="61" t="str">
        <f aca="false">IF(AND(ISNUMBER(X380),ISNUMBER(Y380)),Y380-X380,"")</f>
        <v/>
      </c>
      <c r="AG380" s="62" t="str">
        <f aca="false">IF(ISNUMBER(AD380),AD380-(IF(AND(INDEX(TZ_DSTS,MATCH(P380,TZ_STN,0))&lt;&gt;"",(AD380-INDEX(TZ_STD,MATCH(P380,TZ_STN,0))/24)&gt;=INDEX(TZ_DSTS,MATCH(P380,TZ_STN,0)),(AD380-INDEX(TZ_STD,MATCH(P380,TZ_STN,0))/24)&lt;INDEX(TZ_DSTE,MATCH(P380,TZ_STN,0))),INDEX(TZ_DST,MATCH(P380,TZ_STN,0)),INDEX(TZ_STD,MATCH(P380,TZ_STN,0))))/24,"")</f>
        <v/>
      </c>
      <c r="AH380" s="65" t="str">
        <f aca="false">IFERROR(IF(N380="N/A – rule","N/A – RULE",IF(TRIM(U380)="N/A",IF(AT380=0,"INVALID – N/A not permitted for this check",IF(AND(TRIM(AB380)&lt;&gt;"",TRIM(AB380)&lt;&gt;"Closed"),"INVALID – corrective action still open",IF(AND(NOT(OR(LEN(AZ380)&lt;15,ISNUMBER(MATCH(AZ380,L_Placeholder,0)))),NOT(OR(LEN(AU380)&lt;2,ISNUMBER(MATCH(AU380,L_Placeholder,0)))),NOT(OR(LEN(AX380)&lt;2,ISNUMBER(MATCH(AX380,L_Placeholder,0)))),TRIM(AE380)&lt;&gt;TRIM(T380)),"N/A – JUSTIFIED","INVALID – N/A needs a real justification (15+ chars), PIC and a different verifier"))),IF(OR(TRIM(U380)="Pass",TRIM(U380)="Pass after CA"),IF(NOT(ISNUMBER(AD380)),"INVALID – completion time missing",IF(OR(LEN(AU380)&lt;2,ISNUMBER(MATCH(AU380,L_Placeholder,0))),"INVALID – PIC missing",IF(OR(LEN(AV380)&lt;2,ISNUMBER(MATCH(AV380,L_Placeholder,0))),"INVALID – result / assessment missing",IF(OR(OR(LEN(AW380)&lt;3,ISNUMBER(MATCH(AW380,L_Placeholder,0))),SUMPRODUCT(--ISNUMBER(SEARCH(L_EvidencePhrase,AW380)))&gt;0),"INVALID – evidence missing, placeholder or not yet on file",IF(OR(LEN(AX380)&lt;2,ISNUMBER(MATCH(AX380,L_Placeholder,0))),"INVALID – verifier missing",IF(AX380=AU380,"INVALID – verifier must be someone other than the PIC",IF(AND(TRIM(U380)="Pass",SUMPRODUCT(--ISNUMBER(SEARCH(L_ResultBad,AV380)))&gt;0),"INVALID – result describes a problem: use Fail, then Pass after CA",IF(AND(AQ380=1,OR(LEN(AY380)&lt;3,ISNUMBER(MATCH(AY380,L_Placeholder,0)))),"INVALID – batch ID missing or placeholder",IF(AND(AR380=1,OR(NOT(ISNUMBER(X380)),NOT(ISNUMBER(Y380)))),"INVALID – expected/actual qty missing",IF(AND(AR380=1,OR(X380&lt;=0,Y380&lt;0)),"INVALID – expected qty must be above 0 and actual not negative",IF(BB380&lt;&gt;"",BB380,IF(AND(AS380=1,Documents!$J$16&lt;&gt;"ON FILE"),"INVALID – GLD not on file (Documents sheet)",IF(AND(AS380=2,Documents!$O$16&lt;&gt;"ON FILE"),"INVALID – menu checklist not on file (Documents sheet)",IF(AND(AS380=3,NOT(ISNUMBER(Flights!$AX$16))),"INVALID – enter carrying flight KUL departure (Flights AX)",IF(AND(AS380=3,OR(Flights!$AZ$16&gt;Flights!$AA$16,Flights!$AX$16&lt;Flights!$AA$16-3)),"INVALID – carrying flight (Flights AX) cannot arrive before this leg's STD, or is over 3 days early",IF(AG380&gt;AsOfUTC,"INVALID – completion time is in the future",IF(AND(ISNUMBER(S380),AG380&lt;S380),IF(H380="Physical uplift","INVALID – before uplift window (cannot confirm loading)","INVALID – before valid window"),IF(AG380&gt;Flights!$AA$16,"INVALID – completed after departure (cannot establish readiness)",IF(AND(H380="Preparation",AG380&gt;IF(ISNUMBER(Flights!$BA$16),MIN(Flights!$BA$16,Flights!$AA$16),Flights!$AA$16)),"INVALID – completed after loading / departure (cannot establish readiness)",IF(AND(H380="Physical uplift",AG380&gt;Q380),"INVALID – recorded after the loading flight departed",IF(AG380&gt;Q380,"COMPLETE – LATE","COMPLETE"))))))))))))))))))))),IF(TRIM(U380)="Fail","FAIL – DISCREPANCY",IF(AND(TRIM(U380)&lt;&gt;"",TRIM(U380)&lt;&gt;"Not started",TRIM(U380)&lt;&gt;"In progress"),"INVALID – unrecognised status (use the list)",IF(AsOfUTC&gt;Q380,"OVERDUE",IF(N380="Clarification required","OPEN – CLARIFICATION","OPEN"))))))),"INVALID – error value in an input cell")</f>
        <v>OPEN</v>
      </c>
      <c r="AI380" s="61" t="n">
        <f aca="false">IF(OR(AH380="N/A – RULE",AH380="N/A – JUSTIFIED"),0,1)</f>
        <v>1</v>
      </c>
      <c r="AJ380" s="61" t="n">
        <f aca="false">IF(LEFT(AH380,8)="COMPLETE",1,0)</f>
        <v>0</v>
      </c>
      <c r="AK380" s="61" t="n">
        <f aca="false">IF(AND(AI380=1,AJ380=0,AsOfUTC&gt;Q380),1,0)</f>
        <v>0</v>
      </c>
      <c r="AL380" s="61" t="n">
        <f aca="false">IFERROR(IF(AND(AI380=1,OR(TRIM(U380)="Fail",AND(TRIM(AB380)&lt;&gt;"",TRIM(AB380)&lt;&gt;"Closed"),AND(ISNUMBER(AF380),AF380&lt;&gt;0,TRIM(U380)&lt;&gt;"Pass after CA"))),1,0),1)</f>
        <v>0</v>
      </c>
      <c r="AM380" s="61" t="n">
        <f aca="false">IF(LEFT(AH380,7)="INVALID",1,0)</f>
        <v>0</v>
      </c>
      <c r="AN380" s="61" t="n">
        <f aca="false">IF(AND(N380="Clarification required",AI380=1,AJ380=0),1,0)</f>
        <v>0</v>
      </c>
      <c r="AO380" s="61" t="str">
        <f aca="false">IF(AK380=1,SUM(AK$5:AK380),"")</f>
        <v/>
      </c>
      <c r="AP380" s="61" t="str">
        <f aca="false">IF(AL380=1,SUM(AL$5:AL380),"")</f>
        <v/>
      </c>
      <c r="AQ380" s="61" t="n">
        <v>0</v>
      </c>
      <c r="AR380" s="61" t="n">
        <v>0</v>
      </c>
      <c r="AS380" s="61" t="n">
        <v>0</v>
      </c>
      <c r="AT380" s="61" t="n">
        <v>0</v>
      </c>
      <c r="AU380" s="61" t="str">
        <f aca="false">SUBSTITUTE(SUBSTITUTE(SUBSTITUTE(SUBSTITUTE(SUBSTITUTE(SUBSTITUTE(SUBSTITUTE(SUBSTITUTE(SUBSTITUTE(SUBSTITUTE(SUBSTITUTE(SUBSTITUTE(SUBSTITUTE(LOWER(T380&amp;""),CHAR(160),"")," ",""),".",""),"-",""),"/",""),"?",""),"_",""),",",""),"[",""),"]",""),"(",""),")",""),"*","")</f>
        <v/>
      </c>
      <c r="AV380" s="61" t="str">
        <f aca="false">SUBSTITUTE(SUBSTITUTE(SUBSTITUTE(SUBSTITUTE(SUBSTITUTE(SUBSTITUTE(SUBSTITUTE(SUBSTITUTE(SUBSTITUTE(SUBSTITUTE(SUBSTITUTE(SUBSTITUTE(SUBSTITUTE(LOWER(V380&amp;""),CHAR(160),"")," ",""),".",""),"-",""),"/",""),"?",""),"_",""),",",""),"[",""),"]",""),"(",""),")",""),"*","")</f>
        <v/>
      </c>
      <c r="AW380" s="61" t="str">
        <f aca="false">SUBSTITUTE(SUBSTITUTE(SUBSTITUTE(SUBSTITUTE(SUBSTITUTE(SUBSTITUTE(SUBSTITUTE(SUBSTITUTE(SUBSTITUTE(SUBSTITUTE(SUBSTITUTE(SUBSTITUTE(SUBSTITUTE(LOWER(Z380&amp;""),CHAR(160),"")," ",""),".",""),"-",""),"/",""),"?",""),"_",""),",",""),"[",""),"]",""),"(",""),")",""),"*","")</f>
        <v/>
      </c>
      <c r="AX380" s="61" t="str">
        <f aca="false">SUBSTITUTE(SUBSTITUTE(SUBSTITUTE(SUBSTITUTE(SUBSTITUTE(SUBSTITUTE(SUBSTITUTE(SUBSTITUTE(SUBSTITUTE(SUBSTITUTE(SUBSTITUTE(SUBSTITUTE(SUBSTITUTE(LOWER(AE380&amp;""),CHAR(160),"")," ",""),".",""),"-",""),"/",""),"?",""),"_",""),",",""),"[",""),"]",""),"(",""),")",""),"*","")</f>
        <v/>
      </c>
      <c r="AY380" s="61" t="str">
        <f aca="false">SUBSTITUTE(SUBSTITUTE(SUBSTITUTE(SUBSTITUTE(SUBSTITUTE(SUBSTITUTE(SUBSTITUTE(SUBSTITUTE(SUBSTITUTE(SUBSTITUTE(SUBSTITUTE(SUBSTITUTE(SUBSTITUTE(LOWER(W380&amp;""),CHAR(160),"")," ",""),".",""),"-",""),"/",""),"?",""),"_",""),",",""),"[",""),"]",""),"(",""),")",""),"*","")</f>
        <v/>
      </c>
      <c r="AZ380" s="61" t="str">
        <f aca="false">SUBSTITUTE(SUBSTITUTE(SUBSTITUTE(SUBSTITUTE(SUBSTITUTE(SUBSTITUTE(SUBSTITUTE(SUBSTITUTE(SUBSTITUTE(SUBSTITUTE(SUBSTITUTE(SUBSTITUTE(SUBSTITUTE(LOWER(AC380&amp;""),CHAR(160),"")," ",""),".",""),"-",""),"/",""),"?",""),"_",""),",",""),"[",""),"]",""),"(",""),")",""),"*","")</f>
        <v/>
      </c>
      <c r="BA380" s="61" t="str">
        <f aca="false">SUBSTITUTE(SUBSTITUTE(SUBSTITUTE(SUBSTITUTE(SUBSTITUTE(SUBSTITUTE(SUBSTITUTE(SUBSTITUTE(SUBSTITUTE(SUBSTITUTE(SUBSTITUTE(SUBSTITUTE(SUBSTITUTE(LOWER(AA380&amp;""),CHAR(160),"")," ",""),".",""),"-",""),"/",""),"?",""),"_",""),",",""),"[",""),"]",""),"(",""),")",""),"*","")</f>
        <v/>
      </c>
      <c r="BB380" s="61" t="str">
        <f aca="false">IF(AND(TRIM(U380)="Pass",ISNUMBER(AF380)),IF(AF380&lt;&gt;0,"INVALID – qty variance: use Fail or Pass after CA",""),"")&amp;IF(AND(TRIM(U380)="Pass after CA",ISNUMBER(AF380)),IF(AF380&lt;&gt;0,"INVALID – after the corrective action the actual qty must equal expected (update Actual)",""),"")&amp;IF(AND(TRIM(U380)="Pass",TRIM(AB380)&lt;&gt;"",TRIM(AB380)&lt;&gt;"Closed"),"INVALID – corrective action not closed: use Fail, then Pass after CA","")&amp;IF(AND(TRIM(AA380)&lt;&gt;"",TRIM(AB380)=""),"INVALID – CA status missing for the recorded corrective action","")&amp;IF(AND(TRIM(U380)="Pass after CA",OR(OR(LEN(BA380)&lt;5,ISNUMBER(MATCH(BA380,L_Placeholder,0))),TRIM(AB380)&lt;&gt;"Closed")),"INVALID – corrective action not recorded/closed","")</f>
        <v/>
      </c>
    </row>
    <row r="381" customFormat="false" ht="39.75" hidden="false" customHeight="true" outlineLevel="0" collapsed="false">
      <c r="A381" s="57" t="s">
        <v>972</v>
      </c>
      <c r="B381" s="57" t="s">
        <v>258</v>
      </c>
      <c r="C381" s="57" t="str">
        <f aca="false">Flights!$F$16</f>
        <v>MH0139</v>
      </c>
      <c r="D381" s="58" t="n">
        <f aca="false">Flights!$D$16</f>
        <v>46307</v>
      </c>
      <c r="E381" s="57" t="str">
        <f aca="false">Flights!$G$16&amp;"-"&amp;Flights!$H$16</f>
        <v>KUL-ADL</v>
      </c>
      <c r="F381" s="57" t="str">
        <f aca="false">Flights!$K$16</f>
        <v>BC</v>
      </c>
      <c r="G381" s="57" t="s">
        <v>79</v>
      </c>
      <c r="H381" s="57" t="s">
        <v>356</v>
      </c>
      <c r="I381" s="57" t="s">
        <v>363</v>
      </c>
      <c r="J381" s="57" t="s">
        <v>364</v>
      </c>
      <c r="K381" s="67" t="s">
        <v>365</v>
      </c>
      <c r="L381" s="67" t="s">
        <v>360</v>
      </c>
      <c r="M381" s="67"/>
      <c r="N381" s="67" t="s">
        <v>361</v>
      </c>
      <c r="O381" s="67"/>
      <c r="P381" s="57" t="s">
        <v>184</v>
      </c>
      <c r="Q381" s="59" t="n">
        <f aca="false">ROUND((Flights!$AC$16)*1440,0)/1440</f>
        <v>46300.6006944444</v>
      </c>
      <c r="R381" s="59" t="n">
        <f aca="false">Q381+(IF(AND(INDEX(TZ_DSTS,MATCH(P381,TZ_STN,0))&lt;&gt;"",Q381&gt;=INDEX(TZ_DSTS,MATCH(P381,TZ_STN,0)),Q381&lt;INDEX(TZ_DSTE,MATCH(P381,TZ_STN,0))),INDEX(TZ_DST,MATCH(P381,TZ_STN,0)),INDEX(TZ_STD,MATCH(P381,TZ_STN,0))))/24</f>
        <v>46300.9340277778</v>
      </c>
      <c r="S381" s="59" t="n">
        <f aca="false">Q381-T7EarlyD*24/24</f>
        <v>46286.6006944444</v>
      </c>
      <c r="T381" s="60"/>
      <c r="U381" s="60"/>
      <c r="V381" s="60"/>
      <c r="W381" s="61"/>
      <c r="X381" s="60"/>
      <c r="Y381" s="60"/>
      <c r="Z381" s="60"/>
      <c r="AA381" s="60"/>
      <c r="AB381" s="60"/>
      <c r="AC381" s="60"/>
      <c r="AD381" s="66"/>
      <c r="AE381" s="60"/>
      <c r="AF381" s="61" t="str">
        <f aca="false">IF(AND(ISNUMBER(X381),ISNUMBER(Y381)),Y381-X381,"")</f>
        <v/>
      </c>
      <c r="AG381" s="62" t="str">
        <f aca="false">IF(ISNUMBER(AD381),AD381-(IF(AND(INDEX(TZ_DSTS,MATCH(P381,TZ_STN,0))&lt;&gt;"",(AD381-INDEX(TZ_STD,MATCH(P381,TZ_STN,0))/24)&gt;=INDEX(TZ_DSTS,MATCH(P381,TZ_STN,0)),(AD381-INDEX(TZ_STD,MATCH(P381,TZ_STN,0))/24)&lt;INDEX(TZ_DSTE,MATCH(P381,TZ_STN,0))),INDEX(TZ_DST,MATCH(P381,TZ_STN,0)),INDEX(TZ_STD,MATCH(P381,TZ_STN,0))))/24,"")</f>
        <v/>
      </c>
      <c r="AH381" s="65" t="str">
        <f aca="false">IFERROR(IF(N381="N/A – rule","N/A – RULE",IF(TRIM(U381)="N/A",IF(AT381=0,"INVALID – N/A not permitted for this check",IF(AND(TRIM(AB381)&lt;&gt;"",TRIM(AB381)&lt;&gt;"Closed"),"INVALID – corrective action still open",IF(AND(NOT(OR(LEN(AZ381)&lt;15,ISNUMBER(MATCH(AZ381,L_Placeholder,0)))),NOT(OR(LEN(AU381)&lt;2,ISNUMBER(MATCH(AU381,L_Placeholder,0)))),NOT(OR(LEN(AX381)&lt;2,ISNUMBER(MATCH(AX381,L_Placeholder,0)))),TRIM(AE381)&lt;&gt;TRIM(T381)),"N/A – JUSTIFIED","INVALID – N/A needs a real justification (15+ chars), PIC and a different verifier"))),IF(OR(TRIM(U381)="Pass",TRIM(U381)="Pass after CA"),IF(NOT(ISNUMBER(AD381)),"INVALID – completion time missing",IF(OR(LEN(AU381)&lt;2,ISNUMBER(MATCH(AU381,L_Placeholder,0))),"INVALID – PIC missing",IF(OR(LEN(AV381)&lt;2,ISNUMBER(MATCH(AV381,L_Placeholder,0))),"INVALID – result / assessment missing",IF(OR(OR(LEN(AW381)&lt;3,ISNUMBER(MATCH(AW381,L_Placeholder,0))),SUMPRODUCT(--ISNUMBER(SEARCH(L_EvidencePhrase,AW381)))&gt;0),"INVALID – evidence missing, placeholder or not yet on file",IF(OR(LEN(AX381)&lt;2,ISNUMBER(MATCH(AX381,L_Placeholder,0))),"INVALID – verifier missing",IF(AX381=AU381,"INVALID – verifier must be someone other than the PIC",IF(AND(TRIM(U381)="Pass",SUMPRODUCT(--ISNUMBER(SEARCH(L_ResultBad,AV381)))&gt;0),"INVALID – result describes a problem: use Fail, then Pass after CA",IF(AND(AQ381=1,OR(LEN(AY381)&lt;3,ISNUMBER(MATCH(AY381,L_Placeholder,0)))),"INVALID – batch ID missing or placeholder",IF(AND(AR381=1,OR(NOT(ISNUMBER(X381)),NOT(ISNUMBER(Y381)))),"INVALID – expected/actual qty missing",IF(AND(AR381=1,OR(X381&lt;=0,Y381&lt;0)),"INVALID – expected qty must be above 0 and actual not negative",IF(BB381&lt;&gt;"",BB381,IF(AND(AS381=1,Documents!$J$16&lt;&gt;"ON FILE"),"INVALID – GLD not on file (Documents sheet)",IF(AND(AS381=2,Documents!$O$16&lt;&gt;"ON FILE"),"INVALID – menu checklist not on file (Documents sheet)",IF(AND(AS381=3,NOT(ISNUMBER(Flights!$AX$16))),"INVALID – enter carrying flight KUL departure (Flights AX)",IF(AND(AS381=3,OR(Flights!$AZ$16&gt;Flights!$AA$16,Flights!$AX$16&lt;Flights!$AA$16-3)),"INVALID – carrying flight (Flights AX) cannot arrive before this leg's STD, or is over 3 days early",IF(AG381&gt;AsOfUTC,"INVALID – completion time is in the future",IF(AND(ISNUMBER(S381),AG381&lt;S381),IF(H381="Physical uplift","INVALID – before uplift window (cannot confirm loading)","INVALID – before valid window"),IF(AG381&gt;Flights!$AA$16,"INVALID – completed after departure (cannot establish readiness)",IF(AND(H381="Preparation",AG381&gt;IF(ISNUMBER(Flights!$BA$16),MIN(Flights!$BA$16,Flights!$AA$16),Flights!$AA$16)),"INVALID – completed after loading / departure (cannot establish readiness)",IF(AND(H381="Physical uplift",AG381&gt;Q381),"INVALID – recorded after the loading flight departed",IF(AG381&gt;Q381,"COMPLETE – LATE","COMPLETE"))))))))))))))))))))),IF(TRIM(U381)="Fail","FAIL – DISCREPANCY",IF(AND(TRIM(U381)&lt;&gt;"",TRIM(U381)&lt;&gt;"Not started",TRIM(U381)&lt;&gt;"In progress"),"INVALID – unrecognised status (use the list)",IF(AsOfUTC&gt;Q381,"OVERDUE",IF(N381="Clarification required","OPEN – CLARIFICATION","OPEN"))))))),"INVALID – error value in an input cell")</f>
        <v>OPEN</v>
      </c>
      <c r="AI381" s="61" t="n">
        <f aca="false">IF(OR(AH381="N/A – RULE",AH381="N/A – JUSTIFIED"),0,1)</f>
        <v>1</v>
      </c>
      <c r="AJ381" s="61" t="n">
        <f aca="false">IF(LEFT(AH381,8)="COMPLETE",1,0)</f>
        <v>0</v>
      </c>
      <c r="AK381" s="61" t="n">
        <f aca="false">IF(AND(AI381=1,AJ381=0,AsOfUTC&gt;Q381),1,0)</f>
        <v>0</v>
      </c>
      <c r="AL381" s="61" t="n">
        <f aca="false">IFERROR(IF(AND(AI381=1,OR(TRIM(U381)="Fail",AND(TRIM(AB381)&lt;&gt;"",TRIM(AB381)&lt;&gt;"Closed"),AND(ISNUMBER(AF381),AF381&lt;&gt;0,TRIM(U381)&lt;&gt;"Pass after CA"))),1,0),1)</f>
        <v>0</v>
      </c>
      <c r="AM381" s="61" t="n">
        <f aca="false">IF(LEFT(AH381,7)="INVALID",1,0)</f>
        <v>0</v>
      </c>
      <c r="AN381" s="61" t="n">
        <f aca="false">IF(AND(N381="Clarification required",AI381=1,AJ381=0),1,0)</f>
        <v>0</v>
      </c>
      <c r="AO381" s="61" t="str">
        <f aca="false">IF(AK381=1,SUM(AK$5:AK381),"")</f>
        <v/>
      </c>
      <c r="AP381" s="61" t="str">
        <f aca="false">IF(AL381=1,SUM(AL$5:AL381),"")</f>
        <v/>
      </c>
      <c r="AQ381" s="61" t="n">
        <v>0</v>
      </c>
      <c r="AR381" s="61" t="n">
        <v>0</v>
      </c>
      <c r="AS381" s="61" t="n">
        <v>0</v>
      </c>
      <c r="AT381" s="61" t="n">
        <v>0</v>
      </c>
      <c r="AU381" s="61" t="str">
        <f aca="false">SUBSTITUTE(SUBSTITUTE(SUBSTITUTE(SUBSTITUTE(SUBSTITUTE(SUBSTITUTE(SUBSTITUTE(SUBSTITUTE(SUBSTITUTE(SUBSTITUTE(SUBSTITUTE(SUBSTITUTE(SUBSTITUTE(LOWER(T381&amp;""),CHAR(160),"")," ",""),".",""),"-",""),"/",""),"?",""),"_",""),",",""),"[",""),"]",""),"(",""),")",""),"*","")</f>
        <v/>
      </c>
      <c r="AV381" s="61" t="str">
        <f aca="false">SUBSTITUTE(SUBSTITUTE(SUBSTITUTE(SUBSTITUTE(SUBSTITUTE(SUBSTITUTE(SUBSTITUTE(SUBSTITUTE(SUBSTITUTE(SUBSTITUTE(SUBSTITUTE(SUBSTITUTE(SUBSTITUTE(LOWER(V381&amp;""),CHAR(160),"")," ",""),".",""),"-",""),"/",""),"?",""),"_",""),",",""),"[",""),"]",""),"(",""),")",""),"*","")</f>
        <v/>
      </c>
      <c r="AW381" s="61" t="str">
        <f aca="false">SUBSTITUTE(SUBSTITUTE(SUBSTITUTE(SUBSTITUTE(SUBSTITUTE(SUBSTITUTE(SUBSTITUTE(SUBSTITUTE(SUBSTITUTE(SUBSTITUTE(SUBSTITUTE(SUBSTITUTE(SUBSTITUTE(LOWER(Z381&amp;""),CHAR(160),"")," ",""),".",""),"-",""),"/",""),"?",""),"_",""),",",""),"[",""),"]",""),"(",""),")",""),"*","")</f>
        <v/>
      </c>
      <c r="AX381" s="61" t="str">
        <f aca="false">SUBSTITUTE(SUBSTITUTE(SUBSTITUTE(SUBSTITUTE(SUBSTITUTE(SUBSTITUTE(SUBSTITUTE(SUBSTITUTE(SUBSTITUTE(SUBSTITUTE(SUBSTITUTE(SUBSTITUTE(SUBSTITUTE(LOWER(AE381&amp;""),CHAR(160),"")," ",""),".",""),"-",""),"/",""),"?",""),"_",""),",",""),"[",""),"]",""),"(",""),")",""),"*","")</f>
        <v/>
      </c>
      <c r="AY381" s="61" t="str">
        <f aca="false">SUBSTITUTE(SUBSTITUTE(SUBSTITUTE(SUBSTITUTE(SUBSTITUTE(SUBSTITUTE(SUBSTITUTE(SUBSTITUTE(SUBSTITUTE(SUBSTITUTE(SUBSTITUTE(SUBSTITUTE(SUBSTITUTE(LOWER(W381&amp;""),CHAR(160),"")," ",""),".",""),"-",""),"/",""),"?",""),"_",""),",",""),"[",""),"]",""),"(",""),")",""),"*","")</f>
        <v/>
      </c>
      <c r="AZ381" s="61" t="str">
        <f aca="false">SUBSTITUTE(SUBSTITUTE(SUBSTITUTE(SUBSTITUTE(SUBSTITUTE(SUBSTITUTE(SUBSTITUTE(SUBSTITUTE(SUBSTITUTE(SUBSTITUTE(SUBSTITUTE(SUBSTITUTE(SUBSTITUTE(LOWER(AC381&amp;""),CHAR(160),"")," ",""),".",""),"-",""),"/",""),"?",""),"_",""),",",""),"[",""),"]",""),"(",""),")",""),"*","")</f>
        <v/>
      </c>
      <c r="BA381" s="61" t="str">
        <f aca="false">SUBSTITUTE(SUBSTITUTE(SUBSTITUTE(SUBSTITUTE(SUBSTITUTE(SUBSTITUTE(SUBSTITUTE(SUBSTITUTE(SUBSTITUTE(SUBSTITUTE(SUBSTITUTE(SUBSTITUTE(SUBSTITUTE(LOWER(AA381&amp;""),CHAR(160),"")," ",""),".",""),"-",""),"/",""),"?",""),"_",""),",",""),"[",""),"]",""),"(",""),")",""),"*","")</f>
        <v/>
      </c>
      <c r="BB381" s="61" t="str">
        <f aca="false">IF(AND(TRIM(U381)="Pass",ISNUMBER(AF381)),IF(AF381&lt;&gt;0,"INVALID – qty variance: use Fail or Pass after CA",""),"")&amp;IF(AND(TRIM(U381)="Pass after CA",ISNUMBER(AF381)),IF(AF381&lt;&gt;0,"INVALID – after the corrective action the actual qty must equal expected (update Actual)",""),"")&amp;IF(AND(TRIM(U381)="Pass",TRIM(AB381)&lt;&gt;"",TRIM(AB381)&lt;&gt;"Closed"),"INVALID – corrective action not closed: use Fail, then Pass after CA","")&amp;IF(AND(TRIM(AA381)&lt;&gt;"",TRIM(AB381)=""),"INVALID – CA status missing for the recorded corrective action","")&amp;IF(AND(TRIM(U381)="Pass after CA",OR(OR(LEN(BA381)&lt;5,ISNUMBER(MATCH(BA381,L_Placeholder,0))),TRIM(AB381)&lt;&gt;"Closed")),"INVALID – corrective action not recorded/closed","")</f>
        <v/>
      </c>
    </row>
    <row r="382" customFormat="false" ht="41.25" hidden="false" customHeight="true" outlineLevel="0" collapsed="false">
      <c r="A382" s="57" t="s">
        <v>973</v>
      </c>
      <c r="B382" s="57" t="s">
        <v>258</v>
      </c>
      <c r="C382" s="57" t="str">
        <f aca="false">Flights!$F$16</f>
        <v>MH0139</v>
      </c>
      <c r="D382" s="58" t="n">
        <f aca="false">Flights!$D$16</f>
        <v>46307</v>
      </c>
      <c r="E382" s="57" t="str">
        <f aca="false">Flights!$G$16&amp;"-"&amp;Flights!$H$16</f>
        <v>KUL-ADL</v>
      </c>
      <c r="F382" s="57" t="str">
        <f aca="false">Flights!$K$16</f>
        <v>BC</v>
      </c>
      <c r="G382" s="57" t="s">
        <v>79</v>
      </c>
      <c r="H382" s="57" t="s">
        <v>356</v>
      </c>
      <c r="I382" s="57" t="s">
        <v>367</v>
      </c>
      <c r="J382" s="57" t="s">
        <v>368</v>
      </c>
      <c r="K382" s="67" t="s">
        <v>369</v>
      </c>
      <c r="L382" s="67" t="s">
        <v>360</v>
      </c>
      <c r="M382" s="67"/>
      <c r="N382" s="67" t="str">
        <f aca="false">IF(TRIM(Flights!$L$16)="A339","Required","N/A – rule")</f>
        <v>Required</v>
      </c>
      <c r="O382" s="67" t="s">
        <v>370</v>
      </c>
      <c r="P382" s="57" t="s">
        <v>184</v>
      </c>
      <c r="Q382" s="59" t="n">
        <f aca="false">ROUND((Flights!$AC$16)*1440,0)/1440</f>
        <v>46300.6006944444</v>
      </c>
      <c r="R382" s="59" t="n">
        <f aca="false">Q382+(IF(AND(INDEX(TZ_DSTS,MATCH(P382,TZ_STN,0))&lt;&gt;"",Q382&gt;=INDEX(TZ_DSTS,MATCH(P382,TZ_STN,0)),Q382&lt;INDEX(TZ_DSTE,MATCH(P382,TZ_STN,0))),INDEX(TZ_DST,MATCH(P382,TZ_STN,0)),INDEX(TZ_STD,MATCH(P382,TZ_STN,0))))/24</f>
        <v>46300.9340277778</v>
      </c>
      <c r="S382" s="59" t="n">
        <f aca="false">Q382-T7EarlyD*24/24</f>
        <v>46286.6006944444</v>
      </c>
      <c r="T382" s="60"/>
      <c r="U382" s="60"/>
      <c r="V382" s="60"/>
      <c r="W382" s="61"/>
      <c r="X382" s="60"/>
      <c r="Y382" s="60"/>
      <c r="Z382" s="60"/>
      <c r="AA382" s="60"/>
      <c r="AB382" s="60"/>
      <c r="AC382" s="60"/>
      <c r="AD382" s="66"/>
      <c r="AE382" s="60"/>
      <c r="AF382" s="61" t="str">
        <f aca="false">IF(AND(ISNUMBER(X382),ISNUMBER(Y382)),Y382-X382,"")</f>
        <v/>
      </c>
      <c r="AG382" s="62" t="str">
        <f aca="false">IF(ISNUMBER(AD382),AD382-(IF(AND(INDEX(TZ_DSTS,MATCH(P382,TZ_STN,0))&lt;&gt;"",(AD382-INDEX(TZ_STD,MATCH(P382,TZ_STN,0))/24)&gt;=INDEX(TZ_DSTS,MATCH(P382,TZ_STN,0)),(AD382-INDEX(TZ_STD,MATCH(P382,TZ_STN,0))/24)&lt;INDEX(TZ_DSTE,MATCH(P382,TZ_STN,0))),INDEX(TZ_DST,MATCH(P382,TZ_STN,0)),INDEX(TZ_STD,MATCH(P382,TZ_STN,0))))/24,"")</f>
        <v/>
      </c>
      <c r="AH382" s="65" t="str">
        <f aca="false">IFERROR(IF(N382="N/A – rule","N/A – RULE",IF(TRIM(U382)="N/A",IF(AT382=0,"INVALID – N/A not permitted for this check",IF(AND(TRIM(AB382)&lt;&gt;"",TRIM(AB382)&lt;&gt;"Closed"),"INVALID – corrective action still open",IF(AND(NOT(OR(LEN(AZ382)&lt;15,ISNUMBER(MATCH(AZ382,L_Placeholder,0)))),NOT(OR(LEN(AU382)&lt;2,ISNUMBER(MATCH(AU382,L_Placeholder,0)))),NOT(OR(LEN(AX382)&lt;2,ISNUMBER(MATCH(AX382,L_Placeholder,0)))),TRIM(AE382)&lt;&gt;TRIM(T382)),"N/A – JUSTIFIED","INVALID – N/A needs a real justification (15+ chars), PIC and a different verifier"))),IF(OR(TRIM(U382)="Pass",TRIM(U382)="Pass after CA"),IF(NOT(ISNUMBER(AD382)),"INVALID – completion time missing",IF(OR(LEN(AU382)&lt;2,ISNUMBER(MATCH(AU382,L_Placeholder,0))),"INVALID – PIC missing",IF(OR(LEN(AV382)&lt;2,ISNUMBER(MATCH(AV382,L_Placeholder,0))),"INVALID – result / assessment missing",IF(OR(OR(LEN(AW382)&lt;3,ISNUMBER(MATCH(AW382,L_Placeholder,0))),SUMPRODUCT(--ISNUMBER(SEARCH(L_EvidencePhrase,AW382)))&gt;0),"INVALID – evidence missing, placeholder or not yet on file",IF(OR(LEN(AX382)&lt;2,ISNUMBER(MATCH(AX382,L_Placeholder,0))),"INVALID – verifier missing",IF(AX382=AU382,"INVALID – verifier must be someone other than the PIC",IF(AND(TRIM(U382)="Pass",SUMPRODUCT(--ISNUMBER(SEARCH(L_ResultBad,AV382)))&gt;0),"INVALID – result describes a problem: use Fail, then Pass after CA",IF(AND(AQ382=1,OR(LEN(AY382)&lt;3,ISNUMBER(MATCH(AY382,L_Placeholder,0)))),"INVALID – batch ID missing or placeholder",IF(AND(AR382=1,OR(NOT(ISNUMBER(X382)),NOT(ISNUMBER(Y382)))),"INVALID – expected/actual qty missing",IF(AND(AR382=1,OR(X382&lt;=0,Y382&lt;0)),"INVALID – expected qty must be above 0 and actual not negative",IF(BB382&lt;&gt;"",BB382,IF(AND(AS382=1,Documents!$J$16&lt;&gt;"ON FILE"),"INVALID – GLD not on file (Documents sheet)",IF(AND(AS382=2,Documents!$O$16&lt;&gt;"ON FILE"),"INVALID – menu checklist not on file (Documents sheet)",IF(AND(AS382=3,NOT(ISNUMBER(Flights!$AX$16))),"INVALID – enter carrying flight KUL departure (Flights AX)",IF(AND(AS382=3,OR(Flights!$AZ$16&gt;Flights!$AA$16,Flights!$AX$16&lt;Flights!$AA$16-3)),"INVALID – carrying flight (Flights AX) cannot arrive before this leg's STD, or is over 3 days early",IF(AG382&gt;AsOfUTC,"INVALID – completion time is in the future",IF(AND(ISNUMBER(S382),AG382&lt;S382),IF(H382="Physical uplift","INVALID – before uplift window (cannot confirm loading)","INVALID – before valid window"),IF(AG382&gt;Flights!$AA$16,"INVALID – completed after departure (cannot establish readiness)",IF(AND(H382="Preparation",AG382&gt;IF(ISNUMBER(Flights!$BA$16),MIN(Flights!$BA$16,Flights!$AA$16),Flights!$AA$16)),"INVALID – completed after loading / departure (cannot establish readiness)",IF(AND(H382="Physical uplift",AG382&gt;Q382),"INVALID – recorded after the loading flight departed",IF(AG382&gt;Q382,"COMPLETE – LATE","COMPLETE"))))))))))))))))))))),IF(TRIM(U382)="Fail","FAIL – DISCREPANCY",IF(AND(TRIM(U382)&lt;&gt;"",TRIM(U382)&lt;&gt;"Not started",TRIM(U382)&lt;&gt;"In progress"),"INVALID – unrecognised status (use the list)",IF(AsOfUTC&gt;Q382,"OVERDUE",IF(N382="Clarification required","OPEN – CLARIFICATION","OPEN"))))))),"INVALID – error value in an input cell")</f>
        <v>OPEN</v>
      </c>
      <c r="AI382" s="61" t="n">
        <f aca="false">IF(OR(AH382="N/A – RULE",AH382="N/A – JUSTIFIED"),0,1)</f>
        <v>1</v>
      </c>
      <c r="AJ382" s="61" t="n">
        <f aca="false">IF(LEFT(AH382,8)="COMPLETE",1,0)</f>
        <v>0</v>
      </c>
      <c r="AK382" s="61" t="n">
        <f aca="false">IF(AND(AI382=1,AJ382=0,AsOfUTC&gt;Q382),1,0)</f>
        <v>0</v>
      </c>
      <c r="AL382" s="61" t="n">
        <f aca="false">IFERROR(IF(AND(AI382=1,OR(TRIM(U382)="Fail",AND(TRIM(AB382)&lt;&gt;"",TRIM(AB382)&lt;&gt;"Closed"),AND(ISNUMBER(AF382),AF382&lt;&gt;0,TRIM(U382)&lt;&gt;"Pass after CA"))),1,0),1)</f>
        <v>0</v>
      </c>
      <c r="AM382" s="61" t="n">
        <f aca="false">IF(LEFT(AH382,7)="INVALID",1,0)</f>
        <v>0</v>
      </c>
      <c r="AN382" s="61" t="n">
        <f aca="false">IF(AND(N382="Clarification required",AI382=1,AJ382=0),1,0)</f>
        <v>0</v>
      </c>
      <c r="AO382" s="61" t="str">
        <f aca="false">IF(AK382=1,SUM(AK$5:AK382),"")</f>
        <v/>
      </c>
      <c r="AP382" s="61" t="str">
        <f aca="false">IF(AL382=1,SUM(AL$5:AL382),"")</f>
        <v/>
      </c>
      <c r="AQ382" s="61" t="n">
        <v>0</v>
      </c>
      <c r="AR382" s="61" t="n">
        <v>0</v>
      </c>
      <c r="AS382" s="61" t="n">
        <v>0</v>
      </c>
      <c r="AT382" s="61" t="n">
        <v>0</v>
      </c>
      <c r="AU382" s="61" t="str">
        <f aca="false">SUBSTITUTE(SUBSTITUTE(SUBSTITUTE(SUBSTITUTE(SUBSTITUTE(SUBSTITUTE(SUBSTITUTE(SUBSTITUTE(SUBSTITUTE(SUBSTITUTE(SUBSTITUTE(SUBSTITUTE(SUBSTITUTE(LOWER(T382&amp;""),CHAR(160),"")," ",""),".",""),"-",""),"/",""),"?",""),"_",""),",",""),"[",""),"]",""),"(",""),")",""),"*","")</f>
        <v/>
      </c>
      <c r="AV382" s="61" t="str">
        <f aca="false">SUBSTITUTE(SUBSTITUTE(SUBSTITUTE(SUBSTITUTE(SUBSTITUTE(SUBSTITUTE(SUBSTITUTE(SUBSTITUTE(SUBSTITUTE(SUBSTITUTE(SUBSTITUTE(SUBSTITUTE(SUBSTITUTE(LOWER(V382&amp;""),CHAR(160),"")," ",""),".",""),"-",""),"/",""),"?",""),"_",""),",",""),"[",""),"]",""),"(",""),")",""),"*","")</f>
        <v/>
      </c>
      <c r="AW382" s="61" t="str">
        <f aca="false">SUBSTITUTE(SUBSTITUTE(SUBSTITUTE(SUBSTITUTE(SUBSTITUTE(SUBSTITUTE(SUBSTITUTE(SUBSTITUTE(SUBSTITUTE(SUBSTITUTE(SUBSTITUTE(SUBSTITUTE(SUBSTITUTE(LOWER(Z382&amp;""),CHAR(160),"")," ",""),".",""),"-",""),"/",""),"?",""),"_",""),",",""),"[",""),"]",""),"(",""),")",""),"*","")</f>
        <v/>
      </c>
      <c r="AX382" s="61" t="str">
        <f aca="false">SUBSTITUTE(SUBSTITUTE(SUBSTITUTE(SUBSTITUTE(SUBSTITUTE(SUBSTITUTE(SUBSTITUTE(SUBSTITUTE(SUBSTITUTE(SUBSTITUTE(SUBSTITUTE(SUBSTITUTE(SUBSTITUTE(LOWER(AE382&amp;""),CHAR(160),"")," ",""),".",""),"-",""),"/",""),"?",""),"_",""),",",""),"[",""),"]",""),"(",""),")",""),"*","")</f>
        <v/>
      </c>
      <c r="AY382" s="61" t="str">
        <f aca="false">SUBSTITUTE(SUBSTITUTE(SUBSTITUTE(SUBSTITUTE(SUBSTITUTE(SUBSTITUTE(SUBSTITUTE(SUBSTITUTE(SUBSTITUTE(SUBSTITUTE(SUBSTITUTE(SUBSTITUTE(SUBSTITUTE(LOWER(W382&amp;""),CHAR(160),"")," ",""),".",""),"-",""),"/",""),"?",""),"_",""),",",""),"[",""),"]",""),"(",""),")",""),"*","")</f>
        <v/>
      </c>
      <c r="AZ382" s="61" t="str">
        <f aca="false">SUBSTITUTE(SUBSTITUTE(SUBSTITUTE(SUBSTITUTE(SUBSTITUTE(SUBSTITUTE(SUBSTITUTE(SUBSTITUTE(SUBSTITUTE(SUBSTITUTE(SUBSTITUTE(SUBSTITUTE(SUBSTITUTE(LOWER(AC382&amp;""),CHAR(160),"")," ",""),".",""),"-",""),"/",""),"?",""),"_",""),",",""),"[",""),"]",""),"(",""),")",""),"*","")</f>
        <v/>
      </c>
      <c r="BA382" s="61" t="str">
        <f aca="false">SUBSTITUTE(SUBSTITUTE(SUBSTITUTE(SUBSTITUTE(SUBSTITUTE(SUBSTITUTE(SUBSTITUTE(SUBSTITUTE(SUBSTITUTE(SUBSTITUTE(SUBSTITUTE(SUBSTITUTE(SUBSTITUTE(LOWER(AA382&amp;""),CHAR(160),"")," ",""),".",""),"-",""),"/",""),"?",""),"_",""),",",""),"[",""),"]",""),"(",""),")",""),"*","")</f>
        <v/>
      </c>
      <c r="BB382" s="61" t="str">
        <f aca="false">IF(AND(TRIM(U382)="Pass",ISNUMBER(AF382)),IF(AF382&lt;&gt;0,"INVALID – qty variance: use Fail or Pass after CA",""),"")&amp;IF(AND(TRIM(U382)="Pass after CA",ISNUMBER(AF382)),IF(AF382&lt;&gt;0,"INVALID – after the corrective action the actual qty must equal expected (update Actual)",""),"")&amp;IF(AND(TRIM(U382)="Pass",TRIM(AB382)&lt;&gt;"",TRIM(AB382)&lt;&gt;"Closed"),"INVALID – corrective action not closed: use Fail, then Pass after CA","")&amp;IF(AND(TRIM(AA382)&lt;&gt;"",TRIM(AB382)=""),"INVALID – CA status missing for the recorded corrective action","")&amp;IF(AND(TRIM(U382)="Pass after CA",OR(OR(LEN(BA382)&lt;5,ISNUMBER(MATCH(BA382,L_Placeholder,0))),TRIM(AB382)&lt;&gt;"Closed")),"INVALID – corrective action not recorded/closed","")</f>
        <v/>
      </c>
    </row>
    <row r="383" customFormat="false" ht="39.75" hidden="false" customHeight="true" outlineLevel="0" collapsed="false">
      <c r="A383" s="57" t="s">
        <v>974</v>
      </c>
      <c r="B383" s="57" t="s">
        <v>258</v>
      </c>
      <c r="C383" s="57" t="str">
        <f aca="false">Flights!$F$16</f>
        <v>MH0139</v>
      </c>
      <c r="D383" s="58" t="n">
        <f aca="false">Flights!$D$16</f>
        <v>46307</v>
      </c>
      <c r="E383" s="57" t="str">
        <f aca="false">Flights!$G$16&amp;"-"&amp;Flights!$H$16</f>
        <v>KUL-ADL</v>
      </c>
      <c r="F383" s="57" t="str">
        <f aca="false">Flights!$K$16</f>
        <v>BC</v>
      </c>
      <c r="G383" s="57" t="s">
        <v>79</v>
      </c>
      <c r="H383" s="57" t="s">
        <v>356</v>
      </c>
      <c r="I383" s="57" t="s">
        <v>372</v>
      </c>
      <c r="J383" s="57" t="s">
        <v>373</v>
      </c>
      <c r="K383" s="67" t="s">
        <v>374</v>
      </c>
      <c r="L383" s="67" t="s">
        <v>360</v>
      </c>
      <c r="M383" s="67"/>
      <c r="N383" s="67" t="s">
        <v>361</v>
      </c>
      <c r="O383" s="67"/>
      <c r="P383" s="57" t="s">
        <v>184</v>
      </c>
      <c r="Q383" s="59" t="n">
        <f aca="false">ROUND((Flights!$AC$16)*1440,0)/1440</f>
        <v>46300.6006944444</v>
      </c>
      <c r="R383" s="59" t="n">
        <f aca="false">Q383+(IF(AND(INDEX(TZ_DSTS,MATCH(P383,TZ_STN,0))&lt;&gt;"",Q383&gt;=INDEX(TZ_DSTS,MATCH(P383,TZ_STN,0)),Q383&lt;INDEX(TZ_DSTE,MATCH(P383,TZ_STN,0))),INDEX(TZ_DST,MATCH(P383,TZ_STN,0)),INDEX(TZ_STD,MATCH(P383,TZ_STN,0))))/24</f>
        <v>46300.9340277778</v>
      </c>
      <c r="S383" s="59" t="n">
        <f aca="false">Q383-T7EarlyD*24/24</f>
        <v>46286.6006944444</v>
      </c>
      <c r="T383" s="60"/>
      <c r="U383" s="60"/>
      <c r="V383" s="60"/>
      <c r="W383" s="61"/>
      <c r="X383" s="60"/>
      <c r="Y383" s="60"/>
      <c r="Z383" s="60"/>
      <c r="AA383" s="60"/>
      <c r="AB383" s="60"/>
      <c r="AC383" s="60"/>
      <c r="AD383" s="66"/>
      <c r="AE383" s="60"/>
      <c r="AF383" s="61" t="str">
        <f aca="false">IF(AND(ISNUMBER(X383),ISNUMBER(Y383)),Y383-X383,"")</f>
        <v/>
      </c>
      <c r="AG383" s="62" t="str">
        <f aca="false">IF(ISNUMBER(AD383),AD383-(IF(AND(INDEX(TZ_DSTS,MATCH(P383,TZ_STN,0))&lt;&gt;"",(AD383-INDEX(TZ_STD,MATCH(P383,TZ_STN,0))/24)&gt;=INDEX(TZ_DSTS,MATCH(P383,TZ_STN,0)),(AD383-INDEX(TZ_STD,MATCH(P383,TZ_STN,0))/24)&lt;INDEX(TZ_DSTE,MATCH(P383,TZ_STN,0))),INDEX(TZ_DST,MATCH(P383,TZ_STN,0)),INDEX(TZ_STD,MATCH(P383,TZ_STN,0))))/24,"")</f>
        <v/>
      </c>
      <c r="AH383" s="65" t="str">
        <f aca="false">IFERROR(IF(N383="N/A – rule","N/A – RULE",IF(TRIM(U383)="N/A",IF(AT383=0,"INVALID – N/A not permitted for this check",IF(AND(TRIM(AB383)&lt;&gt;"",TRIM(AB383)&lt;&gt;"Closed"),"INVALID – corrective action still open",IF(AND(NOT(OR(LEN(AZ383)&lt;15,ISNUMBER(MATCH(AZ383,L_Placeholder,0)))),NOT(OR(LEN(AU383)&lt;2,ISNUMBER(MATCH(AU383,L_Placeholder,0)))),NOT(OR(LEN(AX383)&lt;2,ISNUMBER(MATCH(AX383,L_Placeholder,0)))),TRIM(AE383)&lt;&gt;TRIM(T383)),"N/A – JUSTIFIED","INVALID – N/A needs a real justification (15+ chars), PIC and a different verifier"))),IF(OR(TRIM(U383)="Pass",TRIM(U383)="Pass after CA"),IF(NOT(ISNUMBER(AD383)),"INVALID – completion time missing",IF(OR(LEN(AU383)&lt;2,ISNUMBER(MATCH(AU383,L_Placeholder,0))),"INVALID – PIC missing",IF(OR(LEN(AV383)&lt;2,ISNUMBER(MATCH(AV383,L_Placeholder,0))),"INVALID – result / assessment missing",IF(OR(OR(LEN(AW383)&lt;3,ISNUMBER(MATCH(AW383,L_Placeholder,0))),SUMPRODUCT(--ISNUMBER(SEARCH(L_EvidencePhrase,AW383)))&gt;0),"INVALID – evidence missing, placeholder or not yet on file",IF(OR(LEN(AX383)&lt;2,ISNUMBER(MATCH(AX383,L_Placeholder,0))),"INVALID – verifier missing",IF(AX383=AU383,"INVALID – verifier must be someone other than the PIC",IF(AND(TRIM(U383)="Pass",SUMPRODUCT(--ISNUMBER(SEARCH(L_ResultBad,AV383)))&gt;0),"INVALID – result describes a problem: use Fail, then Pass after CA",IF(AND(AQ383=1,OR(LEN(AY383)&lt;3,ISNUMBER(MATCH(AY383,L_Placeholder,0)))),"INVALID – batch ID missing or placeholder",IF(AND(AR383=1,OR(NOT(ISNUMBER(X383)),NOT(ISNUMBER(Y383)))),"INVALID – expected/actual qty missing",IF(AND(AR383=1,OR(X383&lt;=0,Y383&lt;0)),"INVALID – expected qty must be above 0 and actual not negative",IF(BB383&lt;&gt;"",BB383,IF(AND(AS383=1,Documents!$J$16&lt;&gt;"ON FILE"),"INVALID – GLD not on file (Documents sheet)",IF(AND(AS383=2,Documents!$O$16&lt;&gt;"ON FILE"),"INVALID – menu checklist not on file (Documents sheet)",IF(AND(AS383=3,NOT(ISNUMBER(Flights!$AX$16))),"INVALID – enter carrying flight KUL departure (Flights AX)",IF(AND(AS383=3,OR(Flights!$AZ$16&gt;Flights!$AA$16,Flights!$AX$16&lt;Flights!$AA$16-3)),"INVALID – carrying flight (Flights AX) cannot arrive before this leg's STD, or is over 3 days early",IF(AG383&gt;AsOfUTC,"INVALID – completion time is in the future",IF(AND(ISNUMBER(S383),AG383&lt;S383),IF(H383="Physical uplift","INVALID – before uplift window (cannot confirm loading)","INVALID – before valid window"),IF(AG383&gt;Flights!$AA$16,"INVALID – completed after departure (cannot establish readiness)",IF(AND(H383="Preparation",AG383&gt;IF(ISNUMBER(Flights!$BA$16),MIN(Flights!$BA$16,Flights!$AA$16),Flights!$AA$16)),"INVALID – completed after loading / departure (cannot establish readiness)",IF(AND(H383="Physical uplift",AG383&gt;Q383),"INVALID – recorded after the loading flight departed",IF(AG383&gt;Q383,"COMPLETE – LATE","COMPLETE"))))))))))))))))))))),IF(TRIM(U383)="Fail","FAIL – DISCREPANCY",IF(AND(TRIM(U383)&lt;&gt;"",TRIM(U383)&lt;&gt;"Not started",TRIM(U383)&lt;&gt;"In progress"),"INVALID – unrecognised status (use the list)",IF(AsOfUTC&gt;Q383,"OVERDUE",IF(N383="Clarification required","OPEN – CLARIFICATION","OPEN"))))))),"INVALID – error value in an input cell")</f>
        <v>OPEN</v>
      </c>
      <c r="AI383" s="61" t="n">
        <f aca="false">IF(OR(AH383="N/A – RULE",AH383="N/A – JUSTIFIED"),0,1)</f>
        <v>1</v>
      </c>
      <c r="AJ383" s="61" t="n">
        <f aca="false">IF(LEFT(AH383,8)="COMPLETE",1,0)</f>
        <v>0</v>
      </c>
      <c r="AK383" s="61" t="n">
        <f aca="false">IF(AND(AI383=1,AJ383=0,AsOfUTC&gt;Q383),1,0)</f>
        <v>0</v>
      </c>
      <c r="AL383" s="61" t="n">
        <f aca="false">IFERROR(IF(AND(AI383=1,OR(TRIM(U383)="Fail",AND(TRIM(AB383)&lt;&gt;"",TRIM(AB383)&lt;&gt;"Closed"),AND(ISNUMBER(AF383),AF383&lt;&gt;0,TRIM(U383)&lt;&gt;"Pass after CA"))),1,0),1)</f>
        <v>0</v>
      </c>
      <c r="AM383" s="61" t="n">
        <f aca="false">IF(LEFT(AH383,7)="INVALID",1,0)</f>
        <v>0</v>
      </c>
      <c r="AN383" s="61" t="n">
        <f aca="false">IF(AND(N383="Clarification required",AI383=1,AJ383=0),1,0)</f>
        <v>0</v>
      </c>
      <c r="AO383" s="61" t="str">
        <f aca="false">IF(AK383=1,SUM(AK$5:AK383),"")</f>
        <v/>
      </c>
      <c r="AP383" s="61" t="str">
        <f aca="false">IF(AL383=1,SUM(AL$5:AL383),"")</f>
        <v/>
      </c>
      <c r="AQ383" s="61" t="n">
        <v>0</v>
      </c>
      <c r="AR383" s="61" t="n">
        <v>0</v>
      </c>
      <c r="AS383" s="61" t="n">
        <v>0</v>
      </c>
      <c r="AT383" s="61" t="n">
        <v>0</v>
      </c>
      <c r="AU383" s="61" t="str">
        <f aca="false">SUBSTITUTE(SUBSTITUTE(SUBSTITUTE(SUBSTITUTE(SUBSTITUTE(SUBSTITUTE(SUBSTITUTE(SUBSTITUTE(SUBSTITUTE(SUBSTITUTE(SUBSTITUTE(SUBSTITUTE(SUBSTITUTE(LOWER(T383&amp;""),CHAR(160),"")," ",""),".",""),"-",""),"/",""),"?",""),"_",""),",",""),"[",""),"]",""),"(",""),")",""),"*","")</f>
        <v/>
      </c>
      <c r="AV383" s="61" t="str">
        <f aca="false">SUBSTITUTE(SUBSTITUTE(SUBSTITUTE(SUBSTITUTE(SUBSTITUTE(SUBSTITUTE(SUBSTITUTE(SUBSTITUTE(SUBSTITUTE(SUBSTITUTE(SUBSTITUTE(SUBSTITUTE(SUBSTITUTE(LOWER(V383&amp;""),CHAR(160),"")," ",""),".",""),"-",""),"/",""),"?",""),"_",""),",",""),"[",""),"]",""),"(",""),")",""),"*","")</f>
        <v/>
      </c>
      <c r="AW383" s="61" t="str">
        <f aca="false">SUBSTITUTE(SUBSTITUTE(SUBSTITUTE(SUBSTITUTE(SUBSTITUTE(SUBSTITUTE(SUBSTITUTE(SUBSTITUTE(SUBSTITUTE(SUBSTITUTE(SUBSTITUTE(SUBSTITUTE(SUBSTITUTE(LOWER(Z383&amp;""),CHAR(160),"")," ",""),".",""),"-",""),"/",""),"?",""),"_",""),",",""),"[",""),"]",""),"(",""),")",""),"*","")</f>
        <v/>
      </c>
      <c r="AX383" s="61" t="str">
        <f aca="false">SUBSTITUTE(SUBSTITUTE(SUBSTITUTE(SUBSTITUTE(SUBSTITUTE(SUBSTITUTE(SUBSTITUTE(SUBSTITUTE(SUBSTITUTE(SUBSTITUTE(SUBSTITUTE(SUBSTITUTE(SUBSTITUTE(LOWER(AE383&amp;""),CHAR(160),"")," ",""),".",""),"-",""),"/",""),"?",""),"_",""),",",""),"[",""),"]",""),"(",""),")",""),"*","")</f>
        <v/>
      </c>
      <c r="AY383" s="61" t="str">
        <f aca="false">SUBSTITUTE(SUBSTITUTE(SUBSTITUTE(SUBSTITUTE(SUBSTITUTE(SUBSTITUTE(SUBSTITUTE(SUBSTITUTE(SUBSTITUTE(SUBSTITUTE(SUBSTITUTE(SUBSTITUTE(SUBSTITUTE(LOWER(W383&amp;""),CHAR(160),"")," ",""),".",""),"-",""),"/",""),"?",""),"_",""),",",""),"[",""),"]",""),"(",""),")",""),"*","")</f>
        <v/>
      </c>
      <c r="AZ383" s="61" t="str">
        <f aca="false">SUBSTITUTE(SUBSTITUTE(SUBSTITUTE(SUBSTITUTE(SUBSTITUTE(SUBSTITUTE(SUBSTITUTE(SUBSTITUTE(SUBSTITUTE(SUBSTITUTE(SUBSTITUTE(SUBSTITUTE(SUBSTITUTE(LOWER(AC383&amp;""),CHAR(160),"")," ",""),".",""),"-",""),"/",""),"?",""),"_",""),",",""),"[",""),"]",""),"(",""),")",""),"*","")</f>
        <v/>
      </c>
      <c r="BA383" s="61" t="str">
        <f aca="false">SUBSTITUTE(SUBSTITUTE(SUBSTITUTE(SUBSTITUTE(SUBSTITUTE(SUBSTITUTE(SUBSTITUTE(SUBSTITUTE(SUBSTITUTE(SUBSTITUTE(SUBSTITUTE(SUBSTITUTE(SUBSTITUTE(LOWER(AA383&amp;""),CHAR(160),"")," ",""),".",""),"-",""),"/",""),"?",""),"_",""),",",""),"[",""),"]",""),"(",""),")",""),"*","")</f>
        <v/>
      </c>
      <c r="BB383" s="61" t="str">
        <f aca="false">IF(AND(TRIM(U383)="Pass",ISNUMBER(AF383)),IF(AF383&lt;&gt;0,"INVALID – qty variance: use Fail or Pass after CA",""),"")&amp;IF(AND(TRIM(U383)="Pass after CA",ISNUMBER(AF383)),IF(AF383&lt;&gt;0,"INVALID – after the corrective action the actual qty must equal expected (update Actual)",""),"")&amp;IF(AND(TRIM(U383)="Pass",TRIM(AB383)&lt;&gt;"",TRIM(AB383)&lt;&gt;"Closed"),"INVALID – corrective action not closed: use Fail, then Pass after CA","")&amp;IF(AND(TRIM(AA383)&lt;&gt;"",TRIM(AB383)=""),"INVALID – CA status missing for the recorded corrective action","")&amp;IF(AND(TRIM(U383)="Pass after CA",OR(OR(LEN(BA383)&lt;5,ISNUMBER(MATCH(BA383,L_Placeholder,0))),TRIM(AB383)&lt;&gt;"Closed")),"INVALID – corrective action not recorded/closed","")</f>
        <v/>
      </c>
    </row>
    <row r="384" customFormat="false" ht="39.75" hidden="false" customHeight="true" outlineLevel="0" collapsed="false">
      <c r="A384" s="57" t="s">
        <v>975</v>
      </c>
      <c r="B384" s="57" t="s">
        <v>258</v>
      </c>
      <c r="C384" s="57" t="str">
        <f aca="false">Flights!$F$16</f>
        <v>MH0139</v>
      </c>
      <c r="D384" s="58" t="n">
        <f aca="false">Flights!$D$16</f>
        <v>46307</v>
      </c>
      <c r="E384" s="57" t="str">
        <f aca="false">Flights!$G$16&amp;"-"&amp;Flights!$H$16</f>
        <v>KUL-ADL</v>
      </c>
      <c r="F384" s="57" t="str">
        <f aca="false">Flights!$K$16</f>
        <v>BC</v>
      </c>
      <c r="G384" s="57" t="s">
        <v>79</v>
      </c>
      <c r="H384" s="57" t="s">
        <v>356</v>
      </c>
      <c r="I384" s="57" t="s">
        <v>376</v>
      </c>
      <c r="J384" s="57" t="s">
        <v>377</v>
      </c>
      <c r="K384" s="67" t="s">
        <v>378</v>
      </c>
      <c r="L384" s="67" t="s">
        <v>360</v>
      </c>
      <c r="M384" s="67"/>
      <c r="N384" s="67" t="s">
        <v>361</v>
      </c>
      <c r="O384" s="67"/>
      <c r="P384" s="57" t="s">
        <v>184</v>
      </c>
      <c r="Q384" s="59" t="n">
        <f aca="false">ROUND((Flights!$AC$16)*1440,0)/1440</f>
        <v>46300.6006944444</v>
      </c>
      <c r="R384" s="59" t="n">
        <f aca="false">Q384+(IF(AND(INDEX(TZ_DSTS,MATCH(P384,TZ_STN,0))&lt;&gt;"",Q384&gt;=INDEX(TZ_DSTS,MATCH(P384,TZ_STN,0)),Q384&lt;INDEX(TZ_DSTE,MATCH(P384,TZ_STN,0))),INDEX(TZ_DST,MATCH(P384,TZ_STN,0)),INDEX(TZ_STD,MATCH(P384,TZ_STN,0))))/24</f>
        <v>46300.9340277778</v>
      </c>
      <c r="S384" s="59" t="n">
        <f aca="false">Q384-T7EarlyD*24/24</f>
        <v>46286.6006944444</v>
      </c>
      <c r="T384" s="60"/>
      <c r="U384" s="60"/>
      <c r="V384" s="60"/>
      <c r="W384" s="61"/>
      <c r="X384" s="60"/>
      <c r="Y384" s="60"/>
      <c r="Z384" s="60"/>
      <c r="AA384" s="60"/>
      <c r="AB384" s="60"/>
      <c r="AC384" s="60"/>
      <c r="AD384" s="66"/>
      <c r="AE384" s="60"/>
      <c r="AF384" s="61" t="str">
        <f aca="false">IF(AND(ISNUMBER(X384),ISNUMBER(Y384)),Y384-X384,"")</f>
        <v/>
      </c>
      <c r="AG384" s="62" t="str">
        <f aca="false">IF(ISNUMBER(AD384),AD384-(IF(AND(INDEX(TZ_DSTS,MATCH(P384,TZ_STN,0))&lt;&gt;"",(AD384-INDEX(TZ_STD,MATCH(P384,TZ_STN,0))/24)&gt;=INDEX(TZ_DSTS,MATCH(P384,TZ_STN,0)),(AD384-INDEX(TZ_STD,MATCH(P384,TZ_STN,0))/24)&lt;INDEX(TZ_DSTE,MATCH(P384,TZ_STN,0))),INDEX(TZ_DST,MATCH(P384,TZ_STN,0)),INDEX(TZ_STD,MATCH(P384,TZ_STN,0))))/24,"")</f>
        <v/>
      </c>
      <c r="AH384" s="65" t="str">
        <f aca="false">IFERROR(IF(N384="N/A – rule","N/A – RULE",IF(TRIM(U384)="N/A",IF(AT384=0,"INVALID – N/A not permitted for this check",IF(AND(TRIM(AB384)&lt;&gt;"",TRIM(AB384)&lt;&gt;"Closed"),"INVALID – corrective action still open",IF(AND(NOT(OR(LEN(AZ384)&lt;15,ISNUMBER(MATCH(AZ384,L_Placeholder,0)))),NOT(OR(LEN(AU384)&lt;2,ISNUMBER(MATCH(AU384,L_Placeholder,0)))),NOT(OR(LEN(AX384)&lt;2,ISNUMBER(MATCH(AX384,L_Placeholder,0)))),TRIM(AE384)&lt;&gt;TRIM(T384)),"N/A – JUSTIFIED","INVALID – N/A needs a real justification (15+ chars), PIC and a different verifier"))),IF(OR(TRIM(U384)="Pass",TRIM(U384)="Pass after CA"),IF(NOT(ISNUMBER(AD384)),"INVALID – completion time missing",IF(OR(LEN(AU384)&lt;2,ISNUMBER(MATCH(AU384,L_Placeholder,0))),"INVALID – PIC missing",IF(OR(LEN(AV384)&lt;2,ISNUMBER(MATCH(AV384,L_Placeholder,0))),"INVALID – result / assessment missing",IF(OR(OR(LEN(AW384)&lt;3,ISNUMBER(MATCH(AW384,L_Placeholder,0))),SUMPRODUCT(--ISNUMBER(SEARCH(L_EvidencePhrase,AW384)))&gt;0),"INVALID – evidence missing, placeholder or not yet on file",IF(OR(LEN(AX384)&lt;2,ISNUMBER(MATCH(AX384,L_Placeholder,0))),"INVALID – verifier missing",IF(AX384=AU384,"INVALID – verifier must be someone other than the PIC",IF(AND(TRIM(U384)="Pass",SUMPRODUCT(--ISNUMBER(SEARCH(L_ResultBad,AV384)))&gt;0),"INVALID – result describes a problem: use Fail, then Pass after CA",IF(AND(AQ384=1,OR(LEN(AY384)&lt;3,ISNUMBER(MATCH(AY384,L_Placeholder,0)))),"INVALID – batch ID missing or placeholder",IF(AND(AR384=1,OR(NOT(ISNUMBER(X384)),NOT(ISNUMBER(Y384)))),"INVALID – expected/actual qty missing",IF(AND(AR384=1,OR(X384&lt;=0,Y384&lt;0)),"INVALID – expected qty must be above 0 and actual not negative",IF(BB384&lt;&gt;"",BB384,IF(AND(AS384=1,Documents!$J$16&lt;&gt;"ON FILE"),"INVALID – GLD not on file (Documents sheet)",IF(AND(AS384=2,Documents!$O$16&lt;&gt;"ON FILE"),"INVALID – menu checklist not on file (Documents sheet)",IF(AND(AS384=3,NOT(ISNUMBER(Flights!$AX$16))),"INVALID – enter carrying flight KUL departure (Flights AX)",IF(AND(AS384=3,OR(Flights!$AZ$16&gt;Flights!$AA$16,Flights!$AX$16&lt;Flights!$AA$16-3)),"INVALID – carrying flight (Flights AX) cannot arrive before this leg's STD, or is over 3 days early",IF(AG384&gt;AsOfUTC,"INVALID – completion time is in the future",IF(AND(ISNUMBER(S384),AG384&lt;S384),IF(H384="Physical uplift","INVALID – before uplift window (cannot confirm loading)","INVALID – before valid window"),IF(AG384&gt;Flights!$AA$16,"INVALID – completed after departure (cannot establish readiness)",IF(AND(H384="Preparation",AG384&gt;IF(ISNUMBER(Flights!$BA$16),MIN(Flights!$BA$16,Flights!$AA$16),Flights!$AA$16)),"INVALID – completed after loading / departure (cannot establish readiness)",IF(AND(H384="Physical uplift",AG384&gt;Q384),"INVALID – recorded after the loading flight departed",IF(AG384&gt;Q384,"COMPLETE – LATE","COMPLETE"))))))))))))))))))))),IF(TRIM(U384)="Fail","FAIL – DISCREPANCY",IF(AND(TRIM(U384)&lt;&gt;"",TRIM(U384)&lt;&gt;"Not started",TRIM(U384)&lt;&gt;"In progress"),"INVALID – unrecognised status (use the list)",IF(AsOfUTC&gt;Q384,"OVERDUE",IF(N384="Clarification required","OPEN – CLARIFICATION","OPEN"))))))),"INVALID – error value in an input cell")</f>
        <v>OPEN</v>
      </c>
      <c r="AI384" s="61" t="n">
        <f aca="false">IF(OR(AH384="N/A – RULE",AH384="N/A – JUSTIFIED"),0,1)</f>
        <v>1</v>
      </c>
      <c r="AJ384" s="61" t="n">
        <f aca="false">IF(LEFT(AH384,8)="COMPLETE",1,0)</f>
        <v>0</v>
      </c>
      <c r="AK384" s="61" t="n">
        <f aca="false">IF(AND(AI384=1,AJ384=0,AsOfUTC&gt;Q384),1,0)</f>
        <v>0</v>
      </c>
      <c r="AL384" s="61" t="n">
        <f aca="false">IFERROR(IF(AND(AI384=1,OR(TRIM(U384)="Fail",AND(TRIM(AB384)&lt;&gt;"",TRIM(AB384)&lt;&gt;"Closed"),AND(ISNUMBER(AF384),AF384&lt;&gt;0,TRIM(U384)&lt;&gt;"Pass after CA"))),1,0),1)</f>
        <v>0</v>
      </c>
      <c r="AM384" s="61" t="n">
        <f aca="false">IF(LEFT(AH384,7)="INVALID",1,0)</f>
        <v>0</v>
      </c>
      <c r="AN384" s="61" t="n">
        <f aca="false">IF(AND(N384="Clarification required",AI384=1,AJ384=0),1,0)</f>
        <v>0</v>
      </c>
      <c r="AO384" s="61" t="str">
        <f aca="false">IF(AK384=1,SUM(AK$5:AK384),"")</f>
        <v/>
      </c>
      <c r="AP384" s="61" t="str">
        <f aca="false">IF(AL384=1,SUM(AL$5:AL384),"")</f>
        <v/>
      </c>
      <c r="AQ384" s="61" t="n">
        <v>0</v>
      </c>
      <c r="AR384" s="61" t="n">
        <v>0</v>
      </c>
      <c r="AS384" s="61" t="n">
        <v>0</v>
      </c>
      <c r="AT384" s="61" t="n">
        <v>0</v>
      </c>
      <c r="AU384" s="61" t="str">
        <f aca="false">SUBSTITUTE(SUBSTITUTE(SUBSTITUTE(SUBSTITUTE(SUBSTITUTE(SUBSTITUTE(SUBSTITUTE(SUBSTITUTE(SUBSTITUTE(SUBSTITUTE(SUBSTITUTE(SUBSTITUTE(SUBSTITUTE(LOWER(T384&amp;""),CHAR(160),"")," ",""),".",""),"-",""),"/",""),"?",""),"_",""),",",""),"[",""),"]",""),"(",""),")",""),"*","")</f>
        <v/>
      </c>
      <c r="AV384" s="61" t="str">
        <f aca="false">SUBSTITUTE(SUBSTITUTE(SUBSTITUTE(SUBSTITUTE(SUBSTITUTE(SUBSTITUTE(SUBSTITUTE(SUBSTITUTE(SUBSTITUTE(SUBSTITUTE(SUBSTITUTE(SUBSTITUTE(SUBSTITUTE(LOWER(V384&amp;""),CHAR(160),"")," ",""),".",""),"-",""),"/",""),"?",""),"_",""),",",""),"[",""),"]",""),"(",""),")",""),"*","")</f>
        <v/>
      </c>
      <c r="AW384" s="61" t="str">
        <f aca="false">SUBSTITUTE(SUBSTITUTE(SUBSTITUTE(SUBSTITUTE(SUBSTITUTE(SUBSTITUTE(SUBSTITUTE(SUBSTITUTE(SUBSTITUTE(SUBSTITUTE(SUBSTITUTE(SUBSTITUTE(SUBSTITUTE(LOWER(Z384&amp;""),CHAR(160),"")," ",""),".",""),"-",""),"/",""),"?",""),"_",""),",",""),"[",""),"]",""),"(",""),")",""),"*","")</f>
        <v/>
      </c>
      <c r="AX384" s="61" t="str">
        <f aca="false">SUBSTITUTE(SUBSTITUTE(SUBSTITUTE(SUBSTITUTE(SUBSTITUTE(SUBSTITUTE(SUBSTITUTE(SUBSTITUTE(SUBSTITUTE(SUBSTITUTE(SUBSTITUTE(SUBSTITUTE(SUBSTITUTE(LOWER(AE384&amp;""),CHAR(160),"")," ",""),".",""),"-",""),"/",""),"?",""),"_",""),",",""),"[",""),"]",""),"(",""),")",""),"*","")</f>
        <v/>
      </c>
      <c r="AY384" s="61" t="str">
        <f aca="false">SUBSTITUTE(SUBSTITUTE(SUBSTITUTE(SUBSTITUTE(SUBSTITUTE(SUBSTITUTE(SUBSTITUTE(SUBSTITUTE(SUBSTITUTE(SUBSTITUTE(SUBSTITUTE(SUBSTITUTE(SUBSTITUTE(LOWER(W384&amp;""),CHAR(160),"")," ",""),".",""),"-",""),"/",""),"?",""),"_",""),",",""),"[",""),"]",""),"(",""),")",""),"*","")</f>
        <v/>
      </c>
      <c r="AZ384" s="61" t="str">
        <f aca="false">SUBSTITUTE(SUBSTITUTE(SUBSTITUTE(SUBSTITUTE(SUBSTITUTE(SUBSTITUTE(SUBSTITUTE(SUBSTITUTE(SUBSTITUTE(SUBSTITUTE(SUBSTITUTE(SUBSTITUTE(SUBSTITUTE(LOWER(AC384&amp;""),CHAR(160),"")," ",""),".",""),"-",""),"/",""),"?",""),"_",""),",",""),"[",""),"]",""),"(",""),")",""),"*","")</f>
        <v/>
      </c>
      <c r="BA384" s="61" t="str">
        <f aca="false">SUBSTITUTE(SUBSTITUTE(SUBSTITUTE(SUBSTITUTE(SUBSTITUTE(SUBSTITUTE(SUBSTITUTE(SUBSTITUTE(SUBSTITUTE(SUBSTITUTE(SUBSTITUTE(SUBSTITUTE(SUBSTITUTE(LOWER(AA384&amp;""),CHAR(160),"")," ",""),".",""),"-",""),"/",""),"?",""),"_",""),",",""),"[",""),"]",""),"(",""),")",""),"*","")</f>
        <v/>
      </c>
      <c r="BB384" s="61" t="str">
        <f aca="false">IF(AND(TRIM(U384)="Pass",ISNUMBER(AF384)),IF(AF384&lt;&gt;0,"INVALID – qty variance: use Fail or Pass after CA",""),"")&amp;IF(AND(TRIM(U384)="Pass after CA",ISNUMBER(AF384)),IF(AF384&lt;&gt;0,"INVALID – after the corrective action the actual qty must equal expected (update Actual)",""),"")&amp;IF(AND(TRIM(U384)="Pass",TRIM(AB384)&lt;&gt;"",TRIM(AB384)&lt;&gt;"Closed"),"INVALID – corrective action not closed: use Fail, then Pass after CA","")&amp;IF(AND(TRIM(AA384)&lt;&gt;"",TRIM(AB384)=""),"INVALID – CA status missing for the recorded corrective action","")&amp;IF(AND(TRIM(U384)="Pass after CA",OR(OR(LEN(BA384)&lt;5,ISNUMBER(MATCH(BA384,L_Placeholder,0))),TRIM(AB384)&lt;&gt;"Closed")),"INVALID – corrective action not recorded/closed","")</f>
        <v/>
      </c>
    </row>
    <row r="385" customFormat="false" ht="39.75" hidden="false" customHeight="true" outlineLevel="0" collapsed="false">
      <c r="A385" s="57" t="s">
        <v>976</v>
      </c>
      <c r="B385" s="57" t="s">
        <v>258</v>
      </c>
      <c r="C385" s="57" t="str">
        <f aca="false">Flights!$F$16</f>
        <v>MH0139</v>
      </c>
      <c r="D385" s="58" t="n">
        <f aca="false">Flights!$D$16</f>
        <v>46307</v>
      </c>
      <c r="E385" s="57" t="str">
        <f aca="false">Flights!$G$16&amp;"-"&amp;Flights!$H$16</f>
        <v>KUL-ADL</v>
      </c>
      <c r="F385" s="57" t="str">
        <f aca="false">Flights!$K$16</f>
        <v>BC</v>
      </c>
      <c r="G385" s="57" t="s">
        <v>79</v>
      </c>
      <c r="H385" s="57" t="s">
        <v>356</v>
      </c>
      <c r="I385" s="57" t="s">
        <v>376</v>
      </c>
      <c r="J385" s="57" t="s">
        <v>380</v>
      </c>
      <c r="K385" s="67" t="s">
        <v>381</v>
      </c>
      <c r="L385" s="67" t="s">
        <v>360</v>
      </c>
      <c r="M385" s="67"/>
      <c r="N385" s="67" t="s">
        <v>361</v>
      </c>
      <c r="O385" s="67"/>
      <c r="P385" s="57" t="s">
        <v>184</v>
      </c>
      <c r="Q385" s="59" t="n">
        <f aca="false">ROUND((Flights!$AC$16)*1440,0)/1440</f>
        <v>46300.6006944444</v>
      </c>
      <c r="R385" s="59" t="n">
        <f aca="false">Q385+(IF(AND(INDEX(TZ_DSTS,MATCH(P385,TZ_STN,0))&lt;&gt;"",Q385&gt;=INDEX(TZ_DSTS,MATCH(P385,TZ_STN,0)),Q385&lt;INDEX(TZ_DSTE,MATCH(P385,TZ_STN,0))),INDEX(TZ_DST,MATCH(P385,TZ_STN,0)),INDEX(TZ_STD,MATCH(P385,TZ_STN,0))))/24</f>
        <v>46300.9340277778</v>
      </c>
      <c r="S385" s="59" t="n">
        <f aca="false">Q385-T7EarlyD*24/24</f>
        <v>46286.6006944444</v>
      </c>
      <c r="T385" s="60"/>
      <c r="U385" s="60"/>
      <c r="V385" s="60"/>
      <c r="W385" s="61"/>
      <c r="X385" s="60"/>
      <c r="Y385" s="60"/>
      <c r="Z385" s="60"/>
      <c r="AA385" s="60"/>
      <c r="AB385" s="60"/>
      <c r="AC385" s="60"/>
      <c r="AD385" s="66"/>
      <c r="AE385" s="60"/>
      <c r="AF385" s="61" t="str">
        <f aca="false">IF(AND(ISNUMBER(X385),ISNUMBER(Y385)),Y385-X385,"")</f>
        <v/>
      </c>
      <c r="AG385" s="62" t="str">
        <f aca="false">IF(ISNUMBER(AD385),AD385-(IF(AND(INDEX(TZ_DSTS,MATCH(P385,TZ_STN,0))&lt;&gt;"",(AD385-INDEX(TZ_STD,MATCH(P385,TZ_STN,0))/24)&gt;=INDEX(TZ_DSTS,MATCH(P385,TZ_STN,0)),(AD385-INDEX(TZ_STD,MATCH(P385,TZ_STN,0))/24)&lt;INDEX(TZ_DSTE,MATCH(P385,TZ_STN,0))),INDEX(TZ_DST,MATCH(P385,TZ_STN,0)),INDEX(TZ_STD,MATCH(P385,TZ_STN,0))))/24,"")</f>
        <v/>
      </c>
      <c r="AH385" s="65" t="str">
        <f aca="false">IFERROR(IF(N385="N/A – rule","N/A – RULE",IF(TRIM(U385)="N/A",IF(AT385=0,"INVALID – N/A not permitted for this check",IF(AND(TRIM(AB385)&lt;&gt;"",TRIM(AB385)&lt;&gt;"Closed"),"INVALID – corrective action still open",IF(AND(NOT(OR(LEN(AZ385)&lt;15,ISNUMBER(MATCH(AZ385,L_Placeholder,0)))),NOT(OR(LEN(AU385)&lt;2,ISNUMBER(MATCH(AU385,L_Placeholder,0)))),NOT(OR(LEN(AX385)&lt;2,ISNUMBER(MATCH(AX385,L_Placeholder,0)))),TRIM(AE385)&lt;&gt;TRIM(T385)),"N/A – JUSTIFIED","INVALID – N/A needs a real justification (15+ chars), PIC and a different verifier"))),IF(OR(TRIM(U385)="Pass",TRIM(U385)="Pass after CA"),IF(NOT(ISNUMBER(AD385)),"INVALID – completion time missing",IF(OR(LEN(AU385)&lt;2,ISNUMBER(MATCH(AU385,L_Placeholder,0))),"INVALID – PIC missing",IF(OR(LEN(AV385)&lt;2,ISNUMBER(MATCH(AV385,L_Placeholder,0))),"INVALID – result / assessment missing",IF(OR(OR(LEN(AW385)&lt;3,ISNUMBER(MATCH(AW385,L_Placeholder,0))),SUMPRODUCT(--ISNUMBER(SEARCH(L_EvidencePhrase,AW385)))&gt;0),"INVALID – evidence missing, placeholder or not yet on file",IF(OR(LEN(AX385)&lt;2,ISNUMBER(MATCH(AX385,L_Placeholder,0))),"INVALID – verifier missing",IF(AX385=AU385,"INVALID – verifier must be someone other than the PIC",IF(AND(TRIM(U385)="Pass",SUMPRODUCT(--ISNUMBER(SEARCH(L_ResultBad,AV385)))&gt;0),"INVALID – result describes a problem: use Fail, then Pass after CA",IF(AND(AQ385=1,OR(LEN(AY385)&lt;3,ISNUMBER(MATCH(AY385,L_Placeholder,0)))),"INVALID – batch ID missing or placeholder",IF(AND(AR385=1,OR(NOT(ISNUMBER(X385)),NOT(ISNUMBER(Y385)))),"INVALID – expected/actual qty missing",IF(AND(AR385=1,OR(X385&lt;=0,Y385&lt;0)),"INVALID – expected qty must be above 0 and actual not negative",IF(BB385&lt;&gt;"",BB385,IF(AND(AS385=1,Documents!$J$16&lt;&gt;"ON FILE"),"INVALID – GLD not on file (Documents sheet)",IF(AND(AS385=2,Documents!$O$16&lt;&gt;"ON FILE"),"INVALID – menu checklist not on file (Documents sheet)",IF(AND(AS385=3,NOT(ISNUMBER(Flights!$AX$16))),"INVALID – enter carrying flight KUL departure (Flights AX)",IF(AND(AS385=3,OR(Flights!$AZ$16&gt;Flights!$AA$16,Flights!$AX$16&lt;Flights!$AA$16-3)),"INVALID – carrying flight (Flights AX) cannot arrive before this leg's STD, or is over 3 days early",IF(AG385&gt;AsOfUTC,"INVALID – completion time is in the future",IF(AND(ISNUMBER(S385),AG385&lt;S385),IF(H385="Physical uplift","INVALID – before uplift window (cannot confirm loading)","INVALID – before valid window"),IF(AG385&gt;Flights!$AA$16,"INVALID – completed after departure (cannot establish readiness)",IF(AND(H385="Preparation",AG385&gt;IF(ISNUMBER(Flights!$BA$16),MIN(Flights!$BA$16,Flights!$AA$16),Flights!$AA$16)),"INVALID – completed after loading / departure (cannot establish readiness)",IF(AND(H385="Physical uplift",AG385&gt;Q385),"INVALID – recorded after the loading flight departed",IF(AG385&gt;Q385,"COMPLETE – LATE","COMPLETE"))))))))))))))))))))),IF(TRIM(U385)="Fail","FAIL – DISCREPANCY",IF(AND(TRIM(U385)&lt;&gt;"",TRIM(U385)&lt;&gt;"Not started",TRIM(U385)&lt;&gt;"In progress"),"INVALID – unrecognised status (use the list)",IF(AsOfUTC&gt;Q385,"OVERDUE",IF(N385="Clarification required","OPEN – CLARIFICATION","OPEN"))))))),"INVALID – error value in an input cell")</f>
        <v>OPEN</v>
      </c>
      <c r="AI385" s="61" t="n">
        <f aca="false">IF(OR(AH385="N/A – RULE",AH385="N/A – JUSTIFIED"),0,1)</f>
        <v>1</v>
      </c>
      <c r="AJ385" s="61" t="n">
        <f aca="false">IF(LEFT(AH385,8)="COMPLETE",1,0)</f>
        <v>0</v>
      </c>
      <c r="AK385" s="61" t="n">
        <f aca="false">IF(AND(AI385=1,AJ385=0,AsOfUTC&gt;Q385),1,0)</f>
        <v>0</v>
      </c>
      <c r="AL385" s="61" t="n">
        <f aca="false">IFERROR(IF(AND(AI385=1,OR(TRIM(U385)="Fail",AND(TRIM(AB385)&lt;&gt;"",TRIM(AB385)&lt;&gt;"Closed"),AND(ISNUMBER(AF385),AF385&lt;&gt;0,TRIM(U385)&lt;&gt;"Pass after CA"))),1,0),1)</f>
        <v>0</v>
      </c>
      <c r="AM385" s="61" t="n">
        <f aca="false">IF(LEFT(AH385,7)="INVALID",1,0)</f>
        <v>0</v>
      </c>
      <c r="AN385" s="61" t="n">
        <f aca="false">IF(AND(N385="Clarification required",AI385=1,AJ385=0),1,0)</f>
        <v>0</v>
      </c>
      <c r="AO385" s="61" t="str">
        <f aca="false">IF(AK385=1,SUM(AK$5:AK385),"")</f>
        <v/>
      </c>
      <c r="AP385" s="61" t="str">
        <f aca="false">IF(AL385=1,SUM(AL$5:AL385),"")</f>
        <v/>
      </c>
      <c r="AQ385" s="61" t="n">
        <v>0</v>
      </c>
      <c r="AR385" s="61" t="n">
        <v>0</v>
      </c>
      <c r="AS385" s="61" t="n">
        <v>0</v>
      </c>
      <c r="AT385" s="61" t="n">
        <v>0</v>
      </c>
      <c r="AU385" s="61" t="str">
        <f aca="false">SUBSTITUTE(SUBSTITUTE(SUBSTITUTE(SUBSTITUTE(SUBSTITUTE(SUBSTITUTE(SUBSTITUTE(SUBSTITUTE(SUBSTITUTE(SUBSTITUTE(SUBSTITUTE(SUBSTITUTE(SUBSTITUTE(LOWER(T385&amp;""),CHAR(160),"")," ",""),".",""),"-",""),"/",""),"?",""),"_",""),",",""),"[",""),"]",""),"(",""),")",""),"*","")</f>
        <v/>
      </c>
      <c r="AV385" s="61" t="str">
        <f aca="false">SUBSTITUTE(SUBSTITUTE(SUBSTITUTE(SUBSTITUTE(SUBSTITUTE(SUBSTITUTE(SUBSTITUTE(SUBSTITUTE(SUBSTITUTE(SUBSTITUTE(SUBSTITUTE(SUBSTITUTE(SUBSTITUTE(LOWER(V385&amp;""),CHAR(160),"")," ",""),".",""),"-",""),"/",""),"?",""),"_",""),",",""),"[",""),"]",""),"(",""),")",""),"*","")</f>
        <v/>
      </c>
      <c r="AW385" s="61" t="str">
        <f aca="false">SUBSTITUTE(SUBSTITUTE(SUBSTITUTE(SUBSTITUTE(SUBSTITUTE(SUBSTITUTE(SUBSTITUTE(SUBSTITUTE(SUBSTITUTE(SUBSTITUTE(SUBSTITUTE(SUBSTITUTE(SUBSTITUTE(LOWER(Z385&amp;""),CHAR(160),"")," ",""),".",""),"-",""),"/",""),"?",""),"_",""),",",""),"[",""),"]",""),"(",""),")",""),"*","")</f>
        <v/>
      </c>
      <c r="AX385" s="61" t="str">
        <f aca="false">SUBSTITUTE(SUBSTITUTE(SUBSTITUTE(SUBSTITUTE(SUBSTITUTE(SUBSTITUTE(SUBSTITUTE(SUBSTITUTE(SUBSTITUTE(SUBSTITUTE(SUBSTITUTE(SUBSTITUTE(SUBSTITUTE(LOWER(AE385&amp;""),CHAR(160),"")," ",""),".",""),"-",""),"/",""),"?",""),"_",""),",",""),"[",""),"]",""),"(",""),")",""),"*","")</f>
        <v/>
      </c>
      <c r="AY385" s="61" t="str">
        <f aca="false">SUBSTITUTE(SUBSTITUTE(SUBSTITUTE(SUBSTITUTE(SUBSTITUTE(SUBSTITUTE(SUBSTITUTE(SUBSTITUTE(SUBSTITUTE(SUBSTITUTE(SUBSTITUTE(SUBSTITUTE(SUBSTITUTE(LOWER(W385&amp;""),CHAR(160),"")," ",""),".",""),"-",""),"/",""),"?",""),"_",""),",",""),"[",""),"]",""),"(",""),")",""),"*","")</f>
        <v/>
      </c>
      <c r="AZ385" s="61" t="str">
        <f aca="false">SUBSTITUTE(SUBSTITUTE(SUBSTITUTE(SUBSTITUTE(SUBSTITUTE(SUBSTITUTE(SUBSTITUTE(SUBSTITUTE(SUBSTITUTE(SUBSTITUTE(SUBSTITUTE(SUBSTITUTE(SUBSTITUTE(LOWER(AC385&amp;""),CHAR(160),"")," ",""),".",""),"-",""),"/",""),"?",""),"_",""),",",""),"[",""),"]",""),"(",""),")",""),"*","")</f>
        <v/>
      </c>
      <c r="BA385" s="61" t="str">
        <f aca="false">SUBSTITUTE(SUBSTITUTE(SUBSTITUTE(SUBSTITUTE(SUBSTITUTE(SUBSTITUTE(SUBSTITUTE(SUBSTITUTE(SUBSTITUTE(SUBSTITUTE(SUBSTITUTE(SUBSTITUTE(SUBSTITUTE(LOWER(AA385&amp;""),CHAR(160),"")," ",""),".",""),"-",""),"/",""),"?",""),"_",""),",",""),"[",""),"]",""),"(",""),")",""),"*","")</f>
        <v/>
      </c>
      <c r="BB385" s="61" t="str">
        <f aca="false">IF(AND(TRIM(U385)="Pass",ISNUMBER(AF385)),IF(AF385&lt;&gt;0,"INVALID – qty variance: use Fail or Pass after CA",""),"")&amp;IF(AND(TRIM(U385)="Pass after CA",ISNUMBER(AF385)),IF(AF385&lt;&gt;0,"INVALID – after the corrective action the actual qty must equal expected (update Actual)",""),"")&amp;IF(AND(TRIM(U385)="Pass",TRIM(AB385)&lt;&gt;"",TRIM(AB385)&lt;&gt;"Closed"),"INVALID – corrective action not closed: use Fail, then Pass after CA","")&amp;IF(AND(TRIM(AA385)&lt;&gt;"",TRIM(AB385)=""),"INVALID – CA status missing for the recorded corrective action","")&amp;IF(AND(TRIM(U385)="Pass after CA",OR(OR(LEN(BA385)&lt;5,ISNUMBER(MATCH(BA385,L_Placeholder,0))),TRIM(AB385)&lt;&gt;"Closed")),"INVALID – corrective action not recorded/closed","")</f>
        <v/>
      </c>
    </row>
    <row r="386" customFormat="false" ht="39.75" hidden="false" customHeight="true" outlineLevel="0" collapsed="false">
      <c r="A386" s="57" t="s">
        <v>977</v>
      </c>
      <c r="B386" s="57" t="s">
        <v>258</v>
      </c>
      <c r="C386" s="57" t="str">
        <f aca="false">Flights!$F$16</f>
        <v>MH0139</v>
      </c>
      <c r="D386" s="58" t="n">
        <f aca="false">Flights!$D$16</f>
        <v>46307</v>
      </c>
      <c r="E386" s="57" t="str">
        <f aca="false">Flights!$G$16&amp;"-"&amp;Flights!$H$16</f>
        <v>KUL-ADL</v>
      </c>
      <c r="F386" s="57" t="str">
        <f aca="false">Flights!$K$16</f>
        <v>BC</v>
      </c>
      <c r="G386" s="57" t="s">
        <v>79</v>
      </c>
      <c r="H386" s="57" t="s">
        <v>356</v>
      </c>
      <c r="I386" s="57" t="s">
        <v>383</v>
      </c>
      <c r="J386" s="57" t="s">
        <v>384</v>
      </c>
      <c r="K386" s="67" t="s">
        <v>385</v>
      </c>
      <c r="L386" s="67" t="s">
        <v>360</v>
      </c>
      <c r="M386" s="67"/>
      <c r="N386" s="67" t="s">
        <v>361</v>
      </c>
      <c r="O386" s="67"/>
      <c r="P386" s="57" t="s">
        <v>184</v>
      </c>
      <c r="Q386" s="59" t="n">
        <f aca="false">ROUND((Flights!$AC$16)*1440,0)/1440</f>
        <v>46300.6006944444</v>
      </c>
      <c r="R386" s="59" t="n">
        <f aca="false">Q386+(IF(AND(INDEX(TZ_DSTS,MATCH(P386,TZ_STN,0))&lt;&gt;"",Q386&gt;=INDEX(TZ_DSTS,MATCH(P386,TZ_STN,0)),Q386&lt;INDEX(TZ_DSTE,MATCH(P386,TZ_STN,0))),INDEX(TZ_DST,MATCH(P386,TZ_STN,0)),INDEX(TZ_STD,MATCH(P386,TZ_STN,0))))/24</f>
        <v>46300.9340277778</v>
      </c>
      <c r="S386" s="59" t="n">
        <f aca="false">Q386-T7EarlyD*24/24</f>
        <v>46286.6006944444</v>
      </c>
      <c r="T386" s="60"/>
      <c r="U386" s="60"/>
      <c r="V386" s="60"/>
      <c r="W386" s="61"/>
      <c r="X386" s="60"/>
      <c r="Y386" s="60"/>
      <c r="Z386" s="60"/>
      <c r="AA386" s="60"/>
      <c r="AB386" s="60"/>
      <c r="AC386" s="60"/>
      <c r="AD386" s="66"/>
      <c r="AE386" s="60"/>
      <c r="AF386" s="61" t="str">
        <f aca="false">IF(AND(ISNUMBER(X386),ISNUMBER(Y386)),Y386-X386,"")</f>
        <v/>
      </c>
      <c r="AG386" s="62" t="str">
        <f aca="false">IF(ISNUMBER(AD386),AD386-(IF(AND(INDEX(TZ_DSTS,MATCH(P386,TZ_STN,0))&lt;&gt;"",(AD386-INDEX(TZ_STD,MATCH(P386,TZ_STN,0))/24)&gt;=INDEX(TZ_DSTS,MATCH(P386,TZ_STN,0)),(AD386-INDEX(TZ_STD,MATCH(P386,TZ_STN,0))/24)&lt;INDEX(TZ_DSTE,MATCH(P386,TZ_STN,0))),INDEX(TZ_DST,MATCH(P386,TZ_STN,0)),INDEX(TZ_STD,MATCH(P386,TZ_STN,0))))/24,"")</f>
        <v/>
      </c>
      <c r="AH386" s="65" t="str">
        <f aca="false">IFERROR(IF(N386="N/A – rule","N/A – RULE",IF(TRIM(U386)="N/A",IF(AT386=0,"INVALID – N/A not permitted for this check",IF(AND(TRIM(AB386)&lt;&gt;"",TRIM(AB386)&lt;&gt;"Closed"),"INVALID – corrective action still open",IF(AND(NOT(OR(LEN(AZ386)&lt;15,ISNUMBER(MATCH(AZ386,L_Placeholder,0)))),NOT(OR(LEN(AU386)&lt;2,ISNUMBER(MATCH(AU386,L_Placeholder,0)))),NOT(OR(LEN(AX386)&lt;2,ISNUMBER(MATCH(AX386,L_Placeholder,0)))),TRIM(AE386)&lt;&gt;TRIM(T386)),"N/A – JUSTIFIED","INVALID – N/A needs a real justification (15+ chars), PIC and a different verifier"))),IF(OR(TRIM(U386)="Pass",TRIM(U386)="Pass after CA"),IF(NOT(ISNUMBER(AD386)),"INVALID – completion time missing",IF(OR(LEN(AU386)&lt;2,ISNUMBER(MATCH(AU386,L_Placeholder,0))),"INVALID – PIC missing",IF(OR(LEN(AV386)&lt;2,ISNUMBER(MATCH(AV386,L_Placeholder,0))),"INVALID – result / assessment missing",IF(OR(OR(LEN(AW386)&lt;3,ISNUMBER(MATCH(AW386,L_Placeholder,0))),SUMPRODUCT(--ISNUMBER(SEARCH(L_EvidencePhrase,AW386)))&gt;0),"INVALID – evidence missing, placeholder or not yet on file",IF(OR(LEN(AX386)&lt;2,ISNUMBER(MATCH(AX386,L_Placeholder,0))),"INVALID – verifier missing",IF(AX386=AU386,"INVALID – verifier must be someone other than the PIC",IF(AND(TRIM(U386)="Pass",SUMPRODUCT(--ISNUMBER(SEARCH(L_ResultBad,AV386)))&gt;0),"INVALID – result describes a problem: use Fail, then Pass after CA",IF(AND(AQ386=1,OR(LEN(AY386)&lt;3,ISNUMBER(MATCH(AY386,L_Placeholder,0)))),"INVALID – batch ID missing or placeholder",IF(AND(AR386=1,OR(NOT(ISNUMBER(X386)),NOT(ISNUMBER(Y386)))),"INVALID – expected/actual qty missing",IF(AND(AR386=1,OR(X386&lt;=0,Y386&lt;0)),"INVALID – expected qty must be above 0 and actual not negative",IF(BB386&lt;&gt;"",BB386,IF(AND(AS386=1,Documents!$J$16&lt;&gt;"ON FILE"),"INVALID – GLD not on file (Documents sheet)",IF(AND(AS386=2,Documents!$O$16&lt;&gt;"ON FILE"),"INVALID – menu checklist not on file (Documents sheet)",IF(AND(AS386=3,NOT(ISNUMBER(Flights!$AX$16))),"INVALID – enter carrying flight KUL departure (Flights AX)",IF(AND(AS386=3,OR(Flights!$AZ$16&gt;Flights!$AA$16,Flights!$AX$16&lt;Flights!$AA$16-3)),"INVALID – carrying flight (Flights AX) cannot arrive before this leg's STD, or is over 3 days early",IF(AG386&gt;AsOfUTC,"INVALID – completion time is in the future",IF(AND(ISNUMBER(S386),AG386&lt;S386),IF(H386="Physical uplift","INVALID – before uplift window (cannot confirm loading)","INVALID – before valid window"),IF(AG386&gt;Flights!$AA$16,"INVALID – completed after departure (cannot establish readiness)",IF(AND(H386="Preparation",AG386&gt;IF(ISNUMBER(Flights!$BA$16),MIN(Flights!$BA$16,Flights!$AA$16),Flights!$AA$16)),"INVALID – completed after loading / departure (cannot establish readiness)",IF(AND(H386="Physical uplift",AG386&gt;Q386),"INVALID – recorded after the loading flight departed",IF(AG386&gt;Q386,"COMPLETE – LATE","COMPLETE"))))))))))))))))))))),IF(TRIM(U386)="Fail","FAIL – DISCREPANCY",IF(AND(TRIM(U386)&lt;&gt;"",TRIM(U386)&lt;&gt;"Not started",TRIM(U386)&lt;&gt;"In progress"),"INVALID – unrecognised status (use the list)",IF(AsOfUTC&gt;Q386,"OVERDUE",IF(N386="Clarification required","OPEN – CLARIFICATION","OPEN"))))))),"INVALID – error value in an input cell")</f>
        <v>OPEN</v>
      </c>
      <c r="AI386" s="61" t="n">
        <f aca="false">IF(OR(AH386="N/A – RULE",AH386="N/A – JUSTIFIED"),0,1)</f>
        <v>1</v>
      </c>
      <c r="AJ386" s="61" t="n">
        <f aca="false">IF(LEFT(AH386,8)="COMPLETE",1,0)</f>
        <v>0</v>
      </c>
      <c r="AK386" s="61" t="n">
        <f aca="false">IF(AND(AI386=1,AJ386=0,AsOfUTC&gt;Q386),1,0)</f>
        <v>0</v>
      </c>
      <c r="AL386" s="61" t="n">
        <f aca="false">IFERROR(IF(AND(AI386=1,OR(TRIM(U386)="Fail",AND(TRIM(AB386)&lt;&gt;"",TRIM(AB386)&lt;&gt;"Closed"),AND(ISNUMBER(AF386),AF386&lt;&gt;0,TRIM(U386)&lt;&gt;"Pass after CA"))),1,0),1)</f>
        <v>0</v>
      </c>
      <c r="AM386" s="61" t="n">
        <f aca="false">IF(LEFT(AH386,7)="INVALID",1,0)</f>
        <v>0</v>
      </c>
      <c r="AN386" s="61" t="n">
        <f aca="false">IF(AND(N386="Clarification required",AI386=1,AJ386=0),1,0)</f>
        <v>0</v>
      </c>
      <c r="AO386" s="61" t="str">
        <f aca="false">IF(AK386=1,SUM(AK$5:AK386),"")</f>
        <v/>
      </c>
      <c r="AP386" s="61" t="str">
        <f aca="false">IF(AL386=1,SUM(AL$5:AL386),"")</f>
        <v/>
      </c>
      <c r="AQ386" s="61" t="n">
        <v>0</v>
      </c>
      <c r="AR386" s="61" t="n">
        <v>0</v>
      </c>
      <c r="AS386" s="61" t="n">
        <v>1</v>
      </c>
      <c r="AT386" s="61" t="n">
        <v>0</v>
      </c>
      <c r="AU386" s="61" t="str">
        <f aca="false">SUBSTITUTE(SUBSTITUTE(SUBSTITUTE(SUBSTITUTE(SUBSTITUTE(SUBSTITUTE(SUBSTITUTE(SUBSTITUTE(SUBSTITUTE(SUBSTITUTE(SUBSTITUTE(SUBSTITUTE(SUBSTITUTE(LOWER(T386&amp;""),CHAR(160),"")," ",""),".",""),"-",""),"/",""),"?",""),"_",""),",",""),"[",""),"]",""),"(",""),")",""),"*","")</f>
        <v/>
      </c>
      <c r="AV386" s="61" t="str">
        <f aca="false">SUBSTITUTE(SUBSTITUTE(SUBSTITUTE(SUBSTITUTE(SUBSTITUTE(SUBSTITUTE(SUBSTITUTE(SUBSTITUTE(SUBSTITUTE(SUBSTITUTE(SUBSTITUTE(SUBSTITUTE(SUBSTITUTE(LOWER(V386&amp;""),CHAR(160),"")," ",""),".",""),"-",""),"/",""),"?",""),"_",""),",",""),"[",""),"]",""),"(",""),")",""),"*","")</f>
        <v/>
      </c>
      <c r="AW386" s="61" t="str">
        <f aca="false">SUBSTITUTE(SUBSTITUTE(SUBSTITUTE(SUBSTITUTE(SUBSTITUTE(SUBSTITUTE(SUBSTITUTE(SUBSTITUTE(SUBSTITUTE(SUBSTITUTE(SUBSTITUTE(SUBSTITUTE(SUBSTITUTE(LOWER(Z386&amp;""),CHAR(160),"")," ",""),".",""),"-",""),"/",""),"?",""),"_",""),",",""),"[",""),"]",""),"(",""),")",""),"*","")</f>
        <v/>
      </c>
      <c r="AX386" s="61" t="str">
        <f aca="false">SUBSTITUTE(SUBSTITUTE(SUBSTITUTE(SUBSTITUTE(SUBSTITUTE(SUBSTITUTE(SUBSTITUTE(SUBSTITUTE(SUBSTITUTE(SUBSTITUTE(SUBSTITUTE(SUBSTITUTE(SUBSTITUTE(LOWER(AE386&amp;""),CHAR(160),"")," ",""),".",""),"-",""),"/",""),"?",""),"_",""),",",""),"[",""),"]",""),"(",""),")",""),"*","")</f>
        <v/>
      </c>
      <c r="AY386" s="61" t="str">
        <f aca="false">SUBSTITUTE(SUBSTITUTE(SUBSTITUTE(SUBSTITUTE(SUBSTITUTE(SUBSTITUTE(SUBSTITUTE(SUBSTITUTE(SUBSTITUTE(SUBSTITUTE(SUBSTITUTE(SUBSTITUTE(SUBSTITUTE(LOWER(W386&amp;""),CHAR(160),"")," ",""),".",""),"-",""),"/",""),"?",""),"_",""),",",""),"[",""),"]",""),"(",""),")",""),"*","")</f>
        <v/>
      </c>
      <c r="AZ386" s="61" t="str">
        <f aca="false">SUBSTITUTE(SUBSTITUTE(SUBSTITUTE(SUBSTITUTE(SUBSTITUTE(SUBSTITUTE(SUBSTITUTE(SUBSTITUTE(SUBSTITUTE(SUBSTITUTE(SUBSTITUTE(SUBSTITUTE(SUBSTITUTE(LOWER(AC386&amp;""),CHAR(160),"")," ",""),".",""),"-",""),"/",""),"?",""),"_",""),",",""),"[",""),"]",""),"(",""),")",""),"*","")</f>
        <v/>
      </c>
      <c r="BA386" s="61" t="str">
        <f aca="false">SUBSTITUTE(SUBSTITUTE(SUBSTITUTE(SUBSTITUTE(SUBSTITUTE(SUBSTITUTE(SUBSTITUTE(SUBSTITUTE(SUBSTITUTE(SUBSTITUTE(SUBSTITUTE(SUBSTITUTE(SUBSTITUTE(LOWER(AA386&amp;""),CHAR(160),"")," ",""),".",""),"-",""),"/",""),"?",""),"_",""),",",""),"[",""),"]",""),"(",""),")",""),"*","")</f>
        <v/>
      </c>
      <c r="BB386" s="61" t="str">
        <f aca="false">IF(AND(TRIM(U386)="Pass",ISNUMBER(AF386)),IF(AF386&lt;&gt;0,"INVALID – qty variance: use Fail or Pass after CA",""),"")&amp;IF(AND(TRIM(U386)="Pass after CA",ISNUMBER(AF386)),IF(AF386&lt;&gt;0,"INVALID – after the corrective action the actual qty must equal expected (update Actual)",""),"")&amp;IF(AND(TRIM(U386)="Pass",TRIM(AB386)&lt;&gt;"",TRIM(AB386)&lt;&gt;"Closed"),"INVALID – corrective action not closed: use Fail, then Pass after CA","")&amp;IF(AND(TRIM(AA386)&lt;&gt;"",TRIM(AB386)=""),"INVALID – CA status missing for the recorded corrective action","")&amp;IF(AND(TRIM(U386)="Pass after CA",OR(OR(LEN(BA386)&lt;5,ISNUMBER(MATCH(BA386,L_Placeholder,0))),TRIM(AB386)&lt;&gt;"Closed")),"INVALID – corrective action not recorded/closed","")</f>
        <v/>
      </c>
    </row>
    <row r="387" customFormat="false" ht="39.75" hidden="false" customHeight="true" outlineLevel="0" collapsed="false">
      <c r="A387" s="57" t="s">
        <v>978</v>
      </c>
      <c r="B387" s="57" t="s">
        <v>258</v>
      </c>
      <c r="C387" s="57" t="str">
        <f aca="false">Flights!$F$16</f>
        <v>MH0139</v>
      </c>
      <c r="D387" s="58" t="n">
        <f aca="false">Flights!$D$16</f>
        <v>46307</v>
      </c>
      <c r="E387" s="57" t="str">
        <f aca="false">Flights!$G$16&amp;"-"&amp;Flights!$H$16</f>
        <v>KUL-ADL</v>
      </c>
      <c r="F387" s="57" t="str">
        <f aca="false">Flights!$K$16</f>
        <v>BC</v>
      </c>
      <c r="G387" s="57" t="s">
        <v>79</v>
      </c>
      <c r="H387" s="57" t="s">
        <v>356</v>
      </c>
      <c r="I387" s="57" t="s">
        <v>383</v>
      </c>
      <c r="J387" s="57" t="s">
        <v>387</v>
      </c>
      <c r="K387" s="67" t="s">
        <v>385</v>
      </c>
      <c r="L387" s="67" t="s">
        <v>360</v>
      </c>
      <c r="M387" s="67"/>
      <c r="N387" s="67" t="s">
        <v>361</v>
      </c>
      <c r="O387" s="67"/>
      <c r="P387" s="57" t="s">
        <v>184</v>
      </c>
      <c r="Q387" s="59" t="n">
        <f aca="false">ROUND((Flights!$AC$16)*1440,0)/1440</f>
        <v>46300.6006944444</v>
      </c>
      <c r="R387" s="59" t="n">
        <f aca="false">Q387+(IF(AND(INDEX(TZ_DSTS,MATCH(P387,TZ_STN,0))&lt;&gt;"",Q387&gt;=INDEX(TZ_DSTS,MATCH(P387,TZ_STN,0)),Q387&lt;INDEX(TZ_DSTE,MATCH(P387,TZ_STN,0))),INDEX(TZ_DST,MATCH(P387,TZ_STN,0)),INDEX(TZ_STD,MATCH(P387,TZ_STN,0))))/24</f>
        <v>46300.9340277778</v>
      </c>
      <c r="S387" s="59" t="n">
        <f aca="false">Q387-T7EarlyD*24/24</f>
        <v>46286.6006944444</v>
      </c>
      <c r="T387" s="60"/>
      <c r="U387" s="60"/>
      <c r="V387" s="60"/>
      <c r="W387" s="61"/>
      <c r="X387" s="60"/>
      <c r="Y387" s="60"/>
      <c r="Z387" s="60"/>
      <c r="AA387" s="60"/>
      <c r="AB387" s="60"/>
      <c r="AC387" s="60"/>
      <c r="AD387" s="66"/>
      <c r="AE387" s="60"/>
      <c r="AF387" s="61" t="str">
        <f aca="false">IF(AND(ISNUMBER(X387),ISNUMBER(Y387)),Y387-X387,"")</f>
        <v/>
      </c>
      <c r="AG387" s="62" t="str">
        <f aca="false">IF(ISNUMBER(AD387),AD387-(IF(AND(INDEX(TZ_DSTS,MATCH(P387,TZ_STN,0))&lt;&gt;"",(AD387-INDEX(TZ_STD,MATCH(P387,TZ_STN,0))/24)&gt;=INDEX(TZ_DSTS,MATCH(P387,TZ_STN,0)),(AD387-INDEX(TZ_STD,MATCH(P387,TZ_STN,0))/24)&lt;INDEX(TZ_DSTE,MATCH(P387,TZ_STN,0))),INDEX(TZ_DST,MATCH(P387,TZ_STN,0)),INDEX(TZ_STD,MATCH(P387,TZ_STN,0))))/24,"")</f>
        <v/>
      </c>
      <c r="AH387" s="65" t="str">
        <f aca="false">IFERROR(IF(N387="N/A – rule","N/A – RULE",IF(TRIM(U387)="N/A",IF(AT387=0,"INVALID – N/A not permitted for this check",IF(AND(TRIM(AB387)&lt;&gt;"",TRIM(AB387)&lt;&gt;"Closed"),"INVALID – corrective action still open",IF(AND(NOT(OR(LEN(AZ387)&lt;15,ISNUMBER(MATCH(AZ387,L_Placeholder,0)))),NOT(OR(LEN(AU387)&lt;2,ISNUMBER(MATCH(AU387,L_Placeholder,0)))),NOT(OR(LEN(AX387)&lt;2,ISNUMBER(MATCH(AX387,L_Placeholder,0)))),TRIM(AE387)&lt;&gt;TRIM(T387)),"N/A – JUSTIFIED","INVALID – N/A needs a real justification (15+ chars), PIC and a different verifier"))),IF(OR(TRIM(U387)="Pass",TRIM(U387)="Pass after CA"),IF(NOT(ISNUMBER(AD387)),"INVALID – completion time missing",IF(OR(LEN(AU387)&lt;2,ISNUMBER(MATCH(AU387,L_Placeholder,0))),"INVALID – PIC missing",IF(OR(LEN(AV387)&lt;2,ISNUMBER(MATCH(AV387,L_Placeholder,0))),"INVALID – result / assessment missing",IF(OR(OR(LEN(AW387)&lt;3,ISNUMBER(MATCH(AW387,L_Placeholder,0))),SUMPRODUCT(--ISNUMBER(SEARCH(L_EvidencePhrase,AW387)))&gt;0),"INVALID – evidence missing, placeholder or not yet on file",IF(OR(LEN(AX387)&lt;2,ISNUMBER(MATCH(AX387,L_Placeholder,0))),"INVALID – verifier missing",IF(AX387=AU387,"INVALID – verifier must be someone other than the PIC",IF(AND(TRIM(U387)="Pass",SUMPRODUCT(--ISNUMBER(SEARCH(L_ResultBad,AV387)))&gt;0),"INVALID – result describes a problem: use Fail, then Pass after CA",IF(AND(AQ387=1,OR(LEN(AY387)&lt;3,ISNUMBER(MATCH(AY387,L_Placeholder,0)))),"INVALID – batch ID missing or placeholder",IF(AND(AR387=1,OR(NOT(ISNUMBER(X387)),NOT(ISNUMBER(Y387)))),"INVALID – expected/actual qty missing",IF(AND(AR387=1,OR(X387&lt;=0,Y387&lt;0)),"INVALID – expected qty must be above 0 and actual not negative",IF(BB387&lt;&gt;"",BB387,IF(AND(AS387=1,Documents!$J$16&lt;&gt;"ON FILE"),"INVALID – GLD not on file (Documents sheet)",IF(AND(AS387=2,Documents!$O$16&lt;&gt;"ON FILE"),"INVALID – menu checklist not on file (Documents sheet)",IF(AND(AS387=3,NOT(ISNUMBER(Flights!$AX$16))),"INVALID – enter carrying flight KUL departure (Flights AX)",IF(AND(AS387=3,OR(Flights!$AZ$16&gt;Flights!$AA$16,Flights!$AX$16&lt;Flights!$AA$16-3)),"INVALID – carrying flight (Flights AX) cannot arrive before this leg's STD, or is over 3 days early",IF(AG387&gt;AsOfUTC,"INVALID – completion time is in the future",IF(AND(ISNUMBER(S387),AG387&lt;S387),IF(H387="Physical uplift","INVALID – before uplift window (cannot confirm loading)","INVALID – before valid window"),IF(AG387&gt;Flights!$AA$16,"INVALID – completed after departure (cannot establish readiness)",IF(AND(H387="Preparation",AG387&gt;IF(ISNUMBER(Flights!$BA$16),MIN(Flights!$BA$16,Flights!$AA$16),Flights!$AA$16)),"INVALID – completed after loading / departure (cannot establish readiness)",IF(AND(H387="Physical uplift",AG387&gt;Q387),"INVALID – recorded after the loading flight departed",IF(AG387&gt;Q387,"COMPLETE – LATE","COMPLETE"))))))))))))))))))))),IF(TRIM(U387)="Fail","FAIL – DISCREPANCY",IF(AND(TRIM(U387)&lt;&gt;"",TRIM(U387)&lt;&gt;"Not started",TRIM(U387)&lt;&gt;"In progress"),"INVALID – unrecognised status (use the list)",IF(AsOfUTC&gt;Q387,"OVERDUE",IF(N387="Clarification required","OPEN – CLARIFICATION","OPEN"))))))),"INVALID – error value in an input cell")</f>
        <v>OPEN</v>
      </c>
      <c r="AI387" s="61" t="n">
        <f aca="false">IF(OR(AH387="N/A – RULE",AH387="N/A – JUSTIFIED"),0,1)</f>
        <v>1</v>
      </c>
      <c r="AJ387" s="61" t="n">
        <f aca="false">IF(LEFT(AH387,8)="COMPLETE",1,0)</f>
        <v>0</v>
      </c>
      <c r="AK387" s="61" t="n">
        <f aca="false">IF(AND(AI387=1,AJ387=0,AsOfUTC&gt;Q387),1,0)</f>
        <v>0</v>
      </c>
      <c r="AL387" s="61" t="n">
        <f aca="false">IFERROR(IF(AND(AI387=1,OR(TRIM(U387)="Fail",AND(TRIM(AB387)&lt;&gt;"",TRIM(AB387)&lt;&gt;"Closed"),AND(ISNUMBER(AF387),AF387&lt;&gt;0,TRIM(U387)&lt;&gt;"Pass after CA"))),1,0),1)</f>
        <v>0</v>
      </c>
      <c r="AM387" s="61" t="n">
        <f aca="false">IF(LEFT(AH387,7)="INVALID",1,0)</f>
        <v>0</v>
      </c>
      <c r="AN387" s="61" t="n">
        <f aca="false">IF(AND(N387="Clarification required",AI387=1,AJ387=0),1,0)</f>
        <v>0</v>
      </c>
      <c r="AO387" s="61" t="str">
        <f aca="false">IF(AK387=1,SUM(AK$5:AK387),"")</f>
        <v/>
      </c>
      <c r="AP387" s="61" t="str">
        <f aca="false">IF(AL387=1,SUM(AL$5:AL387),"")</f>
        <v/>
      </c>
      <c r="AQ387" s="61" t="n">
        <v>0</v>
      </c>
      <c r="AR387" s="61" t="n">
        <v>0</v>
      </c>
      <c r="AS387" s="61" t="n">
        <v>2</v>
      </c>
      <c r="AT387" s="61" t="n">
        <v>0</v>
      </c>
      <c r="AU387" s="61" t="str">
        <f aca="false">SUBSTITUTE(SUBSTITUTE(SUBSTITUTE(SUBSTITUTE(SUBSTITUTE(SUBSTITUTE(SUBSTITUTE(SUBSTITUTE(SUBSTITUTE(SUBSTITUTE(SUBSTITUTE(SUBSTITUTE(SUBSTITUTE(LOWER(T387&amp;""),CHAR(160),"")," ",""),".",""),"-",""),"/",""),"?",""),"_",""),",",""),"[",""),"]",""),"(",""),")",""),"*","")</f>
        <v/>
      </c>
      <c r="AV387" s="61" t="str">
        <f aca="false">SUBSTITUTE(SUBSTITUTE(SUBSTITUTE(SUBSTITUTE(SUBSTITUTE(SUBSTITUTE(SUBSTITUTE(SUBSTITUTE(SUBSTITUTE(SUBSTITUTE(SUBSTITUTE(SUBSTITUTE(SUBSTITUTE(LOWER(V387&amp;""),CHAR(160),"")," ",""),".",""),"-",""),"/",""),"?",""),"_",""),",",""),"[",""),"]",""),"(",""),")",""),"*","")</f>
        <v/>
      </c>
      <c r="AW387" s="61" t="str">
        <f aca="false">SUBSTITUTE(SUBSTITUTE(SUBSTITUTE(SUBSTITUTE(SUBSTITUTE(SUBSTITUTE(SUBSTITUTE(SUBSTITUTE(SUBSTITUTE(SUBSTITUTE(SUBSTITUTE(SUBSTITUTE(SUBSTITUTE(LOWER(Z387&amp;""),CHAR(160),"")," ",""),".",""),"-",""),"/",""),"?",""),"_",""),",",""),"[",""),"]",""),"(",""),")",""),"*","")</f>
        <v/>
      </c>
      <c r="AX387" s="61" t="str">
        <f aca="false">SUBSTITUTE(SUBSTITUTE(SUBSTITUTE(SUBSTITUTE(SUBSTITUTE(SUBSTITUTE(SUBSTITUTE(SUBSTITUTE(SUBSTITUTE(SUBSTITUTE(SUBSTITUTE(SUBSTITUTE(SUBSTITUTE(LOWER(AE387&amp;""),CHAR(160),"")," ",""),".",""),"-",""),"/",""),"?",""),"_",""),",",""),"[",""),"]",""),"(",""),")",""),"*","")</f>
        <v/>
      </c>
      <c r="AY387" s="61" t="str">
        <f aca="false">SUBSTITUTE(SUBSTITUTE(SUBSTITUTE(SUBSTITUTE(SUBSTITUTE(SUBSTITUTE(SUBSTITUTE(SUBSTITUTE(SUBSTITUTE(SUBSTITUTE(SUBSTITUTE(SUBSTITUTE(SUBSTITUTE(LOWER(W387&amp;""),CHAR(160),"")," ",""),".",""),"-",""),"/",""),"?",""),"_",""),",",""),"[",""),"]",""),"(",""),")",""),"*","")</f>
        <v/>
      </c>
      <c r="AZ387" s="61" t="str">
        <f aca="false">SUBSTITUTE(SUBSTITUTE(SUBSTITUTE(SUBSTITUTE(SUBSTITUTE(SUBSTITUTE(SUBSTITUTE(SUBSTITUTE(SUBSTITUTE(SUBSTITUTE(SUBSTITUTE(SUBSTITUTE(SUBSTITUTE(LOWER(AC387&amp;""),CHAR(160),"")," ",""),".",""),"-",""),"/",""),"?",""),"_",""),",",""),"[",""),"]",""),"(",""),")",""),"*","")</f>
        <v/>
      </c>
      <c r="BA387" s="61" t="str">
        <f aca="false">SUBSTITUTE(SUBSTITUTE(SUBSTITUTE(SUBSTITUTE(SUBSTITUTE(SUBSTITUTE(SUBSTITUTE(SUBSTITUTE(SUBSTITUTE(SUBSTITUTE(SUBSTITUTE(SUBSTITUTE(SUBSTITUTE(LOWER(AA387&amp;""),CHAR(160),"")," ",""),".",""),"-",""),"/",""),"?",""),"_",""),",",""),"[",""),"]",""),"(",""),")",""),"*","")</f>
        <v/>
      </c>
      <c r="BB387" s="61" t="str">
        <f aca="false">IF(AND(TRIM(U387)="Pass",ISNUMBER(AF387)),IF(AF387&lt;&gt;0,"INVALID – qty variance: use Fail or Pass after CA",""),"")&amp;IF(AND(TRIM(U387)="Pass after CA",ISNUMBER(AF387)),IF(AF387&lt;&gt;0,"INVALID – after the corrective action the actual qty must equal expected (update Actual)",""),"")&amp;IF(AND(TRIM(U387)="Pass",TRIM(AB387)&lt;&gt;"",TRIM(AB387)&lt;&gt;"Closed"),"INVALID – corrective action not closed: use Fail, then Pass after CA","")&amp;IF(AND(TRIM(AA387)&lt;&gt;"",TRIM(AB387)=""),"INVALID – CA status missing for the recorded corrective action","")&amp;IF(AND(TRIM(U387)="Pass after CA",OR(OR(LEN(BA387)&lt;5,ISNUMBER(MATCH(BA387,L_Placeholder,0))),TRIM(AB387)&lt;&gt;"Closed")),"INVALID – corrective action not recorded/closed","")</f>
        <v/>
      </c>
    </row>
    <row r="388" customFormat="false" ht="39.75" hidden="false" customHeight="true" outlineLevel="0" collapsed="false">
      <c r="A388" s="57" t="s">
        <v>979</v>
      </c>
      <c r="B388" s="57" t="s">
        <v>258</v>
      </c>
      <c r="C388" s="57" t="str">
        <f aca="false">Flights!$F$16</f>
        <v>MH0139</v>
      </c>
      <c r="D388" s="58" t="n">
        <f aca="false">Flights!$D$16</f>
        <v>46307</v>
      </c>
      <c r="E388" s="57" t="str">
        <f aca="false">Flights!$G$16&amp;"-"&amp;Flights!$H$16</f>
        <v>KUL-ADL</v>
      </c>
      <c r="F388" s="57" t="str">
        <f aca="false">Flights!$K$16</f>
        <v>BC</v>
      </c>
      <c r="G388" s="57" t="s">
        <v>79</v>
      </c>
      <c r="H388" s="57" t="s">
        <v>356</v>
      </c>
      <c r="I388" s="57" t="s">
        <v>389</v>
      </c>
      <c r="J388" s="57" t="s">
        <v>390</v>
      </c>
      <c r="K388" s="67" t="s">
        <v>980</v>
      </c>
      <c r="L388" s="67" t="s">
        <v>981</v>
      </c>
      <c r="M388" s="67"/>
      <c r="N388" s="67" t="s">
        <v>361</v>
      </c>
      <c r="O388" s="67"/>
      <c r="P388" s="57" t="s">
        <v>184</v>
      </c>
      <c r="Q388" s="59" t="n">
        <f aca="false">ROUND((Flights!$AC$16)*1440,0)/1440</f>
        <v>46300.6006944444</v>
      </c>
      <c r="R388" s="59" t="n">
        <f aca="false">Q388+(IF(AND(INDEX(TZ_DSTS,MATCH(P388,TZ_STN,0))&lt;&gt;"",Q388&gt;=INDEX(TZ_DSTS,MATCH(P388,TZ_STN,0)),Q388&lt;INDEX(TZ_DSTE,MATCH(P388,TZ_STN,0))),INDEX(TZ_DST,MATCH(P388,TZ_STN,0)),INDEX(TZ_STD,MATCH(P388,TZ_STN,0))))/24</f>
        <v>46300.9340277778</v>
      </c>
      <c r="S388" s="59" t="n">
        <f aca="false">Q388-T7EarlyD*24/24</f>
        <v>46286.6006944444</v>
      </c>
      <c r="T388" s="60"/>
      <c r="U388" s="60"/>
      <c r="V388" s="60"/>
      <c r="W388" s="61"/>
      <c r="X388" s="60"/>
      <c r="Y388" s="60"/>
      <c r="Z388" s="60"/>
      <c r="AA388" s="60"/>
      <c r="AB388" s="60"/>
      <c r="AC388" s="60"/>
      <c r="AD388" s="66"/>
      <c r="AE388" s="60"/>
      <c r="AF388" s="61" t="str">
        <f aca="false">IF(AND(ISNUMBER(X388),ISNUMBER(Y388)),Y388-X388,"")</f>
        <v/>
      </c>
      <c r="AG388" s="62" t="str">
        <f aca="false">IF(ISNUMBER(AD388),AD388-(IF(AND(INDEX(TZ_DSTS,MATCH(P388,TZ_STN,0))&lt;&gt;"",(AD388-INDEX(TZ_STD,MATCH(P388,TZ_STN,0))/24)&gt;=INDEX(TZ_DSTS,MATCH(P388,TZ_STN,0)),(AD388-INDEX(TZ_STD,MATCH(P388,TZ_STN,0))/24)&lt;INDEX(TZ_DSTE,MATCH(P388,TZ_STN,0))),INDEX(TZ_DST,MATCH(P388,TZ_STN,0)),INDEX(TZ_STD,MATCH(P388,TZ_STN,0))))/24,"")</f>
        <v/>
      </c>
      <c r="AH388" s="65" t="str">
        <f aca="false">IFERROR(IF(N388="N/A – rule","N/A – RULE",IF(TRIM(U388)="N/A",IF(AT388=0,"INVALID – N/A not permitted for this check",IF(AND(TRIM(AB388)&lt;&gt;"",TRIM(AB388)&lt;&gt;"Closed"),"INVALID – corrective action still open",IF(AND(NOT(OR(LEN(AZ388)&lt;15,ISNUMBER(MATCH(AZ388,L_Placeholder,0)))),NOT(OR(LEN(AU388)&lt;2,ISNUMBER(MATCH(AU388,L_Placeholder,0)))),NOT(OR(LEN(AX388)&lt;2,ISNUMBER(MATCH(AX388,L_Placeholder,0)))),TRIM(AE388)&lt;&gt;TRIM(T388)),"N/A – JUSTIFIED","INVALID – N/A needs a real justification (15+ chars), PIC and a different verifier"))),IF(OR(TRIM(U388)="Pass",TRIM(U388)="Pass after CA"),IF(NOT(ISNUMBER(AD388)),"INVALID – completion time missing",IF(OR(LEN(AU388)&lt;2,ISNUMBER(MATCH(AU388,L_Placeholder,0))),"INVALID – PIC missing",IF(OR(LEN(AV388)&lt;2,ISNUMBER(MATCH(AV388,L_Placeholder,0))),"INVALID – result / assessment missing",IF(OR(OR(LEN(AW388)&lt;3,ISNUMBER(MATCH(AW388,L_Placeholder,0))),SUMPRODUCT(--ISNUMBER(SEARCH(L_EvidencePhrase,AW388)))&gt;0),"INVALID – evidence missing, placeholder or not yet on file",IF(OR(LEN(AX388)&lt;2,ISNUMBER(MATCH(AX388,L_Placeholder,0))),"INVALID – verifier missing",IF(AX388=AU388,"INVALID – verifier must be someone other than the PIC",IF(AND(TRIM(U388)="Pass",SUMPRODUCT(--ISNUMBER(SEARCH(L_ResultBad,AV388)))&gt;0),"INVALID – result describes a problem: use Fail, then Pass after CA",IF(AND(AQ388=1,OR(LEN(AY388)&lt;3,ISNUMBER(MATCH(AY388,L_Placeholder,0)))),"INVALID – batch ID missing or placeholder",IF(AND(AR388=1,OR(NOT(ISNUMBER(X388)),NOT(ISNUMBER(Y388)))),"INVALID – expected/actual qty missing",IF(AND(AR388=1,OR(X388&lt;=0,Y388&lt;0)),"INVALID – expected qty must be above 0 and actual not negative",IF(BB388&lt;&gt;"",BB388,IF(AND(AS388=1,Documents!$J$16&lt;&gt;"ON FILE"),"INVALID – GLD not on file (Documents sheet)",IF(AND(AS388=2,Documents!$O$16&lt;&gt;"ON FILE"),"INVALID – menu checklist not on file (Documents sheet)",IF(AND(AS388=3,NOT(ISNUMBER(Flights!$AX$16))),"INVALID – enter carrying flight KUL departure (Flights AX)",IF(AND(AS388=3,OR(Flights!$AZ$16&gt;Flights!$AA$16,Flights!$AX$16&lt;Flights!$AA$16-3)),"INVALID – carrying flight (Flights AX) cannot arrive before this leg's STD, or is over 3 days early",IF(AG388&gt;AsOfUTC,"INVALID – completion time is in the future",IF(AND(ISNUMBER(S388),AG388&lt;S388),IF(H388="Physical uplift","INVALID – before uplift window (cannot confirm loading)","INVALID – before valid window"),IF(AG388&gt;Flights!$AA$16,"INVALID – completed after departure (cannot establish readiness)",IF(AND(H388="Preparation",AG388&gt;IF(ISNUMBER(Flights!$BA$16),MIN(Flights!$BA$16,Flights!$AA$16),Flights!$AA$16)),"INVALID – completed after loading / departure (cannot establish readiness)",IF(AND(H388="Physical uplift",AG388&gt;Q388),"INVALID – recorded after the loading flight departed",IF(AG388&gt;Q388,"COMPLETE – LATE","COMPLETE"))))))))))))))))))))),IF(TRIM(U388)="Fail","FAIL – DISCREPANCY",IF(AND(TRIM(U388)&lt;&gt;"",TRIM(U388)&lt;&gt;"Not started",TRIM(U388)&lt;&gt;"In progress"),"INVALID – unrecognised status (use the list)",IF(AsOfUTC&gt;Q388,"OVERDUE",IF(N388="Clarification required","OPEN – CLARIFICATION","OPEN"))))))),"INVALID – error value in an input cell")</f>
        <v>OPEN</v>
      </c>
      <c r="AI388" s="61" t="n">
        <f aca="false">IF(OR(AH388="N/A – RULE",AH388="N/A – JUSTIFIED"),0,1)</f>
        <v>1</v>
      </c>
      <c r="AJ388" s="61" t="n">
        <f aca="false">IF(LEFT(AH388,8)="COMPLETE",1,0)</f>
        <v>0</v>
      </c>
      <c r="AK388" s="61" t="n">
        <f aca="false">IF(AND(AI388=1,AJ388=0,AsOfUTC&gt;Q388),1,0)</f>
        <v>0</v>
      </c>
      <c r="AL388" s="61" t="n">
        <f aca="false">IFERROR(IF(AND(AI388=1,OR(TRIM(U388)="Fail",AND(TRIM(AB388)&lt;&gt;"",TRIM(AB388)&lt;&gt;"Closed"),AND(ISNUMBER(AF388),AF388&lt;&gt;0,TRIM(U388)&lt;&gt;"Pass after CA"))),1,0),1)</f>
        <v>0</v>
      </c>
      <c r="AM388" s="61" t="n">
        <f aca="false">IF(LEFT(AH388,7)="INVALID",1,0)</f>
        <v>0</v>
      </c>
      <c r="AN388" s="61" t="n">
        <f aca="false">IF(AND(N388="Clarification required",AI388=1,AJ388=0),1,0)</f>
        <v>0</v>
      </c>
      <c r="AO388" s="61" t="str">
        <f aca="false">IF(AK388=1,SUM(AK$5:AK388),"")</f>
        <v/>
      </c>
      <c r="AP388" s="61" t="str">
        <f aca="false">IF(AL388=1,SUM(AL$5:AL388),"")</f>
        <v/>
      </c>
      <c r="AQ388" s="61" t="n">
        <v>0</v>
      </c>
      <c r="AR388" s="61" t="n">
        <v>0</v>
      </c>
      <c r="AS388" s="61" t="n">
        <v>0</v>
      </c>
      <c r="AT388" s="61" t="n">
        <v>0</v>
      </c>
      <c r="AU388" s="61" t="str">
        <f aca="false">SUBSTITUTE(SUBSTITUTE(SUBSTITUTE(SUBSTITUTE(SUBSTITUTE(SUBSTITUTE(SUBSTITUTE(SUBSTITUTE(SUBSTITUTE(SUBSTITUTE(SUBSTITUTE(SUBSTITUTE(SUBSTITUTE(LOWER(T388&amp;""),CHAR(160),"")," ",""),".",""),"-",""),"/",""),"?",""),"_",""),",",""),"[",""),"]",""),"(",""),")",""),"*","")</f>
        <v/>
      </c>
      <c r="AV388" s="61" t="str">
        <f aca="false">SUBSTITUTE(SUBSTITUTE(SUBSTITUTE(SUBSTITUTE(SUBSTITUTE(SUBSTITUTE(SUBSTITUTE(SUBSTITUTE(SUBSTITUTE(SUBSTITUTE(SUBSTITUTE(SUBSTITUTE(SUBSTITUTE(LOWER(V388&amp;""),CHAR(160),"")," ",""),".",""),"-",""),"/",""),"?",""),"_",""),",",""),"[",""),"]",""),"(",""),")",""),"*","")</f>
        <v/>
      </c>
      <c r="AW388" s="61" t="str">
        <f aca="false">SUBSTITUTE(SUBSTITUTE(SUBSTITUTE(SUBSTITUTE(SUBSTITUTE(SUBSTITUTE(SUBSTITUTE(SUBSTITUTE(SUBSTITUTE(SUBSTITUTE(SUBSTITUTE(SUBSTITUTE(SUBSTITUTE(LOWER(Z388&amp;""),CHAR(160),"")," ",""),".",""),"-",""),"/",""),"?",""),"_",""),",",""),"[",""),"]",""),"(",""),")",""),"*","")</f>
        <v/>
      </c>
      <c r="AX388" s="61" t="str">
        <f aca="false">SUBSTITUTE(SUBSTITUTE(SUBSTITUTE(SUBSTITUTE(SUBSTITUTE(SUBSTITUTE(SUBSTITUTE(SUBSTITUTE(SUBSTITUTE(SUBSTITUTE(SUBSTITUTE(SUBSTITUTE(SUBSTITUTE(LOWER(AE388&amp;""),CHAR(160),"")," ",""),".",""),"-",""),"/",""),"?",""),"_",""),",",""),"[",""),"]",""),"(",""),")",""),"*","")</f>
        <v/>
      </c>
      <c r="AY388" s="61" t="str">
        <f aca="false">SUBSTITUTE(SUBSTITUTE(SUBSTITUTE(SUBSTITUTE(SUBSTITUTE(SUBSTITUTE(SUBSTITUTE(SUBSTITUTE(SUBSTITUTE(SUBSTITUTE(SUBSTITUTE(SUBSTITUTE(SUBSTITUTE(LOWER(W388&amp;""),CHAR(160),"")," ",""),".",""),"-",""),"/",""),"?",""),"_",""),",",""),"[",""),"]",""),"(",""),")",""),"*","")</f>
        <v/>
      </c>
      <c r="AZ388" s="61" t="str">
        <f aca="false">SUBSTITUTE(SUBSTITUTE(SUBSTITUTE(SUBSTITUTE(SUBSTITUTE(SUBSTITUTE(SUBSTITUTE(SUBSTITUTE(SUBSTITUTE(SUBSTITUTE(SUBSTITUTE(SUBSTITUTE(SUBSTITUTE(LOWER(AC388&amp;""),CHAR(160),"")," ",""),".",""),"-",""),"/",""),"?",""),"_",""),",",""),"[",""),"]",""),"(",""),")",""),"*","")</f>
        <v/>
      </c>
      <c r="BA388" s="61" t="str">
        <f aca="false">SUBSTITUTE(SUBSTITUTE(SUBSTITUTE(SUBSTITUTE(SUBSTITUTE(SUBSTITUTE(SUBSTITUTE(SUBSTITUTE(SUBSTITUTE(SUBSTITUTE(SUBSTITUTE(SUBSTITUTE(SUBSTITUTE(LOWER(AA388&amp;""),CHAR(160),"")," ",""),".",""),"-",""),"/",""),"?",""),"_",""),",",""),"[",""),"]",""),"(",""),")",""),"*","")</f>
        <v/>
      </c>
      <c r="BB388" s="61" t="str">
        <f aca="false">IF(AND(TRIM(U388)="Pass",ISNUMBER(AF388)),IF(AF388&lt;&gt;0,"INVALID – qty variance: use Fail or Pass after CA",""),"")&amp;IF(AND(TRIM(U388)="Pass after CA",ISNUMBER(AF388)),IF(AF388&lt;&gt;0,"INVALID – after the corrective action the actual qty must equal expected (update Actual)",""),"")&amp;IF(AND(TRIM(U388)="Pass",TRIM(AB388)&lt;&gt;"",TRIM(AB388)&lt;&gt;"Closed"),"INVALID – corrective action not closed: use Fail, then Pass after CA","")&amp;IF(AND(TRIM(AA388)&lt;&gt;"",TRIM(AB388)=""),"INVALID – CA status missing for the recorded corrective action","")&amp;IF(AND(TRIM(U388)="Pass after CA",OR(OR(LEN(BA388)&lt;5,ISNUMBER(MATCH(BA388,L_Placeholder,0))),TRIM(AB388)&lt;&gt;"Closed")),"INVALID – corrective action not recorded/closed","")</f>
        <v/>
      </c>
    </row>
    <row r="389" customFormat="false" ht="39.75" hidden="false" customHeight="true" outlineLevel="0" collapsed="false">
      <c r="A389" s="57" t="s">
        <v>982</v>
      </c>
      <c r="B389" s="57" t="s">
        <v>258</v>
      </c>
      <c r="C389" s="57" t="str">
        <f aca="false">Flights!$F$16</f>
        <v>MH0139</v>
      </c>
      <c r="D389" s="58" t="n">
        <f aca="false">Flights!$D$16</f>
        <v>46307</v>
      </c>
      <c r="E389" s="57" t="str">
        <f aca="false">Flights!$G$16&amp;"-"&amp;Flights!$H$16</f>
        <v>KUL-ADL</v>
      </c>
      <c r="F389" s="57" t="str">
        <f aca="false">Flights!$K$16</f>
        <v>BC</v>
      </c>
      <c r="G389" s="57" t="s">
        <v>81</v>
      </c>
      <c r="H389" s="57" t="s">
        <v>356</v>
      </c>
      <c r="I389" s="57" t="s">
        <v>357</v>
      </c>
      <c r="J389" s="57" t="s">
        <v>394</v>
      </c>
      <c r="K389" s="67" t="s">
        <v>395</v>
      </c>
      <c r="L389" s="67" t="s">
        <v>396</v>
      </c>
      <c r="M389" s="67"/>
      <c r="N389" s="67" t="s">
        <v>361</v>
      </c>
      <c r="O389" s="67"/>
      <c r="P389" s="57" t="s">
        <v>184</v>
      </c>
      <c r="Q389" s="59" t="n">
        <f aca="false">ROUND((Flights!$AD$16)*1440,0)/1440</f>
        <v>46306.6006944444</v>
      </c>
      <c r="R389" s="59" t="n">
        <f aca="false">Q389+(IF(AND(INDEX(TZ_DSTS,MATCH(P389,TZ_STN,0))&lt;&gt;"",Q389&gt;=INDEX(TZ_DSTS,MATCH(P389,TZ_STN,0)),Q389&lt;INDEX(TZ_DSTE,MATCH(P389,TZ_STN,0))),INDEX(TZ_DST,MATCH(P389,TZ_STN,0)),INDEX(TZ_STD,MATCH(P389,TZ_STN,0))))/24</f>
        <v>46306.9340277778</v>
      </c>
      <c r="S389" s="59" t="n">
        <f aca="false">Q389-T24EarlyH/24</f>
        <v>46305.6006944444</v>
      </c>
      <c r="T389" s="60"/>
      <c r="U389" s="60"/>
      <c r="V389" s="60"/>
      <c r="W389" s="60"/>
      <c r="X389" s="60"/>
      <c r="Y389" s="60"/>
      <c r="Z389" s="60"/>
      <c r="AA389" s="60"/>
      <c r="AB389" s="60"/>
      <c r="AC389" s="60"/>
      <c r="AD389" s="66"/>
      <c r="AE389" s="60"/>
      <c r="AF389" s="61" t="str">
        <f aca="false">IF(AND(ISNUMBER(X389),ISNUMBER(Y389)),Y389-X389,"")</f>
        <v/>
      </c>
      <c r="AG389" s="62" t="str">
        <f aca="false">IF(ISNUMBER(AD389),AD389-(IF(AND(INDEX(TZ_DSTS,MATCH(P389,TZ_STN,0))&lt;&gt;"",(AD389-INDEX(TZ_STD,MATCH(P389,TZ_STN,0))/24)&gt;=INDEX(TZ_DSTS,MATCH(P389,TZ_STN,0)),(AD389-INDEX(TZ_STD,MATCH(P389,TZ_STN,0))/24)&lt;INDEX(TZ_DSTE,MATCH(P389,TZ_STN,0))),INDEX(TZ_DST,MATCH(P389,TZ_STN,0)),INDEX(TZ_STD,MATCH(P389,TZ_STN,0))))/24,"")</f>
        <v/>
      </c>
      <c r="AH389" s="65" t="str">
        <f aca="false">IFERROR(IF(N389="N/A – rule","N/A – RULE",IF(TRIM(U389)="N/A",IF(AT389=0,"INVALID – N/A not permitted for this check",IF(AND(TRIM(AB389)&lt;&gt;"",TRIM(AB389)&lt;&gt;"Closed"),"INVALID – corrective action still open",IF(AND(NOT(OR(LEN(AZ389)&lt;15,ISNUMBER(MATCH(AZ389,L_Placeholder,0)))),NOT(OR(LEN(AU389)&lt;2,ISNUMBER(MATCH(AU389,L_Placeholder,0)))),NOT(OR(LEN(AX389)&lt;2,ISNUMBER(MATCH(AX389,L_Placeholder,0)))),TRIM(AE389)&lt;&gt;TRIM(T389)),"N/A – JUSTIFIED","INVALID – N/A needs a real justification (15+ chars), PIC and a different verifier"))),IF(OR(TRIM(U389)="Pass",TRIM(U389)="Pass after CA"),IF(NOT(ISNUMBER(AD389)),"INVALID – completion time missing",IF(OR(LEN(AU389)&lt;2,ISNUMBER(MATCH(AU389,L_Placeholder,0))),"INVALID – PIC missing",IF(OR(LEN(AV389)&lt;2,ISNUMBER(MATCH(AV389,L_Placeholder,0))),"INVALID – result / assessment missing",IF(OR(OR(LEN(AW389)&lt;3,ISNUMBER(MATCH(AW389,L_Placeholder,0))),SUMPRODUCT(--ISNUMBER(SEARCH(L_EvidencePhrase,AW389)))&gt;0),"INVALID – evidence missing, placeholder or not yet on file",IF(OR(LEN(AX389)&lt;2,ISNUMBER(MATCH(AX389,L_Placeholder,0))),"INVALID – verifier missing",IF(AX389=AU389,"INVALID – verifier must be someone other than the PIC",IF(AND(TRIM(U389)="Pass",SUMPRODUCT(--ISNUMBER(SEARCH(L_ResultBad,AV389)))&gt;0),"INVALID – result describes a problem: use Fail, then Pass after CA",IF(AND(AQ389=1,OR(LEN(AY389)&lt;3,ISNUMBER(MATCH(AY389,L_Placeholder,0)))),"INVALID – batch ID missing or placeholder",IF(AND(AR389=1,OR(NOT(ISNUMBER(X389)),NOT(ISNUMBER(Y389)))),"INVALID – expected/actual qty missing",IF(AND(AR389=1,OR(X389&lt;=0,Y389&lt;0)),"INVALID – expected qty must be above 0 and actual not negative",IF(BB389&lt;&gt;"",BB389,IF(AND(AS389=1,Documents!$J$16&lt;&gt;"ON FILE"),"INVALID – GLD not on file (Documents sheet)",IF(AND(AS389=2,Documents!$O$16&lt;&gt;"ON FILE"),"INVALID – menu checklist not on file (Documents sheet)",IF(AND(AS389=3,NOT(ISNUMBER(Flights!$AX$16))),"INVALID – enter carrying flight KUL departure (Flights AX)",IF(AND(AS389=3,OR(Flights!$AZ$16&gt;Flights!$AA$16,Flights!$AX$16&lt;Flights!$AA$16-3)),"INVALID – carrying flight (Flights AX) cannot arrive before this leg's STD, or is over 3 days early",IF(AG389&gt;AsOfUTC,"INVALID – completion time is in the future",IF(AND(ISNUMBER(S389),AG389&lt;S389),IF(H389="Physical uplift","INVALID – before uplift window (cannot confirm loading)","INVALID – before valid window"),IF(AG389&gt;Flights!$AA$16,"INVALID – completed after departure (cannot establish readiness)",IF(AND(H389="Preparation",AG389&gt;IF(ISNUMBER(Flights!$BA$16),MIN(Flights!$BA$16,Flights!$AA$16),Flights!$AA$16)),"INVALID – completed after loading / departure (cannot establish readiness)",IF(AND(H389="Physical uplift",AG389&gt;Q389),"INVALID – recorded after the loading flight departed",IF(AG389&gt;Q389,"COMPLETE – LATE","COMPLETE"))))))))))))))))))))),IF(TRIM(U389)="Fail","FAIL – DISCREPANCY",IF(AND(TRIM(U389)&lt;&gt;"",TRIM(U389)&lt;&gt;"Not started",TRIM(U389)&lt;&gt;"In progress"),"INVALID – unrecognised status (use the list)",IF(AsOfUTC&gt;Q389,"OVERDUE",IF(N389="Clarification required","OPEN – CLARIFICATION","OPEN"))))))),"INVALID – error value in an input cell")</f>
        <v>OPEN</v>
      </c>
      <c r="AI389" s="61" t="n">
        <f aca="false">IF(OR(AH389="N/A – RULE",AH389="N/A – JUSTIFIED"),0,1)</f>
        <v>1</v>
      </c>
      <c r="AJ389" s="61" t="n">
        <f aca="false">IF(LEFT(AH389,8)="COMPLETE",1,0)</f>
        <v>0</v>
      </c>
      <c r="AK389" s="61" t="n">
        <f aca="false">IF(AND(AI389=1,AJ389=0,AsOfUTC&gt;Q389),1,0)</f>
        <v>0</v>
      </c>
      <c r="AL389" s="61" t="n">
        <f aca="false">IFERROR(IF(AND(AI389=1,OR(TRIM(U389)="Fail",AND(TRIM(AB389)&lt;&gt;"",TRIM(AB389)&lt;&gt;"Closed"),AND(ISNUMBER(AF389),AF389&lt;&gt;0,TRIM(U389)&lt;&gt;"Pass after CA"))),1,0),1)</f>
        <v>0</v>
      </c>
      <c r="AM389" s="61" t="n">
        <f aca="false">IF(LEFT(AH389,7)="INVALID",1,0)</f>
        <v>0</v>
      </c>
      <c r="AN389" s="61" t="n">
        <f aca="false">IF(AND(N389="Clarification required",AI389=1,AJ389=0),1,0)</f>
        <v>0</v>
      </c>
      <c r="AO389" s="61" t="str">
        <f aca="false">IF(AK389=1,SUM(AK$5:AK389),"")</f>
        <v/>
      </c>
      <c r="AP389" s="61" t="str">
        <f aca="false">IF(AL389=1,SUM(AL$5:AL389),"")</f>
        <v/>
      </c>
      <c r="AQ389" s="61" t="n">
        <v>1</v>
      </c>
      <c r="AR389" s="61" t="n">
        <v>0</v>
      </c>
      <c r="AS389" s="61" t="n">
        <v>0</v>
      </c>
      <c r="AT389" s="61" t="n">
        <v>0</v>
      </c>
      <c r="AU389" s="61" t="str">
        <f aca="false">SUBSTITUTE(SUBSTITUTE(SUBSTITUTE(SUBSTITUTE(SUBSTITUTE(SUBSTITUTE(SUBSTITUTE(SUBSTITUTE(SUBSTITUTE(SUBSTITUTE(SUBSTITUTE(SUBSTITUTE(SUBSTITUTE(LOWER(T389&amp;""),CHAR(160),"")," ",""),".",""),"-",""),"/",""),"?",""),"_",""),",",""),"[",""),"]",""),"(",""),")",""),"*","")</f>
        <v/>
      </c>
      <c r="AV389" s="61" t="str">
        <f aca="false">SUBSTITUTE(SUBSTITUTE(SUBSTITUTE(SUBSTITUTE(SUBSTITUTE(SUBSTITUTE(SUBSTITUTE(SUBSTITUTE(SUBSTITUTE(SUBSTITUTE(SUBSTITUTE(SUBSTITUTE(SUBSTITUTE(LOWER(V389&amp;""),CHAR(160),"")," ",""),".",""),"-",""),"/",""),"?",""),"_",""),",",""),"[",""),"]",""),"(",""),")",""),"*","")</f>
        <v/>
      </c>
      <c r="AW389" s="61" t="str">
        <f aca="false">SUBSTITUTE(SUBSTITUTE(SUBSTITUTE(SUBSTITUTE(SUBSTITUTE(SUBSTITUTE(SUBSTITUTE(SUBSTITUTE(SUBSTITUTE(SUBSTITUTE(SUBSTITUTE(SUBSTITUTE(SUBSTITUTE(LOWER(Z389&amp;""),CHAR(160),"")," ",""),".",""),"-",""),"/",""),"?",""),"_",""),",",""),"[",""),"]",""),"(",""),")",""),"*","")</f>
        <v/>
      </c>
      <c r="AX389" s="61" t="str">
        <f aca="false">SUBSTITUTE(SUBSTITUTE(SUBSTITUTE(SUBSTITUTE(SUBSTITUTE(SUBSTITUTE(SUBSTITUTE(SUBSTITUTE(SUBSTITUTE(SUBSTITUTE(SUBSTITUTE(SUBSTITUTE(SUBSTITUTE(LOWER(AE389&amp;""),CHAR(160),"")," ",""),".",""),"-",""),"/",""),"?",""),"_",""),",",""),"[",""),"]",""),"(",""),")",""),"*","")</f>
        <v/>
      </c>
      <c r="AY389" s="61" t="str">
        <f aca="false">SUBSTITUTE(SUBSTITUTE(SUBSTITUTE(SUBSTITUTE(SUBSTITUTE(SUBSTITUTE(SUBSTITUTE(SUBSTITUTE(SUBSTITUTE(SUBSTITUTE(SUBSTITUTE(SUBSTITUTE(SUBSTITUTE(LOWER(W389&amp;""),CHAR(160),"")," ",""),".",""),"-",""),"/",""),"?",""),"_",""),",",""),"[",""),"]",""),"(",""),")",""),"*","")</f>
        <v/>
      </c>
      <c r="AZ389" s="61" t="str">
        <f aca="false">SUBSTITUTE(SUBSTITUTE(SUBSTITUTE(SUBSTITUTE(SUBSTITUTE(SUBSTITUTE(SUBSTITUTE(SUBSTITUTE(SUBSTITUTE(SUBSTITUTE(SUBSTITUTE(SUBSTITUTE(SUBSTITUTE(LOWER(AC389&amp;""),CHAR(160),"")," ",""),".",""),"-",""),"/",""),"?",""),"_",""),",",""),"[",""),"]",""),"(",""),")",""),"*","")</f>
        <v/>
      </c>
      <c r="BA389" s="61" t="str">
        <f aca="false">SUBSTITUTE(SUBSTITUTE(SUBSTITUTE(SUBSTITUTE(SUBSTITUTE(SUBSTITUTE(SUBSTITUTE(SUBSTITUTE(SUBSTITUTE(SUBSTITUTE(SUBSTITUTE(SUBSTITUTE(SUBSTITUTE(LOWER(AA389&amp;""),CHAR(160),"")," ",""),".",""),"-",""),"/",""),"?",""),"_",""),",",""),"[",""),"]",""),"(",""),")",""),"*","")</f>
        <v/>
      </c>
      <c r="BB389" s="61" t="str">
        <f aca="false">IF(AND(TRIM(U389)="Pass",ISNUMBER(AF389)),IF(AF389&lt;&gt;0,"INVALID – qty variance: use Fail or Pass after CA",""),"")&amp;IF(AND(TRIM(U389)="Pass after CA",ISNUMBER(AF389)),IF(AF389&lt;&gt;0,"INVALID – after the corrective action the actual qty must equal expected (update Actual)",""),"")&amp;IF(AND(TRIM(U389)="Pass",TRIM(AB389)&lt;&gt;"",TRIM(AB389)&lt;&gt;"Closed"),"INVALID – corrective action not closed: use Fail, then Pass after CA","")&amp;IF(AND(TRIM(AA389)&lt;&gt;"",TRIM(AB389)=""),"INVALID – CA status missing for the recorded corrective action","")&amp;IF(AND(TRIM(U389)="Pass after CA",OR(OR(LEN(BA389)&lt;5,ISNUMBER(MATCH(BA389,L_Placeholder,0))),TRIM(AB389)&lt;&gt;"Closed")),"INVALID – corrective action not recorded/closed","")</f>
        <v/>
      </c>
    </row>
    <row r="390" customFormat="false" ht="39.75" hidden="false" customHeight="true" outlineLevel="0" collapsed="false">
      <c r="A390" s="57" t="s">
        <v>983</v>
      </c>
      <c r="B390" s="57" t="s">
        <v>258</v>
      </c>
      <c r="C390" s="57" t="str">
        <f aca="false">Flights!$F$16</f>
        <v>MH0139</v>
      </c>
      <c r="D390" s="58" t="n">
        <f aca="false">Flights!$D$16</f>
        <v>46307</v>
      </c>
      <c r="E390" s="57" t="str">
        <f aca="false">Flights!$G$16&amp;"-"&amp;Flights!$H$16</f>
        <v>KUL-ADL</v>
      </c>
      <c r="F390" s="57" t="str">
        <f aca="false">Flights!$K$16</f>
        <v>BC</v>
      </c>
      <c r="G390" s="57" t="s">
        <v>398</v>
      </c>
      <c r="H390" s="57" t="s">
        <v>356</v>
      </c>
      <c r="I390" s="57" t="s">
        <v>357</v>
      </c>
      <c r="J390" s="57" t="s">
        <v>399</v>
      </c>
      <c r="K390" s="67"/>
      <c r="L390" s="67" t="s">
        <v>400</v>
      </c>
      <c r="M390" s="67"/>
      <c r="N390" s="67" t="s">
        <v>361</v>
      </c>
      <c r="O390" s="67" t="s">
        <v>401</v>
      </c>
      <c r="P390" s="57" t="s">
        <v>184</v>
      </c>
      <c r="Q390" s="59" t="n">
        <f aca="false">ROUND((Flights!$AE$16)*1440,0)/1440</f>
        <v>46307.1006944444</v>
      </c>
      <c r="R390" s="59" t="n">
        <f aca="false">Q390+(IF(AND(INDEX(TZ_DSTS,MATCH(P390,TZ_STN,0))&lt;&gt;"",Q390&gt;=INDEX(TZ_DSTS,MATCH(P390,TZ_STN,0)),Q390&lt;INDEX(TZ_DSTE,MATCH(P390,TZ_STN,0))),INDEX(TZ_DST,MATCH(P390,TZ_STN,0)),INDEX(TZ_STD,MATCH(P390,TZ_STN,0))))/24</f>
        <v>46307.4340277778</v>
      </c>
      <c r="S390" s="59" t="n">
        <f aca="false">Q390-T12EarlyH/24</f>
        <v>46306.6006944444</v>
      </c>
      <c r="T390" s="60"/>
      <c r="U390" s="60"/>
      <c r="V390" s="60"/>
      <c r="W390" s="61"/>
      <c r="X390" s="60"/>
      <c r="Y390" s="60"/>
      <c r="Z390" s="60"/>
      <c r="AA390" s="60"/>
      <c r="AB390" s="60"/>
      <c r="AC390" s="60"/>
      <c r="AD390" s="66"/>
      <c r="AE390" s="60"/>
      <c r="AF390" s="61" t="str">
        <f aca="false">IF(AND(ISNUMBER(X390),ISNUMBER(Y390)),Y390-X390,"")</f>
        <v/>
      </c>
      <c r="AG390" s="62" t="str">
        <f aca="false">IF(ISNUMBER(AD390),AD390-(IF(AND(INDEX(TZ_DSTS,MATCH(P390,TZ_STN,0))&lt;&gt;"",(AD390-INDEX(TZ_STD,MATCH(P390,TZ_STN,0))/24)&gt;=INDEX(TZ_DSTS,MATCH(P390,TZ_STN,0)),(AD390-INDEX(TZ_STD,MATCH(P390,TZ_STN,0))/24)&lt;INDEX(TZ_DSTE,MATCH(P390,TZ_STN,0))),INDEX(TZ_DST,MATCH(P390,TZ_STN,0)),INDEX(TZ_STD,MATCH(P390,TZ_STN,0))))/24,"")</f>
        <v/>
      </c>
      <c r="AH390" s="65" t="str">
        <f aca="false">IFERROR(IF(N390="N/A – rule","N/A – RULE",IF(TRIM(U390)="N/A",IF(AT390=0,"INVALID – N/A not permitted for this check",IF(AND(TRIM(AB390)&lt;&gt;"",TRIM(AB390)&lt;&gt;"Closed"),"INVALID – corrective action still open",IF(AND(NOT(OR(LEN(AZ390)&lt;15,ISNUMBER(MATCH(AZ390,L_Placeholder,0)))),NOT(OR(LEN(AU390)&lt;2,ISNUMBER(MATCH(AU390,L_Placeholder,0)))),NOT(OR(LEN(AX390)&lt;2,ISNUMBER(MATCH(AX390,L_Placeholder,0)))),TRIM(AE390)&lt;&gt;TRIM(T390)),"N/A – JUSTIFIED","INVALID – N/A needs a real justification (15+ chars), PIC and a different verifier"))),IF(OR(TRIM(U390)="Pass",TRIM(U390)="Pass after CA"),IF(NOT(ISNUMBER(AD390)),"INVALID – completion time missing",IF(OR(LEN(AU390)&lt;2,ISNUMBER(MATCH(AU390,L_Placeholder,0))),"INVALID – PIC missing",IF(OR(LEN(AV390)&lt;2,ISNUMBER(MATCH(AV390,L_Placeholder,0))),"INVALID – result / assessment missing",IF(OR(OR(LEN(AW390)&lt;3,ISNUMBER(MATCH(AW390,L_Placeholder,0))),SUMPRODUCT(--ISNUMBER(SEARCH(L_EvidencePhrase,AW390)))&gt;0),"INVALID – evidence missing, placeholder or not yet on file",IF(OR(LEN(AX390)&lt;2,ISNUMBER(MATCH(AX390,L_Placeholder,0))),"INVALID – verifier missing",IF(AX390=AU390,"INVALID – verifier must be someone other than the PIC",IF(AND(TRIM(U390)="Pass",SUMPRODUCT(--ISNUMBER(SEARCH(L_ResultBad,AV390)))&gt;0),"INVALID – result describes a problem: use Fail, then Pass after CA",IF(AND(AQ390=1,OR(LEN(AY390)&lt;3,ISNUMBER(MATCH(AY390,L_Placeholder,0)))),"INVALID – batch ID missing or placeholder",IF(AND(AR390=1,OR(NOT(ISNUMBER(X390)),NOT(ISNUMBER(Y390)))),"INVALID – expected/actual qty missing",IF(AND(AR390=1,OR(X390&lt;=0,Y390&lt;0)),"INVALID – expected qty must be above 0 and actual not negative",IF(BB390&lt;&gt;"",BB390,IF(AND(AS390=1,Documents!$J$16&lt;&gt;"ON FILE"),"INVALID – GLD not on file (Documents sheet)",IF(AND(AS390=2,Documents!$O$16&lt;&gt;"ON FILE"),"INVALID – menu checklist not on file (Documents sheet)",IF(AND(AS390=3,NOT(ISNUMBER(Flights!$AX$16))),"INVALID – enter carrying flight KUL departure (Flights AX)",IF(AND(AS390=3,OR(Flights!$AZ$16&gt;Flights!$AA$16,Flights!$AX$16&lt;Flights!$AA$16-3)),"INVALID – carrying flight (Flights AX) cannot arrive before this leg's STD, or is over 3 days early",IF(AG390&gt;AsOfUTC,"INVALID – completion time is in the future",IF(AND(ISNUMBER(S390),AG390&lt;S390),IF(H390="Physical uplift","INVALID – before uplift window (cannot confirm loading)","INVALID – before valid window"),IF(AG390&gt;Flights!$AA$16,"INVALID – completed after departure (cannot establish readiness)",IF(AND(H390="Preparation",AG390&gt;IF(ISNUMBER(Flights!$BA$16),MIN(Flights!$BA$16,Flights!$AA$16),Flights!$AA$16)),"INVALID – completed after loading / departure (cannot establish readiness)",IF(AND(H390="Physical uplift",AG390&gt;Q390),"INVALID – recorded after the loading flight departed",IF(AG390&gt;Q390,"COMPLETE – LATE","COMPLETE"))))))))))))))))))))),IF(TRIM(U390)="Fail","FAIL – DISCREPANCY",IF(AND(TRIM(U390)&lt;&gt;"",TRIM(U390)&lt;&gt;"Not started",TRIM(U390)&lt;&gt;"In progress"),"INVALID – unrecognised status (use the list)",IF(AsOfUTC&gt;Q390,"OVERDUE",IF(N390="Clarification required","OPEN – CLARIFICATION","OPEN"))))))),"INVALID – error value in an input cell")</f>
        <v>OPEN</v>
      </c>
      <c r="AI390" s="61" t="n">
        <f aca="false">IF(OR(AH390="N/A – RULE",AH390="N/A – JUSTIFIED"),0,1)</f>
        <v>1</v>
      </c>
      <c r="AJ390" s="61" t="n">
        <f aca="false">IF(LEFT(AH390,8)="COMPLETE",1,0)</f>
        <v>0</v>
      </c>
      <c r="AK390" s="61" t="n">
        <f aca="false">IF(AND(AI390=1,AJ390=0,AsOfUTC&gt;Q390),1,0)</f>
        <v>0</v>
      </c>
      <c r="AL390" s="61" t="n">
        <f aca="false">IFERROR(IF(AND(AI390=1,OR(TRIM(U390)="Fail",AND(TRIM(AB390)&lt;&gt;"",TRIM(AB390)&lt;&gt;"Closed"),AND(ISNUMBER(AF390),AF390&lt;&gt;0,TRIM(U390)&lt;&gt;"Pass after CA"))),1,0),1)</f>
        <v>0</v>
      </c>
      <c r="AM390" s="61" t="n">
        <f aca="false">IF(LEFT(AH390,7)="INVALID",1,0)</f>
        <v>0</v>
      </c>
      <c r="AN390" s="61" t="n">
        <f aca="false">IF(AND(N390="Clarification required",AI390=1,AJ390=0),1,0)</f>
        <v>0</v>
      </c>
      <c r="AO390" s="61" t="str">
        <f aca="false">IF(AK390=1,SUM(AK$5:AK390),"")</f>
        <v/>
      </c>
      <c r="AP390" s="61" t="str">
        <f aca="false">IF(AL390=1,SUM(AL$5:AL390),"")</f>
        <v/>
      </c>
      <c r="AQ390" s="61" t="n">
        <v>0</v>
      </c>
      <c r="AR390" s="61" t="n">
        <v>0</v>
      </c>
      <c r="AS390" s="61" t="n">
        <v>0</v>
      </c>
      <c r="AT390" s="61" t="n">
        <v>0</v>
      </c>
      <c r="AU390" s="61" t="str">
        <f aca="false">SUBSTITUTE(SUBSTITUTE(SUBSTITUTE(SUBSTITUTE(SUBSTITUTE(SUBSTITUTE(SUBSTITUTE(SUBSTITUTE(SUBSTITUTE(SUBSTITUTE(SUBSTITUTE(SUBSTITUTE(SUBSTITUTE(LOWER(T390&amp;""),CHAR(160),"")," ",""),".",""),"-",""),"/",""),"?",""),"_",""),",",""),"[",""),"]",""),"(",""),")",""),"*","")</f>
        <v/>
      </c>
      <c r="AV390" s="61" t="str">
        <f aca="false">SUBSTITUTE(SUBSTITUTE(SUBSTITUTE(SUBSTITUTE(SUBSTITUTE(SUBSTITUTE(SUBSTITUTE(SUBSTITUTE(SUBSTITUTE(SUBSTITUTE(SUBSTITUTE(SUBSTITUTE(SUBSTITUTE(LOWER(V390&amp;""),CHAR(160),"")," ",""),".",""),"-",""),"/",""),"?",""),"_",""),",",""),"[",""),"]",""),"(",""),")",""),"*","")</f>
        <v/>
      </c>
      <c r="AW390" s="61" t="str">
        <f aca="false">SUBSTITUTE(SUBSTITUTE(SUBSTITUTE(SUBSTITUTE(SUBSTITUTE(SUBSTITUTE(SUBSTITUTE(SUBSTITUTE(SUBSTITUTE(SUBSTITUTE(SUBSTITUTE(SUBSTITUTE(SUBSTITUTE(LOWER(Z390&amp;""),CHAR(160),"")," ",""),".",""),"-",""),"/",""),"?",""),"_",""),",",""),"[",""),"]",""),"(",""),")",""),"*","")</f>
        <v/>
      </c>
      <c r="AX390" s="61" t="str">
        <f aca="false">SUBSTITUTE(SUBSTITUTE(SUBSTITUTE(SUBSTITUTE(SUBSTITUTE(SUBSTITUTE(SUBSTITUTE(SUBSTITUTE(SUBSTITUTE(SUBSTITUTE(SUBSTITUTE(SUBSTITUTE(SUBSTITUTE(LOWER(AE390&amp;""),CHAR(160),"")," ",""),".",""),"-",""),"/",""),"?",""),"_",""),",",""),"[",""),"]",""),"(",""),")",""),"*","")</f>
        <v/>
      </c>
      <c r="AY390" s="61" t="str">
        <f aca="false">SUBSTITUTE(SUBSTITUTE(SUBSTITUTE(SUBSTITUTE(SUBSTITUTE(SUBSTITUTE(SUBSTITUTE(SUBSTITUTE(SUBSTITUTE(SUBSTITUTE(SUBSTITUTE(SUBSTITUTE(SUBSTITUTE(LOWER(W390&amp;""),CHAR(160),"")," ",""),".",""),"-",""),"/",""),"?",""),"_",""),",",""),"[",""),"]",""),"(",""),")",""),"*","")</f>
        <v/>
      </c>
      <c r="AZ390" s="61" t="str">
        <f aca="false">SUBSTITUTE(SUBSTITUTE(SUBSTITUTE(SUBSTITUTE(SUBSTITUTE(SUBSTITUTE(SUBSTITUTE(SUBSTITUTE(SUBSTITUTE(SUBSTITUTE(SUBSTITUTE(SUBSTITUTE(SUBSTITUTE(LOWER(AC390&amp;""),CHAR(160),"")," ",""),".",""),"-",""),"/",""),"?",""),"_",""),",",""),"[",""),"]",""),"(",""),")",""),"*","")</f>
        <v/>
      </c>
      <c r="BA390" s="61" t="str">
        <f aca="false">SUBSTITUTE(SUBSTITUTE(SUBSTITUTE(SUBSTITUTE(SUBSTITUTE(SUBSTITUTE(SUBSTITUTE(SUBSTITUTE(SUBSTITUTE(SUBSTITUTE(SUBSTITUTE(SUBSTITUTE(SUBSTITUTE(LOWER(AA390&amp;""),CHAR(160),"")," ",""),".",""),"-",""),"/",""),"?",""),"_",""),",",""),"[",""),"]",""),"(",""),")",""),"*","")</f>
        <v/>
      </c>
      <c r="BB390" s="61" t="str">
        <f aca="false">IF(AND(TRIM(U390)="Pass",ISNUMBER(AF390)),IF(AF390&lt;&gt;0,"INVALID – qty variance: use Fail or Pass after CA",""),"")&amp;IF(AND(TRIM(U390)="Pass after CA",ISNUMBER(AF390)),IF(AF390&lt;&gt;0,"INVALID – after the corrective action the actual qty must equal expected (update Actual)",""),"")&amp;IF(AND(TRIM(U390)="Pass",TRIM(AB390)&lt;&gt;"",TRIM(AB390)&lt;&gt;"Closed"),"INVALID – corrective action not closed: use Fail, then Pass after CA","")&amp;IF(AND(TRIM(AA390)&lt;&gt;"",TRIM(AB390)=""),"INVALID – CA status missing for the recorded corrective action","")&amp;IF(AND(TRIM(U390)="Pass after CA",OR(OR(LEN(BA390)&lt;5,ISNUMBER(MATCH(BA390,L_Placeholder,0))),TRIM(AB390)&lt;&gt;"Closed")),"INVALID – corrective action not recorded/closed","")</f>
        <v/>
      </c>
    </row>
    <row r="391" customFormat="false" ht="39.75" hidden="false" customHeight="true" outlineLevel="0" collapsed="false">
      <c r="A391" s="57" t="s">
        <v>984</v>
      </c>
      <c r="B391" s="57" t="s">
        <v>258</v>
      </c>
      <c r="C391" s="57" t="str">
        <f aca="false">Flights!$F$16</f>
        <v>MH0139</v>
      </c>
      <c r="D391" s="58" t="n">
        <f aca="false">Flights!$D$16</f>
        <v>46307</v>
      </c>
      <c r="E391" s="57" t="str">
        <f aca="false">Flights!$G$16&amp;"-"&amp;Flights!$H$16</f>
        <v>KUL-ADL</v>
      </c>
      <c r="F391" s="57" t="str">
        <f aca="false">Flights!$K$16</f>
        <v>BC</v>
      </c>
      <c r="G391" s="57" t="s">
        <v>398</v>
      </c>
      <c r="H391" s="57" t="s">
        <v>356</v>
      </c>
      <c r="I391" s="57" t="s">
        <v>357</v>
      </c>
      <c r="J391" s="57" t="s">
        <v>403</v>
      </c>
      <c r="K391" s="67" t="s">
        <v>404</v>
      </c>
      <c r="L391" s="67" t="s">
        <v>400</v>
      </c>
      <c r="M391" s="67"/>
      <c r="N391" s="67" t="s">
        <v>361</v>
      </c>
      <c r="O391" s="67" t="s">
        <v>401</v>
      </c>
      <c r="P391" s="57" t="s">
        <v>184</v>
      </c>
      <c r="Q391" s="59" t="n">
        <f aca="false">ROUND((Flights!$AE$16)*1440,0)/1440</f>
        <v>46307.1006944444</v>
      </c>
      <c r="R391" s="59" t="n">
        <f aca="false">Q391+(IF(AND(INDEX(TZ_DSTS,MATCH(P391,TZ_STN,0))&lt;&gt;"",Q391&gt;=INDEX(TZ_DSTS,MATCH(P391,TZ_STN,0)),Q391&lt;INDEX(TZ_DSTE,MATCH(P391,TZ_STN,0))),INDEX(TZ_DST,MATCH(P391,TZ_STN,0)),INDEX(TZ_STD,MATCH(P391,TZ_STN,0))))/24</f>
        <v>46307.4340277778</v>
      </c>
      <c r="S391" s="59" t="n">
        <f aca="false">Q391-T12EarlyH/24</f>
        <v>46306.6006944444</v>
      </c>
      <c r="T391" s="60"/>
      <c r="U391" s="60"/>
      <c r="V391" s="60"/>
      <c r="W391" s="61"/>
      <c r="X391" s="60"/>
      <c r="Y391" s="60"/>
      <c r="Z391" s="60"/>
      <c r="AA391" s="60"/>
      <c r="AB391" s="60"/>
      <c r="AC391" s="60"/>
      <c r="AD391" s="66"/>
      <c r="AE391" s="60"/>
      <c r="AF391" s="61" t="str">
        <f aca="false">IF(AND(ISNUMBER(X391),ISNUMBER(Y391)),Y391-X391,"")</f>
        <v/>
      </c>
      <c r="AG391" s="62" t="str">
        <f aca="false">IF(ISNUMBER(AD391),AD391-(IF(AND(INDEX(TZ_DSTS,MATCH(P391,TZ_STN,0))&lt;&gt;"",(AD391-INDEX(TZ_STD,MATCH(P391,TZ_STN,0))/24)&gt;=INDEX(TZ_DSTS,MATCH(P391,TZ_STN,0)),(AD391-INDEX(TZ_STD,MATCH(P391,TZ_STN,0))/24)&lt;INDEX(TZ_DSTE,MATCH(P391,TZ_STN,0))),INDEX(TZ_DST,MATCH(P391,TZ_STN,0)),INDEX(TZ_STD,MATCH(P391,TZ_STN,0))))/24,"")</f>
        <v/>
      </c>
      <c r="AH391" s="65" t="str">
        <f aca="false">IFERROR(IF(N391="N/A – rule","N/A – RULE",IF(TRIM(U391)="N/A",IF(AT391=0,"INVALID – N/A not permitted for this check",IF(AND(TRIM(AB391)&lt;&gt;"",TRIM(AB391)&lt;&gt;"Closed"),"INVALID – corrective action still open",IF(AND(NOT(OR(LEN(AZ391)&lt;15,ISNUMBER(MATCH(AZ391,L_Placeholder,0)))),NOT(OR(LEN(AU391)&lt;2,ISNUMBER(MATCH(AU391,L_Placeholder,0)))),NOT(OR(LEN(AX391)&lt;2,ISNUMBER(MATCH(AX391,L_Placeholder,0)))),TRIM(AE391)&lt;&gt;TRIM(T391)),"N/A – JUSTIFIED","INVALID – N/A needs a real justification (15+ chars), PIC and a different verifier"))),IF(OR(TRIM(U391)="Pass",TRIM(U391)="Pass after CA"),IF(NOT(ISNUMBER(AD391)),"INVALID – completion time missing",IF(OR(LEN(AU391)&lt;2,ISNUMBER(MATCH(AU391,L_Placeholder,0))),"INVALID – PIC missing",IF(OR(LEN(AV391)&lt;2,ISNUMBER(MATCH(AV391,L_Placeholder,0))),"INVALID – result / assessment missing",IF(OR(OR(LEN(AW391)&lt;3,ISNUMBER(MATCH(AW391,L_Placeholder,0))),SUMPRODUCT(--ISNUMBER(SEARCH(L_EvidencePhrase,AW391)))&gt;0),"INVALID – evidence missing, placeholder or not yet on file",IF(OR(LEN(AX391)&lt;2,ISNUMBER(MATCH(AX391,L_Placeholder,0))),"INVALID – verifier missing",IF(AX391=AU391,"INVALID – verifier must be someone other than the PIC",IF(AND(TRIM(U391)="Pass",SUMPRODUCT(--ISNUMBER(SEARCH(L_ResultBad,AV391)))&gt;0),"INVALID – result describes a problem: use Fail, then Pass after CA",IF(AND(AQ391=1,OR(LEN(AY391)&lt;3,ISNUMBER(MATCH(AY391,L_Placeholder,0)))),"INVALID – batch ID missing or placeholder",IF(AND(AR391=1,OR(NOT(ISNUMBER(X391)),NOT(ISNUMBER(Y391)))),"INVALID – expected/actual qty missing",IF(AND(AR391=1,OR(X391&lt;=0,Y391&lt;0)),"INVALID – expected qty must be above 0 and actual not negative",IF(BB391&lt;&gt;"",BB391,IF(AND(AS391=1,Documents!$J$16&lt;&gt;"ON FILE"),"INVALID – GLD not on file (Documents sheet)",IF(AND(AS391=2,Documents!$O$16&lt;&gt;"ON FILE"),"INVALID – menu checklist not on file (Documents sheet)",IF(AND(AS391=3,NOT(ISNUMBER(Flights!$AX$16))),"INVALID – enter carrying flight KUL departure (Flights AX)",IF(AND(AS391=3,OR(Flights!$AZ$16&gt;Flights!$AA$16,Flights!$AX$16&lt;Flights!$AA$16-3)),"INVALID – carrying flight (Flights AX) cannot arrive before this leg's STD, or is over 3 days early",IF(AG391&gt;AsOfUTC,"INVALID – completion time is in the future",IF(AND(ISNUMBER(S391),AG391&lt;S391),IF(H391="Physical uplift","INVALID – before uplift window (cannot confirm loading)","INVALID – before valid window"),IF(AG391&gt;Flights!$AA$16,"INVALID – completed after departure (cannot establish readiness)",IF(AND(H391="Preparation",AG391&gt;IF(ISNUMBER(Flights!$BA$16),MIN(Flights!$BA$16,Flights!$AA$16),Flights!$AA$16)),"INVALID – completed after loading / departure (cannot establish readiness)",IF(AND(H391="Physical uplift",AG391&gt;Q391),"INVALID – recorded after the loading flight departed",IF(AG391&gt;Q391,"COMPLETE – LATE","COMPLETE"))))))))))))))))))))),IF(TRIM(U391)="Fail","FAIL – DISCREPANCY",IF(AND(TRIM(U391)&lt;&gt;"",TRIM(U391)&lt;&gt;"Not started",TRIM(U391)&lt;&gt;"In progress"),"INVALID – unrecognised status (use the list)",IF(AsOfUTC&gt;Q391,"OVERDUE",IF(N391="Clarification required","OPEN – CLARIFICATION","OPEN"))))))),"INVALID – error value in an input cell")</f>
        <v>OPEN</v>
      </c>
      <c r="AI391" s="61" t="n">
        <f aca="false">IF(OR(AH391="N/A – RULE",AH391="N/A – JUSTIFIED"),0,1)</f>
        <v>1</v>
      </c>
      <c r="AJ391" s="61" t="n">
        <f aca="false">IF(LEFT(AH391,8)="COMPLETE",1,0)</f>
        <v>0</v>
      </c>
      <c r="AK391" s="61" t="n">
        <f aca="false">IF(AND(AI391=1,AJ391=0,AsOfUTC&gt;Q391),1,0)</f>
        <v>0</v>
      </c>
      <c r="AL391" s="61" t="n">
        <f aca="false">IFERROR(IF(AND(AI391=1,OR(TRIM(U391)="Fail",AND(TRIM(AB391)&lt;&gt;"",TRIM(AB391)&lt;&gt;"Closed"),AND(ISNUMBER(AF391),AF391&lt;&gt;0,TRIM(U391)&lt;&gt;"Pass after CA"))),1,0),1)</f>
        <v>0</v>
      </c>
      <c r="AM391" s="61" t="n">
        <f aca="false">IF(LEFT(AH391,7)="INVALID",1,0)</f>
        <v>0</v>
      </c>
      <c r="AN391" s="61" t="n">
        <f aca="false">IF(AND(N391="Clarification required",AI391=1,AJ391=0),1,0)</f>
        <v>0</v>
      </c>
      <c r="AO391" s="61" t="str">
        <f aca="false">IF(AK391=1,SUM(AK$5:AK391),"")</f>
        <v/>
      </c>
      <c r="AP391" s="61" t="str">
        <f aca="false">IF(AL391=1,SUM(AL$5:AL391),"")</f>
        <v/>
      </c>
      <c r="AQ391" s="61" t="n">
        <v>0</v>
      </c>
      <c r="AR391" s="61" t="n">
        <v>1</v>
      </c>
      <c r="AS391" s="61" t="n">
        <v>0</v>
      </c>
      <c r="AT391" s="61" t="n">
        <v>0</v>
      </c>
      <c r="AU391" s="61" t="str">
        <f aca="false">SUBSTITUTE(SUBSTITUTE(SUBSTITUTE(SUBSTITUTE(SUBSTITUTE(SUBSTITUTE(SUBSTITUTE(SUBSTITUTE(SUBSTITUTE(SUBSTITUTE(SUBSTITUTE(SUBSTITUTE(SUBSTITUTE(LOWER(T391&amp;""),CHAR(160),"")," ",""),".",""),"-",""),"/",""),"?",""),"_",""),",",""),"[",""),"]",""),"(",""),")",""),"*","")</f>
        <v/>
      </c>
      <c r="AV391" s="61" t="str">
        <f aca="false">SUBSTITUTE(SUBSTITUTE(SUBSTITUTE(SUBSTITUTE(SUBSTITUTE(SUBSTITUTE(SUBSTITUTE(SUBSTITUTE(SUBSTITUTE(SUBSTITUTE(SUBSTITUTE(SUBSTITUTE(SUBSTITUTE(LOWER(V391&amp;""),CHAR(160),"")," ",""),".",""),"-",""),"/",""),"?",""),"_",""),",",""),"[",""),"]",""),"(",""),")",""),"*","")</f>
        <v/>
      </c>
      <c r="AW391" s="61" t="str">
        <f aca="false">SUBSTITUTE(SUBSTITUTE(SUBSTITUTE(SUBSTITUTE(SUBSTITUTE(SUBSTITUTE(SUBSTITUTE(SUBSTITUTE(SUBSTITUTE(SUBSTITUTE(SUBSTITUTE(SUBSTITUTE(SUBSTITUTE(LOWER(Z391&amp;""),CHAR(160),"")," ",""),".",""),"-",""),"/",""),"?",""),"_",""),",",""),"[",""),"]",""),"(",""),")",""),"*","")</f>
        <v/>
      </c>
      <c r="AX391" s="61" t="str">
        <f aca="false">SUBSTITUTE(SUBSTITUTE(SUBSTITUTE(SUBSTITUTE(SUBSTITUTE(SUBSTITUTE(SUBSTITUTE(SUBSTITUTE(SUBSTITUTE(SUBSTITUTE(SUBSTITUTE(SUBSTITUTE(SUBSTITUTE(LOWER(AE391&amp;""),CHAR(160),"")," ",""),".",""),"-",""),"/",""),"?",""),"_",""),",",""),"[",""),"]",""),"(",""),")",""),"*","")</f>
        <v/>
      </c>
      <c r="AY391" s="61" t="str">
        <f aca="false">SUBSTITUTE(SUBSTITUTE(SUBSTITUTE(SUBSTITUTE(SUBSTITUTE(SUBSTITUTE(SUBSTITUTE(SUBSTITUTE(SUBSTITUTE(SUBSTITUTE(SUBSTITUTE(SUBSTITUTE(SUBSTITUTE(LOWER(W391&amp;""),CHAR(160),"")," ",""),".",""),"-",""),"/",""),"?",""),"_",""),",",""),"[",""),"]",""),"(",""),")",""),"*","")</f>
        <v/>
      </c>
      <c r="AZ391" s="61" t="str">
        <f aca="false">SUBSTITUTE(SUBSTITUTE(SUBSTITUTE(SUBSTITUTE(SUBSTITUTE(SUBSTITUTE(SUBSTITUTE(SUBSTITUTE(SUBSTITUTE(SUBSTITUTE(SUBSTITUTE(SUBSTITUTE(SUBSTITUTE(LOWER(AC391&amp;""),CHAR(160),"")," ",""),".",""),"-",""),"/",""),"?",""),"_",""),",",""),"[",""),"]",""),"(",""),")",""),"*","")</f>
        <v/>
      </c>
      <c r="BA391" s="61" t="str">
        <f aca="false">SUBSTITUTE(SUBSTITUTE(SUBSTITUTE(SUBSTITUTE(SUBSTITUTE(SUBSTITUTE(SUBSTITUTE(SUBSTITUTE(SUBSTITUTE(SUBSTITUTE(SUBSTITUTE(SUBSTITUTE(SUBSTITUTE(LOWER(AA391&amp;""),CHAR(160),"")," ",""),".",""),"-",""),"/",""),"?",""),"_",""),",",""),"[",""),"]",""),"(",""),")",""),"*","")</f>
        <v/>
      </c>
      <c r="BB391" s="61" t="str">
        <f aca="false">IF(AND(TRIM(U391)="Pass",ISNUMBER(AF391)),IF(AF391&lt;&gt;0,"INVALID – qty variance: use Fail or Pass after CA",""),"")&amp;IF(AND(TRIM(U391)="Pass after CA",ISNUMBER(AF391)),IF(AF391&lt;&gt;0,"INVALID – after the corrective action the actual qty must equal expected (update Actual)",""),"")&amp;IF(AND(TRIM(U391)="Pass",TRIM(AB391)&lt;&gt;"",TRIM(AB391)&lt;&gt;"Closed"),"INVALID – corrective action not closed: use Fail, then Pass after CA","")&amp;IF(AND(TRIM(AA391)&lt;&gt;"",TRIM(AB391)=""),"INVALID – CA status missing for the recorded corrective action","")&amp;IF(AND(TRIM(U391)="Pass after CA",OR(OR(LEN(BA391)&lt;5,ISNUMBER(MATCH(BA391,L_Placeholder,0))),TRIM(AB391)&lt;&gt;"Closed")),"INVALID – corrective action not recorded/closed","")</f>
        <v/>
      </c>
    </row>
    <row r="392" customFormat="false" ht="39.75" hidden="false" customHeight="true" outlineLevel="0" collapsed="false">
      <c r="A392" s="57" t="s">
        <v>985</v>
      </c>
      <c r="B392" s="57" t="s">
        <v>258</v>
      </c>
      <c r="C392" s="57" t="str">
        <f aca="false">Flights!$F$16</f>
        <v>MH0139</v>
      </c>
      <c r="D392" s="58" t="n">
        <f aca="false">Flights!$D$16</f>
        <v>46307</v>
      </c>
      <c r="E392" s="57" t="str">
        <f aca="false">Flights!$G$16&amp;"-"&amp;Flights!$H$16</f>
        <v>KUL-ADL</v>
      </c>
      <c r="F392" s="57" t="str">
        <f aca="false">Flights!$K$16</f>
        <v>BC</v>
      </c>
      <c r="G392" s="57" t="s">
        <v>398</v>
      </c>
      <c r="H392" s="57" t="s">
        <v>356</v>
      </c>
      <c r="I392" s="57" t="s">
        <v>406</v>
      </c>
      <c r="J392" s="57" t="s">
        <v>407</v>
      </c>
      <c r="K392" s="67"/>
      <c r="L392" s="67" t="s">
        <v>400</v>
      </c>
      <c r="M392" s="67"/>
      <c r="N392" s="67" t="s">
        <v>361</v>
      </c>
      <c r="O392" s="67" t="s">
        <v>401</v>
      </c>
      <c r="P392" s="57" t="s">
        <v>184</v>
      </c>
      <c r="Q392" s="59" t="n">
        <f aca="false">ROUND((Flights!$AE$16)*1440,0)/1440</f>
        <v>46307.1006944444</v>
      </c>
      <c r="R392" s="59" t="n">
        <f aca="false">Q392+(IF(AND(INDEX(TZ_DSTS,MATCH(P392,TZ_STN,0))&lt;&gt;"",Q392&gt;=INDEX(TZ_DSTS,MATCH(P392,TZ_STN,0)),Q392&lt;INDEX(TZ_DSTE,MATCH(P392,TZ_STN,0))),INDEX(TZ_DST,MATCH(P392,TZ_STN,0)),INDEX(TZ_STD,MATCH(P392,TZ_STN,0))))/24</f>
        <v>46307.4340277778</v>
      </c>
      <c r="S392" s="59" t="n">
        <f aca="false">Q392-T12EarlyH/24</f>
        <v>46306.6006944444</v>
      </c>
      <c r="T392" s="60"/>
      <c r="U392" s="60"/>
      <c r="V392" s="60"/>
      <c r="W392" s="61"/>
      <c r="X392" s="60"/>
      <c r="Y392" s="60"/>
      <c r="Z392" s="60"/>
      <c r="AA392" s="60"/>
      <c r="AB392" s="60"/>
      <c r="AC392" s="60"/>
      <c r="AD392" s="66"/>
      <c r="AE392" s="60"/>
      <c r="AF392" s="61" t="str">
        <f aca="false">IF(AND(ISNUMBER(X392),ISNUMBER(Y392)),Y392-X392,"")</f>
        <v/>
      </c>
      <c r="AG392" s="62" t="str">
        <f aca="false">IF(ISNUMBER(AD392),AD392-(IF(AND(INDEX(TZ_DSTS,MATCH(P392,TZ_STN,0))&lt;&gt;"",(AD392-INDEX(TZ_STD,MATCH(P392,TZ_STN,0))/24)&gt;=INDEX(TZ_DSTS,MATCH(P392,TZ_STN,0)),(AD392-INDEX(TZ_STD,MATCH(P392,TZ_STN,0))/24)&lt;INDEX(TZ_DSTE,MATCH(P392,TZ_STN,0))),INDEX(TZ_DST,MATCH(P392,TZ_STN,0)),INDEX(TZ_STD,MATCH(P392,TZ_STN,0))))/24,"")</f>
        <v/>
      </c>
      <c r="AH392" s="65" t="str">
        <f aca="false">IFERROR(IF(N392="N/A – rule","N/A – RULE",IF(TRIM(U392)="N/A",IF(AT392=0,"INVALID – N/A not permitted for this check",IF(AND(TRIM(AB392)&lt;&gt;"",TRIM(AB392)&lt;&gt;"Closed"),"INVALID – corrective action still open",IF(AND(NOT(OR(LEN(AZ392)&lt;15,ISNUMBER(MATCH(AZ392,L_Placeholder,0)))),NOT(OR(LEN(AU392)&lt;2,ISNUMBER(MATCH(AU392,L_Placeholder,0)))),NOT(OR(LEN(AX392)&lt;2,ISNUMBER(MATCH(AX392,L_Placeholder,0)))),TRIM(AE392)&lt;&gt;TRIM(T392)),"N/A – JUSTIFIED","INVALID – N/A needs a real justification (15+ chars), PIC and a different verifier"))),IF(OR(TRIM(U392)="Pass",TRIM(U392)="Pass after CA"),IF(NOT(ISNUMBER(AD392)),"INVALID – completion time missing",IF(OR(LEN(AU392)&lt;2,ISNUMBER(MATCH(AU392,L_Placeholder,0))),"INVALID – PIC missing",IF(OR(LEN(AV392)&lt;2,ISNUMBER(MATCH(AV392,L_Placeholder,0))),"INVALID – result / assessment missing",IF(OR(OR(LEN(AW392)&lt;3,ISNUMBER(MATCH(AW392,L_Placeholder,0))),SUMPRODUCT(--ISNUMBER(SEARCH(L_EvidencePhrase,AW392)))&gt;0),"INVALID – evidence missing, placeholder or not yet on file",IF(OR(LEN(AX392)&lt;2,ISNUMBER(MATCH(AX392,L_Placeholder,0))),"INVALID – verifier missing",IF(AX392=AU392,"INVALID – verifier must be someone other than the PIC",IF(AND(TRIM(U392)="Pass",SUMPRODUCT(--ISNUMBER(SEARCH(L_ResultBad,AV392)))&gt;0),"INVALID – result describes a problem: use Fail, then Pass after CA",IF(AND(AQ392=1,OR(LEN(AY392)&lt;3,ISNUMBER(MATCH(AY392,L_Placeholder,0)))),"INVALID – batch ID missing or placeholder",IF(AND(AR392=1,OR(NOT(ISNUMBER(X392)),NOT(ISNUMBER(Y392)))),"INVALID – expected/actual qty missing",IF(AND(AR392=1,OR(X392&lt;=0,Y392&lt;0)),"INVALID – expected qty must be above 0 and actual not negative",IF(BB392&lt;&gt;"",BB392,IF(AND(AS392=1,Documents!$J$16&lt;&gt;"ON FILE"),"INVALID – GLD not on file (Documents sheet)",IF(AND(AS392=2,Documents!$O$16&lt;&gt;"ON FILE"),"INVALID – menu checklist not on file (Documents sheet)",IF(AND(AS392=3,NOT(ISNUMBER(Flights!$AX$16))),"INVALID – enter carrying flight KUL departure (Flights AX)",IF(AND(AS392=3,OR(Flights!$AZ$16&gt;Flights!$AA$16,Flights!$AX$16&lt;Flights!$AA$16-3)),"INVALID – carrying flight (Flights AX) cannot arrive before this leg's STD, or is over 3 days early",IF(AG392&gt;AsOfUTC,"INVALID – completion time is in the future",IF(AND(ISNUMBER(S392),AG392&lt;S392),IF(H392="Physical uplift","INVALID – before uplift window (cannot confirm loading)","INVALID – before valid window"),IF(AG392&gt;Flights!$AA$16,"INVALID – completed after departure (cannot establish readiness)",IF(AND(H392="Preparation",AG392&gt;IF(ISNUMBER(Flights!$BA$16),MIN(Flights!$BA$16,Flights!$AA$16),Flights!$AA$16)),"INVALID – completed after loading / departure (cannot establish readiness)",IF(AND(H392="Physical uplift",AG392&gt;Q392),"INVALID – recorded after the loading flight departed",IF(AG392&gt;Q392,"COMPLETE – LATE","COMPLETE"))))))))))))))))))))),IF(TRIM(U392)="Fail","FAIL – DISCREPANCY",IF(AND(TRIM(U392)&lt;&gt;"",TRIM(U392)&lt;&gt;"Not started",TRIM(U392)&lt;&gt;"In progress"),"INVALID – unrecognised status (use the list)",IF(AsOfUTC&gt;Q392,"OVERDUE",IF(N392="Clarification required","OPEN – CLARIFICATION","OPEN"))))))),"INVALID – error value in an input cell")</f>
        <v>OPEN</v>
      </c>
      <c r="AI392" s="61" t="n">
        <f aca="false">IF(OR(AH392="N/A – RULE",AH392="N/A – JUSTIFIED"),0,1)</f>
        <v>1</v>
      </c>
      <c r="AJ392" s="61" t="n">
        <f aca="false">IF(LEFT(AH392,8)="COMPLETE",1,0)</f>
        <v>0</v>
      </c>
      <c r="AK392" s="61" t="n">
        <f aca="false">IF(AND(AI392=1,AJ392=0,AsOfUTC&gt;Q392),1,0)</f>
        <v>0</v>
      </c>
      <c r="AL392" s="61" t="n">
        <f aca="false">IFERROR(IF(AND(AI392=1,OR(TRIM(U392)="Fail",AND(TRIM(AB392)&lt;&gt;"",TRIM(AB392)&lt;&gt;"Closed"),AND(ISNUMBER(AF392),AF392&lt;&gt;0,TRIM(U392)&lt;&gt;"Pass after CA"))),1,0),1)</f>
        <v>0</v>
      </c>
      <c r="AM392" s="61" t="n">
        <f aca="false">IF(LEFT(AH392,7)="INVALID",1,0)</f>
        <v>0</v>
      </c>
      <c r="AN392" s="61" t="n">
        <f aca="false">IF(AND(N392="Clarification required",AI392=1,AJ392=0),1,0)</f>
        <v>0</v>
      </c>
      <c r="AO392" s="61" t="str">
        <f aca="false">IF(AK392=1,SUM(AK$5:AK392),"")</f>
        <v/>
      </c>
      <c r="AP392" s="61" t="str">
        <f aca="false">IF(AL392=1,SUM(AL$5:AL392),"")</f>
        <v/>
      </c>
      <c r="AQ392" s="61" t="n">
        <v>0</v>
      </c>
      <c r="AR392" s="61" t="n">
        <v>0</v>
      </c>
      <c r="AS392" s="61" t="n">
        <v>0</v>
      </c>
      <c r="AT392" s="61" t="n">
        <v>0</v>
      </c>
      <c r="AU392" s="61" t="str">
        <f aca="false">SUBSTITUTE(SUBSTITUTE(SUBSTITUTE(SUBSTITUTE(SUBSTITUTE(SUBSTITUTE(SUBSTITUTE(SUBSTITUTE(SUBSTITUTE(SUBSTITUTE(SUBSTITUTE(SUBSTITUTE(SUBSTITUTE(LOWER(T392&amp;""),CHAR(160),"")," ",""),".",""),"-",""),"/",""),"?",""),"_",""),",",""),"[",""),"]",""),"(",""),")",""),"*","")</f>
        <v/>
      </c>
      <c r="AV392" s="61" t="str">
        <f aca="false">SUBSTITUTE(SUBSTITUTE(SUBSTITUTE(SUBSTITUTE(SUBSTITUTE(SUBSTITUTE(SUBSTITUTE(SUBSTITUTE(SUBSTITUTE(SUBSTITUTE(SUBSTITUTE(SUBSTITUTE(SUBSTITUTE(LOWER(V392&amp;""),CHAR(160),"")," ",""),".",""),"-",""),"/",""),"?",""),"_",""),",",""),"[",""),"]",""),"(",""),")",""),"*","")</f>
        <v/>
      </c>
      <c r="AW392" s="61" t="str">
        <f aca="false">SUBSTITUTE(SUBSTITUTE(SUBSTITUTE(SUBSTITUTE(SUBSTITUTE(SUBSTITUTE(SUBSTITUTE(SUBSTITUTE(SUBSTITUTE(SUBSTITUTE(SUBSTITUTE(SUBSTITUTE(SUBSTITUTE(LOWER(Z392&amp;""),CHAR(160),"")," ",""),".",""),"-",""),"/",""),"?",""),"_",""),",",""),"[",""),"]",""),"(",""),")",""),"*","")</f>
        <v/>
      </c>
      <c r="AX392" s="61" t="str">
        <f aca="false">SUBSTITUTE(SUBSTITUTE(SUBSTITUTE(SUBSTITUTE(SUBSTITUTE(SUBSTITUTE(SUBSTITUTE(SUBSTITUTE(SUBSTITUTE(SUBSTITUTE(SUBSTITUTE(SUBSTITUTE(SUBSTITUTE(LOWER(AE392&amp;""),CHAR(160),"")," ",""),".",""),"-",""),"/",""),"?",""),"_",""),",",""),"[",""),"]",""),"(",""),")",""),"*","")</f>
        <v/>
      </c>
      <c r="AY392" s="61" t="str">
        <f aca="false">SUBSTITUTE(SUBSTITUTE(SUBSTITUTE(SUBSTITUTE(SUBSTITUTE(SUBSTITUTE(SUBSTITUTE(SUBSTITUTE(SUBSTITUTE(SUBSTITUTE(SUBSTITUTE(SUBSTITUTE(SUBSTITUTE(LOWER(W392&amp;""),CHAR(160),"")," ",""),".",""),"-",""),"/",""),"?",""),"_",""),",",""),"[",""),"]",""),"(",""),")",""),"*","")</f>
        <v/>
      </c>
      <c r="AZ392" s="61" t="str">
        <f aca="false">SUBSTITUTE(SUBSTITUTE(SUBSTITUTE(SUBSTITUTE(SUBSTITUTE(SUBSTITUTE(SUBSTITUTE(SUBSTITUTE(SUBSTITUTE(SUBSTITUTE(SUBSTITUTE(SUBSTITUTE(SUBSTITUTE(LOWER(AC392&amp;""),CHAR(160),"")," ",""),".",""),"-",""),"/",""),"?",""),"_",""),",",""),"[",""),"]",""),"(",""),")",""),"*","")</f>
        <v/>
      </c>
      <c r="BA392" s="61" t="str">
        <f aca="false">SUBSTITUTE(SUBSTITUTE(SUBSTITUTE(SUBSTITUTE(SUBSTITUTE(SUBSTITUTE(SUBSTITUTE(SUBSTITUTE(SUBSTITUTE(SUBSTITUTE(SUBSTITUTE(SUBSTITUTE(SUBSTITUTE(LOWER(AA392&amp;""),CHAR(160),"")," ",""),".",""),"-",""),"/",""),"?",""),"_",""),",",""),"[",""),"]",""),"(",""),")",""),"*","")</f>
        <v/>
      </c>
      <c r="BB392" s="61" t="str">
        <f aca="false">IF(AND(TRIM(U392)="Pass",ISNUMBER(AF392)),IF(AF392&lt;&gt;0,"INVALID – qty variance: use Fail or Pass after CA",""),"")&amp;IF(AND(TRIM(U392)="Pass after CA",ISNUMBER(AF392)),IF(AF392&lt;&gt;0,"INVALID – after the corrective action the actual qty must equal expected (update Actual)",""),"")&amp;IF(AND(TRIM(U392)="Pass",TRIM(AB392)&lt;&gt;"",TRIM(AB392)&lt;&gt;"Closed"),"INVALID – corrective action not closed: use Fail, then Pass after CA","")&amp;IF(AND(TRIM(AA392)&lt;&gt;"",TRIM(AB392)=""),"INVALID – CA status missing for the recorded corrective action","")&amp;IF(AND(TRIM(U392)="Pass after CA",OR(OR(LEN(BA392)&lt;5,ISNUMBER(MATCH(BA392,L_Placeholder,0))),TRIM(AB392)&lt;&gt;"Closed")),"INVALID – corrective action not recorded/closed","")</f>
        <v/>
      </c>
    </row>
    <row r="393" customFormat="false" ht="39.75" hidden="false" customHeight="true" outlineLevel="0" collapsed="false">
      <c r="A393" s="57" t="s">
        <v>986</v>
      </c>
      <c r="B393" s="57" t="s">
        <v>258</v>
      </c>
      <c r="C393" s="57" t="str">
        <f aca="false">Flights!$F$16</f>
        <v>MH0139</v>
      </c>
      <c r="D393" s="58" t="n">
        <f aca="false">Flights!$D$16</f>
        <v>46307</v>
      </c>
      <c r="E393" s="57" t="str">
        <f aca="false">Flights!$G$16&amp;"-"&amp;Flights!$H$16</f>
        <v>KUL-ADL</v>
      </c>
      <c r="F393" s="57" t="str">
        <f aca="false">Flights!$K$16</f>
        <v>BC</v>
      </c>
      <c r="G393" s="57" t="s">
        <v>398</v>
      </c>
      <c r="H393" s="57" t="s">
        <v>356</v>
      </c>
      <c r="I393" s="57" t="s">
        <v>406</v>
      </c>
      <c r="J393" s="57" t="s">
        <v>409</v>
      </c>
      <c r="K393" s="67"/>
      <c r="L393" s="67" t="s">
        <v>400</v>
      </c>
      <c r="M393" s="67"/>
      <c r="N393" s="67" t="s">
        <v>361</v>
      </c>
      <c r="O393" s="67" t="s">
        <v>401</v>
      </c>
      <c r="P393" s="57" t="s">
        <v>184</v>
      </c>
      <c r="Q393" s="59" t="n">
        <f aca="false">ROUND((Flights!$AE$16)*1440,0)/1440</f>
        <v>46307.1006944444</v>
      </c>
      <c r="R393" s="59" t="n">
        <f aca="false">Q393+(IF(AND(INDEX(TZ_DSTS,MATCH(P393,TZ_STN,0))&lt;&gt;"",Q393&gt;=INDEX(TZ_DSTS,MATCH(P393,TZ_STN,0)),Q393&lt;INDEX(TZ_DSTE,MATCH(P393,TZ_STN,0))),INDEX(TZ_DST,MATCH(P393,TZ_STN,0)),INDEX(TZ_STD,MATCH(P393,TZ_STN,0))))/24</f>
        <v>46307.4340277778</v>
      </c>
      <c r="S393" s="59" t="n">
        <f aca="false">Q393-T12EarlyH/24</f>
        <v>46306.6006944444</v>
      </c>
      <c r="T393" s="60"/>
      <c r="U393" s="60"/>
      <c r="V393" s="60"/>
      <c r="W393" s="61"/>
      <c r="X393" s="60"/>
      <c r="Y393" s="60"/>
      <c r="Z393" s="60"/>
      <c r="AA393" s="60"/>
      <c r="AB393" s="60"/>
      <c r="AC393" s="60"/>
      <c r="AD393" s="66"/>
      <c r="AE393" s="60"/>
      <c r="AF393" s="61" t="str">
        <f aca="false">IF(AND(ISNUMBER(X393),ISNUMBER(Y393)),Y393-X393,"")</f>
        <v/>
      </c>
      <c r="AG393" s="62" t="str">
        <f aca="false">IF(ISNUMBER(AD393),AD393-(IF(AND(INDEX(TZ_DSTS,MATCH(P393,TZ_STN,0))&lt;&gt;"",(AD393-INDEX(TZ_STD,MATCH(P393,TZ_STN,0))/24)&gt;=INDEX(TZ_DSTS,MATCH(P393,TZ_STN,0)),(AD393-INDEX(TZ_STD,MATCH(P393,TZ_STN,0))/24)&lt;INDEX(TZ_DSTE,MATCH(P393,TZ_STN,0))),INDEX(TZ_DST,MATCH(P393,TZ_STN,0)),INDEX(TZ_STD,MATCH(P393,TZ_STN,0))))/24,"")</f>
        <v/>
      </c>
      <c r="AH393" s="65" t="str">
        <f aca="false">IFERROR(IF(N393="N/A – rule","N/A – RULE",IF(TRIM(U393)="N/A",IF(AT393=0,"INVALID – N/A not permitted for this check",IF(AND(TRIM(AB393)&lt;&gt;"",TRIM(AB393)&lt;&gt;"Closed"),"INVALID – corrective action still open",IF(AND(NOT(OR(LEN(AZ393)&lt;15,ISNUMBER(MATCH(AZ393,L_Placeholder,0)))),NOT(OR(LEN(AU393)&lt;2,ISNUMBER(MATCH(AU393,L_Placeholder,0)))),NOT(OR(LEN(AX393)&lt;2,ISNUMBER(MATCH(AX393,L_Placeholder,0)))),TRIM(AE393)&lt;&gt;TRIM(T393)),"N/A – JUSTIFIED","INVALID – N/A needs a real justification (15+ chars), PIC and a different verifier"))),IF(OR(TRIM(U393)="Pass",TRIM(U393)="Pass after CA"),IF(NOT(ISNUMBER(AD393)),"INVALID – completion time missing",IF(OR(LEN(AU393)&lt;2,ISNUMBER(MATCH(AU393,L_Placeholder,0))),"INVALID – PIC missing",IF(OR(LEN(AV393)&lt;2,ISNUMBER(MATCH(AV393,L_Placeholder,0))),"INVALID – result / assessment missing",IF(OR(OR(LEN(AW393)&lt;3,ISNUMBER(MATCH(AW393,L_Placeholder,0))),SUMPRODUCT(--ISNUMBER(SEARCH(L_EvidencePhrase,AW393)))&gt;0),"INVALID – evidence missing, placeholder or not yet on file",IF(OR(LEN(AX393)&lt;2,ISNUMBER(MATCH(AX393,L_Placeholder,0))),"INVALID – verifier missing",IF(AX393=AU393,"INVALID – verifier must be someone other than the PIC",IF(AND(TRIM(U393)="Pass",SUMPRODUCT(--ISNUMBER(SEARCH(L_ResultBad,AV393)))&gt;0),"INVALID – result describes a problem: use Fail, then Pass after CA",IF(AND(AQ393=1,OR(LEN(AY393)&lt;3,ISNUMBER(MATCH(AY393,L_Placeholder,0)))),"INVALID – batch ID missing or placeholder",IF(AND(AR393=1,OR(NOT(ISNUMBER(X393)),NOT(ISNUMBER(Y393)))),"INVALID – expected/actual qty missing",IF(AND(AR393=1,OR(X393&lt;=0,Y393&lt;0)),"INVALID – expected qty must be above 0 and actual not negative",IF(BB393&lt;&gt;"",BB393,IF(AND(AS393=1,Documents!$J$16&lt;&gt;"ON FILE"),"INVALID – GLD not on file (Documents sheet)",IF(AND(AS393=2,Documents!$O$16&lt;&gt;"ON FILE"),"INVALID – menu checklist not on file (Documents sheet)",IF(AND(AS393=3,NOT(ISNUMBER(Flights!$AX$16))),"INVALID – enter carrying flight KUL departure (Flights AX)",IF(AND(AS393=3,OR(Flights!$AZ$16&gt;Flights!$AA$16,Flights!$AX$16&lt;Flights!$AA$16-3)),"INVALID – carrying flight (Flights AX) cannot arrive before this leg's STD, or is over 3 days early",IF(AG393&gt;AsOfUTC,"INVALID – completion time is in the future",IF(AND(ISNUMBER(S393),AG393&lt;S393),IF(H393="Physical uplift","INVALID – before uplift window (cannot confirm loading)","INVALID – before valid window"),IF(AG393&gt;Flights!$AA$16,"INVALID – completed after departure (cannot establish readiness)",IF(AND(H393="Preparation",AG393&gt;IF(ISNUMBER(Flights!$BA$16),MIN(Flights!$BA$16,Flights!$AA$16),Flights!$AA$16)),"INVALID – completed after loading / departure (cannot establish readiness)",IF(AND(H393="Physical uplift",AG393&gt;Q393),"INVALID – recorded after the loading flight departed",IF(AG393&gt;Q393,"COMPLETE – LATE","COMPLETE"))))))))))))))))))))),IF(TRIM(U393)="Fail","FAIL – DISCREPANCY",IF(AND(TRIM(U393)&lt;&gt;"",TRIM(U393)&lt;&gt;"Not started",TRIM(U393)&lt;&gt;"In progress"),"INVALID – unrecognised status (use the list)",IF(AsOfUTC&gt;Q393,"OVERDUE",IF(N393="Clarification required","OPEN – CLARIFICATION","OPEN"))))))),"INVALID – error value in an input cell")</f>
        <v>OPEN</v>
      </c>
      <c r="AI393" s="61" t="n">
        <f aca="false">IF(OR(AH393="N/A – RULE",AH393="N/A – JUSTIFIED"),0,1)</f>
        <v>1</v>
      </c>
      <c r="AJ393" s="61" t="n">
        <f aca="false">IF(LEFT(AH393,8)="COMPLETE",1,0)</f>
        <v>0</v>
      </c>
      <c r="AK393" s="61" t="n">
        <f aca="false">IF(AND(AI393=1,AJ393=0,AsOfUTC&gt;Q393),1,0)</f>
        <v>0</v>
      </c>
      <c r="AL393" s="61" t="n">
        <f aca="false">IFERROR(IF(AND(AI393=1,OR(TRIM(U393)="Fail",AND(TRIM(AB393)&lt;&gt;"",TRIM(AB393)&lt;&gt;"Closed"),AND(ISNUMBER(AF393),AF393&lt;&gt;0,TRIM(U393)&lt;&gt;"Pass after CA"))),1,0),1)</f>
        <v>0</v>
      </c>
      <c r="AM393" s="61" t="n">
        <f aca="false">IF(LEFT(AH393,7)="INVALID",1,0)</f>
        <v>0</v>
      </c>
      <c r="AN393" s="61" t="n">
        <f aca="false">IF(AND(N393="Clarification required",AI393=1,AJ393=0),1,0)</f>
        <v>0</v>
      </c>
      <c r="AO393" s="61" t="str">
        <f aca="false">IF(AK393=1,SUM(AK$5:AK393),"")</f>
        <v/>
      </c>
      <c r="AP393" s="61" t="str">
        <f aca="false">IF(AL393=1,SUM(AL$5:AL393),"")</f>
        <v/>
      </c>
      <c r="AQ393" s="61" t="n">
        <v>0</v>
      </c>
      <c r="AR393" s="61" t="n">
        <v>0</v>
      </c>
      <c r="AS393" s="61" t="n">
        <v>0</v>
      </c>
      <c r="AT393" s="61" t="n">
        <v>0</v>
      </c>
      <c r="AU393" s="61" t="str">
        <f aca="false">SUBSTITUTE(SUBSTITUTE(SUBSTITUTE(SUBSTITUTE(SUBSTITUTE(SUBSTITUTE(SUBSTITUTE(SUBSTITUTE(SUBSTITUTE(SUBSTITUTE(SUBSTITUTE(SUBSTITUTE(SUBSTITUTE(LOWER(T393&amp;""),CHAR(160),"")," ",""),".",""),"-",""),"/",""),"?",""),"_",""),",",""),"[",""),"]",""),"(",""),")",""),"*","")</f>
        <v/>
      </c>
      <c r="AV393" s="61" t="str">
        <f aca="false">SUBSTITUTE(SUBSTITUTE(SUBSTITUTE(SUBSTITUTE(SUBSTITUTE(SUBSTITUTE(SUBSTITUTE(SUBSTITUTE(SUBSTITUTE(SUBSTITUTE(SUBSTITUTE(SUBSTITUTE(SUBSTITUTE(LOWER(V393&amp;""),CHAR(160),"")," ",""),".",""),"-",""),"/",""),"?",""),"_",""),",",""),"[",""),"]",""),"(",""),")",""),"*","")</f>
        <v/>
      </c>
      <c r="AW393" s="61" t="str">
        <f aca="false">SUBSTITUTE(SUBSTITUTE(SUBSTITUTE(SUBSTITUTE(SUBSTITUTE(SUBSTITUTE(SUBSTITUTE(SUBSTITUTE(SUBSTITUTE(SUBSTITUTE(SUBSTITUTE(SUBSTITUTE(SUBSTITUTE(LOWER(Z393&amp;""),CHAR(160),"")," ",""),".",""),"-",""),"/",""),"?",""),"_",""),",",""),"[",""),"]",""),"(",""),")",""),"*","")</f>
        <v/>
      </c>
      <c r="AX393" s="61" t="str">
        <f aca="false">SUBSTITUTE(SUBSTITUTE(SUBSTITUTE(SUBSTITUTE(SUBSTITUTE(SUBSTITUTE(SUBSTITUTE(SUBSTITUTE(SUBSTITUTE(SUBSTITUTE(SUBSTITUTE(SUBSTITUTE(SUBSTITUTE(LOWER(AE393&amp;""),CHAR(160),"")," ",""),".",""),"-",""),"/",""),"?",""),"_",""),",",""),"[",""),"]",""),"(",""),")",""),"*","")</f>
        <v/>
      </c>
      <c r="AY393" s="61" t="str">
        <f aca="false">SUBSTITUTE(SUBSTITUTE(SUBSTITUTE(SUBSTITUTE(SUBSTITUTE(SUBSTITUTE(SUBSTITUTE(SUBSTITUTE(SUBSTITUTE(SUBSTITUTE(SUBSTITUTE(SUBSTITUTE(SUBSTITUTE(LOWER(W393&amp;""),CHAR(160),"")," ",""),".",""),"-",""),"/",""),"?",""),"_",""),",",""),"[",""),"]",""),"(",""),")",""),"*","")</f>
        <v/>
      </c>
      <c r="AZ393" s="61" t="str">
        <f aca="false">SUBSTITUTE(SUBSTITUTE(SUBSTITUTE(SUBSTITUTE(SUBSTITUTE(SUBSTITUTE(SUBSTITUTE(SUBSTITUTE(SUBSTITUTE(SUBSTITUTE(SUBSTITUTE(SUBSTITUTE(SUBSTITUTE(LOWER(AC393&amp;""),CHAR(160),"")," ",""),".",""),"-",""),"/",""),"?",""),"_",""),",",""),"[",""),"]",""),"(",""),")",""),"*","")</f>
        <v/>
      </c>
      <c r="BA393" s="61" t="str">
        <f aca="false">SUBSTITUTE(SUBSTITUTE(SUBSTITUTE(SUBSTITUTE(SUBSTITUTE(SUBSTITUTE(SUBSTITUTE(SUBSTITUTE(SUBSTITUTE(SUBSTITUTE(SUBSTITUTE(SUBSTITUTE(SUBSTITUTE(LOWER(AA393&amp;""),CHAR(160),"")," ",""),".",""),"-",""),"/",""),"?",""),"_",""),",",""),"[",""),"]",""),"(",""),")",""),"*","")</f>
        <v/>
      </c>
      <c r="BB393" s="61" t="str">
        <f aca="false">IF(AND(TRIM(U393)="Pass",ISNUMBER(AF393)),IF(AF393&lt;&gt;0,"INVALID – qty variance: use Fail or Pass after CA",""),"")&amp;IF(AND(TRIM(U393)="Pass after CA",ISNUMBER(AF393)),IF(AF393&lt;&gt;0,"INVALID – after the corrective action the actual qty must equal expected (update Actual)",""),"")&amp;IF(AND(TRIM(U393)="Pass",TRIM(AB393)&lt;&gt;"",TRIM(AB393)&lt;&gt;"Closed"),"INVALID – corrective action not closed: use Fail, then Pass after CA","")&amp;IF(AND(TRIM(AA393)&lt;&gt;"",TRIM(AB393)=""),"INVALID – CA status missing for the recorded corrective action","")&amp;IF(AND(TRIM(U393)="Pass after CA",OR(OR(LEN(BA393)&lt;5,ISNUMBER(MATCH(BA393,L_Placeholder,0))),TRIM(AB393)&lt;&gt;"Closed")),"INVALID – corrective action not recorded/closed","")</f>
        <v/>
      </c>
    </row>
    <row r="394" customFormat="false" ht="39.75" hidden="false" customHeight="true" outlineLevel="0" collapsed="false">
      <c r="A394" s="57" t="s">
        <v>987</v>
      </c>
      <c r="B394" s="57" t="s">
        <v>258</v>
      </c>
      <c r="C394" s="57" t="str">
        <f aca="false">Flights!$F$16</f>
        <v>MH0139</v>
      </c>
      <c r="D394" s="58" t="n">
        <f aca="false">Flights!$D$16</f>
        <v>46307</v>
      </c>
      <c r="E394" s="57" t="str">
        <f aca="false">Flights!$G$16&amp;"-"&amp;Flights!$H$16</f>
        <v>KUL-ADL</v>
      </c>
      <c r="F394" s="57" t="str">
        <f aca="false">Flights!$K$16</f>
        <v>BC</v>
      </c>
      <c r="G394" s="57" t="s">
        <v>398</v>
      </c>
      <c r="H394" s="57" t="s">
        <v>356</v>
      </c>
      <c r="I394" s="57" t="s">
        <v>406</v>
      </c>
      <c r="J394" s="57" t="s">
        <v>411</v>
      </c>
      <c r="K394" s="67"/>
      <c r="L394" s="67" t="s">
        <v>400</v>
      </c>
      <c r="M394" s="67"/>
      <c r="N394" s="67" t="s">
        <v>361</v>
      </c>
      <c r="O394" s="67" t="s">
        <v>401</v>
      </c>
      <c r="P394" s="57" t="s">
        <v>184</v>
      </c>
      <c r="Q394" s="59" t="n">
        <f aca="false">ROUND((Flights!$AE$16)*1440,0)/1440</f>
        <v>46307.1006944444</v>
      </c>
      <c r="R394" s="59" t="n">
        <f aca="false">Q394+(IF(AND(INDEX(TZ_DSTS,MATCH(P394,TZ_STN,0))&lt;&gt;"",Q394&gt;=INDEX(TZ_DSTS,MATCH(P394,TZ_STN,0)),Q394&lt;INDEX(TZ_DSTE,MATCH(P394,TZ_STN,0))),INDEX(TZ_DST,MATCH(P394,TZ_STN,0)),INDEX(TZ_STD,MATCH(P394,TZ_STN,0))))/24</f>
        <v>46307.4340277778</v>
      </c>
      <c r="S394" s="59" t="n">
        <f aca="false">Q394-T12EarlyH/24</f>
        <v>46306.6006944444</v>
      </c>
      <c r="T394" s="60"/>
      <c r="U394" s="60"/>
      <c r="V394" s="60"/>
      <c r="W394" s="61"/>
      <c r="X394" s="60"/>
      <c r="Y394" s="60"/>
      <c r="Z394" s="60"/>
      <c r="AA394" s="60"/>
      <c r="AB394" s="60"/>
      <c r="AC394" s="60"/>
      <c r="AD394" s="66"/>
      <c r="AE394" s="60"/>
      <c r="AF394" s="61" t="str">
        <f aca="false">IF(AND(ISNUMBER(X394),ISNUMBER(Y394)),Y394-X394,"")</f>
        <v/>
      </c>
      <c r="AG394" s="62" t="str">
        <f aca="false">IF(ISNUMBER(AD394),AD394-(IF(AND(INDEX(TZ_DSTS,MATCH(P394,TZ_STN,0))&lt;&gt;"",(AD394-INDEX(TZ_STD,MATCH(P394,TZ_STN,0))/24)&gt;=INDEX(TZ_DSTS,MATCH(P394,TZ_STN,0)),(AD394-INDEX(TZ_STD,MATCH(P394,TZ_STN,0))/24)&lt;INDEX(TZ_DSTE,MATCH(P394,TZ_STN,0))),INDEX(TZ_DST,MATCH(P394,TZ_STN,0)),INDEX(TZ_STD,MATCH(P394,TZ_STN,0))))/24,"")</f>
        <v/>
      </c>
      <c r="AH394" s="65" t="str">
        <f aca="false">IFERROR(IF(N394="N/A – rule","N/A – RULE",IF(TRIM(U394)="N/A",IF(AT394=0,"INVALID – N/A not permitted for this check",IF(AND(TRIM(AB394)&lt;&gt;"",TRIM(AB394)&lt;&gt;"Closed"),"INVALID – corrective action still open",IF(AND(NOT(OR(LEN(AZ394)&lt;15,ISNUMBER(MATCH(AZ394,L_Placeholder,0)))),NOT(OR(LEN(AU394)&lt;2,ISNUMBER(MATCH(AU394,L_Placeholder,0)))),NOT(OR(LEN(AX394)&lt;2,ISNUMBER(MATCH(AX394,L_Placeholder,0)))),TRIM(AE394)&lt;&gt;TRIM(T394)),"N/A – JUSTIFIED","INVALID – N/A needs a real justification (15+ chars), PIC and a different verifier"))),IF(OR(TRIM(U394)="Pass",TRIM(U394)="Pass after CA"),IF(NOT(ISNUMBER(AD394)),"INVALID – completion time missing",IF(OR(LEN(AU394)&lt;2,ISNUMBER(MATCH(AU394,L_Placeholder,0))),"INVALID – PIC missing",IF(OR(LEN(AV394)&lt;2,ISNUMBER(MATCH(AV394,L_Placeholder,0))),"INVALID – result / assessment missing",IF(OR(OR(LEN(AW394)&lt;3,ISNUMBER(MATCH(AW394,L_Placeholder,0))),SUMPRODUCT(--ISNUMBER(SEARCH(L_EvidencePhrase,AW394)))&gt;0),"INVALID – evidence missing, placeholder or not yet on file",IF(OR(LEN(AX394)&lt;2,ISNUMBER(MATCH(AX394,L_Placeholder,0))),"INVALID – verifier missing",IF(AX394=AU394,"INVALID – verifier must be someone other than the PIC",IF(AND(TRIM(U394)="Pass",SUMPRODUCT(--ISNUMBER(SEARCH(L_ResultBad,AV394)))&gt;0),"INVALID – result describes a problem: use Fail, then Pass after CA",IF(AND(AQ394=1,OR(LEN(AY394)&lt;3,ISNUMBER(MATCH(AY394,L_Placeholder,0)))),"INVALID – batch ID missing or placeholder",IF(AND(AR394=1,OR(NOT(ISNUMBER(X394)),NOT(ISNUMBER(Y394)))),"INVALID – expected/actual qty missing",IF(AND(AR394=1,OR(X394&lt;=0,Y394&lt;0)),"INVALID – expected qty must be above 0 and actual not negative",IF(BB394&lt;&gt;"",BB394,IF(AND(AS394=1,Documents!$J$16&lt;&gt;"ON FILE"),"INVALID – GLD not on file (Documents sheet)",IF(AND(AS394=2,Documents!$O$16&lt;&gt;"ON FILE"),"INVALID – menu checklist not on file (Documents sheet)",IF(AND(AS394=3,NOT(ISNUMBER(Flights!$AX$16))),"INVALID – enter carrying flight KUL departure (Flights AX)",IF(AND(AS394=3,OR(Flights!$AZ$16&gt;Flights!$AA$16,Flights!$AX$16&lt;Flights!$AA$16-3)),"INVALID – carrying flight (Flights AX) cannot arrive before this leg's STD, or is over 3 days early",IF(AG394&gt;AsOfUTC,"INVALID – completion time is in the future",IF(AND(ISNUMBER(S394),AG394&lt;S394),IF(H394="Physical uplift","INVALID – before uplift window (cannot confirm loading)","INVALID – before valid window"),IF(AG394&gt;Flights!$AA$16,"INVALID – completed after departure (cannot establish readiness)",IF(AND(H394="Preparation",AG394&gt;IF(ISNUMBER(Flights!$BA$16),MIN(Flights!$BA$16,Flights!$AA$16),Flights!$AA$16)),"INVALID – completed after loading / departure (cannot establish readiness)",IF(AND(H394="Physical uplift",AG394&gt;Q394),"INVALID – recorded after the loading flight departed",IF(AG394&gt;Q394,"COMPLETE – LATE","COMPLETE"))))))))))))))))))))),IF(TRIM(U394)="Fail","FAIL – DISCREPANCY",IF(AND(TRIM(U394)&lt;&gt;"",TRIM(U394)&lt;&gt;"Not started",TRIM(U394)&lt;&gt;"In progress"),"INVALID – unrecognised status (use the list)",IF(AsOfUTC&gt;Q394,"OVERDUE",IF(N394="Clarification required","OPEN – CLARIFICATION","OPEN"))))))),"INVALID – error value in an input cell")</f>
        <v>OPEN</v>
      </c>
      <c r="AI394" s="61" t="n">
        <f aca="false">IF(OR(AH394="N/A – RULE",AH394="N/A – JUSTIFIED"),0,1)</f>
        <v>1</v>
      </c>
      <c r="AJ394" s="61" t="n">
        <f aca="false">IF(LEFT(AH394,8)="COMPLETE",1,0)</f>
        <v>0</v>
      </c>
      <c r="AK394" s="61" t="n">
        <f aca="false">IF(AND(AI394=1,AJ394=0,AsOfUTC&gt;Q394),1,0)</f>
        <v>0</v>
      </c>
      <c r="AL394" s="61" t="n">
        <f aca="false">IFERROR(IF(AND(AI394=1,OR(TRIM(U394)="Fail",AND(TRIM(AB394)&lt;&gt;"",TRIM(AB394)&lt;&gt;"Closed"),AND(ISNUMBER(AF394),AF394&lt;&gt;0,TRIM(U394)&lt;&gt;"Pass after CA"))),1,0),1)</f>
        <v>0</v>
      </c>
      <c r="AM394" s="61" t="n">
        <f aca="false">IF(LEFT(AH394,7)="INVALID",1,0)</f>
        <v>0</v>
      </c>
      <c r="AN394" s="61" t="n">
        <f aca="false">IF(AND(N394="Clarification required",AI394=1,AJ394=0),1,0)</f>
        <v>0</v>
      </c>
      <c r="AO394" s="61" t="str">
        <f aca="false">IF(AK394=1,SUM(AK$5:AK394),"")</f>
        <v/>
      </c>
      <c r="AP394" s="61" t="str">
        <f aca="false">IF(AL394=1,SUM(AL$5:AL394),"")</f>
        <v/>
      </c>
      <c r="AQ394" s="61" t="n">
        <v>0</v>
      </c>
      <c r="AR394" s="61" t="n">
        <v>0</v>
      </c>
      <c r="AS394" s="61" t="n">
        <v>0</v>
      </c>
      <c r="AT394" s="61" t="n">
        <v>0</v>
      </c>
      <c r="AU394" s="61" t="str">
        <f aca="false">SUBSTITUTE(SUBSTITUTE(SUBSTITUTE(SUBSTITUTE(SUBSTITUTE(SUBSTITUTE(SUBSTITUTE(SUBSTITUTE(SUBSTITUTE(SUBSTITUTE(SUBSTITUTE(SUBSTITUTE(SUBSTITUTE(LOWER(T394&amp;""),CHAR(160),"")," ",""),".",""),"-",""),"/",""),"?",""),"_",""),",",""),"[",""),"]",""),"(",""),")",""),"*","")</f>
        <v/>
      </c>
      <c r="AV394" s="61" t="str">
        <f aca="false">SUBSTITUTE(SUBSTITUTE(SUBSTITUTE(SUBSTITUTE(SUBSTITUTE(SUBSTITUTE(SUBSTITUTE(SUBSTITUTE(SUBSTITUTE(SUBSTITUTE(SUBSTITUTE(SUBSTITUTE(SUBSTITUTE(LOWER(V394&amp;""),CHAR(160),"")," ",""),".",""),"-",""),"/",""),"?",""),"_",""),",",""),"[",""),"]",""),"(",""),")",""),"*","")</f>
        <v/>
      </c>
      <c r="AW394" s="61" t="str">
        <f aca="false">SUBSTITUTE(SUBSTITUTE(SUBSTITUTE(SUBSTITUTE(SUBSTITUTE(SUBSTITUTE(SUBSTITUTE(SUBSTITUTE(SUBSTITUTE(SUBSTITUTE(SUBSTITUTE(SUBSTITUTE(SUBSTITUTE(LOWER(Z394&amp;""),CHAR(160),"")," ",""),".",""),"-",""),"/",""),"?",""),"_",""),",",""),"[",""),"]",""),"(",""),")",""),"*","")</f>
        <v/>
      </c>
      <c r="AX394" s="61" t="str">
        <f aca="false">SUBSTITUTE(SUBSTITUTE(SUBSTITUTE(SUBSTITUTE(SUBSTITUTE(SUBSTITUTE(SUBSTITUTE(SUBSTITUTE(SUBSTITUTE(SUBSTITUTE(SUBSTITUTE(SUBSTITUTE(SUBSTITUTE(LOWER(AE394&amp;""),CHAR(160),"")," ",""),".",""),"-",""),"/",""),"?",""),"_",""),",",""),"[",""),"]",""),"(",""),")",""),"*","")</f>
        <v/>
      </c>
      <c r="AY394" s="61" t="str">
        <f aca="false">SUBSTITUTE(SUBSTITUTE(SUBSTITUTE(SUBSTITUTE(SUBSTITUTE(SUBSTITUTE(SUBSTITUTE(SUBSTITUTE(SUBSTITUTE(SUBSTITUTE(SUBSTITUTE(SUBSTITUTE(SUBSTITUTE(LOWER(W394&amp;""),CHAR(160),"")," ",""),".",""),"-",""),"/",""),"?",""),"_",""),",",""),"[",""),"]",""),"(",""),")",""),"*","")</f>
        <v/>
      </c>
      <c r="AZ394" s="61" t="str">
        <f aca="false">SUBSTITUTE(SUBSTITUTE(SUBSTITUTE(SUBSTITUTE(SUBSTITUTE(SUBSTITUTE(SUBSTITUTE(SUBSTITUTE(SUBSTITUTE(SUBSTITUTE(SUBSTITUTE(SUBSTITUTE(SUBSTITUTE(LOWER(AC394&amp;""),CHAR(160),"")," ",""),".",""),"-",""),"/",""),"?",""),"_",""),",",""),"[",""),"]",""),"(",""),")",""),"*","")</f>
        <v/>
      </c>
      <c r="BA394" s="61" t="str">
        <f aca="false">SUBSTITUTE(SUBSTITUTE(SUBSTITUTE(SUBSTITUTE(SUBSTITUTE(SUBSTITUTE(SUBSTITUTE(SUBSTITUTE(SUBSTITUTE(SUBSTITUTE(SUBSTITUTE(SUBSTITUTE(SUBSTITUTE(LOWER(AA394&amp;""),CHAR(160),"")," ",""),".",""),"-",""),"/",""),"?",""),"_",""),",",""),"[",""),"]",""),"(",""),")",""),"*","")</f>
        <v/>
      </c>
      <c r="BB394" s="61" t="str">
        <f aca="false">IF(AND(TRIM(U394)="Pass",ISNUMBER(AF394)),IF(AF394&lt;&gt;0,"INVALID – qty variance: use Fail or Pass after CA",""),"")&amp;IF(AND(TRIM(U394)="Pass after CA",ISNUMBER(AF394)),IF(AF394&lt;&gt;0,"INVALID – after the corrective action the actual qty must equal expected (update Actual)",""),"")&amp;IF(AND(TRIM(U394)="Pass",TRIM(AB394)&lt;&gt;"",TRIM(AB394)&lt;&gt;"Closed"),"INVALID – corrective action not closed: use Fail, then Pass after CA","")&amp;IF(AND(TRIM(AA394)&lt;&gt;"",TRIM(AB394)=""),"INVALID – CA status missing for the recorded corrective action","")&amp;IF(AND(TRIM(U394)="Pass after CA",OR(OR(LEN(BA394)&lt;5,ISNUMBER(MATCH(BA394,L_Placeholder,0))),TRIM(AB394)&lt;&gt;"Closed")),"INVALID – corrective action not recorded/closed","")</f>
        <v/>
      </c>
    </row>
    <row r="395" customFormat="false" ht="78.75" hidden="false" customHeight="true" outlineLevel="0" collapsed="false">
      <c r="A395" s="57" t="s">
        <v>988</v>
      </c>
      <c r="B395" s="57" t="s">
        <v>258</v>
      </c>
      <c r="C395" s="57" t="str">
        <f aca="false">Flights!$F$16</f>
        <v>MH0139</v>
      </c>
      <c r="D395" s="58" t="n">
        <f aca="false">Flights!$D$16</f>
        <v>46307</v>
      </c>
      <c r="E395" s="57" t="str">
        <f aca="false">Flights!$G$16&amp;"-"&amp;Flights!$H$16</f>
        <v>KUL-ADL</v>
      </c>
      <c r="F395" s="57" t="str">
        <f aca="false">Flights!$K$16</f>
        <v>BC</v>
      </c>
      <c r="G395" s="57" t="s">
        <v>398</v>
      </c>
      <c r="H395" s="57" t="s">
        <v>356</v>
      </c>
      <c r="I395" s="57" t="s">
        <v>406</v>
      </c>
      <c r="J395" s="57" t="s">
        <v>413</v>
      </c>
      <c r="K395" s="67" t="s">
        <v>989</v>
      </c>
      <c r="L395" s="67" t="s">
        <v>400</v>
      </c>
      <c r="M395" s="67"/>
      <c r="N395" s="67" t="s">
        <v>361</v>
      </c>
      <c r="O395" s="67" t="s">
        <v>401</v>
      </c>
      <c r="P395" s="57" t="s">
        <v>184</v>
      </c>
      <c r="Q395" s="59" t="n">
        <f aca="false">ROUND((Flights!$AE$16)*1440,0)/1440</f>
        <v>46307.1006944444</v>
      </c>
      <c r="R395" s="59" t="n">
        <f aca="false">Q395+(IF(AND(INDEX(TZ_DSTS,MATCH(P395,TZ_STN,0))&lt;&gt;"",Q395&gt;=INDEX(TZ_DSTS,MATCH(P395,TZ_STN,0)),Q395&lt;INDEX(TZ_DSTE,MATCH(P395,TZ_STN,0))),INDEX(TZ_DST,MATCH(P395,TZ_STN,0)),INDEX(TZ_STD,MATCH(P395,TZ_STN,0))))/24</f>
        <v>46307.4340277778</v>
      </c>
      <c r="S395" s="59" t="n">
        <f aca="false">Q395-T12EarlyH/24</f>
        <v>46306.6006944444</v>
      </c>
      <c r="T395" s="60"/>
      <c r="U395" s="60"/>
      <c r="V395" s="60"/>
      <c r="W395" s="61"/>
      <c r="X395" s="60"/>
      <c r="Y395" s="60"/>
      <c r="Z395" s="60"/>
      <c r="AA395" s="60"/>
      <c r="AB395" s="60"/>
      <c r="AC395" s="60"/>
      <c r="AD395" s="66"/>
      <c r="AE395" s="60"/>
      <c r="AF395" s="61" t="str">
        <f aca="false">IF(AND(ISNUMBER(X395),ISNUMBER(Y395)),Y395-X395,"")</f>
        <v/>
      </c>
      <c r="AG395" s="62" t="str">
        <f aca="false">IF(ISNUMBER(AD395),AD395-(IF(AND(INDEX(TZ_DSTS,MATCH(P395,TZ_STN,0))&lt;&gt;"",(AD395-INDEX(TZ_STD,MATCH(P395,TZ_STN,0))/24)&gt;=INDEX(TZ_DSTS,MATCH(P395,TZ_STN,0)),(AD395-INDEX(TZ_STD,MATCH(P395,TZ_STN,0))/24)&lt;INDEX(TZ_DSTE,MATCH(P395,TZ_STN,0))),INDEX(TZ_DST,MATCH(P395,TZ_STN,0)),INDEX(TZ_STD,MATCH(P395,TZ_STN,0))))/24,"")</f>
        <v/>
      </c>
      <c r="AH395" s="65" t="str">
        <f aca="false">IFERROR(IF(N395="N/A – rule","N/A – RULE",IF(TRIM(U395)="N/A",IF(AT395=0,"INVALID – N/A not permitted for this check",IF(AND(TRIM(AB395)&lt;&gt;"",TRIM(AB395)&lt;&gt;"Closed"),"INVALID – corrective action still open",IF(AND(NOT(OR(LEN(AZ395)&lt;15,ISNUMBER(MATCH(AZ395,L_Placeholder,0)))),NOT(OR(LEN(AU395)&lt;2,ISNUMBER(MATCH(AU395,L_Placeholder,0)))),NOT(OR(LEN(AX395)&lt;2,ISNUMBER(MATCH(AX395,L_Placeholder,0)))),TRIM(AE395)&lt;&gt;TRIM(T395)),"N/A – JUSTIFIED","INVALID – N/A needs a real justification (15+ chars), PIC and a different verifier"))),IF(OR(TRIM(U395)="Pass",TRIM(U395)="Pass after CA"),IF(NOT(ISNUMBER(AD395)),"INVALID – completion time missing",IF(OR(LEN(AU395)&lt;2,ISNUMBER(MATCH(AU395,L_Placeholder,0))),"INVALID – PIC missing",IF(OR(LEN(AV395)&lt;2,ISNUMBER(MATCH(AV395,L_Placeholder,0))),"INVALID – result / assessment missing",IF(OR(OR(LEN(AW395)&lt;3,ISNUMBER(MATCH(AW395,L_Placeholder,0))),SUMPRODUCT(--ISNUMBER(SEARCH(L_EvidencePhrase,AW395)))&gt;0),"INVALID – evidence missing, placeholder or not yet on file",IF(OR(LEN(AX395)&lt;2,ISNUMBER(MATCH(AX395,L_Placeholder,0))),"INVALID – verifier missing",IF(AX395=AU395,"INVALID – verifier must be someone other than the PIC",IF(AND(TRIM(U395)="Pass",SUMPRODUCT(--ISNUMBER(SEARCH(L_ResultBad,AV395)))&gt;0),"INVALID – result describes a problem: use Fail, then Pass after CA",IF(AND(AQ395=1,OR(LEN(AY395)&lt;3,ISNUMBER(MATCH(AY395,L_Placeholder,0)))),"INVALID – batch ID missing or placeholder",IF(AND(AR395=1,OR(NOT(ISNUMBER(X395)),NOT(ISNUMBER(Y395)))),"INVALID – expected/actual qty missing",IF(AND(AR395=1,OR(X395&lt;=0,Y395&lt;0)),"INVALID – expected qty must be above 0 and actual not negative",IF(BB395&lt;&gt;"",BB395,IF(AND(AS395=1,Documents!$J$16&lt;&gt;"ON FILE"),"INVALID – GLD not on file (Documents sheet)",IF(AND(AS395=2,Documents!$O$16&lt;&gt;"ON FILE"),"INVALID – menu checklist not on file (Documents sheet)",IF(AND(AS395=3,NOT(ISNUMBER(Flights!$AX$16))),"INVALID – enter carrying flight KUL departure (Flights AX)",IF(AND(AS395=3,OR(Flights!$AZ$16&gt;Flights!$AA$16,Flights!$AX$16&lt;Flights!$AA$16-3)),"INVALID – carrying flight (Flights AX) cannot arrive before this leg's STD, or is over 3 days early",IF(AG395&gt;AsOfUTC,"INVALID – completion time is in the future",IF(AND(ISNUMBER(S395),AG395&lt;S395),IF(H395="Physical uplift","INVALID – before uplift window (cannot confirm loading)","INVALID – before valid window"),IF(AG395&gt;Flights!$AA$16,"INVALID – completed after departure (cannot establish readiness)",IF(AND(H395="Preparation",AG395&gt;IF(ISNUMBER(Flights!$BA$16),MIN(Flights!$BA$16,Flights!$AA$16),Flights!$AA$16)),"INVALID – completed after loading / departure (cannot establish readiness)",IF(AND(H395="Physical uplift",AG395&gt;Q395),"INVALID – recorded after the loading flight departed",IF(AG395&gt;Q395,"COMPLETE – LATE","COMPLETE"))))))))))))))))))))),IF(TRIM(U395)="Fail","FAIL – DISCREPANCY",IF(AND(TRIM(U395)&lt;&gt;"",TRIM(U395)&lt;&gt;"Not started",TRIM(U395)&lt;&gt;"In progress"),"INVALID – unrecognised status (use the list)",IF(AsOfUTC&gt;Q395,"OVERDUE",IF(N395="Clarification required","OPEN – CLARIFICATION","OPEN"))))))),"INVALID – error value in an input cell")</f>
        <v>OPEN</v>
      </c>
      <c r="AI395" s="61" t="n">
        <f aca="false">IF(OR(AH395="N/A – RULE",AH395="N/A – JUSTIFIED"),0,1)</f>
        <v>1</v>
      </c>
      <c r="AJ395" s="61" t="n">
        <f aca="false">IF(LEFT(AH395,8)="COMPLETE",1,0)</f>
        <v>0</v>
      </c>
      <c r="AK395" s="61" t="n">
        <f aca="false">IF(AND(AI395=1,AJ395=0,AsOfUTC&gt;Q395),1,0)</f>
        <v>0</v>
      </c>
      <c r="AL395" s="61" t="n">
        <f aca="false">IFERROR(IF(AND(AI395=1,OR(TRIM(U395)="Fail",AND(TRIM(AB395)&lt;&gt;"",TRIM(AB395)&lt;&gt;"Closed"),AND(ISNUMBER(AF395),AF395&lt;&gt;0,TRIM(U395)&lt;&gt;"Pass after CA"))),1,0),1)</f>
        <v>0</v>
      </c>
      <c r="AM395" s="61" t="n">
        <f aca="false">IF(LEFT(AH395,7)="INVALID",1,0)</f>
        <v>0</v>
      </c>
      <c r="AN395" s="61" t="n">
        <f aca="false">IF(AND(N395="Clarification required",AI395=1,AJ395=0),1,0)</f>
        <v>0</v>
      </c>
      <c r="AO395" s="61" t="str">
        <f aca="false">IF(AK395=1,SUM(AK$5:AK395),"")</f>
        <v/>
      </c>
      <c r="AP395" s="61" t="str">
        <f aca="false">IF(AL395=1,SUM(AL$5:AL395),"")</f>
        <v/>
      </c>
      <c r="AQ395" s="61" t="n">
        <v>0</v>
      </c>
      <c r="AR395" s="61" t="n">
        <v>1</v>
      </c>
      <c r="AS395" s="61" t="n">
        <v>0</v>
      </c>
      <c r="AT395" s="61" t="n">
        <v>0</v>
      </c>
      <c r="AU395" s="61" t="str">
        <f aca="false">SUBSTITUTE(SUBSTITUTE(SUBSTITUTE(SUBSTITUTE(SUBSTITUTE(SUBSTITUTE(SUBSTITUTE(SUBSTITUTE(SUBSTITUTE(SUBSTITUTE(SUBSTITUTE(SUBSTITUTE(SUBSTITUTE(LOWER(T395&amp;""),CHAR(160),"")," ",""),".",""),"-",""),"/",""),"?",""),"_",""),",",""),"[",""),"]",""),"(",""),")",""),"*","")</f>
        <v/>
      </c>
      <c r="AV395" s="61" t="str">
        <f aca="false">SUBSTITUTE(SUBSTITUTE(SUBSTITUTE(SUBSTITUTE(SUBSTITUTE(SUBSTITUTE(SUBSTITUTE(SUBSTITUTE(SUBSTITUTE(SUBSTITUTE(SUBSTITUTE(SUBSTITUTE(SUBSTITUTE(LOWER(V395&amp;""),CHAR(160),"")," ",""),".",""),"-",""),"/",""),"?",""),"_",""),",",""),"[",""),"]",""),"(",""),")",""),"*","")</f>
        <v/>
      </c>
      <c r="AW395" s="61" t="str">
        <f aca="false">SUBSTITUTE(SUBSTITUTE(SUBSTITUTE(SUBSTITUTE(SUBSTITUTE(SUBSTITUTE(SUBSTITUTE(SUBSTITUTE(SUBSTITUTE(SUBSTITUTE(SUBSTITUTE(SUBSTITUTE(SUBSTITUTE(LOWER(Z395&amp;""),CHAR(160),"")," ",""),".",""),"-",""),"/",""),"?",""),"_",""),",",""),"[",""),"]",""),"(",""),")",""),"*","")</f>
        <v/>
      </c>
      <c r="AX395" s="61" t="str">
        <f aca="false">SUBSTITUTE(SUBSTITUTE(SUBSTITUTE(SUBSTITUTE(SUBSTITUTE(SUBSTITUTE(SUBSTITUTE(SUBSTITUTE(SUBSTITUTE(SUBSTITUTE(SUBSTITUTE(SUBSTITUTE(SUBSTITUTE(LOWER(AE395&amp;""),CHAR(160),"")," ",""),".",""),"-",""),"/",""),"?",""),"_",""),",",""),"[",""),"]",""),"(",""),")",""),"*","")</f>
        <v/>
      </c>
      <c r="AY395" s="61" t="str">
        <f aca="false">SUBSTITUTE(SUBSTITUTE(SUBSTITUTE(SUBSTITUTE(SUBSTITUTE(SUBSTITUTE(SUBSTITUTE(SUBSTITUTE(SUBSTITUTE(SUBSTITUTE(SUBSTITUTE(SUBSTITUTE(SUBSTITUTE(LOWER(W395&amp;""),CHAR(160),"")," ",""),".",""),"-",""),"/",""),"?",""),"_",""),",",""),"[",""),"]",""),"(",""),")",""),"*","")</f>
        <v/>
      </c>
      <c r="AZ395" s="61" t="str">
        <f aca="false">SUBSTITUTE(SUBSTITUTE(SUBSTITUTE(SUBSTITUTE(SUBSTITUTE(SUBSTITUTE(SUBSTITUTE(SUBSTITUTE(SUBSTITUTE(SUBSTITUTE(SUBSTITUTE(SUBSTITUTE(SUBSTITUTE(LOWER(AC395&amp;""),CHAR(160),"")," ",""),".",""),"-",""),"/",""),"?",""),"_",""),",",""),"[",""),"]",""),"(",""),")",""),"*","")</f>
        <v/>
      </c>
      <c r="BA395" s="61" t="str">
        <f aca="false">SUBSTITUTE(SUBSTITUTE(SUBSTITUTE(SUBSTITUTE(SUBSTITUTE(SUBSTITUTE(SUBSTITUTE(SUBSTITUTE(SUBSTITUTE(SUBSTITUTE(SUBSTITUTE(SUBSTITUTE(SUBSTITUTE(LOWER(AA395&amp;""),CHAR(160),"")," ",""),".",""),"-",""),"/",""),"?",""),"_",""),",",""),"[",""),"]",""),"(",""),")",""),"*","")</f>
        <v/>
      </c>
      <c r="BB395" s="61" t="str">
        <f aca="false">IF(AND(TRIM(U395)="Pass",ISNUMBER(AF395)),IF(AF395&lt;&gt;0,"INVALID – qty variance: use Fail or Pass after CA",""),"")&amp;IF(AND(TRIM(U395)="Pass after CA",ISNUMBER(AF395)),IF(AF395&lt;&gt;0,"INVALID – after the corrective action the actual qty must equal expected (update Actual)",""),"")&amp;IF(AND(TRIM(U395)="Pass",TRIM(AB395)&lt;&gt;"",TRIM(AB395)&lt;&gt;"Closed"),"INVALID – corrective action not closed: use Fail, then Pass after CA","")&amp;IF(AND(TRIM(AA395)&lt;&gt;"",TRIM(AB395)=""),"INVALID – CA status missing for the recorded corrective action","")&amp;IF(AND(TRIM(U395)="Pass after CA",OR(OR(LEN(BA395)&lt;5,ISNUMBER(MATCH(BA395,L_Placeholder,0))),TRIM(AB395)&lt;&gt;"Closed")),"INVALID – corrective action not recorded/closed","")</f>
        <v/>
      </c>
    </row>
    <row r="396" customFormat="false" ht="39.75" hidden="false" customHeight="true" outlineLevel="0" collapsed="false">
      <c r="A396" s="57" t="s">
        <v>990</v>
      </c>
      <c r="B396" s="57" t="s">
        <v>258</v>
      </c>
      <c r="C396" s="57" t="str">
        <f aca="false">Flights!$F$16</f>
        <v>MH0139</v>
      </c>
      <c r="D396" s="58" t="n">
        <f aca="false">Flights!$D$16</f>
        <v>46307</v>
      </c>
      <c r="E396" s="57" t="str">
        <f aca="false">Flights!$G$16&amp;"-"&amp;Flights!$H$16</f>
        <v>KUL-ADL</v>
      </c>
      <c r="F396" s="57" t="str">
        <f aca="false">Flights!$K$16</f>
        <v>BC</v>
      </c>
      <c r="G396" s="57" t="s">
        <v>398</v>
      </c>
      <c r="H396" s="57" t="s">
        <v>356</v>
      </c>
      <c r="I396" s="57" t="s">
        <v>406</v>
      </c>
      <c r="J396" s="57" t="s">
        <v>416</v>
      </c>
      <c r="K396" s="67"/>
      <c r="L396" s="67" t="s">
        <v>400</v>
      </c>
      <c r="M396" s="67"/>
      <c r="N396" s="67" t="s">
        <v>361</v>
      </c>
      <c r="O396" s="67" t="s">
        <v>401</v>
      </c>
      <c r="P396" s="57" t="s">
        <v>184</v>
      </c>
      <c r="Q396" s="59" t="n">
        <f aca="false">ROUND((Flights!$AE$16)*1440,0)/1440</f>
        <v>46307.1006944444</v>
      </c>
      <c r="R396" s="59" t="n">
        <f aca="false">Q396+(IF(AND(INDEX(TZ_DSTS,MATCH(P396,TZ_STN,0))&lt;&gt;"",Q396&gt;=INDEX(TZ_DSTS,MATCH(P396,TZ_STN,0)),Q396&lt;INDEX(TZ_DSTE,MATCH(P396,TZ_STN,0))),INDEX(TZ_DST,MATCH(P396,TZ_STN,0)),INDEX(TZ_STD,MATCH(P396,TZ_STN,0))))/24</f>
        <v>46307.4340277778</v>
      </c>
      <c r="S396" s="59" t="n">
        <f aca="false">Q396-T12EarlyH/24</f>
        <v>46306.6006944444</v>
      </c>
      <c r="T396" s="60"/>
      <c r="U396" s="60"/>
      <c r="V396" s="60"/>
      <c r="W396" s="61"/>
      <c r="X396" s="60"/>
      <c r="Y396" s="60"/>
      <c r="Z396" s="60"/>
      <c r="AA396" s="60"/>
      <c r="AB396" s="60"/>
      <c r="AC396" s="60"/>
      <c r="AD396" s="66"/>
      <c r="AE396" s="60"/>
      <c r="AF396" s="61" t="str">
        <f aca="false">IF(AND(ISNUMBER(X396),ISNUMBER(Y396)),Y396-X396,"")</f>
        <v/>
      </c>
      <c r="AG396" s="62" t="str">
        <f aca="false">IF(ISNUMBER(AD396),AD396-(IF(AND(INDEX(TZ_DSTS,MATCH(P396,TZ_STN,0))&lt;&gt;"",(AD396-INDEX(TZ_STD,MATCH(P396,TZ_STN,0))/24)&gt;=INDEX(TZ_DSTS,MATCH(P396,TZ_STN,0)),(AD396-INDEX(TZ_STD,MATCH(P396,TZ_STN,0))/24)&lt;INDEX(TZ_DSTE,MATCH(P396,TZ_STN,0))),INDEX(TZ_DST,MATCH(P396,TZ_STN,0)),INDEX(TZ_STD,MATCH(P396,TZ_STN,0))))/24,"")</f>
        <v/>
      </c>
      <c r="AH396" s="65" t="str">
        <f aca="false">IFERROR(IF(N396="N/A – rule","N/A – RULE",IF(TRIM(U396)="N/A",IF(AT396=0,"INVALID – N/A not permitted for this check",IF(AND(TRIM(AB396)&lt;&gt;"",TRIM(AB396)&lt;&gt;"Closed"),"INVALID – corrective action still open",IF(AND(NOT(OR(LEN(AZ396)&lt;15,ISNUMBER(MATCH(AZ396,L_Placeholder,0)))),NOT(OR(LEN(AU396)&lt;2,ISNUMBER(MATCH(AU396,L_Placeholder,0)))),NOT(OR(LEN(AX396)&lt;2,ISNUMBER(MATCH(AX396,L_Placeholder,0)))),TRIM(AE396)&lt;&gt;TRIM(T396)),"N/A – JUSTIFIED","INVALID – N/A needs a real justification (15+ chars), PIC and a different verifier"))),IF(OR(TRIM(U396)="Pass",TRIM(U396)="Pass after CA"),IF(NOT(ISNUMBER(AD396)),"INVALID – completion time missing",IF(OR(LEN(AU396)&lt;2,ISNUMBER(MATCH(AU396,L_Placeholder,0))),"INVALID – PIC missing",IF(OR(LEN(AV396)&lt;2,ISNUMBER(MATCH(AV396,L_Placeholder,0))),"INVALID – result / assessment missing",IF(OR(OR(LEN(AW396)&lt;3,ISNUMBER(MATCH(AW396,L_Placeholder,0))),SUMPRODUCT(--ISNUMBER(SEARCH(L_EvidencePhrase,AW396)))&gt;0),"INVALID – evidence missing, placeholder or not yet on file",IF(OR(LEN(AX396)&lt;2,ISNUMBER(MATCH(AX396,L_Placeholder,0))),"INVALID – verifier missing",IF(AX396=AU396,"INVALID – verifier must be someone other than the PIC",IF(AND(TRIM(U396)="Pass",SUMPRODUCT(--ISNUMBER(SEARCH(L_ResultBad,AV396)))&gt;0),"INVALID – result describes a problem: use Fail, then Pass after CA",IF(AND(AQ396=1,OR(LEN(AY396)&lt;3,ISNUMBER(MATCH(AY396,L_Placeholder,0)))),"INVALID – batch ID missing or placeholder",IF(AND(AR396=1,OR(NOT(ISNUMBER(X396)),NOT(ISNUMBER(Y396)))),"INVALID – expected/actual qty missing",IF(AND(AR396=1,OR(X396&lt;=0,Y396&lt;0)),"INVALID – expected qty must be above 0 and actual not negative",IF(BB396&lt;&gt;"",BB396,IF(AND(AS396=1,Documents!$J$16&lt;&gt;"ON FILE"),"INVALID – GLD not on file (Documents sheet)",IF(AND(AS396=2,Documents!$O$16&lt;&gt;"ON FILE"),"INVALID – menu checklist not on file (Documents sheet)",IF(AND(AS396=3,NOT(ISNUMBER(Flights!$AX$16))),"INVALID – enter carrying flight KUL departure (Flights AX)",IF(AND(AS396=3,OR(Flights!$AZ$16&gt;Flights!$AA$16,Flights!$AX$16&lt;Flights!$AA$16-3)),"INVALID – carrying flight (Flights AX) cannot arrive before this leg's STD, or is over 3 days early",IF(AG396&gt;AsOfUTC,"INVALID – completion time is in the future",IF(AND(ISNUMBER(S396),AG396&lt;S396),IF(H396="Physical uplift","INVALID – before uplift window (cannot confirm loading)","INVALID – before valid window"),IF(AG396&gt;Flights!$AA$16,"INVALID – completed after departure (cannot establish readiness)",IF(AND(H396="Preparation",AG396&gt;IF(ISNUMBER(Flights!$BA$16),MIN(Flights!$BA$16,Flights!$AA$16),Flights!$AA$16)),"INVALID – completed after loading / departure (cannot establish readiness)",IF(AND(H396="Physical uplift",AG396&gt;Q396),"INVALID – recorded after the loading flight departed",IF(AG396&gt;Q396,"COMPLETE – LATE","COMPLETE"))))))))))))))))))))),IF(TRIM(U396)="Fail","FAIL – DISCREPANCY",IF(AND(TRIM(U396)&lt;&gt;"",TRIM(U396)&lt;&gt;"Not started",TRIM(U396)&lt;&gt;"In progress"),"INVALID – unrecognised status (use the list)",IF(AsOfUTC&gt;Q396,"OVERDUE",IF(N396="Clarification required","OPEN – CLARIFICATION","OPEN"))))))),"INVALID – error value in an input cell")</f>
        <v>OPEN</v>
      </c>
      <c r="AI396" s="61" t="n">
        <f aca="false">IF(OR(AH396="N/A – RULE",AH396="N/A – JUSTIFIED"),0,1)</f>
        <v>1</v>
      </c>
      <c r="AJ396" s="61" t="n">
        <f aca="false">IF(LEFT(AH396,8)="COMPLETE",1,0)</f>
        <v>0</v>
      </c>
      <c r="AK396" s="61" t="n">
        <f aca="false">IF(AND(AI396=1,AJ396=0,AsOfUTC&gt;Q396),1,0)</f>
        <v>0</v>
      </c>
      <c r="AL396" s="61" t="n">
        <f aca="false">IFERROR(IF(AND(AI396=1,OR(TRIM(U396)="Fail",AND(TRIM(AB396)&lt;&gt;"",TRIM(AB396)&lt;&gt;"Closed"),AND(ISNUMBER(AF396),AF396&lt;&gt;0,TRIM(U396)&lt;&gt;"Pass after CA"))),1,0),1)</f>
        <v>0</v>
      </c>
      <c r="AM396" s="61" t="n">
        <f aca="false">IF(LEFT(AH396,7)="INVALID",1,0)</f>
        <v>0</v>
      </c>
      <c r="AN396" s="61" t="n">
        <f aca="false">IF(AND(N396="Clarification required",AI396=1,AJ396=0),1,0)</f>
        <v>0</v>
      </c>
      <c r="AO396" s="61" t="str">
        <f aca="false">IF(AK396=1,SUM(AK$5:AK396),"")</f>
        <v/>
      </c>
      <c r="AP396" s="61" t="str">
        <f aca="false">IF(AL396=1,SUM(AL$5:AL396),"")</f>
        <v/>
      </c>
      <c r="AQ396" s="61" t="n">
        <v>0</v>
      </c>
      <c r="AR396" s="61" t="n">
        <v>0</v>
      </c>
      <c r="AS396" s="61" t="n">
        <v>0</v>
      </c>
      <c r="AT396" s="61" t="n">
        <v>0</v>
      </c>
      <c r="AU396" s="61" t="str">
        <f aca="false">SUBSTITUTE(SUBSTITUTE(SUBSTITUTE(SUBSTITUTE(SUBSTITUTE(SUBSTITUTE(SUBSTITUTE(SUBSTITUTE(SUBSTITUTE(SUBSTITUTE(SUBSTITUTE(SUBSTITUTE(SUBSTITUTE(LOWER(T396&amp;""),CHAR(160),"")," ",""),".",""),"-",""),"/",""),"?",""),"_",""),",",""),"[",""),"]",""),"(",""),")",""),"*","")</f>
        <v/>
      </c>
      <c r="AV396" s="61" t="str">
        <f aca="false">SUBSTITUTE(SUBSTITUTE(SUBSTITUTE(SUBSTITUTE(SUBSTITUTE(SUBSTITUTE(SUBSTITUTE(SUBSTITUTE(SUBSTITUTE(SUBSTITUTE(SUBSTITUTE(SUBSTITUTE(SUBSTITUTE(LOWER(V396&amp;""),CHAR(160),"")," ",""),".",""),"-",""),"/",""),"?",""),"_",""),",",""),"[",""),"]",""),"(",""),")",""),"*","")</f>
        <v/>
      </c>
      <c r="AW396" s="61" t="str">
        <f aca="false">SUBSTITUTE(SUBSTITUTE(SUBSTITUTE(SUBSTITUTE(SUBSTITUTE(SUBSTITUTE(SUBSTITUTE(SUBSTITUTE(SUBSTITUTE(SUBSTITUTE(SUBSTITUTE(SUBSTITUTE(SUBSTITUTE(LOWER(Z396&amp;""),CHAR(160),"")," ",""),".",""),"-",""),"/",""),"?",""),"_",""),",",""),"[",""),"]",""),"(",""),")",""),"*","")</f>
        <v/>
      </c>
      <c r="AX396" s="61" t="str">
        <f aca="false">SUBSTITUTE(SUBSTITUTE(SUBSTITUTE(SUBSTITUTE(SUBSTITUTE(SUBSTITUTE(SUBSTITUTE(SUBSTITUTE(SUBSTITUTE(SUBSTITUTE(SUBSTITUTE(SUBSTITUTE(SUBSTITUTE(LOWER(AE396&amp;""),CHAR(160),"")," ",""),".",""),"-",""),"/",""),"?",""),"_",""),",",""),"[",""),"]",""),"(",""),")",""),"*","")</f>
        <v/>
      </c>
      <c r="AY396" s="61" t="str">
        <f aca="false">SUBSTITUTE(SUBSTITUTE(SUBSTITUTE(SUBSTITUTE(SUBSTITUTE(SUBSTITUTE(SUBSTITUTE(SUBSTITUTE(SUBSTITUTE(SUBSTITUTE(SUBSTITUTE(SUBSTITUTE(SUBSTITUTE(LOWER(W396&amp;""),CHAR(160),"")," ",""),".",""),"-",""),"/",""),"?",""),"_",""),",",""),"[",""),"]",""),"(",""),")",""),"*","")</f>
        <v/>
      </c>
      <c r="AZ396" s="61" t="str">
        <f aca="false">SUBSTITUTE(SUBSTITUTE(SUBSTITUTE(SUBSTITUTE(SUBSTITUTE(SUBSTITUTE(SUBSTITUTE(SUBSTITUTE(SUBSTITUTE(SUBSTITUTE(SUBSTITUTE(SUBSTITUTE(SUBSTITUTE(LOWER(AC396&amp;""),CHAR(160),"")," ",""),".",""),"-",""),"/",""),"?",""),"_",""),",",""),"[",""),"]",""),"(",""),")",""),"*","")</f>
        <v/>
      </c>
      <c r="BA396" s="61" t="str">
        <f aca="false">SUBSTITUTE(SUBSTITUTE(SUBSTITUTE(SUBSTITUTE(SUBSTITUTE(SUBSTITUTE(SUBSTITUTE(SUBSTITUTE(SUBSTITUTE(SUBSTITUTE(SUBSTITUTE(SUBSTITUTE(SUBSTITUTE(LOWER(AA396&amp;""),CHAR(160),"")," ",""),".",""),"-",""),"/",""),"?",""),"_",""),",",""),"[",""),"]",""),"(",""),")",""),"*","")</f>
        <v/>
      </c>
      <c r="BB396" s="61" t="str">
        <f aca="false">IF(AND(TRIM(U396)="Pass",ISNUMBER(AF396)),IF(AF396&lt;&gt;0,"INVALID – qty variance: use Fail or Pass after CA",""),"")&amp;IF(AND(TRIM(U396)="Pass after CA",ISNUMBER(AF396)),IF(AF396&lt;&gt;0,"INVALID – after the corrective action the actual qty must equal expected (update Actual)",""),"")&amp;IF(AND(TRIM(U396)="Pass",TRIM(AB396)&lt;&gt;"",TRIM(AB396)&lt;&gt;"Closed"),"INVALID – corrective action not closed: use Fail, then Pass after CA","")&amp;IF(AND(TRIM(AA396)&lt;&gt;"",TRIM(AB396)=""),"INVALID – CA status missing for the recorded corrective action","")&amp;IF(AND(TRIM(U396)="Pass after CA",OR(OR(LEN(BA396)&lt;5,ISNUMBER(MATCH(BA396,L_Placeholder,0))),TRIM(AB396)&lt;&gt;"Closed")),"INVALID – corrective action not recorded/closed","")</f>
        <v/>
      </c>
    </row>
    <row r="397" customFormat="false" ht="39.75" hidden="false" customHeight="true" outlineLevel="0" collapsed="false">
      <c r="A397" s="57" t="s">
        <v>991</v>
      </c>
      <c r="B397" s="57" t="s">
        <v>258</v>
      </c>
      <c r="C397" s="57" t="str">
        <f aca="false">Flights!$F$16</f>
        <v>MH0139</v>
      </c>
      <c r="D397" s="58" t="n">
        <f aca="false">Flights!$D$16</f>
        <v>46307</v>
      </c>
      <c r="E397" s="57" t="str">
        <f aca="false">Flights!$G$16&amp;"-"&amp;Flights!$H$16</f>
        <v>KUL-ADL</v>
      </c>
      <c r="F397" s="57" t="str">
        <f aca="false">Flights!$K$16</f>
        <v>BC</v>
      </c>
      <c r="G397" s="57" t="s">
        <v>398</v>
      </c>
      <c r="H397" s="57" t="s">
        <v>356</v>
      </c>
      <c r="I397" s="57" t="s">
        <v>418</v>
      </c>
      <c r="J397" s="57" t="s">
        <v>419</v>
      </c>
      <c r="K397" s="67" t="s">
        <v>479</v>
      </c>
      <c r="L397" s="67" t="s">
        <v>992</v>
      </c>
      <c r="M397" s="67" t="s">
        <v>184</v>
      </c>
      <c r="N397" s="67" t="s">
        <v>361</v>
      </c>
      <c r="O397" s="67"/>
      <c r="P397" s="57" t="s">
        <v>184</v>
      </c>
      <c r="Q397" s="59" t="n">
        <f aca="false">ROUND((Flights!$AE$16)*1440,0)/1440</f>
        <v>46307.1006944444</v>
      </c>
      <c r="R397" s="59" t="n">
        <f aca="false">Q397+(IF(AND(INDEX(TZ_DSTS,MATCH(P397,TZ_STN,0))&lt;&gt;"",Q397&gt;=INDEX(TZ_DSTS,MATCH(P397,TZ_STN,0)),Q397&lt;INDEX(TZ_DSTE,MATCH(P397,TZ_STN,0))),INDEX(TZ_DST,MATCH(P397,TZ_STN,0)),INDEX(TZ_STD,MATCH(P397,TZ_STN,0))))/24</f>
        <v>46307.4340277778</v>
      </c>
      <c r="S397" s="59" t="n">
        <f aca="false">Q397-T12EarlyH/24</f>
        <v>46306.6006944444</v>
      </c>
      <c r="T397" s="60"/>
      <c r="U397" s="60"/>
      <c r="V397" s="60"/>
      <c r="W397" s="61"/>
      <c r="X397" s="60"/>
      <c r="Y397" s="60"/>
      <c r="Z397" s="60"/>
      <c r="AA397" s="60"/>
      <c r="AB397" s="60"/>
      <c r="AC397" s="60"/>
      <c r="AD397" s="66"/>
      <c r="AE397" s="60"/>
      <c r="AF397" s="61" t="str">
        <f aca="false">IF(AND(ISNUMBER(X397),ISNUMBER(Y397)),Y397-X397,"")</f>
        <v/>
      </c>
      <c r="AG397" s="62" t="str">
        <f aca="false">IF(ISNUMBER(AD397),AD397-(IF(AND(INDEX(TZ_DSTS,MATCH(P397,TZ_STN,0))&lt;&gt;"",(AD397-INDEX(TZ_STD,MATCH(P397,TZ_STN,0))/24)&gt;=INDEX(TZ_DSTS,MATCH(P397,TZ_STN,0)),(AD397-INDEX(TZ_STD,MATCH(P397,TZ_STN,0))/24)&lt;INDEX(TZ_DSTE,MATCH(P397,TZ_STN,0))),INDEX(TZ_DST,MATCH(P397,TZ_STN,0)),INDEX(TZ_STD,MATCH(P397,TZ_STN,0))))/24,"")</f>
        <v/>
      </c>
      <c r="AH397" s="65" t="str">
        <f aca="false">IFERROR(IF(N397="N/A – rule","N/A – RULE",IF(TRIM(U397)="N/A",IF(AT397=0,"INVALID – N/A not permitted for this check",IF(AND(TRIM(AB397)&lt;&gt;"",TRIM(AB397)&lt;&gt;"Closed"),"INVALID – corrective action still open",IF(AND(NOT(OR(LEN(AZ397)&lt;15,ISNUMBER(MATCH(AZ397,L_Placeholder,0)))),NOT(OR(LEN(AU397)&lt;2,ISNUMBER(MATCH(AU397,L_Placeholder,0)))),NOT(OR(LEN(AX397)&lt;2,ISNUMBER(MATCH(AX397,L_Placeholder,0)))),TRIM(AE397)&lt;&gt;TRIM(T397)),"N/A – JUSTIFIED","INVALID – N/A needs a real justification (15+ chars), PIC and a different verifier"))),IF(OR(TRIM(U397)="Pass",TRIM(U397)="Pass after CA"),IF(NOT(ISNUMBER(AD397)),"INVALID – completion time missing",IF(OR(LEN(AU397)&lt;2,ISNUMBER(MATCH(AU397,L_Placeholder,0))),"INVALID – PIC missing",IF(OR(LEN(AV397)&lt;2,ISNUMBER(MATCH(AV397,L_Placeholder,0))),"INVALID – result / assessment missing",IF(OR(OR(LEN(AW397)&lt;3,ISNUMBER(MATCH(AW397,L_Placeholder,0))),SUMPRODUCT(--ISNUMBER(SEARCH(L_EvidencePhrase,AW397)))&gt;0),"INVALID – evidence missing, placeholder or not yet on file",IF(OR(LEN(AX397)&lt;2,ISNUMBER(MATCH(AX397,L_Placeholder,0))),"INVALID – verifier missing",IF(AX397=AU397,"INVALID – verifier must be someone other than the PIC",IF(AND(TRIM(U397)="Pass",SUMPRODUCT(--ISNUMBER(SEARCH(L_ResultBad,AV397)))&gt;0),"INVALID – result describes a problem: use Fail, then Pass after CA",IF(AND(AQ397=1,OR(LEN(AY397)&lt;3,ISNUMBER(MATCH(AY397,L_Placeholder,0)))),"INVALID – batch ID missing or placeholder",IF(AND(AR397=1,OR(NOT(ISNUMBER(X397)),NOT(ISNUMBER(Y397)))),"INVALID – expected/actual qty missing",IF(AND(AR397=1,OR(X397&lt;=0,Y397&lt;0)),"INVALID – expected qty must be above 0 and actual not negative",IF(BB397&lt;&gt;"",BB397,IF(AND(AS397=1,Documents!$J$16&lt;&gt;"ON FILE"),"INVALID – GLD not on file (Documents sheet)",IF(AND(AS397=2,Documents!$O$16&lt;&gt;"ON FILE"),"INVALID – menu checklist not on file (Documents sheet)",IF(AND(AS397=3,NOT(ISNUMBER(Flights!$AX$16))),"INVALID – enter carrying flight KUL departure (Flights AX)",IF(AND(AS397=3,OR(Flights!$AZ$16&gt;Flights!$AA$16,Flights!$AX$16&lt;Flights!$AA$16-3)),"INVALID – carrying flight (Flights AX) cannot arrive before this leg's STD, or is over 3 days early",IF(AG397&gt;AsOfUTC,"INVALID – completion time is in the future",IF(AND(ISNUMBER(S397),AG397&lt;S397),IF(H397="Physical uplift","INVALID – before uplift window (cannot confirm loading)","INVALID – before valid window"),IF(AG397&gt;Flights!$AA$16,"INVALID – completed after departure (cannot establish readiness)",IF(AND(H397="Preparation",AG397&gt;IF(ISNUMBER(Flights!$BA$16),MIN(Flights!$BA$16,Flights!$AA$16),Flights!$AA$16)),"INVALID – completed after loading / departure (cannot establish readiness)",IF(AND(H397="Physical uplift",AG397&gt;Q397),"INVALID – recorded after the loading flight departed",IF(AG397&gt;Q397,"COMPLETE – LATE","COMPLETE"))))))))))))))))))))),IF(TRIM(U397)="Fail","FAIL – DISCREPANCY",IF(AND(TRIM(U397)&lt;&gt;"",TRIM(U397)&lt;&gt;"Not started",TRIM(U397)&lt;&gt;"In progress"),"INVALID – unrecognised status (use the list)",IF(AsOfUTC&gt;Q397,"OVERDUE",IF(N397="Clarification required","OPEN – CLARIFICATION","OPEN"))))))),"INVALID – error value in an input cell")</f>
        <v>OPEN</v>
      </c>
      <c r="AI397" s="61" t="n">
        <f aca="false">IF(OR(AH397="N/A – RULE",AH397="N/A – JUSTIFIED"),0,1)</f>
        <v>1</v>
      </c>
      <c r="AJ397" s="61" t="n">
        <f aca="false">IF(LEFT(AH397,8)="COMPLETE",1,0)</f>
        <v>0</v>
      </c>
      <c r="AK397" s="61" t="n">
        <f aca="false">IF(AND(AI397=1,AJ397=0,AsOfUTC&gt;Q397),1,0)</f>
        <v>0</v>
      </c>
      <c r="AL397" s="61" t="n">
        <f aca="false">IFERROR(IF(AND(AI397=1,OR(TRIM(U397)="Fail",AND(TRIM(AB397)&lt;&gt;"",TRIM(AB397)&lt;&gt;"Closed"),AND(ISNUMBER(AF397),AF397&lt;&gt;0,TRIM(U397)&lt;&gt;"Pass after CA"))),1,0),1)</f>
        <v>0</v>
      </c>
      <c r="AM397" s="61" t="n">
        <f aca="false">IF(LEFT(AH397,7)="INVALID",1,0)</f>
        <v>0</v>
      </c>
      <c r="AN397" s="61" t="n">
        <f aca="false">IF(AND(N397="Clarification required",AI397=1,AJ397=0),1,0)</f>
        <v>0</v>
      </c>
      <c r="AO397" s="61" t="str">
        <f aca="false">IF(AK397=1,SUM(AK$5:AK397),"")</f>
        <v/>
      </c>
      <c r="AP397" s="61" t="str">
        <f aca="false">IF(AL397=1,SUM(AL$5:AL397),"")</f>
        <v/>
      </c>
      <c r="AQ397" s="61" t="n">
        <v>0</v>
      </c>
      <c r="AR397" s="61" t="n">
        <v>0</v>
      </c>
      <c r="AS397" s="61" t="n">
        <v>0</v>
      </c>
      <c r="AT397" s="61" t="n">
        <v>0</v>
      </c>
      <c r="AU397" s="61" t="str">
        <f aca="false">SUBSTITUTE(SUBSTITUTE(SUBSTITUTE(SUBSTITUTE(SUBSTITUTE(SUBSTITUTE(SUBSTITUTE(SUBSTITUTE(SUBSTITUTE(SUBSTITUTE(SUBSTITUTE(SUBSTITUTE(SUBSTITUTE(LOWER(T397&amp;""),CHAR(160),"")," ",""),".",""),"-",""),"/",""),"?",""),"_",""),",",""),"[",""),"]",""),"(",""),")",""),"*","")</f>
        <v/>
      </c>
      <c r="AV397" s="61" t="str">
        <f aca="false">SUBSTITUTE(SUBSTITUTE(SUBSTITUTE(SUBSTITUTE(SUBSTITUTE(SUBSTITUTE(SUBSTITUTE(SUBSTITUTE(SUBSTITUTE(SUBSTITUTE(SUBSTITUTE(SUBSTITUTE(SUBSTITUTE(LOWER(V397&amp;""),CHAR(160),"")," ",""),".",""),"-",""),"/",""),"?",""),"_",""),",",""),"[",""),"]",""),"(",""),")",""),"*","")</f>
        <v/>
      </c>
      <c r="AW397" s="61" t="str">
        <f aca="false">SUBSTITUTE(SUBSTITUTE(SUBSTITUTE(SUBSTITUTE(SUBSTITUTE(SUBSTITUTE(SUBSTITUTE(SUBSTITUTE(SUBSTITUTE(SUBSTITUTE(SUBSTITUTE(SUBSTITUTE(SUBSTITUTE(LOWER(Z397&amp;""),CHAR(160),"")," ",""),".",""),"-",""),"/",""),"?",""),"_",""),",",""),"[",""),"]",""),"(",""),")",""),"*","")</f>
        <v/>
      </c>
      <c r="AX397" s="61" t="str">
        <f aca="false">SUBSTITUTE(SUBSTITUTE(SUBSTITUTE(SUBSTITUTE(SUBSTITUTE(SUBSTITUTE(SUBSTITUTE(SUBSTITUTE(SUBSTITUTE(SUBSTITUTE(SUBSTITUTE(SUBSTITUTE(SUBSTITUTE(LOWER(AE397&amp;""),CHAR(160),"")," ",""),".",""),"-",""),"/",""),"?",""),"_",""),",",""),"[",""),"]",""),"(",""),")",""),"*","")</f>
        <v/>
      </c>
      <c r="AY397" s="61" t="str">
        <f aca="false">SUBSTITUTE(SUBSTITUTE(SUBSTITUTE(SUBSTITUTE(SUBSTITUTE(SUBSTITUTE(SUBSTITUTE(SUBSTITUTE(SUBSTITUTE(SUBSTITUTE(SUBSTITUTE(SUBSTITUTE(SUBSTITUTE(LOWER(W397&amp;""),CHAR(160),"")," ",""),".",""),"-",""),"/",""),"?",""),"_",""),",",""),"[",""),"]",""),"(",""),")",""),"*","")</f>
        <v/>
      </c>
      <c r="AZ397" s="61" t="str">
        <f aca="false">SUBSTITUTE(SUBSTITUTE(SUBSTITUTE(SUBSTITUTE(SUBSTITUTE(SUBSTITUTE(SUBSTITUTE(SUBSTITUTE(SUBSTITUTE(SUBSTITUTE(SUBSTITUTE(SUBSTITUTE(SUBSTITUTE(LOWER(AC397&amp;""),CHAR(160),"")," ",""),".",""),"-",""),"/",""),"?",""),"_",""),",",""),"[",""),"]",""),"(",""),")",""),"*","")</f>
        <v/>
      </c>
      <c r="BA397" s="61" t="str">
        <f aca="false">SUBSTITUTE(SUBSTITUTE(SUBSTITUTE(SUBSTITUTE(SUBSTITUTE(SUBSTITUTE(SUBSTITUTE(SUBSTITUTE(SUBSTITUTE(SUBSTITUTE(SUBSTITUTE(SUBSTITUTE(SUBSTITUTE(LOWER(AA397&amp;""),CHAR(160),"")," ",""),".",""),"-",""),"/",""),"?",""),"_",""),",",""),"[",""),"]",""),"(",""),")",""),"*","")</f>
        <v/>
      </c>
      <c r="BB397" s="61" t="str">
        <f aca="false">IF(AND(TRIM(U397)="Pass",ISNUMBER(AF397)),IF(AF397&lt;&gt;0,"INVALID – qty variance: use Fail or Pass after CA",""),"")&amp;IF(AND(TRIM(U397)="Pass after CA",ISNUMBER(AF397)),IF(AF397&lt;&gt;0,"INVALID – after the corrective action the actual qty must equal expected (update Actual)",""),"")&amp;IF(AND(TRIM(U397)="Pass",TRIM(AB397)&lt;&gt;"",TRIM(AB397)&lt;&gt;"Closed"),"INVALID – corrective action not closed: use Fail, then Pass after CA","")&amp;IF(AND(TRIM(AA397)&lt;&gt;"",TRIM(AB397)=""),"INVALID – CA status missing for the recorded corrective action","")&amp;IF(AND(TRIM(U397)="Pass after CA",OR(OR(LEN(BA397)&lt;5,ISNUMBER(MATCH(BA397,L_Placeholder,0))),TRIM(AB397)&lt;&gt;"Closed")),"INVALID – corrective action not recorded/closed","")</f>
        <v/>
      </c>
    </row>
    <row r="398" customFormat="false" ht="39.75" hidden="false" customHeight="true" outlineLevel="0" collapsed="false">
      <c r="A398" s="57" t="s">
        <v>993</v>
      </c>
      <c r="B398" s="57" t="s">
        <v>258</v>
      </c>
      <c r="C398" s="57" t="str">
        <f aca="false">Flights!$F$16</f>
        <v>MH0139</v>
      </c>
      <c r="D398" s="58" t="n">
        <f aca="false">Flights!$D$16</f>
        <v>46307</v>
      </c>
      <c r="E398" s="57" t="str">
        <f aca="false">Flights!$G$16&amp;"-"&amp;Flights!$H$16</f>
        <v>KUL-ADL</v>
      </c>
      <c r="F398" s="57" t="str">
        <f aca="false">Flights!$K$16</f>
        <v>BC</v>
      </c>
      <c r="G398" s="57" t="s">
        <v>398</v>
      </c>
      <c r="H398" s="57" t="s">
        <v>356</v>
      </c>
      <c r="I398" s="57" t="s">
        <v>418</v>
      </c>
      <c r="J398" s="57" t="s">
        <v>581</v>
      </c>
      <c r="K398" s="67" t="s">
        <v>479</v>
      </c>
      <c r="L398" s="67" t="s">
        <v>994</v>
      </c>
      <c r="M398" s="67" t="s">
        <v>184</v>
      </c>
      <c r="N398" s="67" t="s">
        <v>361</v>
      </c>
      <c r="O398" s="67"/>
      <c r="P398" s="57" t="s">
        <v>184</v>
      </c>
      <c r="Q398" s="59" t="n">
        <f aca="false">ROUND((Flights!$AE$16)*1440,0)/1440</f>
        <v>46307.1006944444</v>
      </c>
      <c r="R398" s="59" t="n">
        <f aca="false">Q398+(IF(AND(INDEX(TZ_DSTS,MATCH(P398,TZ_STN,0))&lt;&gt;"",Q398&gt;=INDEX(TZ_DSTS,MATCH(P398,TZ_STN,0)),Q398&lt;INDEX(TZ_DSTE,MATCH(P398,TZ_STN,0))),INDEX(TZ_DST,MATCH(P398,TZ_STN,0)),INDEX(TZ_STD,MATCH(P398,TZ_STN,0))))/24</f>
        <v>46307.4340277778</v>
      </c>
      <c r="S398" s="59" t="n">
        <f aca="false">Q398-T12EarlyH/24</f>
        <v>46306.6006944444</v>
      </c>
      <c r="T398" s="60"/>
      <c r="U398" s="60"/>
      <c r="V398" s="60"/>
      <c r="W398" s="61"/>
      <c r="X398" s="60"/>
      <c r="Y398" s="60"/>
      <c r="Z398" s="60"/>
      <c r="AA398" s="60"/>
      <c r="AB398" s="60"/>
      <c r="AC398" s="60"/>
      <c r="AD398" s="66"/>
      <c r="AE398" s="60"/>
      <c r="AF398" s="61" t="str">
        <f aca="false">IF(AND(ISNUMBER(X398),ISNUMBER(Y398)),Y398-X398,"")</f>
        <v/>
      </c>
      <c r="AG398" s="62" t="str">
        <f aca="false">IF(ISNUMBER(AD398),AD398-(IF(AND(INDEX(TZ_DSTS,MATCH(P398,TZ_STN,0))&lt;&gt;"",(AD398-INDEX(TZ_STD,MATCH(P398,TZ_STN,0))/24)&gt;=INDEX(TZ_DSTS,MATCH(P398,TZ_STN,0)),(AD398-INDEX(TZ_STD,MATCH(P398,TZ_STN,0))/24)&lt;INDEX(TZ_DSTE,MATCH(P398,TZ_STN,0))),INDEX(TZ_DST,MATCH(P398,TZ_STN,0)),INDEX(TZ_STD,MATCH(P398,TZ_STN,0))))/24,"")</f>
        <v/>
      </c>
      <c r="AH398" s="65" t="str">
        <f aca="false">IFERROR(IF(N398="N/A – rule","N/A – RULE",IF(TRIM(U398)="N/A",IF(AT398=0,"INVALID – N/A not permitted for this check",IF(AND(TRIM(AB398)&lt;&gt;"",TRIM(AB398)&lt;&gt;"Closed"),"INVALID – corrective action still open",IF(AND(NOT(OR(LEN(AZ398)&lt;15,ISNUMBER(MATCH(AZ398,L_Placeholder,0)))),NOT(OR(LEN(AU398)&lt;2,ISNUMBER(MATCH(AU398,L_Placeholder,0)))),NOT(OR(LEN(AX398)&lt;2,ISNUMBER(MATCH(AX398,L_Placeholder,0)))),TRIM(AE398)&lt;&gt;TRIM(T398)),"N/A – JUSTIFIED","INVALID – N/A needs a real justification (15+ chars), PIC and a different verifier"))),IF(OR(TRIM(U398)="Pass",TRIM(U398)="Pass after CA"),IF(NOT(ISNUMBER(AD398)),"INVALID – completion time missing",IF(OR(LEN(AU398)&lt;2,ISNUMBER(MATCH(AU398,L_Placeholder,0))),"INVALID – PIC missing",IF(OR(LEN(AV398)&lt;2,ISNUMBER(MATCH(AV398,L_Placeholder,0))),"INVALID – result / assessment missing",IF(OR(OR(LEN(AW398)&lt;3,ISNUMBER(MATCH(AW398,L_Placeholder,0))),SUMPRODUCT(--ISNUMBER(SEARCH(L_EvidencePhrase,AW398)))&gt;0),"INVALID – evidence missing, placeholder or not yet on file",IF(OR(LEN(AX398)&lt;2,ISNUMBER(MATCH(AX398,L_Placeholder,0))),"INVALID – verifier missing",IF(AX398=AU398,"INVALID – verifier must be someone other than the PIC",IF(AND(TRIM(U398)="Pass",SUMPRODUCT(--ISNUMBER(SEARCH(L_ResultBad,AV398)))&gt;0),"INVALID – result describes a problem: use Fail, then Pass after CA",IF(AND(AQ398=1,OR(LEN(AY398)&lt;3,ISNUMBER(MATCH(AY398,L_Placeholder,0)))),"INVALID – batch ID missing or placeholder",IF(AND(AR398=1,OR(NOT(ISNUMBER(X398)),NOT(ISNUMBER(Y398)))),"INVALID – expected/actual qty missing",IF(AND(AR398=1,OR(X398&lt;=0,Y398&lt;0)),"INVALID – expected qty must be above 0 and actual not negative",IF(BB398&lt;&gt;"",BB398,IF(AND(AS398=1,Documents!$J$16&lt;&gt;"ON FILE"),"INVALID – GLD not on file (Documents sheet)",IF(AND(AS398=2,Documents!$O$16&lt;&gt;"ON FILE"),"INVALID – menu checklist not on file (Documents sheet)",IF(AND(AS398=3,NOT(ISNUMBER(Flights!$AX$16))),"INVALID – enter carrying flight KUL departure (Flights AX)",IF(AND(AS398=3,OR(Flights!$AZ$16&gt;Flights!$AA$16,Flights!$AX$16&lt;Flights!$AA$16-3)),"INVALID – carrying flight (Flights AX) cannot arrive before this leg's STD, or is over 3 days early",IF(AG398&gt;AsOfUTC,"INVALID – completion time is in the future",IF(AND(ISNUMBER(S398),AG398&lt;S398),IF(H398="Physical uplift","INVALID – before uplift window (cannot confirm loading)","INVALID – before valid window"),IF(AG398&gt;Flights!$AA$16,"INVALID – completed after departure (cannot establish readiness)",IF(AND(H398="Preparation",AG398&gt;IF(ISNUMBER(Flights!$BA$16),MIN(Flights!$BA$16,Flights!$AA$16),Flights!$AA$16)),"INVALID – completed after loading / departure (cannot establish readiness)",IF(AND(H398="Physical uplift",AG398&gt;Q398),"INVALID – recorded after the loading flight departed",IF(AG398&gt;Q398,"COMPLETE – LATE","COMPLETE"))))))))))))))))))))),IF(TRIM(U398)="Fail","FAIL – DISCREPANCY",IF(AND(TRIM(U398)&lt;&gt;"",TRIM(U398)&lt;&gt;"Not started",TRIM(U398)&lt;&gt;"In progress"),"INVALID – unrecognised status (use the list)",IF(AsOfUTC&gt;Q398,"OVERDUE",IF(N398="Clarification required","OPEN – CLARIFICATION","OPEN"))))))),"INVALID – error value in an input cell")</f>
        <v>OPEN</v>
      </c>
      <c r="AI398" s="61" t="n">
        <f aca="false">IF(OR(AH398="N/A – RULE",AH398="N/A – JUSTIFIED"),0,1)</f>
        <v>1</v>
      </c>
      <c r="AJ398" s="61" t="n">
        <f aca="false">IF(LEFT(AH398,8)="COMPLETE",1,0)</f>
        <v>0</v>
      </c>
      <c r="AK398" s="61" t="n">
        <f aca="false">IF(AND(AI398=1,AJ398=0,AsOfUTC&gt;Q398),1,0)</f>
        <v>0</v>
      </c>
      <c r="AL398" s="61" t="n">
        <f aca="false">IFERROR(IF(AND(AI398=1,OR(TRIM(U398)="Fail",AND(TRIM(AB398)&lt;&gt;"",TRIM(AB398)&lt;&gt;"Closed"),AND(ISNUMBER(AF398),AF398&lt;&gt;0,TRIM(U398)&lt;&gt;"Pass after CA"))),1,0),1)</f>
        <v>0</v>
      </c>
      <c r="AM398" s="61" t="n">
        <f aca="false">IF(LEFT(AH398,7)="INVALID",1,0)</f>
        <v>0</v>
      </c>
      <c r="AN398" s="61" t="n">
        <f aca="false">IF(AND(N398="Clarification required",AI398=1,AJ398=0),1,0)</f>
        <v>0</v>
      </c>
      <c r="AO398" s="61" t="str">
        <f aca="false">IF(AK398=1,SUM(AK$5:AK398),"")</f>
        <v/>
      </c>
      <c r="AP398" s="61" t="str">
        <f aca="false">IF(AL398=1,SUM(AL$5:AL398),"")</f>
        <v/>
      </c>
      <c r="AQ398" s="61" t="n">
        <v>0</v>
      </c>
      <c r="AR398" s="61" t="n">
        <v>0</v>
      </c>
      <c r="AS398" s="61" t="n">
        <v>0</v>
      </c>
      <c r="AT398" s="61" t="n">
        <v>0</v>
      </c>
      <c r="AU398" s="61" t="str">
        <f aca="false">SUBSTITUTE(SUBSTITUTE(SUBSTITUTE(SUBSTITUTE(SUBSTITUTE(SUBSTITUTE(SUBSTITUTE(SUBSTITUTE(SUBSTITUTE(SUBSTITUTE(SUBSTITUTE(SUBSTITUTE(SUBSTITUTE(LOWER(T398&amp;""),CHAR(160),"")," ",""),".",""),"-",""),"/",""),"?",""),"_",""),",",""),"[",""),"]",""),"(",""),")",""),"*","")</f>
        <v/>
      </c>
      <c r="AV398" s="61" t="str">
        <f aca="false">SUBSTITUTE(SUBSTITUTE(SUBSTITUTE(SUBSTITUTE(SUBSTITUTE(SUBSTITUTE(SUBSTITUTE(SUBSTITUTE(SUBSTITUTE(SUBSTITUTE(SUBSTITUTE(SUBSTITUTE(SUBSTITUTE(LOWER(V398&amp;""),CHAR(160),"")," ",""),".",""),"-",""),"/",""),"?",""),"_",""),",",""),"[",""),"]",""),"(",""),")",""),"*","")</f>
        <v/>
      </c>
      <c r="AW398" s="61" t="str">
        <f aca="false">SUBSTITUTE(SUBSTITUTE(SUBSTITUTE(SUBSTITUTE(SUBSTITUTE(SUBSTITUTE(SUBSTITUTE(SUBSTITUTE(SUBSTITUTE(SUBSTITUTE(SUBSTITUTE(SUBSTITUTE(SUBSTITUTE(LOWER(Z398&amp;""),CHAR(160),"")," ",""),".",""),"-",""),"/",""),"?",""),"_",""),",",""),"[",""),"]",""),"(",""),")",""),"*","")</f>
        <v/>
      </c>
      <c r="AX398" s="61" t="str">
        <f aca="false">SUBSTITUTE(SUBSTITUTE(SUBSTITUTE(SUBSTITUTE(SUBSTITUTE(SUBSTITUTE(SUBSTITUTE(SUBSTITUTE(SUBSTITUTE(SUBSTITUTE(SUBSTITUTE(SUBSTITUTE(SUBSTITUTE(LOWER(AE398&amp;""),CHAR(160),"")," ",""),".",""),"-",""),"/",""),"?",""),"_",""),",",""),"[",""),"]",""),"(",""),")",""),"*","")</f>
        <v/>
      </c>
      <c r="AY398" s="61" t="str">
        <f aca="false">SUBSTITUTE(SUBSTITUTE(SUBSTITUTE(SUBSTITUTE(SUBSTITUTE(SUBSTITUTE(SUBSTITUTE(SUBSTITUTE(SUBSTITUTE(SUBSTITUTE(SUBSTITUTE(SUBSTITUTE(SUBSTITUTE(LOWER(W398&amp;""),CHAR(160),"")," ",""),".",""),"-",""),"/",""),"?",""),"_",""),",",""),"[",""),"]",""),"(",""),")",""),"*","")</f>
        <v/>
      </c>
      <c r="AZ398" s="61" t="str">
        <f aca="false">SUBSTITUTE(SUBSTITUTE(SUBSTITUTE(SUBSTITUTE(SUBSTITUTE(SUBSTITUTE(SUBSTITUTE(SUBSTITUTE(SUBSTITUTE(SUBSTITUTE(SUBSTITUTE(SUBSTITUTE(SUBSTITUTE(LOWER(AC398&amp;""),CHAR(160),"")," ",""),".",""),"-",""),"/",""),"?",""),"_",""),",",""),"[",""),"]",""),"(",""),")",""),"*","")</f>
        <v/>
      </c>
      <c r="BA398" s="61" t="str">
        <f aca="false">SUBSTITUTE(SUBSTITUTE(SUBSTITUTE(SUBSTITUTE(SUBSTITUTE(SUBSTITUTE(SUBSTITUTE(SUBSTITUTE(SUBSTITUTE(SUBSTITUTE(SUBSTITUTE(SUBSTITUTE(SUBSTITUTE(LOWER(AA398&amp;""),CHAR(160),"")," ",""),".",""),"-",""),"/",""),"?",""),"_",""),",",""),"[",""),"]",""),"(",""),")",""),"*","")</f>
        <v/>
      </c>
      <c r="BB398" s="61" t="str">
        <f aca="false">IF(AND(TRIM(U398)="Pass",ISNUMBER(AF398)),IF(AF398&lt;&gt;0,"INVALID – qty variance: use Fail or Pass after CA",""),"")&amp;IF(AND(TRIM(U398)="Pass after CA",ISNUMBER(AF398)),IF(AF398&lt;&gt;0,"INVALID – after the corrective action the actual qty must equal expected (update Actual)",""),"")&amp;IF(AND(TRIM(U398)="Pass",TRIM(AB398)&lt;&gt;"",TRIM(AB398)&lt;&gt;"Closed"),"INVALID – corrective action not closed: use Fail, then Pass after CA","")&amp;IF(AND(TRIM(AA398)&lt;&gt;"",TRIM(AB398)=""),"INVALID – CA status missing for the recorded corrective action","")&amp;IF(AND(TRIM(U398)="Pass after CA",OR(OR(LEN(BA398)&lt;5,ISNUMBER(MATCH(BA398,L_Placeholder,0))),TRIM(AB398)&lt;&gt;"Closed")),"INVALID – corrective action not recorded/closed","")</f>
        <v/>
      </c>
    </row>
    <row r="399" customFormat="false" ht="41.25" hidden="false" customHeight="true" outlineLevel="0" collapsed="false">
      <c r="A399" s="57" t="s">
        <v>995</v>
      </c>
      <c r="B399" s="57" t="s">
        <v>258</v>
      </c>
      <c r="C399" s="57" t="str">
        <f aca="false">Flights!$F$16</f>
        <v>MH0139</v>
      </c>
      <c r="D399" s="58" t="n">
        <f aca="false">Flights!$D$16</f>
        <v>46307</v>
      </c>
      <c r="E399" s="57" t="str">
        <f aca="false">Flights!$G$16&amp;"-"&amp;Flights!$H$16</f>
        <v>KUL-ADL</v>
      </c>
      <c r="F399" s="57" t="str">
        <f aca="false">Flights!$K$16</f>
        <v>BC</v>
      </c>
      <c r="G399" s="57" t="s">
        <v>398</v>
      </c>
      <c r="H399" s="57" t="s">
        <v>356</v>
      </c>
      <c r="I399" s="57" t="s">
        <v>477</v>
      </c>
      <c r="J399" s="57" t="s">
        <v>478</v>
      </c>
      <c r="K399" s="67" t="s">
        <v>479</v>
      </c>
      <c r="L399" s="67" t="s">
        <v>996</v>
      </c>
      <c r="M399" s="67" t="s">
        <v>429</v>
      </c>
      <c r="N399" s="67" t="s">
        <v>361</v>
      </c>
      <c r="O399" s="67" t="s">
        <v>481</v>
      </c>
      <c r="P399" s="57" t="s">
        <v>184</v>
      </c>
      <c r="Q399" s="59" t="n">
        <f aca="false">ROUND((Flights!$AE$16)*1440,0)/1440</f>
        <v>46307.1006944444</v>
      </c>
      <c r="R399" s="59" t="n">
        <f aca="false">Q399+(IF(AND(INDEX(TZ_DSTS,MATCH(P399,TZ_STN,0))&lt;&gt;"",Q399&gt;=INDEX(TZ_DSTS,MATCH(P399,TZ_STN,0)),Q399&lt;INDEX(TZ_DSTE,MATCH(P399,TZ_STN,0))),INDEX(TZ_DST,MATCH(P399,TZ_STN,0)),INDEX(TZ_STD,MATCH(P399,TZ_STN,0))))/24</f>
        <v>46307.4340277778</v>
      </c>
      <c r="S399" s="59" t="n">
        <f aca="false">Q399-T12EarlyH/24</f>
        <v>46306.6006944444</v>
      </c>
      <c r="T399" s="60"/>
      <c r="U399" s="60"/>
      <c r="V399" s="60"/>
      <c r="W399" s="61"/>
      <c r="X399" s="60"/>
      <c r="Y399" s="60"/>
      <c r="Z399" s="60"/>
      <c r="AA399" s="60"/>
      <c r="AB399" s="60"/>
      <c r="AC399" s="60"/>
      <c r="AD399" s="66"/>
      <c r="AE399" s="60"/>
      <c r="AF399" s="61" t="str">
        <f aca="false">IF(AND(ISNUMBER(X399),ISNUMBER(Y399)),Y399-X399,"")</f>
        <v/>
      </c>
      <c r="AG399" s="62" t="str">
        <f aca="false">IF(ISNUMBER(AD399),AD399-(IF(AND(INDEX(TZ_DSTS,MATCH(P399,TZ_STN,0))&lt;&gt;"",(AD399-INDEX(TZ_STD,MATCH(P399,TZ_STN,0))/24)&gt;=INDEX(TZ_DSTS,MATCH(P399,TZ_STN,0)),(AD399-INDEX(TZ_STD,MATCH(P399,TZ_STN,0))/24)&lt;INDEX(TZ_DSTE,MATCH(P399,TZ_STN,0))),INDEX(TZ_DST,MATCH(P399,TZ_STN,0)),INDEX(TZ_STD,MATCH(P399,TZ_STN,0))))/24,"")</f>
        <v/>
      </c>
      <c r="AH399" s="65" t="str">
        <f aca="false">IFERROR(IF(N399="N/A – rule","N/A – RULE",IF(TRIM(U399)="N/A",IF(AT399=0,"INVALID – N/A not permitted for this check",IF(AND(TRIM(AB399)&lt;&gt;"",TRIM(AB399)&lt;&gt;"Closed"),"INVALID – corrective action still open",IF(AND(NOT(OR(LEN(AZ399)&lt;15,ISNUMBER(MATCH(AZ399,L_Placeholder,0)))),NOT(OR(LEN(AU399)&lt;2,ISNUMBER(MATCH(AU399,L_Placeholder,0)))),NOT(OR(LEN(AX399)&lt;2,ISNUMBER(MATCH(AX399,L_Placeholder,0)))),TRIM(AE399)&lt;&gt;TRIM(T399)),"N/A – JUSTIFIED","INVALID – N/A needs a real justification (15+ chars), PIC and a different verifier"))),IF(OR(TRIM(U399)="Pass",TRIM(U399)="Pass after CA"),IF(NOT(ISNUMBER(AD399)),"INVALID – completion time missing",IF(OR(LEN(AU399)&lt;2,ISNUMBER(MATCH(AU399,L_Placeholder,0))),"INVALID – PIC missing",IF(OR(LEN(AV399)&lt;2,ISNUMBER(MATCH(AV399,L_Placeholder,0))),"INVALID – result / assessment missing",IF(OR(OR(LEN(AW399)&lt;3,ISNUMBER(MATCH(AW399,L_Placeholder,0))),SUMPRODUCT(--ISNUMBER(SEARCH(L_EvidencePhrase,AW399)))&gt;0),"INVALID – evidence missing, placeholder or not yet on file",IF(OR(LEN(AX399)&lt;2,ISNUMBER(MATCH(AX399,L_Placeholder,0))),"INVALID – verifier missing",IF(AX399=AU399,"INVALID – verifier must be someone other than the PIC",IF(AND(TRIM(U399)="Pass",SUMPRODUCT(--ISNUMBER(SEARCH(L_ResultBad,AV399)))&gt;0),"INVALID – result describes a problem: use Fail, then Pass after CA",IF(AND(AQ399=1,OR(LEN(AY399)&lt;3,ISNUMBER(MATCH(AY399,L_Placeholder,0)))),"INVALID – batch ID missing or placeholder",IF(AND(AR399=1,OR(NOT(ISNUMBER(X399)),NOT(ISNUMBER(Y399)))),"INVALID – expected/actual qty missing",IF(AND(AR399=1,OR(X399&lt;=0,Y399&lt;0)),"INVALID – expected qty must be above 0 and actual not negative",IF(BB399&lt;&gt;"",BB399,IF(AND(AS399=1,Documents!$J$16&lt;&gt;"ON FILE"),"INVALID – GLD not on file (Documents sheet)",IF(AND(AS399=2,Documents!$O$16&lt;&gt;"ON FILE"),"INVALID – menu checklist not on file (Documents sheet)",IF(AND(AS399=3,NOT(ISNUMBER(Flights!$AX$16))),"INVALID – enter carrying flight KUL departure (Flights AX)",IF(AND(AS399=3,OR(Flights!$AZ$16&gt;Flights!$AA$16,Flights!$AX$16&lt;Flights!$AA$16-3)),"INVALID – carrying flight (Flights AX) cannot arrive before this leg's STD, or is over 3 days early",IF(AG399&gt;AsOfUTC,"INVALID – completion time is in the future",IF(AND(ISNUMBER(S399),AG399&lt;S399),IF(H399="Physical uplift","INVALID – before uplift window (cannot confirm loading)","INVALID – before valid window"),IF(AG399&gt;Flights!$AA$16,"INVALID – completed after departure (cannot establish readiness)",IF(AND(H399="Preparation",AG399&gt;IF(ISNUMBER(Flights!$BA$16),MIN(Flights!$BA$16,Flights!$AA$16),Flights!$AA$16)),"INVALID – completed after loading / departure (cannot establish readiness)",IF(AND(H399="Physical uplift",AG399&gt;Q399),"INVALID – recorded after the loading flight departed",IF(AG399&gt;Q399,"COMPLETE – LATE","COMPLETE"))))))))))))))))))))),IF(TRIM(U399)="Fail","FAIL – DISCREPANCY",IF(AND(TRIM(U399)&lt;&gt;"",TRIM(U399)&lt;&gt;"Not started",TRIM(U399)&lt;&gt;"In progress"),"INVALID – unrecognised status (use the list)",IF(AsOfUTC&gt;Q399,"OVERDUE",IF(N399="Clarification required","OPEN – CLARIFICATION","OPEN"))))))),"INVALID – error value in an input cell")</f>
        <v>OPEN</v>
      </c>
      <c r="AI399" s="61" t="n">
        <f aca="false">IF(OR(AH399="N/A – RULE",AH399="N/A – JUSTIFIED"),0,1)</f>
        <v>1</v>
      </c>
      <c r="AJ399" s="61" t="n">
        <f aca="false">IF(LEFT(AH399,8)="COMPLETE",1,0)</f>
        <v>0</v>
      </c>
      <c r="AK399" s="61" t="n">
        <f aca="false">IF(AND(AI399=1,AJ399=0,AsOfUTC&gt;Q399),1,0)</f>
        <v>0</v>
      </c>
      <c r="AL399" s="61" t="n">
        <f aca="false">IFERROR(IF(AND(AI399=1,OR(TRIM(U399)="Fail",AND(TRIM(AB399)&lt;&gt;"",TRIM(AB399)&lt;&gt;"Closed"),AND(ISNUMBER(AF399),AF399&lt;&gt;0,TRIM(U399)&lt;&gt;"Pass after CA"))),1,0),1)</f>
        <v>0</v>
      </c>
      <c r="AM399" s="61" t="n">
        <f aca="false">IF(LEFT(AH399,7)="INVALID",1,0)</f>
        <v>0</v>
      </c>
      <c r="AN399" s="61" t="n">
        <f aca="false">IF(AND(N399="Clarification required",AI399=1,AJ399=0),1,0)</f>
        <v>0</v>
      </c>
      <c r="AO399" s="61" t="str">
        <f aca="false">IF(AK399=1,SUM(AK$5:AK399),"")</f>
        <v/>
      </c>
      <c r="AP399" s="61" t="str">
        <f aca="false">IF(AL399=1,SUM(AL$5:AL399),"")</f>
        <v/>
      </c>
      <c r="AQ399" s="61" t="n">
        <v>0</v>
      </c>
      <c r="AR399" s="61" t="n">
        <v>0</v>
      </c>
      <c r="AS399" s="61" t="n">
        <v>0</v>
      </c>
      <c r="AT399" s="61" t="n">
        <v>0</v>
      </c>
      <c r="AU399" s="61" t="str">
        <f aca="false">SUBSTITUTE(SUBSTITUTE(SUBSTITUTE(SUBSTITUTE(SUBSTITUTE(SUBSTITUTE(SUBSTITUTE(SUBSTITUTE(SUBSTITUTE(SUBSTITUTE(SUBSTITUTE(SUBSTITUTE(SUBSTITUTE(LOWER(T399&amp;""),CHAR(160),"")," ",""),".",""),"-",""),"/",""),"?",""),"_",""),",",""),"[",""),"]",""),"(",""),")",""),"*","")</f>
        <v/>
      </c>
      <c r="AV399" s="61" t="str">
        <f aca="false">SUBSTITUTE(SUBSTITUTE(SUBSTITUTE(SUBSTITUTE(SUBSTITUTE(SUBSTITUTE(SUBSTITUTE(SUBSTITUTE(SUBSTITUTE(SUBSTITUTE(SUBSTITUTE(SUBSTITUTE(SUBSTITUTE(LOWER(V399&amp;""),CHAR(160),"")," ",""),".",""),"-",""),"/",""),"?",""),"_",""),",",""),"[",""),"]",""),"(",""),")",""),"*","")</f>
        <v/>
      </c>
      <c r="AW399" s="61" t="str">
        <f aca="false">SUBSTITUTE(SUBSTITUTE(SUBSTITUTE(SUBSTITUTE(SUBSTITUTE(SUBSTITUTE(SUBSTITUTE(SUBSTITUTE(SUBSTITUTE(SUBSTITUTE(SUBSTITUTE(SUBSTITUTE(SUBSTITUTE(LOWER(Z399&amp;""),CHAR(160),"")," ",""),".",""),"-",""),"/",""),"?",""),"_",""),",",""),"[",""),"]",""),"(",""),")",""),"*","")</f>
        <v/>
      </c>
      <c r="AX399" s="61" t="str">
        <f aca="false">SUBSTITUTE(SUBSTITUTE(SUBSTITUTE(SUBSTITUTE(SUBSTITUTE(SUBSTITUTE(SUBSTITUTE(SUBSTITUTE(SUBSTITUTE(SUBSTITUTE(SUBSTITUTE(SUBSTITUTE(SUBSTITUTE(LOWER(AE399&amp;""),CHAR(160),"")," ",""),".",""),"-",""),"/",""),"?",""),"_",""),",",""),"[",""),"]",""),"(",""),")",""),"*","")</f>
        <v/>
      </c>
      <c r="AY399" s="61" t="str">
        <f aca="false">SUBSTITUTE(SUBSTITUTE(SUBSTITUTE(SUBSTITUTE(SUBSTITUTE(SUBSTITUTE(SUBSTITUTE(SUBSTITUTE(SUBSTITUTE(SUBSTITUTE(SUBSTITUTE(SUBSTITUTE(SUBSTITUTE(LOWER(W399&amp;""),CHAR(160),"")," ",""),".",""),"-",""),"/",""),"?",""),"_",""),",",""),"[",""),"]",""),"(",""),")",""),"*","")</f>
        <v/>
      </c>
      <c r="AZ399" s="61" t="str">
        <f aca="false">SUBSTITUTE(SUBSTITUTE(SUBSTITUTE(SUBSTITUTE(SUBSTITUTE(SUBSTITUTE(SUBSTITUTE(SUBSTITUTE(SUBSTITUTE(SUBSTITUTE(SUBSTITUTE(SUBSTITUTE(SUBSTITUTE(LOWER(AC399&amp;""),CHAR(160),"")," ",""),".",""),"-",""),"/",""),"?",""),"_",""),",",""),"[",""),"]",""),"(",""),")",""),"*","")</f>
        <v/>
      </c>
      <c r="BA399" s="61" t="str">
        <f aca="false">SUBSTITUTE(SUBSTITUTE(SUBSTITUTE(SUBSTITUTE(SUBSTITUTE(SUBSTITUTE(SUBSTITUTE(SUBSTITUTE(SUBSTITUTE(SUBSTITUTE(SUBSTITUTE(SUBSTITUTE(SUBSTITUTE(LOWER(AA399&amp;""),CHAR(160),"")," ",""),".",""),"-",""),"/",""),"?",""),"_",""),",",""),"[",""),"]",""),"(",""),")",""),"*","")</f>
        <v/>
      </c>
      <c r="BB399" s="61" t="str">
        <f aca="false">IF(AND(TRIM(U399)="Pass",ISNUMBER(AF399)),IF(AF399&lt;&gt;0,"INVALID – qty variance: use Fail or Pass after CA",""),"")&amp;IF(AND(TRIM(U399)="Pass after CA",ISNUMBER(AF399)),IF(AF399&lt;&gt;0,"INVALID – after the corrective action the actual qty must equal expected (update Actual)",""),"")&amp;IF(AND(TRIM(U399)="Pass",TRIM(AB399)&lt;&gt;"",TRIM(AB399)&lt;&gt;"Closed"),"INVALID – corrective action not closed: use Fail, then Pass after CA","")&amp;IF(AND(TRIM(AA399)&lt;&gt;"",TRIM(AB399)=""),"INVALID – CA status missing for the recorded corrective action","")&amp;IF(AND(TRIM(U399)="Pass after CA",OR(OR(LEN(BA399)&lt;5,ISNUMBER(MATCH(BA399,L_Placeholder,0))),TRIM(AB399)&lt;&gt;"Closed")),"INVALID – corrective action not recorded/closed","")</f>
        <v/>
      </c>
    </row>
    <row r="400" customFormat="false" ht="41.25" hidden="false" customHeight="true" outlineLevel="0" collapsed="false">
      <c r="A400" s="57" t="s">
        <v>997</v>
      </c>
      <c r="B400" s="57" t="s">
        <v>258</v>
      </c>
      <c r="C400" s="57" t="str">
        <f aca="false">Flights!$F$16</f>
        <v>MH0139</v>
      </c>
      <c r="D400" s="58" t="n">
        <f aca="false">Flights!$D$16</f>
        <v>46307</v>
      </c>
      <c r="E400" s="57" t="str">
        <f aca="false">Flights!$G$16&amp;"-"&amp;Flights!$H$16</f>
        <v>KUL-ADL</v>
      </c>
      <c r="F400" s="57" t="str">
        <f aca="false">Flights!$K$16</f>
        <v>BC</v>
      </c>
      <c r="G400" s="57" t="s">
        <v>398</v>
      </c>
      <c r="H400" s="57" t="s">
        <v>356</v>
      </c>
      <c r="I400" s="57" t="s">
        <v>477</v>
      </c>
      <c r="J400" s="57" t="s">
        <v>483</v>
      </c>
      <c r="K400" s="67" t="s">
        <v>479</v>
      </c>
      <c r="L400" s="67" t="s">
        <v>998</v>
      </c>
      <c r="M400" s="67" t="s">
        <v>429</v>
      </c>
      <c r="N400" s="67" t="s">
        <v>361</v>
      </c>
      <c r="O400" s="67" t="s">
        <v>481</v>
      </c>
      <c r="P400" s="57" t="s">
        <v>184</v>
      </c>
      <c r="Q400" s="59" t="n">
        <f aca="false">ROUND((Flights!$AE$16)*1440,0)/1440</f>
        <v>46307.1006944444</v>
      </c>
      <c r="R400" s="59" t="n">
        <f aca="false">Q400+(IF(AND(INDEX(TZ_DSTS,MATCH(P400,TZ_STN,0))&lt;&gt;"",Q400&gt;=INDEX(TZ_DSTS,MATCH(P400,TZ_STN,0)),Q400&lt;INDEX(TZ_DSTE,MATCH(P400,TZ_STN,0))),INDEX(TZ_DST,MATCH(P400,TZ_STN,0)),INDEX(TZ_STD,MATCH(P400,TZ_STN,0))))/24</f>
        <v>46307.4340277778</v>
      </c>
      <c r="S400" s="59" t="n">
        <f aca="false">Q400-T12EarlyH/24</f>
        <v>46306.6006944444</v>
      </c>
      <c r="T400" s="60"/>
      <c r="U400" s="60"/>
      <c r="V400" s="60"/>
      <c r="W400" s="61"/>
      <c r="X400" s="60"/>
      <c r="Y400" s="60"/>
      <c r="Z400" s="60"/>
      <c r="AA400" s="60"/>
      <c r="AB400" s="60"/>
      <c r="AC400" s="60"/>
      <c r="AD400" s="66"/>
      <c r="AE400" s="60"/>
      <c r="AF400" s="61" t="str">
        <f aca="false">IF(AND(ISNUMBER(X400),ISNUMBER(Y400)),Y400-X400,"")</f>
        <v/>
      </c>
      <c r="AG400" s="62" t="str">
        <f aca="false">IF(ISNUMBER(AD400),AD400-(IF(AND(INDEX(TZ_DSTS,MATCH(P400,TZ_STN,0))&lt;&gt;"",(AD400-INDEX(TZ_STD,MATCH(P400,TZ_STN,0))/24)&gt;=INDEX(TZ_DSTS,MATCH(P400,TZ_STN,0)),(AD400-INDEX(TZ_STD,MATCH(P400,TZ_STN,0))/24)&lt;INDEX(TZ_DSTE,MATCH(P400,TZ_STN,0))),INDEX(TZ_DST,MATCH(P400,TZ_STN,0)),INDEX(TZ_STD,MATCH(P400,TZ_STN,0))))/24,"")</f>
        <v/>
      </c>
      <c r="AH400" s="65" t="str">
        <f aca="false">IFERROR(IF(N400="N/A – rule","N/A – RULE",IF(TRIM(U400)="N/A",IF(AT400=0,"INVALID – N/A not permitted for this check",IF(AND(TRIM(AB400)&lt;&gt;"",TRIM(AB400)&lt;&gt;"Closed"),"INVALID – corrective action still open",IF(AND(NOT(OR(LEN(AZ400)&lt;15,ISNUMBER(MATCH(AZ400,L_Placeholder,0)))),NOT(OR(LEN(AU400)&lt;2,ISNUMBER(MATCH(AU400,L_Placeholder,0)))),NOT(OR(LEN(AX400)&lt;2,ISNUMBER(MATCH(AX400,L_Placeholder,0)))),TRIM(AE400)&lt;&gt;TRIM(T400)),"N/A – JUSTIFIED","INVALID – N/A needs a real justification (15+ chars), PIC and a different verifier"))),IF(OR(TRIM(U400)="Pass",TRIM(U400)="Pass after CA"),IF(NOT(ISNUMBER(AD400)),"INVALID – completion time missing",IF(OR(LEN(AU400)&lt;2,ISNUMBER(MATCH(AU400,L_Placeholder,0))),"INVALID – PIC missing",IF(OR(LEN(AV400)&lt;2,ISNUMBER(MATCH(AV400,L_Placeholder,0))),"INVALID – result / assessment missing",IF(OR(OR(LEN(AW400)&lt;3,ISNUMBER(MATCH(AW400,L_Placeholder,0))),SUMPRODUCT(--ISNUMBER(SEARCH(L_EvidencePhrase,AW400)))&gt;0),"INVALID – evidence missing, placeholder or not yet on file",IF(OR(LEN(AX400)&lt;2,ISNUMBER(MATCH(AX400,L_Placeholder,0))),"INVALID – verifier missing",IF(AX400=AU400,"INVALID – verifier must be someone other than the PIC",IF(AND(TRIM(U400)="Pass",SUMPRODUCT(--ISNUMBER(SEARCH(L_ResultBad,AV400)))&gt;0),"INVALID – result describes a problem: use Fail, then Pass after CA",IF(AND(AQ400=1,OR(LEN(AY400)&lt;3,ISNUMBER(MATCH(AY400,L_Placeholder,0)))),"INVALID – batch ID missing or placeholder",IF(AND(AR400=1,OR(NOT(ISNUMBER(X400)),NOT(ISNUMBER(Y400)))),"INVALID – expected/actual qty missing",IF(AND(AR400=1,OR(X400&lt;=0,Y400&lt;0)),"INVALID – expected qty must be above 0 and actual not negative",IF(BB400&lt;&gt;"",BB400,IF(AND(AS400=1,Documents!$J$16&lt;&gt;"ON FILE"),"INVALID – GLD not on file (Documents sheet)",IF(AND(AS400=2,Documents!$O$16&lt;&gt;"ON FILE"),"INVALID – menu checklist not on file (Documents sheet)",IF(AND(AS400=3,NOT(ISNUMBER(Flights!$AX$16))),"INVALID – enter carrying flight KUL departure (Flights AX)",IF(AND(AS400=3,OR(Flights!$AZ$16&gt;Flights!$AA$16,Flights!$AX$16&lt;Flights!$AA$16-3)),"INVALID – carrying flight (Flights AX) cannot arrive before this leg's STD, or is over 3 days early",IF(AG400&gt;AsOfUTC,"INVALID – completion time is in the future",IF(AND(ISNUMBER(S400),AG400&lt;S400),IF(H400="Physical uplift","INVALID – before uplift window (cannot confirm loading)","INVALID – before valid window"),IF(AG400&gt;Flights!$AA$16,"INVALID – completed after departure (cannot establish readiness)",IF(AND(H400="Preparation",AG400&gt;IF(ISNUMBER(Flights!$BA$16),MIN(Flights!$BA$16,Flights!$AA$16),Flights!$AA$16)),"INVALID – completed after loading / departure (cannot establish readiness)",IF(AND(H400="Physical uplift",AG400&gt;Q400),"INVALID – recorded after the loading flight departed",IF(AG400&gt;Q400,"COMPLETE – LATE","COMPLETE"))))))))))))))))))))),IF(TRIM(U400)="Fail","FAIL – DISCREPANCY",IF(AND(TRIM(U400)&lt;&gt;"",TRIM(U400)&lt;&gt;"Not started",TRIM(U400)&lt;&gt;"In progress"),"INVALID – unrecognised status (use the list)",IF(AsOfUTC&gt;Q400,"OVERDUE",IF(N400="Clarification required","OPEN – CLARIFICATION","OPEN"))))))),"INVALID – error value in an input cell")</f>
        <v>OPEN</v>
      </c>
      <c r="AI400" s="61" t="n">
        <f aca="false">IF(OR(AH400="N/A – RULE",AH400="N/A – JUSTIFIED"),0,1)</f>
        <v>1</v>
      </c>
      <c r="AJ400" s="61" t="n">
        <f aca="false">IF(LEFT(AH400,8)="COMPLETE",1,0)</f>
        <v>0</v>
      </c>
      <c r="AK400" s="61" t="n">
        <f aca="false">IF(AND(AI400=1,AJ400=0,AsOfUTC&gt;Q400),1,0)</f>
        <v>0</v>
      </c>
      <c r="AL400" s="61" t="n">
        <f aca="false">IFERROR(IF(AND(AI400=1,OR(TRIM(U400)="Fail",AND(TRIM(AB400)&lt;&gt;"",TRIM(AB400)&lt;&gt;"Closed"),AND(ISNUMBER(AF400),AF400&lt;&gt;0,TRIM(U400)&lt;&gt;"Pass after CA"))),1,0),1)</f>
        <v>0</v>
      </c>
      <c r="AM400" s="61" t="n">
        <f aca="false">IF(LEFT(AH400,7)="INVALID",1,0)</f>
        <v>0</v>
      </c>
      <c r="AN400" s="61" t="n">
        <f aca="false">IF(AND(N400="Clarification required",AI400=1,AJ400=0),1,0)</f>
        <v>0</v>
      </c>
      <c r="AO400" s="61" t="str">
        <f aca="false">IF(AK400=1,SUM(AK$5:AK400),"")</f>
        <v/>
      </c>
      <c r="AP400" s="61" t="str">
        <f aca="false">IF(AL400=1,SUM(AL$5:AL400),"")</f>
        <v/>
      </c>
      <c r="AQ400" s="61" t="n">
        <v>0</v>
      </c>
      <c r="AR400" s="61" t="n">
        <v>0</v>
      </c>
      <c r="AS400" s="61" t="n">
        <v>0</v>
      </c>
      <c r="AT400" s="61" t="n">
        <v>0</v>
      </c>
      <c r="AU400" s="61" t="str">
        <f aca="false">SUBSTITUTE(SUBSTITUTE(SUBSTITUTE(SUBSTITUTE(SUBSTITUTE(SUBSTITUTE(SUBSTITUTE(SUBSTITUTE(SUBSTITUTE(SUBSTITUTE(SUBSTITUTE(SUBSTITUTE(SUBSTITUTE(LOWER(T400&amp;""),CHAR(160),"")," ",""),".",""),"-",""),"/",""),"?",""),"_",""),",",""),"[",""),"]",""),"(",""),")",""),"*","")</f>
        <v/>
      </c>
      <c r="AV400" s="61" t="str">
        <f aca="false">SUBSTITUTE(SUBSTITUTE(SUBSTITUTE(SUBSTITUTE(SUBSTITUTE(SUBSTITUTE(SUBSTITUTE(SUBSTITUTE(SUBSTITUTE(SUBSTITUTE(SUBSTITUTE(SUBSTITUTE(SUBSTITUTE(LOWER(V400&amp;""),CHAR(160),"")," ",""),".",""),"-",""),"/",""),"?",""),"_",""),",",""),"[",""),"]",""),"(",""),")",""),"*","")</f>
        <v/>
      </c>
      <c r="AW400" s="61" t="str">
        <f aca="false">SUBSTITUTE(SUBSTITUTE(SUBSTITUTE(SUBSTITUTE(SUBSTITUTE(SUBSTITUTE(SUBSTITUTE(SUBSTITUTE(SUBSTITUTE(SUBSTITUTE(SUBSTITUTE(SUBSTITUTE(SUBSTITUTE(LOWER(Z400&amp;""),CHAR(160),"")," ",""),".",""),"-",""),"/",""),"?",""),"_",""),",",""),"[",""),"]",""),"(",""),")",""),"*","")</f>
        <v/>
      </c>
      <c r="AX400" s="61" t="str">
        <f aca="false">SUBSTITUTE(SUBSTITUTE(SUBSTITUTE(SUBSTITUTE(SUBSTITUTE(SUBSTITUTE(SUBSTITUTE(SUBSTITUTE(SUBSTITUTE(SUBSTITUTE(SUBSTITUTE(SUBSTITUTE(SUBSTITUTE(LOWER(AE400&amp;""),CHAR(160),"")," ",""),".",""),"-",""),"/",""),"?",""),"_",""),",",""),"[",""),"]",""),"(",""),")",""),"*","")</f>
        <v/>
      </c>
      <c r="AY400" s="61" t="str">
        <f aca="false">SUBSTITUTE(SUBSTITUTE(SUBSTITUTE(SUBSTITUTE(SUBSTITUTE(SUBSTITUTE(SUBSTITUTE(SUBSTITUTE(SUBSTITUTE(SUBSTITUTE(SUBSTITUTE(SUBSTITUTE(SUBSTITUTE(LOWER(W400&amp;""),CHAR(160),"")," ",""),".",""),"-",""),"/",""),"?",""),"_",""),",",""),"[",""),"]",""),"(",""),")",""),"*","")</f>
        <v/>
      </c>
      <c r="AZ400" s="61" t="str">
        <f aca="false">SUBSTITUTE(SUBSTITUTE(SUBSTITUTE(SUBSTITUTE(SUBSTITUTE(SUBSTITUTE(SUBSTITUTE(SUBSTITUTE(SUBSTITUTE(SUBSTITUTE(SUBSTITUTE(SUBSTITUTE(SUBSTITUTE(LOWER(AC400&amp;""),CHAR(160),"")," ",""),".",""),"-",""),"/",""),"?",""),"_",""),",",""),"[",""),"]",""),"(",""),")",""),"*","")</f>
        <v/>
      </c>
      <c r="BA400" s="61" t="str">
        <f aca="false">SUBSTITUTE(SUBSTITUTE(SUBSTITUTE(SUBSTITUTE(SUBSTITUTE(SUBSTITUTE(SUBSTITUTE(SUBSTITUTE(SUBSTITUTE(SUBSTITUTE(SUBSTITUTE(SUBSTITUTE(SUBSTITUTE(LOWER(AA400&amp;""),CHAR(160),"")," ",""),".",""),"-",""),"/",""),"?",""),"_",""),",",""),"[",""),"]",""),"(",""),")",""),"*","")</f>
        <v/>
      </c>
      <c r="BB400" s="61" t="str">
        <f aca="false">IF(AND(TRIM(U400)="Pass",ISNUMBER(AF400)),IF(AF400&lt;&gt;0,"INVALID – qty variance: use Fail or Pass after CA",""),"")&amp;IF(AND(TRIM(U400)="Pass after CA",ISNUMBER(AF400)),IF(AF400&lt;&gt;0,"INVALID – after the corrective action the actual qty must equal expected (update Actual)",""),"")&amp;IF(AND(TRIM(U400)="Pass",TRIM(AB400)&lt;&gt;"",TRIM(AB400)&lt;&gt;"Closed"),"INVALID – corrective action not closed: use Fail, then Pass after CA","")&amp;IF(AND(TRIM(AA400)&lt;&gt;"",TRIM(AB400)=""),"INVALID – CA status missing for the recorded corrective action","")&amp;IF(AND(TRIM(U400)="Pass after CA",OR(OR(LEN(BA400)&lt;5,ISNUMBER(MATCH(BA400,L_Placeholder,0))),TRIM(AB400)&lt;&gt;"Closed")),"INVALID – corrective action not recorded/closed","")</f>
        <v/>
      </c>
    </row>
    <row r="401" customFormat="false" ht="41.25" hidden="false" customHeight="true" outlineLevel="0" collapsed="false">
      <c r="A401" s="57" t="s">
        <v>999</v>
      </c>
      <c r="B401" s="57" t="s">
        <v>258</v>
      </c>
      <c r="C401" s="57" t="str">
        <f aca="false">Flights!$F$16</f>
        <v>MH0139</v>
      </c>
      <c r="D401" s="58" t="n">
        <f aca="false">Flights!$D$16</f>
        <v>46307</v>
      </c>
      <c r="E401" s="57" t="str">
        <f aca="false">Flights!$G$16&amp;"-"&amp;Flights!$H$16</f>
        <v>KUL-ADL</v>
      </c>
      <c r="F401" s="57" t="str">
        <f aca="false">Flights!$K$16</f>
        <v>BC</v>
      </c>
      <c r="G401" s="57" t="s">
        <v>398</v>
      </c>
      <c r="H401" s="57" t="s">
        <v>356</v>
      </c>
      <c r="I401" s="57" t="s">
        <v>477</v>
      </c>
      <c r="J401" s="57" t="s">
        <v>486</v>
      </c>
      <c r="K401" s="67" t="s">
        <v>479</v>
      </c>
      <c r="L401" s="67" t="s">
        <v>1000</v>
      </c>
      <c r="M401" s="67" t="s">
        <v>429</v>
      </c>
      <c r="N401" s="67" t="s">
        <v>361</v>
      </c>
      <c r="O401" s="67" t="s">
        <v>481</v>
      </c>
      <c r="P401" s="57" t="s">
        <v>184</v>
      </c>
      <c r="Q401" s="59" t="n">
        <f aca="false">ROUND((Flights!$AE$16)*1440,0)/1440</f>
        <v>46307.1006944444</v>
      </c>
      <c r="R401" s="59" t="n">
        <f aca="false">Q401+(IF(AND(INDEX(TZ_DSTS,MATCH(P401,TZ_STN,0))&lt;&gt;"",Q401&gt;=INDEX(TZ_DSTS,MATCH(P401,TZ_STN,0)),Q401&lt;INDEX(TZ_DSTE,MATCH(P401,TZ_STN,0))),INDEX(TZ_DST,MATCH(P401,TZ_STN,0)),INDEX(TZ_STD,MATCH(P401,TZ_STN,0))))/24</f>
        <v>46307.4340277778</v>
      </c>
      <c r="S401" s="59" t="n">
        <f aca="false">Q401-T12EarlyH/24</f>
        <v>46306.6006944444</v>
      </c>
      <c r="T401" s="60"/>
      <c r="U401" s="60"/>
      <c r="V401" s="60"/>
      <c r="W401" s="61"/>
      <c r="X401" s="60"/>
      <c r="Y401" s="60"/>
      <c r="Z401" s="60"/>
      <c r="AA401" s="60"/>
      <c r="AB401" s="60"/>
      <c r="AC401" s="60"/>
      <c r="AD401" s="66"/>
      <c r="AE401" s="60"/>
      <c r="AF401" s="61" t="str">
        <f aca="false">IF(AND(ISNUMBER(X401),ISNUMBER(Y401)),Y401-X401,"")</f>
        <v/>
      </c>
      <c r="AG401" s="62" t="str">
        <f aca="false">IF(ISNUMBER(AD401),AD401-(IF(AND(INDEX(TZ_DSTS,MATCH(P401,TZ_STN,0))&lt;&gt;"",(AD401-INDEX(TZ_STD,MATCH(P401,TZ_STN,0))/24)&gt;=INDEX(TZ_DSTS,MATCH(P401,TZ_STN,0)),(AD401-INDEX(TZ_STD,MATCH(P401,TZ_STN,0))/24)&lt;INDEX(TZ_DSTE,MATCH(P401,TZ_STN,0))),INDEX(TZ_DST,MATCH(P401,TZ_STN,0)),INDEX(TZ_STD,MATCH(P401,TZ_STN,0))))/24,"")</f>
        <v/>
      </c>
      <c r="AH401" s="65" t="str">
        <f aca="false">IFERROR(IF(N401="N/A – rule","N/A – RULE",IF(TRIM(U401)="N/A",IF(AT401=0,"INVALID – N/A not permitted for this check",IF(AND(TRIM(AB401)&lt;&gt;"",TRIM(AB401)&lt;&gt;"Closed"),"INVALID – corrective action still open",IF(AND(NOT(OR(LEN(AZ401)&lt;15,ISNUMBER(MATCH(AZ401,L_Placeholder,0)))),NOT(OR(LEN(AU401)&lt;2,ISNUMBER(MATCH(AU401,L_Placeholder,0)))),NOT(OR(LEN(AX401)&lt;2,ISNUMBER(MATCH(AX401,L_Placeholder,0)))),TRIM(AE401)&lt;&gt;TRIM(T401)),"N/A – JUSTIFIED","INVALID – N/A needs a real justification (15+ chars), PIC and a different verifier"))),IF(OR(TRIM(U401)="Pass",TRIM(U401)="Pass after CA"),IF(NOT(ISNUMBER(AD401)),"INVALID – completion time missing",IF(OR(LEN(AU401)&lt;2,ISNUMBER(MATCH(AU401,L_Placeholder,0))),"INVALID – PIC missing",IF(OR(LEN(AV401)&lt;2,ISNUMBER(MATCH(AV401,L_Placeholder,0))),"INVALID – result / assessment missing",IF(OR(OR(LEN(AW401)&lt;3,ISNUMBER(MATCH(AW401,L_Placeholder,0))),SUMPRODUCT(--ISNUMBER(SEARCH(L_EvidencePhrase,AW401)))&gt;0),"INVALID – evidence missing, placeholder or not yet on file",IF(OR(LEN(AX401)&lt;2,ISNUMBER(MATCH(AX401,L_Placeholder,0))),"INVALID – verifier missing",IF(AX401=AU401,"INVALID – verifier must be someone other than the PIC",IF(AND(TRIM(U401)="Pass",SUMPRODUCT(--ISNUMBER(SEARCH(L_ResultBad,AV401)))&gt;0),"INVALID – result describes a problem: use Fail, then Pass after CA",IF(AND(AQ401=1,OR(LEN(AY401)&lt;3,ISNUMBER(MATCH(AY401,L_Placeholder,0)))),"INVALID – batch ID missing or placeholder",IF(AND(AR401=1,OR(NOT(ISNUMBER(X401)),NOT(ISNUMBER(Y401)))),"INVALID – expected/actual qty missing",IF(AND(AR401=1,OR(X401&lt;=0,Y401&lt;0)),"INVALID – expected qty must be above 0 and actual not negative",IF(BB401&lt;&gt;"",BB401,IF(AND(AS401=1,Documents!$J$16&lt;&gt;"ON FILE"),"INVALID – GLD not on file (Documents sheet)",IF(AND(AS401=2,Documents!$O$16&lt;&gt;"ON FILE"),"INVALID – menu checklist not on file (Documents sheet)",IF(AND(AS401=3,NOT(ISNUMBER(Flights!$AX$16))),"INVALID – enter carrying flight KUL departure (Flights AX)",IF(AND(AS401=3,OR(Flights!$AZ$16&gt;Flights!$AA$16,Flights!$AX$16&lt;Flights!$AA$16-3)),"INVALID – carrying flight (Flights AX) cannot arrive before this leg's STD, or is over 3 days early",IF(AG401&gt;AsOfUTC,"INVALID – completion time is in the future",IF(AND(ISNUMBER(S401),AG401&lt;S401),IF(H401="Physical uplift","INVALID – before uplift window (cannot confirm loading)","INVALID – before valid window"),IF(AG401&gt;Flights!$AA$16,"INVALID – completed after departure (cannot establish readiness)",IF(AND(H401="Preparation",AG401&gt;IF(ISNUMBER(Flights!$BA$16),MIN(Flights!$BA$16,Flights!$AA$16),Flights!$AA$16)),"INVALID – completed after loading / departure (cannot establish readiness)",IF(AND(H401="Physical uplift",AG401&gt;Q401),"INVALID – recorded after the loading flight departed",IF(AG401&gt;Q401,"COMPLETE – LATE","COMPLETE"))))))))))))))))))))),IF(TRIM(U401)="Fail","FAIL – DISCREPANCY",IF(AND(TRIM(U401)&lt;&gt;"",TRIM(U401)&lt;&gt;"Not started",TRIM(U401)&lt;&gt;"In progress"),"INVALID – unrecognised status (use the list)",IF(AsOfUTC&gt;Q401,"OVERDUE",IF(N401="Clarification required","OPEN – CLARIFICATION","OPEN"))))))),"INVALID – error value in an input cell")</f>
        <v>OPEN</v>
      </c>
      <c r="AI401" s="61" t="n">
        <f aca="false">IF(OR(AH401="N/A – RULE",AH401="N/A – JUSTIFIED"),0,1)</f>
        <v>1</v>
      </c>
      <c r="AJ401" s="61" t="n">
        <f aca="false">IF(LEFT(AH401,8)="COMPLETE",1,0)</f>
        <v>0</v>
      </c>
      <c r="AK401" s="61" t="n">
        <f aca="false">IF(AND(AI401=1,AJ401=0,AsOfUTC&gt;Q401),1,0)</f>
        <v>0</v>
      </c>
      <c r="AL401" s="61" t="n">
        <f aca="false">IFERROR(IF(AND(AI401=1,OR(TRIM(U401)="Fail",AND(TRIM(AB401)&lt;&gt;"",TRIM(AB401)&lt;&gt;"Closed"),AND(ISNUMBER(AF401),AF401&lt;&gt;0,TRIM(U401)&lt;&gt;"Pass after CA"))),1,0),1)</f>
        <v>0</v>
      </c>
      <c r="AM401" s="61" t="n">
        <f aca="false">IF(LEFT(AH401,7)="INVALID",1,0)</f>
        <v>0</v>
      </c>
      <c r="AN401" s="61" t="n">
        <f aca="false">IF(AND(N401="Clarification required",AI401=1,AJ401=0),1,0)</f>
        <v>0</v>
      </c>
      <c r="AO401" s="61" t="str">
        <f aca="false">IF(AK401=1,SUM(AK$5:AK401),"")</f>
        <v/>
      </c>
      <c r="AP401" s="61" t="str">
        <f aca="false">IF(AL401=1,SUM(AL$5:AL401),"")</f>
        <v/>
      </c>
      <c r="AQ401" s="61" t="n">
        <v>0</v>
      </c>
      <c r="AR401" s="61" t="n">
        <v>0</v>
      </c>
      <c r="AS401" s="61" t="n">
        <v>0</v>
      </c>
      <c r="AT401" s="61" t="n">
        <v>0</v>
      </c>
      <c r="AU401" s="61" t="str">
        <f aca="false">SUBSTITUTE(SUBSTITUTE(SUBSTITUTE(SUBSTITUTE(SUBSTITUTE(SUBSTITUTE(SUBSTITUTE(SUBSTITUTE(SUBSTITUTE(SUBSTITUTE(SUBSTITUTE(SUBSTITUTE(SUBSTITUTE(LOWER(T401&amp;""),CHAR(160),"")," ",""),".",""),"-",""),"/",""),"?",""),"_",""),",",""),"[",""),"]",""),"(",""),")",""),"*","")</f>
        <v/>
      </c>
      <c r="AV401" s="61" t="str">
        <f aca="false">SUBSTITUTE(SUBSTITUTE(SUBSTITUTE(SUBSTITUTE(SUBSTITUTE(SUBSTITUTE(SUBSTITUTE(SUBSTITUTE(SUBSTITUTE(SUBSTITUTE(SUBSTITUTE(SUBSTITUTE(SUBSTITUTE(LOWER(V401&amp;""),CHAR(160),"")," ",""),".",""),"-",""),"/",""),"?",""),"_",""),",",""),"[",""),"]",""),"(",""),")",""),"*","")</f>
        <v/>
      </c>
      <c r="AW401" s="61" t="str">
        <f aca="false">SUBSTITUTE(SUBSTITUTE(SUBSTITUTE(SUBSTITUTE(SUBSTITUTE(SUBSTITUTE(SUBSTITUTE(SUBSTITUTE(SUBSTITUTE(SUBSTITUTE(SUBSTITUTE(SUBSTITUTE(SUBSTITUTE(LOWER(Z401&amp;""),CHAR(160),"")," ",""),".",""),"-",""),"/",""),"?",""),"_",""),",",""),"[",""),"]",""),"(",""),")",""),"*","")</f>
        <v/>
      </c>
      <c r="AX401" s="61" t="str">
        <f aca="false">SUBSTITUTE(SUBSTITUTE(SUBSTITUTE(SUBSTITUTE(SUBSTITUTE(SUBSTITUTE(SUBSTITUTE(SUBSTITUTE(SUBSTITUTE(SUBSTITUTE(SUBSTITUTE(SUBSTITUTE(SUBSTITUTE(LOWER(AE401&amp;""),CHAR(160),"")," ",""),".",""),"-",""),"/",""),"?",""),"_",""),",",""),"[",""),"]",""),"(",""),")",""),"*","")</f>
        <v/>
      </c>
      <c r="AY401" s="61" t="str">
        <f aca="false">SUBSTITUTE(SUBSTITUTE(SUBSTITUTE(SUBSTITUTE(SUBSTITUTE(SUBSTITUTE(SUBSTITUTE(SUBSTITUTE(SUBSTITUTE(SUBSTITUTE(SUBSTITUTE(SUBSTITUTE(SUBSTITUTE(LOWER(W401&amp;""),CHAR(160),"")," ",""),".",""),"-",""),"/",""),"?",""),"_",""),",",""),"[",""),"]",""),"(",""),")",""),"*","")</f>
        <v/>
      </c>
      <c r="AZ401" s="61" t="str">
        <f aca="false">SUBSTITUTE(SUBSTITUTE(SUBSTITUTE(SUBSTITUTE(SUBSTITUTE(SUBSTITUTE(SUBSTITUTE(SUBSTITUTE(SUBSTITUTE(SUBSTITUTE(SUBSTITUTE(SUBSTITUTE(SUBSTITUTE(LOWER(AC401&amp;""),CHAR(160),"")," ",""),".",""),"-",""),"/",""),"?",""),"_",""),",",""),"[",""),"]",""),"(",""),")",""),"*","")</f>
        <v/>
      </c>
      <c r="BA401" s="61" t="str">
        <f aca="false">SUBSTITUTE(SUBSTITUTE(SUBSTITUTE(SUBSTITUTE(SUBSTITUTE(SUBSTITUTE(SUBSTITUTE(SUBSTITUTE(SUBSTITUTE(SUBSTITUTE(SUBSTITUTE(SUBSTITUTE(SUBSTITUTE(LOWER(AA401&amp;""),CHAR(160),"")," ",""),".",""),"-",""),"/",""),"?",""),"_",""),",",""),"[",""),"]",""),"(",""),")",""),"*","")</f>
        <v/>
      </c>
      <c r="BB401" s="61" t="str">
        <f aca="false">IF(AND(TRIM(U401)="Pass",ISNUMBER(AF401)),IF(AF401&lt;&gt;0,"INVALID – qty variance: use Fail or Pass after CA",""),"")&amp;IF(AND(TRIM(U401)="Pass after CA",ISNUMBER(AF401)),IF(AF401&lt;&gt;0,"INVALID – after the corrective action the actual qty must equal expected (update Actual)",""),"")&amp;IF(AND(TRIM(U401)="Pass",TRIM(AB401)&lt;&gt;"",TRIM(AB401)&lt;&gt;"Closed"),"INVALID – corrective action not closed: use Fail, then Pass after CA","")&amp;IF(AND(TRIM(AA401)&lt;&gt;"",TRIM(AB401)=""),"INVALID – CA status missing for the recorded corrective action","")&amp;IF(AND(TRIM(U401)="Pass after CA",OR(OR(LEN(BA401)&lt;5,ISNUMBER(MATCH(BA401,L_Placeholder,0))),TRIM(AB401)&lt;&gt;"Closed")),"INVALID – corrective action not recorded/closed","")</f>
        <v/>
      </c>
    </row>
    <row r="402" customFormat="false" ht="41.25" hidden="false" customHeight="true" outlineLevel="0" collapsed="false">
      <c r="A402" s="57" t="s">
        <v>1001</v>
      </c>
      <c r="B402" s="57" t="s">
        <v>258</v>
      </c>
      <c r="C402" s="57" t="str">
        <f aca="false">Flights!$F$16</f>
        <v>MH0139</v>
      </c>
      <c r="D402" s="58" t="n">
        <f aca="false">Flights!$D$16</f>
        <v>46307</v>
      </c>
      <c r="E402" s="57" t="str">
        <f aca="false">Flights!$G$16&amp;"-"&amp;Flights!$H$16</f>
        <v>KUL-ADL</v>
      </c>
      <c r="F402" s="57" t="str">
        <f aca="false">Flights!$K$16</f>
        <v>BC</v>
      </c>
      <c r="G402" s="57" t="s">
        <v>398</v>
      </c>
      <c r="H402" s="57" t="s">
        <v>356</v>
      </c>
      <c r="I402" s="57" t="s">
        <v>477</v>
      </c>
      <c r="J402" s="57" t="s">
        <v>489</v>
      </c>
      <c r="K402" s="67" t="s">
        <v>479</v>
      </c>
      <c r="L402" s="67" t="s">
        <v>1002</v>
      </c>
      <c r="M402" s="67" t="s">
        <v>429</v>
      </c>
      <c r="N402" s="67" t="s">
        <v>361</v>
      </c>
      <c r="O402" s="67" t="s">
        <v>481</v>
      </c>
      <c r="P402" s="57" t="s">
        <v>184</v>
      </c>
      <c r="Q402" s="59" t="n">
        <f aca="false">ROUND((Flights!$AE$16)*1440,0)/1440</f>
        <v>46307.1006944444</v>
      </c>
      <c r="R402" s="59" t="n">
        <f aca="false">Q402+(IF(AND(INDEX(TZ_DSTS,MATCH(P402,TZ_STN,0))&lt;&gt;"",Q402&gt;=INDEX(TZ_DSTS,MATCH(P402,TZ_STN,0)),Q402&lt;INDEX(TZ_DSTE,MATCH(P402,TZ_STN,0))),INDEX(TZ_DST,MATCH(P402,TZ_STN,0)),INDEX(TZ_STD,MATCH(P402,TZ_STN,0))))/24</f>
        <v>46307.4340277778</v>
      </c>
      <c r="S402" s="59" t="n">
        <f aca="false">Q402-T12EarlyH/24</f>
        <v>46306.6006944444</v>
      </c>
      <c r="T402" s="60"/>
      <c r="U402" s="60"/>
      <c r="V402" s="60"/>
      <c r="W402" s="61"/>
      <c r="X402" s="60"/>
      <c r="Y402" s="60"/>
      <c r="Z402" s="60"/>
      <c r="AA402" s="60"/>
      <c r="AB402" s="60"/>
      <c r="AC402" s="60"/>
      <c r="AD402" s="66"/>
      <c r="AE402" s="60"/>
      <c r="AF402" s="61" t="str">
        <f aca="false">IF(AND(ISNUMBER(X402),ISNUMBER(Y402)),Y402-X402,"")</f>
        <v/>
      </c>
      <c r="AG402" s="62" t="str">
        <f aca="false">IF(ISNUMBER(AD402),AD402-(IF(AND(INDEX(TZ_DSTS,MATCH(P402,TZ_STN,0))&lt;&gt;"",(AD402-INDEX(TZ_STD,MATCH(P402,TZ_STN,0))/24)&gt;=INDEX(TZ_DSTS,MATCH(P402,TZ_STN,0)),(AD402-INDEX(TZ_STD,MATCH(P402,TZ_STN,0))/24)&lt;INDEX(TZ_DSTE,MATCH(P402,TZ_STN,0))),INDEX(TZ_DST,MATCH(P402,TZ_STN,0)),INDEX(TZ_STD,MATCH(P402,TZ_STN,0))))/24,"")</f>
        <v/>
      </c>
      <c r="AH402" s="65" t="str">
        <f aca="false">IFERROR(IF(N402="N/A – rule","N/A – RULE",IF(TRIM(U402)="N/A",IF(AT402=0,"INVALID – N/A not permitted for this check",IF(AND(TRIM(AB402)&lt;&gt;"",TRIM(AB402)&lt;&gt;"Closed"),"INVALID – corrective action still open",IF(AND(NOT(OR(LEN(AZ402)&lt;15,ISNUMBER(MATCH(AZ402,L_Placeholder,0)))),NOT(OR(LEN(AU402)&lt;2,ISNUMBER(MATCH(AU402,L_Placeholder,0)))),NOT(OR(LEN(AX402)&lt;2,ISNUMBER(MATCH(AX402,L_Placeholder,0)))),TRIM(AE402)&lt;&gt;TRIM(T402)),"N/A – JUSTIFIED","INVALID – N/A needs a real justification (15+ chars), PIC and a different verifier"))),IF(OR(TRIM(U402)="Pass",TRIM(U402)="Pass after CA"),IF(NOT(ISNUMBER(AD402)),"INVALID – completion time missing",IF(OR(LEN(AU402)&lt;2,ISNUMBER(MATCH(AU402,L_Placeholder,0))),"INVALID – PIC missing",IF(OR(LEN(AV402)&lt;2,ISNUMBER(MATCH(AV402,L_Placeholder,0))),"INVALID – result / assessment missing",IF(OR(OR(LEN(AW402)&lt;3,ISNUMBER(MATCH(AW402,L_Placeholder,0))),SUMPRODUCT(--ISNUMBER(SEARCH(L_EvidencePhrase,AW402)))&gt;0),"INVALID – evidence missing, placeholder or not yet on file",IF(OR(LEN(AX402)&lt;2,ISNUMBER(MATCH(AX402,L_Placeholder,0))),"INVALID – verifier missing",IF(AX402=AU402,"INVALID – verifier must be someone other than the PIC",IF(AND(TRIM(U402)="Pass",SUMPRODUCT(--ISNUMBER(SEARCH(L_ResultBad,AV402)))&gt;0),"INVALID – result describes a problem: use Fail, then Pass after CA",IF(AND(AQ402=1,OR(LEN(AY402)&lt;3,ISNUMBER(MATCH(AY402,L_Placeholder,0)))),"INVALID – batch ID missing or placeholder",IF(AND(AR402=1,OR(NOT(ISNUMBER(X402)),NOT(ISNUMBER(Y402)))),"INVALID – expected/actual qty missing",IF(AND(AR402=1,OR(X402&lt;=0,Y402&lt;0)),"INVALID – expected qty must be above 0 and actual not negative",IF(BB402&lt;&gt;"",BB402,IF(AND(AS402=1,Documents!$J$16&lt;&gt;"ON FILE"),"INVALID – GLD not on file (Documents sheet)",IF(AND(AS402=2,Documents!$O$16&lt;&gt;"ON FILE"),"INVALID – menu checklist not on file (Documents sheet)",IF(AND(AS402=3,NOT(ISNUMBER(Flights!$AX$16))),"INVALID – enter carrying flight KUL departure (Flights AX)",IF(AND(AS402=3,OR(Flights!$AZ$16&gt;Flights!$AA$16,Flights!$AX$16&lt;Flights!$AA$16-3)),"INVALID – carrying flight (Flights AX) cannot arrive before this leg's STD, or is over 3 days early",IF(AG402&gt;AsOfUTC,"INVALID – completion time is in the future",IF(AND(ISNUMBER(S402),AG402&lt;S402),IF(H402="Physical uplift","INVALID – before uplift window (cannot confirm loading)","INVALID – before valid window"),IF(AG402&gt;Flights!$AA$16,"INVALID – completed after departure (cannot establish readiness)",IF(AND(H402="Preparation",AG402&gt;IF(ISNUMBER(Flights!$BA$16),MIN(Flights!$BA$16,Flights!$AA$16),Flights!$AA$16)),"INVALID – completed after loading / departure (cannot establish readiness)",IF(AND(H402="Physical uplift",AG402&gt;Q402),"INVALID – recorded after the loading flight departed",IF(AG402&gt;Q402,"COMPLETE – LATE","COMPLETE"))))))))))))))))))))),IF(TRIM(U402)="Fail","FAIL – DISCREPANCY",IF(AND(TRIM(U402)&lt;&gt;"",TRIM(U402)&lt;&gt;"Not started",TRIM(U402)&lt;&gt;"In progress"),"INVALID – unrecognised status (use the list)",IF(AsOfUTC&gt;Q402,"OVERDUE",IF(N402="Clarification required","OPEN – CLARIFICATION","OPEN"))))))),"INVALID – error value in an input cell")</f>
        <v>OPEN</v>
      </c>
      <c r="AI402" s="61" t="n">
        <f aca="false">IF(OR(AH402="N/A – RULE",AH402="N/A – JUSTIFIED"),0,1)</f>
        <v>1</v>
      </c>
      <c r="AJ402" s="61" t="n">
        <f aca="false">IF(LEFT(AH402,8)="COMPLETE",1,0)</f>
        <v>0</v>
      </c>
      <c r="AK402" s="61" t="n">
        <f aca="false">IF(AND(AI402=1,AJ402=0,AsOfUTC&gt;Q402),1,0)</f>
        <v>0</v>
      </c>
      <c r="AL402" s="61" t="n">
        <f aca="false">IFERROR(IF(AND(AI402=1,OR(TRIM(U402)="Fail",AND(TRIM(AB402)&lt;&gt;"",TRIM(AB402)&lt;&gt;"Closed"),AND(ISNUMBER(AF402),AF402&lt;&gt;0,TRIM(U402)&lt;&gt;"Pass after CA"))),1,0),1)</f>
        <v>0</v>
      </c>
      <c r="AM402" s="61" t="n">
        <f aca="false">IF(LEFT(AH402,7)="INVALID",1,0)</f>
        <v>0</v>
      </c>
      <c r="AN402" s="61" t="n">
        <f aca="false">IF(AND(N402="Clarification required",AI402=1,AJ402=0),1,0)</f>
        <v>0</v>
      </c>
      <c r="AO402" s="61" t="str">
        <f aca="false">IF(AK402=1,SUM(AK$5:AK402),"")</f>
        <v/>
      </c>
      <c r="AP402" s="61" t="str">
        <f aca="false">IF(AL402=1,SUM(AL$5:AL402),"")</f>
        <v/>
      </c>
      <c r="AQ402" s="61" t="n">
        <v>0</v>
      </c>
      <c r="AR402" s="61" t="n">
        <v>0</v>
      </c>
      <c r="AS402" s="61" t="n">
        <v>0</v>
      </c>
      <c r="AT402" s="61" t="n">
        <v>0</v>
      </c>
      <c r="AU402" s="61" t="str">
        <f aca="false">SUBSTITUTE(SUBSTITUTE(SUBSTITUTE(SUBSTITUTE(SUBSTITUTE(SUBSTITUTE(SUBSTITUTE(SUBSTITUTE(SUBSTITUTE(SUBSTITUTE(SUBSTITUTE(SUBSTITUTE(SUBSTITUTE(LOWER(T402&amp;""),CHAR(160),"")," ",""),".",""),"-",""),"/",""),"?",""),"_",""),",",""),"[",""),"]",""),"(",""),")",""),"*","")</f>
        <v/>
      </c>
      <c r="AV402" s="61" t="str">
        <f aca="false">SUBSTITUTE(SUBSTITUTE(SUBSTITUTE(SUBSTITUTE(SUBSTITUTE(SUBSTITUTE(SUBSTITUTE(SUBSTITUTE(SUBSTITUTE(SUBSTITUTE(SUBSTITUTE(SUBSTITUTE(SUBSTITUTE(LOWER(V402&amp;""),CHAR(160),"")," ",""),".",""),"-",""),"/",""),"?",""),"_",""),",",""),"[",""),"]",""),"(",""),")",""),"*","")</f>
        <v/>
      </c>
      <c r="AW402" s="61" t="str">
        <f aca="false">SUBSTITUTE(SUBSTITUTE(SUBSTITUTE(SUBSTITUTE(SUBSTITUTE(SUBSTITUTE(SUBSTITUTE(SUBSTITUTE(SUBSTITUTE(SUBSTITUTE(SUBSTITUTE(SUBSTITUTE(SUBSTITUTE(LOWER(Z402&amp;""),CHAR(160),"")," ",""),".",""),"-",""),"/",""),"?",""),"_",""),",",""),"[",""),"]",""),"(",""),")",""),"*","")</f>
        <v/>
      </c>
      <c r="AX402" s="61" t="str">
        <f aca="false">SUBSTITUTE(SUBSTITUTE(SUBSTITUTE(SUBSTITUTE(SUBSTITUTE(SUBSTITUTE(SUBSTITUTE(SUBSTITUTE(SUBSTITUTE(SUBSTITUTE(SUBSTITUTE(SUBSTITUTE(SUBSTITUTE(LOWER(AE402&amp;""),CHAR(160),"")," ",""),".",""),"-",""),"/",""),"?",""),"_",""),",",""),"[",""),"]",""),"(",""),")",""),"*","")</f>
        <v/>
      </c>
      <c r="AY402" s="61" t="str">
        <f aca="false">SUBSTITUTE(SUBSTITUTE(SUBSTITUTE(SUBSTITUTE(SUBSTITUTE(SUBSTITUTE(SUBSTITUTE(SUBSTITUTE(SUBSTITUTE(SUBSTITUTE(SUBSTITUTE(SUBSTITUTE(SUBSTITUTE(LOWER(W402&amp;""),CHAR(160),"")," ",""),".",""),"-",""),"/",""),"?",""),"_",""),",",""),"[",""),"]",""),"(",""),")",""),"*","")</f>
        <v/>
      </c>
      <c r="AZ402" s="61" t="str">
        <f aca="false">SUBSTITUTE(SUBSTITUTE(SUBSTITUTE(SUBSTITUTE(SUBSTITUTE(SUBSTITUTE(SUBSTITUTE(SUBSTITUTE(SUBSTITUTE(SUBSTITUTE(SUBSTITUTE(SUBSTITUTE(SUBSTITUTE(LOWER(AC402&amp;""),CHAR(160),"")," ",""),".",""),"-",""),"/",""),"?",""),"_",""),",",""),"[",""),"]",""),"(",""),")",""),"*","")</f>
        <v/>
      </c>
      <c r="BA402" s="61" t="str">
        <f aca="false">SUBSTITUTE(SUBSTITUTE(SUBSTITUTE(SUBSTITUTE(SUBSTITUTE(SUBSTITUTE(SUBSTITUTE(SUBSTITUTE(SUBSTITUTE(SUBSTITUTE(SUBSTITUTE(SUBSTITUTE(SUBSTITUTE(LOWER(AA402&amp;""),CHAR(160),"")," ",""),".",""),"-",""),"/",""),"?",""),"_",""),",",""),"[",""),"]",""),"(",""),")",""),"*","")</f>
        <v/>
      </c>
      <c r="BB402" s="61" t="str">
        <f aca="false">IF(AND(TRIM(U402)="Pass",ISNUMBER(AF402)),IF(AF402&lt;&gt;0,"INVALID – qty variance: use Fail or Pass after CA",""),"")&amp;IF(AND(TRIM(U402)="Pass after CA",ISNUMBER(AF402)),IF(AF402&lt;&gt;0,"INVALID – after the corrective action the actual qty must equal expected (update Actual)",""),"")&amp;IF(AND(TRIM(U402)="Pass",TRIM(AB402)&lt;&gt;"",TRIM(AB402)&lt;&gt;"Closed"),"INVALID – corrective action not closed: use Fail, then Pass after CA","")&amp;IF(AND(TRIM(AA402)&lt;&gt;"",TRIM(AB402)=""),"INVALID – CA status missing for the recorded corrective action","")&amp;IF(AND(TRIM(U402)="Pass after CA",OR(OR(LEN(BA402)&lt;5,ISNUMBER(MATCH(BA402,L_Placeholder,0))),TRIM(AB402)&lt;&gt;"Closed")),"INVALID – corrective action not recorded/closed","")</f>
        <v/>
      </c>
    </row>
    <row r="403" customFormat="false" ht="41.25" hidden="false" customHeight="true" outlineLevel="0" collapsed="false">
      <c r="A403" s="57" t="s">
        <v>1003</v>
      </c>
      <c r="B403" s="57" t="s">
        <v>258</v>
      </c>
      <c r="C403" s="57" t="str">
        <f aca="false">Flights!$F$16</f>
        <v>MH0139</v>
      </c>
      <c r="D403" s="58" t="n">
        <f aca="false">Flights!$D$16</f>
        <v>46307</v>
      </c>
      <c r="E403" s="57" t="str">
        <f aca="false">Flights!$G$16&amp;"-"&amp;Flights!$H$16</f>
        <v>KUL-ADL</v>
      </c>
      <c r="F403" s="57" t="str">
        <f aca="false">Flights!$K$16</f>
        <v>BC</v>
      </c>
      <c r="G403" s="57" t="s">
        <v>398</v>
      </c>
      <c r="H403" s="57" t="s">
        <v>356</v>
      </c>
      <c r="I403" s="57" t="s">
        <v>477</v>
      </c>
      <c r="J403" s="57" t="s">
        <v>493</v>
      </c>
      <c r="K403" s="67" t="s">
        <v>479</v>
      </c>
      <c r="L403" s="67" t="s">
        <v>1004</v>
      </c>
      <c r="M403" s="67" t="s">
        <v>429</v>
      </c>
      <c r="N403" s="67" t="s">
        <v>361</v>
      </c>
      <c r="O403" s="67" t="s">
        <v>481</v>
      </c>
      <c r="P403" s="57" t="s">
        <v>184</v>
      </c>
      <c r="Q403" s="59" t="n">
        <f aca="false">ROUND((Flights!$AE$16)*1440,0)/1440</f>
        <v>46307.1006944444</v>
      </c>
      <c r="R403" s="59" t="n">
        <f aca="false">Q403+(IF(AND(INDEX(TZ_DSTS,MATCH(P403,TZ_STN,0))&lt;&gt;"",Q403&gt;=INDEX(TZ_DSTS,MATCH(P403,TZ_STN,0)),Q403&lt;INDEX(TZ_DSTE,MATCH(P403,TZ_STN,0))),INDEX(TZ_DST,MATCH(P403,TZ_STN,0)),INDEX(TZ_STD,MATCH(P403,TZ_STN,0))))/24</f>
        <v>46307.4340277778</v>
      </c>
      <c r="S403" s="59" t="n">
        <f aca="false">Q403-T12EarlyH/24</f>
        <v>46306.6006944444</v>
      </c>
      <c r="T403" s="60"/>
      <c r="U403" s="60"/>
      <c r="V403" s="60"/>
      <c r="W403" s="61"/>
      <c r="X403" s="60"/>
      <c r="Y403" s="60"/>
      <c r="Z403" s="60"/>
      <c r="AA403" s="60"/>
      <c r="AB403" s="60"/>
      <c r="AC403" s="60"/>
      <c r="AD403" s="66"/>
      <c r="AE403" s="60"/>
      <c r="AF403" s="61" t="str">
        <f aca="false">IF(AND(ISNUMBER(X403),ISNUMBER(Y403)),Y403-X403,"")</f>
        <v/>
      </c>
      <c r="AG403" s="62" t="str">
        <f aca="false">IF(ISNUMBER(AD403),AD403-(IF(AND(INDEX(TZ_DSTS,MATCH(P403,TZ_STN,0))&lt;&gt;"",(AD403-INDEX(TZ_STD,MATCH(P403,TZ_STN,0))/24)&gt;=INDEX(TZ_DSTS,MATCH(P403,TZ_STN,0)),(AD403-INDEX(TZ_STD,MATCH(P403,TZ_STN,0))/24)&lt;INDEX(TZ_DSTE,MATCH(P403,TZ_STN,0))),INDEX(TZ_DST,MATCH(P403,TZ_STN,0)),INDEX(TZ_STD,MATCH(P403,TZ_STN,0))))/24,"")</f>
        <v/>
      </c>
      <c r="AH403" s="65" t="str">
        <f aca="false">IFERROR(IF(N403="N/A – rule","N/A – RULE",IF(TRIM(U403)="N/A",IF(AT403=0,"INVALID – N/A not permitted for this check",IF(AND(TRIM(AB403)&lt;&gt;"",TRIM(AB403)&lt;&gt;"Closed"),"INVALID – corrective action still open",IF(AND(NOT(OR(LEN(AZ403)&lt;15,ISNUMBER(MATCH(AZ403,L_Placeholder,0)))),NOT(OR(LEN(AU403)&lt;2,ISNUMBER(MATCH(AU403,L_Placeholder,0)))),NOT(OR(LEN(AX403)&lt;2,ISNUMBER(MATCH(AX403,L_Placeholder,0)))),TRIM(AE403)&lt;&gt;TRIM(T403)),"N/A – JUSTIFIED","INVALID – N/A needs a real justification (15+ chars), PIC and a different verifier"))),IF(OR(TRIM(U403)="Pass",TRIM(U403)="Pass after CA"),IF(NOT(ISNUMBER(AD403)),"INVALID – completion time missing",IF(OR(LEN(AU403)&lt;2,ISNUMBER(MATCH(AU403,L_Placeholder,0))),"INVALID – PIC missing",IF(OR(LEN(AV403)&lt;2,ISNUMBER(MATCH(AV403,L_Placeholder,0))),"INVALID – result / assessment missing",IF(OR(OR(LEN(AW403)&lt;3,ISNUMBER(MATCH(AW403,L_Placeholder,0))),SUMPRODUCT(--ISNUMBER(SEARCH(L_EvidencePhrase,AW403)))&gt;0),"INVALID – evidence missing, placeholder or not yet on file",IF(OR(LEN(AX403)&lt;2,ISNUMBER(MATCH(AX403,L_Placeholder,0))),"INVALID – verifier missing",IF(AX403=AU403,"INVALID – verifier must be someone other than the PIC",IF(AND(TRIM(U403)="Pass",SUMPRODUCT(--ISNUMBER(SEARCH(L_ResultBad,AV403)))&gt;0),"INVALID – result describes a problem: use Fail, then Pass after CA",IF(AND(AQ403=1,OR(LEN(AY403)&lt;3,ISNUMBER(MATCH(AY403,L_Placeholder,0)))),"INVALID – batch ID missing or placeholder",IF(AND(AR403=1,OR(NOT(ISNUMBER(X403)),NOT(ISNUMBER(Y403)))),"INVALID – expected/actual qty missing",IF(AND(AR403=1,OR(X403&lt;=0,Y403&lt;0)),"INVALID – expected qty must be above 0 and actual not negative",IF(BB403&lt;&gt;"",BB403,IF(AND(AS403=1,Documents!$J$16&lt;&gt;"ON FILE"),"INVALID – GLD not on file (Documents sheet)",IF(AND(AS403=2,Documents!$O$16&lt;&gt;"ON FILE"),"INVALID – menu checklist not on file (Documents sheet)",IF(AND(AS403=3,NOT(ISNUMBER(Flights!$AX$16))),"INVALID – enter carrying flight KUL departure (Flights AX)",IF(AND(AS403=3,OR(Flights!$AZ$16&gt;Flights!$AA$16,Flights!$AX$16&lt;Flights!$AA$16-3)),"INVALID – carrying flight (Flights AX) cannot arrive before this leg's STD, or is over 3 days early",IF(AG403&gt;AsOfUTC,"INVALID – completion time is in the future",IF(AND(ISNUMBER(S403),AG403&lt;S403),IF(H403="Physical uplift","INVALID – before uplift window (cannot confirm loading)","INVALID – before valid window"),IF(AG403&gt;Flights!$AA$16,"INVALID – completed after departure (cannot establish readiness)",IF(AND(H403="Preparation",AG403&gt;IF(ISNUMBER(Flights!$BA$16),MIN(Flights!$BA$16,Flights!$AA$16),Flights!$AA$16)),"INVALID – completed after loading / departure (cannot establish readiness)",IF(AND(H403="Physical uplift",AG403&gt;Q403),"INVALID – recorded after the loading flight departed",IF(AG403&gt;Q403,"COMPLETE – LATE","COMPLETE"))))))))))))))))))))),IF(TRIM(U403)="Fail","FAIL – DISCREPANCY",IF(AND(TRIM(U403)&lt;&gt;"",TRIM(U403)&lt;&gt;"Not started",TRIM(U403)&lt;&gt;"In progress"),"INVALID – unrecognised status (use the list)",IF(AsOfUTC&gt;Q403,"OVERDUE",IF(N403="Clarification required","OPEN – CLARIFICATION","OPEN"))))))),"INVALID – error value in an input cell")</f>
        <v>OPEN</v>
      </c>
      <c r="AI403" s="61" t="n">
        <f aca="false">IF(OR(AH403="N/A – RULE",AH403="N/A – JUSTIFIED"),0,1)</f>
        <v>1</v>
      </c>
      <c r="AJ403" s="61" t="n">
        <f aca="false">IF(LEFT(AH403,8)="COMPLETE",1,0)</f>
        <v>0</v>
      </c>
      <c r="AK403" s="61" t="n">
        <f aca="false">IF(AND(AI403=1,AJ403=0,AsOfUTC&gt;Q403),1,0)</f>
        <v>0</v>
      </c>
      <c r="AL403" s="61" t="n">
        <f aca="false">IFERROR(IF(AND(AI403=1,OR(TRIM(U403)="Fail",AND(TRIM(AB403)&lt;&gt;"",TRIM(AB403)&lt;&gt;"Closed"),AND(ISNUMBER(AF403),AF403&lt;&gt;0,TRIM(U403)&lt;&gt;"Pass after CA"))),1,0),1)</f>
        <v>0</v>
      </c>
      <c r="AM403" s="61" t="n">
        <f aca="false">IF(LEFT(AH403,7)="INVALID",1,0)</f>
        <v>0</v>
      </c>
      <c r="AN403" s="61" t="n">
        <f aca="false">IF(AND(N403="Clarification required",AI403=1,AJ403=0),1,0)</f>
        <v>0</v>
      </c>
      <c r="AO403" s="61" t="str">
        <f aca="false">IF(AK403=1,SUM(AK$5:AK403),"")</f>
        <v/>
      </c>
      <c r="AP403" s="61" t="str">
        <f aca="false">IF(AL403=1,SUM(AL$5:AL403),"")</f>
        <v/>
      </c>
      <c r="AQ403" s="61" t="n">
        <v>0</v>
      </c>
      <c r="AR403" s="61" t="n">
        <v>0</v>
      </c>
      <c r="AS403" s="61" t="n">
        <v>0</v>
      </c>
      <c r="AT403" s="61" t="n">
        <v>0</v>
      </c>
      <c r="AU403" s="61" t="str">
        <f aca="false">SUBSTITUTE(SUBSTITUTE(SUBSTITUTE(SUBSTITUTE(SUBSTITUTE(SUBSTITUTE(SUBSTITUTE(SUBSTITUTE(SUBSTITUTE(SUBSTITUTE(SUBSTITUTE(SUBSTITUTE(SUBSTITUTE(LOWER(T403&amp;""),CHAR(160),"")," ",""),".",""),"-",""),"/",""),"?",""),"_",""),",",""),"[",""),"]",""),"(",""),")",""),"*","")</f>
        <v/>
      </c>
      <c r="AV403" s="61" t="str">
        <f aca="false">SUBSTITUTE(SUBSTITUTE(SUBSTITUTE(SUBSTITUTE(SUBSTITUTE(SUBSTITUTE(SUBSTITUTE(SUBSTITUTE(SUBSTITUTE(SUBSTITUTE(SUBSTITUTE(SUBSTITUTE(SUBSTITUTE(LOWER(V403&amp;""),CHAR(160),"")," ",""),".",""),"-",""),"/",""),"?",""),"_",""),",",""),"[",""),"]",""),"(",""),")",""),"*","")</f>
        <v/>
      </c>
      <c r="AW403" s="61" t="str">
        <f aca="false">SUBSTITUTE(SUBSTITUTE(SUBSTITUTE(SUBSTITUTE(SUBSTITUTE(SUBSTITUTE(SUBSTITUTE(SUBSTITUTE(SUBSTITUTE(SUBSTITUTE(SUBSTITUTE(SUBSTITUTE(SUBSTITUTE(LOWER(Z403&amp;""),CHAR(160),"")," ",""),".",""),"-",""),"/",""),"?",""),"_",""),",",""),"[",""),"]",""),"(",""),")",""),"*","")</f>
        <v/>
      </c>
      <c r="AX403" s="61" t="str">
        <f aca="false">SUBSTITUTE(SUBSTITUTE(SUBSTITUTE(SUBSTITUTE(SUBSTITUTE(SUBSTITUTE(SUBSTITUTE(SUBSTITUTE(SUBSTITUTE(SUBSTITUTE(SUBSTITUTE(SUBSTITUTE(SUBSTITUTE(LOWER(AE403&amp;""),CHAR(160),"")," ",""),".",""),"-",""),"/",""),"?",""),"_",""),",",""),"[",""),"]",""),"(",""),")",""),"*","")</f>
        <v/>
      </c>
      <c r="AY403" s="61" t="str">
        <f aca="false">SUBSTITUTE(SUBSTITUTE(SUBSTITUTE(SUBSTITUTE(SUBSTITUTE(SUBSTITUTE(SUBSTITUTE(SUBSTITUTE(SUBSTITUTE(SUBSTITUTE(SUBSTITUTE(SUBSTITUTE(SUBSTITUTE(LOWER(W403&amp;""),CHAR(160),"")," ",""),".",""),"-",""),"/",""),"?",""),"_",""),",",""),"[",""),"]",""),"(",""),")",""),"*","")</f>
        <v/>
      </c>
      <c r="AZ403" s="61" t="str">
        <f aca="false">SUBSTITUTE(SUBSTITUTE(SUBSTITUTE(SUBSTITUTE(SUBSTITUTE(SUBSTITUTE(SUBSTITUTE(SUBSTITUTE(SUBSTITUTE(SUBSTITUTE(SUBSTITUTE(SUBSTITUTE(SUBSTITUTE(LOWER(AC403&amp;""),CHAR(160),"")," ",""),".",""),"-",""),"/",""),"?",""),"_",""),",",""),"[",""),"]",""),"(",""),")",""),"*","")</f>
        <v/>
      </c>
      <c r="BA403" s="61" t="str">
        <f aca="false">SUBSTITUTE(SUBSTITUTE(SUBSTITUTE(SUBSTITUTE(SUBSTITUTE(SUBSTITUTE(SUBSTITUTE(SUBSTITUTE(SUBSTITUTE(SUBSTITUTE(SUBSTITUTE(SUBSTITUTE(SUBSTITUTE(LOWER(AA403&amp;""),CHAR(160),"")," ",""),".",""),"-",""),"/",""),"?",""),"_",""),",",""),"[",""),"]",""),"(",""),")",""),"*","")</f>
        <v/>
      </c>
      <c r="BB403" s="61" t="str">
        <f aca="false">IF(AND(TRIM(U403)="Pass",ISNUMBER(AF403)),IF(AF403&lt;&gt;0,"INVALID – qty variance: use Fail or Pass after CA",""),"")&amp;IF(AND(TRIM(U403)="Pass after CA",ISNUMBER(AF403)),IF(AF403&lt;&gt;0,"INVALID – after the corrective action the actual qty must equal expected (update Actual)",""),"")&amp;IF(AND(TRIM(U403)="Pass",TRIM(AB403)&lt;&gt;"",TRIM(AB403)&lt;&gt;"Closed"),"INVALID – corrective action not closed: use Fail, then Pass after CA","")&amp;IF(AND(TRIM(AA403)&lt;&gt;"",TRIM(AB403)=""),"INVALID – CA status missing for the recorded corrective action","")&amp;IF(AND(TRIM(U403)="Pass after CA",OR(OR(LEN(BA403)&lt;5,ISNUMBER(MATCH(BA403,L_Placeholder,0))),TRIM(AB403)&lt;&gt;"Closed")),"INVALID – corrective action not recorded/closed","")</f>
        <v/>
      </c>
    </row>
    <row r="404" customFormat="false" ht="54" hidden="false" customHeight="true" outlineLevel="0" collapsed="false">
      <c r="A404" s="57" t="s">
        <v>1005</v>
      </c>
      <c r="B404" s="57" t="s">
        <v>258</v>
      </c>
      <c r="C404" s="57" t="str">
        <f aca="false">Flights!$F$16</f>
        <v>MH0139</v>
      </c>
      <c r="D404" s="58" t="n">
        <f aca="false">Flights!$D$16</f>
        <v>46307</v>
      </c>
      <c r="E404" s="57" t="str">
        <f aca="false">Flights!$G$16&amp;"-"&amp;Flights!$H$16</f>
        <v>KUL-ADL</v>
      </c>
      <c r="F404" s="57" t="str">
        <f aca="false">Flights!$K$16</f>
        <v>BC</v>
      </c>
      <c r="G404" s="57" t="s">
        <v>398</v>
      </c>
      <c r="H404" s="57" t="s">
        <v>356</v>
      </c>
      <c r="I404" s="57" t="s">
        <v>477</v>
      </c>
      <c r="J404" s="57" t="s">
        <v>496</v>
      </c>
      <c r="K404" s="67" t="s">
        <v>594</v>
      </c>
      <c r="L404" s="67" t="s">
        <v>1006</v>
      </c>
      <c r="M404" s="67" t="s">
        <v>429</v>
      </c>
      <c r="N404" s="67" t="s">
        <v>361</v>
      </c>
      <c r="O404" s="67" t="s">
        <v>499</v>
      </c>
      <c r="P404" s="57" t="s">
        <v>184</v>
      </c>
      <c r="Q404" s="59" t="n">
        <f aca="false">ROUND((Flights!$AE$16)*1440,0)/1440</f>
        <v>46307.1006944444</v>
      </c>
      <c r="R404" s="59" t="n">
        <f aca="false">Q404+(IF(AND(INDEX(TZ_DSTS,MATCH(P404,TZ_STN,0))&lt;&gt;"",Q404&gt;=INDEX(TZ_DSTS,MATCH(P404,TZ_STN,0)),Q404&lt;INDEX(TZ_DSTE,MATCH(P404,TZ_STN,0))),INDEX(TZ_DST,MATCH(P404,TZ_STN,0)),INDEX(TZ_STD,MATCH(P404,TZ_STN,0))))/24</f>
        <v>46307.4340277778</v>
      </c>
      <c r="S404" s="59" t="n">
        <f aca="false">Q404-T12EarlyH/24</f>
        <v>46306.6006944444</v>
      </c>
      <c r="T404" s="60"/>
      <c r="U404" s="60"/>
      <c r="V404" s="60"/>
      <c r="W404" s="61"/>
      <c r="X404" s="60"/>
      <c r="Y404" s="60"/>
      <c r="Z404" s="60"/>
      <c r="AA404" s="60"/>
      <c r="AB404" s="60"/>
      <c r="AC404" s="60"/>
      <c r="AD404" s="66"/>
      <c r="AE404" s="60"/>
      <c r="AF404" s="61" t="str">
        <f aca="false">IF(AND(ISNUMBER(X404),ISNUMBER(Y404)),Y404-X404,"")</f>
        <v/>
      </c>
      <c r="AG404" s="62" t="str">
        <f aca="false">IF(ISNUMBER(AD404),AD404-(IF(AND(INDEX(TZ_DSTS,MATCH(P404,TZ_STN,0))&lt;&gt;"",(AD404-INDEX(TZ_STD,MATCH(P404,TZ_STN,0))/24)&gt;=INDEX(TZ_DSTS,MATCH(P404,TZ_STN,0)),(AD404-INDEX(TZ_STD,MATCH(P404,TZ_STN,0))/24)&lt;INDEX(TZ_DSTE,MATCH(P404,TZ_STN,0))),INDEX(TZ_DST,MATCH(P404,TZ_STN,0)),INDEX(TZ_STD,MATCH(P404,TZ_STN,0))))/24,"")</f>
        <v/>
      </c>
      <c r="AH404" s="65" t="str">
        <f aca="false">IFERROR(IF(N404="N/A – rule","N/A – RULE",IF(TRIM(U404)="N/A",IF(AT404=0,"INVALID – N/A not permitted for this check",IF(AND(TRIM(AB404)&lt;&gt;"",TRIM(AB404)&lt;&gt;"Closed"),"INVALID – corrective action still open",IF(AND(NOT(OR(LEN(AZ404)&lt;15,ISNUMBER(MATCH(AZ404,L_Placeholder,0)))),NOT(OR(LEN(AU404)&lt;2,ISNUMBER(MATCH(AU404,L_Placeholder,0)))),NOT(OR(LEN(AX404)&lt;2,ISNUMBER(MATCH(AX404,L_Placeholder,0)))),TRIM(AE404)&lt;&gt;TRIM(T404)),"N/A – JUSTIFIED","INVALID – N/A needs a real justification (15+ chars), PIC and a different verifier"))),IF(OR(TRIM(U404)="Pass",TRIM(U404)="Pass after CA"),IF(NOT(ISNUMBER(AD404)),"INVALID – completion time missing",IF(OR(LEN(AU404)&lt;2,ISNUMBER(MATCH(AU404,L_Placeholder,0))),"INVALID – PIC missing",IF(OR(LEN(AV404)&lt;2,ISNUMBER(MATCH(AV404,L_Placeholder,0))),"INVALID – result / assessment missing",IF(OR(OR(LEN(AW404)&lt;3,ISNUMBER(MATCH(AW404,L_Placeholder,0))),SUMPRODUCT(--ISNUMBER(SEARCH(L_EvidencePhrase,AW404)))&gt;0),"INVALID – evidence missing, placeholder or not yet on file",IF(OR(LEN(AX404)&lt;2,ISNUMBER(MATCH(AX404,L_Placeholder,0))),"INVALID – verifier missing",IF(AX404=AU404,"INVALID – verifier must be someone other than the PIC",IF(AND(TRIM(U404)="Pass",SUMPRODUCT(--ISNUMBER(SEARCH(L_ResultBad,AV404)))&gt;0),"INVALID – result describes a problem: use Fail, then Pass after CA",IF(AND(AQ404=1,OR(LEN(AY404)&lt;3,ISNUMBER(MATCH(AY404,L_Placeholder,0)))),"INVALID – batch ID missing or placeholder",IF(AND(AR404=1,OR(NOT(ISNUMBER(X404)),NOT(ISNUMBER(Y404)))),"INVALID – expected/actual qty missing",IF(AND(AR404=1,OR(X404&lt;=0,Y404&lt;0)),"INVALID – expected qty must be above 0 and actual not negative",IF(BB404&lt;&gt;"",BB404,IF(AND(AS404=1,Documents!$J$16&lt;&gt;"ON FILE"),"INVALID – GLD not on file (Documents sheet)",IF(AND(AS404=2,Documents!$O$16&lt;&gt;"ON FILE"),"INVALID – menu checklist not on file (Documents sheet)",IF(AND(AS404=3,NOT(ISNUMBER(Flights!$AX$16))),"INVALID – enter carrying flight KUL departure (Flights AX)",IF(AND(AS404=3,OR(Flights!$AZ$16&gt;Flights!$AA$16,Flights!$AX$16&lt;Flights!$AA$16-3)),"INVALID – carrying flight (Flights AX) cannot arrive before this leg's STD, or is over 3 days early",IF(AG404&gt;AsOfUTC,"INVALID – completion time is in the future",IF(AND(ISNUMBER(S404),AG404&lt;S404),IF(H404="Physical uplift","INVALID – before uplift window (cannot confirm loading)","INVALID – before valid window"),IF(AG404&gt;Flights!$AA$16,"INVALID – completed after departure (cannot establish readiness)",IF(AND(H404="Preparation",AG404&gt;IF(ISNUMBER(Flights!$BA$16),MIN(Flights!$BA$16,Flights!$AA$16),Flights!$AA$16)),"INVALID – completed after loading / departure (cannot establish readiness)",IF(AND(H404="Physical uplift",AG404&gt;Q404),"INVALID – recorded after the loading flight departed",IF(AG404&gt;Q404,"COMPLETE – LATE","COMPLETE"))))))))))))))))))))),IF(TRIM(U404)="Fail","FAIL – DISCREPANCY",IF(AND(TRIM(U404)&lt;&gt;"",TRIM(U404)&lt;&gt;"Not started",TRIM(U404)&lt;&gt;"In progress"),"INVALID – unrecognised status (use the list)",IF(AsOfUTC&gt;Q404,"OVERDUE",IF(N404="Clarification required","OPEN – CLARIFICATION","OPEN"))))))),"INVALID – error value in an input cell")</f>
        <v>OPEN</v>
      </c>
      <c r="AI404" s="61" t="n">
        <f aca="false">IF(OR(AH404="N/A – RULE",AH404="N/A – JUSTIFIED"),0,1)</f>
        <v>1</v>
      </c>
      <c r="AJ404" s="61" t="n">
        <f aca="false">IF(LEFT(AH404,8)="COMPLETE",1,0)</f>
        <v>0</v>
      </c>
      <c r="AK404" s="61" t="n">
        <f aca="false">IF(AND(AI404=1,AJ404=0,AsOfUTC&gt;Q404),1,0)</f>
        <v>0</v>
      </c>
      <c r="AL404" s="61" t="n">
        <f aca="false">IFERROR(IF(AND(AI404=1,OR(TRIM(U404)="Fail",AND(TRIM(AB404)&lt;&gt;"",TRIM(AB404)&lt;&gt;"Closed"),AND(ISNUMBER(AF404),AF404&lt;&gt;0,TRIM(U404)&lt;&gt;"Pass after CA"))),1,0),1)</f>
        <v>0</v>
      </c>
      <c r="AM404" s="61" t="n">
        <f aca="false">IF(LEFT(AH404,7)="INVALID",1,0)</f>
        <v>0</v>
      </c>
      <c r="AN404" s="61" t="n">
        <f aca="false">IF(AND(N404="Clarification required",AI404=1,AJ404=0),1,0)</f>
        <v>0</v>
      </c>
      <c r="AO404" s="61" t="str">
        <f aca="false">IF(AK404=1,SUM(AK$5:AK404),"")</f>
        <v/>
      </c>
      <c r="AP404" s="61" t="str">
        <f aca="false">IF(AL404=1,SUM(AL$5:AL404),"")</f>
        <v/>
      </c>
      <c r="AQ404" s="61" t="n">
        <v>0</v>
      </c>
      <c r="AR404" s="61" t="n">
        <v>0</v>
      </c>
      <c r="AS404" s="61" t="n">
        <v>0</v>
      </c>
      <c r="AT404" s="61" t="n">
        <v>0</v>
      </c>
      <c r="AU404" s="61" t="str">
        <f aca="false">SUBSTITUTE(SUBSTITUTE(SUBSTITUTE(SUBSTITUTE(SUBSTITUTE(SUBSTITUTE(SUBSTITUTE(SUBSTITUTE(SUBSTITUTE(SUBSTITUTE(SUBSTITUTE(SUBSTITUTE(SUBSTITUTE(LOWER(T404&amp;""),CHAR(160),"")," ",""),".",""),"-",""),"/",""),"?",""),"_",""),",",""),"[",""),"]",""),"(",""),")",""),"*","")</f>
        <v/>
      </c>
      <c r="AV404" s="61" t="str">
        <f aca="false">SUBSTITUTE(SUBSTITUTE(SUBSTITUTE(SUBSTITUTE(SUBSTITUTE(SUBSTITUTE(SUBSTITUTE(SUBSTITUTE(SUBSTITUTE(SUBSTITUTE(SUBSTITUTE(SUBSTITUTE(SUBSTITUTE(LOWER(V404&amp;""),CHAR(160),"")," ",""),".",""),"-",""),"/",""),"?",""),"_",""),",",""),"[",""),"]",""),"(",""),")",""),"*","")</f>
        <v/>
      </c>
      <c r="AW404" s="61" t="str">
        <f aca="false">SUBSTITUTE(SUBSTITUTE(SUBSTITUTE(SUBSTITUTE(SUBSTITUTE(SUBSTITUTE(SUBSTITUTE(SUBSTITUTE(SUBSTITUTE(SUBSTITUTE(SUBSTITUTE(SUBSTITUTE(SUBSTITUTE(LOWER(Z404&amp;""),CHAR(160),"")," ",""),".",""),"-",""),"/",""),"?",""),"_",""),",",""),"[",""),"]",""),"(",""),")",""),"*","")</f>
        <v/>
      </c>
      <c r="AX404" s="61" t="str">
        <f aca="false">SUBSTITUTE(SUBSTITUTE(SUBSTITUTE(SUBSTITUTE(SUBSTITUTE(SUBSTITUTE(SUBSTITUTE(SUBSTITUTE(SUBSTITUTE(SUBSTITUTE(SUBSTITUTE(SUBSTITUTE(SUBSTITUTE(LOWER(AE404&amp;""),CHAR(160),"")," ",""),".",""),"-",""),"/",""),"?",""),"_",""),",",""),"[",""),"]",""),"(",""),")",""),"*","")</f>
        <v/>
      </c>
      <c r="AY404" s="61" t="str">
        <f aca="false">SUBSTITUTE(SUBSTITUTE(SUBSTITUTE(SUBSTITUTE(SUBSTITUTE(SUBSTITUTE(SUBSTITUTE(SUBSTITUTE(SUBSTITUTE(SUBSTITUTE(SUBSTITUTE(SUBSTITUTE(SUBSTITUTE(LOWER(W404&amp;""),CHAR(160),"")," ",""),".",""),"-",""),"/",""),"?",""),"_",""),",",""),"[",""),"]",""),"(",""),")",""),"*","")</f>
        <v/>
      </c>
      <c r="AZ404" s="61" t="str">
        <f aca="false">SUBSTITUTE(SUBSTITUTE(SUBSTITUTE(SUBSTITUTE(SUBSTITUTE(SUBSTITUTE(SUBSTITUTE(SUBSTITUTE(SUBSTITUTE(SUBSTITUTE(SUBSTITUTE(SUBSTITUTE(SUBSTITUTE(LOWER(AC404&amp;""),CHAR(160),"")," ",""),".",""),"-",""),"/",""),"?",""),"_",""),",",""),"[",""),"]",""),"(",""),")",""),"*","")</f>
        <v/>
      </c>
      <c r="BA404" s="61" t="str">
        <f aca="false">SUBSTITUTE(SUBSTITUTE(SUBSTITUTE(SUBSTITUTE(SUBSTITUTE(SUBSTITUTE(SUBSTITUTE(SUBSTITUTE(SUBSTITUTE(SUBSTITUTE(SUBSTITUTE(SUBSTITUTE(SUBSTITUTE(LOWER(AA404&amp;""),CHAR(160),"")," ",""),".",""),"-",""),"/",""),"?",""),"_",""),",",""),"[",""),"]",""),"(",""),")",""),"*","")</f>
        <v/>
      </c>
      <c r="BB404" s="61" t="str">
        <f aca="false">IF(AND(TRIM(U404)="Pass",ISNUMBER(AF404)),IF(AF404&lt;&gt;0,"INVALID – qty variance: use Fail or Pass after CA",""),"")&amp;IF(AND(TRIM(U404)="Pass after CA",ISNUMBER(AF404)),IF(AF404&lt;&gt;0,"INVALID – after the corrective action the actual qty must equal expected (update Actual)",""),"")&amp;IF(AND(TRIM(U404)="Pass",TRIM(AB404)&lt;&gt;"",TRIM(AB404)&lt;&gt;"Closed"),"INVALID – corrective action not closed: use Fail, then Pass after CA","")&amp;IF(AND(TRIM(AA404)&lt;&gt;"",TRIM(AB404)=""),"INVALID – CA status missing for the recorded corrective action","")&amp;IF(AND(TRIM(U404)="Pass after CA",OR(OR(LEN(BA404)&lt;5,ISNUMBER(MATCH(BA404,L_Placeholder,0))),TRIM(AB404)&lt;&gt;"Closed")),"INVALID – corrective action not recorded/closed","")</f>
        <v/>
      </c>
    </row>
    <row r="405" customFormat="false" ht="41.25" hidden="false" customHeight="true" outlineLevel="0" collapsed="false">
      <c r="A405" s="57" t="s">
        <v>1007</v>
      </c>
      <c r="B405" s="57" t="s">
        <v>258</v>
      </c>
      <c r="C405" s="57" t="str">
        <f aca="false">Flights!$F$16</f>
        <v>MH0139</v>
      </c>
      <c r="D405" s="58" t="n">
        <f aca="false">Flights!$D$16</f>
        <v>46307</v>
      </c>
      <c r="E405" s="57" t="str">
        <f aca="false">Flights!$G$16&amp;"-"&amp;Flights!$H$16</f>
        <v>KUL-ADL</v>
      </c>
      <c r="F405" s="57" t="str">
        <f aca="false">Flights!$K$16</f>
        <v>BC</v>
      </c>
      <c r="G405" s="57" t="s">
        <v>398</v>
      </c>
      <c r="H405" s="57" t="s">
        <v>356</v>
      </c>
      <c r="I405" s="57" t="s">
        <v>477</v>
      </c>
      <c r="J405" s="57" t="s">
        <v>501</v>
      </c>
      <c r="K405" s="67" t="s">
        <v>479</v>
      </c>
      <c r="L405" s="67" t="s">
        <v>1008</v>
      </c>
      <c r="M405" s="67" t="s">
        <v>429</v>
      </c>
      <c r="N405" s="67" t="s">
        <v>361</v>
      </c>
      <c r="O405" s="67" t="s">
        <v>481</v>
      </c>
      <c r="P405" s="57" t="s">
        <v>184</v>
      </c>
      <c r="Q405" s="59" t="n">
        <f aca="false">ROUND((Flights!$AE$16)*1440,0)/1440</f>
        <v>46307.1006944444</v>
      </c>
      <c r="R405" s="59" t="n">
        <f aca="false">Q405+(IF(AND(INDEX(TZ_DSTS,MATCH(P405,TZ_STN,0))&lt;&gt;"",Q405&gt;=INDEX(TZ_DSTS,MATCH(P405,TZ_STN,0)),Q405&lt;INDEX(TZ_DSTE,MATCH(P405,TZ_STN,0))),INDEX(TZ_DST,MATCH(P405,TZ_STN,0)),INDEX(TZ_STD,MATCH(P405,TZ_STN,0))))/24</f>
        <v>46307.4340277778</v>
      </c>
      <c r="S405" s="59" t="n">
        <f aca="false">Q405-T12EarlyH/24</f>
        <v>46306.6006944444</v>
      </c>
      <c r="T405" s="60"/>
      <c r="U405" s="60"/>
      <c r="V405" s="60"/>
      <c r="W405" s="61"/>
      <c r="X405" s="60"/>
      <c r="Y405" s="60"/>
      <c r="Z405" s="60"/>
      <c r="AA405" s="60"/>
      <c r="AB405" s="60"/>
      <c r="AC405" s="60"/>
      <c r="AD405" s="66"/>
      <c r="AE405" s="60"/>
      <c r="AF405" s="61" t="str">
        <f aca="false">IF(AND(ISNUMBER(X405),ISNUMBER(Y405)),Y405-X405,"")</f>
        <v/>
      </c>
      <c r="AG405" s="62" t="str">
        <f aca="false">IF(ISNUMBER(AD405),AD405-(IF(AND(INDEX(TZ_DSTS,MATCH(P405,TZ_STN,0))&lt;&gt;"",(AD405-INDEX(TZ_STD,MATCH(P405,TZ_STN,0))/24)&gt;=INDEX(TZ_DSTS,MATCH(P405,TZ_STN,0)),(AD405-INDEX(TZ_STD,MATCH(P405,TZ_STN,0))/24)&lt;INDEX(TZ_DSTE,MATCH(P405,TZ_STN,0))),INDEX(TZ_DST,MATCH(P405,TZ_STN,0)),INDEX(TZ_STD,MATCH(P405,TZ_STN,0))))/24,"")</f>
        <v/>
      </c>
      <c r="AH405" s="65" t="str">
        <f aca="false">IFERROR(IF(N405="N/A – rule","N/A – RULE",IF(TRIM(U405)="N/A",IF(AT405=0,"INVALID – N/A not permitted for this check",IF(AND(TRIM(AB405)&lt;&gt;"",TRIM(AB405)&lt;&gt;"Closed"),"INVALID – corrective action still open",IF(AND(NOT(OR(LEN(AZ405)&lt;15,ISNUMBER(MATCH(AZ405,L_Placeholder,0)))),NOT(OR(LEN(AU405)&lt;2,ISNUMBER(MATCH(AU405,L_Placeholder,0)))),NOT(OR(LEN(AX405)&lt;2,ISNUMBER(MATCH(AX405,L_Placeholder,0)))),TRIM(AE405)&lt;&gt;TRIM(T405)),"N/A – JUSTIFIED","INVALID – N/A needs a real justification (15+ chars), PIC and a different verifier"))),IF(OR(TRIM(U405)="Pass",TRIM(U405)="Pass after CA"),IF(NOT(ISNUMBER(AD405)),"INVALID – completion time missing",IF(OR(LEN(AU405)&lt;2,ISNUMBER(MATCH(AU405,L_Placeholder,0))),"INVALID – PIC missing",IF(OR(LEN(AV405)&lt;2,ISNUMBER(MATCH(AV405,L_Placeholder,0))),"INVALID – result / assessment missing",IF(OR(OR(LEN(AW405)&lt;3,ISNUMBER(MATCH(AW405,L_Placeholder,0))),SUMPRODUCT(--ISNUMBER(SEARCH(L_EvidencePhrase,AW405)))&gt;0),"INVALID – evidence missing, placeholder or not yet on file",IF(OR(LEN(AX405)&lt;2,ISNUMBER(MATCH(AX405,L_Placeholder,0))),"INVALID – verifier missing",IF(AX405=AU405,"INVALID – verifier must be someone other than the PIC",IF(AND(TRIM(U405)="Pass",SUMPRODUCT(--ISNUMBER(SEARCH(L_ResultBad,AV405)))&gt;0),"INVALID – result describes a problem: use Fail, then Pass after CA",IF(AND(AQ405=1,OR(LEN(AY405)&lt;3,ISNUMBER(MATCH(AY405,L_Placeholder,0)))),"INVALID – batch ID missing or placeholder",IF(AND(AR405=1,OR(NOT(ISNUMBER(X405)),NOT(ISNUMBER(Y405)))),"INVALID – expected/actual qty missing",IF(AND(AR405=1,OR(X405&lt;=0,Y405&lt;0)),"INVALID – expected qty must be above 0 and actual not negative",IF(BB405&lt;&gt;"",BB405,IF(AND(AS405=1,Documents!$J$16&lt;&gt;"ON FILE"),"INVALID – GLD not on file (Documents sheet)",IF(AND(AS405=2,Documents!$O$16&lt;&gt;"ON FILE"),"INVALID – menu checklist not on file (Documents sheet)",IF(AND(AS405=3,NOT(ISNUMBER(Flights!$AX$16))),"INVALID – enter carrying flight KUL departure (Flights AX)",IF(AND(AS405=3,OR(Flights!$AZ$16&gt;Flights!$AA$16,Flights!$AX$16&lt;Flights!$AA$16-3)),"INVALID – carrying flight (Flights AX) cannot arrive before this leg's STD, or is over 3 days early",IF(AG405&gt;AsOfUTC,"INVALID – completion time is in the future",IF(AND(ISNUMBER(S405),AG405&lt;S405),IF(H405="Physical uplift","INVALID – before uplift window (cannot confirm loading)","INVALID – before valid window"),IF(AG405&gt;Flights!$AA$16,"INVALID – completed after departure (cannot establish readiness)",IF(AND(H405="Preparation",AG405&gt;IF(ISNUMBER(Flights!$BA$16),MIN(Flights!$BA$16,Flights!$AA$16),Flights!$AA$16)),"INVALID – completed after loading / departure (cannot establish readiness)",IF(AND(H405="Physical uplift",AG405&gt;Q405),"INVALID – recorded after the loading flight departed",IF(AG405&gt;Q405,"COMPLETE – LATE","COMPLETE"))))))))))))))))))))),IF(TRIM(U405)="Fail","FAIL – DISCREPANCY",IF(AND(TRIM(U405)&lt;&gt;"",TRIM(U405)&lt;&gt;"Not started",TRIM(U405)&lt;&gt;"In progress"),"INVALID – unrecognised status (use the list)",IF(AsOfUTC&gt;Q405,"OVERDUE",IF(N405="Clarification required","OPEN – CLARIFICATION","OPEN"))))))),"INVALID – error value in an input cell")</f>
        <v>OPEN</v>
      </c>
      <c r="AI405" s="61" t="n">
        <f aca="false">IF(OR(AH405="N/A – RULE",AH405="N/A – JUSTIFIED"),0,1)</f>
        <v>1</v>
      </c>
      <c r="AJ405" s="61" t="n">
        <f aca="false">IF(LEFT(AH405,8)="COMPLETE",1,0)</f>
        <v>0</v>
      </c>
      <c r="AK405" s="61" t="n">
        <f aca="false">IF(AND(AI405=1,AJ405=0,AsOfUTC&gt;Q405),1,0)</f>
        <v>0</v>
      </c>
      <c r="AL405" s="61" t="n">
        <f aca="false">IFERROR(IF(AND(AI405=1,OR(TRIM(U405)="Fail",AND(TRIM(AB405)&lt;&gt;"",TRIM(AB405)&lt;&gt;"Closed"),AND(ISNUMBER(AF405),AF405&lt;&gt;0,TRIM(U405)&lt;&gt;"Pass after CA"))),1,0),1)</f>
        <v>0</v>
      </c>
      <c r="AM405" s="61" t="n">
        <f aca="false">IF(LEFT(AH405,7)="INVALID",1,0)</f>
        <v>0</v>
      </c>
      <c r="AN405" s="61" t="n">
        <f aca="false">IF(AND(N405="Clarification required",AI405=1,AJ405=0),1,0)</f>
        <v>0</v>
      </c>
      <c r="AO405" s="61" t="str">
        <f aca="false">IF(AK405=1,SUM(AK$5:AK405),"")</f>
        <v/>
      </c>
      <c r="AP405" s="61" t="str">
        <f aca="false">IF(AL405=1,SUM(AL$5:AL405),"")</f>
        <v/>
      </c>
      <c r="AQ405" s="61" t="n">
        <v>0</v>
      </c>
      <c r="AR405" s="61" t="n">
        <v>0</v>
      </c>
      <c r="AS405" s="61" t="n">
        <v>0</v>
      </c>
      <c r="AT405" s="61" t="n">
        <v>0</v>
      </c>
      <c r="AU405" s="61" t="str">
        <f aca="false">SUBSTITUTE(SUBSTITUTE(SUBSTITUTE(SUBSTITUTE(SUBSTITUTE(SUBSTITUTE(SUBSTITUTE(SUBSTITUTE(SUBSTITUTE(SUBSTITUTE(SUBSTITUTE(SUBSTITUTE(SUBSTITUTE(LOWER(T405&amp;""),CHAR(160),"")," ",""),".",""),"-",""),"/",""),"?",""),"_",""),",",""),"[",""),"]",""),"(",""),")",""),"*","")</f>
        <v/>
      </c>
      <c r="AV405" s="61" t="str">
        <f aca="false">SUBSTITUTE(SUBSTITUTE(SUBSTITUTE(SUBSTITUTE(SUBSTITUTE(SUBSTITUTE(SUBSTITUTE(SUBSTITUTE(SUBSTITUTE(SUBSTITUTE(SUBSTITUTE(SUBSTITUTE(SUBSTITUTE(LOWER(V405&amp;""),CHAR(160),"")," ",""),".",""),"-",""),"/",""),"?",""),"_",""),",",""),"[",""),"]",""),"(",""),")",""),"*","")</f>
        <v/>
      </c>
      <c r="AW405" s="61" t="str">
        <f aca="false">SUBSTITUTE(SUBSTITUTE(SUBSTITUTE(SUBSTITUTE(SUBSTITUTE(SUBSTITUTE(SUBSTITUTE(SUBSTITUTE(SUBSTITUTE(SUBSTITUTE(SUBSTITUTE(SUBSTITUTE(SUBSTITUTE(LOWER(Z405&amp;""),CHAR(160),"")," ",""),".",""),"-",""),"/",""),"?",""),"_",""),",",""),"[",""),"]",""),"(",""),")",""),"*","")</f>
        <v/>
      </c>
      <c r="AX405" s="61" t="str">
        <f aca="false">SUBSTITUTE(SUBSTITUTE(SUBSTITUTE(SUBSTITUTE(SUBSTITUTE(SUBSTITUTE(SUBSTITUTE(SUBSTITUTE(SUBSTITUTE(SUBSTITUTE(SUBSTITUTE(SUBSTITUTE(SUBSTITUTE(LOWER(AE405&amp;""),CHAR(160),"")," ",""),".",""),"-",""),"/",""),"?",""),"_",""),",",""),"[",""),"]",""),"(",""),")",""),"*","")</f>
        <v/>
      </c>
      <c r="AY405" s="61" t="str">
        <f aca="false">SUBSTITUTE(SUBSTITUTE(SUBSTITUTE(SUBSTITUTE(SUBSTITUTE(SUBSTITUTE(SUBSTITUTE(SUBSTITUTE(SUBSTITUTE(SUBSTITUTE(SUBSTITUTE(SUBSTITUTE(SUBSTITUTE(LOWER(W405&amp;""),CHAR(160),"")," ",""),".",""),"-",""),"/",""),"?",""),"_",""),",",""),"[",""),"]",""),"(",""),")",""),"*","")</f>
        <v/>
      </c>
      <c r="AZ405" s="61" t="str">
        <f aca="false">SUBSTITUTE(SUBSTITUTE(SUBSTITUTE(SUBSTITUTE(SUBSTITUTE(SUBSTITUTE(SUBSTITUTE(SUBSTITUTE(SUBSTITUTE(SUBSTITUTE(SUBSTITUTE(SUBSTITUTE(SUBSTITUTE(LOWER(AC405&amp;""),CHAR(160),"")," ",""),".",""),"-",""),"/",""),"?",""),"_",""),",",""),"[",""),"]",""),"(",""),")",""),"*","")</f>
        <v/>
      </c>
      <c r="BA405" s="61" t="str">
        <f aca="false">SUBSTITUTE(SUBSTITUTE(SUBSTITUTE(SUBSTITUTE(SUBSTITUTE(SUBSTITUTE(SUBSTITUTE(SUBSTITUTE(SUBSTITUTE(SUBSTITUTE(SUBSTITUTE(SUBSTITUTE(SUBSTITUTE(LOWER(AA405&amp;""),CHAR(160),"")," ",""),".",""),"-",""),"/",""),"?",""),"_",""),",",""),"[",""),"]",""),"(",""),")",""),"*","")</f>
        <v/>
      </c>
      <c r="BB405" s="61" t="str">
        <f aca="false">IF(AND(TRIM(U405)="Pass",ISNUMBER(AF405)),IF(AF405&lt;&gt;0,"INVALID – qty variance: use Fail or Pass after CA",""),"")&amp;IF(AND(TRIM(U405)="Pass after CA",ISNUMBER(AF405)),IF(AF405&lt;&gt;0,"INVALID – after the corrective action the actual qty must equal expected (update Actual)",""),"")&amp;IF(AND(TRIM(U405)="Pass",TRIM(AB405)&lt;&gt;"",TRIM(AB405)&lt;&gt;"Closed"),"INVALID – corrective action not closed: use Fail, then Pass after CA","")&amp;IF(AND(TRIM(AA405)&lt;&gt;"",TRIM(AB405)=""),"INVALID – CA status missing for the recorded corrective action","")&amp;IF(AND(TRIM(U405)="Pass after CA",OR(OR(LEN(BA405)&lt;5,ISNUMBER(MATCH(BA405,L_Placeholder,0))),TRIM(AB405)&lt;&gt;"Closed")),"INVALID – corrective action not recorded/closed","")</f>
        <v/>
      </c>
    </row>
    <row r="406" customFormat="false" ht="41.25" hidden="false" customHeight="true" outlineLevel="0" collapsed="false">
      <c r="A406" s="57" t="s">
        <v>1009</v>
      </c>
      <c r="B406" s="57" t="s">
        <v>258</v>
      </c>
      <c r="C406" s="57" t="str">
        <f aca="false">Flights!$F$16</f>
        <v>MH0139</v>
      </c>
      <c r="D406" s="58" t="n">
        <f aca="false">Flights!$D$16</f>
        <v>46307</v>
      </c>
      <c r="E406" s="57" t="str">
        <f aca="false">Flights!$G$16&amp;"-"&amp;Flights!$H$16</f>
        <v>KUL-ADL</v>
      </c>
      <c r="F406" s="57" t="str">
        <f aca="false">Flights!$K$16</f>
        <v>BC</v>
      </c>
      <c r="G406" s="57" t="s">
        <v>398</v>
      </c>
      <c r="H406" s="57" t="s">
        <v>356</v>
      </c>
      <c r="I406" s="57" t="s">
        <v>425</v>
      </c>
      <c r="J406" s="57" t="s">
        <v>504</v>
      </c>
      <c r="K406" s="67" t="s">
        <v>427</v>
      </c>
      <c r="L406" s="67" t="s">
        <v>1010</v>
      </c>
      <c r="M406" s="67" t="s">
        <v>429</v>
      </c>
      <c r="N406" s="67" t="s">
        <v>361</v>
      </c>
      <c r="O406" s="67" t="s">
        <v>481</v>
      </c>
      <c r="P406" s="57" t="s">
        <v>184</v>
      </c>
      <c r="Q406" s="59" t="n">
        <f aca="false">ROUND((Flights!$AE$16)*1440,0)/1440</f>
        <v>46307.1006944444</v>
      </c>
      <c r="R406" s="59" t="n">
        <f aca="false">Q406+(IF(AND(INDEX(TZ_DSTS,MATCH(P406,TZ_STN,0))&lt;&gt;"",Q406&gt;=INDEX(TZ_DSTS,MATCH(P406,TZ_STN,0)),Q406&lt;INDEX(TZ_DSTE,MATCH(P406,TZ_STN,0))),INDEX(TZ_DST,MATCH(P406,TZ_STN,0)),INDEX(TZ_STD,MATCH(P406,TZ_STN,0))))/24</f>
        <v>46307.4340277778</v>
      </c>
      <c r="S406" s="59" t="n">
        <f aca="false">Q406-T12EarlyH/24</f>
        <v>46306.6006944444</v>
      </c>
      <c r="T406" s="60"/>
      <c r="U406" s="60"/>
      <c r="V406" s="60"/>
      <c r="W406" s="61"/>
      <c r="X406" s="60"/>
      <c r="Y406" s="60"/>
      <c r="Z406" s="60"/>
      <c r="AA406" s="60"/>
      <c r="AB406" s="60"/>
      <c r="AC406" s="60"/>
      <c r="AD406" s="66"/>
      <c r="AE406" s="60"/>
      <c r="AF406" s="61" t="str">
        <f aca="false">IF(AND(ISNUMBER(X406),ISNUMBER(Y406)),Y406-X406,"")</f>
        <v/>
      </c>
      <c r="AG406" s="62" t="str">
        <f aca="false">IF(ISNUMBER(AD406),AD406-(IF(AND(INDEX(TZ_DSTS,MATCH(P406,TZ_STN,0))&lt;&gt;"",(AD406-INDEX(TZ_STD,MATCH(P406,TZ_STN,0))/24)&gt;=INDEX(TZ_DSTS,MATCH(P406,TZ_STN,0)),(AD406-INDEX(TZ_STD,MATCH(P406,TZ_STN,0))/24)&lt;INDEX(TZ_DSTE,MATCH(P406,TZ_STN,0))),INDEX(TZ_DST,MATCH(P406,TZ_STN,0)),INDEX(TZ_STD,MATCH(P406,TZ_STN,0))))/24,"")</f>
        <v/>
      </c>
      <c r="AH406" s="65" t="str">
        <f aca="false">IFERROR(IF(N406="N/A – rule","N/A – RULE",IF(TRIM(U406)="N/A",IF(AT406=0,"INVALID – N/A not permitted for this check",IF(AND(TRIM(AB406)&lt;&gt;"",TRIM(AB406)&lt;&gt;"Closed"),"INVALID – corrective action still open",IF(AND(NOT(OR(LEN(AZ406)&lt;15,ISNUMBER(MATCH(AZ406,L_Placeholder,0)))),NOT(OR(LEN(AU406)&lt;2,ISNUMBER(MATCH(AU406,L_Placeholder,0)))),NOT(OR(LEN(AX406)&lt;2,ISNUMBER(MATCH(AX406,L_Placeholder,0)))),TRIM(AE406)&lt;&gt;TRIM(T406)),"N/A – JUSTIFIED","INVALID – N/A needs a real justification (15+ chars), PIC and a different verifier"))),IF(OR(TRIM(U406)="Pass",TRIM(U406)="Pass after CA"),IF(NOT(ISNUMBER(AD406)),"INVALID – completion time missing",IF(OR(LEN(AU406)&lt;2,ISNUMBER(MATCH(AU406,L_Placeholder,0))),"INVALID – PIC missing",IF(OR(LEN(AV406)&lt;2,ISNUMBER(MATCH(AV406,L_Placeholder,0))),"INVALID – result / assessment missing",IF(OR(OR(LEN(AW406)&lt;3,ISNUMBER(MATCH(AW406,L_Placeholder,0))),SUMPRODUCT(--ISNUMBER(SEARCH(L_EvidencePhrase,AW406)))&gt;0),"INVALID – evidence missing, placeholder or not yet on file",IF(OR(LEN(AX406)&lt;2,ISNUMBER(MATCH(AX406,L_Placeholder,0))),"INVALID – verifier missing",IF(AX406=AU406,"INVALID – verifier must be someone other than the PIC",IF(AND(TRIM(U406)="Pass",SUMPRODUCT(--ISNUMBER(SEARCH(L_ResultBad,AV406)))&gt;0),"INVALID – result describes a problem: use Fail, then Pass after CA",IF(AND(AQ406=1,OR(LEN(AY406)&lt;3,ISNUMBER(MATCH(AY406,L_Placeholder,0)))),"INVALID – batch ID missing or placeholder",IF(AND(AR406=1,OR(NOT(ISNUMBER(X406)),NOT(ISNUMBER(Y406)))),"INVALID – expected/actual qty missing",IF(AND(AR406=1,OR(X406&lt;=0,Y406&lt;0)),"INVALID – expected qty must be above 0 and actual not negative",IF(BB406&lt;&gt;"",BB406,IF(AND(AS406=1,Documents!$J$16&lt;&gt;"ON FILE"),"INVALID – GLD not on file (Documents sheet)",IF(AND(AS406=2,Documents!$O$16&lt;&gt;"ON FILE"),"INVALID – menu checklist not on file (Documents sheet)",IF(AND(AS406=3,NOT(ISNUMBER(Flights!$AX$16))),"INVALID – enter carrying flight KUL departure (Flights AX)",IF(AND(AS406=3,OR(Flights!$AZ$16&gt;Flights!$AA$16,Flights!$AX$16&lt;Flights!$AA$16-3)),"INVALID – carrying flight (Flights AX) cannot arrive before this leg's STD, or is over 3 days early",IF(AG406&gt;AsOfUTC,"INVALID – completion time is in the future",IF(AND(ISNUMBER(S406),AG406&lt;S406),IF(H406="Physical uplift","INVALID – before uplift window (cannot confirm loading)","INVALID – before valid window"),IF(AG406&gt;Flights!$AA$16,"INVALID – completed after departure (cannot establish readiness)",IF(AND(H406="Preparation",AG406&gt;IF(ISNUMBER(Flights!$BA$16),MIN(Flights!$BA$16,Flights!$AA$16),Flights!$AA$16)),"INVALID – completed after loading / departure (cannot establish readiness)",IF(AND(H406="Physical uplift",AG406&gt;Q406),"INVALID – recorded after the loading flight departed",IF(AG406&gt;Q406,"COMPLETE – LATE","COMPLETE"))))))))))))))))))))),IF(TRIM(U406)="Fail","FAIL – DISCREPANCY",IF(AND(TRIM(U406)&lt;&gt;"",TRIM(U406)&lt;&gt;"Not started",TRIM(U406)&lt;&gt;"In progress"),"INVALID – unrecognised status (use the list)",IF(AsOfUTC&gt;Q406,"OVERDUE",IF(N406="Clarification required","OPEN – CLARIFICATION","OPEN"))))))),"INVALID – error value in an input cell")</f>
        <v>OPEN</v>
      </c>
      <c r="AI406" s="61" t="n">
        <f aca="false">IF(OR(AH406="N/A – RULE",AH406="N/A – JUSTIFIED"),0,1)</f>
        <v>1</v>
      </c>
      <c r="AJ406" s="61" t="n">
        <f aca="false">IF(LEFT(AH406,8)="COMPLETE",1,0)</f>
        <v>0</v>
      </c>
      <c r="AK406" s="61" t="n">
        <f aca="false">IF(AND(AI406=1,AJ406=0,AsOfUTC&gt;Q406),1,0)</f>
        <v>0</v>
      </c>
      <c r="AL406" s="61" t="n">
        <f aca="false">IFERROR(IF(AND(AI406=1,OR(TRIM(U406)="Fail",AND(TRIM(AB406)&lt;&gt;"",TRIM(AB406)&lt;&gt;"Closed"),AND(ISNUMBER(AF406),AF406&lt;&gt;0,TRIM(U406)&lt;&gt;"Pass after CA"))),1,0),1)</f>
        <v>0</v>
      </c>
      <c r="AM406" s="61" t="n">
        <f aca="false">IF(LEFT(AH406,7)="INVALID",1,0)</f>
        <v>0</v>
      </c>
      <c r="AN406" s="61" t="n">
        <f aca="false">IF(AND(N406="Clarification required",AI406=1,AJ406=0),1,0)</f>
        <v>0</v>
      </c>
      <c r="AO406" s="61" t="str">
        <f aca="false">IF(AK406=1,SUM(AK$5:AK406),"")</f>
        <v/>
      </c>
      <c r="AP406" s="61" t="str">
        <f aca="false">IF(AL406=1,SUM(AL$5:AL406),"")</f>
        <v/>
      </c>
      <c r="AQ406" s="61" t="n">
        <v>0</v>
      </c>
      <c r="AR406" s="61" t="n">
        <v>0</v>
      </c>
      <c r="AS406" s="61" t="n">
        <v>0</v>
      </c>
      <c r="AT406" s="61" t="n">
        <v>0</v>
      </c>
      <c r="AU406" s="61" t="str">
        <f aca="false">SUBSTITUTE(SUBSTITUTE(SUBSTITUTE(SUBSTITUTE(SUBSTITUTE(SUBSTITUTE(SUBSTITUTE(SUBSTITUTE(SUBSTITUTE(SUBSTITUTE(SUBSTITUTE(SUBSTITUTE(SUBSTITUTE(LOWER(T406&amp;""),CHAR(160),"")," ",""),".",""),"-",""),"/",""),"?",""),"_",""),",",""),"[",""),"]",""),"(",""),")",""),"*","")</f>
        <v/>
      </c>
      <c r="AV406" s="61" t="str">
        <f aca="false">SUBSTITUTE(SUBSTITUTE(SUBSTITUTE(SUBSTITUTE(SUBSTITUTE(SUBSTITUTE(SUBSTITUTE(SUBSTITUTE(SUBSTITUTE(SUBSTITUTE(SUBSTITUTE(SUBSTITUTE(SUBSTITUTE(LOWER(V406&amp;""),CHAR(160),"")," ",""),".",""),"-",""),"/",""),"?",""),"_",""),",",""),"[",""),"]",""),"(",""),")",""),"*","")</f>
        <v/>
      </c>
      <c r="AW406" s="61" t="str">
        <f aca="false">SUBSTITUTE(SUBSTITUTE(SUBSTITUTE(SUBSTITUTE(SUBSTITUTE(SUBSTITUTE(SUBSTITUTE(SUBSTITUTE(SUBSTITUTE(SUBSTITUTE(SUBSTITUTE(SUBSTITUTE(SUBSTITUTE(LOWER(Z406&amp;""),CHAR(160),"")," ",""),".",""),"-",""),"/",""),"?",""),"_",""),",",""),"[",""),"]",""),"(",""),")",""),"*","")</f>
        <v/>
      </c>
      <c r="AX406" s="61" t="str">
        <f aca="false">SUBSTITUTE(SUBSTITUTE(SUBSTITUTE(SUBSTITUTE(SUBSTITUTE(SUBSTITUTE(SUBSTITUTE(SUBSTITUTE(SUBSTITUTE(SUBSTITUTE(SUBSTITUTE(SUBSTITUTE(SUBSTITUTE(LOWER(AE406&amp;""),CHAR(160),"")," ",""),".",""),"-",""),"/",""),"?",""),"_",""),",",""),"[",""),"]",""),"(",""),")",""),"*","")</f>
        <v/>
      </c>
      <c r="AY406" s="61" t="str">
        <f aca="false">SUBSTITUTE(SUBSTITUTE(SUBSTITUTE(SUBSTITUTE(SUBSTITUTE(SUBSTITUTE(SUBSTITUTE(SUBSTITUTE(SUBSTITUTE(SUBSTITUTE(SUBSTITUTE(SUBSTITUTE(SUBSTITUTE(LOWER(W406&amp;""),CHAR(160),"")," ",""),".",""),"-",""),"/",""),"?",""),"_",""),",",""),"[",""),"]",""),"(",""),")",""),"*","")</f>
        <v/>
      </c>
      <c r="AZ406" s="61" t="str">
        <f aca="false">SUBSTITUTE(SUBSTITUTE(SUBSTITUTE(SUBSTITUTE(SUBSTITUTE(SUBSTITUTE(SUBSTITUTE(SUBSTITUTE(SUBSTITUTE(SUBSTITUTE(SUBSTITUTE(SUBSTITUTE(SUBSTITUTE(LOWER(AC406&amp;""),CHAR(160),"")," ",""),".",""),"-",""),"/",""),"?",""),"_",""),",",""),"[",""),"]",""),"(",""),")",""),"*","")</f>
        <v/>
      </c>
      <c r="BA406" s="61" t="str">
        <f aca="false">SUBSTITUTE(SUBSTITUTE(SUBSTITUTE(SUBSTITUTE(SUBSTITUTE(SUBSTITUTE(SUBSTITUTE(SUBSTITUTE(SUBSTITUTE(SUBSTITUTE(SUBSTITUTE(SUBSTITUTE(SUBSTITUTE(LOWER(AA406&amp;""),CHAR(160),"")," ",""),".",""),"-",""),"/",""),"?",""),"_",""),",",""),"[",""),"]",""),"(",""),")",""),"*","")</f>
        <v/>
      </c>
      <c r="BB406" s="61" t="str">
        <f aca="false">IF(AND(TRIM(U406)="Pass",ISNUMBER(AF406)),IF(AF406&lt;&gt;0,"INVALID – qty variance: use Fail or Pass after CA",""),"")&amp;IF(AND(TRIM(U406)="Pass after CA",ISNUMBER(AF406)),IF(AF406&lt;&gt;0,"INVALID – after the corrective action the actual qty must equal expected (update Actual)",""),"")&amp;IF(AND(TRIM(U406)="Pass",TRIM(AB406)&lt;&gt;"",TRIM(AB406)&lt;&gt;"Closed"),"INVALID – corrective action not closed: use Fail, then Pass after CA","")&amp;IF(AND(TRIM(AA406)&lt;&gt;"",TRIM(AB406)=""),"INVALID – CA status missing for the recorded corrective action","")&amp;IF(AND(TRIM(U406)="Pass after CA",OR(OR(LEN(BA406)&lt;5,ISNUMBER(MATCH(BA406,L_Placeholder,0))),TRIM(AB406)&lt;&gt;"Closed")),"INVALID – corrective action not recorded/closed","")</f>
        <v/>
      </c>
    </row>
    <row r="407" customFormat="false" ht="41.25" hidden="false" customHeight="true" outlineLevel="0" collapsed="false">
      <c r="A407" s="57" t="s">
        <v>1011</v>
      </c>
      <c r="B407" s="57" t="s">
        <v>258</v>
      </c>
      <c r="C407" s="57" t="str">
        <f aca="false">Flights!$F$16</f>
        <v>MH0139</v>
      </c>
      <c r="D407" s="58" t="n">
        <f aca="false">Flights!$D$16</f>
        <v>46307</v>
      </c>
      <c r="E407" s="57" t="str">
        <f aca="false">Flights!$G$16&amp;"-"&amp;Flights!$H$16</f>
        <v>KUL-ADL</v>
      </c>
      <c r="F407" s="57" t="str">
        <f aca="false">Flights!$K$16</f>
        <v>BC</v>
      </c>
      <c r="G407" s="57" t="s">
        <v>398</v>
      </c>
      <c r="H407" s="57" t="s">
        <v>356</v>
      </c>
      <c r="I407" s="57" t="s">
        <v>425</v>
      </c>
      <c r="J407" s="57" t="s">
        <v>601</v>
      </c>
      <c r="K407" s="67" t="s">
        <v>427</v>
      </c>
      <c r="L407" s="67" t="s">
        <v>1012</v>
      </c>
      <c r="M407" s="67" t="s">
        <v>429</v>
      </c>
      <c r="N407" s="67" t="s">
        <v>361</v>
      </c>
      <c r="O407" s="67" t="s">
        <v>481</v>
      </c>
      <c r="P407" s="57" t="s">
        <v>184</v>
      </c>
      <c r="Q407" s="59" t="n">
        <f aca="false">ROUND((Flights!$AE$16)*1440,0)/1440</f>
        <v>46307.1006944444</v>
      </c>
      <c r="R407" s="59" t="n">
        <f aca="false">Q407+(IF(AND(INDEX(TZ_DSTS,MATCH(P407,TZ_STN,0))&lt;&gt;"",Q407&gt;=INDEX(TZ_DSTS,MATCH(P407,TZ_STN,0)),Q407&lt;INDEX(TZ_DSTE,MATCH(P407,TZ_STN,0))),INDEX(TZ_DST,MATCH(P407,TZ_STN,0)),INDEX(TZ_STD,MATCH(P407,TZ_STN,0))))/24</f>
        <v>46307.4340277778</v>
      </c>
      <c r="S407" s="59" t="n">
        <f aca="false">Q407-T12EarlyH/24</f>
        <v>46306.6006944444</v>
      </c>
      <c r="T407" s="60"/>
      <c r="U407" s="60"/>
      <c r="V407" s="60"/>
      <c r="W407" s="61"/>
      <c r="X407" s="60"/>
      <c r="Y407" s="60"/>
      <c r="Z407" s="60"/>
      <c r="AA407" s="60"/>
      <c r="AB407" s="60"/>
      <c r="AC407" s="60"/>
      <c r="AD407" s="66"/>
      <c r="AE407" s="60"/>
      <c r="AF407" s="61" t="str">
        <f aca="false">IF(AND(ISNUMBER(X407),ISNUMBER(Y407)),Y407-X407,"")</f>
        <v/>
      </c>
      <c r="AG407" s="62" t="str">
        <f aca="false">IF(ISNUMBER(AD407),AD407-(IF(AND(INDEX(TZ_DSTS,MATCH(P407,TZ_STN,0))&lt;&gt;"",(AD407-INDEX(TZ_STD,MATCH(P407,TZ_STN,0))/24)&gt;=INDEX(TZ_DSTS,MATCH(P407,TZ_STN,0)),(AD407-INDEX(TZ_STD,MATCH(P407,TZ_STN,0))/24)&lt;INDEX(TZ_DSTE,MATCH(P407,TZ_STN,0))),INDEX(TZ_DST,MATCH(P407,TZ_STN,0)),INDEX(TZ_STD,MATCH(P407,TZ_STN,0))))/24,"")</f>
        <v/>
      </c>
      <c r="AH407" s="65" t="str">
        <f aca="false">IFERROR(IF(N407="N/A – rule","N/A – RULE",IF(TRIM(U407)="N/A",IF(AT407=0,"INVALID – N/A not permitted for this check",IF(AND(TRIM(AB407)&lt;&gt;"",TRIM(AB407)&lt;&gt;"Closed"),"INVALID – corrective action still open",IF(AND(NOT(OR(LEN(AZ407)&lt;15,ISNUMBER(MATCH(AZ407,L_Placeholder,0)))),NOT(OR(LEN(AU407)&lt;2,ISNUMBER(MATCH(AU407,L_Placeholder,0)))),NOT(OR(LEN(AX407)&lt;2,ISNUMBER(MATCH(AX407,L_Placeholder,0)))),TRIM(AE407)&lt;&gt;TRIM(T407)),"N/A – JUSTIFIED","INVALID – N/A needs a real justification (15+ chars), PIC and a different verifier"))),IF(OR(TRIM(U407)="Pass",TRIM(U407)="Pass after CA"),IF(NOT(ISNUMBER(AD407)),"INVALID – completion time missing",IF(OR(LEN(AU407)&lt;2,ISNUMBER(MATCH(AU407,L_Placeholder,0))),"INVALID – PIC missing",IF(OR(LEN(AV407)&lt;2,ISNUMBER(MATCH(AV407,L_Placeholder,0))),"INVALID – result / assessment missing",IF(OR(OR(LEN(AW407)&lt;3,ISNUMBER(MATCH(AW407,L_Placeholder,0))),SUMPRODUCT(--ISNUMBER(SEARCH(L_EvidencePhrase,AW407)))&gt;0),"INVALID – evidence missing, placeholder or not yet on file",IF(OR(LEN(AX407)&lt;2,ISNUMBER(MATCH(AX407,L_Placeholder,0))),"INVALID – verifier missing",IF(AX407=AU407,"INVALID – verifier must be someone other than the PIC",IF(AND(TRIM(U407)="Pass",SUMPRODUCT(--ISNUMBER(SEARCH(L_ResultBad,AV407)))&gt;0),"INVALID – result describes a problem: use Fail, then Pass after CA",IF(AND(AQ407=1,OR(LEN(AY407)&lt;3,ISNUMBER(MATCH(AY407,L_Placeholder,0)))),"INVALID – batch ID missing or placeholder",IF(AND(AR407=1,OR(NOT(ISNUMBER(X407)),NOT(ISNUMBER(Y407)))),"INVALID – expected/actual qty missing",IF(AND(AR407=1,OR(X407&lt;=0,Y407&lt;0)),"INVALID – expected qty must be above 0 and actual not negative",IF(BB407&lt;&gt;"",BB407,IF(AND(AS407=1,Documents!$J$16&lt;&gt;"ON FILE"),"INVALID – GLD not on file (Documents sheet)",IF(AND(AS407=2,Documents!$O$16&lt;&gt;"ON FILE"),"INVALID – menu checklist not on file (Documents sheet)",IF(AND(AS407=3,NOT(ISNUMBER(Flights!$AX$16))),"INVALID – enter carrying flight KUL departure (Flights AX)",IF(AND(AS407=3,OR(Flights!$AZ$16&gt;Flights!$AA$16,Flights!$AX$16&lt;Flights!$AA$16-3)),"INVALID – carrying flight (Flights AX) cannot arrive before this leg's STD, or is over 3 days early",IF(AG407&gt;AsOfUTC,"INVALID – completion time is in the future",IF(AND(ISNUMBER(S407),AG407&lt;S407),IF(H407="Physical uplift","INVALID – before uplift window (cannot confirm loading)","INVALID – before valid window"),IF(AG407&gt;Flights!$AA$16,"INVALID – completed after departure (cannot establish readiness)",IF(AND(H407="Preparation",AG407&gt;IF(ISNUMBER(Flights!$BA$16),MIN(Flights!$BA$16,Flights!$AA$16),Flights!$AA$16)),"INVALID – completed after loading / departure (cannot establish readiness)",IF(AND(H407="Physical uplift",AG407&gt;Q407),"INVALID – recorded after the loading flight departed",IF(AG407&gt;Q407,"COMPLETE – LATE","COMPLETE"))))))))))))))))))))),IF(TRIM(U407)="Fail","FAIL – DISCREPANCY",IF(AND(TRIM(U407)&lt;&gt;"",TRIM(U407)&lt;&gt;"Not started",TRIM(U407)&lt;&gt;"In progress"),"INVALID – unrecognised status (use the list)",IF(AsOfUTC&gt;Q407,"OVERDUE",IF(N407="Clarification required","OPEN – CLARIFICATION","OPEN"))))))),"INVALID – error value in an input cell")</f>
        <v>OPEN</v>
      </c>
      <c r="AI407" s="61" t="n">
        <f aca="false">IF(OR(AH407="N/A – RULE",AH407="N/A – JUSTIFIED"),0,1)</f>
        <v>1</v>
      </c>
      <c r="AJ407" s="61" t="n">
        <f aca="false">IF(LEFT(AH407,8)="COMPLETE",1,0)</f>
        <v>0</v>
      </c>
      <c r="AK407" s="61" t="n">
        <f aca="false">IF(AND(AI407=1,AJ407=0,AsOfUTC&gt;Q407),1,0)</f>
        <v>0</v>
      </c>
      <c r="AL407" s="61" t="n">
        <f aca="false">IFERROR(IF(AND(AI407=1,OR(TRIM(U407)="Fail",AND(TRIM(AB407)&lt;&gt;"",TRIM(AB407)&lt;&gt;"Closed"),AND(ISNUMBER(AF407),AF407&lt;&gt;0,TRIM(U407)&lt;&gt;"Pass after CA"))),1,0),1)</f>
        <v>0</v>
      </c>
      <c r="AM407" s="61" t="n">
        <f aca="false">IF(LEFT(AH407,7)="INVALID",1,0)</f>
        <v>0</v>
      </c>
      <c r="AN407" s="61" t="n">
        <f aca="false">IF(AND(N407="Clarification required",AI407=1,AJ407=0),1,0)</f>
        <v>0</v>
      </c>
      <c r="AO407" s="61" t="str">
        <f aca="false">IF(AK407=1,SUM(AK$5:AK407),"")</f>
        <v/>
      </c>
      <c r="AP407" s="61" t="str">
        <f aca="false">IF(AL407=1,SUM(AL$5:AL407),"")</f>
        <v/>
      </c>
      <c r="AQ407" s="61" t="n">
        <v>0</v>
      </c>
      <c r="AR407" s="61" t="n">
        <v>0</v>
      </c>
      <c r="AS407" s="61" t="n">
        <v>0</v>
      </c>
      <c r="AT407" s="61" t="n">
        <v>0</v>
      </c>
      <c r="AU407" s="61" t="str">
        <f aca="false">SUBSTITUTE(SUBSTITUTE(SUBSTITUTE(SUBSTITUTE(SUBSTITUTE(SUBSTITUTE(SUBSTITUTE(SUBSTITUTE(SUBSTITUTE(SUBSTITUTE(SUBSTITUTE(SUBSTITUTE(SUBSTITUTE(LOWER(T407&amp;""),CHAR(160),"")," ",""),".",""),"-",""),"/",""),"?",""),"_",""),",",""),"[",""),"]",""),"(",""),")",""),"*","")</f>
        <v/>
      </c>
      <c r="AV407" s="61" t="str">
        <f aca="false">SUBSTITUTE(SUBSTITUTE(SUBSTITUTE(SUBSTITUTE(SUBSTITUTE(SUBSTITUTE(SUBSTITUTE(SUBSTITUTE(SUBSTITUTE(SUBSTITUTE(SUBSTITUTE(SUBSTITUTE(SUBSTITUTE(LOWER(V407&amp;""),CHAR(160),"")," ",""),".",""),"-",""),"/",""),"?",""),"_",""),",",""),"[",""),"]",""),"(",""),")",""),"*","")</f>
        <v/>
      </c>
      <c r="AW407" s="61" t="str">
        <f aca="false">SUBSTITUTE(SUBSTITUTE(SUBSTITUTE(SUBSTITUTE(SUBSTITUTE(SUBSTITUTE(SUBSTITUTE(SUBSTITUTE(SUBSTITUTE(SUBSTITUTE(SUBSTITUTE(SUBSTITUTE(SUBSTITUTE(LOWER(Z407&amp;""),CHAR(160),"")," ",""),".",""),"-",""),"/",""),"?",""),"_",""),",",""),"[",""),"]",""),"(",""),")",""),"*","")</f>
        <v/>
      </c>
      <c r="AX407" s="61" t="str">
        <f aca="false">SUBSTITUTE(SUBSTITUTE(SUBSTITUTE(SUBSTITUTE(SUBSTITUTE(SUBSTITUTE(SUBSTITUTE(SUBSTITUTE(SUBSTITUTE(SUBSTITUTE(SUBSTITUTE(SUBSTITUTE(SUBSTITUTE(LOWER(AE407&amp;""),CHAR(160),"")," ",""),".",""),"-",""),"/",""),"?",""),"_",""),",",""),"[",""),"]",""),"(",""),")",""),"*","")</f>
        <v/>
      </c>
      <c r="AY407" s="61" t="str">
        <f aca="false">SUBSTITUTE(SUBSTITUTE(SUBSTITUTE(SUBSTITUTE(SUBSTITUTE(SUBSTITUTE(SUBSTITUTE(SUBSTITUTE(SUBSTITUTE(SUBSTITUTE(SUBSTITUTE(SUBSTITUTE(SUBSTITUTE(LOWER(W407&amp;""),CHAR(160),"")," ",""),".",""),"-",""),"/",""),"?",""),"_",""),",",""),"[",""),"]",""),"(",""),")",""),"*","")</f>
        <v/>
      </c>
      <c r="AZ407" s="61" t="str">
        <f aca="false">SUBSTITUTE(SUBSTITUTE(SUBSTITUTE(SUBSTITUTE(SUBSTITUTE(SUBSTITUTE(SUBSTITUTE(SUBSTITUTE(SUBSTITUTE(SUBSTITUTE(SUBSTITUTE(SUBSTITUTE(SUBSTITUTE(LOWER(AC407&amp;""),CHAR(160),"")," ",""),".",""),"-",""),"/",""),"?",""),"_",""),",",""),"[",""),"]",""),"(",""),")",""),"*","")</f>
        <v/>
      </c>
      <c r="BA407" s="61" t="str">
        <f aca="false">SUBSTITUTE(SUBSTITUTE(SUBSTITUTE(SUBSTITUTE(SUBSTITUTE(SUBSTITUTE(SUBSTITUTE(SUBSTITUTE(SUBSTITUTE(SUBSTITUTE(SUBSTITUTE(SUBSTITUTE(SUBSTITUTE(LOWER(AA407&amp;""),CHAR(160),"")," ",""),".",""),"-",""),"/",""),"?",""),"_",""),",",""),"[",""),"]",""),"(",""),")",""),"*","")</f>
        <v/>
      </c>
      <c r="BB407" s="61" t="str">
        <f aca="false">IF(AND(TRIM(U407)="Pass",ISNUMBER(AF407)),IF(AF407&lt;&gt;0,"INVALID – qty variance: use Fail or Pass after CA",""),"")&amp;IF(AND(TRIM(U407)="Pass after CA",ISNUMBER(AF407)),IF(AF407&lt;&gt;0,"INVALID – after the corrective action the actual qty must equal expected (update Actual)",""),"")&amp;IF(AND(TRIM(U407)="Pass",TRIM(AB407)&lt;&gt;"",TRIM(AB407)&lt;&gt;"Closed"),"INVALID – corrective action not closed: use Fail, then Pass after CA","")&amp;IF(AND(TRIM(AA407)&lt;&gt;"",TRIM(AB407)=""),"INVALID – CA status missing for the recorded corrective action","")&amp;IF(AND(TRIM(U407)="Pass after CA",OR(OR(LEN(BA407)&lt;5,ISNUMBER(MATCH(BA407,L_Placeholder,0))),TRIM(AB407)&lt;&gt;"Closed")),"INVALID – corrective action not recorded/closed","")</f>
        <v/>
      </c>
    </row>
    <row r="408" customFormat="false" ht="41.25" hidden="false" customHeight="true" outlineLevel="0" collapsed="false">
      <c r="A408" s="57" t="s">
        <v>1013</v>
      </c>
      <c r="B408" s="57" t="s">
        <v>258</v>
      </c>
      <c r="C408" s="57" t="str">
        <f aca="false">Flights!$F$16</f>
        <v>MH0139</v>
      </c>
      <c r="D408" s="58" t="n">
        <f aca="false">Flights!$D$16</f>
        <v>46307</v>
      </c>
      <c r="E408" s="57" t="str">
        <f aca="false">Flights!$G$16&amp;"-"&amp;Flights!$H$16</f>
        <v>KUL-ADL</v>
      </c>
      <c r="F408" s="57" t="str">
        <f aca="false">Flights!$K$16</f>
        <v>BC</v>
      </c>
      <c r="G408" s="57" t="s">
        <v>398</v>
      </c>
      <c r="H408" s="57" t="s">
        <v>356</v>
      </c>
      <c r="I408" s="57" t="s">
        <v>425</v>
      </c>
      <c r="J408" s="57" t="s">
        <v>604</v>
      </c>
      <c r="K408" s="67" t="s">
        <v>427</v>
      </c>
      <c r="L408" s="67" t="s">
        <v>1014</v>
      </c>
      <c r="M408" s="67" t="s">
        <v>429</v>
      </c>
      <c r="N408" s="67" t="s">
        <v>361</v>
      </c>
      <c r="O408" s="67" t="s">
        <v>481</v>
      </c>
      <c r="P408" s="57" t="s">
        <v>184</v>
      </c>
      <c r="Q408" s="59" t="n">
        <f aca="false">ROUND((Flights!$AE$16)*1440,0)/1440</f>
        <v>46307.1006944444</v>
      </c>
      <c r="R408" s="59" t="n">
        <f aca="false">Q408+(IF(AND(INDEX(TZ_DSTS,MATCH(P408,TZ_STN,0))&lt;&gt;"",Q408&gt;=INDEX(TZ_DSTS,MATCH(P408,TZ_STN,0)),Q408&lt;INDEX(TZ_DSTE,MATCH(P408,TZ_STN,0))),INDEX(TZ_DST,MATCH(P408,TZ_STN,0)),INDEX(TZ_STD,MATCH(P408,TZ_STN,0))))/24</f>
        <v>46307.4340277778</v>
      </c>
      <c r="S408" s="59" t="n">
        <f aca="false">Q408-T12EarlyH/24</f>
        <v>46306.6006944444</v>
      </c>
      <c r="T408" s="60"/>
      <c r="U408" s="60"/>
      <c r="V408" s="60"/>
      <c r="W408" s="61"/>
      <c r="X408" s="60"/>
      <c r="Y408" s="60"/>
      <c r="Z408" s="60"/>
      <c r="AA408" s="60"/>
      <c r="AB408" s="60"/>
      <c r="AC408" s="60"/>
      <c r="AD408" s="66"/>
      <c r="AE408" s="60"/>
      <c r="AF408" s="61" t="str">
        <f aca="false">IF(AND(ISNUMBER(X408),ISNUMBER(Y408)),Y408-X408,"")</f>
        <v/>
      </c>
      <c r="AG408" s="62" t="str">
        <f aca="false">IF(ISNUMBER(AD408),AD408-(IF(AND(INDEX(TZ_DSTS,MATCH(P408,TZ_STN,0))&lt;&gt;"",(AD408-INDEX(TZ_STD,MATCH(P408,TZ_STN,0))/24)&gt;=INDEX(TZ_DSTS,MATCH(P408,TZ_STN,0)),(AD408-INDEX(TZ_STD,MATCH(P408,TZ_STN,0))/24)&lt;INDEX(TZ_DSTE,MATCH(P408,TZ_STN,0))),INDEX(TZ_DST,MATCH(P408,TZ_STN,0)),INDEX(TZ_STD,MATCH(P408,TZ_STN,0))))/24,"")</f>
        <v/>
      </c>
      <c r="AH408" s="65" t="str">
        <f aca="false">IFERROR(IF(N408="N/A – rule","N/A – RULE",IF(TRIM(U408)="N/A",IF(AT408=0,"INVALID – N/A not permitted for this check",IF(AND(TRIM(AB408)&lt;&gt;"",TRIM(AB408)&lt;&gt;"Closed"),"INVALID – corrective action still open",IF(AND(NOT(OR(LEN(AZ408)&lt;15,ISNUMBER(MATCH(AZ408,L_Placeholder,0)))),NOT(OR(LEN(AU408)&lt;2,ISNUMBER(MATCH(AU408,L_Placeholder,0)))),NOT(OR(LEN(AX408)&lt;2,ISNUMBER(MATCH(AX408,L_Placeholder,0)))),TRIM(AE408)&lt;&gt;TRIM(T408)),"N/A – JUSTIFIED","INVALID – N/A needs a real justification (15+ chars), PIC and a different verifier"))),IF(OR(TRIM(U408)="Pass",TRIM(U408)="Pass after CA"),IF(NOT(ISNUMBER(AD408)),"INVALID – completion time missing",IF(OR(LEN(AU408)&lt;2,ISNUMBER(MATCH(AU408,L_Placeholder,0))),"INVALID – PIC missing",IF(OR(LEN(AV408)&lt;2,ISNUMBER(MATCH(AV408,L_Placeholder,0))),"INVALID – result / assessment missing",IF(OR(OR(LEN(AW408)&lt;3,ISNUMBER(MATCH(AW408,L_Placeholder,0))),SUMPRODUCT(--ISNUMBER(SEARCH(L_EvidencePhrase,AW408)))&gt;0),"INVALID – evidence missing, placeholder or not yet on file",IF(OR(LEN(AX408)&lt;2,ISNUMBER(MATCH(AX408,L_Placeholder,0))),"INVALID – verifier missing",IF(AX408=AU408,"INVALID – verifier must be someone other than the PIC",IF(AND(TRIM(U408)="Pass",SUMPRODUCT(--ISNUMBER(SEARCH(L_ResultBad,AV408)))&gt;0),"INVALID – result describes a problem: use Fail, then Pass after CA",IF(AND(AQ408=1,OR(LEN(AY408)&lt;3,ISNUMBER(MATCH(AY408,L_Placeholder,0)))),"INVALID – batch ID missing or placeholder",IF(AND(AR408=1,OR(NOT(ISNUMBER(X408)),NOT(ISNUMBER(Y408)))),"INVALID – expected/actual qty missing",IF(AND(AR408=1,OR(X408&lt;=0,Y408&lt;0)),"INVALID – expected qty must be above 0 and actual not negative",IF(BB408&lt;&gt;"",BB408,IF(AND(AS408=1,Documents!$J$16&lt;&gt;"ON FILE"),"INVALID – GLD not on file (Documents sheet)",IF(AND(AS408=2,Documents!$O$16&lt;&gt;"ON FILE"),"INVALID – menu checklist not on file (Documents sheet)",IF(AND(AS408=3,NOT(ISNUMBER(Flights!$AX$16))),"INVALID – enter carrying flight KUL departure (Flights AX)",IF(AND(AS408=3,OR(Flights!$AZ$16&gt;Flights!$AA$16,Flights!$AX$16&lt;Flights!$AA$16-3)),"INVALID – carrying flight (Flights AX) cannot arrive before this leg's STD, or is over 3 days early",IF(AG408&gt;AsOfUTC,"INVALID – completion time is in the future",IF(AND(ISNUMBER(S408),AG408&lt;S408),IF(H408="Physical uplift","INVALID – before uplift window (cannot confirm loading)","INVALID – before valid window"),IF(AG408&gt;Flights!$AA$16,"INVALID – completed after departure (cannot establish readiness)",IF(AND(H408="Preparation",AG408&gt;IF(ISNUMBER(Flights!$BA$16),MIN(Flights!$BA$16,Flights!$AA$16),Flights!$AA$16)),"INVALID – completed after loading / departure (cannot establish readiness)",IF(AND(H408="Physical uplift",AG408&gt;Q408),"INVALID – recorded after the loading flight departed",IF(AG408&gt;Q408,"COMPLETE – LATE","COMPLETE"))))))))))))))))))))),IF(TRIM(U408)="Fail","FAIL – DISCREPANCY",IF(AND(TRIM(U408)&lt;&gt;"",TRIM(U408)&lt;&gt;"Not started",TRIM(U408)&lt;&gt;"In progress"),"INVALID – unrecognised status (use the list)",IF(AsOfUTC&gt;Q408,"OVERDUE",IF(N408="Clarification required","OPEN – CLARIFICATION","OPEN"))))))),"INVALID – error value in an input cell")</f>
        <v>OPEN</v>
      </c>
      <c r="AI408" s="61" t="n">
        <f aca="false">IF(OR(AH408="N/A – RULE",AH408="N/A – JUSTIFIED"),0,1)</f>
        <v>1</v>
      </c>
      <c r="AJ408" s="61" t="n">
        <f aca="false">IF(LEFT(AH408,8)="COMPLETE",1,0)</f>
        <v>0</v>
      </c>
      <c r="AK408" s="61" t="n">
        <f aca="false">IF(AND(AI408=1,AJ408=0,AsOfUTC&gt;Q408),1,0)</f>
        <v>0</v>
      </c>
      <c r="AL408" s="61" t="n">
        <f aca="false">IFERROR(IF(AND(AI408=1,OR(TRIM(U408)="Fail",AND(TRIM(AB408)&lt;&gt;"",TRIM(AB408)&lt;&gt;"Closed"),AND(ISNUMBER(AF408),AF408&lt;&gt;0,TRIM(U408)&lt;&gt;"Pass after CA"))),1,0),1)</f>
        <v>0</v>
      </c>
      <c r="AM408" s="61" t="n">
        <f aca="false">IF(LEFT(AH408,7)="INVALID",1,0)</f>
        <v>0</v>
      </c>
      <c r="AN408" s="61" t="n">
        <f aca="false">IF(AND(N408="Clarification required",AI408=1,AJ408=0),1,0)</f>
        <v>0</v>
      </c>
      <c r="AO408" s="61" t="str">
        <f aca="false">IF(AK408=1,SUM(AK$5:AK408),"")</f>
        <v/>
      </c>
      <c r="AP408" s="61" t="str">
        <f aca="false">IF(AL408=1,SUM(AL$5:AL408),"")</f>
        <v/>
      </c>
      <c r="AQ408" s="61" t="n">
        <v>0</v>
      </c>
      <c r="AR408" s="61" t="n">
        <v>0</v>
      </c>
      <c r="AS408" s="61" t="n">
        <v>0</v>
      </c>
      <c r="AT408" s="61" t="n">
        <v>0</v>
      </c>
      <c r="AU408" s="61" t="str">
        <f aca="false">SUBSTITUTE(SUBSTITUTE(SUBSTITUTE(SUBSTITUTE(SUBSTITUTE(SUBSTITUTE(SUBSTITUTE(SUBSTITUTE(SUBSTITUTE(SUBSTITUTE(SUBSTITUTE(SUBSTITUTE(SUBSTITUTE(LOWER(T408&amp;""),CHAR(160),"")," ",""),".",""),"-",""),"/",""),"?",""),"_",""),",",""),"[",""),"]",""),"(",""),")",""),"*","")</f>
        <v/>
      </c>
      <c r="AV408" s="61" t="str">
        <f aca="false">SUBSTITUTE(SUBSTITUTE(SUBSTITUTE(SUBSTITUTE(SUBSTITUTE(SUBSTITUTE(SUBSTITUTE(SUBSTITUTE(SUBSTITUTE(SUBSTITUTE(SUBSTITUTE(SUBSTITUTE(SUBSTITUTE(LOWER(V408&amp;""),CHAR(160),"")," ",""),".",""),"-",""),"/",""),"?",""),"_",""),",",""),"[",""),"]",""),"(",""),")",""),"*","")</f>
        <v/>
      </c>
      <c r="AW408" s="61" t="str">
        <f aca="false">SUBSTITUTE(SUBSTITUTE(SUBSTITUTE(SUBSTITUTE(SUBSTITUTE(SUBSTITUTE(SUBSTITUTE(SUBSTITUTE(SUBSTITUTE(SUBSTITUTE(SUBSTITUTE(SUBSTITUTE(SUBSTITUTE(LOWER(Z408&amp;""),CHAR(160),"")," ",""),".",""),"-",""),"/",""),"?",""),"_",""),",",""),"[",""),"]",""),"(",""),")",""),"*","")</f>
        <v/>
      </c>
      <c r="AX408" s="61" t="str">
        <f aca="false">SUBSTITUTE(SUBSTITUTE(SUBSTITUTE(SUBSTITUTE(SUBSTITUTE(SUBSTITUTE(SUBSTITUTE(SUBSTITUTE(SUBSTITUTE(SUBSTITUTE(SUBSTITUTE(SUBSTITUTE(SUBSTITUTE(LOWER(AE408&amp;""),CHAR(160),"")," ",""),".",""),"-",""),"/",""),"?",""),"_",""),",",""),"[",""),"]",""),"(",""),")",""),"*","")</f>
        <v/>
      </c>
      <c r="AY408" s="61" t="str">
        <f aca="false">SUBSTITUTE(SUBSTITUTE(SUBSTITUTE(SUBSTITUTE(SUBSTITUTE(SUBSTITUTE(SUBSTITUTE(SUBSTITUTE(SUBSTITUTE(SUBSTITUTE(SUBSTITUTE(SUBSTITUTE(SUBSTITUTE(LOWER(W408&amp;""),CHAR(160),"")," ",""),".",""),"-",""),"/",""),"?",""),"_",""),",",""),"[",""),"]",""),"(",""),")",""),"*","")</f>
        <v/>
      </c>
      <c r="AZ408" s="61" t="str">
        <f aca="false">SUBSTITUTE(SUBSTITUTE(SUBSTITUTE(SUBSTITUTE(SUBSTITUTE(SUBSTITUTE(SUBSTITUTE(SUBSTITUTE(SUBSTITUTE(SUBSTITUTE(SUBSTITUTE(SUBSTITUTE(SUBSTITUTE(LOWER(AC408&amp;""),CHAR(160),"")," ",""),".",""),"-",""),"/",""),"?",""),"_",""),",",""),"[",""),"]",""),"(",""),")",""),"*","")</f>
        <v/>
      </c>
      <c r="BA408" s="61" t="str">
        <f aca="false">SUBSTITUTE(SUBSTITUTE(SUBSTITUTE(SUBSTITUTE(SUBSTITUTE(SUBSTITUTE(SUBSTITUTE(SUBSTITUTE(SUBSTITUTE(SUBSTITUTE(SUBSTITUTE(SUBSTITUTE(SUBSTITUTE(LOWER(AA408&amp;""),CHAR(160),"")," ",""),".",""),"-",""),"/",""),"?",""),"_",""),",",""),"[",""),"]",""),"(",""),")",""),"*","")</f>
        <v/>
      </c>
      <c r="BB408" s="61" t="str">
        <f aca="false">IF(AND(TRIM(U408)="Pass",ISNUMBER(AF408)),IF(AF408&lt;&gt;0,"INVALID – qty variance: use Fail or Pass after CA",""),"")&amp;IF(AND(TRIM(U408)="Pass after CA",ISNUMBER(AF408)),IF(AF408&lt;&gt;0,"INVALID – after the corrective action the actual qty must equal expected (update Actual)",""),"")&amp;IF(AND(TRIM(U408)="Pass",TRIM(AB408)&lt;&gt;"",TRIM(AB408)&lt;&gt;"Closed"),"INVALID – corrective action not closed: use Fail, then Pass after CA","")&amp;IF(AND(TRIM(AA408)&lt;&gt;"",TRIM(AB408)=""),"INVALID – CA status missing for the recorded corrective action","")&amp;IF(AND(TRIM(U408)="Pass after CA",OR(OR(LEN(BA408)&lt;5,ISNUMBER(MATCH(BA408,L_Placeholder,0))),TRIM(AB408)&lt;&gt;"Closed")),"INVALID – corrective action not recorded/closed","")</f>
        <v/>
      </c>
    </row>
    <row r="409" customFormat="false" ht="39.75" hidden="false" customHeight="true" outlineLevel="0" collapsed="false">
      <c r="A409" s="57" t="s">
        <v>1015</v>
      </c>
      <c r="B409" s="57" t="s">
        <v>258</v>
      </c>
      <c r="C409" s="57" t="str">
        <f aca="false">Flights!$F$16</f>
        <v>MH0139</v>
      </c>
      <c r="D409" s="58" t="n">
        <f aca="false">Flights!$D$16</f>
        <v>46307</v>
      </c>
      <c r="E409" s="57" t="str">
        <f aca="false">Flights!$G$16&amp;"-"&amp;Flights!$H$16</f>
        <v>KUL-ADL</v>
      </c>
      <c r="F409" s="57" t="str">
        <f aca="false">Flights!$K$16</f>
        <v>BC</v>
      </c>
      <c r="G409" s="57" t="s">
        <v>398</v>
      </c>
      <c r="H409" s="57" t="s">
        <v>356</v>
      </c>
      <c r="I409" s="57" t="s">
        <v>607</v>
      </c>
      <c r="J409" s="57" t="s">
        <v>608</v>
      </c>
      <c r="K409" s="67" t="s">
        <v>479</v>
      </c>
      <c r="L409" s="67" t="s">
        <v>1016</v>
      </c>
      <c r="M409" s="67" t="s">
        <v>184</v>
      </c>
      <c r="N409" s="67" t="s">
        <v>361</v>
      </c>
      <c r="O409" s="67" t="s">
        <v>610</v>
      </c>
      <c r="P409" s="57" t="s">
        <v>184</v>
      </c>
      <c r="Q409" s="59" t="n">
        <f aca="false">ROUND((Flights!$AE$16)*1440,0)/1440</f>
        <v>46307.1006944444</v>
      </c>
      <c r="R409" s="59" t="n">
        <f aca="false">Q409+(IF(AND(INDEX(TZ_DSTS,MATCH(P409,TZ_STN,0))&lt;&gt;"",Q409&gt;=INDEX(TZ_DSTS,MATCH(P409,TZ_STN,0)),Q409&lt;INDEX(TZ_DSTE,MATCH(P409,TZ_STN,0))),INDEX(TZ_DST,MATCH(P409,TZ_STN,0)),INDEX(TZ_STD,MATCH(P409,TZ_STN,0))))/24</f>
        <v>46307.4340277778</v>
      </c>
      <c r="S409" s="59" t="n">
        <f aca="false">Q409-T12EarlyH/24</f>
        <v>46306.6006944444</v>
      </c>
      <c r="T409" s="60"/>
      <c r="U409" s="60"/>
      <c r="V409" s="60"/>
      <c r="W409" s="61"/>
      <c r="X409" s="60"/>
      <c r="Y409" s="60"/>
      <c r="Z409" s="60"/>
      <c r="AA409" s="60"/>
      <c r="AB409" s="60"/>
      <c r="AC409" s="60"/>
      <c r="AD409" s="66"/>
      <c r="AE409" s="60"/>
      <c r="AF409" s="61" t="str">
        <f aca="false">IF(AND(ISNUMBER(X409),ISNUMBER(Y409)),Y409-X409,"")</f>
        <v/>
      </c>
      <c r="AG409" s="62" t="str">
        <f aca="false">IF(ISNUMBER(AD409),AD409-(IF(AND(INDEX(TZ_DSTS,MATCH(P409,TZ_STN,0))&lt;&gt;"",(AD409-INDEX(TZ_STD,MATCH(P409,TZ_STN,0))/24)&gt;=INDEX(TZ_DSTS,MATCH(P409,TZ_STN,0)),(AD409-INDEX(TZ_STD,MATCH(P409,TZ_STN,0))/24)&lt;INDEX(TZ_DSTE,MATCH(P409,TZ_STN,0))),INDEX(TZ_DST,MATCH(P409,TZ_STN,0)),INDEX(TZ_STD,MATCH(P409,TZ_STN,0))))/24,"")</f>
        <v/>
      </c>
      <c r="AH409" s="65" t="str">
        <f aca="false">IFERROR(IF(N409="N/A – rule","N/A – RULE",IF(TRIM(U409)="N/A",IF(AT409=0,"INVALID – N/A not permitted for this check",IF(AND(TRIM(AB409)&lt;&gt;"",TRIM(AB409)&lt;&gt;"Closed"),"INVALID – corrective action still open",IF(AND(NOT(OR(LEN(AZ409)&lt;15,ISNUMBER(MATCH(AZ409,L_Placeholder,0)))),NOT(OR(LEN(AU409)&lt;2,ISNUMBER(MATCH(AU409,L_Placeholder,0)))),NOT(OR(LEN(AX409)&lt;2,ISNUMBER(MATCH(AX409,L_Placeholder,0)))),TRIM(AE409)&lt;&gt;TRIM(T409)),"N/A – JUSTIFIED","INVALID – N/A needs a real justification (15+ chars), PIC and a different verifier"))),IF(OR(TRIM(U409)="Pass",TRIM(U409)="Pass after CA"),IF(NOT(ISNUMBER(AD409)),"INVALID – completion time missing",IF(OR(LEN(AU409)&lt;2,ISNUMBER(MATCH(AU409,L_Placeholder,0))),"INVALID – PIC missing",IF(OR(LEN(AV409)&lt;2,ISNUMBER(MATCH(AV409,L_Placeholder,0))),"INVALID – result / assessment missing",IF(OR(OR(LEN(AW409)&lt;3,ISNUMBER(MATCH(AW409,L_Placeholder,0))),SUMPRODUCT(--ISNUMBER(SEARCH(L_EvidencePhrase,AW409)))&gt;0),"INVALID – evidence missing, placeholder or not yet on file",IF(OR(LEN(AX409)&lt;2,ISNUMBER(MATCH(AX409,L_Placeholder,0))),"INVALID – verifier missing",IF(AX409=AU409,"INVALID – verifier must be someone other than the PIC",IF(AND(TRIM(U409)="Pass",SUMPRODUCT(--ISNUMBER(SEARCH(L_ResultBad,AV409)))&gt;0),"INVALID – result describes a problem: use Fail, then Pass after CA",IF(AND(AQ409=1,OR(LEN(AY409)&lt;3,ISNUMBER(MATCH(AY409,L_Placeholder,0)))),"INVALID – batch ID missing or placeholder",IF(AND(AR409=1,OR(NOT(ISNUMBER(X409)),NOT(ISNUMBER(Y409)))),"INVALID – expected/actual qty missing",IF(AND(AR409=1,OR(X409&lt;=0,Y409&lt;0)),"INVALID – expected qty must be above 0 and actual not negative",IF(BB409&lt;&gt;"",BB409,IF(AND(AS409=1,Documents!$J$16&lt;&gt;"ON FILE"),"INVALID – GLD not on file (Documents sheet)",IF(AND(AS409=2,Documents!$O$16&lt;&gt;"ON FILE"),"INVALID – menu checklist not on file (Documents sheet)",IF(AND(AS409=3,NOT(ISNUMBER(Flights!$AX$16))),"INVALID – enter carrying flight KUL departure (Flights AX)",IF(AND(AS409=3,OR(Flights!$AZ$16&gt;Flights!$AA$16,Flights!$AX$16&lt;Flights!$AA$16-3)),"INVALID – carrying flight (Flights AX) cannot arrive before this leg's STD, or is over 3 days early",IF(AG409&gt;AsOfUTC,"INVALID – completion time is in the future",IF(AND(ISNUMBER(S409),AG409&lt;S409),IF(H409="Physical uplift","INVALID – before uplift window (cannot confirm loading)","INVALID – before valid window"),IF(AG409&gt;Flights!$AA$16,"INVALID – completed after departure (cannot establish readiness)",IF(AND(H409="Preparation",AG409&gt;IF(ISNUMBER(Flights!$BA$16),MIN(Flights!$BA$16,Flights!$AA$16),Flights!$AA$16)),"INVALID – completed after loading / departure (cannot establish readiness)",IF(AND(H409="Physical uplift",AG409&gt;Q409),"INVALID – recorded after the loading flight departed",IF(AG409&gt;Q409,"COMPLETE – LATE","COMPLETE"))))))))))))))))))))),IF(TRIM(U409)="Fail","FAIL – DISCREPANCY",IF(AND(TRIM(U409)&lt;&gt;"",TRIM(U409)&lt;&gt;"Not started",TRIM(U409)&lt;&gt;"In progress"),"INVALID – unrecognised status (use the list)",IF(AsOfUTC&gt;Q409,"OVERDUE",IF(N409="Clarification required","OPEN – CLARIFICATION","OPEN"))))))),"INVALID – error value in an input cell")</f>
        <v>OPEN</v>
      </c>
      <c r="AI409" s="61" t="n">
        <f aca="false">IF(OR(AH409="N/A – RULE",AH409="N/A – JUSTIFIED"),0,1)</f>
        <v>1</v>
      </c>
      <c r="AJ409" s="61" t="n">
        <f aca="false">IF(LEFT(AH409,8)="COMPLETE",1,0)</f>
        <v>0</v>
      </c>
      <c r="AK409" s="61" t="n">
        <f aca="false">IF(AND(AI409=1,AJ409=0,AsOfUTC&gt;Q409),1,0)</f>
        <v>0</v>
      </c>
      <c r="AL409" s="61" t="n">
        <f aca="false">IFERROR(IF(AND(AI409=1,OR(TRIM(U409)="Fail",AND(TRIM(AB409)&lt;&gt;"",TRIM(AB409)&lt;&gt;"Closed"),AND(ISNUMBER(AF409),AF409&lt;&gt;0,TRIM(U409)&lt;&gt;"Pass after CA"))),1,0),1)</f>
        <v>0</v>
      </c>
      <c r="AM409" s="61" t="n">
        <f aca="false">IF(LEFT(AH409,7)="INVALID",1,0)</f>
        <v>0</v>
      </c>
      <c r="AN409" s="61" t="n">
        <f aca="false">IF(AND(N409="Clarification required",AI409=1,AJ409=0),1,0)</f>
        <v>0</v>
      </c>
      <c r="AO409" s="61" t="str">
        <f aca="false">IF(AK409=1,SUM(AK$5:AK409),"")</f>
        <v/>
      </c>
      <c r="AP409" s="61" t="str">
        <f aca="false">IF(AL409=1,SUM(AL$5:AL409),"")</f>
        <v/>
      </c>
      <c r="AQ409" s="61" t="n">
        <v>0</v>
      </c>
      <c r="AR409" s="61" t="n">
        <v>0</v>
      </c>
      <c r="AS409" s="61" t="n">
        <v>0</v>
      </c>
      <c r="AT409" s="61" t="n">
        <v>0</v>
      </c>
      <c r="AU409" s="61" t="str">
        <f aca="false">SUBSTITUTE(SUBSTITUTE(SUBSTITUTE(SUBSTITUTE(SUBSTITUTE(SUBSTITUTE(SUBSTITUTE(SUBSTITUTE(SUBSTITUTE(SUBSTITUTE(SUBSTITUTE(SUBSTITUTE(SUBSTITUTE(LOWER(T409&amp;""),CHAR(160),"")," ",""),".",""),"-",""),"/",""),"?",""),"_",""),",",""),"[",""),"]",""),"(",""),")",""),"*","")</f>
        <v/>
      </c>
      <c r="AV409" s="61" t="str">
        <f aca="false">SUBSTITUTE(SUBSTITUTE(SUBSTITUTE(SUBSTITUTE(SUBSTITUTE(SUBSTITUTE(SUBSTITUTE(SUBSTITUTE(SUBSTITUTE(SUBSTITUTE(SUBSTITUTE(SUBSTITUTE(SUBSTITUTE(LOWER(V409&amp;""),CHAR(160),"")," ",""),".",""),"-",""),"/",""),"?",""),"_",""),",",""),"[",""),"]",""),"(",""),")",""),"*","")</f>
        <v/>
      </c>
      <c r="AW409" s="61" t="str">
        <f aca="false">SUBSTITUTE(SUBSTITUTE(SUBSTITUTE(SUBSTITUTE(SUBSTITUTE(SUBSTITUTE(SUBSTITUTE(SUBSTITUTE(SUBSTITUTE(SUBSTITUTE(SUBSTITUTE(SUBSTITUTE(SUBSTITUTE(LOWER(Z409&amp;""),CHAR(160),"")," ",""),".",""),"-",""),"/",""),"?",""),"_",""),",",""),"[",""),"]",""),"(",""),")",""),"*","")</f>
        <v/>
      </c>
      <c r="AX409" s="61" t="str">
        <f aca="false">SUBSTITUTE(SUBSTITUTE(SUBSTITUTE(SUBSTITUTE(SUBSTITUTE(SUBSTITUTE(SUBSTITUTE(SUBSTITUTE(SUBSTITUTE(SUBSTITUTE(SUBSTITUTE(SUBSTITUTE(SUBSTITUTE(LOWER(AE409&amp;""),CHAR(160),"")," ",""),".",""),"-",""),"/",""),"?",""),"_",""),",",""),"[",""),"]",""),"(",""),")",""),"*","")</f>
        <v/>
      </c>
      <c r="AY409" s="61" t="str">
        <f aca="false">SUBSTITUTE(SUBSTITUTE(SUBSTITUTE(SUBSTITUTE(SUBSTITUTE(SUBSTITUTE(SUBSTITUTE(SUBSTITUTE(SUBSTITUTE(SUBSTITUTE(SUBSTITUTE(SUBSTITUTE(SUBSTITUTE(LOWER(W409&amp;""),CHAR(160),"")," ",""),".",""),"-",""),"/",""),"?",""),"_",""),",",""),"[",""),"]",""),"(",""),")",""),"*","")</f>
        <v/>
      </c>
      <c r="AZ409" s="61" t="str">
        <f aca="false">SUBSTITUTE(SUBSTITUTE(SUBSTITUTE(SUBSTITUTE(SUBSTITUTE(SUBSTITUTE(SUBSTITUTE(SUBSTITUTE(SUBSTITUTE(SUBSTITUTE(SUBSTITUTE(SUBSTITUTE(SUBSTITUTE(LOWER(AC409&amp;""),CHAR(160),"")," ",""),".",""),"-",""),"/",""),"?",""),"_",""),",",""),"[",""),"]",""),"(",""),")",""),"*","")</f>
        <v/>
      </c>
      <c r="BA409" s="61" t="str">
        <f aca="false">SUBSTITUTE(SUBSTITUTE(SUBSTITUTE(SUBSTITUTE(SUBSTITUTE(SUBSTITUTE(SUBSTITUTE(SUBSTITUTE(SUBSTITUTE(SUBSTITUTE(SUBSTITUTE(SUBSTITUTE(SUBSTITUTE(LOWER(AA409&amp;""),CHAR(160),"")," ",""),".",""),"-",""),"/",""),"?",""),"_",""),",",""),"[",""),"]",""),"(",""),")",""),"*","")</f>
        <v/>
      </c>
      <c r="BB409" s="61" t="str">
        <f aca="false">IF(AND(TRIM(U409)="Pass",ISNUMBER(AF409)),IF(AF409&lt;&gt;0,"INVALID – qty variance: use Fail or Pass after CA",""),"")&amp;IF(AND(TRIM(U409)="Pass after CA",ISNUMBER(AF409)),IF(AF409&lt;&gt;0,"INVALID – after the corrective action the actual qty must equal expected (update Actual)",""),"")&amp;IF(AND(TRIM(U409)="Pass",TRIM(AB409)&lt;&gt;"",TRIM(AB409)&lt;&gt;"Closed"),"INVALID – corrective action not closed: use Fail, then Pass after CA","")&amp;IF(AND(TRIM(AA409)&lt;&gt;"",TRIM(AB409)=""),"INVALID – CA status missing for the recorded corrective action","")&amp;IF(AND(TRIM(U409)="Pass after CA",OR(OR(LEN(BA409)&lt;5,ISNUMBER(MATCH(BA409,L_Placeholder,0))),TRIM(AB409)&lt;&gt;"Closed")),"INVALID – corrective action not recorded/closed","")</f>
        <v/>
      </c>
    </row>
    <row r="410" customFormat="false" ht="41.25" hidden="false" customHeight="true" outlineLevel="0" collapsed="false">
      <c r="A410" s="57" t="s">
        <v>1017</v>
      </c>
      <c r="B410" s="57" t="s">
        <v>258</v>
      </c>
      <c r="C410" s="57" t="str">
        <f aca="false">Flights!$F$16</f>
        <v>MH0139</v>
      </c>
      <c r="D410" s="58" t="n">
        <f aca="false">Flights!$D$16</f>
        <v>46307</v>
      </c>
      <c r="E410" s="57" t="str">
        <f aca="false">Flights!$G$16&amp;"-"&amp;Flights!$H$16</f>
        <v>KUL-ADL</v>
      </c>
      <c r="F410" s="57" t="str">
        <f aca="false">Flights!$K$16</f>
        <v>BC</v>
      </c>
      <c r="G410" s="57" t="s">
        <v>398</v>
      </c>
      <c r="H410" s="57" t="s">
        <v>356</v>
      </c>
      <c r="I410" s="57" t="s">
        <v>612</v>
      </c>
      <c r="J410" s="57" t="s">
        <v>613</v>
      </c>
      <c r="K410" s="67" t="s">
        <v>1018</v>
      </c>
      <c r="L410" s="67" t="s">
        <v>1019</v>
      </c>
      <c r="M410" s="67" t="s">
        <v>429</v>
      </c>
      <c r="N410" s="67" t="s">
        <v>361</v>
      </c>
      <c r="O410" s="67" t="s">
        <v>1020</v>
      </c>
      <c r="P410" s="57" t="s">
        <v>184</v>
      </c>
      <c r="Q410" s="59" t="n">
        <f aca="false">ROUND((Flights!$AE$16)*1440,0)/1440</f>
        <v>46307.1006944444</v>
      </c>
      <c r="R410" s="59" t="n">
        <f aca="false">Q410+(IF(AND(INDEX(TZ_DSTS,MATCH(P410,TZ_STN,0))&lt;&gt;"",Q410&gt;=INDEX(TZ_DSTS,MATCH(P410,TZ_STN,0)),Q410&lt;INDEX(TZ_DSTE,MATCH(P410,TZ_STN,0))),INDEX(TZ_DST,MATCH(P410,TZ_STN,0)),INDEX(TZ_STD,MATCH(P410,TZ_STN,0))))/24</f>
        <v>46307.4340277778</v>
      </c>
      <c r="S410" s="59" t="n">
        <f aca="false">Q410-T12EarlyH/24</f>
        <v>46306.6006944444</v>
      </c>
      <c r="T410" s="60"/>
      <c r="U410" s="60"/>
      <c r="V410" s="60"/>
      <c r="W410" s="61"/>
      <c r="X410" s="60"/>
      <c r="Y410" s="60"/>
      <c r="Z410" s="60"/>
      <c r="AA410" s="60"/>
      <c r="AB410" s="60"/>
      <c r="AC410" s="60"/>
      <c r="AD410" s="66"/>
      <c r="AE410" s="60"/>
      <c r="AF410" s="61" t="str">
        <f aca="false">IF(AND(ISNUMBER(X410),ISNUMBER(Y410)),Y410-X410,"")</f>
        <v/>
      </c>
      <c r="AG410" s="62" t="str">
        <f aca="false">IF(ISNUMBER(AD410),AD410-(IF(AND(INDEX(TZ_DSTS,MATCH(P410,TZ_STN,0))&lt;&gt;"",(AD410-INDEX(TZ_STD,MATCH(P410,TZ_STN,0))/24)&gt;=INDEX(TZ_DSTS,MATCH(P410,TZ_STN,0)),(AD410-INDEX(TZ_STD,MATCH(P410,TZ_STN,0))/24)&lt;INDEX(TZ_DSTE,MATCH(P410,TZ_STN,0))),INDEX(TZ_DST,MATCH(P410,TZ_STN,0)),INDEX(TZ_STD,MATCH(P410,TZ_STN,0))))/24,"")</f>
        <v/>
      </c>
      <c r="AH410" s="65" t="str">
        <f aca="false">IFERROR(IF(N410="N/A – rule","N/A – RULE",IF(TRIM(U410)="N/A",IF(AT410=0,"INVALID – N/A not permitted for this check",IF(AND(TRIM(AB410)&lt;&gt;"",TRIM(AB410)&lt;&gt;"Closed"),"INVALID – corrective action still open",IF(AND(NOT(OR(LEN(AZ410)&lt;15,ISNUMBER(MATCH(AZ410,L_Placeholder,0)))),NOT(OR(LEN(AU410)&lt;2,ISNUMBER(MATCH(AU410,L_Placeholder,0)))),NOT(OR(LEN(AX410)&lt;2,ISNUMBER(MATCH(AX410,L_Placeholder,0)))),TRIM(AE410)&lt;&gt;TRIM(T410)),"N/A – JUSTIFIED","INVALID – N/A needs a real justification (15+ chars), PIC and a different verifier"))),IF(OR(TRIM(U410)="Pass",TRIM(U410)="Pass after CA"),IF(NOT(ISNUMBER(AD410)),"INVALID – completion time missing",IF(OR(LEN(AU410)&lt;2,ISNUMBER(MATCH(AU410,L_Placeholder,0))),"INVALID – PIC missing",IF(OR(LEN(AV410)&lt;2,ISNUMBER(MATCH(AV410,L_Placeholder,0))),"INVALID – result / assessment missing",IF(OR(OR(LEN(AW410)&lt;3,ISNUMBER(MATCH(AW410,L_Placeholder,0))),SUMPRODUCT(--ISNUMBER(SEARCH(L_EvidencePhrase,AW410)))&gt;0),"INVALID – evidence missing, placeholder or not yet on file",IF(OR(LEN(AX410)&lt;2,ISNUMBER(MATCH(AX410,L_Placeholder,0))),"INVALID – verifier missing",IF(AX410=AU410,"INVALID – verifier must be someone other than the PIC",IF(AND(TRIM(U410)="Pass",SUMPRODUCT(--ISNUMBER(SEARCH(L_ResultBad,AV410)))&gt;0),"INVALID – result describes a problem: use Fail, then Pass after CA",IF(AND(AQ410=1,OR(LEN(AY410)&lt;3,ISNUMBER(MATCH(AY410,L_Placeholder,0)))),"INVALID – batch ID missing or placeholder",IF(AND(AR410=1,OR(NOT(ISNUMBER(X410)),NOT(ISNUMBER(Y410)))),"INVALID – expected/actual qty missing",IF(AND(AR410=1,OR(X410&lt;=0,Y410&lt;0)),"INVALID – expected qty must be above 0 and actual not negative",IF(BB410&lt;&gt;"",BB410,IF(AND(AS410=1,Documents!$J$16&lt;&gt;"ON FILE"),"INVALID – GLD not on file (Documents sheet)",IF(AND(AS410=2,Documents!$O$16&lt;&gt;"ON FILE"),"INVALID – menu checklist not on file (Documents sheet)",IF(AND(AS410=3,NOT(ISNUMBER(Flights!$AX$16))),"INVALID – enter carrying flight KUL departure (Flights AX)",IF(AND(AS410=3,OR(Flights!$AZ$16&gt;Flights!$AA$16,Flights!$AX$16&lt;Flights!$AA$16-3)),"INVALID – carrying flight (Flights AX) cannot arrive before this leg's STD, or is over 3 days early",IF(AG410&gt;AsOfUTC,"INVALID – completion time is in the future",IF(AND(ISNUMBER(S410),AG410&lt;S410),IF(H410="Physical uplift","INVALID – before uplift window (cannot confirm loading)","INVALID – before valid window"),IF(AG410&gt;Flights!$AA$16,"INVALID – completed after departure (cannot establish readiness)",IF(AND(H410="Preparation",AG410&gt;IF(ISNUMBER(Flights!$BA$16),MIN(Flights!$BA$16,Flights!$AA$16),Flights!$AA$16)),"INVALID – completed after loading / departure (cannot establish readiness)",IF(AND(H410="Physical uplift",AG410&gt;Q410),"INVALID – recorded after the loading flight departed",IF(AG410&gt;Q410,"COMPLETE – LATE","COMPLETE"))))))))))))))))))))),IF(TRIM(U410)="Fail","FAIL – DISCREPANCY",IF(AND(TRIM(U410)&lt;&gt;"",TRIM(U410)&lt;&gt;"Not started",TRIM(U410)&lt;&gt;"In progress"),"INVALID – unrecognised status (use the list)",IF(AsOfUTC&gt;Q410,"OVERDUE",IF(N410="Clarification required","OPEN – CLARIFICATION","OPEN"))))))),"INVALID – error value in an input cell")</f>
        <v>OPEN</v>
      </c>
      <c r="AI410" s="61" t="n">
        <f aca="false">IF(OR(AH410="N/A – RULE",AH410="N/A – JUSTIFIED"),0,1)</f>
        <v>1</v>
      </c>
      <c r="AJ410" s="61" t="n">
        <f aca="false">IF(LEFT(AH410,8)="COMPLETE",1,0)</f>
        <v>0</v>
      </c>
      <c r="AK410" s="61" t="n">
        <f aca="false">IF(AND(AI410=1,AJ410=0,AsOfUTC&gt;Q410),1,0)</f>
        <v>0</v>
      </c>
      <c r="AL410" s="61" t="n">
        <f aca="false">IFERROR(IF(AND(AI410=1,OR(TRIM(U410)="Fail",AND(TRIM(AB410)&lt;&gt;"",TRIM(AB410)&lt;&gt;"Closed"),AND(ISNUMBER(AF410),AF410&lt;&gt;0,TRIM(U410)&lt;&gt;"Pass after CA"))),1,0),1)</f>
        <v>0</v>
      </c>
      <c r="AM410" s="61" t="n">
        <f aca="false">IF(LEFT(AH410,7)="INVALID",1,0)</f>
        <v>0</v>
      </c>
      <c r="AN410" s="61" t="n">
        <f aca="false">IF(AND(N410="Clarification required",AI410=1,AJ410=0),1,0)</f>
        <v>0</v>
      </c>
      <c r="AO410" s="61" t="str">
        <f aca="false">IF(AK410=1,SUM(AK$5:AK410),"")</f>
        <v/>
      </c>
      <c r="AP410" s="61" t="str">
        <f aca="false">IF(AL410=1,SUM(AL$5:AL410),"")</f>
        <v/>
      </c>
      <c r="AQ410" s="61" t="n">
        <v>0</v>
      </c>
      <c r="AR410" s="61" t="n">
        <v>0</v>
      </c>
      <c r="AS410" s="61" t="n">
        <v>0</v>
      </c>
      <c r="AT410" s="61" t="n">
        <v>0</v>
      </c>
      <c r="AU410" s="61" t="str">
        <f aca="false">SUBSTITUTE(SUBSTITUTE(SUBSTITUTE(SUBSTITUTE(SUBSTITUTE(SUBSTITUTE(SUBSTITUTE(SUBSTITUTE(SUBSTITUTE(SUBSTITUTE(SUBSTITUTE(SUBSTITUTE(SUBSTITUTE(LOWER(T410&amp;""),CHAR(160),"")," ",""),".",""),"-",""),"/",""),"?",""),"_",""),",",""),"[",""),"]",""),"(",""),")",""),"*","")</f>
        <v/>
      </c>
      <c r="AV410" s="61" t="str">
        <f aca="false">SUBSTITUTE(SUBSTITUTE(SUBSTITUTE(SUBSTITUTE(SUBSTITUTE(SUBSTITUTE(SUBSTITUTE(SUBSTITUTE(SUBSTITUTE(SUBSTITUTE(SUBSTITUTE(SUBSTITUTE(SUBSTITUTE(LOWER(V410&amp;""),CHAR(160),"")," ",""),".",""),"-",""),"/",""),"?",""),"_",""),",",""),"[",""),"]",""),"(",""),")",""),"*","")</f>
        <v/>
      </c>
      <c r="AW410" s="61" t="str">
        <f aca="false">SUBSTITUTE(SUBSTITUTE(SUBSTITUTE(SUBSTITUTE(SUBSTITUTE(SUBSTITUTE(SUBSTITUTE(SUBSTITUTE(SUBSTITUTE(SUBSTITUTE(SUBSTITUTE(SUBSTITUTE(SUBSTITUTE(LOWER(Z410&amp;""),CHAR(160),"")," ",""),".",""),"-",""),"/",""),"?",""),"_",""),",",""),"[",""),"]",""),"(",""),")",""),"*","")</f>
        <v/>
      </c>
      <c r="AX410" s="61" t="str">
        <f aca="false">SUBSTITUTE(SUBSTITUTE(SUBSTITUTE(SUBSTITUTE(SUBSTITUTE(SUBSTITUTE(SUBSTITUTE(SUBSTITUTE(SUBSTITUTE(SUBSTITUTE(SUBSTITUTE(SUBSTITUTE(SUBSTITUTE(LOWER(AE410&amp;""),CHAR(160),"")," ",""),".",""),"-",""),"/",""),"?",""),"_",""),",",""),"[",""),"]",""),"(",""),")",""),"*","")</f>
        <v/>
      </c>
      <c r="AY410" s="61" t="str">
        <f aca="false">SUBSTITUTE(SUBSTITUTE(SUBSTITUTE(SUBSTITUTE(SUBSTITUTE(SUBSTITUTE(SUBSTITUTE(SUBSTITUTE(SUBSTITUTE(SUBSTITUTE(SUBSTITUTE(SUBSTITUTE(SUBSTITUTE(LOWER(W410&amp;""),CHAR(160),"")," ",""),".",""),"-",""),"/",""),"?",""),"_",""),",",""),"[",""),"]",""),"(",""),")",""),"*","")</f>
        <v/>
      </c>
      <c r="AZ410" s="61" t="str">
        <f aca="false">SUBSTITUTE(SUBSTITUTE(SUBSTITUTE(SUBSTITUTE(SUBSTITUTE(SUBSTITUTE(SUBSTITUTE(SUBSTITUTE(SUBSTITUTE(SUBSTITUTE(SUBSTITUTE(SUBSTITUTE(SUBSTITUTE(LOWER(AC410&amp;""),CHAR(160),"")," ",""),".",""),"-",""),"/",""),"?",""),"_",""),",",""),"[",""),"]",""),"(",""),")",""),"*","")</f>
        <v/>
      </c>
      <c r="BA410" s="61" t="str">
        <f aca="false">SUBSTITUTE(SUBSTITUTE(SUBSTITUTE(SUBSTITUTE(SUBSTITUTE(SUBSTITUTE(SUBSTITUTE(SUBSTITUTE(SUBSTITUTE(SUBSTITUTE(SUBSTITUTE(SUBSTITUTE(SUBSTITUTE(LOWER(AA410&amp;""),CHAR(160),"")," ",""),".",""),"-",""),"/",""),"?",""),"_",""),",",""),"[",""),"]",""),"(",""),")",""),"*","")</f>
        <v/>
      </c>
      <c r="BB410" s="61" t="str">
        <f aca="false">IF(AND(TRIM(U410)="Pass",ISNUMBER(AF410)),IF(AF410&lt;&gt;0,"INVALID – qty variance: use Fail or Pass after CA",""),"")&amp;IF(AND(TRIM(U410)="Pass after CA",ISNUMBER(AF410)),IF(AF410&lt;&gt;0,"INVALID – after the corrective action the actual qty must equal expected (update Actual)",""),"")&amp;IF(AND(TRIM(U410)="Pass",TRIM(AB410)&lt;&gt;"",TRIM(AB410)&lt;&gt;"Closed"),"INVALID – corrective action not closed: use Fail, then Pass after CA","")&amp;IF(AND(TRIM(AA410)&lt;&gt;"",TRIM(AB410)=""),"INVALID – CA status missing for the recorded corrective action","")&amp;IF(AND(TRIM(U410)="Pass after CA",OR(OR(LEN(BA410)&lt;5,ISNUMBER(MATCH(BA410,L_Placeholder,0))),TRIM(AB410)&lt;&gt;"Closed")),"INVALID – corrective action not recorded/closed","")</f>
        <v/>
      </c>
    </row>
    <row r="411" customFormat="false" ht="39.75" hidden="false" customHeight="true" outlineLevel="0" collapsed="false">
      <c r="A411" s="57" t="s">
        <v>1021</v>
      </c>
      <c r="B411" s="57" t="s">
        <v>258</v>
      </c>
      <c r="C411" s="57" t="str">
        <f aca="false">Flights!$F$16</f>
        <v>MH0139</v>
      </c>
      <c r="D411" s="58" t="n">
        <f aca="false">Flights!$D$16</f>
        <v>46307</v>
      </c>
      <c r="E411" s="57" t="str">
        <f aca="false">Flights!$G$16&amp;"-"&amp;Flights!$H$16</f>
        <v>KUL-ADL</v>
      </c>
      <c r="F411" s="57" t="str">
        <f aca="false">Flights!$K$16</f>
        <v>BC</v>
      </c>
      <c r="G411" s="57" t="s">
        <v>437</v>
      </c>
      <c r="H411" s="57" t="s">
        <v>438</v>
      </c>
      <c r="I411" s="57" t="s">
        <v>357</v>
      </c>
      <c r="J411" s="57" t="s">
        <v>439</v>
      </c>
      <c r="K411" s="67" t="s">
        <v>404</v>
      </c>
      <c r="L411" s="67" t="s">
        <v>440</v>
      </c>
      <c r="M411" s="67"/>
      <c r="N411" s="67" t="s">
        <v>361</v>
      </c>
      <c r="O411" s="67" t="s">
        <v>441</v>
      </c>
      <c r="P411" s="57" t="s">
        <v>184</v>
      </c>
      <c r="Q411" s="59" t="n">
        <f aca="false">ROUND((Flights!$AF$16)*1440,0)/1440</f>
        <v>46307.6006944444</v>
      </c>
      <c r="R411" s="59" t="n">
        <f aca="false">Q411+(IF(AND(INDEX(TZ_DSTS,MATCH(P411,TZ_STN,0))&lt;&gt;"",Q411&gt;=INDEX(TZ_DSTS,MATCH(P411,TZ_STN,0)),Q411&lt;INDEX(TZ_DSTE,MATCH(P411,TZ_STN,0))),INDEX(TZ_DST,MATCH(P411,TZ_STN,0)),INDEX(TZ_STD,MATCH(P411,TZ_STN,0))))/24</f>
        <v>46307.9340277778</v>
      </c>
      <c r="S411" s="59" t="n">
        <f aca="false">IF(ISNUMBER(Flights!$AZ$16),MAX(Q411-UpliftWindowH/24,Flights!$AZ$16),Q411-UpliftWindowH/24)</f>
        <v>46307.3506944444</v>
      </c>
      <c r="T411" s="60"/>
      <c r="U411" s="60"/>
      <c r="V411" s="60"/>
      <c r="W411" s="61"/>
      <c r="X411" s="60"/>
      <c r="Y411" s="60"/>
      <c r="Z411" s="60"/>
      <c r="AA411" s="60"/>
      <c r="AB411" s="60"/>
      <c r="AC411" s="60"/>
      <c r="AD411" s="66"/>
      <c r="AE411" s="60"/>
      <c r="AF411" s="61" t="str">
        <f aca="false">IF(AND(ISNUMBER(X411),ISNUMBER(Y411)),Y411-X411,"")</f>
        <v/>
      </c>
      <c r="AG411" s="62" t="str">
        <f aca="false">IF(ISNUMBER(AD411),AD411-(IF(AND(INDEX(TZ_DSTS,MATCH(P411,TZ_STN,0))&lt;&gt;"",(AD411-INDEX(TZ_STD,MATCH(P411,TZ_STN,0))/24)&gt;=INDEX(TZ_DSTS,MATCH(P411,TZ_STN,0)),(AD411-INDEX(TZ_STD,MATCH(P411,TZ_STN,0))/24)&lt;INDEX(TZ_DSTE,MATCH(P411,TZ_STN,0))),INDEX(TZ_DST,MATCH(P411,TZ_STN,0)),INDEX(TZ_STD,MATCH(P411,TZ_STN,0))))/24,"")</f>
        <v/>
      </c>
      <c r="AH411" s="65" t="str">
        <f aca="false">IFERROR(IF(N411="N/A – rule","N/A – RULE",IF(TRIM(U411)="N/A",IF(AT411=0,"INVALID – N/A not permitted for this check",IF(AND(TRIM(AB411)&lt;&gt;"",TRIM(AB411)&lt;&gt;"Closed"),"INVALID – corrective action still open",IF(AND(NOT(OR(LEN(AZ411)&lt;15,ISNUMBER(MATCH(AZ411,L_Placeholder,0)))),NOT(OR(LEN(AU411)&lt;2,ISNUMBER(MATCH(AU411,L_Placeholder,0)))),NOT(OR(LEN(AX411)&lt;2,ISNUMBER(MATCH(AX411,L_Placeholder,0)))),TRIM(AE411)&lt;&gt;TRIM(T411)),"N/A – JUSTIFIED","INVALID – N/A needs a real justification (15+ chars), PIC and a different verifier"))),IF(OR(TRIM(U411)="Pass",TRIM(U411)="Pass after CA"),IF(NOT(ISNUMBER(AD411)),"INVALID – completion time missing",IF(OR(LEN(AU411)&lt;2,ISNUMBER(MATCH(AU411,L_Placeholder,0))),"INVALID – PIC missing",IF(OR(LEN(AV411)&lt;2,ISNUMBER(MATCH(AV411,L_Placeholder,0))),"INVALID – result / assessment missing",IF(OR(OR(LEN(AW411)&lt;3,ISNUMBER(MATCH(AW411,L_Placeholder,0))),SUMPRODUCT(--ISNUMBER(SEARCH(L_EvidencePhrase,AW411)))&gt;0),"INVALID – evidence missing, placeholder or not yet on file",IF(OR(LEN(AX411)&lt;2,ISNUMBER(MATCH(AX411,L_Placeholder,0))),"INVALID – verifier missing",IF(AX411=AU411,"INVALID – verifier must be someone other than the PIC",IF(AND(TRIM(U411)="Pass",SUMPRODUCT(--ISNUMBER(SEARCH(L_ResultBad,AV411)))&gt;0),"INVALID – result describes a problem: use Fail, then Pass after CA",IF(AND(AQ411=1,OR(LEN(AY411)&lt;3,ISNUMBER(MATCH(AY411,L_Placeholder,0)))),"INVALID – batch ID missing or placeholder",IF(AND(AR411=1,OR(NOT(ISNUMBER(X411)),NOT(ISNUMBER(Y411)))),"INVALID – expected/actual qty missing",IF(AND(AR411=1,OR(X411&lt;=0,Y411&lt;0)),"INVALID – expected qty must be above 0 and actual not negative",IF(AH391="N/A – JUSTIFIED","INVALID – preparation row F12-T12-02 is N/A",IF(AND(AR411=1,ISNUMBER(X391),X411&lt;&gt;X391),"INVALID – expected qty differs from preparation check F12-T12-02",IF(BB411&lt;&gt;"",BB411,IF(AND(AS411=1,Documents!$J$16&lt;&gt;"ON FILE"),"INVALID – GLD not on file (Documents sheet)",IF(AND(AS411=2,Documents!$O$16&lt;&gt;"ON FILE"),"INVALID – menu checklist not on file (Documents sheet)",IF(AND(AS411=3,NOT(ISNUMBER(Flights!$AX$16))),"INVALID – enter carrying flight KUL departure (Flights AX)",IF(AND(AS411=3,OR(Flights!$AZ$16&gt;Flights!$AA$16,Flights!$AX$16&lt;Flights!$AA$16-3)),"INVALID – carrying flight (Flights AX) cannot arrive before this leg's STD, or is over 3 days early",IF(AG411&gt;AsOfUTC,"INVALID – completion time is in the future",IF(AND(ISNUMBER(S411),AG411&lt;S411),IF(H411="Physical uplift","INVALID – before uplift window (cannot confirm loading)","INVALID – before valid window"),IF(AG411&gt;Flights!$AA$16,"INVALID – completed after departure (cannot establish readiness)",IF(AND(H411="Preparation",AG411&gt;IF(ISNUMBER(Flights!$BA$16),MIN(Flights!$BA$16,Flights!$AA$16),Flights!$AA$16)),"INVALID – completed after loading / departure (cannot establish readiness)",IF(AND(H411="Physical uplift",AG411&gt;Q411),"INVALID – recorded after the loading flight departed",IF(AG411&gt;Q411,"COMPLETE – LATE","COMPLETE"))))))))))))))))))))))),IF(TRIM(U411)="Fail","FAIL – DISCREPANCY",IF(AND(TRIM(U411)&lt;&gt;"",TRIM(U411)&lt;&gt;"Not started",TRIM(U411)&lt;&gt;"In progress"),"INVALID – unrecognised status (use the list)",IF(AsOfUTC&gt;Q411,"OVERDUE",IF(N411="Clarification required","OPEN – CLARIFICATION","OPEN"))))))),"INVALID – error value in an input cell")</f>
        <v>OPEN</v>
      </c>
      <c r="AI411" s="61" t="n">
        <f aca="false">IF(OR(AH411="N/A – RULE",AH411="N/A – JUSTIFIED"),0,1)</f>
        <v>1</v>
      </c>
      <c r="AJ411" s="61" t="n">
        <f aca="false">IF(LEFT(AH411,8)="COMPLETE",1,0)</f>
        <v>0</v>
      </c>
      <c r="AK411" s="61" t="n">
        <f aca="false">IF(AND(AI411=1,AJ411=0,AsOfUTC&gt;Q411),1,0)</f>
        <v>0</v>
      </c>
      <c r="AL411" s="61" t="n">
        <f aca="false">IFERROR(IF(AND(AI411=1,OR(TRIM(U411)="Fail",AND(TRIM(AB411)&lt;&gt;"",TRIM(AB411)&lt;&gt;"Closed"),AND(ISNUMBER(AF411),AF411&lt;&gt;0,TRIM(U411)&lt;&gt;"Pass after CA"))),1,0),1)</f>
        <v>0</v>
      </c>
      <c r="AM411" s="61" t="n">
        <f aca="false">IF(LEFT(AH411,7)="INVALID",1,0)</f>
        <v>0</v>
      </c>
      <c r="AN411" s="61" t="n">
        <f aca="false">IF(AND(N411="Clarification required",AI411=1,AJ411=0),1,0)</f>
        <v>0</v>
      </c>
      <c r="AO411" s="61" t="str">
        <f aca="false">IF(AK411=1,SUM(AK$5:AK411),"")</f>
        <v/>
      </c>
      <c r="AP411" s="61" t="str">
        <f aca="false">IF(AL411=1,SUM(AL$5:AL411),"")</f>
        <v/>
      </c>
      <c r="AQ411" s="61" t="n">
        <v>0</v>
      </c>
      <c r="AR411" s="61" t="n">
        <v>1</v>
      </c>
      <c r="AS411" s="61" t="n">
        <v>0</v>
      </c>
      <c r="AT411" s="61" t="n">
        <v>0</v>
      </c>
      <c r="AU411" s="61" t="str">
        <f aca="false">SUBSTITUTE(SUBSTITUTE(SUBSTITUTE(SUBSTITUTE(SUBSTITUTE(SUBSTITUTE(SUBSTITUTE(SUBSTITUTE(SUBSTITUTE(SUBSTITUTE(SUBSTITUTE(SUBSTITUTE(SUBSTITUTE(LOWER(T411&amp;""),CHAR(160),"")," ",""),".",""),"-",""),"/",""),"?",""),"_",""),",",""),"[",""),"]",""),"(",""),")",""),"*","")</f>
        <v/>
      </c>
      <c r="AV411" s="61" t="str">
        <f aca="false">SUBSTITUTE(SUBSTITUTE(SUBSTITUTE(SUBSTITUTE(SUBSTITUTE(SUBSTITUTE(SUBSTITUTE(SUBSTITUTE(SUBSTITUTE(SUBSTITUTE(SUBSTITUTE(SUBSTITUTE(SUBSTITUTE(LOWER(V411&amp;""),CHAR(160),"")," ",""),".",""),"-",""),"/",""),"?",""),"_",""),",",""),"[",""),"]",""),"(",""),")",""),"*","")</f>
        <v/>
      </c>
      <c r="AW411" s="61" t="str">
        <f aca="false">SUBSTITUTE(SUBSTITUTE(SUBSTITUTE(SUBSTITUTE(SUBSTITUTE(SUBSTITUTE(SUBSTITUTE(SUBSTITUTE(SUBSTITUTE(SUBSTITUTE(SUBSTITUTE(SUBSTITUTE(SUBSTITUTE(LOWER(Z411&amp;""),CHAR(160),"")," ",""),".",""),"-",""),"/",""),"?",""),"_",""),",",""),"[",""),"]",""),"(",""),")",""),"*","")</f>
        <v/>
      </c>
      <c r="AX411" s="61" t="str">
        <f aca="false">SUBSTITUTE(SUBSTITUTE(SUBSTITUTE(SUBSTITUTE(SUBSTITUTE(SUBSTITUTE(SUBSTITUTE(SUBSTITUTE(SUBSTITUTE(SUBSTITUTE(SUBSTITUTE(SUBSTITUTE(SUBSTITUTE(LOWER(AE411&amp;""),CHAR(160),"")," ",""),".",""),"-",""),"/",""),"?",""),"_",""),",",""),"[",""),"]",""),"(",""),")",""),"*","")</f>
        <v/>
      </c>
      <c r="AY411" s="61" t="str">
        <f aca="false">SUBSTITUTE(SUBSTITUTE(SUBSTITUTE(SUBSTITUTE(SUBSTITUTE(SUBSTITUTE(SUBSTITUTE(SUBSTITUTE(SUBSTITUTE(SUBSTITUTE(SUBSTITUTE(SUBSTITUTE(SUBSTITUTE(LOWER(W411&amp;""),CHAR(160),"")," ",""),".",""),"-",""),"/",""),"?",""),"_",""),",",""),"[",""),"]",""),"(",""),")",""),"*","")</f>
        <v/>
      </c>
      <c r="AZ411" s="61" t="str">
        <f aca="false">SUBSTITUTE(SUBSTITUTE(SUBSTITUTE(SUBSTITUTE(SUBSTITUTE(SUBSTITUTE(SUBSTITUTE(SUBSTITUTE(SUBSTITUTE(SUBSTITUTE(SUBSTITUTE(SUBSTITUTE(SUBSTITUTE(LOWER(AC411&amp;""),CHAR(160),"")," ",""),".",""),"-",""),"/",""),"?",""),"_",""),",",""),"[",""),"]",""),"(",""),")",""),"*","")</f>
        <v/>
      </c>
      <c r="BA411" s="61" t="str">
        <f aca="false">SUBSTITUTE(SUBSTITUTE(SUBSTITUTE(SUBSTITUTE(SUBSTITUTE(SUBSTITUTE(SUBSTITUTE(SUBSTITUTE(SUBSTITUTE(SUBSTITUTE(SUBSTITUTE(SUBSTITUTE(SUBSTITUTE(LOWER(AA411&amp;""),CHAR(160),"")," ",""),".",""),"-",""),"/",""),"?",""),"_",""),",",""),"[",""),"]",""),"(",""),")",""),"*","")</f>
        <v/>
      </c>
      <c r="BB411" s="61" t="str">
        <f aca="false">IF(AND(TRIM(U411)="Pass",ISNUMBER(AF411)),IF(AF411&lt;&gt;0,"INVALID – qty variance: use Fail or Pass after CA",""),"")&amp;IF(AND(TRIM(U411)="Pass after CA",ISNUMBER(AF411)),IF(AF411&lt;&gt;0,"INVALID – after the corrective action the actual qty must equal expected (update Actual)",""),"")&amp;IF(AND(TRIM(U411)="Pass",TRIM(AB411)&lt;&gt;"",TRIM(AB411)&lt;&gt;"Closed"),"INVALID – corrective action not closed: use Fail, then Pass after CA","")&amp;IF(AND(TRIM(AA411)&lt;&gt;"",TRIM(AB411)=""),"INVALID – CA status missing for the recorded corrective action","")&amp;IF(AND(TRIM(U411)="Pass after CA",OR(OR(LEN(BA411)&lt;5,ISNUMBER(MATCH(BA411,L_Placeholder,0))),TRIM(AB411)&lt;&gt;"Closed")),"INVALID – corrective action not recorded/closed","")</f>
        <v/>
      </c>
    </row>
    <row r="412" customFormat="false" ht="39.75" hidden="false" customHeight="true" outlineLevel="0" collapsed="false">
      <c r="A412" s="57" t="s">
        <v>1022</v>
      </c>
      <c r="B412" s="57" t="s">
        <v>258</v>
      </c>
      <c r="C412" s="57" t="str">
        <f aca="false">Flights!$F$16</f>
        <v>MH0139</v>
      </c>
      <c r="D412" s="58" t="n">
        <f aca="false">Flights!$D$16</f>
        <v>46307</v>
      </c>
      <c r="E412" s="57" t="str">
        <f aca="false">Flights!$G$16&amp;"-"&amp;Flights!$H$16</f>
        <v>KUL-ADL</v>
      </c>
      <c r="F412" s="57" t="str">
        <f aca="false">Flights!$K$16</f>
        <v>BC</v>
      </c>
      <c r="G412" s="57" t="s">
        <v>437</v>
      </c>
      <c r="H412" s="57" t="s">
        <v>438</v>
      </c>
      <c r="I412" s="57" t="s">
        <v>406</v>
      </c>
      <c r="J412" s="57" t="s">
        <v>443</v>
      </c>
      <c r="K412" s="67" t="s">
        <v>404</v>
      </c>
      <c r="L412" s="67" t="s">
        <v>440</v>
      </c>
      <c r="M412" s="67"/>
      <c r="N412" s="67" t="s">
        <v>361</v>
      </c>
      <c r="O412" s="67" t="s">
        <v>441</v>
      </c>
      <c r="P412" s="57" t="s">
        <v>184</v>
      </c>
      <c r="Q412" s="59" t="n">
        <f aca="false">ROUND((Flights!$AF$16)*1440,0)/1440</f>
        <v>46307.6006944444</v>
      </c>
      <c r="R412" s="59" t="n">
        <f aca="false">Q412+(IF(AND(INDEX(TZ_DSTS,MATCH(P412,TZ_STN,0))&lt;&gt;"",Q412&gt;=INDEX(TZ_DSTS,MATCH(P412,TZ_STN,0)),Q412&lt;INDEX(TZ_DSTE,MATCH(P412,TZ_STN,0))),INDEX(TZ_DST,MATCH(P412,TZ_STN,0)),INDEX(TZ_STD,MATCH(P412,TZ_STN,0))))/24</f>
        <v>46307.9340277778</v>
      </c>
      <c r="S412" s="59" t="n">
        <f aca="false">IF(ISNUMBER(Flights!$AZ$16),MAX(Q412-UpliftWindowH/24,Flights!$AZ$16),Q412-UpliftWindowH/24)</f>
        <v>46307.3506944444</v>
      </c>
      <c r="T412" s="60"/>
      <c r="U412" s="60"/>
      <c r="V412" s="60"/>
      <c r="W412" s="61"/>
      <c r="X412" s="60"/>
      <c r="Y412" s="60"/>
      <c r="Z412" s="60"/>
      <c r="AA412" s="60"/>
      <c r="AB412" s="60"/>
      <c r="AC412" s="60"/>
      <c r="AD412" s="66"/>
      <c r="AE412" s="60"/>
      <c r="AF412" s="61" t="str">
        <f aca="false">IF(AND(ISNUMBER(X412),ISNUMBER(Y412)),Y412-X412,"")</f>
        <v/>
      </c>
      <c r="AG412" s="62" t="str">
        <f aca="false">IF(ISNUMBER(AD412),AD412-(IF(AND(INDEX(TZ_DSTS,MATCH(P412,TZ_STN,0))&lt;&gt;"",(AD412-INDEX(TZ_STD,MATCH(P412,TZ_STN,0))/24)&gt;=INDEX(TZ_DSTS,MATCH(P412,TZ_STN,0)),(AD412-INDEX(TZ_STD,MATCH(P412,TZ_STN,0))/24)&lt;INDEX(TZ_DSTE,MATCH(P412,TZ_STN,0))),INDEX(TZ_DST,MATCH(P412,TZ_STN,0)),INDEX(TZ_STD,MATCH(P412,TZ_STN,0))))/24,"")</f>
        <v/>
      </c>
      <c r="AH412" s="65" t="str">
        <f aca="false">IFERROR(IF(N412="N/A – rule","N/A – RULE",IF(TRIM(U412)="N/A",IF(AT412=0,"INVALID – N/A not permitted for this check",IF(AND(TRIM(AB412)&lt;&gt;"",TRIM(AB412)&lt;&gt;"Closed"),"INVALID – corrective action still open",IF(AND(NOT(OR(LEN(AZ412)&lt;15,ISNUMBER(MATCH(AZ412,L_Placeholder,0)))),NOT(OR(LEN(AU412)&lt;2,ISNUMBER(MATCH(AU412,L_Placeholder,0)))),NOT(OR(LEN(AX412)&lt;2,ISNUMBER(MATCH(AX412,L_Placeholder,0)))),TRIM(AE412)&lt;&gt;TRIM(T412)),"N/A – JUSTIFIED","INVALID – N/A needs a real justification (15+ chars), PIC and a different verifier"))),IF(OR(TRIM(U412)="Pass",TRIM(U412)="Pass after CA"),IF(NOT(ISNUMBER(AD412)),"INVALID – completion time missing",IF(OR(LEN(AU412)&lt;2,ISNUMBER(MATCH(AU412,L_Placeholder,0))),"INVALID – PIC missing",IF(OR(LEN(AV412)&lt;2,ISNUMBER(MATCH(AV412,L_Placeholder,0))),"INVALID – result / assessment missing",IF(OR(OR(LEN(AW412)&lt;3,ISNUMBER(MATCH(AW412,L_Placeholder,0))),SUMPRODUCT(--ISNUMBER(SEARCH(L_EvidencePhrase,AW412)))&gt;0),"INVALID – evidence missing, placeholder or not yet on file",IF(OR(LEN(AX412)&lt;2,ISNUMBER(MATCH(AX412,L_Placeholder,0))),"INVALID – verifier missing",IF(AX412=AU412,"INVALID – verifier must be someone other than the PIC",IF(AND(TRIM(U412)="Pass",SUMPRODUCT(--ISNUMBER(SEARCH(L_ResultBad,AV412)))&gt;0),"INVALID – result describes a problem: use Fail, then Pass after CA",IF(AND(AQ412=1,OR(LEN(AY412)&lt;3,ISNUMBER(MATCH(AY412,L_Placeholder,0)))),"INVALID – batch ID missing or placeholder",IF(AND(AR412=1,OR(NOT(ISNUMBER(X412)),NOT(ISNUMBER(Y412)))),"INVALID – expected/actual qty missing",IF(AND(AR412=1,OR(X412&lt;=0,Y412&lt;0)),"INVALID – expected qty must be above 0 and actual not negative",IF(AH395="N/A – JUSTIFIED","INVALID – preparation row F12-T12-06 is N/A",IF(AND(AR412=1,ISNUMBER(X395),X412&lt;&gt;X395),"INVALID – expected qty differs from preparation check F12-T12-06",IF(BB412&lt;&gt;"",BB412,IF(AND(AS412=1,Documents!$J$16&lt;&gt;"ON FILE"),"INVALID – GLD not on file (Documents sheet)",IF(AND(AS412=2,Documents!$O$16&lt;&gt;"ON FILE"),"INVALID – menu checklist not on file (Documents sheet)",IF(AND(AS412=3,NOT(ISNUMBER(Flights!$AX$16))),"INVALID – enter carrying flight KUL departure (Flights AX)",IF(AND(AS412=3,OR(Flights!$AZ$16&gt;Flights!$AA$16,Flights!$AX$16&lt;Flights!$AA$16-3)),"INVALID – carrying flight (Flights AX) cannot arrive before this leg's STD, or is over 3 days early",IF(AG412&gt;AsOfUTC,"INVALID – completion time is in the future",IF(AND(ISNUMBER(S412),AG412&lt;S412),IF(H412="Physical uplift","INVALID – before uplift window (cannot confirm loading)","INVALID – before valid window"),IF(AG412&gt;Flights!$AA$16,"INVALID – completed after departure (cannot establish readiness)",IF(AND(H412="Preparation",AG412&gt;IF(ISNUMBER(Flights!$BA$16),MIN(Flights!$BA$16,Flights!$AA$16),Flights!$AA$16)),"INVALID – completed after loading / departure (cannot establish readiness)",IF(AND(H412="Physical uplift",AG412&gt;Q412),"INVALID – recorded after the loading flight departed",IF(AG412&gt;Q412,"COMPLETE – LATE","COMPLETE"))))))))))))))))))))))),IF(TRIM(U412)="Fail","FAIL – DISCREPANCY",IF(AND(TRIM(U412)&lt;&gt;"",TRIM(U412)&lt;&gt;"Not started",TRIM(U412)&lt;&gt;"In progress"),"INVALID – unrecognised status (use the list)",IF(AsOfUTC&gt;Q412,"OVERDUE",IF(N412="Clarification required","OPEN – CLARIFICATION","OPEN"))))))),"INVALID – error value in an input cell")</f>
        <v>OPEN</v>
      </c>
      <c r="AI412" s="61" t="n">
        <f aca="false">IF(OR(AH412="N/A – RULE",AH412="N/A – JUSTIFIED"),0,1)</f>
        <v>1</v>
      </c>
      <c r="AJ412" s="61" t="n">
        <f aca="false">IF(LEFT(AH412,8)="COMPLETE",1,0)</f>
        <v>0</v>
      </c>
      <c r="AK412" s="61" t="n">
        <f aca="false">IF(AND(AI412=1,AJ412=0,AsOfUTC&gt;Q412),1,0)</f>
        <v>0</v>
      </c>
      <c r="AL412" s="61" t="n">
        <f aca="false">IFERROR(IF(AND(AI412=1,OR(TRIM(U412)="Fail",AND(TRIM(AB412)&lt;&gt;"",TRIM(AB412)&lt;&gt;"Closed"),AND(ISNUMBER(AF412),AF412&lt;&gt;0,TRIM(U412)&lt;&gt;"Pass after CA"))),1,0),1)</f>
        <v>0</v>
      </c>
      <c r="AM412" s="61" t="n">
        <f aca="false">IF(LEFT(AH412,7)="INVALID",1,0)</f>
        <v>0</v>
      </c>
      <c r="AN412" s="61" t="n">
        <f aca="false">IF(AND(N412="Clarification required",AI412=1,AJ412=0),1,0)</f>
        <v>0</v>
      </c>
      <c r="AO412" s="61" t="str">
        <f aca="false">IF(AK412=1,SUM(AK$5:AK412),"")</f>
        <v/>
      </c>
      <c r="AP412" s="61" t="str">
        <f aca="false">IF(AL412=1,SUM(AL$5:AL412),"")</f>
        <v/>
      </c>
      <c r="AQ412" s="61" t="n">
        <v>0</v>
      </c>
      <c r="AR412" s="61" t="n">
        <v>1</v>
      </c>
      <c r="AS412" s="61" t="n">
        <v>0</v>
      </c>
      <c r="AT412" s="61" t="n">
        <v>0</v>
      </c>
      <c r="AU412" s="61" t="str">
        <f aca="false">SUBSTITUTE(SUBSTITUTE(SUBSTITUTE(SUBSTITUTE(SUBSTITUTE(SUBSTITUTE(SUBSTITUTE(SUBSTITUTE(SUBSTITUTE(SUBSTITUTE(SUBSTITUTE(SUBSTITUTE(SUBSTITUTE(LOWER(T412&amp;""),CHAR(160),"")," ",""),".",""),"-",""),"/",""),"?",""),"_",""),",",""),"[",""),"]",""),"(",""),")",""),"*","")</f>
        <v/>
      </c>
      <c r="AV412" s="61" t="str">
        <f aca="false">SUBSTITUTE(SUBSTITUTE(SUBSTITUTE(SUBSTITUTE(SUBSTITUTE(SUBSTITUTE(SUBSTITUTE(SUBSTITUTE(SUBSTITUTE(SUBSTITUTE(SUBSTITUTE(SUBSTITUTE(SUBSTITUTE(LOWER(V412&amp;""),CHAR(160),"")," ",""),".",""),"-",""),"/",""),"?",""),"_",""),",",""),"[",""),"]",""),"(",""),")",""),"*","")</f>
        <v/>
      </c>
      <c r="AW412" s="61" t="str">
        <f aca="false">SUBSTITUTE(SUBSTITUTE(SUBSTITUTE(SUBSTITUTE(SUBSTITUTE(SUBSTITUTE(SUBSTITUTE(SUBSTITUTE(SUBSTITUTE(SUBSTITUTE(SUBSTITUTE(SUBSTITUTE(SUBSTITUTE(LOWER(Z412&amp;""),CHAR(160),"")," ",""),".",""),"-",""),"/",""),"?",""),"_",""),",",""),"[",""),"]",""),"(",""),")",""),"*","")</f>
        <v/>
      </c>
      <c r="AX412" s="61" t="str">
        <f aca="false">SUBSTITUTE(SUBSTITUTE(SUBSTITUTE(SUBSTITUTE(SUBSTITUTE(SUBSTITUTE(SUBSTITUTE(SUBSTITUTE(SUBSTITUTE(SUBSTITUTE(SUBSTITUTE(SUBSTITUTE(SUBSTITUTE(LOWER(AE412&amp;""),CHAR(160),"")," ",""),".",""),"-",""),"/",""),"?",""),"_",""),",",""),"[",""),"]",""),"(",""),")",""),"*","")</f>
        <v/>
      </c>
      <c r="AY412" s="61" t="str">
        <f aca="false">SUBSTITUTE(SUBSTITUTE(SUBSTITUTE(SUBSTITUTE(SUBSTITUTE(SUBSTITUTE(SUBSTITUTE(SUBSTITUTE(SUBSTITUTE(SUBSTITUTE(SUBSTITUTE(SUBSTITUTE(SUBSTITUTE(LOWER(W412&amp;""),CHAR(160),"")," ",""),".",""),"-",""),"/",""),"?",""),"_",""),",",""),"[",""),"]",""),"(",""),")",""),"*","")</f>
        <v/>
      </c>
      <c r="AZ412" s="61" t="str">
        <f aca="false">SUBSTITUTE(SUBSTITUTE(SUBSTITUTE(SUBSTITUTE(SUBSTITUTE(SUBSTITUTE(SUBSTITUTE(SUBSTITUTE(SUBSTITUTE(SUBSTITUTE(SUBSTITUTE(SUBSTITUTE(SUBSTITUTE(LOWER(AC412&amp;""),CHAR(160),"")," ",""),".",""),"-",""),"/",""),"?",""),"_",""),",",""),"[",""),"]",""),"(",""),")",""),"*","")</f>
        <v/>
      </c>
      <c r="BA412" s="61" t="str">
        <f aca="false">SUBSTITUTE(SUBSTITUTE(SUBSTITUTE(SUBSTITUTE(SUBSTITUTE(SUBSTITUTE(SUBSTITUTE(SUBSTITUTE(SUBSTITUTE(SUBSTITUTE(SUBSTITUTE(SUBSTITUTE(SUBSTITUTE(LOWER(AA412&amp;""),CHAR(160),"")," ",""),".",""),"-",""),"/",""),"?",""),"_",""),",",""),"[",""),"]",""),"(",""),")",""),"*","")</f>
        <v/>
      </c>
      <c r="BB412" s="61" t="str">
        <f aca="false">IF(AND(TRIM(U412)="Pass",ISNUMBER(AF412)),IF(AF412&lt;&gt;0,"INVALID – qty variance: use Fail or Pass after CA",""),"")&amp;IF(AND(TRIM(U412)="Pass after CA",ISNUMBER(AF412)),IF(AF412&lt;&gt;0,"INVALID – after the corrective action the actual qty must equal expected (update Actual)",""),"")&amp;IF(AND(TRIM(U412)="Pass",TRIM(AB412)&lt;&gt;"",TRIM(AB412)&lt;&gt;"Closed"),"INVALID – corrective action not closed: use Fail, then Pass after CA","")&amp;IF(AND(TRIM(AA412)&lt;&gt;"",TRIM(AB412)=""),"INVALID – CA status missing for the recorded corrective action","")&amp;IF(AND(TRIM(U412)="Pass after CA",OR(OR(LEN(BA412)&lt;5,ISNUMBER(MATCH(BA412,L_Placeholder,0))),TRIM(AB412)&lt;&gt;"Closed")),"INVALID – corrective action not recorded/closed","")</f>
        <v/>
      </c>
    </row>
    <row r="413" customFormat="false" ht="39.75" hidden="false" customHeight="true" outlineLevel="0" collapsed="false">
      <c r="A413" s="57" t="s">
        <v>1023</v>
      </c>
      <c r="B413" s="57" t="s">
        <v>258</v>
      </c>
      <c r="C413" s="57" t="str">
        <f aca="false">Flights!$F$16</f>
        <v>MH0139</v>
      </c>
      <c r="D413" s="58" t="n">
        <f aca="false">Flights!$D$16</f>
        <v>46307</v>
      </c>
      <c r="E413" s="57" t="str">
        <f aca="false">Flights!$G$16&amp;"-"&amp;Flights!$H$16</f>
        <v>KUL-ADL</v>
      </c>
      <c r="F413" s="57" t="str">
        <f aca="false">Flights!$K$16</f>
        <v>BC</v>
      </c>
      <c r="G413" s="57" t="s">
        <v>437</v>
      </c>
      <c r="H413" s="57" t="s">
        <v>438</v>
      </c>
      <c r="I413" s="57" t="s">
        <v>418</v>
      </c>
      <c r="J413" s="57" t="s">
        <v>445</v>
      </c>
      <c r="K413" s="67" t="s">
        <v>479</v>
      </c>
      <c r="L413" s="67" t="s">
        <v>992</v>
      </c>
      <c r="M413" s="67" t="s">
        <v>184</v>
      </c>
      <c r="N413" s="67" t="s">
        <v>361</v>
      </c>
      <c r="O413" s="67"/>
      <c r="P413" s="57" t="s">
        <v>184</v>
      </c>
      <c r="Q413" s="59" t="n">
        <f aca="false">ROUND((Flights!$AF$16)*1440,0)/1440</f>
        <v>46307.6006944444</v>
      </c>
      <c r="R413" s="59" t="n">
        <f aca="false">Q413+(IF(AND(INDEX(TZ_DSTS,MATCH(P413,TZ_STN,0))&lt;&gt;"",Q413&gt;=INDEX(TZ_DSTS,MATCH(P413,TZ_STN,0)),Q413&lt;INDEX(TZ_DSTE,MATCH(P413,TZ_STN,0))),INDEX(TZ_DST,MATCH(P413,TZ_STN,0)),INDEX(TZ_STD,MATCH(P413,TZ_STN,0))))/24</f>
        <v>46307.9340277778</v>
      </c>
      <c r="S413" s="59" t="n">
        <f aca="false">IF(ISNUMBER(Flights!$AZ$16),MAX(Q413-UpliftWindowH/24,Flights!$AZ$16),Q413-UpliftWindowH/24)</f>
        <v>46307.3506944444</v>
      </c>
      <c r="T413" s="60"/>
      <c r="U413" s="60"/>
      <c r="V413" s="60"/>
      <c r="W413" s="61"/>
      <c r="X413" s="60"/>
      <c r="Y413" s="60"/>
      <c r="Z413" s="60"/>
      <c r="AA413" s="60"/>
      <c r="AB413" s="60"/>
      <c r="AC413" s="60"/>
      <c r="AD413" s="66"/>
      <c r="AE413" s="60"/>
      <c r="AF413" s="61" t="str">
        <f aca="false">IF(AND(ISNUMBER(X413),ISNUMBER(Y413)),Y413-X413,"")</f>
        <v/>
      </c>
      <c r="AG413" s="62" t="str">
        <f aca="false">IF(ISNUMBER(AD413),AD413-(IF(AND(INDEX(TZ_DSTS,MATCH(P413,TZ_STN,0))&lt;&gt;"",(AD413-INDEX(TZ_STD,MATCH(P413,TZ_STN,0))/24)&gt;=INDEX(TZ_DSTS,MATCH(P413,TZ_STN,0)),(AD413-INDEX(TZ_STD,MATCH(P413,TZ_STN,0))/24)&lt;INDEX(TZ_DSTE,MATCH(P413,TZ_STN,0))),INDEX(TZ_DST,MATCH(P413,TZ_STN,0)),INDEX(TZ_STD,MATCH(P413,TZ_STN,0))))/24,"")</f>
        <v/>
      </c>
      <c r="AH413" s="65" t="str">
        <f aca="false">IFERROR(IF(N413="N/A – rule","N/A – RULE",IF(TRIM(U413)="N/A",IF(AT413=0,"INVALID – N/A not permitted for this check",IF(AND(TRIM(AB413)&lt;&gt;"",TRIM(AB413)&lt;&gt;"Closed"),"INVALID – corrective action still open",IF(AND(NOT(OR(LEN(AZ413)&lt;15,ISNUMBER(MATCH(AZ413,L_Placeholder,0)))),NOT(OR(LEN(AU413)&lt;2,ISNUMBER(MATCH(AU413,L_Placeholder,0)))),NOT(OR(LEN(AX413)&lt;2,ISNUMBER(MATCH(AX413,L_Placeholder,0)))),TRIM(AE413)&lt;&gt;TRIM(T413)),"N/A – JUSTIFIED","INVALID – N/A needs a real justification (15+ chars), PIC and a different verifier"))),IF(OR(TRIM(U413)="Pass",TRIM(U413)="Pass after CA"),IF(NOT(ISNUMBER(AD413)),"INVALID – completion time missing",IF(OR(LEN(AU413)&lt;2,ISNUMBER(MATCH(AU413,L_Placeholder,0))),"INVALID – PIC missing",IF(OR(LEN(AV413)&lt;2,ISNUMBER(MATCH(AV413,L_Placeholder,0))),"INVALID – result / assessment missing",IF(OR(OR(LEN(AW413)&lt;3,ISNUMBER(MATCH(AW413,L_Placeholder,0))),SUMPRODUCT(--ISNUMBER(SEARCH(L_EvidencePhrase,AW413)))&gt;0),"INVALID – evidence missing, placeholder or not yet on file",IF(OR(LEN(AX413)&lt;2,ISNUMBER(MATCH(AX413,L_Placeholder,0))),"INVALID – verifier missing",IF(AX413=AU413,"INVALID – verifier must be someone other than the PIC",IF(AND(TRIM(U413)="Pass",SUMPRODUCT(--ISNUMBER(SEARCH(L_ResultBad,AV413)))&gt;0),"INVALID – result describes a problem: use Fail, then Pass after CA",IF(AND(AQ413=1,OR(LEN(AY413)&lt;3,ISNUMBER(MATCH(AY413,L_Placeholder,0)))),"INVALID – batch ID missing or placeholder",IF(AND(AR413=1,OR(NOT(ISNUMBER(X413)),NOT(ISNUMBER(Y413)))),"INVALID – expected/actual qty missing",IF(AND(AR413=1,OR(X413&lt;=0,Y413&lt;0)),"INVALID – expected qty must be above 0 and actual not negative",IF(AH397="N/A – JUSTIFIED","INVALID – preparation row F12-T12-08 is N/A",IF(AND(AR413=1,ISNUMBER(X397),X413&lt;&gt;X397),"INVALID – expected qty differs from preparation check F12-T12-08",IF(BB413&lt;&gt;"",BB413,IF(AND(AS413=1,Documents!$J$16&lt;&gt;"ON FILE"),"INVALID – GLD not on file (Documents sheet)",IF(AND(AS413=2,Documents!$O$16&lt;&gt;"ON FILE"),"INVALID – menu checklist not on file (Documents sheet)",IF(AND(AS413=3,NOT(ISNUMBER(Flights!$AX$16))),"INVALID – enter carrying flight KUL departure (Flights AX)",IF(AND(AS413=3,OR(Flights!$AZ$16&gt;Flights!$AA$16,Flights!$AX$16&lt;Flights!$AA$16-3)),"INVALID – carrying flight (Flights AX) cannot arrive before this leg's STD, or is over 3 days early",IF(AG413&gt;AsOfUTC,"INVALID – completion time is in the future",IF(AND(ISNUMBER(S413),AG413&lt;S413),IF(H413="Physical uplift","INVALID – before uplift window (cannot confirm loading)","INVALID – before valid window"),IF(AG413&gt;Flights!$AA$16,"INVALID – completed after departure (cannot establish readiness)",IF(AND(H413="Preparation",AG413&gt;IF(ISNUMBER(Flights!$BA$16),MIN(Flights!$BA$16,Flights!$AA$16),Flights!$AA$16)),"INVALID – completed after loading / departure (cannot establish readiness)",IF(AND(H413="Physical uplift",AG413&gt;Q413),"INVALID – recorded after the loading flight departed",IF(AG413&gt;Q413,"COMPLETE – LATE","COMPLETE"))))))))))))))))))))))),IF(TRIM(U413)="Fail","FAIL – DISCREPANCY",IF(AND(TRIM(U413)&lt;&gt;"",TRIM(U413)&lt;&gt;"Not started",TRIM(U413)&lt;&gt;"In progress"),"INVALID – unrecognised status (use the list)",IF(AsOfUTC&gt;Q413,"OVERDUE",IF(N413="Clarification required","OPEN – CLARIFICATION","OPEN"))))))),"INVALID – error value in an input cell")</f>
        <v>OPEN</v>
      </c>
      <c r="AI413" s="61" t="n">
        <f aca="false">IF(OR(AH413="N/A – RULE",AH413="N/A – JUSTIFIED"),0,1)</f>
        <v>1</v>
      </c>
      <c r="AJ413" s="61" t="n">
        <f aca="false">IF(LEFT(AH413,8)="COMPLETE",1,0)</f>
        <v>0</v>
      </c>
      <c r="AK413" s="61" t="n">
        <f aca="false">IF(AND(AI413=1,AJ413=0,AsOfUTC&gt;Q413),1,0)</f>
        <v>0</v>
      </c>
      <c r="AL413" s="61" t="n">
        <f aca="false">IFERROR(IF(AND(AI413=1,OR(TRIM(U413)="Fail",AND(TRIM(AB413)&lt;&gt;"",TRIM(AB413)&lt;&gt;"Closed"),AND(ISNUMBER(AF413),AF413&lt;&gt;0,TRIM(U413)&lt;&gt;"Pass after CA"))),1,0),1)</f>
        <v>0</v>
      </c>
      <c r="AM413" s="61" t="n">
        <f aca="false">IF(LEFT(AH413,7)="INVALID",1,0)</f>
        <v>0</v>
      </c>
      <c r="AN413" s="61" t="n">
        <f aca="false">IF(AND(N413="Clarification required",AI413=1,AJ413=0),1,0)</f>
        <v>0</v>
      </c>
      <c r="AO413" s="61" t="str">
        <f aca="false">IF(AK413=1,SUM(AK$5:AK413),"")</f>
        <v/>
      </c>
      <c r="AP413" s="61" t="str">
        <f aca="false">IF(AL413=1,SUM(AL$5:AL413),"")</f>
        <v/>
      </c>
      <c r="AQ413" s="61" t="n">
        <v>0</v>
      </c>
      <c r="AR413" s="61" t="n">
        <v>0</v>
      </c>
      <c r="AS413" s="61" t="n">
        <v>0</v>
      </c>
      <c r="AT413" s="61" t="n">
        <v>0</v>
      </c>
      <c r="AU413" s="61" t="str">
        <f aca="false">SUBSTITUTE(SUBSTITUTE(SUBSTITUTE(SUBSTITUTE(SUBSTITUTE(SUBSTITUTE(SUBSTITUTE(SUBSTITUTE(SUBSTITUTE(SUBSTITUTE(SUBSTITUTE(SUBSTITUTE(SUBSTITUTE(LOWER(T413&amp;""),CHAR(160),"")," ",""),".",""),"-",""),"/",""),"?",""),"_",""),",",""),"[",""),"]",""),"(",""),")",""),"*","")</f>
        <v/>
      </c>
      <c r="AV413" s="61" t="str">
        <f aca="false">SUBSTITUTE(SUBSTITUTE(SUBSTITUTE(SUBSTITUTE(SUBSTITUTE(SUBSTITUTE(SUBSTITUTE(SUBSTITUTE(SUBSTITUTE(SUBSTITUTE(SUBSTITUTE(SUBSTITUTE(SUBSTITUTE(LOWER(V413&amp;""),CHAR(160),"")," ",""),".",""),"-",""),"/",""),"?",""),"_",""),",",""),"[",""),"]",""),"(",""),")",""),"*","")</f>
        <v/>
      </c>
      <c r="AW413" s="61" t="str">
        <f aca="false">SUBSTITUTE(SUBSTITUTE(SUBSTITUTE(SUBSTITUTE(SUBSTITUTE(SUBSTITUTE(SUBSTITUTE(SUBSTITUTE(SUBSTITUTE(SUBSTITUTE(SUBSTITUTE(SUBSTITUTE(SUBSTITUTE(LOWER(Z413&amp;""),CHAR(160),"")," ",""),".",""),"-",""),"/",""),"?",""),"_",""),",",""),"[",""),"]",""),"(",""),")",""),"*","")</f>
        <v/>
      </c>
      <c r="AX413" s="61" t="str">
        <f aca="false">SUBSTITUTE(SUBSTITUTE(SUBSTITUTE(SUBSTITUTE(SUBSTITUTE(SUBSTITUTE(SUBSTITUTE(SUBSTITUTE(SUBSTITUTE(SUBSTITUTE(SUBSTITUTE(SUBSTITUTE(SUBSTITUTE(LOWER(AE413&amp;""),CHAR(160),"")," ",""),".",""),"-",""),"/",""),"?",""),"_",""),",",""),"[",""),"]",""),"(",""),")",""),"*","")</f>
        <v/>
      </c>
      <c r="AY413" s="61" t="str">
        <f aca="false">SUBSTITUTE(SUBSTITUTE(SUBSTITUTE(SUBSTITUTE(SUBSTITUTE(SUBSTITUTE(SUBSTITUTE(SUBSTITUTE(SUBSTITUTE(SUBSTITUTE(SUBSTITUTE(SUBSTITUTE(SUBSTITUTE(LOWER(W413&amp;""),CHAR(160),"")," ",""),".",""),"-",""),"/",""),"?",""),"_",""),",",""),"[",""),"]",""),"(",""),")",""),"*","")</f>
        <v/>
      </c>
      <c r="AZ413" s="61" t="str">
        <f aca="false">SUBSTITUTE(SUBSTITUTE(SUBSTITUTE(SUBSTITUTE(SUBSTITUTE(SUBSTITUTE(SUBSTITUTE(SUBSTITUTE(SUBSTITUTE(SUBSTITUTE(SUBSTITUTE(SUBSTITUTE(SUBSTITUTE(LOWER(AC413&amp;""),CHAR(160),"")," ",""),".",""),"-",""),"/",""),"?",""),"_",""),",",""),"[",""),"]",""),"(",""),")",""),"*","")</f>
        <v/>
      </c>
      <c r="BA413" s="61" t="str">
        <f aca="false">SUBSTITUTE(SUBSTITUTE(SUBSTITUTE(SUBSTITUTE(SUBSTITUTE(SUBSTITUTE(SUBSTITUTE(SUBSTITUTE(SUBSTITUTE(SUBSTITUTE(SUBSTITUTE(SUBSTITUTE(SUBSTITUTE(LOWER(AA413&amp;""),CHAR(160),"")," ",""),".",""),"-",""),"/",""),"?",""),"_",""),",",""),"[",""),"]",""),"(",""),")",""),"*","")</f>
        <v/>
      </c>
      <c r="BB413" s="61" t="str">
        <f aca="false">IF(AND(TRIM(U413)="Pass",ISNUMBER(AF413)),IF(AF413&lt;&gt;0,"INVALID – qty variance: use Fail or Pass after CA",""),"")&amp;IF(AND(TRIM(U413)="Pass after CA",ISNUMBER(AF413)),IF(AF413&lt;&gt;0,"INVALID – after the corrective action the actual qty must equal expected (update Actual)",""),"")&amp;IF(AND(TRIM(U413)="Pass",TRIM(AB413)&lt;&gt;"",TRIM(AB413)&lt;&gt;"Closed"),"INVALID – corrective action not closed: use Fail, then Pass after CA","")&amp;IF(AND(TRIM(AA413)&lt;&gt;"",TRIM(AB413)=""),"INVALID – CA status missing for the recorded corrective action","")&amp;IF(AND(TRIM(U413)="Pass after CA",OR(OR(LEN(BA413)&lt;5,ISNUMBER(MATCH(BA413,L_Placeholder,0))),TRIM(AB413)&lt;&gt;"Closed")),"INVALID – corrective action not recorded/closed","")</f>
        <v/>
      </c>
    </row>
    <row r="414" customFormat="false" ht="39.75" hidden="false" customHeight="true" outlineLevel="0" collapsed="false">
      <c r="A414" s="57" t="s">
        <v>1024</v>
      </c>
      <c r="B414" s="57" t="s">
        <v>258</v>
      </c>
      <c r="C414" s="57" t="str">
        <f aca="false">Flights!$F$16</f>
        <v>MH0139</v>
      </c>
      <c r="D414" s="58" t="n">
        <f aca="false">Flights!$D$16</f>
        <v>46307</v>
      </c>
      <c r="E414" s="57" t="str">
        <f aca="false">Flights!$G$16&amp;"-"&amp;Flights!$H$16</f>
        <v>KUL-ADL</v>
      </c>
      <c r="F414" s="57" t="str">
        <f aca="false">Flights!$K$16</f>
        <v>BC</v>
      </c>
      <c r="G414" s="57" t="s">
        <v>437</v>
      </c>
      <c r="H414" s="57" t="s">
        <v>438</v>
      </c>
      <c r="I414" s="57" t="s">
        <v>418</v>
      </c>
      <c r="J414" s="57" t="s">
        <v>621</v>
      </c>
      <c r="K414" s="67" t="s">
        <v>479</v>
      </c>
      <c r="L414" s="67" t="s">
        <v>994</v>
      </c>
      <c r="M414" s="67" t="s">
        <v>184</v>
      </c>
      <c r="N414" s="67" t="s">
        <v>361</v>
      </c>
      <c r="O414" s="67"/>
      <c r="P414" s="57" t="s">
        <v>184</v>
      </c>
      <c r="Q414" s="59" t="n">
        <f aca="false">ROUND((Flights!$AF$16)*1440,0)/1440</f>
        <v>46307.6006944444</v>
      </c>
      <c r="R414" s="59" t="n">
        <f aca="false">Q414+(IF(AND(INDEX(TZ_DSTS,MATCH(P414,TZ_STN,0))&lt;&gt;"",Q414&gt;=INDEX(TZ_DSTS,MATCH(P414,TZ_STN,0)),Q414&lt;INDEX(TZ_DSTE,MATCH(P414,TZ_STN,0))),INDEX(TZ_DST,MATCH(P414,TZ_STN,0)),INDEX(TZ_STD,MATCH(P414,TZ_STN,0))))/24</f>
        <v>46307.9340277778</v>
      </c>
      <c r="S414" s="59" t="n">
        <f aca="false">IF(ISNUMBER(Flights!$AZ$16),MAX(Q414-UpliftWindowH/24,Flights!$AZ$16),Q414-UpliftWindowH/24)</f>
        <v>46307.3506944444</v>
      </c>
      <c r="T414" s="60"/>
      <c r="U414" s="60"/>
      <c r="V414" s="60"/>
      <c r="W414" s="61"/>
      <c r="X414" s="60"/>
      <c r="Y414" s="60"/>
      <c r="Z414" s="60"/>
      <c r="AA414" s="60"/>
      <c r="AB414" s="60"/>
      <c r="AC414" s="60"/>
      <c r="AD414" s="66"/>
      <c r="AE414" s="60"/>
      <c r="AF414" s="61" t="str">
        <f aca="false">IF(AND(ISNUMBER(X414),ISNUMBER(Y414)),Y414-X414,"")</f>
        <v/>
      </c>
      <c r="AG414" s="62" t="str">
        <f aca="false">IF(ISNUMBER(AD414),AD414-(IF(AND(INDEX(TZ_DSTS,MATCH(P414,TZ_STN,0))&lt;&gt;"",(AD414-INDEX(TZ_STD,MATCH(P414,TZ_STN,0))/24)&gt;=INDEX(TZ_DSTS,MATCH(P414,TZ_STN,0)),(AD414-INDEX(TZ_STD,MATCH(P414,TZ_STN,0))/24)&lt;INDEX(TZ_DSTE,MATCH(P414,TZ_STN,0))),INDEX(TZ_DST,MATCH(P414,TZ_STN,0)),INDEX(TZ_STD,MATCH(P414,TZ_STN,0))))/24,"")</f>
        <v/>
      </c>
      <c r="AH414" s="65" t="str">
        <f aca="false">IFERROR(IF(N414="N/A – rule","N/A – RULE",IF(TRIM(U414)="N/A",IF(AT414=0,"INVALID – N/A not permitted for this check",IF(AND(TRIM(AB414)&lt;&gt;"",TRIM(AB414)&lt;&gt;"Closed"),"INVALID – corrective action still open",IF(AND(NOT(OR(LEN(AZ414)&lt;15,ISNUMBER(MATCH(AZ414,L_Placeholder,0)))),NOT(OR(LEN(AU414)&lt;2,ISNUMBER(MATCH(AU414,L_Placeholder,0)))),NOT(OR(LEN(AX414)&lt;2,ISNUMBER(MATCH(AX414,L_Placeholder,0)))),TRIM(AE414)&lt;&gt;TRIM(T414)),"N/A – JUSTIFIED","INVALID – N/A needs a real justification (15+ chars), PIC and a different verifier"))),IF(OR(TRIM(U414)="Pass",TRIM(U414)="Pass after CA"),IF(NOT(ISNUMBER(AD414)),"INVALID – completion time missing",IF(OR(LEN(AU414)&lt;2,ISNUMBER(MATCH(AU414,L_Placeholder,0))),"INVALID – PIC missing",IF(OR(LEN(AV414)&lt;2,ISNUMBER(MATCH(AV414,L_Placeholder,0))),"INVALID – result / assessment missing",IF(OR(OR(LEN(AW414)&lt;3,ISNUMBER(MATCH(AW414,L_Placeholder,0))),SUMPRODUCT(--ISNUMBER(SEARCH(L_EvidencePhrase,AW414)))&gt;0),"INVALID – evidence missing, placeholder or not yet on file",IF(OR(LEN(AX414)&lt;2,ISNUMBER(MATCH(AX414,L_Placeholder,0))),"INVALID – verifier missing",IF(AX414=AU414,"INVALID – verifier must be someone other than the PIC",IF(AND(TRIM(U414)="Pass",SUMPRODUCT(--ISNUMBER(SEARCH(L_ResultBad,AV414)))&gt;0),"INVALID – result describes a problem: use Fail, then Pass after CA",IF(AND(AQ414=1,OR(LEN(AY414)&lt;3,ISNUMBER(MATCH(AY414,L_Placeholder,0)))),"INVALID – batch ID missing or placeholder",IF(AND(AR414=1,OR(NOT(ISNUMBER(X414)),NOT(ISNUMBER(Y414)))),"INVALID – expected/actual qty missing",IF(AND(AR414=1,OR(X414&lt;=0,Y414&lt;0)),"INVALID – expected qty must be above 0 and actual not negative",IF(AH398="N/A – JUSTIFIED","INVALID – preparation row F12-T12-09 is N/A",IF(AND(AR414=1,ISNUMBER(X398),X414&lt;&gt;X398),"INVALID – expected qty differs from preparation check F12-T12-09",IF(BB414&lt;&gt;"",BB414,IF(AND(AS414=1,Documents!$J$16&lt;&gt;"ON FILE"),"INVALID – GLD not on file (Documents sheet)",IF(AND(AS414=2,Documents!$O$16&lt;&gt;"ON FILE"),"INVALID – menu checklist not on file (Documents sheet)",IF(AND(AS414=3,NOT(ISNUMBER(Flights!$AX$16))),"INVALID – enter carrying flight KUL departure (Flights AX)",IF(AND(AS414=3,OR(Flights!$AZ$16&gt;Flights!$AA$16,Flights!$AX$16&lt;Flights!$AA$16-3)),"INVALID – carrying flight (Flights AX) cannot arrive before this leg's STD, or is over 3 days early",IF(AG414&gt;AsOfUTC,"INVALID – completion time is in the future",IF(AND(ISNUMBER(S414),AG414&lt;S414),IF(H414="Physical uplift","INVALID – before uplift window (cannot confirm loading)","INVALID – before valid window"),IF(AG414&gt;Flights!$AA$16,"INVALID – completed after departure (cannot establish readiness)",IF(AND(H414="Preparation",AG414&gt;IF(ISNUMBER(Flights!$BA$16),MIN(Flights!$BA$16,Flights!$AA$16),Flights!$AA$16)),"INVALID – completed after loading / departure (cannot establish readiness)",IF(AND(H414="Physical uplift",AG414&gt;Q414),"INVALID – recorded after the loading flight departed",IF(AG414&gt;Q414,"COMPLETE – LATE","COMPLETE"))))))))))))))))))))))),IF(TRIM(U414)="Fail","FAIL – DISCREPANCY",IF(AND(TRIM(U414)&lt;&gt;"",TRIM(U414)&lt;&gt;"Not started",TRIM(U414)&lt;&gt;"In progress"),"INVALID – unrecognised status (use the list)",IF(AsOfUTC&gt;Q414,"OVERDUE",IF(N414="Clarification required","OPEN – CLARIFICATION","OPEN"))))))),"INVALID – error value in an input cell")</f>
        <v>OPEN</v>
      </c>
      <c r="AI414" s="61" t="n">
        <f aca="false">IF(OR(AH414="N/A – RULE",AH414="N/A – JUSTIFIED"),0,1)</f>
        <v>1</v>
      </c>
      <c r="AJ414" s="61" t="n">
        <f aca="false">IF(LEFT(AH414,8)="COMPLETE",1,0)</f>
        <v>0</v>
      </c>
      <c r="AK414" s="61" t="n">
        <f aca="false">IF(AND(AI414=1,AJ414=0,AsOfUTC&gt;Q414),1,0)</f>
        <v>0</v>
      </c>
      <c r="AL414" s="61" t="n">
        <f aca="false">IFERROR(IF(AND(AI414=1,OR(TRIM(U414)="Fail",AND(TRIM(AB414)&lt;&gt;"",TRIM(AB414)&lt;&gt;"Closed"),AND(ISNUMBER(AF414),AF414&lt;&gt;0,TRIM(U414)&lt;&gt;"Pass after CA"))),1,0),1)</f>
        <v>0</v>
      </c>
      <c r="AM414" s="61" t="n">
        <f aca="false">IF(LEFT(AH414,7)="INVALID",1,0)</f>
        <v>0</v>
      </c>
      <c r="AN414" s="61" t="n">
        <f aca="false">IF(AND(N414="Clarification required",AI414=1,AJ414=0),1,0)</f>
        <v>0</v>
      </c>
      <c r="AO414" s="61" t="str">
        <f aca="false">IF(AK414=1,SUM(AK$5:AK414),"")</f>
        <v/>
      </c>
      <c r="AP414" s="61" t="str">
        <f aca="false">IF(AL414=1,SUM(AL$5:AL414),"")</f>
        <v/>
      </c>
      <c r="AQ414" s="61" t="n">
        <v>0</v>
      </c>
      <c r="AR414" s="61" t="n">
        <v>0</v>
      </c>
      <c r="AS414" s="61" t="n">
        <v>0</v>
      </c>
      <c r="AT414" s="61" t="n">
        <v>0</v>
      </c>
      <c r="AU414" s="61" t="str">
        <f aca="false">SUBSTITUTE(SUBSTITUTE(SUBSTITUTE(SUBSTITUTE(SUBSTITUTE(SUBSTITUTE(SUBSTITUTE(SUBSTITUTE(SUBSTITUTE(SUBSTITUTE(SUBSTITUTE(SUBSTITUTE(SUBSTITUTE(LOWER(T414&amp;""),CHAR(160),"")," ",""),".",""),"-",""),"/",""),"?",""),"_",""),",",""),"[",""),"]",""),"(",""),")",""),"*","")</f>
        <v/>
      </c>
      <c r="AV414" s="61" t="str">
        <f aca="false">SUBSTITUTE(SUBSTITUTE(SUBSTITUTE(SUBSTITUTE(SUBSTITUTE(SUBSTITUTE(SUBSTITUTE(SUBSTITUTE(SUBSTITUTE(SUBSTITUTE(SUBSTITUTE(SUBSTITUTE(SUBSTITUTE(LOWER(V414&amp;""),CHAR(160),"")," ",""),".",""),"-",""),"/",""),"?",""),"_",""),",",""),"[",""),"]",""),"(",""),")",""),"*","")</f>
        <v/>
      </c>
      <c r="AW414" s="61" t="str">
        <f aca="false">SUBSTITUTE(SUBSTITUTE(SUBSTITUTE(SUBSTITUTE(SUBSTITUTE(SUBSTITUTE(SUBSTITUTE(SUBSTITUTE(SUBSTITUTE(SUBSTITUTE(SUBSTITUTE(SUBSTITUTE(SUBSTITUTE(LOWER(Z414&amp;""),CHAR(160),"")," ",""),".",""),"-",""),"/",""),"?",""),"_",""),",",""),"[",""),"]",""),"(",""),")",""),"*","")</f>
        <v/>
      </c>
      <c r="AX414" s="61" t="str">
        <f aca="false">SUBSTITUTE(SUBSTITUTE(SUBSTITUTE(SUBSTITUTE(SUBSTITUTE(SUBSTITUTE(SUBSTITUTE(SUBSTITUTE(SUBSTITUTE(SUBSTITUTE(SUBSTITUTE(SUBSTITUTE(SUBSTITUTE(LOWER(AE414&amp;""),CHAR(160),"")," ",""),".",""),"-",""),"/",""),"?",""),"_",""),",",""),"[",""),"]",""),"(",""),")",""),"*","")</f>
        <v/>
      </c>
      <c r="AY414" s="61" t="str">
        <f aca="false">SUBSTITUTE(SUBSTITUTE(SUBSTITUTE(SUBSTITUTE(SUBSTITUTE(SUBSTITUTE(SUBSTITUTE(SUBSTITUTE(SUBSTITUTE(SUBSTITUTE(SUBSTITUTE(SUBSTITUTE(SUBSTITUTE(LOWER(W414&amp;""),CHAR(160),"")," ",""),".",""),"-",""),"/",""),"?",""),"_",""),",",""),"[",""),"]",""),"(",""),")",""),"*","")</f>
        <v/>
      </c>
      <c r="AZ414" s="61" t="str">
        <f aca="false">SUBSTITUTE(SUBSTITUTE(SUBSTITUTE(SUBSTITUTE(SUBSTITUTE(SUBSTITUTE(SUBSTITUTE(SUBSTITUTE(SUBSTITUTE(SUBSTITUTE(SUBSTITUTE(SUBSTITUTE(SUBSTITUTE(LOWER(AC414&amp;""),CHAR(160),"")," ",""),".",""),"-",""),"/",""),"?",""),"_",""),",",""),"[",""),"]",""),"(",""),")",""),"*","")</f>
        <v/>
      </c>
      <c r="BA414" s="61" t="str">
        <f aca="false">SUBSTITUTE(SUBSTITUTE(SUBSTITUTE(SUBSTITUTE(SUBSTITUTE(SUBSTITUTE(SUBSTITUTE(SUBSTITUTE(SUBSTITUTE(SUBSTITUTE(SUBSTITUTE(SUBSTITUTE(SUBSTITUTE(LOWER(AA414&amp;""),CHAR(160),"")," ",""),".",""),"-",""),"/",""),"?",""),"_",""),",",""),"[",""),"]",""),"(",""),")",""),"*","")</f>
        <v/>
      </c>
      <c r="BB414" s="61" t="str">
        <f aca="false">IF(AND(TRIM(U414)="Pass",ISNUMBER(AF414)),IF(AF414&lt;&gt;0,"INVALID – qty variance: use Fail or Pass after CA",""),"")&amp;IF(AND(TRIM(U414)="Pass after CA",ISNUMBER(AF414)),IF(AF414&lt;&gt;0,"INVALID – after the corrective action the actual qty must equal expected (update Actual)",""),"")&amp;IF(AND(TRIM(U414)="Pass",TRIM(AB414)&lt;&gt;"",TRIM(AB414)&lt;&gt;"Closed"),"INVALID – corrective action not closed: use Fail, then Pass after CA","")&amp;IF(AND(TRIM(AA414)&lt;&gt;"",TRIM(AB414)=""),"INVALID – CA status missing for the recorded corrective action","")&amp;IF(AND(TRIM(U414)="Pass after CA",OR(OR(LEN(BA414)&lt;5,ISNUMBER(MATCH(BA414,L_Placeholder,0))),TRIM(AB414)&lt;&gt;"Closed")),"INVALID – corrective action not recorded/closed","")</f>
        <v/>
      </c>
    </row>
    <row r="415" customFormat="false" ht="39.75" hidden="false" customHeight="true" outlineLevel="0" collapsed="false">
      <c r="A415" s="57" t="s">
        <v>1025</v>
      </c>
      <c r="B415" s="57" t="s">
        <v>258</v>
      </c>
      <c r="C415" s="57" t="str">
        <f aca="false">Flights!$F$16</f>
        <v>MH0139</v>
      </c>
      <c r="D415" s="58" t="n">
        <f aca="false">Flights!$D$16</f>
        <v>46307</v>
      </c>
      <c r="E415" s="57" t="str">
        <f aca="false">Flights!$G$16&amp;"-"&amp;Flights!$H$16</f>
        <v>KUL-ADL</v>
      </c>
      <c r="F415" s="57" t="str">
        <f aca="false">Flights!$K$16</f>
        <v>BC</v>
      </c>
      <c r="G415" s="57" t="s">
        <v>437</v>
      </c>
      <c r="H415" s="57" t="s">
        <v>438</v>
      </c>
      <c r="I415" s="57" t="s">
        <v>477</v>
      </c>
      <c r="J415" s="57" t="s">
        <v>515</v>
      </c>
      <c r="K415" s="67" t="s">
        <v>479</v>
      </c>
      <c r="L415" s="67" t="s">
        <v>996</v>
      </c>
      <c r="M415" s="67" t="s">
        <v>429</v>
      </c>
      <c r="N415" s="67" t="s">
        <v>361</v>
      </c>
      <c r="O415" s="67"/>
      <c r="P415" s="57" t="s">
        <v>184</v>
      </c>
      <c r="Q415" s="59" t="n">
        <f aca="false">ROUND((Flights!$AF$16)*1440,0)/1440</f>
        <v>46307.6006944444</v>
      </c>
      <c r="R415" s="59" t="n">
        <f aca="false">Q415+(IF(AND(INDEX(TZ_DSTS,MATCH(P415,TZ_STN,0))&lt;&gt;"",Q415&gt;=INDEX(TZ_DSTS,MATCH(P415,TZ_STN,0)),Q415&lt;INDEX(TZ_DSTE,MATCH(P415,TZ_STN,0))),INDEX(TZ_DST,MATCH(P415,TZ_STN,0)),INDEX(TZ_STD,MATCH(P415,TZ_STN,0))))/24</f>
        <v>46307.9340277778</v>
      </c>
      <c r="S415" s="59" t="n">
        <f aca="false">IF(ISNUMBER(Flights!$AZ$16),MAX(Q415-UpliftWindowH/24,Flights!$AZ$16),Q415-UpliftWindowH/24)</f>
        <v>46307.3506944444</v>
      </c>
      <c r="T415" s="60"/>
      <c r="U415" s="60"/>
      <c r="V415" s="60"/>
      <c r="W415" s="61"/>
      <c r="X415" s="60"/>
      <c r="Y415" s="60"/>
      <c r="Z415" s="60"/>
      <c r="AA415" s="60"/>
      <c r="AB415" s="60"/>
      <c r="AC415" s="60"/>
      <c r="AD415" s="66"/>
      <c r="AE415" s="60"/>
      <c r="AF415" s="61" t="str">
        <f aca="false">IF(AND(ISNUMBER(X415),ISNUMBER(Y415)),Y415-X415,"")</f>
        <v/>
      </c>
      <c r="AG415" s="62" t="str">
        <f aca="false">IF(ISNUMBER(AD415),AD415-(IF(AND(INDEX(TZ_DSTS,MATCH(P415,TZ_STN,0))&lt;&gt;"",(AD415-INDEX(TZ_STD,MATCH(P415,TZ_STN,0))/24)&gt;=INDEX(TZ_DSTS,MATCH(P415,TZ_STN,0)),(AD415-INDEX(TZ_STD,MATCH(P415,TZ_STN,0))/24)&lt;INDEX(TZ_DSTE,MATCH(P415,TZ_STN,0))),INDEX(TZ_DST,MATCH(P415,TZ_STN,0)),INDEX(TZ_STD,MATCH(P415,TZ_STN,0))))/24,"")</f>
        <v/>
      </c>
      <c r="AH415" s="65" t="str">
        <f aca="false">IFERROR(IF(N415="N/A – rule","N/A – RULE",IF(TRIM(U415)="N/A",IF(AT415=0,"INVALID – N/A not permitted for this check",IF(AND(TRIM(AB415)&lt;&gt;"",TRIM(AB415)&lt;&gt;"Closed"),"INVALID – corrective action still open",IF(AND(NOT(OR(LEN(AZ415)&lt;15,ISNUMBER(MATCH(AZ415,L_Placeholder,0)))),NOT(OR(LEN(AU415)&lt;2,ISNUMBER(MATCH(AU415,L_Placeholder,0)))),NOT(OR(LEN(AX415)&lt;2,ISNUMBER(MATCH(AX415,L_Placeholder,0)))),TRIM(AE415)&lt;&gt;TRIM(T415)),"N/A – JUSTIFIED","INVALID – N/A needs a real justification (15+ chars), PIC and a different verifier"))),IF(OR(TRIM(U415)="Pass",TRIM(U415)="Pass after CA"),IF(NOT(ISNUMBER(AD415)),"INVALID – completion time missing",IF(OR(LEN(AU415)&lt;2,ISNUMBER(MATCH(AU415,L_Placeholder,0))),"INVALID – PIC missing",IF(OR(LEN(AV415)&lt;2,ISNUMBER(MATCH(AV415,L_Placeholder,0))),"INVALID – result / assessment missing",IF(OR(OR(LEN(AW415)&lt;3,ISNUMBER(MATCH(AW415,L_Placeholder,0))),SUMPRODUCT(--ISNUMBER(SEARCH(L_EvidencePhrase,AW415)))&gt;0),"INVALID – evidence missing, placeholder or not yet on file",IF(OR(LEN(AX415)&lt;2,ISNUMBER(MATCH(AX415,L_Placeholder,0))),"INVALID – verifier missing",IF(AX415=AU415,"INVALID – verifier must be someone other than the PIC",IF(AND(TRIM(U415)="Pass",SUMPRODUCT(--ISNUMBER(SEARCH(L_ResultBad,AV415)))&gt;0),"INVALID – result describes a problem: use Fail, then Pass after CA",IF(AND(AQ415=1,OR(LEN(AY415)&lt;3,ISNUMBER(MATCH(AY415,L_Placeholder,0)))),"INVALID – batch ID missing or placeholder",IF(AND(AR415=1,OR(NOT(ISNUMBER(X415)),NOT(ISNUMBER(Y415)))),"INVALID – expected/actual qty missing",IF(AND(AR415=1,OR(X415&lt;=0,Y415&lt;0)),"INVALID – expected qty must be above 0 and actual not negative",IF(AH399="N/A – JUSTIFIED","INVALID – preparation row F12-T12-10 is N/A",IF(AND(AR415=1,ISNUMBER(X399),X415&lt;&gt;X399),"INVALID – expected qty differs from preparation check F12-T12-10",IF(BB415&lt;&gt;"",BB415,IF(AND(AS415=1,Documents!$J$16&lt;&gt;"ON FILE"),"INVALID – GLD not on file (Documents sheet)",IF(AND(AS415=2,Documents!$O$16&lt;&gt;"ON FILE"),"INVALID – menu checklist not on file (Documents sheet)",IF(AND(AS415=3,NOT(ISNUMBER(Flights!$AX$16))),"INVALID – enter carrying flight KUL departure (Flights AX)",IF(AND(AS415=3,OR(Flights!$AZ$16&gt;Flights!$AA$16,Flights!$AX$16&lt;Flights!$AA$16-3)),"INVALID – carrying flight (Flights AX) cannot arrive before this leg's STD, or is over 3 days early",IF(AG415&gt;AsOfUTC,"INVALID – completion time is in the future",IF(AND(ISNUMBER(S415),AG415&lt;S415),IF(H415="Physical uplift","INVALID – before uplift window (cannot confirm loading)","INVALID – before valid window"),IF(AG415&gt;Flights!$AA$16,"INVALID – completed after departure (cannot establish readiness)",IF(AND(H415="Preparation",AG415&gt;IF(ISNUMBER(Flights!$BA$16),MIN(Flights!$BA$16,Flights!$AA$16),Flights!$AA$16)),"INVALID – completed after loading / departure (cannot establish readiness)",IF(AND(H415="Physical uplift",AG415&gt;Q415),"INVALID – recorded after the loading flight departed",IF(AG415&gt;Q415,"COMPLETE – LATE","COMPLETE"))))))))))))))))))))))),IF(TRIM(U415)="Fail","FAIL – DISCREPANCY",IF(AND(TRIM(U415)&lt;&gt;"",TRIM(U415)&lt;&gt;"Not started",TRIM(U415)&lt;&gt;"In progress"),"INVALID – unrecognised status (use the list)",IF(AsOfUTC&gt;Q415,"OVERDUE",IF(N415="Clarification required","OPEN – CLARIFICATION","OPEN"))))))),"INVALID – error value in an input cell")</f>
        <v>OPEN</v>
      </c>
      <c r="AI415" s="61" t="n">
        <f aca="false">IF(OR(AH415="N/A – RULE",AH415="N/A – JUSTIFIED"),0,1)</f>
        <v>1</v>
      </c>
      <c r="AJ415" s="61" t="n">
        <f aca="false">IF(LEFT(AH415,8)="COMPLETE",1,0)</f>
        <v>0</v>
      </c>
      <c r="AK415" s="61" t="n">
        <f aca="false">IF(AND(AI415=1,AJ415=0,AsOfUTC&gt;Q415),1,0)</f>
        <v>0</v>
      </c>
      <c r="AL415" s="61" t="n">
        <f aca="false">IFERROR(IF(AND(AI415=1,OR(TRIM(U415)="Fail",AND(TRIM(AB415)&lt;&gt;"",TRIM(AB415)&lt;&gt;"Closed"),AND(ISNUMBER(AF415),AF415&lt;&gt;0,TRIM(U415)&lt;&gt;"Pass after CA"))),1,0),1)</f>
        <v>0</v>
      </c>
      <c r="AM415" s="61" t="n">
        <f aca="false">IF(LEFT(AH415,7)="INVALID",1,0)</f>
        <v>0</v>
      </c>
      <c r="AN415" s="61" t="n">
        <f aca="false">IF(AND(N415="Clarification required",AI415=1,AJ415=0),1,0)</f>
        <v>0</v>
      </c>
      <c r="AO415" s="61" t="str">
        <f aca="false">IF(AK415=1,SUM(AK$5:AK415),"")</f>
        <v/>
      </c>
      <c r="AP415" s="61" t="str">
        <f aca="false">IF(AL415=1,SUM(AL$5:AL415),"")</f>
        <v/>
      </c>
      <c r="AQ415" s="61" t="n">
        <v>0</v>
      </c>
      <c r="AR415" s="61" t="n">
        <v>0</v>
      </c>
      <c r="AS415" s="61" t="n">
        <v>0</v>
      </c>
      <c r="AT415" s="61" t="n">
        <v>0</v>
      </c>
      <c r="AU415" s="61" t="str">
        <f aca="false">SUBSTITUTE(SUBSTITUTE(SUBSTITUTE(SUBSTITUTE(SUBSTITUTE(SUBSTITUTE(SUBSTITUTE(SUBSTITUTE(SUBSTITUTE(SUBSTITUTE(SUBSTITUTE(SUBSTITUTE(SUBSTITUTE(LOWER(T415&amp;""),CHAR(160),"")," ",""),".",""),"-",""),"/",""),"?",""),"_",""),",",""),"[",""),"]",""),"(",""),")",""),"*","")</f>
        <v/>
      </c>
      <c r="AV415" s="61" t="str">
        <f aca="false">SUBSTITUTE(SUBSTITUTE(SUBSTITUTE(SUBSTITUTE(SUBSTITUTE(SUBSTITUTE(SUBSTITUTE(SUBSTITUTE(SUBSTITUTE(SUBSTITUTE(SUBSTITUTE(SUBSTITUTE(SUBSTITUTE(LOWER(V415&amp;""),CHAR(160),"")," ",""),".",""),"-",""),"/",""),"?",""),"_",""),",",""),"[",""),"]",""),"(",""),")",""),"*","")</f>
        <v/>
      </c>
      <c r="AW415" s="61" t="str">
        <f aca="false">SUBSTITUTE(SUBSTITUTE(SUBSTITUTE(SUBSTITUTE(SUBSTITUTE(SUBSTITUTE(SUBSTITUTE(SUBSTITUTE(SUBSTITUTE(SUBSTITUTE(SUBSTITUTE(SUBSTITUTE(SUBSTITUTE(LOWER(Z415&amp;""),CHAR(160),"")," ",""),".",""),"-",""),"/",""),"?",""),"_",""),",",""),"[",""),"]",""),"(",""),")",""),"*","")</f>
        <v/>
      </c>
      <c r="AX415" s="61" t="str">
        <f aca="false">SUBSTITUTE(SUBSTITUTE(SUBSTITUTE(SUBSTITUTE(SUBSTITUTE(SUBSTITUTE(SUBSTITUTE(SUBSTITUTE(SUBSTITUTE(SUBSTITUTE(SUBSTITUTE(SUBSTITUTE(SUBSTITUTE(LOWER(AE415&amp;""),CHAR(160),"")," ",""),".",""),"-",""),"/",""),"?",""),"_",""),",",""),"[",""),"]",""),"(",""),")",""),"*","")</f>
        <v/>
      </c>
      <c r="AY415" s="61" t="str">
        <f aca="false">SUBSTITUTE(SUBSTITUTE(SUBSTITUTE(SUBSTITUTE(SUBSTITUTE(SUBSTITUTE(SUBSTITUTE(SUBSTITUTE(SUBSTITUTE(SUBSTITUTE(SUBSTITUTE(SUBSTITUTE(SUBSTITUTE(LOWER(W415&amp;""),CHAR(160),"")," ",""),".",""),"-",""),"/",""),"?",""),"_",""),",",""),"[",""),"]",""),"(",""),")",""),"*","")</f>
        <v/>
      </c>
      <c r="AZ415" s="61" t="str">
        <f aca="false">SUBSTITUTE(SUBSTITUTE(SUBSTITUTE(SUBSTITUTE(SUBSTITUTE(SUBSTITUTE(SUBSTITUTE(SUBSTITUTE(SUBSTITUTE(SUBSTITUTE(SUBSTITUTE(SUBSTITUTE(SUBSTITUTE(LOWER(AC415&amp;""),CHAR(160),"")," ",""),".",""),"-",""),"/",""),"?",""),"_",""),",",""),"[",""),"]",""),"(",""),")",""),"*","")</f>
        <v/>
      </c>
      <c r="BA415" s="61" t="str">
        <f aca="false">SUBSTITUTE(SUBSTITUTE(SUBSTITUTE(SUBSTITUTE(SUBSTITUTE(SUBSTITUTE(SUBSTITUTE(SUBSTITUTE(SUBSTITUTE(SUBSTITUTE(SUBSTITUTE(SUBSTITUTE(SUBSTITUTE(LOWER(AA415&amp;""),CHAR(160),"")," ",""),".",""),"-",""),"/",""),"?",""),"_",""),",",""),"[",""),"]",""),"(",""),")",""),"*","")</f>
        <v/>
      </c>
      <c r="BB415" s="61" t="str">
        <f aca="false">IF(AND(TRIM(U415)="Pass",ISNUMBER(AF415)),IF(AF415&lt;&gt;0,"INVALID – qty variance: use Fail or Pass after CA",""),"")&amp;IF(AND(TRIM(U415)="Pass after CA",ISNUMBER(AF415)),IF(AF415&lt;&gt;0,"INVALID – after the corrective action the actual qty must equal expected (update Actual)",""),"")&amp;IF(AND(TRIM(U415)="Pass",TRIM(AB415)&lt;&gt;"",TRIM(AB415)&lt;&gt;"Closed"),"INVALID – corrective action not closed: use Fail, then Pass after CA","")&amp;IF(AND(TRIM(AA415)&lt;&gt;"",TRIM(AB415)=""),"INVALID – CA status missing for the recorded corrective action","")&amp;IF(AND(TRIM(U415)="Pass after CA",OR(OR(LEN(BA415)&lt;5,ISNUMBER(MATCH(BA415,L_Placeholder,0))),TRIM(AB415)&lt;&gt;"Closed")),"INVALID – corrective action not recorded/closed","")</f>
        <v/>
      </c>
    </row>
    <row r="416" customFormat="false" ht="39.75" hidden="false" customHeight="true" outlineLevel="0" collapsed="false">
      <c r="A416" s="57" t="s">
        <v>1026</v>
      </c>
      <c r="B416" s="57" t="s">
        <v>258</v>
      </c>
      <c r="C416" s="57" t="str">
        <f aca="false">Flights!$F$16</f>
        <v>MH0139</v>
      </c>
      <c r="D416" s="58" t="n">
        <f aca="false">Flights!$D$16</f>
        <v>46307</v>
      </c>
      <c r="E416" s="57" t="str">
        <f aca="false">Flights!$G$16&amp;"-"&amp;Flights!$H$16</f>
        <v>KUL-ADL</v>
      </c>
      <c r="F416" s="57" t="str">
        <f aca="false">Flights!$K$16</f>
        <v>BC</v>
      </c>
      <c r="G416" s="57" t="s">
        <v>437</v>
      </c>
      <c r="H416" s="57" t="s">
        <v>438</v>
      </c>
      <c r="I416" s="57" t="s">
        <v>477</v>
      </c>
      <c r="J416" s="57" t="s">
        <v>517</v>
      </c>
      <c r="K416" s="67" t="s">
        <v>479</v>
      </c>
      <c r="L416" s="67" t="s">
        <v>998</v>
      </c>
      <c r="M416" s="67" t="s">
        <v>429</v>
      </c>
      <c r="N416" s="67" t="s">
        <v>361</v>
      </c>
      <c r="O416" s="67"/>
      <c r="P416" s="57" t="s">
        <v>184</v>
      </c>
      <c r="Q416" s="59" t="n">
        <f aca="false">ROUND((Flights!$AF$16)*1440,0)/1440</f>
        <v>46307.6006944444</v>
      </c>
      <c r="R416" s="59" t="n">
        <f aca="false">Q416+(IF(AND(INDEX(TZ_DSTS,MATCH(P416,TZ_STN,0))&lt;&gt;"",Q416&gt;=INDEX(TZ_DSTS,MATCH(P416,TZ_STN,0)),Q416&lt;INDEX(TZ_DSTE,MATCH(P416,TZ_STN,0))),INDEX(TZ_DST,MATCH(P416,TZ_STN,0)),INDEX(TZ_STD,MATCH(P416,TZ_STN,0))))/24</f>
        <v>46307.9340277778</v>
      </c>
      <c r="S416" s="59" t="n">
        <f aca="false">IF(ISNUMBER(Flights!$AZ$16),MAX(Q416-UpliftWindowH/24,Flights!$AZ$16),Q416-UpliftWindowH/24)</f>
        <v>46307.3506944444</v>
      </c>
      <c r="T416" s="60"/>
      <c r="U416" s="60"/>
      <c r="V416" s="60"/>
      <c r="W416" s="61"/>
      <c r="X416" s="60"/>
      <c r="Y416" s="60"/>
      <c r="Z416" s="60"/>
      <c r="AA416" s="60"/>
      <c r="AB416" s="60"/>
      <c r="AC416" s="60"/>
      <c r="AD416" s="66"/>
      <c r="AE416" s="60"/>
      <c r="AF416" s="61" t="str">
        <f aca="false">IF(AND(ISNUMBER(X416),ISNUMBER(Y416)),Y416-X416,"")</f>
        <v/>
      </c>
      <c r="AG416" s="62" t="str">
        <f aca="false">IF(ISNUMBER(AD416),AD416-(IF(AND(INDEX(TZ_DSTS,MATCH(P416,TZ_STN,0))&lt;&gt;"",(AD416-INDEX(TZ_STD,MATCH(P416,TZ_STN,0))/24)&gt;=INDEX(TZ_DSTS,MATCH(P416,TZ_STN,0)),(AD416-INDEX(TZ_STD,MATCH(P416,TZ_STN,0))/24)&lt;INDEX(TZ_DSTE,MATCH(P416,TZ_STN,0))),INDEX(TZ_DST,MATCH(P416,TZ_STN,0)),INDEX(TZ_STD,MATCH(P416,TZ_STN,0))))/24,"")</f>
        <v/>
      </c>
      <c r="AH416" s="65" t="str">
        <f aca="false">IFERROR(IF(N416="N/A – rule","N/A – RULE",IF(TRIM(U416)="N/A",IF(AT416=0,"INVALID – N/A not permitted for this check",IF(AND(TRIM(AB416)&lt;&gt;"",TRIM(AB416)&lt;&gt;"Closed"),"INVALID – corrective action still open",IF(AND(NOT(OR(LEN(AZ416)&lt;15,ISNUMBER(MATCH(AZ416,L_Placeholder,0)))),NOT(OR(LEN(AU416)&lt;2,ISNUMBER(MATCH(AU416,L_Placeholder,0)))),NOT(OR(LEN(AX416)&lt;2,ISNUMBER(MATCH(AX416,L_Placeholder,0)))),TRIM(AE416)&lt;&gt;TRIM(T416)),"N/A – JUSTIFIED","INVALID – N/A needs a real justification (15+ chars), PIC and a different verifier"))),IF(OR(TRIM(U416)="Pass",TRIM(U416)="Pass after CA"),IF(NOT(ISNUMBER(AD416)),"INVALID – completion time missing",IF(OR(LEN(AU416)&lt;2,ISNUMBER(MATCH(AU416,L_Placeholder,0))),"INVALID – PIC missing",IF(OR(LEN(AV416)&lt;2,ISNUMBER(MATCH(AV416,L_Placeholder,0))),"INVALID – result / assessment missing",IF(OR(OR(LEN(AW416)&lt;3,ISNUMBER(MATCH(AW416,L_Placeholder,0))),SUMPRODUCT(--ISNUMBER(SEARCH(L_EvidencePhrase,AW416)))&gt;0),"INVALID – evidence missing, placeholder or not yet on file",IF(OR(LEN(AX416)&lt;2,ISNUMBER(MATCH(AX416,L_Placeholder,0))),"INVALID – verifier missing",IF(AX416=AU416,"INVALID – verifier must be someone other than the PIC",IF(AND(TRIM(U416)="Pass",SUMPRODUCT(--ISNUMBER(SEARCH(L_ResultBad,AV416)))&gt;0),"INVALID – result describes a problem: use Fail, then Pass after CA",IF(AND(AQ416=1,OR(LEN(AY416)&lt;3,ISNUMBER(MATCH(AY416,L_Placeholder,0)))),"INVALID – batch ID missing or placeholder",IF(AND(AR416=1,OR(NOT(ISNUMBER(X416)),NOT(ISNUMBER(Y416)))),"INVALID – expected/actual qty missing",IF(AND(AR416=1,OR(X416&lt;=0,Y416&lt;0)),"INVALID – expected qty must be above 0 and actual not negative",IF(AH400="N/A – JUSTIFIED","INVALID – preparation row F12-T12-11 is N/A",IF(AND(AR416=1,ISNUMBER(X400),X416&lt;&gt;X400),"INVALID – expected qty differs from preparation check F12-T12-11",IF(BB416&lt;&gt;"",BB416,IF(AND(AS416=1,Documents!$J$16&lt;&gt;"ON FILE"),"INVALID – GLD not on file (Documents sheet)",IF(AND(AS416=2,Documents!$O$16&lt;&gt;"ON FILE"),"INVALID – menu checklist not on file (Documents sheet)",IF(AND(AS416=3,NOT(ISNUMBER(Flights!$AX$16))),"INVALID – enter carrying flight KUL departure (Flights AX)",IF(AND(AS416=3,OR(Flights!$AZ$16&gt;Flights!$AA$16,Flights!$AX$16&lt;Flights!$AA$16-3)),"INVALID – carrying flight (Flights AX) cannot arrive before this leg's STD, or is over 3 days early",IF(AG416&gt;AsOfUTC,"INVALID – completion time is in the future",IF(AND(ISNUMBER(S416),AG416&lt;S416),IF(H416="Physical uplift","INVALID – before uplift window (cannot confirm loading)","INVALID – before valid window"),IF(AG416&gt;Flights!$AA$16,"INVALID – completed after departure (cannot establish readiness)",IF(AND(H416="Preparation",AG416&gt;IF(ISNUMBER(Flights!$BA$16),MIN(Flights!$BA$16,Flights!$AA$16),Flights!$AA$16)),"INVALID – completed after loading / departure (cannot establish readiness)",IF(AND(H416="Physical uplift",AG416&gt;Q416),"INVALID – recorded after the loading flight departed",IF(AG416&gt;Q416,"COMPLETE – LATE","COMPLETE"))))))))))))))))))))))),IF(TRIM(U416)="Fail","FAIL – DISCREPANCY",IF(AND(TRIM(U416)&lt;&gt;"",TRIM(U416)&lt;&gt;"Not started",TRIM(U416)&lt;&gt;"In progress"),"INVALID – unrecognised status (use the list)",IF(AsOfUTC&gt;Q416,"OVERDUE",IF(N416="Clarification required","OPEN – CLARIFICATION","OPEN"))))))),"INVALID – error value in an input cell")</f>
        <v>OPEN</v>
      </c>
      <c r="AI416" s="61" t="n">
        <f aca="false">IF(OR(AH416="N/A – RULE",AH416="N/A – JUSTIFIED"),0,1)</f>
        <v>1</v>
      </c>
      <c r="AJ416" s="61" t="n">
        <f aca="false">IF(LEFT(AH416,8)="COMPLETE",1,0)</f>
        <v>0</v>
      </c>
      <c r="AK416" s="61" t="n">
        <f aca="false">IF(AND(AI416=1,AJ416=0,AsOfUTC&gt;Q416),1,0)</f>
        <v>0</v>
      </c>
      <c r="AL416" s="61" t="n">
        <f aca="false">IFERROR(IF(AND(AI416=1,OR(TRIM(U416)="Fail",AND(TRIM(AB416)&lt;&gt;"",TRIM(AB416)&lt;&gt;"Closed"),AND(ISNUMBER(AF416),AF416&lt;&gt;0,TRIM(U416)&lt;&gt;"Pass after CA"))),1,0),1)</f>
        <v>0</v>
      </c>
      <c r="AM416" s="61" t="n">
        <f aca="false">IF(LEFT(AH416,7)="INVALID",1,0)</f>
        <v>0</v>
      </c>
      <c r="AN416" s="61" t="n">
        <f aca="false">IF(AND(N416="Clarification required",AI416=1,AJ416=0),1,0)</f>
        <v>0</v>
      </c>
      <c r="AO416" s="61" t="str">
        <f aca="false">IF(AK416=1,SUM(AK$5:AK416),"")</f>
        <v/>
      </c>
      <c r="AP416" s="61" t="str">
        <f aca="false">IF(AL416=1,SUM(AL$5:AL416),"")</f>
        <v/>
      </c>
      <c r="AQ416" s="61" t="n">
        <v>0</v>
      </c>
      <c r="AR416" s="61" t="n">
        <v>0</v>
      </c>
      <c r="AS416" s="61" t="n">
        <v>0</v>
      </c>
      <c r="AT416" s="61" t="n">
        <v>0</v>
      </c>
      <c r="AU416" s="61" t="str">
        <f aca="false">SUBSTITUTE(SUBSTITUTE(SUBSTITUTE(SUBSTITUTE(SUBSTITUTE(SUBSTITUTE(SUBSTITUTE(SUBSTITUTE(SUBSTITUTE(SUBSTITUTE(SUBSTITUTE(SUBSTITUTE(SUBSTITUTE(LOWER(T416&amp;""),CHAR(160),"")," ",""),".",""),"-",""),"/",""),"?",""),"_",""),",",""),"[",""),"]",""),"(",""),")",""),"*","")</f>
        <v/>
      </c>
      <c r="AV416" s="61" t="str">
        <f aca="false">SUBSTITUTE(SUBSTITUTE(SUBSTITUTE(SUBSTITUTE(SUBSTITUTE(SUBSTITUTE(SUBSTITUTE(SUBSTITUTE(SUBSTITUTE(SUBSTITUTE(SUBSTITUTE(SUBSTITUTE(SUBSTITUTE(LOWER(V416&amp;""),CHAR(160),"")," ",""),".",""),"-",""),"/",""),"?",""),"_",""),",",""),"[",""),"]",""),"(",""),")",""),"*","")</f>
        <v/>
      </c>
      <c r="AW416" s="61" t="str">
        <f aca="false">SUBSTITUTE(SUBSTITUTE(SUBSTITUTE(SUBSTITUTE(SUBSTITUTE(SUBSTITUTE(SUBSTITUTE(SUBSTITUTE(SUBSTITUTE(SUBSTITUTE(SUBSTITUTE(SUBSTITUTE(SUBSTITUTE(LOWER(Z416&amp;""),CHAR(160),"")," ",""),".",""),"-",""),"/",""),"?",""),"_",""),",",""),"[",""),"]",""),"(",""),")",""),"*","")</f>
        <v/>
      </c>
      <c r="AX416" s="61" t="str">
        <f aca="false">SUBSTITUTE(SUBSTITUTE(SUBSTITUTE(SUBSTITUTE(SUBSTITUTE(SUBSTITUTE(SUBSTITUTE(SUBSTITUTE(SUBSTITUTE(SUBSTITUTE(SUBSTITUTE(SUBSTITUTE(SUBSTITUTE(LOWER(AE416&amp;""),CHAR(160),"")," ",""),".",""),"-",""),"/",""),"?",""),"_",""),",",""),"[",""),"]",""),"(",""),")",""),"*","")</f>
        <v/>
      </c>
      <c r="AY416" s="61" t="str">
        <f aca="false">SUBSTITUTE(SUBSTITUTE(SUBSTITUTE(SUBSTITUTE(SUBSTITUTE(SUBSTITUTE(SUBSTITUTE(SUBSTITUTE(SUBSTITUTE(SUBSTITUTE(SUBSTITUTE(SUBSTITUTE(SUBSTITUTE(LOWER(W416&amp;""),CHAR(160),"")," ",""),".",""),"-",""),"/",""),"?",""),"_",""),",",""),"[",""),"]",""),"(",""),")",""),"*","")</f>
        <v/>
      </c>
      <c r="AZ416" s="61" t="str">
        <f aca="false">SUBSTITUTE(SUBSTITUTE(SUBSTITUTE(SUBSTITUTE(SUBSTITUTE(SUBSTITUTE(SUBSTITUTE(SUBSTITUTE(SUBSTITUTE(SUBSTITUTE(SUBSTITUTE(SUBSTITUTE(SUBSTITUTE(LOWER(AC416&amp;""),CHAR(160),"")," ",""),".",""),"-",""),"/",""),"?",""),"_",""),",",""),"[",""),"]",""),"(",""),")",""),"*","")</f>
        <v/>
      </c>
      <c r="BA416" s="61" t="str">
        <f aca="false">SUBSTITUTE(SUBSTITUTE(SUBSTITUTE(SUBSTITUTE(SUBSTITUTE(SUBSTITUTE(SUBSTITUTE(SUBSTITUTE(SUBSTITUTE(SUBSTITUTE(SUBSTITUTE(SUBSTITUTE(SUBSTITUTE(LOWER(AA416&amp;""),CHAR(160),"")," ",""),".",""),"-",""),"/",""),"?",""),"_",""),",",""),"[",""),"]",""),"(",""),")",""),"*","")</f>
        <v/>
      </c>
      <c r="BB416" s="61" t="str">
        <f aca="false">IF(AND(TRIM(U416)="Pass",ISNUMBER(AF416)),IF(AF416&lt;&gt;0,"INVALID – qty variance: use Fail or Pass after CA",""),"")&amp;IF(AND(TRIM(U416)="Pass after CA",ISNUMBER(AF416)),IF(AF416&lt;&gt;0,"INVALID – after the corrective action the actual qty must equal expected (update Actual)",""),"")&amp;IF(AND(TRIM(U416)="Pass",TRIM(AB416)&lt;&gt;"",TRIM(AB416)&lt;&gt;"Closed"),"INVALID – corrective action not closed: use Fail, then Pass after CA","")&amp;IF(AND(TRIM(AA416)&lt;&gt;"",TRIM(AB416)=""),"INVALID – CA status missing for the recorded corrective action","")&amp;IF(AND(TRIM(U416)="Pass after CA",OR(OR(LEN(BA416)&lt;5,ISNUMBER(MATCH(BA416,L_Placeholder,0))),TRIM(AB416)&lt;&gt;"Closed")),"INVALID – corrective action not recorded/closed","")</f>
        <v/>
      </c>
    </row>
    <row r="417" customFormat="false" ht="39.75" hidden="false" customHeight="true" outlineLevel="0" collapsed="false">
      <c r="A417" s="57" t="s">
        <v>1027</v>
      </c>
      <c r="B417" s="57" t="s">
        <v>258</v>
      </c>
      <c r="C417" s="57" t="str">
        <f aca="false">Flights!$F$16</f>
        <v>MH0139</v>
      </c>
      <c r="D417" s="58" t="n">
        <f aca="false">Flights!$D$16</f>
        <v>46307</v>
      </c>
      <c r="E417" s="57" t="str">
        <f aca="false">Flights!$G$16&amp;"-"&amp;Flights!$H$16</f>
        <v>KUL-ADL</v>
      </c>
      <c r="F417" s="57" t="str">
        <f aca="false">Flights!$K$16</f>
        <v>BC</v>
      </c>
      <c r="G417" s="57" t="s">
        <v>437</v>
      </c>
      <c r="H417" s="57" t="s">
        <v>438</v>
      </c>
      <c r="I417" s="57" t="s">
        <v>477</v>
      </c>
      <c r="J417" s="57" t="s">
        <v>519</v>
      </c>
      <c r="K417" s="67" t="s">
        <v>479</v>
      </c>
      <c r="L417" s="67" t="s">
        <v>1000</v>
      </c>
      <c r="M417" s="67" t="s">
        <v>429</v>
      </c>
      <c r="N417" s="67" t="s">
        <v>361</v>
      </c>
      <c r="O417" s="67"/>
      <c r="P417" s="57" t="s">
        <v>184</v>
      </c>
      <c r="Q417" s="59" t="n">
        <f aca="false">ROUND((Flights!$AF$16)*1440,0)/1440</f>
        <v>46307.6006944444</v>
      </c>
      <c r="R417" s="59" t="n">
        <f aca="false">Q417+(IF(AND(INDEX(TZ_DSTS,MATCH(P417,TZ_STN,0))&lt;&gt;"",Q417&gt;=INDEX(TZ_DSTS,MATCH(P417,TZ_STN,0)),Q417&lt;INDEX(TZ_DSTE,MATCH(P417,TZ_STN,0))),INDEX(TZ_DST,MATCH(P417,TZ_STN,0)),INDEX(TZ_STD,MATCH(P417,TZ_STN,0))))/24</f>
        <v>46307.9340277778</v>
      </c>
      <c r="S417" s="59" t="n">
        <f aca="false">IF(ISNUMBER(Flights!$AZ$16),MAX(Q417-UpliftWindowH/24,Flights!$AZ$16),Q417-UpliftWindowH/24)</f>
        <v>46307.3506944444</v>
      </c>
      <c r="T417" s="60"/>
      <c r="U417" s="60"/>
      <c r="V417" s="60"/>
      <c r="W417" s="61"/>
      <c r="X417" s="60"/>
      <c r="Y417" s="60"/>
      <c r="Z417" s="60"/>
      <c r="AA417" s="60"/>
      <c r="AB417" s="60"/>
      <c r="AC417" s="60"/>
      <c r="AD417" s="66"/>
      <c r="AE417" s="60"/>
      <c r="AF417" s="61" t="str">
        <f aca="false">IF(AND(ISNUMBER(X417),ISNUMBER(Y417)),Y417-X417,"")</f>
        <v/>
      </c>
      <c r="AG417" s="62" t="str">
        <f aca="false">IF(ISNUMBER(AD417),AD417-(IF(AND(INDEX(TZ_DSTS,MATCH(P417,TZ_STN,0))&lt;&gt;"",(AD417-INDEX(TZ_STD,MATCH(P417,TZ_STN,0))/24)&gt;=INDEX(TZ_DSTS,MATCH(P417,TZ_STN,0)),(AD417-INDEX(TZ_STD,MATCH(P417,TZ_STN,0))/24)&lt;INDEX(TZ_DSTE,MATCH(P417,TZ_STN,0))),INDEX(TZ_DST,MATCH(P417,TZ_STN,0)),INDEX(TZ_STD,MATCH(P417,TZ_STN,0))))/24,"")</f>
        <v/>
      </c>
      <c r="AH417" s="65" t="str">
        <f aca="false">IFERROR(IF(N417="N/A – rule","N/A – RULE",IF(TRIM(U417)="N/A",IF(AT417=0,"INVALID – N/A not permitted for this check",IF(AND(TRIM(AB417)&lt;&gt;"",TRIM(AB417)&lt;&gt;"Closed"),"INVALID – corrective action still open",IF(AND(NOT(OR(LEN(AZ417)&lt;15,ISNUMBER(MATCH(AZ417,L_Placeholder,0)))),NOT(OR(LEN(AU417)&lt;2,ISNUMBER(MATCH(AU417,L_Placeholder,0)))),NOT(OR(LEN(AX417)&lt;2,ISNUMBER(MATCH(AX417,L_Placeholder,0)))),TRIM(AE417)&lt;&gt;TRIM(T417)),"N/A – JUSTIFIED","INVALID – N/A needs a real justification (15+ chars), PIC and a different verifier"))),IF(OR(TRIM(U417)="Pass",TRIM(U417)="Pass after CA"),IF(NOT(ISNUMBER(AD417)),"INVALID – completion time missing",IF(OR(LEN(AU417)&lt;2,ISNUMBER(MATCH(AU417,L_Placeholder,0))),"INVALID – PIC missing",IF(OR(LEN(AV417)&lt;2,ISNUMBER(MATCH(AV417,L_Placeholder,0))),"INVALID – result / assessment missing",IF(OR(OR(LEN(AW417)&lt;3,ISNUMBER(MATCH(AW417,L_Placeholder,0))),SUMPRODUCT(--ISNUMBER(SEARCH(L_EvidencePhrase,AW417)))&gt;0),"INVALID – evidence missing, placeholder or not yet on file",IF(OR(LEN(AX417)&lt;2,ISNUMBER(MATCH(AX417,L_Placeholder,0))),"INVALID – verifier missing",IF(AX417=AU417,"INVALID – verifier must be someone other than the PIC",IF(AND(TRIM(U417)="Pass",SUMPRODUCT(--ISNUMBER(SEARCH(L_ResultBad,AV417)))&gt;0),"INVALID – result describes a problem: use Fail, then Pass after CA",IF(AND(AQ417=1,OR(LEN(AY417)&lt;3,ISNUMBER(MATCH(AY417,L_Placeholder,0)))),"INVALID – batch ID missing or placeholder",IF(AND(AR417=1,OR(NOT(ISNUMBER(X417)),NOT(ISNUMBER(Y417)))),"INVALID – expected/actual qty missing",IF(AND(AR417=1,OR(X417&lt;=0,Y417&lt;0)),"INVALID – expected qty must be above 0 and actual not negative",IF(AH401="N/A – JUSTIFIED","INVALID – preparation row F12-T12-12 is N/A",IF(AND(AR417=1,ISNUMBER(X401),X417&lt;&gt;X401),"INVALID – expected qty differs from preparation check F12-T12-12",IF(BB417&lt;&gt;"",BB417,IF(AND(AS417=1,Documents!$J$16&lt;&gt;"ON FILE"),"INVALID – GLD not on file (Documents sheet)",IF(AND(AS417=2,Documents!$O$16&lt;&gt;"ON FILE"),"INVALID – menu checklist not on file (Documents sheet)",IF(AND(AS417=3,NOT(ISNUMBER(Flights!$AX$16))),"INVALID – enter carrying flight KUL departure (Flights AX)",IF(AND(AS417=3,OR(Flights!$AZ$16&gt;Flights!$AA$16,Flights!$AX$16&lt;Flights!$AA$16-3)),"INVALID – carrying flight (Flights AX) cannot arrive before this leg's STD, or is over 3 days early",IF(AG417&gt;AsOfUTC,"INVALID – completion time is in the future",IF(AND(ISNUMBER(S417),AG417&lt;S417),IF(H417="Physical uplift","INVALID – before uplift window (cannot confirm loading)","INVALID – before valid window"),IF(AG417&gt;Flights!$AA$16,"INVALID – completed after departure (cannot establish readiness)",IF(AND(H417="Preparation",AG417&gt;IF(ISNUMBER(Flights!$BA$16),MIN(Flights!$BA$16,Flights!$AA$16),Flights!$AA$16)),"INVALID – completed after loading / departure (cannot establish readiness)",IF(AND(H417="Physical uplift",AG417&gt;Q417),"INVALID – recorded after the loading flight departed",IF(AG417&gt;Q417,"COMPLETE – LATE","COMPLETE"))))))))))))))))))))))),IF(TRIM(U417)="Fail","FAIL – DISCREPANCY",IF(AND(TRIM(U417)&lt;&gt;"",TRIM(U417)&lt;&gt;"Not started",TRIM(U417)&lt;&gt;"In progress"),"INVALID – unrecognised status (use the list)",IF(AsOfUTC&gt;Q417,"OVERDUE",IF(N417="Clarification required","OPEN – CLARIFICATION","OPEN"))))))),"INVALID – error value in an input cell")</f>
        <v>OPEN</v>
      </c>
      <c r="AI417" s="61" t="n">
        <f aca="false">IF(OR(AH417="N/A – RULE",AH417="N/A – JUSTIFIED"),0,1)</f>
        <v>1</v>
      </c>
      <c r="AJ417" s="61" t="n">
        <f aca="false">IF(LEFT(AH417,8)="COMPLETE",1,0)</f>
        <v>0</v>
      </c>
      <c r="AK417" s="61" t="n">
        <f aca="false">IF(AND(AI417=1,AJ417=0,AsOfUTC&gt;Q417),1,0)</f>
        <v>0</v>
      </c>
      <c r="AL417" s="61" t="n">
        <f aca="false">IFERROR(IF(AND(AI417=1,OR(TRIM(U417)="Fail",AND(TRIM(AB417)&lt;&gt;"",TRIM(AB417)&lt;&gt;"Closed"),AND(ISNUMBER(AF417),AF417&lt;&gt;0,TRIM(U417)&lt;&gt;"Pass after CA"))),1,0),1)</f>
        <v>0</v>
      </c>
      <c r="AM417" s="61" t="n">
        <f aca="false">IF(LEFT(AH417,7)="INVALID",1,0)</f>
        <v>0</v>
      </c>
      <c r="AN417" s="61" t="n">
        <f aca="false">IF(AND(N417="Clarification required",AI417=1,AJ417=0),1,0)</f>
        <v>0</v>
      </c>
      <c r="AO417" s="61" t="str">
        <f aca="false">IF(AK417=1,SUM(AK$5:AK417),"")</f>
        <v/>
      </c>
      <c r="AP417" s="61" t="str">
        <f aca="false">IF(AL417=1,SUM(AL$5:AL417),"")</f>
        <v/>
      </c>
      <c r="AQ417" s="61" t="n">
        <v>0</v>
      </c>
      <c r="AR417" s="61" t="n">
        <v>0</v>
      </c>
      <c r="AS417" s="61" t="n">
        <v>0</v>
      </c>
      <c r="AT417" s="61" t="n">
        <v>0</v>
      </c>
      <c r="AU417" s="61" t="str">
        <f aca="false">SUBSTITUTE(SUBSTITUTE(SUBSTITUTE(SUBSTITUTE(SUBSTITUTE(SUBSTITUTE(SUBSTITUTE(SUBSTITUTE(SUBSTITUTE(SUBSTITUTE(SUBSTITUTE(SUBSTITUTE(SUBSTITUTE(LOWER(T417&amp;""),CHAR(160),"")," ",""),".",""),"-",""),"/",""),"?",""),"_",""),",",""),"[",""),"]",""),"(",""),")",""),"*","")</f>
        <v/>
      </c>
      <c r="AV417" s="61" t="str">
        <f aca="false">SUBSTITUTE(SUBSTITUTE(SUBSTITUTE(SUBSTITUTE(SUBSTITUTE(SUBSTITUTE(SUBSTITUTE(SUBSTITUTE(SUBSTITUTE(SUBSTITUTE(SUBSTITUTE(SUBSTITUTE(SUBSTITUTE(LOWER(V417&amp;""),CHAR(160),"")," ",""),".",""),"-",""),"/",""),"?",""),"_",""),",",""),"[",""),"]",""),"(",""),")",""),"*","")</f>
        <v/>
      </c>
      <c r="AW417" s="61" t="str">
        <f aca="false">SUBSTITUTE(SUBSTITUTE(SUBSTITUTE(SUBSTITUTE(SUBSTITUTE(SUBSTITUTE(SUBSTITUTE(SUBSTITUTE(SUBSTITUTE(SUBSTITUTE(SUBSTITUTE(SUBSTITUTE(SUBSTITUTE(LOWER(Z417&amp;""),CHAR(160),"")," ",""),".",""),"-",""),"/",""),"?",""),"_",""),",",""),"[",""),"]",""),"(",""),")",""),"*","")</f>
        <v/>
      </c>
      <c r="AX417" s="61" t="str">
        <f aca="false">SUBSTITUTE(SUBSTITUTE(SUBSTITUTE(SUBSTITUTE(SUBSTITUTE(SUBSTITUTE(SUBSTITUTE(SUBSTITUTE(SUBSTITUTE(SUBSTITUTE(SUBSTITUTE(SUBSTITUTE(SUBSTITUTE(LOWER(AE417&amp;""),CHAR(160),"")," ",""),".",""),"-",""),"/",""),"?",""),"_",""),",",""),"[",""),"]",""),"(",""),")",""),"*","")</f>
        <v/>
      </c>
      <c r="AY417" s="61" t="str">
        <f aca="false">SUBSTITUTE(SUBSTITUTE(SUBSTITUTE(SUBSTITUTE(SUBSTITUTE(SUBSTITUTE(SUBSTITUTE(SUBSTITUTE(SUBSTITUTE(SUBSTITUTE(SUBSTITUTE(SUBSTITUTE(SUBSTITUTE(LOWER(W417&amp;""),CHAR(160),"")," ",""),".",""),"-",""),"/",""),"?",""),"_",""),",",""),"[",""),"]",""),"(",""),")",""),"*","")</f>
        <v/>
      </c>
      <c r="AZ417" s="61" t="str">
        <f aca="false">SUBSTITUTE(SUBSTITUTE(SUBSTITUTE(SUBSTITUTE(SUBSTITUTE(SUBSTITUTE(SUBSTITUTE(SUBSTITUTE(SUBSTITUTE(SUBSTITUTE(SUBSTITUTE(SUBSTITUTE(SUBSTITUTE(LOWER(AC417&amp;""),CHAR(160),"")," ",""),".",""),"-",""),"/",""),"?",""),"_",""),",",""),"[",""),"]",""),"(",""),")",""),"*","")</f>
        <v/>
      </c>
      <c r="BA417" s="61" t="str">
        <f aca="false">SUBSTITUTE(SUBSTITUTE(SUBSTITUTE(SUBSTITUTE(SUBSTITUTE(SUBSTITUTE(SUBSTITUTE(SUBSTITUTE(SUBSTITUTE(SUBSTITUTE(SUBSTITUTE(SUBSTITUTE(SUBSTITUTE(LOWER(AA417&amp;""),CHAR(160),"")," ",""),".",""),"-",""),"/",""),"?",""),"_",""),",",""),"[",""),"]",""),"(",""),")",""),"*","")</f>
        <v/>
      </c>
      <c r="BB417" s="61" t="str">
        <f aca="false">IF(AND(TRIM(U417)="Pass",ISNUMBER(AF417)),IF(AF417&lt;&gt;0,"INVALID – qty variance: use Fail or Pass after CA",""),"")&amp;IF(AND(TRIM(U417)="Pass after CA",ISNUMBER(AF417)),IF(AF417&lt;&gt;0,"INVALID – after the corrective action the actual qty must equal expected (update Actual)",""),"")&amp;IF(AND(TRIM(U417)="Pass",TRIM(AB417)&lt;&gt;"",TRIM(AB417)&lt;&gt;"Closed"),"INVALID – corrective action not closed: use Fail, then Pass after CA","")&amp;IF(AND(TRIM(AA417)&lt;&gt;"",TRIM(AB417)=""),"INVALID – CA status missing for the recorded corrective action","")&amp;IF(AND(TRIM(U417)="Pass after CA",OR(OR(LEN(BA417)&lt;5,ISNUMBER(MATCH(BA417,L_Placeholder,0))),TRIM(AB417)&lt;&gt;"Closed")),"INVALID – corrective action not recorded/closed","")</f>
        <v/>
      </c>
    </row>
    <row r="418" customFormat="false" ht="39.75" hidden="false" customHeight="true" outlineLevel="0" collapsed="false">
      <c r="A418" s="57" t="s">
        <v>1028</v>
      </c>
      <c r="B418" s="57" t="s">
        <v>258</v>
      </c>
      <c r="C418" s="57" t="str">
        <f aca="false">Flights!$F$16</f>
        <v>MH0139</v>
      </c>
      <c r="D418" s="58" t="n">
        <f aca="false">Flights!$D$16</f>
        <v>46307</v>
      </c>
      <c r="E418" s="57" t="str">
        <f aca="false">Flights!$G$16&amp;"-"&amp;Flights!$H$16</f>
        <v>KUL-ADL</v>
      </c>
      <c r="F418" s="57" t="str">
        <f aca="false">Flights!$K$16</f>
        <v>BC</v>
      </c>
      <c r="G418" s="57" t="s">
        <v>437</v>
      </c>
      <c r="H418" s="57" t="s">
        <v>438</v>
      </c>
      <c r="I418" s="57" t="s">
        <v>477</v>
      </c>
      <c r="J418" s="57" t="s">
        <v>521</v>
      </c>
      <c r="K418" s="67" t="s">
        <v>479</v>
      </c>
      <c r="L418" s="67" t="s">
        <v>1002</v>
      </c>
      <c r="M418" s="67" t="s">
        <v>429</v>
      </c>
      <c r="N418" s="67" t="s">
        <v>361</v>
      </c>
      <c r="O418" s="67"/>
      <c r="P418" s="57" t="s">
        <v>184</v>
      </c>
      <c r="Q418" s="59" t="n">
        <f aca="false">ROUND((Flights!$AF$16)*1440,0)/1440</f>
        <v>46307.6006944444</v>
      </c>
      <c r="R418" s="59" t="n">
        <f aca="false">Q418+(IF(AND(INDEX(TZ_DSTS,MATCH(P418,TZ_STN,0))&lt;&gt;"",Q418&gt;=INDEX(TZ_DSTS,MATCH(P418,TZ_STN,0)),Q418&lt;INDEX(TZ_DSTE,MATCH(P418,TZ_STN,0))),INDEX(TZ_DST,MATCH(P418,TZ_STN,0)),INDEX(TZ_STD,MATCH(P418,TZ_STN,0))))/24</f>
        <v>46307.9340277778</v>
      </c>
      <c r="S418" s="59" t="n">
        <f aca="false">IF(ISNUMBER(Flights!$AZ$16),MAX(Q418-UpliftWindowH/24,Flights!$AZ$16),Q418-UpliftWindowH/24)</f>
        <v>46307.3506944444</v>
      </c>
      <c r="T418" s="60"/>
      <c r="U418" s="60"/>
      <c r="V418" s="60"/>
      <c r="W418" s="61"/>
      <c r="X418" s="60"/>
      <c r="Y418" s="60"/>
      <c r="Z418" s="60"/>
      <c r="AA418" s="60"/>
      <c r="AB418" s="60"/>
      <c r="AC418" s="60"/>
      <c r="AD418" s="66"/>
      <c r="AE418" s="60"/>
      <c r="AF418" s="61" t="str">
        <f aca="false">IF(AND(ISNUMBER(X418),ISNUMBER(Y418)),Y418-X418,"")</f>
        <v/>
      </c>
      <c r="AG418" s="62" t="str">
        <f aca="false">IF(ISNUMBER(AD418),AD418-(IF(AND(INDEX(TZ_DSTS,MATCH(P418,TZ_STN,0))&lt;&gt;"",(AD418-INDEX(TZ_STD,MATCH(P418,TZ_STN,0))/24)&gt;=INDEX(TZ_DSTS,MATCH(P418,TZ_STN,0)),(AD418-INDEX(TZ_STD,MATCH(P418,TZ_STN,0))/24)&lt;INDEX(TZ_DSTE,MATCH(P418,TZ_STN,0))),INDEX(TZ_DST,MATCH(P418,TZ_STN,0)),INDEX(TZ_STD,MATCH(P418,TZ_STN,0))))/24,"")</f>
        <v/>
      </c>
      <c r="AH418" s="65" t="str">
        <f aca="false">IFERROR(IF(N418="N/A – rule","N/A – RULE",IF(TRIM(U418)="N/A",IF(AT418=0,"INVALID – N/A not permitted for this check",IF(AND(TRIM(AB418)&lt;&gt;"",TRIM(AB418)&lt;&gt;"Closed"),"INVALID – corrective action still open",IF(AND(NOT(OR(LEN(AZ418)&lt;15,ISNUMBER(MATCH(AZ418,L_Placeholder,0)))),NOT(OR(LEN(AU418)&lt;2,ISNUMBER(MATCH(AU418,L_Placeholder,0)))),NOT(OR(LEN(AX418)&lt;2,ISNUMBER(MATCH(AX418,L_Placeholder,0)))),TRIM(AE418)&lt;&gt;TRIM(T418)),"N/A – JUSTIFIED","INVALID – N/A needs a real justification (15+ chars), PIC and a different verifier"))),IF(OR(TRIM(U418)="Pass",TRIM(U418)="Pass after CA"),IF(NOT(ISNUMBER(AD418)),"INVALID – completion time missing",IF(OR(LEN(AU418)&lt;2,ISNUMBER(MATCH(AU418,L_Placeholder,0))),"INVALID – PIC missing",IF(OR(LEN(AV418)&lt;2,ISNUMBER(MATCH(AV418,L_Placeholder,0))),"INVALID – result / assessment missing",IF(OR(OR(LEN(AW418)&lt;3,ISNUMBER(MATCH(AW418,L_Placeholder,0))),SUMPRODUCT(--ISNUMBER(SEARCH(L_EvidencePhrase,AW418)))&gt;0),"INVALID – evidence missing, placeholder or not yet on file",IF(OR(LEN(AX418)&lt;2,ISNUMBER(MATCH(AX418,L_Placeholder,0))),"INVALID – verifier missing",IF(AX418=AU418,"INVALID – verifier must be someone other than the PIC",IF(AND(TRIM(U418)="Pass",SUMPRODUCT(--ISNUMBER(SEARCH(L_ResultBad,AV418)))&gt;0),"INVALID – result describes a problem: use Fail, then Pass after CA",IF(AND(AQ418=1,OR(LEN(AY418)&lt;3,ISNUMBER(MATCH(AY418,L_Placeholder,0)))),"INVALID – batch ID missing or placeholder",IF(AND(AR418=1,OR(NOT(ISNUMBER(X418)),NOT(ISNUMBER(Y418)))),"INVALID – expected/actual qty missing",IF(AND(AR418=1,OR(X418&lt;=0,Y418&lt;0)),"INVALID – expected qty must be above 0 and actual not negative",IF(AH402="N/A – JUSTIFIED","INVALID – preparation row F12-T12-13 is N/A",IF(AND(AR418=1,ISNUMBER(X402),X418&lt;&gt;X402),"INVALID – expected qty differs from preparation check F12-T12-13",IF(BB418&lt;&gt;"",BB418,IF(AND(AS418=1,Documents!$J$16&lt;&gt;"ON FILE"),"INVALID – GLD not on file (Documents sheet)",IF(AND(AS418=2,Documents!$O$16&lt;&gt;"ON FILE"),"INVALID – menu checklist not on file (Documents sheet)",IF(AND(AS418=3,NOT(ISNUMBER(Flights!$AX$16))),"INVALID – enter carrying flight KUL departure (Flights AX)",IF(AND(AS418=3,OR(Flights!$AZ$16&gt;Flights!$AA$16,Flights!$AX$16&lt;Flights!$AA$16-3)),"INVALID – carrying flight (Flights AX) cannot arrive before this leg's STD, or is over 3 days early",IF(AG418&gt;AsOfUTC,"INVALID – completion time is in the future",IF(AND(ISNUMBER(S418),AG418&lt;S418),IF(H418="Physical uplift","INVALID – before uplift window (cannot confirm loading)","INVALID – before valid window"),IF(AG418&gt;Flights!$AA$16,"INVALID – completed after departure (cannot establish readiness)",IF(AND(H418="Preparation",AG418&gt;IF(ISNUMBER(Flights!$BA$16),MIN(Flights!$BA$16,Flights!$AA$16),Flights!$AA$16)),"INVALID – completed after loading / departure (cannot establish readiness)",IF(AND(H418="Physical uplift",AG418&gt;Q418),"INVALID – recorded after the loading flight departed",IF(AG418&gt;Q418,"COMPLETE – LATE","COMPLETE"))))))))))))))))))))))),IF(TRIM(U418)="Fail","FAIL – DISCREPANCY",IF(AND(TRIM(U418)&lt;&gt;"",TRIM(U418)&lt;&gt;"Not started",TRIM(U418)&lt;&gt;"In progress"),"INVALID – unrecognised status (use the list)",IF(AsOfUTC&gt;Q418,"OVERDUE",IF(N418="Clarification required","OPEN – CLARIFICATION","OPEN"))))))),"INVALID – error value in an input cell")</f>
        <v>OPEN</v>
      </c>
      <c r="AI418" s="61" t="n">
        <f aca="false">IF(OR(AH418="N/A – RULE",AH418="N/A – JUSTIFIED"),0,1)</f>
        <v>1</v>
      </c>
      <c r="AJ418" s="61" t="n">
        <f aca="false">IF(LEFT(AH418,8)="COMPLETE",1,0)</f>
        <v>0</v>
      </c>
      <c r="AK418" s="61" t="n">
        <f aca="false">IF(AND(AI418=1,AJ418=0,AsOfUTC&gt;Q418),1,0)</f>
        <v>0</v>
      </c>
      <c r="AL418" s="61" t="n">
        <f aca="false">IFERROR(IF(AND(AI418=1,OR(TRIM(U418)="Fail",AND(TRIM(AB418)&lt;&gt;"",TRIM(AB418)&lt;&gt;"Closed"),AND(ISNUMBER(AF418),AF418&lt;&gt;0,TRIM(U418)&lt;&gt;"Pass after CA"))),1,0),1)</f>
        <v>0</v>
      </c>
      <c r="AM418" s="61" t="n">
        <f aca="false">IF(LEFT(AH418,7)="INVALID",1,0)</f>
        <v>0</v>
      </c>
      <c r="AN418" s="61" t="n">
        <f aca="false">IF(AND(N418="Clarification required",AI418=1,AJ418=0),1,0)</f>
        <v>0</v>
      </c>
      <c r="AO418" s="61" t="str">
        <f aca="false">IF(AK418=1,SUM(AK$5:AK418),"")</f>
        <v/>
      </c>
      <c r="AP418" s="61" t="str">
        <f aca="false">IF(AL418=1,SUM(AL$5:AL418),"")</f>
        <v/>
      </c>
      <c r="AQ418" s="61" t="n">
        <v>0</v>
      </c>
      <c r="AR418" s="61" t="n">
        <v>0</v>
      </c>
      <c r="AS418" s="61" t="n">
        <v>0</v>
      </c>
      <c r="AT418" s="61" t="n">
        <v>0</v>
      </c>
      <c r="AU418" s="61" t="str">
        <f aca="false">SUBSTITUTE(SUBSTITUTE(SUBSTITUTE(SUBSTITUTE(SUBSTITUTE(SUBSTITUTE(SUBSTITUTE(SUBSTITUTE(SUBSTITUTE(SUBSTITUTE(SUBSTITUTE(SUBSTITUTE(SUBSTITUTE(LOWER(T418&amp;""),CHAR(160),"")," ",""),".",""),"-",""),"/",""),"?",""),"_",""),",",""),"[",""),"]",""),"(",""),")",""),"*","")</f>
        <v/>
      </c>
      <c r="AV418" s="61" t="str">
        <f aca="false">SUBSTITUTE(SUBSTITUTE(SUBSTITUTE(SUBSTITUTE(SUBSTITUTE(SUBSTITUTE(SUBSTITUTE(SUBSTITUTE(SUBSTITUTE(SUBSTITUTE(SUBSTITUTE(SUBSTITUTE(SUBSTITUTE(LOWER(V418&amp;""),CHAR(160),"")," ",""),".",""),"-",""),"/",""),"?",""),"_",""),",",""),"[",""),"]",""),"(",""),")",""),"*","")</f>
        <v/>
      </c>
      <c r="AW418" s="61" t="str">
        <f aca="false">SUBSTITUTE(SUBSTITUTE(SUBSTITUTE(SUBSTITUTE(SUBSTITUTE(SUBSTITUTE(SUBSTITUTE(SUBSTITUTE(SUBSTITUTE(SUBSTITUTE(SUBSTITUTE(SUBSTITUTE(SUBSTITUTE(LOWER(Z418&amp;""),CHAR(160),"")," ",""),".",""),"-",""),"/",""),"?",""),"_",""),",",""),"[",""),"]",""),"(",""),")",""),"*","")</f>
        <v/>
      </c>
      <c r="AX418" s="61" t="str">
        <f aca="false">SUBSTITUTE(SUBSTITUTE(SUBSTITUTE(SUBSTITUTE(SUBSTITUTE(SUBSTITUTE(SUBSTITUTE(SUBSTITUTE(SUBSTITUTE(SUBSTITUTE(SUBSTITUTE(SUBSTITUTE(SUBSTITUTE(LOWER(AE418&amp;""),CHAR(160),"")," ",""),".",""),"-",""),"/",""),"?",""),"_",""),",",""),"[",""),"]",""),"(",""),")",""),"*","")</f>
        <v/>
      </c>
      <c r="AY418" s="61" t="str">
        <f aca="false">SUBSTITUTE(SUBSTITUTE(SUBSTITUTE(SUBSTITUTE(SUBSTITUTE(SUBSTITUTE(SUBSTITUTE(SUBSTITUTE(SUBSTITUTE(SUBSTITUTE(SUBSTITUTE(SUBSTITUTE(SUBSTITUTE(LOWER(W418&amp;""),CHAR(160),"")," ",""),".",""),"-",""),"/",""),"?",""),"_",""),",",""),"[",""),"]",""),"(",""),")",""),"*","")</f>
        <v/>
      </c>
      <c r="AZ418" s="61" t="str">
        <f aca="false">SUBSTITUTE(SUBSTITUTE(SUBSTITUTE(SUBSTITUTE(SUBSTITUTE(SUBSTITUTE(SUBSTITUTE(SUBSTITUTE(SUBSTITUTE(SUBSTITUTE(SUBSTITUTE(SUBSTITUTE(SUBSTITUTE(LOWER(AC418&amp;""),CHAR(160),"")," ",""),".",""),"-",""),"/",""),"?",""),"_",""),",",""),"[",""),"]",""),"(",""),")",""),"*","")</f>
        <v/>
      </c>
      <c r="BA418" s="61" t="str">
        <f aca="false">SUBSTITUTE(SUBSTITUTE(SUBSTITUTE(SUBSTITUTE(SUBSTITUTE(SUBSTITUTE(SUBSTITUTE(SUBSTITUTE(SUBSTITUTE(SUBSTITUTE(SUBSTITUTE(SUBSTITUTE(SUBSTITUTE(LOWER(AA418&amp;""),CHAR(160),"")," ",""),".",""),"-",""),"/",""),"?",""),"_",""),",",""),"[",""),"]",""),"(",""),")",""),"*","")</f>
        <v/>
      </c>
      <c r="BB418" s="61" t="str">
        <f aca="false">IF(AND(TRIM(U418)="Pass",ISNUMBER(AF418)),IF(AF418&lt;&gt;0,"INVALID – qty variance: use Fail or Pass after CA",""),"")&amp;IF(AND(TRIM(U418)="Pass after CA",ISNUMBER(AF418)),IF(AF418&lt;&gt;0,"INVALID – after the corrective action the actual qty must equal expected (update Actual)",""),"")&amp;IF(AND(TRIM(U418)="Pass",TRIM(AB418)&lt;&gt;"",TRIM(AB418)&lt;&gt;"Closed"),"INVALID – corrective action not closed: use Fail, then Pass after CA","")&amp;IF(AND(TRIM(AA418)&lt;&gt;"",TRIM(AB418)=""),"INVALID – CA status missing for the recorded corrective action","")&amp;IF(AND(TRIM(U418)="Pass after CA",OR(OR(LEN(BA418)&lt;5,ISNUMBER(MATCH(BA418,L_Placeholder,0))),TRIM(AB418)&lt;&gt;"Closed")),"INVALID – corrective action not recorded/closed","")</f>
        <v/>
      </c>
    </row>
    <row r="419" customFormat="false" ht="39.75" hidden="false" customHeight="true" outlineLevel="0" collapsed="false">
      <c r="A419" s="57" t="s">
        <v>1029</v>
      </c>
      <c r="B419" s="57" t="s">
        <v>258</v>
      </c>
      <c r="C419" s="57" t="str">
        <f aca="false">Flights!$F$16</f>
        <v>MH0139</v>
      </c>
      <c r="D419" s="58" t="n">
        <f aca="false">Flights!$D$16</f>
        <v>46307</v>
      </c>
      <c r="E419" s="57" t="str">
        <f aca="false">Flights!$G$16&amp;"-"&amp;Flights!$H$16</f>
        <v>KUL-ADL</v>
      </c>
      <c r="F419" s="57" t="str">
        <f aca="false">Flights!$K$16</f>
        <v>BC</v>
      </c>
      <c r="G419" s="57" t="s">
        <v>437</v>
      </c>
      <c r="H419" s="57" t="s">
        <v>438</v>
      </c>
      <c r="I419" s="57" t="s">
        <v>477</v>
      </c>
      <c r="J419" s="57" t="s">
        <v>524</v>
      </c>
      <c r="K419" s="67" t="s">
        <v>479</v>
      </c>
      <c r="L419" s="67" t="s">
        <v>1004</v>
      </c>
      <c r="M419" s="67" t="s">
        <v>429</v>
      </c>
      <c r="N419" s="67" t="s">
        <v>361</v>
      </c>
      <c r="O419" s="67"/>
      <c r="P419" s="57" t="s">
        <v>184</v>
      </c>
      <c r="Q419" s="59" t="n">
        <f aca="false">ROUND((Flights!$AF$16)*1440,0)/1440</f>
        <v>46307.6006944444</v>
      </c>
      <c r="R419" s="59" t="n">
        <f aca="false">Q419+(IF(AND(INDEX(TZ_DSTS,MATCH(P419,TZ_STN,0))&lt;&gt;"",Q419&gt;=INDEX(TZ_DSTS,MATCH(P419,TZ_STN,0)),Q419&lt;INDEX(TZ_DSTE,MATCH(P419,TZ_STN,0))),INDEX(TZ_DST,MATCH(P419,TZ_STN,0)),INDEX(TZ_STD,MATCH(P419,TZ_STN,0))))/24</f>
        <v>46307.9340277778</v>
      </c>
      <c r="S419" s="59" t="n">
        <f aca="false">IF(ISNUMBER(Flights!$AZ$16),MAX(Q419-UpliftWindowH/24,Flights!$AZ$16),Q419-UpliftWindowH/24)</f>
        <v>46307.3506944444</v>
      </c>
      <c r="T419" s="60"/>
      <c r="U419" s="60"/>
      <c r="V419" s="60"/>
      <c r="W419" s="61"/>
      <c r="X419" s="60"/>
      <c r="Y419" s="60"/>
      <c r="Z419" s="60"/>
      <c r="AA419" s="60"/>
      <c r="AB419" s="60"/>
      <c r="AC419" s="60"/>
      <c r="AD419" s="66"/>
      <c r="AE419" s="60"/>
      <c r="AF419" s="61" t="str">
        <f aca="false">IF(AND(ISNUMBER(X419),ISNUMBER(Y419)),Y419-X419,"")</f>
        <v/>
      </c>
      <c r="AG419" s="62" t="str">
        <f aca="false">IF(ISNUMBER(AD419),AD419-(IF(AND(INDEX(TZ_DSTS,MATCH(P419,TZ_STN,0))&lt;&gt;"",(AD419-INDEX(TZ_STD,MATCH(P419,TZ_STN,0))/24)&gt;=INDEX(TZ_DSTS,MATCH(P419,TZ_STN,0)),(AD419-INDEX(TZ_STD,MATCH(P419,TZ_STN,0))/24)&lt;INDEX(TZ_DSTE,MATCH(P419,TZ_STN,0))),INDEX(TZ_DST,MATCH(P419,TZ_STN,0)),INDEX(TZ_STD,MATCH(P419,TZ_STN,0))))/24,"")</f>
        <v/>
      </c>
      <c r="AH419" s="65" t="str">
        <f aca="false">IFERROR(IF(N419="N/A – rule","N/A – RULE",IF(TRIM(U419)="N/A",IF(AT419=0,"INVALID – N/A not permitted for this check",IF(AND(TRIM(AB419)&lt;&gt;"",TRIM(AB419)&lt;&gt;"Closed"),"INVALID – corrective action still open",IF(AND(NOT(OR(LEN(AZ419)&lt;15,ISNUMBER(MATCH(AZ419,L_Placeholder,0)))),NOT(OR(LEN(AU419)&lt;2,ISNUMBER(MATCH(AU419,L_Placeholder,0)))),NOT(OR(LEN(AX419)&lt;2,ISNUMBER(MATCH(AX419,L_Placeholder,0)))),TRIM(AE419)&lt;&gt;TRIM(T419)),"N/A – JUSTIFIED","INVALID – N/A needs a real justification (15+ chars), PIC and a different verifier"))),IF(OR(TRIM(U419)="Pass",TRIM(U419)="Pass after CA"),IF(NOT(ISNUMBER(AD419)),"INVALID – completion time missing",IF(OR(LEN(AU419)&lt;2,ISNUMBER(MATCH(AU419,L_Placeholder,0))),"INVALID – PIC missing",IF(OR(LEN(AV419)&lt;2,ISNUMBER(MATCH(AV419,L_Placeholder,0))),"INVALID – result / assessment missing",IF(OR(OR(LEN(AW419)&lt;3,ISNUMBER(MATCH(AW419,L_Placeholder,0))),SUMPRODUCT(--ISNUMBER(SEARCH(L_EvidencePhrase,AW419)))&gt;0),"INVALID – evidence missing, placeholder or not yet on file",IF(OR(LEN(AX419)&lt;2,ISNUMBER(MATCH(AX419,L_Placeholder,0))),"INVALID – verifier missing",IF(AX419=AU419,"INVALID – verifier must be someone other than the PIC",IF(AND(TRIM(U419)="Pass",SUMPRODUCT(--ISNUMBER(SEARCH(L_ResultBad,AV419)))&gt;0),"INVALID – result describes a problem: use Fail, then Pass after CA",IF(AND(AQ419=1,OR(LEN(AY419)&lt;3,ISNUMBER(MATCH(AY419,L_Placeholder,0)))),"INVALID – batch ID missing or placeholder",IF(AND(AR419=1,OR(NOT(ISNUMBER(X419)),NOT(ISNUMBER(Y419)))),"INVALID – expected/actual qty missing",IF(AND(AR419=1,OR(X419&lt;=0,Y419&lt;0)),"INVALID – expected qty must be above 0 and actual not negative",IF(AH403="N/A – JUSTIFIED","INVALID – preparation row F12-T12-14 is N/A",IF(AND(AR419=1,ISNUMBER(X403),X419&lt;&gt;X403),"INVALID – expected qty differs from preparation check F12-T12-14",IF(BB419&lt;&gt;"",BB419,IF(AND(AS419=1,Documents!$J$16&lt;&gt;"ON FILE"),"INVALID – GLD not on file (Documents sheet)",IF(AND(AS419=2,Documents!$O$16&lt;&gt;"ON FILE"),"INVALID – menu checklist not on file (Documents sheet)",IF(AND(AS419=3,NOT(ISNUMBER(Flights!$AX$16))),"INVALID – enter carrying flight KUL departure (Flights AX)",IF(AND(AS419=3,OR(Flights!$AZ$16&gt;Flights!$AA$16,Flights!$AX$16&lt;Flights!$AA$16-3)),"INVALID – carrying flight (Flights AX) cannot arrive before this leg's STD, or is over 3 days early",IF(AG419&gt;AsOfUTC,"INVALID – completion time is in the future",IF(AND(ISNUMBER(S419),AG419&lt;S419),IF(H419="Physical uplift","INVALID – before uplift window (cannot confirm loading)","INVALID – before valid window"),IF(AG419&gt;Flights!$AA$16,"INVALID – completed after departure (cannot establish readiness)",IF(AND(H419="Preparation",AG419&gt;IF(ISNUMBER(Flights!$BA$16),MIN(Flights!$BA$16,Flights!$AA$16),Flights!$AA$16)),"INVALID – completed after loading / departure (cannot establish readiness)",IF(AND(H419="Physical uplift",AG419&gt;Q419),"INVALID – recorded after the loading flight departed",IF(AG419&gt;Q419,"COMPLETE – LATE","COMPLETE"))))))))))))))))))))))),IF(TRIM(U419)="Fail","FAIL – DISCREPANCY",IF(AND(TRIM(U419)&lt;&gt;"",TRIM(U419)&lt;&gt;"Not started",TRIM(U419)&lt;&gt;"In progress"),"INVALID – unrecognised status (use the list)",IF(AsOfUTC&gt;Q419,"OVERDUE",IF(N419="Clarification required","OPEN – CLARIFICATION","OPEN"))))))),"INVALID – error value in an input cell")</f>
        <v>OPEN</v>
      </c>
      <c r="AI419" s="61" t="n">
        <f aca="false">IF(OR(AH419="N/A – RULE",AH419="N/A – JUSTIFIED"),0,1)</f>
        <v>1</v>
      </c>
      <c r="AJ419" s="61" t="n">
        <f aca="false">IF(LEFT(AH419,8)="COMPLETE",1,0)</f>
        <v>0</v>
      </c>
      <c r="AK419" s="61" t="n">
        <f aca="false">IF(AND(AI419=1,AJ419=0,AsOfUTC&gt;Q419),1,0)</f>
        <v>0</v>
      </c>
      <c r="AL419" s="61" t="n">
        <f aca="false">IFERROR(IF(AND(AI419=1,OR(TRIM(U419)="Fail",AND(TRIM(AB419)&lt;&gt;"",TRIM(AB419)&lt;&gt;"Closed"),AND(ISNUMBER(AF419),AF419&lt;&gt;0,TRIM(U419)&lt;&gt;"Pass after CA"))),1,0),1)</f>
        <v>0</v>
      </c>
      <c r="AM419" s="61" t="n">
        <f aca="false">IF(LEFT(AH419,7)="INVALID",1,0)</f>
        <v>0</v>
      </c>
      <c r="AN419" s="61" t="n">
        <f aca="false">IF(AND(N419="Clarification required",AI419=1,AJ419=0),1,0)</f>
        <v>0</v>
      </c>
      <c r="AO419" s="61" t="str">
        <f aca="false">IF(AK419=1,SUM(AK$5:AK419),"")</f>
        <v/>
      </c>
      <c r="AP419" s="61" t="str">
        <f aca="false">IF(AL419=1,SUM(AL$5:AL419),"")</f>
        <v/>
      </c>
      <c r="AQ419" s="61" t="n">
        <v>0</v>
      </c>
      <c r="AR419" s="61" t="n">
        <v>0</v>
      </c>
      <c r="AS419" s="61" t="n">
        <v>0</v>
      </c>
      <c r="AT419" s="61" t="n">
        <v>0</v>
      </c>
      <c r="AU419" s="61" t="str">
        <f aca="false">SUBSTITUTE(SUBSTITUTE(SUBSTITUTE(SUBSTITUTE(SUBSTITUTE(SUBSTITUTE(SUBSTITUTE(SUBSTITUTE(SUBSTITUTE(SUBSTITUTE(SUBSTITUTE(SUBSTITUTE(SUBSTITUTE(LOWER(T419&amp;""),CHAR(160),"")," ",""),".",""),"-",""),"/",""),"?",""),"_",""),",",""),"[",""),"]",""),"(",""),")",""),"*","")</f>
        <v/>
      </c>
      <c r="AV419" s="61" t="str">
        <f aca="false">SUBSTITUTE(SUBSTITUTE(SUBSTITUTE(SUBSTITUTE(SUBSTITUTE(SUBSTITUTE(SUBSTITUTE(SUBSTITUTE(SUBSTITUTE(SUBSTITUTE(SUBSTITUTE(SUBSTITUTE(SUBSTITUTE(LOWER(V419&amp;""),CHAR(160),"")," ",""),".",""),"-",""),"/",""),"?",""),"_",""),",",""),"[",""),"]",""),"(",""),")",""),"*","")</f>
        <v/>
      </c>
      <c r="AW419" s="61" t="str">
        <f aca="false">SUBSTITUTE(SUBSTITUTE(SUBSTITUTE(SUBSTITUTE(SUBSTITUTE(SUBSTITUTE(SUBSTITUTE(SUBSTITUTE(SUBSTITUTE(SUBSTITUTE(SUBSTITUTE(SUBSTITUTE(SUBSTITUTE(LOWER(Z419&amp;""),CHAR(160),"")," ",""),".",""),"-",""),"/",""),"?",""),"_",""),",",""),"[",""),"]",""),"(",""),")",""),"*","")</f>
        <v/>
      </c>
      <c r="AX419" s="61" t="str">
        <f aca="false">SUBSTITUTE(SUBSTITUTE(SUBSTITUTE(SUBSTITUTE(SUBSTITUTE(SUBSTITUTE(SUBSTITUTE(SUBSTITUTE(SUBSTITUTE(SUBSTITUTE(SUBSTITUTE(SUBSTITUTE(SUBSTITUTE(LOWER(AE419&amp;""),CHAR(160),"")," ",""),".",""),"-",""),"/",""),"?",""),"_",""),",",""),"[",""),"]",""),"(",""),")",""),"*","")</f>
        <v/>
      </c>
      <c r="AY419" s="61" t="str">
        <f aca="false">SUBSTITUTE(SUBSTITUTE(SUBSTITUTE(SUBSTITUTE(SUBSTITUTE(SUBSTITUTE(SUBSTITUTE(SUBSTITUTE(SUBSTITUTE(SUBSTITUTE(SUBSTITUTE(SUBSTITUTE(SUBSTITUTE(LOWER(W419&amp;""),CHAR(160),"")," ",""),".",""),"-",""),"/",""),"?",""),"_",""),",",""),"[",""),"]",""),"(",""),")",""),"*","")</f>
        <v/>
      </c>
      <c r="AZ419" s="61" t="str">
        <f aca="false">SUBSTITUTE(SUBSTITUTE(SUBSTITUTE(SUBSTITUTE(SUBSTITUTE(SUBSTITUTE(SUBSTITUTE(SUBSTITUTE(SUBSTITUTE(SUBSTITUTE(SUBSTITUTE(SUBSTITUTE(SUBSTITUTE(LOWER(AC419&amp;""),CHAR(160),"")," ",""),".",""),"-",""),"/",""),"?",""),"_",""),",",""),"[",""),"]",""),"(",""),")",""),"*","")</f>
        <v/>
      </c>
      <c r="BA419" s="61" t="str">
        <f aca="false">SUBSTITUTE(SUBSTITUTE(SUBSTITUTE(SUBSTITUTE(SUBSTITUTE(SUBSTITUTE(SUBSTITUTE(SUBSTITUTE(SUBSTITUTE(SUBSTITUTE(SUBSTITUTE(SUBSTITUTE(SUBSTITUTE(LOWER(AA419&amp;""),CHAR(160),"")," ",""),".",""),"-",""),"/",""),"?",""),"_",""),",",""),"[",""),"]",""),"(",""),")",""),"*","")</f>
        <v/>
      </c>
      <c r="BB419" s="61" t="str">
        <f aca="false">IF(AND(TRIM(U419)="Pass",ISNUMBER(AF419)),IF(AF419&lt;&gt;0,"INVALID – qty variance: use Fail or Pass after CA",""),"")&amp;IF(AND(TRIM(U419)="Pass after CA",ISNUMBER(AF419)),IF(AF419&lt;&gt;0,"INVALID – after the corrective action the actual qty must equal expected (update Actual)",""),"")&amp;IF(AND(TRIM(U419)="Pass",TRIM(AB419)&lt;&gt;"",TRIM(AB419)&lt;&gt;"Closed"),"INVALID – corrective action not closed: use Fail, then Pass after CA","")&amp;IF(AND(TRIM(AA419)&lt;&gt;"",TRIM(AB419)=""),"INVALID – CA status missing for the recorded corrective action","")&amp;IF(AND(TRIM(U419)="Pass after CA",OR(OR(LEN(BA419)&lt;5,ISNUMBER(MATCH(BA419,L_Placeholder,0))),TRIM(AB419)&lt;&gt;"Closed")),"INVALID – corrective action not recorded/closed","")</f>
        <v/>
      </c>
    </row>
    <row r="420" customFormat="false" ht="39.75" hidden="false" customHeight="true" outlineLevel="0" collapsed="false">
      <c r="A420" s="57" t="s">
        <v>1030</v>
      </c>
      <c r="B420" s="57" t="s">
        <v>258</v>
      </c>
      <c r="C420" s="57" t="str">
        <f aca="false">Flights!$F$16</f>
        <v>MH0139</v>
      </c>
      <c r="D420" s="58" t="n">
        <f aca="false">Flights!$D$16</f>
        <v>46307</v>
      </c>
      <c r="E420" s="57" t="str">
        <f aca="false">Flights!$G$16&amp;"-"&amp;Flights!$H$16</f>
        <v>KUL-ADL</v>
      </c>
      <c r="F420" s="57" t="str">
        <f aca="false">Flights!$K$16</f>
        <v>BC</v>
      </c>
      <c r="G420" s="57" t="s">
        <v>437</v>
      </c>
      <c r="H420" s="57" t="s">
        <v>438</v>
      </c>
      <c r="I420" s="57" t="s">
        <v>477</v>
      </c>
      <c r="J420" s="57" t="s">
        <v>526</v>
      </c>
      <c r="K420" s="67" t="s">
        <v>594</v>
      </c>
      <c r="L420" s="67" t="s">
        <v>1006</v>
      </c>
      <c r="M420" s="67" t="s">
        <v>429</v>
      </c>
      <c r="N420" s="67" t="s">
        <v>361</v>
      </c>
      <c r="O420" s="67" t="s">
        <v>527</v>
      </c>
      <c r="P420" s="57" t="s">
        <v>184</v>
      </c>
      <c r="Q420" s="59" t="n">
        <f aca="false">ROUND((Flights!$AF$16)*1440,0)/1440</f>
        <v>46307.6006944444</v>
      </c>
      <c r="R420" s="59" t="n">
        <f aca="false">Q420+(IF(AND(INDEX(TZ_DSTS,MATCH(P420,TZ_STN,0))&lt;&gt;"",Q420&gt;=INDEX(TZ_DSTS,MATCH(P420,TZ_STN,0)),Q420&lt;INDEX(TZ_DSTE,MATCH(P420,TZ_STN,0))),INDEX(TZ_DST,MATCH(P420,TZ_STN,0)),INDEX(TZ_STD,MATCH(P420,TZ_STN,0))))/24</f>
        <v>46307.9340277778</v>
      </c>
      <c r="S420" s="59" t="n">
        <f aca="false">IF(ISNUMBER(Flights!$AZ$16),MAX(Q420-UpliftWindowH/24,Flights!$AZ$16),Q420-UpliftWindowH/24)</f>
        <v>46307.3506944444</v>
      </c>
      <c r="T420" s="60"/>
      <c r="U420" s="60"/>
      <c r="V420" s="60"/>
      <c r="W420" s="61"/>
      <c r="X420" s="60"/>
      <c r="Y420" s="60"/>
      <c r="Z420" s="60"/>
      <c r="AA420" s="60"/>
      <c r="AB420" s="60"/>
      <c r="AC420" s="60"/>
      <c r="AD420" s="66"/>
      <c r="AE420" s="60"/>
      <c r="AF420" s="61" t="str">
        <f aca="false">IF(AND(ISNUMBER(X420),ISNUMBER(Y420)),Y420-X420,"")</f>
        <v/>
      </c>
      <c r="AG420" s="62" t="str">
        <f aca="false">IF(ISNUMBER(AD420),AD420-(IF(AND(INDEX(TZ_DSTS,MATCH(P420,TZ_STN,0))&lt;&gt;"",(AD420-INDEX(TZ_STD,MATCH(P420,TZ_STN,0))/24)&gt;=INDEX(TZ_DSTS,MATCH(P420,TZ_STN,0)),(AD420-INDEX(TZ_STD,MATCH(P420,TZ_STN,0))/24)&lt;INDEX(TZ_DSTE,MATCH(P420,TZ_STN,0))),INDEX(TZ_DST,MATCH(P420,TZ_STN,0)),INDEX(TZ_STD,MATCH(P420,TZ_STN,0))))/24,"")</f>
        <v/>
      </c>
      <c r="AH420" s="65" t="str">
        <f aca="false">IFERROR(IF(N420="N/A – rule","N/A – RULE",IF(TRIM(U420)="N/A",IF(AT420=0,"INVALID – N/A not permitted for this check",IF(AND(TRIM(AB420)&lt;&gt;"",TRIM(AB420)&lt;&gt;"Closed"),"INVALID – corrective action still open",IF(AND(NOT(OR(LEN(AZ420)&lt;15,ISNUMBER(MATCH(AZ420,L_Placeholder,0)))),NOT(OR(LEN(AU420)&lt;2,ISNUMBER(MATCH(AU420,L_Placeholder,0)))),NOT(OR(LEN(AX420)&lt;2,ISNUMBER(MATCH(AX420,L_Placeholder,0)))),TRIM(AE420)&lt;&gt;TRIM(T420)),"N/A – JUSTIFIED","INVALID – N/A needs a real justification (15+ chars), PIC and a different verifier"))),IF(OR(TRIM(U420)="Pass",TRIM(U420)="Pass after CA"),IF(NOT(ISNUMBER(AD420)),"INVALID – completion time missing",IF(OR(LEN(AU420)&lt;2,ISNUMBER(MATCH(AU420,L_Placeholder,0))),"INVALID – PIC missing",IF(OR(LEN(AV420)&lt;2,ISNUMBER(MATCH(AV420,L_Placeholder,0))),"INVALID – result / assessment missing",IF(OR(OR(LEN(AW420)&lt;3,ISNUMBER(MATCH(AW420,L_Placeholder,0))),SUMPRODUCT(--ISNUMBER(SEARCH(L_EvidencePhrase,AW420)))&gt;0),"INVALID – evidence missing, placeholder or not yet on file",IF(OR(LEN(AX420)&lt;2,ISNUMBER(MATCH(AX420,L_Placeholder,0))),"INVALID – verifier missing",IF(AX420=AU420,"INVALID – verifier must be someone other than the PIC",IF(AND(TRIM(U420)="Pass",SUMPRODUCT(--ISNUMBER(SEARCH(L_ResultBad,AV420)))&gt;0),"INVALID – result describes a problem: use Fail, then Pass after CA",IF(AND(AQ420=1,OR(LEN(AY420)&lt;3,ISNUMBER(MATCH(AY420,L_Placeholder,0)))),"INVALID – batch ID missing or placeholder",IF(AND(AR420=1,OR(NOT(ISNUMBER(X420)),NOT(ISNUMBER(Y420)))),"INVALID – expected/actual qty missing",IF(AND(AR420=1,OR(X420&lt;=0,Y420&lt;0)),"INVALID – expected qty must be above 0 and actual not negative",IF(AH404="N/A – JUSTIFIED","INVALID – preparation row F12-T12-15 is N/A",IF(AND(AR420=1,ISNUMBER(X404),X420&lt;&gt;X404),"INVALID – expected qty differs from preparation check F12-T12-15",IF(BB420&lt;&gt;"",BB420,IF(AND(AS420=1,Documents!$J$16&lt;&gt;"ON FILE"),"INVALID – GLD not on file (Documents sheet)",IF(AND(AS420=2,Documents!$O$16&lt;&gt;"ON FILE"),"INVALID – menu checklist not on file (Documents sheet)",IF(AND(AS420=3,NOT(ISNUMBER(Flights!$AX$16))),"INVALID – enter carrying flight KUL departure (Flights AX)",IF(AND(AS420=3,OR(Flights!$AZ$16&gt;Flights!$AA$16,Flights!$AX$16&lt;Flights!$AA$16-3)),"INVALID – carrying flight (Flights AX) cannot arrive before this leg's STD, or is over 3 days early",IF(AG420&gt;AsOfUTC,"INVALID – completion time is in the future",IF(AND(ISNUMBER(S420),AG420&lt;S420),IF(H420="Physical uplift","INVALID – before uplift window (cannot confirm loading)","INVALID – before valid window"),IF(AG420&gt;Flights!$AA$16,"INVALID – completed after departure (cannot establish readiness)",IF(AND(H420="Preparation",AG420&gt;IF(ISNUMBER(Flights!$BA$16),MIN(Flights!$BA$16,Flights!$AA$16),Flights!$AA$16)),"INVALID – completed after loading / departure (cannot establish readiness)",IF(AND(H420="Physical uplift",AG420&gt;Q420),"INVALID – recorded after the loading flight departed",IF(AG420&gt;Q420,"COMPLETE – LATE","COMPLETE"))))))))))))))))))))))),IF(TRIM(U420)="Fail","FAIL – DISCREPANCY",IF(AND(TRIM(U420)&lt;&gt;"",TRIM(U420)&lt;&gt;"Not started",TRIM(U420)&lt;&gt;"In progress"),"INVALID – unrecognised status (use the list)",IF(AsOfUTC&gt;Q420,"OVERDUE",IF(N420="Clarification required","OPEN – CLARIFICATION","OPEN"))))))),"INVALID – error value in an input cell")</f>
        <v>OPEN</v>
      </c>
      <c r="AI420" s="61" t="n">
        <f aca="false">IF(OR(AH420="N/A – RULE",AH420="N/A – JUSTIFIED"),0,1)</f>
        <v>1</v>
      </c>
      <c r="AJ420" s="61" t="n">
        <f aca="false">IF(LEFT(AH420,8)="COMPLETE",1,0)</f>
        <v>0</v>
      </c>
      <c r="AK420" s="61" t="n">
        <f aca="false">IF(AND(AI420=1,AJ420=0,AsOfUTC&gt;Q420),1,0)</f>
        <v>0</v>
      </c>
      <c r="AL420" s="61" t="n">
        <f aca="false">IFERROR(IF(AND(AI420=1,OR(TRIM(U420)="Fail",AND(TRIM(AB420)&lt;&gt;"",TRIM(AB420)&lt;&gt;"Closed"),AND(ISNUMBER(AF420),AF420&lt;&gt;0,TRIM(U420)&lt;&gt;"Pass after CA"))),1,0),1)</f>
        <v>0</v>
      </c>
      <c r="AM420" s="61" t="n">
        <f aca="false">IF(LEFT(AH420,7)="INVALID",1,0)</f>
        <v>0</v>
      </c>
      <c r="AN420" s="61" t="n">
        <f aca="false">IF(AND(N420="Clarification required",AI420=1,AJ420=0),1,0)</f>
        <v>0</v>
      </c>
      <c r="AO420" s="61" t="str">
        <f aca="false">IF(AK420=1,SUM(AK$5:AK420),"")</f>
        <v/>
      </c>
      <c r="AP420" s="61" t="str">
        <f aca="false">IF(AL420=1,SUM(AL$5:AL420),"")</f>
        <v/>
      </c>
      <c r="AQ420" s="61" t="n">
        <v>0</v>
      </c>
      <c r="AR420" s="61" t="n">
        <v>0</v>
      </c>
      <c r="AS420" s="61" t="n">
        <v>0</v>
      </c>
      <c r="AT420" s="61" t="n">
        <v>0</v>
      </c>
      <c r="AU420" s="61" t="str">
        <f aca="false">SUBSTITUTE(SUBSTITUTE(SUBSTITUTE(SUBSTITUTE(SUBSTITUTE(SUBSTITUTE(SUBSTITUTE(SUBSTITUTE(SUBSTITUTE(SUBSTITUTE(SUBSTITUTE(SUBSTITUTE(SUBSTITUTE(LOWER(T420&amp;""),CHAR(160),"")," ",""),".",""),"-",""),"/",""),"?",""),"_",""),",",""),"[",""),"]",""),"(",""),")",""),"*","")</f>
        <v/>
      </c>
      <c r="AV420" s="61" t="str">
        <f aca="false">SUBSTITUTE(SUBSTITUTE(SUBSTITUTE(SUBSTITUTE(SUBSTITUTE(SUBSTITUTE(SUBSTITUTE(SUBSTITUTE(SUBSTITUTE(SUBSTITUTE(SUBSTITUTE(SUBSTITUTE(SUBSTITUTE(LOWER(V420&amp;""),CHAR(160),"")," ",""),".",""),"-",""),"/",""),"?",""),"_",""),",",""),"[",""),"]",""),"(",""),")",""),"*","")</f>
        <v/>
      </c>
      <c r="AW420" s="61" t="str">
        <f aca="false">SUBSTITUTE(SUBSTITUTE(SUBSTITUTE(SUBSTITUTE(SUBSTITUTE(SUBSTITUTE(SUBSTITUTE(SUBSTITUTE(SUBSTITUTE(SUBSTITUTE(SUBSTITUTE(SUBSTITUTE(SUBSTITUTE(LOWER(Z420&amp;""),CHAR(160),"")," ",""),".",""),"-",""),"/",""),"?",""),"_",""),",",""),"[",""),"]",""),"(",""),")",""),"*","")</f>
        <v/>
      </c>
      <c r="AX420" s="61" t="str">
        <f aca="false">SUBSTITUTE(SUBSTITUTE(SUBSTITUTE(SUBSTITUTE(SUBSTITUTE(SUBSTITUTE(SUBSTITUTE(SUBSTITUTE(SUBSTITUTE(SUBSTITUTE(SUBSTITUTE(SUBSTITUTE(SUBSTITUTE(LOWER(AE420&amp;""),CHAR(160),"")," ",""),".",""),"-",""),"/",""),"?",""),"_",""),",",""),"[",""),"]",""),"(",""),")",""),"*","")</f>
        <v/>
      </c>
      <c r="AY420" s="61" t="str">
        <f aca="false">SUBSTITUTE(SUBSTITUTE(SUBSTITUTE(SUBSTITUTE(SUBSTITUTE(SUBSTITUTE(SUBSTITUTE(SUBSTITUTE(SUBSTITUTE(SUBSTITUTE(SUBSTITUTE(SUBSTITUTE(SUBSTITUTE(LOWER(W420&amp;""),CHAR(160),"")," ",""),".",""),"-",""),"/",""),"?",""),"_",""),",",""),"[",""),"]",""),"(",""),")",""),"*","")</f>
        <v/>
      </c>
      <c r="AZ420" s="61" t="str">
        <f aca="false">SUBSTITUTE(SUBSTITUTE(SUBSTITUTE(SUBSTITUTE(SUBSTITUTE(SUBSTITUTE(SUBSTITUTE(SUBSTITUTE(SUBSTITUTE(SUBSTITUTE(SUBSTITUTE(SUBSTITUTE(SUBSTITUTE(LOWER(AC420&amp;""),CHAR(160),"")," ",""),".",""),"-",""),"/",""),"?",""),"_",""),",",""),"[",""),"]",""),"(",""),")",""),"*","")</f>
        <v/>
      </c>
      <c r="BA420" s="61" t="str">
        <f aca="false">SUBSTITUTE(SUBSTITUTE(SUBSTITUTE(SUBSTITUTE(SUBSTITUTE(SUBSTITUTE(SUBSTITUTE(SUBSTITUTE(SUBSTITUTE(SUBSTITUTE(SUBSTITUTE(SUBSTITUTE(SUBSTITUTE(LOWER(AA420&amp;""),CHAR(160),"")," ",""),".",""),"-",""),"/",""),"?",""),"_",""),",",""),"[",""),"]",""),"(",""),")",""),"*","")</f>
        <v/>
      </c>
      <c r="BB420" s="61" t="str">
        <f aca="false">IF(AND(TRIM(U420)="Pass",ISNUMBER(AF420)),IF(AF420&lt;&gt;0,"INVALID – qty variance: use Fail or Pass after CA",""),"")&amp;IF(AND(TRIM(U420)="Pass after CA",ISNUMBER(AF420)),IF(AF420&lt;&gt;0,"INVALID – after the corrective action the actual qty must equal expected (update Actual)",""),"")&amp;IF(AND(TRIM(U420)="Pass",TRIM(AB420)&lt;&gt;"",TRIM(AB420)&lt;&gt;"Closed"),"INVALID – corrective action not closed: use Fail, then Pass after CA","")&amp;IF(AND(TRIM(AA420)&lt;&gt;"",TRIM(AB420)=""),"INVALID – CA status missing for the recorded corrective action","")&amp;IF(AND(TRIM(U420)="Pass after CA",OR(OR(LEN(BA420)&lt;5,ISNUMBER(MATCH(BA420,L_Placeholder,0))),TRIM(AB420)&lt;&gt;"Closed")),"INVALID – corrective action not recorded/closed","")</f>
        <v/>
      </c>
    </row>
    <row r="421" customFormat="false" ht="39.75" hidden="false" customHeight="true" outlineLevel="0" collapsed="false">
      <c r="A421" s="57" t="s">
        <v>1031</v>
      </c>
      <c r="B421" s="57" t="s">
        <v>258</v>
      </c>
      <c r="C421" s="57" t="str">
        <f aca="false">Flights!$F$16</f>
        <v>MH0139</v>
      </c>
      <c r="D421" s="58" t="n">
        <f aca="false">Flights!$D$16</f>
        <v>46307</v>
      </c>
      <c r="E421" s="57" t="str">
        <f aca="false">Flights!$G$16&amp;"-"&amp;Flights!$H$16</f>
        <v>KUL-ADL</v>
      </c>
      <c r="F421" s="57" t="str">
        <f aca="false">Flights!$K$16</f>
        <v>BC</v>
      </c>
      <c r="G421" s="57" t="s">
        <v>437</v>
      </c>
      <c r="H421" s="57" t="s">
        <v>438</v>
      </c>
      <c r="I421" s="57" t="s">
        <v>477</v>
      </c>
      <c r="J421" s="57" t="s">
        <v>529</v>
      </c>
      <c r="K421" s="67" t="s">
        <v>479</v>
      </c>
      <c r="L421" s="67" t="s">
        <v>1008</v>
      </c>
      <c r="M421" s="67" t="s">
        <v>429</v>
      </c>
      <c r="N421" s="67" t="s">
        <v>361</v>
      </c>
      <c r="O421" s="67"/>
      <c r="P421" s="57" t="s">
        <v>184</v>
      </c>
      <c r="Q421" s="59" t="n">
        <f aca="false">ROUND((Flights!$AF$16)*1440,0)/1440</f>
        <v>46307.6006944444</v>
      </c>
      <c r="R421" s="59" t="n">
        <f aca="false">Q421+(IF(AND(INDEX(TZ_DSTS,MATCH(P421,TZ_STN,0))&lt;&gt;"",Q421&gt;=INDEX(TZ_DSTS,MATCH(P421,TZ_STN,0)),Q421&lt;INDEX(TZ_DSTE,MATCH(P421,TZ_STN,0))),INDEX(TZ_DST,MATCH(P421,TZ_STN,0)),INDEX(TZ_STD,MATCH(P421,TZ_STN,0))))/24</f>
        <v>46307.9340277778</v>
      </c>
      <c r="S421" s="59" t="n">
        <f aca="false">IF(ISNUMBER(Flights!$AZ$16),MAX(Q421-UpliftWindowH/24,Flights!$AZ$16),Q421-UpliftWindowH/24)</f>
        <v>46307.3506944444</v>
      </c>
      <c r="T421" s="60"/>
      <c r="U421" s="60"/>
      <c r="V421" s="60"/>
      <c r="W421" s="61"/>
      <c r="X421" s="60"/>
      <c r="Y421" s="60"/>
      <c r="Z421" s="60"/>
      <c r="AA421" s="60"/>
      <c r="AB421" s="60"/>
      <c r="AC421" s="60"/>
      <c r="AD421" s="66"/>
      <c r="AE421" s="60"/>
      <c r="AF421" s="61" t="str">
        <f aca="false">IF(AND(ISNUMBER(X421),ISNUMBER(Y421)),Y421-X421,"")</f>
        <v/>
      </c>
      <c r="AG421" s="62" t="str">
        <f aca="false">IF(ISNUMBER(AD421),AD421-(IF(AND(INDEX(TZ_DSTS,MATCH(P421,TZ_STN,0))&lt;&gt;"",(AD421-INDEX(TZ_STD,MATCH(P421,TZ_STN,0))/24)&gt;=INDEX(TZ_DSTS,MATCH(P421,TZ_STN,0)),(AD421-INDEX(TZ_STD,MATCH(P421,TZ_STN,0))/24)&lt;INDEX(TZ_DSTE,MATCH(P421,TZ_STN,0))),INDEX(TZ_DST,MATCH(P421,TZ_STN,0)),INDEX(TZ_STD,MATCH(P421,TZ_STN,0))))/24,"")</f>
        <v/>
      </c>
      <c r="AH421" s="65" t="str">
        <f aca="false">IFERROR(IF(N421="N/A – rule","N/A – RULE",IF(TRIM(U421)="N/A",IF(AT421=0,"INVALID – N/A not permitted for this check",IF(AND(TRIM(AB421)&lt;&gt;"",TRIM(AB421)&lt;&gt;"Closed"),"INVALID – corrective action still open",IF(AND(NOT(OR(LEN(AZ421)&lt;15,ISNUMBER(MATCH(AZ421,L_Placeholder,0)))),NOT(OR(LEN(AU421)&lt;2,ISNUMBER(MATCH(AU421,L_Placeholder,0)))),NOT(OR(LEN(AX421)&lt;2,ISNUMBER(MATCH(AX421,L_Placeholder,0)))),TRIM(AE421)&lt;&gt;TRIM(T421)),"N/A – JUSTIFIED","INVALID – N/A needs a real justification (15+ chars), PIC and a different verifier"))),IF(OR(TRIM(U421)="Pass",TRIM(U421)="Pass after CA"),IF(NOT(ISNUMBER(AD421)),"INVALID – completion time missing",IF(OR(LEN(AU421)&lt;2,ISNUMBER(MATCH(AU421,L_Placeholder,0))),"INVALID – PIC missing",IF(OR(LEN(AV421)&lt;2,ISNUMBER(MATCH(AV421,L_Placeholder,0))),"INVALID – result / assessment missing",IF(OR(OR(LEN(AW421)&lt;3,ISNUMBER(MATCH(AW421,L_Placeholder,0))),SUMPRODUCT(--ISNUMBER(SEARCH(L_EvidencePhrase,AW421)))&gt;0),"INVALID – evidence missing, placeholder or not yet on file",IF(OR(LEN(AX421)&lt;2,ISNUMBER(MATCH(AX421,L_Placeholder,0))),"INVALID – verifier missing",IF(AX421=AU421,"INVALID – verifier must be someone other than the PIC",IF(AND(TRIM(U421)="Pass",SUMPRODUCT(--ISNUMBER(SEARCH(L_ResultBad,AV421)))&gt;0),"INVALID – result describes a problem: use Fail, then Pass after CA",IF(AND(AQ421=1,OR(LEN(AY421)&lt;3,ISNUMBER(MATCH(AY421,L_Placeholder,0)))),"INVALID – batch ID missing or placeholder",IF(AND(AR421=1,OR(NOT(ISNUMBER(X421)),NOT(ISNUMBER(Y421)))),"INVALID – expected/actual qty missing",IF(AND(AR421=1,OR(X421&lt;=0,Y421&lt;0)),"INVALID – expected qty must be above 0 and actual not negative",IF(AH405="N/A – JUSTIFIED","INVALID – preparation row F12-T12-16 is N/A",IF(AND(AR421=1,ISNUMBER(X405),X421&lt;&gt;X405),"INVALID – expected qty differs from preparation check F12-T12-16",IF(BB421&lt;&gt;"",BB421,IF(AND(AS421=1,Documents!$J$16&lt;&gt;"ON FILE"),"INVALID – GLD not on file (Documents sheet)",IF(AND(AS421=2,Documents!$O$16&lt;&gt;"ON FILE"),"INVALID – menu checklist not on file (Documents sheet)",IF(AND(AS421=3,NOT(ISNUMBER(Flights!$AX$16))),"INVALID – enter carrying flight KUL departure (Flights AX)",IF(AND(AS421=3,OR(Flights!$AZ$16&gt;Flights!$AA$16,Flights!$AX$16&lt;Flights!$AA$16-3)),"INVALID – carrying flight (Flights AX) cannot arrive before this leg's STD, or is over 3 days early",IF(AG421&gt;AsOfUTC,"INVALID – completion time is in the future",IF(AND(ISNUMBER(S421),AG421&lt;S421),IF(H421="Physical uplift","INVALID – before uplift window (cannot confirm loading)","INVALID – before valid window"),IF(AG421&gt;Flights!$AA$16,"INVALID – completed after departure (cannot establish readiness)",IF(AND(H421="Preparation",AG421&gt;IF(ISNUMBER(Flights!$BA$16),MIN(Flights!$BA$16,Flights!$AA$16),Flights!$AA$16)),"INVALID – completed after loading / departure (cannot establish readiness)",IF(AND(H421="Physical uplift",AG421&gt;Q421),"INVALID – recorded after the loading flight departed",IF(AG421&gt;Q421,"COMPLETE – LATE","COMPLETE"))))))))))))))))))))))),IF(TRIM(U421)="Fail","FAIL – DISCREPANCY",IF(AND(TRIM(U421)&lt;&gt;"",TRIM(U421)&lt;&gt;"Not started",TRIM(U421)&lt;&gt;"In progress"),"INVALID – unrecognised status (use the list)",IF(AsOfUTC&gt;Q421,"OVERDUE",IF(N421="Clarification required","OPEN – CLARIFICATION","OPEN"))))))),"INVALID – error value in an input cell")</f>
        <v>OPEN</v>
      </c>
      <c r="AI421" s="61" t="n">
        <f aca="false">IF(OR(AH421="N/A – RULE",AH421="N/A – JUSTIFIED"),0,1)</f>
        <v>1</v>
      </c>
      <c r="AJ421" s="61" t="n">
        <f aca="false">IF(LEFT(AH421,8)="COMPLETE",1,0)</f>
        <v>0</v>
      </c>
      <c r="AK421" s="61" t="n">
        <f aca="false">IF(AND(AI421=1,AJ421=0,AsOfUTC&gt;Q421),1,0)</f>
        <v>0</v>
      </c>
      <c r="AL421" s="61" t="n">
        <f aca="false">IFERROR(IF(AND(AI421=1,OR(TRIM(U421)="Fail",AND(TRIM(AB421)&lt;&gt;"",TRIM(AB421)&lt;&gt;"Closed"),AND(ISNUMBER(AF421),AF421&lt;&gt;0,TRIM(U421)&lt;&gt;"Pass after CA"))),1,0),1)</f>
        <v>0</v>
      </c>
      <c r="AM421" s="61" t="n">
        <f aca="false">IF(LEFT(AH421,7)="INVALID",1,0)</f>
        <v>0</v>
      </c>
      <c r="AN421" s="61" t="n">
        <f aca="false">IF(AND(N421="Clarification required",AI421=1,AJ421=0),1,0)</f>
        <v>0</v>
      </c>
      <c r="AO421" s="61" t="str">
        <f aca="false">IF(AK421=1,SUM(AK$5:AK421),"")</f>
        <v/>
      </c>
      <c r="AP421" s="61" t="str">
        <f aca="false">IF(AL421=1,SUM(AL$5:AL421),"")</f>
        <v/>
      </c>
      <c r="AQ421" s="61" t="n">
        <v>0</v>
      </c>
      <c r="AR421" s="61" t="n">
        <v>0</v>
      </c>
      <c r="AS421" s="61" t="n">
        <v>0</v>
      </c>
      <c r="AT421" s="61" t="n">
        <v>0</v>
      </c>
      <c r="AU421" s="61" t="str">
        <f aca="false">SUBSTITUTE(SUBSTITUTE(SUBSTITUTE(SUBSTITUTE(SUBSTITUTE(SUBSTITUTE(SUBSTITUTE(SUBSTITUTE(SUBSTITUTE(SUBSTITUTE(SUBSTITUTE(SUBSTITUTE(SUBSTITUTE(LOWER(T421&amp;""),CHAR(160),"")," ",""),".",""),"-",""),"/",""),"?",""),"_",""),",",""),"[",""),"]",""),"(",""),")",""),"*","")</f>
        <v/>
      </c>
      <c r="AV421" s="61" t="str">
        <f aca="false">SUBSTITUTE(SUBSTITUTE(SUBSTITUTE(SUBSTITUTE(SUBSTITUTE(SUBSTITUTE(SUBSTITUTE(SUBSTITUTE(SUBSTITUTE(SUBSTITUTE(SUBSTITUTE(SUBSTITUTE(SUBSTITUTE(LOWER(V421&amp;""),CHAR(160),"")," ",""),".",""),"-",""),"/",""),"?",""),"_",""),",",""),"[",""),"]",""),"(",""),")",""),"*","")</f>
        <v/>
      </c>
      <c r="AW421" s="61" t="str">
        <f aca="false">SUBSTITUTE(SUBSTITUTE(SUBSTITUTE(SUBSTITUTE(SUBSTITUTE(SUBSTITUTE(SUBSTITUTE(SUBSTITUTE(SUBSTITUTE(SUBSTITUTE(SUBSTITUTE(SUBSTITUTE(SUBSTITUTE(LOWER(Z421&amp;""),CHAR(160),"")," ",""),".",""),"-",""),"/",""),"?",""),"_",""),",",""),"[",""),"]",""),"(",""),")",""),"*","")</f>
        <v/>
      </c>
      <c r="AX421" s="61" t="str">
        <f aca="false">SUBSTITUTE(SUBSTITUTE(SUBSTITUTE(SUBSTITUTE(SUBSTITUTE(SUBSTITUTE(SUBSTITUTE(SUBSTITUTE(SUBSTITUTE(SUBSTITUTE(SUBSTITUTE(SUBSTITUTE(SUBSTITUTE(LOWER(AE421&amp;""),CHAR(160),"")," ",""),".",""),"-",""),"/",""),"?",""),"_",""),",",""),"[",""),"]",""),"(",""),")",""),"*","")</f>
        <v/>
      </c>
      <c r="AY421" s="61" t="str">
        <f aca="false">SUBSTITUTE(SUBSTITUTE(SUBSTITUTE(SUBSTITUTE(SUBSTITUTE(SUBSTITUTE(SUBSTITUTE(SUBSTITUTE(SUBSTITUTE(SUBSTITUTE(SUBSTITUTE(SUBSTITUTE(SUBSTITUTE(LOWER(W421&amp;""),CHAR(160),"")," ",""),".",""),"-",""),"/",""),"?",""),"_",""),",",""),"[",""),"]",""),"(",""),")",""),"*","")</f>
        <v/>
      </c>
      <c r="AZ421" s="61" t="str">
        <f aca="false">SUBSTITUTE(SUBSTITUTE(SUBSTITUTE(SUBSTITUTE(SUBSTITUTE(SUBSTITUTE(SUBSTITUTE(SUBSTITUTE(SUBSTITUTE(SUBSTITUTE(SUBSTITUTE(SUBSTITUTE(SUBSTITUTE(LOWER(AC421&amp;""),CHAR(160),"")," ",""),".",""),"-",""),"/",""),"?",""),"_",""),",",""),"[",""),"]",""),"(",""),")",""),"*","")</f>
        <v/>
      </c>
      <c r="BA421" s="61" t="str">
        <f aca="false">SUBSTITUTE(SUBSTITUTE(SUBSTITUTE(SUBSTITUTE(SUBSTITUTE(SUBSTITUTE(SUBSTITUTE(SUBSTITUTE(SUBSTITUTE(SUBSTITUTE(SUBSTITUTE(SUBSTITUTE(SUBSTITUTE(LOWER(AA421&amp;""),CHAR(160),"")," ",""),".",""),"-",""),"/",""),"?",""),"_",""),",",""),"[",""),"]",""),"(",""),")",""),"*","")</f>
        <v/>
      </c>
      <c r="BB421" s="61" t="str">
        <f aca="false">IF(AND(TRIM(U421)="Pass",ISNUMBER(AF421)),IF(AF421&lt;&gt;0,"INVALID – qty variance: use Fail or Pass after CA",""),"")&amp;IF(AND(TRIM(U421)="Pass after CA",ISNUMBER(AF421)),IF(AF421&lt;&gt;0,"INVALID – after the corrective action the actual qty must equal expected (update Actual)",""),"")&amp;IF(AND(TRIM(U421)="Pass",TRIM(AB421)&lt;&gt;"",TRIM(AB421)&lt;&gt;"Closed"),"INVALID – corrective action not closed: use Fail, then Pass after CA","")&amp;IF(AND(TRIM(AA421)&lt;&gt;"",TRIM(AB421)=""),"INVALID – CA status missing for the recorded corrective action","")&amp;IF(AND(TRIM(U421)="Pass after CA",OR(OR(LEN(BA421)&lt;5,ISNUMBER(MATCH(BA421,L_Placeholder,0))),TRIM(AB421)&lt;&gt;"Closed")),"INVALID – corrective action not recorded/closed","")</f>
        <v/>
      </c>
    </row>
    <row r="422" customFormat="false" ht="39.75" hidden="false" customHeight="true" outlineLevel="0" collapsed="false">
      <c r="A422" s="57" t="s">
        <v>1032</v>
      </c>
      <c r="B422" s="57" t="s">
        <v>258</v>
      </c>
      <c r="C422" s="57" t="str">
        <f aca="false">Flights!$F$16</f>
        <v>MH0139</v>
      </c>
      <c r="D422" s="58" t="n">
        <f aca="false">Flights!$D$16</f>
        <v>46307</v>
      </c>
      <c r="E422" s="57" t="str">
        <f aca="false">Flights!$G$16&amp;"-"&amp;Flights!$H$16</f>
        <v>KUL-ADL</v>
      </c>
      <c r="F422" s="57" t="str">
        <f aca="false">Flights!$K$16</f>
        <v>BC</v>
      </c>
      <c r="G422" s="57" t="s">
        <v>437</v>
      </c>
      <c r="H422" s="57" t="s">
        <v>438</v>
      </c>
      <c r="I422" s="57" t="s">
        <v>425</v>
      </c>
      <c r="J422" s="57" t="s">
        <v>531</v>
      </c>
      <c r="K422" s="67" t="s">
        <v>427</v>
      </c>
      <c r="L422" s="67" t="s">
        <v>1010</v>
      </c>
      <c r="M422" s="67" t="s">
        <v>429</v>
      </c>
      <c r="N422" s="67" t="s">
        <v>361</v>
      </c>
      <c r="O422" s="67"/>
      <c r="P422" s="57" t="s">
        <v>184</v>
      </c>
      <c r="Q422" s="59" t="n">
        <f aca="false">ROUND((Flights!$AF$16)*1440,0)/1440</f>
        <v>46307.6006944444</v>
      </c>
      <c r="R422" s="59" t="n">
        <f aca="false">Q422+(IF(AND(INDEX(TZ_DSTS,MATCH(P422,TZ_STN,0))&lt;&gt;"",Q422&gt;=INDEX(TZ_DSTS,MATCH(P422,TZ_STN,0)),Q422&lt;INDEX(TZ_DSTE,MATCH(P422,TZ_STN,0))),INDEX(TZ_DST,MATCH(P422,TZ_STN,0)),INDEX(TZ_STD,MATCH(P422,TZ_STN,0))))/24</f>
        <v>46307.9340277778</v>
      </c>
      <c r="S422" s="59" t="n">
        <f aca="false">IF(ISNUMBER(Flights!$AZ$16),MAX(Q422-UpliftWindowH/24,Flights!$AZ$16),Q422-UpliftWindowH/24)</f>
        <v>46307.3506944444</v>
      </c>
      <c r="T422" s="60"/>
      <c r="U422" s="60"/>
      <c r="V422" s="60"/>
      <c r="W422" s="61"/>
      <c r="X422" s="60"/>
      <c r="Y422" s="60"/>
      <c r="Z422" s="60"/>
      <c r="AA422" s="60"/>
      <c r="AB422" s="60"/>
      <c r="AC422" s="60"/>
      <c r="AD422" s="66"/>
      <c r="AE422" s="60"/>
      <c r="AF422" s="61" t="str">
        <f aca="false">IF(AND(ISNUMBER(X422),ISNUMBER(Y422)),Y422-X422,"")</f>
        <v/>
      </c>
      <c r="AG422" s="62" t="str">
        <f aca="false">IF(ISNUMBER(AD422),AD422-(IF(AND(INDEX(TZ_DSTS,MATCH(P422,TZ_STN,0))&lt;&gt;"",(AD422-INDEX(TZ_STD,MATCH(P422,TZ_STN,0))/24)&gt;=INDEX(TZ_DSTS,MATCH(P422,TZ_STN,0)),(AD422-INDEX(TZ_STD,MATCH(P422,TZ_STN,0))/24)&lt;INDEX(TZ_DSTE,MATCH(P422,TZ_STN,0))),INDEX(TZ_DST,MATCH(P422,TZ_STN,0)),INDEX(TZ_STD,MATCH(P422,TZ_STN,0))))/24,"")</f>
        <v/>
      </c>
      <c r="AH422" s="65" t="str">
        <f aca="false">IFERROR(IF(N422="N/A – rule","N/A – RULE",IF(TRIM(U422)="N/A",IF(AT422=0,"INVALID – N/A not permitted for this check",IF(AND(TRIM(AB422)&lt;&gt;"",TRIM(AB422)&lt;&gt;"Closed"),"INVALID – corrective action still open",IF(AND(NOT(OR(LEN(AZ422)&lt;15,ISNUMBER(MATCH(AZ422,L_Placeholder,0)))),NOT(OR(LEN(AU422)&lt;2,ISNUMBER(MATCH(AU422,L_Placeholder,0)))),NOT(OR(LEN(AX422)&lt;2,ISNUMBER(MATCH(AX422,L_Placeholder,0)))),TRIM(AE422)&lt;&gt;TRIM(T422)),"N/A – JUSTIFIED","INVALID – N/A needs a real justification (15+ chars), PIC and a different verifier"))),IF(OR(TRIM(U422)="Pass",TRIM(U422)="Pass after CA"),IF(NOT(ISNUMBER(AD422)),"INVALID – completion time missing",IF(OR(LEN(AU422)&lt;2,ISNUMBER(MATCH(AU422,L_Placeholder,0))),"INVALID – PIC missing",IF(OR(LEN(AV422)&lt;2,ISNUMBER(MATCH(AV422,L_Placeholder,0))),"INVALID – result / assessment missing",IF(OR(OR(LEN(AW422)&lt;3,ISNUMBER(MATCH(AW422,L_Placeholder,0))),SUMPRODUCT(--ISNUMBER(SEARCH(L_EvidencePhrase,AW422)))&gt;0),"INVALID – evidence missing, placeholder or not yet on file",IF(OR(LEN(AX422)&lt;2,ISNUMBER(MATCH(AX422,L_Placeholder,0))),"INVALID – verifier missing",IF(AX422=AU422,"INVALID – verifier must be someone other than the PIC",IF(AND(TRIM(U422)="Pass",SUMPRODUCT(--ISNUMBER(SEARCH(L_ResultBad,AV422)))&gt;0),"INVALID – result describes a problem: use Fail, then Pass after CA",IF(AND(AQ422=1,OR(LEN(AY422)&lt;3,ISNUMBER(MATCH(AY422,L_Placeholder,0)))),"INVALID – batch ID missing or placeholder",IF(AND(AR422=1,OR(NOT(ISNUMBER(X422)),NOT(ISNUMBER(Y422)))),"INVALID – expected/actual qty missing",IF(AND(AR422=1,OR(X422&lt;=0,Y422&lt;0)),"INVALID – expected qty must be above 0 and actual not negative",IF(AH406="N/A – JUSTIFIED","INVALID – preparation row F12-T12-17 is N/A",IF(AND(AR422=1,ISNUMBER(X406),X422&lt;&gt;X406),"INVALID – expected qty differs from preparation check F12-T12-17",IF(BB422&lt;&gt;"",BB422,IF(AND(AS422=1,Documents!$J$16&lt;&gt;"ON FILE"),"INVALID – GLD not on file (Documents sheet)",IF(AND(AS422=2,Documents!$O$16&lt;&gt;"ON FILE"),"INVALID – menu checklist not on file (Documents sheet)",IF(AND(AS422=3,NOT(ISNUMBER(Flights!$AX$16))),"INVALID – enter carrying flight KUL departure (Flights AX)",IF(AND(AS422=3,OR(Flights!$AZ$16&gt;Flights!$AA$16,Flights!$AX$16&lt;Flights!$AA$16-3)),"INVALID – carrying flight (Flights AX) cannot arrive before this leg's STD, or is over 3 days early",IF(AG422&gt;AsOfUTC,"INVALID – completion time is in the future",IF(AND(ISNUMBER(S422),AG422&lt;S422),IF(H422="Physical uplift","INVALID – before uplift window (cannot confirm loading)","INVALID – before valid window"),IF(AG422&gt;Flights!$AA$16,"INVALID – completed after departure (cannot establish readiness)",IF(AND(H422="Preparation",AG422&gt;IF(ISNUMBER(Flights!$BA$16),MIN(Flights!$BA$16,Flights!$AA$16),Flights!$AA$16)),"INVALID – completed after loading / departure (cannot establish readiness)",IF(AND(H422="Physical uplift",AG422&gt;Q422),"INVALID – recorded after the loading flight departed",IF(AG422&gt;Q422,"COMPLETE – LATE","COMPLETE"))))))))))))))))))))))),IF(TRIM(U422)="Fail","FAIL – DISCREPANCY",IF(AND(TRIM(U422)&lt;&gt;"",TRIM(U422)&lt;&gt;"Not started",TRIM(U422)&lt;&gt;"In progress"),"INVALID – unrecognised status (use the list)",IF(AsOfUTC&gt;Q422,"OVERDUE",IF(N422="Clarification required","OPEN – CLARIFICATION","OPEN"))))))),"INVALID – error value in an input cell")</f>
        <v>OPEN</v>
      </c>
      <c r="AI422" s="61" t="n">
        <f aca="false">IF(OR(AH422="N/A – RULE",AH422="N/A – JUSTIFIED"),0,1)</f>
        <v>1</v>
      </c>
      <c r="AJ422" s="61" t="n">
        <f aca="false">IF(LEFT(AH422,8)="COMPLETE",1,0)</f>
        <v>0</v>
      </c>
      <c r="AK422" s="61" t="n">
        <f aca="false">IF(AND(AI422=1,AJ422=0,AsOfUTC&gt;Q422),1,0)</f>
        <v>0</v>
      </c>
      <c r="AL422" s="61" t="n">
        <f aca="false">IFERROR(IF(AND(AI422=1,OR(TRIM(U422)="Fail",AND(TRIM(AB422)&lt;&gt;"",TRIM(AB422)&lt;&gt;"Closed"),AND(ISNUMBER(AF422),AF422&lt;&gt;0,TRIM(U422)&lt;&gt;"Pass after CA"))),1,0),1)</f>
        <v>0</v>
      </c>
      <c r="AM422" s="61" t="n">
        <f aca="false">IF(LEFT(AH422,7)="INVALID",1,0)</f>
        <v>0</v>
      </c>
      <c r="AN422" s="61" t="n">
        <f aca="false">IF(AND(N422="Clarification required",AI422=1,AJ422=0),1,0)</f>
        <v>0</v>
      </c>
      <c r="AO422" s="61" t="str">
        <f aca="false">IF(AK422=1,SUM(AK$5:AK422),"")</f>
        <v/>
      </c>
      <c r="AP422" s="61" t="str">
        <f aca="false">IF(AL422=1,SUM(AL$5:AL422),"")</f>
        <v/>
      </c>
      <c r="AQ422" s="61" t="n">
        <v>0</v>
      </c>
      <c r="AR422" s="61" t="n">
        <v>0</v>
      </c>
      <c r="AS422" s="61" t="n">
        <v>0</v>
      </c>
      <c r="AT422" s="61" t="n">
        <v>0</v>
      </c>
      <c r="AU422" s="61" t="str">
        <f aca="false">SUBSTITUTE(SUBSTITUTE(SUBSTITUTE(SUBSTITUTE(SUBSTITUTE(SUBSTITUTE(SUBSTITUTE(SUBSTITUTE(SUBSTITUTE(SUBSTITUTE(SUBSTITUTE(SUBSTITUTE(SUBSTITUTE(LOWER(T422&amp;""),CHAR(160),"")," ",""),".",""),"-",""),"/",""),"?",""),"_",""),",",""),"[",""),"]",""),"(",""),")",""),"*","")</f>
        <v/>
      </c>
      <c r="AV422" s="61" t="str">
        <f aca="false">SUBSTITUTE(SUBSTITUTE(SUBSTITUTE(SUBSTITUTE(SUBSTITUTE(SUBSTITUTE(SUBSTITUTE(SUBSTITUTE(SUBSTITUTE(SUBSTITUTE(SUBSTITUTE(SUBSTITUTE(SUBSTITUTE(LOWER(V422&amp;""),CHAR(160),"")," ",""),".",""),"-",""),"/",""),"?",""),"_",""),",",""),"[",""),"]",""),"(",""),")",""),"*","")</f>
        <v/>
      </c>
      <c r="AW422" s="61" t="str">
        <f aca="false">SUBSTITUTE(SUBSTITUTE(SUBSTITUTE(SUBSTITUTE(SUBSTITUTE(SUBSTITUTE(SUBSTITUTE(SUBSTITUTE(SUBSTITUTE(SUBSTITUTE(SUBSTITUTE(SUBSTITUTE(SUBSTITUTE(LOWER(Z422&amp;""),CHAR(160),"")," ",""),".",""),"-",""),"/",""),"?",""),"_",""),",",""),"[",""),"]",""),"(",""),")",""),"*","")</f>
        <v/>
      </c>
      <c r="AX422" s="61" t="str">
        <f aca="false">SUBSTITUTE(SUBSTITUTE(SUBSTITUTE(SUBSTITUTE(SUBSTITUTE(SUBSTITUTE(SUBSTITUTE(SUBSTITUTE(SUBSTITUTE(SUBSTITUTE(SUBSTITUTE(SUBSTITUTE(SUBSTITUTE(LOWER(AE422&amp;""),CHAR(160),"")," ",""),".",""),"-",""),"/",""),"?",""),"_",""),",",""),"[",""),"]",""),"(",""),")",""),"*","")</f>
        <v/>
      </c>
      <c r="AY422" s="61" t="str">
        <f aca="false">SUBSTITUTE(SUBSTITUTE(SUBSTITUTE(SUBSTITUTE(SUBSTITUTE(SUBSTITUTE(SUBSTITUTE(SUBSTITUTE(SUBSTITUTE(SUBSTITUTE(SUBSTITUTE(SUBSTITUTE(SUBSTITUTE(LOWER(W422&amp;""),CHAR(160),"")," ",""),".",""),"-",""),"/",""),"?",""),"_",""),",",""),"[",""),"]",""),"(",""),")",""),"*","")</f>
        <v/>
      </c>
      <c r="AZ422" s="61" t="str">
        <f aca="false">SUBSTITUTE(SUBSTITUTE(SUBSTITUTE(SUBSTITUTE(SUBSTITUTE(SUBSTITUTE(SUBSTITUTE(SUBSTITUTE(SUBSTITUTE(SUBSTITUTE(SUBSTITUTE(SUBSTITUTE(SUBSTITUTE(LOWER(AC422&amp;""),CHAR(160),"")," ",""),".",""),"-",""),"/",""),"?",""),"_",""),",",""),"[",""),"]",""),"(",""),")",""),"*","")</f>
        <v/>
      </c>
      <c r="BA422" s="61" t="str">
        <f aca="false">SUBSTITUTE(SUBSTITUTE(SUBSTITUTE(SUBSTITUTE(SUBSTITUTE(SUBSTITUTE(SUBSTITUTE(SUBSTITUTE(SUBSTITUTE(SUBSTITUTE(SUBSTITUTE(SUBSTITUTE(SUBSTITUTE(LOWER(AA422&amp;""),CHAR(160),"")," ",""),".",""),"-",""),"/",""),"?",""),"_",""),",",""),"[",""),"]",""),"(",""),")",""),"*","")</f>
        <v/>
      </c>
      <c r="BB422" s="61" t="str">
        <f aca="false">IF(AND(TRIM(U422)="Pass",ISNUMBER(AF422)),IF(AF422&lt;&gt;0,"INVALID – qty variance: use Fail or Pass after CA",""),"")&amp;IF(AND(TRIM(U422)="Pass after CA",ISNUMBER(AF422)),IF(AF422&lt;&gt;0,"INVALID – after the corrective action the actual qty must equal expected (update Actual)",""),"")&amp;IF(AND(TRIM(U422)="Pass",TRIM(AB422)&lt;&gt;"",TRIM(AB422)&lt;&gt;"Closed"),"INVALID – corrective action not closed: use Fail, then Pass after CA","")&amp;IF(AND(TRIM(AA422)&lt;&gt;"",TRIM(AB422)=""),"INVALID – CA status missing for the recorded corrective action","")&amp;IF(AND(TRIM(U422)="Pass after CA",OR(OR(LEN(BA422)&lt;5,ISNUMBER(MATCH(BA422,L_Placeholder,0))),TRIM(AB422)&lt;&gt;"Closed")),"INVALID – corrective action not recorded/closed","")</f>
        <v/>
      </c>
    </row>
    <row r="423" customFormat="false" ht="39.75" hidden="false" customHeight="true" outlineLevel="0" collapsed="false">
      <c r="A423" s="57" t="s">
        <v>1033</v>
      </c>
      <c r="B423" s="57" t="s">
        <v>258</v>
      </c>
      <c r="C423" s="57" t="str">
        <f aca="false">Flights!$F$16</f>
        <v>MH0139</v>
      </c>
      <c r="D423" s="58" t="n">
        <f aca="false">Flights!$D$16</f>
        <v>46307</v>
      </c>
      <c r="E423" s="57" t="str">
        <f aca="false">Flights!$G$16&amp;"-"&amp;Flights!$H$16</f>
        <v>KUL-ADL</v>
      </c>
      <c r="F423" s="57" t="str">
        <f aca="false">Flights!$K$16</f>
        <v>BC</v>
      </c>
      <c r="G423" s="57" t="s">
        <v>437</v>
      </c>
      <c r="H423" s="57" t="s">
        <v>438</v>
      </c>
      <c r="I423" s="57" t="s">
        <v>425</v>
      </c>
      <c r="J423" s="57" t="s">
        <v>631</v>
      </c>
      <c r="K423" s="67" t="s">
        <v>427</v>
      </c>
      <c r="L423" s="67" t="s">
        <v>1012</v>
      </c>
      <c r="M423" s="67" t="s">
        <v>429</v>
      </c>
      <c r="N423" s="67" t="s">
        <v>361</v>
      </c>
      <c r="O423" s="67"/>
      <c r="P423" s="57" t="s">
        <v>184</v>
      </c>
      <c r="Q423" s="59" t="n">
        <f aca="false">ROUND((Flights!$AF$16)*1440,0)/1440</f>
        <v>46307.6006944444</v>
      </c>
      <c r="R423" s="59" t="n">
        <f aca="false">Q423+(IF(AND(INDEX(TZ_DSTS,MATCH(P423,TZ_STN,0))&lt;&gt;"",Q423&gt;=INDEX(TZ_DSTS,MATCH(P423,TZ_STN,0)),Q423&lt;INDEX(TZ_DSTE,MATCH(P423,TZ_STN,0))),INDEX(TZ_DST,MATCH(P423,TZ_STN,0)),INDEX(TZ_STD,MATCH(P423,TZ_STN,0))))/24</f>
        <v>46307.9340277778</v>
      </c>
      <c r="S423" s="59" t="n">
        <f aca="false">IF(ISNUMBER(Flights!$AZ$16),MAX(Q423-UpliftWindowH/24,Flights!$AZ$16),Q423-UpliftWindowH/24)</f>
        <v>46307.3506944444</v>
      </c>
      <c r="T423" s="60"/>
      <c r="U423" s="60"/>
      <c r="V423" s="60"/>
      <c r="W423" s="61"/>
      <c r="X423" s="60"/>
      <c r="Y423" s="60"/>
      <c r="Z423" s="60"/>
      <c r="AA423" s="60"/>
      <c r="AB423" s="60"/>
      <c r="AC423" s="60"/>
      <c r="AD423" s="66"/>
      <c r="AE423" s="60"/>
      <c r="AF423" s="61" t="str">
        <f aca="false">IF(AND(ISNUMBER(X423),ISNUMBER(Y423)),Y423-X423,"")</f>
        <v/>
      </c>
      <c r="AG423" s="62" t="str">
        <f aca="false">IF(ISNUMBER(AD423),AD423-(IF(AND(INDEX(TZ_DSTS,MATCH(P423,TZ_STN,0))&lt;&gt;"",(AD423-INDEX(TZ_STD,MATCH(P423,TZ_STN,0))/24)&gt;=INDEX(TZ_DSTS,MATCH(P423,TZ_STN,0)),(AD423-INDEX(TZ_STD,MATCH(P423,TZ_STN,0))/24)&lt;INDEX(TZ_DSTE,MATCH(P423,TZ_STN,0))),INDEX(TZ_DST,MATCH(P423,TZ_STN,0)),INDEX(TZ_STD,MATCH(P423,TZ_STN,0))))/24,"")</f>
        <v/>
      </c>
      <c r="AH423" s="65" t="str">
        <f aca="false">IFERROR(IF(N423="N/A – rule","N/A – RULE",IF(TRIM(U423)="N/A",IF(AT423=0,"INVALID – N/A not permitted for this check",IF(AND(TRIM(AB423)&lt;&gt;"",TRIM(AB423)&lt;&gt;"Closed"),"INVALID – corrective action still open",IF(AND(NOT(OR(LEN(AZ423)&lt;15,ISNUMBER(MATCH(AZ423,L_Placeholder,0)))),NOT(OR(LEN(AU423)&lt;2,ISNUMBER(MATCH(AU423,L_Placeholder,0)))),NOT(OR(LEN(AX423)&lt;2,ISNUMBER(MATCH(AX423,L_Placeholder,0)))),TRIM(AE423)&lt;&gt;TRIM(T423)),"N/A – JUSTIFIED","INVALID – N/A needs a real justification (15+ chars), PIC and a different verifier"))),IF(OR(TRIM(U423)="Pass",TRIM(U423)="Pass after CA"),IF(NOT(ISNUMBER(AD423)),"INVALID – completion time missing",IF(OR(LEN(AU423)&lt;2,ISNUMBER(MATCH(AU423,L_Placeholder,0))),"INVALID – PIC missing",IF(OR(LEN(AV423)&lt;2,ISNUMBER(MATCH(AV423,L_Placeholder,0))),"INVALID – result / assessment missing",IF(OR(OR(LEN(AW423)&lt;3,ISNUMBER(MATCH(AW423,L_Placeholder,0))),SUMPRODUCT(--ISNUMBER(SEARCH(L_EvidencePhrase,AW423)))&gt;0),"INVALID – evidence missing, placeholder or not yet on file",IF(OR(LEN(AX423)&lt;2,ISNUMBER(MATCH(AX423,L_Placeholder,0))),"INVALID – verifier missing",IF(AX423=AU423,"INVALID – verifier must be someone other than the PIC",IF(AND(TRIM(U423)="Pass",SUMPRODUCT(--ISNUMBER(SEARCH(L_ResultBad,AV423)))&gt;0),"INVALID – result describes a problem: use Fail, then Pass after CA",IF(AND(AQ423=1,OR(LEN(AY423)&lt;3,ISNUMBER(MATCH(AY423,L_Placeholder,0)))),"INVALID – batch ID missing or placeholder",IF(AND(AR423=1,OR(NOT(ISNUMBER(X423)),NOT(ISNUMBER(Y423)))),"INVALID – expected/actual qty missing",IF(AND(AR423=1,OR(X423&lt;=0,Y423&lt;0)),"INVALID – expected qty must be above 0 and actual not negative",IF(AH407="N/A – JUSTIFIED","INVALID – preparation row F12-T12-18 is N/A",IF(AND(AR423=1,ISNUMBER(X407),X423&lt;&gt;X407),"INVALID – expected qty differs from preparation check F12-T12-18",IF(BB423&lt;&gt;"",BB423,IF(AND(AS423=1,Documents!$J$16&lt;&gt;"ON FILE"),"INVALID – GLD not on file (Documents sheet)",IF(AND(AS423=2,Documents!$O$16&lt;&gt;"ON FILE"),"INVALID – menu checklist not on file (Documents sheet)",IF(AND(AS423=3,NOT(ISNUMBER(Flights!$AX$16))),"INVALID – enter carrying flight KUL departure (Flights AX)",IF(AND(AS423=3,OR(Flights!$AZ$16&gt;Flights!$AA$16,Flights!$AX$16&lt;Flights!$AA$16-3)),"INVALID – carrying flight (Flights AX) cannot arrive before this leg's STD, or is over 3 days early",IF(AG423&gt;AsOfUTC,"INVALID – completion time is in the future",IF(AND(ISNUMBER(S423),AG423&lt;S423),IF(H423="Physical uplift","INVALID – before uplift window (cannot confirm loading)","INVALID – before valid window"),IF(AG423&gt;Flights!$AA$16,"INVALID – completed after departure (cannot establish readiness)",IF(AND(H423="Preparation",AG423&gt;IF(ISNUMBER(Flights!$BA$16),MIN(Flights!$BA$16,Flights!$AA$16),Flights!$AA$16)),"INVALID – completed after loading / departure (cannot establish readiness)",IF(AND(H423="Physical uplift",AG423&gt;Q423),"INVALID – recorded after the loading flight departed",IF(AG423&gt;Q423,"COMPLETE – LATE","COMPLETE"))))))))))))))))))))))),IF(TRIM(U423)="Fail","FAIL – DISCREPANCY",IF(AND(TRIM(U423)&lt;&gt;"",TRIM(U423)&lt;&gt;"Not started",TRIM(U423)&lt;&gt;"In progress"),"INVALID – unrecognised status (use the list)",IF(AsOfUTC&gt;Q423,"OVERDUE",IF(N423="Clarification required","OPEN – CLARIFICATION","OPEN"))))))),"INVALID – error value in an input cell")</f>
        <v>OPEN</v>
      </c>
      <c r="AI423" s="61" t="n">
        <f aca="false">IF(OR(AH423="N/A – RULE",AH423="N/A – JUSTIFIED"),0,1)</f>
        <v>1</v>
      </c>
      <c r="AJ423" s="61" t="n">
        <f aca="false">IF(LEFT(AH423,8)="COMPLETE",1,0)</f>
        <v>0</v>
      </c>
      <c r="AK423" s="61" t="n">
        <f aca="false">IF(AND(AI423=1,AJ423=0,AsOfUTC&gt;Q423),1,0)</f>
        <v>0</v>
      </c>
      <c r="AL423" s="61" t="n">
        <f aca="false">IFERROR(IF(AND(AI423=1,OR(TRIM(U423)="Fail",AND(TRIM(AB423)&lt;&gt;"",TRIM(AB423)&lt;&gt;"Closed"),AND(ISNUMBER(AF423),AF423&lt;&gt;0,TRIM(U423)&lt;&gt;"Pass after CA"))),1,0),1)</f>
        <v>0</v>
      </c>
      <c r="AM423" s="61" t="n">
        <f aca="false">IF(LEFT(AH423,7)="INVALID",1,0)</f>
        <v>0</v>
      </c>
      <c r="AN423" s="61" t="n">
        <f aca="false">IF(AND(N423="Clarification required",AI423=1,AJ423=0),1,0)</f>
        <v>0</v>
      </c>
      <c r="AO423" s="61" t="str">
        <f aca="false">IF(AK423=1,SUM(AK$5:AK423),"")</f>
        <v/>
      </c>
      <c r="AP423" s="61" t="str">
        <f aca="false">IF(AL423=1,SUM(AL$5:AL423),"")</f>
        <v/>
      </c>
      <c r="AQ423" s="61" t="n">
        <v>0</v>
      </c>
      <c r="AR423" s="61" t="n">
        <v>0</v>
      </c>
      <c r="AS423" s="61" t="n">
        <v>0</v>
      </c>
      <c r="AT423" s="61" t="n">
        <v>0</v>
      </c>
      <c r="AU423" s="61" t="str">
        <f aca="false">SUBSTITUTE(SUBSTITUTE(SUBSTITUTE(SUBSTITUTE(SUBSTITUTE(SUBSTITUTE(SUBSTITUTE(SUBSTITUTE(SUBSTITUTE(SUBSTITUTE(SUBSTITUTE(SUBSTITUTE(SUBSTITUTE(LOWER(T423&amp;""),CHAR(160),"")," ",""),".",""),"-",""),"/",""),"?",""),"_",""),",",""),"[",""),"]",""),"(",""),")",""),"*","")</f>
        <v/>
      </c>
      <c r="AV423" s="61" t="str">
        <f aca="false">SUBSTITUTE(SUBSTITUTE(SUBSTITUTE(SUBSTITUTE(SUBSTITUTE(SUBSTITUTE(SUBSTITUTE(SUBSTITUTE(SUBSTITUTE(SUBSTITUTE(SUBSTITUTE(SUBSTITUTE(SUBSTITUTE(LOWER(V423&amp;""),CHAR(160),"")," ",""),".",""),"-",""),"/",""),"?",""),"_",""),",",""),"[",""),"]",""),"(",""),")",""),"*","")</f>
        <v/>
      </c>
      <c r="AW423" s="61" t="str">
        <f aca="false">SUBSTITUTE(SUBSTITUTE(SUBSTITUTE(SUBSTITUTE(SUBSTITUTE(SUBSTITUTE(SUBSTITUTE(SUBSTITUTE(SUBSTITUTE(SUBSTITUTE(SUBSTITUTE(SUBSTITUTE(SUBSTITUTE(LOWER(Z423&amp;""),CHAR(160),"")," ",""),".",""),"-",""),"/",""),"?",""),"_",""),",",""),"[",""),"]",""),"(",""),")",""),"*","")</f>
        <v/>
      </c>
      <c r="AX423" s="61" t="str">
        <f aca="false">SUBSTITUTE(SUBSTITUTE(SUBSTITUTE(SUBSTITUTE(SUBSTITUTE(SUBSTITUTE(SUBSTITUTE(SUBSTITUTE(SUBSTITUTE(SUBSTITUTE(SUBSTITUTE(SUBSTITUTE(SUBSTITUTE(LOWER(AE423&amp;""),CHAR(160),"")," ",""),".",""),"-",""),"/",""),"?",""),"_",""),",",""),"[",""),"]",""),"(",""),")",""),"*","")</f>
        <v/>
      </c>
      <c r="AY423" s="61" t="str">
        <f aca="false">SUBSTITUTE(SUBSTITUTE(SUBSTITUTE(SUBSTITUTE(SUBSTITUTE(SUBSTITUTE(SUBSTITUTE(SUBSTITUTE(SUBSTITUTE(SUBSTITUTE(SUBSTITUTE(SUBSTITUTE(SUBSTITUTE(LOWER(W423&amp;""),CHAR(160),"")," ",""),".",""),"-",""),"/",""),"?",""),"_",""),",",""),"[",""),"]",""),"(",""),")",""),"*","")</f>
        <v/>
      </c>
      <c r="AZ423" s="61" t="str">
        <f aca="false">SUBSTITUTE(SUBSTITUTE(SUBSTITUTE(SUBSTITUTE(SUBSTITUTE(SUBSTITUTE(SUBSTITUTE(SUBSTITUTE(SUBSTITUTE(SUBSTITUTE(SUBSTITUTE(SUBSTITUTE(SUBSTITUTE(LOWER(AC423&amp;""),CHAR(160),"")," ",""),".",""),"-",""),"/",""),"?",""),"_",""),",",""),"[",""),"]",""),"(",""),")",""),"*","")</f>
        <v/>
      </c>
      <c r="BA423" s="61" t="str">
        <f aca="false">SUBSTITUTE(SUBSTITUTE(SUBSTITUTE(SUBSTITUTE(SUBSTITUTE(SUBSTITUTE(SUBSTITUTE(SUBSTITUTE(SUBSTITUTE(SUBSTITUTE(SUBSTITUTE(SUBSTITUTE(SUBSTITUTE(LOWER(AA423&amp;""),CHAR(160),"")," ",""),".",""),"-",""),"/",""),"?",""),"_",""),",",""),"[",""),"]",""),"(",""),")",""),"*","")</f>
        <v/>
      </c>
      <c r="BB423" s="61" t="str">
        <f aca="false">IF(AND(TRIM(U423)="Pass",ISNUMBER(AF423)),IF(AF423&lt;&gt;0,"INVALID – qty variance: use Fail or Pass after CA",""),"")&amp;IF(AND(TRIM(U423)="Pass after CA",ISNUMBER(AF423)),IF(AF423&lt;&gt;0,"INVALID – after the corrective action the actual qty must equal expected (update Actual)",""),"")&amp;IF(AND(TRIM(U423)="Pass",TRIM(AB423)&lt;&gt;"",TRIM(AB423)&lt;&gt;"Closed"),"INVALID – corrective action not closed: use Fail, then Pass after CA","")&amp;IF(AND(TRIM(AA423)&lt;&gt;"",TRIM(AB423)=""),"INVALID – CA status missing for the recorded corrective action","")&amp;IF(AND(TRIM(U423)="Pass after CA",OR(OR(LEN(BA423)&lt;5,ISNUMBER(MATCH(BA423,L_Placeholder,0))),TRIM(AB423)&lt;&gt;"Closed")),"INVALID – corrective action not recorded/closed","")</f>
        <v/>
      </c>
    </row>
    <row r="424" customFormat="false" ht="39.75" hidden="false" customHeight="true" outlineLevel="0" collapsed="false">
      <c r="A424" s="57" t="s">
        <v>1034</v>
      </c>
      <c r="B424" s="57" t="s">
        <v>258</v>
      </c>
      <c r="C424" s="57" t="str">
        <f aca="false">Flights!$F$16</f>
        <v>MH0139</v>
      </c>
      <c r="D424" s="58" t="n">
        <f aca="false">Flights!$D$16</f>
        <v>46307</v>
      </c>
      <c r="E424" s="57" t="str">
        <f aca="false">Flights!$G$16&amp;"-"&amp;Flights!$H$16</f>
        <v>KUL-ADL</v>
      </c>
      <c r="F424" s="57" t="str">
        <f aca="false">Flights!$K$16</f>
        <v>BC</v>
      </c>
      <c r="G424" s="57" t="s">
        <v>437</v>
      </c>
      <c r="H424" s="57" t="s">
        <v>438</v>
      </c>
      <c r="I424" s="57" t="s">
        <v>425</v>
      </c>
      <c r="J424" s="57" t="s">
        <v>633</v>
      </c>
      <c r="K424" s="67" t="s">
        <v>427</v>
      </c>
      <c r="L424" s="67" t="s">
        <v>1014</v>
      </c>
      <c r="M424" s="67" t="s">
        <v>429</v>
      </c>
      <c r="N424" s="67" t="s">
        <v>361</v>
      </c>
      <c r="O424" s="67"/>
      <c r="P424" s="57" t="s">
        <v>184</v>
      </c>
      <c r="Q424" s="59" t="n">
        <f aca="false">ROUND((Flights!$AF$16)*1440,0)/1440</f>
        <v>46307.6006944444</v>
      </c>
      <c r="R424" s="59" t="n">
        <f aca="false">Q424+(IF(AND(INDEX(TZ_DSTS,MATCH(P424,TZ_STN,0))&lt;&gt;"",Q424&gt;=INDEX(TZ_DSTS,MATCH(P424,TZ_STN,0)),Q424&lt;INDEX(TZ_DSTE,MATCH(P424,TZ_STN,0))),INDEX(TZ_DST,MATCH(P424,TZ_STN,0)),INDEX(TZ_STD,MATCH(P424,TZ_STN,0))))/24</f>
        <v>46307.9340277778</v>
      </c>
      <c r="S424" s="59" t="n">
        <f aca="false">IF(ISNUMBER(Flights!$AZ$16),MAX(Q424-UpliftWindowH/24,Flights!$AZ$16),Q424-UpliftWindowH/24)</f>
        <v>46307.3506944444</v>
      </c>
      <c r="T424" s="60"/>
      <c r="U424" s="60"/>
      <c r="V424" s="60"/>
      <c r="W424" s="61"/>
      <c r="X424" s="60"/>
      <c r="Y424" s="60"/>
      <c r="Z424" s="60"/>
      <c r="AA424" s="60"/>
      <c r="AB424" s="60"/>
      <c r="AC424" s="60"/>
      <c r="AD424" s="66"/>
      <c r="AE424" s="60"/>
      <c r="AF424" s="61" t="str">
        <f aca="false">IF(AND(ISNUMBER(X424),ISNUMBER(Y424)),Y424-X424,"")</f>
        <v/>
      </c>
      <c r="AG424" s="62" t="str">
        <f aca="false">IF(ISNUMBER(AD424),AD424-(IF(AND(INDEX(TZ_DSTS,MATCH(P424,TZ_STN,0))&lt;&gt;"",(AD424-INDEX(TZ_STD,MATCH(P424,TZ_STN,0))/24)&gt;=INDEX(TZ_DSTS,MATCH(P424,TZ_STN,0)),(AD424-INDEX(TZ_STD,MATCH(P424,TZ_STN,0))/24)&lt;INDEX(TZ_DSTE,MATCH(P424,TZ_STN,0))),INDEX(TZ_DST,MATCH(P424,TZ_STN,0)),INDEX(TZ_STD,MATCH(P424,TZ_STN,0))))/24,"")</f>
        <v/>
      </c>
      <c r="AH424" s="65" t="str">
        <f aca="false">IFERROR(IF(N424="N/A – rule","N/A – RULE",IF(TRIM(U424)="N/A",IF(AT424=0,"INVALID – N/A not permitted for this check",IF(AND(TRIM(AB424)&lt;&gt;"",TRIM(AB424)&lt;&gt;"Closed"),"INVALID – corrective action still open",IF(AND(NOT(OR(LEN(AZ424)&lt;15,ISNUMBER(MATCH(AZ424,L_Placeholder,0)))),NOT(OR(LEN(AU424)&lt;2,ISNUMBER(MATCH(AU424,L_Placeholder,0)))),NOT(OR(LEN(AX424)&lt;2,ISNUMBER(MATCH(AX424,L_Placeholder,0)))),TRIM(AE424)&lt;&gt;TRIM(T424)),"N/A – JUSTIFIED","INVALID – N/A needs a real justification (15+ chars), PIC and a different verifier"))),IF(OR(TRIM(U424)="Pass",TRIM(U424)="Pass after CA"),IF(NOT(ISNUMBER(AD424)),"INVALID – completion time missing",IF(OR(LEN(AU424)&lt;2,ISNUMBER(MATCH(AU424,L_Placeholder,0))),"INVALID – PIC missing",IF(OR(LEN(AV424)&lt;2,ISNUMBER(MATCH(AV424,L_Placeholder,0))),"INVALID – result / assessment missing",IF(OR(OR(LEN(AW424)&lt;3,ISNUMBER(MATCH(AW424,L_Placeholder,0))),SUMPRODUCT(--ISNUMBER(SEARCH(L_EvidencePhrase,AW424)))&gt;0),"INVALID – evidence missing, placeholder or not yet on file",IF(OR(LEN(AX424)&lt;2,ISNUMBER(MATCH(AX424,L_Placeholder,0))),"INVALID – verifier missing",IF(AX424=AU424,"INVALID – verifier must be someone other than the PIC",IF(AND(TRIM(U424)="Pass",SUMPRODUCT(--ISNUMBER(SEARCH(L_ResultBad,AV424)))&gt;0),"INVALID – result describes a problem: use Fail, then Pass after CA",IF(AND(AQ424=1,OR(LEN(AY424)&lt;3,ISNUMBER(MATCH(AY424,L_Placeholder,0)))),"INVALID – batch ID missing or placeholder",IF(AND(AR424=1,OR(NOT(ISNUMBER(X424)),NOT(ISNUMBER(Y424)))),"INVALID – expected/actual qty missing",IF(AND(AR424=1,OR(X424&lt;=0,Y424&lt;0)),"INVALID – expected qty must be above 0 and actual not negative",IF(AH408="N/A – JUSTIFIED","INVALID – preparation row F12-T12-19 is N/A",IF(AND(AR424=1,ISNUMBER(X408),X424&lt;&gt;X408),"INVALID – expected qty differs from preparation check F12-T12-19",IF(BB424&lt;&gt;"",BB424,IF(AND(AS424=1,Documents!$J$16&lt;&gt;"ON FILE"),"INVALID – GLD not on file (Documents sheet)",IF(AND(AS424=2,Documents!$O$16&lt;&gt;"ON FILE"),"INVALID – menu checklist not on file (Documents sheet)",IF(AND(AS424=3,NOT(ISNUMBER(Flights!$AX$16))),"INVALID – enter carrying flight KUL departure (Flights AX)",IF(AND(AS424=3,OR(Flights!$AZ$16&gt;Flights!$AA$16,Flights!$AX$16&lt;Flights!$AA$16-3)),"INVALID – carrying flight (Flights AX) cannot arrive before this leg's STD, or is over 3 days early",IF(AG424&gt;AsOfUTC,"INVALID – completion time is in the future",IF(AND(ISNUMBER(S424),AG424&lt;S424),IF(H424="Physical uplift","INVALID – before uplift window (cannot confirm loading)","INVALID – before valid window"),IF(AG424&gt;Flights!$AA$16,"INVALID – completed after departure (cannot establish readiness)",IF(AND(H424="Preparation",AG424&gt;IF(ISNUMBER(Flights!$BA$16),MIN(Flights!$BA$16,Flights!$AA$16),Flights!$AA$16)),"INVALID – completed after loading / departure (cannot establish readiness)",IF(AND(H424="Physical uplift",AG424&gt;Q424),"INVALID – recorded after the loading flight departed",IF(AG424&gt;Q424,"COMPLETE – LATE","COMPLETE"))))))))))))))))))))))),IF(TRIM(U424)="Fail","FAIL – DISCREPANCY",IF(AND(TRIM(U424)&lt;&gt;"",TRIM(U424)&lt;&gt;"Not started",TRIM(U424)&lt;&gt;"In progress"),"INVALID – unrecognised status (use the list)",IF(AsOfUTC&gt;Q424,"OVERDUE",IF(N424="Clarification required","OPEN – CLARIFICATION","OPEN"))))))),"INVALID – error value in an input cell")</f>
        <v>OPEN</v>
      </c>
      <c r="AI424" s="61" t="n">
        <f aca="false">IF(OR(AH424="N/A – RULE",AH424="N/A – JUSTIFIED"),0,1)</f>
        <v>1</v>
      </c>
      <c r="AJ424" s="61" t="n">
        <f aca="false">IF(LEFT(AH424,8)="COMPLETE",1,0)</f>
        <v>0</v>
      </c>
      <c r="AK424" s="61" t="n">
        <f aca="false">IF(AND(AI424=1,AJ424=0,AsOfUTC&gt;Q424),1,0)</f>
        <v>0</v>
      </c>
      <c r="AL424" s="61" t="n">
        <f aca="false">IFERROR(IF(AND(AI424=1,OR(TRIM(U424)="Fail",AND(TRIM(AB424)&lt;&gt;"",TRIM(AB424)&lt;&gt;"Closed"),AND(ISNUMBER(AF424),AF424&lt;&gt;0,TRIM(U424)&lt;&gt;"Pass after CA"))),1,0),1)</f>
        <v>0</v>
      </c>
      <c r="AM424" s="61" t="n">
        <f aca="false">IF(LEFT(AH424,7)="INVALID",1,0)</f>
        <v>0</v>
      </c>
      <c r="AN424" s="61" t="n">
        <f aca="false">IF(AND(N424="Clarification required",AI424=1,AJ424=0),1,0)</f>
        <v>0</v>
      </c>
      <c r="AO424" s="61" t="str">
        <f aca="false">IF(AK424=1,SUM(AK$5:AK424),"")</f>
        <v/>
      </c>
      <c r="AP424" s="61" t="str">
        <f aca="false">IF(AL424=1,SUM(AL$5:AL424),"")</f>
        <v/>
      </c>
      <c r="AQ424" s="61" t="n">
        <v>0</v>
      </c>
      <c r="AR424" s="61" t="n">
        <v>0</v>
      </c>
      <c r="AS424" s="61" t="n">
        <v>0</v>
      </c>
      <c r="AT424" s="61" t="n">
        <v>0</v>
      </c>
      <c r="AU424" s="61" t="str">
        <f aca="false">SUBSTITUTE(SUBSTITUTE(SUBSTITUTE(SUBSTITUTE(SUBSTITUTE(SUBSTITUTE(SUBSTITUTE(SUBSTITUTE(SUBSTITUTE(SUBSTITUTE(SUBSTITUTE(SUBSTITUTE(SUBSTITUTE(LOWER(T424&amp;""),CHAR(160),"")," ",""),".",""),"-",""),"/",""),"?",""),"_",""),",",""),"[",""),"]",""),"(",""),")",""),"*","")</f>
        <v/>
      </c>
      <c r="AV424" s="61" t="str">
        <f aca="false">SUBSTITUTE(SUBSTITUTE(SUBSTITUTE(SUBSTITUTE(SUBSTITUTE(SUBSTITUTE(SUBSTITUTE(SUBSTITUTE(SUBSTITUTE(SUBSTITUTE(SUBSTITUTE(SUBSTITUTE(SUBSTITUTE(LOWER(V424&amp;""),CHAR(160),"")," ",""),".",""),"-",""),"/",""),"?",""),"_",""),",",""),"[",""),"]",""),"(",""),")",""),"*","")</f>
        <v/>
      </c>
      <c r="AW424" s="61" t="str">
        <f aca="false">SUBSTITUTE(SUBSTITUTE(SUBSTITUTE(SUBSTITUTE(SUBSTITUTE(SUBSTITUTE(SUBSTITUTE(SUBSTITUTE(SUBSTITUTE(SUBSTITUTE(SUBSTITUTE(SUBSTITUTE(SUBSTITUTE(LOWER(Z424&amp;""),CHAR(160),"")," ",""),".",""),"-",""),"/",""),"?",""),"_",""),",",""),"[",""),"]",""),"(",""),")",""),"*","")</f>
        <v/>
      </c>
      <c r="AX424" s="61" t="str">
        <f aca="false">SUBSTITUTE(SUBSTITUTE(SUBSTITUTE(SUBSTITUTE(SUBSTITUTE(SUBSTITUTE(SUBSTITUTE(SUBSTITUTE(SUBSTITUTE(SUBSTITUTE(SUBSTITUTE(SUBSTITUTE(SUBSTITUTE(LOWER(AE424&amp;""),CHAR(160),"")," ",""),".",""),"-",""),"/",""),"?",""),"_",""),",",""),"[",""),"]",""),"(",""),")",""),"*","")</f>
        <v/>
      </c>
      <c r="AY424" s="61" t="str">
        <f aca="false">SUBSTITUTE(SUBSTITUTE(SUBSTITUTE(SUBSTITUTE(SUBSTITUTE(SUBSTITUTE(SUBSTITUTE(SUBSTITUTE(SUBSTITUTE(SUBSTITUTE(SUBSTITUTE(SUBSTITUTE(SUBSTITUTE(LOWER(W424&amp;""),CHAR(160),"")," ",""),".",""),"-",""),"/",""),"?",""),"_",""),",",""),"[",""),"]",""),"(",""),")",""),"*","")</f>
        <v/>
      </c>
      <c r="AZ424" s="61" t="str">
        <f aca="false">SUBSTITUTE(SUBSTITUTE(SUBSTITUTE(SUBSTITUTE(SUBSTITUTE(SUBSTITUTE(SUBSTITUTE(SUBSTITUTE(SUBSTITUTE(SUBSTITUTE(SUBSTITUTE(SUBSTITUTE(SUBSTITUTE(LOWER(AC424&amp;""),CHAR(160),"")," ",""),".",""),"-",""),"/",""),"?",""),"_",""),",",""),"[",""),"]",""),"(",""),")",""),"*","")</f>
        <v/>
      </c>
      <c r="BA424" s="61" t="str">
        <f aca="false">SUBSTITUTE(SUBSTITUTE(SUBSTITUTE(SUBSTITUTE(SUBSTITUTE(SUBSTITUTE(SUBSTITUTE(SUBSTITUTE(SUBSTITUTE(SUBSTITUTE(SUBSTITUTE(SUBSTITUTE(SUBSTITUTE(LOWER(AA424&amp;""),CHAR(160),"")," ",""),".",""),"-",""),"/",""),"?",""),"_",""),",",""),"[",""),"]",""),"(",""),")",""),"*","")</f>
        <v/>
      </c>
      <c r="BB424" s="61" t="str">
        <f aca="false">IF(AND(TRIM(U424)="Pass",ISNUMBER(AF424)),IF(AF424&lt;&gt;0,"INVALID – qty variance: use Fail or Pass after CA",""),"")&amp;IF(AND(TRIM(U424)="Pass after CA",ISNUMBER(AF424)),IF(AF424&lt;&gt;0,"INVALID – after the corrective action the actual qty must equal expected (update Actual)",""),"")&amp;IF(AND(TRIM(U424)="Pass",TRIM(AB424)&lt;&gt;"",TRIM(AB424)&lt;&gt;"Closed"),"INVALID – corrective action not closed: use Fail, then Pass after CA","")&amp;IF(AND(TRIM(AA424)&lt;&gt;"",TRIM(AB424)=""),"INVALID – CA status missing for the recorded corrective action","")&amp;IF(AND(TRIM(U424)="Pass after CA",OR(OR(LEN(BA424)&lt;5,ISNUMBER(MATCH(BA424,L_Placeholder,0))),TRIM(AB424)&lt;&gt;"Closed")),"INVALID – corrective action not recorded/closed","")</f>
        <v/>
      </c>
    </row>
    <row r="425" customFormat="false" ht="39.75" hidden="false" customHeight="true" outlineLevel="0" collapsed="false">
      <c r="A425" s="57" t="s">
        <v>1035</v>
      </c>
      <c r="B425" s="57" t="s">
        <v>258</v>
      </c>
      <c r="C425" s="57" t="str">
        <f aca="false">Flights!$F$16</f>
        <v>MH0139</v>
      </c>
      <c r="D425" s="58" t="n">
        <f aca="false">Flights!$D$16</f>
        <v>46307</v>
      </c>
      <c r="E425" s="57" t="str">
        <f aca="false">Flights!$G$16&amp;"-"&amp;Flights!$H$16</f>
        <v>KUL-ADL</v>
      </c>
      <c r="F425" s="57" t="str">
        <f aca="false">Flights!$K$16</f>
        <v>BC</v>
      </c>
      <c r="G425" s="57" t="s">
        <v>437</v>
      </c>
      <c r="H425" s="57" t="s">
        <v>438</v>
      </c>
      <c r="I425" s="57" t="s">
        <v>607</v>
      </c>
      <c r="J425" s="57" t="s">
        <v>635</v>
      </c>
      <c r="K425" s="67" t="s">
        <v>479</v>
      </c>
      <c r="L425" s="67" t="s">
        <v>1016</v>
      </c>
      <c r="M425" s="67" t="s">
        <v>184</v>
      </c>
      <c r="N425" s="67" t="s">
        <v>361</v>
      </c>
      <c r="O425" s="67" t="s">
        <v>610</v>
      </c>
      <c r="P425" s="57" t="s">
        <v>184</v>
      </c>
      <c r="Q425" s="59" t="n">
        <f aca="false">ROUND((Flights!$AF$16)*1440,0)/1440</f>
        <v>46307.6006944444</v>
      </c>
      <c r="R425" s="59" t="n">
        <f aca="false">Q425+(IF(AND(INDEX(TZ_DSTS,MATCH(P425,TZ_STN,0))&lt;&gt;"",Q425&gt;=INDEX(TZ_DSTS,MATCH(P425,TZ_STN,0)),Q425&lt;INDEX(TZ_DSTE,MATCH(P425,TZ_STN,0))),INDEX(TZ_DST,MATCH(P425,TZ_STN,0)),INDEX(TZ_STD,MATCH(P425,TZ_STN,0))))/24</f>
        <v>46307.9340277778</v>
      </c>
      <c r="S425" s="59" t="n">
        <f aca="false">IF(ISNUMBER(Flights!$AZ$16),MAX(Q425-UpliftWindowH/24,Flights!$AZ$16),Q425-UpliftWindowH/24)</f>
        <v>46307.3506944444</v>
      </c>
      <c r="T425" s="60"/>
      <c r="U425" s="60"/>
      <c r="V425" s="60"/>
      <c r="W425" s="61"/>
      <c r="X425" s="60"/>
      <c r="Y425" s="60"/>
      <c r="Z425" s="60"/>
      <c r="AA425" s="60"/>
      <c r="AB425" s="60"/>
      <c r="AC425" s="60"/>
      <c r="AD425" s="66"/>
      <c r="AE425" s="60"/>
      <c r="AF425" s="61" t="str">
        <f aca="false">IF(AND(ISNUMBER(X425),ISNUMBER(Y425)),Y425-X425,"")</f>
        <v/>
      </c>
      <c r="AG425" s="62" t="str">
        <f aca="false">IF(ISNUMBER(AD425),AD425-(IF(AND(INDEX(TZ_DSTS,MATCH(P425,TZ_STN,0))&lt;&gt;"",(AD425-INDEX(TZ_STD,MATCH(P425,TZ_STN,0))/24)&gt;=INDEX(TZ_DSTS,MATCH(P425,TZ_STN,0)),(AD425-INDEX(TZ_STD,MATCH(P425,TZ_STN,0))/24)&lt;INDEX(TZ_DSTE,MATCH(P425,TZ_STN,0))),INDEX(TZ_DST,MATCH(P425,TZ_STN,0)),INDEX(TZ_STD,MATCH(P425,TZ_STN,0))))/24,"")</f>
        <v/>
      </c>
      <c r="AH425" s="65" t="str">
        <f aca="false">IFERROR(IF(N425="N/A – rule","N/A – RULE",IF(TRIM(U425)="N/A",IF(AT425=0,"INVALID – N/A not permitted for this check",IF(AND(TRIM(AB425)&lt;&gt;"",TRIM(AB425)&lt;&gt;"Closed"),"INVALID – corrective action still open",IF(AND(NOT(OR(LEN(AZ425)&lt;15,ISNUMBER(MATCH(AZ425,L_Placeholder,0)))),NOT(OR(LEN(AU425)&lt;2,ISNUMBER(MATCH(AU425,L_Placeholder,0)))),NOT(OR(LEN(AX425)&lt;2,ISNUMBER(MATCH(AX425,L_Placeholder,0)))),TRIM(AE425)&lt;&gt;TRIM(T425)),"N/A – JUSTIFIED","INVALID – N/A needs a real justification (15+ chars), PIC and a different verifier"))),IF(OR(TRIM(U425)="Pass",TRIM(U425)="Pass after CA"),IF(NOT(ISNUMBER(AD425)),"INVALID – completion time missing",IF(OR(LEN(AU425)&lt;2,ISNUMBER(MATCH(AU425,L_Placeholder,0))),"INVALID – PIC missing",IF(OR(LEN(AV425)&lt;2,ISNUMBER(MATCH(AV425,L_Placeholder,0))),"INVALID – result / assessment missing",IF(OR(OR(LEN(AW425)&lt;3,ISNUMBER(MATCH(AW425,L_Placeholder,0))),SUMPRODUCT(--ISNUMBER(SEARCH(L_EvidencePhrase,AW425)))&gt;0),"INVALID – evidence missing, placeholder or not yet on file",IF(OR(LEN(AX425)&lt;2,ISNUMBER(MATCH(AX425,L_Placeholder,0))),"INVALID – verifier missing",IF(AX425=AU425,"INVALID – verifier must be someone other than the PIC",IF(AND(TRIM(U425)="Pass",SUMPRODUCT(--ISNUMBER(SEARCH(L_ResultBad,AV425)))&gt;0),"INVALID – result describes a problem: use Fail, then Pass after CA",IF(AND(AQ425=1,OR(LEN(AY425)&lt;3,ISNUMBER(MATCH(AY425,L_Placeholder,0)))),"INVALID – batch ID missing or placeholder",IF(AND(AR425=1,OR(NOT(ISNUMBER(X425)),NOT(ISNUMBER(Y425)))),"INVALID – expected/actual qty missing",IF(AND(AR425=1,OR(X425&lt;=0,Y425&lt;0)),"INVALID – expected qty must be above 0 and actual not negative",IF(AH409="N/A – JUSTIFIED","INVALID – preparation row F12-T12-20 is N/A",IF(AND(AR425=1,ISNUMBER(X409),X425&lt;&gt;X409),"INVALID – expected qty differs from preparation check F12-T12-20",IF(BB425&lt;&gt;"",BB425,IF(AND(AS425=1,Documents!$J$16&lt;&gt;"ON FILE"),"INVALID – GLD not on file (Documents sheet)",IF(AND(AS425=2,Documents!$O$16&lt;&gt;"ON FILE"),"INVALID – menu checklist not on file (Documents sheet)",IF(AND(AS425=3,NOT(ISNUMBER(Flights!$AX$16))),"INVALID – enter carrying flight KUL departure (Flights AX)",IF(AND(AS425=3,OR(Flights!$AZ$16&gt;Flights!$AA$16,Flights!$AX$16&lt;Flights!$AA$16-3)),"INVALID – carrying flight (Flights AX) cannot arrive before this leg's STD, or is over 3 days early",IF(AG425&gt;AsOfUTC,"INVALID – completion time is in the future",IF(AND(ISNUMBER(S425),AG425&lt;S425),IF(H425="Physical uplift","INVALID – before uplift window (cannot confirm loading)","INVALID – before valid window"),IF(AG425&gt;Flights!$AA$16,"INVALID – completed after departure (cannot establish readiness)",IF(AND(H425="Preparation",AG425&gt;IF(ISNUMBER(Flights!$BA$16),MIN(Flights!$BA$16,Flights!$AA$16),Flights!$AA$16)),"INVALID – completed after loading / departure (cannot establish readiness)",IF(AND(H425="Physical uplift",AG425&gt;Q425),"INVALID – recorded after the loading flight departed",IF(AG425&gt;Q425,"COMPLETE – LATE","COMPLETE"))))))))))))))))))))))),IF(TRIM(U425)="Fail","FAIL – DISCREPANCY",IF(AND(TRIM(U425)&lt;&gt;"",TRIM(U425)&lt;&gt;"Not started",TRIM(U425)&lt;&gt;"In progress"),"INVALID – unrecognised status (use the list)",IF(AsOfUTC&gt;Q425,"OVERDUE",IF(N425="Clarification required","OPEN – CLARIFICATION","OPEN"))))))),"INVALID – error value in an input cell")</f>
        <v>OPEN</v>
      </c>
      <c r="AI425" s="61" t="n">
        <f aca="false">IF(OR(AH425="N/A – RULE",AH425="N/A – JUSTIFIED"),0,1)</f>
        <v>1</v>
      </c>
      <c r="AJ425" s="61" t="n">
        <f aca="false">IF(LEFT(AH425,8)="COMPLETE",1,0)</f>
        <v>0</v>
      </c>
      <c r="AK425" s="61" t="n">
        <f aca="false">IF(AND(AI425=1,AJ425=0,AsOfUTC&gt;Q425),1,0)</f>
        <v>0</v>
      </c>
      <c r="AL425" s="61" t="n">
        <f aca="false">IFERROR(IF(AND(AI425=1,OR(TRIM(U425)="Fail",AND(TRIM(AB425)&lt;&gt;"",TRIM(AB425)&lt;&gt;"Closed"),AND(ISNUMBER(AF425),AF425&lt;&gt;0,TRIM(U425)&lt;&gt;"Pass after CA"))),1,0),1)</f>
        <v>0</v>
      </c>
      <c r="AM425" s="61" t="n">
        <f aca="false">IF(LEFT(AH425,7)="INVALID",1,0)</f>
        <v>0</v>
      </c>
      <c r="AN425" s="61" t="n">
        <f aca="false">IF(AND(N425="Clarification required",AI425=1,AJ425=0),1,0)</f>
        <v>0</v>
      </c>
      <c r="AO425" s="61" t="str">
        <f aca="false">IF(AK425=1,SUM(AK$5:AK425),"")</f>
        <v/>
      </c>
      <c r="AP425" s="61" t="str">
        <f aca="false">IF(AL425=1,SUM(AL$5:AL425),"")</f>
        <v/>
      </c>
      <c r="AQ425" s="61" t="n">
        <v>0</v>
      </c>
      <c r="AR425" s="61" t="n">
        <v>0</v>
      </c>
      <c r="AS425" s="61" t="n">
        <v>0</v>
      </c>
      <c r="AT425" s="61" t="n">
        <v>0</v>
      </c>
      <c r="AU425" s="61" t="str">
        <f aca="false">SUBSTITUTE(SUBSTITUTE(SUBSTITUTE(SUBSTITUTE(SUBSTITUTE(SUBSTITUTE(SUBSTITUTE(SUBSTITUTE(SUBSTITUTE(SUBSTITUTE(SUBSTITUTE(SUBSTITUTE(SUBSTITUTE(LOWER(T425&amp;""),CHAR(160),"")," ",""),".",""),"-",""),"/",""),"?",""),"_",""),",",""),"[",""),"]",""),"(",""),")",""),"*","")</f>
        <v/>
      </c>
      <c r="AV425" s="61" t="str">
        <f aca="false">SUBSTITUTE(SUBSTITUTE(SUBSTITUTE(SUBSTITUTE(SUBSTITUTE(SUBSTITUTE(SUBSTITUTE(SUBSTITUTE(SUBSTITUTE(SUBSTITUTE(SUBSTITUTE(SUBSTITUTE(SUBSTITUTE(LOWER(V425&amp;""),CHAR(160),"")," ",""),".",""),"-",""),"/",""),"?",""),"_",""),",",""),"[",""),"]",""),"(",""),")",""),"*","")</f>
        <v/>
      </c>
      <c r="AW425" s="61" t="str">
        <f aca="false">SUBSTITUTE(SUBSTITUTE(SUBSTITUTE(SUBSTITUTE(SUBSTITUTE(SUBSTITUTE(SUBSTITUTE(SUBSTITUTE(SUBSTITUTE(SUBSTITUTE(SUBSTITUTE(SUBSTITUTE(SUBSTITUTE(LOWER(Z425&amp;""),CHAR(160),"")," ",""),".",""),"-",""),"/",""),"?",""),"_",""),",",""),"[",""),"]",""),"(",""),")",""),"*","")</f>
        <v/>
      </c>
      <c r="AX425" s="61" t="str">
        <f aca="false">SUBSTITUTE(SUBSTITUTE(SUBSTITUTE(SUBSTITUTE(SUBSTITUTE(SUBSTITUTE(SUBSTITUTE(SUBSTITUTE(SUBSTITUTE(SUBSTITUTE(SUBSTITUTE(SUBSTITUTE(SUBSTITUTE(LOWER(AE425&amp;""),CHAR(160),"")," ",""),".",""),"-",""),"/",""),"?",""),"_",""),",",""),"[",""),"]",""),"(",""),")",""),"*","")</f>
        <v/>
      </c>
      <c r="AY425" s="61" t="str">
        <f aca="false">SUBSTITUTE(SUBSTITUTE(SUBSTITUTE(SUBSTITUTE(SUBSTITUTE(SUBSTITUTE(SUBSTITUTE(SUBSTITUTE(SUBSTITUTE(SUBSTITUTE(SUBSTITUTE(SUBSTITUTE(SUBSTITUTE(LOWER(W425&amp;""),CHAR(160),"")," ",""),".",""),"-",""),"/",""),"?",""),"_",""),",",""),"[",""),"]",""),"(",""),")",""),"*","")</f>
        <v/>
      </c>
      <c r="AZ425" s="61" t="str">
        <f aca="false">SUBSTITUTE(SUBSTITUTE(SUBSTITUTE(SUBSTITUTE(SUBSTITUTE(SUBSTITUTE(SUBSTITUTE(SUBSTITUTE(SUBSTITUTE(SUBSTITUTE(SUBSTITUTE(SUBSTITUTE(SUBSTITUTE(LOWER(AC425&amp;""),CHAR(160),"")," ",""),".",""),"-",""),"/",""),"?",""),"_",""),",",""),"[",""),"]",""),"(",""),")",""),"*","")</f>
        <v/>
      </c>
      <c r="BA425" s="61" t="str">
        <f aca="false">SUBSTITUTE(SUBSTITUTE(SUBSTITUTE(SUBSTITUTE(SUBSTITUTE(SUBSTITUTE(SUBSTITUTE(SUBSTITUTE(SUBSTITUTE(SUBSTITUTE(SUBSTITUTE(SUBSTITUTE(SUBSTITUTE(LOWER(AA425&amp;""),CHAR(160),"")," ",""),".",""),"-",""),"/",""),"?",""),"_",""),",",""),"[",""),"]",""),"(",""),")",""),"*","")</f>
        <v/>
      </c>
      <c r="BB425" s="61" t="str">
        <f aca="false">IF(AND(TRIM(U425)="Pass",ISNUMBER(AF425)),IF(AF425&lt;&gt;0,"INVALID – qty variance: use Fail or Pass after CA",""),"")&amp;IF(AND(TRIM(U425)="Pass after CA",ISNUMBER(AF425)),IF(AF425&lt;&gt;0,"INVALID – after the corrective action the actual qty must equal expected (update Actual)",""),"")&amp;IF(AND(TRIM(U425)="Pass",TRIM(AB425)&lt;&gt;"",TRIM(AB425)&lt;&gt;"Closed"),"INVALID – corrective action not closed: use Fail, then Pass after CA","")&amp;IF(AND(TRIM(AA425)&lt;&gt;"",TRIM(AB425)=""),"INVALID – CA status missing for the recorded corrective action","")&amp;IF(AND(TRIM(U425)="Pass after CA",OR(OR(LEN(BA425)&lt;5,ISNUMBER(MATCH(BA425,L_Placeholder,0))),TRIM(AB425)&lt;&gt;"Closed")),"INVALID – corrective action not recorded/closed","")</f>
        <v/>
      </c>
    </row>
    <row r="426" customFormat="false" ht="39.75" hidden="false" customHeight="true" outlineLevel="0" collapsed="false">
      <c r="A426" s="57" t="s">
        <v>1036</v>
      </c>
      <c r="B426" s="57" t="s">
        <v>258</v>
      </c>
      <c r="C426" s="57" t="str">
        <f aca="false">Flights!$F$16</f>
        <v>MH0139</v>
      </c>
      <c r="D426" s="58" t="n">
        <f aca="false">Flights!$D$16</f>
        <v>46307</v>
      </c>
      <c r="E426" s="57" t="str">
        <f aca="false">Flights!$G$16&amp;"-"&amp;Flights!$H$16</f>
        <v>KUL-ADL</v>
      </c>
      <c r="F426" s="57" t="str">
        <f aca="false">Flights!$K$16</f>
        <v>BC</v>
      </c>
      <c r="G426" s="57" t="s">
        <v>437</v>
      </c>
      <c r="H426" s="57" t="s">
        <v>438</v>
      </c>
      <c r="I426" s="57" t="s">
        <v>612</v>
      </c>
      <c r="J426" s="57" t="s">
        <v>637</v>
      </c>
      <c r="K426" s="67" t="s">
        <v>1018</v>
      </c>
      <c r="L426" s="67" t="s">
        <v>1019</v>
      </c>
      <c r="M426" s="67" t="s">
        <v>429</v>
      </c>
      <c r="N426" s="67" t="s">
        <v>361</v>
      </c>
      <c r="O426" s="67" t="s">
        <v>1037</v>
      </c>
      <c r="P426" s="57" t="s">
        <v>184</v>
      </c>
      <c r="Q426" s="59" t="n">
        <f aca="false">ROUND((Flights!$AF$16)*1440,0)/1440</f>
        <v>46307.6006944444</v>
      </c>
      <c r="R426" s="59" t="n">
        <f aca="false">Q426+(IF(AND(INDEX(TZ_DSTS,MATCH(P426,TZ_STN,0))&lt;&gt;"",Q426&gt;=INDEX(TZ_DSTS,MATCH(P426,TZ_STN,0)),Q426&lt;INDEX(TZ_DSTE,MATCH(P426,TZ_STN,0))),INDEX(TZ_DST,MATCH(P426,TZ_STN,0)),INDEX(TZ_STD,MATCH(P426,TZ_STN,0))))/24</f>
        <v>46307.9340277778</v>
      </c>
      <c r="S426" s="59" t="n">
        <f aca="false">IF(ISNUMBER(Flights!$AZ$16),MAX(Q426-UpliftWindowH/24,Flights!$AZ$16),Q426-UpliftWindowH/24)</f>
        <v>46307.3506944444</v>
      </c>
      <c r="T426" s="60"/>
      <c r="U426" s="60"/>
      <c r="V426" s="60"/>
      <c r="W426" s="61"/>
      <c r="X426" s="60"/>
      <c r="Y426" s="60"/>
      <c r="Z426" s="60"/>
      <c r="AA426" s="60"/>
      <c r="AB426" s="60"/>
      <c r="AC426" s="60"/>
      <c r="AD426" s="66"/>
      <c r="AE426" s="60"/>
      <c r="AF426" s="61" t="str">
        <f aca="false">IF(AND(ISNUMBER(X426),ISNUMBER(Y426)),Y426-X426,"")</f>
        <v/>
      </c>
      <c r="AG426" s="62" t="str">
        <f aca="false">IF(ISNUMBER(AD426),AD426-(IF(AND(INDEX(TZ_DSTS,MATCH(P426,TZ_STN,0))&lt;&gt;"",(AD426-INDEX(TZ_STD,MATCH(P426,TZ_STN,0))/24)&gt;=INDEX(TZ_DSTS,MATCH(P426,TZ_STN,0)),(AD426-INDEX(TZ_STD,MATCH(P426,TZ_STN,0))/24)&lt;INDEX(TZ_DSTE,MATCH(P426,TZ_STN,0))),INDEX(TZ_DST,MATCH(P426,TZ_STN,0)),INDEX(TZ_STD,MATCH(P426,TZ_STN,0))))/24,"")</f>
        <v/>
      </c>
      <c r="AH426" s="65" t="str">
        <f aca="false">IFERROR(IF(N426="N/A – rule","N/A – RULE",IF(TRIM(U426)="N/A",IF(AT426=0,"INVALID – N/A not permitted for this check",IF(AND(TRIM(AB426)&lt;&gt;"",TRIM(AB426)&lt;&gt;"Closed"),"INVALID – corrective action still open",IF(AND(NOT(OR(LEN(AZ426)&lt;15,ISNUMBER(MATCH(AZ426,L_Placeholder,0)))),NOT(OR(LEN(AU426)&lt;2,ISNUMBER(MATCH(AU426,L_Placeholder,0)))),NOT(OR(LEN(AX426)&lt;2,ISNUMBER(MATCH(AX426,L_Placeholder,0)))),TRIM(AE426)&lt;&gt;TRIM(T426)),"N/A – JUSTIFIED","INVALID – N/A needs a real justification (15+ chars), PIC and a different verifier"))),IF(OR(TRIM(U426)="Pass",TRIM(U426)="Pass after CA"),IF(NOT(ISNUMBER(AD426)),"INVALID – completion time missing",IF(OR(LEN(AU426)&lt;2,ISNUMBER(MATCH(AU426,L_Placeholder,0))),"INVALID – PIC missing",IF(OR(LEN(AV426)&lt;2,ISNUMBER(MATCH(AV426,L_Placeholder,0))),"INVALID – result / assessment missing",IF(OR(OR(LEN(AW426)&lt;3,ISNUMBER(MATCH(AW426,L_Placeholder,0))),SUMPRODUCT(--ISNUMBER(SEARCH(L_EvidencePhrase,AW426)))&gt;0),"INVALID – evidence missing, placeholder or not yet on file",IF(OR(LEN(AX426)&lt;2,ISNUMBER(MATCH(AX426,L_Placeholder,0))),"INVALID – verifier missing",IF(AX426=AU426,"INVALID – verifier must be someone other than the PIC",IF(AND(TRIM(U426)="Pass",SUMPRODUCT(--ISNUMBER(SEARCH(L_ResultBad,AV426)))&gt;0),"INVALID – result describes a problem: use Fail, then Pass after CA",IF(AND(AQ426=1,OR(LEN(AY426)&lt;3,ISNUMBER(MATCH(AY426,L_Placeholder,0)))),"INVALID – batch ID missing or placeholder",IF(AND(AR426=1,OR(NOT(ISNUMBER(X426)),NOT(ISNUMBER(Y426)))),"INVALID – expected/actual qty missing",IF(AND(AR426=1,OR(X426&lt;=0,Y426&lt;0)),"INVALID – expected qty must be above 0 and actual not negative",IF(AH410="N/A – JUSTIFIED","INVALID – preparation row F12-T12-21 is N/A",IF(AND(AR426=1,ISNUMBER(X410),X426&lt;&gt;X410),"INVALID – expected qty differs from preparation check F12-T12-21",IF(BB426&lt;&gt;"",BB426,IF(AND(AS426=1,Documents!$J$16&lt;&gt;"ON FILE"),"INVALID – GLD not on file (Documents sheet)",IF(AND(AS426=2,Documents!$O$16&lt;&gt;"ON FILE"),"INVALID – menu checklist not on file (Documents sheet)",IF(AND(AS426=3,NOT(ISNUMBER(Flights!$AX$16))),"INVALID – enter carrying flight KUL departure (Flights AX)",IF(AND(AS426=3,OR(Flights!$AZ$16&gt;Flights!$AA$16,Flights!$AX$16&lt;Flights!$AA$16-3)),"INVALID – carrying flight (Flights AX) cannot arrive before this leg's STD, or is over 3 days early",IF(AG426&gt;AsOfUTC,"INVALID – completion time is in the future",IF(AND(ISNUMBER(S426),AG426&lt;S426),IF(H426="Physical uplift","INVALID – before uplift window (cannot confirm loading)","INVALID – before valid window"),IF(AG426&gt;Flights!$AA$16,"INVALID – completed after departure (cannot establish readiness)",IF(AND(H426="Preparation",AG426&gt;IF(ISNUMBER(Flights!$BA$16),MIN(Flights!$BA$16,Flights!$AA$16),Flights!$AA$16)),"INVALID – completed after loading / departure (cannot establish readiness)",IF(AND(H426="Physical uplift",AG426&gt;Q426),"INVALID – recorded after the loading flight departed",IF(AG426&gt;Q426,"COMPLETE – LATE","COMPLETE"))))))))))))))))))))))),IF(TRIM(U426)="Fail","FAIL – DISCREPANCY",IF(AND(TRIM(U426)&lt;&gt;"",TRIM(U426)&lt;&gt;"Not started",TRIM(U426)&lt;&gt;"In progress"),"INVALID – unrecognised status (use the list)",IF(AsOfUTC&gt;Q426,"OVERDUE",IF(N426="Clarification required","OPEN – CLARIFICATION","OPEN"))))))),"INVALID – error value in an input cell")</f>
        <v>OPEN</v>
      </c>
      <c r="AI426" s="61" t="n">
        <f aca="false">IF(OR(AH426="N/A – RULE",AH426="N/A – JUSTIFIED"),0,1)</f>
        <v>1</v>
      </c>
      <c r="AJ426" s="61" t="n">
        <f aca="false">IF(LEFT(AH426,8)="COMPLETE",1,0)</f>
        <v>0</v>
      </c>
      <c r="AK426" s="61" t="n">
        <f aca="false">IF(AND(AI426=1,AJ426=0,AsOfUTC&gt;Q426),1,0)</f>
        <v>0</v>
      </c>
      <c r="AL426" s="61" t="n">
        <f aca="false">IFERROR(IF(AND(AI426=1,OR(TRIM(U426)="Fail",AND(TRIM(AB426)&lt;&gt;"",TRIM(AB426)&lt;&gt;"Closed"),AND(ISNUMBER(AF426),AF426&lt;&gt;0,TRIM(U426)&lt;&gt;"Pass after CA"))),1,0),1)</f>
        <v>0</v>
      </c>
      <c r="AM426" s="61" t="n">
        <f aca="false">IF(LEFT(AH426,7)="INVALID",1,0)</f>
        <v>0</v>
      </c>
      <c r="AN426" s="61" t="n">
        <f aca="false">IF(AND(N426="Clarification required",AI426=1,AJ426=0),1,0)</f>
        <v>0</v>
      </c>
      <c r="AO426" s="61" t="str">
        <f aca="false">IF(AK426=1,SUM(AK$5:AK426),"")</f>
        <v/>
      </c>
      <c r="AP426" s="61" t="str">
        <f aca="false">IF(AL426=1,SUM(AL$5:AL426),"")</f>
        <v/>
      </c>
      <c r="AQ426" s="61" t="n">
        <v>0</v>
      </c>
      <c r="AR426" s="61" t="n">
        <v>0</v>
      </c>
      <c r="AS426" s="61" t="n">
        <v>0</v>
      </c>
      <c r="AT426" s="61" t="n">
        <v>0</v>
      </c>
      <c r="AU426" s="61" t="str">
        <f aca="false">SUBSTITUTE(SUBSTITUTE(SUBSTITUTE(SUBSTITUTE(SUBSTITUTE(SUBSTITUTE(SUBSTITUTE(SUBSTITUTE(SUBSTITUTE(SUBSTITUTE(SUBSTITUTE(SUBSTITUTE(SUBSTITUTE(LOWER(T426&amp;""),CHAR(160),"")," ",""),".",""),"-",""),"/",""),"?",""),"_",""),",",""),"[",""),"]",""),"(",""),")",""),"*","")</f>
        <v/>
      </c>
      <c r="AV426" s="61" t="str">
        <f aca="false">SUBSTITUTE(SUBSTITUTE(SUBSTITUTE(SUBSTITUTE(SUBSTITUTE(SUBSTITUTE(SUBSTITUTE(SUBSTITUTE(SUBSTITUTE(SUBSTITUTE(SUBSTITUTE(SUBSTITUTE(SUBSTITUTE(LOWER(V426&amp;""),CHAR(160),"")," ",""),".",""),"-",""),"/",""),"?",""),"_",""),",",""),"[",""),"]",""),"(",""),")",""),"*","")</f>
        <v/>
      </c>
      <c r="AW426" s="61" t="str">
        <f aca="false">SUBSTITUTE(SUBSTITUTE(SUBSTITUTE(SUBSTITUTE(SUBSTITUTE(SUBSTITUTE(SUBSTITUTE(SUBSTITUTE(SUBSTITUTE(SUBSTITUTE(SUBSTITUTE(SUBSTITUTE(SUBSTITUTE(LOWER(Z426&amp;""),CHAR(160),"")," ",""),".",""),"-",""),"/",""),"?",""),"_",""),",",""),"[",""),"]",""),"(",""),")",""),"*","")</f>
        <v/>
      </c>
      <c r="AX426" s="61" t="str">
        <f aca="false">SUBSTITUTE(SUBSTITUTE(SUBSTITUTE(SUBSTITUTE(SUBSTITUTE(SUBSTITUTE(SUBSTITUTE(SUBSTITUTE(SUBSTITUTE(SUBSTITUTE(SUBSTITUTE(SUBSTITUTE(SUBSTITUTE(LOWER(AE426&amp;""),CHAR(160),"")," ",""),".",""),"-",""),"/",""),"?",""),"_",""),",",""),"[",""),"]",""),"(",""),")",""),"*","")</f>
        <v/>
      </c>
      <c r="AY426" s="61" t="str">
        <f aca="false">SUBSTITUTE(SUBSTITUTE(SUBSTITUTE(SUBSTITUTE(SUBSTITUTE(SUBSTITUTE(SUBSTITUTE(SUBSTITUTE(SUBSTITUTE(SUBSTITUTE(SUBSTITUTE(SUBSTITUTE(SUBSTITUTE(LOWER(W426&amp;""),CHAR(160),"")," ",""),".",""),"-",""),"/",""),"?",""),"_",""),",",""),"[",""),"]",""),"(",""),")",""),"*","")</f>
        <v/>
      </c>
      <c r="AZ426" s="61" t="str">
        <f aca="false">SUBSTITUTE(SUBSTITUTE(SUBSTITUTE(SUBSTITUTE(SUBSTITUTE(SUBSTITUTE(SUBSTITUTE(SUBSTITUTE(SUBSTITUTE(SUBSTITUTE(SUBSTITUTE(SUBSTITUTE(SUBSTITUTE(LOWER(AC426&amp;""),CHAR(160),"")," ",""),".",""),"-",""),"/",""),"?",""),"_",""),",",""),"[",""),"]",""),"(",""),")",""),"*","")</f>
        <v/>
      </c>
      <c r="BA426" s="61" t="str">
        <f aca="false">SUBSTITUTE(SUBSTITUTE(SUBSTITUTE(SUBSTITUTE(SUBSTITUTE(SUBSTITUTE(SUBSTITUTE(SUBSTITUTE(SUBSTITUTE(SUBSTITUTE(SUBSTITUTE(SUBSTITUTE(SUBSTITUTE(LOWER(AA426&amp;""),CHAR(160),"")," ",""),".",""),"-",""),"/",""),"?",""),"_",""),",",""),"[",""),"]",""),"(",""),")",""),"*","")</f>
        <v/>
      </c>
      <c r="BB426" s="61" t="str">
        <f aca="false">IF(AND(TRIM(U426)="Pass",ISNUMBER(AF426)),IF(AF426&lt;&gt;0,"INVALID – qty variance: use Fail or Pass after CA",""),"")&amp;IF(AND(TRIM(U426)="Pass after CA",ISNUMBER(AF426)),IF(AF426&lt;&gt;0,"INVALID – after the corrective action the actual qty must equal expected (update Actual)",""),"")&amp;IF(AND(TRIM(U426)="Pass",TRIM(AB426)&lt;&gt;"",TRIM(AB426)&lt;&gt;"Closed"),"INVALID – corrective action not closed: use Fail, then Pass after CA","")&amp;IF(AND(TRIM(AA426)&lt;&gt;"",TRIM(AB426)=""),"INVALID – CA status missing for the recorded corrective action","")&amp;IF(AND(TRIM(U426)="Pass after CA",OR(OR(LEN(BA426)&lt;5,ISNUMBER(MATCH(BA426,L_Placeholder,0))),TRIM(AB426)&lt;&gt;"Closed")),"INVALID – corrective action not recorded/closed","")</f>
        <v/>
      </c>
    </row>
    <row r="427" customFormat="false" ht="39.75" hidden="false" customHeight="true" outlineLevel="0" collapsed="false">
      <c r="A427" s="57" t="s">
        <v>1038</v>
      </c>
      <c r="B427" s="57" t="s">
        <v>269</v>
      </c>
      <c r="C427" s="57" t="str">
        <f aca="false">Flights!$F$17</f>
        <v>MH0138</v>
      </c>
      <c r="D427" s="58" t="n">
        <f aca="false">Flights!$D$17</f>
        <v>46309</v>
      </c>
      <c r="E427" s="57" t="str">
        <f aca="false">Flights!$G$17&amp;"-"&amp;Flights!$H$17</f>
        <v>ADL-KUL</v>
      </c>
      <c r="F427" s="57" t="str">
        <f aca="false">Flights!$K$17</f>
        <v>EY</v>
      </c>
      <c r="G427" s="57" t="s">
        <v>79</v>
      </c>
      <c r="H427" s="57" t="s">
        <v>356</v>
      </c>
      <c r="I427" s="57" t="s">
        <v>357</v>
      </c>
      <c r="J427" s="57" t="s">
        <v>358</v>
      </c>
      <c r="K427" s="67" t="s">
        <v>359</v>
      </c>
      <c r="L427" s="67" t="s">
        <v>360</v>
      </c>
      <c r="M427" s="67"/>
      <c r="N427" s="67" t="s">
        <v>361</v>
      </c>
      <c r="O427" s="67"/>
      <c r="P427" s="57" t="s">
        <v>260</v>
      </c>
      <c r="Q427" s="59" t="n">
        <f aca="false">ROUND((Flights!$AC$17)*1440,0)/1440</f>
        <v>46302.0104166667</v>
      </c>
      <c r="R427" s="59" t="n">
        <f aca="false">Q427+(IF(AND(INDEX(TZ_DSTS,MATCH(P427,TZ_STN,0))&lt;&gt;"",Q427&gt;=INDEX(TZ_DSTS,MATCH(P427,TZ_STN,0)),Q427&lt;INDEX(TZ_DSTE,MATCH(P427,TZ_STN,0))),INDEX(TZ_DST,MATCH(P427,TZ_STN,0)),INDEX(TZ_STD,MATCH(P427,TZ_STN,0))))/24</f>
        <v>46302.4479166667</v>
      </c>
      <c r="S427" s="59" t="n">
        <f aca="false">Q427-T7EarlyD*24/24</f>
        <v>46288.0104166667</v>
      </c>
      <c r="T427" s="60"/>
      <c r="U427" s="60"/>
      <c r="V427" s="60"/>
      <c r="W427" s="61"/>
      <c r="X427" s="60"/>
      <c r="Y427" s="60"/>
      <c r="Z427" s="60"/>
      <c r="AA427" s="60"/>
      <c r="AB427" s="60"/>
      <c r="AC427" s="60"/>
      <c r="AD427" s="66"/>
      <c r="AE427" s="60"/>
      <c r="AF427" s="61" t="str">
        <f aca="false">IF(AND(ISNUMBER(X427),ISNUMBER(Y427)),Y427-X427,"")</f>
        <v/>
      </c>
      <c r="AG427" s="62" t="str">
        <f aca="false">IF(ISNUMBER(AD427),AD427-(IF(AND(INDEX(TZ_DSTS,MATCH(P427,TZ_STN,0))&lt;&gt;"",(AD427-INDEX(TZ_STD,MATCH(P427,TZ_STN,0))/24)&gt;=INDEX(TZ_DSTS,MATCH(P427,TZ_STN,0)),(AD427-INDEX(TZ_STD,MATCH(P427,TZ_STN,0))/24)&lt;INDEX(TZ_DSTE,MATCH(P427,TZ_STN,0))),INDEX(TZ_DST,MATCH(P427,TZ_STN,0)),INDEX(TZ_STD,MATCH(P427,TZ_STN,0))))/24,"")</f>
        <v/>
      </c>
      <c r="AH427" s="65" t="str">
        <f aca="false">IFERROR(IF(N427="N/A – rule","N/A – RULE",IF(TRIM(U427)="N/A",IF(AT427=0,"INVALID – N/A not permitted for this check",IF(AND(TRIM(AB427)&lt;&gt;"",TRIM(AB427)&lt;&gt;"Closed"),"INVALID – corrective action still open",IF(AND(NOT(OR(LEN(AZ427)&lt;15,ISNUMBER(MATCH(AZ427,L_Placeholder,0)))),NOT(OR(LEN(AU427)&lt;2,ISNUMBER(MATCH(AU427,L_Placeholder,0)))),NOT(OR(LEN(AX427)&lt;2,ISNUMBER(MATCH(AX427,L_Placeholder,0)))),TRIM(AE427)&lt;&gt;TRIM(T427)),"N/A – JUSTIFIED","INVALID – N/A needs a real justification (15+ chars), PIC and a different verifier"))),IF(OR(TRIM(U427)="Pass",TRIM(U427)="Pass after CA"),IF(NOT(ISNUMBER(AD427)),"INVALID – completion time missing",IF(OR(LEN(AU427)&lt;2,ISNUMBER(MATCH(AU427,L_Placeholder,0))),"INVALID – PIC missing",IF(OR(LEN(AV427)&lt;2,ISNUMBER(MATCH(AV427,L_Placeholder,0))),"INVALID – result / assessment missing",IF(OR(OR(LEN(AW427)&lt;3,ISNUMBER(MATCH(AW427,L_Placeholder,0))),SUMPRODUCT(--ISNUMBER(SEARCH(L_EvidencePhrase,AW427)))&gt;0),"INVALID – evidence missing, placeholder or not yet on file",IF(OR(LEN(AX427)&lt;2,ISNUMBER(MATCH(AX427,L_Placeholder,0))),"INVALID – verifier missing",IF(AX427=AU427,"INVALID – verifier must be someone other than the PIC",IF(AND(TRIM(U427)="Pass",SUMPRODUCT(--ISNUMBER(SEARCH(L_ResultBad,AV427)))&gt;0),"INVALID – result describes a problem: use Fail, then Pass after CA",IF(AND(AQ427=1,OR(LEN(AY427)&lt;3,ISNUMBER(MATCH(AY427,L_Placeholder,0)))),"INVALID – batch ID missing or placeholder",IF(AND(AR427=1,OR(NOT(ISNUMBER(X427)),NOT(ISNUMBER(Y427)))),"INVALID – expected/actual qty missing",IF(AND(AR427=1,OR(X427&lt;=0,Y427&lt;0)),"INVALID – expected qty must be above 0 and actual not negative",IF(BB427&lt;&gt;"",BB427,IF(AND(AS427=1,Documents!$J$17&lt;&gt;"ON FILE"),"INVALID – GLD not on file (Documents sheet)",IF(AND(AS427=2,Documents!$O$17&lt;&gt;"ON FILE"),"INVALID – menu checklist not on file (Documents sheet)",IF(AND(AS427=3,NOT(ISNUMBER(Flights!$AX$17))),"INVALID – enter carrying flight KUL departure (Flights AX)",IF(AND(AS427=3,OR(Flights!$AZ$17&gt;Flights!$AA$17,Flights!$AX$17&lt;Flights!$AA$17-3)),"INVALID – carrying flight (Flights AX) cannot arrive before this leg's STD, or is over 3 days early",IF(AG427&gt;AsOfUTC,"INVALID – completion time is in the future",IF(AND(ISNUMBER(S427),AG427&lt;S427),IF(H427="Physical uplift","INVALID – before uplift window (cannot confirm loading)","INVALID – before valid window"),IF(AG427&gt;Flights!$AA$17,"INVALID – completed after departure (cannot establish readiness)",IF(AND(H427="Preparation",AG427&gt;IF(ISNUMBER(Flights!$BA$17),MIN(Flights!$BA$17,Flights!$AA$17),Flights!$AA$17)),"INVALID – completed after loading / departure (cannot establish readiness)",IF(AND(H427="Physical uplift",AG427&gt;Q427),"INVALID – recorded after the loading flight departed",IF(AG427&gt;Q427,"COMPLETE – LATE","COMPLETE"))))))))))))))))))))),IF(TRIM(U427)="Fail","FAIL – DISCREPANCY",IF(AND(TRIM(U427)&lt;&gt;"",TRIM(U427)&lt;&gt;"Not started",TRIM(U427)&lt;&gt;"In progress"),"INVALID – unrecognised status (use the list)",IF(AsOfUTC&gt;Q427,"OVERDUE",IF(N427="Clarification required","OPEN – CLARIFICATION","OPEN"))))))),"INVALID – error value in an input cell")</f>
        <v>OPEN</v>
      </c>
      <c r="AI427" s="61" t="n">
        <f aca="false">IF(OR(AH427="N/A – RULE",AH427="N/A – JUSTIFIED"),0,1)</f>
        <v>1</v>
      </c>
      <c r="AJ427" s="61" t="n">
        <f aca="false">IF(LEFT(AH427,8)="COMPLETE",1,0)</f>
        <v>0</v>
      </c>
      <c r="AK427" s="61" t="n">
        <f aca="false">IF(AND(AI427=1,AJ427=0,AsOfUTC&gt;Q427),1,0)</f>
        <v>0</v>
      </c>
      <c r="AL427" s="61" t="n">
        <f aca="false">IFERROR(IF(AND(AI427=1,OR(TRIM(U427)="Fail",AND(TRIM(AB427)&lt;&gt;"",TRIM(AB427)&lt;&gt;"Closed"),AND(ISNUMBER(AF427),AF427&lt;&gt;0,TRIM(U427)&lt;&gt;"Pass after CA"))),1,0),1)</f>
        <v>0</v>
      </c>
      <c r="AM427" s="61" t="n">
        <f aca="false">IF(LEFT(AH427,7)="INVALID",1,0)</f>
        <v>0</v>
      </c>
      <c r="AN427" s="61" t="n">
        <f aca="false">IF(AND(N427="Clarification required",AI427=1,AJ427=0),1,0)</f>
        <v>0</v>
      </c>
      <c r="AO427" s="61" t="str">
        <f aca="false">IF(AK427=1,SUM(AK$5:AK427),"")</f>
        <v/>
      </c>
      <c r="AP427" s="61" t="str">
        <f aca="false">IF(AL427=1,SUM(AL$5:AL427),"")</f>
        <v/>
      </c>
      <c r="AQ427" s="61" t="n">
        <v>0</v>
      </c>
      <c r="AR427" s="61" t="n">
        <v>0</v>
      </c>
      <c r="AS427" s="61" t="n">
        <v>0</v>
      </c>
      <c r="AT427" s="61" t="n">
        <v>0</v>
      </c>
      <c r="AU427" s="61" t="str">
        <f aca="false">SUBSTITUTE(SUBSTITUTE(SUBSTITUTE(SUBSTITUTE(SUBSTITUTE(SUBSTITUTE(SUBSTITUTE(SUBSTITUTE(SUBSTITUTE(SUBSTITUTE(SUBSTITUTE(SUBSTITUTE(SUBSTITUTE(LOWER(T427&amp;""),CHAR(160),"")," ",""),".",""),"-",""),"/",""),"?",""),"_",""),",",""),"[",""),"]",""),"(",""),")",""),"*","")</f>
        <v/>
      </c>
      <c r="AV427" s="61" t="str">
        <f aca="false">SUBSTITUTE(SUBSTITUTE(SUBSTITUTE(SUBSTITUTE(SUBSTITUTE(SUBSTITUTE(SUBSTITUTE(SUBSTITUTE(SUBSTITUTE(SUBSTITUTE(SUBSTITUTE(SUBSTITUTE(SUBSTITUTE(LOWER(V427&amp;""),CHAR(160),"")," ",""),".",""),"-",""),"/",""),"?",""),"_",""),",",""),"[",""),"]",""),"(",""),")",""),"*","")</f>
        <v/>
      </c>
      <c r="AW427" s="61" t="str">
        <f aca="false">SUBSTITUTE(SUBSTITUTE(SUBSTITUTE(SUBSTITUTE(SUBSTITUTE(SUBSTITUTE(SUBSTITUTE(SUBSTITUTE(SUBSTITUTE(SUBSTITUTE(SUBSTITUTE(SUBSTITUTE(SUBSTITUTE(LOWER(Z427&amp;""),CHAR(160),"")," ",""),".",""),"-",""),"/",""),"?",""),"_",""),",",""),"[",""),"]",""),"(",""),")",""),"*","")</f>
        <v/>
      </c>
      <c r="AX427" s="61" t="str">
        <f aca="false">SUBSTITUTE(SUBSTITUTE(SUBSTITUTE(SUBSTITUTE(SUBSTITUTE(SUBSTITUTE(SUBSTITUTE(SUBSTITUTE(SUBSTITUTE(SUBSTITUTE(SUBSTITUTE(SUBSTITUTE(SUBSTITUTE(LOWER(AE427&amp;""),CHAR(160),"")," ",""),".",""),"-",""),"/",""),"?",""),"_",""),",",""),"[",""),"]",""),"(",""),")",""),"*","")</f>
        <v/>
      </c>
      <c r="AY427" s="61" t="str">
        <f aca="false">SUBSTITUTE(SUBSTITUTE(SUBSTITUTE(SUBSTITUTE(SUBSTITUTE(SUBSTITUTE(SUBSTITUTE(SUBSTITUTE(SUBSTITUTE(SUBSTITUTE(SUBSTITUTE(SUBSTITUTE(SUBSTITUTE(LOWER(W427&amp;""),CHAR(160),"")," ",""),".",""),"-",""),"/",""),"?",""),"_",""),",",""),"[",""),"]",""),"(",""),")",""),"*","")</f>
        <v/>
      </c>
      <c r="AZ427" s="61" t="str">
        <f aca="false">SUBSTITUTE(SUBSTITUTE(SUBSTITUTE(SUBSTITUTE(SUBSTITUTE(SUBSTITUTE(SUBSTITUTE(SUBSTITUTE(SUBSTITUTE(SUBSTITUTE(SUBSTITUTE(SUBSTITUTE(SUBSTITUTE(LOWER(AC427&amp;""),CHAR(160),"")," ",""),".",""),"-",""),"/",""),"?",""),"_",""),",",""),"[",""),"]",""),"(",""),")",""),"*","")</f>
        <v/>
      </c>
      <c r="BA427" s="61" t="str">
        <f aca="false">SUBSTITUTE(SUBSTITUTE(SUBSTITUTE(SUBSTITUTE(SUBSTITUTE(SUBSTITUTE(SUBSTITUTE(SUBSTITUTE(SUBSTITUTE(SUBSTITUTE(SUBSTITUTE(SUBSTITUTE(SUBSTITUTE(LOWER(AA427&amp;""),CHAR(160),"")," ",""),".",""),"-",""),"/",""),"?",""),"_",""),",",""),"[",""),"]",""),"(",""),")",""),"*","")</f>
        <v/>
      </c>
      <c r="BB427" s="61" t="str">
        <f aca="false">IF(AND(TRIM(U427)="Pass",ISNUMBER(AF427)),IF(AF427&lt;&gt;0,"INVALID – qty variance: use Fail or Pass after CA",""),"")&amp;IF(AND(TRIM(U427)="Pass after CA",ISNUMBER(AF427)),IF(AF427&lt;&gt;0,"INVALID – after the corrective action the actual qty must equal expected (update Actual)",""),"")&amp;IF(AND(TRIM(U427)="Pass",TRIM(AB427)&lt;&gt;"",TRIM(AB427)&lt;&gt;"Closed"),"INVALID – corrective action not closed: use Fail, then Pass after CA","")&amp;IF(AND(TRIM(AA427)&lt;&gt;"",TRIM(AB427)=""),"INVALID – CA status missing for the recorded corrective action","")&amp;IF(AND(TRIM(U427)="Pass after CA",OR(OR(LEN(BA427)&lt;5,ISNUMBER(MATCH(BA427,L_Placeholder,0))),TRIM(AB427)&lt;&gt;"Closed")),"INVALID – corrective action not recorded/closed","")</f>
        <v/>
      </c>
    </row>
    <row r="428" customFormat="false" ht="39.75" hidden="false" customHeight="true" outlineLevel="0" collapsed="false">
      <c r="A428" s="57" t="s">
        <v>1039</v>
      </c>
      <c r="B428" s="57" t="s">
        <v>269</v>
      </c>
      <c r="C428" s="57" t="str">
        <f aca="false">Flights!$F$17</f>
        <v>MH0138</v>
      </c>
      <c r="D428" s="58" t="n">
        <f aca="false">Flights!$D$17</f>
        <v>46309</v>
      </c>
      <c r="E428" s="57" t="str">
        <f aca="false">Flights!$G$17&amp;"-"&amp;Flights!$H$17</f>
        <v>ADL-KUL</v>
      </c>
      <c r="F428" s="57" t="str">
        <f aca="false">Flights!$K$17</f>
        <v>EY</v>
      </c>
      <c r="G428" s="57" t="s">
        <v>79</v>
      </c>
      <c r="H428" s="57" t="s">
        <v>356</v>
      </c>
      <c r="I428" s="57" t="s">
        <v>363</v>
      </c>
      <c r="J428" s="57" t="s">
        <v>364</v>
      </c>
      <c r="K428" s="67" t="s">
        <v>365</v>
      </c>
      <c r="L428" s="67" t="s">
        <v>360</v>
      </c>
      <c r="M428" s="67"/>
      <c r="N428" s="67" t="s">
        <v>361</v>
      </c>
      <c r="O428" s="67"/>
      <c r="P428" s="57" t="s">
        <v>260</v>
      </c>
      <c r="Q428" s="59" t="n">
        <f aca="false">ROUND((Flights!$AC$17)*1440,0)/1440</f>
        <v>46302.0104166667</v>
      </c>
      <c r="R428" s="59" t="n">
        <f aca="false">Q428+(IF(AND(INDEX(TZ_DSTS,MATCH(P428,TZ_STN,0))&lt;&gt;"",Q428&gt;=INDEX(TZ_DSTS,MATCH(P428,TZ_STN,0)),Q428&lt;INDEX(TZ_DSTE,MATCH(P428,TZ_STN,0))),INDEX(TZ_DST,MATCH(P428,TZ_STN,0)),INDEX(TZ_STD,MATCH(P428,TZ_STN,0))))/24</f>
        <v>46302.4479166667</v>
      </c>
      <c r="S428" s="59" t="n">
        <f aca="false">Q428-T7EarlyD*24/24</f>
        <v>46288.0104166667</v>
      </c>
      <c r="T428" s="60"/>
      <c r="U428" s="60"/>
      <c r="V428" s="60"/>
      <c r="W428" s="61"/>
      <c r="X428" s="60"/>
      <c r="Y428" s="60"/>
      <c r="Z428" s="60"/>
      <c r="AA428" s="60"/>
      <c r="AB428" s="60"/>
      <c r="AC428" s="60"/>
      <c r="AD428" s="66"/>
      <c r="AE428" s="60"/>
      <c r="AF428" s="61" t="str">
        <f aca="false">IF(AND(ISNUMBER(X428),ISNUMBER(Y428)),Y428-X428,"")</f>
        <v/>
      </c>
      <c r="AG428" s="62" t="str">
        <f aca="false">IF(ISNUMBER(AD428),AD428-(IF(AND(INDEX(TZ_DSTS,MATCH(P428,TZ_STN,0))&lt;&gt;"",(AD428-INDEX(TZ_STD,MATCH(P428,TZ_STN,0))/24)&gt;=INDEX(TZ_DSTS,MATCH(P428,TZ_STN,0)),(AD428-INDEX(TZ_STD,MATCH(P428,TZ_STN,0))/24)&lt;INDEX(TZ_DSTE,MATCH(P428,TZ_STN,0))),INDEX(TZ_DST,MATCH(P428,TZ_STN,0)),INDEX(TZ_STD,MATCH(P428,TZ_STN,0))))/24,"")</f>
        <v/>
      </c>
      <c r="AH428" s="65" t="str">
        <f aca="false">IFERROR(IF(N428="N/A – rule","N/A – RULE",IF(TRIM(U428)="N/A",IF(AT428=0,"INVALID – N/A not permitted for this check",IF(AND(TRIM(AB428)&lt;&gt;"",TRIM(AB428)&lt;&gt;"Closed"),"INVALID – corrective action still open",IF(AND(NOT(OR(LEN(AZ428)&lt;15,ISNUMBER(MATCH(AZ428,L_Placeholder,0)))),NOT(OR(LEN(AU428)&lt;2,ISNUMBER(MATCH(AU428,L_Placeholder,0)))),NOT(OR(LEN(AX428)&lt;2,ISNUMBER(MATCH(AX428,L_Placeholder,0)))),TRIM(AE428)&lt;&gt;TRIM(T428)),"N/A – JUSTIFIED","INVALID – N/A needs a real justification (15+ chars), PIC and a different verifier"))),IF(OR(TRIM(U428)="Pass",TRIM(U428)="Pass after CA"),IF(NOT(ISNUMBER(AD428)),"INVALID – completion time missing",IF(OR(LEN(AU428)&lt;2,ISNUMBER(MATCH(AU428,L_Placeholder,0))),"INVALID – PIC missing",IF(OR(LEN(AV428)&lt;2,ISNUMBER(MATCH(AV428,L_Placeholder,0))),"INVALID – result / assessment missing",IF(OR(OR(LEN(AW428)&lt;3,ISNUMBER(MATCH(AW428,L_Placeholder,0))),SUMPRODUCT(--ISNUMBER(SEARCH(L_EvidencePhrase,AW428)))&gt;0),"INVALID – evidence missing, placeholder or not yet on file",IF(OR(LEN(AX428)&lt;2,ISNUMBER(MATCH(AX428,L_Placeholder,0))),"INVALID – verifier missing",IF(AX428=AU428,"INVALID – verifier must be someone other than the PIC",IF(AND(TRIM(U428)="Pass",SUMPRODUCT(--ISNUMBER(SEARCH(L_ResultBad,AV428)))&gt;0),"INVALID – result describes a problem: use Fail, then Pass after CA",IF(AND(AQ428=1,OR(LEN(AY428)&lt;3,ISNUMBER(MATCH(AY428,L_Placeholder,0)))),"INVALID – batch ID missing or placeholder",IF(AND(AR428=1,OR(NOT(ISNUMBER(X428)),NOT(ISNUMBER(Y428)))),"INVALID – expected/actual qty missing",IF(AND(AR428=1,OR(X428&lt;=0,Y428&lt;0)),"INVALID – expected qty must be above 0 and actual not negative",IF(BB428&lt;&gt;"",BB428,IF(AND(AS428=1,Documents!$J$17&lt;&gt;"ON FILE"),"INVALID – GLD not on file (Documents sheet)",IF(AND(AS428=2,Documents!$O$17&lt;&gt;"ON FILE"),"INVALID – menu checklist not on file (Documents sheet)",IF(AND(AS428=3,NOT(ISNUMBER(Flights!$AX$17))),"INVALID – enter carrying flight KUL departure (Flights AX)",IF(AND(AS428=3,OR(Flights!$AZ$17&gt;Flights!$AA$17,Flights!$AX$17&lt;Flights!$AA$17-3)),"INVALID – carrying flight (Flights AX) cannot arrive before this leg's STD, or is over 3 days early",IF(AG428&gt;AsOfUTC,"INVALID – completion time is in the future",IF(AND(ISNUMBER(S428),AG428&lt;S428),IF(H428="Physical uplift","INVALID – before uplift window (cannot confirm loading)","INVALID – before valid window"),IF(AG428&gt;Flights!$AA$17,"INVALID – completed after departure (cannot establish readiness)",IF(AND(H428="Preparation",AG428&gt;IF(ISNUMBER(Flights!$BA$17),MIN(Flights!$BA$17,Flights!$AA$17),Flights!$AA$17)),"INVALID – completed after loading / departure (cannot establish readiness)",IF(AND(H428="Physical uplift",AG428&gt;Q428),"INVALID – recorded after the loading flight departed",IF(AG428&gt;Q428,"COMPLETE – LATE","COMPLETE"))))))))))))))))))))),IF(TRIM(U428)="Fail","FAIL – DISCREPANCY",IF(AND(TRIM(U428)&lt;&gt;"",TRIM(U428)&lt;&gt;"Not started",TRIM(U428)&lt;&gt;"In progress"),"INVALID – unrecognised status (use the list)",IF(AsOfUTC&gt;Q428,"OVERDUE",IF(N428="Clarification required","OPEN – CLARIFICATION","OPEN"))))))),"INVALID – error value in an input cell")</f>
        <v>OPEN</v>
      </c>
      <c r="AI428" s="61" t="n">
        <f aca="false">IF(OR(AH428="N/A – RULE",AH428="N/A – JUSTIFIED"),0,1)</f>
        <v>1</v>
      </c>
      <c r="AJ428" s="61" t="n">
        <f aca="false">IF(LEFT(AH428,8)="COMPLETE",1,0)</f>
        <v>0</v>
      </c>
      <c r="AK428" s="61" t="n">
        <f aca="false">IF(AND(AI428=1,AJ428=0,AsOfUTC&gt;Q428),1,0)</f>
        <v>0</v>
      </c>
      <c r="AL428" s="61" t="n">
        <f aca="false">IFERROR(IF(AND(AI428=1,OR(TRIM(U428)="Fail",AND(TRIM(AB428)&lt;&gt;"",TRIM(AB428)&lt;&gt;"Closed"),AND(ISNUMBER(AF428),AF428&lt;&gt;0,TRIM(U428)&lt;&gt;"Pass after CA"))),1,0),1)</f>
        <v>0</v>
      </c>
      <c r="AM428" s="61" t="n">
        <f aca="false">IF(LEFT(AH428,7)="INVALID",1,0)</f>
        <v>0</v>
      </c>
      <c r="AN428" s="61" t="n">
        <f aca="false">IF(AND(N428="Clarification required",AI428=1,AJ428=0),1,0)</f>
        <v>0</v>
      </c>
      <c r="AO428" s="61" t="str">
        <f aca="false">IF(AK428=1,SUM(AK$5:AK428),"")</f>
        <v/>
      </c>
      <c r="AP428" s="61" t="str">
        <f aca="false">IF(AL428=1,SUM(AL$5:AL428),"")</f>
        <v/>
      </c>
      <c r="AQ428" s="61" t="n">
        <v>0</v>
      </c>
      <c r="AR428" s="61" t="n">
        <v>0</v>
      </c>
      <c r="AS428" s="61" t="n">
        <v>0</v>
      </c>
      <c r="AT428" s="61" t="n">
        <v>0</v>
      </c>
      <c r="AU428" s="61" t="str">
        <f aca="false">SUBSTITUTE(SUBSTITUTE(SUBSTITUTE(SUBSTITUTE(SUBSTITUTE(SUBSTITUTE(SUBSTITUTE(SUBSTITUTE(SUBSTITUTE(SUBSTITUTE(SUBSTITUTE(SUBSTITUTE(SUBSTITUTE(LOWER(T428&amp;""),CHAR(160),"")," ",""),".",""),"-",""),"/",""),"?",""),"_",""),",",""),"[",""),"]",""),"(",""),")",""),"*","")</f>
        <v/>
      </c>
      <c r="AV428" s="61" t="str">
        <f aca="false">SUBSTITUTE(SUBSTITUTE(SUBSTITUTE(SUBSTITUTE(SUBSTITUTE(SUBSTITUTE(SUBSTITUTE(SUBSTITUTE(SUBSTITUTE(SUBSTITUTE(SUBSTITUTE(SUBSTITUTE(SUBSTITUTE(LOWER(V428&amp;""),CHAR(160),"")," ",""),".",""),"-",""),"/",""),"?",""),"_",""),",",""),"[",""),"]",""),"(",""),")",""),"*","")</f>
        <v/>
      </c>
      <c r="AW428" s="61" t="str">
        <f aca="false">SUBSTITUTE(SUBSTITUTE(SUBSTITUTE(SUBSTITUTE(SUBSTITUTE(SUBSTITUTE(SUBSTITUTE(SUBSTITUTE(SUBSTITUTE(SUBSTITUTE(SUBSTITUTE(SUBSTITUTE(SUBSTITUTE(LOWER(Z428&amp;""),CHAR(160),"")," ",""),".",""),"-",""),"/",""),"?",""),"_",""),",",""),"[",""),"]",""),"(",""),")",""),"*","")</f>
        <v/>
      </c>
      <c r="AX428" s="61" t="str">
        <f aca="false">SUBSTITUTE(SUBSTITUTE(SUBSTITUTE(SUBSTITUTE(SUBSTITUTE(SUBSTITUTE(SUBSTITUTE(SUBSTITUTE(SUBSTITUTE(SUBSTITUTE(SUBSTITUTE(SUBSTITUTE(SUBSTITUTE(LOWER(AE428&amp;""),CHAR(160),"")," ",""),".",""),"-",""),"/",""),"?",""),"_",""),",",""),"[",""),"]",""),"(",""),")",""),"*","")</f>
        <v/>
      </c>
      <c r="AY428" s="61" t="str">
        <f aca="false">SUBSTITUTE(SUBSTITUTE(SUBSTITUTE(SUBSTITUTE(SUBSTITUTE(SUBSTITUTE(SUBSTITUTE(SUBSTITUTE(SUBSTITUTE(SUBSTITUTE(SUBSTITUTE(SUBSTITUTE(SUBSTITUTE(LOWER(W428&amp;""),CHAR(160),"")," ",""),".",""),"-",""),"/",""),"?",""),"_",""),",",""),"[",""),"]",""),"(",""),")",""),"*","")</f>
        <v/>
      </c>
      <c r="AZ428" s="61" t="str">
        <f aca="false">SUBSTITUTE(SUBSTITUTE(SUBSTITUTE(SUBSTITUTE(SUBSTITUTE(SUBSTITUTE(SUBSTITUTE(SUBSTITUTE(SUBSTITUTE(SUBSTITUTE(SUBSTITUTE(SUBSTITUTE(SUBSTITUTE(LOWER(AC428&amp;""),CHAR(160),"")," ",""),".",""),"-",""),"/",""),"?",""),"_",""),",",""),"[",""),"]",""),"(",""),")",""),"*","")</f>
        <v/>
      </c>
      <c r="BA428" s="61" t="str">
        <f aca="false">SUBSTITUTE(SUBSTITUTE(SUBSTITUTE(SUBSTITUTE(SUBSTITUTE(SUBSTITUTE(SUBSTITUTE(SUBSTITUTE(SUBSTITUTE(SUBSTITUTE(SUBSTITUTE(SUBSTITUTE(SUBSTITUTE(LOWER(AA428&amp;""),CHAR(160),"")," ",""),".",""),"-",""),"/",""),"?",""),"_",""),",",""),"[",""),"]",""),"(",""),")",""),"*","")</f>
        <v/>
      </c>
      <c r="BB428" s="61" t="str">
        <f aca="false">IF(AND(TRIM(U428)="Pass",ISNUMBER(AF428)),IF(AF428&lt;&gt;0,"INVALID – qty variance: use Fail or Pass after CA",""),"")&amp;IF(AND(TRIM(U428)="Pass after CA",ISNUMBER(AF428)),IF(AF428&lt;&gt;0,"INVALID – after the corrective action the actual qty must equal expected (update Actual)",""),"")&amp;IF(AND(TRIM(U428)="Pass",TRIM(AB428)&lt;&gt;"",TRIM(AB428)&lt;&gt;"Closed"),"INVALID – corrective action not closed: use Fail, then Pass after CA","")&amp;IF(AND(TRIM(AA428)&lt;&gt;"",TRIM(AB428)=""),"INVALID – CA status missing for the recorded corrective action","")&amp;IF(AND(TRIM(U428)="Pass after CA",OR(OR(LEN(BA428)&lt;5,ISNUMBER(MATCH(BA428,L_Placeholder,0))),TRIM(AB428)&lt;&gt;"Closed")),"INVALID – corrective action not recorded/closed","")</f>
        <v/>
      </c>
    </row>
    <row r="429" customFormat="false" ht="41.25" hidden="false" customHeight="true" outlineLevel="0" collapsed="false">
      <c r="A429" s="57" t="s">
        <v>1040</v>
      </c>
      <c r="B429" s="57" t="s">
        <v>269</v>
      </c>
      <c r="C429" s="57" t="str">
        <f aca="false">Flights!$F$17</f>
        <v>MH0138</v>
      </c>
      <c r="D429" s="58" t="n">
        <f aca="false">Flights!$D$17</f>
        <v>46309</v>
      </c>
      <c r="E429" s="57" t="str">
        <f aca="false">Flights!$G$17&amp;"-"&amp;Flights!$H$17</f>
        <v>ADL-KUL</v>
      </c>
      <c r="F429" s="57" t="str">
        <f aca="false">Flights!$K$17</f>
        <v>EY</v>
      </c>
      <c r="G429" s="57" t="s">
        <v>79</v>
      </c>
      <c r="H429" s="57" t="s">
        <v>356</v>
      </c>
      <c r="I429" s="57" t="s">
        <v>367</v>
      </c>
      <c r="J429" s="57" t="s">
        <v>368</v>
      </c>
      <c r="K429" s="67" t="s">
        <v>369</v>
      </c>
      <c r="L429" s="67" t="s">
        <v>360</v>
      </c>
      <c r="M429" s="67"/>
      <c r="N429" s="67" t="str">
        <f aca="false">IF(TRIM(Flights!$L$17)="A339","Required","N/A – rule")</f>
        <v>Required</v>
      </c>
      <c r="O429" s="67" t="s">
        <v>370</v>
      </c>
      <c r="P429" s="57" t="s">
        <v>260</v>
      </c>
      <c r="Q429" s="59" t="n">
        <f aca="false">ROUND((Flights!$AC$17)*1440,0)/1440</f>
        <v>46302.0104166667</v>
      </c>
      <c r="R429" s="59" t="n">
        <f aca="false">Q429+(IF(AND(INDEX(TZ_DSTS,MATCH(P429,TZ_STN,0))&lt;&gt;"",Q429&gt;=INDEX(TZ_DSTS,MATCH(P429,TZ_STN,0)),Q429&lt;INDEX(TZ_DSTE,MATCH(P429,TZ_STN,0))),INDEX(TZ_DST,MATCH(P429,TZ_STN,0)),INDEX(TZ_STD,MATCH(P429,TZ_STN,0))))/24</f>
        <v>46302.4479166667</v>
      </c>
      <c r="S429" s="59" t="n">
        <f aca="false">Q429-T7EarlyD*24/24</f>
        <v>46288.0104166667</v>
      </c>
      <c r="T429" s="60"/>
      <c r="U429" s="60"/>
      <c r="V429" s="60"/>
      <c r="W429" s="61"/>
      <c r="X429" s="60"/>
      <c r="Y429" s="60"/>
      <c r="Z429" s="60"/>
      <c r="AA429" s="60"/>
      <c r="AB429" s="60"/>
      <c r="AC429" s="60"/>
      <c r="AD429" s="66"/>
      <c r="AE429" s="60"/>
      <c r="AF429" s="61" t="str">
        <f aca="false">IF(AND(ISNUMBER(X429),ISNUMBER(Y429)),Y429-X429,"")</f>
        <v/>
      </c>
      <c r="AG429" s="62" t="str">
        <f aca="false">IF(ISNUMBER(AD429),AD429-(IF(AND(INDEX(TZ_DSTS,MATCH(P429,TZ_STN,0))&lt;&gt;"",(AD429-INDEX(TZ_STD,MATCH(P429,TZ_STN,0))/24)&gt;=INDEX(TZ_DSTS,MATCH(P429,TZ_STN,0)),(AD429-INDEX(TZ_STD,MATCH(P429,TZ_STN,0))/24)&lt;INDEX(TZ_DSTE,MATCH(P429,TZ_STN,0))),INDEX(TZ_DST,MATCH(P429,TZ_STN,0)),INDEX(TZ_STD,MATCH(P429,TZ_STN,0))))/24,"")</f>
        <v/>
      </c>
      <c r="AH429" s="65" t="str">
        <f aca="false">IFERROR(IF(N429="N/A – rule","N/A – RULE",IF(TRIM(U429)="N/A",IF(AT429=0,"INVALID – N/A not permitted for this check",IF(AND(TRIM(AB429)&lt;&gt;"",TRIM(AB429)&lt;&gt;"Closed"),"INVALID – corrective action still open",IF(AND(NOT(OR(LEN(AZ429)&lt;15,ISNUMBER(MATCH(AZ429,L_Placeholder,0)))),NOT(OR(LEN(AU429)&lt;2,ISNUMBER(MATCH(AU429,L_Placeholder,0)))),NOT(OR(LEN(AX429)&lt;2,ISNUMBER(MATCH(AX429,L_Placeholder,0)))),TRIM(AE429)&lt;&gt;TRIM(T429)),"N/A – JUSTIFIED","INVALID – N/A needs a real justification (15+ chars), PIC and a different verifier"))),IF(OR(TRIM(U429)="Pass",TRIM(U429)="Pass after CA"),IF(NOT(ISNUMBER(AD429)),"INVALID – completion time missing",IF(OR(LEN(AU429)&lt;2,ISNUMBER(MATCH(AU429,L_Placeholder,0))),"INVALID – PIC missing",IF(OR(LEN(AV429)&lt;2,ISNUMBER(MATCH(AV429,L_Placeholder,0))),"INVALID – result / assessment missing",IF(OR(OR(LEN(AW429)&lt;3,ISNUMBER(MATCH(AW429,L_Placeholder,0))),SUMPRODUCT(--ISNUMBER(SEARCH(L_EvidencePhrase,AW429)))&gt;0),"INVALID – evidence missing, placeholder or not yet on file",IF(OR(LEN(AX429)&lt;2,ISNUMBER(MATCH(AX429,L_Placeholder,0))),"INVALID – verifier missing",IF(AX429=AU429,"INVALID – verifier must be someone other than the PIC",IF(AND(TRIM(U429)="Pass",SUMPRODUCT(--ISNUMBER(SEARCH(L_ResultBad,AV429)))&gt;0),"INVALID – result describes a problem: use Fail, then Pass after CA",IF(AND(AQ429=1,OR(LEN(AY429)&lt;3,ISNUMBER(MATCH(AY429,L_Placeholder,0)))),"INVALID – batch ID missing or placeholder",IF(AND(AR429=1,OR(NOT(ISNUMBER(X429)),NOT(ISNUMBER(Y429)))),"INVALID – expected/actual qty missing",IF(AND(AR429=1,OR(X429&lt;=0,Y429&lt;0)),"INVALID – expected qty must be above 0 and actual not negative",IF(BB429&lt;&gt;"",BB429,IF(AND(AS429=1,Documents!$J$17&lt;&gt;"ON FILE"),"INVALID – GLD not on file (Documents sheet)",IF(AND(AS429=2,Documents!$O$17&lt;&gt;"ON FILE"),"INVALID – menu checklist not on file (Documents sheet)",IF(AND(AS429=3,NOT(ISNUMBER(Flights!$AX$17))),"INVALID – enter carrying flight KUL departure (Flights AX)",IF(AND(AS429=3,OR(Flights!$AZ$17&gt;Flights!$AA$17,Flights!$AX$17&lt;Flights!$AA$17-3)),"INVALID – carrying flight (Flights AX) cannot arrive before this leg's STD, or is over 3 days early",IF(AG429&gt;AsOfUTC,"INVALID – completion time is in the future",IF(AND(ISNUMBER(S429),AG429&lt;S429),IF(H429="Physical uplift","INVALID – before uplift window (cannot confirm loading)","INVALID – before valid window"),IF(AG429&gt;Flights!$AA$17,"INVALID – completed after departure (cannot establish readiness)",IF(AND(H429="Preparation",AG429&gt;IF(ISNUMBER(Flights!$BA$17),MIN(Flights!$BA$17,Flights!$AA$17),Flights!$AA$17)),"INVALID – completed after loading / departure (cannot establish readiness)",IF(AND(H429="Physical uplift",AG429&gt;Q429),"INVALID – recorded after the loading flight departed",IF(AG429&gt;Q429,"COMPLETE – LATE","COMPLETE"))))))))))))))))))))),IF(TRIM(U429)="Fail","FAIL – DISCREPANCY",IF(AND(TRIM(U429)&lt;&gt;"",TRIM(U429)&lt;&gt;"Not started",TRIM(U429)&lt;&gt;"In progress"),"INVALID – unrecognised status (use the list)",IF(AsOfUTC&gt;Q429,"OVERDUE",IF(N429="Clarification required","OPEN – CLARIFICATION","OPEN"))))))),"INVALID – error value in an input cell")</f>
        <v>OPEN</v>
      </c>
      <c r="AI429" s="61" t="n">
        <f aca="false">IF(OR(AH429="N/A – RULE",AH429="N/A – JUSTIFIED"),0,1)</f>
        <v>1</v>
      </c>
      <c r="AJ429" s="61" t="n">
        <f aca="false">IF(LEFT(AH429,8)="COMPLETE",1,0)</f>
        <v>0</v>
      </c>
      <c r="AK429" s="61" t="n">
        <f aca="false">IF(AND(AI429=1,AJ429=0,AsOfUTC&gt;Q429),1,0)</f>
        <v>0</v>
      </c>
      <c r="AL429" s="61" t="n">
        <f aca="false">IFERROR(IF(AND(AI429=1,OR(TRIM(U429)="Fail",AND(TRIM(AB429)&lt;&gt;"",TRIM(AB429)&lt;&gt;"Closed"),AND(ISNUMBER(AF429),AF429&lt;&gt;0,TRIM(U429)&lt;&gt;"Pass after CA"))),1,0),1)</f>
        <v>0</v>
      </c>
      <c r="AM429" s="61" t="n">
        <f aca="false">IF(LEFT(AH429,7)="INVALID",1,0)</f>
        <v>0</v>
      </c>
      <c r="AN429" s="61" t="n">
        <f aca="false">IF(AND(N429="Clarification required",AI429=1,AJ429=0),1,0)</f>
        <v>0</v>
      </c>
      <c r="AO429" s="61" t="str">
        <f aca="false">IF(AK429=1,SUM(AK$5:AK429),"")</f>
        <v/>
      </c>
      <c r="AP429" s="61" t="str">
        <f aca="false">IF(AL429=1,SUM(AL$5:AL429),"")</f>
        <v/>
      </c>
      <c r="AQ429" s="61" t="n">
        <v>0</v>
      </c>
      <c r="AR429" s="61" t="n">
        <v>0</v>
      </c>
      <c r="AS429" s="61" t="n">
        <v>0</v>
      </c>
      <c r="AT429" s="61" t="n">
        <v>0</v>
      </c>
      <c r="AU429" s="61" t="str">
        <f aca="false">SUBSTITUTE(SUBSTITUTE(SUBSTITUTE(SUBSTITUTE(SUBSTITUTE(SUBSTITUTE(SUBSTITUTE(SUBSTITUTE(SUBSTITUTE(SUBSTITUTE(SUBSTITUTE(SUBSTITUTE(SUBSTITUTE(LOWER(T429&amp;""),CHAR(160),"")," ",""),".",""),"-",""),"/",""),"?",""),"_",""),",",""),"[",""),"]",""),"(",""),")",""),"*","")</f>
        <v/>
      </c>
      <c r="AV429" s="61" t="str">
        <f aca="false">SUBSTITUTE(SUBSTITUTE(SUBSTITUTE(SUBSTITUTE(SUBSTITUTE(SUBSTITUTE(SUBSTITUTE(SUBSTITUTE(SUBSTITUTE(SUBSTITUTE(SUBSTITUTE(SUBSTITUTE(SUBSTITUTE(LOWER(V429&amp;""),CHAR(160),"")," ",""),".",""),"-",""),"/",""),"?",""),"_",""),",",""),"[",""),"]",""),"(",""),")",""),"*","")</f>
        <v/>
      </c>
      <c r="AW429" s="61" t="str">
        <f aca="false">SUBSTITUTE(SUBSTITUTE(SUBSTITUTE(SUBSTITUTE(SUBSTITUTE(SUBSTITUTE(SUBSTITUTE(SUBSTITUTE(SUBSTITUTE(SUBSTITUTE(SUBSTITUTE(SUBSTITUTE(SUBSTITUTE(LOWER(Z429&amp;""),CHAR(160),"")," ",""),".",""),"-",""),"/",""),"?",""),"_",""),",",""),"[",""),"]",""),"(",""),")",""),"*","")</f>
        <v/>
      </c>
      <c r="AX429" s="61" t="str">
        <f aca="false">SUBSTITUTE(SUBSTITUTE(SUBSTITUTE(SUBSTITUTE(SUBSTITUTE(SUBSTITUTE(SUBSTITUTE(SUBSTITUTE(SUBSTITUTE(SUBSTITUTE(SUBSTITUTE(SUBSTITUTE(SUBSTITUTE(LOWER(AE429&amp;""),CHAR(160),"")," ",""),".",""),"-",""),"/",""),"?",""),"_",""),",",""),"[",""),"]",""),"(",""),")",""),"*","")</f>
        <v/>
      </c>
      <c r="AY429" s="61" t="str">
        <f aca="false">SUBSTITUTE(SUBSTITUTE(SUBSTITUTE(SUBSTITUTE(SUBSTITUTE(SUBSTITUTE(SUBSTITUTE(SUBSTITUTE(SUBSTITUTE(SUBSTITUTE(SUBSTITUTE(SUBSTITUTE(SUBSTITUTE(LOWER(W429&amp;""),CHAR(160),"")," ",""),".",""),"-",""),"/",""),"?",""),"_",""),",",""),"[",""),"]",""),"(",""),")",""),"*","")</f>
        <v/>
      </c>
      <c r="AZ429" s="61" t="str">
        <f aca="false">SUBSTITUTE(SUBSTITUTE(SUBSTITUTE(SUBSTITUTE(SUBSTITUTE(SUBSTITUTE(SUBSTITUTE(SUBSTITUTE(SUBSTITUTE(SUBSTITUTE(SUBSTITUTE(SUBSTITUTE(SUBSTITUTE(LOWER(AC429&amp;""),CHAR(160),"")," ",""),".",""),"-",""),"/",""),"?",""),"_",""),",",""),"[",""),"]",""),"(",""),")",""),"*","")</f>
        <v/>
      </c>
      <c r="BA429" s="61" t="str">
        <f aca="false">SUBSTITUTE(SUBSTITUTE(SUBSTITUTE(SUBSTITUTE(SUBSTITUTE(SUBSTITUTE(SUBSTITUTE(SUBSTITUTE(SUBSTITUTE(SUBSTITUTE(SUBSTITUTE(SUBSTITUTE(SUBSTITUTE(LOWER(AA429&amp;""),CHAR(160),"")," ",""),".",""),"-",""),"/",""),"?",""),"_",""),",",""),"[",""),"]",""),"(",""),")",""),"*","")</f>
        <v/>
      </c>
      <c r="BB429" s="61" t="str">
        <f aca="false">IF(AND(TRIM(U429)="Pass",ISNUMBER(AF429)),IF(AF429&lt;&gt;0,"INVALID – qty variance: use Fail or Pass after CA",""),"")&amp;IF(AND(TRIM(U429)="Pass after CA",ISNUMBER(AF429)),IF(AF429&lt;&gt;0,"INVALID – after the corrective action the actual qty must equal expected (update Actual)",""),"")&amp;IF(AND(TRIM(U429)="Pass",TRIM(AB429)&lt;&gt;"",TRIM(AB429)&lt;&gt;"Closed"),"INVALID – corrective action not closed: use Fail, then Pass after CA","")&amp;IF(AND(TRIM(AA429)&lt;&gt;"",TRIM(AB429)=""),"INVALID – CA status missing for the recorded corrective action","")&amp;IF(AND(TRIM(U429)="Pass after CA",OR(OR(LEN(BA429)&lt;5,ISNUMBER(MATCH(BA429,L_Placeholder,0))),TRIM(AB429)&lt;&gt;"Closed")),"INVALID – corrective action not recorded/closed","")</f>
        <v/>
      </c>
    </row>
    <row r="430" customFormat="false" ht="39.75" hidden="false" customHeight="true" outlineLevel="0" collapsed="false">
      <c r="A430" s="57" t="s">
        <v>1041</v>
      </c>
      <c r="B430" s="57" t="s">
        <v>269</v>
      </c>
      <c r="C430" s="57" t="str">
        <f aca="false">Flights!$F$17</f>
        <v>MH0138</v>
      </c>
      <c r="D430" s="58" t="n">
        <f aca="false">Flights!$D$17</f>
        <v>46309</v>
      </c>
      <c r="E430" s="57" t="str">
        <f aca="false">Flights!$G$17&amp;"-"&amp;Flights!$H$17</f>
        <v>ADL-KUL</v>
      </c>
      <c r="F430" s="57" t="str">
        <f aca="false">Flights!$K$17</f>
        <v>EY</v>
      </c>
      <c r="G430" s="57" t="s">
        <v>79</v>
      </c>
      <c r="H430" s="57" t="s">
        <v>356</v>
      </c>
      <c r="I430" s="57" t="s">
        <v>372</v>
      </c>
      <c r="J430" s="57" t="s">
        <v>373</v>
      </c>
      <c r="K430" s="67" t="s">
        <v>374</v>
      </c>
      <c r="L430" s="67" t="s">
        <v>360</v>
      </c>
      <c r="M430" s="67"/>
      <c r="N430" s="67" t="s">
        <v>361</v>
      </c>
      <c r="O430" s="67"/>
      <c r="P430" s="57" t="s">
        <v>260</v>
      </c>
      <c r="Q430" s="59" t="n">
        <f aca="false">ROUND((Flights!$AC$17)*1440,0)/1440</f>
        <v>46302.0104166667</v>
      </c>
      <c r="R430" s="59" t="n">
        <f aca="false">Q430+(IF(AND(INDEX(TZ_DSTS,MATCH(P430,TZ_STN,0))&lt;&gt;"",Q430&gt;=INDEX(TZ_DSTS,MATCH(P430,TZ_STN,0)),Q430&lt;INDEX(TZ_DSTE,MATCH(P430,TZ_STN,0))),INDEX(TZ_DST,MATCH(P430,TZ_STN,0)),INDEX(TZ_STD,MATCH(P430,TZ_STN,0))))/24</f>
        <v>46302.4479166667</v>
      </c>
      <c r="S430" s="59" t="n">
        <f aca="false">Q430-T7EarlyD*24/24</f>
        <v>46288.0104166667</v>
      </c>
      <c r="T430" s="60"/>
      <c r="U430" s="60"/>
      <c r="V430" s="60"/>
      <c r="W430" s="61"/>
      <c r="X430" s="60"/>
      <c r="Y430" s="60"/>
      <c r="Z430" s="60"/>
      <c r="AA430" s="60"/>
      <c r="AB430" s="60"/>
      <c r="AC430" s="60"/>
      <c r="AD430" s="66"/>
      <c r="AE430" s="60"/>
      <c r="AF430" s="61" t="str">
        <f aca="false">IF(AND(ISNUMBER(X430),ISNUMBER(Y430)),Y430-X430,"")</f>
        <v/>
      </c>
      <c r="AG430" s="62" t="str">
        <f aca="false">IF(ISNUMBER(AD430),AD430-(IF(AND(INDEX(TZ_DSTS,MATCH(P430,TZ_STN,0))&lt;&gt;"",(AD430-INDEX(TZ_STD,MATCH(P430,TZ_STN,0))/24)&gt;=INDEX(TZ_DSTS,MATCH(P430,TZ_STN,0)),(AD430-INDEX(TZ_STD,MATCH(P430,TZ_STN,0))/24)&lt;INDEX(TZ_DSTE,MATCH(P430,TZ_STN,0))),INDEX(TZ_DST,MATCH(P430,TZ_STN,0)),INDEX(TZ_STD,MATCH(P430,TZ_STN,0))))/24,"")</f>
        <v/>
      </c>
      <c r="AH430" s="65" t="str">
        <f aca="false">IFERROR(IF(N430="N/A – rule","N/A – RULE",IF(TRIM(U430)="N/A",IF(AT430=0,"INVALID – N/A not permitted for this check",IF(AND(TRIM(AB430)&lt;&gt;"",TRIM(AB430)&lt;&gt;"Closed"),"INVALID – corrective action still open",IF(AND(NOT(OR(LEN(AZ430)&lt;15,ISNUMBER(MATCH(AZ430,L_Placeholder,0)))),NOT(OR(LEN(AU430)&lt;2,ISNUMBER(MATCH(AU430,L_Placeholder,0)))),NOT(OR(LEN(AX430)&lt;2,ISNUMBER(MATCH(AX430,L_Placeholder,0)))),TRIM(AE430)&lt;&gt;TRIM(T430)),"N/A – JUSTIFIED","INVALID – N/A needs a real justification (15+ chars), PIC and a different verifier"))),IF(OR(TRIM(U430)="Pass",TRIM(U430)="Pass after CA"),IF(NOT(ISNUMBER(AD430)),"INVALID – completion time missing",IF(OR(LEN(AU430)&lt;2,ISNUMBER(MATCH(AU430,L_Placeholder,0))),"INVALID – PIC missing",IF(OR(LEN(AV430)&lt;2,ISNUMBER(MATCH(AV430,L_Placeholder,0))),"INVALID – result / assessment missing",IF(OR(OR(LEN(AW430)&lt;3,ISNUMBER(MATCH(AW430,L_Placeholder,0))),SUMPRODUCT(--ISNUMBER(SEARCH(L_EvidencePhrase,AW430)))&gt;0),"INVALID – evidence missing, placeholder or not yet on file",IF(OR(LEN(AX430)&lt;2,ISNUMBER(MATCH(AX430,L_Placeholder,0))),"INVALID – verifier missing",IF(AX430=AU430,"INVALID – verifier must be someone other than the PIC",IF(AND(TRIM(U430)="Pass",SUMPRODUCT(--ISNUMBER(SEARCH(L_ResultBad,AV430)))&gt;0),"INVALID – result describes a problem: use Fail, then Pass after CA",IF(AND(AQ430=1,OR(LEN(AY430)&lt;3,ISNUMBER(MATCH(AY430,L_Placeholder,0)))),"INVALID – batch ID missing or placeholder",IF(AND(AR430=1,OR(NOT(ISNUMBER(X430)),NOT(ISNUMBER(Y430)))),"INVALID – expected/actual qty missing",IF(AND(AR430=1,OR(X430&lt;=0,Y430&lt;0)),"INVALID – expected qty must be above 0 and actual not negative",IF(BB430&lt;&gt;"",BB430,IF(AND(AS430=1,Documents!$J$17&lt;&gt;"ON FILE"),"INVALID – GLD not on file (Documents sheet)",IF(AND(AS430=2,Documents!$O$17&lt;&gt;"ON FILE"),"INVALID – menu checklist not on file (Documents sheet)",IF(AND(AS430=3,NOT(ISNUMBER(Flights!$AX$17))),"INVALID – enter carrying flight KUL departure (Flights AX)",IF(AND(AS430=3,OR(Flights!$AZ$17&gt;Flights!$AA$17,Flights!$AX$17&lt;Flights!$AA$17-3)),"INVALID – carrying flight (Flights AX) cannot arrive before this leg's STD, or is over 3 days early",IF(AG430&gt;AsOfUTC,"INVALID – completion time is in the future",IF(AND(ISNUMBER(S430),AG430&lt;S430),IF(H430="Physical uplift","INVALID – before uplift window (cannot confirm loading)","INVALID – before valid window"),IF(AG430&gt;Flights!$AA$17,"INVALID – completed after departure (cannot establish readiness)",IF(AND(H430="Preparation",AG430&gt;IF(ISNUMBER(Flights!$BA$17),MIN(Flights!$BA$17,Flights!$AA$17),Flights!$AA$17)),"INVALID – completed after loading / departure (cannot establish readiness)",IF(AND(H430="Physical uplift",AG430&gt;Q430),"INVALID – recorded after the loading flight departed",IF(AG430&gt;Q430,"COMPLETE – LATE","COMPLETE"))))))))))))))))))))),IF(TRIM(U430)="Fail","FAIL – DISCREPANCY",IF(AND(TRIM(U430)&lt;&gt;"",TRIM(U430)&lt;&gt;"Not started",TRIM(U430)&lt;&gt;"In progress"),"INVALID – unrecognised status (use the list)",IF(AsOfUTC&gt;Q430,"OVERDUE",IF(N430="Clarification required","OPEN – CLARIFICATION","OPEN"))))))),"INVALID – error value in an input cell")</f>
        <v>OPEN</v>
      </c>
      <c r="AI430" s="61" t="n">
        <f aca="false">IF(OR(AH430="N/A – RULE",AH430="N/A – JUSTIFIED"),0,1)</f>
        <v>1</v>
      </c>
      <c r="AJ430" s="61" t="n">
        <f aca="false">IF(LEFT(AH430,8)="COMPLETE",1,0)</f>
        <v>0</v>
      </c>
      <c r="AK430" s="61" t="n">
        <f aca="false">IF(AND(AI430=1,AJ430=0,AsOfUTC&gt;Q430),1,0)</f>
        <v>0</v>
      </c>
      <c r="AL430" s="61" t="n">
        <f aca="false">IFERROR(IF(AND(AI430=1,OR(TRIM(U430)="Fail",AND(TRIM(AB430)&lt;&gt;"",TRIM(AB430)&lt;&gt;"Closed"),AND(ISNUMBER(AF430),AF430&lt;&gt;0,TRIM(U430)&lt;&gt;"Pass after CA"))),1,0),1)</f>
        <v>0</v>
      </c>
      <c r="AM430" s="61" t="n">
        <f aca="false">IF(LEFT(AH430,7)="INVALID",1,0)</f>
        <v>0</v>
      </c>
      <c r="AN430" s="61" t="n">
        <f aca="false">IF(AND(N430="Clarification required",AI430=1,AJ430=0),1,0)</f>
        <v>0</v>
      </c>
      <c r="AO430" s="61" t="str">
        <f aca="false">IF(AK430=1,SUM(AK$5:AK430),"")</f>
        <v/>
      </c>
      <c r="AP430" s="61" t="str">
        <f aca="false">IF(AL430=1,SUM(AL$5:AL430),"")</f>
        <v/>
      </c>
      <c r="AQ430" s="61" t="n">
        <v>0</v>
      </c>
      <c r="AR430" s="61" t="n">
        <v>0</v>
      </c>
      <c r="AS430" s="61" t="n">
        <v>0</v>
      </c>
      <c r="AT430" s="61" t="n">
        <v>0</v>
      </c>
      <c r="AU430" s="61" t="str">
        <f aca="false">SUBSTITUTE(SUBSTITUTE(SUBSTITUTE(SUBSTITUTE(SUBSTITUTE(SUBSTITUTE(SUBSTITUTE(SUBSTITUTE(SUBSTITUTE(SUBSTITUTE(SUBSTITUTE(SUBSTITUTE(SUBSTITUTE(LOWER(T430&amp;""),CHAR(160),"")," ",""),".",""),"-",""),"/",""),"?",""),"_",""),",",""),"[",""),"]",""),"(",""),")",""),"*","")</f>
        <v/>
      </c>
      <c r="AV430" s="61" t="str">
        <f aca="false">SUBSTITUTE(SUBSTITUTE(SUBSTITUTE(SUBSTITUTE(SUBSTITUTE(SUBSTITUTE(SUBSTITUTE(SUBSTITUTE(SUBSTITUTE(SUBSTITUTE(SUBSTITUTE(SUBSTITUTE(SUBSTITUTE(LOWER(V430&amp;""),CHAR(160),"")," ",""),".",""),"-",""),"/",""),"?",""),"_",""),",",""),"[",""),"]",""),"(",""),")",""),"*","")</f>
        <v/>
      </c>
      <c r="AW430" s="61" t="str">
        <f aca="false">SUBSTITUTE(SUBSTITUTE(SUBSTITUTE(SUBSTITUTE(SUBSTITUTE(SUBSTITUTE(SUBSTITUTE(SUBSTITUTE(SUBSTITUTE(SUBSTITUTE(SUBSTITUTE(SUBSTITUTE(SUBSTITUTE(LOWER(Z430&amp;""),CHAR(160),"")," ",""),".",""),"-",""),"/",""),"?",""),"_",""),",",""),"[",""),"]",""),"(",""),")",""),"*","")</f>
        <v/>
      </c>
      <c r="AX430" s="61" t="str">
        <f aca="false">SUBSTITUTE(SUBSTITUTE(SUBSTITUTE(SUBSTITUTE(SUBSTITUTE(SUBSTITUTE(SUBSTITUTE(SUBSTITUTE(SUBSTITUTE(SUBSTITUTE(SUBSTITUTE(SUBSTITUTE(SUBSTITUTE(LOWER(AE430&amp;""),CHAR(160),"")," ",""),".",""),"-",""),"/",""),"?",""),"_",""),",",""),"[",""),"]",""),"(",""),")",""),"*","")</f>
        <v/>
      </c>
      <c r="AY430" s="61" t="str">
        <f aca="false">SUBSTITUTE(SUBSTITUTE(SUBSTITUTE(SUBSTITUTE(SUBSTITUTE(SUBSTITUTE(SUBSTITUTE(SUBSTITUTE(SUBSTITUTE(SUBSTITUTE(SUBSTITUTE(SUBSTITUTE(SUBSTITUTE(LOWER(W430&amp;""),CHAR(160),"")," ",""),".",""),"-",""),"/",""),"?",""),"_",""),",",""),"[",""),"]",""),"(",""),")",""),"*","")</f>
        <v/>
      </c>
      <c r="AZ430" s="61" t="str">
        <f aca="false">SUBSTITUTE(SUBSTITUTE(SUBSTITUTE(SUBSTITUTE(SUBSTITUTE(SUBSTITUTE(SUBSTITUTE(SUBSTITUTE(SUBSTITUTE(SUBSTITUTE(SUBSTITUTE(SUBSTITUTE(SUBSTITUTE(LOWER(AC430&amp;""),CHAR(160),"")," ",""),".",""),"-",""),"/",""),"?",""),"_",""),",",""),"[",""),"]",""),"(",""),")",""),"*","")</f>
        <v/>
      </c>
      <c r="BA430" s="61" t="str">
        <f aca="false">SUBSTITUTE(SUBSTITUTE(SUBSTITUTE(SUBSTITUTE(SUBSTITUTE(SUBSTITUTE(SUBSTITUTE(SUBSTITUTE(SUBSTITUTE(SUBSTITUTE(SUBSTITUTE(SUBSTITUTE(SUBSTITUTE(LOWER(AA430&amp;""),CHAR(160),"")," ",""),".",""),"-",""),"/",""),"?",""),"_",""),",",""),"[",""),"]",""),"(",""),")",""),"*","")</f>
        <v/>
      </c>
      <c r="BB430" s="61" t="str">
        <f aca="false">IF(AND(TRIM(U430)="Pass",ISNUMBER(AF430)),IF(AF430&lt;&gt;0,"INVALID – qty variance: use Fail or Pass after CA",""),"")&amp;IF(AND(TRIM(U430)="Pass after CA",ISNUMBER(AF430)),IF(AF430&lt;&gt;0,"INVALID – after the corrective action the actual qty must equal expected (update Actual)",""),"")&amp;IF(AND(TRIM(U430)="Pass",TRIM(AB430)&lt;&gt;"",TRIM(AB430)&lt;&gt;"Closed"),"INVALID – corrective action not closed: use Fail, then Pass after CA","")&amp;IF(AND(TRIM(AA430)&lt;&gt;"",TRIM(AB430)=""),"INVALID – CA status missing for the recorded corrective action","")&amp;IF(AND(TRIM(U430)="Pass after CA",OR(OR(LEN(BA430)&lt;5,ISNUMBER(MATCH(BA430,L_Placeholder,0))),TRIM(AB430)&lt;&gt;"Closed")),"INVALID – corrective action not recorded/closed","")</f>
        <v/>
      </c>
    </row>
    <row r="431" customFormat="false" ht="39.75" hidden="false" customHeight="true" outlineLevel="0" collapsed="false">
      <c r="A431" s="57" t="s">
        <v>1042</v>
      </c>
      <c r="B431" s="57" t="s">
        <v>269</v>
      </c>
      <c r="C431" s="57" t="str">
        <f aca="false">Flights!$F$17</f>
        <v>MH0138</v>
      </c>
      <c r="D431" s="58" t="n">
        <f aca="false">Flights!$D$17</f>
        <v>46309</v>
      </c>
      <c r="E431" s="57" t="str">
        <f aca="false">Flights!$G$17&amp;"-"&amp;Flights!$H$17</f>
        <v>ADL-KUL</v>
      </c>
      <c r="F431" s="57" t="str">
        <f aca="false">Flights!$K$17</f>
        <v>EY</v>
      </c>
      <c r="G431" s="57" t="s">
        <v>79</v>
      </c>
      <c r="H431" s="57" t="s">
        <v>356</v>
      </c>
      <c r="I431" s="57" t="s">
        <v>376</v>
      </c>
      <c r="J431" s="57" t="s">
        <v>377</v>
      </c>
      <c r="K431" s="67" t="s">
        <v>378</v>
      </c>
      <c r="L431" s="67" t="s">
        <v>360</v>
      </c>
      <c r="M431" s="67"/>
      <c r="N431" s="67" t="s">
        <v>361</v>
      </c>
      <c r="O431" s="67"/>
      <c r="P431" s="57" t="s">
        <v>260</v>
      </c>
      <c r="Q431" s="59" t="n">
        <f aca="false">ROUND((Flights!$AC$17)*1440,0)/1440</f>
        <v>46302.0104166667</v>
      </c>
      <c r="R431" s="59" t="n">
        <f aca="false">Q431+(IF(AND(INDEX(TZ_DSTS,MATCH(P431,TZ_STN,0))&lt;&gt;"",Q431&gt;=INDEX(TZ_DSTS,MATCH(P431,TZ_STN,0)),Q431&lt;INDEX(TZ_DSTE,MATCH(P431,TZ_STN,0))),INDEX(TZ_DST,MATCH(P431,TZ_STN,0)),INDEX(TZ_STD,MATCH(P431,TZ_STN,0))))/24</f>
        <v>46302.4479166667</v>
      </c>
      <c r="S431" s="59" t="n">
        <f aca="false">Q431-T7EarlyD*24/24</f>
        <v>46288.0104166667</v>
      </c>
      <c r="T431" s="60"/>
      <c r="U431" s="60"/>
      <c r="V431" s="60"/>
      <c r="W431" s="61"/>
      <c r="X431" s="60"/>
      <c r="Y431" s="60"/>
      <c r="Z431" s="60"/>
      <c r="AA431" s="60"/>
      <c r="AB431" s="60"/>
      <c r="AC431" s="60"/>
      <c r="AD431" s="66"/>
      <c r="AE431" s="60"/>
      <c r="AF431" s="61" t="str">
        <f aca="false">IF(AND(ISNUMBER(X431),ISNUMBER(Y431)),Y431-X431,"")</f>
        <v/>
      </c>
      <c r="AG431" s="62" t="str">
        <f aca="false">IF(ISNUMBER(AD431),AD431-(IF(AND(INDEX(TZ_DSTS,MATCH(P431,TZ_STN,0))&lt;&gt;"",(AD431-INDEX(TZ_STD,MATCH(P431,TZ_STN,0))/24)&gt;=INDEX(TZ_DSTS,MATCH(P431,TZ_STN,0)),(AD431-INDEX(TZ_STD,MATCH(P431,TZ_STN,0))/24)&lt;INDEX(TZ_DSTE,MATCH(P431,TZ_STN,0))),INDEX(TZ_DST,MATCH(P431,TZ_STN,0)),INDEX(TZ_STD,MATCH(P431,TZ_STN,0))))/24,"")</f>
        <v/>
      </c>
      <c r="AH431" s="65" t="str">
        <f aca="false">IFERROR(IF(N431="N/A – rule","N/A – RULE",IF(TRIM(U431)="N/A",IF(AT431=0,"INVALID – N/A not permitted for this check",IF(AND(TRIM(AB431)&lt;&gt;"",TRIM(AB431)&lt;&gt;"Closed"),"INVALID – corrective action still open",IF(AND(NOT(OR(LEN(AZ431)&lt;15,ISNUMBER(MATCH(AZ431,L_Placeholder,0)))),NOT(OR(LEN(AU431)&lt;2,ISNUMBER(MATCH(AU431,L_Placeholder,0)))),NOT(OR(LEN(AX431)&lt;2,ISNUMBER(MATCH(AX431,L_Placeholder,0)))),TRIM(AE431)&lt;&gt;TRIM(T431)),"N/A – JUSTIFIED","INVALID – N/A needs a real justification (15+ chars), PIC and a different verifier"))),IF(OR(TRIM(U431)="Pass",TRIM(U431)="Pass after CA"),IF(NOT(ISNUMBER(AD431)),"INVALID – completion time missing",IF(OR(LEN(AU431)&lt;2,ISNUMBER(MATCH(AU431,L_Placeholder,0))),"INVALID – PIC missing",IF(OR(LEN(AV431)&lt;2,ISNUMBER(MATCH(AV431,L_Placeholder,0))),"INVALID – result / assessment missing",IF(OR(OR(LEN(AW431)&lt;3,ISNUMBER(MATCH(AW431,L_Placeholder,0))),SUMPRODUCT(--ISNUMBER(SEARCH(L_EvidencePhrase,AW431)))&gt;0),"INVALID – evidence missing, placeholder or not yet on file",IF(OR(LEN(AX431)&lt;2,ISNUMBER(MATCH(AX431,L_Placeholder,0))),"INVALID – verifier missing",IF(AX431=AU431,"INVALID – verifier must be someone other than the PIC",IF(AND(TRIM(U431)="Pass",SUMPRODUCT(--ISNUMBER(SEARCH(L_ResultBad,AV431)))&gt;0),"INVALID – result describes a problem: use Fail, then Pass after CA",IF(AND(AQ431=1,OR(LEN(AY431)&lt;3,ISNUMBER(MATCH(AY431,L_Placeholder,0)))),"INVALID – batch ID missing or placeholder",IF(AND(AR431=1,OR(NOT(ISNUMBER(X431)),NOT(ISNUMBER(Y431)))),"INVALID – expected/actual qty missing",IF(AND(AR431=1,OR(X431&lt;=0,Y431&lt;0)),"INVALID – expected qty must be above 0 and actual not negative",IF(BB431&lt;&gt;"",BB431,IF(AND(AS431=1,Documents!$J$17&lt;&gt;"ON FILE"),"INVALID – GLD not on file (Documents sheet)",IF(AND(AS431=2,Documents!$O$17&lt;&gt;"ON FILE"),"INVALID – menu checklist not on file (Documents sheet)",IF(AND(AS431=3,NOT(ISNUMBER(Flights!$AX$17))),"INVALID – enter carrying flight KUL departure (Flights AX)",IF(AND(AS431=3,OR(Flights!$AZ$17&gt;Flights!$AA$17,Flights!$AX$17&lt;Flights!$AA$17-3)),"INVALID – carrying flight (Flights AX) cannot arrive before this leg's STD, or is over 3 days early",IF(AG431&gt;AsOfUTC,"INVALID – completion time is in the future",IF(AND(ISNUMBER(S431),AG431&lt;S431),IF(H431="Physical uplift","INVALID – before uplift window (cannot confirm loading)","INVALID – before valid window"),IF(AG431&gt;Flights!$AA$17,"INVALID – completed after departure (cannot establish readiness)",IF(AND(H431="Preparation",AG431&gt;IF(ISNUMBER(Flights!$BA$17),MIN(Flights!$BA$17,Flights!$AA$17),Flights!$AA$17)),"INVALID – completed after loading / departure (cannot establish readiness)",IF(AND(H431="Physical uplift",AG431&gt;Q431),"INVALID – recorded after the loading flight departed",IF(AG431&gt;Q431,"COMPLETE – LATE","COMPLETE"))))))))))))))))))))),IF(TRIM(U431)="Fail","FAIL – DISCREPANCY",IF(AND(TRIM(U431)&lt;&gt;"",TRIM(U431)&lt;&gt;"Not started",TRIM(U431)&lt;&gt;"In progress"),"INVALID – unrecognised status (use the list)",IF(AsOfUTC&gt;Q431,"OVERDUE",IF(N431="Clarification required","OPEN – CLARIFICATION","OPEN"))))))),"INVALID – error value in an input cell")</f>
        <v>OPEN</v>
      </c>
      <c r="AI431" s="61" t="n">
        <f aca="false">IF(OR(AH431="N/A – RULE",AH431="N/A – JUSTIFIED"),0,1)</f>
        <v>1</v>
      </c>
      <c r="AJ431" s="61" t="n">
        <f aca="false">IF(LEFT(AH431,8)="COMPLETE",1,0)</f>
        <v>0</v>
      </c>
      <c r="AK431" s="61" t="n">
        <f aca="false">IF(AND(AI431=1,AJ431=0,AsOfUTC&gt;Q431),1,0)</f>
        <v>0</v>
      </c>
      <c r="AL431" s="61" t="n">
        <f aca="false">IFERROR(IF(AND(AI431=1,OR(TRIM(U431)="Fail",AND(TRIM(AB431)&lt;&gt;"",TRIM(AB431)&lt;&gt;"Closed"),AND(ISNUMBER(AF431),AF431&lt;&gt;0,TRIM(U431)&lt;&gt;"Pass after CA"))),1,0),1)</f>
        <v>0</v>
      </c>
      <c r="AM431" s="61" t="n">
        <f aca="false">IF(LEFT(AH431,7)="INVALID",1,0)</f>
        <v>0</v>
      </c>
      <c r="AN431" s="61" t="n">
        <f aca="false">IF(AND(N431="Clarification required",AI431=1,AJ431=0),1,0)</f>
        <v>0</v>
      </c>
      <c r="AO431" s="61" t="str">
        <f aca="false">IF(AK431=1,SUM(AK$5:AK431),"")</f>
        <v/>
      </c>
      <c r="AP431" s="61" t="str">
        <f aca="false">IF(AL431=1,SUM(AL$5:AL431),"")</f>
        <v/>
      </c>
      <c r="AQ431" s="61" t="n">
        <v>0</v>
      </c>
      <c r="AR431" s="61" t="n">
        <v>0</v>
      </c>
      <c r="AS431" s="61" t="n">
        <v>0</v>
      </c>
      <c r="AT431" s="61" t="n">
        <v>0</v>
      </c>
      <c r="AU431" s="61" t="str">
        <f aca="false">SUBSTITUTE(SUBSTITUTE(SUBSTITUTE(SUBSTITUTE(SUBSTITUTE(SUBSTITUTE(SUBSTITUTE(SUBSTITUTE(SUBSTITUTE(SUBSTITUTE(SUBSTITUTE(SUBSTITUTE(SUBSTITUTE(LOWER(T431&amp;""),CHAR(160),"")," ",""),".",""),"-",""),"/",""),"?",""),"_",""),",",""),"[",""),"]",""),"(",""),")",""),"*","")</f>
        <v/>
      </c>
      <c r="AV431" s="61" t="str">
        <f aca="false">SUBSTITUTE(SUBSTITUTE(SUBSTITUTE(SUBSTITUTE(SUBSTITUTE(SUBSTITUTE(SUBSTITUTE(SUBSTITUTE(SUBSTITUTE(SUBSTITUTE(SUBSTITUTE(SUBSTITUTE(SUBSTITUTE(LOWER(V431&amp;""),CHAR(160),"")," ",""),".",""),"-",""),"/",""),"?",""),"_",""),",",""),"[",""),"]",""),"(",""),")",""),"*","")</f>
        <v/>
      </c>
      <c r="AW431" s="61" t="str">
        <f aca="false">SUBSTITUTE(SUBSTITUTE(SUBSTITUTE(SUBSTITUTE(SUBSTITUTE(SUBSTITUTE(SUBSTITUTE(SUBSTITUTE(SUBSTITUTE(SUBSTITUTE(SUBSTITUTE(SUBSTITUTE(SUBSTITUTE(LOWER(Z431&amp;""),CHAR(160),"")," ",""),".",""),"-",""),"/",""),"?",""),"_",""),",",""),"[",""),"]",""),"(",""),")",""),"*","")</f>
        <v/>
      </c>
      <c r="AX431" s="61" t="str">
        <f aca="false">SUBSTITUTE(SUBSTITUTE(SUBSTITUTE(SUBSTITUTE(SUBSTITUTE(SUBSTITUTE(SUBSTITUTE(SUBSTITUTE(SUBSTITUTE(SUBSTITUTE(SUBSTITUTE(SUBSTITUTE(SUBSTITUTE(LOWER(AE431&amp;""),CHAR(160),"")," ",""),".",""),"-",""),"/",""),"?",""),"_",""),",",""),"[",""),"]",""),"(",""),")",""),"*","")</f>
        <v/>
      </c>
      <c r="AY431" s="61" t="str">
        <f aca="false">SUBSTITUTE(SUBSTITUTE(SUBSTITUTE(SUBSTITUTE(SUBSTITUTE(SUBSTITUTE(SUBSTITUTE(SUBSTITUTE(SUBSTITUTE(SUBSTITUTE(SUBSTITUTE(SUBSTITUTE(SUBSTITUTE(LOWER(W431&amp;""),CHAR(160),"")," ",""),".",""),"-",""),"/",""),"?",""),"_",""),",",""),"[",""),"]",""),"(",""),")",""),"*","")</f>
        <v/>
      </c>
      <c r="AZ431" s="61" t="str">
        <f aca="false">SUBSTITUTE(SUBSTITUTE(SUBSTITUTE(SUBSTITUTE(SUBSTITUTE(SUBSTITUTE(SUBSTITUTE(SUBSTITUTE(SUBSTITUTE(SUBSTITUTE(SUBSTITUTE(SUBSTITUTE(SUBSTITUTE(LOWER(AC431&amp;""),CHAR(160),"")," ",""),".",""),"-",""),"/",""),"?",""),"_",""),",",""),"[",""),"]",""),"(",""),")",""),"*","")</f>
        <v/>
      </c>
      <c r="BA431" s="61" t="str">
        <f aca="false">SUBSTITUTE(SUBSTITUTE(SUBSTITUTE(SUBSTITUTE(SUBSTITUTE(SUBSTITUTE(SUBSTITUTE(SUBSTITUTE(SUBSTITUTE(SUBSTITUTE(SUBSTITUTE(SUBSTITUTE(SUBSTITUTE(LOWER(AA431&amp;""),CHAR(160),"")," ",""),".",""),"-",""),"/",""),"?",""),"_",""),",",""),"[",""),"]",""),"(",""),")",""),"*","")</f>
        <v/>
      </c>
      <c r="BB431" s="61" t="str">
        <f aca="false">IF(AND(TRIM(U431)="Pass",ISNUMBER(AF431)),IF(AF431&lt;&gt;0,"INVALID – qty variance: use Fail or Pass after CA",""),"")&amp;IF(AND(TRIM(U431)="Pass after CA",ISNUMBER(AF431)),IF(AF431&lt;&gt;0,"INVALID – after the corrective action the actual qty must equal expected (update Actual)",""),"")&amp;IF(AND(TRIM(U431)="Pass",TRIM(AB431)&lt;&gt;"",TRIM(AB431)&lt;&gt;"Closed"),"INVALID – corrective action not closed: use Fail, then Pass after CA","")&amp;IF(AND(TRIM(AA431)&lt;&gt;"",TRIM(AB431)=""),"INVALID – CA status missing for the recorded corrective action","")&amp;IF(AND(TRIM(U431)="Pass after CA",OR(OR(LEN(BA431)&lt;5,ISNUMBER(MATCH(BA431,L_Placeholder,0))),TRIM(AB431)&lt;&gt;"Closed")),"INVALID – corrective action not recorded/closed","")</f>
        <v/>
      </c>
    </row>
    <row r="432" customFormat="false" ht="39.75" hidden="false" customHeight="true" outlineLevel="0" collapsed="false">
      <c r="A432" s="57" t="s">
        <v>1043</v>
      </c>
      <c r="B432" s="57" t="s">
        <v>269</v>
      </c>
      <c r="C432" s="57" t="str">
        <f aca="false">Flights!$F$17</f>
        <v>MH0138</v>
      </c>
      <c r="D432" s="58" t="n">
        <f aca="false">Flights!$D$17</f>
        <v>46309</v>
      </c>
      <c r="E432" s="57" t="str">
        <f aca="false">Flights!$G$17&amp;"-"&amp;Flights!$H$17</f>
        <v>ADL-KUL</v>
      </c>
      <c r="F432" s="57" t="str">
        <f aca="false">Flights!$K$17</f>
        <v>EY</v>
      </c>
      <c r="G432" s="57" t="s">
        <v>79</v>
      </c>
      <c r="H432" s="57" t="s">
        <v>356</v>
      </c>
      <c r="I432" s="57" t="s">
        <v>376</v>
      </c>
      <c r="J432" s="57" t="s">
        <v>380</v>
      </c>
      <c r="K432" s="67" t="s">
        <v>381</v>
      </c>
      <c r="L432" s="67" t="s">
        <v>360</v>
      </c>
      <c r="M432" s="67"/>
      <c r="N432" s="67" t="s">
        <v>361</v>
      </c>
      <c r="O432" s="67"/>
      <c r="P432" s="57" t="s">
        <v>260</v>
      </c>
      <c r="Q432" s="59" t="n">
        <f aca="false">ROUND((Flights!$AC$17)*1440,0)/1440</f>
        <v>46302.0104166667</v>
      </c>
      <c r="R432" s="59" t="n">
        <f aca="false">Q432+(IF(AND(INDEX(TZ_DSTS,MATCH(P432,TZ_STN,0))&lt;&gt;"",Q432&gt;=INDEX(TZ_DSTS,MATCH(P432,TZ_STN,0)),Q432&lt;INDEX(TZ_DSTE,MATCH(P432,TZ_STN,0))),INDEX(TZ_DST,MATCH(P432,TZ_STN,0)),INDEX(TZ_STD,MATCH(P432,TZ_STN,0))))/24</f>
        <v>46302.4479166667</v>
      </c>
      <c r="S432" s="59" t="n">
        <f aca="false">Q432-T7EarlyD*24/24</f>
        <v>46288.0104166667</v>
      </c>
      <c r="T432" s="60"/>
      <c r="U432" s="60"/>
      <c r="V432" s="60"/>
      <c r="W432" s="61"/>
      <c r="X432" s="60"/>
      <c r="Y432" s="60"/>
      <c r="Z432" s="60"/>
      <c r="AA432" s="60"/>
      <c r="AB432" s="60"/>
      <c r="AC432" s="60"/>
      <c r="AD432" s="66"/>
      <c r="AE432" s="60"/>
      <c r="AF432" s="61" t="str">
        <f aca="false">IF(AND(ISNUMBER(X432),ISNUMBER(Y432)),Y432-X432,"")</f>
        <v/>
      </c>
      <c r="AG432" s="62" t="str">
        <f aca="false">IF(ISNUMBER(AD432),AD432-(IF(AND(INDEX(TZ_DSTS,MATCH(P432,TZ_STN,0))&lt;&gt;"",(AD432-INDEX(TZ_STD,MATCH(P432,TZ_STN,0))/24)&gt;=INDEX(TZ_DSTS,MATCH(P432,TZ_STN,0)),(AD432-INDEX(TZ_STD,MATCH(P432,TZ_STN,0))/24)&lt;INDEX(TZ_DSTE,MATCH(P432,TZ_STN,0))),INDEX(TZ_DST,MATCH(P432,TZ_STN,0)),INDEX(TZ_STD,MATCH(P432,TZ_STN,0))))/24,"")</f>
        <v/>
      </c>
      <c r="AH432" s="65" t="str">
        <f aca="false">IFERROR(IF(N432="N/A – rule","N/A – RULE",IF(TRIM(U432)="N/A",IF(AT432=0,"INVALID – N/A not permitted for this check",IF(AND(TRIM(AB432)&lt;&gt;"",TRIM(AB432)&lt;&gt;"Closed"),"INVALID – corrective action still open",IF(AND(NOT(OR(LEN(AZ432)&lt;15,ISNUMBER(MATCH(AZ432,L_Placeholder,0)))),NOT(OR(LEN(AU432)&lt;2,ISNUMBER(MATCH(AU432,L_Placeholder,0)))),NOT(OR(LEN(AX432)&lt;2,ISNUMBER(MATCH(AX432,L_Placeholder,0)))),TRIM(AE432)&lt;&gt;TRIM(T432)),"N/A – JUSTIFIED","INVALID – N/A needs a real justification (15+ chars), PIC and a different verifier"))),IF(OR(TRIM(U432)="Pass",TRIM(U432)="Pass after CA"),IF(NOT(ISNUMBER(AD432)),"INVALID – completion time missing",IF(OR(LEN(AU432)&lt;2,ISNUMBER(MATCH(AU432,L_Placeholder,0))),"INVALID – PIC missing",IF(OR(LEN(AV432)&lt;2,ISNUMBER(MATCH(AV432,L_Placeholder,0))),"INVALID – result / assessment missing",IF(OR(OR(LEN(AW432)&lt;3,ISNUMBER(MATCH(AW432,L_Placeholder,0))),SUMPRODUCT(--ISNUMBER(SEARCH(L_EvidencePhrase,AW432)))&gt;0),"INVALID – evidence missing, placeholder or not yet on file",IF(OR(LEN(AX432)&lt;2,ISNUMBER(MATCH(AX432,L_Placeholder,0))),"INVALID – verifier missing",IF(AX432=AU432,"INVALID – verifier must be someone other than the PIC",IF(AND(TRIM(U432)="Pass",SUMPRODUCT(--ISNUMBER(SEARCH(L_ResultBad,AV432)))&gt;0),"INVALID – result describes a problem: use Fail, then Pass after CA",IF(AND(AQ432=1,OR(LEN(AY432)&lt;3,ISNUMBER(MATCH(AY432,L_Placeholder,0)))),"INVALID – batch ID missing or placeholder",IF(AND(AR432=1,OR(NOT(ISNUMBER(X432)),NOT(ISNUMBER(Y432)))),"INVALID – expected/actual qty missing",IF(AND(AR432=1,OR(X432&lt;=0,Y432&lt;0)),"INVALID – expected qty must be above 0 and actual not negative",IF(BB432&lt;&gt;"",BB432,IF(AND(AS432=1,Documents!$J$17&lt;&gt;"ON FILE"),"INVALID – GLD not on file (Documents sheet)",IF(AND(AS432=2,Documents!$O$17&lt;&gt;"ON FILE"),"INVALID – menu checklist not on file (Documents sheet)",IF(AND(AS432=3,NOT(ISNUMBER(Flights!$AX$17))),"INVALID – enter carrying flight KUL departure (Flights AX)",IF(AND(AS432=3,OR(Flights!$AZ$17&gt;Flights!$AA$17,Flights!$AX$17&lt;Flights!$AA$17-3)),"INVALID – carrying flight (Flights AX) cannot arrive before this leg's STD, or is over 3 days early",IF(AG432&gt;AsOfUTC,"INVALID – completion time is in the future",IF(AND(ISNUMBER(S432),AG432&lt;S432),IF(H432="Physical uplift","INVALID – before uplift window (cannot confirm loading)","INVALID – before valid window"),IF(AG432&gt;Flights!$AA$17,"INVALID – completed after departure (cannot establish readiness)",IF(AND(H432="Preparation",AG432&gt;IF(ISNUMBER(Flights!$BA$17),MIN(Flights!$BA$17,Flights!$AA$17),Flights!$AA$17)),"INVALID – completed after loading / departure (cannot establish readiness)",IF(AND(H432="Physical uplift",AG432&gt;Q432),"INVALID – recorded after the loading flight departed",IF(AG432&gt;Q432,"COMPLETE – LATE","COMPLETE"))))))))))))))))))))),IF(TRIM(U432)="Fail","FAIL – DISCREPANCY",IF(AND(TRIM(U432)&lt;&gt;"",TRIM(U432)&lt;&gt;"Not started",TRIM(U432)&lt;&gt;"In progress"),"INVALID – unrecognised status (use the list)",IF(AsOfUTC&gt;Q432,"OVERDUE",IF(N432="Clarification required","OPEN – CLARIFICATION","OPEN"))))))),"INVALID – error value in an input cell")</f>
        <v>OPEN</v>
      </c>
      <c r="AI432" s="61" t="n">
        <f aca="false">IF(OR(AH432="N/A – RULE",AH432="N/A – JUSTIFIED"),0,1)</f>
        <v>1</v>
      </c>
      <c r="AJ432" s="61" t="n">
        <f aca="false">IF(LEFT(AH432,8)="COMPLETE",1,0)</f>
        <v>0</v>
      </c>
      <c r="AK432" s="61" t="n">
        <f aca="false">IF(AND(AI432=1,AJ432=0,AsOfUTC&gt;Q432),1,0)</f>
        <v>0</v>
      </c>
      <c r="AL432" s="61" t="n">
        <f aca="false">IFERROR(IF(AND(AI432=1,OR(TRIM(U432)="Fail",AND(TRIM(AB432)&lt;&gt;"",TRIM(AB432)&lt;&gt;"Closed"),AND(ISNUMBER(AF432),AF432&lt;&gt;0,TRIM(U432)&lt;&gt;"Pass after CA"))),1,0),1)</f>
        <v>0</v>
      </c>
      <c r="AM432" s="61" t="n">
        <f aca="false">IF(LEFT(AH432,7)="INVALID",1,0)</f>
        <v>0</v>
      </c>
      <c r="AN432" s="61" t="n">
        <f aca="false">IF(AND(N432="Clarification required",AI432=1,AJ432=0),1,0)</f>
        <v>0</v>
      </c>
      <c r="AO432" s="61" t="str">
        <f aca="false">IF(AK432=1,SUM(AK$5:AK432),"")</f>
        <v/>
      </c>
      <c r="AP432" s="61" t="str">
        <f aca="false">IF(AL432=1,SUM(AL$5:AL432),"")</f>
        <v/>
      </c>
      <c r="AQ432" s="61" t="n">
        <v>0</v>
      </c>
      <c r="AR432" s="61" t="n">
        <v>0</v>
      </c>
      <c r="AS432" s="61" t="n">
        <v>0</v>
      </c>
      <c r="AT432" s="61" t="n">
        <v>0</v>
      </c>
      <c r="AU432" s="61" t="str">
        <f aca="false">SUBSTITUTE(SUBSTITUTE(SUBSTITUTE(SUBSTITUTE(SUBSTITUTE(SUBSTITUTE(SUBSTITUTE(SUBSTITUTE(SUBSTITUTE(SUBSTITUTE(SUBSTITUTE(SUBSTITUTE(SUBSTITUTE(LOWER(T432&amp;""),CHAR(160),"")," ",""),".",""),"-",""),"/",""),"?",""),"_",""),",",""),"[",""),"]",""),"(",""),")",""),"*","")</f>
        <v/>
      </c>
      <c r="AV432" s="61" t="str">
        <f aca="false">SUBSTITUTE(SUBSTITUTE(SUBSTITUTE(SUBSTITUTE(SUBSTITUTE(SUBSTITUTE(SUBSTITUTE(SUBSTITUTE(SUBSTITUTE(SUBSTITUTE(SUBSTITUTE(SUBSTITUTE(SUBSTITUTE(LOWER(V432&amp;""),CHAR(160),"")," ",""),".",""),"-",""),"/",""),"?",""),"_",""),",",""),"[",""),"]",""),"(",""),")",""),"*","")</f>
        <v/>
      </c>
      <c r="AW432" s="61" t="str">
        <f aca="false">SUBSTITUTE(SUBSTITUTE(SUBSTITUTE(SUBSTITUTE(SUBSTITUTE(SUBSTITUTE(SUBSTITUTE(SUBSTITUTE(SUBSTITUTE(SUBSTITUTE(SUBSTITUTE(SUBSTITUTE(SUBSTITUTE(LOWER(Z432&amp;""),CHAR(160),"")," ",""),".",""),"-",""),"/",""),"?",""),"_",""),",",""),"[",""),"]",""),"(",""),")",""),"*","")</f>
        <v/>
      </c>
      <c r="AX432" s="61" t="str">
        <f aca="false">SUBSTITUTE(SUBSTITUTE(SUBSTITUTE(SUBSTITUTE(SUBSTITUTE(SUBSTITUTE(SUBSTITUTE(SUBSTITUTE(SUBSTITUTE(SUBSTITUTE(SUBSTITUTE(SUBSTITUTE(SUBSTITUTE(LOWER(AE432&amp;""),CHAR(160),"")," ",""),".",""),"-",""),"/",""),"?",""),"_",""),",",""),"[",""),"]",""),"(",""),")",""),"*","")</f>
        <v/>
      </c>
      <c r="AY432" s="61" t="str">
        <f aca="false">SUBSTITUTE(SUBSTITUTE(SUBSTITUTE(SUBSTITUTE(SUBSTITUTE(SUBSTITUTE(SUBSTITUTE(SUBSTITUTE(SUBSTITUTE(SUBSTITUTE(SUBSTITUTE(SUBSTITUTE(SUBSTITUTE(LOWER(W432&amp;""),CHAR(160),"")," ",""),".",""),"-",""),"/",""),"?",""),"_",""),",",""),"[",""),"]",""),"(",""),")",""),"*","")</f>
        <v/>
      </c>
      <c r="AZ432" s="61" t="str">
        <f aca="false">SUBSTITUTE(SUBSTITUTE(SUBSTITUTE(SUBSTITUTE(SUBSTITUTE(SUBSTITUTE(SUBSTITUTE(SUBSTITUTE(SUBSTITUTE(SUBSTITUTE(SUBSTITUTE(SUBSTITUTE(SUBSTITUTE(LOWER(AC432&amp;""),CHAR(160),"")," ",""),".",""),"-",""),"/",""),"?",""),"_",""),",",""),"[",""),"]",""),"(",""),")",""),"*","")</f>
        <v/>
      </c>
      <c r="BA432" s="61" t="str">
        <f aca="false">SUBSTITUTE(SUBSTITUTE(SUBSTITUTE(SUBSTITUTE(SUBSTITUTE(SUBSTITUTE(SUBSTITUTE(SUBSTITUTE(SUBSTITUTE(SUBSTITUTE(SUBSTITUTE(SUBSTITUTE(SUBSTITUTE(LOWER(AA432&amp;""),CHAR(160),"")," ",""),".",""),"-",""),"/",""),"?",""),"_",""),",",""),"[",""),"]",""),"(",""),")",""),"*","")</f>
        <v/>
      </c>
      <c r="BB432" s="61" t="str">
        <f aca="false">IF(AND(TRIM(U432)="Pass",ISNUMBER(AF432)),IF(AF432&lt;&gt;0,"INVALID – qty variance: use Fail or Pass after CA",""),"")&amp;IF(AND(TRIM(U432)="Pass after CA",ISNUMBER(AF432)),IF(AF432&lt;&gt;0,"INVALID – after the corrective action the actual qty must equal expected (update Actual)",""),"")&amp;IF(AND(TRIM(U432)="Pass",TRIM(AB432)&lt;&gt;"",TRIM(AB432)&lt;&gt;"Closed"),"INVALID – corrective action not closed: use Fail, then Pass after CA","")&amp;IF(AND(TRIM(AA432)&lt;&gt;"",TRIM(AB432)=""),"INVALID – CA status missing for the recorded corrective action","")&amp;IF(AND(TRIM(U432)="Pass after CA",OR(OR(LEN(BA432)&lt;5,ISNUMBER(MATCH(BA432,L_Placeholder,0))),TRIM(AB432)&lt;&gt;"Closed")),"INVALID – corrective action not recorded/closed","")</f>
        <v/>
      </c>
    </row>
    <row r="433" customFormat="false" ht="39.75" hidden="false" customHeight="true" outlineLevel="0" collapsed="false">
      <c r="A433" s="57" t="s">
        <v>1044</v>
      </c>
      <c r="B433" s="57" t="s">
        <v>269</v>
      </c>
      <c r="C433" s="57" t="str">
        <f aca="false">Flights!$F$17</f>
        <v>MH0138</v>
      </c>
      <c r="D433" s="58" t="n">
        <f aca="false">Flights!$D$17</f>
        <v>46309</v>
      </c>
      <c r="E433" s="57" t="str">
        <f aca="false">Flights!$G$17&amp;"-"&amp;Flights!$H$17</f>
        <v>ADL-KUL</v>
      </c>
      <c r="F433" s="57" t="str">
        <f aca="false">Flights!$K$17</f>
        <v>EY</v>
      </c>
      <c r="G433" s="57" t="s">
        <v>79</v>
      </c>
      <c r="H433" s="57" t="s">
        <v>356</v>
      </c>
      <c r="I433" s="57" t="s">
        <v>383</v>
      </c>
      <c r="J433" s="57" t="s">
        <v>384</v>
      </c>
      <c r="K433" s="67" t="s">
        <v>385</v>
      </c>
      <c r="L433" s="67" t="s">
        <v>360</v>
      </c>
      <c r="M433" s="67"/>
      <c r="N433" s="67" t="s">
        <v>361</v>
      </c>
      <c r="O433" s="67"/>
      <c r="P433" s="57" t="s">
        <v>260</v>
      </c>
      <c r="Q433" s="59" t="n">
        <f aca="false">ROUND((Flights!$AC$17)*1440,0)/1440</f>
        <v>46302.0104166667</v>
      </c>
      <c r="R433" s="59" t="n">
        <f aca="false">Q433+(IF(AND(INDEX(TZ_DSTS,MATCH(P433,TZ_STN,0))&lt;&gt;"",Q433&gt;=INDEX(TZ_DSTS,MATCH(P433,TZ_STN,0)),Q433&lt;INDEX(TZ_DSTE,MATCH(P433,TZ_STN,0))),INDEX(TZ_DST,MATCH(P433,TZ_STN,0)),INDEX(TZ_STD,MATCH(P433,TZ_STN,0))))/24</f>
        <v>46302.4479166667</v>
      </c>
      <c r="S433" s="59" t="n">
        <f aca="false">Q433-T7EarlyD*24/24</f>
        <v>46288.0104166667</v>
      </c>
      <c r="T433" s="60"/>
      <c r="U433" s="60"/>
      <c r="V433" s="60"/>
      <c r="W433" s="61"/>
      <c r="X433" s="60"/>
      <c r="Y433" s="60"/>
      <c r="Z433" s="60"/>
      <c r="AA433" s="60"/>
      <c r="AB433" s="60"/>
      <c r="AC433" s="60"/>
      <c r="AD433" s="66"/>
      <c r="AE433" s="60"/>
      <c r="AF433" s="61" t="str">
        <f aca="false">IF(AND(ISNUMBER(X433),ISNUMBER(Y433)),Y433-X433,"")</f>
        <v/>
      </c>
      <c r="AG433" s="62" t="str">
        <f aca="false">IF(ISNUMBER(AD433),AD433-(IF(AND(INDEX(TZ_DSTS,MATCH(P433,TZ_STN,0))&lt;&gt;"",(AD433-INDEX(TZ_STD,MATCH(P433,TZ_STN,0))/24)&gt;=INDEX(TZ_DSTS,MATCH(P433,TZ_STN,0)),(AD433-INDEX(TZ_STD,MATCH(P433,TZ_STN,0))/24)&lt;INDEX(TZ_DSTE,MATCH(P433,TZ_STN,0))),INDEX(TZ_DST,MATCH(P433,TZ_STN,0)),INDEX(TZ_STD,MATCH(P433,TZ_STN,0))))/24,"")</f>
        <v/>
      </c>
      <c r="AH433" s="65" t="str">
        <f aca="false">IFERROR(IF(N433="N/A – rule","N/A – RULE",IF(TRIM(U433)="N/A",IF(AT433=0,"INVALID – N/A not permitted for this check",IF(AND(TRIM(AB433)&lt;&gt;"",TRIM(AB433)&lt;&gt;"Closed"),"INVALID – corrective action still open",IF(AND(NOT(OR(LEN(AZ433)&lt;15,ISNUMBER(MATCH(AZ433,L_Placeholder,0)))),NOT(OR(LEN(AU433)&lt;2,ISNUMBER(MATCH(AU433,L_Placeholder,0)))),NOT(OR(LEN(AX433)&lt;2,ISNUMBER(MATCH(AX433,L_Placeholder,0)))),TRIM(AE433)&lt;&gt;TRIM(T433)),"N/A – JUSTIFIED","INVALID – N/A needs a real justification (15+ chars), PIC and a different verifier"))),IF(OR(TRIM(U433)="Pass",TRIM(U433)="Pass after CA"),IF(NOT(ISNUMBER(AD433)),"INVALID – completion time missing",IF(OR(LEN(AU433)&lt;2,ISNUMBER(MATCH(AU433,L_Placeholder,0))),"INVALID – PIC missing",IF(OR(LEN(AV433)&lt;2,ISNUMBER(MATCH(AV433,L_Placeholder,0))),"INVALID – result / assessment missing",IF(OR(OR(LEN(AW433)&lt;3,ISNUMBER(MATCH(AW433,L_Placeholder,0))),SUMPRODUCT(--ISNUMBER(SEARCH(L_EvidencePhrase,AW433)))&gt;0),"INVALID – evidence missing, placeholder or not yet on file",IF(OR(LEN(AX433)&lt;2,ISNUMBER(MATCH(AX433,L_Placeholder,0))),"INVALID – verifier missing",IF(AX433=AU433,"INVALID – verifier must be someone other than the PIC",IF(AND(TRIM(U433)="Pass",SUMPRODUCT(--ISNUMBER(SEARCH(L_ResultBad,AV433)))&gt;0),"INVALID – result describes a problem: use Fail, then Pass after CA",IF(AND(AQ433=1,OR(LEN(AY433)&lt;3,ISNUMBER(MATCH(AY433,L_Placeholder,0)))),"INVALID – batch ID missing or placeholder",IF(AND(AR433=1,OR(NOT(ISNUMBER(X433)),NOT(ISNUMBER(Y433)))),"INVALID – expected/actual qty missing",IF(AND(AR433=1,OR(X433&lt;=0,Y433&lt;0)),"INVALID – expected qty must be above 0 and actual not negative",IF(BB433&lt;&gt;"",BB433,IF(AND(AS433=1,Documents!$J$17&lt;&gt;"ON FILE"),"INVALID – GLD not on file (Documents sheet)",IF(AND(AS433=2,Documents!$O$17&lt;&gt;"ON FILE"),"INVALID – menu checklist not on file (Documents sheet)",IF(AND(AS433=3,NOT(ISNUMBER(Flights!$AX$17))),"INVALID – enter carrying flight KUL departure (Flights AX)",IF(AND(AS433=3,OR(Flights!$AZ$17&gt;Flights!$AA$17,Flights!$AX$17&lt;Flights!$AA$17-3)),"INVALID – carrying flight (Flights AX) cannot arrive before this leg's STD, or is over 3 days early",IF(AG433&gt;AsOfUTC,"INVALID – completion time is in the future",IF(AND(ISNUMBER(S433),AG433&lt;S433),IF(H433="Physical uplift","INVALID – before uplift window (cannot confirm loading)","INVALID – before valid window"),IF(AG433&gt;Flights!$AA$17,"INVALID – completed after departure (cannot establish readiness)",IF(AND(H433="Preparation",AG433&gt;IF(ISNUMBER(Flights!$BA$17),MIN(Flights!$BA$17,Flights!$AA$17),Flights!$AA$17)),"INVALID – completed after loading / departure (cannot establish readiness)",IF(AND(H433="Physical uplift",AG433&gt;Q433),"INVALID – recorded after the loading flight departed",IF(AG433&gt;Q433,"COMPLETE – LATE","COMPLETE"))))))))))))))))))))),IF(TRIM(U433)="Fail","FAIL – DISCREPANCY",IF(AND(TRIM(U433)&lt;&gt;"",TRIM(U433)&lt;&gt;"Not started",TRIM(U433)&lt;&gt;"In progress"),"INVALID – unrecognised status (use the list)",IF(AsOfUTC&gt;Q433,"OVERDUE",IF(N433="Clarification required","OPEN – CLARIFICATION","OPEN"))))))),"INVALID – error value in an input cell")</f>
        <v>OPEN</v>
      </c>
      <c r="AI433" s="61" t="n">
        <f aca="false">IF(OR(AH433="N/A – RULE",AH433="N/A – JUSTIFIED"),0,1)</f>
        <v>1</v>
      </c>
      <c r="AJ433" s="61" t="n">
        <f aca="false">IF(LEFT(AH433,8)="COMPLETE",1,0)</f>
        <v>0</v>
      </c>
      <c r="AK433" s="61" t="n">
        <f aca="false">IF(AND(AI433=1,AJ433=0,AsOfUTC&gt;Q433),1,0)</f>
        <v>0</v>
      </c>
      <c r="AL433" s="61" t="n">
        <f aca="false">IFERROR(IF(AND(AI433=1,OR(TRIM(U433)="Fail",AND(TRIM(AB433)&lt;&gt;"",TRIM(AB433)&lt;&gt;"Closed"),AND(ISNUMBER(AF433),AF433&lt;&gt;0,TRIM(U433)&lt;&gt;"Pass after CA"))),1,0),1)</f>
        <v>0</v>
      </c>
      <c r="AM433" s="61" t="n">
        <f aca="false">IF(LEFT(AH433,7)="INVALID",1,0)</f>
        <v>0</v>
      </c>
      <c r="AN433" s="61" t="n">
        <f aca="false">IF(AND(N433="Clarification required",AI433=1,AJ433=0),1,0)</f>
        <v>0</v>
      </c>
      <c r="AO433" s="61" t="str">
        <f aca="false">IF(AK433=1,SUM(AK$5:AK433),"")</f>
        <v/>
      </c>
      <c r="AP433" s="61" t="str">
        <f aca="false">IF(AL433=1,SUM(AL$5:AL433),"")</f>
        <v/>
      </c>
      <c r="AQ433" s="61" t="n">
        <v>0</v>
      </c>
      <c r="AR433" s="61" t="n">
        <v>0</v>
      </c>
      <c r="AS433" s="61" t="n">
        <v>1</v>
      </c>
      <c r="AT433" s="61" t="n">
        <v>0</v>
      </c>
      <c r="AU433" s="61" t="str">
        <f aca="false">SUBSTITUTE(SUBSTITUTE(SUBSTITUTE(SUBSTITUTE(SUBSTITUTE(SUBSTITUTE(SUBSTITUTE(SUBSTITUTE(SUBSTITUTE(SUBSTITUTE(SUBSTITUTE(SUBSTITUTE(SUBSTITUTE(LOWER(T433&amp;""),CHAR(160),"")," ",""),".",""),"-",""),"/",""),"?",""),"_",""),",",""),"[",""),"]",""),"(",""),")",""),"*","")</f>
        <v/>
      </c>
      <c r="AV433" s="61" t="str">
        <f aca="false">SUBSTITUTE(SUBSTITUTE(SUBSTITUTE(SUBSTITUTE(SUBSTITUTE(SUBSTITUTE(SUBSTITUTE(SUBSTITUTE(SUBSTITUTE(SUBSTITUTE(SUBSTITUTE(SUBSTITUTE(SUBSTITUTE(LOWER(V433&amp;""),CHAR(160),"")," ",""),".",""),"-",""),"/",""),"?",""),"_",""),",",""),"[",""),"]",""),"(",""),")",""),"*","")</f>
        <v/>
      </c>
      <c r="AW433" s="61" t="str">
        <f aca="false">SUBSTITUTE(SUBSTITUTE(SUBSTITUTE(SUBSTITUTE(SUBSTITUTE(SUBSTITUTE(SUBSTITUTE(SUBSTITUTE(SUBSTITUTE(SUBSTITUTE(SUBSTITUTE(SUBSTITUTE(SUBSTITUTE(LOWER(Z433&amp;""),CHAR(160),"")," ",""),".",""),"-",""),"/",""),"?",""),"_",""),",",""),"[",""),"]",""),"(",""),")",""),"*","")</f>
        <v/>
      </c>
      <c r="AX433" s="61" t="str">
        <f aca="false">SUBSTITUTE(SUBSTITUTE(SUBSTITUTE(SUBSTITUTE(SUBSTITUTE(SUBSTITUTE(SUBSTITUTE(SUBSTITUTE(SUBSTITUTE(SUBSTITUTE(SUBSTITUTE(SUBSTITUTE(SUBSTITUTE(LOWER(AE433&amp;""),CHAR(160),"")," ",""),".",""),"-",""),"/",""),"?",""),"_",""),",",""),"[",""),"]",""),"(",""),")",""),"*","")</f>
        <v/>
      </c>
      <c r="AY433" s="61" t="str">
        <f aca="false">SUBSTITUTE(SUBSTITUTE(SUBSTITUTE(SUBSTITUTE(SUBSTITUTE(SUBSTITUTE(SUBSTITUTE(SUBSTITUTE(SUBSTITUTE(SUBSTITUTE(SUBSTITUTE(SUBSTITUTE(SUBSTITUTE(LOWER(W433&amp;""),CHAR(160),"")," ",""),".",""),"-",""),"/",""),"?",""),"_",""),",",""),"[",""),"]",""),"(",""),")",""),"*","")</f>
        <v/>
      </c>
      <c r="AZ433" s="61" t="str">
        <f aca="false">SUBSTITUTE(SUBSTITUTE(SUBSTITUTE(SUBSTITUTE(SUBSTITUTE(SUBSTITUTE(SUBSTITUTE(SUBSTITUTE(SUBSTITUTE(SUBSTITUTE(SUBSTITUTE(SUBSTITUTE(SUBSTITUTE(LOWER(AC433&amp;""),CHAR(160),"")," ",""),".",""),"-",""),"/",""),"?",""),"_",""),",",""),"[",""),"]",""),"(",""),")",""),"*","")</f>
        <v/>
      </c>
      <c r="BA433" s="61" t="str">
        <f aca="false">SUBSTITUTE(SUBSTITUTE(SUBSTITUTE(SUBSTITUTE(SUBSTITUTE(SUBSTITUTE(SUBSTITUTE(SUBSTITUTE(SUBSTITUTE(SUBSTITUTE(SUBSTITUTE(SUBSTITUTE(SUBSTITUTE(LOWER(AA433&amp;""),CHAR(160),"")," ",""),".",""),"-",""),"/",""),"?",""),"_",""),",",""),"[",""),"]",""),"(",""),")",""),"*","")</f>
        <v/>
      </c>
      <c r="BB433" s="61" t="str">
        <f aca="false">IF(AND(TRIM(U433)="Pass",ISNUMBER(AF433)),IF(AF433&lt;&gt;0,"INVALID – qty variance: use Fail or Pass after CA",""),"")&amp;IF(AND(TRIM(U433)="Pass after CA",ISNUMBER(AF433)),IF(AF433&lt;&gt;0,"INVALID – after the corrective action the actual qty must equal expected (update Actual)",""),"")&amp;IF(AND(TRIM(U433)="Pass",TRIM(AB433)&lt;&gt;"",TRIM(AB433)&lt;&gt;"Closed"),"INVALID – corrective action not closed: use Fail, then Pass after CA","")&amp;IF(AND(TRIM(AA433)&lt;&gt;"",TRIM(AB433)=""),"INVALID – CA status missing for the recorded corrective action","")&amp;IF(AND(TRIM(U433)="Pass after CA",OR(OR(LEN(BA433)&lt;5,ISNUMBER(MATCH(BA433,L_Placeholder,0))),TRIM(AB433)&lt;&gt;"Closed")),"INVALID – corrective action not recorded/closed","")</f>
        <v/>
      </c>
    </row>
    <row r="434" customFormat="false" ht="39.75" hidden="false" customHeight="true" outlineLevel="0" collapsed="false">
      <c r="A434" s="57" t="s">
        <v>1045</v>
      </c>
      <c r="B434" s="57" t="s">
        <v>269</v>
      </c>
      <c r="C434" s="57" t="str">
        <f aca="false">Flights!$F$17</f>
        <v>MH0138</v>
      </c>
      <c r="D434" s="58" t="n">
        <f aca="false">Flights!$D$17</f>
        <v>46309</v>
      </c>
      <c r="E434" s="57" t="str">
        <f aca="false">Flights!$G$17&amp;"-"&amp;Flights!$H$17</f>
        <v>ADL-KUL</v>
      </c>
      <c r="F434" s="57" t="str">
        <f aca="false">Flights!$K$17</f>
        <v>EY</v>
      </c>
      <c r="G434" s="57" t="s">
        <v>79</v>
      </c>
      <c r="H434" s="57" t="s">
        <v>356</v>
      </c>
      <c r="I434" s="57" t="s">
        <v>383</v>
      </c>
      <c r="J434" s="57" t="s">
        <v>387</v>
      </c>
      <c r="K434" s="67" t="s">
        <v>385</v>
      </c>
      <c r="L434" s="67" t="s">
        <v>360</v>
      </c>
      <c r="M434" s="67"/>
      <c r="N434" s="67" t="s">
        <v>361</v>
      </c>
      <c r="O434" s="67"/>
      <c r="P434" s="57" t="s">
        <v>260</v>
      </c>
      <c r="Q434" s="59" t="n">
        <f aca="false">ROUND((Flights!$AC$17)*1440,0)/1440</f>
        <v>46302.0104166667</v>
      </c>
      <c r="R434" s="59" t="n">
        <f aca="false">Q434+(IF(AND(INDEX(TZ_DSTS,MATCH(P434,TZ_STN,0))&lt;&gt;"",Q434&gt;=INDEX(TZ_DSTS,MATCH(P434,TZ_STN,0)),Q434&lt;INDEX(TZ_DSTE,MATCH(P434,TZ_STN,0))),INDEX(TZ_DST,MATCH(P434,TZ_STN,0)),INDEX(TZ_STD,MATCH(P434,TZ_STN,0))))/24</f>
        <v>46302.4479166667</v>
      </c>
      <c r="S434" s="59" t="n">
        <f aca="false">Q434-T7EarlyD*24/24</f>
        <v>46288.0104166667</v>
      </c>
      <c r="T434" s="60"/>
      <c r="U434" s="60"/>
      <c r="V434" s="60"/>
      <c r="W434" s="61"/>
      <c r="X434" s="60"/>
      <c r="Y434" s="60"/>
      <c r="Z434" s="60"/>
      <c r="AA434" s="60"/>
      <c r="AB434" s="60"/>
      <c r="AC434" s="60"/>
      <c r="AD434" s="66"/>
      <c r="AE434" s="60"/>
      <c r="AF434" s="61" t="str">
        <f aca="false">IF(AND(ISNUMBER(X434),ISNUMBER(Y434)),Y434-X434,"")</f>
        <v/>
      </c>
      <c r="AG434" s="62" t="str">
        <f aca="false">IF(ISNUMBER(AD434),AD434-(IF(AND(INDEX(TZ_DSTS,MATCH(P434,TZ_STN,0))&lt;&gt;"",(AD434-INDEX(TZ_STD,MATCH(P434,TZ_STN,0))/24)&gt;=INDEX(TZ_DSTS,MATCH(P434,TZ_STN,0)),(AD434-INDEX(TZ_STD,MATCH(P434,TZ_STN,0))/24)&lt;INDEX(TZ_DSTE,MATCH(P434,TZ_STN,0))),INDEX(TZ_DST,MATCH(P434,TZ_STN,0)),INDEX(TZ_STD,MATCH(P434,TZ_STN,0))))/24,"")</f>
        <v/>
      </c>
      <c r="AH434" s="65" t="str">
        <f aca="false">IFERROR(IF(N434="N/A – rule","N/A – RULE",IF(TRIM(U434)="N/A",IF(AT434=0,"INVALID – N/A not permitted for this check",IF(AND(TRIM(AB434)&lt;&gt;"",TRIM(AB434)&lt;&gt;"Closed"),"INVALID – corrective action still open",IF(AND(NOT(OR(LEN(AZ434)&lt;15,ISNUMBER(MATCH(AZ434,L_Placeholder,0)))),NOT(OR(LEN(AU434)&lt;2,ISNUMBER(MATCH(AU434,L_Placeholder,0)))),NOT(OR(LEN(AX434)&lt;2,ISNUMBER(MATCH(AX434,L_Placeholder,0)))),TRIM(AE434)&lt;&gt;TRIM(T434)),"N/A – JUSTIFIED","INVALID – N/A needs a real justification (15+ chars), PIC and a different verifier"))),IF(OR(TRIM(U434)="Pass",TRIM(U434)="Pass after CA"),IF(NOT(ISNUMBER(AD434)),"INVALID – completion time missing",IF(OR(LEN(AU434)&lt;2,ISNUMBER(MATCH(AU434,L_Placeholder,0))),"INVALID – PIC missing",IF(OR(LEN(AV434)&lt;2,ISNUMBER(MATCH(AV434,L_Placeholder,0))),"INVALID – result / assessment missing",IF(OR(OR(LEN(AW434)&lt;3,ISNUMBER(MATCH(AW434,L_Placeholder,0))),SUMPRODUCT(--ISNUMBER(SEARCH(L_EvidencePhrase,AW434)))&gt;0),"INVALID – evidence missing, placeholder or not yet on file",IF(OR(LEN(AX434)&lt;2,ISNUMBER(MATCH(AX434,L_Placeholder,0))),"INVALID – verifier missing",IF(AX434=AU434,"INVALID – verifier must be someone other than the PIC",IF(AND(TRIM(U434)="Pass",SUMPRODUCT(--ISNUMBER(SEARCH(L_ResultBad,AV434)))&gt;0),"INVALID – result describes a problem: use Fail, then Pass after CA",IF(AND(AQ434=1,OR(LEN(AY434)&lt;3,ISNUMBER(MATCH(AY434,L_Placeholder,0)))),"INVALID – batch ID missing or placeholder",IF(AND(AR434=1,OR(NOT(ISNUMBER(X434)),NOT(ISNUMBER(Y434)))),"INVALID – expected/actual qty missing",IF(AND(AR434=1,OR(X434&lt;=0,Y434&lt;0)),"INVALID – expected qty must be above 0 and actual not negative",IF(BB434&lt;&gt;"",BB434,IF(AND(AS434=1,Documents!$J$17&lt;&gt;"ON FILE"),"INVALID – GLD not on file (Documents sheet)",IF(AND(AS434=2,Documents!$O$17&lt;&gt;"ON FILE"),"INVALID – menu checklist not on file (Documents sheet)",IF(AND(AS434=3,NOT(ISNUMBER(Flights!$AX$17))),"INVALID – enter carrying flight KUL departure (Flights AX)",IF(AND(AS434=3,OR(Flights!$AZ$17&gt;Flights!$AA$17,Flights!$AX$17&lt;Flights!$AA$17-3)),"INVALID – carrying flight (Flights AX) cannot arrive before this leg's STD, or is over 3 days early",IF(AG434&gt;AsOfUTC,"INVALID – completion time is in the future",IF(AND(ISNUMBER(S434),AG434&lt;S434),IF(H434="Physical uplift","INVALID – before uplift window (cannot confirm loading)","INVALID – before valid window"),IF(AG434&gt;Flights!$AA$17,"INVALID – completed after departure (cannot establish readiness)",IF(AND(H434="Preparation",AG434&gt;IF(ISNUMBER(Flights!$BA$17),MIN(Flights!$BA$17,Flights!$AA$17),Flights!$AA$17)),"INVALID – completed after loading / departure (cannot establish readiness)",IF(AND(H434="Physical uplift",AG434&gt;Q434),"INVALID – recorded after the loading flight departed",IF(AG434&gt;Q434,"COMPLETE – LATE","COMPLETE"))))))))))))))))))))),IF(TRIM(U434)="Fail","FAIL – DISCREPANCY",IF(AND(TRIM(U434)&lt;&gt;"",TRIM(U434)&lt;&gt;"Not started",TRIM(U434)&lt;&gt;"In progress"),"INVALID – unrecognised status (use the list)",IF(AsOfUTC&gt;Q434,"OVERDUE",IF(N434="Clarification required","OPEN – CLARIFICATION","OPEN"))))))),"INVALID – error value in an input cell")</f>
        <v>OPEN</v>
      </c>
      <c r="AI434" s="61" t="n">
        <f aca="false">IF(OR(AH434="N/A – RULE",AH434="N/A – JUSTIFIED"),0,1)</f>
        <v>1</v>
      </c>
      <c r="AJ434" s="61" t="n">
        <f aca="false">IF(LEFT(AH434,8)="COMPLETE",1,0)</f>
        <v>0</v>
      </c>
      <c r="AK434" s="61" t="n">
        <f aca="false">IF(AND(AI434=1,AJ434=0,AsOfUTC&gt;Q434),1,0)</f>
        <v>0</v>
      </c>
      <c r="AL434" s="61" t="n">
        <f aca="false">IFERROR(IF(AND(AI434=1,OR(TRIM(U434)="Fail",AND(TRIM(AB434)&lt;&gt;"",TRIM(AB434)&lt;&gt;"Closed"),AND(ISNUMBER(AF434),AF434&lt;&gt;0,TRIM(U434)&lt;&gt;"Pass after CA"))),1,0),1)</f>
        <v>0</v>
      </c>
      <c r="AM434" s="61" t="n">
        <f aca="false">IF(LEFT(AH434,7)="INVALID",1,0)</f>
        <v>0</v>
      </c>
      <c r="AN434" s="61" t="n">
        <f aca="false">IF(AND(N434="Clarification required",AI434=1,AJ434=0),1,0)</f>
        <v>0</v>
      </c>
      <c r="AO434" s="61" t="str">
        <f aca="false">IF(AK434=1,SUM(AK$5:AK434),"")</f>
        <v/>
      </c>
      <c r="AP434" s="61" t="str">
        <f aca="false">IF(AL434=1,SUM(AL$5:AL434),"")</f>
        <v/>
      </c>
      <c r="AQ434" s="61" t="n">
        <v>0</v>
      </c>
      <c r="AR434" s="61" t="n">
        <v>0</v>
      </c>
      <c r="AS434" s="61" t="n">
        <v>2</v>
      </c>
      <c r="AT434" s="61" t="n">
        <v>0</v>
      </c>
      <c r="AU434" s="61" t="str">
        <f aca="false">SUBSTITUTE(SUBSTITUTE(SUBSTITUTE(SUBSTITUTE(SUBSTITUTE(SUBSTITUTE(SUBSTITUTE(SUBSTITUTE(SUBSTITUTE(SUBSTITUTE(SUBSTITUTE(SUBSTITUTE(SUBSTITUTE(LOWER(T434&amp;""),CHAR(160),"")," ",""),".",""),"-",""),"/",""),"?",""),"_",""),",",""),"[",""),"]",""),"(",""),")",""),"*","")</f>
        <v/>
      </c>
      <c r="AV434" s="61" t="str">
        <f aca="false">SUBSTITUTE(SUBSTITUTE(SUBSTITUTE(SUBSTITUTE(SUBSTITUTE(SUBSTITUTE(SUBSTITUTE(SUBSTITUTE(SUBSTITUTE(SUBSTITUTE(SUBSTITUTE(SUBSTITUTE(SUBSTITUTE(LOWER(V434&amp;""),CHAR(160),"")," ",""),".",""),"-",""),"/",""),"?",""),"_",""),",",""),"[",""),"]",""),"(",""),")",""),"*","")</f>
        <v/>
      </c>
      <c r="AW434" s="61" t="str">
        <f aca="false">SUBSTITUTE(SUBSTITUTE(SUBSTITUTE(SUBSTITUTE(SUBSTITUTE(SUBSTITUTE(SUBSTITUTE(SUBSTITUTE(SUBSTITUTE(SUBSTITUTE(SUBSTITUTE(SUBSTITUTE(SUBSTITUTE(LOWER(Z434&amp;""),CHAR(160),"")," ",""),".",""),"-",""),"/",""),"?",""),"_",""),",",""),"[",""),"]",""),"(",""),")",""),"*","")</f>
        <v/>
      </c>
      <c r="AX434" s="61" t="str">
        <f aca="false">SUBSTITUTE(SUBSTITUTE(SUBSTITUTE(SUBSTITUTE(SUBSTITUTE(SUBSTITUTE(SUBSTITUTE(SUBSTITUTE(SUBSTITUTE(SUBSTITUTE(SUBSTITUTE(SUBSTITUTE(SUBSTITUTE(LOWER(AE434&amp;""),CHAR(160),"")," ",""),".",""),"-",""),"/",""),"?",""),"_",""),",",""),"[",""),"]",""),"(",""),")",""),"*","")</f>
        <v/>
      </c>
      <c r="AY434" s="61" t="str">
        <f aca="false">SUBSTITUTE(SUBSTITUTE(SUBSTITUTE(SUBSTITUTE(SUBSTITUTE(SUBSTITUTE(SUBSTITUTE(SUBSTITUTE(SUBSTITUTE(SUBSTITUTE(SUBSTITUTE(SUBSTITUTE(SUBSTITUTE(LOWER(W434&amp;""),CHAR(160),"")," ",""),".",""),"-",""),"/",""),"?",""),"_",""),",",""),"[",""),"]",""),"(",""),")",""),"*","")</f>
        <v/>
      </c>
      <c r="AZ434" s="61" t="str">
        <f aca="false">SUBSTITUTE(SUBSTITUTE(SUBSTITUTE(SUBSTITUTE(SUBSTITUTE(SUBSTITUTE(SUBSTITUTE(SUBSTITUTE(SUBSTITUTE(SUBSTITUTE(SUBSTITUTE(SUBSTITUTE(SUBSTITUTE(LOWER(AC434&amp;""),CHAR(160),"")," ",""),".",""),"-",""),"/",""),"?",""),"_",""),",",""),"[",""),"]",""),"(",""),")",""),"*","")</f>
        <v/>
      </c>
      <c r="BA434" s="61" t="str">
        <f aca="false">SUBSTITUTE(SUBSTITUTE(SUBSTITUTE(SUBSTITUTE(SUBSTITUTE(SUBSTITUTE(SUBSTITUTE(SUBSTITUTE(SUBSTITUTE(SUBSTITUTE(SUBSTITUTE(SUBSTITUTE(SUBSTITUTE(LOWER(AA434&amp;""),CHAR(160),"")," ",""),".",""),"-",""),"/",""),"?",""),"_",""),",",""),"[",""),"]",""),"(",""),")",""),"*","")</f>
        <v/>
      </c>
      <c r="BB434" s="61" t="str">
        <f aca="false">IF(AND(TRIM(U434)="Pass",ISNUMBER(AF434)),IF(AF434&lt;&gt;0,"INVALID – qty variance: use Fail or Pass after CA",""),"")&amp;IF(AND(TRIM(U434)="Pass after CA",ISNUMBER(AF434)),IF(AF434&lt;&gt;0,"INVALID – after the corrective action the actual qty must equal expected (update Actual)",""),"")&amp;IF(AND(TRIM(U434)="Pass",TRIM(AB434)&lt;&gt;"",TRIM(AB434)&lt;&gt;"Closed"),"INVALID – corrective action not closed: use Fail, then Pass after CA","")&amp;IF(AND(TRIM(AA434)&lt;&gt;"",TRIM(AB434)=""),"INVALID – CA status missing for the recorded corrective action","")&amp;IF(AND(TRIM(U434)="Pass after CA",OR(OR(LEN(BA434)&lt;5,ISNUMBER(MATCH(BA434,L_Placeholder,0))),TRIM(AB434)&lt;&gt;"Closed")),"INVALID – corrective action not recorded/closed","")</f>
        <v/>
      </c>
    </row>
    <row r="435" customFormat="false" ht="39.75" hidden="false" customHeight="true" outlineLevel="0" collapsed="false">
      <c r="A435" s="57" t="s">
        <v>1046</v>
      </c>
      <c r="B435" s="57" t="s">
        <v>269</v>
      </c>
      <c r="C435" s="57" t="str">
        <f aca="false">Flights!$F$17</f>
        <v>MH0138</v>
      </c>
      <c r="D435" s="58" t="n">
        <f aca="false">Flights!$D$17</f>
        <v>46309</v>
      </c>
      <c r="E435" s="57" t="str">
        <f aca="false">Flights!$G$17&amp;"-"&amp;Flights!$H$17</f>
        <v>ADL-KUL</v>
      </c>
      <c r="F435" s="57" t="str">
        <f aca="false">Flights!$K$17</f>
        <v>EY</v>
      </c>
      <c r="G435" s="57" t="s">
        <v>79</v>
      </c>
      <c r="H435" s="57" t="s">
        <v>356</v>
      </c>
      <c r="I435" s="57" t="s">
        <v>389</v>
      </c>
      <c r="J435" s="57" t="s">
        <v>390</v>
      </c>
      <c r="K435" s="67" t="s">
        <v>1047</v>
      </c>
      <c r="L435" s="67" t="s">
        <v>981</v>
      </c>
      <c r="M435" s="67"/>
      <c r="N435" s="67" t="s">
        <v>361</v>
      </c>
      <c r="O435" s="67"/>
      <c r="P435" s="57" t="s">
        <v>260</v>
      </c>
      <c r="Q435" s="59" t="n">
        <f aca="false">ROUND((Flights!$AC$17)*1440,0)/1440</f>
        <v>46302.0104166667</v>
      </c>
      <c r="R435" s="59" t="n">
        <f aca="false">Q435+(IF(AND(INDEX(TZ_DSTS,MATCH(P435,TZ_STN,0))&lt;&gt;"",Q435&gt;=INDEX(TZ_DSTS,MATCH(P435,TZ_STN,0)),Q435&lt;INDEX(TZ_DSTE,MATCH(P435,TZ_STN,0))),INDEX(TZ_DST,MATCH(P435,TZ_STN,0)),INDEX(TZ_STD,MATCH(P435,TZ_STN,0))))/24</f>
        <v>46302.4479166667</v>
      </c>
      <c r="S435" s="59" t="n">
        <f aca="false">Q435-T7EarlyD*24/24</f>
        <v>46288.0104166667</v>
      </c>
      <c r="T435" s="60"/>
      <c r="U435" s="60"/>
      <c r="V435" s="60"/>
      <c r="W435" s="61"/>
      <c r="X435" s="60"/>
      <c r="Y435" s="60"/>
      <c r="Z435" s="60"/>
      <c r="AA435" s="60"/>
      <c r="AB435" s="60"/>
      <c r="AC435" s="60"/>
      <c r="AD435" s="66"/>
      <c r="AE435" s="60"/>
      <c r="AF435" s="61" t="str">
        <f aca="false">IF(AND(ISNUMBER(X435),ISNUMBER(Y435)),Y435-X435,"")</f>
        <v/>
      </c>
      <c r="AG435" s="62" t="str">
        <f aca="false">IF(ISNUMBER(AD435),AD435-(IF(AND(INDEX(TZ_DSTS,MATCH(P435,TZ_STN,0))&lt;&gt;"",(AD435-INDEX(TZ_STD,MATCH(P435,TZ_STN,0))/24)&gt;=INDEX(TZ_DSTS,MATCH(P435,TZ_STN,0)),(AD435-INDEX(TZ_STD,MATCH(P435,TZ_STN,0))/24)&lt;INDEX(TZ_DSTE,MATCH(P435,TZ_STN,0))),INDEX(TZ_DST,MATCH(P435,TZ_STN,0)),INDEX(TZ_STD,MATCH(P435,TZ_STN,0))))/24,"")</f>
        <v/>
      </c>
      <c r="AH435" s="65" t="str">
        <f aca="false">IFERROR(IF(N435="N/A – rule","N/A – RULE",IF(TRIM(U435)="N/A",IF(AT435=0,"INVALID – N/A not permitted for this check",IF(AND(TRIM(AB435)&lt;&gt;"",TRIM(AB435)&lt;&gt;"Closed"),"INVALID – corrective action still open",IF(AND(NOT(OR(LEN(AZ435)&lt;15,ISNUMBER(MATCH(AZ435,L_Placeholder,0)))),NOT(OR(LEN(AU435)&lt;2,ISNUMBER(MATCH(AU435,L_Placeholder,0)))),NOT(OR(LEN(AX435)&lt;2,ISNUMBER(MATCH(AX435,L_Placeholder,0)))),TRIM(AE435)&lt;&gt;TRIM(T435)),"N/A – JUSTIFIED","INVALID – N/A needs a real justification (15+ chars), PIC and a different verifier"))),IF(OR(TRIM(U435)="Pass",TRIM(U435)="Pass after CA"),IF(NOT(ISNUMBER(AD435)),"INVALID – completion time missing",IF(OR(LEN(AU435)&lt;2,ISNUMBER(MATCH(AU435,L_Placeholder,0))),"INVALID – PIC missing",IF(OR(LEN(AV435)&lt;2,ISNUMBER(MATCH(AV435,L_Placeholder,0))),"INVALID – result / assessment missing",IF(OR(OR(LEN(AW435)&lt;3,ISNUMBER(MATCH(AW435,L_Placeholder,0))),SUMPRODUCT(--ISNUMBER(SEARCH(L_EvidencePhrase,AW435)))&gt;0),"INVALID – evidence missing, placeholder or not yet on file",IF(OR(LEN(AX435)&lt;2,ISNUMBER(MATCH(AX435,L_Placeholder,0))),"INVALID – verifier missing",IF(AX435=AU435,"INVALID – verifier must be someone other than the PIC",IF(AND(TRIM(U435)="Pass",SUMPRODUCT(--ISNUMBER(SEARCH(L_ResultBad,AV435)))&gt;0),"INVALID – result describes a problem: use Fail, then Pass after CA",IF(AND(AQ435=1,OR(LEN(AY435)&lt;3,ISNUMBER(MATCH(AY435,L_Placeholder,0)))),"INVALID – batch ID missing or placeholder",IF(AND(AR435=1,OR(NOT(ISNUMBER(X435)),NOT(ISNUMBER(Y435)))),"INVALID – expected/actual qty missing",IF(AND(AR435=1,OR(X435&lt;=0,Y435&lt;0)),"INVALID – expected qty must be above 0 and actual not negative",IF(BB435&lt;&gt;"",BB435,IF(AND(AS435=1,Documents!$J$17&lt;&gt;"ON FILE"),"INVALID – GLD not on file (Documents sheet)",IF(AND(AS435=2,Documents!$O$17&lt;&gt;"ON FILE"),"INVALID – menu checklist not on file (Documents sheet)",IF(AND(AS435=3,NOT(ISNUMBER(Flights!$AX$17))),"INVALID – enter carrying flight KUL departure (Flights AX)",IF(AND(AS435=3,OR(Flights!$AZ$17&gt;Flights!$AA$17,Flights!$AX$17&lt;Flights!$AA$17-3)),"INVALID – carrying flight (Flights AX) cannot arrive before this leg's STD, or is over 3 days early",IF(AG435&gt;AsOfUTC,"INVALID – completion time is in the future",IF(AND(ISNUMBER(S435),AG435&lt;S435),IF(H435="Physical uplift","INVALID – before uplift window (cannot confirm loading)","INVALID – before valid window"),IF(AG435&gt;Flights!$AA$17,"INVALID – completed after departure (cannot establish readiness)",IF(AND(H435="Preparation",AG435&gt;IF(ISNUMBER(Flights!$BA$17),MIN(Flights!$BA$17,Flights!$AA$17),Flights!$AA$17)),"INVALID – completed after loading / departure (cannot establish readiness)",IF(AND(H435="Physical uplift",AG435&gt;Q435),"INVALID – recorded after the loading flight departed",IF(AG435&gt;Q435,"COMPLETE – LATE","COMPLETE"))))))))))))))))))))),IF(TRIM(U435)="Fail","FAIL – DISCREPANCY",IF(AND(TRIM(U435)&lt;&gt;"",TRIM(U435)&lt;&gt;"Not started",TRIM(U435)&lt;&gt;"In progress"),"INVALID – unrecognised status (use the list)",IF(AsOfUTC&gt;Q435,"OVERDUE",IF(N435="Clarification required","OPEN – CLARIFICATION","OPEN"))))))),"INVALID – error value in an input cell")</f>
        <v>OPEN</v>
      </c>
      <c r="AI435" s="61" t="n">
        <f aca="false">IF(OR(AH435="N/A – RULE",AH435="N/A – JUSTIFIED"),0,1)</f>
        <v>1</v>
      </c>
      <c r="AJ435" s="61" t="n">
        <f aca="false">IF(LEFT(AH435,8)="COMPLETE",1,0)</f>
        <v>0</v>
      </c>
      <c r="AK435" s="61" t="n">
        <f aca="false">IF(AND(AI435=1,AJ435=0,AsOfUTC&gt;Q435),1,0)</f>
        <v>0</v>
      </c>
      <c r="AL435" s="61" t="n">
        <f aca="false">IFERROR(IF(AND(AI435=1,OR(TRIM(U435)="Fail",AND(TRIM(AB435)&lt;&gt;"",TRIM(AB435)&lt;&gt;"Closed"),AND(ISNUMBER(AF435),AF435&lt;&gt;0,TRIM(U435)&lt;&gt;"Pass after CA"))),1,0),1)</f>
        <v>0</v>
      </c>
      <c r="AM435" s="61" t="n">
        <f aca="false">IF(LEFT(AH435,7)="INVALID",1,0)</f>
        <v>0</v>
      </c>
      <c r="AN435" s="61" t="n">
        <f aca="false">IF(AND(N435="Clarification required",AI435=1,AJ435=0),1,0)</f>
        <v>0</v>
      </c>
      <c r="AO435" s="61" t="str">
        <f aca="false">IF(AK435=1,SUM(AK$5:AK435),"")</f>
        <v/>
      </c>
      <c r="AP435" s="61" t="str">
        <f aca="false">IF(AL435=1,SUM(AL$5:AL435),"")</f>
        <v/>
      </c>
      <c r="AQ435" s="61" t="n">
        <v>0</v>
      </c>
      <c r="AR435" s="61" t="n">
        <v>0</v>
      </c>
      <c r="AS435" s="61" t="n">
        <v>0</v>
      </c>
      <c r="AT435" s="61" t="n">
        <v>0</v>
      </c>
      <c r="AU435" s="61" t="str">
        <f aca="false">SUBSTITUTE(SUBSTITUTE(SUBSTITUTE(SUBSTITUTE(SUBSTITUTE(SUBSTITUTE(SUBSTITUTE(SUBSTITUTE(SUBSTITUTE(SUBSTITUTE(SUBSTITUTE(SUBSTITUTE(SUBSTITUTE(LOWER(T435&amp;""),CHAR(160),"")," ",""),".",""),"-",""),"/",""),"?",""),"_",""),",",""),"[",""),"]",""),"(",""),")",""),"*","")</f>
        <v/>
      </c>
      <c r="AV435" s="61" t="str">
        <f aca="false">SUBSTITUTE(SUBSTITUTE(SUBSTITUTE(SUBSTITUTE(SUBSTITUTE(SUBSTITUTE(SUBSTITUTE(SUBSTITUTE(SUBSTITUTE(SUBSTITUTE(SUBSTITUTE(SUBSTITUTE(SUBSTITUTE(LOWER(V435&amp;""),CHAR(160),"")," ",""),".",""),"-",""),"/",""),"?",""),"_",""),",",""),"[",""),"]",""),"(",""),")",""),"*","")</f>
        <v/>
      </c>
      <c r="AW435" s="61" t="str">
        <f aca="false">SUBSTITUTE(SUBSTITUTE(SUBSTITUTE(SUBSTITUTE(SUBSTITUTE(SUBSTITUTE(SUBSTITUTE(SUBSTITUTE(SUBSTITUTE(SUBSTITUTE(SUBSTITUTE(SUBSTITUTE(SUBSTITUTE(LOWER(Z435&amp;""),CHAR(160),"")," ",""),".",""),"-",""),"/",""),"?",""),"_",""),",",""),"[",""),"]",""),"(",""),")",""),"*","")</f>
        <v/>
      </c>
      <c r="AX435" s="61" t="str">
        <f aca="false">SUBSTITUTE(SUBSTITUTE(SUBSTITUTE(SUBSTITUTE(SUBSTITUTE(SUBSTITUTE(SUBSTITUTE(SUBSTITUTE(SUBSTITUTE(SUBSTITUTE(SUBSTITUTE(SUBSTITUTE(SUBSTITUTE(LOWER(AE435&amp;""),CHAR(160),"")," ",""),".",""),"-",""),"/",""),"?",""),"_",""),",",""),"[",""),"]",""),"(",""),")",""),"*","")</f>
        <v/>
      </c>
      <c r="AY435" s="61" t="str">
        <f aca="false">SUBSTITUTE(SUBSTITUTE(SUBSTITUTE(SUBSTITUTE(SUBSTITUTE(SUBSTITUTE(SUBSTITUTE(SUBSTITUTE(SUBSTITUTE(SUBSTITUTE(SUBSTITUTE(SUBSTITUTE(SUBSTITUTE(LOWER(W435&amp;""),CHAR(160),"")," ",""),".",""),"-",""),"/",""),"?",""),"_",""),",",""),"[",""),"]",""),"(",""),")",""),"*","")</f>
        <v/>
      </c>
      <c r="AZ435" s="61" t="str">
        <f aca="false">SUBSTITUTE(SUBSTITUTE(SUBSTITUTE(SUBSTITUTE(SUBSTITUTE(SUBSTITUTE(SUBSTITUTE(SUBSTITUTE(SUBSTITUTE(SUBSTITUTE(SUBSTITUTE(SUBSTITUTE(SUBSTITUTE(LOWER(AC435&amp;""),CHAR(160),"")," ",""),".",""),"-",""),"/",""),"?",""),"_",""),",",""),"[",""),"]",""),"(",""),")",""),"*","")</f>
        <v/>
      </c>
      <c r="BA435" s="61" t="str">
        <f aca="false">SUBSTITUTE(SUBSTITUTE(SUBSTITUTE(SUBSTITUTE(SUBSTITUTE(SUBSTITUTE(SUBSTITUTE(SUBSTITUTE(SUBSTITUTE(SUBSTITUTE(SUBSTITUTE(SUBSTITUTE(SUBSTITUTE(LOWER(AA435&amp;""),CHAR(160),"")," ",""),".",""),"-",""),"/",""),"?",""),"_",""),",",""),"[",""),"]",""),"(",""),")",""),"*","")</f>
        <v/>
      </c>
      <c r="BB435" s="61" t="str">
        <f aca="false">IF(AND(TRIM(U435)="Pass",ISNUMBER(AF435)),IF(AF435&lt;&gt;0,"INVALID – qty variance: use Fail or Pass after CA",""),"")&amp;IF(AND(TRIM(U435)="Pass after CA",ISNUMBER(AF435)),IF(AF435&lt;&gt;0,"INVALID – after the corrective action the actual qty must equal expected (update Actual)",""),"")&amp;IF(AND(TRIM(U435)="Pass",TRIM(AB435)&lt;&gt;"",TRIM(AB435)&lt;&gt;"Closed"),"INVALID – corrective action not closed: use Fail, then Pass after CA","")&amp;IF(AND(TRIM(AA435)&lt;&gt;"",TRIM(AB435)=""),"INVALID – CA status missing for the recorded corrective action","")&amp;IF(AND(TRIM(U435)="Pass after CA",OR(OR(LEN(BA435)&lt;5,ISNUMBER(MATCH(BA435,L_Placeholder,0))),TRIM(AB435)&lt;&gt;"Closed")),"INVALID – corrective action not recorded/closed","")</f>
        <v/>
      </c>
    </row>
    <row r="436" customFormat="false" ht="91.5" hidden="false" customHeight="true" outlineLevel="0" collapsed="false">
      <c r="A436" s="57" t="s">
        <v>1048</v>
      </c>
      <c r="B436" s="57" t="s">
        <v>269</v>
      </c>
      <c r="C436" s="57" t="str">
        <f aca="false">Flights!$F$17</f>
        <v>MH0138</v>
      </c>
      <c r="D436" s="58" t="n">
        <f aca="false">Flights!$D$17</f>
        <v>46309</v>
      </c>
      <c r="E436" s="57" t="str">
        <f aca="false">Flights!$G$17&amp;"-"&amp;Flights!$H$17</f>
        <v>ADL-KUL</v>
      </c>
      <c r="F436" s="57" t="str">
        <f aca="false">Flights!$K$17</f>
        <v>EY</v>
      </c>
      <c r="G436" s="57" t="s">
        <v>79</v>
      </c>
      <c r="H436" s="57" t="s">
        <v>356</v>
      </c>
      <c r="I436" s="57" t="s">
        <v>389</v>
      </c>
      <c r="J436" s="57" t="s">
        <v>1049</v>
      </c>
      <c r="K436" s="67" t="s">
        <v>1050</v>
      </c>
      <c r="L436" s="67" t="s">
        <v>652</v>
      </c>
      <c r="M436" s="67"/>
      <c r="N436" s="67" t="s">
        <v>422</v>
      </c>
      <c r="O436" s="67" t="s">
        <v>1051</v>
      </c>
      <c r="P436" s="57" t="s">
        <v>184</v>
      </c>
      <c r="Q436" s="59" t="n">
        <f aca="false">ROUND((Flights!$AC$17)*1440,0)/1440</f>
        <v>46302.0104166667</v>
      </c>
      <c r="R436" s="59" t="n">
        <f aca="false">Q436+(IF(AND(INDEX(TZ_DSTS,MATCH(P436,TZ_STN,0))&lt;&gt;"",Q436&gt;=INDEX(TZ_DSTS,MATCH(P436,TZ_STN,0)),Q436&lt;INDEX(TZ_DSTE,MATCH(P436,TZ_STN,0))),INDEX(TZ_DST,MATCH(P436,TZ_STN,0)),INDEX(TZ_STD,MATCH(P436,TZ_STN,0))))/24</f>
        <v>46302.34375</v>
      </c>
      <c r="S436" s="59" t="n">
        <f aca="false">Q436-T7EarlyD*24/24</f>
        <v>46288.0104166667</v>
      </c>
      <c r="T436" s="60"/>
      <c r="U436" s="60"/>
      <c r="V436" s="60"/>
      <c r="W436" s="61"/>
      <c r="X436" s="60"/>
      <c r="Y436" s="60"/>
      <c r="Z436" s="60"/>
      <c r="AA436" s="60"/>
      <c r="AB436" s="60"/>
      <c r="AC436" s="60"/>
      <c r="AD436" s="66"/>
      <c r="AE436" s="60"/>
      <c r="AF436" s="61" t="str">
        <f aca="false">IF(AND(ISNUMBER(X436),ISNUMBER(Y436)),Y436-X436,"")</f>
        <v/>
      </c>
      <c r="AG436" s="62" t="str">
        <f aca="false">IF(ISNUMBER(AD436),AD436-(IF(AND(INDEX(TZ_DSTS,MATCH(P436,TZ_STN,0))&lt;&gt;"",(AD436-INDEX(TZ_STD,MATCH(P436,TZ_STN,0))/24)&gt;=INDEX(TZ_DSTS,MATCH(P436,TZ_STN,0)),(AD436-INDEX(TZ_STD,MATCH(P436,TZ_STN,0))/24)&lt;INDEX(TZ_DSTE,MATCH(P436,TZ_STN,0))),INDEX(TZ_DST,MATCH(P436,TZ_STN,0)),INDEX(TZ_STD,MATCH(P436,TZ_STN,0))))/24,"")</f>
        <v/>
      </c>
      <c r="AH436" s="65" t="str">
        <f aca="false">IFERROR(IF(N436="N/A – rule","N/A – RULE",IF(TRIM(U436)="N/A",IF(AT436=0,"INVALID – N/A not permitted for this check",IF(AND(TRIM(AB436)&lt;&gt;"",TRIM(AB436)&lt;&gt;"Closed"),"INVALID – corrective action still open",IF(AND(NOT(OR(LEN(AZ436)&lt;15,ISNUMBER(MATCH(AZ436,L_Placeholder,0)))),NOT(OR(LEN(AU436)&lt;2,ISNUMBER(MATCH(AU436,L_Placeholder,0)))),NOT(OR(LEN(AX436)&lt;2,ISNUMBER(MATCH(AX436,L_Placeholder,0)))),TRIM(AE436)&lt;&gt;TRIM(T436)),"N/A – JUSTIFIED","INVALID – N/A needs a real justification (15+ chars), PIC and a different verifier"))),IF(OR(TRIM(U436)="Pass",TRIM(U436)="Pass after CA"),IF(NOT(ISNUMBER(AD436)),"INVALID – completion time missing",IF(OR(LEN(AU436)&lt;2,ISNUMBER(MATCH(AU436,L_Placeholder,0))),"INVALID – PIC missing",IF(OR(LEN(AV436)&lt;2,ISNUMBER(MATCH(AV436,L_Placeholder,0))),"INVALID – result / assessment missing",IF(OR(OR(LEN(AW436)&lt;3,ISNUMBER(MATCH(AW436,L_Placeholder,0))),SUMPRODUCT(--ISNUMBER(SEARCH(L_EvidencePhrase,AW436)))&gt;0),"INVALID – evidence missing, placeholder or not yet on file",IF(OR(LEN(AX436)&lt;2,ISNUMBER(MATCH(AX436,L_Placeholder,0))),"INVALID – verifier missing",IF(AX436=AU436,"INVALID – verifier must be someone other than the PIC",IF(AND(TRIM(U436)="Pass",SUMPRODUCT(--ISNUMBER(SEARCH(L_ResultBad,AV436)))&gt;0),"INVALID – result describes a problem: use Fail, then Pass after CA",IF(AND(AQ436=1,OR(LEN(AY436)&lt;3,ISNUMBER(MATCH(AY436,L_Placeholder,0)))),"INVALID – batch ID missing or placeholder",IF(AND(AR436=1,OR(NOT(ISNUMBER(X436)),NOT(ISNUMBER(Y436)))),"INVALID – expected/actual qty missing",IF(AND(AR436=1,OR(X436&lt;=0,Y436&lt;0)),"INVALID – expected qty must be above 0 and actual not negative",IF(BB436&lt;&gt;"",BB436,IF(AND(AS436=1,Documents!$J$17&lt;&gt;"ON FILE"),"INVALID – GLD not on file (Documents sheet)",IF(AND(AS436=2,Documents!$O$17&lt;&gt;"ON FILE"),"INVALID – menu checklist not on file (Documents sheet)",IF(AND(AS436=3,NOT(ISNUMBER(Flights!$AX$17))),"INVALID – enter carrying flight KUL departure (Flights AX)",IF(AND(AS436=3,OR(Flights!$AZ$17&gt;Flights!$AA$17,Flights!$AX$17&lt;Flights!$AA$17-3)),"INVALID – carrying flight (Flights AX) cannot arrive before this leg's STD, or is over 3 days early",IF(AG436&gt;AsOfUTC,"INVALID – completion time is in the future",IF(AND(ISNUMBER(S436),AG436&lt;S436),IF(H436="Physical uplift","INVALID – before uplift window (cannot confirm loading)","INVALID – before valid window"),IF(AG436&gt;Flights!$AA$17,"INVALID – completed after departure (cannot establish readiness)",IF(AND(H436="Preparation",AG436&gt;IF(ISNUMBER(Flights!$BA$17),MIN(Flights!$BA$17,Flights!$AA$17),Flights!$AA$17)),"INVALID – completed after loading / departure (cannot establish readiness)",IF(AND(H436="Physical uplift",AG436&gt;Q436),"INVALID – recorded after the loading flight departed",IF(AG436&gt;Q436,"COMPLETE – LATE","COMPLETE"))))))))))))))))))))),IF(TRIM(U436)="Fail","FAIL – DISCREPANCY",IF(AND(TRIM(U436)&lt;&gt;"",TRIM(U436)&lt;&gt;"Not started",TRIM(U436)&lt;&gt;"In progress"),"INVALID – unrecognised status (use the list)",IF(AsOfUTC&gt;Q436,"OVERDUE",IF(N436="Clarification required","OPEN – CLARIFICATION","OPEN"))))))),"INVALID – error value in an input cell")</f>
        <v>OPEN – CLARIFICATION</v>
      </c>
      <c r="AI436" s="61" t="n">
        <f aca="false">IF(OR(AH436="N/A – RULE",AH436="N/A – JUSTIFIED"),0,1)</f>
        <v>1</v>
      </c>
      <c r="AJ436" s="61" t="n">
        <f aca="false">IF(LEFT(AH436,8)="COMPLETE",1,0)</f>
        <v>0</v>
      </c>
      <c r="AK436" s="61" t="n">
        <f aca="false">IF(AND(AI436=1,AJ436=0,AsOfUTC&gt;Q436),1,0)</f>
        <v>0</v>
      </c>
      <c r="AL436" s="61" t="n">
        <f aca="false">IFERROR(IF(AND(AI436=1,OR(TRIM(U436)="Fail",AND(TRIM(AB436)&lt;&gt;"",TRIM(AB436)&lt;&gt;"Closed"),AND(ISNUMBER(AF436),AF436&lt;&gt;0,TRIM(U436)&lt;&gt;"Pass after CA"))),1,0),1)</f>
        <v>0</v>
      </c>
      <c r="AM436" s="61" t="n">
        <f aca="false">IF(LEFT(AH436,7)="INVALID",1,0)</f>
        <v>0</v>
      </c>
      <c r="AN436" s="61" t="n">
        <f aca="false">IF(AND(N436="Clarification required",AI436=1,AJ436=0),1,0)</f>
        <v>1</v>
      </c>
      <c r="AO436" s="61" t="str">
        <f aca="false">IF(AK436=1,SUM(AK$5:AK436),"")</f>
        <v/>
      </c>
      <c r="AP436" s="61" t="str">
        <f aca="false">IF(AL436=1,SUM(AL$5:AL436),"")</f>
        <v/>
      </c>
      <c r="AQ436" s="61" t="n">
        <v>0</v>
      </c>
      <c r="AR436" s="61" t="n">
        <v>0</v>
      </c>
      <c r="AS436" s="61" t="n">
        <v>3</v>
      </c>
      <c r="AT436" s="61" t="n">
        <v>0</v>
      </c>
      <c r="AU436" s="61" t="str">
        <f aca="false">SUBSTITUTE(SUBSTITUTE(SUBSTITUTE(SUBSTITUTE(SUBSTITUTE(SUBSTITUTE(SUBSTITUTE(SUBSTITUTE(SUBSTITUTE(SUBSTITUTE(SUBSTITUTE(SUBSTITUTE(SUBSTITUTE(LOWER(T436&amp;""),CHAR(160),"")," ",""),".",""),"-",""),"/",""),"?",""),"_",""),",",""),"[",""),"]",""),"(",""),")",""),"*","")</f>
        <v/>
      </c>
      <c r="AV436" s="61" t="str">
        <f aca="false">SUBSTITUTE(SUBSTITUTE(SUBSTITUTE(SUBSTITUTE(SUBSTITUTE(SUBSTITUTE(SUBSTITUTE(SUBSTITUTE(SUBSTITUTE(SUBSTITUTE(SUBSTITUTE(SUBSTITUTE(SUBSTITUTE(LOWER(V436&amp;""),CHAR(160),"")," ",""),".",""),"-",""),"/",""),"?",""),"_",""),",",""),"[",""),"]",""),"(",""),")",""),"*","")</f>
        <v/>
      </c>
      <c r="AW436" s="61" t="str">
        <f aca="false">SUBSTITUTE(SUBSTITUTE(SUBSTITUTE(SUBSTITUTE(SUBSTITUTE(SUBSTITUTE(SUBSTITUTE(SUBSTITUTE(SUBSTITUTE(SUBSTITUTE(SUBSTITUTE(SUBSTITUTE(SUBSTITUTE(LOWER(Z436&amp;""),CHAR(160),"")," ",""),".",""),"-",""),"/",""),"?",""),"_",""),",",""),"[",""),"]",""),"(",""),")",""),"*","")</f>
        <v/>
      </c>
      <c r="AX436" s="61" t="str">
        <f aca="false">SUBSTITUTE(SUBSTITUTE(SUBSTITUTE(SUBSTITUTE(SUBSTITUTE(SUBSTITUTE(SUBSTITUTE(SUBSTITUTE(SUBSTITUTE(SUBSTITUTE(SUBSTITUTE(SUBSTITUTE(SUBSTITUTE(LOWER(AE436&amp;""),CHAR(160),"")," ",""),".",""),"-",""),"/",""),"?",""),"_",""),",",""),"[",""),"]",""),"(",""),")",""),"*","")</f>
        <v/>
      </c>
      <c r="AY436" s="61" t="str">
        <f aca="false">SUBSTITUTE(SUBSTITUTE(SUBSTITUTE(SUBSTITUTE(SUBSTITUTE(SUBSTITUTE(SUBSTITUTE(SUBSTITUTE(SUBSTITUTE(SUBSTITUTE(SUBSTITUTE(SUBSTITUTE(SUBSTITUTE(LOWER(W436&amp;""),CHAR(160),"")," ",""),".",""),"-",""),"/",""),"?",""),"_",""),",",""),"[",""),"]",""),"(",""),")",""),"*","")</f>
        <v/>
      </c>
      <c r="AZ436" s="61" t="str">
        <f aca="false">SUBSTITUTE(SUBSTITUTE(SUBSTITUTE(SUBSTITUTE(SUBSTITUTE(SUBSTITUTE(SUBSTITUTE(SUBSTITUTE(SUBSTITUTE(SUBSTITUTE(SUBSTITUTE(SUBSTITUTE(SUBSTITUTE(LOWER(AC436&amp;""),CHAR(160),"")," ",""),".",""),"-",""),"/",""),"?",""),"_",""),",",""),"[",""),"]",""),"(",""),")",""),"*","")</f>
        <v/>
      </c>
      <c r="BA436" s="61" t="str">
        <f aca="false">SUBSTITUTE(SUBSTITUTE(SUBSTITUTE(SUBSTITUTE(SUBSTITUTE(SUBSTITUTE(SUBSTITUTE(SUBSTITUTE(SUBSTITUTE(SUBSTITUTE(SUBSTITUTE(SUBSTITUTE(SUBSTITUTE(LOWER(AA436&amp;""),CHAR(160),"")," ",""),".",""),"-",""),"/",""),"?",""),"_",""),",",""),"[",""),"]",""),"(",""),")",""),"*","")</f>
        <v/>
      </c>
      <c r="BB436" s="61" t="str">
        <f aca="false">IF(AND(TRIM(U436)="Pass",ISNUMBER(AF436)),IF(AF436&lt;&gt;0,"INVALID – qty variance: use Fail or Pass after CA",""),"")&amp;IF(AND(TRIM(U436)="Pass after CA",ISNUMBER(AF436)),IF(AF436&lt;&gt;0,"INVALID – after the corrective action the actual qty must equal expected (update Actual)",""),"")&amp;IF(AND(TRIM(U436)="Pass",TRIM(AB436)&lt;&gt;"",TRIM(AB436)&lt;&gt;"Closed"),"INVALID – corrective action not closed: use Fail, then Pass after CA","")&amp;IF(AND(TRIM(AA436)&lt;&gt;"",TRIM(AB436)=""),"INVALID – CA status missing for the recorded corrective action","")&amp;IF(AND(TRIM(U436)="Pass after CA",OR(OR(LEN(BA436)&lt;5,ISNUMBER(MATCH(BA436,L_Placeholder,0))),TRIM(AB436)&lt;&gt;"Closed")),"INVALID – corrective action not recorded/closed","")</f>
        <v/>
      </c>
    </row>
    <row r="437" customFormat="false" ht="39.75" hidden="false" customHeight="true" outlineLevel="0" collapsed="false">
      <c r="A437" s="57" t="s">
        <v>1052</v>
      </c>
      <c r="B437" s="57" t="s">
        <v>269</v>
      </c>
      <c r="C437" s="57" t="str">
        <f aca="false">Flights!$F$17</f>
        <v>MH0138</v>
      </c>
      <c r="D437" s="58" t="n">
        <f aca="false">Flights!$D$17</f>
        <v>46309</v>
      </c>
      <c r="E437" s="57" t="str">
        <f aca="false">Flights!$G$17&amp;"-"&amp;Flights!$H$17</f>
        <v>ADL-KUL</v>
      </c>
      <c r="F437" s="57" t="str">
        <f aca="false">Flights!$K$17</f>
        <v>EY</v>
      </c>
      <c r="G437" s="57" t="s">
        <v>81</v>
      </c>
      <c r="H437" s="57" t="s">
        <v>356</v>
      </c>
      <c r="I437" s="57" t="s">
        <v>357</v>
      </c>
      <c r="J437" s="57" t="s">
        <v>394</v>
      </c>
      <c r="K437" s="67" t="s">
        <v>395</v>
      </c>
      <c r="L437" s="67" t="s">
        <v>396</v>
      </c>
      <c r="M437" s="67"/>
      <c r="N437" s="67" t="s">
        <v>361</v>
      </c>
      <c r="O437" s="67"/>
      <c r="P437" s="57" t="s">
        <v>260</v>
      </c>
      <c r="Q437" s="59" t="n">
        <f aca="false">ROUND((Flights!$AD$17)*1440,0)/1440</f>
        <v>46308.0104166667</v>
      </c>
      <c r="R437" s="59" t="n">
        <f aca="false">Q437+(IF(AND(INDEX(TZ_DSTS,MATCH(P437,TZ_STN,0))&lt;&gt;"",Q437&gt;=INDEX(TZ_DSTS,MATCH(P437,TZ_STN,0)),Q437&lt;INDEX(TZ_DSTE,MATCH(P437,TZ_STN,0))),INDEX(TZ_DST,MATCH(P437,TZ_STN,0)),INDEX(TZ_STD,MATCH(P437,TZ_STN,0))))/24</f>
        <v>46308.4479166667</v>
      </c>
      <c r="S437" s="59" t="n">
        <f aca="false">Q437-T24EarlyH/24</f>
        <v>46307.0104166667</v>
      </c>
      <c r="T437" s="60"/>
      <c r="U437" s="60"/>
      <c r="V437" s="60"/>
      <c r="W437" s="60"/>
      <c r="X437" s="60"/>
      <c r="Y437" s="60"/>
      <c r="Z437" s="60"/>
      <c r="AA437" s="60"/>
      <c r="AB437" s="60"/>
      <c r="AC437" s="60"/>
      <c r="AD437" s="66"/>
      <c r="AE437" s="60"/>
      <c r="AF437" s="61" t="str">
        <f aca="false">IF(AND(ISNUMBER(X437),ISNUMBER(Y437)),Y437-X437,"")</f>
        <v/>
      </c>
      <c r="AG437" s="62" t="str">
        <f aca="false">IF(ISNUMBER(AD437),AD437-(IF(AND(INDEX(TZ_DSTS,MATCH(P437,TZ_STN,0))&lt;&gt;"",(AD437-INDEX(TZ_STD,MATCH(P437,TZ_STN,0))/24)&gt;=INDEX(TZ_DSTS,MATCH(P437,TZ_STN,0)),(AD437-INDEX(TZ_STD,MATCH(P437,TZ_STN,0))/24)&lt;INDEX(TZ_DSTE,MATCH(P437,TZ_STN,0))),INDEX(TZ_DST,MATCH(P437,TZ_STN,0)),INDEX(TZ_STD,MATCH(P437,TZ_STN,0))))/24,"")</f>
        <v/>
      </c>
      <c r="AH437" s="65" t="str">
        <f aca="false">IFERROR(IF(N437="N/A – rule","N/A – RULE",IF(TRIM(U437)="N/A",IF(AT437=0,"INVALID – N/A not permitted for this check",IF(AND(TRIM(AB437)&lt;&gt;"",TRIM(AB437)&lt;&gt;"Closed"),"INVALID – corrective action still open",IF(AND(NOT(OR(LEN(AZ437)&lt;15,ISNUMBER(MATCH(AZ437,L_Placeholder,0)))),NOT(OR(LEN(AU437)&lt;2,ISNUMBER(MATCH(AU437,L_Placeholder,0)))),NOT(OR(LEN(AX437)&lt;2,ISNUMBER(MATCH(AX437,L_Placeholder,0)))),TRIM(AE437)&lt;&gt;TRIM(T437)),"N/A – JUSTIFIED","INVALID – N/A needs a real justification (15+ chars), PIC and a different verifier"))),IF(OR(TRIM(U437)="Pass",TRIM(U437)="Pass after CA"),IF(NOT(ISNUMBER(AD437)),"INVALID – completion time missing",IF(OR(LEN(AU437)&lt;2,ISNUMBER(MATCH(AU437,L_Placeholder,0))),"INVALID – PIC missing",IF(OR(LEN(AV437)&lt;2,ISNUMBER(MATCH(AV437,L_Placeholder,0))),"INVALID – result / assessment missing",IF(OR(OR(LEN(AW437)&lt;3,ISNUMBER(MATCH(AW437,L_Placeholder,0))),SUMPRODUCT(--ISNUMBER(SEARCH(L_EvidencePhrase,AW437)))&gt;0),"INVALID – evidence missing, placeholder or not yet on file",IF(OR(LEN(AX437)&lt;2,ISNUMBER(MATCH(AX437,L_Placeholder,0))),"INVALID – verifier missing",IF(AX437=AU437,"INVALID – verifier must be someone other than the PIC",IF(AND(TRIM(U437)="Pass",SUMPRODUCT(--ISNUMBER(SEARCH(L_ResultBad,AV437)))&gt;0),"INVALID – result describes a problem: use Fail, then Pass after CA",IF(AND(AQ437=1,OR(LEN(AY437)&lt;3,ISNUMBER(MATCH(AY437,L_Placeholder,0)))),"INVALID – batch ID missing or placeholder",IF(AND(AR437=1,OR(NOT(ISNUMBER(X437)),NOT(ISNUMBER(Y437)))),"INVALID – expected/actual qty missing",IF(AND(AR437=1,OR(X437&lt;=0,Y437&lt;0)),"INVALID – expected qty must be above 0 and actual not negative",IF(BB437&lt;&gt;"",BB437,IF(AND(AS437=1,Documents!$J$17&lt;&gt;"ON FILE"),"INVALID – GLD not on file (Documents sheet)",IF(AND(AS437=2,Documents!$O$17&lt;&gt;"ON FILE"),"INVALID – menu checklist not on file (Documents sheet)",IF(AND(AS437=3,NOT(ISNUMBER(Flights!$AX$17))),"INVALID – enter carrying flight KUL departure (Flights AX)",IF(AND(AS437=3,OR(Flights!$AZ$17&gt;Flights!$AA$17,Flights!$AX$17&lt;Flights!$AA$17-3)),"INVALID – carrying flight (Flights AX) cannot arrive before this leg's STD, or is over 3 days early",IF(AG437&gt;AsOfUTC,"INVALID – completion time is in the future",IF(AND(ISNUMBER(S437),AG437&lt;S437),IF(H437="Physical uplift","INVALID – before uplift window (cannot confirm loading)","INVALID – before valid window"),IF(AG437&gt;Flights!$AA$17,"INVALID – completed after departure (cannot establish readiness)",IF(AND(H437="Preparation",AG437&gt;IF(ISNUMBER(Flights!$BA$17),MIN(Flights!$BA$17,Flights!$AA$17),Flights!$AA$17)),"INVALID – completed after loading / departure (cannot establish readiness)",IF(AND(H437="Physical uplift",AG437&gt;Q437),"INVALID – recorded after the loading flight departed",IF(AG437&gt;Q437,"COMPLETE – LATE","COMPLETE"))))))))))))))))))))),IF(TRIM(U437)="Fail","FAIL – DISCREPANCY",IF(AND(TRIM(U437)&lt;&gt;"",TRIM(U437)&lt;&gt;"Not started",TRIM(U437)&lt;&gt;"In progress"),"INVALID – unrecognised status (use the list)",IF(AsOfUTC&gt;Q437,"OVERDUE",IF(N437="Clarification required","OPEN – CLARIFICATION","OPEN"))))))),"INVALID – error value in an input cell")</f>
        <v>OPEN</v>
      </c>
      <c r="AI437" s="61" t="n">
        <f aca="false">IF(OR(AH437="N/A – RULE",AH437="N/A – JUSTIFIED"),0,1)</f>
        <v>1</v>
      </c>
      <c r="AJ437" s="61" t="n">
        <f aca="false">IF(LEFT(AH437,8)="COMPLETE",1,0)</f>
        <v>0</v>
      </c>
      <c r="AK437" s="61" t="n">
        <f aca="false">IF(AND(AI437=1,AJ437=0,AsOfUTC&gt;Q437),1,0)</f>
        <v>0</v>
      </c>
      <c r="AL437" s="61" t="n">
        <f aca="false">IFERROR(IF(AND(AI437=1,OR(TRIM(U437)="Fail",AND(TRIM(AB437)&lt;&gt;"",TRIM(AB437)&lt;&gt;"Closed"),AND(ISNUMBER(AF437),AF437&lt;&gt;0,TRIM(U437)&lt;&gt;"Pass after CA"))),1,0),1)</f>
        <v>0</v>
      </c>
      <c r="AM437" s="61" t="n">
        <f aca="false">IF(LEFT(AH437,7)="INVALID",1,0)</f>
        <v>0</v>
      </c>
      <c r="AN437" s="61" t="n">
        <f aca="false">IF(AND(N437="Clarification required",AI437=1,AJ437=0),1,0)</f>
        <v>0</v>
      </c>
      <c r="AO437" s="61" t="str">
        <f aca="false">IF(AK437=1,SUM(AK$5:AK437),"")</f>
        <v/>
      </c>
      <c r="AP437" s="61" t="str">
        <f aca="false">IF(AL437=1,SUM(AL$5:AL437),"")</f>
        <v/>
      </c>
      <c r="AQ437" s="61" t="n">
        <v>1</v>
      </c>
      <c r="AR437" s="61" t="n">
        <v>0</v>
      </c>
      <c r="AS437" s="61" t="n">
        <v>0</v>
      </c>
      <c r="AT437" s="61" t="n">
        <v>0</v>
      </c>
      <c r="AU437" s="61" t="str">
        <f aca="false">SUBSTITUTE(SUBSTITUTE(SUBSTITUTE(SUBSTITUTE(SUBSTITUTE(SUBSTITUTE(SUBSTITUTE(SUBSTITUTE(SUBSTITUTE(SUBSTITUTE(SUBSTITUTE(SUBSTITUTE(SUBSTITUTE(LOWER(T437&amp;""),CHAR(160),"")," ",""),".",""),"-",""),"/",""),"?",""),"_",""),",",""),"[",""),"]",""),"(",""),")",""),"*","")</f>
        <v/>
      </c>
      <c r="AV437" s="61" t="str">
        <f aca="false">SUBSTITUTE(SUBSTITUTE(SUBSTITUTE(SUBSTITUTE(SUBSTITUTE(SUBSTITUTE(SUBSTITUTE(SUBSTITUTE(SUBSTITUTE(SUBSTITUTE(SUBSTITUTE(SUBSTITUTE(SUBSTITUTE(LOWER(V437&amp;""),CHAR(160),"")," ",""),".",""),"-",""),"/",""),"?",""),"_",""),",",""),"[",""),"]",""),"(",""),")",""),"*","")</f>
        <v/>
      </c>
      <c r="AW437" s="61" t="str">
        <f aca="false">SUBSTITUTE(SUBSTITUTE(SUBSTITUTE(SUBSTITUTE(SUBSTITUTE(SUBSTITUTE(SUBSTITUTE(SUBSTITUTE(SUBSTITUTE(SUBSTITUTE(SUBSTITUTE(SUBSTITUTE(SUBSTITUTE(LOWER(Z437&amp;""),CHAR(160),"")," ",""),".",""),"-",""),"/",""),"?",""),"_",""),",",""),"[",""),"]",""),"(",""),")",""),"*","")</f>
        <v/>
      </c>
      <c r="AX437" s="61" t="str">
        <f aca="false">SUBSTITUTE(SUBSTITUTE(SUBSTITUTE(SUBSTITUTE(SUBSTITUTE(SUBSTITUTE(SUBSTITUTE(SUBSTITUTE(SUBSTITUTE(SUBSTITUTE(SUBSTITUTE(SUBSTITUTE(SUBSTITUTE(LOWER(AE437&amp;""),CHAR(160),"")," ",""),".",""),"-",""),"/",""),"?",""),"_",""),",",""),"[",""),"]",""),"(",""),")",""),"*","")</f>
        <v/>
      </c>
      <c r="AY437" s="61" t="str">
        <f aca="false">SUBSTITUTE(SUBSTITUTE(SUBSTITUTE(SUBSTITUTE(SUBSTITUTE(SUBSTITUTE(SUBSTITUTE(SUBSTITUTE(SUBSTITUTE(SUBSTITUTE(SUBSTITUTE(SUBSTITUTE(SUBSTITUTE(LOWER(W437&amp;""),CHAR(160),"")," ",""),".",""),"-",""),"/",""),"?",""),"_",""),",",""),"[",""),"]",""),"(",""),")",""),"*","")</f>
        <v/>
      </c>
      <c r="AZ437" s="61" t="str">
        <f aca="false">SUBSTITUTE(SUBSTITUTE(SUBSTITUTE(SUBSTITUTE(SUBSTITUTE(SUBSTITUTE(SUBSTITUTE(SUBSTITUTE(SUBSTITUTE(SUBSTITUTE(SUBSTITUTE(SUBSTITUTE(SUBSTITUTE(LOWER(AC437&amp;""),CHAR(160),"")," ",""),".",""),"-",""),"/",""),"?",""),"_",""),",",""),"[",""),"]",""),"(",""),")",""),"*","")</f>
        <v/>
      </c>
      <c r="BA437" s="61" t="str">
        <f aca="false">SUBSTITUTE(SUBSTITUTE(SUBSTITUTE(SUBSTITUTE(SUBSTITUTE(SUBSTITUTE(SUBSTITUTE(SUBSTITUTE(SUBSTITUTE(SUBSTITUTE(SUBSTITUTE(SUBSTITUTE(SUBSTITUTE(LOWER(AA437&amp;""),CHAR(160),"")," ",""),".",""),"-",""),"/",""),"?",""),"_",""),",",""),"[",""),"]",""),"(",""),")",""),"*","")</f>
        <v/>
      </c>
      <c r="BB437" s="61" t="str">
        <f aca="false">IF(AND(TRIM(U437)="Pass",ISNUMBER(AF437)),IF(AF437&lt;&gt;0,"INVALID – qty variance: use Fail or Pass after CA",""),"")&amp;IF(AND(TRIM(U437)="Pass after CA",ISNUMBER(AF437)),IF(AF437&lt;&gt;0,"INVALID – after the corrective action the actual qty must equal expected (update Actual)",""),"")&amp;IF(AND(TRIM(U437)="Pass",TRIM(AB437)&lt;&gt;"",TRIM(AB437)&lt;&gt;"Closed"),"INVALID – corrective action not closed: use Fail, then Pass after CA","")&amp;IF(AND(TRIM(AA437)&lt;&gt;"",TRIM(AB437)=""),"INVALID – CA status missing for the recorded corrective action","")&amp;IF(AND(TRIM(U437)="Pass after CA",OR(OR(LEN(BA437)&lt;5,ISNUMBER(MATCH(BA437,L_Placeholder,0))),TRIM(AB437)&lt;&gt;"Closed")),"INVALID – corrective action not recorded/closed","")</f>
        <v/>
      </c>
    </row>
    <row r="438" customFormat="false" ht="39.75" hidden="false" customHeight="true" outlineLevel="0" collapsed="false">
      <c r="A438" s="57" t="s">
        <v>1053</v>
      </c>
      <c r="B438" s="57" t="s">
        <v>269</v>
      </c>
      <c r="C438" s="57" t="str">
        <f aca="false">Flights!$F$17</f>
        <v>MH0138</v>
      </c>
      <c r="D438" s="58" t="n">
        <f aca="false">Flights!$D$17</f>
        <v>46309</v>
      </c>
      <c r="E438" s="57" t="str">
        <f aca="false">Flights!$G$17&amp;"-"&amp;Flights!$H$17</f>
        <v>ADL-KUL</v>
      </c>
      <c r="F438" s="57" t="str">
        <f aca="false">Flights!$K$17</f>
        <v>EY</v>
      </c>
      <c r="G438" s="57" t="s">
        <v>398</v>
      </c>
      <c r="H438" s="57" t="s">
        <v>356</v>
      </c>
      <c r="I438" s="57" t="s">
        <v>357</v>
      </c>
      <c r="J438" s="57" t="s">
        <v>399</v>
      </c>
      <c r="K438" s="67"/>
      <c r="L438" s="67" t="s">
        <v>400</v>
      </c>
      <c r="M438" s="67"/>
      <c r="N438" s="67" t="s">
        <v>361</v>
      </c>
      <c r="O438" s="67" t="s">
        <v>401</v>
      </c>
      <c r="P438" s="57" t="s">
        <v>260</v>
      </c>
      <c r="Q438" s="59" t="n">
        <f aca="false">ROUND((Flights!$AE$17)*1440,0)/1440</f>
        <v>46308.5104166667</v>
      </c>
      <c r="R438" s="59" t="n">
        <f aca="false">Q438+(IF(AND(INDEX(TZ_DSTS,MATCH(P438,TZ_STN,0))&lt;&gt;"",Q438&gt;=INDEX(TZ_DSTS,MATCH(P438,TZ_STN,0)),Q438&lt;INDEX(TZ_DSTE,MATCH(P438,TZ_STN,0))),INDEX(TZ_DST,MATCH(P438,TZ_STN,0)),INDEX(TZ_STD,MATCH(P438,TZ_STN,0))))/24</f>
        <v>46308.9479166667</v>
      </c>
      <c r="S438" s="59" t="n">
        <f aca="false">Q438-T12EarlyH/24</f>
        <v>46308.0104166667</v>
      </c>
      <c r="T438" s="60"/>
      <c r="U438" s="60"/>
      <c r="V438" s="60"/>
      <c r="W438" s="61"/>
      <c r="X438" s="60"/>
      <c r="Y438" s="60"/>
      <c r="Z438" s="60"/>
      <c r="AA438" s="60"/>
      <c r="AB438" s="60"/>
      <c r="AC438" s="60"/>
      <c r="AD438" s="66"/>
      <c r="AE438" s="60"/>
      <c r="AF438" s="61" t="str">
        <f aca="false">IF(AND(ISNUMBER(X438),ISNUMBER(Y438)),Y438-X438,"")</f>
        <v/>
      </c>
      <c r="AG438" s="62" t="str">
        <f aca="false">IF(ISNUMBER(AD438),AD438-(IF(AND(INDEX(TZ_DSTS,MATCH(P438,TZ_STN,0))&lt;&gt;"",(AD438-INDEX(TZ_STD,MATCH(P438,TZ_STN,0))/24)&gt;=INDEX(TZ_DSTS,MATCH(P438,TZ_STN,0)),(AD438-INDEX(TZ_STD,MATCH(P438,TZ_STN,0))/24)&lt;INDEX(TZ_DSTE,MATCH(P438,TZ_STN,0))),INDEX(TZ_DST,MATCH(P438,TZ_STN,0)),INDEX(TZ_STD,MATCH(P438,TZ_STN,0))))/24,"")</f>
        <v/>
      </c>
      <c r="AH438" s="65" t="str">
        <f aca="false">IFERROR(IF(N438="N/A – rule","N/A – RULE",IF(TRIM(U438)="N/A",IF(AT438=0,"INVALID – N/A not permitted for this check",IF(AND(TRIM(AB438)&lt;&gt;"",TRIM(AB438)&lt;&gt;"Closed"),"INVALID – corrective action still open",IF(AND(NOT(OR(LEN(AZ438)&lt;15,ISNUMBER(MATCH(AZ438,L_Placeholder,0)))),NOT(OR(LEN(AU438)&lt;2,ISNUMBER(MATCH(AU438,L_Placeholder,0)))),NOT(OR(LEN(AX438)&lt;2,ISNUMBER(MATCH(AX438,L_Placeholder,0)))),TRIM(AE438)&lt;&gt;TRIM(T438)),"N/A – JUSTIFIED","INVALID – N/A needs a real justification (15+ chars), PIC and a different verifier"))),IF(OR(TRIM(U438)="Pass",TRIM(U438)="Pass after CA"),IF(NOT(ISNUMBER(AD438)),"INVALID – completion time missing",IF(OR(LEN(AU438)&lt;2,ISNUMBER(MATCH(AU438,L_Placeholder,0))),"INVALID – PIC missing",IF(OR(LEN(AV438)&lt;2,ISNUMBER(MATCH(AV438,L_Placeholder,0))),"INVALID – result / assessment missing",IF(OR(OR(LEN(AW438)&lt;3,ISNUMBER(MATCH(AW438,L_Placeholder,0))),SUMPRODUCT(--ISNUMBER(SEARCH(L_EvidencePhrase,AW438)))&gt;0),"INVALID – evidence missing, placeholder or not yet on file",IF(OR(LEN(AX438)&lt;2,ISNUMBER(MATCH(AX438,L_Placeholder,0))),"INVALID – verifier missing",IF(AX438=AU438,"INVALID – verifier must be someone other than the PIC",IF(AND(TRIM(U438)="Pass",SUMPRODUCT(--ISNUMBER(SEARCH(L_ResultBad,AV438)))&gt;0),"INVALID – result describes a problem: use Fail, then Pass after CA",IF(AND(AQ438=1,OR(LEN(AY438)&lt;3,ISNUMBER(MATCH(AY438,L_Placeholder,0)))),"INVALID – batch ID missing or placeholder",IF(AND(AR438=1,OR(NOT(ISNUMBER(X438)),NOT(ISNUMBER(Y438)))),"INVALID – expected/actual qty missing",IF(AND(AR438=1,OR(X438&lt;=0,Y438&lt;0)),"INVALID – expected qty must be above 0 and actual not negative",IF(BB438&lt;&gt;"",BB438,IF(AND(AS438=1,Documents!$J$17&lt;&gt;"ON FILE"),"INVALID – GLD not on file (Documents sheet)",IF(AND(AS438=2,Documents!$O$17&lt;&gt;"ON FILE"),"INVALID – menu checklist not on file (Documents sheet)",IF(AND(AS438=3,NOT(ISNUMBER(Flights!$AX$17))),"INVALID – enter carrying flight KUL departure (Flights AX)",IF(AND(AS438=3,OR(Flights!$AZ$17&gt;Flights!$AA$17,Flights!$AX$17&lt;Flights!$AA$17-3)),"INVALID – carrying flight (Flights AX) cannot arrive before this leg's STD, or is over 3 days early",IF(AG438&gt;AsOfUTC,"INVALID – completion time is in the future",IF(AND(ISNUMBER(S438),AG438&lt;S438),IF(H438="Physical uplift","INVALID – before uplift window (cannot confirm loading)","INVALID – before valid window"),IF(AG438&gt;Flights!$AA$17,"INVALID – completed after departure (cannot establish readiness)",IF(AND(H438="Preparation",AG438&gt;IF(ISNUMBER(Flights!$BA$17),MIN(Flights!$BA$17,Flights!$AA$17),Flights!$AA$17)),"INVALID – completed after loading / departure (cannot establish readiness)",IF(AND(H438="Physical uplift",AG438&gt;Q438),"INVALID – recorded after the loading flight departed",IF(AG438&gt;Q438,"COMPLETE – LATE","COMPLETE"))))))))))))))))))))),IF(TRIM(U438)="Fail","FAIL – DISCREPANCY",IF(AND(TRIM(U438)&lt;&gt;"",TRIM(U438)&lt;&gt;"Not started",TRIM(U438)&lt;&gt;"In progress"),"INVALID – unrecognised status (use the list)",IF(AsOfUTC&gt;Q438,"OVERDUE",IF(N438="Clarification required","OPEN – CLARIFICATION","OPEN"))))))),"INVALID – error value in an input cell")</f>
        <v>OPEN</v>
      </c>
      <c r="AI438" s="61" t="n">
        <f aca="false">IF(OR(AH438="N/A – RULE",AH438="N/A – JUSTIFIED"),0,1)</f>
        <v>1</v>
      </c>
      <c r="AJ438" s="61" t="n">
        <f aca="false">IF(LEFT(AH438,8)="COMPLETE",1,0)</f>
        <v>0</v>
      </c>
      <c r="AK438" s="61" t="n">
        <f aca="false">IF(AND(AI438=1,AJ438=0,AsOfUTC&gt;Q438),1,0)</f>
        <v>0</v>
      </c>
      <c r="AL438" s="61" t="n">
        <f aca="false">IFERROR(IF(AND(AI438=1,OR(TRIM(U438)="Fail",AND(TRIM(AB438)&lt;&gt;"",TRIM(AB438)&lt;&gt;"Closed"),AND(ISNUMBER(AF438),AF438&lt;&gt;0,TRIM(U438)&lt;&gt;"Pass after CA"))),1,0),1)</f>
        <v>0</v>
      </c>
      <c r="AM438" s="61" t="n">
        <f aca="false">IF(LEFT(AH438,7)="INVALID",1,0)</f>
        <v>0</v>
      </c>
      <c r="AN438" s="61" t="n">
        <f aca="false">IF(AND(N438="Clarification required",AI438=1,AJ438=0),1,0)</f>
        <v>0</v>
      </c>
      <c r="AO438" s="61" t="str">
        <f aca="false">IF(AK438=1,SUM(AK$5:AK438),"")</f>
        <v/>
      </c>
      <c r="AP438" s="61" t="str">
        <f aca="false">IF(AL438=1,SUM(AL$5:AL438),"")</f>
        <v/>
      </c>
      <c r="AQ438" s="61" t="n">
        <v>0</v>
      </c>
      <c r="AR438" s="61" t="n">
        <v>0</v>
      </c>
      <c r="AS438" s="61" t="n">
        <v>0</v>
      </c>
      <c r="AT438" s="61" t="n">
        <v>0</v>
      </c>
      <c r="AU438" s="61" t="str">
        <f aca="false">SUBSTITUTE(SUBSTITUTE(SUBSTITUTE(SUBSTITUTE(SUBSTITUTE(SUBSTITUTE(SUBSTITUTE(SUBSTITUTE(SUBSTITUTE(SUBSTITUTE(SUBSTITUTE(SUBSTITUTE(SUBSTITUTE(LOWER(T438&amp;""),CHAR(160),"")," ",""),".",""),"-",""),"/",""),"?",""),"_",""),",",""),"[",""),"]",""),"(",""),")",""),"*","")</f>
        <v/>
      </c>
      <c r="AV438" s="61" t="str">
        <f aca="false">SUBSTITUTE(SUBSTITUTE(SUBSTITUTE(SUBSTITUTE(SUBSTITUTE(SUBSTITUTE(SUBSTITUTE(SUBSTITUTE(SUBSTITUTE(SUBSTITUTE(SUBSTITUTE(SUBSTITUTE(SUBSTITUTE(LOWER(V438&amp;""),CHAR(160),"")," ",""),".",""),"-",""),"/",""),"?",""),"_",""),",",""),"[",""),"]",""),"(",""),")",""),"*","")</f>
        <v/>
      </c>
      <c r="AW438" s="61" t="str">
        <f aca="false">SUBSTITUTE(SUBSTITUTE(SUBSTITUTE(SUBSTITUTE(SUBSTITUTE(SUBSTITUTE(SUBSTITUTE(SUBSTITUTE(SUBSTITUTE(SUBSTITUTE(SUBSTITUTE(SUBSTITUTE(SUBSTITUTE(LOWER(Z438&amp;""),CHAR(160),"")," ",""),".",""),"-",""),"/",""),"?",""),"_",""),",",""),"[",""),"]",""),"(",""),")",""),"*","")</f>
        <v/>
      </c>
      <c r="AX438" s="61" t="str">
        <f aca="false">SUBSTITUTE(SUBSTITUTE(SUBSTITUTE(SUBSTITUTE(SUBSTITUTE(SUBSTITUTE(SUBSTITUTE(SUBSTITUTE(SUBSTITUTE(SUBSTITUTE(SUBSTITUTE(SUBSTITUTE(SUBSTITUTE(LOWER(AE438&amp;""),CHAR(160),"")," ",""),".",""),"-",""),"/",""),"?",""),"_",""),",",""),"[",""),"]",""),"(",""),")",""),"*","")</f>
        <v/>
      </c>
      <c r="AY438" s="61" t="str">
        <f aca="false">SUBSTITUTE(SUBSTITUTE(SUBSTITUTE(SUBSTITUTE(SUBSTITUTE(SUBSTITUTE(SUBSTITUTE(SUBSTITUTE(SUBSTITUTE(SUBSTITUTE(SUBSTITUTE(SUBSTITUTE(SUBSTITUTE(LOWER(W438&amp;""),CHAR(160),"")," ",""),".",""),"-",""),"/",""),"?",""),"_",""),",",""),"[",""),"]",""),"(",""),")",""),"*","")</f>
        <v/>
      </c>
      <c r="AZ438" s="61" t="str">
        <f aca="false">SUBSTITUTE(SUBSTITUTE(SUBSTITUTE(SUBSTITUTE(SUBSTITUTE(SUBSTITUTE(SUBSTITUTE(SUBSTITUTE(SUBSTITUTE(SUBSTITUTE(SUBSTITUTE(SUBSTITUTE(SUBSTITUTE(LOWER(AC438&amp;""),CHAR(160),"")," ",""),".",""),"-",""),"/",""),"?",""),"_",""),",",""),"[",""),"]",""),"(",""),")",""),"*","")</f>
        <v/>
      </c>
      <c r="BA438" s="61" t="str">
        <f aca="false">SUBSTITUTE(SUBSTITUTE(SUBSTITUTE(SUBSTITUTE(SUBSTITUTE(SUBSTITUTE(SUBSTITUTE(SUBSTITUTE(SUBSTITUTE(SUBSTITUTE(SUBSTITUTE(SUBSTITUTE(SUBSTITUTE(LOWER(AA438&amp;""),CHAR(160),"")," ",""),".",""),"-",""),"/",""),"?",""),"_",""),",",""),"[",""),"]",""),"(",""),")",""),"*","")</f>
        <v/>
      </c>
      <c r="BB438" s="61" t="str">
        <f aca="false">IF(AND(TRIM(U438)="Pass",ISNUMBER(AF438)),IF(AF438&lt;&gt;0,"INVALID – qty variance: use Fail or Pass after CA",""),"")&amp;IF(AND(TRIM(U438)="Pass after CA",ISNUMBER(AF438)),IF(AF438&lt;&gt;0,"INVALID – after the corrective action the actual qty must equal expected (update Actual)",""),"")&amp;IF(AND(TRIM(U438)="Pass",TRIM(AB438)&lt;&gt;"",TRIM(AB438)&lt;&gt;"Closed"),"INVALID – corrective action not closed: use Fail, then Pass after CA","")&amp;IF(AND(TRIM(AA438)&lt;&gt;"",TRIM(AB438)=""),"INVALID – CA status missing for the recorded corrective action","")&amp;IF(AND(TRIM(U438)="Pass after CA",OR(OR(LEN(BA438)&lt;5,ISNUMBER(MATCH(BA438,L_Placeholder,0))),TRIM(AB438)&lt;&gt;"Closed")),"INVALID – corrective action not recorded/closed","")</f>
        <v/>
      </c>
    </row>
    <row r="439" customFormat="false" ht="39.75" hidden="false" customHeight="true" outlineLevel="0" collapsed="false">
      <c r="A439" s="57" t="s">
        <v>1054</v>
      </c>
      <c r="B439" s="57" t="s">
        <v>269</v>
      </c>
      <c r="C439" s="57" t="str">
        <f aca="false">Flights!$F$17</f>
        <v>MH0138</v>
      </c>
      <c r="D439" s="58" t="n">
        <f aca="false">Flights!$D$17</f>
        <v>46309</v>
      </c>
      <c r="E439" s="57" t="str">
        <f aca="false">Flights!$G$17&amp;"-"&amp;Flights!$H$17</f>
        <v>ADL-KUL</v>
      </c>
      <c r="F439" s="57" t="str">
        <f aca="false">Flights!$K$17</f>
        <v>EY</v>
      </c>
      <c r="G439" s="57" t="s">
        <v>398</v>
      </c>
      <c r="H439" s="57" t="s">
        <v>356</v>
      </c>
      <c r="I439" s="57" t="s">
        <v>357</v>
      </c>
      <c r="J439" s="57" t="s">
        <v>403</v>
      </c>
      <c r="K439" s="67" t="s">
        <v>404</v>
      </c>
      <c r="L439" s="67" t="s">
        <v>400</v>
      </c>
      <c r="M439" s="67"/>
      <c r="N439" s="67" t="s">
        <v>361</v>
      </c>
      <c r="O439" s="67" t="s">
        <v>401</v>
      </c>
      <c r="P439" s="57" t="s">
        <v>260</v>
      </c>
      <c r="Q439" s="59" t="n">
        <f aca="false">ROUND((Flights!$AE$17)*1440,0)/1440</f>
        <v>46308.5104166667</v>
      </c>
      <c r="R439" s="59" t="n">
        <f aca="false">Q439+(IF(AND(INDEX(TZ_DSTS,MATCH(P439,TZ_STN,0))&lt;&gt;"",Q439&gt;=INDEX(TZ_DSTS,MATCH(P439,TZ_STN,0)),Q439&lt;INDEX(TZ_DSTE,MATCH(P439,TZ_STN,0))),INDEX(TZ_DST,MATCH(P439,TZ_STN,0)),INDEX(TZ_STD,MATCH(P439,TZ_STN,0))))/24</f>
        <v>46308.9479166667</v>
      </c>
      <c r="S439" s="59" t="n">
        <f aca="false">Q439-T12EarlyH/24</f>
        <v>46308.0104166667</v>
      </c>
      <c r="T439" s="60"/>
      <c r="U439" s="60"/>
      <c r="V439" s="60"/>
      <c r="W439" s="61"/>
      <c r="X439" s="60"/>
      <c r="Y439" s="60"/>
      <c r="Z439" s="60"/>
      <c r="AA439" s="60"/>
      <c r="AB439" s="60"/>
      <c r="AC439" s="60"/>
      <c r="AD439" s="66"/>
      <c r="AE439" s="60"/>
      <c r="AF439" s="61" t="str">
        <f aca="false">IF(AND(ISNUMBER(X439),ISNUMBER(Y439)),Y439-X439,"")</f>
        <v/>
      </c>
      <c r="AG439" s="62" t="str">
        <f aca="false">IF(ISNUMBER(AD439),AD439-(IF(AND(INDEX(TZ_DSTS,MATCH(P439,TZ_STN,0))&lt;&gt;"",(AD439-INDEX(TZ_STD,MATCH(P439,TZ_STN,0))/24)&gt;=INDEX(TZ_DSTS,MATCH(P439,TZ_STN,0)),(AD439-INDEX(TZ_STD,MATCH(P439,TZ_STN,0))/24)&lt;INDEX(TZ_DSTE,MATCH(P439,TZ_STN,0))),INDEX(TZ_DST,MATCH(P439,TZ_STN,0)),INDEX(TZ_STD,MATCH(P439,TZ_STN,0))))/24,"")</f>
        <v/>
      </c>
      <c r="AH439" s="65" t="str">
        <f aca="false">IFERROR(IF(N439="N/A – rule","N/A – RULE",IF(TRIM(U439)="N/A",IF(AT439=0,"INVALID – N/A not permitted for this check",IF(AND(TRIM(AB439)&lt;&gt;"",TRIM(AB439)&lt;&gt;"Closed"),"INVALID – corrective action still open",IF(AND(NOT(OR(LEN(AZ439)&lt;15,ISNUMBER(MATCH(AZ439,L_Placeholder,0)))),NOT(OR(LEN(AU439)&lt;2,ISNUMBER(MATCH(AU439,L_Placeholder,0)))),NOT(OR(LEN(AX439)&lt;2,ISNUMBER(MATCH(AX439,L_Placeholder,0)))),TRIM(AE439)&lt;&gt;TRIM(T439)),"N/A – JUSTIFIED","INVALID – N/A needs a real justification (15+ chars), PIC and a different verifier"))),IF(OR(TRIM(U439)="Pass",TRIM(U439)="Pass after CA"),IF(NOT(ISNUMBER(AD439)),"INVALID – completion time missing",IF(OR(LEN(AU439)&lt;2,ISNUMBER(MATCH(AU439,L_Placeholder,0))),"INVALID – PIC missing",IF(OR(LEN(AV439)&lt;2,ISNUMBER(MATCH(AV439,L_Placeholder,0))),"INVALID – result / assessment missing",IF(OR(OR(LEN(AW439)&lt;3,ISNUMBER(MATCH(AW439,L_Placeholder,0))),SUMPRODUCT(--ISNUMBER(SEARCH(L_EvidencePhrase,AW439)))&gt;0),"INVALID – evidence missing, placeholder or not yet on file",IF(OR(LEN(AX439)&lt;2,ISNUMBER(MATCH(AX439,L_Placeholder,0))),"INVALID – verifier missing",IF(AX439=AU439,"INVALID – verifier must be someone other than the PIC",IF(AND(TRIM(U439)="Pass",SUMPRODUCT(--ISNUMBER(SEARCH(L_ResultBad,AV439)))&gt;0),"INVALID – result describes a problem: use Fail, then Pass after CA",IF(AND(AQ439=1,OR(LEN(AY439)&lt;3,ISNUMBER(MATCH(AY439,L_Placeholder,0)))),"INVALID – batch ID missing or placeholder",IF(AND(AR439=1,OR(NOT(ISNUMBER(X439)),NOT(ISNUMBER(Y439)))),"INVALID – expected/actual qty missing",IF(AND(AR439=1,OR(X439&lt;=0,Y439&lt;0)),"INVALID – expected qty must be above 0 and actual not negative",IF(BB439&lt;&gt;"",BB439,IF(AND(AS439=1,Documents!$J$17&lt;&gt;"ON FILE"),"INVALID – GLD not on file (Documents sheet)",IF(AND(AS439=2,Documents!$O$17&lt;&gt;"ON FILE"),"INVALID – menu checklist not on file (Documents sheet)",IF(AND(AS439=3,NOT(ISNUMBER(Flights!$AX$17))),"INVALID – enter carrying flight KUL departure (Flights AX)",IF(AND(AS439=3,OR(Flights!$AZ$17&gt;Flights!$AA$17,Flights!$AX$17&lt;Flights!$AA$17-3)),"INVALID – carrying flight (Flights AX) cannot arrive before this leg's STD, or is over 3 days early",IF(AG439&gt;AsOfUTC,"INVALID – completion time is in the future",IF(AND(ISNUMBER(S439),AG439&lt;S439),IF(H439="Physical uplift","INVALID – before uplift window (cannot confirm loading)","INVALID – before valid window"),IF(AG439&gt;Flights!$AA$17,"INVALID – completed after departure (cannot establish readiness)",IF(AND(H439="Preparation",AG439&gt;IF(ISNUMBER(Flights!$BA$17),MIN(Flights!$BA$17,Flights!$AA$17),Flights!$AA$17)),"INVALID – completed after loading / departure (cannot establish readiness)",IF(AND(H439="Physical uplift",AG439&gt;Q439),"INVALID – recorded after the loading flight departed",IF(AG439&gt;Q439,"COMPLETE – LATE","COMPLETE"))))))))))))))))))))),IF(TRIM(U439)="Fail","FAIL – DISCREPANCY",IF(AND(TRIM(U439)&lt;&gt;"",TRIM(U439)&lt;&gt;"Not started",TRIM(U439)&lt;&gt;"In progress"),"INVALID – unrecognised status (use the list)",IF(AsOfUTC&gt;Q439,"OVERDUE",IF(N439="Clarification required","OPEN – CLARIFICATION","OPEN"))))))),"INVALID – error value in an input cell")</f>
        <v>OPEN</v>
      </c>
      <c r="AI439" s="61" t="n">
        <f aca="false">IF(OR(AH439="N/A – RULE",AH439="N/A – JUSTIFIED"),0,1)</f>
        <v>1</v>
      </c>
      <c r="AJ439" s="61" t="n">
        <f aca="false">IF(LEFT(AH439,8)="COMPLETE",1,0)</f>
        <v>0</v>
      </c>
      <c r="AK439" s="61" t="n">
        <f aca="false">IF(AND(AI439=1,AJ439=0,AsOfUTC&gt;Q439),1,0)</f>
        <v>0</v>
      </c>
      <c r="AL439" s="61" t="n">
        <f aca="false">IFERROR(IF(AND(AI439=1,OR(TRIM(U439)="Fail",AND(TRIM(AB439)&lt;&gt;"",TRIM(AB439)&lt;&gt;"Closed"),AND(ISNUMBER(AF439),AF439&lt;&gt;0,TRIM(U439)&lt;&gt;"Pass after CA"))),1,0),1)</f>
        <v>0</v>
      </c>
      <c r="AM439" s="61" t="n">
        <f aca="false">IF(LEFT(AH439,7)="INVALID",1,0)</f>
        <v>0</v>
      </c>
      <c r="AN439" s="61" t="n">
        <f aca="false">IF(AND(N439="Clarification required",AI439=1,AJ439=0),1,0)</f>
        <v>0</v>
      </c>
      <c r="AO439" s="61" t="str">
        <f aca="false">IF(AK439=1,SUM(AK$5:AK439),"")</f>
        <v/>
      </c>
      <c r="AP439" s="61" t="str">
        <f aca="false">IF(AL439=1,SUM(AL$5:AL439),"")</f>
        <v/>
      </c>
      <c r="AQ439" s="61" t="n">
        <v>0</v>
      </c>
      <c r="AR439" s="61" t="n">
        <v>1</v>
      </c>
      <c r="AS439" s="61" t="n">
        <v>0</v>
      </c>
      <c r="AT439" s="61" t="n">
        <v>0</v>
      </c>
      <c r="AU439" s="61" t="str">
        <f aca="false">SUBSTITUTE(SUBSTITUTE(SUBSTITUTE(SUBSTITUTE(SUBSTITUTE(SUBSTITUTE(SUBSTITUTE(SUBSTITUTE(SUBSTITUTE(SUBSTITUTE(SUBSTITUTE(SUBSTITUTE(SUBSTITUTE(LOWER(T439&amp;""),CHAR(160),"")," ",""),".",""),"-",""),"/",""),"?",""),"_",""),",",""),"[",""),"]",""),"(",""),")",""),"*","")</f>
        <v/>
      </c>
      <c r="AV439" s="61" t="str">
        <f aca="false">SUBSTITUTE(SUBSTITUTE(SUBSTITUTE(SUBSTITUTE(SUBSTITUTE(SUBSTITUTE(SUBSTITUTE(SUBSTITUTE(SUBSTITUTE(SUBSTITUTE(SUBSTITUTE(SUBSTITUTE(SUBSTITUTE(LOWER(V439&amp;""),CHAR(160),"")," ",""),".",""),"-",""),"/",""),"?",""),"_",""),",",""),"[",""),"]",""),"(",""),")",""),"*","")</f>
        <v/>
      </c>
      <c r="AW439" s="61" t="str">
        <f aca="false">SUBSTITUTE(SUBSTITUTE(SUBSTITUTE(SUBSTITUTE(SUBSTITUTE(SUBSTITUTE(SUBSTITUTE(SUBSTITUTE(SUBSTITUTE(SUBSTITUTE(SUBSTITUTE(SUBSTITUTE(SUBSTITUTE(LOWER(Z439&amp;""),CHAR(160),"")," ",""),".",""),"-",""),"/",""),"?",""),"_",""),",",""),"[",""),"]",""),"(",""),")",""),"*","")</f>
        <v/>
      </c>
      <c r="AX439" s="61" t="str">
        <f aca="false">SUBSTITUTE(SUBSTITUTE(SUBSTITUTE(SUBSTITUTE(SUBSTITUTE(SUBSTITUTE(SUBSTITUTE(SUBSTITUTE(SUBSTITUTE(SUBSTITUTE(SUBSTITUTE(SUBSTITUTE(SUBSTITUTE(LOWER(AE439&amp;""),CHAR(160),"")," ",""),".",""),"-",""),"/",""),"?",""),"_",""),",",""),"[",""),"]",""),"(",""),")",""),"*","")</f>
        <v/>
      </c>
      <c r="AY439" s="61" t="str">
        <f aca="false">SUBSTITUTE(SUBSTITUTE(SUBSTITUTE(SUBSTITUTE(SUBSTITUTE(SUBSTITUTE(SUBSTITUTE(SUBSTITUTE(SUBSTITUTE(SUBSTITUTE(SUBSTITUTE(SUBSTITUTE(SUBSTITUTE(LOWER(W439&amp;""),CHAR(160),"")," ",""),".",""),"-",""),"/",""),"?",""),"_",""),",",""),"[",""),"]",""),"(",""),")",""),"*","")</f>
        <v/>
      </c>
      <c r="AZ439" s="61" t="str">
        <f aca="false">SUBSTITUTE(SUBSTITUTE(SUBSTITUTE(SUBSTITUTE(SUBSTITUTE(SUBSTITUTE(SUBSTITUTE(SUBSTITUTE(SUBSTITUTE(SUBSTITUTE(SUBSTITUTE(SUBSTITUTE(SUBSTITUTE(LOWER(AC439&amp;""),CHAR(160),"")," ",""),".",""),"-",""),"/",""),"?",""),"_",""),",",""),"[",""),"]",""),"(",""),")",""),"*","")</f>
        <v/>
      </c>
      <c r="BA439" s="61" t="str">
        <f aca="false">SUBSTITUTE(SUBSTITUTE(SUBSTITUTE(SUBSTITUTE(SUBSTITUTE(SUBSTITUTE(SUBSTITUTE(SUBSTITUTE(SUBSTITUTE(SUBSTITUTE(SUBSTITUTE(SUBSTITUTE(SUBSTITUTE(LOWER(AA439&amp;""),CHAR(160),"")," ",""),".",""),"-",""),"/",""),"?",""),"_",""),",",""),"[",""),"]",""),"(",""),")",""),"*","")</f>
        <v/>
      </c>
      <c r="BB439" s="61" t="str">
        <f aca="false">IF(AND(TRIM(U439)="Pass",ISNUMBER(AF439)),IF(AF439&lt;&gt;0,"INVALID – qty variance: use Fail or Pass after CA",""),"")&amp;IF(AND(TRIM(U439)="Pass after CA",ISNUMBER(AF439)),IF(AF439&lt;&gt;0,"INVALID – after the corrective action the actual qty must equal expected (update Actual)",""),"")&amp;IF(AND(TRIM(U439)="Pass",TRIM(AB439)&lt;&gt;"",TRIM(AB439)&lt;&gt;"Closed"),"INVALID – corrective action not closed: use Fail, then Pass after CA","")&amp;IF(AND(TRIM(AA439)&lt;&gt;"",TRIM(AB439)=""),"INVALID – CA status missing for the recorded corrective action","")&amp;IF(AND(TRIM(U439)="Pass after CA",OR(OR(LEN(BA439)&lt;5,ISNUMBER(MATCH(BA439,L_Placeholder,0))),TRIM(AB439)&lt;&gt;"Closed")),"INVALID – corrective action not recorded/closed","")</f>
        <v/>
      </c>
    </row>
    <row r="440" customFormat="false" ht="39.75" hidden="false" customHeight="true" outlineLevel="0" collapsed="false">
      <c r="A440" s="57" t="s">
        <v>1055</v>
      </c>
      <c r="B440" s="57" t="s">
        <v>269</v>
      </c>
      <c r="C440" s="57" t="str">
        <f aca="false">Flights!$F$17</f>
        <v>MH0138</v>
      </c>
      <c r="D440" s="58" t="n">
        <f aca="false">Flights!$D$17</f>
        <v>46309</v>
      </c>
      <c r="E440" s="57" t="str">
        <f aca="false">Flights!$G$17&amp;"-"&amp;Flights!$H$17</f>
        <v>ADL-KUL</v>
      </c>
      <c r="F440" s="57" t="str">
        <f aca="false">Flights!$K$17</f>
        <v>EY</v>
      </c>
      <c r="G440" s="57" t="s">
        <v>398</v>
      </c>
      <c r="H440" s="57" t="s">
        <v>356</v>
      </c>
      <c r="I440" s="57" t="s">
        <v>406</v>
      </c>
      <c r="J440" s="57" t="s">
        <v>407</v>
      </c>
      <c r="K440" s="67"/>
      <c r="L440" s="67" t="s">
        <v>400</v>
      </c>
      <c r="M440" s="67"/>
      <c r="N440" s="67" t="s">
        <v>361</v>
      </c>
      <c r="O440" s="67" t="s">
        <v>401</v>
      </c>
      <c r="P440" s="57" t="s">
        <v>260</v>
      </c>
      <c r="Q440" s="59" t="n">
        <f aca="false">ROUND((Flights!$AE$17)*1440,0)/1440</f>
        <v>46308.5104166667</v>
      </c>
      <c r="R440" s="59" t="n">
        <f aca="false">Q440+(IF(AND(INDEX(TZ_DSTS,MATCH(P440,TZ_STN,0))&lt;&gt;"",Q440&gt;=INDEX(TZ_DSTS,MATCH(P440,TZ_STN,0)),Q440&lt;INDEX(TZ_DSTE,MATCH(P440,TZ_STN,0))),INDEX(TZ_DST,MATCH(P440,TZ_STN,0)),INDEX(TZ_STD,MATCH(P440,TZ_STN,0))))/24</f>
        <v>46308.9479166667</v>
      </c>
      <c r="S440" s="59" t="n">
        <f aca="false">Q440-T12EarlyH/24</f>
        <v>46308.0104166667</v>
      </c>
      <c r="T440" s="60"/>
      <c r="U440" s="60"/>
      <c r="V440" s="60"/>
      <c r="W440" s="61"/>
      <c r="X440" s="60"/>
      <c r="Y440" s="60"/>
      <c r="Z440" s="60"/>
      <c r="AA440" s="60"/>
      <c r="AB440" s="60"/>
      <c r="AC440" s="60"/>
      <c r="AD440" s="66"/>
      <c r="AE440" s="60"/>
      <c r="AF440" s="61" t="str">
        <f aca="false">IF(AND(ISNUMBER(X440),ISNUMBER(Y440)),Y440-X440,"")</f>
        <v/>
      </c>
      <c r="AG440" s="62" t="str">
        <f aca="false">IF(ISNUMBER(AD440),AD440-(IF(AND(INDEX(TZ_DSTS,MATCH(P440,TZ_STN,0))&lt;&gt;"",(AD440-INDEX(TZ_STD,MATCH(P440,TZ_STN,0))/24)&gt;=INDEX(TZ_DSTS,MATCH(P440,TZ_STN,0)),(AD440-INDEX(TZ_STD,MATCH(P440,TZ_STN,0))/24)&lt;INDEX(TZ_DSTE,MATCH(P440,TZ_STN,0))),INDEX(TZ_DST,MATCH(P440,TZ_STN,0)),INDEX(TZ_STD,MATCH(P440,TZ_STN,0))))/24,"")</f>
        <v/>
      </c>
      <c r="AH440" s="65" t="str">
        <f aca="false">IFERROR(IF(N440="N/A – rule","N/A – RULE",IF(TRIM(U440)="N/A",IF(AT440=0,"INVALID – N/A not permitted for this check",IF(AND(TRIM(AB440)&lt;&gt;"",TRIM(AB440)&lt;&gt;"Closed"),"INVALID – corrective action still open",IF(AND(NOT(OR(LEN(AZ440)&lt;15,ISNUMBER(MATCH(AZ440,L_Placeholder,0)))),NOT(OR(LEN(AU440)&lt;2,ISNUMBER(MATCH(AU440,L_Placeholder,0)))),NOT(OR(LEN(AX440)&lt;2,ISNUMBER(MATCH(AX440,L_Placeholder,0)))),TRIM(AE440)&lt;&gt;TRIM(T440)),"N/A – JUSTIFIED","INVALID – N/A needs a real justification (15+ chars), PIC and a different verifier"))),IF(OR(TRIM(U440)="Pass",TRIM(U440)="Pass after CA"),IF(NOT(ISNUMBER(AD440)),"INVALID – completion time missing",IF(OR(LEN(AU440)&lt;2,ISNUMBER(MATCH(AU440,L_Placeholder,0))),"INVALID – PIC missing",IF(OR(LEN(AV440)&lt;2,ISNUMBER(MATCH(AV440,L_Placeholder,0))),"INVALID – result / assessment missing",IF(OR(OR(LEN(AW440)&lt;3,ISNUMBER(MATCH(AW440,L_Placeholder,0))),SUMPRODUCT(--ISNUMBER(SEARCH(L_EvidencePhrase,AW440)))&gt;0),"INVALID – evidence missing, placeholder or not yet on file",IF(OR(LEN(AX440)&lt;2,ISNUMBER(MATCH(AX440,L_Placeholder,0))),"INVALID – verifier missing",IF(AX440=AU440,"INVALID – verifier must be someone other than the PIC",IF(AND(TRIM(U440)="Pass",SUMPRODUCT(--ISNUMBER(SEARCH(L_ResultBad,AV440)))&gt;0),"INVALID – result describes a problem: use Fail, then Pass after CA",IF(AND(AQ440=1,OR(LEN(AY440)&lt;3,ISNUMBER(MATCH(AY440,L_Placeholder,0)))),"INVALID – batch ID missing or placeholder",IF(AND(AR440=1,OR(NOT(ISNUMBER(X440)),NOT(ISNUMBER(Y440)))),"INVALID – expected/actual qty missing",IF(AND(AR440=1,OR(X440&lt;=0,Y440&lt;0)),"INVALID – expected qty must be above 0 and actual not negative",IF(BB440&lt;&gt;"",BB440,IF(AND(AS440=1,Documents!$J$17&lt;&gt;"ON FILE"),"INVALID – GLD not on file (Documents sheet)",IF(AND(AS440=2,Documents!$O$17&lt;&gt;"ON FILE"),"INVALID – menu checklist not on file (Documents sheet)",IF(AND(AS440=3,NOT(ISNUMBER(Flights!$AX$17))),"INVALID – enter carrying flight KUL departure (Flights AX)",IF(AND(AS440=3,OR(Flights!$AZ$17&gt;Flights!$AA$17,Flights!$AX$17&lt;Flights!$AA$17-3)),"INVALID – carrying flight (Flights AX) cannot arrive before this leg's STD, or is over 3 days early",IF(AG440&gt;AsOfUTC,"INVALID – completion time is in the future",IF(AND(ISNUMBER(S440),AG440&lt;S440),IF(H440="Physical uplift","INVALID – before uplift window (cannot confirm loading)","INVALID – before valid window"),IF(AG440&gt;Flights!$AA$17,"INVALID – completed after departure (cannot establish readiness)",IF(AND(H440="Preparation",AG440&gt;IF(ISNUMBER(Flights!$BA$17),MIN(Flights!$BA$17,Flights!$AA$17),Flights!$AA$17)),"INVALID – completed after loading / departure (cannot establish readiness)",IF(AND(H440="Physical uplift",AG440&gt;Q440),"INVALID – recorded after the loading flight departed",IF(AG440&gt;Q440,"COMPLETE – LATE","COMPLETE"))))))))))))))))))))),IF(TRIM(U440)="Fail","FAIL – DISCREPANCY",IF(AND(TRIM(U440)&lt;&gt;"",TRIM(U440)&lt;&gt;"Not started",TRIM(U440)&lt;&gt;"In progress"),"INVALID – unrecognised status (use the list)",IF(AsOfUTC&gt;Q440,"OVERDUE",IF(N440="Clarification required","OPEN – CLARIFICATION","OPEN"))))))),"INVALID – error value in an input cell")</f>
        <v>OPEN</v>
      </c>
      <c r="AI440" s="61" t="n">
        <f aca="false">IF(OR(AH440="N/A – RULE",AH440="N/A – JUSTIFIED"),0,1)</f>
        <v>1</v>
      </c>
      <c r="AJ440" s="61" t="n">
        <f aca="false">IF(LEFT(AH440,8)="COMPLETE",1,0)</f>
        <v>0</v>
      </c>
      <c r="AK440" s="61" t="n">
        <f aca="false">IF(AND(AI440=1,AJ440=0,AsOfUTC&gt;Q440),1,0)</f>
        <v>0</v>
      </c>
      <c r="AL440" s="61" t="n">
        <f aca="false">IFERROR(IF(AND(AI440=1,OR(TRIM(U440)="Fail",AND(TRIM(AB440)&lt;&gt;"",TRIM(AB440)&lt;&gt;"Closed"),AND(ISNUMBER(AF440),AF440&lt;&gt;0,TRIM(U440)&lt;&gt;"Pass after CA"))),1,0),1)</f>
        <v>0</v>
      </c>
      <c r="AM440" s="61" t="n">
        <f aca="false">IF(LEFT(AH440,7)="INVALID",1,0)</f>
        <v>0</v>
      </c>
      <c r="AN440" s="61" t="n">
        <f aca="false">IF(AND(N440="Clarification required",AI440=1,AJ440=0),1,0)</f>
        <v>0</v>
      </c>
      <c r="AO440" s="61" t="str">
        <f aca="false">IF(AK440=1,SUM(AK$5:AK440),"")</f>
        <v/>
      </c>
      <c r="AP440" s="61" t="str">
        <f aca="false">IF(AL440=1,SUM(AL$5:AL440),"")</f>
        <v/>
      </c>
      <c r="AQ440" s="61" t="n">
        <v>0</v>
      </c>
      <c r="AR440" s="61" t="n">
        <v>0</v>
      </c>
      <c r="AS440" s="61" t="n">
        <v>0</v>
      </c>
      <c r="AT440" s="61" t="n">
        <v>0</v>
      </c>
      <c r="AU440" s="61" t="str">
        <f aca="false">SUBSTITUTE(SUBSTITUTE(SUBSTITUTE(SUBSTITUTE(SUBSTITUTE(SUBSTITUTE(SUBSTITUTE(SUBSTITUTE(SUBSTITUTE(SUBSTITUTE(SUBSTITUTE(SUBSTITUTE(SUBSTITUTE(LOWER(T440&amp;""),CHAR(160),"")," ",""),".",""),"-",""),"/",""),"?",""),"_",""),",",""),"[",""),"]",""),"(",""),")",""),"*","")</f>
        <v/>
      </c>
      <c r="AV440" s="61" t="str">
        <f aca="false">SUBSTITUTE(SUBSTITUTE(SUBSTITUTE(SUBSTITUTE(SUBSTITUTE(SUBSTITUTE(SUBSTITUTE(SUBSTITUTE(SUBSTITUTE(SUBSTITUTE(SUBSTITUTE(SUBSTITUTE(SUBSTITUTE(LOWER(V440&amp;""),CHAR(160),"")," ",""),".",""),"-",""),"/",""),"?",""),"_",""),",",""),"[",""),"]",""),"(",""),")",""),"*","")</f>
        <v/>
      </c>
      <c r="AW440" s="61" t="str">
        <f aca="false">SUBSTITUTE(SUBSTITUTE(SUBSTITUTE(SUBSTITUTE(SUBSTITUTE(SUBSTITUTE(SUBSTITUTE(SUBSTITUTE(SUBSTITUTE(SUBSTITUTE(SUBSTITUTE(SUBSTITUTE(SUBSTITUTE(LOWER(Z440&amp;""),CHAR(160),"")," ",""),".",""),"-",""),"/",""),"?",""),"_",""),",",""),"[",""),"]",""),"(",""),")",""),"*","")</f>
        <v/>
      </c>
      <c r="AX440" s="61" t="str">
        <f aca="false">SUBSTITUTE(SUBSTITUTE(SUBSTITUTE(SUBSTITUTE(SUBSTITUTE(SUBSTITUTE(SUBSTITUTE(SUBSTITUTE(SUBSTITUTE(SUBSTITUTE(SUBSTITUTE(SUBSTITUTE(SUBSTITUTE(LOWER(AE440&amp;""),CHAR(160),"")," ",""),".",""),"-",""),"/",""),"?",""),"_",""),",",""),"[",""),"]",""),"(",""),")",""),"*","")</f>
        <v/>
      </c>
      <c r="AY440" s="61" t="str">
        <f aca="false">SUBSTITUTE(SUBSTITUTE(SUBSTITUTE(SUBSTITUTE(SUBSTITUTE(SUBSTITUTE(SUBSTITUTE(SUBSTITUTE(SUBSTITUTE(SUBSTITUTE(SUBSTITUTE(SUBSTITUTE(SUBSTITUTE(LOWER(W440&amp;""),CHAR(160),"")," ",""),".",""),"-",""),"/",""),"?",""),"_",""),",",""),"[",""),"]",""),"(",""),")",""),"*","")</f>
        <v/>
      </c>
      <c r="AZ440" s="61" t="str">
        <f aca="false">SUBSTITUTE(SUBSTITUTE(SUBSTITUTE(SUBSTITUTE(SUBSTITUTE(SUBSTITUTE(SUBSTITUTE(SUBSTITUTE(SUBSTITUTE(SUBSTITUTE(SUBSTITUTE(SUBSTITUTE(SUBSTITUTE(LOWER(AC440&amp;""),CHAR(160),"")," ",""),".",""),"-",""),"/",""),"?",""),"_",""),",",""),"[",""),"]",""),"(",""),")",""),"*","")</f>
        <v/>
      </c>
      <c r="BA440" s="61" t="str">
        <f aca="false">SUBSTITUTE(SUBSTITUTE(SUBSTITUTE(SUBSTITUTE(SUBSTITUTE(SUBSTITUTE(SUBSTITUTE(SUBSTITUTE(SUBSTITUTE(SUBSTITUTE(SUBSTITUTE(SUBSTITUTE(SUBSTITUTE(LOWER(AA440&amp;""),CHAR(160),"")," ",""),".",""),"-",""),"/",""),"?",""),"_",""),",",""),"[",""),"]",""),"(",""),")",""),"*","")</f>
        <v/>
      </c>
      <c r="BB440" s="61" t="str">
        <f aca="false">IF(AND(TRIM(U440)="Pass",ISNUMBER(AF440)),IF(AF440&lt;&gt;0,"INVALID – qty variance: use Fail or Pass after CA",""),"")&amp;IF(AND(TRIM(U440)="Pass after CA",ISNUMBER(AF440)),IF(AF440&lt;&gt;0,"INVALID – after the corrective action the actual qty must equal expected (update Actual)",""),"")&amp;IF(AND(TRIM(U440)="Pass",TRIM(AB440)&lt;&gt;"",TRIM(AB440)&lt;&gt;"Closed"),"INVALID – corrective action not closed: use Fail, then Pass after CA","")&amp;IF(AND(TRIM(AA440)&lt;&gt;"",TRIM(AB440)=""),"INVALID – CA status missing for the recorded corrective action","")&amp;IF(AND(TRIM(U440)="Pass after CA",OR(OR(LEN(BA440)&lt;5,ISNUMBER(MATCH(BA440,L_Placeholder,0))),TRIM(AB440)&lt;&gt;"Closed")),"INVALID – corrective action not recorded/closed","")</f>
        <v/>
      </c>
    </row>
    <row r="441" customFormat="false" ht="39.75" hidden="false" customHeight="true" outlineLevel="0" collapsed="false">
      <c r="A441" s="57" t="s">
        <v>1056</v>
      </c>
      <c r="B441" s="57" t="s">
        <v>269</v>
      </c>
      <c r="C441" s="57" t="str">
        <f aca="false">Flights!$F$17</f>
        <v>MH0138</v>
      </c>
      <c r="D441" s="58" t="n">
        <f aca="false">Flights!$D$17</f>
        <v>46309</v>
      </c>
      <c r="E441" s="57" t="str">
        <f aca="false">Flights!$G$17&amp;"-"&amp;Flights!$H$17</f>
        <v>ADL-KUL</v>
      </c>
      <c r="F441" s="57" t="str">
        <f aca="false">Flights!$K$17</f>
        <v>EY</v>
      </c>
      <c r="G441" s="57" t="s">
        <v>398</v>
      </c>
      <c r="H441" s="57" t="s">
        <v>356</v>
      </c>
      <c r="I441" s="57" t="s">
        <v>406</v>
      </c>
      <c r="J441" s="57" t="s">
        <v>409</v>
      </c>
      <c r="K441" s="67"/>
      <c r="L441" s="67" t="s">
        <v>400</v>
      </c>
      <c r="M441" s="67"/>
      <c r="N441" s="67" t="s">
        <v>361</v>
      </c>
      <c r="O441" s="67" t="s">
        <v>401</v>
      </c>
      <c r="P441" s="57" t="s">
        <v>260</v>
      </c>
      <c r="Q441" s="59" t="n">
        <f aca="false">ROUND((Flights!$AE$17)*1440,0)/1440</f>
        <v>46308.5104166667</v>
      </c>
      <c r="R441" s="59" t="n">
        <f aca="false">Q441+(IF(AND(INDEX(TZ_DSTS,MATCH(P441,TZ_STN,0))&lt;&gt;"",Q441&gt;=INDEX(TZ_DSTS,MATCH(P441,TZ_STN,0)),Q441&lt;INDEX(TZ_DSTE,MATCH(P441,TZ_STN,0))),INDEX(TZ_DST,MATCH(P441,TZ_STN,0)),INDEX(TZ_STD,MATCH(P441,TZ_STN,0))))/24</f>
        <v>46308.9479166667</v>
      </c>
      <c r="S441" s="59" t="n">
        <f aca="false">Q441-T12EarlyH/24</f>
        <v>46308.0104166667</v>
      </c>
      <c r="T441" s="60"/>
      <c r="U441" s="60"/>
      <c r="V441" s="60"/>
      <c r="W441" s="61"/>
      <c r="X441" s="60"/>
      <c r="Y441" s="60"/>
      <c r="Z441" s="60"/>
      <c r="AA441" s="60"/>
      <c r="AB441" s="60"/>
      <c r="AC441" s="60"/>
      <c r="AD441" s="66"/>
      <c r="AE441" s="60"/>
      <c r="AF441" s="61" t="str">
        <f aca="false">IF(AND(ISNUMBER(X441),ISNUMBER(Y441)),Y441-X441,"")</f>
        <v/>
      </c>
      <c r="AG441" s="62" t="str">
        <f aca="false">IF(ISNUMBER(AD441),AD441-(IF(AND(INDEX(TZ_DSTS,MATCH(P441,TZ_STN,0))&lt;&gt;"",(AD441-INDEX(TZ_STD,MATCH(P441,TZ_STN,0))/24)&gt;=INDEX(TZ_DSTS,MATCH(P441,TZ_STN,0)),(AD441-INDEX(TZ_STD,MATCH(P441,TZ_STN,0))/24)&lt;INDEX(TZ_DSTE,MATCH(P441,TZ_STN,0))),INDEX(TZ_DST,MATCH(P441,TZ_STN,0)),INDEX(TZ_STD,MATCH(P441,TZ_STN,0))))/24,"")</f>
        <v/>
      </c>
      <c r="AH441" s="65" t="str">
        <f aca="false">IFERROR(IF(N441="N/A – rule","N/A – RULE",IF(TRIM(U441)="N/A",IF(AT441=0,"INVALID – N/A not permitted for this check",IF(AND(TRIM(AB441)&lt;&gt;"",TRIM(AB441)&lt;&gt;"Closed"),"INVALID – corrective action still open",IF(AND(NOT(OR(LEN(AZ441)&lt;15,ISNUMBER(MATCH(AZ441,L_Placeholder,0)))),NOT(OR(LEN(AU441)&lt;2,ISNUMBER(MATCH(AU441,L_Placeholder,0)))),NOT(OR(LEN(AX441)&lt;2,ISNUMBER(MATCH(AX441,L_Placeholder,0)))),TRIM(AE441)&lt;&gt;TRIM(T441)),"N/A – JUSTIFIED","INVALID – N/A needs a real justification (15+ chars), PIC and a different verifier"))),IF(OR(TRIM(U441)="Pass",TRIM(U441)="Pass after CA"),IF(NOT(ISNUMBER(AD441)),"INVALID – completion time missing",IF(OR(LEN(AU441)&lt;2,ISNUMBER(MATCH(AU441,L_Placeholder,0))),"INVALID – PIC missing",IF(OR(LEN(AV441)&lt;2,ISNUMBER(MATCH(AV441,L_Placeholder,0))),"INVALID – result / assessment missing",IF(OR(OR(LEN(AW441)&lt;3,ISNUMBER(MATCH(AW441,L_Placeholder,0))),SUMPRODUCT(--ISNUMBER(SEARCH(L_EvidencePhrase,AW441)))&gt;0),"INVALID – evidence missing, placeholder or not yet on file",IF(OR(LEN(AX441)&lt;2,ISNUMBER(MATCH(AX441,L_Placeholder,0))),"INVALID – verifier missing",IF(AX441=AU441,"INVALID – verifier must be someone other than the PIC",IF(AND(TRIM(U441)="Pass",SUMPRODUCT(--ISNUMBER(SEARCH(L_ResultBad,AV441)))&gt;0),"INVALID – result describes a problem: use Fail, then Pass after CA",IF(AND(AQ441=1,OR(LEN(AY441)&lt;3,ISNUMBER(MATCH(AY441,L_Placeholder,0)))),"INVALID – batch ID missing or placeholder",IF(AND(AR441=1,OR(NOT(ISNUMBER(X441)),NOT(ISNUMBER(Y441)))),"INVALID – expected/actual qty missing",IF(AND(AR441=1,OR(X441&lt;=0,Y441&lt;0)),"INVALID – expected qty must be above 0 and actual not negative",IF(BB441&lt;&gt;"",BB441,IF(AND(AS441=1,Documents!$J$17&lt;&gt;"ON FILE"),"INVALID – GLD not on file (Documents sheet)",IF(AND(AS441=2,Documents!$O$17&lt;&gt;"ON FILE"),"INVALID – menu checklist not on file (Documents sheet)",IF(AND(AS441=3,NOT(ISNUMBER(Flights!$AX$17))),"INVALID – enter carrying flight KUL departure (Flights AX)",IF(AND(AS441=3,OR(Flights!$AZ$17&gt;Flights!$AA$17,Flights!$AX$17&lt;Flights!$AA$17-3)),"INVALID – carrying flight (Flights AX) cannot arrive before this leg's STD, or is over 3 days early",IF(AG441&gt;AsOfUTC,"INVALID – completion time is in the future",IF(AND(ISNUMBER(S441),AG441&lt;S441),IF(H441="Physical uplift","INVALID – before uplift window (cannot confirm loading)","INVALID – before valid window"),IF(AG441&gt;Flights!$AA$17,"INVALID – completed after departure (cannot establish readiness)",IF(AND(H441="Preparation",AG441&gt;IF(ISNUMBER(Flights!$BA$17),MIN(Flights!$BA$17,Flights!$AA$17),Flights!$AA$17)),"INVALID – completed after loading / departure (cannot establish readiness)",IF(AND(H441="Physical uplift",AG441&gt;Q441),"INVALID – recorded after the loading flight departed",IF(AG441&gt;Q441,"COMPLETE – LATE","COMPLETE"))))))))))))))))))))),IF(TRIM(U441)="Fail","FAIL – DISCREPANCY",IF(AND(TRIM(U441)&lt;&gt;"",TRIM(U441)&lt;&gt;"Not started",TRIM(U441)&lt;&gt;"In progress"),"INVALID – unrecognised status (use the list)",IF(AsOfUTC&gt;Q441,"OVERDUE",IF(N441="Clarification required","OPEN – CLARIFICATION","OPEN"))))))),"INVALID – error value in an input cell")</f>
        <v>OPEN</v>
      </c>
      <c r="AI441" s="61" t="n">
        <f aca="false">IF(OR(AH441="N/A – RULE",AH441="N/A – JUSTIFIED"),0,1)</f>
        <v>1</v>
      </c>
      <c r="AJ441" s="61" t="n">
        <f aca="false">IF(LEFT(AH441,8)="COMPLETE",1,0)</f>
        <v>0</v>
      </c>
      <c r="AK441" s="61" t="n">
        <f aca="false">IF(AND(AI441=1,AJ441=0,AsOfUTC&gt;Q441),1,0)</f>
        <v>0</v>
      </c>
      <c r="AL441" s="61" t="n">
        <f aca="false">IFERROR(IF(AND(AI441=1,OR(TRIM(U441)="Fail",AND(TRIM(AB441)&lt;&gt;"",TRIM(AB441)&lt;&gt;"Closed"),AND(ISNUMBER(AF441),AF441&lt;&gt;0,TRIM(U441)&lt;&gt;"Pass after CA"))),1,0),1)</f>
        <v>0</v>
      </c>
      <c r="AM441" s="61" t="n">
        <f aca="false">IF(LEFT(AH441,7)="INVALID",1,0)</f>
        <v>0</v>
      </c>
      <c r="AN441" s="61" t="n">
        <f aca="false">IF(AND(N441="Clarification required",AI441=1,AJ441=0),1,0)</f>
        <v>0</v>
      </c>
      <c r="AO441" s="61" t="str">
        <f aca="false">IF(AK441=1,SUM(AK$5:AK441),"")</f>
        <v/>
      </c>
      <c r="AP441" s="61" t="str">
        <f aca="false">IF(AL441=1,SUM(AL$5:AL441),"")</f>
        <v/>
      </c>
      <c r="AQ441" s="61" t="n">
        <v>0</v>
      </c>
      <c r="AR441" s="61" t="n">
        <v>0</v>
      </c>
      <c r="AS441" s="61" t="n">
        <v>0</v>
      </c>
      <c r="AT441" s="61" t="n">
        <v>0</v>
      </c>
      <c r="AU441" s="61" t="str">
        <f aca="false">SUBSTITUTE(SUBSTITUTE(SUBSTITUTE(SUBSTITUTE(SUBSTITUTE(SUBSTITUTE(SUBSTITUTE(SUBSTITUTE(SUBSTITUTE(SUBSTITUTE(SUBSTITUTE(SUBSTITUTE(SUBSTITUTE(LOWER(T441&amp;""),CHAR(160),"")," ",""),".",""),"-",""),"/",""),"?",""),"_",""),",",""),"[",""),"]",""),"(",""),")",""),"*","")</f>
        <v/>
      </c>
      <c r="AV441" s="61" t="str">
        <f aca="false">SUBSTITUTE(SUBSTITUTE(SUBSTITUTE(SUBSTITUTE(SUBSTITUTE(SUBSTITUTE(SUBSTITUTE(SUBSTITUTE(SUBSTITUTE(SUBSTITUTE(SUBSTITUTE(SUBSTITUTE(SUBSTITUTE(LOWER(V441&amp;""),CHAR(160),"")," ",""),".",""),"-",""),"/",""),"?",""),"_",""),",",""),"[",""),"]",""),"(",""),")",""),"*","")</f>
        <v/>
      </c>
      <c r="AW441" s="61" t="str">
        <f aca="false">SUBSTITUTE(SUBSTITUTE(SUBSTITUTE(SUBSTITUTE(SUBSTITUTE(SUBSTITUTE(SUBSTITUTE(SUBSTITUTE(SUBSTITUTE(SUBSTITUTE(SUBSTITUTE(SUBSTITUTE(SUBSTITUTE(LOWER(Z441&amp;""),CHAR(160),"")," ",""),".",""),"-",""),"/",""),"?",""),"_",""),",",""),"[",""),"]",""),"(",""),")",""),"*","")</f>
        <v/>
      </c>
      <c r="AX441" s="61" t="str">
        <f aca="false">SUBSTITUTE(SUBSTITUTE(SUBSTITUTE(SUBSTITUTE(SUBSTITUTE(SUBSTITUTE(SUBSTITUTE(SUBSTITUTE(SUBSTITUTE(SUBSTITUTE(SUBSTITUTE(SUBSTITUTE(SUBSTITUTE(LOWER(AE441&amp;""),CHAR(160),"")," ",""),".",""),"-",""),"/",""),"?",""),"_",""),",",""),"[",""),"]",""),"(",""),")",""),"*","")</f>
        <v/>
      </c>
      <c r="AY441" s="61" t="str">
        <f aca="false">SUBSTITUTE(SUBSTITUTE(SUBSTITUTE(SUBSTITUTE(SUBSTITUTE(SUBSTITUTE(SUBSTITUTE(SUBSTITUTE(SUBSTITUTE(SUBSTITUTE(SUBSTITUTE(SUBSTITUTE(SUBSTITUTE(LOWER(W441&amp;""),CHAR(160),"")," ",""),".",""),"-",""),"/",""),"?",""),"_",""),",",""),"[",""),"]",""),"(",""),")",""),"*","")</f>
        <v/>
      </c>
      <c r="AZ441" s="61" t="str">
        <f aca="false">SUBSTITUTE(SUBSTITUTE(SUBSTITUTE(SUBSTITUTE(SUBSTITUTE(SUBSTITUTE(SUBSTITUTE(SUBSTITUTE(SUBSTITUTE(SUBSTITUTE(SUBSTITUTE(SUBSTITUTE(SUBSTITUTE(LOWER(AC441&amp;""),CHAR(160),"")," ",""),".",""),"-",""),"/",""),"?",""),"_",""),",",""),"[",""),"]",""),"(",""),")",""),"*","")</f>
        <v/>
      </c>
      <c r="BA441" s="61" t="str">
        <f aca="false">SUBSTITUTE(SUBSTITUTE(SUBSTITUTE(SUBSTITUTE(SUBSTITUTE(SUBSTITUTE(SUBSTITUTE(SUBSTITUTE(SUBSTITUTE(SUBSTITUTE(SUBSTITUTE(SUBSTITUTE(SUBSTITUTE(LOWER(AA441&amp;""),CHAR(160),"")," ",""),".",""),"-",""),"/",""),"?",""),"_",""),",",""),"[",""),"]",""),"(",""),")",""),"*","")</f>
        <v/>
      </c>
      <c r="BB441" s="61" t="str">
        <f aca="false">IF(AND(TRIM(U441)="Pass",ISNUMBER(AF441)),IF(AF441&lt;&gt;0,"INVALID – qty variance: use Fail or Pass after CA",""),"")&amp;IF(AND(TRIM(U441)="Pass after CA",ISNUMBER(AF441)),IF(AF441&lt;&gt;0,"INVALID – after the corrective action the actual qty must equal expected (update Actual)",""),"")&amp;IF(AND(TRIM(U441)="Pass",TRIM(AB441)&lt;&gt;"",TRIM(AB441)&lt;&gt;"Closed"),"INVALID – corrective action not closed: use Fail, then Pass after CA","")&amp;IF(AND(TRIM(AA441)&lt;&gt;"",TRIM(AB441)=""),"INVALID – CA status missing for the recorded corrective action","")&amp;IF(AND(TRIM(U441)="Pass after CA",OR(OR(LEN(BA441)&lt;5,ISNUMBER(MATCH(BA441,L_Placeholder,0))),TRIM(AB441)&lt;&gt;"Closed")),"INVALID – corrective action not recorded/closed","")</f>
        <v/>
      </c>
    </row>
    <row r="442" customFormat="false" ht="39.75" hidden="false" customHeight="true" outlineLevel="0" collapsed="false">
      <c r="A442" s="57" t="s">
        <v>1057</v>
      </c>
      <c r="B442" s="57" t="s">
        <v>269</v>
      </c>
      <c r="C442" s="57" t="str">
        <f aca="false">Flights!$F$17</f>
        <v>MH0138</v>
      </c>
      <c r="D442" s="58" t="n">
        <f aca="false">Flights!$D$17</f>
        <v>46309</v>
      </c>
      <c r="E442" s="57" t="str">
        <f aca="false">Flights!$G$17&amp;"-"&amp;Flights!$H$17</f>
        <v>ADL-KUL</v>
      </c>
      <c r="F442" s="57" t="str">
        <f aca="false">Flights!$K$17</f>
        <v>EY</v>
      </c>
      <c r="G442" s="57" t="s">
        <v>398</v>
      </c>
      <c r="H442" s="57" t="s">
        <v>356</v>
      </c>
      <c r="I442" s="57" t="s">
        <v>406</v>
      </c>
      <c r="J442" s="57" t="s">
        <v>411</v>
      </c>
      <c r="K442" s="67"/>
      <c r="L442" s="67" t="s">
        <v>400</v>
      </c>
      <c r="M442" s="67"/>
      <c r="N442" s="67" t="s">
        <v>361</v>
      </c>
      <c r="O442" s="67" t="s">
        <v>401</v>
      </c>
      <c r="P442" s="57" t="s">
        <v>260</v>
      </c>
      <c r="Q442" s="59" t="n">
        <f aca="false">ROUND((Flights!$AE$17)*1440,0)/1440</f>
        <v>46308.5104166667</v>
      </c>
      <c r="R442" s="59" t="n">
        <f aca="false">Q442+(IF(AND(INDEX(TZ_DSTS,MATCH(P442,TZ_STN,0))&lt;&gt;"",Q442&gt;=INDEX(TZ_DSTS,MATCH(P442,TZ_STN,0)),Q442&lt;INDEX(TZ_DSTE,MATCH(P442,TZ_STN,0))),INDEX(TZ_DST,MATCH(P442,TZ_STN,0)),INDEX(TZ_STD,MATCH(P442,TZ_STN,0))))/24</f>
        <v>46308.9479166667</v>
      </c>
      <c r="S442" s="59" t="n">
        <f aca="false">Q442-T12EarlyH/24</f>
        <v>46308.0104166667</v>
      </c>
      <c r="T442" s="60"/>
      <c r="U442" s="60"/>
      <c r="V442" s="60"/>
      <c r="W442" s="61"/>
      <c r="X442" s="60"/>
      <c r="Y442" s="60"/>
      <c r="Z442" s="60"/>
      <c r="AA442" s="60"/>
      <c r="AB442" s="60"/>
      <c r="AC442" s="60"/>
      <c r="AD442" s="66"/>
      <c r="AE442" s="60"/>
      <c r="AF442" s="61" t="str">
        <f aca="false">IF(AND(ISNUMBER(X442),ISNUMBER(Y442)),Y442-X442,"")</f>
        <v/>
      </c>
      <c r="AG442" s="62" t="str">
        <f aca="false">IF(ISNUMBER(AD442),AD442-(IF(AND(INDEX(TZ_DSTS,MATCH(P442,TZ_STN,0))&lt;&gt;"",(AD442-INDEX(TZ_STD,MATCH(P442,TZ_STN,0))/24)&gt;=INDEX(TZ_DSTS,MATCH(P442,TZ_STN,0)),(AD442-INDEX(TZ_STD,MATCH(P442,TZ_STN,0))/24)&lt;INDEX(TZ_DSTE,MATCH(P442,TZ_STN,0))),INDEX(TZ_DST,MATCH(P442,TZ_STN,0)),INDEX(TZ_STD,MATCH(P442,TZ_STN,0))))/24,"")</f>
        <v/>
      </c>
      <c r="AH442" s="65" t="str">
        <f aca="false">IFERROR(IF(N442="N/A – rule","N/A – RULE",IF(TRIM(U442)="N/A",IF(AT442=0,"INVALID – N/A not permitted for this check",IF(AND(TRIM(AB442)&lt;&gt;"",TRIM(AB442)&lt;&gt;"Closed"),"INVALID – corrective action still open",IF(AND(NOT(OR(LEN(AZ442)&lt;15,ISNUMBER(MATCH(AZ442,L_Placeholder,0)))),NOT(OR(LEN(AU442)&lt;2,ISNUMBER(MATCH(AU442,L_Placeholder,0)))),NOT(OR(LEN(AX442)&lt;2,ISNUMBER(MATCH(AX442,L_Placeholder,0)))),TRIM(AE442)&lt;&gt;TRIM(T442)),"N/A – JUSTIFIED","INVALID – N/A needs a real justification (15+ chars), PIC and a different verifier"))),IF(OR(TRIM(U442)="Pass",TRIM(U442)="Pass after CA"),IF(NOT(ISNUMBER(AD442)),"INVALID – completion time missing",IF(OR(LEN(AU442)&lt;2,ISNUMBER(MATCH(AU442,L_Placeholder,0))),"INVALID – PIC missing",IF(OR(LEN(AV442)&lt;2,ISNUMBER(MATCH(AV442,L_Placeholder,0))),"INVALID – result / assessment missing",IF(OR(OR(LEN(AW442)&lt;3,ISNUMBER(MATCH(AW442,L_Placeholder,0))),SUMPRODUCT(--ISNUMBER(SEARCH(L_EvidencePhrase,AW442)))&gt;0),"INVALID – evidence missing, placeholder or not yet on file",IF(OR(LEN(AX442)&lt;2,ISNUMBER(MATCH(AX442,L_Placeholder,0))),"INVALID – verifier missing",IF(AX442=AU442,"INVALID – verifier must be someone other than the PIC",IF(AND(TRIM(U442)="Pass",SUMPRODUCT(--ISNUMBER(SEARCH(L_ResultBad,AV442)))&gt;0),"INVALID – result describes a problem: use Fail, then Pass after CA",IF(AND(AQ442=1,OR(LEN(AY442)&lt;3,ISNUMBER(MATCH(AY442,L_Placeholder,0)))),"INVALID – batch ID missing or placeholder",IF(AND(AR442=1,OR(NOT(ISNUMBER(X442)),NOT(ISNUMBER(Y442)))),"INVALID – expected/actual qty missing",IF(AND(AR442=1,OR(X442&lt;=0,Y442&lt;0)),"INVALID – expected qty must be above 0 and actual not negative",IF(BB442&lt;&gt;"",BB442,IF(AND(AS442=1,Documents!$J$17&lt;&gt;"ON FILE"),"INVALID – GLD not on file (Documents sheet)",IF(AND(AS442=2,Documents!$O$17&lt;&gt;"ON FILE"),"INVALID – menu checklist not on file (Documents sheet)",IF(AND(AS442=3,NOT(ISNUMBER(Flights!$AX$17))),"INVALID – enter carrying flight KUL departure (Flights AX)",IF(AND(AS442=3,OR(Flights!$AZ$17&gt;Flights!$AA$17,Flights!$AX$17&lt;Flights!$AA$17-3)),"INVALID – carrying flight (Flights AX) cannot arrive before this leg's STD, or is over 3 days early",IF(AG442&gt;AsOfUTC,"INVALID – completion time is in the future",IF(AND(ISNUMBER(S442),AG442&lt;S442),IF(H442="Physical uplift","INVALID – before uplift window (cannot confirm loading)","INVALID – before valid window"),IF(AG442&gt;Flights!$AA$17,"INVALID – completed after departure (cannot establish readiness)",IF(AND(H442="Preparation",AG442&gt;IF(ISNUMBER(Flights!$BA$17),MIN(Flights!$BA$17,Flights!$AA$17),Flights!$AA$17)),"INVALID – completed after loading / departure (cannot establish readiness)",IF(AND(H442="Physical uplift",AG442&gt;Q442),"INVALID – recorded after the loading flight departed",IF(AG442&gt;Q442,"COMPLETE – LATE","COMPLETE"))))))))))))))))))))),IF(TRIM(U442)="Fail","FAIL – DISCREPANCY",IF(AND(TRIM(U442)&lt;&gt;"",TRIM(U442)&lt;&gt;"Not started",TRIM(U442)&lt;&gt;"In progress"),"INVALID – unrecognised status (use the list)",IF(AsOfUTC&gt;Q442,"OVERDUE",IF(N442="Clarification required","OPEN – CLARIFICATION","OPEN"))))))),"INVALID – error value in an input cell")</f>
        <v>OPEN</v>
      </c>
      <c r="AI442" s="61" t="n">
        <f aca="false">IF(OR(AH442="N/A – RULE",AH442="N/A – JUSTIFIED"),0,1)</f>
        <v>1</v>
      </c>
      <c r="AJ442" s="61" t="n">
        <f aca="false">IF(LEFT(AH442,8)="COMPLETE",1,0)</f>
        <v>0</v>
      </c>
      <c r="AK442" s="61" t="n">
        <f aca="false">IF(AND(AI442=1,AJ442=0,AsOfUTC&gt;Q442),1,0)</f>
        <v>0</v>
      </c>
      <c r="AL442" s="61" t="n">
        <f aca="false">IFERROR(IF(AND(AI442=1,OR(TRIM(U442)="Fail",AND(TRIM(AB442)&lt;&gt;"",TRIM(AB442)&lt;&gt;"Closed"),AND(ISNUMBER(AF442),AF442&lt;&gt;0,TRIM(U442)&lt;&gt;"Pass after CA"))),1,0),1)</f>
        <v>0</v>
      </c>
      <c r="AM442" s="61" t="n">
        <f aca="false">IF(LEFT(AH442,7)="INVALID",1,0)</f>
        <v>0</v>
      </c>
      <c r="AN442" s="61" t="n">
        <f aca="false">IF(AND(N442="Clarification required",AI442=1,AJ442=0),1,0)</f>
        <v>0</v>
      </c>
      <c r="AO442" s="61" t="str">
        <f aca="false">IF(AK442=1,SUM(AK$5:AK442),"")</f>
        <v/>
      </c>
      <c r="AP442" s="61" t="str">
        <f aca="false">IF(AL442=1,SUM(AL$5:AL442),"")</f>
        <v/>
      </c>
      <c r="AQ442" s="61" t="n">
        <v>0</v>
      </c>
      <c r="AR442" s="61" t="n">
        <v>0</v>
      </c>
      <c r="AS442" s="61" t="n">
        <v>0</v>
      </c>
      <c r="AT442" s="61" t="n">
        <v>0</v>
      </c>
      <c r="AU442" s="61" t="str">
        <f aca="false">SUBSTITUTE(SUBSTITUTE(SUBSTITUTE(SUBSTITUTE(SUBSTITUTE(SUBSTITUTE(SUBSTITUTE(SUBSTITUTE(SUBSTITUTE(SUBSTITUTE(SUBSTITUTE(SUBSTITUTE(SUBSTITUTE(LOWER(T442&amp;""),CHAR(160),"")," ",""),".",""),"-",""),"/",""),"?",""),"_",""),",",""),"[",""),"]",""),"(",""),")",""),"*","")</f>
        <v/>
      </c>
      <c r="AV442" s="61" t="str">
        <f aca="false">SUBSTITUTE(SUBSTITUTE(SUBSTITUTE(SUBSTITUTE(SUBSTITUTE(SUBSTITUTE(SUBSTITUTE(SUBSTITUTE(SUBSTITUTE(SUBSTITUTE(SUBSTITUTE(SUBSTITUTE(SUBSTITUTE(LOWER(V442&amp;""),CHAR(160),"")," ",""),".",""),"-",""),"/",""),"?",""),"_",""),",",""),"[",""),"]",""),"(",""),")",""),"*","")</f>
        <v/>
      </c>
      <c r="AW442" s="61" t="str">
        <f aca="false">SUBSTITUTE(SUBSTITUTE(SUBSTITUTE(SUBSTITUTE(SUBSTITUTE(SUBSTITUTE(SUBSTITUTE(SUBSTITUTE(SUBSTITUTE(SUBSTITUTE(SUBSTITUTE(SUBSTITUTE(SUBSTITUTE(LOWER(Z442&amp;""),CHAR(160),"")," ",""),".",""),"-",""),"/",""),"?",""),"_",""),",",""),"[",""),"]",""),"(",""),")",""),"*","")</f>
        <v/>
      </c>
      <c r="AX442" s="61" t="str">
        <f aca="false">SUBSTITUTE(SUBSTITUTE(SUBSTITUTE(SUBSTITUTE(SUBSTITUTE(SUBSTITUTE(SUBSTITUTE(SUBSTITUTE(SUBSTITUTE(SUBSTITUTE(SUBSTITUTE(SUBSTITUTE(SUBSTITUTE(LOWER(AE442&amp;""),CHAR(160),"")," ",""),".",""),"-",""),"/",""),"?",""),"_",""),",",""),"[",""),"]",""),"(",""),")",""),"*","")</f>
        <v/>
      </c>
      <c r="AY442" s="61" t="str">
        <f aca="false">SUBSTITUTE(SUBSTITUTE(SUBSTITUTE(SUBSTITUTE(SUBSTITUTE(SUBSTITUTE(SUBSTITUTE(SUBSTITUTE(SUBSTITUTE(SUBSTITUTE(SUBSTITUTE(SUBSTITUTE(SUBSTITUTE(LOWER(W442&amp;""),CHAR(160),"")," ",""),".",""),"-",""),"/",""),"?",""),"_",""),",",""),"[",""),"]",""),"(",""),")",""),"*","")</f>
        <v/>
      </c>
      <c r="AZ442" s="61" t="str">
        <f aca="false">SUBSTITUTE(SUBSTITUTE(SUBSTITUTE(SUBSTITUTE(SUBSTITUTE(SUBSTITUTE(SUBSTITUTE(SUBSTITUTE(SUBSTITUTE(SUBSTITUTE(SUBSTITUTE(SUBSTITUTE(SUBSTITUTE(LOWER(AC442&amp;""),CHAR(160),"")," ",""),".",""),"-",""),"/",""),"?",""),"_",""),",",""),"[",""),"]",""),"(",""),")",""),"*","")</f>
        <v/>
      </c>
      <c r="BA442" s="61" t="str">
        <f aca="false">SUBSTITUTE(SUBSTITUTE(SUBSTITUTE(SUBSTITUTE(SUBSTITUTE(SUBSTITUTE(SUBSTITUTE(SUBSTITUTE(SUBSTITUTE(SUBSTITUTE(SUBSTITUTE(SUBSTITUTE(SUBSTITUTE(LOWER(AA442&amp;""),CHAR(160),"")," ",""),".",""),"-",""),"/",""),"?",""),"_",""),",",""),"[",""),"]",""),"(",""),")",""),"*","")</f>
        <v/>
      </c>
      <c r="BB442" s="61" t="str">
        <f aca="false">IF(AND(TRIM(U442)="Pass",ISNUMBER(AF442)),IF(AF442&lt;&gt;0,"INVALID – qty variance: use Fail or Pass after CA",""),"")&amp;IF(AND(TRIM(U442)="Pass after CA",ISNUMBER(AF442)),IF(AF442&lt;&gt;0,"INVALID – after the corrective action the actual qty must equal expected (update Actual)",""),"")&amp;IF(AND(TRIM(U442)="Pass",TRIM(AB442)&lt;&gt;"",TRIM(AB442)&lt;&gt;"Closed"),"INVALID – corrective action not closed: use Fail, then Pass after CA","")&amp;IF(AND(TRIM(AA442)&lt;&gt;"",TRIM(AB442)=""),"INVALID – CA status missing for the recorded corrective action","")&amp;IF(AND(TRIM(U442)="Pass after CA",OR(OR(LEN(BA442)&lt;5,ISNUMBER(MATCH(BA442,L_Placeholder,0))),TRIM(AB442)&lt;&gt;"Closed")),"INVALID – corrective action not recorded/closed","")</f>
        <v/>
      </c>
    </row>
    <row r="443" customFormat="false" ht="78.75" hidden="false" customHeight="true" outlineLevel="0" collapsed="false">
      <c r="A443" s="57" t="s">
        <v>1058</v>
      </c>
      <c r="B443" s="57" t="s">
        <v>269</v>
      </c>
      <c r="C443" s="57" t="str">
        <f aca="false">Flights!$F$17</f>
        <v>MH0138</v>
      </c>
      <c r="D443" s="58" t="n">
        <f aca="false">Flights!$D$17</f>
        <v>46309</v>
      </c>
      <c r="E443" s="57" t="str">
        <f aca="false">Flights!$G$17&amp;"-"&amp;Flights!$H$17</f>
        <v>ADL-KUL</v>
      </c>
      <c r="F443" s="57" t="str">
        <f aca="false">Flights!$K$17</f>
        <v>EY</v>
      </c>
      <c r="G443" s="57" t="s">
        <v>398</v>
      </c>
      <c r="H443" s="57" t="s">
        <v>356</v>
      </c>
      <c r="I443" s="57" t="s">
        <v>406</v>
      </c>
      <c r="J443" s="57" t="s">
        <v>413</v>
      </c>
      <c r="K443" s="67" t="s">
        <v>989</v>
      </c>
      <c r="L443" s="67" t="s">
        <v>400</v>
      </c>
      <c r="M443" s="67"/>
      <c r="N443" s="67" t="s">
        <v>361</v>
      </c>
      <c r="O443" s="67" t="s">
        <v>401</v>
      </c>
      <c r="P443" s="57" t="s">
        <v>260</v>
      </c>
      <c r="Q443" s="59" t="n">
        <f aca="false">ROUND((Flights!$AE$17)*1440,0)/1440</f>
        <v>46308.5104166667</v>
      </c>
      <c r="R443" s="59" t="n">
        <f aca="false">Q443+(IF(AND(INDEX(TZ_DSTS,MATCH(P443,TZ_STN,0))&lt;&gt;"",Q443&gt;=INDEX(TZ_DSTS,MATCH(P443,TZ_STN,0)),Q443&lt;INDEX(TZ_DSTE,MATCH(P443,TZ_STN,0))),INDEX(TZ_DST,MATCH(P443,TZ_STN,0)),INDEX(TZ_STD,MATCH(P443,TZ_STN,0))))/24</f>
        <v>46308.9479166667</v>
      </c>
      <c r="S443" s="59" t="n">
        <f aca="false">Q443-T12EarlyH/24</f>
        <v>46308.0104166667</v>
      </c>
      <c r="T443" s="60"/>
      <c r="U443" s="60"/>
      <c r="V443" s="60"/>
      <c r="W443" s="61"/>
      <c r="X443" s="60"/>
      <c r="Y443" s="60"/>
      <c r="Z443" s="60"/>
      <c r="AA443" s="60"/>
      <c r="AB443" s="60"/>
      <c r="AC443" s="60"/>
      <c r="AD443" s="66"/>
      <c r="AE443" s="60"/>
      <c r="AF443" s="61" t="str">
        <f aca="false">IF(AND(ISNUMBER(X443),ISNUMBER(Y443)),Y443-X443,"")</f>
        <v/>
      </c>
      <c r="AG443" s="62" t="str">
        <f aca="false">IF(ISNUMBER(AD443),AD443-(IF(AND(INDEX(TZ_DSTS,MATCH(P443,TZ_STN,0))&lt;&gt;"",(AD443-INDEX(TZ_STD,MATCH(P443,TZ_STN,0))/24)&gt;=INDEX(TZ_DSTS,MATCH(P443,TZ_STN,0)),(AD443-INDEX(TZ_STD,MATCH(P443,TZ_STN,0))/24)&lt;INDEX(TZ_DSTE,MATCH(P443,TZ_STN,0))),INDEX(TZ_DST,MATCH(P443,TZ_STN,0)),INDEX(TZ_STD,MATCH(P443,TZ_STN,0))))/24,"")</f>
        <v/>
      </c>
      <c r="AH443" s="65" t="str">
        <f aca="false">IFERROR(IF(N443="N/A – rule","N/A – RULE",IF(TRIM(U443)="N/A",IF(AT443=0,"INVALID – N/A not permitted for this check",IF(AND(TRIM(AB443)&lt;&gt;"",TRIM(AB443)&lt;&gt;"Closed"),"INVALID – corrective action still open",IF(AND(NOT(OR(LEN(AZ443)&lt;15,ISNUMBER(MATCH(AZ443,L_Placeholder,0)))),NOT(OR(LEN(AU443)&lt;2,ISNUMBER(MATCH(AU443,L_Placeholder,0)))),NOT(OR(LEN(AX443)&lt;2,ISNUMBER(MATCH(AX443,L_Placeholder,0)))),TRIM(AE443)&lt;&gt;TRIM(T443)),"N/A – JUSTIFIED","INVALID – N/A needs a real justification (15+ chars), PIC and a different verifier"))),IF(OR(TRIM(U443)="Pass",TRIM(U443)="Pass after CA"),IF(NOT(ISNUMBER(AD443)),"INVALID – completion time missing",IF(OR(LEN(AU443)&lt;2,ISNUMBER(MATCH(AU443,L_Placeholder,0))),"INVALID – PIC missing",IF(OR(LEN(AV443)&lt;2,ISNUMBER(MATCH(AV443,L_Placeholder,0))),"INVALID – result / assessment missing",IF(OR(OR(LEN(AW443)&lt;3,ISNUMBER(MATCH(AW443,L_Placeholder,0))),SUMPRODUCT(--ISNUMBER(SEARCH(L_EvidencePhrase,AW443)))&gt;0),"INVALID – evidence missing, placeholder or not yet on file",IF(OR(LEN(AX443)&lt;2,ISNUMBER(MATCH(AX443,L_Placeholder,0))),"INVALID – verifier missing",IF(AX443=AU443,"INVALID – verifier must be someone other than the PIC",IF(AND(TRIM(U443)="Pass",SUMPRODUCT(--ISNUMBER(SEARCH(L_ResultBad,AV443)))&gt;0),"INVALID – result describes a problem: use Fail, then Pass after CA",IF(AND(AQ443=1,OR(LEN(AY443)&lt;3,ISNUMBER(MATCH(AY443,L_Placeholder,0)))),"INVALID – batch ID missing or placeholder",IF(AND(AR443=1,OR(NOT(ISNUMBER(X443)),NOT(ISNUMBER(Y443)))),"INVALID – expected/actual qty missing",IF(AND(AR443=1,OR(X443&lt;=0,Y443&lt;0)),"INVALID – expected qty must be above 0 and actual not negative",IF(BB443&lt;&gt;"",BB443,IF(AND(AS443=1,Documents!$J$17&lt;&gt;"ON FILE"),"INVALID – GLD not on file (Documents sheet)",IF(AND(AS443=2,Documents!$O$17&lt;&gt;"ON FILE"),"INVALID – menu checklist not on file (Documents sheet)",IF(AND(AS443=3,NOT(ISNUMBER(Flights!$AX$17))),"INVALID – enter carrying flight KUL departure (Flights AX)",IF(AND(AS443=3,OR(Flights!$AZ$17&gt;Flights!$AA$17,Flights!$AX$17&lt;Flights!$AA$17-3)),"INVALID – carrying flight (Flights AX) cannot arrive before this leg's STD, or is over 3 days early",IF(AG443&gt;AsOfUTC,"INVALID – completion time is in the future",IF(AND(ISNUMBER(S443),AG443&lt;S443),IF(H443="Physical uplift","INVALID – before uplift window (cannot confirm loading)","INVALID – before valid window"),IF(AG443&gt;Flights!$AA$17,"INVALID – completed after departure (cannot establish readiness)",IF(AND(H443="Preparation",AG443&gt;IF(ISNUMBER(Flights!$BA$17),MIN(Flights!$BA$17,Flights!$AA$17),Flights!$AA$17)),"INVALID – completed after loading / departure (cannot establish readiness)",IF(AND(H443="Physical uplift",AG443&gt;Q443),"INVALID – recorded after the loading flight departed",IF(AG443&gt;Q443,"COMPLETE – LATE","COMPLETE"))))))))))))))))))))),IF(TRIM(U443)="Fail","FAIL – DISCREPANCY",IF(AND(TRIM(U443)&lt;&gt;"",TRIM(U443)&lt;&gt;"Not started",TRIM(U443)&lt;&gt;"In progress"),"INVALID – unrecognised status (use the list)",IF(AsOfUTC&gt;Q443,"OVERDUE",IF(N443="Clarification required","OPEN – CLARIFICATION","OPEN"))))))),"INVALID – error value in an input cell")</f>
        <v>OPEN</v>
      </c>
      <c r="AI443" s="61" t="n">
        <f aca="false">IF(OR(AH443="N/A – RULE",AH443="N/A – JUSTIFIED"),0,1)</f>
        <v>1</v>
      </c>
      <c r="AJ443" s="61" t="n">
        <f aca="false">IF(LEFT(AH443,8)="COMPLETE",1,0)</f>
        <v>0</v>
      </c>
      <c r="AK443" s="61" t="n">
        <f aca="false">IF(AND(AI443=1,AJ443=0,AsOfUTC&gt;Q443),1,0)</f>
        <v>0</v>
      </c>
      <c r="AL443" s="61" t="n">
        <f aca="false">IFERROR(IF(AND(AI443=1,OR(TRIM(U443)="Fail",AND(TRIM(AB443)&lt;&gt;"",TRIM(AB443)&lt;&gt;"Closed"),AND(ISNUMBER(AF443),AF443&lt;&gt;0,TRIM(U443)&lt;&gt;"Pass after CA"))),1,0),1)</f>
        <v>0</v>
      </c>
      <c r="AM443" s="61" t="n">
        <f aca="false">IF(LEFT(AH443,7)="INVALID",1,0)</f>
        <v>0</v>
      </c>
      <c r="AN443" s="61" t="n">
        <f aca="false">IF(AND(N443="Clarification required",AI443=1,AJ443=0),1,0)</f>
        <v>0</v>
      </c>
      <c r="AO443" s="61" t="str">
        <f aca="false">IF(AK443=1,SUM(AK$5:AK443),"")</f>
        <v/>
      </c>
      <c r="AP443" s="61" t="str">
        <f aca="false">IF(AL443=1,SUM(AL$5:AL443),"")</f>
        <v/>
      </c>
      <c r="AQ443" s="61" t="n">
        <v>0</v>
      </c>
      <c r="AR443" s="61" t="n">
        <v>1</v>
      </c>
      <c r="AS443" s="61" t="n">
        <v>0</v>
      </c>
      <c r="AT443" s="61" t="n">
        <v>0</v>
      </c>
      <c r="AU443" s="61" t="str">
        <f aca="false">SUBSTITUTE(SUBSTITUTE(SUBSTITUTE(SUBSTITUTE(SUBSTITUTE(SUBSTITUTE(SUBSTITUTE(SUBSTITUTE(SUBSTITUTE(SUBSTITUTE(SUBSTITUTE(SUBSTITUTE(SUBSTITUTE(LOWER(T443&amp;""),CHAR(160),"")," ",""),".",""),"-",""),"/",""),"?",""),"_",""),",",""),"[",""),"]",""),"(",""),")",""),"*","")</f>
        <v/>
      </c>
      <c r="AV443" s="61" t="str">
        <f aca="false">SUBSTITUTE(SUBSTITUTE(SUBSTITUTE(SUBSTITUTE(SUBSTITUTE(SUBSTITUTE(SUBSTITUTE(SUBSTITUTE(SUBSTITUTE(SUBSTITUTE(SUBSTITUTE(SUBSTITUTE(SUBSTITUTE(LOWER(V443&amp;""),CHAR(160),"")," ",""),".",""),"-",""),"/",""),"?",""),"_",""),",",""),"[",""),"]",""),"(",""),")",""),"*","")</f>
        <v/>
      </c>
      <c r="AW443" s="61" t="str">
        <f aca="false">SUBSTITUTE(SUBSTITUTE(SUBSTITUTE(SUBSTITUTE(SUBSTITUTE(SUBSTITUTE(SUBSTITUTE(SUBSTITUTE(SUBSTITUTE(SUBSTITUTE(SUBSTITUTE(SUBSTITUTE(SUBSTITUTE(LOWER(Z443&amp;""),CHAR(160),"")," ",""),".",""),"-",""),"/",""),"?",""),"_",""),",",""),"[",""),"]",""),"(",""),")",""),"*","")</f>
        <v/>
      </c>
      <c r="AX443" s="61" t="str">
        <f aca="false">SUBSTITUTE(SUBSTITUTE(SUBSTITUTE(SUBSTITUTE(SUBSTITUTE(SUBSTITUTE(SUBSTITUTE(SUBSTITUTE(SUBSTITUTE(SUBSTITUTE(SUBSTITUTE(SUBSTITUTE(SUBSTITUTE(LOWER(AE443&amp;""),CHAR(160),"")," ",""),".",""),"-",""),"/",""),"?",""),"_",""),",",""),"[",""),"]",""),"(",""),")",""),"*","")</f>
        <v/>
      </c>
      <c r="AY443" s="61" t="str">
        <f aca="false">SUBSTITUTE(SUBSTITUTE(SUBSTITUTE(SUBSTITUTE(SUBSTITUTE(SUBSTITUTE(SUBSTITUTE(SUBSTITUTE(SUBSTITUTE(SUBSTITUTE(SUBSTITUTE(SUBSTITUTE(SUBSTITUTE(LOWER(W443&amp;""),CHAR(160),"")," ",""),".",""),"-",""),"/",""),"?",""),"_",""),",",""),"[",""),"]",""),"(",""),")",""),"*","")</f>
        <v/>
      </c>
      <c r="AZ443" s="61" t="str">
        <f aca="false">SUBSTITUTE(SUBSTITUTE(SUBSTITUTE(SUBSTITUTE(SUBSTITUTE(SUBSTITUTE(SUBSTITUTE(SUBSTITUTE(SUBSTITUTE(SUBSTITUTE(SUBSTITUTE(SUBSTITUTE(SUBSTITUTE(LOWER(AC443&amp;""),CHAR(160),"")," ",""),".",""),"-",""),"/",""),"?",""),"_",""),",",""),"[",""),"]",""),"(",""),")",""),"*","")</f>
        <v/>
      </c>
      <c r="BA443" s="61" t="str">
        <f aca="false">SUBSTITUTE(SUBSTITUTE(SUBSTITUTE(SUBSTITUTE(SUBSTITUTE(SUBSTITUTE(SUBSTITUTE(SUBSTITUTE(SUBSTITUTE(SUBSTITUTE(SUBSTITUTE(SUBSTITUTE(SUBSTITUTE(LOWER(AA443&amp;""),CHAR(160),"")," ",""),".",""),"-",""),"/",""),"?",""),"_",""),",",""),"[",""),"]",""),"(",""),")",""),"*","")</f>
        <v/>
      </c>
      <c r="BB443" s="61" t="str">
        <f aca="false">IF(AND(TRIM(U443)="Pass",ISNUMBER(AF443)),IF(AF443&lt;&gt;0,"INVALID – qty variance: use Fail or Pass after CA",""),"")&amp;IF(AND(TRIM(U443)="Pass after CA",ISNUMBER(AF443)),IF(AF443&lt;&gt;0,"INVALID – after the corrective action the actual qty must equal expected (update Actual)",""),"")&amp;IF(AND(TRIM(U443)="Pass",TRIM(AB443)&lt;&gt;"",TRIM(AB443)&lt;&gt;"Closed"),"INVALID – corrective action not closed: use Fail, then Pass after CA","")&amp;IF(AND(TRIM(AA443)&lt;&gt;"",TRIM(AB443)=""),"INVALID – CA status missing for the recorded corrective action","")&amp;IF(AND(TRIM(U443)="Pass after CA",OR(OR(LEN(BA443)&lt;5,ISNUMBER(MATCH(BA443,L_Placeholder,0))),TRIM(AB443)&lt;&gt;"Closed")),"INVALID – corrective action not recorded/closed","")</f>
        <v/>
      </c>
    </row>
    <row r="444" customFormat="false" ht="39.75" hidden="false" customHeight="true" outlineLevel="0" collapsed="false">
      <c r="A444" s="57" t="s">
        <v>1059</v>
      </c>
      <c r="B444" s="57" t="s">
        <v>269</v>
      </c>
      <c r="C444" s="57" t="str">
        <f aca="false">Flights!$F$17</f>
        <v>MH0138</v>
      </c>
      <c r="D444" s="58" t="n">
        <f aca="false">Flights!$D$17</f>
        <v>46309</v>
      </c>
      <c r="E444" s="57" t="str">
        <f aca="false">Flights!$G$17&amp;"-"&amp;Flights!$H$17</f>
        <v>ADL-KUL</v>
      </c>
      <c r="F444" s="57" t="str">
        <f aca="false">Flights!$K$17</f>
        <v>EY</v>
      </c>
      <c r="G444" s="57" t="s">
        <v>398</v>
      </c>
      <c r="H444" s="57" t="s">
        <v>356</v>
      </c>
      <c r="I444" s="57" t="s">
        <v>406</v>
      </c>
      <c r="J444" s="57" t="s">
        <v>416</v>
      </c>
      <c r="K444" s="67"/>
      <c r="L444" s="67" t="s">
        <v>400</v>
      </c>
      <c r="M444" s="67"/>
      <c r="N444" s="67" t="s">
        <v>361</v>
      </c>
      <c r="O444" s="67" t="s">
        <v>401</v>
      </c>
      <c r="P444" s="57" t="s">
        <v>260</v>
      </c>
      <c r="Q444" s="59" t="n">
        <f aca="false">ROUND((Flights!$AE$17)*1440,0)/1440</f>
        <v>46308.5104166667</v>
      </c>
      <c r="R444" s="59" t="n">
        <f aca="false">Q444+(IF(AND(INDEX(TZ_DSTS,MATCH(P444,TZ_STN,0))&lt;&gt;"",Q444&gt;=INDEX(TZ_DSTS,MATCH(P444,TZ_STN,0)),Q444&lt;INDEX(TZ_DSTE,MATCH(P444,TZ_STN,0))),INDEX(TZ_DST,MATCH(P444,TZ_STN,0)),INDEX(TZ_STD,MATCH(P444,TZ_STN,0))))/24</f>
        <v>46308.9479166667</v>
      </c>
      <c r="S444" s="59" t="n">
        <f aca="false">Q444-T12EarlyH/24</f>
        <v>46308.0104166667</v>
      </c>
      <c r="T444" s="60"/>
      <c r="U444" s="60"/>
      <c r="V444" s="60"/>
      <c r="W444" s="61"/>
      <c r="X444" s="60"/>
      <c r="Y444" s="60"/>
      <c r="Z444" s="60"/>
      <c r="AA444" s="60"/>
      <c r="AB444" s="60"/>
      <c r="AC444" s="60"/>
      <c r="AD444" s="66"/>
      <c r="AE444" s="60"/>
      <c r="AF444" s="61" t="str">
        <f aca="false">IF(AND(ISNUMBER(X444),ISNUMBER(Y444)),Y444-X444,"")</f>
        <v/>
      </c>
      <c r="AG444" s="62" t="str">
        <f aca="false">IF(ISNUMBER(AD444),AD444-(IF(AND(INDEX(TZ_DSTS,MATCH(P444,TZ_STN,0))&lt;&gt;"",(AD444-INDEX(TZ_STD,MATCH(P444,TZ_STN,0))/24)&gt;=INDEX(TZ_DSTS,MATCH(P444,TZ_STN,0)),(AD444-INDEX(TZ_STD,MATCH(P444,TZ_STN,0))/24)&lt;INDEX(TZ_DSTE,MATCH(P444,TZ_STN,0))),INDEX(TZ_DST,MATCH(P444,TZ_STN,0)),INDEX(TZ_STD,MATCH(P444,TZ_STN,0))))/24,"")</f>
        <v/>
      </c>
      <c r="AH444" s="65" t="str">
        <f aca="false">IFERROR(IF(N444="N/A – rule","N/A – RULE",IF(TRIM(U444)="N/A",IF(AT444=0,"INVALID – N/A not permitted for this check",IF(AND(TRIM(AB444)&lt;&gt;"",TRIM(AB444)&lt;&gt;"Closed"),"INVALID – corrective action still open",IF(AND(NOT(OR(LEN(AZ444)&lt;15,ISNUMBER(MATCH(AZ444,L_Placeholder,0)))),NOT(OR(LEN(AU444)&lt;2,ISNUMBER(MATCH(AU444,L_Placeholder,0)))),NOT(OR(LEN(AX444)&lt;2,ISNUMBER(MATCH(AX444,L_Placeholder,0)))),TRIM(AE444)&lt;&gt;TRIM(T444)),"N/A – JUSTIFIED","INVALID – N/A needs a real justification (15+ chars), PIC and a different verifier"))),IF(OR(TRIM(U444)="Pass",TRIM(U444)="Pass after CA"),IF(NOT(ISNUMBER(AD444)),"INVALID – completion time missing",IF(OR(LEN(AU444)&lt;2,ISNUMBER(MATCH(AU444,L_Placeholder,0))),"INVALID – PIC missing",IF(OR(LEN(AV444)&lt;2,ISNUMBER(MATCH(AV444,L_Placeholder,0))),"INVALID – result / assessment missing",IF(OR(OR(LEN(AW444)&lt;3,ISNUMBER(MATCH(AW444,L_Placeholder,0))),SUMPRODUCT(--ISNUMBER(SEARCH(L_EvidencePhrase,AW444)))&gt;0),"INVALID – evidence missing, placeholder or not yet on file",IF(OR(LEN(AX444)&lt;2,ISNUMBER(MATCH(AX444,L_Placeholder,0))),"INVALID – verifier missing",IF(AX444=AU444,"INVALID – verifier must be someone other than the PIC",IF(AND(TRIM(U444)="Pass",SUMPRODUCT(--ISNUMBER(SEARCH(L_ResultBad,AV444)))&gt;0),"INVALID – result describes a problem: use Fail, then Pass after CA",IF(AND(AQ444=1,OR(LEN(AY444)&lt;3,ISNUMBER(MATCH(AY444,L_Placeholder,0)))),"INVALID – batch ID missing or placeholder",IF(AND(AR444=1,OR(NOT(ISNUMBER(X444)),NOT(ISNUMBER(Y444)))),"INVALID – expected/actual qty missing",IF(AND(AR444=1,OR(X444&lt;=0,Y444&lt;0)),"INVALID – expected qty must be above 0 and actual not negative",IF(BB444&lt;&gt;"",BB444,IF(AND(AS444=1,Documents!$J$17&lt;&gt;"ON FILE"),"INVALID – GLD not on file (Documents sheet)",IF(AND(AS444=2,Documents!$O$17&lt;&gt;"ON FILE"),"INVALID – menu checklist not on file (Documents sheet)",IF(AND(AS444=3,NOT(ISNUMBER(Flights!$AX$17))),"INVALID – enter carrying flight KUL departure (Flights AX)",IF(AND(AS444=3,OR(Flights!$AZ$17&gt;Flights!$AA$17,Flights!$AX$17&lt;Flights!$AA$17-3)),"INVALID – carrying flight (Flights AX) cannot arrive before this leg's STD, or is over 3 days early",IF(AG444&gt;AsOfUTC,"INVALID – completion time is in the future",IF(AND(ISNUMBER(S444),AG444&lt;S444),IF(H444="Physical uplift","INVALID – before uplift window (cannot confirm loading)","INVALID – before valid window"),IF(AG444&gt;Flights!$AA$17,"INVALID – completed after departure (cannot establish readiness)",IF(AND(H444="Preparation",AG444&gt;IF(ISNUMBER(Flights!$BA$17),MIN(Flights!$BA$17,Flights!$AA$17),Flights!$AA$17)),"INVALID – completed after loading / departure (cannot establish readiness)",IF(AND(H444="Physical uplift",AG444&gt;Q444),"INVALID – recorded after the loading flight departed",IF(AG444&gt;Q444,"COMPLETE – LATE","COMPLETE"))))))))))))))))))))),IF(TRIM(U444)="Fail","FAIL – DISCREPANCY",IF(AND(TRIM(U444)&lt;&gt;"",TRIM(U444)&lt;&gt;"Not started",TRIM(U444)&lt;&gt;"In progress"),"INVALID – unrecognised status (use the list)",IF(AsOfUTC&gt;Q444,"OVERDUE",IF(N444="Clarification required","OPEN – CLARIFICATION","OPEN"))))))),"INVALID – error value in an input cell")</f>
        <v>OPEN</v>
      </c>
      <c r="AI444" s="61" t="n">
        <f aca="false">IF(OR(AH444="N/A – RULE",AH444="N/A – JUSTIFIED"),0,1)</f>
        <v>1</v>
      </c>
      <c r="AJ444" s="61" t="n">
        <f aca="false">IF(LEFT(AH444,8)="COMPLETE",1,0)</f>
        <v>0</v>
      </c>
      <c r="AK444" s="61" t="n">
        <f aca="false">IF(AND(AI444=1,AJ444=0,AsOfUTC&gt;Q444),1,0)</f>
        <v>0</v>
      </c>
      <c r="AL444" s="61" t="n">
        <f aca="false">IFERROR(IF(AND(AI444=1,OR(TRIM(U444)="Fail",AND(TRIM(AB444)&lt;&gt;"",TRIM(AB444)&lt;&gt;"Closed"),AND(ISNUMBER(AF444),AF444&lt;&gt;0,TRIM(U444)&lt;&gt;"Pass after CA"))),1,0),1)</f>
        <v>0</v>
      </c>
      <c r="AM444" s="61" t="n">
        <f aca="false">IF(LEFT(AH444,7)="INVALID",1,0)</f>
        <v>0</v>
      </c>
      <c r="AN444" s="61" t="n">
        <f aca="false">IF(AND(N444="Clarification required",AI444=1,AJ444=0),1,0)</f>
        <v>0</v>
      </c>
      <c r="AO444" s="61" t="str">
        <f aca="false">IF(AK444=1,SUM(AK$5:AK444),"")</f>
        <v/>
      </c>
      <c r="AP444" s="61" t="str">
        <f aca="false">IF(AL444=1,SUM(AL$5:AL444),"")</f>
        <v/>
      </c>
      <c r="AQ444" s="61" t="n">
        <v>0</v>
      </c>
      <c r="AR444" s="61" t="n">
        <v>0</v>
      </c>
      <c r="AS444" s="61" t="n">
        <v>0</v>
      </c>
      <c r="AT444" s="61" t="n">
        <v>0</v>
      </c>
      <c r="AU444" s="61" t="str">
        <f aca="false">SUBSTITUTE(SUBSTITUTE(SUBSTITUTE(SUBSTITUTE(SUBSTITUTE(SUBSTITUTE(SUBSTITUTE(SUBSTITUTE(SUBSTITUTE(SUBSTITUTE(SUBSTITUTE(SUBSTITUTE(SUBSTITUTE(LOWER(T444&amp;""),CHAR(160),"")," ",""),".",""),"-",""),"/",""),"?",""),"_",""),",",""),"[",""),"]",""),"(",""),")",""),"*","")</f>
        <v/>
      </c>
      <c r="AV444" s="61" t="str">
        <f aca="false">SUBSTITUTE(SUBSTITUTE(SUBSTITUTE(SUBSTITUTE(SUBSTITUTE(SUBSTITUTE(SUBSTITUTE(SUBSTITUTE(SUBSTITUTE(SUBSTITUTE(SUBSTITUTE(SUBSTITUTE(SUBSTITUTE(LOWER(V444&amp;""),CHAR(160),"")," ",""),".",""),"-",""),"/",""),"?",""),"_",""),",",""),"[",""),"]",""),"(",""),")",""),"*","")</f>
        <v/>
      </c>
      <c r="AW444" s="61" t="str">
        <f aca="false">SUBSTITUTE(SUBSTITUTE(SUBSTITUTE(SUBSTITUTE(SUBSTITUTE(SUBSTITUTE(SUBSTITUTE(SUBSTITUTE(SUBSTITUTE(SUBSTITUTE(SUBSTITUTE(SUBSTITUTE(SUBSTITUTE(LOWER(Z444&amp;""),CHAR(160),"")," ",""),".",""),"-",""),"/",""),"?",""),"_",""),",",""),"[",""),"]",""),"(",""),")",""),"*","")</f>
        <v/>
      </c>
      <c r="AX444" s="61" t="str">
        <f aca="false">SUBSTITUTE(SUBSTITUTE(SUBSTITUTE(SUBSTITUTE(SUBSTITUTE(SUBSTITUTE(SUBSTITUTE(SUBSTITUTE(SUBSTITUTE(SUBSTITUTE(SUBSTITUTE(SUBSTITUTE(SUBSTITUTE(LOWER(AE444&amp;""),CHAR(160),"")," ",""),".",""),"-",""),"/",""),"?",""),"_",""),",",""),"[",""),"]",""),"(",""),")",""),"*","")</f>
        <v/>
      </c>
      <c r="AY444" s="61" t="str">
        <f aca="false">SUBSTITUTE(SUBSTITUTE(SUBSTITUTE(SUBSTITUTE(SUBSTITUTE(SUBSTITUTE(SUBSTITUTE(SUBSTITUTE(SUBSTITUTE(SUBSTITUTE(SUBSTITUTE(SUBSTITUTE(SUBSTITUTE(LOWER(W444&amp;""),CHAR(160),"")," ",""),".",""),"-",""),"/",""),"?",""),"_",""),",",""),"[",""),"]",""),"(",""),")",""),"*","")</f>
        <v/>
      </c>
      <c r="AZ444" s="61" t="str">
        <f aca="false">SUBSTITUTE(SUBSTITUTE(SUBSTITUTE(SUBSTITUTE(SUBSTITUTE(SUBSTITUTE(SUBSTITUTE(SUBSTITUTE(SUBSTITUTE(SUBSTITUTE(SUBSTITUTE(SUBSTITUTE(SUBSTITUTE(LOWER(AC444&amp;""),CHAR(160),"")," ",""),".",""),"-",""),"/",""),"?",""),"_",""),",",""),"[",""),"]",""),"(",""),")",""),"*","")</f>
        <v/>
      </c>
      <c r="BA444" s="61" t="str">
        <f aca="false">SUBSTITUTE(SUBSTITUTE(SUBSTITUTE(SUBSTITUTE(SUBSTITUTE(SUBSTITUTE(SUBSTITUTE(SUBSTITUTE(SUBSTITUTE(SUBSTITUTE(SUBSTITUTE(SUBSTITUTE(SUBSTITUTE(LOWER(AA444&amp;""),CHAR(160),"")," ",""),".",""),"-",""),"/",""),"?",""),"_",""),",",""),"[",""),"]",""),"(",""),")",""),"*","")</f>
        <v/>
      </c>
      <c r="BB444" s="61" t="str">
        <f aca="false">IF(AND(TRIM(U444)="Pass",ISNUMBER(AF444)),IF(AF444&lt;&gt;0,"INVALID – qty variance: use Fail or Pass after CA",""),"")&amp;IF(AND(TRIM(U444)="Pass after CA",ISNUMBER(AF444)),IF(AF444&lt;&gt;0,"INVALID – after the corrective action the actual qty must equal expected (update Actual)",""),"")&amp;IF(AND(TRIM(U444)="Pass",TRIM(AB444)&lt;&gt;"",TRIM(AB444)&lt;&gt;"Closed"),"INVALID – corrective action not closed: use Fail, then Pass after CA","")&amp;IF(AND(TRIM(AA444)&lt;&gt;"",TRIM(AB444)=""),"INVALID – CA status missing for the recorded corrective action","")&amp;IF(AND(TRIM(U444)="Pass after CA",OR(OR(LEN(BA444)&lt;5,ISNUMBER(MATCH(BA444,L_Placeholder,0))),TRIM(AB444)&lt;&gt;"Closed")),"INVALID – corrective action not recorded/closed","")</f>
        <v/>
      </c>
    </row>
    <row r="445" customFormat="false" ht="78.75" hidden="false" customHeight="true" outlineLevel="0" collapsed="false">
      <c r="A445" s="57" t="s">
        <v>1060</v>
      </c>
      <c r="B445" s="57" t="s">
        <v>269</v>
      </c>
      <c r="C445" s="57" t="str">
        <f aca="false">Flights!$F$17</f>
        <v>MH0138</v>
      </c>
      <c r="D445" s="58" t="n">
        <f aca="false">Flights!$D$17</f>
        <v>46309</v>
      </c>
      <c r="E445" s="57" t="str">
        <f aca="false">Flights!$G$17&amp;"-"&amp;Flights!$H$17</f>
        <v>ADL-KUL</v>
      </c>
      <c r="F445" s="57" t="str">
        <f aca="false">Flights!$K$17</f>
        <v>EY</v>
      </c>
      <c r="G445" s="57" t="s">
        <v>398</v>
      </c>
      <c r="H445" s="57" t="s">
        <v>356</v>
      </c>
      <c r="I445" s="57" t="s">
        <v>418</v>
      </c>
      <c r="J445" s="57" t="s">
        <v>419</v>
      </c>
      <c r="K445" s="67" t="s">
        <v>420</v>
      </c>
      <c r="L445" s="67" t="s">
        <v>992</v>
      </c>
      <c r="M445" s="67" t="s">
        <v>184</v>
      </c>
      <c r="N445" s="67" t="s">
        <v>422</v>
      </c>
      <c r="O445" s="67" t="s">
        <v>1061</v>
      </c>
      <c r="P445" s="57" t="s">
        <v>184</v>
      </c>
      <c r="Q445" s="59" t="n">
        <f aca="false">ROUND((MIN(Flights!$AE$17,Flights!$AY$17))*1440,0)/1440</f>
        <v>46307.3506944444</v>
      </c>
      <c r="R445" s="59" t="n">
        <f aca="false">Q445+(IF(AND(INDEX(TZ_DSTS,MATCH(P445,TZ_STN,0))&lt;&gt;"",Q445&gt;=INDEX(TZ_DSTS,MATCH(P445,TZ_STN,0)),Q445&lt;INDEX(TZ_DSTE,MATCH(P445,TZ_STN,0))),INDEX(TZ_DST,MATCH(P445,TZ_STN,0)),INDEX(TZ_STD,MATCH(P445,TZ_STN,0))))/24</f>
        <v>46307.6840277778</v>
      </c>
      <c r="S445" s="59" t="n">
        <f aca="false">Q445-T12EarlyH/24</f>
        <v>46306.8506944444</v>
      </c>
      <c r="T445" s="60"/>
      <c r="U445" s="60"/>
      <c r="V445" s="60"/>
      <c r="W445" s="61"/>
      <c r="X445" s="60"/>
      <c r="Y445" s="60"/>
      <c r="Z445" s="60"/>
      <c r="AA445" s="60"/>
      <c r="AB445" s="60"/>
      <c r="AC445" s="60"/>
      <c r="AD445" s="66"/>
      <c r="AE445" s="60"/>
      <c r="AF445" s="61" t="str">
        <f aca="false">IF(AND(ISNUMBER(X445),ISNUMBER(Y445)),Y445-X445,"")</f>
        <v/>
      </c>
      <c r="AG445" s="62" t="str">
        <f aca="false">IF(ISNUMBER(AD445),AD445-(IF(AND(INDEX(TZ_DSTS,MATCH(P445,TZ_STN,0))&lt;&gt;"",(AD445-INDEX(TZ_STD,MATCH(P445,TZ_STN,0))/24)&gt;=INDEX(TZ_DSTS,MATCH(P445,TZ_STN,0)),(AD445-INDEX(TZ_STD,MATCH(P445,TZ_STN,0))/24)&lt;INDEX(TZ_DSTE,MATCH(P445,TZ_STN,0))),INDEX(TZ_DST,MATCH(P445,TZ_STN,0)),INDEX(TZ_STD,MATCH(P445,TZ_STN,0))))/24,"")</f>
        <v/>
      </c>
      <c r="AH445" s="65" t="str">
        <f aca="false">IFERROR(IF(N445="N/A – rule","N/A – RULE",IF(TRIM(U445)="N/A",IF(AT445=0,"INVALID – N/A not permitted for this check",IF(AND(TRIM(AB445)&lt;&gt;"",TRIM(AB445)&lt;&gt;"Closed"),"INVALID – corrective action still open",IF(AND(NOT(OR(LEN(AZ445)&lt;15,ISNUMBER(MATCH(AZ445,L_Placeholder,0)))),NOT(OR(LEN(AU445)&lt;2,ISNUMBER(MATCH(AU445,L_Placeholder,0)))),NOT(OR(LEN(AX445)&lt;2,ISNUMBER(MATCH(AX445,L_Placeholder,0)))),TRIM(AE445)&lt;&gt;TRIM(T445)),"N/A – JUSTIFIED","INVALID – N/A needs a real justification (15+ chars), PIC and a different verifier"))),IF(OR(TRIM(U445)="Pass",TRIM(U445)="Pass after CA"),IF(NOT(ISNUMBER(AD445)),"INVALID – completion time missing",IF(OR(LEN(AU445)&lt;2,ISNUMBER(MATCH(AU445,L_Placeholder,0))),"INVALID – PIC missing",IF(OR(LEN(AV445)&lt;2,ISNUMBER(MATCH(AV445,L_Placeholder,0))),"INVALID – result / assessment missing",IF(OR(OR(LEN(AW445)&lt;3,ISNUMBER(MATCH(AW445,L_Placeholder,0))),SUMPRODUCT(--ISNUMBER(SEARCH(L_EvidencePhrase,AW445)))&gt;0),"INVALID – evidence missing, placeholder or not yet on file",IF(OR(LEN(AX445)&lt;2,ISNUMBER(MATCH(AX445,L_Placeholder,0))),"INVALID – verifier missing",IF(AX445=AU445,"INVALID – verifier must be someone other than the PIC",IF(AND(TRIM(U445)="Pass",SUMPRODUCT(--ISNUMBER(SEARCH(L_ResultBad,AV445)))&gt;0),"INVALID – result describes a problem: use Fail, then Pass after CA",IF(AND(AQ445=1,OR(LEN(AY445)&lt;3,ISNUMBER(MATCH(AY445,L_Placeholder,0)))),"INVALID – batch ID missing or placeholder",IF(AND(AR445=1,OR(NOT(ISNUMBER(X445)),NOT(ISNUMBER(Y445)))),"INVALID – expected/actual qty missing",IF(AND(AR445=1,OR(X445&lt;=0,Y445&lt;0)),"INVALID – expected qty must be above 0 and actual not negative",IF(BB445&lt;&gt;"",BB445,IF(AND(AS445=1,Documents!$J$17&lt;&gt;"ON FILE"),"INVALID – GLD not on file (Documents sheet)",IF(AND(AS445=2,Documents!$O$17&lt;&gt;"ON FILE"),"INVALID – menu checklist not on file (Documents sheet)",IF(AND(AS445=3,NOT(ISNUMBER(Flights!$AX$17))),"INVALID – enter carrying flight KUL departure (Flights AX)",IF(AND(AS445=3,OR(Flights!$AZ$17&gt;Flights!$AA$17,Flights!$AX$17&lt;Flights!$AA$17-3)),"INVALID – carrying flight (Flights AX) cannot arrive before this leg's STD, or is over 3 days early",IF(AG445&gt;AsOfUTC,"INVALID – completion time is in the future",IF(AND(ISNUMBER(S445),AG445&lt;S445),IF(H445="Physical uplift","INVALID – before uplift window (cannot confirm loading)","INVALID – before valid window"),IF(AG445&gt;Flights!$AA$17,"INVALID – completed after departure (cannot establish readiness)",IF(AND(H445="Preparation",AG445&gt;Flights!$AY$17+UpliftWindowH/24),"INVALID – completed after the carrying flight left KUL",IF(AND(H445="Physical uplift",AG445&gt;Q445),"INVALID – recorded after the loading flight departed",IF(AG445&gt;Q445,"COMPLETE – LATE","COMPLETE"))))))))))))))))))))),IF(TRIM(U445)="Fail","FAIL – DISCREPANCY",IF(AND(TRIM(U445)&lt;&gt;"",TRIM(U445)&lt;&gt;"Not started",TRIM(U445)&lt;&gt;"In progress"),"INVALID – unrecognised status (use the list)",IF(AsOfUTC&gt;Q445,"OVERDUE",IF(N445="Clarification required","OPEN – CLARIFICATION","OPEN"))))))),"INVALID – error value in an input cell")</f>
        <v>OPEN – CLARIFICATION</v>
      </c>
      <c r="AI445" s="61" t="n">
        <f aca="false">IF(OR(AH445="N/A – RULE",AH445="N/A – JUSTIFIED"),0,1)</f>
        <v>1</v>
      </c>
      <c r="AJ445" s="61" t="n">
        <f aca="false">IF(LEFT(AH445,8)="COMPLETE",1,0)</f>
        <v>0</v>
      </c>
      <c r="AK445" s="61" t="n">
        <f aca="false">IF(AND(AI445=1,AJ445=0,AsOfUTC&gt;Q445),1,0)</f>
        <v>0</v>
      </c>
      <c r="AL445" s="61" t="n">
        <f aca="false">IFERROR(IF(AND(AI445=1,OR(TRIM(U445)="Fail",AND(TRIM(AB445)&lt;&gt;"",TRIM(AB445)&lt;&gt;"Closed"),AND(ISNUMBER(AF445),AF445&lt;&gt;0,TRIM(U445)&lt;&gt;"Pass after CA"))),1,0),1)</f>
        <v>0</v>
      </c>
      <c r="AM445" s="61" t="n">
        <f aca="false">IF(LEFT(AH445,7)="INVALID",1,0)</f>
        <v>0</v>
      </c>
      <c r="AN445" s="61" t="n">
        <f aca="false">IF(AND(N445="Clarification required",AI445=1,AJ445=0),1,0)</f>
        <v>1</v>
      </c>
      <c r="AO445" s="61" t="str">
        <f aca="false">IF(AK445=1,SUM(AK$5:AK445),"")</f>
        <v/>
      </c>
      <c r="AP445" s="61" t="str">
        <f aca="false">IF(AL445=1,SUM(AL$5:AL445),"")</f>
        <v/>
      </c>
      <c r="AQ445" s="61" t="n">
        <v>0</v>
      </c>
      <c r="AR445" s="61" t="n">
        <v>0</v>
      </c>
      <c r="AS445" s="61" t="n">
        <v>0</v>
      </c>
      <c r="AT445" s="61" t="n">
        <v>1</v>
      </c>
      <c r="AU445" s="61" t="str">
        <f aca="false">SUBSTITUTE(SUBSTITUTE(SUBSTITUTE(SUBSTITUTE(SUBSTITUTE(SUBSTITUTE(SUBSTITUTE(SUBSTITUTE(SUBSTITUTE(SUBSTITUTE(SUBSTITUTE(SUBSTITUTE(SUBSTITUTE(LOWER(T445&amp;""),CHAR(160),"")," ",""),".",""),"-",""),"/",""),"?",""),"_",""),",",""),"[",""),"]",""),"(",""),")",""),"*","")</f>
        <v/>
      </c>
      <c r="AV445" s="61" t="str">
        <f aca="false">SUBSTITUTE(SUBSTITUTE(SUBSTITUTE(SUBSTITUTE(SUBSTITUTE(SUBSTITUTE(SUBSTITUTE(SUBSTITUTE(SUBSTITUTE(SUBSTITUTE(SUBSTITUTE(SUBSTITUTE(SUBSTITUTE(LOWER(V445&amp;""),CHAR(160),"")," ",""),".",""),"-",""),"/",""),"?",""),"_",""),",",""),"[",""),"]",""),"(",""),")",""),"*","")</f>
        <v/>
      </c>
      <c r="AW445" s="61" t="str">
        <f aca="false">SUBSTITUTE(SUBSTITUTE(SUBSTITUTE(SUBSTITUTE(SUBSTITUTE(SUBSTITUTE(SUBSTITUTE(SUBSTITUTE(SUBSTITUTE(SUBSTITUTE(SUBSTITUTE(SUBSTITUTE(SUBSTITUTE(LOWER(Z445&amp;""),CHAR(160),"")," ",""),".",""),"-",""),"/",""),"?",""),"_",""),",",""),"[",""),"]",""),"(",""),")",""),"*","")</f>
        <v/>
      </c>
      <c r="AX445" s="61" t="str">
        <f aca="false">SUBSTITUTE(SUBSTITUTE(SUBSTITUTE(SUBSTITUTE(SUBSTITUTE(SUBSTITUTE(SUBSTITUTE(SUBSTITUTE(SUBSTITUTE(SUBSTITUTE(SUBSTITUTE(SUBSTITUTE(SUBSTITUTE(LOWER(AE445&amp;""),CHAR(160),"")," ",""),".",""),"-",""),"/",""),"?",""),"_",""),",",""),"[",""),"]",""),"(",""),")",""),"*","")</f>
        <v/>
      </c>
      <c r="AY445" s="61" t="str">
        <f aca="false">SUBSTITUTE(SUBSTITUTE(SUBSTITUTE(SUBSTITUTE(SUBSTITUTE(SUBSTITUTE(SUBSTITUTE(SUBSTITUTE(SUBSTITUTE(SUBSTITUTE(SUBSTITUTE(SUBSTITUTE(SUBSTITUTE(LOWER(W445&amp;""),CHAR(160),"")," ",""),".",""),"-",""),"/",""),"?",""),"_",""),",",""),"[",""),"]",""),"(",""),")",""),"*","")</f>
        <v/>
      </c>
      <c r="AZ445" s="61" t="str">
        <f aca="false">SUBSTITUTE(SUBSTITUTE(SUBSTITUTE(SUBSTITUTE(SUBSTITUTE(SUBSTITUTE(SUBSTITUTE(SUBSTITUTE(SUBSTITUTE(SUBSTITUTE(SUBSTITUTE(SUBSTITUTE(SUBSTITUTE(LOWER(AC445&amp;""),CHAR(160),"")," ",""),".",""),"-",""),"/",""),"?",""),"_",""),",",""),"[",""),"]",""),"(",""),")",""),"*","")</f>
        <v/>
      </c>
      <c r="BA445" s="61" t="str">
        <f aca="false">SUBSTITUTE(SUBSTITUTE(SUBSTITUTE(SUBSTITUTE(SUBSTITUTE(SUBSTITUTE(SUBSTITUTE(SUBSTITUTE(SUBSTITUTE(SUBSTITUTE(SUBSTITUTE(SUBSTITUTE(SUBSTITUTE(LOWER(AA445&amp;""),CHAR(160),"")," ",""),".",""),"-",""),"/",""),"?",""),"_",""),",",""),"[",""),"]",""),"(",""),")",""),"*","")</f>
        <v/>
      </c>
      <c r="BB445" s="61" t="str">
        <f aca="false">IF(AND(TRIM(U445)="Pass",ISNUMBER(AF445)),IF(AF445&lt;&gt;0,"INVALID – qty variance: use Fail or Pass after CA",""),"")&amp;IF(AND(TRIM(U445)="Pass after CA",ISNUMBER(AF445)),IF(AF445&lt;&gt;0,"INVALID – after the corrective action the actual qty must equal expected (update Actual)",""),"")&amp;IF(AND(TRIM(U445)="Pass",TRIM(AB445)&lt;&gt;"",TRIM(AB445)&lt;&gt;"Closed"),"INVALID – corrective action not closed: use Fail, then Pass after CA","")&amp;IF(AND(TRIM(AA445)&lt;&gt;"",TRIM(AB445)=""),"INVALID – CA status missing for the recorded corrective action","")&amp;IF(AND(TRIM(U445)="Pass after CA",OR(OR(LEN(BA445)&lt;5,ISNUMBER(MATCH(BA445,L_Placeholder,0))),TRIM(AB445)&lt;&gt;"Closed")),"INVALID – corrective action not recorded/closed","")</f>
        <v/>
      </c>
    </row>
    <row r="446" customFormat="false" ht="41.25" hidden="false" customHeight="true" outlineLevel="0" collapsed="false">
      <c r="A446" s="57" t="s">
        <v>1062</v>
      </c>
      <c r="B446" s="57" t="s">
        <v>269</v>
      </c>
      <c r="C446" s="57" t="str">
        <f aca="false">Flights!$F$17</f>
        <v>MH0138</v>
      </c>
      <c r="D446" s="58" t="n">
        <f aca="false">Flights!$D$17</f>
        <v>46309</v>
      </c>
      <c r="E446" s="57" t="str">
        <f aca="false">Flights!$G$17&amp;"-"&amp;Flights!$H$17</f>
        <v>ADL-KUL</v>
      </c>
      <c r="F446" s="57" t="str">
        <f aca="false">Flights!$K$17</f>
        <v>EY</v>
      </c>
      <c r="G446" s="57" t="s">
        <v>398</v>
      </c>
      <c r="H446" s="57" t="s">
        <v>356</v>
      </c>
      <c r="I446" s="57" t="s">
        <v>425</v>
      </c>
      <c r="J446" s="57" t="s">
        <v>426</v>
      </c>
      <c r="K446" s="67" t="s">
        <v>427</v>
      </c>
      <c r="L446" s="67" t="s">
        <v>1063</v>
      </c>
      <c r="M446" s="67" t="s">
        <v>429</v>
      </c>
      <c r="N446" s="67" t="s">
        <v>361</v>
      </c>
      <c r="O446" s="67" t="s">
        <v>1064</v>
      </c>
      <c r="P446" s="57" t="s">
        <v>260</v>
      </c>
      <c r="Q446" s="59" t="n">
        <f aca="false">ROUND((Flights!$AE$17)*1440,0)/1440</f>
        <v>46308.5104166667</v>
      </c>
      <c r="R446" s="59" t="n">
        <f aca="false">Q446+(IF(AND(INDEX(TZ_DSTS,MATCH(P446,TZ_STN,0))&lt;&gt;"",Q446&gt;=INDEX(TZ_DSTS,MATCH(P446,TZ_STN,0)),Q446&lt;INDEX(TZ_DSTE,MATCH(P446,TZ_STN,0))),INDEX(TZ_DST,MATCH(P446,TZ_STN,0)),INDEX(TZ_STD,MATCH(P446,TZ_STN,0))))/24</f>
        <v>46308.9479166667</v>
      </c>
      <c r="S446" s="59" t="n">
        <f aca="false">Q446-T12EarlyH/24</f>
        <v>46308.0104166667</v>
      </c>
      <c r="T446" s="60"/>
      <c r="U446" s="60"/>
      <c r="V446" s="60"/>
      <c r="W446" s="61"/>
      <c r="X446" s="60"/>
      <c r="Y446" s="60"/>
      <c r="Z446" s="60"/>
      <c r="AA446" s="60"/>
      <c r="AB446" s="60"/>
      <c r="AC446" s="60"/>
      <c r="AD446" s="66"/>
      <c r="AE446" s="60"/>
      <c r="AF446" s="61" t="str">
        <f aca="false">IF(AND(ISNUMBER(X446),ISNUMBER(Y446)),Y446-X446,"")</f>
        <v/>
      </c>
      <c r="AG446" s="62" t="str">
        <f aca="false">IF(ISNUMBER(AD446),AD446-(IF(AND(INDEX(TZ_DSTS,MATCH(P446,TZ_STN,0))&lt;&gt;"",(AD446-INDEX(TZ_STD,MATCH(P446,TZ_STN,0))/24)&gt;=INDEX(TZ_DSTS,MATCH(P446,TZ_STN,0)),(AD446-INDEX(TZ_STD,MATCH(P446,TZ_STN,0))/24)&lt;INDEX(TZ_DSTE,MATCH(P446,TZ_STN,0))),INDEX(TZ_DST,MATCH(P446,TZ_STN,0)),INDEX(TZ_STD,MATCH(P446,TZ_STN,0))))/24,"")</f>
        <v/>
      </c>
      <c r="AH446" s="65" t="str">
        <f aca="false">IFERROR(IF(N446="N/A – rule","N/A – RULE",IF(TRIM(U446)="N/A",IF(AT446=0,"INVALID – N/A not permitted for this check",IF(AND(TRIM(AB446)&lt;&gt;"",TRIM(AB446)&lt;&gt;"Closed"),"INVALID – corrective action still open",IF(AND(NOT(OR(LEN(AZ446)&lt;15,ISNUMBER(MATCH(AZ446,L_Placeholder,0)))),NOT(OR(LEN(AU446)&lt;2,ISNUMBER(MATCH(AU446,L_Placeholder,0)))),NOT(OR(LEN(AX446)&lt;2,ISNUMBER(MATCH(AX446,L_Placeholder,0)))),TRIM(AE446)&lt;&gt;TRIM(T446)),"N/A – JUSTIFIED","INVALID – N/A needs a real justification (15+ chars), PIC and a different verifier"))),IF(OR(TRIM(U446)="Pass",TRIM(U446)="Pass after CA"),IF(NOT(ISNUMBER(AD446)),"INVALID – completion time missing",IF(OR(LEN(AU446)&lt;2,ISNUMBER(MATCH(AU446,L_Placeholder,0))),"INVALID – PIC missing",IF(OR(LEN(AV446)&lt;2,ISNUMBER(MATCH(AV446,L_Placeholder,0))),"INVALID – result / assessment missing",IF(OR(OR(LEN(AW446)&lt;3,ISNUMBER(MATCH(AW446,L_Placeholder,0))),SUMPRODUCT(--ISNUMBER(SEARCH(L_EvidencePhrase,AW446)))&gt;0),"INVALID – evidence missing, placeholder or not yet on file",IF(OR(LEN(AX446)&lt;2,ISNUMBER(MATCH(AX446,L_Placeholder,0))),"INVALID – verifier missing",IF(AX446=AU446,"INVALID – verifier must be someone other than the PIC",IF(AND(TRIM(U446)="Pass",SUMPRODUCT(--ISNUMBER(SEARCH(L_ResultBad,AV446)))&gt;0),"INVALID – result describes a problem: use Fail, then Pass after CA",IF(AND(AQ446=1,OR(LEN(AY446)&lt;3,ISNUMBER(MATCH(AY446,L_Placeholder,0)))),"INVALID – batch ID missing or placeholder",IF(AND(AR446=1,OR(NOT(ISNUMBER(X446)),NOT(ISNUMBER(Y446)))),"INVALID – expected/actual qty missing",IF(AND(AR446=1,OR(X446&lt;=0,Y446&lt;0)),"INVALID – expected qty must be above 0 and actual not negative",IF(BB446&lt;&gt;"",BB446,IF(AND(AS446=1,Documents!$J$17&lt;&gt;"ON FILE"),"INVALID – GLD not on file (Documents sheet)",IF(AND(AS446=2,Documents!$O$17&lt;&gt;"ON FILE"),"INVALID – menu checklist not on file (Documents sheet)",IF(AND(AS446=3,NOT(ISNUMBER(Flights!$AX$17))),"INVALID – enter carrying flight KUL departure (Flights AX)",IF(AND(AS446=3,OR(Flights!$AZ$17&gt;Flights!$AA$17,Flights!$AX$17&lt;Flights!$AA$17-3)),"INVALID – carrying flight (Flights AX) cannot arrive before this leg's STD, or is over 3 days early",IF(AG446&gt;AsOfUTC,"INVALID – completion time is in the future",IF(AND(ISNUMBER(S446),AG446&lt;S446),IF(H446="Physical uplift","INVALID – before uplift window (cannot confirm loading)","INVALID – before valid window"),IF(AG446&gt;Flights!$AA$17,"INVALID – completed after departure (cannot establish readiness)",IF(AND(H446="Preparation",AG446&gt;IF(ISNUMBER(Flights!$BA$17),MIN(Flights!$BA$17,Flights!$AA$17),Flights!$AA$17)),"INVALID – completed after loading / departure (cannot establish readiness)",IF(AND(H446="Physical uplift",AG446&gt;Q446),"INVALID – recorded after the loading flight departed",IF(AG446&gt;Q446,"COMPLETE – LATE","COMPLETE"))))))))))))))))))))),IF(TRIM(U446)="Fail","FAIL – DISCREPANCY",IF(AND(TRIM(U446)&lt;&gt;"",TRIM(U446)&lt;&gt;"Not started",TRIM(U446)&lt;&gt;"In progress"),"INVALID – unrecognised status (use the list)",IF(AsOfUTC&gt;Q446,"OVERDUE",IF(N446="Clarification required","OPEN – CLARIFICATION","OPEN"))))))),"INVALID – error value in an input cell")</f>
        <v>OPEN</v>
      </c>
      <c r="AI446" s="61" t="n">
        <f aca="false">IF(OR(AH446="N/A – RULE",AH446="N/A – JUSTIFIED"),0,1)</f>
        <v>1</v>
      </c>
      <c r="AJ446" s="61" t="n">
        <f aca="false">IF(LEFT(AH446,8)="COMPLETE",1,0)</f>
        <v>0</v>
      </c>
      <c r="AK446" s="61" t="n">
        <f aca="false">IF(AND(AI446=1,AJ446=0,AsOfUTC&gt;Q446),1,0)</f>
        <v>0</v>
      </c>
      <c r="AL446" s="61" t="n">
        <f aca="false">IFERROR(IF(AND(AI446=1,OR(TRIM(U446)="Fail",AND(TRIM(AB446)&lt;&gt;"",TRIM(AB446)&lt;&gt;"Closed"),AND(ISNUMBER(AF446),AF446&lt;&gt;0,TRIM(U446)&lt;&gt;"Pass after CA"))),1,0),1)</f>
        <v>0</v>
      </c>
      <c r="AM446" s="61" t="n">
        <f aca="false">IF(LEFT(AH446,7)="INVALID",1,0)</f>
        <v>0</v>
      </c>
      <c r="AN446" s="61" t="n">
        <f aca="false">IF(AND(N446="Clarification required",AI446=1,AJ446=0),1,0)</f>
        <v>0</v>
      </c>
      <c r="AO446" s="61" t="str">
        <f aca="false">IF(AK446=1,SUM(AK$5:AK446),"")</f>
        <v/>
      </c>
      <c r="AP446" s="61" t="str">
        <f aca="false">IF(AL446=1,SUM(AL$5:AL446),"")</f>
        <v/>
      </c>
      <c r="AQ446" s="61" t="n">
        <v>0</v>
      </c>
      <c r="AR446" s="61" t="n">
        <v>0</v>
      </c>
      <c r="AS446" s="61" t="n">
        <v>0</v>
      </c>
      <c r="AT446" s="61" t="n">
        <v>0</v>
      </c>
      <c r="AU446" s="61" t="str">
        <f aca="false">SUBSTITUTE(SUBSTITUTE(SUBSTITUTE(SUBSTITUTE(SUBSTITUTE(SUBSTITUTE(SUBSTITUTE(SUBSTITUTE(SUBSTITUTE(SUBSTITUTE(SUBSTITUTE(SUBSTITUTE(SUBSTITUTE(LOWER(T446&amp;""),CHAR(160),"")," ",""),".",""),"-",""),"/",""),"?",""),"_",""),",",""),"[",""),"]",""),"(",""),")",""),"*","")</f>
        <v/>
      </c>
      <c r="AV446" s="61" t="str">
        <f aca="false">SUBSTITUTE(SUBSTITUTE(SUBSTITUTE(SUBSTITUTE(SUBSTITUTE(SUBSTITUTE(SUBSTITUTE(SUBSTITUTE(SUBSTITUTE(SUBSTITUTE(SUBSTITUTE(SUBSTITUTE(SUBSTITUTE(LOWER(V446&amp;""),CHAR(160),"")," ",""),".",""),"-",""),"/",""),"?",""),"_",""),",",""),"[",""),"]",""),"(",""),")",""),"*","")</f>
        <v/>
      </c>
      <c r="AW446" s="61" t="str">
        <f aca="false">SUBSTITUTE(SUBSTITUTE(SUBSTITUTE(SUBSTITUTE(SUBSTITUTE(SUBSTITUTE(SUBSTITUTE(SUBSTITUTE(SUBSTITUTE(SUBSTITUTE(SUBSTITUTE(SUBSTITUTE(SUBSTITUTE(LOWER(Z446&amp;""),CHAR(160),"")," ",""),".",""),"-",""),"/",""),"?",""),"_",""),",",""),"[",""),"]",""),"(",""),")",""),"*","")</f>
        <v/>
      </c>
      <c r="AX446" s="61" t="str">
        <f aca="false">SUBSTITUTE(SUBSTITUTE(SUBSTITUTE(SUBSTITUTE(SUBSTITUTE(SUBSTITUTE(SUBSTITUTE(SUBSTITUTE(SUBSTITUTE(SUBSTITUTE(SUBSTITUTE(SUBSTITUTE(SUBSTITUTE(LOWER(AE446&amp;""),CHAR(160),"")," ",""),".",""),"-",""),"/",""),"?",""),"_",""),",",""),"[",""),"]",""),"(",""),")",""),"*","")</f>
        <v/>
      </c>
      <c r="AY446" s="61" t="str">
        <f aca="false">SUBSTITUTE(SUBSTITUTE(SUBSTITUTE(SUBSTITUTE(SUBSTITUTE(SUBSTITUTE(SUBSTITUTE(SUBSTITUTE(SUBSTITUTE(SUBSTITUTE(SUBSTITUTE(SUBSTITUTE(SUBSTITUTE(LOWER(W446&amp;""),CHAR(160),"")," ",""),".",""),"-",""),"/",""),"?",""),"_",""),",",""),"[",""),"]",""),"(",""),")",""),"*","")</f>
        <v/>
      </c>
      <c r="AZ446" s="61" t="str">
        <f aca="false">SUBSTITUTE(SUBSTITUTE(SUBSTITUTE(SUBSTITUTE(SUBSTITUTE(SUBSTITUTE(SUBSTITUTE(SUBSTITUTE(SUBSTITUTE(SUBSTITUTE(SUBSTITUTE(SUBSTITUTE(SUBSTITUTE(LOWER(AC446&amp;""),CHAR(160),"")," ",""),".",""),"-",""),"/",""),"?",""),"_",""),",",""),"[",""),"]",""),"(",""),")",""),"*","")</f>
        <v/>
      </c>
      <c r="BA446" s="61" t="str">
        <f aca="false">SUBSTITUTE(SUBSTITUTE(SUBSTITUTE(SUBSTITUTE(SUBSTITUTE(SUBSTITUTE(SUBSTITUTE(SUBSTITUTE(SUBSTITUTE(SUBSTITUTE(SUBSTITUTE(SUBSTITUTE(SUBSTITUTE(LOWER(AA446&amp;""),CHAR(160),"")," ",""),".",""),"-",""),"/",""),"?",""),"_",""),",",""),"[",""),"]",""),"(",""),")",""),"*","")</f>
        <v/>
      </c>
      <c r="BB446" s="61" t="str">
        <f aca="false">IF(AND(TRIM(U446)="Pass",ISNUMBER(AF446)),IF(AF446&lt;&gt;0,"INVALID – qty variance: use Fail or Pass after CA",""),"")&amp;IF(AND(TRIM(U446)="Pass after CA",ISNUMBER(AF446)),IF(AF446&lt;&gt;0,"INVALID – after the corrective action the actual qty must equal expected (update Actual)",""),"")&amp;IF(AND(TRIM(U446)="Pass",TRIM(AB446)&lt;&gt;"",TRIM(AB446)&lt;&gt;"Closed"),"INVALID – corrective action not closed: use Fail, then Pass after CA","")&amp;IF(AND(TRIM(AA446)&lt;&gt;"",TRIM(AB446)=""),"INVALID – CA status missing for the recorded corrective action","")&amp;IF(AND(TRIM(U446)="Pass after CA",OR(OR(LEN(BA446)&lt;5,ISNUMBER(MATCH(BA446,L_Placeholder,0))),TRIM(AB446)&lt;&gt;"Closed")),"INVALID – corrective action not recorded/closed","")</f>
        <v/>
      </c>
    </row>
    <row r="447" customFormat="false" ht="78.75" hidden="false" customHeight="true" outlineLevel="0" collapsed="false">
      <c r="A447" s="57" t="s">
        <v>1065</v>
      </c>
      <c r="B447" s="57" t="s">
        <v>269</v>
      </c>
      <c r="C447" s="57" t="str">
        <f aca="false">Flights!$F$17</f>
        <v>MH0138</v>
      </c>
      <c r="D447" s="58" t="n">
        <f aca="false">Flights!$D$17</f>
        <v>46309</v>
      </c>
      <c r="E447" s="57" t="str">
        <f aca="false">Flights!$G$17&amp;"-"&amp;Flights!$H$17</f>
        <v>ADL-KUL</v>
      </c>
      <c r="F447" s="57" t="str">
        <f aca="false">Flights!$K$17</f>
        <v>EY</v>
      </c>
      <c r="G447" s="57" t="s">
        <v>398</v>
      </c>
      <c r="H447" s="57" t="s">
        <v>356</v>
      </c>
      <c r="I447" s="57" t="s">
        <v>425</v>
      </c>
      <c r="J447" s="57" t="s">
        <v>432</v>
      </c>
      <c r="K447" s="67" t="s">
        <v>1066</v>
      </c>
      <c r="L447" s="67" t="s">
        <v>1067</v>
      </c>
      <c r="M447" s="67" t="s">
        <v>429</v>
      </c>
      <c r="N447" s="67" t="s">
        <v>361</v>
      </c>
      <c r="O447" s="67" t="s">
        <v>1068</v>
      </c>
      <c r="P447" s="57" t="s">
        <v>260</v>
      </c>
      <c r="Q447" s="59" t="n">
        <f aca="false">ROUND((Flights!$AE$17)*1440,0)/1440</f>
        <v>46308.5104166667</v>
      </c>
      <c r="R447" s="59" t="n">
        <f aca="false">Q447+(IF(AND(INDEX(TZ_DSTS,MATCH(P447,TZ_STN,0))&lt;&gt;"",Q447&gt;=INDEX(TZ_DSTS,MATCH(P447,TZ_STN,0)),Q447&lt;INDEX(TZ_DSTE,MATCH(P447,TZ_STN,0))),INDEX(TZ_DST,MATCH(P447,TZ_STN,0)),INDEX(TZ_STD,MATCH(P447,TZ_STN,0))))/24</f>
        <v>46308.9479166667</v>
      </c>
      <c r="S447" s="59" t="n">
        <f aca="false">Q447-T12EarlyH/24</f>
        <v>46308.0104166667</v>
      </c>
      <c r="T447" s="60"/>
      <c r="U447" s="60"/>
      <c r="V447" s="60"/>
      <c r="W447" s="61"/>
      <c r="X447" s="68" t="n">
        <v>280</v>
      </c>
      <c r="Y447" s="60"/>
      <c r="Z447" s="60"/>
      <c r="AA447" s="60"/>
      <c r="AB447" s="60"/>
      <c r="AC447" s="60"/>
      <c r="AD447" s="66"/>
      <c r="AE447" s="60"/>
      <c r="AF447" s="61" t="str">
        <f aca="false">IF(AND(ISNUMBER(X447),ISNUMBER(Y447)),Y447-X447,"")</f>
        <v/>
      </c>
      <c r="AG447" s="62" t="str">
        <f aca="false">IF(ISNUMBER(AD447),AD447-(IF(AND(INDEX(TZ_DSTS,MATCH(P447,TZ_STN,0))&lt;&gt;"",(AD447-INDEX(TZ_STD,MATCH(P447,TZ_STN,0))/24)&gt;=INDEX(TZ_DSTS,MATCH(P447,TZ_STN,0)),(AD447-INDEX(TZ_STD,MATCH(P447,TZ_STN,0))/24)&lt;INDEX(TZ_DSTE,MATCH(P447,TZ_STN,0))),INDEX(TZ_DST,MATCH(P447,TZ_STN,0)),INDEX(TZ_STD,MATCH(P447,TZ_STN,0))))/24,"")</f>
        <v/>
      </c>
      <c r="AH447" s="65" t="str">
        <f aca="false">IFERROR(IF(N447="N/A – rule","N/A – RULE",IF(TRIM(U447)="N/A",IF(AT447=0,"INVALID – N/A not permitted for this check",IF(AND(TRIM(AB447)&lt;&gt;"",TRIM(AB447)&lt;&gt;"Closed"),"INVALID – corrective action still open",IF(AND(NOT(OR(LEN(AZ447)&lt;15,ISNUMBER(MATCH(AZ447,L_Placeholder,0)))),NOT(OR(LEN(AU447)&lt;2,ISNUMBER(MATCH(AU447,L_Placeholder,0)))),NOT(OR(LEN(AX447)&lt;2,ISNUMBER(MATCH(AX447,L_Placeholder,0)))),TRIM(AE447)&lt;&gt;TRIM(T447)),"N/A – JUSTIFIED","INVALID – N/A needs a real justification (15+ chars), PIC and a different verifier"))),IF(OR(TRIM(U447)="Pass",TRIM(U447)="Pass after CA"),IF(NOT(ISNUMBER(AD447)),"INVALID – completion time missing",IF(OR(LEN(AU447)&lt;2,ISNUMBER(MATCH(AU447,L_Placeholder,0))),"INVALID – PIC missing",IF(OR(LEN(AV447)&lt;2,ISNUMBER(MATCH(AV447,L_Placeholder,0))),"INVALID – result / assessment missing",IF(OR(OR(LEN(AW447)&lt;3,ISNUMBER(MATCH(AW447,L_Placeholder,0))),SUMPRODUCT(--ISNUMBER(SEARCH(L_EvidencePhrase,AW447)))&gt;0),"INVALID – evidence missing, placeholder or not yet on file",IF(OR(LEN(AX447)&lt;2,ISNUMBER(MATCH(AX447,L_Placeholder,0))),"INVALID – verifier missing",IF(AX447=AU447,"INVALID – verifier must be someone other than the PIC",IF(AND(TRIM(U447)="Pass",SUMPRODUCT(--ISNUMBER(SEARCH(L_ResultBad,AV447)))&gt;0),"INVALID – result describes a problem: use Fail, then Pass after CA",IF(AND(AQ447=1,OR(LEN(AY447)&lt;3,ISNUMBER(MATCH(AY447,L_Placeholder,0)))),"INVALID – batch ID missing or placeholder",IF(AND(AR447=1,OR(NOT(ISNUMBER(X447)),NOT(ISNUMBER(Y447)))),"INVALID – expected/actual qty missing",IF(AND(AR447=1,OR(X447&lt;=0,Y447&lt;0)),"INVALID – expected qty must be above 0 and actual not negative",IF(BB447&lt;&gt;"",BB447,IF(AND(AS447=1,Documents!$J$17&lt;&gt;"ON FILE"),"INVALID – GLD not on file (Documents sheet)",IF(AND(AS447=2,Documents!$O$17&lt;&gt;"ON FILE"),"INVALID – menu checklist not on file (Documents sheet)",IF(AND(AS447=3,NOT(ISNUMBER(Flights!$AX$17))),"INVALID – enter carrying flight KUL departure (Flights AX)",IF(AND(AS447=3,OR(Flights!$AZ$17&gt;Flights!$AA$17,Flights!$AX$17&lt;Flights!$AA$17-3)),"INVALID – carrying flight (Flights AX) cannot arrive before this leg's STD, or is over 3 days early",IF(AG447&gt;AsOfUTC,"INVALID – completion time is in the future",IF(AND(ISNUMBER(S447),AG447&lt;S447),IF(H447="Physical uplift","INVALID – before uplift window (cannot confirm loading)","INVALID – before valid window"),IF(AG447&gt;Flights!$AA$17,"INVALID – completed after departure (cannot establish readiness)",IF(AND(H447="Preparation",AG447&gt;IF(ISNUMBER(Flights!$BA$17),MIN(Flights!$BA$17,Flights!$AA$17),Flights!$AA$17)),"INVALID – completed after loading / departure (cannot establish readiness)",IF(AND(H447="Physical uplift",AG447&gt;Q447),"INVALID – recorded after the loading flight departed",IF(AG447&gt;Q447,"COMPLETE – LATE","COMPLETE"))))))))))))))))))))),IF(TRIM(U447)="Fail","FAIL – DISCREPANCY",IF(AND(TRIM(U447)&lt;&gt;"",TRIM(U447)&lt;&gt;"Not started",TRIM(U447)&lt;&gt;"In progress"),"INVALID – unrecognised status (use the list)",IF(AsOfUTC&gt;Q447,"OVERDUE",IF(N447="Clarification required","OPEN – CLARIFICATION","OPEN"))))))),"INVALID – error value in an input cell")</f>
        <v>OPEN</v>
      </c>
      <c r="AI447" s="61" t="n">
        <f aca="false">IF(OR(AH447="N/A – RULE",AH447="N/A – JUSTIFIED"),0,1)</f>
        <v>1</v>
      </c>
      <c r="AJ447" s="61" t="n">
        <f aca="false">IF(LEFT(AH447,8)="COMPLETE",1,0)</f>
        <v>0</v>
      </c>
      <c r="AK447" s="61" t="n">
        <f aca="false">IF(AND(AI447=1,AJ447=0,AsOfUTC&gt;Q447),1,0)</f>
        <v>0</v>
      </c>
      <c r="AL447" s="61" t="n">
        <f aca="false">IFERROR(IF(AND(AI447=1,OR(TRIM(U447)="Fail",AND(TRIM(AB447)&lt;&gt;"",TRIM(AB447)&lt;&gt;"Closed"),AND(ISNUMBER(AF447),AF447&lt;&gt;0,TRIM(U447)&lt;&gt;"Pass after CA"))),1,0),1)</f>
        <v>0</v>
      </c>
      <c r="AM447" s="61" t="n">
        <f aca="false">IF(LEFT(AH447,7)="INVALID",1,0)</f>
        <v>0</v>
      </c>
      <c r="AN447" s="61" t="n">
        <f aca="false">IF(AND(N447="Clarification required",AI447=1,AJ447=0),1,0)</f>
        <v>0</v>
      </c>
      <c r="AO447" s="61" t="str">
        <f aca="false">IF(AK447=1,SUM(AK$5:AK447),"")</f>
        <v/>
      </c>
      <c r="AP447" s="61" t="str">
        <f aca="false">IF(AL447=1,SUM(AL$5:AL447),"")</f>
        <v/>
      </c>
      <c r="AQ447" s="61" t="n">
        <v>0</v>
      </c>
      <c r="AR447" s="61" t="n">
        <v>1</v>
      </c>
      <c r="AS447" s="61" t="n">
        <v>0</v>
      </c>
      <c r="AT447" s="61" t="n">
        <v>0</v>
      </c>
      <c r="AU447" s="61" t="str">
        <f aca="false">SUBSTITUTE(SUBSTITUTE(SUBSTITUTE(SUBSTITUTE(SUBSTITUTE(SUBSTITUTE(SUBSTITUTE(SUBSTITUTE(SUBSTITUTE(SUBSTITUTE(SUBSTITUTE(SUBSTITUTE(SUBSTITUTE(LOWER(T447&amp;""),CHAR(160),"")," ",""),".",""),"-",""),"/",""),"?",""),"_",""),",",""),"[",""),"]",""),"(",""),")",""),"*","")</f>
        <v/>
      </c>
      <c r="AV447" s="61" t="str">
        <f aca="false">SUBSTITUTE(SUBSTITUTE(SUBSTITUTE(SUBSTITUTE(SUBSTITUTE(SUBSTITUTE(SUBSTITUTE(SUBSTITUTE(SUBSTITUTE(SUBSTITUTE(SUBSTITUTE(SUBSTITUTE(SUBSTITUTE(LOWER(V447&amp;""),CHAR(160),"")," ",""),".",""),"-",""),"/",""),"?",""),"_",""),",",""),"[",""),"]",""),"(",""),")",""),"*","")</f>
        <v/>
      </c>
      <c r="AW447" s="61" t="str">
        <f aca="false">SUBSTITUTE(SUBSTITUTE(SUBSTITUTE(SUBSTITUTE(SUBSTITUTE(SUBSTITUTE(SUBSTITUTE(SUBSTITUTE(SUBSTITUTE(SUBSTITUTE(SUBSTITUTE(SUBSTITUTE(SUBSTITUTE(LOWER(Z447&amp;""),CHAR(160),"")," ",""),".",""),"-",""),"/",""),"?",""),"_",""),",",""),"[",""),"]",""),"(",""),")",""),"*","")</f>
        <v/>
      </c>
      <c r="AX447" s="61" t="str">
        <f aca="false">SUBSTITUTE(SUBSTITUTE(SUBSTITUTE(SUBSTITUTE(SUBSTITUTE(SUBSTITUTE(SUBSTITUTE(SUBSTITUTE(SUBSTITUTE(SUBSTITUTE(SUBSTITUTE(SUBSTITUTE(SUBSTITUTE(LOWER(AE447&amp;""),CHAR(160),"")," ",""),".",""),"-",""),"/",""),"?",""),"_",""),",",""),"[",""),"]",""),"(",""),")",""),"*","")</f>
        <v/>
      </c>
      <c r="AY447" s="61" t="str">
        <f aca="false">SUBSTITUTE(SUBSTITUTE(SUBSTITUTE(SUBSTITUTE(SUBSTITUTE(SUBSTITUTE(SUBSTITUTE(SUBSTITUTE(SUBSTITUTE(SUBSTITUTE(SUBSTITUTE(SUBSTITUTE(SUBSTITUTE(LOWER(W447&amp;""),CHAR(160),"")," ",""),".",""),"-",""),"/",""),"?",""),"_",""),",",""),"[",""),"]",""),"(",""),")",""),"*","")</f>
        <v/>
      </c>
      <c r="AZ447" s="61" t="str">
        <f aca="false">SUBSTITUTE(SUBSTITUTE(SUBSTITUTE(SUBSTITUTE(SUBSTITUTE(SUBSTITUTE(SUBSTITUTE(SUBSTITUTE(SUBSTITUTE(SUBSTITUTE(SUBSTITUTE(SUBSTITUTE(SUBSTITUTE(LOWER(AC447&amp;""),CHAR(160),"")," ",""),".",""),"-",""),"/",""),"?",""),"_",""),",",""),"[",""),"]",""),"(",""),")",""),"*","")</f>
        <v/>
      </c>
      <c r="BA447" s="61" t="str">
        <f aca="false">SUBSTITUTE(SUBSTITUTE(SUBSTITUTE(SUBSTITUTE(SUBSTITUTE(SUBSTITUTE(SUBSTITUTE(SUBSTITUTE(SUBSTITUTE(SUBSTITUTE(SUBSTITUTE(SUBSTITUTE(SUBSTITUTE(LOWER(AA447&amp;""),CHAR(160),"")," ",""),".",""),"-",""),"/",""),"?",""),"_",""),",",""),"[",""),"]",""),"(",""),")",""),"*","")</f>
        <v/>
      </c>
      <c r="BB447" s="61" t="str">
        <f aca="false">IF(AND(TRIM(U447)="Pass",ISNUMBER(AF447)),IF(AF447&lt;&gt;0,"INVALID – qty variance: use Fail or Pass after CA",""),"")&amp;IF(AND(TRIM(U447)="Pass after CA",ISNUMBER(AF447)),IF(AF447&lt;&gt;0,"INVALID – after the corrective action the actual qty must equal expected (update Actual)",""),"")&amp;IF(AND(TRIM(U447)="Pass",TRIM(AB447)&lt;&gt;"",TRIM(AB447)&lt;&gt;"Closed"),"INVALID – corrective action not closed: use Fail, then Pass after CA","")&amp;IF(AND(TRIM(AA447)&lt;&gt;"",TRIM(AB447)=""),"INVALID – CA status missing for the recorded corrective action","")&amp;IF(AND(TRIM(U447)="Pass after CA",OR(OR(LEN(BA447)&lt;5,ISNUMBER(MATCH(BA447,L_Placeholder,0))),TRIM(AB447)&lt;&gt;"Closed")),"INVALID – corrective action not recorded/closed","")</f>
        <v/>
      </c>
    </row>
    <row r="448" customFormat="false" ht="91.5" hidden="false" customHeight="true" outlineLevel="0" collapsed="false">
      <c r="A448" s="57" t="s">
        <v>1069</v>
      </c>
      <c r="B448" s="57" t="s">
        <v>269</v>
      </c>
      <c r="C448" s="57" t="str">
        <f aca="false">Flights!$F$17</f>
        <v>MH0138</v>
      </c>
      <c r="D448" s="58" t="n">
        <f aca="false">Flights!$D$17</f>
        <v>46309</v>
      </c>
      <c r="E448" s="57" t="str">
        <f aca="false">Flights!$G$17&amp;"-"&amp;Flights!$H$17</f>
        <v>ADL-KUL</v>
      </c>
      <c r="F448" s="57" t="str">
        <f aca="false">Flights!$K$17</f>
        <v>EY</v>
      </c>
      <c r="G448" s="57" t="s">
        <v>398</v>
      </c>
      <c r="H448" s="57" t="s">
        <v>356</v>
      </c>
      <c r="I448" s="57" t="s">
        <v>612</v>
      </c>
      <c r="J448" s="57" t="s">
        <v>613</v>
      </c>
      <c r="K448" s="67" t="s">
        <v>1018</v>
      </c>
      <c r="L448" s="67" t="s">
        <v>1019</v>
      </c>
      <c r="M448" s="67" t="s">
        <v>429</v>
      </c>
      <c r="N448" s="67" t="s">
        <v>422</v>
      </c>
      <c r="O448" s="67" t="s">
        <v>1070</v>
      </c>
      <c r="P448" s="57" t="s">
        <v>260</v>
      </c>
      <c r="Q448" s="59" t="n">
        <f aca="false">ROUND((Flights!$AE$17)*1440,0)/1440</f>
        <v>46308.5104166667</v>
      </c>
      <c r="R448" s="59" t="n">
        <f aca="false">Q448+(IF(AND(INDEX(TZ_DSTS,MATCH(P448,TZ_STN,0))&lt;&gt;"",Q448&gt;=INDEX(TZ_DSTS,MATCH(P448,TZ_STN,0)),Q448&lt;INDEX(TZ_DSTE,MATCH(P448,TZ_STN,0))),INDEX(TZ_DST,MATCH(P448,TZ_STN,0)),INDEX(TZ_STD,MATCH(P448,TZ_STN,0))))/24</f>
        <v>46308.9479166667</v>
      </c>
      <c r="S448" s="59" t="n">
        <f aca="false">Q448-T12EarlyH/24</f>
        <v>46308.0104166667</v>
      </c>
      <c r="T448" s="60"/>
      <c r="U448" s="60"/>
      <c r="V448" s="60"/>
      <c r="W448" s="61"/>
      <c r="X448" s="60"/>
      <c r="Y448" s="60"/>
      <c r="Z448" s="60"/>
      <c r="AA448" s="60"/>
      <c r="AB448" s="60"/>
      <c r="AC448" s="60"/>
      <c r="AD448" s="66"/>
      <c r="AE448" s="60"/>
      <c r="AF448" s="61" t="str">
        <f aca="false">IF(AND(ISNUMBER(X448),ISNUMBER(Y448)),Y448-X448,"")</f>
        <v/>
      </c>
      <c r="AG448" s="62" t="str">
        <f aca="false">IF(ISNUMBER(AD448),AD448-(IF(AND(INDEX(TZ_DSTS,MATCH(P448,TZ_STN,0))&lt;&gt;"",(AD448-INDEX(TZ_STD,MATCH(P448,TZ_STN,0))/24)&gt;=INDEX(TZ_DSTS,MATCH(P448,TZ_STN,0)),(AD448-INDEX(TZ_STD,MATCH(P448,TZ_STN,0))/24)&lt;INDEX(TZ_DSTE,MATCH(P448,TZ_STN,0))),INDEX(TZ_DST,MATCH(P448,TZ_STN,0)),INDEX(TZ_STD,MATCH(P448,TZ_STN,0))))/24,"")</f>
        <v/>
      </c>
      <c r="AH448" s="65" t="str">
        <f aca="false">IFERROR(IF(N448="N/A – rule","N/A – RULE",IF(TRIM(U448)="N/A",IF(AT448=0,"INVALID – N/A not permitted for this check",IF(AND(TRIM(AB448)&lt;&gt;"",TRIM(AB448)&lt;&gt;"Closed"),"INVALID – corrective action still open",IF(AND(NOT(OR(LEN(AZ448)&lt;15,ISNUMBER(MATCH(AZ448,L_Placeholder,0)))),NOT(OR(LEN(AU448)&lt;2,ISNUMBER(MATCH(AU448,L_Placeholder,0)))),NOT(OR(LEN(AX448)&lt;2,ISNUMBER(MATCH(AX448,L_Placeholder,0)))),TRIM(AE448)&lt;&gt;TRIM(T448)),"N/A – JUSTIFIED","INVALID – N/A needs a real justification (15+ chars), PIC and a different verifier"))),IF(OR(TRIM(U448)="Pass",TRIM(U448)="Pass after CA"),IF(NOT(ISNUMBER(AD448)),"INVALID – completion time missing",IF(OR(LEN(AU448)&lt;2,ISNUMBER(MATCH(AU448,L_Placeholder,0))),"INVALID – PIC missing",IF(OR(LEN(AV448)&lt;2,ISNUMBER(MATCH(AV448,L_Placeholder,0))),"INVALID – result / assessment missing",IF(OR(OR(LEN(AW448)&lt;3,ISNUMBER(MATCH(AW448,L_Placeholder,0))),SUMPRODUCT(--ISNUMBER(SEARCH(L_EvidencePhrase,AW448)))&gt;0),"INVALID – evidence missing, placeholder or not yet on file",IF(OR(LEN(AX448)&lt;2,ISNUMBER(MATCH(AX448,L_Placeholder,0))),"INVALID – verifier missing",IF(AX448=AU448,"INVALID – verifier must be someone other than the PIC",IF(AND(TRIM(U448)="Pass",SUMPRODUCT(--ISNUMBER(SEARCH(L_ResultBad,AV448)))&gt;0),"INVALID – result describes a problem: use Fail, then Pass after CA",IF(AND(AQ448=1,OR(LEN(AY448)&lt;3,ISNUMBER(MATCH(AY448,L_Placeholder,0)))),"INVALID – batch ID missing or placeholder",IF(AND(AR448=1,OR(NOT(ISNUMBER(X448)),NOT(ISNUMBER(Y448)))),"INVALID – expected/actual qty missing",IF(AND(AR448=1,OR(X448&lt;=0,Y448&lt;0)),"INVALID – expected qty must be above 0 and actual not negative",IF(BB448&lt;&gt;"",BB448,IF(AND(AS448=1,Documents!$J$17&lt;&gt;"ON FILE"),"INVALID – GLD not on file (Documents sheet)",IF(AND(AS448=2,Documents!$O$17&lt;&gt;"ON FILE"),"INVALID – menu checklist not on file (Documents sheet)",IF(AND(AS448=3,NOT(ISNUMBER(Flights!$AX$17))),"INVALID – enter carrying flight KUL departure (Flights AX)",IF(AND(AS448=3,OR(Flights!$AZ$17&gt;Flights!$AA$17,Flights!$AX$17&lt;Flights!$AA$17-3)),"INVALID – carrying flight (Flights AX) cannot arrive before this leg's STD, or is over 3 days early",IF(AG448&gt;AsOfUTC,"INVALID – completion time is in the future",IF(AND(ISNUMBER(S448),AG448&lt;S448),IF(H448="Physical uplift","INVALID – before uplift window (cannot confirm loading)","INVALID – before valid window"),IF(AG448&gt;Flights!$AA$17,"INVALID – completed after departure (cannot establish readiness)",IF(AND(H448="Preparation",AG448&gt;IF(ISNUMBER(Flights!$BA$17),MIN(Flights!$BA$17,Flights!$AA$17),Flights!$AA$17)),"INVALID – completed after loading / departure (cannot establish readiness)",IF(AND(H448="Physical uplift",AG448&gt;Q448),"INVALID – recorded after the loading flight departed",IF(AG448&gt;Q448,"COMPLETE – LATE","COMPLETE"))))))))))))))))))))),IF(TRIM(U448)="Fail","FAIL – DISCREPANCY",IF(AND(TRIM(U448)&lt;&gt;"",TRIM(U448)&lt;&gt;"Not started",TRIM(U448)&lt;&gt;"In progress"),"INVALID – unrecognised status (use the list)",IF(AsOfUTC&gt;Q448,"OVERDUE",IF(N448="Clarification required","OPEN – CLARIFICATION","OPEN"))))))),"INVALID – error value in an input cell")</f>
        <v>OPEN – CLARIFICATION</v>
      </c>
      <c r="AI448" s="61" t="n">
        <f aca="false">IF(OR(AH448="N/A – RULE",AH448="N/A – JUSTIFIED"),0,1)</f>
        <v>1</v>
      </c>
      <c r="AJ448" s="61" t="n">
        <f aca="false">IF(LEFT(AH448,8)="COMPLETE",1,0)</f>
        <v>0</v>
      </c>
      <c r="AK448" s="61" t="n">
        <f aca="false">IF(AND(AI448=1,AJ448=0,AsOfUTC&gt;Q448),1,0)</f>
        <v>0</v>
      </c>
      <c r="AL448" s="61" t="n">
        <f aca="false">IFERROR(IF(AND(AI448=1,OR(TRIM(U448)="Fail",AND(TRIM(AB448)&lt;&gt;"",TRIM(AB448)&lt;&gt;"Closed"),AND(ISNUMBER(AF448),AF448&lt;&gt;0,TRIM(U448)&lt;&gt;"Pass after CA"))),1,0),1)</f>
        <v>0</v>
      </c>
      <c r="AM448" s="61" t="n">
        <f aca="false">IF(LEFT(AH448,7)="INVALID",1,0)</f>
        <v>0</v>
      </c>
      <c r="AN448" s="61" t="n">
        <f aca="false">IF(AND(N448="Clarification required",AI448=1,AJ448=0),1,0)</f>
        <v>1</v>
      </c>
      <c r="AO448" s="61" t="str">
        <f aca="false">IF(AK448=1,SUM(AK$5:AK448),"")</f>
        <v/>
      </c>
      <c r="AP448" s="61" t="str">
        <f aca="false">IF(AL448=1,SUM(AL$5:AL448),"")</f>
        <v/>
      </c>
      <c r="AQ448" s="61" t="n">
        <v>0</v>
      </c>
      <c r="AR448" s="61" t="n">
        <v>0</v>
      </c>
      <c r="AS448" s="61" t="n">
        <v>0</v>
      </c>
      <c r="AT448" s="61" t="n">
        <v>1</v>
      </c>
      <c r="AU448" s="61" t="str">
        <f aca="false">SUBSTITUTE(SUBSTITUTE(SUBSTITUTE(SUBSTITUTE(SUBSTITUTE(SUBSTITUTE(SUBSTITUTE(SUBSTITUTE(SUBSTITUTE(SUBSTITUTE(SUBSTITUTE(SUBSTITUTE(SUBSTITUTE(LOWER(T448&amp;""),CHAR(160),"")," ",""),".",""),"-",""),"/",""),"?",""),"_",""),",",""),"[",""),"]",""),"(",""),")",""),"*","")</f>
        <v/>
      </c>
      <c r="AV448" s="61" t="str">
        <f aca="false">SUBSTITUTE(SUBSTITUTE(SUBSTITUTE(SUBSTITUTE(SUBSTITUTE(SUBSTITUTE(SUBSTITUTE(SUBSTITUTE(SUBSTITUTE(SUBSTITUTE(SUBSTITUTE(SUBSTITUTE(SUBSTITUTE(LOWER(V448&amp;""),CHAR(160),"")," ",""),".",""),"-",""),"/",""),"?",""),"_",""),",",""),"[",""),"]",""),"(",""),")",""),"*","")</f>
        <v/>
      </c>
      <c r="AW448" s="61" t="str">
        <f aca="false">SUBSTITUTE(SUBSTITUTE(SUBSTITUTE(SUBSTITUTE(SUBSTITUTE(SUBSTITUTE(SUBSTITUTE(SUBSTITUTE(SUBSTITUTE(SUBSTITUTE(SUBSTITUTE(SUBSTITUTE(SUBSTITUTE(LOWER(Z448&amp;""),CHAR(160),"")," ",""),".",""),"-",""),"/",""),"?",""),"_",""),",",""),"[",""),"]",""),"(",""),")",""),"*","")</f>
        <v/>
      </c>
      <c r="AX448" s="61" t="str">
        <f aca="false">SUBSTITUTE(SUBSTITUTE(SUBSTITUTE(SUBSTITUTE(SUBSTITUTE(SUBSTITUTE(SUBSTITUTE(SUBSTITUTE(SUBSTITUTE(SUBSTITUTE(SUBSTITUTE(SUBSTITUTE(SUBSTITUTE(LOWER(AE448&amp;""),CHAR(160),"")," ",""),".",""),"-",""),"/",""),"?",""),"_",""),",",""),"[",""),"]",""),"(",""),")",""),"*","")</f>
        <v/>
      </c>
      <c r="AY448" s="61" t="str">
        <f aca="false">SUBSTITUTE(SUBSTITUTE(SUBSTITUTE(SUBSTITUTE(SUBSTITUTE(SUBSTITUTE(SUBSTITUTE(SUBSTITUTE(SUBSTITUTE(SUBSTITUTE(SUBSTITUTE(SUBSTITUTE(SUBSTITUTE(LOWER(W448&amp;""),CHAR(160),"")," ",""),".",""),"-",""),"/",""),"?",""),"_",""),",",""),"[",""),"]",""),"(",""),")",""),"*","")</f>
        <v/>
      </c>
      <c r="AZ448" s="61" t="str">
        <f aca="false">SUBSTITUTE(SUBSTITUTE(SUBSTITUTE(SUBSTITUTE(SUBSTITUTE(SUBSTITUTE(SUBSTITUTE(SUBSTITUTE(SUBSTITUTE(SUBSTITUTE(SUBSTITUTE(SUBSTITUTE(SUBSTITUTE(LOWER(AC448&amp;""),CHAR(160),"")," ",""),".",""),"-",""),"/",""),"?",""),"_",""),",",""),"[",""),"]",""),"(",""),")",""),"*","")</f>
        <v/>
      </c>
      <c r="BA448" s="61" t="str">
        <f aca="false">SUBSTITUTE(SUBSTITUTE(SUBSTITUTE(SUBSTITUTE(SUBSTITUTE(SUBSTITUTE(SUBSTITUTE(SUBSTITUTE(SUBSTITUTE(SUBSTITUTE(SUBSTITUTE(SUBSTITUTE(SUBSTITUTE(LOWER(AA448&amp;""),CHAR(160),"")," ",""),".",""),"-",""),"/",""),"?",""),"_",""),",",""),"[",""),"]",""),"(",""),")",""),"*","")</f>
        <v/>
      </c>
      <c r="BB448" s="61" t="str">
        <f aca="false">IF(AND(TRIM(U448)="Pass",ISNUMBER(AF448)),IF(AF448&lt;&gt;0,"INVALID – qty variance: use Fail or Pass after CA",""),"")&amp;IF(AND(TRIM(U448)="Pass after CA",ISNUMBER(AF448)),IF(AF448&lt;&gt;0,"INVALID – after the corrective action the actual qty must equal expected (update Actual)",""),"")&amp;IF(AND(TRIM(U448)="Pass",TRIM(AB448)&lt;&gt;"",TRIM(AB448)&lt;&gt;"Closed"),"INVALID – corrective action not closed: use Fail, then Pass after CA","")&amp;IF(AND(TRIM(AA448)&lt;&gt;"",TRIM(AB448)=""),"INVALID – CA status missing for the recorded corrective action","")&amp;IF(AND(TRIM(U448)="Pass after CA",OR(OR(LEN(BA448)&lt;5,ISNUMBER(MATCH(BA448,L_Placeholder,0))),TRIM(AB448)&lt;&gt;"Closed")),"INVALID – corrective action not recorded/closed","")</f>
        <v/>
      </c>
    </row>
    <row r="449" customFormat="false" ht="39.75" hidden="false" customHeight="true" outlineLevel="0" collapsed="false">
      <c r="A449" s="57" t="s">
        <v>1071</v>
      </c>
      <c r="B449" s="57" t="s">
        <v>269</v>
      </c>
      <c r="C449" s="57" t="str">
        <f aca="false">Flights!$F$17</f>
        <v>MH0138</v>
      </c>
      <c r="D449" s="58" t="n">
        <f aca="false">Flights!$D$17</f>
        <v>46309</v>
      </c>
      <c r="E449" s="57" t="str">
        <f aca="false">Flights!$G$17&amp;"-"&amp;Flights!$H$17</f>
        <v>ADL-KUL</v>
      </c>
      <c r="F449" s="57" t="str">
        <f aca="false">Flights!$K$17</f>
        <v>EY</v>
      </c>
      <c r="G449" s="57" t="s">
        <v>437</v>
      </c>
      <c r="H449" s="57" t="s">
        <v>438</v>
      </c>
      <c r="I449" s="57" t="s">
        <v>357</v>
      </c>
      <c r="J449" s="57" t="s">
        <v>439</v>
      </c>
      <c r="K449" s="67" t="s">
        <v>404</v>
      </c>
      <c r="L449" s="67" t="s">
        <v>440</v>
      </c>
      <c r="M449" s="67"/>
      <c r="N449" s="67" t="s">
        <v>361</v>
      </c>
      <c r="O449" s="67" t="s">
        <v>441</v>
      </c>
      <c r="P449" s="57" t="s">
        <v>260</v>
      </c>
      <c r="Q449" s="59" t="n">
        <f aca="false">ROUND((Flights!$AF$17)*1440,0)/1440</f>
        <v>46309.0104166667</v>
      </c>
      <c r="R449" s="59" t="n">
        <f aca="false">Q449+(IF(AND(INDEX(TZ_DSTS,MATCH(P449,TZ_STN,0))&lt;&gt;"",Q449&gt;=INDEX(TZ_DSTS,MATCH(P449,TZ_STN,0)),Q449&lt;INDEX(TZ_DSTE,MATCH(P449,TZ_STN,0))),INDEX(TZ_DST,MATCH(P449,TZ_STN,0)),INDEX(TZ_STD,MATCH(P449,TZ_STN,0))))/24</f>
        <v>46309.4479166667</v>
      </c>
      <c r="S449" s="59" t="n">
        <f aca="false">IF(ISNUMBER(Flights!$AZ$17),MAX(Q449-UpliftWindowH/24,Flights!$AZ$17),Q449-UpliftWindowH/24)</f>
        <v>46308.7604166667</v>
      </c>
      <c r="T449" s="60"/>
      <c r="U449" s="60"/>
      <c r="V449" s="60"/>
      <c r="W449" s="61"/>
      <c r="X449" s="60"/>
      <c r="Y449" s="60"/>
      <c r="Z449" s="60"/>
      <c r="AA449" s="60"/>
      <c r="AB449" s="60"/>
      <c r="AC449" s="60"/>
      <c r="AD449" s="66"/>
      <c r="AE449" s="60"/>
      <c r="AF449" s="61" t="str">
        <f aca="false">IF(AND(ISNUMBER(X449),ISNUMBER(Y449)),Y449-X449,"")</f>
        <v/>
      </c>
      <c r="AG449" s="62" t="str">
        <f aca="false">IF(ISNUMBER(AD449),AD449-(IF(AND(INDEX(TZ_DSTS,MATCH(P449,TZ_STN,0))&lt;&gt;"",(AD449-INDEX(TZ_STD,MATCH(P449,TZ_STN,0))/24)&gt;=INDEX(TZ_DSTS,MATCH(P449,TZ_STN,0)),(AD449-INDEX(TZ_STD,MATCH(P449,TZ_STN,0))/24)&lt;INDEX(TZ_DSTE,MATCH(P449,TZ_STN,0))),INDEX(TZ_DST,MATCH(P449,TZ_STN,0)),INDEX(TZ_STD,MATCH(P449,TZ_STN,0))))/24,"")</f>
        <v/>
      </c>
      <c r="AH449" s="65" t="str">
        <f aca="false">IFERROR(IF(N449="N/A – rule","N/A – RULE",IF(TRIM(U449)="N/A",IF(AT449=0,"INVALID – N/A not permitted for this check",IF(AND(TRIM(AB449)&lt;&gt;"",TRIM(AB449)&lt;&gt;"Closed"),"INVALID – corrective action still open",IF(AND(NOT(OR(LEN(AZ449)&lt;15,ISNUMBER(MATCH(AZ449,L_Placeholder,0)))),NOT(OR(LEN(AU449)&lt;2,ISNUMBER(MATCH(AU449,L_Placeholder,0)))),NOT(OR(LEN(AX449)&lt;2,ISNUMBER(MATCH(AX449,L_Placeholder,0)))),TRIM(AE449)&lt;&gt;TRIM(T449)),"N/A – JUSTIFIED","INVALID – N/A needs a real justification (15+ chars), PIC and a different verifier"))),IF(OR(TRIM(U449)="Pass",TRIM(U449)="Pass after CA"),IF(NOT(ISNUMBER(AD449)),"INVALID – completion time missing",IF(OR(LEN(AU449)&lt;2,ISNUMBER(MATCH(AU449,L_Placeholder,0))),"INVALID – PIC missing",IF(OR(LEN(AV449)&lt;2,ISNUMBER(MATCH(AV449,L_Placeholder,0))),"INVALID – result / assessment missing",IF(OR(OR(LEN(AW449)&lt;3,ISNUMBER(MATCH(AW449,L_Placeholder,0))),SUMPRODUCT(--ISNUMBER(SEARCH(L_EvidencePhrase,AW449)))&gt;0),"INVALID – evidence missing, placeholder or not yet on file",IF(OR(LEN(AX449)&lt;2,ISNUMBER(MATCH(AX449,L_Placeholder,0))),"INVALID – verifier missing",IF(AX449=AU449,"INVALID – verifier must be someone other than the PIC",IF(AND(TRIM(U449)="Pass",SUMPRODUCT(--ISNUMBER(SEARCH(L_ResultBad,AV449)))&gt;0),"INVALID – result describes a problem: use Fail, then Pass after CA",IF(AND(AQ449=1,OR(LEN(AY449)&lt;3,ISNUMBER(MATCH(AY449,L_Placeholder,0)))),"INVALID – batch ID missing or placeholder",IF(AND(AR449=1,OR(NOT(ISNUMBER(X449)),NOT(ISNUMBER(Y449)))),"INVALID – expected/actual qty missing",IF(AND(AR449=1,OR(X449&lt;=0,Y449&lt;0)),"INVALID – expected qty must be above 0 and actual not negative",IF(AH439="N/A – JUSTIFIED","INVALID – preparation row F13-T12-02 is N/A",IF(AND(AR449=1,ISNUMBER(X439),X449&lt;&gt;X439),"INVALID – expected qty differs from preparation check F13-T12-02",IF(BB449&lt;&gt;"",BB449,IF(AND(AS449=1,Documents!$J$17&lt;&gt;"ON FILE"),"INVALID – GLD not on file (Documents sheet)",IF(AND(AS449=2,Documents!$O$17&lt;&gt;"ON FILE"),"INVALID – menu checklist not on file (Documents sheet)",IF(AND(AS449=3,NOT(ISNUMBER(Flights!$AX$17))),"INVALID – enter carrying flight KUL departure (Flights AX)",IF(AND(AS449=3,OR(Flights!$AZ$17&gt;Flights!$AA$17,Flights!$AX$17&lt;Flights!$AA$17-3)),"INVALID – carrying flight (Flights AX) cannot arrive before this leg's STD, or is over 3 days early",IF(AG449&gt;AsOfUTC,"INVALID – completion time is in the future",IF(AND(ISNUMBER(S449),AG449&lt;S449),IF(H449="Physical uplift","INVALID – before uplift window (cannot confirm loading)","INVALID – before valid window"),IF(AG449&gt;Flights!$AA$17,"INVALID – completed after departure (cannot establish readiness)",IF(AND(H449="Preparation",AG449&gt;IF(ISNUMBER(Flights!$BA$17),MIN(Flights!$BA$17,Flights!$AA$17),Flights!$AA$17)),"INVALID – completed after loading / departure (cannot establish readiness)",IF(AND(H449="Physical uplift",AG449&gt;Q449),"INVALID – recorded after the loading flight departed",IF(AG449&gt;Q449,"COMPLETE – LATE","COMPLETE"))))))))))))))))))))))),IF(TRIM(U449)="Fail","FAIL – DISCREPANCY",IF(AND(TRIM(U449)&lt;&gt;"",TRIM(U449)&lt;&gt;"Not started",TRIM(U449)&lt;&gt;"In progress"),"INVALID – unrecognised status (use the list)",IF(AsOfUTC&gt;Q449,"OVERDUE",IF(N449="Clarification required","OPEN – CLARIFICATION","OPEN"))))))),"INVALID – error value in an input cell")</f>
        <v>OPEN</v>
      </c>
      <c r="AI449" s="61" t="n">
        <f aca="false">IF(OR(AH449="N/A – RULE",AH449="N/A – JUSTIFIED"),0,1)</f>
        <v>1</v>
      </c>
      <c r="AJ449" s="61" t="n">
        <f aca="false">IF(LEFT(AH449,8)="COMPLETE",1,0)</f>
        <v>0</v>
      </c>
      <c r="AK449" s="61" t="n">
        <f aca="false">IF(AND(AI449=1,AJ449=0,AsOfUTC&gt;Q449),1,0)</f>
        <v>0</v>
      </c>
      <c r="AL449" s="61" t="n">
        <f aca="false">IFERROR(IF(AND(AI449=1,OR(TRIM(U449)="Fail",AND(TRIM(AB449)&lt;&gt;"",TRIM(AB449)&lt;&gt;"Closed"),AND(ISNUMBER(AF449),AF449&lt;&gt;0,TRIM(U449)&lt;&gt;"Pass after CA"))),1,0),1)</f>
        <v>0</v>
      </c>
      <c r="AM449" s="61" t="n">
        <f aca="false">IF(LEFT(AH449,7)="INVALID",1,0)</f>
        <v>0</v>
      </c>
      <c r="AN449" s="61" t="n">
        <f aca="false">IF(AND(N449="Clarification required",AI449=1,AJ449=0),1,0)</f>
        <v>0</v>
      </c>
      <c r="AO449" s="61" t="str">
        <f aca="false">IF(AK449=1,SUM(AK$5:AK449),"")</f>
        <v/>
      </c>
      <c r="AP449" s="61" t="str">
        <f aca="false">IF(AL449=1,SUM(AL$5:AL449),"")</f>
        <v/>
      </c>
      <c r="AQ449" s="61" t="n">
        <v>0</v>
      </c>
      <c r="AR449" s="61" t="n">
        <v>1</v>
      </c>
      <c r="AS449" s="61" t="n">
        <v>0</v>
      </c>
      <c r="AT449" s="61" t="n">
        <v>0</v>
      </c>
      <c r="AU449" s="61" t="str">
        <f aca="false">SUBSTITUTE(SUBSTITUTE(SUBSTITUTE(SUBSTITUTE(SUBSTITUTE(SUBSTITUTE(SUBSTITUTE(SUBSTITUTE(SUBSTITUTE(SUBSTITUTE(SUBSTITUTE(SUBSTITUTE(SUBSTITUTE(LOWER(T449&amp;""),CHAR(160),"")," ",""),".",""),"-",""),"/",""),"?",""),"_",""),",",""),"[",""),"]",""),"(",""),")",""),"*","")</f>
        <v/>
      </c>
      <c r="AV449" s="61" t="str">
        <f aca="false">SUBSTITUTE(SUBSTITUTE(SUBSTITUTE(SUBSTITUTE(SUBSTITUTE(SUBSTITUTE(SUBSTITUTE(SUBSTITUTE(SUBSTITUTE(SUBSTITUTE(SUBSTITUTE(SUBSTITUTE(SUBSTITUTE(LOWER(V449&amp;""),CHAR(160),"")," ",""),".",""),"-",""),"/",""),"?",""),"_",""),",",""),"[",""),"]",""),"(",""),")",""),"*","")</f>
        <v/>
      </c>
      <c r="AW449" s="61" t="str">
        <f aca="false">SUBSTITUTE(SUBSTITUTE(SUBSTITUTE(SUBSTITUTE(SUBSTITUTE(SUBSTITUTE(SUBSTITUTE(SUBSTITUTE(SUBSTITUTE(SUBSTITUTE(SUBSTITUTE(SUBSTITUTE(SUBSTITUTE(LOWER(Z449&amp;""),CHAR(160),"")," ",""),".",""),"-",""),"/",""),"?",""),"_",""),",",""),"[",""),"]",""),"(",""),")",""),"*","")</f>
        <v/>
      </c>
      <c r="AX449" s="61" t="str">
        <f aca="false">SUBSTITUTE(SUBSTITUTE(SUBSTITUTE(SUBSTITUTE(SUBSTITUTE(SUBSTITUTE(SUBSTITUTE(SUBSTITUTE(SUBSTITUTE(SUBSTITUTE(SUBSTITUTE(SUBSTITUTE(SUBSTITUTE(LOWER(AE449&amp;""),CHAR(160),"")," ",""),".",""),"-",""),"/",""),"?",""),"_",""),",",""),"[",""),"]",""),"(",""),")",""),"*","")</f>
        <v/>
      </c>
      <c r="AY449" s="61" t="str">
        <f aca="false">SUBSTITUTE(SUBSTITUTE(SUBSTITUTE(SUBSTITUTE(SUBSTITUTE(SUBSTITUTE(SUBSTITUTE(SUBSTITUTE(SUBSTITUTE(SUBSTITUTE(SUBSTITUTE(SUBSTITUTE(SUBSTITUTE(LOWER(W449&amp;""),CHAR(160),"")," ",""),".",""),"-",""),"/",""),"?",""),"_",""),",",""),"[",""),"]",""),"(",""),")",""),"*","")</f>
        <v/>
      </c>
      <c r="AZ449" s="61" t="str">
        <f aca="false">SUBSTITUTE(SUBSTITUTE(SUBSTITUTE(SUBSTITUTE(SUBSTITUTE(SUBSTITUTE(SUBSTITUTE(SUBSTITUTE(SUBSTITUTE(SUBSTITUTE(SUBSTITUTE(SUBSTITUTE(SUBSTITUTE(LOWER(AC449&amp;""),CHAR(160),"")," ",""),".",""),"-",""),"/",""),"?",""),"_",""),",",""),"[",""),"]",""),"(",""),")",""),"*","")</f>
        <v/>
      </c>
      <c r="BA449" s="61" t="str">
        <f aca="false">SUBSTITUTE(SUBSTITUTE(SUBSTITUTE(SUBSTITUTE(SUBSTITUTE(SUBSTITUTE(SUBSTITUTE(SUBSTITUTE(SUBSTITUTE(SUBSTITUTE(SUBSTITUTE(SUBSTITUTE(SUBSTITUTE(LOWER(AA449&amp;""),CHAR(160),"")," ",""),".",""),"-",""),"/",""),"?",""),"_",""),",",""),"[",""),"]",""),"(",""),")",""),"*","")</f>
        <v/>
      </c>
      <c r="BB449" s="61" t="str">
        <f aca="false">IF(AND(TRIM(U449)="Pass",ISNUMBER(AF449)),IF(AF449&lt;&gt;0,"INVALID – qty variance: use Fail or Pass after CA",""),"")&amp;IF(AND(TRIM(U449)="Pass after CA",ISNUMBER(AF449)),IF(AF449&lt;&gt;0,"INVALID – after the corrective action the actual qty must equal expected (update Actual)",""),"")&amp;IF(AND(TRIM(U449)="Pass",TRIM(AB449)&lt;&gt;"",TRIM(AB449)&lt;&gt;"Closed"),"INVALID – corrective action not closed: use Fail, then Pass after CA","")&amp;IF(AND(TRIM(AA449)&lt;&gt;"",TRIM(AB449)=""),"INVALID – CA status missing for the recorded corrective action","")&amp;IF(AND(TRIM(U449)="Pass after CA",OR(OR(LEN(BA449)&lt;5,ISNUMBER(MATCH(BA449,L_Placeholder,0))),TRIM(AB449)&lt;&gt;"Closed")),"INVALID – corrective action not recorded/closed","")</f>
        <v/>
      </c>
    </row>
    <row r="450" customFormat="false" ht="39.75" hidden="false" customHeight="true" outlineLevel="0" collapsed="false">
      <c r="A450" s="57" t="s">
        <v>1072</v>
      </c>
      <c r="B450" s="57" t="s">
        <v>269</v>
      </c>
      <c r="C450" s="57" t="str">
        <f aca="false">Flights!$F$17</f>
        <v>MH0138</v>
      </c>
      <c r="D450" s="58" t="n">
        <f aca="false">Flights!$D$17</f>
        <v>46309</v>
      </c>
      <c r="E450" s="57" t="str">
        <f aca="false">Flights!$G$17&amp;"-"&amp;Flights!$H$17</f>
        <v>ADL-KUL</v>
      </c>
      <c r="F450" s="57" t="str">
        <f aca="false">Flights!$K$17</f>
        <v>EY</v>
      </c>
      <c r="G450" s="57" t="s">
        <v>437</v>
      </c>
      <c r="H450" s="57" t="s">
        <v>438</v>
      </c>
      <c r="I450" s="57" t="s">
        <v>406</v>
      </c>
      <c r="J450" s="57" t="s">
        <v>443</v>
      </c>
      <c r="K450" s="67" t="s">
        <v>404</v>
      </c>
      <c r="L450" s="67" t="s">
        <v>440</v>
      </c>
      <c r="M450" s="67"/>
      <c r="N450" s="67" t="s">
        <v>361</v>
      </c>
      <c r="O450" s="67" t="s">
        <v>441</v>
      </c>
      <c r="P450" s="57" t="s">
        <v>260</v>
      </c>
      <c r="Q450" s="59" t="n">
        <f aca="false">ROUND((Flights!$AF$17)*1440,0)/1440</f>
        <v>46309.0104166667</v>
      </c>
      <c r="R450" s="59" t="n">
        <f aca="false">Q450+(IF(AND(INDEX(TZ_DSTS,MATCH(P450,TZ_STN,0))&lt;&gt;"",Q450&gt;=INDEX(TZ_DSTS,MATCH(P450,TZ_STN,0)),Q450&lt;INDEX(TZ_DSTE,MATCH(P450,TZ_STN,0))),INDEX(TZ_DST,MATCH(P450,TZ_STN,0)),INDEX(TZ_STD,MATCH(P450,TZ_STN,0))))/24</f>
        <v>46309.4479166667</v>
      </c>
      <c r="S450" s="59" t="n">
        <f aca="false">IF(ISNUMBER(Flights!$AZ$17),MAX(Q450-UpliftWindowH/24,Flights!$AZ$17),Q450-UpliftWindowH/24)</f>
        <v>46308.7604166667</v>
      </c>
      <c r="T450" s="60"/>
      <c r="U450" s="60"/>
      <c r="V450" s="60"/>
      <c r="W450" s="61"/>
      <c r="X450" s="60"/>
      <c r="Y450" s="60"/>
      <c r="Z450" s="60"/>
      <c r="AA450" s="60"/>
      <c r="AB450" s="60"/>
      <c r="AC450" s="60"/>
      <c r="AD450" s="66"/>
      <c r="AE450" s="60"/>
      <c r="AF450" s="61" t="str">
        <f aca="false">IF(AND(ISNUMBER(X450),ISNUMBER(Y450)),Y450-X450,"")</f>
        <v/>
      </c>
      <c r="AG450" s="62" t="str">
        <f aca="false">IF(ISNUMBER(AD450),AD450-(IF(AND(INDEX(TZ_DSTS,MATCH(P450,TZ_STN,0))&lt;&gt;"",(AD450-INDEX(TZ_STD,MATCH(P450,TZ_STN,0))/24)&gt;=INDEX(TZ_DSTS,MATCH(P450,TZ_STN,0)),(AD450-INDEX(TZ_STD,MATCH(P450,TZ_STN,0))/24)&lt;INDEX(TZ_DSTE,MATCH(P450,TZ_STN,0))),INDEX(TZ_DST,MATCH(P450,TZ_STN,0)),INDEX(TZ_STD,MATCH(P450,TZ_STN,0))))/24,"")</f>
        <v/>
      </c>
      <c r="AH450" s="65" t="str">
        <f aca="false">IFERROR(IF(N450="N/A – rule","N/A – RULE",IF(TRIM(U450)="N/A",IF(AT450=0,"INVALID – N/A not permitted for this check",IF(AND(TRIM(AB450)&lt;&gt;"",TRIM(AB450)&lt;&gt;"Closed"),"INVALID – corrective action still open",IF(AND(NOT(OR(LEN(AZ450)&lt;15,ISNUMBER(MATCH(AZ450,L_Placeholder,0)))),NOT(OR(LEN(AU450)&lt;2,ISNUMBER(MATCH(AU450,L_Placeholder,0)))),NOT(OR(LEN(AX450)&lt;2,ISNUMBER(MATCH(AX450,L_Placeholder,0)))),TRIM(AE450)&lt;&gt;TRIM(T450)),"N/A – JUSTIFIED","INVALID – N/A needs a real justification (15+ chars), PIC and a different verifier"))),IF(OR(TRIM(U450)="Pass",TRIM(U450)="Pass after CA"),IF(NOT(ISNUMBER(AD450)),"INVALID – completion time missing",IF(OR(LEN(AU450)&lt;2,ISNUMBER(MATCH(AU450,L_Placeholder,0))),"INVALID – PIC missing",IF(OR(LEN(AV450)&lt;2,ISNUMBER(MATCH(AV450,L_Placeholder,0))),"INVALID – result / assessment missing",IF(OR(OR(LEN(AW450)&lt;3,ISNUMBER(MATCH(AW450,L_Placeholder,0))),SUMPRODUCT(--ISNUMBER(SEARCH(L_EvidencePhrase,AW450)))&gt;0),"INVALID – evidence missing, placeholder or not yet on file",IF(OR(LEN(AX450)&lt;2,ISNUMBER(MATCH(AX450,L_Placeholder,0))),"INVALID – verifier missing",IF(AX450=AU450,"INVALID – verifier must be someone other than the PIC",IF(AND(TRIM(U450)="Pass",SUMPRODUCT(--ISNUMBER(SEARCH(L_ResultBad,AV450)))&gt;0),"INVALID – result describes a problem: use Fail, then Pass after CA",IF(AND(AQ450=1,OR(LEN(AY450)&lt;3,ISNUMBER(MATCH(AY450,L_Placeholder,0)))),"INVALID – batch ID missing or placeholder",IF(AND(AR450=1,OR(NOT(ISNUMBER(X450)),NOT(ISNUMBER(Y450)))),"INVALID – expected/actual qty missing",IF(AND(AR450=1,OR(X450&lt;=0,Y450&lt;0)),"INVALID – expected qty must be above 0 and actual not negative",IF(AH443="N/A – JUSTIFIED","INVALID – preparation row F13-T12-06 is N/A",IF(AND(AR450=1,ISNUMBER(X443),X450&lt;&gt;X443),"INVALID – expected qty differs from preparation check F13-T12-06",IF(BB450&lt;&gt;"",BB450,IF(AND(AS450=1,Documents!$J$17&lt;&gt;"ON FILE"),"INVALID – GLD not on file (Documents sheet)",IF(AND(AS450=2,Documents!$O$17&lt;&gt;"ON FILE"),"INVALID – menu checklist not on file (Documents sheet)",IF(AND(AS450=3,NOT(ISNUMBER(Flights!$AX$17))),"INVALID – enter carrying flight KUL departure (Flights AX)",IF(AND(AS450=3,OR(Flights!$AZ$17&gt;Flights!$AA$17,Flights!$AX$17&lt;Flights!$AA$17-3)),"INVALID – carrying flight (Flights AX) cannot arrive before this leg's STD, or is over 3 days early",IF(AG450&gt;AsOfUTC,"INVALID – completion time is in the future",IF(AND(ISNUMBER(S450),AG450&lt;S450),IF(H450="Physical uplift","INVALID – before uplift window (cannot confirm loading)","INVALID – before valid window"),IF(AG450&gt;Flights!$AA$17,"INVALID – completed after departure (cannot establish readiness)",IF(AND(H450="Preparation",AG450&gt;IF(ISNUMBER(Flights!$BA$17),MIN(Flights!$BA$17,Flights!$AA$17),Flights!$AA$17)),"INVALID – completed after loading / departure (cannot establish readiness)",IF(AND(H450="Physical uplift",AG450&gt;Q450),"INVALID – recorded after the loading flight departed",IF(AG450&gt;Q450,"COMPLETE – LATE","COMPLETE"))))))))))))))))))))))),IF(TRIM(U450)="Fail","FAIL – DISCREPANCY",IF(AND(TRIM(U450)&lt;&gt;"",TRIM(U450)&lt;&gt;"Not started",TRIM(U450)&lt;&gt;"In progress"),"INVALID – unrecognised status (use the list)",IF(AsOfUTC&gt;Q450,"OVERDUE",IF(N450="Clarification required","OPEN – CLARIFICATION","OPEN"))))))),"INVALID – error value in an input cell")</f>
        <v>OPEN</v>
      </c>
      <c r="AI450" s="61" t="n">
        <f aca="false">IF(OR(AH450="N/A – RULE",AH450="N/A – JUSTIFIED"),0,1)</f>
        <v>1</v>
      </c>
      <c r="AJ450" s="61" t="n">
        <f aca="false">IF(LEFT(AH450,8)="COMPLETE",1,0)</f>
        <v>0</v>
      </c>
      <c r="AK450" s="61" t="n">
        <f aca="false">IF(AND(AI450=1,AJ450=0,AsOfUTC&gt;Q450),1,0)</f>
        <v>0</v>
      </c>
      <c r="AL450" s="61" t="n">
        <f aca="false">IFERROR(IF(AND(AI450=1,OR(TRIM(U450)="Fail",AND(TRIM(AB450)&lt;&gt;"",TRIM(AB450)&lt;&gt;"Closed"),AND(ISNUMBER(AF450),AF450&lt;&gt;0,TRIM(U450)&lt;&gt;"Pass after CA"))),1,0),1)</f>
        <v>0</v>
      </c>
      <c r="AM450" s="61" t="n">
        <f aca="false">IF(LEFT(AH450,7)="INVALID",1,0)</f>
        <v>0</v>
      </c>
      <c r="AN450" s="61" t="n">
        <f aca="false">IF(AND(N450="Clarification required",AI450=1,AJ450=0),1,0)</f>
        <v>0</v>
      </c>
      <c r="AO450" s="61" t="str">
        <f aca="false">IF(AK450=1,SUM(AK$5:AK450),"")</f>
        <v/>
      </c>
      <c r="AP450" s="61" t="str">
        <f aca="false">IF(AL450=1,SUM(AL$5:AL450),"")</f>
        <v/>
      </c>
      <c r="AQ450" s="61" t="n">
        <v>0</v>
      </c>
      <c r="AR450" s="61" t="n">
        <v>1</v>
      </c>
      <c r="AS450" s="61" t="n">
        <v>0</v>
      </c>
      <c r="AT450" s="61" t="n">
        <v>0</v>
      </c>
      <c r="AU450" s="61" t="str">
        <f aca="false">SUBSTITUTE(SUBSTITUTE(SUBSTITUTE(SUBSTITUTE(SUBSTITUTE(SUBSTITUTE(SUBSTITUTE(SUBSTITUTE(SUBSTITUTE(SUBSTITUTE(SUBSTITUTE(SUBSTITUTE(SUBSTITUTE(LOWER(T450&amp;""),CHAR(160),"")," ",""),".",""),"-",""),"/",""),"?",""),"_",""),",",""),"[",""),"]",""),"(",""),")",""),"*","")</f>
        <v/>
      </c>
      <c r="AV450" s="61" t="str">
        <f aca="false">SUBSTITUTE(SUBSTITUTE(SUBSTITUTE(SUBSTITUTE(SUBSTITUTE(SUBSTITUTE(SUBSTITUTE(SUBSTITUTE(SUBSTITUTE(SUBSTITUTE(SUBSTITUTE(SUBSTITUTE(SUBSTITUTE(LOWER(V450&amp;""),CHAR(160),"")," ",""),".",""),"-",""),"/",""),"?",""),"_",""),",",""),"[",""),"]",""),"(",""),")",""),"*","")</f>
        <v/>
      </c>
      <c r="AW450" s="61" t="str">
        <f aca="false">SUBSTITUTE(SUBSTITUTE(SUBSTITUTE(SUBSTITUTE(SUBSTITUTE(SUBSTITUTE(SUBSTITUTE(SUBSTITUTE(SUBSTITUTE(SUBSTITUTE(SUBSTITUTE(SUBSTITUTE(SUBSTITUTE(LOWER(Z450&amp;""),CHAR(160),"")," ",""),".",""),"-",""),"/",""),"?",""),"_",""),",",""),"[",""),"]",""),"(",""),")",""),"*","")</f>
        <v/>
      </c>
      <c r="AX450" s="61" t="str">
        <f aca="false">SUBSTITUTE(SUBSTITUTE(SUBSTITUTE(SUBSTITUTE(SUBSTITUTE(SUBSTITUTE(SUBSTITUTE(SUBSTITUTE(SUBSTITUTE(SUBSTITUTE(SUBSTITUTE(SUBSTITUTE(SUBSTITUTE(LOWER(AE450&amp;""),CHAR(160),"")," ",""),".",""),"-",""),"/",""),"?",""),"_",""),",",""),"[",""),"]",""),"(",""),")",""),"*","")</f>
        <v/>
      </c>
      <c r="AY450" s="61" t="str">
        <f aca="false">SUBSTITUTE(SUBSTITUTE(SUBSTITUTE(SUBSTITUTE(SUBSTITUTE(SUBSTITUTE(SUBSTITUTE(SUBSTITUTE(SUBSTITUTE(SUBSTITUTE(SUBSTITUTE(SUBSTITUTE(SUBSTITUTE(LOWER(W450&amp;""),CHAR(160),"")," ",""),".",""),"-",""),"/",""),"?",""),"_",""),",",""),"[",""),"]",""),"(",""),")",""),"*","")</f>
        <v/>
      </c>
      <c r="AZ450" s="61" t="str">
        <f aca="false">SUBSTITUTE(SUBSTITUTE(SUBSTITUTE(SUBSTITUTE(SUBSTITUTE(SUBSTITUTE(SUBSTITUTE(SUBSTITUTE(SUBSTITUTE(SUBSTITUTE(SUBSTITUTE(SUBSTITUTE(SUBSTITUTE(LOWER(AC450&amp;""),CHAR(160),"")," ",""),".",""),"-",""),"/",""),"?",""),"_",""),",",""),"[",""),"]",""),"(",""),")",""),"*","")</f>
        <v/>
      </c>
      <c r="BA450" s="61" t="str">
        <f aca="false">SUBSTITUTE(SUBSTITUTE(SUBSTITUTE(SUBSTITUTE(SUBSTITUTE(SUBSTITUTE(SUBSTITUTE(SUBSTITUTE(SUBSTITUTE(SUBSTITUTE(SUBSTITUTE(SUBSTITUTE(SUBSTITUTE(LOWER(AA450&amp;""),CHAR(160),"")," ",""),".",""),"-",""),"/",""),"?",""),"_",""),",",""),"[",""),"]",""),"(",""),")",""),"*","")</f>
        <v/>
      </c>
      <c r="BB450" s="61" t="str">
        <f aca="false">IF(AND(TRIM(U450)="Pass",ISNUMBER(AF450)),IF(AF450&lt;&gt;0,"INVALID – qty variance: use Fail or Pass after CA",""),"")&amp;IF(AND(TRIM(U450)="Pass after CA",ISNUMBER(AF450)),IF(AF450&lt;&gt;0,"INVALID – after the corrective action the actual qty must equal expected (update Actual)",""),"")&amp;IF(AND(TRIM(U450)="Pass",TRIM(AB450)&lt;&gt;"",TRIM(AB450)&lt;&gt;"Closed"),"INVALID – corrective action not closed: use Fail, then Pass after CA","")&amp;IF(AND(TRIM(AA450)&lt;&gt;"",TRIM(AB450)=""),"INVALID – CA status missing for the recorded corrective action","")&amp;IF(AND(TRIM(U450)="Pass after CA",OR(OR(LEN(BA450)&lt;5,ISNUMBER(MATCH(BA450,L_Placeholder,0))),TRIM(AB450)&lt;&gt;"Closed")),"INVALID – corrective action not recorded/closed","")</f>
        <v/>
      </c>
    </row>
    <row r="451" customFormat="false" ht="41.25" hidden="false" customHeight="true" outlineLevel="0" collapsed="false">
      <c r="A451" s="57" t="s">
        <v>1073</v>
      </c>
      <c r="B451" s="57" t="s">
        <v>269</v>
      </c>
      <c r="C451" s="57" t="str">
        <f aca="false">Flights!$F$17</f>
        <v>MH0138</v>
      </c>
      <c r="D451" s="58" t="n">
        <f aca="false">Flights!$D$17</f>
        <v>46309</v>
      </c>
      <c r="E451" s="57" t="str">
        <f aca="false">Flights!$G$17&amp;"-"&amp;Flights!$H$17</f>
        <v>ADL-KUL</v>
      </c>
      <c r="F451" s="57" t="str">
        <f aca="false">Flights!$K$17</f>
        <v>EY</v>
      </c>
      <c r="G451" s="57" t="s">
        <v>437</v>
      </c>
      <c r="H451" s="57" t="s">
        <v>438</v>
      </c>
      <c r="I451" s="57" t="s">
        <v>389</v>
      </c>
      <c r="J451" s="57" t="s">
        <v>1074</v>
      </c>
      <c r="K451" s="67" t="s">
        <v>676</v>
      </c>
      <c r="L451" s="67" t="s">
        <v>677</v>
      </c>
      <c r="M451" s="67"/>
      <c r="N451" s="67" t="s">
        <v>361</v>
      </c>
      <c r="O451" s="67" t="s">
        <v>678</v>
      </c>
      <c r="P451" s="57" t="s">
        <v>184</v>
      </c>
      <c r="Q451" s="59" t="n">
        <f aca="false">ROUND((Flights!$AY$17+UpliftWindowH/24)*1440,0)/1440</f>
        <v>46307.6006944444</v>
      </c>
      <c r="R451" s="59" t="n">
        <f aca="false">Q451+(IF(AND(INDEX(TZ_DSTS,MATCH(P451,TZ_STN,0))&lt;&gt;"",Q451&gt;=INDEX(TZ_DSTS,MATCH(P451,TZ_STN,0)),Q451&lt;INDEX(TZ_DSTE,MATCH(P451,TZ_STN,0))),INDEX(TZ_DST,MATCH(P451,TZ_STN,0)),INDEX(TZ_STD,MATCH(P451,TZ_STN,0))))/24</f>
        <v>46307.9340277778</v>
      </c>
      <c r="S451" s="59" t="n">
        <f aca="false">Q451-UpliftWindowH/24</f>
        <v>46307.3506944444</v>
      </c>
      <c r="T451" s="60"/>
      <c r="U451" s="60"/>
      <c r="V451" s="60"/>
      <c r="W451" s="61"/>
      <c r="X451" s="60"/>
      <c r="Y451" s="60"/>
      <c r="Z451" s="60"/>
      <c r="AA451" s="60"/>
      <c r="AB451" s="60"/>
      <c r="AC451" s="60"/>
      <c r="AD451" s="66"/>
      <c r="AE451" s="60"/>
      <c r="AF451" s="61" t="str">
        <f aca="false">IF(AND(ISNUMBER(X451),ISNUMBER(Y451)),Y451-X451,"")</f>
        <v/>
      </c>
      <c r="AG451" s="62" t="str">
        <f aca="false">IF(ISNUMBER(AD451),AD451-(IF(AND(INDEX(TZ_DSTS,MATCH(P451,TZ_STN,0))&lt;&gt;"",(AD451-INDEX(TZ_STD,MATCH(P451,TZ_STN,0))/24)&gt;=INDEX(TZ_DSTS,MATCH(P451,TZ_STN,0)),(AD451-INDEX(TZ_STD,MATCH(P451,TZ_STN,0))/24)&lt;INDEX(TZ_DSTE,MATCH(P451,TZ_STN,0))),INDEX(TZ_DST,MATCH(P451,TZ_STN,0)),INDEX(TZ_STD,MATCH(P451,TZ_STN,0))))/24,"")</f>
        <v/>
      </c>
      <c r="AH451" s="65" t="str">
        <f aca="false">IFERROR(IF(N451="N/A – rule","N/A – RULE",IF(TRIM(U451)="N/A",IF(AT451=0,"INVALID – N/A not permitted for this check",IF(AND(TRIM(AB451)&lt;&gt;"",TRIM(AB451)&lt;&gt;"Closed"),"INVALID – corrective action still open",IF(AND(NOT(OR(LEN(AZ451)&lt;15,ISNUMBER(MATCH(AZ451,L_Placeholder,0)))),NOT(OR(LEN(AU451)&lt;2,ISNUMBER(MATCH(AU451,L_Placeholder,0)))),NOT(OR(LEN(AX451)&lt;2,ISNUMBER(MATCH(AX451,L_Placeholder,0)))),TRIM(AE451)&lt;&gt;TRIM(T451)),"N/A – JUSTIFIED","INVALID – N/A needs a real justification (15+ chars), PIC and a different verifier"))),IF(OR(TRIM(U451)="Pass",TRIM(U451)="Pass after CA"),IF(NOT(ISNUMBER(AD451)),"INVALID – completion time missing",IF(OR(LEN(AU451)&lt;2,ISNUMBER(MATCH(AU451,L_Placeholder,0))),"INVALID – PIC missing",IF(OR(LEN(AV451)&lt;2,ISNUMBER(MATCH(AV451,L_Placeholder,0))),"INVALID – result / assessment missing",IF(OR(OR(LEN(AW451)&lt;3,ISNUMBER(MATCH(AW451,L_Placeholder,0))),SUMPRODUCT(--ISNUMBER(SEARCH(L_EvidencePhrase,AW451)))&gt;0),"INVALID – evidence missing, placeholder or not yet on file",IF(OR(LEN(AX451)&lt;2,ISNUMBER(MATCH(AX451,L_Placeholder,0))),"INVALID – verifier missing",IF(AX451=AU451,"INVALID – verifier must be someone other than the PIC",IF(AND(TRIM(U451)="Pass",SUMPRODUCT(--ISNUMBER(SEARCH(L_ResultBad,AV451)))&gt;0),"INVALID – result describes a problem: use Fail, then Pass after CA",IF(AND(AQ451=1,OR(LEN(AY451)&lt;3,ISNUMBER(MATCH(AY451,L_Placeholder,0)))),"INVALID – batch ID missing or placeholder",IF(AND(AR451=1,OR(NOT(ISNUMBER(X451)),NOT(ISNUMBER(Y451)))),"INVALID – expected/actual qty missing",IF(AND(AR451=1,OR(X451&lt;=0,Y451&lt;0)),"INVALID – expected qty must be above 0 and actual not negative",IF(BB451&lt;&gt;"",BB451,IF(AND(AS451=1,Documents!$J$17&lt;&gt;"ON FILE"),"INVALID – GLD not on file (Documents sheet)",IF(AND(AS451=2,Documents!$O$17&lt;&gt;"ON FILE"),"INVALID – menu checklist not on file (Documents sheet)",IF(AND(AS451=3,NOT(ISNUMBER(Flights!$AX$17))),"INVALID – enter carrying flight KUL departure (Flights AX)",IF(AND(AS451=3,OR(Flights!$AZ$17&gt;Flights!$AA$17,Flights!$AX$17&lt;Flights!$AA$17-3)),"INVALID – carrying flight (Flights AX) cannot arrive before this leg's STD, or is over 3 days early",IF(AG451&gt;AsOfUTC,"INVALID – completion time is in the future",IF(AND(ISNUMBER(S451),AG451&lt;S451),IF(H451="Physical uplift","INVALID – before uplift window (cannot confirm loading)","INVALID – before valid window"),IF(AG451&gt;Flights!$AA$17,"INVALID – completed after departure (cannot establish readiness)",IF(AND(H451="Preparation",AG451&gt;Flights!$AY$17+UpliftWindowH/24),"INVALID – completed after the carrying flight left KUL",IF(AND(H451="Physical uplift",AG451&gt;Q451),"INVALID – recorded after the loading flight departed",IF(AG451&gt;Q451,"COMPLETE – LATE","COMPLETE"))))))))))))))))))))),IF(TRIM(U451)="Fail","FAIL – DISCREPANCY",IF(AND(TRIM(U451)&lt;&gt;"",TRIM(U451)&lt;&gt;"Not started",TRIM(U451)&lt;&gt;"In progress"),"INVALID – unrecognised status (use the list)",IF(AsOfUTC&gt;Q451,"OVERDUE",IF(N451="Clarification required","OPEN – CLARIFICATION","OPEN"))))))),"INVALID – error value in an input cell")</f>
        <v>OPEN</v>
      </c>
      <c r="AI451" s="61" t="n">
        <f aca="false">IF(OR(AH451="N/A – RULE",AH451="N/A – JUSTIFIED"),0,1)</f>
        <v>1</v>
      </c>
      <c r="AJ451" s="61" t="n">
        <f aca="false">IF(LEFT(AH451,8)="COMPLETE",1,0)</f>
        <v>0</v>
      </c>
      <c r="AK451" s="61" t="n">
        <f aca="false">IF(AND(AI451=1,AJ451=0,AsOfUTC&gt;Q451),1,0)</f>
        <v>0</v>
      </c>
      <c r="AL451" s="61" t="n">
        <f aca="false">IFERROR(IF(AND(AI451=1,OR(TRIM(U451)="Fail",AND(TRIM(AB451)&lt;&gt;"",TRIM(AB451)&lt;&gt;"Closed"),AND(ISNUMBER(AF451),AF451&lt;&gt;0,TRIM(U451)&lt;&gt;"Pass after CA"))),1,0),1)</f>
        <v>0</v>
      </c>
      <c r="AM451" s="61" t="n">
        <f aca="false">IF(LEFT(AH451,7)="INVALID",1,0)</f>
        <v>0</v>
      </c>
      <c r="AN451" s="61" t="n">
        <f aca="false">IF(AND(N451="Clarification required",AI451=1,AJ451=0),1,0)</f>
        <v>0</v>
      </c>
      <c r="AO451" s="61" t="str">
        <f aca="false">IF(AK451=1,SUM(AK$5:AK451),"")</f>
        <v/>
      </c>
      <c r="AP451" s="61" t="str">
        <f aca="false">IF(AL451=1,SUM(AL$5:AL451),"")</f>
        <v/>
      </c>
      <c r="AQ451" s="61" t="n">
        <v>0</v>
      </c>
      <c r="AR451" s="61" t="n">
        <v>0</v>
      </c>
      <c r="AS451" s="61" t="n">
        <v>0</v>
      </c>
      <c r="AT451" s="61" t="n">
        <v>0</v>
      </c>
      <c r="AU451" s="61" t="str">
        <f aca="false">SUBSTITUTE(SUBSTITUTE(SUBSTITUTE(SUBSTITUTE(SUBSTITUTE(SUBSTITUTE(SUBSTITUTE(SUBSTITUTE(SUBSTITUTE(SUBSTITUTE(SUBSTITUTE(SUBSTITUTE(SUBSTITUTE(LOWER(T451&amp;""),CHAR(160),"")," ",""),".",""),"-",""),"/",""),"?",""),"_",""),",",""),"[",""),"]",""),"(",""),")",""),"*","")</f>
        <v/>
      </c>
      <c r="AV451" s="61" t="str">
        <f aca="false">SUBSTITUTE(SUBSTITUTE(SUBSTITUTE(SUBSTITUTE(SUBSTITUTE(SUBSTITUTE(SUBSTITUTE(SUBSTITUTE(SUBSTITUTE(SUBSTITUTE(SUBSTITUTE(SUBSTITUTE(SUBSTITUTE(LOWER(V451&amp;""),CHAR(160),"")," ",""),".",""),"-",""),"/",""),"?",""),"_",""),",",""),"[",""),"]",""),"(",""),")",""),"*","")</f>
        <v/>
      </c>
      <c r="AW451" s="61" t="str">
        <f aca="false">SUBSTITUTE(SUBSTITUTE(SUBSTITUTE(SUBSTITUTE(SUBSTITUTE(SUBSTITUTE(SUBSTITUTE(SUBSTITUTE(SUBSTITUTE(SUBSTITUTE(SUBSTITUTE(SUBSTITUTE(SUBSTITUTE(LOWER(Z451&amp;""),CHAR(160),"")," ",""),".",""),"-",""),"/",""),"?",""),"_",""),",",""),"[",""),"]",""),"(",""),")",""),"*","")</f>
        <v/>
      </c>
      <c r="AX451" s="61" t="str">
        <f aca="false">SUBSTITUTE(SUBSTITUTE(SUBSTITUTE(SUBSTITUTE(SUBSTITUTE(SUBSTITUTE(SUBSTITUTE(SUBSTITUTE(SUBSTITUTE(SUBSTITUTE(SUBSTITUTE(SUBSTITUTE(SUBSTITUTE(LOWER(AE451&amp;""),CHAR(160),"")," ",""),".",""),"-",""),"/",""),"?",""),"_",""),",",""),"[",""),"]",""),"(",""),")",""),"*","")</f>
        <v/>
      </c>
      <c r="AY451" s="61" t="str">
        <f aca="false">SUBSTITUTE(SUBSTITUTE(SUBSTITUTE(SUBSTITUTE(SUBSTITUTE(SUBSTITUTE(SUBSTITUTE(SUBSTITUTE(SUBSTITUTE(SUBSTITUTE(SUBSTITUTE(SUBSTITUTE(SUBSTITUTE(LOWER(W451&amp;""),CHAR(160),"")," ",""),".",""),"-",""),"/",""),"?",""),"_",""),",",""),"[",""),"]",""),"(",""),")",""),"*","")</f>
        <v/>
      </c>
      <c r="AZ451" s="61" t="str">
        <f aca="false">SUBSTITUTE(SUBSTITUTE(SUBSTITUTE(SUBSTITUTE(SUBSTITUTE(SUBSTITUTE(SUBSTITUTE(SUBSTITUTE(SUBSTITUTE(SUBSTITUTE(SUBSTITUTE(SUBSTITUTE(SUBSTITUTE(LOWER(AC451&amp;""),CHAR(160),"")," ",""),".",""),"-",""),"/",""),"?",""),"_",""),",",""),"[",""),"]",""),"(",""),")",""),"*","")</f>
        <v/>
      </c>
      <c r="BA451" s="61" t="str">
        <f aca="false">SUBSTITUTE(SUBSTITUTE(SUBSTITUTE(SUBSTITUTE(SUBSTITUTE(SUBSTITUTE(SUBSTITUTE(SUBSTITUTE(SUBSTITUTE(SUBSTITUTE(SUBSTITUTE(SUBSTITUTE(SUBSTITUTE(LOWER(AA451&amp;""),CHAR(160),"")," ",""),".",""),"-",""),"/",""),"?",""),"_",""),",",""),"[",""),"]",""),"(",""),")",""),"*","")</f>
        <v/>
      </c>
      <c r="BB451" s="61" t="str">
        <f aca="false">IF(AND(TRIM(U451)="Pass",ISNUMBER(AF451)),IF(AF451&lt;&gt;0,"INVALID – qty variance: use Fail or Pass after CA",""),"")&amp;IF(AND(TRIM(U451)="Pass after CA",ISNUMBER(AF451)),IF(AF451&lt;&gt;0,"INVALID – after the corrective action the actual qty must equal expected (update Actual)",""),"")&amp;IF(AND(TRIM(U451)="Pass",TRIM(AB451)&lt;&gt;"",TRIM(AB451)&lt;&gt;"Closed"),"INVALID – corrective action not closed: use Fail, then Pass after CA","")&amp;IF(AND(TRIM(AA451)&lt;&gt;"",TRIM(AB451)=""),"INVALID – CA status missing for the recorded corrective action","")&amp;IF(AND(TRIM(U451)="Pass after CA",OR(OR(LEN(BA451)&lt;5,ISNUMBER(MATCH(BA451,L_Placeholder,0))),TRIM(AB451)&lt;&gt;"Closed")),"INVALID – corrective action not recorded/closed","")</f>
        <v/>
      </c>
    </row>
    <row r="452" customFormat="false" ht="54" hidden="false" customHeight="true" outlineLevel="0" collapsed="false">
      <c r="A452" s="57" t="s">
        <v>1075</v>
      </c>
      <c r="B452" s="57" t="s">
        <v>269</v>
      </c>
      <c r="C452" s="57" t="str">
        <f aca="false">Flights!$F$17</f>
        <v>MH0138</v>
      </c>
      <c r="D452" s="58" t="n">
        <f aca="false">Flights!$D$17</f>
        <v>46309</v>
      </c>
      <c r="E452" s="57" t="str">
        <f aca="false">Flights!$G$17&amp;"-"&amp;Flights!$H$17</f>
        <v>ADL-KUL</v>
      </c>
      <c r="F452" s="57" t="str">
        <f aca="false">Flights!$K$17</f>
        <v>EY</v>
      </c>
      <c r="G452" s="57" t="s">
        <v>437</v>
      </c>
      <c r="H452" s="57" t="s">
        <v>438</v>
      </c>
      <c r="I452" s="57" t="s">
        <v>418</v>
      </c>
      <c r="J452" s="57" t="s">
        <v>445</v>
      </c>
      <c r="K452" s="67" t="s">
        <v>420</v>
      </c>
      <c r="L452" s="67" t="s">
        <v>992</v>
      </c>
      <c r="M452" s="67" t="s">
        <v>184</v>
      </c>
      <c r="N452" s="67" t="s">
        <v>422</v>
      </c>
      <c r="O452" s="67" t="s">
        <v>423</v>
      </c>
      <c r="P452" s="57" t="s">
        <v>260</v>
      </c>
      <c r="Q452" s="59" t="n">
        <f aca="false">ROUND((Flights!$AF$17)*1440,0)/1440</f>
        <v>46309.0104166667</v>
      </c>
      <c r="R452" s="59" t="n">
        <f aca="false">Q452+(IF(AND(INDEX(TZ_DSTS,MATCH(P452,TZ_STN,0))&lt;&gt;"",Q452&gt;=INDEX(TZ_DSTS,MATCH(P452,TZ_STN,0)),Q452&lt;INDEX(TZ_DSTE,MATCH(P452,TZ_STN,0))),INDEX(TZ_DST,MATCH(P452,TZ_STN,0)),INDEX(TZ_STD,MATCH(P452,TZ_STN,0))))/24</f>
        <v>46309.4479166667</v>
      </c>
      <c r="S452" s="59" t="n">
        <f aca="false">IF(ISNUMBER(Flights!$AZ$17),MAX(Q452-UpliftWindowH/24,Flights!$AZ$17),Q452-UpliftWindowH/24)</f>
        <v>46308.7604166667</v>
      </c>
      <c r="T452" s="60"/>
      <c r="U452" s="60"/>
      <c r="V452" s="60"/>
      <c r="W452" s="61"/>
      <c r="X452" s="60"/>
      <c r="Y452" s="60"/>
      <c r="Z452" s="60"/>
      <c r="AA452" s="60"/>
      <c r="AB452" s="60"/>
      <c r="AC452" s="60"/>
      <c r="AD452" s="66"/>
      <c r="AE452" s="60"/>
      <c r="AF452" s="61" t="str">
        <f aca="false">IF(AND(ISNUMBER(X452),ISNUMBER(Y452)),Y452-X452,"")</f>
        <v/>
      </c>
      <c r="AG452" s="62" t="str">
        <f aca="false">IF(ISNUMBER(AD452),AD452-(IF(AND(INDEX(TZ_DSTS,MATCH(P452,TZ_STN,0))&lt;&gt;"",(AD452-INDEX(TZ_STD,MATCH(P452,TZ_STN,0))/24)&gt;=INDEX(TZ_DSTS,MATCH(P452,TZ_STN,0)),(AD452-INDEX(TZ_STD,MATCH(P452,TZ_STN,0))/24)&lt;INDEX(TZ_DSTE,MATCH(P452,TZ_STN,0))),INDEX(TZ_DST,MATCH(P452,TZ_STN,0)),INDEX(TZ_STD,MATCH(P452,TZ_STN,0))))/24,"")</f>
        <v/>
      </c>
      <c r="AH452" s="65" t="str">
        <f aca="false">IFERROR(IF(N452="N/A – rule","N/A – RULE",IF(TRIM(U452)="N/A",IF(AT452=0,"INVALID – N/A not permitted for this check",IF(AND(TRIM(AB452)&lt;&gt;"",TRIM(AB452)&lt;&gt;"Closed"),"INVALID – corrective action still open",IF(AND(NOT(OR(LEN(AZ452)&lt;15,ISNUMBER(MATCH(AZ452,L_Placeholder,0)))),NOT(OR(LEN(AU452)&lt;2,ISNUMBER(MATCH(AU452,L_Placeholder,0)))),NOT(OR(LEN(AX452)&lt;2,ISNUMBER(MATCH(AX452,L_Placeholder,0)))),TRIM(AE452)&lt;&gt;TRIM(T452)),"N/A – JUSTIFIED","INVALID – N/A needs a real justification (15+ chars), PIC and a different verifier"))),IF(OR(TRIM(U452)="Pass",TRIM(U452)="Pass after CA"),IF(NOT(ISNUMBER(AD452)),"INVALID – completion time missing",IF(OR(LEN(AU452)&lt;2,ISNUMBER(MATCH(AU452,L_Placeholder,0))),"INVALID – PIC missing",IF(OR(LEN(AV452)&lt;2,ISNUMBER(MATCH(AV452,L_Placeholder,0))),"INVALID – result / assessment missing",IF(OR(OR(LEN(AW452)&lt;3,ISNUMBER(MATCH(AW452,L_Placeholder,0))),SUMPRODUCT(--ISNUMBER(SEARCH(L_EvidencePhrase,AW452)))&gt;0),"INVALID – evidence missing, placeholder or not yet on file",IF(OR(LEN(AX452)&lt;2,ISNUMBER(MATCH(AX452,L_Placeholder,0))),"INVALID – verifier missing",IF(AX452=AU452,"INVALID – verifier must be someone other than the PIC",IF(AND(TRIM(U452)="Pass",SUMPRODUCT(--ISNUMBER(SEARCH(L_ResultBad,AV452)))&gt;0),"INVALID – result describes a problem: use Fail, then Pass after CA",IF(AND(AQ452=1,OR(LEN(AY452)&lt;3,ISNUMBER(MATCH(AY452,L_Placeholder,0)))),"INVALID – batch ID missing or placeholder",IF(AND(AR452=1,OR(NOT(ISNUMBER(X452)),NOT(ISNUMBER(Y452)))),"INVALID – expected/actual qty missing",IF(AND(AR452=1,OR(X452&lt;=0,Y452&lt;0)),"INVALID – expected qty must be above 0 and actual not negative",IF(AH445="N/A – JUSTIFIED","INVALID – preparation row F13-T12-08 is N/A",IF(AND(AR452=1,ISNUMBER(X445),X452&lt;&gt;X445),"INVALID – expected qty differs from preparation check F13-T12-08",IF(BB452&lt;&gt;"",BB452,IF(AND(AS452=1,Documents!$J$17&lt;&gt;"ON FILE"),"INVALID – GLD not on file (Documents sheet)",IF(AND(AS452=2,Documents!$O$17&lt;&gt;"ON FILE"),"INVALID – menu checklist not on file (Documents sheet)",IF(AND(AS452=3,NOT(ISNUMBER(Flights!$AX$17))),"INVALID – enter carrying flight KUL departure (Flights AX)",IF(AND(AS452=3,OR(Flights!$AZ$17&gt;Flights!$AA$17,Flights!$AX$17&lt;Flights!$AA$17-3)),"INVALID – carrying flight (Flights AX) cannot arrive before this leg's STD, or is over 3 days early",IF(AG452&gt;AsOfUTC,"INVALID – completion time is in the future",IF(AND(ISNUMBER(S452),AG452&lt;S452),IF(H452="Physical uplift","INVALID – before uplift window (cannot confirm loading)","INVALID – before valid window"),IF(AG452&gt;Flights!$AA$17,"INVALID – completed after departure (cannot establish readiness)",IF(AND(H452="Preparation",AG452&gt;IF(ISNUMBER(Flights!$BA$17),MIN(Flights!$BA$17,Flights!$AA$17),Flights!$AA$17)),"INVALID – completed after loading / departure (cannot establish readiness)",IF(AND(H452="Physical uplift",AG452&gt;Q452),"INVALID – recorded after the loading flight departed",IF(AG452&gt;Q452,"COMPLETE – LATE","COMPLETE"))))))))))))))))))))))),IF(TRIM(U452)="Fail","FAIL – DISCREPANCY",IF(AND(TRIM(U452)&lt;&gt;"",TRIM(U452)&lt;&gt;"Not started",TRIM(U452)&lt;&gt;"In progress"),"INVALID – unrecognised status (use the list)",IF(AsOfUTC&gt;Q452,"OVERDUE",IF(N452="Clarification required","OPEN – CLARIFICATION","OPEN"))))))),"INVALID – error value in an input cell")</f>
        <v>OPEN – CLARIFICATION</v>
      </c>
      <c r="AI452" s="61" t="n">
        <f aca="false">IF(OR(AH452="N/A – RULE",AH452="N/A – JUSTIFIED"),0,1)</f>
        <v>1</v>
      </c>
      <c r="AJ452" s="61" t="n">
        <f aca="false">IF(LEFT(AH452,8)="COMPLETE",1,0)</f>
        <v>0</v>
      </c>
      <c r="AK452" s="61" t="n">
        <f aca="false">IF(AND(AI452=1,AJ452=0,AsOfUTC&gt;Q452),1,0)</f>
        <v>0</v>
      </c>
      <c r="AL452" s="61" t="n">
        <f aca="false">IFERROR(IF(AND(AI452=1,OR(TRIM(U452)="Fail",AND(TRIM(AB452)&lt;&gt;"",TRIM(AB452)&lt;&gt;"Closed"),AND(ISNUMBER(AF452),AF452&lt;&gt;0,TRIM(U452)&lt;&gt;"Pass after CA"))),1,0),1)</f>
        <v>0</v>
      </c>
      <c r="AM452" s="61" t="n">
        <f aca="false">IF(LEFT(AH452,7)="INVALID",1,0)</f>
        <v>0</v>
      </c>
      <c r="AN452" s="61" t="n">
        <f aca="false">IF(AND(N452="Clarification required",AI452=1,AJ452=0),1,0)</f>
        <v>1</v>
      </c>
      <c r="AO452" s="61" t="str">
        <f aca="false">IF(AK452=1,SUM(AK$5:AK452),"")</f>
        <v/>
      </c>
      <c r="AP452" s="61" t="str">
        <f aca="false">IF(AL452=1,SUM(AL$5:AL452),"")</f>
        <v/>
      </c>
      <c r="AQ452" s="61" t="n">
        <v>0</v>
      </c>
      <c r="AR452" s="61" t="n">
        <v>0</v>
      </c>
      <c r="AS452" s="61" t="n">
        <v>0</v>
      </c>
      <c r="AT452" s="61" t="n">
        <v>1</v>
      </c>
      <c r="AU452" s="61" t="str">
        <f aca="false">SUBSTITUTE(SUBSTITUTE(SUBSTITUTE(SUBSTITUTE(SUBSTITUTE(SUBSTITUTE(SUBSTITUTE(SUBSTITUTE(SUBSTITUTE(SUBSTITUTE(SUBSTITUTE(SUBSTITUTE(SUBSTITUTE(LOWER(T452&amp;""),CHAR(160),"")," ",""),".",""),"-",""),"/",""),"?",""),"_",""),",",""),"[",""),"]",""),"(",""),")",""),"*","")</f>
        <v/>
      </c>
      <c r="AV452" s="61" t="str">
        <f aca="false">SUBSTITUTE(SUBSTITUTE(SUBSTITUTE(SUBSTITUTE(SUBSTITUTE(SUBSTITUTE(SUBSTITUTE(SUBSTITUTE(SUBSTITUTE(SUBSTITUTE(SUBSTITUTE(SUBSTITUTE(SUBSTITUTE(LOWER(V452&amp;""),CHAR(160),"")," ",""),".",""),"-",""),"/",""),"?",""),"_",""),",",""),"[",""),"]",""),"(",""),")",""),"*","")</f>
        <v/>
      </c>
      <c r="AW452" s="61" t="str">
        <f aca="false">SUBSTITUTE(SUBSTITUTE(SUBSTITUTE(SUBSTITUTE(SUBSTITUTE(SUBSTITUTE(SUBSTITUTE(SUBSTITUTE(SUBSTITUTE(SUBSTITUTE(SUBSTITUTE(SUBSTITUTE(SUBSTITUTE(LOWER(Z452&amp;""),CHAR(160),"")," ",""),".",""),"-",""),"/",""),"?",""),"_",""),",",""),"[",""),"]",""),"(",""),")",""),"*","")</f>
        <v/>
      </c>
      <c r="AX452" s="61" t="str">
        <f aca="false">SUBSTITUTE(SUBSTITUTE(SUBSTITUTE(SUBSTITUTE(SUBSTITUTE(SUBSTITUTE(SUBSTITUTE(SUBSTITUTE(SUBSTITUTE(SUBSTITUTE(SUBSTITUTE(SUBSTITUTE(SUBSTITUTE(LOWER(AE452&amp;""),CHAR(160),"")," ",""),".",""),"-",""),"/",""),"?",""),"_",""),",",""),"[",""),"]",""),"(",""),")",""),"*","")</f>
        <v/>
      </c>
      <c r="AY452" s="61" t="str">
        <f aca="false">SUBSTITUTE(SUBSTITUTE(SUBSTITUTE(SUBSTITUTE(SUBSTITUTE(SUBSTITUTE(SUBSTITUTE(SUBSTITUTE(SUBSTITUTE(SUBSTITUTE(SUBSTITUTE(SUBSTITUTE(SUBSTITUTE(LOWER(W452&amp;""),CHAR(160),"")," ",""),".",""),"-",""),"/",""),"?",""),"_",""),",",""),"[",""),"]",""),"(",""),")",""),"*","")</f>
        <v/>
      </c>
      <c r="AZ452" s="61" t="str">
        <f aca="false">SUBSTITUTE(SUBSTITUTE(SUBSTITUTE(SUBSTITUTE(SUBSTITUTE(SUBSTITUTE(SUBSTITUTE(SUBSTITUTE(SUBSTITUTE(SUBSTITUTE(SUBSTITUTE(SUBSTITUTE(SUBSTITUTE(LOWER(AC452&amp;""),CHAR(160),"")," ",""),".",""),"-",""),"/",""),"?",""),"_",""),",",""),"[",""),"]",""),"(",""),")",""),"*","")</f>
        <v/>
      </c>
      <c r="BA452" s="61" t="str">
        <f aca="false">SUBSTITUTE(SUBSTITUTE(SUBSTITUTE(SUBSTITUTE(SUBSTITUTE(SUBSTITUTE(SUBSTITUTE(SUBSTITUTE(SUBSTITUTE(SUBSTITUTE(SUBSTITUTE(SUBSTITUTE(SUBSTITUTE(LOWER(AA452&amp;""),CHAR(160),"")," ",""),".",""),"-",""),"/",""),"?",""),"_",""),",",""),"[",""),"]",""),"(",""),")",""),"*","")</f>
        <v/>
      </c>
      <c r="BB452" s="61" t="str">
        <f aca="false">IF(AND(TRIM(U452)="Pass",ISNUMBER(AF452)),IF(AF452&lt;&gt;0,"INVALID – qty variance: use Fail or Pass after CA",""),"")&amp;IF(AND(TRIM(U452)="Pass after CA",ISNUMBER(AF452)),IF(AF452&lt;&gt;0,"INVALID – after the corrective action the actual qty must equal expected (update Actual)",""),"")&amp;IF(AND(TRIM(U452)="Pass",TRIM(AB452)&lt;&gt;"",TRIM(AB452)&lt;&gt;"Closed"),"INVALID – corrective action not closed: use Fail, then Pass after CA","")&amp;IF(AND(TRIM(AA452)&lt;&gt;"",TRIM(AB452)=""),"INVALID – CA status missing for the recorded corrective action","")&amp;IF(AND(TRIM(U452)="Pass after CA",OR(OR(LEN(BA452)&lt;5,ISNUMBER(MATCH(BA452,L_Placeholder,0))),TRIM(AB452)&lt;&gt;"Closed")),"INVALID – corrective action not recorded/closed","")</f>
        <v/>
      </c>
    </row>
    <row r="453" customFormat="false" ht="39.75" hidden="false" customHeight="true" outlineLevel="0" collapsed="false">
      <c r="A453" s="57" t="s">
        <v>1076</v>
      </c>
      <c r="B453" s="57" t="s">
        <v>269</v>
      </c>
      <c r="C453" s="57" t="str">
        <f aca="false">Flights!$F$17</f>
        <v>MH0138</v>
      </c>
      <c r="D453" s="58" t="n">
        <f aca="false">Flights!$D$17</f>
        <v>46309</v>
      </c>
      <c r="E453" s="57" t="str">
        <f aca="false">Flights!$G$17&amp;"-"&amp;Flights!$H$17</f>
        <v>ADL-KUL</v>
      </c>
      <c r="F453" s="57" t="str">
        <f aca="false">Flights!$K$17</f>
        <v>EY</v>
      </c>
      <c r="G453" s="57" t="s">
        <v>437</v>
      </c>
      <c r="H453" s="57" t="s">
        <v>438</v>
      </c>
      <c r="I453" s="57" t="s">
        <v>425</v>
      </c>
      <c r="J453" s="57" t="s">
        <v>447</v>
      </c>
      <c r="K453" s="67" t="s">
        <v>427</v>
      </c>
      <c r="L453" s="67" t="s">
        <v>1063</v>
      </c>
      <c r="M453" s="67" t="s">
        <v>429</v>
      </c>
      <c r="N453" s="67" t="s">
        <v>361</v>
      </c>
      <c r="O453" s="67"/>
      <c r="P453" s="57" t="s">
        <v>260</v>
      </c>
      <c r="Q453" s="59" t="n">
        <f aca="false">ROUND((Flights!$AF$17)*1440,0)/1440</f>
        <v>46309.0104166667</v>
      </c>
      <c r="R453" s="59" t="n">
        <f aca="false">Q453+(IF(AND(INDEX(TZ_DSTS,MATCH(P453,TZ_STN,0))&lt;&gt;"",Q453&gt;=INDEX(TZ_DSTS,MATCH(P453,TZ_STN,0)),Q453&lt;INDEX(TZ_DSTE,MATCH(P453,TZ_STN,0))),INDEX(TZ_DST,MATCH(P453,TZ_STN,0)),INDEX(TZ_STD,MATCH(P453,TZ_STN,0))))/24</f>
        <v>46309.4479166667</v>
      </c>
      <c r="S453" s="59" t="n">
        <f aca="false">IF(ISNUMBER(Flights!$AZ$17),MAX(Q453-UpliftWindowH/24,Flights!$AZ$17),Q453-UpliftWindowH/24)</f>
        <v>46308.7604166667</v>
      </c>
      <c r="T453" s="60"/>
      <c r="U453" s="60"/>
      <c r="V453" s="60"/>
      <c r="W453" s="61"/>
      <c r="X453" s="60"/>
      <c r="Y453" s="60"/>
      <c r="Z453" s="60"/>
      <c r="AA453" s="60"/>
      <c r="AB453" s="60"/>
      <c r="AC453" s="60"/>
      <c r="AD453" s="66"/>
      <c r="AE453" s="60"/>
      <c r="AF453" s="61" t="str">
        <f aca="false">IF(AND(ISNUMBER(X453),ISNUMBER(Y453)),Y453-X453,"")</f>
        <v/>
      </c>
      <c r="AG453" s="62" t="str">
        <f aca="false">IF(ISNUMBER(AD453),AD453-(IF(AND(INDEX(TZ_DSTS,MATCH(P453,TZ_STN,0))&lt;&gt;"",(AD453-INDEX(TZ_STD,MATCH(P453,TZ_STN,0))/24)&gt;=INDEX(TZ_DSTS,MATCH(P453,TZ_STN,0)),(AD453-INDEX(TZ_STD,MATCH(P453,TZ_STN,0))/24)&lt;INDEX(TZ_DSTE,MATCH(P453,TZ_STN,0))),INDEX(TZ_DST,MATCH(P453,TZ_STN,0)),INDEX(TZ_STD,MATCH(P453,TZ_STN,0))))/24,"")</f>
        <v/>
      </c>
      <c r="AH453" s="65" t="str">
        <f aca="false">IFERROR(IF(N453="N/A – rule","N/A – RULE",IF(TRIM(U453)="N/A",IF(AT453=0,"INVALID – N/A not permitted for this check",IF(AND(TRIM(AB453)&lt;&gt;"",TRIM(AB453)&lt;&gt;"Closed"),"INVALID – corrective action still open",IF(AND(NOT(OR(LEN(AZ453)&lt;15,ISNUMBER(MATCH(AZ453,L_Placeholder,0)))),NOT(OR(LEN(AU453)&lt;2,ISNUMBER(MATCH(AU453,L_Placeholder,0)))),NOT(OR(LEN(AX453)&lt;2,ISNUMBER(MATCH(AX453,L_Placeholder,0)))),TRIM(AE453)&lt;&gt;TRIM(T453)),"N/A – JUSTIFIED","INVALID – N/A needs a real justification (15+ chars), PIC and a different verifier"))),IF(OR(TRIM(U453)="Pass",TRIM(U453)="Pass after CA"),IF(NOT(ISNUMBER(AD453)),"INVALID – completion time missing",IF(OR(LEN(AU453)&lt;2,ISNUMBER(MATCH(AU453,L_Placeholder,0))),"INVALID – PIC missing",IF(OR(LEN(AV453)&lt;2,ISNUMBER(MATCH(AV453,L_Placeholder,0))),"INVALID – result / assessment missing",IF(OR(OR(LEN(AW453)&lt;3,ISNUMBER(MATCH(AW453,L_Placeholder,0))),SUMPRODUCT(--ISNUMBER(SEARCH(L_EvidencePhrase,AW453)))&gt;0),"INVALID – evidence missing, placeholder or not yet on file",IF(OR(LEN(AX453)&lt;2,ISNUMBER(MATCH(AX453,L_Placeholder,0))),"INVALID – verifier missing",IF(AX453=AU453,"INVALID – verifier must be someone other than the PIC",IF(AND(TRIM(U453)="Pass",SUMPRODUCT(--ISNUMBER(SEARCH(L_ResultBad,AV453)))&gt;0),"INVALID – result describes a problem: use Fail, then Pass after CA",IF(AND(AQ453=1,OR(LEN(AY453)&lt;3,ISNUMBER(MATCH(AY453,L_Placeholder,0)))),"INVALID – batch ID missing or placeholder",IF(AND(AR453=1,OR(NOT(ISNUMBER(X453)),NOT(ISNUMBER(Y453)))),"INVALID – expected/actual qty missing",IF(AND(AR453=1,OR(X453&lt;=0,Y453&lt;0)),"INVALID – expected qty must be above 0 and actual not negative",IF(AH446="N/A – JUSTIFIED","INVALID – preparation row F13-T12-09 is N/A",IF(AND(AR453=1,ISNUMBER(X446),X453&lt;&gt;X446),"INVALID – expected qty differs from preparation check F13-T12-09",IF(BB453&lt;&gt;"",BB453,IF(AND(AS453=1,Documents!$J$17&lt;&gt;"ON FILE"),"INVALID – GLD not on file (Documents sheet)",IF(AND(AS453=2,Documents!$O$17&lt;&gt;"ON FILE"),"INVALID – menu checklist not on file (Documents sheet)",IF(AND(AS453=3,NOT(ISNUMBER(Flights!$AX$17))),"INVALID – enter carrying flight KUL departure (Flights AX)",IF(AND(AS453=3,OR(Flights!$AZ$17&gt;Flights!$AA$17,Flights!$AX$17&lt;Flights!$AA$17-3)),"INVALID – carrying flight (Flights AX) cannot arrive before this leg's STD, or is over 3 days early",IF(AG453&gt;AsOfUTC,"INVALID – completion time is in the future",IF(AND(ISNUMBER(S453),AG453&lt;S453),IF(H453="Physical uplift","INVALID – before uplift window (cannot confirm loading)","INVALID – before valid window"),IF(AG453&gt;Flights!$AA$17,"INVALID – completed after departure (cannot establish readiness)",IF(AND(H453="Preparation",AG453&gt;IF(ISNUMBER(Flights!$BA$17),MIN(Flights!$BA$17,Flights!$AA$17),Flights!$AA$17)),"INVALID – completed after loading / departure (cannot establish readiness)",IF(AND(H453="Physical uplift",AG453&gt;Q453),"INVALID – recorded after the loading flight departed",IF(AG453&gt;Q453,"COMPLETE – LATE","COMPLETE"))))))))))))))))))))))),IF(TRIM(U453)="Fail","FAIL – DISCREPANCY",IF(AND(TRIM(U453)&lt;&gt;"",TRIM(U453)&lt;&gt;"Not started",TRIM(U453)&lt;&gt;"In progress"),"INVALID – unrecognised status (use the list)",IF(AsOfUTC&gt;Q453,"OVERDUE",IF(N453="Clarification required","OPEN – CLARIFICATION","OPEN"))))))),"INVALID – error value in an input cell")</f>
        <v>OPEN</v>
      </c>
      <c r="AI453" s="61" t="n">
        <f aca="false">IF(OR(AH453="N/A – RULE",AH453="N/A – JUSTIFIED"),0,1)</f>
        <v>1</v>
      </c>
      <c r="AJ453" s="61" t="n">
        <f aca="false">IF(LEFT(AH453,8)="COMPLETE",1,0)</f>
        <v>0</v>
      </c>
      <c r="AK453" s="61" t="n">
        <f aca="false">IF(AND(AI453=1,AJ453=0,AsOfUTC&gt;Q453),1,0)</f>
        <v>0</v>
      </c>
      <c r="AL453" s="61" t="n">
        <f aca="false">IFERROR(IF(AND(AI453=1,OR(TRIM(U453)="Fail",AND(TRIM(AB453)&lt;&gt;"",TRIM(AB453)&lt;&gt;"Closed"),AND(ISNUMBER(AF453),AF453&lt;&gt;0,TRIM(U453)&lt;&gt;"Pass after CA"))),1,0),1)</f>
        <v>0</v>
      </c>
      <c r="AM453" s="61" t="n">
        <f aca="false">IF(LEFT(AH453,7)="INVALID",1,0)</f>
        <v>0</v>
      </c>
      <c r="AN453" s="61" t="n">
        <f aca="false">IF(AND(N453="Clarification required",AI453=1,AJ453=0),1,0)</f>
        <v>0</v>
      </c>
      <c r="AO453" s="61" t="str">
        <f aca="false">IF(AK453=1,SUM(AK$5:AK453),"")</f>
        <v/>
      </c>
      <c r="AP453" s="61" t="str">
        <f aca="false">IF(AL453=1,SUM(AL$5:AL453),"")</f>
        <v/>
      </c>
      <c r="AQ453" s="61" t="n">
        <v>0</v>
      </c>
      <c r="AR453" s="61" t="n">
        <v>0</v>
      </c>
      <c r="AS453" s="61" t="n">
        <v>0</v>
      </c>
      <c r="AT453" s="61" t="n">
        <v>0</v>
      </c>
      <c r="AU453" s="61" t="str">
        <f aca="false">SUBSTITUTE(SUBSTITUTE(SUBSTITUTE(SUBSTITUTE(SUBSTITUTE(SUBSTITUTE(SUBSTITUTE(SUBSTITUTE(SUBSTITUTE(SUBSTITUTE(SUBSTITUTE(SUBSTITUTE(SUBSTITUTE(LOWER(T453&amp;""),CHAR(160),"")," ",""),".",""),"-",""),"/",""),"?",""),"_",""),",",""),"[",""),"]",""),"(",""),")",""),"*","")</f>
        <v/>
      </c>
      <c r="AV453" s="61" t="str">
        <f aca="false">SUBSTITUTE(SUBSTITUTE(SUBSTITUTE(SUBSTITUTE(SUBSTITUTE(SUBSTITUTE(SUBSTITUTE(SUBSTITUTE(SUBSTITUTE(SUBSTITUTE(SUBSTITUTE(SUBSTITUTE(SUBSTITUTE(LOWER(V453&amp;""),CHAR(160),"")," ",""),".",""),"-",""),"/",""),"?",""),"_",""),",",""),"[",""),"]",""),"(",""),")",""),"*","")</f>
        <v/>
      </c>
      <c r="AW453" s="61" t="str">
        <f aca="false">SUBSTITUTE(SUBSTITUTE(SUBSTITUTE(SUBSTITUTE(SUBSTITUTE(SUBSTITUTE(SUBSTITUTE(SUBSTITUTE(SUBSTITUTE(SUBSTITUTE(SUBSTITUTE(SUBSTITUTE(SUBSTITUTE(LOWER(Z453&amp;""),CHAR(160),"")," ",""),".",""),"-",""),"/",""),"?",""),"_",""),",",""),"[",""),"]",""),"(",""),")",""),"*","")</f>
        <v/>
      </c>
      <c r="AX453" s="61" t="str">
        <f aca="false">SUBSTITUTE(SUBSTITUTE(SUBSTITUTE(SUBSTITUTE(SUBSTITUTE(SUBSTITUTE(SUBSTITUTE(SUBSTITUTE(SUBSTITUTE(SUBSTITUTE(SUBSTITUTE(SUBSTITUTE(SUBSTITUTE(LOWER(AE453&amp;""),CHAR(160),"")," ",""),".",""),"-",""),"/",""),"?",""),"_",""),",",""),"[",""),"]",""),"(",""),")",""),"*","")</f>
        <v/>
      </c>
      <c r="AY453" s="61" t="str">
        <f aca="false">SUBSTITUTE(SUBSTITUTE(SUBSTITUTE(SUBSTITUTE(SUBSTITUTE(SUBSTITUTE(SUBSTITUTE(SUBSTITUTE(SUBSTITUTE(SUBSTITUTE(SUBSTITUTE(SUBSTITUTE(SUBSTITUTE(LOWER(W453&amp;""),CHAR(160),"")," ",""),".",""),"-",""),"/",""),"?",""),"_",""),",",""),"[",""),"]",""),"(",""),")",""),"*","")</f>
        <v/>
      </c>
      <c r="AZ453" s="61" t="str">
        <f aca="false">SUBSTITUTE(SUBSTITUTE(SUBSTITUTE(SUBSTITUTE(SUBSTITUTE(SUBSTITUTE(SUBSTITUTE(SUBSTITUTE(SUBSTITUTE(SUBSTITUTE(SUBSTITUTE(SUBSTITUTE(SUBSTITUTE(LOWER(AC453&amp;""),CHAR(160),"")," ",""),".",""),"-",""),"/",""),"?",""),"_",""),",",""),"[",""),"]",""),"(",""),")",""),"*","")</f>
        <v/>
      </c>
      <c r="BA453" s="61" t="str">
        <f aca="false">SUBSTITUTE(SUBSTITUTE(SUBSTITUTE(SUBSTITUTE(SUBSTITUTE(SUBSTITUTE(SUBSTITUTE(SUBSTITUTE(SUBSTITUTE(SUBSTITUTE(SUBSTITUTE(SUBSTITUTE(SUBSTITUTE(LOWER(AA453&amp;""),CHAR(160),"")," ",""),".",""),"-",""),"/",""),"?",""),"_",""),",",""),"[",""),"]",""),"(",""),")",""),"*","")</f>
        <v/>
      </c>
      <c r="BB453" s="61" t="str">
        <f aca="false">IF(AND(TRIM(U453)="Pass",ISNUMBER(AF453)),IF(AF453&lt;&gt;0,"INVALID – qty variance: use Fail or Pass after CA",""),"")&amp;IF(AND(TRIM(U453)="Pass after CA",ISNUMBER(AF453)),IF(AF453&lt;&gt;0,"INVALID – after the corrective action the actual qty must equal expected (update Actual)",""),"")&amp;IF(AND(TRIM(U453)="Pass",TRIM(AB453)&lt;&gt;"",TRIM(AB453)&lt;&gt;"Closed"),"INVALID – corrective action not closed: use Fail, then Pass after CA","")&amp;IF(AND(TRIM(AA453)&lt;&gt;"",TRIM(AB453)=""),"INVALID – CA status missing for the recorded corrective action","")&amp;IF(AND(TRIM(U453)="Pass after CA",OR(OR(LEN(BA453)&lt;5,ISNUMBER(MATCH(BA453,L_Placeholder,0))),TRIM(AB453)&lt;&gt;"Closed")),"INVALID – corrective action not recorded/closed","")</f>
        <v/>
      </c>
    </row>
    <row r="454" customFormat="false" ht="54" hidden="false" customHeight="true" outlineLevel="0" collapsed="false">
      <c r="A454" s="57" t="s">
        <v>1077</v>
      </c>
      <c r="B454" s="57" t="s">
        <v>269</v>
      </c>
      <c r="C454" s="57" t="str">
        <f aca="false">Flights!$F$17</f>
        <v>MH0138</v>
      </c>
      <c r="D454" s="58" t="n">
        <f aca="false">Flights!$D$17</f>
        <v>46309</v>
      </c>
      <c r="E454" s="57" t="str">
        <f aca="false">Flights!$G$17&amp;"-"&amp;Flights!$H$17</f>
        <v>ADL-KUL</v>
      </c>
      <c r="F454" s="57" t="str">
        <f aca="false">Flights!$K$17</f>
        <v>EY</v>
      </c>
      <c r="G454" s="57" t="s">
        <v>437</v>
      </c>
      <c r="H454" s="57" t="s">
        <v>438</v>
      </c>
      <c r="I454" s="57" t="s">
        <v>425</v>
      </c>
      <c r="J454" s="57" t="s">
        <v>449</v>
      </c>
      <c r="K454" s="67" t="s">
        <v>1066</v>
      </c>
      <c r="L454" s="67" t="s">
        <v>1067</v>
      </c>
      <c r="M454" s="67" t="s">
        <v>429</v>
      </c>
      <c r="N454" s="67" t="s">
        <v>361</v>
      </c>
      <c r="O454" s="67" t="s">
        <v>1078</v>
      </c>
      <c r="P454" s="57" t="s">
        <v>260</v>
      </c>
      <c r="Q454" s="59" t="n">
        <f aca="false">ROUND((Flights!$AF$17)*1440,0)/1440</f>
        <v>46309.0104166667</v>
      </c>
      <c r="R454" s="59" t="n">
        <f aca="false">Q454+(IF(AND(INDEX(TZ_DSTS,MATCH(P454,TZ_STN,0))&lt;&gt;"",Q454&gt;=INDEX(TZ_DSTS,MATCH(P454,TZ_STN,0)),Q454&lt;INDEX(TZ_DSTE,MATCH(P454,TZ_STN,0))),INDEX(TZ_DST,MATCH(P454,TZ_STN,0)),INDEX(TZ_STD,MATCH(P454,TZ_STN,0))))/24</f>
        <v>46309.4479166667</v>
      </c>
      <c r="S454" s="59" t="n">
        <f aca="false">IF(ISNUMBER(Flights!$AZ$17),MAX(Q454-UpliftWindowH/24,Flights!$AZ$17),Q454-UpliftWindowH/24)</f>
        <v>46308.7604166667</v>
      </c>
      <c r="T454" s="60"/>
      <c r="U454" s="60"/>
      <c r="V454" s="60"/>
      <c r="W454" s="61"/>
      <c r="X454" s="68" t="n">
        <v>280</v>
      </c>
      <c r="Y454" s="60"/>
      <c r="Z454" s="60"/>
      <c r="AA454" s="60"/>
      <c r="AB454" s="60"/>
      <c r="AC454" s="60"/>
      <c r="AD454" s="66"/>
      <c r="AE454" s="60"/>
      <c r="AF454" s="61" t="str">
        <f aca="false">IF(AND(ISNUMBER(X454),ISNUMBER(Y454)),Y454-X454,"")</f>
        <v/>
      </c>
      <c r="AG454" s="62" t="str">
        <f aca="false">IF(ISNUMBER(AD454),AD454-(IF(AND(INDEX(TZ_DSTS,MATCH(P454,TZ_STN,0))&lt;&gt;"",(AD454-INDEX(TZ_STD,MATCH(P454,TZ_STN,0))/24)&gt;=INDEX(TZ_DSTS,MATCH(P454,TZ_STN,0)),(AD454-INDEX(TZ_STD,MATCH(P454,TZ_STN,0))/24)&lt;INDEX(TZ_DSTE,MATCH(P454,TZ_STN,0))),INDEX(TZ_DST,MATCH(P454,TZ_STN,0)),INDEX(TZ_STD,MATCH(P454,TZ_STN,0))))/24,"")</f>
        <v/>
      </c>
      <c r="AH454" s="65" t="str">
        <f aca="false">IFERROR(IF(N454="N/A – rule","N/A – RULE",IF(TRIM(U454)="N/A",IF(AT454=0,"INVALID – N/A not permitted for this check",IF(AND(TRIM(AB454)&lt;&gt;"",TRIM(AB454)&lt;&gt;"Closed"),"INVALID – corrective action still open",IF(AND(NOT(OR(LEN(AZ454)&lt;15,ISNUMBER(MATCH(AZ454,L_Placeholder,0)))),NOT(OR(LEN(AU454)&lt;2,ISNUMBER(MATCH(AU454,L_Placeholder,0)))),NOT(OR(LEN(AX454)&lt;2,ISNUMBER(MATCH(AX454,L_Placeholder,0)))),TRIM(AE454)&lt;&gt;TRIM(T454)),"N/A – JUSTIFIED","INVALID – N/A needs a real justification (15+ chars), PIC and a different verifier"))),IF(OR(TRIM(U454)="Pass",TRIM(U454)="Pass after CA"),IF(NOT(ISNUMBER(AD454)),"INVALID – completion time missing",IF(OR(LEN(AU454)&lt;2,ISNUMBER(MATCH(AU454,L_Placeholder,0))),"INVALID – PIC missing",IF(OR(LEN(AV454)&lt;2,ISNUMBER(MATCH(AV454,L_Placeholder,0))),"INVALID – result / assessment missing",IF(OR(OR(LEN(AW454)&lt;3,ISNUMBER(MATCH(AW454,L_Placeholder,0))),SUMPRODUCT(--ISNUMBER(SEARCH(L_EvidencePhrase,AW454)))&gt;0),"INVALID – evidence missing, placeholder or not yet on file",IF(OR(LEN(AX454)&lt;2,ISNUMBER(MATCH(AX454,L_Placeholder,0))),"INVALID – verifier missing",IF(AX454=AU454,"INVALID – verifier must be someone other than the PIC",IF(AND(TRIM(U454)="Pass",SUMPRODUCT(--ISNUMBER(SEARCH(L_ResultBad,AV454)))&gt;0),"INVALID – result describes a problem: use Fail, then Pass after CA",IF(AND(AQ454=1,OR(LEN(AY454)&lt;3,ISNUMBER(MATCH(AY454,L_Placeholder,0)))),"INVALID – batch ID missing or placeholder",IF(AND(AR454=1,OR(NOT(ISNUMBER(X454)),NOT(ISNUMBER(Y454)))),"INVALID – expected/actual qty missing",IF(AND(AR454=1,OR(X454&lt;=0,Y454&lt;0)),"INVALID – expected qty must be above 0 and actual not negative",IF(AH447="N/A – JUSTIFIED","INVALID – preparation row F13-T12-10 is N/A",IF(AND(AR454=1,ISNUMBER(X447),X454&lt;&gt;X447),"INVALID – expected qty differs from preparation check F13-T12-10",IF(BB454&lt;&gt;"",BB454,IF(AND(AS454=1,Documents!$J$17&lt;&gt;"ON FILE"),"INVALID – GLD not on file (Documents sheet)",IF(AND(AS454=2,Documents!$O$17&lt;&gt;"ON FILE"),"INVALID – menu checklist not on file (Documents sheet)",IF(AND(AS454=3,NOT(ISNUMBER(Flights!$AX$17))),"INVALID – enter carrying flight KUL departure (Flights AX)",IF(AND(AS454=3,OR(Flights!$AZ$17&gt;Flights!$AA$17,Flights!$AX$17&lt;Flights!$AA$17-3)),"INVALID – carrying flight (Flights AX) cannot arrive before this leg's STD, or is over 3 days early",IF(AG454&gt;AsOfUTC,"INVALID – completion time is in the future",IF(AND(ISNUMBER(S454),AG454&lt;S454),IF(H454="Physical uplift","INVALID – before uplift window (cannot confirm loading)","INVALID – before valid window"),IF(AG454&gt;Flights!$AA$17,"INVALID – completed after departure (cannot establish readiness)",IF(AND(H454="Preparation",AG454&gt;IF(ISNUMBER(Flights!$BA$17),MIN(Flights!$BA$17,Flights!$AA$17),Flights!$AA$17)),"INVALID – completed after loading / departure (cannot establish readiness)",IF(AND(H454="Physical uplift",AG454&gt;Q454),"INVALID – recorded after the loading flight departed",IF(AG454&gt;Q454,"COMPLETE – LATE","COMPLETE"))))))))))))))))))))))),IF(TRIM(U454)="Fail","FAIL – DISCREPANCY",IF(AND(TRIM(U454)&lt;&gt;"",TRIM(U454)&lt;&gt;"Not started",TRIM(U454)&lt;&gt;"In progress"),"INVALID – unrecognised status (use the list)",IF(AsOfUTC&gt;Q454,"OVERDUE",IF(N454="Clarification required","OPEN – CLARIFICATION","OPEN"))))))),"INVALID – error value in an input cell")</f>
        <v>OPEN</v>
      </c>
      <c r="AI454" s="61" t="n">
        <f aca="false">IF(OR(AH454="N/A – RULE",AH454="N/A – JUSTIFIED"),0,1)</f>
        <v>1</v>
      </c>
      <c r="AJ454" s="61" t="n">
        <f aca="false">IF(LEFT(AH454,8)="COMPLETE",1,0)</f>
        <v>0</v>
      </c>
      <c r="AK454" s="61" t="n">
        <f aca="false">IF(AND(AI454=1,AJ454=0,AsOfUTC&gt;Q454),1,0)</f>
        <v>0</v>
      </c>
      <c r="AL454" s="61" t="n">
        <f aca="false">IFERROR(IF(AND(AI454=1,OR(TRIM(U454)="Fail",AND(TRIM(AB454)&lt;&gt;"",TRIM(AB454)&lt;&gt;"Closed"),AND(ISNUMBER(AF454),AF454&lt;&gt;0,TRIM(U454)&lt;&gt;"Pass after CA"))),1,0),1)</f>
        <v>0</v>
      </c>
      <c r="AM454" s="61" t="n">
        <f aca="false">IF(LEFT(AH454,7)="INVALID",1,0)</f>
        <v>0</v>
      </c>
      <c r="AN454" s="61" t="n">
        <f aca="false">IF(AND(N454="Clarification required",AI454=1,AJ454=0),1,0)</f>
        <v>0</v>
      </c>
      <c r="AO454" s="61" t="str">
        <f aca="false">IF(AK454=1,SUM(AK$5:AK454),"")</f>
        <v/>
      </c>
      <c r="AP454" s="61" t="str">
        <f aca="false">IF(AL454=1,SUM(AL$5:AL454),"")</f>
        <v/>
      </c>
      <c r="AQ454" s="61" t="n">
        <v>0</v>
      </c>
      <c r="AR454" s="61" t="n">
        <v>1</v>
      </c>
      <c r="AS454" s="61" t="n">
        <v>0</v>
      </c>
      <c r="AT454" s="61" t="n">
        <v>0</v>
      </c>
      <c r="AU454" s="61" t="str">
        <f aca="false">SUBSTITUTE(SUBSTITUTE(SUBSTITUTE(SUBSTITUTE(SUBSTITUTE(SUBSTITUTE(SUBSTITUTE(SUBSTITUTE(SUBSTITUTE(SUBSTITUTE(SUBSTITUTE(SUBSTITUTE(SUBSTITUTE(LOWER(T454&amp;""),CHAR(160),"")," ",""),".",""),"-",""),"/",""),"?",""),"_",""),",",""),"[",""),"]",""),"(",""),")",""),"*","")</f>
        <v/>
      </c>
      <c r="AV454" s="61" t="str">
        <f aca="false">SUBSTITUTE(SUBSTITUTE(SUBSTITUTE(SUBSTITUTE(SUBSTITUTE(SUBSTITUTE(SUBSTITUTE(SUBSTITUTE(SUBSTITUTE(SUBSTITUTE(SUBSTITUTE(SUBSTITUTE(SUBSTITUTE(LOWER(V454&amp;""),CHAR(160),"")," ",""),".",""),"-",""),"/",""),"?",""),"_",""),",",""),"[",""),"]",""),"(",""),")",""),"*","")</f>
        <v/>
      </c>
      <c r="AW454" s="61" t="str">
        <f aca="false">SUBSTITUTE(SUBSTITUTE(SUBSTITUTE(SUBSTITUTE(SUBSTITUTE(SUBSTITUTE(SUBSTITUTE(SUBSTITUTE(SUBSTITUTE(SUBSTITUTE(SUBSTITUTE(SUBSTITUTE(SUBSTITUTE(LOWER(Z454&amp;""),CHAR(160),"")," ",""),".",""),"-",""),"/",""),"?",""),"_",""),",",""),"[",""),"]",""),"(",""),")",""),"*","")</f>
        <v/>
      </c>
      <c r="AX454" s="61" t="str">
        <f aca="false">SUBSTITUTE(SUBSTITUTE(SUBSTITUTE(SUBSTITUTE(SUBSTITUTE(SUBSTITUTE(SUBSTITUTE(SUBSTITUTE(SUBSTITUTE(SUBSTITUTE(SUBSTITUTE(SUBSTITUTE(SUBSTITUTE(LOWER(AE454&amp;""),CHAR(160),"")," ",""),".",""),"-",""),"/",""),"?",""),"_",""),",",""),"[",""),"]",""),"(",""),")",""),"*","")</f>
        <v/>
      </c>
      <c r="AY454" s="61" t="str">
        <f aca="false">SUBSTITUTE(SUBSTITUTE(SUBSTITUTE(SUBSTITUTE(SUBSTITUTE(SUBSTITUTE(SUBSTITUTE(SUBSTITUTE(SUBSTITUTE(SUBSTITUTE(SUBSTITUTE(SUBSTITUTE(SUBSTITUTE(LOWER(W454&amp;""),CHAR(160),"")," ",""),".",""),"-",""),"/",""),"?",""),"_",""),",",""),"[",""),"]",""),"(",""),")",""),"*","")</f>
        <v/>
      </c>
      <c r="AZ454" s="61" t="str">
        <f aca="false">SUBSTITUTE(SUBSTITUTE(SUBSTITUTE(SUBSTITUTE(SUBSTITUTE(SUBSTITUTE(SUBSTITUTE(SUBSTITUTE(SUBSTITUTE(SUBSTITUTE(SUBSTITUTE(SUBSTITUTE(SUBSTITUTE(LOWER(AC454&amp;""),CHAR(160),"")," ",""),".",""),"-",""),"/",""),"?",""),"_",""),",",""),"[",""),"]",""),"(",""),")",""),"*","")</f>
        <v/>
      </c>
      <c r="BA454" s="61" t="str">
        <f aca="false">SUBSTITUTE(SUBSTITUTE(SUBSTITUTE(SUBSTITUTE(SUBSTITUTE(SUBSTITUTE(SUBSTITUTE(SUBSTITUTE(SUBSTITUTE(SUBSTITUTE(SUBSTITUTE(SUBSTITUTE(SUBSTITUTE(LOWER(AA454&amp;""),CHAR(160),"")," ",""),".",""),"-",""),"/",""),"?",""),"_",""),",",""),"[",""),"]",""),"(",""),")",""),"*","")</f>
        <v/>
      </c>
      <c r="BB454" s="61" t="str">
        <f aca="false">IF(AND(TRIM(U454)="Pass",ISNUMBER(AF454)),IF(AF454&lt;&gt;0,"INVALID – qty variance: use Fail or Pass after CA",""),"")&amp;IF(AND(TRIM(U454)="Pass after CA",ISNUMBER(AF454)),IF(AF454&lt;&gt;0,"INVALID – after the corrective action the actual qty must equal expected (update Actual)",""),"")&amp;IF(AND(TRIM(U454)="Pass",TRIM(AB454)&lt;&gt;"",TRIM(AB454)&lt;&gt;"Closed"),"INVALID – corrective action not closed: use Fail, then Pass after CA","")&amp;IF(AND(TRIM(AA454)&lt;&gt;"",TRIM(AB454)=""),"INVALID – CA status missing for the recorded corrective action","")&amp;IF(AND(TRIM(U454)="Pass after CA",OR(OR(LEN(BA454)&lt;5,ISNUMBER(MATCH(BA454,L_Placeholder,0))),TRIM(AB454)&lt;&gt;"Closed")),"INVALID – corrective action not recorded/closed","")</f>
        <v/>
      </c>
    </row>
    <row r="455" customFormat="false" ht="54" hidden="false" customHeight="true" outlineLevel="0" collapsed="false">
      <c r="A455" s="57" t="s">
        <v>1079</v>
      </c>
      <c r="B455" s="57" t="s">
        <v>269</v>
      </c>
      <c r="C455" s="57" t="str">
        <f aca="false">Flights!$F$17</f>
        <v>MH0138</v>
      </c>
      <c r="D455" s="58" t="n">
        <f aca="false">Flights!$D$17</f>
        <v>46309</v>
      </c>
      <c r="E455" s="57" t="str">
        <f aca="false">Flights!$G$17&amp;"-"&amp;Flights!$H$17</f>
        <v>ADL-KUL</v>
      </c>
      <c r="F455" s="57" t="str">
        <f aca="false">Flights!$K$17</f>
        <v>EY</v>
      </c>
      <c r="G455" s="57" t="s">
        <v>437</v>
      </c>
      <c r="H455" s="57" t="s">
        <v>438</v>
      </c>
      <c r="I455" s="57" t="s">
        <v>612</v>
      </c>
      <c r="J455" s="57" t="s">
        <v>637</v>
      </c>
      <c r="K455" s="67" t="s">
        <v>1018</v>
      </c>
      <c r="L455" s="67" t="s">
        <v>1019</v>
      </c>
      <c r="M455" s="67" t="s">
        <v>429</v>
      </c>
      <c r="N455" s="67" t="s">
        <v>422</v>
      </c>
      <c r="O455" s="67" t="s">
        <v>1080</v>
      </c>
      <c r="P455" s="57" t="s">
        <v>260</v>
      </c>
      <c r="Q455" s="59" t="n">
        <f aca="false">ROUND((Flights!$AF$17)*1440,0)/1440</f>
        <v>46309.0104166667</v>
      </c>
      <c r="R455" s="59" t="n">
        <f aca="false">Q455+(IF(AND(INDEX(TZ_DSTS,MATCH(P455,TZ_STN,0))&lt;&gt;"",Q455&gt;=INDEX(TZ_DSTS,MATCH(P455,TZ_STN,0)),Q455&lt;INDEX(TZ_DSTE,MATCH(P455,TZ_STN,0))),INDEX(TZ_DST,MATCH(P455,TZ_STN,0)),INDEX(TZ_STD,MATCH(P455,TZ_STN,0))))/24</f>
        <v>46309.4479166667</v>
      </c>
      <c r="S455" s="59" t="n">
        <f aca="false">IF(ISNUMBER(Flights!$AZ$17),MAX(Q455-UpliftWindowH/24,Flights!$AZ$17),Q455-UpliftWindowH/24)</f>
        <v>46308.7604166667</v>
      </c>
      <c r="T455" s="60"/>
      <c r="U455" s="60"/>
      <c r="V455" s="60"/>
      <c r="W455" s="61"/>
      <c r="X455" s="60"/>
      <c r="Y455" s="60"/>
      <c r="Z455" s="60"/>
      <c r="AA455" s="60"/>
      <c r="AB455" s="60"/>
      <c r="AC455" s="60"/>
      <c r="AD455" s="66"/>
      <c r="AE455" s="60"/>
      <c r="AF455" s="61" t="str">
        <f aca="false">IF(AND(ISNUMBER(X455),ISNUMBER(Y455)),Y455-X455,"")</f>
        <v/>
      </c>
      <c r="AG455" s="62" t="str">
        <f aca="false">IF(ISNUMBER(AD455),AD455-(IF(AND(INDEX(TZ_DSTS,MATCH(P455,TZ_STN,0))&lt;&gt;"",(AD455-INDEX(TZ_STD,MATCH(P455,TZ_STN,0))/24)&gt;=INDEX(TZ_DSTS,MATCH(P455,TZ_STN,0)),(AD455-INDEX(TZ_STD,MATCH(P455,TZ_STN,0))/24)&lt;INDEX(TZ_DSTE,MATCH(P455,TZ_STN,0))),INDEX(TZ_DST,MATCH(P455,TZ_STN,0)),INDEX(TZ_STD,MATCH(P455,TZ_STN,0))))/24,"")</f>
        <v/>
      </c>
      <c r="AH455" s="65" t="str">
        <f aca="false">IFERROR(IF(N455="N/A – rule","N/A – RULE",IF(TRIM(U455)="N/A",IF(AT455=0,"INVALID – N/A not permitted for this check",IF(AND(TRIM(AB455)&lt;&gt;"",TRIM(AB455)&lt;&gt;"Closed"),"INVALID – corrective action still open",IF(AND(NOT(OR(LEN(AZ455)&lt;15,ISNUMBER(MATCH(AZ455,L_Placeholder,0)))),NOT(OR(LEN(AU455)&lt;2,ISNUMBER(MATCH(AU455,L_Placeholder,0)))),NOT(OR(LEN(AX455)&lt;2,ISNUMBER(MATCH(AX455,L_Placeholder,0)))),TRIM(AE455)&lt;&gt;TRIM(T455)),"N/A – JUSTIFIED","INVALID – N/A needs a real justification (15+ chars), PIC and a different verifier"))),IF(OR(TRIM(U455)="Pass",TRIM(U455)="Pass after CA"),IF(NOT(ISNUMBER(AD455)),"INVALID – completion time missing",IF(OR(LEN(AU455)&lt;2,ISNUMBER(MATCH(AU455,L_Placeholder,0))),"INVALID – PIC missing",IF(OR(LEN(AV455)&lt;2,ISNUMBER(MATCH(AV455,L_Placeholder,0))),"INVALID – result / assessment missing",IF(OR(OR(LEN(AW455)&lt;3,ISNUMBER(MATCH(AW455,L_Placeholder,0))),SUMPRODUCT(--ISNUMBER(SEARCH(L_EvidencePhrase,AW455)))&gt;0),"INVALID – evidence missing, placeholder or not yet on file",IF(OR(LEN(AX455)&lt;2,ISNUMBER(MATCH(AX455,L_Placeholder,0))),"INVALID – verifier missing",IF(AX455=AU455,"INVALID – verifier must be someone other than the PIC",IF(AND(TRIM(U455)="Pass",SUMPRODUCT(--ISNUMBER(SEARCH(L_ResultBad,AV455)))&gt;0),"INVALID – result describes a problem: use Fail, then Pass after CA",IF(AND(AQ455=1,OR(LEN(AY455)&lt;3,ISNUMBER(MATCH(AY455,L_Placeholder,0)))),"INVALID – batch ID missing or placeholder",IF(AND(AR455=1,OR(NOT(ISNUMBER(X455)),NOT(ISNUMBER(Y455)))),"INVALID – expected/actual qty missing",IF(AND(AR455=1,OR(X455&lt;=0,Y455&lt;0)),"INVALID – expected qty must be above 0 and actual not negative",IF(AH448="N/A – JUSTIFIED","INVALID – preparation row F13-T12-11 is N/A",IF(AND(AR455=1,ISNUMBER(X448),X455&lt;&gt;X448),"INVALID – expected qty differs from preparation check F13-T12-11",IF(BB455&lt;&gt;"",BB455,IF(AND(AS455=1,Documents!$J$17&lt;&gt;"ON FILE"),"INVALID – GLD not on file (Documents sheet)",IF(AND(AS455=2,Documents!$O$17&lt;&gt;"ON FILE"),"INVALID – menu checklist not on file (Documents sheet)",IF(AND(AS455=3,NOT(ISNUMBER(Flights!$AX$17))),"INVALID – enter carrying flight KUL departure (Flights AX)",IF(AND(AS455=3,OR(Flights!$AZ$17&gt;Flights!$AA$17,Flights!$AX$17&lt;Flights!$AA$17-3)),"INVALID – carrying flight (Flights AX) cannot arrive before this leg's STD, or is over 3 days early",IF(AG455&gt;AsOfUTC,"INVALID – completion time is in the future",IF(AND(ISNUMBER(S455),AG455&lt;S455),IF(H455="Physical uplift","INVALID – before uplift window (cannot confirm loading)","INVALID – before valid window"),IF(AG455&gt;Flights!$AA$17,"INVALID – completed after departure (cannot establish readiness)",IF(AND(H455="Preparation",AG455&gt;IF(ISNUMBER(Flights!$BA$17),MIN(Flights!$BA$17,Flights!$AA$17),Flights!$AA$17)),"INVALID – completed after loading / departure (cannot establish readiness)",IF(AND(H455="Physical uplift",AG455&gt;Q455),"INVALID – recorded after the loading flight departed",IF(AG455&gt;Q455,"COMPLETE – LATE","COMPLETE"))))))))))))))))))))))),IF(TRIM(U455)="Fail","FAIL – DISCREPANCY",IF(AND(TRIM(U455)&lt;&gt;"",TRIM(U455)&lt;&gt;"Not started",TRIM(U455)&lt;&gt;"In progress"),"INVALID – unrecognised status (use the list)",IF(AsOfUTC&gt;Q455,"OVERDUE",IF(N455="Clarification required","OPEN – CLARIFICATION","OPEN"))))))),"INVALID – error value in an input cell")</f>
        <v>OPEN – CLARIFICATION</v>
      </c>
      <c r="AI455" s="61" t="n">
        <f aca="false">IF(OR(AH455="N/A – RULE",AH455="N/A – JUSTIFIED"),0,1)</f>
        <v>1</v>
      </c>
      <c r="AJ455" s="61" t="n">
        <f aca="false">IF(LEFT(AH455,8)="COMPLETE",1,0)</f>
        <v>0</v>
      </c>
      <c r="AK455" s="61" t="n">
        <f aca="false">IF(AND(AI455=1,AJ455=0,AsOfUTC&gt;Q455),1,0)</f>
        <v>0</v>
      </c>
      <c r="AL455" s="61" t="n">
        <f aca="false">IFERROR(IF(AND(AI455=1,OR(TRIM(U455)="Fail",AND(TRIM(AB455)&lt;&gt;"",TRIM(AB455)&lt;&gt;"Closed"),AND(ISNUMBER(AF455),AF455&lt;&gt;0,TRIM(U455)&lt;&gt;"Pass after CA"))),1,0),1)</f>
        <v>0</v>
      </c>
      <c r="AM455" s="61" t="n">
        <f aca="false">IF(LEFT(AH455,7)="INVALID",1,0)</f>
        <v>0</v>
      </c>
      <c r="AN455" s="61" t="n">
        <f aca="false">IF(AND(N455="Clarification required",AI455=1,AJ455=0),1,0)</f>
        <v>1</v>
      </c>
      <c r="AO455" s="61" t="str">
        <f aca="false">IF(AK455=1,SUM(AK$5:AK455),"")</f>
        <v/>
      </c>
      <c r="AP455" s="61" t="str">
        <f aca="false">IF(AL455=1,SUM(AL$5:AL455),"")</f>
        <v/>
      </c>
      <c r="AQ455" s="61" t="n">
        <v>0</v>
      </c>
      <c r="AR455" s="61" t="n">
        <v>0</v>
      </c>
      <c r="AS455" s="61" t="n">
        <v>0</v>
      </c>
      <c r="AT455" s="61" t="n">
        <v>1</v>
      </c>
      <c r="AU455" s="61" t="str">
        <f aca="false">SUBSTITUTE(SUBSTITUTE(SUBSTITUTE(SUBSTITUTE(SUBSTITUTE(SUBSTITUTE(SUBSTITUTE(SUBSTITUTE(SUBSTITUTE(SUBSTITUTE(SUBSTITUTE(SUBSTITUTE(SUBSTITUTE(LOWER(T455&amp;""),CHAR(160),"")," ",""),".",""),"-",""),"/",""),"?",""),"_",""),",",""),"[",""),"]",""),"(",""),")",""),"*","")</f>
        <v/>
      </c>
      <c r="AV455" s="61" t="str">
        <f aca="false">SUBSTITUTE(SUBSTITUTE(SUBSTITUTE(SUBSTITUTE(SUBSTITUTE(SUBSTITUTE(SUBSTITUTE(SUBSTITUTE(SUBSTITUTE(SUBSTITUTE(SUBSTITUTE(SUBSTITUTE(SUBSTITUTE(LOWER(V455&amp;""),CHAR(160),"")," ",""),".",""),"-",""),"/",""),"?",""),"_",""),",",""),"[",""),"]",""),"(",""),")",""),"*","")</f>
        <v/>
      </c>
      <c r="AW455" s="61" t="str">
        <f aca="false">SUBSTITUTE(SUBSTITUTE(SUBSTITUTE(SUBSTITUTE(SUBSTITUTE(SUBSTITUTE(SUBSTITUTE(SUBSTITUTE(SUBSTITUTE(SUBSTITUTE(SUBSTITUTE(SUBSTITUTE(SUBSTITUTE(LOWER(Z455&amp;""),CHAR(160),"")," ",""),".",""),"-",""),"/",""),"?",""),"_",""),",",""),"[",""),"]",""),"(",""),")",""),"*","")</f>
        <v/>
      </c>
      <c r="AX455" s="61" t="str">
        <f aca="false">SUBSTITUTE(SUBSTITUTE(SUBSTITUTE(SUBSTITUTE(SUBSTITUTE(SUBSTITUTE(SUBSTITUTE(SUBSTITUTE(SUBSTITUTE(SUBSTITUTE(SUBSTITUTE(SUBSTITUTE(SUBSTITUTE(LOWER(AE455&amp;""),CHAR(160),"")," ",""),".",""),"-",""),"/",""),"?",""),"_",""),",",""),"[",""),"]",""),"(",""),")",""),"*","")</f>
        <v/>
      </c>
      <c r="AY455" s="61" t="str">
        <f aca="false">SUBSTITUTE(SUBSTITUTE(SUBSTITUTE(SUBSTITUTE(SUBSTITUTE(SUBSTITUTE(SUBSTITUTE(SUBSTITUTE(SUBSTITUTE(SUBSTITUTE(SUBSTITUTE(SUBSTITUTE(SUBSTITUTE(LOWER(W455&amp;""),CHAR(160),"")," ",""),".",""),"-",""),"/",""),"?",""),"_",""),",",""),"[",""),"]",""),"(",""),")",""),"*","")</f>
        <v/>
      </c>
      <c r="AZ455" s="61" t="str">
        <f aca="false">SUBSTITUTE(SUBSTITUTE(SUBSTITUTE(SUBSTITUTE(SUBSTITUTE(SUBSTITUTE(SUBSTITUTE(SUBSTITUTE(SUBSTITUTE(SUBSTITUTE(SUBSTITUTE(SUBSTITUTE(SUBSTITUTE(LOWER(AC455&amp;""),CHAR(160),"")," ",""),".",""),"-",""),"/",""),"?",""),"_",""),",",""),"[",""),"]",""),"(",""),")",""),"*","")</f>
        <v/>
      </c>
      <c r="BA455" s="61" t="str">
        <f aca="false">SUBSTITUTE(SUBSTITUTE(SUBSTITUTE(SUBSTITUTE(SUBSTITUTE(SUBSTITUTE(SUBSTITUTE(SUBSTITUTE(SUBSTITUTE(SUBSTITUTE(SUBSTITUTE(SUBSTITUTE(SUBSTITUTE(LOWER(AA455&amp;""),CHAR(160),"")," ",""),".",""),"-",""),"/",""),"?",""),"_",""),",",""),"[",""),"]",""),"(",""),")",""),"*","")</f>
        <v/>
      </c>
      <c r="BB455" s="61" t="str">
        <f aca="false">IF(AND(TRIM(U455)="Pass",ISNUMBER(AF455)),IF(AF455&lt;&gt;0,"INVALID – qty variance: use Fail or Pass after CA",""),"")&amp;IF(AND(TRIM(U455)="Pass after CA",ISNUMBER(AF455)),IF(AF455&lt;&gt;0,"INVALID – after the corrective action the actual qty must equal expected (update Actual)",""),"")&amp;IF(AND(TRIM(U455)="Pass",TRIM(AB455)&lt;&gt;"",TRIM(AB455)&lt;&gt;"Closed"),"INVALID – corrective action not closed: use Fail, then Pass after CA","")&amp;IF(AND(TRIM(AA455)&lt;&gt;"",TRIM(AB455)=""),"INVALID – CA status missing for the recorded corrective action","")&amp;IF(AND(TRIM(U455)="Pass after CA",OR(OR(LEN(BA455)&lt;5,ISNUMBER(MATCH(BA455,L_Placeholder,0))),TRIM(AB455)&lt;&gt;"Closed")),"INVALID – corrective action not recorded/closed","")</f>
        <v/>
      </c>
    </row>
    <row r="456" customFormat="false" ht="39.75" hidden="false" customHeight="true" outlineLevel="0" collapsed="false">
      <c r="A456" s="57" t="s">
        <v>1081</v>
      </c>
      <c r="B456" s="57" t="s">
        <v>273</v>
      </c>
      <c r="C456" s="57" t="str">
        <f aca="false">Flights!$F$18</f>
        <v>MH0004</v>
      </c>
      <c r="D456" s="58" t="n">
        <f aca="false">Flights!$D$18</f>
        <v>46310</v>
      </c>
      <c r="E456" s="57" t="str">
        <f aca="false">Flights!$G$18&amp;"-"&amp;Flights!$H$18</f>
        <v>KUL-LHR</v>
      </c>
      <c r="F456" s="57" t="str">
        <f aca="false">Flights!$K$18</f>
        <v>EY</v>
      </c>
      <c r="G456" s="57" t="s">
        <v>79</v>
      </c>
      <c r="H456" s="57" t="s">
        <v>356</v>
      </c>
      <c r="I456" s="57" t="s">
        <v>357</v>
      </c>
      <c r="J456" s="57" t="s">
        <v>358</v>
      </c>
      <c r="K456" s="67" t="s">
        <v>359</v>
      </c>
      <c r="L456" s="67" t="s">
        <v>360</v>
      </c>
      <c r="M456" s="67"/>
      <c r="N456" s="67" t="s">
        <v>361</v>
      </c>
      <c r="O456" s="67"/>
      <c r="P456" s="57" t="s">
        <v>184</v>
      </c>
      <c r="Q456" s="59" t="n">
        <f aca="false">ROUND((Flights!$AC$18)*1440,0)/1440</f>
        <v>46303.0763888889</v>
      </c>
      <c r="R456" s="59" t="n">
        <f aca="false">Q456+(IF(AND(INDEX(TZ_DSTS,MATCH(P456,TZ_STN,0))&lt;&gt;"",Q456&gt;=INDEX(TZ_DSTS,MATCH(P456,TZ_STN,0)),Q456&lt;INDEX(TZ_DSTE,MATCH(P456,TZ_STN,0))),INDEX(TZ_DST,MATCH(P456,TZ_STN,0)),INDEX(TZ_STD,MATCH(P456,TZ_STN,0))))/24</f>
        <v>46303.4097222222</v>
      </c>
      <c r="S456" s="59" t="n">
        <f aca="false">Q456-T7EarlyD*24/24</f>
        <v>46289.0763888889</v>
      </c>
      <c r="T456" s="60"/>
      <c r="U456" s="60"/>
      <c r="V456" s="60"/>
      <c r="W456" s="61"/>
      <c r="X456" s="60"/>
      <c r="Y456" s="60"/>
      <c r="Z456" s="60"/>
      <c r="AA456" s="60"/>
      <c r="AB456" s="60"/>
      <c r="AC456" s="60"/>
      <c r="AD456" s="66"/>
      <c r="AE456" s="60"/>
      <c r="AF456" s="61" t="str">
        <f aca="false">IF(AND(ISNUMBER(X456),ISNUMBER(Y456)),Y456-X456,"")</f>
        <v/>
      </c>
      <c r="AG456" s="62" t="str">
        <f aca="false">IF(ISNUMBER(AD456),AD456-(IF(AND(INDEX(TZ_DSTS,MATCH(P456,TZ_STN,0))&lt;&gt;"",(AD456-INDEX(TZ_STD,MATCH(P456,TZ_STN,0))/24)&gt;=INDEX(TZ_DSTS,MATCH(P456,TZ_STN,0)),(AD456-INDEX(TZ_STD,MATCH(P456,TZ_STN,0))/24)&lt;INDEX(TZ_DSTE,MATCH(P456,TZ_STN,0))),INDEX(TZ_DST,MATCH(P456,TZ_STN,0)),INDEX(TZ_STD,MATCH(P456,TZ_STN,0))))/24,"")</f>
        <v/>
      </c>
      <c r="AH456" s="65" t="str">
        <f aca="false">IFERROR(IF(N456="N/A – rule","N/A – RULE",IF(TRIM(U456)="N/A",IF(AT456=0,"INVALID – N/A not permitted for this check",IF(AND(TRIM(AB456)&lt;&gt;"",TRIM(AB456)&lt;&gt;"Closed"),"INVALID – corrective action still open",IF(AND(NOT(OR(LEN(AZ456)&lt;15,ISNUMBER(MATCH(AZ456,L_Placeholder,0)))),NOT(OR(LEN(AU456)&lt;2,ISNUMBER(MATCH(AU456,L_Placeholder,0)))),NOT(OR(LEN(AX456)&lt;2,ISNUMBER(MATCH(AX456,L_Placeholder,0)))),TRIM(AE456)&lt;&gt;TRIM(T456)),"N/A – JUSTIFIED","INVALID – N/A needs a real justification (15+ chars), PIC and a different verifier"))),IF(OR(TRIM(U456)="Pass",TRIM(U456)="Pass after CA"),IF(NOT(ISNUMBER(AD456)),"INVALID – completion time missing",IF(OR(LEN(AU456)&lt;2,ISNUMBER(MATCH(AU456,L_Placeholder,0))),"INVALID – PIC missing",IF(OR(LEN(AV456)&lt;2,ISNUMBER(MATCH(AV456,L_Placeholder,0))),"INVALID – result / assessment missing",IF(OR(OR(LEN(AW456)&lt;3,ISNUMBER(MATCH(AW456,L_Placeholder,0))),SUMPRODUCT(--ISNUMBER(SEARCH(L_EvidencePhrase,AW456)))&gt;0),"INVALID – evidence missing, placeholder or not yet on file",IF(OR(LEN(AX456)&lt;2,ISNUMBER(MATCH(AX456,L_Placeholder,0))),"INVALID – verifier missing",IF(AX456=AU456,"INVALID – verifier must be someone other than the PIC",IF(AND(TRIM(U456)="Pass",SUMPRODUCT(--ISNUMBER(SEARCH(L_ResultBad,AV456)))&gt;0),"INVALID – result describes a problem: use Fail, then Pass after CA",IF(AND(AQ456=1,OR(LEN(AY456)&lt;3,ISNUMBER(MATCH(AY456,L_Placeholder,0)))),"INVALID – batch ID missing or placeholder",IF(AND(AR456=1,OR(NOT(ISNUMBER(X456)),NOT(ISNUMBER(Y456)))),"INVALID – expected/actual qty missing",IF(AND(AR456=1,OR(X456&lt;=0,Y456&lt;0)),"INVALID – expected qty must be above 0 and actual not negative",IF(BB456&lt;&gt;"",BB456,IF(AND(AS456=1,Documents!$J$18&lt;&gt;"ON FILE"),"INVALID – GLD not on file (Documents sheet)",IF(AND(AS456=2,Documents!$O$18&lt;&gt;"ON FILE"),"INVALID – menu checklist not on file (Documents sheet)",IF(AND(AS456=3,NOT(ISNUMBER(Flights!$AX$18))),"INVALID – enter carrying flight KUL departure (Flights AX)",IF(AND(AS456=3,OR(Flights!$AZ$18&gt;Flights!$AA$18,Flights!$AX$18&lt;Flights!$AA$18-3)),"INVALID – carrying flight (Flights AX) cannot arrive before this leg's STD, or is over 3 days early",IF(AG456&gt;AsOfUTC,"INVALID – completion time is in the future",IF(AND(ISNUMBER(S456),AG456&lt;S456),IF(H456="Physical uplift","INVALID – before uplift window (cannot confirm loading)","INVALID – before valid window"),IF(AG456&gt;Flights!$AA$18,"INVALID – completed after departure (cannot establish readiness)",IF(AND(H456="Preparation",AG456&gt;IF(ISNUMBER(Flights!$BA$18),MIN(Flights!$BA$18,Flights!$AA$18),Flights!$AA$18)),"INVALID – completed after loading / departure (cannot establish readiness)",IF(AND(H456="Physical uplift",AG456&gt;Q456),"INVALID – recorded after the loading flight departed",IF(AG456&gt;Q456,"COMPLETE – LATE","COMPLETE"))))))))))))))))))))),IF(TRIM(U456)="Fail","FAIL – DISCREPANCY",IF(AND(TRIM(U456)&lt;&gt;"",TRIM(U456)&lt;&gt;"Not started",TRIM(U456)&lt;&gt;"In progress"),"INVALID – unrecognised status (use the list)",IF(AsOfUTC&gt;Q456,"OVERDUE",IF(N456="Clarification required","OPEN – CLARIFICATION","OPEN"))))))),"INVALID – error value in an input cell")</f>
        <v>OPEN</v>
      </c>
      <c r="AI456" s="61" t="n">
        <f aca="false">IF(OR(AH456="N/A – RULE",AH456="N/A – JUSTIFIED"),0,1)</f>
        <v>1</v>
      </c>
      <c r="AJ456" s="61" t="n">
        <f aca="false">IF(LEFT(AH456,8)="COMPLETE",1,0)</f>
        <v>0</v>
      </c>
      <c r="AK456" s="61" t="n">
        <f aca="false">IF(AND(AI456=1,AJ456=0,AsOfUTC&gt;Q456),1,0)</f>
        <v>0</v>
      </c>
      <c r="AL456" s="61" t="n">
        <f aca="false">IFERROR(IF(AND(AI456=1,OR(TRIM(U456)="Fail",AND(TRIM(AB456)&lt;&gt;"",TRIM(AB456)&lt;&gt;"Closed"),AND(ISNUMBER(AF456),AF456&lt;&gt;0,TRIM(U456)&lt;&gt;"Pass after CA"))),1,0),1)</f>
        <v>0</v>
      </c>
      <c r="AM456" s="61" t="n">
        <f aca="false">IF(LEFT(AH456,7)="INVALID",1,0)</f>
        <v>0</v>
      </c>
      <c r="AN456" s="61" t="n">
        <f aca="false">IF(AND(N456="Clarification required",AI456=1,AJ456=0),1,0)</f>
        <v>0</v>
      </c>
      <c r="AO456" s="61" t="str">
        <f aca="false">IF(AK456=1,SUM(AK$5:AK456),"")</f>
        <v/>
      </c>
      <c r="AP456" s="61" t="str">
        <f aca="false">IF(AL456=1,SUM(AL$5:AL456),"")</f>
        <v/>
      </c>
      <c r="AQ456" s="61" t="n">
        <v>0</v>
      </c>
      <c r="AR456" s="61" t="n">
        <v>0</v>
      </c>
      <c r="AS456" s="61" t="n">
        <v>0</v>
      </c>
      <c r="AT456" s="61" t="n">
        <v>0</v>
      </c>
      <c r="AU456" s="61" t="str">
        <f aca="false">SUBSTITUTE(SUBSTITUTE(SUBSTITUTE(SUBSTITUTE(SUBSTITUTE(SUBSTITUTE(SUBSTITUTE(SUBSTITUTE(SUBSTITUTE(SUBSTITUTE(SUBSTITUTE(SUBSTITUTE(SUBSTITUTE(LOWER(T456&amp;""),CHAR(160),"")," ",""),".",""),"-",""),"/",""),"?",""),"_",""),",",""),"[",""),"]",""),"(",""),")",""),"*","")</f>
        <v/>
      </c>
      <c r="AV456" s="61" t="str">
        <f aca="false">SUBSTITUTE(SUBSTITUTE(SUBSTITUTE(SUBSTITUTE(SUBSTITUTE(SUBSTITUTE(SUBSTITUTE(SUBSTITUTE(SUBSTITUTE(SUBSTITUTE(SUBSTITUTE(SUBSTITUTE(SUBSTITUTE(LOWER(V456&amp;""),CHAR(160),"")," ",""),".",""),"-",""),"/",""),"?",""),"_",""),",",""),"[",""),"]",""),"(",""),")",""),"*","")</f>
        <v/>
      </c>
      <c r="AW456" s="61" t="str">
        <f aca="false">SUBSTITUTE(SUBSTITUTE(SUBSTITUTE(SUBSTITUTE(SUBSTITUTE(SUBSTITUTE(SUBSTITUTE(SUBSTITUTE(SUBSTITUTE(SUBSTITUTE(SUBSTITUTE(SUBSTITUTE(SUBSTITUTE(LOWER(Z456&amp;""),CHAR(160),"")," ",""),".",""),"-",""),"/",""),"?",""),"_",""),",",""),"[",""),"]",""),"(",""),")",""),"*","")</f>
        <v/>
      </c>
      <c r="AX456" s="61" t="str">
        <f aca="false">SUBSTITUTE(SUBSTITUTE(SUBSTITUTE(SUBSTITUTE(SUBSTITUTE(SUBSTITUTE(SUBSTITUTE(SUBSTITUTE(SUBSTITUTE(SUBSTITUTE(SUBSTITUTE(SUBSTITUTE(SUBSTITUTE(LOWER(AE456&amp;""),CHAR(160),"")," ",""),".",""),"-",""),"/",""),"?",""),"_",""),",",""),"[",""),"]",""),"(",""),")",""),"*","")</f>
        <v/>
      </c>
      <c r="AY456" s="61" t="str">
        <f aca="false">SUBSTITUTE(SUBSTITUTE(SUBSTITUTE(SUBSTITUTE(SUBSTITUTE(SUBSTITUTE(SUBSTITUTE(SUBSTITUTE(SUBSTITUTE(SUBSTITUTE(SUBSTITUTE(SUBSTITUTE(SUBSTITUTE(LOWER(W456&amp;""),CHAR(160),"")," ",""),".",""),"-",""),"/",""),"?",""),"_",""),",",""),"[",""),"]",""),"(",""),")",""),"*","")</f>
        <v/>
      </c>
      <c r="AZ456" s="61" t="str">
        <f aca="false">SUBSTITUTE(SUBSTITUTE(SUBSTITUTE(SUBSTITUTE(SUBSTITUTE(SUBSTITUTE(SUBSTITUTE(SUBSTITUTE(SUBSTITUTE(SUBSTITUTE(SUBSTITUTE(SUBSTITUTE(SUBSTITUTE(LOWER(AC456&amp;""),CHAR(160),"")," ",""),".",""),"-",""),"/",""),"?",""),"_",""),",",""),"[",""),"]",""),"(",""),")",""),"*","")</f>
        <v/>
      </c>
      <c r="BA456" s="61" t="str">
        <f aca="false">SUBSTITUTE(SUBSTITUTE(SUBSTITUTE(SUBSTITUTE(SUBSTITUTE(SUBSTITUTE(SUBSTITUTE(SUBSTITUTE(SUBSTITUTE(SUBSTITUTE(SUBSTITUTE(SUBSTITUTE(SUBSTITUTE(LOWER(AA456&amp;""),CHAR(160),"")," ",""),".",""),"-",""),"/",""),"?",""),"_",""),",",""),"[",""),"]",""),"(",""),")",""),"*","")</f>
        <v/>
      </c>
      <c r="BB456" s="61" t="str">
        <f aca="false">IF(AND(TRIM(U456)="Pass",ISNUMBER(AF456)),IF(AF456&lt;&gt;0,"INVALID – qty variance: use Fail or Pass after CA",""),"")&amp;IF(AND(TRIM(U456)="Pass after CA",ISNUMBER(AF456)),IF(AF456&lt;&gt;0,"INVALID – after the corrective action the actual qty must equal expected (update Actual)",""),"")&amp;IF(AND(TRIM(U456)="Pass",TRIM(AB456)&lt;&gt;"",TRIM(AB456)&lt;&gt;"Closed"),"INVALID – corrective action not closed: use Fail, then Pass after CA","")&amp;IF(AND(TRIM(AA456)&lt;&gt;"",TRIM(AB456)=""),"INVALID – CA status missing for the recorded corrective action","")&amp;IF(AND(TRIM(U456)="Pass after CA",OR(OR(LEN(BA456)&lt;5,ISNUMBER(MATCH(BA456,L_Placeholder,0))),TRIM(AB456)&lt;&gt;"Closed")),"INVALID – corrective action not recorded/closed","")</f>
        <v/>
      </c>
    </row>
    <row r="457" customFormat="false" ht="39.75" hidden="false" customHeight="true" outlineLevel="0" collapsed="false">
      <c r="A457" s="57" t="s">
        <v>1082</v>
      </c>
      <c r="B457" s="57" t="s">
        <v>273</v>
      </c>
      <c r="C457" s="57" t="str">
        <f aca="false">Flights!$F$18</f>
        <v>MH0004</v>
      </c>
      <c r="D457" s="58" t="n">
        <f aca="false">Flights!$D$18</f>
        <v>46310</v>
      </c>
      <c r="E457" s="57" t="str">
        <f aca="false">Flights!$G$18&amp;"-"&amp;Flights!$H$18</f>
        <v>KUL-LHR</v>
      </c>
      <c r="F457" s="57" t="str">
        <f aca="false">Flights!$K$18</f>
        <v>EY</v>
      </c>
      <c r="G457" s="57" t="s">
        <v>79</v>
      </c>
      <c r="H457" s="57" t="s">
        <v>356</v>
      </c>
      <c r="I457" s="57" t="s">
        <v>363</v>
      </c>
      <c r="J457" s="57" t="s">
        <v>364</v>
      </c>
      <c r="K457" s="67" t="s">
        <v>365</v>
      </c>
      <c r="L457" s="67" t="s">
        <v>360</v>
      </c>
      <c r="M457" s="67"/>
      <c r="N457" s="67" t="s">
        <v>361</v>
      </c>
      <c r="O457" s="67"/>
      <c r="P457" s="57" t="s">
        <v>184</v>
      </c>
      <c r="Q457" s="59" t="n">
        <f aca="false">ROUND((Flights!$AC$18)*1440,0)/1440</f>
        <v>46303.0763888889</v>
      </c>
      <c r="R457" s="59" t="n">
        <f aca="false">Q457+(IF(AND(INDEX(TZ_DSTS,MATCH(P457,TZ_STN,0))&lt;&gt;"",Q457&gt;=INDEX(TZ_DSTS,MATCH(P457,TZ_STN,0)),Q457&lt;INDEX(TZ_DSTE,MATCH(P457,TZ_STN,0))),INDEX(TZ_DST,MATCH(P457,TZ_STN,0)),INDEX(TZ_STD,MATCH(P457,TZ_STN,0))))/24</f>
        <v>46303.4097222222</v>
      </c>
      <c r="S457" s="59" t="n">
        <f aca="false">Q457-T7EarlyD*24/24</f>
        <v>46289.0763888889</v>
      </c>
      <c r="T457" s="60"/>
      <c r="U457" s="60"/>
      <c r="V457" s="60"/>
      <c r="W457" s="61"/>
      <c r="X457" s="60"/>
      <c r="Y457" s="60"/>
      <c r="Z457" s="60"/>
      <c r="AA457" s="60"/>
      <c r="AB457" s="60"/>
      <c r="AC457" s="60"/>
      <c r="AD457" s="66"/>
      <c r="AE457" s="60"/>
      <c r="AF457" s="61" t="str">
        <f aca="false">IF(AND(ISNUMBER(X457),ISNUMBER(Y457)),Y457-X457,"")</f>
        <v/>
      </c>
      <c r="AG457" s="62" t="str">
        <f aca="false">IF(ISNUMBER(AD457),AD457-(IF(AND(INDEX(TZ_DSTS,MATCH(P457,TZ_STN,0))&lt;&gt;"",(AD457-INDEX(TZ_STD,MATCH(P457,TZ_STN,0))/24)&gt;=INDEX(TZ_DSTS,MATCH(P457,TZ_STN,0)),(AD457-INDEX(TZ_STD,MATCH(P457,TZ_STN,0))/24)&lt;INDEX(TZ_DSTE,MATCH(P457,TZ_STN,0))),INDEX(TZ_DST,MATCH(P457,TZ_STN,0)),INDEX(TZ_STD,MATCH(P457,TZ_STN,0))))/24,"")</f>
        <v/>
      </c>
      <c r="AH457" s="65" t="str">
        <f aca="false">IFERROR(IF(N457="N/A – rule","N/A – RULE",IF(TRIM(U457)="N/A",IF(AT457=0,"INVALID – N/A not permitted for this check",IF(AND(TRIM(AB457)&lt;&gt;"",TRIM(AB457)&lt;&gt;"Closed"),"INVALID – corrective action still open",IF(AND(NOT(OR(LEN(AZ457)&lt;15,ISNUMBER(MATCH(AZ457,L_Placeholder,0)))),NOT(OR(LEN(AU457)&lt;2,ISNUMBER(MATCH(AU457,L_Placeholder,0)))),NOT(OR(LEN(AX457)&lt;2,ISNUMBER(MATCH(AX457,L_Placeholder,0)))),TRIM(AE457)&lt;&gt;TRIM(T457)),"N/A – JUSTIFIED","INVALID – N/A needs a real justification (15+ chars), PIC and a different verifier"))),IF(OR(TRIM(U457)="Pass",TRIM(U457)="Pass after CA"),IF(NOT(ISNUMBER(AD457)),"INVALID – completion time missing",IF(OR(LEN(AU457)&lt;2,ISNUMBER(MATCH(AU457,L_Placeholder,0))),"INVALID – PIC missing",IF(OR(LEN(AV457)&lt;2,ISNUMBER(MATCH(AV457,L_Placeholder,0))),"INVALID – result / assessment missing",IF(OR(OR(LEN(AW457)&lt;3,ISNUMBER(MATCH(AW457,L_Placeholder,0))),SUMPRODUCT(--ISNUMBER(SEARCH(L_EvidencePhrase,AW457)))&gt;0),"INVALID – evidence missing, placeholder or not yet on file",IF(OR(LEN(AX457)&lt;2,ISNUMBER(MATCH(AX457,L_Placeholder,0))),"INVALID – verifier missing",IF(AX457=AU457,"INVALID – verifier must be someone other than the PIC",IF(AND(TRIM(U457)="Pass",SUMPRODUCT(--ISNUMBER(SEARCH(L_ResultBad,AV457)))&gt;0),"INVALID – result describes a problem: use Fail, then Pass after CA",IF(AND(AQ457=1,OR(LEN(AY457)&lt;3,ISNUMBER(MATCH(AY457,L_Placeholder,0)))),"INVALID – batch ID missing or placeholder",IF(AND(AR457=1,OR(NOT(ISNUMBER(X457)),NOT(ISNUMBER(Y457)))),"INVALID – expected/actual qty missing",IF(AND(AR457=1,OR(X457&lt;=0,Y457&lt;0)),"INVALID – expected qty must be above 0 and actual not negative",IF(BB457&lt;&gt;"",BB457,IF(AND(AS457=1,Documents!$J$18&lt;&gt;"ON FILE"),"INVALID – GLD not on file (Documents sheet)",IF(AND(AS457=2,Documents!$O$18&lt;&gt;"ON FILE"),"INVALID – menu checklist not on file (Documents sheet)",IF(AND(AS457=3,NOT(ISNUMBER(Flights!$AX$18))),"INVALID – enter carrying flight KUL departure (Flights AX)",IF(AND(AS457=3,OR(Flights!$AZ$18&gt;Flights!$AA$18,Flights!$AX$18&lt;Flights!$AA$18-3)),"INVALID – carrying flight (Flights AX) cannot arrive before this leg's STD, or is over 3 days early",IF(AG457&gt;AsOfUTC,"INVALID – completion time is in the future",IF(AND(ISNUMBER(S457),AG457&lt;S457),IF(H457="Physical uplift","INVALID – before uplift window (cannot confirm loading)","INVALID – before valid window"),IF(AG457&gt;Flights!$AA$18,"INVALID – completed after departure (cannot establish readiness)",IF(AND(H457="Preparation",AG457&gt;IF(ISNUMBER(Flights!$BA$18),MIN(Flights!$BA$18,Flights!$AA$18),Flights!$AA$18)),"INVALID – completed after loading / departure (cannot establish readiness)",IF(AND(H457="Physical uplift",AG457&gt;Q457),"INVALID – recorded after the loading flight departed",IF(AG457&gt;Q457,"COMPLETE – LATE","COMPLETE"))))))))))))))))))))),IF(TRIM(U457)="Fail","FAIL – DISCREPANCY",IF(AND(TRIM(U457)&lt;&gt;"",TRIM(U457)&lt;&gt;"Not started",TRIM(U457)&lt;&gt;"In progress"),"INVALID – unrecognised status (use the list)",IF(AsOfUTC&gt;Q457,"OVERDUE",IF(N457="Clarification required","OPEN – CLARIFICATION","OPEN"))))))),"INVALID – error value in an input cell")</f>
        <v>OPEN</v>
      </c>
      <c r="AI457" s="61" t="n">
        <f aca="false">IF(OR(AH457="N/A – RULE",AH457="N/A – JUSTIFIED"),0,1)</f>
        <v>1</v>
      </c>
      <c r="AJ457" s="61" t="n">
        <f aca="false">IF(LEFT(AH457,8)="COMPLETE",1,0)</f>
        <v>0</v>
      </c>
      <c r="AK457" s="61" t="n">
        <f aca="false">IF(AND(AI457=1,AJ457=0,AsOfUTC&gt;Q457),1,0)</f>
        <v>0</v>
      </c>
      <c r="AL457" s="61" t="n">
        <f aca="false">IFERROR(IF(AND(AI457=1,OR(TRIM(U457)="Fail",AND(TRIM(AB457)&lt;&gt;"",TRIM(AB457)&lt;&gt;"Closed"),AND(ISNUMBER(AF457),AF457&lt;&gt;0,TRIM(U457)&lt;&gt;"Pass after CA"))),1,0),1)</f>
        <v>0</v>
      </c>
      <c r="AM457" s="61" t="n">
        <f aca="false">IF(LEFT(AH457,7)="INVALID",1,0)</f>
        <v>0</v>
      </c>
      <c r="AN457" s="61" t="n">
        <f aca="false">IF(AND(N457="Clarification required",AI457=1,AJ457=0),1,0)</f>
        <v>0</v>
      </c>
      <c r="AO457" s="61" t="str">
        <f aca="false">IF(AK457=1,SUM(AK$5:AK457),"")</f>
        <v/>
      </c>
      <c r="AP457" s="61" t="str">
        <f aca="false">IF(AL457=1,SUM(AL$5:AL457),"")</f>
        <v/>
      </c>
      <c r="AQ457" s="61" t="n">
        <v>0</v>
      </c>
      <c r="AR457" s="61" t="n">
        <v>0</v>
      </c>
      <c r="AS457" s="61" t="n">
        <v>0</v>
      </c>
      <c r="AT457" s="61" t="n">
        <v>0</v>
      </c>
      <c r="AU457" s="61" t="str">
        <f aca="false">SUBSTITUTE(SUBSTITUTE(SUBSTITUTE(SUBSTITUTE(SUBSTITUTE(SUBSTITUTE(SUBSTITUTE(SUBSTITUTE(SUBSTITUTE(SUBSTITUTE(SUBSTITUTE(SUBSTITUTE(SUBSTITUTE(LOWER(T457&amp;""),CHAR(160),"")," ",""),".",""),"-",""),"/",""),"?",""),"_",""),",",""),"[",""),"]",""),"(",""),")",""),"*","")</f>
        <v/>
      </c>
      <c r="AV457" s="61" t="str">
        <f aca="false">SUBSTITUTE(SUBSTITUTE(SUBSTITUTE(SUBSTITUTE(SUBSTITUTE(SUBSTITUTE(SUBSTITUTE(SUBSTITUTE(SUBSTITUTE(SUBSTITUTE(SUBSTITUTE(SUBSTITUTE(SUBSTITUTE(LOWER(V457&amp;""),CHAR(160),"")," ",""),".",""),"-",""),"/",""),"?",""),"_",""),",",""),"[",""),"]",""),"(",""),")",""),"*","")</f>
        <v/>
      </c>
      <c r="AW457" s="61" t="str">
        <f aca="false">SUBSTITUTE(SUBSTITUTE(SUBSTITUTE(SUBSTITUTE(SUBSTITUTE(SUBSTITUTE(SUBSTITUTE(SUBSTITUTE(SUBSTITUTE(SUBSTITUTE(SUBSTITUTE(SUBSTITUTE(SUBSTITUTE(LOWER(Z457&amp;""),CHAR(160),"")," ",""),".",""),"-",""),"/",""),"?",""),"_",""),",",""),"[",""),"]",""),"(",""),")",""),"*","")</f>
        <v/>
      </c>
      <c r="AX457" s="61" t="str">
        <f aca="false">SUBSTITUTE(SUBSTITUTE(SUBSTITUTE(SUBSTITUTE(SUBSTITUTE(SUBSTITUTE(SUBSTITUTE(SUBSTITUTE(SUBSTITUTE(SUBSTITUTE(SUBSTITUTE(SUBSTITUTE(SUBSTITUTE(LOWER(AE457&amp;""),CHAR(160),"")," ",""),".",""),"-",""),"/",""),"?",""),"_",""),",",""),"[",""),"]",""),"(",""),")",""),"*","")</f>
        <v/>
      </c>
      <c r="AY457" s="61" t="str">
        <f aca="false">SUBSTITUTE(SUBSTITUTE(SUBSTITUTE(SUBSTITUTE(SUBSTITUTE(SUBSTITUTE(SUBSTITUTE(SUBSTITUTE(SUBSTITUTE(SUBSTITUTE(SUBSTITUTE(SUBSTITUTE(SUBSTITUTE(LOWER(W457&amp;""),CHAR(160),"")," ",""),".",""),"-",""),"/",""),"?",""),"_",""),",",""),"[",""),"]",""),"(",""),")",""),"*","")</f>
        <v/>
      </c>
      <c r="AZ457" s="61" t="str">
        <f aca="false">SUBSTITUTE(SUBSTITUTE(SUBSTITUTE(SUBSTITUTE(SUBSTITUTE(SUBSTITUTE(SUBSTITUTE(SUBSTITUTE(SUBSTITUTE(SUBSTITUTE(SUBSTITUTE(SUBSTITUTE(SUBSTITUTE(LOWER(AC457&amp;""),CHAR(160),"")," ",""),".",""),"-",""),"/",""),"?",""),"_",""),",",""),"[",""),"]",""),"(",""),")",""),"*","")</f>
        <v/>
      </c>
      <c r="BA457" s="61" t="str">
        <f aca="false">SUBSTITUTE(SUBSTITUTE(SUBSTITUTE(SUBSTITUTE(SUBSTITUTE(SUBSTITUTE(SUBSTITUTE(SUBSTITUTE(SUBSTITUTE(SUBSTITUTE(SUBSTITUTE(SUBSTITUTE(SUBSTITUTE(LOWER(AA457&amp;""),CHAR(160),"")," ",""),".",""),"-",""),"/",""),"?",""),"_",""),",",""),"[",""),"]",""),"(",""),")",""),"*","")</f>
        <v/>
      </c>
      <c r="BB457" s="61" t="str">
        <f aca="false">IF(AND(TRIM(U457)="Pass",ISNUMBER(AF457)),IF(AF457&lt;&gt;0,"INVALID – qty variance: use Fail or Pass after CA",""),"")&amp;IF(AND(TRIM(U457)="Pass after CA",ISNUMBER(AF457)),IF(AF457&lt;&gt;0,"INVALID – after the corrective action the actual qty must equal expected (update Actual)",""),"")&amp;IF(AND(TRIM(U457)="Pass",TRIM(AB457)&lt;&gt;"",TRIM(AB457)&lt;&gt;"Closed"),"INVALID – corrective action not closed: use Fail, then Pass after CA","")&amp;IF(AND(TRIM(AA457)&lt;&gt;"",TRIM(AB457)=""),"INVALID – CA status missing for the recorded corrective action","")&amp;IF(AND(TRIM(U457)="Pass after CA",OR(OR(LEN(BA457)&lt;5,ISNUMBER(MATCH(BA457,L_Placeholder,0))),TRIM(AB457)&lt;&gt;"Closed")),"INVALID – corrective action not recorded/closed","")</f>
        <v/>
      </c>
    </row>
    <row r="458" customFormat="false" ht="41.25" hidden="false" customHeight="true" outlineLevel="0" collapsed="false">
      <c r="A458" s="57" t="s">
        <v>1083</v>
      </c>
      <c r="B458" s="57" t="s">
        <v>273</v>
      </c>
      <c r="C458" s="57" t="str">
        <f aca="false">Flights!$F$18</f>
        <v>MH0004</v>
      </c>
      <c r="D458" s="58" t="n">
        <f aca="false">Flights!$D$18</f>
        <v>46310</v>
      </c>
      <c r="E458" s="57" t="str">
        <f aca="false">Flights!$G$18&amp;"-"&amp;Flights!$H$18</f>
        <v>KUL-LHR</v>
      </c>
      <c r="F458" s="57" t="str">
        <f aca="false">Flights!$K$18</f>
        <v>EY</v>
      </c>
      <c r="G458" s="57" t="s">
        <v>79</v>
      </c>
      <c r="H458" s="57" t="s">
        <v>356</v>
      </c>
      <c r="I458" s="57" t="s">
        <v>367</v>
      </c>
      <c r="J458" s="57" t="s">
        <v>368</v>
      </c>
      <c r="K458" s="67" t="s">
        <v>369</v>
      </c>
      <c r="L458" s="67" t="s">
        <v>360</v>
      </c>
      <c r="M458" s="67"/>
      <c r="N458" s="67" t="str">
        <f aca="false">IF(TRIM(Flights!$L$18)="A339","Required","N/A – rule")</f>
        <v>N/A – rule</v>
      </c>
      <c r="O458" s="67" t="s">
        <v>370</v>
      </c>
      <c r="P458" s="57" t="s">
        <v>184</v>
      </c>
      <c r="Q458" s="59" t="n">
        <f aca="false">ROUND((Flights!$AC$18)*1440,0)/1440</f>
        <v>46303.0763888889</v>
      </c>
      <c r="R458" s="59" t="n">
        <f aca="false">Q458+(IF(AND(INDEX(TZ_DSTS,MATCH(P458,TZ_STN,0))&lt;&gt;"",Q458&gt;=INDEX(TZ_DSTS,MATCH(P458,TZ_STN,0)),Q458&lt;INDEX(TZ_DSTE,MATCH(P458,TZ_STN,0))),INDEX(TZ_DST,MATCH(P458,TZ_STN,0)),INDEX(TZ_STD,MATCH(P458,TZ_STN,0))))/24</f>
        <v>46303.4097222222</v>
      </c>
      <c r="S458" s="59" t="n">
        <f aca="false">Q458-T7EarlyD*24/24</f>
        <v>46289.0763888889</v>
      </c>
      <c r="T458" s="60"/>
      <c r="U458" s="60"/>
      <c r="V458" s="60"/>
      <c r="W458" s="61"/>
      <c r="X458" s="60"/>
      <c r="Y458" s="60"/>
      <c r="Z458" s="60"/>
      <c r="AA458" s="60"/>
      <c r="AB458" s="60"/>
      <c r="AC458" s="60"/>
      <c r="AD458" s="66"/>
      <c r="AE458" s="60"/>
      <c r="AF458" s="61" t="str">
        <f aca="false">IF(AND(ISNUMBER(X458),ISNUMBER(Y458)),Y458-X458,"")</f>
        <v/>
      </c>
      <c r="AG458" s="62" t="str">
        <f aca="false">IF(ISNUMBER(AD458),AD458-(IF(AND(INDEX(TZ_DSTS,MATCH(P458,TZ_STN,0))&lt;&gt;"",(AD458-INDEX(TZ_STD,MATCH(P458,TZ_STN,0))/24)&gt;=INDEX(TZ_DSTS,MATCH(P458,TZ_STN,0)),(AD458-INDEX(TZ_STD,MATCH(P458,TZ_STN,0))/24)&lt;INDEX(TZ_DSTE,MATCH(P458,TZ_STN,0))),INDEX(TZ_DST,MATCH(P458,TZ_STN,0)),INDEX(TZ_STD,MATCH(P458,TZ_STN,0))))/24,"")</f>
        <v/>
      </c>
      <c r="AH458" s="65" t="str">
        <f aca="false">IFERROR(IF(N458="N/A – rule","N/A – RULE",IF(TRIM(U458)="N/A",IF(AT458=0,"INVALID – N/A not permitted for this check",IF(AND(TRIM(AB458)&lt;&gt;"",TRIM(AB458)&lt;&gt;"Closed"),"INVALID – corrective action still open",IF(AND(NOT(OR(LEN(AZ458)&lt;15,ISNUMBER(MATCH(AZ458,L_Placeholder,0)))),NOT(OR(LEN(AU458)&lt;2,ISNUMBER(MATCH(AU458,L_Placeholder,0)))),NOT(OR(LEN(AX458)&lt;2,ISNUMBER(MATCH(AX458,L_Placeholder,0)))),TRIM(AE458)&lt;&gt;TRIM(T458)),"N/A – JUSTIFIED","INVALID – N/A needs a real justification (15+ chars), PIC and a different verifier"))),IF(OR(TRIM(U458)="Pass",TRIM(U458)="Pass after CA"),IF(NOT(ISNUMBER(AD458)),"INVALID – completion time missing",IF(OR(LEN(AU458)&lt;2,ISNUMBER(MATCH(AU458,L_Placeholder,0))),"INVALID – PIC missing",IF(OR(LEN(AV458)&lt;2,ISNUMBER(MATCH(AV458,L_Placeholder,0))),"INVALID – result / assessment missing",IF(OR(OR(LEN(AW458)&lt;3,ISNUMBER(MATCH(AW458,L_Placeholder,0))),SUMPRODUCT(--ISNUMBER(SEARCH(L_EvidencePhrase,AW458)))&gt;0),"INVALID – evidence missing, placeholder or not yet on file",IF(OR(LEN(AX458)&lt;2,ISNUMBER(MATCH(AX458,L_Placeholder,0))),"INVALID – verifier missing",IF(AX458=AU458,"INVALID – verifier must be someone other than the PIC",IF(AND(TRIM(U458)="Pass",SUMPRODUCT(--ISNUMBER(SEARCH(L_ResultBad,AV458)))&gt;0),"INVALID – result describes a problem: use Fail, then Pass after CA",IF(AND(AQ458=1,OR(LEN(AY458)&lt;3,ISNUMBER(MATCH(AY458,L_Placeholder,0)))),"INVALID – batch ID missing or placeholder",IF(AND(AR458=1,OR(NOT(ISNUMBER(X458)),NOT(ISNUMBER(Y458)))),"INVALID – expected/actual qty missing",IF(AND(AR458=1,OR(X458&lt;=0,Y458&lt;0)),"INVALID – expected qty must be above 0 and actual not negative",IF(BB458&lt;&gt;"",BB458,IF(AND(AS458=1,Documents!$J$18&lt;&gt;"ON FILE"),"INVALID – GLD not on file (Documents sheet)",IF(AND(AS458=2,Documents!$O$18&lt;&gt;"ON FILE"),"INVALID – menu checklist not on file (Documents sheet)",IF(AND(AS458=3,NOT(ISNUMBER(Flights!$AX$18))),"INVALID – enter carrying flight KUL departure (Flights AX)",IF(AND(AS458=3,OR(Flights!$AZ$18&gt;Flights!$AA$18,Flights!$AX$18&lt;Flights!$AA$18-3)),"INVALID – carrying flight (Flights AX) cannot arrive before this leg's STD, or is over 3 days early",IF(AG458&gt;AsOfUTC,"INVALID – completion time is in the future",IF(AND(ISNUMBER(S458),AG458&lt;S458),IF(H458="Physical uplift","INVALID – before uplift window (cannot confirm loading)","INVALID – before valid window"),IF(AG458&gt;Flights!$AA$18,"INVALID – completed after departure (cannot establish readiness)",IF(AND(H458="Preparation",AG458&gt;IF(ISNUMBER(Flights!$BA$18),MIN(Flights!$BA$18,Flights!$AA$18),Flights!$AA$18)),"INVALID – completed after loading / departure (cannot establish readiness)",IF(AND(H458="Physical uplift",AG458&gt;Q458),"INVALID – recorded after the loading flight departed",IF(AG458&gt;Q458,"COMPLETE – LATE","COMPLETE"))))))))))))))))))))),IF(TRIM(U458)="Fail","FAIL – DISCREPANCY",IF(AND(TRIM(U458)&lt;&gt;"",TRIM(U458)&lt;&gt;"Not started",TRIM(U458)&lt;&gt;"In progress"),"INVALID – unrecognised status (use the list)",IF(AsOfUTC&gt;Q458,"OVERDUE",IF(N458="Clarification required","OPEN – CLARIFICATION","OPEN"))))))),"INVALID – error value in an input cell")</f>
        <v>N/A – RULE</v>
      </c>
      <c r="AI458" s="61" t="n">
        <f aca="false">IF(OR(AH458="N/A – RULE",AH458="N/A – JUSTIFIED"),0,1)</f>
        <v>0</v>
      </c>
      <c r="AJ458" s="61" t="n">
        <f aca="false">IF(LEFT(AH458,8)="COMPLETE",1,0)</f>
        <v>0</v>
      </c>
      <c r="AK458" s="61" t="n">
        <f aca="false">IF(AND(AI458=1,AJ458=0,AsOfUTC&gt;Q458),1,0)</f>
        <v>0</v>
      </c>
      <c r="AL458" s="61" t="n">
        <f aca="false">IFERROR(IF(AND(AI458=1,OR(TRIM(U458)="Fail",AND(TRIM(AB458)&lt;&gt;"",TRIM(AB458)&lt;&gt;"Closed"),AND(ISNUMBER(AF458),AF458&lt;&gt;0,TRIM(U458)&lt;&gt;"Pass after CA"))),1,0),1)</f>
        <v>0</v>
      </c>
      <c r="AM458" s="61" t="n">
        <f aca="false">IF(LEFT(AH458,7)="INVALID",1,0)</f>
        <v>0</v>
      </c>
      <c r="AN458" s="61" t="n">
        <f aca="false">IF(AND(N458="Clarification required",AI458=1,AJ458=0),1,0)</f>
        <v>0</v>
      </c>
      <c r="AO458" s="61" t="str">
        <f aca="false">IF(AK458=1,SUM(AK$5:AK458),"")</f>
        <v/>
      </c>
      <c r="AP458" s="61" t="str">
        <f aca="false">IF(AL458=1,SUM(AL$5:AL458),"")</f>
        <v/>
      </c>
      <c r="AQ458" s="61" t="n">
        <v>0</v>
      </c>
      <c r="AR458" s="61" t="n">
        <v>0</v>
      </c>
      <c r="AS458" s="61" t="n">
        <v>0</v>
      </c>
      <c r="AT458" s="61" t="n">
        <v>0</v>
      </c>
      <c r="AU458" s="61" t="str">
        <f aca="false">SUBSTITUTE(SUBSTITUTE(SUBSTITUTE(SUBSTITUTE(SUBSTITUTE(SUBSTITUTE(SUBSTITUTE(SUBSTITUTE(SUBSTITUTE(SUBSTITUTE(SUBSTITUTE(SUBSTITUTE(SUBSTITUTE(LOWER(T458&amp;""),CHAR(160),"")," ",""),".",""),"-",""),"/",""),"?",""),"_",""),",",""),"[",""),"]",""),"(",""),")",""),"*","")</f>
        <v/>
      </c>
      <c r="AV458" s="61" t="str">
        <f aca="false">SUBSTITUTE(SUBSTITUTE(SUBSTITUTE(SUBSTITUTE(SUBSTITUTE(SUBSTITUTE(SUBSTITUTE(SUBSTITUTE(SUBSTITUTE(SUBSTITUTE(SUBSTITUTE(SUBSTITUTE(SUBSTITUTE(LOWER(V458&amp;""),CHAR(160),"")," ",""),".",""),"-",""),"/",""),"?",""),"_",""),",",""),"[",""),"]",""),"(",""),")",""),"*","")</f>
        <v/>
      </c>
      <c r="AW458" s="61" t="str">
        <f aca="false">SUBSTITUTE(SUBSTITUTE(SUBSTITUTE(SUBSTITUTE(SUBSTITUTE(SUBSTITUTE(SUBSTITUTE(SUBSTITUTE(SUBSTITUTE(SUBSTITUTE(SUBSTITUTE(SUBSTITUTE(SUBSTITUTE(LOWER(Z458&amp;""),CHAR(160),"")," ",""),".",""),"-",""),"/",""),"?",""),"_",""),",",""),"[",""),"]",""),"(",""),")",""),"*","")</f>
        <v/>
      </c>
      <c r="AX458" s="61" t="str">
        <f aca="false">SUBSTITUTE(SUBSTITUTE(SUBSTITUTE(SUBSTITUTE(SUBSTITUTE(SUBSTITUTE(SUBSTITUTE(SUBSTITUTE(SUBSTITUTE(SUBSTITUTE(SUBSTITUTE(SUBSTITUTE(SUBSTITUTE(LOWER(AE458&amp;""),CHAR(160),"")," ",""),".",""),"-",""),"/",""),"?",""),"_",""),",",""),"[",""),"]",""),"(",""),")",""),"*","")</f>
        <v/>
      </c>
      <c r="AY458" s="61" t="str">
        <f aca="false">SUBSTITUTE(SUBSTITUTE(SUBSTITUTE(SUBSTITUTE(SUBSTITUTE(SUBSTITUTE(SUBSTITUTE(SUBSTITUTE(SUBSTITUTE(SUBSTITUTE(SUBSTITUTE(SUBSTITUTE(SUBSTITUTE(LOWER(W458&amp;""),CHAR(160),"")," ",""),".",""),"-",""),"/",""),"?",""),"_",""),",",""),"[",""),"]",""),"(",""),")",""),"*","")</f>
        <v/>
      </c>
      <c r="AZ458" s="61" t="str">
        <f aca="false">SUBSTITUTE(SUBSTITUTE(SUBSTITUTE(SUBSTITUTE(SUBSTITUTE(SUBSTITUTE(SUBSTITUTE(SUBSTITUTE(SUBSTITUTE(SUBSTITUTE(SUBSTITUTE(SUBSTITUTE(SUBSTITUTE(LOWER(AC458&amp;""),CHAR(160),"")," ",""),".",""),"-",""),"/",""),"?",""),"_",""),",",""),"[",""),"]",""),"(",""),")",""),"*","")</f>
        <v/>
      </c>
      <c r="BA458" s="61" t="str">
        <f aca="false">SUBSTITUTE(SUBSTITUTE(SUBSTITUTE(SUBSTITUTE(SUBSTITUTE(SUBSTITUTE(SUBSTITUTE(SUBSTITUTE(SUBSTITUTE(SUBSTITUTE(SUBSTITUTE(SUBSTITUTE(SUBSTITUTE(LOWER(AA458&amp;""),CHAR(160),"")," ",""),".",""),"-",""),"/",""),"?",""),"_",""),",",""),"[",""),"]",""),"(",""),")",""),"*","")</f>
        <v/>
      </c>
      <c r="BB458" s="61" t="str">
        <f aca="false">IF(AND(TRIM(U458)="Pass",ISNUMBER(AF458)),IF(AF458&lt;&gt;0,"INVALID – qty variance: use Fail or Pass after CA",""),"")&amp;IF(AND(TRIM(U458)="Pass after CA",ISNUMBER(AF458)),IF(AF458&lt;&gt;0,"INVALID – after the corrective action the actual qty must equal expected (update Actual)",""),"")&amp;IF(AND(TRIM(U458)="Pass",TRIM(AB458)&lt;&gt;"",TRIM(AB458)&lt;&gt;"Closed"),"INVALID – corrective action not closed: use Fail, then Pass after CA","")&amp;IF(AND(TRIM(AA458)&lt;&gt;"",TRIM(AB458)=""),"INVALID – CA status missing for the recorded corrective action","")&amp;IF(AND(TRIM(U458)="Pass after CA",OR(OR(LEN(BA458)&lt;5,ISNUMBER(MATCH(BA458,L_Placeholder,0))),TRIM(AB458)&lt;&gt;"Closed")),"INVALID – corrective action not recorded/closed","")</f>
        <v/>
      </c>
    </row>
    <row r="459" customFormat="false" ht="39.75" hidden="false" customHeight="true" outlineLevel="0" collapsed="false">
      <c r="A459" s="57" t="s">
        <v>1084</v>
      </c>
      <c r="B459" s="57" t="s">
        <v>273</v>
      </c>
      <c r="C459" s="57" t="str">
        <f aca="false">Flights!$F$18</f>
        <v>MH0004</v>
      </c>
      <c r="D459" s="58" t="n">
        <f aca="false">Flights!$D$18</f>
        <v>46310</v>
      </c>
      <c r="E459" s="57" t="str">
        <f aca="false">Flights!$G$18&amp;"-"&amp;Flights!$H$18</f>
        <v>KUL-LHR</v>
      </c>
      <c r="F459" s="57" t="str">
        <f aca="false">Flights!$K$18</f>
        <v>EY</v>
      </c>
      <c r="G459" s="57" t="s">
        <v>79</v>
      </c>
      <c r="H459" s="57" t="s">
        <v>356</v>
      </c>
      <c r="I459" s="57" t="s">
        <v>372</v>
      </c>
      <c r="J459" s="57" t="s">
        <v>373</v>
      </c>
      <c r="K459" s="67" t="s">
        <v>374</v>
      </c>
      <c r="L459" s="67" t="s">
        <v>360</v>
      </c>
      <c r="M459" s="67"/>
      <c r="N459" s="67" t="s">
        <v>361</v>
      </c>
      <c r="O459" s="67"/>
      <c r="P459" s="57" t="s">
        <v>184</v>
      </c>
      <c r="Q459" s="59" t="n">
        <f aca="false">ROUND((Flights!$AC$18)*1440,0)/1440</f>
        <v>46303.0763888889</v>
      </c>
      <c r="R459" s="59" t="n">
        <f aca="false">Q459+(IF(AND(INDEX(TZ_DSTS,MATCH(P459,TZ_STN,0))&lt;&gt;"",Q459&gt;=INDEX(TZ_DSTS,MATCH(P459,TZ_STN,0)),Q459&lt;INDEX(TZ_DSTE,MATCH(P459,TZ_STN,0))),INDEX(TZ_DST,MATCH(P459,TZ_STN,0)),INDEX(TZ_STD,MATCH(P459,TZ_STN,0))))/24</f>
        <v>46303.4097222222</v>
      </c>
      <c r="S459" s="59" t="n">
        <f aca="false">Q459-T7EarlyD*24/24</f>
        <v>46289.0763888889</v>
      </c>
      <c r="T459" s="60"/>
      <c r="U459" s="60"/>
      <c r="V459" s="60"/>
      <c r="W459" s="61"/>
      <c r="X459" s="60"/>
      <c r="Y459" s="60"/>
      <c r="Z459" s="60"/>
      <c r="AA459" s="60"/>
      <c r="AB459" s="60"/>
      <c r="AC459" s="60"/>
      <c r="AD459" s="66"/>
      <c r="AE459" s="60"/>
      <c r="AF459" s="61" t="str">
        <f aca="false">IF(AND(ISNUMBER(X459),ISNUMBER(Y459)),Y459-X459,"")</f>
        <v/>
      </c>
      <c r="AG459" s="62" t="str">
        <f aca="false">IF(ISNUMBER(AD459),AD459-(IF(AND(INDEX(TZ_DSTS,MATCH(P459,TZ_STN,0))&lt;&gt;"",(AD459-INDEX(TZ_STD,MATCH(P459,TZ_STN,0))/24)&gt;=INDEX(TZ_DSTS,MATCH(P459,TZ_STN,0)),(AD459-INDEX(TZ_STD,MATCH(P459,TZ_STN,0))/24)&lt;INDEX(TZ_DSTE,MATCH(P459,TZ_STN,0))),INDEX(TZ_DST,MATCH(P459,TZ_STN,0)),INDEX(TZ_STD,MATCH(P459,TZ_STN,0))))/24,"")</f>
        <v/>
      </c>
      <c r="AH459" s="65" t="str">
        <f aca="false">IFERROR(IF(N459="N/A – rule","N/A – RULE",IF(TRIM(U459)="N/A",IF(AT459=0,"INVALID – N/A not permitted for this check",IF(AND(TRIM(AB459)&lt;&gt;"",TRIM(AB459)&lt;&gt;"Closed"),"INVALID – corrective action still open",IF(AND(NOT(OR(LEN(AZ459)&lt;15,ISNUMBER(MATCH(AZ459,L_Placeholder,0)))),NOT(OR(LEN(AU459)&lt;2,ISNUMBER(MATCH(AU459,L_Placeholder,0)))),NOT(OR(LEN(AX459)&lt;2,ISNUMBER(MATCH(AX459,L_Placeholder,0)))),TRIM(AE459)&lt;&gt;TRIM(T459)),"N/A – JUSTIFIED","INVALID – N/A needs a real justification (15+ chars), PIC and a different verifier"))),IF(OR(TRIM(U459)="Pass",TRIM(U459)="Pass after CA"),IF(NOT(ISNUMBER(AD459)),"INVALID – completion time missing",IF(OR(LEN(AU459)&lt;2,ISNUMBER(MATCH(AU459,L_Placeholder,0))),"INVALID – PIC missing",IF(OR(LEN(AV459)&lt;2,ISNUMBER(MATCH(AV459,L_Placeholder,0))),"INVALID – result / assessment missing",IF(OR(OR(LEN(AW459)&lt;3,ISNUMBER(MATCH(AW459,L_Placeholder,0))),SUMPRODUCT(--ISNUMBER(SEARCH(L_EvidencePhrase,AW459)))&gt;0),"INVALID – evidence missing, placeholder or not yet on file",IF(OR(LEN(AX459)&lt;2,ISNUMBER(MATCH(AX459,L_Placeholder,0))),"INVALID – verifier missing",IF(AX459=AU459,"INVALID – verifier must be someone other than the PIC",IF(AND(TRIM(U459)="Pass",SUMPRODUCT(--ISNUMBER(SEARCH(L_ResultBad,AV459)))&gt;0),"INVALID – result describes a problem: use Fail, then Pass after CA",IF(AND(AQ459=1,OR(LEN(AY459)&lt;3,ISNUMBER(MATCH(AY459,L_Placeholder,0)))),"INVALID – batch ID missing or placeholder",IF(AND(AR459=1,OR(NOT(ISNUMBER(X459)),NOT(ISNUMBER(Y459)))),"INVALID – expected/actual qty missing",IF(AND(AR459=1,OR(X459&lt;=0,Y459&lt;0)),"INVALID – expected qty must be above 0 and actual not negative",IF(BB459&lt;&gt;"",BB459,IF(AND(AS459=1,Documents!$J$18&lt;&gt;"ON FILE"),"INVALID – GLD not on file (Documents sheet)",IF(AND(AS459=2,Documents!$O$18&lt;&gt;"ON FILE"),"INVALID – menu checklist not on file (Documents sheet)",IF(AND(AS459=3,NOT(ISNUMBER(Flights!$AX$18))),"INVALID – enter carrying flight KUL departure (Flights AX)",IF(AND(AS459=3,OR(Flights!$AZ$18&gt;Flights!$AA$18,Flights!$AX$18&lt;Flights!$AA$18-3)),"INVALID – carrying flight (Flights AX) cannot arrive before this leg's STD, or is over 3 days early",IF(AG459&gt;AsOfUTC,"INVALID – completion time is in the future",IF(AND(ISNUMBER(S459),AG459&lt;S459),IF(H459="Physical uplift","INVALID – before uplift window (cannot confirm loading)","INVALID – before valid window"),IF(AG459&gt;Flights!$AA$18,"INVALID – completed after departure (cannot establish readiness)",IF(AND(H459="Preparation",AG459&gt;IF(ISNUMBER(Flights!$BA$18),MIN(Flights!$BA$18,Flights!$AA$18),Flights!$AA$18)),"INVALID – completed after loading / departure (cannot establish readiness)",IF(AND(H459="Physical uplift",AG459&gt;Q459),"INVALID – recorded after the loading flight departed",IF(AG459&gt;Q459,"COMPLETE – LATE","COMPLETE"))))))))))))))))))))),IF(TRIM(U459)="Fail","FAIL – DISCREPANCY",IF(AND(TRIM(U459)&lt;&gt;"",TRIM(U459)&lt;&gt;"Not started",TRIM(U459)&lt;&gt;"In progress"),"INVALID – unrecognised status (use the list)",IF(AsOfUTC&gt;Q459,"OVERDUE",IF(N459="Clarification required","OPEN – CLARIFICATION","OPEN"))))))),"INVALID – error value in an input cell")</f>
        <v>OPEN</v>
      </c>
      <c r="AI459" s="61" t="n">
        <f aca="false">IF(OR(AH459="N/A – RULE",AH459="N/A – JUSTIFIED"),0,1)</f>
        <v>1</v>
      </c>
      <c r="AJ459" s="61" t="n">
        <f aca="false">IF(LEFT(AH459,8)="COMPLETE",1,0)</f>
        <v>0</v>
      </c>
      <c r="AK459" s="61" t="n">
        <f aca="false">IF(AND(AI459=1,AJ459=0,AsOfUTC&gt;Q459),1,0)</f>
        <v>0</v>
      </c>
      <c r="AL459" s="61" t="n">
        <f aca="false">IFERROR(IF(AND(AI459=1,OR(TRIM(U459)="Fail",AND(TRIM(AB459)&lt;&gt;"",TRIM(AB459)&lt;&gt;"Closed"),AND(ISNUMBER(AF459),AF459&lt;&gt;0,TRIM(U459)&lt;&gt;"Pass after CA"))),1,0),1)</f>
        <v>0</v>
      </c>
      <c r="AM459" s="61" t="n">
        <f aca="false">IF(LEFT(AH459,7)="INVALID",1,0)</f>
        <v>0</v>
      </c>
      <c r="AN459" s="61" t="n">
        <f aca="false">IF(AND(N459="Clarification required",AI459=1,AJ459=0),1,0)</f>
        <v>0</v>
      </c>
      <c r="AO459" s="61" t="str">
        <f aca="false">IF(AK459=1,SUM(AK$5:AK459),"")</f>
        <v/>
      </c>
      <c r="AP459" s="61" t="str">
        <f aca="false">IF(AL459=1,SUM(AL$5:AL459),"")</f>
        <v/>
      </c>
      <c r="AQ459" s="61" t="n">
        <v>0</v>
      </c>
      <c r="AR459" s="61" t="n">
        <v>0</v>
      </c>
      <c r="AS459" s="61" t="n">
        <v>0</v>
      </c>
      <c r="AT459" s="61" t="n">
        <v>0</v>
      </c>
      <c r="AU459" s="61" t="str">
        <f aca="false">SUBSTITUTE(SUBSTITUTE(SUBSTITUTE(SUBSTITUTE(SUBSTITUTE(SUBSTITUTE(SUBSTITUTE(SUBSTITUTE(SUBSTITUTE(SUBSTITUTE(SUBSTITUTE(SUBSTITUTE(SUBSTITUTE(LOWER(T459&amp;""),CHAR(160),"")," ",""),".",""),"-",""),"/",""),"?",""),"_",""),",",""),"[",""),"]",""),"(",""),")",""),"*","")</f>
        <v/>
      </c>
      <c r="AV459" s="61" t="str">
        <f aca="false">SUBSTITUTE(SUBSTITUTE(SUBSTITUTE(SUBSTITUTE(SUBSTITUTE(SUBSTITUTE(SUBSTITUTE(SUBSTITUTE(SUBSTITUTE(SUBSTITUTE(SUBSTITUTE(SUBSTITUTE(SUBSTITUTE(LOWER(V459&amp;""),CHAR(160),"")," ",""),".",""),"-",""),"/",""),"?",""),"_",""),",",""),"[",""),"]",""),"(",""),")",""),"*","")</f>
        <v/>
      </c>
      <c r="AW459" s="61" t="str">
        <f aca="false">SUBSTITUTE(SUBSTITUTE(SUBSTITUTE(SUBSTITUTE(SUBSTITUTE(SUBSTITUTE(SUBSTITUTE(SUBSTITUTE(SUBSTITUTE(SUBSTITUTE(SUBSTITUTE(SUBSTITUTE(SUBSTITUTE(LOWER(Z459&amp;""),CHAR(160),"")," ",""),".",""),"-",""),"/",""),"?",""),"_",""),",",""),"[",""),"]",""),"(",""),")",""),"*","")</f>
        <v/>
      </c>
      <c r="AX459" s="61" t="str">
        <f aca="false">SUBSTITUTE(SUBSTITUTE(SUBSTITUTE(SUBSTITUTE(SUBSTITUTE(SUBSTITUTE(SUBSTITUTE(SUBSTITUTE(SUBSTITUTE(SUBSTITUTE(SUBSTITUTE(SUBSTITUTE(SUBSTITUTE(LOWER(AE459&amp;""),CHAR(160),"")," ",""),".",""),"-",""),"/",""),"?",""),"_",""),",",""),"[",""),"]",""),"(",""),")",""),"*","")</f>
        <v/>
      </c>
      <c r="AY459" s="61" t="str">
        <f aca="false">SUBSTITUTE(SUBSTITUTE(SUBSTITUTE(SUBSTITUTE(SUBSTITUTE(SUBSTITUTE(SUBSTITUTE(SUBSTITUTE(SUBSTITUTE(SUBSTITUTE(SUBSTITUTE(SUBSTITUTE(SUBSTITUTE(LOWER(W459&amp;""),CHAR(160),"")," ",""),".",""),"-",""),"/",""),"?",""),"_",""),",",""),"[",""),"]",""),"(",""),")",""),"*","")</f>
        <v/>
      </c>
      <c r="AZ459" s="61" t="str">
        <f aca="false">SUBSTITUTE(SUBSTITUTE(SUBSTITUTE(SUBSTITUTE(SUBSTITUTE(SUBSTITUTE(SUBSTITUTE(SUBSTITUTE(SUBSTITUTE(SUBSTITUTE(SUBSTITUTE(SUBSTITUTE(SUBSTITUTE(LOWER(AC459&amp;""),CHAR(160),"")," ",""),".",""),"-",""),"/",""),"?",""),"_",""),",",""),"[",""),"]",""),"(",""),")",""),"*","")</f>
        <v/>
      </c>
      <c r="BA459" s="61" t="str">
        <f aca="false">SUBSTITUTE(SUBSTITUTE(SUBSTITUTE(SUBSTITUTE(SUBSTITUTE(SUBSTITUTE(SUBSTITUTE(SUBSTITUTE(SUBSTITUTE(SUBSTITUTE(SUBSTITUTE(SUBSTITUTE(SUBSTITUTE(LOWER(AA459&amp;""),CHAR(160),"")," ",""),".",""),"-",""),"/",""),"?",""),"_",""),",",""),"[",""),"]",""),"(",""),")",""),"*","")</f>
        <v/>
      </c>
      <c r="BB459" s="61" t="str">
        <f aca="false">IF(AND(TRIM(U459)="Pass",ISNUMBER(AF459)),IF(AF459&lt;&gt;0,"INVALID – qty variance: use Fail or Pass after CA",""),"")&amp;IF(AND(TRIM(U459)="Pass after CA",ISNUMBER(AF459)),IF(AF459&lt;&gt;0,"INVALID – after the corrective action the actual qty must equal expected (update Actual)",""),"")&amp;IF(AND(TRIM(U459)="Pass",TRIM(AB459)&lt;&gt;"",TRIM(AB459)&lt;&gt;"Closed"),"INVALID – corrective action not closed: use Fail, then Pass after CA","")&amp;IF(AND(TRIM(AA459)&lt;&gt;"",TRIM(AB459)=""),"INVALID – CA status missing for the recorded corrective action","")&amp;IF(AND(TRIM(U459)="Pass after CA",OR(OR(LEN(BA459)&lt;5,ISNUMBER(MATCH(BA459,L_Placeholder,0))),TRIM(AB459)&lt;&gt;"Closed")),"INVALID – corrective action not recorded/closed","")</f>
        <v/>
      </c>
    </row>
    <row r="460" customFormat="false" ht="39.75" hidden="false" customHeight="true" outlineLevel="0" collapsed="false">
      <c r="A460" s="57" t="s">
        <v>1085</v>
      </c>
      <c r="B460" s="57" t="s">
        <v>273</v>
      </c>
      <c r="C460" s="57" t="str">
        <f aca="false">Flights!$F$18</f>
        <v>MH0004</v>
      </c>
      <c r="D460" s="58" t="n">
        <f aca="false">Flights!$D$18</f>
        <v>46310</v>
      </c>
      <c r="E460" s="57" t="str">
        <f aca="false">Flights!$G$18&amp;"-"&amp;Flights!$H$18</f>
        <v>KUL-LHR</v>
      </c>
      <c r="F460" s="57" t="str">
        <f aca="false">Flights!$K$18</f>
        <v>EY</v>
      </c>
      <c r="G460" s="57" t="s">
        <v>79</v>
      </c>
      <c r="H460" s="57" t="s">
        <v>356</v>
      </c>
      <c r="I460" s="57" t="s">
        <v>376</v>
      </c>
      <c r="J460" s="57" t="s">
        <v>377</v>
      </c>
      <c r="K460" s="67" t="s">
        <v>378</v>
      </c>
      <c r="L460" s="67" t="s">
        <v>360</v>
      </c>
      <c r="M460" s="67"/>
      <c r="N460" s="67" t="s">
        <v>361</v>
      </c>
      <c r="O460" s="67"/>
      <c r="P460" s="57" t="s">
        <v>184</v>
      </c>
      <c r="Q460" s="59" t="n">
        <f aca="false">ROUND((Flights!$AC$18)*1440,0)/1440</f>
        <v>46303.0763888889</v>
      </c>
      <c r="R460" s="59" t="n">
        <f aca="false">Q460+(IF(AND(INDEX(TZ_DSTS,MATCH(P460,TZ_STN,0))&lt;&gt;"",Q460&gt;=INDEX(TZ_DSTS,MATCH(P460,TZ_STN,0)),Q460&lt;INDEX(TZ_DSTE,MATCH(P460,TZ_STN,0))),INDEX(TZ_DST,MATCH(P460,TZ_STN,0)),INDEX(TZ_STD,MATCH(P460,TZ_STN,0))))/24</f>
        <v>46303.4097222222</v>
      </c>
      <c r="S460" s="59" t="n">
        <f aca="false">Q460-T7EarlyD*24/24</f>
        <v>46289.0763888889</v>
      </c>
      <c r="T460" s="60"/>
      <c r="U460" s="60"/>
      <c r="V460" s="60"/>
      <c r="W460" s="61"/>
      <c r="X460" s="60"/>
      <c r="Y460" s="60"/>
      <c r="Z460" s="60"/>
      <c r="AA460" s="60"/>
      <c r="AB460" s="60"/>
      <c r="AC460" s="60"/>
      <c r="AD460" s="66"/>
      <c r="AE460" s="60"/>
      <c r="AF460" s="61" t="str">
        <f aca="false">IF(AND(ISNUMBER(X460),ISNUMBER(Y460)),Y460-X460,"")</f>
        <v/>
      </c>
      <c r="AG460" s="62" t="str">
        <f aca="false">IF(ISNUMBER(AD460),AD460-(IF(AND(INDEX(TZ_DSTS,MATCH(P460,TZ_STN,0))&lt;&gt;"",(AD460-INDEX(TZ_STD,MATCH(P460,TZ_STN,0))/24)&gt;=INDEX(TZ_DSTS,MATCH(P460,TZ_STN,0)),(AD460-INDEX(TZ_STD,MATCH(P460,TZ_STN,0))/24)&lt;INDEX(TZ_DSTE,MATCH(P460,TZ_STN,0))),INDEX(TZ_DST,MATCH(P460,TZ_STN,0)),INDEX(TZ_STD,MATCH(P460,TZ_STN,0))))/24,"")</f>
        <v/>
      </c>
      <c r="AH460" s="65" t="str">
        <f aca="false">IFERROR(IF(N460="N/A – rule","N/A – RULE",IF(TRIM(U460)="N/A",IF(AT460=0,"INVALID – N/A not permitted for this check",IF(AND(TRIM(AB460)&lt;&gt;"",TRIM(AB460)&lt;&gt;"Closed"),"INVALID – corrective action still open",IF(AND(NOT(OR(LEN(AZ460)&lt;15,ISNUMBER(MATCH(AZ460,L_Placeholder,0)))),NOT(OR(LEN(AU460)&lt;2,ISNUMBER(MATCH(AU460,L_Placeholder,0)))),NOT(OR(LEN(AX460)&lt;2,ISNUMBER(MATCH(AX460,L_Placeholder,0)))),TRIM(AE460)&lt;&gt;TRIM(T460)),"N/A – JUSTIFIED","INVALID – N/A needs a real justification (15+ chars), PIC and a different verifier"))),IF(OR(TRIM(U460)="Pass",TRIM(U460)="Pass after CA"),IF(NOT(ISNUMBER(AD460)),"INVALID – completion time missing",IF(OR(LEN(AU460)&lt;2,ISNUMBER(MATCH(AU460,L_Placeholder,0))),"INVALID – PIC missing",IF(OR(LEN(AV460)&lt;2,ISNUMBER(MATCH(AV460,L_Placeholder,0))),"INVALID – result / assessment missing",IF(OR(OR(LEN(AW460)&lt;3,ISNUMBER(MATCH(AW460,L_Placeholder,0))),SUMPRODUCT(--ISNUMBER(SEARCH(L_EvidencePhrase,AW460)))&gt;0),"INVALID – evidence missing, placeholder or not yet on file",IF(OR(LEN(AX460)&lt;2,ISNUMBER(MATCH(AX460,L_Placeholder,0))),"INVALID – verifier missing",IF(AX460=AU460,"INVALID – verifier must be someone other than the PIC",IF(AND(TRIM(U460)="Pass",SUMPRODUCT(--ISNUMBER(SEARCH(L_ResultBad,AV460)))&gt;0),"INVALID – result describes a problem: use Fail, then Pass after CA",IF(AND(AQ460=1,OR(LEN(AY460)&lt;3,ISNUMBER(MATCH(AY460,L_Placeholder,0)))),"INVALID – batch ID missing or placeholder",IF(AND(AR460=1,OR(NOT(ISNUMBER(X460)),NOT(ISNUMBER(Y460)))),"INVALID – expected/actual qty missing",IF(AND(AR460=1,OR(X460&lt;=0,Y460&lt;0)),"INVALID – expected qty must be above 0 and actual not negative",IF(BB460&lt;&gt;"",BB460,IF(AND(AS460=1,Documents!$J$18&lt;&gt;"ON FILE"),"INVALID – GLD not on file (Documents sheet)",IF(AND(AS460=2,Documents!$O$18&lt;&gt;"ON FILE"),"INVALID – menu checklist not on file (Documents sheet)",IF(AND(AS460=3,NOT(ISNUMBER(Flights!$AX$18))),"INVALID – enter carrying flight KUL departure (Flights AX)",IF(AND(AS460=3,OR(Flights!$AZ$18&gt;Flights!$AA$18,Flights!$AX$18&lt;Flights!$AA$18-3)),"INVALID – carrying flight (Flights AX) cannot arrive before this leg's STD, or is over 3 days early",IF(AG460&gt;AsOfUTC,"INVALID – completion time is in the future",IF(AND(ISNUMBER(S460),AG460&lt;S460),IF(H460="Physical uplift","INVALID – before uplift window (cannot confirm loading)","INVALID – before valid window"),IF(AG460&gt;Flights!$AA$18,"INVALID – completed after departure (cannot establish readiness)",IF(AND(H460="Preparation",AG460&gt;IF(ISNUMBER(Flights!$BA$18),MIN(Flights!$BA$18,Flights!$AA$18),Flights!$AA$18)),"INVALID – completed after loading / departure (cannot establish readiness)",IF(AND(H460="Physical uplift",AG460&gt;Q460),"INVALID – recorded after the loading flight departed",IF(AG460&gt;Q460,"COMPLETE – LATE","COMPLETE"))))))))))))))))))))),IF(TRIM(U460)="Fail","FAIL – DISCREPANCY",IF(AND(TRIM(U460)&lt;&gt;"",TRIM(U460)&lt;&gt;"Not started",TRIM(U460)&lt;&gt;"In progress"),"INVALID – unrecognised status (use the list)",IF(AsOfUTC&gt;Q460,"OVERDUE",IF(N460="Clarification required","OPEN – CLARIFICATION","OPEN"))))))),"INVALID – error value in an input cell")</f>
        <v>OPEN</v>
      </c>
      <c r="AI460" s="61" t="n">
        <f aca="false">IF(OR(AH460="N/A – RULE",AH460="N/A – JUSTIFIED"),0,1)</f>
        <v>1</v>
      </c>
      <c r="AJ460" s="61" t="n">
        <f aca="false">IF(LEFT(AH460,8)="COMPLETE",1,0)</f>
        <v>0</v>
      </c>
      <c r="AK460" s="61" t="n">
        <f aca="false">IF(AND(AI460=1,AJ460=0,AsOfUTC&gt;Q460),1,0)</f>
        <v>0</v>
      </c>
      <c r="AL460" s="61" t="n">
        <f aca="false">IFERROR(IF(AND(AI460=1,OR(TRIM(U460)="Fail",AND(TRIM(AB460)&lt;&gt;"",TRIM(AB460)&lt;&gt;"Closed"),AND(ISNUMBER(AF460),AF460&lt;&gt;0,TRIM(U460)&lt;&gt;"Pass after CA"))),1,0),1)</f>
        <v>0</v>
      </c>
      <c r="AM460" s="61" t="n">
        <f aca="false">IF(LEFT(AH460,7)="INVALID",1,0)</f>
        <v>0</v>
      </c>
      <c r="AN460" s="61" t="n">
        <f aca="false">IF(AND(N460="Clarification required",AI460=1,AJ460=0),1,0)</f>
        <v>0</v>
      </c>
      <c r="AO460" s="61" t="str">
        <f aca="false">IF(AK460=1,SUM(AK$5:AK460),"")</f>
        <v/>
      </c>
      <c r="AP460" s="61" t="str">
        <f aca="false">IF(AL460=1,SUM(AL$5:AL460),"")</f>
        <v/>
      </c>
      <c r="AQ460" s="61" t="n">
        <v>0</v>
      </c>
      <c r="AR460" s="61" t="n">
        <v>0</v>
      </c>
      <c r="AS460" s="61" t="n">
        <v>0</v>
      </c>
      <c r="AT460" s="61" t="n">
        <v>0</v>
      </c>
      <c r="AU460" s="61" t="str">
        <f aca="false">SUBSTITUTE(SUBSTITUTE(SUBSTITUTE(SUBSTITUTE(SUBSTITUTE(SUBSTITUTE(SUBSTITUTE(SUBSTITUTE(SUBSTITUTE(SUBSTITUTE(SUBSTITUTE(SUBSTITUTE(SUBSTITUTE(LOWER(T460&amp;""),CHAR(160),"")," ",""),".",""),"-",""),"/",""),"?",""),"_",""),",",""),"[",""),"]",""),"(",""),")",""),"*","")</f>
        <v/>
      </c>
      <c r="AV460" s="61" t="str">
        <f aca="false">SUBSTITUTE(SUBSTITUTE(SUBSTITUTE(SUBSTITUTE(SUBSTITUTE(SUBSTITUTE(SUBSTITUTE(SUBSTITUTE(SUBSTITUTE(SUBSTITUTE(SUBSTITUTE(SUBSTITUTE(SUBSTITUTE(LOWER(V460&amp;""),CHAR(160),"")," ",""),".",""),"-",""),"/",""),"?",""),"_",""),",",""),"[",""),"]",""),"(",""),")",""),"*","")</f>
        <v/>
      </c>
      <c r="AW460" s="61" t="str">
        <f aca="false">SUBSTITUTE(SUBSTITUTE(SUBSTITUTE(SUBSTITUTE(SUBSTITUTE(SUBSTITUTE(SUBSTITUTE(SUBSTITUTE(SUBSTITUTE(SUBSTITUTE(SUBSTITUTE(SUBSTITUTE(SUBSTITUTE(LOWER(Z460&amp;""),CHAR(160),"")," ",""),".",""),"-",""),"/",""),"?",""),"_",""),",",""),"[",""),"]",""),"(",""),")",""),"*","")</f>
        <v/>
      </c>
      <c r="AX460" s="61" t="str">
        <f aca="false">SUBSTITUTE(SUBSTITUTE(SUBSTITUTE(SUBSTITUTE(SUBSTITUTE(SUBSTITUTE(SUBSTITUTE(SUBSTITUTE(SUBSTITUTE(SUBSTITUTE(SUBSTITUTE(SUBSTITUTE(SUBSTITUTE(LOWER(AE460&amp;""),CHAR(160),"")," ",""),".",""),"-",""),"/",""),"?",""),"_",""),",",""),"[",""),"]",""),"(",""),")",""),"*","")</f>
        <v/>
      </c>
      <c r="AY460" s="61" t="str">
        <f aca="false">SUBSTITUTE(SUBSTITUTE(SUBSTITUTE(SUBSTITUTE(SUBSTITUTE(SUBSTITUTE(SUBSTITUTE(SUBSTITUTE(SUBSTITUTE(SUBSTITUTE(SUBSTITUTE(SUBSTITUTE(SUBSTITUTE(LOWER(W460&amp;""),CHAR(160),"")," ",""),".",""),"-",""),"/",""),"?",""),"_",""),",",""),"[",""),"]",""),"(",""),")",""),"*","")</f>
        <v/>
      </c>
      <c r="AZ460" s="61" t="str">
        <f aca="false">SUBSTITUTE(SUBSTITUTE(SUBSTITUTE(SUBSTITUTE(SUBSTITUTE(SUBSTITUTE(SUBSTITUTE(SUBSTITUTE(SUBSTITUTE(SUBSTITUTE(SUBSTITUTE(SUBSTITUTE(SUBSTITUTE(LOWER(AC460&amp;""),CHAR(160),"")," ",""),".",""),"-",""),"/",""),"?",""),"_",""),",",""),"[",""),"]",""),"(",""),")",""),"*","")</f>
        <v/>
      </c>
      <c r="BA460" s="61" t="str">
        <f aca="false">SUBSTITUTE(SUBSTITUTE(SUBSTITUTE(SUBSTITUTE(SUBSTITUTE(SUBSTITUTE(SUBSTITUTE(SUBSTITUTE(SUBSTITUTE(SUBSTITUTE(SUBSTITUTE(SUBSTITUTE(SUBSTITUTE(LOWER(AA460&amp;""),CHAR(160),"")," ",""),".",""),"-",""),"/",""),"?",""),"_",""),",",""),"[",""),"]",""),"(",""),")",""),"*","")</f>
        <v/>
      </c>
      <c r="BB460" s="61" t="str">
        <f aca="false">IF(AND(TRIM(U460)="Pass",ISNUMBER(AF460)),IF(AF460&lt;&gt;0,"INVALID – qty variance: use Fail or Pass after CA",""),"")&amp;IF(AND(TRIM(U460)="Pass after CA",ISNUMBER(AF460)),IF(AF460&lt;&gt;0,"INVALID – after the corrective action the actual qty must equal expected (update Actual)",""),"")&amp;IF(AND(TRIM(U460)="Pass",TRIM(AB460)&lt;&gt;"",TRIM(AB460)&lt;&gt;"Closed"),"INVALID – corrective action not closed: use Fail, then Pass after CA","")&amp;IF(AND(TRIM(AA460)&lt;&gt;"",TRIM(AB460)=""),"INVALID – CA status missing for the recorded corrective action","")&amp;IF(AND(TRIM(U460)="Pass after CA",OR(OR(LEN(BA460)&lt;5,ISNUMBER(MATCH(BA460,L_Placeholder,0))),TRIM(AB460)&lt;&gt;"Closed")),"INVALID – corrective action not recorded/closed","")</f>
        <v/>
      </c>
    </row>
    <row r="461" customFormat="false" ht="39.75" hidden="false" customHeight="true" outlineLevel="0" collapsed="false">
      <c r="A461" s="57" t="s">
        <v>1086</v>
      </c>
      <c r="B461" s="57" t="s">
        <v>273</v>
      </c>
      <c r="C461" s="57" t="str">
        <f aca="false">Flights!$F$18</f>
        <v>MH0004</v>
      </c>
      <c r="D461" s="58" t="n">
        <f aca="false">Flights!$D$18</f>
        <v>46310</v>
      </c>
      <c r="E461" s="57" t="str">
        <f aca="false">Flights!$G$18&amp;"-"&amp;Flights!$H$18</f>
        <v>KUL-LHR</v>
      </c>
      <c r="F461" s="57" t="str">
        <f aca="false">Flights!$K$18</f>
        <v>EY</v>
      </c>
      <c r="G461" s="57" t="s">
        <v>79</v>
      </c>
      <c r="H461" s="57" t="s">
        <v>356</v>
      </c>
      <c r="I461" s="57" t="s">
        <v>376</v>
      </c>
      <c r="J461" s="57" t="s">
        <v>380</v>
      </c>
      <c r="K461" s="67" t="s">
        <v>381</v>
      </c>
      <c r="L461" s="67" t="s">
        <v>360</v>
      </c>
      <c r="M461" s="67"/>
      <c r="N461" s="67" t="s">
        <v>361</v>
      </c>
      <c r="O461" s="67"/>
      <c r="P461" s="57" t="s">
        <v>184</v>
      </c>
      <c r="Q461" s="59" t="n">
        <f aca="false">ROUND((Flights!$AC$18)*1440,0)/1440</f>
        <v>46303.0763888889</v>
      </c>
      <c r="R461" s="59" t="n">
        <f aca="false">Q461+(IF(AND(INDEX(TZ_DSTS,MATCH(P461,TZ_STN,0))&lt;&gt;"",Q461&gt;=INDEX(TZ_DSTS,MATCH(P461,TZ_STN,0)),Q461&lt;INDEX(TZ_DSTE,MATCH(P461,TZ_STN,0))),INDEX(TZ_DST,MATCH(P461,TZ_STN,0)),INDEX(TZ_STD,MATCH(P461,TZ_STN,0))))/24</f>
        <v>46303.4097222222</v>
      </c>
      <c r="S461" s="59" t="n">
        <f aca="false">Q461-T7EarlyD*24/24</f>
        <v>46289.0763888889</v>
      </c>
      <c r="T461" s="60"/>
      <c r="U461" s="60"/>
      <c r="V461" s="60"/>
      <c r="W461" s="61"/>
      <c r="X461" s="60"/>
      <c r="Y461" s="60"/>
      <c r="Z461" s="60"/>
      <c r="AA461" s="60"/>
      <c r="AB461" s="60"/>
      <c r="AC461" s="60"/>
      <c r="AD461" s="66"/>
      <c r="AE461" s="60"/>
      <c r="AF461" s="61" t="str">
        <f aca="false">IF(AND(ISNUMBER(X461),ISNUMBER(Y461)),Y461-X461,"")</f>
        <v/>
      </c>
      <c r="AG461" s="62" t="str">
        <f aca="false">IF(ISNUMBER(AD461),AD461-(IF(AND(INDEX(TZ_DSTS,MATCH(P461,TZ_STN,0))&lt;&gt;"",(AD461-INDEX(TZ_STD,MATCH(P461,TZ_STN,0))/24)&gt;=INDEX(TZ_DSTS,MATCH(P461,TZ_STN,0)),(AD461-INDEX(TZ_STD,MATCH(P461,TZ_STN,0))/24)&lt;INDEX(TZ_DSTE,MATCH(P461,TZ_STN,0))),INDEX(TZ_DST,MATCH(P461,TZ_STN,0)),INDEX(TZ_STD,MATCH(P461,TZ_STN,0))))/24,"")</f>
        <v/>
      </c>
      <c r="AH461" s="65" t="str">
        <f aca="false">IFERROR(IF(N461="N/A – rule","N/A – RULE",IF(TRIM(U461)="N/A",IF(AT461=0,"INVALID – N/A not permitted for this check",IF(AND(TRIM(AB461)&lt;&gt;"",TRIM(AB461)&lt;&gt;"Closed"),"INVALID – corrective action still open",IF(AND(NOT(OR(LEN(AZ461)&lt;15,ISNUMBER(MATCH(AZ461,L_Placeholder,0)))),NOT(OR(LEN(AU461)&lt;2,ISNUMBER(MATCH(AU461,L_Placeholder,0)))),NOT(OR(LEN(AX461)&lt;2,ISNUMBER(MATCH(AX461,L_Placeholder,0)))),TRIM(AE461)&lt;&gt;TRIM(T461)),"N/A – JUSTIFIED","INVALID – N/A needs a real justification (15+ chars), PIC and a different verifier"))),IF(OR(TRIM(U461)="Pass",TRIM(U461)="Pass after CA"),IF(NOT(ISNUMBER(AD461)),"INVALID – completion time missing",IF(OR(LEN(AU461)&lt;2,ISNUMBER(MATCH(AU461,L_Placeholder,0))),"INVALID – PIC missing",IF(OR(LEN(AV461)&lt;2,ISNUMBER(MATCH(AV461,L_Placeholder,0))),"INVALID – result / assessment missing",IF(OR(OR(LEN(AW461)&lt;3,ISNUMBER(MATCH(AW461,L_Placeholder,0))),SUMPRODUCT(--ISNUMBER(SEARCH(L_EvidencePhrase,AW461)))&gt;0),"INVALID – evidence missing, placeholder or not yet on file",IF(OR(LEN(AX461)&lt;2,ISNUMBER(MATCH(AX461,L_Placeholder,0))),"INVALID – verifier missing",IF(AX461=AU461,"INVALID – verifier must be someone other than the PIC",IF(AND(TRIM(U461)="Pass",SUMPRODUCT(--ISNUMBER(SEARCH(L_ResultBad,AV461)))&gt;0),"INVALID – result describes a problem: use Fail, then Pass after CA",IF(AND(AQ461=1,OR(LEN(AY461)&lt;3,ISNUMBER(MATCH(AY461,L_Placeholder,0)))),"INVALID – batch ID missing or placeholder",IF(AND(AR461=1,OR(NOT(ISNUMBER(X461)),NOT(ISNUMBER(Y461)))),"INVALID – expected/actual qty missing",IF(AND(AR461=1,OR(X461&lt;=0,Y461&lt;0)),"INVALID – expected qty must be above 0 and actual not negative",IF(BB461&lt;&gt;"",BB461,IF(AND(AS461=1,Documents!$J$18&lt;&gt;"ON FILE"),"INVALID – GLD not on file (Documents sheet)",IF(AND(AS461=2,Documents!$O$18&lt;&gt;"ON FILE"),"INVALID – menu checklist not on file (Documents sheet)",IF(AND(AS461=3,NOT(ISNUMBER(Flights!$AX$18))),"INVALID – enter carrying flight KUL departure (Flights AX)",IF(AND(AS461=3,OR(Flights!$AZ$18&gt;Flights!$AA$18,Flights!$AX$18&lt;Flights!$AA$18-3)),"INVALID – carrying flight (Flights AX) cannot arrive before this leg's STD, or is over 3 days early",IF(AG461&gt;AsOfUTC,"INVALID – completion time is in the future",IF(AND(ISNUMBER(S461),AG461&lt;S461),IF(H461="Physical uplift","INVALID – before uplift window (cannot confirm loading)","INVALID – before valid window"),IF(AG461&gt;Flights!$AA$18,"INVALID – completed after departure (cannot establish readiness)",IF(AND(H461="Preparation",AG461&gt;IF(ISNUMBER(Flights!$BA$18),MIN(Flights!$BA$18,Flights!$AA$18),Flights!$AA$18)),"INVALID – completed after loading / departure (cannot establish readiness)",IF(AND(H461="Physical uplift",AG461&gt;Q461),"INVALID – recorded after the loading flight departed",IF(AG461&gt;Q461,"COMPLETE – LATE","COMPLETE"))))))))))))))))))))),IF(TRIM(U461)="Fail","FAIL – DISCREPANCY",IF(AND(TRIM(U461)&lt;&gt;"",TRIM(U461)&lt;&gt;"Not started",TRIM(U461)&lt;&gt;"In progress"),"INVALID – unrecognised status (use the list)",IF(AsOfUTC&gt;Q461,"OVERDUE",IF(N461="Clarification required","OPEN – CLARIFICATION","OPEN"))))))),"INVALID – error value in an input cell")</f>
        <v>OPEN</v>
      </c>
      <c r="AI461" s="61" t="n">
        <f aca="false">IF(OR(AH461="N/A – RULE",AH461="N/A – JUSTIFIED"),0,1)</f>
        <v>1</v>
      </c>
      <c r="AJ461" s="61" t="n">
        <f aca="false">IF(LEFT(AH461,8)="COMPLETE",1,0)</f>
        <v>0</v>
      </c>
      <c r="AK461" s="61" t="n">
        <f aca="false">IF(AND(AI461=1,AJ461=0,AsOfUTC&gt;Q461),1,0)</f>
        <v>0</v>
      </c>
      <c r="AL461" s="61" t="n">
        <f aca="false">IFERROR(IF(AND(AI461=1,OR(TRIM(U461)="Fail",AND(TRIM(AB461)&lt;&gt;"",TRIM(AB461)&lt;&gt;"Closed"),AND(ISNUMBER(AF461),AF461&lt;&gt;0,TRIM(U461)&lt;&gt;"Pass after CA"))),1,0),1)</f>
        <v>0</v>
      </c>
      <c r="AM461" s="61" t="n">
        <f aca="false">IF(LEFT(AH461,7)="INVALID",1,0)</f>
        <v>0</v>
      </c>
      <c r="AN461" s="61" t="n">
        <f aca="false">IF(AND(N461="Clarification required",AI461=1,AJ461=0),1,0)</f>
        <v>0</v>
      </c>
      <c r="AO461" s="61" t="str">
        <f aca="false">IF(AK461=1,SUM(AK$5:AK461),"")</f>
        <v/>
      </c>
      <c r="AP461" s="61" t="str">
        <f aca="false">IF(AL461=1,SUM(AL$5:AL461),"")</f>
        <v/>
      </c>
      <c r="AQ461" s="61" t="n">
        <v>0</v>
      </c>
      <c r="AR461" s="61" t="n">
        <v>0</v>
      </c>
      <c r="AS461" s="61" t="n">
        <v>0</v>
      </c>
      <c r="AT461" s="61" t="n">
        <v>0</v>
      </c>
      <c r="AU461" s="61" t="str">
        <f aca="false">SUBSTITUTE(SUBSTITUTE(SUBSTITUTE(SUBSTITUTE(SUBSTITUTE(SUBSTITUTE(SUBSTITUTE(SUBSTITUTE(SUBSTITUTE(SUBSTITUTE(SUBSTITUTE(SUBSTITUTE(SUBSTITUTE(LOWER(T461&amp;""),CHAR(160),"")," ",""),".",""),"-",""),"/",""),"?",""),"_",""),",",""),"[",""),"]",""),"(",""),")",""),"*","")</f>
        <v/>
      </c>
      <c r="AV461" s="61" t="str">
        <f aca="false">SUBSTITUTE(SUBSTITUTE(SUBSTITUTE(SUBSTITUTE(SUBSTITUTE(SUBSTITUTE(SUBSTITUTE(SUBSTITUTE(SUBSTITUTE(SUBSTITUTE(SUBSTITUTE(SUBSTITUTE(SUBSTITUTE(LOWER(V461&amp;""),CHAR(160),"")," ",""),".",""),"-",""),"/",""),"?",""),"_",""),",",""),"[",""),"]",""),"(",""),")",""),"*","")</f>
        <v/>
      </c>
      <c r="AW461" s="61" t="str">
        <f aca="false">SUBSTITUTE(SUBSTITUTE(SUBSTITUTE(SUBSTITUTE(SUBSTITUTE(SUBSTITUTE(SUBSTITUTE(SUBSTITUTE(SUBSTITUTE(SUBSTITUTE(SUBSTITUTE(SUBSTITUTE(SUBSTITUTE(LOWER(Z461&amp;""),CHAR(160),"")," ",""),".",""),"-",""),"/",""),"?",""),"_",""),",",""),"[",""),"]",""),"(",""),")",""),"*","")</f>
        <v/>
      </c>
      <c r="AX461" s="61" t="str">
        <f aca="false">SUBSTITUTE(SUBSTITUTE(SUBSTITUTE(SUBSTITUTE(SUBSTITUTE(SUBSTITUTE(SUBSTITUTE(SUBSTITUTE(SUBSTITUTE(SUBSTITUTE(SUBSTITUTE(SUBSTITUTE(SUBSTITUTE(LOWER(AE461&amp;""),CHAR(160),"")," ",""),".",""),"-",""),"/",""),"?",""),"_",""),",",""),"[",""),"]",""),"(",""),")",""),"*","")</f>
        <v/>
      </c>
      <c r="AY461" s="61" t="str">
        <f aca="false">SUBSTITUTE(SUBSTITUTE(SUBSTITUTE(SUBSTITUTE(SUBSTITUTE(SUBSTITUTE(SUBSTITUTE(SUBSTITUTE(SUBSTITUTE(SUBSTITUTE(SUBSTITUTE(SUBSTITUTE(SUBSTITUTE(LOWER(W461&amp;""),CHAR(160),"")," ",""),".",""),"-",""),"/",""),"?",""),"_",""),",",""),"[",""),"]",""),"(",""),")",""),"*","")</f>
        <v/>
      </c>
      <c r="AZ461" s="61" t="str">
        <f aca="false">SUBSTITUTE(SUBSTITUTE(SUBSTITUTE(SUBSTITUTE(SUBSTITUTE(SUBSTITUTE(SUBSTITUTE(SUBSTITUTE(SUBSTITUTE(SUBSTITUTE(SUBSTITUTE(SUBSTITUTE(SUBSTITUTE(LOWER(AC461&amp;""),CHAR(160),"")," ",""),".",""),"-",""),"/",""),"?",""),"_",""),",",""),"[",""),"]",""),"(",""),")",""),"*","")</f>
        <v/>
      </c>
      <c r="BA461" s="61" t="str">
        <f aca="false">SUBSTITUTE(SUBSTITUTE(SUBSTITUTE(SUBSTITUTE(SUBSTITUTE(SUBSTITUTE(SUBSTITUTE(SUBSTITUTE(SUBSTITUTE(SUBSTITUTE(SUBSTITUTE(SUBSTITUTE(SUBSTITUTE(LOWER(AA461&amp;""),CHAR(160),"")," ",""),".",""),"-",""),"/",""),"?",""),"_",""),",",""),"[",""),"]",""),"(",""),")",""),"*","")</f>
        <v/>
      </c>
      <c r="BB461" s="61" t="str">
        <f aca="false">IF(AND(TRIM(U461)="Pass",ISNUMBER(AF461)),IF(AF461&lt;&gt;0,"INVALID – qty variance: use Fail or Pass after CA",""),"")&amp;IF(AND(TRIM(U461)="Pass after CA",ISNUMBER(AF461)),IF(AF461&lt;&gt;0,"INVALID – after the corrective action the actual qty must equal expected (update Actual)",""),"")&amp;IF(AND(TRIM(U461)="Pass",TRIM(AB461)&lt;&gt;"",TRIM(AB461)&lt;&gt;"Closed"),"INVALID – corrective action not closed: use Fail, then Pass after CA","")&amp;IF(AND(TRIM(AA461)&lt;&gt;"",TRIM(AB461)=""),"INVALID – CA status missing for the recorded corrective action","")&amp;IF(AND(TRIM(U461)="Pass after CA",OR(OR(LEN(BA461)&lt;5,ISNUMBER(MATCH(BA461,L_Placeholder,0))),TRIM(AB461)&lt;&gt;"Closed")),"INVALID – corrective action not recorded/closed","")</f>
        <v/>
      </c>
    </row>
    <row r="462" customFormat="false" ht="39.75" hidden="false" customHeight="true" outlineLevel="0" collapsed="false">
      <c r="A462" s="57" t="s">
        <v>1087</v>
      </c>
      <c r="B462" s="57" t="s">
        <v>273</v>
      </c>
      <c r="C462" s="57" t="str">
        <f aca="false">Flights!$F$18</f>
        <v>MH0004</v>
      </c>
      <c r="D462" s="58" t="n">
        <f aca="false">Flights!$D$18</f>
        <v>46310</v>
      </c>
      <c r="E462" s="57" t="str">
        <f aca="false">Flights!$G$18&amp;"-"&amp;Flights!$H$18</f>
        <v>KUL-LHR</v>
      </c>
      <c r="F462" s="57" t="str">
        <f aca="false">Flights!$K$18</f>
        <v>EY</v>
      </c>
      <c r="G462" s="57" t="s">
        <v>79</v>
      </c>
      <c r="H462" s="57" t="s">
        <v>356</v>
      </c>
      <c r="I462" s="57" t="s">
        <v>383</v>
      </c>
      <c r="J462" s="57" t="s">
        <v>384</v>
      </c>
      <c r="K462" s="67" t="s">
        <v>385</v>
      </c>
      <c r="L462" s="67" t="s">
        <v>360</v>
      </c>
      <c r="M462" s="67"/>
      <c r="N462" s="67" t="s">
        <v>361</v>
      </c>
      <c r="O462" s="67"/>
      <c r="P462" s="57" t="s">
        <v>184</v>
      </c>
      <c r="Q462" s="59" t="n">
        <f aca="false">ROUND((Flights!$AC$18)*1440,0)/1440</f>
        <v>46303.0763888889</v>
      </c>
      <c r="R462" s="59" t="n">
        <f aca="false">Q462+(IF(AND(INDEX(TZ_DSTS,MATCH(P462,TZ_STN,0))&lt;&gt;"",Q462&gt;=INDEX(TZ_DSTS,MATCH(P462,TZ_STN,0)),Q462&lt;INDEX(TZ_DSTE,MATCH(P462,TZ_STN,0))),INDEX(TZ_DST,MATCH(P462,TZ_STN,0)),INDEX(TZ_STD,MATCH(P462,TZ_STN,0))))/24</f>
        <v>46303.4097222222</v>
      </c>
      <c r="S462" s="59" t="n">
        <f aca="false">Q462-T7EarlyD*24/24</f>
        <v>46289.0763888889</v>
      </c>
      <c r="T462" s="60"/>
      <c r="U462" s="60"/>
      <c r="V462" s="60"/>
      <c r="W462" s="61"/>
      <c r="X462" s="60"/>
      <c r="Y462" s="60"/>
      <c r="Z462" s="60"/>
      <c r="AA462" s="60"/>
      <c r="AB462" s="60"/>
      <c r="AC462" s="60"/>
      <c r="AD462" s="66"/>
      <c r="AE462" s="60"/>
      <c r="AF462" s="61" t="str">
        <f aca="false">IF(AND(ISNUMBER(X462),ISNUMBER(Y462)),Y462-X462,"")</f>
        <v/>
      </c>
      <c r="AG462" s="62" t="str">
        <f aca="false">IF(ISNUMBER(AD462),AD462-(IF(AND(INDEX(TZ_DSTS,MATCH(P462,TZ_STN,0))&lt;&gt;"",(AD462-INDEX(TZ_STD,MATCH(P462,TZ_STN,0))/24)&gt;=INDEX(TZ_DSTS,MATCH(P462,TZ_STN,0)),(AD462-INDEX(TZ_STD,MATCH(P462,TZ_STN,0))/24)&lt;INDEX(TZ_DSTE,MATCH(P462,TZ_STN,0))),INDEX(TZ_DST,MATCH(P462,TZ_STN,0)),INDEX(TZ_STD,MATCH(P462,TZ_STN,0))))/24,"")</f>
        <v/>
      </c>
      <c r="AH462" s="65" t="str">
        <f aca="false">IFERROR(IF(N462="N/A – rule","N/A – RULE",IF(TRIM(U462)="N/A",IF(AT462=0,"INVALID – N/A not permitted for this check",IF(AND(TRIM(AB462)&lt;&gt;"",TRIM(AB462)&lt;&gt;"Closed"),"INVALID – corrective action still open",IF(AND(NOT(OR(LEN(AZ462)&lt;15,ISNUMBER(MATCH(AZ462,L_Placeholder,0)))),NOT(OR(LEN(AU462)&lt;2,ISNUMBER(MATCH(AU462,L_Placeholder,0)))),NOT(OR(LEN(AX462)&lt;2,ISNUMBER(MATCH(AX462,L_Placeholder,0)))),TRIM(AE462)&lt;&gt;TRIM(T462)),"N/A – JUSTIFIED","INVALID – N/A needs a real justification (15+ chars), PIC and a different verifier"))),IF(OR(TRIM(U462)="Pass",TRIM(U462)="Pass after CA"),IF(NOT(ISNUMBER(AD462)),"INVALID – completion time missing",IF(OR(LEN(AU462)&lt;2,ISNUMBER(MATCH(AU462,L_Placeholder,0))),"INVALID – PIC missing",IF(OR(LEN(AV462)&lt;2,ISNUMBER(MATCH(AV462,L_Placeholder,0))),"INVALID – result / assessment missing",IF(OR(OR(LEN(AW462)&lt;3,ISNUMBER(MATCH(AW462,L_Placeholder,0))),SUMPRODUCT(--ISNUMBER(SEARCH(L_EvidencePhrase,AW462)))&gt;0),"INVALID – evidence missing, placeholder or not yet on file",IF(OR(LEN(AX462)&lt;2,ISNUMBER(MATCH(AX462,L_Placeholder,0))),"INVALID – verifier missing",IF(AX462=AU462,"INVALID – verifier must be someone other than the PIC",IF(AND(TRIM(U462)="Pass",SUMPRODUCT(--ISNUMBER(SEARCH(L_ResultBad,AV462)))&gt;0),"INVALID – result describes a problem: use Fail, then Pass after CA",IF(AND(AQ462=1,OR(LEN(AY462)&lt;3,ISNUMBER(MATCH(AY462,L_Placeholder,0)))),"INVALID – batch ID missing or placeholder",IF(AND(AR462=1,OR(NOT(ISNUMBER(X462)),NOT(ISNUMBER(Y462)))),"INVALID – expected/actual qty missing",IF(AND(AR462=1,OR(X462&lt;=0,Y462&lt;0)),"INVALID – expected qty must be above 0 and actual not negative",IF(BB462&lt;&gt;"",BB462,IF(AND(AS462=1,Documents!$J$18&lt;&gt;"ON FILE"),"INVALID – GLD not on file (Documents sheet)",IF(AND(AS462=2,Documents!$O$18&lt;&gt;"ON FILE"),"INVALID – menu checklist not on file (Documents sheet)",IF(AND(AS462=3,NOT(ISNUMBER(Flights!$AX$18))),"INVALID – enter carrying flight KUL departure (Flights AX)",IF(AND(AS462=3,OR(Flights!$AZ$18&gt;Flights!$AA$18,Flights!$AX$18&lt;Flights!$AA$18-3)),"INVALID – carrying flight (Flights AX) cannot arrive before this leg's STD, or is over 3 days early",IF(AG462&gt;AsOfUTC,"INVALID – completion time is in the future",IF(AND(ISNUMBER(S462),AG462&lt;S462),IF(H462="Physical uplift","INVALID – before uplift window (cannot confirm loading)","INVALID – before valid window"),IF(AG462&gt;Flights!$AA$18,"INVALID – completed after departure (cannot establish readiness)",IF(AND(H462="Preparation",AG462&gt;IF(ISNUMBER(Flights!$BA$18),MIN(Flights!$BA$18,Flights!$AA$18),Flights!$AA$18)),"INVALID – completed after loading / departure (cannot establish readiness)",IF(AND(H462="Physical uplift",AG462&gt;Q462),"INVALID – recorded after the loading flight departed",IF(AG462&gt;Q462,"COMPLETE – LATE","COMPLETE"))))))))))))))))))))),IF(TRIM(U462)="Fail","FAIL – DISCREPANCY",IF(AND(TRIM(U462)&lt;&gt;"",TRIM(U462)&lt;&gt;"Not started",TRIM(U462)&lt;&gt;"In progress"),"INVALID – unrecognised status (use the list)",IF(AsOfUTC&gt;Q462,"OVERDUE",IF(N462="Clarification required","OPEN – CLARIFICATION","OPEN"))))))),"INVALID – error value in an input cell")</f>
        <v>OPEN</v>
      </c>
      <c r="AI462" s="61" t="n">
        <f aca="false">IF(OR(AH462="N/A – RULE",AH462="N/A – JUSTIFIED"),0,1)</f>
        <v>1</v>
      </c>
      <c r="AJ462" s="61" t="n">
        <f aca="false">IF(LEFT(AH462,8)="COMPLETE",1,0)</f>
        <v>0</v>
      </c>
      <c r="AK462" s="61" t="n">
        <f aca="false">IF(AND(AI462=1,AJ462=0,AsOfUTC&gt;Q462),1,0)</f>
        <v>0</v>
      </c>
      <c r="AL462" s="61" t="n">
        <f aca="false">IFERROR(IF(AND(AI462=1,OR(TRIM(U462)="Fail",AND(TRIM(AB462)&lt;&gt;"",TRIM(AB462)&lt;&gt;"Closed"),AND(ISNUMBER(AF462),AF462&lt;&gt;0,TRIM(U462)&lt;&gt;"Pass after CA"))),1,0),1)</f>
        <v>0</v>
      </c>
      <c r="AM462" s="61" t="n">
        <f aca="false">IF(LEFT(AH462,7)="INVALID",1,0)</f>
        <v>0</v>
      </c>
      <c r="AN462" s="61" t="n">
        <f aca="false">IF(AND(N462="Clarification required",AI462=1,AJ462=0),1,0)</f>
        <v>0</v>
      </c>
      <c r="AO462" s="61" t="str">
        <f aca="false">IF(AK462=1,SUM(AK$5:AK462),"")</f>
        <v/>
      </c>
      <c r="AP462" s="61" t="str">
        <f aca="false">IF(AL462=1,SUM(AL$5:AL462),"")</f>
        <v/>
      </c>
      <c r="AQ462" s="61" t="n">
        <v>0</v>
      </c>
      <c r="AR462" s="61" t="n">
        <v>0</v>
      </c>
      <c r="AS462" s="61" t="n">
        <v>1</v>
      </c>
      <c r="AT462" s="61" t="n">
        <v>0</v>
      </c>
      <c r="AU462" s="61" t="str">
        <f aca="false">SUBSTITUTE(SUBSTITUTE(SUBSTITUTE(SUBSTITUTE(SUBSTITUTE(SUBSTITUTE(SUBSTITUTE(SUBSTITUTE(SUBSTITUTE(SUBSTITUTE(SUBSTITUTE(SUBSTITUTE(SUBSTITUTE(LOWER(T462&amp;""),CHAR(160),"")," ",""),".",""),"-",""),"/",""),"?",""),"_",""),",",""),"[",""),"]",""),"(",""),")",""),"*","")</f>
        <v/>
      </c>
      <c r="AV462" s="61" t="str">
        <f aca="false">SUBSTITUTE(SUBSTITUTE(SUBSTITUTE(SUBSTITUTE(SUBSTITUTE(SUBSTITUTE(SUBSTITUTE(SUBSTITUTE(SUBSTITUTE(SUBSTITUTE(SUBSTITUTE(SUBSTITUTE(SUBSTITUTE(LOWER(V462&amp;""),CHAR(160),"")," ",""),".",""),"-",""),"/",""),"?",""),"_",""),",",""),"[",""),"]",""),"(",""),")",""),"*","")</f>
        <v/>
      </c>
      <c r="AW462" s="61" t="str">
        <f aca="false">SUBSTITUTE(SUBSTITUTE(SUBSTITUTE(SUBSTITUTE(SUBSTITUTE(SUBSTITUTE(SUBSTITUTE(SUBSTITUTE(SUBSTITUTE(SUBSTITUTE(SUBSTITUTE(SUBSTITUTE(SUBSTITUTE(LOWER(Z462&amp;""),CHAR(160),"")," ",""),".",""),"-",""),"/",""),"?",""),"_",""),",",""),"[",""),"]",""),"(",""),")",""),"*","")</f>
        <v/>
      </c>
      <c r="AX462" s="61" t="str">
        <f aca="false">SUBSTITUTE(SUBSTITUTE(SUBSTITUTE(SUBSTITUTE(SUBSTITUTE(SUBSTITUTE(SUBSTITUTE(SUBSTITUTE(SUBSTITUTE(SUBSTITUTE(SUBSTITUTE(SUBSTITUTE(SUBSTITUTE(LOWER(AE462&amp;""),CHAR(160),"")," ",""),".",""),"-",""),"/",""),"?",""),"_",""),",",""),"[",""),"]",""),"(",""),")",""),"*","")</f>
        <v/>
      </c>
      <c r="AY462" s="61" t="str">
        <f aca="false">SUBSTITUTE(SUBSTITUTE(SUBSTITUTE(SUBSTITUTE(SUBSTITUTE(SUBSTITUTE(SUBSTITUTE(SUBSTITUTE(SUBSTITUTE(SUBSTITUTE(SUBSTITUTE(SUBSTITUTE(SUBSTITUTE(LOWER(W462&amp;""),CHAR(160),"")," ",""),".",""),"-",""),"/",""),"?",""),"_",""),",",""),"[",""),"]",""),"(",""),")",""),"*","")</f>
        <v/>
      </c>
      <c r="AZ462" s="61" t="str">
        <f aca="false">SUBSTITUTE(SUBSTITUTE(SUBSTITUTE(SUBSTITUTE(SUBSTITUTE(SUBSTITUTE(SUBSTITUTE(SUBSTITUTE(SUBSTITUTE(SUBSTITUTE(SUBSTITUTE(SUBSTITUTE(SUBSTITUTE(LOWER(AC462&amp;""),CHAR(160),"")," ",""),".",""),"-",""),"/",""),"?",""),"_",""),",",""),"[",""),"]",""),"(",""),")",""),"*","")</f>
        <v/>
      </c>
      <c r="BA462" s="61" t="str">
        <f aca="false">SUBSTITUTE(SUBSTITUTE(SUBSTITUTE(SUBSTITUTE(SUBSTITUTE(SUBSTITUTE(SUBSTITUTE(SUBSTITUTE(SUBSTITUTE(SUBSTITUTE(SUBSTITUTE(SUBSTITUTE(SUBSTITUTE(LOWER(AA462&amp;""),CHAR(160),"")," ",""),".",""),"-",""),"/",""),"?",""),"_",""),",",""),"[",""),"]",""),"(",""),")",""),"*","")</f>
        <v/>
      </c>
      <c r="BB462" s="61" t="str">
        <f aca="false">IF(AND(TRIM(U462)="Pass",ISNUMBER(AF462)),IF(AF462&lt;&gt;0,"INVALID – qty variance: use Fail or Pass after CA",""),"")&amp;IF(AND(TRIM(U462)="Pass after CA",ISNUMBER(AF462)),IF(AF462&lt;&gt;0,"INVALID – after the corrective action the actual qty must equal expected (update Actual)",""),"")&amp;IF(AND(TRIM(U462)="Pass",TRIM(AB462)&lt;&gt;"",TRIM(AB462)&lt;&gt;"Closed"),"INVALID – corrective action not closed: use Fail, then Pass after CA","")&amp;IF(AND(TRIM(AA462)&lt;&gt;"",TRIM(AB462)=""),"INVALID – CA status missing for the recorded corrective action","")&amp;IF(AND(TRIM(U462)="Pass after CA",OR(OR(LEN(BA462)&lt;5,ISNUMBER(MATCH(BA462,L_Placeholder,0))),TRIM(AB462)&lt;&gt;"Closed")),"INVALID – corrective action not recorded/closed","")</f>
        <v/>
      </c>
    </row>
    <row r="463" customFormat="false" ht="39.75" hidden="false" customHeight="true" outlineLevel="0" collapsed="false">
      <c r="A463" s="57" t="s">
        <v>1088</v>
      </c>
      <c r="B463" s="57" t="s">
        <v>273</v>
      </c>
      <c r="C463" s="57" t="str">
        <f aca="false">Flights!$F$18</f>
        <v>MH0004</v>
      </c>
      <c r="D463" s="58" t="n">
        <f aca="false">Flights!$D$18</f>
        <v>46310</v>
      </c>
      <c r="E463" s="57" t="str">
        <f aca="false">Flights!$G$18&amp;"-"&amp;Flights!$H$18</f>
        <v>KUL-LHR</v>
      </c>
      <c r="F463" s="57" t="str">
        <f aca="false">Flights!$K$18</f>
        <v>EY</v>
      </c>
      <c r="G463" s="57" t="s">
        <v>79</v>
      </c>
      <c r="H463" s="57" t="s">
        <v>356</v>
      </c>
      <c r="I463" s="57" t="s">
        <v>383</v>
      </c>
      <c r="J463" s="57" t="s">
        <v>387</v>
      </c>
      <c r="K463" s="67" t="s">
        <v>385</v>
      </c>
      <c r="L463" s="67" t="s">
        <v>360</v>
      </c>
      <c r="M463" s="67"/>
      <c r="N463" s="67" t="s">
        <v>361</v>
      </c>
      <c r="O463" s="67"/>
      <c r="P463" s="57" t="s">
        <v>184</v>
      </c>
      <c r="Q463" s="59" t="n">
        <f aca="false">ROUND((Flights!$AC$18)*1440,0)/1440</f>
        <v>46303.0763888889</v>
      </c>
      <c r="R463" s="59" t="n">
        <f aca="false">Q463+(IF(AND(INDEX(TZ_DSTS,MATCH(P463,TZ_STN,0))&lt;&gt;"",Q463&gt;=INDEX(TZ_DSTS,MATCH(P463,TZ_STN,0)),Q463&lt;INDEX(TZ_DSTE,MATCH(P463,TZ_STN,0))),INDEX(TZ_DST,MATCH(P463,TZ_STN,0)),INDEX(TZ_STD,MATCH(P463,TZ_STN,0))))/24</f>
        <v>46303.4097222222</v>
      </c>
      <c r="S463" s="59" t="n">
        <f aca="false">Q463-T7EarlyD*24/24</f>
        <v>46289.0763888889</v>
      </c>
      <c r="T463" s="60"/>
      <c r="U463" s="60"/>
      <c r="V463" s="60"/>
      <c r="W463" s="61"/>
      <c r="X463" s="60"/>
      <c r="Y463" s="60"/>
      <c r="Z463" s="60"/>
      <c r="AA463" s="60"/>
      <c r="AB463" s="60"/>
      <c r="AC463" s="60"/>
      <c r="AD463" s="66"/>
      <c r="AE463" s="60"/>
      <c r="AF463" s="61" t="str">
        <f aca="false">IF(AND(ISNUMBER(X463),ISNUMBER(Y463)),Y463-X463,"")</f>
        <v/>
      </c>
      <c r="AG463" s="62" t="str">
        <f aca="false">IF(ISNUMBER(AD463),AD463-(IF(AND(INDEX(TZ_DSTS,MATCH(P463,TZ_STN,0))&lt;&gt;"",(AD463-INDEX(TZ_STD,MATCH(P463,TZ_STN,0))/24)&gt;=INDEX(TZ_DSTS,MATCH(P463,TZ_STN,0)),(AD463-INDEX(TZ_STD,MATCH(P463,TZ_STN,0))/24)&lt;INDEX(TZ_DSTE,MATCH(P463,TZ_STN,0))),INDEX(TZ_DST,MATCH(P463,TZ_STN,0)),INDEX(TZ_STD,MATCH(P463,TZ_STN,0))))/24,"")</f>
        <v/>
      </c>
      <c r="AH463" s="65" t="str">
        <f aca="false">IFERROR(IF(N463="N/A – rule","N/A – RULE",IF(TRIM(U463)="N/A",IF(AT463=0,"INVALID – N/A not permitted for this check",IF(AND(TRIM(AB463)&lt;&gt;"",TRIM(AB463)&lt;&gt;"Closed"),"INVALID – corrective action still open",IF(AND(NOT(OR(LEN(AZ463)&lt;15,ISNUMBER(MATCH(AZ463,L_Placeholder,0)))),NOT(OR(LEN(AU463)&lt;2,ISNUMBER(MATCH(AU463,L_Placeholder,0)))),NOT(OR(LEN(AX463)&lt;2,ISNUMBER(MATCH(AX463,L_Placeholder,0)))),TRIM(AE463)&lt;&gt;TRIM(T463)),"N/A – JUSTIFIED","INVALID – N/A needs a real justification (15+ chars), PIC and a different verifier"))),IF(OR(TRIM(U463)="Pass",TRIM(U463)="Pass after CA"),IF(NOT(ISNUMBER(AD463)),"INVALID – completion time missing",IF(OR(LEN(AU463)&lt;2,ISNUMBER(MATCH(AU463,L_Placeholder,0))),"INVALID – PIC missing",IF(OR(LEN(AV463)&lt;2,ISNUMBER(MATCH(AV463,L_Placeholder,0))),"INVALID – result / assessment missing",IF(OR(OR(LEN(AW463)&lt;3,ISNUMBER(MATCH(AW463,L_Placeholder,0))),SUMPRODUCT(--ISNUMBER(SEARCH(L_EvidencePhrase,AW463)))&gt;0),"INVALID – evidence missing, placeholder or not yet on file",IF(OR(LEN(AX463)&lt;2,ISNUMBER(MATCH(AX463,L_Placeholder,0))),"INVALID – verifier missing",IF(AX463=AU463,"INVALID – verifier must be someone other than the PIC",IF(AND(TRIM(U463)="Pass",SUMPRODUCT(--ISNUMBER(SEARCH(L_ResultBad,AV463)))&gt;0),"INVALID – result describes a problem: use Fail, then Pass after CA",IF(AND(AQ463=1,OR(LEN(AY463)&lt;3,ISNUMBER(MATCH(AY463,L_Placeholder,0)))),"INVALID – batch ID missing or placeholder",IF(AND(AR463=1,OR(NOT(ISNUMBER(X463)),NOT(ISNUMBER(Y463)))),"INVALID – expected/actual qty missing",IF(AND(AR463=1,OR(X463&lt;=0,Y463&lt;0)),"INVALID – expected qty must be above 0 and actual not negative",IF(BB463&lt;&gt;"",BB463,IF(AND(AS463=1,Documents!$J$18&lt;&gt;"ON FILE"),"INVALID – GLD not on file (Documents sheet)",IF(AND(AS463=2,Documents!$O$18&lt;&gt;"ON FILE"),"INVALID – menu checklist not on file (Documents sheet)",IF(AND(AS463=3,NOT(ISNUMBER(Flights!$AX$18))),"INVALID – enter carrying flight KUL departure (Flights AX)",IF(AND(AS463=3,OR(Flights!$AZ$18&gt;Flights!$AA$18,Flights!$AX$18&lt;Flights!$AA$18-3)),"INVALID – carrying flight (Flights AX) cannot arrive before this leg's STD, or is over 3 days early",IF(AG463&gt;AsOfUTC,"INVALID – completion time is in the future",IF(AND(ISNUMBER(S463),AG463&lt;S463),IF(H463="Physical uplift","INVALID – before uplift window (cannot confirm loading)","INVALID – before valid window"),IF(AG463&gt;Flights!$AA$18,"INVALID – completed after departure (cannot establish readiness)",IF(AND(H463="Preparation",AG463&gt;IF(ISNUMBER(Flights!$BA$18),MIN(Flights!$BA$18,Flights!$AA$18),Flights!$AA$18)),"INVALID – completed after loading / departure (cannot establish readiness)",IF(AND(H463="Physical uplift",AG463&gt;Q463),"INVALID – recorded after the loading flight departed",IF(AG463&gt;Q463,"COMPLETE – LATE","COMPLETE"))))))))))))))))))))),IF(TRIM(U463)="Fail","FAIL – DISCREPANCY",IF(AND(TRIM(U463)&lt;&gt;"",TRIM(U463)&lt;&gt;"Not started",TRIM(U463)&lt;&gt;"In progress"),"INVALID – unrecognised status (use the list)",IF(AsOfUTC&gt;Q463,"OVERDUE",IF(N463="Clarification required","OPEN – CLARIFICATION","OPEN"))))))),"INVALID – error value in an input cell")</f>
        <v>OPEN</v>
      </c>
      <c r="AI463" s="61" t="n">
        <f aca="false">IF(OR(AH463="N/A – RULE",AH463="N/A – JUSTIFIED"),0,1)</f>
        <v>1</v>
      </c>
      <c r="AJ463" s="61" t="n">
        <f aca="false">IF(LEFT(AH463,8)="COMPLETE",1,0)</f>
        <v>0</v>
      </c>
      <c r="AK463" s="61" t="n">
        <f aca="false">IF(AND(AI463=1,AJ463=0,AsOfUTC&gt;Q463),1,0)</f>
        <v>0</v>
      </c>
      <c r="AL463" s="61" t="n">
        <f aca="false">IFERROR(IF(AND(AI463=1,OR(TRIM(U463)="Fail",AND(TRIM(AB463)&lt;&gt;"",TRIM(AB463)&lt;&gt;"Closed"),AND(ISNUMBER(AF463),AF463&lt;&gt;0,TRIM(U463)&lt;&gt;"Pass after CA"))),1,0),1)</f>
        <v>0</v>
      </c>
      <c r="AM463" s="61" t="n">
        <f aca="false">IF(LEFT(AH463,7)="INVALID",1,0)</f>
        <v>0</v>
      </c>
      <c r="AN463" s="61" t="n">
        <f aca="false">IF(AND(N463="Clarification required",AI463=1,AJ463=0),1,0)</f>
        <v>0</v>
      </c>
      <c r="AO463" s="61" t="str">
        <f aca="false">IF(AK463=1,SUM(AK$5:AK463),"")</f>
        <v/>
      </c>
      <c r="AP463" s="61" t="str">
        <f aca="false">IF(AL463=1,SUM(AL$5:AL463),"")</f>
        <v/>
      </c>
      <c r="AQ463" s="61" t="n">
        <v>0</v>
      </c>
      <c r="AR463" s="61" t="n">
        <v>0</v>
      </c>
      <c r="AS463" s="61" t="n">
        <v>2</v>
      </c>
      <c r="AT463" s="61" t="n">
        <v>0</v>
      </c>
      <c r="AU463" s="61" t="str">
        <f aca="false">SUBSTITUTE(SUBSTITUTE(SUBSTITUTE(SUBSTITUTE(SUBSTITUTE(SUBSTITUTE(SUBSTITUTE(SUBSTITUTE(SUBSTITUTE(SUBSTITUTE(SUBSTITUTE(SUBSTITUTE(SUBSTITUTE(LOWER(T463&amp;""),CHAR(160),"")," ",""),".",""),"-",""),"/",""),"?",""),"_",""),",",""),"[",""),"]",""),"(",""),")",""),"*","")</f>
        <v/>
      </c>
      <c r="AV463" s="61" t="str">
        <f aca="false">SUBSTITUTE(SUBSTITUTE(SUBSTITUTE(SUBSTITUTE(SUBSTITUTE(SUBSTITUTE(SUBSTITUTE(SUBSTITUTE(SUBSTITUTE(SUBSTITUTE(SUBSTITUTE(SUBSTITUTE(SUBSTITUTE(LOWER(V463&amp;""),CHAR(160),"")," ",""),".",""),"-",""),"/",""),"?",""),"_",""),",",""),"[",""),"]",""),"(",""),")",""),"*","")</f>
        <v/>
      </c>
      <c r="AW463" s="61" t="str">
        <f aca="false">SUBSTITUTE(SUBSTITUTE(SUBSTITUTE(SUBSTITUTE(SUBSTITUTE(SUBSTITUTE(SUBSTITUTE(SUBSTITUTE(SUBSTITUTE(SUBSTITUTE(SUBSTITUTE(SUBSTITUTE(SUBSTITUTE(LOWER(Z463&amp;""),CHAR(160),"")," ",""),".",""),"-",""),"/",""),"?",""),"_",""),",",""),"[",""),"]",""),"(",""),")",""),"*","")</f>
        <v/>
      </c>
      <c r="AX463" s="61" t="str">
        <f aca="false">SUBSTITUTE(SUBSTITUTE(SUBSTITUTE(SUBSTITUTE(SUBSTITUTE(SUBSTITUTE(SUBSTITUTE(SUBSTITUTE(SUBSTITUTE(SUBSTITUTE(SUBSTITUTE(SUBSTITUTE(SUBSTITUTE(LOWER(AE463&amp;""),CHAR(160),"")," ",""),".",""),"-",""),"/",""),"?",""),"_",""),",",""),"[",""),"]",""),"(",""),")",""),"*","")</f>
        <v/>
      </c>
      <c r="AY463" s="61" t="str">
        <f aca="false">SUBSTITUTE(SUBSTITUTE(SUBSTITUTE(SUBSTITUTE(SUBSTITUTE(SUBSTITUTE(SUBSTITUTE(SUBSTITUTE(SUBSTITUTE(SUBSTITUTE(SUBSTITUTE(SUBSTITUTE(SUBSTITUTE(LOWER(W463&amp;""),CHAR(160),"")," ",""),".",""),"-",""),"/",""),"?",""),"_",""),",",""),"[",""),"]",""),"(",""),")",""),"*","")</f>
        <v/>
      </c>
      <c r="AZ463" s="61" t="str">
        <f aca="false">SUBSTITUTE(SUBSTITUTE(SUBSTITUTE(SUBSTITUTE(SUBSTITUTE(SUBSTITUTE(SUBSTITUTE(SUBSTITUTE(SUBSTITUTE(SUBSTITUTE(SUBSTITUTE(SUBSTITUTE(SUBSTITUTE(LOWER(AC463&amp;""),CHAR(160),"")," ",""),".",""),"-",""),"/",""),"?",""),"_",""),",",""),"[",""),"]",""),"(",""),")",""),"*","")</f>
        <v/>
      </c>
      <c r="BA463" s="61" t="str">
        <f aca="false">SUBSTITUTE(SUBSTITUTE(SUBSTITUTE(SUBSTITUTE(SUBSTITUTE(SUBSTITUTE(SUBSTITUTE(SUBSTITUTE(SUBSTITUTE(SUBSTITUTE(SUBSTITUTE(SUBSTITUTE(SUBSTITUTE(LOWER(AA463&amp;""),CHAR(160),"")," ",""),".",""),"-",""),"/",""),"?",""),"_",""),",",""),"[",""),"]",""),"(",""),")",""),"*","")</f>
        <v/>
      </c>
      <c r="BB463" s="61" t="str">
        <f aca="false">IF(AND(TRIM(U463)="Pass",ISNUMBER(AF463)),IF(AF463&lt;&gt;0,"INVALID – qty variance: use Fail or Pass after CA",""),"")&amp;IF(AND(TRIM(U463)="Pass after CA",ISNUMBER(AF463)),IF(AF463&lt;&gt;0,"INVALID – after the corrective action the actual qty must equal expected (update Actual)",""),"")&amp;IF(AND(TRIM(U463)="Pass",TRIM(AB463)&lt;&gt;"",TRIM(AB463)&lt;&gt;"Closed"),"INVALID – corrective action not closed: use Fail, then Pass after CA","")&amp;IF(AND(TRIM(AA463)&lt;&gt;"",TRIM(AB463)=""),"INVALID – CA status missing for the recorded corrective action","")&amp;IF(AND(TRIM(U463)="Pass after CA",OR(OR(LEN(BA463)&lt;5,ISNUMBER(MATCH(BA463,L_Placeholder,0))),TRIM(AB463)&lt;&gt;"Closed")),"INVALID – corrective action not recorded/closed","")</f>
        <v/>
      </c>
    </row>
    <row r="464" customFormat="false" ht="39.75" hidden="false" customHeight="true" outlineLevel="0" collapsed="false">
      <c r="A464" s="57" t="s">
        <v>1089</v>
      </c>
      <c r="B464" s="57" t="s">
        <v>273</v>
      </c>
      <c r="C464" s="57" t="str">
        <f aca="false">Flights!$F$18</f>
        <v>MH0004</v>
      </c>
      <c r="D464" s="58" t="n">
        <f aca="false">Flights!$D$18</f>
        <v>46310</v>
      </c>
      <c r="E464" s="57" t="str">
        <f aca="false">Flights!$G$18&amp;"-"&amp;Flights!$H$18</f>
        <v>KUL-LHR</v>
      </c>
      <c r="F464" s="57" t="str">
        <f aca="false">Flights!$K$18</f>
        <v>EY</v>
      </c>
      <c r="G464" s="57" t="s">
        <v>79</v>
      </c>
      <c r="H464" s="57" t="s">
        <v>356</v>
      </c>
      <c r="I464" s="57" t="s">
        <v>389</v>
      </c>
      <c r="J464" s="57" t="s">
        <v>390</v>
      </c>
      <c r="K464" s="67" t="s">
        <v>694</v>
      </c>
      <c r="L464" s="67" t="s">
        <v>392</v>
      </c>
      <c r="M464" s="67"/>
      <c r="N464" s="67" t="s">
        <v>361</v>
      </c>
      <c r="O464" s="67"/>
      <c r="P464" s="57" t="s">
        <v>184</v>
      </c>
      <c r="Q464" s="59" t="n">
        <f aca="false">ROUND((Flights!$AC$18)*1440,0)/1440</f>
        <v>46303.0763888889</v>
      </c>
      <c r="R464" s="59" t="n">
        <f aca="false">Q464+(IF(AND(INDEX(TZ_DSTS,MATCH(P464,TZ_STN,0))&lt;&gt;"",Q464&gt;=INDEX(TZ_DSTS,MATCH(P464,TZ_STN,0)),Q464&lt;INDEX(TZ_DSTE,MATCH(P464,TZ_STN,0))),INDEX(TZ_DST,MATCH(P464,TZ_STN,0)),INDEX(TZ_STD,MATCH(P464,TZ_STN,0))))/24</f>
        <v>46303.4097222222</v>
      </c>
      <c r="S464" s="59" t="n">
        <f aca="false">Q464-T7EarlyD*24/24</f>
        <v>46289.0763888889</v>
      </c>
      <c r="T464" s="60"/>
      <c r="U464" s="60"/>
      <c r="V464" s="60"/>
      <c r="W464" s="61"/>
      <c r="X464" s="60"/>
      <c r="Y464" s="60"/>
      <c r="Z464" s="60"/>
      <c r="AA464" s="60"/>
      <c r="AB464" s="60"/>
      <c r="AC464" s="60"/>
      <c r="AD464" s="66"/>
      <c r="AE464" s="60"/>
      <c r="AF464" s="61" t="str">
        <f aca="false">IF(AND(ISNUMBER(X464),ISNUMBER(Y464)),Y464-X464,"")</f>
        <v/>
      </c>
      <c r="AG464" s="62" t="str">
        <f aca="false">IF(ISNUMBER(AD464),AD464-(IF(AND(INDEX(TZ_DSTS,MATCH(P464,TZ_STN,0))&lt;&gt;"",(AD464-INDEX(TZ_STD,MATCH(P464,TZ_STN,0))/24)&gt;=INDEX(TZ_DSTS,MATCH(P464,TZ_STN,0)),(AD464-INDEX(TZ_STD,MATCH(P464,TZ_STN,0))/24)&lt;INDEX(TZ_DSTE,MATCH(P464,TZ_STN,0))),INDEX(TZ_DST,MATCH(P464,TZ_STN,0)),INDEX(TZ_STD,MATCH(P464,TZ_STN,0))))/24,"")</f>
        <v/>
      </c>
      <c r="AH464" s="65" t="str">
        <f aca="false">IFERROR(IF(N464="N/A – rule","N/A – RULE",IF(TRIM(U464)="N/A",IF(AT464=0,"INVALID – N/A not permitted for this check",IF(AND(TRIM(AB464)&lt;&gt;"",TRIM(AB464)&lt;&gt;"Closed"),"INVALID – corrective action still open",IF(AND(NOT(OR(LEN(AZ464)&lt;15,ISNUMBER(MATCH(AZ464,L_Placeholder,0)))),NOT(OR(LEN(AU464)&lt;2,ISNUMBER(MATCH(AU464,L_Placeholder,0)))),NOT(OR(LEN(AX464)&lt;2,ISNUMBER(MATCH(AX464,L_Placeholder,0)))),TRIM(AE464)&lt;&gt;TRIM(T464)),"N/A – JUSTIFIED","INVALID – N/A needs a real justification (15+ chars), PIC and a different verifier"))),IF(OR(TRIM(U464)="Pass",TRIM(U464)="Pass after CA"),IF(NOT(ISNUMBER(AD464)),"INVALID – completion time missing",IF(OR(LEN(AU464)&lt;2,ISNUMBER(MATCH(AU464,L_Placeholder,0))),"INVALID – PIC missing",IF(OR(LEN(AV464)&lt;2,ISNUMBER(MATCH(AV464,L_Placeholder,0))),"INVALID – result / assessment missing",IF(OR(OR(LEN(AW464)&lt;3,ISNUMBER(MATCH(AW464,L_Placeholder,0))),SUMPRODUCT(--ISNUMBER(SEARCH(L_EvidencePhrase,AW464)))&gt;0),"INVALID – evidence missing, placeholder or not yet on file",IF(OR(LEN(AX464)&lt;2,ISNUMBER(MATCH(AX464,L_Placeholder,0))),"INVALID – verifier missing",IF(AX464=AU464,"INVALID – verifier must be someone other than the PIC",IF(AND(TRIM(U464)="Pass",SUMPRODUCT(--ISNUMBER(SEARCH(L_ResultBad,AV464)))&gt;0),"INVALID – result describes a problem: use Fail, then Pass after CA",IF(AND(AQ464=1,OR(LEN(AY464)&lt;3,ISNUMBER(MATCH(AY464,L_Placeholder,0)))),"INVALID – batch ID missing or placeholder",IF(AND(AR464=1,OR(NOT(ISNUMBER(X464)),NOT(ISNUMBER(Y464)))),"INVALID – expected/actual qty missing",IF(AND(AR464=1,OR(X464&lt;=0,Y464&lt;0)),"INVALID – expected qty must be above 0 and actual not negative",IF(BB464&lt;&gt;"",BB464,IF(AND(AS464=1,Documents!$J$18&lt;&gt;"ON FILE"),"INVALID – GLD not on file (Documents sheet)",IF(AND(AS464=2,Documents!$O$18&lt;&gt;"ON FILE"),"INVALID – menu checklist not on file (Documents sheet)",IF(AND(AS464=3,NOT(ISNUMBER(Flights!$AX$18))),"INVALID – enter carrying flight KUL departure (Flights AX)",IF(AND(AS464=3,OR(Flights!$AZ$18&gt;Flights!$AA$18,Flights!$AX$18&lt;Flights!$AA$18-3)),"INVALID – carrying flight (Flights AX) cannot arrive before this leg's STD, or is over 3 days early",IF(AG464&gt;AsOfUTC,"INVALID – completion time is in the future",IF(AND(ISNUMBER(S464),AG464&lt;S464),IF(H464="Physical uplift","INVALID – before uplift window (cannot confirm loading)","INVALID – before valid window"),IF(AG464&gt;Flights!$AA$18,"INVALID – completed after departure (cannot establish readiness)",IF(AND(H464="Preparation",AG464&gt;IF(ISNUMBER(Flights!$BA$18),MIN(Flights!$BA$18,Flights!$AA$18),Flights!$AA$18)),"INVALID – completed after loading / departure (cannot establish readiness)",IF(AND(H464="Physical uplift",AG464&gt;Q464),"INVALID – recorded after the loading flight departed",IF(AG464&gt;Q464,"COMPLETE – LATE","COMPLETE"))))))))))))))))))))),IF(TRIM(U464)="Fail","FAIL – DISCREPANCY",IF(AND(TRIM(U464)&lt;&gt;"",TRIM(U464)&lt;&gt;"Not started",TRIM(U464)&lt;&gt;"In progress"),"INVALID – unrecognised status (use the list)",IF(AsOfUTC&gt;Q464,"OVERDUE",IF(N464="Clarification required","OPEN – CLARIFICATION","OPEN"))))))),"INVALID – error value in an input cell")</f>
        <v>OPEN</v>
      </c>
      <c r="AI464" s="61" t="n">
        <f aca="false">IF(OR(AH464="N/A – RULE",AH464="N/A – JUSTIFIED"),0,1)</f>
        <v>1</v>
      </c>
      <c r="AJ464" s="61" t="n">
        <f aca="false">IF(LEFT(AH464,8)="COMPLETE",1,0)</f>
        <v>0</v>
      </c>
      <c r="AK464" s="61" t="n">
        <f aca="false">IF(AND(AI464=1,AJ464=0,AsOfUTC&gt;Q464),1,0)</f>
        <v>0</v>
      </c>
      <c r="AL464" s="61" t="n">
        <f aca="false">IFERROR(IF(AND(AI464=1,OR(TRIM(U464)="Fail",AND(TRIM(AB464)&lt;&gt;"",TRIM(AB464)&lt;&gt;"Closed"),AND(ISNUMBER(AF464),AF464&lt;&gt;0,TRIM(U464)&lt;&gt;"Pass after CA"))),1,0),1)</f>
        <v>0</v>
      </c>
      <c r="AM464" s="61" t="n">
        <f aca="false">IF(LEFT(AH464,7)="INVALID",1,0)</f>
        <v>0</v>
      </c>
      <c r="AN464" s="61" t="n">
        <f aca="false">IF(AND(N464="Clarification required",AI464=1,AJ464=0),1,0)</f>
        <v>0</v>
      </c>
      <c r="AO464" s="61" t="str">
        <f aca="false">IF(AK464=1,SUM(AK$5:AK464),"")</f>
        <v/>
      </c>
      <c r="AP464" s="61" t="str">
        <f aca="false">IF(AL464=1,SUM(AL$5:AL464),"")</f>
        <v/>
      </c>
      <c r="AQ464" s="61" t="n">
        <v>0</v>
      </c>
      <c r="AR464" s="61" t="n">
        <v>0</v>
      </c>
      <c r="AS464" s="61" t="n">
        <v>0</v>
      </c>
      <c r="AT464" s="61" t="n">
        <v>0</v>
      </c>
      <c r="AU464" s="61" t="str">
        <f aca="false">SUBSTITUTE(SUBSTITUTE(SUBSTITUTE(SUBSTITUTE(SUBSTITUTE(SUBSTITUTE(SUBSTITUTE(SUBSTITUTE(SUBSTITUTE(SUBSTITUTE(SUBSTITUTE(SUBSTITUTE(SUBSTITUTE(LOWER(T464&amp;""),CHAR(160),"")," ",""),".",""),"-",""),"/",""),"?",""),"_",""),",",""),"[",""),"]",""),"(",""),")",""),"*","")</f>
        <v/>
      </c>
      <c r="AV464" s="61" t="str">
        <f aca="false">SUBSTITUTE(SUBSTITUTE(SUBSTITUTE(SUBSTITUTE(SUBSTITUTE(SUBSTITUTE(SUBSTITUTE(SUBSTITUTE(SUBSTITUTE(SUBSTITUTE(SUBSTITUTE(SUBSTITUTE(SUBSTITUTE(LOWER(V464&amp;""),CHAR(160),"")," ",""),".",""),"-",""),"/",""),"?",""),"_",""),",",""),"[",""),"]",""),"(",""),")",""),"*","")</f>
        <v/>
      </c>
      <c r="AW464" s="61" t="str">
        <f aca="false">SUBSTITUTE(SUBSTITUTE(SUBSTITUTE(SUBSTITUTE(SUBSTITUTE(SUBSTITUTE(SUBSTITUTE(SUBSTITUTE(SUBSTITUTE(SUBSTITUTE(SUBSTITUTE(SUBSTITUTE(SUBSTITUTE(LOWER(Z464&amp;""),CHAR(160),"")," ",""),".",""),"-",""),"/",""),"?",""),"_",""),",",""),"[",""),"]",""),"(",""),")",""),"*","")</f>
        <v/>
      </c>
      <c r="AX464" s="61" t="str">
        <f aca="false">SUBSTITUTE(SUBSTITUTE(SUBSTITUTE(SUBSTITUTE(SUBSTITUTE(SUBSTITUTE(SUBSTITUTE(SUBSTITUTE(SUBSTITUTE(SUBSTITUTE(SUBSTITUTE(SUBSTITUTE(SUBSTITUTE(LOWER(AE464&amp;""),CHAR(160),"")," ",""),".",""),"-",""),"/",""),"?",""),"_",""),",",""),"[",""),"]",""),"(",""),")",""),"*","")</f>
        <v/>
      </c>
      <c r="AY464" s="61" t="str">
        <f aca="false">SUBSTITUTE(SUBSTITUTE(SUBSTITUTE(SUBSTITUTE(SUBSTITUTE(SUBSTITUTE(SUBSTITUTE(SUBSTITUTE(SUBSTITUTE(SUBSTITUTE(SUBSTITUTE(SUBSTITUTE(SUBSTITUTE(LOWER(W464&amp;""),CHAR(160),"")," ",""),".",""),"-",""),"/",""),"?",""),"_",""),",",""),"[",""),"]",""),"(",""),")",""),"*","")</f>
        <v/>
      </c>
      <c r="AZ464" s="61" t="str">
        <f aca="false">SUBSTITUTE(SUBSTITUTE(SUBSTITUTE(SUBSTITUTE(SUBSTITUTE(SUBSTITUTE(SUBSTITUTE(SUBSTITUTE(SUBSTITUTE(SUBSTITUTE(SUBSTITUTE(SUBSTITUTE(SUBSTITUTE(LOWER(AC464&amp;""),CHAR(160),"")," ",""),".",""),"-",""),"/",""),"?",""),"_",""),",",""),"[",""),"]",""),"(",""),")",""),"*","")</f>
        <v/>
      </c>
      <c r="BA464" s="61" t="str">
        <f aca="false">SUBSTITUTE(SUBSTITUTE(SUBSTITUTE(SUBSTITUTE(SUBSTITUTE(SUBSTITUTE(SUBSTITUTE(SUBSTITUTE(SUBSTITUTE(SUBSTITUTE(SUBSTITUTE(SUBSTITUTE(SUBSTITUTE(LOWER(AA464&amp;""),CHAR(160),"")," ",""),".",""),"-",""),"/",""),"?",""),"_",""),",",""),"[",""),"]",""),"(",""),")",""),"*","")</f>
        <v/>
      </c>
      <c r="BB464" s="61" t="str">
        <f aca="false">IF(AND(TRIM(U464)="Pass",ISNUMBER(AF464)),IF(AF464&lt;&gt;0,"INVALID – qty variance: use Fail or Pass after CA",""),"")&amp;IF(AND(TRIM(U464)="Pass after CA",ISNUMBER(AF464)),IF(AF464&lt;&gt;0,"INVALID – after the corrective action the actual qty must equal expected (update Actual)",""),"")&amp;IF(AND(TRIM(U464)="Pass",TRIM(AB464)&lt;&gt;"",TRIM(AB464)&lt;&gt;"Closed"),"INVALID – corrective action not closed: use Fail, then Pass after CA","")&amp;IF(AND(TRIM(AA464)&lt;&gt;"",TRIM(AB464)=""),"INVALID – CA status missing for the recorded corrective action","")&amp;IF(AND(TRIM(U464)="Pass after CA",OR(OR(LEN(BA464)&lt;5,ISNUMBER(MATCH(BA464,L_Placeholder,0))),TRIM(AB464)&lt;&gt;"Closed")),"INVALID – corrective action not recorded/closed","")</f>
        <v/>
      </c>
    </row>
    <row r="465" customFormat="false" ht="39.75" hidden="false" customHeight="true" outlineLevel="0" collapsed="false">
      <c r="A465" s="57" t="s">
        <v>1090</v>
      </c>
      <c r="B465" s="57" t="s">
        <v>273</v>
      </c>
      <c r="C465" s="57" t="str">
        <f aca="false">Flights!$F$18</f>
        <v>MH0004</v>
      </c>
      <c r="D465" s="58" t="n">
        <f aca="false">Flights!$D$18</f>
        <v>46310</v>
      </c>
      <c r="E465" s="57" t="str">
        <f aca="false">Flights!$G$18&amp;"-"&amp;Flights!$H$18</f>
        <v>KUL-LHR</v>
      </c>
      <c r="F465" s="57" t="str">
        <f aca="false">Flights!$K$18</f>
        <v>EY</v>
      </c>
      <c r="G465" s="57" t="s">
        <v>81</v>
      </c>
      <c r="H465" s="57" t="s">
        <v>356</v>
      </c>
      <c r="I465" s="57" t="s">
        <v>357</v>
      </c>
      <c r="J465" s="57" t="s">
        <v>394</v>
      </c>
      <c r="K465" s="67" t="s">
        <v>395</v>
      </c>
      <c r="L465" s="67" t="s">
        <v>396</v>
      </c>
      <c r="M465" s="67"/>
      <c r="N465" s="67" t="s">
        <v>361</v>
      </c>
      <c r="O465" s="67"/>
      <c r="P465" s="57" t="s">
        <v>184</v>
      </c>
      <c r="Q465" s="59" t="n">
        <f aca="false">ROUND((Flights!$AD$18)*1440,0)/1440</f>
        <v>46309.0763888889</v>
      </c>
      <c r="R465" s="59" t="n">
        <f aca="false">Q465+(IF(AND(INDEX(TZ_DSTS,MATCH(P465,TZ_STN,0))&lt;&gt;"",Q465&gt;=INDEX(TZ_DSTS,MATCH(P465,TZ_STN,0)),Q465&lt;INDEX(TZ_DSTE,MATCH(P465,TZ_STN,0))),INDEX(TZ_DST,MATCH(P465,TZ_STN,0)),INDEX(TZ_STD,MATCH(P465,TZ_STN,0))))/24</f>
        <v>46309.4097222222</v>
      </c>
      <c r="S465" s="59" t="n">
        <f aca="false">Q465-T24EarlyH/24</f>
        <v>46308.0763888889</v>
      </c>
      <c r="T465" s="60"/>
      <c r="U465" s="60"/>
      <c r="V465" s="60"/>
      <c r="W465" s="60"/>
      <c r="X465" s="60"/>
      <c r="Y465" s="60"/>
      <c r="Z465" s="60"/>
      <c r="AA465" s="60"/>
      <c r="AB465" s="60"/>
      <c r="AC465" s="60"/>
      <c r="AD465" s="66"/>
      <c r="AE465" s="60"/>
      <c r="AF465" s="61" t="str">
        <f aca="false">IF(AND(ISNUMBER(X465),ISNUMBER(Y465)),Y465-X465,"")</f>
        <v/>
      </c>
      <c r="AG465" s="62" t="str">
        <f aca="false">IF(ISNUMBER(AD465),AD465-(IF(AND(INDEX(TZ_DSTS,MATCH(P465,TZ_STN,0))&lt;&gt;"",(AD465-INDEX(TZ_STD,MATCH(P465,TZ_STN,0))/24)&gt;=INDEX(TZ_DSTS,MATCH(P465,TZ_STN,0)),(AD465-INDEX(TZ_STD,MATCH(P465,TZ_STN,0))/24)&lt;INDEX(TZ_DSTE,MATCH(P465,TZ_STN,0))),INDEX(TZ_DST,MATCH(P465,TZ_STN,0)),INDEX(TZ_STD,MATCH(P465,TZ_STN,0))))/24,"")</f>
        <v/>
      </c>
      <c r="AH465" s="65" t="str">
        <f aca="false">IFERROR(IF(N465="N/A – rule","N/A – RULE",IF(TRIM(U465)="N/A",IF(AT465=0,"INVALID – N/A not permitted for this check",IF(AND(TRIM(AB465)&lt;&gt;"",TRIM(AB465)&lt;&gt;"Closed"),"INVALID – corrective action still open",IF(AND(NOT(OR(LEN(AZ465)&lt;15,ISNUMBER(MATCH(AZ465,L_Placeholder,0)))),NOT(OR(LEN(AU465)&lt;2,ISNUMBER(MATCH(AU465,L_Placeholder,0)))),NOT(OR(LEN(AX465)&lt;2,ISNUMBER(MATCH(AX465,L_Placeholder,0)))),TRIM(AE465)&lt;&gt;TRIM(T465)),"N/A – JUSTIFIED","INVALID – N/A needs a real justification (15+ chars), PIC and a different verifier"))),IF(OR(TRIM(U465)="Pass",TRIM(U465)="Pass after CA"),IF(NOT(ISNUMBER(AD465)),"INVALID – completion time missing",IF(OR(LEN(AU465)&lt;2,ISNUMBER(MATCH(AU465,L_Placeholder,0))),"INVALID – PIC missing",IF(OR(LEN(AV465)&lt;2,ISNUMBER(MATCH(AV465,L_Placeholder,0))),"INVALID – result / assessment missing",IF(OR(OR(LEN(AW465)&lt;3,ISNUMBER(MATCH(AW465,L_Placeholder,0))),SUMPRODUCT(--ISNUMBER(SEARCH(L_EvidencePhrase,AW465)))&gt;0),"INVALID – evidence missing, placeholder or not yet on file",IF(OR(LEN(AX465)&lt;2,ISNUMBER(MATCH(AX465,L_Placeholder,0))),"INVALID – verifier missing",IF(AX465=AU465,"INVALID – verifier must be someone other than the PIC",IF(AND(TRIM(U465)="Pass",SUMPRODUCT(--ISNUMBER(SEARCH(L_ResultBad,AV465)))&gt;0),"INVALID – result describes a problem: use Fail, then Pass after CA",IF(AND(AQ465=1,OR(LEN(AY465)&lt;3,ISNUMBER(MATCH(AY465,L_Placeholder,0)))),"INVALID – batch ID missing or placeholder",IF(AND(AR465=1,OR(NOT(ISNUMBER(X465)),NOT(ISNUMBER(Y465)))),"INVALID – expected/actual qty missing",IF(AND(AR465=1,OR(X465&lt;=0,Y465&lt;0)),"INVALID – expected qty must be above 0 and actual not negative",IF(BB465&lt;&gt;"",BB465,IF(AND(AS465=1,Documents!$J$18&lt;&gt;"ON FILE"),"INVALID – GLD not on file (Documents sheet)",IF(AND(AS465=2,Documents!$O$18&lt;&gt;"ON FILE"),"INVALID – menu checklist not on file (Documents sheet)",IF(AND(AS465=3,NOT(ISNUMBER(Flights!$AX$18))),"INVALID – enter carrying flight KUL departure (Flights AX)",IF(AND(AS465=3,OR(Flights!$AZ$18&gt;Flights!$AA$18,Flights!$AX$18&lt;Flights!$AA$18-3)),"INVALID – carrying flight (Flights AX) cannot arrive before this leg's STD, or is over 3 days early",IF(AG465&gt;AsOfUTC,"INVALID – completion time is in the future",IF(AND(ISNUMBER(S465),AG465&lt;S465),IF(H465="Physical uplift","INVALID – before uplift window (cannot confirm loading)","INVALID – before valid window"),IF(AG465&gt;Flights!$AA$18,"INVALID – completed after departure (cannot establish readiness)",IF(AND(H465="Preparation",AG465&gt;IF(ISNUMBER(Flights!$BA$18),MIN(Flights!$BA$18,Flights!$AA$18),Flights!$AA$18)),"INVALID – completed after loading / departure (cannot establish readiness)",IF(AND(H465="Physical uplift",AG465&gt;Q465),"INVALID – recorded after the loading flight departed",IF(AG465&gt;Q465,"COMPLETE – LATE","COMPLETE"))))))))))))))))))))),IF(TRIM(U465)="Fail","FAIL – DISCREPANCY",IF(AND(TRIM(U465)&lt;&gt;"",TRIM(U465)&lt;&gt;"Not started",TRIM(U465)&lt;&gt;"In progress"),"INVALID – unrecognised status (use the list)",IF(AsOfUTC&gt;Q465,"OVERDUE",IF(N465="Clarification required","OPEN – CLARIFICATION","OPEN"))))))),"INVALID – error value in an input cell")</f>
        <v>OPEN</v>
      </c>
      <c r="AI465" s="61" t="n">
        <f aca="false">IF(OR(AH465="N/A – RULE",AH465="N/A – JUSTIFIED"),0,1)</f>
        <v>1</v>
      </c>
      <c r="AJ465" s="61" t="n">
        <f aca="false">IF(LEFT(AH465,8)="COMPLETE",1,0)</f>
        <v>0</v>
      </c>
      <c r="AK465" s="61" t="n">
        <f aca="false">IF(AND(AI465=1,AJ465=0,AsOfUTC&gt;Q465),1,0)</f>
        <v>0</v>
      </c>
      <c r="AL465" s="61" t="n">
        <f aca="false">IFERROR(IF(AND(AI465=1,OR(TRIM(U465)="Fail",AND(TRIM(AB465)&lt;&gt;"",TRIM(AB465)&lt;&gt;"Closed"),AND(ISNUMBER(AF465),AF465&lt;&gt;0,TRIM(U465)&lt;&gt;"Pass after CA"))),1,0),1)</f>
        <v>0</v>
      </c>
      <c r="AM465" s="61" t="n">
        <f aca="false">IF(LEFT(AH465,7)="INVALID",1,0)</f>
        <v>0</v>
      </c>
      <c r="AN465" s="61" t="n">
        <f aca="false">IF(AND(N465="Clarification required",AI465=1,AJ465=0),1,0)</f>
        <v>0</v>
      </c>
      <c r="AO465" s="61" t="str">
        <f aca="false">IF(AK465=1,SUM(AK$5:AK465),"")</f>
        <v/>
      </c>
      <c r="AP465" s="61" t="str">
        <f aca="false">IF(AL465=1,SUM(AL$5:AL465),"")</f>
        <v/>
      </c>
      <c r="AQ465" s="61" t="n">
        <v>1</v>
      </c>
      <c r="AR465" s="61" t="n">
        <v>0</v>
      </c>
      <c r="AS465" s="61" t="n">
        <v>0</v>
      </c>
      <c r="AT465" s="61" t="n">
        <v>0</v>
      </c>
      <c r="AU465" s="61" t="str">
        <f aca="false">SUBSTITUTE(SUBSTITUTE(SUBSTITUTE(SUBSTITUTE(SUBSTITUTE(SUBSTITUTE(SUBSTITUTE(SUBSTITUTE(SUBSTITUTE(SUBSTITUTE(SUBSTITUTE(SUBSTITUTE(SUBSTITUTE(LOWER(T465&amp;""),CHAR(160),"")," ",""),".",""),"-",""),"/",""),"?",""),"_",""),",",""),"[",""),"]",""),"(",""),")",""),"*","")</f>
        <v/>
      </c>
      <c r="AV465" s="61" t="str">
        <f aca="false">SUBSTITUTE(SUBSTITUTE(SUBSTITUTE(SUBSTITUTE(SUBSTITUTE(SUBSTITUTE(SUBSTITUTE(SUBSTITUTE(SUBSTITUTE(SUBSTITUTE(SUBSTITUTE(SUBSTITUTE(SUBSTITUTE(LOWER(V465&amp;""),CHAR(160),"")," ",""),".",""),"-",""),"/",""),"?",""),"_",""),",",""),"[",""),"]",""),"(",""),")",""),"*","")</f>
        <v/>
      </c>
      <c r="AW465" s="61" t="str">
        <f aca="false">SUBSTITUTE(SUBSTITUTE(SUBSTITUTE(SUBSTITUTE(SUBSTITUTE(SUBSTITUTE(SUBSTITUTE(SUBSTITUTE(SUBSTITUTE(SUBSTITUTE(SUBSTITUTE(SUBSTITUTE(SUBSTITUTE(LOWER(Z465&amp;""),CHAR(160),"")," ",""),".",""),"-",""),"/",""),"?",""),"_",""),",",""),"[",""),"]",""),"(",""),")",""),"*","")</f>
        <v/>
      </c>
      <c r="AX465" s="61" t="str">
        <f aca="false">SUBSTITUTE(SUBSTITUTE(SUBSTITUTE(SUBSTITUTE(SUBSTITUTE(SUBSTITUTE(SUBSTITUTE(SUBSTITUTE(SUBSTITUTE(SUBSTITUTE(SUBSTITUTE(SUBSTITUTE(SUBSTITUTE(LOWER(AE465&amp;""),CHAR(160),"")," ",""),".",""),"-",""),"/",""),"?",""),"_",""),",",""),"[",""),"]",""),"(",""),")",""),"*","")</f>
        <v/>
      </c>
      <c r="AY465" s="61" t="str">
        <f aca="false">SUBSTITUTE(SUBSTITUTE(SUBSTITUTE(SUBSTITUTE(SUBSTITUTE(SUBSTITUTE(SUBSTITUTE(SUBSTITUTE(SUBSTITUTE(SUBSTITUTE(SUBSTITUTE(SUBSTITUTE(SUBSTITUTE(LOWER(W465&amp;""),CHAR(160),"")," ",""),".",""),"-",""),"/",""),"?",""),"_",""),",",""),"[",""),"]",""),"(",""),")",""),"*","")</f>
        <v/>
      </c>
      <c r="AZ465" s="61" t="str">
        <f aca="false">SUBSTITUTE(SUBSTITUTE(SUBSTITUTE(SUBSTITUTE(SUBSTITUTE(SUBSTITUTE(SUBSTITUTE(SUBSTITUTE(SUBSTITUTE(SUBSTITUTE(SUBSTITUTE(SUBSTITUTE(SUBSTITUTE(LOWER(AC465&amp;""),CHAR(160),"")," ",""),".",""),"-",""),"/",""),"?",""),"_",""),",",""),"[",""),"]",""),"(",""),")",""),"*","")</f>
        <v/>
      </c>
      <c r="BA465" s="61" t="str">
        <f aca="false">SUBSTITUTE(SUBSTITUTE(SUBSTITUTE(SUBSTITUTE(SUBSTITUTE(SUBSTITUTE(SUBSTITUTE(SUBSTITUTE(SUBSTITUTE(SUBSTITUTE(SUBSTITUTE(SUBSTITUTE(SUBSTITUTE(LOWER(AA465&amp;""),CHAR(160),"")," ",""),".",""),"-",""),"/",""),"?",""),"_",""),",",""),"[",""),"]",""),"(",""),")",""),"*","")</f>
        <v/>
      </c>
      <c r="BB465" s="61" t="str">
        <f aca="false">IF(AND(TRIM(U465)="Pass",ISNUMBER(AF465)),IF(AF465&lt;&gt;0,"INVALID – qty variance: use Fail or Pass after CA",""),"")&amp;IF(AND(TRIM(U465)="Pass after CA",ISNUMBER(AF465)),IF(AF465&lt;&gt;0,"INVALID – after the corrective action the actual qty must equal expected (update Actual)",""),"")&amp;IF(AND(TRIM(U465)="Pass",TRIM(AB465)&lt;&gt;"",TRIM(AB465)&lt;&gt;"Closed"),"INVALID – corrective action not closed: use Fail, then Pass after CA","")&amp;IF(AND(TRIM(AA465)&lt;&gt;"",TRIM(AB465)=""),"INVALID – CA status missing for the recorded corrective action","")&amp;IF(AND(TRIM(U465)="Pass after CA",OR(OR(LEN(BA465)&lt;5,ISNUMBER(MATCH(BA465,L_Placeholder,0))),TRIM(AB465)&lt;&gt;"Closed")),"INVALID – corrective action not recorded/closed","")</f>
        <v/>
      </c>
    </row>
    <row r="466" customFormat="false" ht="39.75" hidden="false" customHeight="true" outlineLevel="0" collapsed="false">
      <c r="A466" s="57" t="s">
        <v>1091</v>
      </c>
      <c r="B466" s="57" t="s">
        <v>273</v>
      </c>
      <c r="C466" s="57" t="str">
        <f aca="false">Flights!$F$18</f>
        <v>MH0004</v>
      </c>
      <c r="D466" s="58" t="n">
        <f aca="false">Flights!$D$18</f>
        <v>46310</v>
      </c>
      <c r="E466" s="57" t="str">
        <f aca="false">Flights!$G$18&amp;"-"&amp;Flights!$H$18</f>
        <v>KUL-LHR</v>
      </c>
      <c r="F466" s="57" t="str">
        <f aca="false">Flights!$K$18</f>
        <v>EY</v>
      </c>
      <c r="G466" s="57" t="s">
        <v>398</v>
      </c>
      <c r="H466" s="57" t="s">
        <v>356</v>
      </c>
      <c r="I466" s="57" t="s">
        <v>357</v>
      </c>
      <c r="J466" s="57" t="s">
        <v>399</v>
      </c>
      <c r="K466" s="67"/>
      <c r="L466" s="67" t="s">
        <v>400</v>
      </c>
      <c r="M466" s="67"/>
      <c r="N466" s="67" t="s">
        <v>361</v>
      </c>
      <c r="O466" s="67" t="s">
        <v>401</v>
      </c>
      <c r="P466" s="57" t="s">
        <v>184</v>
      </c>
      <c r="Q466" s="59" t="n">
        <f aca="false">ROUND((Flights!$AE$18)*1440,0)/1440</f>
        <v>46309.5763888889</v>
      </c>
      <c r="R466" s="59" t="n">
        <f aca="false">Q466+(IF(AND(INDEX(TZ_DSTS,MATCH(P466,TZ_STN,0))&lt;&gt;"",Q466&gt;=INDEX(TZ_DSTS,MATCH(P466,TZ_STN,0)),Q466&lt;INDEX(TZ_DSTE,MATCH(P466,TZ_STN,0))),INDEX(TZ_DST,MATCH(P466,TZ_STN,0)),INDEX(TZ_STD,MATCH(P466,TZ_STN,0))))/24</f>
        <v>46309.9097222222</v>
      </c>
      <c r="S466" s="59" t="n">
        <f aca="false">Q466-T12EarlyH/24</f>
        <v>46309.0763888889</v>
      </c>
      <c r="T466" s="60"/>
      <c r="U466" s="60"/>
      <c r="V466" s="60"/>
      <c r="W466" s="61"/>
      <c r="X466" s="60"/>
      <c r="Y466" s="60"/>
      <c r="Z466" s="60"/>
      <c r="AA466" s="60"/>
      <c r="AB466" s="60"/>
      <c r="AC466" s="60"/>
      <c r="AD466" s="66"/>
      <c r="AE466" s="60"/>
      <c r="AF466" s="61" t="str">
        <f aca="false">IF(AND(ISNUMBER(X466),ISNUMBER(Y466)),Y466-X466,"")</f>
        <v/>
      </c>
      <c r="AG466" s="62" t="str">
        <f aca="false">IF(ISNUMBER(AD466),AD466-(IF(AND(INDEX(TZ_DSTS,MATCH(P466,TZ_STN,0))&lt;&gt;"",(AD466-INDEX(TZ_STD,MATCH(P466,TZ_STN,0))/24)&gt;=INDEX(TZ_DSTS,MATCH(P466,TZ_STN,0)),(AD466-INDEX(TZ_STD,MATCH(P466,TZ_STN,0))/24)&lt;INDEX(TZ_DSTE,MATCH(P466,TZ_STN,0))),INDEX(TZ_DST,MATCH(P466,TZ_STN,0)),INDEX(TZ_STD,MATCH(P466,TZ_STN,0))))/24,"")</f>
        <v/>
      </c>
      <c r="AH466" s="65" t="str">
        <f aca="false">IFERROR(IF(N466="N/A – rule","N/A – RULE",IF(TRIM(U466)="N/A",IF(AT466=0,"INVALID – N/A not permitted for this check",IF(AND(TRIM(AB466)&lt;&gt;"",TRIM(AB466)&lt;&gt;"Closed"),"INVALID – corrective action still open",IF(AND(NOT(OR(LEN(AZ466)&lt;15,ISNUMBER(MATCH(AZ466,L_Placeholder,0)))),NOT(OR(LEN(AU466)&lt;2,ISNUMBER(MATCH(AU466,L_Placeholder,0)))),NOT(OR(LEN(AX466)&lt;2,ISNUMBER(MATCH(AX466,L_Placeholder,0)))),TRIM(AE466)&lt;&gt;TRIM(T466)),"N/A – JUSTIFIED","INVALID – N/A needs a real justification (15+ chars), PIC and a different verifier"))),IF(OR(TRIM(U466)="Pass",TRIM(U466)="Pass after CA"),IF(NOT(ISNUMBER(AD466)),"INVALID – completion time missing",IF(OR(LEN(AU466)&lt;2,ISNUMBER(MATCH(AU466,L_Placeholder,0))),"INVALID – PIC missing",IF(OR(LEN(AV466)&lt;2,ISNUMBER(MATCH(AV466,L_Placeholder,0))),"INVALID – result / assessment missing",IF(OR(OR(LEN(AW466)&lt;3,ISNUMBER(MATCH(AW466,L_Placeholder,0))),SUMPRODUCT(--ISNUMBER(SEARCH(L_EvidencePhrase,AW466)))&gt;0),"INVALID – evidence missing, placeholder or not yet on file",IF(OR(LEN(AX466)&lt;2,ISNUMBER(MATCH(AX466,L_Placeholder,0))),"INVALID – verifier missing",IF(AX466=AU466,"INVALID – verifier must be someone other than the PIC",IF(AND(TRIM(U466)="Pass",SUMPRODUCT(--ISNUMBER(SEARCH(L_ResultBad,AV466)))&gt;0),"INVALID – result describes a problem: use Fail, then Pass after CA",IF(AND(AQ466=1,OR(LEN(AY466)&lt;3,ISNUMBER(MATCH(AY466,L_Placeholder,0)))),"INVALID – batch ID missing or placeholder",IF(AND(AR466=1,OR(NOT(ISNUMBER(X466)),NOT(ISNUMBER(Y466)))),"INVALID – expected/actual qty missing",IF(AND(AR466=1,OR(X466&lt;=0,Y466&lt;0)),"INVALID – expected qty must be above 0 and actual not negative",IF(BB466&lt;&gt;"",BB466,IF(AND(AS466=1,Documents!$J$18&lt;&gt;"ON FILE"),"INVALID – GLD not on file (Documents sheet)",IF(AND(AS466=2,Documents!$O$18&lt;&gt;"ON FILE"),"INVALID – menu checklist not on file (Documents sheet)",IF(AND(AS466=3,NOT(ISNUMBER(Flights!$AX$18))),"INVALID – enter carrying flight KUL departure (Flights AX)",IF(AND(AS466=3,OR(Flights!$AZ$18&gt;Flights!$AA$18,Flights!$AX$18&lt;Flights!$AA$18-3)),"INVALID – carrying flight (Flights AX) cannot arrive before this leg's STD, or is over 3 days early",IF(AG466&gt;AsOfUTC,"INVALID – completion time is in the future",IF(AND(ISNUMBER(S466),AG466&lt;S466),IF(H466="Physical uplift","INVALID – before uplift window (cannot confirm loading)","INVALID – before valid window"),IF(AG466&gt;Flights!$AA$18,"INVALID – completed after departure (cannot establish readiness)",IF(AND(H466="Preparation",AG466&gt;IF(ISNUMBER(Flights!$BA$18),MIN(Flights!$BA$18,Flights!$AA$18),Flights!$AA$18)),"INVALID – completed after loading / departure (cannot establish readiness)",IF(AND(H466="Physical uplift",AG466&gt;Q466),"INVALID – recorded after the loading flight departed",IF(AG466&gt;Q466,"COMPLETE – LATE","COMPLETE"))))))))))))))))))))),IF(TRIM(U466)="Fail","FAIL – DISCREPANCY",IF(AND(TRIM(U466)&lt;&gt;"",TRIM(U466)&lt;&gt;"Not started",TRIM(U466)&lt;&gt;"In progress"),"INVALID – unrecognised status (use the list)",IF(AsOfUTC&gt;Q466,"OVERDUE",IF(N466="Clarification required","OPEN – CLARIFICATION","OPEN"))))))),"INVALID – error value in an input cell")</f>
        <v>OPEN</v>
      </c>
      <c r="AI466" s="61" t="n">
        <f aca="false">IF(OR(AH466="N/A – RULE",AH466="N/A – JUSTIFIED"),0,1)</f>
        <v>1</v>
      </c>
      <c r="AJ466" s="61" t="n">
        <f aca="false">IF(LEFT(AH466,8)="COMPLETE",1,0)</f>
        <v>0</v>
      </c>
      <c r="AK466" s="61" t="n">
        <f aca="false">IF(AND(AI466=1,AJ466=0,AsOfUTC&gt;Q466),1,0)</f>
        <v>0</v>
      </c>
      <c r="AL466" s="61" t="n">
        <f aca="false">IFERROR(IF(AND(AI466=1,OR(TRIM(U466)="Fail",AND(TRIM(AB466)&lt;&gt;"",TRIM(AB466)&lt;&gt;"Closed"),AND(ISNUMBER(AF466),AF466&lt;&gt;0,TRIM(U466)&lt;&gt;"Pass after CA"))),1,0),1)</f>
        <v>0</v>
      </c>
      <c r="AM466" s="61" t="n">
        <f aca="false">IF(LEFT(AH466,7)="INVALID",1,0)</f>
        <v>0</v>
      </c>
      <c r="AN466" s="61" t="n">
        <f aca="false">IF(AND(N466="Clarification required",AI466=1,AJ466=0),1,0)</f>
        <v>0</v>
      </c>
      <c r="AO466" s="61" t="str">
        <f aca="false">IF(AK466=1,SUM(AK$5:AK466),"")</f>
        <v/>
      </c>
      <c r="AP466" s="61" t="str">
        <f aca="false">IF(AL466=1,SUM(AL$5:AL466),"")</f>
        <v/>
      </c>
      <c r="AQ466" s="61" t="n">
        <v>0</v>
      </c>
      <c r="AR466" s="61" t="n">
        <v>0</v>
      </c>
      <c r="AS466" s="61" t="n">
        <v>0</v>
      </c>
      <c r="AT466" s="61" t="n">
        <v>0</v>
      </c>
      <c r="AU466" s="61" t="str">
        <f aca="false">SUBSTITUTE(SUBSTITUTE(SUBSTITUTE(SUBSTITUTE(SUBSTITUTE(SUBSTITUTE(SUBSTITUTE(SUBSTITUTE(SUBSTITUTE(SUBSTITUTE(SUBSTITUTE(SUBSTITUTE(SUBSTITUTE(LOWER(T466&amp;""),CHAR(160),"")," ",""),".",""),"-",""),"/",""),"?",""),"_",""),",",""),"[",""),"]",""),"(",""),")",""),"*","")</f>
        <v/>
      </c>
      <c r="AV466" s="61" t="str">
        <f aca="false">SUBSTITUTE(SUBSTITUTE(SUBSTITUTE(SUBSTITUTE(SUBSTITUTE(SUBSTITUTE(SUBSTITUTE(SUBSTITUTE(SUBSTITUTE(SUBSTITUTE(SUBSTITUTE(SUBSTITUTE(SUBSTITUTE(LOWER(V466&amp;""),CHAR(160),"")," ",""),".",""),"-",""),"/",""),"?",""),"_",""),",",""),"[",""),"]",""),"(",""),")",""),"*","")</f>
        <v/>
      </c>
      <c r="AW466" s="61" t="str">
        <f aca="false">SUBSTITUTE(SUBSTITUTE(SUBSTITUTE(SUBSTITUTE(SUBSTITUTE(SUBSTITUTE(SUBSTITUTE(SUBSTITUTE(SUBSTITUTE(SUBSTITUTE(SUBSTITUTE(SUBSTITUTE(SUBSTITUTE(LOWER(Z466&amp;""),CHAR(160),"")," ",""),".",""),"-",""),"/",""),"?",""),"_",""),",",""),"[",""),"]",""),"(",""),")",""),"*","")</f>
        <v/>
      </c>
      <c r="AX466" s="61" t="str">
        <f aca="false">SUBSTITUTE(SUBSTITUTE(SUBSTITUTE(SUBSTITUTE(SUBSTITUTE(SUBSTITUTE(SUBSTITUTE(SUBSTITUTE(SUBSTITUTE(SUBSTITUTE(SUBSTITUTE(SUBSTITUTE(SUBSTITUTE(LOWER(AE466&amp;""),CHAR(160),"")," ",""),".",""),"-",""),"/",""),"?",""),"_",""),",",""),"[",""),"]",""),"(",""),")",""),"*","")</f>
        <v/>
      </c>
      <c r="AY466" s="61" t="str">
        <f aca="false">SUBSTITUTE(SUBSTITUTE(SUBSTITUTE(SUBSTITUTE(SUBSTITUTE(SUBSTITUTE(SUBSTITUTE(SUBSTITUTE(SUBSTITUTE(SUBSTITUTE(SUBSTITUTE(SUBSTITUTE(SUBSTITUTE(LOWER(W466&amp;""),CHAR(160),"")," ",""),".",""),"-",""),"/",""),"?",""),"_",""),",",""),"[",""),"]",""),"(",""),")",""),"*","")</f>
        <v/>
      </c>
      <c r="AZ466" s="61" t="str">
        <f aca="false">SUBSTITUTE(SUBSTITUTE(SUBSTITUTE(SUBSTITUTE(SUBSTITUTE(SUBSTITUTE(SUBSTITUTE(SUBSTITUTE(SUBSTITUTE(SUBSTITUTE(SUBSTITUTE(SUBSTITUTE(SUBSTITUTE(LOWER(AC466&amp;""),CHAR(160),"")," ",""),".",""),"-",""),"/",""),"?",""),"_",""),",",""),"[",""),"]",""),"(",""),")",""),"*","")</f>
        <v/>
      </c>
      <c r="BA466" s="61" t="str">
        <f aca="false">SUBSTITUTE(SUBSTITUTE(SUBSTITUTE(SUBSTITUTE(SUBSTITUTE(SUBSTITUTE(SUBSTITUTE(SUBSTITUTE(SUBSTITUTE(SUBSTITUTE(SUBSTITUTE(SUBSTITUTE(SUBSTITUTE(LOWER(AA466&amp;""),CHAR(160),"")," ",""),".",""),"-",""),"/",""),"?",""),"_",""),",",""),"[",""),"]",""),"(",""),")",""),"*","")</f>
        <v/>
      </c>
      <c r="BB466" s="61" t="str">
        <f aca="false">IF(AND(TRIM(U466)="Pass",ISNUMBER(AF466)),IF(AF466&lt;&gt;0,"INVALID – qty variance: use Fail or Pass after CA",""),"")&amp;IF(AND(TRIM(U466)="Pass after CA",ISNUMBER(AF466)),IF(AF466&lt;&gt;0,"INVALID – after the corrective action the actual qty must equal expected (update Actual)",""),"")&amp;IF(AND(TRIM(U466)="Pass",TRIM(AB466)&lt;&gt;"",TRIM(AB466)&lt;&gt;"Closed"),"INVALID – corrective action not closed: use Fail, then Pass after CA","")&amp;IF(AND(TRIM(AA466)&lt;&gt;"",TRIM(AB466)=""),"INVALID – CA status missing for the recorded corrective action","")&amp;IF(AND(TRIM(U466)="Pass after CA",OR(OR(LEN(BA466)&lt;5,ISNUMBER(MATCH(BA466,L_Placeholder,0))),TRIM(AB466)&lt;&gt;"Closed")),"INVALID – corrective action not recorded/closed","")</f>
        <v/>
      </c>
    </row>
    <row r="467" customFormat="false" ht="39.75" hidden="false" customHeight="true" outlineLevel="0" collapsed="false">
      <c r="A467" s="57" t="s">
        <v>1092</v>
      </c>
      <c r="B467" s="57" t="s">
        <v>273</v>
      </c>
      <c r="C467" s="57" t="str">
        <f aca="false">Flights!$F$18</f>
        <v>MH0004</v>
      </c>
      <c r="D467" s="58" t="n">
        <f aca="false">Flights!$D$18</f>
        <v>46310</v>
      </c>
      <c r="E467" s="57" t="str">
        <f aca="false">Flights!$G$18&amp;"-"&amp;Flights!$H$18</f>
        <v>KUL-LHR</v>
      </c>
      <c r="F467" s="57" t="str">
        <f aca="false">Flights!$K$18</f>
        <v>EY</v>
      </c>
      <c r="G467" s="57" t="s">
        <v>398</v>
      </c>
      <c r="H467" s="57" t="s">
        <v>356</v>
      </c>
      <c r="I467" s="57" t="s">
        <v>357</v>
      </c>
      <c r="J467" s="57" t="s">
        <v>403</v>
      </c>
      <c r="K467" s="67" t="s">
        <v>404</v>
      </c>
      <c r="L467" s="67" t="s">
        <v>400</v>
      </c>
      <c r="M467" s="67"/>
      <c r="N467" s="67" t="s">
        <v>361</v>
      </c>
      <c r="O467" s="67" t="s">
        <v>401</v>
      </c>
      <c r="P467" s="57" t="s">
        <v>184</v>
      </c>
      <c r="Q467" s="59" t="n">
        <f aca="false">ROUND((Flights!$AE$18)*1440,0)/1440</f>
        <v>46309.5763888889</v>
      </c>
      <c r="R467" s="59" t="n">
        <f aca="false">Q467+(IF(AND(INDEX(TZ_DSTS,MATCH(P467,TZ_STN,0))&lt;&gt;"",Q467&gt;=INDEX(TZ_DSTS,MATCH(P467,TZ_STN,0)),Q467&lt;INDEX(TZ_DSTE,MATCH(P467,TZ_STN,0))),INDEX(TZ_DST,MATCH(P467,TZ_STN,0)),INDEX(TZ_STD,MATCH(P467,TZ_STN,0))))/24</f>
        <v>46309.9097222222</v>
      </c>
      <c r="S467" s="59" t="n">
        <f aca="false">Q467-T12EarlyH/24</f>
        <v>46309.0763888889</v>
      </c>
      <c r="T467" s="60"/>
      <c r="U467" s="60"/>
      <c r="V467" s="60"/>
      <c r="W467" s="61"/>
      <c r="X467" s="60"/>
      <c r="Y467" s="60"/>
      <c r="Z467" s="60"/>
      <c r="AA467" s="60"/>
      <c r="AB467" s="60"/>
      <c r="AC467" s="60"/>
      <c r="AD467" s="66"/>
      <c r="AE467" s="60"/>
      <c r="AF467" s="61" t="str">
        <f aca="false">IF(AND(ISNUMBER(X467),ISNUMBER(Y467)),Y467-X467,"")</f>
        <v/>
      </c>
      <c r="AG467" s="62" t="str">
        <f aca="false">IF(ISNUMBER(AD467),AD467-(IF(AND(INDEX(TZ_DSTS,MATCH(P467,TZ_STN,0))&lt;&gt;"",(AD467-INDEX(TZ_STD,MATCH(P467,TZ_STN,0))/24)&gt;=INDEX(TZ_DSTS,MATCH(P467,TZ_STN,0)),(AD467-INDEX(TZ_STD,MATCH(P467,TZ_STN,0))/24)&lt;INDEX(TZ_DSTE,MATCH(P467,TZ_STN,0))),INDEX(TZ_DST,MATCH(P467,TZ_STN,0)),INDEX(TZ_STD,MATCH(P467,TZ_STN,0))))/24,"")</f>
        <v/>
      </c>
      <c r="AH467" s="65" t="str">
        <f aca="false">IFERROR(IF(N467="N/A – rule","N/A – RULE",IF(TRIM(U467)="N/A",IF(AT467=0,"INVALID – N/A not permitted for this check",IF(AND(TRIM(AB467)&lt;&gt;"",TRIM(AB467)&lt;&gt;"Closed"),"INVALID – corrective action still open",IF(AND(NOT(OR(LEN(AZ467)&lt;15,ISNUMBER(MATCH(AZ467,L_Placeholder,0)))),NOT(OR(LEN(AU467)&lt;2,ISNUMBER(MATCH(AU467,L_Placeholder,0)))),NOT(OR(LEN(AX467)&lt;2,ISNUMBER(MATCH(AX467,L_Placeholder,0)))),TRIM(AE467)&lt;&gt;TRIM(T467)),"N/A – JUSTIFIED","INVALID – N/A needs a real justification (15+ chars), PIC and a different verifier"))),IF(OR(TRIM(U467)="Pass",TRIM(U467)="Pass after CA"),IF(NOT(ISNUMBER(AD467)),"INVALID – completion time missing",IF(OR(LEN(AU467)&lt;2,ISNUMBER(MATCH(AU467,L_Placeholder,0))),"INVALID – PIC missing",IF(OR(LEN(AV467)&lt;2,ISNUMBER(MATCH(AV467,L_Placeholder,0))),"INVALID – result / assessment missing",IF(OR(OR(LEN(AW467)&lt;3,ISNUMBER(MATCH(AW467,L_Placeholder,0))),SUMPRODUCT(--ISNUMBER(SEARCH(L_EvidencePhrase,AW467)))&gt;0),"INVALID – evidence missing, placeholder or not yet on file",IF(OR(LEN(AX467)&lt;2,ISNUMBER(MATCH(AX467,L_Placeholder,0))),"INVALID – verifier missing",IF(AX467=AU467,"INVALID – verifier must be someone other than the PIC",IF(AND(TRIM(U467)="Pass",SUMPRODUCT(--ISNUMBER(SEARCH(L_ResultBad,AV467)))&gt;0),"INVALID – result describes a problem: use Fail, then Pass after CA",IF(AND(AQ467=1,OR(LEN(AY467)&lt;3,ISNUMBER(MATCH(AY467,L_Placeholder,0)))),"INVALID – batch ID missing or placeholder",IF(AND(AR467=1,OR(NOT(ISNUMBER(X467)),NOT(ISNUMBER(Y467)))),"INVALID – expected/actual qty missing",IF(AND(AR467=1,OR(X467&lt;=0,Y467&lt;0)),"INVALID – expected qty must be above 0 and actual not negative",IF(BB467&lt;&gt;"",BB467,IF(AND(AS467=1,Documents!$J$18&lt;&gt;"ON FILE"),"INVALID – GLD not on file (Documents sheet)",IF(AND(AS467=2,Documents!$O$18&lt;&gt;"ON FILE"),"INVALID – menu checklist not on file (Documents sheet)",IF(AND(AS467=3,NOT(ISNUMBER(Flights!$AX$18))),"INVALID – enter carrying flight KUL departure (Flights AX)",IF(AND(AS467=3,OR(Flights!$AZ$18&gt;Flights!$AA$18,Flights!$AX$18&lt;Flights!$AA$18-3)),"INVALID – carrying flight (Flights AX) cannot arrive before this leg's STD, or is over 3 days early",IF(AG467&gt;AsOfUTC,"INVALID – completion time is in the future",IF(AND(ISNUMBER(S467),AG467&lt;S467),IF(H467="Physical uplift","INVALID – before uplift window (cannot confirm loading)","INVALID – before valid window"),IF(AG467&gt;Flights!$AA$18,"INVALID – completed after departure (cannot establish readiness)",IF(AND(H467="Preparation",AG467&gt;IF(ISNUMBER(Flights!$BA$18),MIN(Flights!$BA$18,Flights!$AA$18),Flights!$AA$18)),"INVALID – completed after loading / departure (cannot establish readiness)",IF(AND(H467="Physical uplift",AG467&gt;Q467),"INVALID – recorded after the loading flight departed",IF(AG467&gt;Q467,"COMPLETE – LATE","COMPLETE"))))))))))))))))))))),IF(TRIM(U467)="Fail","FAIL – DISCREPANCY",IF(AND(TRIM(U467)&lt;&gt;"",TRIM(U467)&lt;&gt;"Not started",TRIM(U467)&lt;&gt;"In progress"),"INVALID – unrecognised status (use the list)",IF(AsOfUTC&gt;Q467,"OVERDUE",IF(N467="Clarification required","OPEN – CLARIFICATION","OPEN"))))))),"INVALID – error value in an input cell")</f>
        <v>OPEN</v>
      </c>
      <c r="AI467" s="61" t="n">
        <f aca="false">IF(OR(AH467="N/A – RULE",AH467="N/A – JUSTIFIED"),0,1)</f>
        <v>1</v>
      </c>
      <c r="AJ467" s="61" t="n">
        <f aca="false">IF(LEFT(AH467,8)="COMPLETE",1,0)</f>
        <v>0</v>
      </c>
      <c r="AK467" s="61" t="n">
        <f aca="false">IF(AND(AI467=1,AJ467=0,AsOfUTC&gt;Q467),1,0)</f>
        <v>0</v>
      </c>
      <c r="AL467" s="61" t="n">
        <f aca="false">IFERROR(IF(AND(AI467=1,OR(TRIM(U467)="Fail",AND(TRIM(AB467)&lt;&gt;"",TRIM(AB467)&lt;&gt;"Closed"),AND(ISNUMBER(AF467),AF467&lt;&gt;0,TRIM(U467)&lt;&gt;"Pass after CA"))),1,0),1)</f>
        <v>0</v>
      </c>
      <c r="AM467" s="61" t="n">
        <f aca="false">IF(LEFT(AH467,7)="INVALID",1,0)</f>
        <v>0</v>
      </c>
      <c r="AN467" s="61" t="n">
        <f aca="false">IF(AND(N467="Clarification required",AI467=1,AJ467=0),1,0)</f>
        <v>0</v>
      </c>
      <c r="AO467" s="61" t="str">
        <f aca="false">IF(AK467=1,SUM(AK$5:AK467),"")</f>
        <v/>
      </c>
      <c r="AP467" s="61" t="str">
        <f aca="false">IF(AL467=1,SUM(AL$5:AL467),"")</f>
        <v/>
      </c>
      <c r="AQ467" s="61" t="n">
        <v>0</v>
      </c>
      <c r="AR467" s="61" t="n">
        <v>1</v>
      </c>
      <c r="AS467" s="61" t="n">
        <v>0</v>
      </c>
      <c r="AT467" s="61" t="n">
        <v>0</v>
      </c>
      <c r="AU467" s="61" t="str">
        <f aca="false">SUBSTITUTE(SUBSTITUTE(SUBSTITUTE(SUBSTITUTE(SUBSTITUTE(SUBSTITUTE(SUBSTITUTE(SUBSTITUTE(SUBSTITUTE(SUBSTITUTE(SUBSTITUTE(SUBSTITUTE(SUBSTITUTE(LOWER(T467&amp;""),CHAR(160),"")," ",""),".",""),"-",""),"/",""),"?",""),"_",""),",",""),"[",""),"]",""),"(",""),")",""),"*","")</f>
        <v/>
      </c>
      <c r="AV467" s="61" t="str">
        <f aca="false">SUBSTITUTE(SUBSTITUTE(SUBSTITUTE(SUBSTITUTE(SUBSTITUTE(SUBSTITUTE(SUBSTITUTE(SUBSTITUTE(SUBSTITUTE(SUBSTITUTE(SUBSTITUTE(SUBSTITUTE(SUBSTITUTE(LOWER(V467&amp;""),CHAR(160),"")," ",""),".",""),"-",""),"/",""),"?",""),"_",""),",",""),"[",""),"]",""),"(",""),")",""),"*","")</f>
        <v/>
      </c>
      <c r="AW467" s="61" t="str">
        <f aca="false">SUBSTITUTE(SUBSTITUTE(SUBSTITUTE(SUBSTITUTE(SUBSTITUTE(SUBSTITUTE(SUBSTITUTE(SUBSTITUTE(SUBSTITUTE(SUBSTITUTE(SUBSTITUTE(SUBSTITUTE(SUBSTITUTE(LOWER(Z467&amp;""),CHAR(160),"")," ",""),".",""),"-",""),"/",""),"?",""),"_",""),",",""),"[",""),"]",""),"(",""),")",""),"*","")</f>
        <v/>
      </c>
      <c r="AX467" s="61" t="str">
        <f aca="false">SUBSTITUTE(SUBSTITUTE(SUBSTITUTE(SUBSTITUTE(SUBSTITUTE(SUBSTITUTE(SUBSTITUTE(SUBSTITUTE(SUBSTITUTE(SUBSTITUTE(SUBSTITUTE(SUBSTITUTE(SUBSTITUTE(LOWER(AE467&amp;""),CHAR(160),"")," ",""),".",""),"-",""),"/",""),"?",""),"_",""),",",""),"[",""),"]",""),"(",""),")",""),"*","")</f>
        <v/>
      </c>
      <c r="AY467" s="61" t="str">
        <f aca="false">SUBSTITUTE(SUBSTITUTE(SUBSTITUTE(SUBSTITUTE(SUBSTITUTE(SUBSTITUTE(SUBSTITUTE(SUBSTITUTE(SUBSTITUTE(SUBSTITUTE(SUBSTITUTE(SUBSTITUTE(SUBSTITUTE(LOWER(W467&amp;""),CHAR(160),"")," ",""),".",""),"-",""),"/",""),"?",""),"_",""),",",""),"[",""),"]",""),"(",""),")",""),"*","")</f>
        <v/>
      </c>
      <c r="AZ467" s="61" t="str">
        <f aca="false">SUBSTITUTE(SUBSTITUTE(SUBSTITUTE(SUBSTITUTE(SUBSTITUTE(SUBSTITUTE(SUBSTITUTE(SUBSTITUTE(SUBSTITUTE(SUBSTITUTE(SUBSTITUTE(SUBSTITUTE(SUBSTITUTE(LOWER(AC467&amp;""),CHAR(160),"")," ",""),".",""),"-",""),"/",""),"?",""),"_",""),",",""),"[",""),"]",""),"(",""),")",""),"*","")</f>
        <v/>
      </c>
      <c r="BA467" s="61" t="str">
        <f aca="false">SUBSTITUTE(SUBSTITUTE(SUBSTITUTE(SUBSTITUTE(SUBSTITUTE(SUBSTITUTE(SUBSTITUTE(SUBSTITUTE(SUBSTITUTE(SUBSTITUTE(SUBSTITUTE(SUBSTITUTE(SUBSTITUTE(LOWER(AA467&amp;""),CHAR(160),"")," ",""),".",""),"-",""),"/",""),"?",""),"_",""),",",""),"[",""),"]",""),"(",""),")",""),"*","")</f>
        <v/>
      </c>
      <c r="BB467" s="61" t="str">
        <f aca="false">IF(AND(TRIM(U467)="Pass",ISNUMBER(AF467)),IF(AF467&lt;&gt;0,"INVALID – qty variance: use Fail or Pass after CA",""),"")&amp;IF(AND(TRIM(U467)="Pass after CA",ISNUMBER(AF467)),IF(AF467&lt;&gt;0,"INVALID – after the corrective action the actual qty must equal expected (update Actual)",""),"")&amp;IF(AND(TRIM(U467)="Pass",TRIM(AB467)&lt;&gt;"",TRIM(AB467)&lt;&gt;"Closed"),"INVALID – corrective action not closed: use Fail, then Pass after CA","")&amp;IF(AND(TRIM(AA467)&lt;&gt;"",TRIM(AB467)=""),"INVALID – CA status missing for the recorded corrective action","")&amp;IF(AND(TRIM(U467)="Pass after CA",OR(OR(LEN(BA467)&lt;5,ISNUMBER(MATCH(BA467,L_Placeholder,0))),TRIM(AB467)&lt;&gt;"Closed")),"INVALID – corrective action not recorded/closed","")</f>
        <v/>
      </c>
    </row>
    <row r="468" customFormat="false" ht="39.75" hidden="false" customHeight="true" outlineLevel="0" collapsed="false">
      <c r="A468" s="57" t="s">
        <v>1093</v>
      </c>
      <c r="B468" s="57" t="s">
        <v>273</v>
      </c>
      <c r="C468" s="57" t="str">
        <f aca="false">Flights!$F$18</f>
        <v>MH0004</v>
      </c>
      <c r="D468" s="58" t="n">
        <f aca="false">Flights!$D$18</f>
        <v>46310</v>
      </c>
      <c r="E468" s="57" t="str">
        <f aca="false">Flights!$G$18&amp;"-"&amp;Flights!$H$18</f>
        <v>KUL-LHR</v>
      </c>
      <c r="F468" s="57" t="str">
        <f aca="false">Flights!$K$18</f>
        <v>EY</v>
      </c>
      <c r="G468" s="57" t="s">
        <v>398</v>
      </c>
      <c r="H468" s="57" t="s">
        <v>356</v>
      </c>
      <c r="I468" s="57" t="s">
        <v>406</v>
      </c>
      <c r="J468" s="57" t="s">
        <v>407</v>
      </c>
      <c r="K468" s="67"/>
      <c r="L468" s="67" t="s">
        <v>400</v>
      </c>
      <c r="M468" s="67"/>
      <c r="N468" s="67" t="s">
        <v>361</v>
      </c>
      <c r="O468" s="67" t="s">
        <v>401</v>
      </c>
      <c r="P468" s="57" t="s">
        <v>184</v>
      </c>
      <c r="Q468" s="59" t="n">
        <f aca="false">ROUND((Flights!$AE$18)*1440,0)/1440</f>
        <v>46309.5763888889</v>
      </c>
      <c r="R468" s="59" t="n">
        <f aca="false">Q468+(IF(AND(INDEX(TZ_DSTS,MATCH(P468,TZ_STN,0))&lt;&gt;"",Q468&gt;=INDEX(TZ_DSTS,MATCH(P468,TZ_STN,0)),Q468&lt;INDEX(TZ_DSTE,MATCH(P468,TZ_STN,0))),INDEX(TZ_DST,MATCH(P468,TZ_STN,0)),INDEX(TZ_STD,MATCH(P468,TZ_STN,0))))/24</f>
        <v>46309.9097222222</v>
      </c>
      <c r="S468" s="59" t="n">
        <f aca="false">Q468-T12EarlyH/24</f>
        <v>46309.0763888889</v>
      </c>
      <c r="T468" s="60"/>
      <c r="U468" s="60"/>
      <c r="V468" s="60"/>
      <c r="W468" s="61"/>
      <c r="X468" s="60"/>
      <c r="Y468" s="60"/>
      <c r="Z468" s="60"/>
      <c r="AA468" s="60"/>
      <c r="AB468" s="60"/>
      <c r="AC468" s="60"/>
      <c r="AD468" s="66"/>
      <c r="AE468" s="60"/>
      <c r="AF468" s="61" t="str">
        <f aca="false">IF(AND(ISNUMBER(X468),ISNUMBER(Y468)),Y468-X468,"")</f>
        <v/>
      </c>
      <c r="AG468" s="62" t="str">
        <f aca="false">IF(ISNUMBER(AD468),AD468-(IF(AND(INDEX(TZ_DSTS,MATCH(P468,TZ_STN,0))&lt;&gt;"",(AD468-INDEX(TZ_STD,MATCH(P468,TZ_STN,0))/24)&gt;=INDEX(TZ_DSTS,MATCH(P468,TZ_STN,0)),(AD468-INDEX(TZ_STD,MATCH(P468,TZ_STN,0))/24)&lt;INDEX(TZ_DSTE,MATCH(P468,TZ_STN,0))),INDEX(TZ_DST,MATCH(P468,TZ_STN,0)),INDEX(TZ_STD,MATCH(P468,TZ_STN,0))))/24,"")</f>
        <v/>
      </c>
      <c r="AH468" s="65" t="str">
        <f aca="false">IFERROR(IF(N468="N/A – rule","N/A – RULE",IF(TRIM(U468)="N/A",IF(AT468=0,"INVALID – N/A not permitted for this check",IF(AND(TRIM(AB468)&lt;&gt;"",TRIM(AB468)&lt;&gt;"Closed"),"INVALID – corrective action still open",IF(AND(NOT(OR(LEN(AZ468)&lt;15,ISNUMBER(MATCH(AZ468,L_Placeholder,0)))),NOT(OR(LEN(AU468)&lt;2,ISNUMBER(MATCH(AU468,L_Placeholder,0)))),NOT(OR(LEN(AX468)&lt;2,ISNUMBER(MATCH(AX468,L_Placeholder,0)))),TRIM(AE468)&lt;&gt;TRIM(T468)),"N/A – JUSTIFIED","INVALID – N/A needs a real justification (15+ chars), PIC and a different verifier"))),IF(OR(TRIM(U468)="Pass",TRIM(U468)="Pass after CA"),IF(NOT(ISNUMBER(AD468)),"INVALID – completion time missing",IF(OR(LEN(AU468)&lt;2,ISNUMBER(MATCH(AU468,L_Placeholder,0))),"INVALID – PIC missing",IF(OR(LEN(AV468)&lt;2,ISNUMBER(MATCH(AV468,L_Placeholder,0))),"INVALID – result / assessment missing",IF(OR(OR(LEN(AW468)&lt;3,ISNUMBER(MATCH(AW468,L_Placeholder,0))),SUMPRODUCT(--ISNUMBER(SEARCH(L_EvidencePhrase,AW468)))&gt;0),"INVALID – evidence missing, placeholder or not yet on file",IF(OR(LEN(AX468)&lt;2,ISNUMBER(MATCH(AX468,L_Placeholder,0))),"INVALID – verifier missing",IF(AX468=AU468,"INVALID – verifier must be someone other than the PIC",IF(AND(TRIM(U468)="Pass",SUMPRODUCT(--ISNUMBER(SEARCH(L_ResultBad,AV468)))&gt;0),"INVALID – result describes a problem: use Fail, then Pass after CA",IF(AND(AQ468=1,OR(LEN(AY468)&lt;3,ISNUMBER(MATCH(AY468,L_Placeholder,0)))),"INVALID – batch ID missing or placeholder",IF(AND(AR468=1,OR(NOT(ISNUMBER(X468)),NOT(ISNUMBER(Y468)))),"INVALID – expected/actual qty missing",IF(AND(AR468=1,OR(X468&lt;=0,Y468&lt;0)),"INVALID – expected qty must be above 0 and actual not negative",IF(BB468&lt;&gt;"",BB468,IF(AND(AS468=1,Documents!$J$18&lt;&gt;"ON FILE"),"INVALID – GLD not on file (Documents sheet)",IF(AND(AS468=2,Documents!$O$18&lt;&gt;"ON FILE"),"INVALID – menu checklist not on file (Documents sheet)",IF(AND(AS468=3,NOT(ISNUMBER(Flights!$AX$18))),"INVALID – enter carrying flight KUL departure (Flights AX)",IF(AND(AS468=3,OR(Flights!$AZ$18&gt;Flights!$AA$18,Flights!$AX$18&lt;Flights!$AA$18-3)),"INVALID – carrying flight (Flights AX) cannot arrive before this leg's STD, or is over 3 days early",IF(AG468&gt;AsOfUTC,"INVALID – completion time is in the future",IF(AND(ISNUMBER(S468),AG468&lt;S468),IF(H468="Physical uplift","INVALID – before uplift window (cannot confirm loading)","INVALID – before valid window"),IF(AG468&gt;Flights!$AA$18,"INVALID – completed after departure (cannot establish readiness)",IF(AND(H468="Preparation",AG468&gt;IF(ISNUMBER(Flights!$BA$18),MIN(Flights!$BA$18,Flights!$AA$18),Flights!$AA$18)),"INVALID – completed after loading / departure (cannot establish readiness)",IF(AND(H468="Physical uplift",AG468&gt;Q468),"INVALID – recorded after the loading flight departed",IF(AG468&gt;Q468,"COMPLETE – LATE","COMPLETE"))))))))))))))))))))),IF(TRIM(U468)="Fail","FAIL – DISCREPANCY",IF(AND(TRIM(U468)&lt;&gt;"",TRIM(U468)&lt;&gt;"Not started",TRIM(U468)&lt;&gt;"In progress"),"INVALID – unrecognised status (use the list)",IF(AsOfUTC&gt;Q468,"OVERDUE",IF(N468="Clarification required","OPEN – CLARIFICATION","OPEN"))))))),"INVALID – error value in an input cell")</f>
        <v>OPEN</v>
      </c>
      <c r="AI468" s="61" t="n">
        <f aca="false">IF(OR(AH468="N/A – RULE",AH468="N/A – JUSTIFIED"),0,1)</f>
        <v>1</v>
      </c>
      <c r="AJ468" s="61" t="n">
        <f aca="false">IF(LEFT(AH468,8)="COMPLETE",1,0)</f>
        <v>0</v>
      </c>
      <c r="AK468" s="61" t="n">
        <f aca="false">IF(AND(AI468=1,AJ468=0,AsOfUTC&gt;Q468),1,0)</f>
        <v>0</v>
      </c>
      <c r="AL468" s="61" t="n">
        <f aca="false">IFERROR(IF(AND(AI468=1,OR(TRIM(U468)="Fail",AND(TRIM(AB468)&lt;&gt;"",TRIM(AB468)&lt;&gt;"Closed"),AND(ISNUMBER(AF468),AF468&lt;&gt;0,TRIM(U468)&lt;&gt;"Pass after CA"))),1,0),1)</f>
        <v>0</v>
      </c>
      <c r="AM468" s="61" t="n">
        <f aca="false">IF(LEFT(AH468,7)="INVALID",1,0)</f>
        <v>0</v>
      </c>
      <c r="AN468" s="61" t="n">
        <f aca="false">IF(AND(N468="Clarification required",AI468=1,AJ468=0),1,0)</f>
        <v>0</v>
      </c>
      <c r="AO468" s="61" t="str">
        <f aca="false">IF(AK468=1,SUM(AK$5:AK468),"")</f>
        <v/>
      </c>
      <c r="AP468" s="61" t="str">
        <f aca="false">IF(AL468=1,SUM(AL$5:AL468),"")</f>
        <v/>
      </c>
      <c r="AQ468" s="61" t="n">
        <v>0</v>
      </c>
      <c r="AR468" s="61" t="n">
        <v>0</v>
      </c>
      <c r="AS468" s="61" t="n">
        <v>0</v>
      </c>
      <c r="AT468" s="61" t="n">
        <v>0</v>
      </c>
      <c r="AU468" s="61" t="str">
        <f aca="false">SUBSTITUTE(SUBSTITUTE(SUBSTITUTE(SUBSTITUTE(SUBSTITUTE(SUBSTITUTE(SUBSTITUTE(SUBSTITUTE(SUBSTITUTE(SUBSTITUTE(SUBSTITUTE(SUBSTITUTE(SUBSTITUTE(LOWER(T468&amp;""),CHAR(160),"")," ",""),".",""),"-",""),"/",""),"?",""),"_",""),",",""),"[",""),"]",""),"(",""),")",""),"*","")</f>
        <v/>
      </c>
      <c r="AV468" s="61" t="str">
        <f aca="false">SUBSTITUTE(SUBSTITUTE(SUBSTITUTE(SUBSTITUTE(SUBSTITUTE(SUBSTITUTE(SUBSTITUTE(SUBSTITUTE(SUBSTITUTE(SUBSTITUTE(SUBSTITUTE(SUBSTITUTE(SUBSTITUTE(LOWER(V468&amp;""),CHAR(160),"")," ",""),".",""),"-",""),"/",""),"?",""),"_",""),",",""),"[",""),"]",""),"(",""),")",""),"*","")</f>
        <v/>
      </c>
      <c r="AW468" s="61" t="str">
        <f aca="false">SUBSTITUTE(SUBSTITUTE(SUBSTITUTE(SUBSTITUTE(SUBSTITUTE(SUBSTITUTE(SUBSTITUTE(SUBSTITUTE(SUBSTITUTE(SUBSTITUTE(SUBSTITUTE(SUBSTITUTE(SUBSTITUTE(LOWER(Z468&amp;""),CHAR(160),"")," ",""),".",""),"-",""),"/",""),"?",""),"_",""),",",""),"[",""),"]",""),"(",""),")",""),"*","")</f>
        <v/>
      </c>
      <c r="AX468" s="61" t="str">
        <f aca="false">SUBSTITUTE(SUBSTITUTE(SUBSTITUTE(SUBSTITUTE(SUBSTITUTE(SUBSTITUTE(SUBSTITUTE(SUBSTITUTE(SUBSTITUTE(SUBSTITUTE(SUBSTITUTE(SUBSTITUTE(SUBSTITUTE(LOWER(AE468&amp;""),CHAR(160),"")," ",""),".",""),"-",""),"/",""),"?",""),"_",""),",",""),"[",""),"]",""),"(",""),")",""),"*","")</f>
        <v/>
      </c>
      <c r="AY468" s="61" t="str">
        <f aca="false">SUBSTITUTE(SUBSTITUTE(SUBSTITUTE(SUBSTITUTE(SUBSTITUTE(SUBSTITUTE(SUBSTITUTE(SUBSTITUTE(SUBSTITUTE(SUBSTITUTE(SUBSTITUTE(SUBSTITUTE(SUBSTITUTE(LOWER(W468&amp;""),CHAR(160),"")," ",""),".",""),"-",""),"/",""),"?",""),"_",""),",",""),"[",""),"]",""),"(",""),")",""),"*","")</f>
        <v/>
      </c>
      <c r="AZ468" s="61" t="str">
        <f aca="false">SUBSTITUTE(SUBSTITUTE(SUBSTITUTE(SUBSTITUTE(SUBSTITUTE(SUBSTITUTE(SUBSTITUTE(SUBSTITUTE(SUBSTITUTE(SUBSTITUTE(SUBSTITUTE(SUBSTITUTE(SUBSTITUTE(LOWER(AC468&amp;""),CHAR(160),"")," ",""),".",""),"-",""),"/",""),"?",""),"_",""),",",""),"[",""),"]",""),"(",""),")",""),"*","")</f>
        <v/>
      </c>
      <c r="BA468" s="61" t="str">
        <f aca="false">SUBSTITUTE(SUBSTITUTE(SUBSTITUTE(SUBSTITUTE(SUBSTITUTE(SUBSTITUTE(SUBSTITUTE(SUBSTITUTE(SUBSTITUTE(SUBSTITUTE(SUBSTITUTE(SUBSTITUTE(SUBSTITUTE(LOWER(AA468&amp;""),CHAR(160),"")," ",""),".",""),"-",""),"/",""),"?",""),"_",""),",",""),"[",""),"]",""),"(",""),")",""),"*","")</f>
        <v/>
      </c>
      <c r="BB468" s="61" t="str">
        <f aca="false">IF(AND(TRIM(U468)="Pass",ISNUMBER(AF468)),IF(AF468&lt;&gt;0,"INVALID – qty variance: use Fail or Pass after CA",""),"")&amp;IF(AND(TRIM(U468)="Pass after CA",ISNUMBER(AF468)),IF(AF468&lt;&gt;0,"INVALID – after the corrective action the actual qty must equal expected (update Actual)",""),"")&amp;IF(AND(TRIM(U468)="Pass",TRIM(AB468)&lt;&gt;"",TRIM(AB468)&lt;&gt;"Closed"),"INVALID – corrective action not closed: use Fail, then Pass after CA","")&amp;IF(AND(TRIM(AA468)&lt;&gt;"",TRIM(AB468)=""),"INVALID – CA status missing for the recorded corrective action","")&amp;IF(AND(TRIM(U468)="Pass after CA",OR(OR(LEN(BA468)&lt;5,ISNUMBER(MATCH(BA468,L_Placeholder,0))),TRIM(AB468)&lt;&gt;"Closed")),"INVALID – corrective action not recorded/closed","")</f>
        <v/>
      </c>
    </row>
    <row r="469" customFormat="false" ht="39.75" hidden="false" customHeight="true" outlineLevel="0" collapsed="false">
      <c r="A469" s="57" t="s">
        <v>1094</v>
      </c>
      <c r="B469" s="57" t="s">
        <v>273</v>
      </c>
      <c r="C469" s="57" t="str">
        <f aca="false">Flights!$F$18</f>
        <v>MH0004</v>
      </c>
      <c r="D469" s="58" t="n">
        <f aca="false">Flights!$D$18</f>
        <v>46310</v>
      </c>
      <c r="E469" s="57" t="str">
        <f aca="false">Flights!$G$18&amp;"-"&amp;Flights!$H$18</f>
        <v>KUL-LHR</v>
      </c>
      <c r="F469" s="57" t="str">
        <f aca="false">Flights!$K$18</f>
        <v>EY</v>
      </c>
      <c r="G469" s="57" t="s">
        <v>398</v>
      </c>
      <c r="H469" s="57" t="s">
        <v>356</v>
      </c>
      <c r="I469" s="57" t="s">
        <v>406</v>
      </c>
      <c r="J469" s="57" t="s">
        <v>409</v>
      </c>
      <c r="K469" s="67"/>
      <c r="L469" s="67" t="s">
        <v>400</v>
      </c>
      <c r="M469" s="67"/>
      <c r="N469" s="67" t="s">
        <v>361</v>
      </c>
      <c r="O469" s="67" t="s">
        <v>401</v>
      </c>
      <c r="P469" s="57" t="s">
        <v>184</v>
      </c>
      <c r="Q469" s="59" t="n">
        <f aca="false">ROUND((Flights!$AE$18)*1440,0)/1440</f>
        <v>46309.5763888889</v>
      </c>
      <c r="R469" s="59" t="n">
        <f aca="false">Q469+(IF(AND(INDEX(TZ_DSTS,MATCH(P469,TZ_STN,0))&lt;&gt;"",Q469&gt;=INDEX(TZ_DSTS,MATCH(P469,TZ_STN,0)),Q469&lt;INDEX(TZ_DSTE,MATCH(P469,TZ_STN,0))),INDEX(TZ_DST,MATCH(P469,TZ_STN,0)),INDEX(TZ_STD,MATCH(P469,TZ_STN,0))))/24</f>
        <v>46309.9097222222</v>
      </c>
      <c r="S469" s="59" t="n">
        <f aca="false">Q469-T12EarlyH/24</f>
        <v>46309.0763888889</v>
      </c>
      <c r="T469" s="60"/>
      <c r="U469" s="60"/>
      <c r="V469" s="60"/>
      <c r="W469" s="61"/>
      <c r="X469" s="60"/>
      <c r="Y469" s="60"/>
      <c r="Z469" s="60"/>
      <c r="AA469" s="60"/>
      <c r="AB469" s="60"/>
      <c r="AC469" s="60"/>
      <c r="AD469" s="66"/>
      <c r="AE469" s="60"/>
      <c r="AF469" s="61" t="str">
        <f aca="false">IF(AND(ISNUMBER(X469),ISNUMBER(Y469)),Y469-X469,"")</f>
        <v/>
      </c>
      <c r="AG469" s="62" t="str">
        <f aca="false">IF(ISNUMBER(AD469),AD469-(IF(AND(INDEX(TZ_DSTS,MATCH(P469,TZ_STN,0))&lt;&gt;"",(AD469-INDEX(TZ_STD,MATCH(P469,TZ_STN,0))/24)&gt;=INDEX(TZ_DSTS,MATCH(P469,TZ_STN,0)),(AD469-INDEX(TZ_STD,MATCH(P469,TZ_STN,0))/24)&lt;INDEX(TZ_DSTE,MATCH(P469,TZ_STN,0))),INDEX(TZ_DST,MATCH(P469,TZ_STN,0)),INDEX(TZ_STD,MATCH(P469,TZ_STN,0))))/24,"")</f>
        <v/>
      </c>
      <c r="AH469" s="65" t="str">
        <f aca="false">IFERROR(IF(N469="N/A – rule","N/A – RULE",IF(TRIM(U469)="N/A",IF(AT469=0,"INVALID – N/A not permitted for this check",IF(AND(TRIM(AB469)&lt;&gt;"",TRIM(AB469)&lt;&gt;"Closed"),"INVALID – corrective action still open",IF(AND(NOT(OR(LEN(AZ469)&lt;15,ISNUMBER(MATCH(AZ469,L_Placeholder,0)))),NOT(OR(LEN(AU469)&lt;2,ISNUMBER(MATCH(AU469,L_Placeholder,0)))),NOT(OR(LEN(AX469)&lt;2,ISNUMBER(MATCH(AX469,L_Placeholder,0)))),TRIM(AE469)&lt;&gt;TRIM(T469)),"N/A – JUSTIFIED","INVALID – N/A needs a real justification (15+ chars), PIC and a different verifier"))),IF(OR(TRIM(U469)="Pass",TRIM(U469)="Pass after CA"),IF(NOT(ISNUMBER(AD469)),"INVALID – completion time missing",IF(OR(LEN(AU469)&lt;2,ISNUMBER(MATCH(AU469,L_Placeholder,0))),"INVALID – PIC missing",IF(OR(LEN(AV469)&lt;2,ISNUMBER(MATCH(AV469,L_Placeholder,0))),"INVALID – result / assessment missing",IF(OR(OR(LEN(AW469)&lt;3,ISNUMBER(MATCH(AW469,L_Placeholder,0))),SUMPRODUCT(--ISNUMBER(SEARCH(L_EvidencePhrase,AW469)))&gt;0),"INVALID – evidence missing, placeholder or not yet on file",IF(OR(LEN(AX469)&lt;2,ISNUMBER(MATCH(AX469,L_Placeholder,0))),"INVALID – verifier missing",IF(AX469=AU469,"INVALID – verifier must be someone other than the PIC",IF(AND(TRIM(U469)="Pass",SUMPRODUCT(--ISNUMBER(SEARCH(L_ResultBad,AV469)))&gt;0),"INVALID – result describes a problem: use Fail, then Pass after CA",IF(AND(AQ469=1,OR(LEN(AY469)&lt;3,ISNUMBER(MATCH(AY469,L_Placeholder,0)))),"INVALID – batch ID missing or placeholder",IF(AND(AR469=1,OR(NOT(ISNUMBER(X469)),NOT(ISNUMBER(Y469)))),"INVALID – expected/actual qty missing",IF(AND(AR469=1,OR(X469&lt;=0,Y469&lt;0)),"INVALID – expected qty must be above 0 and actual not negative",IF(BB469&lt;&gt;"",BB469,IF(AND(AS469=1,Documents!$J$18&lt;&gt;"ON FILE"),"INVALID – GLD not on file (Documents sheet)",IF(AND(AS469=2,Documents!$O$18&lt;&gt;"ON FILE"),"INVALID – menu checklist not on file (Documents sheet)",IF(AND(AS469=3,NOT(ISNUMBER(Flights!$AX$18))),"INVALID – enter carrying flight KUL departure (Flights AX)",IF(AND(AS469=3,OR(Flights!$AZ$18&gt;Flights!$AA$18,Flights!$AX$18&lt;Flights!$AA$18-3)),"INVALID – carrying flight (Flights AX) cannot arrive before this leg's STD, or is over 3 days early",IF(AG469&gt;AsOfUTC,"INVALID – completion time is in the future",IF(AND(ISNUMBER(S469),AG469&lt;S469),IF(H469="Physical uplift","INVALID – before uplift window (cannot confirm loading)","INVALID – before valid window"),IF(AG469&gt;Flights!$AA$18,"INVALID – completed after departure (cannot establish readiness)",IF(AND(H469="Preparation",AG469&gt;IF(ISNUMBER(Flights!$BA$18),MIN(Flights!$BA$18,Flights!$AA$18),Flights!$AA$18)),"INVALID – completed after loading / departure (cannot establish readiness)",IF(AND(H469="Physical uplift",AG469&gt;Q469),"INVALID – recorded after the loading flight departed",IF(AG469&gt;Q469,"COMPLETE – LATE","COMPLETE"))))))))))))))))))))),IF(TRIM(U469)="Fail","FAIL – DISCREPANCY",IF(AND(TRIM(U469)&lt;&gt;"",TRIM(U469)&lt;&gt;"Not started",TRIM(U469)&lt;&gt;"In progress"),"INVALID – unrecognised status (use the list)",IF(AsOfUTC&gt;Q469,"OVERDUE",IF(N469="Clarification required","OPEN – CLARIFICATION","OPEN"))))))),"INVALID – error value in an input cell")</f>
        <v>OPEN</v>
      </c>
      <c r="AI469" s="61" t="n">
        <f aca="false">IF(OR(AH469="N/A – RULE",AH469="N/A – JUSTIFIED"),0,1)</f>
        <v>1</v>
      </c>
      <c r="AJ469" s="61" t="n">
        <f aca="false">IF(LEFT(AH469,8)="COMPLETE",1,0)</f>
        <v>0</v>
      </c>
      <c r="AK469" s="61" t="n">
        <f aca="false">IF(AND(AI469=1,AJ469=0,AsOfUTC&gt;Q469),1,0)</f>
        <v>0</v>
      </c>
      <c r="AL469" s="61" t="n">
        <f aca="false">IFERROR(IF(AND(AI469=1,OR(TRIM(U469)="Fail",AND(TRIM(AB469)&lt;&gt;"",TRIM(AB469)&lt;&gt;"Closed"),AND(ISNUMBER(AF469),AF469&lt;&gt;0,TRIM(U469)&lt;&gt;"Pass after CA"))),1,0),1)</f>
        <v>0</v>
      </c>
      <c r="AM469" s="61" t="n">
        <f aca="false">IF(LEFT(AH469,7)="INVALID",1,0)</f>
        <v>0</v>
      </c>
      <c r="AN469" s="61" t="n">
        <f aca="false">IF(AND(N469="Clarification required",AI469=1,AJ469=0),1,0)</f>
        <v>0</v>
      </c>
      <c r="AO469" s="61" t="str">
        <f aca="false">IF(AK469=1,SUM(AK$5:AK469),"")</f>
        <v/>
      </c>
      <c r="AP469" s="61" t="str">
        <f aca="false">IF(AL469=1,SUM(AL$5:AL469),"")</f>
        <v/>
      </c>
      <c r="AQ469" s="61" t="n">
        <v>0</v>
      </c>
      <c r="AR469" s="61" t="n">
        <v>0</v>
      </c>
      <c r="AS469" s="61" t="n">
        <v>0</v>
      </c>
      <c r="AT469" s="61" t="n">
        <v>0</v>
      </c>
      <c r="AU469" s="61" t="str">
        <f aca="false">SUBSTITUTE(SUBSTITUTE(SUBSTITUTE(SUBSTITUTE(SUBSTITUTE(SUBSTITUTE(SUBSTITUTE(SUBSTITUTE(SUBSTITUTE(SUBSTITUTE(SUBSTITUTE(SUBSTITUTE(SUBSTITUTE(LOWER(T469&amp;""),CHAR(160),"")," ",""),".",""),"-",""),"/",""),"?",""),"_",""),",",""),"[",""),"]",""),"(",""),")",""),"*","")</f>
        <v/>
      </c>
      <c r="AV469" s="61" t="str">
        <f aca="false">SUBSTITUTE(SUBSTITUTE(SUBSTITUTE(SUBSTITUTE(SUBSTITUTE(SUBSTITUTE(SUBSTITUTE(SUBSTITUTE(SUBSTITUTE(SUBSTITUTE(SUBSTITUTE(SUBSTITUTE(SUBSTITUTE(LOWER(V469&amp;""),CHAR(160),"")," ",""),".",""),"-",""),"/",""),"?",""),"_",""),",",""),"[",""),"]",""),"(",""),")",""),"*","")</f>
        <v/>
      </c>
      <c r="AW469" s="61" t="str">
        <f aca="false">SUBSTITUTE(SUBSTITUTE(SUBSTITUTE(SUBSTITUTE(SUBSTITUTE(SUBSTITUTE(SUBSTITUTE(SUBSTITUTE(SUBSTITUTE(SUBSTITUTE(SUBSTITUTE(SUBSTITUTE(SUBSTITUTE(LOWER(Z469&amp;""),CHAR(160),"")," ",""),".",""),"-",""),"/",""),"?",""),"_",""),",",""),"[",""),"]",""),"(",""),")",""),"*","")</f>
        <v/>
      </c>
      <c r="AX469" s="61" t="str">
        <f aca="false">SUBSTITUTE(SUBSTITUTE(SUBSTITUTE(SUBSTITUTE(SUBSTITUTE(SUBSTITUTE(SUBSTITUTE(SUBSTITUTE(SUBSTITUTE(SUBSTITUTE(SUBSTITUTE(SUBSTITUTE(SUBSTITUTE(LOWER(AE469&amp;""),CHAR(160),"")," ",""),".",""),"-",""),"/",""),"?",""),"_",""),",",""),"[",""),"]",""),"(",""),")",""),"*","")</f>
        <v/>
      </c>
      <c r="AY469" s="61" t="str">
        <f aca="false">SUBSTITUTE(SUBSTITUTE(SUBSTITUTE(SUBSTITUTE(SUBSTITUTE(SUBSTITUTE(SUBSTITUTE(SUBSTITUTE(SUBSTITUTE(SUBSTITUTE(SUBSTITUTE(SUBSTITUTE(SUBSTITUTE(LOWER(W469&amp;""),CHAR(160),"")," ",""),".",""),"-",""),"/",""),"?",""),"_",""),",",""),"[",""),"]",""),"(",""),")",""),"*","")</f>
        <v/>
      </c>
      <c r="AZ469" s="61" t="str">
        <f aca="false">SUBSTITUTE(SUBSTITUTE(SUBSTITUTE(SUBSTITUTE(SUBSTITUTE(SUBSTITUTE(SUBSTITUTE(SUBSTITUTE(SUBSTITUTE(SUBSTITUTE(SUBSTITUTE(SUBSTITUTE(SUBSTITUTE(LOWER(AC469&amp;""),CHAR(160),"")," ",""),".",""),"-",""),"/",""),"?",""),"_",""),",",""),"[",""),"]",""),"(",""),")",""),"*","")</f>
        <v/>
      </c>
      <c r="BA469" s="61" t="str">
        <f aca="false">SUBSTITUTE(SUBSTITUTE(SUBSTITUTE(SUBSTITUTE(SUBSTITUTE(SUBSTITUTE(SUBSTITUTE(SUBSTITUTE(SUBSTITUTE(SUBSTITUTE(SUBSTITUTE(SUBSTITUTE(SUBSTITUTE(LOWER(AA469&amp;""),CHAR(160),"")," ",""),".",""),"-",""),"/",""),"?",""),"_",""),",",""),"[",""),"]",""),"(",""),")",""),"*","")</f>
        <v/>
      </c>
      <c r="BB469" s="61" t="str">
        <f aca="false">IF(AND(TRIM(U469)="Pass",ISNUMBER(AF469)),IF(AF469&lt;&gt;0,"INVALID – qty variance: use Fail or Pass after CA",""),"")&amp;IF(AND(TRIM(U469)="Pass after CA",ISNUMBER(AF469)),IF(AF469&lt;&gt;0,"INVALID – after the corrective action the actual qty must equal expected (update Actual)",""),"")&amp;IF(AND(TRIM(U469)="Pass",TRIM(AB469)&lt;&gt;"",TRIM(AB469)&lt;&gt;"Closed"),"INVALID – corrective action not closed: use Fail, then Pass after CA","")&amp;IF(AND(TRIM(AA469)&lt;&gt;"",TRIM(AB469)=""),"INVALID – CA status missing for the recorded corrective action","")&amp;IF(AND(TRIM(U469)="Pass after CA",OR(OR(LEN(BA469)&lt;5,ISNUMBER(MATCH(BA469,L_Placeholder,0))),TRIM(AB469)&lt;&gt;"Closed")),"INVALID – corrective action not recorded/closed","")</f>
        <v/>
      </c>
    </row>
    <row r="470" customFormat="false" ht="39.75" hidden="false" customHeight="true" outlineLevel="0" collapsed="false">
      <c r="A470" s="57" t="s">
        <v>1095</v>
      </c>
      <c r="B470" s="57" t="s">
        <v>273</v>
      </c>
      <c r="C470" s="57" t="str">
        <f aca="false">Flights!$F$18</f>
        <v>MH0004</v>
      </c>
      <c r="D470" s="58" t="n">
        <f aca="false">Flights!$D$18</f>
        <v>46310</v>
      </c>
      <c r="E470" s="57" t="str">
        <f aca="false">Flights!$G$18&amp;"-"&amp;Flights!$H$18</f>
        <v>KUL-LHR</v>
      </c>
      <c r="F470" s="57" t="str">
        <f aca="false">Flights!$K$18</f>
        <v>EY</v>
      </c>
      <c r="G470" s="57" t="s">
        <v>398</v>
      </c>
      <c r="H470" s="57" t="s">
        <v>356</v>
      </c>
      <c r="I470" s="57" t="s">
        <v>406</v>
      </c>
      <c r="J470" s="57" t="s">
        <v>411</v>
      </c>
      <c r="K470" s="67"/>
      <c r="L470" s="67" t="s">
        <v>400</v>
      </c>
      <c r="M470" s="67"/>
      <c r="N470" s="67" t="s">
        <v>361</v>
      </c>
      <c r="O470" s="67" t="s">
        <v>401</v>
      </c>
      <c r="P470" s="57" t="s">
        <v>184</v>
      </c>
      <c r="Q470" s="59" t="n">
        <f aca="false">ROUND((Flights!$AE$18)*1440,0)/1440</f>
        <v>46309.5763888889</v>
      </c>
      <c r="R470" s="59" t="n">
        <f aca="false">Q470+(IF(AND(INDEX(TZ_DSTS,MATCH(P470,TZ_STN,0))&lt;&gt;"",Q470&gt;=INDEX(TZ_DSTS,MATCH(P470,TZ_STN,0)),Q470&lt;INDEX(TZ_DSTE,MATCH(P470,TZ_STN,0))),INDEX(TZ_DST,MATCH(P470,TZ_STN,0)),INDEX(TZ_STD,MATCH(P470,TZ_STN,0))))/24</f>
        <v>46309.9097222222</v>
      </c>
      <c r="S470" s="59" t="n">
        <f aca="false">Q470-T12EarlyH/24</f>
        <v>46309.0763888889</v>
      </c>
      <c r="T470" s="60"/>
      <c r="U470" s="60"/>
      <c r="V470" s="60"/>
      <c r="W470" s="61"/>
      <c r="X470" s="60"/>
      <c r="Y470" s="60"/>
      <c r="Z470" s="60"/>
      <c r="AA470" s="60"/>
      <c r="AB470" s="60"/>
      <c r="AC470" s="60"/>
      <c r="AD470" s="66"/>
      <c r="AE470" s="60"/>
      <c r="AF470" s="61" t="str">
        <f aca="false">IF(AND(ISNUMBER(X470),ISNUMBER(Y470)),Y470-X470,"")</f>
        <v/>
      </c>
      <c r="AG470" s="62" t="str">
        <f aca="false">IF(ISNUMBER(AD470),AD470-(IF(AND(INDEX(TZ_DSTS,MATCH(P470,TZ_STN,0))&lt;&gt;"",(AD470-INDEX(TZ_STD,MATCH(P470,TZ_STN,0))/24)&gt;=INDEX(TZ_DSTS,MATCH(P470,TZ_STN,0)),(AD470-INDEX(TZ_STD,MATCH(P470,TZ_STN,0))/24)&lt;INDEX(TZ_DSTE,MATCH(P470,TZ_STN,0))),INDEX(TZ_DST,MATCH(P470,TZ_STN,0)),INDEX(TZ_STD,MATCH(P470,TZ_STN,0))))/24,"")</f>
        <v/>
      </c>
      <c r="AH470" s="65" t="str">
        <f aca="false">IFERROR(IF(N470="N/A – rule","N/A – RULE",IF(TRIM(U470)="N/A",IF(AT470=0,"INVALID – N/A not permitted for this check",IF(AND(TRIM(AB470)&lt;&gt;"",TRIM(AB470)&lt;&gt;"Closed"),"INVALID – corrective action still open",IF(AND(NOT(OR(LEN(AZ470)&lt;15,ISNUMBER(MATCH(AZ470,L_Placeholder,0)))),NOT(OR(LEN(AU470)&lt;2,ISNUMBER(MATCH(AU470,L_Placeholder,0)))),NOT(OR(LEN(AX470)&lt;2,ISNUMBER(MATCH(AX470,L_Placeholder,0)))),TRIM(AE470)&lt;&gt;TRIM(T470)),"N/A – JUSTIFIED","INVALID – N/A needs a real justification (15+ chars), PIC and a different verifier"))),IF(OR(TRIM(U470)="Pass",TRIM(U470)="Pass after CA"),IF(NOT(ISNUMBER(AD470)),"INVALID – completion time missing",IF(OR(LEN(AU470)&lt;2,ISNUMBER(MATCH(AU470,L_Placeholder,0))),"INVALID – PIC missing",IF(OR(LEN(AV470)&lt;2,ISNUMBER(MATCH(AV470,L_Placeholder,0))),"INVALID – result / assessment missing",IF(OR(OR(LEN(AW470)&lt;3,ISNUMBER(MATCH(AW470,L_Placeholder,0))),SUMPRODUCT(--ISNUMBER(SEARCH(L_EvidencePhrase,AW470)))&gt;0),"INVALID – evidence missing, placeholder or not yet on file",IF(OR(LEN(AX470)&lt;2,ISNUMBER(MATCH(AX470,L_Placeholder,0))),"INVALID – verifier missing",IF(AX470=AU470,"INVALID – verifier must be someone other than the PIC",IF(AND(TRIM(U470)="Pass",SUMPRODUCT(--ISNUMBER(SEARCH(L_ResultBad,AV470)))&gt;0),"INVALID – result describes a problem: use Fail, then Pass after CA",IF(AND(AQ470=1,OR(LEN(AY470)&lt;3,ISNUMBER(MATCH(AY470,L_Placeholder,0)))),"INVALID – batch ID missing or placeholder",IF(AND(AR470=1,OR(NOT(ISNUMBER(X470)),NOT(ISNUMBER(Y470)))),"INVALID – expected/actual qty missing",IF(AND(AR470=1,OR(X470&lt;=0,Y470&lt;0)),"INVALID – expected qty must be above 0 and actual not negative",IF(BB470&lt;&gt;"",BB470,IF(AND(AS470=1,Documents!$J$18&lt;&gt;"ON FILE"),"INVALID – GLD not on file (Documents sheet)",IF(AND(AS470=2,Documents!$O$18&lt;&gt;"ON FILE"),"INVALID – menu checklist not on file (Documents sheet)",IF(AND(AS470=3,NOT(ISNUMBER(Flights!$AX$18))),"INVALID – enter carrying flight KUL departure (Flights AX)",IF(AND(AS470=3,OR(Flights!$AZ$18&gt;Flights!$AA$18,Flights!$AX$18&lt;Flights!$AA$18-3)),"INVALID – carrying flight (Flights AX) cannot arrive before this leg's STD, or is over 3 days early",IF(AG470&gt;AsOfUTC,"INVALID – completion time is in the future",IF(AND(ISNUMBER(S470),AG470&lt;S470),IF(H470="Physical uplift","INVALID – before uplift window (cannot confirm loading)","INVALID – before valid window"),IF(AG470&gt;Flights!$AA$18,"INVALID – completed after departure (cannot establish readiness)",IF(AND(H470="Preparation",AG470&gt;IF(ISNUMBER(Flights!$BA$18),MIN(Flights!$BA$18,Flights!$AA$18),Flights!$AA$18)),"INVALID – completed after loading / departure (cannot establish readiness)",IF(AND(H470="Physical uplift",AG470&gt;Q470),"INVALID – recorded after the loading flight departed",IF(AG470&gt;Q470,"COMPLETE – LATE","COMPLETE"))))))))))))))))))))),IF(TRIM(U470)="Fail","FAIL – DISCREPANCY",IF(AND(TRIM(U470)&lt;&gt;"",TRIM(U470)&lt;&gt;"Not started",TRIM(U470)&lt;&gt;"In progress"),"INVALID – unrecognised status (use the list)",IF(AsOfUTC&gt;Q470,"OVERDUE",IF(N470="Clarification required","OPEN – CLARIFICATION","OPEN"))))))),"INVALID – error value in an input cell")</f>
        <v>OPEN</v>
      </c>
      <c r="AI470" s="61" t="n">
        <f aca="false">IF(OR(AH470="N/A – RULE",AH470="N/A – JUSTIFIED"),0,1)</f>
        <v>1</v>
      </c>
      <c r="AJ470" s="61" t="n">
        <f aca="false">IF(LEFT(AH470,8)="COMPLETE",1,0)</f>
        <v>0</v>
      </c>
      <c r="AK470" s="61" t="n">
        <f aca="false">IF(AND(AI470=1,AJ470=0,AsOfUTC&gt;Q470),1,0)</f>
        <v>0</v>
      </c>
      <c r="AL470" s="61" t="n">
        <f aca="false">IFERROR(IF(AND(AI470=1,OR(TRIM(U470)="Fail",AND(TRIM(AB470)&lt;&gt;"",TRIM(AB470)&lt;&gt;"Closed"),AND(ISNUMBER(AF470),AF470&lt;&gt;0,TRIM(U470)&lt;&gt;"Pass after CA"))),1,0),1)</f>
        <v>0</v>
      </c>
      <c r="AM470" s="61" t="n">
        <f aca="false">IF(LEFT(AH470,7)="INVALID",1,0)</f>
        <v>0</v>
      </c>
      <c r="AN470" s="61" t="n">
        <f aca="false">IF(AND(N470="Clarification required",AI470=1,AJ470=0),1,0)</f>
        <v>0</v>
      </c>
      <c r="AO470" s="61" t="str">
        <f aca="false">IF(AK470=1,SUM(AK$5:AK470),"")</f>
        <v/>
      </c>
      <c r="AP470" s="61" t="str">
        <f aca="false">IF(AL470=1,SUM(AL$5:AL470),"")</f>
        <v/>
      </c>
      <c r="AQ470" s="61" t="n">
        <v>0</v>
      </c>
      <c r="AR470" s="61" t="n">
        <v>0</v>
      </c>
      <c r="AS470" s="61" t="n">
        <v>0</v>
      </c>
      <c r="AT470" s="61" t="n">
        <v>0</v>
      </c>
      <c r="AU470" s="61" t="str">
        <f aca="false">SUBSTITUTE(SUBSTITUTE(SUBSTITUTE(SUBSTITUTE(SUBSTITUTE(SUBSTITUTE(SUBSTITUTE(SUBSTITUTE(SUBSTITUTE(SUBSTITUTE(SUBSTITUTE(SUBSTITUTE(SUBSTITUTE(LOWER(T470&amp;""),CHAR(160),"")," ",""),".",""),"-",""),"/",""),"?",""),"_",""),",",""),"[",""),"]",""),"(",""),")",""),"*","")</f>
        <v/>
      </c>
      <c r="AV470" s="61" t="str">
        <f aca="false">SUBSTITUTE(SUBSTITUTE(SUBSTITUTE(SUBSTITUTE(SUBSTITUTE(SUBSTITUTE(SUBSTITUTE(SUBSTITUTE(SUBSTITUTE(SUBSTITUTE(SUBSTITUTE(SUBSTITUTE(SUBSTITUTE(LOWER(V470&amp;""),CHAR(160),"")," ",""),".",""),"-",""),"/",""),"?",""),"_",""),",",""),"[",""),"]",""),"(",""),")",""),"*","")</f>
        <v/>
      </c>
      <c r="AW470" s="61" t="str">
        <f aca="false">SUBSTITUTE(SUBSTITUTE(SUBSTITUTE(SUBSTITUTE(SUBSTITUTE(SUBSTITUTE(SUBSTITUTE(SUBSTITUTE(SUBSTITUTE(SUBSTITUTE(SUBSTITUTE(SUBSTITUTE(SUBSTITUTE(LOWER(Z470&amp;""),CHAR(160),"")," ",""),".",""),"-",""),"/",""),"?",""),"_",""),",",""),"[",""),"]",""),"(",""),")",""),"*","")</f>
        <v/>
      </c>
      <c r="AX470" s="61" t="str">
        <f aca="false">SUBSTITUTE(SUBSTITUTE(SUBSTITUTE(SUBSTITUTE(SUBSTITUTE(SUBSTITUTE(SUBSTITUTE(SUBSTITUTE(SUBSTITUTE(SUBSTITUTE(SUBSTITUTE(SUBSTITUTE(SUBSTITUTE(LOWER(AE470&amp;""),CHAR(160),"")," ",""),".",""),"-",""),"/",""),"?",""),"_",""),",",""),"[",""),"]",""),"(",""),")",""),"*","")</f>
        <v/>
      </c>
      <c r="AY470" s="61" t="str">
        <f aca="false">SUBSTITUTE(SUBSTITUTE(SUBSTITUTE(SUBSTITUTE(SUBSTITUTE(SUBSTITUTE(SUBSTITUTE(SUBSTITUTE(SUBSTITUTE(SUBSTITUTE(SUBSTITUTE(SUBSTITUTE(SUBSTITUTE(LOWER(W470&amp;""),CHAR(160),"")," ",""),".",""),"-",""),"/",""),"?",""),"_",""),",",""),"[",""),"]",""),"(",""),")",""),"*","")</f>
        <v/>
      </c>
      <c r="AZ470" s="61" t="str">
        <f aca="false">SUBSTITUTE(SUBSTITUTE(SUBSTITUTE(SUBSTITUTE(SUBSTITUTE(SUBSTITUTE(SUBSTITUTE(SUBSTITUTE(SUBSTITUTE(SUBSTITUTE(SUBSTITUTE(SUBSTITUTE(SUBSTITUTE(LOWER(AC470&amp;""),CHAR(160),"")," ",""),".",""),"-",""),"/",""),"?",""),"_",""),",",""),"[",""),"]",""),"(",""),")",""),"*","")</f>
        <v/>
      </c>
      <c r="BA470" s="61" t="str">
        <f aca="false">SUBSTITUTE(SUBSTITUTE(SUBSTITUTE(SUBSTITUTE(SUBSTITUTE(SUBSTITUTE(SUBSTITUTE(SUBSTITUTE(SUBSTITUTE(SUBSTITUTE(SUBSTITUTE(SUBSTITUTE(SUBSTITUTE(LOWER(AA470&amp;""),CHAR(160),"")," ",""),".",""),"-",""),"/",""),"?",""),"_",""),",",""),"[",""),"]",""),"(",""),")",""),"*","")</f>
        <v/>
      </c>
      <c r="BB470" s="61" t="str">
        <f aca="false">IF(AND(TRIM(U470)="Pass",ISNUMBER(AF470)),IF(AF470&lt;&gt;0,"INVALID – qty variance: use Fail or Pass after CA",""),"")&amp;IF(AND(TRIM(U470)="Pass after CA",ISNUMBER(AF470)),IF(AF470&lt;&gt;0,"INVALID – after the corrective action the actual qty must equal expected (update Actual)",""),"")&amp;IF(AND(TRIM(U470)="Pass",TRIM(AB470)&lt;&gt;"",TRIM(AB470)&lt;&gt;"Closed"),"INVALID – corrective action not closed: use Fail, then Pass after CA","")&amp;IF(AND(TRIM(AA470)&lt;&gt;"",TRIM(AB470)=""),"INVALID – CA status missing for the recorded corrective action","")&amp;IF(AND(TRIM(U470)="Pass after CA",OR(OR(LEN(BA470)&lt;5,ISNUMBER(MATCH(BA470,L_Placeholder,0))),TRIM(AB470)&lt;&gt;"Closed")),"INVALID – corrective action not recorded/closed","")</f>
        <v/>
      </c>
    </row>
    <row r="471" customFormat="false" ht="141" hidden="false" customHeight="true" outlineLevel="0" collapsed="false">
      <c r="A471" s="57" t="s">
        <v>1096</v>
      </c>
      <c r="B471" s="57" t="s">
        <v>273</v>
      </c>
      <c r="C471" s="57" t="str">
        <f aca="false">Flights!$F$18</f>
        <v>MH0004</v>
      </c>
      <c r="D471" s="58" t="n">
        <f aca="false">Flights!$D$18</f>
        <v>46310</v>
      </c>
      <c r="E471" s="57" t="str">
        <f aca="false">Flights!$G$18&amp;"-"&amp;Flights!$H$18</f>
        <v>KUL-LHR</v>
      </c>
      <c r="F471" s="57" t="str">
        <f aca="false">Flights!$K$18</f>
        <v>EY</v>
      </c>
      <c r="G471" s="57" t="s">
        <v>398</v>
      </c>
      <c r="H471" s="57" t="s">
        <v>356</v>
      </c>
      <c r="I471" s="57" t="s">
        <v>406</v>
      </c>
      <c r="J471" s="57" t="s">
        <v>413</v>
      </c>
      <c r="K471" s="67" t="s">
        <v>414</v>
      </c>
      <c r="L471" s="67" t="s">
        <v>400</v>
      </c>
      <c r="M471" s="67"/>
      <c r="N471" s="67" t="s">
        <v>361</v>
      </c>
      <c r="O471" s="67" t="s">
        <v>401</v>
      </c>
      <c r="P471" s="57" t="s">
        <v>184</v>
      </c>
      <c r="Q471" s="59" t="n">
        <f aca="false">ROUND((Flights!$AE$18)*1440,0)/1440</f>
        <v>46309.5763888889</v>
      </c>
      <c r="R471" s="59" t="n">
        <f aca="false">Q471+(IF(AND(INDEX(TZ_DSTS,MATCH(P471,TZ_STN,0))&lt;&gt;"",Q471&gt;=INDEX(TZ_DSTS,MATCH(P471,TZ_STN,0)),Q471&lt;INDEX(TZ_DSTE,MATCH(P471,TZ_STN,0))),INDEX(TZ_DST,MATCH(P471,TZ_STN,0)),INDEX(TZ_STD,MATCH(P471,TZ_STN,0))))/24</f>
        <v>46309.9097222222</v>
      </c>
      <c r="S471" s="59" t="n">
        <f aca="false">Q471-T12EarlyH/24</f>
        <v>46309.0763888889</v>
      </c>
      <c r="T471" s="60"/>
      <c r="U471" s="60"/>
      <c r="V471" s="60"/>
      <c r="W471" s="61"/>
      <c r="X471" s="60"/>
      <c r="Y471" s="60"/>
      <c r="Z471" s="60"/>
      <c r="AA471" s="60"/>
      <c r="AB471" s="60"/>
      <c r="AC471" s="60"/>
      <c r="AD471" s="66"/>
      <c r="AE471" s="60"/>
      <c r="AF471" s="61" t="str">
        <f aca="false">IF(AND(ISNUMBER(X471),ISNUMBER(Y471)),Y471-X471,"")</f>
        <v/>
      </c>
      <c r="AG471" s="62" t="str">
        <f aca="false">IF(ISNUMBER(AD471),AD471-(IF(AND(INDEX(TZ_DSTS,MATCH(P471,TZ_STN,0))&lt;&gt;"",(AD471-INDEX(TZ_STD,MATCH(P471,TZ_STN,0))/24)&gt;=INDEX(TZ_DSTS,MATCH(P471,TZ_STN,0)),(AD471-INDEX(TZ_STD,MATCH(P471,TZ_STN,0))/24)&lt;INDEX(TZ_DSTE,MATCH(P471,TZ_STN,0))),INDEX(TZ_DST,MATCH(P471,TZ_STN,0)),INDEX(TZ_STD,MATCH(P471,TZ_STN,0))))/24,"")</f>
        <v/>
      </c>
      <c r="AH471" s="65" t="str">
        <f aca="false">IFERROR(IF(N471="N/A – rule","N/A – RULE",IF(TRIM(U471)="N/A",IF(AT471=0,"INVALID – N/A not permitted for this check",IF(AND(TRIM(AB471)&lt;&gt;"",TRIM(AB471)&lt;&gt;"Closed"),"INVALID – corrective action still open",IF(AND(NOT(OR(LEN(AZ471)&lt;15,ISNUMBER(MATCH(AZ471,L_Placeholder,0)))),NOT(OR(LEN(AU471)&lt;2,ISNUMBER(MATCH(AU471,L_Placeholder,0)))),NOT(OR(LEN(AX471)&lt;2,ISNUMBER(MATCH(AX471,L_Placeholder,0)))),TRIM(AE471)&lt;&gt;TRIM(T471)),"N/A – JUSTIFIED","INVALID – N/A needs a real justification (15+ chars), PIC and a different verifier"))),IF(OR(TRIM(U471)="Pass",TRIM(U471)="Pass after CA"),IF(NOT(ISNUMBER(AD471)),"INVALID – completion time missing",IF(OR(LEN(AU471)&lt;2,ISNUMBER(MATCH(AU471,L_Placeholder,0))),"INVALID – PIC missing",IF(OR(LEN(AV471)&lt;2,ISNUMBER(MATCH(AV471,L_Placeholder,0))),"INVALID – result / assessment missing",IF(OR(OR(LEN(AW471)&lt;3,ISNUMBER(MATCH(AW471,L_Placeholder,0))),SUMPRODUCT(--ISNUMBER(SEARCH(L_EvidencePhrase,AW471)))&gt;0),"INVALID – evidence missing, placeholder or not yet on file",IF(OR(LEN(AX471)&lt;2,ISNUMBER(MATCH(AX471,L_Placeholder,0))),"INVALID – verifier missing",IF(AX471=AU471,"INVALID – verifier must be someone other than the PIC",IF(AND(TRIM(U471)="Pass",SUMPRODUCT(--ISNUMBER(SEARCH(L_ResultBad,AV471)))&gt;0),"INVALID – result describes a problem: use Fail, then Pass after CA",IF(AND(AQ471=1,OR(LEN(AY471)&lt;3,ISNUMBER(MATCH(AY471,L_Placeholder,0)))),"INVALID – batch ID missing or placeholder",IF(AND(AR471=1,OR(NOT(ISNUMBER(X471)),NOT(ISNUMBER(Y471)))),"INVALID – expected/actual qty missing",IF(AND(AR471=1,OR(X471&lt;=0,Y471&lt;0)),"INVALID – expected qty must be above 0 and actual not negative",IF(BB471&lt;&gt;"",BB471,IF(AND(AS471=1,Documents!$J$18&lt;&gt;"ON FILE"),"INVALID – GLD not on file (Documents sheet)",IF(AND(AS471=2,Documents!$O$18&lt;&gt;"ON FILE"),"INVALID – menu checklist not on file (Documents sheet)",IF(AND(AS471=3,NOT(ISNUMBER(Flights!$AX$18))),"INVALID – enter carrying flight KUL departure (Flights AX)",IF(AND(AS471=3,OR(Flights!$AZ$18&gt;Flights!$AA$18,Flights!$AX$18&lt;Flights!$AA$18-3)),"INVALID – carrying flight (Flights AX) cannot arrive before this leg's STD, or is over 3 days early",IF(AG471&gt;AsOfUTC,"INVALID – completion time is in the future",IF(AND(ISNUMBER(S471),AG471&lt;S471),IF(H471="Physical uplift","INVALID – before uplift window (cannot confirm loading)","INVALID – before valid window"),IF(AG471&gt;Flights!$AA$18,"INVALID – completed after departure (cannot establish readiness)",IF(AND(H471="Preparation",AG471&gt;IF(ISNUMBER(Flights!$BA$18),MIN(Flights!$BA$18,Flights!$AA$18),Flights!$AA$18)),"INVALID – completed after loading / departure (cannot establish readiness)",IF(AND(H471="Physical uplift",AG471&gt;Q471),"INVALID – recorded after the loading flight departed",IF(AG471&gt;Q471,"COMPLETE – LATE","COMPLETE"))))))))))))))))))))),IF(TRIM(U471)="Fail","FAIL – DISCREPANCY",IF(AND(TRIM(U471)&lt;&gt;"",TRIM(U471)&lt;&gt;"Not started",TRIM(U471)&lt;&gt;"In progress"),"INVALID – unrecognised status (use the list)",IF(AsOfUTC&gt;Q471,"OVERDUE",IF(N471="Clarification required","OPEN – CLARIFICATION","OPEN"))))))),"INVALID – error value in an input cell")</f>
        <v>OPEN</v>
      </c>
      <c r="AI471" s="61" t="n">
        <f aca="false">IF(OR(AH471="N/A – RULE",AH471="N/A – JUSTIFIED"),0,1)</f>
        <v>1</v>
      </c>
      <c r="AJ471" s="61" t="n">
        <f aca="false">IF(LEFT(AH471,8)="COMPLETE",1,0)</f>
        <v>0</v>
      </c>
      <c r="AK471" s="61" t="n">
        <f aca="false">IF(AND(AI471=1,AJ471=0,AsOfUTC&gt;Q471),1,0)</f>
        <v>0</v>
      </c>
      <c r="AL471" s="61" t="n">
        <f aca="false">IFERROR(IF(AND(AI471=1,OR(TRIM(U471)="Fail",AND(TRIM(AB471)&lt;&gt;"",TRIM(AB471)&lt;&gt;"Closed"),AND(ISNUMBER(AF471),AF471&lt;&gt;0,TRIM(U471)&lt;&gt;"Pass after CA"))),1,0),1)</f>
        <v>0</v>
      </c>
      <c r="AM471" s="61" t="n">
        <f aca="false">IF(LEFT(AH471,7)="INVALID",1,0)</f>
        <v>0</v>
      </c>
      <c r="AN471" s="61" t="n">
        <f aca="false">IF(AND(N471="Clarification required",AI471=1,AJ471=0),1,0)</f>
        <v>0</v>
      </c>
      <c r="AO471" s="61" t="str">
        <f aca="false">IF(AK471=1,SUM(AK$5:AK471),"")</f>
        <v/>
      </c>
      <c r="AP471" s="61" t="str">
        <f aca="false">IF(AL471=1,SUM(AL$5:AL471),"")</f>
        <v/>
      </c>
      <c r="AQ471" s="61" t="n">
        <v>0</v>
      </c>
      <c r="AR471" s="61" t="n">
        <v>1</v>
      </c>
      <c r="AS471" s="61" t="n">
        <v>0</v>
      </c>
      <c r="AT471" s="61" t="n">
        <v>0</v>
      </c>
      <c r="AU471" s="61" t="str">
        <f aca="false">SUBSTITUTE(SUBSTITUTE(SUBSTITUTE(SUBSTITUTE(SUBSTITUTE(SUBSTITUTE(SUBSTITUTE(SUBSTITUTE(SUBSTITUTE(SUBSTITUTE(SUBSTITUTE(SUBSTITUTE(SUBSTITUTE(LOWER(T471&amp;""),CHAR(160),"")," ",""),".",""),"-",""),"/",""),"?",""),"_",""),",",""),"[",""),"]",""),"(",""),")",""),"*","")</f>
        <v/>
      </c>
      <c r="AV471" s="61" t="str">
        <f aca="false">SUBSTITUTE(SUBSTITUTE(SUBSTITUTE(SUBSTITUTE(SUBSTITUTE(SUBSTITUTE(SUBSTITUTE(SUBSTITUTE(SUBSTITUTE(SUBSTITUTE(SUBSTITUTE(SUBSTITUTE(SUBSTITUTE(LOWER(V471&amp;""),CHAR(160),"")," ",""),".",""),"-",""),"/",""),"?",""),"_",""),",",""),"[",""),"]",""),"(",""),")",""),"*","")</f>
        <v/>
      </c>
      <c r="AW471" s="61" t="str">
        <f aca="false">SUBSTITUTE(SUBSTITUTE(SUBSTITUTE(SUBSTITUTE(SUBSTITUTE(SUBSTITUTE(SUBSTITUTE(SUBSTITUTE(SUBSTITUTE(SUBSTITUTE(SUBSTITUTE(SUBSTITUTE(SUBSTITUTE(LOWER(Z471&amp;""),CHAR(160),"")," ",""),".",""),"-",""),"/",""),"?",""),"_",""),",",""),"[",""),"]",""),"(",""),")",""),"*","")</f>
        <v/>
      </c>
      <c r="AX471" s="61" t="str">
        <f aca="false">SUBSTITUTE(SUBSTITUTE(SUBSTITUTE(SUBSTITUTE(SUBSTITUTE(SUBSTITUTE(SUBSTITUTE(SUBSTITUTE(SUBSTITUTE(SUBSTITUTE(SUBSTITUTE(SUBSTITUTE(SUBSTITUTE(LOWER(AE471&amp;""),CHAR(160),"")," ",""),".",""),"-",""),"/",""),"?",""),"_",""),",",""),"[",""),"]",""),"(",""),")",""),"*","")</f>
        <v/>
      </c>
      <c r="AY471" s="61" t="str">
        <f aca="false">SUBSTITUTE(SUBSTITUTE(SUBSTITUTE(SUBSTITUTE(SUBSTITUTE(SUBSTITUTE(SUBSTITUTE(SUBSTITUTE(SUBSTITUTE(SUBSTITUTE(SUBSTITUTE(SUBSTITUTE(SUBSTITUTE(LOWER(W471&amp;""),CHAR(160),"")," ",""),".",""),"-",""),"/",""),"?",""),"_",""),",",""),"[",""),"]",""),"(",""),")",""),"*","")</f>
        <v/>
      </c>
      <c r="AZ471" s="61" t="str">
        <f aca="false">SUBSTITUTE(SUBSTITUTE(SUBSTITUTE(SUBSTITUTE(SUBSTITUTE(SUBSTITUTE(SUBSTITUTE(SUBSTITUTE(SUBSTITUTE(SUBSTITUTE(SUBSTITUTE(SUBSTITUTE(SUBSTITUTE(LOWER(AC471&amp;""),CHAR(160),"")," ",""),".",""),"-",""),"/",""),"?",""),"_",""),",",""),"[",""),"]",""),"(",""),")",""),"*","")</f>
        <v/>
      </c>
      <c r="BA471" s="61" t="str">
        <f aca="false">SUBSTITUTE(SUBSTITUTE(SUBSTITUTE(SUBSTITUTE(SUBSTITUTE(SUBSTITUTE(SUBSTITUTE(SUBSTITUTE(SUBSTITUTE(SUBSTITUTE(SUBSTITUTE(SUBSTITUTE(SUBSTITUTE(LOWER(AA471&amp;""),CHAR(160),"")," ",""),".",""),"-",""),"/",""),"?",""),"_",""),",",""),"[",""),"]",""),"(",""),")",""),"*","")</f>
        <v/>
      </c>
      <c r="BB471" s="61" t="str">
        <f aca="false">IF(AND(TRIM(U471)="Pass",ISNUMBER(AF471)),IF(AF471&lt;&gt;0,"INVALID – qty variance: use Fail or Pass after CA",""),"")&amp;IF(AND(TRIM(U471)="Pass after CA",ISNUMBER(AF471)),IF(AF471&lt;&gt;0,"INVALID – after the corrective action the actual qty must equal expected (update Actual)",""),"")&amp;IF(AND(TRIM(U471)="Pass",TRIM(AB471)&lt;&gt;"",TRIM(AB471)&lt;&gt;"Closed"),"INVALID – corrective action not closed: use Fail, then Pass after CA","")&amp;IF(AND(TRIM(AA471)&lt;&gt;"",TRIM(AB471)=""),"INVALID – CA status missing for the recorded corrective action","")&amp;IF(AND(TRIM(U471)="Pass after CA",OR(OR(LEN(BA471)&lt;5,ISNUMBER(MATCH(BA471,L_Placeholder,0))),TRIM(AB471)&lt;&gt;"Closed")),"INVALID – corrective action not recorded/closed","")</f>
        <v/>
      </c>
    </row>
    <row r="472" customFormat="false" ht="39.75" hidden="false" customHeight="true" outlineLevel="0" collapsed="false">
      <c r="A472" s="57" t="s">
        <v>1097</v>
      </c>
      <c r="B472" s="57" t="s">
        <v>273</v>
      </c>
      <c r="C472" s="57" t="str">
        <f aca="false">Flights!$F$18</f>
        <v>MH0004</v>
      </c>
      <c r="D472" s="58" t="n">
        <f aca="false">Flights!$D$18</f>
        <v>46310</v>
      </c>
      <c r="E472" s="57" t="str">
        <f aca="false">Flights!$G$18&amp;"-"&amp;Flights!$H$18</f>
        <v>KUL-LHR</v>
      </c>
      <c r="F472" s="57" t="str">
        <f aca="false">Flights!$K$18</f>
        <v>EY</v>
      </c>
      <c r="G472" s="57" t="s">
        <v>398</v>
      </c>
      <c r="H472" s="57" t="s">
        <v>356</v>
      </c>
      <c r="I472" s="57" t="s">
        <v>406</v>
      </c>
      <c r="J472" s="57" t="s">
        <v>416</v>
      </c>
      <c r="K472" s="67"/>
      <c r="L472" s="67" t="s">
        <v>400</v>
      </c>
      <c r="M472" s="67"/>
      <c r="N472" s="67" t="s">
        <v>361</v>
      </c>
      <c r="O472" s="67" t="s">
        <v>401</v>
      </c>
      <c r="P472" s="57" t="s">
        <v>184</v>
      </c>
      <c r="Q472" s="59" t="n">
        <f aca="false">ROUND((Flights!$AE$18)*1440,0)/1440</f>
        <v>46309.5763888889</v>
      </c>
      <c r="R472" s="59" t="n">
        <f aca="false">Q472+(IF(AND(INDEX(TZ_DSTS,MATCH(P472,TZ_STN,0))&lt;&gt;"",Q472&gt;=INDEX(TZ_DSTS,MATCH(P472,TZ_STN,0)),Q472&lt;INDEX(TZ_DSTE,MATCH(P472,TZ_STN,0))),INDEX(TZ_DST,MATCH(P472,TZ_STN,0)),INDEX(TZ_STD,MATCH(P472,TZ_STN,0))))/24</f>
        <v>46309.9097222222</v>
      </c>
      <c r="S472" s="59" t="n">
        <f aca="false">Q472-T12EarlyH/24</f>
        <v>46309.0763888889</v>
      </c>
      <c r="T472" s="60"/>
      <c r="U472" s="60"/>
      <c r="V472" s="60"/>
      <c r="W472" s="61"/>
      <c r="X472" s="60"/>
      <c r="Y472" s="60"/>
      <c r="Z472" s="60"/>
      <c r="AA472" s="60"/>
      <c r="AB472" s="60"/>
      <c r="AC472" s="60"/>
      <c r="AD472" s="66"/>
      <c r="AE472" s="60"/>
      <c r="AF472" s="61" t="str">
        <f aca="false">IF(AND(ISNUMBER(X472),ISNUMBER(Y472)),Y472-X472,"")</f>
        <v/>
      </c>
      <c r="AG472" s="62" t="str">
        <f aca="false">IF(ISNUMBER(AD472),AD472-(IF(AND(INDEX(TZ_DSTS,MATCH(P472,TZ_STN,0))&lt;&gt;"",(AD472-INDEX(TZ_STD,MATCH(P472,TZ_STN,0))/24)&gt;=INDEX(TZ_DSTS,MATCH(P472,TZ_STN,0)),(AD472-INDEX(TZ_STD,MATCH(P472,TZ_STN,0))/24)&lt;INDEX(TZ_DSTE,MATCH(P472,TZ_STN,0))),INDEX(TZ_DST,MATCH(P472,TZ_STN,0)),INDEX(TZ_STD,MATCH(P472,TZ_STN,0))))/24,"")</f>
        <v/>
      </c>
      <c r="AH472" s="65" t="str">
        <f aca="false">IFERROR(IF(N472="N/A – rule","N/A – RULE",IF(TRIM(U472)="N/A",IF(AT472=0,"INVALID – N/A not permitted for this check",IF(AND(TRIM(AB472)&lt;&gt;"",TRIM(AB472)&lt;&gt;"Closed"),"INVALID – corrective action still open",IF(AND(NOT(OR(LEN(AZ472)&lt;15,ISNUMBER(MATCH(AZ472,L_Placeholder,0)))),NOT(OR(LEN(AU472)&lt;2,ISNUMBER(MATCH(AU472,L_Placeholder,0)))),NOT(OR(LEN(AX472)&lt;2,ISNUMBER(MATCH(AX472,L_Placeholder,0)))),TRIM(AE472)&lt;&gt;TRIM(T472)),"N/A – JUSTIFIED","INVALID – N/A needs a real justification (15+ chars), PIC and a different verifier"))),IF(OR(TRIM(U472)="Pass",TRIM(U472)="Pass after CA"),IF(NOT(ISNUMBER(AD472)),"INVALID – completion time missing",IF(OR(LEN(AU472)&lt;2,ISNUMBER(MATCH(AU472,L_Placeholder,0))),"INVALID – PIC missing",IF(OR(LEN(AV472)&lt;2,ISNUMBER(MATCH(AV472,L_Placeholder,0))),"INVALID – result / assessment missing",IF(OR(OR(LEN(AW472)&lt;3,ISNUMBER(MATCH(AW472,L_Placeholder,0))),SUMPRODUCT(--ISNUMBER(SEARCH(L_EvidencePhrase,AW472)))&gt;0),"INVALID – evidence missing, placeholder or not yet on file",IF(OR(LEN(AX472)&lt;2,ISNUMBER(MATCH(AX472,L_Placeholder,0))),"INVALID – verifier missing",IF(AX472=AU472,"INVALID – verifier must be someone other than the PIC",IF(AND(TRIM(U472)="Pass",SUMPRODUCT(--ISNUMBER(SEARCH(L_ResultBad,AV472)))&gt;0),"INVALID – result describes a problem: use Fail, then Pass after CA",IF(AND(AQ472=1,OR(LEN(AY472)&lt;3,ISNUMBER(MATCH(AY472,L_Placeholder,0)))),"INVALID – batch ID missing or placeholder",IF(AND(AR472=1,OR(NOT(ISNUMBER(X472)),NOT(ISNUMBER(Y472)))),"INVALID – expected/actual qty missing",IF(AND(AR472=1,OR(X472&lt;=0,Y472&lt;0)),"INVALID – expected qty must be above 0 and actual not negative",IF(BB472&lt;&gt;"",BB472,IF(AND(AS472=1,Documents!$J$18&lt;&gt;"ON FILE"),"INVALID – GLD not on file (Documents sheet)",IF(AND(AS472=2,Documents!$O$18&lt;&gt;"ON FILE"),"INVALID – menu checklist not on file (Documents sheet)",IF(AND(AS472=3,NOT(ISNUMBER(Flights!$AX$18))),"INVALID – enter carrying flight KUL departure (Flights AX)",IF(AND(AS472=3,OR(Flights!$AZ$18&gt;Flights!$AA$18,Flights!$AX$18&lt;Flights!$AA$18-3)),"INVALID – carrying flight (Flights AX) cannot arrive before this leg's STD, or is over 3 days early",IF(AG472&gt;AsOfUTC,"INVALID – completion time is in the future",IF(AND(ISNUMBER(S472),AG472&lt;S472),IF(H472="Physical uplift","INVALID – before uplift window (cannot confirm loading)","INVALID – before valid window"),IF(AG472&gt;Flights!$AA$18,"INVALID – completed after departure (cannot establish readiness)",IF(AND(H472="Preparation",AG472&gt;IF(ISNUMBER(Flights!$BA$18),MIN(Flights!$BA$18,Flights!$AA$18),Flights!$AA$18)),"INVALID – completed after loading / departure (cannot establish readiness)",IF(AND(H472="Physical uplift",AG472&gt;Q472),"INVALID – recorded after the loading flight departed",IF(AG472&gt;Q472,"COMPLETE – LATE","COMPLETE"))))))))))))))))))))),IF(TRIM(U472)="Fail","FAIL – DISCREPANCY",IF(AND(TRIM(U472)&lt;&gt;"",TRIM(U472)&lt;&gt;"Not started",TRIM(U472)&lt;&gt;"In progress"),"INVALID – unrecognised status (use the list)",IF(AsOfUTC&gt;Q472,"OVERDUE",IF(N472="Clarification required","OPEN – CLARIFICATION","OPEN"))))))),"INVALID – error value in an input cell")</f>
        <v>OPEN</v>
      </c>
      <c r="AI472" s="61" t="n">
        <f aca="false">IF(OR(AH472="N/A – RULE",AH472="N/A – JUSTIFIED"),0,1)</f>
        <v>1</v>
      </c>
      <c r="AJ472" s="61" t="n">
        <f aca="false">IF(LEFT(AH472,8)="COMPLETE",1,0)</f>
        <v>0</v>
      </c>
      <c r="AK472" s="61" t="n">
        <f aca="false">IF(AND(AI472=1,AJ472=0,AsOfUTC&gt;Q472),1,0)</f>
        <v>0</v>
      </c>
      <c r="AL472" s="61" t="n">
        <f aca="false">IFERROR(IF(AND(AI472=1,OR(TRIM(U472)="Fail",AND(TRIM(AB472)&lt;&gt;"",TRIM(AB472)&lt;&gt;"Closed"),AND(ISNUMBER(AF472),AF472&lt;&gt;0,TRIM(U472)&lt;&gt;"Pass after CA"))),1,0),1)</f>
        <v>0</v>
      </c>
      <c r="AM472" s="61" t="n">
        <f aca="false">IF(LEFT(AH472,7)="INVALID",1,0)</f>
        <v>0</v>
      </c>
      <c r="AN472" s="61" t="n">
        <f aca="false">IF(AND(N472="Clarification required",AI472=1,AJ472=0),1,0)</f>
        <v>0</v>
      </c>
      <c r="AO472" s="61" t="str">
        <f aca="false">IF(AK472=1,SUM(AK$5:AK472),"")</f>
        <v/>
      </c>
      <c r="AP472" s="61" t="str">
        <f aca="false">IF(AL472=1,SUM(AL$5:AL472),"")</f>
        <v/>
      </c>
      <c r="AQ472" s="61" t="n">
        <v>0</v>
      </c>
      <c r="AR472" s="61" t="n">
        <v>0</v>
      </c>
      <c r="AS472" s="61" t="n">
        <v>0</v>
      </c>
      <c r="AT472" s="61" t="n">
        <v>0</v>
      </c>
      <c r="AU472" s="61" t="str">
        <f aca="false">SUBSTITUTE(SUBSTITUTE(SUBSTITUTE(SUBSTITUTE(SUBSTITUTE(SUBSTITUTE(SUBSTITUTE(SUBSTITUTE(SUBSTITUTE(SUBSTITUTE(SUBSTITUTE(SUBSTITUTE(SUBSTITUTE(LOWER(T472&amp;""),CHAR(160),"")," ",""),".",""),"-",""),"/",""),"?",""),"_",""),",",""),"[",""),"]",""),"(",""),")",""),"*","")</f>
        <v/>
      </c>
      <c r="AV472" s="61" t="str">
        <f aca="false">SUBSTITUTE(SUBSTITUTE(SUBSTITUTE(SUBSTITUTE(SUBSTITUTE(SUBSTITUTE(SUBSTITUTE(SUBSTITUTE(SUBSTITUTE(SUBSTITUTE(SUBSTITUTE(SUBSTITUTE(SUBSTITUTE(LOWER(V472&amp;""),CHAR(160),"")," ",""),".",""),"-",""),"/",""),"?",""),"_",""),",",""),"[",""),"]",""),"(",""),")",""),"*","")</f>
        <v/>
      </c>
      <c r="AW472" s="61" t="str">
        <f aca="false">SUBSTITUTE(SUBSTITUTE(SUBSTITUTE(SUBSTITUTE(SUBSTITUTE(SUBSTITUTE(SUBSTITUTE(SUBSTITUTE(SUBSTITUTE(SUBSTITUTE(SUBSTITUTE(SUBSTITUTE(SUBSTITUTE(LOWER(Z472&amp;""),CHAR(160),"")," ",""),".",""),"-",""),"/",""),"?",""),"_",""),",",""),"[",""),"]",""),"(",""),")",""),"*","")</f>
        <v/>
      </c>
      <c r="AX472" s="61" t="str">
        <f aca="false">SUBSTITUTE(SUBSTITUTE(SUBSTITUTE(SUBSTITUTE(SUBSTITUTE(SUBSTITUTE(SUBSTITUTE(SUBSTITUTE(SUBSTITUTE(SUBSTITUTE(SUBSTITUTE(SUBSTITUTE(SUBSTITUTE(LOWER(AE472&amp;""),CHAR(160),"")," ",""),".",""),"-",""),"/",""),"?",""),"_",""),",",""),"[",""),"]",""),"(",""),")",""),"*","")</f>
        <v/>
      </c>
      <c r="AY472" s="61" t="str">
        <f aca="false">SUBSTITUTE(SUBSTITUTE(SUBSTITUTE(SUBSTITUTE(SUBSTITUTE(SUBSTITUTE(SUBSTITUTE(SUBSTITUTE(SUBSTITUTE(SUBSTITUTE(SUBSTITUTE(SUBSTITUTE(SUBSTITUTE(LOWER(W472&amp;""),CHAR(160),"")," ",""),".",""),"-",""),"/",""),"?",""),"_",""),",",""),"[",""),"]",""),"(",""),")",""),"*","")</f>
        <v/>
      </c>
      <c r="AZ472" s="61" t="str">
        <f aca="false">SUBSTITUTE(SUBSTITUTE(SUBSTITUTE(SUBSTITUTE(SUBSTITUTE(SUBSTITUTE(SUBSTITUTE(SUBSTITUTE(SUBSTITUTE(SUBSTITUTE(SUBSTITUTE(SUBSTITUTE(SUBSTITUTE(LOWER(AC472&amp;""),CHAR(160),"")," ",""),".",""),"-",""),"/",""),"?",""),"_",""),",",""),"[",""),"]",""),"(",""),")",""),"*","")</f>
        <v/>
      </c>
      <c r="BA472" s="61" t="str">
        <f aca="false">SUBSTITUTE(SUBSTITUTE(SUBSTITUTE(SUBSTITUTE(SUBSTITUTE(SUBSTITUTE(SUBSTITUTE(SUBSTITUTE(SUBSTITUTE(SUBSTITUTE(SUBSTITUTE(SUBSTITUTE(SUBSTITUTE(LOWER(AA472&amp;""),CHAR(160),"")," ",""),".",""),"-",""),"/",""),"?",""),"_",""),",",""),"[",""),"]",""),"(",""),")",""),"*","")</f>
        <v/>
      </c>
      <c r="BB472" s="61" t="str">
        <f aca="false">IF(AND(TRIM(U472)="Pass",ISNUMBER(AF472)),IF(AF472&lt;&gt;0,"INVALID – qty variance: use Fail or Pass after CA",""),"")&amp;IF(AND(TRIM(U472)="Pass after CA",ISNUMBER(AF472)),IF(AF472&lt;&gt;0,"INVALID – after the corrective action the actual qty must equal expected (update Actual)",""),"")&amp;IF(AND(TRIM(U472)="Pass",TRIM(AB472)&lt;&gt;"",TRIM(AB472)&lt;&gt;"Closed"),"INVALID – corrective action not closed: use Fail, then Pass after CA","")&amp;IF(AND(TRIM(AA472)&lt;&gt;"",TRIM(AB472)=""),"INVALID – CA status missing for the recorded corrective action","")&amp;IF(AND(TRIM(U472)="Pass after CA",OR(OR(LEN(BA472)&lt;5,ISNUMBER(MATCH(BA472,L_Placeholder,0))),TRIM(AB472)&lt;&gt;"Closed")),"INVALID – corrective action not recorded/closed","")</f>
        <v/>
      </c>
    </row>
    <row r="473" customFormat="false" ht="116.25" hidden="false" customHeight="true" outlineLevel="0" collapsed="false">
      <c r="A473" s="57" t="s">
        <v>1098</v>
      </c>
      <c r="B473" s="57" t="s">
        <v>273</v>
      </c>
      <c r="C473" s="57" t="str">
        <f aca="false">Flights!$F$18</f>
        <v>MH0004</v>
      </c>
      <c r="D473" s="58" t="n">
        <f aca="false">Flights!$D$18</f>
        <v>46310</v>
      </c>
      <c r="E473" s="57" t="str">
        <f aca="false">Flights!$G$18&amp;"-"&amp;Flights!$H$18</f>
        <v>KUL-LHR</v>
      </c>
      <c r="F473" s="57" t="str">
        <f aca="false">Flights!$K$18</f>
        <v>EY</v>
      </c>
      <c r="G473" s="57" t="s">
        <v>398</v>
      </c>
      <c r="H473" s="57" t="s">
        <v>356</v>
      </c>
      <c r="I473" s="57" t="s">
        <v>418</v>
      </c>
      <c r="J473" s="57" t="s">
        <v>419</v>
      </c>
      <c r="K473" s="67" t="s">
        <v>479</v>
      </c>
      <c r="L473" s="67" t="s">
        <v>421</v>
      </c>
      <c r="M473" s="67" t="s">
        <v>704</v>
      </c>
      <c r="N473" s="67" t="s">
        <v>422</v>
      </c>
      <c r="O473" s="67" t="s">
        <v>1099</v>
      </c>
      <c r="P473" s="57" t="s">
        <v>184</v>
      </c>
      <c r="Q473" s="59" t="n">
        <f aca="false">ROUND((Flights!$AE$18)*1440,0)/1440</f>
        <v>46309.5763888889</v>
      </c>
      <c r="R473" s="59" t="n">
        <f aca="false">Q473+(IF(AND(INDEX(TZ_DSTS,MATCH(P473,TZ_STN,0))&lt;&gt;"",Q473&gt;=INDEX(TZ_DSTS,MATCH(P473,TZ_STN,0)),Q473&lt;INDEX(TZ_DSTE,MATCH(P473,TZ_STN,0))),INDEX(TZ_DST,MATCH(P473,TZ_STN,0)),INDEX(TZ_STD,MATCH(P473,TZ_STN,0))))/24</f>
        <v>46309.9097222222</v>
      </c>
      <c r="S473" s="59" t="n">
        <f aca="false">Q473-T12EarlyH/24</f>
        <v>46309.0763888889</v>
      </c>
      <c r="T473" s="60"/>
      <c r="U473" s="60"/>
      <c r="V473" s="60"/>
      <c r="W473" s="61"/>
      <c r="X473" s="60"/>
      <c r="Y473" s="60"/>
      <c r="Z473" s="60"/>
      <c r="AA473" s="60"/>
      <c r="AB473" s="60"/>
      <c r="AC473" s="60"/>
      <c r="AD473" s="66"/>
      <c r="AE473" s="60"/>
      <c r="AF473" s="61" t="str">
        <f aca="false">IF(AND(ISNUMBER(X473),ISNUMBER(Y473)),Y473-X473,"")</f>
        <v/>
      </c>
      <c r="AG473" s="62" t="str">
        <f aca="false">IF(ISNUMBER(AD473),AD473-(IF(AND(INDEX(TZ_DSTS,MATCH(P473,TZ_STN,0))&lt;&gt;"",(AD473-INDEX(TZ_STD,MATCH(P473,TZ_STN,0))/24)&gt;=INDEX(TZ_DSTS,MATCH(P473,TZ_STN,0)),(AD473-INDEX(TZ_STD,MATCH(P473,TZ_STN,0))/24)&lt;INDEX(TZ_DSTE,MATCH(P473,TZ_STN,0))),INDEX(TZ_DST,MATCH(P473,TZ_STN,0)),INDEX(TZ_STD,MATCH(P473,TZ_STN,0))))/24,"")</f>
        <v/>
      </c>
      <c r="AH473" s="65" t="str">
        <f aca="false">IFERROR(IF(N473="N/A – rule","N/A – RULE",IF(TRIM(U473)="N/A",IF(AT473=0,"INVALID – N/A not permitted for this check",IF(AND(TRIM(AB473)&lt;&gt;"",TRIM(AB473)&lt;&gt;"Closed"),"INVALID – corrective action still open",IF(AND(NOT(OR(LEN(AZ473)&lt;15,ISNUMBER(MATCH(AZ473,L_Placeholder,0)))),NOT(OR(LEN(AU473)&lt;2,ISNUMBER(MATCH(AU473,L_Placeholder,0)))),NOT(OR(LEN(AX473)&lt;2,ISNUMBER(MATCH(AX473,L_Placeholder,0)))),TRIM(AE473)&lt;&gt;TRIM(T473)),"N/A – JUSTIFIED","INVALID – N/A needs a real justification (15+ chars), PIC and a different verifier"))),IF(OR(TRIM(U473)="Pass",TRIM(U473)="Pass after CA"),IF(NOT(ISNUMBER(AD473)),"INVALID – completion time missing",IF(OR(LEN(AU473)&lt;2,ISNUMBER(MATCH(AU473,L_Placeholder,0))),"INVALID – PIC missing",IF(OR(LEN(AV473)&lt;2,ISNUMBER(MATCH(AV473,L_Placeholder,0))),"INVALID – result / assessment missing",IF(OR(OR(LEN(AW473)&lt;3,ISNUMBER(MATCH(AW473,L_Placeholder,0))),SUMPRODUCT(--ISNUMBER(SEARCH(L_EvidencePhrase,AW473)))&gt;0),"INVALID – evidence missing, placeholder or not yet on file",IF(OR(LEN(AX473)&lt;2,ISNUMBER(MATCH(AX473,L_Placeholder,0))),"INVALID – verifier missing",IF(AX473=AU473,"INVALID – verifier must be someone other than the PIC",IF(AND(TRIM(U473)="Pass",SUMPRODUCT(--ISNUMBER(SEARCH(L_ResultBad,AV473)))&gt;0),"INVALID – result describes a problem: use Fail, then Pass after CA",IF(AND(AQ473=1,OR(LEN(AY473)&lt;3,ISNUMBER(MATCH(AY473,L_Placeholder,0)))),"INVALID – batch ID missing or placeholder",IF(AND(AR473=1,OR(NOT(ISNUMBER(X473)),NOT(ISNUMBER(Y473)))),"INVALID – expected/actual qty missing",IF(AND(AR473=1,OR(X473&lt;=0,Y473&lt;0)),"INVALID – expected qty must be above 0 and actual not negative",IF(BB473&lt;&gt;"",BB473,IF(AND(AS473=1,Documents!$J$18&lt;&gt;"ON FILE"),"INVALID – GLD not on file (Documents sheet)",IF(AND(AS473=2,Documents!$O$18&lt;&gt;"ON FILE"),"INVALID – menu checklist not on file (Documents sheet)",IF(AND(AS473=3,NOT(ISNUMBER(Flights!$AX$18))),"INVALID – enter carrying flight KUL departure (Flights AX)",IF(AND(AS473=3,OR(Flights!$AZ$18&gt;Flights!$AA$18,Flights!$AX$18&lt;Flights!$AA$18-3)),"INVALID – carrying flight (Flights AX) cannot arrive before this leg's STD, or is over 3 days early",IF(AG473&gt;AsOfUTC,"INVALID – completion time is in the future",IF(AND(ISNUMBER(S473),AG473&lt;S473),IF(H473="Physical uplift","INVALID – before uplift window (cannot confirm loading)","INVALID – before valid window"),IF(AG473&gt;Flights!$AA$18,"INVALID – completed after departure (cannot establish readiness)",IF(AND(H473="Preparation",AG473&gt;IF(ISNUMBER(Flights!$BA$18),MIN(Flights!$BA$18,Flights!$AA$18),Flights!$AA$18)),"INVALID – completed after loading / departure (cannot establish readiness)",IF(AND(H473="Physical uplift",AG473&gt;Q473),"INVALID – recorded after the loading flight departed",IF(AG473&gt;Q473,"COMPLETE – LATE","COMPLETE"))))))))))))))))))))),IF(TRIM(U473)="Fail","FAIL – DISCREPANCY",IF(AND(TRIM(U473)&lt;&gt;"",TRIM(U473)&lt;&gt;"Not started",TRIM(U473)&lt;&gt;"In progress"),"INVALID – unrecognised status (use the list)",IF(AsOfUTC&gt;Q473,"OVERDUE",IF(N473="Clarification required","OPEN – CLARIFICATION","OPEN"))))))),"INVALID – error value in an input cell")</f>
        <v>OPEN – CLARIFICATION</v>
      </c>
      <c r="AI473" s="61" t="n">
        <f aca="false">IF(OR(AH473="N/A – RULE",AH473="N/A – JUSTIFIED"),0,1)</f>
        <v>1</v>
      </c>
      <c r="AJ473" s="61" t="n">
        <f aca="false">IF(LEFT(AH473,8)="COMPLETE",1,0)</f>
        <v>0</v>
      </c>
      <c r="AK473" s="61" t="n">
        <f aca="false">IF(AND(AI473=1,AJ473=0,AsOfUTC&gt;Q473),1,0)</f>
        <v>0</v>
      </c>
      <c r="AL473" s="61" t="n">
        <f aca="false">IFERROR(IF(AND(AI473=1,OR(TRIM(U473)="Fail",AND(TRIM(AB473)&lt;&gt;"",TRIM(AB473)&lt;&gt;"Closed"),AND(ISNUMBER(AF473),AF473&lt;&gt;0,TRIM(U473)&lt;&gt;"Pass after CA"))),1,0),1)</f>
        <v>0</v>
      </c>
      <c r="AM473" s="61" t="n">
        <f aca="false">IF(LEFT(AH473,7)="INVALID",1,0)</f>
        <v>0</v>
      </c>
      <c r="AN473" s="61" t="n">
        <f aca="false">IF(AND(N473="Clarification required",AI473=1,AJ473=0),1,0)</f>
        <v>1</v>
      </c>
      <c r="AO473" s="61" t="str">
        <f aca="false">IF(AK473=1,SUM(AK$5:AK473),"")</f>
        <v/>
      </c>
      <c r="AP473" s="61" t="str">
        <f aca="false">IF(AL473=1,SUM(AL$5:AL473),"")</f>
        <v/>
      </c>
      <c r="AQ473" s="61" t="n">
        <v>0</v>
      </c>
      <c r="AR473" s="61" t="n">
        <v>0</v>
      </c>
      <c r="AS473" s="61" t="n">
        <v>0</v>
      </c>
      <c r="AT473" s="61" t="n">
        <v>1</v>
      </c>
      <c r="AU473" s="61" t="str">
        <f aca="false">SUBSTITUTE(SUBSTITUTE(SUBSTITUTE(SUBSTITUTE(SUBSTITUTE(SUBSTITUTE(SUBSTITUTE(SUBSTITUTE(SUBSTITUTE(SUBSTITUTE(SUBSTITUTE(SUBSTITUTE(SUBSTITUTE(LOWER(T473&amp;""),CHAR(160),"")," ",""),".",""),"-",""),"/",""),"?",""),"_",""),",",""),"[",""),"]",""),"(",""),")",""),"*","")</f>
        <v/>
      </c>
      <c r="AV473" s="61" t="str">
        <f aca="false">SUBSTITUTE(SUBSTITUTE(SUBSTITUTE(SUBSTITUTE(SUBSTITUTE(SUBSTITUTE(SUBSTITUTE(SUBSTITUTE(SUBSTITUTE(SUBSTITUTE(SUBSTITUTE(SUBSTITUTE(SUBSTITUTE(LOWER(V473&amp;""),CHAR(160),"")," ",""),".",""),"-",""),"/",""),"?",""),"_",""),",",""),"[",""),"]",""),"(",""),")",""),"*","")</f>
        <v/>
      </c>
      <c r="AW473" s="61" t="str">
        <f aca="false">SUBSTITUTE(SUBSTITUTE(SUBSTITUTE(SUBSTITUTE(SUBSTITUTE(SUBSTITUTE(SUBSTITUTE(SUBSTITUTE(SUBSTITUTE(SUBSTITUTE(SUBSTITUTE(SUBSTITUTE(SUBSTITUTE(LOWER(Z473&amp;""),CHAR(160),"")," ",""),".",""),"-",""),"/",""),"?",""),"_",""),",",""),"[",""),"]",""),"(",""),")",""),"*","")</f>
        <v/>
      </c>
      <c r="AX473" s="61" t="str">
        <f aca="false">SUBSTITUTE(SUBSTITUTE(SUBSTITUTE(SUBSTITUTE(SUBSTITUTE(SUBSTITUTE(SUBSTITUTE(SUBSTITUTE(SUBSTITUTE(SUBSTITUTE(SUBSTITUTE(SUBSTITUTE(SUBSTITUTE(LOWER(AE473&amp;""),CHAR(160),"")," ",""),".",""),"-",""),"/",""),"?",""),"_",""),",",""),"[",""),"]",""),"(",""),")",""),"*","")</f>
        <v/>
      </c>
      <c r="AY473" s="61" t="str">
        <f aca="false">SUBSTITUTE(SUBSTITUTE(SUBSTITUTE(SUBSTITUTE(SUBSTITUTE(SUBSTITUTE(SUBSTITUTE(SUBSTITUTE(SUBSTITUTE(SUBSTITUTE(SUBSTITUTE(SUBSTITUTE(SUBSTITUTE(LOWER(W473&amp;""),CHAR(160),"")," ",""),".",""),"-",""),"/",""),"?",""),"_",""),",",""),"[",""),"]",""),"(",""),")",""),"*","")</f>
        <v/>
      </c>
      <c r="AZ473" s="61" t="str">
        <f aca="false">SUBSTITUTE(SUBSTITUTE(SUBSTITUTE(SUBSTITUTE(SUBSTITUTE(SUBSTITUTE(SUBSTITUTE(SUBSTITUTE(SUBSTITUTE(SUBSTITUTE(SUBSTITUTE(SUBSTITUTE(SUBSTITUTE(LOWER(AC473&amp;""),CHAR(160),"")," ",""),".",""),"-",""),"/",""),"?",""),"_",""),",",""),"[",""),"]",""),"(",""),")",""),"*","")</f>
        <v/>
      </c>
      <c r="BA473" s="61" t="str">
        <f aca="false">SUBSTITUTE(SUBSTITUTE(SUBSTITUTE(SUBSTITUTE(SUBSTITUTE(SUBSTITUTE(SUBSTITUTE(SUBSTITUTE(SUBSTITUTE(SUBSTITUTE(SUBSTITUTE(SUBSTITUTE(SUBSTITUTE(LOWER(AA473&amp;""),CHAR(160),"")," ",""),".",""),"-",""),"/",""),"?",""),"_",""),",",""),"[",""),"]",""),"(",""),")",""),"*","")</f>
        <v/>
      </c>
      <c r="BB473" s="61" t="str">
        <f aca="false">IF(AND(TRIM(U473)="Pass",ISNUMBER(AF473)),IF(AF473&lt;&gt;0,"INVALID – qty variance: use Fail or Pass after CA",""),"")&amp;IF(AND(TRIM(U473)="Pass after CA",ISNUMBER(AF473)),IF(AF473&lt;&gt;0,"INVALID – after the corrective action the actual qty must equal expected (update Actual)",""),"")&amp;IF(AND(TRIM(U473)="Pass",TRIM(AB473)&lt;&gt;"",TRIM(AB473)&lt;&gt;"Closed"),"INVALID – corrective action not closed: use Fail, then Pass after CA","")&amp;IF(AND(TRIM(AA473)&lt;&gt;"",TRIM(AB473)=""),"INVALID – CA status missing for the recorded corrective action","")&amp;IF(AND(TRIM(U473)="Pass after CA",OR(OR(LEN(BA473)&lt;5,ISNUMBER(MATCH(BA473,L_Placeholder,0))),TRIM(AB473)&lt;&gt;"Closed")),"INVALID – corrective action not recorded/closed","")</f>
        <v/>
      </c>
    </row>
    <row r="474" customFormat="false" ht="41.25" hidden="false" customHeight="true" outlineLevel="0" collapsed="false">
      <c r="A474" s="57" t="s">
        <v>1100</v>
      </c>
      <c r="B474" s="57" t="s">
        <v>273</v>
      </c>
      <c r="C474" s="57" t="str">
        <f aca="false">Flights!$F$18</f>
        <v>MH0004</v>
      </c>
      <c r="D474" s="58" t="n">
        <f aca="false">Flights!$D$18</f>
        <v>46310</v>
      </c>
      <c r="E474" s="57" t="str">
        <f aca="false">Flights!$G$18&amp;"-"&amp;Flights!$H$18</f>
        <v>KUL-LHR</v>
      </c>
      <c r="F474" s="57" t="str">
        <f aca="false">Flights!$K$18</f>
        <v>EY</v>
      </c>
      <c r="G474" s="57" t="s">
        <v>398</v>
      </c>
      <c r="H474" s="57" t="s">
        <v>356</v>
      </c>
      <c r="I474" s="57" t="s">
        <v>425</v>
      </c>
      <c r="J474" s="57" t="s">
        <v>426</v>
      </c>
      <c r="K474" s="67" t="s">
        <v>427</v>
      </c>
      <c r="L474" s="67" t="s">
        <v>428</v>
      </c>
      <c r="M474" s="67" t="s">
        <v>429</v>
      </c>
      <c r="N474" s="67" t="s">
        <v>361</v>
      </c>
      <c r="O474" s="67" t="s">
        <v>481</v>
      </c>
      <c r="P474" s="57" t="s">
        <v>184</v>
      </c>
      <c r="Q474" s="59" t="n">
        <f aca="false">ROUND((Flights!$AE$18)*1440,0)/1440</f>
        <v>46309.5763888889</v>
      </c>
      <c r="R474" s="59" t="n">
        <f aca="false">Q474+(IF(AND(INDEX(TZ_DSTS,MATCH(P474,TZ_STN,0))&lt;&gt;"",Q474&gt;=INDEX(TZ_DSTS,MATCH(P474,TZ_STN,0)),Q474&lt;INDEX(TZ_DSTE,MATCH(P474,TZ_STN,0))),INDEX(TZ_DST,MATCH(P474,TZ_STN,0)),INDEX(TZ_STD,MATCH(P474,TZ_STN,0))))/24</f>
        <v>46309.9097222222</v>
      </c>
      <c r="S474" s="59" t="n">
        <f aca="false">Q474-T12EarlyH/24</f>
        <v>46309.0763888889</v>
      </c>
      <c r="T474" s="60"/>
      <c r="U474" s="60"/>
      <c r="V474" s="60"/>
      <c r="W474" s="61"/>
      <c r="X474" s="60"/>
      <c r="Y474" s="60"/>
      <c r="Z474" s="60"/>
      <c r="AA474" s="60"/>
      <c r="AB474" s="60"/>
      <c r="AC474" s="60"/>
      <c r="AD474" s="66"/>
      <c r="AE474" s="60"/>
      <c r="AF474" s="61" t="str">
        <f aca="false">IF(AND(ISNUMBER(X474),ISNUMBER(Y474)),Y474-X474,"")</f>
        <v/>
      </c>
      <c r="AG474" s="62" t="str">
        <f aca="false">IF(ISNUMBER(AD474),AD474-(IF(AND(INDEX(TZ_DSTS,MATCH(P474,TZ_STN,0))&lt;&gt;"",(AD474-INDEX(TZ_STD,MATCH(P474,TZ_STN,0))/24)&gt;=INDEX(TZ_DSTS,MATCH(P474,TZ_STN,0)),(AD474-INDEX(TZ_STD,MATCH(P474,TZ_STN,0))/24)&lt;INDEX(TZ_DSTE,MATCH(P474,TZ_STN,0))),INDEX(TZ_DST,MATCH(P474,TZ_STN,0)),INDEX(TZ_STD,MATCH(P474,TZ_STN,0))))/24,"")</f>
        <v/>
      </c>
      <c r="AH474" s="65" t="str">
        <f aca="false">IFERROR(IF(N474="N/A – rule","N/A – RULE",IF(TRIM(U474)="N/A",IF(AT474=0,"INVALID – N/A not permitted for this check",IF(AND(TRIM(AB474)&lt;&gt;"",TRIM(AB474)&lt;&gt;"Closed"),"INVALID – corrective action still open",IF(AND(NOT(OR(LEN(AZ474)&lt;15,ISNUMBER(MATCH(AZ474,L_Placeholder,0)))),NOT(OR(LEN(AU474)&lt;2,ISNUMBER(MATCH(AU474,L_Placeholder,0)))),NOT(OR(LEN(AX474)&lt;2,ISNUMBER(MATCH(AX474,L_Placeholder,0)))),TRIM(AE474)&lt;&gt;TRIM(T474)),"N/A – JUSTIFIED","INVALID – N/A needs a real justification (15+ chars), PIC and a different verifier"))),IF(OR(TRIM(U474)="Pass",TRIM(U474)="Pass after CA"),IF(NOT(ISNUMBER(AD474)),"INVALID – completion time missing",IF(OR(LEN(AU474)&lt;2,ISNUMBER(MATCH(AU474,L_Placeholder,0))),"INVALID – PIC missing",IF(OR(LEN(AV474)&lt;2,ISNUMBER(MATCH(AV474,L_Placeholder,0))),"INVALID – result / assessment missing",IF(OR(OR(LEN(AW474)&lt;3,ISNUMBER(MATCH(AW474,L_Placeholder,0))),SUMPRODUCT(--ISNUMBER(SEARCH(L_EvidencePhrase,AW474)))&gt;0),"INVALID – evidence missing, placeholder or not yet on file",IF(OR(LEN(AX474)&lt;2,ISNUMBER(MATCH(AX474,L_Placeholder,0))),"INVALID – verifier missing",IF(AX474=AU474,"INVALID – verifier must be someone other than the PIC",IF(AND(TRIM(U474)="Pass",SUMPRODUCT(--ISNUMBER(SEARCH(L_ResultBad,AV474)))&gt;0),"INVALID – result describes a problem: use Fail, then Pass after CA",IF(AND(AQ474=1,OR(LEN(AY474)&lt;3,ISNUMBER(MATCH(AY474,L_Placeholder,0)))),"INVALID – batch ID missing or placeholder",IF(AND(AR474=1,OR(NOT(ISNUMBER(X474)),NOT(ISNUMBER(Y474)))),"INVALID – expected/actual qty missing",IF(AND(AR474=1,OR(X474&lt;=0,Y474&lt;0)),"INVALID – expected qty must be above 0 and actual not negative",IF(BB474&lt;&gt;"",BB474,IF(AND(AS474=1,Documents!$J$18&lt;&gt;"ON FILE"),"INVALID – GLD not on file (Documents sheet)",IF(AND(AS474=2,Documents!$O$18&lt;&gt;"ON FILE"),"INVALID – menu checklist not on file (Documents sheet)",IF(AND(AS474=3,NOT(ISNUMBER(Flights!$AX$18))),"INVALID – enter carrying flight KUL departure (Flights AX)",IF(AND(AS474=3,OR(Flights!$AZ$18&gt;Flights!$AA$18,Flights!$AX$18&lt;Flights!$AA$18-3)),"INVALID – carrying flight (Flights AX) cannot arrive before this leg's STD, or is over 3 days early",IF(AG474&gt;AsOfUTC,"INVALID – completion time is in the future",IF(AND(ISNUMBER(S474),AG474&lt;S474),IF(H474="Physical uplift","INVALID – before uplift window (cannot confirm loading)","INVALID – before valid window"),IF(AG474&gt;Flights!$AA$18,"INVALID – completed after departure (cannot establish readiness)",IF(AND(H474="Preparation",AG474&gt;IF(ISNUMBER(Flights!$BA$18),MIN(Flights!$BA$18,Flights!$AA$18),Flights!$AA$18)),"INVALID – completed after loading / departure (cannot establish readiness)",IF(AND(H474="Physical uplift",AG474&gt;Q474),"INVALID – recorded after the loading flight departed",IF(AG474&gt;Q474,"COMPLETE – LATE","COMPLETE"))))))))))))))))))))),IF(TRIM(U474)="Fail","FAIL – DISCREPANCY",IF(AND(TRIM(U474)&lt;&gt;"",TRIM(U474)&lt;&gt;"Not started",TRIM(U474)&lt;&gt;"In progress"),"INVALID – unrecognised status (use the list)",IF(AsOfUTC&gt;Q474,"OVERDUE",IF(N474="Clarification required","OPEN – CLARIFICATION","OPEN"))))))),"INVALID – error value in an input cell")</f>
        <v>OPEN</v>
      </c>
      <c r="AI474" s="61" t="n">
        <f aca="false">IF(OR(AH474="N/A – RULE",AH474="N/A – JUSTIFIED"),0,1)</f>
        <v>1</v>
      </c>
      <c r="AJ474" s="61" t="n">
        <f aca="false">IF(LEFT(AH474,8)="COMPLETE",1,0)</f>
        <v>0</v>
      </c>
      <c r="AK474" s="61" t="n">
        <f aca="false">IF(AND(AI474=1,AJ474=0,AsOfUTC&gt;Q474),1,0)</f>
        <v>0</v>
      </c>
      <c r="AL474" s="61" t="n">
        <f aca="false">IFERROR(IF(AND(AI474=1,OR(TRIM(U474)="Fail",AND(TRIM(AB474)&lt;&gt;"",TRIM(AB474)&lt;&gt;"Closed"),AND(ISNUMBER(AF474),AF474&lt;&gt;0,TRIM(U474)&lt;&gt;"Pass after CA"))),1,0),1)</f>
        <v>0</v>
      </c>
      <c r="AM474" s="61" t="n">
        <f aca="false">IF(LEFT(AH474,7)="INVALID",1,0)</f>
        <v>0</v>
      </c>
      <c r="AN474" s="61" t="n">
        <f aca="false">IF(AND(N474="Clarification required",AI474=1,AJ474=0),1,0)</f>
        <v>0</v>
      </c>
      <c r="AO474" s="61" t="str">
        <f aca="false">IF(AK474=1,SUM(AK$5:AK474),"")</f>
        <v/>
      </c>
      <c r="AP474" s="61" t="str">
        <f aca="false">IF(AL474=1,SUM(AL$5:AL474),"")</f>
        <v/>
      </c>
      <c r="AQ474" s="61" t="n">
        <v>0</v>
      </c>
      <c r="AR474" s="61" t="n">
        <v>0</v>
      </c>
      <c r="AS474" s="61" t="n">
        <v>0</v>
      </c>
      <c r="AT474" s="61" t="n">
        <v>0</v>
      </c>
      <c r="AU474" s="61" t="str">
        <f aca="false">SUBSTITUTE(SUBSTITUTE(SUBSTITUTE(SUBSTITUTE(SUBSTITUTE(SUBSTITUTE(SUBSTITUTE(SUBSTITUTE(SUBSTITUTE(SUBSTITUTE(SUBSTITUTE(SUBSTITUTE(SUBSTITUTE(LOWER(T474&amp;""),CHAR(160),"")," ",""),".",""),"-",""),"/",""),"?",""),"_",""),",",""),"[",""),"]",""),"(",""),")",""),"*","")</f>
        <v/>
      </c>
      <c r="AV474" s="61" t="str">
        <f aca="false">SUBSTITUTE(SUBSTITUTE(SUBSTITUTE(SUBSTITUTE(SUBSTITUTE(SUBSTITUTE(SUBSTITUTE(SUBSTITUTE(SUBSTITUTE(SUBSTITUTE(SUBSTITUTE(SUBSTITUTE(SUBSTITUTE(LOWER(V474&amp;""),CHAR(160),"")," ",""),".",""),"-",""),"/",""),"?",""),"_",""),",",""),"[",""),"]",""),"(",""),")",""),"*","")</f>
        <v/>
      </c>
      <c r="AW474" s="61" t="str">
        <f aca="false">SUBSTITUTE(SUBSTITUTE(SUBSTITUTE(SUBSTITUTE(SUBSTITUTE(SUBSTITUTE(SUBSTITUTE(SUBSTITUTE(SUBSTITUTE(SUBSTITUTE(SUBSTITUTE(SUBSTITUTE(SUBSTITUTE(LOWER(Z474&amp;""),CHAR(160),"")," ",""),".",""),"-",""),"/",""),"?",""),"_",""),",",""),"[",""),"]",""),"(",""),")",""),"*","")</f>
        <v/>
      </c>
      <c r="AX474" s="61" t="str">
        <f aca="false">SUBSTITUTE(SUBSTITUTE(SUBSTITUTE(SUBSTITUTE(SUBSTITUTE(SUBSTITUTE(SUBSTITUTE(SUBSTITUTE(SUBSTITUTE(SUBSTITUTE(SUBSTITUTE(SUBSTITUTE(SUBSTITUTE(LOWER(AE474&amp;""),CHAR(160),"")," ",""),".",""),"-",""),"/",""),"?",""),"_",""),",",""),"[",""),"]",""),"(",""),")",""),"*","")</f>
        <v/>
      </c>
      <c r="AY474" s="61" t="str">
        <f aca="false">SUBSTITUTE(SUBSTITUTE(SUBSTITUTE(SUBSTITUTE(SUBSTITUTE(SUBSTITUTE(SUBSTITUTE(SUBSTITUTE(SUBSTITUTE(SUBSTITUTE(SUBSTITUTE(SUBSTITUTE(SUBSTITUTE(LOWER(W474&amp;""),CHAR(160),"")," ",""),".",""),"-",""),"/",""),"?",""),"_",""),",",""),"[",""),"]",""),"(",""),")",""),"*","")</f>
        <v/>
      </c>
      <c r="AZ474" s="61" t="str">
        <f aca="false">SUBSTITUTE(SUBSTITUTE(SUBSTITUTE(SUBSTITUTE(SUBSTITUTE(SUBSTITUTE(SUBSTITUTE(SUBSTITUTE(SUBSTITUTE(SUBSTITUTE(SUBSTITUTE(SUBSTITUTE(SUBSTITUTE(LOWER(AC474&amp;""),CHAR(160),"")," ",""),".",""),"-",""),"/",""),"?",""),"_",""),",",""),"[",""),"]",""),"(",""),")",""),"*","")</f>
        <v/>
      </c>
      <c r="BA474" s="61" t="str">
        <f aca="false">SUBSTITUTE(SUBSTITUTE(SUBSTITUTE(SUBSTITUTE(SUBSTITUTE(SUBSTITUTE(SUBSTITUTE(SUBSTITUTE(SUBSTITUTE(SUBSTITUTE(SUBSTITUTE(SUBSTITUTE(SUBSTITUTE(LOWER(AA474&amp;""),CHAR(160),"")," ",""),".",""),"-",""),"/",""),"?",""),"_",""),",",""),"[",""),"]",""),"(",""),")",""),"*","")</f>
        <v/>
      </c>
      <c r="BB474" s="61" t="str">
        <f aca="false">IF(AND(TRIM(U474)="Pass",ISNUMBER(AF474)),IF(AF474&lt;&gt;0,"INVALID – qty variance: use Fail or Pass after CA",""),"")&amp;IF(AND(TRIM(U474)="Pass after CA",ISNUMBER(AF474)),IF(AF474&lt;&gt;0,"INVALID – after the corrective action the actual qty must equal expected (update Actual)",""),"")&amp;IF(AND(TRIM(U474)="Pass",TRIM(AB474)&lt;&gt;"",TRIM(AB474)&lt;&gt;"Closed"),"INVALID – corrective action not closed: use Fail, then Pass after CA","")&amp;IF(AND(TRIM(AA474)&lt;&gt;"",TRIM(AB474)=""),"INVALID – CA status missing for the recorded corrective action","")&amp;IF(AND(TRIM(U474)="Pass after CA",OR(OR(LEN(BA474)&lt;5,ISNUMBER(MATCH(BA474,L_Placeholder,0))),TRIM(AB474)&lt;&gt;"Closed")),"INVALID – corrective action not recorded/closed","")</f>
        <v/>
      </c>
    </row>
    <row r="475" customFormat="false" ht="91.5" hidden="false" customHeight="true" outlineLevel="0" collapsed="false">
      <c r="A475" s="57" t="s">
        <v>1101</v>
      </c>
      <c r="B475" s="57" t="s">
        <v>273</v>
      </c>
      <c r="C475" s="57" t="str">
        <f aca="false">Flights!$F$18</f>
        <v>MH0004</v>
      </c>
      <c r="D475" s="58" t="n">
        <f aca="false">Flights!$D$18</f>
        <v>46310</v>
      </c>
      <c r="E475" s="57" t="str">
        <f aca="false">Flights!$G$18&amp;"-"&amp;Flights!$H$18</f>
        <v>KUL-LHR</v>
      </c>
      <c r="F475" s="57" t="str">
        <f aca="false">Flights!$K$18</f>
        <v>EY</v>
      </c>
      <c r="G475" s="57" t="s">
        <v>398</v>
      </c>
      <c r="H475" s="57" t="s">
        <v>356</v>
      </c>
      <c r="I475" s="57" t="s">
        <v>425</v>
      </c>
      <c r="J475" s="57" t="s">
        <v>432</v>
      </c>
      <c r="K475" s="67" t="s">
        <v>433</v>
      </c>
      <c r="L475" s="67" t="s">
        <v>434</v>
      </c>
      <c r="M475" s="67" t="s">
        <v>429</v>
      </c>
      <c r="N475" s="67" t="s">
        <v>361</v>
      </c>
      <c r="O475" s="67" t="s">
        <v>1102</v>
      </c>
      <c r="P475" s="57" t="s">
        <v>184</v>
      </c>
      <c r="Q475" s="59" t="n">
        <f aca="false">ROUND((Flights!$AE$18)*1440,0)/1440</f>
        <v>46309.5763888889</v>
      </c>
      <c r="R475" s="59" t="n">
        <f aca="false">Q475+(IF(AND(INDEX(TZ_DSTS,MATCH(P475,TZ_STN,0))&lt;&gt;"",Q475&gt;=INDEX(TZ_DSTS,MATCH(P475,TZ_STN,0)),Q475&lt;INDEX(TZ_DSTE,MATCH(P475,TZ_STN,0))),INDEX(TZ_DST,MATCH(P475,TZ_STN,0)),INDEX(TZ_STD,MATCH(P475,TZ_STN,0))))/24</f>
        <v>46309.9097222222</v>
      </c>
      <c r="S475" s="59" t="n">
        <f aca="false">Q475-T12EarlyH/24</f>
        <v>46309.0763888889</v>
      </c>
      <c r="T475" s="60"/>
      <c r="U475" s="60"/>
      <c r="V475" s="60"/>
      <c r="W475" s="61"/>
      <c r="X475" s="68" t="str">
        <f aca="false">IF(TRIM(Flights!$N$18)="","",IF(ISNUMBER(SEARCH("MAH",Flights!$N$18)),280,260))</f>
        <v/>
      </c>
      <c r="Y475" s="60"/>
      <c r="Z475" s="60"/>
      <c r="AA475" s="60"/>
      <c r="AB475" s="60"/>
      <c r="AC475" s="60"/>
      <c r="AD475" s="66"/>
      <c r="AE475" s="60"/>
      <c r="AF475" s="61" t="str">
        <f aca="false">IF(AND(ISNUMBER(X475),ISNUMBER(Y475)),Y475-X475,"")</f>
        <v/>
      </c>
      <c r="AG475" s="62" t="str">
        <f aca="false">IF(ISNUMBER(AD475),AD475-(IF(AND(INDEX(TZ_DSTS,MATCH(P475,TZ_STN,0))&lt;&gt;"",(AD475-INDEX(TZ_STD,MATCH(P475,TZ_STN,0))/24)&gt;=INDEX(TZ_DSTS,MATCH(P475,TZ_STN,0)),(AD475-INDEX(TZ_STD,MATCH(P475,TZ_STN,0))/24)&lt;INDEX(TZ_DSTE,MATCH(P475,TZ_STN,0))),INDEX(TZ_DST,MATCH(P475,TZ_STN,0)),INDEX(TZ_STD,MATCH(P475,TZ_STN,0))))/24,"")</f>
        <v/>
      </c>
      <c r="AH475" s="65" t="str">
        <f aca="false">IFERROR(IF(N475="N/A – rule","N/A – RULE",IF(TRIM(U475)="N/A",IF(AT475=0,"INVALID – N/A not permitted for this check",IF(AND(TRIM(AB475)&lt;&gt;"",TRIM(AB475)&lt;&gt;"Closed"),"INVALID – corrective action still open",IF(AND(NOT(OR(LEN(AZ475)&lt;15,ISNUMBER(MATCH(AZ475,L_Placeholder,0)))),NOT(OR(LEN(AU475)&lt;2,ISNUMBER(MATCH(AU475,L_Placeholder,0)))),NOT(OR(LEN(AX475)&lt;2,ISNUMBER(MATCH(AX475,L_Placeholder,0)))),TRIM(AE475)&lt;&gt;TRIM(T475)),"N/A – JUSTIFIED","INVALID – N/A needs a real justification (15+ chars), PIC and a different verifier"))),IF(OR(TRIM(U475)="Pass",TRIM(U475)="Pass after CA"),IF(NOT(ISNUMBER(AD475)),"INVALID – completion time missing",IF(OR(LEN(AU475)&lt;2,ISNUMBER(MATCH(AU475,L_Placeholder,0))),"INVALID – PIC missing",IF(OR(LEN(AV475)&lt;2,ISNUMBER(MATCH(AV475,L_Placeholder,0))),"INVALID – result / assessment missing",IF(OR(OR(LEN(AW475)&lt;3,ISNUMBER(MATCH(AW475,L_Placeholder,0))),SUMPRODUCT(--ISNUMBER(SEARCH(L_EvidencePhrase,AW475)))&gt;0),"INVALID – evidence missing, placeholder or not yet on file",IF(OR(LEN(AX475)&lt;2,ISNUMBER(MATCH(AX475,L_Placeholder,0))),"INVALID – verifier missing",IF(AX475=AU475,"INVALID – verifier must be someone other than the PIC",IF(AND(TRIM(U475)="Pass",SUMPRODUCT(--ISNUMBER(SEARCH(L_ResultBad,AV475)))&gt;0),"INVALID – result describes a problem: use Fail, then Pass after CA",IF(AND(AQ475=1,OR(LEN(AY475)&lt;3,ISNUMBER(MATCH(AY475,L_Placeholder,0)))),"INVALID – batch ID missing or placeholder",IF(AND(AR475=1,OR(NOT(ISNUMBER(X475)),NOT(ISNUMBER(Y475)))),"INVALID – expected/actual qty missing",IF(AND(AR475=1,OR(X475&lt;=0,Y475&lt;0)),"INVALID – expected qty must be above 0 and actual not negative",IF(BB475&lt;&gt;"",BB475,IF(AND(AS475=1,Documents!$J$18&lt;&gt;"ON FILE"),"INVALID – GLD not on file (Documents sheet)",IF(AND(AS475=2,Documents!$O$18&lt;&gt;"ON FILE"),"INVALID – menu checklist not on file (Documents sheet)",IF(AND(AS475=3,NOT(ISNUMBER(Flights!$AX$18))),"INVALID – enter carrying flight KUL departure (Flights AX)",IF(AND(AS475=3,OR(Flights!$AZ$18&gt;Flights!$AA$18,Flights!$AX$18&lt;Flights!$AA$18-3)),"INVALID – carrying flight (Flights AX) cannot arrive before this leg's STD, or is over 3 days early",IF(AG475&gt;AsOfUTC,"INVALID – completion time is in the future",IF(AND(ISNUMBER(S475),AG475&lt;S475),IF(H475="Physical uplift","INVALID – before uplift window (cannot confirm loading)","INVALID – before valid window"),IF(AG475&gt;Flights!$AA$18,"INVALID – completed after departure (cannot establish readiness)",IF(AND(H475="Preparation",AG475&gt;IF(ISNUMBER(Flights!$BA$18),MIN(Flights!$BA$18,Flights!$AA$18),Flights!$AA$18)),"INVALID – completed after loading / departure (cannot establish readiness)",IF(AND(H475="Physical uplift",AG475&gt;Q475),"INVALID – recorded after the loading flight departed",IF(AG475&gt;Q475,"COMPLETE – LATE","COMPLETE"))))))))))))))))))))),IF(TRIM(U475)="Fail","FAIL – DISCREPANCY",IF(AND(TRIM(U475)&lt;&gt;"",TRIM(U475)&lt;&gt;"Not started",TRIM(U475)&lt;&gt;"In progress"),"INVALID – unrecognised status (use the list)",IF(AsOfUTC&gt;Q475,"OVERDUE",IF(N475="Clarification required","OPEN – CLARIFICATION","OPEN"))))))),"INVALID – error value in an input cell")</f>
        <v>OPEN</v>
      </c>
      <c r="AI475" s="61" t="n">
        <f aca="false">IF(OR(AH475="N/A – RULE",AH475="N/A – JUSTIFIED"),0,1)</f>
        <v>1</v>
      </c>
      <c r="AJ475" s="61" t="n">
        <f aca="false">IF(LEFT(AH475,8)="COMPLETE",1,0)</f>
        <v>0</v>
      </c>
      <c r="AK475" s="61" t="n">
        <f aca="false">IF(AND(AI475=1,AJ475=0,AsOfUTC&gt;Q475),1,0)</f>
        <v>0</v>
      </c>
      <c r="AL475" s="61" t="n">
        <f aca="false">IFERROR(IF(AND(AI475=1,OR(TRIM(U475)="Fail",AND(TRIM(AB475)&lt;&gt;"",TRIM(AB475)&lt;&gt;"Closed"),AND(ISNUMBER(AF475),AF475&lt;&gt;0,TRIM(U475)&lt;&gt;"Pass after CA"))),1,0),1)</f>
        <v>0</v>
      </c>
      <c r="AM475" s="61" t="n">
        <f aca="false">IF(LEFT(AH475,7)="INVALID",1,0)</f>
        <v>0</v>
      </c>
      <c r="AN475" s="61" t="n">
        <f aca="false">IF(AND(N475="Clarification required",AI475=1,AJ475=0),1,0)</f>
        <v>0</v>
      </c>
      <c r="AO475" s="61" t="str">
        <f aca="false">IF(AK475=1,SUM(AK$5:AK475),"")</f>
        <v/>
      </c>
      <c r="AP475" s="61" t="str">
        <f aca="false">IF(AL475=1,SUM(AL$5:AL475),"")</f>
        <v/>
      </c>
      <c r="AQ475" s="61" t="n">
        <v>0</v>
      </c>
      <c r="AR475" s="61" t="n">
        <v>1</v>
      </c>
      <c r="AS475" s="61" t="n">
        <v>0</v>
      </c>
      <c r="AT475" s="61" t="n">
        <v>0</v>
      </c>
      <c r="AU475" s="61" t="str">
        <f aca="false">SUBSTITUTE(SUBSTITUTE(SUBSTITUTE(SUBSTITUTE(SUBSTITUTE(SUBSTITUTE(SUBSTITUTE(SUBSTITUTE(SUBSTITUTE(SUBSTITUTE(SUBSTITUTE(SUBSTITUTE(SUBSTITUTE(LOWER(T475&amp;""),CHAR(160),"")," ",""),".",""),"-",""),"/",""),"?",""),"_",""),",",""),"[",""),"]",""),"(",""),")",""),"*","")</f>
        <v/>
      </c>
      <c r="AV475" s="61" t="str">
        <f aca="false">SUBSTITUTE(SUBSTITUTE(SUBSTITUTE(SUBSTITUTE(SUBSTITUTE(SUBSTITUTE(SUBSTITUTE(SUBSTITUTE(SUBSTITUTE(SUBSTITUTE(SUBSTITUTE(SUBSTITUTE(SUBSTITUTE(LOWER(V475&amp;""),CHAR(160),"")," ",""),".",""),"-",""),"/",""),"?",""),"_",""),",",""),"[",""),"]",""),"(",""),")",""),"*","")</f>
        <v/>
      </c>
      <c r="AW475" s="61" t="str">
        <f aca="false">SUBSTITUTE(SUBSTITUTE(SUBSTITUTE(SUBSTITUTE(SUBSTITUTE(SUBSTITUTE(SUBSTITUTE(SUBSTITUTE(SUBSTITUTE(SUBSTITUTE(SUBSTITUTE(SUBSTITUTE(SUBSTITUTE(LOWER(Z475&amp;""),CHAR(160),"")," ",""),".",""),"-",""),"/",""),"?",""),"_",""),",",""),"[",""),"]",""),"(",""),")",""),"*","")</f>
        <v/>
      </c>
      <c r="AX475" s="61" t="str">
        <f aca="false">SUBSTITUTE(SUBSTITUTE(SUBSTITUTE(SUBSTITUTE(SUBSTITUTE(SUBSTITUTE(SUBSTITUTE(SUBSTITUTE(SUBSTITUTE(SUBSTITUTE(SUBSTITUTE(SUBSTITUTE(SUBSTITUTE(LOWER(AE475&amp;""),CHAR(160),"")," ",""),".",""),"-",""),"/",""),"?",""),"_",""),",",""),"[",""),"]",""),"(",""),")",""),"*","")</f>
        <v/>
      </c>
      <c r="AY475" s="61" t="str">
        <f aca="false">SUBSTITUTE(SUBSTITUTE(SUBSTITUTE(SUBSTITUTE(SUBSTITUTE(SUBSTITUTE(SUBSTITUTE(SUBSTITUTE(SUBSTITUTE(SUBSTITUTE(SUBSTITUTE(SUBSTITUTE(SUBSTITUTE(LOWER(W475&amp;""),CHAR(160),"")," ",""),".",""),"-",""),"/",""),"?",""),"_",""),",",""),"[",""),"]",""),"(",""),")",""),"*","")</f>
        <v/>
      </c>
      <c r="AZ475" s="61" t="str">
        <f aca="false">SUBSTITUTE(SUBSTITUTE(SUBSTITUTE(SUBSTITUTE(SUBSTITUTE(SUBSTITUTE(SUBSTITUTE(SUBSTITUTE(SUBSTITUTE(SUBSTITUTE(SUBSTITUTE(SUBSTITUTE(SUBSTITUTE(LOWER(AC475&amp;""),CHAR(160),"")," ",""),".",""),"-",""),"/",""),"?",""),"_",""),",",""),"[",""),"]",""),"(",""),")",""),"*","")</f>
        <v/>
      </c>
      <c r="BA475" s="61" t="str">
        <f aca="false">SUBSTITUTE(SUBSTITUTE(SUBSTITUTE(SUBSTITUTE(SUBSTITUTE(SUBSTITUTE(SUBSTITUTE(SUBSTITUTE(SUBSTITUTE(SUBSTITUTE(SUBSTITUTE(SUBSTITUTE(SUBSTITUTE(LOWER(AA475&amp;""),CHAR(160),"")," ",""),".",""),"-",""),"/",""),"?",""),"_",""),",",""),"[",""),"]",""),"(",""),")",""),"*","")</f>
        <v/>
      </c>
      <c r="BB475" s="61" t="str">
        <f aca="false">IF(AND(TRIM(U475)="Pass",ISNUMBER(AF475)),IF(AF475&lt;&gt;0,"INVALID – qty variance: use Fail or Pass after CA",""),"")&amp;IF(AND(TRIM(U475)="Pass after CA",ISNUMBER(AF475)),IF(AF475&lt;&gt;0,"INVALID – after the corrective action the actual qty must equal expected (update Actual)",""),"")&amp;IF(AND(TRIM(U475)="Pass",TRIM(AB475)&lt;&gt;"",TRIM(AB475)&lt;&gt;"Closed"),"INVALID – corrective action not closed: use Fail, then Pass after CA","")&amp;IF(AND(TRIM(AA475)&lt;&gt;"",TRIM(AB475)=""),"INVALID – CA status missing for the recorded corrective action","")&amp;IF(AND(TRIM(U475)="Pass after CA",OR(OR(LEN(BA475)&lt;5,ISNUMBER(MATCH(BA475,L_Placeholder,0))),TRIM(AB475)&lt;&gt;"Closed")),"INVALID – corrective action not recorded/closed","")</f>
        <v/>
      </c>
    </row>
    <row r="476" customFormat="false" ht="39.75" hidden="false" customHeight="true" outlineLevel="0" collapsed="false">
      <c r="A476" s="57" t="s">
        <v>1103</v>
      </c>
      <c r="B476" s="57" t="s">
        <v>273</v>
      </c>
      <c r="C476" s="57" t="str">
        <f aca="false">Flights!$F$18</f>
        <v>MH0004</v>
      </c>
      <c r="D476" s="58" t="n">
        <f aca="false">Flights!$D$18</f>
        <v>46310</v>
      </c>
      <c r="E476" s="57" t="str">
        <f aca="false">Flights!$G$18&amp;"-"&amp;Flights!$H$18</f>
        <v>KUL-LHR</v>
      </c>
      <c r="F476" s="57" t="str">
        <f aca="false">Flights!$K$18</f>
        <v>EY</v>
      </c>
      <c r="G476" s="57" t="s">
        <v>437</v>
      </c>
      <c r="H476" s="57" t="s">
        <v>438</v>
      </c>
      <c r="I476" s="57" t="s">
        <v>357</v>
      </c>
      <c r="J476" s="57" t="s">
        <v>439</v>
      </c>
      <c r="K476" s="67" t="s">
        <v>404</v>
      </c>
      <c r="L476" s="67" t="s">
        <v>440</v>
      </c>
      <c r="M476" s="67"/>
      <c r="N476" s="67" t="s">
        <v>361</v>
      </c>
      <c r="O476" s="67" t="s">
        <v>441</v>
      </c>
      <c r="P476" s="57" t="s">
        <v>184</v>
      </c>
      <c r="Q476" s="59" t="n">
        <f aca="false">ROUND((Flights!$AF$18)*1440,0)/1440</f>
        <v>46310.0763888889</v>
      </c>
      <c r="R476" s="59" t="n">
        <f aca="false">Q476+(IF(AND(INDEX(TZ_DSTS,MATCH(P476,TZ_STN,0))&lt;&gt;"",Q476&gt;=INDEX(TZ_DSTS,MATCH(P476,TZ_STN,0)),Q476&lt;INDEX(TZ_DSTE,MATCH(P476,TZ_STN,0))),INDEX(TZ_DST,MATCH(P476,TZ_STN,0)),INDEX(TZ_STD,MATCH(P476,TZ_STN,0))))/24</f>
        <v>46310.4097222222</v>
      </c>
      <c r="S476" s="59" t="n">
        <f aca="false">IF(ISNUMBER(Flights!$AZ$18),MAX(Q476-UpliftWindowH/24,Flights!$AZ$18),Q476-UpliftWindowH/24)</f>
        <v>46309.8263888889</v>
      </c>
      <c r="T476" s="60"/>
      <c r="U476" s="60"/>
      <c r="V476" s="60"/>
      <c r="W476" s="61"/>
      <c r="X476" s="60"/>
      <c r="Y476" s="60"/>
      <c r="Z476" s="60"/>
      <c r="AA476" s="60"/>
      <c r="AB476" s="60"/>
      <c r="AC476" s="60"/>
      <c r="AD476" s="66"/>
      <c r="AE476" s="60"/>
      <c r="AF476" s="61" t="str">
        <f aca="false">IF(AND(ISNUMBER(X476),ISNUMBER(Y476)),Y476-X476,"")</f>
        <v/>
      </c>
      <c r="AG476" s="62" t="str">
        <f aca="false">IF(ISNUMBER(AD476),AD476-(IF(AND(INDEX(TZ_DSTS,MATCH(P476,TZ_STN,0))&lt;&gt;"",(AD476-INDEX(TZ_STD,MATCH(P476,TZ_STN,0))/24)&gt;=INDEX(TZ_DSTS,MATCH(P476,TZ_STN,0)),(AD476-INDEX(TZ_STD,MATCH(P476,TZ_STN,0))/24)&lt;INDEX(TZ_DSTE,MATCH(P476,TZ_STN,0))),INDEX(TZ_DST,MATCH(P476,TZ_STN,0)),INDEX(TZ_STD,MATCH(P476,TZ_STN,0))))/24,"")</f>
        <v/>
      </c>
      <c r="AH476" s="65" t="str">
        <f aca="false">IFERROR(IF(N476="N/A – rule","N/A – RULE",IF(TRIM(U476)="N/A",IF(AT476=0,"INVALID – N/A not permitted for this check",IF(AND(TRIM(AB476)&lt;&gt;"",TRIM(AB476)&lt;&gt;"Closed"),"INVALID – corrective action still open",IF(AND(NOT(OR(LEN(AZ476)&lt;15,ISNUMBER(MATCH(AZ476,L_Placeholder,0)))),NOT(OR(LEN(AU476)&lt;2,ISNUMBER(MATCH(AU476,L_Placeholder,0)))),NOT(OR(LEN(AX476)&lt;2,ISNUMBER(MATCH(AX476,L_Placeholder,0)))),TRIM(AE476)&lt;&gt;TRIM(T476)),"N/A – JUSTIFIED","INVALID – N/A needs a real justification (15+ chars), PIC and a different verifier"))),IF(OR(TRIM(U476)="Pass",TRIM(U476)="Pass after CA"),IF(NOT(ISNUMBER(AD476)),"INVALID – completion time missing",IF(OR(LEN(AU476)&lt;2,ISNUMBER(MATCH(AU476,L_Placeholder,0))),"INVALID – PIC missing",IF(OR(LEN(AV476)&lt;2,ISNUMBER(MATCH(AV476,L_Placeholder,0))),"INVALID – result / assessment missing",IF(OR(OR(LEN(AW476)&lt;3,ISNUMBER(MATCH(AW476,L_Placeholder,0))),SUMPRODUCT(--ISNUMBER(SEARCH(L_EvidencePhrase,AW476)))&gt;0),"INVALID – evidence missing, placeholder or not yet on file",IF(OR(LEN(AX476)&lt;2,ISNUMBER(MATCH(AX476,L_Placeholder,0))),"INVALID – verifier missing",IF(AX476=AU476,"INVALID – verifier must be someone other than the PIC",IF(AND(TRIM(U476)="Pass",SUMPRODUCT(--ISNUMBER(SEARCH(L_ResultBad,AV476)))&gt;0),"INVALID – result describes a problem: use Fail, then Pass after CA",IF(AND(AQ476=1,OR(LEN(AY476)&lt;3,ISNUMBER(MATCH(AY476,L_Placeholder,0)))),"INVALID – batch ID missing or placeholder",IF(AND(AR476=1,OR(NOT(ISNUMBER(X476)),NOT(ISNUMBER(Y476)))),"INVALID – expected/actual qty missing",IF(AND(AR476=1,OR(X476&lt;=0,Y476&lt;0)),"INVALID – expected qty must be above 0 and actual not negative",IF(AH467="N/A – JUSTIFIED","INVALID – preparation row F14-T12-02 is N/A",IF(AND(AR476=1,ISNUMBER(X467),X476&lt;&gt;X467),"INVALID – expected qty differs from preparation check F14-T12-02",IF(BB476&lt;&gt;"",BB476,IF(AND(AS476=1,Documents!$J$18&lt;&gt;"ON FILE"),"INVALID – GLD not on file (Documents sheet)",IF(AND(AS476=2,Documents!$O$18&lt;&gt;"ON FILE"),"INVALID – menu checklist not on file (Documents sheet)",IF(AND(AS476=3,NOT(ISNUMBER(Flights!$AX$18))),"INVALID – enter carrying flight KUL departure (Flights AX)",IF(AND(AS476=3,OR(Flights!$AZ$18&gt;Flights!$AA$18,Flights!$AX$18&lt;Flights!$AA$18-3)),"INVALID – carrying flight (Flights AX) cannot arrive before this leg's STD, or is over 3 days early",IF(AG476&gt;AsOfUTC,"INVALID – completion time is in the future",IF(AND(ISNUMBER(S476),AG476&lt;S476),IF(H476="Physical uplift","INVALID – before uplift window (cannot confirm loading)","INVALID – before valid window"),IF(AG476&gt;Flights!$AA$18,"INVALID – completed after departure (cannot establish readiness)",IF(AND(H476="Preparation",AG476&gt;IF(ISNUMBER(Flights!$BA$18),MIN(Flights!$BA$18,Flights!$AA$18),Flights!$AA$18)),"INVALID – completed after loading / departure (cannot establish readiness)",IF(AND(H476="Physical uplift",AG476&gt;Q476),"INVALID – recorded after the loading flight departed",IF(AG476&gt;Q476,"COMPLETE – LATE","COMPLETE"))))))))))))))))))))))),IF(TRIM(U476)="Fail","FAIL – DISCREPANCY",IF(AND(TRIM(U476)&lt;&gt;"",TRIM(U476)&lt;&gt;"Not started",TRIM(U476)&lt;&gt;"In progress"),"INVALID – unrecognised status (use the list)",IF(AsOfUTC&gt;Q476,"OVERDUE",IF(N476="Clarification required","OPEN – CLARIFICATION","OPEN"))))))),"INVALID – error value in an input cell")</f>
        <v>OPEN</v>
      </c>
      <c r="AI476" s="61" t="n">
        <f aca="false">IF(OR(AH476="N/A – RULE",AH476="N/A – JUSTIFIED"),0,1)</f>
        <v>1</v>
      </c>
      <c r="AJ476" s="61" t="n">
        <f aca="false">IF(LEFT(AH476,8)="COMPLETE",1,0)</f>
        <v>0</v>
      </c>
      <c r="AK476" s="61" t="n">
        <f aca="false">IF(AND(AI476=1,AJ476=0,AsOfUTC&gt;Q476),1,0)</f>
        <v>0</v>
      </c>
      <c r="AL476" s="61" t="n">
        <f aca="false">IFERROR(IF(AND(AI476=1,OR(TRIM(U476)="Fail",AND(TRIM(AB476)&lt;&gt;"",TRIM(AB476)&lt;&gt;"Closed"),AND(ISNUMBER(AF476),AF476&lt;&gt;0,TRIM(U476)&lt;&gt;"Pass after CA"))),1,0),1)</f>
        <v>0</v>
      </c>
      <c r="AM476" s="61" t="n">
        <f aca="false">IF(LEFT(AH476,7)="INVALID",1,0)</f>
        <v>0</v>
      </c>
      <c r="AN476" s="61" t="n">
        <f aca="false">IF(AND(N476="Clarification required",AI476=1,AJ476=0),1,0)</f>
        <v>0</v>
      </c>
      <c r="AO476" s="61" t="str">
        <f aca="false">IF(AK476=1,SUM(AK$5:AK476),"")</f>
        <v/>
      </c>
      <c r="AP476" s="61" t="str">
        <f aca="false">IF(AL476=1,SUM(AL$5:AL476),"")</f>
        <v/>
      </c>
      <c r="AQ476" s="61" t="n">
        <v>0</v>
      </c>
      <c r="AR476" s="61" t="n">
        <v>1</v>
      </c>
      <c r="AS476" s="61" t="n">
        <v>0</v>
      </c>
      <c r="AT476" s="61" t="n">
        <v>0</v>
      </c>
      <c r="AU476" s="61" t="str">
        <f aca="false">SUBSTITUTE(SUBSTITUTE(SUBSTITUTE(SUBSTITUTE(SUBSTITUTE(SUBSTITUTE(SUBSTITUTE(SUBSTITUTE(SUBSTITUTE(SUBSTITUTE(SUBSTITUTE(SUBSTITUTE(SUBSTITUTE(LOWER(T476&amp;""),CHAR(160),"")," ",""),".",""),"-",""),"/",""),"?",""),"_",""),",",""),"[",""),"]",""),"(",""),")",""),"*","")</f>
        <v/>
      </c>
      <c r="AV476" s="61" t="str">
        <f aca="false">SUBSTITUTE(SUBSTITUTE(SUBSTITUTE(SUBSTITUTE(SUBSTITUTE(SUBSTITUTE(SUBSTITUTE(SUBSTITUTE(SUBSTITUTE(SUBSTITUTE(SUBSTITUTE(SUBSTITUTE(SUBSTITUTE(LOWER(V476&amp;""),CHAR(160),"")," ",""),".",""),"-",""),"/",""),"?",""),"_",""),",",""),"[",""),"]",""),"(",""),")",""),"*","")</f>
        <v/>
      </c>
      <c r="AW476" s="61" t="str">
        <f aca="false">SUBSTITUTE(SUBSTITUTE(SUBSTITUTE(SUBSTITUTE(SUBSTITUTE(SUBSTITUTE(SUBSTITUTE(SUBSTITUTE(SUBSTITUTE(SUBSTITUTE(SUBSTITUTE(SUBSTITUTE(SUBSTITUTE(LOWER(Z476&amp;""),CHAR(160),"")," ",""),".",""),"-",""),"/",""),"?",""),"_",""),",",""),"[",""),"]",""),"(",""),")",""),"*","")</f>
        <v/>
      </c>
      <c r="AX476" s="61" t="str">
        <f aca="false">SUBSTITUTE(SUBSTITUTE(SUBSTITUTE(SUBSTITUTE(SUBSTITUTE(SUBSTITUTE(SUBSTITUTE(SUBSTITUTE(SUBSTITUTE(SUBSTITUTE(SUBSTITUTE(SUBSTITUTE(SUBSTITUTE(LOWER(AE476&amp;""),CHAR(160),"")," ",""),".",""),"-",""),"/",""),"?",""),"_",""),",",""),"[",""),"]",""),"(",""),")",""),"*","")</f>
        <v/>
      </c>
      <c r="AY476" s="61" t="str">
        <f aca="false">SUBSTITUTE(SUBSTITUTE(SUBSTITUTE(SUBSTITUTE(SUBSTITUTE(SUBSTITUTE(SUBSTITUTE(SUBSTITUTE(SUBSTITUTE(SUBSTITUTE(SUBSTITUTE(SUBSTITUTE(SUBSTITUTE(LOWER(W476&amp;""),CHAR(160),"")," ",""),".",""),"-",""),"/",""),"?",""),"_",""),",",""),"[",""),"]",""),"(",""),")",""),"*","")</f>
        <v/>
      </c>
      <c r="AZ476" s="61" t="str">
        <f aca="false">SUBSTITUTE(SUBSTITUTE(SUBSTITUTE(SUBSTITUTE(SUBSTITUTE(SUBSTITUTE(SUBSTITUTE(SUBSTITUTE(SUBSTITUTE(SUBSTITUTE(SUBSTITUTE(SUBSTITUTE(SUBSTITUTE(LOWER(AC476&amp;""),CHAR(160),"")," ",""),".",""),"-",""),"/",""),"?",""),"_",""),",",""),"[",""),"]",""),"(",""),")",""),"*","")</f>
        <v/>
      </c>
      <c r="BA476" s="61" t="str">
        <f aca="false">SUBSTITUTE(SUBSTITUTE(SUBSTITUTE(SUBSTITUTE(SUBSTITUTE(SUBSTITUTE(SUBSTITUTE(SUBSTITUTE(SUBSTITUTE(SUBSTITUTE(SUBSTITUTE(SUBSTITUTE(SUBSTITUTE(LOWER(AA476&amp;""),CHAR(160),"")," ",""),".",""),"-",""),"/",""),"?",""),"_",""),",",""),"[",""),"]",""),"(",""),")",""),"*","")</f>
        <v/>
      </c>
      <c r="BB476" s="61" t="str">
        <f aca="false">IF(AND(TRIM(U476)="Pass",ISNUMBER(AF476)),IF(AF476&lt;&gt;0,"INVALID – qty variance: use Fail or Pass after CA",""),"")&amp;IF(AND(TRIM(U476)="Pass after CA",ISNUMBER(AF476)),IF(AF476&lt;&gt;0,"INVALID – after the corrective action the actual qty must equal expected (update Actual)",""),"")&amp;IF(AND(TRIM(U476)="Pass",TRIM(AB476)&lt;&gt;"",TRIM(AB476)&lt;&gt;"Closed"),"INVALID – corrective action not closed: use Fail, then Pass after CA","")&amp;IF(AND(TRIM(AA476)&lt;&gt;"",TRIM(AB476)=""),"INVALID – CA status missing for the recorded corrective action","")&amp;IF(AND(TRIM(U476)="Pass after CA",OR(OR(LEN(BA476)&lt;5,ISNUMBER(MATCH(BA476,L_Placeholder,0))),TRIM(AB476)&lt;&gt;"Closed")),"INVALID – corrective action not recorded/closed","")</f>
        <v/>
      </c>
    </row>
    <row r="477" customFormat="false" ht="39.75" hidden="false" customHeight="true" outlineLevel="0" collapsed="false">
      <c r="A477" s="57" t="s">
        <v>1104</v>
      </c>
      <c r="B477" s="57" t="s">
        <v>273</v>
      </c>
      <c r="C477" s="57" t="str">
        <f aca="false">Flights!$F$18</f>
        <v>MH0004</v>
      </c>
      <c r="D477" s="58" t="n">
        <f aca="false">Flights!$D$18</f>
        <v>46310</v>
      </c>
      <c r="E477" s="57" t="str">
        <f aca="false">Flights!$G$18&amp;"-"&amp;Flights!$H$18</f>
        <v>KUL-LHR</v>
      </c>
      <c r="F477" s="57" t="str">
        <f aca="false">Flights!$K$18</f>
        <v>EY</v>
      </c>
      <c r="G477" s="57" t="s">
        <v>437</v>
      </c>
      <c r="H477" s="57" t="s">
        <v>438</v>
      </c>
      <c r="I477" s="57" t="s">
        <v>406</v>
      </c>
      <c r="J477" s="57" t="s">
        <v>443</v>
      </c>
      <c r="K477" s="67" t="s">
        <v>404</v>
      </c>
      <c r="L477" s="67" t="s">
        <v>440</v>
      </c>
      <c r="M477" s="67"/>
      <c r="N477" s="67" t="s">
        <v>361</v>
      </c>
      <c r="O477" s="67" t="s">
        <v>441</v>
      </c>
      <c r="P477" s="57" t="s">
        <v>184</v>
      </c>
      <c r="Q477" s="59" t="n">
        <f aca="false">ROUND((Flights!$AF$18)*1440,0)/1440</f>
        <v>46310.0763888889</v>
      </c>
      <c r="R477" s="59" t="n">
        <f aca="false">Q477+(IF(AND(INDEX(TZ_DSTS,MATCH(P477,TZ_STN,0))&lt;&gt;"",Q477&gt;=INDEX(TZ_DSTS,MATCH(P477,TZ_STN,0)),Q477&lt;INDEX(TZ_DSTE,MATCH(P477,TZ_STN,0))),INDEX(TZ_DST,MATCH(P477,TZ_STN,0)),INDEX(TZ_STD,MATCH(P477,TZ_STN,0))))/24</f>
        <v>46310.4097222222</v>
      </c>
      <c r="S477" s="59" t="n">
        <f aca="false">IF(ISNUMBER(Flights!$AZ$18),MAX(Q477-UpliftWindowH/24,Flights!$AZ$18),Q477-UpliftWindowH/24)</f>
        <v>46309.8263888889</v>
      </c>
      <c r="T477" s="60"/>
      <c r="U477" s="60"/>
      <c r="V477" s="60"/>
      <c r="W477" s="61"/>
      <c r="X477" s="60"/>
      <c r="Y477" s="60"/>
      <c r="Z477" s="60"/>
      <c r="AA477" s="60"/>
      <c r="AB477" s="60"/>
      <c r="AC477" s="60"/>
      <c r="AD477" s="66"/>
      <c r="AE477" s="60"/>
      <c r="AF477" s="61" t="str">
        <f aca="false">IF(AND(ISNUMBER(X477),ISNUMBER(Y477)),Y477-X477,"")</f>
        <v/>
      </c>
      <c r="AG477" s="62" t="str">
        <f aca="false">IF(ISNUMBER(AD477),AD477-(IF(AND(INDEX(TZ_DSTS,MATCH(P477,TZ_STN,0))&lt;&gt;"",(AD477-INDEX(TZ_STD,MATCH(P477,TZ_STN,0))/24)&gt;=INDEX(TZ_DSTS,MATCH(P477,TZ_STN,0)),(AD477-INDEX(TZ_STD,MATCH(P477,TZ_STN,0))/24)&lt;INDEX(TZ_DSTE,MATCH(P477,TZ_STN,0))),INDEX(TZ_DST,MATCH(P477,TZ_STN,0)),INDEX(TZ_STD,MATCH(P477,TZ_STN,0))))/24,"")</f>
        <v/>
      </c>
      <c r="AH477" s="65" t="str">
        <f aca="false">IFERROR(IF(N477="N/A – rule","N/A – RULE",IF(TRIM(U477)="N/A",IF(AT477=0,"INVALID – N/A not permitted for this check",IF(AND(TRIM(AB477)&lt;&gt;"",TRIM(AB477)&lt;&gt;"Closed"),"INVALID – corrective action still open",IF(AND(NOT(OR(LEN(AZ477)&lt;15,ISNUMBER(MATCH(AZ477,L_Placeholder,0)))),NOT(OR(LEN(AU477)&lt;2,ISNUMBER(MATCH(AU477,L_Placeholder,0)))),NOT(OR(LEN(AX477)&lt;2,ISNUMBER(MATCH(AX477,L_Placeholder,0)))),TRIM(AE477)&lt;&gt;TRIM(T477)),"N/A – JUSTIFIED","INVALID – N/A needs a real justification (15+ chars), PIC and a different verifier"))),IF(OR(TRIM(U477)="Pass",TRIM(U477)="Pass after CA"),IF(NOT(ISNUMBER(AD477)),"INVALID – completion time missing",IF(OR(LEN(AU477)&lt;2,ISNUMBER(MATCH(AU477,L_Placeholder,0))),"INVALID – PIC missing",IF(OR(LEN(AV477)&lt;2,ISNUMBER(MATCH(AV477,L_Placeholder,0))),"INVALID – result / assessment missing",IF(OR(OR(LEN(AW477)&lt;3,ISNUMBER(MATCH(AW477,L_Placeholder,0))),SUMPRODUCT(--ISNUMBER(SEARCH(L_EvidencePhrase,AW477)))&gt;0),"INVALID – evidence missing, placeholder or not yet on file",IF(OR(LEN(AX477)&lt;2,ISNUMBER(MATCH(AX477,L_Placeholder,0))),"INVALID – verifier missing",IF(AX477=AU477,"INVALID – verifier must be someone other than the PIC",IF(AND(TRIM(U477)="Pass",SUMPRODUCT(--ISNUMBER(SEARCH(L_ResultBad,AV477)))&gt;0),"INVALID – result describes a problem: use Fail, then Pass after CA",IF(AND(AQ477=1,OR(LEN(AY477)&lt;3,ISNUMBER(MATCH(AY477,L_Placeholder,0)))),"INVALID – batch ID missing or placeholder",IF(AND(AR477=1,OR(NOT(ISNUMBER(X477)),NOT(ISNUMBER(Y477)))),"INVALID – expected/actual qty missing",IF(AND(AR477=1,OR(X477&lt;=0,Y477&lt;0)),"INVALID – expected qty must be above 0 and actual not negative",IF(AH471="N/A – JUSTIFIED","INVALID – preparation row F14-T12-06 is N/A",IF(AND(AR477=1,ISNUMBER(X471),X477&lt;&gt;X471),"INVALID – expected qty differs from preparation check F14-T12-06",IF(BB477&lt;&gt;"",BB477,IF(AND(AS477=1,Documents!$J$18&lt;&gt;"ON FILE"),"INVALID – GLD not on file (Documents sheet)",IF(AND(AS477=2,Documents!$O$18&lt;&gt;"ON FILE"),"INVALID – menu checklist not on file (Documents sheet)",IF(AND(AS477=3,NOT(ISNUMBER(Flights!$AX$18))),"INVALID – enter carrying flight KUL departure (Flights AX)",IF(AND(AS477=3,OR(Flights!$AZ$18&gt;Flights!$AA$18,Flights!$AX$18&lt;Flights!$AA$18-3)),"INVALID – carrying flight (Flights AX) cannot arrive before this leg's STD, or is over 3 days early",IF(AG477&gt;AsOfUTC,"INVALID – completion time is in the future",IF(AND(ISNUMBER(S477),AG477&lt;S477),IF(H477="Physical uplift","INVALID – before uplift window (cannot confirm loading)","INVALID – before valid window"),IF(AG477&gt;Flights!$AA$18,"INVALID – completed after departure (cannot establish readiness)",IF(AND(H477="Preparation",AG477&gt;IF(ISNUMBER(Flights!$BA$18),MIN(Flights!$BA$18,Flights!$AA$18),Flights!$AA$18)),"INVALID – completed after loading / departure (cannot establish readiness)",IF(AND(H477="Physical uplift",AG477&gt;Q477),"INVALID – recorded after the loading flight departed",IF(AG477&gt;Q477,"COMPLETE – LATE","COMPLETE"))))))))))))))))))))))),IF(TRIM(U477)="Fail","FAIL – DISCREPANCY",IF(AND(TRIM(U477)&lt;&gt;"",TRIM(U477)&lt;&gt;"Not started",TRIM(U477)&lt;&gt;"In progress"),"INVALID – unrecognised status (use the list)",IF(AsOfUTC&gt;Q477,"OVERDUE",IF(N477="Clarification required","OPEN – CLARIFICATION","OPEN"))))))),"INVALID – error value in an input cell")</f>
        <v>OPEN</v>
      </c>
      <c r="AI477" s="61" t="n">
        <f aca="false">IF(OR(AH477="N/A – RULE",AH477="N/A – JUSTIFIED"),0,1)</f>
        <v>1</v>
      </c>
      <c r="AJ477" s="61" t="n">
        <f aca="false">IF(LEFT(AH477,8)="COMPLETE",1,0)</f>
        <v>0</v>
      </c>
      <c r="AK477" s="61" t="n">
        <f aca="false">IF(AND(AI477=1,AJ477=0,AsOfUTC&gt;Q477),1,0)</f>
        <v>0</v>
      </c>
      <c r="AL477" s="61" t="n">
        <f aca="false">IFERROR(IF(AND(AI477=1,OR(TRIM(U477)="Fail",AND(TRIM(AB477)&lt;&gt;"",TRIM(AB477)&lt;&gt;"Closed"),AND(ISNUMBER(AF477),AF477&lt;&gt;0,TRIM(U477)&lt;&gt;"Pass after CA"))),1,0),1)</f>
        <v>0</v>
      </c>
      <c r="AM477" s="61" t="n">
        <f aca="false">IF(LEFT(AH477,7)="INVALID",1,0)</f>
        <v>0</v>
      </c>
      <c r="AN477" s="61" t="n">
        <f aca="false">IF(AND(N477="Clarification required",AI477=1,AJ477=0),1,0)</f>
        <v>0</v>
      </c>
      <c r="AO477" s="61" t="str">
        <f aca="false">IF(AK477=1,SUM(AK$5:AK477),"")</f>
        <v/>
      </c>
      <c r="AP477" s="61" t="str">
        <f aca="false">IF(AL477=1,SUM(AL$5:AL477),"")</f>
        <v/>
      </c>
      <c r="AQ477" s="61" t="n">
        <v>0</v>
      </c>
      <c r="AR477" s="61" t="n">
        <v>1</v>
      </c>
      <c r="AS477" s="61" t="n">
        <v>0</v>
      </c>
      <c r="AT477" s="61" t="n">
        <v>0</v>
      </c>
      <c r="AU477" s="61" t="str">
        <f aca="false">SUBSTITUTE(SUBSTITUTE(SUBSTITUTE(SUBSTITUTE(SUBSTITUTE(SUBSTITUTE(SUBSTITUTE(SUBSTITUTE(SUBSTITUTE(SUBSTITUTE(SUBSTITUTE(SUBSTITUTE(SUBSTITUTE(LOWER(T477&amp;""),CHAR(160),"")," ",""),".",""),"-",""),"/",""),"?",""),"_",""),",",""),"[",""),"]",""),"(",""),")",""),"*","")</f>
        <v/>
      </c>
      <c r="AV477" s="61" t="str">
        <f aca="false">SUBSTITUTE(SUBSTITUTE(SUBSTITUTE(SUBSTITUTE(SUBSTITUTE(SUBSTITUTE(SUBSTITUTE(SUBSTITUTE(SUBSTITUTE(SUBSTITUTE(SUBSTITUTE(SUBSTITUTE(SUBSTITUTE(LOWER(V477&amp;""),CHAR(160),"")," ",""),".",""),"-",""),"/",""),"?",""),"_",""),",",""),"[",""),"]",""),"(",""),")",""),"*","")</f>
        <v/>
      </c>
      <c r="AW477" s="61" t="str">
        <f aca="false">SUBSTITUTE(SUBSTITUTE(SUBSTITUTE(SUBSTITUTE(SUBSTITUTE(SUBSTITUTE(SUBSTITUTE(SUBSTITUTE(SUBSTITUTE(SUBSTITUTE(SUBSTITUTE(SUBSTITUTE(SUBSTITUTE(LOWER(Z477&amp;""),CHAR(160),"")," ",""),".",""),"-",""),"/",""),"?",""),"_",""),",",""),"[",""),"]",""),"(",""),")",""),"*","")</f>
        <v/>
      </c>
      <c r="AX477" s="61" t="str">
        <f aca="false">SUBSTITUTE(SUBSTITUTE(SUBSTITUTE(SUBSTITUTE(SUBSTITUTE(SUBSTITUTE(SUBSTITUTE(SUBSTITUTE(SUBSTITUTE(SUBSTITUTE(SUBSTITUTE(SUBSTITUTE(SUBSTITUTE(LOWER(AE477&amp;""),CHAR(160),"")," ",""),".",""),"-",""),"/",""),"?",""),"_",""),",",""),"[",""),"]",""),"(",""),")",""),"*","")</f>
        <v/>
      </c>
      <c r="AY477" s="61" t="str">
        <f aca="false">SUBSTITUTE(SUBSTITUTE(SUBSTITUTE(SUBSTITUTE(SUBSTITUTE(SUBSTITUTE(SUBSTITUTE(SUBSTITUTE(SUBSTITUTE(SUBSTITUTE(SUBSTITUTE(SUBSTITUTE(SUBSTITUTE(LOWER(W477&amp;""),CHAR(160),"")," ",""),".",""),"-",""),"/",""),"?",""),"_",""),",",""),"[",""),"]",""),"(",""),")",""),"*","")</f>
        <v/>
      </c>
      <c r="AZ477" s="61" t="str">
        <f aca="false">SUBSTITUTE(SUBSTITUTE(SUBSTITUTE(SUBSTITUTE(SUBSTITUTE(SUBSTITUTE(SUBSTITUTE(SUBSTITUTE(SUBSTITUTE(SUBSTITUTE(SUBSTITUTE(SUBSTITUTE(SUBSTITUTE(LOWER(AC477&amp;""),CHAR(160),"")," ",""),".",""),"-",""),"/",""),"?",""),"_",""),",",""),"[",""),"]",""),"(",""),")",""),"*","")</f>
        <v/>
      </c>
      <c r="BA477" s="61" t="str">
        <f aca="false">SUBSTITUTE(SUBSTITUTE(SUBSTITUTE(SUBSTITUTE(SUBSTITUTE(SUBSTITUTE(SUBSTITUTE(SUBSTITUTE(SUBSTITUTE(SUBSTITUTE(SUBSTITUTE(SUBSTITUTE(SUBSTITUTE(LOWER(AA477&amp;""),CHAR(160),"")," ",""),".",""),"-",""),"/",""),"?",""),"_",""),",",""),"[",""),"]",""),"(",""),")",""),"*","")</f>
        <v/>
      </c>
      <c r="BB477" s="61" t="str">
        <f aca="false">IF(AND(TRIM(U477)="Pass",ISNUMBER(AF477)),IF(AF477&lt;&gt;0,"INVALID – qty variance: use Fail or Pass after CA",""),"")&amp;IF(AND(TRIM(U477)="Pass after CA",ISNUMBER(AF477)),IF(AF477&lt;&gt;0,"INVALID – after the corrective action the actual qty must equal expected (update Actual)",""),"")&amp;IF(AND(TRIM(U477)="Pass",TRIM(AB477)&lt;&gt;"",TRIM(AB477)&lt;&gt;"Closed"),"INVALID – corrective action not closed: use Fail, then Pass after CA","")&amp;IF(AND(TRIM(AA477)&lt;&gt;"",TRIM(AB477)=""),"INVALID – CA status missing for the recorded corrective action","")&amp;IF(AND(TRIM(U477)="Pass after CA",OR(OR(LEN(BA477)&lt;5,ISNUMBER(MATCH(BA477,L_Placeholder,0))),TRIM(AB477)&lt;&gt;"Closed")),"INVALID – corrective action not recorded/closed","")</f>
        <v/>
      </c>
    </row>
    <row r="478" customFormat="false" ht="116.25" hidden="false" customHeight="true" outlineLevel="0" collapsed="false">
      <c r="A478" s="57" t="s">
        <v>1105</v>
      </c>
      <c r="B478" s="57" t="s">
        <v>273</v>
      </c>
      <c r="C478" s="57" t="str">
        <f aca="false">Flights!$F$18</f>
        <v>MH0004</v>
      </c>
      <c r="D478" s="58" t="n">
        <f aca="false">Flights!$D$18</f>
        <v>46310</v>
      </c>
      <c r="E478" s="57" t="str">
        <f aca="false">Flights!$G$18&amp;"-"&amp;Flights!$H$18</f>
        <v>KUL-LHR</v>
      </c>
      <c r="F478" s="57" t="str">
        <f aca="false">Flights!$K$18</f>
        <v>EY</v>
      </c>
      <c r="G478" s="57" t="s">
        <v>437</v>
      </c>
      <c r="H478" s="57" t="s">
        <v>438</v>
      </c>
      <c r="I478" s="57" t="s">
        <v>418</v>
      </c>
      <c r="J478" s="57" t="s">
        <v>445</v>
      </c>
      <c r="K478" s="67" t="s">
        <v>479</v>
      </c>
      <c r="L478" s="67" t="s">
        <v>421</v>
      </c>
      <c r="M478" s="67" t="s">
        <v>704</v>
      </c>
      <c r="N478" s="67" t="s">
        <v>422</v>
      </c>
      <c r="O478" s="67" t="s">
        <v>1099</v>
      </c>
      <c r="P478" s="57" t="s">
        <v>184</v>
      </c>
      <c r="Q478" s="59" t="n">
        <f aca="false">ROUND((Flights!$AF$18)*1440,0)/1440</f>
        <v>46310.0763888889</v>
      </c>
      <c r="R478" s="59" t="n">
        <f aca="false">Q478+(IF(AND(INDEX(TZ_DSTS,MATCH(P478,TZ_STN,0))&lt;&gt;"",Q478&gt;=INDEX(TZ_DSTS,MATCH(P478,TZ_STN,0)),Q478&lt;INDEX(TZ_DSTE,MATCH(P478,TZ_STN,0))),INDEX(TZ_DST,MATCH(P478,TZ_STN,0)),INDEX(TZ_STD,MATCH(P478,TZ_STN,0))))/24</f>
        <v>46310.4097222222</v>
      </c>
      <c r="S478" s="59" t="n">
        <f aca="false">IF(ISNUMBER(Flights!$AZ$18),MAX(Q478-UpliftWindowH/24,Flights!$AZ$18),Q478-UpliftWindowH/24)</f>
        <v>46309.8263888889</v>
      </c>
      <c r="T478" s="60"/>
      <c r="U478" s="60"/>
      <c r="V478" s="60"/>
      <c r="W478" s="61"/>
      <c r="X478" s="60"/>
      <c r="Y478" s="60"/>
      <c r="Z478" s="60"/>
      <c r="AA478" s="60"/>
      <c r="AB478" s="60"/>
      <c r="AC478" s="60"/>
      <c r="AD478" s="66"/>
      <c r="AE478" s="60"/>
      <c r="AF478" s="61" t="str">
        <f aca="false">IF(AND(ISNUMBER(X478),ISNUMBER(Y478)),Y478-X478,"")</f>
        <v/>
      </c>
      <c r="AG478" s="62" t="str">
        <f aca="false">IF(ISNUMBER(AD478),AD478-(IF(AND(INDEX(TZ_DSTS,MATCH(P478,TZ_STN,0))&lt;&gt;"",(AD478-INDEX(TZ_STD,MATCH(P478,TZ_STN,0))/24)&gt;=INDEX(TZ_DSTS,MATCH(P478,TZ_STN,0)),(AD478-INDEX(TZ_STD,MATCH(P478,TZ_STN,0))/24)&lt;INDEX(TZ_DSTE,MATCH(P478,TZ_STN,0))),INDEX(TZ_DST,MATCH(P478,TZ_STN,0)),INDEX(TZ_STD,MATCH(P478,TZ_STN,0))))/24,"")</f>
        <v/>
      </c>
      <c r="AH478" s="65" t="str">
        <f aca="false">IFERROR(IF(N478="N/A – rule","N/A – RULE",IF(TRIM(U478)="N/A",IF(AT478=0,"INVALID – N/A not permitted for this check",IF(AND(TRIM(AB478)&lt;&gt;"",TRIM(AB478)&lt;&gt;"Closed"),"INVALID – corrective action still open",IF(AND(NOT(OR(LEN(AZ478)&lt;15,ISNUMBER(MATCH(AZ478,L_Placeholder,0)))),NOT(OR(LEN(AU478)&lt;2,ISNUMBER(MATCH(AU478,L_Placeholder,0)))),NOT(OR(LEN(AX478)&lt;2,ISNUMBER(MATCH(AX478,L_Placeholder,0)))),TRIM(AE478)&lt;&gt;TRIM(T478)),"N/A – JUSTIFIED","INVALID – N/A needs a real justification (15+ chars), PIC and a different verifier"))),IF(OR(TRIM(U478)="Pass",TRIM(U478)="Pass after CA"),IF(NOT(ISNUMBER(AD478)),"INVALID – completion time missing",IF(OR(LEN(AU478)&lt;2,ISNUMBER(MATCH(AU478,L_Placeholder,0))),"INVALID – PIC missing",IF(OR(LEN(AV478)&lt;2,ISNUMBER(MATCH(AV478,L_Placeholder,0))),"INVALID – result / assessment missing",IF(OR(OR(LEN(AW478)&lt;3,ISNUMBER(MATCH(AW478,L_Placeholder,0))),SUMPRODUCT(--ISNUMBER(SEARCH(L_EvidencePhrase,AW478)))&gt;0),"INVALID – evidence missing, placeholder or not yet on file",IF(OR(LEN(AX478)&lt;2,ISNUMBER(MATCH(AX478,L_Placeholder,0))),"INVALID – verifier missing",IF(AX478=AU478,"INVALID – verifier must be someone other than the PIC",IF(AND(TRIM(U478)="Pass",SUMPRODUCT(--ISNUMBER(SEARCH(L_ResultBad,AV478)))&gt;0),"INVALID – result describes a problem: use Fail, then Pass after CA",IF(AND(AQ478=1,OR(LEN(AY478)&lt;3,ISNUMBER(MATCH(AY478,L_Placeholder,0)))),"INVALID – batch ID missing or placeholder",IF(AND(AR478=1,OR(NOT(ISNUMBER(X478)),NOT(ISNUMBER(Y478)))),"INVALID – expected/actual qty missing",IF(AND(AR478=1,OR(X478&lt;=0,Y478&lt;0)),"INVALID – expected qty must be above 0 and actual not negative",IF(AH473="N/A – JUSTIFIED","INVALID – preparation row F14-T12-08 is N/A",IF(AND(AR478=1,ISNUMBER(X473),X478&lt;&gt;X473),"INVALID – expected qty differs from preparation check F14-T12-08",IF(BB478&lt;&gt;"",BB478,IF(AND(AS478=1,Documents!$J$18&lt;&gt;"ON FILE"),"INVALID – GLD not on file (Documents sheet)",IF(AND(AS478=2,Documents!$O$18&lt;&gt;"ON FILE"),"INVALID – menu checklist not on file (Documents sheet)",IF(AND(AS478=3,NOT(ISNUMBER(Flights!$AX$18))),"INVALID – enter carrying flight KUL departure (Flights AX)",IF(AND(AS478=3,OR(Flights!$AZ$18&gt;Flights!$AA$18,Flights!$AX$18&lt;Flights!$AA$18-3)),"INVALID – carrying flight (Flights AX) cannot arrive before this leg's STD, or is over 3 days early",IF(AG478&gt;AsOfUTC,"INVALID – completion time is in the future",IF(AND(ISNUMBER(S478),AG478&lt;S478),IF(H478="Physical uplift","INVALID – before uplift window (cannot confirm loading)","INVALID – before valid window"),IF(AG478&gt;Flights!$AA$18,"INVALID – completed after departure (cannot establish readiness)",IF(AND(H478="Preparation",AG478&gt;IF(ISNUMBER(Flights!$BA$18),MIN(Flights!$BA$18,Flights!$AA$18),Flights!$AA$18)),"INVALID – completed after loading / departure (cannot establish readiness)",IF(AND(H478="Physical uplift",AG478&gt;Q478),"INVALID – recorded after the loading flight departed",IF(AG478&gt;Q478,"COMPLETE – LATE","COMPLETE"))))))))))))))))))))))),IF(TRIM(U478)="Fail","FAIL – DISCREPANCY",IF(AND(TRIM(U478)&lt;&gt;"",TRIM(U478)&lt;&gt;"Not started",TRIM(U478)&lt;&gt;"In progress"),"INVALID – unrecognised status (use the list)",IF(AsOfUTC&gt;Q478,"OVERDUE",IF(N478="Clarification required","OPEN – CLARIFICATION","OPEN"))))))),"INVALID – error value in an input cell")</f>
        <v>OPEN – CLARIFICATION</v>
      </c>
      <c r="AI478" s="61" t="n">
        <f aca="false">IF(OR(AH478="N/A – RULE",AH478="N/A – JUSTIFIED"),0,1)</f>
        <v>1</v>
      </c>
      <c r="AJ478" s="61" t="n">
        <f aca="false">IF(LEFT(AH478,8)="COMPLETE",1,0)</f>
        <v>0</v>
      </c>
      <c r="AK478" s="61" t="n">
        <f aca="false">IF(AND(AI478=1,AJ478=0,AsOfUTC&gt;Q478),1,0)</f>
        <v>0</v>
      </c>
      <c r="AL478" s="61" t="n">
        <f aca="false">IFERROR(IF(AND(AI478=1,OR(TRIM(U478)="Fail",AND(TRIM(AB478)&lt;&gt;"",TRIM(AB478)&lt;&gt;"Closed"),AND(ISNUMBER(AF478),AF478&lt;&gt;0,TRIM(U478)&lt;&gt;"Pass after CA"))),1,0),1)</f>
        <v>0</v>
      </c>
      <c r="AM478" s="61" t="n">
        <f aca="false">IF(LEFT(AH478,7)="INVALID",1,0)</f>
        <v>0</v>
      </c>
      <c r="AN478" s="61" t="n">
        <f aca="false">IF(AND(N478="Clarification required",AI478=1,AJ478=0),1,0)</f>
        <v>1</v>
      </c>
      <c r="AO478" s="61" t="str">
        <f aca="false">IF(AK478=1,SUM(AK$5:AK478),"")</f>
        <v/>
      </c>
      <c r="AP478" s="61" t="str">
        <f aca="false">IF(AL478=1,SUM(AL$5:AL478),"")</f>
        <v/>
      </c>
      <c r="AQ478" s="61" t="n">
        <v>0</v>
      </c>
      <c r="AR478" s="61" t="n">
        <v>0</v>
      </c>
      <c r="AS478" s="61" t="n">
        <v>0</v>
      </c>
      <c r="AT478" s="61" t="n">
        <v>1</v>
      </c>
      <c r="AU478" s="61" t="str">
        <f aca="false">SUBSTITUTE(SUBSTITUTE(SUBSTITUTE(SUBSTITUTE(SUBSTITUTE(SUBSTITUTE(SUBSTITUTE(SUBSTITUTE(SUBSTITUTE(SUBSTITUTE(SUBSTITUTE(SUBSTITUTE(SUBSTITUTE(LOWER(T478&amp;""),CHAR(160),"")," ",""),".",""),"-",""),"/",""),"?",""),"_",""),",",""),"[",""),"]",""),"(",""),")",""),"*","")</f>
        <v/>
      </c>
      <c r="AV478" s="61" t="str">
        <f aca="false">SUBSTITUTE(SUBSTITUTE(SUBSTITUTE(SUBSTITUTE(SUBSTITUTE(SUBSTITUTE(SUBSTITUTE(SUBSTITUTE(SUBSTITUTE(SUBSTITUTE(SUBSTITUTE(SUBSTITUTE(SUBSTITUTE(LOWER(V478&amp;""),CHAR(160),"")," ",""),".",""),"-",""),"/",""),"?",""),"_",""),",",""),"[",""),"]",""),"(",""),")",""),"*","")</f>
        <v/>
      </c>
      <c r="AW478" s="61" t="str">
        <f aca="false">SUBSTITUTE(SUBSTITUTE(SUBSTITUTE(SUBSTITUTE(SUBSTITUTE(SUBSTITUTE(SUBSTITUTE(SUBSTITUTE(SUBSTITUTE(SUBSTITUTE(SUBSTITUTE(SUBSTITUTE(SUBSTITUTE(LOWER(Z478&amp;""),CHAR(160),"")," ",""),".",""),"-",""),"/",""),"?",""),"_",""),",",""),"[",""),"]",""),"(",""),")",""),"*","")</f>
        <v/>
      </c>
      <c r="AX478" s="61" t="str">
        <f aca="false">SUBSTITUTE(SUBSTITUTE(SUBSTITUTE(SUBSTITUTE(SUBSTITUTE(SUBSTITUTE(SUBSTITUTE(SUBSTITUTE(SUBSTITUTE(SUBSTITUTE(SUBSTITUTE(SUBSTITUTE(SUBSTITUTE(LOWER(AE478&amp;""),CHAR(160),"")," ",""),".",""),"-",""),"/",""),"?",""),"_",""),",",""),"[",""),"]",""),"(",""),")",""),"*","")</f>
        <v/>
      </c>
      <c r="AY478" s="61" t="str">
        <f aca="false">SUBSTITUTE(SUBSTITUTE(SUBSTITUTE(SUBSTITUTE(SUBSTITUTE(SUBSTITUTE(SUBSTITUTE(SUBSTITUTE(SUBSTITUTE(SUBSTITUTE(SUBSTITUTE(SUBSTITUTE(SUBSTITUTE(LOWER(W478&amp;""),CHAR(160),"")," ",""),".",""),"-",""),"/",""),"?",""),"_",""),",",""),"[",""),"]",""),"(",""),")",""),"*","")</f>
        <v/>
      </c>
      <c r="AZ478" s="61" t="str">
        <f aca="false">SUBSTITUTE(SUBSTITUTE(SUBSTITUTE(SUBSTITUTE(SUBSTITUTE(SUBSTITUTE(SUBSTITUTE(SUBSTITUTE(SUBSTITUTE(SUBSTITUTE(SUBSTITUTE(SUBSTITUTE(SUBSTITUTE(LOWER(AC478&amp;""),CHAR(160),"")," ",""),".",""),"-",""),"/",""),"?",""),"_",""),",",""),"[",""),"]",""),"(",""),")",""),"*","")</f>
        <v/>
      </c>
      <c r="BA478" s="61" t="str">
        <f aca="false">SUBSTITUTE(SUBSTITUTE(SUBSTITUTE(SUBSTITUTE(SUBSTITUTE(SUBSTITUTE(SUBSTITUTE(SUBSTITUTE(SUBSTITUTE(SUBSTITUTE(SUBSTITUTE(SUBSTITUTE(SUBSTITUTE(LOWER(AA478&amp;""),CHAR(160),"")," ",""),".",""),"-",""),"/",""),"?",""),"_",""),",",""),"[",""),"]",""),"(",""),")",""),"*","")</f>
        <v/>
      </c>
      <c r="BB478" s="61" t="str">
        <f aca="false">IF(AND(TRIM(U478)="Pass",ISNUMBER(AF478)),IF(AF478&lt;&gt;0,"INVALID – qty variance: use Fail or Pass after CA",""),"")&amp;IF(AND(TRIM(U478)="Pass after CA",ISNUMBER(AF478)),IF(AF478&lt;&gt;0,"INVALID – after the corrective action the actual qty must equal expected (update Actual)",""),"")&amp;IF(AND(TRIM(U478)="Pass",TRIM(AB478)&lt;&gt;"",TRIM(AB478)&lt;&gt;"Closed"),"INVALID – corrective action not closed: use Fail, then Pass after CA","")&amp;IF(AND(TRIM(AA478)&lt;&gt;"",TRIM(AB478)=""),"INVALID – CA status missing for the recorded corrective action","")&amp;IF(AND(TRIM(U478)="Pass after CA",OR(OR(LEN(BA478)&lt;5,ISNUMBER(MATCH(BA478,L_Placeholder,0))),TRIM(AB478)&lt;&gt;"Closed")),"INVALID – corrective action not recorded/closed","")</f>
        <v/>
      </c>
    </row>
    <row r="479" customFormat="false" ht="39.75" hidden="false" customHeight="true" outlineLevel="0" collapsed="false">
      <c r="A479" s="57" t="s">
        <v>1106</v>
      </c>
      <c r="B479" s="57" t="s">
        <v>273</v>
      </c>
      <c r="C479" s="57" t="str">
        <f aca="false">Flights!$F$18</f>
        <v>MH0004</v>
      </c>
      <c r="D479" s="58" t="n">
        <f aca="false">Flights!$D$18</f>
        <v>46310</v>
      </c>
      <c r="E479" s="57" t="str">
        <f aca="false">Flights!$G$18&amp;"-"&amp;Flights!$H$18</f>
        <v>KUL-LHR</v>
      </c>
      <c r="F479" s="57" t="str">
        <f aca="false">Flights!$K$18</f>
        <v>EY</v>
      </c>
      <c r="G479" s="57" t="s">
        <v>437</v>
      </c>
      <c r="H479" s="57" t="s">
        <v>438</v>
      </c>
      <c r="I479" s="57" t="s">
        <v>425</v>
      </c>
      <c r="J479" s="57" t="s">
        <v>447</v>
      </c>
      <c r="K479" s="67" t="s">
        <v>427</v>
      </c>
      <c r="L479" s="67" t="s">
        <v>428</v>
      </c>
      <c r="M479" s="67" t="s">
        <v>429</v>
      </c>
      <c r="N479" s="67" t="s">
        <v>361</v>
      </c>
      <c r="O479" s="67"/>
      <c r="P479" s="57" t="s">
        <v>184</v>
      </c>
      <c r="Q479" s="59" t="n">
        <f aca="false">ROUND((Flights!$AF$18)*1440,0)/1440</f>
        <v>46310.0763888889</v>
      </c>
      <c r="R479" s="59" t="n">
        <f aca="false">Q479+(IF(AND(INDEX(TZ_DSTS,MATCH(P479,TZ_STN,0))&lt;&gt;"",Q479&gt;=INDEX(TZ_DSTS,MATCH(P479,TZ_STN,0)),Q479&lt;INDEX(TZ_DSTE,MATCH(P479,TZ_STN,0))),INDEX(TZ_DST,MATCH(P479,TZ_STN,0)),INDEX(TZ_STD,MATCH(P479,TZ_STN,0))))/24</f>
        <v>46310.4097222222</v>
      </c>
      <c r="S479" s="59" t="n">
        <f aca="false">IF(ISNUMBER(Flights!$AZ$18),MAX(Q479-UpliftWindowH/24,Flights!$AZ$18),Q479-UpliftWindowH/24)</f>
        <v>46309.8263888889</v>
      </c>
      <c r="T479" s="60"/>
      <c r="U479" s="60"/>
      <c r="V479" s="60"/>
      <c r="W479" s="61"/>
      <c r="X479" s="60"/>
      <c r="Y479" s="60"/>
      <c r="Z479" s="60"/>
      <c r="AA479" s="60"/>
      <c r="AB479" s="60"/>
      <c r="AC479" s="60"/>
      <c r="AD479" s="66"/>
      <c r="AE479" s="60"/>
      <c r="AF479" s="61" t="str">
        <f aca="false">IF(AND(ISNUMBER(X479),ISNUMBER(Y479)),Y479-X479,"")</f>
        <v/>
      </c>
      <c r="AG479" s="62" t="str">
        <f aca="false">IF(ISNUMBER(AD479),AD479-(IF(AND(INDEX(TZ_DSTS,MATCH(P479,TZ_STN,0))&lt;&gt;"",(AD479-INDEX(TZ_STD,MATCH(P479,TZ_STN,0))/24)&gt;=INDEX(TZ_DSTS,MATCH(P479,TZ_STN,0)),(AD479-INDEX(TZ_STD,MATCH(P479,TZ_STN,0))/24)&lt;INDEX(TZ_DSTE,MATCH(P479,TZ_STN,0))),INDEX(TZ_DST,MATCH(P479,TZ_STN,0)),INDEX(TZ_STD,MATCH(P479,TZ_STN,0))))/24,"")</f>
        <v/>
      </c>
      <c r="AH479" s="65" t="str">
        <f aca="false">IFERROR(IF(N479="N/A – rule","N/A – RULE",IF(TRIM(U479)="N/A",IF(AT479=0,"INVALID – N/A not permitted for this check",IF(AND(TRIM(AB479)&lt;&gt;"",TRIM(AB479)&lt;&gt;"Closed"),"INVALID – corrective action still open",IF(AND(NOT(OR(LEN(AZ479)&lt;15,ISNUMBER(MATCH(AZ479,L_Placeholder,0)))),NOT(OR(LEN(AU479)&lt;2,ISNUMBER(MATCH(AU479,L_Placeholder,0)))),NOT(OR(LEN(AX479)&lt;2,ISNUMBER(MATCH(AX479,L_Placeholder,0)))),TRIM(AE479)&lt;&gt;TRIM(T479)),"N/A – JUSTIFIED","INVALID – N/A needs a real justification (15+ chars), PIC and a different verifier"))),IF(OR(TRIM(U479)="Pass",TRIM(U479)="Pass after CA"),IF(NOT(ISNUMBER(AD479)),"INVALID – completion time missing",IF(OR(LEN(AU479)&lt;2,ISNUMBER(MATCH(AU479,L_Placeholder,0))),"INVALID – PIC missing",IF(OR(LEN(AV479)&lt;2,ISNUMBER(MATCH(AV479,L_Placeholder,0))),"INVALID – result / assessment missing",IF(OR(OR(LEN(AW479)&lt;3,ISNUMBER(MATCH(AW479,L_Placeholder,0))),SUMPRODUCT(--ISNUMBER(SEARCH(L_EvidencePhrase,AW479)))&gt;0),"INVALID – evidence missing, placeholder or not yet on file",IF(OR(LEN(AX479)&lt;2,ISNUMBER(MATCH(AX479,L_Placeholder,0))),"INVALID – verifier missing",IF(AX479=AU479,"INVALID – verifier must be someone other than the PIC",IF(AND(TRIM(U479)="Pass",SUMPRODUCT(--ISNUMBER(SEARCH(L_ResultBad,AV479)))&gt;0),"INVALID – result describes a problem: use Fail, then Pass after CA",IF(AND(AQ479=1,OR(LEN(AY479)&lt;3,ISNUMBER(MATCH(AY479,L_Placeholder,0)))),"INVALID – batch ID missing or placeholder",IF(AND(AR479=1,OR(NOT(ISNUMBER(X479)),NOT(ISNUMBER(Y479)))),"INVALID – expected/actual qty missing",IF(AND(AR479=1,OR(X479&lt;=0,Y479&lt;0)),"INVALID – expected qty must be above 0 and actual not negative",IF(AH474="N/A – JUSTIFIED","INVALID – preparation row F14-T12-09 is N/A",IF(AND(AR479=1,ISNUMBER(X474),X479&lt;&gt;X474),"INVALID – expected qty differs from preparation check F14-T12-09",IF(BB479&lt;&gt;"",BB479,IF(AND(AS479=1,Documents!$J$18&lt;&gt;"ON FILE"),"INVALID – GLD not on file (Documents sheet)",IF(AND(AS479=2,Documents!$O$18&lt;&gt;"ON FILE"),"INVALID – menu checklist not on file (Documents sheet)",IF(AND(AS479=3,NOT(ISNUMBER(Flights!$AX$18))),"INVALID – enter carrying flight KUL departure (Flights AX)",IF(AND(AS479=3,OR(Flights!$AZ$18&gt;Flights!$AA$18,Flights!$AX$18&lt;Flights!$AA$18-3)),"INVALID – carrying flight (Flights AX) cannot arrive before this leg's STD, or is over 3 days early",IF(AG479&gt;AsOfUTC,"INVALID – completion time is in the future",IF(AND(ISNUMBER(S479),AG479&lt;S479),IF(H479="Physical uplift","INVALID – before uplift window (cannot confirm loading)","INVALID – before valid window"),IF(AG479&gt;Flights!$AA$18,"INVALID – completed after departure (cannot establish readiness)",IF(AND(H479="Preparation",AG479&gt;IF(ISNUMBER(Flights!$BA$18),MIN(Flights!$BA$18,Flights!$AA$18),Flights!$AA$18)),"INVALID – completed after loading / departure (cannot establish readiness)",IF(AND(H479="Physical uplift",AG479&gt;Q479),"INVALID – recorded after the loading flight departed",IF(AG479&gt;Q479,"COMPLETE – LATE","COMPLETE"))))))))))))))))))))))),IF(TRIM(U479)="Fail","FAIL – DISCREPANCY",IF(AND(TRIM(U479)&lt;&gt;"",TRIM(U479)&lt;&gt;"Not started",TRIM(U479)&lt;&gt;"In progress"),"INVALID – unrecognised status (use the list)",IF(AsOfUTC&gt;Q479,"OVERDUE",IF(N479="Clarification required","OPEN – CLARIFICATION","OPEN"))))))),"INVALID – error value in an input cell")</f>
        <v>OPEN</v>
      </c>
      <c r="AI479" s="61" t="n">
        <f aca="false">IF(OR(AH479="N/A – RULE",AH479="N/A – JUSTIFIED"),0,1)</f>
        <v>1</v>
      </c>
      <c r="AJ479" s="61" t="n">
        <f aca="false">IF(LEFT(AH479,8)="COMPLETE",1,0)</f>
        <v>0</v>
      </c>
      <c r="AK479" s="61" t="n">
        <f aca="false">IF(AND(AI479=1,AJ479=0,AsOfUTC&gt;Q479),1,0)</f>
        <v>0</v>
      </c>
      <c r="AL479" s="61" t="n">
        <f aca="false">IFERROR(IF(AND(AI479=1,OR(TRIM(U479)="Fail",AND(TRIM(AB479)&lt;&gt;"",TRIM(AB479)&lt;&gt;"Closed"),AND(ISNUMBER(AF479),AF479&lt;&gt;0,TRIM(U479)&lt;&gt;"Pass after CA"))),1,0),1)</f>
        <v>0</v>
      </c>
      <c r="AM479" s="61" t="n">
        <f aca="false">IF(LEFT(AH479,7)="INVALID",1,0)</f>
        <v>0</v>
      </c>
      <c r="AN479" s="61" t="n">
        <f aca="false">IF(AND(N479="Clarification required",AI479=1,AJ479=0),1,0)</f>
        <v>0</v>
      </c>
      <c r="AO479" s="61" t="str">
        <f aca="false">IF(AK479=1,SUM(AK$5:AK479),"")</f>
        <v/>
      </c>
      <c r="AP479" s="61" t="str">
        <f aca="false">IF(AL479=1,SUM(AL$5:AL479),"")</f>
        <v/>
      </c>
      <c r="AQ479" s="61" t="n">
        <v>0</v>
      </c>
      <c r="AR479" s="61" t="n">
        <v>0</v>
      </c>
      <c r="AS479" s="61" t="n">
        <v>0</v>
      </c>
      <c r="AT479" s="61" t="n">
        <v>0</v>
      </c>
      <c r="AU479" s="61" t="str">
        <f aca="false">SUBSTITUTE(SUBSTITUTE(SUBSTITUTE(SUBSTITUTE(SUBSTITUTE(SUBSTITUTE(SUBSTITUTE(SUBSTITUTE(SUBSTITUTE(SUBSTITUTE(SUBSTITUTE(SUBSTITUTE(SUBSTITUTE(LOWER(T479&amp;""),CHAR(160),"")," ",""),".",""),"-",""),"/",""),"?",""),"_",""),",",""),"[",""),"]",""),"(",""),")",""),"*","")</f>
        <v/>
      </c>
      <c r="AV479" s="61" t="str">
        <f aca="false">SUBSTITUTE(SUBSTITUTE(SUBSTITUTE(SUBSTITUTE(SUBSTITUTE(SUBSTITUTE(SUBSTITUTE(SUBSTITUTE(SUBSTITUTE(SUBSTITUTE(SUBSTITUTE(SUBSTITUTE(SUBSTITUTE(LOWER(V479&amp;""),CHAR(160),"")," ",""),".",""),"-",""),"/",""),"?",""),"_",""),",",""),"[",""),"]",""),"(",""),")",""),"*","")</f>
        <v/>
      </c>
      <c r="AW479" s="61" t="str">
        <f aca="false">SUBSTITUTE(SUBSTITUTE(SUBSTITUTE(SUBSTITUTE(SUBSTITUTE(SUBSTITUTE(SUBSTITUTE(SUBSTITUTE(SUBSTITUTE(SUBSTITUTE(SUBSTITUTE(SUBSTITUTE(SUBSTITUTE(LOWER(Z479&amp;""),CHAR(160),"")," ",""),".",""),"-",""),"/",""),"?",""),"_",""),",",""),"[",""),"]",""),"(",""),")",""),"*","")</f>
        <v/>
      </c>
      <c r="AX479" s="61" t="str">
        <f aca="false">SUBSTITUTE(SUBSTITUTE(SUBSTITUTE(SUBSTITUTE(SUBSTITUTE(SUBSTITUTE(SUBSTITUTE(SUBSTITUTE(SUBSTITUTE(SUBSTITUTE(SUBSTITUTE(SUBSTITUTE(SUBSTITUTE(LOWER(AE479&amp;""),CHAR(160),"")," ",""),".",""),"-",""),"/",""),"?",""),"_",""),",",""),"[",""),"]",""),"(",""),")",""),"*","")</f>
        <v/>
      </c>
      <c r="AY479" s="61" t="str">
        <f aca="false">SUBSTITUTE(SUBSTITUTE(SUBSTITUTE(SUBSTITUTE(SUBSTITUTE(SUBSTITUTE(SUBSTITUTE(SUBSTITUTE(SUBSTITUTE(SUBSTITUTE(SUBSTITUTE(SUBSTITUTE(SUBSTITUTE(LOWER(W479&amp;""),CHAR(160),"")," ",""),".",""),"-",""),"/",""),"?",""),"_",""),",",""),"[",""),"]",""),"(",""),")",""),"*","")</f>
        <v/>
      </c>
      <c r="AZ479" s="61" t="str">
        <f aca="false">SUBSTITUTE(SUBSTITUTE(SUBSTITUTE(SUBSTITUTE(SUBSTITUTE(SUBSTITUTE(SUBSTITUTE(SUBSTITUTE(SUBSTITUTE(SUBSTITUTE(SUBSTITUTE(SUBSTITUTE(SUBSTITUTE(LOWER(AC479&amp;""),CHAR(160),"")," ",""),".",""),"-",""),"/",""),"?",""),"_",""),",",""),"[",""),"]",""),"(",""),")",""),"*","")</f>
        <v/>
      </c>
      <c r="BA479" s="61" t="str">
        <f aca="false">SUBSTITUTE(SUBSTITUTE(SUBSTITUTE(SUBSTITUTE(SUBSTITUTE(SUBSTITUTE(SUBSTITUTE(SUBSTITUTE(SUBSTITUTE(SUBSTITUTE(SUBSTITUTE(SUBSTITUTE(SUBSTITUTE(LOWER(AA479&amp;""),CHAR(160),"")," ",""),".",""),"-",""),"/",""),"?",""),"_",""),",",""),"[",""),"]",""),"(",""),")",""),"*","")</f>
        <v/>
      </c>
      <c r="BB479" s="61" t="str">
        <f aca="false">IF(AND(TRIM(U479)="Pass",ISNUMBER(AF479)),IF(AF479&lt;&gt;0,"INVALID – qty variance: use Fail or Pass after CA",""),"")&amp;IF(AND(TRIM(U479)="Pass after CA",ISNUMBER(AF479)),IF(AF479&lt;&gt;0,"INVALID – after the corrective action the actual qty must equal expected (update Actual)",""),"")&amp;IF(AND(TRIM(U479)="Pass",TRIM(AB479)&lt;&gt;"",TRIM(AB479)&lt;&gt;"Closed"),"INVALID – corrective action not closed: use Fail, then Pass after CA","")&amp;IF(AND(TRIM(AA479)&lt;&gt;"",TRIM(AB479)=""),"INVALID – CA status missing for the recorded corrective action","")&amp;IF(AND(TRIM(U479)="Pass after CA",OR(OR(LEN(BA479)&lt;5,ISNUMBER(MATCH(BA479,L_Placeholder,0))),TRIM(AB479)&lt;&gt;"Closed")),"INVALID – corrective action not recorded/closed","")</f>
        <v/>
      </c>
    </row>
    <row r="480" customFormat="false" ht="54" hidden="false" customHeight="true" outlineLevel="0" collapsed="false">
      <c r="A480" s="57" t="s">
        <v>1107</v>
      </c>
      <c r="B480" s="57" t="s">
        <v>273</v>
      </c>
      <c r="C480" s="57" t="str">
        <f aca="false">Flights!$F$18</f>
        <v>MH0004</v>
      </c>
      <c r="D480" s="58" t="n">
        <f aca="false">Flights!$D$18</f>
        <v>46310</v>
      </c>
      <c r="E480" s="57" t="str">
        <f aca="false">Flights!$G$18&amp;"-"&amp;Flights!$H$18</f>
        <v>KUL-LHR</v>
      </c>
      <c r="F480" s="57" t="str">
        <f aca="false">Flights!$K$18</f>
        <v>EY</v>
      </c>
      <c r="G480" s="57" t="s">
        <v>437</v>
      </c>
      <c r="H480" s="57" t="s">
        <v>438</v>
      </c>
      <c r="I480" s="57" t="s">
        <v>425</v>
      </c>
      <c r="J480" s="57" t="s">
        <v>449</v>
      </c>
      <c r="K480" s="67" t="s">
        <v>433</v>
      </c>
      <c r="L480" s="67" t="s">
        <v>434</v>
      </c>
      <c r="M480" s="67" t="s">
        <v>429</v>
      </c>
      <c r="N480" s="67" t="s">
        <v>361</v>
      </c>
      <c r="O480" s="67" t="s">
        <v>1108</v>
      </c>
      <c r="P480" s="57" t="s">
        <v>184</v>
      </c>
      <c r="Q480" s="59" t="n">
        <f aca="false">ROUND((Flights!$AF$18)*1440,0)/1440</f>
        <v>46310.0763888889</v>
      </c>
      <c r="R480" s="59" t="n">
        <f aca="false">Q480+(IF(AND(INDEX(TZ_DSTS,MATCH(P480,TZ_STN,0))&lt;&gt;"",Q480&gt;=INDEX(TZ_DSTS,MATCH(P480,TZ_STN,0)),Q480&lt;INDEX(TZ_DSTE,MATCH(P480,TZ_STN,0))),INDEX(TZ_DST,MATCH(P480,TZ_STN,0)),INDEX(TZ_STD,MATCH(P480,TZ_STN,0))))/24</f>
        <v>46310.4097222222</v>
      </c>
      <c r="S480" s="59" t="n">
        <f aca="false">IF(ISNUMBER(Flights!$AZ$18),MAX(Q480-UpliftWindowH/24,Flights!$AZ$18),Q480-UpliftWindowH/24)</f>
        <v>46309.8263888889</v>
      </c>
      <c r="T480" s="60"/>
      <c r="U480" s="60"/>
      <c r="V480" s="60"/>
      <c r="W480" s="61"/>
      <c r="X480" s="68" t="str">
        <f aca="false">IF(TRIM(Flights!$N$18)="","",IF(ISNUMBER(SEARCH("MAH",Flights!$N$18)),280,260))</f>
        <v/>
      </c>
      <c r="Y480" s="60"/>
      <c r="Z480" s="60"/>
      <c r="AA480" s="60"/>
      <c r="AB480" s="60"/>
      <c r="AC480" s="60"/>
      <c r="AD480" s="66"/>
      <c r="AE480" s="60"/>
      <c r="AF480" s="61" t="str">
        <f aca="false">IF(AND(ISNUMBER(X480),ISNUMBER(Y480)),Y480-X480,"")</f>
        <v/>
      </c>
      <c r="AG480" s="62" t="str">
        <f aca="false">IF(ISNUMBER(AD480),AD480-(IF(AND(INDEX(TZ_DSTS,MATCH(P480,TZ_STN,0))&lt;&gt;"",(AD480-INDEX(TZ_STD,MATCH(P480,TZ_STN,0))/24)&gt;=INDEX(TZ_DSTS,MATCH(P480,TZ_STN,0)),(AD480-INDEX(TZ_STD,MATCH(P480,TZ_STN,0))/24)&lt;INDEX(TZ_DSTE,MATCH(P480,TZ_STN,0))),INDEX(TZ_DST,MATCH(P480,TZ_STN,0)),INDEX(TZ_STD,MATCH(P480,TZ_STN,0))))/24,"")</f>
        <v/>
      </c>
      <c r="AH480" s="65" t="str">
        <f aca="false">IFERROR(IF(N480="N/A – rule","N/A – RULE",IF(TRIM(U480)="N/A",IF(AT480=0,"INVALID – N/A not permitted for this check",IF(AND(TRIM(AB480)&lt;&gt;"",TRIM(AB480)&lt;&gt;"Closed"),"INVALID – corrective action still open",IF(AND(NOT(OR(LEN(AZ480)&lt;15,ISNUMBER(MATCH(AZ480,L_Placeholder,0)))),NOT(OR(LEN(AU480)&lt;2,ISNUMBER(MATCH(AU480,L_Placeholder,0)))),NOT(OR(LEN(AX480)&lt;2,ISNUMBER(MATCH(AX480,L_Placeholder,0)))),TRIM(AE480)&lt;&gt;TRIM(T480)),"N/A – JUSTIFIED","INVALID – N/A needs a real justification (15+ chars), PIC and a different verifier"))),IF(OR(TRIM(U480)="Pass",TRIM(U480)="Pass after CA"),IF(NOT(ISNUMBER(AD480)),"INVALID – completion time missing",IF(OR(LEN(AU480)&lt;2,ISNUMBER(MATCH(AU480,L_Placeholder,0))),"INVALID – PIC missing",IF(OR(LEN(AV480)&lt;2,ISNUMBER(MATCH(AV480,L_Placeholder,0))),"INVALID – result / assessment missing",IF(OR(OR(LEN(AW480)&lt;3,ISNUMBER(MATCH(AW480,L_Placeholder,0))),SUMPRODUCT(--ISNUMBER(SEARCH(L_EvidencePhrase,AW480)))&gt;0),"INVALID – evidence missing, placeholder or not yet on file",IF(OR(LEN(AX480)&lt;2,ISNUMBER(MATCH(AX480,L_Placeholder,0))),"INVALID – verifier missing",IF(AX480=AU480,"INVALID – verifier must be someone other than the PIC",IF(AND(TRIM(U480)="Pass",SUMPRODUCT(--ISNUMBER(SEARCH(L_ResultBad,AV480)))&gt;0),"INVALID – result describes a problem: use Fail, then Pass after CA",IF(AND(AQ480=1,OR(LEN(AY480)&lt;3,ISNUMBER(MATCH(AY480,L_Placeholder,0)))),"INVALID – batch ID missing or placeholder",IF(AND(AR480=1,OR(NOT(ISNUMBER(X480)),NOT(ISNUMBER(Y480)))),"INVALID – expected/actual qty missing",IF(AND(AR480=1,OR(X480&lt;=0,Y480&lt;0)),"INVALID – expected qty must be above 0 and actual not negative",IF(AH475="N/A – JUSTIFIED","INVALID – preparation row F14-T12-10 is N/A",IF(AND(AR480=1,ISNUMBER(X475),X480&lt;&gt;X475),"INVALID – expected qty differs from preparation check F14-T12-10",IF(BB480&lt;&gt;"",BB480,IF(AND(AS480=1,Documents!$J$18&lt;&gt;"ON FILE"),"INVALID – GLD not on file (Documents sheet)",IF(AND(AS480=2,Documents!$O$18&lt;&gt;"ON FILE"),"INVALID – menu checklist not on file (Documents sheet)",IF(AND(AS480=3,NOT(ISNUMBER(Flights!$AX$18))),"INVALID – enter carrying flight KUL departure (Flights AX)",IF(AND(AS480=3,OR(Flights!$AZ$18&gt;Flights!$AA$18,Flights!$AX$18&lt;Flights!$AA$18-3)),"INVALID – carrying flight (Flights AX) cannot arrive before this leg's STD, or is over 3 days early",IF(AG480&gt;AsOfUTC,"INVALID – completion time is in the future",IF(AND(ISNUMBER(S480),AG480&lt;S480),IF(H480="Physical uplift","INVALID – before uplift window (cannot confirm loading)","INVALID – before valid window"),IF(AG480&gt;Flights!$AA$18,"INVALID – completed after departure (cannot establish readiness)",IF(AND(H480="Preparation",AG480&gt;IF(ISNUMBER(Flights!$BA$18),MIN(Flights!$BA$18,Flights!$AA$18),Flights!$AA$18)),"INVALID – completed after loading / departure (cannot establish readiness)",IF(AND(H480="Physical uplift",AG480&gt;Q480),"INVALID – recorded after the loading flight departed",IF(AG480&gt;Q480,"COMPLETE – LATE","COMPLETE"))))))))))))))))))))))),IF(TRIM(U480)="Fail","FAIL – DISCREPANCY",IF(AND(TRIM(U480)&lt;&gt;"",TRIM(U480)&lt;&gt;"Not started",TRIM(U480)&lt;&gt;"In progress"),"INVALID – unrecognised status (use the list)",IF(AsOfUTC&gt;Q480,"OVERDUE",IF(N480="Clarification required","OPEN – CLARIFICATION","OPEN"))))))),"INVALID – error value in an input cell")</f>
        <v>OPEN</v>
      </c>
      <c r="AI480" s="61" t="n">
        <f aca="false">IF(OR(AH480="N/A – RULE",AH480="N/A – JUSTIFIED"),0,1)</f>
        <v>1</v>
      </c>
      <c r="AJ480" s="61" t="n">
        <f aca="false">IF(LEFT(AH480,8)="COMPLETE",1,0)</f>
        <v>0</v>
      </c>
      <c r="AK480" s="61" t="n">
        <f aca="false">IF(AND(AI480=1,AJ480=0,AsOfUTC&gt;Q480),1,0)</f>
        <v>0</v>
      </c>
      <c r="AL480" s="61" t="n">
        <f aca="false">IFERROR(IF(AND(AI480=1,OR(TRIM(U480)="Fail",AND(TRIM(AB480)&lt;&gt;"",TRIM(AB480)&lt;&gt;"Closed"),AND(ISNUMBER(AF480),AF480&lt;&gt;0,TRIM(U480)&lt;&gt;"Pass after CA"))),1,0),1)</f>
        <v>0</v>
      </c>
      <c r="AM480" s="61" t="n">
        <f aca="false">IF(LEFT(AH480,7)="INVALID",1,0)</f>
        <v>0</v>
      </c>
      <c r="AN480" s="61" t="n">
        <f aca="false">IF(AND(N480="Clarification required",AI480=1,AJ480=0),1,0)</f>
        <v>0</v>
      </c>
      <c r="AO480" s="61" t="str">
        <f aca="false">IF(AK480=1,SUM(AK$5:AK480),"")</f>
        <v/>
      </c>
      <c r="AP480" s="61" t="str">
        <f aca="false">IF(AL480=1,SUM(AL$5:AL480),"")</f>
        <v/>
      </c>
      <c r="AQ480" s="61" t="n">
        <v>0</v>
      </c>
      <c r="AR480" s="61" t="n">
        <v>1</v>
      </c>
      <c r="AS480" s="61" t="n">
        <v>0</v>
      </c>
      <c r="AT480" s="61" t="n">
        <v>0</v>
      </c>
      <c r="AU480" s="61" t="str">
        <f aca="false">SUBSTITUTE(SUBSTITUTE(SUBSTITUTE(SUBSTITUTE(SUBSTITUTE(SUBSTITUTE(SUBSTITUTE(SUBSTITUTE(SUBSTITUTE(SUBSTITUTE(SUBSTITUTE(SUBSTITUTE(SUBSTITUTE(LOWER(T480&amp;""),CHAR(160),"")," ",""),".",""),"-",""),"/",""),"?",""),"_",""),",",""),"[",""),"]",""),"(",""),")",""),"*","")</f>
        <v/>
      </c>
      <c r="AV480" s="61" t="str">
        <f aca="false">SUBSTITUTE(SUBSTITUTE(SUBSTITUTE(SUBSTITUTE(SUBSTITUTE(SUBSTITUTE(SUBSTITUTE(SUBSTITUTE(SUBSTITUTE(SUBSTITUTE(SUBSTITUTE(SUBSTITUTE(SUBSTITUTE(LOWER(V480&amp;""),CHAR(160),"")," ",""),".",""),"-",""),"/",""),"?",""),"_",""),",",""),"[",""),"]",""),"(",""),")",""),"*","")</f>
        <v/>
      </c>
      <c r="AW480" s="61" t="str">
        <f aca="false">SUBSTITUTE(SUBSTITUTE(SUBSTITUTE(SUBSTITUTE(SUBSTITUTE(SUBSTITUTE(SUBSTITUTE(SUBSTITUTE(SUBSTITUTE(SUBSTITUTE(SUBSTITUTE(SUBSTITUTE(SUBSTITUTE(LOWER(Z480&amp;""),CHAR(160),"")," ",""),".",""),"-",""),"/",""),"?",""),"_",""),",",""),"[",""),"]",""),"(",""),")",""),"*","")</f>
        <v/>
      </c>
      <c r="AX480" s="61" t="str">
        <f aca="false">SUBSTITUTE(SUBSTITUTE(SUBSTITUTE(SUBSTITUTE(SUBSTITUTE(SUBSTITUTE(SUBSTITUTE(SUBSTITUTE(SUBSTITUTE(SUBSTITUTE(SUBSTITUTE(SUBSTITUTE(SUBSTITUTE(LOWER(AE480&amp;""),CHAR(160),"")," ",""),".",""),"-",""),"/",""),"?",""),"_",""),",",""),"[",""),"]",""),"(",""),")",""),"*","")</f>
        <v/>
      </c>
      <c r="AY480" s="61" t="str">
        <f aca="false">SUBSTITUTE(SUBSTITUTE(SUBSTITUTE(SUBSTITUTE(SUBSTITUTE(SUBSTITUTE(SUBSTITUTE(SUBSTITUTE(SUBSTITUTE(SUBSTITUTE(SUBSTITUTE(SUBSTITUTE(SUBSTITUTE(LOWER(W480&amp;""),CHAR(160),"")," ",""),".",""),"-",""),"/",""),"?",""),"_",""),",",""),"[",""),"]",""),"(",""),")",""),"*","")</f>
        <v/>
      </c>
      <c r="AZ480" s="61" t="str">
        <f aca="false">SUBSTITUTE(SUBSTITUTE(SUBSTITUTE(SUBSTITUTE(SUBSTITUTE(SUBSTITUTE(SUBSTITUTE(SUBSTITUTE(SUBSTITUTE(SUBSTITUTE(SUBSTITUTE(SUBSTITUTE(SUBSTITUTE(LOWER(AC480&amp;""),CHAR(160),"")," ",""),".",""),"-",""),"/",""),"?",""),"_",""),",",""),"[",""),"]",""),"(",""),")",""),"*","")</f>
        <v/>
      </c>
      <c r="BA480" s="61" t="str">
        <f aca="false">SUBSTITUTE(SUBSTITUTE(SUBSTITUTE(SUBSTITUTE(SUBSTITUTE(SUBSTITUTE(SUBSTITUTE(SUBSTITUTE(SUBSTITUTE(SUBSTITUTE(SUBSTITUTE(SUBSTITUTE(SUBSTITUTE(LOWER(AA480&amp;""),CHAR(160),"")," ",""),".",""),"-",""),"/",""),"?",""),"_",""),",",""),"[",""),"]",""),"(",""),")",""),"*","")</f>
        <v/>
      </c>
      <c r="BB480" s="61" t="str">
        <f aca="false">IF(AND(TRIM(U480)="Pass",ISNUMBER(AF480)),IF(AF480&lt;&gt;0,"INVALID – qty variance: use Fail or Pass after CA",""),"")&amp;IF(AND(TRIM(U480)="Pass after CA",ISNUMBER(AF480)),IF(AF480&lt;&gt;0,"INVALID – after the corrective action the actual qty must equal expected (update Actual)",""),"")&amp;IF(AND(TRIM(U480)="Pass",TRIM(AB480)&lt;&gt;"",TRIM(AB480)&lt;&gt;"Closed"),"INVALID – corrective action not closed: use Fail, then Pass after CA","")&amp;IF(AND(TRIM(AA480)&lt;&gt;"",TRIM(AB480)=""),"INVALID – CA status missing for the recorded corrective action","")&amp;IF(AND(TRIM(U480)="Pass after CA",OR(OR(LEN(BA480)&lt;5,ISNUMBER(MATCH(BA480,L_Placeholder,0))),TRIM(AB480)&lt;&gt;"Closed")),"INVALID – corrective action not recorded/closed","")</f>
        <v/>
      </c>
    </row>
    <row r="481" customFormat="false" ht="54" hidden="false" customHeight="true" outlineLevel="0" collapsed="false">
      <c r="A481" s="57" t="s">
        <v>1109</v>
      </c>
      <c r="B481" s="57" t="s">
        <v>275</v>
      </c>
      <c r="C481" s="57" t="str">
        <f aca="false">Flights!$F$19</f>
        <v>MH0003</v>
      </c>
      <c r="D481" s="58" t="n">
        <f aca="false">Flights!$D$19</f>
        <v>46320</v>
      </c>
      <c r="E481" s="57" t="str">
        <f aca="false">Flights!$G$19&amp;"-"&amp;Flights!$H$19</f>
        <v>LHR-KUL</v>
      </c>
      <c r="F481" s="57" t="str">
        <f aca="false">Flights!$K$19</f>
        <v>EY</v>
      </c>
      <c r="G481" s="57" t="s">
        <v>79</v>
      </c>
      <c r="H481" s="57" t="s">
        <v>356</v>
      </c>
      <c r="I481" s="57" t="s">
        <v>357</v>
      </c>
      <c r="J481" s="57" t="s">
        <v>358</v>
      </c>
      <c r="K481" s="67" t="s">
        <v>359</v>
      </c>
      <c r="L481" s="67" t="s">
        <v>360</v>
      </c>
      <c r="M481" s="67"/>
      <c r="N481" s="67" t="s">
        <v>361</v>
      </c>
      <c r="O481" s="67" t="s">
        <v>1110</v>
      </c>
      <c r="P481" s="57" t="s">
        <v>183</v>
      </c>
      <c r="Q481" s="59" t="n">
        <f aca="false">ROUND((Flights!$AC$19)*1440,0)/1440</f>
        <v>46313.4583333333</v>
      </c>
      <c r="R481" s="59" t="n">
        <f aca="false">Q481+(IF(AND(INDEX(TZ_DSTS,MATCH(P481,TZ_STN,0))&lt;&gt;"",Q481&gt;=INDEX(TZ_DSTS,MATCH(P481,TZ_STN,0)),Q481&lt;INDEX(TZ_DSTE,MATCH(P481,TZ_STN,0))),INDEX(TZ_DST,MATCH(P481,TZ_STN,0)),INDEX(TZ_STD,MATCH(P481,TZ_STN,0))))/24</f>
        <v>46313.5</v>
      </c>
      <c r="S481" s="59" t="n">
        <f aca="false">Q481-T7EarlyD*24/24</f>
        <v>46299.4583333333</v>
      </c>
      <c r="T481" s="60"/>
      <c r="U481" s="60"/>
      <c r="V481" s="60"/>
      <c r="W481" s="61"/>
      <c r="X481" s="60"/>
      <c r="Y481" s="60"/>
      <c r="Z481" s="60"/>
      <c r="AA481" s="60"/>
      <c r="AB481" s="60"/>
      <c r="AC481" s="60"/>
      <c r="AD481" s="66"/>
      <c r="AE481" s="60"/>
      <c r="AF481" s="61" t="str">
        <f aca="false">IF(AND(ISNUMBER(X481),ISNUMBER(Y481)),Y481-X481,"")</f>
        <v/>
      </c>
      <c r="AG481" s="62" t="str">
        <f aca="false">IF(ISNUMBER(AD481),AD481-(IF(AND(INDEX(TZ_DSTS,MATCH(P481,TZ_STN,0))&lt;&gt;"",(AD481-INDEX(TZ_STD,MATCH(P481,TZ_STN,0))/24)&gt;=INDEX(TZ_DSTS,MATCH(P481,TZ_STN,0)),(AD481-INDEX(TZ_STD,MATCH(P481,TZ_STN,0))/24)&lt;INDEX(TZ_DSTE,MATCH(P481,TZ_STN,0))),INDEX(TZ_DST,MATCH(P481,TZ_STN,0)),INDEX(TZ_STD,MATCH(P481,TZ_STN,0))))/24,"")</f>
        <v/>
      </c>
      <c r="AH481" s="65" t="str">
        <f aca="false">IFERROR(IF(N481="N/A – rule","N/A – RULE",IF(TRIM(U481)="N/A",IF(AT481=0,"INVALID – N/A not permitted for this check",IF(AND(TRIM(AB481)&lt;&gt;"",TRIM(AB481)&lt;&gt;"Closed"),"INVALID – corrective action still open",IF(AND(NOT(OR(LEN(AZ481)&lt;15,ISNUMBER(MATCH(AZ481,L_Placeholder,0)))),NOT(OR(LEN(AU481)&lt;2,ISNUMBER(MATCH(AU481,L_Placeholder,0)))),NOT(OR(LEN(AX481)&lt;2,ISNUMBER(MATCH(AX481,L_Placeholder,0)))),TRIM(AE481)&lt;&gt;TRIM(T481)),"N/A – JUSTIFIED","INVALID – N/A needs a real justification (15+ chars), PIC and a different verifier"))),IF(OR(TRIM(U481)="Pass",TRIM(U481)="Pass after CA"),IF(NOT(ISNUMBER(AD481)),"INVALID – completion time missing",IF(OR(LEN(AU481)&lt;2,ISNUMBER(MATCH(AU481,L_Placeholder,0))),"INVALID – PIC missing",IF(OR(LEN(AV481)&lt;2,ISNUMBER(MATCH(AV481,L_Placeholder,0))),"INVALID – result / assessment missing",IF(OR(OR(LEN(AW481)&lt;3,ISNUMBER(MATCH(AW481,L_Placeholder,0))),SUMPRODUCT(--ISNUMBER(SEARCH(L_EvidencePhrase,AW481)))&gt;0),"INVALID – evidence missing, placeholder or not yet on file",IF(OR(LEN(AX481)&lt;2,ISNUMBER(MATCH(AX481,L_Placeholder,0))),"INVALID – verifier missing",IF(AX481=AU481,"INVALID – verifier must be someone other than the PIC",IF(AND(TRIM(U481)="Pass",SUMPRODUCT(--ISNUMBER(SEARCH(L_ResultBad,AV481)))&gt;0),"INVALID – result describes a problem: use Fail, then Pass after CA",IF(AND(AQ481=1,OR(LEN(AY481)&lt;3,ISNUMBER(MATCH(AY481,L_Placeholder,0)))),"INVALID – batch ID missing or placeholder",IF(AND(AR481=1,OR(NOT(ISNUMBER(X481)),NOT(ISNUMBER(Y481)))),"INVALID – expected/actual qty missing",IF(AND(AR481=1,OR(X481&lt;=0,Y481&lt;0)),"INVALID – expected qty must be above 0 and actual not negative",IF(BB481&lt;&gt;"",BB481,IF(AND(AS481=1,Documents!$J$19&lt;&gt;"ON FILE"),"INVALID – GLD not on file (Documents sheet)",IF(AND(AS481=2,Documents!$O$19&lt;&gt;"ON FILE"),"INVALID – menu checklist not on file (Documents sheet)",IF(AND(AS481=3,NOT(ISNUMBER(Flights!$AX$19))),"INVALID – enter carrying flight KUL departure (Flights AX)",IF(AND(AS481=3,OR(Flights!$AZ$19&gt;Flights!$AA$19,Flights!$AX$19&lt;Flights!$AA$19-3)),"INVALID – carrying flight (Flights AX) cannot arrive before this leg's STD, or is over 3 days early",IF(AG481&gt;AsOfUTC,"INVALID – completion time is in the future",IF(AND(ISNUMBER(S481),AG481&lt;S481),IF(H481="Physical uplift","INVALID – before uplift window (cannot confirm loading)","INVALID – before valid window"),IF(AG481&gt;Flights!$AA$19,"INVALID – completed after departure (cannot establish readiness)",IF(AND(H481="Preparation",AG481&gt;IF(ISNUMBER(Flights!$BA$19),MIN(Flights!$BA$19,Flights!$AA$19),Flights!$AA$19)),"INVALID – completed after loading / departure (cannot establish readiness)",IF(AND(H481="Physical uplift",AG481&gt;Q481),"INVALID – recorded after the loading flight departed",IF(AG481&gt;Q481,"COMPLETE – LATE","COMPLETE"))))))))))))))))))))),IF(TRIM(U481)="Fail","FAIL – DISCREPANCY",IF(AND(TRIM(U481)&lt;&gt;"",TRIM(U481)&lt;&gt;"Not started",TRIM(U481)&lt;&gt;"In progress"),"INVALID – unrecognised status (use the list)",IF(AsOfUTC&gt;Q481,"OVERDUE",IF(N481="Clarification required","OPEN – CLARIFICATION","OPEN"))))))),"INVALID – error value in an input cell")</f>
        <v>OPEN</v>
      </c>
      <c r="AI481" s="61" t="n">
        <f aca="false">IF(OR(AH481="N/A – RULE",AH481="N/A – JUSTIFIED"),0,1)</f>
        <v>1</v>
      </c>
      <c r="AJ481" s="61" t="n">
        <f aca="false">IF(LEFT(AH481,8)="COMPLETE",1,0)</f>
        <v>0</v>
      </c>
      <c r="AK481" s="61" t="n">
        <f aca="false">IF(AND(AI481=1,AJ481=0,AsOfUTC&gt;Q481),1,0)</f>
        <v>0</v>
      </c>
      <c r="AL481" s="61" t="n">
        <f aca="false">IFERROR(IF(AND(AI481=1,OR(TRIM(U481)="Fail",AND(TRIM(AB481)&lt;&gt;"",TRIM(AB481)&lt;&gt;"Closed"),AND(ISNUMBER(AF481),AF481&lt;&gt;0,TRIM(U481)&lt;&gt;"Pass after CA"))),1,0),1)</f>
        <v>0</v>
      </c>
      <c r="AM481" s="61" t="n">
        <f aca="false">IF(LEFT(AH481,7)="INVALID",1,0)</f>
        <v>0</v>
      </c>
      <c r="AN481" s="61" t="n">
        <f aca="false">IF(AND(N481="Clarification required",AI481=1,AJ481=0),1,0)</f>
        <v>0</v>
      </c>
      <c r="AO481" s="61" t="str">
        <f aca="false">IF(AK481=1,SUM(AK$5:AK481),"")</f>
        <v/>
      </c>
      <c r="AP481" s="61" t="str">
        <f aca="false">IF(AL481=1,SUM(AL$5:AL481),"")</f>
        <v/>
      </c>
      <c r="AQ481" s="61" t="n">
        <v>0</v>
      </c>
      <c r="AR481" s="61" t="n">
        <v>0</v>
      </c>
      <c r="AS481" s="61" t="n">
        <v>0</v>
      </c>
      <c r="AT481" s="61" t="n">
        <v>0</v>
      </c>
      <c r="AU481" s="61" t="str">
        <f aca="false">SUBSTITUTE(SUBSTITUTE(SUBSTITUTE(SUBSTITUTE(SUBSTITUTE(SUBSTITUTE(SUBSTITUTE(SUBSTITUTE(SUBSTITUTE(SUBSTITUTE(SUBSTITUTE(SUBSTITUTE(SUBSTITUTE(LOWER(T481&amp;""),CHAR(160),"")," ",""),".",""),"-",""),"/",""),"?",""),"_",""),",",""),"[",""),"]",""),"(",""),")",""),"*","")</f>
        <v/>
      </c>
      <c r="AV481" s="61" t="str">
        <f aca="false">SUBSTITUTE(SUBSTITUTE(SUBSTITUTE(SUBSTITUTE(SUBSTITUTE(SUBSTITUTE(SUBSTITUTE(SUBSTITUTE(SUBSTITUTE(SUBSTITUTE(SUBSTITUTE(SUBSTITUTE(SUBSTITUTE(LOWER(V481&amp;""),CHAR(160),"")," ",""),".",""),"-",""),"/",""),"?",""),"_",""),",",""),"[",""),"]",""),"(",""),")",""),"*","")</f>
        <v/>
      </c>
      <c r="AW481" s="61" t="str">
        <f aca="false">SUBSTITUTE(SUBSTITUTE(SUBSTITUTE(SUBSTITUTE(SUBSTITUTE(SUBSTITUTE(SUBSTITUTE(SUBSTITUTE(SUBSTITUTE(SUBSTITUTE(SUBSTITUTE(SUBSTITUTE(SUBSTITUTE(LOWER(Z481&amp;""),CHAR(160),"")," ",""),".",""),"-",""),"/",""),"?",""),"_",""),",",""),"[",""),"]",""),"(",""),")",""),"*","")</f>
        <v/>
      </c>
      <c r="AX481" s="61" t="str">
        <f aca="false">SUBSTITUTE(SUBSTITUTE(SUBSTITUTE(SUBSTITUTE(SUBSTITUTE(SUBSTITUTE(SUBSTITUTE(SUBSTITUTE(SUBSTITUTE(SUBSTITUTE(SUBSTITUTE(SUBSTITUTE(SUBSTITUTE(LOWER(AE481&amp;""),CHAR(160),"")," ",""),".",""),"-",""),"/",""),"?",""),"_",""),",",""),"[",""),"]",""),"(",""),")",""),"*","")</f>
        <v/>
      </c>
      <c r="AY481" s="61" t="str">
        <f aca="false">SUBSTITUTE(SUBSTITUTE(SUBSTITUTE(SUBSTITUTE(SUBSTITUTE(SUBSTITUTE(SUBSTITUTE(SUBSTITUTE(SUBSTITUTE(SUBSTITUTE(SUBSTITUTE(SUBSTITUTE(SUBSTITUTE(LOWER(W481&amp;""),CHAR(160),"")," ",""),".",""),"-",""),"/",""),"?",""),"_",""),",",""),"[",""),"]",""),"(",""),")",""),"*","")</f>
        <v/>
      </c>
      <c r="AZ481" s="61" t="str">
        <f aca="false">SUBSTITUTE(SUBSTITUTE(SUBSTITUTE(SUBSTITUTE(SUBSTITUTE(SUBSTITUTE(SUBSTITUTE(SUBSTITUTE(SUBSTITUTE(SUBSTITUTE(SUBSTITUTE(SUBSTITUTE(SUBSTITUTE(LOWER(AC481&amp;""),CHAR(160),"")," ",""),".",""),"-",""),"/",""),"?",""),"_",""),",",""),"[",""),"]",""),"(",""),")",""),"*","")</f>
        <v/>
      </c>
      <c r="BA481" s="61" t="str">
        <f aca="false">SUBSTITUTE(SUBSTITUTE(SUBSTITUTE(SUBSTITUTE(SUBSTITUTE(SUBSTITUTE(SUBSTITUTE(SUBSTITUTE(SUBSTITUTE(SUBSTITUTE(SUBSTITUTE(SUBSTITUTE(SUBSTITUTE(LOWER(AA481&amp;""),CHAR(160),"")," ",""),".",""),"-",""),"/",""),"?",""),"_",""),",",""),"[",""),"]",""),"(",""),")",""),"*","")</f>
        <v/>
      </c>
      <c r="BB481" s="61" t="str">
        <f aca="false">IF(AND(TRIM(U481)="Pass",ISNUMBER(AF481)),IF(AF481&lt;&gt;0,"INVALID – qty variance: use Fail or Pass after CA",""),"")&amp;IF(AND(TRIM(U481)="Pass after CA",ISNUMBER(AF481)),IF(AF481&lt;&gt;0,"INVALID – after the corrective action the actual qty must equal expected (update Actual)",""),"")&amp;IF(AND(TRIM(U481)="Pass",TRIM(AB481)&lt;&gt;"",TRIM(AB481)&lt;&gt;"Closed"),"INVALID – corrective action not closed: use Fail, then Pass after CA","")&amp;IF(AND(TRIM(AA481)&lt;&gt;"",TRIM(AB481)=""),"INVALID – CA status missing for the recorded corrective action","")&amp;IF(AND(TRIM(U481)="Pass after CA",OR(OR(LEN(BA481)&lt;5,ISNUMBER(MATCH(BA481,L_Placeholder,0))),TRIM(AB481)&lt;&gt;"Closed")),"INVALID – corrective action not recorded/closed","")</f>
        <v/>
      </c>
    </row>
    <row r="482" customFormat="false" ht="39.75" hidden="false" customHeight="true" outlineLevel="0" collapsed="false">
      <c r="A482" s="57" t="s">
        <v>1111</v>
      </c>
      <c r="B482" s="57" t="s">
        <v>275</v>
      </c>
      <c r="C482" s="57" t="str">
        <f aca="false">Flights!$F$19</f>
        <v>MH0003</v>
      </c>
      <c r="D482" s="58" t="n">
        <f aca="false">Flights!$D$19</f>
        <v>46320</v>
      </c>
      <c r="E482" s="57" t="str">
        <f aca="false">Flights!$G$19&amp;"-"&amp;Flights!$H$19</f>
        <v>LHR-KUL</v>
      </c>
      <c r="F482" s="57" t="str">
        <f aca="false">Flights!$K$19</f>
        <v>EY</v>
      </c>
      <c r="G482" s="57" t="s">
        <v>79</v>
      </c>
      <c r="H482" s="57" t="s">
        <v>356</v>
      </c>
      <c r="I482" s="57" t="s">
        <v>363</v>
      </c>
      <c r="J482" s="57" t="s">
        <v>364</v>
      </c>
      <c r="K482" s="67" t="s">
        <v>365</v>
      </c>
      <c r="L482" s="67" t="s">
        <v>360</v>
      </c>
      <c r="M482" s="67"/>
      <c r="N482" s="67" t="s">
        <v>361</v>
      </c>
      <c r="O482" s="67"/>
      <c r="P482" s="57" t="s">
        <v>183</v>
      </c>
      <c r="Q482" s="59" t="n">
        <f aca="false">ROUND((Flights!$AC$19)*1440,0)/1440</f>
        <v>46313.4583333333</v>
      </c>
      <c r="R482" s="59" t="n">
        <f aca="false">Q482+(IF(AND(INDEX(TZ_DSTS,MATCH(P482,TZ_STN,0))&lt;&gt;"",Q482&gt;=INDEX(TZ_DSTS,MATCH(P482,TZ_STN,0)),Q482&lt;INDEX(TZ_DSTE,MATCH(P482,TZ_STN,0))),INDEX(TZ_DST,MATCH(P482,TZ_STN,0)),INDEX(TZ_STD,MATCH(P482,TZ_STN,0))))/24</f>
        <v>46313.5</v>
      </c>
      <c r="S482" s="59" t="n">
        <f aca="false">Q482-T7EarlyD*24/24</f>
        <v>46299.4583333333</v>
      </c>
      <c r="T482" s="60"/>
      <c r="U482" s="60"/>
      <c r="V482" s="60"/>
      <c r="W482" s="61"/>
      <c r="X482" s="60"/>
      <c r="Y482" s="60"/>
      <c r="Z482" s="60"/>
      <c r="AA482" s="60"/>
      <c r="AB482" s="60"/>
      <c r="AC482" s="60"/>
      <c r="AD482" s="66"/>
      <c r="AE482" s="60"/>
      <c r="AF482" s="61" t="str">
        <f aca="false">IF(AND(ISNUMBER(X482),ISNUMBER(Y482)),Y482-X482,"")</f>
        <v/>
      </c>
      <c r="AG482" s="62" t="str">
        <f aca="false">IF(ISNUMBER(AD482),AD482-(IF(AND(INDEX(TZ_DSTS,MATCH(P482,TZ_STN,0))&lt;&gt;"",(AD482-INDEX(TZ_STD,MATCH(P482,TZ_STN,0))/24)&gt;=INDEX(TZ_DSTS,MATCH(P482,TZ_STN,0)),(AD482-INDEX(TZ_STD,MATCH(P482,TZ_STN,0))/24)&lt;INDEX(TZ_DSTE,MATCH(P482,TZ_STN,0))),INDEX(TZ_DST,MATCH(P482,TZ_STN,0)),INDEX(TZ_STD,MATCH(P482,TZ_STN,0))))/24,"")</f>
        <v/>
      </c>
      <c r="AH482" s="65" t="str">
        <f aca="false">IFERROR(IF(N482="N/A – rule","N/A – RULE",IF(TRIM(U482)="N/A",IF(AT482=0,"INVALID – N/A not permitted for this check",IF(AND(TRIM(AB482)&lt;&gt;"",TRIM(AB482)&lt;&gt;"Closed"),"INVALID – corrective action still open",IF(AND(NOT(OR(LEN(AZ482)&lt;15,ISNUMBER(MATCH(AZ482,L_Placeholder,0)))),NOT(OR(LEN(AU482)&lt;2,ISNUMBER(MATCH(AU482,L_Placeholder,0)))),NOT(OR(LEN(AX482)&lt;2,ISNUMBER(MATCH(AX482,L_Placeholder,0)))),TRIM(AE482)&lt;&gt;TRIM(T482)),"N/A – JUSTIFIED","INVALID – N/A needs a real justification (15+ chars), PIC and a different verifier"))),IF(OR(TRIM(U482)="Pass",TRIM(U482)="Pass after CA"),IF(NOT(ISNUMBER(AD482)),"INVALID – completion time missing",IF(OR(LEN(AU482)&lt;2,ISNUMBER(MATCH(AU482,L_Placeholder,0))),"INVALID – PIC missing",IF(OR(LEN(AV482)&lt;2,ISNUMBER(MATCH(AV482,L_Placeholder,0))),"INVALID – result / assessment missing",IF(OR(OR(LEN(AW482)&lt;3,ISNUMBER(MATCH(AW482,L_Placeholder,0))),SUMPRODUCT(--ISNUMBER(SEARCH(L_EvidencePhrase,AW482)))&gt;0),"INVALID – evidence missing, placeholder or not yet on file",IF(OR(LEN(AX482)&lt;2,ISNUMBER(MATCH(AX482,L_Placeholder,0))),"INVALID – verifier missing",IF(AX482=AU482,"INVALID – verifier must be someone other than the PIC",IF(AND(TRIM(U482)="Pass",SUMPRODUCT(--ISNUMBER(SEARCH(L_ResultBad,AV482)))&gt;0),"INVALID – result describes a problem: use Fail, then Pass after CA",IF(AND(AQ482=1,OR(LEN(AY482)&lt;3,ISNUMBER(MATCH(AY482,L_Placeholder,0)))),"INVALID – batch ID missing or placeholder",IF(AND(AR482=1,OR(NOT(ISNUMBER(X482)),NOT(ISNUMBER(Y482)))),"INVALID – expected/actual qty missing",IF(AND(AR482=1,OR(X482&lt;=0,Y482&lt;0)),"INVALID – expected qty must be above 0 and actual not negative",IF(BB482&lt;&gt;"",BB482,IF(AND(AS482=1,Documents!$J$19&lt;&gt;"ON FILE"),"INVALID – GLD not on file (Documents sheet)",IF(AND(AS482=2,Documents!$O$19&lt;&gt;"ON FILE"),"INVALID – menu checklist not on file (Documents sheet)",IF(AND(AS482=3,NOT(ISNUMBER(Flights!$AX$19))),"INVALID – enter carrying flight KUL departure (Flights AX)",IF(AND(AS482=3,OR(Flights!$AZ$19&gt;Flights!$AA$19,Flights!$AX$19&lt;Flights!$AA$19-3)),"INVALID – carrying flight (Flights AX) cannot arrive before this leg's STD, or is over 3 days early",IF(AG482&gt;AsOfUTC,"INVALID – completion time is in the future",IF(AND(ISNUMBER(S482),AG482&lt;S482),IF(H482="Physical uplift","INVALID – before uplift window (cannot confirm loading)","INVALID – before valid window"),IF(AG482&gt;Flights!$AA$19,"INVALID – completed after departure (cannot establish readiness)",IF(AND(H482="Preparation",AG482&gt;IF(ISNUMBER(Flights!$BA$19),MIN(Flights!$BA$19,Flights!$AA$19),Flights!$AA$19)),"INVALID – completed after loading / departure (cannot establish readiness)",IF(AND(H482="Physical uplift",AG482&gt;Q482),"INVALID – recorded after the loading flight departed",IF(AG482&gt;Q482,"COMPLETE – LATE","COMPLETE"))))))))))))))))))))),IF(TRIM(U482)="Fail","FAIL – DISCREPANCY",IF(AND(TRIM(U482)&lt;&gt;"",TRIM(U482)&lt;&gt;"Not started",TRIM(U482)&lt;&gt;"In progress"),"INVALID – unrecognised status (use the list)",IF(AsOfUTC&gt;Q482,"OVERDUE",IF(N482="Clarification required","OPEN – CLARIFICATION","OPEN"))))))),"INVALID – error value in an input cell")</f>
        <v>OPEN</v>
      </c>
      <c r="AI482" s="61" t="n">
        <f aca="false">IF(OR(AH482="N/A – RULE",AH482="N/A – JUSTIFIED"),0,1)</f>
        <v>1</v>
      </c>
      <c r="AJ482" s="61" t="n">
        <f aca="false">IF(LEFT(AH482,8)="COMPLETE",1,0)</f>
        <v>0</v>
      </c>
      <c r="AK482" s="61" t="n">
        <f aca="false">IF(AND(AI482=1,AJ482=0,AsOfUTC&gt;Q482),1,0)</f>
        <v>0</v>
      </c>
      <c r="AL482" s="61" t="n">
        <f aca="false">IFERROR(IF(AND(AI482=1,OR(TRIM(U482)="Fail",AND(TRIM(AB482)&lt;&gt;"",TRIM(AB482)&lt;&gt;"Closed"),AND(ISNUMBER(AF482),AF482&lt;&gt;0,TRIM(U482)&lt;&gt;"Pass after CA"))),1,0),1)</f>
        <v>0</v>
      </c>
      <c r="AM482" s="61" t="n">
        <f aca="false">IF(LEFT(AH482,7)="INVALID",1,0)</f>
        <v>0</v>
      </c>
      <c r="AN482" s="61" t="n">
        <f aca="false">IF(AND(N482="Clarification required",AI482=1,AJ482=0),1,0)</f>
        <v>0</v>
      </c>
      <c r="AO482" s="61" t="str">
        <f aca="false">IF(AK482=1,SUM(AK$5:AK482),"")</f>
        <v/>
      </c>
      <c r="AP482" s="61" t="str">
        <f aca="false">IF(AL482=1,SUM(AL$5:AL482),"")</f>
        <v/>
      </c>
      <c r="AQ482" s="61" t="n">
        <v>0</v>
      </c>
      <c r="AR482" s="61" t="n">
        <v>0</v>
      </c>
      <c r="AS482" s="61" t="n">
        <v>0</v>
      </c>
      <c r="AT482" s="61" t="n">
        <v>0</v>
      </c>
      <c r="AU482" s="61" t="str">
        <f aca="false">SUBSTITUTE(SUBSTITUTE(SUBSTITUTE(SUBSTITUTE(SUBSTITUTE(SUBSTITUTE(SUBSTITUTE(SUBSTITUTE(SUBSTITUTE(SUBSTITUTE(SUBSTITUTE(SUBSTITUTE(SUBSTITUTE(LOWER(T482&amp;""),CHAR(160),"")," ",""),".",""),"-",""),"/",""),"?",""),"_",""),",",""),"[",""),"]",""),"(",""),")",""),"*","")</f>
        <v/>
      </c>
      <c r="AV482" s="61" t="str">
        <f aca="false">SUBSTITUTE(SUBSTITUTE(SUBSTITUTE(SUBSTITUTE(SUBSTITUTE(SUBSTITUTE(SUBSTITUTE(SUBSTITUTE(SUBSTITUTE(SUBSTITUTE(SUBSTITUTE(SUBSTITUTE(SUBSTITUTE(LOWER(V482&amp;""),CHAR(160),"")," ",""),".",""),"-",""),"/",""),"?",""),"_",""),",",""),"[",""),"]",""),"(",""),")",""),"*","")</f>
        <v/>
      </c>
      <c r="AW482" s="61" t="str">
        <f aca="false">SUBSTITUTE(SUBSTITUTE(SUBSTITUTE(SUBSTITUTE(SUBSTITUTE(SUBSTITUTE(SUBSTITUTE(SUBSTITUTE(SUBSTITUTE(SUBSTITUTE(SUBSTITUTE(SUBSTITUTE(SUBSTITUTE(LOWER(Z482&amp;""),CHAR(160),"")," ",""),".",""),"-",""),"/",""),"?",""),"_",""),",",""),"[",""),"]",""),"(",""),")",""),"*","")</f>
        <v/>
      </c>
      <c r="AX482" s="61" t="str">
        <f aca="false">SUBSTITUTE(SUBSTITUTE(SUBSTITUTE(SUBSTITUTE(SUBSTITUTE(SUBSTITUTE(SUBSTITUTE(SUBSTITUTE(SUBSTITUTE(SUBSTITUTE(SUBSTITUTE(SUBSTITUTE(SUBSTITUTE(LOWER(AE482&amp;""),CHAR(160),"")," ",""),".",""),"-",""),"/",""),"?",""),"_",""),",",""),"[",""),"]",""),"(",""),")",""),"*","")</f>
        <v/>
      </c>
      <c r="AY482" s="61" t="str">
        <f aca="false">SUBSTITUTE(SUBSTITUTE(SUBSTITUTE(SUBSTITUTE(SUBSTITUTE(SUBSTITUTE(SUBSTITUTE(SUBSTITUTE(SUBSTITUTE(SUBSTITUTE(SUBSTITUTE(SUBSTITUTE(SUBSTITUTE(LOWER(W482&amp;""),CHAR(160),"")," ",""),".",""),"-",""),"/",""),"?",""),"_",""),",",""),"[",""),"]",""),"(",""),")",""),"*","")</f>
        <v/>
      </c>
      <c r="AZ482" s="61" t="str">
        <f aca="false">SUBSTITUTE(SUBSTITUTE(SUBSTITUTE(SUBSTITUTE(SUBSTITUTE(SUBSTITUTE(SUBSTITUTE(SUBSTITUTE(SUBSTITUTE(SUBSTITUTE(SUBSTITUTE(SUBSTITUTE(SUBSTITUTE(LOWER(AC482&amp;""),CHAR(160),"")," ",""),".",""),"-",""),"/",""),"?",""),"_",""),",",""),"[",""),"]",""),"(",""),")",""),"*","")</f>
        <v/>
      </c>
      <c r="BA482" s="61" t="str">
        <f aca="false">SUBSTITUTE(SUBSTITUTE(SUBSTITUTE(SUBSTITUTE(SUBSTITUTE(SUBSTITUTE(SUBSTITUTE(SUBSTITUTE(SUBSTITUTE(SUBSTITUTE(SUBSTITUTE(SUBSTITUTE(SUBSTITUTE(LOWER(AA482&amp;""),CHAR(160),"")," ",""),".",""),"-",""),"/",""),"?",""),"_",""),",",""),"[",""),"]",""),"(",""),")",""),"*","")</f>
        <v/>
      </c>
      <c r="BB482" s="61" t="str">
        <f aca="false">IF(AND(TRIM(U482)="Pass",ISNUMBER(AF482)),IF(AF482&lt;&gt;0,"INVALID – qty variance: use Fail or Pass after CA",""),"")&amp;IF(AND(TRIM(U482)="Pass after CA",ISNUMBER(AF482)),IF(AF482&lt;&gt;0,"INVALID – after the corrective action the actual qty must equal expected (update Actual)",""),"")&amp;IF(AND(TRIM(U482)="Pass",TRIM(AB482)&lt;&gt;"",TRIM(AB482)&lt;&gt;"Closed"),"INVALID – corrective action not closed: use Fail, then Pass after CA","")&amp;IF(AND(TRIM(AA482)&lt;&gt;"",TRIM(AB482)=""),"INVALID – CA status missing for the recorded corrective action","")&amp;IF(AND(TRIM(U482)="Pass after CA",OR(OR(LEN(BA482)&lt;5,ISNUMBER(MATCH(BA482,L_Placeholder,0))),TRIM(AB482)&lt;&gt;"Closed")),"INVALID – corrective action not recorded/closed","")</f>
        <v/>
      </c>
    </row>
    <row r="483" customFormat="false" ht="41.25" hidden="false" customHeight="true" outlineLevel="0" collapsed="false">
      <c r="A483" s="57" t="s">
        <v>1112</v>
      </c>
      <c r="B483" s="57" t="s">
        <v>275</v>
      </c>
      <c r="C483" s="57" t="str">
        <f aca="false">Flights!$F$19</f>
        <v>MH0003</v>
      </c>
      <c r="D483" s="58" t="n">
        <f aca="false">Flights!$D$19</f>
        <v>46320</v>
      </c>
      <c r="E483" s="57" t="str">
        <f aca="false">Flights!$G$19&amp;"-"&amp;Flights!$H$19</f>
        <v>LHR-KUL</v>
      </c>
      <c r="F483" s="57" t="str">
        <f aca="false">Flights!$K$19</f>
        <v>EY</v>
      </c>
      <c r="G483" s="57" t="s">
        <v>79</v>
      </c>
      <c r="H483" s="57" t="s">
        <v>356</v>
      </c>
      <c r="I483" s="57" t="s">
        <v>367</v>
      </c>
      <c r="J483" s="57" t="s">
        <v>368</v>
      </c>
      <c r="K483" s="67" t="s">
        <v>369</v>
      </c>
      <c r="L483" s="67" t="s">
        <v>360</v>
      </c>
      <c r="M483" s="67"/>
      <c r="N483" s="67" t="str">
        <f aca="false">IF(TRIM(Flights!$L$19)="A339","Required","N/A – rule")</f>
        <v>N/A – rule</v>
      </c>
      <c r="O483" s="67" t="s">
        <v>370</v>
      </c>
      <c r="P483" s="57" t="s">
        <v>183</v>
      </c>
      <c r="Q483" s="59" t="n">
        <f aca="false">ROUND((Flights!$AC$19)*1440,0)/1440</f>
        <v>46313.4583333333</v>
      </c>
      <c r="R483" s="59" t="n">
        <f aca="false">Q483+(IF(AND(INDEX(TZ_DSTS,MATCH(P483,TZ_STN,0))&lt;&gt;"",Q483&gt;=INDEX(TZ_DSTS,MATCH(P483,TZ_STN,0)),Q483&lt;INDEX(TZ_DSTE,MATCH(P483,TZ_STN,0))),INDEX(TZ_DST,MATCH(P483,TZ_STN,0)),INDEX(TZ_STD,MATCH(P483,TZ_STN,0))))/24</f>
        <v>46313.5</v>
      </c>
      <c r="S483" s="59" t="n">
        <f aca="false">Q483-T7EarlyD*24/24</f>
        <v>46299.4583333333</v>
      </c>
      <c r="T483" s="60"/>
      <c r="U483" s="60"/>
      <c r="V483" s="60"/>
      <c r="W483" s="61"/>
      <c r="X483" s="60"/>
      <c r="Y483" s="60"/>
      <c r="Z483" s="60"/>
      <c r="AA483" s="60"/>
      <c r="AB483" s="60"/>
      <c r="AC483" s="60"/>
      <c r="AD483" s="66"/>
      <c r="AE483" s="60"/>
      <c r="AF483" s="61" t="str">
        <f aca="false">IF(AND(ISNUMBER(X483),ISNUMBER(Y483)),Y483-X483,"")</f>
        <v/>
      </c>
      <c r="AG483" s="62" t="str">
        <f aca="false">IF(ISNUMBER(AD483),AD483-(IF(AND(INDEX(TZ_DSTS,MATCH(P483,TZ_STN,0))&lt;&gt;"",(AD483-INDEX(TZ_STD,MATCH(P483,TZ_STN,0))/24)&gt;=INDEX(TZ_DSTS,MATCH(P483,TZ_STN,0)),(AD483-INDEX(TZ_STD,MATCH(P483,TZ_STN,0))/24)&lt;INDEX(TZ_DSTE,MATCH(P483,TZ_STN,0))),INDEX(TZ_DST,MATCH(P483,TZ_STN,0)),INDEX(TZ_STD,MATCH(P483,TZ_STN,0))))/24,"")</f>
        <v/>
      </c>
      <c r="AH483" s="65" t="str">
        <f aca="false">IFERROR(IF(N483="N/A – rule","N/A – RULE",IF(TRIM(U483)="N/A",IF(AT483=0,"INVALID – N/A not permitted for this check",IF(AND(TRIM(AB483)&lt;&gt;"",TRIM(AB483)&lt;&gt;"Closed"),"INVALID – corrective action still open",IF(AND(NOT(OR(LEN(AZ483)&lt;15,ISNUMBER(MATCH(AZ483,L_Placeholder,0)))),NOT(OR(LEN(AU483)&lt;2,ISNUMBER(MATCH(AU483,L_Placeholder,0)))),NOT(OR(LEN(AX483)&lt;2,ISNUMBER(MATCH(AX483,L_Placeholder,0)))),TRIM(AE483)&lt;&gt;TRIM(T483)),"N/A – JUSTIFIED","INVALID – N/A needs a real justification (15+ chars), PIC and a different verifier"))),IF(OR(TRIM(U483)="Pass",TRIM(U483)="Pass after CA"),IF(NOT(ISNUMBER(AD483)),"INVALID – completion time missing",IF(OR(LEN(AU483)&lt;2,ISNUMBER(MATCH(AU483,L_Placeholder,0))),"INVALID – PIC missing",IF(OR(LEN(AV483)&lt;2,ISNUMBER(MATCH(AV483,L_Placeholder,0))),"INVALID – result / assessment missing",IF(OR(OR(LEN(AW483)&lt;3,ISNUMBER(MATCH(AW483,L_Placeholder,0))),SUMPRODUCT(--ISNUMBER(SEARCH(L_EvidencePhrase,AW483)))&gt;0),"INVALID – evidence missing, placeholder or not yet on file",IF(OR(LEN(AX483)&lt;2,ISNUMBER(MATCH(AX483,L_Placeholder,0))),"INVALID – verifier missing",IF(AX483=AU483,"INVALID – verifier must be someone other than the PIC",IF(AND(TRIM(U483)="Pass",SUMPRODUCT(--ISNUMBER(SEARCH(L_ResultBad,AV483)))&gt;0),"INVALID – result describes a problem: use Fail, then Pass after CA",IF(AND(AQ483=1,OR(LEN(AY483)&lt;3,ISNUMBER(MATCH(AY483,L_Placeholder,0)))),"INVALID – batch ID missing or placeholder",IF(AND(AR483=1,OR(NOT(ISNUMBER(X483)),NOT(ISNUMBER(Y483)))),"INVALID – expected/actual qty missing",IF(AND(AR483=1,OR(X483&lt;=0,Y483&lt;0)),"INVALID – expected qty must be above 0 and actual not negative",IF(BB483&lt;&gt;"",BB483,IF(AND(AS483=1,Documents!$J$19&lt;&gt;"ON FILE"),"INVALID – GLD not on file (Documents sheet)",IF(AND(AS483=2,Documents!$O$19&lt;&gt;"ON FILE"),"INVALID – menu checklist not on file (Documents sheet)",IF(AND(AS483=3,NOT(ISNUMBER(Flights!$AX$19))),"INVALID – enter carrying flight KUL departure (Flights AX)",IF(AND(AS483=3,OR(Flights!$AZ$19&gt;Flights!$AA$19,Flights!$AX$19&lt;Flights!$AA$19-3)),"INVALID – carrying flight (Flights AX) cannot arrive before this leg's STD, or is over 3 days early",IF(AG483&gt;AsOfUTC,"INVALID – completion time is in the future",IF(AND(ISNUMBER(S483),AG483&lt;S483),IF(H483="Physical uplift","INVALID – before uplift window (cannot confirm loading)","INVALID – before valid window"),IF(AG483&gt;Flights!$AA$19,"INVALID – completed after departure (cannot establish readiness)",IF(AND(H483="Preparation",AG483&gt;IF(ISNUMBER(Flights!$BA$19),MIN(Flights!$BA$19,Flights!$AA$19),Flights!$AA$19)),"INVALID – completed after loading / departure (cannot establish readiness)",IF(AND(H483="Physical uplift",AG483&gt;Q483),"INVALID – recorded after the loading flight departed",IF(AG483&gt;Q483,"COMPLETE – LATE","COMPLETE"))))))))))))))))))))),IF(TRIM(U483)="Fail","FAIL – DISCREPANCY",IF(AND(TRIM(U483)&lt;&gt;"",TRIM(U483)&lt;&gt;"Not started",TRIM(U483)&lt;&gt;"In progress"),"INVALID – unrecognised status (use the list)",IF(AsOfUTC&gt;Q483,"OVERDUE",IF(N483="Clarification required","OPEN – CLARIFICATION","OPEN"))))))),"INVALID – error value in an input cell")</f>
        <v>N/A – RULE</v>
      </c>
      <c r="AI483" s="61" t="n">
        <f aca="false">IF(OR(AH483="N/A – RULE",AH483="N/A – JUSTIFIED"),0,1)</f>
        <v>0</v>
      </c>
      <c r="AJ483" s="61" t="n">
        <f aca="false">IF(LEFT(AH483,8)="COMPLETE",1,0)</f>
        <v>0</v>
      </c>
      <c r="AK483" s="61" t="n">
        <f aca="false">IF(AND(AI483=1,AJ483=0,AsOfUTC&gt;Q483),1,0)</f>
        <v>0</v>
      </c>
      <c r="AL483" s="61" t="n">
        <f aca="false">IFERROR(IF(AND(AI483=1,OR(TRIM(U483)="Fail",AND(TRIM(AB483)&lt;&gt;"",TRIM(AB483)&lt;&gt;"Closed"),AND(ISNUMBER(AF483),AF483&lt;&gt;0,TRIM(U483)&lt;&gt;"Pass after CA"))),1,0),1)</f>
        <v>0</v>
      </c>
      <c r="AM483" s="61" t="n">
        <f aca="false">IF(LEFT(AH483,7)="INVALID",1,0)</f>
        <v>0</v>
      </c>
      <c r="AN483" s="61" t="n">
        <f aca="false">IF(AND(N483="Clarification required",AI483=1,AJ483=0),1,0)</f>
        <v>0</v>
      </c>
      <c r="AO483" s="61" t="str">
        <f aca="false">IF(AK483=1,SUM(AK$5:AK483),"")</f>
        <v/>
      </c>
      <c r="AP483" s="61" t="str">
        <f aca="false">IF(AL483=1,SUM(AL$5:AL483),"")</f>
        <v/>
      </c>
      <c r="AQ483" s="61" t="n">
        <v>0</v>
      </c>
      <c r="AR483" s="61" t="n">
        <v>0</v>
      </c>
      <c r="AS483" s="61" t="n">
        <v>0</v>
      </c>
      <c r="AT483" s="61" t="n">
        <v>0</v>
      </c>
      <c r="AU483" s="61" t="str">
        <f aca="false">SUBSTITUTE(SUBSTITUTE(SUBSTITUTE(SUBSTITUTE(SUBSTITUTE(SUBSTITUTE(SUBSTITUTE(SUBSTITUTE(SUBSTITUTE(SUBSTITUTE(SUBSTITUTE(SUBSTITUTE(SUBSTITUTE(LOWER(T483&amp;""),CHAR(160),"")," ",""),".",""),"-",""),"/",""),"?",""),"_",""),",",""),"[",""),"]",""),"(",""),")",""),"*","")</f>
        <v/>
      </c>
      <c r="AV483" s="61" t="str">
        <f aca="false">SUBSTITUTE(SUBSTITUTE(SUBSTITUTE(SUBSTITUTE(SUBSTITUTE(SUBSTITUTE(SUBSTITUTE(SUBSTITUTE(SUBSTITUTE(SUBSTITUTE(SUBSTITUTE(SUBSTITUTE(SUBSTITUTE(LOWER(V483&amp;""),CHAR(160),"")," ",""),".",""),"-",""),"/",""),"?",""),"_",""),",",""),"[",""),"]",""),"(",""),")",""),"*","")</f>
        <v/>
      </c>
      <c r="AW483" s="61" t="str">
        <f aca="false">SUBSTITUTE(SUBSTITUTE(SUBSTITUTE(SUBSTITUTE(SUBSTITUTE(SUBSTITUTE(SUBSTITUTE(SUBSTITUTE(SUBSTITUTE(SUBSTITUTE(SUBSTITUTE(SUBSTITUTE(SUBSTITUTE(LOWER(Z483&amp;""),CHAR(160),"")," ",""),".",""),"-",""),"/",""),"?",""),"_",""),",",""),"[",""),"]",""),"(",""),")",""),"*","")</f>
        <v/>
      </c>
      <c r="AX483" s="61" t="str">
        <f aca="false">SUBSTITUTE(SUBSTITUTE(SUBSTITUTE(SUBSTITUTE(SUBSTITUTE(SUBSTITUTE(SUBSTITUTE(SUBSTITUTE(SUBSTITUTE(SUBSTITUTE(SUBSTITUTE(SUBSTITUTE(SUBSTITUTE(LOWER(AE483&amp;""),CHAR(160),"")," ",""),".",""),"-",""),"/",""),"?",""),"_",""),",",""),"[",""),"]",""),"(",""),")",""),"*","")</f>
        <v/>
      </c>
      <c r="AY483" s="61" t="str">
        <f aca="false">SUBSTITUTE(SUBSTITUTE(SUBSTITUTE(SUBSTITUTE(SUBSTITUTE(SUBSTITUTE(SUBSTITUTE(SUBSTITUTE(SUBSTITUTE(SUBSTITUTE(SUBSTITUTE(SUBSTITUTE(SUBSTITUTE(LOWER(W483&amp;""),CHAR(160),"")," ",""),".",""),"-",""),"/",""),"?",""),"_",""),",",""),"[",""),"]",""),"(",""),")",""),"*","")</f>
        <v/>
      </c>
      <c r="AZ483" s="61" t="str">
        <f aca="false">SUBSTITUTE(SUBSTITUTE(SUBSTITUTE(SUBSTITUTE(SUBSTITUTE(SUBSTITUTE(SUBSTITUTE(SUBSTITUTE(SUBSTITUTE(SUBSTITUTE(SUBSTITUTE(SUBSTITUTE(SUBSTITUTE(LOWER(AC483&amp;""),CHAR(160),"")," ",""),".",""),"-",""),"/",""),"?",""),"_",""),",",""),"[",""),"]",""),"(",""),")",""),"*","")</f>
        <v/>
      </c>
      <c r="BA483" s="61" t="str">
        <f aca="false">SUBSTITUTE(SUBSTITUTE(SUBSTITUTE(SUBSTITUTE(SUBSTITUTE(SUBSTITUTE(SUBSTITUTE(SUBSTITUTE(SUBSTITUTE(SUBSTITUTE(SUBSTITUTE(SUBSTITUTE(SUBSTITUTE(LOWER(AA483&amp;""),CHAR(160),"")," ",""),".",""),"-",""),"/",""),"?",""),"_",""),",",""),"[",""),"]",""),"(",""),")",""),"*","")</f>
        <v/>
      </c>
      <c r="BB483" s="61" t="str">
        <f aca="false">IF(AND(TRIM(U483)="Pass",ISNUMBER(AF483)),IF(AF483&lt;&gt;0,"INVALID – qty variance: use Fail or Pass after CA",""),"")&amp;IF(AND(TRIM(U483)="Pass after CA",ISNUMBER(AF483)),IF(AF483&lt;&gt;0,"INVALID – after the corrective action the actual qty must equal expected (update Actual)",""),"")&amp;IF(AND(TRIM(U483)="Pass",TRIM(AB483)&lt;&gt;"",TRIM(AB483)&lt;&gt;"Closed"),"INVALID – corrective action not closed: use Fail, then Pass after CA","")&amp;IF(AND(TRIM(AA483)&lt;&gt;"",TRIM(AB483)=""),"INVALID – CA status missing for the recorded corrective action","")&amp;IF(AND(TRIM(U483)="Pass after CA",OR(OR(LEN(BA483)&lt;5,ISNUMBER(MATCH(BA483,L_Placeholder,0))),TRIM(AB483)&lt;&gt;"Closed")),"INVALID – corrective action not recorded/closed","")</f>
        <v/>
      </c>
    </row>
    <row r="484" customFormat="false" ht="39.75" hidden="false" customHeight="true" outlineLevel="0" collapsed="false">
      <c r="A484" s="57" t="s">
        <v>1113</v>
      </c>
      <c r="B484" s="57" t="s">
        <v>275</v>
      </c>
      <c r="C484" s="57" t="str">
        <f aca="false">Flights!$F$19</f>
        <v>MH0003</v>
      </c>
      <c r="D484" s="58" t="n">
        <f aca="false">Flights!$D$19</f>
        <v>46320</v>
      </c>
      <c r="E484" s="57" t="str">
        <f aca="false">Flights!$G$19&amp;"-"&amp;Flights!$H$19</f>
        <v>LHR-KUL</v>
      </c>
      <c r="F484" s="57" t="str">
        <f aca="false">Flights!$K$19</f>
        <v>EY</v>
      </c>
      <c r="G484" s="57" t="s">
        <v>79</v>
      </c>
      <c r="H484" s="57" t="s">
        <v>356</v>
      </c>
      <c r="I484" s="57" t="s">
        <v>372</v>
      </c>
      <c r="J484" s="57" t="s">
        <v>373</v>
      </c>
      <c r="K484" s="67" t="s">
        <v>374</v>
      </c>
      <c r="L484" s="67" t="s">
        <v>360</v>
      </c>
      <c r="M484" s="67"/>
      <c r="N484" s="67" t="s">
        <v>361</v>
      </c>
      <c r="O484" s="67"/>
      <c r="P484" s="57" t="s">
        <v>183</v>
      </c>
      <c r="Q484" s="59" t="n">
        <f aca="false">ROUND((Flights!$AC$19)*1440,0)/1440</f>
        <v>46313.4583333333</v>
      </c>
      <c r="R484" s="59" t="n">
        <f aca="false">Q484+(IF(AND(INDEX(TZ_DSTS,MATCH(P484,TZ_STN,0))&lt;&gt;"",Q484&gt;=INDEX(TZ_DSTS,MATCH(P484,TZ_STN,0)),Q484&lt;INDEX(TZ_DSTE,MATCH(P484,TZ_STN,0))),INDEX(TZ_DST,MATCH(P484,TZ_STN,0)),INDEX(TZ_STD,MATCH(P484,TZ_STN,0))))/24</f>
        <v>46313.5</v>
      </c>
      <c r="S484" s="59" t="n">
        <f aca="false">Q484-T7EarlyD*24/24</f>
        <v>46299.4583333333</v>
      </c>
      <c r="T484" s="60"/>
      <c r="U484" s="60"/>
      <c r="V484" s="60"/>
      <c r="W484" s="61"/>
      <c r="X484" s="60"/>
      <c r="Y484" s="60"/>
      <c r="Z484" s="60"/>
      <c r="AA484" s="60"/>
      <c r="AB484" s="60"/>
      <c r="AC484" s="60"/>
      <c r="AD484" s="66"/>
      <c r="AE484" s="60"/>
      <c r="AF484" s="61" t="str">
        <f aca="false">IF(AND(ISNUMBER(X484),ISNUMBER(Y484)),Y484-X484,"")</f>
        <v/>
      </c>
      <c r="AG484" s="62" t="str">
        <f aca="false">IF(ISNUMBER(AD484),AD484-(IF(AND(INDEX(TZ_DSTS,MATCH(P484,TZ_STN,0))&lt;&gt;"",(AD484-INDEX(TZ_STD,MATCH(P484,TZ_STN,0))/24)&gt;=INDEX(TZ_DSTS,MATCH(P484,TZ_STN,0)),(AD484-INDEX(TZ_STD,MATCH(P484,TZ_STN,0))/24)&lt;INDEX(TZ_DSTE,MATCH(P484,TZ_STN,0))),INDEX(TZ_DST,MATCH(P484,TZ_STN,0)),INDEX(TZ_STD,MATCH(P484,TZ_STN,0))))/24,"")</f>
        <v/>
      </c>
      <c r="AH484" s="65" t="str">
        <f aca="false">IFERROR(IF(N484="N/A – rule","N/A – RULE",IF(TRIM(U484)="N/A",IF(AT484=0,"INVALID – N/A not permitted for this check",IF(AND(TRIM(AB484)&lt;&gt;"",TRIM(AB484)&lt;&gt;"Closed"),"INVALID – corrective action still open",IF(AND(NOT(OR(LEN(AZ484)&lt;15,ISNUMBER(MATCH(AZ484,L_Placeholder,0)))),NOT(OR(LEN(AU484)&lt;2,ISNUMBER(MATCH(AU484,L_Placeholder,0)))),NOT(OR(LEN(AX484)&lt;2,ISNUMBER(MATCH(AX484,L_Placeholder,0)))),TRIM(AE484)&lt;&gt;TRIM(T484)),"N/A – JUSTIFIED","INVALID – N/A needs a real justification (15+ chars), PIC and a different verifier"))),IF(OR(TRIM(U484)="Pass",TRIM(U484)="Pass after CA"),IF(NOT(ISNUMBER(AD484)),"INVALID – completion time missing",IF(OR(LEN(AU484)&lt;2,ISNUMBER(MATCH(AU484,L_Placeholder,0))),"INVALID – PIC missing",IF(OR(LEN(AV484)&lt;2,ISNUMBER(MATCH(AV484,L_Placeholder,0))),"INVALID – result / assessment missing",IF(OR(OR(LEN(AW484)&lt;3,ISNUMBER(MATCH(AW484,L_Placeholder,0))),SUMPRODUCT(--ISNUMBER(SEARCH(L_EvidencePhrase,AW484)))&gt;0),"INVALID – evidence missing, placeholder or not yet on file",IF(OR(LEN(AX484)&lt;2,ISNUMBER(MATCH(AX484,L_Placeholder,0))),"INVALID – verifier missing",IF(AX484=AU484,"INVALID – verifier must be someone other than the PIC",IF(AND(TRIM(U484)="Pass",SUMPRODUCT(--ISNUMBER(SEARCH(L_ResultBad,AV484)))&gt;0),"INVALID – result describes a problem: use Fail, then Pass after CA",IF(AND(AQ484=1,OR(LEN(AY484)&lt;3,ISNUMBER(MATCH(AY484,L_Placeholder,0)))),"INVALID – batch ID missing or placeholder",IF(AND(AR484=1,OR(NOT(ISNUMBER(X484)),NOT(ISNUMBER(Y484)))),"INVALID – expected/actual qty missing",IF(AND(AR484=1,OR(X484&lt;=0,Y484&lt;0)),"INVALID – expected qty must be above 0 and actual not negative",IF(BB484&lt;&gt;"",BB484,IF(AND(AS484=1,Documents!$J$19&lt;&gt;"ON FILE"),"INVALID – GLD not on file (Documents sheet)",IF(AND(AS484=2,Documents!$O$19&lt;&gt;"ON FILE"),"INVALID – menu checklist not on file (Documents sheet)",IF(AND(AS484=3,NOT(ISNUMBER(Flights!$AX$19))),"INVALID – enter carrying flight KUL departure (Flights AX)",IF(AND(AS484=3,OR(Flights!$AZ$19&gt;Flights!$AA$19,Flights!$AX$19&lt;Flights!$AA$19-3)),"INVALID – carrying flight (Flights AX) cannot arrive before this leg's STD, or is over 3 days early",IF(AG484&gt;AsOfUTC,"INVALID – completion time is in the future",IF(AND(ISNUMBER(S484),AG484&lt;S484),IF(H484="Physical uplift","INVALID – before uplift window (cannot confirm loading)","INVALID – before valid window"),IF(AG484&gt;Flights!$AA$19,"INVALID – completed after departure (cannot establish readiness)",IF(AND(H484="Preparation",AG484&gt;IF(ISNUMBER(Flights!$BA$19),MIN(Flights!$BA$19,Flights!$AA$19),Flights!$AA$19)),"INVALID – completed after loading / departure (cannot establish readiness)",IF(AND(H484="Physical uplift",AG484&gt;Q484),"INVALID – recorded after the loading flight departed",IF(AG484&gt;Q484,"COMPLETE – LATE","COMPLETE"))))))))))))))))))))),IF(TRIM(U484)="Fail","FAIL – DISCREPANCY",IF(AND(TRIM(U484)&lt;&gt;"",TRIM(U484)&lt;&gt;"Not started",TRIM(U484)&lt;&gt;"In progress"),"INVALID – unrecognised status (use the list)",IF(AsOfUTC&gt;Q484,"OVERDUE",IF(N484="Clarification required","OPEN – CLARIFICATION","OPEN"))))))),"INVALID – error value in an input cell")</f>
        <v>OPEN</v>
      </c>
      <c r="AI484" s="61" t="n">
        <f aca="false">IF(OR(AH484="N/A – RULE",AH484="N/A – JUSTIFIED"),0,1)</f>
        <v>1</v>
      </c>
      <c r="AJ484" s="61" t="n">
        <f aca="false">IF(LEFT(AH484,8)="COMPLETE",1,0)</f>
        <v>0</v>
      </c>
      <c r="AK484" s="61" t="n">
        <f aca="false">IF(AND(AI484=1,AJ484=0,AsOfUTC&gt;Q484),1,0)</f>
        <v>0</v>
      </c>
      <c r="AL484" s="61" t="n">
        <f aca="false">IFERROR(IF(AND(AI484=1,OR(TRIM(U484)="Fail",AND(TRIM(AB484)&lt;&gt;"",TRIM(AB484)&lt;&gt;"Closed"),AND(ISNUMBER(AF484),AF484&lt;&gt;0,TRIM(U484)&lt;&gt;"Pass after CA"))),1,0),1)</f>
        <v>0</v>
      </c>
      <c r="AM484" s="61" t="n">
        <f aca="false">IF(LEFT(AH484,7)="INVALID",1,0)</f>
        <v>0</v>
      </c>
      <c r="AN484" s="61" t="n">
        <f aca="false">IF(AND(N484="Clarification required",AI484=1,AJ484=0),1,0)</f>
        <v>0</v>
      </c>
      <c r="AO484" s="61" t="str">
        <f aca="false">IF(AK484=1,SUM(AK$5:AK484),"")</f>
        <v/>
      </c>
      <c r="AP484" s="61" t="str">
        <f aca="false">IF(AL484=1,SUM(AL$5:AL484),"")</f>
        <v/>
      </c>
      <c r="AQ484" s="61" t="n">
        <v>0</v>
      </c>
      <c r="AR484" s="61" t="n">
        <v>0</v>
      </c>
      <c r="AS484" s="61" t="n">
        <v>0</v>
      </c>
      <c r="AT484" s="61" t="n">
        <v>0</v>
      </c>
      <c r="AU484" s="61" t="str">
        <f aca="false">SUBSTITUTE(SUBSTITUTE(SUBSTITUTE(SUBSTITUTE(SUBSTITUTE(SUBSTITUTE(SUBSTITUTE(SUBSTITUTE(SUBSTITUTE(SUBSTITUTE(SUBSTITUTE(SUBSTITUTE(SUBSTITUTE(LOWER(T484&amp;""),CHAR(160),"")," ",""),".",""),"-",""),"/",""),"?",""),"_",""),",",""),"[",""),"]",""),"(",""),")",""),"*","")</f>
        <v/>
      </c>
      <c r="AV484" s="61" t="str">
        <f aca="false">SUBSTITUTE(SUBSTITUTE(SUBSTITUTE(SUBSTITUTE(SUBSTITUTE(SUBSTITUTE(SUBSTITUTE(SUBSTITUTE(SUBSTITUTE(SUBSTITUTE(SUBSTITUTE(SUBSTITUTE(SUBSTITUTE(LOWER(V484&amp;""),CHAR(160),"")," ",""),".",""),"-",""),"/",""),"?",""),"_",""),",",""),"[",""),"]",""),"(",""),")",""),"*","")</f>
        <v/>
      </c>
      <c r="AW484" s="61" t="str">
        <f aca="false">SUBSTITUTE(SUBSTITUTE(SUBSTITUTE(SUBSTITUTE(SUBSTITUTE(SUBSTITUTE(SUBSTITUTE(SUBSTITUTE(SUBSTITUTE(SUBSTITUTE(SUBSTITUTE(SUBSTITUTE(SUBSTITUTE(LOWER(Z484&amp;""),CHAR(160),"")," ",""),".",""),"-",""),"/",""),"?",""),"_",""),",",""),"[",""),"]",""),"(",""),")",""),"*","")</f>
        <v/>
      </c>
      <c r="AX484" s="61" t="str">
        <f aca="false">SUBSTITUTE(SUBSTITUTE(SUBSTITUTE(SUBSTITUTE(SUBSTITUTE(SUBSTITUTE(SUBSTITUTE(SUBSTITUTE(SUBSTITUTE(SUBSTITUTE(SUBSTITUTE(SUBSTITUTE(SUBSTITUTE(LOWER(AE484&amp;""),CHAR(160),"")," ",""),".",""),"-",""),"/",""),"?",""),"_",""),",",""),"[",""),"]",""),"(",""),")",""),"*","")</f>
        <v/>
      </c>
      <c r="AY484" s="61" t="str">
        <f aca="false">SUBSTITUTE(SUBSTITUTE(SUBSTITUTE(SUBSTITUTE(SUBSTITUTE(SUBSTITUTE(SUBSTITUTE(SUBSTITUTE(SUBSTITUTE(SUBSTITUTE(SUBSTITUTE(SUBSTITUTE(SUBSTITUTE(LOWER(W484&amp;""),CHAR(160),"")," ",""),".",""),"-",""),"/",""),"?",""),"_",""),",",""),"[",""),"]",""),"(",""),")",""),"*","")</f>
        <v/>
      </c>
      <c r="AZ484" s="61" t="str">
        <f aca="false">SUBSTITUTE(SUBSTITUTE(SUBSTITUTE(SUBSTITUTE(SUBSTITUTE(SUBSTITUTE(SUBSTITUTE(SUBSTITUTE(SUBSTITUTE(SUBSTITUTE(SUBSTITUTE(SUBSTITUTE(SUBSTITUTE(LOWER(AC484&amp;""),CHAR(160),"")," ",""),".",""),"-",""),"/",""),"?",""),"_",""),",",""),"[",""),"]",""),"(",""),")",""),"*","")</f>
        <v/>
      </c>
      <c r="BA484" s="61" t="str">
        <f aca="false">SUBSTITUTE(SUBSTITUTE(SUBSTITUTE(SUBSTITUTE(SUBSTITUTE(SUBSTITUTE(SUBSTITUTE(SUBSTITUTE(SUBSTITUTE(SUBSTITUTE(SUBSTITUTE(SUBSTITUTE(SUBSTITUTE(LOWER(AA484&amp;""),CHAR(160),"")," ",""),".",""),"-",""),"/",""),"?",""),"_",""),",",""),"[",""),"]",""),"(",""),")",""),"*","")</f>
        <v/>
      </c>
      <c r="BB484" s="61" t="str">
        <f aca="false">IF(AND(TRIM(U484)="Pass",ISNUMBER(AF484)),IF(AF484&lt;&gt;0,"INVALID – qty variance: use Fail or Pass after CA",""),"")&amp;IF(AND(TRIM(U484)="Pass after CA",ISNUMBER(AF484)),IF(AF484&lt;&gt;0,"INVALID – after the corrective action the actual qty must equal expected (update Actual)",""),"")&amp;IF(AND(TRIM(U484)="Pass",TRIM(AB484)&lt;&gt;"",TRIM(AB484)&lt;&gt;"Closed"),"INVALID – corrective action not closed: use Fail, then Pass after CA","")&amp;IF(AND(TRIM(AA484)&lt;&gt;"",TRIM(AB484)=""),"INVALID – CA status missing for the recorded corrective action","")&amp;IF(AND(TRIM(U484)="Pass after CA",OR(OR(LEN(BA484)&lt;5,ISNUMBER(MATCH(BA484,L_Placeholder,0))),TRIM(AB484)&lt;&gt;"Closed")),"INVALID – corrective action not recorded/closed","")</f>
        <v/>
      </c>
    </row>
    <row r="485" customFormat="false" ht="39.75" hidden="false" customHeight="true" outlineLevel="0" collapsed="false">
      <c r="A485" s="57" t="s">
        <v>1114</v>
      </c>
      <c r="B485" s="57" t="s">
        <v>275</v>
      </c>
      <c r="C485" s="57" t="str">
        <f aca="false">Flights!$F$19</f>
        <v>MH0003</v>
      </c>
      <c r="D485" s="58" t="n">
        <f aca="false">Flights!$D$19</f>
        <v>46320</v>
      </c>
      <c r="E485" s="57" t="str">
        <f aca="false">Flights!$G$19&amp;"-"&amp;Flights!$H$19</f>
        <v>LHR-KUL</v>
      </c>
      <c r="F485" s="57" t="str">
        <f aca="false">Flights!$K$19</f>
        <v>EY</v>
      </c>
      <c r="G485" s="57" t="s">
        <v>79</v>
      </c>
      <c r="H485" s="57" t="s">
        <v>356</v>
      </c>
      <c r="I485" s="57" t="s">
        <v>376</v>
      </c>
      <c r="J485" s="57" t="s">
        <v>377</v>
      </c>
      <c r="K485" s="67" t="s">
        <v>378</v>
      </c>
      <c r="L485" s="67" t="s">
        <v>360</v>
      </c>
      <c r="M485" s="67"/>
      <c r="N485" s="67" t="s">
        <v>361</v>
      </c>
      <c r="O485" s="67"/>
      <c r="P485" s="57" t="s">
        <v>183</v>
      </c>
      <c r="Q485" s="59" t="n">
        <f aca="false">ROUND((Flights!$AC$19)*1440,0)/1440</f>
        <v>46313.4583333333</v>
      </c>
      <c r="R485" s="59" t="n">
        <f aca="false">Q485+(IF(AND(INDEX(TZ_DSTS,MATCH(P485,TZ_STN,0))&lt;&gt;"",Q485&gt;=INDEX(TZ_DSTS,MATCH(P485,TZ_STN,0)),Q485&lt;INDEX(TZ_DSTE,MATCH(P485,TZ_STN,0))),INDEX(TZ_DST,MATCH(P485,TZ_STN,0)),INDEX(TZ_STD,MATCH(P485,TZ_STN,0))))/24</f>
        <v>46313.5</v>
      </c>
      <c r="S485" s="59" t="n">
        <f aca="false">Q485-T7EarlyD*24/24</f>
        <v>46299.4583333333</v>
      </c>
      <c r="T485" s="60"/>
      <c r="U485" s="60"/>
      <c r="V485" s="60"/>
      <c r="W485" s="61"/>
      <c r="X485" s="60"/>
      <c r="Y485" s="60"/>
      <c r="Z485" s="60"/>
      <c r="AA485" s="60"/>
      <c r="AB485" s="60"/>
      <c r="AC485" s="60"/>
      <c r="AD485" s="66"/>
      <c r="AE485" s="60"/>
      <c r="AF485" s="61" t="str">
        <f aca="false">IF(AND(ISNUMBER(X485),ISNUMBER(Y485)),Y485-X485,"")</f>
        <v/>
      </c>
      <c r="AG485" s="62" t="str">
        <f aca="false">IF(ISNUMBER(AD485),AD485-(IF(AND(INDEX(TZ_DSTS,MATCH(P485,TZ_STN,0))&lt;&gt;"",(AD485-INDEX(TZ_STD,MATCH(P485,TZ_STN,0))/24)&gt;=INDEX(TZ_DSTS,MATCH(P485,TZ_STN,0)),(AD485-INDEX(TZ_STD,MATCH(P485,TZ_STN,0))/24)&lt;INDEX(TZ_DSTE,MATCH(P485,TZ_STN,0))),INDEX(TZ_DST,MATCH(P485,TZ_STN,0)),INDEX(TZ_STD,MATCH(P485,TZ_STN,0))))/24,"")</f>
        <v/>
      </c>
      <c r="AH485" s="65" t="str">
        <f aca="false">IFERROR(IF(N485="N/A – rule","N/A – RULE",IF(TRIM(U485)="N/A",IF(AT485=0,"INVALID – N/A not permitted for this check",IF(AND(TRIM(AB485)&lt;&gt;"",TRIM(AB485)&lt;&gt;"Closed"),"INVALID – corrective action still open",IF(AND(NOT(OR(LEN(AZ485)&lt;15,ISNUMBER(MATCH(AZ485,L_Placeholder,0)))),NOT(OR(LEN(AU485)&lt;2,ISNUMBER(MATCH(AU485,L_Placeholder,0)))),NOT(OR(LEN(AX485)&lt;2,ISNUMBER(MATCH(AX485,L_Placeholder,0)))),TRIM(AE485)&lt;&gt;TRIM(T485)),"N/A – JUSTIFIED","INVALID – N/A needs a real justification (15+ chars), PIC and a different verifier"))),IF(OR(TRIM(U485)="Pass",TRIM(U485)="Pass after CA"),IF(NOT(ISNUMBER(AD485)),"INVALID – completion time missing",IF(OR(LEN(AU485)&lt;2,ISNUMBER(MATCH(AU485,L_Placeholder,0))),"INVALID – PIC missing",IF(OR(LEN(AV485)&lt;2,ISNUMBER(MATCH(AV485,L_Placeholder,0))),"INVALID – result / assessment missing",IF(OR(OR(LEN(AW485)&lt;3,ISNUMBER(MATCH(AW485,L_Placeholder,0))),SUMPRODUCT(--ISNUMBER(SEARCH(L_EvidencePhrase,AW485)))&gt;0),"INVALID – evidence missing, placeholder or not yet on file",IF(OR(LEN(AX485)&lt;2,ISNUMBER(MATCH(AX485,L_Placeholder,0))),"INVALID – verifier missing",IF(AX485=AU485,"INVALID – verifier must be someone other than the PIC",IF(AND(TRIM(U485)="Pass",SUMPRODUCT(--ISNUMBER(SEARCH(L_ResultBad,AV485)))&gt;0),"INVALID – result describes a problem: use Fail, then Pass after CA",IF(AND(AQ485=1,OR(LEN(AY485)&lt;3,ISNUMBER(MATCH(AY485,L_Placeholder,0)))),"INVALID – batch ID missing or placeholder",IF(AND(AR485=1,OR(NOT(ISNUMBER(X485)),NOT(ISNUMBER(Y485)))),"INVALID – expected/actual qty missing",IF(AND(AR485=1,OR(X485&lt;=0,Y485&lt;0)),"INVALID – expected qty must be above 0 and actual not negative",IF(BB485&lt;&gt;"",BB485,IF(AND(AS485=1,Documents!$J$19&lt;&gt;"ON FILE"),"INVALID – GLD not on file (Documents sheet)",IF(AND(AS485=2,Documents!$O$19&lt;&gt;"ON FILE"),"INVALID – menu checklist not on file (Documents sheet)",IF(AND(AS485=3,NOT(ISNUMBER(Flights!$AX$19))),"INVALID – enter carrying flight KUL departure (Flights AX)",IF(AND(AS485=3,OR(Flights!$AZ$19&gt;Flights!$AA$19,Flights!$AX$19&lt;Flights!$AA$19-3)),"INVALID – carrying flight (Flights AX) cannot arrive before this leg's STD, or is over 3 days early",IF(AG485&gt;AsOfUTC,"INVALID – completion time is in the future",IF(AND(ISNUMBER(S485),AG485&lt;S485),IF(H485="Physical uplift","INVALID – before uplift window (cannot confirm loading)","INVALID – before valid window"),IF(AG485&gt;Flights!$AA$19,"INVALID – completed after departure (cannot establish readiness)",IF(AND(H485="Preparation",AG485&gt;IF(ISNUMBER(Flights!$BA$19),MIN(Flights!$BA$19,Flights!$AA$19),Flights!$AA$19)),"INVALID – completed after loading / departure (cannot establish readiness)",IF(AND(H485="Physical uplift",AG485&gt;Q485),"INVALID – recorded after the loading flight departed",IF(AG485&gt;Q485,"COMPLETE – LATE","COMPLETE"))))))))))))))))))))),IF(TRIM(U485)="Fail","FAIL – DISCREPANCY",IF(AND(TRIM(U485)&lt;&gt;"",TRIM(U485)&lt;&gt;"Not started",TRIM(U485)&lt;&gt;"In progress"),"INVALID – unrecognised status (use the list)",IF(AsOfUTC&gt;Q485,"OVERDUE",IF(N485="Clarification required","OPEN – CLARIFICATION","OPEN"))))))),"INVALID – error value in an input cell")</f>
        <v>OPEN</v>
      </c>
      <c r="AI485" s="61" t="n">
        <f aca="false">IF(OR(AH485="N/A – RULE",AH485="N/A – JUSTIFIED"),0,1)</f>
        <v>1</v>
      </c>
      <c r="AJ485" s="61" t="n">
        <f aca="false">IF(LEFT(AH485,8)="COMPLETE",1,0)</f>
        <v>0</v>
      </c>
      <c r="AK485" s="61" t="n">
        <f aca="false">IF(AND(AI485=1,AJ485=0,AsOfUTC&gt;Q485),1,0)</f>
        <v>0</v>
      </c>
      <c r="AL485" s="61" t="n">
        <f aca="false">IFERROR(IF(AND(AI485=1,OR(TRIM(U485)="Fail",AND(TRIM(AB485)&lt;&gt;"",TRIM(AB485)&lt;&gt;"Closed"),AND(ISNUMBER(AF485),AF485&lt;&gt;0,TRIM(U485)&lt;&gt;"Pass after CA"))),1,0),1)</f>
        <v>0</v>
      </c>
      <c r="AM485" s="61" t="n">
        <f aca="false">IF(LEFT(AH485,7)="INVALID",1,0)</f>
        <v>0</v>
      </c>
      <c r="AN485" s="61" t="n">
        <f aca="false">IF(AND(N485="Clarification required",AI485=1,AJ485=0),1,0)</f>
        <v>0</v>
      </c>
      <c r="AO485" s="61" t="str">
        <f aca="false">IF(AK485=1,SUM(AK$5:AK485),"")</f>
        <v/>
      </c>
      <c r="AP485" s="61" t="str">
        <f aca="false">IF(AL485=1,SUM(AL$5:AL485),"")</f>
        <v/>
      </c>
      <c r="AQ485" s="61" t="n">
        <v>0</v>
      </c>
      <c r="AR485" s="61" t="n">
        <v>0</v>
      </c>
      <c r="AS485" s="61" t="n">
        <v>0</v>
      </c>
      <c r="AT485" s="61" t="n">
        <v>0</v>
      </c>
      <c r="AU485" s="61" t="str">
        <f aca="false">SUBSTITUTE(SUBSTITUTE(SUBSTITUTE(SUBSTITUTE(SUBSTITUTE(SUBSTITUTE(SUBSTITUTE(SUBSTITUTE(SUBSTITUTE(SUBSTITUTE(SUBSTITUTE(SUBSTITUTE(SUBSTITUTE(LOWER(T485&amp;""),CHAR(160),"")," ",""),".",""),"-",""),"/",""),"?",""),"_",""),",",""),"[",""),"]",""),"(",""),")",""),"*","")</f>
        <v/>
      </c>
      <c r="AV485" s="61" t="str">
        <f aca="false">SUBSTITUTE(SUBSTITUTE(SUBSTITUTE(SUBSTITUTE(SUBSTITUTE(SUBSTITUTE(SUBSTITUTE(SUBSTITUTE(SUBSTITUTE(SUBSTITUTE(SUBSTITUTE(SUBSTITUTE(SUBSTITUTE(LOWER(V485&amp;""),CHAR(160),"")," ",""),".",""),"-",""),"/",""),"?",""),"_",""),",",""),"[",""),"]",""),"(",""),")",""),"*","")</f>
        <v/>
      </c>
      <c r="AW485" s="61" t="str">
        <f aca="false">SUBSTITUTE(SUBSTITUTE(SUBSTITUTE(SUBSTITUTE(SUBSTITUTE(SUBSTITUTE(SUBSTITUTE(SUBSTITUTE(SUBSTITUTE(SUBSTITUTE(SUBSTITUTE(SUBSTITUTE(SUBSTITUTE(LOWER(Z485&amp;""),CHAR(160),"")," ",""),".",""),"-",""),"/",""),"?",""),"_",""),",",""),"[",""),"]",""),"(",""),")",""),"*","")</f>
        <v/>
      </c>
      <c r="AX485" s="61" t="str">
        <f aca="false">SUBSTITUTE(SUBSTITUTE(SUBSTITUTE(SUBSTITUTE(SUBSTITUTE(SUBSTITUTE(SUBSTITUTE(SUBSTITUTE(SUBSTITUTE(SUBSTITUTE(SUBSTITUTE(SUBSTITUTE(SUBSTITUTE(LOWER(AE485&amp;""),CHAR(160),"")," ",""),".",""),"-",""),"/",""),"?",""),"_",""),",",""),"[",""),"]",""),"(",""),")",""),"*","")</f>
        <v/>
      </c>
      <c r="AY485" s="61" t="str">
        <f aca="false">SUBSTITUTE(SUBSTITUTE(SUBSTITUTE(SUBSTITUTE(SUBSTITUTE(SUBSTITUTE(SUBSTITUTE(SUBSTITUTE(SUBSTITUTE(SUBSTITUTE(SUBSTITUTE(SUBSTITUTE(SUBSTITUTE(LOWER(W485&amp;""),CHAR(160),"")," ",""),".",""),"-",""),"/",""),"?",""),"_",""),",",""),"[",""),"]",""),"(",""),")",""),"*","")</f>
        <v/>
      </c>
      <c r="AZ485" s="61" t="str">
        <f aca="false">SUBSTITUTE(SUBSTITUTE(SUBSTITUTE(SUBSTITUTE(SUBSTITUTE(SUBSTITUTE(SUBSTITUTE(SUBSTITUTE(SUBSTITUTE(SUBSTITUTE(SUBSTITUTE(SUBSTITUTE(SUBSTITUTE(LOWER(AC485&amp;""),CHAR(160),"")," ",""),".",""),"-",""),"/",""),"?",""),"_",""),",",""),"[",""),"]",""),"(",""),")",""),"*","")</f>
        <v/>
      </c>
      <c r="BA485" s="61" t="str">
        <f aca="false">SUBSTITUTE(SUBSTITUTE(SUBSTITUTE(SUBSTITUTE(SUBSTITUTE(SUBSTITUTE(SUBSTITUTE(SUBSTITUTE(SUBSTITUTE(SUBSTITUTE(SUBSTITUTE(SUBSTITUTE(SUBSTITUTE(LOWER(AA485&amp;""),CHAR(160),"")," ",""),".",""),"-",""),"/",""),"?",""),"_",""),",",""),"[",""),"]",""),"(",""),")",""),"*","")</f>
        <v/>
      </c>
      <c r="BB485" s="61" t="str">
        <f aca="false">IF(AND(TRIM(U485)="Pass",ISNUMBER(AF485)),IF(AF485&lt;&gt;0,"INVALID – qty variance: use Fail or Pass after CA",""),"")&amp;IF(AND(TRIM(U485)="Pass after CA",ISNUMBER(AF485)),IF(AF485&lt;&gt;0,"INVALID – after the corrective action the actual qty must equal expected (update Actual)",""),"")&amp;IF(AND(TRIM(U485)="Pass",TRIM(AB485)&lt;&gt;"",TRIM(AB485)&lt;&gt;"Closed"),"INVALID – corrective action not closed: use Fail, then Pass after CA","")&amp;IF(AND(TRIM(AA485)&lt;&gt;"",TRIM(AB485)=""),"INVALID – CA status missing for the recorded corrective action","")&amp;IF(AND(TRIM(U485)="Pass after CA",OR(OR(LEN(BA485)&lt;5,ISNUMBER(MATCH(BA485,L_Placeholder,0))),TRIM(AB485)&lt;&gt;"Closed")),"INVALID – corrective action not recorded/closed","")</f>
        <v/>
      </c>
    </row>
    <row r="486" customFormat="false" ht="39.75" hidden="false" customHeight="true" outlineLevel="0" collapsed="false">
      <c r="A486" s="57" t="s">
        <v>1115</v>
      </c>
      <c r="B486" s="57" t="s">
        <v>275</v>
      </c>
      <c r="C486" s="57" t="str">
        <f aca="false">Flights!$F$19</f>
        <v>MH0003</v>
      </c>
      <c r="D486" s="58" t="n">
        <f aca="false">Flights!$D$19</f>
        <v>46320</v>
      </c>
      <c r="E486" s="57" t="str">
        <f aca="false">Flights!$G$19&amp;"-"&amp;Flights!$H$19</f>
        <v>LHR-KUL</v>
      </c>
      <c r="F486" s="57" t="str">
        <f aca="false">Flights!$K$19</f>
        <v>EY</v>
      </c>
      <c r="G486" s="57" t="s">
        <v>79</v>
      </c>
      <c r="H486" s="57" t="s">
        <v>356</v>
      </c>
      <c r="I486" s="57" t="s">
        <v>376</v>
      </c>
      <c r="J486" s="57" t="s">
        <v>380</v>
      </c>
      <c r="K486" s="67" t="s">
        <v>381</v>
      </c>
      <c r="L486" s="67" t="s">
        <v>360</v>
      </c>
      <c r="M486" s="67"/>
      <c r="N486" s="67" t="s">
        <v>361</v>
      </c>
      <c r="O486" s="67"/>
      <c r="P486" s="57" t="s">
        <v>183</v>
      </c>
      <c r="Q486" s="59" t="n">
        <f aca="false">ROUND((Flights!$AC$19)*1440,0)/1440</f>
        <v>46313.4583333333</v>
      </c>
      <c r="R486" s="59" t="n">
        <f aca="false">Q486+(IF(AND(INDEX(TZ_DSTS,MATCH(P486,TZ_STN,0))&lt;&gt;"",Q486&gt;=INDEX(TZ_DSTS,MATCH(P486,TZ_STN,0)),Q486&lt;INDEX(TZ_DSTE,MATCH(P486,TZ_STN,0))),INDEX(TZ_DST,MATCH(P486,TZ_STN,0)),INDEX(TZ_STD,MATCH(P486,TZ_STN,0))))/24</f>
        <v>46313.5</v>
      </c>
      <c r="S486" s="59" t="n">
        <f aca="false">Q486-T7EarlyD*24/24</f>
        <v>46299.4583333333</v>
      </c>
      <c r="T486" s="60"/>
      <c r="U486" s="60"/>
      <c r="V486" s="60"/>
      <c r="W486" s="61"/>
      <c r="X486" s="60"/>
      <c r="Y486" s="60"/>
      <c r="Z486" s="60"/>
      <c r="AA486" s="60"/>
      <c r="AB486" s="60"/>
      <c r="AC486" s="60"/>
      <c r="AD486" s="66"/>
      <c r="AE486" s="60"/>
      <c r="AF486" s="61" t="str">
        <f aca="false">IF(AND(ISNUMBER(X486),ISNUMBER(Y486)),Y486-X486,"")</f>
        <v/>
      </c>
      <c r="AG486" s="62" t="str">
        <f aca="false">IF(ISNUMBER(AD486),AD486-(IF(AND(INDEX(TZ_DSTS,MATCH(P486,TZ_STN,0))&lt;&gt;"",(AD486-INDEX(TZ_STD,MATCH(P486,TZ_STN,0))/24)&gt;=INDEX(TZ_DSTS,MATCH(P486,TZ_STN,0)),(AD486-INDEX(TZ_STD,MATCH(P486,TZ_STN,0))/24)&lt;INDEX(TZ_DSTE,MATCH(P486,TZ_STN,0))),INDEX(TZ_DST,MATCH(P486,TZ_STN,0)),INDEX(TZ_STD,MATCH(P486,TZ_STN,0))))/24,"")</f>
        <v/>
      </c>
      <c r="AH486" s="65" t="str">
        <f aca="false">IFERROR(IF(N486="N/A – rule","N/A – RULE",IF(TRIM(U486)="N/A",IF(AT486=0,"INVALID – N/A not permitted for this check",IF(AND(TRIM(AB486)&lt;&gt;"",TRIM(AB486)&lt;&gt;"Closed"),"INVALID – corrective action still open",IF(AND(NOT(OR(LEN(AZ486)&lt;15,ISNUMBER(MATCH(AZ486,L_Placeholder,0)))),NOT(OR(LEN(AU486)&lt;2,ISNUMBER(MATCH(AU486,L_Placeholder,0)))),NOT(OR(LEN(AX486)&lt;2,ISNUMBER(MATCH(AX486,L_Placeholder,0)))),TRIM(AE486)&lt;&gt;TRIM(T486)),"N/A – JUSTIFIED","INVALID – N/A needs a real justification (15+ chars), PIC and a different verifier"))),IF(OR(TRIM(U486)="Pass",TRIM(U486)="Pass after CA"),IF(NOT(ISNUMBER(AD486)),"INVALID – completion time missing",IF(OR(LEN(AU486)&lt;2,ISNUMBER(MATCH(AU486,L_Placeholder,0))),"INVALID – PIC missing",IF(OR(LEN(AV486)&lt;2,ISNUMBER(MATCH(AV486,L_Placeholder,0))),"INVALID – result / assessment missing",IF(OR(OR(LEN(AW486)&lt;3,ISNUMBER(MATCH(AW486,L_Placeholder,0))),SUMPRODUCT(--ISNUMBER(SEARCH(L_EvidencePhrase,AW486)))&gt;0),"INVALID – evidence missing, placeholder or not yet on file",IF(OR(LEN(AX486)&lt;2,ISNUMBER(MATCH(AX486,L_Placeholder,0))),"INVALID – verifier missing",IF(AX486=AU486,"INVALID – verifier must be someone other than the PIC",IF(AND(TRIM(U486)="Pass",SUMPRODUCT(--ISNUMBER(SEARCH(L_ResultBad,AV486)))&gt;0),"INVALID – result describes a problem: use Fail, then Pass after CA",IF(AND(AQ486=1,OR(LEN(AY486)&lt;3,ISNUMBER(MATCH(AY486,L_Placeholder,0)))),"INVALID – batch ID missing or placeholder",IF(AND(AR486=1,OR(NOT(ISNUMBER(X486)),NOT(ISNUMBER(Y486)))),"INVALID – expected/actual qty missing",IF(AND(AR486=1,OR(X486&lt;=0,Y486&lt;0)),"INVALID – expected qty must be above 0 and actual not negative",IF(BB486&lt;&gt;"",BB486,IF(AND(AS486=1,Documents!$J$19&lt;&gt;"ON FILE"),"INVALID – GLD not on file (Documents sheet)",IF(AND(AS486=2,Documents!$O$19&lt;&gt;"ON FILE"),"INVALID – menu checklist not on file (Documents sheet)",IF(AND(AS486=3,NOT(ISNUMBER(Flights!$AX$19))),"INVALID – enter carrying flight KUL departure (Flights AX)",IF(AND(AS486=3,OR(Flights!$AZ$19&gt;Flights!$AA$19,Flights!$AX$19&lt;Flights!$AA$19-3)),"INVALID – carrying flight (Flights AX) cannot arrive before this leg's STD, or is over 3 days early",IF(AG486&gt;AsOfUTC,"INVALID – completion time is in the future",IF(AND(ISNUMBER(S486),AG486&lt;S486),IF(H486="Physical uplift","INVALID – before uplift window (cannot confirm loading)","INVALID – before valid window"),IF(AG486&gt;Flights!$AA$19,"INVALID – completed after departure (cannot establish readiness)",IF(AND(H486="Preparation",AG486&gt;IF(ISNUMBER(Flights!$BA$19),MIN(Flights!$BA$19,Flights!$AA$19),Flights!$AA$19)),"INVALID – completed after loading / departure (cannot establish readiness)",IF(AND(H486="Physical uplift",AG486&gt;Q486),"INVALID – recorded after the loading flight departed",IF(AG486&gt;Q486,"COMPLETE – LATE","COMPLETE"))))))))))))))))))))),IF(TRIM(U486)="Fail","FAIL – DISCREPANCY",IF(AND(TRIM(U486)&lt;&gt;"",TRIM(U486)&lt;&gt;"Not started",TRIM(U486)&lt;&gt;"In progress"),"INVALID – unrecognised status (use the list)",IF(AsOfUTC&gt;Q486,"OVERDUE",IF(N486="Clarification required","OPEN – CLARIFICATION","OPEN"))))))),"INVALID – error value in an input cell")</f>
        <v>OPEN</v>
      </c>
      <c r="AI486" s="61" t="n">
        <f aca="false">IF(OR(AH486="N/A – RULE",AH486="N/A – JUSTIFIED"),0,1)</f>
        <v>1</v>
      </c>
      <c r="AJ486" s="61" t="n">
        <f aca="false">IF(LEFT(AH486,8)="COMPLETE",1,0)</f>
        <v>0</v>
      </c>
      <c r="AK486" s="61" t="n">
        <f aca="false">IF(AND(AI486=1,AJ486=0,AsOfUTC&gt;Q486),1,0)</f>
        <v>0</v>
      </c>
      <c r="AL486" s="61" t="n">
        <f aca="false">IFERROR(IF(AND(AI486=1,OR(TRIM(U486)="Fail",AND(TRIM(AB486)&lt;&gt;"",TRIM(AB486)&lt;&gt;"Closed"),AND(ISNUMBER(AF486),AF486&lt;&gt;0,TRIM(U486)&lt;&gt;"Pass after CA"))),1,0),1)</f>
        <v>0</v>
      </c>
      <c r="AM486" s="61" t="n">
        <f aca="false">IF(LEFT(AH486,7)="INVALID",1,0)</f>
        <v>0</v>
      </c>
      <c r="AN486" s="61" t="n">
        <f aca="false">IF(AND(N486="Clarification required",AI486=1,AJ486=0),1,0)</f>
        <v>0</v>
      </c>
      <c r="AO486" s="61" t="str">
        <f aca="false">IF(AK486=1,SUM(AK$5:AK486),"")</f>
        <v/>
      </c>
      <c r="AP486" s="61" t="str">
        <f aca="false">IF(AL486=1,SUM(AL$5:AL486),"")</f>
        <v/>
      </c>
      <c r="AQ486" s="61" t="n">
        <v>0</v>
      </c>
      <c r="AR486" s="61" t="n">
        <v>0</v>
      </c>
      <c r="AS486" s="61" t="n">
        <v>0</v>
      </c>
      <c r="AT486" s="61" t="n">
        <v>0</v>
      </c>
      <c r="AU486" s="61" t="str">
        <f aca="false">SUBSTITUTE(SUBSTITUTE(SUBSTITUTE(SUBSTITUTE(SUBSTITUTE(SUBSTITUTE(SUBSTITUTE(SUBSTITUTE(SUBSTITUTE(SUBSTITUTE(SUBSTITUTE(SUBSTITUTE(SUBSTITUTE(LOWER(T486&amp;""),CHAR(160),"")," ",""),".",""),"-",""),"/",""),"?",""),"_",""),",",""),"[",""),"]",""),"(",""),")",""),"*","")</f>
        <v/>
      </c>
      <c r="AV486" s="61" t="str">
        <f aca="false">SUBSTITUTE(SUBSTITUTE(SUBSTITUTE(SUBSTITUTE(SUBSTITUTE(SUBSTITUTE(SUBSTITUTE(SUBSTITUTE(SUBSTITUTE(SUBSTITUTE(SUBSTITUTE(SUBSTITUTE(SUBSTITUTE(LOWER(V486&amp;""),CHAR(160),"")," ",""),".",""),"-",""),"/",""),"?",""),"_",""),",",""),"[",""),"]",""),"(",""),")",""),"*","")</f>
        <v/>
      </c>
      <c r="AW486" s="61" t="str">
        <f aca="false">SUBSTITUTE(SUBSTITUTE(SUBSTITUTE(SUBSTITUTE(SUBSTITUTE(SUBSTITUTE(SUBSTITUTE(SUBSTITUTE(SUBSTITUTE(SUBSTITUTE(SUBSTITUTE(SUBSTITUTE(SUBSTITUTE(LOWER(Z486&amp;""),CHAR(160),"")," ",""),".",""),"-",""),"/",""),"?",""),"_",""),",",""),"[",""),"]",""),"(",""),")",""),"*","")</f>
        <v/>
      </c>
      <c r="AX486" s="61" t="str">
        <f aca="false">SUBSTITUTE(SUBSTITUTE(SUBSTITUTE(SUBSTITUTE(SUBSTITUTE(SUBSTITUTE(SUBSTITUTE(SUBSTITUTE(SUBSTITUTE(SUBSTITUTE(SUBSTITUTE(SUBSTITUTE(SUBSTITUTE(LOWER(AE486&amp;""),CHAR(160),"")," ",""),".",""),"-",""),"/",""),"?",""),"_",""),",",""),"[",""),"]",""),"(",""),")",""),"*","")</f>
        <v/>
      </c>
      <c r="AY486" s="61" t="str">
        <f aca="false">SUBSTITUTE(SUBSTITUTE(SUBSTITUTE(SUBSTITUTE(SUBSTITUTE(SUBSTITUTE(SUBSTITUTE(SUBSTITUTE(SUBSTITUTE(SUBSTITUTE(SUBSTITUTE(SUBSTITUTE(SUBSTITUTE(LOWER(W486&amp;""),CHAR(160),"")," ",""),".",""),"-",""),"/",""),"?",""),"_",""),",",""),"[",""),"]",""),"(",""),")",""),"*","")</f>
        <v/>
      </c>
      <c r="AZ486" s="61" t="str">
        <f aca="false">SUBSTITUTE(SUBSTITUTE(SUBSTITUTE(SUBSTITUTE(SUBSTITUTE(SUBSTITUTE(SUBSTITUTE(SUBSTITUTE(SUBSTITUTE(SUBSTITUTE(SUBSTITUTE(SUBSTITUTE(SUBSTITUTE(LOWER(AC486&amp;""),CHAR(160),"")," ",""),".",""),"-",""),"/",""),"?",""),"_",""),",",""),"[",""),"]",""),"(",""),")",""),"*","")</f>
        <v/>
      </c>
      <c r="BA486" s="61" t="str">
        <f aca="false">SUBSTITUTE(SUBSTITUTE(SUBSTITUTE(SUBSTITUTE(SUBSTITUTE(SUBSTITUTE(SUBSTITUTE(SUBSTITUTE(SUBSTITUTE(SUBSTITUTE(SUBSTITUTE(SUBSTITUTE(SUBSTITUTE(LOWER(AA486&amp;""),CHAR(160),"")," ",""),".",""),"-",""),"/",""),"?",""),"_",""),",",""),"[",""),"]",""),"(",""),")",""),"*","")</f>
        <v/>
      </c>
      <c r="BB486" s="61" t="str">
        <f aca="false">IF(AND(TRIM(U486)="Pass",ISNUMBER(AF486)),IF(AF486&lt;&gt;0,"INVALID – qty variance: use Fail or Pass after CA",""),"")&amp;IF(AND(TRIM(U486)="Pass after CA",ISNUMBER(AF486)),IF(AF486&lt;&gt;0,"INVALID – after the corrective action the actual qty must equal expected (update Actual)",""),"")&amp;IF(AND(TRIM(U486)="Pass",TRIM(AB486)&lt;&gt;"",TRIM(AB486)&lt;&gt;"Closed"),"INVALID – corrective action not closed: use Fail, then Pass after CA","")&amp;IF(AND(TRIM(AA486)&lt;&gt;"",TRIM(AB486)=""),"INVALID – CA status missing for the recorded corrective action","")&amp;IF(AND(TRIM(U486)="Pass after CA",OR(OR(LEN(BA486)&lt;5,ISNUMBER(MATCH(BA486,L_Placeholder,0))),TRIM(AB486)&lt;&gt;"Closed")),"INVALID – corrective action not recorded/closed","")</f>
        <v/>
      </c>
    </row>
    <row r="487" customFormat="false" ht="39.75" hidden="false" customHeight="true" outlineLevel="0" collapsed="false">
      <c r="A487" s="57" t="s">
        <v>1116</v>
      </c>
      <c r="B487" s="57" t="s">
        <v>275</v>
      </c>
      <c r="C487" s="57" t="str">
        <f aca="false">Flights!$F$19</f>
        <v>MH0003</v>
      </c>
      <c r="D487" s="58" t="n">
        <f aca="false">Flights!$D$19</f>
        <v>46320</v>
      </c>
      <c r="E487" s="57" t="str">
        <f aca="false">Flights!$G$19&amp;"-"&amp;Flights!$H$19</f>
        <v>LHR-KUL</v>
      </c>
      <c r="F487" s="57" t="str">
        <f aca="false">Flights!$K$19</f>
        <v>EY</v>
      </c>
      <c r="G487" s="57" t="s">
        <v>79</v>
      </c>
      <c r="H487" s="57" t="s">
        <v>356</v>
      </c>
      <c r="I487" s="57" t="s">
        <v>383</v>
      </c>
      <c r="J487" s="57" t="s">
        <v>384</v>
      </c>
      <c r="K487" s="67" t="s">
        <v>385</v>
      </c>
      <c r="L487" s="67" t="s">
        <v>360</v>
      </c>
      <c r="M487" s="67"/>
      <c r="N487" s="67" t="s">
        <v>361</v>
      </c>
      <c r="O487" s="67"/>
      <c r="P487" s="57" t="s">
        <v>183</v>
      </c>
      <c r="Q487" s="59" t="n">
        <f aca="false">ROUND((Flights!$AC$19)*1440,0)/1440</f>
        <v>46313.4583333333</v>
      </c>
      <c r="R487" s="59" t="n">
        <f aca="false">Q487+(IF(AND(INDEX(TZ_DSTS,MATCH(P487,TZ_STN,0))&lt;&gt;"",Q487&gt;=INDEX(TZ_DSTS,MATCH(P487,TZ_STN,0)),Q487&lt;INDEX(TZ_DSTE,MATCH(P487,TZ_STN,0))),INDEX(TZ_DST,MATCH(P487,TZ_STN,0)),INDEX(TZ_STD,MATCH(P487,TZ_STN,0))))/24</f>
        <v>46313.5</v>
      </c>
      <c r="S487" s="59" t="n">
        <f aca="false">Q487-T7EarlyD*24/24</f>
        <v>46299.4583333333</v>
      </c>
      <c r="T487" s="60"/>
      <c r="U487" s="60"/>
      <c r="V487" s="60"/>
      <c r="W487" s="61"/>
      <c r="X487" s="60"/>
      <c r="Y487" s="60"/>
      <c r="Z487" s="60"/>
      <c r="AA487" s="60"/>
      <c r="AB487" s="60"/>
      <c r="AC487" s="60"/>
      <c r="AD487" s="66"/>
      <c r="AE487" s="60"/>
      <c r="AF487" s="61" t="str">
        <f aca="false">IF(AND(ISNUMBER(X487),ISNUMBER(Y487)),Y487-X487,"")</f>
        <v/>
      </c>
      <c r="AG487" s="62" t="str">
        <f aca="false">IF(ISNUMBER(AD487),AD487-(IF(AND(INDEX(TZ_DSTS,MATCH(P487,TZ_STN,0))&lt;&gt;"",(AD487-INDEX(TZ_STD,MATCH(P487,TZ_STN,0))/24)&gt;=INDEX(TZ_DSTS,MATCH(P487,TZ_STN,0)),(AD487-INDEX(TZ_STD,MATCH(P487,TZ_STN,0))/24)&lt;INDEX(TZ_DSTE,MATCH(P487,TZ_STN,0))),INDEX(TZ_DST,MATCH(P487,TZ_STN,0)),INDEX(TZ_STD,MATCH(P487,TZ_STN,0))))/24,"")</f>
        <v/>
      </c>
      <c r="AH487" s="65" t="str">
        <f aca="false">IFERROR(IF(N487="N/A – rule","N/A – RULE",IF(TRIM(U487)="N/A",IF(AT487=0,"INVALID – N/A not permitted for this check",IF(AND(TRIM(AB487)&lt;&gt;"",TRIM(AB487)&lt;&gt;"Closed"),"INVALID – corrective action still open",IF(AND(NOT(OR(LEN(AZ487)&lt;15,ISNUMBER(MATCH(AZ487,L_Placeholder,0)))),NOT(OR(LEN(AU487)&lt;2,ISNUMBER(MATCH(AU487,L_Placeholder,0)))),NOT(OR(LEN(AX487)&lt;2,ISNUMBER(MATCH(AX487,L_Placeholder,0)))),TRIM(AE487)&lt;&gt;TRIM(T487)),"N/A – JUSTIFIED","INVALID – N/A needs a real justification (15+ chars), PIC and a different verifier"))),IF(OR(TRIM(U487)="Pass",TRIM(U487)="Pass after CA"),IF(NOT(ISNUMBER(AD487)),"INVALID – completion time missing",IF(OR(LEN(AU487)&lt;2,ISNUMBER(MATCH(AU487,L_Placeholder,0))),"INVALID – PIC missing",IF(OR(LEN(AV487)&lt;2,ISNUMBER(MATCH(AV487,L_Placeholder,0))),"INVALID – result / assessment missing",IF(OR(OR(LEN(AW487)&lt;3,ISNUMBER(MATCH(AW487,L_Placeholder,0))),SUMPRODUCT(--ISNUMBER(SEARCH(L_EvidencePhrase,AW487)))&gt;0),"INVALID – evidence missing, placeholder or not yet on file",IF(OR(LEN(AX487)&lt;2,ISNUMBER(MATCH(AX487,L_Placeholder,0))),"INVALID – verifier missing",IF(AX487=AU487,"INVALID – verifier must be someone other than the PIC",IF(AND(TRIM(U487)="Pass",SUMPRODUCT(--ISNUMBER(SEARCH(L_ResultBad,AV487)))&gt;0),"INVALID – result describes a problem: use Fail, then Pass after CA",IF(AND(AQ487=1,OR(LEN(AY487)&lt;3,ISNUMBER(MATCH(AY487,L_Placeholder,0)))),"INVALID – batch ID missing or placeholder",IF(AND(AR487=1,OR(NOT(ISNUMBER(X487)),NOT(ISNUMBER(Y487)))),"INVALID – expected/actual qty missing",IF(AND(AR487=1,OR(X487&lt;=0,Y487&lt;0)),"INVALID – expected qty must be above 0 and actual not negative",IF(BB487&lt;&gt;"",BB487,IF(AND(AS487=1,Documents!$J$19&lt;&gt;"ON FILE"),"INVALID – GLD not on file (Documents sheet)",IF(AND(AS487=2,Documents!$O$19&lt;&gt;"ON FILE"),"INVALID – menu checklist not on file (Documents sheet)",IF(AND(AS487=3,NOT(ISNUMBER(Flights!$AX$19))),"INVALID – enter carrying flight KUL departure (Flights AX)",IF(AND(AS487=3,OR(Flights!$AZ$19&gt;Flights!$AA$19,Flights!$AX$19&lt;Flights!$AA$19-3)),"INVALID – carrying flight (Flights AX) cannot arrive before this leg's STD, or is over 3 days early",IF(AG487&gt;AsOfUTC,"INVALID – completion time is in the future",IF(AND(ISNUMBER(S487),AG487&lt;S487),IF(H487="Physical uplift","INVALID – before uplift window (cannot confirm loading)","INVALID – before valid window"),IF(AG487&gt;Flights!$AA$19,"INVALID – completed after departure (cannot establish readiness)",IF(AND(H487="Preparation",AG487&gt;IF(ISNUMBER(Flights!$BA$19),MIN(Flights!$BA$19,Flights!$AA$19),Flights!$AA$19)),"INVALID – completed after loading / departure (cannot establish readiness)",IF(AND(H487="Physical uplift",AG487&gt;Q487),"INVALID – recorded after the loading flight departed",IF(AG487&gt;Q487,"COMPLETE – LATE","COMPLETE"))))))))))))))))))))),IF(TRIM(U487)="Fail","FAIL – DISCREPANCY",IF(AND(TRIM(U487)&lt;&gt;"",TRIM(U487)&lt;&gt;"Not started",TRIM(U487)&lt;&gt;"In progress"),"INVALID – unrecognised status (use the list)",IF(AsOfUTC&gt;Q487,"OVERDUE",IF(N487="Clarification required","OPEN – CLARIFICATION","OPEN"))))))),"INVALID – error value in an input cell")</f>
        <v>OPEN</v>
      </c>
      <c r="AI487" s="61" t="n">
        <f aca="false">IF(OR(AH487="N/A – RULE",AH487="N/A – JUSTIFIED"),0,1)</f>
        <v>1</v>
      </c>
      <c r="AJ487" s="61" t="n">
        <f aca="false">IF(LEFT(AH487,8)="COMPLETE",1,0)</f>
        <v>0</v>
      </c>
      <c r="AK487" s="61" t="n">
        <f aca="false">IF(AND(AI487=1,AJ487=0,AsOfUTC&gt;Q487),1,0)</f>
        <v>0</v>
      </c>
      <c r="AL487" s="61" t="n">
        <f aca="false">IFERROR(IF(AND(AI487=1,OR(TRIM(U487)="Fail",AND(TRIM(AB487)&lt;&gt;"",TRIM(AB487)&lt;&gt;"Closed"),AND(ISNUMBER(AF487),AF487&lt;&gt;0,TRIM(U487)&lt;&gt;"Pass after CA"))),1,0),1)</f>
        <v>0</v>
      </c>
      <c r="AM487" s="61" t="n">
        <f aca="false">IF(LEFT(AH487,7)="INVALID",1,0)</f>
        <v>0</v>
      </c>
      <c r="AN487" s="61" t="n">
        <f aca="false">IF(AND(N487="Clarification required",AI487=1,AJ487=0),1,0)</f>
        <v>0</v>
      </c>
      <c r="AO487" s="61" t="str">
        <f aca="false">IF(AK487=1,SUM(AK$5:AK487),"")</f>
        <v/>
      </c>
      <c r="AP487" s="61" t="str">
        <f aca="false">IF(AL487=1,SUM(AL$5:AL487),"")</f>
        <v/>
      </c>
      <c r="AQ487" s="61" t="n">
        <v>0</v>
      </c>
      <c r="AR487" s="61" t="n">
        <v>0</v>
      </c>
      <c r="AS487" s="61" t="n">
        <v>1</v>
      </c>
      <c r="AT487" s="61" t="n">
        <v>0</v>
      </c>
      <c r="AU487" s="61" t="str">
        <f aca="false">SUBSTITUTE(SUBSTITUTE(SUBSTITUTE(SUBSTITUTE(SUBSTITUTE(SUBSTITUTE(SUBSTITUTE(SUBSTITUTE(SUBSTITUTE(SUBSTITUTE(SUBSTITUTE(SUBSTITUTE(SUBSTITUTE(LOWER(T487&amp;""),CHAR(160),"")," ",""),".",""),"-",""),"/",""),"?",""),"_",""),",",""),"[",""),"]",""),"(",""),")",""),"*","")</f>
        <v/>
      </c>
      <c r="AV487" s="61" t="str">
        <f aca="false">SUBSTITUTE(SUBSTITUTE(SUBSTITUTE(SUBSTITUTE(SUBSTITUTE(SUBSTITUTE(SUBSTITUTE(SUBSTITUTE(SUBSTITUTE(SUBSTITUTE(SUBSTITUTE(SUBSTITUTE(SUBSTITUTE(LOWER(V487&amp;""),CHAR(160),"")," ",""),".",""),"-",""),"/",""),"?",""),"_",""),",",""),"[",""),"]",""),"(",""),")",""),"*","")</f>
        <v/>
      </c>
      <c r="AW487" s="61" t="str">
        <f aca="false">SUBSTITUTE(SUBSTITUTE(SUBSTITUTE(SUBSTITUTE(SUBSTITUTE(SUBSTITUTE(SUBSTITUTE(SUBSTITUTE(SUBSTITUTE(SUBSTITUTE(SUBSTITUTE(SUBSTITUTE(SUBSTITUTE(LOWER(Z487&amp;""),CHAR(160),"")," ",""),".",""),"-",""),"/",""),"?",""),"_",""),",",""),"[",""),"]",""),"(",""),")",""),"*","")</f>
        <v/>
      </c>
      <c r="AX487" s="61" t="str">
        <f aca="false">SUBSTITUTE(SUBSTITUTE(SUBSTITUTE(SUBSTITUTE(SUBSTITUTE(SUBSTITUTE(SUBSTITUTE(SUBSTITUTE(SUBSTITUTE(SUBSTITUTE(SUBSTITUTE(SUBSTITUTE(SUBSTITUTE(LOWER(AE487&amp;""),CHAR(160),"")," ",""),".",""),"-",""),"/",""),"?",""),"_",""),",",""),"[",""),"]",""),"(",""),")",""),"*","")</f>
        <v/>
      </c>
      <c r="AY487" s="61" t="str">
        <f aca="false">SUBSTITUTE(SUBSTITUTE(SUBSTITUTE(SUBSTITUTE(SUBSTITUTE(SUBSTITUTE(SUBSTITUTE(SUBSTITUTE(SUBSTITUTE(SUBSTITUTE(SUBSTITUTE(SUBSTITUTE(SUBSTITUTE(LOWER(W487&amp;""),CHAR(160),"")," ",""),".",""),"-",""),"/",""),"?",""),"_",""),",",""),"[",""),"]",""),"(",""),")",""),"*","")</f>
        <v/>
      </c>
      <c r="AZ487" s="61" t="str">
        <f aca="false">SUBSTITUTE(SUBSTITUTE(SUBSTITUTE(SUBSTITUTE(SUBSTITUTE(SUBSTITUTE(SUBSTITUTE(SUBSTITUTE(SUBSTITUTE(SUBSTITUTE(SUBSTITUTE(SUBSTITUTE(SUBSTITUTE(LOWER(AC487&amp;""),CHAR(160),"")," ",""),".",""),"-",""),"/",""),"?",""),"_",""),",",""),"[",""),"]",""),"(",""),")",""),"*","")</f>
        <v/>
      </c>
      <c r="BA487" s="61" t="str">
        <f aca="false">SUBSTITUTE(SUBSTITUTE(SUBSTITUTE(SUBSTITUTE(SUBSTITUTE(SUBSTITUTE(SUBSTITUTE(SUBSTITUTE(SUBSTITUTE(SUBSTITUTE(SUBSTITUTE(SUBSTITUTE(SUBSTITUTE(LOWER(AA487&amp;""),CHAR(160),"")," ",""),".",""),"-",""),"/",""),"?",""),"_",""),",",""),"[",""),"]",""),"(",""),")",""),"*","")</f>
        <v/>
      </c>
      <c r="BB487" s="61" t="str">
        <f aca="false">IF(AND(TRIM(U487)="Pass",ISNUMBER(AF487)),IF(AF487&lt;&gt;0,"INVALID – qty variance: use Fail or Pass after CA",""),"")&amp;IF(AND(TRIM(U487)="Pass after CA",ISNUMBER(AF487)),IF(AF487&lt;&gt;0,"INVALID – after the corrective action the actual qty must equal expected (update Actual)",""),"")&amp;IF(AND(TRIM(U487)="Pass",TRIM(AB487)&lt;&gt;"",TRIM(AB487)&lt;&gt;"Closed"),"INVALID – corrective action not closed: use Fail, then Pass after CA","")&amp;IF(AND(TRIM(AA487)&lt;&gt;"",TRIM(AB487)=""),"INVALID – CA status missing for the recorded corrective action","")&amp;IF(AND(TRIM(U487)="Pass after CA",OR(OR(LEN(BA487)&lt;5,ISNUMBER(MATCH(BA487,L_Placeholder,0))),TRIM(AB487)&lt;&gt;"Closed")),"INVALID – corrective action not recorded/closed","")</f>
        <v/>
      </c>
    </row>
    <row r="488" customFormat="false" ht="39.75" hidden="false" customHeight="true" outlineLevel="0" collapsed="false">
      <c r="A488" s="57" t="s">
        <v>1117</v>
      </c>
      <c r="B488" s="57" t="s">
        <v>275</v>
      </c>
      <c r="C488" s="57" t="str">
        <f aca="false">Flights!$F$19</f>
        <v>MH0003</v>
      </c>
      <c r="D488" s="58" t="n">
        <f aca="false">Flights!$D$19</f>
        <v>46320</v>
      </c>
      <c r="E488" s="57" t="str">
        <f aca="false">Flights!$G$19&amp;"-"&amp;Flights!$H$19</f>
        <v>LHR-KUL</v>
      </c>
      <c r="F488" s="57" t="str">
        <f aca="false">Flights!$K$19</f>
        <v>EY</v>
      </c>
      <c r="G488" s="57" t="s">
        <v>79</v>
      </c>
      <c r="H488" s="57" t="s">
        <v>356</v>
      </c>
      <c r="I488" s="57" t="s">
        <v>383</v>
      </c>
      <c r="J488" s="57" t="s">
        <v>387</v>
      </c>
      <c r="K488" s="67" t="s">
        <v>385</v>
      </c>
      <c r="L488" s="67" t="s">
        <v>360</v>
      </c>
      <c r="M488" s="67"/>
      <c r="N488" s="67" t="s">
        <v>361</v>
      </c>
      <c r="O488" s="67"/>
      <c r="P488" s="57" t="s">
        <v>183</v>
      </c>
      <c r="Q488" s="59" t="n">
        <f aca="false">ROUND((Flights!$AC$19)*1440,0)/1440</f>
        <v>46313.4583333333</v>
      </c>
      <c r="R488" s="59" t="n">
        <f aca="false">Q488+(IF(AND(INDEX(TZ_DSTS,MATCH(P488,TZ_STN,0))&lt;&gt;"",Q488&gt;=INDEX(TZ_DSTS,MATCH(P488,TZ_STN,0)),Q488&lt;INDEX(TZ_DSTE,MATCH(P488,TZ_STN,0))),INDEX(TZ_DST,MATCH(P488,TZ_STN,0)),INDEX(TZ_STD,MATCH(P488,TZ_STN,0))))/24</f>
        <v>46313.5</v>
      </c>
      <c r="S488" s="59" t="n">
        <f aca="false">Q488-T7EarlyD*24/24</f>
        <v>46299.4583333333</v>
      </c>
      <c r="T488" s="60"/>
      <c r="U488" s="60"/>
      <c r="V488" s="60"/>
      <c r="W488" s="61"/>
      <c r="X488" s="60"/>
      <c r="Y488" s="60"/>
      <c r="Z488" s="60"/>
      <c r="AA488" s="60"/>
      <c r="AB488" s="60"/>
      <c r="AC488" s="60"/>
      <c r="AD488" s="66"/>
      <c r="AE488" s="60"/>
      <c r="AF488" s="61" t="str">
        <f aca="false">IF(AND(ISNUMBER(X488),ISNUMBER(Y488)),Y488-X488,"")</f>
        <v/>
      </c>
      <c r="AG488" s="62" t="str">
        <f aca="false">IF(ISNUMBER(AD488),AD488-(IF(AND(INDEX(TZ_DSTS,MATCH(P488,TZ_STN,0))&lt;&gt;"",(AD488-INDEX(TZ_STD,MATCH(P488,TZ_STN,0))/24)&gt;=INDEX(TZ_DSTS,MATCH(P488,TZ_STN,0)),(AD488-INDEX(TZ_STD,MATCH(P488,TZ_STN,0))/24)&lt;INDEX(TZ_DSTE,MATCH(P488,TZ_STN,0))),INDEX(TZ_DST,MATCH(P488,TZ_STN,0)),INDEX(TZ_STD,MATCH(P488,TZ_STN,0))))/24,"")</f>
        <v/>
      </c>
      <c r="AH488" s="65" t="str">
        <f aca="false">IFERROR(IF(N488="N/A – rule","N/A – RULE",IF(TRIM(U488)="N/A",IF(AT488=0,"INVALID – N/A not permitted for this check",IF(AND(TRIM(AB488)&lt;&gt;"",TRIM(AB488)&lt;&gt;"Closed"),"INVALID – corrective action still open",IF(AND(NOT(OR(LEN(AZ488)&lt;15,ISNUMBER(MATCH(AZ488,L_Placeholder,0)))),NOT(OR(LEN(AU488)&lt;2,ISNUMBER(MATCH(AU488,L_Placeholder,0)))),NOT(OR(LEN(AX488)&lt;2,ISNUMBER(MATCH(AX488,L_Placeholder,0)))),TRIM(AE488)&lt;&gt;TRIM(T488)),"N/A – JUSTIFIED","INVALID – N/A needs a real justification (15+ chars), PIC and a different verifier"))),IF(OR(TRIM(U488)="Pass",TRIM(U488)="Pass after CA"),IF(NOT(ISNUMBER(AD488)),"INVALID – completion time missing",IF(OR(LEN(AU488)&lt;2,ISNUMBER(MATCH(AU488,L_Placeholder,0))),"INVALID – PIC missing",IF(OR(LEN(AV488)&lt;2,ISNUMBER(MATCH(AV488,L_Placeholder,0))),"INVALID – result / assessment missing",IF(OR(OR(LEN(AW488)&lt;3,ISNUMBER(MATCH(AW488,L_Placeholder,0))),SUMPRODUCT(--ISNUMBER(SEARCH(L_EvidencePhrase,AW488)))&gt;0),"INVALID – evidence missing, placeholder or not yet on file",IF(OR(LEN(AX488)&lt;2,ISNUMBER(MATCH(AX488,L_Placeholder,0))),"INVALID – verifier missing",IF(AX488=AU488,"INVALID – verifier must be someone other than the PIC",IF(AND(TRIM(U488)="Pass",SUMPRODUCT(--ISNUMBER(SEARCH(L_ResultBad,AV488)))&gt;0),"INVALID – result describes a problem: use Fail, then Pass after CA",IF(AND(AQ488=1,OR(LEN(AY488)&lt;3,ISNUMBER(MATCH(AY488,L_Placeholder,0)))),"INVALID – batch ID missing or placeholder",IF(AND(AR488=1,OR(NOT(ISNUMBER(X488)),NOT(ISNUMBER(Y488)))),"INVALID – expected/actual qty missing",IF(AND(AR488=1,OR(X488&lt;=0,Y488&lt;0)),"INVALID – expected qty must be above 0 and actual not negative",IF(BB488&lt;&gt;"",BB488,IF(AND(AS488=1,Documents!$J$19&lt;&gt;"ON FILE"),"INVALID – GLD not on file (Documents sheet)",IF(AND(AS488=2,Documents!$O$19&lt;&gt;"ON FILE"),"INVALID – menu checklist not on file (Documents sheet)",IF(AND(AS488=3,NOT(ISNUMBER(Flights!$AX$19))),"INVALID – enter carrying flight KUL departure (Flights AX)",IF(AND(AS488=3,OR(Flights!$AZ$19&gt;Flights!$AA$19,Flights!$AX$19&lt;Flights!$AA$19-3)),"INVALID – carrying flight (Flights AX) cannot arrive before this leg's STD, or is over 3 days early",IF(AG488&gt;AsOfUTC,"INVALID – completion time is in the future",IF(AND(ISNUMBER(S488),AG488&lt;S488),IF(H488="Physical uplift","INVALID – before uplift window (cannot confirm loading)","INVALID – before valid window"),IF(AG488&gt;Flights!$AA$19,"INVALID – completed after departure (cannot establish readiness)",IF(AND(H488="Preparation",AG488&gt;IF(ISNUMBER(Flights!$BA$19),MIN(Flights!$BA$19,Flights!$AA$19),Flights!$AA$19)),"INVALID – completed after loading / departure (cannot establish readiness)",IF(AND(H488="Physical uplift",AG488&gt;Q488),"INVALID – recorded after the loading flight departed",IF(AG488&gt;Q488,"COMPLETE – LATE","COMPLETE"))))))))))))))))))))),IF(TRIM(U488)="Fail","FAIL – DISCREPANCY",IF(AND(TRIM(U488)&lt;&gt;"",TRIM(U488)&lt;&gt;"Not started",TRIM(U488)&lt;&gt;"In progress"),"INVALID – unrecognised status (use the list)",IF(AsOfUTC&gt;Q488,"OVERDUE",IF(N488="Clarification required","OPEN – CLARIFICATION","OPEN"))))))),"INVALID – error value in an input cell")</f>
        <v>OPEN</v>
      </c>
      <c r="AI488" s="61" t="n">
        <f aca="false">IF(OR(AH488="N/A – RULE",AH488="N/A – JUSTIFIED"),0,1)</f>
        <v>1</v>
      </c>
      <c r="AJ488" s="61" t="n">
        <f aca="false">IF(LEFT(AH488,8)="COMPLETE",1,0)</f>
        <v>0</v>
      </c>
      <c r="AK488" s="61" t="n">
        <f aca="false">IF(AND(AI488=1,AJ488=0,AsOfUTC&gt;Q488),1,0)</f>
        <v>0</v>
      </c>
      <c r="AL488" s="61" t="n">
        <f aca="false">IFERROR(IF(AND(AI488=1,OR(TRIM(U488)="Fail",AND(TRIM(AB488)&lt;&gt;"",TRIM(AB488)&lt;&gt;"Closed"),AND(ISNUMBER(AF488),AF488&lt;&gt;0,TRIM(U488)&lt;&gt;"Pass after CA"))),1,0),1)</f>
        <v>0</v>
      </c>
      <c r="AM488" s="61" t="n">
        <f aca="false">IF(LEFT(AH488,7)="INVALID",1,0)</f>
        <v>0</v>
      </c>
      <c r="AN488" s="61" t="n">
        <f aca="false">IF(AND(N488="Clarification required",AI488=1,AJ488=0),1,0)</f>
        <v>0</v>
      </c>
      <c r="AO488" s="61" t="str">
        <f aca="false">IF(AK488=1,SUM(AK$5:AK488),"")</f>
        <v/>
      </c>
      <c r="AP488" s="61" t="str">
        <f aca="false">IF(AL488=1,SUM(AL$5:AL488),"")</f>
        <v/>
      </c>
      <c r="AQ488" s="61" t="n">
        <v>0</v>
      </c>
      <c r="AR488" s="61" t="n">
        <v>0</v>
      </c>
      <c r="AS488" s="61" t="n">
        <v>2</v>
      </c>
      <c r="AT488" s="61" t="n">
        <v>0</v>
      </c>
      <c r="AU488" s="61" t="str">
        <f aca="false">SUBSTITUTE(SUBSTITUTE(SUBSTITUTE(SUBSTITUTE(SUBSTITUTE(SUBSTITUTE(SUBSTITUTE(SUBSTITUTE(SUBSTITUTE(SUBSTITUTE(SUBSTITUTE(SUBSTITUTE(SUBSTITUTE(LOWER(T488&amp;""),CHAR(160),"")," ",""),".",""),"-",""),"/",""),"?",""),"_",""),",",""),"[",""),"]",""),"(",""),")",""),"*","")</f>
        <v/>
      </c>
      <c r="AV488" s="61" t="str">
        <f aca="false">SUBSTITUTE(SUBSTITUTE(SUBSTITUTE(SUBSTITUTE(SUBSTITUTE(SUBSTITUTE(SUBSTITUTE(SUBSTITUTE(SUBSTITUTE(SUBSTITUTE(SUBSTITUTE(SUBSTITUTE(SUBSTITUTE(LOWER(V488&amp;""),CHAR(160),"")," ",""),".",""),"-",""),"/",""),"?",""),"_",""),",",""),"[",""),"]",""),"(",""),")",""),"*","")</f>
        <v/>
      </c>
      <c r="AW488" s="61" t="str">
        <f aca="false">SUBSTITUTE(SUBSTITUTE(SUBSTITUTE(SUBSTITUTE(SUBSTITUTE(SUBSTITUTE(SUBSTITUTE(SUBSTITUTE(SUBSTITUTE(SUBSTITUTE(SUBSTITUTE(SUBSTITUTE(SUBSTITUTE(LOWER(Z488&amp;""),CHAR(160),"")," ",""),".",""),"-",""),"/",""),"?",""),"_",""),",",""),"[",""),"]",""),"(",""),")",""),"*","")</f>
        <v/>
      </c>
      <c r="AX488" s="61" t="str">
        <f aca="false">SUBSTITUTE(SUBSTITUTE(SUBSTITUTE(SUBSTITUTE(SUBSTITUTE(SUBSTITUTE(SUBSTITUTE(SUBSTITUTE(SUBSTITUTE(SUBSTITUTE(SUBSTITUTE(SUBSTITUTE(SUBSTITUTE(LOWER(AE488&amp;""),CHAR(160),"")," ",""),".",""),"-",""),"/",""),"?",""),"_",""),",",""),"[",""),"]",""),"(",""),")",""),"*","")</f>
        <v/>
      </c>
      <c r="AY488" s="61" t="str">
        <f aca="false">SUBSTITUTE(SUBSTITUTE(SUBSTITUTE(SUBSTITUTE(SUBSTITUTE(SUBSTITUTE(SUBSTITUTE(SUBSTITUTE(SUBSTITUTE(SUBSTITUTE(SUBSTITUTE(SUBSTITUTE(SUBSTITUTE(LOWER(W488&amp;""),CHAR(160),"")," ",""),".",""),"-",""),"/",""),"?",""),"_",""),",",""),"[",""),"]",""),"(",""),")",""),"*","")</f>
        <v/>
      </c>
      <c r="AZ488" s="61" t="str">
        <f aca="false">SUBSTITUTE(SUBSTITUTE(SUBSTITUTE(SUBSTITUTE(SUBSTITUTE(SUBSTITUTE(SUBSTITUTE(SUBSTITUTE(SUBSTITUTE(SUBSTITUTE(SUBSTITUTE(SUBSTITUTE(SUBSTITUTE(LOWER(AC488&amp;""),CHAR(160),"")," ",""),".",""),"-",""),"/",""),"?",""),"_",""),",",""),"[",""),"]",""),"(",""),")",""),"*","")</f>
        <v/>
      </c>
      <c r="BA488" s="61" t="str">
        <f aca="false">SUBSTITUTE(SUBSTITUTE(SUBSTITUTE(SUBSTITUTE(SUBSTITUTE(SUBSTITUTE(SUBSTITUTE(SUBSTITUTE(SUBSTITUTE(SUBSTITUTE(SUBSTITUTE(SUBSTITUTE(SUBSTITUTE(LOWER(AA488&amp;""),CHAR(160),"")," ",""),".",""),"-",""),"/",""),"?",""),"_",""),",",""),"[",""),"]",""),"(",""),")",""),"*","")</f>
        <v/>
      </c>
      <c r="BB488" s="61" t="str">
        <f aca="false">IF(AND(TRIM(U488)="Pass",ISNUMBER(AF488)),IF(AF488&lt;&gt;0,"INVALID – qty variance: use Fail or Pass after CA",""),"")&amp;IF(AND(TRIM(U488)="Pass after CA",ISNUMBER(AF488)),IF(AF488&lt;&gt;0,"INVALID – after the corrective action the actual qty must equal expected (update Actual)",""),"")&amp;IF(AND(TRIM(U488)="Pass",TRIM(AB488)&lt;&gt;"",TRIM(AB488)&lt;&gt;"Closed"),"INVALID – corrective action not closed: use Fail, then Pass after CA","")&amp;IF(AND(TRIM(AA488)&lt;&gt;"",TRIM(AB488)=""),"INVALID – CA status missing for the recorded corrective action","")&amp;IF(AND(TRIM(U488)="Pass after CA",OR(OR(LEN(BA488)&lt;5,ISNUMBER(MATCH(BA488,L_Placeholder,0))),TRIM(AB488)&lt;&gt;"Closed")),"INVALID – corrective action not recorded/closed","")</f>
        <v/>
      </c>
    </row>
    <row r="489" customFormat="false" ht="39.75" hidden="false" customHeight="true" outlineLevel="0" collapsed="false">
      <c r="A489" s="57" t="s">
        <v>1118</v>
      </c>
      <c r="B489" s="57" t="s">
        <v>275</v>
      </c>
      <c r="C489" s="57" t="str">
        <f aca="false">Flights!$F$19</f>
        <v>MH0003</v>
      </c>
      <c r="D489" s="58" t="n">
        <f aca="false">Flights!$D$19</f>
        <v>46320</v>
      </c>
      <c r="E489" s="57" t="str">
        <f aca="false">Flights!$G$19&amp;"-"&amp;Flights!$H$19</f>
        <v>LHR-KUL</v>
      </c>
      <c r="F489" s="57" t="str">
        <f aca="false">Flights!$K$19</f>
        <v>EY</v>
      </c>
      <c r="G489" s="57" t="s">
        <v>79</v>
      </c>
      <c r="H489" s="57" t="s">
        <v>356</v>
      </c>
      <c r="I489" s="57" t="s">
        <v>389</v>
      </c>
      <c r="J489" s="57" t="s">
        <v>390</v>
      </c>
      <c r="K489" s="67" t="s">
        <v>391</v>
      </c>
      <c r="L489" s="67" t="s">
        <v>392</v>
      </c>
      <c r="M489" s="67"/>
      <c r="N489" s="67" t="s">
        <v>361</v>
      </c>
      <c r="O489" s="67"/>
      <c r="P489" s="57" t="s">
        <v>183</v>
      </c>
      <c r="Q489" s="59" t="n">
        <f aca="false">ROUND((Flights!$AC$19)*1440,0)/1440</f>
        <v>46313.4583333333</v>
      </c>
      <c r="R489" s="59" t="n">
        <f aca="false">Q489+(IF(AND(INDEX(TZ_DSTS,MATCH(P489,TZ_STN,0))&lt;&gt;"",Q489&gt;=INDEX(TZ_DSTS,MATCH(P489,TZ_STN,0)),Q489&lt;INDEX(TZ_DSTE,MATCH(P489,TZ_STN,0))),INDEX(TZ_DST,MATCH(P489,TZ_STN,0)),INDEX(TZ_STD,MATCH(P489,TZ_STN,0))))/24</f>
        <v>46313.5</v>
      </c>
      <c r="S489" s="59" t="n">
        <f aca="false">Q489-T7EarlyD*24/24</f>
        <v>46299.4583333333</v>
      </c>
      <c r="T489" s="60"/>
      <c r="U489" s="60"/>
      <c r="V489" s="60"/>
      <c r="W489" s="61"/>
      <c r="X489" s="60"/>
      <c r="Y489" s="60"/>
      <c r="Z489" s="60"/>
      <c r="AA489" s="60"/>
      <c r="AB489" s="60"/>
      <c r="AC489" s="60"/>
      <c r="AD489" s="66"/>
      <c r="AE489" s="60"/>
      <c r="AF489" s="61" t="str">
        <f aca="false">IF(AND(ISNUMBER(X489),ISNUMBER(Y489)),Y489-X489,"")</f>
        <v/>
      </c>
      <c r="AG489" s="62" t="str">
        <f aca="false">IF(ISNUMBER(AD489),AD489-(IF(AND(INDEX(TZ_DSTS,MATCH(P489,TZ_STN,0))&lt;&gt;"",(AD489-INDEX(TZ_STD,MATCH(P489,TZ_STN,0))/24)&gt;=INDEX(TZ_DSTS,MATCH(P489,TZ_STN,0)),(AD489-INDEX(TZ_STD,MATCH(P489,TZ_STN,0))/24)&lt;INDEX(TZ_DSTE,MATCH(P489,TZ_STN,0))),INDEX(TZ_DST,MATCH(P489,TZ_STN,0)),INDEX(TZ_STD,MATCH(P489,TZ_STN,0))))/24,"")</f>
        <v/>
      </c>
      <c r="AH489" s="65" t="str">
        <f aca="false">IFERROR(IF(N489="N/A – rule","N/A – RULE",IF(TRIM(U489)="N/A",IF(AT489=0,"INVALID – N/A not permitted for this check",IF(AND(TRIM(AB489)&lt;&gt;"",TRIM(AB489)&lt;&gt;"Closed"),"INVALID – corrective action still open",IF(AND(NOT(OR(LEN(AZ489)&lt;15,ISNUMBER(MATCH(AZ489,L_Placeholder,0)))),NOT(OR(LEN(AU489)&lt;2,ISNUMBER(MATCH(AU489,L_Placeholder,0)))),NOT(OR(LEN(AX489)&lt;2,ISNUMBER(MATCH(AX489,L_Placeholder,0)))),TRIM(AE489)&lt;&gt;TRIM(T489)),"N/A – JUSTIFIED","INVALID – N/A needs a real justification (15+ chars), PIC and a different verifier"))),IF(OR(TRIM(U489)="Pass",TRIM(U489)="Pass after CA"),IF(NOT(ISNUMBER(AD489)),"INVALID – completion time missing",IF(OR(LEN(AU489)&lt;2,ISNUMBER(MATCH(AU489,L_Placeholder,0))),"INVALID – PIC missing",IF(OR(LEN(AV489)&lt;2,ISNUMBER(MATCH(AV489,L_Placeholder,0))),"INVALID – result / assessment missing",IF(OR(OR(LEN(AW489)&lt;3,ISNUMBER(MATCH(AW489,L_Placeholder,0))),SUMPRODUCT(--ISNUMBER(SEARCH(L_EvidencePhrase,AW489)))&gt;0),"INVALID – evidence missing, placeholder or not yet on file",IF(OR(LEN(AX489)&lt;2,ISNUMBER(MATCH(AX489,L_Placeholder,0))),"INVALID – verifier missing",IF(AX489=AU489,"INVALID – verifier must be someone other than the PIC",IF(AND(TRIM(U489)="Pass",SUMPRODUCT(--ISNUMBER(SEARCH(L_ResultBad,AV489)))&gt;0),"INVALID – result describes a problem: use Fail, then Pass after CA",IF(AND(AQ489=1,OR(LEN(AY489)&lt;3,ISNUMBER(MATCH(AY489,L_Placeholder,0)))),"INVALID – batch ID missing or placeholder",IF(AND(AR489=1,OR(NOT(ISNUMBER(X489)),NOT(ISNUMBER(Y489)))),"INVALID – expected/actual qty missing",IF(AND(AR489=1,OR(X489&lt;=0,Y489&lt;0)),"INVALID – expected qty must be above 0 and actual not negative",IF(BB489&lt;&gt;"",BB489,IF(AND(AS489=1,Documents!$J$19&lt;&gt;"ON FILE"),"INVALID – GLD not on file (Documents sheet)",IF(AND(AS489=2,Documents!$O$19&lt;&gt;"ON FILE"),"INVALID – menu checklist not on file (Documents sheet)",IF(AND(AS489=3,NOT(ISNUMBER(Flights!$AX$19))),"INVALID – enter carrying flight KUL departure (Flights AX)",IF(AND(AS489=3,OR(Flights!$AZ$19&gt;Flights!$AA$19,Flights!$AX$19&lt;Flights!$AA$19-3)),"INVALID – carrying flight (Flights AX) cannot arrive before this leg's STD, or is over 3 days early",IF(AG489&gt;AsOfUTC,"INVALID – completion time is in the future",IF(AND(ISNUMBER(S489),AG489&lt;S489),IF(H489="Physical uplift","INVALID – before uplift window (cannot confirm loading)","INVALID – before valid window"),IF(AG489&gt;Flights!$AA$19,"INVALID – completed after departure (cannot establish readiness)",IF(AND(H489="Preparation",AG489&gt;IF(ISNUMBER(Flights!$BA$19),MIN(Flights!$BA$19,Flights!$AA$19),Flights!$AA$19)),"INVALID – completed after loading / departure (cannot establish readiness)",IF(AND(H489="Physical uplift",AG489&gt;Q489),"INVALID – recorded after the loading flight departed",IF(AG489&gt;Q489,"COMPLETE – LATE","COMPLETE"))))))))))))))))))))),IF(TRIM(U489)="Fail","FAIL – DISCREPANCY",IF(AND(TRIM(U489)&lt;&gt;"",TRIM(U489)&lt;&gt;"Not started",TRIM(U489)&lt;&gt;"In progress"),"INVALID – unrecognised status (use the list)",IF(AsOfUTC&gt;Q489,"OVERDUE",IF(N489="Clarification required","OPEN – CLARIFICATION","OPEN"))))))),"INVALID – error value in an input cell")</f>
        <v>OPEN</v>
      </c>
      <c r="AI489" s="61" t="n">
        <f aca="false">IF(OR(AH489="N/A – RULE",AH489="N/A – JUSTIFIED"),0,1)</f>
        <v>1</v>
      </c>
      <c r="AJ489" s="61" t="n">
        <f aca="false">IF(LEFT(AH489,8)="COMPLETE",1,0)</f>
        <v>0</v>
      </c>
      <c r="AK489" s="61" t="n">
        <f aca="false">IF(AND(AI489=1,AJ489=0,AsOfUTC&gt;Q489),1,0)</f>
        <v>0</v>
      </c>
      <c r="AL489" s="61" t="n">
        <f aca="false">IFERROR(IF(AND(AI489=1,OR(TRIM(U489)="Fail",AND(TRIM(AB489)&lt;&gt;"",TRIM(AB489)&lt;&gt;"Closed"),AND(ISNUMBER(AF489),AF489&lt;&gt;0,TRIM(U489)&lt;&gt;"Pass after CA"))),1,0),1)</f>
        <v>0</v>
      </c>
      <c r="AM489" s="61" t="n">
        <f aca="false">IF(LEFT(AH489,7)="INVALID",1,0)</f>
        <v>0</v>
      </c>
      <c r="AN489" s="61" t="n">
        <f aca="false">IF(AND(N489="Clarification required",AI489=1,AJ489=0),1,0)</f>
        <v>0</v>
      </c>
      <c r="AO489" s="61" t="str">
        <f aca="false">IF(AK489=1,SUM(AK$5:AK489),"")</f>
        <v/>
      </c>
      <c r="AP489" s="61" t="str">
        <f aca="false">IF(AL489=1,SUM(AL$5:AL489),"")</f>
        <v/>
      </c>
      <c r="AQ489" s="61" t="n">
        <v>0</v>
      </c>
      <c r="AR489" s="61" t="n">
        <v>0</v>
      </c>
      <c r="AS489" s="61" t="n">
        <v>0</v>
      </c>
      <c r="AT489" s="61" t="n">
        <v>0</v>
      </c>
      <c r="AU489" s="61" t="str">
        <f aca="false">SUBSTITUTE(SUBSTITUTE(SUBSTITUTE(SUBSTITUTE(SUBSTITUTE(SUBSTITUTE(SUBSTITUTE(SUBSTITUTE(SUBSTITUTE(SUBSTITUTE(SUBSTITUTE(SUBSTITUTE(SUBSTITUTE(LOWER(T489&amp;""),CHAR(160),"")," ",""),".",""),"-",""),"/",""),"?",""),"_",""),",",""),"[",""),"]",""),"(",""),")",""),"*","")</f>
        <v/>
      </c>
      <c r="AV489" s="61" t="str">
        <f aca="false">SUBSTITUTE(SUBSTITUTE(SUBSTITUTE(SUBSTITUTE(SUBSTITUTE(SUBSTITUTE(SUBSTITUTE(SUBSTITUTE(SUBSTITUTE(SUBSTITUTE(SUBSTITUTE(SUBSTITUTE(SUBSTITUTE(LOWER(V489&amp;""),CHAR(160),"")," ",""),".",""),"-",""),"/",""),"?",""),"_",""),",",""),"[",""),"]",""),"(",""),")",""),"*","")</f>
        <v/>
      </c>
      <c r="AW489" s="61" t="str">
        <f aca="false">SUBSTITUTE(SUBSTITUTE(SUBSTITUTE(SUBSTITUTE(SUBSTITUTE(SUBSTITUTE(SUBSTITUTE(SUBSTITUTE(SUBSTITUTE(SUBSTITUTE(SUBSTITUTE(SUBSTITUTE(SUBSTITUTE(LOWER(Z489&amp;""),CHAR(160),"")," ",""),".",""),"-",""),"/",""),"?",""),"_",""),",",""),"[",""),"]",""),"(",""),")",""),"*","")</f>
        <v/>
      </c>
      <c r="AX489" s="61" t="str">
        <f aca="false">SUBSTITUTE(SUBSTITUTE(SUBSTITUTE(SUBSTITUTE(SUBSTITUTE(SUBSTITUTE(SUBSTITUTE(SUBSTITUTE(SUBSTITUTE(SUBSTITUTE(SUBSTITUTE(SUBSTITUTE(SUBSTITUTE(LOWER(AE489&amp;""),CHAR(160),"")," ",""),".",""),"-",""),"/",""),"?",""),"_",""),",",""),"[",""),"]",""),"(",""),")",""),"*","")</f>
        <v/>
      </c>
      <c r="AY489" s="61" t="str">
        <f aca="false">SUBSTITUTE(SUBSTITUTE(SUBSTITUTE(SUBSTITUTE(SUBSTITUTE(SUBSTITUTE(SUBSTITUTE(SUBSTITUTE(SUBSTITUTE(SUBSTITUTE(SUBSTITUTE(SUBSTITUTE(SUBSTITUTE(LOWER(W489&amp;""),CHAR(160),"")," ",""),".",""),"-",""),"/",""),"?",""),"_",""),",",""),"[",""),"]",""),"(",""),")",""),"*","")</f>
        <v/>
      </c>
      <c r="AZ489" s="61" t="str">
        <f aca="false">SUBSTITUTE(SUBSTITUTE(SUBSTITUTE(SUBSTITUTE(SUBSTITUTE(SUBSTITUTE(SUBSTITUTE(SUBSTITUTE(SUBSTITUTE(SUBSTITUTE(SUBSTITUTE(SUBSTITUTE(SUBSTITUTE(LOWER(AC489&amp;""),CHAR(160),"")," ",""),".",""),"-",""),"/",""),"?",""),"_",""),",",""),"[",""),"]",""),"(",""),")",""),"*","")</f>
        <v/>
      </c>
      <c r="BA489" s="61" t="str">
        <f aca="false">SUBSTITUTE(SUBSTITUTE(SUBSTITUTE(SUBSTITUTE(SUBSTITUTE(SUBSTITUTE(SUBSTITUTE(SUBSTITUTE(SUBSTITUTE(SUBSTITUTE(SUBSTITUTE(SUBSTITUTE(SUBSTITUTE(LOWER(AA489&amp;""),CHAR(160),"")," ",""),".",""),"-",""),"/",""),"?",""),"_",""),",",""),"[",""),"]",""),"(",""),")",""),"*","")</f>
        <v/>
      </c>
      <c r="BB489" s="61" t="str">
        <f aca="false">IF(AND(TRIM(U489)="Pass",ISNUMBER(AF489)),IF(AF489&lt;&gt;0,"INVALID – qty variance: use Fail or Pass after CA",""),"")&amp;IF(AND(TRIM(U489)="Pass after CA",ISNUMBER(AF489)),IF(AF489&lt;&gt;0,"INVALID – after the corrective action the actual qty must equal expected (update Actual)",""),"")&amp;IF(AND(TRIM(U489)="Pass",TRIM(AB489)&lt;&gt;"",TRIM(AB489)&lt;&gt;"Closed"),"INVALID – corrective action not closed: use Fail, then Pass after CA","")&amp;IF(AND(TRIM(AA489)&lt;&gt;"",TRIM(AB489)=""),"INVALID – CA status missing for the recorded corrective action","")&amp;IF(AND(TRIM(U489)="Pass after CA",OR(OR(LEN(BA489)&lt;5,ISNUMBER(MATCH(BA489,L_Placeholder,0))),TRIM(AB489)&lt;&gt;"Closed")),"INVALID – corrective action not recorded/closed","")</f>
        <v/>
      </c>
    </row>
    <row r="490" customFormat="false" ht="54" hidden="false" customHeight="true" outlineLevel="0" collapsed="false">
      <c r="A490" s="57" t="s">
        <v>1119</v>
      </c>
      <c r="B490" s="57" t="s">
        <v>275</v>
      </c>
      <c r="C490" s="57" t="str">
        <f aca="false">Flights!$F$19</f>
        <v>MH0003</v>
      </c>
      <c r="D490" s="58" t="n">
        <f aca="false">Flights!$D$19</f>
        <v>46320</v>
      </c>
      <c r="E490" s="57" t="str">
        <f aca="false">Flights!$G$19&amp;"-"&amp;Flights!$H$19</f>
        <v>LHR-KUL</v>
      </c>
      <c r="F490" s="57" t="str">
        <f aca="false">Flights!$K$19</f>
        <v>EY</v>
      </c>
      <c r="G490" s="57" t="s">
        <v>81</v>
      </c>
      <c r="H490" s="57" t="s">
        <v>356</v>
      </c>
      <c r="I490" s="57" t="s">
        <v>357</v>
      </c>
      <c r="J490" s="57" t="s">
        <v>394</v>
      </c>
      <c r="K490" s="67" t="s">
        <v>395</v>
      </c>
      <c r="L490" s="67" t="s">
        <v>396</v>
      </c>
      <c r="M490" s="67"/>
      <c r="N490" s="67" t="s">
        <v>361</v>
      </c>
      <c r="O490" s="67" t="s">
        <v>1120</v>
      </c>
      <c r="P490" s="57" t="s">
        <v>183</v>
      </c>
      <c r="Q490" s="59" t="n">
        <f aca="false">ROUND((Flights!$AD$19)*1440,0)/1440</f>
        <v>46319.4583333333</v>
      </c>
      <c r="R490" s="59" t="n">
        <f aca="false">Q490+(IF(AND(INDEX(TZ_DSTS,MATCH(P490,TZ_STN,0))&lt;&gt;"",Q490&gt;=INDEX(TZ_DSTS,MATCH(P490,TZ_STN,0)),Q490&lt;INDEX(TZ_DSTE,MATCH(P490,TZ_STN,0))),INDEX(TZ_DST,MATCH(P490,TZ_STN,0)),INDEX(TZ_STD,MATCH(P490,TZ_STN,0))))/24</f>
        <v>46319.5</v>
      </c>
      <c r="S490" s="59" t="n">
        <f aca="false">Q490-T24EarlyH/24</f>
        <v>46318.4583333333</v>
      </c>
      <c r="T490" s="60"/>
      <c r="U490" s="60"/>
      <c r="V490" s="60"/>
      <c r="W490" s="60"/>
      <c r="X490" s="60"/>
      <c r="Y490" s="60"/>
      <c r="Z490" s="60"/>
      <c r="AA490" s="60"/>
      <c r="AB490" s="60"/>
      <c r="AC490" s="60"/>
      <c r="AD490" s="66"/>
      <c r="AE490" s="60"/>
      <c r="AF490" s="61" t="str">
        <f aca="false">IF(AND(ISNUMBER(X490),ISNUMBER(Y490)),Y490-X490,"")</f>
        <v/>
      </c>
      <c r="AG490" s="62" t="str">
        <f aca="false">IF(ISNUMBER(AD490),AD490-(IF(AND(INDEX(TZ_DSTS,MATCH(P490,TZ_STN,0))&lt;&gt;"",(AD490-INDEX(TZ_STD,MATCH(P490,TZ_STN,0))/24)&gt;=INDEX(TZ_DSTS,MATCH(P490,TZ_STN,0)),(AD490-INDEX(TZ_STD,MATCH(P490,TZ_STN,0))/24)&lt;INDEX(TZ_DSTE,MATCH(P490,TZ_STN,0))),INDEX(TZ_DST,MATCH(P490,TZ_STN,0)),INDEX(TZ_STD,MATCH(P490,TZ_STN,0))))/24,"")</f>
        <v/>
      </c>
      <c r="AH490" s="65" t="str">
        <f aca="false">IFERROR(IF(N490="N/A – rule","N/A – RULE",IF(TRIM(U490)="N/A",IF(AT490=0,"INVALID – N/A not permitted for this check",IF(AND(TRIM(AB490)&lt;&gt;"",TRIM(AB490)&lt;&gt;"Closed"),"INVALID – corrective action still open",IF(AND(NOT(OR(LEN(AZ490)&lt;15,ISNUMBER(MATCH(AZ490,L_Placeholder,0)))),NOT(OR(LEN(AU490)&lt;2,ISNUMBER(MATCH(AU490,L_Placeholder,0)))),NOT(OR(LEN(AX490)&lt;2,ISNUMBER(MATCH(AX490,L_Placeholder,0)))),TRIM(AE490)&lt;&gt;TRIM(T490)),"N/A – JUSTIFIED","INVALID – N/A needs a real justification (15+ chars), PIC and a different verifier"))),IF(OR(TRIM(U490)="Pass",TRIM(U490)="Pass after CA"),IF(NOT(ISNUMBER(AD490)),"INVALID – completion time missing",IF(OR(LEN(AU490)&lt;2,ISNUMBER(MATCH(AU490,L_Placeholder,0))),"INVALID – PIC missing",IF(OR(LEN(AV490)&lt;2,ISNUMBER(MATCH(AV490,L_Placeholder,0))),"INVALID – result / assessment missing",IF(OR(OR(LEN(AW490)&lt;3,ISNUMBER(MATCH(AW490,L_Placeholder,0))),SUMPRODUCT(--ISNUMBER(SEARCH(L_EvidencePhrase,AW490)))&gt;0),"INVALID – evidence missing, placeholder or not yet on file",IF(OR(LEN(AX490)&lt;2,ISNUMBER(MATCH(AX490,L_Placeholder,0))),"INVALID – verifier missing",IF(AX490=AU490,"INVALID – verifier must be someone other than the PIC",IF(AND(TRIM(U490)="Pass",SUMPRODUCT(--ISNUMBER(SEARCH(L_ResultBad,AV490)))&gt;0),"INVALID – result describes a problem: use Fail, then Pass after CA",IF(AND(AQ490=1,OR(LEN(AY490)&lt;3,ISNUMBER(MATCH(AY490,L_Placeholder,0)))),"INVALID – batch ID missing or placeholder",IF(AND(AR490=1,OR(NOT(ISNUMBER(X490)),NOT(ISNUMBER(Y490)))),"INVALID – expected/actual qty missing",IF(AND(AR490=1,OR(X490&lt;=0,Y490&lt;0)),"INVALID – expected qty must be above 0 and actual not negative",IF(BB490&lt;&gt;"",BB490,IF(AND(AS490=1,Documents!$J$19&lt;&gt;"ON FILE"),"INVALID – GLD not on file (Documents sheet)",IF(AND(AS490=2,Documents!$O$19&lt;&gt;"ON FILE"),"INVALID – menu checklist not on file (Documents sheet)",IF(AND(AS490=3,NOT(ISNUMBER(Flights!$AX$19))),"INVALID – enter carrying flight KUL departure (Flights AX)",IF(AND(AS490=3,OR(Flights!$AZ$19&gt;Flights!$AA$19,Flights!$AX$19&lt;Flights!$AA$19-3)),"INVALID – carrying flight (Flights AX) cannot arrive before this leg's STD, or is over 3 days early",IF(AG490&gt;AsOfUTC,"INVALID – completion time is in the future",IF(AND(ISNUMBER(S490),AG490&lt;S490),IF(H490="Physical uplift","INVALID – before uplift window (cannot confirm loading)","INVALID – before valid window"),IF(AG490&gt;Flights!$AA$19,"INVALID – completed after departure (cannot establish readiness)",IF(AND(H490="Preparation",AG490&gt;IF(ISNUMBER(Flights!$BA$19),MIN(Flights!$BA$19,Flights!$AA$19),Flights!$AA$19)),"INVALID – completed after loading / departure (cannot establish readiness)",IF(AND(H490="Physical uplift",AG490&gt;Q490),"INVALID – recorded after the loading flight departed",IF(AG490&gt;Q490,"COMPLETE – LATE","COMPLETE"))))))))))))))))))))),IF(TRIM(U490)="Fail","FAIL – DISCREPANCY",IF(AND(TRIM(U490)&lt;&gt;"",TRIM(U490)&lt;&gt;"Not started",TRIM(U490)&lt;&gt;"In progress"),"INVALID – unrecognised status (use the list)",IF(AsOfUTC&gt;Q490,"OVERDUE",IF(N490="Clarification required","OPEN – CLARIFICATION","OPEN"))))))),"INVALID – error value in an input cell")</f>
        <v>OPEN</v>
      </c>
      <c r="AI490" s="61" t="n">
        <f aca="false">IF(OR(AH490="N/A – RULE",AH490="N/A – JUSTIFIED"),0,1)</f>
        <v>1</v>
      </c>
      <c r="AJ490" s="61" t="n">
        <f aca="false">IF(LEFT(AH490,8)="COMPLETE",1,0)</f>
        <v>0</v>
      </c>
      <c r="AK490" s="61" t="n">
        <f aca="false">IF(AND(AI490=1,AJ490=0,AsOfUTC&gt;Q490),1,0)</f>
        <v>0</v>
      </c>
      <c r="AL490" s="61" t="n">
        <f aca="false">IFERROR(IF(AND(AI490=1,OR(TRIM(U490)="Fail",AND(TRIM(AB490)&lt;&gt;"",TRIM(AB490)&lt;&gt;"Closed"),AND(ISNUMBER(AF490),AF490&lt;&gt;0,TRIM(U490)&lt;&gt;"Pass after CA"))),1,0),1)</f>
        <v>0</v>
      </c>
      <c r="AM490" s="61" t="n">
        <f aca="false">IF(LEFT(AH490,7)="INVALID",1,0)</f>
        <v>0</v>
      </c>
      <c r="AN490" s="61" t="n">
        <f aca="false">IF(AND(N490="Clarification required",AI490=1,AJ490=0),1,0)</f>
        <v>0</v>
      </c>
      <c r="AO490" s="61" t="str">
        <f aca="false">IF(AK490=1,SUM(AK$5:AK490),"")</f>
        <v/>
      </c>
      <c r="AP490" s="61" t="str">
        <f aca="false">IF(AL490=1,SUM(AL$5:AL490),"")</f>
        <v/>
      </c>
      <c r="AQ490" s="61" t="n">
        <v>1</v>
      </c>
      <c r="AR490" s="61" t="n">
        <v>0</v>
      </c>
      <c r="AS490" s="61" t="n">
        <v>0</v>
      </c>
      <c r="AT490" s="61" t="n">
        <v>0</v>
      </c>
      <c r="AU490" s="61" t="str">
        <f aca="false">SUBSTITUTE(SUBSTITUTE(SUBSTITUTE(SUBSTITUTE(SUBSTITUTE(SUBSTITUTE(SUBSTITUTE(SUBSTITUTE(SUBSTITUTE(SUBSTITUTE(SUBSTITUTE(SUBSTITUTE(SUBSTITUTE(LOWER(T490&amp;""),CHAR(160),"")," ",""),".",""),"-",""),"/",""),"?",""),"_",""),",",""),"[",""),"]",""),"(",""),")",""),"*","")</f>
        <v/>
      </c>
      <c r="AV490" s="61" t="str">
        <f aca="false">SUBSTITUTE(SUBSTITUTE(SUBSTITUTE(SUBSTITUTE(SUBSTITUTE(SUBSTITUTE(SUBSTITUTE(SUBSTITUTE(SUBSTITUTE(SUBSTITUTE(SUBSTITUTE(SUBSTITUTE(SUBSTITUTE(LOWER(V490&amp;""),CHAR(160),"")," ",""),".",""),"-",""),"/",""),"?",""),"_",""),",",""),"[",""),"]",""),"(",""),")",""),"*","")</f>
        <v/>
      </c>
      <c r="AW490" s="61" t="str">
        <f aca="false">SUBSTITUTE(SUBSTITUTE(SUBSTITUTE(SUBSTITUTE(SUBSTITUTE(SUBSTITUTE(SUBSTITUTE(SUBSTITUTE(SUBSTITUTE(SUBSTITUTE(SUBSTITUTE(SUBSTITUTE(SUBSTITUTE(LOWER(Z490&amp;""),CHAR(160),"")," ",""),".",""),"-",""),"/",""),"?",""),"_",""),",",""),"[",""),"]",""),"(",""),")",""),"*","")</f>
        <v/>
      </c>
      <c r="AX490" s="61" t="str">
        <f aca="false">SUBSTITUTE(SUBSTITUTE(SUBSTITUTE(SUBSTITUTE(SUBSTITUTE(SUBSTITUTE(SUBSTITUTE(SUBSTITUTE(SUBSTITUTE(SUBSTITUTE(SUBSTITUTE(SUBSTITUTE(SUBSTITUTE(LOWER(AE490&amp;""),CHAR(160),"")," ",""),".",""),"-",""),"/",""),"?",""),"_",""),",",""),"[",""),"]",""),"(",""),")",""),"*","")</f>
        <v/>
      </c>
      <c r="AY490" s="61" t="str">
        <f aca="false">SUBSTITUTE(SUBSTITUTE(SUBSTITUTE(SUBSTITUTE(SUBSTITUTE(SUBSTITUTE(SUBSTITUTE(SUBSTITUTE(SUBSTITUTE(SUBSTITUTE(SUBSTITUTE(SUBSTITUTE(SUBSTITUTE(LOWER(W490&amp;""),CHAR(160),"")," ",""),".",""),"-",""),"/",""),"?",""),"_",""),",",""),"[",""),"]",""),"(",""),")",""),"*","")</f>
        <v/>
      </c>
      <c r="AZ490" s="61" t="str">
        <f aca="false">SUBSTITUTE(SUBSTITUTE(SUBSTITUTE(SUBSTITUTE(SUBSTITUTE(SUBSTITUTE(SUBSTITUTE(SUBSTITUTE(SUBSTITUTE(SUBSTITUTE(SUBSTITUTE(SUBSTITUTE(SUBSTITUTE(LOWER(AC490&amp;""),CHAR(160),"")," ",""),".",""),"-",""),"/",""),"?",""),"_",""),",",""),"[",""),"]",""),"(",""),")",""),"*","")</f>
        <v/>
      </c>
      <c r="BA490" s="61" t="str">
        <f aca="false">SUBSTITUTE(SUBSTITUTE(SUBSTITUTE(SUBSTITUTE(SUBSTITUTE(SUBSTITUTE(SUBSTITUTE(SUBSTITUTE(SUBSTITUTE(SUBSTITUTE(SUBSTITUTE(SUBSTITUTE(SUBSTITUTE(LOWER(AA490&amp;""),CHAR(160),"")," ",""),".",""),"-",""),"/",""),"?",""),"_",""),",",""),"[",""),"]",""),"(",""),")",""),"*","")</f>
        <v/>
      </c>
      <c r="BB490" s="61" t="str">
        <f aca="false">IF(AND(TRIM(U490)="Pass",ISNUMBER(AF490)),IF(AF490&lt;&gt;0,"INVALID – qty variance: use Fail or Pass after CA",""),"")&amp;IF(AND(TRIM(U490)="Pass after CA",ISNUMBER(AF490)),IF(AF490&lt;&gt;0,"INVALID – after the corrective action the actual qty must equal expected (update Actual)",""),"")&amp;IF(AND(TRIM(U490)="Pass",TRIM(AB490)&lt;&gt;"",TRIM(AB490)&lt;&gt;"Closed"),"INVALID – corrective action not closed: use Fail, then Pass after CA","")&amp;IF(AND(TRIM(AA490)&lt;&gt;"",TRIM(AB490)=""),"INVALID – CA status missing for the recorded corrective action","")&amp;IF(AND(TRIM(U490)="Pass after CA",OR(OR(LEN(BA490)&lt;5,ISNUMBER(MATCH(BA490,L_Placeholder,0))),TRIM(AB490)&lt;&gt;"Closed")),"INVALID – corrective action not recorded/closed","")</f>
        <v/>
      </c>
    </row>
    <row r="491" customFormat="false" ht="66" hidden="false" customHeight="true" outlineLevel="0" collapsed="false">
      <c r="A491" s="57" t="s">
        <v>1121</v>
      </c>
      <c r="B491" s="57" t="s">
        <v>275</v>
      </c>
      <c r="C491" s="57" t="str">
        <f aca="false">Flights!$F$19</f>
        <v>MH0003</v>
      </c>
      <c r="D491" s="58" t="n">
        <f aca="false">Flights!$D$19</f>
        <v>46320</v>
      </c>
      <c r="E491" s="57" t="str">
        <f aca="false">Flights!$G$19&amp;"-"&amp;Flights!$H$19</f>
        <v>LHR-KUL</v>
      </c>
      <c r="F491" s="57" t="str">
        <f aca="false">Flights!$K$19</f>
        <v>EY</v>
      </c>
      <c r="G491" s="57" t="s">
        <v>398</v>
      </c>
      <c r="H491" s="57" t="s">
        <v>356</v>
      </c>
      <c r="I491" s="57" t="s">
        <v>357</v>
      </c>
      <c r="J491" s="57" t="s">
        <v>399</v>
      </c>
      <c r="K491" s="67"/>
      <c r="L491" s="67" t="s">
        <v>400</v>
      </c>
      <c r="M491" s="67"/>
      <c r="N491" s="67" t="s">
        <v>361</v>
      </c>
      <c r="O491" s="67" t="s">
        <v>1122</v>
      </c>
      <c r="P491" s="57" t="s">
        <v>183</v>
      </c>
      <c r="Q491" s="59" t="n">
        <f aca="false">ROUND((Flights!$AE$19)*1440,0)/1440</f>
        <v>46319.9583333333</v>
      </c>
      <c r="R491" s="59" t="n">
        <f aca="false">Q491+(IF(AND(INDEX(TZ_DSTS,MATCH(P491,TZ_STN,0))&lt;&gt;"",Q491&gt;=INDEX(TZ_DSTS,MATCH(P491,TZ_STN,0)),Q491&lt;INDEX(TZ_DSTE,MATCH(P491,TZ_STN,0))),INDEX(TZ_DST,MATCH(P491,TZ_STN,0)),INDEX(TZ_STD,MATCH(P491,TZ_STN,0))))/24</f>
        <v>46320</v>
      </c>
      <c r="S491" s="59" t="n">
        <f aca="false">Q491-T12EarlyH/24</f>
        <v>46319.4583333333</v>
      </c>
      <c r="T491" s="60"/>
      <c r="U491" s="60"/>
      <c r="V491" s="60"/>
      <c r="W491" s="61"/>
      <c r="X491" s="60"/>
      <c r="Y491" s="60"/>
      <c r="Z491" s="60"/>
      <c r="AA491" s="60"/>
      <c r="AB491" s="60"/>
      <c r="AC491" s="60"/>
      <c r="AD491" s="66"/>
      <c r="AE491" s="60"/>
      <c r="AF491" s="61" t="str">
        <f aca="false">IF(AND(ISNUMBER(X491),ISNUMBER(Y491)),Y491-X491,"")</f>
        <v/>
      </c>
      <c r="AG491" s="62" t="str">
        <f aca="false">IF(ISNUMBER(AD491),AD491-(IF(AND(INDEX(TZ_DSTS,MATCH(P491,TZ_STN,0))&lt;&gt;"",(AD491-INDEX(TZ_STD,MATCH(P491,TZ_STN,0))/24)&gt;=INDEX(TZ_DSTS,MATCH(P491,TZ_STN,0)),(AD491-INDEX(TZ_STD,MATCH(P491,TZ_STN,0))/24)&lt;INDEX(TZ_DSTE,MATCH(P491,TZ_STN,0))),INDEX(TZ_DST,MATCH(P491,TZ_STN,0)),INDEX(TZ_STD,MATCH(P491,TZ_STN,0))))/24,"")</f>
        <v/>
      </c>
      <c r="AH491" s="65" t="str">
        <f aca="false">IFERROR(IF(N491="N/A – rule","N/A – RULE",IF(TRIM(U491)="N/A",IF(AT491=0,"INVALID – N/A not permitted for this check",IF(AND(TRIM(AB491)&lt;&gt;"",TRIM(AB491)&lt;&gt;"Closed"),"INVALID – corrective action still open",IF(AND(NOT(OR(LEN(AZ491)&lt;15,ISNUMBER(MATCH(AZ491,L_Placeholder,0)))),NOT(OR(LEN(AU491)&lt;2,ISNUMBER(MATCH(AU491,L_Placeholder,0)))),NOT(OR(LEN(AX491)&lt;2,ISNUMBER(MATCH(AX491,L_Placeholder,0)))),TRIM(AE491)&lt;&gt;TRIM(T491)),"N/A – JUSTIFIED","INVALID – N/A needs a real justification (15+ chars), PIC and a different verifier"))),IF(OR(TRIM(U491)="Pass",TRIM(U491)="Pass after CA"),IF(NOT(ISNUMBER(AD491)),"INVALID – completion time missing",IF(OR(LEN(AU491)&lt;2,ISNUMBER(MATCH(AU491,L_Placeholder,0))),"INVALID – PIC missing",IF(OR(LEN(AV491)&lt;2,ISNUMBER(MATCH(AV491,L_Placeholder,0))),"INVALID – result / assessment missing",IF(OR(OR(LEN(AW491)&lt;3,ISNUMBER(MATCH(AW491,L_Placeholder,0))),SUMPRODUCT(--ISNUMBER(SEARCH(L_EvidencePhrase,AW491)))&gt;0),"INVALID – evidence missing, placeholder or not yet on file",IF(OR(LEN(AX491)&lt;2,ISNUMBER(MATCH(AX491,L_Placeholder,0))),"INVALID – verifier missing",IF(AX491=AU491,"INVALID – verifier must be someone other than the PIC",IF(AND(TRIM(U491)="Pass",SUMPRODUCT(--ISNUMBER(SEARCH(L_ResultBad,AV491)))&gt;0),"INVALID – result describes a problem: use Fail, then Pass after CA",IF(AND(AQ491=1,OR(LEN(AY491)&lt;3,ISNUMBER(MATCH(AY491,L_Placeholder,0)))),"INVALID – batch ID missing or placeholder",IF(AND(AR491=1,OR(NOT(ISNUMBER(X491)),NOT(ISNUMBER(Y491)))),"INVALID – expected/actual qty missing",IF(AND(AR491=1,OR(X491&lt;=0,Y491&lt;0)),"INVALID – expected qty must be above 0 and actual not negative",IF(BB491&lt;&gt;"",BB491,IF(AND(AS491=1,Documents!$J$19&lt;&gt;"ON FILE"),"INVALID – GLD not on file (Documents sheet)",IF(AND(AS491=2,Documents!$O$19&lt;&gt;"ON FILE"),"INVALID – menu checklist not on file (Documents sheet)",IF(AND(AS491=3,NOT(ISNUMBER(Flights!$AX$19))),"INVALID – enter carrying flight KUL departure (Flights AX)",IF(AND(AS491=3,OR(Flights!$AZ$19&gt;Flights!$AA$19,Flights!$AX$19&lt;Flights!$AA$19-3)),"INVALID – carrying flight (Flights AX) cannot arrive before this leg's STD, or is over 3 days early",IF(AG491&gt;AsOfUTC,"INVALID – completion time is in the future",IF(AND(ISNUMBER(S491),AG491&lt;S491),IF(H491="Physical uplift","INVALID – before uplift window (cannot confirm loading)","INVALID – before valid window"),IF(AG491&gt;Flights!$AA$19,"INVALID – completed after departure (cannot establish readiness)",IF(AND(H491="Preparation",AG491&gt;IF(ISNUMBER(Flights!$BA$19),MIN(Flights!$BA$19,Flights!$AA$19),Flights!$AA$19)),"INVALID – completed after loading / departure (cannot establish readiness)",IF(AND(H491="Physical uplift",AG491&gt;Q491),"INVALID – recorded after the loading flight departed",IF(AG491&gt;Q491,"COMPLETE – LATE","COMPLETE"))))))))))))))))))))),IF(TRIM(U491)="Fail","FAIL – DISCREPANCY",IF(AND(TRIM(U491)&lt;&gt;"",TRIM(U491)&lt;&gt;"Not started",TRIM(U491)&lt;&gt;"In progress"),"INVALID – unrecognised status (use the list)",IF(AsOfUTC&gt;Q491,"OVERDUE",IF(N491="Clarification required","OPEN – CLARIFICATION","OPEN"))))))),"INVALID – error value in an input cell")</f>
        <v>OPEN</v>
      </c>
      <c r="AI491" s="61" t="n">
        <f aca="false">IF(OR(AH491="N/A – RULE",AH491="N/A – JUSTIFIED"),0,1)</f>
        <v>1</v>
      </c>
      <c r="AJ491" s="61" t="n">
        <f aca="false">IF(LEFT(AH491,8)="COMPLETE",1,0)</f>
        <v>0</v>
      </c>
      <c r="AK491" s="61" t="n">
        <f aca="false">IF(AND(AI491=1,AJ491=0,AsOfUTC&gt;Q491),1,0)</f>
        <v>0</v>
      </c>
      <c r="AL491" s="61" t="n">
        <f aca="false">IFERROR(IF(AND(AI491=1,OR(TRIM(U491)="Fail",AND(TRIM(AB491)&lt;&gt;"",TRIM(AB491)&lt;&gt;"Closed"),AND(ISNUMBER(AF491),AF491&lt;&gt;0,TRIM(U491)&lt;&gt;"Pass after CA"))),1,0),1)</f>
        <v>0</v>
      </c>
      <c r="AM491" s="61" t="n">
        <f aca="false">IF(LEFT(AH491,7)="INVALID",1,0)</f>
        <v>0</v>
      </c>
      <c r="AN491" s="61" t="n">
        <f aca="false">IF(AND(N491="Clarification required",AI491=1,AJ491=0),1,0)</f>
        <v>0</v>
      </c>
      <c r="AO491" s="61" t="str">
        <f aca="false">IF(AK491=1,SUM(AK$5:AK491),"")</f>
        <v/>
      </c>
      <c r="AP491" s="61" t="str">
        <f aca="false">IF(AL491=1,SUM(AL$5:AL491),"")</f>
        <v/>
      </c>
      <c r="AQ491" s="61" t="n">
        <v>0</v>
      </c>
      <c r="AR491" s="61" t="n">
        <v>0</v>
      </c>
      <c r="AS491" s="61" t="n">
        <v>0</v>
      </c>
      <c r="AT491" s="61" t="n">
        <v>0</v>
      </c>
      <c r="AU491" s="61" t="str">
        <f aca="false">SUBSTITUTE(SUBSTITUTE(SUBSTITUTE(SUBSTITUTE(SUBSTITUTE(SUBSTITUTE(SUBSTITUTE(SUBSTITUTE(SUBSTITUTE(SUBSTITUTE(SUBSTITUTE(SUBSTITUTE(SUBSTITUTE(LOWER(T491&amp;""),CHAR(160),"")," ",""),".",""),"-",""),"/",""),"?",""),"_",""),",",""),"[",""),"]",""),"(",""),")",""),"*","")</f>
        <v/>
      </c>
      <c r="AV491" s="61" t="str">
        <f aca="false">SUBSTITUTE(SUBSTITUTE(SUBSTITUTE(SUBSTITUTE(SUBSTITUTE(SUBSTITUTE(SUBSTITUTE(SUBSTITUTE(SUBSTITUTE(SUBSTITUTE(SUBSTITUTE(SUBSTITUTE(SUBSTITUTE(LOWER(V491&amp;""),CHAR(160),"")," ",""),".",""),"-",""),"/",""),"?",""),"_",""),",",""),"[",""),"]",""),"(",""),")",""),"*","")</f>
        <v/>
      </c>
      <c r="AW491" s="61" t="str">
        <f aca="false">SUBSTITUTE(SUBSTITUTE(SUBSTITUTE(SUBSTITUTE(SUBSTITUTE(SUBSTITUTE(SUBSTITUTE(SUBSTITUTE(SUBSTITUTE(SUBSTITUTE(SUBSTITUTE(SUBSTITUTE(SUBSTITUTE(LOWER(Z491&amp;""),CHAR(160),"")," ",""),".",""),"-",""),"/",""),"?",""),"_",""),",",""),"[",""),"]",""),"(",""),")",""),"*","")</f>
        <v/>
      </c>
      <c r="AX491" s="61" t="str">
        <f aca="false">SUBSTITUTE(SUBSTITUTE(SUBSTITUTE(SUBSTITUTE(SUBSTITUTE(SUBSTITUTE(SUBSTITUTE(SUBSTITUTE(SUBSTITUTE(SUBSTITUTE(SUBSTITUTE(SUBSTITUTE(SUBSTITUTE(LOWER(AE491&amp;""),CHAR(160),"")," ",""),".",""),"-",""),"/",""),"?",""),"_",""),",",""),"[",""),"]",""),"(",""),")",""),"*","")</f>
        <v/>
      </c>
      <c r="AY491" s="61" t="str">
        <f aca="false">SUBSTITUTE(SUBSTITUTE(SUBSTITUTE(SUBSTITUTE(SUBSTITUTE(SUBSTITUTE(SUBSTITUTE(SUBSTITUTE(SUBSTITUTE(SUBSTITUTE(SUBSTITUTE(SUBSTITUTE(SUBSTITUTE(LOWER(W491&amp;""),CHAR(160),"")," ",""),".",""),"-",""),"/",""),"?",""),"_",""),",",""),"[",""),"]",""),"(",""),")",""),"*","")</f>
        <v/>
      </c>
      <c r="AZ491" s="61" t="str">
        <f aca="false">SUBSTITUTE(SUBSTITUTE(SUBSTITUTE(SUBSTITUTE(SUBSTITUTE(SUBSTITUTE(SUBSTITUTE(SUBSTITUTE(SUBSTITUTE(SUBSTITUTE(SUBSTITUTE(SUBSTITUTE(SUBSTITUTE(LOWER(AC491&amp;""),CHAR(160),"")," ",""),".",""),"-",""),"/",""),"?",""),"_",""),",",""),"[",""),"]",""),"(",""),")",""),"*","")</f>
        <v/>
      </c>
      <c r="BA491" s="61" t="str">
        <f aca="false">SUBSTITUTE(SUBSTITUTE(SUBSTITUTE(SUBSTITUTE(SUBSTITUTE(SUBSTITUTE(SUBSTITUTE(SUBSTITUTE(SUBSTITUTE(SUBSTITUTE(SUBSTITUTE(SUBSTITUTE(SUBSTITUTE(LOWER(AA491&amp;""),CHAR(160),"")," ",""),".",""),"-",""),"/",""),"?",""),"_",""),",",""),"[",""),"]",""),"(",""),")",""),"*","")</f>
        <v/>
      </c>
      <c r="BB491" s="61" t="str">
        <f aca="false">IF(AND(TRIM(U491)="Pass",ISNUMBER(AF491)),IF(AF491&lt;&gt;0,"INVALID – qty variance: use Fail or Pass after CA",""),"")&amp;IF(AND(TRIM(U491)="Pass after CA",ISNUMBER(AF491)),IF(AF491&lt;&gt;0,"INVALID – after the corrective action the actual qty must equal expected (update Actual)",""),"")&amp;IF(AND(TRIM(U491)="Pass",TRIM(AB491)&lt;&gt;"",TRIM(AB491)&lt;&gt;"Closed"),"INVALID – corrective action not closed: use Fail, then Pass after CA","")&amp;IF(AND(TRIM(AA491)&lt;&gt;"",TRIM(AB491)=""),"INVALID – CA status missing for the recorded corrective action","")&amp;IF(AND(TRIM(U491)="Pass after CA",OR(OR(LEN(BA491)&lt;5,ISNUMBER(MATCH(BA491,L_Placeholder,0))),TRIM(AB491)&lt;&gt;"Closed")),"INVALID – corrective action not recorded/closed","")</f>
        <v/>
      </c>
    </row>
    <row r="492" customFormat="false" ht="39.75" hidden="false" customHeight="true" outlineLevel="0" collapsed="false">
      <c r="A492" s="57" t="s">
        <v>1123</v>
      </c>
      <c r="B492" s="57" t="s">
        <v>275</v>
      </c>
      <c r="C492" s="57" t="str">
        <f aca="false">Flights!$F$19</f>
        <v>MH0003</v>
      </c>
      <c r="D492" s="58" t="n">
        <f aca="false">Flights!$D$19</f>
        <v>46320</v>
      </c>
      <c r="E492" s="57" t="str">
        <f aca="false">Flights!$G$19&amp;"-"&amp;Flights!$H$19</f>
        <v>LHR-KUL</v>
      </c>
      <c r="F492" s="57" t="str">
        <f aca="false">Flights!$K$19</f>
        <v>EY</v>
      </c>
      <c r="G492" s="57" t="s">
        <v>398</v>
      </c>
      <c r="H492" s="57" t="s">
        <v>356</v>
      </c>
      <c r="I492" s="57" t="s">
        <v>357</v>
      </c>
      <c r="J492" s="57" t="s">
        <v>403</v>
      </c>
      <c r="K492" s="67" t="s">
        <v>404</v>
      </c>
      <c r="L492" s="67" t="s">
        <v>400</v>
      </c>
      <c r="M492" s="67"/>
      <c r="N492" s="67" t="s">
        <v>361</v>
      </c>
      <c r="O492" s="67" t="s">
        <v>401</v>
      </c>
      <c r="P492" s="57" t="s">
        <v>183</v>
      </c>
      <c r="Q492" s="59" t="n">
        <f aca="false">ROUND((Flights!$AE$19)*1440,0)/1440</f>
        <v>46319.9583333333</v>
      </c>
      <c r="R492" s="59" t="n">
        <f aca="false">Q492+(IF(AND(INDEX(TZ_DSTS,MATCH(P492,TZ_STN,0))&lt;&gt;"",Q492&gt;=INDEX(TZ_DSTS,MATCH(P492,TZ_STN,0)),Q492&lt;INDEX(TZ_DSTE,MATCH(P492,TZ_STN,0))),INDEX(TZ_DST,MATCH(P492,TZ_STN,0)),INDEX(TZ_STD,MATCH(P492,TZ_STN,0))))/24</f>
        <v>46320</v>
      </c>
      <c r="S492" s="59" t="n">
        <f aca="false">Q492-T12EarlyH/24</f>
        <v>46319.4583333333</v>
      </c>
      <c r="T492" s="60"/>
      <c r="U492" s="60"/>
      <c r="V492" s="60"/>
      <c r="W492" s="61"/>
      <c r="X492" s="60"/>
      <c r="Y492" s="60"/>
      <c r="Z492" s="60"/>
      <c r="AA492" s="60"/>
      <c r="AB492" s="60"/>
      <c r="AC492" s="60"/>
      <c r="AD492" s="66"/>
      <c r="AE492" s="60"/>
      <c r="AF492" s="61" t="str">
        <f aca="false">IF(AND(ISNUMBER(X492),ISNUMBER(Y492)),Y492-X492,"")</f>
        <v/>
      </c>
      <c r="AG492" s="62" t="str">
        <f aca="false">IF(ISNUMBER(AD492),AD492-(IF(AND(INDEX(TZ_DSTS,MATCH(P492,TZ_STN,0))&lt;&gt;"",(AD492-INDEX(TZ_STD,MATCH(P492,TZ_STN,0))/24)&gt;=INDEX(TZ_DSTS,MATCH(P492,TZ_STN,0)),(AD492-INDEX(TZ_STD,MATCH(P492,TZ_STN,0))/24)&lt;INDEX(TZ_DSTE,MATCH(P492,TZ_STN,0))),INDEX(TZ_DST,MATCH(P492,TZ_STN,0)),INDEX(TZ_STD,MATCH(P492,TZ_STN,0))))/24,"")</f>
        <v/>
      </c>
      <c r="AH492" s="65" t="str">
        <f aca="false">IFERROR(IF(N492="N/A – rule","N/A – RULE",IF(TRIM(U492)="N/A",IF(AT492=0,"INVALID – N/A not permitted for this check",IF(AND(TRIM(AB492)&lt;&gt;"",TRIM(AB492)&lt;&gt;"Closed"),"INVALID – corrective action still open",IF(AND(NOT(OR(LEN(AZ492)&lt;15,ISNUMBER(MATCH(AZ492,L_Placeholder,0)))),NOT(OR(LEN(AU492)&lt;2,ISNUMBER(MATCH(AU492,L_Placeholder,0)))),NOT(OR(LEN(AX492)&lt;2,ISNUMBER(MATCH(AX492,L_Placeholder,0)))),TRIM(AE492)&lt;&gt;TRIM(T492)),"N/A – JUSTIFIED","INVALID – N/A needs a real justification (15+ chars), PIC and a different verifier"))),IF(OR(TRIM(U492)="Pass",TRIM(U492)="Pass after CA"),IF(NOT(ISNUMBER(AD492)),"INVALID – completion time missing",IF(OR(LEN(AU492)&lt;2,ISNUMBER(MATCH(AU492,L_Placeholder,0))),"INVALID – PIC missing",IF(OR(LEN(AV492)&lt;2,ISNUMBER(MATCH(AV492,L_Placeholder,0))),"INVALID – result / assessment missing",IF(OR(OR(LEN(AW492)&lt;3,ISNUMBER(MATCH(AW492,L_Placeholder,0))),SUMPRODUCT(--ISNUMBER(SEARCH(L_EvidencePhrase,AW492)))&gt;0),"INVALID – evidence missing, placeholder or not yet on file",IF(OR(LEN(AX492)&lt;2,ISNUMBER(MATCH(AX492,L_Placeholder,0))),"INVALID – verifier missing",IF(AX492=AU492,"INVALID – verifier must be someone other than the PIC",IF(AND(TRIM(U492)="Pass",SUMPRODUCT(--ISNUMBER(SEARCH(L_ResultBad,AV492)))&gt;0),"INVALID – result describes a problem: use Fail, then Pass after CA",IF(AND(AQ492=1,OR(LEN(AY492)&lt;3,ISNUMBER(MATCH(AY492,L_Placeholder,0)))),"INVALID – batch ID missing or placeholder",IF(AND(AR492=1,OR(NOT(ISNUMBER(X492)),NOT(ISNUMBER(Y492)))),"INVALID – expected/actual qty missing",IF(AND(AR492=1,OR(X492&lt;=0,Y492&lt;0)),"INVALID – expected qty must be above 0 and actual not negative",IF(BB492&lt;&gt;"",BB492,IF(AND(AS492=1,Documents!$J$19&lt;&gt;"ON FILE"),"INVALID – GLD not on file (Documents sheet)",IF(AND(AS492=2,Documents!$O$19&lt;&gt;"ON FILE"),"INVALID – menu checklist not on file (Documents sheet)",IF(AND(AS492=3,NOT(ISNUMBER(Flights!$AX$19))),"INVALID – enter carrying flight KUL departure (Flights AX)",IF(AND(AS492=3,OR(Flights!$AZ$19&gt;Flights!$AA$19,Flights!$AX$19&lt;Flights!$AA$19-3)),"INVALID – carrying flight (Flights AX) cannot arrive before this leg's STD, or is over 3 days early",IF(AG492&gt;AsOfUTC,"INVALID – completion time is in the future",IF(AND(ISNUMBER(S492),AG492&lt;S492),IF(H492="Physical uplift","INVALID – before uplift window (cannot confirm loading)","INVALID – before valid window"),IF(AG492&gt;Flights!$AA$19,"INVALID – completed after departure (cannot establish readiness)",IF(AND(H492="Preparation",AG492&gt;IF(ISNUMBER(Flights!$BA$19),MIN(Flights!$BA$19,Flights!$AA$19),Flights!$AA$19)),"INVALID – completed after loading / departure (cannot establish readiness)",IF(AND(H492="Physical uplift",AG492&gt;Q492),"INVALID – recorded after the loading flight departed",IF(AG492&gt;Q492,"COMPLETE – LATE","COMPLETE"))))))))))))))))))))),IF(TRIM(U492)="Fail","FAIL – DISCREPANCY",IF(AND(TRIM(U492)&lt;&gt;"",TRIM(U492)&lt;&gt;"Not started",TRIM(U492)&lt;&gt;"In progress"),"INVALID – unrecognised status (use the list)",IF(AsOfUTC&gt;Q492,"OVERDUE",IF(N492="Clarification required","OPEN – CLARIFICATION","OPEN"))))))),"INVALID – error value in an input cell")</f>
        <v>OPEN</v>
      </c>
      <c r="AI492" s="61" t="n">
        <f aca="false">IF(OR(AH492="N/A – RULE",AH492="N/A – JUSTIFIED"),0,1)</f>
        <v>1</v>
      </c>
      <c r="AJ492" s="61" t="n">
        <f aca="false">IF(LEFT(AH492,8)="COMPLETE",1,0)</f>
        <v>0</v>
      </c>
      <c r="AK492" s="61" t="n">
        <f aca="false">IF(AND(AI492=1,AJ492=0,AsOfUTC&gt;Q492),1,0)</f>
        <v>0</v>
      </c>
      <c r="AL492" s="61" t="n">
        <f aca="false">IFERROR(IF(AND(AI492=1,OR(TRIM(U492)="Fail",AND(TRIM(AB492)&lt;&gt;"",TRIM(AB492)&lt;&gt;"Closed"),AND(ISNUMBER(AF492),AF492&lt;&gt;0,TRIM(U492)&lt;&gt;"Pass after CA"))),1,0),1)</f>
        <v>0</v>
      </c>
      <c r="AM492" s="61" t="n">
        <f aca="false">IF(LEFT(AH492,7)="INVALID",1,0)</f>
        <v>0</v>
      </c>
      <c r="AN492" s="61" t="n">
        <f aca="false">IF(AND(N492="Clarification required",AI492=1,AJ492=0),1,0)</f>
        <v>0</v>
      </c>
      <c r="AO492" s="61" t="str">
        <f aca="false">IF(AK492=1,SUM(AK$5:AK492),"")</f>
        <v/>
      </c>
      <c r="AP492" s="61" t="str">
        <f aca="false">IF(AL492=1,SUM(AL$5:AL492),"")</f>
        <v/>
      </c>
      <c r="AQ492" s="61" t="n">
        <v>0</v>
      </c>
      <c r="AR492" s="61" t="n">
        <v>1</v>
      </c>
      <c r="AS492" s="61" t="n">
        <v>0</v>
      </c>
      <c r="AT492" s="61" t="n">
        <v>0</v>
      </c>
      <c r="AU492" s="61" t="str">
        <f aca="false">SUBSTITUTE(SUBSTITUTE(SUBSTITUTE(SUBSTITUTE(SUBSTITUTE(SUBSTITUTE(SUBSTITUTE(SUBSTITUTE(SUBSTITUTE(SUBSTITUTE(SUBSTITUTE(SUBSTITUTE(SUBSTITUTE(LOWER(T492&amp;""),CHAR(160),"")," ",""),".",""),"-",""),"/",""),"?",""),"_",""),",",""),"[",""),"]",""),"(",""),")",""),"*","")</f>
        <v/>
      </c>
      <c r="AV492" s="61" t="str">
        <f aca="false">SUBSTITUTE(SUBSTITUTE(SUBSTITUTE(SUBSTITUTE(SUBSTITUTE(SUBSTITUTE(SUBSTITUTE(SUBSTITUTE(SUBSTITUTE(SUBSTITUTE(SUBSTITUTE(SUBSTITUTE(SUBSTITUTE(LOWER(V492&amp;""),CHAR(160),"")," ",""),".",""),"-",""),"/",""),"?",""),"_",""),",",""),"[",""),"]",""),"(",""),")",""),"*","")</f>
        <v/>
      </c>
      <c r="AW492" s="61" t="str">
        <f aca="false">SUBSTITUTE(SUBSTITUTE(SUBSTITUTE(SUBSTITUTE(SUBSTITUTE(SUBSTITUTE(SUBSTITUTE(SUBSTITUTE(SUBSTITUTE(SUBSTITUTE(SUBSTITUTE(SUBSTITUTE(SUBSTITUTE(LOWER(Z492&amp;""),CHAR(160),"")," ",""),".",""),"-",""),"/",""),"?",""),"_",""),",",""),"[",""),"]",""),"(",""),")",""),"*","")</f>
        <v/>
      </c>
      <c r="AX492" s="61" t="str">
        <f aca="false">SUBSTITUTE(SUBSTITUTE(SUBSTITUTE(SUBSTITUTE(SUBSTITUTE(SUBSTITUTE(SUBSTITUTE(SUBSTITUTE(SUBSTITUTE(SUBSTITUTE(SUBSTITUTE(SUBSTITUTE(SUBSTITUTE(LOWER(AE492&amp;""),CHAR(160),"")," ",""),".",""),"-",""),"/",""),"?",""),"_",""),",",""),"[",""),"]",""),"(",""),")",""),"*","")</f>
        <v/>
      </c>
      <c r="AY492" s="61" t="str">
        <f aca="false">SUBSTITUTE(SUBSTITUTE(SUBSTITUTE(SUBSTITUTE(SUBSTITUTE(SUBSTITUTE(SUBSTITUTE(SUBSTITUTE(SUBSTITUTE(SUBSTITUTE(SUBSTITUTE(SUBSTITUTE(SUBSTITUTE(LOWER(W492&amp;""),CHAR(160),"")," ",""),".",""),"-",""),"/",""),"?",""),"_",""),",",""),"[",""),"]",""),"(",""),")",""),"*","")</f>
        <v/>
      </c>
      <c r="AZ492" s="61" t="str">
        <f aca="false">SUBSTITUTE(SUBSTITUTE(SUBSTITUTE(SUBSTITUTE(SUBSTITUTE(SUBSTITUTE(SUBSTITUTE(SUBSTITUTE(SUBSTITUTE(SUBSTITUTE(SUBSTITUTE(SUBSTITUTE(SUBSTITUTE(LOWER(AC492&amp;""),CHAR(160),"")," ",""),".",""),"-",""),"/",""),"?",""),"_",""),",",""),"[",""),"]",""),"(",""),")",""),"*","")</f>
        <v/>
      </c>
      <c r="BA492" s="61" t="str">
        <f aca="false">SUBSTITUTE(SUBSTITUTE(SUBSTITUTE(SUBSTITUTE(SUBSTITUTE(SUBSTITUTE(SUBSTITUTE(SUBSTITUTE(SUBSTITUTE(SUBSTITUTE(SUBSTITUTE(SUBSTITUTE(SUBSTITUTE(LOWER(AA492&amp;""),CHAR(160),"")," ",""),".",""),"-",""),"/",""),"?",""),"_",""),",",""),"[",""),"]",""),"(",""),")",""),"*","")</f>
        <v/>
      </c>
      <c r="BB492" s="61" t="str">
        <f aca="false">IF(AND(TRIM(U492)="Pass",ISNUMBER(AF492)),IF(AF492&lt;&gt;0,"INVALID – qty variance: use Fail or Pass after CA",""),"")&amp;IF(AND(TRIM(U492)="Pass after CA",ISNUMBER(AF492)),IF(AF492&lt;&gt;0,"INVALID – after the corrective action the actual qty must equal expected (update Actual)",""),"")&amp;IF(AND(TRIM(U492)="Pass",TRIM(AB492)&lt;&gt;"",TRIM(AB492)&lt;&gt;"Closed"),"INVALID – corrective action not closed: use Fail, then Pass after CA","")&amp;IF(AND(TRIM(AA492)&lt;&gt;"",TRIM(AB492)=""),"INVALID – CA status missing for the recorded corrective action","")&amp;IF(AND(TRIM(U492)="Pass after CA",OR(OR(LEN(BA492)&lt;5,ISNUMBER(MATCH(BA492,L_Placeholder,0))),TRIM(AB492)&lt;&gt;"Closed")),"INVALID – corrective action not recorded/closed","")</f>
        <v/>
      </c>
    </row>
    <row r="493" customFormat="false" ht="39.75" hidden="false" customHeight="true" outlineLevel="0" collapsed="false">
      <c r="A493" s="57" t="s">
        <v>1124</v>
      </c>
      <c r="B493" s="57" t="s">
        <v>275</v>
      </c>
      <c r="C493" s="57" t="str">
        <f aca="false">Flights!$F$19</f>
        <v>MH0003</v>
      </c>
      <c r="D493" s="58" t="n">
        <f aca="false">Flights!$D$19</f>
        <v>46320</v>
      </c>
      <c r="E493" s="57" t="str">
        <f aca="false">Flights!$G$19&amp;"-"&amp;Flights!$H$19</f>
        <v>LHR-KUL</v>
      </c>
      <c r="F493" s="57" t="str">
        <f aca="false">Flights!$K$19</f>
        <v>EY</v>
      </c>
      <c r="G493" s="57" t="s">
        <v>398</v>
      </c>
      <c r="H493" s="57" t="s">
        <v>356</v>
      </c>
      <c r="I493" s="57" t="s">
        <v>406</v>
      </c>
      <c r="J493" s="57" t="s">
        <v>407</v>
      </c>
      <c r="K493" s="67"/>
      <c r="L493" s="67" t="s">
        <v>400</v>
      </c>
      <c r="M493" s="67"/>
      <c r="N493" s="67" t="s">
        <v>361</v>
      </c>
      <c r="O493" s="67" t="s">
        <v>401</v>
      </c>
      <c r="P493" s="57" t="s">
        <v>183</v>
      </c>
      <c r="Q493" s="59" t="n">
        <f aca="false">ROUND((Flights!$AE$19)*1440,0)/1440</f>
        <v>46319.9583333333</v>
      </c>
      <c r="R493" s="59" t="n">
        <f aca="false">Q493+(IF(AND(INDEX(TZ_DSTS,MATCH(P493,TZ_STN,0))&lt;&gt;"",Q493&gt;=INDEX(TZ_DSTS,MATCH(P493,TZ_STN,0)),Q493&lt;INDEX(TZ_DSTE,MATCH(P493,TZ_STN,0))),INDEX(TZ_DST,MATCH(P493,TZ_STN,0)),INDEX(TZ_STD,MATCH(P493,TZ_STN,0))))/24</f>
        <v>46320</v>
      </c>
      <c r="S493" s="59" t="n">
        <f aca="false">Q493-T12EarlyH/24</f>
        <v>46319.4583333333</v>
      </c>
      <c r="T493" s="60"/>
      <c r="U493" s="60"/>
      <c r="V493" s="60"/>
      <c r="W493" s="61"/>
      <c r="X493" s="60"/>
      <c r="Y493" s="60"/>
      <c r="Z493" s="60"/>
      <c r="AA493" s="60"/>
      <c r="AB493" s="60"/>
      <c r="AC493" s="60"/>
      <c r="AD493" s="66"/>
      <c r="AE493" s="60"/>
      <c r="AF493" s="61" t="str">
        <f aca="false">IF(AND(ISNUMBER(X493),ISNUMBER(Y493)),Y493-X493,"")</f>
        <v/>
      </c>
      <c r="AG493" s="62" t="str">
        <f aca="false">IF(ISNUMBER(AD493),AD493-(IF(AND(INDEX(TZ_DSTS,MATCH(P493,TZ_STN,0))&lt;&gt;"",(AD493-INDEX(TZ_STD,MATCH(P493,TZ_STN,0))/24)&gt;=INDEX(TZ_DSTS,MATCH(P493,TZ_STN,0)),(AD493-INDEX(TZ_STD,MATCH(P493,TZ_STN,0))/24)&lt;INDEX(TZ_DSTE,MATCH(P493,TZ_STN,0))),INDEX(TZ_DST,MATCH(P493,TZ_STN,0)),INDEX(TZ_STD,MATCH(P493,TZ_STN,0))))/24,"")</f>
        <v/>
      </c>
      <c r="AH493" s="65" t="str">
        <f aca="false">IFERROR(IF(N493="N/A – rule","N/A – RULE",IF(TRIM(U493)="N/A",IF(AT493=0,"INVALID – N/A not permitted for this check",IF(AND(TRIM(AB493)&lt;&gt;"",TRIM(AB493)&lt;&gt;"Closed"),"INVALID – corrective action still open",IF(AND(NOT(OR(LEN(AZ493)&lt;15,ISNUMBER(MATCH(AZ493,L_Placeholder,0)))),NOT(OR(LEN(AU493)&lt;2,ISNUMBER(MATCH(AU493,L_Placeholder,0)))),NOT(OR(LEN(AX493)&lt;2,ISNUMBER(MATCH(AX493,L_Placeholder,0)))),TRIM(AE493)&lt;&gt;TRIM(T493)),"N/A – JUSTIFIED","INVALID – N/A needs a real justification (15+ chars), PIC and a different verifier"))),IF(OR(TRIM(U493)="Pass",TRIM(U493)="Pass after CA"),IF(NOT(ISNUMBER(AD493)),"INVALID – completion time missing",IF(OR(LEN(AU493)&lt;2,ISNUMBER(MATCH(AU493,L_Placeholder,0))),"INVALID – PIC missing",IF(OR(LEN(AV493)&lt;2,ISNUMBER(MATCH(AV493,L_Placeholder,0))),"INVALID – result / assessment missing",IF(OR(OR(LEN(AW493)&lt;3,ISNUMBER(MATCH(AW493,L_Placeholder,0))),SUMPRODUCT(--ISNUMBER(SEARCH(L_EvidencePhrase,AW493)))&gt;0),"INVALID – evidence missing, placeholder or not yet on file",IF(OR(LEN(AX493)&lt;2,ISNUMBER(MATCH(AX493,L_Placeholder,0))),"INVALID – verifier missing",IF(AX493=AU493,"INVALID – verifier must be someone other than the PIC",IF(AND(TRIM(U493)="Pass",SUMPRODUCT(--ISNUMBER(SEARCH(L_ResultBad,AV493)))&gt;0),"INVALID – result describes a problem: use Fail, then Pass after CA",IF(AND(AQ493=1,OR(LEN(AY493)&lt;3,ISNUMBER(MATCH(AY493,L_Placeholder,0)))),"INVALID – batch ID missing or placeholder",IF(AND(AR493=1,OR(NOT(ISNUMBER(X493)),NOT(ISNUMBER(Y493)))),"INVALID – expected/actual qty missing",IF(AND(AR493=1,OR(X493&lt;=0,Y493&lt;0)),"INVALID – expected qty must be above 0 and actual not negative",IF(BB493&lt;&gt;"",BB493,IF(AND(AS493=1,Documents!$J$19&lt;&gt;"ON FILE"),"INVALID – GLD not on file (Documents sheet)",IF(AND(AS493=2,Documents!$O$19&lt;&gt;"ON FILE"),"INVALID – menu checklist not on file (Documents sheet)",IF(AND(AS493=3,NOT(ISNUMBER(Flights!$AX$19))),"INVALID – enter carrying flight KUL departure (Flights AX)",IF(AND(AS493=3,OR(Flights!$AZ$19&gt;Flights!$AA$19,Flights!$AX$19&lt;Flights!$AA$19-3)),"INVALID – carrying flight (Flights AX) cannot arrive before this leg's STD, or is over 3 days early",IF(AG493&gt;AsOfUTC,"INVALID – completion time is in the future",IF(AND(ISNUMBER(S493),AG493&lt;S493),IF(H493="Physical uplift","INVALID – before uplift window (cannot confirm loading)","INVALID – before valid window"),IF(AG493&gt;Flights!$AA$19,"INVALID – completed after departure (cannot establish readiness)",IF(AND(H493="Preparation",AG493&gt;IF(ISNUMBER(Flights!$BA$19),MIN(Flights!$BA$19,Flights!$AA$19),Flights!$AA$19)),"INVALID – completed after loading / departure (cannot establish readiness)",IF(AND(H493="Physical uplift",AG493&gt;Q493),"INVALID – recorded after the loading flight departed",IF(AG493&gt;Q493,"COMPLETE – LATE","COMPLETE"))))))))))))))))))))),IF(TRIM(U493)="Fail","FAIL – DISCREPANCY",IF(AND(TRIM(U493)&lt;&gt;"",TRIM(U493)&lt;&gt;"Not started",TRIM(U493)&lt;&gt;"In progress"),"INVALID – unrecognised status (use the list)",IF(AsOfUTC&gt;Q493,"OVERDUE",IF(N493="Clarification required","OPEN – CLARIFICATION","OPEN"))))))),"INVALID – error value in an input cell")</f>
        <v>OPEN</v>
      </c>
      <c r="AI493" s="61" t="n">
        <f aca="false">IF(OR(AH493="N/A – RULE",AH493="N/A – JUSTIFIED"),0,1)</f>
        <v>1</v>
      </c>
      <c r="AJ493" s="61" t="n">
        <f aca="false">IF(LEFT(AH493,8)="COMPLETE",1,0)</f>
        <v>0</v>
      </c>
      <c r="AK493" s="61" t="n">
        <f aca="false">IF(AND(AI493=1,AJ493=0,AsOfUTC&gt;Q493),1,0)</f>
        <v>0</v>
      </c>
      <c r="AL493" s="61" t="n">
        <f aca="false">IFERROR(IF(AND(AI493=1,OR(TRIM(U493)="Fail",AND(TRIM(AB493)&lt;&gt;"",TRIM(AB493)&lt;&gt;"Closed"),AND(ISNUMBER(AF493),AF493&lt;&gt;0,TRIM(U493)&lt;&gt;"Pass after CA"))),1,0),1)</f>
        <v>0</v>
      </c>
      <c r="AM493" s="61" t="n">
        <f aca="false">IF(LEFT(AH493,7)="INVALID",1,0)</f>
        <v>0</v>
      </c>
      <c r="AN493" s="61" t="n">
        <f aca="false">IF(AND(N493="Clarification required",AI493=1,AJ493=0),1,0)</f>
        <v>0</v>
      </c>
      <c r="AO493" s="61" t="str">
        <f aca="false">IF(AK493=1,SUM(AK$5:AK493),"")</f>
        <v/>
      </c>
      <c r="AP493" s="61" t="str">
        <f aca="false">IF(AL493=1,SUM(AL$5:AL493),"")</f>
        <v/>
      </c>
      <c r="AQ493" s="61" t="n">
        <v>0</v>
      </c>
      <c r="AR493" s="61" t="n">
        <v>0</v>
      </c>
      <c r="AS493" s="61" t="n">
        <v>0</v>
      </c>
      <c r="AT493" s="61" t="n">
        <v>0</v>
      </c>
      <c r="AU493" s="61" t="str">
        <f aca="false">SUBSTITUTE(SUBSTITUTE(SUBSTITUTE(SUBSTITUTE(SUBSTITUTE(SUBSTITUTE(SUBSTITUTE(SUBSTITUTE(SUBSTITUTE(SUBSTITUTE(SUBSTITUTE(SUBSTITUTE(SUBSTITUTE(LOWER(T493&amp;""),CHAR(160),"")," ",""),".",""),"-",""),"/",""),"?",""),"_",""),",",""),"[",""),"]",""),"(",""),")",""),"*","")</f>
        <v/>
      </c>
      <c r="AV493" s="61" t="str">
        <f aca="false">SUBSTITUTE(SUBSTITUTE(SUBSTITUTE(SUBSTITUTE(SUBSTITUTE(SUBSTITUTE(SUBSTITUTE(SUBSTITUTE(SUBSTITUTE(SUBSTITUTE(SUBSTITUTE(SUBSTITUTE(SUBSTITUTE(LOWER(V493&amp;""),CHAR(160),"")," ",""),".",""),"-",""),"/",""),"?",""),"_",""),",",""),"[",""),"]",""),"(",""),")",""),"*","")</f>
        <v/>
      </c>
      <c r="AW493" s="61" t="str">
        <f aca="false">SUBSTITUTE(SUBSTITUTE(SUBSTITUTE(SUBSTITUTE(SUBSTITUTE(SUBSTITUTE(SUBSTITUTE(SUBSTITUTE(SUBSTITUTE(SUBSTITUTE(SUBSTITUTE(SUBSTITUTE(SUBSTITUTE(LOWER(Z493&amp;""),CHAR(160),"")," ",""),".",""),"-",""),"/",""),"?",""),"_",""),",",""),"[",""),"]",""),"(",""),")",""),"*","")</f>
        <v/>
      </c>
      <c r="AX493" s="61" t="str">
        <f aca="false">SUBSTITUTE(SUBSTITUTE(SUBSTITUTE(SUBSTITUTE(SUBSTITUTE(SUBSTITUTE(SUBSTITUTE(SUBSTITUTE(SUBSTITUTE(SUBSTITUTE(SUBSTITUTE(SUBSTITUTE(SUBSTITUTE(LOWER(AE493&amp;""),CHAR(160),"")," ",""),".",""),"-",""),"/",""),"?",""),"_",""),",",""),"[",""),"]",""),"(",""),")",""),"*","")</f>
        <v/>
      </c>
      <c r="AY493" s="61" t="str">
        <f aca="false">SUBSTITUTE(SUBSTITUTE(SUBSTITUTE(SUBSTITUTE(SUBSTITUTE(SUBSTITUTE(SUBSTITUTE(SUBSTITUTE(SUBSTITUTE(SUBSTITUTE(SUBSTITUTE(SUBSTITUTE(SUBSTITUTE(LOWER(W493&amp;""),CHAR(160),"")," ",""),".",""),"-",""),"/",""),"?",""),"_",""),",",""),"[",""),"]",""),"(",""),")",""),"*","")</f>
        <v/>
      </c>
      <c r="AZ493" s="61" t="str">
        <f aca="false">SUBSTITUTE(SUBSTITUTE(SUBSTITUTE(SUBSTITUTE(SUBSTITUTE(SUBSTITUTE(SUBSTITUTE(SUBSTITUTE(SUBSTITUTE(SUBSTITUTE(SUBSTITUTE(SUBSTITUTE(SUBSTITUTE(LOWER(AC493&amp;""),CHAR(160),"")," ",""),".",""),"-",""),"/",""),"?",""),"_",""),",",""),"[",""),"]",""),"(",""),")",""),"*","")</f>
        <v/>
      </c>
      <c r="BA493" s="61" t="str">
        <f aca="false">SUBSTITUTE(SUBSTITUTE(SUBSTITUTE(SUBSTITUTE(SUBSTITUTE(SUBSTITUTE(SUBSTITUTE(SUBSTITUTE(SUBSTITUTE(SUBSTITUTE(SUBSTITUTE(SUBSTITUTE(SUBSTITUTE(LOWER(AA493&amp;""),CHAR(160),"")," ",""),".",""),"-",""),"/",""),"?",""),"_",""),",",""),"[",""),"]",""),"(",""),")",""),"*","")</f>
        <v/>
      </c>
      <c r="BB493" s="61" t="str">
        <f aca="false">IF(AND(TRIM(U493)="Pass",ISNUMBER(AF493)),IF(AF493&lt;&gt;0,"INVALID – qty variance: use Fail or Pass after CA",""),"")&amp;IF(AND(TRIM(U493)="Pass after CA",ISNUMBER(AF493)),IF(AF493&lt;&gt;0,"INVALID – after the corrective action the actual qty must equal expected (update Actual)",""),"")&amp;IF(AND(TRIM(U493)="Pass",TRIM(AB493)&lt;&gt;"",TRIM(AB493)&lt;&gt;"Closed"),"INVALID – corrective action not closed: use Fail, then Pass after CA","")&amp;IF(AND(TRIM(AA493)&lt;&gt;"",TRIM(AB493)=""),"INVALID – CA status missing for the recorded corrective action","")&amp;IF(AND(TRIM(U493)="Pass after CA",OR(OR(LEN(BA493)&lt;5,ISNUMBER(MATCH(BA493,L_Placeholder,0))),TRIM(AB493)&lt;&gt;"Closed")),"INVALID – corrective action not recorded/closed","")</f>
        <v/>
      </c>
    </row>
    <row r="494" customFormat="false" ht="39.75" hidden="false" customHeight="true" outlineLevel="0" collapsed="false">
      <c r="A494" s="57" t="s">
        <v>1125</v>
      </c>
      <c r="B494" s="57" t="s">
        <v>275</v>
      </c>
      <c r="C494" s="57" t="str">
        <f aca="false">Flights!$F$19</f>
        <v>MH0003</v>
      </c>
      <c r="D494" s="58" t="n">
        <f aca="false">Flights!$D$19</f>
        <v>46320</v>
      </c>
      <c r="E494" s="57" t="str">
        <f aca="false">Flights!$G$19&amp;"-"&amp;Flights!$H$19</f>
        <v>LHR-KUL</v>
      </c>
      <c r="F494" s="57" t="str">
        <f aca="false">Flights!$K$19</f>
        <v>EY</v>
      </c>
      <c r="G494" s="57" t="s">
        <v>398</v>
      </c>
      <c r="H494" s="57" t="s">
        <v>356</v>
      </c>
      <c r="I494" s="57" t="s">
        <v>406</v>
      </c>
      <c r="J494" s="57" t="s">
        <v>409</v>
      </c>
      <c r="K494" s="67"/>
      <c r="L494" s="67" t="s">
        <v>400</v>
      </c>
      <c r="M494" s="67"/>
      <c r="N494" s="67" t="s">
        <v>361</v>
      </c>
      <c r="O494" s="67" t="s">
        <v>401</v>
      </c>
      <c r="P494" s="57" t="s">
        <v>183</v>
      </c>
      <c r="Q494" s="59" t="n">
        <f aca="false">ROUND((Flights!$AE$19)*1440,0)/1440</f>
        <v>46319.9583333333</v>
      </c>
      <c r="R494" s="59" t="n">
        <f aca="false">Q494+(IF(AND(INDEX(TZ_DSTS,MATCH(P494,TZ_STN,0))&lt;&gt;"",Q494&gt;=INDEX(TZ_DSTS,MATCH(P494,TZ_STN,0)),Q494&lt;INDEX(TZ_DSTE,MATCH(P494,TZ_STN,0))),INDEX(TZ_DST,MATCH(P494,TZ_STN,0)),INDEX(TZ_STD,MATCH(P494,TZ_STN,0))))/24</f>
        <v>46320</v>
      </c>
      <c r="S494" s="59" t="n">
        <f aca="false">Q494-T12EarlyH/24</f>
        <v>46319.4583333333</v>
      </c>
      <c r="T494" s="60"/>
      <c r="U494" s="60"/>
      <c r="V494" s="60"/>
      <c r="W494" s="61"/>
      <c r="X494" s="60"/>
      <c r="Y494" s="60"/>
      <c r="Z494" s="60"/>
      <c r="AA494" s="60"/>
      <c r="AB494" s="60"/>
      <c r="AC494" s="60"/>
      <c r="AD494" s="66"/>
      <c r="AE494" s="60"/>
      <c r="AF494" s="61" t="str">
        <f aca="false">IF(AND(ISNUMBER(X494),ISNUMBER(Y494)),Y494-X494,"")</f>
        <v/>
      </c>
      <c r="AG494" s="62" t="str">
        <f aca="false">IF(ISNUMBER(AD494),AD494-(IF(AND(INDEX(TZ_DSTS,MATCH(P494,TZ_STN,0))&lt;&gt;"",(AD494-INDEX(TZ_STD,MATCH(P494,TZ_STN,0))/24)&gt;=INDEX(TZ_DSTS,MATCH(P494,TZ_STN,0)),(AD494-INDEX(TZ_STD,MATCH(P494,TZ_STN,0))/24)&lt;INDEX(TZ_DSTE,MATCH(P494,TZ_STN,0))),INDEX(TZ_DST,MATCH(P494,TZ_STN,0)),INDEX(TZ_STD,MATCH(P494,TZ_STN,0))))/24,"")</f>
        <v/>
      </c>
      <c r="AH494" s="65" t="str">
        <f aca="false">IFERROR(IF(N494="N/A – rule","N/A – RULE",IF(TRIM(U494)="N/A",IF(AT494=0,"INVALID – N/A not permitted for this check",IF(AND(TRIM(AB494)&lt;&gt;"",TRIM(AB494)&lt;&gt;"Closed"),"INVALID – corrective action still open",IF(AND(NOT(OR(LEN(AZ494)&lt;15,ISNUMBER(MATCH(AZ494,L_Placeholder,0)))),NOT(OR(LEN(AU494)&lt;2,ISNUMBER(MATCH(AU494,L_Placeholder,0)))),NOT(OR(LEN(AX494)&lt;2,ISNUMBER(MATCH(AX494,L_Placeholder,0)))),TRIM(AE494)&lt;&gt;TRIM(T494)),"N/A – JUSTIFIED","INVALID – N/A needs a real justification (15+ chars), PIC and a different verifier"))),IF(OR(TRIM(U494)="Pass",TRIM(U494)="Pass after CA"),IF(NOT(ISNUMBER(AD494)),"INVALID – completion time missing",IF(OR(LEN(AU494)&lt;2,ISNUMBER(MATCH(AU494,L_Placeholder,0))),"INVALID – PIC missing",IF(OR(LEN(AV494)&lt;2,ISNUMBER(MATCH(AV494,L_Placeholder,0))),"INVALID – result / assessment missing",IF(OR(OR(LEN(AW494)&lt;3,ISNUMBER(MATCH(AW494,L_Placeholder,0))),SUMPRODUCT(--ISNUMBER(SEARCH(L_EvidencePhrase,AW494)))&gt;0),"INVALID – evidence missing, placeholder or not yet on file",IF(OR(LEN(AX494)&lt;2,ISNUMBER(MATCH(AX494,L_Placeholder,0))),"INVALID – verifier missing",IF(AX494=AU494,"INVALID – verifier must be someone other than the PIC",IF(AND(TRIM(U494)="Pass",SUMPRODUCT(--ISNUMBER(SEARCH(L_ResultBad,AV494)))&gt;0),"INVALID – result describes a problem: use Fail, then Pass after CA",IF(AND(AQ494=1,OR(LEN(AY494)&lt;3,ISNUMBER(MATCH(AY494,L_Placeholder,0)))),"INVALID – batch ID missing or placeholder",IF(AND(AR494=1,OR(NOT(ISNUMBER(X494)),NOT(ISNUMBER(Y494)))),"INVALID – expected/actual qty missing",IF(AND(AR494=1,OR(X494&lt;=0,Y494&lt;0)),"INVALID – expected qty must be above 0 and actual not negative",IF(BB494&lt;&gt;"",BB494,IF(AND(AS494=1,Documents!$J$19&lt;&gt;"ON FILE"),"INVALID – GLD not on file (Documents sheet)",IF(AND(AS494=2,Documents!$O$19&lt;&gt;"ON FILE"),"INVALID – menu checklist not on file (Documents sheet)",IF(AND(AS494=3,NOT(ISNUMBER(Flights!$AX$19))),"INVALID – enter carrying flight KUL departure (Flights AX)",IF(AND(AS494=3,OR(Flights!$AZ$19&gt;Flights!$AA$19,Flights!$AX$19&lt;Flights!$AA$19-3)),"INVALID – carrying flight (Flights AX) cannot arrive before this leg's STD, or is over 3 days early",IF(AG494&gt;AsOfUTC,"INVALID – completion time is in the future",IF(AND(ISNUMBER(S494),AG494&lt;S494),IF(H494="Physical uplift","INVALID – before uplift window (cannot confirm loading)","INVALID – before valid window"),IF(AG494&gt;Flights!$AA$19,"INVALID – completed after departure (cannot establish readiness)",IF(AND(H494="Preparation",AG494&gt;IF(ISNUMBER(Flights!$BA$19),MIN(Flights!$BA$19,Flights!$AA$19),Flights!$AA$19)),"INVALID – completed after loading / departure (cannot establish readiness)",IF(AND(H494="Physical uplift",AG494&gt;Q494),"INVALID – recorded after the loading flight departed",IF(AG494&gt;Q494,"COMPLETE – LATE","COMPLETE"))))))))))))))))))))),IF(TRIM(U494)="Fail","FAIL – DISCREPANCY",IF(AND(TRIM(U494)&lt;&gt;"",TRIM(U494)&lt;&gt;"Not started",TRIM(U494)&lt;&gt;"In progress"),"INVALID – unrecognised status (use the list)",IF(AsOfUTC&gt;Q494,"OVERDUE",IF(N494="Clarification required","OPEN – CLARIFICATION","OPEN"))))))),"INVALID – error value in an input cell")</f>
        <v>OPEN</v>
      </c>
      <c r="AI494" s="61" t="n">
        <f aca="false">IF(OR(AH494="N/A – RULE",AH494="N/A – JUSTIFIED"),0,1)</f>
        <v>1</v>
      </c>
      <c r="AJ494" s="61" t="n">
        <f aca="false">IF(LEFT(AH494,8)="COMPLETE",1,0)</f>
        <v>0</v>
      </c>
      <c r="AK494" s="61" t="n">
        <f aca="false">IF(AND(AI494=1,AJ494=0,AsOfUTC&gt;Q494),1,0)</f>
        <v>0</v>
      </c>
      <c r="AL494" s="61" t="n">
        <f aca="false">IFERROR(IF(AND(AI494=1,OR(TRIM(U494)="Fail",AND(TRIM(AB494)&lt;&gt;"",TRIM(AB494)&lt;&gt;"Closed"),AND(ISNUMBER(AF494),AF494&lt;&gt;0,TRIM(U494)&lt;&gt;"Pass after CA"))),1,0),1)</f>
        <v>0</v>
      </c>
      <c r="AM494" s="61" t="n">
        <f aca="false">IF(LEFT(AH494,7)="INVALID",1,0)</f>
        <v>0</v>
      </c>
      <c r="AN494" s="61" t="n">
        <f aca="false">IF(AND(N494="Clarification required",AI494=1,AJ494=0),1,0)</f>
        <v>0</v>
      </c>
      <c r="AO494" s="61" t="str">
        <f aca="false">IF(AK494=1,SUM(AK$5:AK494),"")</f>
        <v/>
      </c>
      <c r="AP494" s="61" t="str">
        <f aca="false">IF(AL494=1,SUM(AL$5:AL494),"")</f>
        <v/>
      </c>
      <c r="AQ494" s="61" t="n">
        <v>0</v>
      </c>
      <c r="AR494" s="61" t="n">
        <v>0</v>
      </c>
      <c r="AS494" s="61" t="n">
        <v>0</v>
      </c>
      <c r="AT494" s="61" t="n">
        <v>0</v>
      </c>
      <c r="AU494" s="61" t="str">
        <f aca="false">SUBSTITUTE(SUBSTITUTE(SUBSTITUTE(SUBSTITUTE(SUBSTITUTE(SUBSTITUTE(SUBSTITUTE(SUBSTITUTE(SUBSTITUTE(SUBSTITUTE(SUBSTITUTE(SUBSTITUTE(SUBSTITUTE(LOWER(T494&amp;""),CHAR(160),"")," ",""),".",""),"-",""),"/",""),"?",""),"_",""),",",""),"[",""),"]",""),"(",""),")",""),"*","")</f>
        <v/>
      </c>
      <c r="AV494" s="61" t="str">
        <f aca="false">SUBSTITUTE(SUBSTITUTE(SUBSTITUTE(SUBSTITUTE(SUBSTITUTE(SUBSTITUTE(SUBSTITUTE(SUBSTITUTE(SUBSTITUTE(SUBSTITUTE(SUBSTITUTE(SUBSTITUTE(SUBSTITUTE(LOWER(V494&amp;""),CHAR(160),"")," ",""),".",""),"-",""),"/",""),"?",""),"_",""),",",""),"[",""),"]",""),"(",""),")",""),"*","")</f>
        <v/>
      </c>
      <c r="AW494" s="61" t="str">
        <f aca="false">SUBSTITUTE(SUBSTITUTE(SUBSTITUTE(SUBSTITUTE(SUBSTITUTE(SUBSTITUTE(SUBSTITUTE(SUBSTITUTE(SUBSTITUTE(SUBSTITUTE(SUBSTITUTE(SUBSTITUTE(SUBSTITUTE(LOWER(Z494&amp;""),CHAR(160),"")," ",""),".",""),"-",""),"/",""),"?",""),"_",""),",",""),"[",""),"]",""),"(",""),")",""),"*","")</f>
        <v/>
      </c>
      <c r="AX494" s="61" t="str">
        <f aca="false">SUBSTITUTE(SUBSTITUTE(SUBSTITUTE(SUBSTITUTE(SUBSTITUTE(SUBSTITUTE(SUBSTITUTE(SUBSTITUTE(SUBSTITUTE(SUBSTITUTE(SUBSTITUTE(SUBSTITUTE(SUBSTITUTE(LOWER(AE494&amp;""),CHAR(160),"")," ",""),".",""),"-",""),"/",""),"?",""),"_",""),",",""),"[",""),"]",""),"(",""),")",""),"*","")</f>
        <v/>
      </c>
      <c r="AY494" s="61" t="str">
        <f aca="false">SUBSTITUTE(SUBSTITUTE(SUBSTITUTE(SUBSTITUTE(SUBSTITUTE(SUBSTITUTE(SUBSTITUTE(SUBSTITUTE(SUBSTITUTE(SUBSTITUTE(SUBSTITUTE(SUBSTITUTE(SUBSTITUTE(LOWER(W494&amp;""),CHAR(160),"")," ",""),".",""),"-",""),"/",""),"?",""),"_",""),",",""),"[",""),"]",""),"(",""),")",""),"*","")</f>
        <v/>
      </c>
      <c r="AZ494" s="61" t="str">
        <f aca="false">SUBSTITUTE(SUBSTITUTE(SUBSTITUTE(SUBSTITUTE(SUBSTITUTE(SUBSTITUTE(SUBSTITUTE(SUBSTITUTE(SUBSTITUTE(SUBSTITUTE(SUBSTITUTE(SUBSTITUTE(SUBSTITUTE(LOWER(AC494&amp;""),CHAR(160),"")," ",""),".",""),"-",""),"/",""),"?",""),"_",""),",",""),"[",""),"]",""),"(",""),")",""),"*","")</f>
        <v/>
      </c>
      <c r="BA494" s="61" t="str">
        <f aca="false">SUBSTITUTE(SUBSTITUTE(SUBSTITUTE(SUBSTITUTE(SUBSTITUTE(SUBSTITUTE(SUBSTITUTE(SUBSTITUTE(SUBSTITUTE(SUBSTITUTE(SUBSTITUTE(SUBSTITUTE(SUBSTITUTE(LOWER(AA494&amp;""),CHAR(160),"")," ",""),".",""),"-",""),"/",""),"?",""),"_",""),",",""),"[",""),"]",""),"(",""),")",""),"*","")</f>
        <v/>
      </c>
      <c r="BB494" s="61" t="str">
        <f aca="false">IF(AND(TRIM(U494)="Pass",ISNUMBER(AF494)),IF(AF494&lt;&gt;0,"INVALID – qty variance: use Fail or Pass after CA",""),"")&amp;IF(AND(TRIM(U494)="Pass after CA",ISNUMBER(AF494)),IF(AF494&lt;&gt;0,"INVALID – after the corrective action the actual qty must equal expected (update Actual)",""),"")&amp;IF(AND(TRIM(U494)="Pass",TRIM(AB494)&lt;&gt;"",TRIM(AB494)&lt;&gt;"Closed"),"INVALID – corrective action not closed: use Fail, then Pass after CA","")&amp;IF(AND(TRIM(AA494)&lt;&gt;"",TRIM(AB494)=""),"INVALID – CA status missing for the recorded corrective action","")&amp;IF(AND(TRIM(U494)="Pass after CA",OR(OR(LEN(BA494)&lt;5,ISNUMBER(MATCH(BA494,L_Placeholder,0))),TRIM(AB494)&lt;&gt;"Closed")),"INVALID – corrective action not recorded/closed","")</f>
        <v/>
      </c>
    </row>
    <row r="495" customFormat="false" ht="39.75" hidden="false" customHeight="true" outlineLevel="0" collapsed="false">
      <c r="A495" s="57" t="s">
        <v>1126</v>
      </c>
      <c r="B495" s="57" t="s">
        <v>275</v>
      </c>
      <c r="C495" s="57" t="str">
        <f aca="false">Flights!$F$19</f>
        <v>MH0003</v>
      </c>
      <c r="D495" s="58" t="n">
        <f aca="false">Flights!$D$19</f>
        <v>46320</v>
      </c>
      <c r="E495" s="57" t="str">
        <f aca="false">Flights!$G$19&amp;"-"&amp;Flights!$H$19</f>
        <v>LHR-KUL</v>
      </c>
      <c r="F495" s="57" t="str">
        <f aca="false">Flights!$K$19</f>
        <v>EY</v>
      </c>
      <c r="G495" s="57" t="s">
        <v>398</v>
      </c>
      <c r="H495" s="57" t="s">
        <v>356</v>
      </c>
      <c r="I495" s="57" t="s">
        <v>406</v>
      </c>
      <c r="J495" s="57" t="s">
        <v>411</v>
      </c>
      <c r="K495" s="67"/>
      <c r="L495" s="67" t="s">
        <v>400</v>
      </c>
      <c r="M495" s="67"/>
      <c r="N495" s="67" t="s">
        <v>361</v>
      </c>
      <c r="O495" s="67" t="s">
        <v>401</v>
      </c>
      <c r="P495" s="57" t="s">
        <v>183</v>
      </c>
      <c r="Q495" s="59" t="n">
        <f aca="false">ROUND((Flights!$AE$19)*1440,0)/1440</f>
        <v>46319.9583333333</v>
      </c>
      <c r="R495" s="59" t="n">
        <f aca="false">Q495+(IF(AND(INDEX(TZ_DSTS,MATCH(P495,TZ_STN,0))&lt;&gt;"",Q495&gt;=INDEX(TZ_DSTS,MATCH(P495,TZ_STN,0)),Q495&lt;INDEX(TZ_DSTE,MATCH(P495,TZ_STN,0))),INDEX(TZ_DST,MATCH(P495,TZ_STN,0)),INDEX(TZ_STD,MATCH(P495,TZ_STN,0))))/24</f>
        <v>46320</v>
      </c>
      <c r="S495" s="59" t="n">
        <f aca="false">Q495-T12EarlyH/24</f>
        <v>46319.4583333333</v>
      </c>
      <c r="T495" s="60"/>
      <c r="U495" s="60"/>
      <c r="V495" s="60"/>
      <c r="W495" s="61"/>
      <c r="X495" s="60"/>
      <c r="Y495" s="60"/>
      <c r="Z495" s="60"/>
      <c r="AA495" s="60"/>
      <c r="AB495" s="60"/>
      <c r="AC495" s="60"/>
      <c r="AD495" s="66"/>
      <c r="AE495" s="60"/>
      <c r="AF495" s="61" t="str">
        <f aca="false">IF(AND(ISNUMBER(X495),ISNUMBER(Y495)),Y495-X495,"")</f>
        <v/>
      </c>
      <c r="AG495" s="62" t="str">
        <f aca="false">IF(ISNUMBER(AD495),AD495-(IF(AND(INDEX(TZ_DSTS,MATCH(P495,TZ_STN,0))&lt;&gt;"",(AD495-INDEX(TZ_STD,MATCH(P495,TZ_STN,0))/24)&gt;=INDEX(TZ_DSTS,MATCH(P495,TZ_STN,0)),(AD495-INDEX(TZ_STD,MATCH(P495,TZ_STN,0))/24)&lt;INDEX(TZ_DSTE,MATCH(P495,TZ_STN,0))),INDEX(TZ_DST,MATCH(P495,TZ_STN,0)),INDEX(TZ_STD,MATCH(P495,TZ_STN,0))))/24,"")</f>
        <v/>
      </c>
      <c r="AH495" s="65" t="str">
        <f aca="false">IFERROR(IF(N495="N/A – rule","N/A – RULE",IF(TRIM(U495)="N/A",IF(AT495=0,"INVALID – N/A not permitted for this check",IF(AND(TRIM(AB495)&lt;&gt;"",TRIM(AB495)&lt;&gt;"Closed"),"INVALID – corrective action still open",IF(AND(NOT(OR(LEN(AZ495)&lt;15,ISNUMBER(MATCH(AZ495,L_Placeholder,0)))),NOT(OR(LEN(AU495)&lt;2,ISNUMBER(MATCH(AU495,L_Placeholder,0)))),NOT(OR(LEN(AX495)&lt;2,ISNUMBER(MATCH(AX495,L_Placeholder,0)))),TRIM(AE495)&lt;&gt;TRIM(T495)),"N/A – JUSTIFIED","INVALID – N/A needs a real justification (15+ chars), PIC and a different verifier"))),IF(OR(TRIM(U495)="Pass",TRIM(U495)="Pass after CA"),IF(NOT(ISNUMBER(AD495)),"INVALID – completion time missing",IF(OR(LEN(AU495)&lt;2,ISNUMBER(MATCH(AU495,L_Placeholder,0))),"INVALID – PIC missing",IF(OR(LEN(AV495)&lt;2,ISNUMBER(MATCH(AV495,L_Placeholder,0))),"INVALID – result / assessment missing",IF(OR(OR(LEN(AW495)&lt;3,ISNUMBER(MATCH(AW495,L_Placeholder,0))),SUMPRODUCT(--ISNUMBER(SEARCH(L_EvidencePhrase,AW495)))&gt;0),"INVALID – evidence missing, placeholder or not yet on file",IF(OR(LEN(AX495)&lt;2,ISNUMBER(MATCH(AX495,L_Placeholder,0))),"INVALID – verifier missing",IF(AX495=AU495,"INVALID – verifier must be someone other than the PIC",IF(AND(TRIM(U495)="Pass",SUMPRODUCT(--ISNUMBER(SEARCH(L_ResultBad,AV495)))&gt;0),"INVALID – result describes a problem: use Fail, then Pass after CA",IF(AND(AQ495=1,OR(LEN(AY495)&lt;3,ISNUMBER(MATCH(AY495,L_Placeholder,0)))),"INVALID – batch ID missing or placeholder",IF(AND(AR495=1,OR(NOT(ISNUMBER(X495)),NOT(ISNUMBER(Y495)))),"INVALID – expected/actual qty missing",IF(AND(AR495=1,OR(X495&lt;=0,Y495&lt;0)),"INVALID – expected qty must be above 0 and actual not negative",IF(BB495&lt;&gt;"",BB495,IF(AND(AS495=1,Documents!$J$19&lt;&gt;"ON FILE"),"INVALID – GLD not on file (Documents sheet)",IF(AND(AS495=2,Documents!$O$19&lt;&gt;"ON FILE"),"INVALID – menu checklist not on file (Documents sheet)",IF(AND(AS495=3,NOT(ISNUMBER(Flights!$AX$19))),"INVALID – enter carrying flight KUL departure (Flights AX)",IF(AND(AS495=3,OR(Flights!$AZ$19&gt;Flights!$AA$19,Flights!$AX$19&lt;Flights!$AA$19-3)),"INVALID – carrying flight (Flights AX) cannot arrive before this leg's STD, or is over 3 days early",IF(AG495&gt;AsOfUTC,"INVALID – completion time is in the future",IF(AND(ISNUMBER(S495),AG495&lt;S495),IF(H495="Physical uplift","INVALID – before uplift window (cannot confirm loading)","INVALID – before valid window"),IF(AG495&gt;Flights!$AA$19,"INVALID – completed after departure (cannot establish readiness)",IF(AND(H495="Preparation",AG495&gt;IF(ISNUMBER(Flights!$BA$19),MIN(Flights!$BA$19,Flights!$AA$19),Flights!$AA$19)),"INVALID – completed after loading / departure (cannot establish readiness)",IF(AND(H495="Physical uplift",AG495&gt;Q495),"INVALID – recorded after the loading flight departed",IF(AG495&gt;Q495,"COMPLETE – LATE","COMPLETE"))))))))))))))))))))),IF(TRIM(U495)="Fail","FAIL – DISCREPANCY",IF(AND(TRIM(U495)&lt;&gt;"",TRIM(U495)&lt;&gt;"Not started",TRIM(U495)&lt;&gt;"In progress"),"INVALID – unrecognised status (use the list)",IF(AsOfUTC&gt;Q495,"OVERDUE",IF(N495="Clarification required","OPEN – CLARIFICATION","OPEN"))))))),"INVALID – error value in an input cell")</f>
        <v>OPEN</v>
      </c>
      <c r="AI495" s="61" t="n">
        <f aca="false">IF(OR(AH495="N/A – RULE",AH495="N/A – JUSTIFIED"),0,1)</f>
        <v>1</v>
      </c>
      <c r="AJ495" s="61" t="n">
        <f aca="false">IF(LEFT(AH495,8)="COMPLETE",1,0)</f>
        <v>0</v>
      </c>
      <c r="AK495" s="61" t="n">
        <f aca="false">IF(AND(AI495=1,AJ495=0,AsOfUTC&gt;Q495),1,0)</f>
        <v>0</v>
      </c>
      <c r="AL495" s="61" t="n">
        <f aca="false">IFERROR(IF(AND(AI495=1,OR(TRIM(U495)="Fail",AND(TRIM(AB495)&lt;&gt;"",TRIM(AB495)&lt;&gt;"Closed"),AND(ISNUMBER(AF495),AF495&lt;&gt;0,TRIM(U495)&lt;&gt;"Pass after CA"))),1,0),1)</f>
        <v>0</v>
      </c>
      <c r="AM495" s="61" t="n">
        <f aca="false">IF(LEFT(AH495,7)="INVALID",1,0)</f>
        <v>0</v>
      </c>
      <c r="AN495" s="61" t="n">
        <f aca="false">IF(AND(N495="Clarification required",AI495=1,AJ495=0),1,0)</f>
        <v>0</v>
      </c>
      <c r="AO495" s="61" t="str">
        <f aca="false">IF(AK495=1,SUM(AK$5:AK495),"")</f>
        <v/>
      </c>
      <c r="AP495" s="61" t="str">
        <f aca="false">IF(AL495=1,SUM(AL$5:AL495),"")</f>
        <v/>
      </c>
      <c r="AQ495" s="61" t="n">
        <v>0</v>
      </c>
      <c r="AR495" s="61" t="n">
        <v>0</v>
      </c>
      <c r="AS495" s="61" t="n">
        <v>0</v>
      </c>
      <c r="AT495" s="61" t="n">
        <v>0</v>
      </c>
      <c r="AU495" s="61" t="str">
        <f aca="false">SUBSTITUTE(SUBSTITUTE(SUBSTITUTE(SUBSTITUTE(SUBSTITUTE(SUBSTITUTE(SUBSTITUTE(SUBSTITUTE(SUBSTITUTE(SUBSTITUTE(SUBSTITUTE(SUBSTITUTE(SUBSTITUTE(LOWER(T495&amp;""),CHAR(160),"")," ",""),".",""),"-",""),"/",""),"?",""),"_",""),",",""),"[",""),"]",""),"(",""),")",""),"*","")</f>
        <v/>
      </c>
      <c r="AV495" s="61" t="str">
        <f aca="false">SUBSTITUTE(SUBSTITUTE(SUBSTITUTE(SUBSTITUTE(SUBSTITUTE(SUBSTITUTE(SUBSTITUTE(SUBSTITUTE(SUBSTITUTE(SUBSTITUTE(SUBSTITUTE(SUBSTITUTE(SUBSTITUTE(LOWER(V495&amp;""),CHAR(160),"")," ",""),".",""),"-",""),"/",""),"?",""),"_",""),",",""),"[",""),"]",""),"(",""),")",""),"*","")</f>
        <v/>
      </c>
      <c r="AW495" s="61" t="str">
        <f aca="false">SUBSTITUTE(SUBSTITUTE(SUBSTITUTE(SUBSTITUTE(SUBSTITUTE(SUBSTITUTE(SUBSTITUTE(SUBSTITUTE(SUBSTITUTE(SUBSTITUTE(SUBSTITUTE(SUBSTITUTE(SUBSTITUTE(LOWER(Z495&amp;""),CHAR(160),"")," ",""),".",""),"-",""),"/",""),"?",""),"_",""),",",""),"[",""),"]",""),"(",""),")",""),"*","")</f>
        <v/>
      </c>
      <c r="AX495" s="61" t="str">
        <f aca="false">SUBSTITUTE(SUBSTITUTE(SUBSTITUTE(SUBSTITUTE(SUBSTITUTE(SUBSTITUTE(SUBSTITUTE(SUBSTITUTE(SUBSTITUTE(SUBSTITUTE(SUBSTITUTE(SUBSTITUTE(SUBSTITUTE(LOWER(AE495&amp;""),CHAR(160),"")," ",""),".",""),"-",""),"/",""),"?",""),"_",""),",",""),"[",""),"]",""),"(",""),")",""),"*","")</f>
        <v/>
      </c>
      <c r="AY495" s="61" t="str">
        <f aca="false">SUBSTITUTE(SUBSTITUTE(SUBSTITUTE(SUBSTITUTE(SUBSTITUTE(SUBSTITUTE(SUBSTITUTE(SUBSTITUTE(SUBSTITUTE(SUBSTITUTE(SUBSTITUTE(SUBSTITUTE(SUBSTITUTE(LOWER(W495&amp;""),CHAR(160),"")," ",""),".",""),"-",""),"/",""),"?",""),"_",""),",",""),"[",""),"]",""),"(",""),")",""),"*","")</f>
        <v/>
      </c>
      <c r="AZ495" s="61" t="str">
        <f aca="false">SUBSTITUTE(SUBSTITUTE(SUBSTITUTE(SUBSTITUTE(SUBSTITUTE(SUBSTITUTE(SUBSTITUTE(SUBSTITUTE(SUBSTITUTE(SUBSTITUTE(SUBSTITUTE(SUBSTITUTE(SUBSTITUTE(LOWER(AC495&amp;""),CHAR(160),"")," ",""),".",""),"-",""),"/",""),"?",""),"_",""),",",""),"[",""),"]",""),"(",""),")",""),"*","")</f>
        <v/>
      </c>
      <c r="BA495" s="61" t="str">
        <f aca="false">SUBSTITUTE(SUBSTITUTE(SUBSTITUTE(SUBSTITUTE(SUBSTITUTE(SUBSTITUTE(SUBSTITUTE(SUBSTITUTE(SUBSTITUTE(SUBSTITUTE(SUBSTITUTE(SUBSTITUTE(SUBSTITUTE(LOWER(AA495&amp;""),CHAR(160),"")," ",""),".",""),"-",""),"/",""),"?",""),"_",""),",",""),"[",""),"]",""),"(",""),")",""),"*","")</f>
        <v/>
      </c>
      <c r="BB495" s="61" t="str">
        <f aca="false">IF(AND(TRIM(U495)="Pass",ISNUMBER(AF495)),IF(AF495&lt;&gt;0,"INVALID – qty variance: use Fail or Pass after CA",""),"")&amp;IF(AND(TRIM(U495)="Pass after CA",ISNUMBER(AF495)),IF(AF495&lt;&gt;0,"INVALID – after the corrective action the actual qty must equal expected (update Actual)",""),"")&amp;IF(AND(TRIM(U495)="Pass",TRIM(AB495)&lt;&gt;"",TRIM(AB495)&lt;&gt;"Closed"),"INVALID – corrective action not closed: use Fail, then Pass after CA","")&amp;IF(AND(TRIM(AA495)&lt;&gt;"",TRIM(AB495)=""),"INVALID – CA status missing for the recorded corrective action","")&amp;IF(AND(TRIM(U495)="Pass after CA",OR(OR(LEN(BA495)&lt;5,ISNUMBER(MATCH(BA495,L_Placeholder,0))),TRIM(AB495)&lt;&gt;"Closed")),"INVALID – corrective action not recorded/closed","")</f>
        <v/>
      </c>
    </row>
    <row r="496" customFormat="false" ht="141" hidden="false" customHeight="true" outlineLevel="0" collapsed="false">
      <c r="A496" s="57" t="s">
        <v>1127</v>
      </c>
      <c r="B496" s="57" t="s">
        <v>275</v>
      </c>
      <c r="C496" s="57" t="str">
        <f aca="false">Flights!$F$19</f>
        <v>MH0003</v>
      </c>
      <c r="D496" s="58" t="n">
        <f aca="false">Flights!$D$19</f>
        <v>46320</v>
      </c>
      <c r="E496" s="57" t="str">
        <f aca="false">Flights!$G$19&amp;"-"&amp;Flights!$H$19</f>
        <v>LHR-KUL</v>
      </c>
      <c r="F496" s="57" t="str">
        <f aca="false">Flights!$K$19</f>
        <v>EY</v>
      </c>
      <c r="G496" s="57" t="s">
        <v>398</v>
      </c>
      <c r="H496" s="57" t="s">
        <v>356</v>
      </c>
      <c r="I496" s="57" t="s">
        <v>406</v>
      </c>
      <c r="J496" s="57" t="s">
        <v>413</v>
      </c>
      <c r="K496" s="67" t="s">
        <v>414</v>
      </c>
      <c r="L496" s="67" t="s">
        <v>400</v>
      </c>
      <c r="M496" s="67"/>
      <c r="N496" s="67" t="s">
        <v>361</v>
      </c>
      <c r="O496" s="67" t="s">
        <v>401</v>
      </c>
      <c r="P496" s="57" t="s">
        <v>183</v>
      </c>
      <c r="Q496" s="59" t="n">
        <f aca="false">ROUND((Flights!$AE$19)*1440,0)/1440</f>
        <v>46319.9583333333</v>
      </c>
      <c r="R496" s="59" t="n">
        <f aca="false">Q496+(IF(AND(INDEX(TZ_DSTS,MATCH(P496,TZ_STN,0))&lt;&gt;"",Q496&gt;=INDEX(TZ_DSTS,MATCH(P496,TZ_STN,0)),Q496&lt;INDEX(TZ_DSTE,MATCH(P496,TZ_STN,0))),INDEX(TZ_DST,MATCH(P496,TZ_STN,0)),INDEX(TZ_STD,MATCH(P496,TZ_STN,0))))/24</f>
        <v>46320</v>
      </c>
      <c r="S496" s="59" t="n">
        <f aca="false">Q496-T12EarlyH/24</f>
        <v>46319.4583333333</v>
      </c>
      <c r="T496" s="60"/>
      <c r="U496" s="60"/>
      <c r="V496" s="60"/>
      <c r="W496" s="61"/>
      <c r="X496" s="60"/>
      <c r="Y496" s="60"/>
      <c r="Z496" s="60"/>
      <c r="AA496" s="60"/>
      <c r="AB496" s="60"/>
      <c r="AC496" s="60"/>
      <c r="AD496" s="66"/>
      <c r="AE496" s="60"/>
      <c r="AF496" s="61" t="str">
        <f aca="false">IF(AND(ISNUMBER(X496),ISNUMBER(Y496)),Y496-X496,"")</f>
        <v/>
      </c>
      <c r="AG496" s="62" t="str">
        <f aca="false">IF(ISNUMBER(AD496),AD496-(IF(AND(INDEX(TZ_DSTS,MATCH(P496,TZ_STN,0))&lt;&gt;"",(AD496-INDEX(TZ_STD,MATCH(P496,TZ_STN,0))/24)&gt;=INDEX(TZ_DSTS,MATCH(P496,TZ_STN,0)),(AD496-INDEX(TZ_STD,MATCH(P496,TZ_STN,0))/24)&lt;INDEX(TZ_DSTE,MATCH(P496,TZ_STN,0))),INDEX(TZ_DST,MATCH(P496,TZ_STN,0)),INDEX(TZ_STD,MATCH(P496,TZ_STN,0))))/24,"")</f>
        <v/>
      </c>
      <c r="AH496" s="65" t="str">
        <f aca="false">IFERROR(IF(N496="N/A – rule","N/A – RULE",IF(TRIM(U496)="N/A",IF(AT496=0,"INVALID – N/A not permitted for this check",IF(AND(TRIM(AB496)&lt;&gt;"",TRIM(AB496)&lt;&gt;"Closed"),"INVALID – corrective action still open",IF(AND(NOT(OR(LEN(AZ496)&lt;15,ISNUMBER(MATCH(AZ496,L_Placeholder,0)))),NOT(OR(LEN(AU496)&lt;2,ISNUMBER(MATCH(AU496,L_Placeholder,0)))),NOT(OR(LEN(AX496)&lt;2,ISNUMBER(MATCH(AX496,L_Placeholder,0)))),TRIM(AE496)&lt;&gt;TRIM(T496)),"N/A – JUSTIFIED","INVALID – N/A needs a real justification (15+ chars), PIC and a different verifier"))),IF(OR(TRIM(U496)="Pass",TRIM(U496)="Pass after CA"),IF(NOT(ISNUMBER(AD496)),"INVALID – completion time missing",IF(OR(LEN(AU496)&lt;2,ISNUMBER(MATCH(AU496,L_Placeholder,0))),"INVALID – PIC missing",IF(OR(LEN(AV496)&lt;2,ISNUMBER(MATCH(AV496,L_Placeholder,0))),"INVALID – result / assessment missing",IF(OR(OR(LEN(AW496)&lt;3,ISNUMBER(MATCH(AW496,L_Placeholder,0))),SUMPRODUCT(--ISNUMBER(SEARCH(L_EvidencePhrase,AW496)))&gt;0),"INVALID – evidence missing, placeholder or not yet on file",IF(OR(LEN(AX496)&lt;2,ISNUMBER(MATCH(AX496,L_Placeholder,0))),"INVALID – verifier missing",IF(AX496=AU496,"INVALID – verifier must be someone other than the PIC",IF(AND(TRIM(U496)="Pass",SUMPRODUCT(--ISNUMBER(SEARCH(L_ResultBad,AV496)))&gt;0),"INVALID – result describes a problem: use Fail, then Pass after CA",IF(AND(AQ496=1,OR(LEN(AY496)&lt;3,ISNUMBER(MATCH(AY496,L_Placeholder,0)))),"INVALID – batch ID missing or placeholder",IF(AND(AR496=1,OR(NOT(ISNUMBER(X496)),NOT(ISNUMBER(Y496)))),"INVALID – expected/actual qty missing",IF(AND(AR496=1,OR(X496&lt;=0,Y496&lt;0)),"INVALID – expected qty must be above 0 and actual not negative",IF(BB496&lt;&gt;"",BB496,IF(AND(AS496=1,Documents!$J$19&lt;&gt;"ON FILE"),"INVALID – GLD not on file (Documents sheet)",IF(AND(AS496=2,Documents!$O$19&lt;&gt;"ON FILE"),"INVALID – menu checklist not on file (Documents sheet)",IF(AND(AS496=3,NOT(ISNUMBER(Flights!$AX$19))),"INVALID – enter carrying flight KUL departure (Flights AX)",IF(AND(AS496=3,OR(Flights!$AZ$19&gt;Flights!$AA$19,Flights!$AX$19&lt;Flights!$AA$19-3)),"INVALID – carrying flight (Flights AX) cannot arrive before this leg's STD, or is over 3 days early",IF(AG496&gt;AsOfUTC,"INVALID – completion time is in the future",IF(AND(ISNUMBER(S496),AG496&lt;S496),IF(H496="Physical uplift","INVALID – before uplift window (cannot confirm loading)","INVALID – before valid window"),IF(AG496&gt;Flights!$AA$19,"INVALID – completed after departure (cannot establish readiness)",IF(AND(H496="Preparation",AG496&gt;IF(ISNUMBER(Flights!$BA$19),MIN(Flights!$BA$19,Flights!$AA$19),Flights!$AA$19)),"INVALID – completed after loading / departure (cannot establish readiness)",IF(AND(H496="Physical uplift",AG496&gt;Q496),"INVALID – recorded after the loading flight departed",IF(AG496&gt;Q496,"COMPLETE – LATE","COMPLETE"))))))))))))))))))))),IF(TRIM(U496)="Fail","FAIL – DISCREPANCY",IF(AND(TRIM(U496)&lt;&gt;"",TRIM(U496)&lt;&gt;"Not started",TRIM(U496)&lt;&gt;"In progress"),"INVALID – unrecognised status (use the list)",IF(AsOfUTC&gt;Q496,"OVERDUE",IF(N496="Clarification required","OPEN – CLARIFICATION","OPEN"))))))),"INVALID – error value in an input cell")</f>
        <v>OPEN</v>
      </c>
      <c r="AI496" s="61" t="n">
        <f aca="false">IF(OR(AH496="N/A – RULE",AH496="N/A – JUSTIFIED"),0,1)</f>
        <v>1</v>
      </c>
      <c r="AJ496" s="61" t="n">
        <f aca="false">IF(LEFT(AH496,8)="COMPLETE",1,0)</f>
        <v>0</v>
      </c>
      <c r="AK496" s="61" t="n">
        <f aca="false">IF(AND(AI496=1,AJ496=0,AsOfUTC&gt;Q496),1,0)</f>
        <v>0</v>
      </c>
      <c r="AL496" s="61" t="n">
        <f aca="false">IFERROR(IF(AND(AI496=1,OR(TRIM(U496)="Fail",AND(TRIM(AB496)&lt;&gt;"",TRIM(AB496)&lt;&gt;"Closed"),AND(ISNUMBER(AF496),AF496&lt;&gt;0,TRIM(U496)&lt;&gt;"Pass after CA"))),1,0),1)</f>
        <v>0</v>
      </c>
      <c r="AM496" s="61" t="n">
        <f aca="false">IF(LEFT(AH496,7)="INVALID",1,0)</f>
        <v>0</v>
      </c>
      <c r="AN496" s="61" t="n">
        <f aca="false">IF(AND(N496="Clarification required",AI496=1,AJ496=0),1,0)</f>
        <v>0</v>
      </c>
      <c r="AO496" s="61" t="str">
        <f aca="false">IF(AK496=1,SUM(AK$5:AK496),"")</f>
        <v/>
      </c>
      <c r="AP496" s="61" t="str">
        <f aca="false">IF(AL496=1,SUM(AL$5:AL496),"")</f>
        <v/>
      </c>
      <c r="AQ496" s="61" t="n">
        <v>0</v>
      </c>
      <c r="AR496" s="61" t="n">
        <v>1</v>
      </c>
      <c r="AS496" s="61" t="n">
        <v>0</v>
      </c>
      <c r="AT496" s="61" t="n">
        <v>0</v>
      </c>
      <c r="AU496" s="61" t="str">
        <f aca="false">SUBSTITUTE(SUBSTITUTE(SUBSTITUTE(SUBSTITUTE(SUBSTITUTE(SUBSTITUTE(SUBSTITUTE(SUBSTITUTE(SUBSTITUTE(SUBSTITUTE(SUBSTITUTE(SUBSTITUTE(SUBSTITUTE(LOWER(T496&amp;""),CHAR(160),"")," ",""),".",""),"-",""),"/",""),"?",""),"_",""),",",""),"[",""),"]",""),"(",""),")",""),"*","")</f>
        <v/>
      </c>
      <c r="AV496" s="61" t="str">
        <f aca="false">SUBSTITUTE(SUBSTITUTE(SUBSTITUTE(SUBSTITUTE(SUBSTITUTE(SUBSTITUTE(SUBSTITUTE(SUBSTITUTE(SUBSTITUTE(SUBSTITUTE(SUBSTITUTE(SUBSTITUTE(SUBSTITUTE(LOWER(V496&amp;""),CHAR(160),"")," ",""),".",""),"-",""),"/",""),"?",""),"_",""),",",""),"[",""),"]",""),"(",""),")",""),"*","")</f>
        <v/>
      </c>
      <c r="AW496" s="61" t="str">
        <f aca="false">SUBSTITUTE(SUBSTITUTE(SUBSTITUTE(SUBSTITUTE(SUBSTITUTE(SUBSTITUTE(SUBSTITUTE(SUBSTITUTE(SUBSTITUTE(SUBSTITUTE(SUBSTITUTE(SUBSTITUTE(SUBSTITUTE(LOWER(Z496&amp;""),CHAR(160),"")," ",""),".",""),"-",""),"/",""),"?",""),"_",""),",",""),"[",""),"]",""),"(",""),")",""),"*","")</f>
        <v/>
      </c>
      <c r="AX496" s="61" t="str">
        <f aca="false">SUBSTITUTE(SUBSTITUTE(SUBSTITUTE(SUBSTITUTE(SUBSTITUTE(SUBSTITUTE(SUBSTITUTE(SUBSTITUTE(SUBSTITUTE(SUBSTITUTE(SUBSTITUTE(SUBSTITUTE(SUBSTITUTE(LOWER(AE496&amp;""),CHAR(160),"")," ",""),".",""),"-",""),"/",""),"?",""),"_",""),",",""),"[",""),"]",""),"(",""),")",""),"*","")</f>
        <v/>
      </c>
      <c r="AY496" s="61" t="str">
        <f aca="false">SUBSTITUTE(SUBSTITUTE(SUBSTITUTE(SUBSTITUTE(SUBSTITUTE(SUBSTITUTE(SUBSTITUTE(SUBSTITUTE(SUBSTITUTE(SUBSTITUTE(SUBSTITUTE(SUBSTITUTE(SUBSTITUTE(LOWER(W496&amp;""),CHAR(160),"")," ",""),".",""),"-",""),"/",""),"?",""),"_",""),",",""),"[",""),"]",""),"(",""),")",""),"*","")</f>
        <v/>
      </c>
      <c r="AZ496" s="61" t="str">
        <f aca="false">SUBSTITUTE(SUBSTITUTE(SUBSTITUTE(SUBSTITUTE(SUBSTITUTE(SUBSTITUTE(SUBSTITUTE(SUBSTITUTE(SUBSTITUTE(SUBSTITUTE(SUBSTITUTE(SUBSTITUTE(SUBSTITUTE(LOWER(AC496&amp;""),CHAR(160),"")," ",""),".",""),"-",""),"/",""),"?",""),"_",""),",",""),"[",""),"]",""),"(",""),")",""),"*","")</f>
        <v/>
      </c>
      <c r="BA496" s="61" t="str">
        <f aca="false">SUBSTITUTE(SUBSTITUTE(SUBSTITUTE(SUBSTITUTE(SUBSTITUTE(SUBSTITUTE(SUBSTITUTE(SUBSTITUTE(SUBSTITUTE(SUBSTITUTE(SUBSTITUTE(SUBSTITUTE(SUBSTITUTE(LOWER(AA496&amp;""),CHAR(160),"")," ",""),".",""),"-",""),"/",""),"?",""),"_",""),",",""),"[",""),"]",""),"(",""),")",""),"*","")</f>
        <v/>
      </c>
      <c r="BB496" s="61" t="str">
        <f aca="false">IF(AND(TRIM(U496)="Pass",ISNUMBER(AF496)),IF(AF496&lt;&gt;0,"INVALID – qty variance: use Fail or Pass after CA",""),"")&amp;IF(AND(TRIM(U496)="Pass after CA",ISNUMBER(AF496)),IF(AF496&lt;&gt;0,"INVALID – after the corrective action the actual qty must equal expected (update Actual)",""),"")&amp;IF(AND(TRIM(U496)="Pass",TRIM(AB496)&lt;&gt;"",TRIM(AB496)&lt;&gt;"Closed"),"INVALID – corrective action not closed: use Fail, then Pass after CA","")&amp;IF(AND(TRIM(AA496)&lt;&gt;"",TRIM(AB496)=""),"INVALID – CA status missing for the recorded corrective action","")&amp;IF(AND(TRIM(U496)="Pass after CA",OR(OR(LEN(BA496)&lt;5,ISNUMBER(MATCH(BA496,L_Placeholder,0))),TRIM(AB496)&lt;&gt;"Closed")),"INVALID – corrective action not recorded/closed","")</f>
        <v/>
      </c>
    </row>
    <row r="497" customFormat="false" ht="39.75" hidden="false" customHeight="true" outlineLevel="0" collapsed="false">
      <c r="A497" s="57" t="s">
        <v>1128</v>
      </c>
      <c r="B497" s="57" t="s">
        <v>275</v>
      </c>
      <c r="C497" s="57" t="str">
        <f aca="false">Flights!$F$19</f>
        <v>MH0003</v>
      </c>
      <c r="D497" s="58" t="n">
        <f aca="false">Flights!$D$19</f>
        <v>46320</v>
      </c>
      <c r="E497" s="57" t="str">
        <f aca="false">Flights!$G$19&amp;"-"&amp;Flights!$H$19</f>
        <v>LHR-KUL</v>
      </c>
      <c r="F497" s="57" t="str">
        <f aca="false">Flights!$K$19</f>
        <v>EY</v>
      </c>
      <c r="G497" s="57" t="s">
        <v>398</v>
      </c>
      <c r="H497" s="57" t="s">
        <v>356</v>
      </c>
      <c r="I497" s="57" t="s">
        <v>406</v>
      </c>
      <c r="J497" s="57" t="s">
        <v>416</v>
      </c>
      <c r="K497" s="67"/>
      <c r="L497" s="67" t="s">
        <v>400</v>
      </c>
      <c r="M497" s="67"/>
      <c r="N497" s="67" t="s">
        <v>361</v>
      </c>
      <c r="O497" s="67" t="s">
        <v>401</v>
      </c>
      <c r="P497" s="57" t="s">
        <v>183</v>
      </c>
      <c r="Q497" s="59" t="n">
        <f aca="false">ROUND((Flights!$AE$19)*1440,0)/1440</f>
        <v>46319.9583333333</v>
      </c>
      <c r="R497" s="59" t="n">
        <f aca="false">Q497+(IF(AND(INDEX(TZ_DSTS,MATCH(P497,TZ_STN,0))&lt;&gt;"",Q497&gt;=INDEX(TZ_DSTS,MATCH(P497,TZ_STN,0)),Q497&lt;INDEX(TZ_DSTE,MATCH(P497,TZ_STN,0))),INDEX(TZ_DST,MATCH(P497,TZ_STN,0)),INDEX(TZ_STD,MATCH(P497,TZ_STN,0))))/24</f>
        <v>46320</v>
      </c>
      <c r="S497" s="59" t="n">
        <f aca="false">Q497-T12EarlyH/24</f>
        <v>46319.4583333333</v>
      </c>
      <c r="T497" s="60"/>
      <c r="U497" s="60"/>
      <c r="V497" s="60"/>
      <c r="W497" s="61"/>
      <c r="X497" s="60"/>
      <c r="Y497" s="60"/>
      <c r="Z497" s="60"/>
      <c r="AA497" s="60"/>
      <c r="AB497" s="60"/>
      <c r="AC497" s="60"/>
      <c r="AD497" s="66"/>
      <c r="AE497" s="60"/>
      <c r="AF497" s="61" t="str">
        <f aca="false">IF(AND(ISNUMBER(X497),ISNUMBER(Y497)),Y497-X497,"")</f>
        <v/>
      </c>
      <c r="AG497" s="62" t="str">
        <f aca="false">IF(ISNUMBER(AD497),AD497-(IF(AND(INDEX(TZ_DSTS,MATCH(P497,TZ_STN,0))&lt;&gt;"",(AD497-INDEX(TZ_STD,MATCH(P497,TZ_STN,0))/24)&gt;=INDEX(TZ_DSTS,MATCH(P497,TZ_STN,0)),(AD497-INDEX(TZ_STD,MATCH(P497,TZ_STN,0))/24)&lt;INDEX(TZ_DSTE,MATCH(P497,TZ_STN,0))),INDEX(TZ_DST,MATCH(P497,TZ_STN,0)),INDEX(TZ_STD,MATCH(P497,TZ_STN,0))))/24,"")</f>
        <v/>
      </c>
      <c r="AH497" s="65" t="str">
        <f aca="false">IFERROR(IF(N497="N/A – rule","N/A – RULE",IF(TRIM(U497)="N/A",IF(AT497=0,"INVALID – N/A not permitted for this check",IF(AND(TRIM(AB497)&lt;&gt;"",TRIM(AB497)&lt;&gt;"Closed"),"INVALID – corrective action still open",IF(AND(NOT(OR(LEN(AZ497)&lt;15,ISNUMBER(MATCH(AZ497,L_Placeholder,0)))),NOT(OR(LEN(AU497)&lt;2,ISNUMBER(MATCH(AU497,L_Placeholder,0)))),NOT(OR(LEN(AX497)&lt;2,ISNUMBER(MATCH(AX497,L_Placeholder,0)))),TRIM(AE497)&lt;&gt;TRIM(T497)),"N/A – JUSTIFIED","INVALID – N/A needs a real justification (15+ chars), PIC and a different verifier"))),IF(OR(TRIM(U497)="Pass",TRIM(U497)="Pass after CA"),IF(NOT(ISNUMBER(AD497)),"INVALID – completion time missing",IF(OR(LEN(AU497)&lt;2,ISNUMBER(MATCH(AU497,L_Placeholder,0))),"INVALID – PIC missing",IF(OR(LEN(AV497)&lt;2,ISNUMBER(MATCH(AV497,L_Placeholder,0))),"INVALID – result / assessment missing",IF(OR(OR(LEN(AW497)&lt;3,ISNUMBER(MATCH(AW497,L_Placeholder,0))),SUMPRODUCT(--ISNUMBER(SEARCH(L_EvidencePhrase,AW497)))&gt;0),"INVALID – evidence missing, placeholder or not yet on file",IF(OR(LEN(AX497)&lt;2,ISNUMBER(MATCH(AX497,L_Placeholder,0))),"INVALID – verifier missing",IF(AX497=AU497,"INVALID – verifier must be someone other than the PIC",IF(AND(TRIM(U497)="Pass",SUMPRODUCT(--ISNUMBER(SEARCH(L_ResultBad,AV497)))&gt;0),"INVALID – result describes a problem: use Fail, then Pass after CA",IF(AND(AQ497=1,OR(LEN(AY497)&lt;3,ISNUMBER(MATCH(AY497,L_Placeholder,0)))),"INVALID – batch ID missing or placeholder",IF(AND(AR497=1,OR(NOT(ISNUMBER(X497)),NOT(ISNUMBER(Y497)))),"INVALID – expected/actual qty missing",IF(AND(AR497=1,OR(X497&lt;=0,Y497&lt;0)),"INVALID – expected qty must be above 0 and actual not negative",IF(BB497&lt;&gt;"",BB497,IF(AND(AS497=1,Documents!$J$19&lt;&gt;"ON FILE"),"INVALID – GLD not on file (Documents sheet)",IF(AND(AS497=2,Documents!$O$19&lt;&gt;"ON FILE"),"INVALID – menu checklist not on file (Documents sheet)",IF(AND(AS497=3,NOT(ISNUMBER(Flights!$AX$19))),"INVALID – enter carrying flight KUL departure (Flights AX)",IF(AND(AS497=3,OR(Flights!$AZ$19&gt;Flights!$AA$19,Flights!$AX$19&lt;Flights!$AA$19-3)),"INVALID – carrying flight (Flights AX) cannot arrive before this leg's STD, or is over 3 days early",IF(AG497&gt;AsOfUTC,"INVALID – completion time is in the future",IF(AND(ISNUMBER(S497),AG497&lt;S497),IF(H497="Physical uplift","INVALID – before uplift window (cannot confirm loading)","INVALID – before valid window"),IF(AG497&gt;Flights!$AA$19,"INVALID – completed after departure (cannot establish readiness)",IF(AND(H497="Preparation",AG497&gt;IF(ISNUMBER(Flights!$BA$19),MIN(Flights!$BA$19,Flights!$AA$19),Flights!$AA$19)),"INVALID – completed after loading / departure (cannot establish readiness)",IF(AND(H497="Physical uplift",AG497&gt;Q497),"INVALID – recorded after the loading flight departed",IF(AG497&gt;Q497,"COMPLETE – LATE","COMPLETE"))))))))))))))))))))),IF(TRIM(U497)="Fail","FAIL – DISCREPANCY",IF(AND(TRIM(U497)&lt;&gt;"",TRIM(U497)&lt;&gt;"Not started",TRIM(U497)&lt;&gt;"In progress"),"INVALID – unrecognised status (use the list)",IF(AsOfUTC&gt;Q497,"OVERDUE",IF(N497="Clarification required","OPEN – CLARIFICATION","OPEN"))))))),"INVALID – error value in an input cell")</f>
        <v>OPEN</v>
      </c>
      <c r="AI497" s="61" t="n">
        <f aca="false">IF(OR(AH497="N/A – RULE",AH497="N/A – JUSTIFIED"),0,1)</f>
        <v>1</v>
      </c>
      <c r="AJ497" s="61" t="n">
        <f aca="false">IF(LEFT(AH497,8)="COMPLETE",1,0)</f>
        <v>0</v>
      </c>
      <c r="AK497" s="61" t="n">
        <f aca="false">IF(AND(AI497=1,AJ497=0,AsOfUTC&gt;Q497),1,0)</f>
        <v>0</v>
      </c>
      <c r="AL497" s="61" t="n">
        <f aca="false">IFERROR(IF(AND(AI497=1,OR(TRIM(U497)="Fail",AND(TRIM(AB497)&lt;&gt;"",TRIM(AB497)&lt;&gt;"Closed"),AND(ISNUMBER(AF497),AF497&lt;&gt;0,TRIM(U497)&lt;&gt;"Pass after CA"))),1,0),1)</f>
        <v>0</v>
      </c>
      <c r="AM497" s="61" t="n">
        <f aca="false">IF(LEFT(AH497,7)="INVALID",1,0)</f>
        <v>0</v>
      </c>
      <c r="AN497" s="61" t="n">
        <f aca="false">IF(AND(N497="Clarification required",AI497=1,AJ497=0),1,0)</f>
        <v>0</v>
      </c>
      <c r="AO497" s="61" t="str">
        <f aca="false">IF(AK497=1,SUM(AK$5:AK497),"")</f>
        <v/>
      </c>
      <c r="AP497" s="61" t="str">
        <f aca="false">IF(AL497=1,SUM(AL$5:AL497),"")</f>
        <v/>
      </c>
      <c r="AQ497" s="61" t="n">
        <v>0</v>
      </c>
      <c r="AR497" s="61" t="n">
        <v>0</v>
      </c>
      <c r="AS497" s="61" t="n">
        <v>0</v>
      </c>
      <c r="AT497" s="61" t="n">
        <v>0</v>
      </c>
      <c r="AU497" s="61" t="str">
        <f aca="false">SUBSTITUTE(SUBSTITUTE(SUBSTITUTE(SUBSTITUTE(SUBSTITUTE(SUBSTITUTE(SUBSTITUTE(SUBSTITUTE(SUBSTITUTE(SUBSTITUTE(SUBSTITUTE(SUBSTITUTE(SUBSTITUTE(LOWER(T497&amp;""),CHAR(160),"")," ",""),".",""),"-",""),"/",""),"?",""),"_",""),",",""),"[",""),"]",""),"(",""),")",""),"*","")</f>
        <v/>
      </c>
      <c r="AV497" s="61" t="str">
        <f aca="false">SUBSTITUTE(SUBSTITUTE(SUBSTITUTE(SUBSTITUTE(SUBSTITUTE(SUBSTITUTE(SUBSTITUTE(SUBSTITUTE(SUBSTITUTE(SUBSTITUTE(SUBSTITUTE(SUBSTITUTE(SUBSTITUTE(LOWER(V497&amp;""),CHAR(160),"")," ",""),".",""),"-",""),"/",""),"?",""),"_",""),",",""),"[",""),"]",""),"(",""),")",""),"*","")</f>
        <v/>
      </c>
      <c r="AW497" s="61" t="str">
        <f aca="false">SUBSTITUTE(SUBSTITUTE(SUBSTITUTE(SUBSTITUTE(SUBSTITUTE(SUBSTITUTE(SUBSTITUTE(SUBSTITUTE(SUBSTITUTE(SUBSTITUTE(SUBSTITUTE(SUBSTITUTE(SUBSTITUTE(LOWER(Z497&amp;""),CHAR(160),"")," ",""),".",""),"-",""),"/",""),"?",""),"_",""),",",""),"[",""),"]",""),"(",""),")",""),"*","")</f>
        <v/>
      </c>
      <c r="AX497" s="61" t="str">
        <f aca="false">SUBSTITUTE(SUBSTITUTE(SUBSTITUTE(SUBSTITUTE(SUBSTITUTE(SUBSTITUTE(SUBSTITUTE(SUBSTITUTE(SUBSTITUTE(SUBSTITUTE(SUBSTITUTE(SUBSTITUTE(SUBSTITUTE(LOWER(AE497&amp;""),CHAR(160),"")," ",""),".",""),"-",""),"/",""),"?",""),"_",""),",",""),"[",""),"]",""),"(",""),")",""),"*","")</f>
        <v/>
      </c>
      <c r="AY497" s="61" t="str">
        <f aca="false">SUBSTITUTE(SUBSTITUTE(SUBSTITUTE(SUBSTITUTE(SUBSTITUTE(SUBSTITUTE(SUBSTITUTE(SUBSTITUTE(SUBSTITUTE(SUBSTITUTE(SUBSTITUTE(SUBSTITUTE(SUBSTITUTE(LOWER(W497&amp;""),CHAR(160),"")," ",""),".",""),"-",""),"/",""),"?",""),"_",""),",",""),"[",""),"]",""),"(",""),")",""),"*","")</f>
        <v/>
      </c>
      <c r="AZ497" s="61" t="str">
        <f aca="false">SUBSTITUTE(SUBSTITUTE(SUBSTITUTE(SUBSTITUTE(SUBSTITUTE(SUBSTITUTE(SUBSTITUTE(SUBSTITUTE(SUBSTITUTE(SUBSTITUTE(SUBSTITUTE(SUBSTITUTE(SUBSTITUTE(LOWER(AC497&amp;""),CHAR(160),"")," ",""),".",""),"-",""),"/",""),"?",""),"_",""),",",""),"[",""),"]",""),"(",""),")",""),"*","")</f>
        <v/>
      </c>
      <c r="BA497" s="61" t="str">
        <f aca="false">SUBSTITUTE(SUBSTITUTE(SUBSTITUTE(SUBSTITUTE(SUBSTITUTE(SUBSTITUTE(SUBSTITUTE(SUBSTITUTE(SUBSTITUTE(SUBSTITUTE(SUBSTITUTE(SUBSTITUTE(SUBSTITUTE(LOWER(AA497&amp;""),CHAR(160),"")," ",""),".",""),"-",""),"/",""),"?",""),"_",""),",",""),"[",""),"]",""),"(",""),")",""),"*","")</f>
        <v/>
      </c>
      <c r="BB497" s="61" t="str">
        <f aca="false">IF(AND(TRIM(U497)="Pass",ISNUMBER(AF497)),IF(AF497&lt;&gt;0,"INVALID – qty variance: use Fail or Pass after CA",""),"")&amp;IF(AND(TRIM(U497)="Pass after CA",ISNUMBER(AF497)),IF(AF497&lt;&gt;0,"INVALID – after the corrective action the actual qty must equal expected (update Actual)",""),"")&amp;IF(AND(TRIM(U497)="Pass",TRIM(AB497)&lt;&gt;"",TRIM(AB497)&lt;&gt;"Closed"),"INVALID – corrective action not closed: use Fail, then Pass after CA","")&amp;IF(AND(TRIM(AA497)&lt;&gt;"",TRIM(AB497)=""),"INVALID – CA status missing for the recorded corrective action","")&amp;IF(AND(TRIM(U497)="Pass after CA",OR(OR(LEN(BA497)&lt;5,ISNUMBER(MATCH(BA497,L_Placeholder,0))),TRIM(AB497)&lt;&gt;"Closed")),"INVALID – corrective action not recorded/closed","")</f>
        <v/>
      </c>
    </row>
    <row r="498" customFormat="false" ht="54" hidden="false" customHeight="true" outlineLevel="0" collapsed="false">
      <c r="A498" s="57" t="s">
        <v>1129</v>
      </c>
      <c r="B498" s="57" t="s">
        <v>275</v>
      </c>
      <c r="C498" s="57" t="str">
        <f aca="false">Flights!$F$19</f>
        <v>MH0003</v>
      </c>
      <c r="D498" s="58" t="n">
        <f aca="false">Flights!$D$19</f>
        <v>46320</v>
      </c>
      <c r="E498" s="57" t="str">
        <f aca="false">Flights!$G$19&amp;"-"&amp;Flights!$H$19</f>
        <v>LHR-KUL</v>
      </c>
      <c r="F498" s="57" t="str">
        <f aca="false">Flights!$K$19</f>
        <v>EY</v>
      </c>
      <c r="G498" s="57" t="s">
        <v>398</v>
      </c>
      <c r="H498" s="57" t="s">
        <v>356</v>
      </c>
      <c r="I498" s="57" t="s">
        <v>418</v>
      </c>
      <c r="J498" s="57" t="s">
        <v>419</v>
      </c>
      <c r="K498" s="67" t="s">
        <v>420</v>
      </c>
      <c r="L498" s="67" t="s">
        <v>421</v>
      </c>
      <c r="M498" s="67" t="s">
        <v>183</v>
      </c>
      <c r="N498" s="67" t="s">
        <v>422</v>
      </c>
      <c r="O498" s="67" t="s">
        <v>423</v>
      </c>
      <c r="P498" s="57" t="s">
        <v>183</v>
      </c>
      <c r="Q498" s="59" t="n">
        <f aca="false">ROUND((Flights!$AE$19)*1440,0)/1440</f>
        <v>46319.9583333333</v>
      </c>
      <c r="R498" s="59" t="n">
        <f aca="false">Q498+(IF(AND(INDEX(TZ_DSTS,MATCH(P498,TZ_STN,0))&lt;&gt;"",Q498&gt;=INDEX(TZ_DSTS,MATCH(P498,TZ_STN,0)),Q498&lt;INDEX(TZ_DSTE,MATCH(P498,TZ_STN,0))),INDEX(TZ_DST,MATCH(P498,TZ_STN,0)),INDEX(TZ_STD,MATCH(P498,TZ_STN,0))))/24</f>
        <v>46320</v>
      </c>
      <c r="S498" s="59" t="n">
        <f aca="false">Q498-T12EarlyH/24</f>
        <v>46319.4583333333</v>
      </c>
      <c r="T498" s="60"/>
      <c r="U498" s="60"/>
      <c r="V498" s="60"/>
      <c r="W498" s="61"/>
      <c r="X498" s="60"/>
      <c r="Y498" s="60"/>
      <c r="Z498" s="60"/>
      <c r="AA498" s="60"/>
      <c r="AB498" s="60"/>
      <c r="AC498" s="60"/>
      <c r="AD498" s="66"/>
      <c r="AE498" s="60"/>
      <c r="AF498" s="61" t="str">
        <f aca="false">IF(AND(ISNUMBER(X498),ISNUMBER(Y498)),Y498-X498,"")</f>
        <v/>
      </c>
      <c r="AG498" s="62" t="str">
        <f aca="false">IF(ISNUMBER(AD498),AD498-(IF(AND(INDEX(TZ_DSTS,MATCH(P498,TZ_STN,0))&lt;&gt;"",(AD498-INDEX(TZ_STD,MATCH(P498,TZ_STN,0))/24)&gt;=INDEX(TZ_DSTS,MATCH(P498,TZ_STN,0)),(AD498-INDEX(TZ_STD,MATCH(P498,TZ_STN,0))/24)&lt;INDEX(TZ_DSTE,MATCH(P498,TZ_STN,0))),INDEX(TZ_DST,MATCH(P498,TZ_STN,0)),INDEX(TZ_STD,MATCH(P498,TZ_STN,0))))/24,"")</f>
        <v/>
      </c>
      <c r="AH498" s="65" t="str">
        <f aca="false">IFERROR(IF(N498="N/A – rule","N/A – RULE",IF(TRIM(U498)="N/A",IF(AT498=0,"INVALID – N/A not permitted for this check",IF(AND(TRIM(AB498)&lt;&gt;"",TRIM(AB498)&lt;&gt;"Closed"),"INVALID – corrective action still open",IF(AND(NOT(OR(LEN(AZ498)&lt;15,ISNUMBER(MATCH(AZ498,L_Placeholder,0)))),NOT(OR(LEN(AU498)&lt;2,ISNUMBER(MATCH(AU498,L_Placeholder,0)))),NOT(OR(LEN(AX498)&lt;2,ISNUMBER(MATCH(AX498,L_Placeholder,0)))),TRIM(AE498)&lt;&gt;TRIM(T498)),"N/A – JUSTIFIED","INVALID – N/A needs a real justification (15+ chars), PIC and a different verifier"))),IF(OR(TRIM(U498)="Pass",TRIM(U498)="Pass after CA"),IF(NOT(ISNUMBER(AD498)),"INVALID – completion time missing",IF(OR(LEN(AU498)&lt;2,ISNUMBER(MATCH(AU498,L_Placeholder,0))),"INVALID – PIC missing",IF(OR(LEN(AV498)&lt;2,ISNUMBER(MATCH(AV498,L_Placeholder,0))),"INVALID – result / assessment missing",IF(OR(OR(LEN(AW498)&lt;3,ISNUMBER(MATCH(AW498,L_Placeholder,0))),SUMPRODUCT(--ISNUMBER(SEARCH(L_EvidencePhrase,AW498)))&gt;0),"INVALID – evidence missing, placeholder or not yet on file",IF(OR(LEN(AX498)&lt;2,ISNUMBER(MATCH(AX498,L_Placeholder,0))),"INVALID – verifier missing",IF(AX498=AU498,"INVALID – verifier must be someone other than the PIC",IF(AND(TRIM(U498)="Pass",SUMPRODUCT(--ISNUMBER(SEARCH(L_ResultBad,AV498)))&gt;0),"INVALID – result describes a problem: use Fail, then Pass after CA",IF(AND(AQ498=1,OR(LEN(AY498)&lt;3,ISNUMBER(MATCH(AY498,L_Placeholder,0)))),"INVALID – batch ID missing or placeholder",IF(AND(AR498=1,OR(NOT(ISNUMBER(X498)),NOT(ISNUMBER(Y498)))),"INVALID – expected/actual qty missing",IF(AND(AR498=1,OR(X498&lt;=0,Y498&lt;0)),"INVALID – expected qty must be above 0 and actual not negative",IF(BB498&lt;&gt;"",BB498,IF(AND(AS498=1,Documents!$J$19&lt;&gt;"ON FILE"),"INVALID – GLD not on file (Documents sheet)",IF(AND(AS498=2,Documents!$O$19&lt;&gt;"ON FILE"),"INVALID – menu checklist not on file (Documents sheet)",IF(AND(AS498=3,NOT(ISNUMBER(Flights!$AX$19))),"INVALID – enter carrying flight KUL departure (Flights AX)",IF(AND(AS498=3,OR(Flights!$AZ$19&gt;Flights!$AA$19,Flights!$AX$19&lt;Flights!$AA$19-3)),"INVALID – carrying flight (Flights AX) cannot arrive before this leg's STD, or is over 3 days early",IF(AG498&gt;AsOfUTC,"INVALID – completion time is in the future",IF(AND(ISNUMBER(S498),AG498&lt;S498),IF(H498="Physical uplift","INVALID – before uplift window (cannot confirm loading)","INVALID – before valid window"),IF(AG498&gt;Flights!$AA$19,"INVALID – completed after departure (cannot establish readiness)",IF(AND(H498="Preparation",AG498&gt;IF(ISNUMBER(Flights!$BA$19),MIN(Flights!$BA$19,Flights!$AA$19),Flights!$AA$19)),"INVALID – completed after loading / departure (cannot establish readiness)",IF(AND(H498="Physical uplift",AG498&gt;Q498),"INVALID – recorded after the loading flight departed",IF(AG498&gt;Q498,"COMPLETE – LATE","COMPLETE"))))))))))))))))))))),IF(TRIM(U498)="Fail","FAIL – DISCREPANCY",IF(AND(TRIM(U498)&lt;&gt;"",TRIM(U498)&lt;&gt;"Not started",TRIM(U498)&lt;&gt;"In progress"),"INVALID – unrecognised status (use the list)",IF(AsOfUTC&gt;Q498,"OVERDUE",IF(N498="Clarification required","OPEN – CLARIFICATION","OPEN"))))))),"INVALID – error value in an input cell")</f>
        <v>OPEN – CLARIFICATION</v>
      </c>
      <c r="AI498" s="61" t="n">
        <f aca="false">IF(OR(AH498="N/A – RULE",AH498="N/A – JUSTIFIED"),0,1)</f>
        <v>1</v>
      </c>
      <c r="AJ498" s="61" t="n">
        <f aca="false">IF(LEFT(AH498,8)="COMPLETE",1,0)</f>
        <v>0</v>
      </c>
      <c r="AK498" s="61" t="n">
        <f aca="false">IF(AND(AI498=1,AJ498=0,AsOfUTC&gt;Q498),1,0)</f>
        <v>0</v>
      </c>
      <c r="AL498" s="61" t="n">
        <f aca="false">IFERROR(IF(AND(AI498=1,OR(TRIM(U498)="Fail",AND(TRIM(AB498)&lt;&gt;"",TRIM(AB498)&lt;&gt;"Closed"),AND(ISNUMBER(AF498),AF498&lt;&gt;0,TRIM(U498)&lt;&gt;"Pass after CA"))),1,0),1)</f>
        <v>0</v>
      </c>
      <c r="AM498" s="61" t="n">
        <f aca="false">IF(LEFT(AH498,7)="INVALID",1,0)</f>
        <v>0</v>
      </c>
      <c r="AN498" s="61" t="n">
        <f aca="false">IF(AND(N498="Clarification required",AI498=1,AJ498=0),1,0)</f>
        <v>1</v>
      </c>
      <c r="AO498" s="61" t="str">
        <f aca="false">IF(AK498=1,SUM(AK$5:AK498),"")</f>
        <v/>
      </c>
      <c r="AP498" s="61" t="str">
        <f aca="false">IF(AL498=1,SUM(AL$5:AL498),"")</f>
        <v/>
      </c>
      <c r="AQ498" s="61" t="n">
        <v>0</v>
      </c>
      <c r="AR498" s="61" t="n">
        <v>0</v>
      </c>
      <c r="AS498" s="61" t="n">
        <v>0</v>
      </c>
      <c r="AT498" s="61" t="n">
        <v>1</v>
      </c>
      <c r="AU498" s="61" t="str">
        <f aca="false">SUBSTITUTE(SUBSTITUTE(SUBSTITUTE(SUBSTITUTE(SUBSTITUTE(SUBSTITUTE(SUBSTITUTE(SUBSTITUTE(SUBSTITUTE(SUBSTITUTE(SUBSTITUTE(SUBSTITUTE(SUBSTITUTE(LOWER(T498&amp;""),CHAR(160),"")," ",""),".",""),"-",""),"/",""),"?",""),"_",""),",",""),"[",""),"]",""),"(",""),")",""),"*","")</f>
        <v/>
      </c>
      <c r="AV498" s="61" t="str">
        <f aca="false">SUBSTITUTE(SUBSTITUTE(SUBSTITUTE(SUBSTITUTE(SUBSTITUTE(SUBSTITUTE(SUBSTITUTE(SUBSTITUTE(SUBSTITUTE(SUBSTITUTE(SUBSTITUTE(SUBSTITUTE(SUBSTITUTE(LOWER(V498&amp;""),CHAR(160),"")," ",""),".",""),"-",""),"/",""),"?",""),"_",""),",",""),"[",""),"]",""),"(",""),")",""),"*","")</f>
        <v/>
      </c>
      <c r="AW498" s="61" t="str">
        <f aca="false">SUBSTITUTE(SUBSTITUTE(SUBSTITUTE(SUBSTITUTE(SUBSTITUTE(SUBSTITUTE(SUBSTITUTE(SUBSTITUTE(SUBSTITUTE(SUBSTITUTE(SUBSTITUTE(SUBSTITUTE(SUBSTITUTE(LOWER(Z498&amp;""),CHAR(160),"")," ",""),".",""),"-",""),"/",""),"?",""),"_",""),",",""),"[",""),"]",""),"(",""),")",""),"*","")</f>
        <v/>
      </c>
      <c r="AX498" s="61" t="str">
        <f aca="false">SUBSTITUTE(SUBSTITUTE(SUBSTITUTE(SUBSTITUTE(SUBSTITUTE(SUBSTITUTE(SUBSTITUTE(SUBSTITUTE(SUBSTITUTE(SUBSTITUTE(SUBSTITUTE(SUBSTITUTE(SUBSTITUTE(LOWER(AE498&amp;""),CHAR(160),"")," ",""),".",""),"-",""),"/",""),"?",""),"_",""),",",""),"[",""),"]",""),"(",""),")",""),"*","")</f>
        <v/>
      </c>
      <c r="AY498" s="61" t="str">
        <f aca="false">SUBSTITUTE(SUBSTITUTE(SUBSTITUTE(SUBSTITUTE(SUBSTITUTE(SUBSTITUTE(SUBSTITUTE(SUBSTITUTE(SUBSTITUTE(SUBSTITUTE(SUBSTITUTE(SUBSTITUTE(SUBSTITUTE(LOWER(W498&amp;""),CHAR(160),"")," ",""),".",""),"-",""),"/",""),"?",""),"_",""),",",""),"[",""),"]",""),"(",""),")",""),"*","")</f>
        <v/>
      </c>
      <c r="AZ498" s="61" t="str">
        <f aca="false">SUBSTITUTE(SUBSTITUTE(SUBSTITUTE(SUBSTITUTE(SUBSTITUTE(SUBSTITUTE(SUBSTITUTE(SUBSTITUTE(SUBSTITUTE(SUBSTITUTE(SUBSTITUTE(SUBSTITUTE(SUBSTITUTE(LOWER(AC498&amp;""),CHAR(160),"")," ",""),".",""),"-",""),"/",""),"?",""),"_",""),",",""),"[",""),"]",""),"(",""),")",""),"*","")</f>
        <v/>
      </c>
      <c r="BA498" s="61" t="str">
        <f aca="false">SUBSTITUTE(SUBSTITUTE(SUBSTITUTE(SUBSTITUTE(SUBSTITUTE(SUBSTITUTE(SUBSTITUTE(SUBSTITUTE(SUBSTITUTE(SUBSTITUTE(SUBSTITUTE(SUBSTITUTE(SUBSTITUTE(LOWER(AA498&amp;""),CHAR(160),"")," ",""),".",""),"-",""),"/",""),"?",""),"_",""),",",""),"[",""),"]",""),"(",""),")",""),"*","")</f>
        <v/>
      </c>
      <c r="BB498" s="61" t="str">
        <f aca="false">IF(AND(TRIM(U498)="Pass",ISNUMBER(AF498)),IF(AF498&lt;&gt;0,"INVALID – qty variance: use Fail or Pass after CA",""),"")&amp;IF(AND(TRIM(U498)="Pass after CA",ISNUMBER(AF498)),IF(AF498&lt;&gt;0,"INVALID – after the corrective action the actual qty must equal expected (update Actual)",""),"")&amp;IF(AND(TRIM(U498)="Pass",TRIM(AB498)&lt;&gt;"",TRIM(AB498)&lt;&gt;"Closed"),"INVALID – corrective action not closed: use Fail, then Pass after CA","")&amp;IF(AND(TRIM(AA498)&lt;&gt;"",TRIM(AB498)=""),"INVALID – CA status missing for the recorded corrective action","")&amp;IF(AND(TRIM(U498)="Pass after CA",OR(OR(LEN(BA498)&lt;5,ISNUMBER(MATCH(BA498,L_Placeholder,0))),TRIM(AB498)&lt;&gt;"Closed")),"INVALID – corrective action not recorded/closed","")</f>
        <v/>
      </c>
    </row>
    <row r="499" customFormat="false" ht="41.25" hidden="false" customHeight="true" outlineLevel="0" collapsed="false">
      <c r="A499" s="57" t="s">
        <v>1130</v>
      </c>
      <c r="B499" s="57" t="s">
        <v>275</v>
      </c>
      <c r="C499" s="57" t="str">
        <f aca="false">Flights!$F$19</f>
        <v>MH0003</v>
      </c>
      <c r="D499" s="58" t="n">
        <f aca="false">Flights!$D$19</f>
        <v>46320</v>
      </c>
      <c r="E499" s="57" t="str">
        <f aca="false">Flights!$G$19&amp;"-"&amp;Flights!$H$19</f>
        <v>LHR-KUL</v>
      </c>
      <c r="F499" s="57" t="str">
        <f aca="false">Flights!$K$19</f>
        <v>EY</v>
      </c>
      <c r="G499" s="57" t="s">
        <v>398</v>
      </c>
      <c r="H499" s="57" t="s">
        <v>356</v>
      </c>
      <c r="I499" s="57" t="s">
        <v>425</v>
      </c>
      <c r="J499" s="57" t="s">
        <v>426</v>
      </c>
      <c r="K499" s="67" t="s">
        <v>427</v>
      </c>
      <c r="L499" s="67" t="s">
        <v>428</v>
      </c>
      <c r="M499" s="67" t="s">
        <v>429</v>
      </c>
      <c r="N499" s="67" t="s">
        <v>361</v>
      </c>
      <c r="O499" s="67" t="s">
        <v>430</v>
      </c>
      <c r="P499" s="57" t="s">
        <v>183</v>
      </c>
      <c r="Q499" s="59" t="n">
        <f aca="false">ROUND((Flights!$AE$19)*1440,0)/1440</f>
        <v>46319.9583333333</v>
      </c>
      <c r="R499" s="59" t="n">
        <f aca="false">Q499+(IF(AND(INDEX(TZ_DSTS,MATCH(P499,TZ_STN,0))&lt;&gt;"",Q499&gt;=INDEX(TZ_DSTS,MATCH(P499,TZ_STN,0)),Q499&lt;INDEX(TZ_DSTE,MATCH(P499,TZ_STN,0))),INDEX(TZ_DST,MATCH(P499,TZ_STN,0)),INDEX(TZ_STD,MATCH(P499,TZ_STN,0))))/24</f>
        <v>46320</v>
      </c>
      <c r="S499" s="59" t="n">
        <f aca="false">Q499-T12EarlyH/24</f>
        <v>46319.4583333333</v>
      </c>
      <c r="T499" s="60"/>
      <c r="U499" s="60"/>
      <c r="V499" s="60"/>
      <c r="W499" s="61"/>
      <c r="X499" s="60"/>
      <c r="Y499" s="60"/>
      <c r="Z499" s="60"/>
      <c r="AA499" s="60"/>
      <c r="AB499" s="60"/>
      <c r="AC499" s="60"/>
      <c r="AD499" s="66"/>
      <c r="AE499" s="60"/>
      <c r="AF499" s="61" t="str">
        <f aca="false">IF(AND(ISNUMBER(X499),ISNUMBER(Y499)),Y499-X499,"")</f>
        <v/>
      </c>
      <c r="AG499" s="62" t="str">
        <f aca="false">IF(ISNUMBER(AD499),AD499-(IF(AND(INDEX(TZ_DSTS,MATCH(P499,TZ_STN,0))&lt;&gt;"",(AD499-INDEX(TZ_STD,MATCH(P499,TZ_STN,0))/24)&gt;=INDEX(TZ_DSTS,MATCH(P499,TZ_STN,0)),(AD499-INDEX(TZ_STD,MATCH(P499,TZ_STN,0))/24)&lt;INDEX(TZ_DSTE,MATCH(P499,TZ_STN,0))),INDEX(TZ_DST,MATCH(P499,TZ_STN,0)),INDEX(TZ_STD,MATCH(P499,TZ_STN,0))))/24,"")</f>
        <v/>
      </c>
      <c r="AH499" s="65" t="str">
        <f aca="false">IFERROR(IF(N499="N/A – rule","N/A – RULE",IF(TRIM(U499)="N/A",IF(AT499=0,"INVALID – N/A not permitted for this check",IF(AND(TRIM(AB499)&lt;&gt;"",TRIM(AB499)&lt;&gt;"Closed"),"INVALID – corrective action still open",IF(AND(NOT(OR(LEN(AZ499)&lt;15,ISNUMBER(MATCH(AZ499,L_Placeholder,0)))),NOT(OR(LEN(AU499)&lt;2,ISNUMBER(MATCH(AU499,L_Placeholder,0)))),NOT(OR(LEN(AX499)&lt;2,ISNUMBER(MATCH(AX499,L_Placeholder,0)))),TRIM(AE499)&lt;&gt;TRIM(T499)),"N/A – JUSTIFIED","INVALID – N/A needs a real justification (15+ chars), PIC and a different verifier"))),IF(OR(TRIM(U499)="Pass",TRIM(U499)="Pass after CA"),IF(NOT(ISNUMBER(AD499)),"INVALID – completion time missing",IF(OR(LEN(AU499)&lt;2,ISNUMBER(MATCH(AU499,L_Placeholder,0))),"INVALID – PIC missing",IF(OR(LEN(AV499)&lt;2,ISNUMBER(MATCH(AV499,L_Placeholder,0))),"INVALID – result / assessment missing",IF(OR(OR(LEN(AW499)&lt;3,ISNUMBER(MATCH(AW499,L_Placeholder,0))),SUMPRODUCT(--ISNUMBER(SEARCH(L_EvidencePhrase,AW499)))&gt;0),"INVALID – evidence missing, placeholder or not yet on file",IF(OR(LEN(AX499)&lt;2,ISNUMBER(MATCH(AX499,L_Placeholder,0))),"INVALID – verifier missing",IF(AX499=AU499,"INVALID – verifier must be someone other than the PIC",IF(AND(TRIM(U499)="Pass",SUMPRODUCT(--ISNUMBER(SEARCH(L_ResultBad,AV499)))&gt;0),"INVALID – result describes a problem: use Fail, then Pass after CA",IF(AND(AQ499=1,OR(LEN(AY499)&lt;3,ISNUMBER(MATCH(AY499,L_Placeholder,0)))),"INVALID – batch ID missing or placeholder",IF(AND(AR499=1,OR(NOT(ISNUMBER(X499)),NOT(ISNUMBER(Y499)))),"INVALID – expected/actual qty missing",IF(AND(AR499=1,OR(X499&lt;=0,Y499&lt;0)),"INVALID – expected qty must be above 0 and actual not negative",IF(BB499&lt;&gt;"",BB499,IF(AND(AS499=1,Documents!$J$19&lt;&gt;"ON FILE"),"INVALID – GLD not on file (Documents sheet)",IF(AND(AS499=2,Documents!$O$19&lt;&gt;"ON FILE"),"INVALID – menu checklist not on file (Documents sheet)",IF(AND(AS499=3,NOT(ISNUMBER(Flights!$AX$19))),"INVALID – enter carrying flight KUL departure (Flights AX)",IF(AND(AS499=3,OR(Flights!$AZ$19&gt;Flights!$AA$19,Flights!$AX$19&lt;Flights!$AA$19-3)),"INVALID – carrying flight (Flights AX) cannot arrive before this leg's STD, or is over 3 days early",IF(AG499&gt;AsOfUTC,"INVALID – completion time is in the future",IF(AND(ISNUMBER(S499),AG499&lt;S499),IF(H499="Physical uplift","INVALID – before uplift window (cannot confirm loading)","INVALID – before valid window"),IF(AG499&gt;Flights!$AA$19,"INVALID – completed after departure (cannot establish readiness)",IF(AND(H499="Preparation",AG499&gt;IF(ISNUMBER(Flights!$BA$19),MIN(Flights!$BA$19,Flights!$AA$19),Flights!$AA$19)),"INVALID – completed after loading / departure (cannot establish readiness)",IF(AND(H499="Physical uplift",AG499&gt;Q499),"INVALID – recorded after the loading flight departed",IF(AG499&gt;Q499,"COMPLETE – LATE","COMPLETE"))))))))))))))))))))),IF(TRIM(U499)="Fail","FAIL – DISCREPANCY",IF(AND(TRIM(U499)&lt;&gt;"",TRIM(U499)&lt;&gt;"Not started",TRIM(U499)&lt;&gt;"In progress"),"INVALID – unrecognised status (use the list)",IF(AsOfUTC&gt;Q499,"OVERDUE",IF(N499="Clarification required","OPEN – CLARIFICATION","OPEN"))))))),"INVALID – error value in an input cell")</f>
        <v>OPEN</v>
      </c>
      <c r="AI499" s="61" t="n">
        <f aca="false">IF(OR(AH499="N/A – RULE",AH499="N/A – JUSTIFIED"),0,1)</f>
        <v>1</v>
      </c>
      <c r="AJ499" s="61" t="n">
        <f aca="false">IF(LEFT(AH499,8)="COMPLETE",1,0)</f>
        <v>0</v>
      </c>
      <c r="AK499" s="61" t="n">
        <f aca="false">IF(AND(AI499=1,AJ499=0,AsOfUTC&gt;Q499),1,0)</f>
        <v>0</v>
      </c>
      <c r="AL499" s="61" t="n">
        <f aca="false">IFERROR(IF(AND(AI499=1,OR(TRIM(U499)="Fail",AND(TRIM(AB499)&lt;&gt;"",TRIM(AB499)&lt;&gt;"Closed"),AND(ISNUMBER(AF499),AF499&lt;&gt;0,TRIM(U499)&lt;&gt;"Pass after CA"))),1,0),1)</f>
        <v>0</v>
      </c>
      <c r="AM499" s="61" t="n">
        <f aca="false">IF(LEFT(AH499,7)="INVALID",1,0)</f>
        <v>0</v>
      </c>
      <c r="AN499" s="61" t="n">
        <f aca="false">IF(AND(N499="Clarification required",AI499=1,AJ499=0),1,0)</f>
        <v>0</v>
      </c>
      <c r="AO499" s="61" t="str">
        <f aca="false">IF(AK499=1,SUM(AK$5:AK499),"")</f>
        <v/>
      </c>
      <c r="AP499" s="61" t="str">
        <f aca="false">IF(AL499=1,SUM(AL$5:AL499),"")</f>
        <v/>
      </c>
      <c r="AQ499" s="61" t="n">
        <v>0</v>
      </c>
      <c r="AR499" s="61" t="n">
        <v>0</v>
      </c>
      <c r="AS499" s="61" t="n">
        <v>0</v>
      </c>
      <c r="AT499" s="61" t="n">
        <v>0</v>
      </c>
      <c r="AU499" s="61" t="str">
        <f aca="false">SUBSTITUTE(SUBSTITUTE(SUBSTITUTE(SUBSTITUTE(SUBSTITUTE(SUBSTITUTE(SUBSTITUTE(SUBSTITUTE(SUBSTITUTE(SUBSTITUTE(SUBSTITUTE(SUBSTITUTE(SUBSTITUTE(LOWER(T499&amp;""),CHAR(160),"")," ",""),".",""),"-",""),"/",""),"?",""),"_",""),",",""),"[",""),"]",""),"(",""),")",""),"*","")</f>
        <v/>
      </c>
      <c r="AV499" s="61" t="str">
        <f aca="false">SUBSTITUTE(SUBSTITUTE(SUBSTITUTE(SUBSTITUTE(SUBSTITUTE(SUBSTITUTE(SUBSTITUTE(SUBSTITUTE(SUBSTITUTE(SUBSTITUTE(SUBSTITUTE(SUBSTITUTE(SUBSTITUTE(LOWER(V499&amp;""),CHAR(160),"")," ",""),".",""),"-",""),"/",""),"?",""),"_",""),",",""),"[",""),"]",""),"(",""),")",""),"*","")</f>
        <v/>
      </c>
      <c r="AW499" s="61" t="str">
        <f aca="false">SUBSTITUTE(SUBSTITUTE(SUBSTITUTE(SUBSTITUTE(SUBSTITUTE(SUBSTITUTE(SUBSTITUTE(SUBSTITUTE(SUBSTITUTE(SUBSTITUTE(SUBSTITUTE(SUBSTITUTE(SUBSTITUTE(LOWER(Z499&amp;""),CHAR(160),"")," ",""),".",""),"-",""),"/",""),"?",""),"_",""),",",""),"[",""),"]",""),"(",""),")",""),"*","")</f>
        <v/>
      </c>
      <c r="AX499" s="61" t="str">
        <f aca="false">SUBSTITUTE(SUBSTITUTE(SUBSTITUTE(SUBSTITUTE(SUBSTITUTE(SUBSTITUTE(SUBSTITUTE(SUBSTITUTE(SUBSTITUTE(SUBSTITUTE(SUBSTITUTE(SUBSTITUTE(SUBSTITUTE(LOWER(AE499&amp;""),CHAR(160),"")," ",""),".",""),"-",""),"/",""),"?",""),"_",""),",",""),"[",""),"]",""),"(",""),")",""),"*","")</f>
        <v/>
      </c>
      <c r="AY499" s="61" t="str">
        <f aca="false">SUBSTITUTE(SUBSTITUTE(SUBSTITUTE(SUBSTITUTE(SUBSTITUTE(SUBSTITUTE(SUBSTITUTE(SUBSTITUTE(SUBSTITUTE(SUBSTITUTE(SUBSTITUTE(SUBSTITUTE(SUBSTITUTE(LOWER(W499&amp;""),CHAR(160),"")," ",""),".",""),"-",""),"/",""),"?",""),"_",""),",",""),"[",""),"]",""),"(",""),")",""),"*","")</f>
        <v/>
      </c>
      <c r="AZ499" s="61" t="str">
        <f aca="false">SUBSTITUTE(SUBSTITUTE(SUBSTITUTE(SUBSTITUTE(SUBSTITUTE(SUBSTITUTE(SUBSTITUTE(SUBSTITUTE(SUBSTITUTE(SUBSTITUTE(SUBSTITUTE(SUBSTITUTE(SUBSTITUTE(LOWER(AC499&amp;""),CHAR(160),"")," ",""),".",""),"-",""),"/",""),"?",""),"_",""),",",""),"[",""),"]",""),"(",""),")",""),"*","")</f>
        <v/>
      </c>
      <c r="BA499" s="61" t="str">
        <f aca="false">SUBSTITUTE(SUBSTITUTE(SUBSTITUTE(SUBSTITUTE(SUBSTITUTE(SUBSTITUTE(SUBSTITUTE(SUBSTITUTE(SUBSTITUTE(SUBSTITUTE(SUBSTITUTE(SUBSTITUTE(SUBSTITUTE(LOWER(AA499&amp;""),CHAR(160),"")," ",""),".",""),"-",""),"/",""),"?",""),"_",""),",",""),"[",""),"]",""),"(",""),")",""),"*","")</f>
        <v/>
      </c>
      <c r="BB499" s="61" t="str">
        <f aca="false">IF(AND(TRIM(U499)="Pass",ISNUMBER(AF499)),IF(AF499&lt;&gt;0,"INVALID – qty variance: use Fail or Pass after CA",""),"")&amp;IF(AND(TRIM(U499)="Pass after CA",ISNUMBER(AF499)),IF(AF499&lt;&gt;0,"INVALID – after the corrective action the actual qty must equal expected (update Actual)",""),"")&amp;IF(AND(TRIM(U499)="Pass",TRIM(AB499)&lt;&gt;"",TRIM(AB499)&lt;&gt;"Closed"),"INVALID – corrective action not closed: use Fail, then Pass after CA","")&amp;IF(AND(TRIM(AA499)&lt;&gt;"",TRIM(AB499)=""),"INVALID – CA status missing for the recorded corrective action","")&amp;IF(AND(TRIM(U499)="Pass after CA",OR(OR(LEN(BA499)&lt;5,ISNUMBER(MATCH(BA499,L_Placeholder,0))),TRIM(AB499)&lt;&gt;"Closed")),"INVALID – corrective action not recorded/closed","")</f>
        <v/>
      </c>
    </row>
    <row r="500" customFormat="false" ht="91.5" hidden="false" customHeight="true" outlineLevel="0" collapsed="false">
      <c r="A500" s="57" t="s">
        <v>1131</v>
      </c>
      <c r="B500" s="57" t="s">
        <v>275</v>
      </c>
      <c r="C500" s="57" t="str">
        <f aca="false">Flights!$F$19</f>
        <v>MH0003</v>
      </c>
      <c r="D500" s="58" t="n">
        <f aca="false">Flights!$D$19</f>
        <v>46320</v>
      </c>
      <c r="E500" s="57" t="str">
        <f aca="false">Flights!$G$19&amp;"-"&amp;Flights!$H$19</f>
        <v>LHR-KUL</v>
      </c>
      <c r="F500" s="57" t="str">
        <f aca="false">Flights!$K$19</f>
        <v>EY</v>
      </c>
      <c r="G500" s="57" t="s">
        <v>398</v>
      </c>
      <c r="H500" s="57" t="s">
        <v>356</v>
      </c>
      <c r="I500" s="57" t="s">
        <v>425</v>
      </c>
      <c r="J500" s="57" t="s">
        <v>432</v>
      </c>
      <c r="K500" s="67" t="s">
        <v>433</v>
      </c>
      <c r="L500" s="67" t="s">
        <v>434</v>
      </c>
      <c r="M500" s="67" t="s">
        <v>429</v>
      </c>
      <c r="N500" s="67" t="s">
        <v>361</v>
      </c>
      <c r="O500" s="67" t="s">
        <v>1132</v>
      </c>
      <c r="P500" s="57" t="s">
        <v>183</v>
      </c>
      <c r="Q500" s="59" t="n">
        <f aca="false">ROUND((Flights!$AE$19)*1440,0)/1440</f>
        <v>46319.9583333333</v>
      </c>
      <c r="R500" s="59" t="n">
        <f aca="false">Q500+(IF(AND(INDEX(TZ_DSTS,MATCH(P500,TZ_STN,0))&lt;&gt;"",Q500&gt;=INDEX(TZ_DSTS,MATCH(P500,TZ_STN,0)),Q500&lt;INDEX(TZ_DSTE,MATCH(P500,TZ_STN,0))),INDEX(TZ_DST,MATCH(P500,TZ_STN,0)),INDEX(TZ_STD,MATCH(P500,TZ_STN,0))))/24</f>
        <v>46320</v>
      </c>
      <c r="S500" s="59" t="n">
        <f aca="false">Q500-T12EarlyH/24</f>
        <v>46319.4583333333</v>
      </c>
      <c r="T500" s="60"/>
      <c r="U500" s="60"/>
      <c r="V500" s="60"/>
      <c r="W500" s="61"/>
      <c r="X500" s="68" t="str">
        <f aca="false">IF(TRIM(Flights!$N$19)="","",IF(ISNUMBER(SEARCH("MAH",Flights!$N$19)),280,260))</f>
        <v/>
      </c>
      <c r="Y500" s="60"/>
      <c r="Z500" s="60"/>
      <c r="AA500" s="60"/>
      <c r="AB500" s="60"/>
      <c r="AC500" s="60"/>
      <c r="AD500" s="66"/>
      <c r="AE500" s="60"/>
      <c r="AF500" s="61" t="str">
        <f aca="false">IF(AND(ISNUMBER(X500),ISNUMBER(Y500)),Y500-X500,"")</f>
        <v/>
      </c>
      <c r="AG500" s="62" t="str">
        <f aca="false">IF(ISNUMBER(AD500),AD500-(IF(AND(INDEX(TZ_DSTS,MATCH(P500,TZ_STN,0))&lt;&gt;"",(AD500-INDEX(TZ_STD,MATCH(P500,TZ_STN,0))/24)&gt;=INDEX(TZ_DSTS,MATCH(P500,TZ_STN,0)),(AD500-INDEX(TZ_STD,MATCH(P500,TZ_STN,0))/24)&lt;INDEX(TZ_DSTE,MATCH(P500,TZ_STN,0))),INDEX(TZ_DST,MATCH(P500,TZ_STN,0)),INDEX(TZ_STD,MATCH(P500,TZ_STN,0))))/24,"")</f>
        <v/>
      </c>
      <c r="AH500" s="65" t="str">
        <f aca="false">IFERROR(IF(N500="N/A – rule","N/A – RULE",IF(TRIM(U500)="N/A",IF(AT500=0,"INVALID – N/A not permitted for this check",IF(AND(TRIM(AB500)&lt;&gt;"",TRIM(AB500)&lt;&gt;"Closed"),"INVALID – corrective action still open",IF(AND(NOT(OR(LEN(AZ500)&lt;15,ISNUMBER(MATCH(AZ500,L_Placeholder,0)))),NOT(OR(LEN(AU500)&lt;2,ISNUMBER(MATCH(AU500,L_Placeholder,0)))),NOT(OR(LEN(AX500)&lt;2,ISNUMBER(MATCH(AX500,L_Placeholder,0)))),TRIM(AE500)&lt;&gt;TRIM(T500)),"N/A – JUSTIFIED","INVALID – N/A needs a real justification (15+ chars), PIC and a different verifier"))),IF(OR(TRIM(U500)="Pass",TRIM(U500)="Pass after CA"),IF(NOT(ISNUMBER(AD500)),"INVALID – completion time missing",IF(OR(LEN(AU500)&lt;2,ISNUMBER(MATCH(AU500,L_Placeholder,0))),"INVALID – PIC missing",IF(OR(LEN(AV500)&lt;2,ISNUMBER(MATCH(AV500,L_Placeholder,0))),"INVALID – result / assessment missing",IF(OR(OR(LEN(AW500)&lt;3,ISNUMBER(MATCH(AW500,L_Placeholder,0))),SUMPRODUCT(--ISNUMBER(SEARCH(L_EvidencePhrase,AW500)))&gt;0),"INVALID – evidence missing, placeholder or not yet on file",IF(OR(LEN(AX500)&lt;2,ISNUMBER(MATCH(AX500,L_Placeholder,0))),"INVALID – verifier missing",IF(AX500=AU500,"INVALID – verifier must be someone other than the PIC",IF(AND(TRIM(U500)="Pass",SUMPRODUCT(--ISNUMBER(SEARCH(L_ResultBad,AV500)))&gt;0),"INVALID – result describes a problem: use Fail, then Pass after CA",IF(AND(AQ500=1,OR(LEN(AY500)&lt;3,ISNUMBER(MATCH(AY500,L_Placeholder,0)))),"INVALID – batch ID missing or placeholder",IF(AND(AR500=1,OR(NOT(ISNUMBER(X500)),NOT(ISNUMBER(Y500)))),"INVALID – expected/actual qty missing",IF(AND(AR500=1,OR(X500&lt;=0,Y500&lt;0)),"INVALID – expected qty must be above 0 and actual not negative",IF(BB500&lt;&gt;"",BB500,IF(AND(AS500=1,Documents!$J$19&lt;&gt;"ON FILE"),"INVALID – GLD not on file (Documents sheet)",IF(AND(AS500=2,Documents!$O$19&lt;&gt;"ON FILE"),"INVALID – menu checklist not on file (Documents sheet)",IF(AND(AS500=3,NOT(ISNUMBER(Flights!$AX$19))),"INVALID – enter carrying flight KUL departure (Flights AX)",IF(AND(AS500=3,OR(Flights!$AZ$19&gt;Flights!$AA$19,Flights!$AX$19&lt;Flights!$AA$19-3)),"INVALID – carrying flight (Flights AX) cannot arrive before this leg's STD, or is over 3 days early",IF(AG500&gt;AsOfUTC,"INVALID – completion time is in the future",IF(AND(ISNUMBER(S500),AG500&lt;S500),IF(H500="Physical uplift","INVALID – before uplift window (cannot confirm loading)","INVALID – before valid window"),IF(AG500&gt;Flights!$AA$19,"INVALID – completed after departure (cannot establish readiness)",IF(AND(H500="Preparation",AG500&gt;IF(ISNUMBER(Flights!$BA$19),MIN(Flights!$BA$19,Flights!$AA$19),Flights!$AA$19)),"INVALID – completed after loading / departure (cannot establish readiness)",IF(AND(H500="Physical uplift",AG500&gt;Q500),"INVALID – recorded after the loading flight departed",IF(AG500&gt;Q500,"COMPLETE – LATE","COMPLETE"))))))))))))))))))))),IF(TRIM(U500)="Fail","FAIL – DISCREPANCY",IF(AND(TRIM(U500)&lt;&gt;"",TRIM(U500)&lt;&gt;"Not started",TRIM(U500)&lt;&gt;"In progress"),"INVALID – unrecognised status (use the list)",IF(AsOfUTC&gt;Q500,"OVERDUE",IF(N500="Clarification required","OPEN – CLARIFICATION","OPEN"))))))),"INVALID – error value in an input cell")</f>
        <v>OPEN</v>
      </c>
      <c r="AI500" s="61" t="n">
        <f aca="false">IF(OR(AH500="N/A – RULE",AH500="N/A – JUSTIFIED"),0,1)</f>
        <v>1</v>
      </c>
      <c r="AJ500" s="61" t="n">
        <f aca="false">IF(LEFT(AH500,8)="COMPLETE",1,0)</f>
        <v>0</v>
      </c>
      <c r="AK500" s="61" t="n">
        <f aca="false">IF(AND(AI500=1,AJ500=0,AsOfUTC&gt;Q500),1,0)</f>
        <v>0</v>
      </c>
      <c r="AL500" s="61" t="n">
        <f aca="false">IFERROR(IF(AND(AI500=1,OR(TRIM(U500)="Fail",AND(TRIM(AB500)&lt;&gt;"",TRIM(AB500)&lt;&gt;"Closed"),AND(ISNUMBER(AF500),AF500&lt;&gt;0,TRIM(U500)&lt;&gt;"Pass after CA"))),1,0),1)</f>
        <v>0</v>
      </c>
      <c r="AM500" s="61" t="n">
        <f aca="false">IF(LEFT(AH500,7)="INVALID",1,0)</f>
        <v>0</v>
      </c>
      <c r="AN500" s="61" t="n">
        <f aca="false">IF(AND(N500="Clarification required",AI500=1,AJ500=0),1,0)</f>
        <v>0</v>
      </c>
      <c r="AO500" s="61" t="str">
        <f aca="false">IF(AK500=1,SUM(AK$5:AK500),"")</f>
        <v/>
      </c>
      <c r="AP500" s="61" t="str">
        <f aca="false">IF(AL500=1,SUM(AL$5:AL500),"")</f>
        <v/>
      </c>
      <c r="AQ500" s="61" t="n">
        <v>0</v>
      </c>
      <c r="AR500" s="61" t="n">
        <v>1</v>
      </c>
      <c r="AS500" s="61" t="n">
        <v>0</v>
      </c>
      <c r="AT500" s="61" t="n">
        <v>0</v>
      </c>
      <c r="AU500" s="61" t="str">
        <f aca="false">SUBSTITUTE(SUBSTITUTE(SUBSTITUTE(SUBSTITUTE(SUBSTITUTE(SUBSTITUTE(SUBSTITUTE(SUBSTITUTE(SUBSTITUTE(SUBSTITUTE(SUBSTITUTE(SUBSTITUTE(SUBSTITUTE(LOWER(T500&amp;""),CHAR(160),"")," ",""),".",""),"-",""),"/",""),"?",""),"_",""),",",""),"[",""),"]",""),"(",""),")",""),"*","")</f>
        <v/>
      </c>
      <c r="AV500" s="61" t="str">
        <f aca="false">SUBSTITUTE(SUBSTITUTE(SUBSTITUTE(SUBSTITUTE(SUBSTITUTE(SUBSTITUTE(SUBSTITUTE(SUBSTITUTE(SUBSTITUTE(SUBSTITUTE(SUBSTITUTE(SUBSTITUTE(SUBSTITUTE(LOWER(V500&amp;""),CHAR(160),"")," ",""),".",""),"-",""),"/",""),"?",""),"_",""),",",""),"[",""),"]",""),"(",""),")",""),"*","")</f>
        <v/>
      </c>
      <c r="AW500" s="61" t="str">
        <f aca="false">SUBSTITUTE(SUBSTITUTE(SUBSTITUTE(SUBSTITUTE(SUBSTITUTE(SUBSTITUTE(SUBSTITUTE(SUBSTITUTE(SUBSTITUTE(SUBSTITUTE(SUBSTITUTE(SUBSTITUTE(SUBSTITUTE(LOWER(Z500&amp;""),CHAR(160),"")," ",""),".",""),"-",""),"/",""),"?",""),"_",""),",",""),"[",""),"]",""),"(",""),")",""),"*","")</f>
        <v/>
      </c>
      <c r="AX500" s="61" t="str">
        <f aca="false">SUBSTITUTE(SUBSTITUTE(SUBSTITUTE(SUBSTITUTE(SUBSTITUTE(SUBSTITUTE(SUBSTITUTE(SUBSTITUTE(SUBSTITUTE(SUBSTITUTE(SUBSTITUTE(SUBSTITUTE(SUBSTITUTE(LOWER(AE500&amp;""),CHAR(160),"")," ",""),".",""),"-",""),"/",""),"?",""),"_",""),",",""),"[",""),"]",""),"(",""),")",""),"*","")</f>
        <v/>
      </c>
      <c r="AY500" s="61" t="str">
        <f aca="false">SUBSTITUTE(SUBSTITUTE(SUBSTITUTE(SUBSTITUTE(SUBSTITUTE(SUBSTITUTE(SUBSTITUTE(SUBSTITUTE(SUBSTITUTE(SUBSTITUTE(SUBSTITUTE(SUBSTITUTE(SUBSTITUTE(LOWER(W500&amp;""),CHAR(160),"")," ",""),".",""),"-",""),"/",""),"?",""),"_",""),",",""),"[",""),"]",""),"(",""),")",""),"*","")</f>
        <v/>
      </c>
      <c r="AZ500" s="61" t="str">
        <f aca="false">SUBSTITUTE(SUBSTITUTE(SUBSTITUTE(SUBSTITUTE(SUBSTITUTE(SUBSTITUTE(SUBSTITUTE(SUBSTITUTE(SUBSTITUTE(SUBSTITUTE(SUBSTITUTE(SUBSTITUTE(SUBSTITUTE(LOWER(AC500&amp;""),CHAR(160),"")," ",""),".",""),"-",""),"/",""),"?",""),"_",""),",",""),"[",""),"]",""),"(",""),")",""),"*","")</f>
        <v/>
      </c>
      <c r="BA500" s="61" t="str">
        <f aca="false">SUBSTITUTE(SUBSTITUTE(SUBSTITUTE(SUBSTITUTE(SUBSTITUTE(SUBSTITUTE(SUBSTITUTE(SUBSTITUTE(SUBSTITUTE(SUBSTITUTE(SUBSTITUTE(SUBSTITUTE(SUBSTITUTE(LOWER(AA500&amp;""),CHAR(160),"")," ",""),".",""),"-",""),"/",""),"?",""),"_",""),",",""),"[",""),"]",""),"(",""),")",""),"*","")</f>
        <v/>
      </c>
      <c r="BB500" s="61" t="str">
        <f aca="false">IF(AND(TRIM(U500)="Pass",ISNUMBER(AF500)),IF(AF500&lt;&gt;0,"INVALID – qty variance: use Fail or Pass after CA",""),"")&amp;IF(AND(TRIM(U500)="Pass after CA",ISNUMBER(AF500)),IF(AF500&lt;&gt;0,"INVALID – after the corrective action the actual qty must equal expected (update Actual)",""),"")&amp;IF(AND(TRIM(U500)="Pass",TRIM(AB500)&lt;&gt;"",TRIM(AB500)&lt;&gt;"Closed"),"INVALID – corrective action not closed: use Fail, then Pass after CA","")&amp;IF(AND(TRIM(AA500)&lt;&gt;"",TRIM(AB500)=""),"INVALID – CA status missing for the recorded corrective action","")&amp;IF(AND(TRIM(U500)="Pass after CA",OR(OR(LEN(BA500)&lt;5,ISNUMBER(MATCH(BA500,L_Placeholder,0))),TRIM(AB500)&lt;&gt;"Closed")),"INVALID – corrective action not recorded/closed","")</f>
        <v/>
      </c>
    </row>
    <row r="501" customFormat="false" ht="39.75" hidden="false" customHeight="true" outlineLevel="0" collapsed="false">
      <c r="A501" s="57" t="s">
        <v>1133</v>
      </c>
      <c r="B501" s="57" t="s">
        <v>275</v>
      </c>
      <c r="C501" s="57" t="str">
        <f aca="false">Flights!$F$19</f>
        <v>MH0003</v>
      </c>
      <c r="D501" s="58" t="n">
        <f aca="false">Flights!$D$19</f>
        <v>46320</v>
      </c>
      <c r="E501" s="57" t="str">
        <f aca="false">Flights!$G$19&amp;"-"&amp;Flights!$H$19</f>
        <v>LHR-KUL</v>
      </c>
      <c r="F501" s="57" t="str">
        <f aca="false">Flights!$K$19</f>
        <v>EY</v>
      </c>
      <c r="G501" s="57" t="s">
        <v>437</v>
      </c>
      <c r="H501" s="57" t="s">
        <v>438</v>
      </c>
      <c r="I501" s="57" t="s">
        <v>357</v>
      </c>
      <c r="J501" s="57" t="s">
        <v>439</v>
      </c>
      <c r="K501" s="67" t="s">
        <v>404</v>
      </c>
      <c r="L501" s="67" t="s">
        <v>440</v>
      </c>
      <c r="M501" s="67"/>
      <c r="N501" s="67" t="s">
        <v>361</v>
      </c>
      <c r="O501" s="67" t="s">
        <v>441</v>
      </c>
      <c r="P501" s="57" t="s">
        <v>183</v>
      </c>
      <c r="Q501" s="59" t="n">
        <f aca="false">ROUND((Flights!$AF$19)*1440,0)/1440</f>
        <v>46320.4583333333</v>
      </c>
      <c r="R501" s="59" t="n">
        <f aca="false">Q501+(IF(AND(INDEX(TZ_DSTS,MATCH(P501,TZ_STN,0))&lt;&gt;"",Q501&gt;=INDEX(TZ_DSTS,MATCH(P501,TZ_STN,0)),Q501&lt;INDEX(TZ_DSTE,MATCH(P501,TZ_STN,0))),INDEX(TZ_DST,MATCH(P501,TZ_STN,0)),INDEX(TZ_STD,MATCH(P501,TZ_STN,0))))/24</f>
        <v>46320.4583333333</v>
      </c>
      <c r="S501" s="59" t="n">
        <f aca="false">IF(ISNUMBER(Flights!$AZ$19),MAX(Q501-UpliftWindowH/24,Flights!$AZ$19),Q501-UpliftWindowH/24)</f>
        <v>46320.2083333333</v>
      </c>
      <c r="T501" s="60"/>
      <c r="U501" s="60"/>
      <c r="V501" s="60"/>
      <c r="W501" s="61"/>
      <c r="X501" s="60"/>
      <c r="Y501" s="60"/>
      <c r="Z501" s="60"/>
      <c r="AA501" s="60"/>
      <c r="AB501" s="60"/>
      <c r="AC501" s="60"/>
      <c r="AD501" s="66"/>
      <c r="AE501" s="60"/>
      <c r="AF501" s="61" t="str">
        <f aca="false">IF(AND(ISNUMBER(X501),ISNUMBER(Y501)),Y501-X501,"")</f>
        <v/>
      </c>
      <c r="AG501" s="62" t="str">
        <f aca="false">IF(ISNUMBER(AD501),AD501-(IF(AND(INDEX(TZ_DSTS,MATCH(P501,TZ_STN,0))&lt;&gt;"",(AD501-INDEX(TZ_STD,MATCH(P501,TZ_STN,0))/24)&gt;=INDEX(TZ_DSTS,MATCH(P501,TZ_STN,0)),(AD501-INDEX(TZ_STD,MATCH(P501,TZ_STN,0))/24)&lt;INDEX(TZ_DSTE,MATCH(P501,TZ_STN,0))),INDEX(TZ_DST,MATCH(P501,TZ_STN,0)),INDEX(TZ_STD,MATCH(P501,TZ_STN,0))))/24,"")</f>
        <v/>
      </c>
      <c r="AH501" s="65" t="str">
        <f aca="false">IFERROR(IF(N501="N/A – rule","N/A – RULE",IF(TRIM(U501)="N/A",IF(AT501=0,"INVALID – N/A not permitted for this check",IF(AND(TRIM(AB501)&lt;&gt;"",TRIM(AB501)&lt;&gt;"Closed"),"INVALID – corrective action still open",IF(AND(NOT(OR(LEN(AZ501)&lt;15,ISNUMBER(MATCH(AZ501,L_Placeholder,0)))),NOT(OR(LEN(AU501)&lt;2,ISNUMBER(MATCH(AU501,L_Placeholder,0)))),NOT(OR(LEN(AX501)&lt;2,ISNUMBER(MATCH(AX501,L_Placeholder,0)))),TRIM(AE501)&lt;&gt;TRIM(T501)),"N/A – JUSTIFIED","INVALID – N/A needs a real justification (15+ chars), PIC and a different verifier"))),IF(OR(TRIM(U501)="Pass",TRIM(U501)="Pass after CA"),IF(NOT(ISNUMBER(AD501)),"INVALID – completion time missing",IF(OR(LEN(AU501)&lt;2,ISNUMBER(MATCH(AU501,L_Placeholder,0))),"INVALID – PIC missing",IF(OR(LEN(AV501)&lt;2,ISNUMBER(MATCH(AV501,L_Placeholder,0))),"INVALID – result / assessment missing",IF(OR(OR(LEN(AW501)&lt;3,ISNUMBER(MATCH(AW501,L_Placeholder,0))),SUMPRODUCT(--ISNUMBER(SEARCH(L_EvidencePhrase,AW501)))&gt;0),"INVALID – evidence missing, placeholder or not yet on file",IF(OR(LEN(AX501)&lt;2,ISNUMBER(MATCH(AX501,L_Placeholder,0))),"INVALID – verifier missing",IF(AX501=AU501,"INVALID – verifier must be someone other than the PIC",IF(AND(TRIM(U501)="Pass",SUMPRODUCT(--ISNUMBER(SEARCH(L_ResultBad,AV501)))&gt;0),"INVALID – result describes a problem: use Fail, then Pass after CA",IF(AND(AQ501=1,OR(LEN(AY501)&lt;3,ISNUMBER(MATCH(AY501,L_Placeholder,0)))),"INVALID – batch ID missing or placeholder",IF(AND(AR501=1,OR(NOT(ISNUMBER(X501)),NOT(ISNUMBER(Y501)))),"INVALID – expected/actual qty missing",IF(AND(AR501=1,OR(X501&lt;=0,Y501&lt;0)),"INVALID – expected qty must be above 0 and actual not negative",IF(AH492="N/A – JUSTIFIED","INVALID – preparation row F15-T12-02 is N/A",IF(AND(AR501=1,ISNUMBER(X492),X501&lt;&gt;X492),"INVALID – expected qty differs from preparation check F15-T12-02",IF(BB501&lt;&gt;"",BB501,IF(AND(AS501=1,Documents!$J$19&lt;&gt;"ON FILE"),"INVALID – GLD not on file (Documents sheet)",IF(AND(AS501=2,Documents!$O$19&lt;&gt;"ON FILE"),"INVALID – menu checklist not on file (Documents sheet)",IF(AND(AS501=3,NOT(ISNUMBER(Flights!$AX$19))),"INVALID – enter carrying flight KUL departure (Flights AX)",IF(AND(AS501=3,OR(Flights!$AZ$19&gt;Flights!$AA$19,Flights!$AX$19&lt;Flights!$AA$19-3)),"INVALID – carrying flight (Flights AX) cannot arrive before this leg's STD, or is over 3 days early",IF(AG501&gt;AsOfUTC,"INVALID – completion time is in the future",IF(AND(ISNUMBER(S501),AG501&lt;S501),IF(H501="Physical uplift","INVALID – before uplift window (cannot confirm loading)","INVALID – before valid window"),IF(AG501&gt;Flights!$AA$19,"INVALID – completed after departure (cannot establish readiness)",IF(AND(H501="Preparation",AG501&gt;IF(ISNUMBER(Flights!$BA$19),MIN(Flights!$BA$19,Flights!$AA$19),Flights!$AA$19)),"INVALID – completed after loading / departure (cannot establish readiness)",IF(AND(H501="Physical uplift",AG501&gt;Q501),"INVALID – recorded after the loading flight departed",IF(AG501&gt;Q501,"COMPLETE – LATE","COMPLETE"))))))))))))))))))))))),IF(TRIM(U501)="Fail","FAIL – DISCREPANCY",IF(AND(TRIM(U501)&lt;&gt;"",TRIM(U501)&lt;&gt;"Not started",TRIM(U501)&lt;&gt;"In progress"),"INVALID – unrecognised status (use the list)",IF(AsOfUTC&gt;Q501,"OVERDUE",IF(N501="Clarification required","OPEN – CLARIFICATION","OPEN"))))))),"INVALID – error value in an input cell")</f>
        <v>OPEN</v>
      </c>
      <c r="AI501" s="61" t="n">
        <f aca="false">IF(OR(AH501="N/A – RULE",AH501="N/A – JUSTIFIED"),0,1)</f>
        <v>1</v>
      </c>
      <c r="AJ501" s="61" t="n">
        <f aca="false">IF(LEFT(AH501,8)="COMPLETE",1,0)</f>
        <v>0</v>
      </c>
      <c r="AK501" s="61" t="n">
        <f aca="false">IF(AND(AI501=1,AJ501=0,AsOfUTC&gt;Q501),1,0)</f>
        <v>0</v>
      </c>
      <c r="AL501" s="61" t="n">
        <f aca="false">IFERROR(IF(AND(AI501=1,OR(TRIM(U501)="Fail",AND(TRIM(AB501)&lt;&gt;"",TRIM(AB501)&lt;&gt;"Closed"),AND(ISNUMBER(AF501),AF501&lt;&gt;0,TRIM(U501)&lt;&gt;"Pass after CA"))),1,0),1)</f>
        <v>0</v>
      </c>
      <c r="AM501" s="61" t="n">
        <f aca="false">IF(LEFT(AH501,7)="INVALID",1,0)</f>
        <v>0</v>
      </c>
      <c r="AN501" s="61" t="n">
        <f aca="false">IF(AND(N501="Clarification required",AI501=1,AJ501=0),1,0)</f>
        <v>0</v>
      </c>
      <c r="AO501" s="61" t="str">
        <f aca="false">IF(AK501=1,SUM(AK$5:AK501),"")</f>
        <v/>
      </c>
      <c r="AP501" s="61" t="str">
        <f aca="false">IF(AL501=1,SUM(AL$5:AL501),"")</f>
        <v/>
      </c>
      <c r="AQ501" s="61" t="n">
        <v>0</v>
      </c>
      <c r="AR501" s="61" t="n">
        <v>1</v>
      </c>
      <c r="AS501" s="61" t="n">
        <v>0</v>
      </c>
      <c r="AT501" s="61" t="n">
        <v>0</v>
      </c>
      <c r="AU501" s="61" t="str">
        <f aca="false">SUBSTITUTE(SUBSTITUTE(SUBSTITUTE(SUBSTITUTE(SUBSTITUTE(SUBSTITUTE(SUBSTITUTE(SUBSTITUTE(SUBSTITUTE(SUBSTITUTE(SUBSTITUTE(SUBSTITUTE(SUBSTITUTE(LOWER(T501&amp;""),CHAR(160),"")," ",""),".",""),"-",""),"/",""),"?",""),"_",""),",",""),"[",""),"]",""),"(",""),")",""),"*","")</f>
        <v/>
      </c>
      <c r="AV501" s="61" t="str">
        <f aca="false">SUBSTITUTE(SUBSTITUTE(SUBSTITUTE(SUBSTITUTE(SUBSTITUTE(SUBSTITUTE(SUBSTITUTE(SUBSTITUTE(SUBSTITUTE(SUBSTITUTE(SUBSTITUTE(SUBSTITUTE(SUBSTITUTE(LOWER(V501&amp;""),CHAR(160),"")," ",""),".",""),"-",""),"/",""),"?",""),"_",""),",",""),"[",""),"]",""),"(",""),")",""),"*","")</f>
        <v/>
      </c>
      <c r="AW501" s="61" t="str">
        <f aca="false">SUBSTITUTE(SUBSTITUTE(SUBSTITUTE(SUBSTITUTE(SUBSTITUTE(SUBSTITUTE(SUBSTITUTE(SUBSTITUTE(SUBSTITUTE(SUBSTITUTE(SUBSTITUTE(SUBSTITUTE(SUBSTITUTE(LOWER(Z501&amp;""),CHAR(160),"")," ",""),".",""),"-",""),"/",""),"?",""),"_",""),",",""),"[",""),"]",""),"(",""),")",""),"*","")</f>
        <v/>
      </c>
      <c r="AX501" s="61" t="str">
        <f aca="false">SUBSTITUTE(SUBSTITUTE(SUBSTITUTE(SUBSTITUTE(SUBSTITUTE(SUBSTITUTE(SUBSTITUTE(SUBSTITUTE(SUBSTITUTE(SUBSTITUTE(SUBSTITUTE(SUBSTITUTE(SUBSTITUTE(LOWER(AE501&amp;""),CHAR(160),"")," ",""),".",""),"-",""),"/",""),"?",""),"_",""),",",""),"[",""),"]",""),"(",""),")",""),"*","")</f>
        <v/>
      </c>
      <c r="AY501" s="61" t="str">
        <f aca="false">SUBSTITUTE(SUBSTITUTE(SUBSTITUTE(SUBSTITUTE(SUBSTITUTE(SUBSTITUTE(SUBSTITUTE(SUBSTITUTE(SUBSTITUTE(SUBSTITUTE(SUBSTITUTE(SUBSTITUTE(SUBSTITUTE(LOWER(W501&amp;""),CHAR(160),"")," ",""),".",""),"-",""),"/",""),"?",""),"_",""),",",""),"[",""),"]",""),"(",""),")",""),"*","")</f>
        <v/>
      </c>
      <c r="AZ501" s="61" t="str">
        <f aca="false">SUBSTITUTE(SUBSTITUTE(SUBSTITUTE(SUBSTITUTE(SUBSTITUTE(SUBSTITUTE(SUBSTITUTE(SUBSTITUTE(SUBSTITUTE(SUBSTITUTE(SUBSTITUTE(SUBSTITUTE(SUBSTITUTE(LOWER(AC501&amp;""),CHAR(160),"")," ",""),".",""),"-",""),"/",""),"?",""),"_",""),",",""),"[",""),"]",""),"(",""),")",""),"*","")</f>
        <v/>
      </c>
      <c r="BA501" s="61" t="str">
        <f aca="false">SUBSTITUTE(SUBSTITUTE(SUBSTITUTE(SUBSTITUTE(SUBSTITUTE(SUBSTITUTE(SUBSTITUTE(SUBSTITUTE(SUBSTITUTE(SUBSTITUTE(SUBSTITUTE(SUBSTITUTE(SUBSTITUTE(LOWER(AA501&amp;""),CHAR(160),"")," ",""),".",""),"-",""),"/",""),"?",""),"_",""),",",""),"[",""),"]",""),"(",""),")",""),"*","")</f>
        <v/>
      </c>
      <c r="BB501" s="61" t="str">
        <f aca="false">IF(AND(TRIM(U501)="Pass",ISNUMBER(AF501)),IF(AF501&lt;&gt;0,"INVALID – qty variance: use Fail or Pass after CA",""),"")&amp;IF(AND(TRIM(U501)="Pass after CA",ISNUMBER(AF501)),IF(AF501&lt;&gt;0,"INVALID – after the corrective action the actual qty must equal expected (update Actual)",""),"")&amp;IF(AND(TRIM(U501)="Pass",TRIM(AB501)&lt;&gt;"",TRIM(AB501)&lt;&gt;"Closed"),"INVALID – corrective action not closed: use Fail, then Pass after CA","")&amp;IF(AND(TRIM(AA501)&lt;&gt;"",TRIM(AB501)=""),"INVALID – CA status missing for the recorded corrective action","")&amp;IF(AND(TRIM(U501)="Pass after CA",OR(OR(LEN(BA501)&lt;5,ISNUMBER(MATCH(BA501,L_Placeholder,0))),TRIM(AB501)&lt;&gt;"Closed")),"INVALID – corrective action not recorded/closed","")</f>
        <v/>
      </c>
    </row>
    <row r="502" customFormat="false" ht="39.75" hidden="false" customHeight="true" outlineLevel="0" collapsed="false">
      <c r="A502" s="57" t="s">
        <v>1134</v>
      </c>
      <c r="B502" s="57" t="s">
        <v>275</v>
      </c>
      <c r="C502" s="57" t="str">
        <f aca="false">Flights!$F$19</f>
        <v>MH0003</v>
      </c>
      <c r="D502" s="58" t="n">
        <f aca="false">Flights!$D$19</f>
        <v>46320</v>
      </c>
      <c r="E502" s="57" t="str">
        <f aca="false">Flights!$G$19&amp;"-"&amp;Flights!$H$19</f>
        <v>LHR-KUL</v>
      </c>
      <c r="F502" s="57" t="str">
        <f aca="false">Flights!$K$19</f>
        <v>EY</v>
      </c>
      <c r="G502" s="57" t="s">
        <v>437</v>
      </c>
      <c r="H502" s="57" t="s">
        <v>438</v>
      </c>
      <c r="I502" s="57" t="s">
        <v>406</v>
      </c>
      <c r="J502" s="57" t="s">
        <v>443</v>
      </c>
      <c r="K502" s="67" t="s">
        <v>404</v>
      </c>
      <c r="L502" s="67" t="s">
        <v>440</v>
      </c>
      <c r="M502" s="67"/>
      <c r="N502" s="67" t="s">
        <v>361</v>
      </c>
      <c r="O502" s="67" t="s">
        <v>441</v>
      </c>
      <c r="P502" s="57" t="s">
        <v>183</v>
      </c>
      <c r="Q502" s="59" t="n">
        <f aca="false">ROUND((Flights!$AF$19)*1440,0)/1440</f>
        <v>46320.4583333333</v>
      </c>
      <c r="R502" s="59" t="n">
        <f aca="false">Q502+(IF(AND(INDEX(TZ_DSTS,MATCH(P502,TZ_STN,0))&lt;&gt;"",Q502&gt;=INDEX(TZ_DSTS,MATCH(P502,TZ_STN,0)),Q502&lt;INDEX(TZ_DSTE,MATCH(P502,TZ_STN,0))),INDEX(TZ_DST,MATCH(P502,TZ_STN,0)),INDEX(TZ_STD,MATCH(P502,TZ_STN,0))))/24</f>
        <v>46320.4583333333</v>
      </c>
      <c r="S502" s="59" t="n">
        <f aca="false">IF(ISNUMBER(Flights!$AZ$19),MAX(Q502-UpliftWindowH/24,Flights!$AZ$19),Q502-UpliftWindowH/24)</f>
        <v>46320.2083333333</v>
      </c>
      <c r="T502" s="60"/>
      <c r="U502" s="60"/>
      <c r="V502" s="60"/>
      <c r="W502" s="61"/>
      <c r="X502" s="60"/>
      <c r="Y502" s="60"/>
      <c r="Z502" s="60"/>
      <c r="AA502" s="60"/>
      <c r="AB502" s="60"/>
      <c r="AC502" s="60"/>
      <c r="AD502" s="66"/>
      <c r="AE502" s="60"/>
      <c r="AF502" s="61" t="str">
        <f aca="false">IF(AND(ISNUMBER(X502),ISNUMBER(Y502)),Y502-X502,"")</f>
        <v/>
      </c>
      <c r="AG502" s="62" t="str">
        <f aca="false">IF(ISNUMBER(AD502),AD502-(IF(AND(INDEX(TZ_DSTS,MATCH(P502,TZ_STN,0))&lt;&gt;"",(AD502-INDEX(TZ_STD,MATCH(P502,TZ_STN,0))/24)&gt;=INDEX(TZ_DSTS,MATCH(P502,TZ_STN,0)),(AD502-INDEX(TZ_STD,MATCH(P502,TZ_STN,0))/24)&lt;INDEX(TZ_DSTE,MATCH(P502,TZ_STN,0))),INDEX(TZ_DST,MATCH(P502,TZ_STN,0)),INDEX(TZ_STD,MATCH(P502,TZ_STN,0))))/24,"")</f>
        <v/>
      </c>
      <c r="AH502" s="65" t="str">
        <f aca="false">IFERROR(IF(N502="N/A – rule","N/A – RULE",IF(TRIM(U502)="N/A",IF(AT502=0,"INVALID – N/A not permitted for this check",IF(AND(TRIM(AB502)&lt;&gt;"",TRIM(AB502)&lt;&gt;"Closed"),"INVALID – corrective action still open",IF(AND(NOT(OR(LEN(AZ502)&lt;15,ISNUMBER(MATCH(AZ502,L_Placeholder,0)))),NOT(OR(LEN(AU502)&lt;2,ISNUMBER(MATCH(AU502,L_Placeholder,0)))),NOT(OR(LEN(AX502)&lt;2,ISNUMBER(MATCH(AX502,L_Placeholder,0)))),TRIM(AE502)&lt;&gt;TRIM(T502)),"N/A – JUSTIFIED","INVALID – N/A needs a real justification (15+ chars), PIC and a different verifier"))),IF(OR(TRIM(U502)="Pass",TRIM(U502)="Pass after CA"),IF(NOT(ISNUMBER(AD502)),"INVALID – completion time missing",IF(OR(LEN(AU502)&lt;2,ISNUMBER(MATCH(AU502,L_Placeholder,0))),"INVALID – PIC missing",IF(OR(LEN(AV502)&lt;2,ISNUMBER(MATCH(AV502,L_Placeholder,0))),"INVALID – result / assessment missing",IF(OR(OR(LEN(AW502)&lt;3,ISNUMBER(MATCH(AW502,L_Placeholder,0))),SUMPRODUCT(--ISNUMBER(SEARCH(L_EvidencePhrase,AW502)))&gt;0),"INVALID – evidence missing, placeholder or not yet on file",IF(OR(LEN(AX502)&lt;2,ISNUMBER(MATCH(AX502,L_Placeholder,0))),"INVALID – verifier missing",IF(AX502=AU502,"INVALID – verifier must be someone other than the PIC",IF(AND(TRIM(U502)="Pass",SUMPRODUCT(--ISNUMBER(SEARCH(L_ResultBad,AV502)))&gt;0),"INVALID – result describes a problem: use Fail, then Pass after CA",IF(AND(AQ502=1,OR(LEN(AY502)&lt;3,ISNUMBER(MATCH(AY502,L_Placeholder,0)))),"INVALID – batch ID missing or placeholder",IF(AND(AR502=1,OR(NOT(ISNUMBER(X502)),NOT(ISNUMBER(Y502)))),"INVALID – expected/actual qty missing",IF(AND(AR502=1,OR(X502&lt;=0,Y502&lt;0)),"INVALID – expected qty must be above 0 and actual not negative",IF(AH496="N/A – JUSTIFIED","INVALID – preparation row F15-T12-06 is N/A",IF(AND(AR502=1,ISNUMBER(X496),X502&lt;&gt;X496),"INVALID – expected qty differs from preparation check F15-T12-06",IF(BB502&lt;&gt;"",BB502,IF(AND(AS502=1,Documents!$J$19&lt;&gt;"ON FILE"),"INVALID – GLD not on file (Documents sheet)",IF(AND(AS502=2,Documents!$O$19&lt;&gt;"ON FILE"),"INVALID – menu checklist not on file (Documents sheet)",IF(AND(AS502=3,NOT(ISNUMBER(Flights!$AX$19))),"INVALID – enter carrying flight KUL departure (Flights AX)",IF(AND(AS502=3,OR(Flights!$AZ$19&gt;Flights!$AA$19,Flights!$AX$19&lt;Flights!$AA$19-3)),"INVALID – carrying flight (Flights AX) cannot arrive before this leg's STD, or is over 3 days early",IF(AG502&gt;AsOfUTC,"INVALID – completion time is in the future",IF(AND(ISNUMBER(S502),AG502&lt;S502),IF(H502="Physical uplift","INVALID – before uplift window (cannot confirm loading)","INVALID – before valid window"),IF(AG502&gt;Flights!$AA$19,"INVALID – completed after departure (cannot establish readiness)",IF(AND(H502="Preparation",AG502&gt;IF(ISNUMBER(Flights!$BA$19),MIN(Flights!$BA$19,Flights!$AA$19),Flights!$AA$19)),"INVALID – completed after loading / departure (cannot establish readiness)",IF(AND(H502="Physical uplift",AG502&gt;Q502),"INVALID – recorded after the loading flight departed",IF(AG502&gt;Q502,"COMPLETE – LATE","COMPLETE"))))))))))))))))))))))),IF(TRIM(U502)="Fail","FAIL – DISCREPANCY",IF(AND(TRIM(U502)&lt;&gt;"",TRIM(U502)&lt;&gt;"Not started",TRIM(U502)&lt;&gt;"In progress"),"INVALID – unrecognised status (use the list)",IF(AsOfUTC&gt;Q502,"OVERDUE",IF(N502="Clarification required","OPEN – CLARIFICATION","OPEN"))))))),"INVALID – error value in an input cell")</f>
        <v>OPEN</v>
      </c>
      <c r="AI502" s="61" t="n">
        <f aca="false">IF(OR(AH502="N/A – RULE",AH502="N/A – JUSTIFIED"),0,1)</f>
        <v>1</v>
      </c>
      <c r="AJ502" s="61" t="n">
        <f aca="false">IF(LEFT(AH502,8)="COMPLETE",1,0)</f>
        <v>0</v>
      </c>
      <c r="AK502" s="61" t="n">
        <f aca="false">IF(AND(AI502=1,AJ502=0,AsOfUTC&gt;Q502),1,0)</f>
        <v>0</v>
      </c>
      <c r="AL502" s="61" t="n">
        <f aca="false">IFERROR(IF(AND(AI502=1,OR(TRIM(U502)="Fail",AND(TRIM(AB502)&lt;&gt;"",TRIM(AB502)&lt;&gt;"Closed"),AND(ISNUMBER(AF502),AF502&lt;&gt;0,TRIM(U502)&lt;&gt;"Pass after CA"))),1,0),1)</f>
        <v>0</v>
      </c>
      <c r="AM502" s="61" t="n">
        <f aca="false">IF(LEFT(AH502,7)="INVALID",1,0)</f>
        <v>0</v>
      </c>
      <c r="AN502" s="61" t="n">
        <f aca="false">IF(AND(N502="Clarification required",AI502=1,AJ502=0),1,0)</f>
        <v>0</v>
      </c>
      <c r="AO502" s="61" t="str">
        <f aca="false">IF(AK502=1,SUM(AK$5:AK502),"")</f>
        <v/>
      </c>
      <c r="AP502" s="61" t="str">
        <f aca="false">IF(AL502=1,SUM(AL$5:AL502),"")</f>
        <v/>
      </c>
      <c r="AQ502" s="61" t="n">
        <v>0</v>
      </c>
      <c r="AR502" s="61" t="n">
        <v>1</v>
      </c>
      <c r="AS502" s="61" t="n">
        <v>0</v>
      </c>
      <c r="AT502" s="61" t="n">
        <v>0</v>
      </c>
      <c r="AU502" s="61" t="str">
        <f aca="false">SUBSTITUTE(SUBSTITUTE(SUBSTITUTE(SUBSTITUTE(SUBSTITUTE(SUBSTITUTE(SUBSTITUTE(SUBSTITUTE(SUBSTITUTE(SUBSTITUTE(SUBSTITUTE(SUBSTITUTE(SUBSTITUTE(LOWER(T502&amp;""),CHAR(160),"")," ",""),".",""),"-",""),"/",""),"?",""),"_",""),",",""),"[",""),"]",""),"(",""),")",""),"*","")</f>
        <v/>
      </c>
      <c r="AV502" s="61" t="str">
        <f aca="false">SUBSTITUTE(SUBSTITUTE(SUBSTITUTE(SUBSTITUTE(SUBSTITUTE(SUBSTITUTE(SUBSTITUTE(SUBSTITUTE(SUBSTITUTE(SUBSTITUTE(SUBSTITUTE(SUBSTITUTE(SUBSTITUTE(LOWER(V502&amp;""),CHAR(160),"")," ",""),".",""),"-",""),"/",""),"?",""),"_",""),",",""),"[",""),"]",""),"(",""),")",""),"*","")</f>
        <v/>
      </c>
      <c r="AW502" s="61" t="str">
        <f aca="false">SUBSTITUTE(SUBSTITUTE(SUBSTITUTE(SUBSTITUTE(SUBSTITUTE(SUBSTITUTE(SUBSTITUTE(SUBSTITUTE(SUBSTITUTE(SUBSTITUTE(SUBSTITUTE(SUBSTITUTE(SUBSTITUTE(LOWER(Z502&amp;""),CHAR(160),"")," ",""),".",""),"-",""),"/",""),"?",""),"_",""),",",""),"[",""),"]",""),"(",""),")",""),"*","")</f>
        <v/>
      </c>
      <c r="AX502" s="61" t="str">
        <f aca="false">SUBSTITUTE(SUBSTITUTE(SUBSTITUTE(SUBSTITUTE(SUBSTITUTE(SUBSTITUTE(SUBSTITUTE(SUBSTITUTE(SUBSTITUTE(SUBSTITUTE(SUBSTITUTE(SUBSTITUTE(SUBSTITUTE(LOWER(AE502&amp;""),CHAR(160),"")," ",""),".",""),"-",""),"/",""),"?",""),"_",""),",",""),"[",""),"]",""),"(",""),")",""),"*","")</f>
        <v/>
      </c>
      <c r="AY502" s="61" t="str">
        <f aca="false">SUBSTITUTE(SUBSTITUTE(SUBSTITUTE(SUBSTITUTE(SUBSTITUTE(SUBSTITUTE(SUBSTITUTE(SUBSTITUTE(SUBSTITUTE(SUBSTITUTE(SUBSTITUTE(SUBSTITUTE(SUBSTITUTE(LOWER(W502&amp;""),CHAR(160),"")," ",""),".",""),"-",""),"/",""),"?",""),"_",""),",",""),"[",""),"]",""),"(",""),")",""),"*","")</f>
        <v/>
      </c>
      <c r="AZ502" s="61" t="str">
        <f aca="false">SUBSTITUTE(SUBSTITUTE(SUBSTITUTE(SUBSTITUTE(SUBSTITUTE(SUBSTITUTE(SUBSTITUTE(SUBSTITUTE(SUBSTITUTE(SUBSTITUTE(SUBSTITUTE(SUBSTITUTE(SUBSTITUTE(LOWER(AC502&amp;""),CHAR(160),"")," ",""),".",""),"-",""),"/",""),"?",""),"_",""),",",""),"[",""),"]",""),"(",""),")",""),"*","")</f>
        <v/>
      </c>
      <c r="BA502" s="61" t="str">
        <f aca="false">SUBSTITUTE(SUBSTITUTE(SUBSTITUTE(SUBSTITUTE(SUBSTITUTE(SUBSTITUTE(SUBSTITUTE(SUBSTITUTE(SUBSTITUTE(SUBSTITUTE(SUBSTITUTE(SUBSTITUTE(SUBSTITUTE(LOWER(AA502&amp;""),CHAR(160),"")," ",""),".",""),"-",""),"/",""),"?",""),"_",""),",",""),"[",""),"]",""),"(",""),")",""),"*","")</f>
        <v/>
      </c>
      <c r="BB502" s="61" t="str">
        <f aca="false">IF(AND(TRIM(U502)="Pass",ISNUMBER(AF502)),IF(AF502&lt;&gt;0,"INVALID – qty variance: use Fail or Pass after CA",""),"")&amp;IF(AND(TRIM(U502)="Pass after CA",ISNUMBER(AF502)),IF(AF502&lt;&gt;0,"INVALID – after the corrective action the actual qty must equal expected (update Actual)",""),"")&amp;IF(AND(TRIM(U502)="Pass",TRIM(AB502)&lt;&gt;"",TRIM(AB502)&lt;&gt;"Closed"),"INVALID – corrective action not closed: use Fail, then Pass after CA","")&amp;IF(AND(TRIM(AA502)&lt;&gt;"",TRIM(AB502)=""),"INVALID – CA status missing for the recorded corrective action","")&amp;IF(AND(TRIM(U502)="Pass after CA",OR(OR(LEN(BA502)&lt;5,ISNUMBER(MATCH(BA502,L_Placeholder,0))),TRIM(AB502)&lt;&gt;"Closed")),"INVALID – corrective action not recorded/closed","")</f>
        <v/>
      </c>
    </row>
    <row r="503" customFormat="false" ht="54" hidden="false" customHeight="true" outlineLevel="0" collapsed="false">
      <c r="A503" s="57" t="s">
        <v>1135</v>
      </c>
      <c r="B503" s="57" t="s">
        <v>275</v>
      </c>
      <c r="C503" s="57" t="str">
        <f aca="false">Flights!$F$19</f>
        <v>MH0003</v>
      </c>
      <c r="D503" s="58" t="n">
        <f aca="false">Flights!$D$19</f>
        <v>46320</v>
      </c>
      <c r="E503" s="57" t="str">
        <f aca="false">Flights!$G$19&amp;"-"&amp;Flights!$H$19</f>
        <v>LHR-KUL</v>
      </c>
      <c r="F503" s="57" t="str">
        <f aca="false">Flights!$K$19</f>
        <v>EY</v>
      </c>
      <c r="G503" s="57" t="s">
        <v>437</v>
      </c>
      <c r="H503" s="57" t="s">
        <v>438</v>
      </c>
      <c r="I503" s="57" t="s">
        <v>418</v>
      </c>
      <c r="J503" s="57" t="s">
        <v>445</v>
      </c>
      <c r="K503" s="67" t="s">
        <v>420</v>
      </c>
      <c r="L503" s="67" t="s">
        <v>421</v>
      </c>
      <c r="M503" s="67" t="s">
        <v>183</v>
      </c>
      <c r="N503" s="67" t="s">
        <v>422</v>
      </c>
      <c r="O503" s="67" t="s">
        <v>423</v>
      </c>
      <c r="P503" s="57" t="s">
        <v>183</v>
      </c>
      <c r="Q503" s="59" t="n">
        <f aca="false">ROUND((Flights!$AF$19)*1440,0)/1440</f>
        <v>46320.4583333333</v>
      </c>
      <c r="R503" s="59" t="n">
        <f aca="false">Q503+(IF(AND(INDEX(TZ_DSTS,MATCH(P503,TZ_STN,0))&lt;&gt;"",Q503&gt;=INDEX(TZ_DSTS,MATCH(P503,TZ_STN,0)),Q503&lt;INDEX(TZ_DSTE,MATCH(P503,TZ_STN,0))),INDEX(TZ_DST,MATCH(P503,TZ_STN,0)),INDEX(TZ_STD,MATCH(P503,TZ_STN,0))))/24</f>
        <v>46320.4583333333</v>
      </c>
      <c r="S503" s="59" t="n">
        <f aca="false">IF(ISNUMBER(Flights!$AZ$19),MAX(Q503-UpliftWindowH/24,Flights!$AZ$19),Q503-UpliftWindowH/24)</f>
        <v>46320.2083333333</v>
      </c>
      <c r="T503" s="60"/>
      <c r="U503" s="60"/>
      <c r="V503" s="60"/>
      <c r="W503" s="61"/>
      <c r="X503" s="60"/>
      <c r="Y503" s="60"/>
      <c r="Z503" s="60"/>
      <c r="AA503" s="60"/>
      <c r="AB503" s="60"/>
      <c r="AC503" s="60"/>
      <c r="AD503" s="66"/>
      <c r="AE503" s="60"/>
      <c r="AF503" s="61" t="str">
        <f aca="false">IF(AND(ISNUMBER(X503),ISNUMBER(Y503)),Y503-X503,"")</f>
        <v/>
      </c>
      <c r="AG503" s="62" t="str">
        <f aca="false">IF(ISNUMBER(AD503),AD503-(IF(AND(INDEX(TZ_DSTS,MATCH(P503,TZ_STN,0))&lt;&gt;"",(AD503-INDEX(TZ_STD,MATCH(P503,TZ_STN,0))/24)&gt;=INDEX(TZ_DSTS,MATCH(P503,TZ_STN,0)),(AD503-INDEX(TZ_STD,MATCH(P503,TZ_STN,0))/24)&lt;INDEX(TZ_DSTE,MATCH(P503,TZ_STN,0))),INDEX(TZ_DST,MATCH(P503,TZ_STN,0)),INDEX(TZ_STD,MATCH(P503,TZ_STN,0))))/24,"")</f>
        <v/>
      </c>
      <c r="AH503" s="65" t="str">
        <f aca="false">IFERROR(IF(N503="N/A – rule","N/A – RULE",IF(TRIM(U503)="N/A",IF(AT503=0,"INVALID – N/A not permitted for this check",IF(AND(TRIM(AB503)&lt;&gt;"",TRIM(AB503)&lt;&gt;"Closed"),"INVALID – corrective action still open",IF(AND(NOT(OR(LEN(AZ503)&lt;15,ISNUMBER(MATCH(AZ503,L_Placeholder,0)))),NOT(OR(LEN(AU503)&lt;2,ISNUMBER(MATCH(AU503,L_Placeholder,0)))),NOT(OR(LEN(AX503)&lt;2,ISNUMBER(MATCH(AX503,L_Placeholder,0)))),TRIM(AE503)&lt;&gt;TRIM(T503)),"N/A – JUSTIFIED","INVALID – N/A needs a real justification (15+ chars), PIC and a different verifier"))),IF(OR(TRIM(U503)="Pass",TRIM(U503)="Pass after CA"),IF(NOT(ISNUMBER(AD503)),"INVALID – completion time missing",IF(OR(LEN(AU503)&lt;2,ISNUMBER(MATCH(AU503,L_Placeholder,0))),"INVALID – PIC missing",IF(OR(LEN(AV503)&lt;2,ISNUMBER(MATCH(AV503,L_Placeholder,0))),"INVALID – result / assessment missing",IF(OR(OR(LEN(AW503)&lt;3,ISNUMBER(MATCH(AW503,L_Placeholder,0))),SUMPRODUCT(--ISNUMBER(SEARCH(L_EvidencePhrase,AW503)))&gt;0),"INVALID – evidence missing, placeholder or not yet on file",IF(OR(LEN(AX503)&lt;2,ISNUMBER(MATCH(AX503,L_Placeholder,0))),"INVALID – verifier missing",IF(AX503=AU503,"INVALID – verifier must be someone other than the PIC",IF(AND(TRIM(U503)="Pass",SUMPRODUCT(--ISNUMBER(SEARCH(L_ResultBad,AV503)))&gt;0),"INVALID – result describes a problem: use Fail, then Pass after CA",IF(AND(AQ503=1,OR(LEN(AY503)&lt;3,ISNUMBER(MATCH(AY503,L_Placeholder,0)))),"INVALID – batch ID missing or placeholder",IF(AND(AR503=1,OR(NOT(ISNUMBER(X503)),NOT(ISNUMBER(Y503)))),"INVALID – expected/actual qty missing",IF(AND(AR503=1,OR(X503&lt;=0,Y503&lt;0)),"INVALID – expected qty must be above 0 and actual not negative",IF(AH498="N/A – JUSTIFIED","INVALID – preparation row F15-T12-08 is N/A",IF(AND(AR503=1,ISNUMBER(X498),X503&lt;&gt;X498),"INVALID – expected qty differs from preparation check F15-T12-08",IF(BB503&lt;&gt;"",BB503,IF(AND(AS503=1,Documents!$J$19&lt;&gt;"ON FILE"),"INVALID – GLD not on file (Documents sheet)",IF(AND(AS503=2,Documents!$O$19&lt;&gt;"ON FILE"),"INVALID – menu checklist not on file (Documents sheet)",IF(AND(AS503=3,NOT(ISNUMBER(Flights!$AX$19))),"INVALID – enter carrying flight KUL departure (Flights AX)",IF(AND(AS503=3,OR(Flights!$AZ$19&gt;Flights!$AA$19,Flights!$AX$19&lt;Flights!$AA$19-3)),"INVALID – carrying flight (Flights AX) cannot arrive before this leg's STD, or is over 3 days early",IF(AG503&gt;AsOfUTC,"INVALID – completion time is in the future",IF(AND(ISNUMBER(S503),AG503&lt;S503),IF(H503="Physical uplift","INVALID – before uplift window (cannot confirm loading)","INVALID – before valid window"),IF(AG503&gt;Flights!$AA$19,"INVALID – completed after departure (cannot establish readiness)",IF(AND(H503="Preparation",AG503&gt;IF(ISNUMBER(Flights!$BA$19),MIN(Flights!$BA$19,Flights!$AA$19),Flights!$AA$19)),"INVALID – completed after loading / departure (cannot establish readiness)",IF(AND(H503="Physical uplift",AG503&gt;Q503),"INVALID – recorded after the loading flight departed",IF(AG503&gt;Q503,"COMPLETE – LATE","COMPLETE"))))))))))))))))))))))),IF(TRIM(U503)="Fail","FAIL – DISCREPANCY",IF(AND(TRIM(U503)&lt;&gt;"",TRIM(U503)&lt;&gt;"Not started",TRIM(U503)&lt;&gt;"In progress"),"INVALID – unrecognised status (use the list)",IF(AsOfUTC&gt;Q503,"OVERDUE",IF(N503="Clarification required","OPEN – CLARIFICATION","OPEN"))))))),"INVALID – error value in an input cell")</f>
        <v>OPEN – CLARIFICATION</v>
      </c>
      <c r="AI503" s="61" t="n">
        <f aca="false">IF(OR(AH503="N/A – RULE",AH503="N/A – JUSTIFIED"),0,1)</f>
        <v>1</v>
      </c>
      <c r="AJ503" s="61" t="n">
        <f aca="false">IF(LEFT(AH503,8)="COMPLETE",1,0)</f>
        <v>0</v>
      </c>
      <c r="AK503" s="61" t="n">
        <f aca="false">IF(AND(AI503=1,AJ503=0,AsOfUTC&gt;Q503),1,0)</f>
        <v>0</v>
      </c>
      <c r="AL503" s="61" t="n">
        <f aca="false">IFERROR(IF(AND(AI503=1,OR(TRIM(U503)="Fail",AND(TRIM(AB503)&lt;&gt;"",TRIM(AB503)&lt;&gt;"Closed"),AND(ISNUMBER(AF503),AF503&lt;&gt;0,TRIM(U503)&lt;&gt;"Pass after CA"))),1,0),1)</f>
        <v>0</v>
      </c>
      <c r="AM503" s="61" t="n">
        <f aca="false">IF(LEFT(AH503,7)="INVALID",1,0)</f>
        <v>0</v>
      </c>
      <c r="AN503" s="61" t="n">
        <f aca="false">IF(AND(N503="Clarification required",AI503=1,AJ503=0),1,0)</f>
        <v>1</v>
      </c>
      <c r="AO503" s="61" t="str">
        <f aca="false">IF(AK503=1,SUM(AK$5:AK503),"")</f>
        <v/>
      </c>
      <c r="AP503" s="61" t="str">
        <f aca="false">IF(AL503=1,SUM(AL$5:AL503),"")</f>
        <v/>
      </c>
      <c r="AQ503" s="61" t="n">
        <v>0</v>
      </c>
      <c r="AR503" s="61" t="n">
        <v>0</v>
      </c>
      <c r="AS503" s="61" t="n">
        <v>0</v>
      </c>
      <c r="AT503" s="61" t="n">
        <v>1</v>
      </c>
      <c r="AU503" s="61" t="str">
        <f aca="false">SUBSTITUTE(SUBSTITUTE(SUBSTITUTE(SUBSTITUTE(SUBSTITUTE(SUBSTITUTE(SUBSTITUTE(SUBSTITUTE(SUBSTITUTE(SUBSTITUTE(SUBSTITUTE(SUBSTITUTE(SUBSTITUTE(LOWER(T503&amp;""),CHAR(160),"")," ",""),".",""),"-",""),"/",""),"?",""),"_",""),",",""),"[",""),"]",""),"(",""),")",""),"*","")</f>
        <v/>
      </c>
      <c r="AV503" s="61" t="str">
        <f aca="false">SUBSTITUTE(SUBSTITUTE(SUBSTITUTE(SUBSTITUTE(SUBSTITUTE(SUBSTITUTE(SUBSTITUTE(SUBSTITUTE(SUBSTITUTE(SUBSTITUTE(SUBSTITUTE(SUBSTITUTE(SUBSTITUTE(LOWER(V503&amp;""),CHAR(160),"")," ",""),".",""),"-",""),"/",""),"?",""),"_",""),",",""),"[",""),"]",""),"(",""),")",""),"*","")</f>
        <v/>
      </c>
      <c r="AW503" s="61" t="str">
        <f aca="false">SUBSTITUTE(SUBSTITUTE(SUBSTITUTE(SUBSTITUTE(SUBSTITUTE(SUBSTITUTE(SUBSTITUTE(SUBSTITUTE(SUBSTITUTE(SUBSTITUTE(SUBSTITUTE(SUBSTITUTE(SUBSTITUTE(LOWER(Z503&amp;""),CHAR(160),"")," ",""),".",""),"-",""),"/",""),"?",""),"_",""),",",""),"[",""),"]",""),"(",""),")",""),"*","")</f>
        <v/>
      </c>
      <c r="AX503" s="61" t="str">
        <f aca="false">SUBSTITUTE(SUBSTITUTE(SUBSTITUTE(SUBSTITUTE(SUBSTITUTE(SUBSTITUTE(SUBSTITUTE(SUBSTITUTE(SUBSTITUTE(SUBSTITUTE(SUBSTITUTE(SUBSTITUTE(SUBSTITUTE(LOWER(AE503&amp;""),CHAR(160),"")," ",""),".",""),"-",""),"/",""),"?",""),"_",""),",",""),"[",""),"]",""),"(",""),")",""),"*","")</f>
        <v/>
      </c>
      <c r="AY503" s="61" t="str">
        <f aca="false">SUBSTITUTE(SUBSTITUTE(SUBSTITUTE(SUBSTITUTE(SUBSTITUTE(SUBSTITUTE(SUBSTITUTE(SUBSTITUTE(SUBSTITUTE(SUBSTITUTE(SUBSTITUTE(SUBSTITUTE(SUBSTITUTE(LOWER(W503&amp;""),CHAR(160),"")," ",""),".",""),"-",""),"/",""),"?",""),"_",""),",",""),"[",""),"]",""),"(",""),")",""),"*","")</f>
        <v/>
      </c>
      <c r="AZ503" s="61" t="str">
        <f aca="false">SUBSTITUTE(SUBSTITUTE(SUBSTITUTE(SUBSTITUTE(SUBSTITUTE(SUBSTITUTE(SUBSTITUTE(SUBSTITUTE(SUBSTITUTE(SUBSTITUTE(SUBSTITUTE(SUBSTITUTE(SUBSTITUTE(LOWER(AC503&amp;""),CHAR(160),"")," ",""),".",""),"-",""),"/",""),"?",""),"_",""),",",""),"[",""),"]",""),"(",""),")",""),"*","")</f>
        <v/>
      </c>
      <c r="BA503" s="61" t="str">
        <f aca="false">SUBSTITUTE(SUBSTITUTE(SUBSTITUTE(SUBSTITUTE(SUBSTITUTE(SUBSTITUTE(SUBSTITUTE(SUBSTITUTE(SUBSTITUTE(SUBSTITUTE(SUBSTITUTE(SUBSTITUTE(SUBSTITUTE(LOWER(AA503&amp;""),CHAR(160),"")," ",""),".",""),"-",""),"/",""),"?",""),"_",""),",",""),"[",""),"]",""),"(",""),")",""),"*","")</f>
        <v/>
      </c>
      <c r="BB503" s="61" t="str">
        <f aca="false">IF(AND(TRIM(U503)="Pass",ISNUMBER(AF503)),IF(AF503&lt;&gt;0,"INVALID – qty variance: use Fail or Pass after CA",""),"")&amp;IF(AND(TRIM(U503)="Pass after CA",ISNUMBER(AF503)),IF(AF503&lt;&gt;0,"INVALID – after the corrective action the actual qty must equal expected (update Actual)",""),"")&amp;IF(AND(TRIM(U503)="Pass",TRIM(AB503)&lt;&gt;"",TRIM(AB503)&lt;&gt;"Closed"),"INVALID – corrective action not closed: use Fail, then Pass after CA","")&amp;IF(AND(TRIM(AA503)&lt;&gt;"",TRIM(AB503)=""),"INVALID – CA status missing for the recorded corrective action","")&amp;IF(AND(TRIM(U503)="Pass after CA",OR(OR(LEN(BA503)&lt;5,ISNUMBER(MATCH(BA503,L_Placeholder,0))),TRIM(AB503)&lt;&gt;"Closed")),"INVALID – corrective action not recorded/closed","")</f>
        <v/>
      </c>
    </row>
    <row r="504" customFormat="false" ht="39.75" hidden="false" customHeight="true" outlineLevel="0" collapsed="false">
      <c r="A504" s="57" t="s">
        <v>1136</v>
      </c>
      <c r="B504" s="57" t="s">
        <v>275</v>
      </c>
      <c r="C504" s="57" t="str">
        <f aca="false">Flights!$F$19</f>
        <v>MH0003</v>
      </c>
      <c r="D504" s="58" t="n">
        <f aca="false">Flights!$D$19</f>
        <v>46320</v>
      </c>
      <c r="E504" s="57" t="str">
        <f aca="false">Flights!$G$19&amp;"-"&amp;Flights!$H$19</f>
        <v>LHR-KUL</v>
      </c>
      <c r="F504" s="57" t="str">
        <f aca="false">Flights!$K$19</f>
        <v>EY</v>
      </c>
      <c r="G504" s="57" t="s">
        <v>437</v>
      </c>
      <c r="H504" s="57" t="s">
        <v>438</v>
      </c>
      <c r="I504" s="57" t="s">
        <v>425</v>
      </c>
      <c r="J504" s="57" t="s">
        <v>447</v>
      </c>
      <c r="K504" s="67" t="s">
        <v>427</v>
      </c>
      <c r="L504" s="67" t="s">
        <v>428</v>
      </c>
      <c r="M504" s="67" t="s">
        <v>429</v>
      </c>
      <c r="N504" s="67" t="s">
        <v>361</v>
      </c>
      <c r="O504" s="67"/>
      <c r="P504" s="57" t="s">
        <v>183</v>
      </c>
      <c r="Q504" s="59" t="n">
        <f aca="false">ROUND((Flights!$AF$19)*1440,0)/1440</f>
        <v>46320.4583333333</v>
      </c>
      <c r="R504" s="59" t="n">
        <f aca="false">Q504+(IF(AND(INDEX(TZ_DSTS,MATCH(P504,TZ_STN,0))&lt;&gt;"",Q504&gt;=INDEX(TZ_DSTS,MATCH(P504,TZ_STN,0)),Q504&lt;INDEX(TZ_DSTE,MATCH(P504,TZ_STN,0))),INDEX(TZ_DST,MATCH(P504,TZ_STN,0)),INDEX(TZ_STD,MATCH(P504,TZ_STN,0))))/24</f>
        <v>46320.4583333333</v>
      </c>
      <c r="S504" s="59" t="n">
        <f aca="false">IF(ISNUMBER(Flights!$AZ$19),MAX(Q504-UpliftWindowH/24,Flights!$AZ$19),Q504-UpliftWindowH/24)</f>
        <v>46320.2083333333</v>
      </c>
      <c r="T504" s="60"/>
      <c r="U504" s="60"/>
      <c r="V504" s="60"/>
      <c r="W504" s="61"/>
      <c r="X504" s="60"/>
      <c r="Y504" s="60"/>
      <c r="Z504" s="60"/>
      <c r="AA504" s="60"/>
      <c r="AB504" s="60"/>
      <c r="AC504" s="60"/>
      <c r="AD504" s="66"/>
      <c r="AE504" s="60"/>
      <c r="AF504" s="61" t="str">
        <f aca="false">IF(AND(ISNUMBER(X504),ISNUMBER(Y504)),Y504-X504,"")</f>
        <v/>
      </c>
      <c r="AG504" s="62" t="str">
        <f aca="false">IF(ISNUMBER(AD504),AD504-(IF(AND(INDEX(TZ_DSTS,MATCH(P504,TZ_STN,0))&lt;&gt;"",(AD504-INDEX(TZ_STD,MATCH(P504,TZ_STN,0))/24)&gt;=INDEX(TZ_DSTS,MATCH(P504,TZ_STN,0)),(AD504-INDEX(TZ_STD,MATCH(P504,TZ_STN,0))/24)&lt;INDEX(TZ_DSTE,MATCH(P504,TZ_STN,0))),INDEX(TZ_DST,MATCH(P504,TZ_STN,0)),INDEX(TZ_STD,MATCH(P504,TZ_STN,0))))/24,"")</f>
        <v/>
      </c>
      <c r="AH504" s="65" t="str">
        <f aca="false">IFERROR(IF(N504="N/A – rule","N/A – RULE",IF(TRIM(U504)="N/A",IF(AT504=0,"INVALID – N/A not permitted for this check",IF(AND(TRIM(AB504)&lt;&gt;"",TRIM(AB504)&lt;&gt;"Closed"),"INVALID – corrective action still open",IF(AND(NOT(OR(LEN(AZ504)&lt;15,ISNUMBER(MATCH(AZ504,L_Placeholder,0)))),NOT(OR(LEN(AU504)&lt;2,ISNUMBER(MATCH(AU504,L_Placeholder,0)))),NOT(OR(LEN(AX504)&lt;2,ISNUMBER(MATCH(AX504,L_Placeholder,0)))),TRIM(AE504)&lt;&gt;TRIM(T504)),"N/A – JUSTIFIED","INVALID – N/A needs a real justification (15+ chars), PIC and a different verifier"))),IF(OR(TRIM(U504)="Pass",TRIM(U504)="Pass after CA"),IF(NOT(ISNUMBER(AD504)),"INVALID – completion time missing",IF(OR(LEN(AU504)&lt;2,ISNUMBER(MATCH(AU504,L_Placeholder,0))),"INVALID – PIC missing",IF(OR(LEN(AV504)&lt;2,ISNUMBER(MATCH(AV504,L_Placeholder,0))),"INVALID – result / assessment missing",IF(OR(OR(LEN(AW504)&lt;3,ISNUMBER(MATCH(AW504,L_Placeholder,0))),SUMPRODUCT(--ISNUMBER(SEARCH(L_EvidencePhrase,AW504)))&gt;0),"INVALID – evidence missing, placeholder or not yet on file",IF(OR(LEN(AX504)&lt;2,ISNUMBER(MATCH(AX504,L_Placeholder,0))),"INVALID – verifier missing",IF(AX504=AU504,"INVALID – verifier must be someone other than the PIC",IF(AND(TRIM(U504)="Pass",SUMPRODUCT(--ISNUMBER(SEARCH(L_ResultBad,AV504)))&gt;0),"INVALID – result describes a problem: use Fail, then Pass after CA",IF(AND(AQ504=1,OR(LEN(AY504)&lt;3,ISNUMBER(MATCH(AY504,L_Placeholder,0)))),"INVALID – batch ID missing or placeholder",IF(AND(AR504=1,OR(NOT(ISNUMBER(X504)),NOT(ISNUMBER(Y504)))),"INVALID – expected/actual qty missing",IF(AND(AR504=1,OR(X504&lt;=0,Y504&lt;0)),"INVALID – expected qty must be above 0 and actual not negative",IF(AH499="N/A – JUSTIFIED","INVALID – preparation row F15-T12-09 is N/A",IF(AND(AR504=1,ISNUMBER(X499),X504&lt;&gt;X499),"INVALID – expected qty differs from preparation check F15-T12-09",IF(BB504&lt;&gt;"",BB504,IF(AND(AS504=1,Documents!$J$19&lt;&gt;"ON FILE"),"INVALID – GLD not on file (Documents sheet)",IF(AND(AS504=2,Documents!$O$19&lt;&gt;"ON FILE"),"INVALID – menu checklist not on file (Documents sheet)",IF(AND(AS504=3,NOT(ISNUMBER(Flights!$AX$19))),"INVALID – enter carrying flight KUL departure (Flights AX)",IF(AND(AS504=3,OR(Flights!$AZ$19&gt;Flights!$AA$19,Flights!$AX$19&lt;Flights!$AA$19-3)),"INVALID – carrying flight (Flights AX) cannot arrive before this leg's STD, or is over 3 days early",IF(AG504&gt;AsOfUTC,"INVALID – completion time is in the future",IF(AND(ISNUMBER(S504),AG504&lt;S504),IF(H504="Physical uplift","INVALID – before uplift window (cannot confirm loading)","INVALID – before valid window"),IF(AG504&gt;Flights!$AA$19,"INVALID – completed after departure (cannot establish readiness)",IF(AND(H504="Preparation",AG504&gt;IF(ISNUMBER(Flights!$BA$19),MIN(Flights!$BA$19,Flights!$AA$19),Flights!$AA$19)),"INVALID – completed after loading / departure (cannot establish readiness)",IF(AND(H504="Physical uplift",AG504&gt;Q504),"INVALID – recorded after the loading flight departed",IF(AG504&gt;Q504,"COMPLETE – LATE","COMPLETE"))))))))))))))))))))))),IF(TRIM(U504)="Fail","FAIL – DISCREPANCY",IF(AND(TRIM(U504)&lt;&gt;"",TRIM(U504)&lt;&gt;"Not started",TRIM(U504)&lt;&gt;"In progress"),"INVALID – unrecognised status (use the list)",IF(AsOfUTC&gt;Q504,"OVERDUE",IF(N504="Clarification required","OPEN – CLARIFICATION","OPEN"))))))),"INVALID – error value in an input cell")</f>
        <v>OPEN</v>
      </c>
      <c r="AI504" s="61" t="n">
        <f aca="false">IF(OR(AH504="N/A – RULE",AH504="N/A – JUSTIFIED"),0,1)</f>
        <v>1</v>
      </c>
      <c r="AJ504" s="61" t="n">
        <f aca="false">IF(LEFT(AH504,8)="COMPLETE",1,0)</f>
        <v>0</v>
      </c>
      <c r="AK504" s="61" t="n">
        <f aca="false">IF(AND(AI504=1,AJ504=0,AsOfUTC&gt;Q504),1,0)</f>
        <v>0</v>
      </c>
      <c r="AL504" s="61" t="n">
        <f aca="false">IFERROR(IF(AND(AI504=1,OR(TRIM(U504)="Fail",AND(TRIM(AB504)&lt;&gt;"",TRIM(AB504)&lt;&gt;"Closed"),AND(ISNUMBER(AF504),AF504&lt;&gt;0,TRIM(U504)&lt;&gt;"Pass after CA"))),1,0),1)</f>
        <v>0</v>
      </c>
      <c r="AM504" s="61" t="n">
        <f aca="false">IF(LEFT(AH504,7)="INVALID",1,0)</f>
        <v>0</v>
      </c>
      <c r="AN504" s="61" t="n">
        <f aca="false">IF(AND(N504="Clarification required",AI504=1,AJ504=0),1,0)</f>
        <v>0</v>
      </c>
      <c r="AO504" s="61" t="str">
        <f aca="false">IF(AK504=1,SUM(AK$5:AK504),"")</f>
        <v/>
      </c>
      <c r="AP504" s="61" t="str">
        <f aca="false">IF(AL504=1,SUM(AL$5:AL504),"")</f>
        <v/>
      </c>
      <c r="AQ504" s="61" t="n">
        <v>0</v>
      </c>
      <c r="AR504" s="61" t="n">
        <v>0</v>
      </c>
      <c r="AS504" s="61" t="n">
        <v>0</v>
      </c>
      <c r="AT504" s="61" t="n">
        <v>0</v>
      </c>
      <c r="AU504" s="61" t="str">
        <f aca="false">SUBSTITUTE(SUBSTITUTE(SUBSTITUTE(SUBSTITUTE(SUBSTITUTE(SUBSTITUTE(SUBSTITUTE(SUBSTITUTE(SUBSTITUTE(SUBSTITUTE(SUBSTITUTE(SUBSTITUTE(SUBSTITUTE(LOWER(T504&amp;""),CHAR(160),"")," ",""),".",""),"-",""),"/",""),"?",""),"_",""),",",""),"[",""),"]",""),"(",""),")",""),"*","")</f>
        <v/>
      </c>
      <c r="AV504" s="61" t="str">
        <f aca="false">SUBSTITUTE(SUBSTITUTE(SUBSTITUTE(SUBSTITUTE(SUBSTITUTE(SUBSTITUTE(SUBSTITUTE(SUBSTITUTE(SUBSTITUTE(SUBSTITUTE(SUBSTITUTE(SUBSTITUTE(SUBSTITUTE(LOWER(V504&amp;""),CHAR(160),"")," ",""),".",""),"-",""),"/",""),"?",""),"_",""),",",""),"[",""),"]",""),"(",""),")",""),"*","")</f>
        <v/>
      </c>
      <c r="AW504" s="61" t="str">
        <f aca="false">SUBSTITUTE(SUBSTITUTE(SUBSTITUTE(SUBSTITUTE(SUBSTITUTE(SUBSTITUTE(SUBSTITUTE(SUBSTITUTE(SUBSTITUTE(SUBSTITUTE(SUBSTITUTE(SUBSTITUTE(SUBSTITUTE(LOWER(Z504&amp;""),CHAR(160),"")," ",""),".",""),"-",""),"/",""),"?",""),"_",""),",",""),"[",""),"]",""),"(",""),")",""),"*","")</f>
        <v/>
      </c>
      <c r="AX504" s="61" t="str">
        <f aca="false">SUBSTITUTE(SUBSTITUTE(SUBSTITUTE(SUBSTITUTE(SUBSTITUTE(SUBSTITUTE(SUBSTITUTE(SUBSTITUTE(SUBSTITUTE(SUBSTITUTE(SUBSTITUTE(SUBSTITUTE(SUBSTITUTE(LOWER(AE504&amp;""),CHAR(160),"")," ",""),".",""),"-",""),"/",""),"?",""),"_",""),",",""),"[",""),"]",""),"(",""),")",""),"*","")</f>
        <v/>
      </c>
      <c r="AY504" s="61" t="str">
        <f aca="false">SUBSTITUTE(SUBSTITUTE(SUBSTITUTE(SUBSTITUTE(SUBSTITUTE(SUBSTITUTE(SUBSTITUTE(SUBSTITUTE(SUBSTITUTE(SUBSTITUTE(SUBSTITUTE(SUBSTITUTE(SUBSTITUTE(LOWER(W504&amp;""),CHAR(160),"")," ",""),".",""),"-",""),"/",""),"?",""),"_",""),",",""),"[",""),"]",""),"(",""),")",""),"*","")</f>
        <v/>
      </c>
      <c r="AZ504" s="61" t="str">
        <f aca="false">SUBSTITUTE(SUBSTITUTE(SUBSTITUTE(SUBSTITUTE(SUBSTITUTE(SUBSTITUTE(SUBSTITUTE(SUBSTITUTE(SUBSTITUTE(SUBSTITUTE(SUBSTITUTE(SUBSTITUTE(SUBSTITUTE(LOWER(AC504&amp;""),CHAR(160),"")," ",""),".",""),"-",""),"/",""),"?",""),"_",""),",",""),"[",""),"]",""),"(",""),")",""),"*","")</f>
        <v/>
      </c>
      <c r="BA504" s="61" t="str">
        <f aca="false">SUBSTITUTE(SUBSTITUTE(SUBSTITUTE(SUBSTITUTE(SUBSTITUTE(SUBSTITUTE(SUBSTITUTE(SUBSTITUTE(SUBSTITUTE(SUBSTITUTE(SUBSTITUTE(SUBSTITUTE(SUBSTITUTE(LOWER(AA504&amp;""),CHAR(160),"")," ",""),".",""),"-",""),"/",""),"?",""),"_",""),",",""),"[",""),"]",""),"(",""),")",""),"*","")</f>
        <v/>
      </c>
      <c r="BB504" s="61" t="str">
        <f aca="false">IF(AND(TRIM(U504)="Pass",ISNUMBER(AF504)),IF(AF504&lt;&gt;0,"INVALID – qty variance: use Fail or Pass after CA",""),"")&amp;IF(AND(TRIM(U504)="Pass after CA",ISNUMBER(AF504)),IF(AF504&lt;&gt;0,"INVALID – after the corrective action the actual qty must equal expected (update Actual)",""),"")&amp;IF(AND(TRIM(U504)="Pass",TRIM(AB504)&lt;&gt;"",TRIM(AB504)&lt;&gt;"Closed"),"INVALID – corrective action not closed: use Fail, then Pass after CA","")&amp;IF(AND(TRIM(AA504)&lt;&gt;"",TRIM(AB504)=""),"INVALID – CA status missing for the recorded corrective action","")&amp;IF(AND(TRIM(U504)="Pass after CA",OR(OR(LEN(BA504)&lt;5,ISNUMBER(MATCH(BA504,L_Placeholder,0))),TRIM(AB504)&lt;&gt;"Closed")),"INVALID – corrective action not recorded/closed","")</f>
        <v/>
      </c>
    </row>
    <row r="505" customFormat="false" ht="54" hidden="false" customHeight="true" outlineLevel="0" collapsed="false">
      <c r="A505" s="57" t="s">
        <v>1137</v>
      </c>
      <c r="B505" s="57" t="s">
        <v>275</v>
      </c>
      <c r="C505" s="57" t="str">
        <f aca="false">Flights!$F$19</f>
        <v>MH0003</v>
      </c>
      <c r="D505" s="58" t="n">
        <f aca="false">Flights!$D$19</f>
        <v>46320</v>
      </c>
      <c r="E505" s="57" t="str">
        <f aca="false">Flights!$G$19&amp;"-"&amp;Flights!$H$19</f>
        <v>LHR-KUL</v>
      </c>
      <c r="F505" s="57" t="str">
        <f aca="false">Flights!$K$19</f>
        <v>EY</v>
      </c>
      <c r="G505" s="57" t="s">
        <v>437</v>
      </c>
      <c r="H505" s="57" t="s">
        <v>438</v>
      </c>
      <c r="I505" s="57" t="s">
        <v>425</v>
      </c>
      <c r="J505" s="57" t="s">
        <v>449</v>
      </c>
      <c r="K505" s="67" t="s">
        <v>433</v>
      </c>
      <c r="L505" s="67" t="s">
        <v>434</v>
      </c>
      <c r="M505" s="67" t="s">
        <v>429</v>
      </c>
      <c r="N505" s="67" t="s">
        <v>361</v>
      </c>
      <c r="O505" s="67" t="s">
        <v>1138</v>
      </c>
      <c r="P505" s="57" t="s">
        <v>183</v>
      </c>
      <c r="Q505" s="59" t="n">
        <f aca="false">ROUND((Flights!$AF$19)*1440,0)/1440</f>
        <v>46320.4583333333</v>
      </c>
      <c r="R505" s="59" t="n">
        <f aca="false">Q505+(IF(AND(INDEX(TZ_DSTS,MATCH(P505,TZ_STN,0))&lt;&gt;"",Q505&gt;=INDEX(TZ_DSTS,MATCH(P505,TZ_STN,0)),Q505&lt;INDEX(TZ_DSTE,MATCH(P505,TZ_STN,0))),INDEX(TZ_DST,MATCH(P505,TZ_STN,0)),INDEX(TZ_STD,MATCH(P505,TZ_STN,0))))/24</f>
        <v>46320.4583333333</v>
      </c>
      <c r="S505" s="59" t="n">
        <f aca="false">IF(ISNUMBER(Flights!$AZ$19),MAX(Q505-UpliftWindowH/24,Flights!$AZ$19),Q505-UpliftWindowH/24)</f>
        <v>46320.2083333333</v>
      </c>
      <c r="T505" s="60"/>
      <c r="U505" s="60"/>
      <c r="V505" s="60"/>
      <c r="W505" s="61"/>
      <c r="X505" s="68" t="str">
        <f aca="false">IF(TRIM(Flights!$N$19)="","",IF(ISNUMBER(SEARCH("MAH",Flights!$N$19)),280,260))</f>
        <v/>
      </c>
      <c r="Y505" s="60"/>
      <c r="Z505" s="60"/>
      <c r="AA505" s="60"/>
      <c r="AB505" s="60"/>
      <c r="AC505" s="60"/>
      <c r="AD505" s="66"/>
      <c r="AE505" s="60"/>
      <c r="AF505" s="61" t="str">
        <f aca="false">IF(AND(ISNUMBER(X505),ISNUMBER(Y505)),Y505-X505,"")</f>
        <v/>
      </c>
      <c r="AG505" s="62" t="str">
        <f aca="false">IF(ISNUMBER(AD505),AD505-(IF(AND(INDEX(TZ_DSTS,MATCH(P505,TZ_STN,0))&lt;&gt;"",(AD505-INDEX(TZ_STD,MATCH(P505,TZ_STN,0))/24)&gt;=INDEX(TZ_DSTS,MATCH(P505,TZ_STN,0)),(AD505-INDEX(TZ_STD,MATCH(P505,TZ_STN,0))/24)&lt;INDEX(TZ_DSTE,MATCH(P505,TZ_STN,0))),INDEX(TZ_DST,MATCH(P505,TZ_STN,0)),INDEX(TZ_STD,MATCH(P505,TZ_STN,0))))/24,"")</f>
        <v/>
      </c>
      <c r="AH505" s="65" t="str">
        <f aca="false">IFERROR(IF(N505="N/A – rule","N/A – RULE",IF(TRIM(U505)="N/A",IF(AT505=0,"INVALID – N/A not permitted for this check",IF(AND(TRIM(AB505)&lt;&gt;"",TRIM(AB505)&lt;&gt;"Closed"),"INVALID – corrective action still open",IF(AND(NOT(OR(LEN(AZ505)&lt;15,ISNUMBER(MATCH(AZ505,L_Placeholder,0)))),NOT(OR(LEN(AU505)&lt;2,ISNUMBER(MATCH(AU505,L_Placeholder,0)))),NOT(OR(LEN(AX505)&lt;2,ISNUMBER(MATCH(AX505,L_Placeholder,0)))),TRIM(AE505)&lt;&gt;TRIM(T505)),"N/A – JUSTIFIED","INVALID – N/A needs a real justification (15+ chars), PIC and a different verifier"))),IF(OR(TRIM(U505)="Pass",TRIM(U505)="Pass after CA"),IF(NOT(ISNUMBER(AD505)),"INVALID – completion time missing",IF(OR(LEN(AU505)&lt;2,ISNUMBER(MATCH(AU505,L_Placeholder,0))),"INVALID – PIC missing",IF(OR(LEN(AV505)&lt;2,ISNUMBER(MATCH(AV505,L_Placeholder,0))),"INVALID – result / assessment missing",IF(OR(OR(LEN(AW505)&lt;3,ISNUMBER(MATCH(AW505,L_Placeholder,0))),SUMPRODUCT(--ISNUMBER(SEARCH(L_EvidencePhrase,AW505)))&gt;0),"INVALID – evidence missing, placeholder or not yet on file",IF(OR(LEN(AX505)&lt;2,ISNUMBER(MATCH(AX505,L_Placeholder,0))),"INVALID – verifier missing",IF(AX505=AU505,"INVALID – verifier must be someone other than the PIC",IF(AND(TRIM(U505)="Pass",SUMPRODUCT(--ISNUMBER(SEARCH(L_ResultBad,AV505)))&gt;0),"INVALID – result describes a problem: use Fail, then Pass after CA",IF(AND(AQ505=1,OR(LEN(AY505)&lt;3,ISNUMBER(MATCH(AY505,L_Placeholder,0)))),"INVALID – batch ID missing or placeholder",IF(AND(AR505=1,OR(NOT(ISNUMBER(X505)),NOT(ISNUMBER(Y505)))),"INVALID – expected/actual qty missing",IF(AND(AR505=1,OR(X505&lt;=0,Y505&lt;0)),"INVALID – expected qty must be above 0 and actual not negative",IF(AH500="N/A – JUSTIFIED","INVALID – preparation row F15-T12-10 is N/A",IF(AND(AR505=1,ISNUMBER(X500),X505&lt;&gt;X500),"INVALID – expected qty differs from preparation check F15-T12-10",IF(BB505&lt;&gt;"",BB505,IF(AND(AS505=1,Documents!$J$19&lt;&gt;"ON FILE"),"INVALID – GLD not on file (Documents sheet)",IF(AND(AS505=2,Documents!$O$19&lt;&gt;"ON FILE"),"INVALID – menu checklist not on file (Documents sheet)",IF(AND(AS505=3,NOT(ISNUMBER(Flights!$AX$19))),"INVALID – enter carrying flight KUL departure (Flights AX)",IF(AND(AS505=3,OR(Flights!$AZ$19&gt;Flights!$AA$19,Flights!$AX$19&lt;Flights!$AA$19-3)),"INVALID – carrying flight (Flights AX) cannot arrive before this leg's STD, or is over 3 days early",IF(AG505&gt;AsOfUTC,"INVALID – completion time is in the future",IF(AND(ISNUMBER(S505),AG505&lt;S505),IF(H505="Physical uplift","INVALID – before uplift window (cannot confirm loading)","INVALID – before valid window"),IF(AG505&gt;Flights!$AA$19,"INVALID – completed after departure (cannot establish readiness)",IF(AND(H505="Preparation",AG505&gt;IF(ISNUMBER(Flights!$BA$19),MIN(Flights!$BA$19,Flights!$AA$19),Flights!$AA$19)),"INVALID – completed after loading / departure (cannot establish readiness)",IF(AND(H505="Physical uplift",AG505&gt;Q505),"INVALID – recorded after the loading flight departed",IF(AG505&gt;Q505,"COMPLETE – LATE","COMPLETE"))))))))))))))))))))))),IF(TRIM(U505)="Fail","FAIL – DISCREPANCY",IF(AND(TRIM(U505)&lt;&gt;"",TRIM(U505)&lt;&gt;"Not started",TRIM(U505)&lt;&gt;"In progress"),"INVALID – unrecognised status (use the list)",IF(AsOfUTC&gt;Q505,"OVERDUE",IF(N505="Clarification required","OPEN – CLARIFICATION","OPEN"))))))),"INVALID – error value in an input cell")</f>
        <v>OPEN</v>
      </c>
      <c r="AI505" s="61" t="n">
        <f aca="false">IF(OR(AH505="N/A – RULE",AH505="N/A – JUSTIFIED"),0,1)</f>
        <v>1</v>
      </c>
      <c r="AJ505" s="61" t="n">
        <f aca="false">IF(LEFT(AH505,8)="COMPLETE",1,0)</f>
        <v>0</v>
      </c>
      <c r="AK505" s="61" t="n">
        <f aca="false">IF(AND(AI505=1,AJ505=0,AsOfUTC&gt;Q505),1,0)</f>
        <v>0</v>
      </c>
      <c r="AL505" s="61" t="n">
        <f aca="false">IFERROR(IF(AND(AI505=1,OR(TRIM(U505)="Fail",AND(TRIM(AB505)&lt;&gt;"",TRIM(AB505)&lt;&gt;"Closed"),AND(ISNUMBER(AF505),AF505&lt;&gt;0,TRIM(U505)&lt;&gt;"Pass after CA"))),1,0),1)</f>
        <v>0</v>
      </c>
      <c r="AM505" s="61" t="n">
        <f aca="false">IF(LEFT(AH505,7)="INVALID",1,0)</f>
        <v>0</v>
      </c>
      <c r="AN505" s="61" t="n">
        <f aca="false">IF(AND(N505="Clarification required",AI505=1,AJ505=0),1,0)</f>
        <v>0</v>
      </c>
      <c r="AO505" s="61" t="str">
        <f aca="false">IF(AK505=1,SUM(AK$5:AK505),"")</f>
        <v/>
      </c>
      <c r="AP505" s="61" t="str">
        <f aca="false">IF(AL505=1,SUM(AL$5:AL505),"")</f>
        <v/>
      </c>
      <c r="AQ505" s="61" t="n">
        <v>0</v>
      </c>
      <c r="AR505" s="61" t="n">
        <v>1</v>
      </c>
      <c r="AS505" s="61" t="n">
        <v>0</v>
      </c>
      <c r="AT505" s="61" t="n">
        <v>0</v>
      </c>
      <c r="AU505" s="61" t="str">
        <f aca="false">SUBSTITUTE(SUBSTITUTE(SUBSTITUTE(SUBSTITUTE(SUBSTITUTE(SUBSTITUTE(SUBSTITUTE(SUBSTITUTE(SUBSTITUTE(SUBSTITUTE(SUBSTITUTE(SUBSTITUTE(SUBSTITUTE(LOWER(T505&amp;""),CHAR(160),"")," ",""),".",""),"-",""),"/",""),"?",""),"_",""),",",""),"[",""),"]",""),"(",""),")",""),"*","")</f>
        <v/>
      </c>
      <c r="AV505" s="61" t="str">
        <f aca="false">SUBSTITUTE(SUBSTITUTE(SUBSTITUTE(SUBSTITUTE(SUBSTITUTE(SUBSTITUTE(SUBSTITUTE(SUBSTITUTE(SUBSTITUTE(SUBSTITUTE(SUBSTITUTE(SUBSTITUTE(SUBSTITUTE(LOWER(V505&amp;""),CHAR(160),"")," ",""),".",""),"-",""),"/",""),"?",""),"_",""),",",""),"[",""),"]",""),"(",""),")",""),"*","")</f>
        <v/>
      </c>
      <c r="AW505" s="61" t="str">
        <f aca="false">SUBSTITUTE(SUBSTITUTE(SUBSTITUTE(SUBSTITUTE(SUBSTITUTE(SUBSTITUTE(SUBSTITUTE(SUBSTITUTE(SUBSTITUTE(SUBSTITUTE(SUBSTITUTE(SUBSTITUTE(SUBSTITUTE(LOWER(Z505&amp;""),CHAR(160),"")," ",""),".",""),"-",""),"/",""),"?",""),"_",""),",",""),"[",""),"]",""),"(",""),")",""),"*","")</f>
        <v/>
      </c>
      <c r="AX505" s="61" t="str">
        <f aca="false">SUBSTITUTE(SUBSTITUTE(SUBSTITUTE(SUBSTITUTE(SUBSTITUTE(SUBSTITUTE(SUBSTITUTE(SUBSTITUTE(SUBSTITUTE(SUBSTITUTE(SUBSTITUTE(SUBSTITUTE(SUBSTITUTE(LOWER(AE505&amp;""),CHAR(160),"")," ",""),".",""),"-",""),"/",""),"?",""),"_",""),",",""),"[",""),"]",""),"(",""),")",""),"*","")</f>
        <v/>
      </c>
      <c r="AY505" s="61" t="str">
        <f aca="false">SUBSTITUTE(SUBSTITUTE(SUBSTITUTE(SUBSTITUTE(SUBSTITUTE(SUBSTITUTE(SUBSTITUTE(SUBSTITUTE(SUBSTITUTE(SUBSTITUTE(SUBSTITUTE(SUBSTITUTE(SUBSTITUTE(LOWER(W505&amp;""),CHAR(160),"")," ",""),".",""),"-",""),"/",""),"?",""),"_",""),",",""),"[",""),"]",""),"(",""),")",""),"*","")</f>
        <v/>
      </c>
      <c r="AZ505" s="61" t="str">
        <f aca="false">SUBSTITUTE(SUBSTITUTE(SUBSTITUTE(SUBSTITUTE(SUBSTITUTE(SUBSTITUTE(SUBSTITUTE(SUBSTITUTE(SUBSTITUTE(SUBSTITUTE(SUBSTITUTE(SUBSTITUTE(SUBSTITUTE(LOWER(AC505&amp;""),CHAR(160),"")," ",""),".",""),"-",""),"/",""),"?",""),"_",""),",",""),"[",""),"]",""),"(",""),")",""),"*","")</f>
        <v/>
      </c>
      <c r="BA505" s="61" t="str">
        <f aca="false">SUBSTITUTE(SUBSTITUTE(SUBSTITUTE(SUBSTITUTE(SUBSTITUTE(SUBSTITUTE(SUBSTITUTE(SUBSTITUTE(SUBSTITUTE(SUBSTITUTE(SUBSTITUTE(SUBSTITUTE(SUBSTITUTE(LOWER(AA505&amp;""),CHAR(160),"")," ",""),".",""),"-",""),"/",""),"?",""),"_",""),",",""),"[",""),"]",""),"(",""),")",""),"*","")</f>
        <v/>
      </c>
      <c r="BB505" s="61" t="str">
        <f aca="false">IF(AND(TRIM(U505)="Pass",ISNUMBER(AF505)),IF(AF505&lt;&gt;0,"INVALID – qty variance: use Fail or Pass after CA",""),"")&amp;IF(AND(TRIM(U505)="Pass after CA",ISNUMBER(AF505)),IF(AF505&lt;&gt;0,"INVALID – after the corrective action the actual qty must equal expected (update Actual)",""),"")&amp;IF(AND(TRIM(U505)="Pass",TRIM(AB505)&lt;&gt;"",TRIM(AB505)&lt;&gt;"Closed"),"INVALID – corrective action not closed: use Fail, then Pass after CA","")&amp;IF(AND(TRIM(AA505)&lt;&gt;"",TRIM(AB505)=""),"INVALID – CA status missing for the recorded corrective action","")&amp;IF(AND(TRIM(U505)="Pass after CA",OR(OR(LEN(BA505)&lt;5,ISNUMBER(MATCH(BA505,L_Placeholder,0))),TRIM(AB505)&lt;&gt;"Closed")),"INVALID – corrective action not recorded/closed","")</f>
        <v/>
      </c>
    </row>
    <row r="506" customFormat="false" ht="39.75" hidden="false" customHeight="true" outlineLevel="0" collapsed="false">
      <c r="A506" s="57" t="s">
        <v>1139</v>
      </c>
      <c r="B506" s="57" t="s">
        <v>277</v>
      </c>
      <c r="C506" s="57" t="str">
        <f aca="false">Flights!$F$20</f>
        <v>MH0072</v>
      </c>
      <c r="D506" s="58" t="n">
        <f aca="false">Flights!$D$20</f>
        <v>46321</v>
      </c>
      <c r="E506" s="57" t="str">
        <f aca="false">Flights!$G$20&amp;"-"&amp;Flights!$H$20</f>
        <v>KUL-HKG</v>
      </c>
      <c r="F506" s="57" t="str">
        <f aca="false">Flights!$K$20</f>
        <v>EY</v>
      </c>
      <c r="G506" s="57" t="s">
        <v>79</v>
      </c>
      <c r="H506" s="57" t="s">
        <v>356</v>
      </c>
      <c r="I506" s="57" t="s">
        <v>357</v>
      </c>
      <c r="J506" s="57" t="s">
        <v>358</v>
      </c>
      <c r="K506" s="67" t="s">
        <v>359</v>
      </c>
      <c r="L506" s="67" t="s">
        <v>360</v>
      </c>
      <c r="M506" s="67"/>
      <c r="N506" s="67" t="s">
        <v>361</v>
      </c>
      <c r="O506" s="67"/>
      <c r="P506" s="57" t="s">
        <v>184</v>
      </c>
      <c r="Q506" s="59" t="n">
        <f aca="false">ROUND((Flights!$AC$20)*1440,0)/1440</f>
        <v>46314.0486111111</v>
      </c>
      <c r="R506" s="59" t="n">
        <f aca="false">Q506+(IF(AND(INDEX(TZ_DSTS,MATCH(P506,TZ_STN,0))&lt;&gt;"",Q506&gt;=INDEX(TZ_DSTS,MATCH(P506,TZ_STN,0)),Q506&lt;INDEX(TZ_DSTE,MATCH(P506,TZ_STN,0))),INDEX(TZ_DST,MATCH(P506,TZ_STN,0)),INDEX(TZ_STD,MATCH(P506,TZ_STN,0))))/24</f>
        <v>46314.3819444444</v>
      </c>
      <c r="S506" s="59" t="n">
        <f aca="false">Q506-T7EarlyD*24/24</f>
        <v>46300.0486111111</v>
      </c>
      <c r="T506" s="60"/>
      <c r="U506" s="60"/>
      <c r="V506" s="60"/>
      <c r="W506" s="61"/>
      <c r="X506" s="60"/>
      <c r="Y506" s="60"/>
      <c r="Z506" s="60"/>
      <c r="AA506" s="60"/>
      <c r="AB506" s="60"/>
      <c r="AC506" s="60"/>
      <c r="AD506" s="66"/>
      <c r="AE506" s="60"/>
      <c r="AF506" s="61" t="str">
        <f aca="false">IF(AND(ISNUMBER(X506),ISNUMBER(Y506)),Y506-X506,"")</f>
        <v/>
      </c>
      <c r="AG506" s="62" t="str">
        <f aca="false">IF(ISNUMBER(AD506),AD506-(IF(AND(INDEX(TZ_DSTS,MATCH(P506,TZ_STN,0))&lt;&gt;"",(AD506-INDEX(TZ_STD,MATCH(P506,TZ_STN,0))/24)&gt;=INDEX(TZ_DSTS,MATCH(P506,TZ_STN,0)),(AD506-INDEX(TZ_STD,MATCH(P506,TZ_STN,0))/24)&lt;INDEX(TZ_DSTE,MATCH(P506,TZ_STN,0))),INDEX(TZ_DST,MATCH(P506,TZ_STN,0)),INDEX(TZ_STD,MATCH(P506,TZ_STN,0))))/24,"")</f>
        <v/>
      </c>
      <c r="AH506" s="65" t="str">
        <f aca="false">IFERROR(IF(N506="N/A – rule","N/A – RULE",IF(TRIM(U506)="N/A",IF(AT506=0,"INVALID – N/A not permitted for this check",IF(AND(TRIM(AB506)&lt;&gt;"",TRIM(AB506)&lt;&gt;"Closed"),"INVALID – corrective action still open",IF(AND(NOT(OR(LEN(AZ506)&lt;15,ISNUMBER(MATCH(AZ506,L_Placeholder,0)))),NOT(OR(LEN(AU506)&lt;2,ISNUMBER(MATCH(AU506,L_Placeholder,0)))),NOT(OR(LEN(AX506)&lt;2,ISNUMBER(MATCH(AX506,L_Placeholder,0)))),TRIM(AE506)&lt;&gt;TRIM(T506)),"N/A – JUSTIFIED","INVALID – N/A needs a real justification (15+ chars), PIC and a different verifier"))),IF(OR(TRIM(U506)="Pass",TRIM(U506)="Pass after CA"),IF(NOT(ISNUMBER(AD506)),"INVALID – completion time missing",IF(OR(LEN(AU506)&lt;2,ISNUMBER(MATCH(AU506,L_Placeholder,0))),"INVALID – PIC missing",IF(OR(LEN(AV506)&lt;2,ISNUMBER(MATCH(AV506,L_Placeholder,0))),"INVALID – result / assessment missing",IF(OR(OR(LEN(AW506)&lt;3,ISNUMBER(MATCH(AW506,L_Placeholder,0))),SUMPRODUCT(--ISNUMBER(SEARCH(L_EvidencePhrase,AW506)))&gt;0),"INVALID – evidence missing, placeholder or not yet on file",IF(OR(LEN(AX506)&lt;2,ISNUMBER(MATCH(AX506,L_Placeholder,0))),"INVALID – verifier missing",IF(AX506=AU506,"INVALID – verifier must be someone other than the PIC",IF(AND(TRIM(U506)="Pass",SUMPRODUCT(--ISNUMBER(SEARCH(L_ResultBad,AV506)))&gt;0),"INVALID – result describes a problem: use Fail, then Pass after CA",IF(AND(AQ506=1,OR(LEN(AY506)&lt;3,ISNUMBER(MATCH(AY506,L_Placeholder,0)))),"INVALID – batch ID missing or placeholder",IF(AND(AR506=1,OR(NOT(ISNUMBER(X506)),NOT(ISNUMBER(Y506)))),"INVALID – expected/actual qty missing",IF(AND(AR506=1,OR(X506&lt;=0,Y506&lt;0)),"INVALID – expected qty must be above 0 and actual not negative",IF(BB506&lt;&gt;"",BB506,IF(AND(AS506=1,Documents!$J$20&lt;&gt;"ON FILE"),"INVALID – GLD not on file (Documents sheet)",IF(AND(AS506=2,Documents!$O$20&lt;&gt;"ON FILE"),"INVALID – menu checklist not on file (Documents sheet)",IF(AND(AS506=3,NOT(ISNUMBER(Flights!$AX$20))),"INVALID – enter carrying flight KUL departure (Flights AX)",IF(AND(AS506=3,OR(Flights!$AZ$20&gt;Flights!$AA$20,Flights!$AX$20&lt;Flights!$AA$20-3)),"INVALID – carrying flight (Flights AX) cannot arrive before this leg's STD, or is over 3 days early",IF(AG506&gt;AsOfUTC,"INVALID – completion time is in the future",IF(AND(ISNUMBER(S506),AG506&lt;S506),IF(H506="Physical uplift","INVALID – before uplift window (cannot confirm loading)","INVALID – before valid window"),IF(AG506&gt;Flights!$AA$20,"INVALID – completed after departure (cannot establish readiness)",IF(AND(H506="Preparation",AG506&gt;IF(ISNUMBER(Flights!$BA$20),MIN(Flights!$BA$20,Flights!$AA$20),Flights!$AA$20)),"INVALID – completed after loading / departure (cannot establish readiness)",IF(AND(H506="Physical uplift",AG506&gt;Q506),"INVALID – recorded after the loading flight departed",IF(AG506&gt;Q506,"COMPLETE – LATE","COMPLETE"))))))))))))))))))))),IF(TRIM(U506)="Fail","FAIL – DISCREPANCY",IF(AND(TRIM(U506)&lt;&gt;"",TRIM(U506)&lt;&gt;"Not started",TRIM(U506)&lt;&gt;"In progress"),"INVALID – unrecognised status (use the list)",IF(AsOfUTC&gt;Q506,"OVERDUE",IF(N506="Clarification required","OPEN – CLARIFICATION","OPEN"))))))),"INVALID – error value in an input cell")</f>
        <v>OPEN</v>
      </c>
      <c r="AI506" s="61" t="n">
        <f aca="false">IF(OR(AH506="N/A – RULE",AH506="N/A – JUSTIFIED"),0,1)</f>
        <v>1</v>
      </c>
      <c r="AJ506" s="61" t="n">
        <f aca="false">IF(LEFT(AH506,8)="COMPLETE",1,0)</f>
        <v>0</v>
      </c>
      <c r="AK506" s="61" t="n">
        <f aca="false">IF(AND(AI506=1,AJ506=0,AsOfUTC&gt;Q506),1,0)</f>
        <v>0</v>
      </c>
      <c r="AL506" s="61" t="n">
        <f aca="false">IFERROR(IF(AND(AI506=1,OR(TRIM(U506)="Fail",AND(TRIM(AB506)&lt;&gt;"",TRIM(AB506)&lt;&gt;"Closed"),AND(ISNUMBER(AF506),AF506&lt;&gt;0,TRIM(U506)&lt;&gt;"Pass after CA"))),1,0),1)</f>
        <v>0</v>
      </c>
      <c r="AM506" s="61" t="n">
        <f aca="false">IF(LEFT(AH506,7)="INVALID",1,0)</f>
        <v>0</v>
      </c>
      <c r="AN506" s="61" t="n">
        <f aca="false">IF(AND(N506="Clarification required",AI506=1,AJ506=0),1,0)</f>
        <v>0</v>
      </c>
      <c r="AO506" s="61" t="str">
        <f aca="false">IF(AK506=1,SUM(AK$5:AK506),"")</f>
        <v/>
      </c>
      <c r="AP506" s="61" t="str">
        <f aca="false">IF(AL506=1,SUM(AL$5:AL506),"")</f>
        <v/>
      </c>
      <c r="AQ506" s="61" t="n">
        <v>0</v>
      </c>
      <c r="AR506" s="61" t="n">
        <v>0</v>
      </c>
      <c r="AS506" s="61" t="n">
        <v>0</v>
      </c>
      <c r="AT506" s="61" t="n">
        <v>0</v>
      </c>
      <c r="AU506" s="61" t="str">
        <f aca="false">SUBSTITUTE(SUBSTITUTE(SUBSTITUTE(SUBSTITUTE(SUBSTITUTE(SUBSTITUTE(SUBSTITUTE(SUBSTITUTE(SUBSTITUTE(SUBSTITUTE(SUBSTITUTE(SUBSTITUTE(SUBSTITUTE(LOWER(T506&amp;""),CHAR(160),"")," ",""),".",""),"-",""),"/",""),"?",""),"_",""),",",""),"[",""),"]",""),"(",""),")",""),"*","")</f>
        <v/>
      </c>
      <c r="AV506" s="61" t="str">
        <f aca="false">SUBSTITUTE(SUBSTITUTE(SUBSTITUTE(SUBSTITUTE(SUBSTITUTE(SUBSTITUTE(SUBSTITUTE(SUBSTITUTE(SUBSTITUTE(SUBSTITUTE(SUBSTITUTE(SUBSTITUTE(SUBSTITUTE(LOWER(V506&amp;""),CHAR(160),"")," ",""),".",""),"-",""),"/",""),"?",""),"_",""),",",""),"[",""),"]",""),"(",""),")",""),"*","")</f>
        <v/>
      </c>
      <c r="AW506" s="61" t="str">
        <f aca="false">SUBSTITUTE(SUBSTITUTE(SUBSTITUTE(SUBSTITUTE(SUBSTITUTE(SUBSTITUTE(SUBSTITUTE(SUBSTITUTE(SUBSTITUTE(SUBSTITUTE(SUBSTITUTE(SUBSTITUTE(SUBSTITUTE(LOWER(Z506&amp;""),CHAR(160),"")," ",""),".",""),"-",""),"/",""),"?",""),"_",""),",",""),"[",""),"]",""),"(",""),")",""),"*","")</f>
        <v/>
      </c>
      <c r="AX506" s="61" t="str">
        <f aca="false">SUBSTITUTE(SUBSTITUTE(SUBSTITUTE(SUBSTITUTE(SUBSTITUTE(SUBSTITUTE(SUBSTITUTE(SUBSTITUTE(SUBSTITUTE(SUBSTITUTE(SUBSTITUTE(SUBSTITUTE(SUBSTITUTE(LOWER(AE506&amp;""),CHAR(160),"")," ",""),".",""),"-",""),"/",""),"?",""),"_",""),",",""),"[",""),"]",""),"(",""),")",""),"*","")</f>
        <v/>
      </c>
      <c r="AY506" s="61" t="str">
        <f aca="false">SUBSTITUTE(SUBSTITUTE(SUBSTITUTE(SUBSTITUTE(SUBSTITUTE(SUBSTITUTE(SUBSTITUTE(SUBSTITUTE(SUBSTITUTE(SUBSTITUTE(SUBSTITUTE(SUBSTITUTE(SUBSTITUTE(LOWER(W506&amp;""),CHAR(160),"")," ",""),".",""),"-",""),"/",""),"?",""),"_",""),",",""),"[",""),"]",""),"(",""),")",""),"*","")</f>
        <v/>
      </c>
      <c r="AZ506" s="61" t="str">
        <f aca="false">SUBSTITUTE(SUBSTITUTE(SUBSTITUTE(SUBSTITUTE(SUBSTITUTE(SUBSTITUTE(SUBSTITUTE(SUBSTITUTE(SUBSTITUTE(SUBSTITUTE(SUBSTITUTE(SUBSTITUTE(SUBSTITUTE(LOWER(AC506&amp;""),CHAR(160),"")," ",""),".",""),"-",""),"/",""),"?",""),"_",""),",",""),"[",""),"]",""),"(",""),")",""),"*","")</f>
        <v/>
      </c>
      <c r="BA506" s="61" t="str">
        <f aca="false">SUBSTITUTE(SUBSTITUTE(SUBSTITUTE(SUBSTITUTE(SUBSTITUTE(SUBSTITUTE(SUBSTITUTE(SUBSTITUTE(SUBSTITUTE(SUBSTITUTE(SUBSTITUTE(SUBSTITUTE(SUBSTITUTE(LOWER(AA506&amp;""),CHAR(160),"")," ",""),".",""),"-",""),"/",""),"?",""),"_",""),",",""),"[",""),"]",""),"(",""),")",""),"*","")</f>
        <v/>
      </c>
      <c r="BB506" s="61" t="str">
        <f aca="false">IF(AND(TRIM(U506)="Pass",ISNUMBER(AF506)),IF(AF506&lt;&gt;0,"INVALID – qty variance: use Fail or Pass after CA",""),"")&amp;IF(AND(TRIM(U506)="Pass after CA",ISNUMBER(AF506)),IF(AF506&lt;&gt;0,"INVALID – after the corrective action the actual qty must equal expected (update Actual)",""),"")&amp;IF(AND(TRIM(U506)="Pass",TRIM(AB506)&lt;&gt;"",TRIM(AB506)&lt;&gt;"Closed"),"INVALID – corrective action not closed: use Fail, then Pass after CA","")&amp;IF(AND(TRIM(AA506)&lt;&gt;"",TRIM(AB506)=""),"INVALID – CA status missing for the recorded corrective action","")&amp;IF(AND(TRIM(U506)="Pass after CA",OR(OR(LEN(BA506)&lt;5,ISNUMBER(MATCH(BA506,L_Placeholder,0))),TRIM(AB506)&lt;&gt;"Closed")),"INVALID – corrective action not recorded/closed","")</f>
        <v/>
      </c>
    </row>
    <row r="507" customFormat="false" ht="39.75" hidden="false" customHeight="true" outlineLevel="0" collapsed="false">
      <c r="A507" s="57" t="s">
        <v>1140</v>
      </c>
      <c r="B507" s="57" t="s">
        <v>277</v>
      </c>
      <c r="C507" s="57" t="str">
        <f aca="false">Flights!$F$20</f>
        <v>MH0072</v>
      </c>
      <c r="D507" s="58" t="n">
        <f aca="false">Flights!$D$20</f>
        <v>46321</v>
      </c>
      <c r="E507" s="57" t="str">
        <f aca="false">Flights!$G$20&amp;"-"&amp;Flights!$H$20</f>
        <v>KUL-HKG</v>
      </c>
      <c r="F507" s="57" t="str">
        <f aca="false">Flights!$K$20</f>
        <v>EY</v>
      </c>
      <c r="G507" s="57" t="s">
        <v>79</v>
      </c>
      <c r="H507" s="57" t="s">
        <v>356</v>
      </c>
      <c r="I507" s="57" t="s">
        <v>363</v>
      </c>
      <c r="J507" s="57" t="s">
        <v>364</v>
      </c>
      <c r="K507" s="67" t="s">
        <v>365</v>
      </c>
      <c r="L507" s="67" t="s">
        <v>360</v>
      </c>
      <c r="M507" s="67"/>
      <c r="N507" s="67" t="s">
        <v>361</v>
      </c>
      <c r="O507" s="67"/>
      <c r="P507" s="57" t="s">
        <v>184</v>
      </c>
      <c r="Q507" s="59" t="n">
        <f aca="false">ROUND((Flights!$AC$20)*1440,0)/1440</f>
        <v>46314.0486111111</v>
      </c>
      <c r="R507" s="59" t="n">
        <f aca="false">Q507+(IF(AND(INDEX(TZ_DSTS,MATCH(P507,TZ_STN,0))&lt;&gt;"",Q507&gt;=INDEX(TZ_DSTS,MATCH(P507,TZ_STN,0)),Q507&lt;INDEX(TZ_DSTE,MATCH(P507,TZ_STN,0))),INDEX(TZ_DST,MATCH(P507,TZ_STN,0)),INDEX(TZ_STD,MATCH(P507,TZ_STN,0))))/24</f>
        <v>46314.3819444444</v>
      </c>
      <c r="S507" s="59" t="n">
        <f aca="false">Q507-T7EarlyD*24/24</f>
        <v>46300.0486111111</v>
      </c>
      <c r="T507" s="60"/>
      <c r="U507" s="60"/>
      <c r="V507" s="60"/>
      <c r="W507" s="61"/>
      <c r="X507" s="60"/>
      <c r="Y507" s="60"/>
      <c r="Z507" s="60"/>
      <c r="AA507" s="60"/>
      <c r="AB507" s="60"/>
      <c r="AC507" s="60"/>
      <c r="AD507" s="66"/>
      <c r="AE507" s="60"/>
      <c r="AF507" s="61" t="str">
        <f aca="false">IF(AND(ISNUMBER(X507),ISNUMBER(Y507)),Y507-X507,"")</f>
        <v/>
      </c>
      <c r="AG507" s="62" t="str">
        <f aca="false">IF(ISNUMBER(AD507),AD507-(IF(AND(INDEX(TZ_DSTS,MATCH(P507,TZ_STN,0))&lt;&gt;"",(AD507-INDEX(TZ_STD,MATCH(P507,TZ_STN,0))/24)&gt;=INDEX(TZ_DSTS,MATCH(P507,TZ_STN,0)),(AD507-INDEX(TZ_STD,MATCH(P507,TZ_STN,0))/24)&lt;INDEX(TZ_DSTE,MATCH(P507,TZ_STN,0))),INDEX(TZ_DST,MATCH(P507,TZ_STN,0)),INDEX(TZ_STD,MATCH(P507,TZ_STN,0))))/24,"")</f>
        <v/>
      </c>
      <c r="AH507" s="65" t="str">
        <f aca="false">IFERROR(IF(N507="N/A – rule","N/A – RULE",IF(TRIM(U507)="N/A",IF(AT507=0,"INVALID – N/A not permitted for this check",IF(AND(TRIM(AB507)&lt;&gt;"",TRIM(AB507)&lt;&gt;"Closed"),"INVALID – corrective action still open",IF(AND(NOT(OR(LEN(AZ507)&lt;15,ISNUMBER(MATCH(AZ507,L_Placeholder,0)))),NOT(OR(LEN(AU507)&lt;2,ISNUMBER(MATCH(AU507,L_Placeholder,0)))),NOT(OR(LEN(AX507)&lt;2,ISNUMBER(MATCH(AX507,L_Placeholder,0)))),TRIM(AE507)&lt;&gt;TRIM(T507)),"N/A – JUSTIFIED","INVALID – N/A needs a real justification (15+ chars), PIC and a different verifier"))),IF(OR(TRIM(U507)="Pass",TRIM(U507)="Pass after CA"),IF(NOT(ISNUMBER(AD507)),"INVALID – completion time missing",IF(OR(LEN(AU507)&lt;2,ISNUMBER(MATCH(AU507,L_Placeholder,0))),"INVALID – PIC missing",IF(OR(LEN(AV507)&lt;2,ISNUMBER(MATCH(AV507,L_Placeholder,0))),"INVALID – result / assessment missing",IF(OR(OR(LEN(AW507)&lt;3,ISNUMBER(MATCH(AW507,L_Placeholder,0))),SUMPRODUCT(--ISNUMBER(SEARCH(L_EvidencePhrase,AW507)))&gt;0),"INVALID – evidence missing, placeholder or not yet on file",IF(OR(LEN(AX507)&lt;2,ISNUMBER(MATCH(AX507,L_Placeholder,0))),"INVALID – verifier missing",IF(AX507=AU507,"INVALID – verifier must be someone other than the PIC",IF(AND(TRIM(U507)="Pass",SUMPRODUCT(--ISNUMBER(SEARCH(L_ResultBad,AV507)))&gt;0),"INVALID – result describes a problem: use Fail, then Pass after CA",IF(AND(AQ507=1,OR(LEN(AY507)&lt;3,ISNUMBER(MATCH(AY507,L_Placeholder,0)))),"INVALID – batch ID missing or placeholder",IF(AND(AR507=1,OR(NOT(ISNUMBER(X507)),NOT(ISNUMBER(Y507)))),"INVALID – expected/actual qty missing",IF(AND(AR507=1,OR(X507&lt;=0,Y507&lt;0)),"INVALID – expected qty must be above 0 and actual not negative",IF(BB507&lt;&gt;"",BB507,IF(AND(AS507=1,Documents!$J$20&lt;&gt;"ON FILE"),"INVALID – GLD not on file (Documents sheet)",IF(AND(AS507=2,Documents!$O$20&lt;&gt;"ON FILE"),"INVALID – menu checklist not on file (Documents sheet)",IF(AND(AS507=3,NOT(ISNUMBER(Flights!$AX$20))),"INVALID – enter carrying flight KUL departure (Flights AX)",IF(AND(AS507=3,OR(Flights!$AZ$20&gt;Flights!$AA$20,Flights!$AX$20&lt;Flights!$AA$20-3)),"INVALID – carrying flight (Flights AX) cannot arrive before this leg's STD, or is over 3 days early",IF(AG507&gt;AsOfUTC,"INVALID – completion time is in the future",IF(AND(ISNUMBER(S507),AG507&lt;S507),IF(H507="Physical uplift","INVALID – before uplift window (cannot confirm loading)","INVALID – before valid window"),IF(AG507&gt;Flights!$AA$20,"INVALID – completed after departure (cannot establish readiness)",IF(AND(H507="Preparation",AG507&gt;IF(ISNUMBER(Flights!$BA$20),MIN(Flights!$BA$20,Flights!$AA$20),Flights!$AA$20)),"INVALID – completed after loading / departure (cannot establish readiness)",IF(AND(H507="Physical uplift",AG507&gt;Q507),"INVALID – recorded after the loading flight departed",IF(AG507&gt;Q507,"COMPLETE – LATE","COMPLETE"))))))))))))))))))))),IF(TRIM(U507)="Fail","FAIL – DISCREPANCY",IF(AND(TRIM(U507)&lt;&gt;"",TRIM(U507)&lt;&gt;"Not started",TRIM(U507)&lt;&gt;"In progress"),"INVALID – unrecognised status (use the list)",IF(AsOfUTC&gt;Q507,"OVERDUE",IF(N507="Clarification required","OPEN – CLARIFICATION","OPEN"))))))),"INVALID – error value in an input cell")</f>
        <v>OPEN</v>
      </c>
      <c r="AI507" s="61" t="n">
        <f aca="false">IF(OR(AH507="N/A – RULE",AH507="N/A – JUSTIFIED"),0,1)</f>
        <v>1</v>
      </c>
      <c r="AJ507" s="61" t="n">
        <f aca="false">IF(LEFT(AH507,8)="COMPLETE",1,0)</f>
        <v>0</v>
      </c>
      <c r="AK507" s="61" t="n">
        <f aca="false">IF(AND(AI507=1,AJ507=0,AsOfUTC&gt;Q507),1,0)</f>
        <v>0</v>
      </c>
      <c r="AL507" s="61" t="n">
        <f aca="false">IFERROR(IF(AND(AI507=1,OR(TRIM(U507)="Fail",AND(TRIM(AB507)&lt;&gt;"",TRIM(AB507)&lt;&gt;"Closed"),AND(ISNUMBER(AF507),AF507&lt;&gt;0,TRIM(U507)&lt;&gt;"Pass after CA"))),1,0),1)</f>
        <v>0</v>
      </c>
      <c r="AM507" s="61" t="n">
        <f aca="false">IF(LEFT(AH507,7)="INVALID",1,0)</f>
        <v>0</v>
      </c>
      <c r="AN507" s="61" t="n">
        <f aca="false">IF(AND(N507="Clarification required",AI507=1,AJ507=0),1,0)</f>
        <v>0</v>
      </c>
      <c r="AO507" s="61" t="str">
        <f aca="false">IF(AK507=1,SUM(AK$5:AK507),"")</f>
        <v/>
      </c>
      <c r="AP507" s="61" t="str">
        <f aca="false">IF(AL507=1,SUM(AL$5:AL507),"")</f>
        <v/>
      </c>
      <c r="AQ507" s="61" t="n">
        <v>0</v>
      </c>
      <c r="AR507" s="61" t="n">
        <v>0</v>
      </c>
      <c r="AS507" s="61" t="n">
        <v>0</v>
      </c>
      <c r="AT507" s="61" t="n">
        <v>0</v>
      </c>
      <c r="AU507" s="61" t="str">
        <f aca="false">SUBSTITUTE(SUBSTITUTE(SUBSTITUTE(SUBSTITUTE(SUBSTITUTE(SUBSTITUTE(SUBSTITUTE(SUBSTITUTE(SUBSTITUTE(SUBSTITUTE(SUBSTITUTE(SUBSTITUTE(SUBSTITUTE(LOWER(T507&amp;""),CHAR(160),"")," ",""),".",""),"-",""),"/",""),"?",""),"_",""),",",""),"[",""),"]",""),"(",""),")",""),"*","")</f>
        <v/>
      </c>
      <c r="AV507" s="61" t="str">
        <f aca="false">SUBSTITUTE(SUBSTITUTE(SUBSTITUTE(SUBSTITUTE(SUBSTITUTE(SUBSTITUTE(SUBSTITUTE(SUBSTITUTE(SUBSTITUTE(SUBSTITUTE(SUBSTITUTE(SUBSTITUTE(SUBSTITUTE(LOWER(V507&amp;""),CHAR(160),"")," ",""),".",""),"-",""),"/",""),"?",""),"_",""),",",""),"[",""),"]",""),"(",""),")",""),"*","")</f>
        <v/>
      </c>
      <c r="AW507" s="61" t="str">
        <f aca="false">SUBSTITUTE(SUBSTITUTE(SUBSTITUTE(SUBSTITUTE(SUBSTITUTE(SUBSTITUTE(SUBSTITUTE(SUBSTITUTE(SUBSTITUTE(SUBSTITUTE(SUBSTITUTE(SUBSTITUTE(SUBSTITUTE(LOWER(Z507&amp;""),CHAR(160),"")," ",""),".",""),"-",""),"/",""),"?",""),"_",""),",",""),"[",""),"]",""),"(",""),")",""),"*","")</f>
        <v/>
      </c>
      <c r="AX507" s="61" t="str">
        <f aca="false">SUBSTITUTE(SUBSTITUTE(SUBSTITUTE(SUBSTITUTE(SUBSTITUTE(SUBSTITUTE(SUBSTITUTE(SUBSTITUTE(SUBSTITUTE(SUBSTITUTE(SUBSTITUTE(SUBSTITUTE(SUBSTITUTE(LOWER(AE507&amp;""),CHAR(160),"")," ",""),".",""),"-",""),"/",""),"?",""),"_",""),",",""),"[",""),"]",""),"(",""),")",""),"*","")</f>
        <v/>
      </c>
      <c r="AY507" s="61" t="str">
        <f aca="false">SUBSTITUTE(SUBSTITUTE(SUBSTITUTE(SUBSTITUTE(SUBSTITUTE(SUBSTITUTE(SUBSTITUTE(SUBSTITUTE(SUBSTITUTE(SUBSTITUTE(SUBSTITUTE(SUBSTITUTE(SUBSTITUTE(LOWER(W507&amp;""),CHAR(160),"")," ",""),".",""),"-",""),"/",""),"?",""),"_",""),",",""),"[",""),"]",""),"(",""),")",""),"*","")</f>
        <v/>
      </c>
      <c r="AZ507" s="61" t="str">
        <f aca="false">SUBSTITUTE(SUBSTITUTE(SUBSTITUTE(SUBSTITUTE(SUBSTITUTE(SUBSTITUTE(SUBSTITUTE(SUBSTITUTE(SUBSTITUTE(SUBSTITUTE(SUBSTITUTE(SUBSTITUTE(SUBSTITUTE(LOWER(AC507&amp;""),CHAR(160),"")," ",""),".",""),"-",""),"/",""),"?",""),"_",""),",",""),"[",""),"]",""),"(",""),")",""),"*","")</f>
        <v/>
      </c>
      <c r="BA507" s="61" t="str">
        <f aca="false">SUBSTITUTE(SUBSTITUTE(SUBSTITUTE(SUBSTITUTE(SUBSTITUTE(SUBSTITUTE(SUBSTITUTE(SUBSTITUTE(SUBSTITUTE(SUBSTITUTE(SUBSTITUTE(SUBSTITUTE(SUBSTITUTE(LOWER(AA507&amp;""),CHAR(160),"")," ",""),".",""),"-",""),"/",""),"?",""),"_",""),",",""),"[",""),"]",""),"(",""),")",""),"*","")</f>
        <v/>
      </c>
      <c r="BB507" s="61" t="str">
        <f aca="false">IF(AND(TRIM(U507)="Pass",ISNUMBER(AF507)),IF(AF507&lt;&gt;0,"INVALID – qty variance: use Fail or Pass after CA",""),"")&amp;IF(AND(TRIM(U507)="Pass after CA",ISNUMBER(AF507)),IF(AF507&lt;&gt;0,"INVALID – after the corrective action the actual qty must equal expected (update Actual)",""),"")&amp;IF(AND(TRIM(U507)="Pass",TRIM(AB507)&lt;&gt;"",TRIM(AB507)&lt;&gt;"Closed"),"INVALID – corrective action not closed: use Fail, then Pass after CA","")&amp;IF(AND(TRIM(AA507)&lt;&gt;"",TRIM(AB507)=""),"INVALID – CA status missing for the recorded corrective action","")&amp;IF(AND(TRIM(U507)="Pass after CA",OR(OR(LEN(BA507)&lt;5,ISNUMBER(MATCH(BA507,L_Placeholder,0))),TRIM(AB507)&lt;&gt;"Closed")),"INVALID – corrective action not recorded/closed","")</f>
        <v/>
      </c>
    </row>
    <row r="508" customFormat="false" ht="41.25" hidden="false" customHeight="true" outlineLevel="0" collapsed="false">
      <c r="A508" s="57" t="s">
        <v>1141</v>
      </c>
      <c r="B508" s="57" t="s">
        <v>277</v>
      </c>
      <c r="C508" s="57" t="str">
        <f aca="false">Flights!$F$20</f>
        <v>MH0072</v>
      </c>
      <c r="D508" s="58" t="n">
        <f aca="false">Flights!$D$20</f>
        <v>46321</v>
      </c>
      <c r="E508" s="57" t="str">
        <f aca="false">Flights!$G$20&amp;"-"&amp;Flights!$H$20</f>
        <v>KUL-HKG</v>
      </c>
      <c r="F508" s="57" t="str">
        <f aca="false">Flights!$K$20</f>
        <v>EY</v>
      </c>
      <c r="G508" s="57" t="s">
        <v>79</v>
      </c>
      <c r="H508" s="57" t="s">
        <v>356</v>
      </c>
      <c r="I508" s="57" t="s">
        <v>367</v>
      </c>
      <c r="J508" s="57" t="s">
        <v>368</v>
      </c>
      <c r="K508" s="67" t="s">
        <v>369</v>
      </c>
      <c r="L508" s="67" t="s">
        <v>360</v>
      </c>
      <c r="M508" s="67"/>
      <c r="N508" s="67" t="str">
        <f aca="false">IF(TRIM(Flights!$L$20)="A339","Required","N/A – rule")</f>
        <v>N/A – rule</v>
      </c>
      <c r="O508" s="67" t="s">
        <v>370</v>
      </c>
      <c r="P508" s="57" t="s">
        <v>184</v>
      </c>
      <c r="Q508" s="59" t="n">
        <f aca="false">ROUND((Flights!$AC$20)*1440,0)/1440</f>
        <v>46314.0486111111</v>
      </c>
      <c r="R508" s="59" t="n">
        <f aca="false">Q508+(IF(AND(INDEX(TZ_DSTS,MATCH(P508,TZ_STN,0))&lt;&gt;"",Q508&gt;=INDEX(TZ_DSTS,MATCH(P508,TZ_STN,0)),Q508&lt;INDEX(TZ_DSTE,MATCH(P508,TZ_STN,0))),INDEX(TZ_DST,MATCH(P508,TZ_STN,0)),INDEX(TZ_STD,MATCH(P508,TZ_STN,0))))/24</f>
        <v>46314.3819444444</v>
      </c>
      <c r="S508" s="59" t="n">
        <f aca="false">Q508-T7EarlyD*24/24</f>
        <v>46300.0486111111</v>
      </c>
      <c r="T508" s="60"/>
      <c r="U508" s="60"/>
      <c r="V508" s="60"/>
      <c r="W508" s="61"/>
      <c r="X508" s="60"/>
      <c r="Y508" s="60"/>
      <c r="Z508" s="60"/>
      <c r="AA508" s="60"/>
      <c r="AB508" s="60"/>
      <c r="AC508" s="60"/>
      <c r="AD508" s="66"/>
      <c r="AE508" s="60"/>
      <c r="AF508" s="61" t="str">
        <f aca="false">IF(AND(ISNUMBER(X508),ISNUMBER(Y508)),Y508-X508,"")</f>
        <v/>
      </c>
      <c r="AG508" s="62" t="str">
        <f aca="false">IF(ISNUMBER(AD508),AD508-(IF(AND(INDEX(TZ_DSTS,MATCH(P508,TZ_STN,0))&lt;&gt;"",(AD508-INDEX(TZ_STD,MATCH(P508,TZ_STN,0))/24)&gt;=INDEX(TZ_DSTS,MATCH(P508,TZ_STN,0)),(AD508-INDEX(TZ_STD,MATCH(P508,TZ_STN,0))/24)&lt;INDEX(TZ_DSTE,MATCH(P508,TZ_STN,0))),INDEX(TZ_DST,MATCH(P508,TZ_STN,0)),INDEX(TZ_STD,MATCH(P508,TZ_STN,0))))/24,"")</f>
        <v/>
      </c>
      <c r="AH508" s="65" t="str">
        <f aca="false">IFERROR(IF(N508="N/A – rule","N/A – RULE",IF(TRIM(U508)="N/A",IF(AT508=0,"INVALID – N/A not permitted for this check",IF(AND(TRIM(AB508)&lt;&gt;"",TRIM(AB508)&lt;&gt;"Closed"),"INVALID – corrective action still open",IF(AND(NOT(OR(LEN(AZ508)&lt;15,ISNUMBER(MATCH(AZ508,L_Placeholder,0)))),NOT(OR(LEN(AU508)&lt;2,ISNUMBER(MATCH(AU508,L_Placeholder,0)))),NOT(OR(LEN(AX508)&lt;2,ISNUMBER(MATCH(AX508,L_Placeholder,0)))),TRIM(AE508)&lt;&gt;TRIM(T508)),"N/A – JUSTIFIED","INVALID – N/A needs a real justification (15+ chars), PIC and a different verifier"))),IF(OR(TRIM(U508)="Pass",TRIM(U508)="Pass after CA"),IF(NOT(ISNUMBER(AD508)),"INVALID – completion time missing",IF(OR(LEN(AU508)&lt;2,ISNUMBER(MATCH(AU508,L_Placeholder,0))),"INVALID – PIC missing",IF(OR(LEN(AV508)&lt;2,ISNUMBER(MATCH(AV508,L_Placeholder,0))),"INVALID – result / assessment missing",IF(OR(OR(LEN(AW508)&lt;3,ISNUMBER(MATCH(AW508,L_Placeholder,0))),SUMPRODUCT(--ISNUMBER(SEARCH(L_EvidencePhrase,AW508)))&gt;0),"INVALID – evidence missing, placeholder or not yet on file",IF(OR(LEN(AX508)&lt;2,ISNUMBER(MATCH(AX508,L_Placeholder,0))),"INVALID – verifier missing",IF(AX508=AU508,"INVALID – verifier must be someone other than the PIC",IF(AND(TRIM(U508)="Pass",SUMPRODUCT(--ISNUMBER(SEARCH(L_ResultBad,AV508)))&gt;0),"INVALID – result describes a problem: use Fail, then Pass after CA",IF(AND(AQ508=1,OR(LEN(AY508)&lt;3,ISNUMBER(MATCH(AY508,L_Placeholder,0)))),"INVALID – batch ID missing or placeholder",IF(AND(AR508=1,OR(NOT(ISNUMBER(X508)),NOT(ISNUMBER(Y508)))),"INVALID – expected/actual qty missing",IF(AND(AR508=1,OR(X508&lt;=0,Y508&lt;0)),"INVALID – expected qty must be above 0 and actual not negative",IF(BB508&lt;&gt;"",BB508,IF(AND(AS508=1,Documents!$J$20&lt;&gt;"ON FILE"),"INVALID – GLD not on file (Documents sheet)",IF(AND(AS508=2,Documents!$O$20&lt;&gt;"ON FILE"),"INVALID – menu checklist not on file (Documents sheet)",IF(AND(AS508=3,NOT(ISNUMBER(Flights!$AX$20))),"INVALID – enter carrying flight KUL departure (Flights AX)",IF(AND(AS508=3,OR(Flights!$AZ$20&gt;Flights!$AA$20,Flights!$AX$20&lt;Flights!$AA$20-3)),"INVALID – carrying flight (Flights AX) cannot arrive before this leg's STD, or is over 3 days early",IF(AG508&gt;AsOfUTC,"INVALID – completion time is in the future",IF(AND(ISNUMBER(S508),AG508&lt;S508),IF(H508="Physical uplift","INVALID – before uplift window (cannot confirm loading)","INVALID – before valid window"),IF(AG508&gt;Flights!$AA$20,"INVALID – completed after departure (cannot establish readiness)",IF(AND(H508="Preparation",AG508&gt;IF(ISNUMBER(Flights!$BA$20),MIN(Flights!$BA$20,Flights!$AA$20),Flights!$AA$20)),"INVALID – completed after loading / departure (cannot establish readiness)",IF(AND(H508="Physical uplift",AG508&gt;Q508),"INVALID – recorded after the loading flight departed",IF(AG508&gt;Q508,"COMPLETE – LATE","COMPLETE"))))))))))))))))))))),IF(TRIM(U508)="Fail","FAIL – DISCREPANCY",IF(AND(TRIM(U508)&lt;&gt;"",TRIM(U508)&lt;&gt;"Not started",TRIM(U508)&lt;&gt;"In progress"),"INVALID – unrecognised status (use the list)",IF(AsOfUTC&gt;Q508,"OVERDUE",IF(N508="Clarification required","OPEN – CLARIFICATION","OPEN"))))))),"INVALID – error value in an input cell")</f>
        <v>N/A – RULE</v>
      </c>
      <c r="AI508" s="61" t="n">
        <f aca="false">IF(OR(AH508="N/A – RULE",AH508="N/A – JUSTIFIED"),0,1)</f>
        <v>0</v>
      </c>
      <c r="AJ508" s="61" t="n">
        <f aca="false">IF(LEFT(AH508,8)="COMPLETE",1,0)</f>
        <v>0</v>
      </c>
      <c r="AK508" s="61" t="n">
        <f aca="false">IF(AND(AI508=1,AJ508=0,AsOfUTC&gt;Q508),1,0)</f>
        <v>0</v>
      </c>
      <c r="AL508" s="61" t="n">
        <f aca="false">IFERROR(IF(AND(AI508=1,OR(TRIM(U508)="Fail",AND(TRIM(AB508)&lt;&gt;"",TRIM(AB508)&lt;&gt;"Closed"),AND(ISNUMBER(AF508),AF508&lt;&gt;0,TRIM(U508)&lt;&gt;"Pass after CA"))),1,0),1)</f>
        <v>0</v>
      </c>
      <c r="AM508" s="61" t="n">
        <f aca="false">IF(LEFT(AH508,7)="INVALID",1,0)</f>
        <v>0</v>
      </c>
      <c r="AN508" s="61" t="n">
        <f aca="false">IF(AND(N508="Clarification required",AI508=1,AJ508=0),1,0)</f>
        <v>0</v>
      </c>
      <c r="AO508" s="61" t="str">
        <f aca="false">IF(AK508=1,SUM(AK$5:AK508),"")</f>
        <v/>
      </c>
      <c r="AP508" s="61" t="str">
        <f aca="false">IF(AL508=1,SUM(AL$5:AL508),"")</f>
        <v/>
      </c>
      <c r="AQ508" s="61" t="n">
        <v>0</v>
      </c>
      <c r="AR508" s="61" t="n">
        <v>0</v>
      </c>
      <c r="AS508" s="61" t="n">
        <v>0</v>
      </c>
      <c r="AT508" s="61" t="n">
        <v>0</v>
      </c>
      <c r="AU508" s="61" t="str">
        <f aca="false">SUBSTITUTE(SUBSTITUTE(SUBSTITUTE(SUBSTITUTE(SUBSTITUTE(SUBSTITUTE(SUBSTITUTE(SUBSTITUTE(SUBSTITUTE(SUBSTITUTE(SUBSTITUTE(SUBSTITUTE(SUBSTITUTE(LOWER(T508&amp;""),CHAR(160),"")," ",""),".",""),"-",""),"/",""),"?",""),"_",""),",",""),"[",""),"]",""),"(",""),")",""),"*","")</f>
        <v/>
      </c>
      <c r="AV508" s="61" t="str">
        <f aca="false">SUBSTITUTE(SUBSTITUTE(SUBSTITUTE(SUBSTITUTE(SUBSTITUTE(SUBSTITUTE(SUBSTITUTE(SUBSTITUTE(SUBSTITUTE(SUBSTITUTE(SUBSTITUTE(SUBSTITUTE(SUBSTITUTE(LOWER(V508&amp;""),CHAR(160),"")," ",""),".",""),"-",""),"/",""),"?",""),"_",""),",",""),"[",""),"]",""),"(",""),")",""),"*","")</f>
        <v/>
      </c>
      <c r="AW508" s="61" t="str">
        <f aca="false">SUBSTITUTE(SUBSTITUTE(SUBSTITUTE(SUBSTITUTE(SUBSTITUTE(SUBSTITUTE(SUBSTITUTE(SUBSTITUTE(SUBSTITUTE(SUBSTITUTE(SUBSTITUTE(SUBSTITUTE(SUBSTITUTE(LOWER(Z508&amp;""),CHAR(160),"")," ",""),".",""),"-",""),"/",""),"?",""),"_",""),",",""),"[",""),"]",""),"(",""),")",""),"*","")</f>
        <v/>
      </c>
      <c r="AX508" s="61" t="str">
        <f aca="false">SUBSTITUTE(SUBSTITUTE(SUBSTITUTE(SUBSTITUTE(SUBSTITUTE(SUBSTITUTE(SUBSTITUTE(SUBSTITUTE(SUBSTITUTE(SUBSTITUTE(SUBSTITUTE(SUBSTITUTE(SUBSTITUTE(LOWER(AE508&amp;""),CHAR(160),"")," ",""),".",""),"-",""),"/",""),"?",""),"_",""),",",""),"[",""),"]",""),"(",""),")",""),"*","")</f>
        <v/>
      </c>
      <c r="AY508" s="61" t="str">
        <f aca="false">SUBSTITUTE(SUBSTITUTE(SUBSTITUTE(SUBSTITUTE(SUBSTITUTE(SUBSTITUTE(SUBSTITUTE(SUBSTITUTE(SUBSTITUTE(SUBSTITUTE(SUBSTITUTE(SUBSTITUTE(SUBSTITUTE(LOWER(W508&amp;""),CHAR(160),"")," ",""),".",""),"-",""),"/",""),"?",""),"_",""),",",""),"[",""),"]",""),"(",""),")",""),"*","")</f>
        <v/>
      </c>
      <c r="AZ508" s="61" t="str">
        <f aca="false">SUBSTITUTE(SUBSTITUTE(SUBSTITUTE(SUBSTITUTE(SUBSTITUTE(SUBSTITUTE(SUBSTITUTE(SUBSTITUTE(SUBSTITUTE(SUBSTITUTE(SUBSTITUTE(SUBSTITUTE(SUBSTITUTE(LOWER(AC508&amp;""),CHAR(160),"")," ",""),".",""),"-",""),"/",""),"?",""),"_",""),",",""),"[",""),"]",""),"(",""),")",""),"*","")</f>
        <v/>
      </c>
      <c r="BA508" s="61" t="str">
        <f aca="false">SUBSTITUTE(SUBSTITUTE(SUBSTITUTE(SUBSTITUTE(SUBSTITUTE(SUBSTITUTE(SUBSTITUTE(SUBSTITUTE(SUBSTITUTE(SUBSTITUTE(SUBSTITUTE(SUBSTITUTE(SUBSTITUTE(LOWER(AA508&amp;""),CHAR(160),"")," ",""),".",""),"-",""),"/",""),"?",""),"_",""),",",""),"[",""),"]",""),"(",""),")",""),"*","")</f>
        <v/>
      </c>
      <c r="BB508" s="61" t="str">
        <f aca="false">IF(AND(TRIM(U508)="Pass",ISNUMBER(AF508)),IF(AF508&lt;&gt;0,"INVALID – qty variance: use Fail or Pass after CA",""),"")&amp;IF(AND(TRIM(U508)="Pass after CA",ISNUMBER(AF508)),IF(AF508&lt;&gt;0,"INVALID – after the corrective action the actual qty must equal expected (update Actual)",""),"")&amp;IF(AND(TRIM(U508)="Pass",TRIM(AB508)&lt;&gt;"",TRIM(AB508)&lt;&gt;"Closed"),"INVALID – corrective action not closed: use Fail, then Pass after CA","")&amp;IF(AND(TRIM(AA508)&lt;&gt;"",TRIM(AB508)=""),"INVALID – CA status missing for the recorded corrective action","")&amp;IF(AND(TRIM(U508)="Pass after CA",OR(OR(LEN(BA508)&lt;5,ISNUMBER(MATCH(BA508,L_Placeholder,0))),TRIM(AB508)&lt;&gt;"Closed")),"INVALID – corrective action not recorded/closed","")</f>
        <v/>
      </c>
    </row>
    <row r="509" customFormat="false" ht="39.75" hidden="false" customHeight="true" outlineLevel="0" collapsed="false">
      <c r="A509" s="57" t="s">
        <v>1142</v>
      </c>
      <c r="B509" s="57" t="s">
        <v>277</v>
      </c>
      <c r="C509" s="57" t="str">
        <f aca="false">Flights!$F$20</f>
        <v>MH0072</v>
      </c>
      <c r="D509" s="58" t="n">
        <f aca="false">Flights!$D$20</f>
        <v>46321</v>
      </c>
      <c r="E509" s="57" t="str">
        <f aca="false">Flights!$G$20&amp;"-"&amp;Flights!$H$20</f>
        <v>KUL-HKG</v>
      </c>
      <c r="F509" s="57" t="str">
        <f aca="false">Flights!$K$20</f>
        <v>EY</v>
      </c>
      <c r="G509" s="57" t="s">
        <v>79</v>
      </c>
      <c r="H509" s="57" t="s">
        <v>356</v>
      </c>
      <c r="I509" s="57" t="s">
        <v>372</v>
      </c>
      <c r="J509" s="57" t="s">
        <v>373</v>
      </c>
      <c r="K509" s="67" t="s">
        <v>374</v>
      </c>
      <c r="L509" s="67" t="s">
        <v>360</v>
      </c>
      <c r="M509" s="67"/>
      <c r="N509" s="67" t="s">
        <v>361</v>
      </c>
      <c r="O509" s="67"/>
      <c r="P509" s="57" t="s">
        <v>184</v>
      </c>
      <c r="Q509" s="59" t="n">
        <f aca="false">ROUND((Flights!$AC$20)*1440,0)/1440</f>
        <v>46314.0486111111</v>
      </c>
      <c r="R509" s="59" t="n">
        <f aca="false">Q509+(IF(AND(INDEX(TZ_DSTS,MATCH(P509,TZ_STN,0))&lt;&gt;"",Q509&gt;=INDEX(TZ_DSTS,MATCH(P509,TZ_STN,0)),Q509&lt;INDEX(TZ_DSTE,MATCH(P509,TZ_STN,0))),INDEX(TZ_DST,MATCH(P509,TZ_STN,0)),INDEX(TZ_STD,MATCH(P509,TZ_STN,0))))/24</f>
        <v>46314.3819444444</v>
      </c>
      <c r="S509" s="59" t="n">
        <f aca="false">Q509-T7EarlyD*24/24</f>
        <v>46300.0486111111</v>
      </c>
      <c r="T509" s="60"/>
      <c r="U509" s="60"/>
      <c r="V509" s="60"/>
      <c r="W509" s="61"/>
      <c r="X509" s="60"/>
      <c r="Y509" s="60"/>
      <c r="Z509" s="60"/>
      <c r="AA509" s="60"/>
      <c r="AB509" s="60"/>
      <c r="AC509" s="60"/>
      <c r="AD509" s="66"/>
      <c r="AE509" s="60"/>
      <c r="AF509" s="61" t="str">
        <f aca="false">IF(AND(ISNUMBER(X509),ISNUMBER(Y509)),Y509-X509,"")</f>
        <v/>
      </c>
      <c r="AG509" s="62" t="str">
        <f aca="false">IF(ISNUMBER(AD509),AD509-(IF(AND(INDEX(TZ_DSTS,MATCH(P509,TZ_STN,0))&lt;&gt;"",(AD509-INDEX(TZ_STD,MATCH(P509,TZ_STN,0))/24)&gt;=INDEX(TZ_DSTS,MATCH(P509,TZ_STN,0)),(AD509-INDEX(TZ_STD,MATCH(P509,TZ_STN,0))/24)&lt;INDEX(TZ_DSTE,MATCH(P509,TZ_STN,0))),INDEX(TZ_DST,MATCH(P509,TZ_STN,0)),INDEX(TZ_STD,MATCH(P509,TZ_STN,0))))/24,"")</f>
        <v/>
      </c>
      <c r="AH509" s="65" t="str">
        <f aca="false">IFERROR(IF(N509="N/A – rule","N/A – RULE",IF(TRIM(U509)="N/A",IF(AT509=0,"INVALID – N/A not permitted for this check",IF(AND(TRIM(AB509)&lt;&gt;"",TRIM(AB509)&lt;&gt;"Closed"),"INVALID – corrective action still open",IF(AND(NOT(OR(LEN(AZ509)&lt;15,ISNUMBER(MATCH(AZ509,L_Placeholder,0)))),NOT(OR(LEN(AU509)&lt;2,ISNUMBER(MATCH(AU509,L_Placeholder,0)))),NOT(OR(LEN(AX509)&lt;2,ISNUMBER(MATCH(AX509,L_Placeholder,0)))),TRIM(AE509)&lt;&gt;TRIM(T509)),"N/A – JUSTIFIED","INVALID – N/A needs a real justification (15+ chars), PIC and a different verifier"))),IF(OR(TRIM(U509)="Pass",TRIM(U509)="Pass after CA"),IF(NOT(ISNUMBER(AD509)),"INVALID – completion time missing",IF(OR(LEN(AU509)&lt;2,ISNUMBER(MATCH(AU509,L_Placeholder,0))),"INVALID – PIC missing",IF(OR(LEN(AV509)&lt;2,ISNUMBER(MATCH(AV509,L_Placeholder,0))),"INVALID – result / assessment missing",IF(OR(OR(LEN(AW509)&lt;3,ISNUMBER(MATCH(AW509,L_Placeholder,0))),SUMPRODUCT(--ISNUMBER(SEARCH(L_EvidencePhrase,AW509)))&gt;0),"INVALID – evidence missing, placeholder or not yet on file",IF(OR(LEN(AX509)&lt;2,ISNUMBER(MATCH(AX509,L_Placeholder,0))),"INVALID – verifier missing",IF(AX509=AU509,"INVALID – verifier must be someone other than the PIC",IF(AND(TRIM(U509)="Pass",SUMPRODUCT(--ISNUMBER(SEARCH(L_ResultBad,AV509)))&gt;0),"INVALID – result describes a problem: use Fail, then Pass after CA",IF(AND(AQ509=1,OR(LEN(AY509)&lt;3,ISNUMBER(MATCH(AY509,L_Placeholder,0)))),"INVALID – batch ID missing or placeholder",IF(AND(AR509=1,OR(NOT(ISNUMBER(X509)),NOT(ISNUMBER(Y509)))),"INVALID – expected/actual qty missing",IF(AND(AR509=1,OR(X509&lt;=0,Y509&lt;0)),"INVALID – expected qty must be above 0 and actual not negative",IF(BB509&lt;&gt;"",BB509,IF(AND(AS509=1,Documents!$J$20&lt;&gt;"ON FILE"),"INVALID – GLD not on file (Documents sheet)",IF(AND(AS509=2,Documents!$O$20&lt;&gt;"ON FILE"),"INVALID – menu checklist not on file (Documents sheet)",IF(AND(AS509=3,NOT(ISNUMBER(Flights!$AX$20))),"INVALID – enter carrying flight KUL departure (Flights AX)",IF(AND(AS509=3,OR(Flights!$AZ$20&gt;Flights!$AA$20,Flights!$AX$20&lt;Flights!$AA$20-3)),"INVALID – carrying flight (Flights AX) cannot arrive before this leg's STD, or is over 3 days early",IF(AG509&gt;AsOfUTC,"INVALID – completion time is in the future",IF(AND(ISNUMBER(S509),AG509&lt;S509),IF(H509="Physical uplift","INVALID – before uplift window (cannot confirm loading)","INVALID – before valid window"),IF(AG509&gt;Flights!$AA$20,"INVALID – completed after departure (cannot establish readiness)",IF(AND(H509="Preparation",AG509&gt;IF(ISNUMBER(Flights!$BA$20),MIN(Flights!$BA$20,Flights!$AA$20),Flights!$AA$20)),"INVALID – completed after loading / departure (cannot establish readiness)",IF(AND(H509="Physical uplift",AG509&gt;Q509),"INVALID – recorded after the loading flight departed",IF(AG509&gt;Q509,"COMPLETE – LATE","COMPLETE"))))))))))))))))))))),IF(TRIM(U509)="Fail","FAIL – DISCREPANCY",IF(AND(TRIM(U509)&lt;&gt;"",TRIM(U509)&lt;&gt;"Not started",TRIM(U509)&lt;&gt;"In progress"),"INVALID – unrecognised status (use the list)",IF(AsOfUTC&gt;Q509,"OVERDUE",IF(N509="Clarification required","OPEN – CLARIFICATION","OPEN"))))))),"INVALID – error value in an input cell")</f>
        <v>OPEN</v>
      </c>
      <c r="AI509" s="61" t="n">
        <f aca="false">IF(OR(AH509="N/A – RULE",AH509="N/A – JUSTIFIED"),0,1)</f>
        <v>1</v>
      </c>
      <c r="AJ509" s="61" t="n">
        <f aca="false">IF(LEFT(AH509,8)="COMPLETE",1,0)</f>
        <v>0</v>
      </c>
      <c r="AK509" s="61" t="n">
        <f aca="false">IF(AND(AI509=1,AJ509=0,AsOfUTC&gt;Q509),1,0)</f>
        <v>0</v>
      </c>
      <c r="AL509" s="61" t="n">
        <f aca="false">IFERROR(IF(AND(AI509=1,OR(TRIM(U509)="Fail",AND(TRIM(AB509)&lt;&gt;"",TRIM(AB509)&lt;&gt;"Closed"),AND(ISNUMBER(AF509),AF509&lt;&gt;0,TRIM(U509)&lt;&gt;"Pass after CA"))),1,0),1)</f>
        <v>0</v>
      </c>
      <c r="AM509" s="61" t="n">
        <f aca="false">IF(LEFT(AH509,7)="INVALID",1,0)</f>
        <v>0</v>
      </c>
      <c r="AN509" s="61" t="n">
        <f aca="false">IF(AND(N509="Clarification required",AI509=1,AJ509=0),1,0)</f>
        <v>0</v>
      </c>
      <c r="AO509" s="61" t="str">
        <f aca="false">IF(AK509=1,SUM(AK$5:AK509),"")</f>
        <v/>
      </c>
      <c r="AP509" s="61" t="str">
        <f aca="false">IF(AL509=1,SUM(AL$5:AL509),"")</f>
        <v/>
      </c>
      <c r="AQ509" s="61" t="n">
        <v>0</v>
      </c>
      <c r="AR509" s="61" t="n">
        <v>0</v>
      </c>
      <c r="AS509" s="61" t="n">
        <v>0</v>
      </c>
      <c r="AT509" s="61" t="n">
        <v>0</v>
      </c>
      <c r="AU509" s="61" t="str">
        <f aca="false">SUBSTITUTE(SUBSTITUTE(SUBSTITUTE(SUBSTITUTE(SUBSTITUTE(SUBSTITUTE(SUBSTITUTE(SUBSTITUTE(SUBSTITUTE(SUBSTITUTE(SUBSTITUTE(SUBSTITUTE(SUBSTITUTE(LOWER(T509&amp;""),CHAR(160),"")," ",""),".",""),"-",""),"/",""),"?",""),"_",""),",",""),"[",""),"]",""),"(",""),")",""),"*","")</f>
        <v/>
      </c>
      <c r="AV509" s="61" t="str">
        <f aca="false">SUBSTITUTE(SUBSTITUTE(SUBSTITUTE(SUBSTITUTE(SUBSTITUTE(SUBSTITUTE(SUBSTITUTE(SUBSTITUTE(SUBSTITUTE(SUBSTITUTE(SUBSTITUTE(SUBSTITUTE(SUBSTITUTE(LOWER(V509&amp;""),CHAR(160),"")," ",""),".",""),"-",""),"/",""),"?",""),"_",""),",",""),"[",""),"]",""),"(",""),")",""),"*","")</f>
        <v/>
      </c>
      <c r="AW509" s="61" t="str">
        <f aca="false">SUBSTITUTE(SUBSTITUTE(SUBSTITUTE(SUBSTITUTE(SUBSTITUTE(SUBSTITUTE(SUBSTITUTE(SUBSTITUTE(SUBSTITUTE(SUBSTITUTE(SUBSTITUTE(SUBSTITUTE(SUBSTITUTE(LOWER(Z509&amp;""),CHAR(160),"")," ",""),".",""),"-",""),"/",""),"?",""),"_",""),",",""),"[",""),"]",""),"(",""),")",""),"*","")</f>
        <v/>
      </c>
      <c r="AX509" s="61" t="str">
        <f aca="false">SUBSTITUTE(SUBSTITUTE(SUBSTITUTE(SUBSTITUTE(SUBSTITUTE(SUBSTITUTE(SUBSTITUTE(SUBSTITUTE(SUBSTITUTE(SUBSTITUTE(SUBSTITUTE(SUBSTITUTE(SUBSTITUTE(LOWER(AE509&amp;""),CHAR(160),"")," ",""),".",""),"-",""),"/",""),"?",""),"_",""),",",""),"[",""),"]",""),"(",""),")",""),"*","")</f>
        <v/>
      </c>
      <c r="AY509" s="61" t="str">
        <f aca="false">SUBSTITUTE(SUBSTITUTE(SUBSTITUTE(SUBSTITUTE(SUBSTITUTE(SUBSTITUTE(SUBSTITUTE(SUBSTITUTE(SUBSTITUTE(SUBSTITUTE(SUBSTITUTE(SUBSTITUTE(SUBSTITUTE(LOWER(W509&amp;""),CHAR(160),"")," ",""),".",""),"-",""),"/",""),"?",""),"_",""),",",""),"[",""),"]",""),"(",""),")",""),"*","")</f>
        <v/>
      </c>
      <c r="AZ509" s="61" t="str">
        <f aca="false">SUBSTITUTE(SUBSTITUTE(SUBSTITUTE(SUBSTITUTE(SUBSTITUTE(SUBSTITUTE(SUBSTITUTE(SUBSTITUTE(SUBSTITUTE(SUBSTITUTE(SUBSTITUTE(SUBSTITUTE(SUBSTITUTE(LOWER(AC509&amp;""),CHAR(160),"")," ",""),".",""),"-",""),"/",""),"?",""),"_",""),",",""),"[",""),"]",""),"(",""),")",""),"*","")</f>
        <v/>
      </c>
      <c r="BA509" s="61" t="str">
        <f aca="false">SUBSTITUTE(SUBSTITUTE(SUBSTITUTE(SUBSTITUTE(SUBSTITUTE(SUBSTITUTE(SUBSTITUTE(SUBSTITUTE(SUBSTITUTE(SUBSTITUTE(SUBSTITUTE(SUBSTITUTE(SUBSTITUTE(LOWER(AA509&amp;""),CHAR(160),"")," ",""),".",""),"-",""),"/",""),"?",""),"_",""),",",""),"[",""),"]",""),"(",""),")",""),"*","")</f>
        <v/>
      </c>
      <c r="BB509" s="61" t="str">
        <f aca="false">IF(AND(TRIM(U509)="Pass",ISNUMBER(AF509)),IF(AF509&lt;&gt;0,"INVALID – qty variance: use Fail or Pass after CA",""),"")&amp;IF(AND(TRIM(U509)="Pass after CA",ISNUMBER(AF509)),IF(AF509&lt;&gt;0,"INVALID – after the corrective action the actual qty must equal expected (update Actual)",""),"")&amp;IF(AND(TRIM(U509)="Pass",TRIM(AB509)&lt;&gt;"",TRIM(AB509)&lt;&gt;"Closed"),"INVALID – corrective action not closed: use Fail, then Pass after CA","")&amp;IF(AND(TRIM(AA509)&lt;&gt;"",TRIM(AB509)=""),"INVALID – CA status missing for the recorded corrective action","")&amp;IF(AND(TRIM(U509)="Pass after CA",OR(OR(LEN(BA509)&lt;5,ISNUMBER(MATCH(BA509,L_Placeholder,0))),TRIM(AB509)&lt;&gt;"Closed")),"INVALID – corrective action not recorded/closed","")</f>
        <v/>
      </c>
    </row>
    <row r="510" customFormat="false" ht="39.75" hidden="false" customHeight="true" outlineLevel="0" collapsed="false">
      <c r="A510" s="57" t="s">
        <v>1143</v>
      </c>
      <c r="B510" s="57" t="s">
        <v>277</v>
      </c>
      <c r="C510" s="57" t="str">
        <f aca="false">Flights!$F$20</f>
        <v>MH0072</v>
      </c>
      <c r="D510" s="58" t="n">
        <f aca="false">Flights!$D$20</f>
        <v>46321</v>
      </c>
      <c r="E510" s="57" t="str">
        <f aca="false">Flights!$G$20&amp;"-"&amp;Flights!$H$20</f>
        <v>KUL-HKG</v>
      </c>
      <c r="F510" s="57" t="str">
        <f aca="false">Flights!$K$20</f>
        <v>EY</v>
      </c>
      <c r="G510" s="57" t="s">
        <v>79</v>
      </c>
      <c r="H510" s="57" t="s">
        <v>356</v>
      </c>
      <c r="I510" s="57" t="s">
        <v>376</v>
      </c>
      <c r="J510" s="57" t="s">
        <v>377</v>
      </c>
      <c r="K510" s="67" t="s">
        <v>378</v>
      </c>
      <c r="L510" s="67" t="s">
        <v>360</v>
      </c>
      <c r="M510" s="67"/>
      <c r="N510" s="67" t="s">
        <v>361</v>
      </c>
      <c r="O510" s="67"/>
      <c r="P510" s="57" t="s">
        <v>184</v>
      </c>
      <c r="Q510" s="59" t="n">
        <f aca="false">ROUND((Flights!$AC$20)*1440,0)/1440</f>
        <v>46314.0486111111</v>
      </c>
      <c r="R510" s="59" t="n">
        <f aca="false">Q510+(IF(AND(INDEX(TZ_DSTS,MATCH(P510,TZ_STN,0))&lt;&gt;"",Q510&gt;=INDEX(TZ_DSTS,MATCH(P510,TZ_STN,0)),Q510&lt;INDEX(TZ_DSTE,MATCH(P510,TZ_STN,0))),INDEX(TZ_DST,MATCH(P510,TZ_STN,0)),INDEX(TZ_STD,MATCH(P510,TZ_STN,0))))/24</f>
        <v>46314.3819444444</v>
      </c>
      <c r="S510" s="59" t="n">
        <f aca="false">Q510-T7EarlyD*24/24</f>
        <v>46300.0486111111</v>
      </c>
      <c r="T510" s="60"/>
      <c r="U510" s="60"/>
      <c r="V510" s="60"/>
      <c r="W510" s="61"/>
      <c r="X510" s="60"/>
      <c r="Y510" s="60"/>
      <c r="Z510" s="60"/>
      <c r="AA510" s="60"/>
      <c r="AB510" s="60"/>
      <c r="AC510" s="60"/>
      <c r="AD510" s="66"/>
      <c r="AE510" s="60"/>
      <c r="AF510" s="61" t="str">
        <f aca="false">IF(AND(ISNUMBER(X510),ISNUMBER(Y510)),Y510-X510,"")</f>
        <v/>
      </c>
      <c r="AG510" s="62" t="str">
        <f aca="false">IF(ISNUMBER(AD510),AD510-(IF(AND(INDEX(TZ_DSTS,MATCH(P510,TZ_STN,0))&lt;&gt;"",(AD510-INDEX(TZ_STD,MATCH(P510,TZ_STN,0))/24)&gt;=INDEX(TZ_DSTS,MATCH(P510,TZ_STN,0)),(AD510-INDEX(TZ_STD,MATCH(P510,TZ_STN,0))/24)&lt;INDEX(TZ_DSTE,MATCH(P510,TZ_STN,0))),INDEX(TZ_DST,MATCH(P510,TZ_STN,0)),INDEX(TZ_STD,MATCH(P510,TZ_STN,0))))/24,"")</f>
        <v/>
      </c>
      <c r="AH510" s="65" t="str">
        <f aca="false">IFERROR(IF(N510="N/A – rule","N/A – RULE",IF(TRIM(U510)="N/A",IF(AT510=0,"INVALID – N/A not permitted for this check",IF(AND(TRIM(AB510)&lt;&gt;"",TRIM(AB510)&lt;&gt;"Closed"),"INVALID – corrective action still open",IF(AND(NOT(OR(LEN(AZ510)&lt;15,ISNUMBER(MATCH(AZ510,L_Placeholder,0)))),NOT(OR(LEN(AU510)&lt;2,ISNUMBER(MATCH(AU510,L_Placeholder,0)))),NOT(OR(LEN(AX510)&lt;2,ISNUMBER(MATCH(AX510,L_Placeholder,0)))),TRIM(AE510)&lt;&gt;TRIM(T510)),"N/A – JUSTIFIED","INVALID – N/A needs a real justification (15+ chars), PIC and a different verifier"))),IF(OR(TRIM(U510)="Pass",TRIM(U510)="Pass after CA"),IF(NOT(ISNUMBER(AD510)),"INVALID – completion time missing",IF(OR(LEN(AU510)&lt;2,ISNUMBER(MATCH(AU510,L_Placeholder,0))),"INVALID – PIC missing",IF(OR(LEN(AV510)&lt;2,ISNUMBER(MATCH(AV510,L_Placeholder,0))),"INVALID – result / assessment missing",IF(OR(OR(LEN(AW510)&lt;3,ISNUMBER(MATCH(AW510,L_Placeholder,0))),SUMPRODUCT(--ISNUMBER(SEARCH(L_EvidencePhrase,AW510)))&gt;0),"INVALID – evidence missing, placeholder or not yet on file",IF(OR(LEN(AX510)&lt;2,ISNUMBER(MATCH(AX510,L_Placeholder,0))),"INVALID – verifier missing",IF(AX510=AU510,"INVALID – verifier must be someone other than the PIC",IF(AND(TRIM(U510)="Pass",SUMPRODUCT(--ISNUMBER(SEARCH(L_ResultBad,AV510)))&gt;0),"INVALID – result describes a problem: use Fail, then Pass after CA",IF(AND(AQ510=1,OR(LEN(AY510)&lt;3,ISNUMBER(MATCH(AY510,L_Placeholder,0)))),"INVALID – batch ID missing or placeholder",IF(AND(AR510=1,OR(NOT(ISNUMBER(X510)),NOT(ISNUMBER(Y510)))),"INVALID – expected/actual qty missing",IF(AND(AR510=1,OR(X510&lt;=0,Y510&lt;0)),"INVALID – expected qty must be above 0 and actual not negative",IF(BB510&lt;&gt;"",BB510,IF(AND(AS510=1,Documents!$J$20&lt;&gt;"ON FILE"),"INVALID – GLD not on file (Documents sheet)",IF(AND(AS510=2,Documents!$O$20&lt;&gt;"ON FILE"),"INVALID – menu checklist not on file (Documents sheet)",IF(AND(AS510=3,NOT(ISNUMBER(Flights!$AX$20))),"INVALID – enter carrying flight KUL departure (Flights AX)",IF(AND(AS510=3,OR(Flights!$AZ$20&gt;Flights!$AA$20,Flights!$AX$20&lt;Flights!$AA$20-3)),"INVALID – carrying flight (Flights AX) cannot arrive before this leg's STD, or is over 3 days early",IF(AG510&gt;AsOfUTC,"INVALID – completion time is in the future",IF(AND(ISNUMBER(S510),AG510&lt;S510),IF(H510="Physical uplift","INVALID – before uplift window (cannot confirm loading)","INVALID – before valid window"),IF(AG510&gt;Flights!$AA$20,"INVALID – completed after departure (cannot establish readiness)",IF(AND(H510="Preparation",AG510&gt;IF(ISNUMBER(Flights!$BA$20),MIN(Flights!$BA$20,Flights!$AA$20),Flights!$AA$20)),"INVALID – completed after loading / departure (cannot establish readiness)",IF(AND(H510="Physical uplift",AG510&gt;Q510),"INVALID – recorded after the loading flight departed",IF(AG510&gt;Q510,"COMPLETE – LATE","COMPLETE"))))))))))))))))))))),IF(TRIM(U510)="Fail","FAIL – DISCREPANCY",IF(AND(TRIM(U510)&lt;&gt;"",TRIM(U510)&lt;&gt;"Not started",TRIM(U510)&lt;&gt;"In progress"),"INVALID – unrecognised status (use the list)",IF(AsOfUTC&gt;Q510,"OVERDUE",IF(N510="Clarification required","OPEN – CLARIFICATION","OPEN"))))))),"INVALID – error value in an input cell")</f>
        <v>OPEN</v>
      </c>
      <c r="AI510" s="61" t="n">
        <f aca="false">IF(OR(AH510="N/A – RULE",AH510="N/A – JUSTIFIED"),0,1)</f>
        <v>1</v>
      </c>
      <c r="AJ510" s="61" t="n">
        <f aca="false">IF(LEFT(AH510,8)="COMPLETE",1,0)</f>
        <v>0</v>
      </c>
      <c r="AK510" s="61" t="n">
        <f aca="false">IF(AND(AI510=1,AJ510=0,AsOfUTC&gt;Q510),1,0)</f>
        <v>0</v>
      </c>
      <c r="AL510" s="61" t="n">
        <f aca="false">IFERROR(IF(AND(AI510=1,OR(TRIM(U510)="Fail",AND(TRIM(AB510)&lt;&gt;"",TRIM(AB510)&lt;&gt;"Closed"),AND(ISNUMBER(AF510),AF510&lt;&gt;0,TRIM(U510)&lt;&gt;"Pass after CA"))),1,0),1)</f>
        <v>0</v>
      </c>
      <c r="AM510" s="61" t="n">
        <f aca="false">IF(LEFT(AH510,7)="INVALID",1,0)</f>
        <v>0</v>
      </c>
      <c r="AN510" s="61" t="n">
        <f aca="false">IF(AND(N510="Clarification required",AI510=1,AJ510=0),1,0)</f>
        <v>0</v>
      </c>
      <c r="AO510" s="61" t="str">
        <f aca="false">IF(AK510=1,SUM(AK$5:AK510),"")</f>
        <v/>
      </c>
      <c r="AP510" s="61" t="str">
        <f aca="false">IF(AL510=1,SUM(AL$5:AL510),"")</f>
        <v/>
      </c>
      <c r="AQ510" s="61" t="n">
        <v>0</v>
      </c>
      <c r="AR510" s="61" t="n">
        <v>0</v>
      </c>
      <c r="AS510" s="61" t="n">
        <v>0</v>
      </c>
      <c r="AT510" s="61" t="n">
        <v>0</v>
      </c>
      <c r="AU510" s="61" t="str">
        <f aca="false">SUBSTITUTE(SUBSTITUTE(SUBSTITUTE(SUBSTITUTE(SUBSTITUTE(SUBSTITUTE(SUBSTITUTE(SUBSTITUTE(SUBSTITUTE(SUBSTITUTE(SUBSTITUTE(SUBSTITUTE(SUBSTITUTE(LOWER(T510&amp;""),CHAR(160),"")," ",""),".",""),"-",""),"/",""),"?",""),"_",""),",",""),"[",""),"]",""),"(",""),")",""),"*","")</f>
        <v/>
      </c>
      <c r="AV510" s="61" t="str">
        <f aca="false">SUBSTITUTE(SUBSTITUTE(SUBSTITUTE(SUBSTITUTE(SUBSTITUTE(SUBSTITUTE(SUBSTITUTE(SUBSTITUTE(SUBSTITUTE(SUBSTITUTE(SUBSTITUTE(SUBSTITUTE(SUBSTITUTE(LOWER(V510&amp;""),CHAR(160),"")," ",""),".",""),"-",""),"/",""),"?",""),"_",""),",",""),"[",""),"]",""),"(",""),")",""),"*","")</f>
        <v/>
      </c>
      <c r="AW510" s="61" t="str">
        <f aca="false">SUBSTITUTE(SUBSTITUTE(SUBSTITUTE(SUBSTITUTE(SUBSTITUTE(SUBSTITUTE(SUBSTITUTE(SUBSTITUTE(SUBSTITUTE(SUBSTITUTE(SUBSTITUTE(SUBSTITUTE(SUBSTITUTE(LOWER(Z510&amp;""),CHAR(160),"")," ",""),".",""),"-",""),"/",""),"?",""),"_",""),",",""),"[",""),"]",""),"(",""),")",""),"*","")</f>
        <v/>
      </c>
      <c r="AX510" s="61" t="str">
        <f aca="false">SUBSTITUTE(SUBSTITUTE(SUBSTITUTE(SUBSTITUTE(SUBSTITUTE(SUBSTITUTE(SUBSTITUTE(SUBSTITUTE(SUBSTITUTE(SUBSTITUTE(SUBSTITUTE(SUBSTITUTE(SUBSTITUTE(LOWER(AE510&amp;""),CHAR(160),"")," ",""),".",""),"-",""),"/",""),"?",""),"_",""),",",""),"[",""),"]",""),"(",""),")",""),"*","")</f>
        <v/>
      </c>
      <c r="AY510" s="61" t="str">
        <f aca="false">SUBSTITUTE(SUBSTITUTE(SUBSTITUTE(SUBSTITUTE(SUBSTITUTE(SUBSTITUTE(SUBSTITUTE(SUBSTITUTE(SUBSTITUTE(SUBSTITUTE(SUBSTITUTE(SUBSTITUTE(SUBSTITUTE(LOWER(W510&amp;""),CHAR(160),"")," ",""),".",""),"-",""),"/",""),"?",""),"_",""),",",""),"[",""),"]",""),"(",""),")",""),"*","")</f>
        <v/>
      </c>
      <c r="AZ510" s="61" t="str">
        <f aca="false">SUBSTITUTE(SUBSTITUTE(SUBSTITUTE(SUBSTITUTE(SUBSTITUTE(SUBSTITUTE(SUBSTITUTE(SUBSTITUTE(SUBSTITUTE(SUBSTITUTE(SUBSTITUTE(SUBSTITUTE(SUBSTITUTE(LOWER(AC510&amp;""),CHAR(160),"")," ",""),".",""),"-",""),"/",""),"?",""),"_",""),",",""),"[",""),"]",""),"(",""),")",""),"*","")</f>
        <v/>
      </c>
      <c r="BA510" s="61" t="str">
        <f aca="false">SUBSTITUTE(SUBSTITUTE(SUBSTITUTE(SUBSTITUTE(SUBSTITUTE(SUBSTITUTE(SUBSTITUTE(SUBSTITUTE(SUBSTITUTE(SUBSTITUTE(SUBSTITUTE(SUBSTITUTE(SUBSTITUTE(LOWER(AA510&amp;""),CHAR(160),"")," ",""),".",""),"-",""),"/",""),"?",""),"_",""),",",""),"[",""),"]",""),"(",""),")",""),"*","")</f>
        <v/>
      </c>
      <c r="BB510" s="61" t="str">
        <f aca="false">IF(AND(TRIM(U510)="Pass",ISNUMBER(AF510)),IF(AF510&lt;&gt;0,"INVALID – qty variance: use Fail or Pass after CA",""),"")&amp;IF(AND(TRIM(U510)="Pass after CA",ISNUMBER(AF510)),IF(AF510&lt;&gt;0,"INVALID – after the corrective action the actual qty must equal expected (update Actual)",""),"")&amp;IF(AND(TRIM(U510)="Pass",TRIM(AB510)&lt;&gt;"",TRIM(AB510)&lt;&gt;"Closed"),"INVALID – corrective action not closed: use Fail, then Pass after CA","")&amp;IF(AND(TRIM(AA510)&lt;&gt;"",TRIM(AB510)=""),"INVALID – CA status missing for the recorded corrective action","")&amp;IF(AND(TRIM(U510)="Pass after CA",OR(OR(LEN(BA510)&lt;5,ISNUMBER(MATCH(BA510,L_Placeholder,0))),TRIM(AB510)&lt;&gt;"Closed")),"INVALID – corrective action not recorded/closed","")</f>
        <v/>
      </c>
    </row>
    <row r="511" customFormat="false" ht="39.75" hidden="false" customHeight="true" outlineLevel="0" collapsed="false">
      <c r="A511" s="57" t="s">
        <v>1144</v>
      </c>
      <c r="B511" s="57" t="s">
        <v>277</v>
      </c>
      <c r="C511" s="57" t="str">
        <f aca="false">Flights!$F$20</f>
        <v>MH0072</v>
      </c>
      <c r="D511" s="58" t="n">
        <f aca="false">Flights!$D$20</f>
        <v>46321</v>
      </c>
      <c r="E511" s="57" t="str">
        <f aca="false">Flights!$G$20&amp;"-"&amp;Flights!$H$20</f>
        <v>KUL-HKG</v>
      </c>
      <c r="F511" s="57" t="str">
        <f aca="false">Flights!$K$20</f>
        <v>EY</v>
      </c>
      <c r="G511" s="57" t="s">
        <v>79</v>
      </c>
      <c r="H511" s="57" t="s">
        <v>356</v>
      </c>
      <c r="I511" s="57" t="s">
        <v>376</v>
      </c>
      <c r="J511" s="57" t="s">
        <v>380</v>
      </c>
      <c r="K511" s="67" t="s">
        <v>381</v>
      </c>
      <c r="L511" s="67" t="s">
        <v>360</v>
      </c>
      <c r="M511" s="67"/>
      <c r="N511" s="67" t="s">
        <v>361</v>
      </c>
      <c r="O511" s="67"/>
      <c r="P511" s="57" t="s">
        <v>184</v>
      </c>
      <c r="Q511" s="59" t="n">
        <f aca="false">ROUND((Flights!$AC$20)*1440,0)/1440</f>
        <v>46314.0486111111</v>
      </c>
      <c r="R511" s="59" t="n">
        <f aca="false">Q511+(IF(AND(INDEX(TZ_DSTS,MATCH(P511,TZ_STN,0))&lt;&gt;"",Q511&gt;=INDEX(TZ_DSTS,MATCH(P511,TZ_STN,0)),Q511&lt;INDEX(TZ_DSTE,MATCH(P511,TZ_STN,0))),INDEX(TZ_DST,MATCH(P511,TZ_STN,0)),INDEX(TZ_STD,MATCH(P511,TZ_STN,0))))/24</f>
        <v>46314.3819444444</v>
      </c>
      <c r="S511" s="59" t="n">
        <f aca="false">Q511-T7EarlyD*24/24</f>
        <v>46300.0486111111</v>
      </c>
      <c r="T511" s="60"/>
      <c r="U511" s="60"/>
      <c r="V511" s="60"/>
      <c r="W511" s="61"/>
      <c r="X511" s="60"/>
      <c r="Y511" s="60"/>
      <c r="Z511" s="60"/>
      <c r="AA511" s="60"/>
      <c r="AB511" s="60"/>
      <c r="AC511" s="60"/>
      <c r="AD511" s="66"/>
      <c r="AE511" s="60"/>
      <c r="AF511" s="61" t="str">
        <f aca="false">IF(AND(ISNUMBER(X511),ISNUMBER(Y511)),Y511-X511,"")</f>
        <v/>
      </c>
      <c r="AG511" s="62" t="str">
        <f aca="false">IF(ISNUMBER(AD511),AD511-(IF(AND(INDEX(TZ_DSTS,MATCH(P511,TZ_STN,0))&lt;&gt;"",(AD511-INDEX(TZ_STD,MATCH(P511,TZ_STN,0))/24)&gt;=INDEX(TZ_DSTS,MATCH(P511,TZ_STN,0)),(AD511-INDEX(TZ_STD,MATCH(P511,TZ_STN,0))/24)&lt;INDEX(TZ_DSTE,MATCH(P511,TZ_STN,0))),INDEX(TZ_DST,MATCH(P511,TZ_STN,0)),INDEX(TZ_STD,MATCH(P511,TZ_STN,0))))/24,"")</f>
        <v/>
      </c>
      <c r="AH511" s="65" t="str">
        <f aca="false">IFERROR(IF(N511="N/A – rule","N/A – RULE",IF(TRIM(U511)="N/A",IF(AT511=0,"INVALID – N/A not permitted for this check",IF(AND(TRIM(AB511)&lt;&gt;"",TRIM(AB511)&lt;&gt;"Closed"),"INVALID – corrective action still open",IF(AND(NOT(OR(LEN(AZ511)&lt;15,ISNUMBER(MATCH(AZ511,L_Placeholder,0)))),NOT(OR(LEN(AU511)&lt;2,ISNUMBER(MATCH(AU511,L_Placeholder,0)))),NOT(OR(LEN(AX511)&lt;2,ISNUMBER(MATCH(AX511,L_Placeholder,0)))),TRIM(AE511)&lt;&gt;TRIM(T511)),"N/A – JUSTIFIED","INVALID – N/A needs a real justification (15+ chars), PIC and a different verifier"))),IF(OR(TRIM(U511)="Pass",TRIM(U511)="Pass after CA"),IF(NOT(ISNUMBER(AD511)),"INVALID – completion time missing",IF(OR(LEN(AU511)&lt;2,ISNUMBER(MATCH(AU511,L_Placeholder,0))),"INVALID – PIC missing",IF(OR(LEN(AV511)&lt;2,ISNUMBER(MATCH(AV511,L_Placeholder,0))),"INVALID – result / assessment missing",IF(OR(OR(LEN(AW511)&lt;3,ISNUMBER(MATCH(AW511,L_Placeholder,0))),SUMPRODUCT(--ISNUMBER(SEARCH(L_EvidencePhrase,AW511)))&gt;0),"INVALID – evidence missing, placeholder or not yet on file",IF(OR(LEN(AX511)&lt;2,ISNUMBER(MATCH(AX511,L_Placeholder,0))),"INVALID – verifier missing",IF(AX511=AU511,"INVALID – verifier must be someone other than the PIC",IF(AND(TRIM(U511)="Pass",SUMPRODUCT(--ISNUMBER(SEARCH(L_ResultBad,AV511)))&gt;0),"INVALID – result describes a problem: use Fail, then Pass after CA",IF(AND(AQ511=1,OR(LEN(AY511)&lt;3,ISNUMBER(MATCH(AY511,L_Placeholder,0)))),"INVALID – batch ID missing or placeholder",IF(AND(AR511=1,OR(NOT(ISNUMBER(X511)),NOT(ISNUMBER(Y511)))),"INVALID – expected/actual qty missing",IF(AND(AR511=1,OR(X511&lt;=0,Y511&lt;0)),"INVALID – expected qty must be above 0 and actual not negative",IF(BB511&lt;&gt;"",BB511,IF(AND(AS511=1,Documents!$J$20&lt;&gt;"ON FILE"),"INVALID – GLD not on file (Documents sheet)",IF(AND(AS511=2,Documents!$O$20&lt;&gt;"ON FILE"),"INVALID – menu checklist not on file (Documents sheet)",IF(AND(AS511=3,NOT(ISNUMBER(Flights!$AX$20))),"INVALID – enter carrying flight KUL departure (Flights AX)",IF(AND(AS511=3,OR(Flights!$AZ$20&gt;Flights!$AA$20,Flights!$AX$20&lt;Flights!$AA$20-3)),"INVALID – carrying flight (Flights AX) cannot arrive before this leg's STD, or is over 3 days early",IF(AG511&gt;AsOfUTC,"INVALID – completion time is in the future",IF(AND(ISNUMBER(S511),AG511&lt;S511),IF(H511="Physical uplift","INVALID – before uplift window (cannot confirm loading)","INVALID – before valid window"),IF(AG511&gt;Flights!$AA$20,"INVALID – completed after departure (cannot establish readiness)",IF(AND(H511="Preparation",AG511&gt;IF(ISNUMBER(Flights!$BA$20),MIN(Flights!$BA$20,Flights!$AA$20),Flights!$AA$20)),"INVALID – completed after loading / departure (cannot establish readiness)",IF(AND(H511="Physical uplift",AG511&gt;Q511),"INVALID – recorded after the loading flight departed",IF(AG511&gt;Q511,"COMPLETE – LATE","COMPLETE"))))))))))))))))))))),IF(TRIM(U511)="Fail","FAIL – DISCREPANCY",IF(AND(TRIM(U511)&lt;&gt;"",TRIM(U511)&lt;&gt;"Not started",TRIM(U511)&lt;&gt;"In progress"),"INVALID – unrecognised status (use the list)",IF(AsOfUTC&gt;Q511,"OVERDUE",IF(N511="Clarification required","OPEN – CLARIFICATION","OPEN"))))))),"INVALID – error value in an input cell")</f>
        <v>OPEN</v>
      </c>
      <c r="AI511" s="61" t="n">
        <f aca="false">IF(OR(AH511="N/A – RULE",AH511="N/A – JUSTIFIED"),0,1)</f>
        <v>1</v>
      </c>
      <c r="AJ511" s="61" t="n">
        <f aca="false">IF(LEFT(AH511,8)="COMPLETE",1,0)</f>
        <v>0</v>
      </c>
      <c r="AK511" s="61" t="n">
        <f aca="false">IF(AND(AI511=1,AJ511=0,AsOfUTC&gt;Q511),1,0)</f>
        <v>0</v>
      </c>
      <c r="AL511" s="61" t="n">
        <f aca="false">IFERROR(IF(AND(AI511=1,OR(TRIM(U511)="Fail",AND(TRIM(AB511)&lt;&gt;"",TRIM(AB511)&lt;&gt;"Closed"),AND(ISNUMBER(AF511),AF511&lt;&gt;0,TRIM(U511)&lt;&gt;"Pass after CA"))),1,0),1)</f>
        <v>0</v>
      </c>
      <c r="AM511" s="61" t="n">
        <f aca="false">IF(LEFT(AH511,7)="INVALID",1,0)</f>
        <v>0</v>
      </c>
      <c r="AN511" s="61" t="n">
        <f aca="false">IF(AND(N511="Clarification required",AI511=1,AJ511=0),1,0)</f>
        <v>0</v>
      </c>
      <c r="AO511" s="61" t="str">
        <f aca="false">IF(AK511=1,SUM(AK$5:AK511),"")</f>
        <v/>
      </c>
      <c r="AP511" s="61" t="str">
        <f aca="false">IF(AL511=1,SUM(AL$5:AL511),"")</f>
        <v/>
      </c>
      <c r="AQ511" s="61" t="n">
        <v>0</v>
      </c>
      <c r="AR511" s="61" t="n">
        <v>0</v>
      </c>
      <c r="AS511" s="61" t="n">
        <v>0</v>
      </c>
      <c r="AT511" s="61" t="n">
        <v>0</v>
      </c>
      <c r="AU511" s="61" t="str">
        <f aca="false">SUBSTITUTE(SUBSTITUTE(SUBSTITUTE(SUBSTITUTE(SUBSTITUTE(SUBSTITUTE(SUBSTITUTE(SUBSTITUTE(SUBSTITUTE(SUBSTITUTE(SUBSTITUTE(SUBSTITUTE(SUBSTITUTE(LOWER(T511&amp;""),CHAR(160),"")," ",""),".",""),"-",""),"/",""),"?",""),"_",""),",",""),"[",""),"]",""),"(",""),")",""),"*","")</f>
        <v/>
      </c>
      <c r="AV511" s="61" t="str">
        <f aca="false">SUBSTITUTE(SUBSTITUTE(SUBSTITUTE(SUBSTITUTE(SUBSTITUTE(SUBSTITUTE(SUBSTITUTE(SUBSTITUTE(SUBSTITUTE(SUBSTITUTE(SUBSTITUTE(SUBSTITUTE(SUBSTITUTE(LOWER(V511&amp;""),CHAR(160),"")," ",""),".",""),"-",""),"/",""),"?",""),"_",""),",",""),"[",""),"]",""),"(",""),")",""),"*","")</f>
        <v/>
      </c>
      <c r="AW511" s="61" t="str">
        <f aca="false">SUBSTITUTE(SUBSTITUTE(SUBSTITUTE(SUBSTITUTE(SUBSTITUTE(SUBSTITUTE(SUBSTITUTE(SUBSTITUTE(SUBSTITUTE(SUBSTITUTE(SUBSTITUTE(SUBSTITUTE(SUBSTITUTE(LOWER(Z511&amp;""),CHAR(160),"")," ",""),".",""),"-",""),"/",""),"?",""),"_",""),",",""),"[",""),"]",""),"(",""),")",""),"*","")</f>
        <v/>
      </c>
      <c r="AX511" s="61" t="str">
        <f aca="false">SUBSTITUTE(SUBSTITUTE(SUBSTITUTE(SUBSTITUTE(SUBSTITUTE(SUBSTITUTE(SUBSTITUTE(SUBSTITUTE(SUBSTITUTE(SUBSTITUTE(SUBSTITUTE(SUBSTITUTE(SUBSTITUTE(LOWER(AE511&amp;""),CHAR(160),"")," ",""),".",""),"-",""),"/",""),"?",""),"_",""),",",""),"[",""),"]",""),"(",""),")",""),"*","")</f>
        <v/>
      </c>
      <c r="AY511" s="61" t="str">
        <f aca="false">SUBSTITUTE(SUBSTITUTE(SUBSTITUTE(SUBSTITUTE(SUBSTITUTE(SUBSTITUTE(SUBSTITUTE(SUBSTITUTE(SUBSTITUTE(SUBSTITUTE(SUBSTITUTE(SUBSTITUTE(SUBSTITUTE(LOWER(W511&amp;""),CHAR(160),"")," ",""),".",""),"-",""),"/",""),"?",""),"_",""),",",""),"[",""),"]",""),"(",""),")",""),"*","")</f>
        <v/>
      </c>
      <c r="AZ511" s="61" t="str">
        <f aca="false">SUBSTITUTE(SUBSTITUTE(SUBSTITUTE(SUBSTITUTE(SUBSTITUTE(SUBSTITUTE(SUBSTITUTE(SUBSTITUTE(SUBSTITUTE(SUBSTITUTE(SUBSTITUTE(SUBSTITUTE(SUBSTITUTE(LOWER(AC511&amp;""),CHAR(160),"")," ",""),".",""),"-",""),"/",""),"?",""),"_",""),",",""),"[",""),"]",""),"(",""),")",""),"*","")</f>
        <v/>
      </c>
      <c r="BA511" s="61" t="str">
        <f aca="false">SUBSTITUTE(SUBSTITUTE(SUBSTITUTE(SUBSTITUTE(SUBSTITUTE(SUBSTITUTE(SUBSTITUTE(SUBSTITUTE(SUBSTITUTE(SUBSTITUTE(SUBSTITUTE(SUBSTITUTE(SUBSTITUTE(LOWER(AA511&amp;""),CHAR(160),"")," ",""),".",""),"-",""),"/",""),"?",""),"_",""),",",""),"[",""),"]",""),"(",""),")",""),"*","")</f>
        <v/>
      </c>
      <c r="BB511" s="61" t="str">
        <f aca="false">IF(AND(TRIM(U511)="Pass",ISNUMBER(AF511)),IF(AF511&lt;&gt;0,"INVALID – qty variance: use Fail or Pass after CA",""),"")&amp;IF(AND(TRIM(U511)="Pass after CA",ISNUMBER(AF511)),IF(AF511&lt;&gt;0,"INVALID – after the corrective action the actual qty must equal expected (update Actual)",""),"")&amp;IF(AND(TRIM(U511)="Pass",TRIM(AB511)&lt;&gt;"",TRIM(AB511)&lt;&gt;"Closed"),"INVALID – corrective action not closed: use Fail, then Pass after CA","")&amp;IF(AND(TRIM(AA511)&lt;&gt;"",TRIM(AB511)=""),"INVALID – CA status missing for the recorded corrective action","")&amp;IF(AND(TRIM(U511)="Pass after CA",OR(OR(LEN(BA511)&lt;5,ISNUMBER(MATCH(BA511,L_Placeholder,0))),TRIM(AB511)&lt;&gt;"Closed")),"INVALID – corrective action not recorded/closed","")</f>
        <v/>
      </c>
    </row>
    <row r="512" customFormat="false" ht="39.75" hidden="false" customHeight="true" outlineLevel="0" collapsed="false">
      <c r="A512" s="57" t="s">
        <v>1145</v>
      </c>
      <c r="B512" s="57" t="s">
        <v>277</v>
      </c>
      <c r="C512" s="57" t="str">
        <f aca="false">Flights!$F$20</f>
        <v>MH0072</v>
      </c>
      <c r="D512" s="58" t="n">
        <f aca="false">Flights!$D$20</f>
        <v>46321</v>
      </c>
      <c r="E512" s="57" t="str">
        <f aca="false">Flights!$G$20&amp;"-"&amp;Flights!$H$20</f>
        <v>KUL-HKG</v>
      </c>
      <c r="F512" s="57" t="str">
        <f aca="false">Flights!$K$20</f>
        <v>EY</v>
      </c>
      <c r="G512" s="57" t="s">
        <v>79</v>
      </c>
      <c r="H512" s="57" t="s">
        <v>356</v>
      </c>
      <c r="I512" s="57" t="s">
        <v>383</v>
      </c>
      <c r="J512" s="57" t="s">
        <v>384</v>
      </c>
      <c r="K512" s="67" t="s">
        <v>385</v>
      </c>
      <c r="L512" s="67" t="s">
        <v>360</v>
      </c>
      <c r="M512" s="67"/>
      <c r="N512" s="67" t="s">
        <v>361</v>
      </c>
      <c r="O512" s="67"/>
      <c r="P512" s="57" t="s">
        <v>184</v>
      </c>
      <c r="Q512" s="59" t="n">
        <f aca="false">ROUND((Flights!$AC$20)*1440,0)/1440</f>
        <v>46314.0486111111</v>
      </c>
      <c r="R512" s="59" t="n">
        <f aca="false">Q512+(IF(AND(INDEX(TZ_DSTS,MATCH(P512,TZ_STN,0))&lt;&gt;"",Q512&gt;=INDEX(TZ_DSTS,MATCH(P512,TZ_STN,0)),Q512&lt;INDEX(TZ_DSTE,MATCH(P512,TZ_STN,0))),INDEX(TZ_DST,MATCH(P512,TZ_STN,0)),INDEX(TZ_STD,MATCH(P512,TZ_STN,0))))/24</f>
        <v>46314.3819444444</v>
      </c>
      <c r="S512" s="59" t="n">
        <f aca="false">Q512-T7EarlyD*24/24</f>
        <v>46300.0486111111</v>
      </c>
      <c r="T512" s="60"/>
      <c r="U512" s="60"/>
      <c r="V512" s="60"/>
      <c r="W512" s="61"/>
      <c r="X512" s="60"/>
      <c r="Y512" s="60"/>
      <c r="Z512" s="60"/>
      <c r="AA512" s="60"/>
      <c r="AB512" s="60"/>
      <c r="AC512" s="60"/>
      <c r="AD512" s="66"/>
      <c r="AE512" s="60"/>
      <c r="AF512" s="61" t="str">
        <f aca="false">IF(AND(ISNUMBER(X512),ISNUMBER(Y512)),Y512-X512,"")</f>
        <v/>
      </c>
      <c r="AG512" s="62" t="str">
        <f aca="false">IF(ISNUMBER(AD512),AD512-(IF(AND(INDEX(TZ_DSTS,MATCH(P512,TZ_STN,0))&lt;&gt;"",(AD512-INDEX(TZ_STD,MATCH(P512,TZ_STN,0))/24)&gt;=INDEX(TZ_DSTS,MATCH(P512,TZ_STN,0)),(AD512-INDEX(TZ_STD,MATCH(P512,TZ_STN,0))/24)&lt;INDEX(TZ_DSTE,MATCH(P512,TZ_STN,0))),INDEX(TZ_DST,MATCH(P512,TZ_STN,0)),INDEX(TZ_STD,MATCH(P512,TZ_STN,0))))/24,"")</f>
        <v/>
      </c>
      <c r="AH512" s="65" t="str">
        <f aca="false">IFERROR(IF(N512="N/A – rule","N/A – RULE",IF(TRIM(U512)="N/A",IF(AT512=0,"INVALID – N/A not permitted for this check",IF(AND(TRIM(AB512)&lt;&gt;"",TRIM(AB512)&lt;&gt;"Closed"),"INVALID – corrective action still open",IF(AND(NOT(OR(LEN(AZ512)&lt;15,ISNUMBER(MATCH(AZ512,L_Placeholder,0)))),NOT(OR(LEN(AU512)&lt;2,ISNUMBER(MATCH(AU512,L_Placeholder,0)))),NOT(OR(LEN(AX512)&lt;2,ISNUMBER(MATCH(AX512,L_Placeholder,0)))),TRIM(AE512)&lt;&gt;TRIM(T512)),"N/A – JUSTIFIED","INVALID – N/A needs a real justification (15+ chars), PIC and a different verifier"))),IF(OR(TRIM(U512)="Pass",TRIM(U512)="Pass after CA"),IF(NOT(ISNUMBER(AD512)),"INVALID – completion time missing",IF(OR(LEN(AU512)&lt;2,ISNUMBER(MATCH(AU512,L_Placeholder,0))),"INVALID – PIC missing",IF(OR(LEN(AV512)&lt;2,ISNUMBER(MATCH(AV512,L_Placeholder,0))),"INVALID – result / assessment missing",IF(OR(OR(LEN(AW512)&lt;3,ISNUMBER(MATCH(AW512,L_Placeholder,0))),SUMPRODUCT(--ISNUMBER(SEARCH(L_EvidencePhrase,AW512)))&gt;0),"INVALID – evidence missing, placeholder or not yet on file",IF(OR(LEN(AX512)&lt;2,ISNUMBER(MATCH(AX512,L_Placeholder,0))),"INVALID – verifier missing",IF(AX512=AU512,"INVALID – verifier must be someone other than the PIC",IF(AND(TRIM(U512)="Pass",SUMPRODUCT(--ISNUMBER(SEARCH(L_ResultBad,AV512)))&gt;0),"INVALID – result describes a problem: use Fail, then Pass after CA",IF(AND(AQ512=1,OR(LEN(AY512)&lt;3,ISNUMBER(MATCH(AY512,L_Placeholder,0)))),"INVALID – batch ID missing or placeholder",IF(AND(AR512=1,OR(NOT(ISNUMBER(X512)),NOT(ISNUMBER(Y512)))),"INVALID – expected/actual qty missing",IF(AND(AR512=1,OR(X512&lt;=0,Y512&lt;0)),"INVALID – expected qty must be above 0 and actual not negative",IF(BB512&lt;&gt;"",BB512,IF(AND(AS512=1,Documents!$J$20&lt;&gt;"ON FILE"),"INVALID – GLD not on file (Documents sheet)",IF(AND(AS512=2,Documents!$O$20&lt;&gt;"ON FILE"),"INVALID – menu checklist not on file (Documents sheet)",IF(AND(AS512=3,NOT(ISNUMBER(Flights!$AX$20))),"INVALID – enter carrying flight KUL departure (Flights AX)",IF(AND(AS512=3,OR(Flights!$AZ$20&gt;Flights!$AA$20,Flights!$AX$20&lt;Flights!$AA$20-3)),"INVALID – carrying flight (Flights AX) cannot arrive before this leg's STD, or is over 3 days early",IF(AG512&gt;AsOfUTC,"INVALID – completion time is in the future",IF(AND(ISNUMBER(S512),AG512&lt;S512),IF(H512="Physical uplift","INVALID – before uplift window (cannot confirm loading)","INVALID – before valid window"),IF(AG512&gt;Flights!$AA$20,"INVALID – completed after departure (cannot establish readiness)",IF(AND(H512="Preparation",AG512&gt;IF(ISNUMBER(Flights!$BA$20),MIN(Flights!$BA$20,Flights!$AA$20),Flights!$AA$20)),"INVALID – completed after loading / departure (cannot establish readiness)",IF(AND(H512="Physical uplift",AG512&gt;Q512),"INVALID – recorded after the loading flight departed",IF(AG512&gt;Q512,"COMPLETE – LATE","COMPLETE"))))))))))))))))))))),IF(TRIM(U512)="Fail","FAIL – DISCREPANCY",IF(AND(TRIM(U512)&lt;&gt;"",TRIM(U512)&lt;&gt;"Not started",TRIM(U512)&lt;&gt;"In progress"),"INVALID – unrecognised status (use the list)",IF(AsOfUTC&gt;Q512,"OVERDUE",IF(N512="Clarification required","OPEN – CLARIFICATION","OPEN"))))))),"INVALID – error value in an input cell")</f>
        <v>OPEN</v>
      </c>
      <c r="AI512" s="61" t="n">
        <f aca="false">IF(OR(AH512="N/A – RULE",AH512="N/A – JUSTIFIED"),0,1)</f>
        <v>1</v>
      </c>
      <c r="AJ512" s="61" t="n">
        <f aca="false">IF(LEFT(AH512,8)="COMPLETE",1,0)</f>
        <v>0</v>
      </c>
      <c r="AK512" s="61" t="n">
        <f aca="false">IF(AND(AI512=1,AJ512=0,AsOfUTC&gt;Q512),1,0)</f>
        <v>0</v>
      </c>
      <c r="AL512" s="61" t="n">
        <f aca="false">IFERROR(IF(AND(AI512=1,OR(TRIM(U512)="Fail",AND(TRIM(AB512)&lt;&gt;"",TRIM(AB512)&lt;&gt;"Closed"),AND(ISNUMBER(AF512),AF512&lt;&gt;0,TRIM(U512)&lt;&gt;"Pass after CA"))),1,0),1)</f>
        <v>0</v>
      </c>
      <c r="AM512" s="61" t="n">
        <f aca="false">IF(LEFT(AH512,7)="INVALID",1,0)</f>
        <v>0</v>
      </c>
      <c r="AN512" s="61" t="n">
        <f aca="false">IF(AND(N512="Clarification required",AI512=1,AJ512=0),1,0)</f>
        <v>0</v>
      </c>
      <c r="AO512" s="61" t="str">
        <f aca="false">IF(AK512=1,SUM(AK$5:AK512),"")</f>
        <v/>
      </c>
      <c r="AP512" s="61" t="str">
        <f aca="false">IF(AL512=1,SUM(AL$5:AL512),"")</f>
        <v/>
      </c>
      <c r="AQ512" s="61" t="n">
        <v>0</v>
      </c>
      <c r="AR512" s="61" t="n">
        <v>0</v>
      </c>
      <c r="AS512" s="61" t="n">
        <v>1</v>
      </c>
      <c r="AT512" s="61" t="n">
        <v>0</v>
      </c>
      <c r="AU512" s="61" t="str">
        <f aca="false">SUBSTITUTE(SUBSTITUTE(SUBSTITUTE(SUBSTITUTE(SUBSTITUTE(SUBSTITUTE(SUBSTITUTE(SUBSTITUTE(SUBSTITUTE(SUBSTITUTE(SUBSTITUTE(SUBSTITUTE(SUBSTITUTE(LOWER(T512&amp;""),CHAR(160),"")," ",""),".",""),"-",""),"/",""),"?",""),"_",""),",",""),"[",""),"]",""),"(",""),")",""),"*","")</f>
        <v/>
      </c>
      <c r="AV512" s="61" t="str">
        <f aca="false">SUBSTITUTE(SUBSTITUTE(SUBSTITUTE(SUBSTITUTE(SUBSTITUTE(SUBSTITUTE(SUBSTITUTE(SUBSTITUTE(SUBSTITUTE(SUBSTITUTE(SUBSTITUTE(SUBSTITUTE(SUBSTITUTE(LOWER(V512&amp;""),CHAR(160),"")," ",""),".",""),"-",""),"/",""),"?",""),"_",""),",",""),"[",""),"]",""),"(",""),")",""),"*","")</f>
        <v/>
      </c>
      <c r="AW512" s="61" t="str">
        <f aca="false">SUBSTITUTE(SUBSTITUTE(SUBSTITUTE(SUBSTITUTE(SUBSTITUTE(SUBSTITUTE(SUBSTITUTE(SUBSTITUTE(SUBSTITUTE(SUBSTITUTE(SUBSTITUTE(SUBSTITUTE(SUBSTITUTE(LOWER(Z512&amp;""),CHAR(160),"")," ",""),".",""),"-",""),"/",""),"?",""),"_",""),",",""),"[",""),"]",""),"(",""),")",""),"*","")</f>
        <v/>
      </c>
      <c r="AX512" s="61" t="str">
        <f aca="false">SUBSTITUTE(SUBSTITUTE(SUBSTITUTE(SUBSTITUTE(SUBSTITUTE(SUBSTITUTE(SUBSTITUTE(SUBSTITUTE(SUBSTITUTE(SUBSTITUTE(SUBSTITUTE(SUBSTITUTE(SUBSTITUTE(LOWER(AE512&amp;""),CHAR(160),"")," ",""),".",""),"-",""),"/",""),"?",""),"_",""),",",""),"[",""),"]",""),"(",""),")",""),"*","")</f>
        <v/>
      </c>
      <c r="AY512" s="61" t="str">
        <f aca="false">SUBSTITUTE(SUBSTITUTE(SUBSTITUTE(SUBSTITUTE(SUBSTITUTE(SUBSTITUTE(SUBSTITUTE(SUBSTITUTE(SUBSTITUTE(SUBSTITUTE(SUBSTITUTE(SUBSTITUTE(SUBSTITUTE(LOWER(W512&amp;""),CHAR(160),"")," ",""),".",""),"-",""),"/",""),"?",""),"_",""),",",""),"[",""),"]",""),"(",""),")",""),"*","")</f>
        <v/>
      </c>
      <c r="AZ512" s="61" t="str">
        <f aca="false">SUBSTITUTE(SUBSTITUTE(SUBSTITUTE(SUBSTITUTE(SUBSTITUTE(SUBSTITUTE(SUBSTITUTE(SUBSTITUTE(SUBSTITUTE(SUBSTITUTE(SUBSTITUTE(SUBSTITUTE(SUBSTITUTE(LOWER(AC512&amp;""),CHAR(160),"")," ",""),".",""),"-",""),"/",""),"?",""),"_",""),",",""),"[",""),"]",""),"(",""),")",""),"*","")</f>
        <v/>
      </c>
      <c r="BA512" s="61" t="str">
        <f aca="false">SUBSTITUTE(SUBSTITUTE(SUBSTITUTE(SUBSTITUTE(SUBSTITUTE(SUBSTITUTE(SUBSTITUTE(SUBSTITUTE(SUBSTITUTE(SUBSTITUTE(SUBSTITUTE(SUBSTITUTE(SUBSTITUTE(LOWER(AA512&amp;""),CHAR(160),"")," ",""),".",""),"-",""),"/",""),"?",""),"_",""),",",""),"[",""),"]",""),"(",""),")",""),"*","")</f>
        <v/>
      </c>
      <c r="BB512" s="61" t="str">
        <f aca="false">IF(AND(TRIM(U512)="Pass",ISNUMBER(AF512)),IF(AF512&lt;&gt;0,"INVALID – qty variance: use Fail or Pass after CA",""),"")&amp;IF(AND(TRIM(U512)="Pass after CA",ISNUMBER(AF512)),IF(AF512&lt;&gt;0,"INVALID – after the corrective action the actual qty must equal expected (update Actual)",""),"")&amp;IF(AND(TRIM(U512)="Pass",TRIM(AB512)&lt;&gt;"",TRIM(AB512)&lt;&gt;"Closed"),"INVALID – corrective action not closed: use Fail, then Pass after CA","")&amp;IF(AND(TRIM(AA512)&lt;&gt;"",TRIM(AB512)=""),"INVALID – CA status missing for the recorded corrective action","")&amp;IF(AND(TRIM(U512)="Pass after CA",OR(OR(LEN(BA512)&lt;5,ISNUMBER(MATCH(BA512,L_Placeholder,0))),TRIM(AB512)&lt;&gt;"Closed")),"INVALID – corrective action not recorded/closed","")</f>
        <v/>
      </c>
    </row>
    <row r="513" customFormat="false" ht="39.75" hidden="false" customHeight="true" outlineLevel="0" collapsed="false">
      <c r="A513" s="57" t="s">
        <v>1146</v>
      </c>
      <c r="B513" s="57" t="s">
        <v>277</v>
      </c>
      <c r="C513" s="57" t="str">
        <f aca="false">Flights!$F$20</f>
        <v>MH0072</v>
      </c>
      <c r="D513" s="58" t="n">
        <f aca="false">Flights!$D$20</f>
        <v>46321</v>
      </c>
      <c r="E513" s="57" t="str">
        <f aca="false">Flights!$G$20&amp;"-"&amp;Flights!$H$20</f>
        <v>KUL-HKG</v>
      </c>
      <c r="F513" s="57" t="str">
        <f aca="false">Flights!$K$20</f>
        <v>EY</v>
      </c>
      <c r="G513" s="57" t="s">
        <v>79</v>
      </c>
      <c r="H513" s="57" t="s">
        <v>356</v>
      </c>
      <c r="I513" s="57" t="s">
        <v>383</v>
      </c>
      <c r="J513" s="57" t="s">
        <v>387</v>
      </c>
      <c r="K513" s="67" t="s">
        <v>385</v>
      </c>
      <c r="L513" s="67" t="s">
        <v>360</v>
      </c>
      <c r="M513" s="67"/>
      <c r="N513" s="67" t="s">
        <v>361</v>
      </c>
      <c r="O513" s="67"/>
      <c r="P513" s="57" t="s">
        <v>184</v>
      </c>
      <c r="Q513" s="59" t="n">
        <f aca="false">ROUND((Flights!$AC$20)*1440,0)/1440</f>
        <v>46314.0486111111</v>
      </c>
      <c r="R513" s="59" t="n">
        <f aca="false">Q513+(IF(AND(INDEX(TZ_DSTS,MATCH(P513,TZ_STN,0))&lt;&gt;"",Q513&gt;=INDEX(TZ_DSTS,MATCH(P513,TZ_STN,0)),Q513&lt;INDEX(TZ_DSTE,MATCH(P513,TZ_STN,0))),INDEX(TZ_DST,MATCH(P513,TZ_STN,0)),INDEX(TZ_STD,MATCH(P513,TZ_STN,0))))/24</f>
        <v>46314.3819444444</v>
      </c>
      <c r="S513" s="59" t="n">
        <f aca="false">Q513-T7EarlyD*24/24</f>
        <v>46300.0486111111</v>
      </c>
      <c r="T513" s="60"/>
      <c r="U513" s="60"/>
      <c r="V513" s="60"/>
      <c r="W513" s="61"/>
      <c r="X513" s="60"/>
      <c r="Y513" s="60"/>
      <c r="Z513" s="60"/>
      <c r="AA513" s="60"/>
      <c r="AB513" s="60"/>
      <c r="AC513" s="60"/>
      <c r="AD513" s="66"/>
      <c r="AE513" s="60"/>
      <c r="AF513" s="61" t="str">
        <f aca="false">IF(AND(ISNUMBER(X513),ISNUMBER(Y513)),Y513-X513,"")</f>
        <v/>
      </c>
      <c r="AG513" s="62" t="str">
        <f aca="false">IF(ISNUMBER(AD513),AD513-(IF(AND(INDEX(TZ_DSTS,MATCH(P513,TZ_STN,0))&lt;&gt;"",(AD513-INDEX(TZ_STD,MATCH(P513,TZ_STN,0))/24)&gt;=INDEX(TZ_DSTS,MATCH(P513,TZ_STN,0)),(AD513-INDEX(TZ_STD,MATCH(P513,TZ_STN,0))/24)&lt;INDEX(TZ_DSTE,MATCH(P513,TZ_STN,0))),INDEX(TZ_DST,MATCH(P513,TZ_STN,0)),INDEX(TZ_STD,MATCH(P513,TZ_STN,0))))/24,"")</f>
        <v/>
      </c>
      <c r="AH513" s="65" t="str">
        <f aca="false">IFERROR(IF(N513="N/A – rule","N/A – RULE",IF(TRIM(U513)="N/A",IF(AT513=0,"INVALID – N/A not permitted for this check",IF(AND(TRIM(AB513)&lt;&gt;"",TRIM(AB513)&lt;&gt;"Closed"),"INVALID – corrective action still open",IF(AND(NOT(OR(LEN(AZ513)&lt;15,ISNUMBER(MATCH(AZ513,L_Placeholder,0)))),NOT(OR(LEN(AU513)&lt;2,ISNUMBER(MATCH(AU513,L_Placeholder,0)))),NOT(OR(LEN(AX513)&lt;2,ISNUMBER(MATCH(AX513,L_Placeholder,0)))),TRIM(AE513)&lt;&gt;TRIM(T513)),"N/A – JUSTIFIED","INVALID – N/A needs a real justification (15+ chars), PIC and a different verifier"))),IF(OR(TRIM(U513)="Pass",TRIM(U513)="Pass after CA"),IF(NOT(ISNUMBER(AD513)),"INVALID – completion time missing",IF(OR(LEN(AU513)&lt;2,ISNUMBER(MATCH(AU513,L_Placeholder,0))),"INVALID – PIC missing",IF(OR(LEN(AV513)&lt;2,ISNUMBER(MATCH(AV513,L_Placeholder,0))),"INVALID – result / assessment missing",IF(OR(OR(LEN(AW513)&lt;3,ISNUMBER(MATCH(AW513,L_Placeholder,0))),SUMPRODUCT(--ISNUMBER(SEARCH(L_EvidencePhrase,AW513)))&gt;0),"INVALID – evidence missing, placeholder or not yet on file",IF(OR(LEN(AX513)&lt;2,ISNUMBER(MATCH(AX513,L_Placeholder,0))),"INVALID – verifier missing",IF(AX513=AU513,"INVALID – verifier must be someone other than the PIC",IF(AND(TRIM(U513)="Pass",SUMPRODUCT(--ISNUMBER(SEARCH(L_ResultBad,AV513)))&gt;0),"INVALID – result describes a problem: use Fail, then Pass after CA",IF(AND(AQ513=1,OR(LEN(AY513)&lt;3,ISNUMBER(MATCH(AY513,L_Placeholder,0)))),"INVALID – batch ID missing or placeholder",IF(AND(AR513=1,OR(NOT(ISNUMBER(X513)),NOT(ISNUMBER(Y513)))),"INVALID – expected/actual qty missing",IF(AND(AR513=1,OR(X513&lt;=0,Y513&lt;0)),"INVALID – expected qty must be above 0 and actual not negative",IF(BB513&lt;&gt;"",BB513,IF(AND(AS513=1,Documents!$J$20&lt;&gt;"ON FILE"),"INVALID – GLD not on file (Documents sheet)",IF(AND(AS513=2,Documents!$O$20&lt;&gt;"ON FILE"),"INVALID – menu checklist not on file (Documents sheet)",IF(AND(AS513=3,NOT(ISNUMBER(Flights!$AX$20))),"INVALID – enter carrying flight KUL departure (Flights AX)",IF(AND(AS513=3,OR(Flights!$AZ$20&gt;Flights!$AA$20,Flights!$AX$20&lt;Flights!$AA$20-3)),"INVALID – carrying flight (Flights AX) cannot arrive before this leg's STD, or is over 3 days early",IF(AG513&gt;AsOfUTC,"INVALID – completion time is in the future",IF(AND(ISNUMBER(S513),AG513&lt;S513),IF(H513="Physical uplift","INVALID – before uplift window (cannot confirm loading)","INVALID – before valid window"),IF(AG513&gt;Flights!$AA$20,"INVALID – completed after departure (cannot establish readiness)",IF(AND(H513="Preparation",AG513&gt;IF(ISNUMBER(Flights!$BA$20),MIN(Flights!$BA$20,Flights!$AA$20),Flights!$AA$20)),"INVALID – completed after loading / departure (cannot establish readiness)",IF(AND(H513="Physical uplift",AG513&gt;Q513),"INVALID – recorded after the loading flight departed",IF(AG513&gt;Q513,"COMPLETE – LATE","COMPLETE"))))))))))))))))))))),IF(TRIM(U513)="Fail","FAIL – DISCREPANCY",IF(AND(TRIM(U513)&lt;&gt;"",TRIM(U513)&lt;&gt;"Not started",TRIM(U513)&lt;&gt;"In progress"),"INVALID – unrecognised status (use the list)",IF(AsOfUTC&gt;Q513,"OVERDUE",IF(N513="Clarification required","OPEN – CLARIFICATION","OPEN"))))))),"INVALID – error value in an input cell")</f>
        <v>OPEN</v>
      </c>
      <c r="AI513" s="61" t="n">
        <f aca="false">IF(OR(AH513="N/A – RULE",AH513="N/A – JUSTIFIED"),0,1)</f>
        <v>1</v>
      </c>
      <c r="AJ513" s="61" t="n">
        <f aca="false">IF(LEFT(AH513,8)="COMPLETE",1,0)</f>
        <v>0</v>
      </c>
      <c r="AK513" s="61" t="n">
        <f aca="false">IF(AND(AI513=1,AJ513=0,AsOfUTC&gt;Q513),1,0)</f>
        <v>0</v>
      </c>
      <c r="AL513" s="61" t="n">
        <f aca="false">IFERROR(IF(AND(AI513=1,OR(TRIM(U513)="Fail",AND(TRIM(AB513)&lt;&gt;"",TRIM(AB513)&lt;&gt;"Closed"),AND(ISNUMBER(AF513),AF513&lt;&gt;0,TRIM(U513)&lt;&gt;"Pass after CA"))),1,0),1)</f>
        <v>0</v>
      </c>
      <c r="AM513" s="61" t="n">
        <f aca="false">IF(LEFT(AH513,7)="INVALID",1,0)</f>
        <v>0</v>
      </c>
      <c r="AN513" s="61" t="n">
        <f aca="false">IF(AND(N513="Clarification required",AI513=1,AJ513=0),1,0)</f>
        <v>0</v>
      </c>
      <c r="AO513" s="61" t="str">
        <f aca="false">IF(AK513=1,SUM(AK$5:AK513),"")</f>
        <v/>
      </c>
      <c r="AP513" s="61" t="str">
        <f aca="false">IF(AL513=1,SUM(AL$5:AL513),"")</f>
        <v/>
      </c>
      <c r="AQ513" s="61" t="n">
        <v>0</v>
      </c>
      <c r="AR513" s="61" t="n">
        <v>0</v>
      </c>
      <c r="AS513" s="61" t="n">
        <v>2</v>
      </c>
      <c r="AT513" s="61" t="n">
        <v>0</v>
      </c>
      <c r="AU513" s="61" t="str">
        <f aca="false">SUBSTITUTE(SUBSTITUTE(SUBSTITUTE(SUBSTITUTE(SUBSTITUTE(SUBSTITUTE(SUBSTITUTE(SUBSTITUTE(SUBSTITUTE(SUBSTITUTE(SUBSTITUTE(SUBSTITUTE(SUBSTITUTE(LOWER(T513&amp;""),CHAR(160),"")," ",""),".",""),"-",""),"/",""),"?",""),"_",""),",",""),"[",""),"]",""),"(",""),")",""),"*","")</f>
        <v/>
      </c>
      <c r="AV513" s="61" t="str">
        <f aca="false">SUBSTITUTE(SUBSTITUTE(SUBSTITUTE(SUBSTITUTE(SUBSTITUTE(SUBSTITUTE(SUBSTITUTE(SUBSTITUTE(SUBSTITUTE(SUBSTITUTE(SUBSTITUTE(SUBSTITUTE(SUBSTITUTE(LOWER(V513&amp;""),CHAR(160),"")," ",""),".",""),"-",""),"/",""),"?",""),"_",""),",",""),"[",""),"]",""),"(",""),")",""),"*","")</f>
        <v/>
      </c>
      <c r="AW513" s="61" t="str">
        <f aca="false">SUBSTITUTE(SUBSTITUTE(SUBSTITUTE(SUBSTITUTE(SUBSTITUTE(SUBSTITUTE(SUBSTITUTE(SUBSTITUTE(SUBSTITUTE(SUBSTITUTE(SUBSTITUTE(SUBSTITUTE(SUBSTITUTE(LOWER(Z513&amp;""),CHAR(160),"")," ",""),".",""),"-",""),"/",""),"?",""),"_",""),",",""),"[",""),"]",""),"(",""),")",""),"*","")</f>
        <v/>
      </c>
      <c r="AX513" s="61" t="str">
        <f aca="false">SUBSTITUTE(SUBSTITUTE(SUBSTITUTE(SUBSTITUTE(SUBSTITUTE(SUBSTITUTE(SUBSTITUTE(SUBSTITUTE(SUBSTITUTE(SUBSTITUTE(SUBSTITUTE(SUBSTITUTE(SUBSTITUTE(LOWER(AE513&amp;""),CHAR(160),"")," ",""),".",""),"-",""),"/",""),"?",""),"_",""),",",""),"[",""),"]",""),"(",""),")",""),"*","")</f>
        <v/>
      </c>
      <c r="AY513" s="61" t="str">
        <f aca="false">SUBSTITUTE(SUBSTITUTE(SUBSTITUTE(SUBSTITUTE(SUBSTITUTE(SUBSTITUTE(SUBSTITUTE(SUBSTITUTE(SUBSTITUTE(SUBSTITUTE(SUBSTITUTE(SUBSTITUTE(SUBSTITUTE(LOWER(W513&amp;""),CHAR(160),"")," ",""),".",""),"-",""),"/",""),"?",""),"_",""),",",""),"[",""),"]",""),"(",""),")",""),"*","")</f>
        <v/>
      </c>
      <c r="AZ513" s="61" t="str">
        <f aca="false">SUBSTITUTE(SUBSTITUTE(SUBSTITUTE(SUBSTITUTE(SUBSTITUTE(SUBSTITUTE(SUBSTITUTE(SUBSTITUTE(SUBSTITUTE(SUBSTITUTE(SUBSTITUTE(SUBSTITUTE(SUBSTITUTE(LOWER(AC513&amp;""),CHAR(160),"")," ",""),".",""),"-",""),"/",""),"?",""),"_",""),",",""),"[",""),"]",""),"(",""),")",""),"*","")</f>
        <v/>
      </c>
      <c r="BA513" s="61" t="str">
        <f aca="false">SUBSTITUTE(SUBSTITUTE(SUBSTITUTE(SUBSTITUTE(SUBSTITUTE(SUBSTITUTE(SUBSTITUTE(SUBSTITUTE(SUBSTITUTE(SUBSTITUTE(SUBSTITUTE(SUBSTITUTE(SUBSTITUTE(LOWER(AA513&amp;""),CHAR(160),"")," ",""),".",""),"-",""),"/",""),"?",""),"_",""),",",""),"[",""),"]",""),"(",""),")",""),"*","")</f>
        <v/>
      </c>
      <c r="BB513" s="61" t="str">
        <f aca="false">IF(AND(TRIM(U513)="Pass",ISNUMBER(AF513)),IF(AF513&lt;&gt;0,"INVALID – qty variance: use Fail or Pass after CA",""),"")&amp;IF(AND(TRIM(U513)="Pass after CA",ISNUMBER(AF513)),IF(AF513&lt;&gt;0,"INVALID – after the corrective action the actual qty must equal expected (update Actual)",""),"")&amp;IF(AND(TRIM(U513)="Pass",TRIM(AB513)&lt;&gt;"",TRIM(AB513)&lt;&gt;"Closed"),"INVALID – corrective action not closed: use Fail, then Pass after CA","")&amp;IF(AND(TRIM(AA513)&lt;&gt;"",TRIM(AB513)=""),"INVALID – CA status missing for the recorded corrective action","")&amp;IF(AND(TRIM(U513)="Pass after CA",OR(OR(LEN(BA513)&lt;5,ISNUMBER(MATCH(BA513,L_Placeholder,0))),TRIM(AB513)&lt;&gt;"Closed")),"INVALID – corrective action not recorded/closed","")</f>
        <v/>
      </c>
    </row>
    <row r="514" customFormat="false" ht="39.75" hidden="false" customHeight="true" outlineLevel="0" collapsed="false">
      <c r="A514" s="57" t="s">
        <v>1147</v>
      </c>
      <c r="B514" s="57" t="s">
        <v>277</v>
      </c>
      <c r="C514" s="57" t="str">
        <f aca="false">Flights!$F$20</f>
        <v>MH0072</v>
      </c>
      <c r="D514" s="58" t="n">
        <f aca="false">Flights!$D$20</f>
        <v>46321</v>
      </c>
      <c r="E514" s="57" t="str">
        <f aca="false">Flights!$G$20&amp;"-"&amp;Flights!$H$20</f>
        <v>KUL-HKG</v>
      </c>
      <c r="F514" s="57" t="str">
        <f aca="false">Flights!$K$20</f>
        <v>EY</v>
      </c>
      <c r="G514" s="57" t="s">
        <v>79</v>
      </c>
      <c r="H514" s="57" t="s">
        <v>356</v>
      </c>
      <c r="I514" s="57" t="s">
        <v>389</v>
      </c>
      <c r="J514" s="57" t="s">
        <v>390</v>
      </c>
      <c r="K514" s="67" t="s">
        <v>1148</v>
      </c>
      <c r="L514" s="67" t="s">
        <v>1149</v>
      </c>
      <c r="M514" s="67"/>
      <c r="N514" s="67" t="s">
        <v>361</v>
      </c>
      <c r="O514" s="67"/>
      <c r="P514" s="57" t="s">
        <v>184</v>
      </c>
      <c r="Q514" s="59" t="n">
        <f aca="false">ROUND((Flights!$AC$20)*1440,0)/1440</f>
        <v>46314.0486111111</v>
      </c>
      <c r="R514" s="59" t="n">
        <f aca="false">Q514+(IF(AND(INDEX(TZ_DSTS,MATCH(P514,TZ_STN,0))&lt;&gt;"",Q514&gt;=INDEX(TZ_DSTS,MATCH(P514,TZ_STN,0)),Q514&lt;INDEX(TZ_DSTE,MATCH(P514,TZ_STN,0))),INDEX(TZ_DST,MATCH(P514,TZ_STN,0)),INDEX(TZ_STD,MATCH(P514,TZ_STN,0))))/24</f>
        <v>46314.3819444444</v>
      </c>
      <c r="S514" s="59" t="n">
        <f aca="false">Q514-T7EarlyD*24/24</f>
        <v>46300.0486111111</v>
      </c>
      <c r="T514" s="60"/>
      <c r="U514" s="60"/>
      <c r="V514" s="60"/>
      <c r="W514" s="61"/>
      <c r="X514" s="60"/>
      <c r="Y514" s="60"/>
      <c r="Z514" s="60"/>
      <c r="AA514" s="60"/>
      <c r="AB514" s="60"/>
      <c r="AC514" s="60"/>
      <c r="AD514" s="66"/>
      <c r="AE514" s="60"/>
      <c r="AF514" s="61" t="str">
        <f aca="false">IF(AND(ISNUMBER(X514),ISNUMBER(Y514)),Y514-X514,"")</f>
        <v/>
      </c>
      <c r="AG514" s="62" t="str">
        <f aca="false">IF(ISNUMBER(AD514),AD514-(IF(AND(INDEX(TZ_DSTS,MATCH(P514,TZ_STN,0))&lt;&gt;"",(AD514-INDEX(TZ_STD,MATCH(P514,TZ_STN,0))/24)&gt;=INDEX(TZ_DSTS,MATCH(P514,TZ_STN,0)),(AD514-INDEX(TZ_STD,MATCH(P514,TZ_STN,0))/24)&lt;INDEX(TZ_DSTE,MATCH(P514,TZ_STN,0))),INDEX(TZ_DST,MATCH(P514,TZ_STN,0)),INDEX(TZ_STD,MATCH(P514,TZ_STN,0))))/24,"")</f>
        <v/>
      </c>
      <c r="AH514" s="65" t="str">
        <f aca="false">IFERROR(IF(N514="N/A – rule","N/A – RULE",IF(TRIM(U514)="N/A",IF(AT514=0,"INVALID – N/A not permitted for this check",IF(AND(TRIM(AB514)&lt;&gt;"",TRIM(AB514)&lt;&gt;"Closed"),"INVALID – corrective action still open",IF(AND(NOT(OR(LEN(AZ514)&lt;15,ISNUMBER(MATCH(AZ514,L_Placeholder,0)))),NOT(OR(LEN(AU514)&lt;2,ISNUMBER(MATCH(AU514,L_Placeholder,0)))),NOT(OR(LEN(AX514)&lt;2,ISNUMBER(MATCH(AX514,L_Placeholder,0)))),TRIM(AE514)&lt;&gt;TRIM(T514)),"N/A – JUSTIFIED","INVALID – N/A needs a real justification (15+ chars), PIC and a different verifier"))),IF(OR(TRIM(U514)="Pass",TRIM(U514)="Pass after CA"),IF(NOT(ISNUMBER(AD514)),"INVALID – completion time missing",IF(OR(LEN(AU514)&lt;2,ISNUMBER(MATCH(AU514,L_Placeholder,0))),"INVALID – PIC missing",IF(OR(LEN(AV514)&lt;2,ISNUMBER(MATCH(AV514,L_Placeholder,0))),"INVALID – result / assessment missing",IF(OR(OR(LEN(AW514)&lt;3,ISNUMBER(MATCH(AW514,L_Placeholder,0))),SUMPRODUCT(--ISNUMBER(SEARCH(L_EvidencePhrase,AW514)))&gt;0),"INVALID – evidence missing, placeholder or not yet on file",IF(OR(LEN(AX514)&lt;2,ISNUMBER(MATCH(AX514,L_Placeholder,0))),"INVALID – verifier missing",IF(AX514=AU514,"INVALID – verifier must be someone other than the PIC",IF(AND(TRIM(U514)="Pass",SUMPRODUCT(--ISNUMBER(SEARCH(L_ResultBad,AV514)))&gt;0),"INVALID – result describes a problem: use Fail, then Pass after CA",IF(AND(AQ514=1,OR(LEN(AY514)&lt;3,ISNUMBER(MATCH(AY514,L_Placeholder,0)))),"INVALID – batch ID missing or placeholder",IF(AND(AR514=1,OR(NOT(ISNUMBER(X514)),NOT(ISNUMBER(Y514)))),"INVALID – expected/actual qty missing",IF(AND(AR514=1,OR(X514&lt;=0,Y514&lt;0)),"INVALID – expected qty must be above 0 and actual not negative",IF(BB514&lt;&gt;"",BB514,IF(AND(AS514=1,Documents!$J$20&lt;&gt;"ON FILE"),"INVALID – GLD not on file (Documents sheet)",IF(AND(AS514=2,Documents!$O$20&lt;&gt;"ON FILE"),"INVALID – menu checklist not on file (Documents sheet)",IF(AND(AS514=3,NOT(ISNUMBER(Flights!$AX$20))),"INVALID – enter carrying flight KUL departure (Flights AX)",IF(AND(AS514=3,OR(Flights!$AZ$20&gt;Flights!$AA$20,Flights!$AX$20&lt;Flights!$AA$20-3)),"INVALID – carrying flight (Flights AX) cannot arrive before this leg's STD, or is over 3 days early",IF(AG514&gt;AsOfUTC,"INVALID – completion time is in the future",IF(AND(ISNUMBER(S514),AG514&lt;S514),IF(H514="Physical uplift","INVALID – before uplift window (cannot confirm loading)","INVALID – before valid window"),IF(AG514&gt;Flights!$AA$20,"INVALID – completed after departure (cannot establish readiness)",IF(AND(H514="Preparation",AG514&gt;IF(ISNUMBER(Flights!$BA$20),MIN(Flights!$BA$20,Flights!$AA$20),Flights!$AA$20)),"INVALID – completed after loading / departure (cannot establish readiness)",IF(AND(H514="Physical uplift",AG514&gt;Q514),"INVALID – recorded after the loading flight departed",IF(AG514&gt;Q514,"COMPLETE – LATE","COMPLETE"))))))))))))))))))))),IF(TRIM(U514)="Fail","FAIL – DISCREPANCY",IF(AND(TRIM(U514)&lt;&gt;"",TRIM(U514)&lt;&gt;"Not started",TRIM(U514)&lt;&gt;"In progress"),"INVALID – unrecognised status (use the list)",IF(AsOfUTC&gt;Q514,"OVERDUE",IF(N514="Clarification required","OPEN – CLARIFICATION","OPEN"))))))),"INVALID – error value in an input cell")</f>
        <v>OPEN</v>
      </c>
      <c r="AI514" s="61" t="n">
        <f aca="false">IF(OR(AH514="N/A – RULE",AH514="N/A – JUSTIFIED"),0,1)</f>
        <v>1</v>
      </c>
      <c r="AJ514" s="61" t="n">
        <f aca="false">IF(LEFT(AH514,8)="COMPLETE",1,0)</f>
        <v>0</v>
      </c>
      <c r="AK514" s="61" t="n">
        <f aca="false">IF(AND(AI514=1,AJ514=0,AsOfUTC&gt;Q514),1,0)</f>
        <v>0</v>
      </c>
      <c r="AL514" s="61" t="n">
        <f aca="false">IFERROR(IF(AND(AI514=1,OR(TRIM(U514)="Fail",AND(TRIM(AB514)&lt;&gt;"",TRIM(AB514)&lt;&gt;"Closed"),AND(ISNUMBER(AF514),AF514&lt;&gt;0,TRIM(U514)&lt;&gt;"Pass after CA"))),1,0),1)</f>
        <v>0</v>
      </c>
      <c r="AM514" s="61" t="n">
        <f aca="false">IF(LEFT(AH514,7)="INVALID",1,0)</f>
        <v>0</v>
      </c>
      <c r="AN514" s="61" t="n">
        <f aca="false">IF(AND(N514="Clarification required",AI514=1,AJ514=0),1,0)</f>
        <v>0</v>
      </c>
      <c r="AO514" s="61" t="str">
        <f aca="false">IF(AK514=1,SUM(AK$5:AK514),"")</f>
        <v/>
      </c>
      <c r="AP514" s="61" t="str">
        <f aca="false">IF(AL514=1,SUM(AL$5:AL514),"")</f>
        <v/>
      </c>
      <c r="AQ514" s="61" t="n">
        <v>0</v>
      </c>
      <c r="AR514" s="61" t="n">
        <v>0</v>
      </c>
      <c r="AS514" s="61" t="n">
        <v>0</v>
      </c>
      <c r="AT514" s="61" t="n">
        <v>0</v>
      </c>
      <c r="AU514" s="61" t="str">
        <f aca="false">SUBSTITUTE(SUBSTITUTE(SUBSTITUTE(SUBSTITUTE(SUBSTITUTE(SUBSTITUTE(SUBSTITUTE(SUBSTITUTE(SUBSTITUTE(SUBSTITUTE(SUBSTITUTE(SUBSTITUTE(SUBSTITUTE(LOWER(T514&amp;""),CHAR(160),"")," ",""),".",""),"-",""),"/",""),"?",""),"_",""),",",""),"[",""),"]",""),"(",""),")",""),"*","")</f>
        <v/>
      </c>
      <c r="AV514" s="61" t="str">
        <f aca="false">SUBSTITUTE(SUBSTITUTE(SUBSTITUTE(SUBSTITUTE(SUBSTITUTE(SUBSTITUTE(SUBSTITUTE(SUBSTITUTE(SUBSTITUTE(SUBSTITUTE(SUBSTITUTE(SUBSTITUTE(SUBSTITUTE(LOWER(V514&amp;""),CHAR(160),"")," ",""),".",""),"-",""),"/",""),"?",""),"_",""),",",""),"[",""),"]",""),"(",""),")",""),"*","")</f>
        <v/>
      </c>
      <c r="AW514" s="61" t="str">
        <f aca="false">SUBSTITUTE(SUBSTITUTE(SUBSTITUTE(SUBSTITUTE(SUBSTITUTE(SUBSTITUTE(SUBSTITUTE(SUBSTITUTE(SUBSTITUTE(SUBSTITUTE(SUBSTITUTE(SUBSTITUTE(SUBSTITUTE(LOWER(Z514&amp;""),CHAR(160),"")," ",""),".",""),"-",""),"/",""),"?",""),"_",""),",",""),"[",""),"]",""),"(",""),")",""),"*","")</f>
        <v/>
      </c>
      <c r="AX514" s="61" t="str">
        <f aca="false">SUBSTITUTE(SUBSTITUTE(SUBSTITUTE(SUBSTITUTE(SUBSTITUTE(SUBSTITUTE(SUBSTITUTE(SUBSTITUTE(SUBSTITUTE(SUBSTITUTE(SUBSTITUTE(SUBSTITUTE(SUBSTITUTE(LOWER(AE514&amp;""),CHAR(160),"")," ",""),".",""),"-",""),"/",""),"?",""),"_",""),",",""),"[",""),"]",""),"(",""),")",""),"*","")</f>
        <v/>
      </c>
      <c r="AY514" s="61" t="str">
        <f aca="false">SUBSTITUTE(SUBSTITUTE(SUBSTITUTE(SUBSTITUTE(SUBSTITUTE(SUBSTITUTE(SUBSTITUTE(SUBSTITUTE(SUBSTITUTE(SUBSTITUTE(SUBSTITUTE(SUBSTITUTE(SUBSTITUTE(LOWER(W514&amp;""),CHAR(160),"")," ",""),".",""),"-",""),"/",""),"?",""),"_",""),",",""),"[",""),"]",""),"(",""),")",""),"*","")</f>
        <v/>
      </c>
      <c r="AZ514" s="61" t="str">
        <f aca="false">SUBSTITUTE(SUBSTITUTE(SUBSTITUTE(SUBSTITUTE(SUBSTITUTE(SUBSTITUTE(SUBSTITUTE(SUBSTITUTE(SUBSTITUTE(SUBSTITUTE(SUBSTITUTE(SUBSTITUTE(SUBSTITUTE(LOWER(AC514&amp;""),CHAR(160),"")," ",""),".",""),"-",""),"/",""),"?",""),"_",""),",",""),"[",""),"]",""),"(",""),")",""),"*","")</f>
        <v/>
      </c>
      <c r="BA514" s="61" t="str">
        <f aca="false">SUBSTITUTE(SUBSTITUTE(SUBSTITUTE(SUBSTITUTE(SUBSTITUTE(SUBSTITUTE(SUBSTITUTE(SUBSTITUTE(SUBSTITUTE(SUBSTITUTE(SUBSTITUTE(SUBSTITUTE(SUBSTITUTE(LOWER(AA514&amp;""),CHAR(160),"")," ",""),".",""),"-",""),"/",""),"?",""),"_",""),",",""),"[",""),"]",""),"(",""),")",""),"*","")</f>
        <v/>
      </c>
      <c r="BB514" s="61" t="str">
        <f aca="false">IF(AND(TRIM(U514)="Pass",ISNUMBER(AF514)),IF(AF514&lt;&gt;0,"INVALID – qty variance: use Fail or Pass after CA",""),"")&amp;IF(AND(TRIM(U514)="Pass after CA",ISNUMBER(AF514)),IF(AF514&lt;&gt;0,"INVALID – after the corrective action the actual qty must equal expected (update Actual)",""),"")&amp;IF(AND(TRIM(U514)="Pass",TRIM(AB514)&lt;&gt;"",TRIM(AB514)&lt;&gt;"Closed"),"INVALID – corrective action not closed: use Fail, then Pass after CA","")&amp;IF(AND(TRIM(AA514)&lt;&gt;"",TRIM(AB514)=""),"INVALID – CA status missing for the recorded corrective action","")&amp;IF(AND(TRIM(U514)="Pass after CA",OR(OR(LEN(BA514)&lt;5,ISNUMBER(MATCH(BA514,L_Placeholder,0))),TRIM(AB514)&lt;&gt;"Closed")),"INVALID – corrective action not recorded/closed","")</f>
        <v/>
      </c>
    </row>
    <row r="515" customFormat="false" ht="39.75" hidden="false" customHeight="true" outlineLevel="0" collapsed="false">
      <c r="A515" s="57" t="s">
        <v>1150</v>
      </c>
      <c r="B515" s="57" t="s">
        <v>277</v>
      </c>
      <c r="C515" s="57" t="str">
        <f aca="false">Flights!$F$20</f>
        <v>MH0072</v>
      </c>
      <c r="D515" s="58" t="n">
        <f aca="false">Flights!$D$20</f>
        <v>46321</v>
      </c>
      <c r="E515" s="57" t="str">
        <f aca="false">Flights!$G$20&amp;"-"&amp;Flights!$H$20</f>
        <v>KUL-HKG</v>
      </c>
      <c r="F515" s="57" t="str">
        <f aca="false">Flights!$K$20</f>
        <v>EY</v>
      </c>
      <c r="G515" s="57" t="s">
        <v>81</v>
      </c>
      <c r="H515" s="57" t="s">
        <v>356</v>
      </c>
      <c r="I515" s="57" t="s">
        <v>357</v>
      </c>
      <c r="J515" s="57" t="s">
        <v>394</v>
      </c>
      <c r="K515" s="67" t="s">
        <v>395</v>
      </c>
      <c r="L515" s="67" t="s">
        <v>396</v>
      </c>
      <c r="M515" s="67"/>
      <c r="N515" s="67" t="s">
        <v>361</v>
      </c>
      <c r="O515" s="67"/>
      <c r="P515" s="57" t="s">
        <v>184</v>
      </c>
      <c r="Q515" s="59" t="n">
        <f aca="false">ROUND((Flights!$AD$20)*1440,0)/1440</f>
        <v>46320.0486111111</v>
      </c>
      <c r="R515" s="59" t="n">
        <f aca="false">Q515+(IF(AND(INDEX(TZ_DSTS,MATCH(P515,TZ_STN,0))&lt;&gt;"",Q515&gt;=INDEX(TZ_DSTS,MATCH(P515,TZ_STN,0)),Q515&lt;INDEX(TZ_DSTE,MATCH(P515,TZ_STN,0))),INDEX(TZ_DST,MATCH(P515,TZ_STN,0)),INDEX(TZ_STD,MATCH(P515,TZ_STN,0))))/24</f>
        <v>46320.3819444444</v>
      </c>
      <c r="S515" s="59" t="n">
        <f aca="false">Q515-T24EarlyH/24</f>
        <v>46319.0486111111</v>
      </c>
      <c r="T515" s="60"/>
      <c r="U515" s="60"/>
      <c r="V515" s="60"/>
      <c r="W515" s="60"/>
      <c r="X515" s="60"/>
      <c r="Y515" s="60"/>
      <c r="Z515" s="60"/>
      <c r="AA515" s="60"/>
      <c r="AB515" s="60"/>
      <c r="AC515" s="60"/>
      <c r="AD515" s="66"/>
      <c r="AE515" s="60"/>
      <c r="AF515" s="61" t="str">
        <f aca="false">IF(AND(ISNUMBER(X515),ISNUMBER(Y515)),Y515-X515,"")</f>
        <v/>
      </c>
      <c r="AG515" s="62" t="str">
        <f aca="false">IF(ISNUMBER(AD515),AD515-(IF(AND(INDEX(TZ_DSTS,MATCH(P515,TZ_STN,0))&lt;&gt;"",(AD515-INDEX(TZ_STD,MATCH(P515,TZ_STN,0))/24)&gt;=INDEX(TZ_DSTS,MATCH(P515,TZ_STN,0)),(AD515-INDEX(TZ_STD,MATCH(P515,TZ_STN,0))/24)&lt;INDEX(TZ_DSTE,MATCH(P515,TZ_STN,0))),INDEX(TZ_DST,MATCH(P515,TZ_STN,0)),INDEX(TZ_STD,MATCH(P515,TZ_STN,0))))/24,"")</f>
        <v/>
      </c>
      <c r="AH515" s="65" t="str">
        <f aca="false">IFERROR(IF(N515="N/A – rule","N/A – RULE",IF(TRIM(U515)="N/A",IF(AT515=0,"INVALID – N/A not permitted for this check",IF(AND(TRIM(AB515)&lt;&gt;"",TRIM(AB515)&lt;&gt;"Closed"),"INVALID – corrective action still open",IF(AND(NOT(OR(LEN(AZ515)&lt;15,ISNUMBER(MATCH(AZ515,L_Placeholder,0)))),NOT(OR(LEN(AU515)&lt;2,ISNUMBER(MATCH(AU515,L_Placeholder,0)))),NOT(OR(LEN(AX515)&lt;2,ISNUMBER(MATCH(AX515,L_Placeholder,0)))),TRIM(AE515)&lt;&gt;TRIM(T515)),"N/A – JUSTIFIED","INVALID – N/A needs a real justification (15+ chars), PIC and a different verifier"))),IF(OR(TRIM(U515)="Pass",TRIM(U515)="Pass after CA"),IF(NOT(ISNUMBER(AD515)),"INVALID – completion time missing",IF(OR(LEN(AU515)&lt;2,ISNUMBER(MATCH(AU515,L_Placeholder,0))),"INVALID – PIC missing",IF(OR(LEN(AV515)&lt;2,ISNUMBER(MATCH(AV515,L_Placeholder,0))),"INVALID – result / assessment missing",IF(OR(OR(LEN(AW515)&lt;3,ISNUMBER(MATCH(AW515,L_Placeholder,0))),SUMPRODUCT(--ISNUMBER(SEARCH(L_EvidencePhrase,AW515)))&gt;0),"INVALID – evidence missing, placeholder or not yet on file",IF(OR(LEN(AX515)&lt;2,ISNUMBER(MATCH(AX515,L_Placeholder,0))),"INVALID – verifier missing",IF(AX515=AU515,"INVALID – verifier must be someone other than the PIC",IF(AND(TRIM(U515)="Pass",SUMPRODUCT(--ISNUMBER(SEARCH(L_ResultBad,AV515)))&gt;0),"INVALID – result describes a problem: use Fail, then Pass after CA",IF(AND(AQ515=1,OR(LEN(AY515)&lt;3,ISNUMBER(MATCH(AY515,L_Placeholder,0)))),"INVALID – batch ID missing or placeholder",IF(AND(AR515=1,OR(NOT(ISNUMBER(X515)),NOT(ISNUMBER(Y515)))),"INVALID – expected/actual qty missing",IF(AND(AR515=1,OR(X515&lt;=0,Y515&lt;0)),"INVALID – expected qty must be above 0 and actual not negative",IF(BB515&lt;&gt;"",BB515,IF(AND(AS515=1,Documents!$J$20&lt;&gt;"ON FILE"),"INVALID – GLD not on file (Documents sheet)",IF(AND(AS515=2,Documents!$O$20&lt;&gt;"ON FILE"),"INVALID – menu checklist not on file (Documents sheet)",IF(AND(AS515=3,NOT(ISNUMBER(Flights!$AX$20))),"INVALID – enter carrying flight KUL departure (Flights AX)",IF(AND(AS515=3,OR(Flights!$AZ$20&gt;Flights!$AA$20,Flights!$AX$20&lt;Flights!$AA$20-3)),"INVALID – carrying flight (Flights AX) cannot arrive before this leg's STD, or is over 3 days early",IF(AG515&gt;AsOfUTC,"INVALID – completion time is in the future",IF(AND(ISNUMBER(S515),AG515&lt;S515),IF(H515="Physical uplift","INVALID – before uplift window (cannot confirm loading)","INVALID – before valid window"),IF(AG515&gt;Flights!$AA$20,"INVALID – completed after departure (cannot establish readiness)",IF(AND(H515="Preparation",AG515&gt;IF(ISNUMBER(Flights!$BA$20),MIN(Flights!$BA$20,Flights!$AA$20),Flights!$AA$20)),"INVALID – completed after loading / departure (cannot establish readiness)",IF(AND(H515="Physical uplift",AG515&gt;Q515),"INVALID – recorded after the loading flight departed",IF(AG515&gt;Q515,"COMPLETE – LATE","COMPLETE"))))))))))))))))))))),IF(TRIM(U515)="Fail","FAIL – DISCREPANCY",IF(AND(TRIM(U515)&lt;&gt;"",TRIM(U515)&lt;&gt;"Not started",TRIM(U515)&lt;&gt;"In progress"),"INVALID – unrecognised status (use the list)",IF(AsOfUTC&gt;Q515,"OVERDUE",IF(N515="Clarification required","OPEN – CLARIFICATION","OPEN"))))))),"INVALID – error value in an input cell")</f>
        <v>OPEN</v>
      </c>
      <c r="AI515" s="61" t="n">
        <f aca="false">IF(OR(AH515="N/A – RULE",AH515="N/A – JUSTIFIED"),0,1)</f>
        <v>1</v>
      </c>
      <c r="AJ515" s="61" t="n">
        <f aca="false">IF(LEFT(AH515,8)="COMPLETE",1,0)</f>
        <v>0</v>
      </c>
      <c r="AK515" s="61" t="n">
        <f aca="false">IF(AND(AI515=1,AJ515=0,AsOfUTC&gt;Q515),1,0)</f>
        <v>0</v>
      </c>
      <c r="AL515" s="61" t="n">
        <f aca="false">IFERROR(IF(AND(AI515=1,OR(TRIM(U515)="Fail",AND(TRIM(AB515)&lt;&gt;"",TRIM(AB515)&lt;&gt;"Closed"),AND(ISNUMBER(AF515),AF515&lt;&gt;0,TRIM(U515)&lt;&gt;"Pass after CA"))),1,0),1)</f>
        <v>0</v>
      </c>
      <c r="AM515" s="61" t="n">
        <f aca="false">IF(LEFT(AH515,7)="INVALID",1,0)</f>
        <v>0</v>
      </c>
      <c r="AN515" s="61" t="n">
        <f aca="false">IF(AND(N515="Clarification required",AI515=1,AJ515=0),1,0)</f>
        <v>0</v>
      </c>
      <c r="AO515" s="61" t="str">
        <f aca="false">IF(AK515=1,SUM(AK$5:AK515),"")</f>
        <v/>
      </c>
      <c r="AP515" s="61" t="str">
        <f aca="false">IF(AL515=1,SUM(AL$5:AL515),"")</f>
        <v/>
      </c>
      <c r="AQ515" s="61" t="n">
        <v>1</v>
      </c>
      <c r="AR515" s="61" t="n">
        <v>0</v>
      </c>
      <c r="AS515" s="61" t="n">
        <v>0</v>
      </c>
      <c r="AT515" s="61" t="n">
        <v>0</v>
      </c>
      <c r="AU515" s="61" t="str">
        <f aca="false">SUBSTITUTE(SUBSTITUTE(SUBSTITUTE(SUBSTITUTE(SUBSTITUTE(SUBSTITUTE(SUBSTITUTE(SUBSTITUTE(SUBSTITUTE(SUBSTITUTE(SUBSTITUTE(SUBSTITUTE(SUBSTITUTE(LOWER(T515&amp;""),CHAR(160),"")," ",""),".",""),"-",""),"/",""),"?",""),"_",""),",",""),"[",""),"]",""),"(",""),")",""),"*","")</f>
        <v/>
      </c>
      <c r="AV515" s="61" t="str">
        <f aca="false">SUBSTITUTE(SUBSTITUTE(SUBSTITUTE(SUBSTITUTE(SUBSTITUTE(SUBSTITUTE(SUBSTITUTE(SUBSTITUTE(SUBSTITUTE(SUBSTITUTE(SUBSTITUTE(SUBSTITUTE(SUBSTITUTE(LOWER(V515&amp;""),CHAR(160),"")," ",""),".",""),"-",""),"/",""),"?",""),"_",""),",",""),"[",""),"]",""),"(",""),")",""),"*","")</f>
        <v/>
      </c>
      <c r="AW515" s="61" t="str">
        <f aca="false">SUBSTITUTE(SUBSTITUTE(SUBSTITUTE(SUBSTITUTE(SUBSTITUTE(SUBSTITUTE(SUBSTITUTE(SUBSTITUTE(SUBSTITUTE(SUBSTITUTE(SUBSTITUTE(SUBSTITUTE(SUBSTITUTE(LOWER(Z515&amp;""),CHAR(160),"")," ",""),".",""),"-",""),"/",""),"?",""),"_",""),",",""),"[",""),"]",""),"(",""),")",""),"*","")</f>
        <v/>
      </c>
      <c r="AX515" s="61" t="str">
        <f aca="false">SUBSTITUTE(SUBSTITUTE(SUBSTITUTE(SUBSTITUTE(SUBSTITUTE(SUBSTITUTE(SUBSTITUTE(SUBSTITUTE(SUBSTITUTE(SUBSTITUTE(SUBSTITUTE(SUBSTITUTE(SUBSTITUTE(LOWER(AE515&amp;""),CHAR(160),"")," ",""),".",""),"-",""),"/",""),"?",""),"_",""),",",""),"[",""),"]",""),"(",""),")",""),"*","")</f>
        <v/>
      </c>
      <c r="AY515" s="61" t="str">
        <f aca="false">SUBSTITUTE(SUBSTITUTE(SUBSTITUTE(SUBSTITUTE(SUBSTITUTE(SUBSTITUTE(SUBSTITUTE(SUBSTITUTE(SUBSTITUTE(SUBSTITUTE(SUBSTITUTE(SUBSTITUTE(SUBSTITUTE(LOWER(W515&amp;""),CHAR(160),"")," ",""),".",""),"-",""),"/",""),"?",""),"_",""),",",""),"[",""),"]",""),"(",""),")",""),"*","")</f>
        <v/>
      </c>
      <c r="AZ515" s="61" t="str">
        <f aca="false">SUBSTITUTE(SUBSTITUTE(SUBSTITUTE(SUBSTITUTE(SUBSTITUTE(SUBSTITUTE(SUBSTITUTE(SUBSTITUTE(SUBSTITUTE(SUBSTITUTE(SUBSTITUTE(SUBSTITUTE(SUBSTITUTE(LOWER(AC515&amp;""),CHAR(160),"")," ",""),".",""),"-",""),"/",""),"?",""),"_",""),",",""),"[",""),"]",""),"(",""),")",""),"*","")</f>
        <v/>
      </c>
      <c r="BA515" s="61" t="str">
        <f aca="false">SUBSTITUTE(SUBSTITUTE(SUBSTITUTE(SUBSTITUTE(SUBSTITUTE(SUBSTITUTE(SUBSTITUTE(SUBSTITUTE(SUBSTITUTE(SUBSTITUTE(SUBSTITUTE(SUBSTITUTE(SUBSTITUTE(LOWER(AA515&amp;""),CHAR(160),"")," ",""),".",""),"-",""),"/",""),"?",""),"_",""),",",""),"[",""),"]",""),"(",""),")",""),"*","")</f>
        <v/>
      </c>
      <c r="BB515" s="61" t="str">
        <f aca="false">IF(AND(TRIM(U515)="Pass",ISNUMBER(AF515)),IF(AF515&lt;&gt;0,"INVALID – qty variance: use Fail or Pass after CA",""),"")&amp;IF(AND(TRIM(U515)="Pass after CA",ISNUMBER(AF515)),IF(AF515&lt;&gt;0,"INVALID – after the corrective action the actual qty must equal expected (update Actual)",""),"")&amp;IF(AND(TRIM(U515)="Pass",TRIM(AB515)&lt;&gt;"",TRIM(AB515)&lt;&gt;"Closed"),"INVALID – corrective action not closed: use Fail, then Pass after CA","")&amp;IF(AND(TRIM(AA515)&lt;&gt;"",TRIM(AB515)=""),"INVALID – CA status missing for the recorded corrective action","")&amp;IF(AND(TRIM(U515)="Pass after CA",OR(OR(LEN(BA515)&lt;5,ISNUMBER(MATCH(BA515,L_Placeholder,0))),TRIM(AB515)&lt;&gt;"Closed")),"INVALID – corrective action not recorded/closed","")</f>
        <v/>
      </c>
    </row>
    <row r="516" customFormat="false" ht="39.75" hidden="false" customHeight="true" outlineLevel="0" collapsed="false">
      <c r="A516" s="57" t="s">
        <v>1151</v>
      </c>
      <c r="B516" s="57" t="s">
        <v>277</v>
      </c>
      <c r="C516" s="57" t="str">
        <f aca="false">Flights!$F$20</f>
        <v>MH0072</v>
      </c>
      <c r="D516" s="58" t="n">
        <f aca="false">Flights!$D$20</f>
        <v>46321</v>
      </c>
      <c r="E516" s="57" t="str">
        <f aca="false">Flights!$G$20&amp;"-"&amp;Flights!$H$20</f>
        <v>KUL-HKG</v>
      </c>
      <c r="F516" s="57" t="str">
        <f aca="false">Flights!$K$20</f>
        <v>EY</v>
      </c>
      <c r="G516" s="57" t="s">
        <v>398</v>
      </c>
      <c r="H516" s="57" t="s">
        <v>356</v>
      </c>
      <c r="I516" s="57" t="s">
        <v>357</v>
      </c>
      <c r="J516" s="57" t="s">
        <v>399</v>
      </c>
      <c r="K516" s="67"/>
      <c r="L516" s="67" t="s">
        <v>400</v>
      </c>
      <c r="M516" s="67"/>
      <c r="N516" s="67" t="s">
        <v>361</v>
      </c>
      <c r="O516" s="67" t="s">
        <v>401</v>
      </c>
      <c r="P516" s="57" t="s">
        <v>184</v>
      </c>
      <c r="Q516" s="59" t="n">
        <f aca="false">ROUND((Flights!$AE$20)*1440,0)/1440</f>
        <v>46320.5486111111</v>
      </c>
      <c r="R516" s="59" t="n">
        <f aca="false">Q516+(IF(AND(INDEX(TZ_DSTS,MATCH(P516,TZ_STN,0))&lt;&gt;"",Q516&gt;=INDEX(TZ_DSTS,MATCH(P516,TZ_STN,0)),Q516&lt;INDEX(TZ_DSTE,MATCH(P516,TZ_STN,0))),INDEX(TZ_DST,MATCH(P516,TZ_STN,0)),INDEX(TZ_STD,MATCH(P516,TZ_STN,0))))/24</f>
        <v>46320.8819444444</v>
      </c>
      <c r="S516" s="59" t="n">
        <f aca="false">Q516-T12EarlyH/24</f>
        <v>46320.0486111111</v>
      </c>
      <c r="T516" s="60"/>
      <c r="U516" s="60"/>
      <c r="V516" s="60"/>
      <c r="W516" s="61"/>
      <c r="X516" s="60"/>
      <c r="Y516" s="60"/>
      <c r="Z516" s="60"/>
      <c r="AA516" s="60"/>
      <c r="AB516" s="60"/>
      <c r="AC516" s="60"/>
      <c r="AD516" s="66"/>
      <c r="AE516" s="60"/>
      <c r="AF516" s="61" t="str">
        <f aca="false">IF(AND(ISNUMBER(X516),ISNUMBER(Y516)),Y516-X516,"")</f>
        <v/>
      </c>
      <c r="AG516" s="62" t="str">
        <f aca="false">IF(ISNUMBER(AD516),AD516-(IF(AND(INDEX(TZ_DSTS,MATCH(P516,TZ_STN,0))&lt;&gt;"",(AD516-INDEX(TZ_STD,MATCH(P516,TZ_STN,0))/24)&gt;=INDEX(TZ_DSTS,MATCH(P516,TZ_STN,0)),(AD516-INDEX(TZ_STD,MATCH(P516,TZ_STN,0))/24)&lt;INDEX(TZ_DSTE,MATCH(P516,TZ_STN,0))),INDEX(TZ_DST,MATCH(P516,TZ_STN,0)),INDEX(TZ_STD,MATCH(P516,TZ_STN,0))))/24,"")</f>
        <v/>
      </c>
      <c r="AH516" s="65" t="str">
        <f aca="false">IFERROR(IF(N516="N/A – rule","N/A – RULE",IF(TRIM(U516)="N/A",IF(AT516=0,"INVALID – N/A not permitted for this check",IF(AND(TRIM(AB516)&lt;&gt;"",TRIM(AB516)&lt;&gt;"Closed"),"INVALID – corrective action still open",IF(AND(NOT(OR(LEN(AZ516)&lt;15,ISNUMBER(MATCH(AZ516,L_Placeholder,0)))),NOT(OR(LEN(AU516)&lt;2,ISNUMBER(MATCH(AU516,L_Placeholder,0)))),NOT(OR(LEN(AX516)&lt;2,ISNUMBER(MATCH(AX516,L_Placeholder,0)))),TRIM(AE516)&lt;&gt;TRIM(T516)),"N/A – JUSTIFIED","INVALID – N/A needs a real justification (15+ chars), PIC and a different verifier"))),IF(OR(TRIM(U516)="Pass",TRIM(U516)="Pass after CA"),IF(NOT(ISNUMBER(AD516)),"INVALID – completion time missing",IF(OR(LEN(AU516)&lt;2,ISNUMBER(MATCH(AU516,L_Placeholder,0))),"INVALID – PIC missing",IF(OR(LEN(AV516)&lt;2,ISNUMBER(MATCH(AV516,L_Placeholder,0))),"INVALID – result / assessment missing",IF(OR(OR(LEN(AW516)&lt;3,ISNUMBER(MATCH(AW516,L_Placeholder,0))),SUMPRODUCT(--ISNUMBER(SEARCH(L_EvidencePhrase,AW516)))&gt;0),"INVALID – evidence missing, placeholder or not yet on file",IF(OR(LEN(AX516)&lt;2,ISNUMBER(MATCH(AX516,L_Placeholder,0))),"INVALID – verifier missing",IF(AX516=AU516,"INVALID – verifier must be someone other than the PIC",IF(AND(TRIM(U516)="Pass",SUMPRODUCT(--ISNUMBER(SEARCH(L_ResultBad,AV516)))&gt;0),"INVALID – result describes a problem: use Fail, then Pass after CA",IF(AND(AQ516=1,OR(LEN(AY516)&lt;3,ISNUMBER(MATCH(AY516,L_Placeholder,0)))),"INVALID – batch ID missing or placeholder",IF(AND(AR516=1,OR(NOT(ISNUMBER(X516)),NOT(ISNUMBER(Y516)))),"INVALID – expected/actual qty missing",IF(AND(AR516=1,OR(X516&lt;=0,Y516&lt;0)),"INVALID – expected qty must be above 0 and actual not negative",IF(BB516&lt;&gt;"",BB516,IF(AND(AS516=1,Documents!$J$20&lt;&gt;"ON FILE"),"INVALID – GLD not on file (Documents sheet)",IF(AND(AS516=2,Documents!$O$20&lt;&gt;"ON FILE"),"INVALID – menu checklist not on file (Documents sheet)",IF(AND(AS516=3,NOT(ISNUMBER(Flights!$AX$20))),"INVALID – enter carrying flight KUL departure (Flights AX)",IF(AND(AS516=3,OR(Flights!$AZ$20&gt;Flights!$AA$20,Flights!$AX$20&lt;Flights!$AA$20-3)),"INVALID – carrying flight (Flights AX) cannot arrive before this leg's STD, or is over 3 days early",IF(AG516&gt;AsOfUTC,"INVALID – completion time is in the future",IF(AND(ISNUMBER(S516),AG516&lt;S516),IF(H516="Physical uplift","INVALID – before uplift window (cannot confirm loading)","INVALID – before valid window"),IF(AG516&gt;Flights!$AA$20,"INVALID – completed after departure (cannot establish readiness)",IF(AND(H516="Preparation",AG516&gt;IF(ISNUMBER(Flights!$BA$20),MIN(Flights!$BA$20,Flights!$AA$20),Flights!$AA$20)),"INVALID – completed after loading / departure (cannot establish readiness)",IF(AND(H516="Physical uplift",AG516&gt;Q516),"INVALID – recorded after the loading flight departed",IF(AG516&gt;Q516,"COMPLETE – LATE","COMPLETE"))))))))))))))))))))),IF(TRIM(U516)="Fail","FAIL – DISCREPANCY",IF(AND(TRIM(U516)&lt;&gt;"",TRIM(U516)&lt;&gt;"Not started",TRIM(U516)&lt;&gt;"In progress"),"INVALID – unrecognised status (use the list)",IF(AsOfUTC&gt;Q516,"OVERDUE",IF(N516="Clarification required","OPEN – CLARIFICATION","OPEN"))))))),"INVALID – error value in an input cell")</f>
        <v>OPEN</v>
      </c>
      <c r="AI516" s="61" t="n">
        <f aca="false">IF(OR(AH516="N/A – RULE",AH516="N/A – JUSTIFIED"),0,1)</f>
        <v>1</v>
      </c>
      <c r="AJ516" s="61" t="n">
        <f aca="false">IF(LEFT(AH516,8)="COMPLETE",1,0)</f>
        <v>0</v>
      </c>
      <c r="AK516" s="61" t="n">
        <f aca="false">IF(AND(AI516=1,AJ516=0,AsOfUTC&gt;Q516),1,0)</f>
        <v>0</v>
      </c>
      <c r="AL516" s="61" t="n">
        <f aca="false">IFERROR(IF(AND(AI516=1,OR(TRIM(U516)="Fail",AND(TRIM(AB516)&lt;&gt;"",TRIM(AB516)&lt;&gt;"Closed"),AND(ISNUMBER(AF516),AF516&lt;&gt;0,TRIM(U516)&lt;&gt;"Pass after CA"))),1,0),1)</f>
        <v>0</v>
      </c>
      <c r="AM516" s="61" t="n">
        <f aca="false">IF(LEFT(AH516,7)="INVALID",1,0)</f>
        <v>0</v>
      </c>
      <c r="AN516" s="61" t="n">
        <f aca="false">IF(AND(N516="Clarification required",AI516=1,AJ516=0),1,0)</f>
        <v>0</v>
      </c>
      <c r="AO516" s="61" t="str">
        <f aca="false">IF(AK516=1,SUM(AK$5:AK516),"")</f>
        <v/>
      </c>
      <c r="AP516" s="61" t="str">
        <f aca="false">IF(AL516=1,SUM(AL$5:AL516),"")</f>
        <v/>
      </c>
      <c r="AQ516" s="61" t="n">
        <v>0</v>
      </c>
      <c r="AR516" s="61" t="n">
        <v>0</v>
      </c>
      <c r="AS516" s="61" t="n">
        <v>0</v>
      </c>
      <c r="AT516" s="61" t="n">
        <v>0</v>
      </c>
      <c r="AU516" s="61" t="str">
        <f aca="false">SUBSTITUTE(SUBSTITUTE(SUBSTITUTE(SUBSTITUTE(SUBSTITUTE(SUBSTITUTE(SUBSTITUTE(SUBSTITUTE(SUBSTITUTE(SUBSTITUTE(SUBSTITUTE(SUBSTITUTE(SUBSTITUTE(LOWER(T516&amp;""),CHAR(160),"")," ",""),".",""),"-",""),"/",""),"?",""),"_",""),",",""),"[",""),"]",""),"(",""),")",""),"*","")</f>
        <v/>
      </c>
      <c r="AV516" s="61" t="str">
        <f aca="false">SUBSTITUTE(SUBSTITUTE(SUBSTITUTE(SUBSTITUTE(SUBSTITUTE(SUBSTITUTE(SUBSTITUTE(SUBSTITUTE(SUBSTITUTE(SUBSTITUTE(SUBSTITUTE(SUBSTITUTE(SUBSTITUTE(LOWER(V516&amp;""),CHAR(160),"")," ",""),".",""),"-",""),"/",""),"?",""),"_",""),",",""),"[",""),"]",""),"(",""),")",""),"*","")</f>
        <v/>
      </c>
      <c r="AW516" s="61" t="str">
        <f aca="false">SUBSTITUTE(SUBSTITUTE(SUBSTITUTE(SUBSTITUTE(SUBSTITUTE(SUBSTITUTE(SUBSTITUTE(SUBSTITUTE(SUBSTITUTE(SUBSTITUTE(SUBSTITUTE(SUBSTITUTE(SUBSTITUTE(LOWER(Z516&amp;""),CHAR(160),"")," ",""),".",""),"-",""),"/",""),"?",""),"_",""),",",""),"[",""),"]",""),"(",""),")",""),"*","")</f>
        <v/>
      </c>
      <c r="AX516" s="61" t="str">
        <f aca="false">SUBSTITUTE(SUBSTITUTE(SUBSTITUTE(SUBSTITUTE(SUBSTITUTE(SUBSTITUTE(SUBSTITUTE(SUBSTITUTE(SUBSTITUTE(SUBSTITUTE(SUBSTITUTE(SUBSTITUTE(SUBSTITUTE(LOWER(AE516&amp;""),CHAR(160),"")," ",""),".",""),"-",""),"/",""),"?",""),"_",""),",",""),"[",""),"]",""),"(",""),")",""),"*","")</f>
        <v/>
      </c>
      <c r="AY516" s="61" t="str">
        <f aca="false">SUBSTITUTE(SUBSTITUTE(SUBSTITUTE(SUBSTITUTE(SUBSTITUTE(SUBSTITUTE(SUBSTITUTE(SUBSTITUTE(SUBSTITUTE(SUBSTITUTE(SUBSTITUTE(SUBSTITUTE(SUBSTITUTE(LOWER(W516&amp;""),CHAR(160),"")," ",""),".",""),"-",""),"/",""),"?",""),"_",""),",",""),"[",""),"]",""),"(",""),")",""),"*","")</f>
        <v/>
      </c>
      <c r="AZ516" s="61" t="str">
        <f aca="false">SUBSTITUTE(SUBSTITUTE(SUBSTITUTE(SUBSTITUTE(SUBSTITUTE(SUBSTITUTE(SUBSTITUTE(SUBSTITUTE(SUBSTITUTE(SUBSTITUTE(SUBSTITUTE(SUBSTITUTE(SUBSTITUTE(LOWER(AC516&amp;""),CHAR(160),"")," ",""),".",""),"-",""),"/",""),"?",""),"_",""),",",""),"[",""),"]",""),"(",""),")",""),"*","")</f>
        <v/>
      </c>
      <c r="BA516" s="61" t="str">
        <f aca="false">SUBSTITUTE(SUBSTITUTE(SUBSTITUTE(SUBSTITUTE(SUBSTITUTE(SUBSTITUTE(SUBSTITUTE(SUBSTITUTE(SUBSTITUTE(SUBSTITUTE(SUBSTITUTE(SUBSTITUTE(SUBSTITUTE(LOWER(AA516&amp;""),CHAR(160),"")," ",""),".",""),"-",""),"/",""),"?",""),"_",""),",",""),"[",""),"]",""),"(",""),")",""),"*","")</f>
        <v/>
      </c>
      <c r="BB516" s="61" t="str">
        <f aca="false">IF(AND(TRIM(U516)="Pass",ISNUMBER(AF516)),IF(AF516&lt;&gt;0,"INVALID – qty variance: use Fail or Pass after CA",""),"")&amp;IF(AND(TRIM(U516)="Pass after CA",ISNUMBER(AF516)),IF(AF516&lt;&gt;0,"INVALID – after the corrective action the actual qty must equal expected (update Actual)",""),"")&amp;IF(AND(TRIM(U516)="Pass",TRIM(AB516)&lt;&gt;"",TRIM(AB516)&lt;&gt;"Closed"),"INVALID – corrective action not closed: use Fail, then Pass after CA","")&amp;IF(AND(TRIM(AA516)&lt;&gt;"",TRIM(AB516)=""),"INVALID – CA status missing for the recorded corrective action","")&amp;IF(AND(TRIM(U516)="Pass after CA",OR(OR(LEN(BA516)&lt;5,ISNUMBER(MATCH(BA516,L_Placeholder,0))),TRIM(AB516)&lt;&gt;"Closed")),"INVALID – corrective action not recorded/closed","")</f>
        <v/>
      </c>
    </row>
    <row r="517" customFormat="false" ht="39.75" hidden="false" customHeight="true" outlineLevel="0" collapsed="false">
      <c r="A517" s="57" t="s">
        <v>1152</v>
      </c>
      <c r="B517" s="57" t="s">
        <v>277</v>
      </c>
      <c r="C517" s="57" t="str">
        <f aca="false">Flights!$F$20</f>
        <v>MH0072</v>
      </c>
      <c r="D517" s="58" t="n">
        <f aca="false">Flights!$D$20</f>
        <v>46321</v>
      </c>
      <c r="E517" s="57" t="str">
        <f aca="false">Flights!$G$20&amp;"-"&amp;Flights!$H$20</f>
        <v>KUL-HKG</v>
      </c>
      <c r="F517" s="57" t="str">
        <f aca="false">Flights!$K$20</f>
        <v>EY</v>
      </c>
      <c r="G517" s="57" t="s">
        <v>398</v>
      </c>
      <c r="H517" s="57" t="s">
        <v>356</v>
      </c>
      <c r="I517" s="57" t="s">
        <v>357</v>
      </c>
      <c r="J517" s="57" t="s">
        <v>403</v>
      </c>
      <c r="K517" s="67" t="s">
        <v>404</v>
      </c>
      <c r="L517" s="67" t="s">
        <v>400</v>
      </c>
      <c r="M517" s="67"/>
      <c r="N517" s="67" t="s">
        <v>361</v>
      </c>
      <c r="O517" s="67" t="s">
        <v>401</v>
      </c>
      <c r="P517" s="57" t="s">
        <v>184</v>
      </c>
      <c r="Q517" s="59" t="n">
        <f aca="false">ROUND((Flights!$AE$20)*1440,0)/1440</f>
        <v>46320.5486111111</v>
      </c>
      <c r="R517" s="59" t="n">
        <f aca="false">Q517+(IF(AND(INDEX(TZ_DSTS,MATCH(P517,TZ_STN,0))&lt;&gt;"",Q517&gt;=INDEX(TZ_DSTS,MATCH(P517,TZ_STN,0)),Q517&lt;INDEX(TZ_DSTE,MATCH(P517,TZ_STN,0))),INDEX(TZ_DST,MATCH(P517,TZ_STN,0)),INDEX(TZ_STD,MATCH(P517,TZ_STN,0))))/24</f>
        <v>46320.8819444444</v>
      </c>
      <c r="S517" s="59" t="n">
        <f aca="false">Q517-T12EarlyH/24</f>
        <v>46320.0486111111</v>
      </c>
      <c r="T517" s="60"/>
      <c r="U517" s="60"/>
      <c r="V517" s="60"/>
      <c r="W517" s="61"/>
      <c r="X517" s="60"/>
      <c r="Y517" s="60"/>
      <c r="Z517" s="60"/>
      <c r="AA517" s="60"/>
      <c r="AB517" s="60"/>
      <c r="AC517" s="60"/>
      <c r="AD517" s="66"/>
      <c r="AE517" s="60"/>
      <c r="AF517" s="61" t="str">
        <f aca="false">IF(AND(ISNUMBER(X517),ISNUMBER(Y517)),Y517-X517,"")</f>
        <v/>
      </c>
      <c r="AG517" s="62" t="str">
        <f aca="false">IF(ISNUMBER(AD517),AD517-(IF(AND(INDEX(TZ_DSTS,MATCH(P517,TZ_STN,0))&lt;&gt;"",(AD517-INDEX(TZ_STD,MATCH(P517,TZ_STN,0))/24)&gt;=INDEX(TZ_DSTS,MATCH(P517,TZ_STN,0)),(AD517-INDEX(TZ_STD,MATCH(P517,TZ_STN,0))/24)&lt;INDEX(TZ_DSTE,MATCH(P517,TZ_STN,0))),INDEX(TZ_DST,MATCH(P517,TZ_STN,0)),INDEX(TZ_STD,MATCH(P517,TZ_STN,0))))/24,"")</f>
        <v/>
      </c>
      <c r="AH517" s="65" t="str">
        <f aca="false">IFERROR(IF(N517="N/A – rule","N/A – RULE",IF(TRIM(U517)="N/A",IF(AT517=0,"INVALID – N/A not permitted for this check",IF(AND(TRIM(AB517)&lt;&gt;"",TRIM(AB517)&lt;&gt;"Closed"),"INVALID – corrective action still open",IF(AND(NOT(OR(LEN(AZ517)&lt;15,ISNUMBER(MATCH(AZ517,L_Placeholder,0)))),NOT(OR(LEN(AU517)&lt;2,ISNUMBER(MATCH(AU517,L_Placeholder,0)))),NOT(OR(LEN(AX517)&lt;2,ISNUMBER(MATCH(AX517,L_Placeholder,0)))),TRIM(AE517)&lt;&gt;TRIM(T517)),"N/A – JUSTIFIED","INVALID – N/A needs a real justification (15+ chars), PIC and a different verifier"))),IF(OR(TRIM(U517)="Pass",TRIM(U517)="Pass after CA"),IF(NOT(ISNUMBER(AD517)),"INVALID – completion time missing",IF(OR(LEN(AU517)&lt;2,ISNUMBER(MATCH(AU517,L_Placeholder,0))),"INVALID – PIC missing",IF(OR(LEN(AV517)&lt;2,ISNUMBER(MATCH(AV517,L_Placeholder,0))),"INVALID – result / assessment missing",IF(OR(OR(LEN(AW517)&lt;3,ISNUMBER(MATCH(AW517,L_Placeholder,0))),SUMPRODUCT(--ISNUMBER(SEARCH(L_EvidencePhrase,AW517)))&gt;0),"INVALID – evidence missing, placeholder or not yet on file",IF(OR(LEN(AX517)&lt;2,ISNUMBER(MATCH(AX517,L_Placeholder,0))),"INVALID – verifier missing",IF(AX517=AU517,"INVALID – verifier must be someone other than the PIC",IF(AND(TRIM(U517)="Pass",SUMPRODUCT(--ISNUMBER(SEARCH(L_ResultBad,AV517)))&gt;0),"INVALID – result describes a problem: use Fail, then Pass after CA",IF(AND(AQ517=1,OR(LEN(AY517)&lt;3,ISNUMBER(MATCH(AY517,L_Placeholder,0)))),"INVALID – batch ID missing or placeholder",IF(AND(AR517=1,OR(NOT(ISNUMBER(X517)),NOT(ISNUMBER(Y517)))),"INVALID – expected/actual qty missing",IF(AND(AR517=1,OR(X517&lt;=0,Y517&lt;0)),"INVALID – expected qty must be above 0 and actual not negative",IF(BB517&lt;&gt;"",BB517,IF(AND(AS517=1,Documents!$J$20&lt;&gt;"ON FILE"),"INVALID – GLD not on file (Documents sheet)",IF(AND(AS517=2,Documents!$O$20&lt;&gt;"ON FILE"),"INVALID – menu checklist not on file (Documents sheet)",IF(AND(AS517=3,NOT(ISNUMBER(Flights!$AX$20))),"INVALID – enter carrying flight KUL departure (Flights AX)",IF(AND(AS517=3,OR(Flights!$AZ$20&gt;Flights!$AA$20,Flights!$AX$20&lt;Flights!$AA$20-3)),"INVALID – carrying flight (Flights AX) cannot arrive before this leg's STD, or is over 3 days early",IF(AG517&gt;AsOfUTC,"INVALID – completion time is in the future",IF(AND(ISNUMBER(S517),AG517&lt;S517),IF(H517="Physical uplift","INVALID – before uplift window (cannot confirm loading)","INVALID – before valid window"),IF(AG517&gt;Flights!$AA$20,"INVALID – completed after departure (cannot establish readiness)",IF(AND(H517="Preparation",AG517&gt;IF(ISNUMBER(Flights!$BA$20),MIN(Flights!$BA$20,Flights!$AA$20),Flights!$AA$20)),"INVALID – completed after loading / departure (cannot establish readiness)",IF(AND(H517="Physical uplift",AG517&gt;Q517),"INVALID – recorded after the loading flight departed",IF(AG517&gt;Q517,"COMPLETE – LATE","COMPLETE"))))))))))))))))))))),IF(TRIM(U517)="Fail","FAIL – DISCREPANCY",IF(AND(TRIM(U517)&lt;&gt;"",TRIM(U517)&lt;&gt;"Not started",TRIM(U517)&lt;&gt;"In progress"),"INVALID – unrecognised status (use the list)",IF(AsOfUTC&gt;Q517,"OVERDUE",IF(N517="Clarification required","OPEN – CLARIFICATION","OPEN"))))))),"INVALID – error value in an input cell")</f>
        <v>OPEN</v>
      </c>
      <c r="AI517" s="61" t="n">
        <f aca="false">IF(OR(AH517="N/A – RULE",AH517="N/A – JUSTIFIED"),0,1)</f>
        <v>1</v>
      </c>
      <c r="AJ517" s="61" t="n">
        <f aca="false">IF(LEFT(AH517,8)="COMPLETE",1,0)</f>
        <v>0</v>
      </c>
      <c r="AK517" s="61" t="n">
        <f aca="false">IF(AND(AI517=1,AJ517=0,AsOfUTC&gt;Q517),1,0)</f>
        <v>0</v>
      </c>
      <c r="AL517" s="61" t="n">
        <f aca="false">IFERROR(IF(AND(AI517=1,OR(TRIM(U517)="Fail",AND(TRIM(AB517)&lt;&gt;"",TRIM(AB517)&lt;&gt;"Closed"),AND(ISNUMBER(AF517),AF517&lt;&gt;0,TRIM(U517)&lt;&gt;"Pass after CA"))),1,0),1)</f>
        <v>0</v>
      </c>
      <c r="AM517" s="61" t="n">
        <f aca="false">IF(LEFT(AH517,7)="INVALID",1,0)</f>
        <v>0</v>
      </c>
      <c r="AN517" s="61" t="n">
        <f aca="false">IF(AND(N517="Clarification required",AI517=1,AJ517=0),1,0)</f>
        <v>0</v>
      </c>
      <c r="AO517" s="61" t="str">
        <f aca="false">IF(AK517=1,SUM(AK$5:AK517),"")</f>
        <v/>
      </c>
      <c r="AP517" s="61" t="str">
        <f aca="false">IF(AL517=1,SUM(AL$5:AL517),"")</f>
        <v/>
      </c>
      <c r="AQ517" s="61" t="n">
        <v>0</v>
      </c>
      <c r="AR517" s="61" t="n">
        <v>1</v>
      </c>
      <c r="AS517" s="61" t="n">
        <v>0</v>
      </c>
      <c r="AT517" s="61" t="n">
        <v>0</v>
      </c>
      <c r="AU517" s="61" t="str">
        <f aca="false">SUBSTITUTE(SUBSTITUTE(SUBSTITUTE(SUBSTITUTE(SUBSTITUTE(SUBSTITUTE(SUBSTITUTE(SUBSTITUTE(SUBSTITUTE(SUBSTITUTE(SUBSTITUTE(SUBSTITUTE(SUBSTITUTE(LOWER(T517&amp;""),CHAR(160),"")," ",""),".",""),"-",""),"/",""),"?",""),"_",""),",",""),"[",""),"]",""),"(",""),")",""),"*","")</f>
        <v/>
      </c>
      <c r="AV517" s="61" t="str">
        <f aca="false">SUBSTITUTE(SUBSTITUTE(SUBSTITUTE(SUBSTITUTE(SUBSTITUTE(SUBSTITUTE(SUBSTITUTE(SUBSTITUTE(SUBSTITUTE(SUBSTITUTE(SUBSTITUTE(SUBSTITUTE(SUBSTITUTE(LOWER(V517&amp;""),CHAR(160),"")," ",""),".",""),"-",""),"/",""),"?",""),"_",""),",",""),"[",""),"]",""),"(",""),")",""),"*","")</f>
        <v/>
      </c>
      <c r="AW517" s="61" t="str">
        <f aca="false">SUBSTITUTE(SUBSTITUTE(SUBSTITUTE(SUBSTITUTE(SUBSTITUTE(SUBSTITUTE(SUBSTITUTE(SUBSTITUTE(SUBSTITUTE(SUBSTITUTE(SUBSTITUTE(SUBSTITUTE(SUBSTITUTE(LOWER(Z517&amp;""),CHAR(160),"")," ",""),".",""),"-",""),"/",""),"?",""),"_",""),",",""),"[",""),"]",""),"(",""),")",""),"*","")</f>
        <v/>
      </c>
      <c r="AX517" s="61" t="str">
        <f aca="false">SUBSTITUTE(SUBSTITUTE(SUBSTITUTE(SUBSTITUTE(SUBSTITUTE(SUBSTITUTE(SUBSTITUTE(SUBSTITUTE(SUBSTITUTE(SUBSTITUTE(SUBSTITUTE(SUBSTITUTE(SUBSTITUTE(LOWER(AE517&amp;""),CHAR(160),"")," ",""),".",""),"-",""),"/",""),"?",""),"_",""),",",""),"[",""),"]",""),"(",""),")",""),"*","")</f>
        <v/>
      </c>
      <c r="AY517" s="61" t="str">
        <f aca="false">SUBSTITUTE(SUBSTITUTE(SUBSTITUTE(SUBSTITUTE(SUBSTITUTE(SUBSTITUTE(SUBSTITUTE(SUBSTITUTE(SUBSTITUTE(SUBSTITUTE(SUBSTITUTE(SUBSTITUTE(SUBSTITUTE(LOWER(W517&amp;""),CHAR(160),"")," ",""),".",""),"-",""),"/",""),"?",""),"_",""),",",""),"[",""),"]",""),"(",""),")",""),"*","")</f>
        <v/>
      </c>
      <c r="AZ517" s="61" t="str">
        <f aca="false">SUBSTITUTE(SUBSTITUTE(SUBSTITUTE(SUBSTITUTE(SUBSTITUTE(SUBSTITUTE(SUBSTITUTE(SUBSTITUTE(SUBSTITUTE(SUBSTITUTE(SUBSTITUTE(SUBSTITUTE(SUBSTITUTE(LOWER(AC517&amp;""),CHAR(160),"")," ",""),".",""),"-",""),"/",""),"?",""),"_",""),",",""),"[",""),"]",""),"(",""),")",""),"*","")</f>
        <v/>
      </c>
      <c r="BA517" s="61" t="str">
        <f aca="false">SUBSTITUTE(SUBSTITUTE(SUBSTITUTE(SUBSTITUTE(SUBSTITUTE(SUBSTITUTE(SUBSTITUTE(SUBSTITUTE(SUBSTITUTE(SUBSTITUTE(SUBSTITUTE(SUBSTITUTE(SUBSTITUTE(LOWER(AA517&amp;""),CHAR(160),"")," ",""),".",""),"-",""),"/",""),"?",""),"_",""),",",""),"[",""),"]",""),"(",""),")",""),"*","")</f>
        <v/>
      </c>
      <c r="BB517" s="61" t="str">
        <f aca="false">IF(AND(TRIM(U517)="Pass",ISNUMBER(AF517)),IF(AF517&lt;&gt;0,"INVALID – qty variance: use Fail or Pass after CA",""),"")&amp;IF(AND(TRIM(U517)="Pass after CA",ISNUMBER(AF517)),IF(AF517&lt;&gt;0,"INVALID – after the corrective action the actual qty must equal expected (update Actual)",""),"")&amp;IF(AND(TRIM(U517)="Pass",TRIM(AB517)&lt;&gt;"",TRIM(AB517)&lt;&gt;"Closed"),"INVALID – corrective action not closed: use Fail, then Pass after CA","")&amp;IF(AND(TRIM(AA517)&lt;&gt;"",TRIM(AB517)=""),"INVALID – CA status missing for the recorded corrective action","")&amp;IF(AND(TRIM(U517)="Pass after CA",OR(OR(LEN(BA517)&lt;5,ISNUMBER(MATCH(BA517,L_Placeholder,0))),TRIM(AB517)&lt;&gt;"Closed")),"INVALID – corrective action not recorded/closed","")</f>
        <v/>
      </c>
    </row>
    <row r="518" customFormat="false" ht="39.75" hidden="false" customHeight="true" outlineLevel="0" collapsed="false">
      <c r="A518" s="57" t="s">
        <v>1153</v>
      </c>
      <c r="B518" s="57" t="s">
        <v>277</v>
      </c>
      <c r="C518" s="57" t="str">
        <f aca="false">Flights!$F$20</f>
        <v>MH0072</v>
      </c>
      <c r="D518" s="58" t="n">
        <f aca="false">Flights!$D$20</f>
        <v>46321</v>
      </c>
      <c r="E518" s="57" t="str">
        <f aca="false">Flights!$G$20&amp;"-"&amp;Flights!$H$20</f>
        <v>KUL-HKG</v>
      </c>
      <c r="F518" s="57" t="str">
        <f aca="false">Flights!$K$20</f>
        <v>EY</v>
      </c>
      <c r="G518" s="57" t="s">
        <v>398</v>
      </c>
      <c r="H518" s="57" t="s">
        <v>356</v>
      </c>
      <c r="I518" s="57" t="s">
        <v>406</v>
      </c>
      <c r="J518" s="57" t="s">
        <v>407</v>
      </c>
      <c r="K518" s="67"/>
      <c r="L518" s="67" t="s">
        <v>400</v>
      </c>
      <c r="M518" s="67"/>
      <c r="N518" s="67" t="s">
        <v>361</v>
      </c>
      <c r="O518" s="67" t="s">
        <v>401</v>
      </c>
      <c r="P518" s="57" t="s">
        <v>184</v>
      </c>
      <c r="Q518" s="59" t="n">
        <f aca="false">ROUND((Flights!$AE$20)*1440,0)/1440</f>
        <v>46320.5486111111</v>
      </c>
      <c r="R518" s="59" t="n">
        <f aca="false">Q518+(IF(AND(INDEX(TZ_DSTS,MATCH(P518,TZ_STN,0))&lt;&gt;"",Q518&gt;=INDEX(TZ_DSTS,MATCH(P518,TZ_STN,0)),Q518&lt;INDEX(TZ_DSTE,MATCH(P518,TZ_STN,0))),INDEX(TZ_DST,MATCH(P518,TZ_STN,0)),INDEX(TZ_STD,MATCH(P518,TZ_STN,0))))/24</f>
        <v>46320.8819444444</v>
      </c>
      <c r="S518" s="59" t="n">
        <f aca="false">Q518-T12EarlyH/24</f>
        <v>46320.0486111111</v>
      </c>
      <c r="T518" s="60"/>
      <c r="U518" s="60"/>
      <c r="V518" s="60"/>
      <c r="W518" s="61"/>
      <c r="X518" s="60"/>
      <c r="Y518" s="60"/>
      <c r="Z518" s="60"/>
      <c r="AA518" s="60"/>
      <c r="AB518" s="60"/>
      <c r="AC518" s="60"/>
      <c r="AD518" s="66"/>
      <c r="AE518" s="60"/>
      <c r="AF518" s="61" t="str">
        <f aca="false">IF(AND(ISNUMBER(X518),ISNUMBER(Y518)),Y518-X518,"")</f>
        <v/>
      </c>
      <c r="AG518" s="62" t="str">
        <f aca="false">IF(ISNUMBER(AD518),AD518-(IF(AND(INDEX(TZ_DSTS,MATCH(P518,TZ_STN,0))&lt;&gt;"",(AD518-INDEX(TZ_STD,MATCH(P518,TZ_STN,0))/24)&gt;=INDEX(TZ_DSTS,MATCH(P518,TZ_STN,0)),(AD518-INDEX(TZ_STD,MATCH(P518,TZ_STN,0))/24)&lt;INDEX(TZ_DSTE,MATCH(P518,TZ_STN,0))),INDEX(TZ_DST,MATCH(P518,TZ_STN,0)),INDEX(TZ_STD,MATCH(P518,TZ_STN,0))))/24,"")</f>
        <v/>
      </c>
      <c r="AH518" s="65" t="str">
        <f aca="false">IFERROR(IF(N518="N/A – rule","N/A – RULE",IF(TRIM(U518)="N/A",IF(AT518=0,"INVALID – N/A not permitted for this check",IF(AND(TRIM(AB518)&lt;&gt;"",TRIM(AB518)&lt;&gt;"Closed"),"INVALID – corrective action still open",IF(AND(NOT(OR(LEN(AZ518)&lt;15,ISNUMBER(MATCH(AZ518,L_Placeholder,0)))),NOT(OR(LEN(AU518)&lt;2,ISNUMBER(MATCH(AU518,L_Placeholder,0)))),NOT(OR(LEN(AX518)&lt;2,ISNUMBER(MATCH(AX518,L_Placeholder,0)))),TRIM(AE518)&lt;&gt;TRIM(T518)),"N/A – JUSTIFIED","INVALID – N/A needs a real justification (15+ chars), PIC and a different verifier"))),IF(OR(TRIM(U518)="Pass",TRIM(U518)="Pass after CA"),IF(NOT(ISNUMBER(AD518)),"INVALID – completion time missing",IF(OR(LEN(AU518)&lt;2,ISNUMBER(MATCH(AU518,L_Placeholder,0))),"INVALID – PIC missing",IF(OR(LEN(AV518)&lt;2,ISNUMBER(MATCH(AV518,L_Placeholder,0))),"INVALID – result / assessment missing",IF(OR(OR(LEN(AW518)&lt;3,ISNUMBER(MATCH(AW518,L_Placeholder,0))),SUMPRODUCT(--ISNUMBER(SEARCH(L_EvidencePhrase,AW518)))&gt;0),"INVALID – evidence missing, placeholder or not yet on file",IF(OR(LEN(AX518)&lt;2,ISNUMBER(MATCH(AX518,L_Placeholder,0))),"INVALID – verifier missing",IF(AX518=AU518,"INVALID – verifier must be someone other than the PIC",IF(AND(TRIM(U518)="Pass",SUMPRODUCT(--ISNUMBER(SEARCH(L_ResultBad,AV518)))&gt;0),"INVALID – result describes a problem: use Fail, then Pass after CA",IF(AND(AQ518=1,OR(LEN(AY518)&lt;3,ISNUMBER(MATCH(AY518,L_Placeholder,0)))),"INVALID – batch ID missing or placeholder",IF(AND(AR518=1,OR(NOT(ISNUMBER(X518)),NOT(ISNUMBER(Y518)))),"INVALID – expected/actual qty missing",IF(AND(AR518=1,OR(X518&lt;=0,Y518&lt;0)),"INVALID – expected qty must be above 0 and actual not negative",IF(BB518&lt;&gt;"",BB518,IF(AND(AS518=1,Documents!$J$20&lt;&gt;"ON FILE"),"INVALID – GLD not on file (Documents sheet)",IF(AND(AS518=2,Documents!$O$20&lt;&gt;"ON FILE"),"INVALID – menu checklist not on file (Documents sheet)",IF(AND(AS518=3,NOT(ISNUMBER(Flights!$AX$20))),"INVALID – enter carrying flight KUL departure (Flights AX)",IF(AND(AS518=3,OR(Flights!$AZ$20&gt;Flights!$AA$20,Flights!$AX$20&lt;Flights!$AA$20-3)),"INVALID – carrying flight (Flights AX) cannot arrive before this leg's STD, or is over 3 days early",IF(AG518&gt;AsOfUTC,"INVALID – completion time is in the future",IF(AND(ISNUMBER(S518),AG518&lt;S518),IF(H518="Physical uplift","INVALID – before uplift window (cannot confirm loading)","INVALID – before valid window"),IF(AG518&gt;Flights!$AA$20,"INVALID – completed after departure (cannot establish readiness)",IF(AND(H518="Preparation",AG518&gt;IF(ISNUMBER(Flights!$BA$20),MIN(Flights!$BA$20,Flights!$AA$20),Flights!$AA$20)),"INVALID – completed after loading / departure (cannot establish readiness)",IF(AND(H518="Physical uplift",AG518&gt;Q518),"INVALID – recorded after the loading flight departed",IF(AG518&gt;Q518,"COMPLETE – LATE","COMPLETE"))))))))))))))))))))),IF(TRIM(U518)="Fail","FAIL – DISCREPANCY",IF(AND(TRIM(U518)&lt;&gt;"",TRIM(U518)&lt;&gt;"Not started",TRIM(U518)&lt;&gt;"In progress"),"INVALID – unrecognised status (use the list)",IF(AsOfUTC&gt;Q518,"OVERDUE",IF(N518="Clarification required","OPEN – CLARIFICATION","OPEN"))))))),"INVALID – error value in an input cell")</f>
        <v>OPEN</v>
      </c>
      <c r="AI518" s="61" t="n">
        <f aca="false">IF(OR(AH518="N/A – RULE",AH518="N/A – JUSTIFIED"),0,1)</f>
        <v>1</v>
      </c>
      <c r="AJ518" s="61" t="n">
        <f aca="false">IF(LEFT(AH518,8)="COMPLETE",1,0)</f>
        <v>0</v>
      </c>
      <c r="AK518" s="61" t="n">
        <f aca="false">IF(AND(AI518=1,AJ518=0,AsOfUTC&gt;Q518),1,0)</f>
        <v>0</v>
      </c>
      <c r="AL518" s="61" t="n">
        <f aca="false">IFERROR(IF(AND(AI518=1,OR(TRIM(U518)="Fail",AND(TRIM(AB518)&lt;&gt;"",TRIM(AB518)&lt;&gt;"Closed"),AND(ISNUMBER(AF518),AF518&lt;&gt;0,TRIM(U518)&lt;&gt;"Pass after CA"))),1,0),1)</f>
        <v>0</v>
      </c>
      <c r="AM518" s="61" t="n">
        <f aca="false">IF(LEFT(AH518,7)="INVALID",1,0)</f>
        <v>0</v>
      </c>
      <c r="AN518" s="61" t="n">
        <f aca="false">IF(AND(N518="Clarification required",AI518=1,AJ518=0),1,0)</f>
        <v>0</v>
      </c>
      <c r="AO518" s="61" t="str">
        <f aca="false">IF(AK518=1,SUM(AK$5:AK518),"")</f>
        <v/>
      </c>
      <c r="AP518" s="61" t="str">
        <f aca="false">IF(AL518=1,SUM(AL$5:AL518),"")</f>
        <v/>
      </c>
      <c r="AQ518" s="61" t="n">
        <v>0</v>
      </c>
      <c r="AR518" s="61" t="n">
        <v>0</v>
      </c>
      <c r="AS518" s="61" t="n">
        <v>0</v>
      </c>
      <c r="AT518" s="61" t="n">
        <v>0</v>
      </c>
      <c r="AU518" s="61" t="str">
        <f aca="false">SUBSTITUTE(SUBSTITUTE(SUBSTITUTE(SUBSTITUTE(SUBSTITUTE(SUBSTITUTE(SUBSTITUTE(SUBSTITUTE(SUBSTITUTE(SUBSTITUTE(SUBSTITUTE(SUBSTITUTE(SUBSTITUTE(LOWER(T518&amp;""),CHAR(160),"")," ",""),".",""),"-",""),"/",""),"?",""),"_",""),",",""),"[",""),"]",""),"(",""),")",""),"*","")</f>
        <v/>
      </c>
      <c r="AV518" s="61" t="str">
        <f aca="false">SUBSTITUTE(SUBSTITUTE(SUBSTITUTE(SUBSTITUTE(SUBSTITUTE(SUBSTITUTE(SUBSTITUTE(SUBSTITUTE(SUBSTITUTE(SUBSTITUTE(SUBSTITUTE(SUBSTITUTE(SUBSTITUTE(LOWER(V518&amp;""),CHAR(160),"")," ",""),".",""),"-",""),"/",""),"?",""),"_",""),",",""),"[",""),"]",""),"(",""),")",""),"*","")</f>
        <v/>
      </c>
      <c r="AW518" s="61" t="str">
        <f aca="false">SUBSTITUTE(SUBSTITUTE(SUBSTITUTE(SUBSTITUTE(SUBSTITUTE(SUBSTITUTE(SUBSTITUTE(SUBSTITUTE(SUBSTITUTE(SUBSTITUTE(SUBSTITUTE(SUBSTITUTE(SUBSTITUTE(LOWER(Z518&amp;""),CHAR(160),"")," ",""),".",""),"-",""),"/",""),"?",""),"_",""),",",""),"[",""),"]",""),"(",""),")",""),"*","")</f>
        <v/>
      </c>
      <c r="AX518" s="61" t="str">
        <f aca="false">SUBSTITUTE(SUBSTITUTE(SUBSTITUTE(SUBSTITUTE(SUBSTITUTE(SUBSTITUTE(SUBSTITUTE(SUBSTITUTE(SUBSTITUTE(SUBSTITUTE(SUBSTITUTE(SUBSTITUTE(SUBSTITUTE(LOWER(AE518&amp;""),CHAR(160),"")," ",""),".",""),"-",""),"/",""),"?",""),"_",""),",",""),"[",""),"]",""),"(",""),")",""),"*","")</f>
        <v/>
      </c>
      <c r="AY518" s="61" t="str">
        <f aca="false">SUBSTITUTE(SUBSTITUTE(SUBSTITUTE(SUBSTITUTE(SUBSTITUTE(SUBSTITUTE(SUBSTITUTE(SUBSTITUTE(SUBSTITUTE(SUBSTITUTE(SUBSTITUTE(SUBSTITUTE(SUBSTITUTE(LOWER(W518&amp;""),CHAR(160),"")," ",""),".",""),"-",""),"/",""),"?",""),"_",""),",",""),"[",""),"]",""),"(",""),")",""),"*","")</f>
        <v/>
      </c>
      <c r="AZ518" s="61" t="str">
        <f aca="false">SUBSTITUTE(SUBSTITUTE(SUBSTITUTE(SUBSTITUTE(SUBSTITUTE(SUBSTITUTE(SUBSTITUTE(SUBSTITUTE(SUBSTITUTE(SUBSTITUTE(SUBSTITUTE(SUBSTITUTE(SUBSTITUTE(LOWER(AC518&amp;""),CHAR(160),"")," ",""),".",""),"-",""),"/",""),"?",""),"_",""),",",""),"[",""),"]",""),"(",""),")",""),"*","")</f>
        <v/>
      </c>
      <c r="BA518" s="61" t="str">
        <f aca="false">SUBSTITUTE(SUBSTITUTE(SUBSTITUTE(SUBSTITUTE(SUBSTITUTE(SUBSTITUTE(SUBSTITUTE(SUBSTITUTE(SUBSTITUTE(SUBSTITUTE(SUBSTITUTE(SUBSTITUTE(SUBSTITUTE(LOWER(AA518&amp;""),CHAR(160),"")," ",""),".",""),"-",""),"/",""),"?",""),"_",""),",",""),"[",""),"]",""),"(",""),")",""),"*","")</f>
        <v/>
      </c>
      <c r="BB518" s="61" t="str">
        <f aca="false">IF(AND(TRIM(U518)="Pass",ISNUMBER(AF518)),IF(AF518&lt;&gt;0,"INVALID – qty variance: use Fail or Pass after CA",""),"")&amp;IF(AND(TRIM(U518)="Pass after CA",ISNUMBER(AF518)),IF(AF518&lt;&gt;0,"INVALID – after the corrective action the actual qty must equal expected (update Actual)",""),"")&amp;IF(AND(TRIM(U518)="Pass",TRIM(AB518)&lt;&gt;"",TRIM(AB518)&lt;&gt;"Closed"),"INVALID – corrective action not closed: use Fail, then Pass after CA","")&amp;IF(AND(TRIM(AA518)&lt;&gt;"",TRIM(AB518)=""),"INVALID – CA status missing for the recorded corrective action","")&amp;IF(AND(TRIM(U518)="Pass after CA",OR(OR(LEN(BA518)&lt;5,ISNUMBER(MATCH(BA518,L_Placeholder,0))),TRIM(AB518)&lt;&gt;"Closed")),"INVALID – corrective action not recorded/closed","")</f>
        <v/>
      </c>
    </row>
    <row r="519" customFormat="false" ht="39.75" hidden="false" customHeight="true" outlineLevel="0" collapsed="false">
      <c r="A519" s="57" t="s">
        <v>1154</v>
      </c>
      <c r="B519" s="57" t="s">
        <v>277</v>
      </c>
      <c r="C519" s="57" t="str">
        <f aca="false">Flights!$F$20</f>
        <v>MH0072</v>
      </c>
      <c r="D519" s="58" t="n">
        <f aca="false">Flights!$D$20</f>
        <v>46321</v>
      </c>
      <c r="E519" s="57" t="str">
        <f aca="false">Flights!$G$20&amp;"-"&amp;Flights!$H$20</f>
        <v>KUL-HKG</v>
      </c>
      <c r="F519" s="57" t="str">
        <f aca="false">Flights!$K$20</f>
        <v>EY</v>
      </c>
      <c r="G519" s="57" t="s">
        <v>398</v>
      </c>
      <c r="H519" s="57" t="s">
        <v>356</v>
      </c>
      <c r="I519" s="57" t="s">
        <v>406</v>
      </c>
      <c r="J519" s="57" t="s">
        <v>409</v>
      </c>
      <c r="K519" s="67"/>
      <c r="L519" s="67" t="s">
        <v>400</v>
      </c>
      <c r="M519" s="67"/>
      <c r="N519" s="67" t="s">
        <v>361</v>
      </c>
      <c r="O519" s="67" t="s">
        <v>401</v>
      </c>
      <c r="P519" s="57" t="s">
        <v>184</v>
      </c>
      <c r="Q519" s="59" t="n">
        <f aca="false">ROUND((Flights!$AE$20)*1440,0)/1440</f>
        <v>46320.5486111111</v>
      </c>
      <c r="R519" s="59" t="n">
        <f aca="false">Q519+(IF(AND(INDEX(TZ_DSTS,MATCH(P519,TZ_STN,0))&lt;&gt;"",Q519&gt;=INDEX(TZ_DSTS,MATCH(P519,TZ_STN,0)),Q519&lt;INDEX(TZ_DSTE,MATCH(P519,TZ_STN,0))),INDEX(TZ_DST,MATCH(P519,TZ_STN,0)),INDEX(TZ_STD,MATCH(P519,TZ_STN,0))))/24</f>
        <v>46320.8819444444</v>
      </c>
      <c r="S519" s="59" t="n">
        <f aca="false">Q519-T12EarlyH/24</f>
        <v>46320.0486111111</v>
      </c>
      <c r="T519" s="60"/>
      <c r="U519" s="60"/>
      <c r="V519" s="60"/>
      <c r="W519" s="61"/>
      <c r="X519" s="60"/>
      <c r="Y519" s="60"/>
      <c r="Z519" s="60"/>
      <c r="AA519" s="60"/>
      <c r="AB519" s="60"/>
      <c r="AC519" s="60"/>
      <c r="AD519" s="66"/>
      <c r="AE519" s="60"/>
      <c r="AF519" s="61" t="str">
        <f aca="false">IF(AND(ISNUMBER(X519),ISNUMBER(Y519)),Y519-X519,"")</f>
        <v/>
      </c>
      <c r="AG519" s="62" t="str">
        <f aca="false">IF(ISNUMBER(AD519),AD519-(IF(AND(INDEX(TZ_DSTS,MATCH(P519,TZ_STN,0))&lt;&gt;"",(AD519-INDEX(TZ_STD,MATCH(P519,TZ_STN,0))/24)&gt;=INDEX(TZ_DSTS,MATCH(P519,TZ_STN,0)),(AD519-INDEX(TZ_STD,MATCH(P519,TZ_STN,0))/24)&lt;INDEX(TZ_DSTE,MATCH(P519,TZ_STN,0))),INDEX(TZ_DST,MATCH(P519,TZ_STN,0)),INDEX(TZ_STD,MATCH(P519,TZ_STN,0))))/24,"")</f>
        <v/>
      </c>
      <c r="AH519" s="65" t="str">
        <f aca="false">IFERROR(IF(N519="N/A – rule","N/A – RULE",IF(TRIM(U519)="N/A",IF(AT519=0,"INVALID – N/A not permitted for this check",IF(AND(TRIM(AB519)&lt;&gt;"",TRIM(AB519)&lt;&gt;"Closed"),"INVALID – corrective action still open",IF(AND(NOT(OR(LEN(AZ519)&lt;15,ISNUMBER(MATCH(AZ519,L_Placeholder,0)))),NOT(OR(LEN(AU519)&lt;2,ISNUMBER(MATCH(AU519,L_Placeholder,0)))),NOT(OR(LEN(AX519)&lt;2,ISNUMBER(MATCH(AX519,L_Placeholder,0)))),TRIM(AE519)&lt;&gt;TRIM(T519)),"N/A – JUSTIFIED","INVALID – N/A needs a real justification (15+ chars), PIC and a different verifier"))),IF(OR(TRIM(U519)="Pass",TRIM(U519)="Pass after CA"),IF(NOT(ISNUMBER(AD519)),"INVALID – completion time missing",IF(OR(LEN(AU519)&lt;2,ISNUMBER(MATCH(AU519,L_Placeholder,0))),"INVALID – PIC missing",IF(OR(LEN(AV519)&lt;2,ISNUMBER(MATCH(AV519,L_Placeholder,0))),"INVALID – result / assessment missing",IF(OR(OR(LEN(AW519)&lt;3,ISNUMBER(MATCH(AW519,L_Placeholder,0))),SUMPRODUCT(--ISNUMBER(SEARCH(L_EvidencePhrase,AW519)))&gt;0),"INVALID – evidence missing, placeholder or not yet on file",IF(OR(LEN(AX519)&lt;2,ISNUMBER(MATCH(AX519,L_Placeholder,0))),"INVALID – verifier missing",IF(AX519=AU519,"INVALID – verifier must be someone other than the PIC",IF(AND(TRIM(U519)="Pass",SUMPRODUCT(--ISNUMBER(SEARCH(L_ResultBad,AV519)))&gt;0),"INVALID – result describes a problem: use Fail, then Pass after CA",IF(AND(AQ519=1,OR(LEN(AY519)&lt;3,ISNUMBER(MATCH(AY519,L_Placeholder,0)))),"INVALID – batch ID missing or placeholder",IF(AND(AR519=1,OR(NOT(ISNUMBER(X519)),NOT(ISNUMBER(Y519)))),"INVALID – expected/actual qty missing",IF(AND(AR519=1,OR(X519&lt;=0,Y519&lt;0)),"INVALID – expected qty must be above 0 and actual not negative",IF(BB519&lt;&gt;"",BB519,IF(AND(AS519=1,Documents!$J$20&lt;&gt;"ON FILE"),"INVALID – GLD not on file (Documents sheet)",IF(AND(AS519=2,Documents!$O$20&lt;&gt;"ON FILE"),"INVALID – menu checklist not on file (Documents sheet)",IF(AND(AS519=3,NOT(ISNUMBER(Flights!$AX$20))),"INVALID – enter carrying flight KUL departure (Flights AX)",IF(AND(AS519=3,OR(Flights!$AZ$20&gt;Flights!$AA$20,Flights!$AX$20&lt;Flights!$AA$20-3)),"INVALID – carrying flight (Flights AX) cannot arrive before this leg's STD, or is over 3 days early",IF(AG519&gt;AsOfUTC,"INVALID – completion time is in the future",IF(AND(ISNUMBER(S519),AG519&lt;S519),IF(H519="Physical uplift","INVALID – before uplift window (cannot confirm loading)","INVALID – before valid window"),IF(AG519&gt;Flights!$AA$20,"INVALID – completed after departure (cannot establish readiness)",IF(AND(H519="Preparation",AG519&gt;IF(ISNUMBER(Flights!$BA$20),MIN(Flights!$BA$20,Flights!$AA$20),Flights!$AA$20)),"INVALID – completed after loading / departure (cannot establish readiness)",IF(AND(H519="Physical uplift",AG519&gt;Q519),"INVALID – recorded after the loading flight departed",IF(AG519&gt;Q519,"COMPLETE – LATE","COMPLETE"))))))))))))))))))))),IF(TRIM(U519)="Fail","FAIL – DISCREPANCY",IF(AND(TRIM(U519)&lt;&gt;"",TRIM(U519)&lt;&gt;"Not started",TRIM(U519)&lt;&gt;"In progress"),"INVALID – unrecognised status (use the list)",IF(AsOfUTC&gt;Q519,"OVERDUE",IF(N519="Clarification required","OPEN – CLARIFICATION","OPEN"))))))),"INVALID – error value in an input cell")</f>
        <v>OPEN</v>
      </c>
      <c r="AI519" s="61" t="n">
        <f aca="false">IF(OR(AH519="N/A – RULE",AH519="N/A – JUSTIFIED"),0,1)</f>
        <v>1</v>
      </c>
      <c r="AJ519" s="61" t="n">
        <f aca="false">IF(LEFT(AH519,8)="COMPLETE",1,0)</f>
        <v>0</v>
      </c>
      <c r="AK519" s="61" t="n">
        <f aca="false">IF(AND(AI519=1,AJ519=0,AsOfUTC&gt;Q519),1,0)</f>
        <v>0</v>
      </c>
      <c r="AL519" s="61" t="n">
        <f aca="false">IFERROR(IF(AND(AI519=1,OR(TRIM(U519)="Fail",AND(TRIM(AB519)&lt;&gt;"",TRIM(AB519)&lt;&gt;"Closed"),AND(ISNUMBER(AF519),AF519&lt;&gt;0,TRIM(U519)&lt;&gt;"Pass after CA"))),1,0),1)</f>
        <v>0</v>
      </c>
      <c r="AM519" s="61" t="n">
        <f aca="false">IF(LEFT(AH519,7)="INVALID",1,0)</f>
        <v>0</v>
      </c>
      <c r="AN519" s="61" t="n">
        <f aca="false">IF(AND(N519="Clarification required",AI519=1,AJ519=0),1,0)</f>
        <v>0</v>
      </c>
      <c r="AO519" s="61" t="str">
        <f aca="false">IF(AK519=1,SUM(AK$5:AK519),"")</f>
        <v/>
      </c>
      <c r="AP519" s="61" t="str">
        <f aca="false">IF(AL519=1,SUM(AL$5:AL519),"")</f>
        <v/>
      </c>
      <c r="AQ519" s="61" t="n">
        <v>0</v>
      </c>
      <c r="AR519" s="61" t="n">
        <v>0</v>
      </c>
      <c r="AS519" s="61" t="n">
        <v>0</v>
      </c>
      <c r="AT519" s="61" t="n">
        <v>0</v>
      </c>
      <c r="AU519" s="61" t="str">
        <f aca="false">SUBSTITUTE(SUBSTITUTE(SUBSTITUTE(SUBSTITUTE(SUBSTITUTE(SUBSTITUTE(SUBSTITUTE(SUBSTITUTE(SUBSTITUTE(SUBSTITUTE(SUBSTITUTE(SUBSTITUTE(SUBSTITUTE(LOWER(T519&amp;""),CHAR(160),"")," ",""),".",""),"-",""),"/",""),"?",""),"_",""),",",""),"[",""),"]",""),"(",""),")",""),"*","")</f>
        <v/>
      </c>
      <c r="AV519" s="61" t="str">
        <f aca="false">SUBSTITUTE(SUBSTITUTE(SUBSTITUTE(SUBSTITUTE(SUBSTITUTE(SUBSTITUTE(SUBSTITUTE(SUBSTITUTE(SUBSTITUTE(SUBSTITUTE(SUBSTITUTE(SUBSTITUTE(SUBSTITUTE(LOWER(V519&amp;""),CHAR(160),"")," ",""),".",""),"-",""),"/",""),"?",""),"_",""),",",""),"[",""),"]",""),"(",""),")",""),"*","")</f>
        <v/>
      </c>
      <c r="AW519" s="61" t="str">
        <f aca="false">SUBSTITUTE(SUBSTITUTE(SUBSTITUTE(SUBSTITUTE(SUBSTITUTE(SUBSTITUTE(SUBSTITUTE(SUBSTITUTE(SUBSTITUTE(SUBSTITUTE(SUBSTITUTE(SUBSTITUTE(SUBSTITUTE(LOWER(Z519&amp;""),CHAR(160),"")," ",""),".",""),"-",""),"/",""),"?",""),"_",""),",",""),"[",""),"]",""),"(",""),")",""),"*","")</f>
        <v/>
      </c>
      <c r="AX519" s="61" t="str">
        <f aca="false">SUBSTITUTE(SUBSTITUTE(SUBSTITUTE(SUBSTITUTE(SUBSTITUTE(SUBSTITUTE(SUBSTITUTE(SUBSTITUTE(SUBSTITUTE(SUBSTITUTE(SUBSTITUTE(SUBSTITUTE(SUBSTITUTE(LOWER(AE519&amp;""),CHAR(160),"")," ",""),".",""),"-",""),"/",""),"?",""),"_",""),",",""),"[",""),"]",""),"(",""),")",""),"*","")</f>
        <v/>
      </c>
      <c r="AY519" s="61" t="str">
        <f aca="false">SUBSTITUTE(SUBSTITUTE(SUBSTITUTE(SUBSTITUTE(SUBSTITUTE(SUBSTITUTE(SUBSTITUTE(SUBSTITUTE(SUBSTITUTE(SUBSTITUTE(SUBSTITUTE(SUBSTITUTE(SUBSTITUTE(LOWER(W519&amp;""),CHAR(160),"")," ",""),".",""),"-",""),"/",""),"?",""),"_",""),",",""),"[",""),"]",""),"(",""),")",""),"*","")</f>
        <v/>
      </c>
      <c r="AZ519" s="61" t="str">
        <f aca="false">SUBSTITUTE(SUBSTITUTE(SUBSTITUTE(SUBSTITUTE(SUBSTITUTE(SUBSTITUTE(SUBSTITUTE(SUBSTITUTE(SUBSTITUTE(SUBSTITUTE(SUBSTITUTE(SUBSTITUTE(SUBSTITUTE(LOWER(AC519&amp;""),CHAR(160),"")," ",""),".",""),"-",""),"/",""),"?",""),"_",""),",",""),"[",""),"]",""),"(",""),")",""),"*","")</f>
        <v/>
      </c>
      <c r="BA519" s="61" t="str">
        <f aca="false">SUBSTITUTE(SUBSTITUTE(SUBSTITUTE(SUBSTITUTE(SUBSTITUTE(SUBSTITUTE(SUBSTITUTE(SUBSTITUTE(SUBSTITUTE(SUBSTITUTE(SUBSTITUTE(SUBSTITUTE(SUBSTITUTE(LOWER(AA519&amp;""),CHAR(160),"")," ",""),".",""),"-",""),"/",""),"?",""),"_",""),",",""),"[",""),"]",""),"(",""),")",""),"*","")</f>
        <v/>
      </c>
      <c r="BB519" s="61" t="str">
        <f aca="false">IF(AND(TRIM(U519)="Pass",ISNUMBER(AF519)),IF(AF519&lt;&gt;0,"INVALID – qty variance: use Fail or Pass after CA",""),"")&amp;IF(AND(TRIM(U519)="Pass after CA",ISNUMBER(AF519)),IF(AF519&lt;&gt;0,"INVALID – after the corrective action the actual qty must equal expected (update Actual)",""),"")&amp;IF(AND(TRIM(U519)="Pass",TRIM(AB519)&lt;&gt;"",TRIM(AB519)&lt;&gt;"Closed"),"INVALID – corrective action not closed: use Fail, then Pass after CA","")&amp;IF(AND(TRIM(AA519)&lt;&gt;"",TRIM(AB519)=""),"INVALID – CA status missing for the recorded corrective action","")&amp;IF(AND(TRIM(U519)="Pass after CA",OR(OR(LEN(BA519)&lt;5,ISNUMBER(MATCH(BA519,L_Placeholder,0))),TRIM(AB519)&lt;&gt;"Closed")),"INVALID – corrective action not recorded/closed","")</f>
        <v/>
      </c>
    </row>
    <row r="520" customFormat="false" ht="39.75" hidden="false" customHeight="true" outlineLevel="0" collapsed="false">
      <c r="A520" s="57" t="s">
        <v>1155</v>
      </c>
      <c r="B520" s="57" t="s">
        <v>277</v>
      </c>
      <c r="C520" s="57" t="str">
        <f aca="false">Flights!$F$20</f>
        <v>MH0072</v>
      </c>
      <c r="D520" s="58" t="n">
        <f aca="false">Flights!$D$20</f>
        <v>46321</v>
      </c>
      <c r="E520" s="57" t="str">
        <f aca="false">Flights!$G$20&amp;"-"&amp;Flights!$H$20</f>
        <v>KUL-HKG</v>
      </c>
      <c r="F520" s="57" t="str">
        <f aca="false">Flights!$K$20</f>
        <v>EY</v>
      </c>
      <c r="G520" s="57" t="s">
        <v>398</v>
      </c>
      <c r="H520" s="57" t="s">
        <v>356</v>
      </c>
      <c r="I520" s="57" t="s">
        <v>406</v>
      </c>
      <c r="J520" s="57" t="s">
        <v>411</v>
      </c>
      <c r="K520" s="67"/>
      <c r="L520" s="67" t="s">
        <v>400</v>
      </c>
      <c r="M520" s="67"/>
      <c r="N520" s="67" t="s">
        <v>361</v>
      </c>
      <c r="O520" s="67" t="s">
        <v>401</v>
      </c>
      <c r="P520" s="57" t="s">
        <v>184</v>
      </c>
      <c r="Q520" s="59" t="n">
        <f aca="false">ROUND((Flights!$AE$20)*1440,0)/1440</f>
        <v>46320.5486111111</v>
      </c>
      <c r="R520" s="59" t="n">
        <f aca="false">Q520+(IF(AND(INDEX(TZ_DSTS,MATCH(P520,TZ_STN,0))&lt;&gt;"",Q520&gt;=INDEX(TZ_DSTS,MATCH(P520,TZ_STN,0)),Q520&lt;INDEX(TZ_DSTE,MATCH(P520,TZ_STN,0))),INDEX(TZ_DST,MATCH(P520,TZ_STN,0)),INDEX(TZ_STD,MATCH(P520,TZ_STN,0))))/24</f>
        <v>46320.8819444444</v>
      </c>
      <c r="S520" s="59" t="n">
        <f aca="false">Q520-T12EarlyH/24</f>
        <v>46320.0486111111</v>
      </c>
      <c r="T520" s="60"/>
      <c r="U520" s="60"/>
      <c r="V520" s="60"/>
      <c r="W520" s="61"/>
      <c r="X520" s="60"/>
      <c r="Y520" s="60"/>
      <c r="Z520" s="60"/>
      <c r="AA520" s="60"/>
      <c r="AB520" s="60"/>
      <c r="AC520" s="60"/>
      <c r="AD520" s="66"/>
      <c r="AE520" s="60"/>
      <c r="AF520" s="61" t="str">
        <f aca="false">IF(AND(ISNUMBER(X520),ISNUMBER(Y520)),Y520-X520,"")</f>
        <v/>
      </c>
      <c r="AG520" s="62" t="str">
        <f aca="false">IF(ISNUMBER(AD520),AD520-(IF(AND(INDEX(TZ_DSTS,MATCH(P520,TZ_STN,0))&lt;&gt;"",(AD520-INDEX(TZ_STD,MATCH(P520,TZ_STN,0))/24)&gt;=INDEX(TZ_DSTS,MATCH(P520,TZ_STN,0)),(AD520-INDEX(TZ_STD,MATCH(P520,TZ_STN,0))/24)&lt;INDEX(TZ_DSTE,MATCH(P520,TZ_STN,0))),INDEX(TZ_DST,MATCH(P520,TZ_STN,0)),INDEX(TZ_STD,MATCH(P520,TZ_STN,0))))/24,"")</f>
        <v/>
      </c>
      <c r="AH520" s="65" t="str">
        <f aca="false">IFERROR(IF(N520="N/A – rule","N/A – RULE",IF(TRIM(U520)="N/A",IF(AT520=0,"INVALID – N/A not permitted for this check",IF(AND(TRIM(AB520)&lt;&gt;"",TRIM(AB520)&lt;&gt;"Closed"),"INVALID – corrective action still open",IF(AND(NOT(OR(LEN(AZ520)&lt;15,ISNUMBER(MATCH(AZ520,L_Placeholder,0)))),NOT(OR(LEN(AU520)&lt;2,ISNUMBER(MATCH(AU520,L_Placeholder,0)))),NOT(OR(LEN(AX520)&lt;2,ISNUMBER(MATCH(AX520,L_Placeholder,0)))),TRIM(AE520)&lt;&gt;TRIM(T520)),"N/A – JUSTIFIED","INVALID – N/A needs a real justification (15+ chars), PIC and a different verifier"))),IF(OR(TRIM(U520)="Pass",TRIM(U520)="Pass after CA"),IF(NOT(ISNUMBER(AD520)),"INVALID – completion time missing",IF(OR(LEN(AU520)&lt;2,ISNUMBER(MATCH(AU520,L_Placeholder,0))),"INVALID – PIC missing",IF(OR(LEN(AV520)&lt;2,ISNUMBER(MATCH(AV520,L_Placeholder,0))),"INVALID – result / assessment missing",IF(OR(OR(LEN(AW520)&lt;3,ISNUMBER(MATCH(AW520,L_Placeholder,0))),SUMPRODUCT(--ISNUMBER(SEARCH(L_EvidencePhrase,AW520)))&gt;0),"INVALID – evidence missing, placeholder or not yet on file",IF(OR(LEN(AX520)&lt;2,ISNUMBER(MATCH(AX520,L_Placeholder,0))),"INVALID – verifier missing",IF(AX520=AU520,"INVALID – verifier must be someone other than the PIC",IF(AND(TRIM(U520)="Pass",SUMPRODUCT(--ISNUMBER(SEARCH(L_ResultBad,AV520)))&gt;0),"INVALID – result describes a problem: use Fail, then Pass after CA",IF(AND(AQ520=1,OR(LEN(AY520)&lt;3,ISNUMBER(MATCH(AY520,L_Placeholder,0)))),"INVALID – batch ID missing or placeholder",IF(AND(AR520=1,OR(NOT(ISNUMBER(X520)),NOT(ISNUMBER(Y520)))),"INVALID – expected/actual qty missing",IF(AND(AR520=1,OR(X520&lt;=0,Y520&lt;0)),"INVALID – expected qty must be above 0 and actual not negative",IF(BB520&lt;&gt;"",BB520,IF(AND(AS520=1,Documents!$J$20&lt;&gt;"ON FILE"),"INVALID – GLD not on file (Documents sheet)",IF(AND(AS520=2,Documents!$O$20&lt;&gt;"ON FILE"),"INVALID – menu checklist not on file (Documents sheet)",IF(AND(AS520=3,NOT(ISNUMBER(Flights!$AX$20))),"INVALID – enter carrying flight KUL departure (Flights AX)",IF(AND(AS520=3,OR(Flights!$AZ$20&gt;Flights!$AA$20,Flights!$AX$20&lt;Flights!$AA$20-3)),"INVALID – carrying flight (Flights AX) cannot arrive before this leg's STD, or is over 3 days early",IF(AG520&gt;AsOfUTC,"INVALID – completion time is in the future",IF(AND(ISNUMBER(S520),AG520&lt;S520),IF(H520="Physical uplift","INVALID – before uplift window (cannot confirm loading)","INVALID – before valid window"),IF(AG520&gt;Flights!$AA$20,"INVALID – completed after departure (cannot establish readiness)",IF(AND(H520="Preparation",AG520&gt;IF(ISNUMBER(Flights!$BA$20),MIN(Flights!$BA$20,Flights!$AA$20),Flights!$AA$20)),"INVALID – completed after loading / departure (cannot establish readiness)",IF(AND(H520="Physical uplift",AG520&gt;Q520),"INVALID – recorded after the loading flight departed",IF(AG520&gt;Q520,"COMPLETE – LATE","COMPLETE"))))))))))))))))))))),IF(TRIM(U520)="Fail","FAIL – DISCREPANCY",IF(AND(TRIM(U520)&lt;&gt;"",TRIM(U520)&lt;&gt;"Not started",TRIM(U520)&lt;&gt;"In progress"),"INVALID – unrecognised status (use the list)",IF(AsOfUTC&gt;Q520,"OVERDUE",IF(N520="Clarification required","OPEN – CLARIFICATION","OPEN"))))))),"INVALID – error value in an input cell")</f>
        <v>OPEN</v>
      </c>
      <c r="AI520" s="61" t="n">
        <f aca="false">IF(OR(AH520="N/A – RULE",AH520="N/A – JUSTIFIED"),0,1)</f>
        <v>1</v>
      </c>
      <c r="AJ520" s="61" t="n">
        <f aca="false">IF(LEFT(AH520,8)="COMPLETE",1,0)</f>
        <v>0</v>
      </c>
      <c r="AK520" s="61" t="n">
        <f aca="false">IF(AND(AI520=1,AJ520=0,AsOfUTC&gt;Q520),1,0)</f>
        <v>0</v>
      </c>
      <c r="AL520" s="61" t="n">
        <f aca="false">IFERROR(IF(AND(AI520=1,OR(TRIM(U520)="Fail",AND(TRIM(AB520)&lt;&gt;"",TRIM(AB520)&lt;&gt;"Closed"),AND(ISNUMBER(AF520),AF520&lt;&gt;0,TRIM(U520)&lt;&gt;"Pass after CA"))),1,0),1)</f>
        <v>0</v>
      </c>
      <c r="AM520" s="61" t="n">
        <f aca="false">IF(LEFT(AH520,7)="INVALID",1,0)</f>
        <v>0</v>
      </c>
      <c r="AN520" s="61" t="n">
        <f aca="false">IF(AND(N520="Clarification required",AI520=1,AJ520=0),1,0)</f>
        <v>0</v>
      </c>
      <c r="AO520" s="61" t="str">
        <f aca="false">IF(AK520=1,SUM(AK$5:AK520),"")</f>
        <v/>
      </c>
      <c r="AP520" s="61" t="str">
        <f aca="false">IF(AL520=1,SUM(AL$5:AL520),"")</f>
        <v/>
      </c>
      <c r="AQ520" s="61" t="n">
        <v>0</v>
      </c>
      <c r="AR520" s="61" t="n">
        <v>0</v>
      </c>
      <c r="AS520" s="61" t="n">
        <v>0</v>
      </c>
      <c r="AT520" s="61" t="n">
        <v>0</v>
      </c>
      <c r="AU520" s="61" t="str">
        <f aca="false">SUBSTITUTE(SUBSTITUTE(SUBSTITUTE(SUBSTITUTE(SUBSTITUTE(SUBSTITUTE(SUBSTITUTE(SUBSTITUTE(SUBSTITUTE(SUBSTITUTE(SUBSTITUTE(SUBSTITUTE(SUBSTITUTE(LOWER(T520&amp;""),CHAR(160),"")," ",""),".",""),"-",""),"/",""),"?",""),"_",""),",",""),"[",""),"]",""),"(",""),")",""),"*","")</f>
        <v/>
      </c>
      <c r="AV520" s="61" t="str">
        <f aca="false">SUBSTITUTE(SUBSTITUTE(SUBSTITUTE(SUBSTITUTE(SUBSTITUTE(SUBSTITUTE(SUBSTITUTE(SUBSTITUTE(SUBSTITUTE(SUBSTITUTE(SUBSTITUTE(SUBSTITUTE(SUBSTITUTE(LOWER(V520&amp;""),CHAR(160),"")," ",""),".",""),"-",""),"/",""),"?",""),"_",""),",",""),"[",""),"]",""),"(",""),")",""),"*","")</f>
        <v/>
      </c>
      <c r="AW520" s="61" t="str">
        <f aca="false">SUBSTITUTE(SUBSTITUTE(SUBSTITUTE(SUBSTITUTE(SUBSTITUTE(SUBSTITUTE(SUBSTITUTE(SUBSTITUTE(SUBSTITUTE(SUBSTITUTE(SUBSTITUTE(SUBSTITUTE(SUBSTITUTE(LOWER(Z520&amp;""),CHAR(160),"")," ",""),".",""),"-",""),"/",""),"?",""),"_",""),",",""),"[",""),"]",""),"(",""),")",""),"*","")</f>
        <v/>
      </c>
      <c r="AX520" s="61" t="str">
        <f aca="false">SUBSTITUTE(SUBSTITUTE(SUBSTITUTE(SUBSTITUTE(SUBSTITUTE(SUBSTITUTE(SUBSTITUTE(SUBSTITUTE(SUBSTITUTE(SUBSTITUTE(SUBSTITUTE(SUBSTITUTE(SUBSTITUTE(LOWER(AE520&amp;""),CHAR(160),"")," ",""),".",""),"-",""),"/",""),"?",""),"_",""),",",""),"[",""),"]",""),"(",""),")",""),"*","")</f>
        <v/>
      </c>
      <c r="AY520" s="61" t="str">
        <f aca="false">SUBSTITUTE(SUBSTITUTE(SUBSTITUTE(SUBSTITUTE(SUBSTITUTE(SUBSTITUTE(SUBSTITUTE(SUBSTITUTE(SUBSTITUTE(SUBSTITUTE(SUBSTITUTE(SUBSTITUTE(SUBSTITUTE(LOWER(W520&amp;""),CHAR(160),"")," ",""),".",""),"-",""),"/",""),"?",""),"_",""),",",""),"[",""),"]",""),"(",""),")",""),"*","")</f>
        <v/>
      </c>
      <c r="AZ520" s="61" t="str">
        <f aca="false">SUBSTITUTE(SUBSTITUTE(SUBSTITUTE(SUBSTITUTE(SUBSTITUTE(SUBSTITUTE(SUBSTITUTE(SUBSTITUTE(SUBSTITUTE(SUBSTITUTE(SUBSTITUTE(SUBSTITUTE(SUBSTITUTE(LOWER(AC520&amp;""),CHAR(160),"")," ",""),".",""),"-",""),"/",""),"?",""),"_",""),",",""),"[",""),"]",""),"(",""),")",""),"*","")</f>
        <v/>
      </c>
      <c r="BA520" s="61" t="str">
        <f aca="false">SUBSTITUTE(SUBSTITUTE(SUBSTITUTE(SUBSTITUTE(SUBSTITUTE(SUBSTITUTE(SUBSTITUTE(SUBSTITUTE(SUBSTITUTE(SUBSTITUTE(SUBSTITUTE(SUBSTITUTE(SUBSTITUTE(LOWER(AA520&amp;""),CHAR(160),"")," ",""),".",""),"-",""),"/",""),"?",""),"_",""),",",""),"[",""),"]",""),"(",""),")",""),"*","")</f>
        <v/>
      </c>
      <c r="BB520" s="61" t="str">
        <f aca="false">IF(AND(TRIM(U520)="Pass",ISNUMBER(AF520)),IF(AF520&lt;&gt;0,"INVALID – qty variance: use Fail or Pass after CA",""),"")&amp;IF(AND(TRIM(U520)="Pass after CA",ISNUMBER(AF520)),IF(AF520&lt;&gt;0,"INVALID – after the corrective action the actual qty must equal expected (update Actual)",""),"")&amp;IF(AND(TRIM(U520)="Pass",TRIM(AB520)&lt;&gt;"",TRIM(AB520)&lt;&gt;"Closed"),"INVALID – corrective action not closed: use Fail, then Pass after CA","")&amp;IF(AND(TRIM(AA520)&lt;&gt;"",TRIM(AB520)=""),"INVALID – CA status missing for the recorded corrective action","")&amp;IF(AND(TRIM(U520)="Pass after CA",OR(OR(LEN(BA520)&lt;5,ISNUMBER(MATCH(BA520,L_Placeholder,0))),TRIM(AB520)&lt;&gt;"Closed")),"INVALID – corrective action not recorded/closed","")</f>
        <v/>
      </c>
    </row>
    <row r="521" customFormat="false" ht="78.75" hidden="false" customHeight="true" outlineLevel="0" collapsed="false">
      <c r="A521" s="57" t="s">
        <v>1156</v>
      </c>
      <c r="B521" s="57" t="s">
        <v>277</v>
      </c>
      <c r="C521" s="57" t="str">
        <f aca="false">Flights!$F$20</f>
        <v>MH0072</v>
      </c>
      <c r="D521" s="58" t="n">
        <f aca="false">Flights!$D$20</f>
        <v>46321</v>
      </c>
      <c r="E521" s="57" t="str">
        <f aca="false">Flights!$G$20&amp;"-"&amp;Flights!$H$20</f>
        <v>KUL-HKG</v>
      </c>
      <c r="F521" s="57" t="str">
        <f aca="false">Flights!$K$20</f>
        <v>EY</v>
      </c>
      <c r="G521" s="57" t="s">
        <v>398</v>
      </c>
      <c r="H521" s="57" t="s">
        <v>356</v>
      </c>
      <c r="I521" s="57" t="s">
        <v>406</v>
      </c>
      <c r="J521" s="57" t="s">
        <v>413</v>
      </c>
      <c r="K521" s="67" t="s">
        <v>469</v>
      </c>
      <c r="L521" s="67" t="s">
        <v>400</v>
      </c>
      <c r="M521" s="67"/>
      <c r="N521" s="67" t="s">
        <v>361</v>
      </c>
      <c r="O521" s="67" t="s">
        <v>401</v>
      </c>
      <c r="P521" s="57" t="s">
        <v>184</v>
      </c>
      <c r="Q521" s="59" t="n">
        <f aca="false">ROUND((Flights!$AE$20)*1440,0)/1440</f>
        <v>46320.5486111111</v>
      </c>
      <c r="R521" s="59" t="n">
        <f aca="false">Q521+(IF(AND(INDEX(TZ_DSTS,MATCH(P521,TZ_STN,0))&lt;&gt;"",Q521&gt;=INDEX(TZ_DSTS,MATCH(P521,TZ_STN,0)),Q521&lt;INDEX(TZ_DSTE,MATCH(P521,TZ_STN,0))),INDEX(TZ_DST,MATCH(P521,TZ_STN,0)),INDEX(TZ_STD,MATCH(P521,TZ_STN,0))))/24</f>
        <v>46320.8819444444</v>
      </c>
      <c r="S521" s="59" t="n">
        <f aca="false">Q521-T12EarlyH/24</f>
        <v>46320.0486111111</v>
      </c>
      <c r="T521" s="60"/>
      <c r="U521" s="60"/>
      <c r="V521" s="60"/>
      <c r="W521" s="61"/>
      <c r="X521" s="60"/>
      <c r="Y521" s="60"/>
      <c r="Z521" s="60"/>
      <c r="AA521" s="60"/>
      <c r="AB521" s="60"/>
      <c r="AC521" s="60"/>
      <c r="AD521" s="66"/>
      <c r="AE521" s="60"/>
      <c r="AF521" s="61" t="str">
        <f aca="false">IF(AND(ISNUMBER(X521),ISNUMBER(Y521)),Y521-X521,"")</f>
        <v/>
      </c>
      <c r="AG521" s="62" t="str">
        <f aca="false">IF(ISNUMBER(AD521),AD521-(IF(AND(INDEX(TZ_DSTS,MATCH(P521,TZ_STN,0))&lt;&gt;"",(AD521-INDEX(TZ_STD,MATCH(P521,TZ_STN,0))/24)&gt;=INDEX(TZ_DSTS,MATCH(P521,TZ_STN,0)),(AD521-INDEX(TZ_STD,MATCH(P521,TZ_STN,0))/24)&lt;INDEX(TZ_DSTE,MATCH(P521,TZ_STN,0))),INDEX(TZ_DST,MATCH(P521,TZ_STN,0)),INDEX(TZ_STD,MATCH(P521,TZ_STN,0))))/24,"")</f>
        <v/>
      </c>
      <c r="AH521" s="65" t="str">
        <f aca="false">IFERROR(IF(N521="N/A – rule","N/A – RULE",IF(TRIM(U521)="N/A",IF(AT521=0,"INVALID – N/A not permitted for this check",IF(AND(TRIM(AB521)&lt;&gt;"",TRIM(AB521)&lt;&gt;"Closed"),"INVALID – corrective action still open",IF(AND(NOT(OR(LEN(AZ521)&lt;15,ISNUMBER(MATCH(AZ521,L_Placeholder,0)))),NOT(OR(LEN(AU521)&lt;2,ISNUMBER(MATCH(AU521,L_Placeholder,0)))),NOT(OR(LEN(AX521)&lt;2,ISNUMBER(MATCH(AX521,L_Placeholder,0)))),TRIM(AE521)&lt;&gt;TRIM(T521)),"N/A – JUSTIFIED","INVALID – N/A needs a real justification (15+ chars), PIC and a different verifier"))),IF(OR(TRIM(U521)="Pass",TRIM(U521)="Pass after CA"),IF(NOT(ISNUMBER(AD521)),"INVALID – completion time missing",IF(OR(LEN(AU521)&lt;2,ISNUMBER(MATCH(AU521,L_Placeholder,0))),"INVALID – PIC missing",IF(OR(LEN(AV521)&lt;2,ISNUMBER(MATCH(AV521,L_Placeholder,0))),"INVALID – result / assessment missing",IF(OR(OR(LEN(AW521)&lt;3,ISNUMBER(MATCH(AW521,L_Placeholder,0))),SUMPRODUCT(--ISNUMBER(SEARCH(L_EvidencePhrase,AW521)))&gt;0),"INVALID – evidence missing, placeholder or not yet on file",IF(OR(LEN(AX521)&lt;2,ISNUMBER(MATCH(AX521,L_Placeholder,0))),"INVALID – verifier missing",IF(AX521=AU521,"INVALID – verifier must be someone other than the PIC",IF(AND(TRIM(U521)="Pass",SUMPRODUCT(--ISNUMBER(SEARCH(L_ResultBad,AV521)))&gt;0),"INVALID – result describes a problem: use Fail, then Pass after CA",IF(AND(AQ521=1,OR(LEN(AY521)&lt;3,ISNUMBER(MATCH(AY521,L_Placeholder,0)))),"INVALID – batch ID missing or placeholder",IF(AND(AR521=1,OR(NOT(ISNUMBER(X521)),NOT(ISNUMBER(Y521)))),"INVALID – expected/actual qty missing",IF(AND(AR521=1,OR(X521&lt;=0,Y521&lt;0)),"INVALID – expected qty must be above 0 and actual not negative",IF(BB521&lt;&gt;"",BB521,IF(AND(AS521=1,Documents!$J$20&lt;&gt;"ON FILE"),"INVALID – GLD not on file (Documents sheet)",IF(AND(AS521=2,Documents!$O$20&lt;&gt;"ON FILE"),"INVALID – menu checklist not on file (Documents sheet)",IF(AND(AS521=3,NOT(ISNUMBER(Flights!$AX$20))),"INVALID – enter carrying flight KUL departure (Flights AX)",IF(AND(AS521=3,OR(Flights!$AZ$20&gt;Flights!$AA$20,Flights!$AX$20&lt;Flights!$AA$20-3)),"INVALID – carrying flight (Flights AX) cannot arrive before this leg's STD, or is over 3 days early",IF(AG521&gt;AsOfUTC,"INVALID – completion time is in the future",IF(AND(ISNUMBER(S521),AG521&lt;S521),IF(H521="Physical uplift","INVALID – before uplift window (cannot confirm loading)","INVALID – before valid window"),IF(AG521&gt;Flights!$AA$20,"INVALID – completed after departure (cannot establish readiness)",IF(AND(H521="Preparation",AG521&gt;IF(ISNUMBER(Flights!$BA$20),MIN(Flights!$BA$20,Flights!$AA$20),Flights!$AA$20)),"INVALID – completed after loading / departure (cannot establish readiness)",IF(AND(H521="Physical uplift",AG521&gt;Q521),"INVALID – recorded after the loading flight departed",IF(AG521&gt;Q521,"COMPLETE – LATE","COMPLETE"))))))))))))))))))))),IF(TRIM(U521)="Fail","FAIL – DISCREPANCY",IF(AND(TRIM(U521)&lt;&gt;"",TRIM(U521)&lt;&gt;"Not started",TRIM(U521)&lt;&gt;"In progress"),"INVALID – unrecognised status (use the list)",IF(AsOfUTC&gt;Q521,"OVERDUE",IF(N521="Clarification required","OPEN – CLARIFICATION","OPEN"))))))),"INVALID – error value in an input cell")</f>
        <v>OPEN</v>
      </c>
      <c r="AI521" s="61" t="n">
        <f aca="false">IF(OR(AH521="N/A – RULE",AH521="N/A – JUSTIFIED"),0,1)</f>
        <v>1</v>
      </c>
      <c r="AJ521" s="61" t="n">
        <f aca="false">IF(LEFT(AH521,8)="COMPLETE",1,0)</f>
        <v>0</v>
      </c>
      <c r="AK521" s="61" t="n">
        <f aca="false">IF(AND(AI521=1,AJ521=0,AsOfUTC&gt;Q521),1,0)</f>
        <v>0</v>
      </c>
      <c r="AL521" s="61" t="n">
        <f aca="false">IFERROR(IF(AND(AI521=1,OR(TRIM(U521)="Fail",AND(TRIM(AB521)&lt;&gt;"",TRIM(AB521)&lt;&gt;"Closed"),AND(ISNUMBER(AF521),AF521&lt;&gt;0,TRIM(U521)&lt;&gt;"Pass after CA"))),1,0),1)</f>
        <v>0</v>
      </c>
      <c r="AM521" s="61" t="n">
        <f aca="false">IF(LEFT(AH521,7)="INVALID",1,0)</f>
        <v>0</v>
      </c>
      <c r="AN521" s="61" t="n">
        <f aca="false">IF(AND(N521="Clarification required",AI521=1,AJ521=0),1,0)</f>
        <v>0</v>
      </c>
      <c r="AO521" s="61" t="str">
        <f aca="false">IF(AK521=1,SUM(AK$5:AK521),"")</f>
        <v/>
      </c>
      <c r="AP521" s="61" t="str">
        <f aca="false">IF(AL521=1,SUM(AL$5:AL521),"")</f>
        <v/>
      </c>
      <c r="AQ521" s="61" t="n">
        <v>0</v>
      </c>
      <c r="AR521" s="61" t="n">
        <v>1</v>
      </c>
      <c r="AS521" s="61" t="n">
        <v>0</v>
      </c>
      <c r="AT521" s="61" t="n">
        <v>0</v>
      </c>
      <c r="AU521" s="61" t="str">
        <f aca="false">SUBSTITUTE(SUBSTITUTE(SUBSTITUTE(SUBSTITUTE(SUBSTITUTE(SUBSTITUTE(SUBSTITUTE(SUBSTITUTE(SUBSTITUTE(SUBSTITUTE(SUBSTITUTE(SUBSTITUTE(SUBSTITUTE(LOWER(T521&amp;""),CHAR(160),"")," ",""),".",""),"-",""),"/",""),"?",""),"_",""),",",""),"[",""),"]",""),"(",""),")",""),"*","")</f>
        <v/>
      </c>
      <c r="AV521" s="61" t="str">
        <f aca="false">SUBSTITUTE(SUBSTITUTE(SUBSTITUTE(SUBSTITUTE(SUBSTITUTE(SUBSTITUTE(SUBSTITUTE(SUBSTITUTE(SUBSTITUTE(SUBSTITUTE(SUBSTITUTE(SUBSTITUTE(SUBSTITUTE(LOWER(V521&amp;""),CHAR(160),"")," ",""),".",""),"-",""),"/",""),"?",""),"_",""),",",""),"[",""),"]",""),"(",""),")",""),"*","")</f>
        <v/>
      </c>
      <c r="AW521" s="61" t="str">
        <f aca="false">SUBSTITUTE(SUBSTITUTE(SUBSTITUTE(SUBSTITUTE(SUBSTITUTE(SUBSTITUTE(SUBSTITUTE(SUBSTITUTE(SUBSTITUTE(SUBSTITUTE(SUBSTITUTE(SUBSTITUTE(SUBSTITUTE(LOWER(Z521&amp;""),CHAR(160),"")," ",""),".",""),"-",""),"/",""),"?",""),"_",""),",",""),"[",""),"]",""),"(",""),")",""),"*","")</f>
        <v/>
      </c>
      <c r="AX521" s="61" t="str">
        <f aca="false">SUBSTITUTE(SUBSTITUTE(SUBSTITUTE(SUBSTITUTE(SUBSTITUTE(SUBSTITUTE(SUBSTITUTE(SUBSTITUTE(SUBSTITUTE(SUBSTITUTE(SUBSTITUTE(SUBSTITUTE(SUBSTITUTE(LOWER(AE521&amp;""),CHAR(160),"")," ",""),".",""),"-",""),"/",""),"?",""),"_",""),",",""),"[",""),"]",""),"(",""),")",""),"*","")</f>
        <v/>
      </c>
      <c r="AY521" s="61" t="str">
        <f aca="false">SUBSTITUTE(SUBSTITUTE(SUBSTITUTE(SUBSTITUTE(SUBSTITUTE(SUBSTITUTE(SUBSTITUTE(SUBSTITUTE(SUBSTITUTE(SUBSTITUTE(SUBSTITUTE(SUBSTITUTE(SUBSTITUTE(LOWER(W521&amp;""),CHAR(160),"")," ",""),".",""),"-",""),"/",""),"?",""),"_",""),",",""),"[",""),"]",""),"(",""),")",""),"*","")</f>
        <v/>
      </c>
      <c r="AZ521" s="61" t="str">
        <f aca="false">SUBSTITUTE(SUBSTITUTE(SUBSTITUTE(SUBSTITUTE(SUBSTITUTE(SUBSTITUTE(SUBSTITUTE(SUBSTITUTE(SUBSTITUTE(SUBSTITUTE(SUBSTITUTE(SUBSTITUTE(SUBSTITUTE(LOWER(AC521&amp;""),CHAR(160),"")," ",""),".",""),"-",""),"/",""),"?",""),"_",""),",",""),"[",""),"]",""),"(",""),")",""),"*","")</f>
        <v/>
      </c>
      <c r="BA521" s="61" t="str">
        <f aca="false">SUBSTITUTE(SUBSTITUTE(SUBSTITUTE(SUBSTITUTE(SUBSTITUTE(SUBSTITUTE(SUBSTITUTE(SUBSTITUTE(SUBSTITUTE(SUBSTITUTE(SUBSTITUTE(SUBSTITUTE(SUBSTITUTE(LOWER(AA521&amp;""),CHAR(160),"")," ",""),".",""),"-",""),"/",""),"?",""),"_",""),",",""),"[",""),"]",""),"(",""),")",""),"*","")</f>
        <v/>
      </c>
      <c r="BB521" s="61" t="str">
        <f aca="false">IF(AND(TRIM(U521)="Pass",ISNUMBER(AF521)),IF(AF521&lt;&gt;0,"INVALID – qty variance: use Fail or Pass after CA",""),"")&amp;IF(AND(TRIM(U521)="Pass after CA",ISNUMBER(AF521)),IF(AF521&lt;&gt;0,"INVALID – after the corrective action the actual qty must equal expected (update Actual)",""),"")&amp;IF(AND(TRIM(U521)="Pass",TRIM(AB521)&lt;&gt;"",TRIM(AB521)&lt;&gt;"Closed"),"INVALID – corrective action not closed: use Fail, then Pass after CA","")&amp;IF(AND(TRIM(AA521)&lt;&gt;"",TRIM(AB521)=""),"INVALID – CA status missing for the recorded corrective action","")&amp;IF(AND(TRIM(U521)="Pass after CA",OR(OR(LEN(BA521)&lt;5,ISNUMBER(MATCH(BA521,L_Placeholder,0))),TRIM(AB521)&lt;&gt;"Closed")),"INVALID – corrective action not recorded/closed","")</f>
        <v/>
      </c>
    </row>
    <row r="522" customFormat="false" ht="39.75" hidden="false" customHeight="true" outlineLevel="0" collapsed="false">
      <c r="A522" s="57" t="s">
        <v>1157</v>
      </c>
      <c r="B522" s="57" t="s">
        <v>277</v>
      </c>
      <c r="C522" s="57" t="str">
        <f aca="false">Flights!$F$20</f>
        <v>MH0072</v>
      </c>
      <c r="D522" s="58" t="n">
        <f aca="false">Flights!$D$20</f>
        <v>46321</v>
      </c>
      <c r="E522" s="57" t="str">
        <f aca="false">Flights!$G$20&amp;"-"&amp;Flights!$H$20</f>
        <v>KUL-HKG</v>
      </c>
      <c r="F522" s="57" t="str">
        <f aca="false">Flights!$K$20</f>
        <v>EY</v>
      </c>
      <c r="G522" s="57" t="s">
        <v>398</v>
      </c>
      <c r="H522" s="57" t="s">
        <v>356</v>
      </c>
      <c r="I522" s="57" t="s">
        <v>406</v>
      </c>
      <c r="J522" s="57" t="s">
        <v>416</v>
      </c>
      <c r="K522" s="67"/>
      <c r="L522" s="67" t="s">
        <v>400</v>
      </c>
      <c r="M522" s="67"/>
      <c r="N522" s="67" t="s">
        <v>361</v>
      </c>
      <c r="O522" s="67" t="s">
        <v>401</v>
      </c>
      <c r="P522" s="57" t="s">
        <v>184</v>
      </c>
      <c r="Q522" s="59" t="n">
        <f aca="false">ROUND((Flights!$AE$20)*1440,0)/1440</f>
        <v>46320.5486111111</v>
      </c>
      <c r="R522" s="59" t="n">
        <f aca="false">Q522+(IF(AND(INDEX(TZ_DSTS,MATCH(P522,TZ_STN,0))&lt;&gt;"",Q522&gt;=INDEX(TZ_DSTS,MATCH(P522,TZ_STN,0)),Q522&lt;INDEX(TZ_DSTE,MATCH(P522,TZ_STN,0))),INDEX(TZ_DST,MATCH(P522,TZ_STN,0)),INDEX(TZ_STD,MATCH(P522,TZ_STN,0))))/24</f>
        <v>46320.8819444444</v>
      </c>
      <c r="S522" s="59" t="n">
        <f aca="false">Q522-T12EarlyH/24</f>
        <v>46320.0486111111</v>
      </c>
      <c r="T522" s="60"/>
      <c r="U522" s="60"/>
      <c r="V522" s="60"/>
      <c r="W522" s="61"/>
      <c r="X522" s="60"/>
      <c r="Y522" s="60"/>
      <c r="Z522" s="60"/>
      <c r="AA522" s="60"/>
      <c r="AB522" s="60"/>
      <c r="AC522" s="60"/>
      <c r="AD522" s="66"/>
      <c r="AE522" s="60"/>
      <c r="AF522" s="61" t="str">
        <f aca="false">IF(AND(ISNUMBER(X522),ISNUMBER(Y522)),Y522-X522,"")</f>
        <v/>
      </c>
      <c r="AG522" s="62" t="str">
        <f aca="false">IF(ISNUMBER(AD522),AD522-(IF(AND(INDEX(TZ_DSTS,MATCH(P522,TZ_STN,0))&lt;&gt;"",(AD522-INDEX(TZ_STD,MATCH(P522,TZ_STN,0))/24)&gt;=INDEX(TZ_DSTS,MATCH(P522,TZ_STN,0)),(AD522-INDEX(TZ_STD,MATCH(P522,TZ_STN,0))/24)&lt;INDEX(TZ_DSTE,MATCH(P522,TZ_STN,0))),INDEX(TZ_DST,MATCH(P522,TZ_STN,0)),INDEX(TZ_STD,MATCH(P522,TZ_STN,0))))/24,"")</f>
        <v/>
      </c>
      <c r="AH522" s="65" t="str">
        <f aca="false">IFERROR(IF(N522="N/A – rule","N/A – RULE",IF(TRIM(U522)="N/A",IF(AT522=0,"INVALID – N/A not permitted for this check",IF(AND(TRIM(AB522)&lt;&gt;"",TRIM(AB522)&lt;&gt;"Closed"),"INVALID – corrective action still open",IF(AND(NOT(OR(LEN(AZ522)&lt;15,ISNUMBER(MATCH(AZ522,L_Placeholder,0)))),NOT(OR(LEN(AU522)&lt;2,ISNUMBER(MATCH(AU522,L_Placeholder,0)))),NOT(OR(LEN(AX522)&lt;2,ISNUMBER(MATCH(AX522,L_Placeholder,0)))),TRIM(AE522)&lt;&gt;TRIM(T522)),"N/A – JUSTIFIED","INVALID – N/A needs a real justification (15+ chars), PIC and a different verifier"))),IF(OR(TRIM(U522)="Pass",TRIM(U522)="Pass after CA"),IF(NOT(ISNUMBER(AD522)),"INVALID – completion time missing",IF(OR(LEN(AU522)&lt;2,ISNUMBER(MATCH(AU522,L_Placeholder,0))),"INVALID – PIC missing",IF(OR(LEN(AV522)&lt;2,ISNUMBER(MATCH(AV522,L_Placeholder,0))),"INVALID – result / assessment missing",IF(OR(OR(LEN(AW522)&lt;3,ISNUMBER(MATCH(AW522,L_Placeholder,0))),SUMPRODUCT(--ISNUMBER(SEARCH(L_EvidencePhrase,AW522)))&gt;0),"INVALID – evidence missing, placeholder or not yet on file",IF(OR(LEN(AX522)&lt;2,ISNUMBER(MATCH(AX522,L_Placeholder,0))),"INVALID – verifier missing",IF(AX522=AU522,"INVALID – verifier must be someone other than the PIC",IF(AND(TRIM(U522)="Pass",SUMPRODUCT(--ISNUMBER(SEARCH(L_ResultBad,AV522)))&gt;0),"INVALID – result describes a problem: use Fail, then Pass after CA",IF(AND(AQ522=1,OR(LEN(AY522)&lt;3,ISNUMBER(MATCH(AY522,L_Placeholder,0)))),"INVALID – batch ID missing or placeholder",IF(AND(AR522=1,OR(NOT(ISNUMBER(X522)),NOT(ISNUMBER(Y522)))),"INVALID – expected/actual qty missing",IF(AND(AR522=1,OR(X522&lt;=0,Y522&lt;0)),"INVALID – expected qty must be above 0 and actual not negative",IF(BB522&lt;&gt;"",BB522,IF(AND(AS522=1,Documents!$J$20&lt;&gt;"ON FILE"),"INVALID – GLD not on file (Documents sheet)",IF(AND(AS522=2,Documents!$O$20&lt;&gt;"ON FILE"),"INVALID – menu checklist not on file (Documents sheet)",IF(AND(AS522=3,NOT(ISNUMBER(Flights!$AX$20))),"INVALID – enter carrying flight KUL departure (Flights AX)",IF(AND(AS522=3,OR(Flights!$AZ$20&gt;Flights!$AA$20,Flights!$AX$20&lt;Flights!$AA$20-3)),"INVALID – carrying flight (Flights AX) cannot arrive before this leg's STD, or is over 3 days early",IF(AG522&gt;AsOfUTC,"INVALID – completion time is in the future",IF(AND(ISNUMBER(S522),AG522&lt;S522),IF(H522="Physical uplift","INVALID – before uplift window (cannot confirm loading)","INVALID – before valid window"),IF(AG522&gt;Flights!$AA$20,"INVALID – completed after departure (cannot establish readiness)",IF(AND(H522="Preparation",AG522&gt;IF(ISNUMBER(Flights!$BA$20),MIN(Flights!$BA$20,Flights!$AA$20),Flights!$AA$20)),"INVALID – completed after loading / departure (cannot establish readiness)",IF(AND(H522="Physical uplift",AG522&gt;Q522),"INVALID – recorded after the loading flight departed",IF(AG522&gt;Q522,"COMPLETE – LATE","COMPLETE"))))))))))))))))))))),IF(TRIM(U522)="Fail","FAIL – DISCREPANCY",IF(AND(TRIM(U522)&lt;&gt;"",TRIM(U522)&lt;&gt;"Not started",TRIM(U522)&lt;&gt;"In progress"),"INVALID – unrecognised status (use the list)",IF(AsOfUTC&gt;Q522,"OVERDUE",IF(N522="Clarification required","OPEN – CLARIFICATION","OPEN"))))))),"INVALID – error value in an input cell")</f>
        <v>OPEN</v>
      </c>
      <c r="AI522" s="61" t="n">
        <f aca="false">IF(OR(AH522="N/A – RULE",AH522="N/A – JUSTIFIED"),0,1)</f>
        <v>1</v>
      </c>
      <c r="AJ522" s="61" t="n">
        <f aca="false">IF(LEFT(AH522,8)="COMPLETE",1,0)</f>
        <v>0</v>
      </c>
      <c r="AK522" s="61" t="n">
        <f aca="false">IF(AND(AI522=1,AJ522=0,AsOfUTC&gt;Q522),1,0)</f>
        <v>0</v>
      </c>
      <c r="AL522" s="61" t="n">
        <f aca="false">IFERROR(IF(AND(AI522=1,OR(TRIM(U522)="Fail",AND(TRIM(AB522)&lt;&gt;"",TRIM(AB522)&lt;&gt;"Closed"),AND(ISNUMBER(AF522),AF522&lt;&gt;0,TRIM(U522)&lt;&gt;"Pass after CA"))),1,0),1)</f>
        <v>0</v>
      </c>
      <c r="AM522" s="61" t="n">
        <f aca="false">IF(LEFT(AH522,7)="INVALID",1,0)</f>
        <v>0</v>
      </c>
      <c r="AN522" s="61" t="n">
        <f aca="false">IF(AND(N522="Clarification required",AI522=1,AJ522=0),1,0)</f>
        <v>0</v>
      </c>
      <c r="AO522" s="61" t="str">
        <f aca="false">IF(AK522=1,SUM(AK$5:AK522),"")</f>
        <v/>
      </c>
      <c r="AP522" s="61" t="str">
        <f aca="false">IF(AL522=1,SUM(AL$5:AL522),"")</f>
        <v/>
      </c>
      <c r="AQ522" s="61" t="n">
        <v>0</v>
      </c>
      <c r="AR522" s="61" t="n">
        <v>0</v>
      </c>
      <c r="AS522" s="61" t="n">
        <v>0</v>
      </c>
      <c r="AT522" s="61" t="n">
        <v>0</v>
      </c>
      <c r="AU522" s="61" t="str">
        <f aca="false">SUBSTITUTE(SUBSTITUTE(SUBSTITUTE(SUBSTITUTE(SUBSTITUTE(SUBSTITUTE(SUBSTITUTE(SUBSTITUTE(SUBSTITUTE(SUBSTITUTE(SUBSTITUTE(SUBSTITUTE(SUBSTITUTE(LOWER(T522&amp;""),CHAR(160),"")," ",""),".",""),"-",""),"/",""),"?",""),"_",""),",",""),"[",""),"]",""),"(",""),")",""),"*","")</f>
        <v/>
      </c>
      <c r="AV522" s="61" t="str">
        <f aca="false">SUBSTITUTE(SUBSTITUTE(SUBSTITUTE(SUBSTITUTE(SUBSTITUTE(SUBSTITUTE(SUBSTITUTE(SUBSTITUTE(SUBSTITUTE(SUBSTITUTE(SUBSTITUTE(SUBSTITUTE(SUBSTITUTE(LOWER(V522&amp;""),CHAR(160),"")," ",""),".",""),"-",""),"/",""),"?",""),"_",""),",",""),"[",""),"]",""),"(",""),")",""),"*","")</f>
        <v/>
      </c>
      <c r="AW522" s="61" t="str">
        <f aca="false">SUBSTITUTE(SUBSTITUTE(SUBSTITUTE(SUBSTITUTE(SUBSTITUTE(SUBSTITUTE(SUBSTITUTE(SUBSTITUTE(SUBSTITUTE(SUBSTITUTE(SUBSTITUTE(SUBSTITUTE(SUBSTITUTE(LOWER(Z522&amp;""),CHAR(160),"")," ",""),".",""),"-",""),"/",""),"?",""),"_",""),",",""),"[",""),"]",""),"(",""),")",""),"*","")</f>
        <v/>
      </c>
      <c r="AX522" s="61" t="str">
        <f aca="false">SUBSTITUTE(SUBSTITUTE(SUBSTITUTE(SUBSTITUTE(SUBSTITUTE(SUBSTITUTE(SUBSTITUTE(SUBSTITUTE(SUBSTITUTE(SUBSTITUTE(SUBSTITUTE(SUBSTITUTE(SUBSTITUTE(LOWER(AE522&amp;""),CHAR(160),"")," ",""),".",""),"-",""),"/",""),"?",""),"_",""),",",""),"[",""),"]",""),"(",""),")",""),"*","")</f>
        <v/>
      </c>
      <c r="AY522" s="61" t="str">
        <f aca="false">SUBSTITUTE(SUBSTITUTE(SUBSTITUTE(SUBSTITUTE(SUBSTITUTE(SUBSTITUTE(SUBSTITUTE(SUBSTITUTE(SUBSTITUTE(SUBSTITUTE(SUBSTITUTE(SUBSTITUTE(SUBSTITUTE(LOWER(W522&amp;""),CHAR(160),"")," ",""),".",""),"-",""),"/",""),"?",""),"_",""),",",""),"[",""),"]",""),"(",""),")",""),"*","")</f>
        <v/>
      </c>
      <c r="AZ522" s="61" t="str">
        <f aca="false">SUBSTITUTE(SUBSTITUTE(SUBSTITUTE(SUBSTITUTE(SUBSTITUTE(SUBSTITUTE(SUBSTITUTE(SUBSTITUTE(SUBSTITUTE(SUBSTITUTE(SUBSTITUTE(SUBSTITUTE(SUBSTITUTE(LOWER(AC522&amp;""),CHAR(160),"")," ",""),".",""),"-",""),"/",""),"?",""),"_",""),",",""),"[",""),"]",""),"(",""),")",""),"*","")</f>
        <v/>
      </c>
      <c r="BA522" s="61" t="str">
        <f aca="false">SUBSTITUTE(SUBSTITUTE(SUBSTITUTE(SUBSTITUTE(SUBSTITUTE(SUBSTITUTE(SUBSTITUTE(SUBSTITUTE(SUBSTITUTE(SUBSTITUTE(SUBSTITUTE(SUBSTITUTE(SUBSTITUTE(LOWER(AA522&amp;""),CHAR(160),"")," ",""),".",""),"-",""),"/",""),"?",""),"_",""),",",""),"[",""),"]",""),"(",""),")",""),"*","")</f>
        <v/>
      </c>
      <c r="BB522" s="61" t="str">
        <f aca="false">IF(AND(TRIM(U522)="Pass",ISNUMBER(AF522)),IF(AF522&lt;&gt;0,"INVALID – qty variance: use Fail or Pass after CA",""),"")&amp;IF(AND(TRIM(U522)="Pass after CA",ISNUMBER(AF522)),IF(AF522&lt;&gt;0,"INVALID – after the corrective action the actual qty must equal expected (update Actual)",""),"")&amp;IF(AND(TRIM(U522)="Pass",TRIM(AB522)&lt;&gt;"",TRIM(AB522)&lt;&gt;"Closed"),"INVALID – corrective action not closed: use Fail, then Pass after CA","")&amp;IF(AND(TRIM(AA522)&lt;&gt;"",TRIM(AB522)=""),"INVALID – CA status missing for the recorded corrective action","")&amp;IF(AND(TRIM(U522)="Pass after CA",OR(OR(LEN(BA522)&lt;5,ISNUMBER(MATCH(BA522,L_Placeholder,0))),TRIM(AB522)&lt;&gt;"Closed")),"INVALID – corrective action not recorded/closed","")</f>
        <v/>
      </c>
    </row>
    <row r="523" customFormat="false" ht="41.25" hidden="false" customHeight="true" outlineLevel="0" collapsed="false">
      <c r="A523" s="57" t="s">
        <v>1158</v>
      </c>
      <c r="B523" s="57" t="s">
        <v>277</v>
      </c>
      <c r="C523" s="57" t="str">
        <f aca="false">Flights!$F$20</f>
        <v>MH0072</v>
      </c>
      <c r="D523" s="58" t="n">
        <f aca="false">Flights!$D$20</f>
        <v>46321</v>
      </c>
      <c r="E523" s="57" t="str">
        <f aca="false">Flights!$G$20&amp;"-"&amp;Flights!$H$20</f>
        <v>KUL-HKG</v>
      </c>
      <c r="F523" s="57" t="str">
        <f aca="false">Flights!$K$20</f>
        <v>EY</v>
      </c>
      <c r="G523" s="57" t="s">
        <v>398</v>
      </c>
      <c r="H523" s="57" t="s">
        <v>356</v>
      </c>
      <c r="I523" s="57" t="s">
        <v>425</v>
      </c>
      <c r="J523" s="57" t="s">
        <v>426</v>
      </c>
      <c r="K523" s="67" t="s">
        <v>427</v>
      </c>
      <c r="L523" s="67" t="s">
        <v>1159</v>
      </c>
      <c r="M523" s="67" t="s">
        <v>429</v>
      </c>
      <c r="N523" s="67" t="s">
        <v>361</v>
      </c>
      <c r="O523" s="67" t="s">
        <v>481</v>
      </c>
      <c r="P523" s="57" t="s">
        <v>184</v>
      </c>
      <c r="Q523" s="59" t="n">
        <f aca="false">ROUND((Flights!$AE$20)*1440,0)/1440</f>
        <v>46320.5486111111</v>
      </c>
      <c r="R523" s="59" t="n">
        <f aca="false">Q523+(IF(AND(INDEX(TZ_DSTS,MATCH(P523,TZ_STN,0))&lt;&gt;"",Q523&gt;=INDEX(TZ_DSTS,MATCH(P523,TZ_STN,0)),Q523&lt;INDEX(TZ_DSTE,MATCH(P523,TZ_STN,0))),INDEX(TZ_DST,MATCH(P523,TZ_STN,0)),INDEX(TZ_STD,MATCH(P523,TZ_STN,0))))/24</f>
        <v>46320.8819444444</v>
      </c>
      <c r="S523" s="59" t="n">
        <f aca="false">Q523-T12EarlyH/24</f>
        <v>46320.0486111111</v>
      </c>
      <c r="T523" s="60"/>
      <c r="U523" s="60"/>
      <c r="V523" s="60"/>
      <c r="W523" s="61"/>
      <c r="X523" s="60"/>
      <c r="Y523" s="60"/>
      <c r="Z523" s="60"/>
      <c r="AA523" s="60"/>
      <c r="AB523" s="60"/>
      <c r="AC523" s="60"/>
      <c r="AD523" s="66"/>
      <c r="AE523" s="60"/>
      <c r="AF523" s="61" t="str">
        <f aca="false">IF(AND(ISNUMBER(X523),ISNUMBER(Y523)),Y523-X523,"")</f>
        <v/>
      </c>
      <c r="AG523" s="62" t="str">
        <f aca="false">IF(ISNUMBER(AD523),AD523-(IF(AND(INDEX(TZ_DSTS,MATCH(P523,TZ_STN,0))&lt;&gt;"",(AD523-INDEX(TZ_STD,MATCH(P523,TZ_STN,0))/24)&gt;=INDEX(TZ_DSTS,MATCH(P523,TZ_STN,0)),(AD523-INDEX(TZ_STD,MATCH(P523,TZ_STN,0))/24)&lt;INDEX(TZ_DSTE,MATCH(P523,TZ_STN,0))),INDEX(TZ_DST,MATCH(P523,TZ_STN,0)),INDEX(TZ_STD,MATCH(P523,TZ_STN,0))))/24,"")</f>
        <v/>
      </c>
      <c r="AH523" s="65" t="str">
        <f aca="false">IFERROR(IF(N523="N/A – rule","N/A – RULE",IF(TRIM(U523)="N/A",IF(AT523=0,"INVALID – N/A not permitted for this check",IF(AND(TRIM(AB523)&lt;&gt;"",TRIM(AB523)&lt;&gt;"Closed"),"INVALID – corrective action still open",IF(AND(NOT(OR(LEN(AZ523)&lt;15,ISNUMBER(MATCH(AZ523,L_Placeholder,0)))),NOT(OR(LEN(AU523)&lt;2,ISNUMBER(MATCH(AU523,L_Placeholder,0)))),NOT(OR(LEN(AX523)&lt;2,ISNUMBER(MATCH(AX523,L_Placeholder,0)))),TRIM(AE523)&lt;&gt;TRIM(T523)),"N/A – JUSTIFIED","INVALID – N/A needs a real justification (15+ chars), PIC and a different verifier"))),IF(OR(TRIM(U523)="Pass",TRIM(U523)="Pass after CA"),IF(NOT(ISNUMBER(AD523)),"INVALID – completion time missing",IF(OR(LEN(AU523)&lt;2,ISNUMBER(MATCH(AU523,L_Placeholder,0))),"INVALID – PIC missing",IF(OR(LEN(AV523)&lt;2,ISNUMBER(MATCH(AV523,L_Placeholder,0))),"INVALID – result / assessment missing",IF(OR(OR(LEN(AW523)&lt;3,ISNUMBER(MATCH(AW523,L_Placeholder,0))),SUMPRODUCT(--ISNUMBER(SEARCH(L_EvidencePhrase,AW523)))&gt;0),"INVALID – evidence missing, placeholder or not yet on file",IF(OR(LEN(AX523)&lt;2,ISNUMBER(MATCH(AX523,L_Placeholder,0))),"INVALID – verifier missing",IF(AX523=AU523,"INVALID – verifier must be someone other than the PIC",IF(AND(TRIM(U523)="Pass",SUMPRODUCT(--ISNUMBER(SEARCH(L_ResultBad,AV523)))&gt;0),"INVALID – result describes a problem: use Fail, then Pass after CA",IF(AND(AQ523=1,OR(LEN(AY523)&lt;3,ISNUMBER(MATCH(AY523,L_Placeholder,0)))),"INVALID – batch ID missing or placeholder",IF(AND(AR523=1,OR(NOT(ISNUMBER(X523)),NOT(ISNUMBER(Y523)))),"INVALID – expected/actual qty missing",IF(AND(AR523=1,OR(X523&lt;=0,Y523&lt;0)),"INVALID – expected qty must be above 0 and actual not negative",IF(BB523&lt;&gt;"",BB523,IF(AND(AS523=1,Documents!$J$20&lt;&gt;"ON FILE"),"INVALID – GLD not on file (Documents sheet)",IF(AND(AS523=2,Documents!$O$20&lt;&gt;"ON FILE"),"INVALID – menu checklist not on file (Documents sheet)",IF(AND(AS523=3,NOT(ISNUMBER(Flights!$AX$20))),"INVALID – enter carrying flight KUL departure (Flights AX)",IF(AND(AS523=3,OR(Flights!$AZ$20&gt;Flights!$AA$20,Flights!$AX$20&lt;Flights!$AA$20-3)),"INVALID – carrying flight (Flights AX) cannot arrive before this leg's STD, or is over 3 days early",IF(AG523&gt;AsOfUTC,"INVALID – completion time is in the future",IF(AND(ISNUMBER(S523),AG523&lt;S523),IF(H523="Physical uplift","INVALID – before uplift window (cannot confirm loading)","INVALID – before valid window"),IF(AG523&gt;Flights!$AA$20,"INVALID – completed after departure (cannot establish readiness)",IF(AND(H523="Preparation",AG523&gt;IF(ISNUMBER(Flights!$BA$20),MIN(Flights!$BA$20,Flights!$AA$20),Flights!$AA$20)),"INVALID – completed after loading / departure (cannot establish readiness)",IF(AND(H523="Physical uplift",AG523&gt;Q523),"INVALID – recorded after the loading flight departed",IF(AG523&gt;Q523,"COMPLETE – LATE","COMPLETE"))))))))))))))))))))),IF(TRIM(U523)="Fail","FAIL – DISCREPANCY",IF(AND(TRIM(U523)&lt;&gt;"",TRIM(U523)&lt;&gt;"Not started",TRIM(U523)&lt;&gt;"In progress"),"INVALID – unrecognised status (use the list)",IF(AsOfUTC&gt;Q523,"OVERDUE",IF(N523="Clarification required","OPEN – CLARIFICATION","OPEN"))))))),"INVALID – error value in an input cell")</f>
        <v>OPEN</v>
      </c>
      <c r="AI523" s="61" t="n">
        <f aca="false">IF(OR(AH523="N/A – RULE",AH523="N/A – JUSTIFIED"),0,1)</f>
        <v>1</v>
      </c>
      <c r="AJ523" s="61" t="n">
        <f aca="false">IF(LEFT(AH523,8)="COMPLETE",1,0)</f>
        <v>0</v>
      </c>
      <c r="AK523" s="61" t="n">
        <f aca="false">IF(AND(AI523=1,AJ523=0,AsOfUTC&gt;Q523),1,0)</f>
        <v>0</v>
      </c>
      <c r="AL523" s="61" t="n">
        <f aca="false">IFERROR(IF(AND(AI523=1,OR(TRIM(U523)="Fail",AND(TRIM(AB523)&lt;&gt;"",TRIM(AB523)&lt;&gt;"Closed"),AND(ISNUMBER(AF523),AF523&lt;&gt;0,TRIM(U523)&lt;&gt;"Pass after CA"))),1,0),1)</f>
        <v>0</v>
      </c>
      <c r="AM523" s="61" t="n">
        <f aca="false">IF(LEFT(AH523,7)="INVALID",1,0)</f>
        <v>0</v>
      </c>
      <c r="AN523" s="61" t="n">
        <f aca="false">IF(AND(N523="Clarification required",AI523=1,AJ523=0),1,0)</f>
        <v>0</v>
      </c>
      <c r="AO523" s="61" t="str">
        <f aca="false">IF(AK523=1,SUM(AK$5:AK523),"")</f>
        <v/>
      </c>
      <c r="AP523" s="61" t="str">
        <f aca="false">IF(AL523=1,SUM(AL$5:AL523),"")</f>
        <v/>
      </c>
      <c r="AQ523" s="61" t="n">
        <v>0</v>
      </c>
      <c r="AR523" s="61" t="n">
        <v>0</v>
      </c>
      <c r="AS523" s="61" t="n">
        <v>0</v>
      </c>
      <c r="AT523" s="61" t="n">
        <v>0</v>
      </c>
      <c r="AU523" s="61" t="str">
        <f aca="false">SUBSTITUTE(SUBSTITUTE(SUBSTITUTE(SUBSTITUTE(SUBSTITUTE(SUBSTITUTE(SUBSTITUTE(SUBSTITUTE(SUBSTITUTE(SUBSTITUTE(SUBSTITUTE(SUBSTITUTE(SUBSTITUTE(LOWER(T523&amp;""),CHAR(160),"")," ",""),".",""),"-",""),"/",""),"?",""),"_",""),",",""),"[",""),"]",""),"(",""),")",""),"*","")</f>
        <v/>
      </c>
      <c r="AV523" s="61" t="str">
        <f aca="false">SUBSTITUTE(SUBSTITUTE(SUBSTITUTE(SUBSTITUTE(SUBSTITUTE(SUBSTITUTE(SUBSTITUTE(SUBSTITUTE(SUBSTITUTE(SUBSTITUTE(SUBSTITUTE(SUBSTITUTE(SUBSTITUTE(LOWER(V523&amp;""),CHAR(160),"")," ",""),".",""),"-",""),"/",""),"?",""),"_",""),",",""),"[",""),"]",""),"(",""),")",""),"*","")</f>
        <v/>
      </c>
      <c r="AW523" s="61" t="str">
        <f aca="false">SUBSTITUTE(SUBSTITUTE(SUBSTITUTE(SUBSTITUTE(SUBSTITUTE(SUBSTITUTE(SUBSTITUTE(SUBSTITUTE(SUBSTITUTE(SUBSTITUTE(SUBSTITUTE(SUBSTITUTE(SUBSTITUTE(LOWER(Z523&amp;""),CHAR(160),"")," ",""),".",""),"-",""),"/",""),"?",""),"_",""),",",""),"[",""),"]",""),"(",""),")",""),"*","")</f>
        <v/>
      </c>
      <c r="AX523" s="61" t="str">
        <f aca="false">SUBSTITUTE(SUBSTITUTE(SUBSTITUTE(SUBSTITUTE(SUBSTITUTE(SUBSTITUTE(SUBSTITUTE(SUBSTITUTE(SUBSTITUTE(SUBSTITUTE(SUBSTITUTE(SUBSTITUTE(SUBSTITUTE(LOWER(AE523&amp;""),CHAR(160),"")," ",""),".",""),"-",""),"/",""),"?",""),"_",""),",",""),"[",""),"]",""),"(",""),")",""),"*","")</f>
        <v/>
      </c>
      <c r="AY523" s="61" t="str">
        <f aca="false">SUBSTITUTE(SUBSTITUTE(SUBSTITUTE(SUBSTITUTE(SUBSTITUTE(SUBSTITUTE(SUBSTITUTE(SUBSTITUTE(SUBSTITUTE(SUBSTITUTE(SUBSTITUTE(SUBSTITUTE(SUBSTITUTE(LOWER(W523&amp;""),CHAR(160),"")," ",""),".",""),"-",""),"/",""),"?",""),"_",""),",",""),"[",""),"]",""),"(",""),")",""),"*","")</f>
        <v/>
      </c>
      <c r="AZ523" s="61" t="str">
        <f aca="false">SUBSTITUTE(SUBSTITUTE(SUBSTITUTE(SUBSTITUTE(SUBSTITUTE(SUBSTITUTE(SUBSTITUTE(SUBSTITUTE(SUBSTITUTE(SUBSTITUTE(SUBSTITUTE(SUBSTITUTE(SUBSTITUTE(LOWER(AC523&amp;""),CHAR(160),"")," ",""),".",""),"-",""),"/",""),"?",""),"_",""),",",""),"[",""),"]",""),"(",""),")",""),"*","")</f>
        <v/>
      </c>
      <c r="BA523" s="61" t="str">
        <f aca="false">SUBSTITUTE(SUBSTITUTE(SUBSTITUTE(SUBSTITUTE(SUBSTITUTE(SUBSTITUTE(SUBSTITUTE(SUBSTITUTE(SUBSTITUTE(SUBSTITUTE(SUBSTITUTE(SUBSTITUTE(SUBSTITUTE(LOWER(AA523&amp;""),CHAR(160),"")," ",""),".",""),"-",""),"/",""),"?",""),"_",""),",",""),"[",""),"]",""),"(",""),")",""),"*","")</f>
        <v/>
      </c>
      <c r="BB523" s="61" t="str">
        <f aca="false">IF(AND(TRIM(U523)="Pass",ISNUMBER(AF523)),IF(AF523&lt;&gt;0,"INVALID – qty variance: use Fail or Pass after CA",""),"")&amp;IF(AND(TRIM(U523)="Pass after CA",ISNUMBER(AF523)),IF(AF523&lt;&gt;0,"INVALID – after the corrective action the actual qty must equal expected (update Actual)",""),"")&amp;IF(AND(TRIM(U523)="Pass",TRIM(AB523)&lt;&gt;"",TRIM(AB523)&lt;&gt;"Closed"),"INVALID – corrective action not closed: use Fail, then Pass after CA","")&amp;IF(AND(TRIM(AA523)&lt;&gt;"",TRIM(AB523)=""),"INVALID – CA status missing for the recorded corrective action","")&amp;IF(AND(TRIM(U523)="Pass after CA",OR(OR(LEN(BA523)&lt;5,ISNUMBER(MATCH(BA523,L_Placeholder,0))),TRIM(AB523)&lt;&gt;"Closed")),"INVALID – corrective action not recorded/closed","")</f>
        <v/>
      </c>
    </row>
    <row r="524" customFormat="false" ht="116.25" hidden="false" customHeight="true" outlineLevel="0" collapsed="false">
      <c r="A524" s="57" t="s">
        <v>1160</v>
      </c>
      <c r="B524" s="57" t="s">
        <v>277</v>
      </c>
      <c r="C524" s="57" t="str">
        <f aca="false">Flights!$F$20</f>
        <v>MH0072</v>
      </c>
      <c r="D524" s="58" t="n">
        <f aca="false">Flights!$D$20</f>
        <v>46321</v>
      </c>
      <c r="E524" s="57" t="str">
        <f aca="false">Flights!$G$20&amp;"-"&amp;Flights!$H$20</f>
        <v>KUL-HKG</v>
      </c>
      <c r="F524" s="57" t="str">
        <f aca="false">Flights!$K$20</f>
        <v>EY</v>
      </c>
      <c r="G524" s="57" t="s">
        <v>398</v>
      </c>
      <c r="H524" s="57" t="s">
        <v>356</v>
      </c>
      <c r="I524" s="57" t="s">
        <v>425</v>
      </c>
      <c r="J524" s="57" t="s">
        <v>432</v>
      </c>
      <c r="K524" s="67" t="s">
        <v>427</v>
      </c>
      <c r="L524" s="67" t="s">
        <v>1161</v>
      </c>
      <c r="M524" s="67" t="s">
        <v>429</v>
      </c>
      <c r="N524" s="67" t="s">
        <v>422</v>
      </c>
      <c r="O524" s="67" t="s">
        <v>1162</v>
      </c>
      <c r="P524" s="57" t="s">
        <v>184</v>
      </c>
      <c r="Q524" s="59" t="n">
        <f aca="false">ROUND((Flights!$AE$20)*1440,0)/1440</f>
        <v>46320.5486111111</v>
      </c>
      <c r="R524" s="59" t="n">
        <f aca="false">Q524+(IF(AND(INDEX(TZ_DSTS,MATCH(P524,TZ_STN,0))&lt;&gt;"",Q524&gt;=INDEX(TZ_DSTS,MATCH(P524,TZ_STN,0)),Q524&lt;INDEX(TZ_DSTE,MATCH(P524,TZ_STN,0))),INDEX(TZ_DST,MATCH(P524,TZ_STN,0)),INDEX(TZ_STD,MATCH(P524,TZ_STN,0))))/24</f>
        <v>46320.8819444444</v>
      </c>
      <c r="S524" s="59" t="n">
        <f aca="false">Q524-T12EarlyH/24</f>
        <v>46320.0486111111</v>
      </c>
      <c r="T524" s="60"/>
      <c r="U524" s="60"/>
      <c r="V524" s="60"/>
      <c r="W524" s="61"/>
      <c r="X524" s="60"/>
      <c r="Y524" s="60"/>
      <c r="Z524" s="60"/>
      <c r="AA524" s="60"/>
      <c r="AB524" s="60"/>
      <c r="AC524" s="60"/>
      <c r="AD524" s="66"/>
      <c r="AE524" s="60"/>
      <c r="AF524" s="61" t="str">
        <f aca="false">IF(AND(ISNUMBER(X524),ISNUMBER(Y524)),Y524-X524,"")</f>
        <v/>
      </c>
      <c r="AG524" s="62" t="str">
        <f aca="false">IF(ISNUMBER(AD524),AD524-(IF(AND(INDEX(TZ_DSTS,MATCH(P524,TZ_STN,0))&lt;&gt;"",(AD524-INDEX(TZ_STD,MATCH(P524,TZ_STN,0))/24)&gt;=INDEX(TZ_DSTS,MATCH(P524,TZ_STN,0)),(AD524-INDEX(TZ_STD,MATCH(P524,TZ_STN,0))/24)&lt;INDEX(TZ_DSTE,MATCH(P524,TZ_STN,0))),INDEX(TZ_DST,MATCH(P524,TZ_STN,0)),INDEX(TZ_STD,MATCH(P524,TZ_STN,0))))/24,"")</f>
        <v/>
      </c>
      <c r="AH524" s="65" t="str">
        <f aca="false">IFERROR(IF(N524="N/A – rule","N/A – RULE",IF(TRIM(U524)="N/A",IF(AT524=0,"INVALID – N/A not permitted for this check",IF(AND(TRIM(AB524)&lt;&gt;"",TRIM(AB524)&lt;&gt;"Closed"),"INVALID – corrective action still open",IF(AND(NOT(OR(LEN(AZ524)&lt;15,ISNUMBER(MATCH(AZ524,L_Placeholder,0)))),NOT(OR(LEN(AU524)&lt;2,ISNUMBER(MATCH(AU524,L_Placeholder,0)))),NOT(OR(LEN(AX524)&lt;2,ISNUMBER(MATCH(AX524,L_Placeholder,0)))),TRIM(AE524)&lt;&gt;TRIM(T524)),"N/A – JUSTIFIED","INVALID – N/A needs a real justification (15+ chars), PIC and a different verifier"))),IF(OR(TRIM(U524)="Pass",TRIM(U524)="Pass after CA"),IF(NOT(ISNUMBER(AD524)),"INVALID – completion time missing",IF(OR(LEN(AU524)&lt;2,ISNUMBER(MATCH(AU524,L_Placeholder,0))),"INVALID – PIC missing",IF(OR(LEN(AV524)&lt;2,ISNUMBER(MATCH(AV524,L_Placeholder,0))),"INVALID – result / assessment missing",IF(OR(OR(LEN(AW524)&lt;3,ISNUMBER(MATCH(AW524,L_Placeholder,0))),SUMPRODUCT(--ISNUMBER(SEARCH(L_EvidencePhrase,AW524)))&gt;0),"INVALID – evidence missing, placeholder or not yet on file",IF(OR(LEN(AX524)&lt;2,ISNUMBER(MATCH(AX524,L_Placeholder,0))),"INVALID – verifier missing",IF(AX524=AU524,"INVALID – verifier must be someone other than the PIC",IF(AND(TRIM(U524)="Pass",SUMPRODUCT(--ISNUMBER(SEARCH(L_ResultBad,AV524)))&gt;0),"INVALID – result describes a problem: use Fail, then Pass after CA",IF(AND(AQ524=1,OR(LEN(AY524)&lt;3,ISNUMBER(MATCH(AY524,L_Placeholder,0)))),"INVALID – batch ID missing or placeholder",IF(AND(AR524=1,OR(NOT(ISNUMBER(X524)),NOT(ISNUMBER(Y524)))),"INVALID – expected/actual qty missing",IF(AND(AR524=1,OR(X524&lt;=0,Y524&lt;0)),"INVALID – expected qty must be above 0 and actual not negative",IF(BB524&lt;&gt;"",BB524,IF(AND(AS524=1,Documents!$J$20&lt;&gt;"ON FILE"),"INVALID – GLD not on file (Documents sheet)",IF(AND(AS524=2,Documents!$O$20&lt;&gt;"ON FILE"),"INVALID – menu checklist not on file (Documents sheet)",IF(AND(AS524=3,NOT(ISNUMBER(Flights!$AX$20))),"INVALID – enter carrying flight KUL departure (Flights AX)",IF(AND(AS524=3,OR(Flights!$AZ$20&gt;Flights!$AA$20,Flights!$AX$20&lt;Flights!$AA$20-3)),"INVALID – carrying flight (Flights AX) cannot arrive before this leg's STD, or is over 3 days early",IF(AG524&gt;AsOfUTC,"INVALID – completion time is in the future",IF(AND(ISNUMBER(S524),AG524&lt;S524),IF(H524="Physical uplift","INVALID – before uplift window (cannot confirm loading)","INVALID – before valid window"),IF(AG524&gt;Flights!$AA$20,"INVALID – completed after departure (cannot establish readiness)",IF(AND(H524="Preparation",AG524&gt;IF(ISNUMBER(Flights!$BA$20),MIN(Flights!$BA$20,Flights!$AA$20),Flights!$AA$20)),"INVALID – completed after loading / departure (cannot establish readiness)",IF(AND(H524="Physical uplift",AG524&gt;Q524),"INVALID – recorded after the loading flight departed",IF(AG524&gt;Q524,"COMPLETE – LATE","COMPLETE"))))))))))))))))))))),IF(TRIM(U524)="Fail","FAIL – DISCREPANCY",IF(AND(TRIM(U524)&lt;&gt;"",TRIM(U524)&lt;&gt;"Not started",TRIM(U524)&lt;&gt;"In progress"),"INVALID – unrecognised status (use the list)",IF(AsOfUTC&gt;Q524,"OVERDUE",IF(N524="Clarification required","OPEN – CLARIFICATION","OPEN"))))))),"INVALID – error value in an input cell")</f>
        <v>OPEN – CLARIFICATION</v>
      </c>
      <c r="AI524" s="61" t="n">
        <f aca="false">IF(OR(AH524="N/A – RULE",AH524="N/A – JUSTIFIED"),0,1)</f>
        <v>1</v>
      </c>
      <c r="AJ524" s="61" t="n">
        <f aca="false">IF(LEFT(AH524,8)="COMPLETE",1,0)</f>
        <v>0</v>
      </c>
      <c r="AK524" s="61" t="n">
        <f aca="false">IF(AND(AI524=1,AJ524=0,AsOfUTC&gt;Q524),1,0)</f>
        <v>0</v>
      </c>
      <c r="AL524" s="61" t="n">
        <f aca="false">IFERROR(IF(AND(AI524=1,OR(TRIM(U524)="Fail",AND(TRIM(AB524)&lt;&gt;"",TRIM(AB524)&lt;&gt;"Closed"),AND(ISNUMBER(AF524),AF524&lt;&gt;0,TRIM(U524)&lt;&gt;"Pass after CA"))),1,0),1)</f>
        <v>0</v>
      </c>
      <c r="AM524" s="61" t="n">
        <f aca="false">IF(LEFT(AH524,7)="INVALID",1,0)</f>
        <v>0</v>
      </c>
      <c r="AN524" s="61" t="n">
        <f aca="false">IF(AND(N524="Clarification required",AI524=1,AJ524=0),1,0)</f>
        <v>1</v>
      </c>
      <c r="AO524" s="61" t="str">
        <f aca="false">IF(AK524=1,SUM(AK$5:AK524),"")</f>
        <v/>
      </c>
      <c r="AP524" s="61" t="str">
        <f aca="false">IF(AL524=1,SUM(AL$5:AL524),"")</f>
        <v/>
      </c>
      <c r="AQ524" s="61" t="n">
        <v>0</v>
      </c>
      <c r="AR524" s="61" t="n">
        <v>0</v>
      </c>
      <c r="AS524" s="61" t="n">
        <v>0</v>
      </c>
      <c r="AT524" s="61" t="n">
        <v>1</v>
      </c>
      <c r="AU524" s="61" t="str">
        <f aca="false">SUBSTITUTE(SUBSTITUTE(SUBSTITUTE(SUBSTITUTE(SUBSTITUTE(SUBSTITUTE(SUBSTITUTE(SUBSTITUTE(SUBSTITUTE(SUBSTITUTE(SUBSTITUTE(SUBSTITUTE(SUBSTITUTE(LOWER(T524&amp;""),CHAR(160),"")," ",""),".",""),"-",""),"/",""),"?",""),"_",""),",",""),"[",""),"]",""),"(",""),")",""),"*","")</f>
        <v/>
      </c>
      <c r="AV524" s="61" t="str">
        <f aca="false">SUBSTITUTE(SUBSTITUTE(SUBSTITUTE(SUBSTITUTE(SUBSTITUTE(SUBSTITUTE(SUBSTITUTE(SUBSTITUTE(SUBSTITUTE(SUBSTITUTE(SUBSTITUTE(SUBSTITUTE(SUBSTITUTE(LOWER(V524&amp;""),CHAR(160),"")," ",""),".",""),"-",""),"/",""),"?",""),"_",""),",",""),"[",""),"]",""),"(",""),")",""),"*","")</f>
        <v/>
      </c>
      <c r="AW524" s="61" t="str">
        <f aca="false">SUBSTITUTE(SUBSTITUTE(SUBSTITUTE(SUBSTITUTE(SUBSTITUTE(SUBSTITUTE(SUBSTITUTE(SUBSTITUTE(SUBSTITUTE(SUBSTITUTE(SUBSTITUTE(SUBSTITUTE(SUBSTITUTE(LOWER(Z524&amp;""),CHAR(160),"")," ",""),".",""),"-",""),"/",""),"?",""),"_",""),",",""),"[",""),"]",""),"(",""),")",""),"*","")</f>
        <v/>
      </c>
      <c r="AX524" s="61" t="str">
        <f aca="false">SUBSTITUTE(SUBSTITUTE(SUBSTITUTE(SUBSTITUTE(SUBSTITUTE(SUBSTITUTE(SUBSTITUTE(SUBSTITUTE(SUBSTITUTE(SUBSTITUTE(SUBSTITUTE(SUBSTITUTE(SUBSTITUTE(LOWER(AE524&amp;""),CHAR(160),"")," ",""),".",""),"-",""),"/",""),"?",""),"_",""),",",""),"[",""),"]",""),"(",""),")",""),"*","")</f>
        <v/>
      </c>
      <c r="AY524" s="61" t="str">
        <f aca="false">SUBSTITUTE(SUBSTITUTE(SUBSTITUTE(SUBSTITUTE(SUBSTITUTE(SUBSTITUTE(SUBSTITUTE(SUBSTITUTE(SUBSTITUTE(SUBSTITUTE(SUBSTITUTE(SUBSTITUTE(SUBSTITUTE(LOWER(W524&amp;""),CHAR(160),"")," ",""),".",""),"-",""),"/",""),"?",""),"_",""),",",""),"[",""),"]",""),"(",""),")",""),"*","")</f>
        <v/>
      </c>
      <c r="AZ524" s="61" t="str">
        <f aca="false">SUBSTITUTE(SUBSTITUTE(SUBSTITUTE(SUBSTITUTE(SUBSTITUTE(SUBSTITUTE(SUBSTITUTE(SUBSTITUTE(SUBSTITUTE(SUBSTITUTE(SUBSTITUTE(SUBSTITUTE(SUBSTITUTE(LOWER(AC524&amp;""),CHAR(160),"")," ",""),".",""),"-",""),"/",""),"?",""),"_",""),",",""),"[",""),"]",""),"(",""),")",""),"*","")</f>
        <v/>
      </c>
      <c r="BA524" s="61" t="str">
        <f aca="false">SUBSTITUTE(SUBSTITUTE(SUBSTITUTE(SUBSTITUTE(SUBSTITUTE(SUBSTITUTE(SUBSTITUTE(SUBSTITUTE(SUBSTITUTE(SUBSTITUTE(SUBSTITUTE(SUBSTITUTE(SUBSTITUTE(LOWER(AA524&amp;""),CHAR(160),"")," ",""),".",""),"-",""),"/",""),"?",""),"_",""),",",""),"[",""),"]",""),"(",""),")",""),"*","")</f>
        <v/>
      </c>
      <c r="BB524" s="61" t="str">
        <f aca="false">IF(AND(TRIM(U524)="Pass",ISNUMBER(AF524)),IF(AF524&lt;&gt;0,"INVALID – qty variance: use Fail or Pass after CA",""),"")&amp;IF(AND(TRIM(U524)="Pass after CA",ISNUMBER(AF524)),IF(AF524&lt;&gt;0,"INVALID – after the corrective action the actual qty must equal expected (update Actual)",""),"")&amp;IF(AND(TRIM(U524)="Pass",TRIM(AB524)&lt;&gt;"",TRIM(AB524)&lt;&gt;"Closed"),"INVALID – corrective action not closed: use Fail, then Pass after CA","")&amp;IF(AND(TRIM(AA524)&lt;&gt;"",TRIM(AB524)=""),"INVALID – CA status missing for the recorded corrective action","")&amp;IF(AND(TRIM(U524)="Pass after CA",OR(OR(LEN(BA524)&lt;5,ISNUMBER(MATCH(BA524,L_Placeholder,0))),TRIM(AB524)&lt;&gt;"Closed")),"INVALID – corrective action not recorded/closed","")</f>
        <v/>
      </c>
    </row>
    <row r="525" customFormat="false" ht="54" hidden="false" customHeight="true" outlineLevel="0" collapsed="false">
      <c r="A525" s="57" t="s">
        <v>1163</v>
      </c>
      <c r="B525" s="57" t="s">
        <v>277</v>
      </c>
      <c r="C525" s="57" t="str">
        <f aca="false">Flights!$F$20</f>
        <v>MH0072</v>
      </c>
      <c r="D525" s="58" t="n">
        <f aca="false">Flights!$D$20</f>
        <v>46321</v>
      </c>
      <c r="E525" s="57" t="str">
        <f aca="false">Flights!$G$20&amp;"-"&amp;Flights!$H$20</f>
        <v>KUL-HKG</v>
      </c>
      <c r="F525" s="57" t="str">
        <f aca="false">Flights!$K$20</f>
        <v>EY</v>
      </c>
      <c r="G525" s="57" t="s">
        <v>398</v>
      </c>
      <c r="H525" s="57" t="s">
        <v>356</v>
      </c>
      <c r="I525" s="57" t="s">
        <v>612</v>
      </c>
      <c r="J525" s="57" t="s">
        <v>1164</v>
      </c>
      <c r="K525" s="67" t="s">
        <v>1165</v>
      </c>
      <c r="L525" s="67" t="s">
        <v>1166</v>
      </c>
      <c r="M525" s="67" t="s">
        <v>429</v>
      </c>
      <c r="N525" s="67" t="s">
        <v>361</v>
      </c>
      <c r="O525" s="67" t="s">
        <v>1167</v>
      </c>
      <c r="P525" s="57" t="s">
        <v>184</v>
      </c>
      <c r="Q525" s="59" t="n">
        <f aca="false">ROUND((Flights!$AE$20)*1440,0)/1440</f>
        <v>46320.5486111111</v>
      </c>
      <c r="R525" s="59" t="n">
        <f aca="false">Q525+(IF(AND(INDEX(TZ_DSTS,MATCH(P525,TZ_STN,0))&lt;&gt;"",Q525&gt;=INDEX(TZ_DSTS,MATCH(P525,TZ_STN,0)),Q525&lt;INDEX(TZ_DSTE,MATCH(P525,TZ_STN,0))),INDEX(TZ_DST,MATCH(P525,TZ_STN,0)),INDEX(TZ_STD,MATCH(P525,TZ_STN,0))))/24</f>
        <v>46320.8819444444</v>
      </c>
      <c r="S525" s="59" t="n">
        <f aca="false">Q525-T12EarlyH/24</f>
        <v>46320.0486111111</v>
      </c>
      <c r="T525" s="60"/>
      <c r="U525" s="60"/>
      <c r="V525" s="60"/>
      <c r="W525" s="61"/>
      <c r="X525" s="60"/>
      <c r="Y525" s="60"/>
      <c r="Z525" s="60"/>
      <c r="AA525" s="60"/>
      <c r="AB525" s="60"/>
      <c r="AC525" s="60"/>
      <c r="AD525" s="66"/>
      <c r="AE525" s="60"/>
      <c r="AF525" s="61" t="str">
        <f aca="false">IF(AND(ISNUMBER(X525),ISNUMBER(Y525)),Y525-X525,"")</f>
        <v/>
      </c>
      <c r="AG525" s="62" t="str">
        <f aca="false">IF(ISNUMBER(AD525),AD525-(IF(AND(INDEX(TZ_DSTS,MATCH(P525,TZ_STN,0))&lt;&gt;"",(AD525-INDEX(TZ_STD,MATCH(P525,TZ_STN,0))/24)&gt;=INDEX(TZ_DSTS,MATCH(P525,TZ_STN,0)),(AD525-INDEX(TZ_STD,MATCH(P525,TZ_STN,0))/24)&lt;INDEX(TZ_DSTE,MATCH(P525,TZ_STN,0))),INDEX(TZ_DST,MATCH(P525,TZ_STN,0)),INDEX(TZ_STD,MATCH(P525,TZ_STN,0))))/24,"")</f>
        <v/>
      </c>
      <c r="AH525" s="65" t="str">
        <f aca="false">IFERROR(IF(N525="N/A – rule","N/A – RULE",IF(TRIM(U525)="N/A",IF(AT525=0,"INVALID – N/A not permitted for this check",IF(AND(TRIM(AB525)&lt;&gt;"",TRIM(AB525)&lt;&gt;"Closed"),"INVALID – corrective action still open",IF(AND(NOT(OR(LEN(AZ525)&lt;15,ISNUMBER(MATCH(AZ525,L_Placeholder,0)))),NOT(OR(LEN(AU525)&lt;2,ISNUMBER(MATCH(AU525,L_Placeholder,0)))),NOT(OR(LEN(AX525)&lt;2,ISNUMBER(MATCH(AX525,L_Placeholder,0)))),TRIM(AE525)&lt;&gt;TRIM(T525)),"N/A – JUSTIFIED","INVALID – N/A needs a real justification (15+ chars), PIC and a different verifier"))),IF(OR(TRIM(U525)="Pass",TRIM(U525)="Pass after CA"),IF(NOT(ISNUMBER(AD525)),"INVALID – completion time missing",IF(OR(LEN(AU525)&lt;2,ISNUMBER(MATCH(AU525,L_Placeholder,0))),"INVALID – PIC missing",IF(OR(LEN(AV525)&lt;2,ISNUMBER(MATCH(AV525,L_Placeholder,0))),"INVALID – result / assessment missing",IF(OR(OR(LEN(AW525)&lt;3,ISNUMBER(MATCH(AW525,L_Placeholder,0))),SUMPRODUCT(--ISNUMBER(SEARCH(L_EvidencePhrase,AW525)))&gt;0),"INVALID – evidence missing, placeholder or not yet on file",IF(OR(LEN(AX525)&lt;2,ISNUMBER(MATCH(AX525,L_Placeholder,0))),"INVALID – verifier missing",IF(AX525=AU525,"INVALID – verifier must be someone other than the PIC",IF(AND(TRIM(U525)="Pass",SUMPRODUCT(--ISNUMBER(SEARCH(L_ResultBad,AV525)))&gt;0),"INVALID – result describes a problem: use Fail, then Pass after CA",IF(AND(AQ525=1,OR(LEN(AY525)&lt;3,ISNUMBER(MATCH(AY525,L_Placeholder,0)))),"INVALID – batch ID missing or placeholder",IF(AND(AR525=1,OR(NOT(ISNUMBER(X525)),NOT(ISNUMBER(Y525)))),"INVALID – expected/actual qty missing",IF(AND(AR525=1,OR(X525&lt;=0,Y525&lt;0)),"INVALID – expected qty must be above 0 and actual not negative",IF(BB525&lt;&gt;"",BB525,IF(AND(AS525=1,Documents!$J$20&lt;&gt;"ON FILE"),"INVALID – GLD not on file (Documents sheet)",IF(AND(AS525=2,Documents!$O$20&lt;&gt;"ON FILE"),"INVALID – menu checklist not on file (Documents sheet)",IF(AND(AS525=3,NOT(ISNUMBER(Flights!$AX$20))),"INVALID – enter carrying flight KUL departure (Flights AX)",IF(AND(AS525=3,OR(Flights!$AZ$20&gt;Flights!$AA$20,Flights!$AX$20&lt;Flights!$AA$20-3)),"INVALID – carrying flight (Flights AX) cannot arrive before this leg's STD, or is over 3 days early",IF(AG525&gt;AsOfUTC,"INVALID – completion time is in the future",IF(AND(ISNUMBER(S525),AG525&lt;S525),IF(H525="Physical uplift","INVALID – before uplift window (cannot confirm loading)","INVALID – before valid window"),IF(AG525&gt;Flights!$AA$20,"INVALID – completed after departure (cannot establish readiness)",IF(AND(H525="Preparation",AG525&gt;IF(ISNUMBER(Flights!$BA$20),MIN(Flights!$BA$20,Flights!$AA$20),Flights!$AA$20)),"INVALID – completed after loading / departure (cannot establish readiness)",IF(AND(H525="Physical uplift",AG525&gt;Q525),"INVALID – recorded after the loading flight departed",IF(AG525&gt;Q525,"COMPLETE – LATE","COMPLETE"))))))))))))))))))))),IF(TRIM(U525)="Fail","FAIL – DISCREPANCY",IF(AND(TRIM(U525)&lt;&gt;"",TRIM(U525)&lt;&gt;"Not started",TRIM(U525)&lt;&gt;"In progress"),"INVALID – unrecognised status (use the list)",IF(AsOfUTC&gt;Q525,"OVERDUE",IF(N525="Clarification required","OPEN – CLARIFICATION","OPEN"))))))),"INVALID – error value in an input cell")</f>
        <v>OPEN</v>
      </c>
      <c r="AI525" s="61" t="n">
        <f aca="false">IF(OR(AH525="N/A – RULE",AH525="N/A – JUSTIFIED"),0,1)</f>
        <v>1</v>
      </c>
      <c r="AJ525" s="61" t="n">
        <f aca="false">IF(LEFT(AH525,8)="COMPLETE",1,0)</f>
        <v>0</v>
      </c>
      <c r="AK525" s="61" t="n">
        <f aca="false">IF(AND(AI525=1,AJ525=0,AsOfUTC&gt;Q525),1,0)</f>
        <v>0</v>
      </c>
      <c r="AL525" s="61" t="n">
        <f aca="false">IFERROR(IF(AND(AI525=1,OR(TRIM(U525)="Fail",AND(TRIM(AB525)&lt;&gt;"",TRIM(AB525)&lt;&gt;"Closed"),AND(ISNUMBER(AF525),AF525&lt;&gt;0,TRIM(U525)&lt;&gt;"Pass after CA"))),1,0),1)</f>
        <v>0</v>
      </c>
      <c r="AM525" s="61" t="n">
        <f aca="false">IF(LEFT(AH525,7)="INVALID",1,0)</f>
        <v>0</v>
      </c>
      <c r="AN525" s="61" t="n">
        <f aca="false">IF(AND(N525="Clarification required",AI525=1,AJ525=0),1,0)</f>
        <v>0</v>
      </c>
      <c r="AO525" s="61" t="str">
        <f aca="false">IF(AK525=1,SUM(AK$5:AK525),"")</f>
        <v/>
      </c>
      <c r="AP525" s="61" t="str">
        <f aca="false">IF(AL525=1,SUM(AL$5:AL525),"")</f>
        <v/>
      </c>
      <c r="AQ525" s="61" t="n">
        <v>0</v>
      </c>
      <c r="AR525" s="61" t="n">
        <v>0</v>
      </c>
      <c r="AS525" s="61" t="n">
        <v>0</v>
      </c>
      <c r="AT525" s="61" t="n">
        <v>0</v>
      </c>
      <c r="AU525" s="61" t="str">
        <f aca="false">SUBSTITUTE(SUBSTITUTE(SUBSTITUTE(SUBSTITUTE(SUBSTITUTE(SUBSTITUTE(SUBSTITUTE(SUBSTITUTE(SUBSTITUTE(SUBSTITUTE(SUBSTITUTE(SUBSTITUTE(SUBSTITUTE(LOWER(T525&amp;""),CHAR(160),"")," ",""),".",""),"-",""),"/",""),"?",""),"_",""),",",""),"[",""),"]",""),"(",""),")",""),"*","")</f>
        <v/>
      </c>
      <c r="AV525" s="61" t="str">
        <f aca="false">SUBSTITUTE(SUBSTITUTE(SUBSTITUTE(SUBSTITUTE(SUBSTITUTE(SUBSTITUTE(SUBSTITUTE(SUBSTITUTE(SUBSTITUTE(SUBSTITUTE(SUBSTITUTE(SUBSTITUTE(SUBSTITUTE(LOWER(V525&amp;""),CHAR(160),"")," ",""),".",""),"-",""),"/",""),"?",""),"_",""),",",""),"[",""),"]",""),"(",""),")",""),"*","")</f>
        <v/>
      </c>
      <c r="AW525" s="61" t="str">
        <f aca="false">SUBSTITUTE(SUBSTITUTE(SUBSTITUTE(SUBSTITUTE(SUBSTITUTE(SUBSTITUTE(SUBSTITUTE(SUBSTITUTE(SUBSTITUTE(SUBSTITUTE(SUBSTITUTE(SUBSTITUTE(SUBSTITUTE(LOWER(Z525&amp;""),CHAR(160),"")," ",""),".",""),"-",""),"/",""),"?",""),"_",""),",",""),"[",""),"]",""),"(",""),")",""),"*","")</f>
        <v/>
      </c>
      <c r="AX525" s="61" t="str">
        <f aca="false">SUBSTITUTE(SUBSTITUTE(SUBSTITUTE(SUBSTITUTE(SUBSTITUTE(SUBSTITUTE(SUBSTITUTE(SUBSTITUTE(SUBSTITUTE(SUBSTITUTE(SUBSTITUTE(SUBSTITUTE(SUBSTITUTE(LOWER(AE525&amp;""),CHAR(160),"")," ",""),".",""),"-",""),"/",""),"?",""),"_",""),",",""),"[",""),"]",""),"(",""),")",""),"*","")</f>
        <v/>
      </c>
      <c r="AY525" s="61" t="str">
        <f aca="false">SUBSTITUTE(SUBSTITUTE(SUBSTITUTE(SUBSTITUTE(SUBSTITUTE(SUBSTITUTE(SUBSTITUTE(SUBSTITUTE(SUBSTITUTE(SUBSTITUTE(SUBSTITUTE(SUBSTITUTE(SUBSTITUTE(LOWER(W525&amp;""),CHAR(160),"")," ",""),".",""),"-",""),"/",""),"?",""),"_",""),",",""),"[",""),"]",""),"(",""),")",""),"*","")</f>
        <v/>
      </c>
      <c r="AZ525" s="61" t="str">
        <f aca="false">SUBSTITUTE(SUBSTITUTE(SUBSTITUTE(SUBSTITUTE(SUBSTITUTE(SUBSTITUTE(SUBSTITUTE(SUBSTITUTE(SUBSTITUTE(SUBSTITUTE(SUBSTITUTE(SUBSTITUTE(SUBSTITUTE(LOWER(AC525&amp;""),CHAR(160),"")," ",""),".",""),"-",""),"/",""),"?",""),"_",""),",",""),"[",""),"]",""),"(",""),")",""),"*","")</f>
        <v/>
      </c>
      <c r="BA525" s="61" t="str">
        <f aca="false">SUBSTITUTE(SUBSTITUTE(SUBSTITUTE(SUBSTITUTE(SUBSTITUTE(SUBSTITUTE(SUBSTITUTE(SUBSTITUTE(SUBSTITUTE(SUBSTITUTE(SUBSTITUTE(SUBSTITUTE(SUBSTITUTE(LOWER(AA525&amp;""),CHAR(160),"")," ",""),".",""),"-",""),"/",""),"?",""),"_",""),",",""),"[",""),"]",""),"(",""),")",""),"*","")</f>
        <v/>
      </c>
      <c r="BB525" s="61" t="str">
        <f aca="false">IF(AND(TRIM(U525)="Pass",ISNUMBER(AF525)),IF(AF525&lt;&gt;0,"INVALID – qty variance: use Fail or Pass after CA",""),"")&amp;IF(AND(TRIM(U525)="Pass after CA",ISNUMBER(AF525)),IF(AF525&lt;&gt;0,"INVALID – after the corrective action the actual qty must equal expected (update Actual)",""),"")&amp;IF(AND(TRIM(U525)="Pass",TRIM(AB525)&lt;&gt;"",TRIM(AB525)&lt;&gt;"Closed"),"INVALID – corrective action not closed: use Fail, then Pass after CA","")&amp;IF(AND(TRIM(AA525)&lt;&gt;"",TRIM(AB525)=""),"INVALID – CA status missing for the recorded corrective action","")&amp;IF(AND(TRIM(U525)="Pass after CA",OR(OR(LEN(BA525)&lt;5,ISNUMBER(MATCH(BA525,L_Placeholder,0))),TRIM(AB525)&lt;&gt;"Closed")),"INVALID – corrective action not recorded/closed","")</f>
        <v/>
      </c>
    </row>
    <row r="526" customFormat="false" ht="39.75" hidden="false" customHeight="true" outlineLevel="0" collapsed="false">
      <c r="A526" s="57" t="s">
        <v>1168</v>
      </c>
      <c r="B526" s="57" t="s">
        <v>277</v>
      </c>
      <c r="C526" s="57" t="str">
        <f aca="false">Flights!$F$20</f>
        <v>MH0072</v>
      </c>
      <c r="D526" s="58" t="n">
        <f aca="false">Flights!$D$20</f>
        <v>46321</v>
      </c>
      <c r="E526" s="57" t="str">
        <f aca="false">Flights!$G$20&amp;"-"&amp;Flights!$H$20</f>
        <v>KUL-HKG</v>
      </c>
      <c r="F526" s="57" t="str">
        <f aca="false">Flights!$K$20</f>
        <v>EY</v>
      </c>
      <c r="G526" s="57" t="s">
        <v>437</v>
      </c>
      <c r="H526" s="57" t="s">
        <v>438</v>
      </c>
      <c r="I526" s="57" t="s">
        <v>357</v>
      </c>
      <c r="J526" s="57" t="s">
        <v>439</v>
      </c>
      <c r="K526" s="67" t="s">
        <v>404</v>
      </c>
      <c r="L526" s="67" t="s">
        <v>440</v>
      </c>
      <c r="M526" s="67"/>
      <c r="N526" s="67" t="s">
        <v>361</v>
      </c>
      <c r="O526" s="67" t="s">
        <v>441</v>
      </c>
      <c r="P526" s="57" t="s">
        <v>184</v>
      </c>
      <c r="Q526" s="59" t="n">
        <f aca="false">ROUND((Flights!$AF$20)*1440,0)/1440</f>
        <v>46321.0486111111</v>
      </c>
      <c r="R526" s="59" t="n">
        <f aca="false">Q526+(IF(AND(INDEX(TZ_DSTS,MATCH(P526,TZ_STN,0))&lt;&gt;"",Q526&gt;=INDEX(TZ_DSTS,MATCH(P526,TZ_STN,0)),Q526&lt;INDEX(TZ_DSTE,MATCH(P526,TZ_STN,0))),INDEX(TZ_DST,MATCH(P526,TZ_STN,0)),INDEX(TZ_STD,MATCH(P526,TZ_STN,0))))/24</f>
        <v>46321.3819444444</v>
      </c>
      <c r="S526" s="59" t="n">
        <f aca="false">IF(ISNUMBER(Flights!$AZ$20),MAX(Q526-UpliftWindowH/24,Flights!$AZ$20),Q526-UpliftWindowH/24)</f>
        <v>46320.7986111111</v>
      </c>
      <c r="T526" s="60"/>
      <c r="U526" s="60"/>
      <c r="V526" s="60"/>
      <c r="W526" s="61"/>
      <c r="X526" s="60"/>
      <c r="Y526" s="60"/>
      <c r="Z526" s="60"/>
      <c r="AA526" s="60"/>
      <c r="AB526" s="60"/>
      <c r="AC526" s="60"/>
      <c r="AD526" s="66"/>
      <c r="AE526" s="60"/>
      <c r="AF526" s="61" t="str">
        <f aca="false">IF(AND(ISNUMBER(X526),ISNUMBER(Y526)),Y526-X526,"")</f>
        <v/>
      </c>
      <c r="AG526" s="62" t="str">
        <f aca="false">IF(ISNUMBER(AD526),AD526-(IF(AND(INDEX(TZ_DSTS,MATCH(P526,TZ_STN,0))&lt;&gt;"",(AD526-INDEX(TZ_STD,MATCH(P526,TZ_STN,0))/24)&gt;=INDEX(TZ_DSTS,MATCH(P526,TZ_STN,0)),(AD526-INDEX(TZ_STD,MATCH(P526,TZ_STN,0))/24)&lt;INDEX(TZ_DSTE,MATCH(P526,TZ_STN,0))),INDEX(TZ_DST,MATCH(P526,TZ_STN,0)),INDEX(TZ_STD,MATCH(P526,TZ_STN,0))))/24,"")</f>
        <v/>
      </c>
      <c r="AH526" s="65" t="str">
        <f aca="false">IFERROR(IF(N526="N/A – rule","N/A – RULE",IF(TRIM(U526)="N/A",IF(AT526=0,"INVALID – N/A not permitted for this check",IF(AND(TRIM(AB526)&lt;&gt;"",TRIM(AB526)&lt;&gt;"Closed"),"INVALID – corrective action still open",IF(AND(NOT(OR(LEN(AZ526)&lt;15,ISNUMBER(MATCH(AZ526,L_Placeholder,0)))),NOT(OR(LEN(AU526)&lt;2,ISNUMBER(MATCH(AU526,L_Placeholder,0)))),NOT(OR(LEN(AX526)&lt;2,ISNUMBER(MATCH(AX526,L_Placeholder,0)))),TRIM(AE526)&lt;&gt;TRIM(T526)),"N/A – JUSTIFIED","INVALID – N/A needs a real justification (15+ chars), PIC and a different verifier"))),IF(OR(TRIM(U526)="Pass",TRIM(U526)="Pass after CA"),IF(NOT(ISNUMBER(AD526)),"INVALID – completion time missing",IF(OR(LEN(AU526)&lt;2,ISNUMBER(MATCH(AU526,L_Placeholder,0))),"INVALID – PIC missing",IF(OR(LEN(AV526)&lt;2,ISNUMBER(MATCH(AV526,L_Placeholder,0))),"INVALID – result / assessment missing",IF(OR(OR(LEN(AW526)&lt;3,ISNUMBER(MATCH(AW526,L_Placeholder,0))),SUMPRODUCT(--ISNUMBER(SEARCH(L_EvidencePhrase,AW526)))&gt;0),"INVALID – evidence missing, placeholder or not yet on file",IF(OR(LEN(AX526)&lt;2,ISNUMBER(MATCH(AX526,L_Placeholder,0))),"INVALID – verifier missing",IF(AX526=AU526,"INVALID – verifier must be someone other than the PIC",IF(AND(TRIM(U526)="Pass",SUMPRODUCT(--ISNUMBER(SEARCH(L_ResultBad,AV526)))&gt;0),"INVALID – result describes a problem: use Fail, then Pass after CA",IF(AND(AQ526=1,OR(LEN(AY526)&lt;3,ISNUMBER(MATCH(AY526,L_Placeholder,0)))),"INVALID – batch ID missing or placeholder",IF(AND(AR526=1,OR(NOT(ISNUMBER(X526)),NOT(ISNUMBER(Y526)))),"INVALID – expected/actual qty missing",IF(AND(AR526=1,OR(X526&lt;=0,Y526&lt;0)),"INVALID – expected qty must be above 0 and actual not negative",IF(AH517="N/A – JUSTIFIED","INVALID – preparation row F16-T12-02 is N/A",IF(AND(AR526=1,ISNUMBER(X517),X526&lt;&gt;X517),"INVALID – expected qty differs from preparation check F16-T12-02",IF(BB526&lt;&gt;"",BB526,IF(AND(AS526=1,Documents!$J$20&lt;&gt;"ON FILE"),"INVALID – GLD not on file (Documents sheet)",IF(AND(AS526=2,Documents!$O$20&lt;&gt;"ON FILE"),"INVALID – menu checklist not on file (Documents sheet)",IF(AND(AS526=3,NOT(ISNUMBER(Flights!$AX$20))),"INVALID – enter carrying flight KUL departure (Flights AX)",IF(AND(AS526=3,OR(Flights!$AZ$20&gt;Flights!$AA$20,Flights!$AX$20&lt;Flights!$AA$20-3)),"INVALID – carrying flight (Flights AX) cannot arrive before this leg's STD, or is over 3 days early",IF(AG526&gt;AsOfUTC,"INVALID – completion time is in the future",IF(AND(ISNUMBER(S526),AG526&lt;S526),IF(H526="Physical uplift","INVALID – before uplift window (cannot confirm loading)","INVALID – before valid window"),IF(AG526&gt;Flights!$AA$20,"INVALID – completed after departure (cannot establish readiness)",IF(AND(H526="Preparation",AG526&gt;IF(ISNUMBER(Flights!$BA$20),MIN(Flights!$BA$20,Flights!$AA$20),Flights!$AA$20)),"INVALID – completed after loading / departure (cannot establish readiness)",IF(AND(H526="Physical uplift",AG526&gt;Q526),"INVALID – recorded after the loading flight departed",IF(AG526&gt;Q526,"COMPLETE – LATE","COMPLETE"))))))))))))))))))))))),IF(TRIM(U526)="Fail","FAIL – DISCREPANCY",IF(AND(TRIM(U526)&lt;&gt;"",TRIM(U526)&lt;&gt;"Not started",TRIM(U526)&lt;&gt;"In progress"),"INVALID – unrecognised status (use the list)",IF(AsOfUTC&gt;Q526,"OVERDUE",IF(N526="Clarification required","OPEN – CLARIFICATION","OPEN"))))))),"INVALID – error value in an input cell")</f>
        <v>OPEN</v>
      </c>
      <c r="AI526" s="61" t="n">
        <f aca="false">IF(OR(AH526="N/A – RULE",AH526="N/A – JUSTIFIED"),0,1)</f>
        <v>1</v>
      </c>
      <c r="AJ526" s="61" t="n">
        <f aca="false">IF(LEFT(AH526,8)="COMPLETE",1,0)</f>
        <v>0</v>
      </c>
      <c r="AK526" s="61" t="n">
        <f aca="false">IF(AND(AI526=1,AJ526=0,AsOfUTC&gt;Q526),1,0)</f>
        <v>0</v>
      </c>
      <c r="AL526" s="61" t="n">
        <f aca="false">IFERROR(IF(AND(AI526=1,OR(TRIM(U526)="Fail",AND(TRIM(AB526)&lt;&gt;"",TRIM(AB526)&lt;&gt;"Closed"),AND(ISNUMBER(AF526),AF526&lt;&gt;0,TRIM(U526)&lt;&gt;"Pass after CA"))),1,0),1)</f>
        <v>0</v>
      </c>
      <c r="AM526" s="61" t="n">
        <f aca="false">IF(LEFT(AH526,7)="INVALID",1,0)</f>
        <v>0</v>
      </c>
      <c r="AN526" s="61" t="n">
        <f aca="false">IF(AND(N526="Clarification required",AI526=1,AJ526=0),1,0)</f>
        <v>0</v>
      </c>
      <c r="AO526" s="61" t="str">
        <f aca="false">IF(AK526=1,SUM(AK$5:AK526),"")</f>
        <v/>
      </c>
      <c r="AP526" s="61" t="str">
        <f aca="false">IF(AL526=1,SUM(AL$5:AL526),"")</f>
        <v/>
      </c>
      <c r="AQ526" s="61" t="n">
        <v>0</v>
      </c>
      <c r="AR526" s="61" t="n">
        <v>1</v>
      </c>
      <c r="AS526" s="61" t="n">
        <v>0</v>
      </c>
      <c r="AT526" s="61" t="n">
        <v>0</v>
      </c>
      <c r="AU526" s="61" t="str">
        <f aca="false">SUBSTITUTE(SUBSTITUTE(SUBSTITUTE(SUBSTITUTE(SUBSTITUTE(SUBSTITUTE(SUBSTITUTE(SUBSTITUTE(SUBSTITUTE(SUBSTITUTE(SUBSTITUTE(SUBSTITUTE(SUBSTITUTE(LOWER(T526&amp;""),CHAR(160),"")," ",""),".",""),"-",""),"/",""),"?",""),"_",""),",",""),"[",""),"]",""),"(",""),")",""),"*","")</f>
        <v/>
      </c>
      <c r="AV526" s="61" t="str">
        <f aca="false">SUBSTITUTE(SUBSTITUTE(SUBSTITUTE(SUBSTITUTE(SUBSTITUTE(SUBSTITUTE(SUBSTITUTE(SUBSTITUTE(SUBSTITUTE(SUBSTITUTE(SUBSTITUTE(SUBSTITUTE(SUBSTITUTE(LOWER(V526&amp;""),CHAR(160),"")," ",""),".",""),"-",""),"/",""),"?",""),"_",""),",",""),"[",""),"]",""),"(",""),")",""),"*","")</f>
        <v/>
      </c>
      <c r="AW526" s="61" t="str">
        <f aca="false">SUBSTITUTE(SUBSTITUTE(SUBSTITUTE(SUBSTITUTE(SUBSTITUTE(SUBSTITUTE(SUBSTITUTE(SUBSTITUTE(SUBSTITUTE(SUBSTITUTE(SUBSTITUTE(SUBSTITUTE(SUBSTITUTE(LOWER(Z526&amp;""),CHAR(160),"")," ",""),".",""),"-",""),"/",""),"?",""),"_",""),",",""),"[",""),"]",""),"(",""),")",""),"*","")</f>
        <v/>
      </c>
      <c r="AX526" s="61" t="str">
        <f aca="false">SUBSTITUTE(SUBSTITUTE(SUBSTITUTE(SUBSTITUTE(SUBSTITUTE(SUBSTITUTE(SUBSTITUTE(SUBSTITUTE(SUBSTITUTE(SUBSTITUTE(SUBSTITUTE(SUBSTITUTE(SUBSTITUTE(LOWER(AE526&amp;""),CHAR(160),"")," ",""),".",""),"-",""),"/",""),"?",""),"_",""),",",""),"[",""),"]",""),"(",""),")",""),"*","")</f>
        <v/>
      </c>
      <c r="AY526" s="61" t="str">
        <f aca="false">SUBSTITUTE(SUBSTITUTE(SUBSTITUTE(SUBSTITUTE(SUBSTITUTE(SUBSTITUTE(SUBSTITUTE(SUBSTITUTE(SUBSTITUTE(SUBSTITUTE(SUBSTITUTE(SUBSTITUTE(SUBSTITUTE(LOWER(W526&amp;""),CHAR(160),"")," ",""),".",""),"-",""),"/",""),"?",""),"_",""),",",""),"[",""),"]",""),"(",""),")",""),"*","")</f>
        <v/>
      </c>
      <c r="AZ526" s="61" t="str">
        <f aca="false">SUBSTITUTE(SUBSTITUTE(SUBSTITUTE(SUBSTITUTE(SUBSTITUTE(SUBSTITUTE(SUBSTITUTE(SUBSTITUTE(SUBSTITUTE(SUBSTITUTE(SUBSTITUTE(SUBSTITUTE(SUBSTITUTE(LOWER(AC526&amp;""),CHAR(160),"")," ",""),".",""),"-",""),"/",""),"?",""),"_",""),",",""),"[",""),"]",""),"(",""),")",""),"*","")</f>
        <v/>
      </c>
      <c r="BA526" s="61" t="str">
        <f aca="false">SUBSTITUTE(SUBSTITUTE(SUBSTITUTE(SUBSTITUTE(SUBSTITUTE(SUBSTITUTE(SUBSTITUTE(SUBSTITUTE(SUBSTITUTE(SUBSTITUTE(SUBSTITUTE(SUBSTITUTE(SUBSTITUTE(LOWER(AA526&amp;""),CHAR(160),"")," ",""),".",""),"-",""),"/",""),"?",""),"_",""),",",""),"[",""),"]",""),"(",""),")",""),"*","")</f>
        <v/>
      </c>
      <c r="BB526" s="61" t="str">
        <f aca="false">IF(AND(TRIM(U526)="Pass",ISNUMBER(AF526)),IF(AF526&lt;&gt;0,"INVALID – qty variance: use Fail or Pass after CA",""),"")&amp;IF(AND(TRIM(U526)="Pass after CA",ISNUMBER(AF526)),IF(AF526&lt;&gt;0,"INVALID – after the corrective action the actual qty must equal expected (update Actual)",""),"")&amp;IF(AND(TRIM(U526)="Pass",TRIM(AB526)&lt;&gt;"",TRIM(AB526)&lt;&gt;"Closed"),"INVALID – corrective action not closed: use Fail, then Pass after CA","")&amp;IF(AND(TRIM(AA526)&lt;&gt;"",TRIM(AB526)=""),"INVALID – CA status missing for the recorded corrective action","")&amp;IF(AND(TRIM(U526)="Pass after CA",OR(OR(LEN(BA526)&lt;5,ISNUMBER(MATCH(BA526,L_Placeholder,0))),TRIM(AB526)&lt;&gt;"Closed")),"INVALID – corrective action not recorded/closed","")</f>
        <v/>
      </c>
    </row>
    <row r="527" customFormat="false" ht="39.75" hidden="false" customHeight="true" outlineLevel="0" collapsed="false">
      <c r="A527" s="57" t="s">
        <v>1169</v>
      </c>
      <c r="B527" s="57" t="s">
        <v>277</v>
      </c>
      <c r="C527" s="57" t="str">
        <f aca="false">Flights!$F$20</f>
        <v>MH0072</v>
      </c>
      <c r="D527" s="58" t="n">
        <f aca="false">Flights!$D$20</f>
        <v>46321</v>
      </c>
      <c r="E527" s="57" t="str">
        <f aca="false">Flights!$G$20&amp;"-"&amp;Flights!$H$20</f>
        <v>KUL-HKG</v>
      </c>
      <c r="F527" s="57" t="str">
        <f aca="false">Flights!$K$20</f>
        <v>EY</v>
      </c>
      <c r="G527" s="57" t="s">
        <v>437</v>
      </c>
      <c r="H527" s="57" t="s">
        <v>438</v>
      </c>
      <c r="I527" s="57" t="s">
        <v>406</v>
      </c>
      <c r="J527" s="57" t="s">
        <v>443</v>
      </c>
      <c r="K527" s="67" t="s">
        <v>404</v>
      </c>
      <c r="L527" s="67" t="s">
        <v>440</v>
      </c>
      <c r="M527" s="67"/>
      <c r="N527" s="67" t="s">
        <v>361</v>
      </c>
      <c r="O527" s="67" t="s">
        <v>441</v>
      </c>
      <c r="P527" s="57" t="s">
        <v>184</v>
      </c>
      <c r="Q527" s="59" t="n">
        <f aca="false">ROUND((Flights!$AF$20)*1440,0)/1440</f>
        <v>46321.0486111111</v>
      </c>
      <c r="R527" s="59" t="n">
        <f aca="false">Q527+(IF(AND(INDEX(TZ_DSTS,MATCH(P527,TZ_STN,0))&lt;&gt;"",Q527&gt;=INDEX(TZ_DSTS,MATCH(P527,TZ_STN,0)),Q527&lt;INDEX(TZ_DSTE,MATCH(P527,TZ_STN,0))),INDEX(TZ_DST,MATCH(P527,TZ_STN,0)),INDEX(TZ_STD,MATCH(P527,TZ_STN,0))))/24</f>
        <v>46321.3819444444</v>
      </c>
      <c r="S527" s="59" t="n">
        <f aca="false">IF(ISNUMBER(Flights!$AZ$20),MAX(Q527-UpliftWindowH/24,Flights!$AZ$20),Q527-UpliftWindowH/24)</f>
        <v>46320.7986111111</v>
      </c>
      <c r="T527" s="60"/>
      <c r="U527" s="60"/>
      <c r="V527" s="60"/>
      <c r="W527" s="61"/>
      <c r="X527" s="60"/>
      <c r="Y527" s="60"/>
      <c r="Z527" s="60"/>
      <c r="AA527" s="60"/>
      <c r="AB527" s="60"/>
      <c r="AC527" s="60"/>
      <c r="AD527" s="66"/>
      <c r="AE527" s="60"/>
      <c r="AF527" s="61" t="str">
        <f aca="false">IF(AND(ISNUMBER(X527),ISNUMBER(Y527)),Y527-X527,"")</f>
        <v/>
      </c>
      <c r="AG527" s="62" t="str">
        <f aca="false">IF(ISNUMBER(AD527),AD527-(IF(AND(INDEX(TZ_DSTS,MATCH(P527,TZ_STN,0))&lt;&gt;"",(AD527-INDEX(TZ_STD,MATCH(P527,TZ_STN,0))/24)&gt;=INDEX(TZ_DSTS,MATCH(P527,TZ_STN,0)),(AD527-INDEX(TZ_STD,MATCH(P527,TZ_STN,0))/24)&lt;INDEX(TZ_DSTE,MATCH(P527,TZ_STN,0))),INDEX(TZ_DST,MATCH(P527,TZ_STN,0)),INDEX(TZ_STD,MATCH(P527,TZ_STN,0))))/24,"")</f>
        <v/>
      </c>
      <c r="AH527" s="65" t="str">
        <f aca="false">IFERROR(IF(N527="N/A – rule","N/A – RULE",IF(TRIM(U527)="N/A",IF(AT527=0,"INVALID – N/A not permitted for this check",IF(AND(TRIM(AB527)&lt;&gt;"",TRIM(AB527)&lt;&gt;"Closed"),"INVALID – corrective action still open",IF(AND(NOT(OR(LEN(AZ527)&lt;15,ISNUMBER(MATCH(AZ527,L_Placeholder,0)))),NOT(OR(LEN(AU527)&lt;2,ISNUMBER(MATCH(AU527,L_Placeholder,0)))),NOT(OR(LEN(AX527)&lt;2,ISNUMBER(MATCH(AX527,L_Placeholder,0)))),TRIM(AE527)&lt;&gt;TRIM(T527)),"N/A – JUSTIFIED","INVALID – N/A needs a real justification (15+ chars), PIC and a different verifier"))),IF(OR(TRIM(U527)="Pass",TRIM(U527)="Pass after CA"),IF(NOT(ISNUMBER(AD527)),"INVALID – completion time missing",IF(OR(LEN(AU527)&lt;2,ISNUMBER(MATCH(AU527,L_Placeholder,0))),"INVALID – PIC missing",IF(OR(LEN(AV527)&lt;2,ISNUMBER(MATCH(AV527,L_Placeholder,0))),"INVALID – result / assessment missing",IF(OR(OR(LEN(AW527)&lt;3,ISNUMBER(MATCH(AW527,L_Placeholder,0))),SUMPRODUCT(--ISNUMBER(SEARCH(L_EvidencePhrase,AW527)))&gt;0),"INVALID – evidence missing, placeholder or not yet on file",IF(OR(LEN(AX527)&lt;2,ISNUMBER(MATCH(AX527,L_Placeholder,0))),"INVALID – verifier missing",IF(AX527=AU527,"INVALID – verifier must be someone other than the PIC",IF(AND(TRIM(U527)="Pass",SUMPRODUCT(--ISNUMBER(SEARCH(L_ResultBad,AV527)))&gt;0),"INVALID – result describes a problem: use Fail, then Pass after CA",IF(AND(AQ527=1,OR(LEN(AY527)&lt;3,ISNUMBER(MATCH(AY527,L_Placeholder,0)))),"INVALID – batch ID missing or placeholder",IF(AND(AR527=1,OR(NOT(ISNUMBER(X527)),NOT(ISNUMBER(Y527)))),"INVALID – expected/actual qty missing",IF(AND(AR527=1,OR(X527&lt;=0,Y527&lt;0)),"INVALID – expected qty must be above 0 and actual not negative",IF(AH521="N/A – JUSTIFIED","INVALID – preparation row F16-T12-06 is N/A",IF(AND(AR527=1,ISNUMBER(X521),X527&lt;&gt;X521),"INVALID – expected qty differs from preparation check F16-T12-06",IF(BB527&lt;&gt;"",BB527,IF(AND(AS527=1,Documents!$J$20&lt;&gt;"ON FILE"),"INVALID – GLD not on file (Documents sheet)",IF(AND(AS527=2,Documents!$O$20&lt;&gt;"ON FILE"),"INVALID – menu checklist not on file (Documents sheet)",IF(AND(AS527=3,NOT(ISNUMBER(Flights!$AX$20))),"INVALID – enter carrying flight KUL departure (Flights AX)",IF(AND(AS527=3,OR(Flights!$AZ$20&gt;Flights!$AA$20,Flights!$AX$20&lt;Flights!$AA$20-3)),"INVALID – carrying flight (Flights AX) cannot arrive before this leg's STD, or is over 3 days early",IF(AG527&gt;AsOfUTC,"INVALID – completion time is in the future",IF(AND(ISNUMBER(S527),AG527&lt;S527),IF(H527="Physical uplift","INVALID – before uplift window (cannot confirm loading)","INVALID – before valid window"),IF(AG527&gt;Flights!$AA$20,"INVALID – completed after departure (cannot establish readiness)",IF(AND(H527="Preparation",AG527&gt;IF(ISNUMBER(Flights!$BA$20),MIN(Flights!$BA$20,Flights!$AA$20),Flights!$AA$20)),"INVALID – completed after loading / departure (cannot establish readiness)",IF(AND(H527="Physical uplift",AG527&gt;Q527),"INVALID – recorded after the loading flight departed",IF(AG527&gt;Q527,"COMPLETE – LATE","COMPLETE"))))))))))))))))))))))),IF(TRIM(U527)="Fail","FAIL – DISCREPANCY",IF(AND(TRIM(U527)&lt;&gt;"",TRIM(U527)&lt;&gt;"Not started",TRIM(U527)&lt;&gt;"In progress"),"INVALID – unrecognised status (use the list)",IF(AsOfUTC&gt;Q527,"OVERDUE",IF(N527="Clarification required","OPEN – CLARIFICATION","OPEN"))))))),"INVALID – error value in an input cell")</f>
        <v>OPEN</v>
      </c>
      <c r="AI527" s="61" t="n">
        <f aca="false">IF(OR(AH527="N/A – RULE",AH527="N/A – JUSTIFIED"),0,1)</f>
        <v>1</v>
      </c>
      <c r="AJ527" s="61" t="n">
        <f aca="false">IF(LEFT(AH527,8)="COMPLETE",1,0)</f>
        <v>0</v>
      </c>
      <c r="AK527" s="61" t="n">
        <f aca="false">IF(AND(AI527=1,AJ527=0,AsOfUTC&gt;Q527),1,0)</f>
        <v>0</v>
      </c>
      <c r="AL527" s="61" t="n">
        <f aca="false">IFERROR(IF(AND(AI527=1,OR(TRIM(U527)="Fail",AND(TRIM(AB527)&lt;&gt;"",TRIM(AB527)&lt;&gt;"Closed"),AND(ISNUMBER(AF527),AF527&lt;&gt;0,TRIM(U527)&lt;&gt;"Pass after CA"))),1,0),1)</f>
        <v>0</v>
      </c>
      <c r="AM527" s="61" t="n">
        <f aca="false">IF(LEFT(AH527,7)="INVALID",1,0)</f>
        <v>0</v>
      </c>
      <c r="AN527" s="61" t="n">
        <f aca="false">IF(AND(N527="Clarification required",AI527=1,AJ527=0),1,0)</f>
        <v>0</v>
      </c>
      <c r="AO527" s="61" t="str">
        <f aca="false">IF(AK527=1,SUM(AK$5:AK527),"")</f>
        <v/>
      </c>
      <c r="AP527" s="61" t="str">
        <f aca="false">IF(AL527=1,SUM(AL$5:AL527),"")</f>
        <v/>
      </c>
      <c r="AQ527" s="61" t="n">
        <v>0</v>
      </c>
      <c r="AR527" s="61" t="n">
        <v>1</v>
      </c>
      <c r="AS527" s="61" t="n">
        <v>0</v>
      </c>
      <c r="AT527" s="61" t="n">
        <v>0</v>
      </c>
      <c r="AU527" s="61" t="str">
        <f aca="false">SUBSTITUTE(SUBSTITUTE(SUBSTITUTE(SUBSTITUTE(SUBSTITUTE(SUBSTITUTE(SUBSTITUTE(SUBSTITUTE(SUBSTITUTE(SUBSTITUTE(SUBSTITUTE(SUBSTITUTE(SUBSTITUTE(LOWER(T527&amp;""),CHAR(160),"")," ",""),".",""),"-",""),"/",""),"?",""),"_",""),",",""),"[",""),"]",""),"(",""),")",""),"*","")</f>
        <v/>
      </c>
      <c r="AV527" s="61" t="str">
        <f aca="false">SUBSTITUTE(SUBSTITUTE(SUBSTITUTE(SUBSTITUTE(SUBSTITUTE(SUBSTITUTE(SUBSTITUTE(SUBSTITUTE(SUBSTITUTE(SUBSTITUTE(SUBSTITUTE(SUBSTITUTE(SUBSTITUTE(LOWER(V527&amp;""),CHAR(160),"")," ",""),".",""),"-",""),"/",""),"?",""),"_",""),",",""),"[",""),"]",""),"(",""),")",""),"*","")</f>
        <v/>
      </c>
      <c r="AW527" s="61" t="str">
        <f aca="false">SUBSTITUTE(SUBSTITUTE(SUBSTITUTE(SUBSTITUTE(SUBSTITUTE(SUBSTITUTE(SUBSTITUTE(SUBSTITUTE(SUBSTITUTE(SUBSTITUTE(SUBSTITUTE(SUBSTITUTE(SUBSTITUTE(LOWER(Z527&amp;""),CHAR(160),"")," ",""),".",""),"-",""),"/",""),"?",""),"_",""),",",""),"[",""),"]",""),"(",""),")",""),"*","")</f>
        <v/>
      </c>
      <c r="AX527" s="61" t="str">
        <f aca="false">SUBSTITUTE(SUBSTITUTE(SUBSTITUTE(SUBSTITUTE(SUBSTITUTE(SUBSTITUTE(SUBSTITUTE(SUBSTITUTE(SUBSTITUTE(SUBSTITUTE(SUBSTITUTE(SUBSTITUTE(SUBSTITUTE(LOWER(AE527&amp;""),CHAR(160),"")," ",""),".",""),"-",""),"/",""),"?",""),"_",""),",",""),"[",""),"]",""),"(",""),")",""),"*","")</f>
        <v/>
      </c>
      <c r="AY527" s="61" t="str">
        <f aca="false">SUBSTITUTE(SUBSTITUTE(SUBSTITUTE(SUBSTITUTE(SUBSTITUTE(SUBSTITUTE(SUBSTITUTE(SUBSTITUTE(SUBSTITUTE(SUBSTITUTE(SUBSTITUTE(SUBSTITUTE(SUBSTITUTE(LOWER(W527&amp;""),CHAR(160),"")," ",""),".",""),"-",""),"/",""),"?",""),"_",""),",",""),"[",""),"]",""),"(",""),")",""),"*","")</f>
        <v/>
      </c>
      <c r="AZ527" s="61" t="str">
        <f aca="false">SUBSTITUTE(SUBSTITUTE(SUBSTITUTE(SUBSTITUTE(SUBSTITUTE(SUBSTITUTE(SUBSTITUTE(SUBSTITUTE(SUBSTITUTE(SUBSTITUTE(SUBSTITUTE(SUBSTITUTE(SUBSTITUTE(LOWER(AC527&amp;""),CHAR(160),"")," ",""),".",""),"-",""),"/",""),"?",""),"_",""),",",""),"[",""),"]",""),"(",""),")",""),"*","")</f>
        <v/>
      </c>
      <c r="BA527" s="61" t="str">
        <f aca="false">SUBSTITUTE(SUBSTITUTE(SUBSTITUTE(SUBSTITUTE(SUBSTITUTE(SUBSTITUTE(SUBSTITUTE(SUBSTITUTE(SUBSTITUTE(SUBSTITUTE(SUBSTITUTE(SUBSTITUTE(SUBSTITUTE(LOWER(AA527&amp;""),CHAR(160),"")," ",""),".",""),"-",""),"/",""),"?",""),"_",""),",",""),"[",""),"]",""),"(",""),")",""),"*","")</f>
        <v/>
      </c>
      <c r="BB527" s="61" t="str">
        <f aca="false">IF(AND(TRIM(U527)="Pass",ISNUMBER(AF527)),IF(AF527&lt;&gt;0,"INVALID – qty variance: use Fail or Pass after CA",""),"")&amp;IF(AND(TRIM(U527)="Pass after CA",ISNUMBER(AF527)),IF(AF527&lt;&gt;0,"INVALID – after the corrective action the actual qty must equal expected (update Actual)",""),"")&amp;IF(AND(TRIM(U527)="Pass",TRIM(AB527)&lt;&gt;"",TRIM(AB527)&lt;&gt;"Closed"),"INVALID – corrective action not closed: use Fail, then Pass after CA","")&amp;IF(AND(TRIM(AA527)&lt;&gt;"",TRIM(AB527)=""),"INVALID – CA status missing for the recorded corrective action","")&amp;IF(AND(TRIM(U527)="Pass after CA",OR(OR(LEN(BA527)&lt;5,ISNUMBER(MATCH(BA527,L_Placeholder,0))),TRIM(AB527)&lt;&gt;"Closed")),"INVALID – corrective action not recorded/closed","")</f>
        <v/>
      </c>
    </row>
    <row r="528" customFormat="false" ht="39.75" hidden="false" customHeight="true" outlineLevel="0" collapsed="false">
      <c r="A528" s="57" t="s">
        <v>1170</v>
      </c>
      <c r="B528" s="57" t="s">
        <v>277</v>
      </c>
      <c r="C528" s="57" t="str">
        <f aca="false">Flights!$F$20</f>
        <v>MH0072</v>
      </c>
      <c r="D528" s="58" t="n">
        <f aca="false">Flights!$D$20</f>
        <v>46321</v>
      </c>
      <c r="E528" s="57" t="str">
        <f aca="false">Flights!$G$20&amp;"-"&amp;Flights!$H$20</f>
        <v>KUL-HKG</v>
      </c>
      <c r="F528" s="57" t="str">
        <f aca="false">Flights!$K$20</f>
        <v>EY</v>
      </c>
      <c r="G528" s="57" t="s">
        <v>437</v>
      </c>
      <c r="H528" s="57" t="s">
        <v>438</v>
      </c>
      <c r="I528" s="57" t="s">
        <v>425</v>
      </c>
      <c r="J528" s="57" t="s">
        <v>447</v>
      </c>
      <c r="K528" s="67" t="s">
        <v>427</v>
      </c>
      <c r="L528" s="67" t="s">
        <v>1159</v>
      </c>
      <c r="M528" s="67" t="s">
        <v>429</v>
      </c>
      <c r="N528" s="67" t="s">
        <v>361</v>
      </c>
      <c r="O528" s="67"/>
      <c r="P528" s="57" t="s">
        <v>184</v>
      </c>
      <c r="Q528" s="59" t="n">
        <f aca="false">ROUND((Flights!$AF$20)*1440,0)/1440</f>
        <v>46321.0486111111</v>
      </c>
      <c r="R528" s="59" t="n">
        <f aca="false">Q528+(IF(AND(INDEX(TZ_DSTS,MATCH(P528,TZ_STN,0))&lt;&gt;"",Q528&gt;=INDEX(TZ_DSTS,MATCH(P528,TZ_STN,0)),Q528&lt;INDEX(TZ_DSTE,MATCH(P528,TZ_STN,0))),INDEX(TZ_DST,MATCH(P528,TZ_STN,0)),INDEX(TZ_STD,MATCH(P528,TZ_STN,0))))/24</f>
        <v>46321.3819444444</v>
      </c>
      <c r="S528" s="59" t="n">
        <f aca="false">IF(ISNUMBER(Flights!$AZ$20),MAX(Q528-UpliftWindowH/24,Flights!$AZ$20),Q528-UpliftWindowH/24)</f>
        <v>46320.7986111111</v>
      </c>
      <c r="T528" s="60"/>
      <c r="U528" s="60"/>
      <c r="V528" s="60"/>
      <c r="W528" s="61"/>
      <c r="X528" s="60"/>
      <c r="Y528" s="60"/>
      <c r="Z528" s="60"/>
      <c r="AA528" s="60"/>
      <c r="AB528" s="60"/>
      <c r="AC528" s="60"/>
      <c r="AD528" s="66"/>
      <c r="AE528" s="60"/>
      <c r="AF528" s="61" t="str">
        <f aca="false">IF(AND(ISNUMBER(X528),ISNUMBER(Y528)),Y528-X528,"")</f>
        <v/>
      </c>
      <c r="AG528" s="62" t="str">
        <f aca="false">IF(ISNUMBER(AD528),AD528-(IF(AND(INDEX(TZ_DSTS,MATCH(P528,TZ_STN,0))&lt;&gt;"",(AD528-INDEX(TZ_STD,MATCH(P528,TZ_STN,0))/24)&gt;=INDEX(TZ_DSTS,MATCH(P528,TZ_STN,0)),(AD528-INDEX(TZ_STD,MATCH(P528,TZ_STN,0))/24)&lt;INDEX(TZ_DSTE,MATCH(P528,TZ_STN,0))),INDEX(TZ_DST,MATCH(P528,TZ_STN,0)),INDEX(TZ_STD,MATCH(P528,TZ_STN,0))))/24,"")</f>
        <v/>
      </c>
      <c r="AH528" s="65" t="str">
        <f aca="false">IFERROR(IF(N528="N/A – rule","N/A – RULE",IF(TRIM(U528)="N/A",IF(AT528=0,"INVALID – N/A not permitted for this check",IF(AND(TRIM(AB528)&lt;&gt;"",TRIM(AB528)&lt;&gt;"Closed"),"INVALID – corrective action still open",IF(AND(NOT(OR(LEN(AZ528)&lt;15,ISNUMBER(MATCH(AZ528,L_Placeholder,0)))),NOT(OR(LEN(AU528)&lt;2,ISNUMBER(MATCH(AU528,L_Placeholder,0)))),NOT(OR(LEN(AX528)&lt;2,ISNUMBER(MATCH(AX528,L_Placeholder,0)))),TRIM(AE528)&lt;&gt;TRIM(T528)),"N/A – JUSTIFIED","INVALID – N/A needs a real justification (15+ chars), PIC and a different verifier"))),IF(OR(TRIM(U528)="Pass",TRIM(U528)="Pass after CA"),IF(NOT(ISNUMBER(AD528)),"INVALID – completion time missing",IF(OR(LEN(AU528)&lt;2,ISNUMBER(MATCH(AU528,L_Placeholder,0))),"INVALID – PIC missing",IF(OR(LEN(AV528)&lt;2,ISNUMBER(MATCH(AV528,L_Placeholder,0))),"INVALID – result / assessment missing",IF(OR(OR(LEN(AW528)&lt;3,ISNUMBER(MATCH(AW528,L_Placeholder,0))),SUMPRODUCT(--ISNUMBER(SEARCH(L_EvidencePhrase,AW528)))&gt;0),"INVALID – evidence missing, placeholder or not yet on file",IF(OR(LEN(AX528)&lt;2,ISNUMBER(MATCH(AX528,L_Placeholder,0))),"INVALID – verifier missing",IF(AX528=AU528,"INVALID – verifier must be someone other than the PIC",IF(AND(TRIM(U528)="Pass",SUMPRODUCT(--ISNUMBER(SEARCH(L_ResultBad,AV528)))&gt;0),"INVALID – result describes a problem: use Fail, then Pass after CA",IF(AND(AQ528=1,OR(LEN(AY528)&lt;3,ISNUMBER(MATCH(AY528,L_Placeholder,0)))),"INVALID – batch ID missing or placeholder",IF(AND(AR528=1,OR(NOT(ISNUMBER(X528)),NOT(ISNUMBER(Y528)))),"INVALID – expected/actual qty missing",IF(AND(AR528=1,OR(X528&lt;=0,Y528&lt;0)),"INVALID – expected qty must be above 0 and actual not negative",IF(AH523="N/A – JUSTIFIED","INVALID – preparation row F16-T12-08 is N/A",IF(AND(AR528=1,ISNUMBER(X523),X528&lt;&gt;X523),"INVALID – expected qty differs from preparation check F16-T12-08",IF(BB528&lt;&gt;"",BB528,IF(AND(AS528=1,Documents!$J$20&lt;&gt;"ON FILE"),"INVALID – GLD not on file (Documents sheet)",IF(AND(AS528=2,Documents!$O$20&lt;&gt;"ON FILE"),"INVALID – menu checklist not on file (Documents sheet)",IF(AND(AS528=3,NOT(ISNUMBER(Flights!$AX$20))),"INVALID – enter carrying flight KUL departure (Flights AX)",IF(AND(AS528=3,OR(Flights!$AZ$20&gt;Flights!$AA$20,Flights!$AX$20&lt;Flights!$AA$20-3)),"INVALID – carrying flight (Flights AX) cannot arrive before this leg's STD, or is over 3 days early",IF(AG528&gt;AsOfUTC,"INVALID – completion time is in the future",IF(AND(ISNUMBER(S528),AG528&lt;S528),IF(H528="Physical uplift","INVALID – before uplift window (cannot confirm loading)","INVALID – before valid window"),IF(AG528&gt;Flights!$AA$20,"INVALID – completed after departure (cannot establish readiness)",IF(AND(H528="Preparation",AG528&gt;IF(ISNUMBER(Flights!$BA$20),MIN(Flights!$BA$20,Flights!$AA$20),Flights!$AA$20)),"INVALID – completed after loading / departure (cannot establish readiness)",IF(AND(H528="Physical uplift",AG528&gt;Q528),"INVALID – recorded after the loading flight departed",IF(AG528&gt;Q528,"COMPLETE – LATE","COMPLETE"))))))))))))))))))))))),IF(TRIM(U528)="Fail","FAIL – DISCREPANCY",IF(AND(TRIM(U528)&lt;&gt;"",TRIM(U528)&lt;&gt;"Not started",TRIM(U528)&lt;&gt;"In progress"),"INVALID – unrecognised status (use the list)",IF(AsOfUTC&gt;Q528,"OVERDUE",IF(N528="Clarification required","OPEN – CLARIFICATION","OPEN"))))))),"INVALID – error value in an input cell")</f>
        <v>OPEN</v>
      </c>
      <c r="AI528" s="61" t="n">
        <f aca="false">IF(OR(AH528="N/A – RULE",AH528="N/A – JUSTIFIED"),0,1)</f>
        <v>1</v>
      </c>
      <c r="AJ528" s="61" t="n">
        <f aca="false">IF(LEFT(AH528,8)="COMPLETE",1,0)</f>
        <v>0</v>
      </c>
      <c r="AK528" s="61" t="n">
        <f aca="false">IF(AND(AI528=1,AJ528=0,AsOfUTC&gt;Q528),1,0)</f>
        <v>0</v>
      </c>
      <c r="AL528" s="61" t="n">
        <f aca="false">IFERROR(IF(AND(AI528=1,OR(TRIM(U528)="Fail",AND(TRIM(AB528)&lt;&gt;"",TRIM(AB528)&lt;&gt;"Closed"),AND(ISNUMBER(AF528),AF528&lt;&gt;0,TRIM(U528)&lt;&gt;"Pass after CA"))),1,0),1)</f>
        <v>0</v>
      </c>
      <c r="AM528" s="61" t="n">
        <f aca="false">IF(LEFT(AH528,7)="INVALID",1,0)</f>
        <v>0</v>
      </c>
      <c r="AN528" s="61" t="n">
        <f aca="false">IF(AND(N528="Clarification required",AI528=1,AJ528=0),1,0)</f>
        <v>0</v>
      </c>
      <c r="AO528" s="61" t="str">
        <f aca="false">IF(AK528=1,SUM(AK$5:AK528),"")</f>
        <v/>
      </c>
      <c r="AP528" s="61" t="str">
        <f aca="false">IF(AL528=1,SUM(AL$5:AL528),"")</f>
        <v/>
      </c>
      <c r="AQ528" s="61" t="n">
        <v>0</v>
      </c>
      <c r="AR528" s="61" t="n">
        <v>0</v>
      </c>
      <c r="AS528" s="61" t="n">
        <v>0</v>
      </c>
      <c r="AT528" s="61" t="n">
        <v>0</v>
      </c>
      <c r="AU528" s="61" t="str">
        <f aca="false">SUBSTITUTE(SUBSTITUTE(SUBSTITUTE(SUBSTITUTE(SUBSTITUTE(SUBSTITUTE(SUBSTITUTE(SUBSTITUTE(SUBSTITUTE(SUBSTITUTE(SUBSTITUTE(SUBSTITUTE(SUBSTITUTE(LOWER(T528&amp;""),CHAR(160),"")," ",""),".",""),"-",""),"/",""),"?",""),"_",""),",",""),"[",""),"]",""),"(",""),")",""),"*","")</f>
        <v/>
      </c>
      <c r="AV528" s="61" t="str">
        <f aca="false">SUBSTITUTE(SUBSTITUTE(SUBSTITUTE(SUBSTITUTE(SUBSTITUTE(SUBSTITUTE(SUBSTITUTE(SUBSTITUTE(SUBSTITUTE(SUBSTITUTE(SUBSTITUTE(SUBSTITUTE(SUBSTITUTE(LOWER(V528&amp;""),CHAR(160),"")," ",""),".",""),"-",""),"/",""),"?",""),"_",""),",",""),"[",""),"]",""),"(",""),")",""),"*","")</f>
        <v/>
      </c>
      <c r="AW528" s="61" t="str">
        <f aca="false">SUBSTITUTE(SUBSTITUTE(SUBSTITUTE(SUBSTITUTE(SUBSTITUTE(SUBSTITUTE(SUBSTITUTE(SUBSTITUTE(SUBSTITUTE(SUBSTITUTE(SUBSTITUTE(SUBSTITUTE(SUBSTITUTE(LOWER(Z528&amp;""),CHAR(160),"")," ",""),".",""),"-",""),"/",""),"?",""),"_",""),",",""),"[",""),"]",""),"(",""),")",""),"*","")</f>
        <v/>
      </c>
      <c r="AX528" s="61" t="str">
        <f aca="false">SUBSTITUTE(SUBSTITUTE(SUBSTITUTE(SUBSTITUTE(SUBSTITUTE(SUBSTITUTE(SUBSTITUTE(SUBSTITUTE(SUBSTITUTE(SUBSTITUTE(SUBSTITUTE(SUBSTITUTE(SUBSTITUTE(LOWER(AE528&amp;""),CHAR(160),"")," ",""),".",""),"-",""),"/",""),"?",""),"_",""),",",""),"[",""),"]",""),"(",""),")",""),"*","")</f>
        <v/>
      </c>
      <c r="AY528" s="61" t="str">
        <f aca="false">SUBSTITUTE(SUBSTITUTE(SUBSTITUTE(SUBSTITUTE(SUBSTITUTE(SUBSTITUTE(SUBSTITUTE(SUBSTITUTE(SUBSTITUTE(SUBSTITUTE(SUBSTITUTE(SUBSTITUTE(SUBSTITUTE(LOWER(W528&amp;""),CHAR(160),"")," ",""),".",""),"-",""),"/",""),"?",""),"_",""),",",""),"[",""),"]",""),"(",""),")",""),"*","")</f>
        <v/>
      </c>
      <c r="AZ528" s="61" t="str">
        <f aca="false">SUBSTITUTE(SUBSTITUTE(SUBSTITUTE(SUBSTITUTE(SUBSTITUTE(SUBSTITUTE(SUBSTITUTE(SUBSTITUTE(SUBSTITUTE(SUBSTITUTE(SUBSTITUTE(SUBSTITUTE(SUBSTITUTE(LOWER(AC528&amp;""),CHAR(160),"")," ",""),".",""),"-",""),"/",""),"?",""),"_",""),",",""),"[",""),"]",""),"(",""),")",""),"*","")</f>
        <v/>
      </c>
      <c r="BA528" s="61" t="str">
        <f aca="false">SUBSTITUTE(SUBSTITUTE(SUBSTITUTE(SUBSTITUTE(SUBSTITUTE(SUBSTITUTE(SUBSTITUTE(SUBSTITUTE(SUBSTITUTE(SUBSTITUTE(SUBSTITUTE(SUBSTITUTE(SUBSTITUTE(LOWER(AA528&amp;""),CHAR(160),"")," ",""),".",""),"-",""),"/",""),"?",""),"_",""),",",""),"[",""),"]",""),"(",""),")",""),"*","")</f>
        <v/>
      </c>
      <c r="BB528" s="61" t="str">
        <f aca="false">IF(AND(TRIM(U528)="Pass",ISNUMBER(AF528)),IF(AF528&lt;&gt;0,"INVALID – qty variance: use Fail or Pass after CA",""),"")&amp;IF(AND(TRIM(U528)="Pass after CA",ISNUMBER(AF528)),IF(AF528&lt;&gt;0,"INVALID – after the corrective action the actual qty must equal expected (update Actual)",""),"")&amp;IF(AND(TRIM(U528)="Pass",TRIM(AB528)&lt;&gt;"",TRIM(AB528)&lt;&gt;"Closed"),"INVALID – corrective action not closed: use Fail, then Pass after CA","")&amp;IF(AND(TRIM(AA528)&lt;&gt;"",TRIM(AB528)=""),"INVALID – CA status missing for the recorded corrective action","")&amp;IF(AND(TRIM(U528)="Pass after CA",OR(OR(LEN(BA528)&lt;5,ISNUMBER(MATCH(BA528,L_Placeholder,0))),TRIM(AB528)&lt;&gt;"Closed")),"INVALID – corrective action not recorded/closed","")</f>
        <v/>
      </c>
    </row>
    <row r="529" customFormat="false" ht="91.5" hidden="false" customHeight="true" outlineLevel="0" collapsed="false">
      <c r="A529" s="57" t="s">
        <v>1171</v>
      </c>
      <c r="B529" s="57" t="s">
        <v>277</v>
      </c>
      <c r="C529" s="57" t="str">
        <f aca="false">Flights!$F$20</f>
        <v>MH0072</v>
      </c>
      <c r="D529" s="58" t="n">
        <f aca="false">Flights!$D$20</f>
        <v>46321</v>
      </c>
      <c r="E529" s="57" t="str">
        <f aca="false">Flights!$G$20&amp;"-"&amp;Flights!$H$20</f>
        <v>KUL-HKG</v>
      </c>
      <c r="F529" s="57" t="str">
        <f aca="false">Flights!$K$20</f>
        <v>EY</v>
      </c>
      <c r="G529" s="57" t="s">
        <v>437</v>
      </c>
      <c r="H529" s="57" t="s">
        <v>438</v>
      </c>
      <c r="I529" s="57" t="s">
        <v>425</v>
      </c>
      <c r="J529" s="57" t="s">
        <v>449</v>
      </c>
      <c r="K529" s="67" t="s">
        <v>427</v>
      </c>
      <c r="L529" s="67" t="s">
        <v>1161</v>
      </c>
      <c r="M529" s="67" t="s">
        <v>429</v>
      </c>
      <c r="N529" s="67" t="s">
        <v>422</v>
      </c>
      <c r="O529" s="67" t="s">
        <v>1172</v>
      </c>
      <c r="P529" s="57" t="s">
        <v>184</v>
      </c>
      <c r="Q529" s="59" t="n">
        <f aca="false">ROUND((Flights!$AF$20)*1440,0)/1440</f>
        <v>46321.0486111111</v>
      </c>
      <c r="R529" s="59" t="n">
        <f aca="false">Q529+(IF(AND(INDEX(TZ_DSTS,MATCH(P529,TZ_STN,0))&lt;&gt;"",Q529&gt;=INDEX(TZ_DSTS,MATCH(P529,TZ_STN,0)),Q529&lt;INDEX(TZ_DSTE,MATCH(P529,TZ_STN,0))),INDEX(TZ_DST,MATCH(P529,TZ_STN,0)),INDEX(TZ_STD,MATCH(P529,TZ_STN,0))))/24</f>
        <v>46321.3819444444</v>
      </c>
      <c r="S529" s="59" t="n">
        <f aca="false">IF(ISNUMBER(Flights!$AZ$20),MAX(Q529-UpliftWindowH/24,Flights!$AZ$20),Q529-UpliftWindowH/24)</f>
        <v>46320.7986111111</v>
      </c>
      <c r="T529" s="60"/>
      <c r="U529" s="60"/>
      <c r="V529" s="60"/>
      <c r="W529" s="61"/>
      <c r="X529" s="60"/>
      <c r="Y529" s="60"/>
      <c r="Z529" s="60"/>
      <c r="AA529" s="60"/>
      <c r="AB529" s="60"/>
      <c r="AC529" s="60"/>
      <c r="AD529" s="66"/>
      <c r="AE529" s="60"/>
      <c r="AF529" s="61" t="str">
        <f aca="false">IF(AND(ISNUMBER(X529),ISNUMBER(Y529)),Y529-X529,"")</f>
        <v/>
      </c>
      <c r="AG529" s="62" t="str">
        <f aca="false">IF(ISNUMBER(AD529),AD529-(IF(AND(INDEX(TZ_DSTS,MATCH(P529,TZ_STN,0))&lt;&gt;"",(AD529-INDEX(TZ_STD,MATCH(P529,TZ_STN,0))/24)&gt;=INDEX(TZ_DSTS,MATCH(P529,TZ_STN,0)),(AD529-INDEX(TZ_STD,MATCH(P529,TZ_STN,0))/24)&lt;INDEX(TZ_DSTE,MATCH(P529,TZ_STN,0))),INDEX(TZ_DST,MATCH(P529,TZ_STN,0)),INDEX(TZ_STD,MATCH(P529,TZ_STN,0))))/24,"")</f>
        <v/>
      </c>
      <c r="AH529" s="65" t="str">
        <f aca="false">IFERROR(IF(N529="N/A – rule","N/A – RULE",IF(TRIM(U529)="N/A",IF(AT529=0,"INVALID – N/A not permitted for this check",IF(AND(TRIM(AB529)&lt;&gt;"",TRIM(AB529)&lt;&gt;"Closed"),"INVALID – corrective action still open",IF(AND(NOT(OR(LEN(AZ529)&lt;15,ISNUMBER(MATCH(AZ529,L_Placeholder,0)))),NOT(OR(LEN(AU529)&lt;2,ISNUMBER(MATCH(AU529,L_Placeholder,0)))),NOT(OR(LEN(AX529)&lt;2,ISNUMBER(MATCH(AX529,L_Placeholder,0)))),TRIM(AE529)&lt;&gt;TRIM(T529)),"N/A – JUSTIFIED","INVALID – N/A needs a real justification (15+ chars), PIC and a different verifier"))),IF(OR(TRIM(U529)="Pass",TRIM(U529)="Pass after CA"),IF(NOT(ISNUMBER(AD529)),"INVALID – completion time missing",IF(OR(LEN(AU529)&lt;2,ISNUMBER(MATCH(AU529,L_Placeholder,0))),"INVALID – PIC missing",IF(OR(LEN(AV529)&lt;2,ISNUMBER(MATCH(AV529,L_Placeholder,0))),"INVALID – result / assessment missing",IF(OR(OR(LEN(AW529)&lt;3,ISNUMBER(MATCH(AW529,L_Placeholder,0))),SUMPRODUCT(--ISNUMBER(SEARCH(L_EvidencePhrase,AW529)))&gt;0),"INVALID – evidence missing, placeholder or not yet on file",IF(OR(LEN(AX529)&lt;2,ISNUMBER(MATCH(AX529,L_Placeholder,0))),"INVALID – verifier missing",IF(AX529=AU529,"INVALID – verifier must be someone other than the PIC",IF(AND(TRIM(U529)="Pass",SUMPRODUCT(--ISNUMBER(SEARCH(L_ResultBad,AV529)))&gt;0),"INVALID – result describes a problem: use Fail, then Pass after CA",IF(AND(AQ529=1,OR(LEN(AY529)&lt;3,ISNUMBER(MATCH(AY529,L_Placeholder,0)))),"INVALID – batch ID missing or placeholder",IF(AND(AR529=1,OR(NOT(ISNUMBER(X529)),NOT(ISNUMBER(Y529)))),"INVALID – expected/actual qty missing",IF(AND(AR529=1,OR(X529&lt;=0,Y529&lt;0)),"INVALID – expected qty must be above 0 and actual not negative",IF(AH524="N/A – JUSTIFIED","INVALID – preparation row F16-T12-09 is N/A",IF(AND(AR529=1,ISNUMBER(X524),X529&lt;&gt;X524),"INVALID – expected qty differs from preparation check F16-T12-09",IF(BB529&lt;&gt;"",BB529,IF(AND(AS529=1,Documents!$J$20&lt;&gt;"ON FILE"),"INVALID – GLD not on file (Documents sheet)",IF(AND(AS529=2,Documents!$O$20&lt;&gt;"ON FILE"),"INVALID – menu checklist not on file (Documents sheet)",IF(AND(AS529=3,NOT(ISNUMBER(Flights!$AX$20))),"INVALID – enter carrying flight KUL departure (Flights AX)",IF(AND(AS529=3,OR(Flights!$AZ$20&gt;Flights!$AA$20,Flights!$AX$20&lt;Flights!$AA$20-3)),"INVALID – carrying flight (Flights AX) cannot arrive before this leg's STD, or is over 3 days early",IF(AG529&gt;AsOfUTC,"INVALID – completion time is in the future",IF(AND(ISNUMBER(S529),AG529&lt;S529),IF(H529="Physical uplift","INVALID – before uplift window (cannot confirm loading)","INVALID – before valid window"),IF(AG529&gt;Flights!$AA$20,"INVALID – completed after departure (cannot establish readiness)",IF(AND(H529="Preparation",AG529&gt;IF(ISNUMBER(Flights!$BA$20),MIN(Flights!$BA$20,Flights!$AA$20),Flights!$AA$20)),"INVALID – completed after loading / departure (cannot establish readiness)",IF(AND(H529="Physical uplift",AG529&gt;Q529),"INVALID – recorded after the loading flight departed",IF(AG529&gt;Q529,"COMPLETE – LATE","COMPLETE"))))))))))))))))))))))),IF(TRIM(U529)="Fail","FAIL – DISCREPANCY",IF(AND(TRIM(U529)&lt;&gt;"",TRIM(U529)&lt;&gt;"Not started",TRIM(U529)&lt;&gt;"In progress"),"INVALID – unrecognised status (use the list)",IF(AsOfUTC&gt;Q529,"OVERDUE",IF(N529="Clarification required","OPEN – CLARIFICATION","OPEN"))))))),"INVALID – error value in an input cell")</f>
        <v>OPEN – CLARIFICATION</v>
      </c>
      <c r="AI529" s="61" t="n">
        <f aca="false">IF(OR(AH529="N/A – RULE",AH529="N/A – JUSTIFIED"),0,1)</f>
        <v>1</v>
      </c>
      <c r="AJ529" s="61" t="n">
        <f aca="false">IF(LEFT(AH529,8)="COMPLETE",1,0)</f>
        <v>0</v>
      </c>
      <c r="AK529" s="61" t="n">
        <f aca="false">IF(AND(AI529=1,AJ529=0,AsOfUTC&gt;Q529),1,0)</f>
        <v>0</v>
      </c>
      <c r="AL529" s="61" t="n">
        <f aca="false">IFERROR(IF(AND(AI529=1,OR(TRIM(U529)="Fail",AND(TRIM(AB529)&lt;&gt;"",TRIM(AB529)&lt;&gt;"Closed"),AND(ISNUMBER(AF529),AF529&lt;&gt;0,TRIM(U529)&lt;&gt;"Pass after CA"))),1,0),1)</f>
        <v>0</v>
      </c>
      <c r="AM529" s="61" t="n">
        <f aca="false">IF(LEFT(AH529,7)="INVALID",1,0)</f>
        <v>0</v>
      </c>
      <c r="AN529" s="61" t="n">
        <f aca="false">IF(AND(N529="Clarification required",AI529=1,AJ529=0),1,0)</f>
        <v>1</v>
      </c>
      <c r="AO529" s="61" t="str">
        <f aca="false">IF(AK529=1,SUM(AK$5:AK529),"")</f>
        <v/>
      </c>
      <c r="AP529" s="61" t="str">
        <f aca="false">IF(AL529=1,SUM(AL$5:AL529),"")</f>
        <v/>
      </c>
      <c r="AQ529" s="61" t="n">
        <v>0</v>
      </c>
      <c r="AR529" s="61" t="n">
        <v>0</v>
      </c>
      <c r="AS529" s="61" t="n">
        <v>0</v>
      </c>
      <c r="AT529" s="61" t="n">
        <v>1</v>
      </c>
      <c r="AU529" s="61" t="str">
        <f aca="false">SUBSTITUTE(SUBSTITUTE(SUBSTITUTE(SUBSTITUTE(SUBSTITUTE(SUBSTITUTE(SUBSTITUTE(SUBSTITUTE(SUBSTITUTE(SUBSTITUTE(SUBSTITUTE(SUBSTITUTE(SUBSTITUTE(LOWER(T529&amp;""),CHAR(160),"")," ",""),".",""),"-",""),"/",""),"?",""),"_",""),",",""),"[",""),"]",""),"(",""),")",""),"*","")</f>
        <v/>
      </c>
      <c r="AV529" s="61" t="str">
        <f aca="false">SUBSTITUTE(SUBSTITUTE(SUBSTITUTE(SUBSTITUTE(SUBSTITUTE(SUBSTITUTE(SUBSTITUTE(SUBSTITUTE(SUBSTITUTE(SUBSTITUTE(SUBSTITUTE(SUBSTITUTE(SUBSTITUTE(LOWER(V529&amp;""),CHAR(160),"")," ",""),".",""),"-",""),"/",""),"?",""),"_",""),",",""),"[",""),"]",""),"(",""),")",""),"*","")</f>
        <v/>
      </c>
      <c r="AW529" s="61" t="str">
        <f aca="false">SUBSTITUTE(SUBSTITUTE(SUBSTITUTE(SUBSTITUTE(SUBSTITUTE(SUBSTITUTE(SUBSTITUTE(SUBSTITUTE(SUBSTITUTE(SUBSTITUTE(SUBSTITUTE(SUBSTITUTE(SUBSTITUTE(LOWER(Z529&amp;""),CHAR(160),"")," ",""),".",""),"-",""),"/",""),"?",""),"_",""),",",""),"[",""),"]",""),"(",""),")",""),"*","")</f>
        <v/>
      </c>
      <c r="AX529" s="61" t="str">
        <f aca="false">SUBSTITUTE(SUBSTITUTE(SUBSTITUTE(SUBSTITUTE(SUBSTITUTE(SUBSTITUTE(SUBSTITUTE(SUBSTITUTE(SUBSTITUTE(SUBSTITUTE(SUBSTITUTE(SUBSTITUTE(SUBSTITUTE(LOWER(AE529&amp;""),CHAR(160),"")," ",""),".",""),"-",""),"/",""),"?",""),"_",""),",",""),"[",""),"]",""),"(",""),")",""),"*","")</f>
        <v/>
      </c>
      <c r="AY529" s="61" t="str">
        <f aca="false">SUBSTITUTE(SUBSTITUTE(SUBSTITUTE(SUBSTITUTE(SUBSTITUTE(SUBSTITUTE(SUBSTITUTE(SUBSTITUTE(SUBSTITUTE(SUBSTITUTE(SUBSTITUTE(SUBSTITUTE(SUBSTITUTE(LOWER(W529&amp;""),CHAR(160),"")," ",""),".",""),"-",""),"/",""),"?",""),"_",""),",",""),"[",""),"]",""),"(",""),")",""),"*","")</f>
        <v/>
      </c>
      <c r="AZ529" s="61" t="str">
        <f aca="false">SUBSTITUTE(SUBSTITUTE(SUBSTITUTE(SUBSTITUTE(SUBSTITUTE(SUBSTITUTE(SUBSTITUTE(SUBSTITUTE(SUBSTITUTE(SUBSTITUTE(SUBSTITUTE(SUBSTITUTE(SUBSTITUTE(LOWER(AC529&amp;""),CHAR(160),"")," ",""),".",""),"-",""),"/",""),"?",""),"_",""),",",""),"[",""),"]",""),"(",""),")",""),"*","")</f>
        <v/>
      </c>
      <c r="BA529" s="61" t="str">
        <f aca="false">SUBSTITUTE(SUBSTITUTE(SUBSTITUTE(SUBSTITUTE(SUBSTITUTE(SUBSTITUTE(SUBSTITUTE(SUBSTITUTE(SUBSTITUTE(SUBSTITUTE(SUBSTITUTE(SUBSTITUTE(SUBSTITUTE(LOWER(AA529&amp;""),CHAR(160),"")," ",""),".",""),"-",""),"/",""),"?",""),"_",""),",",""),"[",""),"]",""),"(",""),")",""),"*","")</f>
        <v/>
      </c>
      <c r="BB529" s="61" t="str">
        <f aca="false">IF(AND(TRIM(U529)="Pass",ISNUMBER(AF529)),IF(AF529&lt;&gt;0,"INVALID – qty variance: use Fail or Pass after CA",""),"")&amp;IF(AND(TRIM(U529)="Pass after CA",ISNUMBER(AF529)),IF(AF529&lt;&gt;0,"INVALID – after the corrective action the actual qty must equal expected (update Actual)",""),"")&amp;IF(AND(TRIM(U529)="Pass",TRIM(AB529)&lt;&gt;"",TRIM(AB529)&lt;&gt;"Closed"),"INVALID – corrective action not closed: use Fail, then Pass after CA","")&amp;IF(AND(TRIM(AA529)&lt;&gt;"",TRIM(AB529)=""),"INVALID – CA status missing for the recorded corrective action","")&amp;IF(AND(TRIM(U529)="Pass after CA",OR(OR(LEN(BA529)&lt;5,ISNUMBER(MATCH(BA529,L_Placeholder,0))),TRIM(AB529)&lt;&gt;"Closed")),"INVALID – corrective action not recorded/closed","")</f>
        <v/>
      </c>
    </row>
    <row r="530" customFormat="false" ht="41.25" hidden="false" customHeight="true" outlineLevel="0" collapsed="false">
      <c r="A530" s="57" t="s">
        <v>1173</v>
      </c>
      <c r="B530" s="57" t="s">
        <v>277</v>
      </c>
      <c r="C530" s="57" t="str">
        <f aca="false">Flights!$F$20</f>
        <v>MH0072</v>
      </c>
      <c r="D530" s="58" t="n">
        <f aca="false">Flights!$D$20</f>
        <v>46321</v>
      </c>
      <c r="E530" s="57" t="str">
        <f aca="false">Flights!$G$20&amp;"-"&amp;Flights!$H$20</f>
        <v>KUL-HKG</v>
      </c>
      <c r="F530" s="57" t="str">
        <f aca="false">Flights!$K$20</f>
        <v>EY</v>
      </c>
      <c r="G530" s="57" t="s">
        <v>437</v>
      </c>
      <c r="H530" s="57" t="s">
        <v>438</v>
      </c>
      <c r="I530" s="57" t="s">
        <v>612</v>
      </c>
      <c r="J530" s="57" t="s">
        <v>1174</v>
      </c>
      <c r="K530" s="67" t="s">
        <v>1165</v>
      </c>
      <c r="L530" s="67" t="s">
        <v>1166</v>
      </c>
      <c r="M530" s="67" t="s">
        <v>429</v>
      </c>
      <c r="N530" s="67" t="s">
        <v>361</v>
      </c>
      <c r="O530" s="67" t="s">
        <v>1175</v>
      </c>
      <c r="P530" s="57" t="s">
        <v>184</v>
      </c>
      <c r="Q530" s="59" t="n">
        <f aca="false">ROUND((Flights!$AF$20)*1440,0)/1440</f>
        <v>46321.0486111111</v>
      </c>
      <c r="R530" s="59" t="n">
        <f aca="false">Q530+(IF(AND(INDEX(TZ_DSTS,MATCH(P530,TZ_STN,0))&lt;&gt;"",Q530&gt;=INDEX(TZ_DSTS,MATCH(P530,TZ_STN,0)),Q530&lt;INDEX(TZ_DSTE,MATCH(P530,TZ_STN,0))),INDEX(TZ_DST,MATCH(P530,TZ_STN,0)),INDEX(TZ_STD,MATCH(P530,TZ_STN,0))))/24</f>
        <v>46321.3819444444</v>
      </c>
      <c r="S530" s="59" t="n">
        <f aca="false">IF(ISNUMBER(Flights!$AZ$20),MAX(Q530-UpliftWindowH/24,Flights!$AZ$20),Q530-UpliftWindowH/24)</f>
        <v>46320.7986111111</v>
      </c>
      <c r="T530" s="60"/>
      <c r="U530" s="60"/>
      <c r="V530" s="60"/>
      <c r="W530" s="61"/>
      <c r="X530" s="60"/>
      <c r="Y530" s="60"/>
      <c r="Z530" s="60"/>
      <c r="AA530" s="60"/>
      <c r="AB530" s="60"/>
      <c r="AC530" s="60"/>
      <c r="AD530" s="66"/>
      <c r="AE530" s="60"/>
      <c r="AF530" s="61" t="str">
        <f aca="false">IF(AND(ISNUMBER(X530),ISNUMBER(Y530)),Y530-X530,"")</f>
        <v/>
      </c>
      <c r="AG530" s="62" t="str">
        <f aca="false">IF(ISNUMBER(AD530),AD530-(IF(AND(INDEX(TZ_DSTS,MATCH(P530,TZ_STN,0))&lt;&gt;"",(AD530-INDEX(TZ_STD,MATCH(P530,TZ_STN,0))/24)&gt;=INDEX(TZ_DSTS,MATCH(P530,TZ_STN,0)),(AD530-INDEX(TZ_STD,MATCH(P530,TZ_STN,0))/24)&lt;INDEX(TZ_DSTE,MATCH(P530,TZ_STN,0))),INDEX(TZ_DST,MATCH(P530,TZ_STN,0)),INDEX(TZ_STD,MATCH(P530,TZ_STN,0))))/24,"")</f>
        <v/>
      </c>
      <c r="AH530" s="65" t="str">
        <f aca="false">IFERROR(IF(N530="N/A – rule","N/A – RULE",IF(TRIM(U530)="N/A",IF(AT530=0,"INVALID – N/A not permitted for this check",IF(AND(TRIM(AB530)&lt;&gt;"",TRIM(AB530)&lt;&gt;"Closed"),"INVALID – corrective action still open",IF(AND(NOT(OR(LEN(AZ530)&lt;15,ISNUMBER(MATCH(AZ530,L_Placeholder,0)))),NOT(OR(LEN(AU530)&lt;2,ISNUMBER(MATCH(AU530,L_Placeholder,0)))),NOT(OR(LEN(AX530)&lt;2,ISNUMBER(MATCH(AX530,L_Placeholder,0)))),TRIM(AE530)&lt;&gt;TRIM(T530)),"N/A – JUSTIFIED","INVALID – N/A needs a real justification (15+ chars), PIC and a different verifier"))),IF(OR(TRIM(U530)="Pass",TRIM(U530)="Pass after CA"),IF(NOT(ISNUMBER(AD530)),"INVALID – completion time missing",IF(OR(LEN(AU530)&lt;2,ISNUMBER(MATCH(AU530,L_Placeholder,0))),"INVALID – PIC missing",IF(OR(LEN(AV530)&lt;2,ISNUMBER(MATCH(AV530,L_Placeholder,0))),"INVALID – result / assessment missing",IF(OR(OR(LEN(AW530)&lt;3,ISNUMBER(MATCH(AW530,L_Placeholder,0))),SUMPRODUCT(--ISNUMBER(SEARCH(L_EvidencePhrase,AW530)))&gt;0),"INVALID – evidence missing, placeholder or not yet on file",IF(OR(LEN(AX530)&lt;2,ISNUMBER(MATCH(AX530,L_Placeholder,0))),"INVALID – verifier missing",IF(AX530=AU530,"INVALID – verifier must be someone other than the PIC",IF(AND(TRIM(U530)="Pass",SUMPRODUCT(--ISNUMBER(SEARCH(L_ResultBad,AV530)))&gt;0),"INVALID – result describes a problem: use Fail, then Pass after CA",IF(AND(AQ530=1,OR(LEN(AY530)&lt;3,ISNUMBER(MATCH(AY530,L_Placeholder,0)))),"INVALID – batch ID missing or placeholder",IF(AND(AR530=1,OR(NOT(ISNUMBER(X530)),NOT(ISNUMBER(Y530)))),"INVALID – expected/actual qty missing",IF(AND(AR530=1,OR(X530&lt;=0,Y530&lt;0)),"INVALID – expected qty must be above 0 and actual not negative",IF(AH525="N/A – JUSTIFIED","INVALID – preparation row F16-T12-10 is N/A",IF(AND(AR530=1,ISNUMBER(X525),X530&lt;&gt;X525),"INVALID – expected qty differs from preparation check F16-T12-10",IF(BB530&lt;&gt;"",BB530,IF(AND(AS530=1,Documents!$J$20&lt;&gt;"ON FILE"),"INVALID – GLD not on file (Documents sheet)",IF(AND(AS530=2,Documents!$O$20&lt;&gt;"ON FILE"),"INVALID – menu checklist not on file (Documents sheet)",IF(AND(AS530=3,NOT(ISNUMBER(Flights!$AX$20))),"INVALID – enter carrying flight KUL departure (Flights AX)",IF(AND(AS530=3,OR(Flights!$AZ$20&gt;Flights!$AA$20,Flights!$AX$20&lt;Flights!$AA$20-3)),"INVALID – carrying flight (Flights AX) cannot arrive before this leg's STD, or is over 3 days early",IF(AG530&gt;AsOfUTC,"INVALID – completion time is in the future",IF(AND(ISNUMBER(S530),AG530&lt;S530),IF(H530="Physical uplift","INVALID – before uplift window (cannot confirm loading)","INVALID – before valid window"),IF(AG530&gt;Flights!$AA$20,"INVALID – completed after departure (cannot establish readiness)",IF(AND(H530="Preparation",AG530&gt;IF(ISNUMBER(Flights!$BA$20),MIN(Flights!$BA$20,Flights!$AA$20),Flights!$AA$20)),"INVALID – completed after loading / departure (cannot establish readiness)",IF(AND(H530="Physical uplift",AG530&gt;Q530),"INVALID – recorded after the loading flight departed",IF(AG530&gt;Q530,"COMPLETE – LATE","COMPLETE"))))))))))))))))))))))),IF(TRIM(U530)="Fail","FAIL – DISCREPANCY",IF(AND(TRIM(U530)&lt;&gt;"",TRIM(U530)&lt;&gt;"Not started",TRIM(U530)&lt;&gt;"In progress"),"INVALID – unrecognised status (use the list)",IF(AsOfUTC&gt;Q530,"OVERDUE",IF(N530="Clarification required","OPEN – CLARIFICATION","OPEN"))))))),"INVALID – error value in an input cell")</f>
        <v>OPEN</v>
      </c>
      <c r="AI530" s="61" t="n">
        <f aca="false">IF(OR(AH530="N/A – RULE",AH530="N/A – JUSTIFIED"),0,1)</f>
        <v>1</v>
      </c>
      <c r="AJ530" s="61" t="n">
        <f aca="false">IF(LEFT(AH530,8)="COMPLETE",1,0)</f>
        <v>0</v>
      </c>
      <c r="AK530" s="61" t="n">
        <f aca="false">IF(AND(AI530=1,AJ530=0,AsOfUTC&gt;Q530),1,0)</f>
        <v>0</v>
      </c>
      <c r="AL530" s="61" t="n">
        <f aca="false">IFERROR(IF(AND(AI530=1,OR(TRIM(U530)="Fail",AND(TRIM(AB530)&lt;&gt;"",TRIM(AB530)&lt;&gt;"Closed"),AND(ISNUMBER(AF530),AF530&lt;&gt;0,TRIM(U530)&lt;&gt;"Pass after CA"))),1,0),1)</f>
        <v>0</v>
      </c>
      <c r="AM530" s="61" t="n">
        <f aca="false">IF(LEFT(AH530,7)="INVALID",1,0)</f>
        <v>0</v>
      </c>
      <c r="AN530" s="61" t="n">
        <f aca="false">IF(AND(N530="Clarification required",AI530=1,AJ530=0),1,0)</f>
        <v>0</v>
      </c>
      <c r="AO530" s="61" t="str">
        <f aca="false">IF(AK530=1,SUM(AK$5:AK530),"")</f>
        <v/>
      </c>
      <c r="AP530" s="61" t="str">
        <f aca="false">IF(AL530=1,SUM(AL$5:AL530),"")</f>
        <v/>
      </c>
      <c r="AQ530" s="61" t="n">
        <v>0</v>
      </c>
      <c r="AR530" s="61" t="n">
        <v>0</v>
      </c>
      <c r="AS530" s="61" t="n">
        <v>0</v>
      </c>
      <c r="AT530" s="61" t="n">
        <v>0</v>
      </c>
      <c r="AU530" s="61" t="str">
        <f aca="false">SUBSTITUTE(SUBSTITUTE(SUBSTITUTE(SUBSTITUTE(SUBSTITUTE(SUBSTITUTE(SUBSTITUTE(SUBSTITUTE(SUBSTITUTE(SUBSTITUTE(SUBSTITUTE(SUBSTITUTE(SUBSTITUTE(LOWER(T530&amp;""),CHAR(160),"")," ",""),".",""),"-",""),"/",""),"?",""),"_",""),",",""),"[",""),"]",""),"(",""),")",""),"*","")</f>
        <v/>
      </c>
      <c r="AV530" s="61" t="str">
        <f aca="false">SUBSTITUTE(SUBSTITUTE(SUBSTITUTE(SUBSTITUTE(SUBSTITUTE(SUBSTITUTE(SUBSTITUTE(SUBSTITUTE(SUBSTITUTE(SUBSTITUTE(SUBSTITUTE(SUBSTITUTE(SUBSTITUTE(LOWER(V530&amp;""),CHAR(160),"")," ",""),".",""),"-",""),"/",""),"?",""),"_",""),",",""),"[",""),"]",""),"(",""),")",""),"*","")</f>
        <v/>
      </c>
      <c r="AW530" s="61" t="str">
        <f aca="false">SUBSTITUTE(SUBSTITUTE(SUBSTITUTE(SUBSTITUTE(SUBSTITUTE(SUBSTITUTE(SUBSTITUTE(SUBSTITUTE(SUBSTITUTE(SUBSTITUTE(SUBSTITUTE(SUBSTITUTE(SUBSTITUTE(LOWER(Z530&amp;""),CHAR(160),"")," ",""),".",""),"-",""),"/",""),"?",""),"_",""),",",""),"[",""),"]",""),"(",""),")",""),"*","")</f>
        <v/>
      </c>
      <c r="AX530" s="61" t="str">
        <f aca="false">SUBSTITUTE(SUBSTITUTE(SUBSTITUTE(SUBSTITUTE(SUBSTITUTE(SUBSTITUTE(SUBSTITUTE(SUBSTITUTE(SUBSTITUTE(SUBSTITUTE(SUBSTITUTE(SUBSTITUTE(SUBSTITUTE(LOWER(AE530&amp;""),CHAR(160),"")," ",""),".",""),"-",""),"/",""),"?",""),"_",""),",",""),"[",""),"]",""),"(",""),")",""),"*","")</f>
        <v/>
      </c>
      <c r="AY530" s="61" t="str">
        <f aca="false">SUBSTITUTE(SUBSTITUTE(SUBSTITUTE(SUBSTITUTE(SUBSTITUTE(SUBSTITUTE(SUBSTITUTE(SUBSTITUTE(SUBSTITUTE(SUBSTITUTE(SUBSTITUTE(SUBSTITUTE(SUBSTITUTE(LOWER(W530&amp;""),CHAR(160),"")," ",""),".",""),"-",""),"/",""),"?",""),"_",""),",",""),"[",""),"]",""),"(",""),")",""),"*","")</f>
        <v/>
      </c>
      <c r="AZ530" s="61" t="str">
        <f aca="false">SUBSTITUTE(SUBSTITUTE(SUBSTITUTE(SUBSTITUTE(SUBSTITUTE(SUBSTITUTE(SUBSTITUTE(SUBSTITUTE(SUBSTITUTE(SUBSTITUTE(SUBSTITUTE(SUBSTITUTE(SUBSTITUTE(LOWER(AC530&amp;""),CHAR(160),"")," ",""),".",""),"-",""),"/",""),"?",""),"_",""),",",""),"[",""),"]",""),"(",""),")",""),"*","")</f>
        <v/>
      </c>
      <c r="BA530" s="61" t="str">
        <f aca="false">SUBSTITUTE(SUBSTITUTE(SUBSTITUTE(SUBSTITUTE(SUBSTITUTE(SUBSTITUTE(SUBSTITUTE(SUBSTITUTE(SUBSTITUTE(SUBSTITUTE(SUBSTITUTE(SUBSTITUTE(SUBSTITUTE(LOWER(AA530&amp;""),CHAR(160),"")," ",""),".",""),"-",""),"/",""),"?",""),"_",""),",",""),"[",""),"]",""),"(",""),")",""),"*","")</f>
        <v/>
      </c>
      <c r="BB530" s="61" t="str">
        <f aca="false">IF(AND(TRIM(U530)="Pass",ISNUMBER(AF530)),IF(AF530&lt;&gt;0,"INVALID – qty variance: use Fail or Pass after CA",""),"")&amp;IF(AND(TRIM(U530)="Pass after CA",ISNUMBER(AF530)),IF(AF530&lt;&gt;0,"INVALID – after the corrective action the actual qty must equal expected (update Actual)",""),"")&amp;IF(AND(TRIM(U530)="Pass",TRIM(AB530)&lt;&gt;"",TRIM(AB530)&lt;&gt;"Closed"),"INVALID – corrective action not closed: use Fail, then Pass after CA","")&amp;IF(AND(TRIM(AA530)&lt;&gt;"",TRIM(AB530)=""),"INVALID – CA status missing for the recorded corrective action","")&amp;IF(AND(TRIM(U530)="Pass after CA",OR(OR(LEN(BA530)&lt;5,ISNUMBER(MATCH(BA530,L_Placeholder,0))),TRIM(AB530)&lt;&gt;"Closed")),"INVALID – corrective action not recorded/closed","")</f>
        <v/>
      </c>
    </row>
    <row r="531" customFormat="false" ht="39.75" hidden="false" customHeight="true" outlineLevel="0" collapsed="false">
      <c r="A531" s="57" t="s">
        <v>1176</v>
      </c>
      <c r="B531" s="57" t="s">
        <v>287</v>
      </c>
      <c r="C531" s="57" t="str">
        <f aca="false">Flights!$F$21</f>
        <v>MH0073</v>
      </c>
      <c r="D531" s="58" t="n">
        <f aca="false">Flights!$D$21</f>
        <v>46322</v>
      </c>
      <c r="E531" s="57" t="str">
        <f aca="false">Flights!$G$21&amp;"-"&amp;Flights!$H$21</f>
        <v>HKG-KUL</v>
      </c>
      <c r="F531" s="57" t="str">
        <f aca="false">Flights!$K$21</f>
        <v>BC</v>
      </c>
      <c r="G531" s="57" t="s">
        <v>79</v>
      </c>
      <c r="H531" s="57" t="s">
        <v>356</v>
      </c>
      <c r="I531" s="57" t="s">
        <v>357</v>
      </c>
      <c r="J531" s="57" t="s">
        <v>358</v>
      </c>
      <c r="K531" s="67" t="s">
        <v>359</v>
      </c>
      <c r="L531" s="67" t="s">
        <v>360</v>
      </c>
      <c r="M531" s="67"/>
      <c r="N531" s="67" t="s">
        <v>361</v>
      </c>
      <c r="O531" s="67"/>
      <c r="P531" s="57" t="s">
        <v>279</v>
      </c>
      <c r="Q531" s="59" t="n">
        <f aca="false">ROUND((Flights!$AC$21)*1440,0)/1440</f>
        <v>46315.2847222222</v>
      </c>
      <c r="R531" s="59" t="n">
        <f aca="false">Q531+(IF(AND(INDEX(TZ_DSTS,MATCH(P531,TZ_STN,0))&lt;&gt;"",Q531&gt;=INDEX(TZ_DSTS,MATCH(P531,TZ_STN,0)),Q531&lt;INDEX(TZ_DSTE,MATCH(P531,TZ_STN,0))),INDEX(TZ_DST,MATCH(P531,TZ_STN,0)),INDEX(TZ_STD,MATCH(P531,TZ_STN,0))))/24</f>
        <v>46315.6180555556</v>
      </c>
      <c r="S531" s="59" t="n">
        <f aca="false">Q531-T7EarlyD*24/24</f>
        <v>46301.2847222222</v>
      </c>
      <c r="T531" s="60"/>
      <c r="U531" s="60"/>
      <c r="V531" s="60"/>
      <c r="W531" s="61"/>
      <c r="X531" s="60"/>
      <c r="Y531" s="60"/>
      <c r="Z531" s="60"/>
      <c r="AA531" s="60"/>
      <c r="AB531" s="60"/>
      <c r="AC531" s="60"/>
      <c r="AD531" s="66"/>
      <c r="AE531" s="60"/>
      <c r="AF531" s="61" t="str">
        <f aca="false">IF(AND(ISNUMBER(X531),ISNUMBER(Y531)),Y531-X531,"")</f>
        <v/>
      </c>
      <c r="AG531" s="62" t="str">
        <f aca="false">IF(ISNUMBER(AD531),AD531-(IF(AND(INDEX(TZ_DSTS,MATCH(P531,TZ_STN,0))&lt;&gt;"",(AD531-INDEX(TZ_STD,MATCH(P531,TZ_STN,0))/24)&gt;=INDEX(TZ_DSTS,MATCH(P531,TZ_STN,0)),(AD531-INDEX(TZ_STD,MATCH(P531,TZ_STN,0))/24)&lt;INDEX(TZ_DSTE,MATCH(P531,TZ_STN,0))),INDEX(TZ_DST,MATCH(P531,TZ_STN,0)),INDEX(TZ_STD,MATCH(P531,TZ_STN,0))))/24,"")</f>
        <v/>
      </c>
      <c r="AH531" s="65" t="str">
        <f aca="false">IFERROR(IF(N531="N/A – rule","N/A – RULE",IF(TRIM(U531)="N/A",IF(AT531=0,"INVALID – N/A not permitted for this check",IF(AND(TRIM(AB531)&lt;&gt;"",TRIM(AB531)&lt;&gt;"Closed"),"INVALID – corrective action still open",IF(AND(NOT(OR(LEN(AZ531)&lt;15,ISNUMBER(MATCH(AZ531,L_Placeholder,0)))),NOT(OR(LEN(AU531)&lt;2,ISNUMBER(MATCH(AU531,L_Placeholder,0)))),NOT(OR(LEN(AX531)&lt;2,ISNUMBER(MATCH(AX531,L_Placeholder,0)))),TRIM(AE531)&lt;&gt;TRIM(T531)),"N/A – JUSTIFIED","INVALID – N/A needs a real justification (15+ chars), PIC and a different verifier"))),IF(OR(TRIM(U531)="Pass",TRIM(U531)="Pass after CA"),IF(NOT(ISNUMBER(AD531)),"INVALID – completion time missing",IF(OR(LEN(AU531)&lt;2,ISNUMBER(MATCH(AU531,L_Placeholder,0))),"INVALID – PIC missing",IF(OR(LEN(AV531)&lt;2,ISNUMBER(MATCH(AV531,L_Placeholder,0))),"INVALID – result / assessment missing",IF(OR(OR(LEN(AW531)&lt;3,ISNUMBER(MATCH(AW531,L_Placeholder,0))),SUMPRODUCT(--ISNUMBER(SEARCH(L_EvidencePhrase,AW531)))&gt;0),"INVALID – evidence missing, placeholder or not yet on file",IF(OR(LEN(AX531)&lt;2,ISNUMBER(MATCH(AX531,L_Placeholder,0))),"INVALID – verifier missing",IF(AX531=AU531,"INVALID – verifier must be someone other than the PIC",IF(AND(TRIM(U531)="Pass",SUMPRODUCT(--ISNUMBER(SEARCH(L_ResultBad,AV531)))&gt;0),"INVALID – result describes a problem: use Fail, then Pass after CA",IF(AND(AQ531=1,OR(LEN(AY531)&lt;3,ISNUMBER(MATCH(AY531,L_Placeholder,0)))),"INVALID – batch ID missing or placeholder",IF(AND(AR531=1,OR(NOT(ISNUMBER(X531)),NOT(ISNUMBER(Y531)))),"INVALID – expected/actual qty missing",IF(AND(AR531=1,OR(X531&lt;=0,Y531&lt;0)),"INVALID – expected qty must be above 0 and actual not negative",IF(BB531&lt;&gt;"",BB531,IF(AND(AS531=1,Documents!$J$21&lt;&gt;"ON FILE"),"INVALID – GLD not on file (Documents sheet)",IF(AND(AS531=2,Documents!$O$21&lt;&gt;"ON FILE"),"INVALID – menu checklist not on file (Documents sheet)",IF(AND(AS531=3,NOT(ISNUMBER(Flights!$AX$21))),"INVALID – enter carrying flight KUL departure (Flights AX)",IF(AND(AS531=3,OR(Flights!$AZ$21&gt;Flights!$AA$21,Flights!$AX$21&lt;Flights!$AA$21-3)),"INVALID – carrying flight (Flights AX) cannot arrive before this leg's STD, or is over 3 days early",IF(AG531&gt;AsOfUTC,"INVALID – completion time is in the future",IF(AND(ISNUMBER(S531),AG531&lt;S531),IF(H531="Physical uplift","INVALID – before uplift window (cannot confirm loading)","INVALID – before valid window"),IF(AG531&gt;Flights!$AA$21,"INVALID – completed after departure (cannot establish readiness)",IF(AND(H531="Preparation",AG531&gt;IF(ISNUMBER(Flights!$BA$21),MIN(Flights!$BA$21,Flights!$AA$21),Flights!$AA$21)),"INVALID – completed after loading / departure (cannot establish readiness)",IF(AND(H531="Physical uplift",AG531&gt;Q531),"INVALID – recorded after the loading flight departed",IF(AG531&gt;Q531,"COMPLETE – LATE","COMPLETE"))))))))))))))))))))),IF(TRIM(U531)="Fail","FAIL – DISCREPANCY",IF(AND(TRIM(U531)&lt;&gt;"",TRIM(U531)&lt;&gt;"Not started",TRIM(U531)&lt;&gt;"In progress"),"INVALID – unrecognised status (use the list)",IF(AsOfUTC&gt;Q531,"OVERDUE",IF(N531="Clarification required","OPEN – CLARIFICATION","OPEN"))))))),"INVALID – error value in an input cell")</f>
        <v>OPEN</v>
      </c>
      <c r="AI531" s="61" t="n">
        <f aca="false">IF(OR(AH531="N/A – RULE",AH531="N/A – JUSTIFIED"),0,1)</f>
        <v>1</v>
      </c>
      <c r="AJ531" s="61" t="n">
        <f aca="false">IF(LEFT(AH531,8)="COMPLETE",1,0)</f>
        <v>0</v>
      </c>
      <c r="AK531" s="61" t="n">
        <f aca="false">IF(AND(AI531=1,AJ531=0,AsOfUTC&gt;Q531),1,0)</f>
        <v>0</v>
      </c>
      <c r="AL531" s="61" t="n">
        <f aca="false">IFERROR(IF(AND(AI531=1,OR(TRIM(U531)="Fail",AND(TRIM(AB531)&lt;&gt;"",TRIM(AB531)&lt;&gt;"Closed"),AND(ISNUMBER(AF531),AF531&lt;&gt;0,TRIM(U531)&lt;&gt;"Pass after CA"))),1,0),1)</f>
        <v>0</v>
      </c>
      <c r="AM531" s="61" t="n">
        <f aca="false">IF(LEFT(AH531,7)="INVALID",1,0)</f>
        <v>0</v>
      </c>
      <c r="AN531" s="61" t="n">
        <f aca="false">IF(AND(N531="Clarification required",AI531=1,AJ531=0),1,0)</f>
        <v>0</v>
      </c>
      <c r="AO531" s="61" t="str">
        <f aca="false">IF(AK531=1,SUM(AK$5:AK531),"")</f>
        <v/>
      </c>
      <c r="AP531" s="61" t="str">
        <f aca="false">IF(AL531=1,SUM(AL$5:AL531),"")</f>
        <v/>
      </c>
      <c r="AQ531" s="61" t="n">
        <v>0</v>
      </c>
      <c r="AR531" s="61" t="n">
        <v>0</v>
      </c>
      <c r="AS531" s="61" t="n">
        <v>0</v>
      </c>
      <c r="AT531" s="61" t="n">
        <v>0</v>
      </c>
      <c r="AU531" s="61" t="str">
        <f aca="false">SUBSTITUTE(SUBSTITUTE(SUBSTITUTE(SUBSTITUTE(SUBSTITUTE(SUBSTITUTE(SUBSTITUTE(SUBSTITUTE(SUBSTITUTE(SUBSTITUTE(SUBSTITUTE(SUBSTITUTE(SUBSTITUTE(LOWER(T531&amp;""),CHAR(160),"")," ",""),".",""),"-",""),"/",""),"?",""),"_",""),",",""),"[",""),"]",""),"(",""),")",""),"*","")</f>
        <v/>
      </c>
      <c r="AV531" s="61" t="str">
        <f aca="false">SUBSTITUTE(SUBSTITUTE(SUBSTITUTE(SUBSTITUTE(SUBSTITUTE(SUBSTITUTE(SUBSTITUTE(SUBSTITUTE(SUBSTITUTE(SUBSTITUTE(SUBSTITUTE(SUBSTITUTE(SUBSTITUTE(LOWER(V531&amp;""),CHAR(160),"")," ",""),".",""),"-",""),"/",""),"?",""),"_",""),",",""),"[",""),"]",""),"(",""),")",""),"*","")</f>
        <v/>
      </c>
      <c r="AW531" s="61" t="str">
        <f aca="false">SUBSTITUTE(SUBSTITUTE(SUBSTITUTE(SUBSTITUTE(SUBSTITUTE(SUBSTITUTE(SUBSTITUTE(SUBSTITUTE(SUBSTITUTE(SUBSTITUTE(SUBSTITUTE(SUBSTITUTE(SUBSTITUTE(LOWER(Z531&amp;""),CHAR(160),"")," ",""),".",""),"-",""),"/",""),"?",""),"_",""),",",""),"[",""),"]",""),"(",""),")",""),"*","")</f>
        <v/>
      </c>
      <c r="AX531" s="61" t="str">
        <f aca="false">SUBSTITUTE(SUBSTITUTE(SUBSTITUTE(SUBSTITUTE(SUBSTITUTE(SUBSTITUTE(SUBSTITUTE(SUBSTITUTE(SUBSTITUTE(SUBSTITUTE(SUBSTITUTE(SUBSTITUTE(SUBSTITUTE(LOWER(AE531&amp;""),CHAR(160),"")," ",""),".",""),"-",""),"/",""),"?",""),"_",""),",",""),"[",""),"]",""),"(",""),")",""),"*","")</f>
        <v/>
      </c>
      <c r="AY531" s="61" t="str">
        <f aca="false">SUBSTITUTE(SUBSTITUTE(SUBSTITUTE(SUBSTITUTE(SUBSTITUTE(SUBSTITUTE(SUBSTITUTE(SUBSTITUTE(SUBSTITUTE(SUBSTITUTE(SUBSTITUTE(SUBSTITUTE(SUBSTITUTE(LOWER(W531&amp;""),CHAR(160),"")," ",""),".",""),"-",""),"/",""),"?",""),"_",""),",",""),"[",""),"]",""),"(",""),")",""),"*","")</f>
        <v/>
      </c>
      <c r="AZ531" s="61" t="str">
        <f aca="false">SUBSTITUTE(SUBSTITUTE(SUBSTITUTE(SUBSTITUTE(SUBSTITUTE(SUBSTITUTE(SUBSTITUTE(SUBSTITUTE(SUBSTITUTE(SUBSTITUTE(SUBSTITUTE(SUBSTITUTE(SUBSTITUTE(LOWER(AC531&amp;""),CHAR(160),"")," ",""),".",""),"-",""),"/",""),"?",""),"_",""),",",""),"[",""),"]",""),"(",""),")",""),"*","")</f>
        <v/>
      </c>
      <c r="BA531" s="61" t="str">
        <f aca="false">SUBSTITUTE(SUBSTITUTE(SUBSTITUTE(SUBSTITUTE(SUBSTITUTE(SUBSTITUTE(SUBSTITUTE(SUBSTITUTE(SUBSTITUTE(SUBSTITUTE(SUBSTITUTE(SUBSTITUTE(SUBSTITUTE(LOWER(AA531&amp;""),CHAR(160),"")," ",""),".",""),"-",""),"/",""),"?",""),"_",""),",",""),"[",""),"]",""),"(",""),")",""),"*","")</f>
        <v/>
      </c>
      <c r="BB531" s="61" t="str">
        <f aca="false">IF(AND(TRIM(U531)="Pass",ISNUMBER(AF531)),IF(AF531&lt;&gt;0,"INVALID – qty variance: use Fail or Pass after CA",""),"")&amp;IF(AND(TRIM(U531)="Pass after CA",ISNUMBER(AF531)),IF(AF531&lt;&gt;0,"INVALID – after the corrective action the actual qty must equal expected (update Actual)",""),"")&amp;IF(AND(TRIM(U531)="Pass",TRIM(AB531)&lt;&gt;"",TRIM(AB531)&lt;&gt;"Closed"),"INVALID – corrective action not closed: use Fail, then Pass after CA","")&amp;IF(AND(TRIM(AA531)&lt;&gt;"",TRIM(AB531)=""),"INVALID – CA status missing for the recorded corrective action","")&amp;IF(AND(TRIM(U531)="Pass after CA",OR(OR(LEN(BA531)&lt;5,ISNUMBER(MATCH(BA531,L_Placeholder,0))),TRIM(AB531)&lt;&gt;"Closed")),"INVALID – corrective action not recorded/closed","")</f>
        <v/>
      </c>
    </row>
    <row r="532" customFormat="false" ht="39.75" hidden="false" customHeight="true" outlineLevel="0" collapsed="false">
      <c r="A532" s="57" t="s">
        <v>1177</v>
      </c>
      <c r="B532" s="57" t="s">
        <v>287</v>
      </c>
      <c r="C532" s="57" t="str">
        <f aca="false">Flights!$F$21</f>
        <v>MH0073</v>
      </c>
      <c r="D532" s="58" t="n">
        <f aca="false">Flights!$D$21</f>
        <v>46322</v>
      </c>
      <c r="E532" s="57" t="str">
        <f aca="false">Flights!$G$21&amp;"-"&amp;Flights!$H$21</f>
        <v>HKG-KUL</v>
      </c>
      <c r="F532" s="57" t="str">
        <f aca="false">Flights!$K$21</f>
        <v>BC</v>
      </c>
      <c r="G532" s="57" t="s">
        <v>79</v>
      </c>
      <c r="H532" s="57" t="s">
        <v>356</v>
      </c>
      <c r="I532" s="57" t="s">
        <v>363</v>
      </c>
      <c r="J532" s="57" t="s">
        <v>364</v>
      </c>
      <c r="K532" s="67" t="s">
        <v>365</v>
      </c>
      <c r="L532" s="67" t="s">
        <v>360</v>
      </c>
      <c r="M532" s="67"/>
      <c r="N532" s="67" t="s">
        <v>361</v>
      </c>
      <c r="O532" s="67"/>
      <c r="P532" s="57" t="s">
        <v>279</v>
      </c>
      <c r="Q532" s="59" t="n">
        <f aca="false">ROUND((Flights!$AC$21)*1440,0)/1440</f>
        <v>46315.2847222222</v>
      </c>
      <c r="R532" s="59" t="n">
        <f aca="false">Q532+(IF(AND(INDEX(TZ_DSTS,MATCH(P532,TZ_STN,0))&lt;&gt;"",Q532&gt;=INDEX(TZ_DSTS,MATCH(P532,TZ_STN,0)),Q532&lt;INDEX(TZ_DSTE,MATCH(P532,TZ_STN,0))),INDEX(TZ_DST,MATCH(P532,TZ_STN,0)),INDEX(TZ_STD,MATCH(P532,TZ_STN,0))))/24</f>
        <v>46315.6180555556</v>
      </c>
      <c r="S532" s="59" t="n">
        <f aca="false">Q532-T7EarlyD*24/24</f>
        <v>46301.2847222222</v>
      </c>
      <c r="T532" s="60"/>
      <c r="U532" s="60"/>
      <c r="V532" s="60"/>
      <c r="W532" s="61"/>
      <c r="X532" s="60"/>
      <c r="Y532" s="60"/>
      <c r="Z532" s="60"/>
      <c r="AA532" s="60"/>
      <c r="AB532" s="60"/>
      <c r="AC532" s="60"/>
      <c r="AD532" s="66"/>
      <c r="AE532" s="60"/>
      <c r="AF532" s="61" t="str">
        <f aca="false">IF(AND(ISNUMBER(X532),ISNUMBER(Y532)),Y532-X532,"")</f>
        <v/>
      </c>
      <c r="AG532" s="62" t="str">
        <f aca="false">IF(ISNUMBER(AD532),AD532-(IF(AND(INDEX(TZ_DSTS,MATCH(P532,TZ_STN,0))&lt;&gt;"",(AD532-INDEX(TZ_STD,MATCH(P532,TZ_STN,0))/24)&gt;=INDEX(TZ_DSTS,MATCH(P532,TZ_STN,0)),(AD532-INDEX(TZ_STD,MATCH(P532,TZ_STN,0))/24)&lt;INDEX(TZ_DSTE,MATCH(P532,TZ_STN,0))),INDEX(TZ_DST,MATCH(P532,TZ_STN,0)),INDEX(TZ_STD,MATCH(P532,TZ_STN,0))))/24,"")</f>
        <v/>
      </c>
      <c r="AH532" s="65" t="str">
        <f aca="false">IFERROR(IF(N532="N/A – rule","N/A – RULE",IF(TRIM(U532)="N/A",IF(AT532=0,"INVALID – N/A not permitted for this check",IF(AND(TRIM(AB532)&lt;&gt;"",TRIM(AB532)&lt;&gt;"Closed"),"INVALID – corrective action still open",IF(AND(NOT(OR(LEN(AZ532)&lt;15,ISNUMBER(MATCH(AZ532,L_Placeholder,0)))),NOT(OR(LEN(AU532)&lt;2,ISNUMBER(MATCH(AU532,L_Placeholder,0)))),NOT(OR(LEN(AX532)&lt;2,ISNUMBER(MATCH(AX532,L_Placeholder,0)))),TRIM(AE532)&lt;&gt;TRIM(T532)),"N/A – JUSTIFIED","INVALID – N/A needs a real justification (15+ chars), PIC and a different verifier"))),IF(OR(TRIM(U532)="Pass",TRIM(U532)="Pass after CA"),IF(NOT(ISNUMBER(AD532)),"INVALID – completion time missing",IF(OR(LEN(AU532)&lt;2,ISNUMBER(MATCH(AU532,L_Placeholder,0))),"INVALID – PIC missing",IF(OR(LEN(AV532)&lt;2,ISNUMBER(MATCH(AV532,L_Placeholder,0))),"INVALID – result / assessment missing",IF(OR(OR(LEN(AW532)&lt;3,ISNUMBER(MATCH(AW532,L_Placeholder,0))),SUMPRODUCT(--ISNUMBER(SEARCH(L_EvidencePhrase,AW532)))&gt;0),"INVALID – evidence missing, placeholder or not yet on file",IF(OR(LEN(AX532)&lt;2,ISNUMBER(MATCH(AX532,L_Placeholder,0))),"INVALID – verifier missing",IF(AX532=AU532,"INVALID – verifier must be someone other than the PIC",IF(AND(TRIM(U532)="Pass",SUMPRODUCT(--ISNUMBER(SEARCH(L_ResultBad,AV532)))&gt;0),"INVALID – result describes a problem: use Fail, then Pass after CA",IF(AND(AQ532=1,OR(LEN(AY532)&lt;3,ISNUMBER(MATCH(AY532,L_Placeholder,0)))),"INVALID – batch ID missing or placeholder",IF(AND(AR532=1,OR(NOT(ISNUMBER(X532)),NOT(ISNUMBER(Y532)))),"INVALID – expected/actual qty missing",IF(AND(AR532=1,OR(X532&lt;=0,Y532&lt;0)),"INVALID – expected qty must be above 0 and actual not negative",IF(BB532&lt;&gt;"",BB532,IF(AND(AS532=1,Documents!$J$21&lt;&gt;"ON FILE"),"INVALID – GLD not on file (Documents sheet)",IF(AND(AS532=2,Documents!$O$21&lt;&gt;"ON FILE"),"INVALID – menu checklist not on file (Documents sheet)",IF(AND(AS532=3,NOT(ISNUMBER(Flights!$AX$21))),"INVALID – enter carrying flight KUL departure (Flights AX)",IF(AND(AS532=3,OR(Flights!$AZ$21&gt;Flights!$AA$21,Flights!$AX$21&lt;Flights!$AA$21-3)),"INVALID – carrying flight (Flights AX) cannot arrive before this leg's STD, or is over 3 days early",IF(AG532&gt;AsOfUTC,"INVALID – completion time is in the future",IF(AND(ISNUMBER(S532),AG532&lt;S532),IF(H532="Physical uplift","INVALID – before uplift window (cannot confirm loading)","INVALID – before valid window"),IF(AG532&gt;Flights!$AA$21,"INVALID – completed after departure (cannot establish readiness)",IF(AND(H532="Preparation",AG532&gt;IF(ISNUMBER(Flights!$BA$21),MIN(Flights!$BA$21,Flights!$AA$21),Flights!$AA$21)),"INVALID – completed after loading / departure (cannot establish readiness)",IF(AND(H532="Physical uplift",AG532&gt;Q532),"INVALID – recorded after the loading flight departed",IF(AG532&gt;Q532,"COMPLETE – LATE","COMPLETE"))))))))))))))))))))),IF(TRIM(U532)="Fail","FAIL – DISCREPANCY",IF(AND(TRIM(U532)&lt;&gt;"",TRIM(U532)&lt;&gt;"Not started",TRIM(U532)&lt;&gt;"In progress"),"INVALID – unrecognised status (use the list)",IF(AsOfUTC&gt;Q532,"OVERDUE",IF(N532="Clarification required","OPEN – CLARIFICATION","OPEN"))))))),"INVALID – error value in an input cell")</f>
        <v>OPEN</v>
      </c>
      <c r="AI532" s="61" t="n">
        <f aca="false">IF(OR(AH532="N/A – RULE",AH532="N/A – JUSTIFIED"),0,1)</f>
        <v>1</v>
      </c>
      <c r="AJ532" s="61" t="n">
        <f aca="false">IF(LEFT(AH532,8)="COMPLETE",1,0)</f>
        <v>0</v>
      </c>
      <c r="AK532" s="61" t="n">
        <f aca="false">IF(AND(AI532=1,AJ532=0,AsOfUTC&gt;Q532),1,0)</f>
        <v>0</v>
      </c>
      <c r="AL532" s="61" t="n">
        <f aca="false">IFERROR(IF(AND(AI532=1,OR(TRIM(U532)="Fail",AND(TRIM(AB532)&lt;&gt;"",TRIM(AB532)&lt;&gt;"Closed"),AND(ISNUMBER(AF532),AF532&lt;&gt;0,TRIM(U532)&lt;&gt;"Pass after CA"))),1,0),1)</f>
        <v>0</v>
      </c>
      <c r="AM532" s="61" t="n">
        <f aca="false">IF(LEFT(AH532,7)="INVALID",1,0)</f>
        <v>0</v>
      </c>
      <c r="AN532" s="61" t="n">
        <f aca="false">IF(AND(N532="Clarification required",AI532=1,AJ532=0),1,0)</f>
        <v>0</v>
      </c>
      <c r="AO532" s="61" t="str">
        <f aca="false">IF(AK532=1,SUM(AK$5:AK532),"")</f>
        <v/>
      </c>
      <c r="AP532" s="61" t="str">
        <f aca="false">IF(AL532=1,SUM(AL$5:AL532),"")</f>
        <v/>
      </c>
      <c r="AQ532" s="61" t="n">
        <v>0</v>
      </c>
      <c r="AR532" s="61" t="n">
        <v>0</v>
      </c>
      <c r="AS532" s="61" t="n">
        <v>0</v>
      </c>
      <c r="AT532" s="61" t="n">
        <v>0</v>
      </c>
      <c r="AU532" s="61" t="str">
        <f aca="false">SUBSTITUTE(SUBSTITUTE(SUBSTITUTE(SUBSTITUTE(SUBSTITUTE(SUBSTITUTE(SUBSTITUTE(SUBSTITUTE(SUBSTITUTE(SUBSTITUTE(SUBSTITUTE(SUBSTITUTE(SUBSTITUTE(LOWER(T532&amp;""),CHAR(160),"")," ",""),".",""),"-",""),"/",""),"?",""),"_",""),",",""),"[",""),"]",""),"(",""),")",""),"*","")</f>
        <v/>
      </c>
      <c r="AV532" s="61" t="str">
        <f aca="false">SUBSTITUTE(SUBSTITUTE(SUBSTITUTE(SUBSTITUTE(SUBSTITUTE(SUBSTITUTE(SUBSTITUTE(SUBSTITUTE(SUBSTITUTE(SUBSTITUTE(SUBSTITUTE(SUBSTITUTE(SUBSTITUTE(LOWER(V532&amp;""),CHAR(160),"")," ",""),".",""),"-",""),"/",""),"?",""),"_",""),",",""),"[",""),"]",""),"(",""),")",""),"*","")</f>
        <v/>
      </c>
      <c r="AW532" s="61" t="str">
        <f aca="false">SUBSTITUTE(SUBSTITUTE(SUBSTITUTE(SUBSTITUTE(SUBSTITUTE(SUBSTITUTE(SUBSTITUTE(SUBSTITUTE(SUBSTITUTE(SUBSTITUTE(SUBSTITUTE(SUBSTITUTE(SUBSTITUTE(LOWER(Z532&amp;""),CHAR(160),"")," ",""),".",""),"-",""),"/",""),"?",""),"_",""),",",""),"[",""),"]",""),"(",""),")",""),"*","")</f>
        <v/>
      </c>
      <c r="AX532" s="61" t="str">
        <f aca="false">SUBSTITUTE(SUBSTITUTE(SUBSTITUTE(SUBSTITUTE(SUBSTITUTE(SUBSTITUTE(SUBSTITUTE(SUBSTITUTE(SUBSTITUTE(SUBSTITUTE(SUBSTITUTE(SUBSTITUTE(SUBSTITUTE(LOWER(AE532&amp;""),CHAR(160),"")," ",""),".",""),"-",""),"/",""),"?",""),"_",""),",",""),"[",""),"]",""),"(",""),")",""),"*","")</f>
        <v/>
      </c>
      <c r="AY532" s="61" t="str">
        <f aca="false">SUBSTITUTE(SUBSTITUTE(SUBSTITUTE(SUBSTITUTE(SUBSTITUTE(SUBSTITUTE(SUBSTITUTE(SUBSTITUTE(SUBSTITUTE(SUBSTITUTE(SUBSTITUTE(SUBSTITUTE(SUBSTITUTE(LOWER(W532&amp;""),CHAR(160),"")," ",""),".",""),"-",""),"/",""),"?",""),"_",""),",",""),"[",""),"]",""),"(",""),")",""),"*","")</f>
        <v/>
      </c>
      <c r="AZ532" s="61" t="str">
        <f aca="false">SUBSTITUTE(SUBSTITUTE(SUBSTITUTE(SUBSTITUTE(SUBSTITUTE(SUBSTITUTE(SUBSTITUTE(SUBSTITUTE(SUBSTITUTE(SUBSTITUTE(SUBSTITUTE(SUBSTITUTE(SUBSTITUTE(LOWER(AC532&amp;""),CHAR(160),"")," ",""),".",""),"-",""),"/",""),"?",""),"_",""),",",""),"[",""),"]",""),"(",""),")",""),"*","")</f>
        <v/>
      </c>
      <c r="BA532" s="61" t="str">
        <f aca="false">SUBSTITUTE(SUBSTITUTE(SUBSTITUTE(SUBSTITUTE(SUBSTITUTE(SUBSTITUTE(SUBSTITUTE(SUBSTITUTE(SUBSTITUTE(SUBSTITUTE(SUBSTITUTE(SUBSTITUTE(SUBSTITUTE(LOWER(AA532&amp;""),CHAR(160),"")," ",""),".",""),"-",""),"/",""),"?",""),"_",""),",",""),"[",""),"]",""),"(",""),")",""),"*","")</f>
        <v/>
      </c>
      <c r="BB532" s="61" t="str">
        <f aca="false">IF(AND(TRIM(U532)="Pass",ISNUMBER(AF532)),IF(AF532&lt;&gt;0,"INVALID – qty variance: use Fail or Pass after CA",""),"")&amp;IF(AND(TRIM(U532)="Pass after CA",ISNUMBER(AF532)),IF(AF532&lt;&gt;0,"INVALID – after the corrective action the actual qty must equal expected (update Actual)",""),"")&amp;IF(AND(TRIM(U532)="Pass",TRIM(AB532)&lt;&gt;"",TRIM(AB532)&lt;&gt;"Closed"),"INVALID – corrective action not closed: use Fail, then Pass after CA","")&amp;IF(AND(TRIM(AA532)&lt;&gt;"",TRIM(AB532)=""),"INVALID – CA status missing for the recorded corrective action","")&amp;IF(AND(TRIM(U532)="Pass after CA",OR(OR(LEN(BA532)&lt;5,ISNUMBER(MATCH(BA532,L_Placeholder,0))),TRIM(AB532)&lt;&gt;"Closed")),"INVALID – corrective action not recorded/closed","")</f>
        <v/>
      </c>
    </row>
    <row r="533" customFormat="false" ht="41.25" hidden="false" customHeight="true" outlineLevel="0" collapsed="false">
      <c r="A533" s="57" t="s">
        <v>1178</v>
      </c>
      <c r="B533" s="57" t="s">
        <v>287</v>
      </c>
      <c r="C533" s="57" t="str">
        <f aca="false">Flights!$F$21</f>
        <v>MH0073</v>
      </c>
      <c r="D533" s="58" t="n">
        <f aca="false">Flights!$D$21</f>
        <v>46322</v>
      </c>
      <c r="E533" s="57" t="str">
        <f aca="false">Flights!$G$21&amp;"-"&amp;Flights!$H$21</f>
        <v>HKG-KUL</v>
      </c>
      <c r="F533" s="57" t="str">
        <f aca="false">Flights!$K$21</f>
        <v>BC</v>
      </c>
      <c r="G533" s="57" t="s">
        <v>79</v>
      </c>
      <c r="H533" s="57" t="s">
        <v>356</v>
      </c>
      <c r="I533" s="57" t="s">
        <v>367</v>
      </c>
      <c r="J533" s="57" t="s">
        <v>368</v>
      </c>
      <c r="K533" s="67" t="s">
        <v>369</v>
      </c>
      <c r="L533" s="67" t="s">
        <v>360</v>
      </c>
      <c r="M533" s="67"/>
      <c r="N533" s="67" t="str">
        <f aca="false">IF(TRIM(Flights!$L$21)="A339","Required","N/A – rule")</f>
        <v>N/A – rule</v>
      </c>
      <c r="O533" s="67" t="s">
        <v>370</v>
      </c>
      <c r="P533" s="57" t="s">
        <v>279</v>
      </c>
      <c r="Q533" s="59" t="n">
        <f aca="false">ROUND((Flights!$AC$21)*1440,0)/1440</f>
        <v>46315.2847222222</v>
      </c>
      <c r="R533" s="59" t="n">
        <f aca="false">Q533+(IF(AND(INDEX(TZ_DSTS,MATCH(P533,TZ_STN,0))&lt;&gt;"",Q533&gt;=INDEX(TZ_DSTS,MATCH(P533,TZ_STN,0)),Q533&lt;INDEX(TZ_DSTE,MATCH(P533,TZ_STN,0))),INDEX(TZ_DST,MATCH(P533,TZ_STN,0)),INDEX(TZ_STD,MATCH(P533,TZ_STN,0))))/24</f>
        <v>46315.6180555556</v>
      </c>
      <c r="S533" s="59" t="n">
        <f aca="false">Q533-T7EarlyD*24/24</f>
        <v>46301.2847222222</v>
      </c>
      <c r="T533" s="60"/>
      <c r="U533" s="60"/>
      <c r="V533" s="60"/>
      <c r="W533" s="61"/>
      <c r="X533" s="60"/>
      <c r="Y533" s="60"/>
      <c r="Z533" s="60"/>
      <c r="AA533" s="60"/>
      <c r="AB533" s="60"/>
      <c r="AC533" s="60"/>
      <c r="AD533" s="66"/>
      <c r="AE533" s="60"/>
      <c r="AF533" s="61" t="str">
        <f aca="false">IF(AND(ISNUMBER(X533),ISNUMBER(Y533)),Y533-X533,"")</f>
        <v/>
      </c>
      <c r="AG533" s="62" t="str">
        <f aca="false">IF(ISNUMBER(AD533),AD533-(IF(AND(INDEX(TZ_DSTS,MATCH(P533,TZ_STN,0))&lt;&gt;"",(AD533-INDEX(TZ_STD,MATCH(P533,TZ_STN,0))/24)&gt;=INDEX(TZ_DSTS,MATCH(P533,TZ_STN,0)),(AD533-INDEX(TZ_STD,MATCH(P533,TZ_STN,0))/24)&lt;INDEX(TZ_DSTE,MATCH(P533,TZ_STN,0))),INDEX(TZ_DST,MATCH(P533,TZ_STN,0)),INDEX(TZ_STD,MATCH(P533,TZ_STN,0))))/24,"")</f>
        <v/>
      </c>
      <c r="AH533" s="65" t="str">
        <f aca="false">IFERROR(IF(N533="N/A – rule","N/A – RULE",IF(TRIM(U533)="N/A",IF(AT533=0,"INVALID – N/A not permitted for this check",IF(AND(TRIM(AB533)&lt;&gt;"",TRIM(AB533)&lt;&gt;"Closed"),"INVALID – corrective action still open",IF(AND(NOT(OR(LEN(AZ533)&lt;15,ISNUMBER(MATCH(AZ533,L_Placeholder,0)))),NOT(OR(LEN(AU533)&lt;2,ISNUMBER(MATCH(AU533,L_Placeholder,0)))),NOT(OR(LEN(AX533)&lt;2,ISNUMBER(MATCH(AX533,L_Placeholder,0)))),TRIM(AE533)&lt;&gt;TRIM(T533)),"N/A – JUSTIFIED","INVALID – N/A needs a real justification (15+ chars), PIC and a different verifier"))),IF(OR(TRIM(U533)="Pass",TRIM(U533)="Pass after CA"),IF(NOT(ISNUMBER(AD533)),"INVALID – completion time missing",IF(OR(LEN(AU533)&lt;2,ISNUMBER(MATCH(AU533,L_Placeholder,0))),"INVALID – PIC missing",IF(OR(LEN(AV533)&lt;2,ISNUMBER(MATCH(AV533,L_Placeholder,0))),"INVALID – result / assessment missing",IF(OR(OR(LEN(AW533)&lt;3,ISNUMBER(MATCH(AW533,L_Placeholder,0))),SUMPRODUCT(--ISNUMBER(SEARCH(L_EvidencePhrase,AW533)))&gt;0),"INVALID – evidence missing, placeholder or not yet on file",IF(OR(LEN(AX533)&lt;2,ISNUMBER(MATCH(AX533,L_Placeholder,0))),"INVALID – verifier missing",IF(AX533=AU533,"INVALID – verifier must be someone other than the PIC",IF(AND(TRIM(U533)="Pass",SUMPRODUCT(--ISNUMBER(SEARCH(L_ResultBad,AV533)))&gt;0),"INVALID – result describes a problem: use Fail, then Pass after CA",IF(AND(AQ533=1,OR(LEN(AY533)&lt;3,ISNUMBER(MATCH(AY533,L_Placeholder,0)))),"INVALID – batch ID missing or placeholder",IF(AND(AR533=1,OR(NOT(ISNUMBER(X533)),NOT(ISNUMBER(Y533)))),"INVALID – expected/actual qty missing",IF(AND(AR533=1,OR(X533&lt;=0,Y533&lt;0)),"INVALID – expected qty must be above 0 and actual not negative",IF(BB533&lt;&gt;"",BB533,IF(AND(AS533=1,Documents!$J$21&lt;&gt;"ON FILE"),"INVALID – GLD not on file (Documents sheet)",IF(AND(AS533=2,Documents!$O$21&lt;&gt;"ON FILE"),"INVALID – menu checklist not on file (Documents sheet)",IF(AND(AS533=3,NOT(ISNUMBER(Flights!$AX$21))),"INVALID – enter carrying flight KUL departure (Flights AX)",IF(AND(AS533=3,OR(Flights!$AZ$21&gt;Flights!$AA$21,Flights!$AX$21&lt;Flights!$AA$21-3)),"INVALID – carrying flight (Flights AX) cannot arrive before this leg's STD, or is over 3 days early",IF(AG533&gt;AsOfUTC,"INVALID – completion time is in the future",IF(AND(ISNUMBER(S533),AG533&lt;S533),IF(H533="Physical uplift","INVALID – before uplift window (cannot confirm loading)","INVALID – before valid window"),IF(AG533&gt;Flights!$AA$21,"INVALID – completed after departure (cannot establish readiness)",IF(AND(H533="Preparation",AG533&gt;IF(ISNUMBER(Flights!$BA$21),MIN(Flights!$BA$21,Flights!$AA$21),Flights!$AA$21)),"INVALID – completed after loading / departure (cannot establish readiness)",IF(AND(H533="Physical uplift",AG533&gt;Q533),"INVALID – recorded after the loading flight departed",IF(AG533&gt;Q533,"COMPLETE – LATE","COMPLETE"))))))))))))))))))))),IF(TRIM(U533)="Fail","FAIL – DISCREPANCY",IF(AND(TRIM(U533)&lt;&gt;"",TRIM(U533)&lt;&gt;"Not started",TRIM(U533)&lt;&gt;"In progress"),"INVALID – unrecognised status (use the list)",IF(AsOfUTC&gt;Q533,"OVERDUE",IF(N533="Clarification required","OPEN – CLARIFICATION","OPEN"))))))),"INVALID – error value in an input cell")</f>
        <v>N/A – RULE</v>
      </c>
      <c r="AI533" s="61" t="n">
        <f aca="false">IF(OR(AH533="N/A – RULE",AH533="N/A – JUSTIFIED"),0,1)</f>
        <v>0</v>
      </c>
      <c r="AJ533" s="61" t="n">
        <f aca="false">IF(LEFT(AH533,8)="COMPLETE",1,0)</f>
        <v>0</v>
      </c>
      <c r="AK533" s="61" t="n">
        <f aca="false">IF(AND(AI533=1,AJ533=0,AsOfUTC&gt;Q533),1,0)</f>
        <v>0</v>
      </c>
      <c r="AL533" s="61" t="n">
        <f aca="false">IFERROR(IF(AND(AI533=1,OR(TRIM(U533)="Fail",AND(TRIM(AB533)&lt;&gt;"",TRIM(AB533)&lt;&gt;"Closed"),AND(ISNUMBER(AF533),AF533&lt;&gt;0,TRIM(U533)&lt;&gt;"Pass after CA"))),1,0),1)</f>
        <v>0</v>
      </c>
      <c r="AM533" s="61" t="n">
        <f aca="false">IF(LEFT(AH533,7)="INVALID",1,0)</f>
        <v>0</v>
      </c>
      <c r="AN533" s="61" t="n">
        <f aca="false">IF(AND(N533="Clarification required",AI533=1,AJ533=0),1,0)</f>
        <v>0</v>
      </c>
      <c r="AO533" s="61" t="str">
        <f aca="false">IF(AK533=1,SUM(AK$5:AK533),"")</f>
        <v/>
      </c>
      <c r="AP533" s="61" t="str">
        <f aca="false">IF(AL533=1,SUM(AL$5:AL533),"")</f>
        <v/>
      </c>
      <c r="AQ533" s="61" t="n">
        <v>0</v>
      </c>
      <c r="AR533" s="61" t="n">
        <v>0</v>
      </c>
      <c r="AS533" s="61" t="n">
        <v>0</v>
      </c>
      <c r="AT533" s="61" t="n">
        <v>0</v>
      </c>
      <c r="AU533" s="61" t="str">
        <f aca="false">SUBSTITUTE(SUBSTITUTE(SUBSTITUTE(SUBSTITUTE(SUBSTITUTE(SUBSTITUTE(SUBSTITUTE(SUBSTITUTE(SUBSTITUTE(SUBSTITUTE(SUBSTITUTE(SUBSTITUTE(SUBSTITUTE(LOWER(T533&amp;""),CHAR(160),"")," ",""),".",""),"-",""),"/",""),"?",""),"_",""),",",""),"[",""),"]",""),"(",""),")",""),"*","")</f>
        <v/>
      </c>
      <c r="AV533" s="61" t="str">
        <f aca="false">SUBSTITUTE(SUBSTITUTE(SUBSTITUTE(SUBSTITUTE(SUBSTITUTE(SUBSTITUTE(SUBSTITUTE(SUBSTITUTE(SUBSTITUTE(SUBSTITUTE(SUBSTITUTE(SUBSTITUTE(SUBSTITUTE(LOWER(V533&amp;""),CHAR(160),"")," ",""),".",""),"-",""),"/",""),"?",""),"_",""),",",""),"[",""),"]",""),"(",""),")",""),"*","")</f>
        <v/>
      </c>
      <c r="AW533" s="61" t="str">
        <f aca="false">SUBSTITUTE(SUBSTITUTE(SUBSTITUTE(SUBSTITUTE(SUBSTITUTE(SUBSTITUTE(SUBSTITUTE(SUBSTITUTE(SUBSTITUTE(SUBSTITUTE(SUBSTITUTE(SUBSTITUTE(SUBSTITUTE(LOWER(Z533&amp;""),CHAR(160),"")," ",""),".",""),"-",""),"/",""),"?",""),"_",""),",",""),"[",""),"]",""),"(",""),")",""),"*","")</f>
        <v/>
      </c>
      <c r="AX533" s="61" t="str">
        <f aca="false">SUBSTITUTE(SUBSTITUTE(SUBSTITUTE(SUBSTITUTE(SUBSTITUTE(SUBSTITUTE(SUBSTITUTE(SUBSTITUTE(SUBSTITUTE(SUBSTITUTE(SUBSTITUTE(SUBSTITUTE(SUBSTITUTE(LOWER(AE533&amp;""),CHAR(160),"")," ",""),".",""),"-",""),"/",""),"?",""),"_",""),",",""),"[",""),"]",""),"(",""),")",""),"*","")</f>
        <v/>
      </c>
      <c r="AY533" s="61" t="str">
        <f aca="false">SUBSTITUTE(SUBSTITUTE(SUBSTITUTE(SUBSTITUTE(SUBSTITUTE(SUBSTITUTE(SUBSTITUTE(SUBSTITUTE(SUBSTITUTE(SUBSTITUTE(SUBSTITUTE(SUBSTITUTE(SUBSTITUTE(LOWER(W533&amp;""),CHAR(160),"")," ",""),".",""),"-",""),"/",""),"?",""),"_",""),",",""),"[",""),"]",""),"(",""),")",""),"*","")</f>
        <v/>
      </c>
      <c r="AZ533" s="61" t="str">
        <f aca="false">SUBSTITUTE(SUBSTITUTE(SUBSTITUTE(SUBSTITUTE(SUBSTITUTE(SUBSTITUTE(SUBSTITUTE(SUBSTITUTE(SUBSTITUTE(SUBSTITUTE(SUBSTITUTE(SUBSTITUTE(SUBSTITUTE(LOWER(AC533&amp;""),CHAR(160),"")," ",""),".",""),"-",""),"/",""),"?",""),"_",""),",",""),"[",""),"]",""),"(",""),")",""),"*","")</f>
        <v/>
      </c>
      <c r="BA533" s="61" t="str">
        <f aca="false">SUBSTITUTE(SUBSTITUTE(SUBSTITUTE(SUBSTITUTE(SUBSTITUTE(SUBSTITUTE(SUBSTITUTE(SUBSTITUTE(SUBSTITUTE(SUBSTITUTE(SUBSTITUTE(SUBSTITUTE(SUBSTITUTE(LOWER(AA533&amp;""),CHAR(160),"")," ",""),".",""),"-",""),"/",""),"?",""),"_",""),",",""),"[",""),"]",""),"(",""),")",""),"*","")</f>
        <v/>
      </c>
      <c r="BB533" s="61" t="str">
        <f aca="false">IF(AND(TRIM(U533)="Pass",ISNUMBER(AF533)),IF(AF533&lt;&gt;0,"INVALID – qty variance: use Fail or Pass after CA",""),"")&amp;IF(AND(TRIM(U533)="Pass after CA",ISNUMBER(AF533)),IF(AF533&lt;&gt;0,"INVALID – after the corrective action the actual qty must equal expected (update Actual)",""),"")&amp;IF(AND(TRIM(U533)="Pass",TRIM(AB533)&lt;&gt;"",TRIM(AB533)&lt;&gt;"Closed"),"INVALID – corrective action not closed: use Fail, then Pass after CA","")&amp;IF(AND(TRIM(AA533)&lt;&gt;"",TRIM(AB533)=""),"INVALID – CA status missing for the recorded corrective action","")&amp;IF(AND(TRIM(U533)="Pass after CA",OR(OR(LEN(BA533)&lt;5,ISNUMBER(MATCH(BA533,L_Placeholder,0))),TRIM(AB533)&lt;&gt;"Closed")),"INVALID – corrective action not recorded/closed","")</f>
        <v/>
      </c>
    </row>
    <row r="534" customFormat="false" ht="39.75" hidden="false" customHeight="true" outlineLevel="0" collapsed="false">
      <c r="A534" s="57" t="s">
        <v>1179</v>
      </c>
      <c r="B534" s="57" t="s">
        <v>287</v>
      </c>
      <c r="C534" s="57" t="str">
        <f aca="false">Flights!$F$21</f>
        <v>MH0073</v>
      </c>
      <c r="D534" s="58" t="n">
        <f aca="false">Flights!$D$21</f>
        <v>46322</v>
      </c>
      <c r="E534" s="57" t="str">
        <f aca="false">Flights!$G$21&amp;"-"&amp;Flights!$H$21</f>
        <v>HKG-KUL</v>
      </c>
      <c r="F534" s="57" t="str">
        <f aca="false">Flights!$K$21</f>
        <v>BC</v>
      </c>
      <c r="G534" s="57" t="s">
        <v>79</v>
      </c>
      <c r="H534" s="57" t="s">
        <v>356</v>
      </c>
      <c r="I534" s="57" t="s">
        <v>372</v>
      </c>
      <c r="J534" s="57" t="s">
        <v>373</v>
      </c>
      <c r="K534" s="67" t="s">
        <v>374</v>
      </c>
      <c r="L534" s="67" t="s">
        <v>360</v>
      </c>
      <c r="M534" s="67"/>
      <c r="N534" s="67" t="s">
        <v>361</v>
      </c>
      <c r="O534" s="67"/>
      <c r="P534" s="57" t="s">
        <v>279</v>
      </c>
      <c r="Q534" s="59" t="n">
        <f aca="false">ROUND((Flights!$AC$21)*1440,0)/1440</f>
        <v>46315.2847222222</v>
      </c>
      <c r="R534" s="59" t="n">
        <f aca="false">Q534+(IF(AND(INDEX(TZ_DSTS,MATCH(P534,TZ_STN,0))&lt;&gt;"",Q534&gt;=INDEX(TZ_DSTS,MATCH(P534,TZ_STN,0)),Q534&lt;INDEX(TZ_DSTE,MATCH(P534,TZ_STN,0))),INDEX(TZ_DST,MATCH(P534,TZ_STN,0)),INDEX(TZ_STD,MATCH(P534,TZ_STN,0))))/24</f>
        <v>46315.6180555556</v>
      </c>
      <c r="S534" s="59" t="n">
        <f aca="false">Q534-T7EarlyD*24/24</f>
        <v>46301.2847222222</v>
      </c>
      <c r="T534" s="60"/>
      <c r="U534" s="60"/>
      <c r="V534" s="60"/>
      <c r="W534" s="61"/>
      <c r="X534" s="60"/>
      <c r="Y534" s="60"/>
      <c r="Z534" s="60"/>
      <c r="AA534" s="60"/>
      <c r="AB534" s="60"/>
      <c r="AC534" s="60"/>
      <c r="AD534" s="66"/>
      <c r="AE534" s="60"/>
      <c r="AF534" s="61" t="str">
        <f aca="false">IF(AND(ISNUMBER(X534),ISNUMBER(Y534)),Y534-X534,"")</f>
        <v/>
      </c>
      <c r="AG534" s="62" t="str">
        <f aca="false">IF(ISNUMBER(AD534),AD534-(IF(AND(INDEX(TZ_DSTS,MATCH(P534,TZ_STN,0))&lt;&gt;"",(AD534-INDEX(TZ_STD,MATCH(P534,TZ_STN,0))/24)&gt;=INDEX(TZ_DSTS,MATCH(P534,TZ_STN,0)),(AD534-INDEX(TZ_STD,MATCH(P534,TZ_STN,0))/24)&lt;INDEX(TZ_DSTE,MATCH(P534,TZ_STN,0))),INDEX(TZ_DST,MATCH(P534,TZ_STN,0)),INDEX(TZ_STD,MATCH(P534,TZ_STN,0))))/24,"")</f>
        <v/>
      </c>
      <c r="AH534" s="65" t="str">
        <f aca="false">IFERROR(IF(N534="N/A – rule","N/A – RULE",IF(TRIM(U534)="N/A",IF(AT534=0,"INVALID – N/A not permitted for this check",IF(AND(TRIM(AB534)&lt;&gt;"",TRIM(AB534)&lt;&gt;"Closed"),"INVALID – corrective action still open",IF(AND(NOT(OR(LEN(AZ534)&lt;15,ISNUMBER(MATCH(AZ534,L_Placeholder,0)))),NOT(OR(LEN(AU534)&lt;2,ISNUMBER(MATCH(AU534,L_Placeholder,0)))),NOT(OR(LEN(AX534)&lt;2,ISNUMBER(MATCH(AX534,L_Placeholder,0)))),TRIM(AE534)&lt;&gt;TRIM(T534)),"N/A – JUSTIFIED","INVALID – N/A needs a real justification (15+ chars), PIC and a different verifier"))),IF(OR(TRIM(U534)="Pass",TRIM(U534)="Pass after CA"),IF(NOT(ISNUMBER(AD534)),"INVALID – completion time missing",IF(OR(LEN(AU534)&lt;2,ISNUMBER(MATCH(AU534,L_Placeholder,0))),"INVALID – PIC missing",IF(OR(LEN(AV534)&lt;2,ISNUMBER(MATCH(AV534,L_Placeholder,0))),"INVALID – result / assessment missing",IF(OR(OR(LEN(AW534)&lt;3,ISNUMBER(MATCH(AW534,L_Placeholder,0))),SUMPRODUCT(--ISNUMBER(SEARCH(L_EvidencePhrase,AW534)))&gt;0),"INVALID – evidence missing, placeholder or not yet on file",IF(OR(LEN(AX534)&lt;2,ISNUMBER(MATCH(AX534,L_Placeholder,0))),"INVALID – verifier missing",IF(AX534=AU534,"INVALID – verifier must be someone other than the PIC",IF(AND(TRIM(U534)="Pass",SUMPRODUCT(--ISNUMBER(SEARCH(L_ResultBad,AV534)))&gt;0),"INVALID – result describes a problem: use Fail, then Pass after CA",IF(AND(AQ534=1,OR(LEN(AY534)&lt;3,ISNUMBER(MATCH(AY534,L_Placeholder,0)))),"INVALID – batch ID missing or placeholder",IF(AND(AR534=1,OR(NOT(ISNUMBER(X534)),NOT(ISNUMBER(Y534)))),"INVALID – expected/actual qty missing",IF(AND(AR534=1,OR(X534&lt;=0,Y534&lt;0)),"INVALID – expected qty must be above 0 and actual not negative",IF(BB534&lt;&gt;"",BB534,IF(AND(AS534=1,Documents!$J$21&lt;&gt;"ON FILE"),"INVALID – GLD not on file (Documents sheet)",IF(AND(AS534=2,Documents!$O$21&lt;&gt;"ON FILE"),"INVALID – menu checklist not on file (Documents sheet)",IF(AND(AS534=3,NOT(ISNUMBER(Flights!$AX$21))),"INVALID – enter carrying flight KUL departure (Flights AX)",IF(AND(AS534=3,OR(Flights!$AZ$21&gt;Flights!$AA$21,Flights!$AX$21&lt;Flights!$AA$21-3)),"INVALID – carrying flight (Flights AX) cannot arrive before this leg's STD, or is over 3 days early",IF(AG534&gt;AsOfUTC,"INVALID – completion time is in the future",IF(AND(ISNUMBER(S534),AG534&lt;S534),IF(H534="Physical uplift","INVALID – before uplift window (cannot confirm loading)","INVALID – before valid window"),IF(AG534&gt;Flights!$AA$21,"INVALID – completed after departure (cannot establish readiness)",IF(AND(H534="Preparation",AG534&gt;IF(ISNUMBER(Flights!$BA$21),MIN(Flights!$BA$21,Flights!$AA$21),Flights!$AA$21)),"INVALID – completed after loading / departure (cannot establish readiness)",IF(AND(H534="Physical uplift",AG534&gt;Q534),"INVALID – recorded after the loading flight departed",IF(AG534&gt;Q534,"COMPLETE – LATE","COMPLETE"))))))))))))))))))))),IF(TRIM(U534)="Fail","FAIL – DISCREPANCY",IF(AND(TRIM(U534)&lt;&gt;"",TRIM(U534)&lt;&gt;"Not started",TRIM(U534)&lt;&gt;"In progress"),"INVALID – unrecognised status (use the list)",IF(AsOfUTC&gt;Q534,"OVERDUE",IF(N534="Clarification required","OPEN – CLARIFICATION","OPEN"))))))),"INVALID – error value in an input cell")</f>
        <v>OPEN</v>
      </c>
      <c r="AI534" s="61" t="n">
        <f aca="false">IF(OR(AH534="N/A – RULE",AH534="N/A – JUSTIFIED"),0,1)</f>
        <v>1</v>
      </c>
      <c r="AJ534" s="61" t="n">
        <f aca="false">IF(LEFT(AH534,8)="COMPLETE",1,0)</f>
        <v>0</v>
      </c>
      <c r="AK534" s="61" t="n">
        <f aca="false">IF(AND(AI534=1,AJ534=0,AsOfUTC&gt;Q534),1,0)</f>
        <v>0</v>
      </c>
      <c r="AL534" s="61" t="n">
        <f aca="false">IFERROR(IF(AND(AI534=1,OR(TRIM(U534)="Fail",AND(TRIM(AB534)&lt;&gt;"",TRIM(AB534)&lt;&gt;"Closed"),AND(ISNUMBER(AF534),AF534&lt;&gt;0,TRIM(U534)&lt;&gt;"Pass after CA"))),1,0),1)</f>
        <v>0</v>
      </c>
      <c r="AM534" s="61" t="n">
        <f aca="false">IF(LEFT(AH534,7)="INVALID",1,0)</f>
        <v>0</v>
      </c>
      <c r="AN534" s="61" t="n">
        <f aca="false">IF(AND(N534="Clarification required",AI534=1,AJ534=0),1,0)</f>
        <v>0</v>
      </c>
      <c r="AO534" s="61" t="str">
        <f aca="false">IF(AK534=1,SUM(AK$5:AK534),"")</f>
        <v/>
      </c>
      <c r="AP534" s="61" t="str">
        <f aca="false">IF(AL534=1,SUM(AL$5:AL534),"")</f>
        <v/>
      </c>
      <c r="AQ534" s="61" t="n">
        <v>0</v>
      </c>
      <c r="AR534" s="61" t="n">
        <v>0</v>
      </c>
      <c r="AS534" s="61" t="n">
        <v>0</v>
      </c>
      <c r="AT534" s="61" t="n">
        <v>0</v>
      </c>
      <c r="AU534" s="61" t="str">
        <f aca="false">SUBSTITUTE(SUBSTITUTE(SUBSTITUTE(SUBSTITUTE(SUBSTITUTE(SUBSTITUTE(SUBSTITUTE(SUBSTITUTE(SUBSTITUTE(SUBSTITUTE(SUBSTITUTE(SUBSTITUTE(SUBSTITUTE(LOWER(T534&amp;""),CHAR(160),"")," ",""),".",""),"-",""),"/",""),"?",""),"_",""),",",""),"[",""),"]",""),"(",""),")",""),"*","")</f>
        <v/>
      </c>
      <c r="AV534" s="61" t="str">
        <f aca="false">SUBSTITUTE(SUBSTITUTE(SUBSTITUTE(SUBSTITUTE(SUBSTITUTE(SUBSTITUTE(SUBSTITUTE(SUBSTITUTE(SUBSTITUTE(SUBSTITUTE(SUBSTITUTE(SUBSTITUTE(SUBSTITUTE(LOWER(V534&amp;""),CHAR(160),"")," ",""),".",""),"-",""),"/",""),"?",""),"_",""),",",""),"[",""),"]",""),"(",""),")",""),"*","")</f>
        <v/>
      </c>
      <c r="AW534" s="61" t="str">
        <f aca="false">SUBSTITUTE(SUBSTITUTE(SUBSTITUTE(SUBSTITUTE(SUBSTITUTE(SUBSTITUTE(SUBSTITUTE(SUBSTITUTE(SUBSTITUTE(SUBSTITUTE(SUBSTITUTE(SUBSTITUTE(SUBSTITUTE(LOWER(Z534&amp;""),CHAR(160),"")," ",""),".",""),"-",""),"/",""),"?",""),"_",""),",",""),"[",""),"]",""),"(",""),")",""),"*","")</f>
        <v/>
      </c>
      <c r="AX534" s="61" t="str">
        <f aca="false">SUBSTITUTE(SUBSTITUTE(SUBSTITUTE(SUBSTITUTE(SUBSTITUTE(SUBSTITUTE(SUBSTITUTE(SUBSTITUTE(SUBSTITUTE(SUBSTITUTE(SUBSTITUTE(SUBSTITUTE(SUBSTITUTE(LOWER(AE534&amp;""),CHAR(160),"")," ",""),".",""),"-",""),"/",""),"?",""),"_",""),",",""),"[",""),"]",""),"(",""),")",""),"*","")</f>
        <v/>
      </c>
      <c r="AY534" s="61" t="str">
        <f aca="false">SUBSTITUTE(SUBSTITUTE(SUBSTITUTE(SUBSTITUTE(SUBSTITUTE(SUBSTITUTE(SUBSTITUTE(SUBSTITUTE(SUBSTITUTE(SUBSTITUTE(SUBSTITUTE(SUBSTITUTE(SUBSTITUTE(LOWER(W534&amp;""),CHAR(160),"")," ",""),".",""),"-",""),"/",""),"?",""),"_",""),",",""),"[",""),"]",""),"(",""),")",""),"*","")</f>
        <v/>
      </c>
      <c r="AZ534" s="61" t="str">
        <f aca="false">SUBSTITUTE(SUBSTITUTE(SUBSTITUTE(SUBSTITUTE(SUBSTITUTE(SUBSTITUTE(SUBSTITUTE(SUBSTITUTE(SUBSTITUTE(SUBSTITUTE(SUBSTITUTE(SUBSTITUTE(SUBSTITUTE(LOWER(AC534&amp;""),CHAR(160),"")," ",""),".",""),"-",""),"/",""),"?",""),"_",""),",",""),"[",""),"]",""),"(",""),")",""),"*","")</f>
        <v/>
      </c>
      <c r="BA534" s="61" t="str">
        <f aca="false">SUBSTITUTE(SUBSTITUTE(SUBSTITUTE(SUBSTITUTE(SUBSTITUTE(SUBSTITUTE(SUBSTITUTE(SUBSTITUTE(SUBSTITUTE(SUBSTITUTE(SUBSTITUTE(SUBSTITUTE(SUBSTITUTE(LOWER(AA534&amp;""),CHAR(160),"")," ",""),".",""),"-",""),"/",""),"?",""),"_",""),",",""),"[",""),"]",""),"(",""),")",""),"*","")</f>
        <v/>
      </c>
      <c r="BB534" s="61" t="str">
        <f aca="false">IF(AND(TRIM(U534)="Pass",ISNUMBER(AF534)),IF(AF534&lt;&gt;0,"INVALID – qty variance: use Fail or Pass after CA",""),"")&amp;IF(AND(TRIM(U534)="Pass after CA",ISNUMBER(AF534)),IF(AF534&lt;&gt;0,"INVALID – after the corrective action the actual qty must equal expected (update Actual)",""),"")&amp;IF(AND(TRIM(U534)="Pass",TRIM(AB534)&lt;&gt;"",TRIM(AB534)&lt;&gt;"Closed"),"INVALID – corrective action not closed: use Fail, then Pass after CA","")&amp;IF(AND(TRIM(AA534)&lt;&gt;"",TRIM(AB534)=""),"INVALID – CA status missing for the recorded corrective action","")&amp;IF(AND(TRIM(U534)="Pass after CA",OR(OR(LEN(BA534)&lt;5,ISNUMBER(MATCH(BA534,L_Placeholder,0))),TRIM(AB534)&lt;&gt;"Closed")),"INVALID – corrective action not recorded/closed","")</f>
        <v/>
      </c>
    </row>
    <row r="535" customFormat="false" ht="39.75" hidden="false" customHeight="true" outlineLevel="0" collapsed="false">
      <c r="A535" s="57" t="s">
        <v>1180</v>
      </c>
      <c r="B535" s="57" t="s">
        <v>287</v>
      </c>
      <c r="C535" s="57" t="str">
        <f aca="false">Flights!$F$21</f>
        <v>MH0073</v>
      </c>
      <c r="D535" s="58" t="n">
        <f aca="false">Flights!$D$21</f>
        <v>46322</v>
      </c>
      <c r="E535" s="57" t="str">
        <f aca="false">Flights!$G$21&amp;"-"&amp;Flights!$H$21</f>
        <v>HKG-KUL</v>
      </c>
      <c r="F535" s="57" t="str">
        <f aca="false">Flights!$K$21</f>
        <v>BC</v>
      </c>
      <c r="G535" s="57" t="s">
        <v>79</v>
      </c>
      <c r="H535" s="57" t="s">
        <v>356</v>
      </c>
      <c r="I535" s="57" t="s">
        <v>376</v>
      </c>
      <c r="J535" s="57" t="s">
        <v>377</v>
      </c>
      <c r="K535" s="67" t="s">
        <v>378</v>
      </c>
      <c r="L535" s="67" t="s">
        <v>360</v>
      </c>
      <c r="M535" s="67"/>
      <c r="N535" s="67" t="s">
        <v>361</v>
      </c>
      <c r="O535" s="67"/>
      <c r="P535" s="57" t="s">
        <v>279</v>
      </c>
      <c r="Q535" s="59" t="n">
        <f aca="false">ROUND((Flights!$AC$21)*1440,0)/1440</f>
        <v>46315.2847222222</v>
      </c>
      <c r="R535" s="59" t="n">
        <f aca="false">Q535+(IF(AND(INDEX(TZ_DSTS,MATCH(P535,TZ_STN,0))&lt;&gt;"",Q535&gt;=INDEX(TZ_DSTS,MATCH(P535,TZ_STN,0)),Q535&lt;INDEX(TZ_DSTE,MATCH(P535,TZ_STN,0))),INDEX(TZ_DST,MATCH(P535,TZ_STN,0)),INDEX(TZ_STD,MATCH(P535,TZ_STN,0))))/24</f>
        <v>46315.6180555556</v>
      </c>
      <c r="S535" s="59" t="n">
        <f aca="false">Q535-T7EarlyD*24/24</f>
        <v>46301.2847222222</v>
      </c>
      <c r="T535" s="60"/>
      <c r="U535" s="60"/>
      <c r="V535" s="60"/>
      <c r="W535" s="61"/>
      <c r="X535" s="60"/>
      <c r="Y535" s="60"/>
      <c r="Z535" s="60"/>
      <c r="AA535" s="60"/>
      <c r="AB535" s="60"/>
      <c r="AC535" s="60"/>
      <c r="AD535" s="66"/>
      <c r="AE535" s="60"/>
      <c r="AF535" s="61" t="str">
        <f aca="false">IF(AND(ISNUMBER(X535),ISNUMBER(Y535)),Y535-X535,"")</f>
        <v/>
      </c>
      <c r="AG535" s="62" t="str">
        <f aca="false">IF(ISNUMBER(AD535),AD535-(IF(AND(INDEX(TZ_DSTS,MATCH(P535,TZ_STN,0))&lt;&gt;"",(AD535-INDEX(TZ_STD,MATCH(P535,TZ_STN,0))/24)&gt;=INDEX(TZ_DSTS,MATCH(P535,TZ_STN,0)),(AD535-INDEX(TZ_STD,MATCH(P535,TZ_STN,0))/24)&lt;INDEX(TZ_DSTE,MATCH(P535,TZ_STN,0))),INDEX(TZ_DST,MATCH(P535,TZ_STN,0)),INDEX(TZ_STD,MATCH(P535,TZ_STN,0))))/24,"")</f>
        <v/>
      </c>
      <c r="AH535" s="65" t="str">
        <f aca="false">IFERROR(IF(N535="N/A – rule","N/A – RULE",IF(TRIM(U535)="N/A",IF(AT535=0,"INVALID – N/A not permitted for this check",IF(AND(TRIM(AB535)&lt;&gt;"",TRIM(AB535)&lt;&gt;"Closed"),"INVALID – corrective action still open",IF(AND(NOT(OR(LEN(AZ535)&lt;15,ISNUMBER(MATCH(AZ535,L_Placeholder,0)))),NOT(OR(LEN(AU535)&lt;2,ISNUMBER(MATCH(AU535,L_Placeholder,0)))),NOT(OR(LEN(AX535)&lt;2,ISNUMBER(MATCH(AX535,L_Placeholder,0)))),TRIM(AE535)&lt;&gt;TRIM(T535)),"N/A – JUSTIFIED","INVALID – N/A needs a real justification (15+ chars), PIC and a different verifier"))),IF(OR(TRIM(U535)="Pass",TRIM(U535)="Pass after CA"),IF(NOT(ISNUMBER(AD535)),"INVALID – completion time missing",IF(OR(LEN(AU535)&lt;2,ISNUMBER(MATCH(AU535,L_Placeholder,0))),"INVALID – PIC missing",IF(OR(LEN(AV535)&lt;2,ISNUMBER(MATCH(AV535,L_Placeholder,0))),"INVALID – result / assessment missing",IF(OR(OR(LEN(AW535)&lt;3,ISNUMBER(MATCH(AW535,L_Placeholder,0))),SUMPRODUCT(--ISNUMBER(SEARCH(L_EvidencePhrase,AW535)))&gt;0),"INVALID – evidence missing, placeholder or not yet on file",IF(OR(LEN(AX535)&lt;2,ISNUMBER(MATCH(AX535,L_Placeholder,0))),"INVALID – verifier missing",IF(AX535=AU535,"INVALID – verifier must be someone other than the PIC",IF(AND(TRIM(U535)="Pass",SUMPRODUCT(--ISNUMBER(SEARCH(L_ResultBad,AV535)))&gt;0),"INVALID – result describes a problem: use Fail, then Pass after CA",IF(AND(AQ535=1,OR(LEN(AY535)&lt;3,ISNUMBER(MATCH(AY535,L_Placeholder,0)))),"INVALID – batch ID missing or placeholder",IF(AND(AR535=1,OR(NOT(ISNUMBER(X535)),NOT(ISNUMBER(Y535)))),"INVALID – expected/actual qty missing",IF(AND(AR535=1,OR(X535&lt;=0,Y535&lt;0)),"INVALID – expected qty must be above 0 and actual not negative",IF(BB535&lt;&gt;"",BB535,IF(AND(AS535=1,Documents!$J$21&lt;&gt;"ON FILE"),"INVALID – GLD not on file (Documents sheet)",IF(AND(AS535=2,Documents!$O$21&lt;&gt;"ON FILE"),"INVALID – menu checklist not on file (Documents sheet)",IF(AND(AS535=3,NOT(ISNUMBER(Flights!$AX$21))),"INVALID – enter carrying flight KUL departure (Flights AX)",IF(AND(AS535=3,OR(Flights!$AZ$21&gt;Flights!$AA$21,Flights!$AX$21&lt;Flights!$AA$21-3)),"INVALID – carrying flight (Flights AX) cannot arrive before this leg's STD, or is over 3 days early",IF(AG535&gt;AsOfUTC,"INVALID – completion time is in the future",IF(AND(ISNUMBER(S535),AG535&lt;S535),IF(H535="Physical uplift","INVALID – before uplift window (cannot confirm loading)","INVALID – before valid window"),IF(AG535&gt;Flights!$AA$21,"INVALID – completed after departure (cannot establish readiness)",IF(AND(H535="Preparation",AG535&gt;IF(ISNUMBER(Flights!$BA$21),MIN(Flights!$BA$21,Flights!$AA$21),Flights!$AA$21)),"INVALID – completed after loading / departure (cannot establish readiness)",IF(AND(H535="Physical uplift",AG535&gt;Q535),"INVALID – recorded after the loading flight departed",IF(AG535&gt;Q535,"COMPLETE – LATE","COMPLETE"))))))))))))))))))))),IF(TRIM(U535)="Fail","FAIL – DISCREPANCY",IF(AND(TRIM(U535)&lt;&gt;"",TRIM(U535)&lt;&gt;"Not started",TRIM(U535)&lt;&gt;"In progress"),"INVALID – unrecognised status (use the list)",IF(AsOfUTC&gt;Q535,"OVERDUE",IF(N535="Clarification required","OPEN – CLARIFICATION","OPEN"))))))),"INVALID – error value in an input cell")</f>
        <v>OPEN</v>
      </c>
      <c r="AI535" s="61" t="n">
        <f aca="false">IF(OR(AH535="N/A – RULE",AH535="N/A – JUSTIFIED"),0,1)</f>
        <v>1</v>
      </c>
      <c r="AJ535" s="61" t="n">
        <f aca="false">IF(LEFT(AH535,8)="COMPLETE",1,0)</f>
        <v>0</v>
      </c>
      <c r="AK535" s="61" t="n">
        <f aca="false">IF(AND(AI535=1,AJ535=0,AsOfUTC&gt;Q535),1,0)</f>
        <v>0</v>
      </c>
      <c r="AL535" s="61" t="n">
        <f aca="false">IFERROR(IF(AND(AI535=1,OR(TRIM(U535)="Fail",AND(TRIM(AB535)&lt;&gt;"",TRIM(AB535)&lt;&gt;"Closed"),AND(ISNUMBER(AF535),AF535&lt;&gt;0,TRIM(U535)&lt;&gt;"Pass after CA"))),1,0),1)</f>
        <v>0</v>
      </c>
      <c r="AM535" s="61" t="n">
        <f aca="false">IF(LEFT(AH535,7)="INVALID",1,0)</f>
        <v>0</v>
      </c>
      <c r="AN535" s="61" t="n">
        <f aca="false">IF(AND(N535="Clarification required",AI535=1,AJ535=0),1,0)</f>
        <v>0</v>
      </c>
      <c r="AO535" s="61" t="str">
        <f aca="false">IF(AK535=1,SUM(AK$5:AK535),"")</f>
        <v/>
      </c>
      <c r="AP535" s="61" t="str">
        <f aca="false">IF(AL535=1,SUM(AL$5:AL535),"")</f>
        <v/>
      </c>
      <c r="AQ535" s="61" t="n">
        <v>0</v>
      </c>
      <c r="AR535" s="61" t="n">
        <v>0</v>
      </c>
      <c r="AS535" s="61" t="n">
        <v>0</v>
      </c>
      <c r="AT535" s="61" t="n">
        <v>0</v>
      </c>
      <c r="AU535" s="61" t="str">
        <f aca="false">SUBSTITUTE(SUBSTITUTE(SUBSTITUTE(SUBSTITUTE(SUBSTITUTE(SUBSTITUTE(SUBSTITUTE(SUBSTITUTE(SUBSTITUTE(SUBSTITUTE(SUBSTITUTE(SUBSTITUTE(SUBSTITUTE(LOWER(T535&amp;""),CHAR(160),"")," ",""),".",""),"-",""),"/",""),"?",""),"_",""),",",""),"[",""),"]",""),"(",""),")",""),"*","")</f>
        <v/>
      </c>
      <c r="AV535" s="61" t="str">
        <f aca="false">SUBSTITUTE(SUBSTITUTE(SUBSTITUTE(SUBSTITUTE(SUBSTITUTE(SUBSTITUTE(SUBSTITUTE(SUBSTITUTE(SUBSTITUTE(SUBSTITUTE(SUBSTITUTE(SUBSTITUTE(SUBSTITUTE(LOWER(V535&amp;""),CHAR(160),"")," ",""),".",""),"-",""),"/",""),"?",""),"_",""),",",""),"[",""),"]",""),"(",""),")",""),"*","")</f>
        <v/>
      </c>
      <c r="AW535" s="61" t="str">
        <f aca="false">SUBSTITUTE(SUBSTITUTE(SUBSTITUTE(SUBSTITUTE(SUBSTITUTE(SUBSTITUTE(SUBSTITUTE(SUBSTITUTE(SUBSTITUTE(SUBSTITUTE(SUBSTITUTE(SUBSTITUTE(SUBSTITUTE(LOWER(Z535&amp;""),CHAR(160),"")," ",""),".",""),"-",""),"/",""),"?",""),"_",""),",",""),"[",""),"]",""),"(",""),")",""),"*","")</f>
        <v/>
      </c>
      <c r="AX535" s="61" t="str">
        <f aca="false">SUBSTITUTE(SUBSTITUTE(SUBSTITUTE(SUBSTITUTE(SUBSTITUTE(SUBSTITUTE(SUBSTITUTE(SUBSTITUTE(SUBSTITUTE(SUBSTITUTE(SUBSTITUTE(SUBSTITUTE(SUBSTITUTE(LOWER(AE535&amp;""),CHAR(160),"")," ",""),".",""),"-",""),"/",""),"?",""),"_",""),",",""),"[",""),"]",""),"(",""),")",""),"*","")</f>
        <v/>
      </c>
      <c r="AY535" s="61" t="str">
        <f aca="false">SUBSTITUTE(SUBSTITUTE(SUBSTITUTE(SUBSTITUTE(SUBSTITUTE(SUBSTITUTE(SUBSTITUTE(SUBSTITUTE(SUBSTITUTE(SUBSTITUTE(SUBSTITUTE(SUBSTITUTE(SUBSTITUTE(LOWER(W535&amp;""),CHAR(160),"")," ",""),".",""),"-",""),"/",""),"?",""),"_",""),",",""),"[",""),"]",""),"(",""),")",""),"*","")</f>
        <v/>
      </c>
      <c r="AZ535" s="61" t="str">
        <f aca="false">SUBSTITUTE(SUBSTITUTE(SUBSTITUTE(SUBSTITUTE(SUBSTITUTE(SUBSTITUTE(SUBSTITUTE(SUBSTITUTE(SUBSTITUTE(SUBSTITUTE(SUBSTITUTE(SUBSTITUTE(SUBSTITUTE(LOWER(AC535&amp;""),CHAR(160),"")," ",""),".",""),"-",""),"/",""),"?",""),"_",""),",",""),"[",""),"]",""),"(",""),")",""),"*","")</f>
        <v/>
      </c>
      <c r="BA535" s="61" t="str">
        <f aca="false">SUBSTITUTE(SUBSTITUTE(SUBSTITUTE(SUBSTITUTE(SUBSTITUTE(SUBSTITUTE(SUBSTITUTE(SUBSTITUTE(SUBSTITUTE(SUBSTITUTE(SUBSTITUTE(SUBSTITUTE(SUBSTITUTE(LOWER(AA535&amp;""),CHAR(160),"")," ",""),".",""),"-",""),"/",""),"?",""),"_",""),",",""),"[",""),"]",""),"(",""),")",""),"*","")</f>
        <v/>
      </c>
      <c r="BB535" s="61" t="str">
        <f aca="false">IF(AND(TRIM(U535)="Pass",ISNUMBER(AF535)),IF(AF535&lt;&gt;0,"INVALID – qty variance: use Fail or Pass after CA",""),"")&amp;IF(AND(TRIM(U535)="Pass after CA",ISNUMBER(AF535)),IF(AF535&lt;&gt;0,"INVALID – after the corrective action the actual qty must equal expected (update Actual)",""),"")&amp;IF(AND(TRIM(U535)="Pass",TRIM(AB535)&lt;&gt;"",TRIM(AB535)&lt;&gt;"Closed"),"INVALID – corrective action not closed: use Fail, then Pass after CA","")&amp;IF(AND(TRIM(AA535)&lt;&gt;"",TRIM(AB535)=""),"INVALID – CA status missing for the recorded corrective action","")&amp;IF(AND(TRIM(U535)="Pass after CA",OR(OR(LEN(BA535)&lt;5,ISNUMBER(MATCH(BA535,L_Placeholder,0))),TRIM(AB535)&lt;&gt;"Closed")),"INVALID – corrective action not recorded/closed","")</f>
        <v/>
      </c>
    </row>
    <row r="536" customFormat="false" ht="39.75" hidden="false" customHeight="true" outlineLevel="0" collapsed="false">
      <c r="A536" s="57" t="s">
        <v>1181</v>
      </c>
      <c r="B536" s="57" t="s">
        <v>287</v>
      </c>
      <c r="C536" s="57" t="str">
        <f aca="false">Flights!$F$21</f>
        <v>MH0073</v>
      </c>
      <c r="D536" s="58" t="n">
        <f aca="false">Flights!$D$21</f>
        <v>46322</v>
      </c>
      <c r="E536" s="57" t="str">
        <f aca="false">Flights!$G$21&amp;"-"&amp;Flights!$H$21</f>
        <v>HKG-KUL</v>
      </c>
      <c r="F536" s="57" t="str">
        <f aca="false">Flights!$K$21</f>
        <v>BC</v>
      </c>
      <c r="G536" s="57" t="s">
        <v>79</v>
      </c>
      <c r="H536" s="57" t="s">
        <v>356</v>
      </c>
      <c r="I536" s="57" t="s">
        <v>376</v>
      </c>
      <c r="J536" s="57" t="s">
        <v>380</v>
      </c>
      <c r="K536" s="67" t="s">
        <v>381</v>
      </c>
      <c r="L536" s="67" t="s">
        <v>360</v>
      </c>
      <c r="M536" s="67"/>
      <c r="N536" s="67" t="s">
        <v>361</v>
      </c>
      <c r="O536" s="67"/>
      <c r="P536" s="57" t="s">
        <v>279</v>
      </c>
      <c r="Q536" s="59" t="n">
        <f aca="false">ROUND((Flights!$AC$21)*1440,0)/1440</f>
        <v>46315.2847222222</v>
      </c>
      <c r="R536" s="59" t="n">
        <f aca="false">Q536+(IF(AND(INDEX(TZ_DSTS,MATCH(P536,TZ_STN,0))&lt;&gt;"",Q536&gt;=INDEX(TZ_DSTS,MATCH(P536,TZ_STN,0)),Q536&lt;INDEX(TZ_DSTE,MATCH(P536,TZ_STN,0))),INDEX(TZ_DST,MATCH(P536,TZ_STN,0)),INDEX(TZ_STD,MATCH(P536,TZ_STN,0))))/24</f>
        <v>46315.6180555556</v>
      </c>
      <c r="S536" s="59" t="n">
        <f aca="false">Q536-T7EarlyD*24/24</f>
        <v>46301.2847222222</v>
      </c>
      <c r="T536" s="60"/>
      <c r="U536" s="60"/>
      <c r="V536" s="60"/>
      <c r="W536" s="61"/>
      <c r="X536" s="60"/>
      <c r="Y536" s="60"/>
      <c r="Z536" s="60"/>
      <c r="AA536" s="60"/>
      <c r="AB536" s="60"/>
      <c r="AC536" s="60"/>
      <c r="AD536" s="66"/>
      <c r="AE536" s="60"/>
      <c r="AF536" s="61" t="str">
        <f aca="false">IF(AND(ISNUMBER(X536),ISNUMBER(Y536)),Y536-X536,"")</f>
        <v/>
      </c>
      <c r="AG536" s="62" t="str">
        <f aca="false">IF(ISNUMBER(AD536),AD536-(IF(AND(INDEX(TZ_DSTS,MATCH(P536,TZ_STN,0))&lt;&gt;"",(AD536-INDEX(TZ_STD,MATCH(P536,TZ_STN,0))/24)&gt;=INDEX(TZ_DSTS,MATCH(P536,TZ_STN,0)),(AD536-INDEX(TZ_STD,MATCH(P536,TZ_STN,0))/24)&lt;INDEX(TZ_DSTE,MATCH(P536,TZ_STN,0))),INDEX(TZ_DST,MATCH(P536,TZ_STN,0)),INDEX(TZ_STD,MATCH(P536,TZ_STN,0))))/24,"")</f>
        <v/>
      </c>
      <c r="AH536" s="65" t="str">
        <f aca="false">IFERROR(IF(N536="N/A – rule","N/A – RULE",IF(TRIM(U536)="N/A",IF(AT536=0,"INVALID – N/A not permitted for this check",IF(AND(TRIM(AB536)&lt;&gt;"",TRIM(AB536)&lt;&gt;"Closed"),"INVALID – corrective action still open",IF(AND(NOT(OR(LEN(AZ536)&lt;15,ISNUMBER(MATCH(AZ536,L_Placeholder,0)))),NOT(OR(LEN(AU536)&lt;2,ISNUMBER(MATCH(AU536,L_Placeholder,0)))),NOT(OR(LEN(AX536)&lt;2,ISNUMBER(MATCH(AX536,L_Placeholder,0)))),TRIM(AE536)&lt;&gt;TRIM(T536)),"N/A – JUSTIFIED","INVALID – N/A needs a real justification (15+ chars), PIC and a different verifier"))),IF(OR(TRIM(U536)="Pass",TRIM(U536)="Pass after CA"),IF(NOT(ISNUMBER(AD536)),"INVALID – completion time missing",IF(OR(LEN(AU536)&lt;2,ISNUMBER(MATCH(AU536,L_Placeholder,0))),"INVALID – PIC missing",IF(OR(LEN(AV536)&lt;2,ISNUMBER(MATCH(AV536,L_Placeholder,0))),"INVALID – result / assessment missing",IF(OR(OR(LEN(AW536)&lt;3,ISNUMBER(MATCH(AW536,L_Placeholder,0))),SUMPRODUCT(--ISNUMBER(SEARCH(L_EvidencePhrase,AW536)))&gt;0),"INVALID – evidence missing, placeholder or not yet on file",IF(OR(LEN(AX536)&lt;2,ISNUMBER(MATCH(AX536,L_Placeholder,0))),"INVALID – verifier missing",IF(AX536=AU536,"INVALID – verifier must be someone other than the PIC",IF(AND(TRIM(U536)="Pass",SUMPRODUCT(--ISNUMBER(SEARCH(L_ResultBad,AV536)))&gt;0),"INVALID – result describes a problem: use Fail, then Pass after CA",IF(AND(AQ536=1,OR(LEN(AY536)&lt;3,ISNUMBER(MATCH(AY536,L_Placeholder,0)))),"INVALID – batch ID missing or placeholder",IF(AND(AR536=1,OR(NOT(ISNUMBER(X536)),NOT(ISNUMBER(Y536)))),"INVALID – expected/actual qty missing",IF(AND(AR536=1,OR(X536&lt;=0,Y536&lt;0)),"INVALID – expected qty must be above 0 and actual not negative",IF(BB536&lt;&gt;"",BB536,IF(AND(AS536=1,Documents!$J$21&lt;&gt;"ON FILE"),"INVALID – GLD not on file (Documents sheet)",IF(AND(AS536=2,Documents!$O$21&lt;&gt;"ON FILE"),"INVALID – menu checklist not on file (Documents sheet)",IF(AND(AS536=3,NOT(ISNUMBER(Flights!$AX$21))),"INVALID – enter carrying flight KUL departure (Flights AX)",IF(AND(AS536=3,OR(Flights!$AZ$21&gt;Flights!$AA$21,Flights!$AX$21&lt;Flights!$AA$21-3)),"INVALID – carrying flight (Flights AX) cannot arrive before this leg's STD, or is over 3 days early",IF(AG536&gt;AsOfUTC,"INVALID – completion time is in the future",IF(AND(ISNUMBER(S536),AG536&lt;S536),IF(H536="Physical uplift","INVALID – before uplift window (cannot confirm loading)","INVALID – before valid window"),IF(AG536&gt;Flights!$AA$21,"INVALID – completed after departure (cannot establish readiness)",IF(AND(H536="Preparation",AG536&gt;IF(ISNUMBER(Flights!$BA$21),MIN(Flights!$BA$21,Flights!$AA$21),Flights!$AA$21)),"INVALID – completed after loading / departure (cannot establish readiness)",IF(AND(H536="Physical uplift",AG536&gt;Q536),"INVALID – recorded after the loading flight departed",IF(AG536&gt;Q536,"COMPLETE – LATE","COMPLETE"))))))))))))))))))))),IF(TRIM(U536)="Fail","FAIL – DISCREPANCY",IF(AND(TRIM(U536)&lt;&gt;"",TRIM(U536)&lt;&gt;"Not started",TRIM(U536)&lt;&gt;"In progress"),"INVALID – unrecognised status (use the list)",IF(AsOfUTC&gt;Q536,"OVERDUE",IF(N536="Clarification required","OPEN – CLARIFICATION","OPEN"))))))),"INVALID – error value in an input cell")</f>
        <v>OPEN</v>
      </c>
      <c r="AI536" s="61" t="n">
        <f aca="false">IF(OR(AH536="N/A – RULE",AH536="N/A – JUSTIFIED"),0,1)</f>
        <v>1</v>
      </c>
      <c r="AJ536" s="61" t="n">
        <f aca="false">IF(LEFT(AH536,8)="COMPLETE",1,0)</f>
        <v>0</v>
      </c>
      <c r="AK536" s="61" t="n">
        <f aca="false">IF(AND(AI536=1,AJ536=0,AsOfUTC&gt;Q536),1,0)</f>
        <v>0</v>
      </c>
      <c r="AL536" s="61" t="n">
        <f aca="false">IFERROR(IF(AND(AI536=1,OR(TRIM(U536)="Fail",AND(TRIM(AB536)&lt;&gt;"",TRIM(AB536)&lt;&gt;"Closed"),AND(ISNUMBER(AF536),AF536&lt;&gt;0,TRIM(U536)&lt;&gt;"Pass after CA"))),1,0),1)</f>
        <v>0</v>
      </c>
      <c r="AM536" s="61" t="n">
        <f aca="false">IF(LEFT(AH536,7)="INVALID",1,0)</f>
        <v>0</v>
      </c>
      <c r="AN536" s="61" t="n">
        <f aca="false">IF(AND(N536="Clarification required",AI536=1,AJ536=0),1,0)</f>
        <v>0</v>
      </c>
      <c r="AO536" s="61" t="str">
        <f aca="false">IF(AK536=1,SUM(AK$5:AK536),"")</f>
        <v/>
      </c>
      <c r="AP536" s="61" t="str">
        <f aca="false">IF(AL536=1,SUM(AL$5:AL536),"")</f>
        <v/>
      </c>
      <c r="AQ536" s="61" t="n">
        <v>0</v>
      </c>
      <c r="AR536" s="61" t="n">
        <v>0</v>
      </c>
      <c r="AS536" s="61" t="n">
        <v>0</v>
      </c>
      <c r="AT536" s="61" t="n">
        <v>0</v>
      </c>
      <c r="AU536" s="61" t="str">
        <f aca="false">SUBSTITUTE(SUBSTITUTE(SUBSTITUTE(SUBSTITUTE(SUBSTITUTE(SUBSTITUTE(SUBSTITUTE(SUBSTITUTE(SUBSTITUTE(SUBSTITUTE(SUBSTITUTE(SUBSTITUTE(SUBSTITUTE(LOWER(T536&amp;""),CHAR(160),"")," ",""),".",""),"-",""),"/",""),"?",""),"_",""),",",""),"[",""),"]",""),"(",""),")",""),"*","")</f>
        <v/>
      </c>
      <c r="AV536" s="61" t="str">
        <f aca="false">SUBSTITUTE(SUBSTITUTE(SUBSTITUTE(SUBSTITUTE(SUBSTITUTE(SUBSTITUTE(SUBSTITUTE(SUBSTITUTE(SUBSTITUTE(SUBSTITUTE(SUBSTITUTE(SUBSTITUTE(SUBSTITUTE(LOWER(V536&amp;""),CHAR(160),"")," ",""),".",""),"-",""),"/",""),"?",""),"_",""),",",""),"[",""),"]",""),"(",""),")",""),"*","")</f>
        <v/>
      </c>
      <c r="AW536" s="61" t="str">
        <f aca="false">SUBSTITUTE(SUBSTITUTE(SUBSTITUTE(SUBSTITUTE(SUBSTITUTE(SUBSTITUTE(SUBSTITUTE(SUBSTITUTE(SUBSTITUTE(SUBSTITUTE(SUBSTITUTE(SUBSTITUTE(SUBSTITUTE(LOWER(Z536&amp;""),CHAR(160),"")," ",""),".",""),"-",""),"/",""),"?",""),"_",""),",",""),"[",""),"]",""),"(",""),")",""),"*","")</f>
        <v/>
      </c>
      <c r="AX536" s="61" t="str">
        <f aca="false">SUBSTITUTE(SUBSTITUTE(SUBSTITUTE(SUBSTITUTE(SUBSTITUTE(SUBSTITUTE(SUBSTITUTE(SUBSTITUTE(SUBSTITUTE(SUBSTITUTE(SUBSTITUTE(SUBSTITUTE(SUBSTITUTE(LOWER(AE536&amp;""),CHAR(160),"")," ",""),".",""),"-",""),"/",""),"?",""),"_",""),",",""),"[",""),"]",""),"(",""),")",""),"*","")</f>
        <v/>
      </c>
      <c r="AY536" s="61" t="str">
        <f aca="false">SUBSTITUTE(SUBSTITUTE(SUBSTITUTE(SUBSTITUTE(SUBSTITUTE(SUBSTITUTE(SUBSTITUTE(SUBSTITUTE(SUBSTITUTE(SUBSTITUTE(SUBSTITUTE(SUBSTITUTE(SUBSTITUTE(LOWER(W536&amp;""),CHAR(160),"")," ",""),".",""),"-",""),"/",""),"?",""),"_",""),",",""),"[",""),"]",""),"(",""),")",""),"*","")</f>
        <v/>
      </c>
      <c r="AZ536" s="61" t="str">
        <f aca="false">SUBSTITUTE(SUBSTITUTE(SUBSTITUTE(SUBSTITUTE(SUBSTITUTE(SUBSTITUTE(SUBSTITUTE(SUBSTITUTE(SUBSTITUTE(SUBSTITUTE(SUBSTITUTE(SUBSTITUTE(SUBSTITUTE(LOWER(AC536&amp;""),CHAR(160),"")," ",""),".",""),"-",""),"/",""),"?",""),"_",""),",",""),"[",""),"]",""),"(",""),")",""),"*","")</f>
        <v/>
      </c>
      <c r="BA536" s="61" t="str">
        <f aca="false">SUBSTITUTE(SUBSTITUTE(SUBSTITUTE(SUBSTITUTE(SUBSTITUTE(SUBSTITUTE(SUBSTITUTE(SUBSTITUTE(SUBSTITUTE(SUBSTITUTE(SUBSTITUTE(SUBSTITUTE(SUBSTITUTE(LOWER(AA536&amp;""),CHAR(160),"")," ",""),".",""),"-",""),"/",""),"?",""),"_",""),",",""),"[",""),"]",""),"(",""),")",""),"*","")</f>
        <v/>
      </c>
      <c r="BB536" s="61" t="str">
        <f aca="false">IF(AND(TRIM(U536)="Pass",ISNUMBER(AF536)),IF(AF536&lt;&gt;0,"INVALID – qty variance: use Fail or Pass after CA",""),"")&amp;IF(AND(TRIM(U536)="Pass after CA",ISNUMBER(AF536)),IF(AF536&lt;&gt;0,"INVALID – after the corrective action the actual qty must equal expected (update Actual)",""),"")&amp;IF(AND(TRIM(U536)="Pass",TRIM(AB536)&lt;&gt;"",TRIM(AB536)&lt;&gt;"Closed"),"INVALID – corrective action not closed: use Fail, then Pass after CA","")&amp;IF(AND(TRIM(AA536)&lt;&gt;"",TRIM(AB536)=""),"INVALID – CA status missing for the recorded corrective action","")&amp;IF(AND(TRIM(U536)="Pass after CA",OR(OR(LEN(BA536)&lt;5,ISNUMBER(MATCH(BA536,L_Placeholder,0))),TRIM(AB536)&lt;&gt;"Closed")),"INVALID – corrective action not recorded/closed","")</f>
        <v/>
      </c>
    </row>
    <row r="537" customFormat="false" ht="39.75" hidden="false" customHeight="true" outlineLevel="0" collapsed="false">
      <c r="A537" s="57" t="s">
        <v>1182</v>
      </c>
      <c r="B537" s="57" t="s">
        <v>287</v>
      </c>
      <c r="C537" s="57" t="str">
        <f aca="false">Flights!$F$21</f>
        <v>MH0073</v>
      </c>
      <c r="D537" s="58" t="n">
        <f aca="false">Flights!$D$21</f>
        <v>46322</v>
      </c>
      <c r="E537" s="57" t="str">
        <f aca="false">Flights!$G$21&amp;"-"&amp;Flights!$H$21</f>
        <v>HKG-KUL</v>
      </c>
      <c r="F537" s="57" t="str">
        <f aca="false">Flights!$K$21</f>
        <v>BC</v>
      </c>
      <c r="G537" s="57" t="s">
        <v>79</v>
      </c>
      <c r="H537" s="57" t="s">
        <v>356</v>
      </c>
      <c r="I537" s="57" t="s">
        <v>383</v>
      </c>
      <c r="J537" s="57" t="s">
        <v>384</v>
      </c>
      <c r="K537" s="67" t="s">
        <v>385</v>
      </c>
      <c r="L537" s="67" t="s">
        <v>360</v>
      </c>
      <c r="M537" s="67"/>
      <c r="N537" s="67" t="s">
        <v>361</v>
      </c>
      <c r="O537" s="67"/>
      <c r="P537" s="57" t="s">
        <v>279</v>
      </c>
      <c r="Q537" s="59" t="n">
        <f aca="false">ROUND((Flights!$AC$21)*1440,0)/1440</f>
        <v>46315.2847222222</v>
      </c>
      <c r="R537" s="59" t="n">
        <f aca="false">Q537+(IF(AND(INDEX(TZ_DSTS,MATCH(P537,TZ_STN,0))&lt;&gt;"",Q537&gt;=INDEX(TZ_DSTS,MATCH(P537,TZ_STN,0)),Q537&lt;INDEX(TZ_DSTE,MATCH(P537,TZ_STN,0))),INDEX(TZ_DST,MATCH(P537,TZ_STN,0)),INDEX(TZ_STD,MATCH(P537,TZ_STN,0))))/24</f>
        <v>46315.6180555556</v>
      </c>
      <c r="S537" s="59" t="n">
        <f aca="false">Q537-T7EarlyD*24/24</f>
        <v>46301.2847222222</v>
      </c>
      <c r="T537" s="60"/>
      <c r="U537" s="60"/>
      <c r="V537" s="60"/>
      <c r="W537" s="61"/>
      <c r="X537" s="60"/>
      <c r="Y537" s="60"/>
      <c r="Z537" s="60"/>
      <c r="AA537" s="60"/>
      <c r="AB537" s="60"/>
      <c r="AC537" s="60"/>
      <c r="AD537" s="66"/>
      <c r="AE537" s="60"/>
      <c r="AF537" s="61" t="str">
        <f aca="false">IF(AND(ISNUMBER(X537),ISNUMBER(Y537)),Y537-X537,"")</f>
        <v/>
      </c>
      <c r="AG537" s="62" t="str">
        <f aca="false">IF(ISNUMBER(AD537),AD537-(IF(AND(INDEX(TZ_DSTS,MATCH(P537,TZ_STN,0))&lt;&gt;"",(AD537-INDEX(TZ_STD,MATCH(P537,TZ_STN,0))/24)&gt;=INDEX(TZ_DSTS,MATCH(P537,TZ_STN,0)),(AD537-INDEX(TZ_STD,MATCH(P537,TZ_STN,0))/24)&lt;INDEX(TZ_DSTE,MATCH(P537,TZ_STN,0))),INDEX(TZ_DST,MATCH(P537,TZ_STN,0)),INDEX(TZ_STD,MATCH(P537,TZ_STN,0))))/24,"")</f>
        <v/>
      </c>
      <c r="AH537" s="65" t="str">
        <f aca="false">IFERROR(IF(N537="N/A – rule","N/A – RULE",IF(TRIM(U537)="N/A",IF(AT537=0,"INVALID – N/A not permitted for this check",IF(AND(TRIM(AB537)&lt;&gt;"",TRIM(AB537)&lt;&gt;"Closed"),"INVALID – corrective action still open",IF(AND(NOT(OR(LEN(AZ537)&lt;15,ISNUMBER(MATCH(AZ537,L_Placeholder,0)))),NOT(OR(LEN(AU537)&lt;2,ISNUMBER(MATCH(AU537,L_Placeholder,0)))),NOT(OR(LEN(AX537)&lt;2,ISNUMBER(MATCH(AX537,L_Placeholder,0)))),TRIM(AE537)&lt;&gt;TRIM(T537)),"N/A – JUSTIFIED","INVALID – N/A needs a real justification (15+ chars), PIC and a different verifier"))),IF(OR(TRIM(U537)="Pass",TRIM(U537)="Pass after CA"),IF(NOT(ISNUMBER(AD537)),"INVALID – completion time missing",IF(OR(LEN(AU537)&lt;2,ISNUMBER(MATCH(AU537,L_Placeholder,0))),"INVALID – PIC missing",IF(OR(LEN(AV537)&lt;2,ISNUMBER(MATCH(AV537,L_Placeholder,0))),"INVALID – result / assessment missing",IF(OR(OR(LEN(AW537)&lt;3,ISNUMBER(MATCH(AW537,L_Placeholder,0))),SUMPRODUCT(--ISNUMBER(SEARCH(L_EvidencePhrase,AW537)))&gt;0),"INVALID – evidence missing, placeholder or not yet on file",IF(OR(LEN(AX537)&lt;2,ISNUMBER(MATCH(AX537,L_Placeholder,0))),"INVALID – verifier missing",IF(AX537=AU537,"INVALID – verifier must be someone other than the PIC",IF(AND(TRIM(U537)="Pass",SUMPRODUCT(--ISNUMBER(SEARCH(L_ResultBad,AV537)))&gt;0),"INVALID – result describes a problem: use Fail, then Pass after CA",IF(AND(AQ537=1,OR(LEN(AY537)&lt;3,ISNUMBER(MATCH(AY537,L_Placeholder,0)))),"INVALID – batch ID missing or placeholder",IF(AND(AR537=1,OR(NOT(ISNUMBER(X537)),NOT(ISNUMBER(Y537)))),"INVALID – expected/actual qty missing",IF(AND(AR537=1,OR(X537&lt;=0,Y537&lt;0)),"INVALID – expected qty must be above 0 and actual not negative",IF(BB537&lt;&gt;"",BB537,IF(AND(AS537=1,Documents!$J$21&lt;&gt;"ON FILE"),"INVALID – GLD not on file (Documents sheet)",IF(AND(AS537=2,Documents!$O$21&lt;&gt;"ON FILE"),"INVALID – menu checklist not on file (Documents sheet)",IF(AND(AS537=3,NOT(ISNUMBER(Flights!$AX$21))),"INVALID – enter carrying flight KUL departure (Flights AX)",IF(AND(AS537=3,OR(Flights!$AZ$21&gt;Flights!$AA$21,Flights!$AX$21&lt;Flights!$AA$21-3)),"INVALID – carrying flight (Flights AX) cannot arrive before this leg's STD, or is over 3 days early",IF(AG537&gt;AsOfUTC,"INVALID – completion time is in the future",IF(AND(ISNUMBER(S537),AG537&lt;S537),IF(H537="Physical uplift","INVALID – before uplift window (cannot confirm loading)","INVALID – before valid window"),IF(AG537&gt;Flights!$AA$21,"INVALID – completed after departure (cannot establish readiness)",IF(AND(H537="Preparation",AG537&gt;IF(ISNUMBER(Flights!$BA$21),MIN(Flights!$BA$21,Flights!$AA$21),Flights!$AA$21)),"INVALID – completed after loading / departure (cannot establish readiness)",IF(AND(H537="Physical uplift",AG537&gt;Q537),"INVALID – recorded after the loading flight departed",IF(AG537&gt;Q537,"COMPLETE – LATE","COMPLETE"))))))))))))))))))))),IF(TRIM(U537)="Fail","FAIL – DISCREPANCY",IF(AND(TRIM(U537)&lt;&gt;"",TRIM(U537)&lt;&gt;"Not started",TRIM(U537)&lt;&gt;"In progress"),"INVALID – unrecognised status (use the list)",IF(AsOfUTC&gt;Q537,"OVERDUE",IF(N537="Clarification required","OPEN – CLARIFICATION","OPEN"))))))),"INVALID – error value in an input cell")</f>
        <v>OPEN</v>
      </c>
      <c r="AI537" s="61" t="n">
        <f aca="false">IF(OR(AH537="N/A – RULE",AH537="N/A – JUSTIFIED"),0,1)</f>
        <v>1</v>
      </c>
      <c r="AJ537" s="61" t="n">
        <f aca="false">IF(LEFT(AH537,8)="COMPLETE",1,0)</f>
        <v>0</v>
      </c>
      <c r="AK537" s="61" t="n">
        <f aca="false">IF(AND(AI537=1,AJ537=0,AsOfUTC&gt;Q537),1,0)</f>
        <v>0</v>
      </c>
      <c r="AL537" s="61" t="n">
        <f aca="false">IFERROR(IF(AND(AI537=1,OR(TRIM(U537)="Fail",AND(TRIM(AB537)&lt;&gt;"",TRIM(AB537)&lt;&gt;"Closed"),AND(ISNUMBER(AF537),AF537&lt;&gt;0,TRIM(U537)&lt;&gt;"Pass after CA"))),1,0),1)</f>
        <v>0</v>
      </c>
      <c r="AM537" s="61" t="n">
        <f aca="false">IF(LEFT(AH537,7)="INVALID",1,0)</f>
        <v>0</v>
      </c>
      <c r="AN537" s="61" t="n">
        <f aca="false">IF(AND(N537="Clarification required",AI537=1,AJ537=0),1,0)</f>
        <v>0</v>
      </c>
      <c r="AO537" s="61" t="str">
        <f aca="false">IF(AK537=1,SUM(AK$5:AK537),"")</f>
        <v/>
      </c>
      <c r="AP537" s="61" t="str">
        <f aca="false">IF(AL537=1,SUM(AL$5:AL537),"")</f>
        <v/>
      </c>
      <c r="AQ537" s="61" t="n">
        <v>0</v>
      </c>
      <c r="AR537" s="61" t="n">
        <v>0</v>
      </c>
      <c r="AS537" s="61" t="n">
        <v>1</v>
      </c>
      <c r="AT537" s="61" t="n">
        <v>0</v>
      </c>
      <c r="AU537" s="61" t="str">
        <f aca="false">SUBSTITUTE(SUBSTITUTE(SUBSTITUTE(SUBSTITUTE(SUBSTITUTE(SUBSTITUTE(SUBSTITUTE(SUBSTITUTE(SUBSTITUTE(SUBSTITUTE(SUBSTITUTE(SUBSTITUTE(SUBSTITUTE(LOWER(T537&amp;""),CHAR(160),"")," ",""),".",""),"-",""),"/",""),"?",""),"_",""),",",""),"[",""),"]",""),"(",""),")",""),"*","")</f>
        <v/>
      </c>
      <c r="AV537" s="61" t="str">
        <f aca="false">SUBSTITUTE(SUBSTITUTE(SUBSTITUTE(SUBSTITUTE(SUBSTITUTE(SUBSTITUTE(SUBSTITUTE(SUBSTITUTE(SUBSTITUTE(SUBSTITUTE(SUBSTITUTE(SUBSTITUTE(SUBSTITUTE(LOWER(V537&amp;""),CHAR(160),"")," ",""),".",""),"-",""),"/",""),"?",""),"_",""),",",""),"[",""),"]",""),"(",""),")",""),"*","")</f>
        <v/>
      </c>
      <c r="AW537" s="61" t="str">
        <f aca="false">SUBSTITUTE(SUBSTITUTE(SUBSTITUTE(SUBSTITUTE(SUBSTITUTE(SUBSTITUTE(SUBSTITUTE(SUBSTITUTE(SUBSTITUTE(SUBSTITUTE(SUBSTITUTE(SUBSTITUTE(SUBSTITUTE(LOWER(Z537&amp;""),CHAR(160),"")," ",""),".",""),"-",""),"/",""),"?",""),"_",""),",",""),"[",""),"]",""),"(",""),")",""),"*","")</f>
        <v/>
      </c>
      <c r="AX537" s="61" t="str">
        <f aca="false">SUBSTITUTE(SUBSTITUTE(SUBSTITUTE(SUBSTITUTE(SUBSTITUTE(SUBSTITUTE(SUBSTITUTE(SUBSTITUTE(SUBSTITUTE(SUBSTITUTE(SUBSTITUTE(SUBSTITUTE(SUBSTITUTE(LOWER(AE537&amp;""),CHAR(160),"")," ",""),".",""),"-",""),"/",""),"?",""),"_",""),",",""),"[",""),"]",""),"(",""),")",""),"*","")</f>
        <v/>
      </c>
      <c r="AY537" s="61" t="str">
        <f aca="false">SUBSTITUTE(SUBSTITUTE(SUBSTITUTE(SUBSTITUTE(SUBSTITUTE(SUBSTITUTE(SUBSTITUTE(SUBSTITUTE(SUBSTITUTE(SUBSTITUTE(SUBSTITUTE(SUBSTITUTE(SUBSTITUTE(LOWER(W537&amp;""),CHAR(160),"")," ",""),".",""),"-",""),"/",""),"?",""),"_",""),",",""),"[",""),"]",""),"(",""),")",""),"*","")</f>
        <v/>
      </c>
      <c r="AZ537" s="61" t="str">
        <f aca="false">SUBSTITUTE(SUBSTITUTE(SUBSTITUTE(SUBSTITUTE(SUBSTITUTE(SUBSTITUTE(SUBSTITUTE(SUBSTITUTE(SUBSTITUTE(SUBSTITUTE(SUBSTITUTE(SUBSTITUTE(SUBSTITUTE(LOWER(AC537&amp;""),CHAR(160),"")," ",""),".",""),"-",""),"/",""),"?",""),"_",""),",",""),"[",""),"]",""),"(",""),")",""),"*","")</f>
        <v/>
      </c>
      <c r="BA537" s="61" t="str">
        <f aca="false">SUBSTITUTE(SUBSTITUTE(SUBSTITUTE(SUBSTITUTE(SUBSTITUTE(SUBSTITUTE(SUBSTITUTE(SUBSTITUTE(SUBSTITUTE(SUBSTITUTE(SUBSTITUTE(SUBSTITUTE(SUBSTITUTE(LOWER(AA537&amp;""),CHAR(160),"")," ",""),".",""),"-",""),"/",""),"?",""),"_",""),",",""),"[",""),"]",""),"(",""),")",""),"*","")</f>
        <v/>
      </c>
      <c r="BB537" s="61" t="str">
        <f aca="false">IF(AND(TRIM(U537)="Pass",ISNUMBER(AF537)),IF(AF537&lt;&gt;0,"INVALID – qty variance: use Fail or Pass after CA",""),"")&amp;IF(AND(TRIM(U537)="Pass after CA",ISNUMBER(AF537)),IF(AF537&lt;&gt;0,"INVALID – after the corrective action the actual qty must equal expected (update Actual)",""),"")&amp;IF(AND(TRIM(U537)="Pass",TRIM(AB537)&lt;&gt;"",TRIM(AB537)&lt;&gt;"Closed"),"INVALID – corrective action not closed: use Fail, then Pass after CA","")&amp;IF(AND(TRIM(AA537)&lt;&gt;"",TRIM(AB537)=""),"INVALID – CA status missing for the recorded corrective action","")&amp;IF(AND(TRIM(U537)="Pass after CA",OR(OR(LEN(BA537)&lt;5,ISNUMBER(MATCH(BA537,L_Placeholder,0))),TRIM(AB537)&lt;&gt;"Closed")),"INVALID – corrective action not recorded/closed","")</f>
        <v/>
      </c>
    </row>
    <row r="538" customFormat="false" ht="39.75" hidden="false" customHeight="true" outlineLevel="0" collapsed="false">
      <c r="A538" s="57" t="s">
        <v>1183</v>
      </c>
      <c r="B538" s="57" t="s">
        <v>287</v>
      </c>
      <c r="C538" s="57" t="str">
        <f aca="false">Flights!$F$21</f>
        <v>MH0073</v>
      </c>
      <c r="D538" s="58" t="n">
        <f aca="false">Flights!$D$21</f>
        <v>46322</v>
      </c>
      <c r="E538" s="57" t="str">
        <f aca="false">Flights!$G$21&amp;"-"&amp;Flights!$H$21</f>
        <v>HKG-KUL</v>
      </c>
      <c r="F538" s="57" t="str">
        <f aca="false">Flights!$K$21</f>
        <v>BC</v>
      </c>
      <c r="G538" s="57" t="s">
        <v>79</v>
      </c>
      <c r="H538" s="57" t="s">
        <v>356</v>
      </c>
      <c r="I538" s="57" t="s">
        <v>383</v>
      </c>
      <c r="J538" s="57" t="s">
        <v>387</v>
      </c>
      <c r="K538" s="67" t="s">
        <v>385</v>
      </c>
      <c r="L538" s="67" t="s">
        <v>360</v>
      </c>
      <c r="M538" s="67"/>
      <c r="N538" s="67" t="s">
        <v>361</v>
      </c>
      <c r="O538" s="67"/>
      <c r="P538" s="57" t="s">
        <v>279</v>
      </c>
      <c r="Q538" s="59" t="n">
        <f aca="false">ROUND((Flights!$AC$21)*1440,0)/1440</f>
        <v>46315.2847222222</v>
      </c>
      <c r="R538" s="59" t="n">
        <f aca="false">Q538+(IF(AND(INDEX(TZ_DSTS,MATCH(P538,TZ_STN,0))&lt;&gt;"",Q538&gt;=INDEX(TZ_DSTS,MATCH(P538,TZ_STN,0)),Q538&lt;INDEX(TZ_DSTE,MATCH(P538,TZ_STN,0))),INDEX(TZ_DST,MATCH(P538,TZ_STN,0)),INDEX(TZ_STD,MATCH(P538,TZ_STN,0))))/24</f>
        <v>46315.6180555556</v>
      </c>
      <c r="S538" s="59" t="n">
        <f aca="false">Q538-T7EarlyD*24/24</f>
        <v>46301.2847222222</v>
      </c>
      <c r="T538" s="60"/>
      <c r="U538" s="60"/>
      <c r="V538" s="60"/>
      <c r="W538" s="61"/>
      <c r="X538" s="60"/>
      <c r="Y538" s="60"/>
      <c r="Z538" s="60"/>
      <c r="AA538" s="60"/>
      <c r="AB538" s="60"/>
      <c r="AC538" s="60"/>
      <c r="AD538" s="66"/>
      <c r="AE538" s="60"/>
      <c r="AF538" s="61" t="str">
        <f aca="false">IF(AND(ISNUMBER(X538),ISNUMBER(Y538)),Y538-X538,"")</f>
        <v/>
      </c>
      <c r="AG538" s="62" t="str">
        <f aca="false">IF(ISNUMBER(AD538),AD538-(IF(AND(INDEX(TZ_DSTS,MATCH(P538,TZ_STN,0))&lt;&gt;"",(AD538-INDEX(TZ_STD,MATCH(P538,TZ_STN,0))/24)&gt;=INDEX(TZ_DSTS,MATCH(P538,TZ_STN,0)),(AD538-INDEX(TZ_STD,MATCH(P538,TZ_STN,0))/24)&lt;INDEX(TZ_DSTE,MATCH(P538,TZ_STN,0))),INDEX(TZ_DST,MATCH(P538,TZ_STN,0)),INDEX(TZ_STD,MATCH(P538,TZ_STN,0))))/24,"")</f>
        <v/>
      </c>
      <c r="AH538" s="65" t="str">
        <f aca="false">IFERROR(IF(N538="N/A – rule","N/A – RULE",IF(TRIM(U538)="N/A",IF(AT538=0,"INVALID – N/A not permitted for this check",IF(AND(TRIM(AB538)&lt;&gt;"",TRIM(AB538)&lt;&gt;"Closed"),"INVALID – corrective action still open",IF(AND(NOT(OR(LEN(AZ538)&lt;15,ISNUMBER(MATCH(AZ538,L_Placeholder,0)))),NOT(OR(LEN(AU538)&lt;2,ISNUMBER(MATCH(AU538,L_Placeholder,0)))),NOT(OR(LEN(AX538)&lt;2,ISNUMBER(MATCH(AX538,L_Placeholder,0)))),TRIM(AE538)&lt;&gt;TRIM(T538)),"N/A – JUSTIFIED","INVALID – N/A needs a real justification (15+ chars), PIC and a different verifier"))),IF(OR(TRIM(U538)="Pass",TRIM(U538)="Pass after CA"),IF(NOT(ISNUMBER(AD538)),"INVALID – completion time missing",IF(OR(LEN(AU538)&lt;2,ISNUMBER(MATCH(AU538,L_Placeholder,0))),"INVALID – PIC missing",IF(OR(LEN(AV538)&lt;2,ISNUMBER(MATCH(AV538,L_Placeholder,0))),"INVALID – result / assessment missing",IF(OR(OR(LEN(AW538)&lt;3,ISNUMBER(MATCH(AW538,L_Placeholder,0))),SUMPRODUCT(--ISNUMBER(SEARCH(L_EvidencePhrase,AW538)))&gt;0),"INVALID – evidence missing, placeholder or not yet on file",IF(OR(LEN(AX538)&lt;2,ISNUMBER(MATCH(AX538,L_Placeholder,0))),"INVALID – verifier missing",IF(AX538=AU538,"INVALID – verifier must be someone other than the PIC",IF(AND(TRIM(U538)="Pass",SUMPRODUCT(--ISNUMBER(SEARCH(L_ResultBad,AV538)))&gt;0),"INVALID – result describes a problem: use Fail, then Pass after CA",IF(AND(AQ538=1,OR(LEN(AY538)&lt;3,ISNUMBER(MATCH(AY538,L_Placeholder,0)))),"INVALID – batch ID missing or placeholder",IF(AND(AR538=1,OR(NOT(ISNUMBER(X538)),NOT(ISNUMBER(Y538)))),"INVALID – expected/actual qty missing",IF(AND(AR538=1,OR(X538&lt;=0,Y538&lt;0)),"INVALID – expected qty must be above 0 and actual not negative",IF(BB538&lt;&gt;"",BB538,IF(AND(AS538=1,Documents!$J$21&lt;&gt;"ON FILE"),"INVALID – GLD not on file (Documents sheet)",IF(AND(AS538=2,Documents!$O$21&lt;&gt;"ON FILE"),"INVALID – menu checklist not on file (Documents sheet)",IF(AND(AS538=3,NOT(ISNUMBER(Flights!$AX$21))),"INVALID – enter carrying flight KUL departure (Flights AX)",IF(AND(AS538=3,OR(Flights!$AZ$21&gt;Flights!$AA$21,Flights!$AX$21&lt;Flights!$AA$21-3)),"INVALID – carrying flight (Flights AX) cannot arrive before this leg's STD, or is over 3 days early",IF(AG538&gt;AsOfUTC,"INVALID – completion time is in the future",IF(AND(ISNUMBER(S538),AG538&lt;S538),IF(H538="Physical uplift","INVALID – before uplift window (cannot confirm loading)","INVALID – before valid window"),IF(AG538&gt;Flights!$AA$21,"INVALID – completed after departure (cannot establish readiness)",IF(AND(H538="Preparation",AG538&gt;IF(ISNUMBER(Flights!$BA$21),MIN(Flights!$BA$21,Flights!$AA$21),Flights!$AA$21)),"INVALID – completed after loading / departure (cannot establish readiness)",IF(AND(H538="Physical uplift",AG538&gt;Q538),"INVALID – recorded after the loading flight departed",IF(AG538&gt;Q538,"COMPLETE – LATE","COMPLETE"))))))))))))))))))))),IF(TRIM(U538)="Fail","FAIL – DISCREPANCY",IF(AND(TRIM(U538)&lt;&gt;"",TRIM(U538)&lt;&gt;"Not started",TRIM(U538)&lt;&gt;"In progress"),"INVALID – unrecognised status (use the list)",IF(AsOfUTC&gt;Q538,"OVERDUE",IF(N538="Clarification required","OPEN – CLARIFICATION","OPEN"))))))),"INVALID – error value in an input cell")</f>
        <v>OPEN</v>
      </c>
      <c r="AI538" s="61" t="n">
        <f aca="false">IF(OR(AH538="N/A – RULE",AH538="N/A – JUSTIFIED"),0,1)</f>
        <v>1</v>
      </c>
      <c r="AJ538" s="61" t="n">
        <f aca="false">IF(LEFT(AH538,8)="COMPLETE",1,0)</f>
        <v>0</v>
      </c>
      <c r="AK538" s="61" t="n">
        <f aca="false">IF(AND(AI538=1,AJ538=0,AsOfUTC&gt;Q538),1,0)</f>
        <v>0</v>
      </c>
      <c r="AL538" s="61" t="n">
        <f aca="false">IFERROR(IF(AND(AI538=1,OR(TRIM(U538)="Fail",AND(TRIM(AB538)&lt;&gt;"",TRIM(AB538)&lt;&gt;"Closed"),AND(ISNUMBER(AF538),AF538&lt;&gt;0,TRIM(U538)&lt;&gt;"Pass after CA"))),1,0),1)</f>
        <v>0</v>
      </c>
      <c r="AM538" s="61" t="n">
        <f aca="false">IF(LEFT(AH538,7)="INVALID",1,0)</f>
        <v>0</v>
      </c>
      <c r="AN538" s="61" t="n">
        <f aca="false">IF(AND(N538="Clarification required",AI538=1,AJ538=0),1,0)</f>
        <v>0</v>
      </c>
      <c r="AO538" s="61" t="str">
        <f aca="false">IF(AK538=1,SUM(AK$5:AK538),"")</f>
        <v/>
      </c>
      <c r="AP538" s="61" t="str">
        <f aca="false">IF(AL538=1,SUM(AL$5:AL538),"")</f>
        <v/>
      </c>
      <c r="AQ538" s="61" t="n">
        <v>0</v>
      </c>
      <c r="AR538" s="61" t="n">
        <v>0</v>
      </c>
      <c r="AS538" s="61" t="n">
        <v>2</v>
      </c>
      <c r="AT538" s="61" t="n">
        <v>0</v>
      </c>
      <c r="AU538" s="61" t="str">
        <f aca="false">SUBSTITUTE(SUBSTITUTE(SUBSTITUTE(SUBSTITUTE(SUBSTITUTE(SUBSTITUTE(SUBSTITUTE(SUBSTITUTE(SUBSTITUTE(SUBSTITUTE(SUBSTITUTE(SUBSTITUTE(SUBSTITUTE(LOWER(T538&amp;""),CHAR(160),"")," ",""),".",""),"-",""),"/",""),"?",""),"_",""),",",""),"[",""),"]",""),"(",""),")",""),"*","")</f>
        <v/>
      </c>
      <c r="AV538" s="61" t="str">
        <f aca="false">SUBSTITUTE(SUBSTITUTE(SUBSTITUTE(SUBSTITUTE(SUBSTITUTE(SUBSTITUTE(SUBSTITUTE(SUBSTITUTE(SUBSTITUTE(SUBSTITUTE(SUBSTITUTE(SUBSTITUTE(SUBSTITUTE(LOWER(V538&amp;""),CHAR(160),"")," ",""),".",""),"-",""),"/",""),"?",""),"_",""),",",""),"[",""),"]",""),"(",""),")",""),"*","")</f>
        <v/>
      </c>
      <c r="AW538" s="61" t="str">
        <f aca="false">SUBSTITUTE(SUBSTITUTE(SUBSTITUTE(SUBSTITUTE(SUBSTITUTE(SUBSTITUTE(SUBSTITUTE(SUBSTITUTE(SUBSTITUTE(SUBSTITUTE(SUBSTITUTE(SUBSTITUTE(SUBSTITUTE(LOWER(Z538&amp;""),CHAR(160),"")," ",""),".",""),"-",""),"/",""),"?",""),"_",""),",",""),"[",""),"]",""),"(",""),")",""),"*","")</f>
        <v/>
      </c>
      <c r="AX538" s="61" t="str">
        <f aca="false">SUBSTITUTE(SUBSTITUTE(SUBSTITUTE(SUBSTITUTE(SUBSTITUTE(SUBSTITUTE(SUBSTITUTE(SUBSTITUTE(SUBSTITUTE(SUBSTITUTE(SUBSTITUTE(SUBSTITUTE(SUBSTITUTE(LOWER(AE538&amp;""),CHAR(160),"")," ",""),".",""),"-",""),"/",""),"?",""),"_",""),",",""),"[",""),"]",""),"(",""),")",""),"*","")</f>
        <v/>
      </c>
      <c r="AY538" s="61" t="str">
        <f aca="false">SUBSTITUTE(SUBSTITUTE(SUBSTITUTE(SUBSTITUTE(SUBSTITUTE(SUBSTITUTE(SUBSTITUTE(SUBSTITUTE(SUBSTITUTE(SUBSTITUTE(SUBSTITUTE(SUBSTITUTE(SUBSTITUTE(LOWER(W538&amp;""),CHAR(160),"")," ",""),".",""),"-",""),"/",""),"?",""),"_",""),",",""),"[",""),"]",""),"(",""),")",""),"*","")</f>
        <v/>
      </c>
      <c r="AZ538" s="61" t="str">
        <f aca="false">SUBSTITUTE(SUBSTITUTE(SUBSTITUTE(SUBSTITUTE(SUBSTITUTE(SUBSTITUTE(SUBSTITUTE(SUBSTITUTE(SUBSTITUTE(SUBSTITUTE(SUBSTITUTE(SUBSTITUTE(SUBSTITUTE(LOWER(AC538&amp;""),CHAR(160),"")," ",""),".",""),"-",""),"/",""),"?",""),"_",""),",",""),"[",""),"]",""),"(",""),")",""),"*","")</f>
        <v/>
      </c>
      <c r="BA538" s="61" t="str">
        <f aca="false">SUBSTITUTE(SUBSTITUTE(SUBSTITUTE(SUBSTITUTE(SUBSTITUTE(SUBSTITUTE(SUBSTITUTE(SUBSTITUTE(SUBSTITUTE(SUBSTITUTE(SUBSTITUTE(SUBSTITUTE(SUBSTITUTE(LOWER(AA538&amp;""),CHAR(160),"")," ",""),".",""),"-",""),"/",""),"?",""),"_",""),",",""),"[",""),"]",""),"(",""),")",""),"*","")</f>
        <v/>
      </c>
      <c r="BB538" s="61" t="str">
        <f aca="false">IF(AND(TRIM(U538)="Pass",ISNUMBER(AF538)),IF(AF538&lt;&gt;0,"INVALID – qty variance: use Fail or Pass after CA",""),"")&amp;IF(AND(TRIM(U538)="Pass after CA",ISNUMBER(AF538)),IF(AF538&lt;&gt;0,"INVALID – after the corrective action the actual qty must equal expected (update Actual)",""),"")&amp;IF(AND(TRIM(U538)="Pass",TRIM(AB538)&lt;&gt;"",TRIM(AB538)&lt;&gt;"Closed"),"INVALID – corrective action not closed: use Fail, then Pass after CA","")&amp;IF(AND(TRIM(AA538)&lt;&gt;"",TRIM(AB538)=""),"INVALID – CA status missing for the recorded corrective action","")&amp;IF(AND(TRIM(U538)="Pass after CA",OR(OR(LEN(BA538)&lt;5,ISNUMBER(MATCH(BA538,L_Placeholder,0))),TRIM(AB538)&lt;&gt;"Closed")),"INVALID – corrective action not recorded/closed","")</f>
        <v/>
      </c>
    </row>
    <row r="539" customFormat="false" ht="39.75" hidden="false" customHeight="true" outlineLevel="0" collapsed="false">
      <c r="A539" s="57" t="s">
        <v>1184</v>
      </c>
      <c r="B539" s="57" t="s">
        <v>287</v>
      </c>
      <c r="C539" s="57" t="str">
        <f aca="false">Flights!$F$21</f>
        <v>MH0073</v>
      </c>
      <c r="D539" s="58" t="n">
        <f aca="false">Flights!$D$21</f>
        <v>46322</v>
      </c>
      <c r="E539" s="57" t="str">
        <f aca="false">Flights!$G$21&amp;"-"&amp;Flights!$H$21</f>
        <v>HKG-KUL</v>
      </c>
      <c r="F539" s="57" t="str">
        <f aca="false">Flights!$K$21</f>
        <v>BC</v>
      </c>
      <c r="G539" s="57" t="s">
        <v>79</v>
      </c>
      <c r="H539" s="57" t="s">
        <v>356</v>
      </c>
      <c r="I539" s="57" t="s">
        <v>389</v>
      </c>
      <c r="J539" s="57" t="s">
        <v>390</v>
      </c>
      <c r="K539" s="67" t="s">
        <v>1185</v>
      </c>
      <c r="L539" s="67" t="s">
        <v>1149</v>
      </c>
      <c r="M539" s="67"/>
      <c r="N539" s="67" t="s">
        <v>361</v>
      </c>
      <c r="O539" s="67"/>
      <c r="P539" s="57" t="s">
        <v>279</v>
      </c>
      <c r="Q539" s="59" t="n">
        <f aca="false">ROUND((Flights!$AC$21)*1440,0)/1440</f>
        <v>46315.2847222222</v>
      </c>
      <c r="R539" s="59" t="n">
        <f aca="false">Q539+(IF(AND(INDEX(TZ_DSTS,MATCH(P539,TZ_STN,0))&lt;&gt;"",Q539&gt;=INDEX(TZ_DSTS,MATCH(P539,TZ_STN,0)),Q539&lt;INDEX(TZ_DSTE,MATCH(P539,TZ_STN,0))),INDEX(TZ_DST,MATCH(P539,TZ_STN,0)),INDEX(TZ_STD,MATCH(P539,TZ_STN,0))))/24</f>
        <v>46315.6180555556</v>
      </c>
      <c r="S539" s="59" t="n">
        <f aca="false">Q539-T7EarlyD*24/24</f>
        <v>46301.2847222222</v>
      </c>
      <c r="T539" s="60"/>
      <c r="U539" s="60"/>
      <c r="V539" s="60"/>
      <c r="W539" s="61"/>
      <c r="X539" s="60"/>
      <c r="Y539" s="60"/>
      <c r="Z539" s="60"/>
      <c r="AA539" s="60"/>
      <c r="AB539" s="60"/>
      <c r="AC539" s="60"/>
      <c r="AD539" s="66"/>
      <c r="AE539" s="60"/>
      <c r="AF539" s="61" t="str">
        <f aca="false">IF(AND(ISNUMBER(X539),ISNUMBER(Y539)),Y539-X539,"")</f>
        <v/>
      </c>
      <c r="AG539" s="62" t="str">
        <f aca="false">IF(ISNUMBER(AD539),AD539-(IF(AND(INDEX(TZ_DSTS,MATCH(P539,TZ_STN,0))&lt;&gt;"",(AD539-INDEX(TZ_STD,MATCH(P539,TZ_STN,0))/24)&gt;=INDEX(TZ_DSTS,MATCH(P539,TZ_STN,0)),(AD539-INDEX(TZ_STD,MATCH(P539,TZ_STN,0))/24)&lt;INDEX(TZ_DSTE,MATCH(P539,TZ_STN,0))),INDEX(TZ_DST,MATCH(P539,TZ_STN,0)),INDEX(TZ_STD,MATCH(P539,TZ_STN,0))))/24,"")</f>
        <v/>
      </c>
      <c r="AH539" s="65" t="str">
        <f aca="false">IFERROR(IF(N539="N/A – rule","N/A – RULE",IF(TRIM(U539)="N/A",IF(AT539=0,"INVALID – N/A not permitted for this check",IF(AND(TRIM(AB539)&lt;&gt;"",TRIM(AB539)&lt;&gt;"Closed"),"INVALID – corrective action still open",IF(AND(NOT(OR(LEN(AZ539)&lt;15,ISNUMBER(MATCH(AZ539,L_Placeholder,0)))),NOT(OR(LEN(AU539)&lt;2,ISNUMBER(MATCH(AU539,L_Placeholder,0)))),NOT(OR(LEN(AX539)&lt;2,ISNUMBER(MATCH(AX539,L_Placeholder,0)))),TRIM(AE539)&lt;&gt;TRIM(T539)),"N/A – JUSTIFIED","INVALID – N/A needs a real justification (15+ chars), PIC and a different verifier"))),IF(OR(TRIM(U539)="Pass",TRIM(U539)="Pass after CA"),IF(NOT(ISNUMBER(AD539)),"INVALID – completion time missing",IF(OR(LEN(AU539)&lt;2,ISNUMBER(MATCH(AU539,L_Placeholder,0))),"INVALID – PIC missing",IF(OR(LEN(AV539)&lt;2,ISNUMBER(MATCH(AV539,L_Placeholder,0))),"INVALID – result / assessment missing",IF(OR(OR(LEN(AW539)&lt;3,ISNUMBER(MATCH(AW539,L_Placeholder,0))),SUMPRODUCT(--ISNUMBER(SEARCH(L_EvidencePhrase,AW539)))&gt;0),"INVALID – evidence missing, placeholder or not yet on file",IF(OR(LEN(AX539)&lt;2,ISNUMBER(MATCH(AX539,L_Placeholder,0))),"INVALID – verifier missing",IF(AX539=AU539,"INVALID – verifier must be someone other than the PIC",IF(AND(TRIM(U539)="Pass",SUMPRODUCT(--ISNUMBER(SEARCH(L_ResultBad,AV539)))&gt;0),"INVALID – result describes a problem: use Fail, then Pass after CA",IF(AND(AQ539=1,OR(LEN(AY539)&lt;3,ISNUMBER(MATCH(AY539,L_Placeholder,0)))),"INVALID – batch ID missing or placeholder",IF(AND(AR539=1,OR(NOT(ISNUMBER(X539)),NOT(ISNUMBER(Y539)))),"INVALID – expected/actual qty missing",IF(AND(AR539=1,OR(X539&lt;=0,Y539&lt;0)),"INVALID – expected qty must be above 0 and actual not negative",IF(BB539&lt;&gt;"",BB539,IF(AND(AS539=1,Documents!$J$21&lt;&gt;"ON FILE"),"INVALID – GLD not on file (Documents sheet)",IF(AND(AS539=2,Documents!$O$21&lt;&gt;"ON FILE"),"INVALID – menu checklist not on file (Documents sheet)",IF(AND(AS539=3,NOT(ISNUMBER(Flights!$AX$21))),"INVALID – enter carrying flight KUL departure (Flights AX)",IF(AND(AS539=3,OR(Flights!$AZ$21&gt;Flights!$AA$21,Flights!$AX$21&lt;Flights!$AA$21-3)),"INVALID – carrying flight (Flights AX) cannot arrive before this leg's STD, or is over 3 days early",IF(AG539&gt;AsOfUTC,"INVALID – completion time is in the future",IF(AND(ISNUMBER(S539),AG539&lt;S539),IF(H539="Physical uplift","INVALID – before uplift window (cannot confirm loading)","INVALID – before valid window"),IF(AG539&gt;Flights!$AA$21,"INVALID – completed after departure (cannot establish readiness)",IF(AND(H539="Preparation",AG539&gt;IF(ISNUMBER(Flights!$BA$21),MIN(Flights!$BA$21,Flights!$AA$21),Flights!$AA$21)),"INVALID – completed after loading / departure (cannot establish readiness)",IF(AND(H539="Physical uplift",AG539&gt;Q539),"INVALID – recorded after the loading flight departed",IF(AG539&gt;Q539,"COMPLETE – LATE","COMPLETE"))))))))))))))))))))),IF(TRIM(U539)="Fail","FAIL – DISCREPANCY",IF(AND(TRIM(U539)&lt;&gt;"",TRIM(U539)&lt;&gt;"Not started",TRIM(U539)&lt;&gt;"In progress"),"INVALID – unrecognised status (use the list)",IF(AsOfUTC&gt;Q539,"OVERDUE",IF(N539="Clarification required","OPEN – CLARIFICATION","OPEN"))))))),"INVALID – error value in an input cell")</f>
        <v>OPEN</v>
      </c>
      <c r="AI539" s="61" t="n">
        <f aca="false">IF(OR(AH539="N/A – RULE",AH539="N/A – JUSTIFIED"),0,1)</f>
        <v>1</v>
      </c>
      <c r="AJ539" s="61" t="n">
        <f aca="false">IF(LEFT(AH539,8)="COMPLETE",1,0)</f>
        <v>0</v>
      </c>
      <c r="AK539" s="61" t="n">
        <f aca="false">IF(AND(AI539=1,AJ539=0,AsOfUTC&gt;Q539),1,0)</f>
        <v>0</v>
      </c>
      <c r="AL539" s="61" t="n">
        <f aca="false">IFERROR(IF(AND(AI539=1,OR(TRIM(U539)="Fail",AND(TRIM(AB539)&lt;&gt;"",TRIM(AB539)&lt;&gt;"Closed"),AND(ISNUMBER(AF539),AF539&lt;&gt;0,TRIM(U539)&lt;&gt;"Pass after CA"))),1,0),1)</f>
        <v>0</v>
      </c>
      <c r="AM539" s="61" t="n">
        <f aca="false">IF(LEFT(AH539,7)="INVALID",1,0)</f>
        <v>0</v>
      </c>
      <c r="AN539" s="61" t="n">
        <f aca="false">IF(AND(N539="Clarification required",AI539=1,AJ539=0),1,0)</f>
        <v>0</v>
      </c>
      <c r="AO539" s="61" t="str">
        <f aca="false">IF(AK539=1,SUM(AK$5:AK539),"")</f>
        <v/>
      </c>
      <c r="AP539" s="61" t="str">
        <f aca="false">IF(AL539=1,SUM(AL$5:AL539),"")</f>
        <v/>
      </c>
      <c r="AQ539" s="61" t="n">
        <v>0</v>
      </c>
      <c r="AR539" s="61" t="n">
        <v>0</v>
      </c>
      <c r="AS539" s="61" t="n">
        <v>0</v>
      </c>
      <c r="AT539" s="61" t="n">
        <v>0</v>
      </c>
      <c r="AU539" s="61" t="str">
        <f aca="false">SUBSTITUTE(SUBSTITUTE(SUBSTITUTE(SUBSTITUTE(SUBSTITUTE(SUBSTITUTE(SUBSTITUTE(SUBSTITUTE(SUBSTITUTE(SUBSTITUTE(SUBSTITUTE(SUBSTITUTE(SUBSTITUTE(LOWER(T539&amp;""),CHAR(160),"")," ",""),".",""),"-",""),"/",""),"?",""),"_",""),",",""),"[",""),"]",""),"(",""),")",""),"*","")</f>
        <v/>
      </c>
      <c r="AV539" s="61" t="str">
        <f aca="false">SUBSTITUTE(SUBSTITUTE(SUBSTITUTE(SUBSTITUTE(SUBSTITUTE(SUBSTITUTE(SUBSTITUTE(SUBSTITUTE(SUBSTITUTE(SUBSTITUTE(SUBSTITUTE(SUBSTITUTE(SUBSTITUTE(LOWER(V539&amp;""),CHAR(160),"")," ",""),".",""),"-",""),"/",""),"?",""),"_",""),",",""),"[",""),"]",""),"(",""),")",""),"*","")</f>
        <v/>
      </c>
      <c r="AW539" s="61" t="str">
        <f aca="false">SUBSTITUTE(SUBSTITUTE(SUBSTITUTE(SUBSTITUTE(SUBSTITUTE(SUBSTITUTE(SUBSTITUTE(SUBSTITUTE(SUBSTITUTE(SUBSTITUTE(SUBSTITUTE(SUBSTITUTE(SUBSTITUTE(LOWER(Z539&amp;""),CHAR(160),"")," ",""),".",""),"-",""),"/",""),"?",""),"_",""),",",""),"[",""),"]",""),"(",""),")",""),"*","")</f>
        <v/>
      </c>
      <c r="AX539" s="61" t="str">
        <f aca="false">SUBSTITUTE(SUBSTITUTE(SUBSTITUTE(SUBSTITUTE(SUBSTITUTE(SUBSTITUTE(SUBSTITUTE(SUBSTITUTE(SUBSTITUTE(SUBSTITUTE(SUBSTITUTE(SUBSTITUTE(SUBSTITUTE(LOWER(AE539&amp;""),CHAR(160),"")," ",""),".",""),"-",""),"/",""),"?",""),"_",""),",",""),"[",""),"]",""),"(",""),")",""),"*","")</f>
        <v/>
      </c>
      <c r="AY539" s="61" t="str">
        <f aca="false">SUBSTITUTE(SUBSTITUTE(SUBSTITUTE(SUBSTITUTE(SUBSTITUTE(SUBSTITUTE(SUBSTITUTE(SUBSTITUTE(SUBSTITUTE(SUBSTITUTE(SUBSTITUTE(SUBSTITUTE(SUBSTITUTE(LOWER(W539&amp;""),CHAR(160),"")," ",""),".",""),"-",""),"/",""),"?",""),"_",""),",",""),"[",""),"]",""),"(",""),")",""),"*","")</f>
        <v/>
      </c>
      <c r="AZ539" s="61" t="str">
        <f aca="false">SUBSTITUTE(SUBSTITUTE(SUBSTITUTE(SUBSTITUTE(SUBSTITUTE(SUBSTITUTE(SUBSTITUTE(SUBSTITUTE(SUBSTITUTE(SUBSTITUTE(SUBSTITUTE(SUBSTITUTE(SUBSTITUTE(LOWER(AC539&amp;""),CHAR(160),"")," ",""),".",""),"-",""),"/",""),"?",""),"_",""),",",""),"[",""),"]",""),"(",""),")",""),"*","")</f>
        <v/>
      </c>
      <c r="BA539" s="61" t="str">
        <f aca="false">SUBSTITUTE(SUBSTITUTE(SUBSTITUTE(SUBSTITUTE(SUBSTITUTE(SUBSTITUTE(SUBSTITUTE(SUBSTITUTE(SUBSTITUTE(SUBSTITUTE(SUBSTITUTE(SUBSTITUTE(SUBSTITUTE(LOWER(AA539&amp;""),CHAR(160),"")," ",""),".",""),"-",""),"/",""),"?",""),"_",""),",",""),"[",""),"]",""),"(",""),")",""),"*","")</f>
        <v/>
      </c>
      <c r="BB539" s="61" t="str">
        <f aca="false">IF(AND(TRIM(U539)="Pass",ISNUMBER(AF539)),IF(AF539&lt;&gt;0,"INVALID – qty variance: use Fail or Pass after CA",""),"")&amp;IF(AND(TRIM(U539)="Pass after CA",ISNUMBER(AF539)),IF(AF539&lt;&gt;0,"INVALID – after the corrective action the actual qty must equal expected (update Actual)",""),"")&amp;IF(AND(TRIM(U539)="Pass",TRIM(AB539)&lt;&gt;"",TRIM(AB539)&lt;&gt;"Closed"),"INVALID – corrective action not closed: use Fail, then Pass after CA","")&amp;IF(AND(TRIM(AA539)&lt;&gt;"",TRIM(AB539)=""),"INVALID – CA status missing for the recorded corrective action","")&amp;IF(AND(TRIM(U539)="Pass after CA",OR(OR(LEN(BA539)&lt;5,ISNUMBER(MATCH(BA539,L_Placeholder,0))),TRIM(AB539)&lt;&gt;"Closed")),"INVALID – corrective action not recorded/closed","")</f>
        <v/>
      </c>
    </row>
    <row r="540" customFormat="false" ht="91.5" hidden="false" customHeight="true" outlineLevel="0" collapsed="false">
      <c r="A540" s="57" t="s">
        <v>1186</v>
      </c>
      <c r="B540" s="57" t="s">
        <v>287</v>
      </c>
      <c r="C540" s="57" t="str">
        <f aca="false">Flights!$F$21</f>
        <v>MH0073</v>
      </c>
      <c r="D540" s="58" t="n">
        <f aca="false">Flights!$D$21</f>
        <v>46322</v>
      </c>
      <c r="E540" s="57" t="str">
        <f aca="false">Flights!$G$21&amp;"-"&amp;Flights!$H$21</f>
        <v>HKG-KUL</v>
      </c>
      <c r="F540" s="57" t="str">
        <f aca="false">Flights!$K$21</f>
        <v>BC</v>
      </c>
      <c r="G540" s="57" t="s">
        <v>79</v>
      </c>
      <c r="H540" s="57" t="s">
        <v>356</v>
      </c>
      <c r="I540" s="57" t="s">
        <v>389</v>
      </c>
      <c r="J540" s="57" t="s">
        <v>1187</v>
      </c>
      <c r="K540" s="67" t="s">
        <v>1188</v>
      </c>
      <c r="L540" s="67" t="s">
        <v>652</v>
      </c>
      <c r="M540" s="67"/>
      <c r="N540" s="67" t="s">
        <v>422</v>
      </c>
      <c r="O540" s="67" t="s">
        <v>1189</v>
      </c>
      <c r="P540" s="57" t="s">
        <v>184</v>
      </c>
      <c r="Q540" s="59" t="n">
        <f aca="false">ROUND((Flights!$AC$21)*1440,0)/1440</f>
        <v>46315.2847222222</v>
      </c>
      <c r="R540" s="59" t="n">
        <f aca="false">Q540+(IF(AND(INDEX(TZ_DSTS,MATCH(P540,TZ_STN,0))&lt;&gt;"",Q540&gt;=INDEX(TZ_DSTS,MATCH(P540,TZ_STN,0)),Q540&lt;INDEX(TZ_DSTE,MATCH(P540,TZ_STN,0))),INDEX(TZ_DST,MATCH(P540,TZ_STN,0)),INDEX(TZ_STD,MATCH(P540,TZ_STN,0))))/24</f>
        <v>46315.6180555556</v>
      </c>
      <c r="S540" s="59" t="n">
        <f aca="false">Q540-T7EarlyD*24/24</f>
        <v>46301.2847222222</v>
      </c>
      <c r="T540" s="60"/>
      <c r="U540" s="60"/>
      <c r="V540" s="60"/>
      <c r="W540" s="61"/>
      <c r="X540" s="60"/>
      <c r="Y540" s="60"/>
      <c r="Z540" s="60"/>
      <c r="AA540" s="60"/>
      <c r="AB540" s="60"/>
      <c r="AC540" s="60"/>
      <c r="AD540" s="66"/>
      <c r="AE540" s="60"/>
      <c r="AF540" s="61" t="str">
        <f aca="false">IF(AND(ISNUMBER(X540),ISNUMBER(Y540)),Y540-X540,"")</f>
        <v/>
      </c>
      <c r="AG540" s="62" t="str">
        <f aca="false">IF(ISNUMBER(AD540),AD540-(IF(AND(INDEX(TZ_DSTS,MATCH(P540,TZ_STN,0))&lt;&gt;"",(AD540-INDEX(TZ_STD,MATCH(P540,TZ_STN,0))/24)&gt;=INDEX(TZ_DSTS,MATCH(P540,TZ_STN,0)),(AD540-INDEX(TZ_STD,MATCH(P540,TZ_STN,0))/24)&lt;INDEX(TZ_DSTE,MATCH(P540,TZ_STN,0))),INDEX(TZ_DST,MATCH(P540,TZ_STN,0)),INDEX(TZ_STD,MATCH(P540,TZ_STN,0))))/24,"")</f>
        <v/>
      </c>
      <c r="AH540" s="65" t="str">
        <f aca="false">IFERROR(IF(N540="N/A – rule","N/A – RULE",IF(TRIM(U540)="N/A",IF(AT540=0,"INVALID – N/A not permitted for this check",IF(AND(TRIM(AB540)&lt;&gt;"",TRIM(AB540)&lt;&gt;"Closed"),"INVALID – corrective action still open",IF(AND(NOT(OR(LEN(AZ540)&lt;15,ISNUMBER(MATCH(AZ540,L_Placeholder,0)))),NOT(OR(LEN(AU540)&lt;2,ISNUMBER(MATCH(AU540,L_Placeholder,0)))),NOT(OR(LEN(AX540)&lt;2,ISNUMBER(MATCH(AX540,L_Placeholder,0)))),TRIM(AE540)&lt;&gt;TRIM(T540)),"N/A – JUSTIFIED","INVALID – N/A needs a real justification (15+ chars), PIC and a different verifier"))),IF(OR(TRIM(U540)="Pass",TRIM(U540)="Pass after CA"),IF(NOT(ISNUMBER(AD540)),"INVALID – completion time missing",IF(OR(LEN(AU540)&lt;2,ISNUMBER(MATCH(AU540,L_Placeholder,0))),"INVALID – PIC missing",IF(OR(LEN(AV540)&lt;2,ISNUMBER(MATCH(AV540,L_Placeholder,0))),"INVALID – result / assessment missing",IF(OR(OR(LEN(AW540)&lt;3,ISNUMBER(MATCH(AW540,L_Placeholder,0))),SUMPRODUCT(--ISNUMBER(SEARCH(L_EvidencePhrase,AW540)))&gt;0),"INVALID – evidence missing, placeholder or not yet on file",IF(OR(LEN(AX540)&lt;2,ISNUMBER(MATCH(AX540,L_Placeholder,0))),"INVALID – verifier missing",IF(AX540=AU540,"INVALID – verifier must be someone other than the PIC",IF(AND(TRIM(U540)="Pass",SUMPRODUCT(--ISNUMBER(SEARCH(L_ResultBad,AV540)))&gt;0),"INVALID – result describes a problem: use Fail, then Pass after CA",IF(AND(AQ540=1,OR(LEN(AY540)&lt;3,ISNUMBER(MATCH(AY540,L_Placeholder,0)))),"INVALID – batch ID missing or placeholder",IF(AND(AR540=1,OR(NOT(ISNUMBER(X540)),NOT(ISNUMBER(Y540)))),"INVALID – expected/actual qty missing",IF(AND(AR540=1,OR(X540&lt;=0,Y540&lt;0)),"INVALID – expected qty must be above 0 and actual not negative",IF(BB540&lt;&gt;"",BB540,IF(AND(AS540=1,Documents!$J$21&lt;&gt;"ON FILE"),"INVALID – GLD not on file (Documents sheet)",IF(AND(AS540=2,Documents!$O$21&lt;&gt;"ON FILE"),"INVALID – menu checklist not on file (Documents sheet)",IF(AND(AS540=3,NOT(ISNUMBER(Flights!$AX$21))),"INVALID – enter carrying flight KUL departure (Flights AX)",IF(AND(AS540=3,OR(Flights!$AZ$21&gt;Flights!$AA$21,Flights!$AX$21&lt;Flights!$AA$21-3)),"INVALID – carrying flight (Flights AX) cannot arrive before this leg's STD, or is over 3 days early",IF(AG540&gt;AsOfUTC,"INVALID – completion time is in the future",IF(AND(ISNUMBER(S540),AG540&lt;S540),IF(H540="Physical uplift","INVALID – before uplift window (cannot confirm loading)","INVALID – before valid window"),IF(AG540&gt;Flights!$AA$21,"INVALID – completed after departure (cannot establish readiness)",IF(AND(H540="Preparation",AG540&gt;IF(ISNUMBER(Flights!$BA$21),MIN(Flights!$BA$21,Flights!$AA$21),Flights!$AA$21)),"INVALID – completed after loading / departure (cannot establish readiness)",IF(AND(H540="Physical uplift",AG540&gt;Q540),"INVALID – recorded after the loading flight departed",IF(AG540&gt;Q540,"COMPLETE – LATE","COMPLETE"))))))))))))))))))))),IF(TRIM(U540)="Fail","FAIL – DISCREPANCY",IF(AND(TRIM(U540)&lt;&gt;"",TRIM(U540)&lt;&gt;"Not started",TRIM(U540)&lt;&gt;"In progress"),"INVALID – unrecognised status (use the list)",IF(AsOfUTC&gt;Q540,"OVERDUE",IF(N540="Clarification required","OPEN – CLARIFICATION","OPEN"))))))),"INVALID – error value in an input cell")</f>
        <v>OPEN – CLARIFICATION</v>
      </c>
      <c r="AI540" s="61" t="n">
        <f aca="false">IF(OR(AH540="N/A – RULE",AH540="N/A – JUSTIFIED"),0,1)</f>
        <v>1</v>
      </c>
      <c r="AJ540" s="61" t="n">
        <f aca="false">IF(LEFT(AH540,8)="COMPLETE",1,0)</f>
        <v>0</v>
      </c>
      <c r="AK540" s="61" t="n">
        <f aca="false">IF(AND(AI540=1,AJ540=0,AsOfUTC&gt;Q540),1,0)</f>
        <v>0</v>
      </c>
      <c r="AL540" s="61" t="n">
        <f aca="false">IFERROR(IF(AND(AI540=1,OR(TRIM(U540)="Fail",AND(TRIM(AB540)&lt;&gt;"",TRIM(AB540)&lt;&gt;"Closed"),AND(ISNUMBER(AF540),AF540&lt;&gt;0,TRIM(U540)&lt;&gt;"Pass after CA"))),1,0),1)</f>
        <v>0</v>
      </c>
      <c r="AM540" s="61" t="n">
        <f aca="false">IF(LEFT(AH540,7)="INVALID",1,0)</f>
        <v>0</v>
      </c>
      <c r="AN540" s="61" t="n">
        <f aca="false">IF(AND(N540="Clarification required",AI540=1,AJ540=0),1,0)</f>
        <v>1</v>
      </c>
      <c r="AO540" s="61" t="str">
        <f aca="false">IF(AK540=1,SUM(AK$5:AK540),"")</f>
        <v/>
      </c>
      <c r="AP540" s="61" t="str">
        <f aca="false">IF(AL540=1,SUM(AL$5:AL540),"")</f>
        <v/>
      </c>
      <c r="AQ540" s="61" t="n">
        <v>0</v>
      </c>
      <c r="AR540" s="61" t="n">
        <v>0</v>
      </c>
      <c r="AS540" s="61" t="n">
        <v>3</v>
      </c>
      <c r="AT540" s="61" t="n">
        <v>0</v>
      </c>
      <c r="AU540" s="61" t="str">
        <f aca="false">SUBSTITUTE(SUBSTITUTE(SUBSTITUTE(SUBSTITUTE(SUBSTITUTE(SUBSTITUTE(SUBSTITUTE(SUBSTITUTE(SUBSTITUTE(SUBSTITUTE(SUBSTITUTE(SUBSTITUTE(SUBSTITUTE(LOWER(T540&amp;""),CHAR(160),"")," ",""),".",""),"-",""),"/",""),"?",""),"_",""),",",""),"[",""),"]",""),"(",""),")",""),"*","")</f>
        <v/>
      </c>
      <c r="AV540" s="61" t="str">
        <f aca="false">SUBSTITUTE(SUBSTITUTE(SUBSTITUTE(SUBSTITUTE(SUBSTITUTE(SUBSTITUTE(SUBSTITUTE(SUBSTITUTE(SUBSTITUTE(SUBSTITUTE(SUBSTITUTE(SUBSTITUTE(SUBSTITUTE(LOWER(V540&amp;""),CHAR(160),"")," ",""),".",""),"-",""),"/",""),"?",""),"_",""),",",""),"[",""),"]",""),"(",""),")",""),"*","")</f>
        <v/>
      </c>
      <c r="AW540" s="61" t="str">
        <f aca="false">SUBSTITUTE(SUBSTITUTE(SUBSTITUTE(SUBSTITUTE(SUBSTITUTE(SUBSTITUTE(SUBSTITUTE(SUBSTITUTE(SUBSTITUTE(SUBSTITUTE(SUBSTITUTE(SUBSTITUTE(SUBSTITUTE(LOWER(Z540&amp;""),CHAR(160),"")," ",""),".",""),"-",""),"/",""),"?",""),"_",""),",",""),"[",""),"]",""),"(",""),")",""),"*","")</f>
        <v/>
      </c>
      <c r="AX540" s="61" t="str">
        <f aca="false">SUBSTITUTE(SUBSTITUTE(SUBSTITUTE(SUBSTITUTE(SUBSTITUTE(SUBSTITUTE(SUBSTITUTE(SUBSTITUTE(SUBSTITUTE(SUBSTITUTE(SUBSTITUTE(SUBSTITUTE(SUBSTITUTE(LOWER(AE540&amp;""),CHAR(160),"")," ",""),".",""),"-",""),"/",""),"?",""),"_",""),",",""),"[",""),"]",""),"(",""),")",""),"*","")</f>
        <v/>
      </c>
      <c r="AY540" s="61" t="str">
        <f aca="false">SUBSTITUTE(SUBSTITUTE(SUBSTITUTE(SUBSTITUTE(SUBSTITUTE(SUBSTITUTE(SUBSTITUTE(SUBSTITUTE(SUBSTITUTE(SUBSTITUTE(SUBSTITUTE(SUBSTITUTE(SUBSTITUTE(LOWER(W540&amp;""),CHAR(160),"")," ",""),".",""),"-",""),"/",""),"?",""),"_",""),",",""),"[",""),"]",""),"(",""),")",""),"*","")</f>
        <v/>
      </c>
      <c r="AZ540" s="61" t="str">
        <f aca="false">SUBSTITUTE(SUBSTITUTE(SUBSTITUTE(SUBSTITUTE(SUBSTITUTE(SUBSTITUTE(SUBSTITUTE(SUBSTITUTE(SUBSTITUTE(SUBSTITUTE(SUBSTITUTE(SUBSTITUTE(SUBSTITUTE(LOWER(AC540&amp;""),CHAR(160),"")," ",""),".",""),"-",""),"/",""),"?",""),"_",""),",",""),"[",""),"]",""),"(",""),")",""),"*","")</f>
        <v/>
      </c>
      <c r="BA540" s="61" t="str">
        <f aca="false">SUBSTITUTE(SUBSTITUTE(SUBSTITUTE(SUBSTITUTE(SUBSTITUTE(SUBSTITUTE(SUBSTITUTE(SUBSTITUTE(SUBSTITUTE(SUBSTITUTE(SUBSTITUTE(SUBSTITUTE(SUBSTITUTE(LOWER(AA540&amp;""),CHAR(160),"")," ",""),".",""),"-",""),"/",""),"?",""),"_",""),",",""),"[",""),"]",""),"(",""),")",""),"*","")</f>
        <v/>
      </c>
      <c r="BB540" s="61" t="str">
        <f aca="false">IF(AND(TRIM(U540)="Pass",ISNUMBER(AF540)),IF(AF540&lt;&gt;0,"INVALID – qty variance: use Fail or Pass after CA",""),"")&amp;IF(AND(TRIM(U540)="Pass after CA",ISNUMBER(AF540)),IF(AF540&lt;&gt;0,"INVALID – after the corrective action the actual qty must equal expected (update Actual)",""),"")&amp;IF(AND(TRIM(U540)="Pass",TRIM(AB540)&lt;&gt;"",TRIM(AB540)&lt;&gt;"Closed"),"INVALID – corrective action not closed: use Fail, then Pass after CA","")&amp;IF(AND(TRIM(AA540)&lt;&gt;"",TRIM(AB540)=""),"INVALID – CA status missing for the recorded corrective action","")&amp;IF(AND(TRIM(U540)="Pass after CA",OR(OR(LEN(BA540)&lt;5,ISNUMBER(MATCH(BA540,L_Placeholder,0))),TRIM(AB540)&lt;&gt;"Closed")),"INVALID – corrective action not recorded/closed","")</f>
        <v/>
      </c>
    </row>
    <row r="541" customFormat="false" ht="39.75" hidden="false" customHeight="true" outlineLevel="0" collapsed="false">
      <c r="A541" s="57" t="s">
        <v>1190</v>
      </c>
      <c r="B541" s="57" t="s">
        <v>287</v>
      </c>
      <c r="C541" s="57" t="str">
        <f aca="false">Flights!$F$21</f>
        <v>MH0073</v>
      </c>
      <c r="D541" s="58" t="n">
        <f aca="false">Flights!$D$21</f>
        <v>46322</v>
      </c>
      <c r="E541" s="57" t="str">
        <f aca="false">Flights!$G$21&amp;"-"&amp;Flights!$H$21</f>
        <v>HKG-KUL</v>
      </c>
      <c r="F541" s="57" t="str">
        <f aca="false">Flights!$K$21</f>
        <v>BC</v>
      </c>
      <c r="G541" s="57" t="s">
        <v>81</v>
      </c>
      <c r="H541" s="57" t="s">
        <v>356</v>
      </c>
      <c r="I541" s="57" t="s">
        <v>357</v>
      </c>
      <c r="J541" s="57" t="s">
        <v>394</v>
      </c>
      <c r="K541" s="67" t="s">
        <v>395</v>
      </c>
      <c r="L541" s="67" t="s">
        <v>396</v>
      </c>
      <c r="M541" s="67"/>
      <c r="N541" s="67" t="s">
        <v>361</v>
      </c>
      <c r="O541" s="67"/>
      <c r="P541" s="57" t="s">
        <v>279</v>
      </c>
      <c r="Q541" s="59" t="n">
        <f aca="false">ROUND((Flights!$AD$21)*1440,0)/1440</f>
        <v>46321.2847222222</v>
      </c>
      <c r="R541" s="59" t="n">
        <f aca="false">Q541+(IF(AND(INDEX(TZ_DSTS,MATCH(P541,TZ_STN,0))&lt;&gt;"",Q541&gt;=INDEX(TZ_DSTS,MATCH(P541,TZ_STN,0)),Q541&lt;INDEX(TZ_DSTE,MATCH(P541,TZ_STN,0))),INDEX(TZ_DST,MATCH(P541,TZ_STN,0)),INDEX(TZ_STD,MATCH(P541,TZ_STN,0))))/24</f>
        <v>46321.6180555556</v>
      </c>
      <c r="S541" s="59" t="n">
        <f aca="false">Q541-T24EarlyH/24</f>
        <v>46320.2847222222</v>
      </c>
      <c r="T541" s="60"/>
      <c r="U541" s="60"/>
      <c r="V541" s="60"/>
      <c r="W541" s="60"/>
      <c r="X541" s="60"/>
      <c r="Y541" s="60"/>
      <c r="Z541" s="60"/>
      <c r="AA541" s="60"/>
      <c r="AB541" s="60"/>
      <c r="AC541" s="60"/>
      <c r="AD541" s="66"/>
      <c r="AE541" s="60"/>
      <c r="AF541" s="61" t="str">
        <f aca="false">IF(AND(ISNUMBER(X541),ISNUMBER(Y541)),Y541-X541,"")</f>
        <v/>
      </c>
      <c r="AG541" s="62" t="str">
        <f aca="false">IF(ISNUMBER(AD541),AD541-(IF(AND(INDEX(TZ_DSTS,MATCH(P541,TZ_STN,0))&lt;&gt;"",(AD541-INDEX(TZ_STD,MATCH(P541,TZ_STN,0))/24)&gt;=INDEX(TZ_DSTS,MATCH(P541,TZ_STN,0)),(AD541-INDEX(TZ_STD,MATCH(P541,TZ_STN,0))/24)&lt;INDEX(TZ_DSTE,MATCH(P541,TZ_STN,0))),INDEX(TZ_DST,MATCH(P541,TZ_STN,0)),INDEX(TZ_STD,MATCH(P541,TZ_STN,0))))/24,"")</f>
        <v/>
      </c>
      <c r="AH541" s="65" t="str">
        <f aca="false">IFERROR(IF(N541="N/A – rule","N/A – RULE",IF(TRIM(U541)="N/A",IF(AT541=0,"INVALID – N/A not permitted for this check",IF(AND(TRIM(AB541)&lt;&gt;"",TRIM(AB541)&lt;&gt;"Closed"),"INVALID – corrective action still open",IF(AND(NOT(OR(LEN(AZ541)&lt;15,ISNUMBER(MATCH(AZ541,L_Placeholder,0)))),NOT(OR(LEN(AU541)&lt;2,ISNUMBER(MATCH(AU541,L_Placeholder,0)))),NOT(OR(LEN(AX541)&lt;2,ISNUMBER(MATCH(AX541,L_Placeholder,0)))),TRIM(AE541)&lt;&gt;TRIM(T541)),"N/A – JUSTIFIED","INVALID – N/A needs a real justification (15+ chars), PIC and a different verifier"))),IF(OR(TRIM(U541)="Pass",TRIM(U541)="Pass after CA"),IF(NOT(ISNUMBER(AD541)),"INVALID – completion time missing",IF(OR(LEN(AU541)&lt;2,ISNUMBER(MATCH(AU541,L_Placeholder,0))),"INVALID – PIC missing",IF(OR(LEN(AV541)&lt;2,ISNUMBER(MATCH(AV541,L_Placeholder,0))),"INVALID – result / assessment missing",IF(OR(OR(LEN(AW541)&lt;3,ISNUMBER(MATCH(AW541,L_Placeholder,0))),SUMPRODUCT(--ISNUMBER(SEARCH(L_EvidencePhrase,AW541)))&gt;0),"INVALID – evidence missing, placeholder or not yet on file",IF(OR(LEN(AX541)&lt;2,ISNUMBER(MATCH(AX541,L_Placeholder,0))),"INVALID – verifier missing",IF(AX541=AU541,"INVALID – verifier must be someone other than the PIC",IF(AND(TRIM(U541)="Pass",SUMPRODUCT(--ISNUMBER(SEARCH(L_ResultBad,AV541)))&gt;0),"INVALID – result describes a problem: use Fail, then Pass after CA",IF(AND(AQ541=1,OR(LEN(AY541)&lt;3,ISNUMBER(MATCH(AY541,L_Placeholder,0)))),"INVALID – batch ID missing or placeholder",IF(AND(AR541=1,OR(NOT(ISNUMBER(X541)),NOT(ISNUMBER(Y541)))),"INVALID – expected/actual qty missing",IF(AND(AR541=1,OR(X541&lt;=0,Y541&lt;0)),"INVALID – expected qty must be above 0 and actual not negative",IF(BB541&lt;&gt;"",BB541,IF(AND(AS541=1,Documents!$J$21&lt;&gt;"ON FILE"),"INVALID – GLD not on file (Documents sheet)",IF(AND(AS541=2,Documents!$O$21&lt;&gt;"ON FILE"),"INVALID – menu checklist not on file (Documents sheet)",IF(AND(AS541=3,NOT(ISNUMBER(Flights!$AX$21))),"INVALID – enter carrying flight KUL departure (Flights AX)",IF(AND(AS541=3,OR(Flights!$AZ$21&gt;Flights!$AA$21,Flights!$AX$21&lt;Flights!$AA$21-3)),"INVALID – carrying flight (Flights AX) cannot arrive before this leg's STD, or is over 3 days early",IF(AG541&gt;AsOfUTC,"INVALID – completion time is in the future",IF(AND(ISNUMBER(S541),AG541&lt;S541),IF(H541="Physical uplift","INVALID – before uplift window (cannot confirm loading)","INVALID – before valid window"),IF(AG541&gt;Flights!$AA$21,"INVALID – completed after departure (cannot establish readiness)",IF(AND(H541="Preparation",AG541&gt;IF(ISNUMBER(Flights!$BA$21),MIN(Flights!$BA$21,Flights!$AA$21),Flights!$AA$21)),"INVALID – completed after loading / departure (cannot establish readiness)",IF(AND(H541="Physical uplift",AG541&gt;Q541),"INVALID – recorded after the loading flight departed",IF(AG541&gt;Q541,"COMPLETE – LATE","COMPLETE"))))))))))))))))))))),IF(TRIM(U541)="Fail","FAIL – DISCREPANCY",IF(AND(TRIM(U541)&lt;&gt;"",TRIM(U541)&lt;&gt;"Not started",TRIM(U541)&lt;&gt;"In progress"),"INVALID – unrecognised status (use the list)",IF(AsOfUTC&gt;Q541,"OVERDUE",IF(N541="Clarification required","OPEN – CLARIFICATION","OPEN"))))))),"INVALID – error value in an input cell")</f>
        <v>OPEN</v>
      </c>
      <c r="AI541" s="61" t="n">
        <f aca="false">IF(OR(AH541="N/A – RULE",AH541="N/A – JUSTIFIED"),0,1)</f>
        <v>1</v>
      </c>
      <c r="AJ541" s="61" t="n">
        <f aca="false">IF(LEFT(AH541,8)="COMPLETE",1,0)</f>
        <v>0</v>
      </c>
      <c r="AK541" s="61" t="n">
        <f aca="false">IF(AND(AI541=1,AJ541=0,AsOfUTC&gt;Q541),1,0)</f>
        <v>0</v>
      </c>
      <c r="AL541" s="61" t="n">
        <f aca="false">IFERROR(IF(AND(AI541=1,OR(TRIM(U541)="Fail",AND(TRIM(AB541)&lt;&gt;"",TRIM(AB541)&lt;&gt;"Closed"),AND(ISNUMBER(AF541),AF541&lt;&gt;0,TRIM(U541)&lt;&gt;"Pass after CA"))),1,0),1)</f>
        <v>0</v>
      </c>
      <c r="AM541" s="61" t="n">
        <f aca="false">IF(LEFT(AH541,7)="INVALID",1,0)</f>
        <v>0</v>
      </c>
      <c r="AN541" s="61" t="n">
        <f aca="false">IF(AND(N541="Clarification required",AI541=1,AJ541=0),1,0)</f>
        <v>0</v>
      </c>
      <c r="AO541" s="61" t="str">
        <f aca="false">IF(AK541=1,SUM(AK$5:AK541),"")</f>
        <v/>
      </c>
      <c r="AP541" s="61" t="str">
        <f aca="false">IF(AL541=1,SUM(AL$5:AL541),"")</f>
        <v/>
      </c>
      <c r="AQ541" s="61" t="n">
        <v>1</v>
      </c>
      <c r="AR541" s="61" t="n">
        <v>0</v>
      </c>
      <c r="AS541" s="61" t="n">
        <v>0</v>
      </c>
      <c r="AT541" s="61" t="n">
        <v>0</v>
      </c>
      <c r="AU541" s="61" t="str">
        <f aca="false">SUBSTITUTE(SUBSTITUTE(SUBSTITUTE(SUBSTITUTE(SUBSTITUTE(SUBSTITUTE(SUBSTITUTE(SUBSTITUTE(SUBSTITUTE(SUBSTITUTE(SUBSTITUTE(SUBSTITUTE(SUBSTITUTE(LOWER(T541&amp;""),CHAR(160),"")," ",""),".",""),"-",""),"/",""),"?",""),"_",""),",",""),"[",""),"]",""),"(",""),")",""),"*","")</f>
        <v/>
      </c>
      <c r="AV541" s="61" t="str">
        <f aca="false">SUBSTITUTE(SUBSTITUTE(SUBSTITUTE(SUBSTITUTE(SUBSTITUTE(SUBSTITUTE(SUBSTITUTE(SUBSTITUTE(SUBSTITUTE(SUBSTITUTE(SUBSTITUTE(SUBSTITUTE(SUBSTITUTE(LOWER(V541&amp;""),CHAR(160),"")," ",""),".",""),"-",""),"/",""),"?",""),"_",""),",",""),"[",""),"]",""),"(",""),")",""),"*","")</f>
        <v/>
      </c>
      <c r="AW541" s="61" t="str">
        <f aca="false">SUBSTITUTE(SUBSTITUTE(SUBSTITUTE(SUBSTITUTE(SUBSTITUTE(SUBSTITUTE(SUBSTITUTE(SUBSTITUTE(SUBSTITUTE(SUBSTITUTE(SUBSTITUTE(SUBSTITUTE(SUBSTITUTE(LOWER(Z541&amp;""),CHAR(160),"")," ",""),".",""),"-",""),"/",""),"?",""),"_",""),",",""),"[",""),"]",""),"(",""),")",""),"*","")</f>
        <v/>
      </c>
      <c r="AX541" s="61" t="str">
        <f aca="false">SUBSTITUTE(SUBSTITUTE(SUBSTITUTE(SUBSTITUTE(SUBSTITUTE(SUBSTITUTE(SUBSTITUTE(SUBSTITUTE(SUBSTITUTE(SUBSTITUTE(SUBSTITUTE(SUBSTITUTE(SUBSTITUTE(LOWER(AE541&amp;""),CHAR(160),"")," ",""),".",""),"-",""),"/",""),"?",""),"_",""),",",""),"[",""),"]",""),"(",""),")",""),"*","")</f>
        <v/>
      </c>
      <c r="AY541" s="61" t="str">
        <f aca="false">SUBSTITUTE(SUBSTITUTE(SUBSTITUTE(SUBSTITUTE(SUBSTITUTE(SUBSTITUTE(SUBSTITUTE(SUBSTITUTE(SUBSTITUTE(SUBSTITUTE(SUBSTITUTE(SUBSTITUTE(SUBSTITUTE(LOWER(W541&amp;""),CHAR(160),"")," ",""),".",""),"-",""),"/",""),"?",""),"_",""),",",""),"[",""),"]",""),"(",""),")",""),"*","")</f>
        <v/>
      </c>
      <c r="AZ541" s="61" t="str">
        <f aca="false">SUBSTITUTE(SUBSTITUTE(SUBSTITUTE(SUBSTITUTE(SUBSTITUTE(SUBSTITUTE(SUBSTITUTE(SUBSTITUTE(SUBSTITUTE(SUBSTITUTE(SUBSTITUTE(SUBSTITUTE(SUBSTITUTE(LOWER(AC541&amp;""),CHAR(160),"")," ",""),".",""),"-",""),"/",""),"?",""),"_",""),",",""),"[",""),"]",""),"(",""),")",""),"*","")</f>
        <v/>
      </c>
      <c r="BA541" s="61" t="str">
        <f aca="false">SUBSTITUTE(SUBSTITUTE(SUBSTITUTE(SUBSTITUTE(SUBSTITUTE(SUBSTITUTE(SUBSTITUTE(SUBSTITUTE(SUBSTITUTE(SUBSTITUTE(SUBSTITUTE(SUBSTITUTE(SUBSTITUTE(LOWER(AA541&amp;""),CHAR(160),"")," ",""),".",""),"-",""),"/",""),"?",""),"_",""),",",""),"[",""),"]",""),"(",""),")",""),"*","")</f>
        <v/>
      </c>
      <c r="BB541" s="61" t="str">
        <f aca="false">IF(AND(TRIM(U541)="Pass",ISNUMBER(AF541)),IF(AF541&lt;&gt;0,"INVALID – qty variance: use Fail or Pass after CA",""),"")&amp;IF(AND(TRIM(U541)="Pass after CA",ISNUMBER(AF541)),IF(AF541&lt;&gt;0,"INVALID – after the corrective action the actual qty must equal expected (update Actual)",""),"")&amp;IF(AND(TRIM(U541)="Pass",TRIM(AB541)&lt;&gt;"",TRIM(AB541)&lt;&gt;"Closed"),"INVALID – corrective action not closed: use Fail, then Pass after CA","")&amp;IF(AND(TRIM(AA541)&lt;&gt;"",TRIM(AB541)=""),"INVALID – CA status missing for the recorded corrective action","")&amp;IF(AND(TRIM(U541)="Pass after CA",OR(OR(LEN(BA541)&lt;5,ISNUMBER(MATCH(BA541,L_Placeholder,0))),TRIM(AB541)&lt;&gt;"Closed")),"INVALID – corrective action not recorded/closed","")</f>
        <v/>
      </c>
    </row>
    <row r="542" customFormat="false" ht="39.75" hidden="false" customHeight="true" outlineLevel="0" collapsed="false">
      <c r="A542" s="57" t="s">
        <v>1191</v>
      </c>
      <c r="B542" s="57" t="s">
        <v>287</v>
      </c>
      <c r="C542" s="57" t="str">
        <f aca="false">Flights!$F$21</f>
        <v>MH0073</v>
      </c>
      <c r="D542" s="58" t="n">
        <f aca="false">Flights!$D$21</f>
        <v>46322</v>
      </c>
      <c r="E542" s="57" t="str">
        <f aca="false">Flights!$G$21&amp;"-"&amp;Flights!$H$21</f>
        <v>HKG-KUL</v>
      </c>
      <c r="F542" s="57" t="str">
        <f aca="false">Flights!$K$21</f>
        <v>BC</v>
      </c>
      <c r="G542" s="57" t="s">
        <v>398</v>
      </c>
      <c r="H542" s="57" t="s">
        <v>356</v>
      </c>
      <c r="I542" s="57" t="s">
        <v>357</v>
      </c>
      <c r="J542" s="57" t="s">
        <v>399</v>
      </c>
      <c r="K542" s="67"/>
      <c r="L542" s="67" t="s">
        <v>400</v>
      </c>
      <c r="M542" s="67"/>
      <c r="N542" s="67" t="s">
        <v>361</v>
      </c>
      <c r="O542" s="67" t="s">
        <v>401</v>
      </c>
      <c r="P542" s="57" t="s">
        <v>279</v>
      </c>
      <c r="Q542" s="59" t="n">
        <f aca="false">ROUND((Flights!$AE$21)*1440,0)/1440</f>
        <v>46321.7847222222</v>
      </c>
      <c r="R542" s="59" t="n">
        <f aca="false">Q542+(IF(AND(INDEX(TZ_DSTS,MATCH(P542,TZ_STN,0))&lt;&gt;"",Q542&gt;=INDEX(TZ_DSTS,MATCH(P542,TZ_STN,0)),Q542&lt;INDEX(TZ_DSTE,MATCH(P542,TZ_STN,0))),INDEX(TZ_DST,MATCH(P542,TZ_STN,0)),INDEX(TZ_STD,MATCH(P542,TZ_STN,0))))/24</f>
        <v>46322.1180555556</v>
      </c>
      <c r="S542" s="59" t="n">
        <f aca="false">Q542-T12EarlyH/24</f>
        <v>46321.2847222222</v>
      </c>
      <c r="T542" s="60"/>
      <c r="U542" s="60"/>
      <c r="V542" s="60"/>
      <c r="W542" s="61"/>
      <c r="X542" s="60"/>
      <c r="Y542" s="60"/>
      <c r="Z542" s="60"/>
      <c r="AA542" s="60"/>
      <c r="AB542" s="60"/>
      <c r="AC542" s="60"/>
      <c r="AD542" s="66"/>
      <c r="AE542" s="60"/>
      <c r="AF542" s="61" t="str">
        <f aca="false">IF(AND(ISNUMBER(X542),ISNUMBER(Y542)),Y542-X542,"")</f>
        <v/>
      </c>
      <c r="AG542" s="62" t="str">
        <f aca="false">IF(ISNUMBER(AD542),AD542-(IF(AND(INDEX(TZ_DSTS,MATCH(P542,TZ_STN,0))&lt;&gt;"",(AD542-INDEX(TZ_STD,MATCH(P542,TZ_STN,0))/24)&gt;=INDEX(TZ_DSTS,MATCH(P542,TZ_STN,0)),(AD542-INDEX(TZ_STD,MATCH(P542,TZ_STN,0))/24)&lt;INDEX(TZ_DSTE,MATCH(P542,TZ_STN,0))),INDEX(TZ_DST,MATCH(P542,TZ_STN,0)),INDEX(TZ_STD,MATCH(P542,TZ_STN,0))))/24,"")</f>
        <v/>
      </c>
      <c r="AH542" s="65" t="str">
        <f aca="false">IFERROR(IF(N542="N/A – rule","N/A – RULE",IF(TRIM(U542)="N/A",IF(AT542=0,"INVALID – N/A not permitted for this check",IF(AND(TRIM(AB542)&lt;&gt;"",TRIM(AB542)&lt;&gt;"Closed"),"INVALID – corrective action still open",IF(AND(NOT(OR(LEN(AZ542)&lt;15,ISNUMBER(MATCH(AZ542,L_Placeholder,0)))),NOT(OR(LEN(AU542)&lt;2,ISNUMBER(MATCH(AU542,L_Placeholder,0)))),NOT(OR(LEN(AX542)&lt;2,ISNUMBER(MATCH(AX542,L_Placeholder,0)))),TRIM(AE542)&lt;&gt;TRIM(T542)),"N/A – JUSTIFIED","INVALID – N/A needs a real justification (15+ chars), PIC and a different verifier"))),IF(OR(TRIM(U542)="Pass",TRIM(U542)="Pass after CA"),IF(NOT(ISNUMBER(AD542)),"INVALID – completion time missing",IF(OR(LEN(AU542)&lt;2,ISNUMBER(MATCH(AU542,L_Placeholder,0))),"INVALID – PIC missing",IF(OR(LEN(AV542)&lt;2,ISNUMBER(MATCH(AV542,L_Placeholder,0))),"INVALID – result / assessment missing",IF(OR(OR(LEN(AW542)&lt;3,ISNUMBER(MATCH(AW542,L_Placeholder,0))),SUMPRODUCT(--ISNUMBER(SEARCH(L_EvidencePhrase,AW542)))&gt;0),"INVALID – evidence missing, placeholder or not yet on file",IF(OR(LEN(AX542)&lt;2,ISNUMBER(MATCH(AX542,L_Placeholder,0))),"INVALID – verifier missing",IF(AX542=AU542,"INVALID – verifier must be someone other than the PIC",IF(AND(TRIM(U542)="Pass",SUMPRODUCT(--ISNUMBER(SEARCH(L_ResultBad,AV542)))&gt;0),"INVALID – result describes a problem: use Fail, then Pass after CA",IF(AND(AQ542=1,OR(LEN(AY542)&lt;3,ISNUMBER(MATCH(AY542,L_Placeholder,0)))),"INVALID – batch ID missing or placeholder",IF(AND(AR542=1,OR(NOT(ISNUMBER(X542)),NOT(ISNUMBER(Y542)))),"INVALID – expected/actual qty missing",IF(AND(AR542=1,OR(X542&lt;=0,Y542&lt;0)),"INVALID – expected qty must be above 0 and actual not negative",IF(BB542&lt;&gt;"",BB542,IF(AND(AS542=1,Documents!$J$21&lt;&gt;"ON FILE"),"INVALID – GLD not on file (Documents sheet)",IF(AND(AS542=2,Documents!$O$21&lt;&gt;"ON FILE"),"INVALID – menu checklist not on file (Documents sheet)",IF(AND(AS542=3,NOT(ISNUMBER(Flights!$AX$21))),"INVALID – enter carrying flight KUL departure (Flights AX)",IF(AND(AS542=3,OR(Flights!$AZ$21&gt;Flights!$AA$21,Flights!$AX$21&lt;Flights!$AA$21-3)),"INVALID – carrying flight (Flights AX) cannot arrive before this leg's STD, or is over 3 days early",IF(AG542&gt;AsOfUTC,"INVALID – completion time is in the future",IF(AND(ISNUMBER(S542),AG542&lt;S542),IF(H542="Physical uplift","INVALID – before uplift window (cannot confirm loading)","INVALID – before valid window"),IF(AG542&gt;Flights!$AA$21,"INVALID – completed after departure (cannot establish readiness)",IF(AND(H542="Preparation",AG542&gt;IF(ISNUMBER(Flights!$BA$21),MIN(Flights!$BA$21,Flights!$AA$21),Flights!$AA$21)),"INVALID – completed after loading / departure (cannot establish readiness)",IF(AND(H542="Physical uplift",AG542&gt;Q542),"INVALID – recorded after the loading flight departed",IF(AG542&gt;Q542,"COMPLETE – LATE","COMPLETE"))))))))))))))))))))),IF(TRIM(U542)="Fail","FAIL – DISCREPANCY",IF(AND(TRIM(U542)&lt;&gt;"",TRIM(U542)&lt;&gt;"Not started",TRIM(U542)&lt;&gt;"In progress"),"INVALID – unrecognised status (use the list)",IF(AsOfUTC&gt;Q542,"OVERDUE",IF(N542="Clarification required","OPEN – CLARIFICATION","OPEN"))))))),"INVALID – error value in an input cell")</f>
        <v>OPEN</v>
      </c>
      <c r="AI542" s="61" t="n">
        <f aca="false">IF(OR(AH542="N/A – RULE",AH542="N/A – JUSTIFIED"),0,1)</f>
        <v>1</v>
      </c>
      <c r="AJ542" s="61" t="n">
        <f aca="false">IF(LEFT(AH542,8)="COMPLETE",1,0)</f>
        <v>0</v>
      </c>
      <c r="AK542" s="61" t="n">
        <f aca="false">IF(AND(AI542=1,AJ542=0,AsOfUTC&gt;Q542),1,0)</f>
        <v>0</v>
      </c>
      <c r="AL542" s="61" t="n">
        <f aca="false">IFERROR(IF(AND(AI542=1,OR(TRIM(U542)="Fail",AND(TRIM(AB542)&lt;&gt;"",TRIM(AB542)&lt;&gt;"Closed"),AND(ISNUMBER(AF542),AF542&lt;&gt;0,TRIM(U542)&lt;&gt;"Pass after CA"))),1,0),1)</f>
        <v>0</v>
      </c>
      <c r="AM542" s="61" t="n">
        <f aca="false">IF(LEFT(AH542,7)="INVALID",1,0)</f>
        <v>0</v>
      </c>
      <c r="AN542" s="61" t="n">
        <f aca="false">IF(AND(N542="Clarification required",AI542=1,AJ542=0),1,0)</f>
        <v>0</v>
      </c>
      <c r="AO542" s="61" t="str">
        <f aca="false">IF(AK542=1,SUM(AK$5:AK542),"")</f>
        <v/>
      </c>
      <c r="AP542" s="61" t="str">
        <f aca="false">IF(AL542=1,SUM(AL$5:AL542),"")</f>
        <v/>
      </c>
      <c r="AQ542" s="61" t="n">
        <v>0</v>
      </c>
      <c r="AR542" s="61" t="n">
        <v>0</v>
      </c>
      <c r="AS542" s="61" t="n">
        <v>0</v>
      </c>
      <c r="AT542" s="61" t="n">
        <v>0</v>
      </c>
      <c r="AU542" s="61" t="str">
        <f aca="false">SUBSTITUTE(SUBSTITUTE(SUBSTITUTE(SUBSTITUTE(SUBSTITUTE(SUBSTITUTE(SUBSTITUTE(SUBSTITUTE(SUBSTITUTE(SUBSTITUTE(SUBSTITUTE(SUBSTITUTE(SUBSTITUTE(LOWER(T542&amp;""),CHAR(160),"")," ",""),".",""),"-",""),"/",""),"?",""),"_",""),",",""),"[",""),"]",""),"(",""),")",""),"*","")</f>
        <v/>
      </c>
      <c r="AV542" s="61" t="str">
        <f aca="false">SUBSTITUTE(SUBSTITUTE(SUBSTITUTE(SUBSTITUTE(SUBSTITUTE(SUBSTITUTE(SUBSTITUTE(SUBSTITUTE(SUBSTITUTE(SUBSTITUTE(SUBSTITUTE(SUBSTITUTE(SUBSTITUTE(LOWER(V542&amp;""),CHAR(160),"")," ",""),".",""),"-",""),"/",""),"?",""),"_",""),",",""),"[",""),"]",""),"(",""),")",""),"*","")</f>
        <v/>
      </c>
      <c r="AW542" s="61" t="str">
        <f aca="false">SUBSTITUTE(SUBSTITUTE(SUBSTITUTE(SUBSTITUTE(SUBSTITUTE(SUBSTITUTE(SUBSTITUTE(SUBSTITUTE(SUBSTITUTE(SUBSTITUTE(SUBSTITUTE(SUBSTITUTE(SUBSTITUTE(LOWER(Z542&amp;""),CHAR(160),"")," ",""),".",""),"-",""),"/",""),"?",""),"_",""),",",""),"[",""),"]",""),"(",""),")",""),"*","")</f>
        <v/>
      </c>
      <c r="AX542" s="61" t="str">
        <f aca="false">SUBSTITUTE(SUBSTITUTE(SUBSTITUTE(SUBSTITUTE(SUBSTITUTE(SUBSTITUTE(SUBSTITUTE(SUBSTITUTE(SUBSTITUTE(SUBSTITUTE(SUBSTITUTE(SUBSTITUTE(SUBSTITUTE(LOWER(AE542&amp;""),CHAR(160),"")," ",""),".",""),"-",""),"/",""),"?",""),"_",""),",",""),"[",""),"]",""),"(",""),")",""),"*","")</f>
        <v/>
      </c>
      <c r="AY542" s="61" t="str">
        <f aca="false">SUBSTITUTE(SUBSTITUTE(SUBSTITUTE(SUBSTITUTE(SUBSTITUTE(SUBSTITUTE(SUBSTITUTE(SUBSTITUTE(SUBSTITUTE(SUBSTITUTE(SUBSTITUTE(SUBSTITUTE(SUBSTITUTE(LOWER(W542&amp;""),CHAR(160),"")," ",""),".",""),"-",""),"/",""),"?",""),"_",""),",",""),"[",""),"]",""),"(",""),")",""),"*","")</f>
        <v/>
      </c>
      <c r="AZ542" s="61" t="str">
        <f aca="false">SUBSTITUTE(SUBSTITUTE(SUBSTITUTE(SUBSTITUTE(SUBSTITUTE(SUBSTITUTE(SUBSTITUTE(SUBSTITUTE(SUBSTITUTE(SUBSTITUTE(SUBSTITUTE(SUBSTITUTE(SUBSTITUTE(LOWER(AC542&amp;""),CHAR(160),"")," ",""),".",""),"-",""),"/",""),"?",""),"_",""),",",""),"[",""),"]",""),"(",""),")",""),"*","")</f>
        <v/>
      </c>
      <c r="BA542" s="61" t="str">
        <f aca="false">SUBSTITUTE(SUBSTITUTE(SUBSTITUTE(SUBSTITUTE(SUBSTITUTE(SUBSTITUTE(SUBSTITUTE(SUBSTITUTE(SUBSTITUTE(SUBSTITUTE(SUBSTITUTE(SUBSTITUTE(SUBSTITUTE(LOWER(AA542&amp;""),CHAR(160),"")," ",""),".",""),"-",""),"/",""),"?",""),"_",""),",",""),"[",""),"]",""),"(",""),")",""),"*","")</f>
        <v/>
      </c>
      <c r="BB542" s="61" t="str">
        <f aca="false">IF(AND(TRIM(U542)="Pass",ISNUMBER(AF542)),IF(AF542&lt;&gt;0,"INVALID – qty variance: use Fail or Pass after CA",""),"")&amp;IF(AND(TRIM(U542)="Pass after CA",ISNUMBER(AF542)),IF(AF542&lt;&gt;0,"INVALID – after the corrective action the actual qty must equal expected (update Actual)",""),"")&amp;IF(AND(TRIM(U542)="Pass",TRIM(AB542)&lt;&gt;"",TRIM(AB542)&lt;&gt;"Closed"),"INVALID – corrective action not closed: use Fail, then Pass after CA","")&amp;IF(AND(TRIM(AA542)&lt;&gt;"",TRIM(AB542)=""),"INVALID – CA status missing for the recorded corrective action","")&amp;IF(AND(TRIM(U542)="Pass after CA",OR(OR(LEN(BA542)&lt;5,ISNUMBER(MATCH(BA542,L_Placeholder,0))),TRIM(AB542)&lt;&gt;"Closed")),"INVALID – corrective action not recorded/closed","")</f>
        <v/>
      </c>
    </row>
    <row r="543" customFormat="false" ht="39.75" hidden="false" customHeight="true" outlineLevel="0" collapsed="false">
      <c r="A543" s="57" t="s">
        <v>1192</v>
      </c>
      <c r="B543" s="57" t="s">
        <v>287</v>
      </c>
      <c r="C543" s="57" t="str">
        <f aca="false">Flights!$F$21</f>
        <v>MH0073</v>
      </c>
      <c r="D543" s="58" t="n">
        <f aca="false">Flights!$D$21</f>
        <v>46322</v>
      </c>
      <c r="E543" s="57" t="str">
        <f aca="false">Flights!$G$21&amp;"-"&amp;Flights!$H$21</f>
        <v>HKG-KUL</v>
      </c>
      <c r="F543" s="57" t="str">
        <f aca="false">Flights!$K$21</f>
        <v>BC</v>
      </c>
      <c r="G543" s="57" t="s">
        <v>398</v>
      </c>
      <c r="H543" s="57" t="s">
        <v>356</v>
      </c>
      <c r="I543" s="57" t="s">
        <v>357</v>
      </c>
      <c r="J543" s="57" t="s">
        <v>403</v>
      </c>
      <c r="K543" s="67" t="s">
        <v>404</v>
      </c>
      <c r="L543" s="67" t="s">
        <v>400</v>
      </c>
      <c r="M543" s="67"/>
      <c r="N543" s="67" t="s">
        <v>361</v>
      </c>
      <c r="O543" s="67" t="s">
        <v>401</v>
      </c>
      <c r="P543" s="57" t="s">
        <v>279</v>
      </c>
      <c r="Q543" s="59" t="n">
        <f aca="false">ROUND((Flights!$AE$21)*1440,0)/1440</f>
        <v>46321.7847222222</v>
      </c>
      <c r="R543" s="59" t="n">
        <f aca="false">Q543+(IF(AND(INDEX(TZ_DSTS,MATCH(P543,TZ_STN,0))&lt;&gt;"",Q543&gt;=INDEX(TZ_DSTS,MATCH(P543,TZ_STN,0)),Q543&lt;INDEX(TZ_DSTE,MATCH(P543,TZ_STN,0))),INDEX(TZ_DST,MATCH(P543,TZ_STN,0)),INDEX(TZ_STD,MATCH(P543,TZ_STN,0))))/24</f>
        <v>46322.1180555556</v>
      </c>
      <c r="S543" s="59" t="n">
        <f aca="false">Q543-T12EarlyH/24</f>
        <v>46321.2847222222</v>
      </c>
      <c r="T543" s="60"/>
      <c r="U543" s="60"/>
      <c r="V543" s="60"/>
      <c r="W543" s="61"/>
      <c r="X543" s="60"/>
      <c r="Y543" s="60"/>
      <c r="Z543" s="60"/>
      <c r="AA543" s="60"/>
      <c r="AB543" s="60"/>
      <c r="AC543" s="60"/>
      <c r="AD543" s="66"/>
      <c r="AE543" s="60"/>
      <c r="AF543" s="61" t="str">
        <f aca="false">IF(AND(ISNUMBER(X543),ISNUMBER(Y543)),Y543-X543,"")</f>
        <v/>
      </c>
      <c r="AG543" s="62" t="str">
        <f aca="false">IF(ISNUMBER(AD543),AD543-(IF(AND(INDEX(TZ_DSTS,MATCH(P543,TZ_STN,0))&lt;&gt;"",(AD543-INDEX(TZ_STD,MATCH(P543,TZ_STN,0))/24)&gt;=INDEX(TZ_DSTS,MATCH(P543,TZ_STN,0)),(AD543-INDEX(TZ_STD,MATCH(P543,TZ_STN,0))/24)&lt;INDEX(TZ_DSTE,MATCH(P543,TZ_STN,0))),INDEX(TZ_DST,MATCH(P543,TZ_STN,0)),INDEX(TZ_STD,MATCH(P543,TZ_STN,0))))/24,"")</f>
        <v/>
      </c>
      <c r="AH543" s="65" t="str">
        <f aca="false">IFERROR(IF(N543="N/A – rule","N/A – RULE",IF(TRIM(U543)="N/A",IF(AT543=0,"INVALID – N/A not permitted for this check",IF(AND(TRIM(AB543)&lt;&gt;"",TRIM(AB543)&lt;&gt;"Closed"),"INVALID – corrective action still open",IF(AND(NOT(OR(LEN(AZ543)&lt;15,ISNUMBER(MATCH(AZ543,L_Placeholder,0)))),NOT(OR(LEN(AU543)&lt;2,ISNUMBER(MATCH(AU543,L_Placeholder,0)))),NOT(OR(LEN(AX543)&lt;2,ISNUMBER(MATCH(AX543,L_Placeholder,0)))),TRIM(AE543)&lt;&gt;TRIM(T543)),"N/A – JUSTIFIED","INVALID – N/A needs a real justification (15+ chars), PIC and a different verifier"))),IF(OR(TRIM(U543)="Pass",TRIM(U543)="Pass after CA"),IF(NOT(ISNUMBER(AD543)),"INVALID – completion time missing",IF(OR(LEN(AU543)&lt;2,ISNUMBER(MATCH(AU543,L_Placeholder,0))),"INVALID – PIC missing",IF(OR(LEN(AV543)&lt;2,ISNUMBER(MATCH(AV543,L_Placeholder,0))),"INVALID – result / assessment missing",IF(OR(OR(LEN(AW543)&lt;3,ISNUMBER(MATCH(AW543,L_Placeholder,0))),SUMPRODUCT(--ISNUMBER(SEARCH(L_EvidencePhrase,AW543)))&gt;0),"INVALID – evidence missing, placeholder or not yet on file",IF(OR(LEN(AX543)&lt;2,ISNUMBER(MATCH(AX543,L_Placeholder,0))),"INVALID – verifier missing",IF(AX543=AU543,"INVALID – verifier must be someone other than the PIC",IF(AND(TRIM(U543)="Pass",SUMPRODUCT(--ISNUMBER(SEARCH(L_ResultBad,AV543)))&gt;0),"INVALID – result describes a problem: use Fail, then Pass after CA",IF(AND(AQ543=1,OR(LEN(AY543)&lt;3,ISNUMBER(MATCH(AY543,L_Placeholder,0)))),"INVALID – batch ID missing or placeholder",IF(AND(AR543=1,OR(NOT(ISNUMBER(X543)),NOT(ISNUMBER(Y543)))),"INVALID – expected/actual qty missing",IF(AND(AR543=1,OR(X543&lt;=0,Y543&lt;0)),"INVALID – expected qty must be above 0 and actual not negative",IF(BB543&lt;&gt;"",BB543,IF(AND(AS543=1,Documents!$J$21&lt;&gt;"ON FILE"),"INVALID – GLD not on file (Documents sheet)",IF(AND(AS543=2,Documents!$O$21&lt;&gt;"ON FILE"),"INVALID – menu checklist not on file (Documents sheet)",IF(AND(AS543=3,NOT(ISNUMBER(Flights!$AX$21))),"INVALID – enter carrying flight KUL departure (Flights AX)",IF(AND(AS543=3,OR(Flights!$AZ$21&gt;Flights!$AA$21,Flights!$AX$21&lt;Flights!$AA$21-3)),"INVALID – carrying flight (Flights AX) cannot arrive before this leg's STD, or is over 3 days early",IF(AG543&gt;AsOfUTC,"INVALID – completion time is in the future",IF(AND(ISNUMBER(S543),AG543&lt;S543),IF(H543="Physical uplift","INVALID – before uplift window (cannot confirm loading)","INVALID – before valid window"),IF(AG543&gt;Flights!$AA$21,"INVALID – completed after departure (cannot establish readiness)",IF(AND(H543="Preparation",AG543&gt;IF(ISNUMBER(Flights!$BA$21),MIN(Flights!$BA$21,Flights!$AA$21),Flights!$AA$21)),"INVALID – completed after loading / departure (cannot establish readiness)",IF(AND(H543="Physical uplift",AG543&gt;Q543),"INVALID – recorded after the loading flight departed",IF(AG543&gt;Q543,"COMPLETE – LATE","COMPLETE"))))))))))))))))))))),IF(TRIM(U543)="Fail","FAIL – DISCREPANCY",IF(AND(TRIM(U543)&lt;&gt;"",TRIM(U543)&lt;&gt;"Not started",TRIM(U543)&lt;&gt;"In progress"),"INVALID – unrecognised status (use the list)",IF(AsOfUTC&gt;Q543,"OVERDUE",IF(N543="Clarification required","OPEN – CLARIFICATION","OPEN"))))))),"INVALID – error value in an input cell")</f>
        <v>OPEN</v>
      </c>
      <c r="AI543" s="61" t="n">
        <f aca="false">IF(OR(AH543="N/A – RULE",AH543="N/A – JUSTIFIED"),0,1)</f>
        <v>1</v>
      </c>
      <c r="AJ543" s="61" t="n">
        <f aca="false">IF(LEFT(AH543,8)="COMPLETE",1,0)</f>
        <v>0</v>
      </c>
      <c r="AK543" s="61" t="n">
        <f aca="false">IF(AND(AI543=1,AJ543=0,AsOfUTC&gt;Q543),1,0)</f>
        <v>0</v>
      </c>
      <c r="AL543" s="61" t="n">
        <f aca="false">IFERROR(IF(AND(AI543=1,OR(TRIM(U543)="Fail",AND(TRIM(AB543)&lt;&gt;"",TRIM(AB543)&lt;&gt;"Closed"),AND(ISNUMBER(AF543),AF543&lt;&gt;0,TRIM(U543)&lt;&gt;"Pass after CA"))),1,0),1)</f>
        <v>0</v>
      </c>
      <c r="AM543" s="61" t="n">
        <f aca="false">IF(LEFT(AH543,7)="INVALID",1,0)</f>
        <v>0</v>
      </c>
      <c r="AN543" s="61" t="n">
        <f aca="false">IF(AND(N543="Clarification required",AI543=1,AJ543=0),1,0)</f>
        <v>0</v>
      </c>
      <c r="AO543" s="61" t="str">
        <f aca="false">IF(AK543=1,SUM(AK$5:AK543),"")</f>
        <v/>
      </c>
      <c r="AP543" s="61" t="str">
        <f aca="false">IF(AL543=1,SUM(AL$5:AL543),"")</f>
        <v/>
      </c>
      <c r="AQ543" s="61" t="n">
        <v>0</v>
      </c>
      <c r="AR543" s="61" t="n">
        <v>1</v>
      </c>
      <c r="AS543" s="61" t="n">
        <v>0</v>
      </c>
      <c r="AT543" s="61" t="n">
        <v>0</v>
      </c>
      <c r="AU543" s="61" t="str">
        <f aca="false">SUBSTITUTE(SUBSTITUTE(SUBSTITUTE(SUBSTITUTE(SUBSTITUTE(SUBSTITUTE(SUBSTITUTE(SUBSTITUTE(SUBSTITUTE(SUBSTITUTE(SUBSTITUTE(SUBSTITUTE(SUBSTITUTE(LOWER(T543&amp;""),CHAR(160),"")," ",""),".",""),"-",""),"/",""),"?",""),"_",""),",",""),"[",""),"]",""),"(",""),")",""),"*","")</f>
        <v/>
      </c>
      <c r="AV543" s="61" t="str">
        <f aca="false">SUBSTITUTE(SUBSTITUTE(SUBSTITUTE(SUBSTITUTE(SUBSTITUTE(SUBSTITUTE(SUBSTITUTE(SUBSTITUTE(SUBSTITUTE(SUBSTITUTE(SUBSTITUTE(SUBSTITUTE(SUBSTITUTE(LOWER(V543&amp;""),CHAR(160),"")," ",""),".",""),"-",""),"/",""),"?",""),"_",""),",",""),"[",""),"]",""),"(",""),")",""),"*","")</f>
        <v/>
      </c>
      <c r="AW543" s="61" t="str">
        <f aca="false">SUBSTITUTE(SUBSTITUTE(SUBSTITUTE(SUBSTITUTE(SUBSTITUTE(SUBSTITUTE(SUBSTITUTE(SUBSTITUTE(SUBSTITUTE(SUBSTITUTE(SUBSTITUTE(SUBSTITUTE(SUBSTITUTE(LOWER(Z543&amp;""),CHAR(160),"")," ",""),".",""),"-",""),"/",""),"?",""),"_",""),",",""),"[",""),"]",""),"(",""),")",""),"*","")</f>
        <v/>
      </c>
      <c r="AX543" s="61" t="str">
        <f aca="false">SUBSTITUTE(SUBSTITUTE(SUBSTITUTE(SUBSTITUTE(SUBSTITUTE(SUBSTITUTE(SUBSTITUTE(SUBSTITUTE(SUBSTITUTE(SUBSTITUTE(SUBSTITUTE(SUBSTITUTE(SUBSTITUTE(LOWER(AE543&amp;""),CHAR(160),"")," ",""),".",""),"-",""),"/",""),"?",""),"_",""),",",""),"[",""),"]",""),"(",""),")",""),"*","")</f>
        <v/>
      </c>
      <c r="AY543" s="61" t="str">
        <f aca="false">SUBSTITUTE(SUBSTITUTE(SUBSTITUTE(SUBSTITUTE(SUBSTITUTE(SUBSTITUTE(SUBSTITUTE(SUBSTITUTE(SUBSTITUTE(SUBSTITUTE(SUBSTITUTE(SUBSTITUTE(SUBSTITUTE(LOWER(W543&amp;""),CHAR(160),"")," ",""),".",""),"-",""),"/",""),"?",""),"_",""),",",""),"[",""),"]",""),"(",""),")",""),"*","")</f>
        <v/>
      </c>
      <c r="AZ543" s="61" t="str">
        <f aca="false">SUBSTITUTE(SUBSTITUTE(SUBSTITUTE(SUBSTITUTE(SUBSTITUTE(SUBSTITUTE(SUBSTITUTE(SUBSTITUTE(SUBSTITUTE(SUBSTITUTE(SUBSTITUTE(SUBSTITUTE(SUBSTITUTE(LOWER(AC543&amp;""),CHAR(160),"")," ",""),".",""),"-",""),"/",""),"?",""),"_",""),",",""),"[",""),"]",""),"(",""),")",""),"*","")</f>
        <v/>
      </c>
      <c r="BA543" s="61" t="str">
        <f aca="false">SUBSTITUTE(SUBSTITUTE(SUBSTITUTE(SUBSTITUTE(SUBSTITUTE(SUBSTITUTE(SUBSTITUTE(SUBSTITUTE(SUBSTITUTE(SUBSTITUTE(SUBSTITUTE(SUBSTITUTE(SUBSTITUTE(LOWER(AA543&amp;""),CHAR(160),"")," ",""),".",""),"-",""),"/",""),"?",""),"_",""),",",""),"[",""),"]",""),"(",""),")",""),"*","")</f>
        <v/>
      </c>
      <c r="BB543" s="61" t="str">
        <f aca="false">IF(AND(TRIM(U543)="Pass",ISNUMBER(AF543)),IF(AF543&lt;&gt;0,"INVALID – qty variance: use Fail or Pass after CA",""),"")&amp;IF(AND(TRIM(U543)="Pass after CA",ISNUMBER(AF543)),IF(AF543&lt;&gt;0,"INVALID – after the corrective action the actual qty must equal expected (update Actual)",""),"")&amp;IF(AND(TRIM(U543)="Pass",TRIM(AB543)&lt;&gt;"",TRIM(AB543)&lt;&gt;"Closed"),"INVALID – corrective action not closed: use Fail, then Pass after CA","")&amp;IF(AND(TRIM(AA543)&lt;&gt;"",TRIM(AB543)=""),"INVALID – CA status missing for the recorded corrective action","")&amp;IF(AND(TRIM(U543)="Pass after CA",OR(OR(LEN(BA543)&lt;5,ISNUMBER(MATCH(BA543,L_Placeholder,0))),TRIM(AB543)&lt;&gt;"Closed")),"INVALID – corrective action not recorded/closed","")</f>
        <v/>
      </c>
    </row>
    <row r="544" customFormat="false" ht="39.75" hidden="false" customHeight="true" outlineLevel="0" collapsed="false">
      <c r="A544" s="57" t="s">
        <v>1193</v>
      </c>
      <c r="B544" s="57" t="s">
        <v>287</v>
      </c>
      <c r="C544" s="57" t="str">
        <f aca="false">Flights!$F$21</f>
        <v>MH0073</v>
      </c>
      <c r="D544" s="58" t="n">
        <f aca="false">Flights!$D$21</f>
        <v>46322</v>
      </c>
      <c r="E544" s="57" t="str">
        <f aca="false">Flights!$G$21&amp;"-"&amp;Flights!$H$21</f>
        <v>HKG-KUL</v>
      </c>
      <c r="F544" s="57" t="str">
        <f aca="false">Flights!$K$21</f>
        <v>BC</v>
      </c>
      <c r="G544" s="57" t="s">
        <v>398</v>
      </c>
      <c r="H544" s="57" t="s">
        <v>356</v>
      </c>
      <c r="I544" s="57" t="s">
        <v>406</v>
      </c>
      <c r="J544" s="57" t="s">
        <v>407</v>
      </c>
      <c r="K544" s="67"/>
      <c r="L544" s="67" t="s">
        <v>400</v>
      </c>
      <c r="M544" s="67"/>
      <c r="N544" s="67" t="s">
        <v>361</v>
      </c>
      <c r="O544" s="67" t="s">
        <v>401</v>
      </c>
      <c r="P544" s="57" t="s">
        <v>279</v>
      </c>
      <c r="Q544" s="59" t="n">
        <f aca="false">ROUND((Flights!$AE$21)*1440,0)/1440</f>
        <v>46321.7847222222</v>
      </c>
      <c r="R544" s="59" t="n">
        <f aca="false">Q544+(IF(AND(INDEX(TZ_DSTS,MATCH(P544,TZ_STN,0))&lt;&gt;"",Q544&gt;=INDEX(TZ_DSTS,MATCH(P544,TZ_STN,0)),Q544&lt;INDEX(TZ_DSTE,MATCH(P544,TZ_STN,0))),INDEX(TZ_DST,MATCH(P544,TZ_STN,0)),INDEX(TZ_STD,MATCH(P544,TZ_STN,0))))/24</f>
        <v>46322.1180555556</v>
      </c>
      <c r="S544" s="59" t="n">
        <f aca="false">Q544-T12EarlyH/24</f>
        <v>46321.2847222222</v>
      </c>
      <c r="T544" s="60"/>
      <c r="U544" s="60"/>
      <c r="V544" s="60"/>
      <c r="W544" s="61"/>
      <c r="X544" s="60"/>
      <c r="Y544" s="60"/>
      <c r="Z544" s="60"/>
      <c r="AA544" s="60"/>
      <c r="AB544" s="60"/>
      <c r="AC544" s="60"/>
      <c r="AD544" s="66"/>
      <c r="AE544" s="60"/>
      <c r="AF544" s="61" t="str">
        <f aca="false">IF(AND(ISNUMBER(X544),ISNUMBER(Y544)),Y544-X544,"")</f>
        <v/>
      </c>
      <c r="AG544" s="62" t="str">
        <f aca="false">IF(ISNUMBER(AD544),AD544-(IF(AND(INDEX(TZ_DSTS,MATCH(P544,TZ_STN,0))&lt;&gt;"",(AD544-INDEX(TZ_STD,MATCH(P544,TZ_STN,0))/24)&gt;=INDEX(TZ_DSTS,MATCH(P544,TZ_STN,0)),(AD544-INDEX(TZ_STD,MATCH(P544,TZ_STN,0))/24)&lt;INDEX(TZ_DSTE,MATCH(P544,TZ_STN,0))),INDEX(TZ_DST,MATCH(P544,TZ_STN,0)),INDEX(TZ_STD,MATCH(P544,TZ_STN,0))))/24,"")</f>
        <v/>
      </c>
      <c r="AH544" s="65" t="str">
        <f aca="false">IFERROR(IF(N544="N/A – rule","N/A – RULE",IF(TRIM(U544)="N/A",IF(AT544=0,"INVALID – N/A not permitted for this check",IF(AND(TRIM(AB544)&lt;&gt;"",TRIM(AB544)&lt;&gt;"Closed"),"INVALID – corrective action still open",IF(AND(NOT(OR(LEN(AZ544)&lt;15,ISNUMBER(MATCH(AZ544,L_Placeholder,0)))),NOT(OR(LEN(AU544)&lt;2,ISNUMBER(MATCH(AU544,L_Placeholder,0)))),NOT(OR(LEN(AX544)&lt;2,ISNUMBER(MATCH(AX544,L_Placeholder,0)))),TRIM(AE544)&lt;&gt;TRIM(T544)),"N/A – JUSTIFIED","INVALID – N/A needs a real justification (15+ chars), PIC and a different verifier"))),IF(OR(TRIM(U544)="Pass",TRIM(U544)="Pass after CA"),IF(NOT(ISNUMBER(AD544)),"INVALID – completion time missing",IF(OR(LEN(AU544)&lt;2,ISNUMBER(MATCH(AU544,L_Placeholder,0))),"INVALID – PIC missing",IF(OR(LEN(AV544)&lt;2,ISNUMBER(MATCH(AV544,L_Placeholder,0))),"INVALID – result / assessment missing",IF(OR(OR(LEN(AW544)&lt;3,ISNUMBER(MATCH(AW544,L_Placeholder,0))),SUMPRODUCT(--ISNUMBER(SEARCH(L_EvidencePhrase,AW544)))&gt;0),"INVALID – evidence missing, placeholder or not yet on file",IF(OR(LEN(AX544)&lt;2,ISNUMBER(MATCH(AX544,L_Placeholder,0))),"INVALID – verifier missing",IF(AX544=AU544,"INVALID – verifier must be someone other than the PIC",IF(AND(TRIM(U544)="Pass",SUMPRODUCT(--ISNUMBER(SEARCH(L_ResultBad,AV544)))&gt;0),"INVALID – result describes a problem: use Fail, then Pass after CA",IF(AND(AQ544=1,OR(LEN(AY544)&lt;3,ISNUMBER(MATCH(AY544,L_Placeholder,0)))),"INVALID – batch ID missing or placeholder",IF(AND(AR544=1,OR(NOT(ISNUMBER(X544)),NOT(ISNUMBER(Y544)))),"INVALID – expected/actual qty missing",IF(AND(AR544=1,OR(X544&lt;=0,Y544&lt;0)),"INVALID – expected qty must be above 0 and actual not negative",IF(BB544&lt;&gt;"",BB544,IF(AND(AS544=1,Documents!$J$21&lt;&gt;"ON FILE"),"INVALID – GLD not on file (Documents sheet)",IF(AND(AS544=2,Documents!$O$21&lt;&gt;"ON FILE"),"INVALID – menu checklist not on file (Documents sheet)",IF(AND(AS544=3,NOT(ISNUMBER(Flights!$AX$21))),"INVALID – enter carrying flight KUL departure (Flights AX)",IF(AND(AS544=3,OR(Flights!$AZ$21&gt;Flights!$AA$21,Flights!$AX$21&lt;Flights!$AA$21-3)),"INVALID – carrying flight (Flights AX) cannot arrive before this leg's STD, or is over 3 days early",IF(AG544&gt;AsOfUTC,"INVALID – completion time is in the future",IF(AND(ISNUMBER(S544),AG544&lt;S544),IF(H544="Physical uplift","INVALID – before uplift window (cannot confirm loading)","INVALID – before valid window"),IF(AG544&gt;Flights!$AA$21,"INVALID – completed after departure (cannot establish readiness)",IF(AND(H544="Preparation",AG544&gt;IF(ISNUMBER(Flights!$BA$21),MIN(Flights!$BA$21,Flights!$AA$21),Flights!$AA$21)),"INVALID – completed after loading / departure (cannot establish readiness)",IF(AND(H544="Physical uplift",AG544&gt;Q544),"INVALID – recorded after the loading flight departed",IF(AG544&gt;Q544,"COMPLETE – LATE","COMPLETE"))))))))))))))))))))),IF(TRIM(U544)="Fail","FAIL – DISCREPANCY",IF(AND(TRIM(U544)&lt;&gt;"",TRIM(U544)&lt;&gt;"Not started",TRIM(U544)&lt;&gt;"In progress"),"INVALID – unrecognised status (use the list)",IF(AsOfUTC&gt;Q544,"OVERDUE",IF(N544="Clarification required","OPEN – CLARIFICATION","OPEN"))))))),"INVALID – error value in an input cell")</f>
        <v>OPEN</v>
      </c>
      <c r="AI544" s="61" t="n">
        <f aca="false">IF(OR(AH544="N/A – RULE",AH544="N/A – JUSTIFIED"),0,1)</f>
        <v>1</v>
      </c>
      <c r="AJ544" s="61" t="n">
        <f aca="false">IF(LEFT(AH544,8)="COMPLETE",1,0)</f>
        <v>0</v>
      </c>
      <c r="AK544" s="61" t="n">
        <f aca="false">IF(AND(AI544=1,AJ544=0,AsOfUTC&gt;Q544),1,0)</f>
        <v>0</v>
      </c>
      <c r="AL544" s="61" t="n">
        <f aca="false">IFERROR(IF(AND(AI544=1,OR(TRIM(U544)="Fail",AND(TRIM(AB544)&lt;&gt;"",TRIM(AB544)&lt;&gt;"Closed"),AND(ISNUMBER(AF544),AF544&lt;&gt;0,TRIM(U544)&lt;&gt;"Pass after CA"))),1,0),1)</f>
        <v>0</v>
      </c>
      <c r="AM544" s="61" t="n">
        <f aca="false">IF(LEFT(AH544,7)="INVALID",1,0)</f>
        <v>0</v>
      </c>
      <c r="AN544" s="61" t="n">
        <f aca="false">IF(AND(N544="Clarification required",AI544=1,AJ544=0),1,0)</f>
        <v>0</v>
      </c>
      <c r="AO544" s="61" t="str">
        <f aca="false">IF(AK544=1,SUM(AK$5:AK544),"")</f>
        <v/>
      </c>
      <c r="AP544" s="61" t="str">
        <f aca="false">IF(AL544=1,SUM(AL$5:AL544),"")</f>
        <v/>
      </c>
      <c r="AQ544" s="61" t="n">
        <v>0</v>
      </c>
      <c r="AR544" s="61" t="n">
        <v>0</v>
      </c>
      <c r="AS544" s="61" t="n">
        <v>0</v>
      </c>
      <c r="AT544" s="61" t="n">
        <v>0</v>
      </c>
      <c r="AU544" s="61" t="str">
        <f aca="false">SUBSTITUTE(SUBSTITUTE(SUBSTITUTE(SUBSTITUTE(SUBSTITUTE(SUBSTITUTE(SUBSTITUTE(SUBSTITUTE(SUBSTITUTE(SUBSTITUTE(SUBSTITUTE(SUBSTITUTE(SUBSTITUTE(LOWER(T544&amp;""),CHAR(160),"")," ",""),".",""),"-",""),"/",""),"?",""),"_",""),",",""),"[",""),"]",""),"(",""),")",""),"*","")</f>
        <v/>
      </c>
      <c r="AV544" s="61" t="str">
        <f aca="false">SUBSTITUTE(SUBSTITUTE(SUBSTITUTE(SUBSTITUTE(SUBSTITUTE(SUBSTITUTE(SUBSTITUTE(SUBSTITUTE(SUBSTITUTE(SUBSTITUTE(SUBSTITUTE(SUBSTITUTE(SUBSTITUTE(LOWER(V544&amp;""),CHAR(160),"")," ",""),".",""),"-",""),"/",""),"?",""),"_",""),",",""),"[",""),"]",""),"(",""),")",""),"*","")</f>
        <v/>
      </c>
      <c r="AW544" s="61" t="str">
        <f aca="false">SUBSTITUTE(SUBSTITUTE(SUBSTITUTE(SUBSTITUTE(SUBSTITUTE(SUBSTITUTE(SUBSTITUTE(SUBSTITUTE(SUBSTITUTE(SUBSTITUTE(SUBSTITUTE(SUBSTITUTE(SUBSTITUTE(LOWER(Z544&amp;""),CHAR(160),"")," ",""),".",""),"-",""),"/",""),"?",""),"_",""),",",""),"[",""),"]",""),"(",""),")",""),"*","")</f>
        <v/>
      </c>
      <c r="AX544" s="61" t="str">
        <f aca="false">SUBSTITUTE(SUBSTITUTE(SUBSTITUTE(SUBSTITUTE(SUBSTITUTE(SUBSTITUTE(SUBSTITUTE(SUBSTITUTE(SUBSTITUTE(SUBSTITUTE(SUBSTITUTE(SUBSTITUTE(SUBSTITUTE(LOWER(AE544&amp;""),CHAR(160),"")," ",""),".",""),"-",""),"/",""),"?",""),"_",""),",",""),"[",""),"]",""),"(",""),")",""),"*","")</f>
        <v/>
      </c>
      <c r="AY544" s="61" t="str">
        <f aca="false">SUBSTITUTE(SUBSTITUTE(SUBSTITUTE(SUBSTITUTE(SUBSTITUTE(SUBSTITUTE(SUBSTITUTE(SUBSTITUTE(SUBSTITUTE(SUBSTITUTE(SUBSTITUTE(SUBSTITUTE(SUBSTITUTE(LOWER(W544&amp;""),CHAR(160),"")," ",""),".",""),"-",""),"/",""),"?",""),"_",""),",",""),"[",""),"]",""),"(",""),")",""),"*","")</f>
        <v/>
      </c>
      <c r="AZ544" s="61" t="str">
        <f aca="false">SUBSTITUTE(SUBSTITUTE(SUBSTITUTE(SUBSTITUTE(SUBSTITUTE(SUBSTITUTE(SUBSTITUTE(SUBSTITUTE(SUBSTITUTE(SUBSTITUTE(SUBSTITUTE(SUBSTITUTE(SUBSTITUTE(LOWER(AC544&amp;""),CHAR(160),"")," ",""),".",""),"-",""),"/",""),"?",""),"_",""),",",""),"[",""),"]",""),"(",""),")",""),"*","")</f>
        <v/>
      </c>
      <c r="BA544" s="61" t="str">
        <f aca="false">SUBSTITUTE(SUBSTITUTE(SUBSTITUTE(SUBSTITUTE(SUBSTITUTE(SUBSTITUTE(SUBSTITUTE(SUBSTITUTE(SUBSTITUTE(SUBSTITUTE(SUBSTITUTE(SUBSTITUTE(SUBSTITUTE(LOWER(AA544&amp;""),CHAR(160),"")," ",""),".",""),"-",""),"/",""),"?",""),"_",""),",",""),"[",""),"]",""),"(",""),")",""),"*","")</f>
        <v/>
      </c>
      <c r="BB544" s="61" t="str">
        <f aca="false">IF(AND(TRIM(U544)="Pass",ISNUMBER(AF544)),IF(AF544&lt;&gt;0,"INVALID – qty variance: use Fail or Pass after CA",""),"")&amp;IF(AND(TRIM(U544)="Pass after CA",ISNUMBER(AF544)),IF(AF544&lt;&gt;0,"INVALID – after the corrective action the actual qty must equal expected (update Actual)",""),"")&amp;IF(AND(TRIM(U544)="Pass",TRIM(AB544)&lt;&gt;"",TRIM(AB544)&lt;&gt;"Closed"),"INVALID – corrective action not closed: use Fail, then Pass after CA","")&amp;IF(AND(TRIM(AA544)&lt;&gt;"",TRIM(AB544)=""),"INVALID – CA status missing for the recorded corrective action","")&amp;IF(AND(TRIM(U544)="Pass after CA",OR(OR(LEN(BA544)&lt;5,ISNUMBER(MATCH(BA544,L_Placeholder,0))),TRIM(AB544)&lt;&gt;"Closed")),"INVALID – corrective action not recorded/closed","")</f>
        <v/>
      </c>
    </row>
    <row r="545" customFormat="false" ht="39.75" hidden="false" customHeight="true" outlineLevel="0" collapsed="false">
      <c r="A545" s="57" t="s">
        <v>1194</v>
      </c>
      <c r="B545" s="57" t="s">
        <v>287</v>
      </c>
      <c r="C545" s="57" t="str">
        <f aca="false">Flights!$F$21</f>
        <v>MH0073</v>
      </c>
      <c r="D545" s="58" t="n">
        <f aca="false">Flights!$D$21</f>
        <v>46322</v>
      </c>
      <c r="E545" s="57" t="str">
        <f aca="false">Flights!$G$21&amp;"-"&amp;Flights!$H$21</f>
        <v>HKG-KUL</v>
      </c>
      <c r="F545" s="57" t="str">
        <f aca="false">Flights!$K$21</f>
        <v>BC</v>
      </c>
      <c r="G545" s="57" t="s">
        <v>398</v>
      </c>
      <c r="H545" s="57" t="s">
        <v>356</v>
      </c>
      <c r="I545" s="57" t="s">
        <v>406</v>
      </c>
      <c r="J545" s="57" t="s">
        <v>409</v>
      </c>
      <c r="K545" s="67"/>
      <c r="L545" s="67" t="s">
        <v>400</v>
      </c>
      <c r="M545" s="67"/>
      <c r="N545" s="67" t="s">
        <v>361</v>
      </c>
      <c r="O545" s="67" t="s">
        <v>401</v>
      </c>
      <c r="P545" s="57" t="s">
        <v>279</v>
      </c>
      <c r="Q545" s="59" t="n">
        <f aca="false">ROUND((Flights!$AE$21)*1440,0)/1440</f>
        <v>46321.7847222222</v>
      </c>
      <c r="R545" s="59" t="n">
        <f aca="false">Q545+(IF(AND(INDEX(TZ_DSTS,MATCH(P545,TZ_STN,0))&lt;&gt;"",Q545&gt;=INDEX(TZ_DSTS,MATCH(P545,TZ_STN,0)),Q545&lt;INDEX(TZ_DSTE,MATCH(P545,TZ_STN,0))),INDEX(TZ_DST,MATCH(P545,TZ_STN,0)),INDEX(TZ_STD,MATCH(P545,TZ_STN,0))))/24</f>
        <v>46322.1180555556</v>
      </c>
      <c r="S545" s="59" t="n">
        <f aca="false">Q545-T12EarlyH/24</f>
        <v>46321.2847222222</v>
      </c>
      <c r="T545" s="60"/>
      <c r="U545" s="60"/>
      <c r="V545" s="60"/>
      <c r="W545" s="61"/>
      <c r="X545" s="60"/>
      <c r="Y545" s="60"/>
      <c r="Z545" s="60"/>
      <c r="AA545" s="60"/>
      <c r="AB545" s="60"/>
      <c r="AC545" s="60"/>
      <c r="AD545" s="66"/>
      <c r="AE545" s="60"/>
      <c r="AF545" s="61" t="str">
        <f aca="false">IF(AND(ISNUMBER(X545),ISNUMBER(Y545)),Y545-X545,"")</f>
        <v/>
      </c>
      <c r="AG545" s="62" t="str">
        <f aca="false">IF(ISNUMBER(AD545),AD545-(IF(AND(INDEX(TZ_DSTS,MATCH(P545,TZ_STN,0))&lt;&gt;"",(AD545-INDEX(TZ_STD,MATCH(P545,TZ_STN,0))/24)&gt;=INDEX(TZ_DSTS,MATCH(P545,TZ_STN,0)),(AD545-INDEX(TZ_STD,MATCH(P545,TZ_STN,0))/24)&lt;INDEX(TZ_DSTE,MATCH(P545,TZ_STN,0))),INDEX(TZ_DST,MATCH(P545,TZ_STN,0)),INDEX(TZ_STD,MATCH(P545,TZ_STN,0))))/24,"")</f>
        <v/>
      </c>
      <c r="AH545" s="65" t="str">
        <f aca="false">IFERROR(IF(N545="N/A – rule","N/A – RULE",IF(TRIM(U545)="N/A",IF(AT545=0,"INVALID – N/A not permitted for this check",IF(AND(TRIM(AB545)&lt;&gt;"",TRIM(AB545)&lt;&gt;"Closed"),"INVALID – corrective action still open",IF(AND(NOT(OR(LEN(AZ545)&lt;15,ISNUMBER(MATCH(AZ545,L_Placeholder,0)))),NOT(OR(LEN(AU545)&lt;2,ISNUMBER(MATCH(AU545,L_Placeholder,0)))),NOT(OR(LEN(AX545)&lt;2,ISNUMBER(MATCH(AX545,L_Placeholder,0)))),TRIM(AE545)&lt;&gt;TRIM(T545)),"N/A – JUSTIFIED","INVALID – N/A needs a real justification (15+ chars), PIC and a different verifier"))),IF(OR(TRIM(U545)="Pass",TRIM(U545)="Pass after CA"),IF(NOT(ISNUMBER(AD545)),"INVALID – completion time missing",IF(OR(LEN(AU545)&lt;2,ISNUMBER(MATCH(AU545,L_Placeholder,0))),"INVALID – PIC missing",IF(OR(LEN(AV545)&lt;2,ISNUMBER(MATCH(AV545,L_Placeholder,0))),"INVALID – result / assessment missing",IF(OR(OR(LEN(AW545)&lt;3,ISNUMBER(MATCH(AW545,L_Placeholder,0))),SUMPRODUCT(--ISNUMBER(SEARCH(L_EvidencePhrase,AW545)))&gt;0),"INVALID – evidence missing, placeholder or not yet on file",IF(OR(LEN(AX545)&lt;2,ISNUMBER(MATCH(AX545,L_Placeholder,0))),"INVALID – verifier missing",IF(AX545=AU545,"INVALID – verifier must be someone other than the PIC",IF(AND(TRIM(U545)="Pass",SUMPRODUCT(--ISNUMBER(SEARCH(L_ResultBad,AV545)))&gt;0),"INVALID – result describes a problem: use Fail, then Pass after CA",IF(AND(AQ545=1,OR(LEN(AY545)&lt;3,ISNUMBER(MATCH(AY545,L_Placeholder,0)))),"INVALID – batch ID missing or placeholder",IF(AND(AR545=1,OR(NOT(ISNUMBER(X545)),NOT(ISNUMBER(Y545)))),"INVALID – expected/actual qty missing",IF(AND(AR545=1,OR(X545&lt;=0,Y545&lt;0)),"INVALID – expected qty must be above 0 and actual not negative",IF(BB545&lt;&gt;"",BB545,IF(AND(AS545=1,Documents!$J$21&lt;&gt;"ON FILE"),"INVALID – GLD not on file (Documents sheet)",IF(AND(AS545=2,Documents!$O$21&lt;&gt;"ON FILE"),"INVALID – menu checklist not on file (Documents sheet)",IF(AND(AS545=3,NOT(ISNUMBER(Flights!$AX$21))),"INVALID – enter carrying flight KUL departure (Flights AX)",IF(AND(AS545=3,OR(Flights!$AZ$21&gt;Flights!$AA$21,Flights!$AX$21&lt;Flights!$AA$21-3)),"INVALID – carrying flight (Flights AX) cannot arrive before this leg's STD, or is over 3 days early",IF(AG545&gt;AsOfUTC,"INVALID – completion time is in the future",IF(AND(ISNUMBER(S545),AG545&lt;S545),IF(H545="Physical uplift","INVALID – before uplift window (cannot confirm loading)","INVALID – before valid window"),IF(AG545&gt;Flights!$AA$21,"INVALID – completed after departure (cannot establish readiness)",IF(AND(H545="Preparation",AG545&gt;IF(ISNUMBER(Flights!$BA$21),MIN(Flights!$BA$21,Flights!$AA$21),Flights!$AA$21)),"INVALID – completed after loading / departure (cannot establish readiness)",IF(AND(H545="Physical uplift",AG545&gt;Q545),"INVALID – recorded after the loading flight departed",IF(AG545&gt;Q545,"COMPLETE – LATE","COMPLETE"))))))))))))))))))))),IF(TRIM(U545)="Fail","FAIL – DISCREPANCY",IF(AND(TRIM(U545)&lt;&gt;"",TRIM(U545)&lt;&gt;"Not started",TRIM(U545)&lt;&gt;"In progress"),"INVALID – unrecognised status (use the list)",IF(AsOfUTC&gt;Q545,"OVERDUE",IF(N545="Clarification required","OPEN – CLARIFICATION","OPEN"))))))),"INVALID – error value in an input cell")</f>
        <v>OPEN</v>
      </c>
      <c r="AI545" s="61" t="n">
        <f aca="false">IF(OR(AH545="N/A – RULE",AH545="N/A – JUSTIFIED"),0,1)</f>
        <v>1</v>
      </c>
      <c r="AJ545" s="61" t="n">
        <f aca="false">IF(LEFT(AH545,8)="COMPLETE",1,0)</f>
        <v>0</v>
      </c>
      <c r="AK545" s="61" t="n">
        <f aca="false">IF(AND(AI545=1,AJ545=0,AsOfUTC&gt;Q545),1,0)</f>
        <v>0</v>
      </c>
      <c r="AL545" s="61" t="n">
        <f aca="false">IFERROR(IF(AND(AI545=1,OR(TRIM(U545)="Fail",AND(TRIM(AB545)&lt;&gt;"",TRIM(AB545)&lt;&gt;"Closed"),AND(ISNUMBER(AF545),AF545&lt;&gt;0,TRIM(U545)&lt;&gt;"Pass after CA"))),1,0),1)</f>
        <v>0</v>
      </c>
      <c r="AM545" s="61" t="n">
        <f aca="false">IF(LEFT(AH545,7)="INVALID",1,0)</f>
        <v>0</v>
      </c>
      <c r="AN545" s="61" t="n">
        <f aca="false">IF(AND(N545="Clarification required",AI545=1,AJ545=0),1,0)</f>
        <v>0</v>
      </c>
      <c r="AO545" s="61" t="str">
        <f aca="false">IF(AK545=1,SUM(AK$5:AK545),"")</f>
        <v/>
      </c>
      <c r="AP545" s="61" t="str">
        <f aca="false">IF(AL545=1,SUM(AL$5:AL545),"")</f>
        <v/>
      </c>
      <c r="AQ545" s="61" t="n">
        <v>0</v>
      </c>
      <c r="AR545" s="61" t="n">
        <v>0</v>
      </c>
      <c r="AS545" s="61" t="n">
        <v>0</v>
      </c>
      <c r="AT545" s="61" t="n">
        <v>0</v>
      </c>
      <c r="AU545" s="61" t="str">
        <f aca="false">SUBSTITUTE(SUBSTITUTE(SUBSTITUTE(SUBSTITUTE(SUBSTITUTE(SUBSTITUTE(SUBSTITUTE(SUBSTITUTE(SUBSTITUTE(SUBSTITUTE(SUBSTITUTE(SUBSTITUTE(SUBSTITUTE(LOWER(T545&amp;""),CHAR(160),"")," ",""),".",""),"-",""),"/",""),"?",""),"_",""),",",""),"[",""),"]",""),"(",""),")",""),"*","")</f>
        <v/>
      </c>
      <c r="AV545" s="61" t="str">
        <f aca="false">SUBSTITUTE(SUBSTITUTE(SUBSTITUTE(SUBSTITUTE(SUBSTITUTE(SUBSTITUTE(SUBSTITUTE(SUBSTITUTE(SUBSTITUTE(SUBSTITUTE(SUBSTITUTE(SUBSTITUTE(SUBSTITUTE(LOWER(V545&amp;""),CHAR(160),"")," ",""),".",""),"-",""),"/",""),"?",""),"_",""),",",""),"[",""),"]",""),"(",""),")",""),"*","")</f>
        <v/>
      </c>
      <c r="AW545" s="61" t="str">
        <f aca="false">SUBSTITUTE(SUBSTITUTE(SUBSTITUTE(SUBSTITUTE(SUBSTITUTE(SUBSTITUTE(SUBSTITUTE(SUBSTITUTE(SUBSTITUTE(SUBSTITUTE(SUBSTITUTE(SUBSTITUTE(SUBSTITUTE(LOWER(Z545&amp;""),CHAR(160),"")," ",""),".",""),"-",""),"/",""),"?",""),"_",""),",",""),"[",""),"]",""),"(",""),")",""),"*","")</f>
        <v/>
      </c>
      <c r="AX545" s="61" t="str">
        <f aca="false">SUBSTITUTE(SUBSTITUTE(SUBSTITUTE(SUBSTITUTE(SUBSTITUTE(SUBSTITUTE(SUBSTITUTE(SUBSTITUTE(SUBSTITUTE(SUBSTITUTE(SUBSTITUTE(SUBSTITUTE(SUBSTITUTE(LOWER(AE545&amp;""),CHAR(160),"")," ",""),".",""),"-",""),"/",""),"?",""),"_",""),",",""),"[",""),"]",""),"(",""),")",""),"*","")</f>
        <v/>
      </c>
      <c r="AY545" s="61" t="str">
        <f aca="false">SUBSTITUTE(SUBSTITUTE(SUBSTITUTE(SUBSTITUTE(SUBSTITUTE(SUBSTITUTE(SUBSTITUTE(SUBSTITUTE(SUBSTITUTE(SUBSTITUTE(SUBSTITUTE(SUBSTITUTE(SUBSTITUTE(LOWER(W545&amp;""),CHAR(160),"")," ",""),".",""),"-",""),"/",""),"?",""),"_",""),",",""),"[",""),"]",""),"(",""),")",""),"*","")</f>
        <v/>
      </c>
      <c r="AZ545" s="61" t="str">
        <f aca="false">SUBSTITUTE(SUBSTITUTE(SUBSTITUTE(SUBSTITUTE(SUBSTITUTE(SUBSTITUTE(SUBSTITUTE(SUBSTITUTE(SUBSTITUTE(SUBSTITUTE(SUBSTITUTE(SUBSTITUTE(SUBSTITUTE(LOWER(AC545&amp;""),CHAR(160),"")," ",""),".",""),"-",""),"/",""),"?",""),"_",""),",",""),"[",""),"]",""),"(",""),")",""),"*","")</f>
        <v/>
      </c>
      <c r="BA545" s="61" t="str">
        <f aca="false">SUBSTITUTE(SUBSTITUTE(SUBSTITUTE(SUBSTITUTE(SUBSTITUTE(SUBSTITUTE(SUBSTITUTE(SUBSTITUTE(SUBSTITUTE(SUBSTITUTE(SUBSTITUTE(SUBSTITUTE(SUBSTITUTE(LOWER(AA545&amp;""),CHAR(160),"")," ",""),".",""),"-",""),"/",""),"?",""),"_",""),",",""),"[",""),"]",""),"(",""),")",""),"*","")</f>
        <v/>
      </c>
      <c r="BB545" s="61" t="str">
        <f aca="false">IF(AND(TRIM(U545)="Pass",ISNUMBER(AF545)),IF(AF545&lt;&gt;0,"INVALID – qty variance: use Fail or Pass after CA",""),"")&amp;IF(AND(TRIM(U545)="Pass after CA",ISNUMBER(AF545)),IF(AF545&lt;&gt;0,"INVALID – after the corrective action the actual qty must equal expected (update Actual)",""),"")&amp;IF(AND(TRIM(U545)="Pass",TRIM(AB545)&lt;&gt;"",TRIM(AB545)&lt;&gt;"Closed"),"INVALID – corrective action not closed: use Fail, then Pass after CA","")&amp;IF(AND(TRIM(AA545)&lt;&gt;"",TRIM(AB545)=""),"INVALID – CA status missing for the recorded corrective action","")&amp;IF(AND(TRIM(U545)="Pass after CA",OR(OR(LEN(BA545)&lt;5,ISNUMBER(MATCH(BA545,L_Placeholder,0))),TRIM(AB545)&lt;&gt;"Closed")),"INVALID – corrective action not recorded/closed","")</f>
        <v/>
      </c>
    </row>
    <row r="546" customFormat="false" ht="39.75" hidden="false" customHeight="true" outlineLevel="0" collapsed="false">
      <c r="A546" s="57" t="s">
        <v>1195</v>
      </c>
      <c r="B546" s="57" t="s">
        <v>287</v>
      </c>
      <c r="C546" s="57" t="str">
        <f aca="false">Flights!$F$21</f>
        <v>MH0073</v>
      </c>
      <c r="D546" s="58" t="n">
        <f aca="false">Flights!$D$21</f>
        <v>46322</v>
      </c>
      <c r="E546" s="57" t="str">
        <f aca="false">Flights!$G$21&amp;"-"&amp;Flights!$H$21</f>
        <v>HKG-KUL</v>
      </c>
      <c r="F546" s="57" t="str">
        <f aca="false">Flights!$K$21</f>
        <v>BC</v>
      </c>
      <c r="G546" s="57" t="s">
        <v>398</v>
      </c>
      <c r="H546" s="57" t="s">
        <v>356</v>
      </c>
      <c r="I546" s="57" t="s">
        <v>406</v>
      </c>
      <c r="J546" s="57" t="s">
        <v>411</v>
      </c>
      <c r="K546" s="67"/>
      <c r="L546" s="67" t="s">
        <v>400</v>
      </c>
      <c r="M546" s="67"/>
      <c r="N546" s="67" t="s">
        <v>361</v>
      </c>
      <c r="O546" s="67" t="s">
        <v>401</v>
      </c>
      <c r="P546" s="57" t="s">
        <v>279</v>
      </c>
      <c r="Q546" s="59" t="n">
        <f aca="false">ROUND((Flights!$AE$21)*1440,0)/1440</f>
        <v>46321.7847222222</v>
      </c>
      <c r="R546" s="59" t="n">
        <f aca="false">Q546+(IF(AND(INDEX(TZ_DSTS,MATCH(P546,TZ_STN,0))&lt;&gt;"",Q546&gt;=INDEX(TZ_DSTS,MATCH(P546,TZ_STN,0)),Q546&lt;INDEX(TZ_DSTE,MATCH(P546,TZ_STN,0))),INDEX(TZ_DST,MATCH(P546,TZ_STN,0)),INDEX(TZ_STD,MATCH(P546,TZ_STN,0))))/24</f>
        <v>46322.1180555556</v>
      </c>
      <c r="S546" s="59" t="n">
        <f aca="false">Q546-T12EarlyH/24</f>
        <v>46321.2847222222</v>
      </c>
      <c r="T546" s="60"/>
      <c r="U546" s="60"/>
      <c r="V546" s="60"/>
      <c r="W546" s="61"/>
      <c r="X546" s="60"/>
      <c r="Y546" s="60"/>
      <c r="Z546" s="60"/>
      <c r="AA546" s="60"/>
      <c r="AB546" s="60"/>
      <c r="AC546" s="60"/>
      <c r="AD546" s="66"/>
      <c r="AE546" s="60"/>
      <c r="AF546" s="61" t="str">
        <f aca="false">IF(AND(ISNUMBER(X546),ISNUMBER(Y546)),Y546-X546,"")</f>
        <v/>
      </c>
      <c r="AG546" s="62" t="str">
        <f aca="false">IF(ISNUMBER(AD546),AD546-(IF(AND(INDEX(TZ_DSTS,MATCH(P546,TZ_STN,0))&lt;&gt;"",(AD546-INDEX(TZ_STD,MATCH(P546,TZ_STN,0))/24)&gt;=INDEX(TZ_DSTS,MATCH(P546,TZ_STN,0)),(AD546-INDEX(TZ_STD,MATCH(P546,TZ_STN,0))/24)&lt;INDEX(TZ_DSTE,MATCH(P546,TZ_STN,0))),INDEX(TZ_DST,MATCH(P546,TZ_STN,0)),INDEX(TZ_STD,MATCH(P546,TZ_STN,0))))/24,"")</f>
        <v/>
      </c>
      <c r="AH546" s="65" t="str">
        <f aca="false">IFERROR(IF(N546="N/A – rule","N/A – RULE",IF(TRIM(U546)="N/A",IF(AT546=0,"INVALID – N/A not permitted for this check",IF(AND(TRIM(AB546)&lt;&gt;"",TRIM(AB546)&lt;&gt;"Closed"),"INVALID – corrective action still open",IF(AND(NOT(OR(LEN(AZ546)&lt;15,ISNUMBER(MATCH(AZ546,L_Placeholder,0)))),NOT(OR(LEN(AU546)&lt;2,ISNUMBER(MATCH(AU546,L_Placeholder,0)))),NOT(OR(LEN(AX546)&lt;2,ISNUMBER(MATCH(AX546,L_Placeholder,0)))),TRIM(AE546)&lt;&gt;TRIM(T546)),"N/A – JUSTIFIED","INVALID – N/A needs a real justification (15+ chars), PIC and a different verifier"))),IF(OR(TRIM(U546)="Pass",TRIM(U546)="Pass after CA"),IF(NOT(ISNUMBER(AD546)),"INVALID – completion time missing",IF(OR(LEN(AU546)&lt;2,ISNUMBER(MATCH(AU546,L_Placeholder,0))),"INVALID – PIC missing",IF(OR(LEN(AV546)&lt;2,ISNUMBER(MATCH(AV546,L_Placeholder,0))),"INVALID – result / assessment missing",IF(OR(OR(LEN(AW546)&lt;3,ISNUMBER(MATCH(AW546,L_Placeholder,0))),SUMPRODUCT(--ISNUMBER(SEARCH(L_EvidencePhrase,AW546)))&gt;0),"INVALID – evidence missing, placeholder or not yet on file",IF(OR(LEN(AX546)&lt;2,ISNUMBER(MATCH(AX546,L_Placeholder,0))),"INVALID – verifier missing",IF(AX546=AU546,"INVALID – verifier must be someone other than the PIC",IF(AND(TRIM(U546)="Pass",SUMPRODUCT(--ISNUMBER(SEARCH(L_ResultBad,AV546)))&gt;0),"INVALID – result describes a problem: use Fail, then Pass after CA",IF(AND(AQ546=1,OR(LEN(AY546)&lt;3,ISNUMBER(MATCH(AY546,L_Placeholder,0)))),"INVALID – batch ID missing or placeholder",IF(AND(AR546=1,OR(NOT(ISNUMBER(X546)),NOT(ISNUMBER(Y546)))),"INVALID – expected/actual qty missing",IF(AND(AR546=1,OR(X546&lt;=0,Y546&lt;0)),"INVALID – expected qty must be above 0 and actual not negative",IF(BB546&lt;&gt;"",BB546,IF(AND(AS546=1,Documents!$J$21&lt;&gt;"ON FILE"),"INVALID – GLD not on file (Documents sheet)",IF(AND(AS546=2,Documents!$O$21&lt;&gt;"ON FILE"),"INVALID – menu checklist not on file (Documents sheet)",IF(AND(AS546=3,NOT(ISNUMBER(Flights!$AX$21))),"INVALID – enter carrying flight KUL departure (Flights AX)",IF(AND(AS546=3,OR(Flights!$AZ$21&gt;Flights!$AA$21,Flights!$AX$21&lt;Flights!$AA$21-3)),"INVALID – carrying flight (Flights AX) cannot arrive before this leg's STD, or is over 3 days early",IF(AG546&gt;AsOfUTC,"INVALID – completion time is in the future",IF(AND(ISNUMBER(S546),AG546&lt;S546),IF(H546="Physical uplift","INVALID – before uplift window (cannot confirm loading)","INVALID – before valid window"),IF(AG546&gt;Flights!$AA$21,"INVALID – completed after departure (cannot establish readiness)",IF(AND(H546="Preparation",AG546&gt;IF(ISNUMBER(Flights!$BA$21),MIN(Flights!$BA$21,Flights!$AA$21),Flights!$AA$21)),"INVALID – completed after loading / departure (cannot establish readiness)",IF(AND(H546="Physical uplift",AG546&gt;Q546),"INVALID – recorded after the loading flight departed",IF(AG546&gt;Q546,"COMPLETE – LATE","COMPLETE"))))))))))))))))))))),IF(TRIM(U546)="Fail","FAIL – DISCREPANCY",IF(AND(TRIM(U546)&lt;&gt;"",TRIM(U546)&lt;&gt;"Not started",TRIM(U546)&lt;&gt;"In progress"),"INVALID – unrecognised status (use the list)",IF(AsOfUTC&gt;Q546,"OVERDUE",IF(N546="Clarification required","OPEN – CLARIFICATION","OPEN"))))))),"INVALID – error value in an input cell")</f>
        <v>OPEN</v>
      </c>
      <c r="AI546" s="61" t="n">
        <f aca="false">IF(OR(AH546="N/A – RULE",AH546="N/A – JUSTIFIED"),0,1)</f>
        <v>1</v>
      </c>
      <c r="AJ546" s="61" t="n">
        <f aca="false">IF(LEFT(AH546,8)="COMPLETE",1,0)</f>
        <v>0</v>
      </c>
      <c r="AK546" s="61" t="n">
        <f aca="false">IF(AND(AI546=1,AJ546=0,AsOfUTC&gt;Q546),1,0)</f>
        <v>0</v>
      </c>
      <c r="AL546" s="61" t="n">
        <f aca="false">IFERROR(IF(AND(AI546=1,OR(TRIM(U546)="Fail",AND(TRIM(AB546)&lt;&gt;"",TRIM(AB546)&lt;&gt;"Closed"),AND(ISNUMBER(AF546),AF546&lt;&gt;0,TRIM(U546)&lt;&gt;"Pass after CA"))),1,0),1)</f>
        <v>0</v>
      </c>
      <c r="AM546" s="61" t="n">
        <f aca="false">IF(LEFT(AH546,7)="INVALID",1,0)</f>
        <v>0</v>
      </c>
      <c r="AN546" s="61" t="n">
        <f aca="false">IF(AND(N546="Clarification required",AI546=1,AJ546=0),1,0)</f>
        <v>0</v>
      </c>
      <c r="AO546" s="61" t="str">
        <f aca="false">IF(AK546=1,SUM(AK$5:AK546),"")</f>
        <v/>
      </c>
      <c r="AP546" s="61" t="str">
        <f aca="false">IF(AL546=1,SUM(AL$5:AL546),"")</f>
        <v/>
      </c>
      <c r="AQ546" s="61" t="n">
        <v>0</v>
      </c>
      <c r="AR546" s="61" t="n">
        <v>0</v>
      </c>
      <c r="AS546" s="61" t="n">
        <v>0</v>
      </c>
      <c r="AT546" s="61" t="n">
        <v>0</v>
      </c>
      <c r="AU546" s="61" t="str">
        <f aca="false">SUBSTITUTE(SUBSTITUTE(SUBSTITUTE(SUBSTITUTE(SUBSTITUTE(SUBSTITUTE(SUBSTITUTE(SUBSTITUTE(SUBSTITUTE(SUBSTITUTE(SUBSTITUTE(SUBSTITUTE(SUBSTITUTE(LOWER(T546&amp;""),CHAR(160),"")," ",""),".",""),"-",""),"/",""),"?",""),"_",""),",",""),"[",""),"]",""),"(",""),")",""),"*","")</f>
        <v/>
      </c>
      <c r="AV546" s="61" t="str">
        <f aca="false">SUBSTITUTE(SUBSTITUTE(SUBSTITUTE(SUBSTITUTE(SUBSTITUTE(SUBSTITUTE(SUBSTITUTE(SUBSTITUTE(SUBSTITUTE(SUBSTITUTE(SUBSTITUTE(SUBSTITUTE(SUBSTITUTE(LOWER(V546&amp;""),CHAR(160),"")," ",""),".",""),"-",""),"/",""),"?",""),"_",""),",",""),"[",""),"]",""),"(",""),")",""),"*","")</f>
        <v/>
      </c>
      <c r="AW546" s="61" t="str">
        <f aca="false">SUBSTITUTE(SUBSTITUTE(SUBSTITUTE(SUBSTITUTE(SUBSTITUTE(SUBSTITUTE(SUBSTITUTE(SUBSTITUTE(SUBSTITUTE(SUBSTITUTE(SUBSTITUTE(SUBSTITUTE(SUBSTITUTE(LOWER(Z546&amp;""),CHAR(160),"")," ",""),".",""),"-",""),"/",""),"?",""),"_",""),",",""),"[",""),"]",""),"(",""),")",""),"*","")</f>
        <v/>
      </c>
      <c r="AX546" s="61" t="str">
        <f aca="false">SUBSTITUTE(SUBSTITUTE(SUBSTITUTE(SUBSTITUTE(SUBSTITUTE(SUBSTITUTE(SUBSTITUTE(SUBSTITUTE(SUBSTITUTE(SUBSTITUTE(SUBSTITUTE(SUBSTITUTE(SUBSTITUTE(LOWER(AE546&amp;""),CHAR(160),"")," ",""),".",""),"-",""),"/",""),"?",""),"_",""),",",""),"[",""),"]",""),"(",""),")",""),"*","")</f>
        <v/>
      </c>
      <c r="AY546" s="61" t="str">
        <f aca="false">SUBSTITUTE(SUBSTITUTE(SUBSTITUTE(SUBSTITUTE(SUBSTITUTE(SUBSTITUTE(SUBSTITUTE(SUBSTITUTE(SUBSTITUTE(SUBSTITUTE(SUBSTITUTE(SUBSTITUTE(SUBSTITUTE(LOWER(W546&amp;""),CHAR(160),"")," ",""),".",""),"-",""),"/",""),"?",""),"_",""),",",""),"[",""),"]",""),"(",""),")",""),"*","")</f>
        <v/>
      </c>
      <c r="AZ546" s="61" t="str">
        <f aca="false">SUBSTITUTE(SUBSTITUTE(SUBSTITUTE(SUBSTITUTE(SUBSTITUTE(SUBSTITUTE(SUBSTITUTE(SUBSTITUTE(SUBSTITUTE(SUBSTITUTE(SUBSTITUTE(SUBSTITUTE(SUBSTITUTE(LOWER(AC546&amp;""),CHAR(160),"")," ",""),".",""),"-",""),"/",""),"?",""),"_",""),",",""),"[",""),"]",""),"(",""),")",""),"*","")</f>
        <v/>
      </c>
      <c r="BA546" s="61" t="str">
        <f aca="false">SUBSTITUTE(SUBSTITUTE(SUBSTITUTE(SUBSTITUTE(SUBSTITUTE(SUBSTITUTE(SUBSTITUTE(SUBSTITUTE(SUBSTITUTE(SUBSTITUTE(SUBSTITUTE(SUBSTITUTE(SUBSTITUTE(LOWER(AA546&amp;""),CHAR(160),"")," ",""),".",""),"-",""),"/",""),"?",""),"_",""),",",""),"[",""),"]",""),"(",""),")",""),"*","")</f>
        <v/>
      </c>
      <c r="BB546" s="61" t="str">
        <f aca="false">IF(AND(TRIM(U546)="Pass",ISNUMBER(AF546)),IF(AF546&lt;&gt;0,"INVALID – qty variance: use Fail or Pass after CA",""),"")&amp;IF(AND(TRIM(U546)="Pass after CA",ISNUMBER(AF546)),IF(AF546&lt;&gt;0,"INVALID – after the corrective action the actual qty must equal expected (update Actual)",""),"")&amp;IF(AND(TRIM(U546)="Pass",TRIM(AB546)&lt;&gt;"",TRIM(AB546)&lt;&gt;"Closed"),"INVALID – corrective action not closed: use Fail, then Pass after CA","")&amp;IF(AND(TRIM(AA546)&lt;&gt;"",TRIM(AB546)=""),"INVALID – CA status missing for the recorded corrective action","")&amp;IF(AND(TRIM(U546)="Pass after CA",OR(OR(LEN(BA546)&lt;5,ISNUMBER(MATCH(BA546,L_Placeholder,0))),TRIM(AB546)&lt;&gt;"Closed")),"INVALID – corrective action not recorded/closed","")</f>
        <v/>
      </c>
    </row>
    <row r="547" customFormat="false" ht="78.75" hidden="false" customHeight="true" outlineLevel="0" collapsed="false">
      <c r="A547" s="57" t="s">
        <v>1196</v>
      </c>
      <c r="B547" s="57" t="s">
        <v>287</v>
      </c>
      <c r="C547" s="57" t="str">
        <f aca="false">Flights!$F$21</f>
        <v>MH0073</v>
      </c>
      <c r="D547" s="58" t="n">
        <f aca="false">Flights!$D$21</f>
        <v>46322</v>
      </c>
      <c r="E547" s="57" t="str">
        <f aca="false">Flights!$G$21&amp;"-"&amp;Flights!$H$21</f>
        <v>HKG-KUL</v>
      </c>
      <c r="F547" s="57" t="str">
        <f aca="false">Flights!$K$21</f>
        <v>BC</v>
      </c>
      <c r="G547" s="57" t="s">
        <v>398</v>
      </c>
      <c r="H547" s="57" t="s">
        <v>356</v>
      </c>
      <c r="I547" s="57" t="s">
        <v>406</v>
      </c>
      <c r="J547" s="57" t="s">
        <v>413</v>
      </c>
      <c r="K547" s="67" t="s">
        <v>469</v>
      </c>
      <c r="L547" s="67" t="s">
        <v>400</v>
      </c>
      <c r="M547" s="67"/>
      <c r="N547" s="67" t="s">
        <v>361</v>
      </c>
      <c r="O547" s="67" t="s">
        <v>401</v>
      </c>
      <c r="P547" s="57" t="s">
        <v>279</v>
      </c>
      <c r="Q547" s="59" t="n">
        <f aca="false">ROUND((Flights!$AE$21)*1440,0)/1440</f>
        <v>46321.7847222222</v>
      </c>
      <c r="R547" s="59" t="n">
        <f aca="false">Q547+(IF(AND(INDEX(TZ_DSTS,MATCH(P547,TZ_STN,0))&lt;&gt;"",Q547&gt;=INDEX(TZ_DSTS,MATCH(P547,TZ_STN,0)),Q547&lt;INDEX(TZ_DSTE,MATCH(P547,TZ_STN,0))),INDEX(TZ_DST,MATCH(P547,TZ_STN,0)),INDEX(TZ_STD,MATCH(P547,TZ_STN,0))))/24</f>
        <v>46322.1180555556</v>
      </c>
      <c r="S547" s="59" t="n">
        <f aca="false">Q547-T12EarlyH/24</f>
        <v>46321.2847222222</v>
      </c>
      <c r="T547" s="60"/>
      <c r="U547" s="60"/>
      <c r="V547" s="60"/>
      <c r="W547" s="61"/>
      <c r="X547" s="60"/>
      <c r="Y547" s="60"/>
      <c r="Z547" s="60"/>
      <c r="AA547" s="60"/>
      <c r="AB547" s="60"/>
      <c r="AC547" s="60"/>
      <c r="AD547" s="66"/>
      <c r="AE547" s="60"/>
      <c r="AF547" s="61" t="str">
        <f aca="false">IF(AND(ISNUMBER(X547),ISNUMBER(Y547)),Y547-X547,"")</f>
        <v/>
      </c>
      <c r="AG547" s="62" t="str">
        <f aca="false">IF(ISNUMBER(AD547),AD547-(IF(AND(INDEX(TZ_DSTS,MATCH(P547,TZ_STN,0))&lt;&gt;"",(AD547-INDEX(TZ_STD,MATCH(P547,TZ_STN,0))/24)&gt;=INDEX(TZ_DSTS,MATCH(P547,TZ_STN,0)),(AD547-INDEX(TZ_STD,MATCH(P547,TZ_STN,0))/24)&lt;INDEX(TZ_DSTE,MATCH(P547,TZ_STN,0))),INDEX(TZ_DST,MATCH(P547,TZ_STN,0)),INDEX(TZ_STD,MATCH(P547,TZ_STN,0))))/24,"")</f>
        <v/>
      </c>
      <c r="AH547" s="65" t="str">
        <f aca="false">IFERROR(IF(N547="N/A – rule","N/A – RULE",IF(TRIM(U547)="N/A",IF(AT547=0,"INVALID – N/A not permitted for this check",IF(AND(TRIM(AB547)&lt;&gt;"",TRIM(AB547)&lt;&gt;"Closed"),"INVALID – corrective action still open",IF(AND(NOT(OR(LEN(AZ547)&lt;15,ISNUMBER(MATCH(AZ547,L_Placeholder,0)))),NOT(OR(LEN(AU547)&lt;2,ISNUMBER(MATCH(AU547,L_Placeholder,0)))),NOT(OR(LEN(AX547)&lt;2,ISNUMBER(MATCH(AX547,L_Placeholder,0)))),TRIM(AE547)&lt;&gt;TRIM(T547)),"N/A – JUSTIFIED","INVALID – N/A needs a real justification (15+ chars), PIC and a different verifier"))),IF(OR(TRIM(U547)="Pass",TRIM(U547)="Pass after CA"),IF(NOT(ISNUMBER(AD547)),"INVALID – completion time missing",IF(OR(LEN(AU547)&lt;2,ISNUMBER(MATCH(AU547,L_Placeholder,0))),"INVALID – PIC missing",IF(OR(LEN(AV547)&lt;2,ISNUMBER(MATCH(AV547,L_Placeholder,0))),"INVALID – result / assessment missing",IF(OR(OR(LEN(AW547)&lt;3,ISNUMBER(MATCH(AW547,L_Placeholder,0))),SUMPRODUCT(--ISNUMBER(SEARCH(L_EvidencePhrase,AW547)))&gt;0),"INVALID – evidence missing, placeholder or not yet on file",IF(OR(LEN(AX547)&lt;2,ISNUMBER(MATCH(AX547,L_Placeholder,0))),"INVALID – verifier missing",IF(AX547=AU547,"INVALID – verifier must be someone other than the PIC",IF(AND(TRIM(U547)="Pass",SUMPRODUCT(--ISNUMBER(SEARCH(L_ResultBad,AV547)))&gt;0),"INVALID – result describes a problem: use Fail, then Pass after CA",IF(AND(AQ547=1,OR(LEN(AY547)&lt;3,ISNUMBER(MATCH(AY547,L_Placeholder,0)))),"INVALID – batch ID missing or placeholder",IF(AND(AR547=1,OR(NOT(ISNUMBER(X547)),NOT(ISNUMBER(Y547)))),"INVALID – expected/actual qty missing",IF(AND(AR547=1,OR(X547&lt;=0,Y547&lt;0)),"INVALID – expected qty must be above 0 and actual not negative",IF(BB547&lt;&gt;"",BB547,IF(AND(AS547=1,Documents!$J$21&lt;&gt;"ON FILE"),"INVALID – GLD not on file (Documents sheet)",IF(AND(AS547=2,Documents!$O$21&lt;&gt;"ON FILE"),"INVALID – menu checklist not on file (Documents sheet)",IF(AND(AS547=3,NOT(ISNUMBER(Flights!$AX$21))),"INVALID – enter carrying flight KUL departure (Flights AX)",IF(AND(AS547=3,OR(Flights!$AZ$21&gt;Flights!$AA$21,Flights!$AX$21&lt;Flights!$AA$21-3)),"INVALID – carrying flight (Flights AX) cannot arrive before this leg's STD, or is over 3 days early",IF(AG547&gt;AsOfUTC,"INVALID – completion time is in the future",IF(AND(ISNUMBER(S547),AG547&lt;S547),IF(H547="Physical uplift","INVALID – before uplift window (cannot confirm loading)","INVALID – before valid window"),IF(AG547&gt;Flights!$AA$21,"INVALID – completed after departure (cannot establish readiness)",IF(AND(H547="Preparation",AG547&gt;IF(ISNUMBER(Flights!$BA$21),MIN(Flights!$BA$21,Flights!$AA$21),Flights!$AA$21)),"INVALID – completed after loading / departure (cannot establish readiness)",IF(AND(H547="Physical uplift",AG547&gt;Q547),"INVALID – recorded after the loading flight departed",IF(AG547&gt;Q547,"COMPLETE – LATE","COMPLETE"))))))))))))))))))))),IF(TRIM(U547)="Fail","FAIL – DISCREPANCY",IF(AND(TRIM(U547)&lt;&gt;"",TRIM(U547)&lt;&gt;"Not started",TRIM(U547)&lt;&gt;"In progress"),"INVALID – unrecognised status (use the list)",IF(AsOfUTC&gt;Q547,"OVERDUE",IF(N547="Clarification required","OPEN – CLARIFICATION","OPEN"))))))),"INVALID – error value in an input cell")</f>
        <v>OPEN</v>
      </c>
      <c r="AI547" s="61" t="n">
        <f aca="false">IF(OR(AH547="N/A – RULE",AH547="N/A – JUSTIFIED"),0,1)</f>
        <v>1</v>
      </c>
      <c r="AJ547" s="61" t="n">
        <f aca="false">IF(LEFT(AH547,8)="COMPLETE",1,0)</f>
        <v>0</v>
      </c>
      <c r="AK547" s="61" t="n">
        <f aca="false">IF(AND(AI547=1,AJ547=0,AsOfUTC&gt;Q547),1,0)</f>
        <v>0</v>
      </c>
      <c r="AL547" s="61" t="n">
        <f aca="false">IFERROR(IF(AND(AI547=1,OR(TRIM(U547)="Fail",AND(TRIM(AB547)&lt;&gt;"",TRIM(AB547)&lt;&gt;"Closed"),AND(ISNUMBER(AF547),AF547&lt;&gt;0,TRIM(U547)&lt;&gt;"Pass after CA"))),1,0),1)</f>
        <v>0</v>
      </c>
      <c r="AM547" s="61" t="n">
        <f aca="false">IF(LEFT(AH547,7)="INVALID",1,0)</f>
        <v>0</v>
      </c>
      <c r="AN547" s="61" t="n">
        <f aca="false">IF(AND(N547="Clarification required",AI547=1,AJ547=0),1,0)</f>
        <v>0</v>
      </c>
      <c r="AO547" s="61" t="str">
        <f aca="false">IF(AK547=1,SUM(AK$5:AK547),"")</f>
        <v/>
      </c>
      <c r="AP547" s="61" t="str">
        <f aca="false">IF(AL547=1,SUM(AL$5:AL547),"")</f>
        <v/>
      </c>
      <c r="AQ547" s="61" t="n">
        <v>0</v>
      </c>
      <c r="AR547" s="61" t="n">
        <v>1</v>
      </c>
      <c r="AS547" s="61" t="n">
        <v>0</v>
      </c>
      <c r="AT547" s="61" t="n">
        <v>0</v>
      </c>
      <c r="AU547" s="61" t="str">
        <f aca="false">SUBSTITUTE(SUBSTITUTE(SUBSTITUTE(SUBSTITUTE(SUBSTITUTE(SUBSTITUTE(SUBSTITUTE(SUBSTITUTE(SUBSTITUTE(SUBSTITUTE(SUBSTITUTE(SUBSTITUTE(SUBSTITUTE(LOWER(T547&amp;""),CHAR(160),"")," ",""),".",""),"-",""),"/",""),"?",""),"_",""),",",""),"[",""),"]",""),"(",""),")",""),"*","")</f>
        <v/>
      </c>
      <c r="AV547" s="61" t="str">
        <f aca="false">SUBSTITUTE(SUBSTITUTE(SUBSTITUTE(SUBSTITUTE(SUBSTITUTE(SUBSTITUTE(SUBSTITUTE(SUBSTITUTE(SUBSTITUTE(SUBSTITUTE(SUBSTITUTE(SUBSTITUTE(SUBSTITUTE(LOWER(V547&amp;""),CHAR(160),"")," ",""),".",""),"-",""),"/",""),"?",""),"_",""),",",""),"[",""),"]",""),"(",""),")",""),"*","")</f>
        <v/>
      </c>
      <c r="AW547" s="61" t="str">
        <f aca="false">SUBSTITUTE(SUBSTITUTE(SUBSTITUTE(SUBSTITUTE(SUBSTITUTE(SUBSTITUTE(SUBSTITUTE(SUBSTITUTE(SUBSTITUTE(SUBSTITUTE(SUBSTITUTE(SUBSTITUTE(SUBSTITUTE(LOWER(Z547&amp;""),CHAR(160),"")," ",""),".",""),"-",""),"/",""),"?",""),"_",""),",",""),"[",""),"]",""),"(",""),")",""),"*","")</f>
        <v/>
      </c>
      <c r="AX547" s="61" t="str">
        <f aca="false">SUBSTITUTE(SUBSTITUTE(SUBSTITUTE(SUBSTITUTE(SUBSTITUTE(SUBSTITUTE(SUBSTITUTE(SUBSTITUTE(SUBSTITUTE(SUBSTITUTE(SUBSTITUTE(SUBSTITUTE(SUBSTITUTE(LOWER(AE547&amp;""),CHAR(160),"")," ",""),".",""),"-",""),"/",""),"?",""),"_",""),",",""),"[",""),"]",""),"(",""),")",""),"*","")</f>
        <v/>
      </c>
      <c r="AY547" s="61" t="str">
        <f aca="false">SUBSTITUTE(SUBSTITUTE(SUBSTITUTE(SUBSTITUTE(SUBSTITUTE(SUBSTITUTE(SUBSTITUTE(SUBSTITUTE(SUBSTITUTE(SUBSTITUTE(SUBSTITUTE(SUBSTITUTE(SUBSTITUTE(LOWER(W547&amp;""),CHAR(160),"")," ",""),".",""),"-",""),"/",""),"?",""),"_",""),",",""),"[",""),"]",""),"(",""),")",""),"*","")</f>
        <v/>
      </c>
      <c r="AZ547" s="61" t="str">
        <f aca="false">SUBSTITUTE(SUBSTITUTE(SUBSTITUTE(SUBSTITUTE(SUBSTITUTE(SUBSTITUTE(SUBSTITUTE(SUBSTITUTE(SUBSTITUTE(SUBSTITUTE(SUBSTITUTE(SUBSTITUTE(SUBSTITUTE(LOWER(AC547&amp;""),CHAR(160),"")," ",""),".",""),"-",""),"/",""),"?",""),"_",""),",",""),"[",""),"]",""),"(",""),")",""),"*","")</f>
        <v/>
      </c>
      <c r="BA547" s="61" t="str">
        <f aca="false">SUBSTITUTE(SUBSTITUTE(SUBSTITUTE(SUBSTITUTE(SUBSTITUTE(SUBSTITUTE(SUBSTITUTE(SUBSTITUTE(SUBSTITUTE(SUBSTITUTE(SUBSTITUTE(SUBSTITUTE(SUBSTITUTE(LOWER(AA547&amp;""),CHAR(160),"")," ",""),".",""),"-",""),"/",""),"?",""),"_",""),",",""),"[",""),"]",""),"(",""),")",""),"*","")</f>
        <v/>
      </c>
      <c r="BB547" s="61" t="str">
        <f aca="false">IF(AND(TRIM(U547)="Pass",ISNUMBER(AF547)),IF(AF547&lt;&gt;0,"INVALID – qty variance: use Fail or Pass after CA",""),"")&amp;IF(AND(TRIM(U547)="Pass after CA",ISNUMBER(AF547)),IF(AF547&lt;&gt;0,"INVALID – after the corrective action the actual qty must equal expected (update Actual)",""),"")&amp;IF(AND(TRIM(U547)="Pass",TRIM(AB547)&lt;&gt;"",TRIM(AB547)&lt;&gt;"Closed"),"INVALID – corrective action not closed: use Fail, then Pass after CA","")&amp;IF(AND(TRIM(AA547)&lt;&gt;"",TRIM(AB547)=""),"INVALID – CA status missing for the recorded corrective action","")&amp;IF(AND(TRIM(U547)="Pass after CA",OR(OR(LEN(BA547)&lt;5,ISNUMBER(MATCH(BA547,L_Placeholder,0))),TRIM(AB547)&lt;&gt;"Closed")),"INVALID – corrective action not recorded/closed","")</f>
        <v/>
      </c>
    </row>
    <row r="548" customFormat="false" ht="39.75" hidden="false" customHeight="true" outlineLevel="0" collapsed="false">
      <c r="A548" s="57" t="s">
        <v>1197</v>
      </c>
      <c r="B548" s="57" t="s">
        <v>287</v>
      </c>
      <c r="C548" s="57" t="str">
        <f aca="false">Flights!$F$21</f>
        <v>MH0073</v>
      </c>
      <c r="D548" s="58" t="n">
        <f aca="false">Flights!$D$21</f>
        <v>46322</v>
      </c>
      <c r="E548" s="57" t="str">
        <f aca="false">Flights!$G$21&amp;"-"&amp;Flights!$H$21</f>
        <v>HKG-KUL</v>
      </c>
      <c r="F548" s="57" t="str">
        <f aca="false">Flights!$K$21</f>
        <v>BC</v>
      </c>
      <c r="G548" s="57" t="s">
        <v>398</v>
      </c>
      <c r="H548" s="57" t="s">
        <v>356</v>
      </c>
      <c r="I548" s="57" t="s">
        <v>406</v>
      </c>
      <c r="J548" s="57" t="s">
        <v>416</v>
      </c>
      <c r="K548" s="67"/>
      <c r="L548" s="67" t="s">
        <v>400</v>
      </c>
      <c r="M548" s="67"/>
      <c r="N548" s="67" t="s">
        <v>361</v>
      </c>
      <c r="O548" s="67" t="s">
        <v>401</v>
      </c>
      <c r="P548" s="57" t="s">
        <v>279</v>
      </c>
      <c r="Q548" s="59" t="n">
        <f aca="false">ROUND((Flights!$AE$21)*1440,0)/1440</f>
        <v>46321.7847222222</v>
      </c>
      <c r="R548" s="59" t="n">
        <f aca="false">Q548+(IF(AND(INDEX(TZ_DSTS,MATCH(P548,TZ_STN,0))&lt;&gt;"",Q548&gt;=INDEX(TZ_DSTS,MATCH(P548,TZ_STN,0)),Q548&lt;INDEX(TZ_DSTE,MATCH(P548,TZ_STN,0))),INDEX(TZ_DST,MATCH(P548,TZ_STN,0)),INDEX(TZ_STD,MATCH(P548,TZ_STN,0))))/24</f>
        <v>46322.1180555556</v>
      </c>
      <c r="S548" s="59" t="n">
        <f aca="false">Q548-T12EarlyH/24</f>
        <v>46321.2847222222</v>
      </c>
      <c r="T548" s="60"/>
      <c r="U548" s="60"/>
      <c r="V548" s="60"/>
      <c r="W548" s="61"/>
      <c r="X548" s="60"/>
      <c r="Y548" s="60"/>
      <c r="Z548" s="60"/>
      <c r="AA548" s="60"/>
      <c r="AB548" s="60"/>
      <c r="AC548" s="60"/>
      <c r="AD548" s="66"/>
      <c r="AE548" s="60"/>
      <c r="AF548" s="61" t="str">
        <f aca="false">IF(AND(ISNUMBER(X548),ISNUMBER(Y548)),Y548-X548,"")</f>
        <v/>
      </c>
      <c r="AG548" s="62" t="str">
        <f aca="false">IF(ISNUMBER(AD548),AD548-(IF(AND(INDEX(TZ_DSTS,MATCH(P548,TZ_STN,0))&lt;&gt;"",(AD548-INDEX(TZ_STD,MATCH(P548,TZ_STN,0))/24)&gt;=INDEX(TZ_DSTS,MATCH(P548,TZ_STN,0)),(AD548-INDEX(TZ_STD,MATCH(P548,TZ_STN,0))/24)&lt;INDEX(TZ_DSTE,MATCH(P548,TZ_STN,0))),INDEX(TZ_DST,MATCH(P548,TZ_STN,0)),INDEX(TZ_STD,MATCH(P548,TZ_STN,0))))/24,"")</f>
        <v/>
      </c>
      <c r="AH548" s="65" t="str">
        <f aca="false">IFERROR(IF(N548="N/A – rule","N/A – RULE",IF(TRIM(U548)="N/A",IF(AT548=0,"INVALID – N/A not permitted for this check",IF(AND(TRIM(AB548)&lt;&gt;"",TRIM(AB548)&lt;&gt;"Closed"),"INVALID – corrective action still open",IF(AND(NOT(OR(LEN(AZ548)&lt;15,ISNUMBER(MATCH(AZ548,L_Placeholder,0)))),NOT(OR(LEN(AU548)&lt;2,ISNUMBER(MATCH(AU548,L_Placeholder,0)))),NOT(OR(LEN(AX548)&lt;2,ISNUMBER(MATCH(AX548,L_Placeholder,0)))),TRIM(AE548)&lt;&gt;TRIM(T548)),"N/A – JUSTIFIED","INVALID – N/A needs a real justification (15+ chars), PIC and a different verifier"))),IF(OR(TRIM(U548)="Pass",TRIM(U548)="Pass after CA"),IF(NOT(ISNUMBER(AD548)),"INVALID – completion time missing",IF(OR(LEN(AU548)&lt;2,ISNUMBER(MATCH(AU548,L_Placeholder,0))),"INVALID – PIC missing",IF(OR(LEN(AV548)&lt;2,ISNUMBER(MATCH(AV548,L_Placeholder,0))),"INVALID – result / assessment missing",IF(OR(OR(LEN(AW548)&lt;3,ISNUMBER(MATCH(AW548,L_Placeholder,0))),SUMPRODUCT(--ISNUMBER(SEARCH(L_EvidencePhrase,AW548)))&gt;0),"INVALID – evidence missing, placeholder or not yet on file",IF(OR(LEN(AX548)&lt;2,ISNUMBER(MATCH(AX548,L_Placeholder,0))),"INVALID – verifier missing",IF(AX548=AU548,"INVALID – verifier must be someone other than the PIC",IF(AND(TRIM(U548)="Pass",SUMPRODUCT(--ISNUMBER(SEARCH(L_ResultBad,AV548)))&gt;0),"INVALID – result describes a problem: use Fail, then Pass after CA",IF(AND(AQ548=1,OR(LEN(AY548)&lt;3,ISNUMBER(MATCH(AY548,L_Placeholder,0)))),"INVALID – batch ID missing or placeholder",IF(AND(AR548=1,OR(NOT(ISNUMBER(X548)),NOT(ISNUMBER(Y548)))),"INVALID – expected/actual qty missing",IF(AND(AR548=1,OR(X548&lt;=0,Y548&lt;0)),"INVALID – expected qty must be above 0 and actual not negative",IF(BB548&lt;&gt;"",BB548,IF(AND(AS548=1,Documents!$J$21&lt;&gt;"ON FILE"),"INVALID – GLD not on file (Documents sheet)",IF(AND(AS548=2,Documents!$O$21&lt;&gt;"ON FILE"),"INVALID – menu checklist not on file (Documents sheet)",IF(AND(AS548=3,NOT(ISNUMBER(Flights!$AX$21))),"INVALID – enter carrying flight KUL departure (Flights AX)",IF(AND(AS548=3,OR(Flights!$AZ$21&gt;Flights!$AA$21,Flights!$AX$21&lt;Flights!$AA$21-3)),"INVALID – carrying flight (Flights AX) cannot arrive before this leg's STD, or is over 3 days early",IF(AG548&gt;AsOfUTC,"INVALID – completion time is in the future",IF(AND(ISNUMBER(S548),AG548&lt;S548),IF(H548="Physical uplift","INVALID – before uplift window (cannot confirm loading)","INVALID – before valid window"),IF(AG548&gt;Flights!$AA$21,"INVALID – completed after departure (cannot establish readiness)",IF(AND(H548="Preparation",AG548&gt;IF(ISNUMBER(Flights!$BA$21),MIN(Flights!$BA$21,Flights!$AA$21),Flights!$AA$21)),"INVALID – completed after loading / departure (cannot establish readiness)",IF(AND(H548="Physical uplift",AG548&gt;Q548),"INVALID – recorded after the loading flight departed",IF(AG548&gt;Q548,"COMPLETE – LATE","COMPLETE"))))))))))))))))))))),IF(TRIM(U548)="Fail","FAIL – DISCREPANCY",IF(AND(TRIM(U548)&lt;&gt;"",TRIM(U548)&lt;&gt;"Not started",TRIM(U548)&lt;&gt;"In progress"),"INVALID – unrecognised status (use the list)",IF(AsOfUTC&gt;Q548,"OVERDUE",IF(N548="Clarification required","OPEN – CLARIFICATION","OPEN"))))))),"INVALID – error value in an input cell")</f>
        <v>OPEN</v>
      </c>
      <c r="AI548" s="61" t="n">
        <f aca="false">IF(OR(AH548="N/A – RULE",AH548="N/A – JUSTIFIED"),0,1)</f>
        <v>1</v>
      </c>
      <c r="AJ548" s="61" t="n">
        <f aca="false">IF(LEFT(AH548,8)="COMPLETE",1,0)</f>
        <v>0</v>
      </c>
      <c r="AK548" s="61" t="n">
        <f aca="false">IF(AND(AI548=1,AJ548=0,AsOfUTC&gt;Q548),1,0)</f>
        <v>0</v>
      </c>
      <c r="AL548" s="61" t="n">
        <f aca="false">IFERROR(IF(AND(AI548=1,OR(TRIM(U548)="Fail",AND(TRIM(AB548)&lt;&gt;"",TRIM(AB548)&lt;&gt;"Closed"),AND(ISNUMBER(AF548),AF548&lt;&gt;0,TRIM(U548)&lt;&gt;"Pass after CA"))),1,0),1)</f>
        <v>0</v>
      </c>
      <c r="AM548" s="61" t="n">
        <f aca="false">IF(LEFT(AH548,7)="INVALID",1,0)</f>
        <v>0</v>
      </c>
      <c r="AN548" s="61" t="n">
        <f aca="false">IF(AND(N548="Clarification required",AI548=1,AJ548=0),1,0)</f>
        <v>0</v>
      </c>
      <c r="AO548" s="61" t="str">
        <f aca="false">IF(AK548=1,SUM(AK$5:AK548),"")</f>
        <v/>
      </c>
      <c r="AP548" s="61" t="str">
        <f aca="false">IF(AL548=1,SUM(AL$5:AL548),"")</f>
        <v/>
      </c>
      <c r="AQ548" s="61" t="n">
        <v>0</v>
      </c>
      <c r="AR548" s="61" t="n">
        <v>0</v>
      </c>
      <c r="AS548" s="61" t="n">
        <v>0</v>
      </c>
      <c r="AT548" s="61" t="n">
        <v>0</v>
      </c>
      <c r="AU548" s="61" t="str">
        <f aca="false">SUBSTITUTE(SUBSTITUTE(SUBSTITUTE(SUBSTITUTE(SUBSTITUTE(SUBSTITUTE(SUBSTITUTE(SUBSTITUTE(SUBSTITUTE(SUBSTITUTE(SUBSTITUTE(SUBSTITUTE(SUBSTITUTE(LOWER(T548&amp;""),CHAR(160),"")," ",""),".",""),"-",""),"/",""),"?",""),"_",""),",",""),"[",""),"]",""),"(",""),")",""),"*","")</f>
        <v/>
      </c>
      <c r="AV548" s="61" t="str">
        <f aca="false">SUBSTITUTE(SUBSTITUTE(SUBSTITUTE(SUBSTITUTE(SUBSTITUTE(SUBSTITUTE(SUBSTITUTE(SUBSTITUTE(SUBSTITUTE(SUBSTITUTE(SUBSTITUTE(SUBSTITUTE(SUBSTITUTE(LOWER(V548&amp;""),CHAR(160),"")," ",""),".",""),"-",""),"/",""),"?",""),"_",""),",",""),"[",""),"]",""),"(",""),")",""),"*","")</f>
        <v/>
      </c>
      <c r="AW548" s="61" t="str">
        <f aca="false">SUBSTITUTE(SUBSTITUTE(SUBSTITUTE(SUBSTITUTE(SUBSTITUTE(SUBSTITUTE(SUBSTITUTE(SUBSTITUTE(SUBSTITUTE(SUBSTITUTE(SUBSTITUTE(SUBSTITUTE(SUBSTITUTE(LOWER(Z548&amp;""),CHAR(160),"")," ",""),".",""),"-",""),"/",""),"?",""),"_",""),",",""),"[",""),"]",""),"(",""),")",""),"*","")</f>
        <v/>
      </c>
      <c r="AX548" s="61" t="str">
        <f aca="false">SUBSTITUTE(SUBSTITUTE(SUBSTITUTE(SUBSTITUTE(SUBSTITUTE(SUBSTITUTE(SUBSTITUTE(SUBSTITUTE(SUBSTITUTE(SUBSTITUTE(SUBSTITUTE(SUBSTITUTE(SUBSTITUTE(LOWER(AE548&amp;""),CHAR(160),"")," ",""),".",""),"-",""),"/",""),"?",""),"_",""),",",""),"[",""),"]",""),"(",""),")",""),"*","")</f>
        <v/>
      </c>
      <c r="AY548" s="61" t="str">
        <f aca="false">SUBSTITUTE(SUBSTITUTE(SUBSTITUTE(SUBSTITUTE(SUBSTITUTE(SUBSTITUTE(SUBSTITUTE(SUBSTITUTE(SUBSTITUTE(SUBSTITUTE(SUBSTITUTE(SUBSTITUTE(SUBSTITUTE(LOWER(W548&amp;""),CHAR(160),"")," ",""),".",""),"-",""),"/",""),"?",""),"_",""),",",""),"[",""),"]",""),"(",""),")",""),"*","")</f>
        <v/>
      </c>
      <c r="AZ548" s="61" t="str">
        <f aca="false">SUBSTITUTE(SUBSTITUTE(SUBSTITUTE(SUBSTITUTE(SUBSTITUTE(SUBSTITUTE(SUBSTITUTE(SUBSTITUTE(SUBSTITUTE(SUBSTITUTE(SUBSTITUTE(SUBSTITUTE(SUBSTITUTE(LOWER(AC548&amp;""),CHAR(160),"")," ",""),".",""),"-",""),"/",""),"?",""),"_",""),",",""),"[",""),"]",""),"(",""),")",""),"*","")</f>
        <v/>
      </c>
      <c r="BA548" s="61" t="str">
        <f aca="false">SUBSTITUTE(SUBSTITUTE(SUBSTITUTE(SUBSTITUTE(SUBSTITUTE(SUBSTITUTE(SUBSTITUTE(SUBSTITUTE(SUBSTITUTE(SUBSTITUTE(SUBSTITUTE(SUBSTITUTE(SUBSTITUTE(LOWER(AA548&amp;""),CHAR(160),"")," ",""),".",""),"-",""),"/",""),"?",""),"_",""),",",""),"[",""),"]",""),"(",""),")",""),"*","")</f>
        <v/>
      </c>
      <c r="BB548" s="61" t="str">
        <f aca="false">IF(AND(TRIM(U548)="Pass",ISNUMBER(AF548)),IF(AF548&lt;&gt;0,"INVALID – qty variance: use Fail or Pass after CA",""),"")&amp;IF(AND(TRIM(U548)="Pass after CA",ISNUMBER(AF548)),IF(AF548&lt;&gt;0,"INVALID – after the corrective action the actual qty must equal expected (update Actual)",""),"")&amp;IF(AND(TRIM(U548)="Pass",TRIM(AB548)&lt;&gt;"",TRIM(AB548)&lt;&gt;"Closed"),"INVALID – corrective action not closed: use Fail, then Pass after CA","")&amp;IF(AND(TRIM(AA548)&lt;&gt;"",TRIM(AB548)=""),"INVALID – CA status missing for the recorded corrective action","")&amp;IF(AND(TRIM(U548)="Pass after CA",OR(OR(LEN(BA548)&lt;5,ISNUMBER(MATCH(BA548,L_Placeholder,0))),TRIM(AB548)&lt;&gt;"Closed")),"INVALID – corrective action not recorded/closed","")</f>
        <v/>
      </c>
    </row>
    <row r="549" customFormat="false" ht="41.25" hidden="false" customHeight="true" outlineLevel="0" collapsed="false">
      <c r="A549" s="57" t="s">
        <v>1198</v>
      </c>
      <c r="B549" s="57" t="s">
        <v>287</v>
      </c>
      <c r="C549" s="57" t="str">
        <f aca="false">Flights!$F$21</f>
        <v>MH0073</v>
      </c>
      <c r="D549" s="58" t="n">
        <f aca="false">Flights!$D$21</f>
        <v>46322</v>
      </c>
      <c r="E549" s="57" t="str">
        <f aca="false">Flights!$G$21&amp;"-"&amp;Flights!$H$21</f>
        <v>HKG-KUL</v>
      </c>
      <c r="F549" s="57" t="str">
        <f aca="false">Flights!$K$21</f>
        <v>BC</v>
      </c>
      <c r="G549" s="57" t="s">
        <v>398</v>
      </c>
      <c r="H549" s="57" t="s">
        <v>356</v>
      </c>
      <c r="I549" s="57" t="s">
        <v>418</v>
      </c>
      <c r="J549" s="57" t="s">
        <v>1199</v>
      </c>
      <c r="K549" s="67" t="s">
        <v>479</v>
      </c>
      <c r="L549" s="67" t="s">
        <v>1200</v>
      </c>
      <c r="M549" s="67" t="s">
        <v>184</v>
      </c>
      <c r="N549" s="67" t="s">
        <v>361</v>
      </c>
      <c r="O549" s="67" t="s">
        <v>1201</v>
      </c>
      <c r="P549" s="57" t="s">
        <v>184</v>
      </c>
      <c r="Q549" s="59" t="n">
        <f aca="false">ROUND((MIN(Flights!$AE$21,Flights!$AY$21))*1440,0)/1440</f>
        <v>46320.7986111111</v>
      </c>
      <c r="R549" s="59" t="n">
        <f aca="false">Q549+(IF(AND(INDEX(TZ_DSTS,MATCH(P549,TZ_STN,0))&lt;&gt;"",Q549&gt;=INDEX(TZ_DSTS,MATCH(P549,TZ_STN,0)),Q549&lt;INDEX(TZ_DSTE,MATCH(P549,TZ_STN,0))),INDEX(TZ_DST,MATCH(P549,TZ_STN,0)),INDEX(TZ_STD,MATCH(P549,TZ_STN,0))))/24</f>
        <v>46321.1319444444</v>
      </c>
      <c r="S549" s="59" t="n">
        <f aca="false">Q549-T12EarlyH/24</f>
        <v>46320.2986111111</v>
      </c>
      <c r="T549" s="60"/>
      <c r="U549" s="60"/>
      <c r="V549" s="60"/>
      <c r="W549" s="61"/>
      <c r="X549" s="60"/>
      <c r="Y549" s="60"/>
      <c r="Z549" s="60"/>
      <c r="AA549" s="60"/>
      <c r="AB549" s="60"/>
      <c r="AC549" s="60"/>
      <c r="AD549" s="66"/>
      <c r="AE549" s="60"/>
      <c r="AF549" s="61" t="str">
        <f aca="false">IF(AND(ISNUMBER(X549),ISNUMBER(Y549)),Y549-X549,"")</f>
        <v/>
      </c>
      <c r="AG549" s="62" t="str">
        <f aca="false">IF(ISNUMBER(AD549),AD549-(IF(AND(INDEX(TZ_DSTS,MATCH(P549,TZ_STN,0))&lt;&gt;"",(AD549-INDEX(TZ_STD,MATCH(P549,TZ_STN,0))/24)&gt;=INDEX(TZ_DSTS,MATCH(P549,TZ_STN,0)),(AD549-INDEX(TZ_STD,MATCH(P549,TZ_STN,0))/24)&lt;INDEX(TZ_DSTE,MATCH(P549,TZ_STN,0))),INDEX(TZ_DST,MATCH(P549,TZ_STN,0)),INDEX(TZ_STD,MATCH(P549,TZ_STN,0))))/24,"")</f>
        <v/>
      </c>
      <c r="AH549" s="65" t="str">
        <f aca="false">IFERROR(IF(N549="N/A – rule","N/A – RULE",IF(TRIM(U549)="N/A",IF(AT549=0,"INVALID – N/A not permitted for this check",IF(AND(TRIM(AB549)&lt;&gt;"",TRIM(AB549)&lt;&gt;"Closed"),"INVALID – corrective action still open",IF(AND(NOT(OR(LEN(AZ549)&lt;15,ISNUMBER(MATCH(AZ549,L_Placeholder,0)))),NOT(OR(LEN(AU549)&lt;2,ISNUMBER(MATCH(AU549,L_Placeholder,0)))),NOT(OR(LEN(AX549)&lt;2,ISNUMBER(MATCH(AX549,L_Placeholder,0)))),TRIM(AE549)&lt;&gt;TRIM(T549)),"N/A – JUSTIFIED","INVALID – N/A needs a real justification (15+ chars), PIC and a different verifier"))),IF(OR(TRIM(U549)="Pass",TRIM(U549)="Pass after CA"),IF(NOT(ISNUMBER(AD549)),"INVALID – completion time missing",IF(OR(LEN(AU549)&lt;2,ISNUMBER(MATCH(AU549,L_Placeholder,0))),"INVALID – PIC missing",IF(OR(LEN(AV549)&lt;2,ISNUMBER(MATCH(AV549,L_Placeholder,0))),"INVALID – result / assessment missing",IF(OR(OR(LEN(AW549)&lt;3,ISNUMBER(MATCH(AW549,L_Placeholder,0))),SUMPRODUCT(--ISNUMBER(SEARCH(L_EvidencePhrase,AW549)))&gt;0),"INVALID – evidence missing, placeholder or not yet on file",IF(OR(LEN(AX549)&lt;2,ISNUMBER(MATCH(AX549,L_Placeholder,0))),"INVALID – verifier missing",IF(AX549=AU549,"INVALID – verifier must be someone other than the PIC",IF(AND(TRIM(U549)="Pass",SUMPRODUCT(--ISNUMBER(SEARCH(L_ResultBad,AV549)))&gt;0),"INVALID – result describes a problem: use Fail, then Pass after CA",IF(AND(AQ549=1,OR(LEN(AY549)&lt;3,ISNUMBER(MATCH(AY549,L_Placeholder,0)))),"INVALID – batch ID missing or placeholder",IF(AND(AR549=1,OR(NOT(ISNUMBER(X549)),NOT(ISNUMBER(Y549)))),"INVALID – expected/actual qty missing",IF(AND(AR549=1,OR(X549&lt;=0,Y549&lt;0)),"INVALID – expected qty must be above 0 and actual not negative",IF(BB549&lt;&gt;"",BB549,IF(AND(AS549=1,Documents!$J$21&lt;&gt;"ON FILE"),"INVALID – GLD not on file (Documents sheet)",IF(AND(AS549=2,Documents!$O$21&lt;&gt;"ON FILE"),"INVALID – menu checklist not on file (Documents sheet)",IF(AND(AS549=3,NOT(ISNUMBER(Flights!$AX$21))),"INVALID – enter carrying flight KUL departure (Flights AX)",IF(AND(AS549=3,OR(Flights!$AZ$21&gt;Flights!$AA$21,Flights!$AX$21&lt;Flights!$AA$21-3)),"INVALID – carrying flight (Flights AX) cannot arrive before this leg's STD, or is over 3 days early",IF(AG549&gt;AsOfUTC,"INVALID – completion time is in the future",IF(AND(ISNUMBER(S549),AG549&lt;S549),IF(H549="Physical uplift","INVALID – before uplift window (cannot confirm loading)","INVALID – before valid window"),IF(AG549&gt;Flights!$AA$21,"INVALID – completed after departure (cannot establish readiness)",IF(AND(H549="Preparation",AG549&gt;Flights!$AY$21+UpliftWindowH/24),"INVALID – completed after the carrying flight left KUL",IF(AND(H549="Physical uplift",AG549&gt;Q549),"INVALID – recorded after the loading flight departed",IF(AG549&gt;Q549,"COMPLETE – LATE","COMPLETE"))))))))))))))))))))),IF(TRIM(U549)="Fail","FAIL – DISCREPANCY",IF(AND(TRIM(U549)&lt;&gt;"",TRIM(U549)&lt;&gt;"Not started",TRIM(U549)&lt;&gt;"In progress"),"INVALID – unrecognised status (use the list)",IF(AsOfUTC&gt;Q549,"OVERDUE",IF(N549="Clarification required","OPEN – CLARIFICATION","OPEN"))))))),"INVALID – error value in an input cell")</f>
        <v>OPEN</v>
      </c>
      <c r="AI549" s="61" t="n">
        <f aca="false">IF(OR(AH549="N/A – RULE",AH549="N/A – JUSTIFIED"),0,1)</f>
        <v>1</v>
      </c>
      <c r="AJ549" s="61" t="n">
        <f aca="false">IF(LEFT(AH549,8)="COMPLETE",1,0)</f>
        <v>0</v>
      </c>
      <c r="AK549" s="61" t="n">
        <f aca="false">IF(AND(AI549=1,AJ549=0,AsOfUTC&gt;Q549),1,0)</f>
        <v>0</v>
      </c>
      <c r="AL549" s="61" t="n">
        <f aca="false">IFERROR(IF(AND(AI549=1,OR(TRIM(U549)="Fail",AND(TRIM(AB549)&lt;&gt;"",TRIM(AB549)&lt;&gt;"Closed"),AND(ISNUMBER(AF549),AF549&lt;&gt;0,TRIM(U549)&lt;&gt;"Pass after CA"))),1,0),1)</f>
        <v>0</v>
      </c>
      <c r="AM549" s="61" t="n">
        <f aca="false">IF(LEFT(AH549,7)="INVALID",1,0)</f>
        <v>0</v>
      </c>
      <c r="AN549" s="61" t="n">
        <f aca="false">IF(AND(N549="Clarification required",AI549=1,AJ549=0),1,0)</f>
        <v>0</v>
      </c>
      <c r="AO549" s="61" t="str">
        <f aca="false">IF(AK549=1,SUM(AK$5:AK549),"")</f>
        <v/>
      </c>
      <c r="AP549" s="61" t="str">
        <f aca="false">IF(AL549=1,SUM(AL$5:AL549),"")</f>
        <v/>
      </c>
      <c r="AQ549" s="61" t="n">
        <v>0</v>
      </c>
      <c r="AR549" s="61" t="n">
        <v>0</v>
      </c>
      <c r="AS549" s="61" t="n">
        <v>0</v>
      </c>
      <c r="AT549" s="61" t="n">
        <v>0</v>
      </c>
      <c r="AU549" s="61" t="str">
        <f aca="false">SUBSTITUTE(SUBSTITUTE(SUBSTITUTE(SUBSTITUTE(SUBSTITUTE(SUBSTITUTE(SUBSTITUTE(SUBSTITUTE(SUBSTITUTE(SUBSTITUTE(SUBSTITUTE(SUBSTITUTE(SUBSTITUTE(LOWER(T549&amp;""),CHAR(160),"")," ",""),".",""),"-",""),"/",""),"?",""),"_",""),",",""),"[",""),"]",""),"(",""),")",""),"*","")</f>
        <v/>
      </c>
      <c r="AV549" s="61" t="str">
        <f aca="false">SUBSTITUTE(SUBSTITUTE(SUBSTITUTE(SUBSTITUTE(SUBSTITUTE(SUBSTITUTE(SUBSTITUTE(SUBSTITUTE(SUBSTITUTE(SUBSTITUTE(SUBSTITUTE(SUBSTITUTE(SUBSTITUTE(LOWER(V549&amp;""),CHAR(160),"")," ",""),".",""),"-",""),"/",""),"?",""),"_",""),",",""),"[",""),"]",""),"(",""),")",""),"*","")</f>
        <v/>
      </c>
      <c r="AW549" s="61" t="str">
        <f aca="false">SUBSTITUTE(SUBSTITUTE(SUBSTITUTE(SUBSTITUTE(SUBSTITUTE(SUBSTITUTE(SUBSTITUTE(SUBSTITUTE(SUBSTITUTE(SUBSTITUTE(SUBSTITUTE(SUBSTITUTE(SUBSTITUTE(LOWER(Z549&amp;""),CHAR(160),"")," ",""),".",""),"-",""),"/",""),"?",""),"_",""),",",""),"[",""),"]",""),"(",""),")",""),"*","")</f>
        <v/>
      </c>
      <c r="AX549" s="61" t="str">
        <f aca="false">SUBSTITUTE(SUBSTITUTE(SUBSTITUTE(SUBSTITUTE(SUBSTITUTE(SUBSTITUTE(SUBSTITUTE(SUBSTITUTE(SUBSTITUTE(SUBSTITUTE(SUBSTITUTE(SUBSTITUTE(SUBSTITUTE(LOWER(AE549&amp;""),CHAR(160),"")," ",""),".",""),"-",""),"/",""),"?",""),"_",""),",",""),"[",""),"]",""),"(",""),")",""),"*","")</f>
        <v/>
      </c>
      <c r="AY549" s="61" t="str">
        <f aca="false">SUBSTITUTE(SUBSTITUTE(SUBSTITUTE(SUBSTITUTE(SUBSTITUTE(SUBSTITUTE(SUBSTITUTE(SUBSTITUTE(SUBSTITUTE(SUBSTITUTE(SUBSTITUTE(SUBSTITUTE(SUBSTITUTE(LOWER(W549&amp;""),CHAR(160),"")," ",""),".",""),"-",""),"/",""),"?",""),"_",""),",",""),"[",""),"]",""),"(",""),")",""),"*","")</f>
        <v/>
      </c>
      <c r="AZ549" s="61" t="str">
        <f aca="false">SUBSTITUTE(SUBSTITUTE(SUBSTITUTE(SUBSTITUTE(SUBSTITUTE(SUBSTITUTE(SUBSTITUTE(SUBSTITUTE(SUBSTITUTE(SUBSTITUTE(SUBSTITUTE(SUBSTITUTE(SUBSTITUTE(LOWER(AC549&amp;""),CHAR(160),"")," ",""),".",""),"-",""),"/",""),"?",""),"_",""),",",""),"[",""),"]",""),"(",""),")",""),"*","")</f>
        <v/>
      </c>
      <c r="BA549" s="61" t="str">
        <f aca="false">SUBSTITUTE(SUBSTITUTE(SUBSTITUTE(SUBSTITUTE(SUBSTITUTE(SUBSTITUTE(SUBSTITUTE(SUBSTITUTE(SUBSTITUTE(SUBSTITUTE(SUBSTITUTE(SUBSTITUTE(SUBSTITUTE(LOWER(AA549&amp;""),CHAR(160),"")," ",""),".",""),"-",""),"/",""),"?",""),"_",""),",",""),"[",""),"]",""),"(",""),")",""),"*","")</f>
        <v/>
      </c>
      <c r="BB549" s="61" t="str">
        <f aca="false">IF(AND(TRIM(U549)="Pass",ISNUMBER(AF549)),IF(AF549&lt;&gt;0,"INVALID – qty variance: use Fail or Pass after CA",""),"")&amp;IF(AND(TRIM(U549)="Pass after CA",ISNUMBER(AF549)),IF(AF549&lt;&gt;0,"INVALID – after the corrective action the actual qty must equal expected (update Actual)",""),"")&amp;IF(AND(TRIM(U549)="Pass",TRIM(AB549)&lt;&gt;"",TRIM(AB549)&lt;&gt;"Closed"),"INVALID – corrective action not closed: use Fail, then Pass after CA","")&amp;IF(AND(TRIM(AA549)&lt;&gt;"",TRIM(AB549)=""),"INVALID – CA status missing for the recorded corrective action","")&amp;IF(AND(TRIM(U549)="Pass after CA",OR(OR(LEN(BA549)&lt;5,ISNUMBER(MATCH(BA549,L_Placeholder,0))),TRIM(AB549)&lt;&gt;"Closed")),"INVALID – corrective action not recorded/closed","")</f>
        <v/>
      </c>
    </row>
    <row r="550" customFormat="false" ht="41.25" hidden="false" customHeight="true" outlineLevel="0" collapsed="false">
      <c r="A550" s="57" t="s">
        <v>1202</v>
      </c>
      <c r="B550" s="57" t="s">
        <v>287</v>
      </c>
      <c r="C550" s="57" t="str">
        <f aca="false">Flights!$F$21</f>
        <v>MH0073</v>
      </c>
      <c r="D550" s="58" t="n">
        <f aca="false">Flights!$D$21</f>
        <v>46322</v>
      </c>
      <c r="E550" s="57" t="str">
        <f aca="false">Flights!$G$21&amp;"-"&amp;Flights!$H$21</f>
        <v>HKG-KUL</v>
      </c>
      <c r="F550" s="57" t="str">
        <f aca="false">Flights!$K$21</f>
        <v>BC</v>
      </c>
      <c r="G550" s="57" t="s">
        <v>398</v>
      </c>
      <c r="H550" s="57" t="s">
        <v>356</v>
      </c>
      <c r="I550" s="57" t="s">
        <v>477</v>
      </c>
      <c r="J550" s="57" t="s">
        <v>478</v>
      </c>
      <c r="K550" s="67" t="s">
        <v>479</v>
      </c>
      <c r="L550" s="67" t="s">
        <v>1203</v>
      </c>
      <c r="M550" s="67" t="s">
        <v>429</v>
      </c>
      <c r="N550" s="67" t="s">
        <v>361</v>
      </c>
      <c r="O550" s="67" t="s">
        <v>1204</v>
      </c>
      <c r="P550" s="57" t="s">
        <v>279</v>
      </c>
      <c r="Q550" s="59" t="n">
        <f aca="false">ROUND((Flights!$AE$21)*1440,0)/1440</f>
        <v>46321.7847222222</v>
      </c>
      <c r="R550" s="59" t="n">
        <f aca="false">Q550+(IF(AND(INDEX(TZ_DSTS,MATCH(P550,TZ_STN,0))&lt;&gt;"",Q550&gt;=INDEX(TZ_DSTS,MATCH(P550,TZ_STN,0)),Q550&lt;INDEX(TZ_DSTE,MATCH(P550,TZ_STN,0))),INDEX(TZ_DST,MATCH(P550,TZ_STN,0)),INDEX(TZ_STD,MATCH(P550,TZ_STN,0))))/24</f>
        <v>46322.1180555556</v>
      </c>
      <c r="S550" s="59" t="n">
        <f aca="false">Q550-T12EarlyH/24</f>
        <v>46321.2847222222</v>
      </c>
      <c r="T550" s="60"/>
      <c r="U550" s="60"/>
      <c r="V550" s="60"/>
      <c r="W550" s="61"/>
      <c r="X550" s="60"/>
      <c r="Y550" s="60"/>
      <c r="Z550" s="60"/>
      <c r="AA550" s="60"/>
      <c r="AB550" s="60"/>
      <c r="AC550" s="60"/>
      <c r="AD550" s="66"/>
      <c r="AE550" s="60"/>
      <c r="AF550" s="61" t="str">
        <f aca="false">IF(AND(ISNUMBER(X550),ISNUMBER(Y550)),Y550-X550,"")</f>
        <v/>
      </c>
      <c r="AG550" s="62" t="str">
        <f aca="false">IF(ISNUMBER(AD550),AD550-(IF(AND(INDEX(TZ_DSTS,MATCH(P550,TZ_STN,0))&lt;&gt;"",(AD550-INDEX(TZ_STD,MATCH(P550,TZ_STN,0))/24)&gt;=INDEX(TZ_DSTS,MATCH(P550,TZ_STN,0)),(AD550-INDEX(TZ_STD,MATCH(P550,TZ_STN,0))/24)&lt;INDEX(TZ_DSTE,MATCH(P550,TZ_STN,0))),INDEX(TZ_DST,MATCH(P550,TZ_STN,0)),INDEX(TZ_STD,MATCH(P550,TZ_STN,0))))/24,"")</f>
        <v/>
      </c>
      <c r="AH550" s="65" t="str">
        <f aca="false">IFERROR(IF(N550="N/A – rule","N/A – RULE",IF(TRIM(U550)="N/A",IF(AT550=0,"INVALID – N/A not permitted for this check",IF(AND(TRIM(AB550)&lt;&gt;"",TRIM(AB550)&lt;&gt;"Closed"),"INVALID – corrective action still open",IF(AND(NOT(OR(LEN(AZ550)&lt;15,ISNUMBER(MATCH(AZ550,L_Placeholder,0)))),NOT(OR(LEN(AU550)&lt;2,ISNUMBER(MATCH(AU550,L_Placeholder,0)))),NOT(OR(LEN(AX550)&lt;2,ISNUMBER(MATCH(AX550,L_Placeholder,0)))),TRIM(AE550)&lt;&gt;TRIM(T550)),"N/A – JUSTIFIED","INVALID – N/A needs a real justification (15+ chars), PIC and a different verifier"))),IF(OR(TRIM(U550)="Pass",TRIM(U550)="Pass after CA"),IF(NOT(ISNUMBER(AD550)),"INVALID – completion time missing",IF(OR(LEN(AU550)&lt;2,ISNUMBER(MATCH(AU550,L_Placeholder,0))),"INVALID – PIC missing",IF(OR(LEN(AV550)&lt;2,ISNUMBER(MATCH(AV550,L_Placeholder,0))),"INVALID – result / assessment missing",IF(OR(OR(LEN(AW550)&lt;3,ISNUMBER(MATCH(AW550,L_Placeholder,0))),SUMPRODUCT(--ISNUMBER(SEARCH(L_EvidencePhrase,AW550)))&gt;0),"INVALID – evidence missing, placeholder or not yet on file",IF(OR(LEN(AX550)&lt;2,ISNUMBER(MATCH(AX550,L_Placeholder,0))),"INVALID – verifier missing",IF(AX550=AU550,"INVALID – verifier must be someone other than the PIC",IF(AND(TRIM(U550)="Pass",SUMPRODUCT(--ISNUMBER(SEARCH(L_ResultBad,AV550)))&gt;0),"INVALID – result describes a problem: use Fail, then Pass after CA",IF(AND(AQ550=1,OR(LEN(AY550)&lt;3,ISNUMBER(MATCH(AY550,L_Placeholder,0)))),"INVALID – batch ID missing or placeholder",IF(AND(AR550=1,OR(NOT(ISNUMBER(X550)),NOT(ISNUMBER(Y550)))),"INVALID – expected/actual qty missing",IF(AND(AR550=1,OR(X550&lt;=0,Y550&lt;0)),"INVALID – expected qty must be above 0 and actual not negative",IF(BB550&lt;&gt;"",BB550,IF(AND(AS550=1,Documents!$J$21&lt;&gt;"ON FILE"),"INVALID – GLD not on file (Documents sheet)",IF(AND(AS550=2,Documents!$O$21&lt;&gt;"ON FILE"),"INVALID – menu checklist not on file (Documents sheet)",IF(AND(AS550=3,NOT(ISNUMBER(Flights!$AX$21))),"INVALID – enter carrying flight KUL departure (Flights AX)",IF(AND(AS550=3,OR(Flights!$AZ$21&gt;Flights!$AA$21,Flights!$AX$21&lt;Flights!$AA$21-3)),"INVALID – carrying flight (Flights AX) cannot arrive before this leg's STD, or is over 3 days early",IF(AG550&gt;AsOfUTC,"INVALID – completion time is in the future",IF(AND(ISNUMBER(S550),AG550&lt;S550),IF(H550="Physical uplift","INVALID – before uplift window (cannot confirm loading)","INVALID – before valid window"),IF(AG550&gt;Flights!$AA$21,"INVALID – completed after departure (cannot establish readiness)",IF(AND(H550="Preparation",AG550&gt;IF(ISNUMBER(Flights!$BA$21),MIN(Flights!$BA$21,Flights!$AA$21),Flights!$AA$21)),"INVALID – completed after loading / departure (cannot establish readiness)",IF(AND(H550="Physical uplift",AG550&gt;Q550),"INVALID – recorded after the loading flight departed",IF(AG550&gt;Q550,"COMPLETE – LATE","COMPLETE"))))))))))))))))))))),IF(TRIM(U550)="Fail","FAIL – DISCREPANCY",IF(AND(TRIM(U550)&lt;&gt;"",TRIM(U550)&lt;&gt;"Not started",TRIM(U550)&lt;&gt;"In progress"),"INVALID – unrecognised status (use the list)",IF(AsOfUTC&gt;Q550,"OVERDUE",IF(N550="Clarification required","OPEN – CLARIFICATION","OPEN"))))))),"INVALID – error value in an input cell")</f>
        <v>OPEN</v>
      </c>
      <c r="AI550" s="61" t="n">
        <f aca="false">IF(OR(AH550="N/A – RULE",AH550="N/A – JUSTIFIED"),0,1)</f>
        <v>1</v>
      </c>
      <c r="AJ550" s="61" t="n">
        <f aca="false">IF(LEFT(AH550,8)="COMPLETE",1,0)</f>
        <v>0</v>
      </c>
      <c r="AK550" s="61" t="n">
        <f aca="false">IF(AND(AI550=1,AJ550=0,AsOfUTC&gt;Q550),1,0)</f>
        <v>0</v>
      </c>
      <c r="AL550" s="61" t="n">
        <f aca="false">IFERROR(IF(AND(AI550=1,OR(TRIM(U550)="Fail",AND(TRIM(AB550)&lt;&gt;"",TRIM(AB550)&lt;&gt;"Closed"),AND(ISNUMBER(AF550),AF550&lt;&gt;0,TRIM(U550)&lt;&gt;"Pass after CA"))),1,0),1)</f>
        <v>0</v>
      </c>
      <c r="AM550" s="61" t="n">
        <f aca="false">IF(LEFT(AH550,7)="INVALID",1,0)</f>
        <v>0</v>
      </c>
      <c r="AN550" s="61" t="n">
        <f aca="false">IF(AND(N550="Clarification required",AI550=1,AJ550=0),1,0)</f>
        <v>0</v>
      </c>
      <c r="AO550" s="61" t="str">
        <f aca="false">IF(AK550=1,SUM(AK$5:AK550),"")</f>
        <v/>
      </c>
      <c r="AP550" s="61" t="str">
        <f aca="false">IF(AL550=1,SUM(AL$5:AL550),"")</f>
        <v/>
      </c>
      <c r="AQ550" s="61" t="n">
        <v>0</v>
      </c>
      <c r="AR550" s="61" t="n">
        <v>0</v>
      </c>
      <c r="AS550" s="61" t="n">
        <v>0</v>
      </c>
      <c r="AT550" s="61" t="n">
        <v>0</v>
      </c>
      <c r="AU550" s="61" t="str">
        <f aca="false">SUBSTITUTE(SUBSTITUTE(SUBSTITUTE(SUBSTITUTE(SUBSTITUTE(SUBSTITUTE(SUBSTITUTE(SUBSTITUTE(SUBSTITUTE(SUBSTITUTE(SUBSTITUTE(SUBSTITUTE(SUBSTITUTE(LOWER(T550&amp;""),CHAR(160),"")," ",""),".",""),"-",""),"/",""),"?",""),"_",""),",",""),"[",""),"]",""),"(",""),")",""),"*","")</f>
        <v/>
      </c>
      <c r="AV550" s="61" t="str">
        <f aca="false">SUBSTITUTE(SUBSTITUTE(SUBSTITUTE(SUBSTITUTE(SUBSTITUTE(SUBSTITUTE(SUBSTITUTE(SUBSTITUTE(SUBSTITUTE(SUBSTITUTE(SUBSTITUTE(SUBSTITUTE(SUBSTITUTE(LOWER(V550&amp;""),CHAR(160),"")," ",""),".",""),"-",""),"/",""),"?",""),"_",""),",",""),"[",""),"]",""),"(",""),")",""),"*","")</f>
        <v/>
      </c>
      <c r="AW550" s="61" t="str">
        <f aca="false">SUBSTITUTE(SUBSTITUTE(SUBSTITUTE(SUBSTITUTE(SUBSTITUTE(SUBSTITUTE(SUBSTITUTE(SUBSTITUTE(SUBSTITUTE(SUBSTITUTE(SUBSTITUTE(SUBSTITUTE(SUBSTITUTE(LOWER(Z550&amp;""),CHAR(160),"")," ",""),".",""),"-",""),"/",""),"?",""),"_",""),",",""),"[",""),"]",""),"(",""),")",""),"*","")</f>
        <v/>
      </c>
      <c r="AX550" s="61" t="str">
        <f aca="false">SUBSTITUTE(SUBSTITUTE(SUBSTITUTE(SUBSTITUTE(SUBSTITUTE(SUBSTITUTE(SUBSTITUTE(SUBSTITUTE(SUBSTITUTE(SUBSTITUTE(SUBSTITUTE(SUBSTITUTE(SUBSTITUTE(LOWER(AE550&amp;""),CHAR(160),"")," ",""),".",""),"-",""),"/",""),"?",""),"_",""),",",""),"[",""),"]",""),"(",""),")",""),"*","")</f>
        <v/>
      </c>
      <c r="AY550" s="61" t="str">
        <f aca="false">SUBSTITUTE(SUBSTITUTE(SUBSTITUTE(SUBSTITUTE(SUBSTITUTE(SUBSTITUTE(SUBSTITUTE(SUBSTITUTE(SUBSTITUTE(SUBSTITUTE(SUBSTITUTE(SUBSTITUTE(SUBSTITUTE(LOWER(W550&amp;""),CHAR(160),"")," ",""),".",""),"-",""),"/",""),"?",""),"_",""),",",""),"[",""),"]",""),"(",""),")",""),"*","")</f>
        <v/>
      </c>
      <c r="AZ550" s="61" t="str">
        <f aca="false">SUBSTITUTE(SUBSTITUTE(SUBSTITUTE(SUBSTITUTE(SUBSTITUTE(SUBSTITUTE(SUBSTITUTE(SUBSTITUTE(SUBSTITUTE(SUBSTITUTE(SUBSTITUTE(SUBSTITUTE(SUBSTITUTE(LOWER(AC550&amp;""),CHAR(160),"")," ",""),".",""),"-",""),"/",""),"?",""),"_",""),",",""),"[",""),"]",""),"(",""),")",""),"*","")</f>
        <v/>
      </c>
      <c r="BA550" s="61" t="str">
        <f aca="false">SUBSTITUTE(SUBSTITUTE(SUBSTITUTE(SUBSTITUTE(SUBSTITUTE(SUBSTITUTE(SUBSTITUTE(SUBSTITUTE(SUBSTITUTE(SUBSTITUTE(SUBSTITUTE(SUBSTITUTE(SUBSTITUTE(LOWER(AA550&amp;""),CHAR(160),"")," ",""),".",""),"-",""),"/",""),"?",""),"_",""),",",""),"[",""),"]",""),"(",""),")",""),"*","")</f>
        <v/>
      </c>
      <c r="BB550" s="61" t="str">
        <f aca="false">IF(AND(TRIM(U550)="Pass",ISNUMBER(AF550)),IF(AF550&lt;&gt;0,"INVALID – qty variance: use Fail or Pass after CA",""),"")&amp;IF(AND(TRIM(U550)="Pass after CA",ISNUMBER(AF550)),IF(AF550&lt;&gt;0,"INVALID – after the corrective action the actual qty must equal expected (update Actual)",""),"")&amp;IF(AND(TRIM(U550)="Pass",TRIM(AB550)&lt;&gt;"",TRIM(AB550)&lt;&gt;"Closed"),"INVALID – corrective action not closed: use Fail, then Pass after CA","")&amp;IF(AND(TRIM(AA550)&lt;&gt;"",TRIM(AB550)=""),"INVALID – CA status missing for the recorded corrective action","")&amp;IF(AND(TRIM(U550)="Pass after CA",OR(OR(LEN(BA550)&lt;5,ISNUMBER(MATCH(BA550,L_Placeholder,0))),TRIM(AB550)&lt;&gt;"Closed")),"INVALID – corrective action not recorded/closed","")</f>
        <v/>
      </c>
    </row>
    <row r="551" customFormat="false" ht="41.25" hidden="false" customHeight="true" outlineLevel="0" collapsed="false">
      <c r="A551" s="57" t="s">
        <v>1205</v>
      </c>
      <c r="B551" s="57" t="s">
        <v>287</v>
      </c>
      <c r="C551" s="57" t="str">
        <f aca="false">Flights!$F$21</f>
        <v>MH0073</v>
      </c>
      <c r="D551" s="58" t="n">
        <f aca="false">Flights!$D$21</f>
        <v>46322</v>
      </c>
      <c r="E551" s="57" t="str">
        <f aca="false">Flights!$G$21&amp;"-"&amp;Flights!$H$21</f>
        <v>HKG-KUL</v>
      </c>
      <c r="F551" s="57" t="str">
        <f aca="false">Flights!$K$21</f>
        <v>BC</v>
      </c>
      <c r="G551" s="57" t="s">
        <v>398</v>
      </c>
      <c r="H551" s="57" t="s">
        <v>356</v>
      </c>
      <c r="I551" s="57" t="s">
        <v>477</v>
      </c>
      <c r="J551" s="57" t="s">
        <v>483</v>
      </c>
      <c r="K551" s="67" t="s">
        <v>479</v>
      </c>
      <c r="L551" s="67" t="s">
        <v>1206</v>
      </c>
      <c r="M551" s="67" t="s">
        <v>429</v>
      </c>
      <c r="N551" s="67" t="s">
        <v>361</v>
      </c>
      <c r="O551" s="67" t="s">
        <v>1204</v>
      </c>
      <c r="P551" s="57" t="s">
        <v>279</v>
      </c>
      <c r="Q551" s="59" t="n">
        <f aca="false">ROUND((Flights!$AE$21)*1440,0)/1440</f>
        <v>46321.7847222222</v>
      </c>
      <c r="R551" s="59" t="n">
        <f aca="false">Q551+(IF(AND(INDEX(TZ_DSTS,MATCH(P551,TZ_STN,0))&lt;&gt;"",Q551&gt;=INDEX(TZ_DSTS,MATCH(P551,TZ_STN,0)),Q551&lt;INDEX(TZ_DSTE,MATCH(P551,TZ_STN,0))),INDEX(TZ_DST,MATCH(P551,TZ_STN,0)),INDEX(TZ_STD,MATCH(P551,TZ_STN,0))))/24</f>
        <v>46322.1180555556</v>
      </c>
      <c r="S551" s="59" t="n">
        <f aca="false">Q551-T12EarlyH/24</f>
        <v>46321.2847222222</v>
      </c>
      <c r="T551" s="60"/>
      <c r="U551" s="60"/>
      <c r="V551" s="60"/>
      <c r="W551" s="61"/>
      <c r="X551" s="60"/>
      <c r="Y551" s="60"/>
      <c r="Z551" s="60"/>
      <c r="AA551" s="60"/>
      <c r="AB551" s="60"/>
      <c r="AC551" s="60"/>
      <c r="AD551" s="66"/>
      <c r="AE551" s="60"/>
      <c r="AF551" s="61" t="str">
        <f aca="false">IF(AND(ISNUMBER(X551),ISNUMBER(Y551)),Y551-X551,"")</f>
        <v/>
      </c>
      <c r="AG551" s="62" t="str">
        <f aca="false">IF(ISNUMBER(AD551),AD551-(IF(AND(INDEX(TZ_DSTS,MATCH(P551,TZ_STN,0))&lt;&gt;"",(AD551-INDEX(TZ_STD,MATCH(P551,TZ_STN,0))/24)&gt;=INDEX(TZ_DSTS,MATCH(P551,TZ_STN,0)),(AD551-INDEX(TZ_STD,MATCH(P551,TZ_STN,0))/24)&lt;INDEX(TZ_DSTE,MATCH(P551,TZ_STN,0))),INDEX(TZ_DST,MATCH(P551,TZ_STN,0)),INDEX(TZ_STD,MATCH(P551,TZ_STN,0))))/24,"")</f>
        <v/>
      </c>
      <c r="AH551" s="65" t="str">
        <f aca="false">IFERROR(IF(N551="N/A – rule","N/A – RULE",IF(TRIM(U551)="N/A",IF(AT551=0,"INVALID – N/A not permitted for this check",IF(AND(TRIM(AB551)&lt;&gt;"",TRIM(AB551)&lt;&gt;"Closed"),"INVALID – corrective action still open",IF(AND(NOT(OR(LEN(AZ551)&lt;15,ISNUMBER(MATCH(AZ551,L_Placeholder,0)))),NOT(OR(LEN(AU551)&lt;2,ISNUMBER(MATCH(AU551,L_Placeholder,0)))),NOT(OR(LEN(AX551)&lt;2,ISNUMBER(MATCH(AX551,L_Placeholder,0)))),TRIM(AE551)&lt;&gt;TRIM(T551)),"N/A – JUSTIFIED","INVALID – N/A needs a real justification (15+ chars), PIC and a different verifier"))),IF(OR(TRIM(U551)="Pass",TRIM(U551)="Pass after CA"),IF(NOT(ISNUMBER(AD551)),"INVALID – completion time missing",IF(OR(LEN(AU551)&lt;2,ISNUMBER(MATCH(AU551,L_Placeholder,0))),"INVALID – PIC missing",IF(OR(LEN(AV551)&lt;2,ISNUMBER(MATCH(AV551,L_Placeholder,0))),"INVALID – result / assessment missing",IF(OR(OR(LEN(AW551)&lt;3,ISNUMBER(MATCH(AW551,L_Placeholder,0))),SUMPRODUCT(--ISNUMBER(SEARCH(L_EvidencePhrase,AW551)))&gt;0),"INVALID – evidence missing, placeholder or not yet on file",IF(OR(LEN(AX551)&lt;2,ISNUMBER(MATCH(AX551,L_Placeholder,0))),"INVALID – verifier missing",IF(AX551=AU551,"INVALID – verifier must be someone other than the PIC",IF(AND(TRIM(U551)="Pass",SUMPRODUCT(--ISNUMBER(SEARCH(L_ResultBad,AV551)))&gt;0),"INVALID – result describes a problem: use Fail, then Pass after CA",IF(AND(AQ551=1,OR(LEN(AY551)&lt;3,ISNUMBER(MATCH(AY551,L_Placeholder,0)))),"INVALID – batch ID missing or placeholder",IF(AND(AR551=1,OR(NOT(ISNUMBER(X551)),NOT(ISNUMBER(Y551)))),"INVALID – expected/actual qty missing",IF(AND(AR551=1,OR(X551&lt;=0,Y551&lt;0)),"INVALID – expected qty must be above 0 and actual not negative",IF(BB551&lt;&gt;"",BB551,IF(AND(AS551=1,Documents!$J$21&lt;&gt;"ON FILE"),"INVALID – GLD not on file (Documents sheet)",IF(AND(AS551=2,Documents!$O$21&lt;&gt;"ON FILE"),"INVALID – menu checklist not on file (Documents sheet)",IF(AND(AS551=3,NOT(ISNUMBER(Flights!$AX$21))),"INVALID – enter carrying flight KUL departure (Flights AX)",IF(AND(AS551=3,OR(Flights!$AZ$21&gt;Flights!$AA$21,Flights!$AX$21&lt;Flights!$AA$21-3)),"INVALID – carrying flight (Flights AX) cannot arrive before this leg's STD, or is over 3 days early",IF(AG551&gt;AsOfUTC,"INVALID – completion time is in the future",IF(AND(ISNUMBER(S551),AG551&lt;S551),IF(H551="Physical uplift","INVALID – before uplift window (cannot confirm loading)","INVALID – before valid window"),IF(AG551&gt;Flights!$AA$21,"INVALID – completed after departure (cannot establish readiness)",IF(AND(H551="Preparation",AG551&gt;IF(ISNUMBER(Flights!$BA$21),MIN(Flights!$BA$21,Flights!$AA$21),Flights!$AA$21)),"INVALID – completed after loading / departure (cannot establish readiness)",IF(AND(H551="Physical uplift",AG551&gt;Q551),"INVALID – recorded after the loading flight departed",IF(AG551&gt;Q551,"COMPLETE – LATE","COMPLETE"))))))))))))))))))))),IF(TRIM(U551)="Fail","FAIL – DISCREPANCY",IF(AND(TRIM(U551)&lt;&gt;"",TRIM(U551)&lt;&gt;"Not started",TRIM(U551)&lt;&gt;"In progress"),"INVALID – unrecognised status (use the list)",IF(AsOfUTC&gt;Q551,"OVERDUE",IF(N551="Clarification required","OPEN – CLARIFICATION","OPEN"))))))),"INVALID – error value in an input cell")</f>
        <v>OPEN</v>
      </c>
      <c r="AI551" s="61" t="n">
        <f aca="false">IF(OR(AH551="N/A – RULE",AH551="N/A – JUSTIFIED"),0,1)</f>
        <v>1</v>
      </c>
      <c r="AJ551" s="61" t="n">
        <f aca="false">IF(LEFT(AH551,8)="COMPLETE",1,0)</f>
        <v>0</v>
      </c>
      <c r="AK551" s="61" t="n">
        <f aca="false">IF(AND(AI551=1,AJ551=0,AsOfUTC&gt;Q551),1,0)</f>
        <v>0</v>
      </c>
      <c r="AL551" s="61" t="n">
        <f aca="false">IFERROR(IF(AND(AI551=1,OR(TRIM(U551)="Fail",AND(TRIM(AB551)&lt;&gt;"",TRIM(AB551)&lt;&gt;"Closed"),AND(ISNUMBER(AF551),AF551&lt;&gt;0,TRIM(U551)&lt;&gt;"Pass after CA"))),1,0),1)</f>
        <v>0</v>
      </c>
      <c r="AM551" s="61" t="n">
        <f aca="false">IF(LEFT(AH551,7)="INVALID",1,0)</f>
        <v>0</v>
      </c>
      <c r="AN551" s="61" t="n">
        <f aca="false">IF(AND(N551="Clarification required",AI551=1,AJ551=0),1,0)</f>
        <v>0</v>
      </c>
      <c r="AO551" s="61" t="str">
        <f aca="false">IF(AK551=1,SUM(AK$5:AK551),"")</f>
        <v/>
      </c>
      <c r="AP551" s="61" t="str">
        <f aca="false">IF(AL551=1,SUM(AL$5:AL551),"")</f>
        <v/>
      </c>
      <c r="AQ551" s="61" t="n">
        <v>0</v>
      </c>
      <c r="AR551" s="61" t="n">
        <v>0</v>
      </c>
      <c r="AS551" s="61" t="n">
        <v>0</v>
      </c>
      <c r="AT551" s="61" t="n">
        <v>0</v>
      </c>
      <c r="AU551" s="61" t="str">
        <f aca="false">SUBSTITUTE(SUBSTITUTE(SUBSTITUTE(SUBSTITUTE(SUBSTITUTE(SUBSTITUTE(SUBSTITUTE(SUBSTITUTE(SUBSTITUTE(SUBSTITUTE(SUBSTITUTE(SUBSTITUTE(SUBSTITUTE(LOWER(T551&amp;""),CHAR(160),"")," ",""),".",""),"-",""),"/",""),"?",""),"_",""),",",""),"[",""),"]",""),"(",""),")",""),"*","")</f>
        <v/>
      </c>
      <c r="AV551" s="61" t="str">
        <f aca="false">SUBSTITUTE(SUBSTITUTE(SUBSTITUTE(SUBSTITUTE(SUBSTITUTE(SUBSTITUTE(SUBSTITUTE(SUBSTITUTE(SUBSTITUTE(SUBSTITUTE(SUBSTITUTE(SUBSTITUTE(SUBSTITUTE(LOWER(V551&amp;""),CHAR(160),"")," ",""),".",""),"-",""),"/",""),"?",""),"_",""),",",""),"[",""),"]",""),"(",""),")",""),"*","")</f>
        <v/>
      </c>
      <c r="AW551" s="61" t="str">
        <f aca="false">SUBSTITUTE(SUBSTITUTE(SUBSTITUTE(SUBSTITUTE(SUBSTITUTE(SUBSTITUTE(SUBSTITUTE(SUBSTITUTE(SUBSTITUTE(SUBSTITUTE(SUBSTITUTE(SUBSTITUTE(SUBSTITUTE(LOWER(Z551&amp;""),CHAR(160),"")," ",""),".",""),"-",""),"/",""),"?",""),"_",""),",",""),"[",""),"]",""),"(",""),")",""),"*","")</f>
        <v/>
      </c>
      <c r="AX551" s="61" t="str">
        <f aca="false">SUBSTITUTE(SUBSTITUTE(SUBSTITUTE(SUBSTITUTE(SUBSTITUTE(SUBSTITUTE(SUBSTITUTE(SUBSTITUTE(SUBSTITUTE(SUBSTITUTE(SUBSTITUTE(SUBSTITUTE(SUBSTITUTE(LOWER(AE551&amp;""),CHAR(160),"")," ",""),".",""),"-",""),"/",""),"?",""),"_",""),",",""),"[",""),"]",""),"(",""),")",""),"*","")</f>
        <v/>
      </c>
      <c r="AY551" s="61" t="str">
        <f aca="false">SUBSTITUTE(SUBSTITUTE(SUBSTITUTE(SUBSTITUTE(SUBSTITUTE(SUBSTITUTE(SUBSTITUTE(SUBSTITUTE(SUBSTITUTE(SUBSTITUTE(SUBSTITUTE(SUBSTITUTE(SUBSTITUTE(LOWER(W551&amp;""),CHAR(160),"")," ",""),".",""),"-",""),"/",""),"?",""),"_",""),",",""),"[",""),"]",""),"(",""),")",""),"*","")</f>
        <v/>
      </c>
      <c r="AZ551" s="61" t="str">
        <f aca="false">SUBSTITUTE(SUBSTITUTE(SUBSTITUTE(SUBSTITUTE(SUBSTITUTE(SUBSTITUTE(SUBSTITUTE(SUBSTITUTE(SUBSTITUTE(SUBSTITUTE(SUBSTITUTE(SUBSTITUTE(SUBSTITUTE(LOWER(AC551&amp;""),CHAR(160),"")," ",""),".",""),"-",""),"/",""),"?",""),"_",""),",",""),"[",""),"]",""),"(",""),")",""),"*","")</f>
        <v/>
      </c>
      <c r="BA551" s="61" t="str">
        <f aca="false">SUBSTITUTE(SUBSTITUTE(SUBSTITUTE(SUBSTITUTE(SUBSTITUTE(SUBSTITUTE(SUBSTITUTE(SUBSTITUTE(SUBSTITUTE(SUBSTITUTE(SUBSTITUTE(SUBSTITUTE(SUBSTITUTE(LOWER(AA551&amp;""),CHAR(160),"")," ",""),".",""),"-",""),"/",""),"?",""),"_",""),",",""),"[",""),"]",""),"(",""),")",""),"*","")</f>
        <v/>
      </c>
      <c r="BB551" s="61" t="str">
        <f aca="false">IF(AND(TRIM(U551)="Pass",ISNUMBER(AF551)),IF(AF551&lt;&gt;0,"INVALID – qty variance: use Fail or Pass after CA",""),"")&amp;IF(AND(TRIM(U551)="Pass after CA",ISNUMBER(AF551)),IF(AF551&lt;&gt;0,"INVALID – after the corrective action the actual qty must equal expected (update Actual)",""),"")&amp;IF(AND(TRIM(U551)="Pass",TRIM(AB551)&lt;&gt;"",TRIM(AB551)&lt;&gt;"Closed"),"INVALID – corrective action not closed: use Fail, then Pass after CA","")&amp;IF(AND(TRIM(AA551)&lt;&gt;"",TRIM(AB551)=""),"INVALID – CA status missing for the recorded corrective action","")&amp;IF(AND(TRIM(U551)="Pass after CA",OR(OR(LEN(BA551)&lt;5,ISNUMBER(MATCH(BA551,L_Placeholder,0))),TRIM(AB551)&lt;&gt;"Closed")),"INVALID – corrective action not recorded/closed","")</f>
        <v/>
      </c>
    </row>
    <row r="552" customFormat="false" ht="41.25" hidden="false" customHeight="true" outlineLevel="0" collapsed="false">
      <c r="A552" s="57" t="s">
        <v>1207</v>
      </c>
      <c r="B552" s="57" t="s">
        <v>287</v>
      </c>
      <c r="C552" s="57" t="str">
        <f aca="false">Flights!$F$21</f>
        <v>MH0073</v>
      </c>
      <c r="D552" s="58" t="n">
        <f aca="false">Flights!$D$21</f>
        <v>46322</v>
      </c>
      <c r="E552" s="57" t="str">
        <f aca="false">Flights!$G$21&amp;"-"&amp;Flights!$H$21</f>
        <v>HKG-KUL</v>
      </c>
      <c r="F552" s="57" t="str">
        <f aca="false">Flights!$K$21</f>
        <v>BC</v>
      </c>
      <c r="G552" s="57" t="s">
        <v>398</v>
      </c>
      <c r="H552" s="57" t="s">
        <v>356</v>
      </c>
      <c r="I552" s="57" t="s">
        <v>477</v>
      </c>
      <c r="J552" s="57" t="s">
        <v>486</v>
      </c>
      <c r="K552" s="67" t="s">
        <v>479</v>
      </c>
      <c r="L552" s="67" t="s">
        <v>1208</v>
      </c>
      <c r="M552" s="67" t="s">
        <v>429</v>
      </c>
      <c r="N552" s="67" t="s">
        <v>361</v>
      </c>
      <c r="O552" s="67" t="s">
        <v>1204</v>
      </c>
      <c r="P552" s="57" t="s">
        <v>279</v>
      </c>
      <c r="Q552" s="59" t="n">
        <f aca="false">ROUND((Flights!$AE$21)*1440,0)/1440</f>
        <v>46321.7847222222</v>
      </c>
      <c r="R552" s="59" t="n">
        <f aca="false">Q552+(IF(AND(INDEX(TZ_DSTS,MATCH(P552,TZ_STN,0))&lt;&gt;"",Q552&gt;=INDEX(TZ_DSTS,MATCH(P552,TZ_STN,0)),Q552&lt;INDEX(TZ_DSTE,MATCH(P552,TZ_STN,0))),INDEX(TZ_DST,MATCH(P552,TZ_STN,0)),INDEX(TZ_STD,MATCH(P552,TZ_STN,0))))/24</f>
        <v>46322.1180555556</v>
      </c>
      <c r="S552" s="59" t="n">
        <f aca="false">Q552-T12EarlyH/24</f>
        <v>46321.2847222222</v>
      </c>
      <c r="T552" s="60"/>
      <c r="U552" s="60"/>
      <c r="V552" s="60"/>
      <c r="W552" s="61"/>
      <c r="X552" s="60"/>
      <c r="Y552" s="60"/>
      <c r="Z552" s="60"/>
      <c r="AA552" s="60"/>
      <c r="AB552" s="60"/>
      <c r="AC552" s="60"/>
      <c r="AD552" s="66"/>
      <c r="AE552" s="60"/>
      <c r="AF552" s="61" t="str">
        <f aca="false">IF(AND(ISNUMBER(X552),ISNUMBER(Y552)),Y552-X552,"")</f>
        <v/>
      </c>
      <c r="AG552" s="62" t="str">
        <f aca="false">IF(ISNUMBER(AD552),AD552-(IF(AND(INDEX(TZ_DSTS,MATCH(P552,TZ_STN,0))&lt;&gt;"",(AD552-INDEX(TZ_STD,MATCH(P552,TZ_STN,0))/24)&gt;=INDEX(TZ_DSTS,MATCH(P552,TZ_STN,0)),(AD552-INDEX(TZ_STD,MATCH(P552,TZ_STN,0))/24)&lt;INDEX(TZ_DSTE,MATCH(P552,TZ_STN,0))),INDEX(TZ_DST,MATCH(P552,TZ_STN,0)),INDEX(TZ_STD,MATCH(P552,TZ_STN,0))))/24,"")</f>
        <v/>
      </c>
      <c r="AH552" s="65" t="str">
        <f aca="false">IFERROR(IF(N552="N/A – rule","N/A – RULE",IF(TRIM(U552)="N/A",IF(AT552=0,"INVALID – N/A not permitted for this check",IF(AND(TRIM(AB552)&lt;&gt;"",TRIM(AB552)&lt;&gt;"Closed"),"INVALID – corrective action still open",IF(AND(NOT(OR(LEN(AZ552)&lt;15,ISNUMBER(MATCH(AZ552,L_Placeholder,0)))),NOT(OR(LEN(AU552)&lt;2,ISNUMBER(MATCH(AU552,L_Placeholder,0)))),NOT(OR(LEN(AX552)&lt;2,ISNUMBER(MATCH(AX552,L_Placeholder,0)))),TRIM(AE552)&lt;&gt;TRIM(T552)),"N/A – JUSTIFIED","INVALID – N/A needs a real justification (15+ chars), PIC and a different verifier"))),IF(OR(TRIM(U552)="Pass",TRIM(U552)="Pass after CA"),IF(NOT(ISNUMBER(AD552)),"INVALID – completion time missing",IF(OR(LEN(AU552)&lt;2,ISNUMBER(MATCH(AU552,L_Placeholder,0))),"INVALID – PIC missing",IF(OR(LEN(AV552)&lt;2,ISNUMBER(MATCH(AV552,L_Placeholder,0))),"INVALID – result / assessment missing",IF(OR(OR(LEN(AW552)&lt;3,ISNUMBER(MATCH(AW552,L_Placeholder,0))),SUMPRODUCT(--ISNUMBER(SEARCH(L_EvidencePhrase,AW552)))&gt;0),"INVALID – evidence missing, placeholder or not yet on file",IF(OR(LEN(AX552)&lt;2,ISNUMBER(MATCH(AX552,L_Placeholder,0))),"INVALID – verifier missing",IF(AX552=AU552,"INVALID – verifier must be someone other than the PIC",IF(AND(TRIM(U552)="Pass",SUMPRODUCT(--ISNUMBER(SEARCH(L_ResultBad,AV552)))&gt;0),"INVALID – result describes a problem: use Fail, then Pass after CA",IF(AND(AQ552=1,OR(LEN(AY552)&lt;3,ISNUMBER(MATCH(AY552,L_Placeholder,0)))),"INVALID – batch ID missing or placeholder",IF(AND(AR552=1,OR(NOT(ISNUMBER(X552)),NOT(ISNUMBER(Y552)))),"INVALID – expected/actual qty missing",IF(AND(AR552=1,OR(X552&lt;=0,Y552&lt;0)),"INVALID – expected qty must be above 0 and actual not negative",IF(BB552&lt;&gt;"",BB552,IF(AND(AS552=1,Documents!$J$21&lt;&gt;"ON FILE"),"INVALID – GLD not on file (Documents sheet)",IF(AND(AS552=2,Documents!$O$21&lt;&gt;"ON FILE"),"INVALID – menu checklist not on file (Documents sheet)",IF(AND(AS552=3,NOT(ISNUMBER(Flights!$AX$21))),"INVALID – enter carrying flight KUL departure (Flights AX)",IF(AND(AS552=3,OR(Flights!$AZ$21&gt;Flights!$AA$21,Flights!$AX$21&lt;Flights!$AA$21-3)),"INVALID – carrying flight (Flights AX) cannot arrive before this leg's STD, or is over 3 days early",IF(AG552&gt;AsOfUTC,"INVALID – completion time is in the future",IF(AND(ISNUMBER(S552),AG552&lt;S552),IF(H552="Physical uplift","INVALID – before uplift window (cannot confirm loading)","INVALID – before valid window"),IF(AG552&gt;Flights!$AA$21,"INVALID – completed after departure (cannot establish readiness)",IF(AND(H552="Preparation",AG552&gt;IF(ISNUMBER(Flights!$BA$21),MIN(Flights!$BA$21,Flights!$AA$21),Flights!$AA$21)),"INVALID – completed after loading / departure (cannot establish readiness)",IF(AND(H552="Physical uplift",AG552&gt;Q552),"INVALID – recorded after the loading flight departed",IF(AG552&gt;Q552,"COMPLETE – LATE","COMPLETE"))))))))))))))))))))),IF(TRIM(U552)="Fail","FAIL – DISCREPANCY",IF(AND(TRIM(U552)&lt;&gt;"",TRIM(U552)&lt;&gt;"Not started",TRIM(U552)&lt;&gt;"In progress"),"INVALID – unrecognised status (use the list)",IF(AsOfUTC&gt;Q552,"OVERDUE",IF(N552="Clarification required","OPEN – CLARIFICATION","OPEN"))))))),"INVALID – error value in an input cell")</f>
        <v>OPEN</v>
      </c>
      <c r="AI552" s="61" t="n">
        <f aca="false">IF(OR(AH552="N/A – RULE",AH552="N/A – JUSTIFIED"),0,1)</f>
        <v>1</v>
      </c>
      <c r="AJ552" s="61" t="n">
        <f aca="false">IF(LEFT(AH552,8)="COMPLETE",1,0)</f>
        <v>0</v>
      </c>
      <c r="AK552" s="61" t="n">
        <f aca="false">IF(AND(AI552=1,AJ552=0,AsOfUTC&gt;Q552),1,0)</f>
        <v>0</v>
      </c>
      <c r="AL552" s="61" t="n">
        <f aca="false">IFERROR(IF(AND(AI552=1,OR(TRIM(U552)="Fail",AND(TRIM(AB552)&lt;&gt;"",TRIM(AB552)&lt;&gt;"Closed"),AND(ISNUMBER(AF552),AF552&lt;&gt;0,TRIM(U552)&lt;&gt;"Pass after CA"))),1,0),1)</f>
        <v>0</v>
      </c>
      <c r="AM552" s="61" t="n">
        <f aca="false">IF(LEFT(AH552,7)="INVALID",1,0)</f>
        <v>0</v>
      </c>
      <c r="AN552" s="61" t="n">
        <f aca="false">IF(AND(N552="Clarification required",AI552=1,AJ552=0),1,0)</f>
        <v>0</v>
      </c>
      <c r="AO552" s="61" t="str">
        <f aca="false">IF(AK552=1,SUM(AK$5:AK552),"")</f>
        <v/>
      </c>
      <c r="AP552" s="61" t="str">
        <f aca="false">IF(AL552=1,SUM(AL$5:AL552),"")</f>
        <v/>
      </c>
      <c r="AQ552" s="61" t="n">
        <v>0</v>
      </c>
      <c r="AR552" s="61" t="n">
        <v>0</v>
      </c>
      <c r="AS552" s="61" t="n">
        <v>0</v>
      </c>
      <c r="AT552" s="61" t="n">
        <v>0</v>
      </c>
      <c r="AU552" s="61" t="str">
        <f aca="false">SUBSTITUTE(SUBSTITUTE(SUBSTITUTE(SUBSTITUTE(SUBSTITUTE(SUBSTITUTE(SUBSTITUTE(SUBSTITUTE(SUBSTITUTE(SUBSTITUTE(SUBSTITUTE(SUBSTITUTE(SUBSTITUTE(LOWER(T552&amp;""),CHAR(160),"")," ",""),".",""),"-",""),"/",""),"?",""),"_",""),",",""),"[",""),"]",""),"(",""),")",""),"*","")</f>
        <v/>
      </c>
      <c r="AV552" s="61" t="str">
        <f aca="false">SUBSTITUTE(SUBSTITUTE(SUBSTITUTE(SUBSTITUTE(SUBSTITUTE(SUBSTITUTE(SUBSTITUTE(SUBSTITUTE(SUBSTITUTE(SUBSTITUTE(SUBSTITUTE(SUBSTITUTE(SUBSTITUTE(LOWER(V552&amp;""),CHAR(160),"")," ",""),".",""),"-",""),"/",""),"?",""),"_",""),",",""),"[",""),"]",""),"(",""),")",""),"*","")</f>
        <v/>
      </c>
      <c r="AW552" s="61" t="str">
        <f aca="false">SUBSTITUTE(SUBSTITUTE(SUBSTITUTE(SUBSTITUTE(SUBSTITUTE(SUBSTITUTE(SUBSTITUTE(SUBSTITUTE(SUBSTITUTE(SUBSTITUTE(SUBSTITUTE(SUBSTITUTE(SUBSTITUTE(LOWER(Z552&amp;""),CHAR(160),"")," ",""),".",""),"-",""),"/",""),"?",""),"_",""),",",""),"[",""),"]",""),"(",""),")",""),"*","")</f>
        <v/>
      </c>
      <c r="AX552" s="61" t="str">
        <f aca="false">SUBSTITUTE(SUBSTITUTE(SUBSTITUTE(SUBSTITUTE(SUBSTITUTE(SUBSTITUTE(SUBSTITUTE(SUBSTITUTE(SUBSTITUTE(SUBSTITUTE(SUBSTITUTE(SUBSTITUTE(SUBSTITUTE(LOWER(AE552&amp;""),CHAR(160),"")," ",""),".",""),"-",""),"/",""),"?",""),"_",""),",",""),"[",""),"]",""),"(",""),")",""),"*","")</f>
        <v/>
      </c>
      <c r="AY552" s="61" t="str">
        <f aca="false">SUBSTITUTE(SUBSTITUTE(SUBSTITUTE(SUBSTITUTE(SUBSTITUTE(SUBSTITUTE(SUBSTITUTE(SUBSTITUTE(SUBSTITUTE(SUBSTITUTE(SUBSTITUTE(SUBSTITUTE(SUBSTITUTE(LOWER(W552&amp;""),CHAR(160),"")," ",""),".",""),"-",""),"/",""),"?",""),"_",""),",",""),"[",""),"]",""),"(",""),")",""),"*","")</f>
        <v/>
      </c>
      <c r="AZ552" s="61" t="str">
        <f aca="false">SUBSTITUTE(SUBSTITUTE(SUBSTITUTE(SUBSTITUTE(SUBSTITUTE(SUBSTITUTE(SUBSTITUTE(SUBSTITUTE(SUBSTITUTE(SUBSTITUTE(SUBSTITUTE(SUBSTITUTE(SUBSTITUTE(LOWER(AC552&amp;""),CHAR(160),"")," ",""),".",""),"-",""),"/",""),"?",""),"_",""),",",""),"[",""),"]",""),"(",""),")",""),"*","")</f>
        <v/>
      </c>
      <c r="BA552" s="61" t="str">
        <f aca="false">SUBSTITUTE(SUBSTITUTE(SUBSTITUTE(SUBSTITUTE(SUBSTITUTE(SUBSTITUTE(SUBSTITUTE(SUBSTITUTE(SUBSTITUTE(SUBSTITUTE(SUBSTITUTE(SUBSTITUTE(SUBSTITUTE(LOWER(AA552&amp;""),CHAR(160),"")," ",""),".",""),"-",""),"/",""),"?",""),"_",""),",",""),"[",""),"]",""),"(",""),")",""),"*","")</f>
        <v/>
      </c>
      <c r="BB552" s="61" t="str">
        <f aca="false">IF(AND(TRIM(U552)="Pass",ISNUMBER(AF552)),IF(AF552&lt;&gt;0,"INVALID – qty variance: use Fail or Pass after CA",""),"")&amp;IF(AND(TRIM(U552)="Pass after CA",ISNUMBER(AF552)),IF(AF552&lt;&gt;0,"INVALID – after the corrective action the actual qty must equal expected (update Actual)",""),"")&amp;IF(AND(TRIM(U552)="Pass",TRIM(AB552)&lt;&gt;"",TRIM(AB552)&lt;&gt;"Closed"),"INVALID – corrective action not closed: use Fail, then Pass after CA","")&amp;IF(AND(TRIM(AA552)&lt;&gt;"",TRIM(AB552)=""),"INVALID – CA status missing for the recorded corrective action","")&amp;IF(AND(TRIM(U552)="Pass after CA",OR(OR(LEN(BA552)&lt;5,ISNUMBER(MATCH(BA552,L_Placeholder,0))),TRIM(AB552)&lt;&gt;"Closed")),"INVALID – corrective action not recorded/closed","")</f>
        <v/>
      </c>
    </row>
    <row r="553" customFormat="false" ht="116.25" hidden="false" customHeight="true" outlineLevel="0" collapsed="false">
      <c r="A553" s="57" t="s">
        <v>1209</v>
      </c>
      <c r="B553" s="57" t="s">
        <v>287</v>
      </c>
      <c r="C553" s="57" t="str">
        <f aca="false">Flights!$F$21</f>
        <v>MH0073</v>
      </c>
      <c r="D553" s="58" t="n">
        <f aca="false">Flights!$D$21</f>
        <v>46322</v>
      </c>
      <c r="E553" s="57" t="str">
        <f aca="false">Flights!$G$21&amp;"-"&amp;Flights!$H$21</f>
        <v>HKG-KUL</v>
      </c>
      <c r="F553" s="57" t="str">
        <f aca="false">Flights!$K$21</f>
        <v>BC</v>
      </c>
      <c r="G553" s="57" t="s">
        <v>398</v>
      </c>
      <c r="H553" s="57" t="s">
        <v>356</v>
      </c>
      <c r="I553" s="57" t="s">
        <v>477</v>
      </c>
      <c r="J553" s="57" t="s">
        <v>489</v>
      </c>
      <c r="K553" s="67" t="s">
        <v>479</v>
      </c>
      <c r="L553" s="67" t="s">
        <v>1210</v>
      </c>
      <c r="M553" s="67" t="s">
        <v>429</v>
      </c>
      <c r="N553" s="67" t="s">
        <v>422</v>
      </c>
      <c r="O553" s="67" t="s">
        <v>1211</v>
      </c>
      <c r="P553" s="57" t="s">
        <v>279</v>
      </c>
      <c r="Q553" s="59" t="n">
        <f aca="false">ROUND((Flights!$AE$21)*1440,0)/1440</f>
        <v>46321.7847222222</v>
      </c>
      <c r="R553" s="59" t="n">
        <f aca="false">Q553+(IF(AND(INDEX(TZ_DSTS,MATCH(P553,TZ_STN,0))&lt;&gt;"",Q553&gt;=INDEX(TZ_DSTS,MATCH(P553,TZ_STN,0)),Q553&lt;INDEX(TZ_DSTE,MATCH(P553,TZ_STN,0))),INDEX(TZ_DST,MATCH(P553,TZ_STN,0)),INDEX(TZ_STD,MATCH(P553,TZ_STN,0))))/24</f>
        <v>46322.1180555556</v>
      </c>
      <c r="S553" s="59" t="n">
        <f aca="false">Q553-T12EarlyH/24</f>
        <v>46321.2847222222</v>
      </c>
      <c r="T553" s="60"/>
      <c r="U553" s="60"/>
      <c r="V553" s="60"/>
      <c r="W553" s="61"/>
      <c r="X553" s="60"/>
      <c r="Y553" s="60"/>
      <c r="Z553" s="60"/>
      <c r="AA553" s="60"/>
      <c r="AB553" s="60"/>
      <c r="AC553" s="60"/>
      <c r="AD553" s="66"/>
      <c r="AE553" s="60"/>
      <c r="AF553" s="61" t="str">
        <f aca="false">IF(AND(ISNUMBER(X553),ISNUMBER(Y553)),Y553-X553,"")</f>
        <v/>
      </c>
      <c r="AG553" s="62" t="str">
        <f aca="false">IF(ISNUMBER(AD553),AD553-(IF(AND(INDEX(TZ_DSTS,MATCH(P553,TZ_STN,0))&lt;&gt;"",(AD553-INDEX(TZ_STD,MATCH(P553,TZ_STN,0))/24)&gt;=INDEX(TZ_DSTS,MATCH(P553,TZ_STN,0)),(AD553-INDEX(TZ_STD,MATCH(P553,TZ_STN,0))/24)&lt;INDEX(TZ_DSTE,MATCH(P553,TZ_STN,0))),INDEX(TZ_DST,MATCH(P553,TZ_STN,0)),INDEX(TZ_STD,MATCH(P553,TZ_STN,0))))/24,"")</f>
        <v/>
      </c>
      <c r="AH553" s="65" t="str">
        <f aca="false">IFERROR(IF(N553="N/A – rule","N/A – RULE",IF(TRIM(U553)="N/A",IF(AT553=0,"INVALID – N/A not permitted for this check",IF(AND(TRIM(AB553)&lt;&gt;"",TRIM(AB553)&lt;&gt;"Closed"),"INVALID – corrective action still open",IF(AND(NOT(OR(LEN(AZ553)&lt;15,ISNUMBER(MATCH(AZ553,L_Placeholder,0)))),NOT(OR(LEN(AU553)&lt;2,ISNUMBER(MATCH(AU553,L_Placeholder,0)))),NOT(OR(LEN(AX553)&lt;2,ISNUMBER(MATCH(AX553,L_Placeholder,0)))),TRIM(AE553)&lt;&gt;TRIM(T553)),"N/A – JUSTIFIED","INVALID – N/A needs a real justification (15+ chars), PIC and a different verifier"))),IF(OR(TRIM(U553)="Pass",TRIM(U553)="Pass after CA"),IF(NOT(ISNUMBER(AD553)),"INVALID – completion time missing",IF(OR(LEN(AU553)&lt;2,ISNUMBER(MATCH(AU553,L_Placeholder,0))),"INVALID – PIC missing",IF(OR(LEN(AV553)&lt;2,ISNUMBER(MATCH(AV553,L_Placeholder,0))),"INVALID – result / assessment missing",IF(OR(OR(LEN(AW553)&lt;3,ISNUMBER(MATCH(AW553,L_Placeholder,0))),SUMPRODUCT(--ISNUMBER(SEARCH(L_EvidencePhrase,AW553)))&gt;0),"INVALID – evidence missing, placeholder or not yet on file",IF(OR(LEN(AX553)&lt;2,ISNUMBER(MATCH(AX553,L_Placeholder,0))),"INVALID – verifier missing",IF(AX553=AU553,"INVALID – verifier must be someone other than the PIC",IF(AND(TRIM(U553)="Pass",SUMPRODUCT(--ISNUMBER(SEARCH(L_ResultBad,AV553)))&gt;0),"INVALID – result describes a problem: use Fail, then Pass after CA",IF(AND(AQ553=1,OR(LEN(AY553)&lt;3,ISNUMBER(MATCH(AY553,L_Placeholder,0)))),"INVALID – batch ID missing or placeholder",IF(AND(AR553=1,OR(NOT(ISNUMBER(X553)),NOT(ISNUMBER(Y553)))),"INVALID – expected/actual qty missing",IF(AND(AR553=1,OR(X553&lt;=0,Y553&lt;0)),"INVALID – expected qty must be above 0 and actual not negative",IF(BB553&lt;&gt;"",BB553,IF(AND(AS553=1,Documents!$J$21&lt;&gt;"ON FILE"),"INVALID – GLD not on file (Documents sheet)",IF(AND(AS553=2,Documents!$O$21&lt;&gt;"ON FILE"),"INVALID – menu checklist not on file (Documents sheet)",IF(AND(AS553=3,NOT(ISNUMBER(Flights!$AX$21))),"INVALID – enter carrying flight KUL departure (Flights AX)",IF(AND(AS553=3,OR(Flights!$AZ$21&gt;Flights!$AA$21,Flights!$AX$21&lt;Flights!$AA$21-3)),"INVALID – carrying flight (Flights AX) cannot arrive before this leg's STD, or is over 3 days early",IF(AG553&gt;AsOfUTC,"INVALID – completion time is in the future",IF(AND(ISNUMBER(S553),AG553&lt;S553),IF(H553="Physical uplift","INVALID – before uplift window (cannot confirm loading)","INVALID – before valid window"),IF(AG553&gt;Flights!$AA$21,"INVALID – completed after departure (cannot establish readiness)",IF(AND(H553="Preparation",AG553&gt;IF(ISNUMBER(Flights!$BA$21),MIN(Flights!$BA$21,Flights!$AA$21),Flights!$AA$21)),"INVALID – completed after loading / departure (cannot establish readiness)",IF(AND(H553="Physical uplift",AG553&gt;Q553),"INVALID – recorded after the loading flight departed",IF(AG553&gt;Q553,"COMPLETE – LATE","COMPLETE"))))))))))))))))))))),IF(TRIM(U553)="Fail","FAIL – DISCREPANCY",IF(AND(TRIM(U553)&lt;&gt;"",TRIM(U553)&lt;&gt;"Not started",TRIM(U553)&lt;&gt;"In progress"),"INVALID – unrecognised status (use the list)",IF(AsOfUTC&gt;Q553,"OVERDUE",IF(N553="Clarification required","OPEN – CLARIFICATION","OPEN"))))))),"INVALID – error value in an input cell")</f>
        <v>OPEN – CLARIFICATION</v>
      </c>
      <c r="AI553" s="61" t="n">
        <f aca="false">IF(OR(AH553="N/A – RULE",AH553="N/A – JUSTIFIED"),0,1)</f>
        <v>1</v>
      </c>
      <c r="AJ553" s="61" t="n">
        <f aca="false">IF(LEFT(AH553,8)="COMPLETE",1,0)</f>
        <v>0</v>
      </c>
      <c r="AK553" s="61" t="n">
        <f aca="false">IF(AND(AI553=1,AJ553=0,AsOfUTC&gt;Q553),1,0)</f>
        <v>0</v>
      </c>
      <c r="AL553" s="61" t="n">
        <f aca="false">IFERROR(IF(AND(AI553=1,OR(TRIM(U553)="Fail",AND(TRIM(AB553)&lt;&gt;"",TRIM(AB553)&lt;&gt;"Closed"),AND(ISNUMBER(AF553),AF553&lt;&gt;0,TRIM(U553)&lt;&gt;"Pass after CA"))),1,0),1)</f>
        <v>0</v>
      </c>
      <c r="AM553" s="61" t="n">
        <f aca="false">IF(LEFT(AH553,7)="INVALID",1,0)</f>
        <v>0</v>
      </c>
      <c r="AN553" s="61" t="n">
        <f aca="false">IF(AND(N553="Clarification required",AI553=1,AJ553=0),1,0)</f>
        <v>1</v>
      </c>
      <c r="AO553" s="61" t="str">
        <f aca="false">IF(AK553=1,SUM(AK$5:AK553),"")</f>
        <v/>
      </c>
      <c r="AP553" s="61" t="str">
        <f aca="false">IF(AL553=1,SUM(AL$5:AL553),"")</f>
        <v/>
      </c>
      <c r="AQ553" s="61" t="n">
        <v>0</v>
      </c>
      <c r="AR553" s="61" t="n">
        <v>0</v>
      </c>
      <c r="AS553" s="61" t="n">
        <v>0</v>
      </c>
      <c r="AT553" s="61" t="n">
        <v>1</v>
      </c>
      <c r="AU553" s="61" t="str">
        <f aca="false">SUBSTITUTE(SUBSTITUTE(SUBSTITUTE(SUBSTITUTE(SUBSTITUTE(SUBSTITUTE(SUBSTITUTE(SUBSTITUTE(SUBSTITUTE(SUBSTITUTE(SUBSTITUTE(SUBSTITUTE(SUBSTITUTE(LOWER(T553&amp;""),CHAR(160),"")," ",""),".",""),"-",""),"/",""),"?",""),"_",""),",",""),"[",""),"]",""),"(",""),")",""),"*","")</f>
        <v/>
      </c>
      <c r="AV553" s="61" t="str">
        <f aca="false">SUBSTITUTE(SUBSTITUTE(SUBSTITUTE(SUBSTITUTE(SUBSTITUTE(SUBSTITUTE(SUBSTITUTE(SUBSTITUTE(SUBSTITUTE(SUBSTITUTE(SUBSTITUTE(SUBSTITUTE(SUBSTITUTE(LOWER(V553&amp;""),CHAR(160),"")," ",""),".",""),"-",""),"/",""),"?",""),"_",""),",",""),"[",""),"]",""),"(",""),")",""),"*","")</f>
        <v/>
      </c>
      <c r="AW553" s="61" t="str">
        <f aca="false">SUBSTITUTE(SUBSTITUTE(SUBSTITUTE(SUBSTITUTE(SUBSTITUTE(SUBSTITUTE(SUBSTITUTE(SUBSTITUTE(SUBSTITUTE(SUBSTITUTE(SUBSTITUTE(SUBSTITUTE(SUBSTITUTE(LOWER(Z553&amp;""),CHAR(160),"")," ",""),".",""),"-",""),"/",""),"?",""),"_",""),",",""),"[",""),"]",""),"(",""),")",""),"*","")</f>
        <v/>
      </c>
      <c r="AX553" s="61" t="str">
        <f aca="false">SUBSTITUTE(SUBSTITUTE(SUBSTITUTE(SUBSTITUTE(SUBSTITUTE(SUBSTITUTE(SUBSTITUTE(SUBSTITUTE(SUBSTITUTE(SUBSTITUTE(SUBSTITUTE(SUBSTITUTE(SUBSTITUTE(LOWER(AE553&amp;""),CHAR(160),"")," ",""),".",""),"-",""),"/",""),"?",""),"_",""),",",""),"[",""),"]",""),"(",""),")",""),"*","")</f>
        <v/>
      </c>
      <c r="AY553" s="61" t="str">
        <f aca="false">SUBSTITUTE(SUBSTITUTE(SUBSTITUTE(SUBSTITUTE(SUBSTITUTE(SUBSTITUTE(SUBSTITUTE(SUBSTITUTE(SUBSTITUTE(SUBSTITUTE(SUBSTITUTE(SUBSTITUTE(SUBSTITUTE(LOWER(W553&amp;""),CHAR(160),"")," ",""),".",""),"-",""),"/",""),"?",""),"_",""),",",""),"[",""),"]",""),"(",""),")",""),"*","")</f>
        <v/>
      </c>
      <c r="AZ553" s="61" t="str">
        <f aca="false">SUBSTITUTE(SUBSTITUTE(SUBSTITUTE(SUBSTITUTE(SUBSTITUTE(SUBSTITUTE(SUBSTITUTE(SUBSTITUTE(SUBSTITUTE(SUBSTITUTE(SUBSTITUTE(SUBSTITUTE(SUBSTITUTE(LOWER(AC553&amp;""),CHAR(160),"")," ",""),".",""),"-",""),"/",""),"?",""),"_",""),",",""),"[",""),"]",""),"(",""),")",""),"*","")</f>
        <v/>
      </c>
      <c r="BA553" s="61" t="str">
        <f aca="false">SUBSTITUTE(SUBSTITUTE(SUBSTITUTE(SUBSTITUTE(SUBSTITUTE(SUBSTITUTE(SUBSTITUTE(SUBSTITUTE(SUBSTITUTE(SUBSTITUTE(SUBSTITUTE(SUBSTITUTE(SUBSTITUTE(LOWER(AA553&amp;""),CHAR(160),"")," ",""),".",""),"-",""),"/",""),"?",""),"_",""),",",""),"[",""),"]",""),"(",""),")",""),"*","")</f>
        <v/>
      </c>
      <c r="BB553" s="61" t="str">
        <f aca="false">IF(AND(TRIM(U553)="Pass",ISNUMBER(AF553)),IF(AF553&lt;&gt;0,"INVALID – qty variance: use Fail or Pass after CA",""),"")&amp;IF(AND(TRIM(U553)="Pass after CA",ISNUMBER(AF553)),IF(AF553&lt;&gt;0,"INVALID – after the corrective action the actual qty must equal expected (update Actual)",""),"")&amp;IF(AND(TRIM(U553)="Pass",TRIM(AB553)&lt;&gt;"",TRIM(AB553)&lt;&gt;"Closed"),"INVALID – corrective action not closed: use Fail, then Pass after CA","")&amp;IF(AND(TRIM(AA553)&lt;&gt;"",TRIM(AB553)=""),"INVALID – CA status missing for the recorded corrective action","")&amp;IF(AND(TRIM(U553)="Pass after CA",OR(OR(LEN(BA553)&lt;5,ISNUMBER(MATCH(BA553,L_Placeholder,0))),TRIM(AB553)&lt;&gt;"Closed")),"INVALID – corrective action not recorded/closed","")</f>
        <v/>
      </c>
    </row>
    <row r="554" customFormat="false" ht="116.25" hidden="false" customHeight="true" outlineLevel="0" collapsed="false">
      <c r="A554" s="57" t="s">
        <v>1212</v>
      </c>
      <c r="B554" s="57" t="s">
        <v>287</v>
      </c>
      <c r="C554" s="57" t="str">
        <f aca="false">Flights!$F$21</f>
        <v>MH0073</v>
      </c>
      <c r="D554" s="58" t="n">
        <f aca="false">Flights!$D$21</f>
        <v>46322</v>
      </c>
      <c r="E554" s="57" t="str">
        <f aca="false">Flights!$G$21&amp;"-"&amp;Flights!$H$21</f>
        <v>HKG-KUL</v>
      </c>
      <c r="F554" s="57" t="str">
        <f aca="false">Flights!$K$21</f>
        <v>BC</v>
      </c>
      <c r="G554" s="57" t="s">
        <v>398</v>
      </c>
      <c r="H554" s="57" t="s">
        <v>356</v>
      </c>
      <c r="I554" s="57" t="s">
        <v>477</v>
      </c>
      <c r="J554" s="57" t="s">
        <v>493</v>
      </c>
      <c r="K554" s="67" t="s">
        <v>479</v>
      </c>
      <c r="L554" s="67" t="s">
        <v>1213</v>
      </c>
      <c r="M554" s="67" t="s">
        <v>429</v>
      </c>
      <c r="N554" s="67" t="s">
        <v>422</v>
      </c>
      <c r="O554" s="67" t="s">
        <v>1211</v>
      </c>
      <c r="P554" s="57" t="s">
        <v>279</v>
      </c>
      <c r="Q554" s="59" t="n">
        <f aca="false">ROUND((Flights!$AE$21)*1440,0)/1440</f>
        <v>46321.7847222222</v>
      </c>
      <c r="R554" s="59" t="n">
        <f aca="false">Q554+(IF(AND(INDEX(TZ_DSTS,MATCH(P554,TZ_STN,0))&lt;&gt;"",Q554&gt;=INDEX(TZ_DSTS,MATCH(P554,TZ_STN,0)),Q554&lt;INDEX(TZ_DSTE,MATCH(P554,TZ_STN,0))),INDEX(TZ_DST,MATCH(P554,TZ_STN,0)),INDEX(TZ_STD,MATCH(P554,TZ_STN,0))))/24</f>
        <v>46322.1180555556</v>
      </c>
      <c r="S554" s="59" t="n">
        <f aca="false">Q554-T12EarlyH/24</f>
        <v>46321.2847222222</v>
      </c>
      <c r="T554" s="60"/>
      <c r="U554" s="60"/>
      <c r="V554" s="60"/>
      <c r="W554" s="61"/>
      <c r="X554" s="60"/>
      <c r="Y554" s="60"/>
      <c r="Z554" s="60"/>
      <c r="AA554" s="60"/>
      <c r="AB554" s="60"/>
      <c r="AC554" s="60"/>
      <c r="AD554" s="66"/>
      <c r="AE554" s="60"/>
      <c r="AF554" s="61" t="str">
        <f aca="false">IF(AND(ISNUMBER(X554),ISNUMBER(Y554)),Y554-X554,"")</f>
        <v/>
      </c>
      <c r="AG554" s="62" t="str">
        <f aca="false">IF(ISNUMBER(AD554),AD554-(IF(AND(INDEX(TZ_DSTS,MATCH(P554,TZ_STN,0))&lt;&gt;"",(AD554-INDEX(TZ_STD,MATCH(P554,TZ_STN,0))/24)&gt;=INDEX(TZ_DSTS,MATCH(P554,TZ_STN,0)),(AD554-INDEX(TZ_STD,MATCH(P554,TZ_STN,0))/24)&lt;INDEX(TZ_DSTE,MATCH(P554,TZ_STN,0))),INDEX(TZ_DST,MATCH(P554,TZ_STN,0)),INDEX(TZ_STD,MATCH(P554,TZ_STN,0))))/24,"")</f>
        <v/>
      </c>
      <c r="AH554" s="65" t="str">
        <f aca="false">IFERROR(IF(N554="N/A – rule","N/A – RULE",IF(TRIM(U554)="N/A",IF(AT554=0,"INVALID – N/A not permitted for this check",IF(AND(TRIM(AB554)&lt;&gt;"",TRIM(AB554)&lt;&gt;"Closed"),"INVALID – corrective action still open",IF(AND(NOT(OR(LEN(AZ554)&lt;15,ISNUMBER(MATCH(AZ554,L_Placeholder,0)))),NOT(OR(LEN(AU554)&lt;2,ISNUMBER(MATCH(AU554,L_Placeholder,0)))),NOT(OR(LEN(AX554)&lt;2,ISNUMBER(MATCH(AX554,L_Placeholder,0)))),TRIM(AE554)&lt;&gt;TRIM(T554)),"N/A – JUSTIFIED","INVALID – N/A needs a real justification (15+ chars), PIC and a different verifier"))),IF(OR(TRIM(U554)="Pass",TRIM(U554)="Pass after CA"),IF(NOT(ISNUMBER(AD554)),"INVALID – completion time missing",IF(OR(LEN(AU554)&lt;2,ISNUMBER(MATCH(AU554,L_Placeholder,0))),"INVALID – PIC missing",IF(OR(LEN(AV554)&lt;2,ISNUMBER(MATCH(AV554,L_Placeholder,0))),"INVALID – result / assessment missing",IF(OR(OR(LEN(AW554)&lt;3,ISNUMBER(MATCH(AW554,L_Placeholder,0))),SUMPRODUCT(--ISNUMBER(SEARCH(L_EvidencePhrase,AW554)))&gt;0),"INVALID – evidence missing, placeholder or not yet on file",IF(OR(LEN(AX554)&lt;2,ISNUMBER(MATCH(AX554,L_Placeholder,0))),"INVALID – verifier missing",IF(AX554=AU554,"INVALID – verifier must be someone other than the PIC",IF(AND(TRIM(U554)="Pass",SUMPRODUCT(--ISNUMBER(SEARCH(L_ResultBad,AV554)))&gt;0),"INVALID – result describes a problem: use Fail, then Pass after CA",IF(AND(AQ554=1,OR(LEN(AY554)&lt;3,ISNUMBER(MATCH(AY554,L_Placeholder,0)))),"INVALID – batch ID missing or placeholder",IF(AND(AR554=1,OR(NOT(ISNUMBER(X554)),NOT(ISNUMBER(Y554)))),"INVALID – expected/actual qty missing",IF(AND(AR554=1,OR(X554&lt;=0,Y554&lt;0)),"INVALID – expected qty must be above 0 and actual not negative",IF(BB554&lt;&gt;"",BB554,IF(AND(AS554=1,Documents!$J$21&lt;&gt;"ON FILE"),"INVALID – GLD not on file (Documents sheet)",IF(AND(AS554=2,Documents!$O$21&lt;&gt;"ON FILE"),"INVALID – menu checklist not on file (Documents sheet)",IF(AND(AS554=3,NOT(ISNUMBER(Flights!$AX$21))),"INVALID – enter carrying flight KUL departure (Flights AX)",IF(AND(AS554=3,OR(Flights!$AZ$21&gt;Flights!$AA$21,Flights!$AX$21&lt;Flights!$AA$21-3)),"INVALID – carrying flight (Flights AX) cannot arrive before this leg's STD, or is over 3 days early",IF(AG554&gt;AsOfUTC,"INVALID – completion time is in the future",IF(AND(ISNUMBER(S554),AG554&lt;S554),IF(H554="Physical uplift","INVALID – before uplift window (cannot confirm loading)","INVALID – before valid window"),IF(AG554&gt;Flights!$AA$21,"INVALID – completed after departure (cannot establish readiness)",IF(AND(H554="Preparation",AG554&gt;IF(ISNUMBER(Flights!$BA$21),MIN(Flights!$BA$21,Flights!$AA$21),Flights!$AA$21)),"INVALID – completed after loading / departure (cannot establish readiness)",IF(AND(H554="Physical uplift",AG554&gt;Q554),"INVALID – recorded after the loading flight departed",IF(AG554&gt;Q554,"COMPLETE – LATE","COMPLETE"))))))))))))))))))))),IF(TRIM(U554)="Fail","FAIL – DISCREPANCY",IF(AND(TRIM(U554)&lt;&gt;"",TRIM(U554)&lt;&gt;"Not started",TRIM(U554)&lt;&gt;"In progress"),"INVALID – unrecognised status (use the list)",IF(AsOfUTC&gt;Q554,"OVERDUE",IF(N554="Clarification required","OPEN – CLARIFICATION","OPEN"))))))),"INVALID – error value in an input cell")</f>
        <v>OPEN – CLARIFICATION</v>
      </c>
      <c r="AI554" s="61" t="n">
        <f aca="false">IF(OR(AH554="N/A – RULE",AH554="N/A – JUSTIFIED"),0,1)</f>
        <v>1</v>
      </c>
      <c r="AJ554" s="61" t="n">
        <f aca="false">IF(LEFT(AH554,8)="COMPLETE",1,0)</f>
        <v>0</v>
      </c>
      <c r="AK554" s="61" t="n">
        <f aca="false">IF(AND(AI554=1,AJ554=0,AsOfUTC&gt;Q554),1,0)</f>
        <v>0</v>
      </c>
      <c r="AL554" s="61" t="n">
        <f aca="false">IFERROR(IF(AND(AI554=1,OR(TRIM(U554)="Fail",AND(TRIM(AB554)&lt;&gt;"",TRIM(AB554)&lt;&gt;"Closed"),AND(ISNUMBER(AF554),AF554&lt;&gt;0,TRIM(U554)&lt;&gt;"Pass after CA"))),1,0),1)</f>
        <v>0</v>
      </c>
      <c r="AM554" s="61" t="n">
        <f aca="false">IF(LEFT(AH554,7)="INVALID",1,0)</f>
        <v>0</v>
      </c>
      <c r="AN554" s="61" t="n">
        <f aca="false">IF(AND(N554="Clarification required",AI554=1,AJ554=0),1,0)</f>
        <v>1</v>
      </c>
      <c r="AO554" s="61" t="str">
        <f aca="false">IF(AK554=1,SUM(AK$5:AK554),"")</f>
        <v/>
      </c>
      <c r="AP554" s="61" t="str">
        <f aca="false">IF(AL554=1,SUM(AL$5:AL554),"")</f>
        <v/>
      </c>
      <c r="AQ554" s="61" t="n">
        <v>0</v>
      </c>
      <c r="AR554" s="61" t="n">
        <v>0</v>
      </c>
      <c r="AS554" s="61" t="n">
        <v>0</v>
      </c>
      <c r="AT554" s="61" t="n">
        <v>1</v>
      </c>
      <c r="AU554" s="61" t="str">
        <f aca="false">SUBSTITUTE(SUBSTITUTE(SUBSTITUTE(SUBSTITUTE(SUBSTITUTE(SUBSTITUTE(SUBSTITUTE(SUBSTITUTE(SUBSTITUTE(SUBSTITUTE(SUBSTITUTE(SUBSTITUTE(SUBSTITUTE(LOWER(T554&amp;""),CHAR(160),"")," ",""),".",""),"-",""),"/",""),"?",""),"_",""),",",""),"[",""),"]",""),"(",""),")",""),"*","")</f>
        <v/>
      </c>
      <c r="AV554" s="61" t="str">
        <f aca="false">SUBSTITUTE(SUBSTITUTE(SUBSTITUTE(SUBSTITUTE(SUBSTITUTE(SUBSTITUTE(SUBSTITUTE(SUBSTITUTE(SUBSTITUTE(SUBSTITUTE(SUBSTITUTE(SUBSTITUTE(SUBSTITUTE(LOWER(V554&amp;""),CHAR(160),"")," ",""),".",""),"-",""),"/",""),"?",""),"_",""),",",""),"[",""),"]",""),"(",""),")",""),"*","")</f>
        <v/>
      </c>
      <c r="AW554" s="61" t="str">
        <f aca="false">SUBSTITUTE(SUBSTITUTE(SUBSTITUTE(SUBSTITUTE(SUBSTITUTE(SUBSTITUTE(SUBSTITUTE(SUBSTITUTE(SUBSTITUTE(SUBSTITUTE(SUBSTITUTE(SUBSTITUTE(SUBSTITUTE(LOWER(Z554&amp;""),CHAR(160),"")," ",""),".",""),"-",""),"/",""),"?",""),"_",""),",",""),"[",""),"]",""),"(",""),")",""),"*","")</f>
        <v/>
      </c>
      <c r="AX554" s="61" t="str">
        <f aca="false">SUBSTITUTE(SUBSTITUTE(SUBSTITUTE(SUBSTITUTE(SUBSTITUTE(SUBSTITUTE(SUBSTITUTE(SUBSTITUTE(SUBSTITUTE(SUBSTITUTE(SUBSTITUTE(SUBSTITUTE(SUBSTITUTE(LOWER(AE554&amp;""),CHAR(160),"")," ",""),".",""),"-",""),"/",""),"?",""),"_",""),",",""),"[",""),"]",""),"(",""),")",""),"*","")</f>
        <v/>
      </c>
      <c r="AY554" s="61" t="str">
        <f aca="false">SUBSTITUTE(SUBSTITUTE(SUBSTITUTE(SUBSTITUTE(SUBSTITUTE(SUBSTITUTE(SUBSTITUTE(SUBSTITUTE(SUBSTITUTE(SUBSTITUTE(SUBSTITUTE(SUBSTITUTE(SUBSTITUTE(LOWER(W554&amp;""),CHAR(160),"")," ",""),".",""),"-",""),"/",""),"?",""),"_",""),",",""),"[",""),"]",""),"(",""),")",""),"*","")</f>
        <v/>
      </c>
      <c r="AZ554" s="61" t="str">
        <f aca="false">SUBSTITUTE(SUBSTITUTE(SUBSTITUTE(SUBSTITUTE(SUBSTITUTE(SUBSTITUTE(SUBSTITUTE(SUBSTITUTE(SUBSTITUTE(SUBSTITUTE(SUBSTITUTE(SUBSTITUTE(SUBSTITUTE(LOWER(AC554&amp;""),CHAR(160),"")," ",""),".",""),"-",""),"/",""),"?",""),"_",""),",",""),"[",""),"]",""),"(",""),")",""),"*","")</f>
        <v/>
      </c>
      <c r="BA554" s="61" t="str">
        <f aca="false">SUBSTITUTE(SUBSTITUTE(SUBSTITUTE(SUBSTITUTE(SUBSTITUTE(SUBSTITUTE(SUBSTITUTE(SUBSTITUTE(SUBSTITUTE(SUBSTITUTE(SUBSTITUTE(SUBSTITUTE(SUBSTITUTE(LOWER(AA554&amp;""),CHAR(160),"")," ",""),".",""),"-",""),"/",""),"?",""),"_",""),",",""),"[",""),"]",""),"(",""),")",""),"*","")</f>
        <v/>
      </c>
      <c r="BB554" s="61" t="str">
        <f aca="false">IF(AND(TRIM(U554)="Pass",ISNUMBER(AF554)),IF(AF554&lt;&gt;0,"INVALID – qty variance: use Fail or Pass after CA",""),"")&amp;IF(AND(TRIM(U554)="Pass after CA",ISNUMBER(AF554)),IF(AF554&lt;&gt;0,"INVALID – after the corrective action the actual qty must equal expected (update Actual)",""),"")&amp;IF(AND(TRIM(U554)="Pass",TRIM(AB554)&lt;&gt;"",TRIM(AB554)&lt;&gt;"Closed"),"INVALID – corrective action not closed: use Fail, then Pass after CA","")&amp;IF(AND(TRIM(AA554)&lt;&gt;"",TRIM(AB554)=""),"INVALID – CA status missing for the recorded corrective action","")&amp;IF(AND(TRIM(U554)="Pass after CA",OR(OR(LEN(BA554)&lt;5,ISNUMBER(MATCH(BA554,L_Placeholder,0))),TRIM(AB554)&lt;&gt;"Closed")),"INVALID – corrective action not recorded/closed","")</f>
        <v/>
      </c>
    </row>
    <row r="555" customFormat="false" ht="54" hidden="false" customHeight="true" outlineLevel="0" collapsed="false">
      <c r="A555" s="57" t="s">
        <v>1214</v>
      </c>
      <c r="B555" s="57" t="s">
        <v>287</v>
      </c>
      <c r="C555" s="57" t="str">
        <f aca="false">Flights!$F$21</f>
        <v>MH0073</v>
      </c>
      <c r="D555" s="58" t="n">
        <f aca="false">Flights!$D$21</f>
        <v>46322</v>
      </c>
      <c r="E555" s="57" t="str">
        <f aca="false">Flights!$G$21&amp;"-"&amp;Flights!$H$21</f>
        <v>HKG-KUL</v>
      </c>
      <c r="F555" s="57" t="str">
        <f aca="false">Flights!$K$21</f>
        <v>BC</v>
      </c>
      <c r="G555" s="57" t="s">
        <v>398</v>
      </c>
      <c r="H555" s="57" t="s">
        <v>356</v>
      </c>
      <c r="I555" s="57" t="s">
        <v>477</v>
      </c>
      <c r="J555" s="57" t="s">
        <v>496</v>
      </c>
      <c r="K555" s="67" t="s">
        <v>497</v>
      </c>
      <c r="L555" s="67" t="s">
        <v>1215</v>
      </c>
      <c r="M555" s="67" t="s">
        <v>429</v>
      </c>
      <c r="N555" s="67" t="s">
        <v>361</v>
      </c>
      <c r="O555" s="67" t="s">
        <v>1216</v>
      </c>
      <c r="P555" s="57" t="s">
        <v>279</v>
      </c>
      <c r="Q555" s="59" t="n">
        <f aca="false">ROUND((Flights!$AE$21)*1440,0)/1440</f>
        <v>46321.7847222222</v>
      </c>
      <c r="R555" s="59" t="n">
        <f aca="false">Q555+(IF(AND(INDEX(TZ_DSTS,MATCH(P555,TZ_STN,0))&lt;&gt;"",Q555&gt;=INDEX(TZ_DSTS,MATCH(P555,TZ_STN,0)),Q555&lt;INDEX(TZ_DSTE,MATCH(P555,TZ_STN,0))),INDEX(TZ_DST,MATCH(P555,TZ_STN,0)),INDEX(TZ_STD,MATCH(P555,TZ_STN,0))))/24</f>
        <v>46322.1180555556</v>
      </c>
      <c r="S555" s="59" t="n">
        <f aca="false">Q555-T12EarlyH/24</f>
        <v>46321.2847222222</v>
      </c>
      <c r="T555" s="60"/>
      <c r="U555" s="60"/>
      <c r="V555" s="60"/>
      <c r="W555" s="61"/>
      <c r="X555" s="60"/>
      <c r="Y555" s="60"/>
      <c r="Z555" s="60"/>
      <c r="AA555" s="60"/>
      <c r="AB555" s="60"/>
      <c r="AC555" s="60"/>
      <c r="AD555" s="66"/>
      <c r="AE555" s="60"/>
      <c r="AF555" s="61" t="str">
        <f aca="false">IF(AND(ISNUMBER(X555),ISNUMBER(Y555)),Y555-X555,"")</f>
        <v/>
      </c>
      <c r="AG555" s="62" t="str">
        <f aca="false">IF(ISNUMBER(AD555),AD555-(IF(AND(INDEX(TZ_DSTS,MATCH(P555,TZ_STN,0))&lt;&gt;"",(AD555-INDEX(TZ_STD,MATCH(P555,TZ_STN,0))/24)&gt;=INDEX(TZ_DSTS,MATCH(P555,TZ_STN,0)),(AD555-INDEX(TZ_STD,MATCH(P555,TZ_STN,0))/24)&lt;INDEX(TZ_DSTE,MATCH(P555,TZ_STN,0))),INDEX(TZ_DST,MATCH(P555,TZ_STN,0)),INDEX(TZ_STD,MATCH(P555,TZ_STN,0))))/24,"")</f>
        <v/>
      </c>
      <c r="AH555" s="65" t="str">
        <f aca="false">IFERROR(IF(N555="N/A – rule","N/A – RULE",IF(TRIM(U555)="N/A",IF(AT555=0,"INVALID – N/A not permitted for this check",IF(AND(TRIM(AB555)&lt;&gt;"",TRIM(AB555)&lt;&gt;"Closed"),"INVALID – corrective action still open",IF(AND(NOT(OR(LEN(AZ555)&lt;15,ISNUMBER(MATCH(AZ555,L_Placeholder,0)))),NOT(OR(LEN(AU555)&lt;2,ISNUMBER(MATCH(AU555,L_Placeholder,0)))),NOT(OR(LEN(AX555)&lt;2,ISNUMBER(MATCH(AX555,L_Placeholder,0)))),TRIM(AE555)&lt;&gt;TRIM(T555)),"N/A – JUSTIFIED","INVALID – N/A needs a real justification (15+ chars), PIC and a different verifier"))),IF(OR(TRIM(U555)="Pass",TRIM(U555)="Pass after CA"),IF(NOT(ISNUMBER(AD555)),"INVALID – completion time missing",IF(OR(LEN(AU555)&lt;2,ISNUMBER(MATCH(AU555,L_Placeholder,0))),"INVALID – PIC missing",IF(OR(LEN(AV555)&lt;2,ISNUMBER(MATCH(AV555,L_Placeholder,0))),"INVALID – result / assessment missing",IF(OR(OR(LEN(AW555)&lt;3,ISNUMBER(MATCH(AW555,L_Placeholder,0))),SUMPRODUCT(--ISNUMBER(SEARCH(L_EvidencePhrase,AW555)))&gt;0),"INVALID – evidence missing, placeholder or not yet on file",IF(OR(LEN(AX555)&lt;2,ISNUMBER(MATCH(AX555,L_Placeholder,0))),"INVALID – verifier missing",IF(AX555=AU555,"INVALID – verifier must be someone other than the PIC",IF(AND(TRIM(U555)="Pass",SUMPRODUCT(--ISNUMBER(SEARCH(L_ResultBad,AV555)))&gt;0),"INVALID – result describes a problem: use Fail, then Pass after CA",IF(AND(AQ555=1,OR(LEN(AY555)&lt;3,ISNUMBER(MATCH(AY555,L_Placeholder,0)))),"INVALID – batch ID missing or placeholder",IF(AND(AR555=1,OR(NOT(ISNUMBER(X555)),NOT(ISNUMBER(Y555)))),"INVALID – expected/actual qty missing",IF(AND(AR555=1,OR(X555&lt;=0,Y555&lt;0)),"INVALID – expected qty must be above 0 and actual not negative",IF(BB555&lt;&gt;"",BB555,IF(AND(AS555=1,Documents!$J$21&lt;&gt;"ON FILE"),"INVALID – GLD not on file (Documents sheet)",IF(AND(AS555=2,Documents!$O$21&lt;&gt;"ON FILE"),"INVALID – menu checklist not on file (Documents sheet)",IF(AND(AS555=3,NOT(ISNUMBER(Flights!$AX$21))),"INVALID – enter carrying flight KUL departure (Flights AX)",IF(AND(AS555=3,OR(Flights!$AZ$21&gt;Flights!$AA$21,Flights!$AX$21&lt;Flights!$AA$21-3)),"INVALID – carrying flight (Flights AX) cannot arrive before this leg's STD, or is over 3 days early",IF(AG555&gt;AsOfUTC,"INVALID – completion time is in the future",IF(AND(ISNUMBER(S555),AG555&lt;S555),IF(H555="Physical uplift","INVALID – before uplift window (cannot confirm loading)","INVALID – before valid window"),IF(AG555&gt;Flights!$AA$21,"INVALID – completed after departure (cannot establish readiness)",IF(AND(H555="Preparation",AG555&gt;IF(ISNUMBER(Flights!$BA$21),MIN(Flights!$BA$21,Flights!$AA$21),Flights!$AA$21)),"INVALID – completed after loading / departure (cannot establish readiness)",IF(AND(H555="Physical uplift",AG555&gt;Q555),"INVALID – recorded after the loading flight departed",IF(AG555&gt;Q555,"COMPLETE – LATE","COMPLETE"))))))))))))))))))))),IF(TRIM(U555)="Fail","FAIL – DISCREPANCY",IF(AND(TRIM(U555)&lt;&gt;"",TRIM(U555)&lt;&gt;"Not started",TRIM(U555)&lt;&gt;"In progress"),"INVALID – unrecognised status (use the list)",IF(AsOfUTC&gt;Q555,"OVERDUE",IF(N555="Clarification required","OPEN – CLARIFICATION","OPEN"))))))),"INVALID – error value in an input cell")</f>
        <v>OPEN</v>
      </c>
      <c r="AI555" s="61" t="n">
        <f aca="false">IF(OR(AH555="N/A – RULE",AH555="N/A – JUSTIFIED"),0,1)</f>
        <v>1</v>
      </c>
      <c r="AJ555" s="61" t="n">
        <f aca="false">IF(LEFT(AH555,8)="COMPLETE",1,0)</f>
        <v>0</v>
      </c>
      <c r="AK555" s="61" t="n">
        <f aca="false">IF(AND(AI555=1,AJ555=0,AsOfUTC&gt;Q555),1,0)</f>
        <v>0</v>
      </c>
      <c r="AL555" s="61" t="n">
        <f aca="false">IFERROR(IF(AND(AI555=1,OR(TRIM(U555)="Fail",AND(TRIM(AB555)&lt;&gt;"",TRIM(AB555)&lt;&gt;"Closed"),AND(ISNUMBER(AF555),AF555&lt;&gt;0,TRIM(U555)&lt;&gt;"Pass after CA"))),1,0),1)</f>
        <v>0</v>
      </c>
      <c r="AM555" s="61" t="n">
        <f aca="false">IF(LEFT(AH555,7)="INVALID",1,0)</f>
        <v>0</v>
      </c>
      <c r="AN555" s="61" t="n">
        <f aca="false">IF(AND(N555="Clarification required",AI555=1,AJ555=0),1,0)</f>
        <v>0</v>
      </c>
      <c r="AO555" s="61" t="str">
        <f aca="false">IF(AK555=1,SUM(AK$5:AK555),"")</f>
        <v/>
      </c>
      <c r="AP555" s="61" t="str">
        <f aca="false">IF(AL555=1,SUM(AL$5:AL555),"")</f>
        <v/>
      </c>
      <c r="AQ555" s="61" t="n">
        <v>0</v>
      </c>
      <c r="AR555" s="61" t="n">
        <v>0</v>
      </c>
      <c r="AS555" s="61" t="n">
        <v>0</v>
      </c>
      <c r="AT555" s="61" t="n">
        <v>0</v>
      </c>
      <c r="AU555" s="61" t="str">
        <f aca="false">SUBSTITUTE(SUBSTITUTE(SUBSTITUTE(SUBSTITUTE(SUBSTITUTE(SUBSTITUTE(SUBSTITUTE(SUBSTITUTE(SUBSTITUTE(SUBSTITUTE(SUBSTITUTE(SUBSTITUTE(SUBSTITUTE(LOWER(T555&amp;""),CHAR(160),"")," ",""),".",""),"-",""),"/",""),"?",""),"_",""),",",""),"[",""),"]",""),"(",""),")",""),"*","")</f>
        <v/>
      </c>
      <c r="AV555" s="61" t="str">
        <f aca="false">SUBSTITUTE(SUBSTITUTE(SUBSTITUTE(SUBSTITUTE(SUBSTITUTE(SUBSTITUTE(SUBSTITUTE(SUBSTITUTE(SUBSTITUTE(SUBSTITUTE(SUBSTITUTE(SUBSTITUTE(SUBSTITUTE(LOWER(V555&amp;""),CHAR(160),"")," ",""),".",""),"-",""),"/",""),"?",""),"_",""),",",""),"[",""),"]",""),"(",""),")",""),"*","")</f>
        <v/>
      </c>
      <c r="AW555" s="61" t="str">
        <f aca="false">SUBSTITUTE(SUBSTITUTE(SUBSTITUTE(SUBSTITUTE(SUBSTITUTE(SUBSTITUTE(SUBSTITUTE(SUBSTITUTE(SUBSTITUTE(SUBSTITUTE(SUBSTITUTE(SUBSTITUTE(SUBSTITUTE(LOWER(Z555&amp;""),CHAR(160),"")," ",""),".",""),"-",""),"/",""),"?",""),"_",""),",",""),"[",""),"]",""),"(",""),")",""),"*","")</f>
        <v/>
      </c>
      <c r="AX555" s="61" t="str">
        <f aca="false">SUBSTITUTE(SUBSTITUTE(SUBSTITUTE(SUBSTITUTE(SUBSTITUTE(SUBSTITUTE(SUBSTITUTE(SUBSTITUTE(SUBSTITUTE(SUBSTITUTE(SUBSTITUTE(SUBSTITUTE(SUBSTITUTE(LOWER(AE555&amp;""),CHAR(160),"")," ",""),".",""),"-",""),"/",""),"?",""),"_",""),",",""),"[",""),"]",""),"(",""),")",""),"*","")</f>
        <v/>
      </c>
      <c r="AY555" s="61" t="str">
        <f aca="false">SUBSTITUTE(SUBSTITUTE(SUBSTITUTE(SUBSTITUTE(SUBSTITUTE(SUBSTITUTE(SUBSTITUTE(SUBSTITUTE(SUBSTITUTE(SUBSTITUTE(SUBSTITUTE(SUBSTITUTE(SUBSTITUTE(LOWER(W555&amp;""),CHAR(160),"")," ",""),".",""),"-",""),"/",""),"?",""),"_",""),",",""),"[",""),"]",""),"(",""),")",""),"*","")</f>
        <v/>
      </c>
      <c r="AZ555" s="61" t="str">
        <f aca="false">SUBSTITUTE(SUBSTITUTE(SUBSTITUTE(SUBSTITUTE(SUBSTITUTE(SUBSTITUTE(SUBSTITUTE(SUBSTITUTE(SUBSTITUTE(SUBSTITUTE(SUBSTITUTE(SUBSTITUTE(SUBSTITUTE(LOWER(AC555&amp;""),CHAR(160),"")," ",""),".",""),"-",""),"/",""),"?",""),"_",""),",",""),"[",""),"]",""),"(",""),")",""),"*","")</f>
        <v/>
      </c>
      <c r="BA555" s="61" t="str">
        <f aca="false">SUBSTITUTE(SUBSTITUTE(SUBSTITUTE(SUBSTITUTE(SUBSTITUTE(SUBSTITUTE(SUBSTITUTE(SUBSTITUTE(SUBSTITUTE(SUBSTITUTE(SUBSTITUTE(SUBSTITUTE(SUBSTITUTE(LOWER(AA555&amp;""),CHAR(160),"")," ",""),".",""),"-",""),"/",""),"?",""),"_",""),",",""),"[",""),"]",""),"(",""),")",""),"*","")</f>
        <v/>
      </c>
      <c r="BB555" s="61" t="str">
        <f aca="false">IF(AND(TRIM(U555)="Pass",ISNUMBER(AF555)),IF(AF555&lt;&gt;0,"INVALID – qty variance: use Fail or Pass after CA",""),"")&amp;IF(AND(TRIM(U555)="Pass after CA",ISNUMBER(AF555)),IF(AF555&lt;&gt;0,"INVALID – after the corrective action the actual qty must equal expected (update Actual)",""),"")&amp;IF(AND(TRIM(U555)="Pass",TRIM(AB555)&lt;&gt;"",TRIM(AB555)&lt;&gt;"Closed"),"INVALID – corrective action not closed: use Fail, then Pass after CA","")&amp;IF(AND(TRIM(AA555)&lt;&gt;"",TRIM(AB555)=""),"INVALID – CA status missing for the recorded corrective action","")&amp;IF(AND(TRIM(U555)="Pass after CA",OR(OR(LEN(BA555)&lt;5,ISNUMBER(MATCH(BA555,L_Placeholder,0))),TRIM(AB555)&lt;&gt;"Closed")),"INVALID – corrective action not recorded/closed","")</f>
        <v/>
      </c>
    </row>
    <row r="556" customFormat="false" ht="41.25" hidden="false" customHeight="true" outlineLevel="0" collapsed="false">
      <c r="A556" s="57" t="s">
        <v>1217</v>
      </c>
      <c r="B556" s="57" t="s">
        <v>287</v>
      </c>
      <c r="C556" s="57" t="str">
        <f aca="false">Flights!$F$21</f>
        <v>MH0073</v>
      </c>
      <c r="D556" s="58" t="n">
        <f aca="false">Flights!$D$21</f>
        <v>46322</v>
      </c>
      <c r="E556" s="57" t="str">
        <f aca="false">Flights!$G$21&amp;"-"&amp;Flights!$H$21</f>
        <v>HKG-KUL</v>
      </c>
      <c r="F556" s="57" t="str">
        <f aca="false">Flights!$K$21</f>
        <v>BC</v>
      </c>
      <c r="G556" s="57" t="s">
        <v>398</v>
      </c>
      <c r="H556" s="57" t="s">
        <v>356</v>
      </c>
      <c r="I556" s="57" t="s">
        <v>477</v>
      </c>
      <c r="J556" s="57" t="s">
        <v>501</v>
      </c>
      <c r="K556" s="67" t="s">
        <v>479</v>
      </c>
      <c r="L556" s="67" t="s">
        <v>1218</v>
      </c>
      <c r="M556" s="67" t="s">
        <v>429</v>
      </c>
      <c r="N556" s="67" t="s">
        <v>361</v>
      </c>
      <c r="O556" s="67" t="s">
        <v>1204</v>
      </c>
      <c r="P556" s="57" t="s">
        <v>279</v>
      </c>
      <c r="Q556" s="59" t="n">
        <f aca="false">ROUND((Flights!$AE$21)*1440,0)/1440</f>
        <v>46321.7847222222</v>
      </c>
      <c r="R556" s="59" t="n">
        <f aca="false">Q556+(IF(AND(INDEX(TZ_DSTS,MATCH(P556,TZ_STN,0))&lt;&gt;"",Q556&gt;=INDEX(TZ_DSTS,MATCH(P556,TZ_STN,0)),Q556&lt;INDEX(TZ_DSTE,MATCH(P556,TZ_STN,0))),INDEX(TZ_DST,MATCH(P556,TZ_STN,0)),INDEX(TZ_STD,MATCH(P556,TZ_STN,0))))/24</f>
        <v>46322.1180555556</v>
      </c>
      <c r="S556" s="59" t="n">
        <f aca="false">Q556-T12EarlyH/24</f>
        <v>46321.2847222222</v>
      </c>
      <c r="T556" s="60"/>
      <c r="U556" s="60"/>
      <c r="V556" s="60"/>
      <c r="W556" s="61"/>
      <c r="X556" s="60"/>
      <c r="Y556" s="60"/>
      <c r="Z556" s="60"/>
      <c r="AA556" s="60"/>
      <c r="AB556" s="60"/>
      <c r="AC556" s="60"/>
      <c r="AD556" s="66"/>
      <c r="AE556" s="60"/>
      <c r="AF556" s="61" t="str">
        <f aca="false">IF(AND(ISNUMBER(X556),ISNUMBER(Y556)),Y556-X556,"")</f>
        <v/>
      </c>
      <c r="AG556" s="62" t="str">
        <f aca="false">IF(ISNUMBER(AD556),AD556-(IF(AND(INDEX(TZ_DSTS,MATCH(P556,TZ_STN,0))&lt;&gt;"",(AD556-INDEX(TZ_STD,MATCH(P556,TZ_STN,0))/24)&gt;=INDEX(TZ_DSTS,MATCH(P556,TZ_STN,0)),(AD556-INDEX(TZ_STD,MATCH(P556,TZ_STN,0))/24)&lt;INDEX(TZ_DSTE,MATCH(P556,TZ_STN,0))),INDEX(TZ_DST,MATCH(P556,TZ_STN,0)),INDEX(TZ_STD,MATCH(P556,TZ_STN,0))))/24,"")</f>
        <v/>
      </c>
      <c r="AH556" s="65" t="str">
        <f aca="false">IFERROR(IF(N556="N/A – rule","N/A – RULE",IF(TRIM(U556)="N/A",IF(AT556=0,"INVALID – N/A not permitted for this check",IF(AND(TRIM(AB556)&lt;&gt;"",TRIM(AB556)&lt;&gt;"Closed"),"INVALID – corrective action still open",IF(AND(NOT(OR(LEN(AZ556)&lt;15,ISNUMBER(MATCH(AZ556,L_Placeholder,0)))),NOT(OR(LEN(AU556)&lt;2,ISNUMBER(MATCH(AU556,L_Placeholder,0)))),NOT(OR(LEN(AX556)&lt;2,ISNUMBER(MATCH(AX556,L_Placeholder,0)))),TRIM(AE556)&lt;&gt;TRIM(T556)),"N/A – JUSTIFIED","INVALID – N/A needs a real justification (15+ chars), PIC and a different verifier"))),IF(OR(TRIM(U556)="Pass",TRIM(U556)="Pass after CA"),IF(NOT(ISNUMBER(AD556)),"INVALID – completion time missing",IF(OR(LEN(AU556)&lt;2,ISNUMBER(MATCH(AU556,L_Placeholder,0))),"INVALID – PIC missing",IF(OR(LEN(AV556)&lt;2,ISNUMBER(MATCH(AV556,L_Placeholder,0))),"INVALID – result / assessment missing",IF(OR(OR(LEN(AW556)&lt;3,ISNUMBER(MATCH(AW556,L_Placeholder,0))),SUMPRODUCT(--ISNUMBER(SEARCH(L_EvidencePhrase,AW556)))&gt;0),"INVALID – evidence missing, placeholder or not yet on file",IF(OR(LEN(AX556)&lt;2,ISNUMBER(MATCH(AX556,L_Placeholder,0))),"INVALID – verifier missing",IF(AX556=AU556,"INVALID – verifier must be someone other than the PIC",IF(AND(TRIM(U556)="Pass",SUMPRODUCT(--ISNUMBER(SEARCH(L_ResultBad,AV556)))&gt;0),"INVALID – result describes a problem: use Fail, then Pass after CA",IF(AND(AQ556=1,OR(LEN(AY556)&lt;3,ISNUMBER(MATCH(AY556,L_Placeholder,0)))),"INVALID – batch ID missing or placeholder",IF(AND(AR556=1,OR(NOT(ISNUMBER(X556)),NOT(ISNUMBER(Y556)))),"INVALID – expected/actual qty missing",IF(AND(AR556=1,OR(X556&lt;=0,Y556&lt;0)),"INVALID – expected qty must be above 0 and actual not negative",IF(BB556&lt;&gt;"",BB556,IF(AND(AS556=1,Documents!$J$21&lt;&gt;"ON FILE"),"INVALID – GLD not on file (Documents sheet)",IF(AND(AS556=2,Documents!$O$21&lt;&gt;"ON FILE"),"INVALID – menu checklist not on file (Documents sheet)",IF(AND(AS556=3,NOT(ISNUMBER(Flights!$AX$21))),"INVALID – enter carrying flight KUL departure (Flights AX)",IF(AND(AS556=3,OR(Flights!$AZ$21&gt;Flights!$AA$21,Flights!$AX$21&lt;Flights!$AA$21-3)),"INVALID – carrying flight (Flights AX) cannot arrive before this leg's STD, or is over 3 days early",IF(AG556&gt;AsOfUTC,"INVALID – completion time is in the future",IF(AND(ISNUMBER(S556),AG556&lt;S556),IF(H556="Physical uplift","INVALID – before uplift window (cannot confirm loading)","INVALID – before valid window"),IF(AG556&gt;Flights!$AA$21,"INVALID – completed after departure (cannot establish readiness)",IF(AND(H556="Preparation",AG556&gt;IF(ISNUMBER(Flights!$BA$21),MIN(Flights!$BA$21,Flights!$AA$21),Flights!$AA$21)),"INVALID – completed after loading / departure (cannot establish readiness)",IF(AND(H556="Physical uplift",AG556&gt;Q556),"INVALID – recorded after the loading flight departed",IF(AG556&gt;Q556,"COMPLETE – LATE","COMPLETE"))))))))))))))))))))),IF(TRIM(U556)="Fail","FAIL – DISCREPANCY",IF(AND(TRIM(U556)&lt;&gt;"",TRIM(U556)&lt;&gt;"Not started",TRIM(U556)&lt;&gt;"In progress"),"INVALID – unrecognised status (use the list)",IF(AsOfUTC&gt;Q556,"OVERDUE",IF(N556="Clarification required","OPEN – CLARIFICATION","OPEN"))))))),"INVALID – error value in an input cell")</f>
        <v>OPEN</v>
      </c>
      <c r="AI556" s="61" t="n">
        <f aca="false">IF(OR(AH556="N/A – RULE",AH556="N/A – JUSTIFIED"),0,1)</f>
        <v>1</v>
      </c>
      <c r="AJ556" s="61" t="n">
        <f aca="false">IF(LEFT(AH556,8)="COMPLETE",1,0)</f>
        <v>0</v>
      </c>
      <c r="AK556" s="61" t="n">
        <f aca="false">IF(AND(AI556=1,AJ556=0,AsOfUTC&gt;Q556),1,0)</f>
        <v>0</v>
      </c>
      <c r="AL556" s="61" t="n">
        <f aca="false">IFERROR(IF(AND(AI556=1,OR(TRIM(U556)="Fail",AND(TRIM(AB556)&lt;&gt;"",TRIM(AB556)&lt;&gt;"Closed"),AND(ISNUMBER(AF556),AF556&lt;&gt;0,TRIM(U556)&lt;&gt;"Pass after CA"))),1,0),1)</f>
        <v>0</v>
      </c>
      <c r="AM556" s="61" t="n">
        <f aca="false">IF(LEFT(AH556,7)="INVALID",1,0)</f>
        <v>0</v>
      </c>
      <c r="AN556" s="61" t="n">
        <f aca="false">IF(AND(N556="Clarification required",AI556=1,AJ556=0),1,0)</f>
        <v>0</v>
      </c>
      <c r="AO556" s="61" t="str">
        <f aca="false">IF(AK556=1,SUM(AK$5:AK556),"")</f>
        <v/>
      </c>
      <c r="AP556" s="61" t="str">
        <f aca="false">IF(AL556=1,SUM(AL$5:AL556),"")</f>
        <v/>
      </c>
      <c r="AQ556" s="61" t="n">
        <v>0</v>
      </c>
      <c r="AR556" s="61" t="n">
        <v>0</v>
      </c>
      <c r="AS556" s="61" t="n">
        <v>0</v>
      </c>
      <c r="AT556" s="61" t="n">
        <v>0</v>
      </c>
      <c r="AU556" s="61" t="str">
        <f aca="false">SUBSTITUTE(SUBSTITUTE(SUBSTITUTE(SUBSTITUTE(SUBSTITUTE(SUBSTITUTE(SUBSTITUTE(SUBSTITUTE(SUBSTITUTE(SUBSTITUTE(SUBSTITUTE(SUBSTITUTE(SUBSTITUTE(LOWER(T556&amp;""),CHAR(160),"")," ",""),".",""),"-",""),"/",""),"?",""),"_",""),",",""),"[",""),"]",""),"(",""),")",""),"*","")</f>
        <v/>
      </c>
      <c r="AV556" s="61" t="str">
        <f aca="false">SUBSTITUTE(SUBSTITUTE(SUBSTITUTE(SUBSTITUTE(SUBSTITUTE(SUBSTITUTE(SUBSTITUTE(SUBSTITUTE(SUBSTITUTE(SUBSTITUTE(SUBSTITUTE(SUBSTITUTE(SUBSTITUTE(LOWER(V556&amp;""),CHAR(160),"")," ",""),".",""),"-",""),"/",""),"?",""),"_",""),",",""),"[",""),"]",""),"(",""),")",""),"*","")</f>
        <v/>
      </c>
      <c r="AW556" s="61" t="str">
        <f aca="false">SUBSTITUTE(SUBSTITUTE(SUBSTITUTE(SUBSTITUTE(SUBSTITUTE(SUBSTITUTE(SUBSTITUTE(SUBSTITUTE(SUBSTITUTE(SUBSTITUTE(SUBSTITUTE(SUBSTITUTE(SUBSTITUTE(LOWER(Z556&amp;""),CHAR(160),"")," ",""),".",""),"-",""),"/",""),"?",""),"_",""),",",""),"[",""),"]",""),"(",""),")",""),"*","")</f>
        <v/>
      </c>
      <c r="AX556" s="61" t="str">
        <f aca="false">SUBSTITUTE(SUBSTITUTE(SUBSTITUTE(SUBSTITUTE(SUBSTITUTE(SUBSTITUTE(SUBSTITUTE(SUBSTITUTE(SUBSTITUTE(SUBSTITUTE(SUBSTITUTE(SUBSTITUTE(SUBSTITUTE(LOWER(AE556&amp;""),CHAR(160),"")," ",""),".",""),"-",""),"/",""),"?",""),"_",""),",",""),"[",""),"]",""),"(",""),")",""),"*","")</f>
        <v/>
      </c>
      <c r="AY556" s="61" t="str">
        <f aca="false">SUBSTITUTE(SUBSTITUTE(SUBSTITUTE(SUBSTITUTE(SUBSTITUTE(SUBSTITUTE(SUBSTITUTE(SUBSTITUTE(SUBSTITUTE(SUBSTITUTE(SUBSTITUTE(SUBSTITUTE(SUBSTITUTE(LOWER(W556&amp;""),CHAR(160),"")," ",""),".",""),"-",""),"/",""),"?",""),"_",""),",",""),"[",""),"]",""),"(",""),")",""),"*","")</f>
        <v/>
      </c>
      <c r="AZ556" s="61" t="str">
        <f aca="false">SUBSTITUTE(SUBSTITUTE(SUBSTITUTE(SUBSTITUTE(SUBSTITUTE(SUBSTITUTE(SUBSTITUTE(SUBSTITUTE(SUBSTITUTE(SUBSTITUTE(SUBSTITUTE(SUBSTITUTE(SUBSTITUTE(LOWER(AC556&amp;""),CHAR(160),"")," ",""),".",""),"-",""),"/",""),"?",""),"_",""),",",""),"[",""),"]",""),"(",""),")",""),"*","")</f>
        <v/>
      </c>
      <c r="BA556" s="61" t="str">
        <f aca="false">SUBSTITUTE(SUBSTITUTE(SUBSTITUTE(SUBSTITUTE(SUBSTITUTE(SUBSTITUTE(SUBSTITUTE(SUBSTITUTE(SUBSTITUTE(SUBSTITUTE(SUBSTITUTE(SUBSTITUTE(SUBSTITUTE(LOWER(AA556&amp;""),CHAR(160),"")," ",""),".",""),"-",""),"/",""),"?",""),"_",""),",",""),"[",""),"]",""),"(",""),")",""),"*","")</f>
        <v/>
      </c>
      <c r="BB556" s="61" t="str">
        <f aca="false">IF(AND(TRIM(U556)="Pass",ISNUMBER(AF556)),IF(AF556&lt;&gt;0,"INVALID – qty variance: use Fail or Pass after CA",""),"")&amp;IF(AND(TRIM(U556)="Pass after CA",ISNUMBER(AF556)),IF(AF556&lt;&gt;0,"INVALID – after the corrective action the actual qty must equal expected (update Actual)",""),"")&amp;IF(AND(TRIM(U556)="Pass",TRIM(AB556)&lt;&gt;"",TRIM(AB556)&lt;&gt;"Closed"),"INVALID – corrective action not closed: use Fail, then Pass after CA","")&amp;IF(AND(TRIM(AA556)&lt;&gt;"",TRIM(AB556)=""),"INVALID – CA status missing for the recorded corrective action","")&amp;IF(AND(TRIM(U556)="Pass after CA",OR(OR(LEN(BA556)&lt;5,ISNUMBER(MATCH(BA556,L_Placeholder,0))),TRIM(AB556)&lt;&gt;"Closed")),"INVALID – corrective action not recorded/closed","")</f>
        <v/>
      </c>
    </row>
    <row r="557" customFormat="false" ht="41.25" hidden="false" customHeight="true" outlineLevel="0" collapsed="false">
      <c r="A557" s="57" t="s">
        <v>1219</v>
      </c>
      <c r="B557" s="57" t="s">
        <v>287</v>
      </c>
      <c r="C557" s="57" t="str">
        <f aca="false">Flights!$F$21</f>
        <v>MH0073</v>
      </c>
      <c r="D557" s="58" t="n">
        <f aca="false">Flights!$D$21</f>
        <v>46322</v>
      </c>
      <c r="E557" s="57" t="str">
        <f aca="false">Flights!$G$21&amp;"-"&amp;Flights!$H$21</f>
        <v>HKG-KUL</v>
      </c>
      <c r="F557" s="57" t="str">
        <f aca="false">Flights!$K$21</f>
        <v>BC</v>
      </c>
      <c r="G557" s="57" t="s">
        <v>398</v>
      </c>
      <c r="H557" s="57" t="s">
        <v>356</v>
      </c>
      <c r="I557" s="57" t="s">
        <v>425</v>
      </c>
      <c r="J557" s="57" t="s">
        <v>504</v>
      </c>
      <c r="K557" s="67" t="s">
        <v>427</v>
      </c>
      <c r="L557" s="67" t="s">
        <v>1220</v>
      </c>
      <c r="M557" s="67" t="s">
        <v>429</v>
      </c>
      <c r="N557" s="67" t="s">
        <v>361</v>
      </c>
      <c r="O557" s="67" t="s">
        <v>1204</v>
      </c>
      <c r="P557" s="57" t="s">
        <v>279</v>
      </c>
      <c r="Q557" s="59" t="n">
        <f aca="false">ROUND((Flights!$AE$21)*1440,0)/1440</f>
        <v>46321.7847222222</v>
      </c>
      <c r="R557" s="59" t="n">
        <f aca="false">Q557+(IF(AND(INDEX(TZ_DSTS,MATCH(P557,TZ_STN,0))&lt;&gt;"",Q557&gt;=INDEX(TZ_DSTS,MATCH(P557,TZ_STN,0)),Q557&lt;INDEX(TZ_DSTE,MATCH(P557,TZ_STN,0))),INDEX(TZ_DST,MATCH(P557,TZ_STN,0)),INDEX(TZ_STD,MATCH(P557,TZ_STN,0))))/24</f>
        <v>46322.1180555556</v>
      </c>
      <c r="S557" s="59" t="n">
        <f aca="false">Q557-T12EarlyH/24</f>
        <v>46321.2847222222</v>
      </c>
      <c r="T557" s="60"/>
      <c r="U557" s="60"/>
      <c r="V557" s="60"/>
      <c r="W557" s="61"/>
      <c r="X557" s="60"/>
      <c r="Y557" s="60"/>
      <c r="Z557" s="60"/>
      <c r="AA557" s="60"/>
      <c r="AB557" s="60"/>
      <c r="AC557" s="60"/>
      <c r="AD557" s="66"/>
      <c r="AE557" s="60"/>
      <c r="AF557" s="61" t="str">
        <f aca="false">IF(AND(ISNUMBER(X557),ISNUMBER(Y557)),Y557-X557,"")</f>
        <v/>
      </c>
      <c r="AG557" s="62" t="str">
        <f aca="false">IF(ISNUMBER(AD557),AD557-(IF(AND(INDEX(TZ_DSTS,MATCH(P557,TZ_STN,0))&lt;&gt;"",(AD557-INDEX(TZ_STD,MATCH(P557,TZ_STN,0))/24)&gt;=INDEX(TZ_DSTS,MATCH(P557,TZ_STN,0)),(AD557-INDEX(TZ_STD,MATCH(P557,TZ_STN,0))/24)&lt;INDEX(TZ_DSTE,MATCH(P557,TZ_STN,0))),INDEX(TZ_DST,MATCH(P557,TZ_STN,0)),INDEX(TZ_STD,MATCH(P557,TZ_STN,0))))/24,"")</f>
        <v/>
      </c>
      <c r="AH557" s="65" t="str">
        <f aca="false">IFERROR(IF(N557="N/A – rule","N/A – RULE",IF(TRIM(U557)="N/A",IF(AT557=0,"INVALID – N/A not permitted for this check",IF(AND(TRIM(AB557)&lt;&gt;"",TRIM(AB557)&lt;&gt;"Closed"),"INVALID – corrective action still open",IF(AND(NOT(OR(LEN(AZ557)&lt;15,ISNUMBER(MATCH(AZ557,L_Placeholder,0)))),NOT(OR(LEN(AU557)&lt;2,ISNUMBER(MATCH(AU557,L_Placeholder,0)))),NOT(OR(LEN(AX557)&lt;2,ISNUMBER(MATCH(AX557,L_Placeholder,0)))),TRIM(AE557)&lt;&gt;TRIM(T557)),"N/A – JUSTIFIED","INVALID – N/A needs a real justification (15+ chars), PIC and a different verifier"))),IF(OR(TRIM(U557)="Pass",TRIM(U557)="Pass after CA"),IF(NOT(ISNUMBER(AD557)),"INVALID – completion time missing",IF(OR(LEN(AU557)&lt;2,ISNUMBER(MATCH(AU557,L_Placeholder,0))),"INVALID – PIC missing",IF(OR(LEN(AV557)&lt;2,ISNUMBER(MATCH(AV557,L_Placeholder,0))),"INVALID – result / assessment missing",IF(OR(OR(LEN(AW557)&lt;3,ISNUMBER(MATCH(AW557,L_Placeholder,0))),SUMPRODUCT(--ISNUMBER(SEARCH(L_EvidencePhrase,AW557)))&gt;0),"INVALID – evidence missing, placeholder or not yet on file",IF(OR(LEN(AX557)&lt;2,ISNUMBER(MATCH(AX557,L_Placeholder,0))),"INVALID – verifier missing",IF(AX557=AU557,"INVALID – verifier must be someone other than the PIC",IF(AND(TRIM(U557)="Pass",SUMPRODUCT(--ISNUMBER(SEARCH(L_ResultBad,AV557)))&gt;0),"INVALID – result describes a problem: use Fail, then Pass after CA",IF(AND(AQ557=1,OR(LEN(AY557)&lt;3,ISNUMBER(MATCH(AY557,L_Placeholder,0)))),"INVALID – batch ID missing or placeholder",IF(AND(AR557=1,OR(NOT(ISNUMBER(X557)),NOT(ISNUMBER(Y557)))),"INVALID – expected/actual qty missing",IF(AND(AR557=1,OR(X557&lt;=0,Y557&lt;0)),"INVALID – expected qty must be above 0 and actual not negative",IF(BB557&lt;&gt;"",BB557,IF(AND(AS557=1,Documents!$J$21&lt;&gt;"ON FILE"),"INVALID – GLD not on file (Documents sheet)",IF(AND(AS557=2,Documents!$O$21&lt;&gt;"ON FILE"),"INVALID – menu checklist not on file (Documents sheet)",IF(AND(AS557=3,NOT(ISNUMBER(Flights!$AX$21))),"INVALID – enter carrying flight KUL departure (Flights AX)",IF(AND(AS557=3,OR(Flights!$AZ$21&gt;Flights!$AA$21,Flights!$AX$21&lt;Flights!$AA$21-3)),"INVALID – carrying flight (Flights AX) cannot arrive before this leg's STD, or is over 3 days early",IF(AG557&gt;AsOfUTC,"INVALID – completion time is in the future",IF(AND(ISNUMBER(S557),AG557&lt;S557),IF(H557="Physical uplift","INVALID – before uplift window (cannot confirm loading)","INVALID – before valid window"),IF(AG557&gt;Flights!$AA$21,"INVALID – completed after departure (cannot establish readiness)",IF(AND(H557="Preparation",AG557&gt;IF(ISNUMBER(Flights!$BA$21),MIN(Flights!$BA$21,Flights!$AA$21),Flights!$AA$21)),"INVALID – completed after loading / departure (cannot establish readiness)",IF(AND(H557="Physical uplift",AG557&gt;Q557),"INVALID – recorded after the loading flight departed",IF(AG557&gt;Q557,"COMPLETE – LATE","COMPLETE"))))))))))))))))))))),IF(TRIM(U557)="Fail","FAIL – DISCREPANCY",IF(AND(TRIM(U557)&lt;&gt;"",TRIM(U557)&lt;&gt;"Not started",TRIM(U557)&lt;&gt;"In progress"),"INVALID – unrecognised status (use the list)",IF(AsOfUTC&gt;Q557,"OVERDUE",IF(N557="Clarification required","OPEN – CLARIFICATION","OPEN"))))))),"INVALID – error value in an input cell")</f>
        <v>OPEN</v>
      </c>
      <c r="AI557" s="61" t="n">
        <f aca="false">IF(OR(AH557="N/A – RULE",AH557="N/A – JUSTIFIED"),0,1)</f>
        <v>1</v>
      </c>
      <c r="AJ557" s="61" t="n">
        <f aca="false">IF(LEFT(AH557,8)="COMPLETE",1,0)</f>
        <v>0</v>
      </c>
      <c r="AK557" s="61" t="n">
        <f aca="false">IF(AND(AI557=1,AJ557=0,AsOfUTC&gt;Q557),1,0)</f>
        <v>0</v>
      </c>
      <c r="AL557" s="61" t="n">
        <f aca="false">IFERROR(IF(AND(AI557=1,OR(TRIM(U557)="Fail",AND(TRIM(AB557)&lt;&gt;"",TRIM(AB557)&lt;&gt;"Closed"),AND(ISNUMBER(AF557),AF557&lt;&gt;0,TRIM(U557)&lt;&gt;"Pass after CA"))),1,0),1)</f>
        <v>0</v>
      </c>
      <c r="AM557" s="61" t="n">
        <f aca="false">IF(LEFT(AH557,7)="INVALID",1,0)</f>
        <v>0</v>
      </c>
      <c r="AN557" s="61" t="n">
        <f aca="false">IF(AND(N557="Clarification required",AI557=1,AJ557=0),1,0)</f>
        <v>0</v>
      </c>
      <c r="AO557" s="61" t="str">
        <f aca="false">IF(AK557=1,SUM(AK$5:AK557),"")</f>
        <v/>
      </c>
      <c r="AP557" s="61" t="str">
        <f aca="false">IF(AL557=1,SUM(AL$5:AL557),"")</f>
        <v/>
      </c>
      <c r="AQ557" s="61" t="n">
        <v>0</v>
      </c>
      <c r="AR557" s="61" t="n">
        <v>0</v>
      </c>
      <c r="AS557" s="61" t="n">
        <v>0</v>
      </c>
      <c r="AT557" s="61" t="n">
        <v>0</v>
      </c>
      <c r="AU557" s="61" t="str">
        <f aca="false">SUBSTITUTE(SUBSTITUTE(SUBSTITUTE(SUBSTITUTE(SUBSTITUTE(SUBSTITUTE(SUBSTITUTE(SUBSTITUTE(SUBSTITUTE(SUBSTITUTE(SUBSTITUTE(SUBSTITUTE(SUBSTITUTE(LOWER(T557&amp;""),CHAR(160),"")," ",""),".",""),"-",""),"/",""),"?",""),"_",""),",",""),"[",""),"]",""),"(",""),")",""),"*","")</f>
        <v/>
      </c>
      <c r="AV557" s="61" t="str">
        <f aca="false">SUBSTITUTE(SUBSTITUTE(SUBSTITUTE(SUBSTITUTE(SUBSTITUTE(SUBSTITUTE(SUBSTITUTE(SUBSTITUTE(SUBSTITUTE(SUBSTITUTE(SUBSTITUTE(SUBSTITUTE(SUBSTITUTE(LOWER(V557&amp;""),CHAR(160),"")," ",""),".",""),"-",""),"/",""),"?",""),"_",""),",",""),"[",""),"]",""),"(",""),")",""),"*","")</f>
        <v/>
      </c>
      <c r="AW557" s="61" t="str">
        <f aca="false">SUBSTITUTE(SUBSTITUTE(SUBSTITUTE(SUBSTITUTE(SUBSTITUTE(SUBSTITUTE(SUBSTITUTE(SUBSTITUTE(SUBSTITUTE(SUBSTITUTE(SUBSTITUTE(SUBSTITUTE(SUBSTITUTE(LOWER(Z557&amp;""),CHAR(160),"")," ",""),".",""),"-",""),"/",""),"?",""),"_",""),",",""),"[",""),"]",""),"(",""),")",""),"*","")</f>
        <v/>
      </c>
      <c r="AX557" s="61" t="str">
        <f aca="false">SUBSTITUTE(SUBSTITUTE(SUBSTITUTE(SUBSTITUTE(SUBSTITUTE(SUBSTITUTE(SUBSTITUTE(SUBSTITUTE(SUBSTITUTE(SUBSTITUTE(SUBSTITUTE(SUBSTITUTE(SUBSTITUTE(LOWER(AE557&amp;""),CHAR(160),"")," ",""),".",""),"-",""),"/",""),"?",""),"_",""),",",""),"[",""),"]",""),"(",""),")",""),"*","")</f>
        <v/>
      </c>
      <c r="AY557" s="61" t="str">
        <f aca="false">SUBSTITUTE(SUBSTITUTE(SUBSTITUTE(SUBSTITUTE(SUBSTITUTE(SUBSTITUTE(SUBSTITUTE(SUBSTITUTE(SUBSTITUTE(SUBSTITUTE(SUBSTITUTE(SUBSTITUTE(SUBSTITUTE(LOWER(W557&amp;""),CHAR(160),"")," ",""),".",""),"-",""),"/",""),"?",""),"_",""),",",""),"[",""),"]",""),"(",""),")",""),"*","")</f>
        <v/>
      </c>
      <c r="AZ557" s="61" t="str">
        <f aca="false">SUBSTITUTE(SUBSTITUTE(SUBSTITUTE(SUBSTITUTE(SUBSTITUTE(SUBSTITUTE(SUBSTITUTE(SUBSTITUTE(SUBSTITUTE(SUBSTITUTE(SUBSTITUTE(SUBSTITUTE(SUBSTITUTE(LOWER(AC557&amp;""),CHAR(160),"")," ",""),".",""),"-",""),"/",""),"?",""),"_",""),",",""),"[",""),"]",""),"(",""),")",""),"*","")</f>
        <v/>
      </c>
      <c r="BA557" s="61" t="str">
        <f aca="false">SUBSTITUTE(SUBSTITUTE(SUBSTITUTE(SUBSTITUTE(SUBSTITUTE(SUBSTITUTE(SUBSTITUTE(SUBSTITUTE(SUBSTITUTE(SUBSTITUTE(SUBSTITUTE(SUBSTITUTE(SUBSTITUTE(LOWER(AA557&amp;""),CHAR(160),"")," ",""),".",""),"-",""),"/",""),"?",""),"_",""),",",""),"[",""),"]",""),"(",""),")",""),"*","")</f>
        <v/>
      </c>
      <c r="BB557" s="61" t="str">
        <f aca="false">IF(AND(TRIM(U557)="Pass",ISNUMBER(AF557)),IF(AF557&lt;&gt;0,"INVALID – qty variance: use Fail or Pass after CA",""),"")&amp;IF(AND(TRIM(U557)="Pass after CA",ISNUMBER(AF557)),IF(AF557&lt;&gt;0,"INVALID – after the corrective action the actual qty must equal expected (update Actual)",""),"")&amp;IF(AND(TRIM(U557)="Pass",TRIM(AB557)&lt;&gt;"",TRIM(AB557)&lt;&gt;"Closed"),"INVALID – corrective action not closed: use Fail, then Pass after CA","")&amp;IF(AND(TRIM(AA557)&lt;&gt;"",TRIM(AB557)=""),"INVALID – CA status missing for the recorded corrective action","")&amp;IF(AND(TRIM(U557)="Pass after CA",OR(OR(LEN(BA557)&lt;5,ISNUMBER(MATCH(BA557,L_Placeholder,0))),TRIM(AB557)&lt;&gt;"Closed")),"INVALID – corrective action not recorded/closed","")</f>
        <v/>
      </c>
    </row>
    <row r="558" customFormat="false" ht="41.25" hidden="false" customHeight="true" outlineLevel="0" collapsed="false">
      <c r="A558" s="57" t="s">
        <v>1221</v>
      </c>
      <c r="B558" s="57" t="s">
        <v>287</v>
      </c>
      <c r="C558" s="57" t="str">
        <f aca="false">Flights!$F$21</f>
        <v>MH0073</v>
      </c>
      <c r="D558" s="58" t="n">
        <f aca="false">Flights!$D$21</f>
        <v>46322</v>
      </c>
      <c r="E558" s="57" t="str">
        <f aca="false">Flights!$G$21&amp;"-"&amp;Flights!$H$21</f>
        <v>HKG-KUL</v>
      </c>
      <c r="F558" s="57" t="str">
        <f aca="false">Flights!$K$21</f>
        <v>BC</v>
      </c>
      <c r="G558" s="57" t="s">
        <v>398</v>
      </c>
      <c r="H558" s="57" t="s">
        <v>356</v>
      </c>
      <c r="I558" s="57" t="s">
        <v>425</v>
      </c>
      <c r="J558" s="57" t="s">
        <v>507</v>
      </c>
      <c r="K558" s="67" t="s">
        <v>427</v>
      </c>
      <c r="L558" s="67" t="s">
        <v>1222</v>
      </c>
      <c r="M558" s="67" t="s">
        <v>429</v>
      </c>
      <c r="N558" s="67" t="s">
        <v>361</v>
      </c>
      <c r="O558" s="67" t="s">
        <v>1204</v>
      </c>
      <c r="P558" s="57" t="s">
        <v>279</v>
      </c>
      <c r="Q558" s="59" t="n">
        <f aca="false">ROUND((Flights!$AE$21)*1440,0)/1440</f>
        <v>46321.7847222222</v>
      </c>
      <c r="R558" s="59" t="n">
        <f aca="false">Q558+(IF(AND(INDEX(TZ_DSTS,MATCH(P558,TZ_STN,0))&lt;&gt;"",Q558&gt;=INDEX(TZ_DSTS,MATCH(P558,TZ_STN,0)),Q558&lt;INDEX(TZ_DSTE,MATCH(P558,TZ_STN,0))),INDEX(TZ_DST,MATCH(P558,TZ_STN,0)),INDEX(TZ_STD,MATCH(P558,TZ_STN,0))))/24</f>
        <v>46322.1180555556</v>
      </c>
      <c r="S558" s="59" t="n">
        <f aca="false">Q558-T12EarlyH/24</f>
        <v>46321.2847222222</v>
      </c>
      <c r="T558" s="60"/>
      <c r="U558" s="60"/>
      <c r="V558" s="60"/>
      <c r="W558" s="61"/>
      <c r="X558" s="60"/>
      <c r="Y558" s="60"/>
      <c r="Z558" s="60"/>
      <c r="AA558" s="60"/>
      <c r="AB558" s="60"/>
      <c r="AC558" s="60"/>
      <c r="AD558" s="66"/>
      <c r="AE558" s="60"/>
      <c r="AF558" s="61" t="str">
        <f aca="false">IF(AND(ISNUMBER(X558),ISNUMBER(Y558)),Y558-X558,"")</f>
        <v/>
      </c>
      <c r="AG558" s="62" t="str">
        <f aca="false">IF(ISNUMBER(AD558),AD558-(IF(AND(INDEX(TZ_DSTS,MATCH(P558,TZ_STN,0))&lt;&gt;"",(AD558-INDEX(TZ_STD,MATCH(P558,TZ_STN,0))/24)&gt;=INDEX(TZ_DSTS,MATCH(P558,TZ_STN,0)),(AD558-INDEX(TZ_STD,MATCH(P558,TZ_STN,0))/24)&lt;INDEX(TZ_DSTE,MATCH(P558,TZ_STN,0))),INDEX(TZ_DST,MATCH(P558,TZ_STN,0)),INDEX(TZ_STD,MATCH(P558,TZ_STN,0))))/24,"")</f>
        <v/>
      </c>
      <c r="AH558" s="65" t="str">
        <f aca="false">IFERROR(IF(N558="N/A – rule","N/A – RULE",IF(TRIM(U558)="N/A",IF(AT558=0,"INVALID – N/A not permitted for this check",IF(AND(TRIM(AB558)&lt;&gt;"",TRIM(AB558)&lt;&gt;"Closed"),"INVALID – corrective action still open",IF(AND(NOT(OR(LEN(AZ558)&lt;15,ISNUMBER(MATCH(AZ558,L_Placeholder,0)))),NOT(OR(LEN(AU558)&lt;2,ISNUMBER(MATCH(AU558,L_Placeholder,0)))),NOT(OR(LEN(AX558)&lt;2,ISNUMBER(MATCH(AX558,L_Placeholder,0)))),TRIM(AE558)&lt;&gt;TRIM(T558)),"N/A – JUSTIFIED","INVALID – N/A needs a real justification (15+ chars), PIC and a different verifier"))),IF(OR(TRIM(U558)="Pass",TRIM(U558)="Pass after CA"),IF(NOT(ISNUMBER(AD558)),"INVALID – completion time missing",IF(OR(LEN(AU558)&lt;2,ISNUMBER(MATCH(AU558,L_Placeholder,0))),"INVALID – PIC missing",IF(OR(LEN(AV558)&lt;2,ISNUMBER(MATCH(AV558,L_Placeholder,0))),"INVALID – result / assessment missing",IF(OR(OR(LEN(AW558)&lt;3,ISNUMBER(MATCH(AW558,L_Placeholder,0))),SUMPRODUCT(--ISNUMBER(SEARCH(L_EvidencePhrase,AW558)))&gt;0),"INVALID – evidence missing, placeholder or not yet on file",IF(OR(LEN(AX558)&lt;2,ISNUMBER(MATCH(AX558,L_Placeholder,0))),"INVALID – verifier missing",IF(AX558=AU558,"INVALID – verifier must be someone other than the PIC",IF(AND(TRIM(U558)="Pass",SUMPRODUCT(--ISNUMBER(SEARCH(L_ResultBad,AV558)))&gt;0),"INVALID – result describes a problem: use Fail, then Pass after CA",IF(AND(AQ558=1,OR(LEN(AY558)&lt;3,ISNUMBER(MATCH(AY558,L_Placeholder,0)))),"INVALID – batch ID missing or placeholder",IF(AND(AR558=1,OR(NOT(ISNUMBER(X558)),NOT(ISNUMBER(Y558)))),"INVALID – expected/actual qty missing",IF(AND(AR558=1,OR(X558&lt;=0,Y558&lt;0)),"INVALID – expected qty must be above 0 and actual not negative",IF(BB558&lt;&gt;"",BB558,IF(AND(AS558=1,Documents!$J$21&lt;&gt;"ON FILE"),"INVALID – GLD not on file (Documents sheet)",IF(AND(AS558=2,Documents!$O$21&lt;&gt;"ON FILE"),"INVALID – menu checklist not on file (Documents sheet)",IF(AND(AS558=3,NOT(ISNUMBER(Flights!$AX$21))),"INVALID – enter carrying flight KUL departure (Flights AX)",IF(AND(AS558=3,OR(Flights!$AZ$21&gt;Flights!$AA$21,Flights!$AX$21&lt;Flights!$AA$21-3)),"INVALID – carrying flight (Flights AX) cannot arrive before this leg's STD, or is over 3 days early",IF(AG558&gt;AsOfUTC,"INVALID – completion time is in the future",IF(AND(ISNUMBER(S558),AG558&lt;S558),IF(H558="Physical uplift","INVALID – before uplift window (cannot confirm loading)","INVALID – before valid window"),IF(AG558&gt;Flights!$AA$21,"INVALID – completed after departure (cannot establish readiness)",IF(AND(H558="Preparation",AG558&gt;IF(ISNUMBER(Flights!$BA$21),MIN(Flights!$BA$21,Flights!$AA$21),Flights!$AA$21)),"INVALID – completed after loading / departure (cannot establish readiness)",IF(AND(H558="Physical uplift",AG558&gt;Q558),"INVALID – recorded after the loading flight departed",IF(AG558&gt;Q558,"COMPLETE – LATE","COMPLETE"))))))))))))))))))))),IF(TRIM(U558)="Fail","FAIL – DISCREPANCY",IF(AND(TRIM(U558)&lt;&gt;"",TRIM(U558)&lt;&gt;"Not started",TRIM(U558)&lt;&gt;"In progress"),"INVALID – unrecognised status (use the list)",IF(AsOfUTC&gt;Q558,"OVERDUE",IF(N558="Clarification required","OPEN – CLARIFICATION","OPEN"))))))),"INVALID – error value in an input cell")</f>
        <v>OPEN</v>
      </c>
      <c r="AI558" s="61" t="n">
        <f aca="false">IF(OR(AH558="N/A – RULE",AH558="N/A – JUSTIFIED"),0,1)</f>
        <v>1</v>
      </c>
      <c r="AJ558" s="61" t="n">
        <f aca="false">IF(LEFT(AH558,8)="COMPLETE",1,0)</f>
        <v>0</v>
      </c>
      <c r="AK558" s="61" t="n">
        <f aca="false">IF(AND(AI558=1,AJ558=0,AsOfUTC&gt;Q558),1,0)</f>
        <v>0</v>
      </c>
      <c r="AL558" s="61" t="n">
        <f aca="false">IFERROR(IF(AND(AI558=1,OR(TRIM(U558)="Fail",AND(TRIM(AB558)&lt;&gt;"",TRIM(AB558)&lt;&gt;"Closed"),AND(ISNUMBER(AF558),AF558&lt;&gt;0,TRIM(U558)&lt;&gt;"Pass after CA"))),1,0),1)</f>
        <v>0</v>
      </c>
      <c r="AM558" s="61" t="n">
        <f aca="false">IF(LEFT(AH558,7)="INVALID",1,0)</f>
        <v>0</v>
      </c>
      <c r="AN558" s="61" t="n">
        <f aca="false">IF(AND(N558="Clarification required",AI558=1,AJ558=0),1,0)</f>
        <v>0</v>
      </c>
      <c r="AO558" s="61" t="str">
        <f aca="false">IF(AK558=1,SUM(AK$5:AK558),"")</f>
        <v/>
      </c>
      <c r="AP558" s="61" t="str">
        <f aca="false">IF(AL558=1,SUM(AL$5:AL558),"")</f>
        <v/>
      </c>
      <c r="AQ558" s="61" t="n">
        <v>0</v>
      </c>
      <c r="AR558" s="61" t="n">
        <v>0</v>
      </c>
      <c r="AS558" s="61" t="n">
        <v>0</v>
      </c>
      <c r="AT558" s="61" t="n">
        <v>0</v>
      </c>
      <c r="AU558" s="61" t="str">
        <f aca="false">SUBSTITUTE(SUBSTITUTE(SUBSTITUTE(SUBSTITUTE(SUBSTITUTE(SUBSTITUTE(SUBSTITUTE(SUBSTITUTE(SUBSTITUTE(SUBSTITUTE(SUBSTITUTE(SUBSTITUTE(SUBSTITUTE(LOWER(T558&amp;""),CHAR(160),"")," ",""),".",""),"-",""),"/",""),"?",""),"_",""),",",""),"[",""),"]",""),"(",""),")",""),"*","")</f>
        <v/>
      </c>
      <c r="AV558" s="61" t="str">
        <f aca="false">SUBSTITUTE(SUBSTITUTE(SUBSTITUTE(SUBSTITUTE(SUBSTITUTE(SUBSTITUTE(SUBSTITUTE(SUBSTITUTE(SUBSTITUTE(SUBSTITUTE(SUBSTITUTE(SUBSTITUTE(SUBSTITUTE(LOWER(V558&amp;""),CHAR(160),"")," ",""),".",""),"-",""),"/",""),"?",""),"_",""),",",""),"[",""),"]",""),"(",""),")",""),"*","")</f>
        <v/>
      </c>
      <c r="AW558" s="61" t="str">
        <f aca="false">SUBSTITUTE(SUBSTITUTE(SUBSTITUTE(SUBSTITUTE(SUBSTITUTE(SUBSTITUTE(SUBSTITUTE(SUBSTITUTE(SUBSTITUTE(SUBSTITUTE(SUBSTITUTE(SUBSTITUTE(SUBSTITUTE(LOWER(Z558&amp;""),CHAR(160),"")," ",""),".",""),"-",""),"/",""),"?",""),"_",""),",",""),"[",""),"]",""),"(",""),")",""),"*","")</f>
        <v/>
      </c>
      <c r="AX558" s="61" t="str">
        <f aca="false">SUBSTITUTE(SUBSTITUTE(SUBSTITUTE(SUBSTITUTE(SUBSTITUTE(SUBSTITUTE(SUBSTITUTE(SUBSTITUTE(SUBSTITUTE(SUBSTITUTE(SUBSTITUTE(SUBSTITUTE(SUBSTITUTE(LOWER(AE558&amp;""),CHAR(160),"")," ",""),".",""),"-",""),"/",""),"?",""),"_",""),",",""),"[",""),"]",""),"(",""),")",""),"*","")</f>
        <v/>
      </c>
      <c r="AY558" s="61" t="str">
        <f aca="false">SUBSTITUTE(SUBSTITUTE(SUBSTITUTE(SUBSTITUTE(SUBSTITUTE(SUBSTITUTE(SUBSTITUTE(SUBSTITUTE(SUBSTITUTE(SUBSTITUTE(SUBSTITUTE(SUBSTITUTE(SUBSTITUTE(LOWER(W558&amp;""),CHAR(160),"")," ",""),".",""),"-",""),"/",""),"?",""),"_",""),",",""),"[",""),"]",""),"(",""),")",""),"*","")</f>
        <v/>
      </c>
      <c r="AZ558" s="61" t="str">
        <f aca="false">SUBSTITUTE(SUBSTITUTE(SUBSTITUTE(SUBSTITUTE(SUBSTITUTE(SUBSTITUTE(SUBSTITUTE(SUBSTITUTE(SUBSTITUTE(SUBSTITUTE(SUBSTITUTE(SUBSTITUTE(SUBSTITUTE(LOWER(AC558&amp;""),CHAR(160),"")," ",""),".",""),"-",""),"/",""),"?",""),"_",""),",",""),"[",""),"]",""),"(",""),")",""),"*","")</f>
        <v/>
      </c>
      <c r="BA558" s="61" t="str">
        <f aca="false">SUBSTITUTE(SUBSTITUTE(SUBSTITUTE(SUBSTITUTE(SUBSTITUTE(SUBSTITUTE(SUBSTITUTE(SUBSTITUTE(SUBSTITUTE(SUBSTITUTE(SUBSTITUTE(SUBSTITUTE(SUBSTITUTE(LOWER(AA558&amp;""),CHAR(160),"")," ",""),".",""),"-",""),"/",""),"?",""),"_",""),",",""),"[",""),"]",""),"(",""),")",""),"*","")</f>
        <v/>
      </c>
      <c r="BB558" s="61" t="str">
        <f aca="false">IF(AND(TRIM(U558)="Pass",ISNUMBER(AF558)),IF(AF558&lt;&gt;0,"INVALID – qty variance: use Fail or Pass after CA",""),"")&amp;IF(AND(TRIM(U558)="Pass after CA",ISNUMBER(AF558)),IF(AF558&lt;&gt;0,"INVALID – after the corrective action the actual qty must equal expected (update Actual)",""),"")&amp;IF(AND(TRIM(U558)="Pass",TRIM(AB558)&lt;&gt;"",TRIM(AB558)&lt;&gt;"Closed"),"INVALID – corrective action not closed: use Fail, then Pass after CA","")&amp;IF(AND(TRIM(AA558)&lt;&gt;"",TRIM(AB558)=""),"INVALID – CA status missing for the recorded corrective action","")&amp;IF(AND(TRIM(U558)="Pass after CA",OR(OR(LEN(BA558)&lt;5,ISNUMBER(MATCH(BA558,L_Placeholder,0))),TRIM(AB558)&lt;&gt;"Closed")),"INVALID – corrective action not recorded/closed","")</f>
        <v/>
      </c>
    </row>
    <row r="559" customFormat="false" ht="91.5" hidden="false" customHeight="true" outlineLevel="0" collapsed="false">
      <c r="A559" s="57" t="s">
        <v>1223</v>
      </c>
      <c r="B559" s="57" t="s">
        <v>287</v>
      </c>
      <c r="C559" s="57" t="str">
        <f aca="false">Flights!$F$21</f>
        <v>MH0073</v>
      </c>
      <c r="D559" s="58" t="n">
        <f aca="false">Flights!$D$21</f>
        <v>46322</v>
      </c>
      <c r="E559" s="57" t="str">
        <f aca="false">Flights!$G$21&amp;"-"&amp;Flights!$H$21</f>
        <v>HKG-KUL</v>
      </c>
      <c r="F559" s="57" t="str">
        <f aca="false">Flights!$K$21</f>
        <v>BC</v>
      </c>
      <c r="G559" s="57" t="s">
        <v>398</v>
      </c>
      <c r="H559" s="57" t="s">
        <v>356</v>
      </c>
      <c r="I559" s="57" t="s">
        <v>612</v>
      </c>
      <c r="J559" s="57" t="s">
        <v>1164</v>
      </c>
      <c r="K559" s="67" t="s">
        <v>1165</v>
      </c>
      <c r="L559" s="67" t="s">
        <v>1166</v>
      </c>
      <c r="M559" s="67" t="s">
        <v>429</v>
      </c>
      <c r="N559" s="67" t="s">
        <v>422</v>
      </c>
      <c r="O559" s="67" t="s">
        <v>1224</v>
      </c>
      <c r="P559" s="57" t="s">
        <v>279</v>
      </c>
      <c r="Q559" s="59" t="n">
        <f aca="false">ROUND((Flights!$AE$21)*1440,0)/1440</f>
        <v>46321.7847222222</v>
      </c>
      <c r="R559" s="59" t="n">
        <f aca="false">Q559+(IF(AND(INDEX(TZ_DSTS,MATCH(P559,TZ_STN,0))&lt;&gt;"",Q559&gt;=INDEX(TZ_DSTS,MATCH(P559,TZ_STN,0)),Q559&lt;INDEX(TZ_DSTE,MATCH(P559,TZ_STN,0))),INDEX(TZ_DST,MATCH(P559,TZ_STN,0)),INDEX(TZ_STD,MATCH(P559,TZ_STN,0))))/24</f>
        <v>46322.1180555556</v>
      </c>
      <c r="S559" s="59" t="n">
        <f aca="false">Q559-T12EarlyH/24</f>
        <v>46321.2847222222</v>
      </c>
      <c r="T559" s="60"/>
      <c r="U559" s="60"/>
      <c r="V559" s="60"/>
      <c r="W559" s="61"/>
      <c r="X559" s="60"/>
      <c r="Y559" s="60"/>
      <c r="Z559" s="60"/>
      <c r="AA559" s="60"/>
      <c r="AB559" s="60"/>
      <c r="AC559" s="60"/>
      <c r="AD559" s="66"/>
      <c r="AE559" s="60"/>
      <c r="AF559" s="61" t="str">
        <f aca="false">IF(AND(ISNUMBER(X559),ISNUMBER(Y559)),Y559-X559,"")</f>
        <v/>
      </c>
      <c r="AG559" s="62" t="str">
        <f aca="false">IF(ISNUMBER(AD559),AD559-(IF(AND(INDEX(TZ_DSTS,MATCH(P559,TZ_STN,0))&lt;&gt;"",(AD559-INDEX(TZ_STD,MATCH(P559,TZ_STN,0))/24)&gt;=INDEX(TZ_DSTS,MATCH(P559,TZ_STN,0)),(AD559-INDEX(TZ_STD,MATCH(P559,TZ_STN,0))/24)&lt;INDEX(TZ_DSTE,MATCH(P559,TZ_STN,0))),INDEX(TZ_DST,MATCH(P559,TZ_STN,0)),INDEX(TZ_STD,MATCH(P559,TZ_STN,0))))/24,"")</f>
        <v/>
      </c>
      <c r="AH559" s="65" t="str">
        <f aca="false">IFERROR(IF(N559="N/A – rule","N/A – RULE",IF(TRIM(U559)="N/A",IF(AT559=0,"INVALID – N/A not permitted for this check",IF(AND(TRIM(AB559)&lt;&gt;"",TRIM(AB559)&lt;&gt;"Closed"),"INVALID – corrective action still open",IF(AND(NOT(OR(LEN(AZ559)&lt;15,ISNUMBER(MATCH(AZ559,L_Placeholder,0)))),NOT(OR(LEN(AU559)&lt;2,ISNUMBER(MATCH(AU559,L_Placeholder,0)))),NOT(OR(LEN(AX559)&lt;2,ISNUMBER(MATCH(AX559,L_Placeholder,0)))),TRIM(AE559)&lt;&gt;TRIM(T559)),"N/A – JUSTIFIED","INVALID – N/A needs a real justification (15+ chars), PIC and a different verifier"))),IF(OR(TRIM(U559)="Pass",TRIM(U559)="Pass after CA"),IF(NOT(ISNUMBER(AD559)),"INVALID – completion time missing",IF(OR(LEN(AU559)&lt;2,ISNUMBER(MATCH(AU559,L_Placeholder,0))),"INVALID – PIC missing",IF(OR(LEN(AV559)&lt;2,ISNUMBER(MATCH(AV559,L_Placeholder,0))),"INVALID – result / assessment missing",IF(OR(OR(LEN(AW559)&lt;3,ISNUMBER(MATCH(AW559,L_Placeholder,0))),SUMPRODUCT(--ISNUMBER(SEARCH(L_EvidencePhrase,AW559)))&gt;0),"INVALID – evidence missing, placeholder or not yet on file",IF(OR(LEN(AX559)&lt;2,ISNUMBER(MATCH(AX559,L_Placeholder,0))),"INVALID – verifier missing",IF(AX559=AU559,"INVALID – verifier must be someone other than the PIC",IF(AND(TRIM(U559)="Pass",SUMPRODUCT(--ISNUMBER(SEARCH(L_ResultBad,AV559)))&gt;0),"INVALID – result describes a problem: use Fail, then Pass after CA",IF(AND(AQ559=1,OR(LEN(AY559)&lt;3,ISNUMBER(MATCH(AY559,L_Placeholder,0)))),"INVALID – batch ID missing or placeholder",IF(AND(AR559=1,OR(NOT(ISNUMBER(X559)),NOT(ISNUMBER(Y559)))),"INVALID – expected/actual qty missing",IF(AND(AR559=1,OR(X559&lt;=0,Y559&lt;0)),"INVALID – expected qty must be above 0 and actual not negative",IF(BB559&lt;&gt;"",BB559,IF(AND(AS559=1,Documents!$J$21&lt;&gt;"ON FILE"),"INVALID – GLD not on file (Documents sheet)",IF(AND(AS559=2,Documents!$O$21&lt;&gt;"ON FILE"),"INVALID – menu checklist not on file (Documents sheet)",IF(AND(AS559=3,NOT(ISNUMBER(Flights!$AX$21))),"INVALID – enter carrying flight KUL departure (Flights AX)",IF(AND(AS559=3,OR(Flights!$AZ$21&gt;Flights!$AA$21,Flights!$AX$21&lt;Flights!$AA$21-3)),"INVALID – carrying flight (Flights AX) cannot arrive before this leg's STD, or is over 3 days early",IF(AG559&gt;AsOfUTC,"INVALID – completion time is in the future",IF(AND(ISNUMBER(S559),AG559&lt;S559),IF(H559="Physical uplift","INVALID – before uplift window (cannot confirm loading)","INVALID – before valid window"),IF(AG559&gt;Flights!$AA$21,"INVALID – completed after departure (cannot establish readiness)",IF(AND(H559="Preparation",AG559&gt;IF(ISNUMBER(Flights!$BA$21),MIN(Flights!$BA$21,Flights!$AA$21),Flights!$AA$21)),"INVALID – completed after loading / departure (cannot establish readiness)",IF(AND(H559="Physical uplift",AG559&gt;Q559),"INVALID – recorded after the loading flight departed",IF(AG559&gt;Q559,"COMPLETE – LATE","COMPLETE"))))))))))))))))))))),IF(TRIM(U559)="Fail","FAIL – DISCREPANCY",IF(AND(TRIM(U559)&lt;&gt;"",TRIM(U559)&lt;&gt;"Not started",TRIM(U559)&lt;&gt;"In progress"),"INVALID – unrecognised status (use the list)",IF(AsOfUTC&gt;Q559,"OVERDUE",IF(N559="Clarification required","OPEN – CLARIFICATION","OPEN"))))))),"INVALID – error value in an input cell")</f>
        <v>OPEN – CLARIFICATION</v>
      </c>
      <c r="AI559" s="61" t="n">
        <f aca="false">IF(OR(AH559="N/A – RULE",AH559="N/A – JUSTIFIED"),0,1)</f>
        <v>1</v>
      </c>
      <c r="AJ559" s="61" t="n">
        <f aca="false">IF(LEFT(AH559,8)="COMPLETE",1,0)</f>
        <v>0</v>
      </c>
      <c r="AK559" s="61" t="n">
        <f aca="false">IF(AND(AI559=1,AJ559=0,AsOfUTC&gt;Q559),1,0)</f>
        <v>0</v>
      </c>
      <c r="AL559" s="61" t="n">
        <f aca="false">IFERROR(IF(AND(AI559=1,OR(TRIM(U559)="Fail",AND(TRIM(AB559)&lt;&gt;"",TRIM(AB559)&lt;&gt;"Closed"),AND(ISNUMBER(AF559),AF559&lt;&gt;0,TRIM(U559)&lt;&gt;"Pass after CA"))),1,0),1)</f>
        <v>0</v>
      </c>
      <c r="AM559" s="61" t="n">
        <f aca="false">IF(LEFT(AH559,7)="INVALID",1,0)</f>
        <v>0</v>
      </c>
      <c r="AN559" s="61" t="n">
        <f aca="false">IF(AND(N559="Clarification required",AI559=1,AJ559=0),1,0)</f>
        <v>1</v>
      </c>
      <c r="AO559" s="61" t="str">
        <f aca="false">IF(AK559=1,SUM(AK$5:AK559),"")</f>
        <v/>
      </c>
      <c r="AP559" s="61" t="str">
        <f aca="false">IF(AL559=1,SUM(AL$5:AL559),"")</f>
        <v/>
      </c>
      <c r="AQ559" s="61" t="n">
        <v>0</v>
      </c>
      <c r="AR559" s="61" t="n">
        <v>0</v>
      </c>
      <c r="AS559" s="61" t="n">
        <v>0</v>
      </c>
      <c r="AT559" s="61" t="n">
        <v>1</v>
      </c>
      <c r="AU559" s="61" t="str">
        <f aca="false">SUBSTITUTE(SUBSTITUTE(SUBSTITUTE(SUBSTITUTE(SUBSTITUTE(SUBSTITUTE(SUBSTITUTE(SUBSTITUTE(SUBSTITUTE(SUBSTITUTE(SUBSTITUTE(SUBSTITUTE(SUBSTITUTE(LOWER(T559&amp;""),CHAR(160),"")," ",""),".",""),"-",""),"/",""),"?",""),"_",""),",",""),"[",""),"]",""),"(",""),")",""),"*","")</f>
        <v/>
      </c>
      <c r="AV559" s="61" t="str">
        <f aca="false">SUBSTITUTE(SUBSTITUTE(SUBSTITUTE(SUBSTITUTE(SUBSTITUTE(SUBSTITUTE(SUBSTITUTE(SUBSTITUTE(SUBSTITUTE(SUBSTITUTE(SUBSTITUTE(SUBSTITUTE(SUBSTITUTE(LOWER(V559&amp;""),CHAR(160),"")," ",""),".",""),"-",""),"/",""),"?",""),"_",""),",",""),"[",""),"]",""),"(",""),")",""),"*","")</f>
        <v/>
      </c>
      <c r="AW559" s="61" t="str">
        <f aca="false">SUBSTITUTE(SUBSTITUTE(SUBSTITUTE(SUBSTITUTE(SUBSTITUTE(SUBSTITUTE(SUBSTITUTE(SUBSTITUTE(SUBSTITUTE(SUBSTITUTE(SUBSTITUTE(SUBSTITUTE(SUBSTITUTE(LOWER(Z559&amp;""),CHAR(160),"")," ",""),".",""),"-",""),"/",""),"?",""),"_",""),",",""),"[",""),"]",""),"(",""),")",""),"*","")</f>
        <v/>
      </c>
      <c r="AX559" s="61" t="str">
        <f aca="false">SUBSTITUTE(SUBSTITUTE(SUBSTITUTE(SUBSTITUTE(SUBSTITUTE(SUBSTITUTE(SUBSTITUTE(SUBSTITUTE(SUBSTITUTE(SUBSTITUTE(SUBSTITUTE(SUBSTITUTE(SUBSTITUTE(LOWER(AE559&amp;""),CHAR(160),"")," ",""),".",""),"-",""),"/",""),"?",""),"_",""),",",""),"[",""),"]",""),"(",""),")",""),"*","")</f>
        <v/>
      </c>
      <c r="AY559" s="61" t="str">
        <f aca="false">SUBSTITUTE(SUBSTITUTE(SUBSTITUTE(SUBSTITUTE(SUBSTITUTE(SUBSTITUTE(SUBSTITUTE(SUBSTITUTE(SUBSTITUTE(SUBSTITUTE(SUBSTITUTE(SUBSTITUTE(SUBSTITUTE(LOWER(W559&amp;""),CHAR(160),"")," ",""),".",""),"-",""),"/",""),"?",""),"_",""),",",""),"[",""),"]",""),"(",""),")",""),"*","")</f>
        <v/>
      </c>
      <c r="AZ559" s="61" t="str">
        <f aca="false">SUBSTITUTE(SUBSTITUTE(SUBSTITUTE(SUBSTITUTE(SUBSTITUTE(SUBSTITUTE(SUBSTITUTE(SUBSTITUTE(SUBSTITUTE(SUBSTITUTE(SUBSTITUTE(SUBSTITUTE(SUBSTITUTE(LOWER(AC559&amp;""),CHAR(160),"")," ",""),".",""),"-",""),"/",""),"?",""),"_",""),",",""),"[",""),"]",""),"(",""),")",""),"*","")</f>
        <v/>
      </c>
      <c r="BA559" s="61" t="str">
        <f aca="false">SUBSTITUTE(SUBSTITUTE(SUBSTITUTE(SUBSTITUTE(SUBSTITUTE(SUBSTITUTE(SUBSTITUTE(SUBSTITUTE(SUBSTITUTE(SUBSTITUTE(SUBSTITUTE(SUBSTITUTE(SUBSTITUTE(LOWER(AA559&amp;""),CHAR(160),"")," ",""),".",""),"-",""),"/",""),"?",""),"_",""),",",""),"[",""),"]",""),"(",""),")",""),"*","")</f>
        <v/>
      </c>
      <c r="BB559" s="61" t="str">
        <f aca="false">IF(AND(TRIM(U559)="Pass",ISNUMBER(AF559)),IF(AF559&lt;&gt;0,"INVALID – qty variance: use Fail or Pass after CA",""),"")&amp;IF(AND(TRIM(U559)="Pass after CA",ISNUMBER(AF559)),IF(AF559&lt;&gt;0,"INVALID – after the corrective action the actual qty must equal expected (update Actual)",""),"")&amp;IF(AND(TRIM(U559)="Pass",TRIM(AB559)&lt;&gt;"",TRIM(AB559)&lt;&gt;"Closed"),"INVALID – corrective action not closed: use Fail, then Pass after CA","")&amp;IF(AND(TRIM(AA559)&lt;&gt;"",TRIM(AB559)=""),"INVALID – CA status missing for the recorded corrective action","")&amp;IF(AND(TRIM(U559)="Pass after CA",OR(OR(LEN(BA559)&lt;5,ISNUMBER(MATCH(BA559,L_Placeholder,0))),TRIM(AB559)&lt;&gt;"Closed")),"INVALID – corrective action not recorded/closed","")</f>
        <v/>
      </c>
    </row>
    <row r="560" customFormat="false" ht="39.75" hidden="false" customHeight="true" outlineLevel="0" collapsed="false">
      <c r="A560" s="57" t="s">
        <v>1225</v>
      </c>
      <c r="B560" s="57" t="s">
        <v>287</v>
      </c>
      <c r="C560" s="57" t="str">
        <f aca="false">Flights!$F$21</f>
        <v>MH0073</v>
      </c>
      <c r="D560" s="58" t="n">
        <f aca="false">Flights!$D$21</f>
        <v>46322</v>
      </c>
      <c r="E560" s="57" t="str">
        <f aca="false">Flights!$G$21&amp;"-"&amp;Flights!$H$21</f>
        <v>HKG-KUL</v>
      </c>
      <c r="F560" s="57" t="str">
        <f aca="false">Flights!$K$21</f>
        <v>BC</v>
      </c>
      <c r="G560" s="57" t="s">
        <v>437</v>
      </c>
      <c r="H560" s="57" t="s">
        <v>438</v>
      </c>
      <c r="I560" s="57" t="s">
        <v>357</v>
      </c>
      <c r="J560" s="57" t="s">
        <v>439</v>
      </c>
      <c r="K560" s="67" t="s">
        <v>404</v>
      </c>
      <c r="L560" s="67" t="s">
        <v>440</v>
      </c>
      <c r="M560" s="67"/>
      <c r="N560" s="67" t="s">
        <v>361</v>
      </c>
      <c r="O560" s="67" t="s">
        <v>441</v>
      </c>
      <c r="P560" s="57" t="s">
        <v>279</v>
      </c>
      <c r="Q560" s="59" t="n">
        <f aca="false">ROUND((Flights!$AF$21)*1440,0)/1440</f>
        <v>46322.2847222222</v>
      </c>
      <c r="R560" s="59" t="n">
        <f aca="false">Q560+(IF(AND(INDEX(TZ_DSTS,MATCH(P560,TZ_STN,0))&lt;&gt;"",Q560&gt;=INDEX(TZ_DSTS,MATCH(P560,TZ_STN,0)),Q560&lt;INDEX(TZ_DSTE,MATCH(P560,TZ_STN,0))),INDEX(TZ_DST,MATCH(P560,TZ_STN,0)),INDEX(TZ_STD,MATCH(P560,TZ_STN,0))))/24</f>
        <v>46322.6180555556</v>
      </c>
      <c r="S560" s="59" t="n">
        <f aca="false">IF(ISNUMBER(Flights!$AZ$21),MAX(Q560-UpliftWindowH/24,Flights!$AZ$21),Q560-UpliftWindowH/24)</f>
        <v>46322.0347222222</v>
      </c>
      <c r="T560" s="60"/>
      <c r="U560" s="60"/>
      <c r="V560" s="60"/>
      <c r="W560" s="61"/>
      <c r="X560" s="60"/>
      <c r="Y560" s="60"/>
      <c r="Z560" s="60"/>
      <c r="AA560" s="60"/>
      <c r="AB560" s="60"/>
      <c r="AC560" s="60"/>
      <c r="AD560" s="66"/>
      <c r="AE560" s="60"/>
      <c r="AF560" s="61" t="str">
        <f aca="false">IF(AND(ISNUMBER(X560),ISNUMBER(Y560)),Y560-X560,"")</f>
        <v/>
      </c>
      <c r="AG560" s="62" t="str">
        <f aca="false">IF(ISNUMBER(AD560),AD560-(IF(AND(INDEX(TZ_DSTS,MATCH(P560,TZ_STN,0))&lt;&gt;"",(AD560-INDEX(TZ_STD,MATCH(P560,TZ_STN,0))/24)&gt;=INDEX(TZ_DSTS,MATCH(P560,TZ_STN,0)),(AD560-INDEX(TZ_STD,MATCH(P560,TZ_STN,0))/24)&lt;INDEX(TZ_DSTE,MATCH(P560,TZ_STN,0))),INDEX(TZ_DST,MATCH(P560,TZ_STN,0)),INDEX(TZ_STD,MATCH(P560,TZ_STN,0))))/24,"")</f>
        <v/>
      </c>
      <c r="AH560" s="65" t="str">
        <f aca="false">IFERROR(IF(N560="N/A – rule","N/A – RULE",IF(TRIM(U560)="N/A",IF(AT560=0,"INVALID – N/A not permitted for this check",IF(AND(TRIM(AB560)&lt;&gt;"",TRIM(AB560)&lt;&gt;"Closed"),"INVALID – corrective action still open",IF(AND(NOT(OR(LEN(AZ560)&lt;15,ISNUMBER(MATCH(AZ560,L_Placeholder,0)))),NOT(OR(LEN(AU560)&lt;2,ISNUMBER(MATCH(AU560,L_Placeholder,0)))),NOT(OR(LEN(AX560)&lt;2,ISNUMBER(MATCH(AX560,L_Placeholder,0)))),TRIM(AE560)&lt;&gt;TRIM(T560)),"N/A – JUSTIFIED","INVALID – N/A needs a real justification (15+ chars), PIC and a different verifier"))),IF(OR(TRIM(U560)="Pass",TRIM(U560)="Pass after CA"),IF(NOT(ISNUMBER(AD560)),"INVALID – completion time missing",IF(OR(LEN(AU560)&lt;2,ISNUMBER(MATCH(AU560,L_Placeholder,0))),"INVALID – PIC missing",IF(OR(LEN(AV560)&lt;2,ISNUMBER(MATCH(AV560,L_Placeholder,0))),"INVALID – result / assessment missing",IF(OR(OR(LEN(AW560)&lt;3,ISNUMBER(MATCH(AW560,L_Placeholder,0))),SUMPRODUCT(--ISNUMBER(SEARCH(L_EvidencePhrase,AW560)))&gt;0),"INVALID – evidence missing, placeholder or not yet on file",IF(OR(LEN(AX560)&lt;2,ISNUMBER(MATCH(AX560,L_Placeholder,0))),"INVALID – verifier missing",IF(AX560=AU560,"INVALID – verifier must be someone other than the PIC",IF(AND(TRIM(U560)="Pass",SUMPRODUCT(--ISNUMBER(SEARCH(L_ResultBad,AV560)))&gt;0),"INVALID – result describes a problem: use Fail, then Pass after CA",IF(AND(AQ560=1,OR(LEN(AY560)&lt;3,ISNUMBER(MATCH(AY560,L_Placeholder,0)))),"INVALID – batch ID missing or placeholder",IF(AND(AR560=1,OR(NOT(ISNUMBER(X560)),NOT(ISNUMBER(Y560)))),"INVALID – expected/actual qty missing",IF(AND(AR560=1,OR(X560&lt;=0,Y560&lt;0)),"INVALID – expected qty must be above 0 and actual not negative",IF(AH543="N/A – JUSTIFIED","INVALID – preparation row F17-T12-02 is N/A",IF(AND(AR560=1,ISNUMBER(X543),X560&lt;&gt;X543),"INVALID – expected qty differs from preparation check F17-T12-02",IF(BB560&lt;&gt;"",BB560,IF(AND(AS560=1,Documents!$J$21&lt;&gt;"ON FILE"),"INVALID – GLD not on file (Documents sheet)",IF(AND(AS560=2,Documents!$O$21&lt;&gt;"ON FILE"),"INVALID – menu checklist not on file (Documents sheet)",IF(AND(AS560=3,NOT(ISNUMBER(Flights!$AX$21))),"INVALID – enter carrying flight KUL departure (Flights AX)",IF(AND(AS560=3,OR(Flights!$AZ$21&gt;Flights!$AA$21,Flights!$AX$21&lt;Flights!$AA$21-3)),"INVALID – carrying flight (Flights AX) cannot arrive before this leg's STD, or is over 3 days early",IF(AG560&gt;AsOfUTC,"INVALID – completion time is in the future",IF(AND(ISNUMBER(S560),AG560&lt;S560),IF(H560="Physical uplift","INVALID – before uplift window (cannot confirm loading)","INVALID – before valid window"),IF(AG560&gt;Flights!$AA$21,"INVALID – completed after departure (cannot establish readiness)",IF(AND(H560="Preparation",AG560&gt;IF(ISNUMBER(Flights!$BA$21),MIN(Flights!$BA$21,Flights!$AA$21),Flights!$AA$21)),"INVALID – completed after loading / departure (cannot establish readiness)",IF(AND(H560="Physical uplift",AG560&gt;Q560),"INVALID – recorded after the loading flight departed",IF(AG560&gt;Q560,"COMPLETE – LATE","COMPLETE"))))))))))))))))))))))),IF(TRIM(U560)="Fail","FAIL – DISCREPANCY",IF(AND(TRIM(U560)&lt;&gt;"",TRIM(U560)&lt;&gt;"Not started",TRIM(U560)&lt;&gt;"In progress"),"INVALID – unrecognised status (use the list)",IF(AsOfUTC&gt;Q560,"OVERDUE",IF(N560="Clarification required","OPEN – CLARIFICATION","OPEN"))))))),"INVALID – error value in an input cell")</f>
        <v>OPEN</v>
      </c>
      <c r="AI560" s="61" t="n">
        <f aca="false">IF(OR(AH560="N/A – RULE",AH560="N/A – JUSTIFIED"),0,1)</f>
        <v>1</v>
      </c>
      <c r="AJ560" s="61" t="n">
        <f aca="false">IF(LEFT(AH560,8)="COMPLETE",1,0)</f>
        <v>0</v>
      </c>
      <c r="AK560" s="61" t="n">
        <f aca="false">IF(AND(AI560=1,AJ560=0,AsOfUTC&gt;Q560),1,0)</f>
        <v>0</v>
      </c>
      <c r="AL560" s="61" t="n">
        <f aca="false">IFERROR(IF(AND(AI560=1,OR(TRIM(U560)="Fail",AND(TRIM(AB560)&lt;&gt;"",TRIM(AB560)&lt;&gt;"Closed"),AND(ISNUMBER(AF560),AF560&lt;&gt;0,TRIM(U560)&lt;&gt;"Pass after CA"))),1,0),1)</f>
        <v>0</v>
      </c>
      <c r="AM560" s="61" t="n">
        <f aca="false">IF(LEFT(AH560,7)="INVALID",1,0)</f>
        <v>0</v>
      </c>
      <c r="AN560" s="61" t="n">
        <f aca="false">IF(AND(N560="Clarification required",AI560=1,AJ560=0),1,0)</f>
        <v>0</v>
      </c>
      <c r="AO560" s="61" t="str">
        <f aca="false">IF(AK560=1,SUM(AK$5:AK560),"")</f>
        <v/>
      </c>
      <c r="AP560" s="61" t="str">
        <f aca="false">IF(AL560=1,SUM(AL$5:AL560),"")</f>
        <v/>
      </c>
      <c r="AQ560" s="61" t="n">
        <v>0</v>
      </c>
      <c r="AR560" s="61" t="n">
        <v>1</v>
      </c>
      <c r="AS560" s="61" t="n">
        <v>0</v>
      </c>
      <c r="AT560" s="61" t="n">
        <v>0</v>
      </c>
      <c r="AU560" s="61" t="str">
        <f aca="false">SUBSTITUTE(SUBSTITUTE(SUBSTITUTE(SUBSTITUTE(SUBSTITUTE(SUBSTITUTE(SUBSTITUTE(SUBSTITUTE(SUBSTITUTE(SUBSTITUTE(SUBSTITUTE(SUBSTITUTE(SUBSTITUTE(LOWER(T560&amp;""),CHAR(160),"")," ",""),".",""),"-",""),"/",""),"?",""),"_",""),",",""),"[",""),"]",""),"(",""),")",""),"*","")</f>
        <v/>
      </c>
      <c r="AV560" s="61" t="str">
        <f aca="false">SUBSTITUTE(SUBSTITUTE(SUBSTITUTE(SUBSTITUTE(SUBSTITUTE(SUBSTITUTE(SUBSTITUTE(SUBSTITUTE(SUBSTITUTE(SUBSTITUTE(SUBSTITUTE(SUBSTITUTE(SUBSTITUTE(LOWER(V560&amp;""),CHAR(160),"")," ",""),".",""),"-",""),"/",""),"?",""),"_",""),",",""),"[",""),"]",""),"(",""),")",""),"*","")</f>
        <v/>
      </c>
      <c r="AW560" s="61" t="str">
        <f aca="false">SUBSTITUTE(SUBSTITUTE(SUBSTITUTE(SUBSTITUTE(SUBSTITUTE(SUBSTITUTE(SUBSTITUTE(SUBSTITUTE(SUBSTITUTE(SUBSTITUTE(SUBSTITUTE(SUBSTITUTE(SUBSTITUTE(LOWER(Z560&amp;""),CHAR(160),"")," ",""),".",""),"-",""),"/",""),"?",""),"_",""),",",""),"[",""),"]",""),"(",""),")",""),"*","")</f>
        <v/>
      </c>
      <c r="AX560" s="61" t="str">
        <f aca="false">SUBSTITUTE(SUBSTITUTE(SUBSTITUTE(SUBSTITUTE(SUBSTITUTE(SUBSTITUTE(SUBSTITUTE(SUBSTITUTE(SUBSTITUTE(SUBSTITUTE(SUBSTITUTE(SUBSTITUTE(SUBSTITUTE(LOWER(AE560&amp;""),CHAR(160),"")," ",""),".",""),"-",""),"/",""),"?",""),"_",""),",",""),"[",""),"]",""),"(",""),")",""),"*","")</f>
        <v/>
      </c>
      <c r="AY560" s="61" t="str">
        <f aca="false">SUBSTITUTE(SUBSTITUTE(SUBSTITUTE(SUBSTITUTE(SUBSTITUTE(SUBSTITUTE(SUBSTITUTE(SUBSTITUTE(SUBSTITUTE(SUBSTITUTE(SUBSTITUTE(SUBSTITUTE(SUBSTITUTE(LOWER(W560&amp;""),CHAR(160),"")," ",""),".",""),"-",""),"/",""),"?",""),"_",""),",",""),"[",""),"]",""),"(",""),")",""),"*","")</f>
        <v/>
      </c>
      <c r="AZ560" s="61" t="str">
        <f aca="false">SUBSTITUTE(SUBSTITUTE(SUBSTITUTE(SUBSTITUTE(SUBSTITUTE(SUBSTITUTE(SUBSTITUTE(SUBSTITUTE(SUBSTITUTE(SUBSTITUTE(SUBSTITUTE(SUBSTITUTE(SUBSTITUTE(LOWER(AC560&amp;""),CHAR(160),"")," ",""),".",""),"-",""),"/",""),"?",""),"_",""),",",""),"[",""),"]",""),"(",""),")",""),"*","")</f>
        <v/>
      </c>
      <c r="BA560" s="61" t="str">
        <f aca="false">SUBSTITUTE(SUBSTITUTE(SUBSTITUTE(SUBSTITUTE(SUBSTITUTE(SUBSTITUTE(SUBSTITUTE(SUBSTITUTE(SUBSTITUTE(SUBSTITUTE(SUBSTITUTE(SUBSTITUTE(SUBSTITUTE(LOWER(AA560&amp;""),CHAR(160),"")," ",""),".",""),"-",""),"/",""),"?",""),"_",""),",",""),"[",""),"]",""),"(",""),")",""),"*","")</f>
        <v/>
      </c>
      <c r="BB560" s="61" t="str">
        <f aca="false">IF(AND(TRIM(U560)="Pass",ISNUMBER(AF560)),IF(AF560&lt;&gt;0,"INVALID – qty variance: use Fail or Pass after CA",""),"")&amp;IF(AND(TRIM(U560)="Pass after CA",ISNUMBER(AF560)),IF(AF560&lt;&gt;0,"INVALID – after the corrective action the actual qty must equal expected (update Actual)",""),"")&amp;IF(AND(TRIM(U560)="Pass",TRIM(AB560)&lt;&gt;"",TRIM(AB560)&lt;&gt;"Closed"),"INVALID – corrective action not closed: use Fail, then Pass after CA","")&amp;IF(AND(TRIM(AA560)&lt;&gt;"",TRIM(AB560)=""),"INVALID – CA status missing for the recorded corrective action","")&amp;IF(AND(TRIM(U560)="Pass after CA",OR(OR(LEN(BA560)&lt;5,ISNUMBER(MATCH(BA560,L_Placeholder,0))),TRIM(AB560)&lt;&gt;"Closed")),"INVALID – corrective action not recorded/closed","")</f>
        <v/>
      </c>
    </row>
    <row r="561" customFormat="false" ht="39.75" hidden="false" customHeight="true" outlineLevel="0" collapsed="false">
      <c r="A561" s="57" t="s">
        <v>1226</v>
      </c>
      <c r="B561" s="57" t="s">
        <v>287</v>
      </c>
      <c r="C561" s="57" t="str">
        <f aca="false">Flights!$F$21</f>
        <v>MH0073</v>
      </c>
      <c r="D561" s="58" t="n">
        <f aca="false">Flights!$D$21</f>
        <v>46322</v>
      </c>
      <c r="E561" s="57" t="str">
        <f aca="false">Flights!$G$21&amp;"-"&amp;Flights!$H$21</f>
        <v>HKG-KUL</v>
      </c>
      <c r="F561" s="57" t="str">
        <f aca="false">Flights!$K$21</f>
        <v>BC</v>
      </c>
      <c r="G561" s="57" t="s">
        <v>437</v>
      </c>
      <c r="H561" s="57" t="s">
        <v>438</v>
      </c>
      <c r="I561" s="57" t="s">
        <v>406</v>
      </c>
      <c r="J561" s="57" t="s">
        <v>443</v>
      </c>
      <c r="K561" s="67" t="s">
        <v>404</v>
      </c>
      <c r="L561" s="67" t="s">
        <v>440</v>
      </c>
      <c r="M561" s="67"/>
      <c r="N561" s="67" t="s">
        <v>361</v>
      </c>
      <c r="O561" s="67" t="s">
        <v>441</v>
      </c>
      <c r="P561" s="57" t="s">
        <v>279</v>
      </c>
      <c r="Q561" s="59" t="n">
        <f aca="false">ROUND((Flights!$AF$21)*1440,0)/1440</f>
        <v>46322.2847222222</v>
      </c>
      <c r="R561" s="59" t="n">
        <f aca="false">Q561+(IF(AND(INDEX(TZ_DSTS,MATCH(P561,TZ_STN,0))&lt;&gt;"",Q561&gt;=INDEX(TZ_DSTS,MATCH(P561,TZ_STN,0)),Q561&lt;INDEX(TZ_DSTE,MATCH(P561,TZ_STN,0))),INDEX(TZ_DST,MATCH(P561,TZ_STN,0)),INDEX(TZ_STD,MATCH(P561,TZ_STN,0))))/24</f>
        <v>46322.6180555556</v>
      </c>
      <c r="S561" s="59" t="n">
        <f aca="false">IF(ISNUMBER(Flights!$AZ$21),MAX(Q561-UpliftWindowH/24,Flights!$AZ$21),Q561-UpliftWindowH/24)</f>
        <v>46322.0347222222</v>
      </c>
      <c r="T561" s="60"/>
      <c r="U561" s="60"/>
      <c r="V561" s="60"/>
      <c r="W561" s="61"/>
      <c r="X561" s="60"/>
      <c r="Y561" s="60"/>
      <c r="Z561" s="60"/>
      <c r="AA561" s="60"/>
      <c r="AB561" s="60"/>
      <c r="AC561" s="60"/>
      <c r="AD561" s="66"/>
      <c r="AE561" s="60"/>
      <c r="AF561" s="61" t="str">
        <f aca="false">IF(AND(ISNUMBER(X561),ISNUMBER(Y561)),Y561-X561,"")</f>
        <v/>
      </c>
      <c r="AG561" s="62" t="str">
        <f aca="false">IF(ISNUMBER(AD561),AD561-(IF(AND(INDEX(TZ_DSTS,MATCH(P561,TZ_STN,0))&lt;&gt;"",(AD561-INDEX(TZ_STD,MATCH(P561,TZ_STN,0))/24)&gt;=INDEX(TZ_DSTS,MATCH(P561,TZ_STN,0)),(AD561-INDEX(TZ_STD,MATCH(P561,TZ_STN,0))/24)&lt;INDEX(TZ_DSTE,MATCH(P561,TZ_STN,0))),INDEX(TZ_DST,MATCH(P561,TZ_STN,0)),INDEX(TZ_STD,MATCH(P561,TZ_STN,0))))/24,"")</f>
        <v/>
      </c>
      <c r="AH561" s="65" t="str">
        <f aca="false">IFERROR(IF(N561="N/A – rule","N/A – RULE",IF(TRIM(U561)="N/A",IF(AT561=0,"INVALID – N/A not permitted for this check",IF(AND(TRIM(AB561)&lt;&gt;"",TRIM(AB561)&lt;&gt;"Closed"),"INVALID – corrective action still open",IF(AND(NOT(OR(LEN(AZ561)&lt;15,ISNUMBER(MATCH(AZ561,L_Placeholder,0)))),NOT(OR(LEN(AU561)&lt;2,ISNUMBER(MATCH(AU561,L_Placeholder,0)))),NOT(OR(LEN(AX561)&lt;2,ISNUMBER(MATCH(AX561,L_Placeholder,0)))),TRIM(AE561)&lt;&gt;TRIM(T561)),"N/A – JUSTIFIED","INVALID – N/A needs a real justification (15+ chars), PIC and a different verifier"))),IF(OR(TRIM(U561)="Pass",TRIM(U561)="Pass after CA"),IF(NOT(ISNUMBER(AD561)),"INVALID – completion time missing",IF(OR(LEN(AU561)&lt;2,ISNUMBER(MATCH(AU561,L_Placeholder,0))),"INVALID – PIC missing",IF(OR(LEN(AV561)&lt;2,ISNUMBER(MATCH(AV561,L_Placeholder,0))),"INVALID – result / assessment missing",IF(OR(OR(LEN(AW561)&lt;3,ISNUMBER(MATCH(AW561,L_Placeholder,0))),SUMPRODUCT(--ISNUMBER(SEARCH(L_EvidencePhrase,AW561)))&gt;0),"INVALID – evidence missing, placeholder or not yet on file",IF(OR(LEN(AX561)&lt;2,ISNUMBER(MATCH(AX561,L_Placeholder,0))),"INVALID – verifier missing",IF(AX561=AU561,"INVALID – verifier must be someone other than the PIC",IF(AND(TRIM(U561)="Pass",SUMPRODUCT(--ISNUMBER(SEARCH(L_ResultBad,AV561)))&gt;0),"INVALID – result describes a problem: use Fail, then Pass after CA",IF(AND(AQ561=1,OR(LEN(AY561)&lt;3,ISNUMBER(MATCH(AY561,L_Placeholder,0)))),"INVALID – batch ID missing or placeholder",IF(AND(AR561=1,OR(NOT(ISNUMBER(X561)),NOT(ISNUMBER(Y561)))),"INVALID – expected/actual qty missing",IF(AND(AR561=1,OR(X561&lt;=0,Y561&lt;0)),"INVALID – expected qty must be above 0 and actual not negative",IF(AH547="N/A – JUSTIFIED","INVALID – preparation row F17-T12-06 is N/A",IF(AND(AR561=1,ISNUMBER(X547),X561&lt;&gt;X547),"INVALID – expected qty differs from preparation check F17-T12-06",IF(BB561&lt;&gt;"",BB561,IF(AND(AS561=1,Documents!$J$21&lt;&gt;"ON FILE"),"INVALID – GLD not on file (Documents sheet)",IF(AND(AS561=2,Documents!$O$21&lt;&gt;"ON FILE"),"INVALID – menu checklist not on file (Documents sheet)",IF(AND(AS561=3,NOT(ISNUMBER(Flights!$AX$21))),"INVALID – enter carrying flight KUL departure (Flights AX)",IF(AND(AS561=3,OR(Flights!$AZ$21&gt;Flights!$AA$21,Flights!$AX$21&lt;Flights!$AA$21-3)),"INVALID – carrying flight (Flights AX) cannot arrive before this leg's STD, or is over 3 days early",IF(AG561&gt;AsOfUTC,"INVALID – completion time is in the future",IF(AND(ISNUMBER(S561),AG561&lt;S561),IF(H561="Physical uplift","INVALID – before uplift window (cannot confirm loading)","INVALID – before valid window"),IF(AG561&gt;Flights!$AA$21,"INVALID – completed after departure (cannot establish readiness)",IF(AND(H561="Preparation",AG561&gt;IF(ISNUMBER(Flights!$BA$21),MIN(Flights!$BA$21,Flights!$AA$21),Flights!$AA$21)),"INVALID – completed after loading / departure (cannot establish readiness)",IF(AND(H561="Physical uplift",AG561&gt;Q561),"INVALID – recorded after the loading flight departed",IF(AG561&gt;Q561,"COMPLETE – LATE","COMPLETE"))))))))))))))))))))))),IF(TRIM(U561)="Fail","FAIL – DISCREPANCY",IF(AND(TRIM(U561)&lt;&gt;"",TRIM(U561)&lt;&gt;"Not started",TRIM(U561)&lt;&gt;"In progress"),"INVALID – unrecognised status (use the list)",IF(AsOfUTC&gt;Q561,"OVERDUE",IF(N561="Clarification required","OPEN – CLARIFICATION","OPEN"))))))),"INVALID – error value in an input cell")</f>
        <v>OPEN</v>
      </c>
      <c r="AI561" s="61" t="n">
        <f aca="false">IF(OR(AH561="N/A – RULE",AH561="N/A – JUSTIFIED"),0,1)</f>
        <v>1</v>
      </c>
      <c r="AJ561" s="61" t="n">
        <f aca="false">IF(LEFT(AH561,8)="COMPLETE",1,0)</f>
        <v>0</v>
      </c>
      <c r="AK561" s="61" t="n">
        <f aca="false">IF(AND(AI561=1,AJ561=0,AsOfUTC&gt;Q561),1,0)</f>
        <v>0</v>
      </c>
      <c r="AL561" s="61" t="n">
        <f aca="false">IFERROR(IF(AND(AI561=1,OR(TRIM(U561)="Fail",AND(TRIM(AB561)&lt;&gt;"",TRIM(AB561)&lt;&gt;"Closed"),AND(ISNUMBER(AF561),AF561&lt;&gt;0,TRIM(U561)&lt;&gt;"Pass after CA"))),1,0),1)</f>
        <v>0</v>
      </c>
      <c r="AM561" s="61" t="n">
        <f aca="false">IF(LEFT(AH561,7)="INVALID",1,0)</f>
        <v>0</v>
      </c>
      <c r="AN561" s="61" t="n">
        <f aca="false">IF(AND(N561="Clarification required",AI561=1,AJ561=0),1,0)</f>
        <v>0</v>
      </c>
      <c r="AO561" s="61" t="str">
        <f aca="false">IF(AK561=1,SUM(AK$5:AK561),"")</f>
        <v/>
      </c>
      <c r="AP561" s="61" t="str">
        <f aca="false">IF(AL561=1,SUM(AL$5:AL561),"")</f>
        <v/>
      </c>
      <c r="AQ561" s="61" t="n">
        <v>0</v>
      </c>
      <c r="AR561" s="61" t="n">
        <v>1</v>
      </c>
      <c r="AS561" s="61" t="n">
        <v>0</v>
      </c>
      <c r="AT561" s="61" t="n">
        <v>0</v>
      </c>
      <c r="AU561" s="61" t="str">
        <f aca="false">SUBSTITUTE(SUBSTITUTE(SUBSTITUTE(SUBSTITUTE(SUBSTITUTE(SUBSTITUTE(SUBSTITUTE(SUBSTITUTE(SUBSTITUTE(SUBSTITUTE(SUBSTITUTE(SUBSTITUTE(SUBSTITUTE(LOWER(T561&amp;""),CHAR(160),"")," ",""),".",""),"-",""),"/",""),"?",""),"_",""),",",""),"[",""),"]",""),"(",""),")",""),"*","")</f>
        <v/>
      </c>
      <c r="AV561" s="61" t="str">
        <f aca="false">SUBSTITUTE(SUBSTITUTE(SUBSTITUTE(SUBSTITUTE(SUBSTITUTE(SUBSTITUTE(SUBSTITUTE(SUBSTITUTE(SUBSTITUTE(SUBSTITUTE(SUBSTITUTE(SUBSTITUTE(SUBSTITUTE(LOWER(V561&amp;""),CHAR(160),"")," ",""),".",""),"-",""),"/",""),"?",""),"_",""),",",""),"[",""),"]",""),"(",""),")",""),"*","")</f>
        <v/>
      </c>
      <c r="AW561" s="61" t="str">
        <f aca="false">SUBSTITUTE(SUBSTITUTE(SUBSTITUTE(SUBSTITUTE(SUBSTITUTE(SUBSTITUTE(SUBSTITUTE(SUBSTITUTE(SUBSTITUTE(SUBSTITUTE(SUBSTITUTE(SUBSTITUTE(SUBSTITUTE(LOWER(Z561&amp;""),CHAR(160),"")," ",""),".",""),"-",""),"/",""),"?",""),"_",""),",",""),"[",""),"]",""),"(",""),")",""),"*","")</f>
        <v/>
      </c>
      <c r="AX561" s="61" t="str">
        <f aca="false">SUBSTITUTE(SUBSTITUTE(SUBSTITUTE(SUBSTITUTE(SUBSTITUTE(SUBSTITUTE(SUBSTITUTE(SUBSTITUTE(SUBSTITUTE(SUBSTITUTE(SUBSTITUTE(SUBSTITUTE(SUBSTITUTE(LOWER(AE561&amp;""),CHAR(160),"")," ",""),".",""),"-",""),"/",""),"?",""),"_",""),",",""),"[",""),"]",""),"(",""),")",""),"*","")</f>
        <v/>
      </c>
      <c r="AY561" s="61" t="str">
        <f aca="false">SUBSTITUTE(SUBSTITUTE(SUBSTITUTE(SUBSTITUTE(SUBSTITUTE(SUBSTITUTE(SUBSTITUTE(SUBSTITUTE(SUBSTITUTE(SUBSTITUTE(SUBSTITUTE(SUBSTITUTE(SUBSTITUTE(LOWER(W561&amp;""),CHAR(160),"")," ",""),".",""),"-",""),"/",""),"?",""),"_",""),",",""),"[",""),"]",""),"(",""),")",""),"*","")</f>
        <v/>
      </c>
      <c r="AZ561" s="61" t="str">
        <f aca="false">SUBSTITUTE(SUBSTITUTE(SUBSTITUTE(SUBSTITUTE(SUBSTITUTE(SUBSTITUTE(SUBSTITUTE(SUBSTITUTE(SUBSTITUTE(SUBSTITUTE(SUBSTITUTE(SUBSTITUTE(SUBSTITUTE(LOWER(AC561&amp;""),CHAR(160),"")," ",""),".",""),"-",""),"/",""),"?",""),"_",""),",",""),"[",""),"]",""),"(",""),")",""),"*","")</f>
        <v/>
      </c>
      <c r="BA561" s="61" t="str">
        <f aca="false">SUBSTITUTE(SUBSTITUTE(SUBSTITUTE(SUBSTITUTE(SUBSTITUTE(SUBSTITUTE(SUBSTITUTE(SUBSTITUTE(SUBSTITUTE(SUBSTITUTE(SUBSTITUTE(SUBSTITUTE(SUBSTITUTE(LOWER(AA561&amp;""),CHAR(160),"")," ",""),".",""),"-",""),"/",""),"?",""),"_",""),",",""),"[",""),"]",""),"(",""),")",""),"*","")</f>
        <v/>
      </c>
      <c r="BB561" s="61" t="str">
        <f aca="false">IF(AND(TRIM(U561)="Pass",ISNUMBER(AF561)),IF(AF561&lt;&gt;0,"INVALID – qty variance: use Fail or Pass after CA",""),"")&amp;IF(AND(TRIM(U561)="Pass after CA",ISNUMBER(AF561)),IF(AF561&lt;&gt;0,"INVALID – after the corrective action the actual qty must equal expected (update Actual)",""),"")&amp;IF(AND(TRIM(U561)="Pass",TRIM(AB561)&lt;&gt;"",TRIM(AB561)&lt;&gt;"Closed"),"INVALID – corrective action not closed: use Fail, then Pass after CA","")&amp;IF(AND(TRIM(AA561)&lt;&gt;"",TRIM(AB561)=""),"INVALID – CA status missing for the recorded corrective action","")&amp;IF(AND(TRIM(U561)="Pass after CA",OR(OR(LEN(BA561)&lt;5,ISNUMBER(MATCH(BA561,L_Placeholder,0))),TRIM(AB561)&lt;&gt;"Closed")),"INVALID – corrective action not recorded/closed","")</f>
        <v/>
      </c>
    </row>
    <row r="562" customFormat="false" ht="41.25" hidden="false" customHeight="true" outlineLevel="0" collapsed="false">
      <c r="A562" s="57" t="s">
        <v>1227</v>
      </c>
      <c r="B562" s="57" t="s">
        <v>287</v>
      </c>
      <c r="C562" s="57" t="str">
        <f aca="false">Flights!$F$21</f>
        <v>MH0073</v>
      </c>
      <c r="D562" s="58" t="n">
        <f aca="false">Flights!$D$21</f>
        <v>46322</v>
      </c>
      <c r="E562" s="57" t="str">
        <f aca="false">Flights!$G$21&amp;"-"&amp;Flights!$H$21</f>
        <v>HKG-KUL</v>
      </c>
      <c r="F562" s="57" t="str">
        <f aca="false">Flights!$K$21</f>
        <v>BC</v>
      </c>
      <c r="G562" s="57" t="s">
        <v>437</v>
      </c>
      <c r="H562" s="57" t="s">
        <v>438</v>
      </c>
      <c r="I562" s="57" t="s">
        <v>389</v>
      </c>
      <c r="J562" s="57" t="s">
        <v>1228</v>
      </c>
      <c r="K562" s="67" t="s">
        <v>1229</v>
      </c>
      <c r="L562" s="67" t="s">
        <v>677</v>
      </c>
      <c r="M562" s="67"/>
      <c r="N562" s="67" t="s">
        <v>361</v>
      </c>
      <c r="O562" s="67" t="s">
        <v>678</v>
      </c>
      <c r="P562" s="57" t="s">
        <v>184</v>
      </c>
      <c r="Q562" s="59" t="n">
        <f aca="false">ROUND((Flights!$AY$21+UpliftWindowH/24)*1440,0)/1440</f>
        <v>46321.0486111111</v>
      </c>
      <c r="R562" s="59" t="n">
        <f aca="false">Q562+(IF(AND(INDEX(TZ_DSTS,MATCH(P562,TZ_STN,0))&lt;&gt;"",Q562&gt;=INDEX(TZ_DSTS,MATCH(P562,TZ_STN,0)),Q562&lt;INDEX(TZ_DSTE,MATCH(P562,TZ_STN,0))),INDEX(TZ_DST,MATCH(P562,TZ_STN,0)),INDEX(TZ_STD,MATCH(P562,TZ_STN,0))))/24</f>
        <v>46321.3819444444</v>
      </c>
      <c r="S562" s="59" t="n">
        <f aca="false">Q562-UpliftWindowH/24</f>
        <v>46320.7986111111</v>
      </c>
      <c r="T562" s="60"/>
      <c r="U562" s="60"/>
      <c r="V562" s="60"/>
      <c r="W562" s="61"/>
      <c r="X562" s="60"/>
      <c r="Y562" s="60"/>
      <c r="Z562" s="60"/>
      <c r="AA562" s="60"/>
      <c r="AB562" s="60"/>
      <c r="AC562" s="60"/>
      <c r="AD562" s="66"/>
      <c r="AE562" s="60"/>
      <c r="AF562" s="61" t="str">
        <f aca="false">IF(AND(ISNUMBER(X562),ISNUMBER(Y562)),Y562-X562,"")</f>
        <v/>
      </c>
      <c r="AG562" s="62" t="str">
        <f aca="false">IF(ISNUMBER(AD562),AD562-(IF(AND(INDEX(TZ_DSTS,MATCH(P562,TZ_STN,0))&lt;&gt;"",(AD562-INDEX(TZ_STD,MATCH(P562,TZ_STN,0))/24)&gt;=INDEX(TZ_DSTS,MATCH(P562,TZ_STN,0)),(AD562-INDEX(TZ_STD,MATCH(P562,TZ_STN,0))/24)&lt;INDEX(TZ_DSTE,MATCH(P562,TZ_STN,0))),INDEX(TZ_DST,MATCH(P562,TZ_STN,0)),INDEX(TZ_STD,MATCH(P562,TZ_STN,0))))/24,"")</f>
        <v/>
      </c>
      <c r="AH562" s="65" t="str">
        <f aca="false">IFERROR(IF(N562="N/A – rule","N/A – RULE",IF(TRIM(U562)="N/A",IF(AT562=0,"INVALID – N/A not permitted for this check",IF(AND(TRIM(AB562)&lt;&gt;"",TRIM(AB562)&lt;&gt;"Closed"),"INVALID – corrective action still open",IF(AND(NOT(OR(LEN(AZ562)&lt;15,ISNUMBER(MATCH(AZ562,L_Placeholder,0)))),NOT(OR(LEN(AU562)&lt;2,ISNUMBER(MATCH(AU562,L_Placeholder,0)))),NOT(OR(LEN(AX562)&lt;2,ISNUMBER(MATCH(AX562,L_Placeholder,0)))),TRIM(AE562)&lt;&gt;TRIM(T562)),"N/A – JUSTIFIED","INVALID – N/A needs a real justification (15+ chars), PIC and a different verifier"))),IF(OR(TRIM(U562)="Pass",TRIM(U562)="Pass after CA"),IF(NOT(ISNUMBER(AD562)),"INVALID – completion time missing",IF(OR(LEN(AU562)&lt;2,ISNUMBER(MATCH(AU562,L_Placeholder,0))),"INVALID – PIC missing",IF(OR(LEN(AV562)&lt;2,ISNUMBER(MATCH(AV562,L_Placeholder,0))),"INVALID – result / assessment missing",IF(OR(OR(LEN(AW562)&lt;3,ISNUMBER(MATCH(AW562,L_Placeholder,0))),SUMPRODUCT(--ISNUMBER(SEARCH(L_EvidencePhrase,AW562)))&gt;0),"INVALID – evidence missing, placeholder or not yet on file",IF(OR(LEN(AX562)&lt;2,ISNUMBER(MATCH(AX562,L_Placeholder,0))),"INVALID – verifier missing",IF(AX562=AU562,"INVALID – verifier must be someone other than the PIC",IF(AND(TRIM(U562)="Pass",SUMPRODUCT(--ISNUMBER(SEARCH(L_ResultBad,AV562)))&gt;0),"INVALID – result describes a problem: use Fail, then Pass after CA",IF(AND(AQ562=1,OR(LEN(AY562)&lt;3,ISNUMBER(MATCH(AY562,L_Placeholder,0)))),"INVALID – batch ID missing or placeholder",IF(AND(AR562=1,OR(NOT(ISNUMBER(X562)),NOT(ISNUMBER(Y562)))),"INVALID – expected/actual qty missing",IF(AND(AR562=1,OR(X562&lt;=0,Y562&lt;0)),"INVALID – expected qty must be above 0 and actual not negative",IF(BB562&lt;&gt;"",BB562,IF(AND(AS562=1,Documents!$J$21&lt;&gt;"ON FILE"),"INVALID – GLD not on file (Documents sheet)",IF(AND(AS562=2,Documents!$O$21&lt;&gt;"ON FILE"),"INVALID – menu checklist not on file (Documents sheet)",IF(AND(AS562=3,NOT(ISNUMBER(Flights!$AX$21))),"INVALID – enter carrying flight KUL departure (Flights AX)",IF(AND(AS562=3,OR(Flights!$AZ$21&gt;Flights!$AA$21,Flights!$AX$21&lt;Flights!$AA$21-3)),"INVALID – carrying flight (Flights AX) cannot arrive before this leg's STD, or is over 3 days early",IF(AG562&gt;AsOfUTC,"INVALID – completion time is in the future",IF(AND(ISNUMBER(S562),AG562&lt;S562),IF(H562="Physical uplift","INVALID – before uplift window (cannot confirm loading)","INVALID – before valid window"),IF(AG562&gt;Flights!$AA$21,"INVALID – completed after departure (cannot establish readiness)",IF(AND(H562="Preparation",AG562&gt;Flights!$AY$21+UpliftWindowH/24),"INVALID – completed after the carrying flight left KUL",IF(AND(H562="Physical uplift",AG562&gt;Q562),"INVALID – recorded after the loading flight departed",IF(AG562&gt;Q562,"COMPLETE – LATE","COMPLETE"))))))))))))))))))))),IF(TRIM(U562)="Fail","FAIL – DISCREPANCY",IF(AND(TRIM(U562)&lt;&gt;"",TRIM(U562)&lt;&gt;"Not started",TRIM(U562)&lt;&gt;"In progress"),"INVALID – unrecognised status (use the list)",IF(AsOfUTC&gt;Q562,"OVERDUE",IF(N562="Clarification required","OPEN – CLARIFICATION","OPEN"))))))),"INVALID – error value in an input cell")</f>
        <v>OPEN</v>
      </c>
      <c r="AI562" s="61" t="n">
        <f aca="false">IF(OR(AH562="N/A – RULE",AH562="N/A – JUSTIFIED"),0,1)</f>
        <v>1</v>
      </c>
      <c r="AJ562" s="61" t="n">
        <f aca="false">IF(LEFT(AH562,8)="COMPLETE",1,0)</f>
        <v>0</v>
      </c>
      <c r="AK562" s="61" t="n">
        <f aca="false">IF(AND(AI562=1,AJ562=0,AsOfUTC&gt;Q562),1,0)</f>
        <v>0</v>
      </c>
      <c r="AL562" s="61" t="n">
        <f aca="false">IFERROR(IF(AND(AI562=1,OR(TRIM(U562)="Fail",AND(TRIM(AB562)&lt;&gt;"",TRIM(AB562)&lt;&gt;"Closed"),AND(ISNUMBER(AF562),AF562&lt;&gt;0,TRIM(U562)&lt;&gt;"Pass after CA"))),1,0),1)</f>
        <v>0</v>
      </c>
      <c r="AM562" s="61" t="n">
        <f aca="false">IF(LEFT(AH562,7)="INVALID",1,0)</f>
        <v>0</v>
      </c>
      <c r="AN562" s="61" t="n">
        <f aca="false">IF(AND(N562="Clarification required",AI562=1,AJ562=0),1,0)</f>
        <v>0</v>
      </c>
      <c r="AO562" s="61" t="str">
        <f aca="false">IF(AK562=1,SUM(AK$5:AK562),"")</f>
        <v/>
      </c>
      <c r="AP562" s="61" t="str">
        <f aca="false">IF(AL562=1,SUM(AL$5:AL562),"")</f>
        <v/>
      </c>
      <c r="AQ562" s="61" t="n">
        <v>0</v>
      </c>
      <c r="AR562" s="61" t="n">
        <v>0</v>
      </c>
      <c r="AS562" s="61" t="n">
        <v>0</v>
      </c>
      <c r="AT562" s="61" t="n">
        <v>0</v>
      </c>
      <c r="AU562" s="61" t="str">
        <f aca="false">SUBSTITUTE(SUBSTITUTE(SUBSTITUTE(SUBSTITUTE(SUBSTITUTE(SUBSTITUTE(SUBSTITUTE(SUBSTITUTE(SUBSTITUTE(SUBSTITUTE(SUBSTITUTE(SUBSTITUTE(SUBSTITUTE(LOWER(T562&amp;""),CHAR(160),"")," ",""),".",""),"-",""),"/",""),"?",""),"_",""),",",""),"[",""),"]",""),"(",""),")",""),"*","")</f>
        <v/>
      </c>
      <c r="AV562" s="61" t="str">
        <f aca="false">SUBSTITUTE(SUBSTITUTE(SUBSTITUTE(SUBSTITUTE(SUBSTITUTE(SUBSTITUTE(SUBSTITUTE(SUBSTITUTE(SUBSTITUTE(SUBSTITUTE(SUBSTITUTE(SUBSTITUTE(SUBSTITUTE(LOWER(V562&amp;""),CHAR(160),"")," ",""),".",""),"-",""),"/",""),"?",""),"_",""),",",""),"[",""),"]",""),"(",""),")",""),"*","")</f>
        <v/>
      </c>
      <c r="AW562" s="61" t="str">
        <f aca="false">SUBSTITUTE(SUBSTITUTE(SUBSTITUTE(SUBSTITUTE(SUBSTITUTE(SUBSTITUTE(SUBSTITUTE(SUBSTITUTE(SUBSTITUTE(SUBSTITUTE(SUBSTITUTE(SUBSTITUTE(SUBSTITUTE(LOWER(Z562&amp;""),CHAR(160),"")," ",""),".",""),"-",""),"/",""),"?",""),"_",""),",",""),"[",""),"]",""),"(",""),")",""),"*","")</f>
        <v/>
      </c>
      <c r="AX562" s="61" t="str">
        <f aca="false">SUBSTITUTE(SUBSTITUTE(SUBSTITUTE(SUBSTITUTE(SUBSTITUTE(SUBSTITUTE(SUBSTITUTE(SUBSTITUTE(SUBSTITUTE(SUBSTITUTE(SUBSTITUTE(SUBSTITUTE(SUBSTITUTE(LOWER(AE562&amp;""),CHAR(160),"")," ",""),".",""),"-",""),"/",""),"?",""),"_",""),",",""),"[",""),"]",""),"(",""),")",""),"*","")</f>
        <v/>
      </c>
      <c r="AY562" s="61" t="str">
        <f aca="false">SUBSTITUTE(SUBSTITUTE(SUBSTITUTE(SUBSTITUTE(SUBSTITUTE(SUBSTITUTE(SUBSTITUTE(SUBSTITUTE(SUBSTITUTE(SUBSTITUTE(SUBSTITUTE(SUBSTITUTE(SUBSTITUTE(LOWER(W562&amp;""),CHAR(160),"")," ",""),".",""),"-",""),"/",""),"?",""),"_",""),",",""),"[",""),"]",""),"(",""),")",""),"*","")</f>
        <v/>
      </c>
      <c r="AZ562" s="61" t="str">
        <f aca="false">SUBSTITUTE(SUBSTITUTE(SUBSTITUTE(SUBSTITUTE(SUBSTITUTE(SUBSTITUTE(SUBSTITUTE(SUBSTITUTE(SUBSTITUTE(SUBSTITUTE(SUBSTITUTE(SUBSTITUTE(SUBSTITUTE(LOWER(AC562&amp;""),CHAR(160),"")," ",""),".",""),"-",""),"/",""),"?",""),"_",""),",",""),"[",""),"]",""),"(",""),")",""),"*","")</f>
        <v/>
      </c>
      <c r="BA562" s="61" t="str">
        <f aca="false">SUBSTITUTE(SUBSTITUTE(SUBSTITUTE(SUBSTITUTE(SUBSTITUTE(SUBSTITUTE(SUBSTITUTE(SUBSTITUTE(SUBSTITUTE(SUBSTITUTE(SUBSTITUTE(SUBSTITUTE(SUBSTITUTE(LOWER(AA562&amp;""),CHAR(160),"")," ",""),".",""),"-",""),"/",""),"?",""),"_",""),",",""),"[",""),"]",""),"(",""),")",""),"*","")</f>
        <v/>
      </c>
      <c r="BB562" s="61" t="str">
        <f aca="false">IF(AND(TRIM(U562)="Pass",ISNUMBER(AF562)),IF(AF562&lt;&gt;0,"INVALID – qty variance: use Fail or Pass after CA",""),"")&amp;IF(AND(TRIM(U562)="Pass after CA",ISNUMBER(AF562)),IF(AF562&lt;&gt;0,"INVALID – after the corrective action the actual qty must equal expected (update Actual)",""),"")&amp;IF(AND(TRIM(U562)="Pass",TRIM(AB562)&lt;&gt;"",TRIM(AB562)&lt;&gt;"Closed"),"INVALID – corrective action not closed: use Fail, then Pass after CA","")&amp;IF(AND(TRIM(AA562)&lt;&gt;"",TRIM(AB562)=""),"INVALID – CA status missing for the recorded corrective action","")&amp;IF(AND(TRIM(U562)="Pass after CA",OR(OR(LEN(BA562)&lt;5,ISNUMBER(MATCH(BA562,L_Placeholder,0))),TRIM(AB562)&lt;&gt;"Closed")),"INVALID – corrective action not recorded/closed","")</f>
        <v/>
      </c>
    </row>
    <row r="563" customFormat="false" ht="39.75" hidden="false" customHeight="true" outlineLevel="0" collapsed="false">
      <c r="A563" s="57" t="s">
        <v>1230</v>
      </c>
      <c r="B563" s="57" t="s">
        <v>287</v>
      </c>
      <c r="C563" s="57" t="str">
        <f aca="false">Flights!$F$21</f>
        <v>MH0073</v>
      </c>
      <c r="D563" s="58" t="n">
        <f aca="false">Flights!$D$21</f>
        <v>46322</v>
      </c>
      <c r="E563" s="57" t="str">
        <f aca="false">Flights!$G$21&amp;"-"&amp;Flights!$H$21</f>
        <v>HKG-KUL</v>
      </c>
      <c r="F563" s="57" t="str">
        <f aca="false">Flights!$K$21</f>
        <v>BC</v>
      </c>
      <c r="G563" s="57" t="s">
        <v>437</v>
      </c>
      <c r="H563" s="57" t="s">
        <v>438</v>
      </c>
      <c r="I563" s="57" t="s">
        <v>418</v>
      </c>
      <c r="J563" s="57" t="s">
        <v>1231</v>
      </c>
      <c r="K563" s="67" t="s">
        <v>479</v>
      </c>
      <c r="L563" s="67" t="s">
        <v>1200</v>
      </c>
      <c r="M563" s="67" t="s">
        <v>184</v>
      </c>
      <c r="N563" s="67" t="s">
        <v>361</v>
      </c>
      <c r="O563" s="67"/>
      <c r="P563" s="57" t="s">
        <v>279</v>
      </c>
      <c r="Q563" s="59" t="n">
        <f aca="false">ROUND((Flights!$AF$21)*1440,0)/1440</f>
        <v>46322.2847222222</v>
      </c>
      <c r="R563" s="59" t="n">
        <f aca="false">Q563+(IF(AND(INDEX(TZ_DSTS,MATCH(P563,TZ_STN,0))&lt;&gt;"",Q563&gt;=INDEX(TZ_DSTS,MATCH(P563,TZ_STN,0)),Q563&lt;INDEX(TZ_DSTE,MATCH(P563,TZ_STN,0))),INDEX(TZ_DST,MATCH(P563,TZ_STN,0)),INDEX(TZ_STD,MATCH(P563,TZ_STN,0))))/24</f>
        <v>46322.6180555556</v>
      </c>
      <c r="S563" s="59" t="n">
        <f aca="false">IF(ISNUMBER(Flights!$AZ$21),MAX(Q563-UpliftWindowH/24,Flights!$AZ$21),Q563-UpliftWindowH/24)</f>
        <v>46322.0347222222</v>
      </c>
      <c r="T563" s="60"/>
      <c r="U563" s="60"/>
      <c r="V563" s="60"/>
      <c r="W563" s="61"/>
      <c r="X563" s="60"/>
      <c r="Y563" s="60"/>
      <c r="Z563" s="60"/>
      <c r="AA563" s="60"/>
      <c r="AB563" s="60"/>
      <c r="AC563" s="60"/>
      <c r="AD563" s="66"/>
      <c r="AE563" s="60"/>
      <c r="AF563" s="61" t="str">
        <f aca="false">IF(AND(ISNUMBER(X563),ISNUMBER(Y563)),Y563-X563,"")</f>
        <v/>
      </c>
      <c r="AG563" s="62" t="str">
        <f aca="false">IF(ISNUMBER(AD563),AD563-(IF(AND(INDEX(TZ_DSTS,MATCH(P563,TZ_STN,0))&lt;&gt;"",(AD563-INDEX(TZ_STD,MATCH(P563,TZ_STN,0))/24)&gt;=INDEX(TZ_DSTS,MATCH(P563,TZ_STN,0)),(AD563-INDEX(TZ_STD,MATCH(P563,TZ_STN,0))/24)&lt;INDEX(TZ_DSTE,MATCH(P563,TZ_STN,0))),INDEX(TZ_DST,MATCH(P563,TZ_STN,0)),INDEX(TZ_STD,MATCH(P563,TZ_STN,0))))/24,"")</f>
        <v/>
      </c>
      <c r="AH563" s="65" t="str">
        <f aca="false">IFERROR(IF(N563="N/A – rule","N/A – RULE",IF(TRIM(U563)="N/A",IF(AT563=0,"INVALID – N/A not permitted for this check",IF(AND(TRIM(AB563)&lt;&gt;"",TRIM(AB563)&lt;&gt;"Closed"),"INVALID – corrective action still open",IF(AND(NOT(OR(LEN(AZ563)&lt;15,ISNUMBER(MATCH(AZ563,L_Placeholder,0)))),NOT(OR(LEN(AU563)&lt;2,ISNUMBER(MATCH(AU563,L_Placeholder,0)))),NOT(OR(LEN(AX563)&lt;2,ISNUMBER(MATCH(AX563,L_Placeholder,0)))),TRIM(AE563)&lt;&gt;TRIM(T563)),"N/A – JUSTIFIED","INVALID – N/A needs a real justification (15+ chars), PIC and a different verifier"))),IF(OR(TRIM(U563)="Pass",TRIM(U563)="Pass after CA"),IF(NOT(ISNUMBER(AD563)),"INVALID – completion time missing",IF(OR(LEN(AU563)&lt;2,ISNUMBER(MATCH(AU563,L_Placeholder,0))),"INVALID – PIC missing",IF(OR(LEN(AV563)&lt;2,ISNUMBER(MATCH(AV563,L_Placeholder,0))),"INVALID – result / assessment missing",IF(OR(OR(LEN(AW563)&lt;3,ISNUMBER(MATCH(AW563,L_Placeholder,0))),SUMPRODUCT(--ISNUMBER(SEARCH(L_EvidencePhrase,AW563)))&gt;0),"INVALID – evidence missing, placeholder or not yet on file",IF(OR(LEN(AX563)&lt;2,ISNUMBER(MATCH(AX563,L_Placeholder,0))),"INVALID – verifier missing",IF(AX563=AU563,"INVALID – verifier must be someone other than the PIC",IF(AND(TRIM(U563)="Pass",SUMPRODUCT(--ISNUMBER(SEARCH(L_ResultBad,AV563)))&gt;0),"INVALID – result describes a problem: use Fail, then Pass after CA",IF(AND(AQ563=1,OR(LEN(AY563)&lt;3,ISNUMBER(MATCH(AY563,L_Placeholder,0)))),"INVALID – batch ID missing or placeholder",IF(AND(AR563=1,OR(NOT(ISNUMBER(X563)),NOT(ISNUMBER(Y563)))),"INVALID – expected/actual qty missing",IF(AND(AR563=1,OR(X563&lt;=0,Y563&lt;0)),"INVALID – expected qty must be above 0 and actual not negative",IF(AH549="N/A – JUSTIFIED","INVALID – preparation row F17-T12-08 is N/A",IF(AND(AR563=1,ISNUMBER(X549),X563&lt;&gt;X549),"INVALID – expected qty differs from preparation check F17-T12-08",IF(BB563&lt;&gt;"",BB563,IF(AND(AS563=1,Documents!$J$21&lt;&gt;"ON FILE"),"INVALID – GLD not on file (Documents sheet)",IF(AND(AS563=2,Documents!$O$21&lt;&gt;"ON FILE"),"INVALID – menu checklist not on file (Documents sheet)",IF(AND(AS563=3,NOT(ISNUMBER(Flights!$AX$21))),"INVALID – enter carrying flight KUL departure (Flights AX)",IF(AND(AS563=3,OR(Flights!$AZ$21&gt;Flights!$AA$21,Flights!$AX$21&lt;Flights!$AA$21-3)),"INVALID – carrying flight (Flights AX) cannot arrive before this leg's STD, or is over 3 days early",IF(AG563&gt;AsOfUTC,"INVALID – completion time is in the future",IF(AND(ISNUMBER(S563),AG563&lt;S563),IF(H563="Physical uplift","INVALID – before uplift window (cannot confirm loading)","INVALID – before valid window"),IF(AG563&gt;Flights!$AA$21,"INVALID – completed after departure (cannot establish readiness)",IF(AND(H563="Preparation",AG563&gt;IF(ISNUMBER(Flights!$BA$21),MIN(Flights!$BA$21,Flights!$AA$21),Flights!$AA$21)),"INVALID – completed after loading / departure (cannot establish readiness)",IF(AND(H563="Physical uplift",AG563&gt;Q563),"INVALID – recorded after the loading flight departed",IF(AG563&gt;Q563,"COMPLETE – LATE","COMPLETE"))))))))))))))))))))))),IF(TRIM(U563)="Fail","FAIL – DISCREPANCY",IF(AND(TRIM(U563)&lt;&gt;"",TRIM(U563)&lt;&gt;"Not started",TRIM(U563)&lt;&gt;"In progress"),"INVALID – unrecognised status (use the list)",IF(AsOfUTC&gt;Q563,"OVERDUE",IF(N563="Clarification required","OPEN – CLARIFICATION","OPEN"))))))),"INVALID – error value in an input cell")</f>
        <v>OPEN</v>
      </c>
      <c r="AI563" s="61" t="n">
        <f aca="false">IF(OR(AH563="N/A – RULE",AH563="N/A – JUSTIFIED"),0,1)</f>
        <v>1</v>
      </c>
      <c r="AJ563" s="61" t="n">
        <f aca="false">IF(LEFT(AH563,8)="COMPLETE",1,0)</f>
        <v>0</v>
      </c>
      <c r="AK563" s="61" t="n">
        <f aca="false">IF(AND(AI563=1,AJ563=0,AsOfUTC&gt;Q563),1,0)</f>
        <v>0</v>
      </c>
      <c r="AL563" s="61" t="n">
        <f aca="false">IFERROR(IF(AND(AI563=1,OR(TRIM(U563)="Fail",AND(TRIM(AB563)&lt;&gt;"",TRIM(AB563)&lt;&gt;"Closed"),AND(ISNUMBER(AF563),AF563&lt;&gt;0,TRIM(U563)&lt;&gt;"Pass after CA"))),1,0),1)</f>
        <v>0</v>
      </c>
      <c r="AM563" s="61" t="n">
        <f aca="false">IF(LEFT(AH563,7)="INVALID",1,0)</f>
        <v>0</v>
      </c>
      <c r="AN563" s="61" t="n">
        <f aca="false">IF(AND(N563="Clarification required",AI563=1,AJ563=0),1,0)</f>
        <v>0</v>
      </c>
      <c r="AO563" s="61" t="str">
        <f aca="false">IF(AK563=1,SUM(AK$5:AK563),"")</f>
        <v/>
      </c>
      <c r="AP563" s="61" t="str">
        <f aca="false">IF(AL563=1,SUM(AL$5:AL563),"")</f>
        <v/>
      </c>
      <c r="AQ563" s="61" t="n">
        <v>0</v>
      </c>
      <c r="AR563" s="61" t="n">
        <v>0</v>
      </c>
      <c r="AS563" s="61" t="n">
        <v>0</v>
      </c>
      <c r="AT563" s="61" t="n">
        <v>0</v>
      </c>
      <c r="AU563" s="61" t="str">
        <f aca="false">SUBSTITUTE(SUBSTITUTE(SUBSTITUTE(SUBSTITUTE(SUBSTITUTE(SUBSTITUTE(SUBSTITUTE(SUBSTITUTE(SUBSTITUTE(SUBSTITUTE(SUBSTITUTE(SUBSTITUTE(SUBSTITUTE(LOWER(T563&amp;""),CHAR(160),"")," ",""),".",""),"-",""),"/",""),"?",""),"_",""),",",""),"[",""),"]",""),"(",""),")",""),"*","")</f>
        <v/>
      </c>
      <c r="AV563" s="61" t="str">
        <f aca="false">SUBSTITUTE(SUBSTITUTE(SUBSTITUTE(SUBSTITUTE(SUBSTITUTE(SUBSTITUTE(SUBSTITUTE(SUBSTITUTE(SUBSTITUTE(SUBSTITUTE(SUBSTITUTE(SUBSTITUTE(SUBSTITUTE(LOWER(V563&amp;""),CHAR(160),"")," ",""),".",""),"-",""),"/",""),"?",""),"_",""),",",""),"[",""),"]",""),"(",""),")",""),"*","")</f>
        <v/>
      </c>
      <c r="AW563" s="61" t="str">
        <f aca="false">SUBSTITUTE(SUBSTITUTE(SUBSTITUTE(SUBSTITUTE(SUBSTITUTE(SUBSTITUTE(SUBSTITUTE(SUBSTITUTE(SUBSTITUTE(SUBSTITUTE(SUBSTITUTE(SUBSTITUTE(SUBSTITUTE(LOWER(Z563&amp;""),CHAR(160),"")," ",""),".",""),"-",""),"/",""),"?",""),"_",""),",",""),"[",""),"]",""),"(",""),")",""),"*","")</f>
        <v/>
      </c>
      <c r="AX563" s="61" t="str">
        <f aca="false">SUBSTITUTE(SUBSTITUTE(SUBSTITUTE(SUBSTITUTE(SUBSTITUTE(SUBSTITUTE(SUBSTITUTE(SUBSTITUTE(SUBSTITUTE(SUBSTITUTE(SUBSTITUTE(SUBSTITUTE(SUBSTITUTE(LOWER(AE563&amp;""),CHAR(160),"")," ",""),".",""),"-",""),"/",""),"?",""),"_",""),",",""),"[",""),"]",""),"(",""),")",""),"*","")</f>
        <v/>
      </c>
      <c r="AY563" s="61" t="str">
        <f aca="false">SUBSTITUTE(SUBSTITUTE(SUBSTITUTE(SUBSTITUTE(SUBSTITUTE(SUBSTITUTE(SUBSTITUTE(SUBSTITUTE(SUBSTITUTE(SUBSTITUTE(SUBSTITUTE(SUBSTITUTE(SUBSTITUTE(LOWER(W563&amp;""),CHAR(160),"")," ",""),".",""),"-",""),"/",""),"?",""),"_",""),",",""),"[",""),"]",""),"(",""),")",""),"*","")</f>
        <v/>
      </c>
      <c r="AZ563" s="61" t="str">
        <f aca="false">SUBSTITUTE(SUBSTITUTE(SUBSTITUTE(SUBSTITUTE(SUBSTITUTE(SUBSTITUTE(SUBSTITUTE(SUBSTITUTE(SUBSTITUTE(SUBSTITUTE(SUBSTITUTE(SUBSTITUTE(SUBSTITUTE(LOWER(AC563&amp;""),CHAR(160),"")," ",""),".",""),"-",""),"/",""),"?",""),"_",""),",",""),"[",""),"]",""),"(",""),")",""),"*","")</f>
        <v/>
      </c>
      <c r="BA563" s="61" t="str">
        <f aca="false">SUBSTITUTE(SUBSTITUTE(SUBSTITUTE(SUBSTITUTE(SUBSTITUTE(SUBSTITUTE(SUBSTITUTE(SUBSTITUTE(SUBSTITUTE(SUBSTITUTE(SUBSTITUTE(SUBSTITUTE(SUBSTITUTE(LOWER(AA563&amp;""),CHAR(160),"")," ",""),".",""),"-",""),"/",""),"?",""),"_",""),",",""),"[",""),"]",""),"(",""),")",""),"*","")</f>
        <v/>
      </c>
      <c r="BB563" s="61" t="str">
        <f aca="false">IF(AND(TRIM(U563)="Pass",ISNUMBER(AF563)),IF(AF563&lt;&gt;0,"INVALID – qty variance: use Fail or Pass after CA",""),"")&amp;IF(AND(TRIM(U563)="Pass after CA",ISNUMBER(AF563)),IF(AF563&lt;&gt;0,"INVALID – after the corrective action the actual qty must equal expected (update Actual)",""),"")&amp;IF(AND(TRIM(U563)="Pass",TRIM(AB563)&lt;&gt;"",TRIM(AB563)&lt;&gt;"Closed"),"INVALID – corrective action not closed: use Fail, then Pass after CA","")&amp;IF(AND(TRIM(AA563)&lt;&gt;"",TRIM(AB563)=""),"INVALID – CA status missing for the recorded corrective action","")&amp;IF(AND(TRIM(U563)="Pass after CA",OR(OR(LEN(BA563)&lt;5,ISNUMBER(MATCH(BA563,L_Placeholder,0))),TRIM(AB563)&lt;&gt;"Closed")),"INVALID – corrective action not recorded/closed","")</f>
        <v/>
      </c>
    </row>
    <row r="564" customFormat="false" ht="39.75" hidden="false" customHeight="true" outlineLevel="0" collapsed="false">
      <c r="A564" s="57" t="s">
        <v>1232</v>
      </c>
      <c r="B564" s="57" t="s">
        <v>287</v>
      </c>
      <c r="C564" s="57" t="str">
        <f aca="false">Flights!$F$21</f>
        <v>MH0073</v>
      </c>
      <c r="D564" s="58" t="n">
        <f aca="false">Flights!$D$21</f>
        <v>46322</v>
      </c>
      <c r="E564" s="57" t="str">
        <f aca="false">Flights!$G$21&amp;"-"&amp;Flights!$H$21</f>
        <v>HKG-KUL</v>
      </c>
      <c r="F564" s="57" t="str">
        <f aca="false">Flights!$K$21</f>
        <v>BC</v>
      </c>
      <c r="G564" s="57" t="s">
        <v>437</v>
      </c>
      <c r="H564" s="57" t="s">
        <v>438</v>
      </c>
      <c r="I564" s="57" t="s">
        <v>477</v>
      </c>
      <c r="J564" s="57" t="s">
        <v>515</v>
      </c>
      <c r="K564" s="67" t="s">
        <v>479</v>
      </c>
      <c r="L564" s="67" t="s">
        <v>1203</v>
      </c>
      <c r="M564" s="67" t="s">
        <v>429</v>
      </c>
      <c r="N564" s="67" t="s">
        <v>361</v>
      </c>
      <c r="O564" s="67"/>
      <c r="P564" s="57" t="s">
        <v>279</v>
      </c>
      <c r="Q564" s="59" t="n">
        <f aca="false">ROUND((Flights!$AF$21)*1440,0)/1440</f>
        <v>46322.2847222222</v>
      </c>
      <c r="R564" s="59" t="n">
        <f aca="false">Q564+(IF(AND(INDEX(TZ_DSTS,MATCH(P564,TZ_STN,0))&lt;&gt;"",Q564&gt;=INDEX(TZ_DSTS,MATCH(P564,TZ_STN,0)),Q564&lt;INDEX(TZ_DSTE,MATCH(P564,TZ_STN,0))),INDEX(TZ_DST,MATCH(P564,TZ_STN,0)),INDEX(TZ_STD,MATCH(P564,TZ_STN,0))))/24</f>
        <v>46322.6180555556</v>
      </c>
      <c r="S564" s="59" t="n">
        <f aca="false">IF(ISNUMBER(Flights!$AZ$21),MAX(Q564-UpliftWindowH/24,Flights!$AZ$21),Q564-UpliftWindowH/24)</f>
        <v>46322.0347222222</v>
      </c>
      <c r="T564" s="60"/>
      <c r="U564" s="60"/>
      <c r="V564" s="60"/>
      <c r="W564" s="61"/>
      <c r="X564" s="60"/>
      <c r="Y564" s="60"/>
      <c r="Z564" s="60"/>
      <c r="AA564" s="60"/>
      <c r="AB564" s="60"/>
      <c r="AC564" s="60"/>
      <c r="AD564" s="66"/>
      <c r="AE564" s="60"/>
      <c r="AF564" s="61" t="str">
        <f aca="false">IF(AND(ISNUMBER(X564),ISNUMBER(Y564)),Y564-X564,"")</f>
        <v/>
      </c>
      <c r="AG564" s="62" t="str">
        <f aca="false">IF(ISNUMBER(AD564),AD564-(IF(AND(INDEX(TZ_DSTS,MATCH(P564,TZ_STN,0))&lt;&gt;"",(AD564-INDEX(TZ_STD,MATCH(P564,TZ_STN,0))/24)&gt;=INDEX(TZ_DSTS,MATCH(P564,TZ_STN,0)),(AD564-INDEX(TZ_STD,MATCH(P564,TZ_STN,0))/24)&lt;INDEX(TZ_DSTE,MATCH(P564,TZ_STN,0))),INDEX(TZ_DST,MATCH(P564,TZ_STN,0)),INDEX(TZ_STD,MATCH(P564,TZ_STN,0))))/24,"")</f>
        <v/>
      </c>
      <c r="AH564" s="65" t="str">
        <f aca="false">IFERROR(IF(N564="N/A – rule","N/A – RULE",IF(TRIM(U564)="N/A",IF(AT564=0,"INVALID – N/A not permitted for this check",IF(AND(TRIM(AB564)&lt;&gt;"",TRIM(AB564)&lt;&gt;"Closed"),"INVALID – corrective action still open",IF(AND(NOT(OR(LEN(AZ564)&lt;15,ISNUMBER(MATCH(AZ564,L_Placeholder,0)))),NOT(OR(LEN(AU564)&lt;2,ISNUMBER(MATCH(AU564,L_Placeholder,0)))),NOT(OR(LEN(AX564)&lt;2,ISNUMBER(MATCH(AX564,L_Placeholder,0)))),TRIM(AE564)&lt;&gt;TRIM(T564)),"N/A – JUSTIFIED","INVALID – N/A needs a real justification (15+ chars), PIC and a different verifier"))),IF(OR(TRIM(U564)="Pass",TRIM(U564)="Pass after CA"),IF(NOT(ISNUMBER(AD564)),"INVALID – completion time missing",IF(OR(LEN(AU564)&lt;2,ISNUMBER(MATCH(AU564,L_Placeholder,0))),"INVALID – PIC missing",IF(OR(LEN(AV564)&lt;2,ISNUMBER(MATCH(AV564,L_Placeholder,0))),"INVALID – result / assessment missing",IF(OR(OR(LEN(AW564)&lt;3,ISNUMBER(MATCH(AW564,L_Placeholder,0))),SUMPRODUCT(--ISNUMBER(SEARCH(L_EvidencePhrase,AW564)))&gt;0),"INVALID – evidence missing, placeholder or not yet on file",IF(OR(LEN(AX564)&lt;2,ISNUMBER(MATCH(AX564,L_Placeholder,0))),"INVALID – verifier missing",IF(AX564=AU564,"INVALID – verifier must be someone other than the PIC",IF(AND(TRIM(U564)="Pass",SUMPRODUCT(--ISNUMBER(SEARCH(L_ResultBad,AV564)))&gt;0),"INVALID – result describes a problem: use Fail, then Pass after CA",IF(AND(AQ564=1,OR(LEN(AY564)&lt;3,ISNUMBER(MATCH(AY564,L_Placeholder,0)))),"INVALID – batch ID missing or placeholder",IF(AND(AR564=1,OR(NOT(ISNUMBER(X564)),NOT(ISNUMBER(Y564)))),"INVALID – expected/actual qty missing",IF(AND(AR564=1,OR(X564&lt;=0,Y564&lt;0)),"INVALID – expected qty must be above 0 and actual not negative",IF(AH550="N/A – JUSTIFIED","INVALID – preparation row F17-T12-09 is N/A",IF(AND(AR564=1,ISNUMBER(X550),X564&lt;&gt;X550),"INVALID – expected qty differs from preparation check F17-T12-09",IF(BB564&lt;&gt;"",BB564,IF(AND(AS564=1,Documents!$J$21&lt;&gt;"ON FILE"),"INVALID – GLD not on file (Documents sheet)",IF(AND(AS564=2,Documents!$O$21&lt;&gt;"ON FILE"),"INVALID – menu checklist not on file (Documents sheet)",IF(AND(AS564=3,NOT(ISNUMBER(Flights!$AX$21))),"INVALID – enter carrying flight KUL departure (Flights AX)",IF(AND(AS564=3,OR(Flights!$AZ$21&gt;Flights!$AA$21,Flights!$AX$21&lt;Flights!$AA$21-3)),"INVALID – carrying flight (Flights AX) cannot arrive before this leg's STD, or is over 3 days early",IF(AG564&gt;AsOfUTC,"INVALID – completion time is in the future",IF(AND(ISNUMBER(S564),AG564&lt;S564),IF(H564="Physical uplift","INVALID – before uplift window (cannot confirm loading)","INVALID – before valid window"),IF(AG564&gt;Flights!$AA$21,"INVALID – completed after departure (cannot establish readiness)",IF(AND(H564="Preparation",AG564&gt;IF(ISNUMBER(Flights!$BA$21),MIN(Flights!$BA$21,Flights!$AA$21),Flights!$AA$21)),"INVALID – completed after loading / departure (cannot establish readiness)",IF(AND(H564="Physical uplift",AG564&gt;Q564),"INVALID – recorded after the loading flight departed",IF(AG564&gt;Q564,"COMPLETE – LATE","COMPLETE"))))))))))))))))))))))),IF(TRIM(U564)="Fail","FAIL – DISCREPANCY",IF(AND(TRIM(U564)&lt;&gt;"",TRIM(U564)&lt;&gt;"Not started",TRIM(U564)&lt;&gt;"In progress"),"INVALID – unrecognised status (use the list)",IF(AsOfUTC&gt;Q564,"OVERDUE",IF(N564="Clarification required","OPEN – CLARIFICATION","OPEN"))))))),"INVALID – error value in an input cell")</f>
        <v>OPEN</v>
      </c>
      <c r="AI564" s="61" t="n">
        <f aca="false">IF(OR(AH564="N/A – RULE",AH564="N/A – JUSTIFIED"),0,1)</f>
        <v>1</v>
      </c>
      <c r="AJ564" s="61" t="n">
        <f aca="false">IF(LEFT(AH564,8)="COMPLETE",1,0)</f>
        <v>0</v>
      </c>
      <c r="AK564" s="61" t="n">
        <f aca="false">IF(AND(AI564=1,AJ564=0,AsOfUTC&gt;Q564),1,0)</f>
        <v>0</v>
      </c>
      <c r="AL564" s="61" t="n">
        <f aca="false">IFERROR(IF(AND(AI564=1,OR(TRIM(U564)="Fail",AND(TRIM(AB564)&lt;&gt;"",TRIM(AB564)&lt;&gt;"Closed"),AND(ISNUMBER(AF564),AF564&lt;&gt;0,TRIM(U564)&lt;&gt;"Pass after CA"))),1,0),1)</f>
        <v>0</v>
      </c>
      <c r="AM564" s="61" t="n">
        <f aca="false">IF(LEFT(AH564,7)="INVALID",1,0)</f>
        <v>0</v>
      </c>
      <c r="AN564" s="61" t="n">
        <f aca="false">IF(AND(N564="Clarification required",AI564=1,AJ564=0),1,0)</f>
        <v>0</v>
      </c>
      <c r="AO564" s="61" t="str">
        <f aca="false">IF(AK564=1,SUM(AK$5:AK564),"")</f>
        <v/>
      </c>
      <c r="AP564" s="61" t="str">
        <f aca="false">IF(AL564=1,SUM(AL$5:AL564),"")</f>
        <v/>
      </c>
      <c r="AQ564" s="61" t="n">
        <v>0</v>
      </c>
      <c r="AR564" s="61" t="n">
        <v>0</v>
      </c>
      <c r="AS564" s="61" t="n">
        <v>0</v>
      </c>
      <c r="AT564" s="61" t="n">
        <v>0</v>
      </c>
      <c r="AU564" s="61" t="str">
        <f aca="false">SUBSTITUTE(SUBSTITUTE(SUBSTITUTE(SUBSTITUTE(SUBSTITUTE(SUBSTITUTE(SUBSTITUTE(SUBSTITUTE(SUBSTITUTE(SUBSTITUTE(SUBSTITUTE(SUBSTITUTE(SUBSTITUTE(LOWER(T564&amp;""),CHAR(160),"")," ",""),".",""),"-",""),"/",""),"?",""),"_",""),",",""),"[",""),"]",""),"(",""),")",""),"*","")</f>
        <v/>
      </c>
      <c r="AV564" s="61" t="str">
        <f aca="false">SUBSTITUTE(SUBSTITUTE(SUBSTITUTE(SUBSTITUTE(SUBSTITUTE(SUBSTITUTE(SUBSTITUTE(SUBSTITUTE(SUBSTITUTE(SUBSTITUTE(SUBSTITUTE(SUBSTITUTE(SUBSTITUTE(LOWER(V564&amp;""),CHAR(160),"")," ",""),".",""),"-",""),"/",""),"?",""),"_",""),",",""),"[",""),"]",""),"(",""),")",""),"*","")</f>
        <v/>
      </c>
      <c r="AW564" s="61" t="str">
        <f aca="false">SUBSTITUTE(SUBSTITUTE(SUBSTITUTE(SUBSTITUTE(SUBSTITUTE(SUBSTITUTE(SUBSTITUTE(SUBSTITUTE(SUBSTITUTE(SUBSTITUTE(SUBSTITUTE(SUBSTITUTE(SUBSTITUTE(LOWER(Z564&amp;""),CHAR(160),"")," ",""),".",""),"-",""),"/",""),"?",""),"_",""),",",""),"[",""),"]",""),"(",""),")",""),"*","")</f>
        <v/>
      </c>
      <c r="AX564" s="61" t="str">
        <f aca="false">SUBSTITUTE(SUBSTITUTE(SUBSTITUTE(SUBSTITUTE(SUBSTITUTE(SUBSTITUTE(SUBSTITUTE(SUBSTITUTE(SUBSTITUTE(SUBSTITUTE(SUBSTITUTE(SUBSTITUTE(SUBSTITUTE(LOWER(AE564&amp;""),CHAR(160),"")," ",""),".",""),"-",""),"/",""),"?",""),"_",""),",",""),"[",""),"]",""),"(",""),")",""),"*","")</f>
        <v/>
      </c>
      <c r="AY564" s="61" t="str">
        <f aca="false">SUBSTITUTE(SUBSTITUTE(SUBSTITUTE(SUBSTITUTE(SUBSTITUTE(SUBSTITUTE(SUBSTITUTE(SUBSTITUTE(SUBSTITUTE(SUBSTITUTE(SUBSTITUTE(SUBSTITUTE(SUBSTITUTE(LOWER(W564&amp;""),CHAR(160),"")," ",""),".",""),"-",""),"/",""),"?",""),"_",""),",",""),"[",""),"]",""),"(",""),")",""),"*","")</f>
        <v/>
      </c>
      <c r="AZ564" s="61" t="str">
        <f aca="false">SUBSTITUTE(SUBSTITUTE(SUBSTITUTE(SUBSTITUTE(SUBSTITUTE(SUBSTITUTE(SUBSTITUTE(SUBSTITUTE(SUBSTITUTE(SUBSTITUTE(SUBSTITUTE(SUBSTITUTE(SUBSTITUTE(LOWER(AC564&amp;""),CHAR(160),"")," ",""),".",""),"-",""),"/",""),"?",""),"_",""),",",""),"[",""),"]",""),"(",""),")",""),"*","")</f>
        <v/>
      </c>
      <c r="BA564" s="61" t="str">
        <f aca="false">SUBSTITUTE(SUBSTITUTE(SUBSTITUTE(SUBSTITUTE(SUBSTITUTE(SUBSTITUTE(SUBSTITUTE(SUBSTITUTE(SUBSTITUTE(SUBSTITUTE(SUBSTITUTE(SUBSTITUTE(SUBSTITUTE(LOWER(AA564&amp;""),CHAR(160),"")," ",""),".",""),"-",""),"/",""),"?",""),"_",""),",",""),"[",""),"]",""),"(",""),")",""),"*","")</f>
        <v/>
      </c>
      <c r="BB564" s="61" t="str">
        <f aca="false">IF(AND(TRIM(U564)="Pass",ISNUMBER(AF564)),IF(AF564&lt;&gt;0,"INVALID – qty variance: use Fail or Pass after CA",""),"")&amp;IF(AND(TRIM(U564)="Pass after CA",ISNUMBER(AF564)),IF(AF564&lt;&gt;0,"INVALID – after the corrective action the actual qty must equal expected (update Actual)",""),"")&amp;IF(AND(TRIM(U564)="Pass",TRIM(AB564)&lt;&gt;"",TRIM(AB564)&lt;&gt;"Closed"),"INVALID – corrective action not closed: use Fail, then Pass after CA","")&amp;IF(AND(TRIM(AA564)&lt;&gt;"",TRIM(AB564)=""),"INVALID – CA status missing for the recorded corrective action","")&amp;IF(AND(TRIM(U564)="Pass after CA",OR(OR(LEN(BA564)&lt;5,ISNUMBER(MATCH(BA564,L_Placeholder,0))),TRIM(AB564)&lt;&gt;"Closed")),"INVALID – corrective action not recorded/closed","")</f>
        <v/>
      </c>
    </row>
    <row r="565" customFormat="false" ht="39.75" hidden="false" customHeight="true" outlineLevel="0" collapsed="false">
      <c r="A565" s="57" t="s">
        <v>1233</v>
      </c>
      <c r="B565" s="57" t="s">
        <v>287</v>
      </c>
      <c r="C565" s="57" t="str">
        <f aca="false">Flights!$F$21</f>
        <v>MH0073</v>
      </c>
      <c r="D565" s="58" t="n">
        <f aca="false">Flights!$D$21</f>
        <v>46322</v>
      </c>
      <c r="E565" s="57" t="str">
        <f aca="false">Flights!$G$21&amp;"-"&amp;Flights!$H$21</f>
        <v>HKG-KUL</v>
      </c>
      <c r="F565" s="57" t="str">
        <f aca="false">Flights!$K$21</f>
        <v>BC</v>
      </c>
      <c r="G565" s="57" t="s">
        <v>437</v>
      </c>
      <c r="H565" s="57" t="s">
        <v>438</v>
      </c>
      <c r="I565" s="57" t="s">
        <v>477</v>
      </c>
      <c r="J565" s="57" t="s">
        <v>517</v>
      </c>
      <c r="K565" s="67" t="s">
        <v>479</v>
      </c>
      <c r="L565" s="67" t="s">
        <v>1206</v>
      </c>
      <c r="M565" s="67" t="s">
        <v>429</v>
      </c>
      <c r="N565" s="67" t="s">
        <v>361</v>
      </c>
      <c r="O565" s="67"/>
      <c r="P565" s="57" t="s">
        <v>279</v>
      </c>
      <c r="Q565" s="59" t="n">
        <f aca="false">ROUND((Flights!$AF$21)*1440,0)/1440</f>
        <v>46322.2847222222</v>
      </c>
      <c r="R565" s="59" t="n">
        <f aca="false">Q565+(IF(AND(INDEX(TZ_DSTS,MATCH(P565,TZ_STN,0))&lt;&gt;"",Q565&gt;=INDEX(TZ_DSTS,MATCH(P565,TZ_STN,0)),Q565&lt;INDEX(TZ_DSTE,MATCH(P565,TZ_STN,0))),INDEX(TZ_DST,MATCH(P565,TZ_STN,0)),INDEX(TZ_STD,MATCH(P565,TZ_STN,0))))/24</f>
        <v>46322.6180555556</v>
      </c>
      <c r="S565" s="59" t="n">
        <f aca="false">IF(ISNUMBER(Flights!$AZ$21),MAX(Q565-UpliftWindowH/24,Flights!$AZ$21),Q565-UpliftWindowH/24)</f>
        <v>46322.0347222222</v>
      </c>
      <c r="T565" s="60"/>
      <c r="U565" s="60"/>
      <c r="V565" s="60"/>
      <c r="W565" s="61"/>
      <c r="X565" s="60"/>
      <c r="Y565" s="60"/>
      <c r="Z565" s="60"/>
      <c r="AA565" s="60"/>
      <c r="AB565" s="60"/>
      <c r="AC565" s="60"/>
      <c r="AD565" s="66"/>
      <c r="AE565" s="60"/>
      <c r="AF565" s="61" t="str">
        <f aca="false">IF(AND(ISNUMBER(X565),ISNUMBER(Y565)),Y565-X565,"")</f>
        <v/>
      </c>
      <c r="AG565" s="62" t="str">
        <f aca="false">IF(ISNUMBER(AD565),AD565-(IF(AND(INDEX(TZ_DSTS,MATCH(P565,TZ_STN,0))&lt;&gt;"",(AD565-INDEX(TZ_STD,MATCH(P565,TZ_STN,0))/24)&gt;=INDEX(TZ_DSTS,MATCH(P565,TZ_STN,0)),(AD565-INDEX(TZ_STD,MATCH(P565,TZ_STN,0))/24)&lt;INDEX(TZ_DSTE,MATCH(P565,TZ_STN,0))),INDEX(TZ_DST,MATCH(P565,TZ_STN,0)),INDEX(TZ_STD,MATCH(P565,TZ_STN,0))))/24,"")</f>
        <v/>
      </c>
      <c r="AH565" s="65" t="str">
        <f aca="false">IFERROR(IF(N565="N/A – rule","N/A – RULE",IF(TRIM(U565)="N/A",IF(AT565=0,"INVALID – N/A not permitted for this check",IF(AND(TRIM(AB565)&lt;&gt;"",TRIM(AB565)&lt;&gt;"Closed"),"INVALID – corrective action still open",IF(AND(NOT(OR(LEN(AZ565)&lt;15,ISNUMBER(MATCH(AZ565,L_Placeholder,0)))),NOT(OR(LEN(AU565)&lt;2,ISNUMBER(MATCH(AU565,L_Placeholder,0)))),NOT(OR(LEN(AX565)&lt;2,ISNUMBER(MATCH(AX565,L_Placeholder,0)))),TRIM(AE565)&lt;&gt;TRIM(T565)),"N/A – JUSTIFIED","INVALID – N/A needs a real justification (15+ chars), PIC and a different verifier"))),IF(OR(TRIM(U565)="Pass",TRIM(U565)="Pass after CA"),IF(NOT(ISNUMBER(AD565)),"INVALID – completion time missing",IF(OR(LEN(AU565)&lt;2,ISNUMBER(MATCH(AU565,L_Placeholder,0))),"INVALID – PIC missing",IF(OR(LEN(AV565)&lt;2,ISNUMBER(MATCH(AV565,L_Placeholder,0))),"INVALID – result / assessment missing",IF(OR(OR(LEN(AW565)&lt;3,ISNUMBER(MATCH(AW565,L_Placeholder,0))),SUMPRODUCT(--ISNUMBER(SEARCH(L_EvidencePhrase,AW565)))&gt;0),"INVALID – evidence missing, placeholder or not yet on file",IF(OR(LEN(AX565)&lt;2,ISNUMBER(MATCH(AX565,L_Placeholder,0))),"INVALID – verifier missing",IF(AX565=AU565,"INVALID – verifier must be someone other than the PIC",IF(AND(TRIM(U565)="Pass",SUMPRODUCT(--ISNUMBER(SEARCH(L_ResultBad,AV565)))&gt;0),"INVALID – result describes a problem: use Fail, then Pass after CA",IF(AND(AQ565=1,OR(LEN(AY565)&lt;3,ISNUMBER(MATCH(AY565,L_Placeholder,0)))),"INVALID – batch ID missing or placeholder",IF(AND(AR565=1,OR(NOT(ISNUMBER(X565)),NOT(ISNUMBER(Y565)))),"INVALID – expected/actual qty missing",IF(AND(AR565=1,OR(X565&lt;=0,Y565&lt;0)),"INVALID – expected qty must be above 0 and actual not negative",IF(AH551="N/A – JUSTIFIED","INVALID – preparation row F17-T12-10 is N/A",IF(AND(AR565=1,ISNUMBER(X551),X565&lt;&gt;X551),"INVALID – expected qty differs from preparation check F17-T12-10",IF(BB565&lt;&gt;"",BB565,IF(AND(AS565=1,Documents!$J$21&lt;&gt;"ON FILE"),"INVALID – GLD not on file (Documents sheet)",IF(AND(AS565=2,Documents!$O$21&lt;&gt;"ON FILE"),"INVALID – menu checklist not on file (Documents sheet)",IF(AND(AS565=3,NOT(ISNUMBER(Flights!$AX$21))),"INVALID – enter carrying flight KUL departure (Flights AX)",IF(AND(AS565=3,OR(Flights!$AZ$21&gt;Flights!$AA$21,Flights!$AX$21&lt;Flights!$AA$21-3)),"INVALID – carrying flight (Flights AX) cannot arrive before this leg's STD, or is over 3 days early",IF(AG565&gt;AsOfUTC,"INVALID – completion time is in the future",IF(AND(ISNUMBER(S565),AG565&lt;S565),IF(H565="Physical uplift","INVALID – before uplift window (cannot confirm loading)","INVALID – before valid window"),IF(AG565&gt;Flights!$AA$21,"INVALID – completed after departure (cannot establish readiness)",IF(AND(H565="Preparation",AG565&gt;IF(ISNUMBER(Flights!$BA$21),MIN(Flights!$BA$21,Flights!$AA$21),Flights!$AA$21)),"INVALID – completed after loading / departure (cannot establish readiness)",IF(AND(H565="Physical uplift",AG565&gt;Q565),"INVALID – recorded after the loading flight departed",IF(AG565&gt;Q565,"COMPLETE – LATE","COMPLETE"))))))))))))))))))))))),IF(TRIM(U565)="Fail","FAIL – DISCREPANCY",IF(AND(TRIM(U565)&lt;&gt;"",TRIM(U565)&lt;&gt;"Not started",TRIM(U565)&lt;&gt;"In progress"),"INVALID – unrecognised status (use the list)",IF(AsOfUTC&gt;Q565,"OVERDUE",IF(N565="Clarification required","OPEN – CLARIFICATION","OPEN"))))))),"INVALID – error value in an input cell")</f>
        <v>OPEN</v>
      </c>
      <c r="AI565" s="61" t="n">
        <f aca="false">IF(OR(AH565="N/A – RULE",AH565="N/A – JUSTIFIED"),0,1)</f>
        <v>1</v>
      </c>
      <c r="AJ565" s="61" t="n">
        <f aca="false">IF(LEFT(AH565,8)="COMPLETE",1,0)</f>
        <v>0</v>
      </c>
      <c r="AK565" s="61" t="n">
        <f aca="false">IF(AND(AI565=1,AJ565=0,AsOfUTC&gt;Q565),1,0)</f>
        <v>0</v>
      </c>
      <c r="AL565" s="61" t="n">
        <f aca="false">IFERROR(IF(AND(AI565=1,OR(TRIM(U565)="Fail",AND(TRIM(AB565)&lt;&gt;"",TRIM(AB565)&lt;&gt;"Closed"),AND(ISNUMBER(AF565),AF565&lt;&gt;0,TRIM(U565)&lt;&gt;"Pass after CA"))),1,0),1)</f>
        <v>0</v>
      </c>
      <c r="AM565" s="61" t="n">
        <f aca="false">IF(LEFT(AH565,7)="INVALID",1,0)</f>
        <v>0</v>
      </c>
      <c r="AN565" s="61" t="n">
        <f aca="false">IF(AND(N565="Clarification required",AI565=1,AJ565=0),1,0)</f>
        <v>0</v>
      </c>
      <c r="AO565" s="61" t="str">
        <f aca="false">IF(AK565=1,SUM(AK$5:AK565),"")</f>
        <v/>
      </c>
      <c r="AP565" s="61" t="str">
        <f aca="false">IF(AL565=1,SUM(AL$5:AL565),"")</f>
        <v/>
      </c>
      <c r="AQ565" s="61" t="n">
        <v>0</v>
      </c>
      <c r="AR565" s="61" t="n">
        <v>0</v>
      </c>
      <c r="AS565" s="61" t="n">
        <v>0</v>
      </c>
      <c r="AT565" s="61" t="n">
        <v>0</v>
      </c>
      <c r="AU565" s="61" t="str">
        <f aca="false">SUBSTITUTE(SUBSTITUTE(SUBSTITUTE(SUBSTITUTE(SUBSTITUTE(SUBSTITUTE(SUBSTITUTE(SUBSTITUTE(SUBSTITUTE(SUBSTITUTE(SUBSTITUTE(SUBSTITUTE(SUBSTITUTE(LOWER(T565&amp;""),CHAR(160),"")," ",""),".",""),"-",""),"/",""),"?",""),"_",""),",",""),"[",""),"]",""),"(",""),")",""),"*","")</f>
        <v/>
      </c>
      <c r="AV565" s="61" t="str">
        <f aca="false">SUBSTITUTE(SUBSTITUTE(SUBSTITUTE(SUBSTITUTE(SUBSTITUTE(SUBSTITUTE(SUBSTITUTE(SUBSTITUTE(SUBSTITUTE(SUBSTITUTE(SUBSTITUTE(SUBSTITUTE(SUBSTITUTE(LOWER(V565&amp;""),CHAR(160),"")," ",""),".",""),"-",""),"/",""),"?",""),"_",""),",",""),"[",""),"]",""),"(",""),")",""),"*","")</f>
        <v/>
      </c>
      <c r="AW565" s="61" t="str">
        <f aca="false">SUBSTITUTE(SUBSTITUTE(SUBSTITUTE(SUBSTITUTE(SUBSTITUTE(SUBSTITUTE(SUBSTITUTE(SUBSTITUTE(SUBSTITUTE(SUBSTITUTE(SUBSTITUTE(SUBSTITUTE(SUBSTITUTE(LOWER(Z565&amp;""),CHAR(160),"")," ",""),".",""),"-",""),"/",""),"?",""),"_",""),",",""),"[",""),"]",""),"(",""),")",""),"*","")</f>
        <v/>
      </c>
      <c r="AX565" s="61" t="str">
        <f aca="false">SUBSTITUTE(SUBSTITUTE(SUBSTITUTE(SUBSTITUTE(SUBSTITUTE(SUBSTITUTE(SUBSTITUTE(SUBSTITUTE(SUBSTITUTE(SUBSTITUTE(SUBSTITUTE(SUBSTITUTE(SUBSTITUTE(LOWER(AE565&amp;""),CHAR(160),"")," ",""),".",""),"-",""),"/",""),"?",""),"_",""),",",""),"[",""),"]",""),"(",""),")",""),"*","")</f>
        <v/>
      </c>
      <c r="AY565" s="61" t="str">
        <f aca="false">SUBSTITUTE(SUBSTITUTE(SUBSTITUTE(SUBSTITUTE(SUBSTITUTE(SUBSTITUTE(SUBSTITUTE(SUBSTITUTE(SUBSTITUTE(SUBSTITUTE(SUBSTITUTE(SUBSTITUTE(SUBSTITUTE(LOWER(W565&amp;""),CHAR(160),"")," ",""),".",""),"-",""),"/",""),"?",""),"_",""),",",""),"[",""),"]",""),"(",""),")",""),"*","")</f>
        <v/>
      </c>
      <c r="AZ565" s="61" t="str">
        <f aca="false">SUBSTITUTE(SUBSTITUTE(SUBSTITUTE(SUBSTITUTE(SUBSTITUTE(SUBSTITUTE(SUBSTITUTE(SUBSTITUTE(SUBSTITUTE(SUBSTITUTE(SUBSTITUTE(SUBSTITUTE(SUBSTITUTE(LOWER(AC565&amp;""),CHAR(160),"")," ",""),".",""),"-",""),"/",""),"?",""),"_",""),",",""),"[",""),"]",""),"(",""),")",""),"*","")</f>
        <v/>
      </c>
      <c r="BA565" s="61" t="str">
        <f aca="false">SUBSTITUTE(SUBSTITUTE(SUBSTITUTE(SUBSTITUTE(SUBSTITUTE(SUBSTITUTE(SUBSTITUTE(SUBSTITUTE(SUBSTITUTE(SUBSTITUTE(SUBSTITUTE(SUBSTITUTE(SUBSTITUTE(LOWER(AA565&amp;""),CHAR(160),"")," ",""),".",""),"-",""),"/",""),"?",""),"_",""),",",""),"[",""),"]",""),"(",""),")",""),"*","")</f>
        <v/>
      </c>
      <c r="BB565" s="61" t="str">
        <f aca="false">IF(AND(TRIM(U565)="Pass",ISNUMBER(AF565)),IF(AF565&lt;&gt;0,"INVALID – qty variance: use Fail or Pass after CA",""),"")&amp;IF(AND(TRIM(U565)="Pass after CA",ISNUMBER(AF565)),IF(AF565&lt;&gt;0,"INVALID – after the corrective action the actual qty must equal expected (update Actual)",""),"")&amp;IF(AND(TRIM(U565)="Pass",TRIM(AB565)&lt;&gt;"",TRIM(AB565)&lt;&gt;"Closed"),"INVALID – corrective action not closed: use Fail, then Pass after CA","")&amp;IF(AND(TRIM(AA565)&lt;&gt;"",TRIM(AB565)=""),"INVALID – CA status missing for the recorded corrective action","")&amp;IF(AND(TRIM(U565)="Pass after CA",OR(OR(LEN(BA565)&lt;5,ISNUMBER(MATCH(BA565,L_Placeholder,0))),TRIM(AB565)&lt;&gt;"Closed")),"INVALID – corrective action not recorded/closed","")</f>
        <v/>
      </c>
    </row>
    <row r="566" customFormat="false" ht="39.75" hidden="false" customHeight="true" outlineLevel="0" collapsed="false">
      <c r="A566" s="57" t="s">
        <v>1234</v>
      </c>
      <c r="B566" s="57" t="s">
        <v>287</v>
      </c>
      <c r="C566" s="57" t="str">
        <f aca="false">Flights!$F$21</f>
        <v>MH0073</v>
      </c>
      <c r="D566" s="58" t="n">
        <f aca="false">Flights!$D$21</f>
        <v>46322</v>
      </c>
      <c r="E566" s="57" t="str">
        <f aca="false">Flights!$G$21&amp;"-"&amp;Flights!$H$21</f>
        <v>HKG-KUL</v>
      </c>
      <c r="F566" s="57" t="str">
        <f aca="false">Flights!$K$21</f>
        <v>BC</v>
      </c>
      <c r="G566" s="57" t="s">
        <v>437</v>
      </c>
      <c r="H566" s="57" t="s">
        <v>438</v>
      </c>
      <c r="I566" s="57" t="s">
        <v>477</v>
      </c>
      <c r="J566" s="57" t="s">
        <v>519</v>
      </c>
      <c r="K566" s="67" t="s">
        <v>479</v>
      </c>
      <c r="L566" s="67" t="s">
        <v>1208</v>
      </c>
      <c r="M566" s="67" t="s">
        <v>429</v>
      </c>
      <c r="N566" s="67" t="s">
        <v>361</v>
      </c>
      <c r="O566" s="67"/>
      <c r="P566" s="57" t="s">
        <v>279</v>
      </c>
      <c r="Q566" s="59" t="n">
        <f aca="false">ROUND((Flights!$AF$21)*1440,0)/1440</f>
        <v>46322.2847222222</v>
      </c>
      <c r="R566" s="59" t="n">
        <f aca="false">Q566+(IF(AND(INDEX(TZ_DSTS,MATCH(P566,TZ_STN,0))&lt;&gt;"",Q566&gt;=INDEX(TZ_DSTS,MATCH(P566,TZ_STN,0)),Q566&lt;INDEX(TZ_DSTE,MATCH(P566,TZ_STN,0))),INDEX(TZ_DST,MATCH(P566,TZ_STN,0)),INDEX(TZ_STD,MATCH(P566,TZ_STN,0))))/24</f>
        <v>46322.6180555556</v>
      </c>
      <c r="S566" s="59" t="n">
        <f aca="false">IF(ISNUMBER(Flights!$AZ$21),MAX(Q566-UpliftWindowH/24,Flights!$AZ$21),Q566-UpliftWindowH/24)</f>
        <v>46322.0347222222</v>
      </c>
      <c r="T566" s="60"/>
      <c r="U566" s="60"/>
      <c r="V566" s="60"/>
      <c r="W566" s="61"/>
      <c r="X566" s="60"/>
      <c r="Y566" s="60"/>
      <c r="Z566" s="60"/>
      <c r="AA566" s="60"/>
      <c r="AB566" s="60"/>
      <c r="AC566" s="60"/>
      <c r="AD566" s="66"/>
      <c r="AE566" s="60"/>
      <c r="AF566" s="61" t="str">
        <f aca="false">IF(AND(ISNUMBER(X566),ISNUMBER(Y566)),Y566-X566,"")</f>
        <v/>
      </c>
      <c r="AG566" s="62" t="str">
        <f aca="false">IF(ISNUMBER(AD566),AD566-(IF(AND(INDEX(TZ_DSTS,MATCH(P566,TZ_STN,0))&lt;&gt;"",(AD566-INDEX(TZ_STD,MATCH(P566,TZ_STN,0))/24)&gt;=INDEX(TZ_DSTS,MATCH(P566,TZ_STN,0)),(AD566-INDEX(TZ_STD,MATCH(P566,TZ_STN,0))/24)&lt;INDEX(TZ_DSTE,MATCH(P566,TZ_STN,0))),INDEX(TZ_DST,MATCH(P566,TZ_STN,0)),INDEX(TZ_STD,MATCH(P566,TZ_STN,0))))/24,"")</f>
        <v/>
      </c>
      <c r="AH566" s="65" t="str">
        <f aca="false">IFERROR(IF(N566="N/A – rule","N/A – RULE",IF(TRIM(U566)="N/A",IF(AT566=0,"INVALID – N/A not permitted for this check",IF(AND(TRIM(AB566)&lt;&gt;"",TRIM(AB566)&lt;&gt;"Closed"),"INVALID – corrective action still open",IF(AND(NOT(OR(LEN(AZ566)&lt;15,ISNUMBER(MATCH(AZ566,L_Placeholder,0)))),NOT(OR(LEN(AU566)&lt;2,ISNUMBER(MATCH(AU566,L_Placeholder,0)))),NOT(OR(LEN(AX566)&lt;2,ISNUMBER(MATCH(AX566,L_Placeholder,0)))),TRIM(AE566)&lt;&gt;TRIM(T566)),"N/A – JUSTIFIED","INVALID – N/A needs a real justification (15+ chars), PIC and a different verifier"))),IF(OR(TRIM(U566)="Pass",TRIM(U566)="Pass after CA"),IF(NOT(ISNUMBER(AD566)),"INVALID – completion time missing",IF(OR(LEN(AU566)&lt;2,ISNUMBER(MATCH(AU566,L_Placeholder,0))),"INVALID – PIC missing",IF(OR(LEN(AV566)&lt;2,ISNUMBER(MATCH(AV566,L_Placeholder,0))),"INVALID – result / assessment missing",IF(OR(OR(LEN(AW566)&lt;3,ISNUMBER(MATCH(AW566,L_Placeholder,0))),SUMPRODUCT(--ISNUMBER(SEARCH(L_EvidencePhrase,AW566)))&gt;0),"INVALID – evidence missing, placeholder or not yet on file",IF(OR(LEN(AX566)&lt;2,ISNUMBER(MATCH(AX566,L_Placeholder,0))),"INVALID – verifier missing",IF(AX566=AU566,"INVALID – verifier must be someone other than the PIC",IF(AND(TRIM(U566)="Pass",SUMPRODUCT(--ISNUMBER(SEARCH(L_ResultBad,AV566)))&gt;0),"INVALID – result describes a problem: use Fail, then Pass after CA",IF(AND(AQ566=1,OR(LEN(AY566)&lt;3,ISNUMBER(MATCH(AY566,L_Placeholder,0)))),"INVALID – batch ID missing or placeholder",IF(AND(AR566=1,OR(NOT(ISNUMBER(X566)),NOT(ISNUMBER(Y566)))),"INVALID – expected/actual qty missing",IF(AND(AR566=1,OR(X566&lt;=0,Y566&lt;0)),"INVALID – expected qty must be above 0 and actual not negative",IF(AH552="N/A – JUSTIFIED","INVALID – preparation row F17-T12-11 is N/A",IF(AND(AR566=1,ISNUMBER(X552),X566&lt;&gt;X552),"INVALID – expected qty differs from preparation check F17-T12-11",IF(BB566&lt;&gt;"",BB566,IF(AND(AS566=1,Documents!$J$21&lt;&gt;"ON FILE"),"INVALID – GLD not on file (Documents sheet)",IF(AND(AS566=2,Documents!$O$21&lt;&gt;"ON FILE"),"INVALID – menu checklist not on file (Documents sheet)",IF(AND(AS566=3,NOT(ISNUMBER(Flights!$AX$21))),"INVALID – enter carrying flight KUL departure (Flights AX)",IF(AND(AS566=3,OR(Flights!$AZ$21&gt;Flights!$AA$21,Flights!$AX$21&lt;Flights!$AA$21-3)),"INVALID – carrying flight (Flights AX) cannot arrive before this leg's STD, or is over 3 days early",IF(AG566&gt;AsOfUTC,"INVALID – completion time is in the future",IF(AND(ISNUMBER(S566),AG566&lt;S566),IF(H566="Physical uplift","INVALID – before uplift window (cannot confirm loading)","INVALID – before valid window"),IF(AG566&gt;Flights!$AA$21,"INVALID – completed after departure (cannot establish readiness)",IF(AND(H566="Preparation",AG566&gt;IF(ISNUMBER(Flights!$BA$21),MIN(Flights!$BA$21,Flights!$AA$21),Flights!$AA$21)),"INVALID – completed after loading / departure (cannot establish readiness)",IF(AND(H566="Physical uplift",AG566&gt;Q566),"INVALID – recorded after the loading flight departed",IF(AG566&gt;Q566,"COMPLETE – LATE","COMPLETE"))))))))))))))))))))))),IF(TRIM(U566)="Fail","FAIL – DISCREPANCY",IF(AND(TRIM(U566)&lt;&gt;"",TRIM(U566)&lt;&gt;"Not started",TRIM(U566)&lt;&gt;"In progress"),"INVALID – unrecognised status (use the list)",IF(AsOfUTC&gt;Q566,"OVERDUE",IF(N566="Clarification required","OPEN – CLARIFICATION","OPEN"))))))),"INVALID – error value in an input cell")</f>
        <v>OPEN</v>
      </c>
      <c r="AI566" s="61" t="n">
        <f aca="false">IF(OR(AH566="N/A – RULE",AH566="N/A – JUSTIFIED"),0,1)</f>
        <v>1</v>
      </c>
      <c r="AJ566" s="61" t="n">
        <f aca="false">IF(LEFT(AH566,8)="COMPLETE",1,0)</f>
        <v>0</v>
      </c>
      <c r="AK566" s="61" t="n">
        <f aca="false">IF(AND(AI566=1,AJ566=0,AsOfUTC&gt;Q566),1,0)</f>
        <v>0</v>
      </c>
      <c r="AL566" s="61" t="n">
        <f aca="false">IFERROR(IF(AND(AI566=1,OR(TRIM(U566)="Fail",AND(TRIM(AB566)&lt;&gt;"",TRIM(AB566)&lt;&gt;"Closed"),AND(ISNUMBER(AF566),AF566&lt;&gt;0,TRIM(U566)&lt;&gt;"Pass after CA"))),1,0),1)</f>
        <v>0</v>
      </c>
      <c r="AM566" s="61" t="n">
        <f aca="false">IF(LEFT(AH566,7)="INVALID",1,0)</f>
        <v>0</v>
      </c>
      <c r="AN566" s="61" t="n">
        <f aca="false">IF(AND(N566="Clarification required",AI566=1,AJ566=0),1,0)</f>
        <v>0</v>
      </c>
      <c r="AO566" s="61" t="str">
        <f aca="false">IF(AK566=1,SUM(AK$5:AK566),"")</f>
        <v/>
      </c>
      <c r="AP566" s="61" t="str">
        <f aca="false">IF(AL566=1,SUM(AL$5:AL566),"")</f>
        <v/>
      </c>
      <c r="AQ566" s="61" t="n">
        <v>0</v>
      </c>
      <c r="AR566" s="61" t="n">
        <v>0</v>
      </c>
      <c r="AS566" s="61" t="n">
        <v>0</v>
      </c>
      <c r="AT566" s="61" t="n">
        <v>0</v>
      </c>
      <c r="AU566" s="61" t="str">
        <f aca="false">SUBSTITUTE(SUBSTITUTE(SUBSTITUTE(SUBSTITUTE(SUBSTITUTE(SUBSTITUTE(SUBSTITUTE(SUBSTITUTE(SUBSTITUTE(SUBSTITUTE(SUBSTITUTE(SUBSTITUTE(SUBSTITUTE(LOWER(T566&amp;""),CHAR(160),"")," ",""),".",""),"-",""),"/",""),"?",""),"_",""),",",""),"[",""),"]",""),"(",""),")",""),"*","")</f>
        <v/>
      </c>
      <c r="AV566" s="61" t="str">
        <f aca="false">SUBSTITUTE(SUBSTITUTE(SUBSTITUTE(SUBSTITUTE(SUBSTITUTE(SUBSTITUTE(SUBSTITUTE(SUBSTITUTE(SUBSTITUTE(SUBSTITUTE(SUBSTITUTE(SUBSTITUTE(SUBSTITUTE(LOWER(V566&amp;""),CHAR(160),"")," ",""),".",""),"-",""),"/",""),"?",""),"_",""),",",""),"[",""),"]",""),"(",""),")",""),"*","")</f>
        <v/>
      </c>
      <c r="AW566" s="61" t="str">
        <f aca="false">SUBSTITUTE(SUBSTITUTE(SUBSTITUTE(SUBSTITUTE(SUBSTITUTE(SUBSTITUTE(SUBSTITUTE(SUBSTITUTE(SUBSTITUTE(SUBSTITUTE(SUBSTITUTE(SUBSTITUTE(SUBSTITUTE(LOWER(Z566&amp;""),CHAR(160),"")," ",""),".",""),"-",""),"/",""),"?",""),"_",""),",",""),"[",""),"]",""),"(",""),")",""),"*","")</f>
        <v/>
      </c>
      <c r="AX566" s="61" t="str">
        <f aca="false">SUBSTITUTE(SUBSTITUTE(SUBSTITUTE(SUBSTITUTE(SUBSTITUTE(SUBSTITUTE(SUBSTITUTE(SUBSTITUTE(SUBSTITUTE(SUBSTITUTE(SUBSTITUTE(SUBSTITUTE(SUBSTITUTE(LOWER(AE566&amp;""),CHAR(160),"")," ",""),".",""),"-",""),"/",""),"?",""),"_",""),",",""),"[",""),"]",""),"(",""),")",""),"*","")</f>
        <v/>
      </c>
      <c r="AY566" s="61" t="str">
        <f aca="false">SUBSTITUTE(SUBSTITUTE(SUBSTITUTE(SUBSTITUTE(SUBSTITUTE(SUBSTITUTE(SUBSTITUTE(SUBSTITUTE(SUBSTITUTE(SUBSTITUTE(SUBSTITUTE(SUBSTITUTE(SUBSTITUTE(LOWER(W566&amp;""),CHAR(160),"")," ",""),".",""),"-",""),"/",""),"?",""),"_",""),",",""),"[",""),"]",""),"(",""),")",""),"*","")</f>
        <v/>
      </c>
      <c r="AZ566" s="61" t="str">
        <f aca="false">SUBSTITUTE(SUBSTITUTE(SUBSTITUTE(SUBSTITUTE(SUBSTITUTE(SUBSTITUTE(SUBSTITUTE(SUBSTITUTE(SUBSTITUTE(SUBSTITUTE(SUBSTITUTE(SUBSTITUTE(SUBSTITUTE(LOWER(AC566&amp;""),CHAR(160),"")," ",""),".",""),"-",""),"/",""),"?",""),"_",""),",",""),"[",""),"]",""),"(",""),")",""),"*","")</f>
        <v/>
      </c>
      <c r="BA566" s="61" t="str">
        <f aca="false">SUBSTITUTE(SUBSTITUTE(SUBSTITUTE(SUBSTITUTE(SUBSTITUTE(SUBSTITUTE(SUBSTITUTE(SUBSTITUTE(SUBSTITUTE(SUBSTITUTE(SUBSTITUTE(SUBSTITUTE(SUBSTITUTE(LOWER(AA566&amp;""),CHAR(160),"")," ",""),".",""),"-",""),"/",""),"?",""),"_",""),",",""),"[",""),"]",""),"(",""),")",""),"*","")</f>
        <v/>
      </c>
      <c r="BB566" s="61" t="str">
        <f aca="false">IF(AND(TRIM(U566)="Pass",ISNUMBER(AF566)),IF(AF566&lt;&gt;0,"INVALID – qty variance: use Fail or Pass after CA",""),"")&amp;IF(AND(TRIM(U566)="Pass after CA",ISNUMBER(AF566)),IF(AF566&lt;&gt;0,"INVALID – after the corrective action the actual qty must equal expected (update Actual)",""),"")&amp;IF(AND(TRIM(U566)="Pass",TRIM(AB566)&lt;&gt;"",TRIM(AB566)&lt;&gt;"Closed"),"INVALID – corrective action not closed: use Fail, then Pass after CA","")&amp;IF(AND(TRIM(AA566)&lt;&gt;"",TRIM(AB566)=""),"INVALID – CA status missing for the recorded corrective action","")&amp;IF(AND(TRIM(U566)="Pass after CA",OR(OR(LEN(BA566)&lt;5,ISNUMBER(MATCH(BA566,L_Placeholder,0))),TRIM(AB566)&lt;&gt;"Closed")),"INVALID – corrective action not recorded/closed","")</f>
        <v/>
      </c>
    </row>
    <row r="567" customFormat="false" ht="78.75" hidden="false" customHeight="true" outlineLevel="0" collapsed="false">
      <c r="A567" s="57" t="s">
        <v>1235</v>
      </c>
      <c r="B567" s="57" t="s">
        <v>287</v>
      </c>
      <c r="C567" s="57" t="str">
        <f aca="false">Flights!$F$21</f>
        <v>MH0073</v>
      </c>
      <c r="D567" s="58" t="n">
        <f aca="false">Flights!$D$21</f>
        <v>46322</v>
      </c>
      <c r="E567" s="57" t="str">
        <f aca="false">Flights!$G$21&amp;"-"&amp;Flights!$H$21</f>
        <v>HKG-KUL</v>
      </c>
      <c r="F567" s="57" t="str">
        <f aca="false">Flights!$K$21</f>
        <v>BC</v>
      </c>
      <c r="G567" s="57" t="s">
        <v>437</v>
      </c>
      <c r="H567" s="57" t="s">
        <v>438</v>
      </c>
      <c r="I567" s="57" t="s">
        <v>477</v>
      </c>
      <c r="J567" s="57" t="s">
        <v>521</v>
      </c>
      <c r="K567" s="67" t="s">
        <v>479</v>
      </c>
      <c r="L567" s="67" t="s">
        <v>1210</v>
      </c>
      <c r="M567" s="67" t="s">
        <v>429</v>
      </c>
      <c r="N567" s="67" t="s">
        <v>422</v>
      </c>
      <c r="O567" s="67" t="s">
        <v>1236</v>
      </c>
      <c r="P567" s="57" t="s">
        <v>279</v>
      </c>
      <c r="Q567" s="59" t="n">
        <f aca="false">ROUND((Flights!$AF$21)*1440,0)/1440</f>
        <v>46322.2847222222</v>
      </c>
      <c r="R567" s="59" t="n">
        <f aca="false">Q567+(IF(AND(INDEX(TZ_DSTS,MATCH(P567,TZ_STN,0))&lt;&gt;"",Q567&gt;=INDEX(TZ_DSTS,MATCH(P567,TZ_STN,0)),Q567&lt;INDEX(TZ_DSTE,MATCH(P567,TZ_STN,0))),INDEX(TZ_DST,MATCH(P567,TZ_STN,0)),INDEX(TZ_STD,MATCH(P567,TZ_STN,0))))/24</f>
        <v>46322.6180555556</v>
      </c>
      <c r="S567" s="59" t="n">
        <f aca="false">IF(ISNUMBER(Flights!$AZ$21),MAX(Q567-UpliftWindowH/24,Flights!$AZ$21),Q567-UpliftWindowH/24)</f>
        <v>46322.0347222222</v>
      </c>
      <c r="T567" s="60"/>
      <c r="U567" s="60"/>
      <c r="V567" s="60"/>
      <c r="W567" s="61"/>
      <c r="X567" s="60"/>
      <c r="Y567" s="60"/>
      <c r="Z567" s="60"/>
      <c r="AA567" s="60"/>
      <c r="AB567" s="60"/>
      <c r="AC567" s="60"/>
      <c r="AD567" s="66"/>
      <c r="AE567" s="60"/>
      <c r="AF567" s="61" t="str">
        <f aca="false">IF(AND(ISNUMBER(X567),ISNUMBER(Y567)),Y567-X567,"")</f>
        <v/>
      </c>
      <c r="AG567" s="62" t="str">
        <f aca="false">IF(ISNUMBER(AD567),AD567-(IF(AND(INDEX(TZ_DSTS,MATCH(P567,TZ_STN,0))&lt;&gt;"",(AD567-INDEX(TZ_STD,MATCH(P567,TZ_STN,0))/24)&gt;=INDEX(TZ_DSTS,MATCH(P567,TZ_STN,0)),(AD567-INDEX(TZ_STD,MATCH(P567,TZ_STN,0))/24)&lt;INDEX(TZ_DSTE,MATCH(P567,TZ_STN,0))),INDEX(TZ_DST,MATCH(P567,TZ_STN,0)),INDEX(TZ_STD,MATCH(P567,TZ_STN,0))))/24,"")</f>
        <v/>
      </c>
      <c r="AH567" s="65" t="str">
        <f aca="false">IFERROR(IF(N567="N/A – rule","N/A – RULE",IF(TRIM(U567)="N/A",IF(AT567=0,"INVALID – N/A not permitted for this check",IF(AND(TRIM(AB567)&lt;&gt;"",TRIM(AB567)&lt;&gt;"Closed"),"INVALID – corrective action still open",IF(AND(NOT(OR(LEN(AZ567)&lt;15,ISNUMBER(MATCH(AZ567,L_Placeholder,0)))),NOT(OR(LEN(AU567)&lt;2,ISNUMBER(MATCH(AU567,L_Placeholder,0)))),NOT(OR(LEN(AX567)&lt;2,ISNUMBER(MATCH(AX567,L_Placeholder,0)))),TRIM(AE567)&lt;&gt;TRIM(T567)),"N/A – JUSTIFIED","INVALID – N/A needs a real justification (15+ chars), PIC and a different verifier"))),IF(OR(TRIM(U567)="Pass",TRIM(U567)="Pass after CA"),IF(NOT(ISNUMBER(AD567)),"INVALID – completion time missing",IF(OR(LEN(AU567)&lt;2,ISNUMBER(MATCH(AU567,L_Placeholder,0))),"INVALID – PIC missing",IF(OR(LEN(AV567)&lt;2,ISNUMBER(MATCH(AV567,L_Placeholder,0))),"INVALID – result / assessment missing",IF(OR(OR(LEN(AW567)&lt;3,ISNUMBER(MATCH(AW567,L_Placeholder,0))),SUMPRODUCT(--ISNUMBER(SEARCH(L_EvidencePhrase,AW567)))&gt;0),"INVALID – evidence missing, placeholder or not yet on file",IF(OR(LEN(AX567)&lt;2,ISNUMBER(MATCH(AX567,L_Placeholder,0))),"INVALID – verifier missing",IF(AX567=AU567,"INVALID – verifier must be someone other than the PIC",IF(AND(TRIM(U567)="Pass",SUMPRODUCT(--ISNUMBER(SEARCH(L_ResultBad,AV567)))&gt;0),"INVALID – result describes a problem: use Fail, then Pass after CA",IF(AND(AQ567=1,OR(LEN(AY567)&lt;3,ISNUMBER(MATCH(AY567,L_Placeholder,0)))),"INVALID – batch ID missing or placeholder",IF(AND(AR567=1,OR(NOT(ISNUMBER(X567)),NOT(ISNUMBER(Y567)))),"INVALID – expected/actual qty missing",IF(AND(AR567=1,OR(X567&lt;=0,Y567&lt;0)),"INVALID – expected qty must be above 0 and actual not negative",IF(AH553="N/A – JUSTIFIED","INVALID – preparation row F17-T12-12 is N/A",IF(AND(AR567=1,ISNUMBER(X553),X567&lt;&gt;X553),"INVALID – expected qty differs from preparation check F17-T12-12",IF(BB567&lt;&gt;"",BB567,IF(AND(AS567=1,Documents!$J$21&lt;&gt;"ON FILE"),"INVALID – GLD not on file (Documents sheet)",IF(AND(AS567=2,Documents!$O$21&lt;&gt;"ON FILE"),"INVALID – menu checklist not on file (Documents sheet)",IF(AND(AS567=3,NOT(ISNUMBER(Flights!$AX$21))),"INVALID – enter carrying flight KUL departure (Flights AX)",IF(AND(AS567=3,OR(Flights!$AZ$21&gt;Flights!$AA$21,Flights!$AX$21&lt;Flights!$AA$21-3)),"INVALID – carrying flight (Flights AX) cannot arrive before this leg's STD, or is over 3 days early",IF(AG567&gt;AsOfUTC,"INVALID – completion time is in the future",IF(AND(ISNUMBER(S567),AG567&lt;S567),IF(H567="Physical uplift","INVALID – before uplift window (cannot confirm loading)","INVALID – before valid window"),IF(AG567&gt;Flights!$AA$21,"INVALID – completed after departure (cannot establish readiness)",IF(AND(H567="Preparation",AG567&gt;IF(ISNUMBER(Flights!$BA$21),MIN(Flights!$BA$21,Flights!$AA$21),Flights!$AA$21)),"INVALID – completed after loading / departure (cannot establish readiness)",IF(AND(H567="Physical uplift",AG567&gt;Q567),"INVALID – recorded after the loading flight departed",IF(AG567&gt;Q567,"COMPLETE – LATE","COMPLETE"))))))))))))))))))))))),IF(TRIM(U567)="Fail","FAIL – DISCREPANCY",IF(AND(TRIM(U567)&lt;&gt;"",TRIM(U567)&lt;&gt;"Not started",TRIM(U567)&lt;&gt;"In progress"),"INVALID – unrecognised status (use the list)",IF(AsOfUTC&gt;Q567,"OVERDUE",IF(N567="Clarification required","OPEN – CLARIFICATION","OPEN"))))))),"INVALID – error value in an input cell")</f>
        <v>OPEN – CLARIFICATION</v>
      </c>
      <c r="AI567" s="61" t="n">
        <f aca="false">IF(OR(AH567="N/A – RULE",AH567="N/A – JUSTIFIED"),0,1)</f>
        <v>1</v>
      </c>
      <c r="AJ567" s="61" t="n">
        <f aca="false">IF(LEFT(AH567,8)="COMPLETE",1,0)</f>
        <v>0</v>
      </c>
      <c r="AK567" s="61" t="n">
        <f aca="false">IF(AND(AI567=1,AJ567=0,AsOfUTC&gt;Q567),1,0)</f>
        <v>0</v>
      </c>
      <c r="AL567" s="61" t="n">
        <f aca="false">IFERROR(IF(AND(AI567=1,OR(TRIM(U567)="Fail",AND(TRIM(AB567)&lt;&gt;"",TRIM(AB567)&lt;&gt;"Closed"),AND(ISNUMBER(AF567),AF567&lt;&gt;0,TRIM(U567)&lt;&gt;"Pass after CA"))),1,0),1)</f>
        <v>0</v>
      </c>
      <c r="AM567" s="61" t="n">
        <f aca="false">IF(LEFT(AH567,7)="INVALID",1,0)</f>
        <v>0</v>
      </c>
      <c r="AN567" s="61" t="n">
        <f aca="false">IF(AND(N567="Clarification required",AI567=1,AJ567=0),1,0)</f>
        <v>1</v>
      </c>
      <c r="AO567" s="61" t="str">
        <f aca="false">IF(AK567=1,SUM(AK$5:AK567),"")</f>
        <v/>
      </c>
      <c r="AP567" s="61" t="str">
        <f aca="false">IF(AL567=1,SUM(AL$5:AL567),"")</f>
        <v/>
      </c>
      <c r="AQ567" s="61" t="n">
        <v>0</v>
      </c>
      <c r="AR567" s="61" t="n">
        <v>0</v>
      </c>
      <c r="AS567" s="61" t="n">
        <v>0</v>
      </c>
      <c r="AT567" s="61" t="n">
        <v>1</v>
      </c>
      <c r="AU567" s="61" t="str">
        <f aca="false">SUBSTITUTE(SUBSTITUTE(SUBSTITUTE(SUBSTITUTE(SUBSTITUTE(SUBSTITUTE(SUBSTITUTE(SUBSTITUTE(SUBSTITUTE(SUBSTITUTE(SUBSTITUTE(SUBSTITUTE(SUBSTITUTE(LOWER(T567&amp;""),CHAR(160),"")," ",""),".",""),"-",""),"/",""),"?",""),"_",""),",",""),"[",""),"]",""),"(",""),")",""),"*","")</f>
        <v/>
      </c>
      <c r="AV567" s="61" t="str">
        <f aca="false">SUBSTITUTE(SUBSTITUTE(SUBSTITUTE(SUBSTITUTE(SUBSTITUTE(SUBSTITUTE(SUBSTITUTE(SUBSTITUTE(SUBSTITUTE(SUBSTITUTE(SUBSTITUTE(SUBSTITUTE(SUBSTITUTE(LOWER(V567&amp;""),CHAR(160),"")," ",""),".",""),"-",""),"/",""),"?",""),"_",""),",",""),"[",""),"]",""),"(",""),")",""),"*","")</f>
        <v/>
      </c>
      <c r="AW567" s="61" t="str">
        <f aca="false">SUBSTITUTE(SUBSTITUTE(SUBSTITUTE(SUBSTITUTE(SUBSTITUTE(SUBSTITUTE(SUBSTITUTE(SUBSTITUTE(SUBSTITUTE(SUBSTITUTE(SUBSTITUTE(SUBSTITUTE(SUBSTITUTE(LOWER(Z567&amp;""),CHAR(160),"")," ",""),".",""),"-",""),"/",""),"?",""),"_",""),",",""),"[",""),"]",""),"(",""),")",""),"*","")</f>
        <v/>
      </c>
      <c r="AX567" s="61" t="str">
        <f aca="false">SUBSTITUTE(SUBSTITUTE(SUBSTITUTE(SUBSTITUTE(SUBSTITUTE(SUBSTITUTE(SUBSTITUTE(SUBSTITUTE(SUBSTITUTE(SUBSTITUTE(SUBSTITUTE(SUBSTITUTE(SUBSTITUTE(LOWER(AE567&amp;""),CHAR(160),"")," ",""),".",""),"-",""),"/",""),"?",""),"_",""),",",""),"[",""),"]",""),"(",""),")",""),"*","")</f>
        <v/>
      </c>
      <c r="AY567" s="61" t="str">
        <f aca="false">SUBSTITUTE(SUBSTITUTE(SUBSTITUTE(SUBSTITUTE(SUBSTITUTE(SUBSTITUTE(SUBSTITUTE(SUBSTITUTE(SUBSTITUTE(SUBSTITUTE(SUBSTITUTE(SUBSTITUTE(SUBSTITUTE(LOWER(W567&amp;""),CHAR(160),"")," ",""),".",""),"-",""),"/",""),"?",""),"_",""),",",""),"[",""),"]",""),"(",""),")",""),"*","")</f>
        <v/>
      </c>
      <c r="AZ567" s="61" t="str">
        <f aca="false">SUBSTITUTE(SUBSTITUTE(SUBSTITUTE(SUBSTITUTE(SUBSTITUTE(SUBSTITUTE(SUBSTITUTE(SUBSTITUTE(SUBSTITUTE(SUBSTITUTE(SUBSTITUTE(SUBSTITUTE(SUBSTITUTE(LOWER(AC567&amp;""),CHAR(160),"")," ",""),".",""),"-",""),"/",""),"?",""),"_",""),",",""),"[",""),"]",""),"(",""),")",""),"*","")</f>
        <v/>
      </c>
      <c r="BA567" s="61" t="str">
        <f aca="false">SUBSTITUTE(SUBSTITUTE(SUBSTITUTE(SUBSTITUTE(SUBSTITUTE(SUBSTITUTE(SUBSTITUTE(SUBSTITUTE(SUBSTITUTE(SUBSTITUTE(SUBSTITUTE(SUBSTITUTE(SUBSTITUTE(LOWER(AA567&amp;""),CHAR(160),"")," ",""),".",""),"-",""),"/",""),"?",""),"_",""),",",""),"[",""),"]",""),"(",""),")",""),"*","")</f>
        <v/>
      </c>
      <c r="BB567" s="61" t="str">
        <f aca="false">IF(AND(TRIM(U567)="Pass",ISNUMBER(AF567)),IF(AF567&lt;&gt;0,"INVALID – qty variance: use Fail or Pass after CA",""),"")&amp;IF(AND(TRIM(U567)="Pass after CA",ISNUMBER(AF567)),IF(AF567&lt;&gt;0,"INVALID – after the corrective action the actual qty must equal expected (update Actual)",""),"")&amp;IF(AND(TRIM(U567)="Pass",TRIM(AB567)&lt;&gt;"",TRIM(AB567)&lt;&gt;"Closed"),"INVALID – corrective action not closed: use Fail, then Pass after CA","")&amp;IF(AND(TRIM(AA567)&lt;&gt;"",TRIM(AB567)=""),"INVALID – CA status missing for the recorded corrective action","")&amp;IF(AND(TRIM(U567)="Pass after CA",OR(OR(LEN(BA567)&lt;5,ISNUMBER(MATCH(BA567,L_Placeholder,0))),TRIM(AB567)&lt;&gt;"Closed")),"INVALID – corrective action not recorded/closed","")</f>
        <v/>
      </c>
    </row>
    <row r="568" customFormat="false" ht="78.75" hidden="false" customHeight="true" outlineLevel="0" collapsed="false">
      <c r="A568" s="57" t="s">
        <v>1237</v>
      </c>
      <c r="B568" s="57" t="s">
        <v>287</v>
      </c>
      <c r="C568" s="57" t="str">
        <f aca="false">Flights!$F$21</f>
        <v>MH0073</v>
      </c>
      <c r="D568" s="58" t="n">
        <f aca="false">Flights!$D$21</f>
        <v>46322</v>
      </c>
      <c r="E568" s="57" t="str">
        <f aca="false">Flights!$G$21&amp;"-"&amp;Flights!$H$21</f>
        <v>HKG-KUL</v>
      </c>
      <c r="F568" s="57" t="str">
        <f aca="false">Flights!$K$21</f>
        <v>BC</v>
      </c>
      <c r="G568" s="57" t="s">
        <v>437</v>
      </c>
      <c r="H568" s="57" t="s">
        <v>438</v>
      </c>
      <c r="I568" s="57" t="s">
        <v>477</v>
      </c>
      <c r="J568" s="57" t="s">
        <v>524</v>
      </c>
      <c r="K568" s="67" t="s">
        <v>479</v>
      </c>
      <c r="L568" s="67" t="s">
        <v>1213</v>
      </c>
      <c r="M568" s="67" t="s">
        <v>429</v>
      </c>
      <c r="N568" s="67" t="s">
        <v>422</v>
      </c>
      <c r="O568" s="67" t="s">
        <v>1236</v>
      </c>
      <c r="P568" s="57" t="s">
        <v>279</v>
      </c>
      <c r="Q568" s="59" t="n">
        <f aca="false">ROUND((Flights!$AF$21)*1440,0)/1440</f>
        <v>46322.2847222222</v>
      </c>
      <c r="R568" s="59" t="n">
        <f aca="false">Q568+(IF(AND(INDEX(TZ_DSTS,MATCH(P568,TZ_STN,0))&lt;&gt;"",Q568&gt;=INDEX(TZ_DSTS,MATCH(P568,TZ_STN,0)),Q568&lt;INDEX(TZ_DSTE,MATCH(P568,TZ_STN,0))),INDEX(TZ_DST,MATCH(P568,TZ_STN,0)),INDEX(TZ_STD,MATCH(P568,TZ_STN,0))))/24</f>
        <v>46322.6180555556</v>
      </c>
      <c r="S568" s="59" t="n">
        <f aca="false">IF(ISNUMBER(Flights!$AZ$21),MAX(Q568-UpliftWindowH/24,Flights!$AZ$21),Q568-UpliftWindowH/24)</f>
        <v>46322.0347222222</v>
      </c>
      <c r="T568" s="60"/>
      <c r="U568" s="60"/>
      <c r="V568" s="60"/>
      <c r="W568" s="61"/>
      <c r="X568" s="60"/>
      <c r="Y568" s="60"/>
      <c r="Z568" s="60"/>
      <c r="AA568" s="60"/>
      <c r="AB568" s="60"/>
      <c r="AC568" s="60"/>
      <c r="AD568" s="66"/>
      <c r="AE568" s="60"/>
      <c r="AF568" s="61" t="str">
        <f aca="false">IF(AND(ISNUMBER(X568),ISNUMBER(Y568)),Y568-X568,"")</f>
        <v/>
      </c>
      <c r="AG568" s="62" t="str">
        <f aca="false">IF(ISNUMBER(AD568),AD568-(IF(AND(INDEX(TZ_DSTS,MATCH(P568,TZ_STN,0))&lt;&gt;"",(AD568-INDEX(TZ_STD,MATCH(P568,TZ_STN,0))/24)&gt;=INDEX(TZ_DSTS,MATCH(P568,TZ_STN,0)),(AD568-INDEX(TZ_STD,MATCH(P568,TZ_STN,0))/24)&lt;INDEX(TZ_DSTE,MATCH(P568,TZ_STN,0))),INDEX(TZ_DST,MATCH(P568,TZ_STN,0)),INDEX(TZ_STD,MATCH(P568,TZ_STN,0))))/24,"")</f>
        <v/>
      </c>
      <c r="AH568" s="65" t="str">
        <f aca="false">IFERROR(IF(N568="N/A – rule","N/A – RULE",IF(TRIM(U568)="N/A",IF(AT568=0,"INVALID – N/A not permitted for this check",IF(AND(TRIM(AB568)&lt;&gt;"",TRIM(AB568)&lt;&gt;"Closed"),"INVALID – corrective action still open",IF(AND(NOT(OR(LEN(AZ568)&lt;15,ISNUMBER(MATCH(AZ568,L_Placeholder,0)))),NOT(OR(LEN(AU568)&lt;2,ISNUMBER(MATCH(AU568,L_Placeholder,0)))),NOT(OR(LEN(AX568)&lt;2,ISNUMBER(MATCH(AX568,L_Placeholder,0)))),TRIM(AE568)&lt;&gt;TRIM(T568)),"N/A – JUSTIFIED","INVALID – N/A needs a real justification (15+ chars), PIC and a different verifier"))),IF(OR(TRIM(U568)="Pass",TRIM(U568)="Pass after CA"),IF(NOT(ISNUMBER(AD568)),"INVALID – completion time missing",IF(OR(LEN(AU568)&lt;2,ISNUMBER(MATCH(AU568,L_Placeholder,0))),"INVALID – PIC missing",IF(OR(LEN(AV568)&lt;2,ISNUMBER(MATCH(AV568,L_Placeholder,0))),"INVALID – result / assessment missing",IF(OR(OR(LEN(AW568)&lt;3,ISNUMBER(MATCH(AW568,L_Placeholder,0))),SUMPRODUCT(--ISNUMBER(SEARCH(L_EvidencePhrase,AW568)))&gt;0),"INVALID – evidence missing, placeholder or not yet on file",IF(OR(LEN(AX568)&lt;2,ISNUMBER(MATCH(AX568,L_Placeholder,0))),"INVALID – verifier missing",IF(AX568=AU568,"INVALID – verifier must be someone other than the PIC",IF(AND(TRIM(U568)="Pass",SUMPRODUCT(--ISNUMBER(SEARCH(L_ResultBad,AV568)))&gt;0),"INVALID – result describes a problem: use Fail, then Pass after CA",IF(AND(AQ568=1,OR(LEN(AY568)&lt;3,ISNUMBER(MATCH(AY568,L_Placeholder,0)))),"INVALID – batch ID missing or placeholder",IF(AND(AR568=1,OR(NOT(ISNUMBER(X568)),NOT(ISNUMBER(Y568)))),"INVALID – expected/actual qty missing",IF(AND(AR568=1,OR(X568&lt;=0,Y568&lt;0)),"INVALID – expected qty must be above 0 and actual not negative",IF(AH554="N/A – JUSTIFIED","INVALID – preparation row F17-T12-13 is N/A",IF(AND(AR568=1,ISNUMBER(X554),X568&lt;&gt;X554),"INVALID – expected qty differs from preparation check F17-T12-13",IF(BB568&lt;&gt;"",BB568,IF(AND(AS568=1,Documents!$J$21&lt;&gt;"ON FILE"),"INVALID – GLD not on file (Documents sheet)",IF(AND(AS568=2,Documents!$O$21&lt;&gt;"ON FILE"),"INVALID – menu checklist not on file (Documents sheet)",IF(AND(AS568=3,NOT(ISNUMBER(Flights!$AX$21))),"INVALID – enter carrying flight KUL departure (Flights AX)",IF(AND(AS568=3,OR(Flights!$AZ$21&gt;Flights!$AA$21,Flights!$AX$21&lt;Flights!$AA$21-3)),"INVALID – carrying flight (Flights AX) cannot arrive before this leg's STD, or is over 3 days early",IF(AG568&gt;AsOfUTC,"INVALID – completion time is in the future",IF(AND(ISNUMBER(S568),AG568&lt;S568),IF(H568="Physical uplift","INVALID – before uplift window (cannot confirm loading)","INVALID – before valid window"),IF(AG568&gt;Flights!$AA$21,"INVALID – completed after departure (cannot establish readiness)",IF(AND(H568="Preparation",AG568&gt;IF(ISNUMBER(Flights!$BA$21),MIN(Flights!$BA$21,Flights!$AA$21),Flights!$AA$21)),"INVALID – completed after loading / departure (cannot establish readiness)",IF(AND(H568="Physical uplift",AG568&gt;Q568),"INVALID – recorded after the loading flight departed",IF(AG568&gt;Q568,"COMPLETE – LATE","COMPLETE"))))))))))))))))))))))),IF(TRIM(U568)="Fail","FAIL – DISCREPANCY",IF(AND(TRIM(U568)&lt;&gt;"",TRIM(U568)&lt;&gt;"Not started",TRIM(U568)&lt;&gt;"In progress"),"INVALID – unrecognised status (use the list)",IF(AsOfUTC&gt;Q568,"OVERDUE",IF(N568="Clarification required","OPEN – CLARIFICATION","OPEN"))))))),"INVALID – error value in an input cell")</f>
        <v>OPEN – CLARIFICATION</v>
      </c>
      <c r="AI568" s="61" t="n">
        <f aca="false">IF(OR(AH568="N/A – RULE",AH568="N/A – JUSTIFIED"),0,1)</f>
        <v>1</v>
      </c>
      <c r="AJ568" s="61" t="n">
        <f aca="false">IF(LEFT(AH568,8)="COMPLETE",1,0)</f>
        <v>0</v>
      </c>
      <c r="AK568" s="61" t="n">
        <f aca="false">IF(AND(AI568=1,AJ568=0,AsOfUTC&gt;Q568),1,0)</f>
        <v>0</v>
      </c>
      <c r="AL568" s="61" t="n">
        <f aca="false">IFERROR(IF(AND(AI568=1,OR(TRIM(U568)="Fail",AND(TRIM(AB568)&lt;&gt;"",TRIM(AB568)&lt;&gt;"Closed"),AND(ISNUMBER(AF568),AF568&lt;&gt;0,TRIM(U568)&lt;&gt;"Pass after CA"))),1,0),1)</f>
        <v>0</v>
      </c>
      <c r="AM568" s="61" t="n">
        <f aca="false">IF(LEFT(AH568,7)="INVALID",1,0)</f>
        <v>0</v>
      </c>
      <c r="AN568" s="61" t="n">
        <f aca="false">IF(AND(N568="Clarification required",AI568=1,AJ568=0),1,0)</f>
        <v>1</v>
      </c>
      <c r="AO568" s="61" t="str">
        <f aca="false">IF(AK568=1,SUM(AK$5:AK568),"")</f>
        <v/>
      </c>
      <c r="AP568" s="61" t="str">
        <f aca="false">IF(AL568=1,SUM(AL$5:AL568),"")</f>
        <v/>
      </c>
      <c r="AQ568" s="61" t="n">
        <v>0</v>
      </c>
      <c r="AR568" s="61" t="n">
        <v>0</v>
      </c>
      <c r="AS568" s="61" t="n">
        <v>0</v>
      </c>
      <c r="AT568" s="61" t="n">
        <v>1</v>
      </c>
      <c r="AU568" s="61" t="str">
        <f aca="false">SUBSTITUTE(SUBSTITUTE(SUBSTITUTE(SUBSTITUTE(SUBSTITUTE(SUBSTITUTE(SUBSTITUTE(SUBSTITUTE(SUBSTITUTE(SUBSTITUTE(SUBSTITUTE(SUBSTITUTE(SUBSTITUTE(LOWER(T568&amp;""),CHAR(160),"")," ",""),".",""),"-",""),"/",""),"?",""),"_",""),",",""),"[",""),"]",""),"(",""),")",""),"*","")</f>
        <v/>
      </c>
      <c r="AV568" s="61" t="str">
        <f aca="false">SUBSTITUTE(SUBSTITUTE(SUBSTITUTE(SUBSTITUTE(SUBSTITUTE(SUBSTITUTE(SUBSTITUTE(SUBSTITUTE(SUBSTITUTE(SUBSTITUTE(SUBSTITUTE(SUBSTITUTE(SUBSTITUTE(LOWER(V568&amp;""),CHAR(160),"")," ",""),".",""),"-",""),"/",""),"?",""),"_",""),",",""),"[",""),"]",""),"(",""),")",""),"*","")</f>
        <v/>
      </c>
      <c r="AW568" s="61" t="str">
        <f aca="false">SUBSTITUTE(SUBSTITUTE(SUBSTITUTE(SUBSTITUTE(SUBSTITUTE(SUBSTITUTE(SUBSTITUTE(SUBSTITUTE(SUBSTITUTE(SUBSTITUTE(SUBSTITUTE(SUBSTITUTE(SUBSTITUTE(LOWER(Z568&amp;""),CHAR(160),"")," ",""),".",""),"-",""),"/",""),"?",""),"_",""),",",""),"[",""),"]",""),"(",""),")",""),"*","")</f>
        <v/>
      </c>
      <c r="AX568" s="61" t="str">
        <f aca="false">SUBSTITUTE(SUBSTITUTE(SUBSTITUTE(SUBSTITUTE(SUBSTITUTE(SUBSTITUTE(SUBSTITUTE(SUBSTITUTE(SUBSTITUTE(SUBSTITUTE(SUBSTITUTE(SUBSTITUTE(SUBSTITUTE(LOWER(AE568&amp;""),CHAR(160),"")," ",""),".",""),"-",""),"/",""),"?",""),"_",""),",",""),"[",""),"]",""),"(",""),")",""),"*","")</f>
        <v/>
      </c>
      <c r="AY568" s="61" t="str">
        <f aca="false">SUBSTITUTE(SUBSTITUTE(SUBSTITUTE(SUBSTITUTE(SUBSTITUTE(SUBSTITUTE(SUBSTITUTE(SUBSTITUTE(SUBSTITUTE(SUBSTITUTE(SUBSTITUTE(SUBSTITUTE(SUBSTITUTE(LOWER(W568&amp;""),CHAR(160),"")," ",""),".",""),"-",""),"/",""),"?",""),"_",""),",",""),"[",""),"]",""),"(",""),")",""),"*","")</f>
        <v/>
      </c>
      <c r="AZ568" s="61" t="str">
        <f aca="false">SUBSTITUTE(SUBSTITUTE(SUBSTITUTE(SUBSTITUTE(SUBSTITUTE(SUBSTITUTE(SUBSTITUTE(SUBSTITUTE(SUBSTITUTE(SUBSTITUTE(SUBSTITUTE(SUBSTITUTE(SUBSTITUTE(LOWER(AC568&amp;""),CHAR(160),"")," ",""),".",""),"-",""),"/",""),"?",""),"_",""),",",""),"[",""),"]",""),"(",""),")",""),"*","")</f>
        <v/>
      </c>
      <c r="BA568" s="61" t="str">
        <f aca="false">SUBSTITUTE(SUBSTITUTE(SUBSTITUTE(SUBSTITUTE(SUBSTITUTE(SUBSTITUTE(SUBSTITUTE(SUBSTITUTE(SUBSTITUTE(SUBSTITUTE(SUBSTITUTE(SUBSTITUTE(SUBSTITUTE(LOWER(AA568&amp;""),CHAR(160),"")," ",""),".",""),"-",""),"/",""),"?",""),"_",""),",",""),"[",""),"]",""),"(",""),")",""),"*","")</f>
        <v/>
      </c>
      <c r="BB568" s="61" t="str">
        <f aca="false">IF(AND(TRIM(U568)="Pass",ISNUMBER(AF568)),IF(AF568&lt;&gt;0,"INVALID – qty variance: use Fail or Pass after CA",""),"")&amp;IF(AND(TRIM(U568)="Pass after CA",ISNUMBER(AF568)),IF(AF568&lt;&gt;0,"INVALID – after the corrective action the actual qty must equal expected (update Actual)",""),"")&amp;IF(AND(TRIM(U568)="Pass",TRIM(AB568)&lt;&gt;"",TRIM(AB568)&lt;&gt;"Closed"),"INVALID – corrective action not closed: use Fail, then Pass after CA","")&amp;IF(AND(TRIM(AA568)&lt;&gt;"",TRIM(AB568)=""),"INVALID – CA status missing for the recorded corrective action","")&amp;IF(AND(TRIM(U568)="Pass after CA",OR(OR(LEN(BA568)&lt;5,ISNUMBER(MATCH(BA568,L_Placeholder,0))),TRIM(AB568)&lt;&gt;"Closed")),"INVALID – corrective action not recorded/closed","")</f>
        <v/>
      </c>
    </row>
    <row r="569" customFormat="false" ht="39.75" hidden="false" customHeight="true" outlineLevel="0" collapsed="false">
      <c r="A569" s="57" t="s">
        <v>1238</v>
      </c>
      <c r="B569" s="57" t="s">
        <v>287</v>
      </c>
      <c r="C569" s="57" t="str">
        <f aca="false">Flights!$F$21</f>
        <v>MH0073</v>
      </c>
      <c r="D569" s="58" t="n">
        <f aca="false">Flights!$D$21</f>
        <v>46322</v>
      </c>
      <c r="E569" s="57" t="str">
        <f aca="false">Flights!$G$21&amp;"-"&amp;Flights!$H$21</f>
        <v>HKG-KUL</v>
      </c>
      <c r="F569" s="57" t="str">
        <f aca="false">Flights!$K$21</f>
        <v>BC</v>
      </c>
      <c r="G569" s="57" t="s">
        <v>437</v>
      </c>
      <c r="H569" s="57" t="s">
        <v>438</v>
      </c>
      <c r="I569" s="57" t="s">
        <v>477</v>
      </c>
      <c r="J569" s="57" t="s">
        <v>526</v>
      </c>
      <c r="K569" s="67" t="s">
        <v>497</v>
      </c>
      <c r="L569" s="67" t="s">
        <v>1215</v>
      </c>
      <c r="M569" s="67" t="s">
        <v>429</v>
      </c>
      <c r="N569" s="67" t="s">
        <v>361</v>
      </c>
      <c r="O569" s="67" t="s">
        <v>527</v>
      </c>
      <c r="P569" s="57" t="s">
        <v>279</v>
      </c>
      <c r="Q569" s="59" t="n">
        <f aca="false">ROUND((Flights!$AF$21)*1440,0)/1440</f>
        <v>46322.2847222222</v>
      </c>
      <c r="R569" s="59" t="n">
        <f aca="false">Q569+(IF(AND(INDEX(TZ_DSTS,MATCH(P569,TZ_STN,0))&lt;&gt;"",Q569&gt;=INDEX(TZ_DSTS,MATCH(P569,TZ_STN,0)),Q569&lt;INDEX(TZ_DSTE,MATCH(P569,TZ_STN,0))),INDEX(TZ_DST,MATCH(P569,TZ_STN,0)),INDEX(TZ_STD,MATCH(P569,TZ_STN,0))))/24</f>
        <v>46322.6180555556</v>
      </c>
      <c r="S569" s="59" t="n">
        <f aca="false">IF(ISNUMBER(Flights!$AZ$21),MAX(Q569-UpliftWindowH/24,Flights!$AZ$21),Q569-UpliftWindowH/24)</f>
        <v>46322.0347222222</v>
      </c>
      <c r="T569" s="60"/>
      <c r="U569" s="60"/>
      <c r="V569" s="60"/>
      <c r="W569" s="61"/>
      <c r="X569" s="60"/>
      <c r="Y569" s="60"/>
      <c r="Z569" s="60"/>
      <c r="AA569" s="60"/>
      <c r="AB569" s="60"/>
      <c r="AC569" s="60"/>
      <c r="AD569" s="66"/>
      <c r="AE569" s="60"/>
      <c r="AF569" s="61" t="str">
        <f aca="false">IF(AND(ISNUMBER(X569),ISNUMBER(Y569)),Y569-X569,"")</f>
        <v/>
      </c>
      <c r="AG569" s="62" t="str">
        <f aca="false">IF(ISNUMBER(AD569),AD569-(IF(AND(INDEX(TZ_DSTS,MATCH(P569,TZ_STN,0))&lt;&gt;"",(AD569-INDEX(TZ_STD,MATCH(P569,TZ_STN,0))/24)&gt;=INDEX(TZ_DSTS,MATCH(P569,TZ_STN,0)),(AD569-INDEX(TZ_STD,MATCH(P569,TZ_STN,0))/24)&lt;INDEX(TZ_DSTE,MATCH(P569,TZ_STN,0))),INDEX(TZ_DST,MATCH(P569,TZ_STN,0)),INDEX(TZ_STD,MATCH(P569,TZ_STN,0))))/24,"")</f>
        <v/>
      </c>
      <c r="AH569" s="65" t="str">
        <f aca="false">IFERROR(IF(N569="N/A – rule","N/A – RULE",IF(TRIM(U569)="N/A",IF(AT569=0,"INVALID – N/A not permitted for this check",IF(AND(TRIM(AB569)&lt;&gt;"",TRIM(AB569)&lt;&gt;"Closed"),"INVALID – corrective action still open",IF(AND(NOT(OR(LEN(AZ569)&lt;15,ISNUMBER(MATCH(AZ569,L_Placeholder,0)))),NOT(OR(LEN(AU569)&lt;2,ISNUMBER(MATCH(AU569,L_Placeholder,0)))),NOT(OR(LEN(AX569)&lt;2,ISNUMBER(MATCH(AX569,L_Placeholder,0)))),TRIM(AE569)&lt;&gt;TRIM(T569)),"N/A – JUSTIFIED","INVALID – N/A needs a real justification (15+ chars), PIC and a different verifier"))),IF(OR(TRIM(U569)="Pass",TRIM(U569)="Pass after CA"),IF(NOT(ISNUMBER(AD569)),"INVALID – completion time missing",IF(OR(LEN(AU569)&lt;2,ISNUMBER(MATCH(AU569,L_Placeholder,0))),"INVALID – PIC missing",IF(OR(LEN(AV569)&lt;2,ISNUMBER(MATCH(AV569,L_Placeholder,0))),"INVALID – result / assessment missing",IF(OR(OR(LEN(AW569)&lt;3,ISNUMBER(MATCH(AW569,L_Placeholder,0))),SUMPRODUCT(--ISNUMBER(SEARCH(L_EvidencePhrase,AW569)))&gt;0),"INVALID – evidence missing, placeholder or not yet on file",IF(OR(LEN(AX569)&lt;2,ISNUMBER(MATCH(AX569,L_Placeholder,0))),"INVALID – verifier missing",IF(AX569=AU569,"INVALID – verifier must be someone other than the PIC",IF(AND(TRIM(U569)="Pass",SUMPRODUCT(--ISNUMBER(SEARCH(L_ResultBad,AV569)))&gt;0),"INVALID – result describes a problem: use Fail, then Pass after CA",IF(AND(AQ569=1,OR(LEN(AY569)&lt;3,ISNUMBER(MATCH(AY569,L_Placeholder,0)))),"INVALID – batch ID missing or placeholder",IF(AND(AR569=1,OR(NOT(ISNUMBER(X569)),NOT(ISNUMBER(Y569)))),"INVALID – expected/actual qty missing",IF(AND(AR569=1,OR(X569&lt;=0,Y569&lt;0)),"INVALID – expected qty must be above 0 and actual not negative",IF(AH555="N/A – JUSTIFIED","INVALID – preparation row F17-T12-14 is N/A",IF(AND(AR569=1,ISNUMBER(X555),X569&lt;&gt;X555),"INVALID – expected qty differs from preparation check F17-T12-14",IF(BB569&lt;&gt;"",BB569,IF(AND(AS569=1,Documents!$J$21&lt;&gt;"ON FILE"),"INVALID – GLD not on file (Documents sheet)",IF(AND(AS569=2,Documents!$O$21&lt;&gt;"ON FILE"),"INVALID – menu checklist not on file (Documents sheet)",IF(AND(AS569=3,NOT(ISNUMBER(Flights!$AX$21))),"INVALID – enter carrying flight KUL departure (Flights AX)",IF(AND(AS569=3,OR(Flights!$AZ$21&gt;Flights!$AA$21,Flights!$AX$21&lt;Flights!$AA$21-3)),"INVALID – carrying flight (Flights AX) cannot arrive before this leg's STD, or is over 3 days early",IF(AG569&gt;AsOfUTC,"INVALID – completion time is in the future",IF(AND(ISNUMBER(S569),AG569&lt;S569),IF(H569="Physical uplift","INVALID – before uplift window (cannot confirm loading)","INVALID – before valid window"),IF(AG569&gt;Flights!$AA$21,"INVALID – completed after departure (cannot establish readiness)",IF(AND(H569="Preparation",AG569&gt;IF(ISNUMBER(Flights!$BA$21),MIN(Flights!$BA$21,Flights!$AA$21),Flights!$AA$21)),"INVALID – completed after loading / departure (cannot establish readiness)",IF(AND(H569="Physical uplift",AG569&gt;Q569),"INVALID – recorded after the loading flight departed",IF(AG569&gt;Q569,"COMPLETE – LATE","COMPLETE"))))))))))))))))))))))),IF(TRIM(U569)="Fail","FAIL – DISCREPANCY",IF(AND(TRIM(U569)&lt;&gt;"",TRIM(U569)&lt;&gt;"Not started",TRIM(U569)&lt;&gt;"In progress"),"INVALID – unrecognised status (use the list)",IF(AsOfUTC&gt;Q569,"OVERDUE",IF(N569="Clarification required","OPEN – CLARIFICATION","OPEN"))))))),"INVALID – error value in an input cell")</f>
        <v>OPEN</v>
      </c>
      <c r="AI569" s="61" t="n">
        <f aca="false">IF(OR(AH569="N/A – RULE",AH569="N/A – JUSTIFIED"),0,1)</f>
        <v>1</v>
      </c>
      <c r="AJ569" s="61" t="n">
        <f aca="false">IF(LEFT(AH569,8)="COMPLETE",1,0)</f>
        <v>0</v>
      </c>
      <c r="AK569" s="61" t="n">
        <f aca="false">IF(AND(AI569=1,AJ569=0,AsOfUTC&gt;Q569),1,0)</f>
        <v>0</v>
      </c>
      <c r="AL569" s="61" t="n">
        <f aca="false">IFERROR(IF(AND(AI569=1,OR(TRIM(U569)="Fail",AND(TRIM(AB569)&lt;&gt;"",TRIM(AB569)&lt;&gt;"Closed"),AND(ISNUMBER(AF569),AF569&lt;&gt;0,TRIM(U569)&lt;&gt;"Pass after CA"))),1,0),1)</f>
        <v>0</v>
      </c>
      <c r="AM569" s="61" t="n">
        <f aca="false">IF(LEFT(AH569,7)="INVALID",1,0)</f>
        <v>0</v>
      </c>
      <c r="AN569" s="61" t="n">
        <f aca="false">IF(AND(N569="Clarification required",AI569=1,AJ569=0),1,0)</f>
        <v>0</v>
      </c>
      <c r="AO569" s="61" t="str">
        <f aca="false">IF(AK569=1,SUM(AK$5:AK569),"")</f>
        <v/>
      </c>
      <c r="AP569" s="61" t="str">
        <f aca="false">IF(AL569=1,SUM(AL$5:AL569),"")</f>
        <v/>
      </c>
      <c r="AQ569" s="61" t="n">
        <v>0</v>
      </c>
      <c r="AR569" s="61" t="n">
        <v>0</v>
      </c>
      <c r="AS569" s="61" t="n">
        <v>0</v>
      </c>
      <c r="AT569" s="61" t="n">
        <v>0</v>
      </c>
      <c r="AU569" s="61" t="str">
        <f aca="false">SUBSTITUTE(SUBSTITUTE(SUBSTITUTE(SUBSTITUTE(SUBSTITUTE(SUBSTITUTE(SUBSTITUTE(SUBSTITUTE(SUBSTITUTE(SUBSTITUTE(SUBSTITUTE(SUBSTITUTE(SUBSTITUTE(LOWER(T569&amp;""),CHAR(160),"")," ",""),".",""),"-",""),"/",""),"?",""),"_",""),",",""),"[",""),"]",""),"(",""),")",""),"*","")</f>
        <v/>
      </c>
      <c r="AV569" s="61" t="str">
        <f aca="false">SUBSTITUTE(SUBSTITUTE(SUBSTITUTE(SUBSTITUTE(SUBSTITUTE(SUBSTITUTE(SUBSTITUTE(SUBSTITUTE(SUBSTITUTE(SUBSTITUTE(SUBSTITUTE(SUBSTITUTE(SUBSTITUTE(LOWER(V569&amp;""),CHAR(160),"")," ",""),".",""),"-",""),"/",""),"?",""),"_",""),",",""),"[",""),"]",""),"(",""),")",""),"*","")</f>
        <v/>
      </c>
      <c r="AW569" s="61" t="str">
        <f aca="false">SUBSTITUTE(SUBSTITUTE(SUBSTITUTE(SUBSTITUTE(SUBSTITUTE(SUBSTITUTE(SUBSTITUTE(SUBSTITUTE(SUBSTITUTE(SUBSTITUTE(SUBSTITUTE(SUBSTITUTE(SUBSTITUTE(LOWER(Z569&amp;""),CHAR(160),"")," ",""),".",""),"-",""),"/",""),"?",""),"_",""),",",""),"[",""),"]",""),"(",""),")",""),"*","")</f>
        <v/>
      </c>
      <c r="AX569" s="61" t="str">
        <f aca="false">SUBSTITUTE(SUBSTITUTE(SUBSTITUTE(SUBSTITUTE(SUBSTITUTE(SUBSTITUTE(SUBSTITUTE(SUBSTITUTE(SUBSTITUTE(SUBSTITUTE(SUBSTITUTE(SUBSTITUTE(SUBSTITUTE(LOWER(AE569&amp;""),CHAR(160),"")," ",""),".",""),"-",""),"/",""),"?",""),"_",""),",",""),"[",""),"]",""),"(",""),")",""),"*","")</f>
        <v/>
      </c>
      <c r="AY569" s="61" t="str">
        <f aca="false">SUBSTITUTE(SUBSTITUTE(SUBSTITUTE(SUBSTITUTE(SUBSTITUTE(SUBSTITUTE(SUBSTITUTE(SUBSTITUTE(SUBSTITUTE(SUBSTITUTE(SUBSTITUTE(SUBSTITUTE(SUBSTITUTE(LOWER(W569&amp;""),CHAR(160),"")," ",""),".",""),"-",""),"/",""),"?",""),"_",""),",",""),"[",""),"]",""),"(",""),")",""),"*","")</f>
        <v/>
      </c>
      <c r="AZ569" s="61" t="str">
        <f aca="false">SUBSTITUTE(SUBSTITUTE(SUBSTITUTE(SUBSTITUTE(SUBSTITUTE(SUBSTITUTE(SUBSTITUTE(SUBSTITUTE(SUBSTITUTE(SUBSTITUTE(SUBSTITUTE(SUBSTITUTE(SUBSTITUTE(LOWER(AC569&amp;""),CHAR(160),"")," ",""),".",""),"-",""),"/",""),"?",""),"_",""),",",""),"[",""),"]",""),"(",""),")",""),"*","")</f>
        <v/>
      </c>
      <c r="BA569" s="61" t="str">
        <f aca="false">SUBSTITUTE(SUBSTITUTE(SUBSTITUTE(SUBSTITUTE(SUBSTITUTE(SUBSTITUTE(SUBSTITUTE(SUBSTITUTE(SUBSTITUTE(SUBSTITUTE(SUBSTITUTE(SUBSTITUTE(SUBSTITUTE(LOWER(AA569&amp;""),CHAR(160),"")," ",""),".",""),"-",""),"/",""),"?",""),"_",""),",",""),"[",""),"]",""),"(",""),")",""),"*","")</f>
        <v/>
      </c>
      <c r="BB569" s="61" t="str">
        <f aca="false">IF(AND(TRIM(U569)="Pass",ISNUMBER(AF569)),IF(AF569&lt;&gt;0,"INVALID – qty variance: use Fail or Pass after CA",""),"")&amp;IF(AND(TRIM(U569)="Pass after CA",ISNUMBER(AF569)),IF(AF569&lt;&gt;0,"INVALID – after the corrective action the actual qty must equal expected (update Actual)",""),"")&amp;IF(AND(TRIM(U569)="Pass",TRIM(AB569)&lt;&gt;"",TRIM(AB569)&lt;&gt;"Closed"),"INVALID – corrective action not closed: use Fail, then Pass after CA","")&amp;IF(AND(TRIM(AA569)&lt;&gt;"",TRIM(AB569)=""),"INVALID – CA status missing for the recorded corrective action","")&amp;IF(AND(TRIM(U569)="Pass after CA",OR(OR(LEN(BA569)&lt;5,ISNUMBER(MATCH(BA569,L_Placeholder,0))),TRIM(AB569)&lt;&gt;"Closed")),"INVALID – corrective action not recorded/closed","")</f>
        <v/>
      </c>
    </row>
    <row r="570" customFormat="false" ht="39.75" hidden="false" customHeight="true" outlineLevel="0" collapsed="false">
      <c r="A570" s="57" t="s">
        <v>1239</v>
      </c>
      <c r="B570" s="57" t="s">
        <v>287</v>
      </c>
      <c r="C570" s="57" t="str">
        <f aca="false">Flights!$F$21</f>
        <v>MH0073</v>
      </c>
      <c r="D570" s="58" t="n">
        <f aca="false">Flights!$D$21</f>
        <v>46322</v>
      </c>
      <c r="E570" s="57" t="str">
        <f aca="false">Flights!$G$21&amp;"-"&amp;Flights!$H$21</f>
        <v>HKG-KUL</v>
      </c>
      <c r="F570" s="57" t="str">
        <f aca="false">Flights!$K$21</f>
        <v>BC</v>
      </c>
      <c r="G570" s="57" t="s">
        <v>437</v>
      </c>
      <c r="H570" s="57" t="s">
        <v>438</v>
      </c>
      <c r="I570" s="57" t="s">
        <v>477</v>
      </c>
      <c r="J570" s="57" t="s">
        <v>529</v>
      </c>
      <c r="K570" s="67" t="s">
        <v>479</v>
      </c>
      <c r="L570" s="67" t="s">
        <v>1218</v>
      </c>
      <c r="M570" s="67" t="s">
        <v>429</v>
      </c>
      <c r="N570" s="67" t="s">
        <v>361</v>
      </c>
      <c r="O570" s="67"/>
      <c r="P570" s="57" t="s">
        <v>279</v>
      </c>
      <c r="Q570" s="59" t="n">
        <f aca="false">ROUND((Flights!$AF$21)*1440,0)/1440</f>
        <v>46322.2847222222</v>
      </c>
      <c r="R570" s="59" t="n">
        <f aca="false">Q570+(IF(AND(INDEX(TZ_DSTS,MATCH(P570,TZ_STN,0))&lt;&gt;"",Q570&gt;=INDEX(TZ_DSTS,MATCH(P570,TZ_STN,0)),Q570&lt;INDEX(TZ_DSTE,MATCH(P570,TZ_STN,0))),INDEX(TZ_DST,MATCH(P570,TZ_STN,0)),INDEX(TZ_STD,MATCH(P570,TZ_STN,0))))/24</f>
        <v>46322.6180555556</v>
      </c>
      <c r="S570" s="59" t="n">
        <f aca="false">IF(ISNUMBER(Flights!$AZ$21),MAX(Q570-UpliftWindowH/24,Flights!$AZ$21),Q570-UpliftWindowH/24)</f>
        <v>46322.0347222222</v>
      </c>
      <c r="T570" s="60"/>
      <c r="U570" s="60"/>
      <c r="V570" s="60"/>
      <c r="W570" s="61"/>
      <c r="X570" s="60"/>
      <c r="Y570" s="60"/>
      <c r="Z570" s="60"/>
      <c r="AA570" s="60"/>
      <c r="AB570" s="60"/>
      <c r="AC570" s="60"/>
      <c r="AD570" s="66"/>
      <c r="AE570" s="60"/>
      <c r="AF570" s="61" t="str">
        <f aca="false">IF(AND(ISNUMBER(X570),ISNUMBER(Y570)),Y570-X570,"")</f>
        <v/>
      </c>
      <c r="AG570" s="62" t="str">
        <f aca="false">IF(ISNUMBER(AD570),AD570-(IF(AND(INDEX(TZ_DSTS,MATCH(P570,TZ_STN,0))&lt;&gt;"",(AD570-INDEX(TZ_STD,MATCH(P570,TZ_STN,0))/24)&gt;=INDEX(TZ_DSTS,MATCH(P570,TZ_STN,0)),(AD570-INDEX(TZ_STD,MATCH(P570,TZ_STN,0))/24)&lt;INDEX(TZ_DSTE,MATCH(P570,TZ_STN,0))),INDEX(TZ_DST,MATCH(P570,TZ_STN,0)),INDEX(TZ_STD,MATCH(P570,TZ_STN,0))))/24,"")</f>
        <v/>
      </c>
      <c r="AH570" s="65" t="str">
        <f aca="false">IFERROR(IF(N570="N/A – rule","N/A – RULE",IF(TRIM(U570)="N/A",IF(AT570=0,"INVALID – N/A not permitted for this check",IF(AND(TRIM(AB570)&lt;&gt;"",TRIM(AB570)&lt;&gt;"Closed"),"INVALID – corrective action still open",IF(AND(NOT(OR(LEN(AZ570)&lt;15,ISNUMBER(MATCH(AZ570,L_Placeholder,0)))),NOT(OR(LEN(AU570)&lt;2,ISNUMBER(MATCH(AU570,L_Placeholder,0)))),NOT(OR(LEN(AX570)&lt;2,ISNUMBER(MATCH(AX570,L_Placeholder,0)))),TRIM(AE570)&lt;&gt;TRIM(T570)),"N/A – JUSTIFIED","INVALID – N/A needs a real justification (15+ chars), PIC and a different verifier"))),IF(OR(TRIM(U570)="Pass",TRIM(U570)="Pass after CA"),IF(NOT(ISNUMBER(AD570)),"INVALID – completion time missing",IF(OR(LEN(AU570)&lt;2,ISNUMBER(MATCH(AU570,L_Placeholder,0))),"INVALID – PIC missing",IF(OR(LEN(AV570)&lt;2,ISNUMBER(MATCH(AV570,L_Placeholder,0))),"INVALID – result / assessment missing",IF(OR(OR(LEN(AW570)&lt;3,ISNUMBER(MATCH(AW570,L_Placeholder,0))),SUMPRODUCT(--ISNUMBER(SEARCH(L_EvidencePhrase,AW570)))&gt;0),"INVALID – evidence missing, placeholder or not yet on file",IF(OR(LEN(AX570)&lt;2,ISNUMBER(MATCH(AX570,L_Placeholder,0))),"INVALID – verifier missing",IF(AX570=AU570,"INVALID – verifier must be someone other than the PIC",IF(AND(TRIM(U570)="Pass",SUMPRODUCT(--ISNUMBER(SEARCH(L_ResultBad,AV570)))&gt;0),"INVALID – result describes a problem: use Fail, then Pass after CA",IF(AND(AQ570=1,OR(LEN(AY570)&lt;3,ISNUMBER(MATCH(AY570,L_Placeholder,0)))),"INVALID – batch ID missing or placeholder",IF(AND(AR570=1,OR(NOT(ISNUMBER(X570)),NOT(ISNUMBER(Y570)))),"INVALID – expected/actual qty missing",IF(AND(AR570=1,OR(X570&lt;=0,Y570&lt;0)),"INVALID – expected qty must be above 0 and actual not negative",IF(AH556="N/A – JUSTIFIED","INVALID – preparation row F17-T12-15 is N/A",IF(AND(AR570=1,ISNUMBER(X556),X570&lt;&gt;X556),"INVALID – expected qty differs from preparation check F17-T12-15",IF(BB570&lt;&gt;"",BB570,IF(AND(AS570=1,Documents!$J$21&lt;&gt;"ON FILE"),"INVALID – GLD not on file (Documents sheet)",IF(AND(AS570=2,Documents!$O$21&lt;&gt;"ON FILE"),"INVALID – menu checklist not on file (Documents sheet)",IF(AND(AS570=3,NOT(ISNUMBER(Flights!$AX$21))),"INVALID – enter carrying flight KUL departure (Flights AX)",IF(AND(AS570=3,OR(Flights!$AZ$21&gt;Flights!$AA$21,Flights!$AX$21&lt;Flights!$AA$21-3)),"INVALID – carrying flight (Flights AX) cannot arrive before this leg's STD, or is over 3 days early",IF(AG570&gt;AsOfUTC,"INVALID – completion time is in the future",IF(AND(ISNUMBER(S570),AG570&lt;S570),IF(H570="Physical uplift","INVALID – before uplift window (cannot confirm loading)","INVALID – before valid window"),IF(AG570&gt;Flights!$AA$21,"INVALID – completed after departure (cannot establish readiness)",IF(AND(H570="Preparation",AG570&gt;IF(ISNUMBER(Flights!$BA$21),MIN(Flights!$BA$21,Flights!$AA$21),Flights!$AA$21)),"INVALID – completed after loading / departure (cannot establish readiness)",IF(AND(H570="Physical uplift",AG570&gt;Q570),"INVALID – recorded after the loading flight departed",IF(AG570&gt;Q570,"COMPLETE – LATE","COMPLETE"))))))))))))))))))))))),IF(TRIM(U570)="Fail","FAIL – DISCREPANCY",IF(AND(TRIM(U570)&lt;&gt;"",TRIM(U570)&lt;&gt;"Not started",TRIM(U570)&lt;&gt;"In progress"),"INVALID – unrecognised status (use the list)",IF(AsOfUTC&gt;Q570,"OVERDUE",IF(N570="Clarification required","OPEN – CLARIFICATION","OPEN"))))))),"INVALID – error value in an input cell")</f>
        <v>OPEN</v>
      </c>
      <c r="AI570" s="61" t="n">
        <f aca="false">IF(OR(AH570="N/A – RULE",AH570="N/A – JUSTIFIED"),0,1)</f>
        <v>1</v>
      </c>
      <c r="AJ570" s="61" t="n">
        <f aca="false">IF(LEFT(AH570,8)="COMPLETE",1,0)</f>
        <v>0</v>
      </c>
      <c r="AK570" s="61" t="n">
        <f aca="false">IF(AND(AI570=1,AJ570=0,AsOfUTC&gt;Q570),1,0)</f>
        <v>0</v>
      </c>
      <c r="AL570" s="61" t="n">
        <f aca="false">IFERROR(IF(AND(AI570=1,OR(TRIM(U570)="Fail",AND(TRIM(AB570)&lt;&gt;"",TRIM(AB570)&lt;&gt;"Closed"),AND(ISNUMBER(AF570),AF570&lt;&gt;0,TRIM(U570)&lt;&gt;"Pass after CA"))),1,0),1)</f>
        <v>0</v>
      </c>
      <c r="AM570" s="61" t="n">
        <f aca="false">IF(LEFT(AH570,7)="INVALID",1,0)</f>
        <v>0</v>
      </c>
      <c r="AN570" s="61" t="n">
        <f aca="false">IF(AND(N570="Clarification required",AI570=1,AJ570=0),1,0)</f>
        <v>0</v>
      </c>
      <c r="AO570" s="61" t="str">
        <f aca="false">IF(AK570=1,SUM(AK$5:AK570),"")</f>
        <v/>
      </c>
      <c r="AP570" s="61" t="str">
        <f aca="false">IF(AL570=1,SUM(AL$5:AL570),"")</f>
        <v/>
      </c>
      <c r="AQ570" s="61" t="n">
        <v>0</v>
      </c>
      <c r="AR570" s="61" t="n">
        <v>0</v>
      </c>
      <c r="AS570" s="61" t="n">
        <v>0</v>
      </c>
      <c r="AT570" s="61" t="n">
        <v>0</v>
      </c>
      <c r="AU570" s="61" t="str">
        <f aca="false">SUBSTITUTE(SUBSTITUTE(SUBSTITUTE(SUBSTITUTE(SUBSTITUTE(SUBSTITUTE(SUBSTITUTE(SUBSTITUTE(SUBSTITUTE(SUBSTITUTE(SUBSTITUTE(SUBSTITUTE(SUBSTITUTE(LOWER(T570&amp;""),CHAR(160),"")," ",""),".",""),"-",""),"/",""),"?",""),"_",""),",",""),"[",""),"]",""),"(",""),")",""),"*","")</f>
        <v/>
      </c>
      <c r="AV570" s="61" t="str">
        <f aca="false">SUBSTITUTE(SUBSTITUTE(SUBSTITUTE(SUBSTITUTE(SUBSTITUTE(SUBSTITUTE(SUBSTITUTE(SUBSTITUTE(SUBSTITUTE(SUBSTITUTE(SUBSTITUTE(SUBSTITUTE(SUBSTITUTE(LOWER(V570&amp;""),CHAR(160),"")," ",""),".",""),"-",""),"/",""),"?",""),"_",""),",",""),"[",""),"]",""),"(",""),")",""),"*","")</f>
        <v/>
      </c>
      <c r="AW570" s="61" t="str">
        <f aca="false">SUBSTITUTE(SUBSTITUTE(SUBSTITUTE(SUBSTITUTE(SUBSTITUTE(SUBSTITUTE(SUBSTITUTE(SUBSTITUTE(SUBSTITUTE(SUBSTITUTE(SUBSTITUTE(SUBSTITUTE(SUBSTITUTE(LOWER(Z570&amp;""),CHAR(160),"")," ",""),".",""),"-",""),"/",""),"?",""),"_",""),",",""),"[",""),"]",""),"(",""),")",""),"*","")</f>
        <v/>
      </c>
      <c r="AX570" s="61" t="str">
        <f aca="false">SUBSTITUTE(SUBSTITUTE(SUBSTITUTE(SUBSTITUTE(SUBSTITUTE(SUBSTITUTE(SUBSTITUTE(SUBSTITUTE(SUBSTITUTE(SUBSTITUTE(SUBSTITUTE(SUBSTITUTE(SUBSTITUTE(LOWER(AE570&amp;""),CHAR(160),"")," ",""),".",""),"-",""),"/",""),"?",""),"_",""),",",""),"[",""),"]",""),"(",""),")",""),"*","")</f>
        <v/>
      </c>
      <c r="AY570" s="61" t="str">
        <f aca="false">SUBSTITUTE(SUBSTITUTE(SUBSTITUTE(SUBSTITUTE(SUBSTITUTE(SUBSTITUTE(SUBSTITUTE(SUBSTITUTE(SUBSTITUTE(SUBSTITUTE(SUBSTITUTE(SUBSTITUTE(SUBSTITUTE(LOWER(W570&amp;""),CHAR(160),"")," ",""),".",""),"-",""),"/",""),"?",""),"_",""),",",""),"[",""),"]",""),"(",""),")",""),"*","")</f>
        <v/>
      </c>
      <c r="AZ570" s="61" t="str">
        <f aca="false">SUBSTITUTE(SUBSTITUTE(SUBSTITUTE(SUBSTITUTE(SUBSTITUTE(SUBSTITUTE(SUBSTITUTE(SUBSTITUTE(SUBSTITUTE(SUBSTITUTE(SUBSTITUTE(SUBSTITUTE(SUBSTITUTE(LOWER(AC570&amp;""),CHAR(160),"")," ",""),".",""),"-",""),"/",""),"?",""),"_",""),",",""),"[",""),"]",""),"(",""),")",""),"*","")</f>
        <v/>
      </c>
      <c r="BA570" s="61" t="str">
        <f aca="false">SUBSTITUTE(SUBSTITUTE(SUBSTITUTE(SUBSTITUTE(SUBSTITUTE(SUBSTITUTE(SUBSTITUTE(SUBSTITUTE(SUBSTITUTE(SUBSTITUTE(SUBSTITUTE(SUBSTITUTE(SUBSTITUTE(LOWER(AA570&amp;""),CHAR(160),"")," ",""),".",""),"-",""),"/",""),"?",""),"_",""),",",""),"[",""),"]",""),"(",""),")",""),"*","")</f>
        <v/>
      </c>
      <c r="BB570" s="61" t="str">
        <f aca="false">IF(AND(TRIM(U570)="Pass",ISNUMBER(AF570)),IF(AF570&lt;&gt;0,"INVALID – qty variance: use Fail or Pass after CA",""),"")&amp;IF(AND(TRIM(U570)="Pass after CA",ISNUMBER(AF570)),IF(AF570&lt;&gt;0,"INVALID – after the corrective action the actual qty must equal expected (update Actual)",""),"")&amp;IF(AND(TRIM(U570)="Pass",TRIM(AB570)&lt;&gt;"",TRIM(AB570)&lt;&gt;"Closed"),"INVALID – corrective action not closed: use Fail, then Pass after CA","")&amp;IF(AND(TRIM(AA570)&lt;&gt;"",TRIM(AB570)=""),"INVALID – CA status missing for the recorded corrective action","")&amp;IF(AND(TRIM(U570)="Pass after CA",OR(OR(LEN(BA570)&lt;5,ISNUMBER(MATCH(BA570,L_Placeholder,0))),TRIM(AB570)&lt;&gt;"Closed")),"INVALID – corrective action not recorded/closed","")</f>
        <v/>
      </c>
    </row>
    <row r="571" customFormat="false" ht="39.75" hidden="false" customHeight="true" outlineLevel="0" collapsed="false">
      <c r="A571" s="57" t="s">
        <v>1240</v>
      </c>
      <c r="B571" s="57" t="s">
        <v>287</v>
      </c>
      <c r="C571" s="57" t="str">
        <f aca="false">Flights!$F$21</f>
        <v>MH0073</v>
      </c>
      <c r="D571" s="58" t="n">
        <f aca="false">Flights!$D$21</f>
        <v>46322</v>
      </c>
      <c r="E571" s="57" t="str">
        <f aca="false">Flights!$G$21&amp;"-"&amp;Flights!$H$21</f>
        <v>HKG-KUL</v>
      </c>
      <c r="F571" s="57" t="str">
        <f aca="false">Flights!$K$21</f>
        <v>BC</v>
      </c>
      <c r="G571" s="57" t="s">
        <v>437</v>
      </c>
      <c r="H571" s="57" t="s">
        <v>438</v>
      </c>
      <c r="I571" s="57" t="s">
        <v>425</v>
      </c>
      <c r="J571" s="57" t="s">
        <v>531</v>
      </c>
      <c r="K571" s="67" t="s">
        <v>427</v>
      </c>
      <c r="L571" s="67" t="s">
        <v>1220</v>
      </c>
      <c r="M571" s="67" t="s">
        <v>429</v>
      </c>
      <c r="N571" s="67" t="s">
        <v>361</v>
      </c>
      <c r="O571" s="67"/>
      <c r="P571" s="57" t="s">
        <v>279</v>
      </c>
      <c r="Q571" s="59" t="n">
        <f aca="false">ROUND((Flights!$AF$21)*1440,0)/1440</f>
        <v>46322.2847222222</v>
      </c>
      <c r="R571" s="59" t="n">
        <f aca="false">Q571+(IF(AND(INDEX(TZ_DSTS,MATCH(P571,TZ_STN,0))&lt;&gt;"",Q571&gt;=INDEX(TZ_DSTS,MATCH(P571,TZ_STN,0)),Q571&lt;INDEX(TZ_DSTE,MATCH(P571,TZ_STN,0))),INDEX(TZ_DST,MATCH(P571,TZ_STN,0)),INDEX(TZ_STD,MATCH(P571,TZ_STN,0))))/24</f>
        <v>46322.6180555556</v>
      </c>
      <c r="S571" s="59" t="n">
        <f aca="false">IF(ISNUMBER(Flights!$AZ$21),MAX(Q571-UpliftWindowH/24,Flights!$AZ$21),Q571-UpliftWindowH/24)</f>
        <v>46322.0347222222</v>
      </c>
      <c r="T571" s="60"/>
      <c r="U571" s="60"/>
      <c r="V571" s="60"/>
      <c r="W571" s="61"/>
      <c r="X571" s="60"/>
      <c r="Y571" s="60"/>
      <c r="Z571" s="60"/>
      <c r="AA571" s="60"/>
      <c r="AB571" s="60"/>
      <c r="AC571" s="60"/>
      <c r="AD571" s="66"/>
      <c r="AE571" s="60"/>
      <c r="AF571" s="61" t="str">
        <f aca="false">IF(AND(ISNUMBER(X571),ISNUMBER(Y571)),Y571-X571,"")</f>
        <v/>
      </c>
      <c r="AG571" s="62" t="str">
        <f aca="false">IF(ISNUMBER(AD571),AD571-(IF(AND(INDEX(TZ_DSTS,MATCH(P571,TZ_STN,0))&lt;&gt;"",(AD571-INDEX(TZ_STD,MATCH(P571,TZ_STN,0))/24)&gt;=INDEX(TZ_DSTS,MATCH(P571,TZ_STN,0)),(AD571-INDEX(TZ_STD,MATCH(P571,TZ_STN,0))/24)&lt;INDEX(TZ_DSTE,MATCH(P571,TZ_STN,0))),INDEX(TZ_DST,MATCH(P571,TZ_STN,0)),INDEX(TZ_STD,MATCH(P571,TZ_STN,0))))/24,"")</f>
        <v/>
      </c>
      <c r="AH571" s="65" t="str">
        <f aca="false">IFERROR(IF(N571="N/A – rule","N/A – RULE",IF(TRIM(U571)="N/A",IF(AT571=0,"INVALID – N/A not permitted for this check",IF(AND(TRIM(AB571)&lt;&gt;"",TRIM(AB571)&lt;&gt;"Closed"),"INVALID – corrective action still open",IF(AND(NOT(OR(LEN(AZ571)&lt;15,ISNUMBER(MATCH(AZ571,L_Placeholder,0)))),NOT(OR(LEN(AU571)&lt;2,ISNUMBER(MATCH(AU571,L_Placeholder,0)))),NOT(OR(LEN(AX571)&lt;2,ISNUMBER(MATCH(AX571,L_Placeholder,0)))),TRIM(AE571)&lt;&gt;TRIM(T571)),"N/A – JUSTIFIED","INVALID – N/A needs a real justification (15+ chars), PIC and a different verifier"))),IF(OR(TRIM(U571)="Pass",TRIM(U571)="Pass after CA"),IF(NOT(ISNUMBER(AD571)),"INVALID – completion time missing",IF(OR(LEN(AU571)&lt;2,ISNUMBER(MATCH(AU571,L_Placeholder,0))),"INVALID – PIC missing",IF(OR(LEN(AV571)&lt;2,ISNUMBER(MATCH(AV571,L_Placeholder,0))),"INVALID – result / assessment missing",IF(OR(OR(LEN(AW571)&lt;3,ISNUMBER(MATCH(AW571,L_Placeholder,0))),SUMPRODUCT(--ISNUMBER(SEARCH(L_EvidencePhrase,AW571)))&gt;0),"INVALID – evidence missing, placeholder or not yet on file",IF(OR(LEN(AX571)&lt;2,ISNUMBER(MATCH(AX571,L_Placeholder,0))),"INVALID – verifier missing",IF(AX571=AU571,"INVALID – verifier must be someone other than the PIC",IF(AND(TRIM(U571)="Pass",SUMPRODUCT(--ISNUMBER(SEARCH(L_ResultBad,AV571)))&gt;0),"INVALID – result describes a problem: use Fail, then Pass after CA",IF(AND(AQ571=1,OR(LEN(AY571)&lt;3,ISNUMBER(MATCH(AY571,L_Placeholder,0)))),"INVALID – batch ID missing or placeholder",IF(AND(AR571=1,OR(NOT(ISNUMBER(X571)),NOT(ISNUMBER(Y571)))),"INVALID – expected/actual qty missing",IF(AND(AR571=1,OR(X571&lt;=0,Y571&lt;0)),"INVALID – expected qty must be above 0 and actual not negative",IF(AH557="N/A – JUSTIFIED","INVALID – preparation row F17-T12-16 is N/A",IF(AND(AR571=1,ISNUMBER(X557),X571&lt;&gt;X557),"INVALID – expected qty differs from preparation check F17-T12-16",IF(BB571&lt;&gt;"",BB571,IF(AND(AS571=1,Documents!$J$21&lt;&gt;"ON FILE"),"INVALID – GLD not on file (Documents sheet)",IF(AND(AS571=2,Documents!$O$21&lt;&gt;"ON FILE"),"INVALID – menu checklist not on file (Documents sheet)",IF(AND(AS571=3,NOT(ISNUMBER(Flights!$AX$21))),"INVALID – enter carrying flight KUL departure (Flights AX)",IF(AND(AS571=3,OR(Flights!$AZ$21&gt;Flights!$AA$21,Flights!$AX$21&lt;Flights!$AA$21-3)),"INVALID – carrying flight (Flights AX) cannot arrive before this leg's STD, or is over 3 days early",IF(AG571&gt;AsOfUTC,"INVALID – completion time is in the future",IF(AND(ISNUMBER(S571),AG571&lt;S571),IF(H571="Physical uplift","INVALID – before uplift window (cannot confirm loading)","INVALID – before valid window"),IF(AG571&gt;Flights!$AA$21,"INVALID – completed after departure (cannot establish readiness)",IF(AND(H571="Preparation",AG571&gt;IF(ISNUMBER(Flights!$BA$21),MIN(Flights!$BA$21,Flights!$AA$21),Flights!$AA$21)),"INVALID – completed after loading / departure (cannot establish readiness)",IF(AND(H571="Physical uplift",AG571&gt;Q571),"INVALID – recorded after the loading flight departed",IF(AG571&gt;Q571,"COMPLETE – LATE","COMPLETE"))))))))))))))))))))))),IF(TRIM(U571)="Fail","FAIL – DISCREPANCY",IF(AND(TRIM(U571)&lt;&gt;"",TRIM(U571)&lt;&gt;"Not started",TRIM(U571)&lt;&gt;"In progress"),"INVALID – unrecognised status (use the list)",IF(AsOfUTC&gt;Q571,"OVERDUE",IF(N571="Clarification required","OPEN – CLARIFICATION","OPEN"))))))),"INVALID – error value in an input cell")</f>
        <v>OPEN</v>
      </c>
      <c r="AI571" s="61" t="n">
        <f aca="false">IF(OR(AH571="N/A – RULE",AH571="N/A – JUSTIFIED"),0,1)</f>
        <v>1</v>
      </c>
      <c r="AJ571" s="61" t="n">
        <f aca="false">IF(LEFT(AH571,8)="COMPLETE",1,0)</f>
        <v>0</v>
      </c>
      <c r="AK571" s="61" t="n">
        <f aca="false">IF(AND(AI571=1,AJ571=0,AsOfUTC&gt;Q571),1,0)</f>
        <v>0</v>
      </c>
      <c r="AL571" s="61" t="n">
        <f aca="false">IFERROR(IF(AND(AI571=1,OR(TRIM(U571)="Fail",AND(TRIM(AB571)&lt;&gt;"",TRIM(AB571)&lt;&gt;"Closed"),AND(ISNUMBER(AF571),AF571&lt;&gt;0,TRIM(U571)&lt;&gt;"Pass after CA"))),1,0),1)</f>
        <v>0</v>
      </c>
      <c r="AM571" s="61" t="n">
        <f aca="false">IF(LEFT(AH571,7)="INVALID",1,0)</f>
        <v>0</v>
      </c>
      <c r="AN571" s="61" t="n">
        <f aca="false">IF(AND(N571="Clarification required",AI571=1,AJ571=0),1,0)</f>
        <v>0</v>
      </c>
      <c r="AO571" s="61" t="str">
        <f aca="false">IF(AK571=1,SUM(AK$5:AK571),"")</f>
        <v/>
      </c>
      <c r="AP571" s="61" t="str">
        <f aca="false">IF(AL571=1,SUM(AL$5:AL571),"")</f>
        <v/>
      </c>
      <c r="AQ571" s="61" t="n">
        <v>0</v>
      </c>
      <c r="AR571" s="61" t="n">
        <v>0</v>
      </c>
      <c r="AS571" s="61" t="n">
        <v>0</v>
      </c>
      <c r="AT571" s="61" t="n">
        <v>0</v>
      </c>
      <c r="AU571" s="61" t="str">
        <f aca="false">SUBSTITUTE(SUBSTITUTE(SUBSTITUTE(SUBSTITUTE(SUBSTITUTE(SUBSTITUTE(SUBSTITUTE(SUBSTITUTE(SUBSTITUTE(SUBSTITUTE(SUBSTITUTE(SUBSTITUTE(SUBSTITUTE(LOWER(T571&amp;""),CHAR(160),"")," ",""),".",""),"-",""),"/",""),"?",""),"_",""),",",""),"[",""),"]",""),"(",""),")",""),"*","")</f>
        <v/>
      </c>
      <c r="AV571" s="61" t="str">
        <f aca="false">SUBSTITUTE(SUBSTITUTE(SUBSTITUTE(SUBSTITUTE(SUBSTITUTE(SUBSTITUTE(SUBSTITUTE(SUBSTITUTE(SUBSTITUTE(SUBSTITUTE(SUBSTITUTE(SUBSTITUTE(SUBSTITUTE(LOWER(V571&amp;""),CHAR(160),"")," ",""),".",""),"-",""),"/",""),"?",""),"_",""),",",""),"[",""),"]",""),"(",""),")",""),"*","")</f>
        <v/>
      </c>
      <c r="AW571" s="61" t="str">
        <f aca="false">SUBSTITUTE(SUBSTITUTE(SUBSTITUTE(SUBSTITUTE(SUBSTITUTE(SUBSTITUTE(SUBSTITUTE(SUBSTITUTE(SUBSTITUTE(SUBSTITUTE(SUBSTITUTE(SUBSTITUTE(SUBSTITUTE(LOWER(Z571&amp;""),CHAR(160),"")," ",""),".",""),"-",""),"/",""),"?",""),"_",""),",",""),"[",""),"]",""),"(",""),")",""),"*","")</f>
        <v/>
      </c>
      <c r="AX571" s="61" t="str">
        <f aca="false">SUBSTITUTE(SUBSTITUTE(SUBSTITUTE(SUBSTITUTE(SUBSTITUTE(SUBSTITUTE(SUBSTITUTE(SUBSTITUTE(SUBSTITUTE(SUBSTITUTE(SUBSTITUTE(SUBSTITUTE(SUBSTITUTE(LOWER(AE571&amp;""),CHAR(160),"")," ",""),".",""),"-",""),"/",""),"?",""),"_",""),",",""),"[",""),"]",""),"(",""),")",""),"*","")</f>
        <v/>
      </c>
      <c r="AY571" s="61" t="str">
        <f aca="false">SUBSTITUTE(SUBSTITUTE(SUBSTITUTE(SUBSTITUTE(SUBSTITUTE(SUBSTITUTE(SUBSTITUTE(SUBSTITUTE(SUBSTITUTE(SUBSTITUTE(SUBSTITUTE(SUBSTITUTE(SUBSTITUTE(LOWER(W571&amp;""),CHAR(160),"")," ",""),".",""),"-",""),"/",""),"?",""),"_",""),",",""),"[",""),"]",""),"(",""),")",""),"*","")</f>
        <v/>
      </c>
      <c r="AZ571" s="61" t="str">
        <f aca="false">SUBSTITUTE(SUBSTITUTE(SUBSTITUTE(SUBSTITUTE(SUBSTITUTE(SUBSTITUTE(SUBSTITUTE(SUBSTITUTE(SUBSTITUTE(SUBSTITUTE(SUBSTITUTE(SUBSTITUTE(SUBSTITUTE(LOWER(AC571&amp;""),CHAR(160),"")," ",""),".",""),"-",""),"/",""),"?",""),"_",""),",",""),"[",""),"]",""),"(",""),")",""),"*","")</f>
        <v/>
      </c>
      <c r="BA571" s="61" t="str">
        <f aca="false">SUBSTITUTE(SUBSTITUTE(SUBSTITUTE(SUBSTITUTE(SUBSTITUTE(SUBSTITUTE(SUBSTITUTE(SUBSTITUTE(SUBSTITUTE(SUBSTITUTE(SUBSTITUTE(SUBSTITUTE(SUBSTITUTE(LOWER(AA571&amp;""),CHAR(160),"")," ",""),".",""),"-",""),"/",""),"?",""),"_",""),",",""),"[",""),"]",""),"(",""),")",""),"*","")</f>
        <v/>
      </c>
      <c r="BB571" s="61" t="str">
        <f aca="false">IF(AND(TRIM(U571)="Pass",ISNUMBER(AF571)),IF(AF571&lt;&gt;0,"INVALID – qty variance: use Fail or Pass after CA",""),"")&amp;IF(AND(TRIM(U571)="Pass after CA",ISNUMBER(AF571)),IF(AF571&lt;&gt;0,"INVALID – after the corrective action the actual qty must equal expected (update Actual)",""),"")&amp;IF(AND(TRIM(U571)="Pass",TRIM(AB571)&lt;&gt;"",TRIM(AB571)&lt;&gt;"Closed"),"INVALID – corrective action not closed: use Fail, then Pass after CA","")&amp;IF(AND(TRIM(AA571)&lt;&gt;"",TRIM(AB571)=""),"INVALID – CA status missing for the recorded corrective action","")&amp;IF(AND(TRIM(U571)="Pass after CA",OR(OR(LEN(BA571)&lt;5,ISNUMBER(MATCH(BA571,L_Placeholder,0))),TRIM(AB571)&lt;&gt;"Closed")),"INVALID – corrective action not recorded/closed","")</f>
        <v/>
      </c>
    </row>
    <row r="572" customFormat="false" ht="39.75" hidden="false" customHeight="true" outlineLevel="0" collapsed="false">
      <c r="A572" s="57" t="s">
        <v>1241</v>
      </c>
      <c r="B572" s="57" t="s">
        <v>287</v>
      </c>
      <c r="C572" s="57" t="str">
        <f aca="false">Flights!$F$21</f>
        <v>MH0073</v>
      </c>
      <c r="D572" s="58" t="n">
        <f aca="false">Flights!$D$21</f>
        <v>46322</v>
      </c>
      <c r="E572" s="57" t="str">
        <f aca="false">Flights!$G$21&amp;"-"&amp;Flights!$H$21</f>
        <v>HKG-KUL</v>
      </c>
      <c r="F572" s="57" t="str">
        <f aca="false">Flights!$K$21</f>
        <v>BC</v>
      </c>
      <c r="G572" s="57" t="s">
        <v>437</v>
      </c>
      <c r="H572" s="57" t="s">
        <v>438</v>
      </c>
      <c r="I572" s="57" t="s">
        <v>425</v>
      </c>
      <c r="J572" s="57" t="s">
        <v>533</v>
      </c>
      <c r="K572" s="67" t="s">
        <v>427</v>
      </c>
      <c r="L572" s="67" t="s">
        <v>1222</v>
      </c>
      <c r="M572" s="67" t="s">
        <v>429</v>
      </c>
      <c r="N572" s="67" t="s">
        <v>361</v>
      </c>
      <c r="O572" s="67"/>
      <c r="P572" s="57" t="s">
        <v>279</v>
      </c>
      <c r="Q572" s="59" t="n">
        <f aca="false">ROUND((Flights!$AF$21)*1440,0)/1440</f>
        <v>46322.2847222222</v>
      </c>
      <c r="R572" s="59" t="n">
        <f aca="false">Q572+(IF(AND(INDEX(TZ_DSTS,MATCH(P572,TZ_STN,0))&lt;&gt;"",Q572&gt;=INDEX(TZ_DSTS,MATCH(P572,TZ_STN,0)),Q572&lt;INDEX(TZ_DSTE,MATCH(P572,TZ_STN,0))),INDEX(TZ_DST,MATCH(P572,TZ_STN,0)),INDEX(TZ_STD,MATCH(P572,TZ_STN,0))))/24</f>
        <v>46322.6180555556</v>
      </c>
      <c r="S572" s="59" t="n">
        <f aca="false">IF(ISNUMBER(Flights!$AZ$21),MAX(Q572-UpliftWindowH/24,Flights!$AZ$21),Q572-UpliftWindowH/24)</f>
        <v>46322.0347222222</v>
      </c>
      <c r="T572" s="60"/>
      <c r="U572" s="60"/>
      <c r="V572" s="60"/>
      <c r="W572" s="61"/>
      <c r="X572" s="60"/>
      <c r="Y572" s="60"/>
      <c r="Z572" s="60"/>
      <c r="AA572" s="60"/>
      <c r="AB572" s="60"/>
      <c r="AC572" s="60"/>
      <c r="AD572" s="66"/>
      <c r="AE572" s="60"/>
      <c r="AF572" s="61" t="str">
        <f aca="false">IF(AND(ISNUMBER(X572),ISNUMBER(Y572)),Y572-X572,"")</f>
        <v/>
      </c>
      <c r="AG572" s="62" t="str">
        <f aca="false">IF(ISNUMBER(AD572),AD572-(IF(AND(INDEX(TZ_DSTS,MATCH(P572,TZ_STN,0))&lt;&gt;"",(AD572-INDEX(TZ_STD,MATCH(P572,TZ_STN,0))/24)&gt;=INDEX(TZ_DSTS,MATCH(P572,TZ_STN,0)),(AD572-INDEX(TZ_STD,MATCH(P572,TZ_STN,0))/24)&lt;INDEX(TZ_DSTE,MATCH(P572,TZ_STN,0))),INDEX(TZ_DST,MATCH(P572,TZ_STN,0)),INDEX(TZ_STD,MATCH(P572,TZ_STN,0))))/24,"")</f>
        <v/>
      </c>
      <c r="AH572" s="65" t="str">
        <f aca="false">IFERROR(IF(N572="N/A – rule","N/A – RULE",IF(TRIM(U572)="N/A",IF(AT572=0,"INVALID – N/A not permitted for this check",IF(AND(TRIM(AB572)&lt;&gt;"",TRIM(AB572)&lt;&gt;"Closed"),"INVALID – corrective action still open",IF(AND(NOT(OR(LEN(AZ572)&lt;15,ISNUMBER(MATCH(AZ572,L_Placeholder,0)))),NOT(OR(LEN(AU572)&lt;2,ISNUMBER(MATCH(AU572,L_Placeholder,0)))),NOT(OR(LEN(AX572)&lt;2,ISNUMBER(MATCH(AX572,L_Placeholder,0)))),TRIM(AE572)&lt;&gt;TRIM(T572)),"N/A – JUSTIFIED","INVALID – N/A needs a real justification (15+ chars), PIC and a different verifier"))),IF(OR(TRIM(U572)="Pass",TRIM(U572)="Pass after CA"),IF(NOT(ISNUMBER(AD572)),"INVALID – completion time missing",IF(OR(LEN(AU572)&lt;2,ISNUMBER(MATCH(AU572,L_Placeholder,0))),"INVALID – PIC missing",IF(OR(LEN(AV572)&lt;2,ISNUMBER(MATCH(AV572,L_Placeholder,0))),"INVALID – result / assessment missing",IF(OR(OR(LEN(AW572)&lt;3,ISNUMBER(MATCH(AW572,L_Placeholder,0))),SUMPRODUCT(--ISNUMBER(SEARCH(L_EvidencePhrase,AW572)))&gt;0),"INVALID – evidence missing, placeholder or not yet on file",IF(OR(LEN(AX572)&lt;2,ISNUMBER(MATCH(AX572,L_Placeholder,0))),"INVALID – verifier missing",IF(AX572=AU572,"INVALID – verifier must be someone other than the PIC",IF(AND(TRIM(U572)="Pass",SUMPRODUCT(--ISNUMBER(SEARCH(L_ResultBad,AV572)))&gt;0),"INVALID – result describes a problem: use Fail, then Pass after CA",IF(AND(AQ572=1,OR(LEN(AY572)&lt;3,ISNUMBER(MATCH(AY572,L_Placeholder,0)))),"INVALID – batch ID missing or placeholder",IF(AND(AR572=1,OR(NOT(ISNUMBER(X572)),NOT(ISNUMBER(Y572)))),"INVALID – expected/actual qty missing",IF(AND(AR572=1,OR(X572&lt;=0,Y572&lt;0)),"INVALID – expected qty must be above 0 and actual not negative",IF(AH558="N/A – JUSTIFIED","INVALID – preparation row F17-T12-17 is N/A",IF(AND(AR572=1,ISNUMBER(X558),X572&lt;&gt;X558),"INVALID – expected qty differs from preparation check F17-T12-17",IF(BB572&lt;&gt;"",BB572,IF(AND(AS572=1,Documents!$J$21&lt;&gt;"ON FILE"),"INVALID – GLD not on file (Documents sheet)",IF(AND(AS572=2,Documents!$O$21&lt;&gt;"ON FILE"),"INVALID – menu checklist not on file (Documents sheet)",IF(AND(AS572=3,NOT(ISNUMBER(Flights!$AX$21))),"INVALID – enter carrying flight KUL departure (Flights AX)",IF(AND(AS572=3,OR(Flights!$AZ$21&gt;Flights!$AA$21,Flights!$AX$21&lt;Flights!$AA$21-3)),"INVALID – carrying flight (Flights AX) cannot arrive before this leg's STD, or is over 3 days early",IF(AG572&gt;AsOfUTC,"INVALID – completion time is in the future",IF(AND(ISNUMBER(S572),AG572&lt;S572),IF(H572="Physical uplift","INVALID – before uplift window (cannot confirm loading)","INVALID – before valid window"),IF(AG572&gt;Flights!$AA$21,"INVALID – completed after departure (cannot establish readiness)",IF(AND(H572="Preparation",AG572&gt;IF(ISNUMBER(Flights!$BA$21),MIN(Flights!$BA$21,Flights!$AA$21),Flights!$AA$21)),"INVALID – completed after loading / departure (cannot establish readiness)",IF(AND(H572="Physical uplift",AG572&gt;Q572),"INVALID – recorded after the loading flight departed",IF(AG572&gt;Q572,"COMPLETE – LATE","COMPLETE"))))))))))))))))))))))),IF(TRIM(U572)="Fail","FAIL – DISCREPANCY",IF(AND(TRIM(U572)&lt;&gt;"",TRIM(U572)&lt;&gt;"Not started",TRIM(U572)&lt;&gt;"In progress"),"INVALID – unrecognised status (use the list)",IF(AsOfUTC&gt;Q572,"OVERDUE",IF(N572="Clarification required","OPEN – CLARIFICATION","OPEN"))))))),"INVALID – error value in an input cell")</f>
        <v>OPEN</v>
      </c>
      <c r="AI572" s="61" t="n">
        <f aca="false">IF(OR(AH572="N/A – RULE",AH572="N/A – JUSTIFIED"),0,1)</f>
        <v>1</v>
      </c>
      <c r="AJ572" s="61" t="n">
        <f aca="false">IF(LEFT(AH572,8)="COMPLETE",1,0)</f>
        <v>0</v>
      </c>
      <c r="AK572" s="61" t="n">
        <f aca="false">IF(AND(AI572=1,AJ572=0,AsOfUTC&gt;Q572),1,0)</f>
        <v>0</v>
      </c>
      <c r="AL572" s="61" t="n">
        <f aca="false">IFERROR(IF(AND(AI572=1,OR(TRIM(U572)="Fail",AND(TRIM(AB572)&lt;&gt;"",TRIM(AB572)&lt;&gt;"Closed"),AND(ISNUMBER(AF572),AF572&lt;&gt;0,TRIM(U572)&lt;&gt;"Pass after CA"))),1,0),1)</f>
        <v>0</v>
      </c>
      <c r="AM572" s="61" t="n">
        <f aca="false">IF(LEFT(AH572,7)="INVALID",1,0)</f>
        <v>0</v>
      </c>
      <c r="AN572" s="61" t="n">
        <f aca="false">IF(AND(N572="Clarification required",AI572=1,AJ572=0),1,0)</f>
        <v>0</v>
      </c>
      <c r="AO572" s="61" t="str">
        <f aca="false">IF(AK572=1,SUM(AK$5:AK572),"")</f>
        <v/>
      </c>
      <c r="AP572" s="61" t="str">
        <f aca="false">IF(AL572=1,SUM(AL$5:AL572),"")</f>
        <v/>
      </c>
      <c r="AQ572" s="61" t="n">
        <v>0</v>
      </c>
      <c r="AR572" s="61" t="n">
        <v>0</v>
      </c>
      <c r="AS572" s="61" t="n">
        <v>0</v>
      </c>
      <c r="AT572" s="61" t="n">
        <v>0</v>
      </c>
      <c r="AU572" s="61" t="str">
        <f aca="false">SUBSTITUTE(SUBSTITUTE(SUBSTITUTE(SUBSTITUTE(SUBSTITUTE(SUBSTITUTE(SUBSTITUTE(SUBSTITUTE(SUBSTITUTE(SUBSTITUTE(SUBSTITUTE(SUBSTITUTE(SUBSTITUTE(LOWER(T572&amp;""),CHAR(160),"")," ",""),".",""),"-",""),"/",""),"?",""),"_",""),",",""),"[",""),"]",""),"(",""),")",""),"*","")</f>
        <v/>
      </c>
      <c r="AV572" s="61" t="str">
        <f aca="false">SUBSTITUTE(SUBSTITUTE(SUBSTITUTE(SUBSTITUTE(SUBSTITUTE(SUBSTITUTE(SUBSTITUTE(SUBSTITUTE(SUBSTITUTE(SUBSTITUTE(SUBSTITUTE(SUBSTITUTE(SUBSTITUTE(LOWER(V572&amp;""),CHAR(160),"")," ",""),".",""),"-",""),"/",""),"?",""),"_",""),",",""),"[",""),"]",""),"(",""),")",""),"*","")</f>
        <v/>
      </c>
      <c r="AW572" s="61" t="str">
        <f aca="false">SUBSTITUTE(SUBSTITUTE(SUBSTITUTE(SUBSTITUTE(SUBSTITUTE(SUBSTITUTE(SUBSTITUTE(SUBSTITUTE(SUBSTITUTE(SUBSTITUTE(SUBSTITUTE(SUBSTITUTE(SUBSTITUTE(LOWER(Z572&amp;""),CHAR(160),"")," ",""),".",""),"-",""),"/",""),"?",""),"_",""),",",""),"[",""),"]",""),"(",""),")",""),"*","")</f>
        <v/>
      </c>
      <c r="AX572" s="61" t="str">
        <f aca="false">SUBSTITUTE(SUBSTITUTE(SUBSTITUTE(SUBSTITUTE(SUBSTITUTE(SUBSTITUTE(SUBSTITUTE(SUBSTITUTE(SUBSTITUTE(SUBSTITUTE(SUBSTITUTE(SUBSTITUTE(SUBSTITUTE(LOWER(AE572&amp;""),CHAR(160),"")," ",""),".",""),"-",""),"/",""),"?",""),"_",""),",",""),"[",""),"]",""),"(",""),")",""),"*","")</f>
        <v/>
      </c>
      <c r="AY572" s="61" t="str">
        <f aca="false">SUBSTITUTE(SUBSTITUTE(SUBSTITUTE(SUBSTITUTE(SUBSTITUTE(SUBSTITUTE(SUBSTITUTE(SUBSTITUTE(SUBSTITUTE(SUBSTITUTE(SUBSTITUTE(SUBSTITUTE(SUBSTITUTE(LOWER(W572&amp;""),CHAR(160),"")," ",""),".",""),"-",""),"/",""),"?",""),"_",""),",",""),"[",""),"]",""),"(",""),")",""),"*","")</f>
        <v/>
      </c>
      <c r="AZ572" s="61" t="str">
        <f aca="false">SUBSTITUTE(SUBSTITUTE(SUBSTITUTE(SUBSTITUTE(SUBSTITUTE(SUBSTITUTE(SUBSTITUTE(SUBSTITUTE(SUBSTITUTE(SUBSTITUTE(SUBSTITUTE(SUBSTITUTE(SUBSTITUTE(LOWER(AC572&amp;""),CHAR(160),"")," ",""),".",""),"-",""),"/",""),"?",""),"_",""),",",""),"[",""),"]",""),"(",""),")",""),"*","")</f>
        <v/>
      </c>
      <c r="BA572" s="61" t="str">
        <f aca="false">SUBSTITUTE(SUBSTITUTE(SUBSTITUTE(SUBSTITUTE(SUBSTITUTE(SUBSTITUTE(SUBSTITUTE(SUBSTITUTE(SUBSTITUTE(SUBSTITUTE(SUBSTITUTE(SUBSTITUTE(SUBSTITUTE(LOWER(AA572&amp;""),CHAR(160),"")," ",""),".",""),"-",""),"/",""),"?",""),"_",""),",",""),"[",""),"]",""),"(",""),")",""),"*","")</f>
        <v/>
      </c>
      <c r="BB572" s="61" t="str">
        <f aca="false">IF(AND(TRIM(U572)="Pass",ISNUMBER(AF572)),IF(AF572&lt;&gt;0,"INVALID – qty variance: use Fail or Pass after CA",""),"")&amp;IF(AND(TRIM(U572)="Pass after CA",ISNUMBER(AF572)),IF(AF572&lt;&gt;0,"INVALID – after the corrective action the actual qty must equal expected (update Actual)",""),"")&amp;IF(AND(TRIM(U572)="Pass",TRIM(AB572)&lt;&gt;"",TRIM(AB572)&lt;&gt;"Closed"),"INVALID – corrective action not closed: use Fail, then Pass after CA","")&amp;IF(AND(TRIM(AA572)&lt;&gt;"",TRIM(AB572)=""),"INVALID – CA status missing for the recorded corrective action","")&amp;IF(AND(TRIM(U572)="Pass after CA",OR(OR(LEN(BA572)&lt;5,ISNUMBER(MATCH(BA572,L_Placeholder,0))),TRIM(AB572)&lt;&gt;"Closed")),"INVALID – corrective action not recorded/closed","")</f>
        <v/>
      </c>
    </row>
    <row r="573" customFormat="false" ht="66" hidden="false" customHeight="true" outlineLevel="0" collapsed="false">
      <c r="A573" s="57" t="s">
        <v>1242</v>
      </c>
      <c r="B573" s="57" t="s">
        <v>287</v>
      </c>
      <c r="C573" s="57" t="str">
        <f aca="false">Flights!$F$21</f>
        <v>MH0073</v>
      </c>
      <c r="D573" s="58" t="n">
        <f aca="false">Flights!$D$21</f>
        <v>46322</v>
      </c>
      <c r="E573" s="57" t="str">
        <f aca="false">Flights!$G$21&amp;"-"&amp;Flights!$H$21</f>
        <v>HKG-KUL</v>
      </c>
      <c r="F573" s="57" t="str">
        <f aca="false">Flights!$K$21</f>
        <v>BC</v>
      </c>
      <c r="G573" s="57" t="s">
        <v>437</v>
      </c>
      <c r="H573" s="57" t="s">
        <v>438</v>
      </c>
      <c r="I573" s="57" t="s">
        <v>612</v>
      </c>
      <c r="J573" s="57" t="s">
        <v>1174</v>
      </c>
      <c r="K573" s="67" t="s">
        <v>1165</v>
      </c>
      <c r="L573" s="67" t="s">
        <v>1166</v>
      </c>
      <c r="M573" s="67" t="s">
        <v>429</v>
      </c>
      <c r="N573" s="67" t="s">
        <v>422</v>
      </c>
      <c r="O573" s="67" t="s">
        <v>1243</v>
      </c>
      <c r="P573" s="57" t="s">
        <v>279</v>
      </c>
      <c r="Q573" s="59" t="n">
        <f aca="false">ROUND((Flights!$AF$21)*1440,0)/1440</f>
        <v>46322.2847222222</v>
      </c>
      <c r="R573" s="59" t="n">
        <f aca="false">Q573+(IF(AND(INDEX(TZ_DSTS,MATCH(P573,TZ_STN,0))&lt;&gt;"",Q573&gt;=INDEX(TZ_DSTS,MATCH(P573,TZ_STN,0)),Q573&lt;INDEX(TZ_DSTE,MATCH(P573,TZ_STN,0))),INDEX(TZ_DST,MATCH(P573,TZ_STN,0)),INDEX(TZ_STD,MATCH(P573,TZ_STN,0))))/24</f>
        <v>46322.6180555556</v>
      </c>
      <c r="S573" s="59" t="n">
        <f aca="false">IF(ISNUMBER(Flights!$AZ$21),MAX(Q573-UpliftWindowH/24,Flights!$AZ$21),Q573-UpliftWindowH/24)</f>
        <v>46322.0347222222</v>
      </c>
      <c r="T573" s="60"/>
      <c r="U573" s="60"/>
      <c r="V573" s="60"/>
      <c r="W573" s="61"/>
      <c r="X573" s="60"/>
      <c r="Y573" s="60"/>
      <c r="Z573" s="60"/>
      <c r="AA573" s="60"/>
      <c r="AB573" s="60"/>
      <c r="AC573" s="60"/>
      <c r="AD573" s="66"/>
      <c r="AE573" s="60"/>
      <c r="AF573" s="61" t="str">
        <f aca="false">IF(AND(ISNUMBER(X573),ISNUMBER(Y573)),Y573-X573,"")</f>
        <v/>
      </c>
      <c r="AG573" s="62" t="str">
        <f aca="false">IF(ISNUMBER(AD573),AD573-(IF(AND(INDEX(TZ_DSTS,MATCH(P573,TZ_STN,0))&lt;&gt;"",(AD573-INDEX(TZ_STD,MATCH(P573,TZ_STN,0))/24)&gt;=INDEX(TZ_DSTS,MATCH(P573,TZ_STN,0)),(AD573-INDEX(TZ_STD,MATCH(P573,TZ_STN,0))/24)&lt;INDEX(TZ_DSTE,MATCH(P573,TZ_STN,0))),INDEX(TZ_DST,MATCH(P573,TZ_STN,0)),INDEX(TZ_STD,MATCH(P573,TZ_STN,0))))/24,"")</f>
        <v/>
      </c>
      <c r="AH573" s="65" t="str">
        <f aca="false">IFERROR(IF(N573="N/A – rule","N/A – RULE",IF(TRIM(U573)="N/A",IF(AT573=0,"INVALID – N/A not permitted for this check",IF(AND(TRIM(AB573)&lt;&gt;"",TRIM(AB573)&lt;&gt;"Closed"),"INVALID – corrective action still open",IF(AND(NOT(OR(LEN(AZ573)&lt;15,ISNUMBER(MATCH(AZ573,L_Placeholder,0)))),NOT(OR(LEN(AU573)&lt;2,ISNUMBER(MATCH(AU573,L_Placeholder,0)))),NOT(OR(LEN(AX573)&lt;2,ISNUMBER(MATCH(AX573,L_Placeholder,0)))),TRIM(AE573)&lt;&gt;TRIM(T573)),"N/A – JUSTIFIED","INVALID – N/A needs a real justification (15+ chars), PIC and a different verifier"))),IF(OR(TRIM(U573)="Pass",TRIM(U573)="Pass after CA"),IF(NOT(ISNUMBER(AD573)),"INVALID – completion time missing",IF(OR(LEN(AU573)&lt;2,ISNUMBER(MATCH(AU573,L_Placeholder,0))),"INVALID – PIC missing",IF(OR(LEN(AV573)&lt;2,ISNUMBER(MATCH(AV573,L_Placeholder,0))),"INVALID – result / assessment missing",IF(OR(OR(LEN(AW573)&lt;3,ISNUMBER(MATCH(AW573,L_Placeholder,0))),SUMPRODUCT(--ISNUMBER(SEARCH(L_EvidencePhrase,AW573)))&gt;0),"INVALID – evidence missing, placeholder or not yet on file",IF(OR(LEN(AX573)&lt;2,ISNUMBER(MATCH(AX573,L_Placeholder,0))),"INVALID – verifier missing",IF(AX573=AU573,"INVALID – verifier must be someone other than the PIC",IF(AND(TRIM(U573)="Pass",SUMPRODUCT(--ISNUMBER(SEARCH(L_ResultBad,AV573)))&gt;0),"INVALID – result describes a problem: use Fail, then Pass after CA",IF(AND(AQ573=1,OR(LEN(AY573)&lt;3,ISNUMBER(MATCH(AY573,L_Placeholder,0)))),"INVALID – batch ID missing or placeholder",IF(AND(AR573=1,OR(NOT(ISNUMBER(X573)),NOT(ISNUMBER(Y573)))),"INVALID – expected/actual qty missing",IF(AND(AR573=1,OR(X573&lt;=0,Y573&lt;0)),"INVALID – expected qty must be above 0 and actual not negative",IF(AH559="N/A – JUSTIFIED","INVALID – preparation row F17-T12-18 is N/A",IF(AND(AR573=1,ISNUMBER(X559),X573&lt;&gt;X559),"INVALID – expected qty differs from preparation check F17-T12-18",IF(BB573&lt;&gt;"",BB573,IF(AND(AS573=1,Documents!$J$21&lt;&gt;"ON FILE"),"INVALID – GLD not on file (Documents sheet)",IF(AND(AS573=2,Documents!$O$21&lt;&gt;"ON FILE"),"INVALID – menu checklist not on file (Documents sheet)",IF(AND(AS573=3,NOT(ISNUMBER(Flights!$AX$21))),"INVALID – enter carrying flight KUL departure (Flights AX)",IF(AND(AS573=3,OR(Flights!$AZ$21&gt;Flights!$AA$21,Flights!$AX$21&lt;Flights!$AA$21-3)),"INVALID – carrying flight (Flights AX) cannot arrive before this leg's STD, or is over 3 days early",IF(AG573&gt;AsOfUTC,"INVALID – completion time is in the future",IF(AND(ISNUMBER(S573),AG573&lt;S573),IF(H573="Physical uplift","INVALID – before uplift window (cannot confirm loading)","INVALID – before valid window"),IF(AG573&gt;Flights!$AA$21,"INVALID – completed after departure (cannot establish readiness)",IF(AND(H573="Preparation",AG573&gt;IF(ISNUMBER(Flights!$BA$21),MIN(Flights!$BA$21,Flights!$AA$21),Flights!$AA$21)),"INVALID – completed after loading / departure (cannot establish readiness)",IF(AND(H573="Physical uplift",AG573&gt;Q573),"INVALID – recorded after the loading flight departed",IF(AG573&gt;Q573,"COMPLETE – LATE","COMPLETE"))))))))))))))))))))))),IF(TRIM(U573)="Fail","FAIL – DISCREPANCY",IF(AND(TRIM(U573)&lt;&gt;"",TRIM(U573)&lt;&gt;"Not started",TRIM(U573)&lt;&gt;"In progress"),"INVALID – unrecognised status (use the list)",IF(AsOfUTC&gt;Q573,"OVERDUE",IF(N573="Clarification required","OPEN – CLARIFICATION","OPEN"))))))),"INVALID – error value in an input cell")</f>
        <v>OPEN – CLARIFICATION</v>
      </c>
      <c r="AI573" s="61" t="n">
        <f aca="false">IF(OR(AH573="N/A – RULE",AH573="N/A – JUSTIFIED"),0,1)</f>
        <v>1</v>
      </c>
      <c r="AJ573" s="61" t="n">
        <f aca="false">IF(LEFT(AH573,8)="COMPLETE",1,0)</f>
        <v>0</v>
      </c>
      <c r="AK573" s="61" t="n">
        <f aca="false">IF(AND(AI573=1,AJ573=0,AsOfUTC&gt;Q573),1,0)</f>
        <v>0</v>
      </c>
      <c r="AL573" s="61" t="n">
        <f aca="false">IFERROR(IF(AND(AI573=1,OR(TRIM(U573)="Fail",AND(TRIM(AB573)&lt;&gt;"",TRIM(AB573)&lt;&gt;"Closed"),AND(ISNUMBER(AF573),AF573&lt;&gt;0,TRIM(U573)&lt;&gt;"Pass after CA"))),1,0),1)</f>
        <v>0</v>
      </c>
      <c r="AM573" s="61" t="n">
        <f aca="false">IF(LEFT(AH573,7)="INVALID",1,0)</f>
        <v>0</v>
      </c>
      <c r="AN573" s="61" t="n">
        <f aca="false">IF(AND(N573="Clarification required",AI573=1,AJ573=0),1,0)</f>
        <v>1</v>
      </c>
      <c r="AO573" s="61" t="str">
        <f aca="false">IF(AK573=1,SUM(AK$5:AK573),"")</f>
        <v/>
      </c>
      <c r="AP573" s="61" t="str">
        <f aca="false">IF(AL573=1,SUM(AL$5:AL573),"")</f>
        <v/>
      </c>
      <c r="AQ573" s="61" t="n">
        <v>0</v>
      </c>
      <c r="AR573" s="61" t="n">
        <v>0</v>
      </c>
      <c r="AS573" s="61" t="n">
        <v>0</v>
      </c>
      <c r="AT573" s="61" t="n">
        <v>1</v>
      </c>
      <c r="AU573" s="61" t="str">
        <f aca="false">SUBSTITUTE(SUBSTITUTE(SUBSTITUTE(SUBSTITUTE(SUBSTITUTE(SUBSTITUTE(SUBSTITUTE(SUBSTITUTE(SUBSTITUTE(SUBSTITUTE(SUBSTITUTE(SUBSTITUTE(SUBSTITUTE(LOWER(T573&amp;""),CHAR(160),"")," ",""),".",""),"-",""),"/",""),"?",""),"_",""),",",""),"[",""),"]",""),"(",""),")",""),"*","")</f>
        <v/>
      </c>
      <c r="AV573" s="61" t="str">
        <f aca="false">SUBSTITUTE(SUBSTITUTE(SUBSTITUTE(SUBSTITUTE(SUBSTITUTE(SUBSTITUTE(SUBSTITUTE(SUBSTITUTE(SUBSTITUTE(SUBSTITUTE(SUBSTITUTE(SUBSTITUTE(SUBSTITUTE(LOWER(V573&amp;""),CHAR(160),"")," ",""),".",""),"-",""),"/",""),"?",""),"_",""),",",""),"[",""),"]",""),"(",""),")",""),"*","")</f>
        <v/>
      </c>
      <c r="AW573" s="61" t="str">
        <f aca="false">SUBSTITUTE(SUBSTITUTE(SUBSTITUTE(SUBSTITUTE(SUBSTITUTE(SUBSTITUTE(SUBSTITUTE(SUBSTITUTE(SUBSTITUTE(SUBSTITUTE(SUBSTITUTE(SUBSTITUTE(SUBSTITUTE(LOWER(Z573&amp;""),CHAR(160),"")," ",""),".",""),"-",""),"/",""),"?",""),"_",""),",",""),"[",""),"]",""),"(",""),")",""),"*","")</f>
        <v/>
      </c>
      <c r="AX573" s="61" t="str">
        <f aca="false">SUBSTITUTE(SUBSTITUTE(SUBSTITUTE(SUBSTITUTE(SUBSTITUTE(SUBSTITUTE(SUBSTITUTE(SUBSTITUTE(SUBSTITUTE(SUBSTITUTE(SUBSTITUTE(SUBSTITUTE(SUBSTITUTE(LOWER(AE573&amp;""),CHAR(160),"")," ",""),".",""),"-",""),"/",""),"?",""),"_",""),",",""),"[",""),"]",""),"(",""),")",""),"*","")</f>
        <v/>
      </c>
      <c r="AY573" s="61" t="str">
        <f aca="false">SUBSTITUTE(SUBSTITUTE(SUBSTITUTE(SUBSTITUTE(SUBSTITUTE(SUBSTITUTE(SUBSTITUTE(SUBSTITUTE(SUBSTITUTE(SUBSTITUTE(SUBSTITUTE(SUBSTITUTE(SUBSTITUTE(LOWER(W573&amp;""),CHAR(160),"")," ",""),".",""),"-",""),"/",""),"?",""),"_",""),",",""),"[",""),"]",""),"(",""),")",""),"*","")</f>
        <v/>
      </c>
      <c r="AZ573" s="61" t="str">
        <f aca="false">SUBSTITUTE(SUBSTITUTE(SUBSTITUTE(SUBSTITUTE(SUBSTITUTE(SUBSTITUTE(SUBSTITUTE(SUBSTITUTE(SUBSTITUTE(SUBSTITUTE(SUBSTITUTE(SUBSTITUTE(SUBSTITUTE(LOWER(AC573&amp;""),CHAR(160),"")," ",""),".",""),"-",""),"/",""),"?",""),"_",""),",",""),"[",""),"]",""),"(",""),")",""),"*","")</f>
        <v/>
      </c>
      <c r="BA573" s="61" t="str">
        <f aca="false">SUBSTITUTE(SUBSTITUTE(SUBSTITUTE(SUBSTITUTE(SUBSTITUTE(SUBSTITUTE(SUBSTITUTE(SUBSTITUTE(SUBSTITUTE(SUBSTITUTE(SUBSTITUTE(SUBSTITUTE(SUBSTITUTE(LOWER(AA573&amp;""),CHAR(160),"")," ",""),".",""),"-",""),"/",""),"?",""),"_",""),",",""),"[",""),"]",""),"(",""),")",""),"*","")</f>
        <v/>
      </c>
      <c r="BB573" s="61" t="str">
        <f aca="false">IF(AND(TRIM(U573)="Pass",ISNUMBER(AF573)),IF(AF573&lt;&gt;0,"INVALID – qty variance: use Fail or Pass after CA",""),"")&amp;IF(AND(TRIM(U573)="Pass after CA",ISNUMBER(AF573)),IF(AF573&lt;&gt;0,"INVALID – after the corrective action the actual qty must equal expected (update Actual)",""),"")&amp;IF(AND(TRIM(U573)="Pass",TRIM(AB573)&lt;&gt;"",TRIM(AB573)&lt;&gt;"Closed"),"INVALID – corrective action not closed: use Fail, then Pass after CA","")&amp;IF(AND(TRIM(AA573)&lt;&gt;"",TRIM(AB573)=""),"INVALID – CA status missing for the recorded corrective action","")&amp;IF(AND(TRIM(U573)="Pass after CA",OR(OR(LEN(BA573)&lt;5,ISNUMBER(MATCH(BA573,L_Placeholder,0))),TRIM(AB573)&lt;&gt;"Closed")),"INVALID – corrective action not recorded/closed","")</f>
        <v/>
      </c>
    </row>
    <row r="574" customFormat="false" ht="39.75" hidden="false" customHeight="true" outlineLevel="0" collapsed="false">
      <c r="A574" s="57" t="s">
        <v>1244</v>
      </c>
      <c r="B574" s="57" t="s">
        <v>290</v>
      </c>
      <c r="C574" s="57" t="str">
        <f aca="false">Flights!$F$22</f>
        <v>MH0052</v>
      </c>
      <c r="D574" s="58" t="n">
        <f aca="false">Flights!$D$22</f>
        <v>46322</v>
      </c>
      <c r="E574" s="57" t="str">
        <f aca="false">Flights!$G$22&amp;"-"&amp;Flights!$H$22</f>
        <v>KUL-KIX</v>
      </c>
      <c r="F574" s="57" t="str">
        <f aca="false">Flights!$K$22</f>
        <v>BC</v>
      </c>
      <c r="G574" s="57" t="s">
        <v>79</v>
      </c>
      <c r="H574" s="57" t="s">
        <v>356</v>
      </c>
      <c r="I574" s="57" t="s">
        <v>357</v>
      </c>
      <c r="J574" s="57" t="s">
        <v>358</v>
      </c>
      <c r="K574" s="67" t="s">
        <v>359</v>
      </c>
      <c r="L574" s="67" t="s">
        <v>360</v>
      </c>
      <c r="M574" s="67"/>
      <c r="N574" s="67" t="s">
        <v>361</v>
      </c>
      <c r="O574" s="67"/>
      <c r="P574" s="57" t="s">
        <v>184</v>
      </c>
      <c r="Q574" s="59" t="n">
        <f aca="false">ROUND((Flights!$AC$22)*1440,0)/1440</f>
        <v>46315.6006944444</v>
      </c>
      <c r="R574" s="59" t="n">
        <f aca="false">Q574+(IF(AND(INDEX(TZ_DSTS,MATCH(P574,TZ_STN,0))&lt;&gt;"",Q574&gt;=INDEX(TZ_DSTS,MATCH(P574,TZ_STN,0)),Q574&lt;INDEX(TZ_DSTE,MATCH(P574,TZ_STN,0))),INDEX(TZ_DST,MATCH(P574,TZ_STN,0)),INDEX(TZ_STD,MATCH(P574,TZ_STN,0))))/24</f>
        <v>46315.9340277778</v>
      </c>
      <c r="S574" s="59" t="n">
        <f aca="false">Q574-T7EarlyD*24/24</f>
        <v>46301.6006944444</v>
      </c>
      <c r="T574" s="60"/>
      <c r="U574" s="60"/>
      <c r="V574" s="60"/>
      <c r="W574" s="61"/>
      <c r="X574" s="60"/>
      <c r="Y574" s="60"/>
      <c r="Z574" s="60"/>
      <c r="AA574" s="60"/>
      <c r="AB574" s="60"/>
      <c r="AC574" s="60"/>
      <c r="AD574" s="66"/>
      <c r="AE574" s="60"/>
      <c r="AF574" s="61" t="str">
        <f aca="false">IF(AND(ISNUMBER(X574),ISNUMBER(Y574)),Y574-X574,"")</f>
        <v/>
      </c>
      <c r="AG574" s="62" t="str">
        <f aca="false">IF(ISNUMBER(AD574),AD574-(IF(AND(INDEX(TZ_DSTS,MATCH(P574,TZ_STN,0))&lt;&gt;"",(AD574-INDEX(TZ_STD,MATCH(P574,TZ_STN,0))/24)&gt;=INDEX(TZ_DSTS,MATCH(P574,TZ_STN,0)),(AD574-INDEX(TZ_STD,MATCH(P574,TZ_STN,0))/24)&lt;INDEX(TZ_DSTE,MATCH(P574,TZ_STN,0))),INDEX(TZ_DST,MATCH(P574,TZ_STN,0)),INDEX(TZ_STD,MATCH(P574,TZ_STN,0))))/24,"")</f>
        <v/>
      </c>
      <c r="AH574" s="65" t="str">
        <f aca="false">IFERROR(IF(N574="N/A – rule","N/A – RULE",IF(TRIM(U574)="N/A",IF(AT574=0,"INVALID – N/A not permitted for this check",IF(AND(TRIM(AB574)&lt;&gt;"",TRIM(AB574)&lt;&gt;"Closed"),"INVALID – corrective action still open",IF(AND(NOT(OR(LEN(AZ574)&lt;15,ISNUMBER(MATCH(AZ574,L_Placeholder,0)))),NOT(OR(LEN(AU574)&lt;2,ISNUMBER(MATCH(AU574,L_Placeholder,0)))),NOT(OR(LEN(AX574)&lt;2,ISNUMBER(MATCH(AX574,L_Placeholder,0)))),TRIM(AE574)&lt;&gt;TRIM(T574)),"N/A – JUSTIFIED","INVALID – N/A needs a real justification (15+ chars), PIC and a different verifier"))),IF(OR(TRIM(U574)="Pass",TRIM(U574)="Pass after CA"),IF(NOT(ISNUMBER(AD574)),"INVALID – completion time missing",IF(OR(LEN(AU574)&lt;2,ISNUMBER(MATCH(AU574,L_Placeholder,0))),"INVALID – PIC missing",IF(OR(LEN(AV574)&lt;2,ISNUMBER(MATCH(AV574,L_Placeholder,0))),"INVALID – result / assessment missing",IF(OR(OR(LEN(AW574)&lt;3,ISNUMBER(MATCH(AW574,L_Placeholder,0))),SUMPRODUCT(--ISNUMBER(SEARCH(L_EvidencePhrase,AW574)))&gt;0),"INVALID – evidence missing, placeholder or not yet on file",IF(OR(LEN(AX574)&lt;2,ISNUMBER(MATCH(AX574,L_Placeholder,0))),"INVALID – verifier missing",IF(AX574=AU574,"INVALID – verifier must be someone other than the PIC",IF(AND(TRIM(U574)="Pass",SUMPRODUCT(--ISNUMBER(SEARCH(L_ResultBad,AV574)))&gt;0),"INVALID – result describes a problem: use Fail, then Pass after CA",IF(AND(AQ574=1,OR(LEN(AY574)&lt;3,ISNUMBER(MATCH(AY574,L_Placeholder,0)))),"INVALID – batch ID missing or placeholder",IF(AND(AR574=1,OR(NOT(ISNUMBER(X574)),NOT(ISNUMBER(Y574)))),"INVALID – expected/actual qty missing",IF(AND(AR574=1,OR(X574&lt;=0,Y574&lt;0)),"INVALID – expected qty must be above 0 and actual not negative",IF(BB574&lt;&gt;"",BB574,IF(AND(AS574=1,Documents!$J$22&lt;&gt;"ON FILE"),"INVALID – GLD not on file (Documents sheet)",IF(AND(AS574=2,Documents!$O$22&lt;&gt;"ON FILE"),"INVALID – menu checklist not on file (Documents sheet)",IF(AND(AS574=3,NOT(ISNUMBER(Flights!$AX$22))),"INVALID – enter carrying flight KUL departure (Flights AX)",IF(AND(AS574=3,OR(Flights!$AZ$22&gt;Flights!$AA$22,Flights!$AX$22&lt;Flights!$AA$22-3)),"INVALID – carrying flight (Flights AX) cannot arrive before this leg's STD, or is over 3 days early",IF(AG574&gt;AsOfUTC,"INVALID – completion time is in the future",IF(AND(ISNUMBER(S574),AG574&lt;S574),IF(H574="Physical uplift","INVALID – before uplift window (cannot confirm loading)","INVALID – before valid window"),IF(AG574&gt;Flights!$AA$22,"INVALID – completed after departure (cannot establish readiness)",IF(AND(H574="Preparation",AG574&gt;IF(ISNUMBER(Flights!$BA$22),MIN(Flights!$BA$22,Flights!$AA$22),Flights!$AA$22)),"INVALID – completed after loading / departure (cannot establish readiness)",IF(AND(H574="Physical uplift",AG574&gt;Q574),"INVALID – recorded after the loading flight departed",IF(AG574&gt;Q574,"COMPLETE – LATE","COMPLETE"))))))))))))))))))))),IF(TRIM(U574)="Fail","FAIL – DISCREPANCY",IF(AND(TRIM(U574)&lt;&gt;"",TRIM(U574)&lt;&gt;"Not started",TRIM(U574)&lt;&gt;"In progress"),"INVALID – unrecognised status (use the list)",IF(AsOfUTC&gt;Q574,"OVERDUE",IF(N574="Clarification required","OPEN – CLARIFICATION","OPEN"))))))),"INVALID – error value in an input cell")</f>
        <v>OPEN</v>
      </c>
      <c r="AI574" s="61" t="n">
        <f aca="false">IF(OR(AH574="N/A – RULE",AH574="N/A – JUSTIFIED"),0,1)</f>
        <v>1</v>
      </c>
      <c r="AJ574" s="61" t="n">
        <f aca="false">IF(LEFT(AH574,8)="COMPLETE",1,0)</f>
        <v>0</v>
      </c>
      <c r="AK574" s="61" t="n">
        <f aca="false">IF(AND(AI574=1,AJ574=0,AsOfUTC&gt;Q574),1,0)</f>
        <v>0</v>
      </c>
      <c r="AL574" s="61" t="n">
        <f aca="false">IFERROR(IF(AND(AI574=1,OR(TRIM(U574)="Fail",AND(TRIM(AB574)&lt;&gt;"",TRIM(AB574)&lt;&gt;"Closed"),AND(ISNUMBER(AF574),AF574&lt;&gt;0,TRIM(U574)&lt;&gt;"Pass after CA"))),1,0),1)</f>
        <v>0</v>
      </c>
      <c r="AM574" s="61" t="n">
        <f aca="false">IF(LEFT(AH574,7)="INVALID",1,0)</f>
        <v>0</v>
      </c>
      <c r="AN574" s="61" t="n">
        <f aca="false">IF(AND(N574="Clarification required",AI574=1,AJ574=0),1,0)</f>
        <v>0</v>
      </c>
      <c r="AO574" s="61" t="str">
        <f aca="false">IF(AK574=1,SUM(AK$5:AK574),"")</f>
        <v/>
      </c>
      <c r="AP574" s="61" t="str">
        <f aca="false">IF(AL574=1,SUM(AL$5:AL574),"")</f>
        <v/>
      </c>
      <c r="AQ574" s="61" t="n">
        <v>0</v>
      </c>
      <c r="AR574" s="61" t="n">
        <v>0</v>
      </c>
      <c r="AS574" s="61" t="n">
        <v>0</v>
      </c>
      <c r="AT574" s="61" t="n">
        <v>0</v>
      </c>
      <c r="AU574" s="61" t="str">
        <f aca="false">SUBSTITUTE(SUBSTITUTE(SUBSTITUTE(SUBSTITUTE(SUBSTITUTE(SUBSTITUTE(SUBSTITUTE(SUBSTITUTE(SUBSTITUTE(SUBSTITUTE(SUBSTITUTE(SUBSTITUTE(SUBSTITUTE(LOWER(T574&amp;""),CHAR(160),"")," ",""),".",""),"-",""),"/",""),"?",""),"_",""),",",""),"[",""),"]",""),"(",""),")",""),"*","")</f>
        <v/>
      </c>
      <c r="AV574" s="61" t="str">
        <f aca="false">SUBSTITUTE(SUBSTITUTE(SUBSTITUTE(SUBSTITUTE(SUBSTITUTE(SUBSTITUTE(SUBSTITUTE(SUBSTITUTE(SUBSTITUTE(SUBSTITUTE(SUBSTITUTE(SUBSTITUTE(SUBSTITUTE(LOWER(V574&amp;""),CHAR(160),"")," ",""),".",""),"-",""),"/",""),"?",""),"_",""),",",""),"[",""),"]",""),"(",""),")",""),"*","")</f>
        <v/>
      </c>
      <c r="AW574" s="61" t="str">
        <f aca="false">SUBSTITUTE(SUBSTITUTE(SUBSTITUTE(SUBSTITUTE(SUBSTITUTE(SUBSTITUTE(SUBSTITUTE(SUBSTITUTE(SUBSTITUTE(SUBSTITUTE(SUBSTITUTE(SUBSTITUTE(SUBSTITUTE(LOWER(Z574&amp;""),CHAR(160),"")," ",""),".",""),"-",""),"/",""),"?",""),"_",""),",",""),"[",""),"]",""),"(",""),")",""),"*","")</f>
        <v/>
      </c>
      <c r="AX574" s="61" t="str">
        <f aca="false">SUBSTITUTE(SUBSTITUTE(SUBSTITUTE(SUBSTITUTE(SUBSTITUTE(SUBSTITUTE(SUBSTITUTE(SUBSTITUTE(SUBSTITUTE(SUBSTITUTE(SUBSTITUTE(SUBSTITUTE(SUBSTITUTE(LOWER(AE574&amp;""),CHAR(160),"")," ",""),".",""),"-",""),"/",""),"?",""),"_",""),",",""),"[",""),"]",""),"(",""),")",""),"*","")</f>
        <v/>
      </c>
      <c r="AY574" s="61" t="str">
        <f aca="false">SUBSTITUTE(SUBSTITUTE(SUBSTITUTE(SUBSTITUTE(SUBSTITUTE(SUBSTITUTE(SUBSTITUTE(SUBSTITUTE(SUBSTITUTE(SUBSTITUTE(SUBSTITUTE(SUBSTITUTE(SUBSTITUTE(LOWER(W574&amp;""),CHAR(160),"")," ",""),".",""),"-",""),"/",""),"?",""),"_",""),",",""),"[",""),"]",""),"(",""),")",""),"*","")</f>
        <v/>
      </c>
      <c r="AZ574" s="61" t="str">
        <f aca="false">SUBSTITUTE(SUBSTITUTE(SUBSTITUTE(SUBSTITUTE(SUBSTITUTE(SUBSTITUTE(SUBSTITUTE(SUBSTITUTE(SUBSTITUTE(SUBSTITUTE(SUBSTITUTE(SUBSTITUTE(SUBSTITUTE(LOWER(AC574&amp;""),CHAR(160),"")," ",""),".",""),"-",""),"/",""),"?",""),"_",""),",",""),"[",""),"]",""),"(",""),")",""),"*","")</f>
        <v/>
      </c>
      <c r="BA574" s="61" t="str">
        <f aca="false">SUBSTITUTE(SUBSTITUTE(SUBSTITUTE(SUBSTITUTE(SUBSTITUTE(SUBSTITUTE(SUBSTITUTE(SUBSTITUTE(SUBSTITUTE(SUBSTITUTE(SUBSTITUTE(SUBSTITUTE(SUBSTITUTE(LOWER(AA574&amp;""),CHAR(160),"")," ",""),".",""),"-",""),"/",""),"?",""),"_",""),",",""),"[",""),"]",""),"(",""),")",""),"*","")</f>
        <v/>
      </c>
      <c r="BB574" s="61" t="str">
        <f aca="false">IF(AND(TRIM(U574)="Pass",ISNUMBER(AF574)),IF(AF574&lt;&gt;0,"INVALID – qty variance: use Fail or Pass after CA",""),"")&amp;IF(AND(TRIM(U574)="Pass after CA",ISNUMBER(AF574)),IF(AF574&lt;&gt;0,"INVALID – after the corrective action the actual qty must equal expected (update Actual)",""),"")&amp;IF(AND(TRIM(U574)="Pass",TRIM(AB574)&lt;&gt;"",TRIM(AB574)&lt;&gt;"Closed"),"INVALID – corrective action not closed: use Fail, then Pass after CA","")&amp;IF(AND(TRIM(AA574)&lt;&gt;"",TRIM(AB574)=""),"INVALID – CA status missing for the recorded corrective action","")&amp;IF(AND(TRIM(U574)="Pass after CA",OR(OR(LEN(BA574)&lt;5,ISNUMBER(MATCH(BA574,L_Placeholder,0))),TRIM(AB574)&lt;&gt;"Closed")),"INVALID – corrective action not recorded/closed","")</f>
        <v/>
      </c>
    </row>
    <row r="575" customFormat="false" ht="39.75" hidden="false" customHeight="true" outlineLevel="0" collapsed="false">
      <c r="A575" s="57" t="s">
        <v>1245</v>
      </c>
      <c r="B575" s="57" t="s">
        <v>290</v>
      </c>
      <c r="C575" s="57" t="str">
        <f aca="false">Flights!$F$22</f>
        <v>MH0052</v>
      </c>
      <c r="D575" s="58" t="n">
        <f aca="false">Flights!$D$22</f>
        <v>46322</v>
      </c>
      <c r="E575" s="57" t="str">
        <f aca="false">Flights!$G$22&amp;"-"&amp;Flights!$H$22</f>
        <v>KUL-KIX</v>
      </c>
      <c r="F575" s="57" t="str">
        <f aca="false">Flights!$K$22</f>
        <v>BC</v>
      </c>
      <c r="G575" s="57" t="s">
        <v>79</v>
      </c>
      <c r="H575" s="57" t="s">
        <v>356</v>
      </c>
      <c r="I575" s="57" t="s">
        <v>363</v>
      </c>
      <c r="J575" s="57" t="s">
        <v>364</v>
      </c>
      <c r="K575" s="67" t="s">
        <v>365</v>
      </c>
      <c r="L575" s="67" t="s">
        <v>360</v>
      </c>
      <c r="M575" s="67"/>
      <c r="N575" s="67" t="s">
        <v>361</v>
      </c>
      <c r="O575" s="67"/>
      <c r="P575" s="57" t="s">
        <v>184</v>
      </c>
      <c r="Q575" s="59" t="n">
        <f aca="false">ROUND((Flights!$AC$22)*1440,0)/1440</f>
        <v>46315.6006944444</v>
      </c>
      <c r="R575" s="59" t="n">
        <f aca="false">Q575+(IF(AND(INDEX(TZ_DSTS,MATCH(P575,TZ_STN,0))&lt;&gt;"",Q575&gt;=INDEX(TZ_DSTS,MATCH(P575,TZ_STN,0)),Q575&lt;INDEX(TZ_DSTE,MATCH(P575,TZ_STN,0))),INDEX(TZ_DST,MATCH(P575,TZ_STN,0)),INDEX(TZ_STD,MATCH(P575,TZ_STN,0))))/24</f>
        <v>46315.9340277778</v>
      </c>
      <c r="S575" s="59" t="n">
        <f aca="false">Q575-T7EarlyD*24/24</f>
        <v>46301.6006944444</v>
      </c>
      <c r="T575" s="60"/>
      <c r="U575" s="60"/>
      <c r="V575" s="60"/>
      <c r="W575" s="61"/>
      <c r="X575" s="60"/>
      <c r="Y575" s="60"/>
      <c r="Z575" s="60"/>
      <c r="AA575" s="60"/>
      <c r="AB575" s="60"/>
      <c r="AC575" s="60"/>
      <c r="AD575" s="66"/>
      <c r="AE575" s="60"/>
      <c r="AF575" s="61" t="str">
        <f aca="false">IF(AND(ISNUMBER(X575),ISNUMBER(Y575)),Y575-X575,"")</f>
        <v/>
      </c>
      <c r="AG575" s="62" t="str">
        <f aca="false">IF(ISNUMBER(AD575),AD575-(IF(AND(INDEX(TZ_DSTS,MATCH(P575,TZ_STN,0))&lt;&gt;"",(AD575-INDEX(TZ_STD,MATCH(P575,TZ_STN,0))/24)&gt;=INDEX(TZ_DSTS,MATCH(P575,TZ_STN,0)),(AD575-INDEX(TZ_STD,MATCH(P575,TZ_STN,0))/24)&lt;INDEX(TZ_DSTE,MATCH(P575,TZ_STN,0))),INDEX(TZ_DST,MATCH(P575,TZ_STN,0)),INDEX(TZ_STD,MATCH(P575,TZ_STN,0))))/24,"")</f>
        <v/>
      </c>
      <c r="AH575" s="65" t="str">
        <f aca="false">IFERROR(IF(N575="N/A – rule","N/A – RULE",IF(TRIM(U575)="N/A",IF(AT575=0,"INVALID – N/A not permitted for this check",IF(AND(TRIM(AB575)&lt;&gt;"",TRIM(AB575)&lt;&gt;"Closed"),"INVALID – corrective action still open",IF(AND(NOT(OR(LEN(AZ575)&lt;15,ISNUMBER(MATCH(AZ575,L_Placeholder,0)))),NOT(OR(LEN(AU575)&lt;2,ISNUMBER(MATCH(AU575,L_Placeholder,0)))),NOT(OR(LEN(AX575)&lt;2,ISNUMBER(MATCH(AX575,L_Placeholder,0)))),TRIM(AE575)&lt;&gt;TRIM(T575)),"N/A – JUSTIFIED","INVALID – N/A needs a real justification (15+ chars), PIC and a different verifier"))),IF(OR(TRIM(U575)="Pass",TRIM(U575)="Pass after CA"),IF(NOT(ISNUMBER(AD575)),"INVALID – completion time missing",IF(OR(LEN(AU575)&lt;2,ISNUMBER(MATCH(AU575,L_Placeholder,0))),"INVALID – PIC missing",IF(OR(LEN(AV575)&lt;2,ISNUMBER(MATCH(AV575,L_Placeholder,0))),"INVALID – result / assessment missing",IF(OR(OR(LEN(AW575)&lt;3,ISNUMBER(MATCH(AW575,L_Placeholder,0))),SUMPRODUCT(--ISNUMBER(SEARCH(L_EvidencePhrase,AW575)))&gt;0),"INVALID – evidence missing, placeholder or not yet on file",IF(OR(LEN(AX575)&lt;2,ISNUMBER(MATCH(AX575,L_Placeholder,0))),"INVALID – verifier missing",IF(AX575=AU575,"INVALID – verifier must be someone other than the PIC",IF(AND(TRIM(U575)="Pass",SUMPRODUCT(--ISNUMBER(SEARCH(L_ResultBad,AV575)))&gt;0),"INVALID – result describes a problem: use Fail, then Pass after CA",IF(AND(AQ575=1,OR(LEN(AY575)&lt;3,ISNUMBER(MATCH(AY575,L_Placeholder,0)))),"INVALID – batch ID missing or placeholder",IF(AND(AR575=1,OR(NOT(ISNUMBER(X575)),NOT(ISNUMBER(Y575)))),"INVALID – expected/actual qty missing",IF(AND(AR575=1,OR(X575&lt;=0,Y575&lt;0)),"INVALID – expected qty must be above 0 and actual not negative",IF(BB575&lt;&gt;"",BB575,IF(AND(AS575=1,Documents!$J$22&lt;&gt;"ON FILE"),"INVALID – GLD not on file (Documents sheet)",IF(AND(AS575=2,Documents!$O$22&lt;&gt;"ON FILE"),"INVALID – menu checklist not on file (Documents sheet)",IF(AND(AS575=3,NOT(ISNUMBER(Flights!$AX$22))),"INVALID – enter carrying flight KUL departure (Flights AX)",IF(AND(AS575=3,OR(Flights!$AZ$22&gt;Flights!$AA$22,Flights!$AX$22&lt;Flights!$AA$22-3)),"INVALID – carrying flight (Flights AX) cannot arrive before this leg's STD, or is over 3 days early",IF(AG575&gt;AsOfUTC,"INVALID – completion time is in the future",IF(AND(ISNUMBER(S575),AG575&lt;S575),IF(H575="Physical uplift","INVALID – before uplift window (cannot confirm loading)","INVALID – before valid window"),IF(AG575&gt;Flights!$AA$22,"INVALID – completed after departure (cannot establish readiness)",IF(AND(H575="Preparation",AG575&gt;IF(ISNUMBER(Flights!$BA$22),MIN(Flights!$BA$22,Flights!$AA$22),Flights!$AA$22)),"INVALID – completed after loading / departure (cannot establish readiness)",IF(AND(H575="Physical uplift",AG575&gt;Q575),"INVALID – recorded after the loading flight departed",IF(AG575&gt;Q575,"COMPLETE – LATE","COMPLETE"))))))))))))))))))))),IF(TRIM(U575)="Fail","FAIL – DISCREPANCY",IF(AND(TRIM(U575)&lt;&gt;"",TRIM(U575)&lt;&gt;"Not started",TRIM(U575)&lt;&gt;"In progress"),"INVALID – unrecognised status (use the list)",IF(AsOfUTC&gt;Q575,"OVERDUE",IF(N575="Clarification required","OPEN – CLARIFICATION","OPEN"))))))),"INVALID – error value in an input cell")</f>
        <v>OPEN</v>
      </c>
      <c r="AI575" s="61" t="n">
        <f aca="false">IF(OR(AH575="N/A – RULE",AH575="N/A – JUSTIFIED"),0,1)</f>
        <v>1</v>
      </c>
      <c r="AJ575" s="61" t="n">
        <f aca="false">IF(LEFT(AH575,8)="COMPLETE",1,0)</f>
        <v>0</v>
      </c>
      <c r="AK575" s="61" t="n">
        <f aca="false">IF(AND(AI575=1,AJ575=0,AsOfUTC&gt;Q575),1,0)</f>
        <v>0</v>
      </c>
      <c r="AL575" s="61" t="n">
        <f aca="false">IFERROR(IF(AND(AI575=1,OR(TRIM(U575)="Fail",AND(TRIM(AB575)&lt;&gt;"",TRIM(AB575)&lt;&gt;"Closed"),AND(ISNUMBER(AF575),AF575&lt;&gt;0,TRIM(U575)&lt;&gt;"Pass after CA"))),1,0),1)</f>
        <v>0</v>
      </c>
      <c r="AM575" s="61" t="n">
        <f aca="false">IF(LEFT(AH575,7)="INVALID",1,0)</f>
        <v>0</v>
      </c>
      <c r="AN575" s="61" t="n">
        <f aca="false">IF(AND(N575="Clarification required",AI575=1,AJ575=0),1,0)</f>
        <v>0</v>
      </c>
      <c r="AO575" s="61" t="str">
        <f aca="false">IF(AK575=1,SUM(AK$5:AK575),"")</f>
        <v/>
      </c>
      <c r="AP575" s="61" t="str">
        <f aca="false">IF(AL575=1,SUM(AL$5:AL575),"")</f>
        <v/>
      </c>
      <c r="AQ575" s="61" t="n">
        <v>0</v>
      </c>
      <c r="AR575" s="61" t="n">
        <v>0</v>
      </c>
      <c r="AS575" s="61" t="n">
        <v>0</v>
      </c>
      <c r="AT575" s="61" t="n">
        <v>0</v>
      </c>
      <c r="AU575" s="61" t="str">
        <f aca="false">SUBSTITUTE(SUBSTITUTE(SUBSTITUTE(SUBSTITUTE(SUBSTITUTE(SUBSTITUTE(SUBSTITUTE(SUBSTITUTE(SUBSTITUTE(SUBSTITUTE(SUBSTITUTE(SUBSTITUTE(SUBSTITUTE(LOWER(T575&amp;""),CHAR(160),"")," ",""),".",""),"-",""),"/",""),"?",""),"_",""),",",""),"[",""),"]",""),"(",""),")",""),"*","")</f>
        <v/>
      </c>
      <c r="AV575" s="61" t="str">
        <f aca="false">SUBSTITUTE(SUBSTITUTE(SUBSTITUTE(SUBSTITUTE(SUBSTITUTE(SUBSTITUTE(SUBSTITUTE(SUBSTITUTE(SUBSTITUTE(SUBSTITUTE(SUBSTITUTE(SUBSTITUTE(SUBSTITUTE(LOWER(V575&amp;""),CHAR(160),"")," ",""),".",""),"-",""),"/",""),"?",""),"_",""),",",""),"[",""),"]",""),"(",""),")",""),"*","")</f>
        <v/>
      </c>
      <c r="AW575" s="61" t="str">
        <f aca="false">SUBSTITUTE(SUBSTITUTE(SUBSTITUTE(SUBSTITUTE(SUBSTITUTE(SUBSTITUTE(SUBSTITUTE(SUBSTITUTE(SUBSTITUTE(SUBSTITUTE(SUBSTITUTE(SUBSTITUTE(SUBSTITUTE(LOWER(Z575&amp;""),CHAR(160),"")," ",""),".",""),"-",""),"/",""),"?",""),"_",""),",",""),"[",""),"]",""),"(",""),")",""),"*","")</f>
        <v/>
      </c>
      <c r="AX575" s="61" t="str">
        <f aca="false">SUBSTITUTE(SUBSTITUTE(SUBSTITUTE(SUBSTITUTE(SUBSTITUTE(SUBSTITUTE(SUBSTITUTE(SUBSTITUTE(SUBSTITUTE(SUBSTITUTE(SUBSTITUTE(SUBSTITUTE(SUBSTITUTE(LOWER(AE575&amp;""),CHAR(160),"")," ",""),".",""),"-",""),"/",""),"?",""),"_",""),",",""),"[",""),"]",""),"(",""),")",""),"*","")</f>
        <v/>
      </c>
      <c r="AY575" s="61" t="str">
        <f aca="false">SUBSTITUTE(SUBSTITUTE(SUBSTITUTE(SUBSTITUTE(SUBSTITUTE(SUBSTITUTE(SUBSTITUTE(SUBSTITUTE(SUBSTITUTE(SUBSTITUTE(SUBSTITUTE(SUBSTITUTE(SUBSTITUTE(LOWER(W575&amp;""),CHAR(160),"")," ",""),".",""),"-",""),"/",""),"?",""),"_",""),",",""),"[",""),"]",""),"(",""),")",""),"*","")</f>
        <v/>
      </c>
      <c r="AZ575" s="61" t="str">
        <f aca="false">SUBSTITUTE(SUBSTITUTE(SUBSTITUTE(SUBSTITUTE(SUBSTITUTE(SUBSTITUTE(SUBSTITUTE(SUBSTITUTE(SUBSTITUTE(SUBSTITUTE(SUBSTITUTE(SUBSTITUTE(SUBSTITUTE(LOWER(AC575&amp;""),CHAR(160),"")," ",""),".",""),"-",""),"/",""),"?",""),"_",""),",",""),"[",""),"]",""),"(",""),")",""),"*","")</f>
        <v/>
      </c>
      <c r="BA575" s="61" t="str">
        <f aca="false">SUBSTITUTE(SUBSTITUTE(SUBSTITUTE(SUBSTITUTE(SUBSTITUTE(SUBSTITUTE(SUBSTITUTE(SUBSTITUTE(SUBSTITUTE(SUBSTITUTE(SUBSTITUTE(SUBSTITUTE(SUBSTITUTE(LOWER(AA575&amp;""),CHAR(160),"")," ",""),".",""),"-",""),"/",""),"?",""),"_",""),",",""),"[",""),"]",""),"(",""),")",""),"*","")</f>
        <v/>
      </c>
      <c r="BB575" s="61" t="str">
        <f aca="false">IF(AND(TRIM(U575)="Pass",ISNUMBER(AF575)),IF(AF575&lt;&gt;0,"INVALID – qty variance: use Fail or Pass after CA",""),"")&amp;IF(AND(TRIM(U575)="Pass after CA",ISNUMBER(AF575)),IF(AF575&lt;&gt;0,"INVALID – after the corrective action the actual qty must equal expected (update Actual)",""),"")&amp;IF(AND(TRIM(U575)="Pass",TRIM(AB575)&lt;&gt;"",TRIM(AB575)&lt;&gt;"Closed"),"INVALID – corrective action not closed: use Fail, then Pass after CA","")&amp;IF(AND(TRIM(AA575)&lt;&gt;"",TRIM(AB575)=""),"INVALID – CA status missing for the recorded corrective action","")&amp;IF(AND(TRIM(U575)="Pass after CA",OR(OR(LEN(BA575)&lt;5,ISNUMBER(MATCH(BA575,L_Placeholder,0))),TRIM(AB575)&lt;&gt;"Closed")),"INVALID – corrective action not recorded/closed","")</f>
        <v/>
      </c>
    </row>
    <row r="576" customFormat="false" ht="41.25" hidden="false" customHeight="true" outlineLevel="0" collapsed="false">
      <c r="A576" s="57" t="s">
        <v>1246</v>
      </c>
      <c r="B576" s="57" t="s">
        <v>290</v>
      </c>
      <c r="C576" s="57" t="str">
        <f aca="false">Flights!$F$22</f>
        <v>MH0052</v>
      </c>
      <c r="D576" s="58" t="n">
        <f aca="false">Flights!$D$22</f>
        <v>46322</v>
      </c>
      <c r="E576" s="57" t="str">
        <f aca="false">Flights!$G$22&amp;"-"&amp;Flights!$H$22</f>
        <v>KUL-KIX</v>
      </c>
      <c r="F576" s="57" t="str">
        <f aca="false">Flights!$K$22</f>
        <v>BC</v>
      </c>
      <c r="G576" s="57" t="s">
        <v>79</v>
      </c>
      <c r="H576" s="57" t="s">
        <v>356</v>
      </c>
      <c r="I576" s="57" t="s">
        <v>367</v>
      </c>
      <c r="J576" s="57" t="s">
        <v>368</v>
      </c>
      <c r="K576" s="67" t="s">
        <v>369</v>
      </c>
      <c r="L576" s="67" t="s">
        <v>360</v>
      </c>
      <c r="M576" s="67"/>
      <c r="N576" s="67" t="str">
        <f aca="false">IF(TRIM(Flights!$L$22)="A339","Required","N/A – rule")</f>
        <v>N/A – rule</v>
      </c>
      <c r="O576" s="67" t="s">
        <v>370</v>
      </c>
      <c r="P576" s="57" t="s">
        <v>184</v>
      </c>
      <c r="Q576" s="59" t="n">
        <f aca="false">ROUND((Flights!$AC$22)*1440,0)/1440</f>
        <v>46315.6006944444</v>
      </c>
      <c r="R576" s="59" t="n">
        <f aca="false">Q576+(IF(AND(INDEX(TZ_DSTS,MATCH(P576,TZ_STN,0))&lt;&gt;"",Q576&gt;=INDEX(TZ_DSTS,MATCH(P576,TZ_STN,0)),Q576&lt;INDEX(TZ_DSTE,MATCH(P576,TZ_STN,0))),INDEX(TZ_DST,MATCH(P576,TZ_STN,0)),INDEX(TZ_STD,MATCH(P576,TZ_STN,0))))/24</f>
        <v>46315.9340277778</v>
      </c>
      <c r="S576" s="59" t="n">
        <f aca="false">Q576-T7EarlyD*24/24</f>
        <v>46301.6006944444</v>
      </c>
      <c r="T576" s="60"/>
      <c r="U576" s="60"/>
      <c r="V576" s="60"/>
      <c r="W576" s="61"/>
      <c r="X576" s="60"/>
      <c r="Y576" s="60"/>
      <c r="Z576" s="60"/>
      <c r="AA576" s="60"/>
      <c r="AB576" s="60"/>
      <c r="AC576" s="60"/>
      <c r="AD576" s="66"/>
      <c r="AE576" s="60"/>
      <c r="AF576" s="61" t="str">
        <f aca="false">IF(AND(ISNUMBER(X576),ISNUMBER(Y576)),Y576-X576,"")</f>
        <v/>
      </c>
      <c r="AG576" s="62" t="str">
        <f aca="false">IF(ISNUMBER(AD576),AD576-(IF(AND(INDEX(TZ_DSTS,MATCH(P576,TZ_STN,0))&lt;&gt;"",(AD576-INDEX(TZ_STD,MATCH(P576,TZ_STN,0))/24)&gt;=INDEX(TZ_DSTS,MATCH(P576,TZ_STN,0)),(AD576-INDEX(TZ_STD,MATCH(P576,TZ_STN,0))/24)&lt;INDEX(TZ_DSTE,MATCH(P576,TZ_STN,0))),INDEX(TZ_DST,MATCH(P576,TZ_STN,0)),INDEX(TZ_STD,MATCH(P576,TZ_STN,0))))/24,"")</f>
        <v/>
      </c>
      <c r="AH576" s="65" t="str">
        <f aca="false">IFERROR(IF(N576="N/A – rule","N/A – RULE",IF(TRIM(U576)="N/A",IF(AT576=0,"INVALID – N/A not permitted for this check",IF(AND(TRIM(AB576)&lt;&gt;"",TRIM(AB576)&lt;&gt;"Closed"),"INVALID – corrective action still open",IF(AND(NOT(OR(LEN(AZ576)&lt;15,ISNUMBER(MATCH(AZ576,L_Placeholder,0)))),NOT(OR(LEN(AU576)&lt;2,ISNUMBER(MATCH(AU576,L_Placeholder,0)))),NOT(OR(LEN(AX576)&lt;2,ISNUMBER(MATCH(AX576,L_Placeholder,0)))),TRIM(AE576)&lt;&gt;TRIM(T576)),"N/A – JUSTIFIED","INVALID – N/A needs a real justification (15+ chars), PIC and a different verifier"))),IF(OR(TRIM(U576)="Pass",TRIM(U576)="Pass after CA"),IF(NOT(ISNUMBER(AD576)),"INVALID – completion time missing",IF(OR(LEN(AU576)&lt;2,ISNUMBER(MATCH(AU576,L_Placeholder,0))),"INVALID – PIC missing",IF(OR(LEN(AV576)&lt;2,ISNUMBER(MATCH(AV576,L_Placeholder,0))),"INVALID – result / assessment missing",IF(OR(OR(LEN(AW576)&lt;3,ISNUMBER(MATCH(AW576,L_Placeholder,0))),SUMPRODUCT(--ISNUMBER(SEARCH(L_EvidencePhrase,AW576)))&gt;0),"INVALID – evidence missing, placeholder or not yet on file",IF(OR(LEN(AX576)&lt;2,ISNUMBER(MATCH(AX576,L_Placeholder,0))),"INVALID – verifier missing",IF(AX576=AU576,"INVALID – verifier must be someone other than the PIC",IF(AND(TRIM(U576)="Pass",SUMPRODUCT(--ISNUMBER(SEARCH(L_ResultBad,AV576)))&gt;0),"INVALID – result describes a problem: use Fail, then Pass after CA",IF(AND(AQ576=1,OR(LEN(AY576)&lt;3,ISNUMBER(MATCH(AY576,L_Placeholder,0)))),"INVALID – batch ID missing or placeholder",IF(AND(AR576=1,OR(NOT(ISNUMBER(X576)),NOT(ISNUMBER(Y576)))),"INVALID – expected/actual qty missing",IF(AND(AR576=1,OR(X576&lt;=0,Y576&lt;0)),"INVALID – expected qty must be above 0 and actual not negative",IF(BB576&lt;&gt;"",BB576,IF(AND(AS576=1,Documents!$J$22&lt;&gt;"ON FILE"),"INVALID – GLD not on file (Documents sheet)",IF(AND(AS576=2,Documents!$O$22&lt;&gt;"ON FILE"),"INVALID – menu checklist not on file (Documents sheet)",IF(AND(AS576=3,NOT(ISNUMBER(Flights!$AX$22))),"INVALID – enter carrying flight KUL departure (Flights AX)",IF(AND(AS576=3,OR(Flights!$AZ$22&gt;Flights!$AA$22,Flights!$AX$22&lt;Flights!$AA$22-3)),"INVALID – carrying flight (Flights AX) cannot arrive before this leg's STD, or is over 3 days early",IF(AG576&gt;AsOfUTC,"INVALID – completion time is in the future",IF(AND(ISNUMBER(S576),AG576&lt;S576),IF(H576="Physical uplift","INVALID – before uplift window (cannot confirm loading)","INVALID – before valid window"),IF(AG576&gt;Flights!$AA$22,"INVALID – completed after departure (cannot establish readiness)",IF(AND(H576="Preparation",AG576&gt;IF(ISNUMBER(Flights!$BA$22),MIN(Flights!$BA$22,Flights!$AA$22),Flights!$AA$22)),"INVALID – completed after loading / departure (cannot establish readiness)",IF(AND(H576="Physical uplift",AG576&gt;Q576),"INVALID – recorded after the loading flight departed",IF(AG576&gt;Q576,"COMPLETE – LATE","COMPLETE"))))))))))))))))))))),IF(TRIM(U576)="Fail","FAIL – DISCREPANCY",IF(AND(TRIM(U576)&lt;&gt;"",TRIM(U576)&lt;&gt;"Not started",TRIM(U576)&lt;&gt;"In progress"),"INVALID – unrecognised status (use the list)",IF(AsOfUTC&gt;Q576,"OVERDUE",IF(N576="Clarification required","OPEN – CLARIFICATION","OPEN"))))))),"INVALID – error value in an input cell")</f>
        <v>N/A – RULE</v>
      </c>
      <c r="AI576" s="61" t="n">
        <f aca="false">IF(OR(AH576="N/A – RULE",AH576="N/A – JUSTIFIED"),0,1)</f>
        <v>0</v>
      </c>
      <c r="AJ576" s="61" t="n">
        <f aca="false">IF(LEFT(AH576,8)="COMPLETE",1,0)</f>
        <v>0</v>
      </c>
      <c r="AK576" s="61" t="n">
        <f aca="false">IF(AND(AI576=1,AJ576=0,AsOfUTC&gt;Q576),1,0)</f>
        <v>0</v>
      </c>
      <c r="AL576" s="61" t="n">
        <f aca="false">IFERROR(IF(AND(AI576=1,OR(TRIM(U576)="Fail",AND(TRIM(AB576)&lt;&gt;"",TRIM(AB576)&lt;&gt;"Closed"),AND(ISNUMBER(AF576),AF576&lt;&gt;0,TRIM(U576)&lt;&gt;"Pass after CA"))),1,0),1)</f>
        <v>0</v>
      </c>
      <c r="AM576" s="61" t="n">
        <f aca="false">IF(LEFT(AH576,7)="INVALID",1,0)</f>
        <v>0</v>
      </c>
      <c r="AN576" s="61" t="n">
        <f aca="false">IF(AND(N576="Clarification required",AI576=1,AJ576=0),1,0)</f>
        <v>0</v>
      </c>
      <c r="AO576" s="61" t="str">
        <f aca="false">IF(AK576=1,SUM(AK$5:AK576),"")</f>
        <v/>
      </c>
      <c r="AP576" s="61" t="str">
        <f aca="false">IF(AL576=1,SUM(AL$5:AL576),"")</f>
        <v/>
      </c>
      <c r="AQ576" s="61" t="n">
        <v>0</v>
      </c>
      <c r="AR576" s="61" t="n">
        <v>0</v>
      </c>
      <c r="AS576" s="61" t="n">
        <v>0</v>
      </c>
      <c r="AT576" s="61" t="n">
        <v>0</v>
      </c>
      <c r="AU576" s="61" t="str">
        <f aca="false">SUBSTITUTE(SUBSTITUTE(SUBSTITUTE(SUBSTITUTE(SUBSTITUTE(SUBSTITUTE(SUBSTITUTE(SUBSTITUTE(SUBSTITUTE(SUBSTITUTE(SUBSTITUTE(SUBSTITUTE(SUBSTITUTE(LOWER(T576&amp;""),CHAR(160),"")," ",""),".",""),"-",""),"/",""),"?",""),"_",""),",",""),"[",""),"]",""),"(",""),")",""),"*","")</f>
        <v/>
      </c>
      <c r="AV576" s="61" t="str">
        <f aca="false">SUBSTITUTE(SUBSTITUTE(SUBSTITUTE(SUBSTITUTE(SUBSTITUTE(SUBSTITUTE(SUBSTITUTE(SUBSTITUTE(SUBSTITUTE(SUBSTITUTE(SUBSTITUTE(SUBSTITUTE(SUBSTITUTE(LOWER(V576&amp;""),CHAR(160),"")," ",""),".",""),"-",""),"/",""),"?",""),"_",""),",",""),"[",""),"]",""),"(",""),")",""),"*","")</f>
        <v/>
      </c>
      <c r="AW576" s="61" t="str">
        <f aca="false">SUBSTITUTE(SUBSTITUTE(SUBSTITUTE(SUBSTITUTE(SUBSTITUTE(SUBSTITUTE(SUBSTITUTE(SUBSTITUTE(SUBSTITUTE(SUBSTITUTE(SUBSTITUTE(SUBSTITUTE(SUBSTITUTE(LOWER(Z576&amp;""),CHAR(160),"")," ",""),".",""),"-",""),"/",""),"?",""),"_",""),",",""),"[",""),"]",""),"(",""),")",""),"*","")</f>
        <v/>
      </c>
      <c r="AX576" s="61" t="str">
        <f aca="false">SUBSTITUTE(SUBSTITUTE(SUBSTITUTE(SUBSTITUTE(SUBSTITUTE(SUBSTITUTE(SUBSTITUTE(SUBSTITUTE(SUBSTITUTE(SUBSTITUTE(SUBSTITUTE(SUBSTITUTE(SUBSTITUTE(LOWER(AE576&amp;""),CHAR(160),"")," ",""),".",""),"-",""),"/",""),"?",""),"_",""),",",""),"[",""),"]",""),"(",""),")",""),"*","")</f>
        <v/>
      </c>
      <c r="AY576" s="61" t="str">
        <f aca="false">SUBSTITUTE(SUBSTITUTE(SUBSTITUTE(SUBSTITUTE(SUBSTITUTE(SUBSTITUTE(SUBSTITUTE(SUBSTITUTE(SUBSTITUTE(SUBSTITUTE(SUBSTITUTE(SUBSTITUTE(SUBSTITUTE(LOWER(W576&amp;""),CHAR(160),"")," ",""),".",""),"-",""),"/",""),"?",""),"_",""),",",""),"[",""),"]",""),"(",""),")",""),"*","")</f>
        <v/>
      </c>
      <c r="AZ576" s="61" t="str">
        <f aca="false">SUBSTITUTE(SUBSTITUTE(SUBSTITUTE(SUBSTITUTE(SUBSTITUTE(SUBSTITUTE(SUBSTITUTE(SUBSTITUTE(SUBSTITUTE(SUBSTITUTE(SUBSTITUTE(SUBSTITUTE(SUBSTITUTE(LOWER(AC576&amp;""),CHAR(160),"")," ",""),".",""),"-",""),"/",""),"?",""),"_",""),",",""),"[",""),"]",""),"(",""),")",""),"*","")</f>
        <v/>
      </c>
      <c r="BA576" s="61" t="str">
        <f aca="false">SUBSTITUTE(SUBSTITUTE(SUBSTITUTE(SUBSTITUTE(SUBSTITUTE(SUBSTITUTE(SUBSTITUTE(SUBSTITUTE(SUBSTITUTE(SUBSTITUTE(SUBSTITUTE(SUBSTITUTE(SUBSTITUTE(LOWER(AA576&amp;""),CHAR(160),"")," ",""),".",""),"-",""),"/",""),"?",""),"_",""),",",""),"[",""),"]",""),"(",""),")",""),"*","")</f>
        <v/>
      </c>
      <c r="BB576" s="61" t="str">
        <f aca="false">IF(AND(TRIM(U576)="Pass",ISNUMBER(AF576)),IF(AF576&lt;&gt;0,"INVALID – qty variance: use Fail or Pass after CA",""),"")&amp;IF(AND(TRIM(U576)="Pass after CA",ISNUMBER(AF576)),IF(AF576&lt;&gt;0,"INVALID – after the corrective action the actual qty must equal expected (update Actual)",""),"")&amp;IF(AND(TRIM(U576)="Pass",TRIM(AB576)&lt;&gt;"",TRIM(AB576)&lt;&gt;"Closed"),"INVALID – corrective action not closed: use Fail, then Pass after CA","")&amp;IF(AND(TRIM(AA576)&lt;&gt;"",TRIM(AB576)=""),"INVALID – CA status missing for the recorded corrective action","")&amp;IF(AND(TRIM(U576)="Pass after CA",OR(OR(LEN(BA576)&lt;5,ISNUMBER(MATCH(BA576,L_Placeholder,0))),TRIM(AB576)&lt;&gt;"Closed")),"INVALID – corrective action not recorded/closed","")</f>
        <v/>
      </c>
    </row>
    <row r="577" customFormat="false" ht="39.75" hidden="false" customHeight="true" outlineLevel="0" collapsed="false">
      <c r="A577" s="57" t="s">
        <v>1247</v>
      </c>
      <c r="B577" s="57" t="s">
        <v>290</v>
      </c>
      <c r="C577" s="57" t="str">
        <f aca="false">Flights!$F$22</f>
        <v>MH0052</v>
      </c>
      <c r="D577" s="58" t="n">
        <f aca="false">Flights!$D$22</f>
        <v>46322</v>
      </c>
      <c r="E577" s="57" t="str">
        <f aca="false">Flights!$G$22&amp;"-"&amp;Flights!$H$22</f>
        <v>KUL-KIX</v>
      </c>
      <c r="F577" s="57" t="str">
        <f aca="false">Flights!$K$22</f>
        <v>BC</v>
      </c>
      <c r="G577" s="57" t="s">
        <v>79</v>
      </c>
      <c r="H577" s="57" t="s">
        <v>356</v>
      </c>
      <c r="I577" s="57" t="s">
        <v>372</v>
      </c>
      <c r="J577" s="57" t="s">
        <v>373</v>
      </c>
      <c r="K577" s="67" t="s">
        <v>374</v>
      </c>
      <c r="L577" s="67" t="s">
        <v>360</v>
      </c>
      <c r="M577" s="67"/>
      <c r="N577" s="67" t="s">
        <v>361</v>
      </c>
      <c r="O577" s="67"/>
      <c r="P577" s="57" t="s">
        <v>184</v>
      </c>
      <c r="Q577" s="59" t="n">
        <f aca="false">ROUND((Flights!$AC$22)*1440,0)/1440</f>
        <v>46315.6006944444</v>
      </c>
      <c r="R577" s="59" t="n">
        <f aca="false">Q577+(IF(AND(INDEX(TZ_DSTS,MATCH(P577,TZ_STN,0))&lt;&gt;"",Q577&gt;=INDEX(TZ_DSTS,MATCH(P577,TZ_STN,0)),Q577&lt;INDEX(TZ_DSTE,MATCH(P577,TZ_STN,0))),INDEX(TZ_DST,MATCH(P577,TZ_STN,0)),INDEX(TZ_STD,MATCH(P577,TZ_STN,0))))/24</f>
        <v>46315.9340277778</v>
      </c>
      <c r="S577" s="59" t="n">
        <f aca="false">Q577-T7EarlyD*24/24</f>
        <v>46301.6006944444</v>
      </c>
      <c r="T577" s="60"/>
      <c r="U577" s="60"/>
      <c r="V577" s="60"/>
      <c r="W577" s="61"/>
      <c r="X577" s="60"/>
      <c r="Y577" s="60"/>
      <c r="Z577" s="60"/>
      <c r="AA577" s="60"/>
      <c r="AB577" s="60"/>
      <c r="AC577" s="60"/>
      <c r="AD577" s="66"/>
      <c r="AE577" s="60"/>
      <c r="AF577" s="61" t="str">
        <f aca="false">IF(AND(ISNUMBER(X577),ISNUMBER(Y577)),Y577-X577,"")</f>
        <v/>
      </c>
      <c r="AG577" s="62" t="str">
        <f aca="false">IF(ISNUMBER(AD577),AD577-(IF(AND(INDEX(TZ_DSTS,MATCH(P577,TZ_STN,0))&lt;&gt;"",(AD577-INDEX(TZ_STD,MATCH(P577,TZ_STN,0))/24)&gt;=INDEX(TZ_DSTS,MATCH(P577,TZ_STN,0)),(AD577-INDEX(TZ_STD,MATCH(P577,TZ_STN,0))/24)&lt;INDEX(TZ_DSTE,MATCH(P577,TZ_STN,0))),INDEX(TZ_DST,MATCH(P577,TZ_STN,0)),INDEX(TZ_STD,MATCH(P577,TZ_STN,0))))/24,"")</f>
        <v/>
      </c>
      <c r="AH577" s="65" t="str">
        <f aca="false">IFERROR(IF(N577="N/A – rule","N/A – RULE",IF(TRIM(U577)="N/A",IF(AT577=0,"INVALID – N/A not permitted for this check",IF(AND(TRIM(AB577)&lt;&gt;"",TRIM(AB577)&lt;&gt;"Closed"),"INVALID – corrective action still open",IF(AND(NOT(OR(LEN(AZ577)&lt;15,ISNUMBER(MATCH(AZ577,L_Placeholder,0)))),NOT(OR(LEN(AU577)&lt;2,ISNUMBER(MATCH(AU577,L_Placeholder,0)))),NOT(OR(LEN(AX577)&lt;2,ISNUMBER(MATCH(AX577,L_Placeholder,0)))),TRIM(AE577)&lt;&gt;TRIM(T577)),"N/A – JUSTIFIED","INVALID – N/A needs a real justification (15+ chars), PIC and a different verifier"))),IF(OR(TRIM(U577)="Pass",TRIM(U577)="Pass after CA"),IF(NOT(ISNUMBER(AD577)),"INVALID – completion time missing",IF(OR(LEN(AU577)&lt;2,ISNUMBER(MATCH(AU577,L_Placeholder,0))),"INVALID – PIC missing",IF(OR(LEN(AV577)&lt;2,ISNUMBER(MATCH(AV577,L_Placeholder,0))),"INVALID – result / assessment missing",IF(OR(OR(LEN(AW577)&lt;3,ISNUMBER(MATCH(AW577,L_Placeholder,0))),SUMPRODUCT(--ISNUMBER(SEARCH(L_EvidencePhrase,AW577)))&gt;0),"INVALID – evidence missing, placeholder or not yet on file",IF(OR(LEN(AX577)&lt;2,ISNUMBER(MATCH(AX577,L_Placeholder,0))),"INVALID – verifier missing",IF(AX577=AU577,"INVALID – verifier must be someone other than the PIC",IF(AND(TRIM(U577)="Pass",SUMPRODUCT(--ISNUMBER(SEARCH(L_ResultBad,AV577)))&gt;0),"INVALID – result describes a problem: use Fail, then Pass after CA",IF(AND(AQ577=1,OR(LEN(AY577)&lt;3,ISNUMBER(MATCH(AY577,L_Placeholder,0)))),"INVALID – batch ID missing or placeholder",IF(AND(AR577=1,OR(NOT(ISNUMBER(X577)),NOT(ISNUMBER(Y577)))),"INVALID – expected/actual qty missing",IF(AND(AR577=1,OR(X577&lt;=0,Y577&lt;0)),"INVALID – expected qty must be above 0 and actual not negative",IF(BB577&lt;&gt;"",BB577,IF(AND(AS577=1,Documents!$J$22&lt;&gt;"ON FILE"),"INVALID – GLD not on file (Documents sheet)",IF(AND(AS577=2,Documents!$O$22&lt;&gt;"ON FILE"),"INVALID – menu checklist not on file (Documents sheet)",IF(AND(AS577=3,NOT(ISNUMBER(Flights!$AX$22))),"INVALID – enter carrying flight KUL departure (Flights AX)",IF(AND(AS577=3,OR(Flights!$AZ$22&gt;Flights!$AA$22,Flights!$AX$22&lt;Flights!$AA$22-3)),"INVALID – carrying flight (Flights AX) cannot arrive before this leg's STD, or is over 3 days early",IF(AG577&gt;AsOfUTC,"INVALID – completion time is in the future",IF(AND(ISNUMBER(S577),AG577&lt;S577),IF(H577="Physical uplift","INVALID – before uplift window (cannot confirm loading)","INVALID – before valid window"),IF(AG577&gt;Flights!$AA$22,"INVALID – completed after departure (cannot establish readiness)",IF(AND(H577="Preparation",AG577&gt;IF(ISNUMBER(Flights!$BA$22),MIN(Flights!$BA$22,Flights!$AA$22),Flights!$AA$22)),"INVALID – completed after loading / departure (cannot establish readiness)",IF(AND(H577="Physical uplift",AG577&gt;Q577),"INVALID – recorded after the loading flight departed",IF(AG577&gt;Q577,"COMPLETE – LATE","COMPLETE"))))))))))))))))))))),IF(TRIM(U577)="Fail","FAIL – DISCREPANCY",IF(AND(TRIM(U577)&lt;&gt;"",TRIM(U577)&lt;&gt;"Not started",TRIM(U577)&lt;&gt;"In progress"),"INVALID – unrecognised status (use the list)",IF(AsOfUTC&gt;Q577,"OVERDUE",IF(N577="Clarification required","OPEN – CLARIFICATION","OPEN"))))))),"INVALID – error value in an input cell")</f>
        <v>OPEN</v>
      </c>
      <c r="AI577" s="61" t="n">
        <f aca="false">IF(OR(AH577="N/A – RULE",AH577="N/A – JUSTIFIED"),0,1)</f>
        <v>1</v>
      </c>
      <c r="AJ577" s="61" t="n">
        <f aca="false">IF(LEFT(AH577,8)="COMPLETE",1,0)</f>
        <v>0</v>
      </c>
      <c r="AK577" s="61" t="n">
        <f aca="false">IF(AND(AI577=1,AJ577=0,AsOfUTC&gt;Q577),1,0)</f>
        <v>0</v>
      </c>
      <c r="AL577" s="61" t="n">
        <f aca="false">IFERROR(IF(AND(AI577=1,OR(TRIM(U577)="Fail",AND(TRIM(AB577)&lt;&gt;"",TRIM(AB577)&lt;&gt;"Closed"),AND(ISNUMBER(AF577),AF577&lt;&gt;0,TRIM(U577)&lt;&gt;"Pass after CA"))),1,0),1)</f>
        <v>0</v>
      </c>
      <c r="AM577" s="61" t="n">
        <f aca="false">IF(LEFT(AH577,7)="INVALID",1,0)</f>
        <v>0</v>
      </c>
      <c r="AN577" s="61" t="n">
        <f aca="false">IF(AND(N577="Clarification required",AI577=1,AJ577=0),1,0)</f>
        <v>0</v>
      </c>
      <c r="AO577" s="61" t="str">
        <f aca="false">IF(AK577=1,SUM(AK$5:AK577),"")</f>
        <v/>
      </c>
      <c r="AP577" s="61" t="str">
        <f aca="false">IF(AL577=1,SUM(AL$5:AL577),"")</f>
        <v/>
      </c>
      <c r="AQ577" s="61" t="n">
        <v>0</v>
      </c>
      <c r="AR577" s="61" t="n">
        <v>0</v>
      </c>
      <c r="AS577" s="61" t="n">
        <v>0</v>
      </c>
      <c r="AT577" s="61" t="n">
        <v>0</v>
      </c>
      <c r="AU577" s="61" t="str">
        <f aca="false">SUBSTITUTE(SUBSTITUTE(SUBSTITUTE(SUBSTITUTE(SUBSTITUTE(SUBSTITUTE(SUBSTITUTE(SUBSTITUTE(SUBSTITUTE(SUBSTITUTE(SUBSTITUTE(SUBSTITUTE(SUBSTITUTE(LOWER(T577&amp;""),CHAR(160),"")," ",""),".",""),"-",""),"/",""),"?",""),"_",""),",",""),"[",""),"]",""),"(",""),")",""),"*","")</f>
        <v/>
      </c>
      <c r="AV577" s="61" t="str">
        <f aca="false">SUBSTITUTE(SUBSTITUTE(SUBSTITUTE(SUBSTITUTE(SUBSTITUTE(SUBSTITUTE(SUBSTITUTE(SUBSTITUTE(SUBSTITUTE(SUBSTITUTE(SUBSTITUTE(SUBSTITUTE(SUBSTITUTE(LOWER(V577&amp;""),CHAR(160),"")," ",""),".",""),"-",""),"/",""),"?",""),"_",""),",",""),"[",""),"]",""),"(",""),")",""),"*","")</f>
        <v/>
      </c>
      <c r="AW577" s="61" t="str">
        <f aca="false">SUBSTITUTE(SUBSTITUTE(SUBSTITUTE(SUBSTITUTE(SUBSTITUTE(SUBSTITUTE(SUBSTITUTE(SUBSTITUTE(SUBSTITUTE(SUBSTITUTE(SUBSTITUTE(SUBSTITUTE(SUBSTITUTE(LOWER(Z577&amp;""),CHAR(160),"")," ",""),".",""),"-",""),"/",""),"?",""),"_",""),",",""),"[",""),"]",""),"(",""),")",""),"*","")</f>
        <v/>
      </c>
      <c r="AX577" s="61" t="str">
        <f aca="false">SUBSTITUTE(SUBSTITUTE(SUBSTITUTE(SUBSTITUTE(SUBSTITUTE(SUBSTITUTE(SUBSTITUTE(SUBSTITUTE(SUBSTITUTE(SUBSTITUTE(SUBSTITUTE(SUBSTITUTE(SUBSTITUTE(LOWER(AE577&amp;""),CHAR(160),"")," ",""),".",""),"-",""),"/",""),"?",""),"_",""),",",""),"[",""),"]",""),"(",""),")",""),"*","")</f>
        <v/>
      </c>
      <c r="AY577" s="61" t="str">
        <f aca="false">SUBSTITUTE(SUBSTITUTE(SUBSTITUTE(SUBSTITUTE(SUBSTITUTE(SUBSTITUTE(SUBSTITUTE(SUBSTITUTE(SUBSTITUTE(SUBSTITUTE(SUBSTITUTE(SUBSTITUTE(SUBSTITUTE(LOWER(W577&amp;""),CHAR(160),"")," ",""),".",""),"-",""),"/",""),"?",""),"_",""),",",""),"[",""),"]",""),"(",""),")",""),"*","")</f>
        <v/>
      </c>
      <c r="AZ577" s="61" t="str">
        <f aca="false">SUBSTITUTE(SUBSTITUTE(SUBSTITUTE(SUBSTITUTE(SUBSTITUTE(SUBSTITUTE(SUBSTITUTE(SUBSTITUTE(SUBSTITUTE(SUBSTITUTE(SUBSTITUTE(SUBSTITUTE(SUBSTITUTE(LOWER(AC577&amp;""),CHAR(160),"")," ",""),".",""),"-",""),"/",""),"?",""),"_",""),",",""),"[",""),"]",""),"(",""),")",""),"*","")</f>
        <v/>
      </c>
      <c r="BA577" s="61" t="str">
        <f aca="false">SUBSTITUTE(SUBSTITUTE(SUBSTITUTE(SUBSTITUTE(SUBSTITUTE(SUBSTITUTE(SUBSTITUTE(SUBSTITUTE(SUBSTITUTE(SUBSTITUTE(SUBSTITUTE(SUBSTITUTE(SUBSTITUTE(LOWER(AA577&amp;""),CHAR(160),"")," ",""),".",""),"-",""),"/",""),"?",""),"_",""),",",""),"[",""),"]",""),"(",""),")",""),"*","")</f>
        <v/>
      </c>
      <c r="BB577" s="61" t="str">
        <f aca="false">IF(AND(TRIM(U577)="Pass",ISNUMBER(AF577)),IF(AF577&lt;&gt;0,"INVALID – qty variance: use Fail or Pass after CA",""),"")&amp;IF(AND(TRIM(U577)="Pass after CA",ISNUMBER(AF577)),IF(AF577&lt;&gt;0,"INVALID – after the corrective action the actual qty must equal expected (update Actual)",""),"")&amp;IF(AND(TRIM(U577)="Pass",TRIM(AB577)&lt;&gt;"",TRIM(AB577)&lt;&gt;"Closed"),"INVALID – corrective action not closed: use Fail, then Pass after CA","")&amp;IF(AND(TRIM(AA577)&lt;&gt;"",TRIM(AB577)=""),"INVALID – CA status missing for the recorded corrective action","")&amp;IF(AND(TRIM(U577)="Pass after CA",OR(OR(LEN(BA577)&lt;5,ISNUMBER(MATCH(BA577,L_Placeholder,0))),TRIM(AB577)&lt;&gt;"Closed")),"INVALID – corrective action not recorded/closed","")</f>
        <v/>
      </c>
    </row>
    <row r="578" customFormat="false" ht="39.75" hidden="false" customHeight="true" outlineLevel="0" collapsed="false">
      <c r="A578" s="57" t="s">
        <v>1248</v>
      </c>
      <c r="B578" s="57" t="s">
        <v>290</v>
      </c>
      <c r="C578" s="57" t="str">
        <f aca="false">Flights!$F$22</f>
        <v>MH0052</v>
      </c>
      <c r="D578" s="58" t="n">
        <f aca="false">Flights!$D$22</f>
        <v>46322</v>
      </c>
      <c r="E578" s="57" t="str">
        <f aca="false">Flights!$G$22&amp;"-"&amp;Flights!$H$22</f>
        <v>KUL-KIX</v>
      </c>
      <c r="F578" s="57" t="str">
        <f aca="false">Flights!$K$22</f>
        <v>BC</v>
      </c>
      <c r="G578" s="57" t="s">
        <v>79</v>
      </c>
      <c r="H578" s="57" t="s">
        <v>356</v>
      </c>
      <c r="I578" s="57" t="s">
        <v>376</v>
      </c>
      <c r="J578" s="57" t="s">
        <v>377</v>
      </c>
      <c r="K578" s="67" t="s">
        <v>378</v>
      </c>
      <c r="L578" s="67" t="s">
        <v>360</v>
      </c>
      <c r="M578" s="67"/>
      <c r="N578" s="67" t="s">
        <v>361</v>
      </c>
      <c r="O578" s="67"/>
      <c r="P578" s="57" t="s">
        <v>184</v>
      </c>
      <c r="Q578" s="59" t="n">
        <f aca="false">ROUND((Flights!$AC$22)*1440,0)/1440</f>
        <v>46315.6006944444</v>
      </c>
      <c r="R578" s="59" t="n">
        <f aca="false">Q578+(IF(AND(INDEX(TZ_DSTS,MATCH(P578,TZ_STN,0))&lt;&gt;"",Q578&gt;=INDEX(TZ_DSTS,MATCH(P578,TZ_STN,0)),Q578&lt;INDEX(TZ_DSTE,MATCH(P578,TZ_STN,0))),INDEX(TZ_DST,MATCH(P578,TZ_STN,0)),INDEX(TZ_STD,MATCH(P578,TZ_STN,0))))/24</f>
        <v>46315.9340277778</v>
      </c>
      <c r="S578" s="59" t="n">
        <f aca="false">Q578-T7EarlyD*24/24</f>
        <v>46301.6006944444</v>
      </c>
      <c r="T578" s="60"/>
      <c r="U578" s="60"/>
      <c r="V578" s="60"/>
      <c r="W578" s="61"/>
      <c r="X578" s="60"/>
      <c r="Y578" s="60"/>
      <c r="Z578" s="60"/>
      <c r="AA578" s="60"/>
      <c r="AB578" s="60"/>
      <c r="AC578" s="60"/>
      <c r="AD578" s="66"/>
      <c r="AE578" s="60"/>
      <c r="AF578" s="61" t="str">
        <f aca="false">IF(AND(ISNUMBER(X578),ISNUMBER(Y578)),Y578-X578,"")</f>
        <v/>
      </c>
      <c r="AG578" s="62" t="str">
        <f aca="false">IF(ISNUMBER(AD578),AD578-(IF(AND(INDEX(TZ_DSTS,MATCH(P578,TZ_STN,0))&lt;&gt;"",(AD578-INDEX(TZ_STD,MATCH(P578,TZ_STN,0))/24)&gt;=INDEX(TZ_DSTS,MATCH(P578,TZ_STN,0)),(AD578-INDEX(TZ_STD,MATCH(P578,TZ_STN,0))/24)&lt;INDEX(TZ_DSTE,MATCH(P578,TZ_STN,0))),INDEX(TZ_DST,MATCH(P578,TZ_STN,0)),INDEX(TZ_STD,MATCH(P578,TZ_STN,0))))/24,"")</f>
        <v/>
      </c>
      <c r="AH578" s="65" t="str">
        <f aca="false">IFERROR(IF(N578="N/A – rule","N/A – RULE",IF(TRIM(U578)="N/A",IF(AT578=0,"INVALID – N/A not permitted for this check",IF(AND(TRIM(AB578)&lt;&gt;"",TRIM(AB578)&lt;&gt;"Closed"),"INVALID – corrective action still open",IF(AND(NOT(OR(LEN(AZ578)&lt;15,ISNUMBER(MATCH(AZ578,L_Placeholder,0)))),NOT(OR(LEN(AU578)&lt;2,ISNUMBER(MATCH(AU578,L_Placeholder,0)))),NOT(OR(LEN(AX578)&lt;2,ISNUMBER(MATCH(AX578,L_Placeholder,0)))),TRIM(AE578)&lt;&gt;TRIM(T578)),"N/A – JUSTIFIED","INVALID – N/A needs a real justification (15+ chars), PIC and a different verifier"))),IF(OR(TRIM(U578)="Pass",TRIM(U578)="Pass after CA"),IF(NOT(ISNUMBER(AD578)),"INVALID – completion time missing",IF(OR(LEN(AU578)&lt;2,ISNUMBER(MATCH(AU578,L_Placeholder,0))),"INVALID – PIC missing",IF(OR(LEN(AV578)&lt;2,ISNUMBER(MATCH(AV578,L_Placeholder,0))),"INVALID – result / assessment missing",IF(OR(OR(LEN(AW578)&lt;3,ISNUMBER(MATCH(AW578,L_Placeholder,0))),SUMPRODUCT(--ISNUMBER(SEARCH(L_EvidencePhrase,AW578)))&gt;0),"INVALID – evidence missing, placeholder or not yet on file",IF(OR(LEN(AX578)&lt;2,ISNUMBER(MATCH(AX578,L_Placeholder,0))),"INVALID – verifier missing",IF(AX578=AU578,"INVALID – verifier must be someone other than the PIC",IF(AND(TRIM(U578)="Pass",SUMPRODUCT(--ISNUMBER(SEARCH(L_ResultBad,AV578)))&gt;0),"INVALID – result describes a problem: use Fail, then Pass after CA",IF(AND(AQ578=1,OR(LEN(AY578)&lt;3,ISNUMBER(MATCH(AY578,L_Placeholder,0)))),"INVALID – batch ID missing or placeholder",IF(AND(AR578=1,OR(NOT(ISNUMBER(X578)),NOT(ISNUMBER(Y578)))),"INVALID – expected/actual qty missing",IF(AND(AR578=1,OR(X578&lt;=0,Y578&lt;0)),"INVALID – expected qty must be above 0 and actual not negative",IF(BB578&lt;&gt;"",BB578,IF(AND(AS578=1,Documents!$J$22&lt;&gt;"ON FILE"),"INVALID – GLD not on file (Documents sheet)",IF(AND(AS578=2,Documents!$O$22&lt;&gt;"ON FILE"),"INVALID – menu checklist not on file (Documents sheet)",IF(AND(AS578=3,NOT(ISNUMBER(Flights!$AX$22))),"INVALID – enter carrying flight KUL departure (Flights AX)",IF(AND(AS578=3,OR(Flights!$AZ$22&gt;Flights!$AA$22,Flights!$AX$22&lt;Flights!$AA$22-3)),"INVALID – carrying flight (Flights AX) cannot arrive before this leg's STD, or is over 3 days early",IF(AG578&gt;AsOfUTC,"INVALID – completion time is in the future",IF(AND(ISNUMBER(S578),AG578&lt;S578),IF(H578="Physical uplift","INVALID – before uplift window (cannot confirm loading)","INVALID – before valid window"),IF(AG578&gt;Flights!$AA$22,"INVALID – completed after departure (cannot establish readiness)",IF(AND(H578="Preparation",AG578&gt;IF(ISNUMBER(Flights!$BA$22),MIN(Flights!$BA$22,Flights!$AA$22),Flights!$AA$22)),"INVALID – completed after loading / departure (cannot establish readiness)",IF(AND(H578="Physical uplift",AG578&gt;Q578),"INVALID – recorded after the loading flight departed",IF(AG578&gt;Q578,"COMPLETE – LATE","COMPLETE"))))))))))))))))))))),IF(TRIM(U578)="Fail","FAIL – DISCREPANCY",IF(AND(TRIM(U578)&lt;&gt;"",TRIM(U578)&lt;&gt;"Not started",TRIM(U578)&lt;&gt;"In progress"),"INVALID – unrecognised status (use the list)",IF(AsOfUTC&gt;Q578,"OVERDUE",IF(N578="Clarification required","OPEN – CLARIFICATION","OPEN"))))))),"INVALID – error value in an input cell")</f>
        <v>OPEN</v>
      </c>
      <c r="AI578" s="61" t="n">
        <f aca="false">IF(OR(AH578="N/A – RULE",AH578="N/A – JUSTIFIED"),0,1)</f>
        <v>1</v>
      </c>
      <c r="AJ578" s="61" t="n">
        <f aca="false">IF(LEFT(AH578,8)="COMPLETE",1,0)</f>
        <v>0</v>
      </c>
      <c r="AK578" s="61" t="n">
        <f aca="false">IF(AND(AI578=1,AJ578=0,AsOfUTC&gt;Q578),1,0)</f>
        <v>0</v>
      </c>
      <c r="AL578" s="61" t="n">
        <f aca="false">IFERROR(IF(AND(AI578=1,OR(TRIM(U578)="Fail",AND(TRIM(AB578)&lt;&gt;"",TRIM(AB578)&lt;&gt;"Closed"),AND(ISNUMBER(AF578),AF578&lt;&gt;0,TRIM(U578)&lt;&gt;"Pass after CA"))),1,0),1)</f>
        <v>0</v>
      </c>
      <c r="AM578" s="61" t="n">
        <f aca="false">IF(LEFT(AH578,7)="INVALID",1,0)</f>
        <v>0</v>
      </c>
      <c r="AN578" s="61" t="n">
        <f aca="false">IF(AND(N578="Clarification required",AI578=1,AJ578=0),1,0)</f>
        <v>0</v>
      </c>
      <c r="AO578" s="61" t="str">
        <f aca="false">IF(AK578=1,SUM(AK$5:AK578),"")</f>
        <v/>
      </c>
      <c r="AP578" s="61" t="str">
        <f aca="false">IF(AL578=1,SUM(AL$5:AL578),"")</f>
        <v/>
      </c>
      <c r="AQ578" s="61" t="n">
        <v>0</v>
      </c>
      <c r="AR578" s="61" t="n">
        <v>0</v>
      </c>
      <c r="AS578" s="61" t="n">
        <v>0</v>
      </c>
      <c r="AT578" s="61" t="n">
        <v>0</v>
      </c>
      <c r="AU578" s="61" t="str">
        <f aca="false">SUBSTITUTE(SUBSTITUTE(SUBSTITUTE(SUBSTITUTE(SUBSTITUTE(SUBSTITUTE(SUBSTITUTE(SUBSTITUTE(SUBSTITUTE(SUBSTITUTE(SUBSTITUTE(SUBSTITUTE(SUBSTITUTE(LOWER(T578&amp;""),CHAR(160),"")," ",""),".",""),"-",""),"/",""),"?",""),"_",""),",",""),"[",""),"]",""),"(",""),")",""),"*","")</f>
        <v/>
      </c>
      <c r="AV578" s="61" t="str">
        <f aca="false">SUBSTITUTE(SUBSTITUTE(SUBSTITUTE(SUBSTITUTE(SUBSTITUTE(SUBSTITUTE(SUBSTITUTE(SUBSTITUTE(SUBSTITUTE(SUBSTITUTE(SUBSTITUTE(SUBSTITUTE(SUBSTITUTE(LOWER(V578&amp;""),CHAR(160),"")," ",""),".",""),"-",""),"/",""),"?",""),"_",""),",",""),"[",""),"]",""),"(",""),")",""),"*","")</f>
        <v/>
      </c>
      <c r="AW578" s="61" t="str">
        <f aca="false">SUBSTITUTE(SUBSTITUTE(SUBSTITUTE(SUBSTITUTE(SUBSTITUTE(SUBSTITUTE(SUBSTITUTE(SUBSTITUTE(SUBSTITUTE(SUBSTITUTE(SUBSTITUTE(SUBSTITUTE(SUBSTITUTE(LOWER(Z578&amp;""),CHAR(160),"")," ",""),".",""),"-",""),"/",""),"?",""),"_",""),",",""),"[",""),"]",""),"(",""),")",""),"*","")</f>
        <v/>
      </c>
      <c r="AX578" s="61" t="str">
        <f aca="false">SUBSTITUTE(SUBSTITUTE(SUBSTITUTE(SUBSTITUTE(SUBSTITUTE(SUBSTITUTE(SUBSTITUTE(SUBSTITUTE(SUBSTITUTE(SUBSTITUTE(SUBSTITUTE(SUBSTITUTE(SUBSTITUTE(LOWER(AE578&amp;""),CHAR(160),"")," ",""),".",""),"-",""),"/",""),"?",""),"_",""),",",""),"[",""),"]",""),"(",""),")",""),"*","")</f>
        <v/>
      </c>
      <c r="AY578" s="61" t="str">
        <f aca="false">SUBSTITUTE(SUBSTITUTE(SUBSTITUTE(SUBSTITUTE(SUBSTITUTE(SUBSTITUTE(SUBSTITUTE(SUBSTITUTE(SUBSTITUTE(SUBSTITUTE(SUBSTITUTE(SUBSTITUTE(SUBSTITUTE(LOWER(W578&amp;""),CHAR(160),"")," ",""),".",""),"-",""),"/",""),"?",""),"_",""),",",""),"[",""),"]",""),"(",""),")",""),"*","")</f>
        <v/>
      </c>
      <c r="AZ578" s="61" t="str">
        <f aca="false">SUBSTITUTE(SUBSTITUTE(SUBSTITUTE(SUBSTITUTE(SUBSTITUTE(SUBSTITUTE(SUBSTITUTE(SUBSTITUTE(SUBSTITUTE(SUBSTITUTE(SUBSTITUTE(SUBSTITUTE(SUBSTITUTE(LOWER(AC578&amp;""),CHAR(160),"")," ",""),".",""),"-",""),"/",""),"?",""),"_",""),",",""),"[",""),"]",""),"(",""),")",""),"*","")</f>
        <v/>
      </c>
      <c r="BA578" s="61" t="str">
        <f aca="false">SUBSTITUTE(SUBSTITUTE(SUBSTITUTE(SUBSTITUTE(SUBSTITUTE(SUBSTITUTE(SUBSTITUTE(SUBSTITUTE(SUBSTITUTE(SUBSTITUTE(SUBSTITUTE(SUBSTITUTE(SUBSTITUTE(LOWER(AA578&amp;""),CHAR(160),"")," ",""),".",""),"-",""),"/",""),"?",""),"_",""),",",""),"[",""),"]",""),"(",""),")",""),"*","")</f>
        <v/>
      </c>
      <c r="BB578" s="61" t="str">
        <f aca="false">IF(AND(TRIM(U578)="Pass",ISNUMBER(AF578)),IF(AF578&lt;&gt;0,"INVALID – qty variance: use Fail or Pass after CA",""),"")&amp;IF(AND(TRIM(U578)="Pass after CA",ISNUMBER(AF578)),IF(AF578&lt;&gt;0,"INVALID – after the corrective action the actual qty must equal expected (update Actual)",""),"")&amp;IF(AND(TRIM(U578)="Pass",TRIM(AB578)&lt;&gt;"",TRIM(AB578)&lt;&gt;"Closed"),"INVALID – corrective action not closed: use Fail, then Pass after CA","")&amp;IF(AND(TRIM(AA578)&lt;&gt;"",TRIM(AB578)=""),"INVALID – CA status missing for the recorded corrective action","")&amp;IF(AND(TRIM(U578)="Pass after CA",OR(OR(LEN(BA578)&lt;5,ISNUMBER(MATCH(BA578,L_Placeholder,0))),TRIM(AB578)&lt;&gt;"Closed")),"INVALID – corrective action not recorded/closed","")</f>
        <v/>
      </c>
    </row>
    <row r="579" customFormat="false" ht="39.75" hidden="false" customHeight="true" outlineLevel="0" collapsed="false">
      <c r="A579" s="57" t="s">
        <v>1249</v>
      </c>
      <c r="B579" s="57" t="s">
        <v>290</v>
      </c>
      <c r="C579" s="57" t="str">
        <f aca="false">Flights!$F$22</f>
        <v>MH0052</v>
      </c>
      <c r="D579" s="58" t="n">
        <f aca="false">Flights!$D$22</f>
        <v>46322</v>
      </c>
      <c r="E579" s="57" t="str">
        <f aca="false">Flights!$G$22&amp;"-"&amp;Flights!$H$22</f>
        <v>KUL-KIX</v>
      </c>
      <c r="F579" s="57" t="str">
        <f aca="false">Flights!$K$22</f>
        <v>BC</v>
      </c>
      <c r="G579" s="57" t="s">
        <v>79</v>
      </c>
      <c r="H579" s="57" t="s">
        <v>356</v>
      </c>
      <c r="I579" s="57" t="s">
        <v>376</v>
      </c>
      <c r="J579" s="57" t="s">
        <v>380</v>
      </c>
      <c r="K579" s="67" t="s">
        <v>381</v>
      </c>
      <c r="L579" s="67" t="s">
        <v>360</v>
      </c>
      <c r="M579" s="67"/>
      <c r="N579" s="67" t="s">
        <v>361</v>
      </c>
      <c r="O579" s="67"/>
      <c r="P579" s="57" t="s">
        <v>184</v>
      </c>
      <c r="Q579" s="59" t="n">
        <f aca="false">ROUND((Flights!$AC$22)*1440,0)/1440</f>
        <v>46315.6006944444</v>
      </c>
      <c r="R579" s="59" t="n">
        <f aca="false">Q579+(IF(AND(INDEX(TZ_DSTS,MATCH(P579,TZ_STN,0))&lt;&gt;"",Q579&gt;=INDEX(TZ_DSTS,MATCH(P579,TZ_STN,0)),Q579&lt;INDEX(TZ_DSTE,MATCH(P579,TZ_STN,0))),INDEX(TZ_DST,MATCH(P579,TZ_STN,0)),INDEX(TZ_STD,MATCH(P579,TZ_STN,0))))/24</f>
        <v>46315.9340277778</v>
      </c>
      <c r="S579" s="59" t="n">
        <f aca="false">Q579-T7EarlyD*24/24</f>
        <v>46301.6006944444</v>
      </c>
      <c r="T579" s="60"/>
      <c r="U579" s="60"/>
      <c r="V579" s="60"/>
      <c r="W579" s="61"/>
      <c r="X579" s="60"/>
      <c r="Y579" s="60"/>
      <c r="Z579" s="60"/>
      <c r="AA579" s="60"/>
      <c r="AB579" s="60"/>
      <c r="AC579" s="60"/>
      <c r="AD579" s="66"/>
      <c r="AE579" s="60"/>
      <c r="AF579" s="61" t="str">
        <f aca="false">IF(AND(ISNUMBER(X579),ISNUMBER(Y579)),Y579-X579,"")</f>
        <v/>
      </c>
      <c r="AG579" s="62" t="str">
        <f aca="false">IF(ISNUMBER(AD579),AD579-(IF(AND(INDEX(TZ_DSTS,MATCH(P579,TZ_STN,0))&lt;&gt;"",(AD579-INDEX(TZ_STD,MATCH(P579,TZ_STN,0))/24)&gt;=INDEX(TZ_DSTS,MATCH(P579,TZ_STN,0)),(AD579-INDEX(TZ_STD,MATCH(P579,TZ_STN,0))/24)&lt;INDEX(TZ_DSTE,MATCH(P579,TZ_STN,0))),INDEX(TZ_DST,MATCH(P579,TZ_STN,0)),INDEX(TZ_STD,MATCH(P579,TZ_STN,0))))/24,"")</f>
        <v/>
      </c>
      <c r="AH579" s="65" t="str">
        <f aca="false">IFERROR(IF(N579="N/A – rule","N/A – RULE",IF(TRIM(U579)="N/A",IF(AT579=0,"INVALID – N/A not permitted for this check",IF(AND(TRIM(AB579)&lt;&gt;"",TRIM(AB579)&lt;&gt;"Closed"),"INVALID – corrective action still open",IF(AND(NOT(OR(LEN(AZ579)&lt;15,ISNUMBER(MATCH(AZ579,L_Placeholder,0)))),NOT(OR(LEN(AU579)&lt;2,ISNUMBER(MATCH(AU579,L_Placeholder,0)))),NOT(OR(LEN(AX579)&lt;2,ISNUMBER(MATCH(AX579,L_Placeholder,0)))),TRIM(AE579)&lt;&gt;TRIM(T579)),"N/A – JUSTIFIED","INVALID – N/A needs a real justification (15+ chars), PIC and a different verifier"))),IF(OR(TRIM(U579)="Pass",TRIM(U579)="Pass after CA"),IF(NOT(ISNUMBER(AD579)),"INVALID – completion time missing",IF(OR(LEN(AU579)&lt;2,ISNUMBER(MATCH(AU579,L_Placeholder,0))),"INVALID – PIC missing",IF(OR(LEN(AV579)&lt;2,ISNUMBER(MATCH(AV579,L_Placeholder,0))),"INVALID – result / assessment missing",IF(OR(OR(LEN(AW579)&lt;3,ISNUMBER(MATCH(AW579,L_Placeholder,0))),SUMPRODUCT(--ISNUMBER(SEARCH(L_EvidencePhrase,AW579)))&gt;0),"INVALID – evidence missing, placeholder or not yet on file",IF(OR(LEN(AX579)&lt;2,ISNUMBER(MATCH(AX579,L_Placeholder,0))),"INVALID – verifier missing",IF(AX579=AU579,"INVALID – verifier must be someone other than the PIC",IF(AND(TRIM(U579)="Pass",SUMPRODUCT(--ISNUMBER(SEARCH(L_ResultBad,AV579)))&gt;0),"INVALID – result describes a problem: use Fail, then Pass after CA",IF(AND(AQ579=1,OR(LEN(AY579)&lt;3,ISNUMBER(MATCH(AY579,L_Placeholder,0)))),"INVALID – batch ID missing or placeholder",IF(AND(AR579=1,OR(NOT(ISNUMBER(X579)),NOT(ISNUMBER(Y579)))),"INVALID – expected/actual qty missing",IF(AND(AR579=1,OR(X579&lt;=0,Y579&lt;0)),"INVALID – expected qty must be above 0 and actual not negative",IF(BB579&lt;&gt;"",BB579,IF(AND(AS579=1,Documents!$J$22&lt;&gt;"ON FILE"),"INVALID – GLD not on file (Documents sheet)",IF(AND(AS579=2,Documents!$O$22&lt;&gt;"ON FILE"),"INVALID – menu checklist not on file (Documents sheet)",IF(AND(AS579=3,NOT(ISNUMBER(Flights!$AX$22))),"INVALID – enter carrying flight KUL departure (Flights AX)",IF(AND(AS579=3,OR(Flights!$AZ$22&gt;Flights!$AA$22,Flights!$AX$22&lt;Flights!$AA$22-3)),"INVALID – carrying flight (Flights AX) cannot arrive before this leg's STD, or is over 3 days early",IF(AG579&gt;AsOfUTC,"INVALID – completion time is in the future",IF(AND(ISNUMBER(S579),AG579&lt;S579),IF(H579="Physical uplift","INVALID – before uplift window (cannot confirm loading)","INVALID – before valid window"),IF(AG579&gt;Flights!$AA$22,"INVALID – completed after departure (cannot establish readiness)",IF(AND(H579="Preparation",AG579&gt;IF(ISNUMBER(Flights!$BA$22),MIN(Flights!$BA$22,Flights!$AA$22),Flights!$AA$22)),"INVALID – completed after loading / departure (cannot establish readiness)",IF(AND(H579="Physical uplift",AG579&gt;Q579),"INVALID – recorded after the loading flight departed",IF(AG579&gt;Q579,"COMPLETE – LATE","COMPLETE"))))))))))))))))))))),IF(TRIM(U579)="Fail","FAIL – DISCREPANCY",IF(AND(TRIM(U579)&lt;&gt;"",TRIM(U579)&lt;&gt;"Not started",TRIM(U579)&lt;&gt;"In progress"),"INVALID – unrecognised status (use the list)",IF(AsOfUTC&gt;Q579,"OVERDUE",IF(N579="Clarification required","OPEN – CLARIFICATION","OPEN"))))))),"INVALID – error value in an input cell")</f>
        <v>OPEN</v>
      </c>
      <c r="AI579" s="61" t="n">
        <f aca="false">IF(OR(AH579="N/A – RULE",AH579="N/A – JUSTIFIED"),0,1)</f>
        <v>1</v>
      </c>
      <c r="AJ579" s="61" t="n">
        <f aca="false">IF(LEFT(AH579,8)="COMPLETE",1,0)</f>
        <v>0</v>
      </c>
      <c r="AK579" s="61" t="n">
        <f aca="false">IF(AND(AI579=1,AJ579=0,AsOfUTC&gt;Q579),1,0)</f>
        <v>0</v>
      </c>
      <c r="AL579" s="61" t="n">
        <f aca="false">IFERROR(IF(AND(AI579=1,OR(TRIM(U579)="Fail",AND(TRIM(AB579)&lt;&gt;"",TRIM(AB579)&lt;&gt;"Closed"),AND(ISNUMBER(AF579),AF579&lt;&gt;0,TRIM(U579)&lt;&gt;"Pass after CA"))),1,0),1)</f>
        <v>0</v>
      </c>
      <c r="AM579" s="61" t="n">
        <f aca="false">IF(LEFT(AH579,7)="INVALID",1,0)</f>
        <v>0</v>
      </c>
      <c r="AN579" s="61" t="n">
        <f aca="false">IF(AND(N579="Clarification required",AI579=1,AJ579=0),1,0)</f>
        <v>0</v>
      </c>
      <c r="AO579" s="61" t="str">
        <f aca="false">IF(AK579=1,SUM(AK$5:AK579),"")</f>
        <v/>
      </c>
      <c r="AP579" s="61" t="str">
        <f aca="false">IF(AL579=1,SUM(AL$5:AL579),"")</f>
        <v/>
      </c>
      <c r="AQ579" s="61" t="n">
        <v>0</v>
      </c>
      <c r="AR579" s="61" t="n">
        <v>0</v>
      </c>
      <c r="AS579" s="61" t="n">
        <v>0</v>
      </c>
      <c r="AT579" s="61" t="n">
        <v>0</v>
      </c>
      <c r="AU579" s="61" t="str">
        <f aca="false">SUBSTITUTE(SUBSTITUTE(SUBSTITUTE(SUBSTITUTE(SUBSTITUTE(SUBSTITUTE(SUBSTITUTE(SUBSTITUTE(SUBSTITUTE(SUBSTITUTE(SUBSTITUTE(SUBSTITUTE(SUBSTITUTE(LOWER(T579&amp;""),CHAR(160),"")," ",""),".",""),"-",""),"/",""),"?",""),"_",""),",",""),"[",""),"]",""),"(",""),")",""),"*","")</f>
        <v/>
      </c>
      <c r="AV579" s="61" t="str">
        <f aca="false">SUBSTITUTE(SUBSTITUTE(SUBSTITUTE(SUBSTITUTE(SUBSTITUTE(SUBSTITUTE(SUBSTITUTE(SUBSTITUTE(SUBSTITUTE(SUBSTITUTE(SUBSTITUTE(SUBSTITUTE(SUBSTITUTE(LOWER(V579&amp;""),CHAR(160),"")," ",""),".",""),"-",""),"/",""),"?",""),"_",""),",",""),"[",""),"]",""),"(",""),")",""),"*","")</f>
        <v/>
      </c>
      <c r="AW579" s="61" t="str">
        <f aca="false">SUBSTITUTE(SUBSTITUTE(SUBSTITUTE(SUBSTITUTE(SUBSTITUTE(SUBSTITUTE(SUBSTITUTE(SUBSTITUTE(SUBSTITUTE(SUBSTITUTE(SUBSTITUTE(SUBSTITUTE(SUBSTITUTE(LOWER(Z579&amp;""),CHAR(160),"")," ",""),".",""),"-",""),"/",""),"?",""),"_",""),",",""),"[",""),"]",""),"(",""),")",""),"*","")</f>
        <v/>
      </c>
      <c r="AX579" s="61" t="str">
        <f aca="false">SUBSTITUTE(SUBSTITUTE(SUBSTITUTE(SUBSTITUTE(SUBSTITUTE(SUBSTITUTE(SUBSTITUTE(SUBSTITUTE(SUBSTITUTE(SUBSTITUTE(SUBSTITUTE(SUBSTITUTE(SUBSTITUTE(LOWER(AE579&amp;""),CHAR(160),"")," ",""),".",""),"-",""),"/",""),"?",""),"_",""),",",""),"[",""),"]",""),"(",""),")",""),"*","")</f>
        <v/>
      </c>
      <c r="AY579" s="61" t="str">
        <f aca="false">SUBSTITUTE(SUBSTITUTE(SUBSTITUTE(SUBSTITUTE(SUBSTITUTE(SUBSTITUTE(SUBSTITUTE(SUBSTITUTE(SUBSTITUTE(SUBSTITUTE(SUBSTITUTE(SUBSTITUTE(SUBSTITUTE(LOWER(W579&amp;""),CHAR(160),"")," ",""),".",""),"-",""),"/",""),"?",""),"_",""),",",""),"[",""),"]",""),"(",""),")",""),"*","")</f>
        <v/>
      </c>
      <c r="AZ579" s="61" t="str">
        <f aca="false">SUBSTITUTE(SUBSTITUTE(SUBSTITUTE(SUBSTITUTE(SUBSTITUTE(SUBSTITUTE(SUBSTITUTE(SUBSTITUTE(SUBSTITUTE(SUBSTITUTE(SUBSTITUTE(SUBSTITUTE(SUBSTITUTE(LOWER(AC579&amp;""),CHAR(160),"")," ",""),".",""),"-",""),"/",""),"?",""),"_",""),",",""),"[",""),"]",""),"(",""),")",""),"*","")</f>
        <v/>
      </c>
      <c r="BA579" s="61" t="str">
        <f aca="false">SUBSTITUTE(SUBSTITUTE(SUBSTITUTE(SUBSTITUTE(SUBSTITUTE(SUBSTITUTE(SUBSTITUTE(SUBSTITUTE(SUBSTITUTE(SUBSTITUTE(SUBSTITUTE(SUBSTITUTE(SUBSTITUTE(LOWER(AA579&amp;""),CHAR(160),"")," ",""),".",""),"-",""),"/",""),"?",""),"_",""),",",""),"[",""),"]",""),"(",""),")",""),"*","")</f>
        <v/>
      </c>
      <c r="BB579" s="61" t="str">
        <f aca="false">IF(AND(TRIM(U579)="Pass",ISNUMBER(AF579)),IF(AF579&lt;&gt;0,"INVALID – qty variance: use Fail or Pass after CA",""),"")&amp;IF(AND(TRIM(U579)="Pass after CA",ISNUMBER(AF579)),IF(AF579&lt;&gt;0,"INVALID – after the corrective action the actual qty must equal expected (update Actual)",""),"")&amp;IF(AND(TRIM(U579)="Pass",TRIM(AB579)&lt;&gt;"",TRIM(AB579)&lt;&gt;"Closed"),"INVALID – corrective action not closed: use Fail, then Pass after CA","")&amp;IF(AND(TRIM(AA579)&lt;&gt;"",TRIM(AB579)=""),"INVALID – CA status missing for the recorded corrective action","")&amp;IF(AND(TRIM(U579)="Pass after CA",OR(OR(LEN(BA579)&lt;5,ISNUMBER(MATCH(BA579,L_Placeholder,0))),TRIM(AB579)&lt;&gt;"Closed")),"INVALID – corrective action not recorded/closed","")</f>
        <v/>
      </c>
    </row>
    <row r="580" customFormat="false" ht="39.75" hidden="false" customHeight="true" outlineLevel="0" collapsed="false">
      <c r="A580" s="57" t="s">
        <v>1250</v>
      </c>
      <c r="B580" s="57" t="s">
        <v>290</v>
      </c>
      <c r="C580" s="57" t="str">
        <f aca="false">Flights!$F$22</f>
        <v>MH0052</v>
      </c>
      <c r="D580" s="58" t="n">
        <f aca="false">Flights!$D$22</f>
        <v>46322</v>
      </c>
      <c r="E580" s="57" t="str">
        <f aca="false">Flights!$G$22&amp;"-"&amp;Flights!$H$22</f>
        <v>KUL-KIX</v>
      </c>
      <c r="F580" s="57" t="str">
        <f aca="false">Flights!$K$22</f>
        <v>BC</v>
      </c>
      <c r="G580" s="57" t="s">
        <v>79</v>
      </c>
      <c r="H580" s="57" t="s">
        <v>356</v>
      </c>
      <c r="I580" s="57" t="s">
        <v>383</v>
      </c>
      <c r="J580" s="57" t="s">
        <v>384</v>
      </c>
      <c r="K580" s="67" t="s">
        <v>385</v>
      </c>
      <c r="L580" s="67" t="s">
        <v>360</v>
      </c>
      <c r="M580" s="67"/>
      <c r="N580" s="67" t="s">
        <v>361</v>
      </c>
      <c r="O580" s="67"/>
      <c r="P580" s="57" t="s">
        <v>184</v>
      </c>
      <c r="Q580" s="59" t="n">
        <f aca="false">ROUND((Flights!$AC$22)*1440,0)/1440</f>
        <v>46315.6006944444</v>
      </c>
      <c r="R580" s="59" t="n">
        <f aca="false">Q580+(IF(AND(INDEX(TZ_DSTS,MATCH(P580,TZ_STN,0))&lt;&gt;"",Q580&gt;=INDEX(TZ_DSTS,MATCH(P580,TZ_STN,0)),Q580&lt;INDEX(TZ_DSTE,MATCH(P580,TZ_STN,0))),INDEX(TZ_DST,MATCH(P580,TZ_STN,0)),INDEX(TZ_STD,MATCH(P580,TZ_STN,0))))/24</f>
        <v>46315.9340277778</v>
      </c>
      <c r="S580" s="59" t="n">
        <f aca="false">Q580-T7EarlyD*24/24</f>
        <v>46301.6006944444</v>
      </c>
      <c r="T580" s="60"/>
      <c r="U580" s="60"/>
      <c r="V580" s="60"/>
      <c r="W580" s="61"/>
      <c r="X580" s="60"/>
      <c r="Y580" s="60"/>
      <c r="Z580" s="60"/>
      <c r="AA580" s="60"/>
      <c r="AB580" s="60"/>
      <c r="AC580" s="60"/>
      <c r="AD580" s="66"/>
      <c r="AE580" s="60"/>
      <c r="AF580" s="61" t="str">
        <f aca="false">IF(AND(ISNUMBER(X580),ISNUMBER(Y580)),Y580-X580,"")</f>
        <v/>
      </c>
      <c r="AG580" s="62" t="str">
        <f aca="false">IF(ISNUMBER(AD580),AD580-(IF(AND(INDEX(TZ_DSTS,MATCH(P580,TZ_STN,0))&lt;&gt;"",(AD580-INDEX(TZ_STD,MATCH(P580,TZ_STN,0))/24)&gt;=INDEX(TZ_DSTS,MATCH(P580,TZ_STN,0)),(AD580-INDEX(TZ_STD,MATCH(P580,TZ_STN,0))/24)&lt;INDEX(TZ_DSTE,MATCH(P580,TZ_STN,0))),INDEX(TZ_DST,MATCH(P580,TZ_STN,0)),INDEX(TZ_STD,MATCH(P580,TZ_STN,0))))/24,"")</f>
        <v/>
      </c>
      <c r="AH580" s="65" t="str">
        <f aca="false">IFERROR(IF(N580="N/A – rule","N/A – RULE",IF(TRIM(U580)="N/A",IF(AT580=0,"INVALID – N/A not permitted for this check",IF(AND(TRIM(AB580)&lt;&gt;"",TRIM(AB580)&lt;&gt;"Closed"),"INVALID – corrective action still open",IF(AND(NOT(OR(LEN(AZ580)&lt;15,ISNUMBER(MATCH(AZ580,L_Placeholder,0)))),NOT(OR(LEN(AU580)&lt;2,ISNUMBER(MATCH(AU580,L_Placeholder,0)))),NOT(OR(LEN(AX580)&lt;2,ISNUMBER(MATCH(AX580,L_Placeholder,0)))),TRIM(AE580)&lt;&gt;TRIM(T580)),"N/A – JUSTIFIED","INVALID – N/A needs a real justification (15+ chars), PIC and a different verifier"))),IF(OR(TRIM(U580)="Pass",TRIM(U580)="Pass after CA"),IF(NOT(ISNUMBER(AD580)),"INVALID – completion time missing",IF(OR(LEN(AU580)&lt;2,ISNUMBER(MATCH(AU580,L_Placeholder,0))),"INVALID – PIC missing",IF(OR(LEN(AV580)&lt;2,ISNUMBER(MATCH(AV580,L_Placeholder,0))),"INVALID – result / assessment missing",IF(OR(OR(LEN(AW580)&lt;3,ISNUMBER(MATCH(AW580,L_Placeholder,0))),SUMPRODUCT(--ISNUMBER(SEARCH(L_EvidencePhrase,AW580)))&gt;0),"INVALID – evidence missing, placeholder or not yet on file",IF(OR(LEN(AX580)&lt;2,ISNUMBER(MATCH(AX580,L_Placeholder,0))),"INVALID – verifier missing",IF(AX580=AU580,"INVALID – verifier must be someone other than the PIC",IF(AND(TRIM(U580)="Pass",SUMPRODUCT(--ISNUMBER(SEARCH(L_ResultBad,AV580)))&gt;0),"INVALID – result describes a problem: use Fail, then Pass after CA",IF(AND(AQ580=1,OR(LEN(AY580)&lt;3,ISNUMBER(MATCH(AY580,L_Placeholder,0)))),"INVALID – batch ID missing or placeholder",IF(AND(AR580=1,OR(NOT(ISNUMBER(X580)),NOT(ISNUMBER(Y580)))),"INVALID – expected/actual qty missing",IF(AND(AR580=1,OR(X580&lt;=0,Y580&lt;0)),"INVALID – expected qty must be above 0 and actual not negative",IF(BB580&lt;&gt;"",BB580,IF(AND(AS580=1,Documents!$J$22&lt;&gt;"ON FILE"),"INVALID – GLD not on file (Documents sheet)",IF(AND(AS580=2,Documents!$O$22&lt;&gt;"ON FILE"),"INVALID – menu checklist not on file (Documents sheet)",IF(AND(AS580=3,NOT(ISNUMBER(Flights!$AX$22))),"INVALID – enter carrying flight KUL departure (Flights AX)",IF(AND(AS580=3,OR(Flights!$AZ$22&gt;Flights!$AA$22,Flights!$AX$22&lt;Flights!$AA$22-3)),"INVALID – carrying flight (Flights AX) cannot arrive before this leg's STD, or is over 3 days early",IF(AG580&gt;AsOfUTC,"INVALID – completion time is in the future",IF(AND(ISNUMBER(S580),AG580&lt;S580),IF(H580="Physical uplift","INVALID – before uplift window (cannot confirm loading)","INVALID – before valid window"),IF(AG580&gt;Flights!$AA$22,"INVALID – completed after departure (cannot establish readiness)",IF(AND(H580="Preparation",AG580&gt;IF(ISNUMBER(Flights!$BA$22),MIN(Flights!$BA$22,Flights!$AA$22),Flights!$AA$22)),"INVALID – completed after loading / departure (cannot establish readiness)",IF(AND(H580="Physical uplift",AG580&gt;Q580),"INVALID – recorded after the loading flight departed",IF(AG580&gt;Q580,"COMPLETE – LATE","COMPLETE"))))))))))))))))))))),IF(TRIM(U580)="Fail","FAIL – DISCREPANCY",IF(AND(TRIM(U580)&lt;&gt;"",TRIM(U580)&lt;&gt;"Not started",TRIM(U580)&lt;&gt;"In progress"),"INVALID – unrecognised status (use the list)",IF(AsOfUTC&gt;Q580,"OVERDUE",IF(N580="Clarification required","OPEN – CLARIFICATION","OPEN"))))))),"INVALID – error value in an input cell")</f>
        <v>OPEN</v>
      </c>
      <c r="AI580" s="61" t="n">
        <f aca="false">IF(OR(AH580="N/A – RULE",AH580="N/A – JUSTIFIED"),0,1)</f>
        <v>1</v>
      </c>
      <c r="AJ580" s="61" t="n">
        <f aca="false">IF(LEFT(AH580,8)="COMPLETE",1,0)</f>
        <v>0</v>
      </c>
      <c r="AK580" s="61" t="n">
        <f aca="false">IF(AND(AI580=1,AJ580=0,AsOfUTC&gt;Q580),1,0)</f>
        <v>0</v>
      </c>
      <c r="AL580" s="61" t="n">
        <f aca="false">IFERROR(IF(AND(AI580=1,OR(TRIM(U580)="Fail",AND(TRIM(AB580)&lt;&gt;"",TRIM(AB580)&lt;&gt;"Closed"),AND(ISNUMBER(AF580),AF580&lt;&gt;0,TRIM(U580)&lt;&gt;"Pass after CA"))),1,0),1)</f>
        <v>0</v>
      </c>
      <c r="AM580" s="61" t="n">
        <f aca="false">IF(LEFT(AH580,7)="INVALID",1,0)</f>
        <v>0</v>
      </c>
      <c r="AN580" s="61" t="n">
        <f aca="false">IF(AND(N580="Clarification required",AI580=1,AJ580=0),1,0)</f>
        <v>0</v>
      </c>
      <c r="AO580" s="61" t="str">
        <f aca="false">IF(AK580=1,SUM(AK$5:AK580),"")</f>
        <v/>
      </c>
      <c r="AP580" s="61" t="str">
        <f aca="false">IF(AL580=1,SUM(AL$5:AL580),"")</f>
        <v/>
      </c>
      <c r="AQ580" s="61" t="n">
        <v>0</v>
      </c>
      <c r="AR580" s="61" t="n">
        <v>0</v>
      </c>
      <c r="AS580" s="61" t="n">
        <v>1</v>
      </c>
      <c r="AT580" s="61" t="n">
        <v>0</v>
      </c>
      <c r="AU580" s="61" t="str">
        <f aca="false">SUBSTITUTE(SUBSTITUTE(SUBSTITUTE(SUBSTITUTE(SUBSTITUTE(SUBSTITUTE(SUBSTITUTE(SUBSTITUTE(SUBSTITUTE(SUBSTITUTE(SUBSTITUTE(SUBSTITUTE(SUBSTITUTE(LOWER(T580&amp;""),CHAR(160),"")," ",""),".",""),"-",""),"/",""),"?",""),"_",""),",",""),"[",""),"]",""),"(",""),")",""),"*","")</f>
        <v/>
      </c>
      <c r="AV580" s="61" t="str">
        <f aca="false">SUBSTITUTE(SUBSTITUTE(SUBSTITUTE(SUBSTITUTE(SUBSTITUTE(SUBSTITUTE(SUBSTITUTE(SUBSTITUTE(SUBSTITUTE(SUBSTITUTE(SUBSTITUTE(SUBSTITUTE(SUBSTITUTE(LOWER(V580&amp;""),CHAR(160),"")," ",""),".",""),"-",""),"/",""),"?",""),"_",""),",",""),"[",""),"]",""),"(",""),")",""),"*","")</f>
        <v/>
      </c>
      <c r="AW580" s="61" t="str">
        <f aca="false">SUBSTITUTE(SUBSTITUTE(SUBSTITUTE(SUBSTITUTE(SUBSTITUTE(SUBSTITUTE(SUBSTITUTE(SUBSTITUTE(SUBSTITUTE(SUBSTITUTE(SUBSTITUTE(SUBSTITUTE(SUBSTITUTE(LOWER(Z580&amp;""),CHAR(160),"")," ",""),".",""),"-",""),"/",""),"?",""),"_",""),",",""),"[",""),"]",""),"(",""),")",""),"*","")</f>
        <v/>
      </c>
      <c r="AX580" s="61" t="str">
        <f aca="false">SUBSTITUTE(SUBSTITUTE(SUBSTITUTE(SUBSTITUTE(SUBSTITUTE(SUBSTITUTE(SUBSTITUTE(SUBSTITUTE(SUBSTITUTE(SUBSTITUTE(SUBSTITUTE(SUBSTITUTE(SUBSTITUTE(LOWER(AE580&amp;""),CHAR(160),"")," ",""),".",""),"-",""),"/",""),"?",""),"_",""),",",""),"[",""),"]",""),"(",""),")",""),"*","")</f>
        <v/>
      </c>
      <c r="AY580" s="61" t="str">
        <f aca="false">SUBSTITUTE(SUBSTITUTE(SUBSTITUTE(SUBSTITUTE(SUBSTITUTE(SUBSTITUTE(SUBSTITUTE(SUBSTITUTE(SUBSTITUTE(SUBSTITUTE(SUBSTITUTE(SUBSTITUTE(SUBSTITUTE(LOWER(W580&amp;""),CHAR(160),"")," ",""),".",""),"-",""),"/",""),"?",""),"_",""),",",""),"[",""),"]",""),"(",""),")",""),"*","")</f>
        <v/>
      </c>
      <c r="AZ580" s="61" t="str">
        <f aca="false">SUBSTITUTE(SUBSTITUTE(SUBSTITUTE(SUBSTITUTE(SUBSTITUTE(SUBSTITUTE(SUBSTITUTE(SUBSTITUTE(SUBSTITUTE(SUBSTITUTE(SUBSTITUTE(SUBSTITUTE(SUBSTITUTE(LOWER(AC580&amp;""),CHAR(160),"")," ",""),".",""),"-",""),"/",""),"?",""),"_",""),",",""),"[",""),"]",""),"(",""),")",""),"*","")</f>
        <v/>
      </c>
      <c r="BA580" s="61" t="str">
        <f aca="false">SUBSTITUTE(SUBSTITUTE(SUBSTITUTE(SUBSTITUTE(SUBSTITUTE(SUBSTITUTE(SUBSTITUTE(SUBSTITUTE(SUBSTITUTE(SUBSTITUTE(SUBSTITUTE(SUBSTITUTE(SUBSTITUTE(LOWER(AA580&amp;""),CHAR(160),"")," ",""),".",""),"-",""),"/",""),"?",""),"_",""),",",""),"[",""),"]",""),"(",""),")",""),"*","")</f>
        <v/>
      </c>
      <c r="BB580" s="61" t="str">
        <f aca="false">IF(AND(TRIM(U580)="Pass",ISNUMBER(AF580)),IF(AF580&lt;&gt;0,"INVALID – qty variance: use Fail or Pass after CA",""),"")&amp;IF(AND(TRIM(U580)="Pass after CA",ISNUMBER(AF580)),IF(AF580&lt;&gt;0,"INVALID – after the corrective action the actual qty must equal expected (update Actual)",""),"")&amp;IF(AND(TRIM(U580)="Pass",TRIM(AB580)&lt;&gt;"",TRIM(AB580)&lt;&gt;"Closed"),"INVALID – corrective action not closed: use Fail, then Pass after CA","")&amp;IF(AND(TRIM(AA580)&lt;&gt;"",TRIM(AB580)=""),"INVALID – CA status missing for the recorded corrective action","")&amp;IF(AND(TRIM(U580)="Pass after CA",OR(OR(LEN(BA580)&lt;5,ISNUMBER(MATCH(BA580,L_Placeholder,0))),TRIM(AB580)&lt;&gt;"Closed")),"INVALID – corrective action not recorded/closed","")</f>
        <v/>
      </c>
    </row>
    <row r="581" customFormat="false" ht="39.75" hidden="false" customHeight="true" outlineLevel="0" collapsed="false">
      <c r="A581" s="57" t="s">
        <v>1251</v>
      </c>
      <c r="B581" s="57" t="s">
        <v>290</v>
      </c>
      <c r="C581" s="57" t="str">
        <f aca="false">Flights!$F$22</f>
        <v>MH0052</v>
      </c>
      <c r="D581" s="58" t="n">
        <f aca="false">Flights!$D$22</f>
        <v>46322</v>
      </c>
      <c r="E581" s="57" t="str">
        <f aca="false">Flights!$G$22&amp;"-"&amp;Flights!$H$22</f>
        <v>KUL-KIX</v>
      </c>
      <c r="F581" s="57" t="str">
        <f aca="false">Flights!$K$22</f>
        <v>BC</v>
      </c>
      <c r="G581" s="57" t="s">
        <v>79</v>
      </c>
      <c r="H581" s="57" t="s">
        <v>356</v>
      </c>
      <c r="I581" s="57" t="s">
        <v>383</v>
      </c>
      <c r="J581" s="57" t="s">
        <v>387</v>
      </c>
      <c r="K581" s="67" t="s">
        <v>385</v>
      </c>
      <c r="L581" s="67" t="s">
        <v>360</v>
      </c>
      <c r="M581" s="67"/>
      <c r="N581" s="67" t="s">
        <v>361</v>
      </c>
      <c r="O581" s="67"/>
      <c r="P581" s="57" t="s">
        <v>184</v>
      </c>
      <c r="Q581" s="59" t="n">
        <f aca="false">ROUND((Flights!$AC$22)*1440,0)/1440</f>
        <v>46315.6006944444</v>
      </c>
      <c r="R581" s="59" t="n">
        <f aca="false">Q581+(IF(AND(INDEX(TZ_DSTS,MATCH(P581,TZ_STN,0))&lt;&gt;"",Q581&gt;=INDEX(TZ_DSTS,MATCH(P581,TZ_STN,0)),Q581&lt;INDEX(TZ_DSTE,MATCH(P581,TZ_STN,0))),INDEX(TZ_DST,MATCH(P581,TZ_STN,0)),INDEX(TZ_STD,MATCH(P581,TZ_STN,0))))/24</f>
        <v>46315.9340277778</v>
      </c>
      <c r="S581" s="59" t="n">
        <f aca="false">Q581-T7EarlyD*24/24</f>
        <v>46301.6006944444</v>
      </c>
      <c r="T581" s="60"/>
      <c r="U581" s="60"/>
      <c r="V581" s="60"/>
      <c r="W581" s="61"/>
      <c r="X581" s="60"/>
      <c r="Y581" s="60"/>
      <c r="Z581" s="60"/>
      <c r="AA581" s="60"/>
      <c r="AB581" s="60"/>
      <c r="AC581" s="60"/>
      <c r="AD581" s="66"/>
      <c r="AE581" s="60"/>
      <c r="AF581" s="61" t="str">
        <f aca="false">IF(AND(ISNUMBER(X581),ISNUMBER(Y581)),Y581-X581,"")</f>
        <v/>
      </c>
      <c r="AG581" s="62" t="str">
        <f aca="false">IF(ISNUMBER(AD581),AD581-(IF(AND(INDEX(TZ_DSTS,MATCH(P581,TZ_STN,0))&lt;&gt;"",(AD581-INDEX(TZ_STD,MATCH(P581,TZ_STN,0))/24)&gt;=INDEX(TZ_DSTS,MATCH(P581,TZ_STN,0)),(AD581-INDEX(TZ_STD,MATCH(P581,TZ_STN,0))/24)&lt;INDEX(TZ_DSTE,MATCH(P581,TZ_STN,0))),INDEX(TZ_DST,MATCH(P581,TZ_STN,0)),INDEX(TZ_STD,MATCH(P581,TZ_STN,0))))/24,"")</f>
        <v/>
      </c>
      <c r="AH581" s="65" t="str">
        <f aca="false">IFERROR(IF(N581="N/A – rule","N/A – RULE",IF(TRIM(U581)="N/A",IF(AT581=0,"INVALID – N/A not permitted for this check",IF(AND(TRIM(AB581)&lt;&gt;"",TRIM(AB581)&lt;&gt;"Closed"),"INVALID – corrective action still open",IF(AND(NOT(OR(LEN(AZ581)&lt;15,ISNUMBER(MATCH(AZ581,L_Placeholder,0)))),NOT(OR(LEN(AU581)&lt;2,ISNUMBER(MATCH(AU581,L_Placeholder,0)))),NOT(OR(LEN(AX581)&lt;2,ISNUMBER(MATCH(AX581,L_Placeholder,0)))),TRIM(AE581)&lt;&gt;TRIM(T581)),"N/A – JUSTIFIED","INVALID – N/A needs a real justification (15+ chars), PIC and a different verifier"))),IF(OR(TRIM(U581)="Pass",TRIM(U581)="Pass after CA"),IF(NOT(ISNUMBER(AD581)),"INVALID – completion time missing",IF(OR(LEN(AU581)&lt;2,ISNUMBER(MATCH(AU581,L_Placeholder,0))),"INVALID – PIC missing",IF(OR(LEN(AV581)&lt;2,ISNUMBER(MATCH(AV581,L_Placeholder,0))),"INVALID – result / assessment missing",IF(OR(OR(LEN(AW581)&lt;3,ISNUMBER(MATCH(AW581,L_Placeholder,0))),SUMPRODUCT(--ISNUMBER(SEARCH(L_EvidencePhrase,AW581)))&gt;0),"INVALID – evidence missing, placeholder or not yet on file",IF(OR(LEN(AX581)&lt;2,ISNUMBER(MATCH(AX581,L_Placeholder,0))),"INVALID – verifier missing",IF(AX581=AU581,"INVALID – verifier must be someone other than the PIC",IF(AND(TRIM(U581)="Pass",SUMPRODUCT(--ISNUMBER(SEARCH(L_ResultBad,AV581)))&gt;0),"INVALID – result describes a problem: use Fail, then Pass after CA",IF(AND(AQ581=1,OR(LEN(AY581)&lt;3,ISNUMBER(MATCH(AY581,L_Placeholder,0)))),"INVALID – batch ID missing or placeholder",IF(AND(AR581=1,OR(NOT(ISNUMBER(X581)),NOT(ISNUMBER(Y581)))),"INVALID – expected/actual qty missing",IF(AND(AR581=1,OR(X581&lt;=0,Y581&lt;0)),"INVALID – expected qty must be above 0 and actual not negative",IF(BB581&lt;&gt;"",BB581,IF(AND(AS581=1,Documents!$J$22&lt;&gt;"ON FILE"),"INVALID – GLD not on file (Documents sheet)",IF(AND(AS581=2,Documents!$O$22&lt;&gt;"ON FILE"),"INVALID – menu checklist not on file (Documents sheet)",IF(AND(AS581=3,NOT(ISNUMBER(Flights!$AX$22))),"INVALID – enter carrying flight KUL departure (Flights AX)",IF(AND(AS581=3,OR(Flights!$AZ$22&gt;Flights!$AA$22,Flights!$AX$22&lt;Flights!$AA$22-3)),"INVALID – carrying flight (Flights AX) cannot arrive before this leg's STD, or is over 3 days early",IF(AG581&gt;AsOfUTC,"INVALID – completion time is in the future",IF(AND(ISNUMBER(S581),AG581&lt;S581),IF(H581="Physical uplift","INVALID – before uplift window (cannot confirm loading)","INVALID – before valid window"),IF(AG581&gt;Flights!$AA$22,"INVALID – completed after departure (cannot establish readiness)",IF(AND(H581="Preparation",AG581&gt;IF(ISNUMBER(Flights!$BA$22),MIN(Flights!$BA$22,Flights!$AA$22),Flights!$AA$22)),"INVALID – completed after loading / departure (cannot establish readiness)",IF(AND(H581="Physical uplift",AG581&gt;Q581),"INVALID – recorded after the loading flight departed",IF(AG581&gt;Q581,"COMPLETE – LATE","COMPLETE"))))))))))))))))))))),IF(TRIM(U581)="Fail","FAIL – DISCREPANCY",IF(AND(TRIM(U581)&lt;&gt;"",TRIM(U581)&lt;&gt;"Not started",TRIM(U581)&lt;&gt;"In progress"),"INVALID – unrecognised status (use the list)",IF(AsOfUTC&gt;Q581,"OVERDUE",IF(N581="Clarification required","OPEN – CLARIFICATION","OPEN"))))))),"INVALID – error value in an input cell")</f>
        <v>OPEN</v>
      </c>
      <c r="AI581" s="61" t="n">
        <f aca="false">IF(OR(AH581="N/A – RULE",AH581="N/A – JUSTIFIED"),0,1)</f>
        <v>1</v>
      </c>
      <c r="AJ581" s="61" t="n">
        <f aca="false">IF(LEFT(AH581,8)="COMPLETE",1,0)</f>
        <v>0</v>
      </c>
      <c r="AK581" s="61" t="n">
        <f aca="false">IF(AND(AI581=1,AJ581=0,AsOfUTC&gt;Q581),1,0)</f>
        <v>0</v>
      </c>
      <c r="AL581" s="61" t="n">
        <f aca="false">IFERROR(IF(AND(AI581=1,OR(TRIM(U581)="Fail",AND(TRIM(AB581)&lt;&gt;"",TRIM(AB581)&lt;&gt;"Closed"),AND(ISNUMBER(AF581),AF581&lt;&gt;0,TRIM(U581)&lt;&gt;"Pass after CA"))),1,0),1)</f>
        <v>0</v>
      </c>
      <c r="AM581" s="61" t="n">
        <f aca="false">IF(LEFT(AH581,7)="INVALID",1,0)</f>
        <v>0</v>
      </c>
      <c r="AN581" s="61" t="n">
        <f aca="false">IF(AND(N581="Clarification required",AI581=1,AJ581=0),1,0)</f>
        <v>0</v>
      </c>
      <c r="AO581" s="61" t="str">
        <f aca="false">IF(AK581=1,SUM(AK$5:AK581),"")</f>
        <v/>
      </c>
      <c r="AP581" s="61" t="str">
        <f aca="false">IF(AL581=1,SUM(AL$5:AL581),"")</f>
        <v/>
      </c>
      <c r="AQ581" s="61" t="n">
        <v>0</v>
      </c>
      <c r="AR581" s="61" t="n">
        <v>0</v>
      </c>
      <c r="AS581" s="61" t="n">
        <v>2</v>
      </c>
      <c r="AT581" s="61" t="n">
        <v>0</v>
      </c>
      <c r="AU581" s="61" t="str">
        <f aca="false">SUBSTITUTE(SUBSTITUTE(SUBSTITUTE(SUBSTITUTE(SUBSTITUTE(SUBSTITUTE(SUBSTITUTE(SUBSTITUTE(SUBSTITUTE(SUBSTITUTE(SUBSTITUTE(SUBSTITUTE(SUBSTITUTE(LOWER(T581&amp;""),CHAR(160),"")," ",""),".",""),"-",""),"/",""),"?",""),"_",""),",",""),"[",""),"]",""),"(",""),")",""),"*","")</f>
        <v/>
      </c>
      <c r="AV581" s="61" t="str">
        <f aca="false">SUBSTITUTE(SUBSTITUTE(SUBSTITUTE(SUBSTITUTE(SUBSTITUTE(SUBSTITUTE(SUBSTITUTE(SUBSTITUTE(SUBSTITUTE(SUBSTITUTE(SUBSTITUTE(SUBSTITUTE(SUBSTITUTE(LOWER(V581&amp;""),CHAR(160),"")," ",""),".",""),"-",""),"/",""),"?",""),"_",""),",",""),"[",""),"]",""),"(",""),")",""),"*","")</f>
        <v/>
      </c>
      <c r="AW581" s="61" t="str">
        <f aca="false">SUBSTITUTE(SUBSTITUTE(SUBSTITUTE(SUBSTITUTE(SUBSTITUTE(SUBSTITUTE(SUBSTITUTE(SUBSTITUTE(SUBSTITUTE(SUBSTITUTE(SUBSTITUTE(SUBSTITUTE(SUBSTITUTE(LOWER(Z581&amp;""),CHAR(160),"")," ",""),".",""),"-",""),"/",""),"?",""),"_",""),",",""),"[",""),"]",""),"(",""),")",""),"*","")</f>
        <v/>
      </c>
      <c r="AX581" s="61" t="str">
        <f aca="false">SUBSTITUTE(SUBSTITUTE(SUBSTITUTE(SUBSTITUTE(SUBSTITUTE(SUBSTITUTE(SUBSTITUTE(SUBSTITUTE(SUBSTITUTE(SUBSTITUTE(SUBSTITUTE(SUBSTITUTE(SUBSTITUTE(LOWER(AE581&amp;""),CHAR(160),"")," ",""),".",""),"-",""),"/",""),"?",""),"_",""),",",""),"[",""),"]",""),"(",""),")",""),"*","")</f>
        <v/>
      </c>
      <c r="AY581" s="61" t="str">
        <f aca="false">SUBSTITUTE(SUBSTITUTE(SUBSTITUTE(SUBSTITUTE(SUBSTITUTE(SUBSTITUTE(SUBSTITUTE(SUBSTITUTE(SUBSTITUTE(SUBSTITUTE(SUBSTITUTE(SUBSTITUTE(SUBSTITUTE(LOWER(W581&amp;""),CHAR(160),"")," ",""),".",""),"-",""),"/",""),"?",""),"_",""),",",""),"[",""),"]",""),"(",""),")",""),"*","")</f>
        <v/>
      </c>
      <c r="AZ581" s="61" t="str">
        <f aca="false">SUBSTITUTE(SUBSTITUTE(SUBSTITUTE(SUBSTITUTE(SUBSTITUTE(SUBSTITUTE(SUBSTITUTE(SUBSTITUTE(SUBSTITUTE(SUBSTITUTE(SUBSTITUTE(SUBSTITUTE(SUBSTITUTE(LOWER(AC581&amp;""),CHAR(160),"")," ",""),".",""),"-",""),"/",""),"?",""),"_",""),",",""),"[",""),"]",""),"(",""),")",""),"*","")</f>
        <v/>
      </c>
      <c r="BA581" s="61" t="str">
        <f aca="false">SUBSTITUTE(SUBSTITUTE(SUBSTITUTE(SUBSTITUTE(SUBSTITUTE(SUBSTITUTE(SUBSTITUTE(SUBSTITUTE(SUBSTITUTE(SUBSTITUTE(SUBSTITUTE(SUBSTITUTE(SUBSTITUTE(LOWER(AA581&amp;""),CHAR(160),"")," ",""),".",""),"-",""),"/",""),"?",""),"_",""),",",""),"[",""),"]",""),"(",""),")",""),"*","")</f>
        <v/>
      </c>
      <c r="BB581" s="61" t="str">
        <f aca="false">IF(AND(TRIM(U581)="Pass",ISNUMBER(AF581)),IF(AF581&lt;&gt;0,"INVALID – qty variance: use Fail or Pass after CA",""),"")&amp;IF(AND(TRIM(U581)="Pass after CA",ISNUMBER(AF581)),IF(AF581&lt;&gt;0,"INVALID – after the corrective action the actual qty must equal expected (update Actual)",""),"")&amp;IF(AND(TRIM(U581)="Pass",TRIM(AB581)&lt;&gt;"",TRIM(AB581)&lt;&gt;"Closed"),"INVALID – corrective action not closed: use Fail, then Pass after CA","")&amp;IF(AND(TRIM(AA581)&lt;&gt;"",TRIM(AB581)=""),"INVALID – CA status missing for the recorded corrective action","")&amp;IF(AND(TRIM(U581)="Pass after CA",OR(OR(LEN(BA581)&lt;5,ISNUMBER(MATCH(BA581,L_Placeholder,0))),TRIM(AB581)&lt;&gt;"Closed")),"INVALID – corrective action not recorded/closed","")</f>
        <v/>
      </c>
    </row>
    <row r="582" customFormat="false" ht="39.75" hidden="false" customHeight="true" outlineLevel="0" collapsed="false">
      <c r="A582" s="57" t="s">
        <v>1252</v>
      </c>
      <c r="B582" s="57" t="s">
        <v>290</v>
      </c>
      <c r="C582" s="57" t="str">
        <f aca="false">Flights!$F$22</f>
        <v>MH0052</v>
      </c>
      <c r="D582" s="58" t="n">
        <f aca="false">Flights!$D$22</f>
        <v>46322</v>
      </c>
      <c r="E582" s="57" t="str">
        <f aca="false">Flights!$G$22&amp;"-"&amp;Flights!$H$22</f>
        <v>KUL-KIX</v>
      </c>
      <c r="F582" s="57" t="str">
        <f aca="false">Flights!$K$22</f>
        <v>BC</v>
      </c>
      <c r="G582" s="57" t="s">
        <v>79</v>
      </c>
      <c r="H582" s="57" t="s">
        <v>356</v>
      </c>
      <c r="I582" s="57" t="s">
        <v>389</v>
      </c>
      <c r="J582" s="57" t="s">
        <v>390</v>
      </c>
      <c r="K582" s="67" t="s">
        <v>1253</v>
      </c>
      <c r="L582" s="67" t="s">
        <v>1254</v>
      </c>
      <c r="M582" s="67"/>
      <c r="N582" s="67" t="s">
        <v>361</v>
      </c>
      <c r="O582" s="67"/>
      <c r="P582" s="57" t="s">
        <v>184</v>
      </c>
      <c r="Q582" s="59" t="n">
        <f aca="false">ROUND((Flights!$AC$22)*1440,0)/1440</f>
        <v>46315.6006944444</v>
      </c>
      <c r="R582" s="59" t="n">
        <f aca="false">Q582+(IF(AND(INDEX(TZ_DSTS,MATCH(P582,TZ_STN,0))&lt;&gt;"",Q582&gt;=INDEX(TZ_DSTS,MATCH(P582,TZ_STN,0)),Q582&lt;INDEX(TZ_DSTE,MATCH(P582,TZ_STN,0))),INDEX(TZ_DST,MATCH(P582,TZ_STN,0)),INDEX(TZ_STD,MATCH(P582,TZ_STN,0))))/24</f>
        <v>46315.9340277778</v>
      </c>
      <c r="S582" s="59" t="n">
        <f aca="false">Q582-T7EarlyD*24/24</f>
        <v>46301.6006944444</v>
      </c>
      <c r="T582" s="60"/>
      <c r="U582" s="60"/>
      <c r="V582" s="60"/>
      <c r="W582" s="61"/>
      <c r="X582" s="60"/>
      <c r="Y582" s="60"/>
      <c r="Z582" s="60"/>
      <c r="AA582" s="60"/>
      <c r="AB582" s="60"/>
      <c r="AC582" s="60"/>
      <c r="AD582" s="66"/>
      <c r="AE582" s="60"/>
      <c r="AF582" s="61" t="str">
        <f aca="false">IF(AND(ISNUMBER(X582),ISNUMBER(Y582)),Y582-X582,"")</f>
        <v/>
      </c>
      <c r="AG582" s="62" t="str">
        <f aca="false">IF(ISNUMBER(AD582),AD582-(IF(AND(INDEX(TZ_DSTS,MATCH(P582,TZ_STN,0))&lt;&gt;"",(AD582-INDEX(TZ_STD,MATCH(P582,TZ_STN,0))/24)&gt;=INDEX(TZ_DSTS,MATCH(P582,TZ_STN,0)),(AD582-INDEX(TZ_STD,MATCH(P582,TZ_STN,0))/24)&lt;INDEX(TZ_DSTE,MATCH(P582,TZ_STN,0))),INDEX(TZ_DST,MATCH(P582,TZ_STN,0)),INDEX(TZ_STD,MATCH(P582,TZ_STN,0))))/24,"")</f>
        <v/>
      </c>
      <c r="AH582" s="65" t="str">
        <f aca="false">IFERROR(IF(N582="N/A – rule","N/A – RULE",IF(TRIM(U582)="N/A",IF(AT582=0,"INVALID – N/A not permitted for this check",IF(AND(TRIM(AB582)&lt;&gt;"",TRIM(AB582)&lt;&gt;"Closed"),"INVALID – corrective action still open",IF(AND(NOT(OR(LEN(AZ582)&lt;15,ISNUMBER(MATCH(AZ582,L_Placeholder,0)))),NOT(OR(LEN(AU582)&lt;2,ISNUMBER(MATCH(AU582,L_Placeholder,0)))),NOT(OR(LEN(AX582)&lt;2,ISNUMBER(MATCH(AX582,L_Placeholder,0)))),TRIM(AE582)&lt;&gt;TRIM(T582)),"N/A – JUSTIFIED","INVALID – N/A needs a real justification (15+ chars), PIC and a different verifier"))),IF(OR(TRIM(U582)="Pass",TRIM(U582)="Pass after CA"),IF(NOT(ISNUMBER(AD582)),"INVALID – completion time missing",IF(OR(LEN(AU582)&lt;2,ISNUMBER(MATCH(AU582,L_Placeholder,0))),"INVALID – PIC missing",IF(OR(LEN(AV582)&lt;2,ISNUMBER(MATCH(AV582,L_Placeholder,0))),"INVALID – result / assessment missing",IF(OR(OR(LEN(AW582)&lt;3,ISNUMBER(MATCH(AW582,L_Placeholder,0))),SUMPRODUCT(--ISNUMBER(SEARCH(L_EvidencePhrase,AW582)))&gt;0),"INVALID – evidence missing, placeholder or not yet on file",IF(OR(LEN(AX582)&lt;2,ISNUMBER(MATCH(AX582,L_Placeholder,0))),"INVALID – verifier missing",IF(AX582=AU582,"INVALID – verifier must be someone other than the PIC",IF(AND(TRIM(U582)="Pass",SUMPRODUCT(--ISNUMBER(SEARCH(L_ResultBad,AV582)))&gt;0),"INVALID – result describes a problem: use Fail, then Pass after CA",IF(AND(AQ582=1,OR(LEN(AY582)&lt;3,ISNUMBER(MATCH(AY582,L_Placeholder,0)))),"INVALID – batch ID missing or placeholder",IF(AND(AR582=1,OR(NOT(ISNUMBER(X582)),NOT(ISNUMBER(Y582)))),"INVALID – expected/actual qty missing",IF(AND(AR582=1,OR(X582&lt;=0,Y582&lt;0)),"INVALID – expected qty must be above 0 and actual not negative",IF(BB582&lt;&gt;"",BB582,IF(AND(AS582=1,Documents!$J$22&lt;&gt;"ON FILE"),"INVALID – GLD not on file (Documents sheet)",IF(AND(AS582=2,Documents!$O$22&lt;&gt;"ON FILE"),"INVALID – menu checklist not on file (Documents sheet)",IF(AND(AS582=3,NOT(ISNUMBER(Flights!$AX$22))),"INVALID – enter carrying flight KUL departure (Flights AX)",IF(AND(AS582=3,OR(Flights!$AZ$22&gt;Flights!$AA$22,Flights!$AX$22&lt;Flights!$AA$22-3)),"INVALID – carrying flight (Flights AX) cannot arrive before this leg's STD, or is over 3 days early",IF(AG582&gt;AsOfUTC,"INVALID – completion time is in the future",IF(AND(ISNUMBER(S582),AG582&lt;S582),IF(H582="Physical uplift","INVALID – before uplift window (cannot confirm loading)","INVALID – before valid window"),IF(AG582&gt;Flights!$AA$22,"INVALID – completed after departure (cannot establish readiness)",IF(AND(H582="Preparation",AG582&gt;IF(ISNUMBER(Flights!$BA$22),MIN(Flights!$BA$22,Flights!$AA$22),Flights!$AA$22)),"INVALID – completed after loading / departure (cannot establish readiness)",IF(AND(H582="Physical uplift",AG582&gt;Q582),"INVALID – recorded after the loading flight departed",IF(AG582&gt;Q582,"COMPLETE – LATE","COMPLETE"))))))))))))))))))))),IF(TRIM(U582)="Fail","FAIL – DISCREPANCY",IF(AND(TRIM(U582)&lt;&gt;"",TRIM(U582)&lt;&gt;"Not started",TRIM(U582)&lt;&gt;"In progress"),"INVALID – unrecognised status (use the list)",IF(AsOfUTC&gt;Q582,"OVERDUE",IF(N582="Clarification required","OPEN – CLARIFICATION","OPEN"))))))),"INVALID – error value in an input cell")</f>
        <v>OPEN</v>
      </c>
      <c r="AI582" s="61" t="n">
        <f aca="false">IF(OR(AH582="N/A – RULE",AH582="N/A – JUSTIFIED"),0,1)</f>
        <v>1</v>
      </c>
      <c r="AJ582" s="61" t="n">
        <f aca="false">IF(LEFT(AH582,8)="COMPLETE",1,0)</f>
        <v>0</v>
      </c>
      <c r="AK582" s="61" t="n">
        <f aca="false">IF(AND(AI582=1,AJ582=0,AsOfUTC&gt;Q582),1,0)</f>
        <v>0</v>
      </c>
      <c r="AL582" s="61" t="n">
        <f aca="false">IFERROR(IF(AND(AI582=1,OR(TRIM(U582)="Fail",AND(TRIM(AB582)&lt;&gt;"",TRIM(AB582)&lt;&gt;"Closed"),AND(ISNUMBER(AF582),AF582&lt;&gt;0,TRIM(U582)&lt;&gt;"Pass after CA"))),1,0),1)</f>
        <v>0</v>
      </c>
      <c r="AM582" s="61" t="n">
        <f aca="false">IF(LEFT(AH582,7)="INVALID",1,0)</f>
        <v>0</v>
      </c>
      <c r="AN582" s="61" t="n">
        <f aca="false">IF(AND(N582="Clarification required",AI582=1,AJ582=0),1,0)</f>
        <v>0</v>
      </c>
      <c r="AO582" s="61" t="str">
        <f aca="false">IF(AK582=1,SUM(AK$5:AK582),"")</f>
        <v/>
      </c>
      <c r="AP582" s="61" t="str">
        <f aca="false">IF(AL582=1,SUM(AL$5:AL582),"")</f>
        <v/>
      </c>
      <c r="AQ582" s="61" t="n">
        <v>0</v>
      </c>
      <c r="AR582" s="61" t="n">
        <v>0</v>
      </c>
      <c r="AS582" s="61" t="n">
        <v>0</v>
      </c>
      <c r="AT582" s="61" t="n">
        <v>0</v>
      </c>
      <c r="AU582" s="61" t="str">
        <f aca="false">SUBSTITUTE(SUBSTITUTE(SUBSTITUTE(SUBSTITUTE(SUBSTITUTE(SUBSTITUTE(SUBSTITUTE(SUBSTITUTE(SUBSTITUTE(SUBSTITUTE(SUBSTITUTE(SUBSTITUTE(SUBSTITUTE(LOWER(T582&amp;""),CHAR(160),"")," ",""),".",""),"-",""),"/",""),"?",""),"_",""),",",""),"[",""),"]",""),"(",""),")",""),"*","")</f>
        <v/>
      </c>
      <c r="AV582" s="61" t="str">
        <f aca="false">SUBSTITUTE(SUBSTITUTE(SUBSTITUTE(SUBSTITUTE(SUBSTITUTE(SUBSTITUTE(SUBSTITUTE(SUBSTITUTE(SUBSTITUTE(SUBSTITUTE(SUBSTITUTE(SUBSTITUTE(SUBSTITUTE(LOWER(V582&amp;""),CHAR(160),"")," ",""),".",""),"-",""),"/",""),"?",""),"_",""),",",""),"[",""),"]",""),"(",""),")",""),"*","")</f>
        <v/>
      </c>
      <c r="AW582" s="61" t="str">
        <f aca="false">SUBSTITUTE(SUBSTITUTE(SUBSTITUTE(SUBSTITUTE(SUBSTITUTE(SUBSTITUTE(SUBSTITUTE(SUBSTITUTE(SUBSTITUTE(SUBSTITUTE(SUBSTITUTE(SUBSTITUTE(SUBSTITUTE(LOWER(Z582&amp;""),CHAR(160),"")," ",""),".",""),"-",""),"/",""),"?",""),"_",""),",",""),"[",""),"]",""),"(",""),")",""),"*","")</f>
        <v/>
      </c>
      <c r="AX582" s="61" t="str">
        <f aca="false">SUBSTITUTE(SUBSTITUTE(SUBSTITUTE(SUBSTITUTE(SUBSTITUTE(SUBSTITUTE(SUBSTITUTE(SUBSTITUTE(SUBSTITUTE(SUBSTITUTE(SUBSTITUTE(SUBSTITUTE(SUBSTITUTE(LOWER(AE582&amp;""),CHAR(160),"")," ",""),".",""),"-",""),"/",""),"?",""),"_",""),",",""),"[",""),"]",""),"(",""),")",""),"*","")</f>
        <v/>
      </c>
      <c r="AY582" s="61" t="str">
        <f aca="false">SUBSTITUTE(SUBSTITUTE(SUBSTITUTE(SUBSTITUTE(SUBSTITUTE(SUBSTITUTE(SUBSTITUTE(SUBSTITUTE(SUBSTITUTE(SUBSTITUTE(SUBSTITUTE(SUBSTITUTE(SUBSTITUTE(LOWER(W582&amp;""),CHAR(160),"")," ",""),".",""),"-",""),"/",""),"?",""),"_",""),",",""),"[",""),"]",""),"(",""),")",""),"*","")</f>
        <v/>
      </c>
      <c r="AZ582" s="61" t="str">
        <f aca="false">SUBSTITUTE(SUBSTITUTE(SUBSTITUTE(SUBSTITUTE(SUBSTITUTE(SUBSTITUTE(SUBSTITUTE(SUBSTITUTE(SUBSTITUTE(SUBSTITUTE(SUBSTITUTE(SUBSTITUTE(SUBSTITUTE(LOWER(AC582&amp;""),CHAR(160),"")," ",""),".",""),"-",""),"/",""),"?",""),"_",""),",",""),"[",""),"]",""),"(",""),")",""),"*","")</f>
        <v/>
      </c>
      <c r="BA582" s="61" t="str">
        <f aca="false">SUBSTITUTE(SUBSTITUTE(SUBSTITUTE(SUBSTITUTE(SUBSTITUTE(SUBSTITUTE(SUBSTITUTE(SUBSTITUTE(SUBSTITUTE(SUBSTITUTE(SUBSTITUTE(SUBSTITUTE(SUBSTITUTE(LOWER(AA582&amp;""),CHAR(160),"")," ",""),".",""),"-",""),"/",""),"?",""),"_",""),",",""),"[",""),"]",""),"(",""),")",""),"*","")</f>
        <v/>
      </c>
      <c r="BB582" s="61" t="str">
        <f aca="false">IF(AND(TRIM(U582)="Pass",ISNUMBER(AF582)),IF(AF582&lt;&gt;0,"INVALID – qty variance: use Fail or Pass after CA",""),"")&amp;IF(AND(TRIM(U582)="Pass after CA",ISNUMBER(AF582)),IF(AF582&lt;&gt;0,"INVALID – after the corrective action the actual qty must equal expected (update Actual)",""),"")&amp;IF(AND(TRIM(U582)="Pass",TRIM(AB582)&lt;&gt;"",TRIM(AB582)&lt;&gt;"Closed"),"INVALID – corrective action not closed: use Fail, then Pass after CA","")&amp;IF(AND(TRIM(AA582)&lt;&gt;"",TRIM(AB582)=""),"INVALID – CA status missing for the recorded corrective action","")&amp;IF(AND(TRIM(U582)="Pass after CA",OR(OR(LEN(BA582)&lt;5,ISNUMBER(MATCH(BA582,L_Placeholder,0))),TRIM(AB582)&lt;&gt;"Closed")),"INVALID – corrective action not recorded/closed","")</f>
        <v/>
      </c>
    </row>
    <row r="583" customFormat="false" ht="39.75" hidden="false" customHeight="true" outlineLevel="0" collapsed="false">
      <c r="A583" s="57" t="s">
        <v>1255</v>
      </c>
      <c r="B583" s="57" t="s">
        <v>290</v>
      </c>
      <c r="C583" s="57" t="str">
        <f aca="false">Flights!$F$22</f>
        <v>MH0052</v>
      </c>
      <c r="D583" s="58" t="n">
        <f aca="false">Flights!$D$22</f>
        <v>46322</v>
      </c>
      <c r="E583" s="57" t="str">
        <f aca="false">Flights!$G$22&amp;"-"&amp;Flights!$H$22</f>
        <v>KUL-KIX</v>
      </c>
      <c r="F583" s="57" t="str">
        <f aca="false">Flights!$K$22</f>
        <v>BC</v>
      </c>
      <c r="G583" s="57" t="s">
        <v>81</v>
      </c>
      <c r="H583" s="57" t="s">
        <v>356</v>
      </c>
      <c r="I583" s="57" t="s">
        <v>357</v>
      </c>
      <c r="J583" s="57" t="s">
        <v>394</v>
      </c>
      <c r="K583" s="67" t="s">
        <v>395</v>
      </c>
      <c r="L583" s="67" t="s">
        <v>396</v>
      </c>
      <c r="M583" s="67"/>
      <c r="N583" s="67" t="s">
        <v>361</v>
      </c>
      <c r="O583" s="67"/>
      <c r="P583" s="57" t="s">
        <v>184</v>
      </c>
      <c r="Q583" s="59" t="n">
        <f aca="false">ROUND((Flights!$AD$22)*1440,0)/1440</f>
        <v>46321.6006944444</v>
      </c>
      <c r="R583" s="59" t="n">
        <f aca="false">Q583+(IF(AND(INDEX(TZ_DSTS,MATCH(P583,TZ_STN,0))&lt;&gt;"",Q583&gt;=INDEX(TZ_DSTS,MATCH(P583,TZ_STN,0)),Q583&lt;INDEX(TZ_DSTE,MATCH(P583,TZ_STN,0))),INDEX(TZ_DST,MATCH(P583,TZ_STN,0)),INDEX(TZ_STD,MATCH(P583,TZ_STN,0))))/24</f>
        <v>46321.9340277778</v>
      </c>
      <c r="S583" s="59" t="n">
        <f aca="false">Q583-T24EarlyH/24</f>
        <v>46320.6006944444</v>
      </c>
      <c r="T583" s="60"/>
      <c r="U583" s="60"/>
      <c r="V583" s="60"/>
      <c r="W583" s="60"/>
      <c r="X583" s="60"/>
      <c r="Y583" s="60"/>
      <c r="Z583" s="60"/>
      <c r="AA583" s="60"/>
      <c r="AB583" s="60"/>
      <c r="AC583" s="60"/>
      <c r="AD583" s="66"/>
      <c r="AE583" s="60"/>
      <c r="AF583" s="61" t="str">
        <f aca="false">IF(AND(ISNUMBER(X583),ISNUMBER(Y583)),Y583-X583,"")</f>
        <v/>
      </c>
      <c r="AG583" s="62" t="str">
        <f aca="false">IF(ISNUMBER(AD583),AD583-(IF(AND(INDEX(TZ_DSTS,MATCH(P583,TZ_STN,0))&lt;&gt;"",(AD583-INDEX(TZ_STD,MATCH(P583,TZ_STN,0))/24)&gt;=INDEX(TZ_DSTS,MATCH(P583,TZ_STN,0)),(AD583-INDEX(TZ_STD,MATCH(P583,TZ_STN,0))/24)&lt;INDEX(TZ_DSTE,MATCH(P583,TZ_STN,0))),INDEX(TZ_DST,MATCH(P583,TZ_STN,0)),INDEX(TZ_STD,MATCH(P583,TZ_STN,0))))/24,"")</f>
        <v/>
      </c>
      <c r="AH583" s="65" t="str">
        <f aca="false">IFERROR(IF(N583="N/A – rule","N/A – RULE",IF(TRIM(U583)="N/A",IF(AT583=0,"INVALID – N/A not permitted for this check",IF(AND(TRIM(AB583)&lt;&gt;"",TRIM(AB583)&lt;&gt;"Closed"),"INVALID – corrective action still open",IF(AND(NOT(OR(LEN(AZ583)&lt;15,ISNUMBER(MATCH(AZ583,L_Placeholder,0)))),NOT(OR(LEN(AU583)&lt;2,ISNUMBER(MATCH(AU583,L_Placeholder,0)))),NOT(OR(LEN(AX583)&lt;2,ISNUMBER(MATCH(AX583,L_Placeholder,0)))),TRIM(AE583)&lt;&gt;TRIM(T583)),"N/A – JUSTIFIED","INVALID – N/A needs a real justification (15+ chars), PIC and a different verifier"))),IF(OR(TRIM(U583)="Pass",TRIM(U583)="Pass after CA"),IF(NOT(ISNUMBER(AD583)),"INVALID – completion time missing",IF(OR(LEN(AU583)&lt;2,ISNUMBER(MATCH(AU583,L_Placeholder,0))),"INVALID – PIC missing",IF(OR(LEN(AV583)&lt;2,ISNUMBER(MATCH(AV583,L_Placeholder,0))),"INVALID – result / assessment missing",IF(OR(OR(LEN(AW583)&lt;3,ISNUMBER(MATCH(AW583,L_Placeholder,0))),SUMPRODUCT(--ISNUMBER(SEARCH(L_EvidencePhrase,AW583)))&gt;0),"INVALID – evidence missing, placeholder or not yet on file",IF(OR(LEN(AX583)&lt;2,ISNUMBER(MATCH(AX583,L_Placeholder,0))),"INVALID – verifier missing",IF(AX583=AU583,"INVALID – verifier must be someone other than the PIC",IF(AND(TRIM(U583)="Pass",SUMPRODUCT(--ISNUMBER(SEARCH(L_ResultBad,AV583)))&gt;0),"INVALID – result describes a problem: use Fail, then Pass after CA",IF(AND(AQ583=1,OR(LEN(AY583)&lt;3,ISNUMBER(MATCH(AY583,L_Placeholder,0)))),"INVALID – batch ID missing or placeholder",IF(AND(AR583=1,OR(NOT(ISNUMBER(X583)),NOT(ISNUMBER(Y583)))),"INVALID – expected/actual qty missing",IF(AND(AR583=1,OR(X583&lt;=0,Y583&lt;0)),"INVALID – expected qty must be above 0 and actual not negative",IF(BB583&lt;&gt;"",BB583,IF(AND(AS583=1,Documents!$J$22&lt;&gt;"ON FILE"),"INVALID – GLD not on file (Documents sheet)",IF(AND(AS583=2,Documents!$O$22&lt;&gt;"ON FILE"),"INVALID – menu checklist not on file (Documents sheet)",IF(AND(AS583=3,NOT(ISNUMBER(Flights!$AX$22))),"INVALID – enter carrying flight KUL departure (Flights AX)",IF(AND(AS583=3,OR(Flights!$AZ$22&gt;Flights!$AA$22,Flights!$AX$22&lt;Flights!$AA$22-3)),"INVALID – carrying flight (Flights AX) cannot arrive before this leg's STD, or is over 3 days early",IF(AG583&gt;AsOfUTC,"INVALID – completion time is in the future",IF(AND(ISNUMBER(S583),AG583&lt;S583),IF(H583="Physical uplift","INVALID – before uplift window (cannot confirm loading)","INVALID – before valid window"),IF(AG583&gt;Flights!$AA$22,"INVALID – completed after departure (cannot establish readiness)",IF(AND(H583="Preparation",AG583&gt;IF(ISNUMBER(Flights!$BA$22),MIN(Flights!$BA$22,Flights!$AA$22),Flights!$AA$22)),"INVALID – completed after loading / departure (cannot establish readiness)",IF(AND(H583="Physical uplift",AG583&gt;Q583),"INVALID – recorded after the loading flight departed",IF(AG583&gt;Q583,"COMPLETE – LATE","COMPLETE"))))))))))))))))))))),IF(TRIM(U583)="Fail","FAIL – DISCREPANCY",IF(AND(TRIM(U583)&lt;&gt;"",TRIM(U583)&lt;&gt;"Not started",TRIM(U583)&lt;&gt;"In progress"),"INVALID – unrecognised status (use the list)",IF(AsOfUTC&gt;Q583,"OVERDUE",IF(N583="Clarification required","OPEN – CLARIFICATION","OPEN"))))))),"INVALID – error value in an input cell")</f>
        <v>OPEN</v>
      </c>
      <c r="AI583" s="61" t="n">
        <f aca="false">IF(OR(AH583="N/A – RULE",AH583="N/A – JUSTIFIED"),0,1)</f>
        <v>1</v>
      </c>
      <c r="AJ583" s="61" t="n">
        <f aca="false">IF(LEFT(AH583,8)="COMPLETE",1,0)</f>
        <v>0</v>
      </c>
      <c r="AK583" s="61" t="n">
        <f aca="false">IF(AND(AI583=1,AJ583=0,AsOfUTC&gt;Q583),1,0)</f>
        <v>0</v>
      </c>
      <c r="AL583" s="61" t="n">
        <f aca="false">IFERROR(IF(AND(AI583=1,OR(TRIM(U583)="Fail",AND(TRIM(AB583)&lt;&gt;"",TRIM(AB583)&lt;&gt;"Closed"),AND(ISNUMBER(AF583),AF583&lt;&gt;0,TRIM(U583)&lt;&gt;"Pass after CA"))),1,0),1)</f>
        <v>0</v>
      </c>
      <c r="AM583" s="61" t="n">
        <f aca="false">IF(LEFT(AH583,7)="INVALID",1,0)</f>
        <v>0</v>
      </c>
      <c r="AN583" s="61" t="n">
        <f aca="false">IF(AND(N583="Clarification required",AI583=1,AJ583=0),1,0)</f>
        <v>0</v>
      </c>
      <c r="AO583" s="61" t="str">
        <f aca="false">IF(AK583=1,SUM(AK$5:AK583),"")</f>
        <v/>
      </c>
      <c r="AP583" s="61" t="str">
        <f aca="false">IF(AL583=1,SUM(AL$5:AL583),"")</f>
        <v/>
      </c>
      <c r="AQ583" s="61" t="n">
        <v>1</v>
      </c>
      <c r="AR583" s="61" t="n">
        <v>0</v>
      </c>
      <c r="AS583" s="61" t="n">
        <v>0</v>
      </c>
      <c r="AT583" s="61" t="n">
        <v>0</v>
      </c>
      <c r="AU583" s="61" t="str">
        <f aca="false">SUBSTITUTE(SUBSTITUTE(SUBSTITUTE(SUBSTITUTE(SUBSTITUTE(SUBSTITUTE(SUBSTITUTE(SUBSTITUTE(SUBSTITUTE(SUBSTITUTE(SUBSTITUTE(SUBSTITUTE(SUBSTITUTE(LOWER(T583&amp;""),CHAR(160),"")," ",""),".",""),"-",""),"/",""),"?",""),"_",""),",",""),"[",""),"]",""),"(",""),")",""),"*","")</f>
        <v/>
      </c>
      <c r="AV583" s="61" t="str">
        <f aca="false">SUBSTITUTE(SUBSTITUTE(SUBSTITUTE(SUBSTITUTE(SUBSTITUTE(SUBSTITUTE(SUBSTITUTE(SUBSTITUTE(SUBSTITUTE(SUBSTITUTE(SUBSTITUTE(SUBSTITUTE(SUBSTITUTE(LOWER(V583&amp;""),CHAR(160),"")," ",""),".",""),"-",""),"/",""),"?",""),"_",""),",",""),"[",""),"]",""),"(",""),")",""),"*","")</f>
        <v/>
      </c>
      <c r="AW583" s="61" t="str">
        <f aca="false">SUBSTITUTE(SUBSTITUTE(SUBSTITUTE(SUBSTITUTE(SUBSTITUTE(SUBSTITUTE(SUBSTITUTE(SUBSTITUTE(SUBSTITUTE(SUBSTITUTE(SUBSTITUTE(SUBSTITUTE(SUBSTITUTE(LOWER(Z583&amp;""),CHAR(160),"")," ",""),".",""),"-",""),"/",""),"?",""),"_",""),",",""),"[",""),"]",""),"(",""),")",""),"*","")</f>
        <v/>
      </c>
      <c r="AX583" s="61" t="str">
        <f aca="false">SUBSTITUTE(SUBSTITUTE(SUBSTITUTE(SUBSTITUTE(SUBSTITUTE(SUBSTITUTE(SUBSTITUTE(SUBSTITUTE(SUBSTITUTE(SUBSTITUTE(SUBSTITUTE(SUBSTITUTE(SUBSTITUTE(LOWER(AE583&amp;""),CHAR(160),"")," ",""),".",""),"-",""),"/",""),"?",""),"_",""),",",""),"[",""),"]",""),"(",""),")",""),"*","")</f>
        <v/>
      </c>
      <c r="AY583" s="61" t="str">
        <f aca="false">SUBSTITUTE(SUBSTITUTE(SUBSTITUTE(SUBSTITUTE(SUBSTITUTE(SUBSTITUTE(SUBSTITUTE(SUBSTITUTE(SUBSTITUTE(SUBSTITUTE(SUBSTITUTE(SUBSTITUTE(SUBSTITUTE(LOWER(W583&amp;""),CHAR(160),"")," ",""),".",""),"-",""),"/",""),"?",""),"_",""),",",""),"[",""),"]",""),"(",""),")",""),"*","")</f>
        <v/>
      </c>
      <c r="AZ583" s="61" t="str">
        <f aca="false">SUBSTITUTE(SUBSTITUTE(SUBSTITUTE(SUBSTITUTE(SUBSTITUTE(SUBSTITUTE(SUBSTITUTE(SUBSTITUTE(SUBSTITUTE(SUBSTITUTE(SUBSTITUTE(SUBSTITUTE(SUBSTITUTE(LOWER(AC583&amp;""),CHAR(160),"")," ",""),".",""),"-",""),"/",""),"?",""),"_",""),",",""),"[",""),"]",""),"(",""),")",""),"*","")</f>
        <v/>
      </c>
      <c r="BA583" s="61" t="str">
        <f aca="false">SUBSTITUTE(SUBSTITUTE(SUBSTITUTE(SUBSTITUTE(SUBSTITUTE(SUBSTITUTE(SUBSTITUTE(SUBSTITUTE(SUBSTITUTE(SUBSTITUTE(SUBSTITUTE(SUBSTITUTE(SUBSTITUTE(LOWER(AA583&amp;""),CHAR(160),"")," ",""),".",""),"-",""),"/",""),"?",""),"_",""),",",""),"[",""),"]",""),"(",""),")",""),"*","")</f>
        <v/>
      </c>
      <c r="BB583" s="61" t="str">
        <f aca="false">IF(AND(TRIM(U583)="Pass",ISNUMBER(AF583)),IF(AF583&lt;&gt;0,"INVALID – qty variance: use Fail or Pass after CA",""),"")&amp;IF(AND(TRIM(U583)="Pass after CA",ISNUMBER(AF583)),IF(AF583&lt;&gt;0,"INVALID – after the corrective action the actual qty must equal expected (update Actual)",""),"")&amp;IF(AND(TRIM(U583)="Pass",TRIM(AB583)&lt;&gt;"",TRIM(AB583)&lt;&gt;"Closed"),"INVALID – corrective action not closed: use Fail, then Pass after CA","")&amp;IF(AND(TRIM(AA583)&lt;&gt;"",TRIM(AB583)=""),"INVALID – CA status missing for the recorded corrective action","")&amp;IF(AND(TRIM(U583)="Pass after CA",OR(OR(LEN(BA583)&lt;5,ISNUMBER(MATCH(BA583,L_Placeholder,0))),TRIM(AB583)&lt;&gt;"Closed")),"INVALID – corrective action not recorded/closed","")</f>
        <v/>
      </c>
    </row>
    <row r="584" customFormat="false" ht="39.75" hidden="false" customHeight="true" outlineLevel="0" collapsed="false">
      <c r="A584" s="57" t="s">
        <v>1256</v>
      </c>
      <c r="B584" s="57" t="s">
        <v>290</v>
      </c>
      <c r="C584" s="57" t="str">
        <f aca="false">Flights!$F$22</f>
        <v>MH0052</v>
      </c>
      <c r="D584" s="58" t="n">
        <f aca="false">Flights!$D$22</f>
        <v>46322</v>
      </c>
      <c r="E584" s="57" t="str">
        <f aca="false">Flights!$G$22&amp;"-"&amp;Flights!$H$22</f>
        <v>KUL-KIX</v>
      </c>
      <c r="F584" s="57" t="str">
        <f aca="false">Flights!$K$22</f>
        <v>BC</v>
      </c>
      <c r="G584" s="57" t="s">
        <v>398</v>
      </c>
      <c r="H584" s="57" t="s">
        <v>356</v>
      </c>
      <c r="I584" s="57" t="s">
        <v>357</v>
      </c>
      <c r="J584" s="57" t="s">
        <v>399</v>
      </c>
      <c r="K584" s="67"/>
      <c r="L584" s="67" t="s">
        <v>400</v>
      </c>
      <c r="M584" s="67"/>
      <c r="N584" s="67" t="s">
        <v>361</v>
      </c>
      <c r="O584" s="67" t="s">
        <v>401</v>
      </c>
      <c r="P584" s="57" t="s">
        <v>184</v>
      </c>
      <c r="Q584" s="59" t="n">
        <f aca="false">ROUND((Flights!$AE$22)*1440,0)/1440</f>
        <v>46322.1006944444</v>
      </c>
      <c r="R584" s="59" t="n">
        <f aca="false">Q584+(IF(AND(INDEX(TZ_DSTS,MATCH(P584,TZ_STN,0))&lt;&gt;"",Q584&gt;=INDEX(TZ_DSTS,MATCH(P584,TZ_STN,0)),Q584&lt;INDEX(TZ_DSTE,MATCH(P584,TZ_STN,0))),INDEX(TZ_DST,MATCH(P584,TZ_STN,0)),INDEX(TZ_STD,MATCH(P584,TZ_STN,0))))/24</f>
        <v>46322.4340277778</v>
      </c>
      <c r="S584" s="59" t="n">
        <f aca="false">Q584-T12EarlyH/24</f>
        <v>46321.6006944444</v>
      </c>
      <c r="T584" s="60"/>
      <c r="U584" s="60"/>
      <c r="V584" s="60"/>
      <c r="W584" s="61"/>
      <c r="X584" s="60"/>
      <c r="Y584" s="60"/>
      <c r="Z584" s="60"/>
      <c r="AA584" s="60"/>
      <c r="AB584" s="60"/>
      <c r="AC584" s="60"/>
      <c r="AD584" s="66"/>
      <c r="AE584" s="60"/>
      <c r="AF584" s="61" t="str">
        <f aca="false">IF(AND(ISNUMBER(X584),ISNUMBER(Y584)),Y584-X584,"")</f>
        <v/>
      </c>
      <c r="AG584" s="62" t="str">
        <f aca="false">IF(ISNUMBER(AD584),AD584-(IF(AND(INDEX(TZ_DSTS,MATCH(P584,TZ_STN,0))&lt;&gt;"",(AD584-INDEX(TZ_STD,MATCH(P584,TZ_STN,0))/24)&gt;=INDEX(TZ_DSTS,MATCH(P584,TZ_STN,0)),(AD584-INDEX(TZ_STD,MATCH(P584,TZ_STN,0))/24)&lt;INDEX(TZ_DSTE,MATCH(P584,TZ_STN,0))),INDEX(TZ_DST,MATCH(P584,TZ_STN,0)),INDEX(TZ_STD,MATCH(P584,TZ_STN,0))))/24,"")</f>
        <v/>
      </c>
      <c r="AH584" s="65" t="str">
        <f aca="false">IFERROR(IF(N584="N/A – rule","N/A – RULE",IF(TRIM(U584)="N/A",IF(AT584=0,"INVALID – N/A not permitted for this check",IF(AND(TRIM(AB584)&lt;&gt;"",TRIM(AB584)&lt;&gt;"Closed"),"INVALID – corrective action still open",IF(AND(NOT(OR(LEN(AZ584)&lt;15,ISNUMBER(MATCH(AZ584,L_Placeholder,0)))),NOT(OR(LEN(AU584)&lt;2,ISNUMBER(MATCH(AU584,L_Placeholder,0)))),NOT(OR(LEN(AX584)&lt;2,ISNUMBER(MATCH(AX584,L_Placeholder,0)))),TRIM(AE584)&lt;&gt;TRIM(T584)),"N/A – JUSTIFIED","INVALID – N/A needs a real justification (15+ chars), PIC and a different verifier"))),IF(OR(TRIM(U584)="Pass",TRIM(U584)="Pass after CA"),IF(NOT(ISNUMBER(AD584)),"INVALID – completion time missing",IF(OR(LEN(AU584)&lt;2,ISNUMBER(MATCH(AU584,L_Placeholder,0))),"INVALID – PIC missing",IF(OR(LEN(AV584)&lt;2,ISNUMBER(MATCH(AV584,L_Placeholder,0))),"INVALID – result / assessment missing",IF(OR(OR(LEN(AW584)&lt;3,ISNUMBER(MATCH(AW584,L_Placeholder,0))),SUMPRODUCT(--ISNUMBER(SEARCH(L_EvidencePhrase,AW584)))&gt;0),"INVALID – evidence missing, placeholder or not yet on file",IF(OR(LEN(AX584)&lt;2,ISNUMBER(MATCH(AX584,L_Placeholder,0))),"INVALID – verifier missing",IF(AX584=AU584,"INVALID – verifier must be someone other than the PIC",IF(AND(TRIM(U584)="Pass",SUMPRODUCT(--ISNUMBER(SEARCH(L_ResultBad,AV584)))&gt;0),"INVALID – result describes a problem: use Fail, then Pass after CA",IF(AND(AQ584=1,OR(LEN(AY584)&lt;3,ISNUMBER(MATCH(AY584,L_Placeholder,0)))),"INVALID – batch ID missing or placeholder",IF(AND(AR584=1,OR(NOT(ISNUMBER(X584)),NOT(ISNUMBER(Y584)))),"INVALID – expected/actual qty missing",IF(AND(AR584=1,OR(X584&lt;=0,Y584&lt;0)),"INVALID – expected qty must be above 0 and actual not negative",IF(BB584&lt;&gt;"",BB584,IF(AND(AS584=1,Documents!$J$22&lt;&gt;"ON FILE"),"INVALID – GLD not on file (Documents sheet)",IF(AND(AS584=2,Documents!$O$22&lt;&gt;"ON FILE"),"INVALID – menu checklist not on file (Documents sheet)",IF(AND(AS584=3,NOT(ISNUMBER(Flights!$AX$22))),"INVALID – enter carrying flight KUL departure (Flights AX)",IF(AND(AS584=3,OR(Flights!$AZ$22&gt;Flights!$AA$22,Flights!$AX$22&lt;Flights!$AA$22-3)),"INVALID – carrying flight (Flights AX) cannot arrive before this leg's STD, or is over 3 days early",IF(AG584&gt;AsOfUTC,"INVALID – completion time is in the future",IF(AND(ISNUMBER(S584),AG584&lt;S584),IF(H584="Physical uplift","INVALID – before uplift window (cannot confirm loading)","INVALID – before valid window"),IF(AG584&gt;Flights!$AA$22,"INVALID – completed after departure (cannot establish readiness)",IF(AND(H584="Preparation",AG584&gt;IF(ISNUMBER(Flights!$BA$22),MIN(Flights!$BA$22,Flights!$AA$22),Flights!$AA$22)),"INVALID – completed after loading / departure (cannot establish readiness)",IF(AND(H584="Physical uplift",AG584&gt;Q584),"INVALID – recorded after the loading flight departed",IF(AG584&gt;Q584,"COMPLETE – LATE","COMPLETE"))))))))))))))))))))),IF(TRIM(U584)="Fail","FAIL – DISCREPANCY",IF(AND(TRIM(U584)&lt;&gt;"",TRIM(U584)&lt;&gt;"Not started",TRIM(U584)&lt;&gt;"In progress"),"INVALID – unrecognised status (use the list)",IF(AsOfUTC&gt;Q584,"OVERDUE",IF(N584="Clarification required","OPEN – CLARIFICATION","OPEN"))))))),"INVALID – error value in an input cell")</f>
        <v>OPEN</v>
      </c>
      <c r="AI584" s="61" t="n">
        <f aca="false">IF(OR(AH584="N/A – RULE",AH584="N/A – JUSTIFIED"),0,1)</f>
        <v>1</v>
      </c>
      <c r="AJ584" s="61" t="n">
        <f aca="false">IF(LEFT(AH584,8)="COMPLETE",1,0)</f>
        <v>0</v>
      </c>
      <c r="AK584" s="61" t="n">
        <f aca="false">IF(AND(AI584=1,AJ584=0,AsOfUTC&gt;Q584),1,0)</f>
        <v>0</v>
      </c>
      <c r="AL584" s="61" t="n">
        <f aca="false">IFERROR(IF(AND(AI584=1,OR(TRIM(U584)="Fail",AND(TRIM(AB584)&lt;&gt;"",TRIM(AB584)&lt;&gt;"Closed"),AND(ISNUMBER(AF584),AF584&lt;&gt;0,TRIM(U584)&lt;&gt;"Pass after CA"))),1,0),1)</f>
        <v>0</v>
      </c>
      <c r="AM584" s="61" t="n">
        <f aca="false">IF(LEFT(AH584,7)="INVALID",1,0)</f>
        <v>0</v>
      </c>
      <c r="AN584" s="61" t="n">
        <f aca="false">IF(AND(N584="Clarification required",AI584=1,AJ584=0),1,0)</f>
        <v>0</v>
      </c>
      <c r="AO584" s="61" t="str">
        <f aca="false">IF(AK584=1,SUM(AK$5:AK584),"")</f>
        <v/>
      </c>
      <c r="AP584" s="61" t="str">
        <f aca="false">IF(AL584=1,SUM(AL$5:AL584),"")</f>
        <v/>
      </c>
      <c r="AQ584" s="61" t="n">
        <v>0</v>
      </c>
      <c r="AR584" s="61" t="n">
        <v>0</v>
      </c>
      <c r="AS584" s="61" t="n">
        <v>0</v>
      </c>
      <c r="AT584" s="61" t="n">
        <v>0</v>
      </c>
      <c r="AU584" s="61" t="str">
        <f aca="false">SUBSTITUTE(SUBSTITUTE(SUBSTITUTE(SUBSTITUTE(SUBSTITUTE(SUBSTITUTE(SUBSTITUTE(SUBSTITUTE(SUBSTITUTE(SUBSTITUTE(SUBSTITUTE(SUBSTITUTE(SUBSTITUTE(LOWER(T584&amp;""),CHAR(160),"")," ",""),".",""),"-",""),"/",""),"?",""),"_",""),",",""),"[",""),"]",""),"(",""),")",""),"*","")</f>
        <v/>
      </c>
      <c r="AV584" s="61" t="str">
        <f aca="false">SUBSTITUTE(SUBSTITUTE(SUBSTITUTE(SUBSTITUTE(SUBSTITUTE(SUBSTITUTE(SUBSTITUTE(SUBSTITUTE(SUBSTITUTE(SUBSTITUTE(SUBSTITUTE(SUBSTITUTE(SUBSTITUTE(LOWER(V584&amp;""),CHAR(160),"")," ",""),".",""),"-",""),"/",""),"?",""),"_",""),",",""),"[",""),"]",""),"(",""),")",""),"*","")</f>
        <v/>
      </c>
      <c r="AW584" s="61" t="str">
        <f aca="false">SUBSTITUTE(SUBSTITUTE(SUBSTITUTE(SUBSTITUTE(SUBSTITUTE(SUBSTITUTE(SUBSTITUTE(SUBSTITUTE(SUBSTITUTE(SUBSTITUTE(SUBSTITUTE(SUBSTITUTE(SUBSTITUTE(LOWER(Z584&amp;""),CHAR(160),"")," ",""),".",""),"-",""),"/",""),"?",""),"_",""),",",""),"[",""),"]",""),"(",""),")",""),"*","")</f>
        <v/>
      </c>
      <c r="AX584" s="61" t="str">
        <f aca="false">SUBSTITUTE(SUBSTITUTE(SUBSTITUTE(SUBSTITUTE(SUBSTITUTE(SUBSTITUTE(SUBSTITUTE(SUBSTITUTE(SUBSTITUTE(SUBSTITUTE(SUBSTITUTE(SUBSTITUTE(SUBSTITUTE(LOWER(AE584&amp;""),CHAR(160),"")," ",""),".",""),"-",""),"/",""),"?",""),"_",""),",",""),"[",""),"]",""),"(",""),")",""),"*","")</f>
        <v/>
      </c>
      <c r="AY584" s="61" t="str">
        <f aca="false">SUBSTITUTE(SUBSTITUTE(SUBSTITUTE(SUBSTITUTE(SUBSTITUTE(SUBSTITUTE(SUBSTITUTE(SUBSTITUTE(SUBSTITUTE(SUBSTITUTE(SUBSTITUTE(SUBSTITUTE(SUBSTITUTE(LOWER(W584&amp;""),CHAR(160),"")," ",""),".",""),"-",""),"/",""),"?",""),"_",""),",",""),"[",""),"]",""),"(",""),")",""),"*","")</f>
        <v/>
      </c>
      <c r="AZ584" s="61" t="str">
        <f aca="false">SUBSTITUTE(SUBSTITUTE(SUBSTITUTE(SUBSTITUTE(SUBSTITUTE(SUBSTITUTE(SUBSTITUTE(SUBSTITUTE(SUBSTITUTE(SUBSTITUTE(SUBSTITUTE(SUBSTITUTE(SUBSTITUTE(LOWER(AC584&amp;""),CHAR(160),"")," ",""),".",""),"-",""),"/",""),"?",""),"_",""),",",""),"[",""),"]",""),"(",""),")",""),"*","")</f>
        <v/>
      </c>
      <c r="BA584" s="61" t="str">
        <f aca="false">SUBSTITUTE(SUBSTITUTE(SUBSTITUTE(SUBSTITUTE(SUBSTITUTE(SUBSTITUTE(SUBSTITUTE(SUBSTITUTE(SUBSTITUTE(SUBSTITUTE(SUBSTITUTE(SUBSTITUTE(SUBSTITUTE(LOWER(AA584&amp;""),CHAR(160),"")," ",""),".",""),"-",""),"/",""),"?",""),"_",""),",",""),"[",""),"]",""),"(",""),")",""),"*","")</f>
        <v/>
      </c>
      <c r="BB584" s="61" t="str">
        <f aca="false">IF(AND(TRIM(U584)="Pass",ISNUMBER(AF584)),IF(AF584&lt;&gt;0,"INVALID – qty variance: use Fail or Pass after CA",""),"")&amp;IF(AND(TRIM(U584)="Pass after CA",ISNUMBER(AF584)),IF(AF584&lt;&gt;0,"INVALID – after the corrective action the actual qty must equal expected (update Actual)",""),"")&amp;IF(AND(TRIM(U584)="Pass",TRIM(AB584)&lt;&gt;"",TRIM(AB584)&lt;&gt;"Closed"),"INVALID – corrective action not closed: use Fail, then Pass after CA","")&amp;IF(AND(TRIM(AA584)&lt;&gt;"",TRIM(AB584)=""),"INVALID – CA status missing for the recorded corrective action","")&amp;IF(AND(TRIM(U584)="Pass after CA",OR(OR(LEN(BA584)&lt;5,ISNUMBER(MATCH(BA584,L_Placeholder,0))),TRIM(AB584)&lt;&gt;"Closed")),"INVALID – corrective action not recorded/closed","")</f>
        <v/>
      </c>
    </row>
    <row r="585" customFormat="false" ht="39.75" hidden="false" customHeight="true" outlineLevel="0" collapsed="false">
      <c r="A585" s="57" t="s">
        <v>1257</v>
      </c>
      <c r="B585" s="57" t="s">
        <v>290</v>
      </c>
      <c r="C585" s="57" t="str">
        <f aca="false">Flights!$F$22</f>
        <v>MH0052</v>
      </c>
      <c r="D585" s="58" t="n">
        <f aca="false">Flights!$D$22</f>
        <v>46322</v>
      </c>
      <c r="E585" s="57" t="str">
        <f aca="false">Flights!$G$22&amp;"-"&amp;Flights!$H$22</f>
        <v>KUL-KIX</v>
      </c>
      <c r="F585" s="57" t="str">
        <f aca="false">Flights!$K$22</f>
        <v>BC</v>
      </c>
      <c r="G585" s="57" t="s">
        <v>398</v>
      </c>
      <c r="H585" s="57" t="s">
        <v>356</v>
      </c>
      <c r="I585" s="57" t="s">
        <v>357</v>
      </c>
      <c r="J585" s="57" t="s">
        <v>403</v>
      </c>
      <c r="K585" s="67" t="s">
        <v>404</v>
      </c>
      <c r="L585" s="67" t="s">
        <v>400</v>
      </c>
      <c r="M585" s="67"/>
      <c r="N585" s="67" t="s">
        <v>361</v>
      </c>
      <c r="O585" s="67" t="s">
        <v>401</v>
      </c>
      <c r="P585" s="57" t="s">
        <v>184</v>
      </c>
      <c r="Q585" s="59" t="n">
        <f aca="false">ROUND((Flights!$AE$22)*1440,0)/1440</f>
        <v>46322.1006944444</v>
      </c>
      <c r="R585" s="59" t="n">
        <f aca="false">Q585+(IF(AND(INDEX(TZ_DSTS,MATCH(P585,TZ_STN,0))&lt;&gt;"",Q585&gt;=INDEX(TZ_DSTS,MATCH(P585,TZ_STN,0)),Q585&lt;INDEX(TZ_DSTE,MATCH(P585,TZ_STN,0))),INDEX(TZ_DST,MATCH(P585,TZ_STN,0)),INDEX(TZ_STD,MATCH(P585,TZ_STN,0))))/24</f>
        <v>46322.4340277778</v>
      </c>
      <c r="S585" s="59" t="n">
        <f aca="false">Q585-T12EarlyH/24</f>
        <v>46321.6006944444</v>
      </c>
      <c r="T585" s="60"/>
      <c r="U585" s="60"/>
      <c r="V585" s="60"/>
      <c r="W585" s="61"/>
      <c r="X585" s="60"/>
      <c r="Y585" s="60"/>
      <c r="Z585" s="60"/>
      <c r="AA585" s="60"/>
      <c r="AB585" s="60"/>
      <c r="AC585" s="60"/>
      <c r="AD585" s="66"/>
      <c r="AE585" s="60"/>
      <c r="AF585" s="61" t="str">
        <f aca="false">IF(AND(ISNUMBER(X585),ISNUMBER(Y585)),Y585-X585,"")</f>
        <v/>
      </c>
      <c r="AG585" s="62" t="str">
        <f aca="false">IF(ISNUMBER(AD585),AD585-(IF(AND(INDEX(TZ_DSTS,MATCH(P585,TZ_STN,0))&lt;&gt;"",(AD585-INDEX(TZ_STD,MATCH(P585,TZ_STN,0))/24)&gt;=INDEX(TZ_DSTS,MATCH(P585,TZ_STN,0)),(AD585-INDEX(TZ_STD,MATCH(P585,TZ_STN,0))/24)&lt;INDEX(TZ_DSTE,MATCH(P585,TZ_STN,0))),INDEX(TZ_DST,MATCH(P585,TZ_STN,0)),INDEX(TZ_STD,MATCH(P585,TZ_STN,0))))/24,"")</f>
        <v/>
      </c>
      <c r="AH585" s="65" t="str">
        <f aca="false">IFERROR(IF(N585="N/A – rule","N/A – RULE",IF(TRIM(U585)="N/A",IF(AT585=0,"INVALID – N/A not permitted for this check",IF(AND(TRIM(AB585)&lt;&gt;"",TRIM(AB585)&lt;&gt;"Closed"),"INVALID – corrective action still open",IF(AND(NOT(OR(LEN(AZ585)&lt;15,ISNUMBER(MATCH(AZ585,L_Placeholder,0)))),NOT(OR(LEN(AU585)&lt;2,ISNUMBER(MATCH(AU585,L_Placeholder,0)))),NOT(OR(LEN(AX585)&lt;2,ISNUMBER(MATCH(AX585,L_Placeholder,0)))),TRIM(AE585)&lt;&gt;TRIM(T585)),"N/A – JUSTIFIED","INVALID – N/A needs a real justification (15+ chars), PIC and a different verifier"))),IF(OR(TRIM(U585)="Pass",TRIM(U585)="Pass after CA"),IF(NOT(ISNUMBER(AD585)),"INVALID – completion time missing",IF(OR(LEN(AU585)&lt;2,ISNUMBER(MATCH(AU585,L_Placeholder,0))),"INVALID – PIC missing",IF(OR(LEN(AV585)&lt;2,ISNUMBER(MATCH(AV585,L_Placeholder,0))),"INVALID – result / assessment missing",IF(OR(OR(LEN(AW585)&lt;3,ISNUMBER(MATCH(AW585,L_Placeholder,0))),SUMPRODUCT(--ISNUMBER(SEARCH(L_EvidencePhrase,AW585)))&gt;0),"INVALID – evidence missing, placeholder or not yet on file",IF(OR(LEN(AX585)&lt;2,ISNUMBER(MATCH(AX585,L_Placeholder,0))),"INVALID – verifier missing",IF(AX585=AU585,"INVALID – verifier must be someone other than the PIC",IF(AND(TRIM(U585)="Pass",SUMPRODUCT(--ISNUMBER(SEARCH(L_ResultBad,AV585)))&gt;0),"INVALID – result describes a problem: use Fail, then Pass after CA",IF(AND(AQ585=1,OR(LEN(AY585)&lt;3,ISNUMBER(MATCH(AY585,L_Placeholder,0)))),"INVALID – batch ID missing or placeholder",IF(AND(AR585=1,OR(NOT(ISNUMBER(X585)),NOT(ISNUMBER(Y585)))),"INVALID – expected/actual qty missing",IF(AND(AR585=1,OR(X585&lt;=0,Y585&lt;0)),"INVALID – expected qty must be above 0 and actual not negative",IF(BB585&lt;&gt;"",BB585,IF(AND(AS585=1,Documents!$J$22&lt;&gt;"ON FILE"),"INVALID – GLD not on file (Documents sheet)",IF(AND(AS585=2,Documents!$O$22&lt;&gt;"ON FILE"),"INVALID – menu checklist not on file (Documents sheet)",IF(AND(AS585=3,NOT(ISNUMBER(Flights!$AX$22))),"INVALID – enter carrying flight KUL departure (Flights AX)",IF(AND(AS585=3,OR(Flights!$AZ$22&gt;Flights!$AA$22,Flights!$AX$22&lt;Flights!$AA$22-3)),"INVALID – carrying flight (Flights AX) cannot arrive before this leg's STD, or is over 3 days early",IF(AG585&gt;AsOfUTC,"INVALID – completion time is in the future",IF(AND(ISNUMBER(S585),AG585&lt;S585),IF(H585="Physical uplift","INVALID – before uplift window (cannot confirm loading)","INVALID – before valid window"),IF(AG585&gt;Flights!$AA$22,"INVALID – completed after departure (cannot establish readiness)",IF(AND(H585="Preparation",AG585&gt;IF(ISNUMBER(Flights!$BA$22),MIN(Flights!$BA$22,Flights!$AA$22),Flights!$AA$22)),"INVALID – completed after loading / departure (cannot establish readiness)",IF(AND(H585="Physical uplift",AG585&gt;Q585),"INVALID – recorded after the loading flight departed",IF(AG585&gt;Q585,"COMPLETE – LATE","COMPLETE"))))))))))))))))))))),IF(TRIM(U585)="Fail","FAIL – DISCREPANCY",IF(AND(TRIM(U585)&lt;&gt;"",TRIM(U585)&lt;&gt;"Not started",TRIM(U585)&lt;&gt;"In progress"),"INVALID – unrecognised status (use the list)",IF(AsOfUTC&gt;Q585,"OVERDUE",IF(N585="Clarification required","OPEN – CLARIFICATION","OPEN"))))))),"INVALID – error value in an input cell")</f>
        <v>OPEN</v>
      </c>
      <c r="AI585" s="61" t="n">
        <f aca="false">IF(OR(AH585="N/A – RULE",AH585="N/A – JUSTIFIED"),0,1)</f>
        <v>1</v>
      </c>
      <c r="AJ585" s="61" t="n">
        <f aca="false">IF(LEFT(AH585,8)="COMPLETE",1,0)</f>
        <v>0</v>
      </c>
      <c r="AK585" s="61" t="n">
        <f aca="false">IF(AND(AI585=1,AJ585=0,AsOfUTC&gt;Q585),1,0)</f>
        <v>0</v>
      </c>
      <c r="AL585" s="61" t="n">
        <f aca="false">IFERROR(IF(AND(AI585=1,OR(TRIM(U585)="Fail",AND(TRIM(AB585)&lt;&gt;"",TRIM(AB585)&lt;&gt;"Closed"),AND(ISNUMBER(AF585),AF585&lt;&gt;0,TRIM(U585)&lt;&gt;"Pass after CA"))),1,0),1)</f>
        <v>0</v>
      </c>
      <c r="AM585" s="61" t="n">
        <f aca="false">IF(LEFT(AH585,7)="INVALID",1,0)</f>
        <v>0</v>
      </c>
      <c r="AN585" s="61" t="n">
        <f aca="false">IF(AND(N585="Clarification required",AI585=1,AJ585=0),1,0)</f>
        <v>0</v>
      </c>
      <c r="AO585" s="61" t="str">
        <f aca="false">IF(AK585=1,SUM(AK$5:AK585),"")</f>
        <v/>
      </c>
      <c r="AP585" s="61" t="str">
        <f aca="false">IF(AL585=1,SUM(AL$5:AL585),"")</f>
        <v/>
      </c>
      <c r="AQ585" s="61" t="n">
        <v>0</v>
      </c>
      <c r="AR585" s="61" t="n">
        <v>1</v>
      </c>
      <c r="AS585" s="61" t="n">
        <v>0</v>
      </c>
      <c r="AT585" s="61" t="n">
        <v>0</v>
      </c>
      <c r="AU585" s="61" t="str">
        <f aca="false">SUBSTITUTE(SUBSTITUTE(SUBSTITUTE(SUBSTITUTE(SUBSTITUTE(SUBSTITUTE(SUBSTITUTE(SUBSTITUTE(SUBSTITUTE(SUBSTITUTE(SUBSTITUTE(SUBSTITUTE(SUBSTITUTE(LOWER(T585&amp;""),CHAR(160),"")," ",""),".",""),"-",""),"/",""),"?",""),"_",""),",",""),"[",""),"]",""),"(",""),")",""),"*","")</f>
        <v/>
      </c>
      <c r="AV585" s="61" t="str">
        <f aca="false">SUBSTITUTE(SUBSTITUTE(SUBSTITUTE(SUBSTITUTE(SUBSTITUTE(SUBSTITUTE(SUBSTITUTE(SUBSTITUTE(SUBSTITUTE(SUBSTITUTE(SUBSTITUTE(SUBSTITUTE(SUBSTITUTE(LOWER(V585&amp;""),CHAR(160),"")," ",""),".",""),"-",""),"/",""),"?",""),"_",""),",",""),"[",""),"]",""),"(",""),")",""),"*","")</f>
        <v/>
      </c>
      <c r="AW585" s="61" t="str">
        <f aca="false">SUBSTITUTE(SUBSTITUTE(SUBSTITUTE(SUBSTITUTE(SUBSTITUTE(SUBSTITUTE(SUBSTITUTE(SUBSTITUTE(SUBSTITUTE(SUBSTITUTE(SUBSTITUTE(SUBSTITUTE(SUBSTITUTE(LOWER(Z585&amp;""),CHAR(160),"")," ",""),".",""),"-",""),"/",""),"?",""),"_",""),",",""),"[",""),"]",""),"(",""),")",""),"*","")</f>
        <v/>
      </c>
      <c r="AX585" s="61" t="str">
        <f aca="false">SUBSTITUTE(SUBSTITUTE(SUBSTITUTE(SUBSTITUTE(SUBSTITUTE(SUBSTITUTE(SUBSTITUTE(SUBSTITUTE(SUBSTITUTE(SUBSTITUTE(SUBSTITUTE(SUBSTITUTE(SUBSTITUTE(LOWER(AE585&amp;""),CHAR(160),"")," ",""),".",""),"-",""),"/",""),"?",""),"_",""),",",""),"[",""),"]",""),"(",""),")",""),"*","")</f>
        <v/>
      </c>
      <c r="AY585" s="61" t="str">
        <f aca="false">SUBSTITUTE(SUBSTITUTE(SUBSTITUTE(SUBSTITUTE(SUBSTITUTE(SUBSTITUTE(SUBSTITUTE(SUBSTITUTE(SUBSTITUTE(SUBSTITUTE(SUBSTITUTE(SUBSTITUTE(SUBSTITUTE(LOWER(W585&amp;""),CHAR(160),"")," ",""),".",""),"-",""),"/",""),"?",""),"_",""),",",""),"[",""),"]",""),"(",""),")",""),"*","")</f>
        <v/>
      </c>
      <c r="AZ585" s="61" t="str">
        <f aca="false">SUBSTITUTE(SUBSTITUTE(SUBSTITUTE(SUBSTITUTE(SUBSTITUTE(SUBSTITUTE(SUBSTITUTE(SUBSTITUTE(SUBSTITUTE(SUBSTITUTE(SUBSTITUTE(SUBSTITUTE(SUBSTITUTE(LOWER(AC585&amp;""),CHAR(160),"")," ",""),".",""),"-",""),"/",""),"?",""),"_",""),",",""),"[",""),"]",""),"(",""),")",""),"*","")</f>
        <v/>
      </c>
      <c r="BA585" s="61" t="str">
        <f aca="false">SUBSTITUTE(SUBSTITUTE(SUBSTITUTE(SUBSTITUTE(SUBSTITUTE(SUBSTITUTE(SUBSTITUTE(SUBSTITUTE(SUBSTITUTE(SUBSTITUTE(SUBSTITUTE(SUBSTITUTE(SUBSTITUTE(LOWER(AA585&amp;""),CHAR(160),"")," ",""),".",""),"-",""),"/",""),"?",""),"_",""),",",""),"[",""),"]",""),"(",""),")",""),"*","")</f>
        <v/>
      </c>
      <c r="BB585" s="61" t="str">
        <f aca="false">IF(AND(TRIM(U585)="Pass",ISNUMBER(AF585)),IF(AF585&lt;&gt;0,"INVALID – qty variance: use Fail or Pass after CA",""),"")&amp;IF(AND(TRIM(U585)="Pass after CA",ISNUMBER(AF585)),IF(AF585&lt;&gt;0,"INVALID – after the corrective action the actual qty must equal expected (update Actual)",""),"")&amp;IF(AND(TRIM(U585)="Pass",TRIM(AB585)&lt;&gt;"",TRIM(AB585)&lt;&gt;"Closed"),"INVALID – corrective action not closed: use Fail, then Pass after CA","")&amp;IF(AND(TRIM(AA585)&lt;&gt;"",TRIM(AB585)=""),"INVALID – CA status missing for the recorded corrective action","")&amp;IF(AND(TRIM(U585)="Pass after CA",OR(OR(LEN(BA585)&lt;5,ISNUMBER(MATCH(BA585,L_Placeholder,0))),TRIM(AB585)&lt;&gt;"Closed")),"INVALID – corrective action not recorded/closed","")</f>
        <v/>
      </c>
    </row>
    <row r="586" customFormat="false" ht="39.75" hidden="false" customHeight="true" outlineLevel="0" collapsed="false">
      <c r="A586" s="57" t="s">
        <v>1258</v>
      </c>
      <c r="B586" s="57" t="s">
        <v>290</v>
      </c>
      <c r="C586" s="57" t="str">
        <f aca="false">Flights!$F$22</f>
        <v>MH0052</v>
      </c>
      <c r="D586" s="58" t="n">
        <f aca="false">Flights!$D$22</f>
        <v>46322</v>
      </c>
      <c r="E586" s="57" t="str">
        <f aca="false">Flights!$G$22&amp;"-"&amp;Flights!$H$22</f>
        <v>KUL-KIX</v>
      </c>
      <c r="F586" s="57" t="str">
        <f aca="false">Flights!$K$22</f>
        <v>BC</v>
      </c>
      <c r="G586" s="57" t="s">
        <v>398</v>
      </c>
      <c r="H586" s="57" t="s">
        <v>356</v>
      </c>
      <c r="I586" s="57" t="s">
        <v>406</v>
      </c>
      <c r="J586" s="57" t="s">
        <v>407</v>
      </c>
      <c r="K586" s="67"/>
      <c r="L586" s="67" t="s">
        <v>400</v>
      </c>
      <c r="M586" s="67"/>
      <c r="N586" s="67" t="s">
        <v>361</v>
      </c>
      <c r="O586" s="67" t="s">
        <v>401</v>
      </c>
      <c r="P586" s="57" t="s">
        <v>184</v>
      </c>
      <c r="Q586" s="59" t="n">
        <f aca="false">ROUND((Flights!$AE$22)*1440,0)/1440</f>
        <v>46322.1006944444</v>
      </c>
      <c r="R586" s="59" t="n">
        <f aca="false">Q586+(IF(AND(INDEX(TZ_DSTS,MATCH(P586,TZ_STN,0))&lt;&gt;"",Q586&gt;=INDEX(TZ_DSTS,MATCH(P586,TZ_STN,0)),Q586&lt;INDEX(TZ_DSTE,MATCH(P586,TZ_STN,0))),INDEX(TZ_DST,MATCH(P586,TZ_STN,0)),INDEX(TZ_STD,MATCH(P586,TZ_STN,0))))/24</f>
        <v>46322.4340277778</v>
      </c>
      <c r="S586" s="59" t="n">
        <f aca="false">Q586-T12EarlyH/24</f>
        <v>46321.6006944444</v>
      </c>
      <c r="T586" s="60"/>
      <c r="U586" s="60"/>
      <c r="V586" s="60"/>
      <c r="W586" s="61"/>
      <c r="X586" s="60"/>
      <c r="Y586" s="60"/>
      <c r="Z586" s="60"/>
      <c r="AA586" s="60"/>
      <c r="AB586" s="60"/>
      <c r="AC586" s="60"/>
      <c r="AD586" s="66"/>
      <c r="AE586" s="60"/>
      <c r="AF586" s="61" t="str">
        <f aca="false">IF(AND(ISNUMBER(X586),ISNUMBER(Y586)),Y586-X586,"")</f>
        <v/>
      </c>
      <c r="AG586" s="62" t="str">
        <f aca="false">IF(ISNUMBER(AD586),AD586-(IF(AND(INDEX(TZ_DSTS,MATCH(P586,TZ_STN,0))&lt;&gt;"",(AD586-INDEX(TZ_STD,MATCH(P586,TZ_STN,0))/24)&gt;=INDEX(TZ_DSTS,MATCH(P586,TZ_STN,0)),(AD586-INDEX(TZ_STD,MATCH(P586,TZ_STN,0))/24)&lt;INDEX(TZ_DSTE,MATCH(P586,TZ_STN,0))),INDEX(TZ_DST,MATCH(P586,TZ_STN,0)),INDEX(TZ_STD,MATCH(P586,TZ_STN,0))))/24,"")</f>
        <v/>
      </c>
      <c r="AH586" s="65" t="str">
        <f aca="false">IFERROR(IF(N586="N/A – rule","N/A – RULE",IF(TRIM(U586)="N/A",IF(AT586=0,"INVALID – N/A not permitted for this check",IF(AND(TRIM(AB586)&lt;&gt;"",TRIM(AB586)&lt;&gt;"Closed"),"INVALID – corrective action still open",IF(AND(NOT(OR(LEN(AZ586)&lt;15,ISNUMBER(MATCH(AZ586,L_Placeholder,0)))),NOT(OR(LEN(AU586)&lt;2,ISNUMBER(MATCH(AU586,L_Placeholder,0)))),NOT(OR(LEN(AX586)&lt;2,ISNUMBER(MATCH(AX586,L_Placeholder,0)))),TRIM(AE586)&lt;&gt;TRIM(T586)),"N/A – JUSTIFIED","INVALID – N/A needs a real justification (15+ chars), PIC and a different verifier"))),IF(OR(TRIM(U586)="Pass",TRIM(U586)="Pass after CA"),IF(NOT(ISNUMBER(AD586)),"INVALID – completion time missing",IF(OR(LEN(AU586)&lt;2,ISNUMBER(MATCH(AU586,L_Placeholder,0))),"INVALID – PIC missing",IF(OR(LEN(AV586)&lt;2,ISNUMBER(MATCH(AV586,L_Placeholder,0))),"INVALID – result / assessment missing",IF(OR(OR(LEN(AW586)&lt;3,ISNUMBER(MATCH(AW586,L_Placeholder,0))),SUMPRODUCT(--ISNUMBER(SEARCH(L_EvidencePhrase,AW586)))&gt;0),"INVALID – evidence missing, placeholder or not yet on file",IF(OR(LEN(AX586)&lt;2,ISNUMBER(MATCH(AX586,L_Placeholder,0))),"INVALID – verifier missing",IF(AX586=AU586,"INVALID – verifier must be someone other than the PIC",IF(AND(TRIM(U586)="Pass",SUMPRODUCT(--ISNUMBER(SEARCH(L_ResultBad,AV586)))&gt;0),"INVALID – result describes a problem: use Fail, then Pass after CA",IF(AND(AQ586=1,OR(LEN(AY586)&lt;3,ISNUMBER(MATCH(AY586,L_Placeholder,0)))),"INVALID – batch ID missing or placeholder",IF(AND(AR586=1,OR(NOT(ISNUMBER(X586)),NOT(ISNUMBER(Y586)))),"INVALID – expected/actual qty missing",IF(AND(AR586=1,OR(X586&lt;=0,Y586&lt;0)),"INVALID – expected qty must be above 0 and actual not negative",IF(BB586&lt;&gt;"",BB586,IF(AND(AS586=1,Documents!$J$22&lt;&gt;"ON FILE"),"INVALID – GLD not on file (Documents sheet)",IF(AND(AS586=2,Documents!$O$22&lt;&gt;"ON FILE"),"INVALID – menu checklist not on file (Documents sheet)",IF(AND(AS586=3,NOT(ISNUMBER(Flights!$AX$22))),"INVALID – enter carrying flight KUL departure (Flights AX)",IF(AND(AS586=3,OR(Flights!$AZ$22&gt;Flights!$AA$22,Flights!$AX$22&lt;Flights!$AA$22-3)),"INVALID – carrying flight (Flights AX) cannot arrive before this leg's STD, or is over 3 days early",IF(AG586&gt;AsOfUTC,"INVALID – completion time is in the future",IF(AND(ISNUMBER(S586),AG586&lt;S586),IF(H586="Physical uplift","INVALID – before uplift window (cannot confirm loading)","INVALID – before valid window"),IF(AG586&gt;Flights!$AA$22,"INVALID – completed after departure (cannot establish readiness)",IF(AND(H586="Preparation",AG586&gt;IF(ISNUMBER(Flights!$BA$22),MIN(Flights!$BA$22,Flights!$AA$22),Flights!$AA$22)),"INVALID – completed after loading / departure (cannot establish readiness)",IF(AND(H586="Physical uplift",AG586&gt;Q586),"INVALID – recorded after the loading flight departed",IF(AG586&gt;Q586,"COMPLETE – LATE","COMPLETE"))))))))))))))))))))),IF(TRIM(U586)="Fail","FAIL – DISCREPANCY",IF(AND(TRIM(U586)&lt;&gt;"",TRIM(U586)&lt;&gt;"Not started",TRIM(U586)&lt;&gt;"In progress"),"INVALID – unrecognised status (use the list)",IF(AsOfUTC&gt;Q586,"OVERDUE",IF(N586="Clarification required","OPEN – CLARIFICATION","OPEN"))))))),"INVALID – error value in an input cell")</f>
        <v>OPEN</v>
      </c>
      <c r="AI586" s="61" t="n">
        <f aca="false">IF(OR(AH586="N/A – RULE",AH586="N/A – JUSTIFIED"),0,1)</f>
        <v>1</v>
      </c>
      <c r="AJ586" s="61" t="n">
        <f aca="false">IF(LEFT(AH586,8)="COMPLETE",1,0)</f>
        <v>0</v>
      </c>
      <c r="AK586" s="61" t="n">
        <f aca="false">IF(AND(AI586=1,AJ586=0,AsOfUTC&gt;Q586),1,0)</f>
        <v>0</v>
      </c>
      <c r="AL586" s="61" t="n">
        <f aca="false">IFERROR(IF(AND(AI586=1,OR(TRIM(U586)="Fail",AND(TRIM(AB586)&lt;&gt;"",TRIM(AB586)&lt;&gt;"Closed"),AND(ISNUMBER(AF586),AF586&lt;&gt;0,TRIM(U586)&lt;&gt;"Pass after CA"))),1,0),1)</f>
        <v>0</v>
      </c>
      <c r="AM586" s="61" t="n">
        <f aca="false">IF(LEFT(AH586,7)="INVALID",1,0)</f>
        <v>0</v>
      </c>
      <c r="AN586" s="61" t="n">
        <f aca="false">IF(AND(N586="Clarification required",AI586=1,AJ586=0),1,0)</f>
        <v>0</v>
      </c>
      <c r="AO586" s="61" t="str">
        <f aca="false">IF(AK586=1,SUM(AK$5:AK586),"")</f>
        <v/>
      </c>
      <c r="AP586" s="61" t="str">
        <f aca="false">IF(AL586=1,SUM(AL$5:AL586),"")</f>
        <v/>
      </c>
      <c r="AQ586" s="61" t="n">
        <v>0</v>
      </c>
      <c r="AR586" s="61" t="n">
        <v>0</v>
      </c>
      <c r="AS586" s="61" t="n">
        <v>0</v>
      </c>
      <c r="AT586" s="61" t="n">
        <v>0</v>
      </c>
      <c r="AU586" s="61" t="str">
        <f aca="false">SUBSTITUTE(SUBSTITUTE(SUBSTITUTE(SUBSTITUTE(SUBSTITUTE(SUBSTITUTE(SUBSTITUTE(SUBSTITUTE(SUBSTITUTE(SUBSTITUTE(SUBSTITUTE(SUBSTITUTE(SUBSTITUTE(LOWER(T586&amp;""),CHAR(160),"")," ",""),".",""),"-",""),"/",""),"?",""),"_",""),",",""),"[",""),"]",""),"(",""),")",""),"*","")</f>
        <v/>
      </c>
      <c r="AV586" s="61" t="str">
        <f aca="false">SUBSTITUTE(SUBSTITUTE(SUBSTITUTE(SUBSTITUTE(SUBSTITUTE(SUBSTITUTE(SUBSTITUTE(SUBSTITUTE(SUBSTITUTE(SUBSTITUTE(SUBSTITUTE(SUBSTITUTE(SUBSTITUTE(LOWER(V586&amp;""),CHAR(160),"")," ",""),".",""),"-",""),"/",""),"?",""),"_",""),",",""),"[",""),"]",""),"(",""),")",""),"*","")</f>
        <v/>
      </c>
      <c r="AW586" s="61" t="str">
        <f aca="false">SUBSTITUTE(SUBSTITUTE(SUBSTITUTE(SUBSTITUTE(SUBSTITUTE(SUBSTITUTE(SUBSTITUTE(SUBSTITUTE(SUBSTITUTE(SUBSTITUTE(SUBSTITUTE(SUBSTITUTE(SUBSTITUTE(LOWER(Z586&amp;""),CHAR(160),"")," ",""),".",""),"-",""),"/",""),"?",""),"_",""),",",""),"[",""),"]",""),"(",""),")",""),"*","")</f>
        <v/>
      </c>
      <c r="AX586" s="61" t="str">
        <f aca="false">SUBSTITUTE(SUBSTITUTE(SUBSTITUTE(SUBSTITUTE(SUBSTITUTE(SUBSTITUTE(SUBSTITUTE(SUBSTITUTE(SUBSTITUTE(SUBSTITUTE(SUBSTITUTE(SUBSTITUTE(SUBSTITUTE(LOWER(AE586&amp;""),CHAR(160),"")," ",""),".",""),"-",""),"/",""),"?",""),"_",""),",",""),"[",""),"]",""),"(",""),")",""),"*","")</f>
        <v/>
      </c>
      <c r="AY586" s="61" t="str">
        <f aca="false">SUBSTITUTE(SUBSTITUTE(SUBSTITUTE(SUBSTITUTE(SUBSTITUTE(SUBSTITUTE(SUBSTITUTE(SUBSTITUTE(SUBSTITUTE(SUBSTITUTE(SUBSTITUTE(SUBSTITUTE(SUBSTITUTE(LOWER(W586&amp;""),CHAR(160),"")," ",""),".",""),"-",""),"/",""),"?",""),"_",""),",",""),"[",""),"]",""),"(",""),")",""),"*","")</f>
        <v/>
      </c>
      <c r="AZ586" s="61" t="str">
        <f aca="false">SUBSTITUTE(SUBSTITUTE(SUBSTITUTE(SUBSTITUTE(SUBSTITUTE(SUBSTITUTE(SUBSTITUTE(SUBSTITUTE(SUBSTITUTE(SUBSTITUTE(SUBSTITUTE(SUBSTITUTE(SUBSTITUTE(LOWER(AC586&amp;""),CHAR(160),"")," ",""),".",""),"-",""),"/",""),"?",""),"_",""),",",""),"[",""),"]",""),"(",""),")",""),"*","")</f>
        <v/>
      </c>
      <c r="BA586" s="61" t="str">
        <f aca="false">SUBSTITUTE(SUBSTITUTE(SUBSTITUTE(SUBSTITUTE(SUBSTITUTE(SUBSTITUTE(SUBSTITUTE(SUBSTITUTE(SUBSTITUTE(SUBSTITUTE(SUBSTITUTE(SUBSTITUTE(SUBSTITUTE(LOWER(AA586&amp;""),CHAR(160),"")," ",""),".",""),"-",""),"/",""),"?",""),"_",""),",",""),"[",""),"]",""),"(",""),")",""),"*","")</f>
        <v/>
      </c>
      <c r="BB586" s="61" t="str">
        <f aca="false">IF(AND(TRIM(U586)="Pass",ISNUMBER(AF586)),IF(AF586&lt;&gt;0,"INVALID – qty variance: use Fail or Pass after CA",""),"")&amp;IF(AND(TRIM(U586)="Pass after CA",ISNUMBER(AF586)),IF(AF586&lt;&gt;0,"INVALID – after the corrective action the actual qty must equal expected (update Actual)",""),"")&amp;IF(AND(TRIM(U586)="Pass",TRIM(AB586)&lt;&gt;"",TRIM(AB586)&lt;&gt;"Closed"),"INVALID – corrective action not closed: use Fail, then Pass after CA","")&amp;IF(AND(TRIM(AA586)&lt;&gt;"",TRIM(AB586)=""),"INVALID – CA status missing for the recorded corrective action","")&amp;IF(AND(TRIM(U586)="Pass after CA",OR(OR(LEN(BA586)&lt;5,ISNUMBER(MATCH(BA586,L_Placeholder,0))),TRIM(AB586)&lt;&gt;"Closed")),"INVALID – corrective action not recorded/closed","")</f>
        <v/>
      </c>
    </row>
    <row r="587" customFormat="false" ht="39.75" hidden="false" customHeight="true" outlineLevel="0" collapsed="false">
      <c r="A587" s="57" t="s">
        <v>1259</v>
      </c>
      <c r="B587" s="57" t="s">
        <v>290</v>
      </c>
      <c r="C587" s="57" t="str">
        <f aca="false">Flights!$F$22</f>
        <v>MH0052</v>
      </c>
      <c r="D587" s="58" t="n">
        <f aca="false">Flights!$D$22</f>
        <v>46322</v>
      </c>
      <c r="E587" s="57" t="str">
        <f aca="false">Flights!$G$22&amp;"-"&amp;Flights!$H$22</f>
        <v>KUL-KIX</v>
      </c>
      <c r="F587" s="57" t="str">
        <f aca="false">Flights!$K$22</f>
        <v>BC</v>
      </c>
      <c r="G587" s="57" t="s">
        <v>398</v>
      </c>
      <c r="H587" s="57" t="s">
        <v>356</v>
      </c>
      <c r="I587" s="57" t="s">
        <v>406</v>
      </c>
      <c r="J587" s="57" t="s">
        <v>409</v>
      </c>
      <c r="K587" s="67"/>
      <c r="L587" s="67" t="s">
        <v>400</v>
      </c>
      <c r="M587" s="67"/>
      <c r="N587" s="67" t="s">
        <v>361</v>
      </c>
      <c r="O587" s="67" t="s">
        <v>401</v>
      </c>
      <c r="P587" s="57" t="s">
        <v>184</v>
      </c>
      <c r="Q587" s="59" t="n">
        <f aca="false">ROUND((Flights!$AE$22)*1440,0)/1440</f>
        <v>46322.1006944444</v>
      </c>
      <c r="R587" s="59" t="n">
        <f aca="false">Q587+(IF(AND(INDEX(TZ_DSTS,MATCH(P587,TZ_STN,0))&lt;&gt;"",Q587&gt;=INDEX(TZ_DSTS,MATCH(P587,TZ_STN,0)),Q587&lt;INDEX(TZ_DSTE,MATCH(P587,TZ_STN,0))),INDEX(TZ_DST,MATCH(P587,TZ_STN,0)),INDEX(TZ_STD,MATCH(P587,TZ_STN,0))))/24</f>
        <v>46322.4340277778</v>
      </c>
      <c r="S587" s="59" t="n">
        <f aca="false">Q587-T12EarlyH/24</f>
        <v>46321.6006944444</v>
      </c>
      <c r="T587" s="60"/>
      <c r="U587" s="60"/>
      <c r="V587" s="60"/>
      <c r="W587" s="61"/>
      <c r="X587" s="60"/>
      <c r="Y587" s="60"/>
      <c r="Z587" s="60"/>
      <c r="AA587" s="60"/>
      <c r="AB587" s="60"/>
      <c r="AC587" s="60"/>
      <c r="AD587" s="66"/>
      <c r="AE587" s="60"/>
      <c r="AF587" s="61" t="str">
        <f aca="false">IF(AND(ISNUMBER(X587),ISNUMBER(Y587)),Y587-X587,"")</f>
        <v/>
      </c>
      <c r="AG587" s="62" t="str">
        <f aca="false">IF(ISNUMBER(AD587),AD587-(IF(AND(INDEX(TZ_DSTS,MATCH(P587,TZ_STN,0))&lt;&gt;"",(AD587-INDEX(TZ_STD,MATCH(P587,TZ_STN,0))/24)&gt;=INDEX(TZ_DSTS,MATCH(P587,TZ_STN,0)),(AD587-INDEX(TZ_STD,MATCH(P587,TZ_STN,0))/24)&lt;INDEX(TZ_DSTE,MATCH(P587,TZ_STN,0))),INDEX(TZ_DST,MATCH(P587,TZ_STN,0)),INDEX(TZ_STD,MATCH(P587,TZ_STN,0))))/24,"")</f>
        <v/>
      </c>
      <c r="AH587" s="65" t="str">
        <f aca="false">IFERROR(IF(N587="N/A – rule","N/A – RULE",IF(TRIM(U587)="N/A",IF(AT587=0,"INVALID – N/A not permitted for this check",IF(AND(TRIM(AB587)&lt;&gt;"",TRIM(AB587)&lt;&gt;"Closed"),"INVALID – corrective action still open",IF(AND(NOT(OR(LEN(AZ587)&lt;15,ISNUMBER(MATCH(AZ587,L_Placeholder,0)))),NOT(OR(LEN(AU587)&lt;2,ISNUMBER(MATCH(AU587,L_Placeholder,0)))),NOT(OR(LEN(AX587)&lt;2,ISNUMBER(MATCH(AX587,L_Placeholder,0)))),TRIM(AE587)&lt;&gt;TRIM(T587)),"N/A – JUSTIFIED","INVALID – N/A needs a real justification (15+ chars), PIC and a different verifier"))),IF(OR(TRIM(U587)="Pass",TRIM(U587)="Pass after CA"),IF(NOT(ISNUMBER(AD587)),"INVALID – completion time missing",IF(OR(LEN(AU587)&lt;2,ISNUMBER(MATCH(AU587,L_Placeholder,0))),"INVALID – PIC missing",IF(OR(LEN(AV587)&lt;2,ISNUMBER(MATCH(AV587,L_Placeholder,0))),"INVALID – result / assessment missing",IF(OR(OR(LEN(AW587)&lt;3,ISNUMBER(MATCH(AW587,L_Placeholder,0))),SUMPRODUCT(--ISNUMBER(SEARCH(L_EvidencePhrase,AW587)))&gt;0),"INVALID – evidence missing, placeholder or not yet on file",IF(OR(LEN(AX587)&lt;2,ISNUMBER(MATCH(AX587,L_Placeholder,0))),"INVALID – verifier missing",IF(AX587=AU587,"INVALID – verifier must be someone other than the PIC",IF(AND(TRIM(U587)="Pass",SUMPRODUCT(--ISNUMBER(SEARCH(L_ResultBad,AV587)))&gt;0),"INVALID – result describes a problem: use Fail, then Pass after CA",IF(AND(AQ587=1,OR(LEN(AY587)&lt;3,ISNUMBER(MATCH(AY587,L_Placeholder,0)))),"INVALID – batch ID missing or placeholder",IF(AND(AR587=1,OR(NOT(ISNUMBER(X587)),NOT(ISNUMBER(Y587)))),"INVALID – expected/actual qty missing",IF(AND(AR587=1,OR(X587&lt;=0,Y587&lt;0)),"INVALID – expected qty must be above 0 and actual not negative",IF(BB587&lt;&gt;"",BB587,IF(AND(AS587=1,Documents!$J$22&lt;&gt;"ON FILE"),"INVALID – GLD not on file (Documents sheet)",IF(AND(AS587=2,Documents!$O$22&lt;&gt;"ON FILE"),"INVALID – menu checklist not on file (Documents sheet)",IF(AND(AS587=3,NOT(ISNUMBER(Flights!$AX$22))),"INVALID – enter carrying flight KUL departure (Flights AX)",IF(AND(AS587=3,OR(Flights!$AZ$22&gt;Flights!$AA$22,Flights!$AX$22&lt;Flights!$AA$22-3)),"INVALID – carrying flight (Flights AX) cannot arrive before this leg's STD, or is over 3 days early",IF(AG587&gt;AsOfUTC,"INVALID – completion time is in the future",IF(AND(ISNUMBER(S587),AG587&lt;S587),IF(H587="Physical uplift","INVALID – before uplift window (cannot confirm loading)","INVALID – before valid window"),IF(AG587&gt;Flights!$AA$22,"INVALID – completed after departure (cannot establish readiness)",IF(AND(H587="Preparation",AG587&gt;IF(ISNUMBER(Flights!$BA$22),MIN(Flights!$BA$22,Flights!$AA$22),Flights!$AA$22)),"INVALID – completed after loading / departure (cannot establish readiness)",IF(AND(H587="Physical uplift",AG587&gt;Q587),"INVALID – recorded after the loading flight departed",IF(AG587&gt;Q587,"COMPLETE – LATE","COMPLETE"))))))))))))))))))))),IF(TRIM(U587)="Fail","FAIL – DISCREPANCY",IF(AND(TRIM(U587)&lt;&gt;"",TRIM(U587)&lt;&gt;"Not started",TRIM(U587)&lt;&gt;"In progress"),"INVALID – unrecognised status (use the list)",IF(AsOfUTC&gt;Q587,"OVERDUE",IF(N587="Clarification required","OPEN – CLARIFICATION","OPEN"))))))),"INVALID – error value in an input cell")</f>
        <v>OPEN</v>
      </c>
      <c r="AI587" s="61" t="n">
        <f aca="false">IF(OR(AH587="N/A – RULE",AH587="N/A – JUSTIFIED"),0,1)</f>
        <v>1</v>
      </c>
      <c r="AJ587" s="61" t="n">
        <f aca="false">IF(LEFT(AH587,8)="COMPLETE",1,0)</f>
        <v>0</v>
      </c>
      <c r="AK587" s="61" t="n">
        <f aca="false">IF(AND(AI587=1,AJ587=0,AsOfUTC&gt;Q587),1,0)</f>
        <v>0</v>
      </c>
      <c r="AL587" s="61" t="n">
        <f aca="false">IFERROR(IF(AND(AI587=1,OR(TRIM(U587)="Fail",AND(TRIM(AB587)&lt;&gt;"",TRIM(AB587)&lt;&gt;"Closed"),AND(ISNUMBER(AF587),AF587&lt;&gt;0,TRIM(U587)&lt;&gt;"Pass after CA"))),1,0),1)</f>
        <v>0</v>
      </c>
      <c r="AM587" s="61" t="n">
        <f aca="false">IF(LEFT(AH587,7)="INVALID",1,0)</f>
        <v>0</v>
      </c>
      <c r="AN587" s="61" t="n">
        <f aca="false">IF(AND(N587="Clarification required",AI587=1,AJ587=0),1,0)</f>
        <v>0</v>
      </c>
      <c r="AO587" s="61" t="str">
        <f aca="false">IF(AK587=1,SUM(AK$5:AK587),"")</f>
        <v/>
      </c>
      <c r="AP587" s="61" t="str">
        <f aca="false">IF(AL587=1,SUM(AL$5:AL587),"")</f>
        <v/>
      </c>
      <c r="AQ587" s="61" t="n">
        <v>0</v>
      </c>
      <c r="AR587" s="61" t="n">
        <v>0</v>
      </c>
      <c r="AS587" s="61" t="n">
        <v>0</v>
      </c>
      <c r="AT587" s="61" t="n">
        <v>0</v>
      </c>
      <c r="AU587" s="61" t="str">
        <f aca="false">SUBSTITUTE(SUBSTITUTE(SUBSTITUTE(SUBSTITUTE(SUBSTITUTE(SUBSTITUTE(SUBSTITUTE(SUBSTITUTE(SUBSTITUTE(SUBSTITUTE(SUBSTITUTE(SUBSTITUTE(SUBSTITUTE(LOWER(T587&amp;""),CHAR(160),"")," ",""),".",""),"-",""),"/",""),"?",""),"_",""),",",""),"[",""),"]",""),"(",""),")",""),"*","")</f>
        <v/>
      </c>
      <c r="AV587" s="61" t="str">
        <f aca="false">SUBSTITUTE(SUBSTITUTE(SUBSTITUTE(SUBSTITUTE(SUBSTITUTE(SUBSTITUTE(SUBSTITUTE(SUBSTITUTE(SUBSTITUTE(SUBSTITUTE(SUBSTITUTE(SUBSTITUTE(SUBSTITUTE(LOWER(V587&amp;""),CHAR(160),"")," ",""),".",""),"-",""),"/",""),"?",""),"_",""),",",""),"[",""),"]",""),"(",""),")",""),"*","")</f>
        <v/>
      </c>
      <c r="AW587" s="61" t="str">
        <f aca="false">SUBSTITUTE(SUBSTITUTE(SUBSTITUTE(SUBSTITUTE(SUBSTITUTE(SUBSTITUTE(SUBSTITUTE(SUBSTITUTE(SUBSTITUTE(SUBSTITUTE(SUBSTITUTE(SUBSTITUTE(SUBSTITUTE(LOWER(Z587&amp;""),CHAR(160),"")," ",""),".",""),"-",""),"/",""),"?",""),"_",""),",",""),"[",""),"]",""),"(",""),")",""),"*","")</f>
        <v/>
      </c>
      <c r="AX587" s="61" t="str">
        <f aca="false">SUBSTITUTE(SUBSTITUTE(SUBSTITUTE(SUBSTITUTE(SUBSTITUTE(SUBSTITUTE(SUBSTITUTE(SUBSTITUTE(SUBSTITUTE(SUBSTITUTE(SUBSTITUTE(SUBSTITUTE(SUBSTITUTE(LOWER(AE587&amp;""),CHAR(160),"")," ",""),".",""),"-",""),"/",""),"?",""),"_",""),",",""),"[",""),"]",""),"(",""),")",""),"*","")</f>
        <v/>
      </c>
      <c r="AY587" s="61" t="str">
        <f aca="false">SUBSTITUTE(SUBSTITUTE(SUBSTITUTE(SUBSTITUTE(SUBSTITUTE(SUBSTITUTE(SUBSTITUTE(SUBSTITUTE(SUBSTITUTE(SUBSTITUTE(SUBSTITUTE(SUBSTITUTE(SUBSTITUTE(LOWER(W587&amp;""),CHAR(160),"")," ",""),".",""),"-",""),"/",""),"?",""),"_",""),",",""),"[",""),"]",""),"(",""),")",""),"*","")</f>
        <v/>
      </c>
      <c r="AZ587" s="61" t="str">
        <f aca="false">SUBSTITUTE(SUBSTITUTE(SUBSTITUTE(SUBSTITUTE(SUBSTITUTE(SUBSTITUTE(SUBSTITUTE(SUBSTITUTE(SUBSTITUTE(SUBSTITUTE(SUBSTITUTE(SUBSTITUTE(SUBSTITUTE(LOWER(AC587&amp;""),CHAR(160),"")," ",""),".",""),"-",""),"/",""),"?",""),"_",""),",",""),"[",""),"]",""),"(",""),")",""),"*","")</f>
        <v/>
      </c>
      <c r="BA587" s="61" t="str">
        <f aca="false">SUBSTITUTE(SUBSTITUTE(SUBSTITUTE(SUBSTITUTE(SUBSTITUTE(SUBSTITUTE(SUBSTITUTE(SUBSTITUTE(SUBSTITUTE(SUBSTITUTE(SUBSTITUTE(SUBSTITUTE(SUBSTITUTE(LOWER(AA587&amp;""),CHAR(160),"")," ",""),".",""),"-",""),"/",""),"?",""),"_",""),",",""),"[",""),"]",""),"(",""),")",""),"*","")</f>
        <v/>
      </c>
      <c r="BB587" s="61" t="str">
        <f aca="false">IF(AND(TRIM(U587)="Pass",ISNUMBER(AF587)),IF(AF587&lt;&gt;0,"INVALID – qty variance: use Fail or Pass after CA",""),"")&amp;IF(AND(TRIM(U587)="Pass after CA",ISNUMBER(AF587)),IF(AF587&lt;&gt;0,"INVALID – after the corrective action the actual qty must equal expected (update Actual)",""),"")&amp;IF(AND(TRIM(U587)="Pass",TRIM(AB587)&lt;&gt;"",TRIM(AB587)&lt;&gt;"Closed"),"INVALID – corrective action not closed: use Fail, then Pass after CA","")&amp;IF(AND(TRIM(AA587)&lt;&gt;"",TRIM(AB587)=""),"INVALID – CA status missing for the recorded corrective action","")&amp;IF(AND(TRIM(U587)="Pass after CA",OR(OR(LEN(BA587)&lt;5,ISNUMBER(MATCH(BA587,L_Placeholder,0))),TRIM(AB587)&lt;&gt;"Closed")),"INVALID – corrective action not recorded/closed","")</f>
        <v/>
      </c>
    </row>
    <row r="588" customFormat="false" ht="39.75" hidden="false" customHeight="true" outlineLevel="0" collapsed="false">
      <c r="A588" s="57" t="s">
        <v>1260</v>
      </c>
      <c r="B588" s="57" t="s">
        <v>290</v>
      </c>
      <c r="C588" s="57" t="str">
        <f aca="false">Flights!$F$22</f>
        <v>MH0052</v>
      </c>
      <c r="D588" s="58" t="n">
        <f aca="false">Flights!$D$22</f>
        <v>46322</v>
      </c>
      <c r="E588" s="57" t="str">
        <f aca="false">Flights!$G$22&amp;"-"&amp;Flights!$H$22</f>
        <v>KUL-KIX</v>
      </c>
      <c r="F588" s="57" t="str">
        <f aca="false">Flights!$K$22</f>
        <v>BC</v>
      </c>
      <c r="G588" s="57" t="s">
        <v>398</v>
      </c>
      <c r="H588" s="57" t="s">
        <v>356</v>
      </c>
      <c r="I588" s="57" t="s">
        <v>406</v>
      </c>
      <c r="J588" s="57" t="s">
        <v>411</v>
      </c>
      <c r="K588" s="67"/>
      <c r="L588" s="67" t="s">
        <v>400</v>
      </c>
      <c r="M588" s="67"/>
      <c r="N588" s="67" t="s">
        <v>361</v>
      </c>
      <c r="O588" s="67" t="s">
        <v>401</v>
      </c>
      <c r="P588" s="57" t="s">
        <v>184</v>
      </c>
      <c r="Q588" s="59" t="n">
        <f aca="false">ROUND((Flights!$AE$22)*1440,0)/1440</f>
        <v>46322.1006944444</v>
      </c>
      <c r="R588" s="59" t="n">
        <f aca="false">Q588+(IF(AND(INDEX(TZ_DSTS,MATCH(P588,TZ_STN,0))&lt;&gt;"",Q588&gt;=INDEX(TZ_DSTS,MATCH(P588,TZ_STN,0)),Q588&lt;INDEX(TZ_DSTE,MATCH(P588,TZ_STN,0))),INDEX(TZ_DST,MATCH(P588,TZ_STN,0)),INDEX(TZ_STD,MATCH(P588,TZ_STN,0))))/24</f>
        <v>46322.4340277778</v>
      </c>
      <c r="S588" s="59" t="n">
        <f aca="false">Q588-T12EarlyH/24</f>
        <v>46321.6006944444</v>
      </c>
      <c r="T588" s="60"/>
      <c r="U588" s="60"/>
      <c r="V588" s="60"/>
      <c r="W588" s="61"/>
      <c r="X588" s="60"/>
      <c r="Y588" s="60"/>
      <c r="Z588" s="60"/>
      <c r="AA588" s="60"/>
      <c r="AB588" s="60"/>
      <c r="AC588" s="60"/>
      <c r="AD588" s="66"/>
      <c r="AE588" s="60"/>
      <c r="AF588" s="61" t="str">
        <f aca="false">IF(AND(ISNUMBER(X588),ISNUMBER(Y588)),Y588-X588,"")</f>
        <v/>
      </c>
      <c r="AG588" s="62" t="str">
        <f aca="false">IF(ISNUMBER(AD588),AD588-(IF(AND(INDEX(TZ_DSTS,MATCH(P588,TZ_STN,0))&lt;&gt;"",(AD588-INDEX(TZ_STD,MATCH(P588,TZ_STN,0))/24)&gt;=INDEX(TZ_DSTS,MATCH(P588,TZ_STN,0)),(AD588-INDEX(TZ_STD,MATCH(P588,TZ_STN,0))/24)&lt;INDEX(TZ_DSTE,MATCH(P588,TZ_STN,0))),INDEX(TZ_DST,MATCH(P588,TZ_STN,0)),INDEX(TZ_STD,MATCH(P588,TZ_STN,0))))/24,"")</f>
        <v/>
      </c>
      <c r="AH588" s="65" t="str">
        <f aca="false">IFERROR(IF(N588="N/A – rule","N/A – RULE",IF(TRIM(U588)="N/A",IF(AT588=0,"INVALID – N/A not permitted for this check",IF(AND(TRIM(AB588)&lt;&gt;"",TRIM(AB588)&lt;&gt;"Closed"),"INVALID – corrective action still open",IF(AND(NOT(OR(LEN(AZ588)&lt;15,ISNUMBER(MATCH(AZ588,L_Placeholder,0)))),NOT(OR(LEN(AU588)&lt;2,ISNUMBER(MATCH(AU588,L_Placeholder,0)))),NOT(OR(LEN(AX588)&lt;2,ISNUMBER(MATCH(AX588,L_Placeholder,0)))),TRIM(AE588)&lt;&gt;TRIM(T588)),"N/A – JUSTIFIED","INVALID – N/A needs a real justification (15+ chars), PIC and a different verifier"))),IF(OR(TRIM(U588)="Pass",TRIM(U588)="Pass after CA"),IF(NOT(ISNUMBER(AD588)),"INVALID – completion time missing",IF(OR(LEN(AU588)&lt;2,ISNUMBER(MATCH(AU588,L_Placeholder,0))),"INVALID – PIC missing",IF(OR(LEN(AV588)&lt;2,ISNUMBER(MATCH(AV588,L_Placeholder,0))),"INVALID – result / assessment missing",IF(OR(OR(LEN(AW588)&lt;3,ISNUMBER(MATCH(AW588,L_Placeholder,0))),SUMPRODUCT(--ISNUMBER(SEARCH(L_EvidencePhrase,AW588)))&gt;0),"INVALID – evidence missing, placeholder or not yet on file",IF(OR(LEN(AX588)&lt;2,ISNUMBER(MATCH(AX588,L_Placeholder,0))),"INVALID – verifier missing",IF(AX588=AU588,"INVALID – verifier must be someone other than the PIC",IF(AND(TRIM(U588)="Pass",SUMPRODUCT(--ISNUMBER(SEARCH(L_ResultBad,AV588)))&gt;0),"INVALID – result describes a problem: use Fail, then Pass after CA",IF(AND(AQ588=1,OR(LEN(AY588)&lt;3,ISNUMBER(MATCH(AY588,L_Placeholder,0)))),"INVALID – batch ID missing or placeholder",IF(AND(AR588=1,OR(NOT(ISNUMBER(X588)),NOT(ISNUMBER(Y588)))),"INVALID – expected/actual qty missing",IF(AND(AR588=1,OR(X588&lt;=0,Y588&lt;0)),"INVALID – expected qty must be above 0 and actual not negative",IF(BB588&lt;&gt;"",BB588,IF(AND(AS588=1,Documents!$J$22&lt;&gt;"ON FILE"),"INVALID – GLD not on file (Documents sheet)",IF(AND(AS588=2,Documents!$O$22&lt;&gt;"ON FILE"),"INVALID – menu checklist not on file (Documents sheet)",IF(AND(AS588=3,NOT(ISNUMBER(Flights!$AX$22))),"INVALID – enter carrying flight KUL departure (Flights AX)",IF(AND(AS588=3,OR(Flights!$AZ$22&gt;Flights!$AA$22,Flights!$AX$22&lt;Flights!$AA$22-3)),"INVALID – carrying flight (Flights AX) cannot arrive before this leg's STD, or is over 3 days early",IF(AG588&gt;AsOfUTC,"INVALID – completion time is in the future",IF(AND(ISNUMBER(S588),AG588&lt;S588),IF(H588="Physical uplift","INVALID – before uplift window (cannot confirm loading)","INVALID – before valid window"),IF(AG588&gt;Flights!$AA$22,"INVALID – completed after departure (cannot establish readiness)",IF(AND(H588="Preparation",AG588&gt;IF(ISNUMBER(Flights!$BA$22),MIN(Flights!$BA$22,Flights!$AA$22),Flights!$AA$22)),"INVALID – completed after loading / departure (cannot establish readiness)",IF(AND(H588="Physical uplift",AG588&gt;Q588),"INVALID – recorded after the loading flight departed",IF(AG588&gt;Q588,"COMPLETE – LATE","COMPLETE"))))))))))))))))))))),IF(TRIM(U588)="Fail","FAIL – DISCREPANCY",IF(AND(TRIM(U588)&lt;&gt;"",TRIM(U588)&lt;&gt;"Not started",TRIM(U588)&lt;&gt;"In progress"),"INVALID – unrecognised status (use the list)",IF(AsOfUTC&gt;Q588,"OVERDUE",IF(N588="Clarification required","OPEN – CLARIFICATION","OPEN"))))))),"INVALID – error value in an input cell")</f>
        <v>OPEN</v>
      </c>
      <c r="AI588" s="61" t="n">
        <f aca="false">IF(OR(AH588="N/A – RULE",AH588="N/A – JUSTIFIED"),0,1)</f>
        <v>1</v>
      </c>
      <c r="AJ588" s="61" t="n">
        <f aca="false">IF(LEFT(AH588,8)="COMPLETE",1,0)</f>
        <v>0</v>
      </c>
      <c r="AK588" s="61" t="n">
        <f aca="false">IF(AND(AI588=1,AJ588=0,AsOfUTC&gt;Q588),1,0)</f>
        <v>0</v>
      </c>
      <c r="AL588" s="61" t="n">
        <f aca="false">IFERROR(IF(AND(AI588=1,OR(TRIM(U588)="Fail",AND(TRIM(AB588)&lt;&gt;"",TRIM(AB588)&lt;&gt;"Closed"),AND(ISNUMBER(AF588),AF588&lt;&gt;0,TRIM(U588)&lt;&gt;"Pass after CA"))),1,0),1)</f>
        <v>0</v>
      </c>
      <c r="AM588" s="61" t="n">
        <f aca="false">IF(LEFT(AH588,7)="INVALID",1,0)</f>
        <v>0</v>
      </c>
      <c r="AN588" s="61" t="n">
        <f aca="false">IF(AND(N588="Clarification required",AI588=1,AJ588=0),1,0)</f>
        <v>0</v>
      </c>
      <c r="AO588" s="61" t="str">
        <f aca="false">IF(AK588=1,SUM(AK$5:AK588),"")</f>
        <v/>
      </c>
      <c r="AP588" s="61" t="str">
        <f aca="false">IF(AL588=1,SUM(AL$5:AL588),"")</f>
        <v/>
      </c>
      <c r="AQ588" s="61" t="n">
        <v>0</v>
      </c>
      <c r="AR588" s="61" t="n">
        <v>0</v>
      </c>
      <c r="AS588" s="61" t="n">
        <v>0</v>
      </c>
      <c r="AT588" s="61" t="n">
        <v>0</v>
      </c>
      <c r="AU588" s="61" t="str">
        <f aca="false">SUBSTITUTE(SUBSTITUTE(SUBSTITUTE(SUBSTITUTE(SUBSTITUTE(SUBSTITUTE(SUBSTITUTE(SUBSTITUTE(SUBSTITUTE(SUBSTITUTE(SUBSTITUTE(SUBSTITUTE(SUBSTITUTE(LOWER(T588&amp;""),CHAR(160),"")," ",""),".",""),"-",""),"/",""),"?",""),"_",""),",",""),"[",""),"]",""),"(",""),")",""),"*","")</f>
        <v/>
      </c>
      <c r="AV588" s="61" t="str">
        <f aca="false">SUBSTITUTE(SUBSTITUTE(SUBSTITUTE(SUBSTITUTE(SUBSTITUTE(SUBSTITUTE(SUBSTITUTE(SUBSTITUTE(SUBSTITUTE(SUBSTITUTE(SUBSTITUTE(SUBSTITUTE(SUBSTITUTE(LOWER(V588&amp;""),CHAR(160),"")," ",""),".",""),"-",""),"/",""),"?",""),"_",""),",",""),"[",""),"]",""),"(",""),")",""),"*","")</f>
        <v/>
      </c>
      <c r="AW588" s="61" t="str">
        <f aca="false">SUBSTITUTE(SUBSTITUTE(SUBSTITUTE(SUBSTITUTE(SUBSTITUTE(SUBSTITUTE(SUBSTITUTE(SUBSTITUTE(SUBSTITUTE(SUBSTITUTE(SUBSTITUTE(SUBSTITUTE(SUBSTITUTE(LOWER(Z588&amp;""),CHAR(160),"")," ",""),".",""),"-",""),"/",""),"?",""),"_",""),",",""),"[",""),"]",""),"(",""),")",""),"*","")</f>
        <v/>
      </c>
      <c r="AX588" s="61" t="str">
        <f aca="false">SUBSTITUTE(SUBSTITUTE(SUBSTITUTE(SUBSTITUTE(SUBSTITUTE(SUBSTITUTE(SUBSTITUTE(SUBSTITUTE(SUBSTITUTE(SUBSTITUTE(SUBSTITUTE(SUBSTITUTE(SUBSTITUTE(LOWER(AE588&amp;""),CHAR(160),"")," ",""),".",""),"-",""),"/",""),"?",""),"_",""),",",""),"[",""),"]",""),"(",""),")",""),"*","")</f>
        <v/>
      </c>
      <c r="AY588" s="61" t="str">
        <f aca="false">SUBSTITUTE(SUBSTITUTE(SUBSTITUTE(SUBSTITUTE(SUBSTITUTE(SUBSTITUTE(SUBSTITUTE(SUBSTITUTE(SUBSTITUTE(SUBSTITUTE(SUBSTITUTE(SUBSTITUTE(SUBSTITUTE(LOWER(W588&amp;""),CHAR(160),"")," ",""),".",""),"-",""),"/",""),"?",""),"_",""),",",""),"[",""),"]",""),"(",""),")",""),"*","")</f>
        <v/>
      </c>
      <c r="AZ588" s="61" t="str">
        <f aca="false">SUBSTITUTE(SUBSTITUTE(SUBSTITUTE(SUBSTITUTE(SUBSTITUTE(SUBSTITUTE(SUBSTITUTE(SUBSTITUTE(SUBSTITUTE(SUBSTITUTE(SUBSTITUTE(SUBSTITUTE(SUBSTITUTE(LOWER(AC588&amp;""),CHAR(160),"")," ",""),".",""),"-",""),"/",""),"?",""),"_",""),",",""),"[",""),"]",""),"(",""),")",""),"*","")</f>
        <v/>
      </c>
      <c r="BA588" s="61" t="str">
        <f aca="false">SUBSTITUTE(SUBSTITUTE(SUBSTITUTE(SUBSTITUTE(SUBSTITUTE(SUBSTITUTE(SUBSTITUTE(SUBSTITUTE(SUBSTITUTE(SUBSTITUTE(SUBSTITUTE(SUBSTITUTE(SUBSTITUTE(LOWER(AA588&amp;""),CHAR(160),"")," ",""),".",""),"-",""),"/",""),"?",""),"_",""),",",""),"[",""),"]",""),"(",""),")",""),"*","")</f>
        <v/>
      </c>
      <c r="BB588" s="61" t="str">
        <f aca="false">IF(AND(TRIM(U588)="Pass",ISNUMBER(AF588)),IF(AF588&lt;&gt;0,"INVALID – qty variance: use Fail or Pass after CA",""),"")&amp;IF(AND(TRIM(U588)="Pass after CA",ISNUMBER(AF588)),IF(AF588&lt;&gt;0,"INVALID – after the corrective action the actual qty must equal expected (update Actual)",""),"")&amp;IF(AND(TRIM(U588)="Pass",TRIM(AB588)&lt;&gt;"",TRIM(AB588)&lt;&gt;"Closed"),"INVALID – corrective action not closed: use Fail, then Pass after CA","")&amp;IF(AND(TRIM(AA588)&lt;&gt;"",TRIM(AB588)=""),"INVALID – CA status missing for the recorded corrective action","")&amp;IF(AND(TRIM(U588)="Pass after CA",OR(OR(LEN(BA588)&lt;5,ISNUMBER(MATCH(BA588,L_Placeholder,0))),TRIM(AB588)&lt;&gt;"Closed")),"INVALID – corrective action not recorded/closed","")</f>
        <v/>
      </c>
    </row>
    <row r="589" customFormat="false" ht="78.75" hidden="false" customHeight="true" outlineLevel="0" collapsed="false">
      <c r="A589" s="57" t="s">
        <v>1261</v>
      </c>
      <c r="B589" s="57" t="s">
        <v>290</v>
      </c>
      <c r="C589" s="57" t="str">
        <f aca="false">Flights!$F$22</f>
        <v>MH0052</v>
      </c>
      <c r="D589" s="58" t="n">
        <f aca="false">Flights!$D$22</f>
        <v>46322</v>
      </c>
      <c r="E589" s="57" t="str">
        <f aca="false">Flights!$G$22&amp;"-"&amp;Flights!$H$22</f>
        <v>KUL-KIX</v>
      </c>
      <c r="F589" s="57" t="str">
        <f aca="false">Flights!$K$22</f>
        <v>BC</v>
      </c>
      <c r="G589" s="57" t="s">
        <v>398</v>
      </c>
      <c r="H589" s="57" t="s">
        <v>356</v>
      </c>
      <c r="I589" s="57" t="s">
        <v>406</v>
      </c>
      <c r="J589" s="57" t="s">
        <v>413</v>
      </c>
      <c r="K589" s="67" t="s">
        <v>551</v>
      </c>
      <c r="L589" s="67" t="s">
        <v>400</v>
      </c>
      <c r="M589" s="67"/>
      <c r="N589" s="67" t="s">
        <v>361</v>
      </c>
      <c r="O589" s="67" t="s">
        <v>401</v>
      </c>
      <c r="P589" s="57" t="s">
        <v>184</v>
      </c>
      <c r="Q589" s="59" t="n">
        <f aca="false">ROUND((Flights!$AE$22)*1440,0)/1440</f>
        <v>46322.1006944444</v>
      </c>
      <c r="R589" s="59" t="n">
        <f aca="false">Q589+(IF(AND(INDEX(TZ_DSTS,MATCH(P589,TZ_STN,0))&lt;&gt;"",Q589&gt;=INDEX(TZ_DSTS,MATCH(P589,TZ_STN,0)),Q589&lt;INDEX(TZ_DSTE,MATCH(P589,TZ_STN,0))),INDEX(TZ_DST,MATCH(P589,TZ_STN,0)),INDEX(TZ_STD,MATCH(P589,TZ_STN,0))))/24</f>
        <v>46322.4340277778</v>
      </c>
      <c r="S589" s="59" t="n">
        <f aca="false">Q589-T12EarlyH/24</f>
        <v>46321.6006944444</v>
      </c>
      <c r="T589" s="60"/>
      <c r="U589" s="60"/>
      <c r="V589" s="60"/>
      <c r="W589" s="61"/>
      <c r="X589" s="60"/>
      <c r="Y589" s="60"/>
      <c r="Z589" s="60"/>
      <c r="AA589" s="60"/>
      <c r="AB589" s="60"/>
      <c r="AC589" s="60"/>
      <c r="AD589" s="66"/>
      <c r="AE589" s="60"/>
      <c r="AF589" s="61" t="str">
        <f aca="false">IF(AND(ISNUMBER(X589),ISNUMBER(Y589)),Y589-X589,"")</f>
        <v/>
      </c>
      <c r="AG589" s="62" t="str">
        <f aca="false">IF(ISNUMBER(AD589),AD589-(IF(AND(INDEX(TZ_DSTS,MATCH(P589,TZ_STN,0))&lt;&gt;"",(AD589-INDEX(TZ_STD,MATCH(P589,TZ_STN,0))/24)&gt;=INDEX(TZ_DSTS,MATCH(P589,TZ_STN,0)),(AD589-INDEX(TZ_STD,MATCH(P589,TZ_STN,0))/24)&lt;INDEX(TZ_DSTE,MATCH(P589,TZ_STN,0))),INDEX(TZ_DST,MATCH(P589,TZ_STN,0)),INDEX(TZ_STD,MATCH(P589,TZ_STN,0))))/24,"")</f>
        <v/>
      </c>
      <c r="AH589" s="65" t="str">
        <f aca="false">IFERROR(IF(N589="N/A – rule","N/A – RULE",IF(TRIM(U589)="N/A",IF(AT589=0,"INVALID – N/A not permitted for this check",IF(AND(TRIM(AB589)&lt;&gt;"",TRIM(AB589)&lt;&gt;"Closed"),"INVALID – corrective action still open",IF(AND(NOT(OR(LEN(AZ589)&lt;15,ISNUMBER(MATCH(AZ589,L_Placeholder,0)))),NOT(OR(LEN(AU589)&lt;2,ISNUMBER(MATCH(AU589,L_Placeholder,0)))),NOT(OR(LEN(AX589)&lt;2,ISNUMBER(MATCH(AX589,L_Placeholder,0)))),TRIM(AE589)&lt;&gt;TRIM(T589)),"N/A – JUSTIFIED","INVALID – N/A needs a real justification (15+ chars), PIC and a different verifier"))),IF(OR(TRIM(U589)="Pass",TRIM(U589)="Pass after CA"),IF(NOT(ISNUMBER(AD589)),"INVALID – completion time missing",IF(OR(LEN(AU589)&lt;2,ISNUMBER(MATCH(AU589,L_Placeholder,0))),"INVALID – PIC missing",IF(OR(LEN(AV589)&lt;2,ISNUMBER(MATCH(AV589,L_Placeholder,0))),"INVALID – result / assessment missing",IF(OR(OR(LEN(AW589)&lt;3,ISNUMBER(MATCH(AW589,L_Placeholder,0))),SUMPRODUCT(--ISNUMBER(SEARCH(L_EvidencePhrase,AW589)))&gt;0),"INVALID – evidence missing, placeholder or not yet on file",IF(OR(LEN(AX589)&lt;2,ISNUMBER(MATCH(AX589,L_Placeholder,0))),"INVALID – verifier missing",IF(AX589=AU589,"INVALID – verifier must be someone other than the PIC",IF(AND(TRIM(U589)="Pass",SUMPRODUCT(--ISNUMBER(SEARCH(L_ResultBad,AV589)))&gt;0),"INVALID – result describes a problem: use Fail, then Pass after CA",IF(AND(AQ589=1,OR(LEN(AY589)&lt;3,ISNUMBER(MATCH(AY589,L_Placeholder,0)))),"INVALID – batch ID missing or placeholder",IF(AND(AR589=1,OR(NOT(ISNUMBER(X589)),NOT(ISNUMBER(Y589)))),"INVALID – expected/actual qty missing",IF(AND(AR589=1,OR(X589&lt;=0,Y589&lt;0)),"INVALID – expected qty must be above 0 and actual not negative",IF(BB589&lt;&gt;"",BB589,IF(AND(AS589=1,Documents!$J$22&lt;&gt;"ON FILE"),"INVALID – GLD not on file (Documents sheet)",IF(AND(AS589=2,Documents!$O$22&lt;&gt;"ON FILE"),"INVALID – menu checklist not on file (Documents sheet)",IF(AND(AS589=3,NOT(ISNUMBER(Flights!$AX$22))),"INVALID – enter carrying flight KUL departure (Flights AX)",IF(AND(AS589=3,OR(Flights!$AZ$22&gt;Flights!$AA$22,Flights!$AX$22&lt;Flights!$AA$22-3)),"INVALID – carrying flight (Flights AX) cannot arrive before this leg's STD, or is over 3 days early",IF(AG589&gt;AsOfUTC,"INVALID – completion time is in the future",IF(AND(ISNUMBER(S589),AG589&lt;S589),IF(H589="Physical uplift","INVALID – before uplift window (cannot confirm loading)","INVALID – before valid window"),IF(AG589&gt;Flights!$AA$22,"INVALID – completed after departure (cannot establish readiness)",IF(AND(H589="Preparation",AG589&gt;IF(ISNUMBER(Flights!$BA$22),MIN(Flights!$BA$22,Flights!$AA$22),Flights!$AA$22)),"INVALID – completed after loading / departure (cannot establish readiness)",IF(AND(H589="Physical uplift",AG589&gt;Q589),"INVALID – recorded after the loading flight departed",IF(AG589&gt;Q589,"COMPLETE – LATE","COMPLETE"))))))))))))))))))))),IF(TRIM(U589)="Fail","FAIL – DISCREPANCY",IF(AND(TRIM(U589)&lt;&gt;"",TRIM(U589)&lt;&gt;"Not started",TRIM(U589)&lt;&gt;"In progress"),"INVALID – unrecognised status (use the list)",IF(AsOfUTC&gt;Q589,"OVERDUE",IF(N589="Clarification required","OPEN – CLARIFICATION","OPEN"))))))),"INVALID – error value in an input cell")</f>
        <v>OPEN</v>
      </c>
      <c r="AI589" s="61" t="n">
        <f aca="false">IF(OR(AH589="N/A – RULE",AH589="N/A – JUSTIFIED"),0,1)</f>
        <v>1</v>
      </c>
      <c r="AJ589" s="61" t="n">
        <f aca="false">IF(LEFT(AH589,8)="COMPLETE",1,0)</f>
        <v>0</v>
      </c>
      <c r="AK589" s="61" t="n">
        <f aca="false">IF(AND(AI589=1,AJ589=0,AsOfUTC&gt;Q589),1,0)</f>
        <v>0</v>
      </c>
      <c r="AL589" s="61" t="n">
        <f aca="false">IFERROR(IF(AND(AI589=1,OR(TRIM(U589)="Fail",AND(TRIM(AB589)&lt;&gt;"",TRIM(AB589)&lt;&gt;"Closed"),AND(ISNUMBER(AF589),AF589&lt;&gt;0,TRIM(U589)&lt;&gt;"Pass after CA"))),1,0),1)</f>
        <v>0</v>
      </c>
      <c r="AM589" s="61" t="n">
        <f aca="false">IF(LEFT(AH589,7)="INVALID",1,0)</f>
        <v>0</v>
      </c>
      <c r="AN589" s="61" t="n">
        <f aca="false">IF(AND(N589="Clarification required",AI589=1,AJ589=0),1,0)</f>
        <v>0</v>
      </c>
      <c r="AO589" s="61" t="str">
        <f aca="false">IF(AK589=1,SUM(AK$5:AK589),"")</f>
        <v/>
      </c>
      <c r="AP589" s="61" t="str">
        <f aca="false">IF(AL589=1,SUM(AL$5:AL589),"")</f>
        <v/>
      </c>
      <c r="AQ589" s="61" t="n">
        <v>0</v>
      </c>
      <c r="AR589" s="61" t="n">
        <v>1</v>
      </c>
      <c r="AS589" s="61" t="n">
        <v>0</v>
      </c>
      <c r="AT589" s="61" t="n">
        <v>0</v>
      </c>
      <c r="AU589" s="61" t="str">
        <f aca="false">SUBSTITUTE(SUBSTITUTE(SUBSTITUTE(SUBSTITUTE(SUBSTITUTE(SUBSTITUTE(SUBSTITUTE(SUBSTITUTE(SUBSTITUTE(SUBSTITUTE(SUBSTITUTE(SUBSTITUTE(SUBSTITUTE(LOWER(T589&amp;""),CHAR(160),"")," ",""),".",""),"-",""),"/",""),"?",""),"_",""),",",""),"[",""),"]",""),"(",""),")",""),"*","")</f>
        <v/>
      </c>
      <c r="AV589" s="61" t="str">
        <f aca="false">SUBSTITUTE(SUBSTITUTE(SUBSTITUTE(SUBSTITUTE(SUBSTITUTE(SUBSTITUTE(SUBSTITUTE(SUBSTITUTE(SUBSTITUTE(SUBSTITUTE(SUBSTITUTE(SUBSTITUTE(SUBSTITUTE(LOWER(V589&amp;""),CHAR(160),"")," ",""),".",""),"-",""),"/",""),"?",""),"_",""),",",""),"[",""),"]",""),"(",""),")",""),"*","")</f>
        <v/>
      </c>
      <c r="AW589" s="61" t="str">
        <f aca="false">SUBSTITUTE(SUBSTITUTE(SUBSTITUTE(SUBSTITUTE(SUBSTITUTE(SUBSTITUTE(SUBSTITUTE(SUBSTITUTE(SUBSTITUTE(SUBSTITUTE(SUBSTITUTE(SUBSTITUTE(SUBSTITUTE(LOWER(Z589&amp;""),CHAR(160),"")," ",""),".",""),"-",""),"/",""),"?",""),"_",""),",",""),"[",""),"]",""),"(",""),")",""),"*","")</f>
        <v/>
      </c>
      <c r="AX589" s="61" t="str">
        <f aca="false">SUBSTITUTE(SUBSTITUTE(SUBSTITUTE(SUBSTITUTE(SUBSTITUTE(SUBSTITUTE(SUBSTITUTE(SUBSTITUTE(SUBSTITUTE(SUBSTITUTE(SUBSTITUTE(SUBSTITUTE(SUBSTITUTE(LOWER(AE589&amp;""),CHAR(160),"")," ",""),".",""),"-",""),"/",""),"?",""),"_",""),",",""),"[",""),"]",""),"(",""),")",""),"*","")</f>
        <v/>
      </c>
      <c r="AY589" s="61" t="str">
        <f aca="false">SUBSTITUTE(SUBSTITUTE(SUBSTITUTE(SUBSTITUTE(SUBSTITUTE(SUBSTITUTE(SUBSTITUTE(SUBSTITUTE(SUBSTITUTE(SUBSTITUTE(SUBSTITUTE(SUBSTITUTE(SUBSTITUTE(LOWER(W589&amp;""),CHAR(160),"")," ",""),".",""),"-",""),"/",""),"?",""),"_",""),",",""),"[",""),"]",""),"(",""),")",""),"*","")</f>
        <v/>
      </c>
      <c r="AZ589" s="61" t="str">
        <f aca="false">SUBSTITUTE(SUBSTITUTE(SUBSTITUTE(SUBSTITUTE(SUBSTITUTE(SUBSTITUTE(SUBSTITUTE(SUBSTITUTE(SUBSTITUTE(SUBSTITUTE(SUBSTITUTE(SUBSTITUTE(SUBSTITUTE(LOWER(AC589&amp;""),CHAR(160),"")," ",""),".",""),"-",""),"/",""),"?",""),"_",""),",",""),"[",""),"]",""),"(",""),")",""),"*","")</f>
        <v/>
      </c>
      <c r="BA589" s="61" t="str">
        <f aca="false">SUBSTITUTE(SUBSTITUTE(SUBSTITUTE(SUBSTITUTE(SUBSTITUTE(SUBSTITUTE(SUBSTITUTE(SUBSTITUTE(SUBSTITUTE(SUBSTITUTE(SUBSTITUTE(SUBSTITUTE(SUBSTITUTE(LOWER(AA589&amp;""),CHAR(160),"")," ",""),".",""),"-",""),"/",""),"?",""),"_",""),",",""),"[",""),"]",""),"(",""),")",""),"*","")</f>
        <v/>
      </c>
      <c r="BB589" s="61" t="str">
        <f aca="false">IF(AND(TRIM(U589)="Pass",ISNUMBER(AF589)),IF(AF589&lt;&gt;0,"INVALID – qty variance: use Fail or Pass after CA",""),"")&amp;IF(AND(TRIM(U589)="Pass after CA",ISNUMBER(AF589)),IF(AF589&lt;&gt;0,"INVALID – after the corrective action the actual qty must equal expected (update Actual)",""),"")&amp;IF(AND(TRIM(U589)="Pass",TRIM(AB589)&lt;&gt;"",TRIM(AB589)&lt;&gt;"Closed"),"INVALID – corrective action not closed: use Fail, then Pass after CA","")&amp;IF(AND(TRIM(AA589)&lt;&gt;"",TRIM(AB589)=""),"INVALID – CA status missing for the recorded corrective action","")&amp;IF(AND(TRIM(U589)="Pass after CA",OR(OR(LEN(BA589)&lt;5,ISNUMBER(MATCH(BA589,L_Placeholder,0))),TRIM(AB589)&lt;&gt;"Closed")),"INVALID – corrective action not recorded/closed","")</f>
        <v/>
      </c>
    </row>
    <row r="590" customFormat="false" ht="39.75" hidden="false" customHeight="true" outlineLevel="0" collapsed="false">
      <c r="A590" s="57" t="s">
        <v>1262</v>
      </c>
      <c r="B590" s="57" t="s">
        <v>290</v>
      </c>
      <c r="C590" s="57" t="str">
        <f aca="false">Flights!$F$22</f>
        <v>MH0052</v>
      </c>
      <c r="D590" s="58" t="n">
        <f aca="false">Flights!$D$22</f>
        <v>46322</v>
      </c>
      <c r="E590" s="57" t="str">
        <f aca="false">Flights!$G$22&amp;"-"&amp;Flights!$H$22</f>
        <v>KUL-KIX</v>
      </c>
      <c r="F590" s="57" t="str">
        <f aca="false">Flights!$K$22</f>
        <v>BC</v>
      </c>
      <c r="G590" s="57" t="s">
        <v>398</v>
      </c>
      <c r="H590" s="57" t="s">
        <v>356</v>
      </c>
      <c r="I590" s="57" t="s">
        <v>406</v>
      </c>
      <c r="J590" s="57" t="s">
        <v>416</v>
      </c>
      <c r="K590" s="67"/>
      <c r="L590" s="67" t="s">
        <v>400</v>
      </c>
      <c r="M590" s="67"/>
      <c r="N590" s="67" t="s">
        <v>361</v>
      </c>
      <c r="O590" s="67" t="s">
        <v>401</v>
      </c>
      <c r="P590" s="57" t="s">
        <v>184</v>
      </c>
      <c r="Q590" s="59" t="n">
        <f aca="false">ROUND((Flights!$AE$22)*1440,0)/1440</f>
        <v>46322.1006944444</v>
      </c>
      <c r="R590" s="59" t="n">
        <f aca="false">Q590+(IF(AND(INDEX(TZ_DSTS,MATCH(P590,TZ_STN,0))&lt;&gt;"",Q590&gt;=INDEX(TZ_DSTS,MATCH(P590,TZ_STN,0)),Q590&lt;INDEX(TZ_DSTE,MATCH(P590,TZ_STN,0))),INDEX(TZ_DST,MATCH(P590,TZ_STN,0)),INDEX(TZ_STD,MATCH(P590,TZ_STN,0))))/24</f>
        <v>46322.4340277778</v>
      </c>
      <c r="S590" s="59" t="n">
        <f aca="false">Q590-T12EarlyH/24</f>
        <v>46321.6006944444</v>
      </c>
      <c r="T590" s="60"/>
      <c r="U590" s="60"/>
      <c r="V590" s="60"/>
      <c r="W590" s="61"/>
      <c r="X590" s="60"/>
      <c r="Y590" s="60"/>
      <c r="Z590" s="60"/>
      <c r="AA590" s="60"/>
      <c r="AB590" s="60"/>
      <c r="AC590" s="60"/>
      <c r="AD590" s="66"/>
      <c r="AE590" s="60"/>
      <c r="AF590" s="61" t="str">
        <f aca="false">IF(AND(ISNUMBER(X590),ISNUMBER(Y590)),Y590-X590,"")</f>
        <v/>
      </c>
      <c r="AG590" s="62" t="str">
        <f aca="false">IF(ISNUMBER(AD590),AD590-(IF(AND(INDEX(TZ_DSTS,MATCH(P590,TZ_STN,0))&lt;&gt;"",(AD590-INDEX(TZ_STD,MATCH(P590,TZ_STN,0))/24)&gt;=INDEX(TZ_DSTS,MATCH(P590,TZ_STN,0)),(AD590-INDEX(TZ_STD,MATCH(P590,TZ_STN,0))/24)&lt;INDEX(TZ_DSTE,MATCH(P590,TZ_STN,0))),INDEX(TZ_DST,MATCH(P590,TZ_STN,0)),INDEX(TZ_STD,MATCH(P590,TZ_STN,0))))/24,"")</f>
        <v/>
      </c>
      <c r="AH590" s="65" t="str">
        <f aca="false">IFERROR(IF(N590="N/A – rule","N/A – RULE",IF(TRIM(U590)="N/A",IF(AT590=0,"INVALID – N/A not permitted for this check",IF(AND(TRIM(AB590)&lt;&gt;"",TRIM(AB590)&lt;&gt;"Closed"),"INVALID – corrective action still open",IF(AND(NOT(OR(LEN(AZ590)&lt;15,ISNUMBER(MATCH(AZ590,L_Placeholder,0)))),NOT(OR(LEN(AU590)&lt;2,ISNUMBER(MATCH(AU590,L_Placeholder,0)))),NOT(OR(LEN(AX590)&lt;2,ISNUMBER(MATCH(AX590,L_Placeholder,0)))),TRIM(AE590)&lt;&gt;TRIM(T590)),"N/A – JUSTIFIED","INVALID – N/A needs a real justification (15+ chars), PIC and a different verifier"))),IF(OR(TRIM(U590)="Pass",TRIM(U590)="Pass after CA"),IF(NOT(ISNUMBER(AD590)),"INVALID – completion time missing",IF(OR(LEN(AU590)&lt;2,ISNUMBER(MATCH(AU590,L_Placeholder,0))),"INVALID – PIC missing",IF(OR(LEN(AV590)&lt;2,ISNUMBER(MATCH(AV590,L_Placeholder,0))),"INVALID – result / assessment missing",IF(OR(OR(LEN(AW590)&lt;3,ISNUMBER(MATCH(AW590,L_Placeholder,0))),SUMPRODUCT(--ISNUMBER(SEARCH(L_EvidencePhrase,AW590)))&gt;0),"INVALID – evidence missing, placeholder or not yet on file",IF(OR(LEN(AX590)&lt;2,ISNUMBER(MATCH(AX590,L_Placeholder,0))),"INVALID – verifier missing",IF(AX590=AU590,"INVALID – verifier must be someone other than the PIC",IF(AND(TRIM(U590)="Pass",SUMPRODUCT(--ISNUMBER(SEARCH(L_ResultBad,AV590)))&gt;0),"INVALID – result describes a problem: use Fail, then Pass after CA",IF(AND(AQ590=1,OR(LEN(AY590)&lt;3,ISNUMBER(MATCH(AY590,L_Placeholder,0)))),"INVALID – batch ID missing or placeholder",IF(AND(AR590=1,OR(NOT(ISNUMBER(X590)),NOT(ISNUMBER(Y590)))),"INVALID – expected/actual qty missing",IF(AND(AR590=1,OR(X590&lt;=0,Y590&lt;0)),"INVALID – expected qty must be above 0 and actual not negative",IF(BB590&lt;&gt;"",BB590,IF(AND(AS590=1,Documents!$J$22&lt;&gt;"ON FILE"),"INVALID – GLD not on file (Documents sheet)",IF(AND(AS590=2,Documents!$O$22&lt;&gt;"ON FILE"),"INVALID – menu checklist not on file (Documents sheet)",IF(AND(AS590=3,NOT(ISNUMBER(Flights!$AX$22))),"INVALID – enter carrying flight KUL departure (Flights AX)",IF(AND(AS590=3,OR(Flights!$AZ$22&gt;Flights!$AA$22,Flights!$AX$22&lt;Flights!$AA$22-3)),"INVALID – carrying flight (Flights AX) cannot arrive before this leg's STD, or is over 3 days early",IF(AG590&gt;AsOfUTC,"INVALID – completion time is in the future",IF(AND(ISNUMBER(S590),AG590&lt;S590),IF(H590="Physical uplift","INVALID – before uplift window (cannot confirm loading)","INVALID – before valid window"),IF(AG590&gt;Flights!$AA$22,"INVALID – completed after departure (cannot establish readiness)",IF(AND(H590="Preparation",AG590&gt;IF(ISNUMBER(Flights!$BA$22),MIN(Flights!$BA$22,Flights!$AA$22),Flights!$AA$22)),"INVALID – completed after loading / departure (cannot establish readiness)",IF(AND(H590="Physical uplift",AG590&gt;Q590),"INVALID – recorded after the loading flight departed",IF(AG590&gt;Q590,"COMPLETE – LATE","COMPLETE"))))))))))))))))))))),IF(TRIM(U590)="Fail","FAIL – DISCREPANCY",IF(AND(TRIM(U590)&lt;&gt;"",TRIM(U590)&lt;&gt;"Not started",TRIM(U590)&lt;&gt;"In progress"),"INVALID – unrecognised status (use the list)",IF(AsOfUTC&gt;Q590,"OVERDUE",IF(N590="Clarification required","OPEN – CLARIFICATION","OPEN"))))))),"INVALID – error value in an input cell")</f>
        <v>OPEN</v>
      </c>
      <c r="AI590" s="61" t="n">
        <f aca="false">IF(OR(AH590="N/A – RULE",AH590="N/A – JUSTIFIED"),0,1)</f>
        <v>1</v>
      </c>
      <c r="AJ590" s="61" t="n">
        <f aca="false">IF(LEFT(AH590,8)="COMPLETE",1,0)</f>
        <v>0</v>
      </c>
      <c r="AK590" s="61" t="n">
        <f aca="false">IF(AND(AI590=1,AJ590=0,AsOfUTC&gt;Q590),1,0)</f>
        <v>0</v>
      </c>
      <c r="AL590" s="61" t="n">
        <f aca="false">IFERROR(IF(AND(AI590=1,OR(TRIM(U590)="Fail",AND(TRIM(AB590)&lt;&gt;"",TRIM(AB590)&lt;&gt;"Closed"),AND(ISNUMBER(AF590),AF590&lt;&gt;0,TRIM(U590)&lt;&gt;"Pass after CA"))),1,0),1)</f>
        <v>0</v>
      </c>
      <c r="AM590" s="61" t="n">
        <f aca="false">IF(LEFT(AH590,7)="INVALID",1,0)</f>
        <v>0</v>
      </c>
      <c r="AN590" s="61" t="n">
        <f aca="false">IF(AND(N590="Clarification required",AI590=1,AJ590=0),1,0)</f>
        <v>0</v>
      </c>
      <c r="AO590" s="61" t="str">
        <f aca="false">IF(AK590=1,SUM(AK$5:AK590),"")</f>
        <v/>
      </c>
      <c r="AP590" s="61" t="str">
        <f aca="false">IF(AL590=1,SUM(AL$5:AL590),"")</f>
        <v/>
      </c>
      <c r="AQ590" s="61" t="n">
        <v>0</v>
      </c>
      <c r="AR590" s="61" t="n">
        <v>0</v>
      </c>
      <c r="AS590" s="61" t="n">
        <v>0</v>
      </c>
      <c r="AT590" s="61" t="n">
        <v>0</v>
      </c>
      <c r="AU590" s="61" t="str">
        <f aca="false">SUBSTITUTE(SUBSTITUTE(SUBSTITUTE(SUBSTITUTE(SUBSTITUTE(SUBSTITUTE(SUBSTITUTE(SUBSTITUTE(SUBSTITUTE(SUBSTITUTE(SUBSTITUTE(SUBSTITUTE(SUBSTITUTE(LOWER(T590&amp;""),CHAR(160),"")," ",""),".",""),"-",""),"/",""),"?",""),"_",""),",",""),"[",""),"]",""),"(",""),")",""),"*","")</f>
        <v/>
      </c>
      <c r="AV590" s="61" t="str">
        <f aca="false">SUBSTITUTE(SUBSTITUTE(SUBSTITUTE(SUBSTITUTE(SUBSTITUTE(SUBSTITUTE(SUBSTITUTE(SUBSTITUTE(SUBSTITUTE(SUBSTITUTE(SUBSTITUTE(SUBSTITUTE(SUBSTITUTE(LOWER(V590&amp;""),CHAR(160),"")," ",""),".",""),"-",""),"/",""),"?",""),"_",""),",",""),"[",""),"]",""),"(",""),")",""),"*","")</f>
        <v/>
      </c>
      <c r="AW590" s="61" t="str">
        <f aca="false">SUBSTITUTE(SUBSTITUTE(SUBSTITUTE(SUBSTITUTE(SUBSTITUTE(SUBSTITUTE(SUBSTITUTE(SUBSTITUTE(SUBSTITUTE(SUBSTITUTE(SUBSTITUTE(SUBSTITUTE(SUBSTITUTE(LOWER(Z590&amp;""),CHAR(160),"")," ",""),".",""),"-",""),"/",""),"?",""),"_",""),",",""),"[",""),"]",""),"(",""),")",""),"*","")</f>
        <v/>
      </c>
      <c r="AX590" s="61" t="str">
        <f aca="false">SUBSTITUTE(SUBSTITUTE(SUBSTITUTE(SUBSTITUTE(SUBSTITUTE(SUBSTITUTE(SUBSTITUTE(SUBSTITUTE(SUBSTITUTE(SUBSTITUTE(SUBSTITUTE(SUBSTITUTE(SUBSTITUTE(LOWER(AE590&amp;""),CHAR(160),"")," ",""),".",""),"-",""),"/",""),"?",""),"_",""),",",""),"[",""),"]",""),"(",""),")",""),"*","")</f>
        <v/>
      </c>
      <c r="AY590" s="61" t="str">
        <f aca="false">SUBSTITUTE(SUBSTITUTE(SUBSTITUTE(SUBSTITUTE(SUBSTITUTE(SUBSTITUTE(SUBSTITUTE(SUBSTITUTE(SUBSTITUTE(SUBSTITUTE(SUBSTITUTE(SUBSTITUTE(SUBSTITUTE(LOWER(W590&amp;""),CHAR(160),"")," ",""),".",""),"-",""),"/",""),"?",""),"_",""),",",""),"[",""),"]",""),"(",""),")",""),"*","")</f>
        <v/>
      </c>
      <c r="AZ590" s="61" t="str">
        <f aca="false">SUBSTITUTE(SUBSTITUTE(SUBSTITUTE(SUBSTITUTE(SUBSTITUTE(SUBSTITUTE(SUBSTITUTE(SUBSTITUTE(SUBSTITUTE(SUBSTITUTE(SUBSTITUTE(SUBSTITUTE(SUBSTITUTE(LOWER(AC590&amp;""),CHAR(160),"")," ",""),".",""),"-",""),"/",""),"?",""),"_",""),",",""),"[",""),"]",""),"(",""),")",""),"*","")</f>
        <v/>
      </c>
      <c r="BA590" s="61" t="str">
        <f aca="false">SUBSTITUTE(SUBSTITUTE(SUBSTITUTE(SUBSTITUTE(SUBSTITUTE(SUBSTITUTE(SUBSTITUTE(SUBSTITUTE(SUBSTITUTE(SUBSTITUTE(SUBSTITUTE(SUBSTITUTE(SUBSTITUTE(LOWER(AA590&amp;""),CHAR(160),"")," ",""),".",""),"-",""),"/",""),"?",""),"_",""),",",""),"[",""),"]",""),"(",""),")",""),"*","")</f>
        <v/>
      </c>
      <c r="BB590" s="61" t="str">
        <f aca="false">IF(AND(TRIM(U590)="Pass",ISNUMBER(AF590)),IF(AF590&lt;&gt;0,"INVALID – qty variance: use Fail or Pass after CA",""),"")&amp;IF(AND(TRIM(U590)="Pass after CA",ISNUMBER(AF590)),IF(AF590&lt;&gt;0,"INVALID – after the corrective action the actual qty must equal expected (update Actual)",""),"")&amp;IF(AND(TRIM(U590)="Pass",TRIM(AB590)&lt;&gt;"",TRIM(AB590)&lt;&gt;"Closed"),"INVALID – corrective action not closed: use Fail, then Pass after CA","")&amp;IF(AND(TRIM(AA590)&lt;&gt;"",TRIM(AB590)=""),"INVALID – CA status missing for the recorded corrective action","")&amp;IF(AND(TRIM(U590)="Pass after CA",OR(OR(LEN(BA590)&lt;5,ISNUMBER(MATCH(BA590,L_Placeholder,0))),TRIM(AB590)&lt;&gt;"Closed")),"INVALID – corrective action not recorded/closed","")</f>
        <v/>
      </c>
    </row>
    <row r="591" customFormat="false" ht="39.75" hidden="false" customHeight="true" outlineLevel="0" collapsed="false">
      <c r="A591" s="57" t="s">
        <v>1263</v>
      </c>
      <c r="B591" s="57" t="s">
        <v>290</v>
      </c>
      <c r="C591" s="57" t="str">
        <f aca="false">Flights!$F$22</f>
        <v>MH0052</v>
      </c>
      <c r="D591" s="58" t="n">
        <f aca="false">Flights!$D$22</f>
        <v>46322</v>
      </c>
      <c r="E591" s="57" t="str">
        <f aca="false">Flights!$G$22&amp;"-"&amp;Flights!$H$22</f>
        <v>KUL-KIX</v>
      </c>
      <c r="F591" s="57" t="str">
        <f aca="false">Flights!$K$22</f>
        <v>BC</v>
      </c>
      <c r="G591" s="57" t="s">
        <v>398</v>
      </c>
      <c r="H591" s="57" t="s">
        <v>356</v>
      </c>
      <c r="I591" s="57" t="s">
        <v>418</v>
      </c>
      <c r="J591" s="57" t="s">
        <v>581</v>
      </c>
      <c r="K591" s="67" t="s">
        <v>479</v>
      </c>
      <c r="L591" s="67" t="s">
        <v>1264</v>
      </c>
      <c r="M591" s="67" t="s">
        <v>184</v>
      </c>
      <c r="N591" s="67" t="s">
        <v>361</v>
      </c>
      <c r="O591" s="67"/>
      <c r="P591" s="57" t="s">
        <v>184</v>
      </c>
      <c r="Q591" s="59" t="n">
        <f aca="false">ROUND((Flights!$AE$22)*1440,0)/1440</f>
        <v>46322.1006944444</v>
      </c>
      <c r="R591" s="59" t="n">
        <f aca="false">Q591+(IF(AND(INDEX(TZ_DSTS,MATCH(P591,TZ_STN,0))&lt;&gt;"",Q591&gt;=INDEX(TZ_DSTS,MATCH(P591,TZ_STN,0)),Q591&lt;INDEX(TZ_DSTE,MATCH(P591,TZ_STN,0))),INDEX(TZ_DST,MATCH(P591,TZ_STN,0)),INDEX(TZ_STD,MATCH(P591,TZ_STN,0))))/24</f>
        <v>46322.4340277778</v>
      </c>
      <c r="S591" s="59" t="n">
        <f aca="false">Q591-T12EarlyH/24</f>
        <v>46321.6006944444</v>
      </c>
      <c r="T591" s="60"/>
      <c r="U591" s="60"/>
      <c r="V591" s="60"/>
      <c r="W591" s="61"/>
      <c r="X591" s="60"/>
      <c r="Y591" s="60"/>
      <c r="Z591" s="60"/>
      <c r="AA591" s="60"/>
      <c r="AB591" s="60"/>
      <c r="AC591" s="60"/>
      <c r="AD591" s="66"/>
      <c r="AE591" s="60"/>
      <c r="AF591" s="61" t="str">
        <f aca="false">IF(AND(ISNUMBER(X591),ISNUMBER(Y591)),Y591-X591,"")</f>
        <v/>
      </c>
      <c r="AG591" s="62" t="str">
        <f aca="false">IF(ISNUMBER(AD591),AD591-(IF(AND(INDEX(TZ_DSTS,MATCH(P591,TZ_STN,0))&lt;&gt;"",(AD591-INDEX(TZ_STD,MATCH(P591,TZ_STN,0))/24)&gt;=INDEX(TZ_DSTS,MATCH(P591,TZ_STN,0)),(AD591-INDEX(TZ_STD,MATCH(P591,TZ_STN,0))/24)&lt;INDEX(TZ_DSTE,MATCH(P591,TZ_STN,0))),INDEX(TZ_DST,MATCH(P591,TZ_STN,0)),INDEX(TZ_STD,MATCH(P591,TZ_STN,0))))/24,"")</f>
        <v/>
      </c>
      <c r="AH591" s="65" t="str">
        <f aca="false">IFERROR(IF(N591="N/A – rule","N/A – RULE",IF(TRIM(U591)="N/A",IF(AT591=0,"INVALID – N/A not permitted for this check",IF(AND(TRIM(AB591)&lt;&gt;"",TRIM(AB591)&lt;&gt;"Closed"),"INVALID – corrective action still open",IF(AND(NOT(OR(LEN(AZ591)&lt;15,ISNUMBER(MATCH(AZ591,L_Placeholder,0)))),NOT(OR(LEN(AU591)&lt;2,ISNUMBER(MATCH(AU591,L_Placeholder,0)))),NOT(OR(LEN(AX591)&lt;2,ISNUMBER(MATCH(AX591,L_Placeholder,0)))),TRIM(AE591)&lt;&gt;TRIM(T591)),"N/A – JUSTIFIED","INVALID – N/A needs a real justification (15+ chars), PIC and a different verifier"))),IF(OR(TRIM(U591)="Pass",TRIM(U591)="Pass after CA"),IF(NOT(ISNUMBER(AD591)),"INVALID – completion time missing",IF(OR(LEN(AU591)&lt;2,ISNUMBER(MATCH(AU591,L_Placeholder,0))),"INVALID – PIC missing",IF(OR(LEN(AV591)&lt;2,ISNUMBER(MATCH(AV591,L_Placeholder,0))),"INVALID – result / assessment missing",IF(OR(OR(LEN(AW591)&lt;3,ISNUMBER(MATCH(AW591,L_Placeholder,0))),SUMPRODUCT(--ISNUMBER(SEARCH(L_EvidencePhrase,AW591)))&gt;0),"INVALID – evidence missing, placeholder or not yet on file",IF(OR(LEN(AX591)&lt;2,ISNUMBER(MATCH(AX591,L_Placeholder,0))),"INVALID – verifier missing",IF(AX591=AU591,"INVALID – verifier must be someone other than the PIC",IF(AND(TRIM(U591)="Pass",SUMPRODUCT(--ISNUMBER(SEARCH(L_ResultBad,AV591)))&gt;0),"INVALID – result describes a problem: use Fail, then Pass after CA",IF(AND(AQ591=1,OR(LEN(AY591)&lt;3,ISNUMBER(MATCH(AY591,L_Placeholder,0)))),"INVALID – batch ID missing or placeholder",IF(AND(AR591=1,OR(NOT(ISNUMBER(X591)),NOT(ISNUMBER(Y591)))),"INVALID – expected/actual qty missing",IF(AND(AR591=1,OR(X591&lt;=0,Y591&lt;0)),"INVALID – expected qty must be above 0 and actual not negative",IF(BB591&lt;&gt;"",BB591,IF(AND(AS591=1,Documents!$J$22&lt;&gt;"ON FILE"),"INVALID – GLD not on file (Documents sheet)",IF(AND(AS591=2,Documents!$O$22&lt;&gt;"ON FILE"),"INVALID – menu checklist not on file (Documents sheet)",IF(AND(AS591=3,NOT(ISNUMBER(Flights!$AX$22))),"INVALID – enter carrying flight KUL departure (Flights AX)",IF(AND(AS591=3,OR(Flights!$AZ$22&gt;Flights!$AA$22,Flights!$AX$22&lt;Flights!$AA$22-3)),"INVALID – carrying flight (Flights AX) cannot arrive before this leg's STD, or is over 3 days early",IF(AG591&gt;AsOfUTC,"INVALID – completion time is in the future",IF(AND(ISNUMBER(S591),AG591&lt;S591),IF(H591="Physical uplift","INVALID – before uplift window (cannot confirm loading)","INVALID – before valid window"),IF(AG591&gt;Flights!$AA$22,"INVALID – completed after departure (cannot establish readiness)",IF(AND(H591="Preparation",AG591&gt;IF(ISNUMBER(Flights!$BA$22),MIN(Flights!$BA$22,Flights!$AA$22),Flights!$AA$22)),"INVALID – completed after loading / departure (cannot establish readiness)",IF(AND(H591="Physical uplift",AG591&gt;Q591),"INVALID – recorded after the loading flight departed",IF(AG591&gt;Q591,"COMPLETE – LATE","COMPLETE"))))))))))))))))))))),IF(TRIM(U591)="Fail","FAIL – DISCREPANCY",IF(AND(TRIM(U591)&lt;&gt;"",TRIM(U591)&lt;&gt;"Not started",TRIM(U591)&lt;&gt;"In progress"),"INVALID – unrecognised status (use the list)",IF(AsOfUTC&gt;Q591,"OVERDUE",IF(N591="Clarification required","OPEN – CLARIFICATION","OPEN"))))))),"INVALID – error value in an input cell")</f>
        <v>OPEN</v>
      </c>
      <c r="AI591" s="61" t="n">
        <f aca="false">IF(OR(AH591="N/A – RULE",AH591="N/A – JUSTIFIED"),0,1)</f>
        <v>1</v>
      </c>
      <c r="AJ591" s="61" t="n">
        <f aca="false">IF(LEFT(AH591,8)="COMPLETE",1,0)</f>
        <v>0</v>
      </c>
      <c r="AK591" s="61" t="n">
        <f aca="false">IF(AND(AI591=1,AJ591=0,AsOfUTC&gt;Q591),1,0)</f>
        <v>0</v>
      </c>
      <c r="AL591" s="61" t="n">
        <f aca="false">IFERROR(IF(AND(AI591=1,OR(TRIM(U591)="Fail",AND(TRIM(AB591)&lt;&gt;"",TRIM(AB591)&lt;&gt;"Closed"),AND(ISNUMBER(AF591),AF591&lt;&gt;0,TRIM(U591)&lt;&gt;"Pass after CA"))),1,0),1)</f>
        <v>0</v>
      </c>
      <c r="AM591" s="61" t="n">
        <f aca="false">IF(LEFT(AH591,7)="INVALID",1,0)</f>
        <v>0</v>
      </c>
      <c r="AN591" s="61" t="n">
        <f aca="false">IF(AND(N591="Clarification required",AI591=1,AJ591=0),1,0)</f>
        <v>0</v>
      </c>
      <c r="AO591" s="61" t="str">
        <f aca="false">IF(AK591=1,SUM(AK$5:AK591),"")</f>
        <v/>
      </c>
      <c r="AP591" s="61" t="str">
        <f aca="false">IF(AL591=1,SUM(AL$5:AL591),"")</f>
        <v/>
      </c>
      <c r="AQ591" s="61" t="n">
        <v>0</v>
      </c>
      <c r="AR591" s="61" t="n">
        <v>0</v>
      </c>
      <c r="AS591" s="61" t="n">
        <v>0</v>
      </c>
      <c r="AT591" s="61" t="n">
        <v>0</v>
      </c>
      <c r="AU591" s="61" t="str">
        <f aca="false">SUBSTITUTE(SUBSTITUTE(SUBSTITUTE(SUBSTITUTE(SUBSTITUTE(SUBSTITUTE(SUBSTITUTE(SUBSTITUTE(SUBSTITUTE(SUBSTITUTE(SUBSTITUTE(SUBSTITUTE(SUBSTITUTE(LOWER(T591&amp;""),CHAR(160),"")," ",""),".",""),"-",""),"/",""),"?",""),"_",""),",",""),"[",""),"]",""),"(",""),")",""),"*","")</f>
        <v/>
      </c>
      <c r="AV591" s="61" t="str">
        <f aca="false">SUBSTITUTE(SUBSTITUTE(SUBSTITUTE(SUBSTITUTE(SUBSTITUTE(SUBSTITUTE(SUBSTITUTE(SUBSTITUTE(SUBSTITUTE(SUBSTITUTE(SUBSTITUTE(SUBSTITUTE(SUBSTITUTE(LOWER(V591&amp;""),CHAR(160),"")," ",""),".",""),"-",""),"/",""),"?",""),"_",""),",",""),"[",""),"]",""),"(",""),")",""),"*","")</f>
        <v/>
      </c>
      <c r="AW591" s="61" t="str">
        <f aca="false">SUBSTITUTE(SUBSTITUTE(SUBSTITUTE(SUBSTITUTE(SUBSTITUTE(SUBSTITUTE(SUBSTITUTE(SUBSTITUTE(SUBSTITUTE(SUBSTITUTE(SUBSTITUTE(SUBSTITUTE(SUBSTITUTE(LOWER(Z591&amp;""),CHAR(160),"")," ",""),".",""),"-",""),"/",""),"?",""),"_",""),",",""),"[",""),"]",""),"(",""),")",""),"*","")</f>
        <v/>
      </c>
      <c r="AX591" s="61" t="str">
        <f aca="false">SUBSTITUTE(SUBSTITUTE(SUBSTITUTE(SUBSTITUTE(SUBSTITUTE(SUBSTITUTE(SUBSTITUTE(SUBSTITUTE(SUBSTITUTE(SUBSTITUTE(SUBSTITUTE(SUBSTITUTE(SUBSTITUTE(LOWER(AE591&amp;""),CHAR(160),"")," ",""),".",""),"-",""),"/",""),"?",""),"_",""),",",""),"[",""),"]",""),"(",""),")",""),"*","")</f>
        <v/>
      </c>
      <c r="AY591" s="61" t="str">
        <f aca="false">SUBSTITUTE(SUBSTITUTE(SUBSTITUTE(SUBSTITUTE(SUBSTITUTE(SUBSTITUTE(SUBSTITUTE(SUBSTITUTE(SUBSTITUTE(SUBSTITUTE(SUBSTITUTE(SUBSTITUTE(SUBSTITUTE(LOWER(W591&amp;""),CHAR(160),"")," ",""),".",""),"-",""),"/",""),"?",""),"_",""),",",""),"[",""),"]",""),"(",""),")",""),"*","")</f>
        <v/>
      </c>
      <c r="AZ591" s="61" t="str">
        <f aca="false">SUBSTITUTE(SUBSTITUTE(SUBSTITUTE(SUBSTITUTE(SUBSTITUTE(SUBSTITUTE(SUBSTITUTE(SUBSTITUTE(SUBSTITUTE(SUBSTITUTE(SUBSTITUTE(SUBSTITUTE(SUBSTITUTE(LOWER(AC591&amp;""),CHAR(160),"")," ",""),".",""),"-",""),"/",""),"?",""),"_",""),",",""),"[",""),"]",""),"(",""),")",""),"*","")</f>
        <v/>
      </c>
      <c r="BA591" s="61" t="str">
        <f aca="false">SUBSTITUTE(SUBSTITUTE(SUBSTITUTE(SUBSTITUTE(SUBSTITUTE(SUBSTITUTE(SUBSTITUTE(SUBSTITUTE(SUBSTITUTE(SUBSTITUTE(SUBSTITUTE(SUBSTITUTE(SUBSTITUTE(LOWER(AA591&amp;""),CHAR(160),"")," ",""),".",""),"-",""),"/",""),"?",""),"_",""),",",""),"[",""),"]",""),"(",""),")",""),"*","")</f>
        <v/>
      </c>
      <c r="BB591" s="61" t="str">
        <f aca="false">IF(AND(TRIM(U591)="Pass",ISNUMBER(AF591)),IF(AF591&lt;&gt;0,"INVALID – qty variance: use Fail or Pass after CA",""),"")&amp;IF(AND(TRIM(U591)="Pass after CA",ISNUMBER(AF591)),IF(AF591&lt;&gt;0,"INVALID – after the corrective action the actual qty must equal expected (update Actual)",""),"")&amp;IF(AND(TRIM(U591)="Pass",TRIM(AB591)&lt;&gt;"",TRIM(AB591)&lt;&gt;"Closed"),"INVALID – corrective action not closed: use Fail, then Pass after CA","")&amp;IF(AND(TRIM(AA591)&lt;&gt;"",TRIM(AB591)=""),"INVALID – CA status missing for the recorded corrective action","")&amp;IF(AND(TRIM(U591)="Pass after CA",OR(OR(LEN(BA591)&lt;5,ISNUMBER(MATCH(BA591,L_Placeholder,0))),TRIM(AB591)&lt;&gt;"Closed")),"INVALID – corrective action not recorded/closed","")</f>
        <v/>
      </c>
    </row>
    <row r="592" customFormat="false" ht="41.25" hidden="false" customHeight="true" outlineLevel="0" collapsed="false">
      <c r="A592" s="57" t="s">
        <v>1265</v>
      </c>
      <c r="B592" s="57" t="s">
        <v>290</v>
      </c>
      <c r="C592" s="57" t="str">
        <f aca="false">Flights!$F$22</f>
        <v>MH0052</v>
      </c>
      <c r="D592" s="58" t="n">
        <f aca="false">Flights!$D$22</f>
        <v>46322</v>
      </c>
      <c r="E592" s="57" t="str">
        <f aca="false">Flights!$G$22&amp;"-"&amp;Flights!$H$22</f>
        <v>KUL-KIX</v>
      </c>
      <c r="F592" s="57" t="str">
        <f aca="false">Flights!$K$22</f>
        <v>BC</v>
      </c>
      <c r="G592" s="57" t="s">
        <v>398</v>
      </c>
      <c r="H592" s="57" t="s">
        <v>356</v>
      </c>
      <c r="I592" s="57" t="s">
        <v>477</v>
      </c>
      <c r="J592" s="57" t="s">
        <v>478</v>
      </c>
      <c r="K592" s="67" t="s">
        <v>479</v>
      </c>
      <c r="L592" s="67" t="s">
        <v>1266</v>
      </c>
      <c r="M592" s="67" t="s">
        <v>429</v>
      </c>
      <c r="N592" s="67" t="s">
        <v>361</v>
      </c>
      <c r="O592" s="67" t="s">
        <v>481</v>
      </c>
      <c r="P592" s="57" t="s">
        <v>184</v>
      </c>
      <c r="Q592" s="59" t="n">
        <f aca="false">ROUND((Flights!$AE$22)*1440,0)/1440</f>
        <v>46322.1006944444</v>
      </c>
      <c r="R592" s="59" t="n">
        <f aca="false">Q592+(IF(AND(INDEX(TZ_DSTS,MATCH(P592,TZ_STN,0))&lt;&gt;"",Q592&gt;=INDEX(TZ_DSTS,MATCH(P592,TZ_STN,0)),Q592&lt;INDEX(TZ_DSTE,MATCH(P592,TZ_STN,0))),INDEX(TZ_DST,MATCH(P592,TZ_STN,0)),INDEX(TZ_STD,MATCH(P592,TZ_STN,0))))/24</f>
        <v>46322.4340277778</v>
      </c>
      <c r="S592" s="59" t="n">
        <f aca="false">Q592-T12EarlyH/24</f>
        <v>46321.6006944444</v>
      </c>
      <c r="T592" s="60"/>
      <c r="U592" s="60"/>
      <c r="V592" s="60"/>
      <c r="W592" s="61"/>
      <c r="X592" s="60"/>
      <c r="Y592" s="60"/>
      <c r="Z592" s="60"/>
      <c r="AA592" s="60"/>
      <c r="AB592" s="60"/>
      <c r="AC592" s="60"/>
      <c r="AD592" s="66"/>
      <c r="AE592" s="60"/>
      <c r="AF592" s="61" t="str">
        <f aca="false">IF(AND(ISNUMBER(X592),ISNUMBER(Y592)),Y592-X592,"")</f>
        <v/>
      </c>
      <c r="AG592" s="62" t="str">
        <f aca="false">IF(ISNUMBER(AD592),AD592-(IF(AND(INDEX(TZ_DSTS,MATCH(P592,TZ_STN,0))&lt;&gt;"",(AD592-INDEX(TZ_STD,MATCH(P592,TZ_STN,0))/24)&gt;=INDEX(TZ_DSTS,MATCH(P592,TZ_STN,0)),(AD592-INDEX(TZ_STD,MATCH(P592,TZ_STN,0))/24)&lt;INDEX(TZ_DSTE,MATCH(P592,TZ_STN,0))),INDEX(TZ_DST,MATCH(P592,TZ_STN,0)),INDEX(TZ_STD,MATCH(P592,TZ_STN,0))))/24,"")</f>
        <v/>
      </c>
      <c r="AH592" s="65" t="str">
        <f aca="false">IFERROR(IF(N592="N/A – rule","N/A – RULE",IF(TRIM(U592)="N/A",IF(AT592=0,"INVALID – N/A not permitted for this check",IF(AND(TRIM(AB592)&lt;&gt;"",TRIM(AB592)&lt;&gt;"Closed"),"INVALID – corrective action still open",IF(AND(NOT(OR(LEN(AZ592)&lt;15,ISNUMBER(MATCH(AZ592,L_Placeholder,0)))),NOT(OR(LEN(AU592)&lt;2,ISNUMBER(MATCH(AU592,L_Placeholder,0)))),NOT(OR(LEN(AX592)&lt;2,ISNUMBER(MATCH(AX592,L_Placeholder,0)))),TRIM(AE592)&lt;&gt;TRIM(T592)),"N/A – JUSTIFIED","INVALID – N/A needs a real justification (15+ chars), PIC and a different verifier"))),IF(OR(TRIM(U592)="Pass",TRIM(U592)="Pass after CA"),IF(NOT(ISNUMBER(AD592)),"INVALID – completion time missing",IF(OR(LEN(AU592)&lt;2,ISNUMBER(MATCH(AU592,L_Placeholder,0))),"INVALID – PIC missing",IF(OR(LEN(AV592)&lt;2,ISNUMBER(MATCH(AV592,L_Placeholder,0))),"INVALID – result / assessment missing",IF(OR(OR(LEN(AW592)&lt;3,ISNUMBER(MATCH(AW592,L_Placeholder,0))),SUMPRODUCT(--ISNUMBER(SEARCH(L_EvidencePhrase,AW592)))&gt;0),"INVALID – evidence missing, placeholder or not yet on file",IF(OR(LEN(AX592)&lt;2,ISNUMBER(MATCH(AX592,L_Placeholder,0))),"INVALID – verifier missing",IF(AX592=AU592,"INVALID – verifier must be someone other than the PIC",IF(AND(TRIM(U592)="Pass",SUMPRODUCT(--ISNUMBER(SEARCH(L_ResultBad,AV592)))&gt;0),"INVALID – result describes a problem: use Fail, then Pass after CA",IF(AND(AQ592=1,OR(LEN(AY592)&lt;3,ISNUMBER(MATCH(AY592,L_Placeholder,0)))),"INVALID – batch ID missing or placeholder",IF(AND(AR592=1,OR(NOT(ISNUMBER(X592)),NOT(ISNUMBER(Y592)))),"INVALID – expected/actual qty missing",IF(AND(AR592=1,OR(X592&lt;=0,Y592&lt;0)),"INVALID – expected qty must be above 0 and actual not negative",IF(BB592&lt;&gt;"",BB592,IF(AND(AS592=1,Documents!$J$22&lt;&gt;"ON FILE"),"INVALID – GLD not on file (Documents sheet)",IF(AND(AS592=2,Documents!$O$22&lt;&gt;"ON FILE"),"INVALID – menu checklist not on file (Documents sheet)",IF(AND(AS592=3,NOT(ISNUMBER(Flights!$AX$22))),"INVALID – enter carrying flight KUL departure (Flights AX)",IF(AND(AS592=3,OR(Flights!$AZ$22&gt;Flights!$AA$22,Flights!$AX$22&lt;Flights!$AA$22-3)),"INVALID – carrying flight (Flights AX) cannot arrive before this leg's STD, or is over 3 days early",IF(AG592&gt;AsOfUTC,"INVALID – completion time is in the future",IF(AND(ISNUMBER(S592),AG592&lt;S592),IF(H592="Physical uplift","INVALID – before uplift window (cannot confirm loading)","INVALID – before valid window"),IF(AG592&gt;Flights!$AA$22,"INVALID – completed after departure (cannot establish readiness)",IF(AND(H592="Preparation",AG592&gt;IF(ISNUMBER(Flights!$BA$22),MIN(Flights!$BA$22,Flights!$AA$22),Flights!$AA$22)),"INVALID – completed after loading / departure (cannot establish readiness)",IF(AND(H592="Physical uplift",AG592&gt;Q592),"INVALID – recorded after the loading flight departed",IF(AG592&gt;Q592,"COMPLETE – LATE","COMPLETE"))))))))))))))))))))),IF(TRIM(U592)="Fail","FAIL – DISCREPANCY",IF(AND(TRIM(U592)&lt;&gt;"",TRIM(U592)&lt;&gt;"Not started",TRIM(U592)&lt;&gt;"In progress"),"INVALID – unrecognised status (use the list)",IF(AsOfUTC&gt;Q592,"OVERDUE",IF(N592="Clarification required","OPEN – CLARIFICATION","OPEN"))))))),"INVALID – error value in an input cell")</f>
        <v>OPEN</v>
      </c>
      <c r="AI592" s="61" t="n">
        <f aca="false">IF(OR(AH592="N/A – RULE",AH592="N/A – JUSTIFIED"),0,1)</f>
        <v>1</v>
      </c>
      <c r="AJ592" s="61" t="n">
        <f aca="false">IF(LEFT(AH592,8)="COMPLETE",1,0)</f>
        <v>0</v>
      </c>
      <c r="AK592" s="61" t="n">
        <f aca="false">IF(AND(AI592=1,AJ592=0,AsOfUTC&gt;Q592),1,0)</f>
        <v>0</v>
      </c>
      <c r="AL592" s="61" t="n">
        <f aca="false">IFERROR(IF(AND(AI592=1,OR(TRIM(U592)="Fail",AND(TRIM(AB592)&lt;&gt;"",TRIM(AB592)&lt;&gt;"Closed"),AND(ISNUMBER(AF592),AF592&lt;&gt;0,TRIM(U592)&lt;&gt;"Pass after CA"))),1,0),1)</f>
        <v>0</v>
      </c>
      <c r="AM592" s="61" t="n">
        <f aca="false">IF(LEFT(AH592,7)="INVALID",1,0)</f>
        <v>0</v>
      </c>
      <c r="AN592" s="61" t="n">
        <f aca="false">IF(AND(N592="Clarification required",AI592=1,AJ592=0),1,0)</f>
        <v>0</v>
      </c>
      <c r="AO592" s="61" t="str">
        <f aca="false">IF(AK592=1,SUM(AK$5:AK592),"")</f>
        <v/>
      </c>
      <c r="AP592" s="61" t="str">
        <f aca="false">IF(AL592=1,SUM(AL$5:AL592),"")</f>
        <v/>
      </c>
      <c r="AQ592" s="61" t="n">
        <v>0</v>
      </c>
      <c r="AR592" s="61" t="n">
        <v>0</v>
      </c>
      <c r="AS592" s="61" t="n">
        <v>0</v>
      </c>
      <c r="AT592" s="61" t="n">
        <v>0</v>
      </c>
      <c r="AU592" s="61" t="str">
        <f aca="false">SUBSTITUTE(SUBSTITUTE(SUBSTITUTE(SUBSTITUTE(SUBSTITUTE(SUBSTITUTE(SUBSTITUTE(SUBSTITUTE(SUBSTITUTE(SUBSTITUTE(SUBSTITUTE(SUBSTITUTE(SUBSTITUTE(LOWER(T592&amp;""),CHAR(160),"")," ",""),".",""),"-",""),"/",""),"?",""),"_",""),",",""),"[",""),"]",""),"(",""),")",""),"*","")</f>
        <v/>
      </c>
      <c r="AV592" s="61" t="str">
        <f aca="false">SUBSTITUTE(SUBSTITUTE(SUBSTITUTE(SUBSTITUTE(SUBSTITUTE(SUBSTITUTE(SUBSTITUTE(SUBSTITUTE(SUBSTITUTE(SUBSTITUTE(SUBSTITUTE(SUBSTITUTE(SUBSTITUTE(LOWER(V592&amp;""),CHAR(160),"")," ",""),".",""),"-",""),"/",""),"?",""),"_",""),",",""),"[",""),"]",""),"(",""),")",""),"*","")</f>
        <v/>
      </c>
      <c r="AW592" s="61" t="str">
        <f aca="false">SUBSTITUTE(SUBSTITUTE(SUBSTITUTE(SUBSTITUTE(SUBSTITUTE(SUBSTITUTE(SUBSTITUTE(SUBSTITUTE(SUBSTITUTE(SUBSTITUTE(SUBSTITUTE(SUBSTITUTE(SUBSTITUTE(LOWER(Z592&amp;""),CHAR(160),"")," ",""),".",""),"-",""),"/",""),"?",""),"_",""),",",""),"[",""),"]",""),"(",""),")",""),"*","")</f>
        <v/>
      </c>
      <c r="AX592" s="61" t="str">
        <f aca="false">SUBSTITUTE(SUBSTITUTE(SUBSTITUTE(SUBSTITUTE(SUBSTITUTE(SUBSTITUTE(SUBSTITUTE(SUBSTITUTE(SUBSTITUTE(SUBSTITUTE(SUBSTITUTE(SUBSTITUTE(SUBSTITUTE(LOWER(AE592&amp;""),CHAR(160),"")," ",""),".",""),"-",""),"/",""),"?",""),"_",""),",",""),"[",""),"]",""),"(",""),")",""),"*","")</f>
        <v/>
      </c>
      <c r="AY592" s="61" t="str">
        <f aca="false">SUBSTITUTE(SUBSTITUTE(SUBSTITUTE(SUBSTITUTE(SUBSTITUTE(SUBSTITUTE(SUBSTITUTE(SUBSTITUTE(SUBSTITUTE(SUBSTITUTE(SUBSTITUTE(SUBSTITUTE(SUBSTITUTE(LOWER(W592&amp;""),CHAR(160),"")," ",""),".",""),"-",""),"/",""),"?",""),"_",""),",",""),"[",""),"]",""),"(",""),")",""),"*","")</f>
        <v/>
      </c>
      <c r="AZ592" s="61" t="str">
        <f aca="false">SUBSTITUTE(SUBSTITUTE(SUBSTITUTE(SUBSTITUTE(SUBSTITUTE(SUBSTITUTE(SUBSTITUTE(SUBSTITUTE(SUBSTITUTE(SUBSTITUTE(SUBSTITUTE(SUBSTITUTE(SUBSTITUTE(LOWER(AC592&amp;""),CHAR(160),"")," ",""),".",""),"-",""),"/",""),"?",""),"_",""),",",""),"[",""),"]",""),"(",""),")",""),"*","")</f>
        <v/>
      </c>
      <c r="BA592" s="61" t="str">
        <f aca="false">SUBSTITUTE(SUBSTITUTE(SUBSTITUTE(SUBSTITUTE(SUBSTITUTE(SUBSTITUTE(SUBSTITUTE(SUBSTITUTE(SUBSTITUTE(SUBSTITUTE(SUBSTITUTE(SUBSTITUTE(SUBSTITUTE(LOWER(AA592&amp;""),CHAR(160),"")," ",""),".",""),"-",""),"/",""),"?",""),"_",""),",",""),"[",""),"]",""),"(",""),")",""),"*","")</f>
        <v/>
      </c>
      <c r="BB592" s="61" t="str">
        <f aca="false">IF(AND(TRIM(U592)="Pass",ISNUMBER(AF592)),IF(AF592&lt;&gt;0,"INVALID – qty variance: use Fail or Pass after CA",""),"")&amp;IF(AND(TRIM(U592)="Pass after CA",ISNUMBER(AF592)),IF(AF592&lt;&gt;0,"INVALID – after the corrective action the actual qty must equal expected (update Actual)",""),"")&amp;IF(AND(TRIM(U592)="Pass",TRIM(AB592)&lt;&gt;"",TRIM(AB592)&lt;&gt;"Closed"),"INVALID – corrective action not closed: use Fail, then Pass after CA","")&amp;IF(AND(TRIM(AA592)&lt;&gt;"",TRIM(AB592)=""),"INVALID – CA status missing for the recorded corrective action","")&amp;IF(AND(TRIM(U592)="Pass after CA",OR(OR(LEN(BA592)&lt;5,ISNUMBER(MATCH(BA592,L_Placeholder,0))),TRIM(AB592)&lt;&gt;"Closed")),"INVALID – corrective action not recorded/closed","")</f>
        <v/>
      </c>
    </row>
    <row r="593" customFormat="false" ht="41.25" hidden="false" customHeight="true" outlineLevel="0" collapsed="false">
      <c r="A593" s="57" t="s">
        <v>1267</v>
      </c>
      <c r="B593" s="57" t="s">
        <v>290</v>
      </c>
      <c r="C593" s="57" t="str">
        <f aca="false">Flights!$F$22</f>
        <v>MH0052</v>
      </c>
      <c r="D593" s="58" t="n">
        <f aca="false">Flights!$D$22</f>
        <v>46322</v>
      </c>
      <c r="E593" s="57" t="str">
        <f aca="false">Flights!$G$22&amp;"-"&amp;Flights!$H$22</f>
        <v>KUL-KIX</v>
      </c>
      <c r="F593" s="57" t="str">
        <f aca="false">Flights!$K$22</f>
        <v>BC</v>
      </c>
      <c r="G593" s="57" t="s">
        <v>398</v>
      </c>
      <c r="H593" s="57" t="s">
        <v>356</v>
      </c>
      <c r="I593" s="57" t="s">
        <v>477</v>
      </c>
      <c r="J593" s="57" t="s">
        <v>483</v>
      </c>
      <c r="K593" s="67" t="s">
        <v>479</v>
      </c>
      <c r="L593" s="67" t="s">
        <v>1268</v>
      </c>
      <c r="M593" s="67" t="s">
        <v>429</v>
      </c>
      <c r="N593" s="67" t="s">
        <v>361</v>
      </c>
      <c r="O593" s="67" t="s">
        <v>481</v>
      </c>
      <c r="P593" s="57" t="s">
        <v>184</v>
      </c>
      <c r="Q593" s="59" t="n">
        <f aca="false">ROUND((Flights!$AE$22)*1440,0)/1440</f>
        <v>46322.1006944444</v>
      </c>
      <c r="R593" s="59" t="n">
        <f aca="false">Q593+(IF(AND(INDEX(TZ_DSTS,MATCH(P593,TZ_STN,0))&lt;&gt;"",Q593&gt;=INDEX(TZ_DSTS,MATCH(P593,TZ_STN,0)),Q593&lt;INDEX(TZ_DSTE,MATCH(P593,TZ_STN,0))),INDEX(TZ_DST,MATCH(P593,TZ_STN,0)),INDEX(TZ_STD,MATCH(P593,TZ_STN,0))))/24</f>
        <v>46322.4340277778</v>
      </c>
      <c r="S593" s="59" t="n">
        <f aca="false">Q593-T12EarlyH/24</f>
        <v>46321.6006944444</v>
      </c>
      <c r="T593" s="60"/>
      <c r="U593" s="60"/>
      <c r="V593" s="60"/>
      <c r="W593" s="61"/>
      <c r="X593" s="60"/>
      <c r="Y593" s="60"/>
      <c r="Z593" s="60"/>
      <c r="AA593" s="60"/>
      <c r="AB593" s="60"/>
      <c r="AC593" s="60"/>
      <c r="AD593" s="66"/>
      <c r="AE593" s="60"/>
      <c r="AF593" s="61" t="str">
        <f aca="false">IF(AND(ISNUMBER(X593),ISNUMBER(Y593)),Y593-X593,"")</f>
        <v/>
      </c>
      <c r="AG593" s="62" t="str">
        <f aca="false">IF(ISNUMBER(AD593),AD593-(IF(AND(INDEX(TZ_DSTS,MATCH(P593,TZ_STN,0))&lt;&gt;"",(AD593-INDEX(TZ_STD,MATCH(P593,TZ_STN,0))/24)&gt;=INDEX(TZ_DSTS,MATCH(P593,TZ_STN,0)),(AD593-INDEX(TZ_STD,MATCH(P593,TZ_STN,0))/24)&lt;INDEX(TZ_DSTE,MATCH(P593,TZ_STN,0))),INDEX(TZ_DST,MATCH(P593,TZ_STN,0)),INDEX(TZ_STD,MATCH(P593,TZ_STN,0))))/24,"")</f>
        <v/>
      </c>
      <c r="AH593" s="65" t="str">
        <f aca="false">IFERROR(IF(N593="N/A – rule","N/A – RULE",IF(TRIM(U593)="N/A",IF(AT593=0,"INVALID – N/A not permitted for this check",IF(AND(TRIM(AB593)&lt;&gt;"",TRIM(AB593)&lt;&gt;"Closed"),"INVALID – corrective action still open",IF(AND(NOT(OR(LEN(AZ593)&lt;15,ISNUMBER(MATCH(AZ593,L_Placeholder,0)))),NOT(OR(LEN(AU593)&lt;2,ISNUMBER(MATCH(AU593,L_Placeholder,0)))),NOT(OR(LEN(AX593)&lt;2,ISNUMBER(MATCH(AX593,L_Placeholder,0)))),TRIM(AE593)&lt;&gt;TRIM(T593)),"N/A – JUSTIFIED","INVALID – N/A needs a real justification (15+ chars), PIC and a different verifier"))),IF(OR(TRIM(U593)="Pass",TRIM(U593)="Pass after CA"),IF(NOT(ISNUMBER(AD593)),"INVALID – completion time missing",IF(OR(LEN(AU593)&lt;2,ISNUMBER(MATCH(AU593,L_Placeholder,0))),"INVALID – PIC missing",IF(OR(LEN(AV593)&lt;2,ISNUMBER(MATCH(AV593,L_Placeholder,0))),"INVALID – result / assessment missing",IF(OR(OR(LEN(AW593)&lt;3,ISNUMBER(MATCH(AW593,L_Placeholder,0))),SUMPRODUCT(--ISNUMBER(SEARCH(L_EvidencePhrase,AW593)))&gt;0),"INVALID – evidence missing, placeholder or not yet on file",IF(OR(LEN(AX593)&lt;2,ISNUMBER(MATCH(AX593,L_Placeholder,0))),"INVALID – verifier missing",IF(AX593=AU593,"INVALID – verifier must be someone other than the PIC",IF(AND(TRIM(U593)="Pass",SUMPRODUCT(--ISNUMBER(SEARCH(L_ResultBad,AV593)))&gt;0),"INVALID – result describes a problem: use Fail, then Pass after CA",IF(AND(AQ593=1,OR(LEN(AY593)&lt;3,ISNUMBER(MATCH(AY593,L_Placeholder,0)))),"INVALID – batch ID missing or placeholder",IF(AND(AR593=1,OR(NOT(ISNUMBER(X593)),NOT(ISNUMBER(Y593)))),"INVALID – expected/actual qty missing",IF(AND(AR593=1,OR(X593&lt;=0,Y593&lt;0)),"INVALID – expected qty must be above 0 and actual not negative",IF(BB593&lt;&gt;"",BB593,IF(AND(AS593=1,Documents!$J$22&lt;&gt;"ON FILE"),"INVALID – GLD not on file (Documents sheet)",IF(AND(AS593=2,Documents!$O$22&lt;&gt;"ON FILE"),"INVALID – menu checklist not on file (Documents sheet)",IF(AND(AS593=3,NOT(ISNUMBER(Flights!$AX$22))),"INVALID – enter carrying flight KUL departure (Flights AX)",IF(AND(AS593=3,OR(Flights!$AZ$22&gt;Flights!$AA$22,Flights!$AX$22&lt;Flights!$AA$22-3)),"INVALID – carrying flight (Flights AX) cannot arrive before this leg's STD, or is over 3 days early",IF(AG593&gt;AsOfUTC,"INVALID – completion time is in the future",IF(AND(ISNUMBER(S593),AG593&lt;S593),IF(H593="Physical uplift","INVALID – before uplift window (cannot confirm loading)","INVALID – before valid window"),IF(AG593&gt;Flights!$AA$22,"INVALID – completed after departure (cannot establish readiness)",IF(AND(H593="Preparation",AG593&gt;IF(ISNUMBER(Flights!$BA$22),MIN(Flights!$BA$22,Flights!$AA$22),Flights!$AA$22)),"INVALID – completed after loading / departure (cannot establish readiness)",IF(AND(H593="Physical uplift",AG593&gt;Q593),"INVALID – recorded after the loading flight departed",IF(AG593&gt;Q593,"COMPLETE – LATE","COMPLETE"))))))))))))))))))))),IF(TRIM(U593)="Fail","FAIL – DISCREPANCY",IF(AND(TRIM(U593)&lt;&gt;"",TRIM(U593)&lt;&gt;"Not started",TRIM(U593)&lt;&gt;"In progress"),"INVALID – unrecognised status (use the list)",IF(AsOfUTC&gt;Q593,"OVERDUE",IF(N593="Clarification required","OPEN – CLARIFICATION","OPEN"))))))),"INVALID – error value in an input cell")</f>
        <v>OPEN</v>
      </c>
      <c r="AI593" s="61" t="n">
        <f aca="false">IF(OR(AH593="N/A – RULE",AH593="N/A – JUSTIFIED"),0,1)</f>
        <v>1</v>
      </c>
      <c r="AJ593" s="61" t="n">
        <f aca="false">IF(LEFT(AH593,8)="COMPLETE",1,0)</f>
        <v>0</v>
      </c>
      <c r="AK593" s="61" t="n">
        <f aca="false">IF(AND(AI593=1,AJ593=0,AsOfUTC&gt;Q593),1,0)</f>
        <v>0</v>
      </c>
      <c r="AL593" s="61" t="n">
        <f aca="false">IFERROR(IF(AND(AI593=1,OR(TRIM(U593)="Fail",AND(TRIM(AB593)&lt;&gt;"",TRIM(AB593)&lt;&gt;"Closed"),AND(ISNUMBER(AF593),AF593&lt;&gt;0,TRIM(U593)&lt;&gt;"Pass after CA"))),1,0),1)</f>
        <v>0</v>
      </c>
      <c r="AM593" s="61" t="n">
        <f aca="false">IF(LEFT(AH593,7)="INVALID",1,0)</f>
        <v>0</v>
      </c>
      <c r="AN593" s="61" t="n">
        <f aca="false">IF(AND(N593="Clarification required",AI593=1,AJ593=0),1,0)</f>
        <v>0</v>
      </c>
      <c r="AO593" s="61" t="str">
        <f aca="false">IF(AK593=1,SUM(AK$5:AK593),"")</f>
        <v/>
      </c>
      <c r="AP593" s="61" t="str">
        <f aca="false">IF(AL593=1,SUM(AL$5:AL593),"")</f>
        <v/>
      </c>
      <c r="AQ593" s="61" t="n">
        <v>0</v>
      </c>
      <c r="AR593" s="61" t="n">
        <v>0</v>
      </c>
      <c r="AS593" s="61" t="n">
        <v>0</v>
      </c>
      <c r="AT593" s="61" t="n">
        <v>0</v>
      </c>
      <c r="AU593" s="61" t="str">
        <f aca="false">SUBSTITUTE(SUBSTITUTE(SUBSTITUTE(SUBSTITUTE(SUBSTITUTE(SUBSTITUTE(SUBSTITUTE(SUBSTITUTE(SUBSTITUTE(SUBSTITUTE(SUBSTITUTE(SUBSTITUTE(SUBSTITUTE(LOWER(T593&amp;""),CHAR(160),"")," ",""),".",""),"-",""),"/",""),"?",""),"_",""),",",""),"[",""),"]",""),"(",""),")",""),"*","")</f>
        <v/>
      </c>
      <c r="AV593" s="61" t="str">
        <f aca="false">SUBSTITUTE(SUBSTITUTE(SUBSTITUTE(SUBSTITUTE(SUBSTITUTE(SUBSTITUTE(SUBSTITUTE(SUBSTITUTE(SUBSTITUTE(SUBSTITUTE(SUBSTITUTE(SUBSTITUTE(SUBSTITUTE(LOWER(V593&amp;""),CHAR(160),"")," ",""),".",""),"-",""),"/",""),"?",""),"_",""),",",""),"[",""),"]",""),"(",""),")",""),"*","")</f>
        <v/>
      </c>
      <c r="AW593" s="61" t="str">
        <f aca="false">SUBSTITUTE(SUBSTITUTE(SUBSTITUTE(SUBSTITUTE(SUBSTITUTE(SUBSTITUTE(SUBSTITUTE(SUBSTITUTE(SUBSTITUTE(SUBSTITUTE(SUBSTITUTE(SUBSTITUTE(SUBSTITUTE(LOWER(Z593&amp;""),CHAR(160),"")," ",""),".",""),"-",""),"/",""),"?",""),"_",""),",",""),"[",""),"]",""),"(",""),")",""),"*","")</f>
        <v/>
      </c>
      <c r="AX593" s="61" t="str">
        <f aca="false">SUBSTITUTE(SUBSTITUTE(SUBSTITUTE(SUBSTITUTE(SUBSTITUTE(SUBSTITUTE(SUBSTITUTE(SUBSTITUTE(SUBSTITUTE(SUBSTITUTE(SUBSTITUTE(SUBSTITUTE(SUBSTITUTE(LOWER(AE593&amp;""),CHAR(160),"")," ",""),".",""),"-",""),"/",""),"?",""),"_",""),",",""),"[",""),"]",""),"(",""),")",""),"*","")</f>
        <v/>
      </c>
      <c r="AY593" s="61" t="str">
        <f aca="false">SUBSTITUTE(SUBSTITUTE(SUBSTITUTE(SUBSTITUTE(SUBSTITUTE(SUBSTITUTE(SUBSTITUTE(SUBSTITUTE(SUBSTITUTE(SUBSTITUTE(SUBSTITUTE(SUBSTITUTE(SUBSTITUTE(LOWER(W593&amp;""),CHAR(160),"")," ",""),".",""),"-",""),"/",""),"?",""),"_",""),",",""),"[",""),"]",""),"(",""),")",""),"*","")</f>
        <v/>
      </c>
      <c r="AZ593" s="61" t="str">
        <f aca="false">SUBSTITUTE(SUBSTITUTE(SUBSTITUTE(SUBSTITUTE(SUBSTITUTE(SUBSTITUTE(SUBSTITUTE(SUBSTITUTE(SUBSTITUTE(SUBSTITUTE(SUBSTITUTE(SUBSTITUTE(SUBSTITUTE(LOWER(AC593&amp;""),CHAR(160),"")," ",""),".",""),"-",""),"/",""),"?",""),"_",""),",",""),"[",""),"]",""),"(",""),")",""),"*","")</f>
        <v/>
      </c>
      <c r="BA593" s="61" t="str">
        <f aca="false">SUBSTITUTE(SUBSTITUTE(SUBSTITUTE(SUBSTITUTE(SUBSTITUTE(SUBSTITUTE(SUBSTITUTE(SUBSTITUTE(SUBSTITUTE(SUBSTITUTE(SUBSTITUTE(SUBSTITUTE(SUBSTITUTE(LOWER(AA593&amp;""),CHAR(160),"")," ",""),".",""),"-",""),"/",""),"?",""),"_",""),",",""),"[",""),"]",""),"(",""),")",""),"*","")</f>
        <v/>
      </c>
      <c r="BB593" s="61" t="str">
        <f aca="false">IF(AND(TRIM(U593)="Pass",ISNUMBER(AF593)),IF(AF593&lt;&gt;0,"INVALID – qty variance: use Fail or Pass after CA",""),"")&amp;IF(AND(TRIM(U593)="Pass after CA",ISNUMBER(AF593)),IF(AF593&lt;&gt;0,"INVALID – after the corrective action the actual qty must equal expected (update Actual)",""),"")&amp;IF(AND(TRIM(U593)="Pass",TRIM(AB593)&lt;&gt;"",TRIM(AB593)&lt;&gt;"Closed"),"INVALID – corrective action not closed: use Fail, then Pass after CA","")&amp;IF(AND(TRIM(AA593)&lt;&gt;"",TRIM(AB593)=""),"INVALID – CA status missing for the recorded corrective action","")&amp;IF(AND(TRIM(U593)="Pass after CA",OR(OR(LEN(BA593)&lt;5,ISNUMBER(MATCH(BA593,L_Placeholder,0))),TRIM(AB593)&lt;&gt;"Closed")),"INVALID – corrective action not recorded/closed","")</f>
        <v/>
      </c>
    </row>
    <row r="594" customFormat="false" ht="41.25" hidden="false" customHeight="true" outlineLevel="0" collapsed="false">
      <c r="A594" s="57" t="s">
        <v>1269</v>
      </c>
      <c r="B594" s="57" t="s">
        <v>290</v>
      </c>
      <c r="C594" s="57" t="str">
        <f aca="false">Flights!$F$22</f>
        <v>MH0052</v>
      </c>
      <c r="D594" s="58" t="n">
        <f aca="false">Flights!$D$22</f>
        <v>46322</v>
      </c>
      <c r="E594" s="57" t="str">
        <f aca="false">Flights!$G$22&amp;"-"&amp;Flights!$H$22</f>
        <v>KUL-KIX</v>
      </c>
      <c r="F594" s="57" t="str">
        <f aca="false">Flights!$K$22</f>
        <v>BC</v>
      </c>
      <c r="G594" s="57" t="s">
        <v>398</v>
      </c>
      <c r="H594" s="57" t="s">
        <v>356</v>
      </c>
      <c r="I594" s="57" t="s">
        <v>477</v>
      </c>
      <c r="J594" s="57" t="s">
        <v>486</v>
      </c>
      <c r="K594" s="67" t="s">
        <v>479</v>
      </c>
      <c r="L594" s="67" t="s">
        <v>1270</v>
      </c>
      <c r="M594" s="67" t="s">
        <v>429</v>
      </c>
      <c r="N594" s="67" t="s">
        <v>361</v>
      </c>
      <c r="O594" s="67" t="s">
        <v>481</v>
      </c>
      <c r="P594" s="57" t="s">
        <v>184</v>
      </c>
      <c r="Q594" s="59" t="n">
        <f aca="false">ROUND((Flights!$AE$22)*1440,0)/1440</f>
        <v>46322.1006944444</v>
      </c>
      <c r="R594" s="59" t="n">
        <f aca="false">Q594+(IF(AND(INDEX(TZ_DSTS,MATCH(P594,TZ_STN,0))&lt;&gt;"",Q594&gt;=INDEX(TZ_DSTS,MATCH(P594,TZ_STN,0)),Q594&lt;INDEX(TZ_DSTE,MATCH(P594,TZ_STN,0))),INDEX(TZ_DST,MATCH(P594,TZ_STN,0)),INDEX(TZ_STD,MATCH(P594,TZ_STN,0))))/24</f>
        <v>46322.4340277778</v>
      </c>
      <c r="S594" s="59" t="n">
        <f aca="false">Q594-T12EarlyH/24</f>
        <v>46321.6006944444</v>
      </c>
      <c r="T594" s="60"/>
      <c r="U594" s="60"/>
      <c r="V594" s="60"/>
      <c r="W594" s="61"/>
      <c r="X594" s="60"/>
      <c r="Y594" s="60"/>
      <c r="Z594" s="60"/>
      <c r="AA594" s="60"/>
      <c r="AB594" s="60"/>
      <c r="AC594" s="60"/>
      <c r="AD594" s="66"/>
      <c r="AE594" s="60"/>
      <c r="AF594" s="61" t="str">
        <f aca="false">IF(AND(ISNUMBER(X594),ISNUMBER(Y594)),Y594-X594,"")</f>
        <v/>
      </c>
      <c r="AG594" s="62" t="str">
        <f aca="false">IF(ISNUMBER(AD594),AD594-(IF(AND(INDEX(TZ_DSTS,MATCH(P594,TZ_STN,0))&lt;&gt;"",(AD594-INDEX(TZ_STD,MATCH(P594,TZ_STN,0))/24)&gt;=INDEX(TZ_DSTS,MATCH(P594,TZ_STN,0)),(AD594-INDEX(TZ_STD,MATCH(P594,TZ_STN,0))/24)&lt;INDEX(TZ_DSTE,MATCH(P594,TZ_STN,0))),INDEX(TZ_DST,MATCH(P594,TZ_STN,0)),INDEX(TZ_STD,MATCH(P594,TZ_STN,0))))/24,"")</f>
        <v/>
      </c>
      <c r="AH594" s="65" t="str">
        <f aca="false">IFERROR(IF(N594="N/A – rule","N/A – RULE",IF(TRIM(U594)="N/A",IF(AT594=0,"INVALID – N/A not permitted for this check",IF(AND(TRIM(AB594)&lt;&gt;"",TRIM(AB594)&lt;&gt;"Closed"),"INVALID – corrective action still open",IF(AND(NOT(OR(LEN(AZ594)&lt;15,ISNUMBER(MATCH(AZ594,L_Placeholder,0)))),NOT(OR(LEN(AU594)&lt;2,ISNUMBER(MATCH(AU594,L_Placeholder,0)))),NOT(OR(LEN(AX594)&lt;2,ISNUMBER(MATCH(AX594,L_Placeholder,0)))),TRIM(AE594)&lt;&gt;TRIM(T594)),"N/A – JUSTIFIED","INVALID – N/A needs a real justification (15+ chars), PIC and a different verifier"))),IF(OR(TRIM(U594)="Pass",TRIM(U594)="Pass after CA"),IF(NOT(ISNUMBER(AD594)),"INVALID – completion time missing",IF(OR(LEN(AU594)&lt;2,ISNUMBER(MATCH(AU594,L_Placeholder,0))),"INVALID – PIC missing",IF(OR(LEN(AV594)&lt;2,ISNUMBER(MATCH(AV594,L_Placeholder,0))),"INVALID – result / assessment missing",IF(OR(OR(LEN(AW594)&lt;3,ISNUMBER(MATCH(AW594,L_Placeholder,0))),SUMPRODUCT(--ISNUMBER(SEARCH(L_EvidencePhrase,AW594)))&gt;0),"INVALID – evidence missing, placeholder or not yet on file",IF(OR(LEN(AX594)&lt;2,ISNUMBER(MATCH(AX594,L_Placeholder,0))),"INVALID – verifier missing",IF(AX594=AU594,"INVALID – verifier must be someone other than the PIC",IF(AND(TRIM(U594)="Pass",SUMPRODUCT(--ISNUMBER(SEARCH(L_ResultBad,AV594)))&gt;0),"INVALID – result describes a problem: use Fail, then Pass after CA",IF(AND(AQ594=1,OR(LEN(AY594)&lt;3,ISNUMBER(MATCH(AY594,L_Placeholder,0)))),"INVALID – batch ID missing or placeholder",IF(AND(AR594=1,OR(NOT(ISNUMBER(X594)),NOT(ISNUMBER(Y594)))),"INVALID – expected/actual qty missing",IF(AND(AR594=1,OR(X594&lt;=0,Y594&lt;0)),"INVALID – expected qty must be above 0 and actual not negative",IF(BB594&lt;&gt;"",BB594,IF(AND(AS594=1,Documents!$J$22&lt;&gt;"ON FILE"),"INVALID – GLD not on file (Documents sheet)",IF(AND(AS594=2,Documents!$O$22&lt;&gt;"ON FILE"),"INVALID – menu checklist not on file (Documents sheet)",IF(AND(AS594=3,NOT(ISNUMBER(Flights!$AX$22))),"INVALID – enter carrying flight KUL departure (Flights AX)",IF(AND(AS594=3,OR(Flights!$AZ$22&gt;Flights!$AA$22,Flights!$AX$22&lt;Flights!$AA$22-3)),"INVALID – carrying flight (Flights AX) cannot arrive before this leg's STD, or is over 3 days early",IF(AG594&gt;AsOfUTC,"INVALID – completion time is in the future",IF(AND(ISNUMBER(S594),AG594&lt;S594),IF(H594="Physical uplift","INVALID – before uplift window (cannot confirm loading)","INVALID – before valid window"),IF(AG594&gt;Flights!$AA$22,"INVALID – completed after departure (cannot establish readiness)",IF(AND(H594="Preparation",AG594&gt;IF(ISNUMBER(Flights!$BA$22),MIN(Flights!$BA$22,Flights!$AA$22),Flights!$AA$22)),"INVALID – completed after loading / departure (cannot establish readiness)",IF(AND(H594="Physical uplift",AG594&gt;Q594),"INVALID – recorded after the loading flight departed",IF(AG594&gt;Q594,"COMPLETE – LATE","COMPLETE"))))))))))))))))))))),IF(TRIM(U594)="Fail","FAIL – DISCREPANCY",IF(AND(TRIM(U594)&lt;&gt;"",TRIM(U594)&lt;&gt;"Not started",TRIM(U594)&lt;&gt;"In progress"),"INVALID – unrecognised status (use the list)",IF(AsOfUTC&gt;Q594,"OVERDUE",IF(N594="Clarification required","OPEN – CLARIFICATION","OPEN"))))))),"INVALID – error value in an input cell")</f>
        <v>OPEN</v>
      </c>
      <c r="AI594" s="61" t="n">
        <f aca="false">IF(OR(AH594="N/A – RULE",AH594="N/A – JUSTIFIED"),0,1)</f>
        <v>1</v>
      </c>
      <c r="AJ594" s="61" t="n">
        <f aca="false">IF(LEFT(AH594,8)="COMPLETE",1,0)</f>
        <v>0</v>
      </c>
      <c r="AK594" s="61" t="n">
        <f aca="false">IF(AND(AI594=1,AJ594=0,AsOfUTC&gt;Q594),1,0)</f>
        <v>0</v>
      </c>
      <c r="AL594" s="61" t="n">
        <f aca="false">IFERROR(IF(AND(AI594=1,OR(TRIM(U594)="Fail",AND(TRIM(AB594)&lt;&gt;"",TRIM(AB594)&lt;&gt;"Closed"),AND(ISNUMBER(AF594),AF594&lt;&gt;0,TRIM(U594)&lt;&gt;"Pass after CA"))),1,0),1)</f>
        <v>0</v>
      </c>
      <c r="AM594" s="61" t="n">
        <f aca="false">IF(LEFT(AH594,7)="INVALID",1,0)</f>
        <v>0</v>
      </c>
      <c r="AN594" s="61" t="n">
        <f aca="false">IF(AND(N594="Clarification required",AI594=1,AJ594=0),1,0)</f>
        <v>0</v>
      </c>
      <c r="AO594" s="61" t="str">
        <f aca="false">IF(AK594=1,SUM(AK$5:AK594),"")</f>
        <v/>
      </c>
      <c r="AP594" s="61" t="str">
        <f aca="false">IF(AL594=1,SUM(AL$5:AL594),"")</f>
        <v/>
      </c>
      <c r="AQ594" s="61" t="n">
        <v>0</v>
      </c>
      <c r="AR594" s="61" t="n">
        <v>0</v>
      </c>
      <c r="AS594" s="61" t="n">
        <v>0</v>
      </c>
      <c r="AT594" s="61" t="n">
        <v>0</v>
      </c>
      <c r="AU594" s="61" t="str">
        <f aca="false">SUBSTITUTE(SUBSTITUTE(SUBSTITUTE(SUBSTITUTE(SUBSTITUTE(SUBSTITUTE(SUBSTITUTE(SUBSTITUTE(SUBSTITUTE(SUBSTITUTE(SUBSTITUTE(SUBSTITUTE(SUBSTITUTE(LOWER(T594&amp;""),CHAR(160),"")," ",""),".",""),"-",""),"/",""),"?",""),"_",""),",",""),"[",""),"]",""),"(",""),")",""),"*","")</f>
        <v/>
      </c>
      <c r="AV594" s="61" t="str">
        <f aca="false">SUBSTITUTE(SUBSTITUTE(SUBSTITUTE(SUBSTITUTE(SUBSTITUTE(SUBSTITUTE(SUBSTITUTE(SUBSTITUTE(SUBSTITUTE(SUBSTITUTE(SUBSTITUTE(SUBSTITUTE(SUBSTITUTE(LOWER(V594&amp;""),CHAR(160),"")," ",""),".",""),"-",""),"/",""),"?",""),"_",""),",",""),"[",""),"]",""),"(",""),")",""),"*","")</f>
        <v/>
      </c>
      <c r="AW594" s="61" t="str">
        <f aca="false">SUBSTITUTE(SUBSTITUTE(SUBSTITUTE(SUBSTITUTE(SUBSTITUTE(SUBSTITUTE(SUBSTITUTE(SUBSTITUTE(SUBSTITUTE(SUBSTITUTE(SUBSTITUTE(SUBSTITUTE(SUBSTITUTE(LOWER(Z594&amp;""),CHAR(160),"")," ",""),".",""),"-",""),"/",""),"?",""),"_",""),",",""),"[",""),"]",""),"(",""),")",""),"*","")</f>
        <v/>
      </c>
      <c r="AX594" s="61" t="str">
        <f aca="false">SUBSTITUTE(SUBSTITUTE(SUBSTITUTE(SUBSTITUTE(SUBSTITUTE(SUBSTITUTE(SUBSTITUTE(SUBSTITUTE(SUBSTITUTE(SUBSTITUTE(SUBSTITUTE(SUBSTITUTE(SUBSTITUTE(LOWER(AE594&amp;""),CHAR(160),"")," ",""),".",""),"-",""),"/",""),"?",""),"_",""),",",""),"[",""),"]",""),"(",""),")",""),"*","")</f>
        <v/>
      </c>
      <c r="AY594" s="61" t="str">
        <f aca="false">SUBSTITUTE(SUBSTITUTE(SUBSTITUTE(SUBSTITUTE(SUBSTITUTE(SUBSTITUTE(SUBSTITUTE(SUBSTITUTE(SUBSTITUTE(SUBSTITUTE(SUBSTITUTE(SUBSTITUTE(SUBSTITUTE(LOWER(W594&amp;""),CHAR(160),"")," ",""),".",""),"-",""),"/",""),"?",""),"_",""),",",""),"[",""),"]",""),"(",""),")",""),"*","")</f>
        <v/>
      </c>
      <c r="AZ594" s="61" t="str">
        <f aca="false">SUBSTITUTE(SUBSTITUTE(SUBSTITUTE(SUBSTITUTE(SUBSTITUTE(SUBSTITUTE(SUBSTITUTE(SUBSTITUTE(SUBSTITUTE(SUBSTITUTE(SUBSTITUTE(SUBSTITUTE(SUBSTITUTE(LOWER(AC594&amp;""),CHAR(160),"")," ",""),".",""),"-",""),"/",""),"?",""),"_",""),",",""),"[",""),"]",""),"(",""),")",""),"*","")</f>
        <v/>
      </c>
      <c r="BA594" s="61" t="str">
        <f aca="false">SUBSTITUTE(SUBSTITUTE(SUBSTITUTE(SUBSTITUTE(SUBSTITUTE(SUBSTITUTE(SUBSTITUTE(SUBSTITUTE(SUBSTITUTE(SUBSTITUTE(SUBSTITUTE(SUBSTITUTE(SUBSTITUTE(LOWER(AA594&amp;""),CHAR(160),"")," ",""),".",""),"-",""),"/",""),"?",""),"_",""),",",""),"[",""),"]",""),"(",""),")",""),"*","")</f>
        <v/>
      </c>
      <c r="BB594" s="61" t="str">
        <f aca="false">IF(AND(TRIM(U594)="Pass",ISNUMBER(AF594)),IF(AF594&lt;&gt;0,"INVALID – qty variance: use Fail or Pass after CA",""),"")&amp;IF(AND(TRIM(U594)="Pass after CA",ISNUMBER(AF594)),IF(AF594&lt;&gt;0,"INVALID – after the corrective action the actual qty must equal expected (update Actual)",""),"")&amp;IF(AND(TRIM(U594)="Pass",TRIM(AB594)&lt;&gt;"",TRIM(AB594)&lt;&gt;"Closed"),"INVALID – corrective action not closed: use Fail, then Pass after CA","")&amp;IF(AND(TRIM(AA594)&lt;&gt;"",TRIM(AB594)=""),"INVALID – CA status missing for the recorded corrective action","")&amp;IF(AND(TRIM(U594)="Pass after CA",OR(OR(LEN(BA594)&lt;5,ISNUMBER(MATCH(BA594,L_Placeholder,0))),TRIM(AB594)&lt;&gt;"Closed")),"INVALID – corrective action not recorded/closed","")</f>
        <v/>
      </c>
    </row>
    <row r="595" customFormat="false" ht="41.25" hidden="false" customHeight="true" outlineLevel="0" collapsed="false">
      <c r="A595" s="57" t="s">
        <v>1271</v>
      </c>
      <c r="B595" s="57" t="s">
        <v>290</v>
      </c>
      <c r="C595" s="57" t="str">
        <f aca="false">Flights!$F$22</f>
        <v>MH0052</v>
      </c>
      <c r="D595" s="58" t="n">
        <f aca="false">Flights!$D$22</f>
        <v>46322</v>
      </c>
      <c r="E595" s="57" t="str">
        <f aca="false">Flights!$G$22&amp;"-"&amp;Flights!$H$22</f>
        <v>KUL-KIX</v>
      </c>
      <c r="F595" s="57" t="str">
        <f aca="false">Flights!$K$22</f>
        <v>BC</v>
      </c>
      <c r="G595" s="57" t="s">
        <v>398</v>
      </c>
      <c r="H595" s="57" t="s">
        <v>356</v>
      </c>
      <c r="I595" s="57" t="s">
        <v>477</v>
      </c>
      <c r="J595" s="57" t="s">
        <v>489</v>
      </c>
      <c r="K595" s="67" t="s">
        <v>479</v>
      </c>
      <c r="L595" s="67" t="s">
        <v>1272</v>
      </c>
      <c r="M595" s="67" t="s">
        <v>429</v>
      </c>
      <c r="N595" s="67" t="s">
        <v>361</v>
      </c>
      <c r="O595" s="67" t="s">
        <v>481</v>
      </c>
      <c r="P595" s="57" t="s">
        <v>184</v>
      </c>
      <c r="Q595" s="59" t="n">
        <f aca="false">ROUND((Flights!$AE$22)*1440,0)/1440</f>
        <v>46322.1006944444</v>
      </c>
      <c r="R595" s="59" t="n">
        <f aca="false">Q595+(IF(AND(INDEX(TZ_DSTS,MATCH(P595,TZ_STN,0))&lt;&gt;"",Q595&gt;=INDEX(TZ_DSTS,MATCH(P595,TZ_STN,0)),Q595&lt;INDEX(TZ_DSTE,MATCH(P595,TZ_STN,0))),INDEX(TZ_DST,MATCH(P595,TZ_STN,0)),INDEX(TZ_STD,MATCH(P595,TZ_STN,0))))/24</f>
        <v>46322.4340277778</v>
      </c>
      <c r="S595" s="59" t="n">
        <f aca="false">Q595-T12EarlyH/24</f>
        <v>46321.6006944444</v>
      </c>
      <c r="T595" s="60"/>
      <c r="U595" s="60"/>
      <c r="V595" s="60"/>
      <c r="W595" s="61"/>
      <c r="X595" s="60"/>
      <c r="Y595" s="60"/>
      <c r="Z595" s="60"/>
      <c r="AA595" s="60"/>
      <c r="AB595" s="60"/>
      <c r="AC595" s="60"/>
      <c r="AD595" s="66"/>
      <c r="AE595" s="60"/>
      <c r="AF595" s="61" t="str">
        <f aca="false">IF(AND(ISNUMBER(X595),ISNUMBER(Y595)),Y595-X595,"")</f>
        <v/>
      </c>
      <c r="AG595" s="62" t="str">
        <f aca="false">IF(ISNUMBER(AD595),AD595-(IF(AND(INDEX(TZ_DSTS,MATCH(P595,TZ_STN,0))&lt;&gt;"",(AD595-INDEX(TZ_STD,MATCH(P595,TZ_STN,0))/24)&gt;=INDEX(TZ_DSTS,MATCH(P595,TZ_STN,0)),(AD595-INDEX(TZ_STD,MATCH(P595,TZ_STN,0))/24)&lt;INDEX(TZ_DSTE,MATCH(P595,TZ_STN,0))),INDEX(TZ_DST,MATCH(P595,TZ_STN,0)),INDEX(TZ_STD,MATCH(P595,TZ_STN,0))))/24,"")</f>
        <v/>
      </c>
      <c r="AH595" s="65" t="str">
        <f aca="false">IFERROR(IF(N595="N/A – rule","N/A – RULE",IF(TRIM(U595)="N/A",IF(AT595=0,"INVALID – N/A not permitted for this check",IF(AND(TRIM(AB595)&lt;&gt;"",TRIM(AB595)&lt;&gt;"Closed"),"INVALID – corrective action still open",IF(AND(NOT(OR(LEN(AZ595)&lt;15,ISNUMBER(MATCH(AZ595,L_Placeholder,0)))),NOT(OR(LEN(AU595)&lt;2,ISNUMBER(MATCH(AU595,L_Placeholder,0)))),NOT(OR(LEN(AX595)&lt;2,ISNUMBER(MATCH(AX595,L_Placeholder,0)))),TRIM(AE595)&lt;&gt;TRIM(T595)),"N/A – JUSTIFIED","INVALID – N/A needs a real justification (15+ chars), PIC and a different verifier"))),IF(OR(TRIM(U595)="Pass",TRIM(U595)="Pass after CA"),IF(NOT(ISNUMBER(AD595)),"INVALID – completion time missing",IF(OR(LEN(AU595)&lt;2,ISNUMBER(MATCH(AU595,L_Placeholder,0))),"INVALID – PIC missing",IF(OR(LEN(AV595)&lt;2,ISNUMBER(MATCH(AV595,L_Placeholder,0))),"INVALID – result / assessment missing",IF(OR(OR(LEN(AW595)&lt;3,ISNUMBER(MATCH(AW595,L_Placeholder,0))),SUMPRODUCT(--ISNUMBER(SEARCH(L_EvidencePhrase,AW595)))&gt;0),"INVALID – evidence missing, placeholder or not yet on file",IF(OR(LEN(AX595)&lt;2,ISNUMBER(MATCH(AX595,L_Placeholder,0))),"INVALID – verifier missing",IF(AX595=AU595,"INVALID – verifier must be someone other than the PIC",IF(AND(TRIM(U595)="Pass",SUMPRODUCT(--ISNUMBER(SEARCH(L_ResultBad,AV595)))&gt;0),"INVALID – result describes a problem: use Fail, then Pass after CA",IF(AND(AQ595=1,OR(LEN(AY595)&lt;3,ISNUMBER(MATCH(AY595,L_Placeholder,0)))),"INVALID – batch ID missing or placeholder",IF(AND(AR595=1,OR(NOT(ISNUMBER(X595)),NOT(ISNUMBER(Y595)))),"INVALID – expected/actual qty missing",IF(AND(AR595=1,OR(X595&lt;=0,Y595&lt;0)),"INVALID – expected qty must be above 0 and actual not negative",IF(BB595&lt;&gt;"",BB595,IF(AND(AS595=1,Documents!$J$22&lt;&gt;"ON FILE"),"INVALID – GLD not on file (Documents sheet)",IF(AND(AS595=2,Documents!$O$22&lt;&gt;"ON FILE"),"INVALID – menu checklist not on file (Documents sheet)",IF(AND(AS595=3,NOT(ISNUMBER(Flights!$AX$22))),"INVALID – enter carrying flight KUL departure (Flights AX)",IF(AND(AS595=3,OR(Flights!$AZ$22&gt;Flights!$AA$22,Flights!$AX$22&lt;Flights!$AA$22-3)),"INVALID – carrying flight (Flights AX) cannot arrive before this leg's STD, or is over 3 days early",IF(AG595&gt;AsOfUTC,"INVALID – completion time is in the future",IF(AND(ISNUMBER(S595),AG595&lt;S595),IF(H595="Physical uplift","INVALID – before uplift window (cannot confirm loading)","INVALID – before valid window"),IF(AG595&gt;Flights!$AA$22,"INVALID – completed after departure (cannot establish readiness)",IF(AND(H595="Preparation",AG595&gt;IF(ISNUMBER(Flights!$BA$22),MIN(Flights!$BA$22,Flights!$AA$22),Flights!$AA$22)),"INVALID – completed after loading / departure (cannot establish readiness)",IF(AND(H595="Physical uplift",AG595&gt;Q595),"INVALID – recorded after the loading flight departed",IF(AG595&gt;Q595,"COMPLETE – LATE","COMPLETE"))))))))))))))))))))),IF(TRIM(U595)="Fail","FAIL – DISCREPANCY",IF(AND(TRIM(U595)&lt;&gt;"",TRIM(U595)&lt;&gt;"Not started",TRIM(U595)&lt;&gt;"In progress"),"INVALID – unrecognised status (use the list)",IF(AsOfUTC&gt;Q595,"OVERDUE",IF(N595="Clarification required","OPEN – CLARIFICATION","OPEN"))))))),"INVALID – error value in an input cell")</f>
        <v>OPEN</v>
      </c>
      <c r="AI595" s="61" t="n">
        <f aca="false">IF(OR(AH595="N/A – RULE",AH595="N/A – JUSTIFIED"),0,1)</f>
        <v>1</v>
      </c>
      <c r="AJ595" s="61" t="n">
        <f aca="false">IF(LEFT(AH595,8)="COMPLETE",1,0)</f>
        <v>0</v>
      </c>
      <c r="AK595" s="61" t="n">
        <f aca="false">IF(AND(AI595=1,AJ595=0,AsOfUTC&gt;Q595),1,0)</f>
        <v>0</v>
      </c>
      <c r="AL595" s="61" t="n">
        <f aca="false">IFERROR(IF(AND(AI595=1,OR(TRIM(U595)="Fail",AND(TRIM(AB595)&lt;&gt;"",TRIM(AB595)&lt;&gt;"Closed"),AND(ISNUMBER(AF595),AF595&lt;&gt;0,TRIM(U595)&lt;&gt;"Pass after CA"))),1,0),1)</f>
        <v>0</v>
      </c>
      <c r="AM595" s="61" t="n">
        <f aca="false">IF(LEFT(AH595,7)="INVALID",1,0)</f>
        <v>0</v>
      </c>
      <c r="AN595" s="61" t="n">
        <f aca="false">IF(AND(N595="Clarification required",AI595=1,AJ595=0),1,0)</f>
        <v>0</v>
      </c>
      <c r="AO595" s="61" t="str">
        <f aca="false">IF(AK595=1,SUM(AK$5:AK595),"")</f>
        <v/>
      </c>
      <c r="AP595" s="61" t="str">
        <f aca="false">IF(AL595=1,SUM(AL$5:AL595),"")</f>
        <v/>
      </c>
      <c r="AQ595" s="61" t="n">
        <v>0</v>
      </c>
      <c r="AR595" s="61" t="n">
        <v>0</v>
      </c>
      <c r="AS595" s="61" t="n">
        <v>0</v>
      </c>
      <c r="AT595" s="61" t="n">
        <v>0</v>
      </c>
      <c r="AU595" s="61" t="str">
        <f aca="false">SUBSTITUTE(SUBSTITUTE(SUBSTITUTE(SUBSTITUTE(SUBSTITUTE(SUBSTITUTE(SUBSTITUTE(SUBSTITUTE(SUBSTITUTE(SUBSTITUTE(SUBSTITUTE(SUBSTITUTE(SUBSTITUTE(LOWER(T595&amp;""),CHAR(160),"")," ",""),".",""),"-",""),"/",""),"?",""),"_",""),",",""),"[",""),"]",""),"(",""),")",""),"*","")</f>
        <v/>
      </c>
      <c r="AV595" s="61" t="str">
        <f aca="false">SUBSTITUTE(SUBSTITUTE(SUBSTITUTE(SUBSTITUTE(SUBSTITUTE(SUBSTITUTE(SUBSTITUTE(SUBSTITUTE(SUBSTITUTE(SUBSTITUTE(SUBSTITUTE(SUBSTITUTE(SUBSTITUTE(LOWER(V595&amp;""),CHAR(160),"")," ",""),".",""),"-",""),"/",""),"?",""),"_",""),",",""),"[",""),"]",""),"(",""),")",""),"*","")</f>
        <v/>
      </c>
      <c r="AW595" s="61" t="str">
        <f aca="false">SUBSTITUTE(SUBSTITUTE(SUBSTITUTE(SUBSTITUTE(SUBSTITUTE(SUBSTITUTE(SUBSTITUTE(SUBSTITUTE(SUBSTITUTE(SUBSTITUTE(SUBSTITUTE(SUBSTITUTE(SUBSTITUTE(LOWER(Z595&amp;""),CHAR(160),"")," ",""),".",""),"-",""),"/",""),"?",""),"_",""),",",""),"[",""),"]",""),"(",""),")",""),"*","")</f>
        <v/>
      </c>
      <c r="AX595" s="61" t="str">
        <f aca="false">SUBSTITUTE(SUBSTITUTE(SUBSTITUTE(SUBSTITUTE(SUBSTITUTE(SUBSTITUTE(SUBSTITUTE(SUBSTITUTE(SUBSTITUTE(SUBSTITUTE(SUBSTITUTE(SUBSTITUTE(SUBSTITUTE(LOWER(AE595&amp;""),CHAR(160),"")," ",""),".",""),"-",""),"/",""),"?",""),"_",""),",",""),"[",""),"]",""),"(",""),")",""),"*","")</f>
        <v/>
      </c>
      <c r="AY595" s="61" t="str">
        <f aca="false">SUBSTITUTE(SUBSTITUTE(SUBSTITUTE(SUBSTITUTE(SUBSTITUTE(SUBSTITUTE(SUBSTITUTE(SUBSTITUTE(SUBSTITUTE(SUBSTITUTE(SUBSTITUTE(SUBSTITUTE(SUBSTITUTE(LOWER(W595&amp;""),CHAR(160),"")," ",""),".",""),"-",""),"/",""),"?",""),"_",""),",",""),"[",""),"]",""),"(",""),")",""),"*","")</f>
        <v/>
      </c>
      <c r="AZ595" s="61" t="str">
        <f aca="false">SUBSTITUTE(SUBSTITUTE(SUBSTITUTE(SUBSTITUTE(SUBSTITUTE(SUBSTITUTE(SUBSTITUTE(SUBSTITUTE(SUBSTITUTE(SUBSTITUTE(SUBSTITUTE(SUBSTITUTE(SUBSTITUTE(LOWER(AC595&amp;""),CHAR(160),"")," ",""),".",""),"-",""),"/",""),"?",""),"_",""),",",""),"[",""),"]",""),"(",""),")",""),"*","")</f>
        <v/>
      </c>
      <c r="BA595" s="61" t="str">
        <f aca="false">SUBSTITUTE(SUBSTITUTE(SUBSTITUTE(SUBSTITUTE(SUBSTITUTE(SUBSTITUTE(SUBSTITUTE(SUBSTITUTE(SUBSTITUTE(SUBSTITUTE(SUBSTITUTE(SUBSTITUTE(SUBSTITUTE(LOWER(AA595&amp;""),CHAR(160),"")," ",""),".",""),"-",""),"/",""),"?",""),"_",""),",",""),"[",""),"]",""),"(",""),")",""),"*","")</f>
        <v/>
      </c>
      <c r="BB595" s="61" t="str">
        <f aca="false">IF(AND(TRIM(U595)="Pass",ISNUMBER(AF595)),IF(AF595&lt;&gt;0,"INVALID – qty variance: use Fail or Pass after CA",""),"")&amp;IF(AND(TRIM(U595)="Pass after CA",ISNUMBER(AF595)),IF(AF595&lt;&gt;0,"INVALID – after the corrective action the actual qty must equal expected (update Actual)",""),"")&amp;IF(AND(TRIM(U595)="Pass",TRIM(AB595)&lt;&gt;"",TRIM(AB595)&lt;&gt;"Closed"),"INVALID – corrective action not closed: use Fail, then Pass after CA","")&amp;IF(AND(TRIM(AA595)&lt;&gt;"",TRIM(AB595)=""),"INVALID – CA status missing for the recorded corrective action","")&amp;IF(AND(TRIM(U595)="Pass after CA",OR(OR(LEN(BA595)&lt;5,ISNUMBER(MATCH(BA595,L_Placeholder,0))),TRIM(AB595)&lt;&gt;"Closed")),"INVALID – corrective action not recorded/closed","")</f>
        <v/>
      </c>
    </row>
    <row r="596" customFormat="false" ht="41.25" hidden="false" customHeight="true" outlineLevel="0" collapsed="false">
      <c r="A596" s="57" t="s">
        <v>1273</v>
      </c>
      <c r="B596" s="57" t="s">
        <v>290</v>
      </c>
      <c r="C596" s="57" t="str">
        <f aca="false">Flights!$F$22</f>
        <v>MH0052</v>
      </c>
      <c r="D596" s="58" t="n">
        <f aca="false">Flights!$D$22</f>
        <v>46322</v>
      </c>
      <c r="E596" s="57" t="str">
        <f aca="false">Flights!$G$22&amp;"-"&amp;Flights!$H$22</f>
        <v>KUL-KIX</v>
      </c>
      <c r="F596" s="57" t="str">
        <f aca="false">Flights!$K$22</f>
        <v>BC</v>
      </c>
      <c r="G596" s="57" t="s">
        <v>398</v>
      </c>
      <c r="H596" s="57" t="s">
        <v>356</v>
      </c>
      <c r="I596" s="57" t="s">
        <v>477</v>
      </c>
      <c r="J596" s="57" t="s">
        <v>493</v>
      </c>
      <c r="K596" s="67" t="s">
        <v>479</v>
      </c>
      <c r="L596" s="67" t="s">
        <v>1274</v>
      </c>
      <c r="M596" s="67" t="s">
        <v>429</v>
      </c>
      <c r="N596" s="67" t="s">
        <v>361</v>
      </c>
      <c r="O596" s="67" t="s">
        <v>481</v>
      </c>
      <c r="P596" s="57" t="s">
        <v>184</v>
      </c>
      <c r="Q596" s="59" t="n">
        <f aca="false">ROUND((Flights!$AE$22)*1440,0)/1440</f>
        <v>46322.1006944444</v>
      </c>
      <c r="R596" s="59" t="n">
        <f aca="false">Q596+(IF(AND(INDEX(TZ_DSTS,MATCH(P596,TZ_STN,0))&lt;&gt;"",Q596&gt;=INDEX(TZ_DSTS,MATCH(P596,TZ_STN,0)),Q596&lt;INDEX(TZ_DSTE,MATCH(P596,TZ_STN,0))),INDEX(TZ_DST,MATCH(P596,TZ_STN,0)),INDEX(TZ_STD,MATCH(P596,TZ_STN,0))))/24</f>
        <v>46322.4340277778</v>
      </c>
      <c r="S596" s="59" t="n">
        <f aca="false">Q596-T12EarlyH/24</f>
        <v>46321.6006944444</v>
      </c>
      <c r="T596" s="60"/>
      <c r="U596" s="60"/>
      <c r="V596" s="60"/>
      <c r="W596" s="61"/>
      <c r="X596" s="60"/>
      <c r="Y596" s="60"/>
      <c r="Z596" s="60"/>
      <c r="AA596" s="60"/>
      <c r="AB596" s="60"/>
      <c r="AC596" s="60"/>
      <c r="AD596" s="66"/>
      <c r="AE596" s="60"/>
      <c r="AF596" s="61" t="str">
        <f aca="false">IF(AND(ISNUMBER(X596),ISNUMBER(Y596)),Y596-X596,"")</f>
        <v/>
      </c>
      <c r="AG596" s="62" t="str">
        <f aca="false">IF(ISNUMBER(AD596),AD596-(IF(AND(INDEX(TZ_DSTS,MATCH(P596,TZ_STN,0))&lt;&gt;"",(AD596-INDEX(TZ_STD,MATCH(P596,TZ_STN,0))/24)&gt;=INDEX(TZ_DSTS,MATCH(P596,TZ_STN,0)),(AD596-INDEX(TZ_STD,MATCH(P596,TZ_STN,0))/24)&lt;INDEX(TZ_DSTE,MATCH(P596,TZ_STN,0))),INDEX(TZ_DST,MATCH(P596,TZ_STN,0)),INDEX(TZ_STD,MATCH(P596,TZ_STN,0))))/24,"")</f>
        <v/>
      </c>
      <c r="AH596" s="65" t="str">
        <f aca="false">IFERROR(IF(N596="N/A – rule","N/A – RULE",IF(TRIM(U596)="N/A",IF(AT596=0,"INVALID – N/A not permitted for this check",IF(AND(TRIM(AB596)&lt;&gt;"",TRIM(AB596)&lt;&gt;"Closed"),"INVALID – corrective action still open",IF(AND(NOT(OR(LEN(AZ596)&lt;15,ISNUMBER(MATCH(AZ596,L_Placeholder,0)))),NOT(OR(LEN(AU596)&lt;2,ISNUMBER(MATCH(AU596,L_Placeholder,0)))),NOT(OR(LEN(AX596)&lt;2,ISNUMBER(MATCH(AX596,L_Placeholder,0)))),TRIM(AE596)&lt;&gt;TRIM(T596)),"N/A – JUSTIFIED","INVALID – N/A needs a real justification (15+ chars), PIC and a different verifier"))),IF(OR(TRIM(U596)="Pass",TRIM(U596)="Pass after CA"),IF(NOT(ISNUMBER(AD596)),"INVALID – completion time missing",IF(OR(LEN(AU596)&lt;2,ISNUMBER(MATCH(AU596,L_Placeholder,0))),"INVALID – PIC missing",IF(OR(LEN(AV596)&lt;2,ISNUMBER(MATCH(AV596,L_Placeholder,0))),"INVALID – result / assessment missing",IF(OR(OR(LEN(AW596)&lt;3,ISNUMBER(MATCH(AW596,L_Placeholder,0))),SUMPRODUCT(--ISNUMBER(SEARCH(L_EvidencePhrase,AW596)))&gt;0),"INVALID – evidence missing, placeholder or not yet on file",IF(OR(LEN(AX596)&lt;2,ISNUMBER(MATCH(AX596,L_Placeholder,0))),"INVALID – verifier missing",IF(AX596=AU596,"INVALID – verifier must be someone other than the PIC",IF(AND(TRIM(U596)="Pass",SUMPRODUCT(--ISNUMBER(SEARCH(L_ResultBad,AV596)))&gt;0),"INVALID – result describes a problem: use Fail, then Pass after CA",IF(AND(AQ596=1,OR(LEN(AY596)&lt;3,ISNUMBER(MATCH(AY596,L_Placeholder,0)))),"INVALID – batch ID missing or placeholder",IF(AND(AR596=1,OR(NOT(ISNUMBER(X596)),NOT(ISNUMBER(Y596)))),"INVALID – expected/actual qty missing",IF(AND(AR596=1,OR(X596&lt;=0,Y596&lt;0)),"INVALID – expected qty must be above 0 and actual not negative",IF(BB596&lt;&gt;"",BB596,IF(AND(AS596=1,Documents!$J$22&lt;&gt;"ON FILE"),"INVALID – GLD not on file (Documents sheet)",IF(AND(AS596=2,Documents!$O$22&lt;&gt;"ON FILE"),"INVALID – menu checklist not on file (Documents sheet)",IF(AND(AS596=3,NOT(ISNUMBER(Flights!$AX$22))),"INVALID – enter carrying flight KUL departure (Flights AX)",IF(AND(AS596=3,OR(Flights!$AZ$22&gt;Flights!$AA$22,Flights!$AX$22&lt;Flights!$AA$22-3)),"INVALID – carrying flight (Flights AX) cannot arrive before this leg's STD, or is over 3 days early",IF(AG596&gt;AsOfUTC,"INVALID – completion time is in the future",IF(AND(ISNUMBER(S596),AG596&lt;S596),IF(H596="Physical uplift","INVALID – before uplift window (cannot confirm loading)","INVALID – before valid window"),IF(AG596&gt;Flights!$AA$22,"INVALID – completed after departure (cannot establish readiness)",IF(AND(H596="Preparation",AG596&gt;IF(ISNUMBER(Flights!$BA$22),MIN(Flights!$BA$22,Flights!$AA$22),Flights!$AA$22)),"INVALID – completed after loading / departure (cannot establish readiness)",IF(AND(H596="Physical uplift",AG596&gt;Q596),"INVALID – recorded after the loading flight departed",IF(AG596&gt;Q596,"COMPLETE – LATE","COMPLETE"))))))))))))))))))))),IF(TRIM(U596)="Fail","FAIL – DISCREPANCY",IF(AND(TRIM(U596)&lt;&gt;"",TRIM(U596)&lt;&gt;"Not started",TRIM(U596)&lt;&gt;"In progress"),"INVALID – unrecognised status (use the list)",IF(AsOfUTC&gt;Q596,"OVERDUE",IF(N596="Clarification required","OPEN – CLARIFICATION","OPEN"))))))),"INVALID – error value in an input cell")</f>
        <v>OPEN</v>
      </c>
      <c r="AI596" s="61" t="n">
        <f aca="false">IF(OR(AH596="N/A – RULE",AH596="N/A – JUSTIFIED"),0,1)</f>
        <v>1</v>
      </c>
      <c r="AJ596" s="61" t="n">
        <f aca="false">IF(LEFT(AH596,8)="COMPLETE",1,0)</f>
        <v>0</v>
      </c>
      <c r="AK596" s="61" t="n">
        <f aca="false">IF(AND(AI596=1,AJ596=0,AsOfUTC&gt;Q596),1,0)</f>
        <v>0</v>
      </c>
      <c r="AL596" s="61" t="n">
        <f aca="false">IFERROR(IF(AND(AI596=1,OR(TRIM(U596)="Fail",AND(TRIM(AB596)&lt;&gt;"",TRIM(AB596)&lt;&gt;"Closed"),AND(ISNUMBER(AF596),AF596&lt;&gt;0,TRIM(U596)&lt;&gt;"Pass after CA"))),1,0),1)</f>
        <v>0</v>
      </c>
      <c r="AM596" s="61" t="n">
        <f aca="false">IF(LEFT(AH596,7)="INVALID",1,0)</f>
        <v>0</v>
      </c>
      <c r="AN596" s="61" t="n">
        <f aca="false">IF(AND(N596="Clarification required",AI596=1,AJ596=0),1,0)</f>
        <v>0</v>
      </c>
      <c r="AO596" s="61" t="str">
        <f aca="false">IF(AK596=1,SUM(AK$5:AK596),"")</f>
        <v/>
      </c>
      <c r="AP596" s="61" t="str">
        <f aca="false">IF(AL596=1,SUM(AL$5:AL596),"")</f>
        <v/>
      </c>
      <c r="AQ596" s="61" t="n">
        <v>0</v>
      </c>
      <c r="AR596" s="61" t="n">
        <v>0</v>
      </c>
      <c r="AS596" s="61" t="n">
        <v>0</v>
      </c>
      <c r="AT596" s="61" t="n">
        <v>0</v>
      </c>
      <c r="AU596" s="61" t="str">
        <f aca="false">SUBSTITUTE(SUBSTITUTE(SUBSTITUTE(SUBSTITUTE(SUBSTITUTE(SUBSTITUTE(SUBSTITUTE(SUBSTITUTE(SUBSTITUTE(SUBSTITUTE(SUBSTITUTE(SUBSTITUTE(SUBSTITUTE(LOWER(T596&amp;""),CHAR(160),"")," ",""),".",""),"-",""),"/",""),"?",""),"_",""),",",""),"[",""),"]",""),"(",""),")",""),"*","")</f>
        <v/>
      </c>
      <c r="AV596" s="61" t="str">
        <f aca="false">SUBSTITUTE(SUBSTITUTE(SUBSTITUTE(SUBSTITUTE(SUBSTITUTE(SUBSTITUTE(SUBSTITUTE(SUBSTITUTE(SUBSTITUTE(SUBSTITUTE(SUBSTITUTE(SUBSTITUTE(SUBSTITUTE(LOWER(V596&amp;""),CHAR(160),"")," ",""),".",""),"-",""),"/",""),"?",""),"_",""),",",""),"[",""),"]",""),"(",""),")",""),"*","")</f>
        <v/>
      </c>
      <c r="AW596" s="61" t="str">
        <f aca="false">SUBSTITUTE(SUBSTITUTE(SUBSTITUTE(SUBSTITUTE(SUBSTITUTE(SUBSTITUTE(SUBSTITUTE(SUBSTITUTE(SUBSTITUTE(SUBSTITUTE(SUBSTITUTE(SUBSTITUTE(SUBSTITUTE(LOWER(Z596&amp;""),CHAR(160),"")," ",""),".",""),"-",""),"/",""),"?",""),"_",""),",",""),"[",""),"]",""),"(",""),")",""),"*","")</f>
        <v/>
      </c>
      <c r="AX596" s="61" t="str">
        <f aca="false">SUBSTITUTE(SUBSTITUTE(SUBSTITUTE(SUBSTITUTE(SUBSTITUTE(SUBSTITUTE(SUBSTITUTE(SUBSTITUTE(SUBSTITUTE(SUBSTITUTE(SUBSTITUTE(SUBSTITUTE(SUBSTITUTE(LOWER(AE596&amp;""),CHAR(160),"")," ",""),".",""),"-",""),"/",""),"?",""),"_",""),",",""),"[",""),"]",""),"(",""),")",""),"*","")</f>
        <v/>
      </c>
      <c r="AY596" s="61" t="str">
        <f aca="false">SUBSTITUTE(SUBSTITUTE(SUBSTITUTE(SUBSTITUTE(SUBSTITUTE(SUBSTITUTE(SUBSTITUTE(SUBSTITUTE(SUBSTITUTE(SUBSTITUTE(SUBSTITUTE(SUBSTITUTE(SUBSTITUTE(LOWER(W596&amp;""),CHAR(160),"")," ",""),".",""),"-",""),"/",""),"?",""),"_",""),",",""),"[",""),"]",""),"(",""),")",""),"*","")</f>
        <v/>
      </c>
      <c r="AZ596" s="61" t="str">
        <f aca="false">SUBSTITUTE(SUBSTITUTE(SUBSTITUTE(SUBSTITUTE(SUBSTITUTE(SUBSTITUTE(SUBSTITUTE(SUBSTITUTE(SUBSTITUTE(SUBSTITUTE(SUBSTITUTE(SUBSTITUTE(SUBSTITUTE(LOWER(AC596&amp;""),CHAR(160),"")," ",""),".",""),"-",""),"/",""),"?",""),"_",""),",",""),"[",""),"]",""),"(",""),")",""),"*","")</f>
        <v/>
      </c>
      <c r="BA596" s="61" t="str">
        <f aca="false">SUBSTITUTE(SUBSTITUTE(SUBSTITUTE(SUBSTITUTE(SUBSTITUTE(SUBSTITUTE(SUBSTITUTE(SUBSTITUTE(SUBSTITUTE(SUBSTITUTE(SUBSTITUTE(SUBSTITUTE(SUBSTITUTE(LOWER(AA596&amp;""),CHAR(160),"")," ",""),".",""),"-",""),"/",""),"?",""),"_",""),",",""),"[",""),"]",""),"(",""),")",""),"*","")</f>
        <v/>
      </c>
      <c r="BB596" s="61" t="str">
        <f aca="false">IF(AND(TRIM(U596)="Pass",ISNUMBER(AF596)),IF(AF596&lt;&gt;0,"INVALID – qty variance: use Fail or Pass after CA",""),"")&amp;IF(AND(TRIM(U596)="Pass after CA",ISNUMBER(AF596)),IF(AF596&lt;&gt;0,"INVALID – after the corrective action the actual qty must equal expected (update Actual)",""),"")&amp;IF(AND(TRIM(U596)="Pass",TRIM(AB596)&lt;&gt;"",TRIM(AB596)&lt;&gt;"Closed"),"INVALID – corrective action not closed: use Fail, then Pass after CA","")&amp;IF(AND(TRIM(AA596)&lt;&gt;"",TRIM(AB596)=""),"INVALID – CA status missing for the recorded corrective action","")&amp;IF(AND(TRIM(U596)="Pass after CA",OR(OR(LEN(BA596)&lt;5,ISNUMBER(MATCH(BA596,L_Placeholder,0))),TRIM(AB596)&lt;&gt;"Closed")),"INVALID – corrective action not recorded/closed","")</f>
        <v/>
      </c>
    </row>
    <row r="597" customFormat="false" ht="54" hidden="false" customHeight="true" outlineLevel="0" collapsed="false">
      <c r="A597" s="57" t="s">
        <v>1275</v>
      </c>
      <c r="B597" s="57" t="s">
        <v>290</v>
      </c>
      <c r="C597" s="57" t="str">
        <f aca="false">Flights!$F$22</f>
        <v>MH0052</v>
      </c>
      <c r="D597" s="58" t="n">
        <f aca="false">Flights!$D$22</f>
        <v>46322</v>
      </c>
      <c r="E597" s="57" t="str">
        <f aca="false">Flights!$G$22&amp;"-"&amp;Flights!$H$22</f>
        <v>KUL-KIX</v>
      </c>
      <c r="F597" s="57" t="str">
        <f aca="false">Flights!$K$22</f>
        <v>BC</v>
      </c>
      <c r="G597" s="57" t="s">
        <v>398</v>
      </c>
      <c r="H597" s="57" t="s">
        <v>356</v>
      </c>
      <c r="I597" s="57" t="s">
        <v>477</v>
      </c>
      <c r="J597" s="57" t="s">
        <v>496</v>
      </c>
      <c r="K597" s="67" t="s">
        <v>594</v>
      </c>
      <c r="L597" s="67" t="s">
        <v>1276</v>
      </c>
      <c r="M597" s="67" t="s">
        <v>429</v>
      </c>
      <c r="N597" s="67" t="s">
        <v>361</v>
      </c>
      <c r="O597" s="67" t="s">
        <v>499</v>
      </c>
      <c r="P597" s="57" t="s">
        <v>184</v>
      </c>
      <c r="Q597" s="59" t="n">
        <f aca="false">ROUND((Flights!$AE$22)*1440,0)/1440</f>
        <v>46322.1006944444</v>
      </c>
      <c r="R597" s="59" t="n">
        <f aca="false">Q597+(IF(AND(INDEX(TZ_DSTS,MATCH(P597,TZ_STN,0))&lt;&gt;"",Q597&gt;=INDEX(TZ_DSTS,MATCH(P597,TZ_STN,0)),Q597&lt;INDEX(TZ_DSTE,MATCH(P597,TZ_STN,0))),INDEX(TZ_DST,MATCH(P597,TZ_STN,0)),INDEX(TZ_STD,MATCH(P597,TZ_STN,0))))/24</f>
        <v>46322.4340277778</v>
      </c>
      <c r="S597" s="59" t="n">
        <f aca="false">Q597-T12EarlyH/24</f>
        <v>46321.6006944444</v>
      </c>
      <c r="T597" s="60"/>
      <c r="U597" s="60"/>
      <c r="V597" s="60"/>
      <c r="W597" s="61"/>
      <c r="X597" s="60"/>
      <c r="Y597" s="60"/>
      <c r="Z597" s="60"/>
      <c r="AA597" s="60"/>
      <c r="AB597" s="60"/>
      <c r="AC597" s="60"/>
      <c r="AD597" s="66"/>
      <c r="AE597" s="60"/>
      <c r="AF597" s="61" t="str">
        <f aca="false">IF(AND(ISNUMBER(X597),ISNUMBER(Y597)),Y597-X597,"")</f>
        <v/>
      </c>
      <c r="AG597" s="62" t="str">
        <f aca="false">IF(ISNUMBER(AD597),AD597-(IF(AND(INDEX(TZ_DSTS,MATCH(P597,TZ_STN,0))&lt;&gt;"",(AD597-INDEX(TZ_STD,MATCH(P597,TZ_STN,0))/24)&gt;=INDEX(TZ_DSTS,MATCH(P597,TZ_STN,0)),(AD597-INDEX(TZ_STD,MATCH(P597,TZ_STN,0))/24)&lt;INDEX(TZ_DSTE,MATCH(P597,TZ_STN,0))),INDEX(TZ_DST,MATCH(P597,TZ_STN,0)),INDEX(TZ_STD,MATCH(P597,TZ_STN,0))))/24,"")</f>
        <v/>
      </c>
      <c r="AH597" s="65" t="str">
        <f aca="false">IFERROR(IF(N597="N/A – rule","N/A – RULE",IF(TRIM(U597)="N/A",IF(AT597=0,"INVALID – N/A not permitted for this check",IF(AND(TRIM(AB597)&lt;&gt;"",TRIM(AB597)&lt;&gt;"Closed"),"INVALID – corrective action still open",IF(AND(NOT(OR(LEN(AZ597)&lt;15,ISNUMBER(MATCH(AZ597,L_Placeholder,0)))),NOT(OR(LEN(AU597)&lt;2,ISNUMBER(MATCH(AU597,L_Placeholder,0)))),NOT(OR(LEN(AX597)&lt;2,ISNUMBER(MATCH(AX597,L_Placeholder,0)))),TRIM(AE597)&lt;&gt;TRIM(T597)),"N/A – JUSTIFIED","INVALID – N/A needs a real justification (15+ chars), PIC and a different verifier"))),IF(OR(TRIM(U597)="Pass",TRIM(U597)="Pass after CA"),IF(NOT(ISNUMBER(AD597)),"INVALID – completion time missing",IF(OR(LEN(AU597)&lt;2,ISNUMBER(MATCH(AU597,L_Placeholder,0))),"INVALID – PIC missing",IF(OR(LEN(AV597)&lt;2,ISNUMBER(MATCH(AV597,L_Placeholder,0))),"INVALID – result / assessment missing",IF(OR(OR(LEN(AW597)&lt;3,ISNUMBER(MATCH(AW597,L_Placeholder,0))),SUMPRODUCT(--ISNUMBER(SEARCH(L_EvidencePhrase,AW597)))&gt;0),"INVALID – evidence missing, placeholder or not yet on file",IF(OR(LEN(AX597)&lt;2,ISNUMBER(MATCH(AX597,L_Placeholder,0))),"INVALID – verifier missing",IF(AX597=AU597,"INVALID – verifier must be someone other than the PIC",IF(AND(TRIM(U597)="Pass",SUMPRODUCT(--ISNUMBER(SEARCH(L_ResultBad,AV597)))&gt;0),"INVALID – result describes a problem: use Fail, then Pass after CA",IF(AND(AQ597=1,OR(LEN(AY597)&lt;3,ISNUMBER(MATCH(AY597,L_Placeholder,0)))),"INVALID – batch ID missing or placeholder",IF(AND(AR597=1,OR(NOT(ISNUMBER(X597)),NOT(ISNUMBER(Y597)))),"INVALID – expected/actual qty missing",IF(AND(AR597=1,OR(X597&lt;=0,Y597&lt;0)),"INVALID – expected qty must be above 0 and actual not negative",IF(BB597&lt;&gt;"",BB597,IF(AND(AS597=1,Documents!$J$22&lt;&gt;"ON FILE"),"INVALID – GLD not on file (Documents sheet)",IF(AND(AS597=2,Documents!$O$22&lt;&gt;"ON FILE"),"INVALID – menu checklist not on file (Documents sheet)",IF(AND(AS597=3,NOT(ISNUMBER(Flights!$AX$22))),"INVALID – enter carrying flight KUL departure (Flights AX)",IF(AND(AS597=3,OR(Flights!$AZ$22&gt;Flights!$AA$22,Flights!$AX$22&lt;Flights!$AA$22-3)),"INVALID – carrying flight (Flights AX) cannot arrive before this leg's STD, or is over 3 days early",IF(AG597&gt;AsOfUTC,"INVALID – completion time is in the future",IF(AND(ISNUMBER(S597),AG597&lt;S597),IF(H597="Physical uplift","INVALID – before uplift window (cannot confirm loading)","INVALID – before valid window"),IF(AG597&gt;Flights!$AA$22,"INVALID – completed after departure (cannot establish readiness)",IF(AND(H597="Preparation",AG597&gt;IF(ISNUMBER(Flights!$BA$22),MIN(Flights!$BA$22,Flights!$AA$22),Flights!$AA$22)),"INVALID – completed after loading / departure (cannot establish readiness)",IF(AND(H597="Physical uplift",AG597&gt;Q597),"INVALID – recorded after the loading flight departed",IF(AG597&gt;Q597,"COMPLETE – LATE","COMPLETE"))))))))))))))))))))),IF(TRIM(U597)="Fail","FAIL – DISCREPANCY",IF(AND(TRIM(U597)&lt;&gt;"",TRIM(U597)&lt;&gt;"Not started",TRIM(U597)&lt;&gt;"In progress"),"INVALID – unrecognised status (use the list)",IF(AsOfUTC&gt;Q597,"OVERDUE",IF(N597="Clarification required","OPEN – CLARIFICATION","OPEN"))))))),"INVALID – error value in an input cell")</f>
        <v>OPEN</v>
      </c>
      <c r="AI597" s="61" t="n">
        <f aca="false">IF(OR(AH597="N/A – RULE",AH597="N/A – JUSTIFIED"),0,1)</f>
        <v>1</v>
      </c>
      <c r="AJ597" s="61" t="n">
        <f aca="false">IF(LEFT(AH597,8)="COMPLETE",1,0)</f>
        <v>0</v>
      </c>
      <c r="AK597" s="61" t="n">
        <f aca="false">IF(AND(AI597=1,AJ597=0,AsOfUTC&gt;Q597),1,0)</f>
        <v>0</v>
      </c>
      <c r="AL597" s="61" t="n">
        <f aca="false">IFERROR(IF(AND(AI597=1,OR(TRIM(U597)="Fail",AND(TRIM(AB597)&lt;&gt;"",TRIM(AB597)&lt;&gt;"Closed"),AND(ISNUMBER(AF597),AF597&lt;&gt;0,TRIM(U597)&lt;&gt;"Pass after CA"))),1,0),1)</f>
        <v>0</v>
      </c>
      <c r="AM597" s="61" t="n">
        <f aca="false">IF(LEFT(AH597,7)="INVALID",1,0)</f>
        <v>0</v>
      </c>
      <c r="AN597" s="61" t="n">
        <f aca="false">IF(AND(N597="Clarification required",AI597=1,AJ597=0),1,0)</f>
        <v>0</v>
      </c>
      <c r="AO597" s="61" t="str">
        <f aca="false">IF(AK597=1,SUM(AK$5:AK597),"")</f>
        <v/>
      </c>
      <c r="AP597" s="61" t="str">
        <f aca="false">IF(AL597=1,SUM(AL$5:AL597),"")</f>
        <v/>
      </c>
      <c r="AQ597" s="61" t="n">
        <v>0</v>
      </c>
      <c r="AR597" s="61" t="n">
        <v>0</v>
      </c>
      <c r="AS597" s="61" t="n">
        <v>0</v>
      </c>
      <c r="AT597" s="61" t="n">
        <v>0</v>
      </c>
      <c r="AU597" s="61" t="str">
        <f aca="false">SUBSTITUTE(SUBSTITUTE(SUBSTITUTE(SUBSTITUTE(SUBSTITUTE(SUBSTITUTE(SUBSTITUTE(SUBSTITUTE(SUBSTITUTE(SUBSTITUTE(SUBSTITUTE(SUBSTITUTE(SUBSTITUTE(LOWER(T597&amp;""),CHAR(160),"")," ",""),".",""),"-",""),"/",""),"?",""),"_",""),",",""),"[",""),"]",""),"(",""),")",""),"*","")</f>
        <v/>
      </c>
      <c r="AV597" s="61" t="str">
        <f aca="false">SUBSTITUTE(SUBSTITUTE(SUBSTITUTE(SUBSTITUTE(SUBSTITUTE(SUBSTITUTE(SUBSTITUTE(SUBSTITUTE(SUBSTITUTE(SUBSTITUTE(SUBSTITUTE(SUBSTITUTE(SUBSTITUTE(LOWER(V597&amp;""),CHAR(160),"")," ",""),".",""),"-",""),"/",""),"?",""),"_",""),",",""),"[",""),"]",""),"(",""),")",""),"*","")</f>
        <v/>
      </c>
      <c r="AW597" s="61" t="str">
        <f aca="false">SUBSTITUTE(SUBSTITUTE(SUBSTITUTE(SUBSTITUTE(SUBSTITUTE(SUBSTITUTE(SUBSTITUTE(SUBSTITUTE(SUBSTITUTE(SUBSTITUTE(SUBSTITUTE(SUBSTITUTE(SUBSTITUTE(LOWER(Z597&amp;""),CHAR(160),"")," ",""),".",""),"-",""),"/",""),"?",""),"_",""),",",""),"[",""),"]",""),"(",""),")",""),"*","")</f>
        <v/>
      </c>
      <c r="AX597" s="61" t="str">
        <f aca="false">SUBSTITUTE(SUBSTITUTE(SUBSTITUTE(SUBSTITUTE(SUBSTITUTE(SUBSTITUTE(SUBSTITUTE(SUBSTITUTE(SUBSTITUTE(SUBSTITUTE(SUBSTITUTE(SUBSTITUTE(SUBSTITUTE(LOWER(AE597&amp;""),CHAR(160),"")," ",""),".",""),"-",""),"/",""),"?",""),"_",""),",",""),"[",""),"]",""),"(",""),")",""),"*","")</f>
        <v/>
      </c>
      <c r="AY597" s="61" t="str">
        <f aca="false">SUBSTITUTE(SUBSTITUTE(SUBSTITUTE(SUBSTITUTE(SUBSTITUTE(SUBSTITUTE(SUBSTITUTE(SUBSTITUTE(SUBSTITUTE(SUBSTITUTE(SUBSTITUTE(SUBSTITUTE(SUBSTITUTE(LOWER(W597&amp;""),CHAR(160),"")," ",""),".",""),"-",""),"/",""),"?",""),"_",""),",",""),"[",""),"]",""),"(",""),")",""),"*","")</f>
        <v/>
      </c>
      <c r="AZ597" s="61" t="str">
        <f aca="false">SUBSTITUTE(SUBSTITUTE(SUBSTITUTE(SUBSTITUTE(SUBSTITUTE(SUBSTITUTE(SUBSTITUTE(SUBSTITUTE(SUBSTITUTE(SUBSTITUTE(SUBSTITUTE(SUBSTITUTE(SUBSTITUTE(LOWER(AC597&amp;""),CHAR(160),"")," ",""),".",""),"-",""),"/",""),"?",""),"_",""),",",""),"[",""),"]",""),"(",""),")",""),"*","")</f>
        <v/>
      </c>
      <c r="BA597" s="61" t="str">
        <f aca="false">SUBSTITUTE(SUBSTITUTE(SUBSTITUTE(SUBSTITUTE(SUBSTITUTE(SUBSTITUTE(SUBSTITUTE(SUBSTITUTE(SUBSTITUTE(SUBSTITUTE(SUBSTITUTE(SUBSTITUTE(SUBSTITUTE(LOWER(AA597&amp;""),CHAR(160),"")," ",""),".",""),"-",""),"/",""),"?",""),"_",""),",",""),"[",""),"]",""),"(",""),")",""),"*","")</f>
        <v/>
      </c>
      <c r="BB597" s="61" t="str">
        <f aca="false">IF(AND(TRIM(U597)="Pass",ISNUMBER(AF597)),IF(AF597&lt;&gt;0,"INVALID – qty variance: use Fail or Pass after CA",""),"")&amp;IF(AND(TRIM(U597)="Pass after CA",ISNUMBER(AF597)),IF(AF597&lt;&gt;0,"INVALID – after the corrective action the actual qty must equal expected (update Actual)",""),"")&amp;IF(AND(TRIM(U597)="Pass",TRIM(AB597)&lt;&gt;"",TRIM(AB597)&lt;&gt;"Closed"),"INVALID – corrective action not closed: use Fail, then Pass after CA","")&amp;IF(AND(TRIM(AA597)&lt;&gt;"",TRIM(AB597)=""),"INVALID – CA status missing for the recorded corrective action","")&amp;IF(AND(TRIM(U597)="Pass after CA",OR(OR(LEN(BA597)&lt;5,ISNUMBER(MATCH(BA597,L_Placeholder,0))),TRIM(AB597)&lt;&gt;"Closed")),"INVALID – corrective action not recorded/closed","")</f>
        <v/>
      </c>
    </row>
    <row r="598" customFormat="false" ht="41.25" hidden="false" customHeight="true" outlineLevel="0" collapsed="false">
      <c r="A598" s="57" t="s">
        <v>1277</v>
      </c>
      <c r="B598" s="57" t="s">
        <v>290</v>
      </c>
      <c r="C598" s="57" t="str">
        <f aca="false">Flights!$F$22</f>
        <v>MH0052</v>
      </c>
      <c r="D598" s="58" t="n">
        <f aca="false">Flights!$D$22</f>
        <v>46322</v>
      </c>
      <c r="E598" s="57" t="str">
        <f aca="false">Flights!$G$22&amp;"-"&amp;Flights!$H$22</f>
        <v>KUL-KIX</v>
      </c>
      <c r="F598" s="57" t="str">
        <f aca="false">Flights!$K$22</f>
        <v>BC</v>
      </c>
      <c r="G598" s="57" t="s">
        <v>398</v>
      </c>
      <c r="H598" s="57" t="s">
        <v>356</v>
      </c>
      <c r="I598" s="57" t="s">
        <v>477</v>
      </c>
      <c r="J598" s="57" t="s">
        <v>501</v>
      </c>
      <c r="K598" s="67" t="s">
        <v>479</v>
      </c>
      <c r="L598" s="67" t="s">
        <v>1278</v>
      </c>
      <c r="M598" s="67" t="s">
        <v>429</v>
      </c>
      <c r="N598" s="67" t="s">
        <v>361</v>
      </c>
      <c r="O598" s="67" t="s">
        <v>481</v>
      </c>
      <c r="P598" s="57" t="s">
        <v>184</v>
      </c>
      <c r="Q598" s="59" t="n">
        <f aca="false">ROUND((Flights!$AE$22)*1440,0)/1440</f>
        <v>46322.1006944444</v>
      </c>
      <c r="R598" s="59" t="n">
        <f aca="false">Q598+(IF(AND(INDEX(TZ_DSTS,MATCH(P598,TZ_STN,0))&lt;&gt;"",Q598&gt;=INDEX(TZ_DSTS,MATCH(P598,TZ_STN,0)),Q598&lt;INDEX(TZ_DSTE,MATCH(P598,TZ_STN,0))),INDEX(TZ_DST,MATCH(P598,TZ_STN,0)),INDEX(TZ_STD,MATCH(P598,TZ_STN,0))))/24</f>
        <v>46322.4340277778</v>
      </c>
      <c r="S598" s="59" t="n">
        <f aca="false">Q598-T12EarlyH/24</f>
        <v>46321.6006944444</v>
      </c>
      <c r="T598" s="60"/>
      <c r="U598" s="60"/>
      <c r="V598" s="60"/>
      <c r="W598" s="61"/>
      <c r="X598" s="60"/>
      <c r="Y598" s="60"/>
      <c r="Z598" s="60"/>
      <c r="AA598" s="60"/>
      <c r="AB598" s="60"/>
      <c r="AC598" s="60"/>
      <c r="AD598" s="66"/>
      <c r="AE598" s="60"/>
      <c r="AF598" s="61" t="str">
        <f aca="false">IF(AND(ISNUMBER(X598),ISNUMBER(Y598)),Y598-X598,"")</f>
        <v/>
      </c>
      <c r="AG598" s="62" t="str">
        <f aca="false">IF(ISNUMBER(AD598),AD598-(IF(AND(INDEX(TZ_DSTS,MATCH(P598,TZ_STN,0))&lt;&gt;"",(AD598-INDEX(TZ_STD,MATCH(P598,TZ_STN,0))/24)&gt;=INDEX(TZ_DSTS,MATCH(P598,TZ_STN,0)),(AD598-INDEX(TZ_STD,MATCH(P598,TZ_STN,0))/24)&lt;INDEX(TZ_DSTE,MATCH(P598,TZ_STN,0))),INDEX(TZ_DST,MATCH(P598,TZ_STN,0)),INDEX(TZ_STD,MATCH(P598,TZ_STN,0))))/24,"")</f>
        <v/>
      </c>
      <c r="AH598" s="65" t="str">
        <f aca="false">IFERROR(IF(N598="N/A – rule","N/A – RULE",IF(TRIM(U598)="N/A",IF(AT598=0,"INVALID – N/A not permitted for this check",IF(AND(TRIM(AB598)&lt;&gt;"",TRIM(AB598)&lt;&gt;"Closed"),"INVALID – corrective action still open",IF(AND(NOT(OR(LEN(AZ598)&lt;15,ISNUMBER(MATCH(AZ598,L_Placeholder,0)))),NOT(OR(LEN(AU598)&lt;2,ISNUMBER(MATCH(AU598,L_Placeholder,0)))),NOT(OR(LEN(AX598)&lt;2,ISNUMBER(MATCH(AX598,L_Placeholder,0)))),TRIM(AE598)&lt;&gt;TRIM(T598)),"N/A – JUSTIFIED","INVALID – N/A needs a real justification (15+ chars), PIC and a different verifier"))),IF(OR(TRIM(U598)="Pass",TRIM(U598)="Pass after CA"),IF(NOT(ISNUMBER(AD598)),"INVALID – completion time missing",IF(OR(LEN(AU598)&lt;2,ISNUMBER(MATCH(AU598,L_Placeholder,0))),"INVALID – PIC missing",IF(OR(LEN(AV598)&lt;2,ISNUMBER(MATCH(AV598,L_Placeholder,0))),"INVALID – result / assessment missing",IF(OR(OR(LEN(AW598)&lt;3,ISNUMBER(MATCH(AW598,L_Placeholder,0))),SUMPRODUCT(--ISNUMBER(SEARCH(L_EvidencePhrase,AW598)))&gt;0),"INVALID – evidence missing, placeholder or not yet on file",IF(OR(LEN(AX598)&lt;2,ISNUMBER(MATCH(AX598,L_Placeholder,0))),"INVALID – verifier missing",IF(AX598=AU598,"INVALID – verifier must be someone other than the PIC",IF(AND(TRIM(U598)="Pass",SUMPRODUCT(--ISNUMBER(SEARCH(L_ResultBad,AV598)))&gt;0),"INVALID – result describes a problem: use Fail, then Pass after CA",IF(AND(AQ598=1,OR(LEN(AY598)&lt;3,ISNUMBER(MATCH(AY598,L_Placeholder,0)))),"INVALID – batch ID missing or placeholder",IF(AND(AR598=1,OR(NOT(ISNUMBER(X598)),NOT(ISNUMBER(Y598)))),"INVALID – expected/actual qty missing",IF(AND(AR598=1,OR(X598&lt;=0,Y598&lt;0)),"INVALID – expected qty must be above 0 and actual not negative",IF(BB598&lt;&gt;"",BB598,IF(AND(AS598=1,Documents!$J$22&lt;&gt;"ON FILE"),"INVALID – GLD not on file (Documents sheet)",IF(AND(AS598=2,Documents!$O$22&lt;&gt;"ON FILE"),"INVALID – menu checklist not on file (Documents sheet)",IF(AND(AS598=3,NOT(ISNUMBER(Flights!$AX$22))),"INVALID – enter carrying flight KUL departure (Flights AX)",IF(AND(AS598=3,OR(Flights!$AZ$22&gt;Flights!$AA$22,Flights!$AX$22&lt;Flights!$AA$22-3)),"INVALID – carrying flight (Flights AX) cannot arrive before this leg's STD, or is over 3 days early",IF(AG598&gt;AsOfUTC,"INVALID – completion time is in the future",IF(AND(ISNUMBER(S598),AG598&lt;S598),IF(H598="Physical uplift","INVALID – before uplift window (cannot confirm loading)","INVALID – before valid window"),IF(AG598&gt;Flights!$AA$22,"INVALID – completed after departure (cannot establish readiness)",IF(AND(H598="Preparation",AG598&gt;IF(ISNUMBER(Flights!$BA$22),MIN(Flights!$BA$22,Flights!$AA$22),Flights!$AA$22)),"INVALID – completed after loading / departure (cannot establish readiness)",IF(AND(H598="Physical uplift",AG598&gt;Q598),"INVALID – recorded after the loading flight departed",IF(AG598&gt;Q598,"COMPLETE – LATE","COMPLETE"))))))))))))))))))))),IF(TRIM(U598)="Fail","FAIL – DISCREPANCY",IF(AND(TRIM(U598)&lt;&gt;"",TRIM(U598)&lt;&gt;"Not started",TRIM(U598)&lt;&gt;"In progress"),"INVALID – unrecognised status (use the list)",IF(AsOfUTC&gt;Q598,"OVERDUE",IF(N598="Clarification required","OPEN – CLARIFICATION","OPEN"))))))),"INVALID – error value in an input cell")</f>
        <v>OPEN</v>
      </c>
      <c r="AI598" s="61" t="n">
        <f aca="false">IF(OR(AH598="N/A – RULE",AH598="N/A – JUSTIFIED"),0,1)</f>
        <v>1</v>
      </c>
      <c r="AJ598" s="61" t="n">
        <f aca="false">IF(LEFT(AH598,8)="COMPLETE",1,0)</f>
        <v>0</v>
      </c>
      <c r="AK598" s="61" t="n">
        <f aca="false">IF(AND(AI598=1,AJ598=0,AsOfUTC&gt;Q598),1,0)</f>
        <v>0</v>
      </c>
      <c r="AL598" s="61" t="n">
        <f aca="false">IFERROR(IF(AND(AI598=1,OR(TRIM(U598)="Fail",AND(TRIM(AB598)&lt;&gt;"",TRIM(AB598)&lt;&gt;"Closed"),AND(ISNUMBER(AF598),AF598&lt;&gt;0,TRIM(U598)&lt;&gt;"Pass after CA"))),1,0),1)</f>
        <v>0</v>
      </c>
      <c r="AM598" s="61" t="n">
        <f aca="false">IF(LEFT(AH598,7)="INVALID",1,0)</f>
        <v>0</v>
      </c>
      <c r="AN598" s="61" t="n">
        <f aca="false">IF(AND(N598="Clarification required",AI598=1,AJ598=0),1,0)</f>
        <v>0</v>
      </c>
      <c r="AO598" s="61" t="str">
        <f aca="false">IF(AK598=1,SUM(AK$5:AK598),"")</f>
        <v/>
      </c>
      <c r="AP598" s="61" t="str">
        <f aca="false">IF(AL598=1,SUM(AL$5:AL598),"")</f>
        <v/>
      </c>
      <c r="AQ598" s="61" t="n">
        <v>0</v>
      </c>
      <c r="AR598" s="61" t="n">
        <v>0</v>
      </c>
      <c r="AS598" s="61" t="n">
        <v>0</v>
      </c>
      <c r="AT598" s="61" t="n">
        <v>0</v>
      </c>
      <c r="AU598" s="61" t="str">
        <f aca="false">SUBSTITUTE(SUBSTITUTE(SUBSTITUTE(SUBSTITUTE(SUBSTITUTE(SUBSTITUTE(SUBSTITUTE(SUBSTITUTE(SUBSTITUTE(SUBSTITUTE(SUBSTITUTE(SUBSTITUTE(SUBSTITUTE(LOWER(T598&amp;""),CHAR(160),"")," ",""),".",""),"-",""),"/",""),"?",""),"_",""),",",""),"[",""),"]",""),"(",""),")",""),"*","")</f>
        <v/>
      </c>
      <c r="AV598" s="61" t="str">
        <f aca="false">SUBSTITUTE(SUBSTITUTE(SUBSTITUTE(SUBSTITUTE(SUBSTITUTE(SUBSTITUTE(SUBSTITUTE(SUBSTITUTE(SUBSTITUTE(SUBSTITUTE(SUBSTITUTE(SUBSTITUTE(SUBSTITUTE(LOWER(V598&amp;""),CHAR(160),"")," ",""),".",""),"-",""),"/",""),"?",""),"_",""),",",""),"[",""),"]",""),"(",""),")",""),"*","")</f>
        <v/>
      </c>
      <c r="AW598" s="61" t="str">
        <f aca="false">SUBSTITUTE(SUBSTITUTE(SUBSTITUTE(SUBSTITUTE(SUBSTITUTE(SUBSTITUTE(SUBSTITUTE(SUBSTITUTE(SUBSTITUTE(SUBSTITUTE(SUBSTITUTE(SUBSTITUTE(SUBSTITUTE(LOWER(Z598&amp;""),CHAR(160),"")," ",""),".",""),"-",""),"/",""),"?",""),"_",""),",",""),"[",""),"]",""),"(",""),")",""),"*","")</f>
        <v/>
      </c>
      <c r="AX598" s="61" t="str">
        <f aca="false">SUBSTITUTE(SUBSTITUTE(SUBSTITUTE(SUBSTITUTE(SUBSTITUTE(SUBSTITUTE(SUBSTITUTE(SUBSTITUTE(SUBSTITUTE(SUBSTITUTE(SUBSTITUTE(SUBSTITUTE(SUBSTITUTE(LOWER(AE598&amp;""),CHAR(160),"")," ",""),".",""),"-",""),"/",""),"?",""),"_",""),",",""),"[",""),"]",""),"(",""),")",""),"*","")</f>
        <v/>
      </c>
      <c r="AY598" s="61" t="str">
        <f aca="false">SUBSTITUTE(SUBSTITUTE(SUBSTITUTE(SUBSTITUTE(SUBSTITUTE(SUBSTITUTE(SUBSTITUTE(SUBSTITUTE(SUBSTITUTE(SUBSTITUTE(SUBSTITUTE(SUBSTITUTE(SUBSTITUTE(LOWER(W598&amp;""),CHAR(160),"")," ",""),".",""),"-",""),"/",""),"?",""),"_",""),",",""),"[",""),"]",""),"(",""),")",""),"*","")</f>
        <v/>
      </c>
      <c r="AZ598" s="61" t="str">
        <f aca="false">SUBSTITUTE(SUBSTITUTE(SUBSTITUTE(SUBSTITUTE(SUBSTITUTE(SUBSTITUTE(SUBSTITUTE(SUBSTITUTE(SUBSTITUTE(SUBSTITUTE(SUBSTITUTE(SUBSTITUTE(SUBSTITUTE(LOWER(AC598&amp;""),CHAR(160),"")," ",""),".",""),"-",""),"/",""),"?",""),"_",""),",",""),"[",""),"]",""),"(",""),")",""),"*","")</f>
        <v/>
      </c>
      <c r="BA598" s="61" t="str">
        <f aca="false">SUBSTITUTE(SUBSTITUTE(SUBSTITUTE(SUBSTITUTE(SUBSTITUTE(SUBSTITUTE(SUBSTITUTE(SUBSTITUTE(SUBSTITUTE(SUBSTITUTE(SUBSTITUTE(SUBSTITUTE(SUBSTITUTE(LOWER(AA598&amp;""),CHAR(160),"")," ",""),".",""),"-",""),"/",""),"?",""),"_",""),",",""),"[",""),"]",""),"(",""),")",""),"*","")</f>
        <v/>
      </c>
      <c r="BB598" s="61" t="str">
        <f aca="false">IF(AND(TRIM(U598)="Pass",ISNUMBER(AF598)),IF(AF598&lt;&gt;0,"INVALID – qty variance: use Fail or Pass after CA",""),"")&amp;IF(AND(TRIM(U598)="Pass after CA",ISNUMBER(AF598)),IF(AF598&lt;&gt;0,"INVALID – after the corrective action the actual qty must equal expected (update Actual)",""),"")&amp;IF(AND(TRIM(U598)="Pass",TRIM(AB598)&lt;&gt;"",TRIM(AB598)&lt;&gt;"Closed"),"INVALID – corrective action not closed: use Fail, then Pass after CA","")&amp;IF(AND(TRIM(AA598)&lt;&gt;"",TRIM(AB598)=""),"INVALID – CA status missing for the recorded corrective action","")&amp;IF(AND(TRIM(U598)="Pass after CA",OR(OR(LEN(BA598)&lt;5,ISNUMBER(MATCH(BA598,L_Placeholder,0))),TRIM(AB598)&lt;&gt;"Closed")),"INVALID – corrective action not recorded/closed","")</f>
        <v/>
      </c>
    </row>
    <row r="599" customFormat="false" ht="41.25" hidden="false" customHeight="true" outlineLevel="0" collapsed="false">
      <c r="A599" s="57" t="s">
        <v>1279</v>
      </c>
      <c r="B599" s="57" t="s">
        <v>290</v>
      </c>
      <c r="C599" s="57" t="str">
        <f aca="false">Flights!$F$22</f>
        <v>MH0052</v>
      </c>
      <c r="D599" s="58" t="n">
        <f aca="false">Flights!$D$22</f>
        <v>46322</v>
      </c>
      <c r="E599" s="57" t="str">
        <f aca="false">Flights!$G$22&amp;"-"&amp;Flights!$H$22</f>
        <v>KUL-KIX</v>
      </c>
      <c r="F599" s="57" t="str">
        <f aca="false">Flights!$K$22</f>
        <v>BC</v>
      </c>
      <c r="G599" s="57" t="s">
        <v>398</v>
      </c>
      <c r="H599" s="57" t="s">
        <v>356</v>
      </c>
      <c r="I599" s="57" t="s">
        <v>425</v>
      </c>
      <c r="J599" s="57" t="s">
        <v>504</v>
      </c>
      <c r="K599" s="67" t="s">
        <v>427</v>
      </c>
      <c r="L599" s="67" t="s">
        <v>1280</v>
      </c>
      <c r="M599" s="67" t="s">
        <v>429</v>
      </c>
      <c r="N599" s="67" t="s">
        <v>361</v>
      </c>
      <c r="O599" s="67" t="s">
        <v>481</v>
      </c>
      <c r="P599" s="57" t="s">
        <v>184</v>
      </c>
      <c r="Q599" s="59" t="n">
        <f aca="false">ROUND((Flights!$AE$22)*1440,0)/1440</f>
        <v>46322.1006944444</v>
      </c>
      <c r="R599" s="59" t="n">
        <f aca="false">Q599+(IF(AND(INDEX(TZ_DSTS,MATCH(P599,TZ_STN,0))&lt;&gt;"",Q599&gt;=INDEX(TZ_DSTS,MATCH(P599,TZ_STN,0)),Q599&lt;INDEX(TZ_DSTE,MATCH(P599,TZ_STN,0))),INDEX(TZ_DST,MATCH(P599,TZ_STN,0)),INDEX(TZ_STD,MATCH(P599,TZ_STN,0))))/24</f>
        <v>46322.4340277778</v>
      </c>
      <c r="S599" s="59" t="n">
        <f aca="false">Q599-T12EarlyH/24</f>
        <v>46321.6006944444</v>
      </c>
      <c r="T599" s="60"/>
      <c r="U599" s="60"/>
      <c r="V599" s="60"/>
      <c r="W599" s="61"/>
      <c r="X599" s="60"/>
      <c r="Y599" s="60"/>
      <c r="Z599" s="60"/>
      <c r="AA599" s="60"/>
      <c r="AB599" s="60"/>
      <c r="AC599" s="60"/>
      <c r="AD599" s="66"/>
      <c r="AE599" s="60"/>
      <c r="AF599" s="61" t="str">
        <f aca="false">IF(AND(ISNUMBER(X599),ISNUMBER(Y599)),Y599-X599,"")</f>
        <v/>
      </c>
      <c r="AG599" s="62" t="str">
        <f aca="false">IF(ISNUMBER(AD599),AD599-(IF(AND(INDEX(TZ_DSTS,MATCH(P599,TZ_STN,0))&lt;&gt;"",(AD599-INDEX(TZ_STD,MATCH(P599,TZ_STN,0))/24)&gt;=INDEX(TZ_DSTS,MATCH(P599,TZ_STN,0)),(AD599-INDEX(TZ_STD,MATCH(P599,TZ_STN,0))/24)&lt;INDEX(TZ_DSTE,MATCH(P599,TZ_STN,0))),INDEX(TZ_DST,MATCH(P599,TZ_STN,0)),INDEX(TZ_STD,MATCH(P599,TZ_STN,0))))/24,"")</f>
        <v/>
      </c>
      <c r="AH599" s="65" t="str">
        <f aca="false">IFERROR(IF(N599="N/A – rule","N/A – RULE",IF(TRIM(U599)="N/A",IF(AT599=0,"INVALID – N/A not permitted for this check",IF(AND(TRIM(AB599)&lt;&gt;"",TRIM(AB599)&lt;&gt;"Closed"),"INVALID – corrective action still open",IF(AND(NOT(OR(LEN(AZ599)&lt;15,ISNUMBER(MATCH(AZ599,L_Placeholder,0)))),NOT(OR(LEN(AU599)&lt;2,ISNUMBER(MATCH(AU599,L_Placeholder,0)))),NOT(OR(LEN(AX599)&lt;2,ISNUMBER(MATCH(AX599,L_Placeholder,0)))),TRIM(AE599)&lt;&gt;TRIM(T599)),"N/A – JUSTIFIED","INVALID – N/A needs a real justification (15+ chars), PIC and a different verifier"))),IF(OR(TRIM(U599)="Pass",TRIM(U599)="Pass after CA"),IF(NOT(ISNUMBER(AD599)),"INVALID – completion time missing",IF(OR(LEN(AU599)&lt;2,ISNUMBER(MATCH(AU599,L_Placeholder,0))),"INVALID – PIC missing",IF(OR(LEN(AV599)&lt;2,ISNUMBER(MATCH(AV599,L_Placeholder,0))),"INVALID – result / assessment missing",IF(OR(OR(LEN(AW599)&lt;3,ISNUMBER(MATCH(AW599,L_Placeholder,0))),SUMPRODUCT(--ISNUMBER(SEARCH(L_EvidencePhrase,AW599)))&gt;0),"INVALID – evidence missing, placeholder or not yet on file",IF(OR(LEN(AX599)&lt;2,ISNUMBER(MATCH(AX599,L_Placeholder,0))),"INVALID – verifier missing",IF(AX599=AU599,"INVALID – verifier must be someone other than the PIC",IF(AND(TRIM(U599)="Pass",SUMPRODUCT(--ISNUMBER(SEARCH(L_ResultBad,AV599)))&gt;0),"INVALID – result describes a problem: use Fail, then Pass after CA",IF(AND(AQ599=1,OR(LEN(AY599)&lt;3,ISNUMBER(MATCH(AY599,L_Placeholder,0)))),"INVALID – batch ID missing or placeholder",IF(AND(AR599=1,OR(NOT(ISNUMBER(X599)),NOT(ISNUMBER(Y599)))),"INVALID – expected/actual qty missing",IF(AND(AR599=1,OR(X599&lt;=0,Y599&lt;0)),"INVALID – expected qty must be above 0 and actual not negative",IF(BB599&lt;&gt;"",BB599,IF(AND(AS599=1,Documents!$J$22&lt;&gt;"ON FILE"),"INVALID – GLD not on file (Documents sheet)",IF(AND(AS599=2,Documents!$O$22&lt;&gt;"ON FILE"),"INVALID – menu checklist not on file (Documents sheet)",IF(AND(AS599=3,NOT(ISNUMBER(Flights!$AX$22))),"INVALID – enter carrying flight KUL departure (Flights AX)",IF(AND(AS599=3,OR(Flights!$AZ$22&gt;Flights!$AA$22,Flights!$AX$22&lt;Flights!$AA$22-3)),"INVALID – carrying flight (Flights AX) cannot arrive before this leg's STD, or is over 3 days early",IF(AG599&gt;AsOfUTC,"INVALID – completion time is in the future",IF(AND(ISNUMBER(S599),AG599&lt;S599),IF(H599="Physical uplift","INVALID – before uplift window (cannot confirm loading)","INVALID – before valid window"),IF(AG599&gt;Flights!$AA$22,"INVALID – completed after departure (cannot establish readiness)",IF(AND(H599="Preparation",AG599&gt;IF(ISNUMBER(Flights!$BA$22),MIN(Flights!$BA$22,Flights!$AA$22),Flights!$AA$22)),"INVALID – completed after loading / departure (cannot establish readiness)",IF(AND(H599="Physical uplift",AG599&gt;Q599),"INVALID – recorded after the loading flight departed",IF(AG599&gt;Q599,"COMPLETE – LATE","COMPLETE"))))))))))))))))))))),IF(TRIM(U599)="Fail","FAIL – DISCREPANCY",IF(AND(TRIM(U599)&lt;&gt;"",TRIM(U599)&lt;&gt;"Not started",TRIM(U599)&lt;&gt;"In progress"),"INVALID – unrecognised status (use the list)",IF(AsOfUTC&gt;Q599,"OVERDUE",IF(N599="Clarification required","OPEN – CLARIFICATION","OPEN"))))))),"INVALID – error value in an input cell")</f>
        <v>OPEN</v>
      </c>
      <c r="AI599" s="61" t="n">
        <f aca="false">IF(OR(AH599="N/A – RULE",AH599="N/A – JUSTIFIED"),0,1)</f>
        <v>1</v>
      </c>
      <c r="AJ599" s="61" t="n">
        <f aca="false">IF(LEFT(AH599,8)="COMPLETE",1,0)</f>
        <v>0</v>
      </c>
      <c r="AK599" s="61" t="n">
        <f aca="false">IF(AND(AI599=1,AJ599=0,AsOfUTC&gt;Q599),1,0)</f>
        <v>0</v>
      </c>
      <c r="AL599" s="61" t="n">
        <f aca="false">IFERROR(IF(AND(AI599=1,OR(TRIM(U599)="Fail",AND(TRIM(AB599)&lt;&gt;"",TRIM(AB599)&lt;&gt;"Closed"),AND(ISNUMBER(AF599),AF599&lt;&gt;0,TRIM(U599)&lt;&gt;"Pass after CA"))),1,0),1)</f>
        <v>0</v>
      </c>
      <c r="AM599" s="61" t="n">
        <f aca="false">IF(LEFT(AH599,7)="INVALID",1,0)</f>
        <v>0</v>
      </c>
      <c r="AN599" s="61" t="n">
        <f aca="false">IF(AND(N599="Clarification required",AI599=1,AJ599=0),1,0)</f>
        <v>0</v>
      </c>
      <c r="AO599" s="61" t="str">
        <f aca="false">IF(AK599=1,SUM(AK$5:AK599),"")</f>
        <v/>
      </c>
      <c r="AP599" s="61" t="str">
        <f aca="false">IF(AL599=1,SUM(AL$5:AL599),"")</f>
        <v/>
      </c>
      <c r="AQ599" s="61" t="n">
        <v>0</v>
      </c>
      <c r="AR599" s="61" t="n">
        <v>0</v>
      </c>
      <c r="AS599" s="61" t="n">
        <v>0</v>
      </c>
      <c r="AT599" s="61" t="n">
        <v>0</v>
      </c>
      <c r="AU599" s="61" t="str">
        <f aca="false">SUBSTITUTE(SUBSTITUTE(SUBSTITUTE(SUBSTITUTE(SUBSTITUTE(SUBSTITUTE(SUBSTITUTE(SUBSTITUTE(SUBSTITUTE(SUBSTITUTE(SUBSTITUTE(SUBSTITUTE(SUBSTITUTE(LOWER(T599&amp;""),CHAR(160),"")," ",""),".",""),"-",""),"/",""),"?",""),"_",""),",",""),"[",""),"]",""),"(",""),")",""),"*","")</f>
        <v/>
      </c>
      <c r="AV599" s="61" t="str">
        <f aca="false">SUBSTITUTE(SUBSTITUTE(SUBSTITUTE(SUBSTITUTE(SUBSTITUTE(SUBSTITUTE(SUBSTITUTE(SUBSTITUTE(SUBSTITUTE(SUBSTITUTE(SUBSTITUTE(SUBSTITUTE(SUBSTITUTE(LOWER(V599&amp;""),CHAR(160),"")," ",""),".",""),"-",""),"/",""),"?",""),"_",""),",",""),"[",""),"]",""),"(",""),")",""),"*","")</f>
        <v/>
      </c>
      <c r="AW599" s="61" t="str">
        <f aca="false">SUBSTITUTE(SUBSTITUTE(SUBSTITUTE(SUBSTITUTE(SUBSTITUTE(SUBSTITUTE(SUBSTITUTE(SUBSTITUTE(SUBSTITUTE(SUBSTITUTE(SUBSTITUTE(SUBSTITUTE(SUBSTITUTE(LOWER(Z599&amp;""),CHAR(160),"")," ",""),".",""),"-",""),"/",""),"?",""),"_",""),",",""),"[",""),"]",""),"(",""),")",""),"*","")</f>
        <v/>
      </c>
      <c r="AX599" s="61" t="str">
        <f aca="false">SUBSTITUTE(SUBSTITUTE(SUBSTITUTE(SUBSTITUTE(SUBSTITUTE(SUBSTITUTE(SUBSTITUTE(SUBSTITUTE(SUBSTITUTE(SUBSTITUTE(SUBSTITUTE(SUBSTITUTE(SUBSTITUTE(LOWER(AE599&amp;""),CHAR(160),"")," ",""),".",""),"-",""),"/",""),"?",""),"_",""),",",""),"[",""),"]",""),"(",""),")",""),"*","")</f>
        <v/>
      </c>
      <c r="AY599" s="61" t="str">
        <f aca="false">SUBSTITUTE(SUBSTITUTE(SUBSTITUTE(SUBSTITUTE(SUBSTITUTE(SUBSTITUTE(SUBSTITUTE(SUBSTITUTE(SUBSTITUTE(SUBSTITUTE(SUBSTITUTE(SUBSTITUTE(SUBSTITUTE(LOWER(W599&amp;""),CHAR(160),"")," ",""),".",""),"-",""),"/",""),"?",""),"_",""),",",""),"[",""),"]",""),"(",""),")",""),"*","")</f>
        <v/>
      </c>
      <c r="AZ599" s="61" t="str">
        <f aca="false">SUBSTITUTE(SUBSTITUTE(SUBSTITUTE(SUBSTITUTE(SUBSTITUTE(SUBSTITUTE(SUBSTITUTE(SUBSTITUTE(SUBSTITUTE(SUBSTITUTE(SUBSTITUTE(SUBSTITUTE(SUBSTITUTE(LOWER(AC599&amp;""),CHAR(160),"")," ",""),".",""),"-",""),"/",""),"?",""),"_",""),",",""),"[",""),"]",""),"(",""),")",""),"*","")</f>
        <v/>
      </c>
      <c r="BA599" s="61" t="str">
        <f aca="false">SUBSTITUTE(SUBSTITUTE(SUBSTITUTE(SUBSTITUTE(SUBSTITUTE(SUBSTITUTE(SUBSTITUTE(SUBSTITUTE(SUBSTITUTE(SUBSTITUTE(SUBSTITUTE(SUBSTITUTE(SUBSTITUTE(LOWER(AA599&amp;""),CHAR(160),"")," ",""),".",""),"-",""),"/",""),"?",""),"_",""),",",""),"[",""),"]",""),"(",""),")",""),"*","")</f>
        <v/>
      </c>
      <c r="BB599" s="61" t="str">
        <f aca="false">IF(AND(TRIM(U599)="Pass",ISNUMBER(AF599)),IF(AF599&lt;&gt;0,"INVALID – qty variance: use Fail or Pass after CA",""),"")&amp;IF(AND(TRIM(U599)="Pass after CA",ISNUMBER(AF599)),IF(AF599&lt;&gt;0,"INVALID – after the corrective action the actual qty must equal expected (update Actual)",""),"")&amp;IF(AND(TRIM(U599)="Pass",TRIM(AB599)&lt;&gt;"",TRIM(AB599)&lt;&gt;"Closed"),"INVALID – corrective action not closed: use Fail, then Pass after CA","")&amp;IF(AND(TRIM(AA599)&lt;&gt;"",TRIM(AB599)=""),"INVALID – CA status missing for the recorded corrective action","")&amp;IF(AND(TRIM(U599)="Pass after CA",OR(OR(LEN(BA599)&lt;5,ISNUMBER(MATCH(BA599,L_Placeholder,0))),TRIM(AB599)&lt;&gt;"Closed")),"INVALID – corrective action not recorded/closed","")</f>
        <v/>
      </c>
    </row>
    <row r="600" customFormat="false" ht="41.25" hidden="false" customHeight="true" outlineLevel="0" collapsed="false">
      <c r="A600" s="57" t="s">
        <v>1281</v>
      </c>
      <c r="B600" s="57" t="s">
        <v>290</v>
      </c>
      <c r="C600" s="57" t="str">
        <f aca="false">Flights!$F$22</f>
        <v>MH0052</v>
      </c>
      <c r="D600" s="58" t="n">
        <f aca="false">Flights!$D$22</f>
        <v>46322</v>
      </c>
      <c r="E600" s="57" t="str">
        <f aca="false">Flights!$G$22&amp;"-"&amp;Flights!$H$22</f>
        <v>KUL-KIX</v>
      </c>
      <c r="F600" s="57" t="str">
        <f aca="false">Flights!$K$22</f>
        <v>BC</v>
      </c>
      <c r="G600" s="57" t="s">
        <v>398</v>
      </c>
      <c r="H600" s="57" t="s">
        <v>356</v>
      </c>
      <c r="I600" s="57" t="s">
        <v>425</v>
      </c>
      <c r="J600" s="57" t="s">
        <v>601</v>
      </c>
      <c r="K600" s="67" t="s">
        <v>427</v>
      </c>
      <c r="L600" s="67" t="s">
        <v>1282</v>
      </c>
      <c r="M600" s="67" t="s">
        <v>429</v>
      </c>
      <c r="N600" s="67" t="s">
        <v>361</v>
      </c>
      <c r="O600" s="67" t="s">
        <v>481</v>
      </c>
      <c r="P600" s="57" t="s">
        <v>184</v>
      </c>
      <c r="Q600" s="59" t="n">
        <f aca="false">ROUND((Flights!$AE$22)*1440,0)/1440</f>
        <v>46322.1006944444</v>
      </c>
      <c r="R600" s="59" t="n">
        <f aca="false">Q600+(IF(AND(INDEX(TZ_DSTS,MATCH(P600,TZ_STN,0))&lt;&gt;"",Q600&gt;=INDEX(TZ_DSTS,MATCH(P600,TZ_STN,0)),Q600&lt;INDEX(TZ_DSTE,MATCH(P600,TZ_STN,0))),INDEX(TZ_DST,MATCH(P600,TZ_STN,0)),INDEX(TZ_STD,MATCH(P600,TZ_STN,0))))/24</f>
        <v>46322.4340277778</v>
      </c>
      <c r="S600" s="59" t="n">
        <f aca="false">Q600-T12EarlyH/24</f>
        <v>46321.6006944444</v>
      </c>
      <c r="T600" s="60"/>
      <c r="U600" s="60"/>
      <c r="V600" s="60"/>
      <c r="W600" s="61"/>
      <c r="X600" s="60"/>
      <c r="Y600" s="60"/>
      <c r="Z600" s="60"/>
      <c r="AA600" s="60"/>
      <c r="AB600" s="60"/>
      <c r="AC600" s="60"/>
      <c r="AD600" s="66"/>
      <c r="AE600" s="60"/>
      <c r="AF600" s="61" t="str">
        <f aca="false">IF(AND(ISNUMBER(X600),ISNUMBER(Y600)),Y600-X600,"")</f>
        <v/>
      </c>
      <c r="AG600" s="62" t="str">
        <f aca="false">IF(ISNUMBER(AD600),AD600-(IF(AND(INDEX(TZ_DSTS,MATCH(P600,TZ_STN,0))&lt;&gt;"",(AD600-INDEX(TZ_STD,MATCH(P600,TZ_STN,0))/24)&gt;=INDEX(TZ_DSTS,MATCH(P600,TZ_STN,0)),(AD600-INDEX(TZ_STD,MATCH(P600,TZ_STN,0))/24)&lt;INDEX(TZ_DSTE,MATCH(P600,TZ_STN,0))),INDEX(TZ_DST,MATCH(P600,TZ_STN,0)),INDEX(TZ_STD,MATCH(P600,TZ_STN,0))))/24,"")</f>
        <v/>
      </c>
      <c r="AH600" s="65" t="str">
        <f aca="false">IFERROR(IF(N600="N/A – rule","N/A – RULE",IF(TRIM(U600)="N/A",IF(AT600=0,"INVALID – N/A not permitted for this check",IF(AND(TRIM(AB600)&lt;&gt;"",TRIM(AB600)&lt;&gt;"Closed"),"INVALID – corrective action still open",IF(AND(NOT(OR(LEN(AZ600)&lt;15,ISNUMBER(MATCH(AZ600,L_Placeholder,0)))),NOT(OR(LEN(AU600)&lt;2,ISNUMBER(MATCH(AU600,L_Placeholder,0)))),NOT(OR(LEN(AX600)&lt;2,ISNUMBER(MATCH(AX600,L_Placeholder,0)))),TRIM(AE600)&lt;&gt;TRIM(T600)),"N/A – JUSTIFIED","INVALID – N/A needs a real justification (15+ chars), PIC and a different verifier"))),IF(OR(TRIM(U600)="Pass",TRIM(U600)="Pass after CA"),IF(NOT(ISNUMBER(AD600)),"INVALID – completion time missing",IF(OR(LEN(AU600)&lt;2,ISNUMBER(MATCH(AU600,L_Placeholder,0))),"INVALID – PIC missing",IF(OR(LEN(AV600)&lt;2,ISNUMBER(MATCH(AV600,L_Placeholder,0))),"INVALID – result / assessment missing",IF(OR(OR(LEN(AW600)&lt;3,ISNUMBER(MATCH(AW600,L_Placeholder,0))),SUMPRODUCT(--ISNUMBER(SEARCH(L_EvidencePhrase,AW600)))&gt;0),"INVALID – evidence missing, placeholder or not yet on file",IF(OR(LEN(AX600)&lt;2,ISNUMBER(MATCH(AX600,L_Placeholder,0))),"INVALID – verifier missing",IF(AX600=AU600,"INVALID – verifier must be someone other than the PIC",IF(AND(TRIM(U600)="Pass",SUMPRODUCT(--ISNUMBER(SEARCH(L_ResultBad,AV600)))&gt;0),"INVALID – result describes a problem: use Fail, then Pass after CA",IF(AND(AQ600=1,OR(LEN(AY600)&lt;3,ISNUMBER(MATCH(AY600,L_Placeholder,0)))),"INVALID – batch ID missing or placeholder",IF(AND(AR600=1,OR(NOT(ISNUMBER(X600)),NOT(ISNUMBER(Y600)))),"INVALID – expected/actual qty missing",IF(AND(AR600=1,OR(X600&lt;=0,Y600&lt;0)),"INVALID – expected qty must be above 0 and actual not negative",IF(BB600&lt;&gt;"",BB600,IF(AND(AS600=1,Documents!$J$22&lt;&gt;"ON FILE"),"INVALID – GLD not on file (Documents sheet)",IF(AND(AS600=2,Documents!$O$22&lt;&gt;"ON FILE"),"INVALID – menu checklist not on file (Documents sheet)",IF(AND(AS600=3,NOT(ISNUMBER(Flights!$AX$22))),"INVALID – enter carrying flight KUL departure (Flights AX)",IF(AND(AS600=3,OR(Flights!$AZ$22&gt;Flights!$AA$22,Flights!$AX$22&lt;Flights!$AA$22-3)),"INVALID – carrying flight (Flights AX) cannot arrive before this leg's STD, or is over 3 days early",IF(AG600&gt;AsOfUTC,"INVALID – completion time is in the future",IF(AND(ISNUMBER(S600),AG600&lt;S600),IF(H600="Physical uplift","INVALID – before uplift window (cannot confirm loading)","INVALID – before valid window"),IF(AG600&gt;Flights!$AA$22,"INVALID – completed after departure (cannot establish readiness)",IF(AND(H600="Preparation",AG600&gt;IF(ISNUMBER(Flights!$BA$22),MIN(Flights!$BA$22,Flights!$AA$22),Flights!$AA$22)),"INVALID – completed after loading / departure (cannot establish readiness)",IF(AND(H600="Physical uplift",AG600&gt;Q600),"INVALID – recorded after the loading flight departed",IF(AG600&gt;Q600,"COMPLETE – LATE","COMPLETE"))))))))))))))))))))),IF(TRIM(U600)="Fail","FAIL – DISCREPANCY",IF(AND(TRIM(U600)&lt;&gt;"",TRIM(U600)&lt;&gt;"Not started",TRIM(U600)&lt;&gt;"In progress"),"INVALID – unrecognised status (use the list)",IF(AsOfUTC&gt;Q600,"OVERDUE",IF(N600="Clarification required","OPEN – CLARIFICATION","OPEN"))))))),"INVALID – error value in an input cell")</f>
        <v>OPEN</v>
      </c>
      <c r="AI600" s="61" t="n">
        <f aca="false">IF(OR(AH600="N/A – RULE",AH600="N/A – JUSTIFIED"),0,1)</f>
        <v>1</v>
      </c>
      <c r="AJ600" s="61" t="n">
        <f aca="false">IF(LEFT(AH600,8)="COMPLETE",1,0)</f>
        <v>0</v>
      </c>
      <c r="AK600" s="61" t="n">
        <f aca="false">IF(AND(AI600=1,AJ600=0,AsOfUTC&gt;Q600),1,0)</f>
        <v>0</v>
      </c>
      <c r="AL600" s="61" t="n">
        <f aca="false">IFERROR(IF(AND(AI600=1,OR(TRIM(U600)="Fail",AND(TRIM(AB600)&lt;&gt;"",TRIM(AB600)&lt;&gt;"Closed"),AND(ISNUMBER(AF600),AF600&lt;&gt;0,TRIM(U600)&lt;&gt;"Pass after CA"))),1,0),1)</f>
        <v>0</v>
      </c>
      <c r="AM600" s="61" t="n">
        <f aca="false">IF(LEFT(AH600,7)="INVALID",1,0)</f>
        <v>0</v>
      </c>
      <c r="AN600" s="61" t="n">
        <f aca="false">IF(AND(N600="Clarification required",AI600=1,AJ600=0),1,0)</f>
        <v>0</v>
      </c>
      <c r="AO600" s="61" t="str">
        <f aca="false">IF(AK600=1,SUM(AK$5:AK600),"")</f>
        <v/>
      </c>
      <c r="AP600" s="61" t="str">
        <f aca="false">IF(AL600=1,SUM(AL$5:AL600),"")</f>
        <v/>
      </c>
      <c r="AQ600" s="61" t="n">
        <v>0</v>
      </c>
      <c r="AR600" s="61" t="n">
        <v>0</v>
      </c>
      <c r="AS600" s="61" t="n">
        <v>0</v>
      </c>
      <c r="AT600" s="61" t="n">
        <v>0</v>
      </c>
      <c r="AU600" s="61" t="str">
        <f aca="false">SUBSTITUTE(SUBSTITUTE(SUBSTITUTE(SUBSTITUTE(SUBSTITUTE(SUBSTITUTE(SUBSTITUTE(SUBSTITUTE(SUBSTITUTE(SUBSTITUTE(SUBSTITUTE(SUBSTITUTE(SUBSTITUTE(LOWER(T600&amp;""),CHAR(160),"")," ",""),".",""),"-",""),"/",""),"?",""),"_",""),",",""),"[",""),"]",""),"(",""),")",""),"*","")</f>
        <v/>
      </c>
      <c r="AV600" s="61" t="str">
        <f aca="false">SUBSTITUTE(SUBSTITUTE(SUBSTITUTE(SUBSTITUTE(SUBSTITUTE(SUBSTITUTE(SUBSTITUTE(SUBSTITUTE(SUBSTITUTE(SUBSTITUTE(SUBSTITUTE(SUBSTITUTE(SUBSTITUTE(LOWER(V600&amp;""),CHAR(160),"")," ",""),".",""),"-",""),"/",""),"?",""),"_",""),",",""),"[",""),"]",""),"(",""),")",""),"*","")</f>
        <v/>
      </c>
      <c r="AW600" s="61" t="str">
        <f aca="false">SUBSTITUTE(SUBSTITUTE(SUBSTITUTE(SUBSTITUTE(SUBSTITUTE(SUBSTITUTE(SUBSTITUTE(SUBSTITUTE(SUBSTITUTE(SUBSTITUTE(SUBSTITUTE(SUBSTITUTE(SUBSTITUTE(LOWER(Z600&amp;""),CHAR(160),"")," ",""),".",""),"-",""),"/",""),"?",""),"_",""),",",""),"[",""),"]",""),"(",""),")",""),"*","")</f>
        <v/>
      </c>
      <c r="AX600" s="61" t="str">
        <f aca="false">SUBSTITUTE(SUBSTITUTE(SUBSTITUTE(SUBSTITUTE(SUBSTITUTE(SUBSTITUTE(SUBSTITUTE(SUBSTITUTE(SUBSTITUTE(SUBSTITUTE(SUBSTITUTE(SUBSTITUTE(SUBSTITUTE(LOWER(AE600&amp;""),CHAR(160),"")," ",""),".",""),"-",""),"/",""),"?",""),"_",""),",",""),"[",""),"]",""),"(",""),")",""),"*","")</f>
        <v/>
      </c>
      <c r="AY600" s="61" t="str">
        <f aca="false">SUBSTITUTE(SUBSTITUTE(SUBSTITUTE(SUBSTITUTE(SUBSTITUTE(SUBSTITUTE(SUBSTITUTE(SUBSTITUTE(SUBSTITUTE(SUBSTITUTE(SUBSTITUTE(SUBSTITUTE(SUBSTITUTE(LOWER(W600&amp;""),CHAR(160),"")," ",""),".",""),"-",""),"/",""),"?",""),"_",""),",",""),"[",""),"]",""),"(",""),")",""),"*","")</f>
        <v/>
      </c>
      <c r="AZ600" s="61" t="str">
        <f aca="false">SUBSTITUTE(SUBSTITUTE(SUBSTITUTE(SUBSTITUTE(SUBSTITUTE(SUBSTITUTE(SUBSTITUTE(SUBSTITUTE(SUBSTITUTE(SUBSTITUTE(SUBSTITUTE(SUBSTITUTE(SUBSTITUTE(LOWER(AC600&amp;""),CHAR(160),"")," ",""),".",""),"-",""),"/",""),"?",""),"_",""),",",""),"[",""),"]",""),"(",""),")",""),"*","")</f>
        <v/>
      </c>
      <c r="BA600" s="61" t="str">
        <f aca="false">SUBSTITUTE(SUBSTITUTE(SUBSTITUTE(SUBSTITUTE(SUBSTITUTE(SUBSTITUTE(SUBSTITUTE(SUBSTITUTE(SUBSTITUTE(SUBSTITUTE(SUBSTITUTE(SUBSTITUTE(SUBSTITUTE(LOWER(AA600&amp;""),CHAR(160),"")," ",""),".",""),"-",""),"/",""),"?",""),"_",""),",",""),"[",""),"]",""),"(",""),")",""),"*","")</f>
        <v/>
      </c>
      <c r="BB600" s="61" t="str">
        <f aca="false">IF(AND(TRIM(U600)="Pass",ISNUMBER(AF600)),IF(AF600&lt;&gt;0,"INVALID – qty variance: use Fail or Pass after CA",""),"")&amp;IF(AND(TRIM(U600)="Pass after CA",ISNUMBER(AF600)),IF(AF600&lt;&gt;0,"INVALID – after the corrective action the actual qty must equal expected (update Actual)",""),"")&amp;IF(AND(TRIM(U600)="Pass",TRIM(AB600)&lt;&gt;"",TRIM(AB600)&lt;&gt;"Closed"),"INVALID – corrective action not closed: use Fail, then Pass after CA","")&amp;IF(AND(TRIM(AA600)&lt;&gt;"",TRIM(AB600)=""),"INVALID – CA status missing for the recorded corrective action","")&amp;IF(AND(TRIM(U600)="Pass after CA",OR(OR(LEN(BA600)&lt;5,ISNUMBER(MATCH(BA600,L_Placeholder,0))),TRIM(AB600)&lt;&gt;"Closed")),"INVALID – corrective action not recorded/closed","")</f>
        <v/>
      </c>
    </row>
    <row r="601" customFormat="false" ht="41.25" hidden="false" customHeight="true" outlineLevel="0" collapsed="false">
      <c r="A601" s="57" t="s">
        <v>1283</v>
      </c>
      <c r="B601" s="57" t="s">
        <v>290</v>
      </c>
      <c r="C601" s="57" t="str">
        <f aca="false">Flights!$F$22</f>
        <v>MH0052</v>
      </c>
      <c r="D601" s="58" t="n">
        <f aca="false">Flights!$D$22</f>
        <v>46322</v>
      </c>
      <c r="E601" s="57" t="str">
        <f aca="false">Flights!$G$22&amp;"-"&amp;Flights!$H$22</f>
        <v>KUL-KIX</v>
      </c>
      <c r="F601" s="57" t="str">
        <f aca="false">Flights!$K$22</f>
        <v>BC</v>
      </c>
      <c r="G601" s="57" t="s">
        <v>398</v>
      </c>
      <c r="H601" s="57" t="s">
        <v>356</v>
      </c>
      <c r="I601" s="57" t="s">
        <v>425</v>
      </c>
      <c r="J601" s="57" t="s">
        <v>604</v>
      </c>
      <c r="K601" s="67" t="s">
        <v>427</v>
      </c>
      <c r="L601" s="67" t="s">
        <v>1284</v>
      </c>
      <c r="M601" s="67" t="s">
        <v>429</v>
      </c>
      <c r="N601" s="67" t="s">
        <v>361</v>
      </c>
      <c r="O601" s="67" t="s">
        <v>481</v>
      </c>
      <c r="P601" s="57" t="s">
        <v>184</v>
      </c>
      <c r="Q601" s="59" t="n">
        <f aca="false">ROUND((Flights!$AE$22)*1440,0)/1440</f>
        <v>46322.1006944444</v>
      </c>
      <c r="R601" s="59" t="n">
        <f aca="false">Q601+(IF(AND(INDEX(TZ_DSTS,MATCH(P601,TZ_STN,0))&lt;&gt;"",Q601&gt;=INDEX(TZ_DSTS,MATCH(P601,TZ_STN,0)),Q601&lt;INDEX(TZ_DSTE,MATCH(P601,TZ_STN,0))),INDEX(TZ_DST,MATCH(P601,TZ_STN,0)),INDEX(TZ_STD,MATCH(P601,TZ_STN,0))))/24</f>
        <v>46322.4340277778</v>
      </c>
      <c r="S601" s="59" t="n">
        <f aca="false">Q601-T12EarlyH/24</f>
        <v>46321.6006944444</v>
      </c>
      <c r="T601" s="60"/>
      <c r="U601" s="60"/>
      <c r="V601" s="60"/>
      <c r="W601" s="61"/>
      <c r="X601" s="60"/>
      <c r="Y601" s="60"/>
      <c r="Z601" s="60"/>
      <c r="AA601" s="60"/>
      <c r="AB601" s="60"/>
      <c r="AC601" s="60"/>
      <c r="AD601" s="66"/>
      <c r="AE601" s="60"/>
      <c r="AF601" s="61" t="str">
        <f aca="false">IF(AND(ISNUMBER(X601),ISNUMBER(Y601)),Y601-X601,"")</f>
        <v/>
      </c>
      <c r="AG601" s="62" t="str">
        <f aca="false">IF(ISNUMBER(AD601),AD601-(IF(AND(INDEX(TZ_DSTS,MATCH(P601,TZ_STN,0))&lt;&gt;"",(AD601-INDEX(TZ_STD,MATCH(P601,TZ_STN,0))/24)&gt;=INDEX(TZ_DSTS,MATCH(P601,TZ_STN,0)),(AD601-INDEX(TZ_STD,MATCH(P601,TZ_STN,0))/24)&lt;INDEX(TZ_DSTE,MATCH(P601,TZ_STN,0))),INDEX(TZ_DST,MATCH(P601,TZ_STN,0)),INDEX(TZ_STD,MATCH(P601,TZ_STN,0))))/24,"")</f>
        <v/>
      </c>
      <c r="AH601" s="65" t="str">
        <f aca="false">IFERROR(IF(N601="N/A – rule","N/A – RULE",IF(TRIM(U601)="N/A",IF(AT601=0,"INVALID – N/A not permitted for this check",IF(AND(TRIM(AB601)&lt;&gt;"",TRIM(AB601)&lt;&gt;"Closed"),"INVALID – corrective action still open",IF(AND(NOT(OR(LEN(AZ601)&lt;15,ISNUMBER(MATCH(AZ601,L_Placeholder,0)))),NOT(OR(LEN(AU601)&lt;2,ISNUMBER(MATCH(AU601,L_Placeholder,0)))),NOT(OR(LEN(AX601)&lt;2,ISNUMBER(MATCH(AX601,L_Placeholder,0)))),TRIM(AE601)&lt;&gt;TRIM(T601)),"N/A – JUSTIFIED","INVALID – N/A needs a real justification (15+ chars), PIC and a different verifier"))),IF(OR(TRIM(U601)="Pass",TRIM(U601)="Pass after CA"),IF(NOT(ISNUMBER(AD601)),"INVALID – completion time missing",IF(OR(LEN(AU601)&lt;2,ISNUMBER(MATCH(AU601,L_Placeholder,0))),"INVALID – PIC missing",IF(OR(LEN(AV601)&lt;2,ISNUMBER(MATCH(AV601,L_Placeholder,0))),"INVALID – result / assessment missing",IF(OR(OR(LEN(AW601)&lt;3,ISNUMBER(MATCH(AW601,L_Placeholder,0))),SUMPRODUCT(--ISNUMBER(SEARCH(L_EvidencePhrase,AW601)))&gt;0),"INVALID – evidence missing, placeholder or not yet on file",IF(OR(LEN(AX601)&lt;2,ISNUMBER(MATCH(AX601,L_Placeholder,0))),"INVALID – verifier missing",IF(AX601=AU601,"INVALID – verifier must be someone other than the PIC",IF(AND(TRIM(U601)="Pass",SUMPRODUCT(--ISNUMBER(SEARCH(L_ResultBad,AV601)))&gt;0),"INVALID – result describes a problem: use Fail, then Pass after CA",IF(AND(AQ601=1,OR(LEN(AY601)&lt;3,ISNUMBER(MATCH(AY601,L_Placeholder,0)))),"INVALID – batch ID missing or placeholder",IF(AND(AR601=1,OR(NOT(ISNUMBER(X601)),NOT(ISNUMBER(Y601)))),"INVALID – expected/actual qty missing",IF(AND(AR601=1,OR(X601&lt;=0,Y601&lt;0)),"INVALID – expected qty must be above 0 and actual not negative",IF(BB601&lt;&gt;"",BB601,IF(AND(AS601=1,Documents!$J$22&lt;&gt;"ON FILE"),"INVALID – GLD not on file (Documents sheet)",IF(AND(AS601=2,Documents!$O$22&lt;&gt;"ON FILE"),"INVALID – menu checklist not on file (Documents sheet)",IF(AND(AS601=3,NOT(ISNUMBER(Flights!$AX$22))),"INVALID – enter carrying flight KUL departure (Flights AX)",IF(AND(AS601=3,OR(Flights!$AZ$22&gt;Flights!$AA$22,Flights!$AX$22&lt;Flights!$AA$22-3)),"INVALID – carrying flight (Flights AX) cannot arrive before this leg's STD, or is over 3 days early",IF(AG601&gt;AsOfUTC,"INVALID – completion time is in the future",IF(AND(ISNUMBER(S601),AG601&lt;S601),IF(H601="Physical uplift","INVALID – before uplift window (cannot confirm loading)","INVALID – before valid window"),IF(AG601&gt;Flights!$AA$22,"INVALID – completed after departure (cannot establish readiness)",IF(AND(H601="Preparation",AG601&gt;IF(ISNUMBER(Flights!$BA$22),MIN(Flights!$BA$22,Flights!$AA$22),Flights!$AA$22)),"INVALID – completed after loading / departure (cannot establish readiness)",IF(AND(H601="Physical uplift",AG601&gt;Q601),"INVALID – recorded after the loading flight departed",IF(AG601&gt;Q601,"COMPLETE – LATE","COMPLETE"))))))))))))))))))))),IF(TRIM(U601)="Fail","FAIL – DISCREPANCY",IF(AND(TRIM(U601)&lt;&gt;"",TRIM(U601)&lt;&gt;"Not started",TRIM(U601)&lt;&gt;"In progress"),"INVALID – unrecognised status (use the list)",IF(AsOfUTC&gt;Q601,"OVERDUE",IF(N601="Clarification required","OPEN – CLARIFICATION","OPEN"))))))),"INVALID – error value in an input cell")</f>
        <v>OPEN</v>
      </c>
      <c r="AI601" s="61" t="n">
        <f aca="false">IF(OR(AH601="N/A – RULE",AH601="N/A – JUSTIFIED"),0,1)</f>
        <v>1</v>
      </c>
      <c r="AJ601" s="61" t="n">
        <f aca="false">IF(LEFT(AH601,8)="COMPLETE",1,0)</f>
        <v>0</v>
      </c>
      <c r="AK601" s="61" t="n">
        <f aca="false">IF(AND(AI601=1,AJ601=0,AsOfUTC&gt;Q601),1,0)</f>
        <v>0</v>
      </c>
      <c r="AL601" s="61" t="n">
        <f aca="false">IFERROR(IF(AND(AI601=1,OR(TRIM(U601)="Fail",AND(TRIM(AB601)&lt;&gt;"",TRIM(AB601)&lt;&gt;"Closed"),AND(ISNUMBER(AF601),AF601&lt;&gt;0,TRIM(U601)&lt;&gt;"Pass after CA"))),1,0),1)</f>
        <v>0</v>
      </c>
      <c r="AM601" s="61" t="n">
        <f aca="false">IF(LEFT(AH601,7)="INVALID",1,0)</f>
        <v>0</v>
      </c>
      <c r="AN601" s="61" t="n">
        <f aca="false">IF(AND(N601="Clarification required",AI601=1,AJ601=0),1,0)</f>
        <v>0</v>
      </c>
      <c r="AO601" s="61" t="str">
        <f aca="false">IF(AK601=1,SUM(AK$5:AK601),"")</f>
        <v/>
      </c>
      <c r="AP601" s="61" t="str">
        <f aca="false">IF(AL601=1,SUM(AL$5:AL601),"")</f>
        <v/>
      </c>
      <c r="AQ601" s="61" t="n">
        <v>0</v>
      </c>
      <c r="AR601" s="61" t="n">
        <v>0</v>
      </c>
      <c r="AS601" s="61" t="n">
        <v>0</v>
      </c>
      <c r="AT601" s="61" t="n">
        <v>0</v>
      </c>
      <c r="AU601" s="61" t="str">
        <f aca="false">SUBSTITUTE(SUBSTITUTE(SUBSTITUTE(SUBSTITUTE(SUBSTITUTE(SUBSTITUTE(SUBSTITUTE(SUBSTITUTE(SUBSTITUTE(SUBSTITUTE(SUBSTITUTE(SUBSTITUTE(SUBSTITUTE(LOWER(T601&amp;""),CHAR(160),"")," ",""),".",""),"-",""),"/",""),"?",""),"_",""),",",""),"[",""),"]",""),"(",""),")",""),"*","")</f>
        <v/>
      </c>
      <c r="AV601" s="61" t="str">
        <f aca="false">SUBSTITUTE(SUBSTITUTE(SUBSTITUTE(SUBSTITUTE(SUBSTITUTE(SUBSTITUTE(SUBSTITUTE(SUBSTITUTE(SUBSTITUTE(SUBSTITUTE(SUBSTITUTE(SUBSTITUTE(SUBSTITUTE(LOWER(V601&amp;""),CHAR(160),"")," ",""),".",""),"-",""),"/",""),"?",""),"_",""),",",""),"[",""),"]",""),"(",""),")",""),"*","")</f>
        <v/>
      </c>
      <c r="AW601" s="61" t="str">
        <f aca="false">SUBSTITUTE(SUBSTITUTE(SUBSTITUTE(SUBSTITUTE(SUBSTITUTE(SUBSTITUTE(SUBSTITUTE(SUBSTITUTE(SUBSTITUTE(SUBSTITUTE(SUBSTITUTE(SUBSTITUTE(SUBSTITUTE(LOWER(Z601&amp;""),CHAR(160),"")," ",""),".",""),"-",""),"/",""),"?",""),"_",""),",",""),"[",""),"]",""),"(",""),")",""),"*","")</f>
        <v/>
      </c>
      <c r="AX601" s="61" t="str">
        <f aca="false">SUBSTITUTE(SUBSTITUTE(SUBSTITUTE(SUBSTITUTE(SUBSTITUTE(SUBSTITUTE(SUBSTITUTE(SUBSTITUTE(SUBSTITUTE(SUBSTITUTE(SUBSTITUTE(SUBSTITUTE(SUBSTITUTE(LOWER(AE601&amp;""),CHAR(160),"")," ",""),".",""),"-",""),"/",""),"?",""),"_",""),",",""),"[",""),"]",""),"(",""),")",""),"*","")</f>
        <v/>
      </c>
      <c r="AY601" s="61" t="str">
        <f aca="false">SUBSTITUTE(SUBSTITUTE(SUBSTITUTE(SUBSTITUTE(SUBSTITUTE(SUBSTITUTE(SUBSTITUTE(SUBSTITUTE(SUBSTITUTE(SUBSTITUTE(SUBSTITUTE(SUBSTITUTE(SUBSTITUTE(LOWER(W601&amp;""),CHAR(160),"")," ",""),".",""),"-",""),"/",""),"?",""),"_",""),",",""),"[",""),"]",""),"(",""),")",""),"*","")</f>
        <v/>
      </c>
      <c r="AZ601" s="61" t="str">
        <f aca="false">SUBSTITUTE(SUBSTITUTE(SUBSTITUTE(SUBSTITUTE(SUBSTITUTE(SUBSTITUTE(SUBSTITUTE(SUBSTITUTE(SUBSTITUTE(SUBSTITUTE(SUBSTITUTE(SUBSTITUTE(SUBSTITUTE(LOWER(AC601&amp;""),CHAR(160),"")," ",""),".",""),"-",""),"/",""),"?",""),"_",""),",",""),"[",""),"]",""),"(",""),")",""),"*","")</f>
        <v/>
      </c>
      <c r="BA601" s="61" t="str">
        <f aca="false">SUBSTITUTE(SUBSTITUTE(SUBSTITUTE(SUBSTITUTE(SUBSTITUTE(SUBSTITUTE(SUBSTITUTE(SUBSTITUTE(SUBSTITUTE(SUBSTITUTE(SUBSTITUTE(SUBSTITUTE(SUBSTITUTE(LOWER(AA601&amp;""),CHAR(160),"")," ",""),".",""),"-",""),"/",""),"?",""),"_",""),",",""),"[",""),"]",""),"(",""),")",""),"*","")</f>
        <v/>
      </c>
      <c r="BB601" s="61" t="str">
        <f aca="false">IF(AND(TRIM(U601)="Pass",ISNUMBER(AF601)),IF(AF601&lt;&gt;0,"INVALID – qty variance: use Fail or Pass after CA",""),"")&amp;IF(AND(TRIM(U601)="Pass after CA",ISNUMBER(AF601)),IF(AF601&lt;&gt;0,"INVALID – after the corrective action the actual qty must equal expected (update Actual)",""),"")&amp;IF(AND(TRIM(U601)="Pass",TRIM(AB601)&lt;&gt;"",TRIM(AB601)&lt;&gt;"Closed"),"INVALID – corrective action not closed: use Fail, then Pass after CA","")&amp;IF(AND(TRIM(AA601)&lt;&gt;"",TRIM(AB601)=""),"INVALID – CA status missing for the recorded corrective action","")&amp;IF(AND(TRIM(U601)="Pass after CA",OR(OR(LEN(BA601)&lt;5,ISNUMBER(MATCH(BA601,L_Placeholder,0))),TRIM(AB601)&lt;&gt;"Closed")),"INVALID – corrective action not recorded/closed","")</f>
        <v/>
      </c>
    </row>
    <row r="602" customFormat="false" ht="39.75" hidden="false" customHeight="true" outlineLevel="0" collapsed="false">
      <c r="A602" s="57" t="s">
        <v>1285</v>
      </c>
      <c r="B602" s="57" t="s">
        <v>290</v>
      </c>
      <c r="C602" s="57" t="str">
        <f aca="false">Flights!$F$22</f>
        <v>MH0052</v>
      </c>
      <c r="D602" s="58" t="n">
        <f aca="false">Flights!$D$22</f>
        <v>46322</v>
      </c>
      <c r="E602" s="57" t="str">
        <f aca="false">Flights!$G$22&amp;"-"&amp;Flights!$H$22</f>
        <v>KUL-KIX</v>
      </c>
      <c r="F602" s="57" t="str">
        <f aca="false">Flights!$K$22</f>
        <v>BC</v>
      </c>
      <c r="G602" s="57" t="s">
        <v>398</v>
      </c>
      <c r="H602" s="57" t="s">
        <v>356</v>
      </c>
      <c r="I602" s="57" t="s">
        <v>607</v>
      </c>
      <c r="J602" s="57" t="s">
        <v>608</v>
      </c>
      <c r="K602" s="67" t="s">
        <v>479</v>
      </c>
      <c r="L602" s="67" t="s">
        <v>1286</v>
      </c>
      <c r="M602" s="67" t="s">
        <v>184</v>
      </c>
      <c r="N602" s="67" t="s">
        <v>361</v>
      </c>
      <c r="O602" s="67" t="s">
        <v>610</v>
      </c>
      <c r="P602" s="57" t="s">
        <v>184</v>
      </c>
      <c r="Q602" s="59" t="n">
        <f aca="false">ROUND((Flights!$AE$22)*1440,0)/1440</f>
        <v>46322.1006944444</v>
      </c>
      <c r="R602" s="59" t="n">
        <f aca="false">Q602+(IF(AND(INDEX(TZ_DSTS,MATCH(P602,TZ_STN,0))&lt;&gt;"",Q602&gt;=INDEX(TZ_DSTS,MATCH(P602,TZ_STN,0)),Q602&lt;INDEX(TZ_DSTE,MATCH(P602,TZ_STN,0))),INDEX(TZ_DST,MATCH(P602,TZ_STN,0)),INDEX(TZ_STD,MATCH(P602,TZ_STN,0))))/24</f>
        <v>46322.4340277778</v>
      </c>
      <c r="S602" s="59" t="n">
        <f aca="false">Q602-T12EarlyH/24</f>
        <v>46321.6006944444</v>
      </c>
      <c r="T602" s="60"/>
      <c r="U602" s="60"/>
      <c r="V602" s="60"/>
      <c r="W602" s="61"/>
      <c r="X602" s="60"/>
      <c r="Y602" s="60"/>
      <c r="Z602" s="60"/>
      <c r="AA602" s="60"/>
      <c r="AB602" s="60"/>
      <c r="AC602" s="60"/>
      <c r="AD602" s="66"/>
      <c r="AE602" s="60"/>
      <c r="AF602" s="61" t="str">
        <f aca="false">IF(AND(ISNUMBER(X602),ISNUMBER(Y602)),Y602-X602,"")</f>
        <v/>
      </c>
      <c r="AG602" s="62" t="str">
        <f aca="false">IF(ISNUMBER(AD602),AD602-(IF(AND(INDEX(TZ_DSTS,MATCH(P602,TZ_STN,0))&lt;&gt;"",(AD602-INDEX(TZ_STD,MATCH(P602,TZ_STN,0))/24)&gt;=INDEX(TZ_DSTS,MATCH(P602,TZ_STN,0)),(AD602-INDEX(TZ_STD,MATCH(P602,TZ_STN,0))/24)&lt;INDEX(TZ_DSTE,MATCH(P602,TZ_STN,0))),INDEX(TZ_DST,MATCH(P602,TZ_STN,0)),INDEX(TZ_STD,MATCH(P602,TZ_STN,0))))/24,"")</f>
        <v/>
      </c>
      <c r="AH602" s="65" t="str">
        <f aca="false">IFERROR(IF(N602="N/A – rule","N/A – RULE",IF(TRIM(U602)="N/A",IF(AT602=0,"INVALID – N/A not permitted for this check",IF(AND(TRIM(AB602)&lt;&gt;"",TRIM(AB602)&lt;&gt;"Closed"),"INVALID – corrective action still open",IF(AND(NOT(OR(LEN(AZ602)&lt;15,ISNUMBER(MATCH(AZ602,L_Placeholder,0)))),NOT(OR(LEN(AU602)&lt;2,ISNUMBER(MATCH(AU602,L_Placeholder,0)))),NOT(OR(LEN(AX602)&lt;2,ISNUMBER(MATCH(AX602,L_Placeholder,0)))),TRIM(AE602)&lt;&gt;TRIM(T602)),"N/A – JUSTIFIED","INVALID – N/A needs a real justification (15+ chars), PIC and a different verifier"))),IF(OR(TRIM(U602)="Pass",TRIM(U602)="Pass after CA"),IF(NOT(ISNUMBER(AD602)),"INVALID – completion time missing",IF(OR(LEN(AU602)&lt;2,ISNUMBER(MATCH(AU602,L_Placeholder,0))),"INVALID – PIC missing",IF(OR(LEN(AV602)&lt;2,ISNUMBER(MATCH(AV602,L_Placeholder,0))),"INVALID – result / assessment missing",IF(OR(OR(LEN(AW602)&lt;3,ISNUMBER(MATCH(AW602,L_Placeholder,0))),SUMPRODUCT(--ISNUMBER(SEARCH(L_EvidencePhrase,AW602)))&gt;0),"INVALID – evidence missing, placeholder or not yet on file",IF(OR(LEN(AX602)&lt;2,ISNUMBER(MATCH(AX602,L_Placeholder,0))),"INVALID – verifier missing",IF(AX602=AU602,"INVALID – verifier must be someone other than the PIC",IF(AND(TRIM(U602)="Pass",SUMPRODUCT(--ISNUMBER(SEARCH(L_ResultBad,AV602)))&gt;0),"INVALID – result describes a problem: use Fail, then Pass after CA",IF(AND(AQ602=1,OR(LEN(AY602)&lt;3,ISNUMBER(MATCH(AY602,L_Placeholder,0)))),"INVALID – batch ID missing or placeholder",IF(AND(AR602=1,OR(NOT(ISNUMBER(X602)),NOT(ISNUMBER(Y602)))),"INVALID – expected/actual qty missing",IF(AND(AR602=1,OR(X602&lt;=0,Y602&lt;0)),"INVALID – expected qty must be above 0 and actual not negative",IF(BB602&lt;&gt;"",BB602,IF(AND(AS602=1,Documents!$J$22&lt;&gt;"ON FILE"),"INVALID – GLD not on file (Documents sheet)",IF(AND(AS602=2,Documents!$O$22&lt;&gt;"ON FILE"),"INVALID – menu checklist not on file (Documents sheet)",IF(AND(AS602=3,NOT(ISNUMBER(Flights!$AX$22))),"INVALID – enter carrying flight KUL departure (Flights AX)",IF(AND(AS602=3,OR(Flights!$AZ$22&gt;Flights!$AA$22,Flights!$AX$22&lt;Flights!$AA$22-3)),"INVALID – carrying flight (Flights AX) cannot arrive before this leg's STD, or is over 3 days early",IF(AG602&gt;AsOfUTC,"INVALID – completion time is in the future",IF(AND(ISNUMBER(S602),AG602&lt;S602),IF(H602="Physical uplift","INVALID – before uplift window (cannot confirm loading)","INVALID – before valid window"),IF(AG602&gt;Flights!$AA$22,"INVALID – completed after departure (cannot establish readiness)",IF(AND(H602="Preparation",AG602&gt;IF(ISNUMBER(Flights!$BA$22),MIN(Flights!$BA$22,Flights!$AA$22),Flights!$AA$22)),"INVALID – completed after loading / departure (cannot establish readiness)",IF(AND(H602="Physical uplift",AG602&gt;Q602),"INVALID – recorded after the loading flight departed",IF(AG602&gt;Q602,"COMPLETE – LATE","COMPLETE"))))))))))))))))))))),IF(TRIM(U602)="Fail","FAIL – DISCREPANCY",IF(AND(TRIM(U602)&lt;&gt;"",TRIM(U602)&lt;&gt;"Not started",TRIM(U602)&lt;&gt;"In progress"),"INVALID – unrecognised status (use the list)",IF(AsOfUTC&gt;Q602,"OVERDUE",IF(N602="Clarification required","OPEN – CLARIFICATION","OPEN"))))))),"INVALID – error value in an input cell")</f>
        <v>OPEN</v>
      </c>
      <c r="AI602" s="61" t="n">
        <f aca="false">IF(OR(AH602="N/A – RULE",AH602="N/A – JUSTIFIED"),0,1)</f>
        <v>1</v>
      </c>
      <c r="AJ602" s="61" t="n">
        <f aca="false">IF(LEFT(AH602,8)="COMPLETE",1,0)</f>
        <v>0</v>
      </c>
      <c r="AK602" s="61" t="n">
        <f aca="false">IF(AND(AI602=1,AJ602=0,AsOfUTC&gt;Q602),1,0)</f>
        <v>0</v>
      </c>
      <c r="AL602" s="61" t="n">
        <f aca="false">IFERROR(IF(AND(AI602=1,OR(TRIM(U602)="Fail",AND(TRIM(AB602)&lt;&gt;"",TRIM(AB602)&lt;&gt;"Closed"),AND(ISNUMBER(AF602),AF602&lt;&gt;0,TRIM(U602)&lt;&gt;"Pass after CA"))),1,0),1)</f>
        <v>0</v>
      </c>
      <c r="AM602" s="61" t="n">
        <f aca="false">IF(LEFT(AH602,7)="INVALID",1,0)</f>
        <v>0</v>
      </c>
      <c r="AN602" s="61" t="n">
        <f aca="false">IF(AND(N602="Clarification required",AI602=1,AJ602=0),1,0)</f>
        <v>0</v>
      </c>
      <c r="AO602" s="61" t="str">
        <f aca="false">IF(AK602=1,SUM(AK$5:AK602),"")</f>
        <v/>
      </c>
      <c r="AP602" s="61" t="str">
        <f aca="false">IF(AL602=1,SUM(AL$5:AL602),"")</f>
        <v/>
      </c>
      <c r="AQ602" s="61" t="n">
        <v>0</v>
      </c>
      <c r="AR602" s="61" t="n">
        <v>0</v>
      </c>
      <c r="AS602" s="61" t="n">
        <v>0</v>
      </c>
      <c r="AT602" s="61" t="n">
        <v>0</v>
      </c>
      <c r="AU602" s="61" t="str">
        <f aca="false">SUBSTITUTE(SUBSTITUTE(SUBSTITUTE(SUBSTITUTE(SUBSTITUTE(SUBSTITUTE(SUBSTITUTE(SUBSTITUTE(SUBSTITUTE(SUBSTITUTE(SUBSTITUTE(SUBSTITUTE(SUBSTITUTE(LOWER(T602&amp;""),CHAR(160),"")," ",""),".",""),"-",""),"/",""),"?",""),"_",""),",",""),"[",""),"]",""),"(",""),")",""),"*","")</f>
        <v/>
      </c>
      <c r="AV602" s="61" t="str">
        <f aca="false">SUBSTITUTE(SUBSTITUTE(SUBSTITUTE(SUBSTITUTE(SUBSTITUTE(SUBSTITUTE(SUBSTITUTE(SUBSTITUTE(SUBSTITUTE(SUBSTITUTE(SUBSTITUTE(SUBSTITUTE(SUBSTITUTE(LOWER(V602&amp;""),CHAR(160),"")," ",""),".",""),"-",""),"/",""),"?",""),"_",""),",",""),"[",""),"]",""),"(",""),")",""),"*","")</f>
        <v/>
      </c>
      <c r="AW602" s="61" t="str">
        <f aca="false">SUBSTITUTE(SUBSTITUTE(SUBSTITUTE(SUBSTITUTE(SUBSTITUTE(SUBSTITUTE(SUBSTITUTE(SUBSTITUTE(SUBSTITUTE(SUBSTITUTE(SUBSTITUTE(SUBSTITUTE(SUBSTITUTE(LOWER(Z602&amp;""),CHAR(160),"")," ",""),".",""),"-",""),"/",""),"?",""),"_",""),",",""),"[",""),"]",""),"(",""),")",""),"*","")</f>
        <v/>
      </c>
      <c r="AX602" s="61" t="str">
        <f aca="false">SUBSTITUTE(SUBSTITUTE(SUBSTITUTE(SUBSTITUTE(SUBSTITUTE(SUBSTITUTE(SUBSTITUTE(SUBSTITUTE(SUBSTITUTE(SUBSTITUTE(SUBSTITUTE(SUBSTITUTE(SUBSTITUTE(LOWER(AE602&amp;""),CHAR(160),"")," ",""),".",""),"-",""),"/",""),"?",""),"_",""),",",""),"[",""),"]",""),"(",""),")",""),"*","")</f>
        <v/>
      </c>
      <c r="AY602" s="61" t="str">
        <f aca="false">SUBSTITUTE(SUBSTITUTE(SUBSTITUTE(SUBSTITUTE(SUBSTITUTE(SUBSTITUTE(SUBSTITUTE(SUBSTITUTE(SUBSTITUTE(SUBSTITUTE(SUBSTITUTE(SUBSTITUTE(SUBSTITUTE(LOWER(W602&amp;""),CHAR(160),"")," ",""),".",""),"-",""),"/",""),"?",""),"_",""),",",""),"[",""),"]",""),"(",""),")",""),"*","")</f>
        <v/>
      </c>
      <c r="AZ602" s="61" t="str">
        <f aca="false">SUBSTITUTE(SUBSTITUTE(SUBSTITUTE(SUBSTITUTE(SUBSTITUTE(SUBSTITUTE(SUBSTITUTE(SUBSTITUTE(SUBSTITUTE(SUBSTITUTE(SUBSTITUTE(SUBSTITUTE(SUBSTITUTE(LOWER(AC602&amp;""),CHAR(160),"")," ",""),".",""),"-",""),"/",""),"?",""),"_",""),",",""),"[",""),"]",""),"(",""),")",""),"*","")</f>
        <v/>
      </c>
      <c r="BA602" s="61" t="str">
        <f aca="false">SUBSTITUTE(SUBSTITUTE(SUBSTITUTE(SUBSTITUTE(SUBSTITUTE(SUBSTITUTE(SUBSTITUTE(SUBSTITUTE(SUBSTITUTE(SUBSTITUTE(SUBSTITUTE(SUBSTITUTE(SUBSTITUTE(LOWER(AA602&amp;""),CHAR(160),"")," ",""),".",""),"-",""),"/",""),"?",""),"_",""),",",""),"[",""),"]",""),"(",""),")",""),"*","")</f>
        <v/>
      </c>
      <c r="BB602" s="61" t="str">
        <f aca="false">IF(AND(TRIM(U602)="Pass",ISNUMBER(AF602)),IF(AF602&lt;&gt;0,"INVALID – qty variance: use Fail or Pass after CA",""),"")&amp;IF(AND(TRIM(U602)="Pass after CA",ISNUMBER(AF602)),IF(AF602&lt;&gt;0,"INVALID – after the corrective action the actual qty must equal expected (update Actual)",""),"")&amp;IF(AND(TRIM(U602)="Pass",TRIM(AB602)&lt;&gt;"",TRIM(AB602)&lt;&gt;"Closed"),"INVALID – corrective action not closed: use Fail, then Pass after CA","")&amp;IF(AND(TRIM(AA602)&lt;&gt;"",TRIM(AB602)=""),"INVALID – CA status missing for the recorded corrective action","")&amp;IF(AND(TRIM(U602)="Pass after CA",OR(OR(LEN(BA602)&lt;5,ISNUMBER(MATCH(BA602,L_Placeholder,0))),TRIM(AB602)&lt;&gt;"Closed")),"INVALID – corrective action not recorded/closed","")</f>
        <v/>
      </c>
    </row>
    <row r="603" customFormat="false" ht="41.25" hidden="false" customHeight="true" outlineLevel="0" collapsed="false">
      <c r="A603" s="57" t="s">
        <v>1287</v>
      </c>
      <c r="B603" s="57" t="s">
        <v>290</v>
      </c>
      <c r="C603" s="57" t="str">
        <f aca="false">Flights!$F$22</f>
        <v>MH0052</v>
      </c>
      <c r="D603" s="58" t="n">
        <f aca="false">Flights!$D$22</f>
        <v>46322</v>
      </c>
      <c r="E603" s="57" t="str">
        <f aca="false">Flights!$G$22&amp;"-"&amp;Flights!$H$22</f>
        <v>KUL-KIX</v>
      </c>
      <c r="F603" s="57" t="str">
        <f aca="false">Flights!$K$22</f>
        <v>BC</v>
      </c>
      <c r="G603" s="57" t="s">
        <v>398</v>
      </c>
      <c r="H603" s="57" t="s">
        <v>356</v>
      </c>
      <c r="I603" s="57" t="s">
        <v>612</v>
      </c>
      <c r="J603" s="57" t="s">
        <v>613</v>
      </c>
      <c r="K603" s="67" t="s">
        <v>1288</v>
      </c>
      <c r="L603" s="67" t="s">
        <v>1289</v>
      </c>
      <c r="M603" s="67" t="s">
        <v>429</v>
      </c>
      <c r="N603" s="67" t="s">
        <v>361</v>
      </c>
      <c r="O603" s="67" t="s">
        <v>1290</v>
      </c>
      <c r="P603" s="57" t="s">
        <v>184</v>
      </c>
      <c r="Q603" s="59" t="n">
        <f aca="false">ROUND((Flights!$AE$22)*1440,0)/1440</f>
        <v>46322.1006944444</v>
      </c>
      <c r="R603" s="59" t="n">
        <f aca="false">Q603+(IF(AND(INDEX(TZ_DSTS,MATCH(P603,TZ_STN,0))&lt;&gt;"",Q603&gt;=INDEX(TZ_DSTS,MATCH(P603,TZ_STN,0)),Q603&lt;INDEX(TZ_DSTE,MATCH(P603,TZ_STN,0))),INDEX(TZ_DST,MATCH(P603,TZ_STN,0)),INDEX(TZ_STD,MATCH(P603,TZ_STN,0))))/24</f>
        <v>46322.4340277778</v>
      </c>
      <c r="S603" s="59" t="n">
        <f aca="false">Q603-T12EarlyH/24</f>
        <v>46321.6006944444</v>
      </c>
      <c r="T603" s="60"/>
      <c r="U603" s="60"/>
      <c r="V603" s="60"/>
      <c r="W603" s="61"/>
      <c r="X603" s="60"/>
      <c r="Y603" s="60"/>
      <c r="Z603" s="60"/>
      <c r="AA603" s="60"/>
      <c r="AB603" s="60"/>
      <c r="AC603" s="60"/>
      <c r="AD603" s="66"/>
      <c r="AE603" s="60"/>
      <c r="AF603" s="61" t="str">
        <f aca="false">IF(AND(ISNUMBER(X603),ISNUMBER(Y603)),Y603-X603,"")</f>
        <v/>
      </c>
      <c r="AG603" s="62" t="str">
        <f aca="false">IF(ISNUMBER(AD603),AD603-(IF(AND(INDEX(TZ_DSTS,MATCH(P603,TZ_STN,0))&lt;&gt;"",(AD603-INDEX(TZ_STD,MATCH(P603,TZ_STN,0))/24)&gt;=INDEX(TZ_DSTS,MATCH(P603,TZ_STN,0)),(AD603-INDEX(TZ_STD,MATCH(P603,TZ_STN,0))/24)&lt;INDEX(TZ_DSTE,MATCH(P603,TZ_STN,0))),INDEX(TZ_DST,MATCH(P603,TZ_STN,0)),INDEX(TZ_STD,MATCH(P603,TZ_STN,0))))/24,"")</f>
        <v/>
      </c>
      <c r="AH603" s="65" t="str">
        <f aca="false">IFERROR(IF(N603="N/A – rule","N/A – RULE",IF(TRIM(U603)="N/A",IF(AT603=0,"INVALID – N/A not permitted for this check",IF(AND(TRIM(AB603)&lt;&gt;"",TRIM(AB603)&lt;&gt;"Closed"),"INVALID – corrective action still open",IF(AND(NOT(OR(LEN(AZ603)&lt;15,ISNUMBER(MATCH(AZ603,L_Placeholder,0)))),NOT(OR(LEN(AU603)&lt;2,ISNUMBER(MATCH(AU603,L_Placeholder,0)))),NOT(OR(LEN(AX603)&lt;2,ISNUMBER(MATCH(AX603,L_Placeholder,0)))),TRIM(AE603)&lt;&gt;TRIM(T603)),"N/A – JUSTIFIED","INVALID – N/A needs a real justification (15+ chars), PIC and a different verifier"))),IF(OR(TRIM(U603)="Pass",TRIM(U603)="Pass after CA"),IF(NOT(ISNUMBER(AD603)),"INVALID – completion time missing",IF(OR(LEN(AU603)&lt;2,ISNUMBER(MATCH(AU603,L_Placeholder,0))),"INVALID – PIC missing",IF(OR(LEN(AV603)&lt;2,ISNUMBER(MATCH(AV603,L_Placeholder,0))),"INVALID – result / assessment missing",IF(OR(OR(LEN(AW603)&lt;3,ISNUMBER(MATCH(AW603,L_Placeholder,0))),SUMPRODUCT(--ISNUMBER(SEARCH(L_EvidencePhrase,AW603)))&gt;0),"INVALID – evidence missing, placeholder or not yet on file",IF(OR(LEN(AX603)&lt;2,ISNUMBER(MATCH(AX603,L_Placeholder,0))),"INVALID – verifier missing",IF(AX603=AU603,"INVALID – verifier must be someone other than the PIC",IF(AND(TRIM(U603)="Pass",SUMPRODUCT(--ISNUMBER(SEARCH(L_ResultBad,AV603)))&gt;0),"INVALID – result describes a problem: use Fail, then Pass after CA",IF(AND(AQ603=1,OR(LEN(AY603)&lt;3,ISNUMBER(MATCH(AY603,L_Placeholder,0)))),"INVALID – batch ID missing or placeholder",IF(AND(AR603=1,OR(NOT(ISNUMBER(X603)),NOT(ISNUMBER(Y603)))),"INVALID – expected/actual qty missing",IF(AND(AR603=1,OR(X603&lt;=0,Y603&lt;0)),"INVALID – expected qty must be above 0 and actual not negative",IF(BB603&lt;&gt;"",BB603,IF(AND(AS603=1,Documents!$J$22&lt;&gt;"ON FILE"),"INVALID – GLD not on file (Documents sheet)",IF(AND(AS603=2,Documents!$O$22&lt;&gt;"ON FILE"),"INVALID – menu checklist not on file (Documents sheet)",IF(AND(AS603=3,NOT(ISNUMBER(Flights!$AX$22))),"INVALID – enter carrying flight KUL departure (Flights AX)",IF(AND(AS603=3,OR(Flights!$AZ$22&gt;Flights!$AA$22,Flights!$AX$22&lt;Flights!$AA$22-3)),"INVALID – carrying flight (Flights AX) cannot arrive before this leg's STD, or is over 3 days early",IF(AG603&gt;AsOfUTC,"INVALID – completion time is in the future",IF(AND(ISNUMBER(S603),AG603&lt;S603),IF(H603="Physical uplift","INVALID – before uplift window (cannot confirm loading)","INVALID – before valid window"),IF(AG603&gt;Flights!$AA$22,"INVALID – completed after departure (cannot establish readiness)",IF(AND(H603="Preparation",AG603&gt;IF(ISNUMBER(Flights!$BA$22),MIN(Flights!$BA$22,Flights!$AA$22),Flights!$AA$22)),"INVALID – completed after loading / departure (cannot establish readiness)",IF(AND(H603="Physical uplift",AG603&gt;Q603),"INVALID – recorded after the loading flight departed",IF(AG603&gt;Q603,"COMPLETE – LATE","COMPLETE"))))))))))))))))))))),IF(TRIM(U603)="Fail","FAIL – DISCREPANCY",IF(AND(TRIM(U603)&lt;&gt;"",TRIM(U603)&lt;&gt;"Not started",TRIM(U603)&lt;&gt;"In progress"),"INVALID – unrecognised status (use the list)",IF(AsOfUTC&gt;Q603,"OVERDUE",IF(N603="Clarification required","OPEN – CLARIFICATION","OPEN"))))))),"INVALID – error value in an input cell")</f>
        <v>OPEN</v>
      </c>
      <c r="AI603" s="61" t="n">
        <f aca="false">IF(OR(AH603="N/A – RULE",AH603="N/A – JUSTIFIED"),0,1)</f>
        <v>1</v>
      </c>
      <c r="AJ603" s="61" t="n">
        <f aca="false">IF(LEFT(AH603,8)="COMPLETE",1,0)</f>
        <v>0</v>
      </c>
      <c r="AK603" s="61" t="n">
        <f aca="false">IF(AND(AI603=1,AJ603=0,AsOfUTC&gt;Q603),1,0)</f>
        <v>0</v>
      </c>
      <c r="AL603" s="61" t="n">
        <f aca="false">IFERROR(IF(AND(AI603=1,OR(TRIM(U603)="Fail",AND(TRIM(AB603)&lt;&gt;"",TRIM(AB603)&lt;&gt;"Closed"),AND(ISNUMBER(AF603),AF603&lt;&gt;0,TRIM(U603)&lt;&gt;"Pass after CA"))),1,0),1)</f>
        <v>0</v>
      </c>
      <c r="AM603" s="61" t="n">
        <f aca="false">IF(LEFT(AH603,7)="INVALID",1,0)</f>
        <v>0</v>
      </c>
      <c r="AN603" s="61" t="n">
        <f aca="false">IF(AND(N603="Clarification required",AI603=1,AJ603=0),1,0)</f>
        <v>0</v>
      </c>
      <c r="AO603" s="61" t="str">
        <f aca="false">IF(AK603=1,SUM(AK$5:AK603),"")</f>
        <v/>
      </c>
      <c r="AP603" s="61" t="str">
        <f aca="false">IF(AL603=1,SUM(AL$5:AL603),"")</f>
        <v/>
      </c>
      <c r="AQ603" s="61" t="n">
        <v>0</v>
      </c>
      <c r="AR603" s="61" t="n">
        <v>0</v>
      </c>
      <c r="AS603" s="61" t="n">
        <v>0</v>
      </c>
      <c r="AT603" s="61" t="n">
        <v>0</v>
      </c>
      <c r="AU603" s="61" t="str">
        <f aca="false">SUBSTITUTE(SUBSTITUTE(SUBSTITUTE(SUBSTITUTE(SUBSTITUTE(SUBSTITUTE(SUBSTITUTE(SUBSTITUTE(SUBSTITUTE(SUBSTITUTE(SUBSTITUTE(SUBSTITUTE(SUBSTITUTE(LOWER(T603&amp;""),CHAR(160),"")," ",""),".",""),"-",""),"/",""),"?",""),"_",""),",",""),"[",""),"]",""),"(",""),")",""),"*","")</f>
        <v/>
      </c>
      <c r="AV603" s="61" t="str">
        <f aca="false">SUBSTITUTE(SUBSTITUTE(SUBSTITUTE(SUBSTITUTE(SUBSTITUTE(SUBSTITUTE(SUBSTITUTE(SUBSTITUTE(SUBSTITUTE(SUBSTITUTE(SUBSTITUTE(SUBSTITUTE(SUBSTITUTE(LOWER(V603&amp;""),CHAR(160),"")," ",""),".",""),"-",""),"/",""),"?",""),"_",""),",",""),"[",""),"]",""),"(",""),")",""),"*","")</f>
        <v/>
      </c>
      <c r="AW603" s="61" t="str">
        <f aca="false">SUBSTITUTE(SUBSTITUTE(SUBSTITUTE(SUBSTITUTE(SUBSTITUTE(SUBSTITUTE(SUBSTITUTE(SUBSTITUTE(SUBSTITUTE(SUBSTITUTE(SUBSTITUTE(SUBSTITUTE(SUBSTITUTE(LOWER(Z603&amp;""),CHAR(160),"")," ",""),".",""),"-",""),"/",""),"?",""),"_",""),",",""),"[",""),"]",""),"(",""),")",""),"*","")</f>
        <v/>
      </c>
      <c r="AX603" s="61" t="str">
        <f aca="false">SUBSTITUTE(SUBSTITUTE(SUBSTITUTE(SUBSTITUTE(SUBSTITUTE(SUBSTITUTE(SUBSTITUTE(SUBSTITUTE(SUBSTITUTE(SUBSTITUTE(SUBSTITUTE(SUBSTITUTE(SUBSTITUTE(LOWER(AE603&amp;""),CHAR(160),"")," ",""),".",""),"-",""),"/",""),"?",""),"_",""),",",""),"[",""),"]",""),"(",""),")",""),"*","")</f>
        <v/>
      </c>
      <c r="AY603" s="61" t="str">
        <f aca="false">SUBSTITUTE(SUBSTITUTE(SUBSTITUTE(SUBSTITUTE(SUBSTITUTE(SUBSTITUTE(SUBSTITUTE(SUBSTITUTE(SUBSTITUTE(SUBSTITUTE(SUBSTITUTE(SUBSTITUTE(SUBSTITUTE(LOWER(W603&amp;""),CHAR(160),"")," ",""),".",""),"-",""),"/",""),"?",""),"_",""),",",""),"[",""),"]",""),"(",""),")",""),"*","")</f>
        <v/>
      </c>
      <c r="AZ603" s="61" t="str">
        <f aca="false">SUBSTITUTE(SUBSTITUTE(SUBSTITUTE(SUBSTITUTE(SUBSTITUTE(SUBSTITUTE(SUBSTITUTE(SUBSTITUTE(SUBSTITUTE(SUBSTITUTE(SUBSTITUTE(SUBSTITUTE(SUBSTITUTE(LOWER(AC603&amp;""),CHAR(160),"")," ",""),".",""),"-",""),"/",""),"?",""),"_",""),",",""),"[",""),"]",""),"(",""),")",""),"*","")</f>
        <v/>
      </c>
      <c r="BA603" s="61" t="str">
        <f aca="false">SUBSTITUTE(SUBSTITUTE(SUBSTITUTE(SUBSTITUTE(SUBSTITUTE(SUBSTITUTE(SUBSTITUTE(SUBSTITUTE(SUBSTITUTE(SUBSTITUTE(SUBSTITUTE(SUBSTITUTE(SUBSTITUTE(LOWER(AA603&amp;""),CHAR(160),"")," ",""),".",""),"-",""),"/",""),"?",""),"_",""),",",""),"[",""),"]",""),"(",""),")",""),"*","")</f>
        <v/>
      </c>
      <c r="BB603" s="61" t="str">
        <f aca="false">IF(AND(TRIM(U603)="Pass",ISNUMBER(AF603)),IF(AF603&lt;&gt;0,"INVALID – qty variance: use Fail or Pass after CA",""),"")&amp;IF(AND(TRIM(U603)="Pass after CA",ISNUMBER(AF603)),IF(AF603&lt;&gt;0,"INVALID – after the corrective action the actual qty must equal expected (update Actual)",""),"")&amp;IF(AND(TRIM(U603)="Pass",TRIM(AB603)&lt;&gt;"",TRIM(AB603)&lt;&gt;"Closed"),"INVALID – corrective action not closed: use Fail, then Pass after CA","")&amp;IF(AND(TRIM(AA603)&lt;&gt;"",TRIM(AB603)=""),"INVALID – CA status missing for the recorded corrective action","")&amp;IF(AND(TRIM(U603)="Pass after CA",OR(OR(LEN(BA603)&lt;5,ISNUMBER(MATCH(BA603,L_Placeholder,0))),TRIM(AB603)&lt;&gt;"Closed")),"INVALID – corrective action not recorded/closed","")</f>
        <v/>
      </c>
    </row>
    <row r="604" customFormat="false" ht="39.75" hidden="false" customHeight="true" outlineLevel="0" collapsed="false">
      <c r="A604" s="57" t="s">
        <v>1291</v>
      </c>
      <c r="B604" s="57" t="s">
        <v>290</v>
      </c>
      <c r="C604" s="57" t="str">
        <f aca="false">Flights!$F$22</f>
        <v>MH0052</v>
      </c>
      <c r="D604" s="58" t="n">
        <f aca="false">Flights!$D$22</f>
        <v>46322</v>
      </c>
      <c r="E604" s="57" t="str">
        <f aca="false">Flights!$G$22&amp;"-"&amp;Flights!$H$22</f>
        <v>KUL-KIX</v>
      </c>
      <c r="F604" s="57" t="str">
        <f aca="false">Flights!$K$22</f>
        <v>BC</v>
      </c>
      <c r="G604" s="57" t="s">
        <v>437</v>
      </c>
      <c r="H604" s="57" t="s">
        <v>438</v>
      </c>
      <c r="I604" s="57" t="s">
        <v>357</v>
      </c>
      <c r="J604" s="57" t="s">
        <v>439</v>
      </c>
      <c r="K604" s="67" t="s">
        <v>404</v>
      </c>
      <c r="L604" s="67" t="s">
        <v>440</v>
      </c>
      <c r="M604" s="67"/>
      <c r="N604" s="67" t="s">
        <v>361</v>
      </c>
      <c r="O604" s="67" t="s">
        <v>441</v>
      </c>
      <c r="P604" s="57" t="s">
        <v>184</v>
      </c>
      <c r="Q604" s="59" t="n">
        <f aca="false">ROUND((Flights!$AF$22)*1440,0)/1440</f>
        <v>46322.6006944444</v>
      </c>
      <c r="R604" s="59" t="n">
        <f aca="false">Q604+(IF(AND(INDEX(TZ_DSTS,MATCH(P604,TZ_STN,0))&lt;&gt;"",Q604&gt;=INDEX(TZ_DSTS,MATCH(P604,TZ_STN,0)),Q604&lt;INDEX(TZ_DSTE,MATCH(P604,TZ_STN,0))),INDEX(TZ_DST,MATCH(P604,TZ_STN,0)),INDEX(TZ_STD,MATCH(P604,TZ_STN,0))))/24</f>
        <v>46322.9340277778</v>
      </c>
      <c r="S604" s="59" t="n">
        <f aca="false">IF(ISNUMBER(Flights!$AZ$22),MAX(Q604-UpliftWindowH/24,Flights!$AZ$22),Q604-UpliftWindowH/24)</f>
        <v>46322.3506944444</v>
      </c>
      <c r="T604" s="60"/>
      <c r="U604" s="60"/>
      <c r="V604" s="60"/>
      <c r="W604" s="61"/>
      <c r="X604" s="60"/>
      <c r="Y604" s="60"/>
      <c r="Z604" s="60"/>
      <c r="AA604" s="60"/>
      <c r="AB604" s="60"/>
      <c r="AC604" s="60"/>
      <c r="AD604" s="66"/>
      <c r="AE604" s="60"/>
      <c r="AF604" s="61" t="str">
        <f aca="false">IF(AND(ISNUMBER(X604),ISNUMBER(Y604)),Y604-X604,"")</f>
        <v/>
      </c>
      <c r="AG604" s="62" t="str">
        <f aca="false">IF(ISNUMBER(AD604),AD604-(IF(AND(INDEX(TZ_DSTS,MATCH(P604,TZ_STN,0))&lt;&gt;"",(AD604-INDEX(TZ_STD,MATCH(P604,TZ_STN,0))/24)&gt;=INDEX(TZ_DSTS,MATCH(P604,TZ_STN,0)),(AD604-INDEX(TZ_STD,MATCH(P604,TZ_STN,0))/24)&lt;INDEX(TZ_DSTE,MATCH(P604,TZ_STN,0))),INDEX(TZ_DST,MATCH(P604,TZ_STN,0)),INDEX(TZ_STD,MATCH(P604,TZ_STN,0))))/24,"")</f>
        <v/>
      </c>
      <c r="AH604" s="65" t="str">
        <f aca="false">IFERROR(IF(N604="N/A – rule","N/A – RULE",IF(TRIM(U604)="N/A",IF(AT604=0,"INVALID – N/A not permitted for this check",IF(AND(TRIM(AB604)&lt;&gt;"",TRIM(AB604)&lt;&gt;"Closed"),"INVALID – corrective action still open",IF(AND(NOT(OR(LEN(AZ604)&lt;15,ISNUMBER(MATCH(AZ604,L_Placeholder,0)))),NOT(OR(LEN(AU604)&lt;2,ISNUMBER(MATCH(AU604,L_Placeholder,0)))),NOT(OR(LEN(AX604)&lt;2,ISNUMBER(MATCH(AX604,L_Placeholder,0)))),TRIM(AE604)&lt;&gt;TRIM(T604)),"N/A – JUSTIFIED","INVALID – N/A needs a real justification (15+ chars), PIC and a different verifier"))),IF(OR(TRIM(U604)="Pass",TRIM(U604)="Pass after CA"),IF(NOT(ISNUMBER(AD604)),"INVALID – completion time missing",IF(OR(LEN(AU604)&lt;2,ISNUMBER(MATCH(AU604,L_Placeholder,0))),"INVALID – PIC missing",IF(OR(LEN(AV604)&lt;2,ISNUMBER(MATCH(AV604,L_Placeholder,0))),"INVALID – result / assessment missing",IF(OR(OR(LEN(AW604)&lt;3,ISNUMBER(MATCH(AW604,L_Placeholder,0))),SUMPRODUCT(--ISNUMBER(SEARCH(L_EvidencePhrase,AW604)))&gt;0),"INVALID – evidence missing, placeholder or not yet on file",IF(OR(LEN(AX604)&lt;2,ISNUMBER(MATCH(AX604,L_Placeholder,0))),"INVALID – verifier missing",IF(AX604=AU604,"INVALID – verifier must be someone other than the PIC",IF(AND(TRIM(U604)="Pass",SUMPRODUCT(--ISNUMBER(SEARCH(L_ResultBad,AV604)))&gt;0),"INVALID – result describes a problem: use Fail, then Pass after CA",IF(AND(AQ604=1,OR(LEN(AY604)&lt;3,ISNUMBER(MATCH(AY604,L_Placeholder,0)))),"INVALID – batch ID missing or placeholder",IF(AND(AR604=1,OR(NOT(ISNUMBER(X604)),NOT(ISNUMBER(Y604)))),"INVALID – expected/actual qty missing",IF(AND(AR604=1,OR(X604&lt;=0,Y604&lt;0)),"INVALID – expected qty must be above 0 and actual not negative",IF(AH585="N/A – JUSTIFIED","INVALID – preparation row F18-T12-02 is N/A",IF(AND(AR604=1,ISNUMBER(X585),X604&lt;&gt;X585),"INVALID – expected qty differs from preparation check F18-T12-02",IF(BB604&lt;&gt;"",BB604,IF(AND(AS604=1,Documents!$J$22&lt;&gt;"ON FILE"),"INVALID – GLD not on file (Documents sheet)",IF(AND(AS604=2,Documents!$O$22&lt;&gt;"ON FILE"),"INVALID – menu checklist not on file (Documents sheet)",IF(AND(AS604=3,NOT(ISNUMBER(Flights!$AX$22))),"INVALID – enter carrying flight KUL departure (Flights AX)",IF(AND(AS604=3,OR(Flights!$AZ$22&gt;Flights!$AA$22,Flights!$AX$22&lt;Flights!$AA$22-3)),"INVALID – carrying flight (Flights AX) cannot arrive before this leg's STD, or is over 3 days early",IF(AG604&gt;AsOfUTC,"INVALID – completion time is in the future",IF(AND(ISNUMBER(S604),AG604&lt;S604),IF(H604="Physical uplift","INVALID – before uplift window (cannot confirm loading)","INVALID – before valid window"),IF(AG604&gt;Flights!$AA$22,"INVALID – completed after departure (cannot establish readiness)",IF(AND(H604="Preparation",AG604&gt;IF(ISNUMBER(Flights!$BA$22),MIN(Flights!$BA$22,Flights!$AA$22),Flights!$AA$22)),"INVALID – completed after loading / departure (cannot establish readiness)",IF(AND(H604="Physical uplift",AG604&gt;Q604),"INVALID – recorded after the loading flight departed",IF(AG604&gt;Q604,"COMPLETE – LATE","COMPLETE"))))))))))))))))))))))),IF(TRIM(U604)="Fail","FAIL – DISCREPANCY",IF(AND(TRIM(U604)&lt;&gt;"",TRIM(U604)&lt;&gt;"Not started",TRIM(U604)&lt;&gt;"In progress"),"INVALID – unrecognised status (use the list)",IF(AsOfUTC&gt;Q604,"OVERDUE",IF(N604="Clarification required","OPEN – CLARIFICATION","OPEN"))))))),"INVALID – error value in an input cell")</f>
        <v>OPEN</v>
      </c>
      <c r="AI604" s="61" t="n">
        <f aca="false">IF(OR(AH604="N/A – RULE",AH604="N/A – JUSTIFIED"),0,1)</f>
        <v>1</v>
      </c>
      <c r="AJ604" s="61" t="n">
        <f aca="false">IF(LEFT(AH604,8)="COMPLETE",1,0)</f>
        <v>0</v>
      </c>
      <c r="AK604" s="61" t="n">
        <f aca="false">IF(AND(AI604=1,AJ604=0,AsOfUTC&gt;Q604),1,0)</f>
        <v>0</v>
      </c>
      <c r="AL604" s="61" t="n">
        <f aca="false">IFERROR(IF(AND(AI604=1,OR(TRIM(U604)="Fail",AND(TRIM(AB604)&lt;&gt;"",TRIM(AB604)&lt;&gt;"Closed"),AND(ISNUMBER(AF604),AF604&lt;&gt;0,TRIM(U604)&lt;&gt;"Pass after CA"))),1,0),1)</f>
        <v>0</v>
      </c>
      <c r="AM604" s="61" t="n">
        <f aca="false">IF(LEFT(AH604,7)="INVALID",1,0)</f>
        <v>0</v>
      </c>
      <c r="AN604" s="61" t="n">
        <f aca="false">IF(AND(N604="Clarification required",AI604=1,AJ604=0),1,0)</f>
        <v>0</v>
      </c>
      <c r="AO604" s="61" t="str">
        <f aca="false">IF(AK604=1,SUM(AK$5:AK604),"")</f>
        <v/>
      </c>
      <c r="AP604" s="61" t="str">
        <f aca="false">IF(AL604=1,SUM(AL$5:AL604),"")</f>
        <v/>
      </c>
      <c r="AQ604" s="61" t="n">
        <v>0</v>
      </c>
      <c r="AR604" s="61" t="n">
        <v>1</v>
      </c>
      <c r="AS604" s="61" t="n">
        <v>0</v>
      </c>
      <c r="AT604" s="61" t="n">
        <v>0</v>
      </c>
      <c r="AU604" s="61" t="str">
        <f aca="false">SUBSTITUTE(SUBSTITUTE(SUBSTITUTE(SUBSTITUTE(SUBSTITUTE(SUBSTITUTE(SUBSTITUTE(SUBSTITUTE(SUBSTITUTE(SUBSTITUTE(SUBSTITUTE(SUBSTITUTE(SUBSTITUTE(LOWER(T604&amp;""),CHAR(160),"")," ",""),".",""),"-",""),"/",""),"?",""),"_",""),",",""),"[",""),"]",""),"(",""),")",""),"*","")</f>
        <v/>
      </c>
      <c r="AV604" s="61" t="str">
        <f aca="false">SUBSTITUTE(SUBSTITUTE(SUBSTITUTE(SUBSTITUTE(SUBSTITUTE(SUBSTITUTE(SUBSTITUTE(SUBSTITUTE(SUBSTITUTE(SUBSTITUTE(SUBSTITUTE(SUBSTITUTE(SUBSTITUTE(LOWER(V604&amp;""),CHAR(160),"")," ",""),".",""),"-",""),"/",""),"?",""),"_",""),",",""),"[",""),"]",""),"(",""),")",""),"*","")</f>
        <v/>
      </c>
      <c r="AW604" s="61" t="str">
        <f aca="false">SUBSTITUTE(SUBSTITUTE(SUBSTITUTE(SUBSTITUTE(SUBSTITUTE(SUBSTITUTE(SUBSTITUTE(SUBSTITUTE(SUBSTITUTE(SUBSTITUTE(SUBSTITUTE(SUBSTITUTE(SUBSTITUTE(LOWER(Z604&amp;""),CHAR(160),"")," ",""),".",""),"-",""),"/",""),"?",""),"_",""),",",""),"[",""),"]",""),"(",""),")",""),"*","")</f>
        <v/>
      </c>
      <c r="AX604" s="61" t="str">
        <f aca="false">SUBSTITUTE(SUBSTITUTE(SUBSTITUTE(SUBSTITUTE(SUBSTITUTE(SUBSTITUTE(SUBSTITUTE(SUBSTITUTE(SUBSTITUTE(SUBSTITUTE(SUBSTITUTE(SUBSTITUTE(SUBSTITUTE(LOWER(AE604&amp;""),CHAR(160),"")," ",""),".",""),"-",""),"/",""),"?",""),"_",""),",",""),"[",""),"]",""),"(",""),")",""),"*","")</f>
        <v/>
      </c>
      <c r="AY604" s="61" t="str">
        <f aca="false">SUBSTITUTE(SUBSTITUTE(SUBSTITUTE(SUBSTITUTE(SUBSTITUTE(SUBSTITUTE(SUBSTITUTE(SUBSTITUTE(SUBSTITUTE(SUBSTITUTE(SUBSTITUTE(SUBSTITUTE(SUBSTITUTE(LOWER(W604&amp;""),CHAR(160),"")," ",""),".",""),"-",""),"/",""),"?",""),"_",""),",",""),"[",""),"]",""),"(",""),")",""),"*","")</f>
        <v/>
      </c>
      <c r="AZ604" s="61" t="str">
        <f aca="false">SUBSTITUTE(SUBSTITUTE(SUBSTITUTE(SUBSTITUTE(SUBSTITUTE(SUBSTITUTE(SUBSTITUTE(SUBSTITUTE(SUBSTITUTE(SUBSTITUTE(SUBSTITUTE(SUBSTITUTE(SUBSTITUTE(LOWER(AC604&amp;""),CHAR(160),"")," ",""),".",""),"-",""),"/",""),"?",""),"_",""),",",""),"[",""),"]",""),"(",""),")",""),"*","")</f>
        <v/>
      </c>
      <c r="BA604" s="61" t="str">
        <f aca="false">SUBSTITUTE(SUBSTITUTE(SUBSTITUTE(SUBSTITUTE(SUBSTITUTE(SUBSTITUTE(SUBSTITUTE(SUBSTITUTE(SUBSTITUTE(SUBSTITUTE(SUBSTITUTE(SUBSTITUTE(SUBSTITUTE(LOWER(AA604&amp;""),CHAR(160),"")," ",""),".",""),"-",""),"/",""),"?",""),"_",""),",",""),"[",""),"]",""),"(",""),")",""),"*","")</f>
        <v/>
      </c>
      <c r="BB604" s="61" t="str">
        <f aca="false">IF(AND(TRIM(U604)="Pass",ISNUMBER(AF604)),IF(AF604&lt;&gt;0,"INVALID – qty variance: use Fail or Pass after CA",""),"")&amp;IF(AND(TRIM(U604)="Pass after CA",ISNUMBER(AF604)),IF(AF604&lt;&gt;0,"INVALID – after the corrective action the actual qty must equal expected (update Actual)",""),"")&amp;IF(AND(TRIM(U604)="Pass",TRIM(AB604)&lt;&gt;"",TRIM(AB604)&lt;&gt;"Closed"),"INVALID – corrective action not closed: use Fail, then Pass after CA","")&amp;IF(AND(TRIM(AA604)&lt;&gt;"",TRIM(AB604)=""),"INVALID – CA status missing for the recorded corrective action","")&amp;IF(AND(TRIM(U604)="Pass after CA",OR(OR(LEN(BA604)&lt;5,ISNUMBER(MATCH(BA604,L_Placeholder,0))),TRIM(AB604)&lt;&gt;"Closed")),"INVALID – corrective action not recorded/closed","")</f>
        <v/>
      </c>
    </row>
    <row r="605" customFormat="false" ht="39.75" hidden="false" customHeight="true" outlineLevel="0" collapsed="false">
      <c r="A605" s="57" t="s">
        <v>1292</v>
      </c>
      <c r="B605" s="57" t="s">
        <v>290</v>
      </c>
      <c r="C605" s="57" t="str">
        <f aca="false">Flights!$F$22</f>
        <v>MH0052</v>
      </c>
      <c r="D605" s="58" t="n">
        <f aca="false">Flights!$D$22</f>
        <v>46322</v>
      </c>
      <c r="E605" s="57" t="str">
        <f aca="false">Flights!$G$22&amp;"-"&amp;Flights!$H$22</f>
        <v>KUL-KIX</v>
      </c>
      <c r="F605" s="57" t="str">
        <f aca="false">Flights!$K$22</f>
        <v>BC</v>
      </c>
      <c r="G605" s="57" t="s">
        <v>437</v>
      </c>
      <c r="H605" s="57" t="s">
        <v>438</v>
      </c>
      <c r="I605" s="57" t="s">
        <v>406</v>
      </c>
      <c r="J605" s="57" t="s">
        <v>443</v>
      </c>
      <c r="K605" s="67" t="s">
        <v>404</v>
      </c>
      <c r="L605" s="67" t="s">
        <v>440</v>
      </c>
      <c r="M605" s="67"/>
      <c r="N605" s="67" t="s">
        <v>361</v>
      </c>
      <c r="O605" s="67" t="s">
        <v>441</v>
      </c>
      <c r="P605" s="57" t="s">
        <v>184</v>
      </c>
      <c r="Q605" s="59" t="n">
        <f aca="false">ROUND((Flights!$AF$22)*1440,0)/1440</f>
        <v>46322.6006944444</v>
      </c>
      <c r="R605" s="59" t="n">
        <f aca="false">Q605+(IF(AND(INDEX(TZ_DSTS,MATCH(P605,TZ_STN,0))&lt;&gt;"",Q605&gt;=INDEX(TZ_DSTS,MATCH(P605,TZ_STN,0)),Q605&lt;INDEX(TZ_DSTE,MATCH(P605,TZ_STN,0))),INDEX(TZ_DST,MATCH(P605,TZ_STN,0)),INDEX(TZ_STD,MATCH(P605,TZ_STN,0))))/24</f>
        <v>46322.9340277778</v>
      </c>
      <c r="S605" s="59" t="n">
        <f aca="false">IF(ISNUMBER(Flights!$AZ$22),MAX(Q605-UpliftWindowH/24,Flights!$AZ$22),Q605-UpliftWindowH/24)</f>
        <v>46322.3506944444</v>
      </c>
      <c r="T605" s="60"/>
      <c r="U605" s="60"/>
      <c r="V605" s="60"/>
      <c r="W605" s="61"/>
      <c r="X605" s="60"/>
      <c r="Y605" s="60"/>
      <c r="Z605" s="60"/>
      <c r="AA605" s="60"/>
      <c r="AB605" s="60"/>
      <c r="AC605" s="60"/>
      <c r="AD605" s="66"/>
      <c r="AE605" s="60"/>
      <c r="AF605" s="61" t="str">
        <f aca="false">IF(AND(ISNUMBER(X605),ISNUMBER(Y605)),Y605-X605,"")</f>
        <v/>
      </c>
      <c r="AG605" s="62" t="str">
        <f aca="false">IF(ISNUMBER(AD605),AD605-(IF(AND(INDEX(TZ_DSTS,MATCH(P605,TZ_STN,0))&lt;&gt;"",(AD605-INDEX(TZ_STD,MATCH(P605,TZ_STN,0))/24)&gt;=INDEX(TZ_DSTS,MATCH(P605,TZ_STN,0)),(AD605-INDEX(TZ_STD,MATCH(P605,TZ_STN,0))/24)&lt;INDEX(TZ_DSTE,MATCH(P605,TZ_STN,0))),INDEX(TZ_DST,MATCH(P605,TZ_STN,0)),INDEX(TZ_STD,MATCH(P605,TZ_STN,0))))/24,"")</f>
        <v/>
      </c>
      <c r="AH605" s="65" t="str">
        <f aca="false">IFERROR(IF(N605="N/A – rule","N/A – RULE",IF(TRIM(U605)="N/A",IF(AT605=0,"INVALID – N/A not permitted for this check",IF(AND(TRIM(AB605)&lt;&gt;"",TRIM(AB605)&lt;&gt;"Closed"),"INVALID – corrective action still open",IF(AND(NOT(OR(LEN(AZ605)&lt;15,ISNUMBER(MATCH(AZ605,L_Placeholder,0)))),NOT(OR(LEN(AU605)&lt;2,ISNUMBER(MATCH(AU605,L_Placeholder,0)))),NOT(OR(LEN(AX605)&lt;2,ISNUMBER(MATCH(AX605,L_Placeholder,0)))),TRIM(AE605)&lt;&gt;TRIM(T605)),"N/A – JUSTIFIED","INVALID – N/A needs a real justification (15+ chars), PIC and a different verifier"))),IF(OR(TRIM(U605)="Pass",TRIM(U605)="Pass after CA"),IF(NOT(ISNUMBER(AD605)),"INVALID – completion time missing",IF(OR(LEN(AU605)&lt;2,ISNUMBER(MATCH(AU605,L_Placeholder,0))),"INVALID – PIC missing",IF(OR(LEN(AV605)&lt;2,ISNUMBER(MATCH(AV605,L_Placeholder,0))),"INVALID – result / assessment missing",IF(OR(OR(LEN(AW605)&lt;3,ISNUMBER(MATCH(AW605,L_Placeholder,0))),SUMPRODUCT(--ISNUMBER(SEARCH(L_EvidencePhrase,AW605)))&gt;0),"INVALID – evidence missing, placeholder or not yet on file",IF(OR(LEN(AX605)&lt;2,ISNUMBER(MATCH(AX605,L_Placeholder,0))),"INVALID – verifier missing",IF(AX605=AU605,"INVALID – verifier must be someone other than the PIC",IF(AND(TRIM(U605)="Pass",SUMPRODUCT(--ISNUMBER(SEARCH(L_ResultBad,AV605)))&gt;0),"INVALID – result describes a problem: use Fail, then Pass after CA",IF(AND(AQ605=1,OR(LEN(AY605)&lt;3,ISNUMBER(MATCH(AY605,L_Placeholder,0)))),"INVALID – batch ID missing or placeholder",IF(AND(AR605=1,OR(NOT(ISNUMBER(X605)),NOT(ISNUMBER(Y605)))),"INVALID – expected/actual qty missing",IF(AND(AR605=1,OR(X605&lt;=0,Y605&lt;0)),"INVALID – expected qty must be above 0 and actual not negative",IF(AH589="N/A – JUSTIFIED","INVALID – preparation row F18-T12-06 is N/A",IF(AND(AR605=1,ISNUMBER(X589),X605&lt;&gt;X589),"INVALID – expected qty differs from preparation check F18-T12-06",IF(BB605&lt;&gt;"",BB605,IF(AND(AS605=1,Documents!$J$22&lt;&gt;"ON FILE"),"INVALID – GLD not on file (Documents sheet)",IF(AND(AS605=2,Documents!$O$22&lt;&gt;"ON FILE"),"INVALID – menu checklist not on file (Documents sheet)",IF(AND(AS605=3,NOT(ISNUMBER(Flights!$AX$22))),"INVALID – enter carrying flight KUL departure (Flights AX)",IF(AND(AS605=3,OR(Flights!$AZ$22&gt;Flights!$AA$22,Flights!$AX$22&lt;Flights!$AA$22-3)),"INVALID – carrying flight (Flights AX) cannot arrive before this leg's STD, or is over 3 days early",IF(AG605&gt;AsOfUTC,"INVALID – completion time is in the future",IF(AND(ISNUMBER(S605),AG605&lt;S605),IF(H605="Physical uplift","INVALID – before uplift window (cannot confirm loading)","INVALID – before valid window"),IF(AG605&gt;Flights!$AA$22,"INVALID – completed after departure (cannot establish readiness)",IF(AND(H605="Preparation",AG605&gt;IF(ISNUMBER(Flights!$BA$22),MIN(Flights!$BA$22,Flights!$AA$22),Flights!$AA$22)),"INVALID – completed after loading / departure (cannot establish readiness)",IF(AND(H605="Physical uplift",AG605&gt;Q605),"INVALID – recorded after the loading flight departed",IF(AG605&gt;Q605,"COMPLETE – LATE","COMPLETE"))))))))))))))))))))))),IF(TRIM(U605)="Fail","FAIL – DISCREPANCY",IF(AND(TRIM(U605)&lt;&gt;"",TRIM(U605)&lt;&gt;"Not started",TRIM(U605)&lt;&gt;"In progress"),"INVALID – unrecognised status (use the list)",IF(AsOfUTC&gt;Q605,"OVERDUE",IF(N605="Clarification required","OPEN – CLARIFICATION","OPEN"))))))),"INVALID – error value in an input cell")</f>
        <v>OPEN</v>
      </c>
      <c r="AI605" s="61" t="n">
        <f aca="false">IF(OR(AH605="N/A – RULE",AH605="N/A – JUSTIFIED"),0,1)</f>
        <v>1</v>
      </c>
      <c r="AJ605" s="61" t="n">
        <f aca="false">IF(LEFT(AH605,8)="COMPLETE",1,0)</f>
        <v>0</v>
      </c>
      <c r="AK605" s="61" t="n">
        <f aca="false">IF(AND(AI605=1,AJ605=0,AsOfUTC&gt;Q605),1,0)</f>
        <v>0</v>
      </c>
      <c r="AL605" s="61" t="n">
        <f aca="false">IFERROR(IF(AND(AI605=1,OR(TRIM(U605)="Fail",AND(TRIM(AB605)&lt;&gt;"",TRIM(AB605)&lt;&gt;"Closed"),AND(ISNUMBER(AF605),AF605&lt;&gt;0,TRIM(U605)&lt;&gt;"Pass after CA"))),1,0),1)</f>
        <v>0</v>
      </c>
      <c r="AM605" s="61" t="n">
        <f aca="false">IF(LEFT(AH605,7)="INVALID",1,0)</f>
        <v>0</v>
      </c>
      <c r="AN605" s="61" t="n">
        <f aca="false">IF(AND(N605="Clarification required",AI605=1,AJ605=0),1,0)</f>
        <v>0</v>
      </c>
      <c r="AO605" s="61" t="str">
        <f aca="false">IF(AK605=1,SUM(AK$5:AK605),"")</f>
        <v/>
      </c>
      <c r="AP605" s="61" t="str">
        <f aca="false">IF(AL605=1,SUM(AL$5:AL605),"")</f>
        <v/>
      </c>
      <c r="AQ605" s="61" t="n">
        <v>0</v>
      </c>
      <c r="AR605" s="61" t="n">
        <v>1</v>
      </c>
      <c r="AS605" s="61" t="n">
        <v>0</v>
      </c>
      <c r="AT605" s="61" t="n">
        <v>0</v>
      </c>
      <c r="AU605" s="61" t="str">
        <f aca="false">SUBSTITUTE(SUBSTITUTE(SUBSTITUTE(SUBSTITUTE(SUBSTITUTE(SUBSTITUTE(SUBSTITUTE(SUBSTITUTE(SUBSTITUTE(SUBSTITUTE(SUBSTITUTE(SUBSTITUTE(SUBSTITUTE(LOWER(T605&amp;""),CHAR(160),"")," ",""),".",""),"-",""),"/",""),"?",""),"_",""),",",""),"[",""),"]",""),"(",""),")",""),"*","")</f>
        <v/>
      </c>
      <c r="AV605" s="61" t="str">
        <f aca="false">SUBSTITUTE(SUBSTITUTE(SUBSTITUTE(SUBSTITUTE(SUBSTITUTE(SUBSTITUTE(SUBSTITUTE(SUBSTITUTE(SUBSTITUTE(SUBSTITUTE(SUBSTITUTE(SUBSTITUTE(SUBSTITUTE(LOWER(V605&amp;""),CHAR(160),"")," ",""),".",""),"-",""),"/",""),"?",""),"_",""),",",""),"[",""),"]",""),"(",""),")",""),"*","")</f>
        <v/>
      </c>
      <c r="AW605" s="61" t="str">
        <f aca="false">SUBSTITUTE(SUBSTITUTE(SUBSTITUTE(SUBSTITUTE(SUBSTITUTE(SUBSTITUTE(SUBSTITUTE(SUBSTITUTE(SUBSTITUTE(SUBSTITUTE(SUBSTITUTE(SUBSTITUTE(SUBSTITUTE(LOWER(Z605&amp;""),CHAR(160),"")," ",""),".",""),"-",""),"/",""),"?",""),"_",""),",",""),"[",""),"]",""),"(",""),")",""),"*","")</f>
        <v/>
      </c>
      <c r="AX605" s="61" t="str">
        <f aca="false">SUBSTITUTE(SUBSTITUTE(SUBSTITUTE(SUBSTITUTE(SUBSTITUTE(SUBSTITUTE(SUBSTITUTE(SUBSTITUTE(SUBSTITUTE(SUBSTITUTE(SUBSTITUTE(SUBSTITUTE(SUBSTITUTE(LOWER(AE605&amp;""),CHAR(160),"")," ",""),".",""),"-",""),"/",""),"?",""),"_",""),",",""),"[",""),"]",""),"(",""),")",""),"*","")</f>
        <v/>
      </c>
      <c r="AY605" s="61" t="str">
        <f aca="false">SUBSTITUTE(SUBSTITUTE(SUBSTITUTE(SUBSTITUTE(SUBSTITUTE(SUBSTITUTE(SUBSTITUTE(SUBSTITUTE(SUBSTITUTE(SUBSTITUTE(SUBSTITUTE(SUBSTITUTE(SUBSTITUTE(LOWER(W605&amp;""),CHAR(160),"")," ",""),".",""),"-",""),"/",""),"?",""),"_",""),",",""),"[",""),"]",""),"(",""),")",""),"*","")</f>
        <v/>
      </c>
      <c r="AZ605" s="61" t="str">
        <f aca="false">SUBSTITUTE(SUBSTITUTE(SUBSTITUTE(SUBSTITUTE(SUBSTITUTE(SUBSTITUTE(SUBSTITUTE(SUBSTITUTE(SUBSTITUTE(SUBSTITUTE(SUBSTITUTE(SUBSTITUTE(SUBSTITUTE(LOWER(AC605&amp;""),CHAR(160),"")," ",""),".",""),"-",""),"/",""),"?",""),"_",""),",",""),"[",""),"]",""),"(",""),")",""),"*","")</f>
        <v/>
      </c>
      <c r="BA605" s="61" t="str">
        <f aca="false">SUBSTITUTE(SUBSTITUTE(SUBSTITUTE(SUBSTITUTE(SUBSTITUTE(SUBSTITUTE(SUBSTITUTE(SUBSTITUTE(SUBSTITUTE(SUBSTITUTE(SUBSTITUTE(SUBSTITUTE(SUBSTITUTE(LOWER(AA605&amp;""),CHAR(160),"")," ",""),".",""),"-",""),"/",""),"?",""),"_",""),",",""),"[",""),"]",""),"(",""),")",""),"*","")</f>
        <v/>
      </c>
      <c r="BB605" s="61" t="str">
        <f aca="false">IF(AND(TRIM(U605)="Pass",ISNUMBER(AF605)),IF(AF605&lt;&gt;0,"INVALID – qty variance: use Fail or Pass after CA",""),"")&amp;IF(AND(TRIM(U605)="Pass after CA",ISNUMBER(AF605)),IF(AF605&lt;&gt;0,"INVALID – after the corrective action the actual qty must equal expected (update Actual)",""),"")&amp;IF(AND(TRIM(U605)="Pass",TRIM(AB605)&lt;&gt;"",TRIM(AB605)&lt;&gt;"Closed"),"INVALID – corrective action not closed: use Fail, then Pass after CA","")&amp;IF(AND(TRIM(AA605)&lt;&gt;"",TRIM(AB605)=""),"INVALID – CA status missing for the recorded corrective action","")&amp;IF(AND(TRIM(U605)="Pass after CA",OR(OR(LEN(BA605)&lt;5,ISNUMBER(MATCH(BA605,L_Placeholder,0))),TRIM(AB605)&lt;&gt;"Closed")),"INVALID – corrective action not recorded/closed","")</f>
        <v/>
      </c>
    </row>
    <row r="606" customFormat="false" ht="39.75" hidden="false" customHeight="true" outlineLevel="0" collapsed="false">
      <c r="A606" s="57" t="s">
        <v>1293</v>
      </c>
      <c r="B606" s="57" t="s">
        <v>290</v>
      </c>
      <c r="C606" s="57" t="str">
        <f aca="false">Flights!$F$22</f>
        <v>MH0052</v>
      </c>
      <c r="D606" s="58" t="n">
        <f aca="false">Flights!$D$22</f>
        <v>46322</v>
      </c>
      <c r="E606" s="57" t="str">
        <f aca="false">Flights!$G$22&amp;"-"&amp;Flights!$H$22</f>
        <v>KUL-KIX</v>
      </c>
      <c r="F606" s="57" t="str">
        <f aca="false">Flights!$K$22</f>
        <v>BC</v>
      </c>
      <c r="G606" s="57" t="s">
        <v>437</v>
      </c>
      <c r="H606" s="57" t="s">
        <v>438</v>
      </c>
      <c r="I606" s="57" t="s">
        <v>418</v>
      </c>
      <c r="J606" s="57" t="s">
        <v>621</v>
      </c>
      <c r="K606" s="67" t="s">
        <v>479</v>
      </c>
      <c r="L606" s="67" t="s">
        <v>1264</v>
      </c>
      <c r="M606" s="67" t="s">
        <v>184</v>
      </c>
      <c r="N606" s="67" t="s">
        <v>361</v>
      </c>
      <c r="O606" s="67"/>
      <c r="P606" s="57" t="s">
        <v>184</v>
      </c>
      <c r="Q606" s="59" t="n">
        <f aca="false">ROUND((Flights!$AF$22)*1440,0)/1440</f>
        <v>46322.6006944444</v>
      </c>
      <c r="R606" s="59" t="n">
        <f aca="false">Q606+(IF(AND(INDEX(TZ_DSTS,MATCH(P606,TZ_STN,0))&lt;&gt;"",Q606&gt;=INDEX(TZ_DSTS,MATCH(P606,TZ_STN,0)),Q606&lt;INDEX(TZ_DSTE,MATCH(P606,TZ_STN,0))),INDEX(TZ_DST,MATCH(P606,TZ_STN,0)),INDEX(TZ_STD,MATCH(P606,TZ_STN,0))))/24</f>
        <v>46322.9340277778</v>
      </c>
      <c r="S606" s="59" t="n">
        <f aca="false">IF(ISNUMBER(Flights!$AZ$22),MAX(Q606-UpliftWindowH/24,Flights!$AZ$22),Q606-UpliftWindowH/24)</f>
        <v>46322.3506944444</v>
      </c>
      <c r="T606" s="60"/>
      <c r="U606" s="60"/>
      <c r="V606" s="60"/>
      <c r="W606" s="61"/>
      <c r="X606" s="60"/>
      <c r="Y606" s="60"/>
      <c r="Z606" s="60"/>
      <c r="AA606" s="60"/>
      <c r="AB606" s="60"/>
      <c r="AC606" s="60"/>
      <c r="AD606" s="66"/>
      <c r="AE606" s="60"/>
      <c r="AF606" s="61" t="str">
        <f aca="false">IF(AND(ISNUMBER(X606),ISNUMBER(Y606)),Y606-X606,"")</f>
        <v/>
      </c>
      <c r="AG606" s="62" t="str">
        <f aca="false">IF(ISNUMBER(AD606),AD606-(IF(AND(INDEX(TZ_DSTS,MATCH(P606,TZ_STN,0))&lt;&gt;"",(AD606-INDEX(TZ_STD,MATCH(P606,TZ_STN,0))/24)&gt;=INDEX(TZ_DSTS,MATCH(P606,TZ_STN,0)),(AD606-INDEX(TZ_STD,MATCH(P606,TZ_STN,0))/24)&lt;INDEX(TZ_DSTE,MATCH(P606,TZ_STN,0))),INDEX(TZ_DST,MATCH(P606,TZ_STN,0)),INDEX(TZ_STD,MATCH(P606,TZ_STN,0))))/24,"")</f>
        <v/>
      </c>
      <c r="AH606" s="65" t="str">
        <f aca="false">IFERROR(IF(N606="N/A – rule","N/A – RULE",IF(TRIM(U606)="N/A",IF(AT606=0,"INVALID – N/A not permitted for this check",IF(AND(TRIM(AB606)&lt;&gt;"",TRIM(AB606)&lt;&gt;"Closed"),"INVALID – corrective action still open",IF(AND(NOT(OR(LEN(AZ606)&lt;15,ISNUMBER(MATCH(AZ606,L_Placeholder,0)))),NOT(OR(LEN(AU606)&lt;2,ISNUMBER(MATCH(AU606,L_Placeholder,0)))),NOT(OR(LEN(AX606)&lt;2,ISNUMBER(MATCH(AX606,L_Placeholder,0)))),TRIM(AE606)&lt;&gt;TRIM(T606)),"N/A – JUSTIFIED","INVALID – N/A needs a real justification (15+ chars), PIC and a different verifier"))),IF(OR(TRIM(U606)="Pass",TRIM(U606)="Pass after CA"),IF(NOT(ISNUMBER(AD606)),"INVALID – completion time missing",IF(OR(LEN(AU606)&lt;2,ISNUMBER(MATCH(AU606,L_Placeholder,0))),"INVALID – PIC missing",IF(OR(LEN(AV606)&lt;2,ISNUMBER(MATCH(AV606,L_Placeholder,0))),"INVALID – result / assessment missing",IF(OR(OR(LEN(AW606)&lt;3,ISNUMBER(MATCH(AW606,L_Placeholder,0))),SUMPRODUCT(--ISNUMBER(SEARCH(L_EvidencePhrase,AW606)))&gt;0),"INVALID – evidence missing, placeholder or not yet on file",IF(OR(LEN(AX606)&lt;2,ISNUMBER(MATCH(AX606,L_Placeholder,0))),"INVALID – verifier missing",IF(AX606=AU606,"INVALID – verifier must be someone other than the PIC",IF(AND(TRIM(U606)="Pass",SUMPRODUCT(--ISNUMBER(SEARCH(L_ResultBad,AV606)))&gt;0),"INVALID – result describes a problem: use Fail, then Pass after CA",IF(AND(AQ606=1,OR(LEN(AY606)&lt;3,ISNUMBER(MATCH(AY606,L_Placeholder,0)))),"INVALID – batch ID missing or placeholder",IF(AND(AR606=1,OR(NOT(ISNUMBER(X606)),NOT(ISNUMBER(Y606)))),"INVALID – expected/actual qty missing",IF(AND(AR606=1,OR(X606&lt;=0,Y606&lt;0)),"INVALID – expected qty must be above 0 and actual not negative",IF(AH591="N/A – JUSTIFIED","INVALID – preparation row F18-T12-08 is N/A",IF(AND(AR606=1,ISNUMBER(X591),X606&lt;&gt;X591),"INVALID – expected qty differs from preparation check F18-T12-08",IF(BB606&lt;&gt;"",BB606,IF(AND(AS606=1,Documents!$J$22&lt;&gt;"ON FILE"),"INVALID – GLD not on file (Documents sheet)",IF(AND(AS606=2,Documents!$O$22&lt;&gt;"ON FILE"),"INVALID – menu checklist not on file (Documents sheet)",IF(AND(AS606=3,NOT(ISNUMBER(Flights!$AX$22))),"INVALID – enter carrying flight KUL departure (Flights AX)",IF(AND(AS606=3,OR(Flights!$AZ$22&gt;Flights!$AA$22,Flights!$AX$22&lt;Flights!$AA$22-3)),"INVALID – carrying flight (Flights AX) cannot arrive before this leg's STD, or is over 3 days early",IF(AG606&gt;AsOfUTC,"INVALID – completion time is in the future",IF(AND(ISNUMBER(S606),AG606&lt;S606),IF(H606="Physical uplift","INVALID – before uplift window (cannot confirm loading)","INVALID – before valid window"),IF(AG606&gt;Flights!$AA$22,"INVALID – completed after departure (cannot establish readiness)",IF(AND(H606="Preparation",AG606&gt;IF(ISNUMBER(Flights!$BA$22),MIN(Flights!$BA$22,Flights!$AA$22),Flights!$AA$22)),"INVALID – completed after loading / departure (cannot establish readiness)",IF(AND(H606="Physical uplift",AG606&gt;Q606),"INVALID – recorded after the loading flight departed",IF(AG606&gt;Q606,"COMPLETE – LATE","COMPLETE"))))))))))))))))))))))),IF(TRIM(U606)="Fail","FAIL – DISCREPANCY",IF(AND(TRIM(U606)&lt;&gt;"",TRIM(U606)&lt;&gt;"Not started",TRIM(U606)&lt;&gt;"In progress"),"INVALID – unrecognised status (use the list)",IF(AsOfUTC&gt;Q606,"OVERDUE",IF(N606="Clarification required","OPEN – CLARIFICATION","OPEN"))))))),"INVALID – error value in an input cell")</f>
        <v>OPEN</v>
      </c>
      <c r="AI606" s="61" t="n">
        <f aca="false">IF(OR(AH606="N/A – RULE",AH606="N/A – JUSTIFIED"),0,1)</f>
        <v>1</v>
      </c>
      <c r="AJ606" s="61" t="n">
        <f aca="false">IF(LEFT(AH606,8)="COMPLETE",1,0)</f>
        <v>0</v>
      </c>
      <c r="AK606" s="61" t="n">
        <f aca="false">IF(AND(AI606=1,AJ606=0,AsOfUTC&gt;Q606),1,0)</f>
        <v>0</v>
      </c>
      <c r="AL606" s="61" t="n">
        <f aca="false">IFERROR(IF(AND(AI606=1,OR(TRIM(U606)="Fail",AND(TRIM(AB606)&lt;&gt;"",TRIM(AB606)&lt;&gt;"Closed"),AND(ISNUMBER(AF606),AF606&lt;&gt;0,TRIM(U606)&lt;&gt;"Pass after CA"))),1,0),1)</f>
        <v>0</v>
      </c>
      <c r="AM606" s="61" t="n">
        <f aca="false">IF(LEFT(AH606,7)="INVALID",1,0)</f>
        <v>0</v>
      </c>
      <c r="AN606" s="61" t="n">
        <f aca="false">IF(AND(N606="Clarification required",AI606=1,AJ606=0),1,0)</f>
        <v>0</v>
      </c>
      <c r="AO606" s="61" t="str">
        <f aca="false">IF(AK606=1,SUM(AK$5:AK606),"")</f>
        <v/>
      </c>
      <c r="AP606" s="61" t="str">
        <f aca="false">IF(AL606=1,SUM(AL$5:AL606),"")</f>
        <v/>
      </c>
      <c r="AQ606" s="61" t="n">
        <v>0</v>
      </c>
      <c r="AR606" s="61" t="n">
        <v>0</v>
      </c>
      <c r="AS606" s="61" t="n">
        <v>0</v>
      </c>
      <c r="AT606" s="61" t="n">
        <v>0</v>
      </c>
      <c r="AU606" s="61" t="str">
        <f aca="false">SUBSTITUTE(SUBSTITUTE(SUBSTITUTE(SUBSTITUTE(SUBSTITUTE(SUBSTITUTE(SUBSTITUTE(SUBSTITUTE(SUBSTITUTE(SUBSTITUTE(SUBSTITUTE(SUBSTITUTE(SUBSTITUTE(LOWER(T606&amp;""),CHAR(160),"")," ",""),".",""),"-",""),"/",""),"?",""),"_",""),",",""),"[",""),"]",""),"(",""),")",""),"*","")</f>
        <v/>
      </c>
      <c r="AV606" s="61" t="str">
        <f aca="false">SUBSTITUTE(SUBSTITUTE(SUBSTITUTE(SUBSTITUTE(SUBSTITUTE(SUBSTITUTE(SUBSTITUTE(SUBSTITUTE(SUBSTITUTE(SUBSTITUTE(SUBSTITUTE(SUBSTITUTE(SUBSTITUTE(LOWER(V606&amp;""),CHAR(160),"")," ",""),".",""),"-",""),"/",""),"?",""),"_",""),",",""),"[",""),"]",""),"(",""),")",""),"*","")</f>
        <v/>
      </c>
      <c r="AW606" s="61" t="str">
        <f aca="false">SUBSTITUTE(SUBSTITUTE(SUBSTITUTE(SUBSTITUTE(SUBSTITUTE(SUBSTITUTE(SUBSTITUTE(SUBSTITUTE(SUBSTITUTE(SUBSTITUTE(SUBSTITUTE(SUBSTITUTE(SUBSTITUTE(LOWER(Z606&amp;""),CHAR(160),"")," ",""),".",""),"-",""),"/",""),"?",""),"_",""),",",""),"[",""),"]",""),"(",""),")",""),"*","")</f>
        <v/>
      </c>
      <c r="AX606" s="61" t="str">
        <f aca="false">SUBSTITUTE(SUBSTITUTE(SUBSTITUTE(SUBSTITUTE(SUBSTITUTE(SUBSTITUTE(SUBSTITUTE(SUBSTITUTE(SUBSTITUTE(SUBSTITUTE(SUBSTITUTE(SUBSTITUTE(SUBSTITUTE(LOWER(AE606&amp;""),CHAR(160),"")," ",""),".",""),"-",""),"/",""),"?",""),"_",""),",",""),"[",""),"]",""),"(",""),")",""),"*","")</f>
        <v/>
      </c>
      <c r="AY606" s="61" t="str">
        <f aca="false">SUBSTITUTE(SUBSTITUTE(SUBSTITUTE(SUBSTITUTE(SUBSTITUTE(SUBSTITUTE(SUBSTITUTE(SUBSTITUTE(SUBSTITUTE(SUBSTITUTE(SUBSTITUTE(SUBSTITUTE(SUBSTITUTE(LOWER(W606&amp;""),CHAR(160),"")," ",""),".",""),"-",""),"/",""),"?",""),"_",""),",",""),"[",""),"]",""),"(",""),")",""),"*","")</f>
        <v/>
      </c>
      <c r="AZ606" s="61" t="str">
        <f aca="false">SUBSTITUTE(SUBSTITUTE(SUBSTITUTE(SUBSTITUTE(SUBSTITUTE(SUBSTITUTE(SUBSTITUTE(SUBSTITUTE(SUBSTITUTE(SUBSTITUTE(SUBSTITUTE(SUBSTITUTE(SUBSTITUTE(LOWER(AC606&amp;""),CHAR(160),"")," ",""),".",""),"-",""),"/",""),"?",""),"_",""),",",""),"[",""),"]",""),"(",""),")",""),"*","")</f>
        <v/>
      </c>
      <c r="BA606" s="61" t="str">
        <f aca="false">SUBSTITUTE(SUBSTITUTE(SUBSTITUTE(SUBSTITUTE(SUBSTITUTE(SUBSTITUTE(SUBSTITUTE(SUBSTITUTE(SUBSTITUTE(SUBSTITUTE(SUBSTITUTE(SUBSTITUTE(SUBSTITUTE(LOWER(AA606&amp;""),CHAR(160),"")," ",""),".",""),"-",""),"/",""),"?",""),"_",""),",",""),"[",""),"]",""),"(",""),")",""),"*","")</f>
        <v/>
      </c>
      <c r="BB606" s="61" t="str">
        <f aca="false">IF(AND(TRIM(U606)="Pass",ISNUMBER(AF606)),IF(AF606&lt;&gt;0,"INVALID – qty variance: use Fail or Pass after CA",""),"")&amp;IF(AND(TRIM(U606)="Pass after CA",ISNUMBER(AF606)),IF(AF606&lt;&gt;0,"INVALID – after the corrective action the actual qty must equal expected (update Actual)",""),"")&amp;IF(AND(TRIM(U606)="Pass",TRIM(AB606)&lt;&gt;"",TRIM(AB606)&lt;&gt;"Closed"),"INVALID – corrective action not closed: use Fail, then Pass after CA","")&amp;IF(AND(TRIM(AA606)&lt;&gt;"",TRIM(AB606)=""),"INVALID – CA status missing for the recorded corrective action","")&amp;IF(AND(TRIM(U606)="Pass after CA",OR(OR(LEN(BA606)&lt;5,ISNUMBER(MATCH(BA606,L_Placeholder,0))),TRIM(AB606)&lt;&gt;"Closed")),"INVALID – corrective action not recorded/closed","")</f>
        <v/>
      </c>
    </row>
    <row r="607" customFormat="false" ht="39.75" hidden="false" customHeight="true" outlineLevel="0" collapsed="false">
      <c r="A607" s="57" t="s">
        <v>1294</v>
      </c>
      <c r="B607" s="57" t="s">
        <v>290</v>
      </c>
      <c r="C607" s="57" t="str">
        <f aca="false">Flights!$F$22</f>
        <v>MH0052</v>
      </c>
      <c r="D607" s="58" t="n">
        <f aca="false">Flights!$D$22</f>
        <v>46322</v>
      </c>
      <c r="E607" s="57" t="str">
        <f aca="false">Flights!$G$22&amp;"-"&amp;Flights!$H$22</f>
        <v>KUL-KIX</v>
      </c>
      <c r="F607" s="57" t="str">
        <f aca="false">Flights!$K$22</f>
        <v>BC</v>
      </c>
      <c r="G607" s="57" t="s">
        <v>437</v>
      </c>
      <c r="H607" s="57" t="s">
        <v>438</v>
      </c>
      <c r="I607" s="57" t="s">
        <v>477</v>
      </c>
      <c r="J607" s="57" t="s">
        <v>515</v>
      </c>
      <c r="K607" s="67" t="s">
        <v>479</v>
      </c>
      <c r="L607" s="67" t="s">
        <v>1266</v>
      </c>
      <c r="M607" s="67" t="s">
        <v>429</v>
      </c>
      <c r="N607" s="67" t="s">
        <v>361</v>
      </c>
      <c r="O607" s="67"/>
      <c r="P607" s="57" t="s">
        <v>184</v>
      </c>
      <c r="Q607" s="59" t="n">
        <f aca="false">ROUND((Flights!$AF$22)*1440,0)/1440</f>
        <v>46322.6006944444</v>
      </c>
      <c r="R607" s="59" t="n">
        <f aca="false">Q607+(IF(AND(INDEX(TZ_DSTS,MATCH(P607,TZ_STN,0))&lt;&gt;"",Q607&gt;=INDEX(TZ_DSTS,MATCH(P607,TZ_STN,0)),Q607&lt;INDEX(TZ_DSTE,MATCH(P607,TZ_STN,0))),INDEX(TZ_DST,MATCH(P607,TZ_STN,0)),INDEX(TZ_STD,MATCH(P607,TZ_STN,0))))/24</f>
        <v>46322.9340277778</v>
      </c>
      <c r="S607" s="59" t="n">
        <f aca="false">IF(ISNUMBER(Flights!$AZ$22),MAX(Q607-UpliftWindowH/24,Flights!$AZ$22),Q607-UpliftWindowH/24)</f>
        <v>46322.3506944444</v>
      </c>
      <c r="T607" s="60"/>
      <c r="U607" s="60"/>
      <c r="V607" s="60"/>
      <c r="W607" s="61"/>
      <c r="X607" s="60"/>
      <c r="Y607" s="60"/>
      <c r="Z607" s="60"/>
      <c r="AA607" s="60"/>
      <c r="AB607" s="60"/>
      <c r="AC607" s="60"/>
      <c r="AD607" s="66"/>
      <c r="AE607" s="60"/>
      <c r="AF607" s="61" t="str">
        <f aca="false">IF(AND(ISNUMBER(X607),ISNUMBER(Y607)),Y607-X607,"")</f>
        <v/>
      </c>
      <c r="AG607" s="62" t="str">
        <f aca="false">IF(ISNUMBER(AD607),AD607-(IF(AND(INDEX(TZ_DSTS,MATCH(P607,TZ_STN,0))&lt;&gt;"",(AD607-INDEX(TZ_STD,MATCH(P607,TZ_STN,0))/24)&gt;=INDEX(TZ_DSTS,MATCH(P607,TZ_STN,0)),(AD607-INDEX(TZ_STD,MATCH(P607,TZ_STN,0))/24)&lt;INDEX(TZ_DSTE,MATCH(P607,TZ_STN,0))),INDEX(TZ_DST,MATCH(P607,TZ_STN,0)),INDEX(TZ_STD,MATCH(P607,TZ_STN,0))))/24,"")</f>
        <v/>
      </c>
      <c r="AH607" s="65" t="str">
        <f aca="false">IFERROR(IF(N607="N/A – rule","N/A – RULE",IF(TRIM(U607)="N/A",IF(AT607=0,"INVALID – N/A not permitted for this check",IF(AND(TRIM(AB607)&lt;&gt;"",TRIM(AB607)&lt;&gt;"Closed"),"INVALID – corrective action still open",IF(AND(NOT(OR(LEN(AZ607)&lt;15,ISNUMBER(MATCH(AZ607,L_Placeholder,0)))),NOT(OR(LEN(AU607)&lt;2,ISNUMBER(MATCH(AU607,L_Placeholder,0)))),NOT(OR(LEN(AX607)&lt;2,ISNUMBER(MATCH(AX607,L_Placeholder,0)))),TRIM(AE607)&lt;&gt;TRIM(T607)),"N/A – JUSTIFIED","INVALID – N/A needs a real justification (15+ chars), PIC and a different verifier"))),IF(OR(TRIM(U607)="Pass",TRIM(U607)="Pass after CA"),IF(NOT(ISNUMBER(AD607)),"INVALID – completion time missing",IF(OR(LEN(AU607)&lt;2,ISNUMBER(MATCH(AU607,L_Placeholder,0))),"INVALID – PIC missing",IF(OR(LEN(AV607)&lt;2,ISNUMBER(MATCH(AV607,L_Placeholder,0))),"INVALID – result / assessment missing",IF(OR(OR(LEN(AW607)&lt;3,ISNUMBER(MATCH(AW607,L_Placeholder,0))),SUMPRODUCT(--ISNUMBER(SEARCH(L_EvidencePhrase,AW607)))&gt;0),"INVALID – evidence missing, placeholder or not yet on file",IF(OR(LEN(AX607)&lt;2,ISNUMBER(MATCH(AX607,L_Placeholder,0))),"INVALID – verifier missing",IF(AX607=AU607,"INVALID – verifier must be someone other than the PIC",IF(AND(TRIM(U607)="Pass",SUMPRODUCT(--ISNUMBER(SEARCH(L_ResultBad,AV607)))&gt;0),"INVALID – result describes a problem: use Fail, then Pass after CA",IF(AND(AQ607=1,OR(LEN(AY607)&lt;3,ISNUMBER(MATCH(AY607,L_Placeholder,0)))),"INVALID – batch ID missing or placeholder",IF(AND(AR607=1,OR(NOT(ISNUMBER(X607)),NOT(ISNUMBER(Y607)))),"INVALID – expected/actual qty missing",IF(AND(AR607=1,OR(X607&lt;=0,Y607&lt;0)),"INVALID – expected qty must be above 0 and actual not negative",IF(AH592="N/A – JUSTIFIED","INVALID – preparation row F18-T12-09 is N/A",IF(AND(AR607=1,ISNUMBER(X592),X607&lt;&gt;X592),"INVALID – expected qty differs from preparation check F18-T12-09",IF(BB607&lt;&gt;"",BB607,IF(AND(AS607=1,Documents!$J$22&lt;&gt;"ON FILE"),"INVALID – GLD not on file (Documents sheet)",IF(AND(AS607=2,Documents!$O$22&lt;&gt;"ON FILE"),"INVALID – menu checklist not on file (Documents sheet)",IF(AND(AS607=3,NOT(ISNUMBER(Flights!$AX$22))),"INVALID – enter carrying flight KUL departure (Flights AX)",IF(AND(AS607=3,OR(Flights!$AZ$22&gt;Flights!$AA$22,Flights!$AX$22&lt;Flights!$AA$22-3)),"INVALID – carrying flight (Flights AX) cannot arrive before this leg's STD, or is over 3 days early",IF(AG607&gt;AsOfUTC,"INVALID – completion time is in the future",IF(AND(ISNUMBER(S607),AG607&lt;S607),IF(H607="Physical uplift","INVALID – before uplift window (cannot confirm loading)","INVALID – before valid window"),IF(AG607&gt;Flights!$AA$22,"INVALID – completed after departure (cannot establish readiness)",IF(AND(H607="Preparation",AG607&gt;IF(ISNUMBER(Flights!$BA$22),MIN(Flights!$BA$22,Flights!$AA$22),Flights!$AA$22)),"INVALID – completed after loading / departure (cannot establish readiness)",IF(AND(H607="Physical uplift",AG607&gt;Q607),"INVALID – recorded after the loading flight departed",IF(AG607&gt;Q607,"COMPLETE – LATE","COMPLETE"))))))))))))))))))))))),IF(TRIM(U607)="Fail","FAIL – DISCREPANCY",IF(AND(TRIM(U607)&lt;&gt;"",TRIM(U607)&lt;&gt;"Not started",TRIM(U607)&lt;&gt;"In progress"),"INVALID – unrecognised status (use the list)",IF(AsOfUTC&gt;Q607,"OVERDUE",IF(N607="Clarification required","OPEN – CLARIFICATION","OPEN"))))))),"INVALID – error value in an input cell")</f>
        <v>OPEN</v>
      </c>
      <c r="AI607" s="61" t="n">
        <f aca="false">IF(OR(AH607="N/A – RULE",AH607="N/A – JUSTIFIED"),0,1)</f>
        <v>1</v>
      </c>
      <c r="AJ607" s="61" t="n">
        <f aca="false">IF(LEFT(AH607,8)="COMPLETE",1,0)</f>
        <v>0</v>
      </c>
      <c r="AK607" s="61" t="n">
        <f aca="false">IF(AND(AI607=1,AJ607=0,AsOfUTC&gt;Q607),1,0)</f>
        <v>0</v>
      </c>
      <c r="AL607" s="61" t="n">
        <f aca="false">IFERROR(IF(AND(AI607=1,OR(TRIM(U607)="Fail",AND(TRIM(AB607)&lt;&gt;"",TRIM(AB607)&lt;&gt;"Closed"),AND(ISNUMBER(AF607),AF607&lt;&gt;0,TRIM(U607)&lt;&gt;"Pass after CA"))),1,0),1)</f>
        <v>0</v>
      </c>
      <c r="AM607" s="61" t="n">
        <f aca="false">IF(LEFT(AH607,7)="INVALID",1,0)</f>
        <v>0</v>
      </c>
      <c r="AN607" s="61" t="n">
        <f aca="false">IF(AND(N607="Clarification required",AI607=1,AJ607=0),1,0)</f>
        <v>0</v>
      </c>
      <c r="AO607" s="61" t="str">
        <f aca="false">IF(AK607=1,SUM(AK$5:AK607),"")</f>
        <v/>
      </c>
      <c r="AP607" s="61" t="str">
        <f aca="false">IF(AL607=1,SUM(AL$5:AL607),"")</f>
        <v/>
      </c>
      <c r="AQ607" s="61" t="n">
        <v>0</v>
      </c>
      <c r="AR607" s="61" t="n">
        <v>0</v>
      </c>
      <c r="AS607" s="61" t="n">
        <v>0</v>
      </c>
      <c r="AT607" s="61" t="n">
        <v>0</v>
      </c>
      <c r="AU607" s="61" t="str">
        <f aca="false">SUBSTITUTE(SUBSTITUTE(SUBSTITUTE(SUBSTITUTE(SUBSTITUTE(SUBSTITUTE(SUBSTITUTE(SUBSTITUTE(SUBSTITUTE(SUBSTITUTE(SUBSTITUTE(SUBSTITUTE(SUBSTITUTE(LOWER(T607&amp;""),CHAR(160),"")," ",""),".",""),"-",""),"/",""),"?",""),"_",""),",",""),"[",""),"]",""),"(",""),")",""),"*","")</f>
        <v/>
      </c>
      <c r="AV607" s="61" t="str">
        <f aca="false">SUBSTITUTE(SUBSTITUTE(SUBSTITUTE(SUBSTITUTE(SUBSTITUTE(SUBSTITUTE(SUBSTITUTE(SUBSTITUTE(SUBSTITUTE(SUBSTITUTE(SUBSTITUTE(SUBSTITUTE(SUBSTITUTE(LOWER(V607&amp;""),CHAR(160),"")," ",""),".",""),"-",""),"/",""),"?",""),"_",""),",",""),"[",""),"]",""),"(",""),")",""),"*","")</f>
        <v/>
      </c>
      <c r="AW607" s="61" t="str">
        <f aca="false">SUBSTITUTE(SUBSTITUTE(SUBSTITUTE(SUBSTITUTE(SUBSTITUTE(SUBSTITUTE(SUBSTITUTE(SUBSTITUTE(SUBSTITUTE(SUBSTITUTE(SUBSTITUTE(SUBSTITUTE(SUBSTITUTE(LOWER(Z607&amp;""),CHAR(160),"")," ",""),".",""),"-",""),"/",""),"?",""),"_",""),",",""),"[",""),"]",""),"(",""),")",""),"*","")</f>
        <v/>
      </c>
      <c r="AX607" s="61" t="str">
        <f aca="false">SUBSTITUTE(SUBSTITUTE(SUBSTITUTE(SUBSTITUTE(SUBSTITUTE(SUBSTITUTE(SUBSTITUTE(SUBSTITUTE(SUBSTITUTE(SUBSTITUTE(SUBSTITUTE(SUBSTITUTE(SUBSTITUTE(LOWER(AE607&amp;""),CHAR(160),"")," ",""),".",""),"-",""),"/",""),"?",""),"_",""),",",""),"[",""),"]",""),"(",""),")",""),"*","")</f>
        <v/>
      </c>
      <c r="AY607" s="61" t="str">
        <f aca="false">SUBSTITUTE(SUBSTITUTE(SUBSTITUTE(SUBSTITUTE(SUBSTITUTE(SUBSTITUTE(SUBSTITUTE(SUBSTITUTE(SUBSTITUTE(SUBSTITUTE(SUBSTITUTE(SUBSTITUTE(SUBSTITUTE(LOWER(W607&amp;""),CHAR(160),"")," ",""),".",""),"-",""),"/",""),"?",""),"_",""),",",""),"[",""),"]",""),"(",""),")",""),"*","")</f>
        <v/>
      </c>
      <c r="AZ607" s="61" t="str">
        <f aca="false">SUBSTITUTE(SUBSTITUTE(SUBSTITUTE(SUBSTITUTE(SUBSTITUTE(SUBSTITUTE(SUBSTITUTE(SUBSTITUTE(SUBSTITUTE(SUBSTITUTE(SUBSTITUTE(SUBSTITUTE(SUBSTITUTE(LOWER(AC607&amp;""),CHAR(160),"")," ",""),".",""),"-",""),"/",""),"?",""),"_",""),",",""),"[",""),"]",""),"(",""),")",""),"*","")</f>
        <v/>
      </c>
      <c r="BA607" s="61" t="str">
        <f aca="false">SUBSTITUTE(SUBSTITUTE(SUBSTITUTE(SUBSTITUTE(SUBSTITUTE(SUBSTITUTE(SUBSTITUTE(SUBSTITUTE(SUBSTITUTE(SUBSTITUTE(SUBSTITUTE(SUBSTITUTE(SUBSTITUTE(LOWER(AA607&amp;""),CHAR(160),"")," ",""),".",""),"-",""),"/",""),"?",""),"_",""),",",""),"[",""),"]",""),"(",""),")",""),"*","")</f>
        <v/>
      </c>
      <c r="BB607" s="61" t="str">
        <f aca="false">IF(AND(TRIM(U607)="Pass",ISNUMBER(AF607)),IF(AF607&lt;&gt;0,"INVALID – qty variance: use Fail or Pass after CA",""),"")&amp;IF(AND(TRIM(U607)="Pass after CA",ISNUMBER(AF607)),IF(AF607&lt;&gt;0,"INVALID – after the corrective action the actual qty must equal expected (update Actual)",""),"")&amp;IF(AND(TRIM(U607)="Pass",TRIM(AB607)&lt;&gt;"",TRIM(AB607)&lt;&gt;"Closed"),"INVALID – corrective action not closed: use Fail, then Pass after CA","")&amp;IF(AND(TRIM(AA607)&lt;&gt;"",TRIM(AB607)=""),"INVALID – CA status missing for the recorded corrective action","")&amp;IF(AND(TRIM(U607)="Pass after CA",OR(OR(LEN(BA607)&lt;5,ISNUMBER(MATCH(BA607,L_Placeholder,0))),TRIM(AB607)&lt;&gt;"Closed")),"INVALID – corrective action not recorded/closed","")</f>
        <v/>
      </c>
    </row>
    <row r="608" customFormat="false" ht="39.75" hidden="false" customHeight="true" outlineLevel="0" collapsed="false">
      <c r="A608" s="57" t="s">
        <v>1295</v>
      </c>
      <c r="B608" s="57" t="s">
        <v>290</v>
      </c>
      <c r="C608" s="57" t="str">
        <f aca="false">Flights!$F$22</f>
        <v>MH0052</v>
      </c>
      <c r="D608" s="58" t="n">
        <f aca="false">Flights!$D$22</f>
        <v>46322</v>
      </c>
      <c r="E608" s="57" t="str">
        <f aca="false">Flights!$G$22&amp;"-"&amp;Flights!$H$22</f>
        <v>KUL-KIX</v>
      </c>
      <c r="F608" s="57" t="str">
        <f aca="false">Flights!$K$22</f>
        <v>BC</v>
      </c>
      <c r="G608" s="57" t="s">
        <v>437</v>
      </c>
      <c r="H608" s="57" t="s">
        <v>438</v>
      </c>
      <c r="I608" s="57" t="s">
        <v>477</v>
      </c>
      <c r="J608" s="57" t="s">
        <v>517</v>
      </c>
      <c r="K608" s="67" t="s">
        <v>479</v>
      </c>
      <c r="L608" s="67" t="s">
        <v>1268</v>
      </c>
      <c r="M608" s="67" t="s">
        <v>429</v>
      </c>
      <c r="N608" s="67" t="s">
        <v>361</v>
      </c>
      <c r="O608" s="67"/>
      <c r="P608" s="57" t="s">
        <v>184</v>
      </c>
      <c r="Q608" s="59" t="n">
        <f aca="false">ROUND((Flights!$AF$22)*1440,0)/1440</f>
        <v>46322.6006944444</v>
      </c>
      <c r="R608" s="59" t="n">
        <f aca="false">Q608+(IF(AND(INDEX(TZ_DSTS,MATCH(P608,TZ_STN,0))&lt;&gt;"",Q608&gt;=INDEX(TZ_DSTS,MATCH(P608,TZ_STN,0)),Q608&lt;INDEX(TZ_DSTE,MATCH(P608,TZ_STN,0))),INDEX(TZ_DST,MATCH(P608,TZ_STN,0)),INDEX(TZ_STD,MATCH(P608,TZ_STN,0))))/24</f>
        <v>46322.9340277778</v>
      </c>
      <c r="S608" s="59" t="n">
        <f aca="false">IF(ISNUMBER(Flights!$AZ$22),MAX(Q608-UpliftWindowH/24,Flights!$AZ$22),Q608-UpliftWindowH/24)</f>
        <v>46322.3506944444</v>
      </c>
      <c r="T608" s="60"/>
      <c r="U608" s="60"/>
      <c r="V608" s="60"/>
      <c r="W608" s="61"/>
      <c r="X608" s="60"/>
      <c r="Y608" s="60"/>
      <c r="Z608" s="60"/>
      <c r="AA608" s="60"/>
      <c r="AB608" s="60"/>
      <c r="AC608" s="60"/>
      <c r="AD608" s="66"/>
      <c r="AE608" s="60"/>
      <c r="AF608" s="61" t="str">
        <f aca="false">IF(AND(ISNUMBER(X608),ISNUMBER(Y608)),Y608-X608,"")</f>
        <v/>
      </c>
      <c r="AG608" s="62" t="str">
        <f aca="false">IF(ISNUMBER(AD608),AD608-(IF(AND(INDEX(TZ_DSTS,MATCH(P608,TZ_STN,0))&lt;&gt;"",(AD608-INDEX(TZ_STD,MATCH(P608,TZ_STN,0))/24)&gt;=INDEX(TZ_DSTS,MATCH(P608,TZ_STN,0)),(AD608-INDEX(TZ_STD,MATCH(P608,TZ_STN,0))/24)&lt;INDEX(TZ_DSTE,MATCH(P608,TZ_STN,0))),INDEX(TZ_DST,MATCH(P608,TZ_STN,0)),INDEX(TZ_STD,MATCH(P608,TZ_STN,0))))/24,"")</f>
        <v/>
      </c>
      <c r="AH608" s="65" t="str">
        <f aca="false">IFERROR(IF(N608="N/A – rule","N/A – RULE",IF(TRIM(U608)="N/A",IF(AT608=0,"INVALID – N/A not permitted for this check",IF(AND(TRIM(AB608)&lt;&gt;"",TRIM(AB608)&lt;&gt;"Closed"),"INVALID – corrective action still open",IF(AND(NOT(OR(LEN(AZ608)&lt;15,ISNUMBER(MATCH(AZ608,L_Placeholder,0)))),NOT(OR(LEN(AU608)&lt;2,ISNUMBER(MATCH(AU608,L_Placeholder,0)))),NOT(OR(LEN(AX608)&lt;2,ISNUMBER(MATCH(AX608,L_Placeholder,0)))),TRIM(AE608)&lt;&gt;TRIM(T608)),"N/A – JUSTIFIED","INVALID – N/A needs a real justification (15+ chars), PIC and a different verifier"))),IF(OR(TRIM(U608)="Pass",TRIM(U608)="Pass after CA"),IF(NOT(ISNUMBER(AD608)),"INVALID – completion time missing",IF(OR(LEN(AU608)&lt;2,ISNUMBER(MATCH(AU608,L_Placeholder,0))),"INVALID – PIC missing",IF(OR(LEN(AV608)&lt;2,ISNUMBER(MATCH(AV608,L_Placeholder,0))),"INVALID – result / assessment missing",IF(OR(OR(LEN(AW608)&lt;3,ISNUMBER(MATCH(AW608,L_Placeholder,0))),SUMPRODUCT(--ISNUMBER(SEARCH(L_EvidencePhrase,AW608)))&gt;0),"INVALID – evidence missing, placeholder or not yet on file",IF(OR(LEN(AX608)&lt;2,ISNUMBER(MATCH(AX608,L_Placeholder,0))),"INVALID – verifier missing",IF(AX608=AU608,"INVALID – verifier must be someone other than the PIC",IF(AND(TRIM(U608)="Pass",SUMPRODUCT(--ISNUMBER(SEARCH(L_ResultBad,AV608)))&gt;0),"INVALID – result describes a problem: use Fail, then Pass after CA",IF(AND(AQ608=1,OR(LEN(AY608)&lt;3,ISNUMBER(MATCH(AY608,L_Placeholder,0)))),"INVALID – batch ID missing or placeholder",IF(AND(AR608=1,OR(NOT(ISNUMBER(X608)),NOT(ISNUMBER(Y608)))),"INVALID – expected/actual qty missing",IF(AND(AR608=1,OR(X608&lt;=0,Y608&lt;0)),"INVALID – expected qty must be above 0 and actual not negative",IF(AH593="N/A – JUSTIFIED","INVALID – preparation row F18-T12-10 is N/A",IF(AND(AR608=1,ISNUMBER(X593),X608&lt;&gt;X593),"INVALID – expected qty differs from preparation check F18-T12-10",IF(BB608&lt;&gt;"",BB608,IF(AND(AS608=1,Documents!$J$22&lt;&gt;"ON FILE"),"INVALID – GLD not on file (Documents sheet)",IF(AND(AS608=2,Documents!$O$22&lt;&gt;"ON FILE"),"INVALID – menu checklist not on file (Documents sheet)",IF(AND(AS608=3,NOT(ISNUMBER(Flights!$AX$22))),"INVALID – enter carrying flight KUL departure (Flights AX)",IF(AND(AS608=3,OR(Flights!$AZ$22&gt;Flights!$AA$22,Flights!$AX$22&lt;Flights!$AA$22-3)),"INVALID – carrying flight (Flights AX) cannot arrive before this leg's STD, or is over 3 days early",IF(AG608&gt;AsOfUTC,"INVALID – completion time is in the future",IF(AND(ISNUMBER(S608),AG608&lt;S608),IF(H608="Physical uplift","INVALID – before uplift window (cannot confirm loading)","INVALID – before valid window"),IF(AG608&gt;Flights!$AA$22,"INVALID – completed after departure (cannot establish readiness)",IF(AND(H608="Preparation",AG608&gt;IF(ISNUMBER(Flights!$BA$22),MIN(Flights!$BA$22,Flights!$AA$22),Flights!$AA$22)),"INVALID – completed after loading / departure (cannot establish readiness)",IF(AND(H608="Physical uplift",AG608&gt;Q608),"INVALID – recorded after the loading flight departed",IF(AG608&gt;Q608,"COMPLETE – LATE","COMPLETE"))))))))))))))))))))))),IF(TRIM(U608)="Fail","FAIL – DISCREPANCY",IF(AND(TRIM(U608)&lt;&gt;"",TRIM(U608)&lt;&gt;"Not started",TRIM(U608)&lt;&gt;"In progress"),"INVALID – unrecognised status (use the list)",IF(AsOfUTC&gt;Q608,"OVERDUE",IF(N608="Clarification required","OPEN – CLARIFICATION","OPEN"))))))),"INVALID – error value in an input cell")</f>
        <v>OPEN</v>
      </c>
      <c r="AI608" s="61" t="n">
        <f aca="false">IF(OR(AH608="N/A – RULE",AH608="N/A – JUSTIFIED"),0,1)</f>
        <v>1</v>
      </c>
      <c r="AJ608" s="61" t="n">
        <f aca="false">IF(LEFT(AH608,8)="COMPLETE",1,0)</f>
        <v>0</v>
      </c>
      <c r="AK608" s="61" t="n">
        <f aca="false">IF(AND(AI608=1,AJ608=0,AsOfUTC&gt;Q608),1,0)</f>
        <v>0</v>
      </c>
      <c r="AL608" s="61" t="n">
        <f aca="false">IFERROR(IF(AND(AI608=1,OR(TRIM(U608)="Fail",AND(TRIM(AB608)&lt;&gt;"",TRIM(AB608)&lt;&gt;"Closed"),AND(ISNUMBER(AF608),AF608&lt;&gt;0,TRIM(U608)&lt;&gt;"Pass after CA"))),1,0),1)</f>
        <v>0</v>
      </c>
      <c r="AM608" s="61" t="n">
        <f aca="false">IF(LEFT(AH608,7)="INVALID",1,0)</f>
        <v>0</v>
      </c>
      <c r="AN608" s="61" t="n">
        <f aca="false">IF(AND(N608="Clarification required",AI608=1,AJ608=0),1,0)</f>
        <v>0</v>
      </c>
      <c r="AO608" s="61" t="str">
        <f aca="false">IF(AK608=1,SUM(AK$5:AK608),"")</f>
        <v/>
      </c>
      <c r="AP608" s="61" t="str">
        <f aca="false">IF(AL608=1,SUM(AL$5:AL608),"")</f>
        <v/>
      </c>
      <c r="AQ608" s="61" t="n">
        <v>0</v>
      </c>
      <c r="AR608" s="61" t="n">
        <v>0</v>
      </c>
      <c r="AS608" s="61" t="n">
        <v>0</v>
      </c>
      <c r="AT608" s="61" t="n">
        <v>0</v>
      </c>
      <c r="AU608" s="61" t="str">
        <f aca="false">SUBSTITUTE(SUBSTITUTE(SUBSTITUTE(SUBSTITUTE(SUBSTITUTE(SUBSTITUTE(SUBSTITUTE(SUBSTITUTE(SUBSTITUTE(SUBSTITUTE(SUBSTITUTE(SUBSTITUTE(SUBSTITUTE(LOWER(T608&amp;""),CHAR(160),"")," ",""),".",""),"-",""),"/",""),"?",""),"_",""),",",""),"[",""),"]",""),"(",""),")",""),"*","")</f>
        <v/>
      </c>
      <c r="AV608" s="61" t="str">
        <f aca="false">SUBSTITUTE(SUBSTITUTE(SUBSTITUTE(SUBSTITUTE(SUBSTITUTE(SUBSTITUTE(SUBSTITUTE(SUBSTITUTE(SUBSTITUTE(SUBSTITUTE(SUBSTITUTE(SUBSTITUTE(SUBSTITUTE(LOWER(V608&amp;""),CHAR(160),"")," ",""),".",""),"-",""),"/",""),"?",""),"_",""),",",""),"[",""),"]",""),"(",""),")",""),"*","")</f>
        <v/>
      </c>
      <c r="AW608" s="61" t="str">
        <f aca="false">SUBSTITUTE(SUBSTITUTE(SUBSTITUTE(SUBSTITUTE(SUBSTITUTE(SUBSTITUTE(SUBSTITUTE(SUBSTITUTE(SUBSTITUTE(SUBSTITUTE(SUBSTITUTE(SUBSTITUTE(SUBSTITUTE(LOWER(Z608&amp;""),CHAR(160),"")," ",""),".",""),"-",""),"/",""),"?",""),"_",""),",",""),"[",""),"]",""),"(",""),")",""),"*","")</f>
        <v/>
      </c>
      <c r="AX608" s="61" t="str">
        <f aca="false">SUBSTITUTE(SUBSTITUTE(SUBSTITUTE(SUBSTITUTE(SUBSTITUTE(SUBSTITUTE(SUBSTITUTE(SUBSTITUTE(SUBSTITUTE(SUBSTITUTE(SUBSTITUTE(SUBSTITUTE(SUBSTITUTE(LOWER(AE608&amp;""),CHAR(160),"")," ",""),".",""),"-",""),"/",""),"?",""),"_",""),",",""),"[",""),"]",""),"(",""),")",""),"*","")</f>
        <v/>
      </c>
      <c r="AY608" s="61" t="str">
        <f aca="false">SUBSTITUTE(SUBSTITUTE(SUBSTITUTE(SUBSTITUTE(SUBSTITUTE(SUBSTITUTE(SUBSTITUTE(SUBSTITUTE(SUBSTITUTE(SUBSTITUTE(SUBSTITUTE(SUBSTITUTE(SUBSTITUTE(LOWER(W608&amp;""),CHAR(160),"")," ",""),".",""),"-",""),"/",""),"?",""),"_",""),",",""),"[",""),"]",""),"(",""),")",""),"*","")</f>
        <v/>
      </c>
      <c r="AZ608" s="61" t="str">
        <f aca="false">SUBSTITUTE(SUBSTITUTE(SUBSTITUTE(SUBSTITUTE(SUBSTITUTE(SUBSTITUTE(SUBSTITUTE(SUBSTITUTE(SUBSTITUTE(SUBSTITUTE(SUBSTITUTE(SUBSTITUTE(SUBSTITUTE(LOWER(AC608&amp;""),CHAR(160),"")," ",""),".",""),"-",""),"/",""),"?",""),"_",""),",",""),"[",""),"]",""),"(",""),")",""),"*","")</f>
        <v/>
      </c>
      <c r="BA608" s="61" t="str">
        <f aca="false">SUBSTITUTE(SUBSTITUTE(SUBSTITUTE(SUBSTITUTE(SUBSTITUTE(SUBSTITUTE(SUBSTITUTE(SUBSTITUTE(SUBSTITUTE(SUBSTITUTE(SUBSTITUTE(SUBSTITUTE(SUBSTITUTE(LOWER(AA608&amp;""),CHAR(160),"")," ",""),".",""),"-",""),"/",""),"?",""),"_",""),",",""),"[",""),"]",""),"(",""),")",""),"*","")</f>
        <v/>
      </c>
      <c r="BB608" s="61" t="str">
        <f aca="false">IF(AND(TRIM(U608)="Pass",ISNUMBER(AF608)),IF(AF608&lt;&gt;0,"INVALID – qty variance: use Fail or Pass after CA",""),"")&amp;IF(AND(TRIM(U608)="Pass after CA",ISNUMBER(AF608)),IF(AF608&lt;&gt;0,"INVALID – after the corrective action the actual qty must equal expected (update Actual)",""),"")&amp;IF(AND(TRIM(U608)="Pass",TRIM(AB608)&lt;&gt;"",TRIM(AB608)&lt;&gt;"Closed"),"INVALID – corrective action not closed: use Fail, then Pass after CA","")&amp;IF(AND(TRIM(AA608)&lt;&gt;"",TRIM(AB608)=""),"INVALID – CA status missing for the recorded corrective action","")&amp;IF(AND(TRIM(U608)="Pass after CA",OR(OR(LEN(BA608)&lt;5,ISNUMBER(MATCH(BA608,L_Placeholder,0))),TRIM(AB608)&lt;&gt;"Closed")),"INVALID – corrective action not recorded/closed","")</f>
        <v/>
      </c>
    </row>
    <row r="609" customFormat="false" ht="39.75" hidden="false" customHeight="true" outlineLevel="0" collapsed="false">
      <c r="A609" s="57" t="s">
        <v>1296</v>
      </c>
      <c r="B609" s="57" t="s">
        <v>290</v>
      </c>
      <c r="C609" s="57" t="str">
        <f aca="false">Flights!$F$22</f>
        <v>MH0052</v>
      </c>
      <c r="D609" s="58" t="n">
        <f aca="false">Flights!$D$22</f>
        <v>46322</v>
      </c>
      <c r="E609" s="57" t="str">
        <f aca="false">Flights!$G$22&amp;"-"&amp;Flights!$H$22</f>
        <v>KUL-KIX</v>
      </c>
      <c r="F609" s="57" t="str">
        <f aca="false">Flights!$K$22</f>
        <v>BC</v>
      </c>
      <c r="G609" s="57" t="s">
        <v>437</v>
      </c>
      <c r="H609" s="57" t="s">
        <v>438</v>
      </c>
      <c r="I609" s="57" t="s">
        <v>477</v>
      </c>
      <c r="J609" s="57" t="s">
        <v>519</v>
      </c>
      <c r="K609" s="67" t="s">
        <v>479</v>
      </c>
      <c r="L609" s="67" t="s">
        <v>1270</v>
      </c>
      <c r="M609" s="67" t="s">
        <v>429</v>
      </c>
      <c r="N609" s="67" t="s">
        <v>361</v>
      </c>
      <c r="O609" s="67"/>
      <c r="P609" s="57" t="s">
        <v>184</v>
      </c>
      <c r="Q609" s="59" t="n">
        <f aca="false">ROUND((Flights!$AF$22)*1440,0)/1440</f>
        <v>46322.6006944444</v>
      </c>
      <c r="R609" s="59" t="n">
        <f aca="false">Q609+(IF(AND(INDEX(TZ_DSTS,MATCH(P609,TZ_STN,0))&lt;&gt;"",Q609&gt;=INDEX(TZ_DSTS,MATCH(P609,TZ_STN,0)),Q609&lt;INDEX(TZ_DSTE,MATCH(P609,TZ_STN,0))),INDEX(TZ_DST,MATCH(P609,TZ_STN,0)),INDEX(TZ_STD,MATCH(P609,TZ_STN,0))))/24</f>
        <v>46322.9340277778</v>
      </c>
      <c r="S609" s="59" t="n">
        <f aca="false">IF(ISNUMBER(Flights!$AZ$22),MAX(Q609-UpliftWindowH/24,Flights!$AZ$22),Q609-UpliftWindowH/24)</f>
        <v>46322.3506944444</v>
      </c>
      <c r="T609" s="60"/>
      <c r="U609" s="60"/>
      <c r="V609" s="60"/>
      <c r="W609" s="61"/>
      <c r="X609" s="60"/>
      <c r="Y609" s="60"/>
      <c r="Z609" s="60"/>
      <c r="AA609" s="60"/>
      <c r="AB609" s="60"/>
      <c r="AC609" s="60"/>
      <c r="AD609" s="66"/>
      <c r="AE609" s="60"/>
      <c r="AF609" s="61" t="str">
        <f aca="false">IF(AND(ISNUMBER(X609),ISNUMBER(Y609)),Y609-X609,"")</f>
        <v/>
      </c>
      <c r="AG609" s="62" t="str">
        <f aca="false">IF(ISNUMBER(AD609),AD609-(IF(AND(INDEX(TZ_DSTS,MATCH(P609,TZ_STN,0))&lt;&gt;"",(AD609-INDEX(TZ_STD,MATCH(P609,TZ_STN,0))/24)&gt;=INDEX(TZ_DSTS,MATCH(P609,TZ_STN,0)),(AD609-INDEX(TZ_STD,MATCH(P609,TZ_STN,0))/24)&lt;INDEX(TZ_DSTE,MATCH(P609,TZ_STN,0))),INDEX(TZ_DST,MATCH(P609,TZ_STN,0)),INDEX(TZ_STD,MATCH(P609,TZ_STN,0))))/24,"")</f>
        <v/>
      </c>
      <c r="AH609" s="65" t="str">
        <f aca="false">IFERROR(IF(N609="N/A – rule","N/A – RULE",IF(TRIM(U609)="N/A",IF(AT609=0,"INVALID – N/A not permitted for this check",IF(AND(TRIM(AB609)&lt;&gt;"",TRIM(AB609)&lt;&gt;"Closed"),"INVALID – corrective action still open",IF(AND(NOT(OR(LEN(AZ609)&lt;15,ISNUMBER(MATCH(AZ609,L_Placeholder,0)))),NOT(OR(LEN(AU609)&lt;2,ISNUMBER(MATCH(AU609,L_Placeholder,0)))),NOT(OR(LEN(AX609)&lt;2,ISNUMBER(MATCH(AX609,L_Placeholder,0)))),TRIM(AE609)&lt;&gt;TRIM(T609)),"N/A – JUSTIFIED","INVALID – N/A needs a real justification (15+ chars), PIC and a different verifier"))),IF(OR(TRIM(U609)="Pass",TRIM(U609)="Pass after CA"),IF(NOT(ISNUMBER(AD609)),"INVALID – completion time missing",IF(OR(LEN(AU609)&lt;2,ISNUMBER(MATCH(AU609,L_Placeholder,0))),"INVALID – PIC missing",IF(OR(LEN(AV609)&lt;2,ISNUMBER(MATCH(AV609,L_Placeholder,0))),"INVALID – result / assessment missing",IF(OR(OR(LEN(AW609)&lt;3,ISNUMBER(MATCH(AW609,L_Placeholder,0))),SUMPRODUCT(--ISNUMBER(SEARCH(L_EvidencePhrase,AW609)))&gt;0),"INVALID – evidence missing, placeholder or not yet on file",IF(OR(LEN(AX609)&lt;2,ISNUMBER(MATCH(AX609,L_Placeholder,0))),"INVALID – verifier missing",IF(AX609=AU609,"INVALID – verifier must be someone other than the PIC",IF(AND(TRIM(U609)="Pass",SUMPRODUCT(--ISNUMBER(SEARCH(L_ResultBad,AV609)))&gt;0),"INVALID – result describes a problem: use Fail, then Pass after CA",IF(AND(AQ609=1,OR(LEN(AY609)&lt;3,ISNUMBER(MATCH(AY609,L_Placeholder,0)))),"INVALID – batch ID missing or placeholder",IF(AND(AR609=1,OR(NOT(ISNUMBER(X609)),NOT(ISNUMBER(Y609)))),"INVALID – expected/actual qty missing",IF(AND(AR609=1,OR(X609&lt;=0,Y609&lt;0)),"INVALID – expected qty must be above 0 and actual not negative",IF(AH594="N/A – JUSTIFIED","INVALID – preparation row F18-T12-11 is N/A",IF(AND(AR609=1,ISNUMBER(X594),X609&lt;&gt;X594),"INVALID – expected qty differs from preparation check F18-T12-11",IF(BB609&lt;&gt;"",BB609,IF(AND(AS609=1,Documents!$J$22&lt;&gt;"ON FILE"),"INVALID – GLD not on file (Documents sheet)",IF(AND(AS609=2,Documents!$O$22&lt;&gt;"ON FILE"),"INVALID – menu checklist not on file (Documents sheet)",IF(AND(AS609=3,NOT(ISNUMBER(Flights!$AX$22))),"INVALID – enter carrying flight KUL departure (Flights AX)",IF(AND(AS609=3,OR(Flights!$AZ$22&gt;Flights!$AA$22,Flights!$AX$22&lt;Flights!$AA$22-3)),"INVALID – carrying flight (Flights AX) cannot arrive before this leg's STD, or is over 3 days early",IF(AG609&gt;AsOfUTC,"INVALID – completion time is in the future",IF(AND(ISNUMBER(S609),AG609&lt;S609),IF(H609="Physical uplift","INVALID – before uplift window (cannot confirm loading)","INVALID – before valid window"),IF(AG609&gt;Flights!$AA$22,"INVALID – completed after departure (cannot establish readiness)",IF(AND(H609="Preparation",AG609&gt;IF(ISNUMBER(Flights!$BA$22),MIN(Flights!$BA$22,Flights!$AA$22),Flights!$AA$22)),"INVALID – completed after loading / departure (cannot establish readiness)",IF(AND(H609="Physical uplift",AG609&gt;Q609),"INVALID – recorded after the loading flight departed",IF(AG609&gt;Q609,"COMPLETE – LATE","COMPLETE"))))))))))))))))))))))),IF(TRIM(U609)="Fail","FAIL – DISCREPANCY",IF(AND(TRIM(U609)&lt;&gt;"",TRIM(U609)&lt;&gt;"Not started",TRIM(U609)&lt;&gt;"In progress"),"INVALID – unrecognised status (use the list)",IF(AsOfUTC&gt;Q609,"OVERDUE",IF(N609="Clarification required","OPEN – CLARIFICATION","OPEN"))))))),"INVALID – error value in an input cell")</f>
        <v>OPEN</v>
      </c>
      <c r="AI609" s="61" t="n">
        <f aca="false">IF(OR(AH609="N/A – RULE",AH609="N/A – JUSTIFIED"),0,1)</f>
        <v>1</v>
      </c>
      <c r="AJ609" s="61" t="n">
        <f aca="false">IF(LEFT(AH609,8)="COMPLETE",1,0)</f>
        <v>0</v>
      </c>
      <c r="AK609" s="61" t="n">
        <f aca="false">IF(AND(AI609=1,AJ609=0,AsOfUTC&gt;Q609),1,0)</f>
        <v>0</v>
      </c>
      <c r="AL609" s="61" t="n">
        <f aca="false">IFERROR(IF(AND(AI609=1,OR(TRIM(U609)="Fail",AND(TRIM(AB609)&lt;&gt;"",TRIM(AB609)&lt;&gt;"Closed"),AND(ISNUMBER(AF609),AF609&lt;&gt;0,TRIM(U609)&lt;&gt;"Pass after CA"))),1,0),1)</f>
        <v>0</v>
      </c>
      <c r="AM609" s="61" t="n">
        <f aca="false">IF(LEFT(AH609,7)="INVALID",1,0)</f>
        <v>0</v>
      </c>
      <c r="AN609" s="61" t="n">
        <f aca="false">IF(AND(N609="Clarification required",AI609=1,AJ609=0),1,0)</f>
        <v>0</v>
      </c>
      <c r="AO609" s="61" t="str">
        <f aca="false">IF(AK609=1,SUM(AK$5:AK609),"")</f>
        <v/>
      </c>
      <c r="AP609" s="61" t="str">
        <f aca="false">IF(AL609=1,SUM(AL$5:AL609),"")</f>
        <v/>
      </c>
      <c r="AQ609" s="61" t="n">
        <v>0</v>
      </c>
      <c r="AR609" s="61" t="n">
        <v>0</v>
      </c>
      <c r="AS609" s="61" t="n">
        <v>0</v>
      </c>
      <c r="AT609" s="61" t="n">
        <v>0</v>
      </c>
      <c r="AU609" s="61" t="str">
        <f aca="false">SUBSTITUTE(SUBSTITUTE(SUBSTITUTE(SUBSTITUTE(SUBSTITUTE(SUBSTITUTE(SUBSTITUTE(SUBSTITUTE(SUBSTITUTE(SUBSTITUTE(SUBSTITUTE(SUBSTITUTE(SUBSTITUTE(LOWER(T609&amp;""),CHAR(160),"")," ",""),".",""),"-",""),"/",""),"?",""),"_",""),",",""),"[",""),"]",""),"(",""),")",""),"*","")</f>
        <v/>
      </c>
      <c r="AV609" s="61" t="str">
        <f aca="false">SUBSTITUTE(SUBSTITUTE(SUBSTITUTE(SUBSTITUTE(SUBSTITUTE(SUBSTITUTE(SUBSTITUTE(SUBSTITUTE(SUBSTITUTE(SUBSTITUTE(SUBSTITUTE(SUBSTITUTE(SUBSTITUTE(LOWER(V609&amp;""),CHAR(160),"")," ",""),".",""),"-",""),"/",""),"?",""),"_",""),",",""),"[",""),"]",""),"(",""),")",""),"*","")</f>
        <v/>
      </c>
      <c r="AW609" s="61" t="str">
        <f aca="false">SUBSTITUTE(SUBSTITUTE(SUBSTITUTE(SUBSTITUTE(SUBSTITUTE(SUBSTITUTE(SUBSTITUTE(SUBSTITUTE(SUBSTITUTE(SUBSTITUTE(SUBSTITUTE(SUBSTITUTE(SUBSTITUTE(LOWER(Z609&amp;""),CHAR(160),"")," ",""),".",""),"-",""),"/",""),"?",""),"_",""),",",""),"[",""),"]",""),"(",""),")",""),"*","")</f>
        <v/>
      </c>
      <c r="AX609" s="61" t="str">
        <f aca="false">SUBSTITUTE(SUBSTITUTE(SUBSTITUTE(SUBSTITUTE(SUBSTITUTE(SUBSTITUTE(SUBSTITUTE(SUBSTITUTE(SUBSTITUTE(SUBSTITUTE(SUBSTITUTE(SUBSTITUTE(SUBSTITUTE(LOWER(AE609&amp;""),CHAR(160),"")," ",""),".",""),"-",""),"/",""),"?",""),"_",""),",",""),"[",""),"]",""),"(",""),")",""),"*","")</f>
        <v/>
      </c>
      <c r="AY609" s="61" t="str">
        <f aca="false">SUBSTITUTE(SUBSTITUTE(SUBSTITUTE(SUBSTITUTE(SUBSTITUTE(SUBSTITUTE(SUBSTITUTE(SUBSTITUTE(SUBSTITUTE(SUBSTITUTE(SUBSTITUTE(SUBSTITUTE(SUBSTITUTE(LOWER(W609&amp;""),CHAR(160),"")," ",""),".",""),"-",""),"/",""),"?",""),"_",""),",",""),"[",""),"]",""),"(",""),")",""),"*","")</f>
        <v/>
      </c>
      <c r="AZ609" s="61" t="str">
        <f aca="false">SUBSTITUTE(SUBSTITUTE(SUBSTITUTE(SUBSTITUTE(SUBSTITUTE(SUBSTITUTE(SUBSTITUTE(SUBSTITUTE(SUBSTITUTE(SUBSTITUTE(SUBSTITUTE(SUBSTITUTE(SUBSTITUTE(LOWER(AC609&amp;""),CHAR(160),"")," ",""),".",""),"-",""),"/",""),"?",""),"_",""),",",""),"[",""),"]",""),"(",""),")",""),"*","")</f>
        <v/>
      </c>
      <c r="BA609" s="61" t="str">
        <f aca="false">SUBSTITUTE(SUBSTITUTE(SUBSTITUTE(SUBSTITUTE(SUBSTITUTE(SUBSTITUTE(SUBSTITUTE(SUBSTITUTE(SUBSTITUTE(SUBSTITUTE(SUBSTITUTE(SUBSTITUTE(SUBSTITUTE(LOWER(AA609&amp;""),CHAR(160),"")," ",""),".",""),"-",""),"/",""),"?",""),"_",""),",",""),"[",""),"]",""),"(",""),")",""),"*","")</f>
        <v/>
      </c>
      <c r="BB609" s="61" t="str">
        <f aca="false">IF(AND(TRIM(U609)="Pass",ISNUMBER(AF609)),IF(AF609&lt;&gt;0,"INVALID – qty variance: use Fail or Pass after CA",""),"")&amp;IF(AND(TRIM(U609)="Pass after CA",ISNUMBER(AF609)),IF(AF609&lt;&gt;0,"INVALID – after the corrective action the actual qty must equal expected (update Actual)",""),"")&amp;IF(AND(TRIM(U609)="Pass",TRIM(AB609)&lt;&gt;"",TRIM(AB609)&lt;&gt;"Closed"),"INVALID – corrective action not closed: use Fail, then Pass after CA","")&amp;IF(AND(TRIM(AA609)&lt;&gt;"",TRIM(AB609)=""),"INVALID – CA status missing for the recorded corrective action","")&amp;IF(AND(TRIM(U609)="Pass after CA",OR(OR(LEN(BA609)&lt;5,ISNUMBER(MATCH(BA609,L_Placeholder,0))),TRIM(AB609)&lt;&gt;"Closed")),"INVALID – corrective action not recorded/closed","")</f>
        <v/>
      </c>
    </row>
    <row r="610" customFormat="false" ht="39.75" hidden="false" customHeight="true" outlineLevel="0" collapsed="false">
      <c r="A610" s="57" t="s">
        <v>1297</v>
      </c>
      <c r="B610" s="57" t="s">
        <v>290</v>
      </c>
      <c r="C610" s="57" t="str">
        <f aca="false">Flights!$F$22</f>
        <v>MH0052</v>
      </c>
      <c r="D610" s="58" t="n">
        <f aca="false">Flights!$D$22</f>
        <v>46322</v>
      </c>
      <c r="E610" s="57" t="str">
        <f aca="false">Flights!$G$22&amp;"-"&amp;Flights!$H$22</f>
        <v>KUL-KIX</v>
      </c>
      <c r="F610" s="57" t="str">
        <f aca="false">Flights!$K$22</f>
        <v>BC</v>
      </c>
      <c r="G610" s="57" t="s">
        <v>437</v>
      </c>
      <c r="H610" s="57" t="s">
        <v>438</v>
      </c>
      <c r="I610" s="57" t="s">
        <v>477</v>
      </c>
      <c r="J610" s="57" t="s">
        <v>521</v>
      </c>
      <c r="K610" s="67" t="s">
        <v>479</v>
      </c>
      <c r="L610" s="67" t="s">
        <v>1272</v>
      </c>
      <c r="M610" s="67" t="s">
        <v>429</v>
      </c>
      <c r="N610" s="67" t="s">
        <v>361</v>
      </c>
      <c r="O610" s="67"/>
      <c r="P610" s="57" t="s">
        <v>184</v>
      </c>
      <c r="Q610" s="59" t="n">
        <f aca="false">ROUND((Flights!$AF$22)*1440,0)/1440</f>
        <v>46322.6006944444</v>
      </c>
      <c r="R610" s="59" t="n">
        <f aca="false">Q610+(IF(AND(INDEX(TZ_DSTS,MATCH(P610,TZ_STN,0))&lt;&gt;"",Q610&gt;=INDEX(TZ_DSTS,MATCH(P610,TZ_STN,0)),Q610&lt;INDEX(TZ_DSTE,MATCH(P610,TZ_STN,0))),INDEX(TZ_DST,MATCH(P610,TZ_STN,0)),INDEX(TZ_STD,MATCH(P610,TZ_STN,0))))/24</f>
        <v>46322.9340277778</v>
      </c>
      <c r="S610" s="59" t="n">
        <f aca="false">IF(ISNUMBER(Flights!$AZ$22),MAX(Q610-UpliftWindowH/24,Flights!$AZ$22),Q610-UpliftWindowH/24)</f>
        <v>46322.3506944444</v>
      </c>
      <c r="T610" s="60"/>
      <c r="U610" s="60"/>
      <c r="V610" s="60"/>
      <c r="W610" s="61"/>
      <c r="X610" s="60"/>
      <c r="Y610" s="60"/>
      <c r="Z610" s="60"/>
      <c r="AA610" s="60"/>
      <c r="AB610" s="60"/>
      <c r="AC610" s="60"/>
      <c r="AD610" s="66"/>
      <c r="AE610" s="60"/>
      <c r="AF610" s="61" t="str">
        <f aca="false">IF(AND(ISNUMBER(X610),ISNUMBER(Y610)),Y610-X610,"")</f>
        <v/>
      </c>
      <c r="AG610" s="62" t="str">
        <f aca="false">IF(ISNUMBER(AD610),AD610-(IF(AND(INDEX(TZ_DSTS,MATCH(P610,TZ_STN,0))&lt;&gt;"",(AD610-INDEX(TZ_STD,MATCH(P610,TZ_STN,0))/24)&gt;=INDEX(TZ_DSTS,MATCH(P610,TZ_STN,0)),(AD610-INDEX(TZ_STD,MATCH(P610,TZ_STN,0))/24)&lt;INDEX(TZ_DSTE,MATCH(P610,TZ_STN,0))),INDEX(TZ_DST,MATCH(P610,TZ_STN,0)),INDEX(TZ_STD,MATCH(P610,TZ_STN,0))))/24,"")</f>
        <v/>
      </c>
      <c r="AH610" s="65" t="str">
        <f aca="false">IFERROR(IF(N610="N/A – rule","N/A – RULE",IF(TRIM(U610)="N/A",IF(AT610=0,"INVALID – N/A not permitted for this check",IF(AND(TRIM(AB610)&lt;&gt;"",TRIM(AB610)&lt;&gt;"Closed"),"INVALID – corrective action still open",IF(AND(NOT(OR(LEN(AZ610)&lt;15,ISNUMBER(MATCH(AZ610,L_Placeholder,0)))),NOT(OR(LEN(AU610)&lt;2,ISNUMBER(MATCH(AU610,L_Placeholder,0)))),NOT(OR(LEN(AX610)&lt;2,ISNUMBER(MATCH(AX610,L_Placeholder,0)))),TRIM(AE610)&lt;&gt;TRIM(T610)),"N/A – JUSTIFIED","INVALID – N/A needs a real justification (15+ chars), PIC and a different verifier"))),IF(OR(TRIM(U610)="Pass",TRIM(U610)="Pass after CA"),IF(NOT(ISNUMBER(AD610)),"INVALID – completion time missing",IF(OR(LEN(AU610)&lt;2,ISNUMBER(MATCH(AU610,L_Placeholder,0))),"INVALID – PIC missing",IF(OR(LEN(AV610)&lt;2,ISNUMBER(MATCH(AV610,L_Placeholder,0))),"INVALID – result / assessment missing",IF(OR(OR(LEN(AW610)&lt;3,ISNUMBER(MATCH(AW610,L_Placeholder,0))),SUMPRODUCT(--ISNUMBER(SEARCH(L_EvidencePhrase,AW610)))&gt;0),"INVALID – evidence missing, placeholder or not yet on file",IF(OR(LEN(AX610)&lt;2,ISNUMBER(MATCH(AX610,L_Placeholder,0))),"INVALID – verifier missing",IF(AX610=AU610,"INVALID – verifier must be someone other than the PIC",IF(AND(TRIM(U610)="Pass",SUMPRODUCT(--ISNUMBER(SEARCH(L_ResultBad,AV610)))&gt;0),"INVALID – result describes a problem: use Fail, then Pass after CA",IF(AND(AQ610=1,OR(LEN(AY610)&lt;3,ISNUMBER(MATCH(AY610,L_Placeholder,0)))),"INVALID – batch ID missing or placeholder",IF(AND(AR610=1,OR(NOT(ISNUMBER(X610)),NOT(ISNUMBER(Y610)))),"INVALID – expected/actual qty missing",IF(AND(AR610=1,OR(X610&lt;=0,Y610&lt;0)),"INVALID – expected qty must be above 0 and actual not negative",IF(AH595="N/A – JUSTIFIED","INVALID – preparation row F18-T12-12 is N/A",IF(AND(AR610=1,ISNUMBER(X595),X610&lt;&gt;X595),"INVALID – expected qty differs from preparation check F18-T12-12",IF(BB610&lt;&gt;"",BB610,IF(AND(AS610=1,Documents!$J$22&lt;&gt;"ON FILE"),"INVALID – GLD not on file (Documents sheet)",IF(AND(AS610=2,Documents!$O$22&lt;&gt;"ON FILE"),"INVALID – menu checklist not on file (Documents sheet)",IF(AND(AS610=3,NOT(ISNUMBER(Flights!$AX$22))),"INVALID – enter carrying flight KUL departure (Flights AX)",IF(AND(AS610=3,OR(Flights!$AZ$22&gt;Flights!$AA$22,Flights!$AX$22&lt;Flights!$AA$22-3)),"INVALID – carrying flight (Flights AX) cannot arrive before this leg's STD, or is over 3 days early",IF(AG610&gt;AsOfUTC,"INVALID – completion time is in the future",IF(AND(ISNUMBER(S610),AG610&lt;S610),IF(H610="Physical uplift","INVALID – before uplift window (cannot confirm loading)","INVALID – before valid window"),IF(AG610&gt;Flights!$AA$22,"INVALID – completed after departure (cannot establish readiness)",IF(AND(H610="Preparation",AG610&gt;IF(ISNUMBER(Flights!$BA$22),MIN(Flights!$BA$22,Flights!$AA$22),Flights!$AA$22)),"INVALID – completed after loading / departure (cannot establish readiness)",IF(AND(H610="Physical uplift",AG610&gt;Q610),"INVALID – recorded after the loading flight departed",IF(AG610&gt;Q610,"COMPLETE – LATE","COMPLETE"))))))))))))))))))))))),IF(TRIM(U610)="Fail","FAIL – DISCREPANCY",IF(AND(TRIM(U610)&lt;&gt;"",TRIM(U610)&lt;&gt;"Not started",TRIM(U610)&lt;&gt;"In progress"),"INVALID – unrecognised status (use the list)",IF(AsOfUTC&gt;Q610,"OVERDUE",IF(N610="Clarification required","OPEN – CLARIFICATION","OPEN"))))))),"INVALID – error value in an input cell")</f>
        <v>OPEN</v>
      </c>
      <c r="AI610" s="61" t="n">
        <f aca="false">IF(OR(AH610="N/A – RULE",AH610="N/A – JUSTIFIED"),0,1)</f>
        <v>1</v>
      </c>
      <c r="AJ610" s="61" t="n">
        <f aca="false">IF(LEFT(AH610,8)="COMPLETE",1,0)</f>
        <v>0</v>
      </c>
      <c r="AK610" s="61" t="n">
        <f aca="false">IF(AND(AI610=1,AJ610=0,AsOfUTC&gt;Q610),1,0)</f>
        <v>0</v>
      </c>
      <c r="AL610" s="61" t="n">
        <f aca="false">IFERROR(IF(AND(AI610=1,OR(TRIM(U610)="Fail",AND(TRIM(AB610)&lt;&gt;"",TRIM(AB610)&lt;&gt;"Closed"),AND(ISNUMBER(AF610),AF610&lt;&gt;0,TRIM(U610)&lt;&gt;"Pass after CA"))),1,0),1)</f>
        <v>0</v>
      </c>
      <c r="AM610" s="61" t="n">
        <f aca="false">IF(LEFT(AH610,7)="INVALID",1,0)</f>
        <v>0</v>
      </c>
      <c r="AN610" s="61" t="n">
        <f aca="false">IF(AND(N610="Clarification required",AI610=1,AJ610=0),1,0)</f>
        <v>0</v>
      </c>
      <c r="AO610" s="61" t="str">
        <f aca="false">IF(AK610=1,SUM(AK$5:AK610),"")</f>
        <v/>
      </c>
      <c r="AP610" s="61" t="str">
        <f aca="false">IF(AL610=1,SUM(AL$5:AL610),"")</f>
        <v/>
      </c>
      <c r="AQ610" s="61" t="n">
        <v>0</v>
      </c>
      <c r="AR610" s="61" t="n">
        <v>0</v>
      </c>
      <c r="AS610" s="61" t="n">
        <v>0</v>
      </c>
      <c r="AT610" s="61" t="n">
        <v>0</v>
      </c>
      <c r="AU610" s="61" t="str">
        <f aca="false">SUBSTITUTE(SUBSTITUTE(SUBSTITUTE(SUBSTITUTE(SUBSTITUTE(SUBSTITUTE(SUBSTITUTE(SUBSTITUTE(SUBSTITUTE(SUBSTITUTE(SUBSTITUTE(SUBSTITUTE(SUBSTITUTE(LOWER(T610&amp;""),CHAR(160),"")," ",""),".",""),"-",""),"/",""),"?",""),"_",""),",",""),"[",""),"]",""),"(",""),")",""),"*","")</f>
        <v/>
      </c>
      <c r="AV610" s="61" t="str">
        <f aca="false">SUBSTITUTE(SUBSTITUTE(SUBSTITUTE(SUBSTITUTE(SUBSTITUTE(SUBSTITUTE(SUBSTITUTE(SUBSTITUTE(SUBSTITUTE(SUBSTITUTE(SUBSTITUTE(SUBSTITUTE(SUBSTITUTE(LOWER(V610&amp;""),CHAR(160),"")," ",""),".",""),"-",""),"/",""),"?",""),"_",""),",",""),"[",""),"]",""),"(",""),")",""),"*","")</f>
        <v/>
      </c>
      <c r="AW610" s="61" t="str">
        <f aca="false">SUBSTITUTE(SUBSTITUTE(SUBSTITUTE(SUBSTITUTE(SUBSTITUTE(SUBSTITUTE(SUBSTITUTE(SUBSTITUTE(SUBSTITUTE(SUBSTITUTE(SUBSTITUTE(SUBSTITUTE(SUBSTITUTE(LOWER(Z610&amp;""),CHAR(160),"")," ",""),".",""),"-",""),"/",""),"?",""),"_",""),",",""),"[",""),"]",""),"(",""),")",""),"*","")</f>
        <v/>
      </c>
      <c r="AX610" s="61" t="str">
        <f aca="false">SUBSTITUTE(SUBSTITUTE(SUBSTITUTE(SUBSTITUTE(SUBSTITUTE(SUBSTITUTE(SUBSTITUTE(SUBSTITUTE(SUBSTITUTE(SUBSTITUTE(SUBSTITUTE(SUBSTITUTE(SUBSTITUTE(LOWER(AE610&amp;""),CHAR(160),"")," ",""),".",""),"-",""),"/",""),"?",""),"_",""),",",""),"[",""),"]",""),"(",""),")",""),"*","")</f>
        <v/>
      </c>
      <c r="AY610" s="61" t="str">
        <f aca="false">SUBSTITUTE(SUBSTITUTE(SUBSTITUTE(SUBSTITUTE(SUBSTITUTE(SUBSTITUTE(SUBSTITUTE(SUBSTITUTE(SUBSTITUTE(SUBSTITUTE(SUBSTITUTE(SUBSTITUTE(SUBSTITUTE(LOWER(W610&amp;""),CHAR(160),"")," ",""),".",""),"-",""),"/",""),"?",""),"_",""),",",""),"[",""),"]",""),"(",""),")",""),"*","")</f>
        <v/>
      </c>
      <c r="AZ610" s="61" t="str">
        <f aca="false">SUBSTITUTE(SUBSTITUTE(SUBSTITUTE(SUBSTITUTE(SUBSTITUTE(SUBSTITUTE(SUBSTITUTE(SUBSTITUTE(SUBSTITUTE(SUBSTITUTE(SUBSTITUTE(SUBSTITUTE(SUBSTITUTE(LOWER(AC610&amp;""),CHAR(160),"")," ",""),".",""),"-",""),"/",""),"?",""),"_",""),",",""),"[",""),"]",""),"(",""),")",""),"*","")</f>
        <v/>
      </c>
      <c r="BA610" s="61" t="str">
        <f aca="false">SUBSTITUTE(SUBSTITUTE(SUBSTITUTE(SUBSTITUTE(SUBSTITUTE(SUBSTITUTE(SUBSTITUTE(SUBSTITUTE(SUBSTITUTE(SUBSTITUTE(SUBSTITUTE(SUBSTITUTE(SUBSTITUTE(LOWER(AA610&amp;""),CHAR(160),"")," ",""),".",""),"-",""),"/",""),"?",""),"_",""),",",""),"[",""),"]",""),"(",""),")",""),"*","")</f>
        <v/>
      </c>
      <c r="BB610" s="61" t="str">
        <f aca="false">IF(AND(TRIM(U610)="Pass",ISNUMBER(AF610)),IF(AF610&lt;&gt;0,"INVALID – qty variance: use Fail or Pass after CA",""),"")&amp;IF(AND(TRIM(U610)="Pass after CA",ISNUMBER(AF610)),IF(AF610&lt;&gt;0,"INVALID – after the corrective action the actual qty must equal expected (update Actual)",""),"")&amp;IF(AND(TRIM(U610)="Pass",TRIM(AB610)&lt;&gt;"",TRIM(AB610)&lt;&gt;"Closed"),"INVALID – corrective action not closed: use Fail, then Pass after CA","")&amp;IF(AND(TRIM(AA610)&lt;&gt;"",TRIM(AB610)=""),"INVALID – CA status missing for the recorded corrective action","")&amp;IF(AND(TRIM(U610)="Pass after CA",OR(OR(LEN(BA610)&lt;5,ISNUMBER(MATCH(BA610,L_Placeholder,0))),TRIM(AB610)&lt;&gt;"Closed")),"INVALID – corrective action not recorded/closed","")</f>
        <v/>
      </c>
    </row>
    <row r="611" customFormat="false" ht="39.75" hidden="false" customHeight="true" outlineLevel="0" collapsed="false">
      <c r="A611" s="57" t="s">
        <v>1298</v>
      </c>
      <c r="B611" s="57" t="s">
        <v>290</v>
      </c>
      <c r="C611" s="57" t="str">
        <f aca="false">Flights!$F$22</f>
        <v>MH0052</v>
      </c>
      <c r="D611" s="58" t="n">
        <f aca="false">Flights!$D$22</f>
        <v>46322</v>
      </c>
      <c r="E611" s="57" t="str">
        <f aca="false">Flights!$G$22&amp;"-"&amp;Flights!$H$22</f>
        <v>KUL-KIX</v>
      </c>
      <c r="F611" s="57" t="str">
        <f aca="false">Flights!$K$22</f>
        <v>BC</v>
      </c>
      <c r="G611" s="57" t="s">
        <v>437</v>
      </c>
      <c r="H611" s="57" t="s">
        <v>438</v>
      </c>
      <c r="I611" s="57" t="s">
        <v>477</v>
      </c>
      <c r="J611" s="57" t="s">
        <v>524</v>
      </c>
      <c r="K611" s="67" t="s">
        <v>479</v>
      </c>
      <c r="L611" s="67" t="s">
        <v>1274</v>
      </c>
      <c r="M611" s="67" t="s">
        <v>429</v>
      </c>
      <c r="N611" s="67" t="s">
        <v>361</v>
      </c>
      <c r="O611" s="67"/>
      <c r="P611" s="57" t="s">
        <v>184</v>
      </c>
      <c r="Q611" s="59" t="n">
        <f aca="false">ROUND((Flights!$AF$22)*1440,0)/1440</f>
        <v>46322.6006944444</v>
      </c>
      <c r="R611" s="59" t="n">
        <f aca="false">Q611+(IF(AND(INDEX(TZ_DSTS,MATCH(P611,TZ_STN,0))&lt;&gt;"",Q611&gt;=INDEX(TZ_DSTS,MATCH(P611,TZ_STN,0)),Q611&lt;INDEX(TZ_DSTE,MATCH(P611,TZ_STN,0))),INDEX(TZ_DST,MATCH(P611,TZ_STN,0)),INDEX(TZ_STD,MATCH(P611,TZ_STN,0))))/24</f>
        <v>46322.9340277778</v>
      </c>
      <c r="S611" s="59" t="n">
        <f aca="false">IF(ISNUMBER(Flights!$AZ$22),MAX(Q611-UpliftWindowH/24,Flights!$AZ$22),Q611-UpliftWindowH/24)</f>
        <v>46322.3506944444</v>
      </c>
      <c r="T611" s="60"/>
      <c r="U611" s="60"/>
      <c r="V611" s="60"/>
      <c r="W611" s="61"/>
      <c r="X611" s="60"/>
      <c r="Y611" s="60"/>
      <c r="Z611" s="60"/>
      <c r="AA611" s="60"/>
      <c r="AB611" s="60"/>
      <c r="AC611" s="60"/>
      <c r="AD611" s="66"/>
      <c r="AE611" s="60"/>
      <c r="AF611" s="61" t="str">
        <f aca="false">IF(AND(ISNUMBER(X611),ISNUMBER(Y611)),Y611-X611,"")</f>
        <v/>
      </c>
      <c r="AG611" s="62" t="str">
        <f aca="false">IF(ISNUMBER(AD611),AD611-(IF(AND(INDEX(TZ_DSTS,MATCH(P611,TZ_STN,0))&lt;&gt;"",(AD611-INDEX(TZ_STD,MATCH(P611,TZ_STN,0))/24)&gt;=INDEX(TZ_DSTS,MATCH(P611,TZ_STN,0)),(AD611-INDEX(TZ_STD,MATCH(P611,TZ_STN,0))/24)&lt;INDEX(TZ_DSTE,MATCH(P611,TZ_STN,0))),INDEX(TZ_DST,MATCH(P611,TZ_STN,0)),INDEX(TZ_STD,MATCH(P611,TZ_STN,0))))/24,"")</f>
        <v/>
      </c>
      <c r="AH611" s="65" t="str">
        <f aca="false">IFERROR(IF(N611="N/A – rule","N/A – RULE",IF(TRIM(U611)="N/A",IF(AT611=0,"INVALID – N/A not permitted for this check",IF(AND(TRIM(AB611)&lt;&gt;"",TRIM(AB611)&lt;&gt;"Closed"),"INVALID – corrective action still open",IF(AND(NOT(OR(LEN(AZ611)&lt;15,ISNUMBER(MATCH(AZ611,L_Placeholder,0)))),NOT(OR(LEN(AU611)&lt;2,ISNUMBER(MATCH(AU611,L_Placeholder,0)))),NOT(OR(LEN(AX611)&lt;2,ISNUMBER(MATCH(AX611,L_Placeholder,0)))),TRIM(AE611)&lt;&gt;TRIM(T611)),"N/A – JUSTIFIED","INVALID – N/A needs a real justification (15+ chars), PIC and a different verifier"))),IF(OR(TRIM(U611)="Pass",TRIM(U611)="Pass after CA"),IF(NOT(ISNUMBER(AD611)),"INVALID – completion time missing",IF(OR(LEN(AU611)&lt;2,ISNUMBER(MATCH(AU611,L_Placeholder,0))),"INVALID – PIC missing",IF(OR(LEN(AV611)&lt;2,ISNUMBER(MATCH(AV611,L_Placeholder,0))),"INVALID – result / assessment missing",IF(OR(OR(LEN(AW611)&lt;3,ISNUMBER(MATCH(AW611,L_Placeholder,0))),SUMPRODUCT(--ISNUMBER(SEARCH(L_EvidencePhrase,AW611)))&gt;0),"INVALID – evidence missing, placeholder or not yet on file",IF(OR(LEN(AX611)&lt;2,ISNUMBER(MATCH(AX611,L_Placeholder,0))),"INVALID – verifier missing",IF(AX611=AU611,"INVALID – verifier must be someone other than the PIC",IF(AND(TRIM(U611)="Pass",SUMPRODUCT(--ISNUMBER(SEARCH(L_ResultBad,AV611)))&gt;0),"INVALID – result describes a problem: use Fail, then Pass after CA",IF(AND(AQ611=1,OR(LEN(AY611)&lt;3,ISNUMBER(MATCH(AY611,L_Placeholder,0)))),"INVALID – batch ID missing or placeholder",IF(AND(AR611=1,OR(NOT(ISNUMBER(X611)),NOT(ISNUMBER(Y611)))),"INVALID – expected/actual qty missing",IF(AND(AR611=1,OR(X611&lt;=0,Y611&lt;0)),"INVALID – expected qty must be above 0 and actual not negative",IF(AH596="N/A – JUSTIFIED","INVALID – preparation row F18-T12-13 is N/A",IF(AND(AR611=1,ISNUMBER(X596),X611&lt;&gt;X596),"INVALID – expected qty differs from preparation check F18-T12-13",IF(BB611&lt;&gt;"",BB611,IF(AND(AS611=1,Documents!$J$22&lt;&gt;"ON FILE"),"INVALID – GLD not on file (Documents sheet)",IF(AND(AS611=2,Documents!$O$22&lt;&gt;"ON FILE"),"INVALID – menu checklist not on file (Documents sheet)",IF(AND(AS611=3,NOT(ISNUMBER(Flights!$AX$22))),"INVALID – enter carrying flight KUL departure (Flights AX)",IF(AND(AS611=3,OR(Flights!$AZ$22&gt;Flights!$AA$22,Flights!$AX$22&lt;Flights!$AA$22-3)),"INVALID – carrying flight (Flights AX) cannot arrive before this leg's STD, or is over 3 days early",IF(AG611&gt;AsOfUTC,"INVALID – completion time is in the future",IF(AND(ISNUMBER(S611),AG611&lt;S611),IF(H611="Physical uplift","INVALID – before uplift window (cannot confirm loading)","INVALID – before valid window"),IF(AG611&gt;Flights!$AA$22,"INVALID – completed after departure (cannot establish readiness)",IF(AND(H611="Preparation",AG611&gt;IF(ISNUMBER(Flights!$BA$22),MIN(Flights!$BA$22,Flights!$AA$22),Flights!$AA$22)),"INVALID – completed after loading / departure (cannot establish readiness)",IF(AND(H611="Physical uplift",AG611&gt;Q611),"INVALID – recorded after the loading flight departed",IF(AG611&gt;Q611,"COMPLETE – LATE","COMPLETE"))))))))))))))))))))))),IF(TRIM(U611)="Fail","FAIL – DISCREPANCY",IF(AND(TRIM(U611)&lt;&gt;"",TRIM(U611)&lt;&gt;"Not started",TRIM(U611)&lt;&gt;"In progress"),"INVALID – unrecognised status (use the list)",IF(AsOfUTC&gt;Q611,"OVERDUE",IF(N611="Clarification required","OPEN – CLARIFICATION","OPEN"))))))),"INVALID – error value in an input cell")</f>
        <v>OPEN</v>
      </c>
      <c r="AI611" s="61" t="n">
        <f aca="false">IF(OR(AH611="N/A – RULE",AH611="N/A – JUSTIFIED"),0,1)</f>
        <v>1</v>
      </c>
      <c r="AJ611" s="61" t="n">
        <f aca="false">IF(LEFT(AH611,8)="COMPLETE",1,0)</f>
        <v>0</v>
      </c>
      <c r="AK611" s="61" t="n">
        <f aca="false">IF(AND(AI611=1,AJ611=0,AsOfUTC&gt;Q611),1,0)</f>
        <v>0</v>
      </c>
      <c r="AL611" s="61" t="n">
        <f aca="false">IFERROR(IF(AND(AI611=1,OR(TRIM(U611)="Fail",AND(TRIM(AB611)&lt;&gt;"",TRIM(AB611)&lt;&gt;"Closed"),AND(ISNUMBER(AF611),AF611&lt;&gt;0,TRIM(U611)&lt;&gt;"Pass after CA"))),1,0),1)</f>
        <v>0</v>
      </c>
      <c r="AM611" s="61" t="n">
        <f aca="false">IF(LEFT(AH611,7)="INVALID",1,0)</f>
        <v>0</v>
      </c>
      <c r="AN611" s="61" t="n">
        <f aca="false">IF(AND(N611="Clarification required",AI611=1,AJ611=0),1,0)</f>
        <v>0</v>
      </c>
      <c r="AO611" s="61" t="str">
        <f aca="false">IF(AK611=1,SUM(AK$5:AK611),"")</f>
        <v/>
      </c>
      <c r="AP611" s="61" t="str">
        <f aca="false">IF(AL611=1,SUM(AL$5:AL611),"")</f>
        <v/>
      </c>
      <c r="AQ611" s="61" t="n">
        <v>0</v>
      </c>
      <c r="AR611" s="61" t="n">
        <v>0</v>
      </c>
      <c r="AS611" s="61" t="n">
        <v>0</v>
      </c>
      <c r="AT611" s="61" t="n">
        <v>0</v>
      </c>
      <c r="AU611" s="61" t="str">
        <f aca="false">SUBSTITUTE(SUBSTITUTE(SUBSTITUTE(SUBSTITUTE(SUBSTITUTE(SUBSTITUTE(SUBSTITUTE(SUBSTITUTE(SUBSTITUTE(SUBSTITUTE(SUBSTITUTE(SUBSTITUTE(SUBSTITUTE(LOWER(T611&amp;""),CHAR(160),"")," ",""),".",""),"-",""),"/",""),"?",""),"_",""),",",""),"[",""),"]",""),"(",""),")",""),"*","")</f>
        <v/>
      </c>
      <c r="AV611" s="61" t="str">
        <f aca="false">SUBSTITUTE(SUBSTITUTE(SUBSTITUTE(SUBSTITUTE(SUBSTITUTE(SUBSTITUTE(SUBSTITUTE(SUBSTITUTE(SUBSTITUTE(SUBSTITUTE(SUBSTITUTE(SUBSTITUTE(SUBSTITUTE(LOWER(V611&amp;""),CHAR(160),"")," ",""),".",""),"-",""),"/",""),"?",""),"_",""),",",""),"[",""),"]",""),"(",""),")",""),"*","")</f>
        <v/>
      </c>
      <c r="AW611" s="61" t="str">
        <f aca="false">SUBSTITUTE(SUBSTITUTE(SUBSTITUTE(SUBSTITUTE(SUBSTITUTE(SUBSTITUTE(SUBSTITUTE(SUBSTITUTE(SUBSTITUTE(SUBSTITUTE(SUBSTITUTE(SUBSTITUTE(SUBSTITUTE(LOWER(Z611&amp;""),CHAR(160),"")," ",""),".",""),"-",""),"/",""),"?",""),"_",""),",",""),"[",""),"]",""),"(",""),")",""),"*","")</f>
        <v/>
      </c>
      <c r="AX611" s="61" t="str">
        <f aca="false">SUBSTITUTE(SUBSTITUTE(SUBSTITUTE(SUBSTITUTE(SUBSTITUTE(SUBSTITUTE(SUBSTITUTE(SUBSTITUTE(SUBSTITUTE(SUBSTITUTE(SUBSTITUTE(SUBSTITUTE(SUBSTITUTE(LOWER(AE611&amp;""),CHAR(160),"")," ",""),".",""),"-",""),"/",""),"?",""),"_",""),",",""),"[",""),"]",""),"(",""),")",""),"*","")</f>
        <v/>
      </c>
      <c r="AY611" s="61" t="str">
        <f aca="false">SUBSTITUTE(SUBSTITUTE(SUBSTITUTE(SUBSTITUTE(SUBSTITUTE(SUBSTITUTE(SUBSTITUTE(SUBSTITUTE(SUBSTITUTE(SUBSTITUTE(SUBSTITUTE(SUBSTITUTE(SUBSTITUTE(LOWER(W611&amp;""),CHAR(160),"")," ",""),".",""),"-",""),"/",""),"?",""),"_",""),",",""),"[",""),"]",""),"(",""),")",""),"*","")</f>
        <v/>
      </c>
      <c r="AZ611" s="61" t="str">
        <f aca="false">SUBSTITUTE(SUBSTITUTE(SUBSTITUTE(SUBSTITUTE(SUBSTITUTE(SUBSTITUTE(SUBSTITUTE(SUBSTITUTE(SUBSTITUTE(SUBSTITUTE(SUBSTITUTE(SUBSTITUTE(SUBSTITUTE(LOWER(AC611&amp;""),CHAR(160),"")," ",""),".",""),"-",""),"/",""),"?",""),"_",""),",",""),"[",""),"]",""),"(",""),")",""),"*","")</f>
        <v/>
      </c>
      <c r="BA611" s="61" t="str">
        <f aca="false">SUBSTITUTE(SUBSTITUTE(SUBSTITUTE(SUBSTITUTE(SUBSTITUTE(SUBSTITUTE(SUBSTITUTE(SUBSTITUTE(SUBSTITUTE(SUBSTITUTE(SUBSTITUTE(SUBSTITUTE(SUBSTITUTE(LOWER(AA611&amp;""),CHAR(160),"")," ",""),".",""),"-",""),"/",""),"?",""),"_",""),",",""),"[",""),"]",""),"(",""),")",""),"*","")</f>
        <v/>
      </c>
      <c r="BB611" s="61" t="str">
        <f aca="false">IF(AND(TRIM(U611)="Pass",ISNUMBER(AF611)),IF(AF611&lt;&gt;0,"INVALID – qty variance: use Fail or Pass after CA",""),"")&amp;IF(AND(TRIM(U611)="Pass after CA",ISNUMBER(AF611)),IF(AF611&lt;&gt;0,"INVALID – after the corrective action the actual qty must equal expected (update Actual)",""),"")&amp;IF(AND(TRIM(U611)="Pass",TRIM(AB611)&lt;&gt;"",TRIM(AB611)&lt;&gt;"Closed"),"INVALID – corrective action not closed: use Fail, then Pass after CA","")&amp;IF(AND(TRIM(AA611)&lt;&gt;"",TRIM(AB611)=""),"INVALID – CA status missing for the recorded corrective action","")&amp;IF(AND(TRIM(U611)="Pass after CA",OR(OR(LEN(BA611)&lt;5,ISNUMBER(MATCH(BA611,L_Placeholder,0))),TRIM(AB611)&lt;&gt;"Closed")),"INVALID – corrective action not recorded/closed","")</f>
        <v/>
      </c>
    </row>
    <row r="612" customFormat="false" ht="39.75" hidden="false" customHeight="true" outlineLevel="0" collapsed="false">
      <c r="A612" s="57" t="s">
        <v>1299</v>
      </c>
      <c r="B612" s="57" t="s">
        <v>290</v>
      </c>
      <c r="C612" s="57" t="str">
        <f aca="false">Flights!$F$22</f>
        <v>MH0052</v>
      </c>
      <c r="D612" s="58" t="n">
        <f aca="false">Flights!$D$22</f>
        <v>46322</v>
      </c>
      <c r="E612" s="57" t="str">
        <f aca="false">Flights!$G$22&amp;"-"&amp;Flights!$H$22</f>
        <v>KUL-KIX</v>
      </c>
      <c r="F612" s="57" t="str">
        <f aca="false">Flights!$K$22</f>
        <v>BC</v>
      </c>
      <c r="G612" s="57" t="s">
        <v>437</v>
      </c>
      <c r="H612" s="57" t="s">
        <v>438</v>
      </c>
      <c r="I612" s="57" t="s">
        <v>477</v>
      </c>
      <c r="J612" s="57" t="s">
        <v>526</v>
      </c>
      <c r="K612" s="67" t="s">
        <v>594</v>
      </c>
      <c r="L612" s="67" t="s">
        <v>1276</v>
      </c>
      <c r="M612" s="67" t="s">
        <v>429</v>
      </c>
      <c r="N612" s="67" t="s">
        <v>361</v>
      </c>
      <c r="O612" s="67" t="s">
        <v>527</v>
      </c>
      <c r="P612" s="57" t="s">
        <v>184</v>
      </c>
      <c r="Q612" s="59" t="n">
        <f aca="false">ROUND((Flights!$AF$22)*1440,0)/1440</f>
        <v>46322.6006944444</v>
      </c>
      <c r="R612" s="59" t="n">
        <f aca="false">Q612+(IF(AND(INDEX(TZ_DSTS,MATCH(P612,TZ_STN,0))&lt;&gt;"",Q612&gt;=INDEX(TZ_DSTS,MATCH(P612,TZ_STN,0)),Q612&lt;INDEX(TZ_DSTE,MATCH(P612,TZ_STN,0))),INDEX(TZ_DST,MATCH(P612,TZ_STN,0)),INDEX(TZ_STD,MATCH(P612,TZ_STN,0))))/24</f>
        <v>46322.9340277778</v>
      </c>
      <c r="S612" s="59" t="n">
        <f aca="false">IF(ISNUMBER(Flights!$AZ$22),MAX(Q612-UpliftWindowH/24,Flights!$AZ$22),Q612-UpliftWindowH/24)</f>
        <v>46322.3506944444</v>
      </c>
      <c r="T612" s="60"/>
      <c r="U612" s="60"/>
      <c r="V612" s="60"/>
      <c r="W612" s="61"/>
      <c r="X612" s="60"/>
      <c r="Y612" s="60"/>
      <c r="Z612" s="60"/>
      <c r="AA612" s="60"/>
      <c r="AB612" s="60"/>
      <c r="AC612" s="60"/>
      <c r="AD612" s="66"/>
      <c r="AE612" s="60"/>
      <c r="AF612" s="61" t="str">
        <f aca="false">IF(AND(ISNUMBER(X612),ISNUMBER(Y612)),Y612-X612,"")</f>
        <v/>
      </c>
      <c r="AG612" s="62" t="str">
        <f aca="false">IF(ISNUMBER(AD612),AD612-(IF(AND(INDEX(TZ_DSTS,MATCH(P612,TZ_STN,0))&lt;&gt;"",(AD612-INDEX(TZ_STD,MATCH(P612,TZ_STN,0))/24)&gt;=INDEX(TZ_DSTS,MATCH(P612,TZ_STN,0)),(AD612-INDEX(TZ_STD,MATCH(P612,TZ_STN,0))/24)&lt;INDEX(TZ_DSTE,MATCH(P612,TZ_STN,0))),INDEX(TZ_DST,MATCH(P612,TZ_STN,0)),INDEX(TZ_STD,MATCH(P612,TZ_STN,0))))/24,"")</f>
        <v/>
      </c>
      <c r="AH612" s="65" t="str">
        <f aca="false">IFERROR(IF(N612="N/A – rule","N/A – RULE",IF(TRIM(U612)="N/A",IF(AT612=0,"INVALID – N/A not permitted for this check",IF(AND(TRIM(AB612)&lt;&gt;"",TRIM(AB612)&lt;&gt;"Closed"),"INVALID – corrective action still open",IF(AND(NOT(OR(LEN(AZ612)&lt;15,ISNUMBER(MATCH(AZ612,L_Placeholder,0)))),NOT(OR(LEN(AU612)&lt;2,ISNUMBER(MATCH(AU612,L_Placeholder,0)))),NOT(OR(LEN(AX612)&lt;2,ISNUMBER(MATCH(AX612,L_Placeholder,0)))),TRIM(AE612)&lt;&gt;TRIM(T612)),"N/A – JUSTIFIED","INVALID – N/A needs a real justification (15+ chars), PIC and a different verifier"))),IF(OR(TRIM(U612)="Pass",TRIM(U612)="Pass after CA"),IF(NOT(ISNUMBER(AD612)),"INVALID – completion time missing",IF(OR(LEN(AU612)&lt;2,ISNUMBER(MATCH(AU612,L_Placeholder,0))),"INVALID – PIC missing",IF(OR(LEN(AV612)&lt;2,ISNUMBER(MATCH(AV612,L_Placeholder,0))),"INVALID – result / assessment missing",IF(OR(OR(LEN(AW612)&lt;3,ISNUMBER(MATCH(AW612,L_Placeholder,0))),SUMPRODUCT(--ISNUMBER(SEARCH(L_EvidencePhrase,AW612)))&gt;0),"INVALID – evidence missing, placeholder or not yet on file",IF(OR(LEN(AX612)&lt;2,ISNUMBER(MATCH(AX612,L_Placeholder,0))),"INVALID – verifier missing",IF(AX612=AU612,"INVALID – verifier must be someone other than the PIC",IF(AND(TRIM(U612)="Pass",SUMPRODUCT(--ISNUMBER(SEARCH(L_ResultBad,AV612)))&gt;0),"INVALID – result describes a problem: use Fail, then Pass after CA",IF(AND(AQ612=1,OR(LEN(AY612)&lt;3,ISNUMBER(MATCH(AY612,L_Placeholder,0)))),"INVALID – batch ID missing or placeholder",IF(AND(AR612=1,OR(NOT(ISNUMBER(X612)),NOT(ISNUMBER(Y612)))),"INVALID – expected/actual qty missing",IF(AND(AR612=1,OR(X612&lt;=0,Y612&lt;0)),"INVALID – expected qty must be above 0 and actual not negative",IF(AH597="N/A – JUSTIFIED","INVALID – preparation row F18-T12-14 is N/A",IF(AND(AR612=1,ISNUMBER(X597),X612&lt;&gt;X597),"INVALID – expected qty differs from preparation check F18-T12-14",IF(BB612&lt;&gt;"",BB612,IF(AND(AS612=1,Documents!$J$22&lt;&gt;"ON FILE"),"INVALID – GLD not on file (Documents sheet)",IF(AND(AS612=2,Documents!$O$22&lt;&gt;"ON FILE"),"INVALID – menu checklist not on file (Documents sheet)",IF(AND(AS612=3,NOT(ISNUMBER(Flights!$AX$22))),"INVALID – enter carrying flight KUL departure (Flights AX)",IF(AND(AS612=3,OR(Flights!$AZ$22&gt;Flights!$AA$22,Flights!$AX$22&lt;Flights!$AA$22-3)),"INVALID – carrying flight (Flights AX) cannot arrive before this leg's STD, or is over 3 days early",IF(AG612&gt;AsOfUTC,"INVALID – completion time is in the future",IF(AND(ISNUMBER(S612),AG612&lt;S612),IF(H612="Physical uplift","INVALID – before uplift window (cannot confirm loading)","INVALID – before valid window"),IF(AG612&gt;Flights!$AA$22,"INVALID – completed after departure (cannot establish readiness)",IF(AND(H612="Preparation",AG612&gt;IF(ISNUMBER(Flights!$BA$22),MIN(Flights!$BA$22,Flights!$AA$22),Flights!$AA$22)),"INVALID – completed after loading / departure (cannot establish readiness)",IF(AND(H612="Physical uplift",AG612&gt;Q612),"INVALID – recorded after the loading flight departed",IF(AG612&gt;Q612,"COMPLETE – LATE","COMPLETE"))))))))))))))))))))))),IF(TRIM(U612)="Fail","FAIL – DISCREPANCY",IF(AND(TRIM(U612)&lt;&gt;"",TRIM(U612)&lt;&gt;"Not started",TRIM(U612)&lt;&gt;"In progress"),"INVALID – unrecognised status (use the list)",IF(AsOfUTC&gt;Q612,"OVERDUE",IF(N612="Clarification required","OPEN – CLARIFICATION","OPEN"))))))),"INVALID – error value in an input cell")</f>
        <v>OPEN</v>
      </c>
      <c r="AI612" s="61" t="n">
        <f aca="false">IF(OR(AH612="N/A – RULE",AH612="N/A – JUSTIFIED"),0,1)</f>
        <v>1</v>
      </c>
      <c r="AJ612" s="61" t="n">
        <f aca="false">IF(LEFT(AH612,8)="COMPLETE",1,0)</f>
        <v>0</v>
      </c>
      <c r="AK612" s="61" t="n">
        <f aca="false">IF(AND(AI612=1,AJ612=0,AsOfUTC&gt;Q612),1,0)</f>
        <v>0</v>
      </c>
      <c r="AL612" s="61" t="n">
        <f aca="false">IFERROR(IF(AND(AI612=1,OR(TRIM(U612)="Fail",AND(TRIM(AB612)&lt;&gt;"",TRIM(AB612)&lt;&gt;"Closed"),AND(ISNUMBER(AF612),AF612&lt;&gt;0,TRIM(U612)&lt;&gt;"Pass after CA"))),1,0),1)</f>
        <v>0</v>
      </c>
      <c r="AM612" s="61" t="n">
        <f aca="false">IF(LEFT(AH612,7)="INVALID",1,0)</f>
        <v>0</v>
      </c>
      <c r="AN612" s="61" t="n">
        <f aca="false">IF(AND(N612="Clarification required",AI612=1,AJ612=0),1,0)</f>
        <v>0</v>
      </c>
      <c r="AO612" s="61" t="str">
        <f aca="false">IF(AK612=1,SUM(AK$5:AK612),"")</f>
        <v/>
      </c>
      <c r="AP612" s="61" t="str">
        <f aca="false">IF(AL612=1,SUM(AL$5:AL612),"")</f>
        <v/>
      </c>
      <c r="AQ612" s="61" t="n">
        <v>0</v>
      </c>
      <c r="AR612" s="61" t="n">
        <v>0</v>
      </c>
      <c r="AS612" s="61" t="n">
        <v>0</v>
      </c>
      <c r="AT612" s="61" t="n">
        <v>0</v>
      </c>
      <c r="AU612" s="61" t="str">
        <f aca="false">SUBSTITUTE(SUBSTITUTE(SUBSTITUTE(SUBSTITUTE(SUBSTITUTE(SUBSTITUTE(SUBSTITUTE(SUBSTITUTE(SUBSTITUTE(SUBSTITUTE(SUBSTITUTE(SUBSTITUTE(SUBSTITUTE(LOWER(T612&amp;""),CHAR(160),"")," ",""),".",""),"-",""),"/",""),"?",""),"_",""),",",""),"[",""),"]",""),"(",""),")",""),"*","")</f>
        <v/>
      </c>
      <c r="AV612" s="61" t="str">
        <f aca="false">SUBSTITUTE(SUBSTITUTE(SUBSTITUTE(SUBSTITUTE(SUBSTITUTE(SUBSTITUTE(SUBSTITUTE(SUBSTITUTE(SUBSTITUTE(SUBSTITUTE(SUBSTITUTE(SUBSTITUTE(SUBSTITUTE(LOWER(V612&amp;""),CHAR(160),"")," ",""),".",""),"-",""),"/",""),"?",""),"_",""),",",""),"[",""),"]",""),"(",""),")",""),"*","")</f>
        <v/>
      </c>
      <c r="AW612" s="61" t="str">
        <f aca="false">SUBSTITUTE(SUBSTITUTE(SUBSTITUTE(SUBSTITUTE(SUBSTITUTE(SUBSTITUTE(SUBSTITUTE(SUBSTITUTE(SUBSTITUTE(SUBSTITUTE(SUBSTITUTE(SUBSTITUTE(SUBSTITUTE(LOWER(Z612&amp;""),CHAR(160),"")," ",""),".",""),"-",""),"/",""),"?",""),"_",""),",",""),"[",""),"]",""),"(",""),")",""),"*","")</f>
        <v/>
      </c>
      <c r="AX612" s="61" t="str">
        <f aca="false">SUBSTITUTE(SUBSTITUTE(SUBSTITUTE(SUBSTITUTE(SUBSTITUTE(SUBSTITUTE(SUBSTITUTE(SUBSTITUTE(SUBSTITUTE(SUBSTITUTE(SUBSTITUTE(SUBSTITUTE(SUBSTITUTE(LOWER(AE612&amp;""),CHAR(160),"")," ",""),".",""),"-",""),"/",""),"?",""),"_",""),",",""),"[",""),"]",""),"(",""),")",""),"*","")</f>
        <v/>
      </c>
      <c r="AY612" s="61" t="str">
        <f aca="false">SUBSTITUTE(SUBSTITUTE(SUBSTITUTE(SUBSTITUTE(SUBSTITUTE(SUBSTITUTE(SUBSTITUTE(SUBSTITUTE(SUBSTITUTE(SUBSTITUTE(SUBSTITUTE(SUBSTITUTE(SUBSTITUTE(LOWER(W612&amp;""),CHAR(160),"")," ",""),".",""),"-",""),"/",""),"?",""),"_",""),",",""),"[",""),"]",""),"(",""),")",""),"*","")</f>
        <v/>
      </c>
      <c r="AZ612" s="61" t="str">
        <f aca="false">SUBSTITUTE(SUBSTITUTE(SUBSTITUTE(SUBSTITUTE(SUBSTITUTE(SUBSTITUTE(SUBSTITUTE(SUBSTITUTE(SUBSTITUTE(SUBSTITUTE(SUBSTITUTE(SUBSTITUTE(SUBSTITUTE(LOWER(AC612&amp;""),CHAR(160),"")," ",""),".",""),"-",""),"/",""),"?",""),"_",""),",",""),"[",""),"]",""),"(",""),")",""),"*","")</f>
        <v/>
      </c>
      <c r="BA612" s="61" t="str">
        <f aca="false">SUBSTITUTE(SUBSTITUTE(SUBSTITUTE(SUBSTITUTE(SUBSTITUTE(SUBSTITUTE(SUBSTITUTE(SUBSTITUTE(SUBSTITUTE(SUBSTITUTE(SUBSTITUTE(SUBSTITUTE(SUBSTITUTE(LOWER(AA612&amp;""),CHAR(160),"")," ",""),".",""),"-",""),"/",""),"?",""),"_",""),",",""),"[",""),"]",""),"(",""),")",""),"*","")</f>
        <v/>
      </c>
      <c r="BB612" s="61" t="str">
        <f aca="false">IF(AND(TRIM(U612)="Pass",ISNUMBER(AF612)),IF(AF612&lt;&gt;0,"INVALID – qty variance: use Fail or Pass after CA",""),"")&amp;IF(AND(TRIM(U612)="Pass after CA",ISNUMBER(AF612)),IF(AF612&lt;&gt;0,"INVALID – after the corrective action the actual qty must equal expected (update Actual)",""),"")&amp;IF(AND(TRIM(U612)="Pass",TRIM(AB612)&lt;&gt;"",TRIM(AB612)&lt;&gt;"Closed"),"INVALID – corrective action not closed: use Fail, then Pass after CA","")&amp;IF(AND(TRIM(AA612)&lt;&gt;"",TRIM(AB612)=""),"INVALID – CA status missing for the recorded corrective action","")&amp;IF(AND(TRIM(U612)="Pass after CA",OR(OR(LEN(BA612)&lt;5,ISNUMBER(MATCH(BA612,L_Placeholder,0))),TRIM(AB612)&lt;&gt;"Closed")),"INVALID – corrective action not recorded/closed","")</f>
        <v/>
      </c>
    </row>
    <row r="613" customFormat="false" ht="39.75" hidden="false" customHeight="true" outlineLevel="0" collapsed="false">
      <c r="A613" s="57" t="s">
        <v>1300</v>
      </c>
      <c r="B613" s="57" t="s">
        <v>290</v>
      </c>
      <c r="C613" s="57" t="str">
        <f aca="false">Flights!$F$22</f>
        <v>MH0052</v>
      </c>
      <c r="D613" s="58" t="n">
        <f aca="false">Flights!$D$22</f>
        <v>46322</v>
      </c>
      <c r="E613" s="57" t="str">
        <f aca="false">Flights!$G$22&amp;"-"&amp;Flights!$H$22</f>
        <v>KUL-KIX</v>
      </c>
      <c r="F613" s="57" t="str">
        <f aca="false">Flights!$K$22</f>
        <v>BC</v>
      </c>
      <c r="G613" s="57" t="s">
        <v>437</v>
      </c>
      <c r="H613" s="57" t="s">
        <v>438</v>
      </c>
      <c r="I613" s="57" t="s">
        <v>477</v>
      </c>
      <c r="J613" s="57" t="s">
        <v>529</v>
      </c>
      <c r="K613" s="67" t="s">
        <v>479</v>
      </c>
      <c r="L613" s="67" t="s">
        <v>1278</v>
      </c>
      <c r="M613" s="67" t="s">
        <v>429</v>
      </c>
      <c r="N613" s="67" t="s">
        <v>361</v>
      </c>
      <c r="O613" s="67"/>
      <c r="P613" s="57" t="s">
        <v>184</v>
      </c>
      <c r="Q613" s="59" t="n">
        <f aca="false">ROUND((Flights!$AF$22)*1440,0)/1440</f>
        <v>46322.6006944444</v>
      </c>
      <c r="R613" s="59" t="n">
        <f aca="false">Q613+(IF(AND(INDEX(TZ_DSTS,MATCH(P613,TZ_STN,0))&lt;&gt;"",Q613&gt;=INDEX(TZ_DSTS,MATCH(P613,TZ_STN,0)),Q613&lt;INDEX(TZ_DSTE,MATCH(P613,TZ_STN,0))),INDEX(TZ_DST,MATCH(P613,TZ_STN,0)),INDEX(TZ_STD,MATCH(P613,TZ_STN,0))))/24</f>
        <v>46322.9340277778</v>
      </c>
      <c r="S613" s="59" t="n">
        <f aca="false">IF(ISNUMBER(Flights!$AZ$22),MAX(Q613-UpliftWindowH/24,Flights!$AZ$22),Q613-UpliftWindowH/24)</f>
        <v>46322.3506944444</v>
      </c>
      <c r="T613" s="60"/>
      <c r="U613" s="60"/>
      <c r="V613" s="60"/>
      <c r="W613" s="61"/>
      <c r="X613" s="60"/>
      <c r="Y613" s="60"/>
      <c r="Z613" s="60"/>
      <c r="AA613" s="60"/>
      <c r="AB613" s="60"/>
      <c r="AC613" s="60"/>
      <c r="AD613" s="66"/>
      <c r="AE613" s="60"/>
      <c r="AF613" s="61" t="str">
        <f aca="false">IF(AND(ISNUMBER(X613),ISNUMBER(Y613)),Y613-X613,"")</f>
        <v/>
      </c>
      <c r="AG613" s="62" t="str">
        <f aca="false">IF(ISNUMBER(AD613),AD613-(IF(AND(INDEX(TZ_DSTS,MATCH(P613,TZ_STN,0))&lt;&gt;"",(AD613-INDEX(TZ_STD,MATCH(P613,TZ_STN,0))/24)&gt;=INDEX(TZ_DSTS,MATCH(P613,TZ_STN,0)),(AD613-INDEX(TZ_STD,MATCH(P613,TZ_STN,0))/24)&lt;INDEX(TZ_DSTE,MATCH(P613,TZ_STN,0))),INDEX(TZ_DST,MATCH(P613,TZ_STN,0)),INDEX(TZ_STD,MATCH(P613,TZ_STN,0))))/24,"")</f>
        <v/>
      </c>
      <c r="AH613" s="65" t="str">
        <f aca="false">IFERROR(IF(N613="N/A – rule","N/A – RULE",IF(TRIM(U613)="N/A",IF(AT613=0,"INVALID – N/A not permitted for this check",IF(AND(TRIM(AB613)&lt;&gt;"",TRIM(AB613)&lt;&gt;"Closed"),"INVALID – corrective action still open",IF(AND(NOT(OR(LEN(AZ613)&lt;15,ISNUMBER(MATCH(AZ613,L_Placeholder,0)))),NOT(OR(LEN(AU613)&lt;2,ISNUMBER(MATCH(AU613,L_Placeholder,0)))),NOT(OR(LEN(AX613)&lt;2,ISNUMBER(MATCH(AX613,L_Placeholder,0)))),TRIM(AE613)&lt;&gt;TRIM(T613)),"N/A – JUSTIFIED","INVALID – N/A needs a real justification (15+ chars), PIC and a different verifier"))),IF(OR(TRIM(U613)="Pass",TRIM(U613)="Pass after CA"),IF(NOT(ISNUMBER(AD613)),"INVALID – completion time missing",IF(OR(LEN(AU613)&lt;2,ISNUMBER(MATCH(AU613,L_Placeholder,0))),"INVALID – PIC missing",IF(OR(LEN(AV613)&lt;2,ISNUMBER(MATCH(AV613,L_Placeholder,0))),"INVALID – result / assessment missing",IF(OR(OR(LEN(AW613)&lt;3,ISNUMBER(MATCH(AW613,L_Placeholder,0))),SUMPRODUCT(--ISNUMBER(SEARCH(L_EvidencePhrase,AW613)))&gt;0),"INVALID – evidence missing, placeholder or not yet on file",IF(OR(LEN(AX613)&lt;2,ISNUMBER(MATCH(AX613,L_Placeholder,0))),"INVALID – verifier missing",IF(AX613=AU613,"INVALID – verifier must be someone other than the PIC",IF(AND(TRIM(U613)="Pass",SUMPRODUCT(--ISNUMBER(SEARCH(L_ResultBad,AV613)))&gt;0),"INVALID – result describes a problem: use Fail, then Pass after CA",IF(AND(AQ613=1,OR(LEN(AY613)&lt;3,ISNUMBER(MATCH(AY613,L_Placeholder,0)))),"INVALID – batch ID missing or placeholder",IF(AND(AR613=1,OR(NOT(ISNUMBER(X613)),NOT(ISNUMBER(Y613)))),"INVALID – expected/actual qty missing",IF(AND(AR613=1,OR(X613&lt;=0,Y613&lt;0)),"INVALID – expected qty must be above 0 and actual not negative",IF(AH598="N/A – JUSTIFIED","INVALID – preparation row F18-T12-15 is N/A",IF(AND(AR613=1,ISNUMBER(X598),X613&lt;&gt;X598),"INVALID – expected qty differs from preparation check F18-T12-15",IF(BB613&lt;&gt;"",BB613,IF(AND(AS613=1,Documents!$J$22&lt;&gt;"ON FILE"),"INVALID – GLD not on file (Documents sheet)",IF(AND(AS613=2,Documents!$O$22&lt;&gt;"ON FILE"),"INVALID – menu checklist not on file (Documents sheet)",IF(AND(AS613=3,NOT(ISNUMBER(Flights!$AX$22))),"INVALID – enter carrying flight KUL departure (Flights AX)",IF(AND(AS613=3,OR(Flights!$AZ$22&gt;Flights!$AA$22,Flights!$AX$22&lt;Flights!$AA$22-3)),"INVALID – carrying flight (Flights AX) cannot arrive before this leg's STD, or is over 3 days early",IF(AG613&gt;AsOfUTC,"INVALID – completion time is in the future",IF(AND(ISNUMBER(S613),AG613&lt;S613),IF(H613="Physical uplift","INVALID – before uplift window (cannot confirm loading)","INVALID – before valid window"),IF(AG613&gt;Flights!$AA$22,"INVALID – completed after departure (cannot establish readiness)",IF(AND(H613="Preparation",AG613&gt;IF(ISNUMBER(Flights!$BA$22),MIN(Flights!$BA$22,Flights!$AA$22),Flights!$AA$22)),"INVALID – completed after loading / departure (cannot establish readiness)",IF(AND(H613="Physical uplift",AG613&gt;Q613),"INVALID – recorded after the loading flight departed",IF(AG613&gt;Q613,"COMPLETE – LATE","COMPLETE"))))))))))))))))))))))),IF(TRIM(U613)="Fail","FAIL – DISCREPANCY",IF(AND(TRIM(U613)&lt;&gt;"",TRIM(U613)&lt;&gt;"Not started",TRIM(U613)&lt;&gt;"In progress"),"INVALID – unrecognised status (use the list)",IF(AsOfUTC&gt;Q613,"OVERDUE",IF(N613="Clarification required","OPEN – CLARIFICATION","OPEN"))))))),"INVALID – error value in an input cell")</f>
        <v>OPEN</v>
      </c>
      <c r="AI613" s="61" t="n">
        <f aca="false">IF(OR(AH613="N/A – RULE",AH613="N/A – JUSTIFIED"),0,1)</f>
        <v>1</v>
      </c>
      <c r="AJ613" s="61" t="n">
        <f aca="false">IF(LEFT(AH613,8)="COMPLETE",1,0)</f>
        <v>0</v>
      </c>
      <c r="AK613" s="61" t="n">
        <f aca="false">IF(AND(AI613=1,AJ613=0,AsOfUTC&gt;Q613),1,0)</f>
        <v>0</v>
      </c>
      <c r="AL613" s="61" t="n">
        <f aca="false">IFERROR(IF(AND(AI613=1,OR(TRIM(U613)="Fail",AND(TRIM(AB613)&lt;&gt;"",TRIM(AB613)&lt;&gt;"Closed"),AND(ISNUMBER(AF613),AF613&lt;&gt;0,TRIM(U613)&lt;&gt;"Pass after CA"))),1,0),1)</f>
        <v>0</v>
      </c>
      <c r="AM613" s="61" t="n">
        <f aca="false">IF(LEFT(AH613,7)="INVALID",1,0)</f>
        <v>0</v>
      </c>
      <c r="AN613" s="61" t="n">
        <f aca="false">IF(AND(N613="Clarification required",AI613=1,AJ613=0),1,0)</f>
        <v>0</v>
      </c>
      <c r="AO613" s="61" t="str">
        <f aca="false">IF(AK613=1,SUM(AK$5:AK613),"")</f>
        <v/>
      </c>
      <c r="AP613" s="61" t="str">
        <f aca="false">IF(AL613=1,SUM(AL$5:AL613),"")</f>
        <v/>
      </c>
      <c r="AQ613" s="61" t="n">
        <v>0</v>
      </c>
      <c r="AR613" s="61" t="n">
        <v>0</v>
      </c>
      <c r="AS613" s="61" t="n">
        <v>0</v>
      </c>
      <c r="AT613" s="61" t="n">
        <v>0</v>
      </c>
      <c r="AU613" s="61" t="str">
        <f aca="false">SUBSTITUTE(SUBSTITUTE(SUBSTITUTE(SUBSTITUTE(SUBSTITUTE(SUBSTITUTE(SUBSTITUTE(SUBSTITUTE(SUBSTITUTE(SUBSTITUTE(SUBSTITUTE(SUBSTITUTE(SUBSTITUTE(LOWER(T613&amp;""),CHAR(160),"")," ",""),".",""),"-",""),"/",""),"?",""),"_",""),",",""),"[",""),"]",""),"(",""),")",""),"*","")</f>
        <v/>
      </c>
      <c r="AV613" s="61" t="str">
        <f aca="false">SUBSTITUTE(SUBSTITUTE(SUBSTITUTE(SUBSTITUTE(SUBSTITUTE(SUBSTITUTE(SUBSTITUTE(SUBSTITUTE(SUBSTITUTE(SUBSTITUTE(SUBSTITUTE(SUBSTITUTE(SUBSTITUTE(LOWER(V613&amp;""),CHAR(160),"")," ",""),".",""),"-",""),"/",""),"?",""),"_",""),",",""),"[",""),"]",""),"(",""),")",""),"*","")</f>
        <v/>
      </c>
      <c r="AW613" s="61" t="str">
        <f aca="false">SUBSTITUTE(SUBSTITUTE(SUBSTITUTE(SUBSTITUTE(SUBSTITUTE(SUBSTITUTE(SUBSTITUTE(SUBSTITUTE(SUBSTITUTE(SUBSTITUTE(SUBSTITUTE(SUBSTITUTE(SUBSTITUTE(LOWER(Z613&amp;""),CHAR(160),"")," ",""),".",""),"-",""),"/",""),"?",""),"_",""),",",""),"[",""),"]",""),"(",""),")",""),"*","")</f>
        <v/>
      </c>
      <c r="AX613" s="61" t="str">
        <f aca="false">SUBSTITUTE(SUBSTITUTE(SUBSTITUTE(SUBSTITUTE(SUBSTITUTE(SUBSTITUTE(SUBSTITUTE(SUBSTITUTE(SUBSTITUTE(SUBSTITUTE(SUBSTITUTE(SUBSTITUTE(SUBSTITUTE(LOWER(AE613&amp;""),CHAR(160),"")," ",""),".",""),"-",""),"/",""),"?",""),"_",""),",",""),"[",""),"]",""),"(",""),")",""),"*","")</f>
        <v/>
      </c>
      <c r="AY613" s="61" t="str">
        <f aca="false">SUBSTITUTE(SUBSTITUTE(SUBSTITUTE(SUBSTITUTE(SUBSTITUTE(SUBSTITUTE(SUBSTITUTE(SUBSTITUTE(SUBSTITUTE(SUBSTITUTE(SUBSTITUTE(SUBSTITUTE(SUBSTITUTE(LOWER(W613&amp;""),CHAR(160),"")," ",""),".",""),"-",""),"/",""),"?",""),"_",""),",",""),"[",""),"]",""),"(",""),")",""),"*","")</f>
        <v/>
      </c>
      <c r="AZ613" s="61" t="str">
        <f aca="false">SUBSTITUTE(SUBSTITUTE(SUBSTITUTE(SUBSTITUTE(SUBSTITUTE(SUBSTITUTE(SUBSTITUTE(SUBSTITUTE(SUBSTITUTE(SUBSTITUTE(SUBSTITUTE(SUBSTITUTE(SUBSTITUTE(LOWER(AC613&amp;""),CHAR(160),"")," ",""),".",""),"-",""),"/",""),"?",""),"_",""),",",""),"[",""),"]",""),"(",""),")",""),"*","")</f>
        <v/>
      </c>
      <c r="BA613" s="61" t="str">
        <f aca="false">SUBSTITUTE(SUBSTITUTE(SUBSTITUTE(SUBSTITUTE(SUBSTITUTE(SUBSTITUTE(SUBSTITUTE(SUBSTITUTE(SUBSTITUTE(SUBSTITUTE(SUBSTITUTE(SUBSTITUTE(SUBSTITUTE(LOWER(AA613&amp;""),CHAR(160),"")," ",""),".",""),"-",""),"/",""),"?",""),"_",""),",",""),"[",""),"]",""),"(",""),")",""),"*","")</f>
        <v/>
      </c>
      <c r="BB613" s="61" t="str">
        <f aca="false">IF(AND(TRIM(U613)="Pass",ISNUMBER(AF613)),IF(AF613&lt;&gt;0,"INVALID – qty variance: use Fail or Pass after CA",""),"")&amp;IF(AND(TRIM(U613)="Pass after CA",ISNUMBER(AF613)),IF(AF613&lt;&gt;0,"INVALID – after the corrective action the actual qty must equal expected (update Actual)",""),"")&amp;IF(AND(TRIM(U613)="Pass",TRIM(AB613)&lt;&gt;"",TRIM(AB613)&lt;&gt;"Closed"),"INVALID – corrective action not closed: use Fail, then Pass after CA","")&amp;IF(AND(TRIM(AA613)&lt;&gt;"",TRIM(AB613)=""),"INVALID – CA status missing for the recorded corrective action","")&amp;IF(AND(TRIM(U613)="Pass after CA",OR(OR(LEN(BA613)&lt;5,ISNUMBER(MATCH(BA613,L_Placeholder,0))),TRIM(AB613)&lt;&gt;"Closed")),"INVALID – corrective action not recorded/closed","")</f>
        <v/>
      </c>
    </row>
    <row r="614" customFormat="false" ht="39.75" hidden="false" customHeight="true" outlineLevel="0" collapsed="false">
      <c r="A614" s="57" t="s">
        <v>1301</v>
      </c>
      <c r="B614" s="57" t="s">
        <v>290</v>
      </c>
      <c r="C614" s="57" t="str">
        <f aca="false">Flights!$F$22</f>
        <v>MH0052</v>
      </c>
      <c r="D614" s="58" t="n">
        <f aca="false">Flights!$D$22</f>
        <v>46322</v>
      </c>
      <c r="E614" s="57" t="str">
        <f aca="false">Flights!$G$22&amp;"-"&amp;Flights!$H$22</f>
        <v>KUL-KIX</v>
      </c>
      <c r="F614" s="57" t="str">
        <f aca="false">Flights!$K$22</f>
        <v>BC</v>
      </c>
      <c r="G614" s="57" t="s">
        <v>437</v>
      </c>
      <c r="H614" s="57" t="s">
        <v>438</v>
      </c>
      <c r="I614" s="57" t="s">
        <v>425</v>
      </c>
      <c r="J614" s="57" t="s">
        <v>531</v>
      </c>
      <c r="K614" s="67" t="s">
        <v>427</v>
      </c>
      <c r="L614" s="67" t="s">
        <v>1280</v>
      </c>
      <c r="M614" s="67" t="s">
        <v>429</v>
      </c>
      <c r="N614" s="67" t="s">
        <v>361</v>
      </c>
      <c r="O614" s="67"/>
      <c r="P614" s="57" t="s">
        <v>184</v>
      </c>
      <c r="Q614" s="59" t="n">
        <f aca="false">ROUND((Flights!$AF$22)*1440,0)/1440</f>
        <v>46322.6006944444</v>
      </c>
      <c r="R614" s="59" t="n">
        <f aca="false">Q614+(IF(AND(INDEX(TZ_DSTS,MATCH(P614,TZ_STN,0))&lt;&gt;"",Q614&gt;=INDEX(TZ_DSTS,MATCH(P614,TZ_STN,0)),Q614&lt;INDEX(TZ_DSTE,MATCH(P614,TZ_STN,0))),INDEX(TZ_DST,MATCH(P614,TZ_STN,0)),INDEX(TZ_STD,MATCH(P614,TZ_STN,0))))/24</f>
        <v>46322.9340277778</v>
      </c>
      <c r="S614" s="59" t="n">
        <f aca="false">IF(ISNUMBER(Flights!$AZ$22),MAX(Q614-UpliftWindowH/24,Flights!$AZ$22),Q614-UpliftWindowH/24)</f>
        <v>46322.3506944444</v>
      </c>
      <c r="T614" s="60"/>
      <c r="U614" s="60"/>
      <c r="V614" s="60"/>
      <c r="W614" s="61"/>
      <c r="X614" s="60"/>
      <c r="Y614" s="60"/>
      <c r="Z614" s="60"/>
      <c r="AA614" s="60"/>
      <c r="AB614" s="60"/>
      <c r="AC614" s="60"/>
      <c r="AD614" s="66"/>
      <c r="AE614" s="60"/>
      <c r="AF614" s="61" t="str">
        <f aca="false">IF(AND(ISNUMBER(X614),ISNUMBER(Y614)),Y614-X614,"")</f>
        <v/>
      </c>
      <c r="AG614" s="62" t="str">
        <f aca="false">IF(ISNUMBER(AD614),AD614-(IF(AND(INDEX(TZ_DSTS,MATCH(P614,TZ_STN,0))&lt;&gt;"",(AD614-INDEX(TZ_STD,MATCH(P614,TZ_STN,0))/24)&gt;=INDEX(TZ_DSTS,MATCH(P614,TZ_STN,0)),(AD614-INDEX(TZ_STD,MATCH(P614,TZ_STN,0))/24)&lt;INDEX(TZ_DSTE,MATCH(P614,TZ_STN,0))),INDEX(TZ_DST,MATCH(P614,TZ_STN,0)),INDEX(TZ_STD,MATCH(P614,TZ_STN,0))))/24,"")</f>
        <v/>
      </c>
      <c r="AH614" s="65" t="str">
        <f aca="false">IFERROR(IF(N614="N/A – rule","N/A – RULE",IF(TRIM(U614)="N/A",IF(AT614=0,"INVALID – N/A not permitted for this check",IF(AND(TRIM(AB614)&lt;&gt;"",TRIM(AB614)&lt;&gt;"Closed"),"INVALID – corrective action still open",IF(AND(NOT(OR(LEN(AZ614)&lt;15,ISNUMBER(MATCH(AZ614,L_Placeholder,0)))),NOT(OR(LEN(AU614)&lt;2,ISNUMBER(MATCH(AU614,L_Placeholder,0)))),NOT(OR(LEN(AX614)&lt;2,ISNUMBER(MATCH(AX614,L_Placeholder,0)))),TRIM(AE614)&lt;&gt;TRIM(T614)),"N/A – JUSTIFIED","INVALID – N/A needs a real justification (15+ chars), PIC and a different verifier"))),IF(OR(TRIM(U614)="Pass",TRIM(U614)="Pass after CA"),IF(NOT(ISNUMBER(AD614)),"INVALID – completion time missing",IF(OR(LEN(AU614)&lt;2,ISNUMBER(MATCH(AU614,L_Placeholder,0))),"INVALID – PIC missing",IF(OR(LEN(AV614)&lt;2,ISNUMBER(MATCH(AV614,L_Placeholder,0))),"INVALID – result / assessment missing",IF(OR(OR(LEN(AW614)&lt;3,ISNUMBER(MATCH(AW614,L_Placeholder,0))),SUMPRODUCT(--ISNUMBER(SEARCH(L_EvidencePhrase,AW614)))&gt;0),"INVALID – evidence missing, placeholder or not yet on file",IF(OR(LEN(AX614)&lt;2,ISNUMBER(MATCH(AX614,L_Placeholder,0))),"INVALID – verifier missing",IF(AX614=AU614,"INVALID – verifier must be someone other than the PIC",IF(AND(TRIM(U614)="Pass",SUMPRODUCT(--ISNUMBER(SEARCH(L_ResultBad,AV614)))&gt;0),"INVALID – result describes a problem: use Fail, then Pass after CA",IF(AND(AQ614=1,OR(LEN(AY614)&lt;3,ISNUMBER(MATCH(AY614,L_Placeholder,0)))),"INVALID – batch ID missing or placeholder",IF(AND(AR614=1,OR(NOT(ISNUMBER(X614)),NOT(ISNUMBER(Y614)))),"INVALID – expected/actual qty missing",IF(AND(AR614=1,OR(X614&lt;=0,Y614&lt;0)),"INVALID – expected qty must be above 0 and actual not negative",IF(AH599="N/A – JUSTIFIED","INVALID – preparation row F18-T12-16 is N/A",IF(AND(AR614=1,ISNUMBER(X599),X614&lt;&gt;X599),"INVALID – expected qty differs from preparation check F18-T12-16",IF(BB614&lt;&gt;"",BB614,IF(AND(AS614=1,Documents!$J$22&lt;&gt;"ON FILE"),"INVALID – GLD not on file (Documents sheet)",IF(AND(AS614=2,Documents!$O$22&lt;&gt;"ON FILE"),"INVALID – menu checklist not on file (Documents sheet)",IF(AND(AS614=3,NOT(ISNUMBER(Flights!$AX$22))),"INVALID – enter carrying flight KUL departure (Flights AX)",IF(AND(AS614=3,OR(Flights!$AZ$22&gt;Flights!$AA$22,Flights!$AX$22&lt;Flights!$AA$22-3)),"INVALID – carrying flight (Flights AX) cannot arrive before this leg's STD, or is over 3 days early",IF(AG614&gt;AsOfUTC,"INVALID – completion time is in the future",IF(AND(ISNUMBER(S614),AG614&lt;S614),IF(H614="Physical uplift","INVALID – before uplift window (cannot confirm loading)","INVALID – before valid window"),IF(AG614&gt;Flights!$AA$22,"INVALID – completed after departure (cannot establish readiness)",IF(AND(H614="Preparation",AG614&gt;IF(ISNUMBER(Flights!$BA$22),MIN(Flights!$BA$22,Flights!$AA$22),Flights!$AA$22)),"INVALID – completed after loading / departure (cannot establish readiness)",IF(AND(H614="Physical uplift",AG614&gt;Q614),"INVALID – recorded after the loading flight departed",IF(AG614&gt;Q614,"COMPLETE – LATE","COMPLETE"))))))))))))))))))))))),IF(TRIM(U614)="Fail","FAIL – DISCREPANCY",IF(AND(TRIM(U614)&lt;&gt;"",TRIM(U614)&lt;&gt;"Not started",TRIM(U614)&lt;&gt;"In progress"),"INVALID – unrecognised status (use the list)",IF(AsOfUTC&gt;Q614,"OVERDUE",IF(N614="Clarification required","OPEN – CLARIFICATION","OPEN"))))))),"INVALID – error value in an input cell")</f>
        <v>OPEN</v>
      </c>
      <c r="AI614" s="61" t="n">
        <f aca="false">IF(OR(AH614="N/A – RULE",AH614="N/A – JUSTIFIED"),0,1)</f>
        <v>1</v>
      </c>
      <c r="AJ614" s="61" t="n">
        <f aca="false">IF(LEFT(AH614,8)="COMPLETE",1,0)</f>
        <v>0</v>
      </c>
      <c r="AK614" s="61" t="n">
        <f aca="false">IF(AND(AI614=1,AJ614=0,AsOfUTC&gt;Q614),1,0)</f>
        <v>0</v>
      </c>
      <c r="AL614" s="61" t="n">
        <f aca="false">IFERROR(IF(AND(AI614=1,OR(TRIM(U614)="Fail",AND(TRIM(AB614)&lt;&gt;"",TRIM(AB614)&lt;&gt;"Closed"),AND(ISNUMBER(AF614),AF614&lt;&gt;0,TRIM(U614)&lt;&gt;"Pass after CA"))),1,0),1)</f>
        <v>0</v>
      </c>
      <c r="AM614" s="61" t="n">
        <f aca="false">IF(LEFT(AH614,7)="INVALID",1,0)</f>
        <v>0</v>
      </c>
      <c r="AN614" s="61" t="n">
        <f aca="false">IF(AND(N614="Clarification required",AI614=1,AJ614=0),1,0)</f>
        <v>0</v>
      </c>
      <c r="AO614" s="61" t="str">
        <f aca="false">IF(AK614=1,SUM(AK$5:AK614),"")</f>
        <v/>
      </c>
      <c r="AP614" s="61" t="str">
        <f aca="false">IF(AL614=1,SUM(AL$5:AL614),"")</f>
        <v/>
      </c>
      <c r="AQ614" s="61" t="n">
        <v>0</v>
      </c>
      <c r="AR614" s="61" t="n">
        <v>0</v>
      </c>
      <c r="AS614" s="61" t="n">
        <v>0</v>
      </c>
      <c r="AT614" s="61" t="n">
        <v>0</v>
      </c>
      <c r="AU614" s="61" t="str">
        <f aca="false">SUBSTITUTE(SUBSTITUTE(SUBSTITUTE(SUBSTITUTE(SUBSTITUTE(SUBSTITUTE(SUBSTITUTE(SUBSTITUTE(SUBSTITUTE(SUBSTITUTE(SUBSTITUTE(SUBSTITUTE(SUBSTITUTE(LOWER(T614&amp;""),CHAR(160),"")," ",""),".",""),"-",""),"/",""),"?",""),"_",""),",",""),"[",""),"]",""),"(",""),")",""),"*","")</f>
        <v/>
      </c>
      <c r="AV614" s="61" t="str">
        <f aca="false">SUBSTITUTE(SUBSTITUTE(SUBSTITUTE(SUBSTITUTE(SUBSTITUTE(SUBSTITUTE(SUBSTITUTE(SUBSTITUTE(SUBSTITUTE(SUBSTITUTE(SUBSTITUTE(SUBSTITUTE(SUBSTITUTE(LOWER(V614&amp;""),CHAR(160),"")," ",""),".",""),"-",""),"/",""),"?",""),"_",""),",",""),"[",""),"]",""),"(",""),")",""),"*","")</f>
        <v/>
      </c>
      <c r="AW614" s="61" t="str">
        <f aca="false">SUBSTITUTE(SUBSTITUTE(SUBSTITUTE(SUBSTITUTE(SUBSTITUTE(SUBSTITUTE(SUBSTITUTE(SUBSTITUTE(SUBSTITUTE(SUBSTITUTE(SUBSTITUTE(SUBSTITUTE(SUBSTITUTE(LOWER(Z614&amp;""),CHAR(160),"")," ",""),".",""),"-",""),"/",""),"?",""),"_",""),",",""),"[",""),"]",""),"(",""),")",""),"*","")</f>
        <v/>
      </c>
      <c r="AX614" s="61" t="str">
        <f aca="false">SUBSTITUTE(SUBSTITUTE(SUBSTITUTE(SUBSTITUTE(SUBSTITUTE(SUBSTITUTE(SUBSTITUTE(SUBSTITUTE(SUBSTITUTE(SUBSTITUTE(SUBSTITUTE(SUBSTITUTE(SUBSTITUTE(LOWER(AE614&amp;""),CHAR(160),"")," ",""),".",""),"-",""),"/",""),"?",""),"_",""),",",""),"[",""),"]",""),"(",""),")",""),"*","")</f>
        <v/>
      </c>
      <c r="AY614" s="61" t="str">
        <f aca="false">SUBSTITUTE(SUBSTITUTE(SUBSTITUTE(SUBSTITUTE(SUBSTITUTE(SUBSTITUTE(SUBSTITUTE(SUBSTITUTE(SUBSTITUTE(SUBSTITUTE(SUBSTITUTE(SUBSTITUTE(SUBSTITUTE(LOWER(W614&amp;""),CHAR(160),"")," ",""),".",""),"-",""),"/",""),"?",""),"_",""),",",""),"[",""),"]",""),"(",""),")",""),"*","")</f>
        <v/>
      </c>
      <c r="AZ614" s="61" t="str">
        <f aca="false">SUBSTITUTE(SUBSTITUTE(SUBSTITUTE(SUBSTITUTE(SUBSTITUTE(SUBSTITUTE(SUBSTITUTE(SUBSTITUTE(SUBSTITUTE(SUBSTITUTE(SUBSTITUTE(SUBSTITUTE(SUBSTITUTE(LOWER(AC614&amp;""),CHAR(160),"")," ",""),".",""),"-",""),"/",""),"?",""),"_",""),",",""),"[",""),"]",""),"(",""),")",""),"*","")</f>
        <v/>
      </c>
      <c r="BA614" s="61" t="str">
        <f aca="false">SUBSTITUTE(SUBSTITUTE(SUBSTITUTE(SUBSTITUTE(SUBSTITUTE(SUBSTITUTE(SUBSTITUTE(SUBSTITUTE(SUBSTITUTE(SUBSTITUTE(SUBSTITUTE(SUBSTITUTE(SUBSTITUTE(LOWER(AA614&amp;""),CHAR(160),"")," ",""),".",""),"-",""),"/",""),"?",""),"_",""),",",""),"[",""),"]",""),"(",""),")",""),"*","")</f>
        <v/>
      </c>
      <c r="BB614" s="61" t="str">
        <f aca="false">IF(AND(TRIM(U614)="Pass",ISNUMBER(AF614)),IF(AF614&lt;&gt;0,"INVALID – qty variance: use Fail or Pass after CA",""),"")&amp;IF(AND(TRIM(U614)="Pass after CA",ISNUMBER(AF614)),IF(AF614&lt;&gt;0,"INVALID – after the corrective action the actual qty must equal expected (update Actual)",""),"")&amp;IF(AND(TRIM(U614)="Pass",TRIM(AB614)&lt;&gt;"",TRIM(AB614)&lt;&gt;"Closed"),"INVALID – corrective action not closed: use Fail, then Pass after CA","")&amp;IF(AND(TRIM(AA614)&lt;&gt;"",TRIM(AB614)=""),"INVALID – CA status missing for the recorded corrective action","")&amp;IF(AND(TRIM(U614)="Pass after CA",OR(OR(LEN(BA614)&lt;5,ISNUMBER(MATCH(BA614,L_Placeholder,0))),TRIM(AB614)&lt;&gt;"Closed")),"INVALID – corrective action not recorded/closed","")</f>
        <v/>
      </c>
    </row>
    <row r="615" customFormat="false" ht="39.75" hidden="false" customHeight="true" outlineLevel="0" collapsed="false">
      <c r="A615" s="57" t="s">
        <v>1302</v>
      </c>
      <c r="B615" s="57" t="s">
        <v>290</v>
      </c>
      <c r="C615" s="57" t="str">
        <f aca="false">Flights!$F$22</f>
        <v>MH0052</v>
      </c>
      <c r="D615" s="58" t="n">
        <f aca="false">Flights!$D$22</f>
        <v>46322</v>
      </c>
      <c r="E615" s="57" t="str">
        <f aca="false">Flights!$G$22&amp;"-"&amp;Flights!$H$22</f>
        <v>KUL-KIX</v>
      </c>
      <c r="F615" s="57" t="str">
        <f aca="false">Flights!$K$22</f>
        <v>BC</v>
      </c>
      <c r="G615" s="57" t="s">
        <v>437</v>
      </c>
      <c r="H615" s="57" t="s">
        <v>438</v>
      </c>
      <c r="I615" s="57" t="s">
        <v>425</v>
      </c>
      <c r="J615" s="57" t="s">
        <v>631</v>
      </c>
      <c r="K615" s="67" t="s">
        <v>427</v>
      </c>
      <c r="L615" s="67" t="s">
        <v>1282</v>
      </c>
      <c r="M615" s="67" t="s">
        <v>429</v>
      </c>
      <c r="N615" s="67" t="s">
        <v>361</v>
      </c>
      <c r="O615" s="67"/>
      <c r="P615" s="57" t="s">
        <v>184</v>
      </c>
      <c r="Q615" s="59" t="n">
        <f aca="false">ROUND((Flights!$AF$22)*1440,0)/1440</f>
        <v>46322.6006944444</v>
      </c>
      <c r="R615" s="59" t="n">
        <f aca="false">Q615+(IF(AND(INDEX(TZ_DSTS,MATCH(P615,TZ_STN,0))&lt;&gt;"",Q615&gt;=INDEX(TZ_DSTS,MATCH(P615,TZ_STN,0)),Q615&lt;INDEX(TZ_DSTE,MATCH(P615,TZ_STN,0))),INDEX(TZ_DST,MATCH(P615,TZ_STN,0)),INDEX(TZ_STD,MATCH(P615,TZ_STN,0))))/24</f>
        <v>46322.9340277778</v>
      </c>
      <c r="S615" s="59" t="n">
        <f aca="false">IF(ISNUMBER(Flights!$AZ$22),MAX(Q615-UpliftWindowH/24,Flights!$AZ$22),Q615-UpliftWindowH/24)</f>
        <v>46322.3506944444</v>
      </c>
      <c r="T615" s="60"/>
      <c r="U615" s="60"/>
      <c r="V615" s="60"/>
      <c r="W615" s="61"/>
      <c r="X615" s="60"/>
      <c r="Y615" s="60"/>
      <c r="Z615" s="60"/>
      <c r="AA615" s="60"/>
      <c r="AB615" s="60"/>
      <c r="AC615" s="60"/>
      <c r="AD615" s="66"/>
      <c r="AE615" s="60"/>
      <c r="AF615" s="61" t="str">
        <f aca="false">IF(AND(ISNUMBER(X615),ISNUMBER(Y615)),Y615-X615,"")</f>
        <v/>
      </c>
      <c r="AG615" s="62" t="str">
        <f aca="false">IF(ISNUMBER(AD615),AD615-(IF(AND(INDEX(TZ_DSTS,MATCH(P615,TZ_STN,0))&lt;&gt;"",(AD615-INDEX(TZ_STD,MATCH(P615,TZ_STN,0))/24)&gt;=INDEX(TZ_DSTS,MATCH(P615,TZ_STN,0)),(AD615-INDEX(TZ_STD,MATCH(P615,TZ_STN,0))/24)&lt;INDEX(TZ_DSTE,MATCH(P615,TZ_STN,0))),INDEX(TZ_DST,MATCH(P615,TZ_STN,0)),INDEX(TZ_STD,MATCH(P615,TZ_STN,0))))/24,"")</f>
        <v/>
      </c>
      <c r="AH615" s="65" t="str">
        <f aca="false">IFERROR(IF(N615="N/A – rule","N/A – RULE",IF(TRIM(U615)="N/A",IF(AT615=0,"INVALID – N/A not permitted for this check",IF(AND(TRIM(AB615)&lt;&gt;"",TRIM(AB615)&lt;&gt;"Closed"),"INVALID – corrective action still open",IF(AND(NOT(OR(LEN(AZ615)&lt;15,ISNUMBER(MATCH(AZ615,L_Placeholder,0)))),NOT(OR(LEN(AU615)&lt;2,ISNUMBER(MATCH(AU615,L_Placeholder,0)))),NOT(OR(LEN(AX615)&lt;2,ISNUMBER(MATCH(AX615,L_Placeholder,0)))),TRIM(AE615)&lt;&gt;TRIM(T615)),"N/A – JUSTIFIED","INVALID – N/A needs a real justification (15+ chars), PIC and a different verifier"))),IF(OR(TRIM(U615)="Pass",TRIM(U615)="Pass after CA"),IF(NOT(ISNUMBER(AD615)),"INVALID – completion time missing",IF(OR(LEN(AU615)&lt;2,ISNUMBER(MATCH(AU615,L_Placeholder,0))),"INVALID – PIC missing",IF(OR(LEN(AV615)&lt;2,ISNUMBER(MATCH(AV615,L_Placeholder,0))),"INVALID – result / assessment missing",IF(OR(OR(LEN(AW615)&lt;3,ISNUMBER(MATCH(AW615,L_Placeholder,0))),SUMPRODUCT(--ISNUMBER(SEARCH(L_EvidencePhrase,AW615)))&gt;0),"INVALID – evidence missing, placeholder or not yet on file",IF(OR(LEN(AX615)&lt;2,ISNUMBER(MATCH(AX615,L_Placeholder,0))),"INVALID – verifier missing",IF(AX615=AU615,"INVALID – verifier must be someone other than the PIC",IF(AND(TRIM(U615)="Pass",SUMPRODUCT(--ISNUMBER(SEARCH(L_ResultBad,AV615)))&gt;0),"INVALID – result describes a problem: use Fail, then Pass after CA",IF(AND(AQ615=1,OR(LEN(AY615)&lt;3,ISNUMBER(MATCH(AY615,L_Placeholder,0)))),"INVALID – batch ID missing or placeholder",IF(AND(AR615=1,OR(NOT(ISNUMBER(X615)),NOT(ISNUMBER(Y615)))),"INVALID – expected/actual qty missing",IF(AND(AR615=1,OR(X615&lt;=0,Y615&lt;0)),"INVALID – expected qty must be above 0 and actual not negative",IF(AH600="N/A – JUSTIFIED","INVALID – preparation row F18-T12-17 is N/A",IF(AND(AR615=1,ISNUMBER(X600),X615&lt;&gt;X600),"INVALID – expected qty differs from preparation check F18-T12-17",IF(BB615&lt;&gt;"",BB615,IF(AND(AS615=1,Documents!$J$22&lt;&gt;"ON FILE"),"INVALID – GLD not on file (Documents sheet)",IF(AND(AS615=2,Documents!$O$22&lt;&gt;"ON FILE"),"INVALID – menu checklist not on file (Documents sheet)",IF(AND(AS615=3,NOT(ISNUMBER(Flights!$AX$22))),"INVALID – enter carrying flight KUL departure (Flights AX)",IF(AND(AS615=3,OR(Flights!$AZ$22&gt;Flights!$AA$22,Flights!$AX$22&lt;Flights!$AA$22-3)),"INVALID – carrying flight (Flights AX) cannot arrive before this leg's STD, or is over 3 days early",IF(AG615&gt;AsOfUTC,"INVALID – completion time is in the future",IF(AND(ISNUMBER(S615),AG615&lt;S615),IF(H615="Physical uplift","INVALID – before uplift window (cannot confirm loading)","INVALID – before valid window"),IF(AG615&gt;Flights!$AA$22,"INVALID – completed after departure (cannot establish readiness)",IF(AND(H615="Preparation",AG615&gt;IF(ISNUMBER(Flights!$BA$22),MIN(Flights!$BA$22,Flights!$AA$22),Flights!$AA$22)),"INVALID – completed after loading / departure (cannot establish readiness)",IF(AND(H615="Physical uplift",AG615&gt;Q615),"INVALID – recorded after the loading flight departed",IF(AG615&gt;Q615,"COMPLETE – LATE","COMPLETE"))))))))))))))))))))))),IF(TRIM(U615)="Fail","FAIL – DISCREPANCY",IF(AND(TRIM(U615)&lt;&gt;"",TRIM(U615)&lt;&gt;"Not started",TRIM(U615)&lt;&gt;"In progress"),"INVALID – unrecognised status (use the list)",IF(AsOfUTC&gt;Q615,"OVERDUE",IF(N615="Clarification required","OPEN – CLARIFICATION","OPEN"))))))),"INVALID – error value in an input cell")</f>
        <v>OPEN</v>
      </c>
      <c r="AI615" s="61" t="n">
        <f aca="false">IF(OR(AH615="N/A – RULE",AH615="N/A – JUSTIFIED"),0,1)</f>
        <v>1</v>
      </c>
      <c r="AJ615" s="61" t="n">
        <f aca="false">IF(LEFT(AH615,8)="COMPLETE",1,0)</f>
        <v>0</v>
      </c>
      <c r="AK615" s="61" t="n">
        <f aca="false">IF(AND(AI615=1,AJ615=0,AsOfUTC&gt;Q615),1,0)</f>
        <v>0</v>
      </c>
      <c r="AL615" s="61" t="n">
        <f aca="false">IFERROR(IF(AND(AI615=1,OR(TRIM(U615)="Fail",AND(TRIM(AB615)&lt;&gt;"",TRIM(AB615)&lt;&gt;"Closed"),AND(ISNUMBER(AF615),AF615&lt;&gt;0,TRIM(U615)&lt;&gt;"Pass after CA"))),1,0),1)</f>
        <v>0</v>
      </c>
      <c r="AM615" s="61" t="n">
        <f aca="false">IF(LEFT(AH615,7)="INVALID",1,0)</f>
        <v>0</v>
      </c>
      <c r="AN615" s="61" t="n">
        <f aca="false">IF(AND(N615="Clarification required",AI615=1,AJ615=0),1,0)</f>
        <v>0</v>
      </c>
      <c r="AO615" s="61" t="str">
        <f aca="false">IF(AK615=1,SUM(AK$5:AK615),"")</f>
        <v/>
      </c>
      <c r="AP615" s="61" t="str">
        <f aca="false">IF(AL615=1,SUM(AL$5:AL615),"")</f>
        <v/>
      </c>
      <c r="AQ615" s="61" t="n">
        <v>0</v>
      </c>
      <c r="AR615" s="61" t="n">
        <v>0</v>
      </c>
      <c r="AS615" s="61" t="n">
        <v>0</v>
      </c>
      <c r="AT615" s="61" t="n">
        <v>0</v>
      </c>
      <c r="AU615" s="61" t="str">
        <f aca="false">SUBSTITUTE(SUBSTITUTE(SUBSTITUTE(SUBSTITUTE(SUBSTITUTE(SUBSTITUTE(SUBSTITUTE(SUBSTITUTE(SUBSTITUTE(SUBSTITUTE(SUBSTITUTE(SUBSTITUTE(SUBSTITUTE(LOWER(T615&amp;""),CHAR(160),"")," ",""),".",""),"-",""),"/",""),"?",""),"_",""),",",""),"[",""),"]",""),"(",""),")",""),"*","")</f>
        <v/>
      </c>
      <c r="AV615" s="61" t="str">
        <f aca="false">SUBSTITUTE(SUBSTITUTE(SUBSTITUTE(SUBSTITUTE(SUBSTITUTE(SUBSTITUTE(SUBSTITUTE(SUBSTITUTE(SUBSTITUTE(SUBSTITUTE(SUBSTITUTE(SUBSTITUTE(SUBSTITUTE(LOWER(V615&amp;""),CHAR(160),"")," ",""),".",""),"-",""),"/",""),"?",""),"_",""),",",""),"[",""),"]",""),"(",""),")",""),"*","")</f>
        <v/>
      </c>
      <c r="AW615" s="61" t="str">
        <f aca="false">SUBSTITUTE(SUBSTITUTE(SUBSTITUTE(SUBSTITUTE(SUBSTITUTE(SUBSTITUTE(SUBSTITUTE(SUBSTITUTE(SUBSTITUTE(SUBSTITUTE(SUBSTITUTE(SUBSTITUTE(SUBSTITUTE(LOWER(Z615&amp;""),CHAR(160),"")," ",""),".",""),"-",""),"/",""),"?",""),"_",""),",",""),"[",""),"]",""),"(",""),")",""),"*","")</f>
        <v/>
      </c>
      <c r="AX615" s="61" t="str">
        <f aca="false">SUBSTITUTE(SUBSTITUTE(SUBSTITUTE(SUBSTITUTE(SUBSTITUTE(SUBSTITUTE(SUBSTITUTE(SUBSTITUTE(SUBSTITUTE(SUBSTITUTE(SUBSTITUTE(SUBSTITUTE(SUBSTITUTE(LOWER(AE615&amp;""),CHAR(160),"")," ",""),".",""),"-",""),"/",""),"?",""),"_",""),",",""),"[",""),"]",""),"(",""),")",""),"*","")</f>
        <v/>
      </c>
      <c r="AY615" s="61" t="str">
        <f aca="false">SUBSTITUTE(SUBSTITUTE(SUBSTITUTE(SUBSTITUTE(SUBSTITUTE(SUBSTITUTE(SUBSTITUTE(SUBSTITUTE(SUBSTITUTE(SUBSTITUTE(SUBSTITUTE(SUBSTITUTE(SUBSTITUTE(LOWER(W615&amp;""),CHAR(160),"")," ",""),".",""),"-",""),"/",""),"?",""),"_",""),",",""),"[",""),"]",""),"(",""),")",""),"*","")</f>
        <v/>
      </c>
      <c r="AZ615" s="61" t="str">
        <f aca="false">SUBSTITUTE(SUBSTITUTE(SUBSTITUTE(SUBSTITUTE(SUBSTITUTE(SUBSTITUTE(SUBSTITUTE(SUBSTITUTE(SUBSTITUTE(SUBSTITUTE(SUBSTITUTE(SUBSTITUTE(SUBSTITUTE(LOWER(AC615&amp;""),CHAR(160),"")," ",""),".",""),"-",""),"/",""),"?",""),"_",""),",",""),"[",""),"]",""),"(",""),")",""),"*","")</f>
        <v/>
      </c>
      <c r="BA615" s="61" t="str">
        <f aca="false">SUBSTITUTE(SUBSTITUTE(SUBSTITUTE(SUBSTITUTE(SUBSTITUTE(SUBSTITUTE(SUBSTITUTE(SUBSTITUTE(SUBSTITUTE(SUBSTITUTE(SUBSTITUTE(SUBSTITUTE(SUBSTITUTE(LOWER(AA615&amp;""),CHAR(160),"")," ",""),".",""),"-",""),"/",""),"?",""),"_",""),",",""),"[",""),"]",""),"(",""),")",""),"*","")</f>
        <v/>
      </c>
      <c r="BB615" s="61" t="str">
        <f aca="false">IF(AND(TRIM(U615)="Pass",ISNUMBER(AF615)),IF(AF615&lt;&gt;0,"INVALID – qty variance: use Fail or Pass after CA",""),"")&amp;IF(AND(TRIM(U615)="Pass after CA",ISNUMBER(AF615)),IF(AF615&lt;&gt;0,"INVALID – after the corrective action the actual qty must equal expected (update Actual)",""),"")&amp;IF(AND(TRIM(U615)="Pass",TRIM(AB615)&lt;&gt;"",TRIM(AB615)&lt;&gt;"Closed"),"INVALID – corrective action not closed: use Fail, then Pass after CA","")&amp;IF(AND(TRIM(AA615)&lt;&gt;"",TRIM(AB615)=""),"INVALID – CA status missing for the recorded corrective action","")&amp;IF(AND(TRIM(U615)="Pass after CA",OR(OR(LEN(BA615)&lt;5,ISNUMBER(MATCH(BA615,L_Placeholder,0))),TRIM(AB615)&lt;&gt;"Closed")),"INVALID – corrective action not recorded/closed","")</f>
        <v/>
      </c>
    </row>
    <row r="616" customFormat="false" ht="39.75" hidden="false" customHeight="true" outlineLevel="0" collapsed="false">
      <c r="A616" s="57" t="s">
        <v>1303</v>
      </c>
      <c r="B616" s="57" t="s">
        <v>290</v>
      </c>
      <c r="C616" s="57" t="str">
        <f aca="false">Flights!$F$22</f>
        <v>MH0052</v>
      </c>
      <c r="D616" s="58" t="n">
        <f aca="false">Flights!$D$22</f>
        <v>46322</v>
      </c>
      <c r="E616" s="57" t="str">
        <f aca="false">Flights!$G$22&amp;"-"&amp;Flights!$H$22</f>
        <v>KUL-KIX</v>
      </c>
      <c r="F616" s="57" t="str">
        <f aca="false">Flights!$K$22</f>
        <v>BC</v>
      </c>
      <c r="G616" s="57" t="s">
        <v>437</v>
      </c>
      <c r="H616" s="57" t="s">
        <v>438</v>
      </c>
      <c r="I616" s="57" t="s">
        <v>425</v>
      </c>
      <c r="J616" s="57" t="s">
        <v>633</v>
      </c>
      <c r="K616" s="67" t="s">
        <v>427</v>
      </c>
      <c r="L616" s="67" t="s">
        <v>1284</v>
      </c>
      <c r="M616" s="67" t="s">
        <v>429</v>
      </c>
      <c r="N616" s="67" t="s">
        <v>361</v>
      </c>
      <c r="O616" s="67"/>
      <c r="P616" s="57" t="s">
        <v>184</v>
      </c>
      <c r="Q616" s="59" t="n">
        <f aca="false">ROUND((Flights!$AF$22)*1440,0)/1440</f>
        <v>46322.6006944444</v>
      </c>
      <c r="R616" s="59" t="n">
        <f aca="false">Q616+(IF(AND(INDEX(TZ_DSTS,MATCH(P616,TZ_STN,0))&lt;&gt;"",Q616&gt;=INDEX(TZ_DSTS,MATCH(P616,TZ_STN,0)),Q616&lt;INDEX(TZ_DSTE,MATCH(P616,TZ_STN,0))),INDEX(TZ_DST,MATCH(P616,TZ_STN,0)),INDEX(TZ_STD,MATCH(P616,TZ_STN,0))))/24</f>
        <v>46322.9340277778</v>
      </c>
      <c r="S616" s="59" t="n">
        <f aca="false">IF(ISNUMBER(Flights!$AZ$22),MAX(Q616-UpliftWindowH/24,Flights!$AZ$22),Q616-UpliftWindowH/24)</f>
        <v>46322.3506944444</v>
      </c>
      <c r="T616" s="60"/>
      <c r="U616" s="60"/>
      <c r="V616" s="60"/>
      <c r="W616" s="61"/>
      <c r="X616" s="60"/>
      <c r="Y616" s="60"/>
      <c r="Z616" s="60"/>
      <c r="AA616" s="60"/>
      <c r="AB616" s="60"/>
      <c r="AC616" s="60"/>
      <c r="AD616" s="66"/>
      <c r="AE616" s="60"/>
      <c r="AF616" s="61" t="str">
        <f aca="false">IF(AND(ISNUMBER(X616),ISNUMBER(Y616)),Y616-X616,"")</f>
        <v/>
      </c>
      <c r="AG616" s="62" t="str">
        <f aca="false">IF(ISNUMBER(AD616),AD616-(IF(AND(INDEX(TZ_DSTS,MATCH(P616,TZ_STN,0))&lt;&gt;"",(AD616-INDEX(TZ_STD,MATCH(P616,TZ_STN,0))/24)&gt;=INDEX(TZ_DSTS,MATCH(P616,TZ_STN,0)),(AD616-INDEX(TZ_STD,MATCH(P616,TZ_STN,0))/24)&lt;INDEX(TZ_DSTE,MATCH(P616,TZ_STN,0))),INDEX(TZ_DST,MATCH(P616,TZ_STN,0)),INDEX(TZ_STD,MATCH(P616,TZ_STN,0))))/24,"")</f>
        <v/>
      </c>
      <c r="AH616" s="65" t="str">
        <f aca="false">IFERROR(IF(N616="N/A – rule","N/A – RULE",IF(TRIM(U616)="N/A",IF(AT616=0,"INVALID – N/A not permitted for this check",IF(AND(TRIM(AB616)&lt;&gt;"",TRIM(AB616)&lt;&gt;"Closed"),"INVALID – corrective action still open",IF(AND(NOT(OR(LEN(AZ616)&lt;15,ISNUMBER(MATCH(AZ616,L_Placeholder,0)))),NOT(OR(LEN(AU616)&lt;2,ISNUMBER(MATCH(AU616,L_Placeholder,0)))),NOT(OR(LEN(AX616)&lt;2,ISNUMBER(MATCH(AX616,L_Placeholder,0)))),TRIM(AE616)&lt;&gt;TRIM(T616)),"N/A – JUSTIFIED","INVALID – N/A needs a real justification (15+ chars), PIC and a different verifier"))),IF(OR(TRIM(U616)="Pass",TRIM(U616)="Pass after CA"),IF(NOT(ISNUMBER(AD616)),"INVALID – completion time missing",IF(OR(LEN(AU616)&lt;2,ISNUMBER(MATCH(AU616,L_Placeholder,0))),"INVALID – PIC missing",IF(OR(LEN(AV616)&lt;2,ISNUMBER(MATCH(AV616,L_Placeholder,0))),"INVALID – result / assessment missing",IF(OR(OR(LEN(AW616)&lt;3,ISNUMBER(MATCH(AW616,L_Placeholder,0))),SUMPRODUCT(--ISNUMBER(SEARCH(L_EvidencePhrase,AW616)))&gt;0),"INVALID – evidence missing, placeholder or not yet on file",IF(OR(LEN(AX616)&lt;2,ISNUMBER(MATCH(AX616,L_Placeholder,0))),"INVALID – verifier missing",IF(AX616=AU616,"INVALID – verifier must be someone other than the PIC",IF(AND(TRIM(U616)="Pass",SUMPRODUCT(--ISNUMBER(SEARCH(L_ResultBad,AV616)))&gt;0),"INVALID – result describes a problem: use Fail, then Pass after CA",IF(AND(AQ616=1,OR(LEN(AY616)&lt;3,ISNUMBER(MATCH(AY616,L_Placeholder,0)))),"INVALID – batch ID missing or placeholder",IF(AND(AR616=1,OR(NOT(ISNUMBER(X616)),NOT(ISNUMBER(Y616)))),"INVALID – expected/actual qty missing",IF(AND(AR616=1,OR(X616&lt;=0,Y616&lt;0)),"INVALID – expected qty must be above 0 and actual not negative",IF(AH601="N/A – JUSTIFIED","INVALID – preparation row F18-T12-18 is N/A",IF(AND(AR616=1,ISNUMBER(X601),X616&lt;&gt;X601),"INVALID – expected qty differs from preparation check F18-T12-18",IF(BB616&lt;&gt;"",BB616,IF(AND(AS616=1,Documents!$J$22&lt;&gt;"ON FILE"),"INVALID – GLD not on file (Documents sheet)",IF(AND(AS616=2,Documents!$O$22&lt;&gt;"ON FILE"),"INVALID – menu checklist not on file (Documents sheet)",IF(AND(AS616=3,NOT(ISNUMBER(Flights!$AX$22))),"INVALID – enter carrying flight KUL departure (Flights AX)",IF(AND(AS616=3,OR(Flights!$AZ$22&gt;Flights!$AA$22,Flights!$AX$22&lt;Flights!$AA$22-3)),"INVALID – carrying flight (Flights AX) cannot arrive before this leg's STD, or is over 3 days early",IF(AG616&gt;AsOfUTC,"INVALID – completion time is in the future",IF(AND(ISNUMBER(S616),AG616&lt;S616),IF(H616="Physical uplift","INVALID – before uplift window (cannot confirm loading)","INVALID – before valid window"),IF(AG616&gt;Flights!$AA$22,"INVALID – completed after departure (cannot establish readiness)",IF(AND(H616="Preparation",AG616&gt;IF(ISNUMBER(Flights!$BA$22),MIN(Flights!$BA$22,Flights!$AA$22),Flights!$AA$22)),"INVALID – completed after loading / departure (cannot establish readiness)",IF(AND(H616="Physical uplift",AG616&gt;Q616),"INVALID – recorded after the loading flight departed",IF(AG616&gt;Q616,"COMPLETE – LATE","COMPLETE"))))))))))))))))))))))),IF(TRIM(U616)="Fail","FAIL – DISCREPANCY",IF(AND(TRIM(U616)&lt;&gt;"",TRIM(U616)&lt;&gt;"Not started",TRIM(U616)&lt;&gt;"In progress"),"INVALID – unrecognised status (use the list)",IF(AsOfUTC&gt;Q616,"OVERDUE",IF(N616="Clarification required","OPEN – CLARIFICATION","OPEN"))))))),"INVALID – error value in an input cell")</f>
        <v>OPEN</v>
      </c>
      <c r="AI616" s="61" t="n">
        <f aca="false">IF(OR(AH616="N/A – RULE",AH616="N/A – JUSTIFIED"),0,1)</f>
        <v>1</v>
      </c>
      <c r="AJ616" s="61" t="n">
        <f aca="false">IF(LEFT(AH616,8)="COMPLETE",1,0)</f>
        <v>0</v>
      </c>
      <c r="AK616" s="61" t="n">
        <f aca="false">IF(AND(AI616=1,AJ616=0,AsOfUTC&gt;Q616),1,0)</f>
        <v>0</v>
      </c>
      <c r="AL616" s="61" t="n">
        <f aca="false">IFERROR(IF(AND(AI616=1,OR(TRIM(U616)="Fail",AND(TRIM(AB616)&lt;&gt;"",TRIM(AB616)&lt;&gt;"Closed"),AND(ISNUMBER(AF616),AF616&lt;&gt;0,TRIM(U616)&lt;&gt;"Pass after CA"))),1,0),1)</f>
        <v>0</v>
      </c>
      <c r="AM616" s="61" t="n">
        <f aca="false">IF(LEFT(AH616,7)="INVALID",1,0)</f>
        <v>0</v>
      </c>
      <c r="AN616" s="61" t="n">
        <f aca="false">IF(AND(N616="Clarification required",AI616=1,AJ616=0),1,0)</f>
        <v>0</v>
      </c>
      <c r="AO616" s="61" t="str">
        <f aca="false">IF(AK616=1,SUM(AK$5:AK616),"")</f>
        <v/>
      </c>
      <c r="AP616" s="61" t="str">
        <f aca="false">IF(AL616=1,SUM(AL$5:AL616),"")</f>
        <v/>
      </c>
      <c r="AQ616" s="61" t="n">
        <v>0</v>
      </c>
      <c r="AR616" s="61" t="n">
        <v>0</v>
      </c>
      <c r="AS616" s="61" t="n">
        <v>0</v>
      </c>
      <c r="AT616" s="61" t="n">
        <v>0</v>
      </c>
      <c r="AU616" s="61" t="str">
        <f aca="false">SUBSTITUTE(SUBSTITUTE(SUBSTITUTE(SUBSTITUTE(SUBSTITUTE(SUBSTITUTE(SUBSTITUTE(SUBSTITUTE(SUBSTITUTE(SUBSTITUTE(SUBSTITUTE(SUBSTITUTE(SUBSTITUTE(LOWER(T616&amp;""),CHAR(160),"")," ",""),".",""),"-",""),"/",""),"?",""),"_",""),",",""),"[",""),"]",""),"(",""),")",""),"*","")</f>
        <v/>
      </c>
      <c r="AV616" s="61" t="str">
        <f aca="false">SUBSTITUTE(SUBSTITUTE(SUBSTITUTE(SUBSTITUTE(SUBSTITUTE(SUBSTITUTE(SUBSTITUTE(SUBSTITUTE(SUBSTITUTE(SUBSTITUTE(SUBSTITUTE(SUBSTITUTE(SUBSTITUTE(LOWER(V616&amp;""),CHAR(160),"")," ",""),".",""),"-",""),"/",""),"?",""),"_",""),",",""),"[",""),"]",""),"(",""),")",""),"*","")</f>
        <v/>
      </c>
      <c r="AW616" s="61" t="str">
        <f aca="false">SUBSTITUTE(SUBSTITUTE(SUBSTITUTE(SUBSTITUTE(SUBSTITUTE(SUBSTITUTE(SUBSTITUTE(SUBSTITUTE(SUBSTITUTE(SUBSTITUTE(SUBSTITUTE(SUBSTITUTE(SUBSTITUTE(LOWER(Z616&amp;""),CHAR(160),"")," ",""),".",""),"-",""),"/",""),"?",""),"_",""),",",""),"[",""),"]",""),"(",""),")",""),"*","")</f>
        <v/>
      </c>
      <c r="AX616" s="61" t="str">
        <f aca="false">SUBSTITUTE(SUBSTITUTE(SUBSTITUTE(SUBSTITUTE(SUBSTITUTE(SUBSTITUTE(SUBSTITUTE(SUBSTITUTE(SUBSTITUTE(SUBSTITUTE(SUBSTITUTE(SUBSTITUTE(SUBSTITUTE(LOWER(AE616&amp;""),CHAR(160),"")," ",""),".",""),"-",""),"/",""),"?",""),"_",""),",",""),"[",""),"]",""),"(",""),")",""),"*","")</f>
        <v/>
      </c>
      <c r="AY616" s="61" t="str">
        <f aca="false">SUBSTITUTE(SUBSTITUTE(SUBSTITUTE(SUBSTITUTE(SUBSTITUTE(SUBSTITUTE(SUBSTITUTE(SUBSTITUTE(SUBSTITUTE(SUBSTITUTE(SUBSTITUTE(SUBSTITUTE(SUBSTITUTE(LOWER(W616&amp;""),CHAR(160),"")," ",""),".",""),"-",""),"/",""),"?",""),"_",""),",",""),"[",""),"]",""),"(",""),")",""),"*","")</f>
        <v/>
      </c>
      <c r="AZ616" s="61" t="str">
        <f aca="false">SUBSTITUTE(SUBSTITUTE(SUBSTITUTE(SUBSTITUTE(SUBSTITUTE(SUBSTITUTE(SUBSTITUTE(SUBSTITUTE(SUBSTITUTE(SUBSTITUTE(SUBSTITUTE(SUBSTITUTE(SUBSTITUTE(LOWER(AC616&amp;""),CHAR(160),"")," ",""),".",""),"-",""),"/",""),"?",""),"_",""),",",""),"[",""),"]",""),"(",""),")",""),"*","")</f>
        <v/>
      </c>
      <c r="BA616" s="61" t="str">
        <f aca="false">SUBSTITUTE(SUBSTITUTE(SUBSTITUTE(SUBSTITUTE(SUBSTITUTE(SUBSTITUTE(SUBSTITUTE(SUBSTITUTE(SUBSTITUTE(SUBSTITUTE(SUBSTITUTE(SUBSTITUTE(SUBSTITUTE(LOWER(AA616&amp;""),CHAR(160),"")," ",""),".",""),"-",""),"/",""),"?",""),"_",""),",",""),"[",""),"]",""),"(",""),")",""),"*","")</f>
        <v/>
      </c>
      <c r="BB616" s="61" t="str">
        <f aca="false">IF(AND(TRIM(U616)="Pass",ISNUMBER(AF616)),IF(AF616&lt;&gt;0,"INVALID – qty variance: use Fail or Pass after CA",""),"")&amp;IF(AND(TRIM(U616)="Pass after CA",ISNUMBER(AF616)),IF(AF616&lt;&gt;0,"INVALID – after the corrective action the actual qty must equal expected (update Actual)",""),"")&amp;IF(AND(TRIM(U616)="Pass",TRIM(AB616)&lt;&gt;"",TRIM(AB616)&lt;&gt;"Closed"),"INVALID – corrective action not closed: use Fail, then Pass after CA","")&amp;IF(AND(TRIM(AA616)&lt;&gt;"",TRIM(AB616)=""),"INVALID – CA status missing for the recorded corrective action","")&amp;IF(AND(TRIM(U616)="Pass after CA",OR(OR(LEN(BA616)&lt;5,ISNUMBER(MATCH(BA616,L_Placeholder,0))),TRIM(AB616)&lt;&gt;"Closed")),"INVALID – corrective action not recorded/closed","")</f>
        <v/>
      </c>
    </row>
    <row r="617" customFormat="false" ht="39.75" hidden="false" customHeight="true" outlineLevel="0" collapsed="false">
      <c r="A617" s="57" t="s">
        <v>1304</v>
      </c>
      <c r="B617" s="57" t="s">
        <v>290</v>
      </c>
      <c r="C617" s="57" t="str">
        <f aca="false">Flights!$F$22</f>
        <v>MH0052</v>
      </c>
      <c r="D617" s="58" t="n">
        <f aca="false">Flights!$D$22</f>
        <v>46322</v>
      </c>
      <c r="E617" s="57" t="str">
        <f aca="false">Flights!$G$22&amp;"-"&amp;Flights!$H$22</f>
        <v>KUL-KIX</v>
      </c>
      <c r="F617" s="57" t="str">
        <f aca="false">Flights!$K$22</f>
        <v>BC</v>
      </c>
      <c r="G617" s="57" t="s">
        <v>437</v>
      </c>
      <c r="H617" s="57" t="s">
        <v>438</v>
      </c>
      <c r="I617" s="57" t="s">
        <v>607</v>
      </c>
      <c r="J617" s="57" t="s">
        <v>635</v>
      </c>
      <c r="K617" s="67" t="s">
        <v>479</v>
      </c>
      <c r="L617" s="67" t="s">
        <v>1286</v>
      </c>
      <c r="M617" s="67" t="s">
        <v>184</v>
      </c>
      <c r="N617" s="67" t="s">
        <v>361</v>
      </c>
      <c r="O617" s="67" t="s">
        <v>610</v>
      </c>
      <c r="P617" s="57" t="s">
        <v>184</v>
      </c>
      <c r="Q617" s="59" t="n">
        <f aca="false">ROUND((Flights!$AF$22)*1440,0)/1440</f>
        <v>46322.6006944444</v>
      </c>
      <c r="R617" s="59" t="n">
        <f aca="false">Q617+(IF(AND(INDEX(TZ_DSTS,MATCH(P617,TZ_STN,0))&lt;&gt;"",Q617&gt;=INDEX(TZ_DSTS,MATCH(P617,TZ_STN,0)),Q617&lt;INDEX(TZ_DSTE,MATCH(P617,TZ_STN,0))),INDEX(TZ_DST,MATCH(P617,TZ_STN,0)),INDEX(TZ_STD,MATCH(P617,TZ_STN,0))))/24</f>
        <v>46322.9340277778</v>
      </c>
      <c r="S617" s="59" t="n">
        <f aca="false">IF(ISNUMBER(Flights!$AZ$22),MAX(Q617-UpliftWindowH/24,Flights!$AZ$22),Q617-UpliftWindowH/24)</f>
        <v>46322.3506944444</v>
      </c>
      <c r="T617" s="60"/>
      <c r="U617" s="60"/>
      <c r="V617" s="60"/>
      <c r="W617" s="61"/>
      <c r="X617" s="60"/>
      <c r="Y617" s="60"/>
      <c r="Z617" s="60"/>
      <c r="AA617" s="60"/>
      <c r="AB617" s="60"/>
      <c r="AC617" s="60"/>
      <c r="AD617" s="66"/>
      <c r="AE617" s="60"/>
      <c r="AF617" s="61" t="str">
        <f aca="false">IF(AND(ISNUMBER(X617),ISNUMBER(Y617)),Y617-X617,"")</f>
        <v/>
      </c>
      <c r="AG617" s="62" t="str">
        <f aca="false">IF(ISNUMBER(AD617),AD617-(IF(AND(INDEX(TZ_DSTS,MATCH(P617,TZ_STN,0))&lt;&gt;"",(AD617-INDEX(TZ_STD,MATCH(P617,TZ_STN,0))/24)&gt;=INDEX(TZ_DSTS,MATCH(P617,TZ_STN,0)),(AD617-INDEX(TZ_STD,MATCH(P617,TZ_STN,0))/24)&lt;INDEX(TZ_DSTE,MATCH(P617,TZ_STN,0))),INDEX(TZ_DST,MATCH(P617,TZ_STN,0)),INDEX(TZ_STD,MATCH(P617,TZ_STN,0))))/24,"")</f>
        <v/>
      </c>
      <c r="AH617" s="65" t="str">
        <f aca="false">IFERROR(IF(N617="N/A – rule","N/A – RULE",IF(TRIM(U617)="N/A",IF(AT617=0,"INVALID – N/A not permitted for this check",IF(AND(TRIM(AB617)&lt;&gt;"",TRIM(AB617)&lt;&gt;"Closed"),"INVALID – corrective action still open",IF(AND(NOT(OR(LEN(AZ617)&lt;15,ISNUMBER(MATCH(AZ617,L_Placeholder,0)))),NOT(OR(LEN(AU617)&lt;2,ISNUMBER(MATCH(AU617,L_Placeholder,0)))),NOT(OR(LEN(AX617)&lt;2,ISNUMBER(MATCH(AX617,L_Placeholder,0)))),TRIM(AE617)&lt;&gt;TRIM(T617)),"N/A – JUSTIFIED","INVALID – N/A needs a real justification (15+ chars), PIC and a different verifier"))),IF(OR(TRIM(U617)="Pass",TRIM(U617)="Pass after CA"),IF(NOT(ISNUMBER(AD617)),"INVALID – completion time missing",IF(OR(LEN(AU617)&lt;2,ISNUMBER(MATCH(AU617,L_Placeholder,0))),"INVALID – PIC missing",IF(OR(LEN(AV617)&lt;2,ISNUMBER(MATCH(AV617,L_Placeholder,0))),"INVALID – result / assessment missing",IF(OR(OR(LEN(AW617)&lt;3,ISNUMBER(MATCH(AW617,L_Placeholder,0))),SUMPRODUCT(--ISNUMBER(SEARCH(L_EvidencePhrase,AW617)))&gt;0),"INVALID – evidence missing, placeholder or not yet on file",IF(OR(LEN(AX617)&lt;2,ISNUMBER(MATCH(AX617,L_Placeholder,0))),"INVALID – verifier missing",IF(AX617=AU617,"INVALID – verifier must be someone other than the PIC",IF(AND(TRIM(U617)="Pass",SUMPRODUCT(--ISNUMBER(SEARCH(L_ResultBad,AV617)))&gt;0),"INVALID – result describes a problem: use Fail, then Pass after CA",IF(AND(AQ617=1,OR(LEN(AY617)&lt;3,ISNUMBER(MATCH(AY617,L_Placeholder,0)))),"INVALID – batch ID missing or placeholder",IF(AND(AR617=1,OR(NOT(ISNUMBER(X617)),NOT(ISNUMBER(Y617)))),"INVALID – expected/actual qty missing",IF(AND(AR617=1,OR(X617&lt;=0,Y617&lt;0)),"INVALID – expected qty must be above 0 and actual not negative",IF(AH602="N/A – JUSTIFIED","INVALID – preparation row F18-T12-19 is N/A",IF(AND(AR617=1,ISNUMBER(X602),X617&lt;&gt;X602),"INVALID – expected qty differs from preparation check F18-T12-19",IF(BB617&lt;&gt;"",BB617,IF(AND(AS617=1,Documents!$J$22&lt;&gt;"ON FILE"),"INVALID – GLD not on file (Documents sheet)",IF(AND(AS617=2,Documents!$O$22&lt;&gt;"ON FILE"),"INVALID – menu checklist not on file (Documents sheet)",IF(AND(AS617=3,NOT(ISNUMBER(Flights!$AX$22))),"INVALID – enter carrying flight KUL departure (Flights AX)",IF(AND(AS617=3,OR(Flights!$AZ$22&gt;Flights!$AA$22,Flights!$AX$22&lt;Flights!$AA$22-3)),"INVALID – carrying flight (Flights AX) cannot arrive before this leg's STD, or is over 3 days early",IF(AG617&gt;AsOfUTC,"INVALID – completion time is in the future",IF(AND(ISNUMBER(S617),AG617&lt;S617),IF(H617="Physical uplift","INVALID – before uplift window (cannot confirm loading)","INVALID – before valid window"),IF(AG617&gt;Flights!$AA$22,"INVALID – completed after departure (cannot establish readiness)",IF(AND(H617="Preparation",AG617&gt;IF(ISNUMBER(Flights!$BA$22),MIN(Flights!$BA$22,Flights!$AA$22),Flights!$AA$22)),"INVALID – completed after loading / departure (cannot establish readiness)",IF(AND(H617="Physical uplift",AG617&gt;Q617),"INVALID – recorded after the loading flight departed",IF(AG617&gt;Q617,"COMPLETE – LATE","COMPLETE"))))))))))))))))))))))),IF(TRIM(U617)="Fail","FAIL – DISCREPANCY",IF(AND(TRIM(U617)&lt;&gt;"",TRIM(U617)&lt;&gt;"Not started",TRIM(U617)&lt;&gt;"In progress"),"INVALID – unrecognised status (use the list)",IF(AsOfUTC&gt;Q617,"OVERDUE",IF(N617="Clarification required","OPEN – CLARIFICATION","OPEN"))))))),"INVALID – error value in an input cell")</f>
        <v>OPEN</v>
      </c>
      <c r="AI617" s="61" t="n">
        <f aca="false">IF(OR(AH617="N/A – RULE",AH617="N/A – JUSTIFIED"),0,1)</f>
        <v>1</v>
      </c>
      <c r="AJ617" s="61" t="n">
        <f aca="false">IF(LEFT(AH617,8)="COMPLETE",1,0)</f>
        <v>0</v>
      </c>
      <c r="AK617" s="61" t="n">
        <f aca="false">IF(AND(AI617=1,AJ617=0,AsOfUTC&gt;Q617),1,0)</f>
        <v>0</v>
      </c>
      <c r="AL617" s="61" t="n">
        <f aca="false">IFERROR(IF(AND(AI617=1,OR(TRIM(U617)="Fail",AND(TRIM(AB617)&lt;&gt;"",TRIM(AB617)&lt;&gt;"Closed"),AND(ISNUMBER(AF617),AF617&lt;&gt;0,TRIM(U617)&lt;&gt;"Pass after CA"))),1,0),1)</f>
        <v>0</v>
      </c>
      <c r="AM617" s="61" t="n">
        <f aca="false">IF(LEFT(AH617,7)="INVALID",1,0)</f>
        <v>0</v>
      </c>
      <c r="AN617" s="61" t="n">
        <f aca="false">IF(AND(N617="Clarification required",AI617=1,AJ617=0),1,0)</f>
        <v>0</v>
      </c>
      <c r="AO617" s="61" t="str">
        <f aca="false">IF(AK617=1,SUM(AK$5:AK617),"")</f>
        <v/>
      </c>
      <c r="AP617" s="61" t="str">
        <f aca="false">IF(AL617=1,SUM(AL$5:AL617),"")</f>
        <v/>
      </c>
      <c r="AQ617" s="61" t="n">
        <v>0</v>
      </c>
      <c r="AR617" s="61" t="n">
        <v>0</v>
      </c>
      <c r="AS617" s="61" t="n">
        <v>0</v>
      </c>
      <c r="AT617" s="61" t="n">
        <v>0</v>
      </c>
      <c r="AU617" s="61" t="str">
        <f aca="false">SUBSTITUTE(SUBSTITUTE(SUBSTITUTE(SUBSTITUTE(SUBSTITUTE(SUBSTITUTE(SUBSTITUTE(SUBSTITUTE(SUBSTITUTE(SUBSTITUTE(SUBSTITUTE(SUBSTITUTE(SUBSTITUTE(LOWER(T617&amp;""),CHAR(160),"")," ",""),".",""),"-",""),"/",""),"?",""),"_",""),",",""),"[",""),"]",""),"(",""),")",""),"*","")</f>
        <v/>
      </c>
      <c r="AV617" s="61" t="str">
        <f aca="false">SUBSTITUTE(SUBSTITUTE(SUBSTITUTE(SUBSTITUTE(SUBSTITUTE(SUBSTITUTE(SUBSTITUTE(SUBSTITUTE(SUBSTITUTE(SUBSTITUTE(SUBSTITUTE(SUBSTITUTE(SUBSTITUTE(LOWER(V617&amp;""),CHAR(160),"")," ",""),".",""),"-",""),"/",""),"?",""),"_",""),",",""),"[",""),"]",""),"(",""),")",""),"*","")</f>
        <v/>
      </c>
      <c r="AW617" s="61" t="str">
        <f aca="false">SUBSTITUTE(SUBSTITUTE(SUBSTITUTE(SUBSTITUTE(SUBSTITUTE(SUBSTITUTE(SUBSTITUTE(SUBSTITUTE(SUBSTITUTE(SUBSTITUTE(SUBSTITUTE(SUBSTITUTE(SUBSTITUTE(LOWER(Z617&amp;""),CHAR(160),"")," ",""),".",""),"-",""),"/",""),"?",""),"_",""),",",""),"[",""),"]",""),"(",""),")",""),"*","")</f>
        <v/>
      </c>
      <c r="AX617" s="61" t="str">
        <f aca="false">SUBSTITUTE(SUBSTITUTE(SUBSTITUTE(SUBSTITUTE(SUBSTITUTE(SUBSTITUTE(SUBSTITUTE(SUBSTITUTE(SUBSTITUTE(SUBSTITUTE(SUBSTITUTE(SUBSTITUTE(SUBSTITUTE(LOWER(AE617&amp;""),CHAR(160),"")," ",""),".",""),"-",""),"/",""),"?",""),"_",""),",",""),"[",""),"]",""),"(",""),")",""),"*","")</f>
        <v/>
      </c>
      <c r="AY617" s="61" t="str">
        <f aca="false">SUBSTITUTE(SUBSTITUTE(SUBSTITUTE(SUBSTITUTE(SUBSTITUTE(SUBSTITUTE(SUBSTITUTE(SUBSTITUTE(SUBSTITUTE(SUBSTITUTE(SUBSTITUTE(SUBSTITUTE(SUBSTITUTE(LOWER(W617&amp;""),CHAR(160),"")," ",""),".",""),"-",""),"/",""),"?",""),"_",""),",",""),"[",""),"]",""),"(",""),")",""),"*","")</f>
        <v/>
      </c>
      <c r="AZ617" s="61" t="str">
        <f aca="false">SUBSTITUTE(SUBSTITUTE(SUBSTITUTE(SUBSTITUTE(SUBSTITUTE(SUBSTITUTE(SUBSTITUTE(SUBSTITUTE(SUBSTITUTE(SUBSTITUTE(SUBSTITUTE(SUBSTITUTE(SUBSTITUTE(LOWER(AC617&amp;""),CHAR(160),"")," ",""),".",""),"-",""),"/",""),"?",""),"_",""),",",""),"[",""),"]",""),"(",""),")",""),"*","")</f>
        <v/>
      </c>
      <c r="BA617" s="61" t="str">
        <f aca="false">SUBSTITUTE(SUBSTITUTE(SUBSTITUTE(SUBSTITUTE(SUBSTITUTE(SUBSTITUTE(SUBSTITUTE(SUBSTITUTE(SUBSTITUTE(SUBSTITUTE(SUBSTITUTE(SUBSTITUTE(SUBSTITUTE(LOWER(AA617&amp;""),CHAR(160),"")," ",""),".",""),"-",""),"/",""),"?",""),"_",""),",",""),"[",""),"]",""),"(",""),")",""),"*","")</f>
        <v/>
      </c>
      <c r="BB617" s="61" t="str">
        <f aca="false">IF(AND(TRIM(U617)="Pass",ISNUMBER(AF617)),IF(AF617&lt;&gt;0,"INVALID – qty variance: use Fail or Pass after CA",""),"")&amp;IF(AND(TRIM(U617)="Pass after CA",ISNUMBER(AF617)),IF(AF617&lt;&gt;0,"INVALID – after the corrective action the actual qty must equal expected (update Actual)",""),"")&amp;IF(AND(TRIM(U617)="Pass",TRIM(AB617)&lt;&gt;"",TRIM(AB617)&lt;&gt;"Closed"),"INVALID – corrective action not closed: use Fail, then Pass after CA","")&amp;IF(AND(TRIM(AA617)&lt;&gt;"",TRIM(AB617)=""),"INVALID – CA status missing for the recorded corrective action","")&amp;IF(AND(TRIM(U617)="Pass after CA",OR(OR(LEN(BA617)&lt;5,ISNUMBER(MATCH(BA617,L_Placeholder,0))),TRIM(AB617)&lt;&gt;"Closed")),"INVALID – corrective action not recorded/closed","")</f>
        <v/>
      </c>
    </row>
    <row r="618" customFormat="false" ht="39.75" hidden="false" customHeight="true" outlineLevel="0" collapsed="false">
      <c r="A618" s="57" t="s">
        <v>1305</v>
      </c>
      <c r="B618" s="57" t="s">
        <v>290</v>
      </c>
      <c r="C618" s="57" t="str">
        <f aca="false">Flights!$F$22</f>
        <v>MH0052</v>
      </c>
      <c r="D618" s="58" t="n">
        <f aca="false">Flights!$D$22</f>
        <v>46322</v>
      </c>
      <c r="E618" s="57" t="str">
        <f aca="false">Flights!$G$22&amp;"-"&amp;Flights!$H$22</f>
        <v>KUL-KIX</v>
      </c>
      <c r="F618" s="57" t="str">
        <f aca="false">Flights!$K$22</f>
        <v>BC</v>
      </c>
      <c r="G618" s="57" t="s">
        <v>437</v>
      </c>
      <c r="H618" s="57" t="s">
        <v>438</v>
      </c>
      <c r="I618" s="57" t="s">
        <v>612</v>
      </c>
      <c r="J618" s="57" t="s">
        <v>637</v>
      </c>
      <c r="K618" s="67" t="s">
        <v>1288</v>
      </c>
      <c r="L618" s="67" t="s">
        <v>1289</v>
      </c>
      <c r="M618" s="67" t="s">
        <v>429</v>
      </c>
      <c r="N618" s="67" t="s">
        <v>361</v>
      </c>
      <c r="O618" s="67" t="s">
        <v>1306</v>
      </c>
      <c r="P618" s="57" t="s">
        <v>184</v>
      </c>
      <c r="Q618" s="59" t="n">
        <f aca="false">ROUND((Flights!$AF$22)*1440,0)/1440</f>
        <v>46322.6006944444</v>
      </c>
      <c r="R618" s="59" t="n">
        <f aca="false">Q618+(IF(AND(INDEX(TZ_DSTS,MATCH(P618,TZ_STN,0))&lt;&gt;"",Q618&gt;=INDEX(TZ_DSTS,MATCH(P618,TZ_STN,0)),Q618&lt;INDEX(TZ_DSTE,MATCH(P618,TZ_STN,0))),INDEX(TZ_DST,MATCH(P618,TZ_STN,0)),INDEX(TZ_STD,MATCH(P618,TZ_STN,0))))/24</f>
        <v>46322.9340277778</v>
      </c>
      <c r="S618" s="59" t="n">
        <f aca="false">IF(ISNUMBER(Flights!$AZ$22),MAX(Q618-UpliftWindowH/24,Flights!$AZ$22),Q618-UpliftWindowH/24)</f>
        <v>46322.3506944444</v>
      </c>
      <c r="T618" s="60"/>
      <c r="U618" s="60"/>
      <c r="V618" s="60"/>
      <c r="W618" s="61"/>
      <c r="X618" s="60"/>
      <c r="Y618" s="60"/>
      <c r="Z618" s="60"/>
      <c r="AA618" s="60"/>
      <c r="AB618" s="60"/>
      <c r="AC618" s="60"/>
      <c r="AD618" s="66"/>
      <c r="AE618" s="60"/>
      <c r="AF618" s="61" t="str">
        <f aca="false">IF(AND(ISNUMBER(X618),ISNUMBER(Y618)),Y618-X618,"")</f>
        <v/>
      </c>
      <c r="AG618" s="62" t="str">
        <f aca="false">IF(ISNUMBER(AD618),AD618-(IF(AND(INDEX(TZ_DSTS,MATCH(P618,TZ_STN,0))&lt;&gt;"",(AD618-INDEX(TZ_STD,MATCH(P618,TZ_STN,0))/24)&gt;=INDEX(TZ_DSTS,MATCH(P618,TZ_STN,0)),(AD618-INDEX(TZ_STD,MATCH(P618,TZ_STN,0))/24)&lt;INDEX(TZ_DSTE,MATCH(P618,TZ_STN,0))),INDEX(TZ_DST,MATCH(P618,TZ_STN,0)),INDEX(TZ_STD,MATCH(P618,TZ_STN,0))))/24,"")</f>
        <v/>
      </c>
      <c r="AH618" s="65" t="str">
        <f aca="false">IFERROR(IF(N618="N/A – rule","N/A – RULE",IF(TRIM(U618)="N/A",IF(AT618=0,"INVALID – N/A not permitted for this check",IF(AND(TRIM(AB618)&lt;&gt;"",TRIM(AB618)&lt;&gt;"Closed"),"INVALID – corrective action still open",IF(AND(NOT(OR(LEN(AZ618)&lt;15,ISNUMBER(MATCH(AZ618,L_Placeholder,0)))),NOT(OR(LEN(AU618)&lt;2,ISNUMBER(MATCH(AU618,L_Placeholder,0)))),NOT(OR(LEN(AX618)&lt;2,ISNUMBER(MATCH(AX618,L_Placeholder,0)))),TRIM(AE618)&lt;&gt;TRIM(T618)),"N/A – JUSTIFIED","INVALID – N/A needs a real justification (15+ chars), PIC and a different verifier"))),IF(OR(TRIM(U618)="Pass",TRIM(U618)="Pass after CA"),IF(NOT(ISNUMBER(AD618)),"INVALID – completion time missing",IF(OR(LEN(AU618)&lt;2,ISNUMBER(MATCH(AU618,L_Placeholder,0))),"INVALID – PIC missing",IF(OR(LEN(AV618)&lt;2,ISNUMBER(MATCH(AV618,L_Placeholder,0))),"INVALID – result / assessment missing",IF(OR(OR(LEN(AW618)&lt;3,ISNUMBER(MATCH(AW618,L_Placeholder,0))),SUMPRODUCT(--ISNUMBER(SEARCH(L_EvidencePhrase,AW618)))&gt;0),"INVALID – evidence missing, placeholder or not yet on file",IF(OR(LEN(AX618)&lt;2,ISNUMBER(MATCH(AX618,L_Placeholder,0))),"INVALID – verifier missing",IF(AX618=AU618,"INVALID – verifier must be someone other than the PIC",IF(AND(TRIM(U618)="Pass",SUMPRODUCT(--ISNUMBER(SEARCH(L_ResultBad,AV618)))&gt;0),"INVALID – result describes a problem: use Fail, then Pass after CA",IF(AND(AQ618=1,OR(LEN(AY618)&lt;3,ISNUMBER(MATCH(AY618,L_Placeholder,0)))),"INVALID – batch ID missing or placeholder",IF(AND(AR618=1,OR(NOT(ISNUMBER(X618)),NOT(ISNUMBER(Y618)))),"INVALID – expected/actual qty missing",IF(AND(AR618=1,OR(X618&lt;=0,Y618&lt;0)),"INVALID – expected qty must be above 0 and actual not negative",IF(AH603="N/A – JUSTIFIED","INVALID – preparation row F18-T12-20 is N/A",IF(AND(AR618=1,ISNUMBER(X603),X618&lt;&gt;X603),"INVALID – expected qty differs from preparation check F18-T12-20",IF(BB618&lt;&gt;"",BB618,IF(AND(AS618=1,Documents!$J$22&lt;&gt;"ON FILE"),"INVALID – GLD not on file (Documents sheet)",IF(AND(AS618=2,Documents!$O$22&lt;&gt;"ON FILE"),"INVALID – menu checklist not on file (Documents sheet)",IF(AND(AS618=3,NOT(ISNUMBER(Flights!$AX$22))),"INVALID – enter carrying flight KUL departure (Flights AX)",IF(AND(AS618=3,OR(Flights!$AZ$22&gt;Flights!$AA$22,Flights!$AX$22&lt;Flights!$AA$22-3)),"INVALID – carrying flight (Flights AX) cannot arrive before this leg's STD, or is over 3 days early",IF(AG618&gt;AsOfUTC,"INVALID – completion time is in the future",IF(AND(ISNUMBER(S618),AG618&lt;S618),IF(H618="Physical uplift","INVALID – before uplift window (cannot confirm loading)","INVALID – before valid window"),IF(AG618&gt;Flights!$AA$22,"INVALID – completed after departure (cannot establish readiness)",IF(AND(H618="Preparation",AG618&gt;IF(ISNUMBER(Flights!$BA$22),MIN(Flights!$BA$22,Flights!$AA$22),Flights!$AA$22)),"INVALID – completed after loading / departure (cannot establish readiness)",IF(AND(H618="Physical uplift",AG618&gt;Q618),"INVALID – recorded after the loading flight departed",IF(AG618&gt;Q618,"COMPLETE – LATE","COMPLETE"))))))))))))))))))))))),IF(TRIM(U618)="Fail","FAIL – DISCREPANCY",IF(AND(TRIM(U618)&lt;&gt;"",TRIM(U618)&lt;&gt;"Not started",TRIM(U618)&lt;&gt;"In progress"),"INVALID – unrecognised status (use the list)",IF(AsOfUTC&gt;Q618,"OVERDUE",IF(N618="Clarification required","OPEN – CLARIFICATION","OPEN"))))))),"INVALID – error value in an input cell")</f>
        <v>OPEN</v>
      </c>
      <c r="AI618" s="61" t="n">
        <f aca="false">IF(OR(AH618="N/A – RULE",AH618="N/A – JUSTIFIED"),0,1)</f>
        <v>1</v>
      </c>
      <c r="AJ618" s="61" t="n">
        <f aca="false">IF(LEFT(AH618,8)="COMPLETE",1,0)</f>
        <v>0</v>
      </c>
      <c r="AK618" s="61" t="n">
        <f aca="false">IF(AND(AI618=1,AJ618=0,AsOfUTC&gt;Q618),1,0)</f>
        <v>0</v>
      </c>
      <c r="AL618" s="61" t="n">
        <f aca="false">IFERROR(IF(AND(AI618=1,OR(TRIM(U618)="Fail",AND(TRIM(AB618)&lt;&gt;"",TRIM(AB618)&lt;&gt;"Closed"),AND(ISNUMBER(AF618),AF618&lt;&gt;0,TRIM(U618)&lt;&gt;"Pass after CA"))),1,0),1)</f>
        <v>0</v>
      </c>
      <c r="AM618" s="61" t="n">
        <f aca="false">IF(LEFT(AH618,7)="INVALID",1,0)</f>
        <v>0</v>
      </c>
      <c r="AN618" s="61" t="n">
        <f aca="false">IF(AND(N618="Clarification required",AI618=1,AJ618=0),1,0)</f>
        <v>0</v>
      </c>
      <c r="AO618" s="61" t="str">
        <f aca="false">IF(AK618=1,SUM(AK$5:AK618),"")</f>
        <v/>
      </c>
      <c r="AP618" s="61" t="str">
        <f aca="false">IF(AL618=1,SUM(AL$5:AL618),"")</f>
        <v/>
      </c>
      <c r="AQ618" s="61" t="n">
        <v>0</v>
      </c>
      <c r="AR618" s="61" t="n">
        <v>0</v>
      </c>
      <c r="AS618" s="61" t="n">
        <v>0</v>
      </c>
      <c r="AT618" s="61" t="n">
        <v>0</v>
      </c>
      <c r="AU618" s="61" t="str">
        <f aca="false">SUBSTITUTE(SUBSTITUTE(SUBSTITUTE(SUBSTITUTE(SUBSTITUTE(SUBSTITUTE(SUBSTITUTE(SUBSTITUTE(SUBSTITUTE(SUBSTITUTE(SUBSTITUTE(SUBSTITUTE(SUBSTITUTE(LOWER(T618&amp;""),CHAR(160),"")," ",""),".",""),"-",""),"/",""),"?",""),"_",""),",",""),"[",""),"]",""),"(",""),")",""),"*","")</f>
        <v/>
      </c>
      <c r="AV618" s="61" t="str">
        <f aca="false">SUBSTITUTE(SUBSTITUTE(SUBSTITUTE(SUBSTITUTE(SUBSTITUTE(SUBSTITUTE(SUBSTITUTE(SUBSTITUTE(SUBSTITUTE(SUBSTITUTE(SUBSTITUTE(SUBSTITUTE(SUBSTITUTE(LOWER(V618&amp;""),CHAR(160),"")," ",""),".",""),"-",""),"/",""),"?",""),"_",""),",",""),"[",""),"]",""),"(",""),")",""),"*","")</f>
        <v/>
      </c>
      <c r="AW618" s="61" t="str">
        <f aca="false">SUBSTITUTE(SUBSTITUTE(SUBSTITUTE(SUBSTITUTE(SUBSTITUTE(SUBSTITUTE(SUBSTITUTE(SUBSTITUTE(SUBSTITUTE(SUBSTITUTE(SUBSTITUTE(SUBSTITUTE(SUBSTITUTE(LOWER(Z618&amp;""),CHAR(160),"")," ",""),".",""),"-",""),"/",""),"?",""),"_",""),",",""),"[",""),"]",""),"(",""),")",""),"*","")</f>
        <v/>
      </c>
      <c r="AX618" s="61" t="str">
        <f aca="false">SUBSTITUTE(SUBSTITUTE(SUBSTITUTE(SUBSTITUTE(SUBSTITUTE(SUBSTITUTE(SUBSTITUTE(SUBSTITUTE(SUBSTITUTE(SUBSTITUTE(SUBSTITUTE(SUBSTITUTE(SUBSTITUTE(LOWER(AE618&amp;""),CHAR(160),"")," ",""),".",""),"-",""),"/",""),"?",""),"_",""),",",""),"[",""),"]",""),"(",""),")",""),"*","")</f>
        <v/>
      </c>
      <c r="AY618" s="61" t="str">
        <f aca="false">SUBSTITUTE(SUBSTITUTE(SUBSTITUTE(SUBSTITUTE(SUBSTITUTE(SUBSTITUTE(SUBSTITUTE(SUBSTITUTE(SUBSTITUTE(SUBSTITUTE(SUBSTITUTE(SUBSTITUTE(SUBSTITUTE(LOWER(W618&amp;""),CHAR(160),"")," ",""),".",""),"-",""),"/",""),"?",""),"_",""),",",""),"[",""),"]",""),"(",""),")",""),"*","")</f>
        <v/>
      </c>
      <c r="AZ618" s="61" t="str">
        <f aca="false">SUBSTITUTE(SUBSTITUTE(SUBSTITUTE(SUBSTITUTE(SUBSTITUTE(SUBSTITUTE(SUBSTITUTE(SUBSTITUTE(SUBSTITUTE(SUBSTITUTE(SUBSTITUTE(SUBSTITUTE(SUBSTITUTE(LOWER(AC618&amp;""),CHAR(160),"")," ",""),".",""),"-",""),"/",""),"?",""),"_",""),",",""),"[",""),"]",""),"(",""),")",""),"*","")</f>
        <v/>
      </c>
      <c r="BA618" s="61" t="str">
        <f aca="false">SUBSTITUTE(SUBSTITUTE(SUBSTITUTE(SUBSTITUTE(SUBSTITUTE(SUBSTITUTE(SUBSTITUTE(SUBSTITUTE(SUBSTITUTE(SUBSTITUTE(SUBSTITUTE(SUBSTITUTE(SUBSTITUTE(LOWER(AA618&amp;""),CHAR(160),"")," ",""),".",""),"-",""),"/",""),"?",""),"_",""),",",""),"[",""),"]",""),"(",""),")",""),"*","")</f>
        <v/>
      </c>
      <c r="BB618" s="61" t="str">
        <f aca="false">IF(AND(TRIM(U618)="Pass",ISNUMBER(AF618)),IF(AF618&lt;&gt;0,"INVALID – qty variance: use Fail or Pass after CA",""),"")&amp;IF(AND(TRIM(U618)="Pass after CA",ISNUMBER(AF618)),IF(AF618&lt;&gt;0,"INVALID – after the corrective action the actual qty must equal expected (update Actual)",""),"")&amp;IF(AND(TRIM(U618)="Pass",TRIM(AB618)&lt;&gt;"",TRIM(AB618)&lt;&gt;"Closed"),"INVALID – corrective action not closed: use Fail, then Pass after CA","")&amp;IF(AND(TRIM(AA618)&lt;&gt;"",TRIM(AB618)=""),"INVALID – CA status missing for the recorded corrective action","")&amp;IF(AND(TRIM(U618)="Pass after CA",OR(OR(LEN(BA618)&lt;5,ISNUMBER(MATCH(BA618,L_Placeholder,0))),TRIM(AB618)&lt;&gt;"Closed")),"INVALID – corrective action not recorded/closed","")</f>
        <v/>
      </c>
    </row>
    <row r="619" customFormat="false" ht="39.75" hidden="false" customHeight="true" outlineLevel="0" collapsed="false">
      <c r="A619" s="57" t="s">
        <v>1307</v>
      </c>
      <c r="B619" s="57" t="s">
        <v>298</v>
      </c>
      <c r="C619" s="57" t="str">
        <f aca="false">Flights!$F$23</f>
        <v>MH0053</v>
      </c>
      <c r="D619" s="58" t="n">
        <f aca="false">Flights!$D$23</f>
        <v>46324</v>
      </c>
      <c r="E619" s="57" t="str">
        <f aca="false">Flights!$G$23&amp;"-"&amp;Flights!$H$23</f>
        <v>KIX-KUL</v>
      </c>
      <c r="F619" s="57" t="str">
        <f aca="false">Flights!$K$23</f>
        <v>EY</v>
      </c>
      <c r="G619" s="57" t="s">
        <v>79</v>
      </c>
      <c r="H619" s="57" t="s">
        <v>356</v>
      </c>
      <c r="I619" s="57" t="s">
        <v>357</v>
      </c>
      <c r="J619" s="57" t="s">
        <v>358</v>
      </c>
      <c r="K619" s="67" t="s">
        <v>359</v>
      </c>
      <c r="L619" s="67" t="s">
        <v>360</v>
      </c>
      <c r="M619" s="67"/>
      <c r="N619" s="67" t="s">
        <v>361</v>
      </c>
      <c r="O619" s="67"/>
      <c r="P619" s="57" t="s">
        <v>292</v>
      </c>
      <c r="Q619" s="59" t="n">
        <f aca="false">ROUND((Flights!$AC$23)*1440,0)/1440</f>
        <v>46317.0277777778</v>
      </c>
      <c r="R619" s="59" t="n">
        <f aca="false">Q619+(IF(AND(INDEX(TZ_DSTS,MATCH(P619,TZ_STN,0))&lt;&gt;"",Q619&gt;=INDEX(TZ_DSTS,MATCH(P619,TZ_STN,0)),Q619&lt;INDEX(TZ_DSTE,MATCH(P619,TZ_STN,0))),INDEX(TZ_DST,MATCH(P619,TZ_STN,0)),INDEX(TZ_STD,MATCH(P619,TZ_STN,0))))/24</f>
        <v>46317.4027777778</v>
      </c>
      <c r="S619" s="59" t="n">
        <f aca="false">Q619-T7EarlyD*24/24</f>
        <v>46303.0277777778</v>
      </c>
      <c r="T619" s="60"/>
      <c r="U619" s="60"/>
      <c r="V619" s="60"/>
      <c r="W619" s="61"/>
      <c r="X619" s="60"/>
      <c r="Y619" s="60"/>
      <c r="Z619" s="60"/>
      <c r="AA619" s="60"/>
      <c r="AB619" s="60"/>
      <c r="AC619" s="60"/>
      <c r="AD619" s="66"/>
      <c r="AE619" s="60"/>
      <c r="AF619" s="61" t="str">
        <f aca="false">IF(AND(ISNUMBER(X619),ISNUMBER(Y619)),Y619-X619,"")</f>
        <v/>
      </c>
      <c r="AG619" s="62" t="str">
        <f aca="false">IF(ISNUMBER(AD619),AD619-(IF(AND(INDEX(TZ_DSTS,MATCH(P619,TZ_STN,0))&lt;&gt;"",(AD619-INDEX(TZ_STD,MATCH(P619,TZ_STN,0))/24)&gt;=INDEX(TZ_DSTS,MATCH(P619,TZ_STN,0)),(AD619-INDEX(TZ_STD,MATCH(P619,TZ_STN,0))/24)&lt;INDEX(TZ_DSTE,MATCH(P619,TZ_STN,0))),INDEX(TZ_DST,MATCH(P619,TZ_STN,0)),INDEX(TZ_STD,MATCH(P619,TZ_STN,0))))/24,"")</f>
        <v/>
      </c>
      <c r="AH619" s="65" t="str">
        <f aca="false">IFERROR(IF(N619="N/A – rule","N/A – RULE",IF(TRIM(U619)="N/A",IF(AT619=0,"INVALID – N/A not permitted for this check",IF(AND(TRIM(AB619)&lt;&gt;"",TRIM(AB619)&lt;&gt;"Closed"),"INVALID – corrective action still open",IF(AND(NOT(OR(LEN(AZ619)&lt;15,ISNUMBER(MATCH(AZ619,L_Placeholder,0)))),NOT(OR(LEN(AU619)&lt;2,ISNUMBER(MATCH(AU619,L_Placeholder,0)))),NOT(OR(LEN(AX619)&lt;2,ISNUMBER(MATCH(AX619,L_Placeholder,0)))),TRIM(AE619)&lt;&gt;TRIM(T619)),"N/A – JUSTIFIED","INVALID – N/A needs a real justification (15+ chars), PIC and a different verifier"))),IF(OR(TRIM(U619)="Pass",TRIM(U619)="Pass after CA"),IF(NOT(ISNUMBER(AD619)),"INVALID – completion time missing",IF(OR(LEN(AU619)&lt;2,ISNUMBER(MATCH(AU619,L_Placeholder,0))),"INVALID – PIC missing",IF(OR(LEN(AV619)&lt;2,ISNUMBER(MATCH(AV619,L_Placeholder,0))),"INVALID – result / assessment missing",IF(OR(OR(LEN(AW619)&lt;3,ISNUMBER(MATCH(AW619,L_Placeholder,0))),SUMPRODUCT(--ISNUMBER(SEARCH(L_EvidencePhrase,AW619)))&gt;0),"INVALID – evidence missing, placeholder or not yet on file",IF(OR(LEN(AX619)&lt;2,ISNUMBER(MATCH(AX619,L_Placeholder,0))),"INVALID – verifier missing",IF(AX619=AU619,"INVALID – verifier must be someone other than the PIC",IF(AND(TRIM(U619)="Pass",SUMPRODUCT(--ISNUMBER(SEARCH(L_ResultBad,AV619)))&gt;0),"INVALID – result describes a problem: use Fail, then Pass after CA",IF(AND(AQ619=1,OR(LEN(AY619)&lt;3,ISNUMBER(MATCH(AY619,L_Placeholder,0)))),"INVALID – batch ID missing or placeholder",IF(AND(AR619=1,OR(NOT(ISNUMBER(X619)),NOT(ISNUMBER(Y619)))),"INVALID – expected/actual qty missing",IF(AND(AR619=1,OR(X619&lt;=0,Y619&lt;0)),"INVALID – expected qty must be above 0 and actual not negative",IF(BB619&lt;&gt;"",BB619,IF(AND(AS619=1,Documents!$J$23&lt;&gt;"ON FILE"),"INVALID – GLD not on file (Documents sheet)",IF(AND(AS619=2,Documents!$O$23&lt;&gt;"ON FILE"),"INVALID – menu checklist not on file (Documents sheet)",IF(AND(AS619=3,NOT(ISNUMBER(Flights!$AX$23))),"INVALID – enter carrying flight KUL departure (Flights AX)",IF(AND(AS619=3,OR(Flights!$AZ$23&gt;Flights!$AA$23,Flights!$AX$23&lt;Flights!$AA$23-3)),"INVALID – carrying flight (Flights AX) cannot arrive before this leg's STD, or is over 3 days early",IF(AG619&gt;AsOfUTC,"INVALID – completion time is in the future",IF(AND(ISNUMBER(S619),AG619&lt;S619),IF(H619="Physical uplift","INVALID – before uplift window (cannot confirm loading)","INVALID – before valid window"),IF(AG619&gt;Flights!$AA$23,"INVALID – completed after departure (cannot establish readiness)",IF(AND(H619="Preparation",AG619&gt;IF(ISNUMBER(Flights!$BA$23),MIN(Flights!$BA$23,Flights!$AA$23),Flights!$AA$23)),"INVALID – completed after loading / departure (cannot establish readiness)",IF(AND(H619="Physical uplift",AG619&gt;Q619),"INVALID – recorded after the loading flight departed",IF(AG619&gt;Q619,"COMPLETE – LATE","COMPLETE"))))))))))))))))))))),IF(TRIM(U619)="Fail","FAIL – DISCREPANCY",IF(AND(TRIM(U619)&lt;&gt;"",TRIM(U619)&lt;&gt;"Not started",TRIM(U619)&lt;&gt;"In progress"),"INVALID – unrecognised status (use the list)",IF(AsOfUTC&gt;Q619,"OVERDUE",IF(N619="Clarification required","OPEN – CLARIFICATION","OPEN"))))))),"INVALID – error value in an input cell")</f>
        <v>OPEN</v>
      </c>
      <c r="AI619" s="61" t="n">
        <f aca="false">IF(OR(AH619="N/A – RULE",AH619="N/A – JUSTIFIED"),0,1)</f>
        <v>1</v>
      </c>
      <c r="AJ619" s="61" t="n">
        <f aca="false">IF(LEFT(AH619,8)="COMPLETE",1,0)</f>
        <v>0</v>
      </c>
      <c r="AK619" s="61" t="n">
        <f aca="false">IF(AND(AI619=1,AJ619=0,AsOfUTC&gt;Q619),1,0)</f>
        <v>0</v>
      </c>
      <c r="AL619" s="61" t="n">
        <f aca="false">IFERROR(IF(AND(AI619=1,OR(TRIM(U619)="Fail",AND(TRIM(AB619)&lt;&gt;"",TRIM(AB619)&lt;&gt;"Closed"),AND(ISNUMBER(AF619),AF619&lt;&gt;0,TRIM(U619)&lt;&gt;"Pass after CA"))),1,0),1)</f>
        <v>0</v>
      </c>
      <c r="AM619" s="61" t="n">
        <f aca="false">IF(LEFT(AH619,7)="INVALID",1,0)</f>
        <v>0</v>
      </c>
      <c r="AN619" s="61" t="n">
        <f aca="false">IF(AND(N619="Clarification required",AI619=1,AJ619=0),1,0)</f>
        <v>0</v>
      </c>
      <c r="AO619" s="61" t="str">
        <f aca="false">IF(AK619=1,SUM(AK$5:AK619),"")</f>
        <v/>
      </c>
      <c r="AP619" s="61" t="str">
        <f aca="false">IF(AL619=1,SUM(AL$5:AL619),"")</f>
        <v/>
      </c>
      <c r="AQ619" s="61" t="n">
        <v>0</v>
      </c>
      <c r="AR619" s="61" t="n">
        <v>0</v>
      </c>
      <c r="AS619" s="61" t="n">
        <v>0</v>
      </c>
      <c r="AT619" s="61" t="n">
        <v>0</v>
      </c>
      <c r="AU619" s="61" t="str">
        <f aca="false">SUBSTITUTE(SUBSTITUTE(SUBSTITUTE(SUBSTITUTE(SUBSTITUTE(SUBSTITUTE(SUBSTITUTE(SUBSTITUTE(SUBSTITUTE(SUBSTITUTE(SUBSTITUTE(SUBSTITUTE(SUBSTITUTE(LOWER(T619&amp;""),CHAR(160),"")," ",""),".",""),"-",""),"/",""),"?",""),"_",""),",",""),"[",""),"]",""),"(",""),")",""),"*","")</f>
        <v/>
      </c>
      <c r="AV619" s="61" t="str">
        <f aca="false">SUBSTITUTE(SUBSTITUTE(SUBSTITUTE(SUBSTITUTE(SUBSTITUTE(SUBSTITUTE(SUBSTITUTE(SUBSTITUTE(SUBSTITUTE(SUBSTITUTE(SUBSTITUTE(SUBSTITUTE(SUBSTITUTE(LOWER(V619&amp;""),CHAR(160),"")," ",""),".",""),"-",""),"/",""),"?",""),"_",""),",",""),"[",""),"]",""),"(",""),")",""),"*","")</f>
        <v/>
      </c>
      <c r="AW619" s="61" t="str">
        <f aca="false">SUBSTITUTE(SUBSTITUTE(SUBSTITUTE(SUBSTITUTE(SUBSTITUTE(SUBSTITUTE(SUBSTITUTE(SUBSTITUTE(SUBSTITUTE(SUBSTITUTE(SUBSTITUTE(SUBSTITUTE(SUBSTITUTE(LOWER(Z619&amp;""),CHAR(160),"")," ",""),".",""),"-",""),"/",""),"?",""),"_",""),",",""),"[",""),"]",""),"(",""),")",""),"*","")</f>
        <v/>
      </c>
      <c r="AX619" s="61" t="str">
        <f aca="false">SUBSTITUTE(SUBSTITUTE(SUBSTITUTE(SUBSTITUTE(SUBSTITUTE(SUBSTITUTE(SUBSTITUTE(SUBSTITUTE(SUBSTITUTE(SUBSTITUTE(SUBSTITUTE(SUBSTITUTE(SUBSTITUTE(LOWER(AE619&amp;""),CHAR(160),"")," ",""),".",""),"-",""),"/",""),"?",""),"_",""),",",""),"[",""),"]",""),"(",""),")",""),"*","")</f>
        <v/>
      </c>
      <c r="AY619" s="61" t="str">
        <f aca="false">SUBSTITUTE(SUBSTITUTE(SUBSTITUTE(SUBSTITUTE(SUBSTITUTE(SUBSTITUTE(SUBSTITUTE(SUBSTITUTE(SUBSTITUTE(SUBSTITUTE(SUBSTITUTE(SUBSTITUTE(SUBSTITUTE(LOWER(W619&amp;""),CHAR(160),"")," ",""),".",""),"-",""),"/",""),"?",""),"_",""),",",""),"[",""),"]",""),"(",""),")",""),"*","")</f>
        <v/>
      </c>
      <c r="AZ619" s="61" t="str">
        <f aca="false">SUBSTITUTE(SUBSTITUTE(SUBSTITUTE(SUBSTITUTE(SUBSTITUTE(SUBSTITUTE(SUBSTITUTE(SUBSTITUTE(SUBSTITUTE(SUBSTITUTE(SUBSTITUTE(SUBSTITUTE(SUBSTITUTE(LOWER(AC619&amp;""),CHAR(160),"")," ",""),".",""),"-",""),"/",""),"?",""),"_",""),",",""),"[",""),"]",""),"(",""),")",""),"*","")</f>
        <v/>
      </c>
      <c r="BA619" s="61" t="str">
        <f aca="false">SUBSTITUTE(SUBSTITUTE(SUBSTITUTE(SUBSTITUTE(SUBSTITUTE(SUBSTITUTE(SUBSTITUTE(SUBSTITUTE(SUBSTITUTE(SUBSTITUTE(SUBSTITUTE(SUBSTITUTE(SUBSTITUTE(LOWER(AA619&amp;""),CHAR(160),"")," ",""),".",""),"-",""),"/",""),"?",""),"_",""),",",""),"[",""),"]",""),"(",""),")",""),"*","")</f>
        <v/>
      </c>
      <c r="BB619" s="61" t="str">
        <f aca="false">IF(AND(TRIM(U619)="Pass",ISNUMBER(AF619)),IF(AF619&lt;&gt;0,"INVALID – qty variance: use Fail or Pass after CA",""),"")&amp;IF(AND(TRIM(U619)="Pass after CA",ISNUMBER(AF619)),IF(AF619&lt;&gt;0,"INVALID – after the corrective action the actual qty must equal expected (update Actual)",""),"")&amp;IF(AND(TRIM(U619)="Pass",TRIM(AB619)&lt;&gt;"",TRIM(AB619)&lt;&gt;"Closed"),"INVALID – corrective action not closed: use Fail, then Pass after CA","")&amp;IF(AND(TRIM(AA619)&lt;&gt;"",TRIM(AB619)=""),"INVALID – CA status missing for the recorded corrective action","")&amp;IF(AND(TRIM(U619)="Pass after CA",OR(OR(LEN(BA619)&lt;5,ISNUMBER(MATCH(BA619,L_Placeholder,0))),TRIM(AB619)&lt;&gt;"Closed")),"INVALID – corrective action not recorded/closed","")</f>
        <v/>
      </c>
    </row>
    <row r="620" customFormat="false" ht="39.75" hidden="false" customHeight="true" outlineLevel="0" collapsed="false">
      <c r="A620" s="57" t="s">
        <v>1308</v>
      </c>
      <c r="B620" s="57" t="s">
        <v>298</v>
      </c>
      <c r="C620" s="57" t="str">
        <f aca="false">Flights!$F$23</f>
        <v>MH0053</v>
      </c>
      <c r="D620" s="58" t="n">
        <f aca="false">Flights!$D$23</f>
        <v>46324</v>
      </c>
      <c r="E620" s="57" t="str">
        <f aca="false">Flights!$G$23&amp;"-"&amp;Flights!$H$23</f>
        <v>KIX-KUL</v>
      </c>
      <c r="F620" s="57" t="str">
        <f aca="false">Flights!$K$23</f>
        <v>EY</v>
      </c>
      <c r="G620" s="57" t="s">
        <v>79</v>
      </c>
      <c r="H620" s="57" t="s">
        <v>356</v>
      </c>
      <c r="I620" s="57" t="s">
        <v>363</v>
      </c>
      <c r="J620" s="57" t="s">
        <v>364</v>
      </c>
      <c r="K620" s="67" t="s">
        <v>365</v>
      </c>
      <c r="L620" s="67" t="s">
        <v>360</v>
      </c>
      <c r="M620" s="67"/>
      <c r="N620" s="67" t="s">
        <v>361</v>
      </c>
      <c r="O620" s="67"/>
      <c r="P620" s="57" t="s">
        <v>292</v>
      </c>
      <c r="Q620" s="59" t="n">
        <f aca="false">ROUND((Flights!$AC$23)*1440,0)/1440</f>
        <v>46317.0277777778</v>
      </c>
      <c r="R620" s="59" t="n">
        <f aca="false">Q620+(IF(AND(INDEX(TZ_DSTS,MATCH(P620,TZ_STN,0))&lt;&gt;"",Q620&gt;=INDEX(TZ_DSTS,MATCH(P620,TZ_STN,0)),Q620&lt;INDEX(TZ_DSTE,MATCH(P620,TZ_STN,0))),INDEX(TZ_DST,MATCH(P620,TZ_STN,0)),INDEX(TZ_STD,MATCH(P620,TZ_STN,0))))/24</f>
        <v>46317.4027777778</v>
      </c>
      <c r="S620" s="59" t="n">
        <f aca="false">Q620-T7EarlyD*24/24</f>
        <v>46303.0277777778</v>
      </c>
      <c r="T620" s="60"/>
      <c r="U620" s="60"/>
      <c r="V620" s="60"/>
      <c r="W620" s="61"/>
      <c r="X620" s="60"/>
      <c r="Y620" s="60"/>
      <c r="Z620" s="60"/>
      <c r="AA620" s="60"/>
      <c r="AB620" s="60"/>
      <c r="AC620" s="60"/>
      <c r="AD620" s="66"/>
      <c r="AE620" s="60"/>
      <c r="AF620" s="61" t="str">
        <f aca="false">IF(AND(ISNUMBER(X620),ISNUMBER(Y620)),Y620-X620,"")</f>
        <v/>
      </c>
      <c r="AG620" s="62" t="str">
        <f aca="false">IF(ISNUMBER(AD620),AD620-(IF(AND(INDEX(TZ_DSTS,MATCH(P620,TZ_STN,0))&lt;&gt;"",(AD620-INDEX(TZ_STD,MATCH(P620,TZ_STN,0))/24)&gt;=INDEX(TZ_DSTS,MATCH(P620,TZ_STN,0)),(AD620-INDEX(TZ_STD,MATCH(P620,TZ_STN,0))/24)&lt;INDEX(TZ_DSTE,MATCH(P620,TZ_STN,0))),INDEX(TZ_DST,MATCH(P620,TZ_STN,0)),INDEX(TZ_STD,MATCH(P620,TZ_STN,0))))/24,"")</f>
        <v/>
      </c>
      <c r="AH620" s="65" t="str">
        <f aca="false">IFERROR(IF(N620="N/A – rule","N/A – RULE",IF(TRIM(U620)="N/A",IF(AT620=0,"INVALID – N/A not permitted for this check",IF(AND(TRIM(AB620)&lt;&gt;"",TRIM(AB620)&lt;&gt;"Closed"),"INVALID – corrective action still open",IF(AND(NOT(OR(LEN(AZ620)&lt;15,ISNUMBER(MATCH(AZ620,L_Placeholder,0)))),NOT(OR(LEN(AU620)&lt;2,ISNUMBER(MATCH(AU620,L_Placeholder,0)))),NOT(OR(LEN(AX620)&lt;2,ISNUMBER(MATCH(AX620,L_Placeholder,0)))),TRIM(AE620)&lt;&gt;TRIM(T620)),"N/A – JUSTIFIED","INVALID – N/A needs a real justification (15+ chars), PIC and a different verifier"))),IF(OR(TRIM(U620)="Pass",TRIM(U620)="Pass after CA"),IF(NOT(ISNUMBER(AD620)),"INVALID – completion time missing",IF(OR(LEN(AU620)&lt;2,ISNUMBER(MATCH(AU620,L_Placeholder,0))),"INVALID – PIC missing",IF(OR(LEN(AV620)&lt;2,ISNUMBER(MATCH(AV620,L_Placeholder,0))),"INVALID – result / assessment missing",IF(OR(OR(LEN(AW620)&lt;3,ISNUMBER(MATCH(AW620,L_Placeholder,0))),SUMPRODUCT(--ISNUMBER(SEARCH(L_EvidencePhrase,AW620)))&gt;0),"INVALID – evidence missing, placeholder or not yet on file",IF(OR(LEN(AX620)&lt;2,ISNUMBER(MATCH(AX620,L_Placeholder,0))),"INVALID – verifier missing",IF(AX620=AU620,"INVALID – verifier must be someone other than the PIC",IF(AND(TRIM(U620)="Pass",SUMPRODUCT(--ISNUMBER(SEARCH(L_ResultBad,AV620)))&gt;0),"INVALID – result describes a problem: use Fail, then Pass after CA",IF(AND(AQ620=1,OR(LEN(AY620)&lt;3,ISNUMBER(MATCH(AY620,L_Placeholder,0)))),"INVALID – batch ID missing or placeholder",IF(AND(AR620=1,OR(NOT(ISNUMBER(X620)),NOT(ISNUMBER(Y620)))),"INVALID – expected/actual qty missing",IF(AND(AR620=1,OR(X620&lt;=0,Y620&lt;0)),"INVALID – expected qty must be above 0 and actual not negative",IF(BB620&lt;&gt;"",BB620,IF(AND(AS620=1,Documents!$J$23&lt;&gt;"ON FILE"),"INVALID – GLD not on file (Documents sheet)",IF(AND(AS620=2,Documents!$O$23&lt;&gt;"ON FILE"),"INVALID – menu checklist not on file (Documents sheet)",IF(AND(AS620=3,NOT(ISNUMBER(Flights!$AX$23))),"INVALID – enter carrying flight KUL departure (Flights AX)",IF(AND(AS620=3,OR(Flights!$AZ$23&gt;Flights!$AA$23,Flights!$AX$23&lt;Flights!$AA$23-3)),"INVALID – carrying flight (Flights AX) cannot arrive before this leg's STD, or is over 3 days early",IF(AG620&gt;AsOfUTC,"INVALID – completion time is in the future",IF(AND(ISNUMBER(S620),AG620&lt;S620),IF(H620="Physical uplift","INVALID – before uplift window (cannot confirm loading)","INVALID – before valid window"),IF(AG620&gt;Flights!$AA$23,"INVALID – completed after departure (cannot establish readiness)",IF(AND(H620="Preparation",AG620&gt;IF(ISNUMBER(Flights!$BA$23),MIN(Flights!$BA$23,Flights!$AA$23),Flights!$AA$23)),"INVALID – completed after loading / departure (cannot establish readiness)",IF(AND(H620="Physical uplift",AG620&gt;Q620),"INVALID – recorded after the loading flight departed",IF(AG620&gt;Q620,"COMPLETE – LATE","COMPLETE"))))))))))))))))))))),IF(TRIM(U620)="Fail","FAIL – DISCREPANCY",IF(AND(TRIM(U620)&lt;&gt;"",TRIM(U620)&lt;&gt;"Not started",TRIM(U620)&lt;&gt;"In progress"),"INVALID – unrecognised status (use the list)",IF(AsOfUTC&gt;Q620,"OVERDUE",IF(N620="Clarification required","OPEN – CLARIFICATION","OPEN"))))))),"INVALID – error value in an input cell")</f>
        <v>OPEN</v>
      </c>
      <c r="AI620" s="61" t="n">
        <f aca="false">IF(OR(AH620="N/A – RULE",AH620="N/A – JUSTIFIED"),0,1)</f>
        <v>1</v>
      </c>
      <c r="AJ620" s="61" t="n">
        <f aca="false">IF(LEFT(AH620,8)="COMPLETE",1,0)</f>
        <v>0</v>
      </c>
      <c r="AK620" s="61" t="n">
        <f aca="false">IF(AND(AI620=1,AJ620=0,AsOfUTC&gt;Q620),1,0)</f>
        <v>0</v>
      </c>
      <c r="AL620" s="61" t="n">
        <f aca="false">IFERROR(IF(AND(AI620=1,OR(TRIM(U620)="Fail",AND(TRIM(AB620)&lt;&gt;"",TRIM(AB620)&lt;&gt;"Closed"),AND(ISNUMBER(AF620),AF620&lt;&gt;0,TRIM(U620)&lt;&gt;"Pass after CA"))),1,0),1)</f>
        <v>0</v>
      </c>
      <c r="AM620" s="61" t="n">
        <f aca="false">IF(LEFT(AH620,7)="INVALID",1,0)</f>
        <v>0</v>
      </c>
      <c r="AN620" s="61" t="n">
        <f aca="false">IF(AND(N620="Clarification required",AI620=1,AJ620=0),1,0)</f>
        <v>0</v>
      </c>
      <c r="AO620" s="61" t="str">
        <f aca="false">IF(AK620=1,SUM(AK$5:AK620),"")</f>
        <v/>
      </c>
      <c r="AP620" s="61" t="str">
        <f aca="false">IF(AL620=1,SUM(AL$5:AL620),"")</f>
        <v/>
      </c>
      <c r="AQ620" s="61" t="n">
        <v>0</v>
      </c>
      <c r="AR620" s="61" t="n">
        <v>0</v>
      </c>
      <c r="AS620" s="61" t="n">
        <v>0</v>
      </c>
      <c r="AT620" s="61" t="n">
        <v>0</v>
      </c>
      <c r="AU620" s="61" t="str">
        <f aca="false">SUBSTITUTE(SUBSTITUTE(SUBSTITUTE(SUBSTITUTE(SUBSTITUTE(SUBSTITUTE(SUBSTITUTE(SUBSTITUTE(SUBSTITUTE(SUBSTITUTE(SUBSTITUTE(SUBSTITUTE(SUBSTITUTE(LOWER(T620&amp;""),CHAR(160),"")," ",""),".",""),"-",""),"/",""),"?",""),"_",""),",",""),"[",""),"]",""),"(",""),")",""),"*","")</f>
        <v/>
      </c>
      <c r="AV620" s="61" t="str">
        <f aca="false">SUBSTITUTE(SUBSTITUTE(SUBSTITUTE(SUBSTITUTE(SUBSTITUTE(SUBSTITUTE(SUBSTITUTE(SUBSTITUTE(SUBSTITUTE(SUBSTITUTE(SUBSTITUTE(SUBSTITUTE(SUBSTITUTE(LOWER(V620&amp;""),CHAR(160),"")," ",""),".",""),"-",""),"/",""),"?",""),"_",""),",",""),"[",""),"]",""),"(",""),")",""),"*","")</f>
        <v/>
      </c>
      <c r="AW620" s="61" t="str">
        <f aca="false">SUBSTITUTE(SUBSTITUTE(SUBSTITUTE(SUBSTITUTE(SUBSTITUTE(SUBSTITUTE(SUBSTITUTE(SUBSTITUTE(SUBSTITUTE(SUBSTITUTE(SUBSTITUTE(SUBSTITUTE(SUBSTITUTE(LOWER(Z620&amp;""),CHAR(160),"")," ",""),".",""),"-",""),"/",""),"?",""),"_",""),",",""),"[",""),"]",""),"(",""),")",""),"*","")</f>
        <v/>
      </c>
      <c r="AX620" s="61" t="str">
        <f aca="false">SUBSTITUTE(SUBSTITUTE(SUBSTITUTE(SUBSTITUTE(SUBSTITUTE(SUBSTITUTE(SUBSTITUTE(SUBSTITUTE(SUBSTITUTE(SUBSTITUTE(SUBSTITUTE(SUBSTITUTE(SUBSTITUTE(LOWER(AE620&amp;""),CHAR(160),"")," ",""),".",""),"-",""),"/",""),"?",""),"_",""),",",""),"[",""),"]",""),"(",""),")",""),"*","")</f>
        <v/>
      </c>
      <c r="AY620" s="61" t="str">
        <f aca="false">SUBSTITUTE(SUBSTITUTE(SUBSTITUTE(SUBSTITUTE(SUBSTITUTE(SUBSTITUTE(SUBSTITUTE(SUBSTITUTE(SUBSTITUTE(SUBSTITUTE(SUBSTITUTE(SUBSTITUTE(SUBSTITUTE(LOWER(W620&amp;""),CHAR(160),"")," ",""),".",""),"-",""),"/",""),"?",""),"_",""),",",""),"[",""),"]",""),"(",""),")",""),"*","")</f>
        <v/>
      </c>
      <c r="AZ620" s="61" t="str">
        <f aca="false">SUBSTITUTE(SUBSTITUTE(SUBSTITUTE(SUBSTITUTE(SUBSTITUTE(SUBSTITUTE(SUBSTITUTE(SUBSTITUTE(SUBSTITUTE(SUBSTITUTE(SUBSTITUTE(SUBSTITUTE(SUBSTITUTE(LOWER(AC620&amp;""),CHAR(160),"")," ",""),".",""),"-",""),"/",""),"?",""),"_",""),",",""),"[",""),"]",""),"(",""),")",""),"*","")</f>
        <v/>
      </c>
      <c r="BA620" s="61" t="str">
        <f aca="false">SUBSTITUTE(SUBSTITUTE(SUBSTITUTE(SUBSTITUTE(SUBSTITUTE(SUBSTITUTE(SUBSTITUTE(SUBSTITUTE(SUBSTITUTE(SUBSTITUTE(SUBSTITUTE(SUBSTITUTE(SUBSTITUTE(LOWER(AA620&amp;""),CHAR(160),"")," ",""),".",""),"-",""),"/",""),"?",""),"_",""),",",""),"[",""),"]",""),"(",""),")",""),"*","")</f>
        <v/>
      </c>
      <c r="BB620" s="61" t="str">
        <f aca="false">IF(AND(TRIM(U620)="Pass",ISNUMBER(AF620)),IF(AF620&lt;&gt;0,"INVALID – qty variance: use Fail or Pass after CA",""),"")&amp;IF(AND(TRIM(U620)="Pass after CA",ISNUMBER(AF620)),IF(AF620&lt;&gt;0,"INVALID – after the corrective action the actual qty must equal expected (update Actual)",""),"")&amp;IF(AND(TRIM(U620)="Pass",TRIM(AB620)&lt;&gt;"",TRIM(AB620)&lt;&gt;"Closed"),"INVALID – corrective action not closed: use Fail, then Pass after CA","")&amp;IF(AND(TRIM(AA620)&lt;&gt;"",TRIM(AB620)=""),"INVALID – CA status missing for the recorded corrective action","")&amp;IF(AND(TRIM(U620)="Pass after CA",OR(OR(LEN(BA620)&lt;5,ISNUMBER(MATCH(BA620,L_Placeholder,0))),TRIM(AB620)&lt;&gt;"Closed")),"INVALID – corrective action not recorded/closed","")</f>
        <v/>
      </c>
    </row>
    <row r="621" customFormat="false" ht="41.25" hidden="false" customHeight="true" outlineLevel="0" collapsed="false">
      <c r="A621" s="57" t="s">
        <v>1309</v>
      </c>
      <c r="B621" s="57" t="s">
        <v>298</v>
      </c>
      <c r="C621" s="57" t="str">
        <f aca="false">Flights!$F$23</f>
        <v>MH0053</v>
      </c>
      <c r="D621" s="58" t="n">
        <f aca="false">Flights!$D$23</f>
        <v>46324</v>
      </c>
      <c r="E621" s="57" t="str">
        <f aca="false">Flights!$G$23&amp;"-"&amp;Flights!$H$23</f>
        <v>KIX-KUL</v>
      </c>
      <c r="F621" s="57" t="str">
        <f aca="false">Flights!$K$23</f>
        <v>EY</v>
      </c>
      <c r="G621" s="57" t="s">
        <v>79</v>
      </c>
      <c r="H621" s="57" t="s">
        <v>356</v>
      </c>
      <c r="I621" s="57" t="s">
        <v>367</v>
      </c>
      <c r="J621" s="57" t="s">
        <v>368</v>
      </c>
      <c r="K621" s="67" t="s">
        <v>369</v>
      </c>
      <c r="L621" s="67" t="s">
        <v>360</v>
      </c>
      <c r="M621" s="67"/>
      <c r="N621" s="67" t="str">
        <f aca="false">IF(TRIM(Flights!$L$23)="A339","Required","N/A – rule")</f>
        <v>N/A – rule</v>
      </c>
      <c r="O621" s="67" t="s">
        <v>370</v>
      </c>
      <c r="P621" s="57" t="s">
        <v>292</v>
      </c>
      <c r="Q621" s="59" t="n">
        <f aca="false">ROUND((Flights!$AC$23)*1440,0)/1440</f>
        <v>46317.0277777778</v>
      </c>
      <c r="R621" s="59" t="n">
        <f aca="false">Q621+(IF(AND(INDEX(TZ_DSTS,MATCH(P621,TZ_STN,0))&lt;&gt;"",Q621&gt;=INDEX(TZ_DSTS,MATCH(P621,TZ_STN,0)),Q621&lt;INDEX(TZ_DSTE,MATCH(P621,TZ_STN,0))),INDEX(TZ_DST,MATCH(P621,TZ_STN,0)),INDEX(TZ_STD,MATCH(P621,TZ_STN,0))))/24</f>
        <v>46317.4027777778</v>
      </c>
      <c r="S621" s="59" t="n">
        <f aca="false">Q621-T7EarlyD*24/24</f>
        <v>46303.0277777778</v>
      </c>
      <c r="T621" s="60"/>
      <c r="U621" s="60"/>
      <c r="V621" s="60"/>
      <c r="W621" s="61"/>
      <c r="X621" s="60"/>
      <c r="Y621" s="60"/>
      <c r="Z621" s="60"/>
      <c r="AA621" s="60"/>
      <c r="AB621" s="60"/>
      <c r="AC621" s="60"/>
      <c r="AD621" s="66"/>
      <c r="AE621" s="60"/>
      <c r="AF621" s="61" t="str">
        <f aca="false">IF(AND(ISNUMBER(X621),ISNUMBER(Y621)),Y621-X621,"")</f>
        <v/>
      </c>
      <c r="AG621" s="62" t="str">
        <f aca="false">IF(ISNUMBER(AD621),AD621-(IF(AND(INDEX(TZ_DSTS,MATCH(P621,TZ_STN,0))&lt;&gt;"",(AD621-INDEX(TZ_STD,MATCH(P621,TZ_STN,0))/24)&gt;=INDEX(TZ_DSTS,MATCH(P621,TZ_STN,0)),(AD621-INDEX(TZ_STD,MATCH(P621,TZ_STN,0))/24)&lt;INDEX(TZ_DSTE,MATCH(P621,TZ_STN,0))),INDEX(TZ_DST,MATCH(P621,TZ_STN,0)),INDEX(TZ_STD,MATCH(P621,TZ_STN,0))))/24,"")</f>
        <v/>
      </c>
      <c r="AH621" s="65" t="str">
        <f aca="false">IFERROR(IF(N621="N/A – rule","N/A – RULE",IF(TRIM(U621)="N/A",IF(AT621=0,"INVALID – N/A not permitted for this check",IF(AND(TRIM(AB621)&lt;&gt;"",TRIM(AB621)&lt;&gt;"Closed"),"INVALID – corrective action still open",IF(AND(NOT(OR(LEN(AZ621)&lt;15,ISNUMBER(MATCH(AZ621,L_Placeholder,0)))),NOT(OR(LEN(AU621)&lt;2,ISNUMBER(MATCH(AU621,L_Placeholder,0)))),NOT(OR(LEN(AX621)&lt;2,ISNUMBER(MATCH(AX621,L_Placeholder,0)))),TRIM(AE621)&lt;&gt;TRIM(T621)),"N/A – JUSTIFIED","INVALID – N/A needs a real justification (15+ chars), PIC and a different verifier"))),IF(OR(TRIM(U621)="Pass",TRIM(U621)="Pass after CA"),IF(NOT(ISNUMBER(AD621)),"INVALID – completion time missing",IF(OR(LEN(AU621)&lt;2,ISNUMBER(MATCH(AU621,L_Placeholder,0))),"INVALID – PIC missing",IF(OR(LEN(AV621)&lt;2,ISNUMBER(MATCH(AV621,L_Placeholder,0))),"INVALID – result / assessment missing",IF(OR(OR(LEN(AW621)&lt;3,ISNUMBER(MATCH(AW621,L_Placeholder,0))),SUMPRODUCT(--ISNUMBER(SEARCH(L_EvidencePhrase,AW621)))&gt;0),"INVALID – evidence missing, placeholder or not yet on file",IF(OR(LEN(AX621)&lt;2,ISNUMBER(MATCH(AX621,L_Placeholder,0))),"INVALID – verifier missing",IF(AX621=AU621,"INVALID – verifier must be someone other than the PIC",IF(AND(TRIM(U621)="Pass",SUMPRODUCT(--ISNUMBER(SEARCH(L_ResultBad,AV621)))&gt;0),"INVALID – result describes a problem: use Fail, then Pass after CA",IF(AND(AQ621=1,OR(LEN(AY621)&lt;3,ISNUMBER(MATCH(AY621,L_Placeholder,0)))),"INVALID – batch ID missing or placeholder",IF(AND(AR621=1,OR(NOT(ISNUMBER(X621)),NOT(ISNUMBER(Y621)))),"INVALID – expected/actual qty missing",IF(AND(AR621=1,OR(X621&lt;=0,Y621&lt;0)),"INVALID – expected qty must be above 0 and actual not negative",IF(BB621&lt;&gt;"",BB621,IF(AND(AS621=1,Documents!$J$23&lt;&gt;"ON FILE"),"INVALID – GLD not on file (Documents sheet)",IF(AND(AS621=2,Documents!$O$23&lt;&gt;"ON FILE"),"INVALID – menu checklist not on file (Documents sheet)",IF(AND(AS621=3,NOT(ISNUMBER(Flights!$AX$23))),"INVALID – enter carrying flight KUL departure (Flights AX)",IF(AND(AS621=3,OR(Flights!$AZ$23&gt;Flights!$AA$23,Flights!$AX$23&lt;Flights!$AA$23-3)),"INVALID – carrying flight (Flights AX) cannot arrive before this leg's STD, or is over 3 days early",IF(AG621&gt;AsOfUTC,"INVALID – completion time is in the future",IF(AND(ISNUMBER(S621),AG621&lt;S621),IF(H621="Physical uplift","INVALID – before uplift window (cannot confirm loading)","INVALID – before valid window"),IF(AG621&gt;Flights!$AA$23,"INVALID – completed after departure (cannot establish readiness)",IF(AND(H621="Preparation",AG621&gt;IF(ISNUMBER(Flights!$BA$23),MIN(Flights!$BA$23,Flights!$AA$23),Flights!$AA$23)),"INVALID – completed after loading / departure (cannot establish readiness)",IF(AND(H621="Physical uplift",AG621&gt;Q621),"INVALID – recorded after the loading flight departed",IF(AG621&gt;Q621,"COMPLETE – LATE","COMPLETE"))))))))))))))))))))),IF(TRIM(U621)="Fail","FAIL – DISCREPANCY",IF(AND(TRIM(U621)&lt;&gt;"",TRIM(U621)&lt;&gt;"Not started",TRIM(U621)&lt;&gt;"In progress"),"INVALID – unrecognised status (use the list)",IF(AsOfUTC&gt;Q621,"OVERDUE",IF(N621="Clarification required","OPEN – CLARIFICATION","OPEN"))))))),"INVALID – error value in an input cell")</f>
        <v>N/A – RULE</v>
      </c>
      <c r="AI621" s="61" t="n">
        <f aca="false">IF(OR(AH621="N/A – RULE",AH621="N/A – JUSTIFIED"),0,1)</f>
        <v>0</v>
      </c>
      <c r="AJ621" s="61" t="n">
        <f aca="false">IF(LEFT(AH621,8)="COMPLETE",1,0)</f>
        <v>0</v>
      </c>
      <c r="AK621" s="61" t="n">
        <f aca="false">IF(AND(AI621=1,AJ621=0,AsOfUTC&gt;Q621),1,0)</f>
        <v>0</v>
      </c>
      <c r="AL621" s="61" t="n">
        <f aca="false">IFERROR(IF(AND(AI621=1,OR(TRIM(U621)="Fail",AND(TRIM(AB621)&lt;&gt;"",TRIM(AB621)&lt;&gt;"Closed"),AND(ISNUMBER(AF621),AF621&lt;&gt;0,TRIM(U621)&lt;&gt;"Pass after CA"))),1,0),1)</f>
        <v>0</v>
      </c>
      <c r="AM621" s="61" t="n">
        <f aca="false">IF(LEFT(AH621,7)="INVALID",1,0)</f>
        <v>0</v>
      </c>
      <c r="AN621" s="61" t="n">
        <f aca="false">IF(AND(N621="Clarification required",AI621=1,AJ621=0),1,0)</f>
        <v>0</v>
      </c>
      <c r="AO621" s="61" t="str">
        <f aca="false">IF(AK621=1,SUM(AK$5:AK621),"")</f>
        <v/>
      </c>
      <c r="AP621" s="61" t="str">
        <f aca="false">IF(AL621=1,SUM(AL$5:AL621),"")</f>
        <v/>
      </c>
      <c r="AQ621" s="61" t="n">
        <v>0</v>
      </c>
      <c r="AR621" s="61" t="n">
        <v>0</v>
      </c>
      <c r="AS621" s="61" t="n">
        <v>0</v>
      </c>
      <c r="AT621" s="61" t="n">
        <v>0</v>
      </c>
      <c r="AU621" s="61" t="str">
        <f aca="false">SUBSTITUTE(SUBSTITUTE(SUBSTITUTE(SUBSTITUTE(SUBSTITUTE(SUBSTITUTE(SUBSTITUTE(SUBSTITUTE(SUBSTITUTE(SUBSTITUTE(SUBSTITUTE(SUBSTITUTE(SUBSTITUTE(LOWER(T621&amp;""),CHAR(160),"")," ",""),".",""),"-",""),"/",""),"?",""),"_",""),",",""),"[",""),"]",""),"(",""),")",""),"*","")</f>
        <v/>
      </c>
      <c r="AV621" s="61" t="str">
        <f aca="false">SUBSTITUTE(SUBSTITUTE(SUBSTITUTE(SUBSTITUTE(SUBSTITUTE(SUBSTITUTE(SUBSTITUTE(SUBSTITUTE(SUBSTITUTE(SUBSTITUTE(SUBSTITUTE(SUBSTITUTE(SUBSTITUTE(LOWER(V621&amp;""),CHAR(160),"")," ",""),".",""),"-",""),"/",""),"?",""),"_",""),",",""),"[",""),"]",""),"(",""),")",""),"*","")</f>
        <v/>
      </c>
      <c r="AW621" s="61" t="str">
        <f aca="false">SUBSTITUTE(SUBSTITUTE(SUBSTITUTE(SUBSTITUTE(SUBSTITUTE(SUBSTITUTE(SUBSTITUTE(SUBSTITUTE(SUBSTITUTE(SUBSTITUTE(SUBSTITUTE(SUBSTITUTE(SUBSTITUTE(LOWER(Z621&amp;""),CHAR(160),"")," ",""),".",""),"-",""),"/",""),"?",""),"_",""),",",""),"[",""),"]",""),"(",""),")",""),"*","")</f>
        <v/>
      </c>
      <c r="AX621" s="61" t="str">
        <f aca="false">SUBSTITUTE(SUBSTITUTE(SUBSTITUTE(SUBSTITUTE(SUBSTITUTE(SUBSTITUTE(SUBSTITUTE(SUBSTITUTE(SUBSTITUTE(SUBSTITUTE(SUBSTITUTE(SUBSTITUTE(SUBSTITUTE(LOWER(AE621&amp;""),CHAR(160),"")," ",""),".",""),"-",""),"/",""),"?",""),"_",""),",",""),"[",""),"]",""),"(",""),")",""),"*","")</f>
        <v/>
      </c>
      <c r="AY621" s="61" t="str">
        <f aca="false">SUBSTITUTE(SUBSTITUTE(SUBSTITUTE(SUBSTITUTE(SUBSTITUTE(SUBSTITUTE(SUBSTITUTE(SUBSTITUTE(SUBSTITUTE(SUBSTITUTE(SUBSTITUTE(SUBSTITUTE(SUBSTITUTE(LOWER(W621&amp;""),CHAR(160),"")," ",""),".",""),"-",""),"/",""),"?",""),"_",""),",",""),"[",""),"]",""),"(",""),")",""),"*","")</f>
        <v/>
      </c>
      <c r="AZ621" s="61" t="str">
        <f aca="false">SUBSTITUTE(SUBSTITUTE(SUBSTITUTE(SUBSTITUTE(SUBSTITUTE(SUBSTITUTE(SUBSTITUTE(SUBSTITUTE(SUBSTITUTE(SUBSTITUTE(SUBSTITUTE(SUBSTITUTE(SUBSTITUTE(LOWER(AC621&amp;""),CHAR(160),"")," ",""),".",""),"-",""),"/",""),"?",""),"_",""),",",""),"[",""),"]",""),"(",""),")",""),"*","")</f>
        <v/>
      </c>
      <c r="BA621" s="61" t="str">
        <f aca="false">SUBSTITUTE(SUBSTITUTE(SUBSTITUTE(SUBSTITUTE(SUBSTITUTE(SUBSTITUTE(SUBSTITUTE(SUBSTITUTE(SUBSTITUTE(SUBSTITUTE(SUBSTITUTE(SUBSTITUTE(SUBSTITUTE(LOWER(AA621&amp;""),CHAR(160),"")," ",""),".",""),"-",""),"/",""),"?",""),"_",""),",",""),"[",""),"]",""),"(",""),")",""),"*","")</f>
        <v/>
      </c>
      <c r="BB621" s="61" t="str">
        <f aca="false">IF(AND(TRIM(U621)="Pass",ISNUMBER(AF621)),IF(AF621&lt;&gt;0,"INVALID – qty variance: use Fail or Pass after CA",""),"")&amp;IF(AND(TRIM(U621)="Pass after CA",ISNUMBER(AF621)),IF(AF621&lt;&gt;0,"INVALID – after the corrective action the actual qty must equal expected (update Actual)",""),"")&amp;IF(AND(TRIM(U621)="Pass",TRIM(AB621)&lt;&gt;"",TRIM(AB621)&lt;&gt;"Closed"),"INVALID – corrective action not closed: use Fail, then Pass after CA","")&amp;IF(AND(TRIM(AA621)&lt;&gt;"",TRIM(AB621)=""),"INVALID – CA status missing for the recorded corrective action","")&amp;IF(AND(TRIM(U621)="Pass after CA",OR(OR(LEN(BA621)&lt;5,ISNUMBER(MATCH(BA621,L_Placeholder,0))),TRIM(AB621)&lt;&gt;"Closed")),"INVALID – corrective action not recorded/closed","")</f>
        <v/>
      </c>
    </row>
    <row r="622" customFormat="false" ht="39.75" hidden="false" customHeight="true" outlineLevel="0" collapsed="false">
      <c r="A622" s="57" t="s">
        <v>1310</v>
      </c>
      <c r="B622" s="57" t="s">
        <v>298</v>
      </c>
      <c r="C622" s="57" t="str">
        <f aca="false">Flights!$F$23</f>
        <v>MH0053</v>
      </c>
      <c r="D622" s="58" t="n">
        <f aca="false">Flights!$D$23</f>
        <v>46324</v>
      </c>
      <c r="E622" s="57" t="str">
        <f aca="false">Flights!$G$23&amp;"-"&amp;Flights!$H$23</f>
        <v>KIX-KUL</v>
      </c>
      <c r="F622" s="57" t="str">
        <f aca="false">Flights!$K$23</f>
        <v>EY</v>
      </c>
      <c r="G622" s="57" t="s">
        <v>79</v>
      </c>
      <c r="H622" s="57" t="s">
        <v>356</v>
      </c>
      <c r="I622" s="57" t="s">
        <v>372</v>
      </c>
      <c r="J622" s="57" t="s">
        <v>373</v>
      </c>
      <c r="K622" s="67" t="s">
        <v>374</v>
      </c>
      <c r="L622" s="67" t="s">
        <v>360</v>
      </c>
      <c r="M622" s="67"/>
      <c r="N622" s="67" t="s">
        <v>361</v>
      </c>
      <c r="O622" s="67"/>
      <c r="P622" s="57" t="s">
        <v>292</v>
      </c>
      <c r="Q622" s="59" t="n">
        <f aca="false">ROUND((Flights!$AC$23)*1440,0)/1440</f>
        <v>46317.0277777778</v>
      </c>
      <c r="R622" s="59" t="n">
        <f aca="false">Q622+(IF(AND(INDEX(TZ_DSTS,MATCH(P622,TZ_STN,0))&lt;&gt;"",Q622&gt;=INDEX(TZ_DSTS,MATCH(P622,TZ_STN,0)),Q622&lt;INDEX(TZ_DSTE,MATCH(P622,TZ_STN,0))),INDEX(TZ_DST,MATCH(P622,TZ_STN,0)),INDEX(TZ_STD,MATCH(P622,TZ_STN,0))))/24</f>
        <v>46317.4027777778</v>
      </c>
      <c r="S622" s="59" t="n">
        <f aca="false">Q622-T7EarlyD*24/24</f>
        <v>46303.0277777778</v>
      </c>
      <c r="T622" s="60"/>
      <c r="U622" s="60"/>
      <c r="V622" s="60"/>
      <c r="W622" s="61"/>
      <c r="X622" s="60"/>
      <c r="Y622" s="60"/>
      <c r="Z622" s="60"/>
      <c r="AA622" s="60"/>
      <c r="AB622" s="60"/>
      <c r="AC622" s="60"/>
      <c r="AD622" s="66"/>
      <c r="AE622" s="60"/>
      <c r="AF622" s="61" t="str">
        <f aca="false">IF(AND(ISNUMBER(X622),ISNUMBER(Y622)),Y622-X622,"")</f>
        <v/>
      </c>
      <c r="AG622" s="62" t="str">
        <f aca="false">IF(ISNUMBER(AD622),AD622-(IF(AND(INDEX(TZ_DSTS,MATCH(P622,TZ_STN,0))&lt;&gt;"",(AD622-INDEX(TZ_STD,MATCH(P622,TZ_STN,0))/24)&gt;=INDEX(TZ_DSTS,MATCH(P622,TZ_STN,0)),(AD622-INDEX(TZ_STD,MATCH(P622,TZ_STN,0))/24)&lt;INDEX(TZ_DSTE,MATCH(P622,TZ_STN,0))),INDEX(TZ_DST,MATCH(P622,TZ_STN,0)),INDEX(TZ_STD,MATCH(P622,TZ_STN,0))))/24,"")</f>
        <v/>
      </c>
      <c r="AH622" s="65" t="str">
        <f aca="false">IFERROR(IF(N622="N/A – rule","N/A – RULE",IF(TRIM(U622)="N/A",IF(AT622=0,"INVALID – N/A not permitted for this check",IF(AND(TRIM(AB622)&lt;&gt;"",TRIM(AB622)&lt;&gt;"Closed"),"INVALID – corrective action still open",IF(AND(NOT(OR(LEN(AZ622)&lt;15,ISNUMBER(MATCH(AZ622,L_Placeholder,0)))),NOT(OR(LEN(AU622)&lt;2,ISNUMBER(MATCH(AU622,L_Placeholder,0)))),NOT(OR(LEN(AX622)&lt;2,ISNUMBER(MATCH(AX622,L_Placeholder,0)))),TRIM(AE622)&lt;&gt;TRIM(T622)),"N/A – JUSTIFIED","INVALID – N/A needs a real justification (15+ chars), PIC and a different verifier"))),IF(OR(TRIM(U622)="Pass",TRIM(U622)="Pass after CA"),IF(NOT(ISNUMBER(AD622)),"INVALID – completion time missing",IF(OR(LEN(AU622)&lt;2,ISNUMBER(MATCH(AU622,L_Placeholder,0))),"INVALID – PIC missing",IF(OR(LEN(AV622)&lt;2,ISNUMBER(MATCH(AV622,L_Placeholder,0))),"INVALID – result / assessment missing",IF(OR(OR(LEN(AW622)&lt;3,ISNUMBER(MATCH(AW622,L_Placeholder,0))),SUMPRODUCT(--ISNUMBER(SEARCH(L_EvidencePhrase,AW622)))&gt;0),"INVALID – evidence missing, placeholder or not yet on file",IF(OR(LEN(AX622)&lt;2,ISNUMBER(MATCH(AX622,L_Placeholder,0))),"INVALID – verifier missing",IF(AX622=AU622,"INVALID – verifier must be someone other than the PIC",IF(AND(TRIM(U622)="Pass",SUMPRODUCT(--ISNUMBER(SEARCH(L_ResultBad,AV622)))&gt;0),"INVALID – result describes a problem: use Fail, then Pass after CA",IF(AND(AQ622=1,OR(LEN(AY622)&lt;3,ISNUMBER(MATCH(AY622,L_Placeholder,0)))),"INVALID – batch ID missing or placeholder",IF(AND(AR622=1,OR(NOT(ISNUMBER(X622)),NOT(ISNUMBER(Y622)))),"INVALID – expected/actual qty missing",IF(AND(AR622=1,OR(X622&lt;=0,Y622&lt;0)),"INVALID – expected qty must be above 0 and actual not negative",IF(BB622&lt;&gt;"",BB622,IF(AND(AS622=1,Documents!$J$23&lt;&gt;"ON FILE"),"INVALID – GLD not on file (Documents sheet)",IF(AND(AS622=2,Documents!$O$23&lt;&gt;"ON FILE"),"INVALID – menu checklist not on file (Documents sheet)",IF(AND(AS622=3,NOT(ISNUMBER(Flights!$AX$23))),"INVALID – enter carrying flight KUL departure (Flights AX)",IF(AND(AS622=3,OR(Flights!$AZ$23&gt;Flights!$AA$23,Flights!$AX$23&lt;Flights!$AA$23-3)),"INVALID – carrying flight (Flights AX) cannot arrive before this leg's STD, or is over 3 days early",IF(AG622&gt;AsOfUTC,"INVALID – completion time is in the future",IF(AND(ISNUMBER(S622),AG622&lt;S622),IF(H622="Physical uplift","INVALID – before uplift window (cannot confirm loading)","INVALID – before valid window"),IF(AG622&gt;Flights!$AA$23,"INVALID – completed after departure (cannot establish readiness)",IF(AND(H622="Preparation",AG622&gt;IF(ISNUMBER(Flights!$BA$23),MIN(Flights!$BA$23,Flights!$AA$23),Flights!$AA$23)),"INVALID – completed after loading / departure (cannot establish readiness)",IF(AND(H622="Physical uplift",AG622&gt;Q622),"INVALID – recorded after the loading flight departed",IF(AG622&gt;Q622,"COMPLETE – LATE","COMPLETE"))))))))))))))))))))),IF(TRIM(U622)="Fail","FAIL – DISCREPANCY",IF(AND(TRIM(U622)&lt;&gt;"",TRIM(U622)&lt;&gt;"Not started",TRIM(U622)&lt;&gt;"In progress"),"INVALID – unrecognised status (use the list)",IF(AsOfUTC&gt;Q622,"OVERDUE",IF(N622="Clarification required","OPEN – CLARIFICATION","OPEN"))))))),"INVALID – error value in an input cell")</f>
        <v>OPEN</v>
      </c>
      <c r="AI622" s="61" t="n">
        <f aca="false">IF(OR(AH622="N/A – RULE",AH622="N/A – JUSTIFIED"),0,1)</f>
        <v>1</v>
      </c>
      <c r="AJ622" s="61" t="n">
        <f aca="false">IF(LEFT(AH622,8)="COMPLETE",1,0)</f>
        <v>0</v>
      </c>
      <c r="AK622" s="61" t="n">
        <f aca="false">IF(AND(AI622=1,AJ622=0,AsOfUTC&gt;Q622),1,0)</f>
        <v>0</v>
      </c>
      <c r="AL622" s="61" t="n">
        <f aca="false">IFERROR(IF(AND(AI622=1,OR(TRIM(U622)="Fail",AND(TRIM(AB622)&lt;&gt;"",TRIM(AB622)&lt;&gt;"Closed"),AND(ISNUMBER(AF622),AF622&lt;&gt;0,TRIM(U622)&lt;&gt;"Pass after CA"))),1,0),1)</f>
        <v>0</v>
      </c>
      <c r="AM622" s="61" t="n">
        <f aca="false">IF(LEFT(AH622,7)="INVALID",1,0)</f>
        <v>0</v>
      </c>
      <c r="AN622" s="61" t="n">
        <f aca="false">IF(AND(N622="Clarification required",AI622=1,AJ622=0),1,0)</f>
        <v>0</v>
      </c>
      <c r="AO622" s="61" t="str">
        <f aca="false">IF(AK622=1,SUM(AK$5:AK622),"")</f>
        <v/>
      </c>
      <c r="AP622" s="61" t="str">
        <f aca="false">IF(AL622=1,SUM(AL$5:AL622),"")</f>
        <v/>
      </c>
      <c r="AQ622" s="61" t="n">
        <v>0</v>
      </c>
      <c r="AR622" s="61" t="n">
        <v>0</v>
      </c>
      <c r="AS622" s="61" t="n">
        <v>0</v>
      </c>
      <c r="AT622" s="61" t="n">
        <v>0</v>
      </c>
      <c r="AU622" s="61" t="str">
        <f aca="false">SUBSTITUTE(SUBSTITUTE(SUBSTITUTE(SUBSTITUTE(SUBSTITUTE(SUBSTITUTE(SUBSTITUTE(SUBSTITUTE(SUBSTITUTE(SUBSTITUTE(SUBSTITUTE(SUBSTITUTE(SUBSTITUTE(LOWER(T622&amp;""),CHAR(160),"")," ",""),".",""),"-",""),"/",""),"?",""),"_",""),",",""),"[",""),"]",""),"(",""),")",""),"*","")</f>
        <v/>
      </c>
      <c r="AV622" s="61" t="str">
        <f aca="false">SUBSTITUTE(SUBSTITUTE(SUBSTITUTE(SUBSTITUTE(SUBSTITUTE(SUBSTITUTE(SUBSTITUTE(SUBSTITUTE(SUBSTITUTE(SUBSTITUTE(SUBSTITUTE(SUBSTITUTE(SUBSTITUTE(LOWER(V622&amp;""),CHAR(160),"")," ",""),".",""),"-",""),"/",""),"?",""),"_",""),",",""),"[",""),"]",""),"(",""),")",""),"*","")</f>
        <v/>
      </c>
      <c r="AW622" s="61" t="str">
        <f aca="false">SUBSTITUTE(SUBSTITUTE(SUBSTITUTE(SUBSTITUTE(SUBSTITUTE(SUBSTITUTE(SUBSTITUTE(SUBSTITUTE(SUBSTITUTE(SUBSTITUTE(SUBSTITUTE(SUBSTITUTE(SUBSTITUTE(LOWER(Z622&amp;""),CHAR(160),"")," ",""),".",""),"-",""),"/",""),"?",""),"_",""),",",""),"[",""),"]",""),"(",""),")",""),"*","")</f>
        <v/>
      </c>
      <c r="AX622" s="61" t="str">
        <f aca="false">SUBSTITUTE(SUBSTITUTE(SUBSTITUTE(SUBSTITUTE(SUBSTITUTE(SUBSTITUTE(SUBSTITUTE(SUBSTITUTE(SUBSTITUTE(SUBSTITUTE(SUBSTITUTE(SUBSTITUTE(SUBSTITUTE(LOWER(AE622&amp;""),CHAR(160),"")," ",""),".",""),"-",""),"/",""),"?",""),"_",""),",",""),"[",""),"]",""),"(",""),")",""),"*","")</f>
        <v/>
      </c>
      <c r="AY622" s="61" t="str">
        <f aca="false">SUBSTITUTE(SUBSTITUTE(SUBSTITUTE(SUBSTITUTE(SUBSTITUTE(SUBSTITUTE(SUBSTITUTE(SUBSTITUTE(SUBSTITUTE(SUBSTITUTE(SUBSTITUTE(SUBSTITUTE(SUBSTITUTE(LOWER(W622&amp;""),CHAR(160),"")," ",""),".",""),"-",""),"/",""),"?",""),"_",""),",",""),"[",""),"]",""),"(",""),")",""),"*","")</f>
        <v/>
      </c>
      <c r="AZ622" s="61" t="str">
        <f aca="false">SUBSTITUTE(SUBSTITUTE(SUBSTITUTE(SUBSTITUTE(SUBSTITUTE(SUBSTITUTE(SUBSTITUTE(SUBSTITUTE(SUBSTITUTE(SUBSTITUTE(SUBSTITUTE(SUBSTITUTE(SUBSTITUTE(LOWER(AC622&amp;""),CHAR(160),"")," ",""),".",""),"-",""),"/",""),"?",""),"_",""),",",""),"[",""),"]",""),"(",""),")",""),"*","")</f>
        <v/>
      </c>
      <c r="BA622" s="61" t="str">
        <f aca="false">SUBSTITUTE(SUBSTITUTE(SUBSTITUTE(SUBSTITUTE(SUBSTITUTE(SUBSTITUTE(SUBSTITUTE(SUBSTITUTE(SUBSTITUTE(SUBSTITUTE(SUBSTITUTE(SUBSTITUTE(SUBSTITUTE(LOWER(AA622&amp;""),CHAR(160),"")," ",""),".",""),"-",""),"/",""),"?",""),"_",""),",",""),"[",""),"]",""),"(",""),")",""),"*","")</f>
        <v/>
      </c>
      <c r="BB622" s="61" t="str">
        <f aca="false">IF(AND(TRIM(U622)="Pass",ISNUMBER(AF622)),IF(AF622&lt;&gt;0,"INVALID – qty variance: use Fail or Pass after CA",""),"")&amp;IF(AND(TRIM(U622)="Pass after CA",ISNUMBER(AF622)),IF(AF622&lt;&gt;0,"INVALID – after the corrective action the actual qty must equal expected (update Actual)",""),"")&amp;IF(AND(TRIM(U622)="Pass",TRIM(AB622)&lt;&gt;"",TRIM(AB622)&lt;&gt;"Closed"),"INVALID – corrective action not closed: use Fail, then Pass after CA","")&amp;IF(AND(TRIM(AA622)&lt;&gt;"",TRIM(AB622)=""),"INVALID – CA status missing for the recorded corrective action","")&amp;IF(AND(TRIM(U622)="Pass after CA",OR(OR(LEN(BA622)&lt;5,ISNUMBER(MATCH(BA622,L_Placeholder,0))),TRIM(AB622)&lt;&gt;"Closed")),"INVALID – corrective action not recorded/closed","")</f>
        <v/>
      </c>
    </row>
    <row r="623" customFormat="false" ht="39.75" hidden="false" customHeight="true" outlineLevel="0" collapsed="false">
      <c r="A623" s="57" t="s">
        <v>1311</v>
      </c>
      <c r="B623" s="57" t="s">
        <v>298</v>
      </c>
      <c r="C623" s="57" t="str">
        <f aca="false">Flights!$F$23</f>
        <v>MH0053</v>
      </c>
      <c r="D623" s="58" t="n">
        <f aca="false">Flights!$D$23</f>
        <v>46324</v>
      </c>
      <c r="E623" s="57" t="str">
        <f aca="false">Flights!$G$23&amp;"-"&amp;Flights!$H$23</f>
        <v>KIX-KUL</v>
      </c>
      <c r="F623" s="57" t="str">
        <f aca="false">Flights!$K$23</f>
        <v>EY</v>
      </c>
      <c r="G623" s="57" t="s">
        <v>79</v>
      </c>
      <c r="H623" s="57" t="s">
        <v>356</v>
      </c>
      <c r="I623" s="57" t="s">
        <v>376</v>
      </c>
      <c r="J623" s="57" t="s">
        <v>377</v>
      </c>
      <c r="K623" s="67" t="s">
        <v>378</v>
      </c>
      <c r="L623" s="67" t="s">
        <v>360</v>
      </c>
      <c r="M623" s="67"/>
      <c r="N623" s="67" t="s">
        <v>361</v>
      </c>
      <c r="O623" s="67"/>
      <c r="P623" s="57" t="s">
        <v>292</v>
      </c>
      <c r="Q623" s="59" t="n">
        <f aca="false">ROUND((Flights!$AC$23)*1440,0)/1440</f>
        <v>46317.0277777778</v>
      </c>
      <c r="R623" s="59" t="n">
        <f aca="false">Q623+(IF(AND(INDEX(TZ_DSTS,MATCH(P623,TZ_STN,0))&lt;&gt;"",Q623&gt;=INDEX(TZ_DSTS,MATCH(P623,TZ_STN,0)),Q623&lt;INDEX(TZ_DSTE,MATCH(P623,TZ_STN,0))),INDEX(TZ_DST,MATCH(P623,TZ_STN,0)),INDEX(TZ_STD,MATCH(P623,TZ_STN,0))))/24</f>
        <v>46317.4027777778</v>
      </c>
      <c r="S623" s="59" t="n">
        <f aca="false">Q623-T7EarlyD*24/24</f>
        <v>46303.0277777778</v>
      </c>
      <c r="T623" s="60"/>
      <c r="U623" s="60"/>
      <c r="V623" s="60"/>
      <c r="W623" s="61"/>
      <c r="X623" s="60"/>
      <c r="Y623" s="60"/>
      <c r="Z623" s="60"/>
      <c r="AA623" s="60"/>
      <c r="AB623" s="60"/>
      <c r="AC623" s="60"/>
      <c r="AD623" s="66"/>
      <c r="AE623" s="60"/>
      <c r="AF623" s="61" t="str">
        <f aca="false">IF(AND(ISNUMBER(X623),ISNUMBER(Y623)),Y623-X623,"")</f>
        <v/>
      </c>
      <c r="AG623" s="62" t="str">
        <f aca="false">IF(ISNUMBER(AD623),AD623-(IF(AND(INDEX(TZ_DSTS,MATCH(P623,TZ_STN,0))&lt;&gt;"",(AD623-INDEX(TZ_STD,MATCH(P623,TZ_STN,0))/24)&gt;=INDEX(TZ_DSTS,MATCH(P623,TZ_STN,0)),(AD623-INDEX(TZ_STD,MATCH(P623,TZ_STN,0))/24)&lt;INDEX(TZ_DSTE,MATCH(P623,TZ_STN,0))),INDEX(TZ_DST,MATCH(P623,TZ_STN,0)),INDEX(TZ_STD,MATCH(P623,TZ_STN,0))))/24,"")</f>
        <v/>
      </c>
      <c r="AH623" s="65" t="str">
        <f aca="false">IFERROR(IF(N623="N/A – rule","N/A – RULE",IF(TRIM(U623)="N/A",IF(AT623=0,"INVALID – N/A not permitted for this check",IF(AND(TRIM(AB623)&lt;&gt;"",TRIM(AB623)&lt;&gt;"Closed"),"INVALID – corrective action still open",IF(AND(NOT(OR(LEN(AZ623)&lt;15,ISNUMBER(MATCH(AZ623,L_Placeholder,0)))),NOT(OR(LEN(AU623)&lt;2,ISNUMBER(MATCH(AU623,L_Placeholder,0)))),NOT(OR(LEN(AX623)&lt;2,ISNUMBER(MATCH(AX623,L_Placeholder,0)))),TRIM(AE623)&lt;&gt;TRIM(T623)),"N/A – JUSTIFIED","INVALID – N/A needs a real justification (15+ chars), PIC and a different verifier"))),IF(OR(TRIM(U623)="Pass",TRIM(U623)="Pass after CA"),IF(NOT(ISNUMBER(AD623)),"INVALID – completion time missing",IF(OR(LEN(AU623)&lt;2,ISNUMBER(MATCH(AU623,L_Placeholder,0))),"INVALID – PIC missing",IF(OR(LEN(AV623)&lt;2,ISNUMBER(MATCH(AV623,L_Placeholder,0))),"INVALID – result / assessment missing",IF(OR(OR(LEN(AW623)&lt;3,ISNUMBER(MATCH(AW623,L_Placeholder,0))),SUMPRODUCT(--ISNUMBER(SEARCH(L_EvidencePhrase,AW623)))&gt;0),"INVALID – evidence missing, placeholder or not yet on file",IF(OR(LEN(AX623)&lt;2,ISNUMBER(MATCH(AX623,L_Placeholder,0))),"INVALID – verifier missing",IF(AX623=AU623,"INVALID – verifier must be someone other than the PIC",IF(AND(TRIM(U623)="Pass",SUMPRODUCT(--ISNUMBER(SEARCH(L_ResultBad,AV623)))&gt;0),"INVALID – result describes a problem: use Fail, then Pass after CA",IF(AND(AQ623=1,OR(LEN(AY623)&lt;3,ISNUMBER(MATCH(AY623,L_Placeholder,0)))),"INVALID – batch ID missing or placeholder",IF(AND(AR623=1,OR(NOT(ISNUMBER(X623)),NOT(ISNUMBER(Y623)))),"INVALID – expected/actual qty missing",IF(AND(AR623=1,OR(X623&lt;=0,Y623&lt;0)),"INVALID – expected qty must be above 0 and actual not negative",IF(BB623&lt;&gt;"",BB623,IF(AND(AS623=1,Documents!$J$23&lt;&gt;"ON FILE"),"INVALID – GLD not on file (Documents sheet)",IF(AND(AS623=2,Documents!$O$23&lt;&gt;"ON FILE"),"INVALID – menu checklist not on file (Documents sheet)",IF(AND(AS623=3,NOT(ISNUMBER(Flights!$AX$23))),"INVALID – enter carrying flight KUL departure (Flights AX)",IF(AND(AS623=3,OR(Flights!$AZ$23&gt;Flights!$AA$23,Flights!$AX$23&lt;Flights!$AA$23-3)),"INVALID – carrying flight (Flights AX) cannot arrive before this leg's STD, or is over 3 days early",IF(AG623&gt;AsOfUTC,"INVALID – completion time is in the future",IF(AND(ISNUMBER(S623),AG623&lt;S623),IF(H623="Physical uplift","INVALID – before uplift window (cannot confirm loading)","INVALID – before valid window"),IF(AG623&gt;Flights!$AA$23,"INVALID – completed after departure (cannot establish readiness)",IF(AND(H623="Preparation",AG623&gt;IF(ISNUMBER(Flights!$BA$23),MIN(Flights!$BA$23,Flights!$AA$23),Flights!$AA$23)),"INVALID – completed after loading / departure (cannot establish readiness)",IF(AND(H623="Physical uplift",AG623&gt;Q623),"INVALID – recorded after the loading flight departed",IF(AG623&gt;Q623,"COMPLETE – LATE","COMPLETE"))))))))))))))))))))),IF(TRIM(U623)="Fail","FAIL – DISCREPANCY",IF(AND(TRIM(U623)&lt;&gt;"",TRIM(U623)&lt;&gt;"Not started",TRIM(U623)&lt;&gt;"In progress"),"INVALID – unrecognised status (use the list)",IF(AsOfUTC&gt;Q623,"OVERDUE",IF(N623="Clarification required","OPEN – CLARIFICATION","OPEN"))))))),"INVALID – error value in an input cell")</f>
        <v>OPEN</v>
      </c>
      <c r="AI623" s="61" t="n">
        <f aca="false">IF(OR(AH623="N/A – RULE",AH623="N/A – JUSTIFIED"),0,1)</f>
        <v>1</v>
      </c>
      <c r="AJ623" s="61" t="n">
        <f aca="false">IF(LEFT(AH623,8)="COMPLETE",1,0)</f>
        <v>0</v>
      </c>
      <c r="AK623" s="61" t="n">
        <f aca="false">IF(AND(AI623=1,AJ623=0,AsOfUTC&gt;Q623),1,0)</f>
        <v>0</v>
      </c>
      <c r="AL623" s="61" t="n">
        <f aca="false">IFERROR(IF(AND(AI623=1,OR(TRIM(U623)="Fail",AND(TRIM(AB623)&lt;&gt;"",TRIM(AB623)&lt;&gt;"Closed"),AND(ISNUMBER(AF623),AF623&lt;&gt;0,TRIM(U623)&lt;&gt;"Pass after CA"))),1,0),1)</f>
        <v>0</v>
      </c>
      <c r="AM623" s="61" t="n">
        <f aca="false">IF(LEFT(AH623,7)="INVALID",1,0)</f>
        <v>0</v>
      </c>
      <c r="AN623" s="61" t="n">
        <f aca="false">IF(AND(N623="Clarification required",AI623=1,AJ623=0),1,0)</f>
        <v>0</v>
      </c>
      <c r="AO623" s="61" t="str">
        <f aca="false">IF(AK623=1,SUM(AK$5:AK623),"")</f>
        <v/>
      </c>
      <c r="AP623" s="61" t="str">
        <f aca="false">IF(AL623=1,SUM(AL$5:AL623),"")</f>
        <v/>
      </c>
      <c r="AQ623" s="61" t="n">
        <v>0</v>
      </c>
      <c r="AR623" s="61" t="n">
        <v>0</v>
      </c>
      <c r="AS623" s="61" t="n">
        <v>0</v>
      </c>
      <c r="AT623" s="61" t="n">
        <v>0</v>
      </c>
      <c r="AU623" s="61" t="str">
        <f aca="false">SUBSTITUTE(SUBSTITUTE(SUBSTITUTE(SUBSTITUTE(SUBSTITUTE(SUBSTITUTE(SUBSTITUTE(SUBSTITUTE(SUBSTITUTE(SUBSTITUTE(SUBSTITUTE(SUBSTITUTE(SUBSTITUTE(LOWER(T623&amp;""),CHAR(160),"")," ",""),".",""),"-",""),"/",""),"?",""),"_",""),",",""),"[",""),"]",""),"(",""),")",""),"*","")</f>
        <v/>
      </c>
      <c r="AV623" s="61" t="str">
        <f aca="false">SUBSTITUTE(SUBSTITUTE(SUBSTITUTE(SUBSTITUTE(SUBSTITUTE(SUBSTITUTE(SUBSTITUTE(SUBSTITUTE(SUBSTITUTE(SUBSTITUTE(SUBSTITUTE(SUBSTITUTE(SUBSTITUTE(LOWER(V623&amp;""),CHAR(160),"")," ",""),".",""),"-",""),"/",""),"?",""),"_",""),",",""),"[",""),"]",""),"(",""),")",""),"*","")</f>
        <v/>
      </c>
      <c r="AW623" s="61" t="str">
        <f aca="false">SUBSTITUTE(SUBSTITUTE(SUBSTITUTE(SUBSTITUTE(SUBSTITUTE(SUBSTITUTE(SUBSTITUTE(SUBSTITUTE(SUBSTITUTE(SUBSTITUTE(SUBSTITUTE(SUBSTITUTE(SUBSTITUTE(LOWER(Z623&amp;""),CHAR(160),"")," ",""),".",""),"-",""),"/",""),"?",""),"_",""),",",""),"[",""),"]",""),"(",""),")",""),"*","")</f>
        <v/>
      </c>
      <c r="AX623" s="61" t="str">
        <f aca="false">SUBSTITUTE(SUBSTITUTE(SUBSTITUTE(SUBSTITUTE(SUBSTITUTE(SUBSTITUTE(SUBSTITUTE(SUBSTITUTE(SUBSTITUTE(SUBSTITUTE(SUBSTITUTE(SUBSTITUTE(SUBSTITUTE(LOWER(AE623&amp;""),CHAR(160),"")," ",""),".",""),"-",""),"/",""),"?",""),"_",""),",",""),"[",""),"]",""),"(",""),")",""),"*","")</f>
        <v/>
      </c>
      <c r="AY623" s="61" t="str">
        <f aca="false">SUBSTITUTE(SUBSTITUTE(SUBSTITUTE(SUBSTITUTE(SUBSTITUTE(SUBSTITUTE(SUBSTITUTE(SUBSTITUTE(SUBSTITUTE(SUBSTITUTE(SUBSTITUTE(SUBSTITUTE(SUBSTITUTE(LOWER(W623&amp;""),CHAR(160),"")," ",""),".",""),"-",""),"/",""),"?",""),"_",""),",",""),"[",""),"]",""),"(",""),")",""),"*","")</f>
        <v/>
      </c>
      <c r="AZ623" s="61" t="str">
        <f aca="false">SUBSTITUTE(SUBSTITUTE(SUBSTITUTE(SUBSTITUTE(SUBSTITUTE(SUBSTITUTE(SUBSTITUTE(SUBSTITUTE(SUBSTITUTE(SUBSTITUTE(SUBSTITUTE(SUBSTITUTE(SUBSTITUTE(LOWER(AC623&amp;""),CHAR(160),"")," ",""),".",""),"-",""),"/",""),"?",""),"_",""),",",""),"[",""),"]",""),"(",""),")",""),"*","")</f>
        <v/>
      </c>
      <c r="BA623" s="61" t="str">
        <f aca="false">SUBSTITUTE(SUBSTITUTE(SUBSTITUTE(SUBSTITUTE(SUBSTITUTE(SUBSTITUTE(SUBSTITUTE(SUBSTITUTE(SUBSTITUTE(SUBSTITUTE(SUBSTITUTE(SUBSTITUTE(SUBSTITUTE(LOWER(AA623&amp;""),CHAR(160),"")," ",""),".",""),"-",""),"/",""),"?",""),"_",""),",",""),"[",""),"]",""),"(",""),")",""),"*","")</f>
        <v/>
      </c>
      <c r="BB623" s="61" t="str">
        <f aca="false">IF(AND(TRIM(U623)="Pass",ISNUMBER(AF623)),IF(AF623&lt;&gt;0,"INVALID – qty variance: use Fail or Pass after CA",""),"")&amp;IF(AND(TRIM(U623)="Pass after CA",ISNUMBER(AF623)),IF(AF623&lt;&gt;0,"INVALID – after the corrective action the actual qty must equal expected (update Actual)",""),"")&amp;IF(AND(TRIM(U623)="Pass",TRIM(AB623)&lt;&gt;"",TRIM(AB623)&lt;&gt;"Closed"),"INVALID – corrective action not closed: use Fail, then Pass after CA","")&amp;IF(AND(TRIM(AA623)&lt;&gt;"",TRIM(AB623)=""),"INVALID – CA status missing for the recorded corrective action","")&amp;IF(AND(TRIM(U623)="Pass after CA",OR(OR(LEN(BA623)&lt;5,ISNUMBER(MATCH(BA623,L_Placeholder,0))),TRIM(AB623)&lt;&gt;"Closed")),"INVALID – corrective action not recorded/closed","")</f>
        <v/>
      </c>
    </row>
    <row r="624" customFormat="false" ht="39.75" hidden="false" customHeight="true" outlineLevel="0" collapsed="false">
      <c r="A624" s="57" t="s">
        <v>1312</v>
      </c>
      <c r="B624" s="57" t="s">
        <v>298</v>
      </c>
      <c r="C624" s="57" t="str">
        <f aca="false">Flights!$F$23</f>
        <v>MH0053</v>
      </c>
      <c r="D624" s="58" t="n">
        <f aca="false">Flights!$D$23</f>
        <v>46324</v>
      </c>
      <c r="E624" s="57" t="str">
        <f aca="false">Flights!$G$23&amp;"-"&amp;Flights!$H$23</f>
        <v>KIX-KUL</v>
      </c>
      <c r="F624" s="57" t="str">
        <f aca="false">Flights!$K$23</f>
        <v>EY</v>
      </c>
      <c r="G624" s="57" t="s">
        <v>79</v>
      </c>
      <c r="H624" s="57" t="s">
        <v>356</v>
      </c>
      <c r="I624" s="57" t="s">
        <v>376</v>
      </c>
      <c r="J624" s="57" t="s">
        <v>380</v>
      </c>
      <c r="K624" s="67" t="s">
        <v>381</v>
      </c>
      <c r="L624" s="67" t="s">
        <v>360</v>
      </c>
      <c r="M624" s="67"/>
      <c r="N624" s="67" t="s">
        <v>361</v>
      </c>
      <c r="O624" s="67"/>
      <c r="P624" s="57" t="s">
        <v>292</v>
      </c>
      <c r="Q624" s="59" t="n">
        <f aca="false">ROUND((Flights!$AC$23)*1440,0)/1440</f>
        <v>46317.0277777778</v>
      </c>
      <c r="R624" s="59" t="n">
        <f aca="false">Q624+(IF(AND(INDEX(TZ_DSTS,MATCH(P624,TZ_STN,0))&lt;&gt;"",Q624&gt;=INDEX(TZ_DSTS,MATCH(P624,TZ_STN,0)),Q624&lt;INDEX(TZ_DSTE,MATCH(P624,TZ_STN,0))),INDEX(TZ_DST,MATCH(P624,TZ_STN,0)),INDEX(TZ_STD,MATCH(P624,TZ_STN,0))))/24</f>
        <v>46317.4027777778</v>
      </c>
      <c r="S624" s="59" t="n">
        <f aca="false">Q624-T7EarlyD*24/24</f>
        <v>46303.0277777778</v>
      </c>
      <c r="T624" s="60"/>
      <c r="U624" s="60"/>
      <c r="V624" s="60"/>
      <c r="W624" s="61"/>
      <c r="X624" s="60"/>
      <c r="Y624" s="60"/>
      <c r="Z624" s="60"/>
      <c r="AA624" s="60"/>
      <c r="AB624" s="60"/>
      <c r="AC624" s="60"/>
      <c r="AD624" s="66"/>
      <c r="AE624" s="60"/>
      <c r="AF624" s="61" t="str">
        <f aca="false">IF(AND(ISNUMBER(X624),ISNUMBER(Y624)),Y624-X624,"")</f>
        <v/>
      </c>
      <c r="AG624" s="62" t="str">
        <f aca="false">IF(ISNUMBER(AD624),AD624-(IF(AND(INDEX(TZ_DSTS,MATCH(P624,TZ_STN,0))&lt;&gt;"",(AD624-INDEX(TZ_STD,MATCH(P624,TZ_STN,0))/24)&gt;=INDEX(TZ_DSTS,MATCH(P624,TZ_STN,0)),(AD624-INDEX(TZ_STD,MATCH(P624,TZ_STN,0))/24)&lt;INDEX(TZ_DSTE,MATCH(P624,TZ_STN,0))),INDEX(TZ_DST,MATCH(P624,TZ_STN,0)),INDEX(TZ_STD,MATCH(P624,TZ_STN,0))))/24,"")</f>
        <v/>
      </c>
      <c r="AH624" s="65" t="str">
        <f aca="false">IFERROR(IF(N624="N/A – rule","N/A – RULE",IF(TRIM(U624)="N/A",IF(AT624=0,"INVALID – N/A not permitted for this check",IF(AND(TRIM(AB624)&lt;&gt;"",TRIM(AB624)&lt;&gt;"Closed"),"INVALID – corrective action still open",IF(AND(NOT(OR(LEN(AZ624)&lt;15,ISNUMBER(MATCH(AZ624,L_Placeholder,0)))),NOT(OR(LEN(AU624)&lt;2,ISNUMBER(MATCH(AU624,L_Placeholder,0)))),NOT(OR(LEN(AX624)&lt;2,ISNUMBER(MATCH(AX624,L_Placeholder,0)))),TRIM(AE624)&lt;&gt;TRIM(T624)),"N/A – JUSTIFIED","INVALID – N/A needs a real justification (15+ chars), PIC and a different verifier"))),IF(OR(TRIM(U624)="Pass",TRIM(U624)="Pass after CA"),IF(NOT(ISNUMBER(AD624)),"INVALID – completion time missing",IF(OR(LEN(AU624)&lt;2,ISNUMBER(MATCH(AU624,L_Placeholder,0))),"INVALID – PIC missing",IF(OR(LEN(AV624)&lt;2,ISNUMBER(MATCH(AV624,L_Placeholder,0))),"INVALID – result / assessment missing",IF(OR(OR(LEN(AW624)&lt;3,ISNUMBER(MATCH(AW624,L_Placeholder,0))),SUMPRODUCT(--ISNUMBER(SEARCH(L_EvidencePhrase,AW624)))&gt;0),"INVALID – evidence missing, placeholder or not yet on file",IF(OR(LEN(AX624)&lt;2,ISNUMBER(MATCH(AX624,L_Placeholder,0))),"INVALID – verifier missing",IF(AX624=AU624,"INVALID – verifier must be someone other than the PIC",IF(AND(TRIM(U624)="Pass",SUMPRODUCT(--ISNUMBER(SEARCH(L_ResultBad,AV624)))&gt;0),"INVALID – result describes a problem: use Fail, then Pass after CA",IF(AND(AQ624=1,OR(LEN(AY624)&lt;3,ISNUMBER(MATCH(AY624,L_Placeholder,0)))),"INVALID – batch ID missing or placeholder",IF(AND(AR624=1,OR(NOT(ISNUMBER(X624)),NOT(ISNUMBER(Y624)))),"INVALID – expected/actual qty missing",IF(AND(AR624=1,OR(X624&lt;=0,Y624&lt;0)),"INVALID – expected qty must be above 0 and actual not negative",IF(BB624&lt;&gt;"",BB624,IF(AND(AS624=1,Documents!$J$23&lt;&gt;"ON FILE"),"INVALID – GLD not on file (Documents sheet)",IF(AND(AS624=2,Documents!$O$23&lt;&gt;"ON FILE"),"INVALID – menu checklist not on file (Documents sheet)",IF(AND(AS624=3,NOT(ISNUMBER(Flights!$AX$23))),"INVALID – enter carrying flight KUL departure (Flights AX)",IF(AND(AS624=3,OR(Flights!$AZ$23&gt;Flights!$AA$23,Flights!$AX$23&lt;Flights!$AA$23-3)),"INVALID – carrying flight (Flights AX) cannot arrive before this leg's STD, or is over 3 days early",IF(AG624&gt;AsOfUTC,"INVALID – completion time is in the future",IF(AND(ISNUMBER(S624),AG624&lt;S624),IF(H624="Physical uplift","INVALID – before uplift window (cannot confirm loading)","INVALID – before valid window"),IF(AG624&gt;Flights!$AA$23,"INVALID – completed after departure (cannot establish readiness)",IF(AND(H624="Preparation",AG624&gt;IF(ISNUMBER(Flights!$BA$23),MIN(Flights!$BA$23,Flights!$AA$23),Flights!$AA$23)),"INVALID – completed after loading / departure (cannot establish readiness)",IF(AND(H624="Physical uplift",AG624&gt;Q624),"INVALID – recorded after the loading flight departed",IF(AG624&gt;Q624,"COMPLETE – LATE","COMPLETE"))))))))))))))))))))),IF(TRIM(U624)="Fail","FAIL – DISCREPANCY",IF(AND(TRIM(U624)&lt;&gt;"",TRIM(U624)&lt;&gt;"Not started",TRIM(U624)&lt;&gt;"In progress"),"INVALID – unrecognised status (use the list)",IF(AsOfUTC&gt;Q624,"OVERDUE",IF(N624="Clarification required","OPEN – CLARIFICATION","OPEN"))))))),"INVALID – error value in an input cell")</f>
        <v>OPEN</v>
      </c>
      <c r="AI624" s="61" t="n">
        <f aca="false">IF(OR(AH624="N/A – RULE",AH624="N/A – JUSTIFIED"),0,1)</f>
        <v>1</v>
      </c>
      <c r="AJ624" s="61" t="n">
        <f aca="false">IF(LEFT(AH624,8)="COMPLETE",1,0)</f>
        <v>0</v>
      </c>
      <c r="AK624" s="61" t="n">
        <f aca="false">IF(AND(AI624=1,AJ624=0,AsOfUTC&gt;Q624),1,0)</f>
        <v>0</v>
      </c>
      <c r="AL624" s="61" t="n">
        <f aca="false">IFERROR(IF(AND(AI624=1,OR(TRIM(U624)="Fail",AND(TRIM(AB624)&lt;&gt;"",TRIM(AB624)&lt;&gt;"Closed"),AND(ISNUMBER(AF624),AF624&lt;&gt;0,TRIM(U624)&lt;&gt;"Pass after CA"))),1,0),1)</f>
        <v>0</v>
      </c>
      <c r="AM624" s="61" t="n">
        <f aca="false">IF(LEFT(AH624,7)="INVALID",1,0)</f>
        <v>0</v>
      </c>
      <c r="AN624" s="61" t="n">
        <f aca="false">IF(AND(N624="Clarification required",AI624=1,AJ624=0),1,0)</f>
        <v>0</v>
      </c>
      <c r="AO624" s="61" t="str">
        <f aca="false">IF(AK624=1,SUM(AK$5:AK624),"")</f>
        <v/>
      </c>
      <c r="AP624" s="61" t="str">
        <f aca="false">IF(AL624=1,SUM(AL$5:AL624),"")</f>
        <v/>
      </c>
      <c r="AQ624" s="61" t="n">
        <v>0</v>
      </c>
      <c r="AR624" s="61" t="n">
        <v>0</v>
      </c>
      <c r="AS624" s="61" t="n">
        <v>0</v>
      </c>
      <c r="AT624" s="61" t="n">
        <v>0</v>
      </c>
      <c r="AU624" s="61" t="str">
        <f aca="false">SUBSTITUTE(SUBSTITUTE(SUBSTITUTE(SUBSTITUTE(SUBSTITUTE(SUBSTITUTE(SUBSTITUTE(SUBSTITUTE(SUBSTITUTE(SUBSTITUTE(SUBSTITUTE(SUBSTITUTE(SUBSTITUTE(LOWER(T624&amp;""),CHAR(160),"")," ",""),".",""),"-",""),"/",""),"?",""),"_",""),",",""),"[",""),"]",""),"(",""),")",""),"*","")</f>
        <v/>
      </c>
      <c r="AV624" s="61" t="str">
        <f aca="false">SUBSTITUTE(SUBSTITUTE(SUBSTITUTE(SUBSTITUTE(SUBSTITUTE(SUBSTITUTE(SUBSTITUTE(SUBSTITUTE(SUBSTITUTE(SUBSTITUTE(SUBSTITUTE(SUBSTITUTE(SUBSTITUTE(LOWER(V624&amp;""),CHAR(160),"")," ",""),".",""),"-",""),"/",""),"?",""),"_",""),",",""),"[",""),"]",""),"(",""),")",""),"*","")</f>
        <v/>
      </c>
      <c r="AW624" s="61" t="str">
        <f aca="false">SUBSTITUTE(SUBSTITUTE(SUBSTITUTE(SUBSTITUTE(SUBSTITUTE(SUBSTITUTE(SUBSTITUTE(SUBSTITUTE(SUBSTITUTE(SUBSTITUTE(SUBSTITUTE(SUBSTITUTE(SUBSTITUTE(LOWER(Z624&amp;""),CHAR(160),"")," ",""),".",""),"-",""),"/",""),"?",""),"_",""),",",""),"[",""),"]",""),"(",""),")",""),"*","")</f>
        <v/>
      </c>
      <c r="AX624" s="61" t="str">
        <f aca="false">SUBSTITUTE(SUBSTITUTE(SUBSTITUTE(SUBSTITUTE(SUBSTITUTE(SUBSTITUTE(SUBSTITUTE(SUBSTITUTE(SUBSTITUTE(SUBSTITUTE(SUBSTITUTE(SUBSTITUTE(SUBSTITUTE(LOWER(AE624&amp;""),CHAR(160),"")," ",""),".",""),"-",""),"/",""),"?",""),"_",""),",",""),"[",""),"]",""),"(",""),")",""),"*","")</f>
        <v/>
      </c>
      <c r="AY624" s="61" t="str">
        <f aca="false">SUBSTITUTE(SUBSTITUTE(SUBSTITUTE(SUBSTITUTE(SUBSTITUTE(SUBSTITUTE(SUBSTITUTE(SUBSTITUTE(SUBSTITUTE(SUBSTITUTE(SUBSTITUTE(SUBSTITUTE(SUBSTITUTE(LOWER(W624&amp;""),CHAR(160),"")," ",""),".",""),"-",""),"/",""),"?",""),"_",""),",",""),"[",""),"]",""),"(",""),")",""),"*","")</f>
        <v/>
      </c>
      <c r="AZ624" s="61" t="str">
        <f aca="false">SUBSTITUTE(SUBSTITUTE(SUBSTITUTE(SUBSTITUTE(SUBSTITUTE(SUBSTITUTE(SUBSTITUTE(SUBSTITUTE(SUBSTITUTE(SUBSTITUTE(SUBSTITUTE(SUBSTITUTE(SUBSTITUTE(LOWER(AC624&amp;""),CHAR(160),"")," ",""),".",""),"-",""),"/",""),"?",""),"_",""),",",""),"[",""),"]",""),"(",""),")",""),"*","")</f>
        <v/>
      </c>
      <c r="BA624" s="61" t="str">
        <f aca="false">SUBSTITUTE(SUBSTITUTE(SUBSTITUTE(SUBSTITUTE(SUBSTITUTE(SUBSTITUTE(SUBSTITUTE(SUBSTITUTE(SUBSTITUTE(SUBSTITUTE(SUBSTITUTE(SUBSTITUTE(SUBSTITUTE(LOWER(AA624&amp;""),CHAR(160),"")," ",""),".",""),"-",""),"/",""),"?",""),"_",""),",",""),"[",""),"]",""),"(",""),")",""),"*","")</f>
        <v/>
      </c>
      <c r="BB624" s="61" t="str">
        <f aca="false">IF(AND(TRIM(U624)="Pass",ISNUMBER(AF624)),IF(AF624&lt;&gt;0,"INVALID – qty variance: use Fail or Pass after CA",""),"")&amp;IF(AND(TRIM(U624)="Pass after CA",ISNUMBER(AF624)),IF(AF624&lt;&gt;0,"INVALID – after the corrective action the actual qty must equal expected (update Actual)",""),"")&amp;IF(AND(TRIM(U624)="Pass",TRIM(AB624)&lt;&gt;"",TRIM(AB624)&lt;&gt;"Closed"),"INVALID – corrective action not closed: use Fail, then Pass after CA","")&amp;IF(AND(TRIM(AA624)&lt;&gt;"",TRIM(AB624)=""),"INVALID – CA status missing for the recorded corrective action","")&amp;IF(AND(TRIM(U624)="Pass after CA",OR(OR(LEN(BA624)&lt;5,ISNUMBER(MATCH(BA624,L_Placeholder,0))),TRIM(AB624)&lt;&gt;"Closed")),"INVALID – corrective action not recorded/closed","")</f>
        <v/>
      </c>
    </row>
    <row r="625" customFormat="false" ht="39.75" hidden="false" customHeight="true" outlineLevel="0" collapsed="false">
      <c r="A625" s="57" t="s">
        <v>1313</v>
      </c>
      <c r="B625" s="57" t="s">
        <v>298</v>
      </c>
      <c r="C625" s="57" t="str">
        <f aca="false">Flights!$F$23</f>
        <v>MH0053</v>
      </c>
      <c r="D625" s="58" t="n">
        <f aca="false">Flights!$D$23</f>
        <v>46324</v>
      </c>
      <c r="E625" s="57" t="str">
        <f aca="false">Flights!$G$23&amp;"-"&amp;Flights!$H$23</f>
        <v>KIX-KUL</v>
      </c>
      <c r="F625" s="57" t="str">
        <f aca="false">Flights!$K$23</f>
        <v>EY</v>
      </c>
      <c r="G625" s="57" t="s">
        <v>79</v>
      </c>
      <c r="H625" s="57" t="s">
        <v>356</v>
      </c>
      <c r="I625" s="57" t="s">
        <v>383</v>
      </c>
      <c r="J625" s="57" t="s">
        <v>384</v>
      </c>
      <c r="K625" s="67" t="s">
        <v>385</v>
      </c>
      <c r="L625" s="67" t="s">
        <v>360</v>
      </c>
      <c r="M625" s="67"/>
      <c r="N625" s="67" t="s">
        <v>361</v>
      </c>
      <c r="O625" s="67"/>
      <c r="P625" s="57" t="s">
        <v>292</v>
      </c>
      <c r="Q625" s="59" t="n">
        <f aca="false">ROUND((Flights!$AC$23)*1440,0)/1440</f>
        <v>46317.0277777778</v>
      </c>
      <c r="R625" s="59" t="n">
        <f aca="false">Q625+(IF(AND(INDEX(TZ_DSTS,MATCH(P625,TZ_STN,0))&lt;&gt;"",Q625&gt;=INDEX(TZ_DSTS,MATCH(P625,TZ_STN,0)),Q625&lt;INDEX(TZ_DSTE,MATCH(P625,TZ_STN,0))),INDEX(TZ_DST,MATCH(P625,TZ_STN,0)),INDEX(TZ_STD,MATCH(P625,TZ_STN,0))))/24</f>
        <v>46317.4027777778</v>
      </c>
      <c r="S625" s="59" t="n">
        <f aca="false">Q625-T7EarlyD*24/24</f>
        <v>46303.0277777778</v>
      </c>
      <c r="T625" s="60"/>
      <c r="U625" s="60"/>
      <c r="V625" s="60"/>
      <c r="W625" s="61"/>
      <c r="X625" s="60"/>
      <c r="Y625" s="60"/>
      <c r="Z625" s="60"/>
      <c r="AA625" s="60"/>
      <c r="AB625" s="60"/>
      <c r="AC625" s="60"/>
      <c r="AD625" s="66"/>
      <c r="AE625" s="60"/>
      <c r="AF625" s="61" t="str">
        <f aca="false">IF(AND(ISNUMBER(X625),ISNUMBER(Y625)),Y625-X625,"")</f>
        <v/>
      </c>
      <c r="AG625" s="62" t="str">
        <f aca="false">IF(ISNUMBER(AD625),AD625-(IF(AND(INDEX(TZ_DSTS,MATCH(P625,TZ_STN,0))&lt;&gt;"",(AD625-INDEX(TZ_STD,MATCH(P625,TZ_STN,0))/24)&gt;=INDEX(TZ_DSTS,MATCH(P625,TZ_STN,0)),(AD625-INDEX(TZ_STD,MATCH(P625,TZ_STN,0))/24)&lt;INDEX(TZ_DSTE,MATCH(P625,TZ_STN,0))),INDEX(TZ_DST,MATCH(P625,TZ_STN,0)),INDEX(TZ_STD,MATCH(P625,TZ_STN,0))))/24,"")</f>
        <v/>
      </c>
      <c r="AH625" s="65" t="str">
        <f aca="false">IFERROR(IF(N625="N/A – rule","N/A – RULE",IF(TRIM(U625)="N/A",IF(AT625=0,"INVALID – N/A not permitted for this check",IF(AND(TRIM(AB625)&lt;&gt;"",TRIM(AB625)&lt;&gt;"Closed"),"INVALID – corrective action still open",IF(AND(NOT(OR(LEN(AZ625)&lt;15,ISNUMBER(MATCH(AZ625,L_Placeholder,0)))),NOT(OR(LEN(AU625)&lt;2,ISNUMBER(MATCH(AU625,L_Placeholder,0)))),NOT(OR(LEN(AX625)&lt;2,ISNUMBER(MATCH(AX625,L_Placeholder,0)))),TRIM(AE625)&lt;&gt;TRIM(T625)),"N/A – JUSTIFIED","INVALID – N/A needs a real justification (15+ chars), PIC and a different verifier"))),IF(OR(TRIM(U625)="Pass",TRIM(U625)="Pass after CA"),IF(NOT(ISNUMBER(AD625)),"INVALID – completion time missing",IF(OR(LEN(AU625)&lt;2,ISNUMBER(MATCH(AU625,L_Placeholder,0))),"INVALID – PIC missing",IF(OR(LEN(AV625)&lt;2,ISNUMBER(MATCH(AV625,L_Placeholder,0))),"INVALID – result / assessment missing",IF(OR(OR(LEN(AW625)&lt;3,ISNUMBER(MATCH(AW625,L_Placeholder,0))),SUMPRODUCT(--ISNUMBER(SEARCH(L_EvidencePhrase,AW625)))&gt;0),"INVALID – evidence missing, placeholder or not yet on file",IF(OR(LEN(AX625)&lt;2,ISNUMBER(MATCH(AX625,L_Placeholder,0))),"INVALID – verifier missing",IF(AX625=AU625,"INVALID – verifier must be someone other than the PIC",IF(AND(TRIM(U625)="Pass",SUMPRODUCT(--ISNUMBER(SEARCH(L_ResultBad,AV625)))&gt;0),"INVALID – result describes a problem: use Fail, then Pass after CA",IF(AND(AQ625=1,OR(LEN(AY625)&lt;3,ISNUMBER(MATCH(AY625,L_Placeholder,0)))),"INVALID – batch ID missing or placeholder",IF(AND(AR625=1,OR(NOT(ISNUMBER(X625)),NOT(ISNUMBER(Y625)))),"INVALID – expected/actual qty missing",IF(AND(AR625=1,OR(X625&lt;=0,Y625&lt;0)),"INVALID – expected qty must be above 0 and actual not negative",IF(BB625&lt;&gt;"",BB625,IF(AND(AS625=1,Documents!$J$23&lt;&gt;"ON FILE"),"INVALID – GLD not on file (Documents sheet)",IF(AND(AS625=2,Documents!$O$23&lt;&gt;"ON FILE"),"INVALID – menu checklist not on file (Documents sheet)",IF(AND(AS625=3,NOT(ISNUMBER(Flights!$AX$23))),"INVALID – enter carrying flight KUL departure (Flights AX)",IF(AND(AS625=3,OR(Flights!$AZ$23&gt;Flights!$AA$23,Flights!$AX$23&lt;Flights!$AA$23-3)),"INVALID – carrying flight (Flights AX) cannot arrive before this leg's STD, or is over 3 days early",IF(AG625&gt;AsOfUTC,"INVALID – completion time is in the future",IF(AND(ISNUMBER(S625),AG625&lt;S625),IF(H625="Physical uplift","INVALID – before uplift window (cannot confirm loading)","INVALID – before valid window"),IF(AG625&gt;Flights!$AA$23,"INVALID – completed after departure (cannot establish readiness)",IF(AND(H625="Preparation",AG625&gt;IF(ISNUMBER(Flights!$BA$23),MIN(Flights!$BA$23,Flights!$AA$23),Flights!$AA$23)),"INVALID – completed after loading / departure (cannot establish readiness)",IF(AND(H625="Physical uplift",AG625&gt;Q625),"INVALID – recorded after the loading flight departed",IF(AG625&gt;Q625,"COMPLETE – LATE","COMPLETE"))))))))))))))))))))),IF(TRIM(U625)="Fail","FAIL – DISCREPANCY",IF(AND(TRIM(U625)&lt;&gt;"",TRIM(U625)&lt;&gt;"Not started",TRIM(U625)&lt;&gt;"In progress"),"INVALID – unrecognised status (use the list)",IF(AsOfUTC&gt;Q625,"OVERDUE",IF(N625="Clarification required","OPEN – CLARIFICATION","OPEN"))))))),"INVALID – error value in an input cell")</f>
        <v>OPEN</v>
      </c>
      <c r="AI625" s="61" t="n">
        <f aca="false">IF(OR(AH625="N/A – RULE",AH625="N/A – JUSTIFIED"),0,1)</f>
        <v>1</v>
      </c>
      <c r="AJ625" s="61" t="n">
        <f aca="false">IF(LEFT(AH625,8)="COMPLETE",1,0)</f>
        <v>0</v>
      </c>
      <c r="AK625" s="61" t="n">
        <f aca="false">IF(AND(AI625=1,AJ625=0,AsOfUTC&gt;Q625),1,0)</f>
        <v>0</v>
      </c>
      <c r="AL625" s="61" t="n">
        <f aca="false">IFERROR(IF(AND(AI625=1,OR(TRIM(U625)="Fail",AND(TRIM(AB625)&lt;&gt;"",TRIM(AB625)&lt;&gt;"Closed"),AND(ISNUMBER(AF625),AF625&lt;&gt;0,TRIM(U625)&lt;&gt;"Pass after CA"))),1,0),1)</f>
        <v>0</v>
      </c>
      <c r="AM625" s="61" t="n">
        <f aca="false">IF(LEFT(AH625,7)="INVALID",1,0)</f>
        <v>0</v>
      </c>
      <c r="AN625" s="61" t="n">
        <f aca="false">IF(AND(N625="Clarification required",AI625=1,AJ625=0),1,0)</f>
        <v>0</v>
      </c>
      <c r="AO625" s="61" t="str">
        <f aca="false">IF(AK625=1,SUM(AK$5:AK625),"")</f>
        <v/>
      </c>
      <c r="AP625" s="61" t="str">
        <f aca="false">IF(AL625=1,SUM(AL$5:AL625),"")</f>
        <v/>
      </c>
      <c r="AQ625" s="61" t="n">
        <v>0</v>
      </c>
      <c r="AR625" s="61" t="n">
        <v>0</v>
      </c>
      <c r="AS625" s="61" t="n">
        <v>1</v>
      </c>
      <c r="AT625" s="61" t="n">
        <v>0</v>
      </c>
      <c r="AU625" s="61" t="str">
        <f aca="false">SUBSTITUTE(SUBSTITUTE(SUBSTITUTE(SUBSTITUTE(SUBSTITUTE(SUBSTITUTE(SUBSTITUTE(SUBSTITUTE(SUBSTITUTE(SUBSTITUTE(SUBSTITUTE(SUBSTITUTE(SUBSTITUTE(LOWER(T625&amp;""),CHAR(160),"")," ",""),".",""),"-",""),"/",""),"?",""),"_",""),",",""),"[",""),"]",""),"(",""),")",""),"*","")</f>
        <v/>
      </c>
      <c r="AV625" s="61" t="str">
        <f aca="false">SUBSTITUTE(SUBSTITUTE(SUBSTITUTE(SUBSTITUTE(SUBSTITUTE(SUBSTITUTE(SUBSTITUTE(SUBSTITUTE(SUBSTITUTE(SUBSTITUTE(SUBSTITUTE(SUBSTITUTE(SUBSTITUTE(LOWER(V625&amp;""),CHAR(160),"")," ",""),".",""),"-",""),"/",""),"?",""),"_",""),",",""),"[",""),"]",""),"(",""),")",""),"*","")</f>
        <v/>
      </c>
      <c r="AW625" s="61" t="str">
        <f aca="false">SUBSTITUTE(SUBSTITUTE(SUBSTITUTE(SUBSTITUTE(SUBSTITUTE(SUBSTITUTE(SUBSTITUTE(SUBSTITUTE(SUBSTITUTE(SUBSTITUTE(SUBSTITUTE(SUBSTITUTE(SUBSTITUTE(LOWER(Z625&amp;""),CHAR(160),"")," ",""),".",""),"-",""),"/",""),"?",""),"_",""),",",""),"[",""),"]",""),"(",""),")",""),"*","")</f>
        <v/>
      </c>
      <c r="AX625" s="61" t="str">
        <f aca="false">SUBSTITUTE(SUBSTITUTE(SUBSTITUTE(SUBSTITUTE(SUBSTITUTE(SUBSTITUTE(SUBSTITUTE(SUBSTITUTE(SUBSTITUTE(SUBSTITUTE(SUBSTITUTE(SUBSTITUTE(SUBSTITUTE(LOWER(AE625&amp;""),CHAR(160),"")," ",""),".",""),"-",""),"/",""),"?",""),"_",""),",",""),"[",""),"]",""),"(",""),")",""),"*","")</f>
        <v/>
      </c>
      <c r="AY625" s="61" t="str">
        <f aca="false">SUBSTITUTE(SUBSTITUTE(SUBSTITUTE(SUBSTITUTE(SUBSTITUTE(SUBSTITUTE(SUBSTITUTE(SUBSTITUTE(SUBSTITUTE(SUBSTITUTE(SUBSTITUTE(SUBSTITUTE(SUBSTITUTE(LOWER(W625&amp;""),CHAR(160),"")," ",""),".",""),"-",""),"/",""),"?",""),"_",""),",",""),"[",""),"]",""),"(",""),")",""),"*","")</f>
        <v/>
      </c>
      <c r="AZ625" s="61" t="str">
        <f aca="false">SUBSTITUTE(SUBSTITUTE(SUBSTITUTE(SUBSTITUTE(SUBSTITUTE(SUBSTITUTE(SUBSTITUTE(SUBSTITUTE(SUBSTITUTE(SUBSTITUTE(SUBSTITUTE(SUBSTITUTE(SUBSTITUTE(LOWER(AC625&amp;""),CHAR(160),"")," ",""),".",""),"-",""),"/",""),"?",""),"_",""),",",""),"[",""),"]",""),"(",""),")",""),"*","")</f>
        <v/>
      </c>
      <c r="BA625" s="61" t="str">
        <f aca="false">SUBSTITUTE(SUBSTITUTE(SUBSTITUTE(SUBSTITUTE(SUBSTITUTE(SUBSTITUTE(SUBSTITUTE(SUBSTITUTE(SUBSTITUTE(SUBSTITUTE(SUBSTITUTE(SUBSTITUTE(SUBSTITUTE(LOWER(AA625&amp;""),CHAR(160),"")," ",""),".",""),"-",""),"/",""),"?",""),"_",""),",",""),"[",""),"]",""),"(",""),")",""),"*","")</f>
        <v/>
      </c>
      <c r="BB625" s="61" t="str">
        <f aca="false">IF(AND(TRIM(U625)="Pass",ISNUMBER(AF625)),IF(AF625&lt;&gt;0,"INVALID – qty variance: use Fail or Pass after CA",""),"")&amp;IF(AND(TRIM(U625)="Pass after CA",ISNUMBER(AF625)),IF(AF625&lt;&gt;0,"INVALID – after the corrective action the actual qty must equal expected (update Actual)",""),"")&amp;IF(AND(TRIM(U625)="Pass",TRIM(AB625)&lt;&gt;"",TRIM(AB625)&lt;&gt;"Closed"),"INVALID – corrective action not closed: use Fail, then Pass after CA","")&amp;IF(AND(TRIM(AA625)&lt;&gt;"",TRIM(AB625)=""),"INVALID – CA status missing for the recorded corrective action","")&amp;IF(AND(TRIM(U625)="Pass after CA",OR(OR(LEN(BA625)&lt;5,ISNUMBER(MATCH(BA625,L_Placeholder,0))),TRIM(AB625)&lt;&gt;"Closed")),"INVALID – corrective action not recorded/closed","")</f>
        <v/>
      </c>
    </row>
    <row r="626" customFormat="false" ht="39.75" hidden="false" customHeight="true" outlineLevel="0" collapsed="false">
      <c r="A626" s="57" t="s">
        <v>1314</v>
      </c>
      <c r="B626" s="57" t="s">
        <v>298</v>
      </c>
      <c r="C626" s="57" t="str">
        <f aca="false">Flights!$F$23</f>
        <v>MH0053</v>
      </c>
      <c r="D626" s="58" t="n">
        <f aca="false">Flights!$D$23</f>
        <v>46324</v>
      </c>
      <c r="E626" s="57" t="str">
        <f aca="false">Flights!$G$23&amp;"-"&amp;Flights!$H$23</f>
        <v>KIX-KUL</v>
      </c>
      <c r="F626" s="57" t="str">
        <f aca="false">Flights!$K$23</f>
        <v>EY</v>
      </c>
      <c r="G626" s="57" t="s">
        <v>79</v>
      </c>
      <c r="H626" s="57" t="s">
        <v>356</v>
      </c>
      <c r="I626" s="57" t="s">
        <v>383</v>
      </c>
      <c r="J626" s="57" t="s">
        <v>387</v>
      </c>
      <c r="K626" s="67" t="s">
        <v>385</v>
      </c>
      <c r="L626" s="67" t="s">
        <v>360</v>
      </c>
      <c r="M626" s="67"/>
      <c r="N626" s="67" t="s">
        <v>361</v>
      </c>
      <c r="O626" s="67"/>
      <c r="P626" s="57" t="s">
        <v>292</v>
      </c>
      <c r="Q626" s="59" t="n">
        <f aca="false">ROUND((Flights!$AC$23)*1440,0)/1440</f>
        <v>46317.0277777778</v>
      </c>
      <c r="R626" s="59" t="n">
        <f aca="false">Q626+(IF(AND(INDEX(TZ_DSTS,MATCH(P626,TZ_STN,0))&lt;&gt;"",Q626&gt;=INDEX(TZ_DSTS,MATCH(P626,TZ_STN,0)),Q626&lt;INDEX(TZ_DSTE,MATCH(P626,TZ_STN,0))),INDEX(TZ_DST,MATCH(P626,TZ_STN,0)),INDEX(TZ_STD,MATCH(P626,TZ_STN,0))))/24</f>
        <v>46317.4027777778</v>
      </c>
      <c r="S626" s="59" t="n">
        <f aca="false">Q626-T7EarlyD*24/24</f>
        <v>46303.0277777778</v>
      </c>
      <c r="T626" s="60"/>
      <c r="U626" s="60"/>
      <c r="V626" s="60"/>
      <c r="W626" s="61"/>
      <c r="X626" s="60"/>
      <c r="Y626" s="60"/>
      <c r="Z626" s="60"/>
      <c r="AA626" s="60"/>
      <c r="AB626" s="60"/>
      <c r="AC626" s="60"/>
      <c r="AD626" s="66"/>
      <c r="AE626" s="60"/>
      <c r="AF626" s="61" t="str">
        <f aca="false">IF(AND(ISNUMBER(X626),ISNUMBER(Y626)),Y626-X626,"")</f>
        <v/>
      </c>
      <c r="AG626" s="62" t="str">
        <f aca="false">IF(ISNUMBER(AD626),AD626-(IF(AND(INDEX(TZ_DSTS,MATCH(P626,TZ_STN,0))&lt;&gt;"",(AD626-INDEX(TZ_STD,MATCH(P626,TZ_STN,0))/24)&gt;=INDEX(TZ_DSTS,MATCH(P626,TZ_STN,0)),(AD626-INDEX(TZ_STD,MATCH(P626,TZ_STN,0))/24)&lt;INDEX(TZ_DSTE,MATCH(P626,TZ_STN,0))),INDEX(TZ_DST,MATCH(P626,TZ_STN,0)),INDEX(TZ_STD,MATCH(P626,TZ_STN,0))))/24,"")</f>
        <v/>
      </c>
      <c r="AH626" s="65" t="str">
        <f aca="false">IFERROR(IF(N626="N/A – rule","N/A – RULE",IF(TRIM(U626)="N/A",IF(AT626=0,"INVALID – N/A not permitted for this check",IF(AND(TRIM(AB626)&lt;&gt;"",TRIM(AB626)&lt;&gt;"Closed"),"INVALID – corrective action still open",IF(AND(NOT(OR(LEN(AZ626)&lt;15,ISNUMBER(MATCH(AZ626,L_Placeholder,0)))),NOT(OR(LEN(AU626)&lt;2,ISNUMBER(MATCH(AU626,L_Placeholder,0)))),NOT(OR(LEN(AX626)&lt;2,ISNUMBER(MATCH(AX626,L_Placeholder,0)))),TRIM(AE626)&lt;&gt;TRIM(T626)),"N/A – JUSTIFIED","INVALID – N/A needs a real justification (15+ chars), PIC and a different verifier"))),IF(OR(TRIM(U626)="Pass",TRIM(U626)="Pass after CA"),IF(NOT(ISNUMBER(AD626)),"INVALID – completion time missing",IF(OR(LEN(AU626)&lt;2,ISNUMBER(MATCH(AU626,L_Placeholder,0))),"INVALID – PIC missing",IF(OR(LEN(AV626)&lt;2,ISNUMBER(MATCH(AV626,L_Placeholder,0))),"INVALID – result / assessment missing",IF(OR(OR(LEN(AW626)&lt;3,ISNUMBER(MATCH(AW626,L_Placeholder,0))),SUMPRODUCT(--ISNUMBER(SEARCH(L_EvidencePhrase,AW626)))&gt;0),"INVALID – evidence missing, placeholder or not yet on file",IF(OR(LEN(AX626)&lt;2,ISNUMBER(MATCH(AX626,L_Placeholder,0))),"INVALID – verifier missing",IF(AX626=AU626,"INVALID – verifier must be someone other than the PIC",IF(AND(TRIM(U626)="Pass",SUMPRODUCT(--ISNUMBER(SEARCH(L_ResultBad,AV626)))&gt;0),"INVALID – result describes a problem: use Fail, then Pass after CA",IF(AND(AQ626=1,OR(LEN(AY626)&lt;3,ISNUMBER(MATCH(AY626,L_Placeholder,0)))),"INVALID – batch ID missing or placeholder",IF(AND(AR626=1,OR(NOT(ISNUMBER(X626)),NOT(ISNUMBER(Y626)))),"INVALID – expected/actual qty missing",IF(AND(AR626=1,OR(X626&lt;=0,Y626&lt;0)),"INVALID – expected qty must be above 0 and actual not negative",IF(BB626&lt;&gt;"",BB626,IF(AND(AS626=1,Documents!$J$23&lt;&gt;"ON FILE"),"INVALID – GLD not on file (Documents sheet)",IF(AND(AS626=2,Documents!$O$23&lt;&gt;"ON FILE"),"INVALID – menu checklist not on file (Documents sheet)",IF(AND(AS626=3,NOT(ISNUMBER(Flights!$AX$23))),"INVALID – enter carrying flight KUL departure (Flights AX)",IF(AND(AS626=3,OR(Flights!$AZ$23&gt;Flights!$AA$23,Flights!$AX$23&lt;Flights!$AA$23-3)),"INVALID – carrying flight (Flights AX) cannot arrive before this leg's STD, or is over 3 days early",IF(AG626&gt;AsOfUTC,"INVALID – completion time is in the future",IF(AND(ISNUMBER(S626),AG626&lt;S626),IF(H626="Physical uplift","INVALID – before uplift window (cannot confirm loading)","INVALID – before valid window"),IF(AG626&gt;Flights!$AA$23,"INVALID – completed after departure (cannot establish readiness)",IF(AND(H626="Preparation",AG626&gt;IF(ISNUMBER(Flights!$BA$23),MIN(Flights!$BA$23,Flights!$AA$23),Flights!$AA$23)),"INVALID – completed after loading / departure (cannot establish readiness)",IF(AND(H626="Physical uplift",AG626&gt;Q626),"INVALID – recorded after the loading flight departed",IF(AG626&gt;Q626,"COMPLETE – LATE","COMPLETE"))))))))))))))))))))),IF(TRIM(U626)="Fail","FAIL – DISCREPANCY",IF(AND(TRIM(U626)&lt;&gt;"",TRIM(U626)&lt;&gt;"Not started",TRIM(U626)&lt;&gt;"In progress"),"INVALID – unrecognised status (use the list)",IF(AsOfUTC&gt;Q626,"OVERDUE",IF(N626="Clarification required","OPEN – CLARIFICATION","OPEN"))))))),"INVALID – error value in an input cell")</f>
        <v>OPEN</v>
      </c>
      <c r="AI626" s="61" t="n">
        <f aca="false">IF(OR(AH626="N/A – RULE",AH626="N/A – JUSTIFIED"),0,1)</f>
        <v>1</v>
      </c>
      <c r="AJ626" s="61" t="n">
        <f aca="false">IF(LEFT(AH626,8)="COMPLETE",1,0)</f>
        <v>0</v>
      </c>
      <c r="AK626" s="61" t="n">
        <f aca="false">IF(AND(AI626=1,AJ626=0,AsOfUTC&gt;Q626),1,0)</f>
        <v>0</v>
      </c>
      <c r="AL626" s="61" t="n">
        <f aca="false">IFERROR(IF(AND(AI626=1,OR(TRIM(U626)="Fail",AND(TRIM(AB626)&lt;&gt;"",TRIM(AB626)&lt;&gt;"Closed"),AND(ISNUMBER(AF626),AF626&lt;&gt;0,TRIM(U626)&lt;&gt;"Pass after CA"))),1,0),1)</f>
        <v>0</v>
      </c>
      <c r="AM626" s="61" t="n">
        <f aca="false">IF(LEFT(AH626,7)="INVALID",1,0)</f>
        <v>0</v>
      </c>
      <c r="AN626" s="61" t="n">
        <f aca="false">IF(AND(N626="Clarification required",AI626=1,AJ626=0),1,0)</f>
        <v>0</v>
      </c>
      <c r="AO626" s="61" t="str">
        <f aca="false">IF(AK626=1,SUM(AK$5:AK626),"")</f>
        <v/>
      </c>
      <c r="AP626" s="61" t="str">
        <f aca="false">IF(AL626=1,SUM(AL$5:AL626),"")</f>
        <v/>
      </c>
      <c r="AQ626" s="61" t="n">
        <v>0</v>
      </c>
      <c r="AR626" s="61" t="n">
        <v>0</v>
      </c>
      <c r="AS626" s="61" t="n">
        <v>2</v>
      </c>
      <c r="AT626" s="61" t="n">
        <v>0</v>
      </c>
      <c r="AU626" s="61" t="str">
        <f aca="false">SUBSTITUTE(SUBSTITUTE(SUBSTITUTE(SUBSTITUTE(SUBSTITUTE(SUBSTITUTE(SUBSTITUTE(SUBSTITUTE(SUBSTITUTE(SUBSTITUTE(SUBSTITUTE(SUBSTITUTE(SUBSTITUTE(LOWER(T626&amp;""),CHAR(160),"")," ",""),".",""),"-",""),"/",""),"?",""),"_",""),",",""),"[",""),"]",""),"(",""),")",""),"*","")</f>
        <v/>
      </c>
      <c r="AV626" s="61" t="str">
        <f aca="false">SUBSTITUTE(SUBSTITUTE(SUBSTITUTE(SUBSTITUTE(SUBSTITUTE(SUBSTITUTE(SUBSTITUTE(SUBSTITUTE(SUBSTITUTE(SUBSTITUTE(SUBSTITUTE(SUBSTITUTE(SUBSTITUTE(LOWER(V626&amp;""),CHAR(160),"")," ",""),".",""),"-",""),"/",""),"?",""),"_",""),",",""),"[",""),"]",""),"(",""),")",""),"*","")</f>
        <v/>
      </c>
      <c r="AW626" s="61" t="str">
        <f aca="false">SUBSTITUTE(SUBSTITUTE(SUBSTITUTE(SUBSTITUTE(SUBSTITUTE(SUBSTITUTE(SUBSTITUTE(SUBSTITUTE(SUBSTITUTE(SUBSTITUTE(SUBSTITUTE(SUBSTITUTE(SUBSTITUTE(LOWER(Z626&amp;""),CHAR(160),"")," ",""),".",""),"-",""),"/",""),"?",""),"_",""),",",""),"[",""),"]",""),"(",""),")",""),"*","")</f>
        <v/>
      </c>
      <c r="AX626" s="61" t="str">
        <f aca="false">SUBSTITUTE(SUBSTITUTE(SUBSTITUTE(SUBSTITUTE(SUBSTITUTE(SUBSTITUTE(SUBSTITUTE(SUBSTITUTE(SUBSTITUTE(SUBSTITUTE(SUBSTITUTE(SUBSTITUTE(SUBSTITUTE(LOWER(AE626&amp;""),CHAR(160),"")," ",""),".",""),"-",""),"/",""),"?",""),"_",""),",",""),"[",""),"]",""),"(",""),")",""),"*","")</f>
        <v/>
      </c>
      <c r="AY626" s="61" t="str">
        <f aca="false">SUBSTITUTE(SUBSTITUTE(SUBSTITUTE(SUBSTITUTE(SUBSTITUTE(SUBSTITUTE(SUBSTITUTE(SUBSTITUTE(SUBSTITUTE(SUBSTITUTE(SUBSTITUTE(SUBSTITUTE(SUBSTITUTE(LOWER(W626&amp;""),CHAR(160),"")," ",""),".",""),"-",""),"/",""),"?",""),"_",""),",",""),"[",""),"]",""),"(",""),")",""),"*","")</f>
        <v/>
      </c>
      <c r="AZ626" s="61" t="str">
        <f aca="false">SUBSTITUTE(SUBSTITUTE(SUBSTITUTE(SUBSTITUTE(SUBSTITUTE(SUBSTITUTE(SUBSTITUTE(SUBSTITUTE(SUBSTITUTE(SUBSTITUTE(SUBSTITUTE(SUBSTITUTE(SUBSTITUTE(LOWER(AC626&amp;""),CHAR(160),"")," ",""),".",""),"-",""),"/",""),"?",""),"_",""),",",""),"[",""),"]",""),"(",""),")",""),"*","")</f>
        <v/>
      </c>
      <c r="BA626" s="61" t="str">
        <f aca="false">SUBSTITUTE(SUBSTITUTE(SUBSTITUTE(SUBSTITUTE(SUBSTITUTE(SUBSTITUTE(SUBSTITUTE(SUBSTITUTE(SUBSTITUTE(SUBSTITUTE(SUBSTITUTE(SUBSTITUTE(SUBSTITUTE(LOWER(AA626&amp;""),CHAR(160),"")," ",""),".",""),"-",""),"/",""),"?",""),"_",""),",",""),"[",""),"]",""),"(",""),")",""),"*","")</f>
        <v/>
      </c>
      <c r="BB626" s="61" t="str">
        <f aca="false">IF(AND(TRIM(U626)="Pass",ISNUMBER(AF626)),IF(AF626&lt;&gt;0,"INVALID – qty variance: use Fail or Pass after CA",""),"")&amp;IF(AND(TRIM(U626)="Pass after CA",ISNUMBER(AF626)),IF(AF626&lt;&gt;0,"INVALID – after the corrective action the actual qty must equal expected (update Actual)",""),"")&amp;IF(AND(TRIM(U626)="Pass",TRIM(AB626)&lt;&gt;"",TRIM(AB626)&lt;&gt;"Closed"),"INVALID – corrective action not closed: use Fail, then Pass after CA","")&amp;IF(AND(TRIM(AA626)&lt;&gt;"",TRIM(AB626)=""),"INVALID – CA status missing for the recorded corrective action","")&amp;IF(AND(TRIM(U626)="Pass after CA",OR(OR(LEN(BA626)&lt;5,ISNUMBER(MATCH(BA626,L_Placeholder,0))),TRIM(AB626)&lt;&gt;"Closed")),"INVALID – corrective action not recorded/closed","")</f>
        <v/>
      </c>
    </row>
    <row r="627" customFormat="false" ht="39.75" hidden="false" customHeight="true" outlineLevel="0" collapsed="false">
      <c r="A627" s="57" t="s">
        <v>1315</v>
      </c>
      <c r="B627" s="57" t="s">
        <v>298</v>
      </c>
      <c r="C627" s="57" t="str">
        <f aca="false">Flights!$F$23</f>
        <v>MH0053</v>
      </c>
      <c r="D627" s="58" t="n">
        <f aca="false">Flights!$D$23</f>
        <v>46324</v>
      </c>
      <c r="E627" s="57" t="str">
        <f aca="false">Flights!$G$23&amp;"-"&amp;Flights!$H$23</f>
        <v>KIX-KUL</v>
      </c>
      <c r="F627" s="57" t="str">
        <f aca="false">Flights!$K$23</f>
        <v>EY</v>
      </c>
      <c r="G627" s="57" t="s">
        <v>79</v>
      </c>
      <c r="H627" s="57" t="s">
        <v>356</v>
      </c>
      <c r="I627" s="57" t="s">
        <v>389</v>
      </c>
      <c r="J627" s="57" t="s">
        <v>390</v>
      </c>
      <c r="K627" s="67" t="s">
        <v>1316</v>
      </c>
      <c r="L627" s="67" t="s">
        <v>1254</v>
      </c>
      <c r="M627" s="67"/>
      <c r="N627" s="67" t="s">
        <v>361</v>
      </c>
      <c r="O627" s="67"/>
      <c r="P627" s="57" t="s">
        <v>292</v>
      </c>
      <c r="Q627" s="59" t="n">
        <f aca="false">ROUND((Flights!$AC$23)*1440,0)/1440</f>
        <v>46317.0277777778</v>
      </c>
      <c r="R627" s="59" t="n">
        <f aca="false">Q627+(IF(AND(INDEX(TZ_DSTS,MATCH(P627,TZ_STN,0))&lt;&gt;"",Q627&gt;=INDEX(TZ_DSTS,MATCH(P627,TZ_STN,0)),Q627&lt;INDEX(TZ_DSTE,MATCH(P627,TZ_STN,0))),INDEX(TZ_DST,MATCH(P627,TZ_STN,0)),INDEX(TZ_STD,MATCH(P627,TZ_STN,0))))/24</f>
        <v>46317.4027777778</v>
      </c>
      <c r="S627" s="59" t="n">
        <f aca="false">Q627-T7EarlyD*24/24</f>
        <v>46303.0277777778</v>
      </c>
      <c r="T627" s="60"/>
      <c r="U627" s="60"/>
      <c r="V627" s="60"/>
      <c r="W627" s="61"/>
      <c r="X627" s="60"/>
      <c r="Y627" s="60"/>
      <c r="Z627" s="60"/>
      <c r="AA627" s="60"/>
      <c r="AB627" s="60"/>
      <c r="AC627" s="60"/>
      <c r="AD627" s="66"/>
      <c r="AE627" s="60"/>
      <c r="AF627" s="61" t="str">
        <f aca="false">IF(AND(ISNUMBER(X627),ISNUMBER(Y627)),Y627-X627,"")</f>
        <v/>
      </c>
      <c r="AG627" s="62" t="str">
        <f aca="false">IF(ISNUMBER(AD627),AD627-(IF(AND(INDEX(TZ_DSTS,MATCH(P627,TZ_STN,0))&lt;&gt;"",(AD627-INDEX(TZ_STD,MATCH(P627,TZ_STN,0))/24)&gt;=INDEX(TZ_DSTS,MATCH(P627,TZ_STN,0)),(AD627-INDEX(TZ_STD,MATCH(P627,TZ_STN,0))/24)&lt;INDEX(TZ_DSTE,MATCH(P627,TZ_STN,0))),INDEX(TZ_DST,MATCH(P627,TZ_STN,0)),INDEX(TZ_STD,MATCH(P627,TZ_STN,0))))/24,"")</f>
        <v/>
      </c>
      <c r="AH627" s="65" t="str">
        <f aca="false">IFERROR(IF(N627="N/A – rule","N/A – RULE",IF(TRIM(U627)="N/A",IF(AT627=0,"INVALID – N/A not permitted for this check",IF(AND(TRIM(AB627)&lt;&gt;"",TRIM(AB627)&lt;&gt;"Closed"),"INVALID – corrective action still open",IF(AND(NOT(OR(LEN(AZ627)&lt;15,ISNUMBER(MATCH(AZ627,L_Placeholder,0)))),NOT(OR(LEN(AU627)&lt;2,ISNUMBER(MATCH(AU627,L_Placeholder,0)))),NOT(OR(LEN(AX627)&lt;2,ISNUMBER(MATCH(AX627,L_Placeholder,0)))),TRIM(AE627)&lt;&gt;TRIM(T627)),"N/A – JUSTIFIED","INVALID – N/A needs a real justification (15+ chars), PIC and a different verifier"))),IF(OR(TRIM(U627)="Pass",TRIM(U627)="Pass after CA"),IF(NOT(ISNUMBER(AD627)),"INVALID – completion time missing",IF(OR(LEN(AU627)&lt;2,ISNUMBER(MATCH(AU627,L_Placeholder,0))),"INVALID – PIC missing",IF(OR(LEN(AV627)&lt;2,ISNUMBER(MATCH(AV627,L_Placeholder,0))),"INVALID – result / assessment missing",IF(OR(OR(LEN(AW627)&lt;3,ISNUMBER(MATCH(AW627,L_Placeholder,0))),SUMPRODUCT(--ISNUMBER(SEARCH(L_EvidencePhrase,AW627)))&gt;0),"INVALID – evidence missing, placeholder or not yet on file",IF(OR(LEN(AX627)&lt;2,ISNUMBER(MATCH(AX627,L_Placeholder,0))),"INVALID – verifier missing",IF(AX627=AU627,"INVALID – verifier must be someone other than the PIC",IF(AND(TRIM(U627)="Pass",SUMPRODUCT(--ISNUMBER(SEARCH(L_ResultBad,AV627)))&gt;0),"INVALID – result describes a problem: use Fail, then Pass after CA",IF(AND(AQ627=1,OR(LEN(AY627)&lt;3,ISNUMBER(MATCH(AY627,L_Placeholder,0)))),"INVALID – batch ID missing or placeholder",IF(AND(AR627=1,OR(NOT(ISNUMBER(X627)),NOT(ISNUMBER(Y627)))),"INVALID – expected/actual qty missing",IF(AND(AR627=1,OR(X627&lt;=0,Y627&lt;0)),"INVALID – expected qty must be above 0 and actual not negative",IF(BB627&lt;&gt;"",BB627,IF(AND(AS627=1,Documents!$J$23&lt;&gt;"ON FILE"),"INVALID – GLD not on file (Documents sheet)",IF(AND(AS627=2,Documents!$O$23&lt;&gt;"ON FILE"),"INVALID – menu checklist not on file (Documents sheet)",IF(AND(AS627=3,NOT(ISNUMBER(Flights!$AX$23))),"INVALID – enter carrying flight KUL departure (Flights AX)",IF(AND(AS627=3,OR(Flights!$AZ$23&gt;Flights!$AA$23,Flights!$AX$23&lt;Flights!$AA$23-3)),"INVALID – carrying flight (Flights AX) cannot arrive before this leg's STD, or is over 3 days early",IF(AG627&gt;AsOfUTC,"INVALID – completion time is in the future",IF(AND(ISNUMBER(S627),AG627&lt;S627),IF(H627="Physical uplift","INVALID – before uplift window (cannot confirm loading)","INVALID – before valid window"),IF(AG627&gt;Flights!$AA$23,"INVALID – completed after departure (cannot establish readiness)",IF(AND(H627="Preparation",AG627&gt;IF(ISNUMBER(Flights!$BA$23),MIN(Flights!$BA$23,Flights!$AA$23),Flights!$AA$23)),"INVALID – completed after loading / departure (cannot establish readiness)",IF(AND(H627="Physical uplift",AG627&gt;Q627),"INVALID – recorded after the loading flight departed",IF(AG627&gt;Q627,"COMPLETE – LATE","COMPLETE"))))))))))))))))))))),IF(TRIM(U627)="Fail","FAIL – DISCREPANCY",IF(AND(TRIM(U627)&lt;&gt;"",TRIM(U627)&lt;&gt;"Not started",TRIM(U627)&lt;&gt;"In progress"),"INVALID – unrecognised status (use the list)",IF(AsOfUTC&gt;Q627,"OVERDUE",IF(N627="Clarification required","OPEN – CLARIFICATION","OPEN"))))))),"INVALID – error value in an input cell")</f>
        <v>OPEN</v>
      </c>
      <c r="AI627" s="61" t="n">
        <f aca="false">IF(OR(AH627="N/A – RULE",AH627="N/A – JUSTIFIED"),0,1)</f>
        <v>1</v>
      </c>
      <c r="AJ627" s="61" t="n">
        <f aca="false">IF(LEFT(AH627,8)="COMPLETE",1,0)</f>
        <v>0</v>
      </c>
      <c r="AK627" s="61" t="n">
        <f aca="false">IF(AND(AI627=1,AJ627=0,AsOfUTC&gt;Q627),1,0)</f>
        <v>0</v>
      </c>
      <c r="AL627" s="61" t="n">
        <f aca="false">IFERROR(IF(AND(AI627=1,OR(TRIM(U627)="Fail",AND(TRIM(AB627)&lt;&gt;"",TRIM(AB627)&lt;&gt;"Closed"),AND(ISNUMBER(AF627),AF627&lt;&gt;0,TRIM(U627)&lt;&gt;"Pass after CA"))),1,0),1)</f>
        <v>0</v>
      </c>
      <c r="AM627" s="61" t="n">
        <f aca="false">IF(LEFT(AH627,7)="INVALID",1,0)</f>
        <v>0</v>
      </c>
      <c r="AN627" s="61" t="n">
        <f aca="false">IF(AND(N627="Clarification required",AI627=1,AJ627=0),1,0)</f>
        <v>0</v>
      </c>
      <c r="AO627" s="61" t="str">
        <f aca="false">IF(AK627=1,SUM(AK$5:AK627),"")</f>
        <v/>
      </c>
      <c r="AP627" s="61" t="str">
        <f aca="false">IF(AL627=1,SUM(AL$5:AL627),"")</f>
        <v/>
      </c>
      <c r="AQ627" s="61" t="n">
        <v>0</v>
      </c>
      <c r="AR627" s="61" t="n">
        <v>0</v>
      </c>
      <c r="AS627" s="61" t="n">
        <v>0</v>
      </c>
      <c r="AT627" s="61" t="n">
        <v>0</v>
      </c>
      <c r="AU627" s="61" t="str">
        <f aca="false">SUBSTITUTE(SUBSTITUTE(SUBSTITUTE(SUBSTITUTE(SUBSTITUTE(SUBSTITUTE(SUBSTITUTE(SUBSTITUTE(SUBSTITUTE(SUBSTITUTE(SUBSTITUTE(SUBSTITUTE(SUBSTITUTE(LOWER(T627&amp;""),CHAR(160),"")," ",""),".",""),"-",""),"/",""),"?",""),"_",""),",",""),"[",""),"]",""),"(",""),")",""),"*","")</f>
        <v/>
      </c>
      <c r="AV627" s="61" t="str">
        <f aca="false">SUBSTITUTE(SUBSTITUTE(SUBSTITUTE(SUBSTITUTE(SUBSTITUTE(SUBSTITUTE(SUBSTITUTE(SUBSTITUTE(SUBSTITUTE(SUBSTITUTE(SUBSTITUTE(SUBSTITUTE(SUBSTITUTE(LOWER(V627&amp;""),CHAR(160),"")," ",""),".",""),"-",""),"/",""),"?",""),"_",""),",",""),"[",""),"]",""),"(",""),")",""),"*","")</f>
        <v/>
      </c>
      <c r="AW627" s="61" t="str">
        <f aca="false">SUBSTITUTE(SUBSTITUTE(SUBSTITUTE(SUBSTITUTE(SUBSTITUTE(SUBSTITUTE(SUBSTITUTE(SUBSTITUTE(SUBSTITUTE(SUBSTITUTE(SUBSTITUTE(SUBSTITUTE(SUBSTITUTE(LOWER(Z627&amp;""),CHAR(160),"")," ",""),".",""),"-",""),"/",""),"?",""),"_",""),",",""),"[",""),"]",""),"(",""),")",""),"*","")</f>
        <v/>
      </c>
      <c r="AX627" s="61" t="str">
        <f aca="false">SUBSTITUTE(SUBSTITUTE(SUBSTITUTE(SUBSTITUTE(SUBSTITUTE(SUBSTITUTE(SUBSTITUTE(SUBSTITUTE(SUBSTITUTE(SUBSTITUTE(SUBSTITUTE(SUBSTITUTE(SUBSTITUTE(LOWER(AE627&amp;""),CHAR(160),"")," ",""),".",""),"-",""),"/",""),"?",""),"_",""),",",""),"[",""),"]",""),"(",""),")",""),"*","")</f>
        <v/>
      </c>
      <c r="AY627" s="61" t="str">
        <f aca="false">SUBSTITUTE(SUBSTITUTE(SUBSTITUTE(SUBSTITUTE(SUBSTITUTE(SUBSTITUTE(SUBSTITUTE(SUBSTITUTE(SUBSTITUTE(SUBSTITUTE(SUBSTITUTE(SUBSTITUTE(SUBSTITUTE(LOWER(W627&amp;""),CHAR(160),"")," ",""),".",""),"-",""),"/",""),"?",""),"_",""),",",""),"[",""),"]",""),"(",""),")",""),"*","")</f>
        <v/>
      </c>
      <c r="AZ627" s="61" t="str">
        <f aca="false">SUBSTITUTE(SUBSTITUTE(SUBSTITUTE(SUBSTITUTE(SUBSTITUTE(SUBSTITUTE(SUBSTITUTE(SUBSTITUTE(SUBSTITUTE(SUBSTITUTE(SUBSTITUTE(SUBSTITUTE(SUBSTITUTE(LOWER(AC627&amp;""),CHAR(160),"")," ",""),".",""),"-",""),"/",""),"?",""),"_",""),",",""),"[",""),"]",""),"(",""),")",""),"*","")</f>
        <v/>
      </c>
      <c r="BA627" s="61" t="str">
        <f aca="false">SUBSTITUTE(SUBSTITUTE(SUBSTITUTE(SUBSTITUTE(SUBSTITUTE(SUBSTITUTE(SUBSTITUTE(SUBSTITUTE(SUBSTITUTE(SUBSTITUTE(SUBSTITUTE(SUBSTITUTE(SUBSTITUTE(LOWER(AA627&amp;""),CHAR(160),"")," ",""),".",""),"-",""),"/",""),"?",""),"_",""),",",""),"[",""),"]",""),"(",""),")",""),"*","")</f>
        <v/>
      </c>
      <c r="BB627" s="61" t="str">
        <f aca="false">IF(AND(TRIM(U627)="Pass",ISNUMBER(AF627)),IF(AF627&lt;&gt;0,"INVALID – qty variance: use Fail or Pass after CA",""),"")&amp;IF(AND(TRIM(U627)="Pass after CA",ISNUMBER(AF627)),IF(AF627&lt;&gt;0,"INVALID – after the corrective action the actual qty must equal expected (update Actual)",""),"")&amp;IF(AND(TRIM(U627)="Pass",TRIM(AB627)&lt;&gt;"",TRIM(AB627)&lt;&gt;"Closed"),"INVALID – corrective action not closed: use Fail, then Pass after CA","")&amp;IF(AND(TRIM(AA627)&lt;&gt;"",TRIM(AB627)=""),"INVALID – CA status missing for the recorded corrective action","")&amp;IF(AND(TRIM(U627)="Pass after CA",OR(OR(LEN(BA627)&lt;5,ISNUMBER(MATCH(BA627,L_Placeholder,0))),TRIM(AB627)&lt;&gt;"Closed")),"INVALID – corrective action not recorded/closed","")</f>
        <v/>
      </c>
    </row>
    <row r="628" customFormat="false" ht="39.75" hidden="false" customHeight="true" outlineLevel="0" collapsed="false">
      <c r="A628" s="57" t="s">
        <v>1317</v>
      </c>
      <c r="B628" s="57" t="s">
        <v>298</v>
      </c>
      <c r="C628" s="57" t="str">
        <f aca="false">Flights!$F$23</f>
        <v>MH0053</v>
      </c>
      <c r="D628" s="58" t="n">
        <f aca="false">Flights!$D$23</f>
        <v>46324</v>
      </c>
      <c r="E628" s="57" t="str">
        <f aca="false">Flights!$G$23&amp;"-"&amp;Flights!$H$23</f>
        <v>KIX-KUL</v>
      </c>
      <c r="F628" s="57" t="str">
        <f aca="false">Flights!$K$23</f>
        <v>EY</v>
      </c>
      <c r="G628" s="57" t="s">
        <v>81</v>
      </c>
      <c r="H628" s="57" t="s">
        <v>356</v>
      </c>
      <c r="I628" s="57" t="s">
        <v>357</v>
      </c>
      <c r="J628" s="57" t="s">
        <v>394</v>
      </c>
      <c r="K628" s="67" t="s">
        <v>395</v>
      </c>
      <c r="L628" s="67" t="s">
        <v>396</v>
      </c>
      <c r="M628" s="67"/>
      <c r="N628" s="67" t="s">
        <v>361</v>
      </c>
      <c r="O628" s="67"/>
      <c r="P628" s="57" t="s">
        <v>292</v>
      </c>
      <c r="Q628" s="59" t="n">
        <f aca="false">ROUND((Flights!$AD$23)*1440,0)/1440</f>
        <v>46323.0277777778</v>
      </c>
      <c r="R628" s="59" t="n">
        <f aca="false">Q628+(IF(AND(INDEX(TZ_DSTS,MATCH(P628,TZ_STN,0))&lt;&gt;"",Q628&gt;=INDEX(TZ_DSTS,MATCH(P628,TZ_STN,0)),Q628&lt;INDEX(TZ_DSTE,MATCH(P628,TZ_STN,0))),INDEX(TZ_DST,MATCH(P628,TZ_STN,0)),INDEX(TZ_STD,MATCH(P628,TZ_STN,0))))/24</f>
        <v>46323.4027777778</v>
      </c>
      <c r="S628" s="59" t="n">
        <f aca="false">Q628-T24EarlyH/24</f>
        <v>46322.0277777778</v>
      </c>
      <c r="T628" s="60"/>
      <c r="U628" s="60"/>
      <c r="V628" s="60"/>
      <c r="W628" s="60"/>
      <c r="X628" s="60"/>
      <c r="Y628" s="60"/>
      <c r="Z628" s="60"/>
      <c r="AA628" s="60"/>
      <c r="AB628" s="60"/>
      <c r="AC628" s="60"/>
      <c r="AD628" s="66"/>
      <c r="AE628" s="60"/>
      <c r="AF628" s="61" t="str">
        <f aca="false">IF(AND(ISNUMBER(X628),ISNUMBER(Y628)),Y628-X628,"")</f>
        <v/>
      </c>
      <c r="AG628" s="62" t="str">
        <f aca="false">IF(ISNUMBER(AD628),AD628-(IF(AND(INDEX(TZ_DSTS,MATCH(P628,TZ_STN,0))&lt;&gt;"",(AD628-INDEX(TZ_STD,MATCH(P628,TZ_STN,0))/24)&gt;=INDEX(TZ_DSTS,MATCH(P628,TZ_STN,0)),(AD628-INDEX(TZ_STD,MATCH(P628,TZ_STN,0))/24)&lt;INDEX(TZ_DSTE,MATCH(P628,TZ_STN,0))),INDEX(TZ_DST,MATCH(P628,TZ_STN,0)),INDEX(TZ_STD,MATCH(P628,TZ_STN,0))))/24,"")</f>
        <v/>
      </c>
      <c r="AH628" s="65" t="str">
        <f aca="false">IFERROR(IF(N628="N/A – rule","N/A – RULE",IF(TRIM(U628)="N/A",IF(AT628=0,"INVALID – N/A not permitted for this check",IF(AND(TRIM(AB628)&lt;&gt;"",TRIM(AB628)&lt;&gt;"Closed"),"INVALID – corrective action still open",IF(AND(NOT(OR(LEN(AZ628)&lt;15,ISNUMBER(MATCH(AZ628,L_Placeholder,0)))),NOT(OR(LEN(AU628)&lt;2,ISNUMBER(MATCH(AU628,L_Placeholder,0)))),NOT(OR(LEN(AX628)&lt;2,ISNUMBER(MATCH(AX628,L_Placeholder,0)))),TRIM(AE628)&lt;&gt;TRIM(T628)),"N/A – JUSTIFIED","INVALID – N/A needs a real justification (15+ chars), PIC and a different verifier"))),IF(OR(TRIM(U628)="Pass",TRIM(U628)="Pass after CA"),IF(NOT(ISNUMBER(AD628)),"INVALID – completion time missing",IF(OR(LEN(AU628)&lt;2,ISNUMBER(MATCH(AU628,L_Placeholder,0))),"INVALID – PIC missing",IF(OR(LEN(AV628)&lt;2,ISNUMBER(MATCH(AV628,L_Placeholder,0))),"INVALID – result / assessment missing",IF(OR(OR(LEN(AW628)&lt;3,ISNUMBER(MATCH(AW628,L_Placeholder,0))),SUMPRODUCT(--ISNUMBER(SEARCH(L_EvidencePhrase,AW628)))&gt;0),"INVALID – evidence missing, placeholder or not yet on file",IF(OR(LEN(AX628)&lt;2,ISNUMBER(MATCH(AX628,L_Placeholder,0))),"INVALID – verifier missing",IF(AX628=AU628,"INVALID – verifier must be someone other than the PIC",IF(AND(TRIM(U628)="Pass",SUMPRODUCT(--ISNUMBER(SEARCH(L_ResultBad,AV628)))&gt;0),"INVALID – result describes a problem: use Fail, then Pass after CA",IF(AND(AQ628=1,OR(LEN(AY628)&lt;3,ISNUMBER(MATCH(AY628,L_Placeholder,0)))),"INVALID – batch ID missing or placeholder",IF(AND(AR628=1,OR(NOT(ISNUMBER(X628)),NOT(ISNUMBER(Y628)))),"INVALID – expected/actual qty missing",IF(AND(AR628=1,OR(X628&lt;=0,Y628&lt;0)),"INVALID – expected qty must be above 0 and actual not negative",IF(BB628&lt;&gt;"",BB628,IF(AND(AS628=1,Documents!$J$23&lt;&gt;"ON FILE"),"INVALID – GLD not on file (Documents sheet)",IF(AND(AS628=2,Documents!$O$23&lt;&gt;"ON FILE"),"INVALID – menu checklist not on file (Documents sheet)",IF(AND(AS628=3,NOT(ISNUMBER(Flights!$AX$23))),"INVALID – enter carrying flight KUL departure (Flights AX)",IF(AND(AS628=3,OR(Flights!$AZ$23&gt;Flights!$AA$23,Flights!$AX$23&lt;Flights!$AA$23-3)),"INVALID – carrying flight (Flights AX) cannot arrive before this leg's STD, or is over 3 days early",IF(AG628&gt;AsOfUTC,"INVALID – completion time is in the future",IF(AND(ISNUMBER(S628),AG628&lt;S628),IF(H628="Physical uplift","INVALID – before uplift window (cannot confirm loading)","INVALID – before valid window"),IF(AG628&gt;Flights!$AA$23,"INVALID – completed after departure (cannot establish readiness)",IF(AND(H628="Preparation",AG628&gt;IF(ISNUMBER(Flights!$BA$23),MIN(Flights!$BA$23,Flights!$AA$23),Flights!$AA$23)),"INVALID – completed after loading / departure (cannot establish readiness)",IF(AND(H628="Physical uplift",AG628&gt;Q628),"INVALID – recorded after the loading flight departed",IF(AG628&gt;Q628,"COMPLETE – LATE","COMPLETE"))))))))))))))))))))),IF(TRIM(U628)="Fail","FAIL – DISCREPANCY",IF(AND(TRIM(U628)&lt;&gt;"",TRIM(U628)&lt;&gt;"Not started",TRIM(U628)&lt;&gt;"In progress"),"INVALID – unrecognised status (use the list)",IF(AsOfUTC&gt;Q628,"OVERDUE",IF(N628="Clarification required","OPEN – CLARIFICATION","OPEN"))))))),"INVALID – error value in an input cell")</f>
        <v>OPEN</v>
      </c>
      <c r="AI628" s="61" t="n">
        <f aca="false">IF(OR(AH628="N/A – RULE",AH628="N/A – JUSTIFIED"),0,1)</f>
        <v>1</v>
      </c>
      <c r="AJ628" s="61" t="n">
        <f aca="false">IF(LEFT(AH628,8)="COMPLETE",1,0)</f>
        <v>0</v>
      </c>
      <c r="AK628" s="61" t="n">
        <f aca="false">IF(AND(AI628=1,AJ628=0,AsOfUTC&gt;Q628),1,0)</f>
        <v>0</v>
      </c>
      <c r="AL628" s="61" t="n">
        <f aca="false">IFERROR(IF(AND(AI628=1,OR(TRIM(U628)="Fail",AND(TRIM(AB628)&lt;&gt;"",TRIM(AB628)&lt;&gt;"Closed"),AND(ISNUMBER(AF628),AF628&lt;&gt;0,TRIM(U628)&lt;&gt;"Pass after CA"))),1,0),1)</f>
        <v>0</v>
      </c>
      <c r="AM628" s="61" t="n">
        <f aca="false">IF(LEFT(AH628,7)="INVALID",1,0)</f>
        <v>0</v>
      </c>
      <c r="AN628" s="61" t="n">
        <f aca="false">IF(AND(N628="Clarification required",AI628=1,AJ628=0),1,0)</f>
        <v>0</v>
      </c>
      <c r="AO628" s="61" t="str">
        <f aca="false">IF(AK628=1,SUM(AK$5:AK628),"")</f>
        <v/>
      </c>
      <c r="AP628" s="61" t="str">
        <f aca="false">IF(AL628=1,SUM(AL$5:AL628),"")</f>
        <v/>
      </c>
      <c r="AQ628" s="61" t="n">
        <v>1</v>
      </c>
      <c r="AR628" s="61" t="n">
        <v>0</v>
      </c>
      <c r="AS628" s="61" t="n">
        <v>0</v>
      </c>
      <c r="AT628" s="61" t="n">
        <v>0</v>
      </c>
      <c r="AU628" s="61" t="str">
        <f aca="false">SUBSTITUTE(SUBSTITUTE(SUBSTITUTE(SUBSTITUTE(SUBSTITUTE(SUBSTITUTE(SUBSTITUTE(SUBSTITUTE(SUBSTITUTE(SUBSTITUTE(SUBSTITUTE(SUBSTITUTE(SUBSTITUTE(LOWER(T628&amp;""),CHAR(160),"")," ",""),".",""),"-",""),"/",""),"?",""),"_",""),",",""),"[",""),"]",""),"(",""),")",""),"*","")</f>
        <v/>
      </c>
      <c r="AV628" s="61" t="str">
        <f aca="false">SUBSTITUTE(SUBSTITUTE(SUBSTITUTE(SUBSTITUTE(SUBSTITUTE(SUBSTITUTE(SUBSTITUTE(SUBSTITUTE(SUBSTITUTE(SUBSTITUTE(SUBSTITUTE(SUBSTITUTE(SUBSTITUTE(LOWER(V628&amp;""),CHAR(160),"")," ",""),".",""),"-",""),"/",""),"?",""),"_",""),",",""),"[",""),"]",""),"(",""),")",""),"*","")</f>
        <v/>
      </c>
      <c r="AW628" s="61" t="str">
        <f aca="false">SUBSTITUTE(SUBSTITUTE(SUBSTITUTE(SUBSTITUTE(SUBSTITUTE(SUBSTITUTE(SUBSTITUTE(SUBSTITUTE(SUBSTITUTE(SUBSTITUTE(SUBSTITUTE(SUBSTITUTE(SUBSTITUTE(LOWER(Z628&amp;""),CHAR(160),"")," ",""),".",""),"-",""),"/",""),"?",""),"_",""),",",""),"[",""),"]",""),"(",""),")",""),"*","")</f>
        <v/>
      </c>
      <c r="AX628" s="61" t="str">
        <f aca="false">SUBSTITUTE(SUBSTITUTE(SUBSTITUTE(SUBSTITUTE(SUBSTITUTE(SUBSTITUTE(SUBSTITUTE(SUBSTITUTE(SUBSTITUTE(SUBSTITUTE(SUBSTITUTE(SUBSTITUTE(SUBSTITUTE(LOWER(AE628&amp;""),CHAR(160),"")," ",""),".",""),"-",""),"/",""),"?",""),"_",""),",",""),"[",""),"]",""),"(",""),")",""),"*","")</f>
        <v/>
      </c>
      <c r="AY628" s="61" t="str">
        <f aca="false">SUBSTITUTE(SUBSTITUTE(SUBSTITUTE(SUBSTITUTE(SUBSTITUTE(SUBSTITUTE(SUBSTITUTE(SUBSTITUTE(SUBSTITUTE(SUBSTITUTE(SUBSTITUTE(SUBSTITUTE(SUBSTITUTE(LOWER(W628&amp;""),CHAR(160),"")," ",""),".",""),"-",""),"/",""),"?",""),"_",""),",",""),"[",""),"]",""),"(",""),")",""),"*","")</f>
        <v/>
      </c>
      <c r="AZ628" s="61" t="str">
        <f aca="false">SUBSTITUTE(SUBSTITUTE(SUBSTITUTE(SUBSTITUTE(SUBSTITUTE(SUBSTITUTE(SUBSTITUTE(SUBSTITUTE(SUBSTITUTE(SUBSTITUTE(SUBSTITUTE(SUBSTITUTE(SUBSTITUTE(LOWER(AC628&amp;""),CHAR(160),"")," ",""),".",""),"-",""),"/",""),"?",""),"_",""),",",""),"[",""),"]",""),"(",""),")",""),"*","")</f>
        <v/>
      </c>
      <c r="BA628" s="61" t="str">
        <f aca="false">SUBSTITUTE(SUBSTITUTE(SUBSTITUTE(SUBSTITUTE(SUBSTITUTE(SUBSTITUTE(SUBSTITUTE(SUBSTITUTE(SUBSTITUTE(SUBSTITUTE(SUBSTITUTE(SUBSTITUTE(SUBSTITUTE(LOWER(AA628&amp;""),CHAR(160),"")," ",""),".",""),"-",""),"/",""),"?",""),"_",""),",",""),"[",""),"]",""),"(",""),")",""),"*","")</f>
        <v/>
      </c>
      <c r="BB628" s="61" t="str">
        <f aca="false">IF(AND(TRIM(U628)="Pass",ISNUMBER(AF628)),IF(AF628&lt;&gt;0,"INVALID – qty variance: use Fail or Pass after CA",""),"")&amp;IF(AND(TRIM(U628)="Pass after CA",ISNUMBER(AF628)),IF(AF628&lt;&gt;0,"INVALID – after the corrective action the actual qty must equal expected (update Actual)",""),"")&amp;IF(AND(TRIM(U628)="Pass",TRIM(AB628)&lt;&gt;"",TRIM(AB628)&lt;&gt;"Closed"),"INVALID – corrective action not closed: use Fail, then Pass after CA","")&amp;IF(AND(TRIM(AA628)&lt;&gt;"",TRIM(AB628)=""),"INVALID – CA status missing for the recorded corrective action","")&amp;IF(AND(TRIM(U628)="Pass after CA",OR(OR(LEN(BA628)&lt;5,ISNUMBER(MATCH(BA628,L_Placeholder,0))),TRIM(AB628)&lt;&gt;"Closed")),"INVALID – corrective action not recorded/closed","")</f>
        <v/>
      </c>
    </row>
    <row r="629" customFormat="false" ht="39.75" hidden="false" customHeight="true" outlineLevel="0" collapsed="false">
      <c r="A629" s="57" t="s">
        <v>1318</v>
      </c>
      <c r="B629" s="57" t="s">
        <v>298</v>
      </c>
      <c r="C629" s="57" t="str">
        <f aca="false">Flights!$F$23</f>
        <v>MH0053</v>
      </c>
      <c r="D629" s="58" t="n">
        <f aca="false">Flights!$D$23</f>
        <v>46324</v>
      </c>
      <c r="E629" s="57" t="str">
        <f aca="false">Flights!$G$23&amp;"-"&amp;Flights!$H$23</f>
        <v>KIX-KUL</v>
      </c>
      <c r="F629" s="57" t="str">
        <f aca="false">Flights!$K$23</f>
        <v>EY</v>
      </c>
      <c r="G629" s="57" t="s">
        <v>398</v>
      </c>
      <c r="H629" s="57" t="s">
        <v>356</v>
      </c>
      <c r="I629" s="57" t="s">
        <v>357</v>
      </c>
      <c r="J629" s="57" t="s">
        <v>399</v>
      </c>
      <c r="K629" s="67"/>
      <c r="L629" s="67" t="s">
        <v>400</v>
      </c>
      <c r="M629" s="67"/>
      <c r="N629" s="67" t="s">
        <v>361</v>
      </c>
      <c r="O629" s="67" t="s">
        <v>401</v>
      </c>
      <c r="P629" s="57" t="s">
        <v>292</v>
      </c>
      <c r="Q629" s="59" t="n">
        <f aca="false">ROUND((Flights!$AE$23)*1440,0)/1440</f>
        <v>46323.5277777778</v>
      </c>
      <c r="R629" s="59" t="n">
        <f aca="false">Q629+(IF(AND(INDEX(TZ_DSTS,MATCH(P629,TZ_STN,0))&lt;&gt;"",Q629&gt;=INDEX(TZ_DSTS,MATCH(P629,TZ_STN,0)),Q629&lt;INDEX(TZ_DSTE,MATCH(P629,TZ_STN,0))),INDEX(TZ_DST,MATCH(P629,TZ_STN,0)),INDEX(TZ_STD,MATCH(P629,TZ_STN,0))))/24</f>
        <v>46323.9027777778</v>
      </c>
      <c r="S629" s="59" t="n">
        <f aca="false">Q629-T12EarlyH/24</f>
        <v>46323.0277777778</v>
      </c>
      <c r="T629" s="60"/>
      <c r="U629" s="60"/>
      <c r="V629" s="60"/>
      <c r="W629" s="61"/>
      <c r="X629" s="60"/>
      <c r="Y629" s="60"/>
      <c r="Z629" s="60"/>
      <c r="AA629" s="60"/>
      <c r="AB629" s="60"/>
      <c r="AC629" s="60"/>
      <c r="AD629" s="66"/>
      <c r="AE629" s="60"/>
      <c r="AF629" s="61" t="str">
        <f aca="false">IF(AND(ISNUMBER(X629),ISNUMBER(Y629)),Y629-X629,"")</f>
        <v/>
      </c>
      <c r="AG629" s="62" t="str">
        <f aca="false">IF(ISNUMBER(AD629),AD629-(IF(AND(INDEX(TZ_DSTS,MATCH(P629,TZ_STN,0))&lt;&gt;"",(AD629-INDEX(TZ_STD,MATCH(P629,TZ_STN,0))/24)&gt;=INDEX(TZ_DSTS,MATCH(P629,TZ_STN,0)),(AD629-INDEX(TZ_STD,MATCH(P629,TZ_STN,0))/24)&lt;INDEX(TZ_DSTE,MATCH(P629,TZ_STN,0))),INDEX(TZ_DST,MATCH(P629,TZ_STN,0)),INDEX(TZ_STD,MATCH(P629,TZ_STN,0))))/24,"")</f>
        <v/>
      </c>
      <c r="AH629" s="65" t="str">
        <f aca="false">IFERROR(IF(N629="N/A – rule","N/A – RULE",IF(TRIM(U629)="N/A",IF(AT629=0,"INVALID – N/A not permitted for this check",IF(AND(TRIM(AB629)&lt;&gt;"",TRIM(AB629)&lt;&gt;"Closed"),"INVALID – corrective action still open",IF(AND(NOT(OR(LEN(AZ629)&lt;15,ISNUMBER(MATCH(AZ629,L_Placeholder,0)))),NOT(OR(LEN(AU629)&lt;2,ISNUMBER(MATCH(AU629,L_Placeholder,0)))),NOT(OR(LEN(AX629)&lt;2,ISNUMBER(MATCH(AX629,L_Placeholder,0)))),TRIM(AE629)&lt;&gt;TRIM(T629)),"N/A – JUSTIFIED","INVALID – N/A needs a real justification (15+ chars), PIC and a different verifier"))),IF(OR(TRIM(U629)="Pass",TRIM(U629)="Pass after CA"),IF(NOT(ISNUMBER(AD629)),"INVALID – completion time missing",IF(OR(LEN(AU629)&lt;2,ISNUMBER(MATCH(AU629,L_Placeholder,0))),"INVALID – PIC missing",IF(OR(LEN(AV629)&lt;2,ISNUMBER(MATCH(AV629,L_Placeholder,0))),"INVALID – result / assessment missing",IF(OR(OR(LEN(AW629)&lt;3,ISNUMBER(MATCH(AW629,L_Placeholder,0))),SUMPRODUCT(--ISNUMBER(SEARCH(L_EvidencePhrase,AW629)))&gt;0),"INVALID – evidence missing, placeholder or not yet on file",IF(OR(LEN(AX629)&lt;2,ISNUMBER(MATCH(AX629,L_Placeholder,0))),"INVALID – verifier missing",IF(AX629=AU629,"INVALID – verifier must be someone other than the PIC",IF(AND(TRIM(U629)="Pass",SUMPRODUCT(--ISNUMBER(SEARCH(L_ResultBad,AV629)))&gt;0),"INVALID – result describes a problem: use Fail, then Pass after CA",IF(AND(AQ629=1,OR(LEN(AY629)&lt;3,ISNUMBER(MATCH(AY629,L_Placeholder,0)))),"INVALID – batch ID missing or placeholder",IF(AND(AR629=1,OR(NOT(ISNUMBER(X629)),NOT(ISNUMBER(Y629)))),"INVALID – expected/actual qty missing",IF(AND(AR629=1,OR(X629&lt;=0,Y629&lt;0)),"INVALID – expected qty must be above 0 and actual not negative",IF(BB629&lt;&gt;"",BB629,IF(AND(AS629=1,Documents!$J$23&lt;&gt;"ON FILE"),"INVALID – GLD not on file (Documents sheet)",IF(AND(AS629=2,Documents!$O$23&lt;&gt;"ON FILE"),"INVALID – menu checklist not on file (Documents sheet)",IF(AND(AS629=3,NOT(ISNUMBER(Flights!$AX$23))),"INVALID – enter carrying flight KUL departure (Flights AX)",IF(AND(AS629=3,OR(Flights!$AZ$23&gt;Flights!$AA$23,Flights!$AX$23&lt;Flights!$AA$23-3)),"INVALID – carrying flight (Flights AX) cannot arrive before this leg's STD, or is over 3 days early",IF(AG629&gt;AsOfUTC,"INVALID – completion time is in the future",IF(AND(ISNUMBER(S629),AG629&lt;S629),IF(H629="Physical uplift","INVALID – before uplift window (cannot confirm loading)","INVALID – before valid window"),IF(AG629&gt;Flights!$AA$23,"INVALID – completed after departure (cannot establish readiness)",IF(AND(H629="Preparation",AG629&gt;IF(ISNUMBER(Flights!$BA$23),MIN(Flights!$BA$23,Flights!$AA$23),Flights!$AA$23)),"INVALID – completed after loading / departure (cannot establish readiness)",IF(AND(H629="Physical uplift",AG629&gt;Q629),"INVALID – recorded after the loading flight departed",IF(AG629&gt;Q629,"COMPLETE – LATE","COMPLETE"))))))))))))))))))))),IF(TRIM(U629)="Fail","FAIL – DISCREPANCY",IF(AND(TRIM(U629)&lt;&gt;"",TRIM(U629)&lt;&gt;"Not started",TRIM(U629)&lt;&gt;"In progress"),"INVALID – unrecognised status (use the list)",IF(AsOfUTC&gt;Q629,"OVERDUE",IF(N629="Clarification required","OPEN – CLARIFICATION","OPEN"))))))),"INVALID – error value in an input cell")</f>
        <v>OPEN</v>
      </c>
      <c r="AI629" s="61" t="n">
        <f aca="false">IF(OR(AH629="N/A – RULE",AH629="N/A – JUSTIFIED"),0,1)</f>
        <v>1</v>
      </c>
      <c r="AJ629" s="61" t="n">
        <f aca="false">IF(LEFT(AH629,8)="COMPLETE",1,0)</f>
        <v>0</v>
      </c>
      <c r="AK629" s="61" t="n">
        <f aca="false">IF(AND(AI629=1,AJ629=0,AsOfUTC&gt;Q629),1,0)</f>
        <v>0</v>
      </c>
      <c r="AL629" s="61" t="n">
        <f aca="false">IFERROR(IF(AND(AI629=1,OR(TRIM(U629)="Fail",AND(TRIM(AB629)&lt;&gt;"",TRIM(AB629)&lt;&gt;"Closed"),AND(ISNUMBER(AF629),AF629&lt;&gt;0,TRIM(U629)&lt;&gt;"Pass after CA"))),1,0),1)</f>
        <v>0</v>
      </c>
      <c r="AM629" s="61" t="n">
        <f aca="false">IF(LEFT(AH629,7)="INVALID",1,0)</f>
        <v>0</v>
      </c>
      <c r="AN629" s="61" t="n">
        <f aca="false">IF(AND(N629="Clarification required",AI629=1,AJ629=0),1,0)</f>
        <v>0</v>
      </c>
      <c r="AO629" s="61" t="str">
        <f aca="false">IF(AK629=1,SUM(AK$5:AK629),"")</f>
        <v/>
      </c>
      <c r="AP629" s="61" t="str">
        <f aca="false">IF(AL629=1,SUM(AL$5:AL629),"")</f>
        <v/>
      </c>
      <c r="AQ629" s="61" t="n">
        <v>0</v>
      </c>
      <c r="AR629" s="61" t="n">
        <v>0</v>
      </c>
      <c r="AS629" s="61" t="n">
        <v>0</v>
      </c>
      <c r="AT629" s="61" t="n">
        <v>0</v>
      </c>
      <c r="AU629" s="61" t="str">
        <f aca="false">SUBSTITUTE(SUBSTITUTE(SUBSTITUTE(SUBSTITUTE(SUBSTITUTE(SUBSTITUTE(SUBSTITUTE(SUBSTITUTE(SUBSTITUTE(SUBSTITUTE(SUBSTITUTE(SUBSTITUTE(SUBSTITUTE(LOWER(T629&amp;""),CHAR(160),"")," ",""),".",""),"-",""),"/",""),"?",""),"_",""),",",""),"[",""),"]",""),"(",""),")",""),"*","")</f>
        <v/>
      </c>
      <c r="AV629" s="61" t="str">
        <f aca="false">SUBSTITUTE(SUBSTITUTE(SUBSTITUTE(SUBSTITUTE(SUBSTITUTE(SUBSTITUTE(SUBSTITUTE(SUBSTITUTE(SUBSTITUTE(SUBSTITUTE(SUBSTITUTE(SUBSTITUTE(SUBSTITUTE(LOWER(V629&amp;""),CHAR(160),"")," ",""),".",""),"-",""),"/",""),"?",""),"_",""),",",""),"[",""),"]",""),"(",""),")",""),"*","")</f>
        <v/>
      </c>
      <c r="AW629" s="61" t="str">
        <f aca="false">SUBSTITUTE(SUBSTITUTE(SUBSTITUTE(SUBSTITUTE(SUBSTITUTE(SUBSTITUTE(SUBSTITUTE(SUBSTITUTE(SUBSTITUTE(SUBSTITUTE(SUBSTITUTE(SUBSTITUTE(SUBSTITUTE(LOWER(Z629&amp;""),CHAR(160),"")," ",""),".",""),"-",""),"/",""),"?",""),"_",""),",",""),"[",""),"]",""),"(",""),")",""),"*","")</f>
        <v/>
      </c>
      <c r="AX629" s="61" t="str">
        <f aca="false">SUBSTITUTE(SUBSTITUTE(SUBSTITUTE(SUBSTITUTE(SUBSTITUTE(SUBSTITUTE(SUBSTITUTE(SUBSTITUTE(SUBSTITUTE(SUBSTITUTE(SUBSTITUTE(SUBSTITUTE(SUBSTITUTE(LOWER(AE629&amp;""),CHAR(160),"")," ",""),".",""),"-",""),"/",""),"?",""),"_",""),",",""),"[",""),"]",""),"(",""),")",""),"*","")</f>
        <v/>
      </c>
      <c r="AY629" s="61" t="str">
        <f aca="false">SUBSTITUTE(SUBSTITUTE(SUBSTITUTE(SUBSTITUTE(SUBSTITUTE(SUBSTITUTE(SUBSTITUTE(SUBSTITUTE(SUBSTITUTE(SUBSTITUTE(SUBSTITUTE(SUBSTITUTE(SUBSTITUTE(LOWER(W629&amp;""),CHAR(160),"")," ",""),".",""),"-",""),"/",""),"?",""),"_",""),",",""),"[",""),"]",""),"(",""),")",""),"*","")</f>
        <v/>
      </c>
      <c r="AZ629" s="61" t="str">
        <f aca="false">SUBSTITUTE(SUBSTITUTE(SUBSTITUTE(SUBSTITUTE(SUBSTITUTE(SUBSTITUTE(SUBSTITUTE(SUBSTITUTE(SUBSTITUTE(SUBSTITUTE(SUBSTITUTE(SUBSTITUTE(SUBSTITUTE(LOWER(AC629&amp;""),CHAR(160),"")," ",""),".",""),"-",""),"/",""),"?",""),"_",""),",",""),"[",""),"]",""),"(",""),")",""),"*","")</f>
        <v/>
      </c>
      <c r="BA629" s="61" t="str">
        <f aca="false">SUBSTITUTE(SUBSTITUTE(SUBSTITUTE(SUBSTITUTE(SUBSTITUTE(SUBSTITUTE(SUBSTITUTE(SUBSTITUTE(SUBSTITUTE(SUBSTITUTE(SUBSTITUTE(SUBSTITUTE(SUBSTITUTE(LOWER(AA629&amp;""),CHAR(160),"")," ",""),".",""),"-",""),"/",""),"?",""),"_",""),",",""),"[",""),"]",""),"(",""),")",""),"*","")</f>
        <v/>
      </c>
      <c r="BB629" s="61" t="str">
        <f aca="false">IF(AND(TRIM(U629)="Pass",ISNUMBER(AF629)),IF(AF629&lt;&gt;0,"INVALID – qty variance: use Fail or Pass after CA",""),"")&amp;IF(AND(TRIM(U629)="Pass after CA",ISNUMBER(AF629)),IF(AF629&lt;&gt;0,"INVALID – after the corrective action the actual qty must equal expected (update Actual)",""),"")&amp;IF(AND(TRIM(U629)="Pass",TRIM(AB629)&lt;&gt;"",TRIM(AB629)&lt;&gt;"Closed"),"INVALID – corrective action not closed: use Fail, then Pass after CA","")&amp;IF(AND(TRIM(AA629)&lt;&gt;"",TRIM(AB629)=""),"INVALID – CA status missing for the recorded corrective action","")&amp;IF(AND(TRIM(U629)="Pass after CA",OR(OR(LEN(BA629)&lt;5,ISNUMBER(MATCH(BA629,L_Placeholder,0))),TRIM(AB629)&lt;&gt;"Closed")),"INVALID – corrective action not recorded/closed","")</f>
        <v/>
      </c>
    </row>
    <row r="630" customFormat="false" ht="39.75" hidden="false" customHeight="true" outlineLevel="0" collapsed="false">
      <c r="A630" s="57" t="s">
        <v>1319</v>
      </c>
      <c r="B630" s="57" t="s">
        <v>298</v>
      </c>
      <c r="C630" s="57" t="str">
        <f aca="false">Flights!$F$23</f>
        <v>MH0053</v>
      </c>
      <c r="D630" s="58" t="n">
        <f aca="false">Flights!$D$23</f>
        <v>46324</v>
      </c>
      <c r="E630" s="57" t="str">
        <f aca="false">Flights!$G$23&amp;"-"&amp;Flights!$H$23</f>
        <v>KIX-KUL</v>
      </c>
      <c r="F630" s="57" t="str">
        <f aca="false">Flights!$K$23</f>
        <v>EY</v>
      </c>
      <c r="G630" s="57" t="s">
        <v>398</v>
      </c>
      <c r="H630" s="57" t="s">
        <v>356</v>
      </c>
      <c r="I630" s="57" t="s">
        <v>357</v>
      </c>
      <c r="J630" s="57" t="s">
        <v>403</v>
      </c>
      <c r="K630" s="67" t="s">
        <v>404</v>
      </c>
      <c r="L630" s="67" t="s">
        <v>400</v>
      </c>
      <c r="M630" s="67"/>
      <c r="N630" s="67" t="s">
        <v>361</v>
      </c>
      <c r="O630" s="67" t="s">
        <v>401</v>
      </c>
      <c r="P630" s="57" t="s">
        <v>292</v>
      </c>
      <c r="Q630" s="59" t="n">
        <f aca="false">ROUND((Flights!$AE$23)*1440,0)/1440</f>
        <v>46323.5277777778</v>
      </c>
      <c r="R630" s="59" t="n">
        <f aca="false">Q630+(IF(AND(INDEX(TZ_DSTS,MATCH(P630,TZ_STN,0))&lt;&gt;"",Q630&gt;=INDEX(TZ_DSTS,MATCH(P630,TZ_STN,0)),Q630&lt;INDEX(TZ_DSTE,MATCH(P630,TZ_STN,0))),INDEX(TZ_DST,MATCH(P630,TZ_STN,0)),INDEX(TZ_STD,MATCH(P630,TZ_STN,0))))/24</f>
        <v>46323.9027777778</v>
      </c>
      <c r="S630" s="59" t="n">
        <f aca="false">Q630-T12EarlyH/24</f>
        <v>46323.0277777778</v>
      </c>
      <c r="T630" s="60"/>
      <c r="U630" s="60"/>
      <c r="V630" s="60"/>
      <c r="W630" s="61"/>
      <c r="X630" s="60"/>
      <c r="Y630" s="60"/>
      <c r="Z630" s="60"/>
      <c r="AA630" s="60"/>
      <c r="AB630" s="60"/>
      <c r="AC630" s="60"/>
      <c r="AD630" s="66"/>
      <c r="AE630" s="60"/>
      <c r="AF630" s="61" t="str">
        <f aca="false">IF(AND(ISNUMBER(X630),ISNUMBER(Y630)),Y630-X630,"")</f>
        <v/>
      </c>
      <c r="AG630" s="62" t="str">
        <f aca="false">IF(ISNUMBER(AD630),AD630-(IF(AND(INDEX(TZ_DSTS,MATCH(P630,TZ_STN,0))&lt;&gt;"",(AD630-INDEX(TZ_STD,MATCH(P630,TZ_STN,0))/24)&gt;=INDEX(TZ_DSTS,MATCH(P630,TZ_STN,0)),(AD630-INDEX(TZ_STD,MATCH(P630,TZ_STN,0))/24)&lt;INDEX(TZ_DSTE,MATCH(P630,TZ_STN,0))),INDEX(TZ_DST,MATCH(P630,TZ_STN,0)),INDEX(TZ_STD,MATCH(P630,TZ_STN,0))))/24,"")</f>
        <v/>
      </c>
      <c r="AH630" s="65" t="str">
        <f aca="false">IFERROR(IF(N630="N/A – rule","N/A – RULE",IF(TRIM(U630)="N/A",IF(AT630=0,"INVALID – N/A not permitted for this check",IF(AND(TRIM(AB630)&lt;&gt;"",TRIM(AB630)&lt;&gt;"Closed"),"INVALID – corrective action still open",IF(AND(NOT(OR(LEN(AZ630)&lt;15,ISNUMBER(MATCH(AZ630,L_Placeholder,0)))),NOT(OR(LEN(AU630)&lt;2,ISNUMBER(MATCH(AU630,L_Placeholder,0)))),NOT(OR(LEN(AX630)&lt;2,ISNUMBER(MATCH(AX630,L_Placeholder,0)))),TRIM(AE630)&lt;&gt;TRIM(T630)),"N/A – JUSTIFIED","INVALID – N/A needs a real justification (15+ chars), PIC and a different verifier"))),IF(OR(TRIM(U630)="Pass",TRIM(U630)="Pass after CA"),IF(NOT(ISNUMBER(AD630)),"INVALID – completion time missing",IF(OR(LEN(AU630)&lt;2,ISNUMBER(MATCH(AU630,L_Placeholder,0))),"INVALID – PIC missing",IF(OR(LEN(AV630)&lt;2,ISNUMBER(MATCH(AV630,L_Placeholder,0))),"INVALID – result / assessment missing",IF(OR(OR(LEN(AW630)&lt;3,ISNUMBER(MATCH(AW630,L_Placeholder,0))),SUMPRODUCT(--ISNUMBER(SEARCH(L_EvidencePhrase,AW630)))&gt;0),"INVALID – evidence missing, placeholder or not yet on file",IF(OR(LEN(AX630)&lt;2,ISNUMBER(MATCH(AX630,L_Placeholder,0))),"INVALID – verifier missing",IF(AX630=AU630,"INVALID – verifier must be someone other than the PIC",IF(AND(TRIM(U630)="Pass",SUMPRODUCT(--ISNUMBER(SEARCH(L_ResultBad,AV630)))&gt;0),"INVALID – result describes a problem: use Fail, then Pass after CA",IF(AND(AQ630=1,OR(LEN(AY630)&lt;3,ISNUMBER(MATCH(AY630,L_Placeholder,0)))),"INVALID – batch ID missing or placeholder",IF(AND(AR630=1,OR(NOT(ISNUMBER(X630)),NOT(ISNUMBER(Y630)))),"INVALID – expected/actual qty missing",IF(AND(AR630=1,OR(X630&lt;=0,Y630&lt;0)),"INVALID – expected qty must be above 0 and actual not negative",IF(BB630&lt;&gt;"",BB630,IF(AND(AS630=1,Documents!$J$23&lt;&gt;"ON FILE"),"INVALID – GLD not on file (Documents sheet)",IF(AND(AS630=2,Documents!$O$23&lt;&gt;"ON FILE"),"INVALID – menu checklist not on file (Documents sheet)",IF(AND(AS630=3,NOT(ISNUMBER(Flights!$AX$23))),"INVALID – enter carrying flight KUL departure (Flights AX)",IF(AND(AS630=3,OR(Flights!$AZ$23&gt;Flights!$AA$23,Flights!$AX$23&lt;Flights!$AA$23-3)),"INVALID – carrying flight (Flights AX) cannot arrive before this leg's STD, or is over 3 days early",IF(AG630&gt;AsOfUTC,"INVALID – completion time is in the future",IF(AND(ISNUMBER(S630),AG630&lt;S630),IF(H630="Physical uplift","INVALID – before uplift window (cannot confirm loading)","INVALID – before valid window"),IF(AG630&gt;Flights!$AA$23,"INVALID – completed after departure (cannot establish readiness)",IF(AND(H630="Preparation",AG630&gt;IF(ISNUMBER(Flights!$BA$23),MIN(Flights!$BA$23,Flights!$AA$23),Flights!$AA$23)),"INVALID – completed after loading / departure (cannot establish readiness)",IF(AND(H630="Physical uplift",AG630&gt;Q630),"INVALID – recorded after the loading flight departed",IF(AG630&gt;Q630,"COMPLETE – LATE","COMPLETE"))))))))))))))))))))),IF(TRIM(U630)="Fail","FAIL – DISCREPANCY",IF(AND(TRIM(U630)&lt;&gt;"",TRIM(U630)&lt;&gt;"Not started",TRIM(U630)&lt;&gt;"In progress"),"INVALID – unrecognised status (use the list)",IF(AsOfUTC&gt;Q630,"OVERDUE",IF(N630="Clarification required","OPEN – CLARIFICATION","OPEN"))))))),"INVALID – error value in an input cell")</f>
        <v>OPEN</v>
      </c>
      <c r="AI630" s="61" t="n">
        <f aca="false">IF(OR(AH630="N/A – RULE",AH630="N/A – JUSTIFIED"),0,1)</f>
        <v>1</v>
      </c>
      <c r="AJ630" s="61" t="n">
        <f aca="false">IF(LEFT(AH630,8)="COMPLETE",1,0)</f>
        <v>0</v>
      </c>
      <c r="AK630" s="61" t="n">
        <f aca="false">IF(AND(AI630=1,AJ630=0,AsOfUTC&gt;Q630),1,0)</f>
        <v>0</v>
      </c>
      <c r="AL630" s="61" t="n">
        <f aca="false">IFERROR(IF(AND(AI630=1,OR(TRIM(U630)="Fail",AND(TRIM(AB630)&lt;&gt;"",TRIM(AB630)&lt;&gt;"Closed"),AND(ISNUMBER(AF630),AF630&lt;&gt;0,TRIM(U630)&lt;&gt;"Pass after CA"))),1,0),1)</f>
        <v>0</v>
      </c>
      <c r="AM630" s="61" t="n">
        <f aca="false">IF(LEFT(AH630,7)="INVALID",1,0)</f>
        <v>0</v>
      </c>
      <c r="AN630" s="61" t="n">
        <f aca="false">IF(AND(N630="Clarification required",AI630=1,AJ630=0),1,0)</f>
        <v>0</v>
      </c>
      <c r="AO630" s="61" t="str">
        <f aca="false">IF(AK630=1,SUM(AK$5:AK630),"")</f>
        <v/>
      </c>
      <c r="AP630" s="61" t="str">
        <f aca="false">IF(AL630=1,SUM(AL$5:AL630),"")</f>
        <v/>
      </c>
      <c r="AQ630" s="61" t="n">
        <v>0</v>
      </c>
      <c r="AR630" s="61" t="n">
        <v>1</v>
      </c>
      <c r="AS630" s="61" t="n">
        <v>0</v>
      </c>
      <c r="AT630" s="61" t="n">
        <v>0</v>
      </c>
      <c r="AU630" s="61" t="str">
        <f aca="false">SUBSTITUTE(SUBSTITUTE(SUBSTITUTE(SUBSTITUTE(SUBSTITUTE(SUBSTITUTE(SUBSTITUTE(SUBSTITUTE(SUBSTITUTE(SUBSTITUTE(SUBSTITUTE(SUBSTITUTE(SUBSTITUTE(LOWER(T630&amp;""),CHAR(160),"")," ",""),".",""),"-",""),"/",""),"?",""),"_",""),",",""),"[",""),"]",""),"(",""),")",""),"*","")</f>
        <v/>
      </c>
      <c r="AV630" s="61" t="str">
        <f aca="false">SUBSTITUTE(SUBSTITUTE(SUBSTITUTE(SUBSTITUTE(SUBSTITUTE(SUBSTITUTE(SUBSTITUTE(SUBSTITUTE(SUBSTITUTE(SUBSTITUTE(SUBSTITUTE(SUBSTITUTE(SUBSTITUTE(LOWER(V630&amp;""),CHAR(160),"")," ",""),".",""),"-",""),"/",""),"?",""),"_",""),",",""),"[",""),"]",""),"(",""),")",""),"*","")</f>
        <v/>
      </c>
      <c r="AW630" s="61" t="str">
        <f aca="false">SUBSTITUTE(SUBSTITUTE(SUBSTITUTE(SUBSTITUTE(SUBSTITUTE(SUBSTITUTE(SUBSTITUTE(SUBSTITUTE(SUBSTITUTE(SUBSTITUTE(SUBSTITUTE(SUBSTITUTE(SUBSTITUTE(LOWER(Z630&amp;""),CHAR(160),"")," ",""),".",""),"-",""),"/",""),"?",""),"_",""),",",""),"[",""),"]",""),"(",""),")",""),"*","")</f>
        <v/>
      </c>
      <c r="AX630" s="61" t="str">
        <f aca="false">SUBSTITUTE(SUBSTITUTE(SUBSTITUTE(SUBSTITUTE(SUBSTITUTE(SUBSTITUTE(SUBSTITUTE(SUBSTITUTE(SUBSTITUTE(SUBSTITUTE(SUBSTITUTE(SUBSTITUTE(SUBSTITUTE(LOWER(AE630&amp;""),CHAR(160),"")," ",""),".",""),"-",""),"/",""),"?",""),"_",""),",",""),"[",""),"]",""),"(",""),")",""),"*","")</f>
        <v/>
      </c>
      <c r="AY630" s="61" t="str">
        <f aca="false">SUBSTITUTE(SUBSTITUTE(SUBSTITUTE(SUBSTITUTE(SUBSTITUTE(SUBSTITUTE(SUBSTITUTE(SUBSTITUTE(SUBSTITUTE(SUBSTITUTE(SUBSTITUTE(SUBSTITUTE(SUBSTITUTE(LOWER(W630&amp;""),CHAR(160),"")," ",""),".",""),"-",""),"/",""),"?",""),"_",""),",",""),"[",""),"]",""),"(",""),")",""),"*","")</f>
        <v/>
      </c>
      <c r="AZ630" s="61" t="str">
        <f aca="false">SUBSTITUTE(SUBSTITUTE(SUBSTITUTE(SUBSTITUTE(SUBSTITUTE(SUBSTITUTE(SUBSTITUTE(SUBSTITUTE(SUBSTITUTE(SUBSTITUTE(SUBSTITUTE(SUBSTITUTE(SUBSTITUTE(LOWER(AC630&amp;""),CHAR(160),"")," ",""),".",""),"-",""),"/",""),"?",""),"_",""),",",""),"[",""),"]",""),"(",""),")",""),"*","")</f>
        <v/>
      </c>
      <c r="BA630" s="61" t="str">
        <f aca="false">SUBSTITUTE(SUBSTITUTE(SUBSTITUTE(SUBSTITUTE(SUBSTITUTE(SUBSTITUTE(SUBSTITUTE(SUBSTITUTE(SUBSTITUTE(SUBSTITUTE(SUBSTITUTE(SUBSTITUTE(SUBSTITUTE(LOWER(AA630&amp;""),CHAR(160),"")," ",""),".",""),"-",""),"/",""),"?",""),"_",""),",",""),"[",""),"]",""),"(",""),")",""),"*","")</f>
        <v/>
      </c>
      <c r="BB630" s="61" t="str">
        <f aca="false">IF(AND(TRIM(U630)="Pass",ISNUMBER(AF630)),IF(AF630&lt;&gt;0,"INVALID – qty variance: use Fail or Pass after CA",""),"")&amp;IF(AND(TRIM(U630)="Pass after CA",ISNUMBER(AF630)),IF(AF630&lt;&gt;0,"INVALID – after the corrective action the actual qty must equal expected (update Actual)",""),"")&amp;IF(AND(TRIM(U630)="Pass",TRIM(AB630)&lt;&gt;"",TRIM(AB630)&lt;&gt;"Closed"),"INVALID – corrective action not closed: use Fail, then Pass after CA","")&amp;IF(AND(TRIM(AA630)&lt;&gt;"",TRIM(AB630)=""),"INVALID – CA status missing for the recorded corrective action","")&amp;IF(AND(TRIM(U630)="Pass after CA",OR(OR(LEN(BA630)&lt;5,ISNUMBER(MATCH(BA630,L_Placeholder,0))),TRIM(AB630)&lt;&gt;"Closed")),"INVALID – corrective action not recorded/closed","")</f>
        <v/>
      </c>
    </row>
    <row r="631" customFormat="false" ht="39.75" hidden="false" customHeight="true" outlineLevel="0" collapsed="false">
      <c r="A631" s="57" t="s">
        <v>1320</v>
      </c>
      <c r="B631" s="57" t="s">
        <v>298</v>
      </c>
      <c r="C631" s="57" t="str">
        <f aca="false">Flights!$F$23</f>
        <v>MH0053</v>
      </c>
      <c r="D631" s="58" t="n">
        <f aca="false">Flights!$D$23</f>
        <v>46324</v>
      </c>
      <c r="E631" s="57" t="str">
        <f aca="false">Flights!$G$23&amp;"-"&amp;Flights!$H$23</f>
        <v>KIX-KUL</v>
      </c>
      <c r="F631" s="57" t="str">
        <f aca="false">Flights!$K$23</f>
        <v>EY</v>
      </c>
      <c r="G631" s="57" t="s">
        <v>398</v>
      </c>
      <c r="H631" s="57" t="s">
        <v>356</v>
      </c>
      <c r="I631" s="57" t="s">
        <v>406</v>
      </c>
      <c r="J631" s="57" t="s">
        <v>407</v>
      </c>
      <c r="K631" s="67"/>
      <c r="L631" s="67" t="s">
        <v>400</v>
      </c>
      <c r="M631" s="67"/>
      <c r="N631" s="67" t="s">
        <v>361</v>
      </c>
      <c r="O631" s="67" t="s">
        <v>401</v>
      </c>
      <c r="P631" s="57" t="s">
        <v>292</v>
      </c>
      <c r="Q631" s="59" t="n">
        <f aca="false">ROUND((Flights!$AE$23)*1440,0)/1440</f>
        <v>46323.5277777778</v>
      </c>
      <c r="R631" s="59" t="n">
        <f aca="false">Q631+(IF(AND(INDEX(TZ_DSTS,MATCH(P631,TZ_STN,0))&lt;&gt;"",Q631&gt;=INDEX(TZ_DSTS,MATCH(P631,TZ_STN,0)),Q631&lt;INDEX(TZ_DSTE,MATCH(P631,TZ_STN,0))),INDEX(TZ_DST,MATCH(P631,TZ_STN,0)),INDEX(TZ_STD,MATCH(P631,TZ_STN,0))))/24</f>
        <v>46323.9027777778</v>
      </c>
      <c r="S631" s="59" t="n">
        <f aca="false">Q631-T12EarlyH/24</f>
        <v>46323.0277777778</v>
      </c>
      <c r="T631" s="60"/>
      <c r="U631" s="60"/>
      <c r="V631" s="60"/>
      <c r="W631" s="61"/>
      <c r="X631" s="60"/>
      <c r="Y631" s="60"/>
      <c r="Z631" s="60"/>
      <c r="AA631" s="60"/>
      <c r="AB631" s="60"/>
      <c r="AC631" s="60"/>
      <c r="AD631" s="66"/>
      <c r="AE631" s="60"/>
      <c r="AF631" s="61" t="str">
        <f aca="false">IF(AND(ISNUMBER(X631),ISNUMBER(Y631)),Y631-X631,"")</f>
        <v/>
      </c>
      <c r="AG631" s="62" t="str">
        <f aca="false">IF(ISNUMBER(AD631),AD631-(IF(AND(INDEX(TZ_DSTS,MATCH(P631,TZ_STN,0))&lt;&gt;"",(AD631-INDEX(TZ_STD,MATCH(P631,TZ_STN,0))/24)&gt;=INDEX(TZ_DSTS,MATCH(P631,TZ_STN,0)),(AD631-INDEX(TZ_STD,MATCH(P631,TZ_STN,0))/24)&lt;INDEX(TZ_DSTE,MATCH(P631,TZ_STN,0))),INDEX(TZ_DST,MATCH(P631,TZ_STN,0)),INDEX(TZ_STD,MATCH(P631,TZ_STN,0))))/24,"")</f>
        <v/>
      </c>
      <c r="AH631" s="65" t="str">
        <f aca="false">IFERROR(IF(N631="N/A – rule","N/A – RULE",IF(TRIM(U631)="N/A",IF(AT631=0,"INVALID – N/A not permitted for this check",IF(AND(TRIM(AB631)&lt;&gt;"",TRIM(AB631)&lt;&gt;"Closed"),"INVALID – corrective action still open",IF(AND(NOT(OR(LEN(AZ631)&lt;15,ISNUMBER(MATCH(AZ631,L_Placeholder,0)))),NOT(OR(LEN(AU631)&lt;2,ISNUMBER(MATCH(AU631,L_Placeholder,0)))),NOT(OR(LEN(AX631)&lt;2,ISNUMBER(MATCH(AX631,L_Placeholder,0)))),TRIM(AE631)&lt;&gt;TRIM(T631)),"N/A – JUSTIFIED","INVALID – N/A needs a real justification (15+ chars), PIC and a different verifier"))),IF(OR(TRIM(U631)="Pass",TRIM(U631)="Pass after CA"),IF(NOT(ISNUMBER(AD631)),"INVALID – completion time missing",IF(OR(LEN(AU631)&lt;2,ISNUMBER(MATCH(AU631,L_Placeholder,0))),"INVALID – PIC missing",IF(OR(LEN(AV631)&lt;2,ISNUMBER(MATCH(AV631,L_Placeholder,0))),"INVALID – result / assessment missing",IF(OR(OR(LEN(AW631)&lt;3,ISNUMBER(MATCH(AW631,L_Placeholder,0))),SUMPRODUCT(--ISNUMBER(SEARCH(L_EvidencePhrase,AW631)))&gt;0),"INVALID – evidence missing, placeholder or not yet on file",IF(OR(LEN(AX631)&lt;2,ISNUMBER(MATCH(AX631,L_Placeholder,0))),"INVALID – verifier missing",IF(AX631=AU631,"INVALID – verifier must be someone other than the PIC",IF(AND(TRIM(U631)="Pass",SUMPRODUCT(--ISNUMBER(SEARCH(L_ResultBad,AV631)))&gt;0),"INVALID – result describes a problem: use Fail, then Pass after CA",IF(AND(AQ631=1,OR(LEN(AY631)&lt;3,ISNUMBER(MATCH(AY631,L_Placeholder,0)))),"INVALID – batch ID missing or placeholder",IF(AND(AR631=1,OR(NOT(ISNUMBER(X631)),NOT(ISNUMBER(Y631)))),"INVALID – expected/actual qty missing",IF(AND(AR631=1,OR(X631&lt;=0,Y631&lt;0)),"INVALID – expected qty must be above 0 and actual not negative",IF(BB631&lt;&gt;"",BB631,IF(AND(AS631=1,Documents!$J$23&lt;&gt;"ON FILE"),"INVALID – GLD not on file (Documents sheet)",IF(AND(AS631=2,Documents!$O$23&lt;&gt;"ON FILE"),"INVALID – menu checklist not on file (Documents sheet)",IF(AND(AS631=3,NOT(ISNUMBER(Flights!$AX$23))),"INVALID – enter carrying flight KUL departure (Flights AX)",IF(AND(AS631=3,OR(Flights!$AZ$23&gt;Flights!$AA$23,Flights!$AX$23&lt;Flights!$AA$23-3)),"INVALID – carrying flight (Flights AX) cannot arrive before this leg's STD, or is over 3 days early",IF(AG631&gt;AsOfUTC,"INVALID – completion time is in the future",IF(AND(ISNUMBER(S631),AG631&lt;S631),IF(H631="Physical uplift","INVALID – before uplift window (cannot confirm loading)","INVALID – before valid window"),IF(AG631&gt;Flights!$AA$23,"INVALID – completed after departure (cannot establish readiness)",IF(AND(H631="Preparation",AG631&gt;IF(ISNUMBER(Flights!$BA$23),MIN(Flights!$BA$23,Flights!$AA$23),Flights!$AA$23)),"INVALID – completed after loading / departure (cannot establish readiness)",IF(AND(H631="Physical uplift",AG631&gt;Q631),"INVALID – recorded after the loading flight departed",IF(AG631&gt;Q631,"COMPLETE – LATE","COMPLETE"))))))))))))))))))))),IF(TRIM(U631)="Fail","FAIL – DISCREPANCY",IF(AND(TRIM(U631)&lt;&gt;"",TRIM(U631)&lt;&gt;"Not started",TRIM(U631)&lt;&gt;"In progress"),"INVALID – unrecognised status (use the list)",IF(AsOfUTC&gt;Q631,"OVERDUE",IF(N631="Clarification required","OPEN – CLARIFICATION","OPEN"))))))),"INVALID – error value in an input cell")</f>
        <v>OPEN</v>
      </c>
      <c r="AI631" s="61" t="n">
        <f aca="false">IF(OR(AH631="N/A – RULE",AH631="N/A – JUSTIFIED"),0,1)</f>
        <v>1</v>
      </c>
      <c r="AJ631" s="61" t="n">
        <f aca="false">IF(LEFT(AH631,8)="COMPLETE",1,0)</f>
        <v>0</v>
      </c>
      <c r="AK631" s="61" t="n">
        <f aca="false">IF(AND(AI631=1,AJ631=0,AsOfUTC&gt;Q631),1,0)</f>
        <v>0</v>
      </c>
      <c r="AL631" s="61" t="n">
        <f aca="false">IFERROR(IF(AND(AI631=1,OR(TRIM(U631)="Fail",AND(TRIM(AB631)&lt;&gt;"",TRIM(AB631)&lt;&gt;"Closed"),AND(ISNUMBER(AF631),AF631&lt;&gt;0,TRIM(U631)&lt;&gt;"Pass after CA"))),1,0),1)</f>
        <v>0</v>
      </c>
      <c r="AM631" s="61" t="n">
        <f aca="false">IF(LEFT(AH631,7)="INVALID",1,0)</f>
        <v>0</v>
      </c>
      <c r="AN631" s="61" t="n">
        <f aca="false">IF(AND(N631="Clarification required",AI631=1,AJ631=0),1,0)</f>
        <v>0</v>
      </c>
      <c r="AO631" s="61" t="str">
        <f aca="false">IF(AK631=1,SUM(AK$5:AK631),"")</f>
        <v/>
      </c>
      <c r="AP631" s="61" t="str">
        <f aca="false">IF(AL631=1,SUM(AL$5:AL631),"")</f>
        <v/>
      </c>
      <c r="AQ631" s="61" t="n">
        <v>0</v>
      </c>
      <c r="AR631" s="61" t="n">
        <v>0</v>
      </c>
      <c r="AS631" s="61" t="n">
        <v>0</v>
      </c>
      <c r="AT631" s="61" t="n">
        <v>0</v>
      </c>
      <c r="AU631" s="61" t="str">
        <f aca="false">SUBSTITUTE(SUBSTITUTE(SUBSTITUTE(SUBSTITUTE(SUBSTITUTE(SUBSTITUTE(SUBSTITUTE(SUBSTITUTE(SUBSTITUTE(SUBSTITUTE(SUBSTITUTE(SUBSTITUTE(SUBSTITUTE(LOWER(T631&amp;""),CHAR(160),"")," ",""),".",""),"-",""),"/",""),"?",""),"_",""),",",""),"[",""),"]",""),"(",""),")",""),"*","")</f>
        <v/>
      </c>
      <c r="AV631" s="61" t="str">
        <f aca="false">SUBSTITUTE(SUBSTITUTE(SUBSTITUTE(SUBSTITUTE(SUBSTITUTE(SUBSTITUTE(SUBSTITUTE(SUBSTITUTE(SUBSTITUTE(SUBSTITUTE(SUBSTITUTE(SUBSTITUTE(SUBSTITUTE(LOWER(V631&amp;""),CHAR(160),"")," ",""),".",""),"-",""),"/",""),"?",""),"_",""),",",""),"[",""),"]",""),"(",""),")",""),"*","")</f>
        <v/>
      </c>
      <c r="AW631" s="61" t="str">
        <f aca="false">SUBSTITUTE(SUBSTITUTE(SUBSTITUTE(SUBSTITUTE(SUBSTITUTE(SUBSTITUTE(SUBSTITUTE(SUBSTITUTE(SUBSTITUTE(SUBSTITUTE(SUBSTITUTE(SUBSTITUTE(SUBSTITUTE(LOWER(Z631&amp;""),CHAR(160),"")," ",""),".",""),"-",""),"/",""),"?",""),"_",""),",",""),"[",""),"]",""),"(",""),")",""),"*","")</f>
        <v/>
      </c>
      <c r="AX631" s="61" t="str">
        <f aca="false">SUBSTITUTE(SUBSTITUTE(SUBSTITUTE(SUBSTITUTE(SUBSTITUTE(SUBSTITUTE(SUBSTITUTE(SUBSTITUTE(SUBSTITUTE(SUBSTITUTE(SUBSTITUTE(SUBSTITUTE(SUBSTITUTE(LOWER(AE631&amp;""),CHAR(160),"")," ",""),".",""),"-",""),"/",""),"?",""),"_",""),",",""),"[",""),"]",""),"(",""),")",""),"*","")</f>
        <v/>
      </c>
      <c r="AY631" s="61" t="str">
        <f aca="false">SUBSTITUTE(SUBSTITUTE(SUBSTITUTE(SUBSTITUTE(SUBSTITUTE(SUBSTITUTE(SUBSTITUTE(SUBSTITUTE(SUBSTITUTE(SUBSTITUTE(SUBSTITUTE(SUBSTITUTE(SUBSTITUTE(LOWER(W631&amp;""),CHAR(160),"")," ",""),".",""),"-",""),"/",""),"?",""),"_",""),",",""),"[",""),"]",""),"(",""),")",""),"*","")</f>
        <v/>
      </c>
      <c r="AZ631" s="61" t="str">
        <f aca="false">SUBSTITUTE(SUBSTITUTE(SUBSTITUTE(SUBSTITUTE(SUBSTITUTE(SUBSTITUTE(SUBSTITUTE(SUBSTITUTE(SUBSTITUTE(SUBSTITUTE(SUBSTITUTE(SUBSTITUTE(SUBSTITUTE(LOWER(AC631&amp;""),CHAR(160),"")," ",""),".",""),"-",""),"/",""),"?",""),"_",""),",",""),"[",""),"]",""),"(",""),")",""),"*","")</f>
        <v/>
      </c>
      <c r="BA631" s="61" t="str">
        <f aca="false">SUBSTITUTE(SUBSTITUTE(SUBSTITUTE(SUBSTITUTE(SUBSTITUTE(SUBSTITUTE(SUBSTITUTE(SUBSTITUTE(SUBSTITUTE(SUBSTITUTE(SUBSTITUTE(SUBSTITUTE(SUBSTITUTE(LOWER(AA631&amp;""),CHAR(160),"")," ",""),".",""),"-",""),"/",""),"?",""),"_",""),",",""),"[",""),"]",""),"(",""),")",""),"*","")</f>
        <v/>
      </c>
      <c r="BB631" s="61" t="str">
        <f aca="false">IF(AND(TRIM(U631)="Pass",ISNUMBER(AF631)),IF(AF631&lt;&gt;0,"INVALID – qty variance: use Fail or Pass after CA",""),"")&amp;IF(AND(TRIM(U631)="Pass after CA",ISNUMBER(AF631)),IF(AF631&lt;&gt;0,"INVALID – after the corrective action the actual qty must equal expected (update Actual)",""),"")&amp;IF(AND(TRIM(U631)="Pass",TRIM(AB631)&lt;&gt;"",TRIM(AB631)&lt;&gt;"Closed"),"INVALID – corrective action not closed: use Fail, then Pass after CA","")&amp;IF(AND(TRIM(AA631)&lt;&gt;"",TRIM(AB631)=""),"INVALID – CA status missing for the recorded corrective action","")&amp;IF(AND(TRIM(U631)="Pass after CA",OR(OR(LEN(BA631)&lt;5,ISNUMBER(MATCH(BA631,L_Placeholder,0))),TRIM(AB631)&lt;&gt;"Closed")),"INVALID – corrective action not recorded/closed","")</f>
        <v/>
      </c>
    </row>
    <row r="632" customFormat="false" ht="39.75" hidden="false" customHeight="true" outlineLevel="0" collapsed="false">
      <c r="A632" s="57" t="s">
        <v>1321</v>
      </c>
      <c r="B632" s="57" t="s">
        <v>298</v>
      </c>
      <c r="C632" s="57" t="str">
        <f aca="false">Flights!$F$23</f>
        <v>MH0053</v>
      </c>
      <c r="D632" s="58" t="n">
        <f aca="false">Flights!$D$23</f>
        <v>46324</v>
      </c>
      <c r="E632" s="57" t="str">
        <f aca="false">Flights!$G$23&amp;"-"&amp;Flights!$H$23</f>
        <v>KIX-KUL</v>
      </c>
      <c r="F632" s="57" t="str">
        <f aca="false">Flights!$K$23</f>
        <v>EY</v>
      </c>
      <c r="G632" s="57" t="s">
        <v>398</v>
      </c>
      <c r="H632" s="57" t="s">
        <v>356</v>
      </c>
      <c r="I632" s="57" t="s">
        <v>406</v>
      </c>
      <c r="J632" s="57" t="s">
        <v>409</v>
      </c>
      <c r="K632" s="67"/>
      <c r="L632" s="67" t="s">
        <v>400</v>
      </c>
      <c r="M632" s="67"/>
      <c r="N632" s="67" t="s">
        <v>361</v>
      </c>
      <c r="O632" s="67" t="s">
        <v>401</v>
      </c>
      <c r="P632" s="57" t="s">
        <v>292</v>
      </c>
      <c r="Q632" s="59" t="n">
        <f aca="false">ROUND((Flights!$AE$23)*1440,0)/1440</f>
        <v>46323.5277777778</v>
      </c>
      <c r="R632" s="59" t="n">
        <f aca="false">Q632+(IF(AND(INDEX(TZ_DSTS,MATCH(P632,TZ_STN,0))&lt;&gt;"",Q632&gt;=INDEX(TZ_DSTS,MATCH(P632,TZ_STN,0)),Q632&lt;INDEX(TZ_DSTE,MATCH(P632,TZ_STN,0))),INDEX(TZ_DST,MATCH(P632,TZ_STN,0)),INDEX(TZ_STD,MATCH(P632,TZ_STN,0))))/24</f>
        <v>46323.9027777778</v>
      </c>
      <c r="S632" s="59" t="n">
        <f aca="false">Q632-T12EarlyH/24</f>
        <v>46323.0277777778</v>
      </c>
      <c r="T632" s="60"/>
      <c r="U632" s="60"/>
      <c r="V632" s="60"/>
      <c r="W632" s="61"/>
      <c r="X632" s="60"/>
      <c r="Y632" s="60"/>
      <c r="Z632" s="60"/>
      <c r="AA632" s="60"/>
      <c r="AB632" s="60"/>
      <c r="AC632" s="60"/>
      <c r="AD632" s="66"/>
      <c r="AE632" s="60"/>
      <c r="AF632" s="61" t="str">
        <f aca="false">IF(AND(ISNUMBER(X632),ISNUMBER(Y632)),Y632-X632,"")</f>
        <v/>
      </c>
      <c r="AG632" s="62" t="str">
        <f aca="false">IF(ISNUMBER(AD632),AD632-(IF(AND(INDEX(TZ_DSTS,MATCH(P632,TZ_STN,0))&lt;&gt;"",(AD632-INDEX(TZ_STD,MATCH(P632,TZ_STN,0))/24)&gt;=INDEX(TZ_DSTS,MATCH(P632,TZ_STN,0)),(AD632-INDEX(TZ_STD,MATCH(P632,TZ_STN,0))/24)&lt;INDEX(TZ_DSTE,MATCH(P632,TZ_STN,0))),INDEX(TZ_DST,MATCH(P632,TZ_STN,0)),INDEX(TZ_STD,MATCH(P632,TZ_STN,0))))/24,"")</f>
        <v/>
      </c>
      <c r="AH632" s="65" t="str">
        <f aca="false">IFERROR(IF(N632="N/A – rule","N/A – RULE",IF(TRIM(U632)="N/A",IF(AT632=0,"INVALID – N/A not permitted for this check",IF(AND(TRIM(AB632)&lt;&gt;"",TRIM(AB632)&lt;&gt;"Closed"),"INVALID – corrective action still open",IF(AND(NOT(OR(LEN(AZ632)&lt;15,ISNUMBER(MATCH(AZ632,L_Placeholder,0)))),NOT(OR(LEN(AU632)&lt;2,ISNUMBER(MATCH(AU632,L_Placeholder,0)))),NOT(OR(LEN(AX632)&lt;2,ISNUMBER(MATCH(AX632,L_Placeholder,0)))),TRIM(AE632)&lt;&gt;TRIM(T632)),"N/A – JUSTIFIED","INVALID – N/A needs a real justification (15+ chars), PIC and a different verifier"))),IF(OR(TRIM(U632)="Pass",TRIM(U632)="Pass after CA"),IF(NOT(ISNUMBER(AD632)),"INVALID – completion time missing",IF(OR(LEN(AU632)&lt;2,ISNUMBER(MATCH(AU632,L_Placeholder,0))),"INVALID – PIC missing",IF(OR(LEN(AV632)&lt;2,ISNUMBER(MATCH(AV632,L_Placeholder,0))),"INVALID – result / assessment missing",IF(OR(OR(LEN(AW632)&lt;3,ISNUMBER(MATCH(AW632,L_Placeholder,0))),SUMPRODUCT(--ISNUMBER(SEARCH(L_EvidencePhrase,AW632)))&gt;0),"INVALID – evidence missing, placeholder or not yet on file",IF(OR(LEN(AX632)&lt;2,ISNUMBER(MATCH(AX632,L_Placeholder,0))),"INVALID – verifier missing",IF(AX632=AU632,"INVALID – verifier must be someone other than the PIC",IF(AND(TRIM(U632)="Pass",SUMPRODUCT(--ISNUMBER(SEARCH(L_ResultBad,AV632)))&gt;0),"INVALID – result describes a problem: use Fail, then Pass after CA",IF(AND(AQ632=1,OR(LEN(AY632)&lt;3,ISNUMBER(MATCH(AY632,L_Placeholder,0)))),"INVALID – batch ID missing or placeholder",IF(AND(AR632=1,OR(NOT(ISNUMBER(X632)),NOT(ISNUMBER(Y632)))),"INVALID – expected/actual qty missing",IF(AND(AR632=1,OR(X632&lt;=0,Y632&lt;0)),"INVALID – expected qty must be above 0 and actual not negative",IF(BB632&lt;&gt;"",BB632,IF(AND(AS632=1,Documents!$J$23&lt;&gt;"ON FILE"),"INVALID – GLD not on file (Documents sheet)",IF(AND(AS632=2,Documents!$O$23&lt;&gt;"ON FILE"),"INVALID – menu checklist not on file (Documents sheet)",IF(AND(AS632=3,NOT(ISNUMBER(Flights!$AX$23))),"INVALID – enter carrying flight KUL departure (Flights AX)",IF(AND(AS632=3,OR(Flights!$AZ$23&gt;Flights!$AA$23,Flights!$AX$23&lt;Flights!$AA$23-3)),"INVALID – carrying flight (Flights AX) cannot arrive before this leg's STD, or is over 3 days early",IF(AG632&gt;AsOfUTC,"INVALID – completion time is in the future",IF(AND(ISNUMBER(S632),AG632&lt;S632),IF(H632="Physical uplift","INVALID – before uplift window (cannot confirm loading)","INVALID – before valid window"),IF(AG632&gt;Flights!$AA$23,"INVALID – completed after departure (cannot establish readiness)",IF(AND(H632="Preparation",AG632&gt;IF(ISNUMBER(Flights!$BA$23),MIN(Flights!$BA$23,Flights!$AA$23),Flights!$AA$23)),"INVALID – completed after loading / departure (cannot establish readiness)",IF(AND(H632="Physical uplift",AG632&gt;Q632),"INVALID – recorded after the loading flight departed",IF(AG632&gt;Q632,"COMPLETE – LATE","COMPLETE"))))))))))))))))))))),IF(TRIM(U632)="Fail","FAIL – DISCREPANCY",IF(AND(TRIM(U632)&lt;&gt;"",TRIM(U632)&lt;&gt;"Not started",TRIM(U632)&lt;&gt;"In progress"),"INVALID – unrecognised status (use the list)",IF(AsOfUTC&gt;Q632,"OVERDUE",IF(N632="Clarification required","OPEN – CLARIFICATION","OPEN"))))))),"INVALID – error value in an input cell")</f>
        <v>OPEN</v>
      </c>
      <c r="AI632" s="61" t="n">
        <f aca="false">IF(OR(AH632="N/A – RULE",AH632="N/A – JUSTIFIED"),0,1)</f>
        <v>1</v>
      </c>
      <c r="AJ632" s="61" t="n">
        <f aca="false">IF(LEFT(AH632,8)="COMPLETE",1,0)</f>
        <v>0</v>
      </c>
      <c r="AK632" s="61" t="n">
        <f aca="false">IF(AND(AI632=1,AJ632=0,AsOfUTC&gt;Q632),1,0)</f>
        <v>0</v>
      </c>
      <c r="AL632" s="61" t="n">
        <f aca="false">IFERROR(IF(AND(AI632=1,OR(TRIM(U632)="Fail",AND(TRIM(AB632)&lt;&gt;"",TRIM(AB632)&lt;&gt;"Closed"),AND(ISNUMBER(AF632),AF632&lt;&gt;0,TRIM(U632)&lt;&gt;"Pass after CA"))),1,0),1)</f>
        <v>0</v>
      </c>
      <c r="AM632" s="61" t="n">
        <f aca="false">IF(LEFT(AH632,7)="INVALID",1,0)</f>
        <v>0</v>
      </c>
      <c r="AN632" s="61" t="n">
        <f aca="false">IF(AND(N632="Clarification required",AI632=1,AJ632=0),1,0)</f>
        <v>0</v>
      </c>
      <c r="AO632" s="61" t="str">
        <f aca="false">IF(AK632=1,SUM(AK$5:AK632),"")</f>
        <v/>
      </c>
      <c r="AP632" s="61" t="str">
        <f aca="false">IF(AL632=1,SUM(AL$5:AL632),"")</f>
        <v/>
      </c>
      <c r="AQ632" s="61" t="n">
        <v>0</v>
      </c>
      <c r="AR632" s="61" t="n">
        <v>0</v>
      </c>
      <c r="AS632" s="61" t="n">
        <v>0</v>
      </c>
      <c r="AT632" s="61" t="n">
        <v>0</v>
      </c>
      <c r="AU632" s="61" t="str">
        <f aca="false">SUBSTITUTE(SUBSTITUTE(SUBSTITUTE(SUBSTITUTE(SUBSTITUTE(SUBSTITUTE(SUBSTITUTE(SUBSTITUTE(SUBSTITUTE(SUBSTITUTE(SUBSTITUTE(SUBSTITUTE(SUBSTITUTE(LOWER(T632&amp;""),CHAR(160),"")," ",""),".",""),"-",""),"/",""),"?",""),"_",""),",",""),"[",""),"]",""),"(",""),")",""),"*","")</f>
        <v/>
      </c>
      <c r="AV632" s="61" t="str">
        <f aca="false">SUBSTITUTE(SUBSTITUTE(SUBSTITUTE(SUBSTITUTE(SUBSTITUTE(SUBSTITUTE(SUBSTITUTE(SUBSTITUTE(SUBSTITUTE(SUBSTITUTE(SUBSTITUTE(SUBSTITUTE(SUBSTITUTE(LOWER(V632&amp;""),CHAR(160),"")," ",""),".",""),"-",""),"/",""),"?",""),"_",""),",",""),"[",""),"]",""),"(",""),")",""),"*","")</f>
        <v/>
      </c>
      <c r="AW632" s="61" t="str">
        <f aca="false">SUBSTITUTE(SUBSTITUTE(SUBSTITUTE(SUBSTITUTE(SUBSTITUTE(SUBSTITUTE(SUBSTITUTE(SUBSTITUTE(SUBSTITUTE(SUBSTITUTE(SUBSTITUTE(SUBSTITUTE(SUBSTITUTE(LOWER(Z632&amp;""),CHAR(160),"")," ",""),".",""),"-",""),"/",""),"?",""),"_",""),",",""),"[",""),"]",""),"(",""),")",""),"*","")</f>
        <v/>
      </c>
      <c r="AX632" s="61" t="str">
        <f aca="false">SUBSTITUTE(SUBSTITUTE(SUBSTITUTE(SUBSTITUTE(SUBSTITUTE(SUBSTITUTE(SUBSTITUTE(SUBSTITUTE(SUBSTITUTE(SUBSTITUTE(SUBSTITUTE(SUBSTITUTE(SUBSTITUTE(LOWER(AE632&amp;""),CHAR(160),"")," ",""),".",""),"-",""),"/",""),"?",""),"_",""),",",""),"[",""),"]",""),"(",""),")",""),"*","")</f>
        <v/>
      </c>
      <c r="AY632" s="61" t="str">
        <f aca="false">SUBSTITUTE(SUBSTITUTE(SUBSTITUTE(SUBSTITUTE(SUBSTITUTE(SUBSTITUTE(SUBSTITUTE(SUBSTITUTE(SUBSTITUTE(SUBSTITUTE(SUBSTITUTE(SUBSTITUTE(SUBSTITUTE(LOWER(W632&amp;""),CHAR(160),"")," ",""),".",""),"-",""),"/",""),"?",""),"_",""),",",""),"[",""),"]",""),"(",""),")",""),"*","")</f>
        <v/>
      </c>
      <c r="AZ632" s="61" t="str">
        <f aca="false">SUBSTITUTE(SUBSTITUTE(SUBSTITUTE(SUBSTITUTE(SUBSTITUTE(SUBSTITUTE(SUBSTITUTE(SUBSTITUTE(SUBSTITUTE(SUBSTITUTE(SUBSTITUTE(SUBSTITUTE(SUBSTITUTE(LOWER(AC632&amp;""),CHAR(160),"")," ",""),".",""),"-",""),"/",""),"?",""),"_",""),",",""),"[",""),"]",""),"(",""),")",""),"*","")</f>
        <v/>
      </c>
      <c r="BA632" s="61" t="str">
        <f aca="false">SUBSTITUTE(SUBSTITUTE(SUBSTITUTE(SUBSTITUTE(SUBSTITUTE(SUBSTITUTE(SUBSTITUTE(SUBSTITUTE(SUBSTITUTE(SUBSTITUTE(SUBSTITUTE(SUBSTITUTE(SUBSTITUTE(LOWER(AA632&amp;""),CHAR(160),"")," ",""),".",""),"-",""),"/",""),"?",""),"_",""),",",""),"[",""),"]",""),"(",""),")",""),"*","")</f>
        <v/>
      </c>
      <c r="BB632" s="61" t="str">
        <f aca="false">IF(AND(TRIM(U632)="Pass",ISNUMBER(AF632)),IF(AF632&lt;&gt;0,"INVALID – qty variance: use Fail or Pass after CA",""),"")&amp;IF(AND(TRIM(U632)="Pass after CA",ISNUMBER(AF632)),IF(AF632&lt;&gt;0,"INVALID – after the corrective action the actual qty must equal expected (update Actual)",""),"")&amp;IF(AND(TRIM(U632)="Pass",TRIM(AB632)&lt;&gt;"",TRIM(AB632)&lt;&gt;"Closed"),"INVALID – corrective action not closed: use Fail, then Pass after CA","")&amp;IF(AND(TRIM(AA632)&lt;&gt;"",TRIM(AB632)=""),"INVALID – CA status missing for the recorded corrective action","")&amp;IF(AND(TRIM(U632)="Pass after CA",OR(OR(LEN(BA632)&lt;5,ISNUMBER(MATCH(BA632,L_Placeholder,0))),TRIM(AB632)&lt;&gt;"Closed")),"INVALID – corrective action not recorded/closed","")</f>
        <v/>
      </c>
    </row>
    <row r="633" customFormat="false" ht="39.75" hidden="false" customHeight="true" outlineLevel="0" collapsed="false">
      <c r="A633" s="57" t="s">
        <v>1322</v>
      </c>
      <c r="B633" s="57" t="s">
        <v>298</v>
      </c>
      <c r="C633" s="57" t="str">
        <f aca="false">Flights!$F$23</f>
        <v>MH0053</v>
      </c>
      <c r="D633" s="58" t="n">
        <f aca="false">Flights!$D$23</f>
        <v>46324</v>
      </c>
      <c r="E633" s="57" t="str">
        <f aca="false">Flights!$G$23&amp;"-"&amp;Flights!$H$23</f>
        <v>KIX-KUL</v>
      </c>
      <c r="F633" s="57" t="str">
        <f aca="false">Flights!$K$23</f>
        <v>EY</v>
      </c>
      <c r="G633" s="57" t="s">
        <v>398</v>
      </c>
      <c r="H633" s="57" t="s">
        <v>356</v>
      </c>
      <c r="I633" s="57" t="s">
        <v>406</v>
      </c>
      <c r="J633" s="57" t="s">
        <v>411</v>
      </c>
      <c r="K633" s="67"/>
      <c r="L633" s="67" t="s">
        <v>400</v>
      </c>
      <c r="M633" s="67"/>
      <c r="N633" s="67" t="s">
        <v>361</v>
      </c>
      <c r="O633" s="67" t="s">
        <v>401</v>
      </c>
      <c r="P633" s="57" t="s">
        <v>292</v>
      </c>
      <c r="Q633" s="59" t="n">
        <f aca="false">ROUND((Flights!$AE$23)*1440,0)/1440</f>
        <v>46323.5277777778</v>
      </c>
      <c r="R633" s="59" t="n">
        <f aca="false">Q633+(IF(AND(INDEX(TZ_DSTS,MATCH(P633,TZ_STN,0))&lt;&gt;"",Q633&gt;=INDEX(TZ_DSTS,MATCH(P633,TZ_STN,0)),Q633&lt;INDEX(TZ_DSTE,MATCH(P633,TZ_STN,0))),INDEX(TZ_DST,MATCH(P633,TZ_STN,0)),INDEX(TZ_STD,MATCH(P633,TZ_STN,0))))/24</f>
        <v>46323.9027777778</v>
      </c>
      <c r="S633" s="59" t="n">
        <f aca="false">Q633-T12EarlyH/24</f>
        <v>46323.0277777778</v>
      </c>
      <c r="T633" s="60"/>
      <c r="U633" s="60"/>
      <c r="V633" s="60"/>
      <c r="W633" s="61"/>
      <c r="X633" s="60"/>
      <c r="Y633" s="60"/>
      <c r="Z633" s="60"/>
      <c r="AA633" s="60"/>
      <c r="AB633" s="60"/>
      <c r="AC633" s="60"/>
      <c r="AD633" s="66"/>
      <c r="AE633" s="60"/>
      <c r="AF633" s="61" t="str">
        <f aca="false">IF(AND(ISNUMBER(X633),ISNUMBER(Y633)),Y633-X633,"")</f>
        <v/>
      </c>
      <c r="AG633" s="62" t="str">
        <f aca="false">IF(ISNUMBER(AD633),AD633-(IF(AND(INDEX(TZ_DSTS,MATCH(P633,TZ_STN,0))&lt;&gt;"",(AD633-INDEX(TZ_STD,MATCH(P633,TZ_STN,0))/24)&gt;=INDEX(TZ_DSTS,MATCH(P633,TZ_STN,0)),(AD633-INDEX(TZ_STD,MATCH(P633,TZ_STN,0))/24)&lt;INDEX(TZ_DSTE,MATCH(P633,TZ_STN,0))),INDEX(TZ_DST,MATCH(P633,TZ_STN,0)),INDEX(TZ_STD,MATCH(P633,TZ_STN,0))))/24,"")</f>
        <v/>
      </c>
      <c r="AH633" s="65" t="str">
        <f aca="false">IFERROR(IF(N633="N/A – rule","N/A – RULE",IF(TRIM(U633)="N/A",IF(AT633=0,"INVALID – N/A not permitted for this check",IF(AND(TRIM(AB633)&lt;&gt;"",TRIM(AB633)&lt;&gt;"Closed"),"INVALID – corrective action still open",IF(AND(NOT(OR(LEN(AZ633)&lt;15,ISNUMBER(MATCH(AZ633,L_Placeholder,0)))),NOT(OR(LEN(AU633)&lt;2,ISNUMBER(MATCH(AU633,L_Placeholder,0)))),NOT(OR(LEN(AX633)&lt;2,ISNUMBER(MATCH(AX633,L_Placeholder,0)))),TRIM(AE633)&lt;&gt;TRIM(T633)),"N/A – JUSTIFIED","INVALID – N/A needs a real justification (15+ chars), PIC and a different verifier"))),IF(OR(TRIM(U633)="Pass",TRIM(U633)="Pass after CA"),IF(NOT(ISNUMBER(AD633)),"INVALID – completion time missing",IF(OR(LEN(AU633)&lt;2,ISNUMBER(MATCH(AU633,L_Placeholder,0))),"INVALID – PIC missing",IF(OR(LEN(AV633)&lt;2,ISNUMBER(MATCH(AV633,L_Placeholder,0))),"INVALID – result / assessment missing",IF(OR(OR(LEN(AW633)&lt;3,ISNUMBER(MATCH(AW633,L_Placeholder,0))),SUMPRODUCT(--ISNUMBER(SEARCH(L_EvidencePhrase,AW633)))&gt;0),"INVALID – evidence missing, placeholder or not yet on file",IF(OR(LEN(AX633)&lt;2,ISNUMBER(MATCH(AX633,L_Placeholder,0))),"INVALID – verifier missing",IF(AX633=AU633,"INVALID – verifier must be someone other than the PIC",IF(AND(TRIM(U633)="Pass",SUMPRODUCT(--ISNUMBER(SEARCH(L_ResultBad,AV633)))&gt;0),"INVALID – result describes a problem: use Fail, then Pass after CA",IF(AND(AQ633=1,OR(LEN(AY633)&lt;3,ISNUMBER(MATCH(AY633,L_Placeholder,0)))),"INVALID – batch ID missing or placeholder",IF(AND(AR633=1,OR(NOT(ISNUMBER(X633)),NOT(ISNUMBER(Y633)))),"INVALID – expected/actual qty missing",IF(AND(AR633=1,OR(X633&lt;=0,Y633&lt;0)),"INVALID – expected qty must be above 0 and actual not negative",IF(BB633&lt;&gt;"",BB633,IF(AND(AS633=1,Documents!$J$23&lt;&gt;"ON FILE"),"INVALID – GLD not on file (Documents sheet)",IF(AND(AS633=2,Documents!$O$23&lt;&gt;"ON FILE"),"INVALID – menu checklist not on file (Documents sheet)",IF(AND(AS633=3,NOT(ISNUMBER(Flights!$AX$23))),"INVALID – enter carrying flight KUL departure (Flights AX)",IF(AND(AS633=3,OR(Flights!$AZ$23&gt;Flights!$AA$23,Flights!$AX$23&lt;Flights!$AA$23-3)),"INVALID – carrying flight (Flights AX) cannot arrive before this leg's STD, or is over 3 days early",IF(AG633&gt;AsOfUTC,"INVALID – completion time is in the future",IF(AND(ISNUMBER(S633),AG633&lt;S633),IF(H633="Physical uplift","INVALID – before uplift window (cannot confirm loading)","INVALID – before valid window"),IF(AG633&gt;Flights!$AA$23,"INVALID – completed after departure (cannot establish readiness)",IF(AND(H633="Preparation",AG633&gt;IF(ISNUMBER(Flights!$BA$23),MIN(Flights!$BA$23,Flights!$AA$23),Flights!$AA$23)),"INVALID – completed after loading / departure (cannot establish readiness)",IF(AND(H633="Physical uplift",AG633&gt;Q633),"INVALID – recorded after the loading flight departed",IF(AG633&gt;Q633,"COMPLETE – LATE","COMPLETE"))))))))))))))))))))),IF(TRIM(U633)="Fail","FAIL – DISCREPANCY",IF(AND(TRIM(U633)&lt;&gt;"",TRIM(U633)&lt;&gt;"Not started",TRIM(U633)&lt;&gt;"In progress"),"INVALID – unrecognised status (use the list)",IF(AsOfUTC&gt;Q633,"OVERDUE",IF(N633="Clarification required","OPEN – CLARIFICATION","OPEN"))))))),"INVALID – error value in an input cell")</f>
        <v>OPEN</v>
      </c>
      <c r="AI633" s="61" t="n">
        <f aca="false">IF(OR(AH633="N/A – RULE",AH633="N/A – JUSTIFIED"),0,1)</f>
        <v>1</v>
      </c>
      <c r="AJ633" s="61" t="n">
        <f aca="false">IF(LEFT(AH633,8)="COMPLETE",1,0)</f>
        <v>0</v>
      </c>
      <c r="AK633" s="61" t="n">
        <f aca="false">IF(AND(AI633=1,AJ633=0,AsOfUTC&gt;Q633),1,0)</f>
        <v>0</v>
      </c>
      <c r="AL633" s="61" t="n">
        <f aca="false">IFERROR(IF(AND(AI633=1,OR(TRIM(U633)="Fail",AND(TRIM(AB633)&lt;&gt;"",TRIM(AB633)&lt;&gt;"Closed"),AND(ISNUMBER(AF633),AF633&lt;&gt;0,TRIM(U633)&lt;&gt;"Pass after CA"))),1,0),1)</f>
        <v>0</v>
      </c>
      <c r="AM633" s="61" t="n">
        <f aca="false">IF(LEFT(AH633,7)="INVALID",1,0)</f>
        <v>0</v>
      </c>
      <c r="AN633" s="61" t="n">
        <f aca="false">IF(AND(N633="Clarification required",AI633=1,AJ633=0),1,0)</f>
        <v>0</v>
      </c>
      <c r="AO633" s="61" t="str">
        <f aca="false">IF(AK633=1,SUM(AK$5:AK633),"")</f>
        <v/>
      </c>
      <c r="AP633" s="61" t="str">
        <f aca="false">IF(AL633=1,SUM(AL$5:AL633),"")</f>
        <v/>
      </c>
      <c r="AQ633" s="61" t="n">
        <v>0</v>
      </c>
      <c r="AR633" s="61" t="n">
        <v>0</v>
      </c>
      <c r="AS633" s="61" t="n">
        <v>0</v>
      </c>
      <c r="AT633" s="61" t="n">
        <v>0</v>
      </c>
      <c r="AU633" s="61" t="str">
        <f aca="false">SUBSTITUTE(SUBSTITUTE(SUBSTITUTE(SUBSTITUTE(SUBSTITUTE(SUBSTITUTE(SUBSTITUTE(SUBSTITUTE(SUBSTITUTE(SUBSTITUTE(SUBSTITUTE(SUBSTITUTE(SUBSTITUTE(LOWER(T633&amp;""),CHAR(160),"")," ",""),".",""),"-",""),"/",""),"?",""),"_",""),",",""),"[",""),"]",""),"(",""),")",""),"*","")</f>
        <v/>
      </c>
      <c r="AV633" s="61" t="str">
        <f aca="false">SUBSTITUTE(SUBSTITUTE(SUBSTITUTE(SUBSTITUTE(SUBSTITUTE(SUBSTITUTE(SUBSTITUTE(SUBSTITUTE(SUBSTITUTE(SUBSTITUTE(SUBSTITUTE(SUBSTITUTE(SUBSTITUTE(LOWER(V633&amp;""),CHAR(160),"")," ",""),".",""),"-",""),"/",""),"?",""),"_",""),",",""),"[",""),"]",""),"(",""),")",""),"*","")</f>
        <v/>
      </c>
      <c r="AW633" s="61" t="str">
        <f aca="false">SUBSTITUTE(SUBSTITUTE(SUBSTITUTE(SUBSTITUTE(SUBSTITUTE(SUBSTITUTE(SUBSTITUTE(SUBSTITUTE(SUBSTITUTE(SUBSTITUTE(SUBSTITUTE(SUBSTITUTE(SUBSTITUTE(LOWER(Z633&amp;""),CHAR(160),"")," ",""),".",""),"-",""),"/",""),"?",""),"_",""),",",""),"[",""),"]",""),"(",""),")",""),"*","")</f>
        <v/>
      </c>
      <c r="AX633" s="61" t="str">
        <f aca="false">SUBSTITUTE(SUBSTITUTE(SUBSTITUTE(SUBSTITUTE(SUBSTITUTE(SUBSTITUTE(SUBSTITUTE(SUBSTITUTE(SUBSTITUTE(SUBSTITUTE(SUBSTITUTE(SUBSTITUTE(SUBSTITUTE(LOWER(AE633&amp;""),CHAR(160),"")," ",""),".",""),"-",""),"/",""),"?",""),"_",""),",",""),"[",""),"]",""),"(",""),")",""),"*","")</f>
        <v/>
      </c>
      <c r="AY633" s="61" t="str">
        <f aca="false">SUBSTITUTE(SUBSTITUTE(SUBSTITUTE(SUBSTITUTE(SUBSTITUTE(SUBSTITUTE(SUBSTITUTE(SUBSTITUTE(SUBSTITUTE(SUBSTITUTE(SUBSTITUTE(SUBSTITUTE(SUBSTITUTE(LOWER(W633&amp;""),CHAR(160),"")," ",""),".",""),"-",""),"/",""),"?",""),"_",""),",",""),"[",""),"]",""),"(",""),")",""),"*","")</f>
        <v/>
      </c>
      <c r="AZ633" s="61" t="str">
        <f aca="false">SUBSTITUTE(SUBSTITUTE(SUBSTITUTE(SUBSTITUTE(SUBSTITUTE(SUBSTITUTE(SUBSTITUTE(SUBSTITUTE(SUBSTITUTE(SUBSTITUTE(SUBSTITUTE(SUBSTITUTE(SUBSTITUTE(LOWER(AC633&amp;""),CHAR(160),"")," ",""),".",""),"-",""),"/",""),"?",""),"_",""),",",""),"[",""),"]",""),"(",""),")",""),"*","")</f>
        <v/>
      </c>
      <c r="BA633" s="61" t="str">
        <f aca="false">SUBSTITUTE(SUBSTITUTE(SUBSTITUTE(SUBSTITUTE(SUBSTITUTE(SUBSTITUTE(SUBSTITUTE(SUBSTITUTE(SUBSTITUTE(SUBSTITUTE(SUBSTITUTE(SUBSTITUTE(SUBSTITUTE(LOWER(AA633&amp;""),CHAR(160),"")," ",""),".",""),"-",""),"/",""),"?",""),"_",""),",",""),"[",""),"]",""),"(",""),")",""),"*","")</f>
        <v/>
      </c>
      <c r="BB633" s="61" t="str">
        <f aca="false">IF(AND(TRIM(U633)="Pass",ISNUMBER(AF633)),IF(AF633&lt;&gt;0,"INVALID – qty variance: use Fail or Pass after CA",""),"")&amp;IF(AND(TRIM(U633)="Pass after CA",ISNUMBER(AF633)),IF(AF633&lt;&gt;0,"INVALID – after the corrective action the actual qty must equal expected (update Actual)",""),"")&amp;IF(AND(TRIM(U633)="Pass",TRIM(AB633)&lt;&gt;"",TRIM(AB633)&lt;&gt;"Closed"),"INVALID – corrective action not closed: use Fail, then Pass after CA","")&amp;IF(AND(TRIM(AA633)&lt;&gt;"",TRIM(AB633)=""),"INVALID – CA status missing for the recorded corrective action","")&amp;IF(AND(TRIM(U633)="Pass after CA",OR(OR(LEN(BA633)&lt;5,ISNUMBER(MATCH(BA633,L_Placeholder,0))),TRIM(AB633)&lt;&gt;"Closed")),"INVALID – corrective action not recorded/closed","")</f>
        <v/>
      </c>
    </row>
    <row r="634" customFormat="false" ht="78.75" hidden="false" customHeight="true" outlineLevel="0" collapsed="false">
      <c r="A634" s="57" t="s">
        <v>1323</v>
      </c>
      <c r="B634" s="57" t="s">
        <v>298</v>
      </c>
      <c r="C634" s="57" t="str">
        <f aca="false">Flights!$F$23</f>
        <v>MH0053</v>
      </c>
      <c r="D634" s="58" t="n">
        <f aca="false">Flights!$D$23</f>
        <v>46324</v>
      </c>
      <c r="E634" s="57" t="str">
        <f aca="false">Flights!$G$23&amp;"-"&amp;Flights!$H$23</f>
        <v>KIX-KUL</v>
      </c>
      <c r="F634" s="57" t="str">
        <f aca="false">Flights!$K$23</f>
        <v>EY</v>
      </c>
      <c r="G634" s="57" t="s">
        <v>398</v>
      </c>
      <c r="H634" s="57" t="s">
        <v>356</v>
      </c>
      <c r="I634" s="57" t="s">
        <v>406</v>
      </c>
      <c r="J634" s="57" t="s">
        <v>413</v>
      </c>
      <c r="K634" s="67" t="s">
        <v>551</v>
      </c>
      <c r="L634" s="67" t="s">
        <v>400</v>
      </c>
      <c r="M634" s="67"/>
      <c r="N634" s="67" t="s">
        <v>361</v>
      </c>
      <c r="O634" s="67" t="s">
        <v>401</v>
      </c>
      <c r="P634" s="57" t="s">
        <v>292</v>
      </c>
      <c r="Q634" s="59" t="n">
        <f aca="false">ROUND((Flights!$AE$23)*1440,0)/1440</f>
        <v>46323.5277777778</v>
      </c>
      <c r="R634" s="59" t="n">
        <f aca="false">Q634+(IF(AND(INDEX(TZ_DSTS,MATCH(P634,TZ_STN,0))&lt;&gt;"",Q634&gt;=INDEX(TZ_DSTS,MATCH(P634,TZ_STN,0)),Q634&lt;INDEX(TZ_DSTE,MATCH(P634,TZ_STN,0))),INDEX(TZ_DST,MATCH(P634,TZ_STN,0)),INDEX(TZ_STD,MATCH(P634,TZ_STN,0))))/24</f>
        <v>46323.9027777778</v>
      </c>
      <c r="S634" s="59" t="n">
        <f aca="false">Q634-T12EarlyH/24</f>
        <v>46323.0277777778</v>
      </c>
      <c r="T634" s="60"/>
      <c r="U634" s="60"/>
      <c r="V634" s="60"/>
      <c r="W634" s="61"/>
      <c r="X634" s="60"/>
      <c r="Y634" s="60"/>
      <c r="Z634" s="60"/>
      <c r="AA634" s="60"/>
      <c r="AB634" s="60"/>
      <c r="AC634" s="60"/>
      <c r="AD634" s="66"/>
      <c r="AE634" s="60"/>
      <c r="AF634" s="61" t="str">
        <f aca="false">IF(AND(ISNUMBER(X634),ISNUMBER(Y634)),Y634-X634,"")</f>
        <v/>
      </c>
      <c r="AG634" s="62" t="str">
        <f aca="false">IF(ISNUMBER(AD634),AD634-(IF(AND(INDEX(TZ_DSTS,MATCH(P634,TZ_STN,0))&lt;&gt;"",(AD634-INDEX(TZ_STD,MATCH(P634,TZ_STN,0))/24)&gt;=INDEX(TZ_DSTS,MATCH(P634,TZ_STN,0)),(AD634-INDEX(TZ_STD,MATCH(P634,TZ_STN,0))/24)&lt;INDEX(TZ_DSTE,MATCH(P634,TZ_STN,0))),INDEX(TZ_DST,MATCH(P634,TZ_STN,0)),INDEX(TZ_STD,MATCH(P634,TZ_STN,0))))/24,"")</f>
        <v/>
      </c>
      <c r="AH634" s="65" t="str">
        <f aca="false">IFERROR(IF(N634="N/A – rule","N/A – RULE",IF(TRIM(U634)="N/A",IF(AT634=0,"INVALID – N/A not permitted for this check",IF(AND(TRIM(AB634)&lt;&gt;"",TRIM(AB634)&lt;&gt;"Closed"),"INVALID – corrective action still open",IF(AND(NOT(OR(LEN(AZ634)&lt;15,ISNUMBER(MATCH(AZ634,L_Placeholder,0)))),NOT(OR(LEN(AU634)&lt;2,ISNUMBER(MATCH(AU634,L_Placeholder,0)))),NOT(OR(LEN(AX634)&lt;2,ISNUMBER(MATCH(AX634,L_Placeholder,0)))),TRIM(AE634)&lt;&gt;TRIM(T634)),"N/A – JUSTIFIED","INVALID – N/A needs a real justification (15+ chars), PIC and a different verifier"))),IF(OR(TRIM(U634)="Pass",TRIM(U634)="Pass after CA"),IF(NOT(ISNUMBER(AD634)),"INVALID – completion time missing",IF(OR(LEN(AU634)&lt;2,ISNUMBER(MATCH(AU634,L_Placeholder,0))),"INVALID – PIC missing",IF(OR(LEN(AV634)&lt;2,ISNUMBER(MATCH(AV634,L_Placeholder,0))),"INVALID – result / assessment missing",IF(OR(OR(LEN(AW634)&lt;3,ISNUMBER(MATCH(AW634,L_Placeholder,0))),SUMPRODUCT(--ISNUMBER(SEARCH(L_EvidencePhrase,AW634)))&gt;0),"INVALID – evidence missing, placeholder or not yet on file",IF(OR(LEN(AX634)&lt;2,ISNUMBER(MATCH(AX634,L_Placeholder,0))),"INVALID – verifier missing",IF(AX634=AU634,"INVALID – verifier must be someone other than the PIC",IF(AND(TRIM(U634)="Pass",SUMPRODUCT(--ISNUMBER(SEARCH(L_ResultBad,AV634)))&gt;0),"INVALID – result describes a problem: use Fail, then Pass after CA",IF(AND(AQ634=1,OR(LEN(AY634)&lt;3,ISNUMBER(MATCH(AY634,L_Placeholder,0)))),"INVALID – batch ID missing or placeholder",IF(AND(AR634=1,OR(NOT(ISNUMBER(X634)),NOT(ISNUMBER(Y634)))),"INVALID – expected/actual qty missing",IF(AND(AR634=1,OR(X634&lt;=0,Y634&lt;0)),"INVALID – expected qty must be above 0 and actual not negative",IF(BB634&lt;&gt;"",BB634,IF(AND(AS634=1,Documents!$J$23&lt;&gt;"ON FILE"),"INVALID – GLD not on file (Documents sheet)",IF(AND(AS634=2,Documents!$O$23&lt;&gt;"ON FILE"),"INVALID – menu checklist not on file (Documents sheet)",IF(AND(AS634=3,NOT(ISNUMBER(Flights!$AX$23))),"INVALID – enter carrying flight KUL departure (Flights AX)",IF(AND(AS634=3,OR(Flights!$AZ$23&gt;Flights!$AA$23,Flights!$AX$23&lt;Flights!$AA$23-3)),"INVALID – carrying flight (Flights AX) cannot arrive before this leg's STD, or is over 3 days early",IF(AG634&gt;AsOfUTC,"INVALID – completion time is in the future",IF(AND(ISNUMBER(S634),AG634&lt;S634),IF(H634="Physical uplift","INVALID – before uplift window (cannot confirm loading)","INVALID – before valid window"),IF(AG634&gt;Flights!$AA$23,"INVALID – completed after departure (cannot establish readiness)",IF(AND(H634="Preparation",AG634&gt;IF(ISNUMBER(Flights!$BA$23),MIN(Flights!$BA$23,Flights!$AA$23),Flights!$AA$23)),"INVALID – completed after loading / departure (cannot establish readiness)",IF(AND(H634="Physical uplift",AG634&gt;Q634),"INVALID – recorded after the loading flight departed",IF(AG634&gt;Q634,"COMPLETE – LATE","COMPLETE"))))))))))))))))))))),IF(TRIM(U634)="Fail","FAIL – DISCREPANCY",IF(AND(TRIM(U634)&lt;&gt;"",TRIM(U634)&lt;&gt;"Not started",TRIM(U634)&lt;&gt;"In progress"),"INVALID – unrecognised status (use the list)",IF(AsOfUTC&gt;Q634,"OVERDUE",IF(N634="Clarification required","OPEN – CLARIFICATION","OPEN"))))))),"INVALID – error value in an input cell")</f>
        <v>OPEN</v>
      </c>
      <c r="AI634" s="61" t="n">
        <f aca="false">IF(OR(AH634="N/A – RULE",AH634="N/A – JUSTIFIED"),0,1)</f>
        <v>1</v>
      </c>
      <c r="AJ634" s="61" t="n">
        <f aca="false">IF(LEFT(AH634,8)="COMPLETE",1,0)</f>
        <v>0</v>
      </c>
      <c r="AK634" s="61" t="n">
        <f aca="false">IF(AND(AI634=1,AJ634=0,AsOfUTC&gt;Q634),1,0)</f>
        <v>0</v>
      </c>
      <c r="AL634" s="61" t="n">
        <f aca="false">IFERROR(IF(AND(AI634=1,OR(TRIM(U634)="Fail",AND(TRIM(AB634)&lt;&gt;"",TRIM(AB634)&lt;&gt;"Closed"),AND(ISNUMBER(AF634),AF634&lt;&gt;0,TRIM(U634)&lt;&gt;"Pass after CA"))),1,0),1)</f>
        <v>0</v>
      </c>
      <c r="AM634" s="61" t="n">
        <f aca="false">IF(LEFT(AH634,7)="INVALID",1,0)</f>
        <v>0</v>
      </c>
      <c r="AN634" s="61" t="n">
        <f aca="false">IF(AND(N634="Clarification required",AI634=1,AJ634=0),1,0)</f>
        <v>0</v>
      </c>
      <c r="AO634" s="61" t="str">
        <f aca="false">IF(AK634=1,SUM(AK$5:AK634),"")</f>
        <v/>
      </c>
      <c r="AP634" s="61" t="str">
        <f aca="false">IF(AL634=1,SUM(AL$5:AL634),"")</f>
        <v/>
      </c>
      <c r="AQ634" s="61" t="n">
        <v>0</v>
      </c>
      <c r="AR634" s="61" t="n">
        <v>1</v>
      </c>
      <c r="AS634" s="61" t="n">
        <v>0</v>
      </c>
      <c r="AT634" s="61" t="n">
        <v>0</v>
      </c>
      <c r="AU634" s="61" t="str">
        <f aca="false">SUBSTITUTE(SUBSTITUTE(SUBSTITUTE(SUBSTITUTE(SUBSTITUTE(SUBSTITUTE(SUBSTITUTE(SUBSTITUTE(SUBSTITUTE(SUBSTITUTE(SUBSTITUTE(SUBSTITUTE(SUBSTITUTE(LOWER(T634&amp;""),CHAR(160),"")," ",""),".",""),"-",""),"/",""),"?",""),"_",""),",",""),"[",""),"]",""),"(",""),")",""),"*","")</f>
        <v/>
      </c>
      <c r="AV634" s="61" t="str">
        <f aca="false">SUBSTITUTE(SUBSTITUTE(SUBSTITUTE(SUBSTITUTE(SUBSTITUTE(SUBSTITUTE(SUBSTITUTE(SUBSTITUTE(SUBSTITUTE(SUBSTITUTE(SUBSTITUTE(SUBSTITUTE(SUBSTITUTE(LOWER(V634&amp;""),CHAR(160),"")," ",""),".",""),"-",""),"/",""),"?",""),"_",""),",",""),"[",""),"]",""),"(",""),")",""),"*","")</f>
        <v/>
      </c>
      <c r="AW634" s="61" t="str">
        <f aca="false">SUBSTITUTE(SUBSTITUTE(SUBSTITUTE(SUBSTITUTE(SUBSTITUTE(SUBSTITUTE(SUBSTITUTE(SUBSTITUTE(SUBSTITUTE(SUBSTITUTE(SUBSTITUTE(SUBSTITUTE(SUBSTITUTE(LOWER(Z634&amp;""),CHAR(160),"")," ",""),".",""),"-",""),"/",""),"?",""),"_",""),",",""),"[",""),"]",""),"(",""),")",""),"*","")</f>
        <v/>
      </c>
      <c r="AX634" s="61" t="str">
        <f aca="false">SUBSTITUTE(SUBSTITUTE(SUBSTITUTE(SUBSTITUTE(SUBSTITUTE(SUBSTITUTE(SUBSTITUTE(SUBSTITUTE(SUBSTITUTE(SUBSTITUTE(SUBSTITUTE(SUBSTITUTE(SUBSTITUTE(LOWER(AE634&amp;""),CHAR(160),"")," ",""),".",""),"-",""),"/",""),"?",""),"_",""),",",""),"[",""),"]",""),"(",""),")",""),"*","")</f>
        <v/>
      </c>
      <c r="AY634" s="61" t="str">
        <f aca="false">SUBSTITUTE(SUBSTITUTE(SUBSTITUTE(SUBSTITUTE(SUBSTITUTE(SUBSTITUTE(SUBSTITUTE(SUBSTITUTE(SUBSTITUTE(SUBSTITUTE(SUBSTITUTE(SUBSTITUTE(SUBSTITUTE(LOWER(W634&amp;""),CHAR(160),"")," ",""),".",""),"-",""),"/",""),"?",""),"_",""),",",""),"[",""),"]",""),"(",""),")",""),"*","")</f>
        <v/>
      </c>
      <c r="AZ634" s="61" t="str">
        <f aca="false">SUBSTITUTE(SUBSTITUTE(SUBSTITUTE(SUBSTITUTE(SUBSTITUTE(SUBSTITUTE(SUBSTITUTE(SUBSTITUTE(SUBSTITUTE(SUBSTITUTE(SUBSTITUTE(SUBSTITUTE(SUBSTITUTE(LOWER(AC634&amp;""),CHAR(160),"")," ",""),".",""),"-",""),"/",""),"?",""),"_",""),",",""),"[",""),"]",""),"(",""),")",""),"*","")</f>
        <v/>
      </c>
      <c r="BA634" s="61" t="str">
        <f aca="false">SUBSTITUTE(SUBSTITUTE(SUBSTITUTE(SUBSTITUTE(SUBSTITUTE(SUBSTITUTE(SUBSTITUTE(SUBSTITUTE(SUBSTITUTE(SUBSTITUTE(SUBSTITUTE(SUBSTITUTE(SUBSTITUTE(LOWER(AA634&amp;""),CHAR(160),"")," ",""),".",""),"-",""),"/",""),"?",""),"_",""),",",""),"[",""),"]",""),"(",""),")",""),"*","")</f>
        <v/>
      </c>
      <c r="BB634" s="61" t="str">
        <f aca="false">IF(AND(TRIM(U634)="Pass",ISNUMBER(AF634)),IF(AF634&lt;&gt;0,"INVALID – qty variance: use Fail or Pass after CA",""),"")&amp;IF(AND(TRIM(U634)="Pass after CA",ISNUMBER(AF634)),IF(AF634&lt;&gt;0,"INVALID – after the corrective action the actual qty must equal expected (update Actual)",""),"")&amp;IF(AND(TRIM(U634)="Pass",TRIM(AB634)&lt;&gt;"",TRIM(AB634)&lt;&gt;"Closed"),"INVALID – corrective action not closed: use Fail, then Pass after CA","")&amp;IF(AND(TRIM(AA634)&lt;&gt;"",TRIM(AB634)=""),"INVALID – CA status missing for the recorded corrective action","")&amp;IF(AND(TRIM(U634)="Pass after CA",OR(OR(LEN(BA634)&lt;5,ISNUMBER(MATCH(BA634,L_Placeholder,0))),TRIM(AB634)&lt;&gt;"Closed")),"INVALID – corrective action not recorded/closed","")</f>
        <v/>
      </c>
    </row>
    <row r="635" customFormat="false" ht="39.75" hidden="false" customHeight="true" outlineLevel="0" collapsed="false">
      <c r="A635" s="57" t="s">
        <v>1324</v>
      </c>
      <c r="B635" s="57" t="s">
        <v>298</v>
      </c>
      <c r="C635" s="57" t="str">
        <f aca="false">Flights!$F$23</f>
        <v>MH0053</v>
      </c>
      <c r="D635" s="58" t="n">
        <f aca="false">Flights!$D$23</f>
        <v>46324</v>
      </c>
      <c r="E635" s="57" t="str">
        <f aca="false">Flights!$G$23&amp;"-"&amp;Flights!$H$23</f>
        <v>KIX-KUL</v>
      </c>
      <c r="F635" s="57" t="str">
        <f aca="false">Flights!$K$23</f>
        <v>EY</v>
      </c>
      <c r="G635" s="57" t="s">
        <v>398</v>
      </c>
      <c r="H635" s="57" t="s">
        <v>356</v>
      </c>
      <c r="I635" s="57" t="s">
        <v>406</v>
      </c>
      <c r="J635" s="57" t="s">
        <v>416</v>
      </c>
      <c r="K635" s="67"/>
      <c r="L635" s="67" t="s">
        <v>400</v>
      </c>
      <c r="M635" s="67"/>
      <c r="N635" s="67" t="s">
        <v>361</v>
      </c>
      <c r="O635" s="67" t="s">
        <v>401</v>
      </c>
      <c r="P635" s="57" t="s">
        <v>292</v>
      </c>
      <c r="Q635" s="59" t="n">
        <f aca="false">ROUND((Flights!$AE$23)*1440,0)/1440</f>
        <v>46323.5277777778</v>
      </c>
      <c r="R635" s="59" t="n">
        <f aca="false">Q635+(IF(AND(INDEX(TZ_DSTS,MATCH(P635,TZ_STN,0))&lt;&gt;"",Q635&gt;=INDEX(TZ_DSTS,MATCH(P635,TZ_STN,0)),Q635&lt;INDEX(TZ_DSTE,MATCH(P635,TZ_STN,0))),INDEX(TZ_DST,MATCH(P635,TZ_STN,0)),INDEX(TZ_STD,MATCH(P635,TZ_STN,0))))/24</f>
        <v>46323.9027777778</v>
      </c>
      <c r="S635" s="59" t="n">
        <f aca="false">Q635-T12EarlyH/24</f>
        <v>46323.0277777778</v>
      </c>
      <c r="T635" s="60"/>
      <c r="U635" s="60"/>
      <c r="V635" s="60"/>
      <c r="W635" s="61"/>
      <c r="X635" s="60"/>
      <c r="Y635" s="60"/>
      <c r="Z635" s="60"/>
      <c r="AA635" s="60"/>
      <c r="AB635" s="60"/>
      <c r="AC635" s="60"/>
      <c r="AD635" s="66"/>
      <c r="AE635" s="60"/>
      <c r="AF635" s="61" t="str">
        <f aca="false">IF(AND(ISNUMBER(X635),ISNUMBER(Y635)),Y635-X635,"")</f>
        <v/>
      </c>
      <c r="AG635" s="62" t="str">
        <f aca="false">IF(ISNUMBER(AD635),AD635-(IF(AND(INDEX(TZ_DSTS,MATCH(P635,TZ_STN,0))&lt;&gt;"",(AD635-INDEX(TZ_STD,MATCH(P635,TZ_STN,0))/24)&gt;=INDEX(TZ_DSTS,MATCH(P635,TZ_STN,0)),(AD635-INDEX(TZ_STD,MATCH(P635,TZ_STN,0))/24)&lt;INDEX(TZ_DSTE,MATCH(P635,TZ_STN,0))),INDEX(TZ_DST,MATCH(P635,TZ_STN,0)),INDEX(TZ_STD,MATCH(P635,TZ_STN,0))))/24,"")</f>
        <v/>
      </c>
      <c r="AH635" s="65" t="str">
        <f aca="false">IFERROR(IF(N635="N/A – rule","N/A – RULE",IF(TRIM(U635)="N/A",IF(AT635=0,"INVALID – N/A not permitted for this check",IF(AND(TRIM(AB635)&lt;&gt;"",TRIM(AB635)&lt;&gt;"Closed"),"INVALID – corrective action still open",IF(AND(NOT(OR(LEN(AZ635)&lt;15,ISNUMBER(MATCH(AZ635,L_Placeholder,0)))),NOT(OR(LEN(AU635)&lt;2,ISNUMBER(MATCH(AU635,L_Placeholder,0)))),NOT(OR(LEN(AX635)&lt;2,ISNUMBER(MATCH(AX635,L_Placeholder,0)))),TRIM(AE635)&lt;&gt;TRIM(T635)),"N/A – JUSTIFIED","INVALID – N/A needs a real justification (15+ chars), PIC and a different verifier"))),IF(OR(TRIM(U635)="Pass",TRIM(U635)="Pass after CA"),IF(NOT(ISNUMBER(AD635)),"INVALID – completion time missing",IF(OR(LEN(AU635)&lt;2,ISNUMBER(MATCH(AU635,L_Placeholder,0))),"INVALID – PIC missing",IF(OR(LEN(AV635)&lt;2,ISNUMBER(MATCH(AV635,L_Placeholder,0))),"INVALID – result / assessment missing",IF(OR(OR(LEN(AW635)&lt;3,ISNUMBER(MATCH(AW635,L_Placeholder,0))),SUMPRODUCT(--ISNUMBER(SEARCH(L_EvidencePhrase,AW635)))&gt;0),"INVALID – evidence missing, placeholder or not yet on file",IF(OR(LEN(AX635)&lt;2,ISNUMBER(MATCH(AX635,L_Placeholder,0))),"INVALID – verifier missing",IF(AX635=AU635,"INVALID – verifier must be someone other than the PIC",IF(AND(TRIM(U635)="Pass",SUMPRODUCT(--ISNUMBER(SEARCH(L_ResultBad,AV635)))&gt;0),"INVALID – result describes a problem: use Fail, then Pass after CA",IF(AND(AQ635=1,OR(LEN(AY635)&lt;3,ISNUMBER(MATCH(AY635,L_Placeholder,0)))),"INVALID – batch ID missing or placeholder",IF(AND(AR635=1,OR(NOT(ISNUMBER(X635)),NOT(ISNUMBER(Y635)))),"INVALID – expected/actual qty missing",IF(AND(AR635=1,OR(X635&lt;=0,Y635&lt;0)),"INVALID – expected qty must be above 0 and actual not negative",IF(BB635&lt;&gt;"",BB635,IF(AND(AS635=1,Documents!$J$23&lt;&gt;"ON FILE"),"INVALID – GLD not on file (Documents sheet)",IF(AND(AS635=2,Documents!$O$23&lt;&gt;"ON FILE"),"INVALID – menu checklist not on file (Documents sheet)",IF(AND(AS635=3,NOT(ISNUMBER(Flights!$AX$23))),"INVALID – enter carrying flight KUL departure (Flights AX)",IF(AND(AS635=3,OR(Flights!$AZ$23&gt;Flights!$AA$23,Flights!$AX$23&lt;Flights!$AA$23-3)),"INVALID – carrying flight (Flights AX) cannot arrive before this leg's STD, or is over 3 days early",IF(AG635&gt;AsOfUTC,"INVALID – completion time is in the future",IF(AND(ISNUMBER(S635),AG635&lt;S635),IF(H635="Physical uplift","INVALID – before uplift window (cannot confirm loading)","INVALID – before valid window"),IF(AG635&gt;Flights!$AA$23,"INVALID – completed after departure (cannot establish readiness)",IF(AND(H635="Preparation",AG635&gt;IF(ISNUMBER(Flights!$BA$23),MIN(Flights!$BA$23,Flights!$AA$23),Flights!$AA$23)),"INVALID – completed after loading / departure (cannot establish readiness)",IF(AND(H635="Physical uplift",AG635&gt;Q635),"INVALID – recorded after the loading flight departed",IF(AG635&gt;Q635,"COMPLETE – LATE","COMPLETE"))))))))))))))))))))),IF(TRIM(U635)="Fail","FAIL – DISCREPANCY",IF(AND(TRIM(U635)&lt;&gt;"",TRIM(U635)&lt;&gt;"Not started",TRIM(U635)&lt;&gt;"In progress"),"INVALID – unrecognised status (use the list)",IF(AsOfUTC&gt;Q635,"OVERDUE",IF(N635="Clarification required","OPEN – CLARIFICATION","OPEN"))))))),"INVALID – error value in an input cell")</f>
        <v>OPEN</v>
      </c>
      <c r="AI635" s="61" t="n">
        <f aca="false">IF(OR(AH635="N/A – RULE",AH635="N/A – JUSTIFIED"),0,1)</f>
        <v>1</v>
      </c>
      <c r="AJ635" s="61" t="n">
        <f aca="false">IF(LEFT(AH635,8)="COMPLETE",1,0)</f>
        <v>0</v>
      </c>
      <c r="AK635" s="61" t="n">
        <f aca="false">IF(AND(AI635=1,AJ635=0,AsOfUTC&gt;Q635),1,0)</f>
        <v>0</v>
      </c>
      <c r="AL635" s="61" t="n">
        <f aca="false">IFERROR(IF(AND(AI635=1,OR(TRIM(U635)="Fail",AND(TRIM(AB635)&lt;&gt;"",TRIM(AB635)&lt;&gt;"Closed"),AND(ISNUMBER(AF635),AF635&lt;&gt;0,TRIM(U635)&lt;&gt;"Pass after CA"))),1,0),1)</f>
        <v>0</v>
      </c>
      <c r="AM635" s="61" t="n">
        <f aca="false">IF(LEFT(AH635,7)="INVALID",1,0)</f>
        <v>0</v>
      </c>
      <c r="AN635" s="61" t="n">
        <f aca="false">IF(AND(N635="Clarification required",AI635=1,AJ635=0),1,0)</f>
        <v>0</v>
      </c>
      <c r="AO635" s="61" t="str">
        <f aca="false">IF(AK635=1,SUM(AK$5:AK635),"")</f>
        <v/>
      </c>
      <c r="AP635" s="61" t="str">
        <f aca="false">IF(AL635=1,SUM(AL$5:AL635),"")</f>
        <v/>
      </c>
      <c r="AQ635" s="61" t="n">
        <v>0</v>
      </c>
      <c r="AR635" s="61" t="n">
        <v>0</v>
      </c>
      <c r="AS635" s="61" t="n">
        <v>0</v>
      </c>
      <c r="AT635" s="61" t="n">
        <v>0</v>
      </c>
      <c r="AU635" s="61" t="str">
        <f aca="false">SUBSTITUTE(SUBSTITUTE(SUBSTITUTE(SUBSTITUTE(SUBSTITUTE(SUBSTITUTE(SUBSTITUTE(SUBSTITUTE(SUBSTITUTE(SUBSTITUTE(SUBSTITUTE(SUBSTITUTE(SUBSTITUTE(LOWER(T635&amp;""),CHAR(160),"")," ",""),".",""),"-",""),"/",""),"?",""),"_",""),",",""),"[",""),"]",""),"(",""),")",""),"*","")</f>
        <v/>
      </c>
      <c r="AV635" s="61" t="str">
        <f aca="false">SUBSTITUTE(SUBSTITUTE(SUBSTITUTE(SUBSTITUTE(SUBSTITUTE(SUBSTITUTE(SUBSTITUTE(SUBSTITUTE(SUBSTITUTE(SUBSTITUTE(SUBSTITUTE(SUBSTITUTE(SUBSTITUTE(LOWER(V635&amp;""),CHAR(160),"")," ",""),".",""),"-",""),"/",""),"?",""),"_",""),",",""),"[",""),"]",""),"(",""),")",""),"*","")</f>
        <v/>
      </c>
      <c r="AW635" s="61" t="str">
        <f aca="false">SUBSTITUTE(SUBSTITUTE(SUBSTITUTE(SUBSTITUTE(SUBSTITUTE(SUBSTITUTE(SUBSTITUTE(SUBSTITUTE(SUBSTITUTE(SUBSTITUTE(SUBSTITUTE(SUBSTITUTE(SUBSTITUTE(LOWER(Z635&amp;""),CHAR(160),"")," ",""),".",""),"-",""),"/",""),"?",""),"_",""),",",""),"[",""),"]",""),"(",""),")",""),"*","")</f>
        <v/>
      </c>
      <c r="AX635" s="61" t="str">
        <f aca="false">SUBSTITUTE(SUBSTITUTE(SUBSTITUTE(SUBSTITUTE(SUBSTITUTE(SUBSTITUTE(SUBSTITUTE(SUBSTITUTE(SUBSTITUTE(SUBSTITUTE(SUBSTITUTE(SUBSTITUTE(SUBSTITUTE(LOWER(AE635&amp;""),CHAR(160),"")," ",""),".",""),"-",""),"/",""),"?",""),"_",""),",",""),"[",""),"]",""),"(",""),")",""),"*","")</f>
        <v/>
      </c>
      <c r="AY635" s="61" t="str">
        <f aca="false">SUBSTITUTE(SUBSTITUTE(SUBSTITUTE(SUBSTITUTE(SUBSTITUTE(SUBSTITUTE(SUBSTITUTE(SUBSTITUTE(SUBSTITUTE(SUBSTITUTE(SUBSTITUTE(SUBSTITUTE(SUBSTITUTE(LOWER(W635&amp;""),CHAR(160),"")," ",""),".",""),"-",""),"/",""),"?",""),"_",""),",",""),"[",""),"]",""),"(",""),")",""),"*","")</f>
        <v/>
      </c>
      <c r="AZ635" s="61" t="str">
        <f aca="false">SUBSTITUTE(SUBSTITUTE(SUBSTITUTE(SUBSTITUTE(SUBSTITUTE(SUBSTITUTE(SUBSTITUTE(SUBSTITUTE(SUBSTITUTE(SUBSTITUTE(SUBSTITUTE(SUBSTITUTE(SUBSTITUTE(LOWER(AC635&amp;""),CHAR(160),"")," ",""),".",""),"-",""),"/",""),"?",""),"_",""),",",""),"[",""),"]",""),"(",""),")",""),"*","")</f>
        <v/>
      </c>
      <c r="BA635" s="61" t="str">
        <f aca="false">SUBSTITUTE(SUBSTITUTE(SUBSTITUTE(SUBSTITUTE(SUBSTITUTE(SUBSTITUTE(SUBSTITUTE(SUBSTITUTE(SUBSTITUTE(SUBSTITUTE(SUBSTITUTE(SUBSTITUTE(SUBSTITUTE(LOWER(AA635&amp;""),CHAR(160),"")," ",""),".",""),"-",""),"/",""),"?",""),"_",""),",",""),"[",""),"]",""),"(",""),")",""),"*","")</f>
        <v/>
      </c>
      <c r="BB635" s="61" t="str">
        <f aca="false">IF(AND(TRIM(U635)="Pass",ISNUMBER(AF635)),IF(AF635&lt;&gt;0,"INVALID – qty variance: use Fail or Pass after CA",""),"")&amp;IF(AND(TRIM(U635)="Pass after CA",ISNUMBER(AF635)),IF(AF635&lt;&gt;0,"INVALID – after the corrective action the actual qty must equal expected (update Actual)",""),"")&amp;IF(AND(TRIM(U635)="Pass",TRIM(AB635)&lt;&gt;"",TRIM(AB635)&lt;&gt;"Closed"),"INVALID – corrective action not closed: use Fail, then Pass after CA","")&amp;IF(AND(TRIM(AA635)&lt;&gt;"",TRIM(AB635)=""),"INVALID – CA status missing for the recorded corrective action","")&amp;IF(AND(TRIM(U635)="Pass after CA",OR(OR(LEN(BA635)&lt;5,ISNUMBER(MATCH(BA635,L_Placeholder,0))),TRIM(AB635)&lt;&gt;"Closed")),"INVALID – corrective action not recorded/closed","")</f>
        <v/>
      </c>
    </row>
    <row r="636" customFormat="false" ht="41.25" hidden="false" customHeight="true" outlineLevel="0" collapsed="false">
      <c r="A636" s="57" t="s">
        <v>1325</v>
      </c>
      <c r="B636" s="57" t="s">
        <v>298</v>
      </c>
      <c r="C636" s="57" t="str">
        <f aca="false">Flights!$F$23</f>
        <v>MH0053</v>
      </c>
      <c r="D636" s="58" t="n">
        <f aca="false">Flights!$D$23</f>
        <v>46324</v>
      </c>
      <c r="E636" s="57" t="str">
        <f aca="false">Flights!$G$23&amp;"-"&amp;Flights!$H$23</f>
        <v>KIX-KUL</v>
      </c>
      <c r="F636" s="57" t="str">
        <f aca="false">Flights!$K$23</f>
        <v>EY</v>
      </c>
      <c r="G636" s="57" t="s">
        <v>398</v>
      </c>
      <c r="H636" s="57" t="s">
        <v>356</v>
      </c>
      <c r="I636" s="57" t="s">
        <v>425</v>
      </c>
      <c r="J636" s="57" t="s">
        <v>426</v>
      </c>
      <c r="K636" s="67" t="s">
        <v>427</v>
      </c>
      <c r="L636" s="67" t="s">
        <v>1326</v>
      </c>
      <c r="M636" s="67" t="s">
        <v>429</v>
      </c>
      <c r="N636" s="67" t="s">
        <v>361</v>
      </c>
      <c r="O636" s="67" t="s">
        <v>1327</v>
      </c>
      <c r="P636" s="57" t="s">
        <v>292</v>
      </c>
      <c r="Q636" s="59" t="n">
        <f aca="false">ROUND((Flights!$AE$23)*1440,0)/1440</f>
        <v>46323.5277777778</v>
      </c>
      <c r="R636" s="59" t="n">
        <f aca="false">Q636+(IF(AND(INDEX(TZ_DSTS,MATCH(P636,TZ_STN,0))&lt;&gt;"",Q636&gt;=INDEX(TZ_DSTS,MATCH(P636,TZ_STN,0)),Q636&lt;INDEX(TZ_DSTE,MATCH(P636,TZ_STN,0))),INDEX(TZ_DST,MATCH(P636,TZ_STN,0)),INDEX(TZ_STD,MATCH(P636,TZ_STN,0))))/24</f>
        <v>46323.9027777778</v>
      </c>
      <c r="S636" s="59" t="n">
        <f aca="false">Q636-T12EarlyH/24</f>
        <v>46323.0277777778</v>
      </c>
      <c r="T636" s="60"/>
      <c r="U636" s="60"/>
      <c r="V636" s="60"/>
      <c r="W636" s="61"/>
      <c r="X636" s="60"/>
      <c r="Y636" s="60"/>
      <c r="Z636" s="60"/>
      <c r="AA636" s="60"/>
      <c r="AB636" s="60"/>
      <c r="AC636" s="60"/>
      <c r="AD636" s="66"/>
      <c r="AE636" s="60"/>
      <c r="AF636" s="61" t="str">
        <f aca="false">IF(AND(ISNUMBER(X636),ISNUMBER(Y636)),Y636-X636,"")</f>
        <v/>
      </c>
      <c r="AG636" s="62" t="str">
        <f aca="false">IF(ISNUMBER(AD636),AD636-(IF(AND(INDEX(TZ_DSTS,MATCH(P636,TZ_STN,0))&lt;&gt;"",(AD636-INDEX(TZ_STD,MATCH(P636,TZ_STN,0))/24)&gt;=INDEX(TZ_DSTS,MATCH(P636,TZ_STN,0)),(AD636-INDEX(TZ_STD,MATCH(P636,TZ_STN,0))/24)&lt;INDEX(TZ_DSTE,MATCH(P636,TZ_STN,0))),INDEX(TZ_DST,MATCH(P636,TZ_STN,0)),INDEX(TZ_STD,MATCH(P636,TZ_STN,0))))/24,"")</f>
        <v/>
      </c>
      <c r="AH636" s="65" t="str">
        <f aca="false">IFERROR(IF(N636="N/A – rule","N/A – RULE",IF(TRIM(U636)="N/A",IF(AT636=0,"INVALID – N/A not permitted for this check",IF(AND(TRIM(AB636)&lt;&gt;"",TRIM(AB636)&lt;&gt;"Closed"),"INVALID – corrective action still open",IF(AND(NOT(OR(LEN(AZ636)&lt;15,ISNUMBER(MATCH(AZ636,L_Placeholder,0)))),NOT(OR(LEN(AU636)&lt;2,ISNUMBER(MATCH(AU636,L_Placeholder,0)))),NOT(OR(LEN(AX636)&lt;2,ISNUMBER(MATCH(AX636,L_Placeholder,0)))),TRIM(AE636)&lt;&gt;TRIM(T636)),"N/A – JUSTIFIED","INVALID – N/A needs a real justification (15+ chars), PIC and a different verifier"))),IF(OR(TRIM(U636)="Pass",TRIM(U636)="Pass after CA"),IF(NOT(ISNUMBER(AD636)),"INVALID – completion time missing",IF(OR(LEN(AU636)&lt;2,ISNUMBER(MATCH(AU636,L_Placeholder,0))),"INVALID – PIC missing",IF(OR(LEN(AV636)&lt;2,ISNUMBER(MATCH(AV636,L_Placeholder,0))),"INVALID – result / assessment missing",IF(OR(OR(LEN(AW636)&lt;3,ISNUMBER(MATCH(AW636,L_Placeholder,0))),SUMPRODUCT(--ISNUMBER(SEARCH(L_EvidencePhrase,AW636)))&gt;0),"INVALID – evidence missing, placeholder or not yet on file",IF(OR(LEN(AX636)&lt;2,ISNUMBER(MATCH(AX636,L_Placeholder,0))),"INVALID – verifier missing",IF(AX636=AU636,"INVALID – verifier must be someone other than the PIC",IF(AND(TRIM(U636)="Pass",SUMPRODUCT(--ISNUMBER(SEARCH(L_ResultBad,AV636)))&gt;0),"INVALID – result describes a problem: use Fail, then Pass after CA",IF(AND(AQ636=1,OR(LEN(AY636)&lt;3,ISNUMBER(MATCH(AY636,L_Placeholder,0)))),"INVALID – batch ID missing or placeholder",IF(AND(AR636=1,OR(NOT(ISNUMBER(X636)),NOT(ISNUMBER(Y636)))),"INVALID – expected/actual qty missing",IF(AND(AR636=1,OR(X636&lt;=0,Y636&lt;0)),"INVALID – expected qty must be above 0 and actual not negative",IF(BB636&lt;&gt;"",BB636,IF(AND(AS636=1,Documents!$J$23&lt;&gt;"ON FILE"),"INVALID – GLD not on file (Documents sheet)",IF(AND(AS636=2,Documents!$O$23&lt;&gt;"ON FILE"),"INVALID – menu checklist not on file (Documents sheet)",IF(AND(AS636=3,NOT(ISNUMBER(Flights!$AX$23))),"INVALID – enter carrying flight KUL departure (Flights AX)",IF(AND(AS636=3,OR(Flights!$AZ$23&gt;Flights!$AA$23,Flights!$AX$23&lt;Flights!$AA$23-3)),"INVALID – carrying flight (Flights AX) cannot arrive before this leg's STD, or is over 3 days early",IF(AG636&gt;AsOfUTC,"INVALID – completion time is in the future",IF(AND(ISNUMBER(S636),AG636&lt;S636),IF(H636="Physical uplift","INVALID – before uplift window (cannot confirm loading)","INVALID – before valid window"),IF(AG636&gt;Flights!$AA$23,"INVALID – completed after departure (cannot establish readiness)",IF(AND(H636="Preparation",AG636&gt;IF(ISNUMBER(Flights!$BA$23),MIN(Flights!$BA$23,Flights!$AA$23),Flights!$AA$23)),"INVALID – completed after loading / departure (cannot establish readiness)",IF(AND(H636="Physical uplift",AG636&gt;Q636),"INVALID – recorded after the loading flight departed",IF(AG636&gt;Q636,"COMPLETE – LATE","COMPLETE"))))))))))))))))))))),IF(TRIM(U636)="Fail","FAIL – DISCREPANCY",IF(AND(TRIM(U636)&lt;&gt;"",TRIM(U636)&lt;&gt;"Not started",TRIM(U636)&lt;&gt;"In progress"),"INVALID – unrecognised status (use the list)",IF(AsOfUTC&gt;Q636,"OVERDUE",IF(N636="Clarification required","OPEN – CLARIFICATION","OPEN"))))))),"INVALID – error value in an input cell")</f>
        <v>OPEN</v>
      </c>
      <c r="AI636" s="61" t="n">
        <f aca="false">IF(OR(AH636="N/A – RULE",AH636="N/A – JUSTIFIED"),0,1)</f>
        <v>1</v>
      </c>
      <c r="AJ636" s="61" t="n">
        <f aca="false">IF(LEFT(AH636,8)="COMPLETE",1,0)</f>
        <v>0</v>
      </c>
      <c r="AK636" s="61" t="n">
        <f aca="false">IF(AND(AI636=1,AJ636=0,AsOfUTC&gt;Q636),1,0)</f>
        <v>0</v>
      </c>
      <c r="AL636" s="61" t="n">
        <f aca="false">IFERROR(IF(AND(AI636=1,OR(TRIM(U636)="Fail",AND(TRIM(AB636)&lt;&gt;"",TRIM(AB636)&lt;&gt;"Closed"),AND(ISNUMBER(AF636),AF636&lt;&gt;0,TRIM(U636)&lt;&gt;"Pass after CA"))),1,0),1)</f>
        <v>0</v>
      </c>
      <c r="AM636" s="61" t="n">
        <f aca="false">IF(LEFT(AH636,7)="INVALID",1,0)</f>
        <v>0</v>
      </c>
      <c r="AN636" s="61" t="n">
        <f aca="false">IF(AND(N636="Clarification required",AI636=1,AJ636=0),1,0)</f>
        <v>0</v>
      </c>
      <c r="AO636" s="61" t="str">
        <f aca="false">IF(AK636=1,SUM(AK$5:AK636),"")</f>
        <v/>
      </c>
      <c r="AP636" s="61" t="str">
        <f aca="false">IF(AL636=1,SUM(AL$5:AL636),"")</f>
        <v/>
      </c>
      <c r="AQ636" s="61" t="n">
        <v>0</v>
      </c>
      <c r="AR636" s="61" t="n">
        <v>0</v>
      </c>
      <c r="AS636" s="61" t="n">
        <v>0</v>
      </c>
      <c r="AT636" s="61" t="n">
        <v>0</v>
      </c>
      <c r="AU636" s="61" t="str">
        <f aca="false">SUBSTITUTE(SUBSTITUTE(SUBSTITUTE(SUBSTITUTE(SUBSTITUTE(SUBSTITUTE(SUBSTITUTE(SUBSTITUTE(SUBSTITUTE(SUBSTITUTE(SUBSTITUTE(SUBSTITUTE(SUBSTITUTE(LOWER(T636&amp;""),CHAR(160),"")," ",""),".",""),"-",""),"/",""),"?",""),"_",""),",",""),"[",""),"]",""),"(",""),")",""),"*","")</f>
        <v/>
      </c>
      <c r="AV636" s="61" t="str">
        <f aca="false">SUBSTITUTE(SUBSTITUTE(SUBSTITUTE(SUBSTITUTE(SUBSTITUTE(SUBSTITUTE(SUBSTITUTE(SUBSTITUTE(SUBSTITUTE(SUBSTITUTE(SUBSTITUTE(SUBSTITUTE(SUBSTITUTE(LOWER(V636&amp;""),CHAR(160),"")," ",""),".",""),"-",""),"/",""),"?",""),"_",""),",",""),"[",""),"]",""),"(",""),")",""),"*","")</f>
        <v/>
      </c>
      <c r="AW636" s="61" t="str">
        <f aca="false">SUBSTITUTE(SUBSTITUTE(SUBSTITUTE(SUBSTITUTE(SUBSTITUTE(SUBSTITUTE(SUBSTITUTE(SUBSTITUTE(SUBSTITUTE(SUBSTITUTE(SUBSTITUTE(SUBSTITUTE(SUBSTITUTE(LOWER(Z636&amp;""),CHAR(160),"")," ",""),".",""),"-",""),"/",""),"?",""),"_",""),",",""),"[",""),"]",""),"(",""),")",""),"*","")</f>
        <v/>
      </c>
      <c r="AX636" s="61" t="str">
        <f aca="false">SUBSTITUTE(SUBSTITUTE(SUBSTITUTE(SUBSTITUTE(SUBSTITUTE(SUBSTITUTE(SUBSTITUTE(SUBSTITUTE(SUBSTITUTE(SUBSTITUTE(SUBSTITUTE(SUBSTITUTE(SUBSTITUTE(LOWER(AE636&amp;""),CHAR(160),"")," ",""),".",""),"-",""),"/",""),"?",""),"_",""),",",""),"[",""),"]",""),"(",""),")",""),"*","")</f>
        <v/>
      </c>
      <c r="AY636" s="61" t="str">
        <f aca="false">SUBSTITUTE(SUBSTITUTE(SUBSTITUTE(SUBSTITUTE(SUBSTITUTE(SUBSTITUTE(SUBSTITUTE(SUBSTITUTE(SUBSTITUTE(SUBSTITUTE(SUBSTITUTE(SUBSTITUTE(SUBSTITUTE(LOWER(W636&amp;""),CHAR(160),"")," ",""),".",""),"-",""),"/",""),"?",""),"_",""),",",""),"[",""),"]",""),"(",""),")",""),"*","")</f>
        <v/>
      </c>
      <c r="AZ636" s="61" t="str">
        <f aca="false">SUBSTITUTE(SUBSTITUTE(SUBSTITUTE(SUBSTITUTE(SUBSTITUTE(SUBSTITUTE(SUBSTITUTE(SUBSTITUTE(SUBSTITUTE(SUBSTITUTE(SUBSTITUTE(SUBSTITUTE(SUBSTITUTE(LOWER(AC636&amp;""),CHAR(160),"")," ",""),".",""),"-",""),"/",""),"?",""),"_",""),",",""),"[",""),"]",""),"(",""),")",""),"*","")</f>
        <v/>
      </c>
      <c r="BA636" s="61" t="str">
        <f aca="false">SUBSTITUTE(SUBSTITUTE(SUBSTITUTE(SUBSTITUTE(SUBSTITUTE(SUBSTITUTE(SUBSTITUTE(SUBSTITUTE(SUBSTITUTE(SUBSTITUTE(SUBSTITUTE(SUBSTITUTE(SUBSTITUTE(LOWER(AA636&amp;""),CHAR(160),"")," ",""),".",""),"-",""),"/",""),"?",""),"_",""),",",""),"[",""),"]",""),"(",""),")",""),"*","")</f>
        <v/>
      </c>
      <c r="BB636" s="61" t="str">
        <f aca="false">IF(AND(TRIM(U636)="Pass",ISNUMBER(AF636)),IF(AF636&lt;&gt;0,"INVALID – qty variance: use Fail or Pass after CA",""),"")&amp;IF(AND(TRIM(U636)="Pass after CA",ISNUMBER(AF636)),IF(AF636&lt;&gt;0,"INVALID – after the corrective action the actual qty must equal expected (update Actual)",""),"")&amp;IF(AND(TRIM(U636)="Pass",TRIM(AB636)&lt;&gt;"",TRIM(AB636)&lt;&gt;"Closed"),"INVALID – corrective action not closed: use Fail, then Pass after CA","")&amp;IF(AND(TRIM(AA636)&lt;&gt;"",TRIM(AB636)=""),"INVALID – CA status missing for the recorded corrective action","")&amp;IF(AND(TRIM(U636)="Pass after CA",OR(OR(LEN(BA636)&lt;5,ISNUMBER(MATCH(BA636,L_Placeholder,0))),TRIM(AB636)&lt;&gt;"Closed")),"INVALID – corrective action not recorded/closed","")</f>
        <v/>
      </c>
    </row>
    <row r="637" customFormat="false" ht="78.75" hidden="false" customHeight="true" outlineLevel="0" collapsed="false">
      <c r="A637" s="57" t="s">
        <v>1328</v>
      </c>
      <c r="B637" s="57" t="s">
        <v>298</v>
      </c>
      <c r="C637" s="57" t="str">
        <f aca="false">Flights!$F$23</f>
        <v>MH0053</v>
      </c>
      <c r="D637" s="58" t="n">
        <f aca="false">Flights!$D$23</f>
        <v>46324</v>
      </c>
      <c r="E637" s="57" t="str">
        <f aca="false">Flights!$G$23&amp;"-"&amp;Flights!$H$23</f>
        <v>KIX-KUL</v>
      </c>
      <c r="F637" s="57" t="str">
        <f aca="false">Flights!$K$23</f>
        <v>EY</v>
      </c>
      <c r="G637" s="57" t="s">
        <v>398</v>
      </c>
      <c r="H637" s="57" t="s">
        <v>356</v>
      </c>
      <c r="I637" s="57" t="s">
        <v>425</v>
      </c>
      <c r="J637" s="57" t="s">
        <v>432</v>
      </c>
      <c r="K637" s="67" t="s">
        <v>1066</v>
      </c>
      <c r="L637" s="67" t="s">
        <v>1329</v>
      </c>
      <c r="M637" s="67" t="s">
        <v>429</v>
      </c>
      <c r="N637" s="67" t="s">
        <v>361</v>
      </c>
      <c r="O637" s="67" t="s">
        <v>1330</v>
      </c>
      <c r="P637" s="57" t="s">
        <v>292</v>
      </c>
      <c r="Q637" s="59" t="n">
        <f aca="false">ROUND((Flights!$AE$23)*1440,0)/1440</f>
        <v>46323.5277777778</v>
      </c>
      <c r="R637" s="59" t="n">
        <f aca="false">Q637+(IF(AND(INDEX(TZ_DSTS,MATCH(P637,TZ_STN,0))&lt;&gt;"",Q637&gt;=INDEX(TZ_DSTS,MATCH(P637,TZ_STN,0)),Q637&lt;INDEX(TZ_DSTE,MATCH(P637,TZ_STN,0))),INDEX(TZ_DST,MATCH(P637,TZ_STN,0)),INDEX(TZ_STD,MATCH(P637,TZ_STN,0))))/24</f>
        <v>46323.9027777778</v>
      </c>
      <c r="S637" s="59" t="n">
        <f aca="false">Q637-T12EarlyH/24</f>
        <v>46323.0277777778</v>
      </c>
      <c r="T637" s="60"/>
      <c r="U637" s="60"/>
      <c r="V637" s="60"/>
      <c r="W637" s="61"/>
      <c r="X637" s="68" t="n">
        <v>280</v>
      </c>
      <c r="Y637" s="60"/>
      <c r="Z637" s="60"/>
      <c r="AA637" s="60"/>
      <c r="AB637" s="60"/>
      <c r="AC637" s="60"/>
      <c r="AD637" s="66"/>
      <c r="AE637" s="60"/>
      <c r="AF637" s="61" t="str">
        <f aca="false">IF(AND(ISNUMBER(X637),ISNUMBER(Y637)),Y637-X637,"")</f>
        <v/>
      </c>
      <c r="AG637" s="62" t="str">
        <f aca="false">IF(ISNUMBER(AD637),AD637-(IF(AND(INDEX(TZ_DSTS,MATCH(P637,TZ_STN,0))&lt;&gt;"",(AD637-INDEX(TZ_STD,MATCH(P637,TZ_STN,0))/24)&gt;=INDEX(TZ_DSTS,MATCH(P637,TZ_STN,0)),(AD637-INDEX(TZ_STD,MATCH(P637,TZ_STN,0))/24)&lt;INDEX(TZ_DSTE,MATCH(P637,TZ_STN,0))),INDEX(TZ_DST,MATCH(P637,TZ_STN,0)),INDEX(TZ_STD,MATCH(P637,TZ_STN,0))))/24,"")</f>
        <v/>
      </c>
      <c r="AH637" s="65" t="str">
        <f aca="false">IFERROR(IF(N637="N/A – rule","N/A – RULE",IF(TRIM(U637)="N/A",IF(AT637=0,"INVALID – N/A not permitted for this check",IF(AND(TRIM(AB637)&lt;&gt;"",TRIM(AB637)&lt;&gt;"Closed"),"INVALID – corrective action still open",IF(AND(NOT(OR(LEN(AZ637)&lt;15,ISNUMBER(MATCH(AZ637,L_Placeholder,0)))),NOT(OR(LEN(AU637)&lt;2,ISNUMBER(MATCH(AU637,L_Placeholder,0)))),NOT(OR(LEN(AX637)&lt;2,ISNUMBER(MATCH(AX637,L_Placeholder,0)))),TRIM(AE637)&lt;&gt;TRIM(T637)),"N/A – JUSTIFIED","INVALID – N/A needs a real justification (15+ chars), PIC and a different verifier"))),IF(OR(TRIM(U637)="Pass",TRIM(U637)="Pass after CA"),IF(NOT(ISNUMBER(AD637)),"INVALID – completion time missing",IF(OR(LEN(AU637)&lt;2,ISNUMBER(MATCH(AU637,L_Placeholder,0))),"INVALID – PIC missing",IF(OR(LEN(AV637)&lt;2,ISNUMBER(MATCH(AV637,L_Placeholder,0))),"INVALID – result / assessment missing",IF(OR(OR(LEN(AW637)&lt;3,ISNUMBER(MATCH(AW637,L_Placeholder,0))),SUMPRODUCT(--ISNUMBER(SEARCH(L_EvidencePhrase,AW637)))&gt;0),"INVALID – evidence missing, placeholder or not yet on file",IF(OR(LEN(AX637)&lt;2,ISNUMBER(MATCH(AX637,L_Placeholder,0))),"INVALID – verifier missing",IF(AX637=AU637,"INVALID – verifier must be someone other than the PIC",IF(AND(TRIM(U637)="Pass",SUMPRODUCT(--ISNUMBER(SEARCH(L_ResultBad,AV637)))&gt;0),"INVALID – result describes a problem: use Fail, then Pass after CA",IF(AND(AQ637=1,OR(LEN(AY637)&lt;3,ISNUMBER(MATCH(AY637,L_Placeholder,0)))),"INVALID – batch ID missing or placeholder",IF(AND(AR637=1,OR(NOT(ISNUMBER(X637)),NOT(ISNUMBER(Y637)))),"INVALID – expected/actual qty missing",IF(AND(AR637=1,OR(X637&lt;=0,Y637&lt;0)),"INVALID – expected qty must be above 0 and actual not negative",IF(BB637&lt;&gt;"",BB637,IF(AND(AS637=1,Documents!$J$23&lt;&gt;"ON FILE"),"INVALID – GLD not on file (Documents sheet)",IF(AND(AS637=2,Documents!$O$23&lt;&gt;"ON FILE"),"INVALID – menu checklist not on file (Documents sheet)",IF(AND(AS637=3,NOT(ISNUMBER(Flights!$AX$23))),"INVALID – enter carrying flight KUL departure (Flights AX)",IF(AND(AS637=3,OR(Flights!$AZ$23&gt;Flights!$AA$23,Flights!$AX$23&lt;Flights!$AA$23-3)),"INVALID – carrying flight (Flights AX) cannot arrive before this leg's STD, or is over 3 days early",IF(AG637&gt;AsOfUTC,"INVALID – completion time is in the future",IF(AND(ISNUMBER(S637),AG637&lt;S637),IF(H637="Physical uplift","INVALID – before uplift window (cannot confirm loading)","INVALID – before valid window"),IF(AG637&gt;Flights!$AA$23,"INVALID – completed after departure (cannot establish readiness)",IF(AND(H637="Preparation",AG637&gt;IF(ISNUMBER(Flights!$BA$23),MIN(Flights!$BA$23,Flights!$AA$23),Flights!$AA$23)),"INVALID – completed after loading / departure (cannot establish readiness)",IF(AND(H637="Physical uplift",AG637&gt;Q637),"INVALID – recorded after the loading flight departed",IF(AG637&gt;Q637,"COMPLETE – LATE","COMPLETE"))))))))))))))))))))),IF(TRIM(U637)="Fail","FAIL – DISCREPANCY",IF(AND(TRIM(U637)&lt;&gt;"",TRIM(U637)&lt;&gt;"Not started",TRIM(U637)&lt;&gt;"In progress"),"INVALID – unrecognised status (use the list)",IF(AsOfUTC&gt;Q637,"OVERDUE",IF(N637="Clarification required","OPEN – CLARIFICATION","OPEN"))))))),"INVALID – error value in an input cell")</f>
        <v>OPEN</v>
      </c>
      <c r="AI637" s="61" t="n">
        <f aca="false">IF(OR(AH637="N/A – RULE",AH637="N/A – JUSTIFIED"),0,1)</f>
        <v>1</v>
      </c>
      <c r="AJ637" s="61" t="n">
        <f aca="false">IF(LEFT(AH637,8)="COMPLETE",1,0)</f>
        <v>0</v>
      </c>
      <c r="AK637" s="61" t="n">
        <f aca="false">IF(AND(AI637=1,AJ637=0,AsOfUTC&gt;Q637),1,0)</f>
        <v>0</v>
      </c>
      <c r="AL637" s="61" t="n">
        <f aca="false">IFERROR(IF(AND(AI637=1,OR(TRIM(U637)="Fail",AND(TRIM(AB637)&lt;&gt;"",TRIM(AB637)&lt;&gt;"Closed"),AND(ISNUMBER(AF637),AF637&lt;&gt;0,TRIM(U637)&lt;&gt;"Pass after CA"))),1,0),1)</f>
        <v>0</v>
      </c>
      <c r="AM637" s="61" t="n">
        <f aca="false">IF(LEFT(AH637,7)="INVALID",1,0)</f>
        <v>0</v>
      </c>
      <c r="AN637" s="61" t="n">
        <f aca="false">IF(AND(N637="Clarification required",AI637=1,AJ637=0),1,0)</f>
        <v>0</v>
      </c>
      <c r="AO637" s="61" t="str">
        <f aca="false">IF(AK637=1,SUM(AK$5:AK637),"")</f>
        <v/>
      </c>
      <c r="AP637" s="61" t="str">
        <f aca="false">IF(AL637=1,SUM(AL$5:AL637),"")</f>
        <v/>
      </c>
      <c r="AQ637" s="61" t="n">
        <v>0</v>
      </c>
      <c r="AR637" s="61" t="n">
        <v>1</v>
      </c>
      <c r="AS637" s="61" t="n">
        <v>0</v>
      </c>
      <c r="AT637" s="61" t="n">
        <v>0</v>
      </c>
      <c r="AU637" s="61" t="str">
        <f aca="false">SUBSTITUTE(SUBSTITUTE(SUBSTITUTE(SUBSTITUTE(SUBSTITUTE(SUBSTITUTE(SUBSTITUTE(SUBSTITUTE(SUBSTITUTE(SUBSTITUTE(SUBSTITUTE(SUBSTITUTE(SUBSTITUTE(LOWER(T637&amp;""),CHAR(160),"")," ",""),".",""),"-",""),"/",""),"?",""),"_",""),",",""),"[",""),"]",""),"(",""),")",""),"*","")</f>
        <v/>
      </c>
      <c r="AV637" s="61" t="str">
        <f aca="false">SUBSTITUTE(SUBSTITUTE(SUBSTITUTE(SUBSTITUTE(SUBSTITUTE(SUBSTITUTE(SUBSTITUTE(SUBSTITUTE(SUBSTITUTE(SUBSTITUTE(SUBSTITUTE(SUBSTITUTE(SUBSTITUTE(LOWER(V637&amp;""),CHAR(160),"")," ",""),".",""),"-",""),"/",""),"?",""),"_",""),",",""),"[",""),"]",""),"(",""),")",""),"*","")</f>
        <v/>
      </c>
      <c r="AW637" s="61" t="str">
        <f aca="false">SUBSTITUTE(SUBSTITUTE(SUBSTITUTE(SUBSTITUTE(SUBSTITUTE(SUBSTITUTE(SUBSTITUTE(SUBSTITUTE(SUBSTITUTE(SUBSTITUTE(SUBSTITUTE(SUBSTITUTE(SUBSTITUTE(LOWER(Z637&amp;""),CHAR(160),"")," ",""),".",""),"-",""),"/",""),"?",""),"_",""),",",""),"[",""),"]",""),"(",""),")",""),"*","")</f>
        <v/>
      </c>
      <c r="AX637" s="61" t="str">
        <f aca="false">SUBSTITUTE(SUBSTITUTE(SUBSTITUTE(SUBSTITUTE(SUBSTITUTE(SUBSTITUTE(SUBSTITUTE(SUBSTITUTE(SUBSTITUTE(SUBSTITUTE(SUBSTITUTE(SUBSTITUTE(SUBSTITUTE(LOWER(AE637&amp;""),CHAR(160),"")," ",""),".",""),"-",""),"/",""),"?",""),"_",""),",",""),"[",""),"]",""),"(",""),")",""),"*","")</f>
        <v/>
      </c>
      <c r="AY637" s="61" t="str">
        <f aca="false">SUBSTITUTE(SUBSTITUTE(SUBSTITUTE(SUBSTITUTE(SUBSTITUTE(SUBSTITUTE(SUBSTITUTE(SUBSTITUTE(SUBSTITUTE(SUBSTITUTE(SUBSTITUTE(SUBSTITUTE(SUBSTITUTE(LOWER(W637&amp;""),CHAR(160),"")," ",""),".",""),"-",""),"/",""),"?",""),"_",""),",",""),"[",""),"]",""),"(",""),")",""),"*","")</f>
        <v/>
      </c>
      <c r="AZ637" s="61" t="str">
        <f aca="false">SUBSTITUTE(SUBSTITUTE(SUBSTITUTE(SUBSTITUTE(SUBSTITUTE(SUBSTITUTE(SUBSTITUTE(SUBSTITUTE(SUBSTITUTE(SUBSTITUTE(SUBSTITUTE(SUBSTITUTE(SUBSTITUTE(LOWER(AC637&amp;""),CHAR(160),"")," ",""),".",""),"-",""),"/",""),"?",""),"_",""),",",""),"[",""),"]",""),"(",""),")",""),"*","")</f>
        <v/>
      </c>
      <c r="BA637" s="61" t="str">
        <f aca="false">SUBSTITUTE(SUBSTITUTE(SUBSTITUTE(SUBSTITUTE(SUBSTITUTE(SUBSTITUTE(SUBSTITUTE(SUBSTITUTE(SUBSTITUTE(SUBSTITUTE(SUBSTITUTE(SUBSTITUTE(SUBSTITUTE(LOWER(AA637&amp;""),CHAR(160),"")," ",""),".",""),"-",""),"/",""),"?",""),"_",""),",",""),"[",""),"]",""),"(",""),")",""),"*","")</f>
        <v/>
      </c>
      <c r="BB637" s="61" t="str">
        <f aca="false">IF(AND(TRIM(U637)="Pass",ISNUMBER(AF637)),IF(AF637&lt;&gt;0,"INVALID – qty variance: use Fail or Pass after CA",""),"")&amp;IF(AND(TRIM(U637)="Pass after CA",ISNUMBER(AF637)),IF(AF637&lt;&gt;0,"INVALID – after the corrective action the actual qty must equal expected (update Actual)",""),"")&amp;IF(AND(TRIM(U637)="Pass",TRIM(AB637)&lt;&gt;"",TRIM(AB637)&lt;&gt;"Closed"),"INVALID – corrective action not closed: use Fail, then Pass after CA","")&amp;IF(AND(TRIM(AA637)&lt;&gt;"",TRIM(AB637)=""),"INVALID – CA status missing for the recorded corrective action","")&amp;IF(AND(TRIM(U637)="Pass after CA",OR(OR(LEN(BA637)&lt;5,ISNUMBER(MATCH(BA637,L_Placeholder,0))),TRIM(AB637)&lt;&gt;"Closed")),"INVALID – corrective action not recorded/closed","")</f>
        <v/>
      </c>
    </row>
    <row r="638" customFormat="false" ht="91.5" hidden="false" customHeight="true" outlineLevel="0" collapsed="false">
      <c r="A638" s="57" t="s">
        <v>1331</v>
      </c>
      <c r="B638" s="57" t="s">
        <v>298</v>
      </c>
      <c r="C638" s="57" t="str">
        <f aca="false">Flights!$F$23</f>
        <v>MH0053</v>
      </c>
      <c r="D638" s="58" t="n">
        <f aca="false">Flights!$D$23</f>
        <v>46324</v>
      </c>
      <c r="E638" s="57" t="str">
        <f aca="false">Flights!$G$23&amp;"-"&amp;Flights!$H$23</f>
        <v>KIX-KUL</v>
      </c>
      <c r="F638" s="57" t="str">
        <f aca="false">Flights!$K$23</f>
        <v>EY</v>
      </c>
      <c r="G638" s="57" t="s">
        <v>398</v>
      </c>
      <c r="H638" s="57" t="s">
        <v>356</v>
      </c>
      <c r="I638" s="57" t="s">
        <v>612</v>
      </c>
      <c r="J638" s="57" t="s">
        <v>613</v>
      </c>
      <c r="K638" s="67" t="s">
        <v>1288</v>
      </c>
      <c r="L638" s="67" t="s">
        <v>1289</v>
      </c>
      <c r="M638" s="67" t="s">
        <v>429</v>
      </c>
      <c r="N638" s="67" t="s">
        <v>422</v>
      </c>
      <c r="O638" s="67" t="s">
        <v>1332</v>
      </c>
      <c r="P638" s="57" t="s">
        <v>292</v>
      </c>
      <c r="Q638" s="59" t="n">
        <f aca="false">ROUND((Flights!$AE$23)*1440,0)/1440</f>
        <v>46323.5277777778</v>
      </c>
      <c r="R638" s="59" t="n">
        <f aca="false">Q638+(IF(AND(INDEX(TZ_DSTS,MATCH(P638,TZ_STN,0))&lt;&gt;"",Q638&gt;=INDEX(TZ_DSTS,MATCH(P638,TZ_STN,0)),Q638&lt;INDEX(TZ_DSTE,MATCH(P638,TZ_STN,0))),INDEX(TZ_DST,MATCH(P638,TZ_STN,0)),INDEX(TZ_STD,MATCH(P638,TZ_STN,0))))/24</f>
        <v>46323.9027777778</v>
      </c>
      <c r="S638" s="59" t="n">
        <f aca="false">Q638-T12EarlyH/24</f>
        <v>46323.0277777778</v>
      </c>
      <c r="T638" s="60"/>
      <c r="U638" s="60"/>
      <c r="V638" s="60"/>
      <c r="W638" s="61"/>
      <c r="X638" s="60"/>
      <c r="Y638" s="60"/>
      <c r="Z638" s="60"/>
      <c r="AA638" s="60"/>
      <c r="AB638" s="60"/>
      <c r="AC638" s="60"/>
      <c r="AD638" s="66"/>
      <c r="AE638" s="60"/>
      <c r="AF638" s="61" t="str">
        <f aca="false">IF(AND(ISNUMBER(X638),ISNUMBER(Y638)),Y638-X638,"")</f>
        <v/>
      </c>
      <c r="AG638" s="62" t="str">
        <f aca="false">IF(ISNUMBER(AD638),AD638-(IF(AND(INDEX(TZ_DSTS,MATCH(P638,TZ_STN,0))&lt;&gt;"",(AD638-INDEX(TZ_STD,MATCH(P638,TZ_STN,0))/24)&gt;=INDEX(TZ_DSTS,MATCH(P638,TZ_STN,0)),(AD638-INDEX(TZ_STD,MATCH(P638,TZ_STN,0))/24)&lt;INDEX(TZ_DSTE,MATCH(P638,TZ_STN,0))),INDEX(TZ_DST,MATCH(P638,TZ_STN,0)),INDEX(TZ_STD,MATCH(P638,TZ_STN,0))))/24,"")</f>
        <v/>
      </c>
      <c r="AH638" s="65" t="str">
        <f aca="false">IFERROR(IF(N638="N/A – rule","N/A – RULE",IF(TRIM(U638)="N/A",IF(AT638=0,"INVALID – N/A not permitted for this check",IF(AND(TRIM(AB638)&lt;&gt;"",TRIM(AB638)&lt;&gt;"Closed"),"INVALID – corrective action still open",IF(AND(NOT(OR(LEN(AZ638)&lt;15,ISNUMBER(MATCH(AZ638,L_Placeholder,0)))),NOT(OR(LEN(AU638)&lt;2,ISNUMBER(MATCH(AU638,L_Placeholder,0)))),NOT(OR(LEN(AX638)&lt;2,ISNUMBER(MATCH(AX638,L_Placeholder,0)))),TRIM(AE638)&lt;&gt;TRIM(T638)),"N/A – JUSTIFIED","INVALID – N/A needs a real justification (15+ chars), PIC and a different verifier"))),IF(OR(TRIM(U638)="Pass",TRIM(U638)="Pass after CA"),IF(NOT(ISNUMBER(AD638)),"INVALID – completion time missing",IF(OR(LEN(AU638)&lt;2,ISNUMBER(MATCH(AU638,L_Placeholder,0))),"INVALID – PIC missing",IF(OR(LEN(AV638)&lt;2,ISNUMBER(MATCH(AV638,L_Placeholder,0))),"INVALID – result / assessment missing",IF(OR(OR(LEN(AW638)&lt;3,ISNUMBER(MATCH(AW638,L_Placeholder,0))),SUMPRODUCT(--ISNUMBER(SEARCH(L_EvidencePhrase,AW638)))&gt;0),"INVALID – evidence missing, placeholder or not yet on file",IF(OR(LEN(AX638)&lt;2,ISNUMBER(MATCH(AX638,L_Placeholder,0))),"INVALID – verifier missing",IF(AX638=AU638,"INVALID – verifier must be someone other than the PIC",IF(AND(TRIM(U638)="Pass",SUMPRODUCT(--ISNUMBER(SEARCH(L_ResultBad,AV638)))&gt;0),"INVALID – result describes a problem: use Fail, then Pass after CA",IF(AND(AQ638=1,OR(LEN(AY638)&lt;3,ISNUMBER(MATCH(AY638,L_Placeholder,0)))),"INVALID – batch ID missing or placeholder",IF(AND(AR638=1,OR(NOT(ISNUMBER(X638)),NOT(ISNUMBER(Y638)))),"INVALID – expected/actual qty missing",IF(AND(AR638=1,OR(X638&lt;=0,Y638&lt;0)),"INVALID – expected qty must be above 0 and actual not negative",IF(BB638&lt;&gt;"",BB638,IF(AND(AS638=1,Documents!$J$23&lt;&gt;"ON FILE"),"INVALID – GLD not on file (Documents sheet)",IF(AND(AS638=2,Documents!$O$23&lt;&gt;"ON FILE"),"INVALID – menu checklist not on file (Documents sheet)",IF(AND(AS638=3,NOT(ISNUMBER(Flights!$AX$23))),"INVALID – enter carrying flight KUL departure (Flights AX)",IF(AND(AS638=3,OR(Flights!$AZ$23&gt;Flights!$AA$23,Flights!$AX$23&lt;Flights!$AA$23-3)),"INVALID – carrying flight (Flights AX) cannot arrive before this leg's STD, or is over 3 days early",IF(AG638&gt;AsOfUTC,"INVALID – completion time is in the future",IF(AND(ISNUMBER(S638),AG638&lt;S638),IF(H638="Physical uplift","INVALID – before uplift window (cannot confirm loading)","INVALID – before valid window"),IF(AG638&gt;Flights!$AA$23,"INVALID – completed after departure (cannot establish readiness)",IF(AND(H638="Preparation",AG638&gt;IF(ISNUMBER(Flights!$BA$23),MIN(Flights!$BA$23,Flights!$AA$23),Flights!$AA$23)),"INVALID – completed after loading / departure (cannot establish readiness)",IF(AND(H638="Physical uplift",AG638&gt;Q638),"INVALID – recorded after the loading flight departed",IF(AG638&gt;Q638,"COMPLETE – LATE","COMPLETE"))))))))))))))))))))),IF(TRIM(U638)="Fail","FAIL – DISCREPANCY",IF(AND(TRIM(U638)&lt;&gt;"",TRIM(U638)&lt;&gt;"Not started",TRIM(U638)&lt;&gt;"In progress"),"INVALID – unrecognised status (use the list)",IF(AsOfUTC&gt;Q638,"OVERDUE",IF(N638="Clarification required","OPEN – CLARIFICATION","OPEN"))))))),"INVALID – error value in an input cell")</f>
        <v>OPEN – CLARIFICATION</v>
      </c>
      <c r="AI638" s="61" t="n">
        <f aca="false">IF(OR(AH638="N/A – RULE",AH638="N/A – JUSTIFIED"),0,1)</f>
        <v>1</v>
      </c>
      <c r="AJ638" s="61" t="n">
        <f aca="false">IF(LEFT(AH638,8)="COMPLETE",1,0)</f>
        <v>0</v>
      </c>
      <c r="AK638" s="61" t="n">
        <f aca="false">IF(AND(AI638=1,AJ638=0,AsOfUTC&gt;Q638),1,0)</f>
        <v>0</v>
      </c>
      <c r="AL638" s="61" t="n">
        <f aca="false">IFERROR(IF(AND(AI638=1,OR(TRIM(U638)="Fail",AND(TRIM(AB638)&lt;&gt;"",TRIM(AB638)&lt;&gt;"Closed"),AND(ISNUMBER(AF638),AF638&lt;&gt;0,TRIM(U638)&lt;&gt;"Pass after CA"))),1,0),1)</f>
        <v>0</v>
      </c>
      <c r="AM638" s="61" t="n">
        <f aca="false">IF(LEFT(AH638,7)="INVALID",1,0)</f>
        <v>0</v>
      </c>
      <c r="AN638" s="61" t="n">
        <f aca="false">IF(AND(N638="Clarification required",AI638=1,AJ638=0),1,0)</f>
        <v>1</v>
      </c>
      <c r="AO638" s="61" t="str">
        <f aca="false">IF(AK638=1,SUM(AK$5:AK638),"")</f>
        <v/>
      </c>
      <c r="AP638" s="61" t="str">
        <f aca="false">IF(AL638=1,SUM(AL$5:AL638),"")</f>
        <v/>
      </c>
      <c r="AQ638" s="61" t="n">
        <v>0</v>
      </c>
      <c r="AR638" s="61" t="n">
        <v>0</v>
      </c>
      <c r="AS638" s="61" t="n">
        <v>0</v>
      </c>
      <c r="AT638" s="61" t="n">
        <v>1</v>
      </c>
      <c r="AU638" s="61" t="str">
        <f aca="false">SUBSTITUTE(SUBSTITUTE(SUBSTITUTE(SUBSTITUTE(SUBSTITUTE(SUBSTITUTE(SUBSTITUTE(SUBSTITUTE(SUBSTITUTE(SUBSTITUTE(SUBSTITUTE(SUBSTITUTE(SUBSTITUTE(LOWER(T638&amp;""),CHAR(160),"")," ",""),".",""),"-",""),"/",""),"?",""),"_",""),",",""),"[",""),"]",""),"(",""),")",""),"*","")</f>
        <v/>
      </c>
      <c r="AV638" s="61" t="str">
        <f aca="false">SUBSTITUTE(SUBSTITUTE(SUBSTITUTE(SUBSTITUTE(SUBSTITUTE(SUBSTITUTE(SUBSTITUTE(SUBSTITUTE(SUBSTITUTE(SUBSTITUTE(SUBSTITUTE(SUBSTITUTE(SUBSTITUTE(LOWER(V638&amp;""),CHAR(160),"")," ",""),".",""),"-",""),"/",""),"?",""),"_",""),",",""),"[",""),"]",""),"(",""),")",""),"*","")</f>
        <v/>
      </c>
      <c r="AW638" s="61" t="str">
        <f aca="false">SUBSTITUTE(SUBSTITUTE(SUBSTITUTE(SUBSTITUTE(SUBSTITUTE(SUBSTITUTE(SUBSTITUTE(SUBSTITUTE(SUBSTITUTE(SUBSTITUTE(SUBSTITUTE(SUBSTITUTE(SUBSTITUTE(LOWER(Z638&amp;""),CHAR(160),"")," ",""),".",""),"-",""),"/",""),"?",""),"_",""),",",""),"[",""),"]",""),"(",""),")",""),"*","")</f>
        <v/>
      </c>
      <c r="AX638" s="61" t="str">
        <f aca="false">SUBSTITUTE(SUBSTITUTE(SUBSTITUTE(SUBSTITUTE(SUBSTITUTE(SUBSTITUTE(SUBSTITUTE(SUBSTITUTE(SUBSTITUTE(SUBSTITUTE(SUBSTITUTE(SUBSTITUTE(SUBSTITUTE(LOWER(AE638&amp;""),CHAR(160),"")," ",""),".",""),"-",""),"/",""),"?",""),"_",""),",",""),"[",""),"]",""),"(",""),")",""),"*","")</f>
        <v/>
      </c>
      <c r="AY638" s="61" t="str">
        <f aca="false">SUBSTITUTE(SUBSTITUTE(SUBSTITUTE(SUBSTITUTE(SUBSTITUTE(SUBSTITUTE(SUBSTITUTE(SUBSTITUTE(SUBSTITUTE(SUBSTITUTE(SUBSTITUTE(SUBSTITUTE(SUBSTITUTE(LOWER(W638&amp;""),CHAR(160),"")," ",""),".",""),"-",""),"/",""),"?",""),"_",""),",",""),"[",""),"]",""),"(",""),")",""),"*","")</f>
        <v/>
      </c>
      <c r="AZ638" s="61" t="str">
        <f aca="false">SUBSTITUTE(SUBSTITUTE(SUBSTITUTE(SUBSTITUTE(SUBSTITUTE(SUBSTITUTE(SUBSTITUTE(SUBSTITUTE(SUBSTITUTE(SUBSTITUTE(SUBSTITUTE(SUBSTITUTE(SUBSTITUTE(LOWER(AC638&amp;""),CHAR(160),"")," ",""),".",""),"-",""),"/",""),"?",""),"_",""),",",""),"[",""),"]",""),"(",""),")",""),"*","")</f>
        <v/>
      </c>
      <c r="BA638" s="61" t="str">
        <f aca="false">SUBSTITUTE(SUBSTITUTE(SUBSTITUTE(SUBSTITUTE(SUBSTITUTE(SUBSTITUTE(SUBSTITUTE(SUBSTITUTE(SUBSTITUTE(SUBSTITUTE(SUBSTITUTE(SUBSTITUTE(SUBSTITUTE(LOWER(AA638&amp;""),CHAR(160),"")," ",""),".",""),"-",""),"/",""),"?",""),"_",""),",",""),"[",""),"]",""),"(",""),")",""),"*","")</f>
        <v/>
      </c>
      <c r="BB638" s="61" t="str">
        <f aca="false">IF(AND(TRIM(U638)="Pass",ISNUMBER(AF638)),IF(AF638&lt;&gt;0,"INVALID – qty variance: use Fail or Pass after CA",""),"")&amp;IF(AND(TRIM(U638)="Pass after CA",ISNUMBER(AF638)),IF(AF638&lt;&gt;0,"INVALID – after the corrective action the actual qty must equal expected (update Actual)",""),"")&amp;IF(AND(TRIM(U638)="Pass",TRIM(AB638)&lt;&gt;"",TRIM(AB638)&lt;&gt;"Closed"),"INVALID – corrective action not closed: use Fail, then Pass after CA","")&amp;IF(AND(TRIM(AA638)&lt;&gt;"",TRIM(AB638)=""),"INVALID – CA status missing for the recorded corrective action","")&amp;IF(AND(TRIM(U638)="Pass after CA",OR(OR(LEN(BA638)&lt;5,ISNUMBER(MATCH(BA638,L_Placeholder,0))),TRIM(AB638)&lt;&gt;"Closed")),"INVALID – corrective action not recorded/closed","")</f>
        <v/>
      </c>
    </row>
    <row r="639" customFormat="false" ht="39.75" hidden="false" customHeight="true" outlineLevel="0" collapsed="false">
      <c r="A639" s="57" t="s">
        <v>1333</v>
      </c>
      <c r="B639" s="57" t="s">
        <v>298</v>
      </c>
      <c r="C639" s="57" t="str">
        <f aca="false">Flights!$F$23</f>
        <v>MH0053</v>
      </c>
      <c r="D639" s="58" t="n">
        <f aca="false">Flights!$D$23</f>
        <v>46324</v>
      </c>
      <c r="E639" s="57" t="str">
        <f aca="false">Flights!$G$23&amp;"-"&amp;Flights!$H$23</f>
        <v>KIX-KUL</v>
      </c>
      <c r="F639" s="57" t="str">
        <f aca="false">Flights!$K$23</f>
        <v>EY</v>
      </c>
      <c r="G639" s="57" t="s">
        <v>437</v>
      </c>
      <c r="H639" s="57" t="s">
        <v>438</v>
      </c>
      <c r="I639" s="57" t="s">
        <v>357</v>
      </c>
      <c r="J639" s="57" t="s">
        <v>439</v>
      </c>
      <c r="K639" s="67" t="s">
        <v>404</v>
      </c>
      <c r="L639" s="67" t="s">
        <v>440</v>
      </c>
      <c r="M639" s="67"/>
      <c r="N639" s="67" t="s">
        <v>361</v>
      </c>
      <c r="O639" s="67" t="s">
        <v>441</v>
      </c>
      <c r="P639" s="57" t="s">
        <v>292</v>
      </c>
      <c r="Q639" s="59" t="n">
        <f aca="false">ROUND((Flights!$AF$23)*1440,0)/1440</f>
        <v>46324.0277777778</v>
      </c>
      <c r="R639" s="59" t="n">
        <f aca="false">Q639+(IF(AND(INDEX(TZ_DSTS,MATCH(P639,TZ_STN,0))&lt;&gt;"",Q639&gt;=INDEX(TZ_DSTS,MATCH(P639,TZ_STN,0)),Q639&lt;INDEX(TZ_DSTE,MATCH(P639,TZ_STN,0))),INDEX(TZ_DST,MATCH(P639,TZ_STN,0)),INDEX(TZ_STD,MATCH(P639,TZ_STN,0))))/24</f>
        <v>46324.4027777778</v>
      </c>
      <c r="S639" s="59" t="n">
        <f aca="false">IF(ISNUMBER(Flights!$AZ$23),MAX(Q639-UpliftWindowH/24,Flights!$AZ$23),Q639-UpliftWindowH/24)</f>
        <v>46323.7777777778</v>
      </c>
      <c r="T639" s="60"/>
      <c r="U639" s="60"/>
      <c r="V639" s="60"/>
      <c r="W639" s="61"/>
      <c r="X639" s="60"/>
      <c r="Y639" s="60"/>
      <c r="Z639" s="60"/>
      <c r="AA639" s="60"/>
      <c r="AB639" s="60"/>
      <c r="AC639" s="60"/>
      <c r="AD639" s="66"/>
      <c r="AE639" s="60"/>
      <c r="AF639" s="61" t="str">
        <f aca="false">IF(AND(ISNUMBER(X639),ISNUMBER(Y639)),Y639-X639,"")</f>
        <v/>
      </c>
      <c r="AG639" s="62" t="str">
        <f aca="false">IF(ISNUMBER(AD639),AD639-(IF(AND(INDEX(TZ_DSTS,MATCH(P639,TZ_STN,0))&lt;&gt;"",(AD639-INDEX(TZ_STD,MATCH(P639,TZ_STN,0))/24)&gt;=INDEX(TZ_DSTS,MATCH(P639,TZ_STN,0)),(AD639-INDEX(TZ_STD,MATCH(P639,TZ_STN,0))/24)&lt;INDEX(TZ_DSTE,MATCH(P639,TZ_STN,0))),INDEX(TZ_DST,MATCH(P639,TZ_STN,0)),INDEX(TZ_STD,MATCH(P639,TZ_STN,0))))/24,"")</f>
        <v/>
      </c>
      <c r="AH639" s="65" t="str">
        <f aca="false">IFERROR(IF(N639="N/A – rule","N/A – RULE",IF(TRIM(U639)="N/A",IF(AT639=0,"INVALID – N/A not permitted for this check",IF(AND(TRIM(AB639)&lt;&gt;"",TRIM(AB639)&lt;&gt;"Closed"),"INVALID – corrective action still open",IF(AND(NOT(OR(LEN(AZ639)&lt;15,ISNUMBER(MATCH(AZ639,L_Placeholder,0)))),NOT(OR(LEN(AU639)&lt;2,ISNUMBER(MATCH(AU639,L_Placeholder,0)))),NOT(OR(LEN(AX639)&lt;2,ISNUMBER(MATCH(AX639,L_Placeholder,0)))),TRIM(AE639)&lt;&gt;TRIM(T639)),"N/A – JUSTIFIED","INVALID – N/A needs a real justification (15+ chars), PIC and a different verifier"))),IF(OR(TRIM(U639)="Pass",TRIM(U639)="Pass after CA"),IF(NOT(ISNUMBER(AD639)),"INVALID – completion time missing",IF(OR(LEN(AU639)&lt;2,ISNUMBER(MATCH(AU639,L_Placeholder,0))),"INVALID – PIC missing",IF(OR(LEN(AV639)&lt;2,ISNUMBER(MATCH(AV639,L_Placeholder,0))),"INVALID – result / assessment missing",IF(OR(OR(LEN(AW639)&lt;3,ISNUMBER(MATCH(AW639,L_Placeholder,0))),SUMPRODUCT(--ISNUMBER(SEARCH(L_EvidencePhrase,AW639)))&gt;0),"INVALID – evidence missing, placeholder or not yet on file",IF(OR(LEN(AX639)&lt;2,ISNUMBER(MATCH(AX639,L_Placeholder,0))),"INVALID – verifier missing",IF(AX639=AU639,"INVALID – verifier must be someone other than the PIC",IF(AND(TRIM(U639)="Pass",SUMPRODUCT(--ISNUMBER(SEARCH(L_ResultBad,AV639)))&gt;0),"INVALID – result describes a problem: use Fail, then Pass after CA",IF(AND(AQ639=1,OR(LEN(AY639)&lt;3,ISNUMBER(MATCH(AY639,L_Placeholder,0)))),"INVALID – batch ID missing or placeholder",IF(AND(AR639=1,OR(NOT(ISNUMBER(X639)),NOT(ISNUMBER(Y639)))),"INVALID – expected/actual qty missing",IF(AND(AR639=1,OR(X639&lt;=0,Y639&lt;0)),"INVALID – expected qty must be above 0 and actual not negative",IF(AH630="N/A – JUSTIFIED","INVALID – preparation row F19-T12-02 is N/A",IF(AND(AR639=1,ISNUMBER(X630),X639&lt;&gt;X630),"INVALID – expected qty differs from preparation check F19-T12-02",IF(BB639&lt;&gt;"",BB639,IF(AND(AS639=1,Documents!$J$23&lt;&gt;"ON FILE"),"INVALID – GLD not on file (Documents sheet)",IF(AND(AS639=2,Documents!$O$23&lt;&gt;"ON FILE"),"INVALID – menu checklist not on file (Documents sheet)",IF(AND(AS639=3,NOT(ISNUMBER(Flights!$AX$23))),"INVALID – enter carrying flight KUL departure (Flights AX)",IF(AND(AS639=3,OR(Flights!$AZ$23&gt;Flights!$AA$23,Flights!$AX$23&lt;Flights!$AA$23-3)),"INVALID – carrying flight (Flights AX) cannot arrive before this leg's STD, or is over 3 days early",IF(AG639&gt;AsOfUTC,"INVALID – completion time is in the future",IF(AND(ISNUMBER(S639),AG639&lt;S639),IF(H639="Physical uplift","INVALID – before uplift window (cannot confirm loading)","INVALID – before valid window"),IF(AG639&gt;Flights!$AA$23,"INVALID – completed after departure (cannot establish readiness)",IF(AND(H639="Preparation",AG639&gt;IF(ISNUMBER(Flights!$BA$23),MIN(Flights!$BA$23,Flights!$AA$23),Flights!$AA$23)),"INVALID – completed after loading / departure (cannot establish readiness)",IF(AND(H639="Physical uplift",AG639&gt;Q639),"INVALID – recorded after the loading flight departed",IF(AG639&gt;Q639,"COMPLETE – LATE","COMPLETE"))))))))))))))))))))))),IF(TRIM(U639)="Fail","FAIL – DISCREPANCY",IF(AND(TRIM(U639)&lt;&gt;"",TRIM(U639)&lt;&gt;"Not started",TRIM(U639)&lt;&gt;"In progress"),"INVALID – unrecognised status (use the list)",IF(AsOfUTC&gt;Q639,"OVERDUE",IF(N639="Clarification required","OPEN – CLARIFICATION","OPEN"))))))),"INVALID – error value in an input cell")</f>
        <v>OPEN</v>
      </c>
      <c r="AI639" s="61" t="n">
        <f aca="false">IF(OR(AH639="N/A – RULE",AH639="N/A – JUSTIFIED"),0,1)</f>
        <v>1</v>
      </c>
      <c r="AJ639" s="61" t="n">
        <f aca="false">IF(LEFT(AH639,8)="COMPLETE",1,0)</f>
        <v>0</v>
      </c>
      <c r="AK639" s="61" t="n">
        <f aca="false">IF(AND(AI639=1,AJ639=0,AsOfUTC&gt;Q639),1,0)</f>
        <v>0</v>
      </c>
      <c r="AL639" s="61" t="n">
        <f aca="false">IFERROR(IF(AND(AI639=1,OR(TRIM(U639)="Fail",AND(TRIM(AB639)&lt;&gt;"",TRIM(AB639)&lt;&gt;"Closed"),AND(ISNUMBER(AF639),AF639&lt;&gt;0,TRIM(U639)&lt;&gt;"Pass after CA"))),1,0),1)</f>
        <v>0</v>
      </c>
      <c r="AM639" s="61" t="n">
        <f aca="false">IF(LEFT(AH639,7)="INVALID",1,0)</f>
        <v>0</v>
      </c>
      <c r="AN639" s="61" t="n">
        <f aca="false">IF(AND(N639="Clarification required",AI639=1,AJ639=0),1,0)</f>
        <v>0</v>
      </c>
      <c r="AO639" s="61" t="str">
        <f aca="false">IF(AK639=1,SUM(AK$5:AK639),"")</f>
        <v/>
      </c>
      <c r="AP639" s="61" t="str">
        <f aca="false">IF(AL639=1,SUM(AL$5:AL639),"")</f>
        <v/>
      </c>
      <c r="AQ639" s="61" t="n">
        <v>0</v>
      </c>
      <c r="AR639" s="61" t="n">
        <v>1</v>
      </c>
      <c r="AS639" s="61" t="n">
        <v>0</v>
      </c>
      <c r="AT639" s="61" t="n">
        <v>0</v>
      </c>
      <c r="AU639" s="61" t="str">
        <f aca="false">SUBSTITUTE(SUBSTITUTE(SUBSTITUTE(SUBSTITUTE(SUBSTITUTE(SUBSTITUTE(SUBSTITUTE(SUBSTITUTE(SUBSTITUTE(SUBSTITUTE(SUBSTITUTE(SUBSTITUTE(SUBSTITUTE(LOWER(T639&amp;""),CHAR(160),"")," ",""),".",""),"-",""),"/",""),"?",""),"_",""),",",""),"[",""),"]",""),"(",""),")",""),"*","")</f>
        <v/>
      </c>
      <c r="AV639" s="61" t="str">
        <f aca="false">SUBSTITUTE(SUBSTITUTE(SUBSTITUTE(SUBSTITUTE(SUBSTITUTE(SUBSTITUTE(SUBSTITUTE(SUBSTITUTE(SUBSTITUTE(SUBSTITUTE(SUBSTITUTE(SUBSTITUTE(SUBSTITUTE(LOWER(V639&amp;""),CHAR(160),"")," ",""),".",""),"-",""),"/",""),"?",""),"_",""),",",""),"[",""),"]",""),"(",""),")",""),"*","")</f>
        <v/>
      </c>
      <c r="AW639" s="61" t="str">
        <f aca="false">SUBSTITUTE(SUBSTITUTE(SUBSTITUTE(SUBSTITUTE(SUBSTITUTE(SUBSTITUTE(SUBSTITUTE(SUBSTITUTE(SUBSTITUTE(SUBSTITUTE(SUBSTITUTE(SUBSTITUTE(SUBSTITUTE(LOWER(Z639&amp;""),CHAR(160),"")," ",""),".",""),"-",""),"/",""),"?",""),"_",""),",",""),"[",""),"]",""),"(",""),")",""),"*","")</f>
        <v/>
      </c>
      <c r="AX639" s="61" t="str">
        <f aca="false">SUBSTITUTE(SUBSTITUTE(SUBSTITUTE(SUBSTITUTE(SUBSTITUTE(SUBSTITUTE(SUBSTITUTE(SUBSTITUTE(SUBSTITUTE(SUBSTITUTE(SUBSTITUTE(SUBSTITUTE(SUBSTITUTE(LOWER(AE639&amp;""),CHAR(160),"")," ",""),".",""),"-",""),"/",""),"?",""),"_",""),",",""),"[",""),"]",""),"(",""),")",""),"*","")</f>
        <v/>
      </c>
      <c r="AY639" s="61" t="str">
        <f aca="false">SUBSTITUTE(SUBSTITUTE(SUBSTITUTE(SUBSTITUTE(SUBSTITUTE(SUBSTITUTE(SUBSTITUTE(SUBSTITUTE(SUBSTITUTE(SUBSTITUTE(SUBSTITUTE(SUBSTITUTE(SUBSTITUTE(LOWER(W639&amp;""),CHAR(160),"")," ",""),".",""),"-",""),"/",""),"?",""),"_",""),",",""),"[",""),"]",""),"(",""),")",""),"*","")</f>
        <v/>
      </c>
      <c r="AZ639" s="61" t="str">
        <f aca="false">SUBSTITUTE(SUBSTITUTE(SUBSTITUTE(SUBSTITUTE(SUBSTITUTE(SUBSTITUTE(SUBSTITUTE(SUBSTITUTE(SUBSTITUTE(SUBSTITUTE(SUBSTITUTE(SUBSTITUTE(SUBSTITUTE(LOWER(AC639&amp;""),CHAR(160),"")," ",""),".",""),"-",""),"/",""),"?",""),"_",""),",",""),"[",""),"]",""),"(",""),")",""),"*","")</f>
        <v/>
      </c>
      <c r="BA639" s="61" t="str">
        <f aca="false">SUBSTITUTE(SUBSTITUTE(SUBSTITUTE(SUBSTITUTE(SUBSTITUTE(SUBSTITUTE(SUBSTITUTE(SUBSTITUTE(SUBSTITUTE(SUBSTITUTE(SUBSTITUTE(SUBSTITUTE(SUBSTITUTE(LOWER(AA639&amp;""),CHAR(160),"")," ",""),".",""),"-",""),"/",""),"?",""),"_",""),",",""),"[",""),"]",""),"(",""),")",""),"*","")</f>
        <v/>
      </c>
      <c r="BB639" s="61" t="str">
        <f aca="false">IF(AND(TRIM(U639)="Pass",ISNUMBER(AF639)),IF(AF639&lt;&gt;0,"INVALID – qty variance: use Fail or Pass after CA",""),"")&amp;IF(AND(TRIM(U639)="Pass after CA",ISNUMBER(AF639)),IF(AF639&lt;&gt;0,"INVALID – after the corrective action the actual qty must equal expected (update Actual)",""),"")&amp;IF(AND(TRIM(U639)="Pass",TRIM(AB639)&lt;&gt;"",TRIM(AB639)&lt;&gt;"Closed"),"INVALID – corrective action not closed: use Fail, then Pass after CA","")&amp;IF(AND(TRIM(AA639)&lt;&gt;"",TRIM(AB639)=""),"INVALID – CA status missing for the recorded corrective action","")&amp;IF(AND(TRIM(U639)="Pass after CA",OR(OR(LEN(BA639)&lt;5,ISNUMBER(MATCH(BA639,L_Placeholder,0))),TRIM(AB639)&lt;&gt;"Closed")),"INVALID – corrective action not recorded/closed","")</f>
        <v/>
      </c>
    </row>
    <row r="640" customFormat="false" ht="39.75" hidden="false" customHeight="true" outlineLevel="0" collapsed="false">
      <c r="A640" s="57" t="s">
        <v>1334</v>
      </c>
      <c r="B640" s="57" t="s">
        <v>298</v>
      </c>
      <c r="C640" s="57" t="str">
        <f aca="false">Flights!$F$23</f>
        <v>MH0053</v>
      </c>
      <c r="D640" s="58" t="n">
        <f aca="false">Flights!$D$23</f>
        <v>46324</v>
      </c>
      <c r="E640" s="57" t="str">
        <f aca="false">Flights!$G$23&amp;"-"&amp;Flights!$H$23</f>
        <v>KIX-KUL</v>
      </c>
      <c r="F640" s="57" t="str">
        <f aca="false">Flights!$K$23</f>
        <v>EY</v>
      </c>
      <c r="G640" s="57" t="s">
        <v>437</v>
      </c>
      <c r="H640" s="57" t="s">
        <v>438</v>
      </c>
      <c r="I640" s="57" t="s">
        <v>406</v>
      </c>
      <c r="J640" s="57" t="s">
        <v>443</v>
      </c>
      <c r="K640" s="67" t="s">
        <v>404</v>
      </c>
      <c r="L640" s="67" t="s">
        <v>440</v>
      </c>
      <c r="M640" s="67"/>
      <c r="N640" s="67" t="s">
        <v>361</v>
      </c>
      <c r="O640" s="67" t="s">
        <v>441</v>
      </c>
      <c r="P640" s="57" t="s">
        <v>292</v>
      </c>
      <c r="Q640" s="59" t="n">
        <f aca="false">ROUND((Flights!$AF$23)*1440,0)/1440</f>
        <v>46324.0277777778</v>
      </c>
      <c r="R640" s="59" t="n">
        <f aca="false">Q640+(IF(AND(INDEX(TZ_DSTS,MATCH(P640,TZ_STN,0))&lt;&gt;"",Q640&gt;=INDEX(TZ_DSTS,MATCH(P640,TZ_STN,0)),Q640&lt;INDEX(TZ_DSTE,MATCH(P640,TZ_STN,0))),INDEX(TZ_DST,MATCH(P640,TZ_STN,0)),INDEX(TZ_STD,MATCH(P640,TZ_STN,0))))/24</f>
        <v>46324.4027777778</v>
      </c>
      <c r="S640" s="59" t="n">
        <f aca="false">IF(ISNUMBER(Flights!$AZ$23),MAX(Q640-UpliftWindowH/24,Flights!$AZ$23),Q640-UpliftWindowH/24)</f>
        <v>46323.7777777778</v>
      </c>
      <c r="T640" s="60"/>
      <c r="U640" s="60"/>
      <c r="V640" s="60"/>
      <c r="W640" s="61"/>
      <c r="X640" s="60"/>
      <c r="Y640" s="60"/>
      <c r="Z640" s="60"/>
      <c r="AA640" s="60"/>
      <c r="AB640" s="60"/>
      <c r="AC640" s="60"/>
      <c r="AD640" s="66"/>
      <c r="AE640" s="60"/>
      <c r="AF640" s="61" t="str">
        <f aca="false">IF(AND(ISNUMBER(X640),ISNUMBER(Y640)),Y640-X640,"")</f>
        <v/>
      </c>
      <c r="AG640" s="62" t="str">
        <f aca="false">IF(ISNUMBER(AD640),AD640-(IF(AND(INDEX(TZ_DSTS,MATCH(P640,TZ_STN,0))&lt;&gt;"",(AD640-INDEX(TZ_STD,MATCH(P640,TZ_STN,0))/24)&gt;=INDEX(TZ_DSTS,MATCH(P640,TZ_STN,0)),(AD640-INDEX(TZ_STD,MATCH(P640,TZ_STN,0))/24)&lt;INDEX(TZ_DSTE,MATCH(P640,TZ_STN,0))),INDEX(TZ_DST,MATCH(P640,TZ_STN,0)),INDEX(TZ_STD,MATCH(P640,TZ_STN,0))))/24,"")</f>
        <v/>
      </c>
      <c r="AH640" s="65" t="str">
        <f aca="false">IFERROR(IF(N640="N/A – rule","N/A – RULE",IF(TRIM(U640)="N/A",IF(AT640=0,"INVALID – N/A not permitted for this check",IF(AND(TRIM(AB640)&lt;&gt;"",TRIM(AB640)&lt;&gt;"Closed"),"INVALID – corrective action still open",IF(AND(NOT(OR(LEN(AZ640)&lt;15,ISNUMBER(MATCH(AZ640,L_Placeholder,0)))),NOT(OR(LEN(AU640)&lt;2,ISNUMBER(MATCH(AU640,L_Placeholder,0)))),NOT(OR(LEN(AX640)&lt;2,ISNUMBER(MATCH(AX640,L_Placeholder,0)))),TRIM(AE640)&lt;&gt;TRIM(T640)),"N/A – JUSTIFIED","INVALID – N/A needs a real justification (15+ chars), PIC and a different verifier"))),IF(OR(TRIM(U640)="Pass",TRIM(U640)="Pass after CA"),IF(NOT(ISNUMBER(AD640)),"INVALID – completion time missing",IF(OR(LEN(AU640)&lt;2,ISNUMBER(MATCH(AU640,L_Placeholder,0))),"INVALID – PIC missing",IF(OR(LEN(AV640)&lt;2,ISNUMBER(MATCH(AV640,L_Placeholder,0))),"INVALID – result / assessment missing",IF(OR(OR(LEN(AW640)&lt;3,ISNUMBER(MATCH(AW640,L_Placeholder,0))),SUMPRODUCT(--ISNUMBER(SEARCH(L_EvidencePhrase,AW640)))&gt;0),"INVALID – evidence missing, placeholder or not yet on file",IF(OR(LEN(AX640)&lt;2,ISNUMBER(MATCH(AX640,L_Placeholder,0))),"INVALID – verifier missing",IF(AX640=AU640,"INVALID – verifier must be someone other than the PIC",IF(AND(TRIM(U640)="Pass",SUMPRODUCT(--ISNUMBER(SEARCH(L_ResultBad,AV640)))&gt;0),"INVALID – result describes a problem: use Fail, then Pass after CA",IF(AND(AQ640=1,OR(LEN(AY640)&lt;3,ISNUMBER(MATCH(AY640,L_Placeholder,0)))),"INVALID – batch ID missing or placeholder",IF(AND(AR640=1,OR(NOT(ISNUMBER(X640)),NOT(ISNUMBER(Y640)))),"INVALID – expected/actual qty missing",IF(AND(AR640=1,OR(X640&lt;=0,Y640&lt;0)),"INVALID – expected qty must be above 0 and actual not negative",IF(AH634="N/A – JUSTIFIED","INVALID – preparation row F19-T12-06 is N/A",IF(AND(AR640=1,ISNUMBER(X634),X640&lt;&gt;X634),"INVALID – expected qty differs from preparation check F19-T12-06",IF(BB640&lt;&gt;"",BB640,IF(AND(AS640=1,Documents!$J$23&lt;&gt;"ON FILE"),"INVALID – GLD not on file (Documents sheet)",IF(AND(AS640=2,Documents!$O$23&lt;&gt;"ON FILE"),"INVALID – menu checklist not on file (Documents sheet)",IF(AND(AS640=3,NOT(ISNUMBER(Flights!$AX$23))),"INVALID – enter carrying flight KUL departure (Flights AX)",IF(AND(AS640=3,OR(Flights!$AZ$23&gt;Flights!$AA$23,Flights!$AX$23&lt;Flights!$AA$23-3)),"INVALID – carrying flight (Flights AX) cannot arrive before this leg's STD, or is over 3 days early",IF(AG640&gt;AsOfUTC,"INVALID – completion time is in the future",IF(AND(ISNUMBER(S640),AG640&lt;S640),IF(H640="Physical uplift","INVALID – before uplift window (cannot confirm loading)","INVALID – before valid window"),IF(AG640&gt;Flights!$AA$23,"INVALID – completed after departure (cannot establish readiness)",IF(AND(H640="Preparation",AG640&gt;IF(ISNUMBER(Flights!$BA$23),MIN(Flights!$BA$23,Flights!$AA$23),Flights!$AA$23)),"INVALID – completed after loading / departure (cannot establish readiness)",IF(AND(H640="Physical uplift",AG640&gt;Q640),"INVALID – recorded after the loading flight departed",IF(AG640&gt;Q640,"COMPLETE – LATE","COMPLETE"))))))))))))))))))))))),IF(TRIM(U640)="Fail","FAIL – DISCREPANCY",IF(AND(TRIM(U640)&lt;&gt;"",TRIM(U640)&lt;&gt;"Not started",TRIM(U640)&lt;&gt;"In progress"),"INVALID – unrecognised status (use the list)",IF(AsOfUTC&gt;Q640,"OVERDUE",IF(N640="Clarification required","OPEN – CLARIFICATION","OPEN"))))))),"INVALID – error value in an input cell")</f>
        <v>OPEN</v>
      </c>
      <c r="AI640" s="61" t="n">
        <f aca="false">IF(OR(AH640="N/A – RULE",AH640="N/A – JUSTIFIED"),0,1)</f>
        <v>1</v>
      </c>
      <c r="AJ640" s="61" t="n">
        <f aca="false">IF(LEFT(AH640,8)="COMPLETE",1,0)</f>
        <v>0</v>
      </c>
      <c r="AK640" s="61" t="n">
        <f aca="false">IF(AND(AI640=1,AJ640=0,AsOfUTC&gt;Q640),1,0)</f>
        <v>0</v>
      </c>
      <c r="AL640" s="61" t="n">
        <f aca="false">IFERROR(IF(AND(AI640=1,OR(TRIM(U640)="Fail",AND(TRIM(AB640)&lt;&gt;"",TRIM(AB640)&lt;&gt;"Closed"),AND(ISNUMBER(AF640),AF640&lt;&gt;0,TRIM(U640)&lt;&gt;"Pass after CA"))),1,0),1)</f>
        <v>0</v>
      </c>
      <c r="AM640" s="61" t="n">
        <f aca="false">IF(LEFT(AH640,7)="INVALID",1,0)</f>
        <v>0</v>
      </c>
      <c r="AN640" s="61" t="n">
        <f aca="false">IF(AND(N640="Clarification required",AI640=1,AJ640=0),1,0)</f>
        <v>0</v>
      </c>
      <c r="AO640" s="61" t="str">
        <f aca="false">IF(AK640=1,SUM(AK$5:AK640),"")</f>
        <v/>
      </c>
      <c r="AP640" s="61" t="str">
        <f aca="false">IF(AL640=1,SUM(AL$5:AL640),"")</f>
        <v/>
      </c>
      <c r="AQ640" s="61" t="n">
        <v>0</v>
      </c>
      <c r="AR640" s="61" t="n">
        <v>1</v>
      </c>
      <c r="AS640" s="61" t="n">
        <v>0</v>
      </c>
      <c r="AT640" s="61" t="n">
        <v>0</v>
      </c>
      <c r="AU640" s="61" t="str">
        <f aca="false">SUBSTITUTE(SUBSTITUTE(SUBSTITUTE(SUBSTITUTE(SUBSTITUTE(SUBSTITUTE(SUBSTITUTE(SUBSTITUTE(SUBSTITUTE(SUBSTITUTE(SUBSTITUTE(SUBSTITUTE(SUBSTITUTE(LOWER(T640&amp;""),CHAR(160),"")," ",""),".",""),"-",""),"/",""),"?",""),"_",""),",",""),"[",""),"]",""),"(",""),")",""),"*","")</f>
        <v/>
      </c>
      <c r="AV640" s="61" t="str">
        <f aca="false">SUBSTITUTE(SUBSTITUTE(SUBSTITUTE(SUBSTITUTE(SUBSTITUTE(SUBSTITUTE(SUBSTITUTE(SUBSTITUTE(SUBSTITUTE(SUBSTITUTE(SUBSTITUTE(SUBSTITUTE(SUBSTITUTE(LOWER(V640&amp;""),CHAR(160),"")," ",""),".",""),"-",""),"/",""),"?",""),"_",""),",",""),"[",""),"]",""),"(",""),")",""),"*","")</f>
        <v/>
      </c>
      <c r="AW640" s="61" t="str">
        <f aca="false">SUBSTITUTE(SUBSTITUTE(SUBSTITUTE(SUBSTITUTE(SUBSTITUTE(SUBSTITUTE(SUBSTITUTE(SUBSTITUTE(SUBSTITUTE(SUBSTITUTE(SUBSTITUTE(SUBSTITUTE(SUBSTITUTE(LOWER(Z640&amp;""),CHAR(160),"")," ",""),".",""),"-",""),"/",""),"?",""),"_",""),",",""),"[",""),"]",""),"(",""),")",""),"*","")</f>
        <v/>
      </c>
      <c r="AX640" s="61" t="str">
        <f aca="false">SUBSTITUTE(SUBSTITUTE(SUBSTITUTE(SUBSTITUTE(SUBSTITUTE(SUBSTITUTE(SUBSTITUTE(SUBSTITUTE(SUBSTITUTE(SUBSTITUTE(SUBSTITUTE(SUBSTITUTE(SUBSTITUTE(LOWER(AE640&amp;""),CHAR(160),"")," ",""),".",""),"-",""),"/",""),"?",""),"_",""),",",""),"[",""),"]",""),"(",""),")",""),"*","")</f>
        <v/>
      </c>
      <c r="AY640" s="61" t="str">
        <f aca="false">SUBSTITUTE(SUBSTITUTE(SUBSTITUTE(SUBSTITUTE(SUBSTITUTE(SUBSTITUTE(SUBSTITUTE(SUBSTITUTE(SUBSTITUTE(SUBSTITUTE(SUBSTITUTE(SUBSTITUTE(SUBSTITUTE(LOWER(W640&amp;""),CHAR(160),"")," ",""),".",""),"-",""),"/",""),"?",""),"_",""),",",""),"[",""),"]",""),"(",""),")",""),"*","")</f>
        <v/>
      </c>
      <c r="AZ640" s="61" t="str">
        <f aca="false">SUBSTITUTE(SUBSTITUTE(SUBSTITUTE(SUBSTITUTE(SUBSTITUTE(SUBSTITUTE(SUBSTITUTE(SUBSTITUTE(SUBSTITUTE(SUBSTITUTE(SUBSTITUTE(SUBSTITUTE(SUBSTITUTE(LOWER(AC640&amp;""),CHAR(160),"")," ",""),".",""),"-",""),"/",""),"?",""),"_",""),",",""),"[",""),"]",""),"(",""),")",""),"*","")</f>
        <v/>
      </c>
      <c r="BA640" s="61" t="str">
        <f aca="false">SUBSTITUTE(SUBSTITUTE(SUBSTITUTE(SUBSTITUTE(SUBSTITUTE(SUBSTITUTE(SUBSTITUTE(SUBSTITUTE(SUBSTITUTE(SUBSTITUTE(SUBSTITUTE(SUBSTITUTE(SUBSTITUTE(LOWER(AA640&amp;""),CHAR(160),"")," ",""),".",""),"-",""),"/",""),"?",""),"_",""),",",""),"[",""),"]",""),"(",""),")",""),"*","")</f>
        <v/>
      </c>
      <c r="BB640" s="61" t="str">
        <f aca="false">IF(AND(TRIM(U640)="Pass",ISNUMBER(AF640)),IF(AF640&lt;&gt;0,"INVALID – qty variance: use Fail or Pass after CA",""),"")&amp;IF(AND(TRIM(U640)="Pass after CA",ISNUMBER(AF640)),IF(AF640&lt;&gt;0,"INVALID – after the corrective action the actual qty must equal expected (update Actual)",""),"")&amp;IF(AND(TRIM(U640)="Pass",TRIM(AB640)&lt;&gt;"",TRIM(AB640)&lt;&gt;"Closed"),"INVALID – corrective action not closed: use Fail, then Pass after CA","")&amp;IF(AND(TRIM(AA640)&lt;&gt;"",TRIM(AB640)=""),"INVALID – CA status missing for the recorded corrective action","")&amp;IF(AND(TRIM(U640)="Pass after CA",OR(OR(LEN(BA640)&lt;5,ISNUMBER(MATCH(BA640,L_Placeholder,0))),TRIM(AB640)&lt;&gt;"Closed")),"INVALID – corrective action not recorded/closed","")</f>
        <v/>
      </c>
    </row>
    <row r="641" customFormat="false" ht="39.75" hidden="false" customHeight="true" outlineLevel="0" collapsed="false">
      <c r="A641" s="57" t="s">
        <v>1335</v>
      </c>
      <c r="B641" s="57" t="s">
        <v>298</v>
      </c>
      <c r="C641" s="57" t="str">
        <f aca="false">Flights!$F$23</f>
        <v>MH0053</v>
      </c>
      <c r="D641" s="58" t="n">
        <f aca="false">Flights!$D$23</f>
        <v>46324</v>
      </c>
      <c r="E641" s="57" t="str">
        <f aca="false">Flights!$G$23&amp;"-"&amp;Flights!$H$23</f>
        <v>KIX-KUL</v>
      </c>
      <c r="F641" s="57" t="str">
        <f aca="false">Flights!$K$23</f>
        <v>EY</v>
      </c>
      <c r="G641" s="57" t="s">
        <v>437</v>
      </c>
      <c r="H641" s="57" t="s">
        <v>438</v>
      </c>
      <c r="I641" s="57" t="s">
        <v>425</v>
      </c>
      <c r="J641" s="57" t="s">
        <v>447</v>
      </c>
      <c r="K641" s="67" t="s">
        <v>427</v>
      </c>
      <c r="L641" s="67" t="s">
        <v>1326</v>
      </c>
      <c r="M641" s="67" t="s">
        <v>429</v>
      </c>
      <c r="N641" s="67" t="s">
        <v>361</v>
      </c>
      <c r="O641" s="67"/>
      <c r="P641" s="57" t="s">
        <v>292</v>
      </c>
      <c r="Q641" s="59" t="n">
        <f aca="false">ROUND((Flights!$AF$23)*1440,0)/1440</f>
        <v>46324.0277777778</v>
      </c>
      <c r="R641" s="59" t="n">
        <f aca="false">Q641+(IF(AND(INDEX(TZ_DSTS,MATCH(P641,TZ_STN,0))&lt;&gt;"",Q641&gt;=INDEX(TZ_DSTS,MATCH(P641,TZ_STN,0)),Q641&lt;INDEX(TZ_DSTE,MATCH(P641,TZ_STN,0))),INDEX(TZ_DST,MATCH(P641,TZ_STN,0)),INDEX(TZ_STD,MATCH(P641,TZ_STN,0))))/24</f>
        <v>46324.4027777778</v>
      </c>
      <c r="S641" s="59" t="n">
        <f aca="false">IF(ISNUMBER(Flights!$AZ$23),MAX(Q641-UpliftWindowH/24,Flights!$AZ$23),Q641-UpliftWindowH/24)</f>
        <v>46323.7777777778</v>
      </c>
      <c r="T641" s="60"/>
      <c r="U641" s="60"/>
      <c r="V641" s="60"/>
      <c r="W641" s="61"/>
      <c r="X641" s="60"/>
      <c r="Y641" s="60"/>
      <c r="Z641" s="60"/>
      <c r="AA641" s="60"/>
      <c r="AB641" s="60"/>
      <c r="AC641" s="60"/>
      <c r="AD641" s="66"/>
      <c r="AE641" s="60"/>
      <c r="AF641" s="61" t="str">
        <f aca="false">IF(AND(ISNUMBER(X641),ISNUMBER(Y641)),Y641-X641,"")</f>
        <v/>
      </c>
      <c r="AG641" s="62" t="str">
        <f aca="false">IF(ISNUMBER(AD641),AD641-(IF(AND(INDEX(TZ_DSTS,MATCH(P641,TZ_STN,0))&lt;&gt;"",(AD641-INDEX(TZ_STD,MATCH(P641,TZ_STN,0))/24)&gt;=INDEX(TZ_DSTS,MATCH(P641,TZ_STN,0)),(AD641-INDEX(TZ_STD,MATCH(P641,TZ_STN,0))/24)&lt;INDEX(TZ_DSTE,MATCH(P641,TZ_STN,0))),INDEX(TZ_DST,MATCH(P641,TZ_STN,0)),INDEX(TZ_STD,MATCH(P641,TZ_STN,0))))/24,"")</f>
        <v/>
      </c>
      <c r="AH641" s="65" t="str">
        <f aca="false">IFERROR(IF(N641="N/A – rule","N/A – RULE",IF(TRIM(U641)="N/A",IF(AT641=0,"INVALID – N/A not permitted for this check",IF(AND(TRIM(AB641)&lt;&gt;"",TRIM(AB641)&lt;&gt;"Closed"),"INVALID – corrective action still open",IF(AND(NOT(OR(LEN(AZ641)&lt;15,ISNUMBER(MATCH(AZ641,L_Placeholder,0)))),NOT(OR(LEN(AU641)&lt;2,ISNUMBER(MATCH(AU641,L_Placeholder,0)))),NOT(OR(LEN(AX641)&lt;2,ISNUMBER(MATCH(AX641,L_Placeholder,0)))),TRIM(AE641)&lt;&gt;TRIM(T641)),"N/A – JUSTIFIED","INVALID – N/A needs a real justification (15+ chars), PIC and a different verifier"))),IF(OR(TRIM(U641)="Pass",TRIM(U641)="Pass after CA"),IF(NOT(ISNUMBER(AD641)),"INVALID – completion time missing",IF(OR(LEN(AU641)&lt;2,ISNUMBER(MATCH(AU641,L_Placeholder,0))),"INVALID – PIC missing",IF(OR(LEN(AV641)&lt;2,ISNUMBER(MATCH(AV641,L_Placeholder,0))),"INVALID – result / assessment missing",IF(OR(OR(LEN(AW641)&lt;3,ISNUMBER(MATCH(AW641,L_Placeholder,0))),SUMPRODUCT(--ISNUMBER(SEARCH(L_EvidencePhrase,AW641)))&gt;0),"INVALID – evidence missing, placeholder or not yet on file",IF(OR(LEN(AX641)&lt;2,ISNUMBER(MATCH(AX641,L_Placeholder,0))),"INVALID – verifier missing",IF(AX641=AU641,"INVALID – verifier must be someone other than the PIC",IF(AND(TRIM(U641)="Pass",SUMPRODUCT(--ISNUMBER(SEARCH(L_ResultBad,AV641)))&gt;0),"INVALID – result describes a problem: use Fail, then Pass after CA",IF(AND(AQ641=1,OR(LEN(AY641)&lt;3,ISNUMBER(MATCH(AY641,L_Placeholder,0)))),"INVALID – batch ID missing or placeholder",IF(AND(AR641=1,OR(NOT(ISNUMBER(X641)),NOT(ISNUMBER(Y641)))),"INVALID – expected/actual qty missing",IF(AND(AR641=1,OR(X641&lt;=0,Y641&lt;0)),"INVALID – expected qty must be above 0 and actual not negative",IF(AH636="N/A – JUSTIFIED","INVALID – preparation row F19-T12-08 is N/A",IF(AND(AR641=1,ISNUMBER(X636),X641&lt;&gt;X636),"INVALID – expected qty differs from preparation check F19-T12-08",IF(BB641&lt;&gt;"",BB641,IF(AND(AS641=1,Documents!$J$23&lt;&gt;"ON FILE"),"INVALID – GLD not on file (Documents sheet)",IF(AND(AS641=2,Documents!$O$23&lt;&gt;"ON FILE"),"INVALID – menu checklist not on file (Documents sheet)",IF(AND(AS641=3,NOT(ISNUMBER(Flights!$AX$23))),"INVALID – enter carrying flight KUL departure (Flights AX)",IF(AND(AS641=3,OR(Flights!$AZ$23&gt;Flights!$AA$23,Flights!$AX$23&lt;Flights!$AA$23-3)),"INVALID – carrying flight (Flights AX) cannot arrive before this leg's STD, or is over 3 days early",IF(AG641&gt;AsOfUTC,"INVALID – completion time is in the future",IF(AND(ISNUMBER(S641),AG641&lt;S641),IF(H641="Physical uplift","INVALID – before uplift window (cannot confirm loading)","INVALID – before valid window"),IF(AG641&gt;Flights!$AA$23,"INVALID – completed after departure (cannot establish readiness)",IF(AND(H641="Preparation",AG641&gt;IF(ISNUMBER(Flights!$BA$23),MIN(Flights!$BA$23,Flights!$AA$23),Flights!$AA$23)),"INVALID – completed after loading / departure (cannot establish readiness)",IF(AND(H641="Physical uplift",AG641&gt;Q641),"INVALID – recorded after the loading flight departed",IF(AG641&gt;Q641,"COMPLETE – LATE","COMPLETE"))))))))))))))))))))))),IF(TRIM(U641)="Fail","FAIL – DISCREPANCY",IF(AND(TRIM(U641)&lt;&gt;"",TRIM(U641)&lt;&gt;"Not started",TRIM(U641)&lt;&gt;"In progress"),"INVALID – unrecognised status (use the list)",IF(AsOfUTC&gt;Q641,"OVERDUE",IF(N641="Clarification required","OPEN – CLARIFICATION","OPEN"))))))),"INVALID – error value in an input cell")</f>
        <v>OPEN</v>
      </c>
      <c r="AI641" s="61" t="n">
        <f aca="false">IF(OR(AH641="N/A – RULE",AH641="N/A – JUSTIFIED"),0,1)</f>
        <v>1</v>
      </c>
      <c r="AJ641" s="61" t="n">
        <f aca="false">IF(LEFT(AH641,8)="COMPLETE",1,0)</f>
        <v>0</v>
      </c>
      <c r="AK641" s="61" t="n">
        <f aca="false">IF(AND(AI641=1,AJ641=0,AsOfUTC&gt;Q641),1,0)</f>
        <v>0</v>
      </c>
      <c r="AL641" s="61" t="n">
        <f aca="false">IFERROR(IF(AND(AI641=1,OR(TRIM(U641)="Fail",AND(TRIM(AB641)&lt;&gt;"",TRIM(AB641)&lt;&gt;"Closed"),AND(ISNUMBER(AF641),AF641&lt;&gt;0,TRIM(U641)&lt;&gt;"Pass after CA"))),1,0),1)</f>
        <v>0</v>
      </c>
      <c r="AM641" s="61" t="n">
        <f aca="false">IF(LEFT(AH641,7)="INVALID",1,0)</f>
        <v>0</v>
      </c>
      <c r="AN641" s="61" t="n">
        <f aca="false">IF(AND(N641="Clarification required",AI641=1,AJ641=0),1,0)</f>
        <v>0</v>
      </c>
      <c r="AO641" s="61" t="str">
        <f aca="false">IF(AK641=1,SUM(AK$5:AK641),"")</f>
        <v/>
      </c>
      <c r="AP641" s="61" t="str">
        <f aca="false">IF(AL641=1,SUM(AL$5:AL641),"")</f>
        <v/>
      </c>
      <c r="AQ641" s="61" t="n">
        <v>0</v>
      </c>
      <c r="AR641" s="61" t="n">
        <v>0</v>
      </c>
      <c r="AS641" s="61" t="n">
        <v>0</v>
      </c>
      <c r="AT641" s="61" t="n">
        <v>0</v>
      </c>
      <c r="AU641" s="61" t="str">
        <f aca="false">SUBSTITUTE(SUBSTITUTE(SUBSTITUTE(SUBSTITUTE(SUBSTITUTE(SUBSTITUTE(SUBSTITUTE(SUBSTITUTE(SUBSTITUTE(SUBSTITUTE(SUBSTITUTE(SUBSTITUTE(SUBSTITUTE(LOWER(T641&amp;""),CHAR(160),"")," ",""),".",""),"-",""),"/",""),"?",""),"_",""),",",""),"[",""),"]",""),"(",""),")",""),"*","")</f>
        <v/>
      </c>
      <c r="AV641" s="61" t="str">
        <f aca="false">SUBSTITUTE(SUBSTITUTE(SUBSTITUTE(SUBSTITUTE(SUBSTITUTE(SUBSTITUTE(SUBSTITUTE(SUBSTITUTE(SUBSTITUTE(SUBSTITUTE(SUBSTITUTE(SUBSTITUTE(SUBSTITUTE(LOWER(V641&amp;""),CHAR(160),"")," ",""),".",""),"-",""),"/",""),"?",""),"_",""),",",""),"[",""),"]",""),"(",""),")",""),"*","")</f>
        <v/>
      </c>
      <c r="AW641" s="61" t="str">
        <f aca="false">SUBSTITUTE(SUBSTITUTE(SUBSTITUTE(SUBSTITUTE(SUBSTITUTE(SUBSTITUTE(SUBSTITUTE(SUBSTITUTE(SUBSTITUTE(SUBSTITUTE(SUBSTITUTE(SUBSTITUTE(SUBSTITUTE(LOWER(Z641&amp;""),CHAR(160),"")," ",""),".",""),"-",""),"/",""),"?",""),"_",""),",",""),"[",""),"]",""),"(",""),")",""),"*","")</f>
        <v/>
      </c>
      <c r="AX641" s="61" t="str">
        <f aca="false">SUBSTITUTE(SUBSTITUTE(SUBSTITUTE(SUBSTITUTE(SUBSTITUTE(SUBSTITUTE(SUBSTITUTE(SUBSTITUTE(SUBSTITUTE(SUBSTITUTE(SUBSTITUTE(SUBSTITUTE(SUBSTITUTE(LOWER(AE641&amp;""),CHAR(160),"")," ",""),".",""),"-",""),"/",""),"?",""),"_",""),",",""),"[",""),"]",""),"(",""),")",""),"*","")</f>
        <v/>
      </c>
      <c r="AY641" s="61" t="str">
        <f aca="false">SUBSTITUTE(SUBSTITUTE(SUBSTITUTE(SUBSTITUTE(SUBSTITUTE(SUBSTITUTE(SUBSTITUTE(SUBSTITUTE(SUBSTITUTE(SUBSTITUTE(SUBSTITUTE(SUBSTITUTE(SUBSTITUTE(LOWER(W641&amp;""),CHAR(160),"")," ",""),".",""),"-",""),"/",""),"?",""),"_",""),",",""),"[",""),"]",""),"(",""),")",""),"*","")</f>
        <v/>
      </c>
      <c r="AZ641" s="61" t="str">
        <f aca="false">SUBSTITUTE(SUBSTITUTE(SUBSTITUTE(SUBSTITUTE(SUBSTITUTE(SUBSTITUTE(SUBSTITUTE(SUBSTITUTE(SUBSTITUTE(SUBSTITUTE(SUBSTITUTE(SUBSTITUTE(SUBSTITUTE(LOWER(AC641&amp;""),CHAR(160),"")," ",""),".",""),"-",""),"/",""),"?",""),"_",""),",",""),"[",""),"]",""),"(",""),")",""),"*","")</f>
        <v/>
      </c>
      <c r="BA641" s="61" t="str">
        <f aca="false">SUBSTITUTE(SUBSTITUTE(SUBSTITUTE(SUBSTITUTE(SUBSTITUTE(SUBSTITUTE(SUBSTITUTE(SUBSTITUTE(SUBSTITUTE(SUBSTITUTE(SUBSTITUTE(SUBSTITUTE(SUBSTITUTE(LOWER(AA641&amp;""),CHAR(160),"")," ",""),".",""),"-",""),"/",""),"?",""),"_",""),",",""),"[",""),"]",""),"(",""),")",""),"*","")</f>
        <v/>
      </c>
      <c r="BB641" s="61" t="str">
        <f aca="false">IF(AND(TRIM(U641)="Pass",ISNUMBER(AF641)),IF(AF641&lt;&gt;0,"INVALID – qty variance: use Fail or Pass after CA",""),"")&amp;IF(AND(TRIM(U641)="Pass after CA",ISNUMBER(AF641)),IF(AF641&lt;&gt;0,"INVALID – after the corrective action the actual qty must equal expected (update Actual)",""),"")&amp;IF(AND(TRIM(U641)="Pass",TRIM(AB641)&lt;&gt;"",TRIM(AB641)&lt;&gt;"Closed"),"INVALID – corrective action not closed: use Fail, then Pass after CA","")&amp;IF(AND(TRIM(AA641)&lt;&gt;"",TRIM(AB641)=""),"INVALID – CA status missing for the recorded corrective action","")&amp;IF(AND(TRIM(U641)="Pass after CA",OR(OR(LEN(BA641)&lt;5,ISNUMBER(MATCH(BA641,L_Placeholder,0))),TRIM(AB641)&lt;&gt;"Closed")),"INVALID – corrective action not recorded/closed","")</f>
        <v/>
      </c>
    </row>
    <row r="642" customFormat="false" ht="54" hidden="false" customHeight="true" outlineLevel="0" collapsed="false">
      <c r="A642" s="57" t="s">
        <v>1336</v>
      </c>
      <c r="B642" s="57" t="s">
        <v>298</v>
      </c>
      <c r="C642" s="57" t="str">
        <f aca="false">Flights!$F$23</f>
        <v>MH0053</v>
      </c>
      <c r="D642" s="58" t="n">
        <f aca="false">Flights!$D$23</f>
        <v>46324</v>
      </c>
      <c r="E642" s="57" t="str">
        <f aca="false">Flights!$G$23&amp;"-"&amp;Flights!$H$23</f>
        <v>KIX-KUL</v>
      </c>
      <c r="F642" s="57" t="str">
        <f aca="false">Flights!$K$23</f>
        <v>EY</v>
      </c>
      <c r="G642" s="57" t="s">
        <v>437</v>
      </c>
      <c r="H642" s="57" t="s">
        <v>438</v>
      </c>
      <c r="I642" s="57" t="s">
        <v>425</v>
      </c>
      <c r="J642" s="57" t="s">
        <v>449</v>
      </c>
      <c r="K642" s="67" t="s">
        <v>1066</v>
      </c>
      <c r="L642" s="67" t="s">
        <v>1329</v>
      </c>
      <c r="M642" s="67" t="s">
        <v>429</v>
      </c>
      <c r="N642" s="67" t="s">
        <v>361</v>
      </c>
      <c r="O642" s="67" t="s">
        <v>1337</v>
      </c>
      <c r="P642" s="57" t="s">
        <v>292</v>
      </c>
      <c r="Q642" s="59" t="n">
        <f aca="false">ROUND((Flights!$AF$23)*1440,0)/1440</f>
        <v>46324.0277777778</v>
      </c>
      <c r="R642" s="59" t="n">
        <f aca="false">Q642+(IF(AND(INDEX(TZ_DSTS,MATCH(P642,TZ_STN,0))&lt;&gt;"",Q642&gt;=INDEX(TZ_DSTS,MATCH(P642,TZ_STN,0)),Q642&lt;INDEX(TZ_DSTE,MATCH(P642,TZ_STN,0))),INDEX(TZ_DST,MATCH(P642,TZ_STN,0)),INDEX(TZ_STD,MATCH(P642,TZ_STN,0))))/24</f>
        <v>46324.4027777778</v>
      </c>
      <c r="S642" s="59" t="n">
        <f aca="false">IF(ISNUMBER(Flights!$AZ$23),MAX(Q642-UpliftWindowH/24,Flights!$AZ$23),Q642-UpliftWindowH/24)</f>
        <v>46323.7777777778</v>
      </c>
      <c r="T642" s="60"/>
      <c r="U642" s="60"/>
      <c r="V642" s="60"/>
      <c r="W642" s="61"/>
      <c r="X642" s="68" t="n">
        <v>280</v>
      </c>
      <c r="Y642" s="60"/>
      <c r="Z642" s="60"/>
      <c r="AA642" s="60"/>
      <c r="AB642" s="60"/>
      <c r="AC642" s="60"/>
      <c r="AD642" s="66"/>
      <c r="AE642" s="60"/>
      <c r="AF642" s="61" t="str">
        <f aca="false">IF(AND(ISNUMBER(X642),ISNUMBER(Y642)),Y642-X642,"")</f>
        <v/>
      </c>
      <c r="AG642" s="62" t="str">
        <f aca="false">IF(ISNUMBER(AD642),AD642-(IF(AND(INDEX(TZ_DSTS,MATCH(P642,TZ_STN,0))&lt;&gt;"",(AD642-INDEX(TZ_STD,MATCH(P642,TZ_STN,0))/24)&gt;=INDEX(TZ_DSTS,MATCH(P642,TZ_STN,0)),(AD642-INDEX(TZ_STD,MATCH(P642,TZ_STN,0))/24)&lt;INDEX(TZ_DSTE,MATCH(P642,TZ_STN,0))),INDEX(TZ_DST,MATCH(P642,TZ_STN,0)),INDEX(TZ_STD,MATCH(P642,TZ_STN,0))))/24,"")</f>
        <v/>
      </c>
      <c r="AH642" s="65" t="str">
        <f aca="false">IFERROR(IF(N642="N/A – rule","N/A – RULE",IF(TRIM(U642)="N/A",IF(AT642=0,"INVALID – N/A not permitted for this check",IF(AND(TRIM(AB642)&lt;&gt;"",TRIM(AB642)&lt;&gt;"Closed"),"INVALID – corrective action still open",IF(AND(NOT(OR(LEN(AZ642)&lt;15,ISNUMBER(MATCH(AZ642,L_Placeholder,0)))),NOT(OR(LEN(AU642)&lt;2,ISNUMBER(MATCH(AU642,L_Placeholder,0)))),NOT(OR(LEN(AX642)&lt;2,ISNUMBER(MATCH(AX642,L_Placeholder,0)))),TRIM(AE642)&lt;&gt;TRIM(T642)),"N/A – JUSTIFIED","INVALID – N/A needs a real justification (15+ chars), PIC and a different verifier"))),IF(OR(TRIM(U642)="Pass",TRIM(U642)="Pass after CA"),IF(NOT(ISNUMBER(AD642)),"INVALID – completion time missing",IF(OR(LEN(AU642)&lt;2,ISNUMBER(MATCH(AU642,L_Placeholder,0))),"INVALID – PIC missing",IF(OR(LEN(AV642)&lt;2,ISNUMBER(MATCH(AV642,L_Placeholder,0))),"INVALID – result / assessment missing",IF(OR(OR(LEN(AW642)&lt;3,ISNUMBER(MATCH(AW642,L_Placeholder,0))),SUMPRODUCT(--ISNUMBER(SEARCH(L_EvidencePhrase,AW642)))&gt;0),"INVALID – evidence missing, placeholder or not yet on file",IF(OR(LEN(AX642)&lt;2,ISNUMBER(MATCH(AX642,L_Placeholder,0))),"INVALID – verifier missing",IF(AX642=AU642,"INVALID – verifier must be someone other than the PIC",IF(AND(TRIM(U642)="Pass",SUMPRODUCT(--ISNUMBER(SEARCH(L_ResultBad,AV642)))&gt;0),"INVALID – result describes a problem: use Fail, then Pass after CA",IF(AND(AQ642=1,OR(LEN(AY642)&lt;3,ISNUMBER(MATCH(AY642,L_Placeholder,0)))),"INVALID – batch ID missing or placeholder",IF(AND(AR642=1,OR(NOT(ISNUMBER(X642)),NOT(ISNUMBER(Y642)))),"INVALID – expected/actual qty missing",IF(AND(AR642=1,OR(X642&lt;=0,Y642&lt;0)),"INVALID – expected qty must be above 0 and actual not negative",IF(AH637="N/A – JUSTIFIED","INVALID – preparation row F19-T12-09 is N/A",IF(AND(AR642=1,ISNUMBER(X637),X642&lt;&gt;X637),"INVALID – expected qty differs from preparation check F19-T12-09",IF(BB642&lt;&gt;"",BB642,IF(AND(AS642=1,Documents!$J$23&lt;&gt;"ON FILE"),"INVALID – GLD not on file (Documents sheet)",IF(AND(AS642=2,Documents!$O$23&lt;&gt;"ON FILE"),"INVALID – menu checklist not on file (Documents sheet)",IF(AND(AS642=3,NOT(ISNUMBER(Flights!$AX$23))),"INVALID – enter carrying flight KUL departure (Flights AX)",IF(AND(AS642=3,OR(Flights!$AZ$23&gt;Flights!$AA$23,Flights!$AX$23&lt;Flights!$AA$23-3)),"INVALID – carrying flight (Flights AX) cannot arrive before this leg's STD, or is over 3 days early",IF(AG642&gt;AsOfUTC,"INVALID – completion time is in the future",IF(AND(ISNUMBER(S642),AG642&lt;S642),IF(H642="Physical uplift","INVALID – before uplift window (cannot confirm loading)","INVALID – before valid window"),IF(AG642&gt;Flights!$AA$23,"INVALID – completed after departure (cannot establish readiness)",IF(AND(H642="Preparation",AG642&gt;IF(ISNUMBER(Flights!$BA$23),MIN(Flights!$BA$23,Flights!$AA$23),Flights!$AA$23)),"INVALID – completed after loading / departure (cannot establish readiness)",IF(AND(H642="Physical uplift",AG642&gt;Q642),"INVALID – recorded after the loading flight departed",IF(AG642&gt;Q642,"COMPLETE – LATE","COMPLETE"))))))))))))))))))))))),IF(TRIM(U642)="Fail","FAIL – DISCREPANCY",IF(AND(TRIM(U642)&lt;&gt;"",TRIM(U642)&lt;&gt;"Not started",TRIM(U642)&lt;&gt;"In progress"),"INVALID – unrecognised status (use the list)",IF(AsOfUTC&gt;Q642,"OVERDUE",IF(N642="Clarification required","OPEN – CLARIFICATION","OPEN"))))))),"INVALID – error value in an input cell")</f>
        <v>OPEN</v>
      </c>
      <c r="AI642" s="61" t="n">
        <f aca="false">IF(OR(AH642="N/A – RULE",AH642="N/A – JUSTIFIED"),0,1)</f>
        <v>1</v>
      </c>
      <c r="AJ642" s="61" t="n">
        <f aca="false">IF(LEFT(AH642,8)="COMPLETE",1,0)</f>
        <v>0</v>
      </c>
      <c r="AK642" s="61" t="n">
        <f aca="false">IF(AND(AI642=1,AJ642=0,AsOfUTC&gt;Q642),1,0)</f>
        <v>0</v>
      </c>
      <c r="AL642" s="61" t="n">
        <f aca="false">IFERROR(IF(AND(AI642=1,OR(TRIM(U642)="Fail",AND(TRIM(AB642)&lt;&gt;"",TRIM(AB642)&lt;&gt;"Closed"),AND(ISNUMBER(AF642),AF642&lt;&gt;0,TRIM(U642)&lt;&gt;"Pass after CA"))),1,0),1)</f>
        <v>0</v>
      </c>
      <c r="AM642" s="61" t="n">
        <f aca="false">IF(LEFT(AH642,7)="INVALID",1,0)</f>
        <v>0</v>
      </c>
      <c r="AN642" s="61" t="n">
        <f aca="false">IF(AND(N642="Clarification required",AI642=1,AJ642=0),1,0)</f>
        <v>0</v>
      </c>
      <c r="AO642" s="61" t="str">
        <f aca="false">IF(AK642=1,SUM(AK$5:AK642),"")</f>
        <v/>
      </c>
      <c r="AP642" s="61" t="str">
        <f aca="false">IF(AL642=1,SUM(AL$5:AL642),"")</f>
        <v/>
      </c>
      <c r="AQ642" s="61" t="n">
        <v>0</v>
      </c>
      <c r="AR642" s="61" t="n">
        <v>1</v>
      </c>
      <c r="AS642" s="61" t="n">
        <v>0</v>
      </c>
      <c r="AT642" s="61" t="n">
        <v>0</v>
      </c>
      <c r="AU642" s="61" t="str">
        <f aca="false">SUBSTITUTE(SUBSTITUTE(SUBSTITUTE(SUBSTITUTE(SUBSTITUTE(SUBSTITUTE(SUBSTITUTE(SUBSTITUTE(SUBSTITUTE(SUBSTITUTE(SUBSTITUTE(SUBSTITUTE(SUBSTITUTE(LOWER(T642&amp;""),CHAR(160),"")," ",""),".",""),"-",""),"/",""),"?",""),"_",""),",",""),"[",""),"]",""),"(",""),")",""),"*","")</f>
        <v/>
      </c>
      <c r="AV642" s="61" t="str">
        <f aca="false">SUBSTITUTE(SUBSTITUTE(SUBSTITUTE(SUBSTITUTE(SUBSTITUTE(SUBSTITUTE(SUBSTITUTE(SUBSTITUTE(SUBSTITUTE(SUBSTITUTE(SUBSTITUTE(SUBSTITUTE(SUBSTITUTE(LOWER(V642&amp;""),CHAR(160),"")," ",""),".",""),"-",""),"/",""),"?",""),"_",""),",",""),"[",""),"]",""),"(",""),")",""),"*","")</f>
        <v/>
      </c>
      <c r="AW642" s="61" t="str">
        <f aca="false">SUBSTITUTE(SUBSTITUTE(SUBSTITUTE(SUBSTITUTE(SUBSTITUTE(SUBSTITUTE(SUBSTITUTE(SUBSTITUTE(SUBSTITUTE(SUBSTITUTE(SUBSTITUTE(SUBSTITUTE(SUBSTITUTE(LOWER(Z642&amp;""),CHAR(160),"")," ",""),".",""),"-",""),"/",""),"?",""),"_",""),",",""),"[",""),"]",""),"(",""),")",""),"*","")</f>
        <v/>
      </c>
      <c r="AX642" s="61" t="str">
        <f aca="false">SUBSTITUTE(SUBSTITUTE(SUBSTITUTE(SUBSTITUTE(SUBSTITUTE(SUBSTITUTE(SUBSTITUTE(SUBSTITUTE(SUBSTITUTE(SUBSTITUTE(SUBSTITUTE(SUBSTITUTE(SUBSTITUTE(LOWER(AE642&amp;""),CHAR(160),"")," ",""),".",""),"-",""),"/",""),"?",""),"_",""),",",""),"[",""),"]",""),"(",""),")",""),"*","")</f>
        <v/>
      </c>
      <c r="AY642" s="61" t="str">
        <f aca="false">SUBSTITUTE(SUBSTITUTE(SUBSTITUTE(SUBSTITUTE(SUBSTITUTE(SUBSTITUTE(SUBSTITUTE(SUBSTITUTE(SUBSTITUTE(SUBSTITUTE(SUBSTITUTE(SUBSTITUTE(SUBSTITUTE(LOWER(W642&amp;""),CHAR(160),"")," ",""),".",""),"-",""),"/",""),"?",""),"_",""),",",""),"[",""),"]",""),"(",""),")",""),"*","")</f>
        <v/>
      </c>
      <c r="AZ642" s="61" t="str">
        <f aca="false">SUBSTITUTE(SUBSTITUTE(SUBSTITUTE(SUBSTITUTE(SUBSTITUTE(SUBSTITUTE(SUBSTITUTE(SUBSTITUTE(SUBSTITUTE(SUBSTITUTE(SUBSTITUTE(SUBSTITUTE(SUBSTITUTE(LOWER(AC642&amp;""),CHAR(160),"")," ",""),".",""),"-",""),"/",""),"?",""),"_",""),",",""),"[",""),"]",""),"(",""),")",""),"*","")</f>
        <v/>
      </c>
      <c r="BA642" s="61" t="str">
        <f aca="false">SUBSTITUTE(SUBSTITUTE(SUBSTITUTE(SUBSTITUTE(SUBSTITUTE(SUBSTITUTE(SUBSTITUTE(SUBSTITUTE(SUBSTITUTE(SUBSTITUTE(SUBSTITUTE(SUBSTITUTE(SUBSTITUTE(LOWER(AA642&amp;""),CHAR(160),"")," ",""),".",""),"-",""),"/",""),"?",""),"_",""),",",""),"[",""),"]",""),"(",""),")",""),"*","")</f>
        <v/>
      </c>
      <c r="BB642" s="61" t="str">
        <f aca="false">IF(AND(TRIM(U642)="Pass",ISNUMBER(AF642)),IF(AF642&lt;&gt;0,"INVALID – qty variance: use Fail or Pass after CA",""),"")&amp;IF(AND(TRIM(U642)="Pass after CA",ISNUMBER(AF642)),IF(AF642&lt;&gt;0,"INVALID – after the corrective action the actual qty must equal expected (update Actual)",""),"")&amp;IF(AND(TRIM(U642)="Pass",TRIM(AB642)&lt;&gt;"",TRIM(AB642)&lt;&gt;"Closed"),"INVALID – corrective action not closed: use Fail, then Pass after CA","")&amp;IF(AND(TRIM(AA642)&lt;&gt;"",TRIM(AB642)=""),"INVALID – CA status missing for the recorded corrective action","")&amp;IF(AND(TRIM(U642)="Pass after CA",OR(OR(LEN(BA642)&lt;5,ISNUMBER(MATCH(BA642,L_Placeholder,0))),TRIM(AB642)&lt;&gt;"Closed")),"INVALID – corrective action not recorded/closed","")</f>
        <v/>
      </c>
    </row>
    <row r="643" customFormat="false" ht="54" hidden="false" customHeight="true" outlineLevel="0" collapsed="false">
      <c r="A643" s="57" t="s">
        <v>1338</v>
      </c>
      <c r="B643" s="57" t="s">
        <v>298</v>
      </c>
      <c r="C643" s="57" t="str">
        <f aca="false">Flights!$F$23</f>
        <v>MH0053</v>
      </c>
      <c r="D643" s="58" t="n">
        <f aca="false">Flights!$D$23</f>
        <v>46324</v>
      </c>
      <c r="E643" s="57" t="str">
        <f aca="false">Flights!$G$23&amp;"-"&amp;Flights!$H$23</f>
        <v>KIX-KUL</v>
      </c>
      <c r="F643" s="57" t="str">
        <f aca="false">Flights!$K$23</f>
        <v>EY</v>
      </c>
      <c r="G643" s="57" t="s">
        <v>437</v>
      </c>
      <c r="H643" s="57" t="s">
        <v>438</v>
      </c>
      <c r="I643" s="57" t="s">
        <v>612</v>
      </c>
      <c r="J643" s="57" t="s">
        <v>637</v>
      </c>
      <c r="K643" s="67" t="s">
        <v>1288</v>
      </c>
      <c r="L643" s="67" t="s">
        <v>1289</v>
      </c>
      <c r="M643" s="67" t="s">
        <v>429</v>
      </c>
      <c r="N643" s="67" t="s">
        <v>422</v>
      </c>
      <c r="O643" s="67" t="s">
        <v>1339</v>
      </c>
      <c r="P643" s="57" t="s">
        <v>292</v>
      </c>
      <c r="Q643" s="59" t="n">
        <f aca="false">ROUND((Flights!$AF$23)*1440,0)/1440</f>
        <v>46324.0277777778</v>
      </c>
      <c r="R643" s="59" t="n">
        <f aca="false">Q643+(IF(AND(INDEX(TZ_DSTS,MATCH(P643,TZ_STN,0))&lt;&gt;"",Q643&gt;=INDEX(TZ_DSTS,MATCH(P643,TZ_STN,0)),Q643&lt;INDEX(TZ_DSTE,MATCH(P643,TZ_STN,0))),INDEX(TZ_DST,MATCH(P643,TZ_STN,0)),INDEX(TZ_STD,MATCH(P643,TZ_STN,0))))/24</f>
        <v>46324.4027777778</v>
      </c>
      <c r="S643" s="59" t="n">
        <f aca="false">IF(ISNUMBER(Flights!$AZ$23),MAX(Q643-UpliftWindowH/24,Flights!$AZ$23),Q643-UpliftWindowH/24)</f>
        <v>46323.7777777778</v>
      </c>
      <c r="T643" s="60"/>
      <c r="U643" s="60"/>
      <c r="V643" s="60"/>
      <c r="W643" s="61"/>
      <c r="X643" s="60"/>
      <c r="Y643" s="60"/>
      <c r="Z643" s="60"/>
      <c r="AA643" s="60"/>
      <c r="AB643" s="60"/>
      <c r="AC643" s="60"/>
      <c r="AD643" s="66"/>
      <c r="AE643" s="60"/>
      <c r="AF643" s="61" t="str">
        <f aca="false">IF(AND(ISNUMBER(X643),ISNUMBER(Y643)),Y643-X643,"")</f>
        <v/>
      </c>
      <c r="AG643" s="62" t="str">
        <f aca="false">IF(ISNUMBER(AD643),AD643-(IF(AND(INDEX(TZ_DSTS,MATCH(P643,TZ_STN,0))&lt;&gt;"",(AD643-INDEX(TZ_STD,MATCH(P643,TZ_STN,0))/24)&gt;=INDEX(TZ_DSTS,MATCH(P643,TZ_STN,0)),(AD643-INDEX(TZ_STD,MATCH(P643,TZ_STN,0))/24)&lt;INDEX(TZ_DSTE,MATCH(P643,TZ_STN,0))),INDEX(TZ_DST,MATCH(P643,TZ_STN,0)),INDEX(TZ_STD,MATCH(P643,TZ_STN,0))))/24,"")</f>
        <v/>
      </c>
      <c r="AH643" s="65" t="str">
        <f aca="false">IFERROR(IF(N643="N/A – rule","N/A – RULE",IF(TRIM(U643)="N/A",IF(AT643=0,"INVALID – N/A not permitted for this check",IF(AND(TRIM(AB643)&lt;&gt;"",TRIM(AB643)&lt;&gt;"Closed"),"INVALID – corrective action still open",IF(AND(NOT(OR(LEN(AZ643)&lt;15,ISNUMBER(MATCH(AZ643,L_Placeholder,0)))),NOT(OR(LEN(AU643)&lt;2,ISNUMBER(MATCH(AU643,L_Placeholder,0)))),NOT(OR(LEN(AX643)&lt;2,ISNUMBER(MATCH(AX643,L_Placeholder,0)))),TRIM(AE643)&lt;&gt;TRIM(T643)),"N/A – JUSTIFIED","INVALID – N/A needs a real justification (15+ chars), PIC and a different verifier"))),IF(OR(TRIM(U643)="Pass",TRIM(U643)="Pass after CA"),IF(NOT(ISNUMBER(AD643)),"INVALID – completion time missing",IF(OR(LEN(AU643)&lt;2,ISNUMBER(MATCH(AU643,L_Placeholder,0))),"INVALID – PIC missing",IF(OR(LEN(AV643)&lt;2,ISNUMBER(MATCH(AV643,L_Placeholder,0))),"INVALID – result / assessment missing",IF(OR(OR(LEN(AW643)&lt;3,ISNUMBER(MATCH(AW643,L_Placeholder,0))),SUMPRODUCT(--ISNUMBER(SEARCH(L_EvidencePhrase,AW643)))&gt;0),"INVALID – evidence missing, placeholder or not yet on file",IF(OR(LEN(AX643)&lt;2,ISNUMBER(MATCH(AX643,L_Placeholder,0))),"INVALID – verifier missing",IF(AX643=AU643,"INVALID – verifier must be someone other than the PIC",IF(AND(TRIM(U643)="Pass",SUMPRODUCT(--ISNUMBER(SEARCH(L_ResultBad,AV643)))&gt;0),"INVALID – result describes a problem: use Fail, then Pass after CA",IF(AND(AQ643=1,OR(LEN(AY643)&lt;3,ISNUMBER(MATCH(AY643,L_Placeholder,0)))),"INVALID – batch ID missing or placeholder",IF(AND(AR643=1,OR(NOT(ISNUMBER(X643)),NOT(ISNUMBER(Y643)))),"INVALID – expected/actual qty missing",IF(AND(AR643=1,OR(X643&lt;=0,Y643&lt;0)),"INVALID – expected qty must be above 0 and actual not negative",IF(AH638="N/A – JUSTIFIED","INVALID – preparation row F19-T12-10 is N/A",IF(AND(AR643=1,ISNUMBER(X638),X643&lt;&gt;X638),"INVALID – expected qty differs from preparation check F19-T12-10",IF(BB643&lt;&gt;"",BB643,IF(AND(AS643=1,Documents!$J$23&lt;&gt;"ON FILE"),"INVALID – GLD not on file (Documents sheet)",IF(AND(AS643=2,Documents!$O$23&lt;&gt;"ON FILE"),"INVALID – menu checklist not on file (Documents sheet)",IF(AND(AS643=3,NOT(ISNUMBER(Flights!$AX$23))),"INVALID – enter carrying flight KUL departure (Flights AX)",IF(AND(AS643=3,OR(Flights!$AZ$23&gt;Flights!$AA$23,Flights!$AX$23&lt;Flights!$AA$23-3)),"INVALID – carrying flight (Flights AX) cannot arrive before this leg's STD, or is over 3 days early",IF(AG643&gt;AsOfUTC,"INVALID – completion time is in the future",IF(AND(ISNUMBER(S643),AG643&lt;S643),IF(H643="Physical uplift","INVALID – before uplift window (cannot confirm loading)","INVALID – before valid window"),IF(AG643&gt;Flights!$AA$23,"INVALID – completed after departure (cannot establish readiness)",IF(AND(H643="Preparation",AG643&gt;IF(ISNUMBER(Flights!$BA$23),MIN(Flights!$BA$23,Flights!$AA$23),Flights!$AA$23)),"INVALID – completed after loading / departure (cannot establish readiness)",IF(AND(H643="Physical uplift",AG643&gt;Q643),"INVALID – recorded after the loading flight departed",IF(AG643&gt;Q643,"COMPLETE – LATE","COMPLETE"))))))))))))))))))))))),IF(TRIM(U643)="Fail","FAIL – DISCREPANCY",IF(AND(TRIM(U643)&lt;&gt;"",TRIM(U643)&lt;&gt;"Not started",TRIM(U643)&lt;&gt;"In progress"),"INVALID – unrecognised status (use the list)",IF(AsOfUTC&gt;Q643,"OVERDUE",IF(N643="Clarification required","OPEN – CLARIFICATION","OPEN"))))))),"INVALID – error value in an input cell")</f>
        <v>OPEN – CLARIFICATION</v>
      </c>
      <c r="AI643" s="61" t="n">
        <f aca="false">IF(OR(AH643="N/A – RULE",AH643="N/A – JUSTIFIED"),0,1)</f>
        <v>1</v>
      </c>
      <c r="AJ643" s="61" t="n">
        <f aca="false">IF(LEFT(AH643,8)="COMPLETE",1,0)</f>
        <v>0</v>
      </c>
      <c r="AK643" s="61" t="n">
        <f aca="false">IF(AND(AI643=1,AJ643=0,AsOfUTC&gt;Q643),1,0)</f>
        <v>0</v>
      </c>
      <c r="AL643" s="61" t="n">
        <f aca="false">IFERROR(IF(AND(AI643=1,OR(TRIM(U643)="Fail",AND(TRIM(AB643)&lt;&gt;"",TRIM(AB643)&lt;&gt;"Closed"),AND(ISNUMBER(AF643),AF643&lt;&gt;0,TRIM(U643)&lt;&gt;"Pass after CA"))),1,0),1)</f>
        <v>0</v>
      </c>
      <c r="AM643" s="61" t="n">
        <f aca="false">IF(LEFT(AH643,7)="INVALID",1,0)</f>
        <v>0</v>
      </c>
      <c r="AN643" s="61" t="n">
        <f aca="false">IF(AND(N643="Clarification required",AI643=1,AJ643=0),1,0)</f>
        <v>1</v>
      </c>
      <c r="AO643" s="61" t="str">
        <f aca="false">IF(AK643=1,SUM(AK$5:AK643),"")</f>
        <v/>
      </c>
      <c r="AP643" s="61" t="str">
        <f aca="false">IF(AL643=1,SUM(AL$5:AL643),"")</f>
        <v/>
      </c>
      <c r="AQ643" s="61" t="n">
        <v>0</v>
      </c>
      <c r="AR643" s="61" t="n">
        <v>0</v>
      </c>
      <c r="AS643" s="61" t="n">
        <v>0</v>
      </c>
      <c r="AT643" s="61" t="n">
        <v>1</v>
      </c>
      <c r="AU643" s="61" t="str">
        <f aca="false">SUBSTITUTE(SUBSTITUTE(SUBSTITUTE(SUBSTITUTE(SUBSTITUTE(SUBSTITUTE(SUBSTITUTE(SUBSTITUTE(SUBSTITUTE(SUBSTITUTE(SUBSTITUTE(SUBSTITUTE(SUBSTITUTE(LOWER(T643&amp;""),CHAR(160),"")," ",""),".",""),"-",""),"/",""),"?",""),"_",""),",",""),"[",""),"]",""),"(",""),")",""),"*","")</f>
        <v/>
      </c>
      <c r="AV643" s="61" t="str">
        <f aca="false">SUBSTITUTE(SUBSTITUTE(SUBSTITUTE(SUBSTITUTE(SUBSTITUTE(SUBSTITUTE(SUBSTITUTE(SUBSTITUTE(SUBSTITUTE(SUBSTITUTE(SUBSTITUTE(SUBSTITUTE(SUBSTITUTE(LOWER(V643&amp;""),CHAR(160),"")," ",""),".",""),"-",""),"/",""),"?",""),"_",""),",",""),"[",""),"]",""),"(",""),")",""),"*","")</f>
        <v/>
      </c>
      <c r="AW643" s="61" t="str">
        <f aca="false">SUBSTITUTE(SUBSTITUTE(SUBSTITUTE(SUBSTITUTE(SUBSTITUTE(SUBSTITUTE(SUBSTITUTE(SUBSTITUTE(SUBSTITUTE(SUBSTITUTE(SUBSTITUTE(SUBSTITUTE(SUBSTITUTE(LOWER(Z643&amp;""),CHAR(160),"")," ",""),".",""),"-",""),"/",""),"?",""),"_",""),",",""),"[",""),"]",""),"(",""),")",""),"*","")</f>
        <v/>
      </c>
      <c r="AX643" s="61" t="str">
        <f aca="false">SUBSTITUTE(SUBSTITUTE(SUBSTITUTE(SUBSTITUTE(SUBSTITUTE(SUBSTITUTE(SUBSTITUTE(SUBSTITUTE(SUBSTITUTE(SUBSTITUTE(SUBSTITUTE(SUBSTITUTE(SUBSTITUTE(LOWER(AE643&amp;""),CHAR(160),"")," ",""),".",""),"-",""),"/",""),"?",""),"_",""),",",""),"[",""),"]",""),"(",""),")",""),"*","")</f>
        <v/>
      </c>
      <c r="AY643" s="61" t="str">
        <f aca="false">SUBSTITUTE(SUBSTITUTE(SUBSTITUTE(SUBSTITUTE(SUBSTITUTE(SUBSTITUTE(SUBSTITUTE(SUBSTITUTE(SUBSTITUTE(SUBSTITUTE(SUBSTITUTE(SUBSTITUTE(SUBSTITUTE(LOWER(W643&amp;""),CHAR(160),"")," ",""),".",""),"-",""),"/",""),"?",""),"_",""),",",""),"[",""),"]",""),"(",""),")",""),"*","")</f>
        <v/>
      </c>
      <c r="AZ643" s="61" t="str">
        <f aca="false">SUBSTITUTE(SUBSTITUTE(SUBSTITUTE(SUBSTITUTE(SUBSTITUTE(SUBSTITUTE(SUBSTITUTE(SUBSTITUTE(SUBSTITUTE(SUBSTITUTE(SUBSTITUTE(SUBSTITUTE(SUBSTITUTE(LOWER(AC643&amp;""),CHAR(160),"")," ",""),".",""),"-",""),"/",""),"?",""),"_",""),",",""),"[",""),"]",""),"(",""),")",""),"*","")</f>
        <v/>
      </c>
      <c r="BA643" s="61" t="str">
        <f aca="false">SUBSTITUTE(SUBSTITUTE(SUBSTITUTE(SUBSTITUTE(SUBSTITUTE(SUBSTITUTE(SUBSTITUTE(SUBSTITUTE(SUBSTITUTE(SUBSTITUTE(SUBSTITUTE(SUBSTITUTE(SUBSTITUTE(LOWER(AA643&amp;""),CHAR(160),"")," ",""),".",""),"-",""),"/",""),"?",""),"_",""),",",""),"[",""),"]",""),"(",""),")",""),"*","")</f>
        <v/>
      </c>
      <c r="BB643" s="61" t="str">
        <f aca="false">IF(AND(TRIM(U643)="Pass",ISNUMBER(AF643)),IF(AF643&lt;&gt;0,"INVALID – qty variance: use Fail or Pass after CA",""),"")&amp;IF(AND(TRIM(U643)="Pass after CA",ISNUMBER(AF643)),IF(AF643&lt;&gt;0,"INVALID – after the corrective action the actual qty must equal expected (update Actual)",""),"")&amp;IF(AND(TRIM(U643)="Pass",TRIM(AB643)&lt;&gt;"",TRIM(AB643)&lt;&gt;"Closed"),"INVALID – corrective action not closed: use Fail, then Pass after CA","")&amp;IF(AND(TRIM(AA643)&lt;&gt;"",TRIM(AB643)=""),"INVALID – CA status missing for the recorded corrective action","")&amp;IF(AND(TRIM(U643)="Pass after CA",OR(OR(LEN(BA643)&lt;5,ISNUMBER(MATCH(BA643,L_Placeholder,0))),TRIM(AB643)&lt;&gt;"Closed")),"INVALID – corrective action not recorded/closed","")</f>
        <v/>
      </c>
    </row>
    <row r="644" customFormat="false" ht="39.75" hidden="false" customHeight="true" outlineLevel="0" collapsed="false">
      <c r="A644" s="57" t="s">
        <v>1340</v>
      </c>
      <c r="B644" s="57" t="s">
        <v>301</v>
      </c>
      <c r="C644" s="57" t="str">
        <f aca="false">Flights!$F$24</f>
        <v>MH1450</v>
      </c>
      <c r="D644" s="58" t="n">
        <f aca="false">Flights!$D$24</f>
        <v>46324</v>
      </c>
      <c r="E644" s="57" t="str">
        <f aca="false">Flights!$G$24&amp;"-"&amp;Flights!$H$24</f>
        <v>KUL-LGK</v>
      </c>
      <c r="F644" s="57" t="str">
        <f aca="false">Flights!$K$24</f>
        <v>EY</v>
      </c>
      <c r="G644" s="57" t="s">
        <v>79</v>
      </c>
      <c r="H644" s="57" t="s">
        <v>356</v>
      </c>
      <c r="I644" s="57" t="s">
        <v>357</v>
      </c>
      <c r="J644" s="57" t="s">
        <v>358</v>
      </c>
      <c r="K644" s="67" t="s">
        <v>359</v>
      </c>
      <c r="L644" s="67" t="s">
        <v>360</v>
      </c>
      <c r="M644" s="67"/>
      <c r="N644" s="67" t="s">
        <v>361</v>
      </c>
      <c r="O644" s="67" t="s">
        <v>890</v>
      </c>
      <c r="P644" s="57" t="s">
        <v>184</v>
      </c>
      <c r="Q644" s="59" t="n">
        <f aca="false">ROUND((Flights!$AC$24)*1440,0)/1440</f>
        <v>46317.4375</v>
      </c>
      <c r="R644" s="59" t="n">
        <f aca="false">Q644+(IF(AND(INDEX(TZ_DSTS,MATCH(P644,TZ_STN,0))&lt;&gt;"",Q644&gt;=INDEX(TZ_DSTS,MATCH(P644,TZ_STN,0)),Q644&lt;INDEX(TZ_DSTE,MATCH(P644,TZ_STN,0))),INDEX(TZ_DST,MATCH(P644,TZ_STN,0)),INDEX(TZ_STD,MATCH(P644,TZ_STN,0))))/24</f>
        <v>46317.7708333333</v>
      </c>
      <c r="S644" s="59" t="n">
        <f aca="false">Q644-T7EarlyD*24/24</f>
        <v>46303.4375</v>
      </c>
      <c r="T644" s="60"/>
      <c r="U644" s="60"/>
      <c r="V644" s="60"/>
      <c r="W644" s="61"/>
      <c r="X644" s="60"/>
      <c r="Y644" s="60"/>
      <c r="Z644" s="60"/>
      <c r="AA644" s="60"/>
      <c r="AB644" s="60"/>
      <c r="AC644" s="60"/>
      <c r="AD644" s="66"/>
      <c r="AE644" s="60"/>
      <c r="AF644" s="61" t="str">
        <f aca="false">IF(AND(ISNUMBER(X644),ISNUMBER(Y644)),Y644-X644,"")</f>
        <v/>
      </c>
      <c r="AG644" s="62" t="str">
        <f aca="false">IF(ISNUMBER(AD644),AD644-(IF(AND(INDEX(TZ_DSTS,MATCH(P644,TZ_STN,0))&lt;&gt;"",(AD644-INDEX(TZ_STD,MATCH(P644,TZ_STN,0))/24)&gt;=INDEX(TZ_DSTS,MATCH(P644,TZ_STN,0)),(AD644-INDEX(TZ_STD,MATCH(P644,TZ_STN,0))/24)&lt;INDEX(TZ_DSTE,MATCH(P644,TZ_STN,0))),INDEX(TZ_DST,MATCH(P644,TZ_STN,0)),INDEX(TZ_STD,MATCH(P644,TZ_STN,0))))/24,"")</f>
        <v/>
      </c>
      <c r="AH644" s="65" t="str">
        <f aca="false">IFERROR(IF(N644="N/A – rule","N/A – RULE",IF(TRIM(U644)="N/A",IF(AT644=0,"INVALID – N/A not permitted for this check",IF(AND(TRIM(AB644)&lt;&gt;"",TRIM(AB644)&lt;&gt;"Closed"),"INVALID – corrective action still open",IF(AND(NOT(OR(LEN(AZ644)&lt;15,ISNUMBER(MATCH(AZ644,L_Placeholder,0)))),NOT(OR(LEN(AU644)&lt;2,ISNUMBER(MATCH(AU644,L_Placeholder,0)))),NOT(OR(LEN(AX644)&lt;2,ISNUMBER(MATCH(AX644,L_Placeholder,0)))),TRIM(AE644)&lt;&gt;TRIM(T644)),"N/A – JUSTIFIED","INVALID – N/A needs a real justification (15+ chars), PIC and a different verifier"))),IF(OR(TRIM(U644)="Pass",TRIM(U644)="Pass after CA"),IF(NOT(ISNUMBER(AD644)),"INVALID – completion time missing",IF(OR(LEN(AU644)&lt;2,ISNUMBER(MATCH(AU644,L_Placeholder,0))),"INVALID – PIC missing",IF(OR(LEN(AV644)&lt;2,ISNUMBER(MATCH(AV644,L_Placeholder,0))),"INVALID – result / assessment missing",IF(OR(OR(LEN(AW644)&lt;3,ISNUMBER(MATCH(AW644,L_Placeholder,0))),SUMPRODUCT(--ISNUMBER(SEARCH(L_EvidencePhrase,AW644)))&gt;0),"INVALID – evidence missing, placeholder or not yet on file",IF(OR(LEN(AX644)&lt;2,ISNUMBER(MATCH(AX644,L_Placeholder,0))),"INVALID – verifier missing",IF(AX644=AU644,"INVALID – verifier must be someone other than the PIC",IF(AND(TRIM(U644)="Pass",SUMPRODUCT(--ISNUMBER(SEARCH(L_ResultBad,AV644)))&gt;0),"INVALID – result describes a problem: use Fail, then Pass after CA",IF(AND(AQ644=1,OR(LEN(AY644)&lt;3,ISNUMBER(MATCH(AY644,L_Placeholder,0)))),"INVALID – batch ID missing or placeholder",IF(AND(AR644=1,OR(NOT(ISNUMBER(X644)),NOT(ISNUMBER(Y644)))),"INVALID – expected/actual qty missing",IF(AND(AR644=1,OR(X644&lt;=0,Y644&lt;0)),"INVALID – expected qty must be above 0 and actual not negative",IF(BB644&lt;&gt;"",BB644,IF(AND(AS644=1,Documents!$J$24&lt;&gt;"ON FILE"),"INVALID – GLD not on file (Documents sheet)",IF(AND(AS644=2,Documents!$O$24&lt;&gt;"ON FILE"),"INVALID – menu checklist not on file (Documents sheet)",IF(AND(AS644=3,NOT(ISNUMBER(Flights!$AX$24))),"INVALID – enter carrying flight KUL departure (Flights AX)",IF(AND(AS644=3,OR(Flights!$AZ$24&gt;Flights!$AA$24,Flights!$AX$24&lt;Flights!$AA$24-3)),"INVALID – carrying flight (Flights AX) cannot arrive before this leg's STD, or is over 3 days early",IF(AG644&gt;AsOfUTC,"INVALID – completion time is in the future",IF(AND(ISNUMBER(S644),AG644&lt;S644),IF(H644="Physical uplift","INVALID – before uplift window (cannot confirm loading)","INVALID – before valid window"),IF(AG644&gt;Flights!$AA$24,"INVALID – completed after departure (cannot establish readiness)",IF(AND(H644="Preparation",AG644&gt;IF(ISNUMBER(Flights!$BA$24),MIN(Flights!$BA$24,Flights!$AA$24),Flights!$AA$24)),"INVALID – completed after loading / departure (cannot establish readiness)",IF(AND(H644="Physical uplift",AG644&gt;Q644),"INVALID – recorded after the loading flight departed",IF(AG644&gt;Q644,"COMPLETE – LATE","COMPLETE"))))))))))))))))))))),IF(TRIM(U644)="Fail","FAIL – DISCREPANCY",IF(AND(TRIM(U644)&lt;&gt;"",TRIM(U644)&lt;&gt;"Not started",TRIM(U644)&lt;&gt;"In progress"),"INVALID – unrecognised status (use the list)",IF(AsOfUTC&gt;Q644,"OVERDUE",IF(N644="Clarification required","OPEN – CLARIFICATION","OPEN"))))))),"INVALID – error value in an input cell")</f>
        <v>OPEN</v>
      </c>
      <c r="AI644" s="61" t="n">
        <f aca="false">IF(OR(AH644="N/A – RULE",AH644="N/A – JUSTIFIED"),0,1)</f>
        <v>1</v>
      </c>
      <c r="AJ644" s="61" t="n">
        <f aca="false">IF(LEFT(AH644,8)="COMPLETE",1,0)</f>
        <v>0</v>
      </c>
      <c r="AK644" s="61" t="n">
        <f aca="false">IF(AND(AI644=1,AJ644=0,AsOfUTC&gt;Q644),1,0)</f>
        <v>0</v>
      </c>
      <c r="AL644" s="61" t="n">
        <f aca="false">IFERROR(IF(AND(AI644=1,OR(TRIM(U644)="Fail",AND(TRIM(AB644)&lt;&gt;"",TRIM(AB644)&lt;&gt;"Closed"),AND(ISNUMBER(AF644),AF644&lt;&gt;0,TRIM(U644)&lt;&gt;"Pass after CA"))),1,0),1)</f>
        <v>0</v>
      </c>
      <c r="AM644" s="61" t="n">
        <f aca="false">IF(LEFT(AH644,7)="INVALID",1,0)</f>
        <v>0</v>
      </c>
      <c r="AN644" s="61" t="n">
        <f aca="false">IF(AND(N644="Clarification required",AI644=1,AJ644=0),1,0)</f>
        <v>0</v>
      </c>
      <c r="AO644" s="61" t="str">
        <f aca="false">IF(AK644=1,SUM(AK$5:AK644),"")</f>
        <v/>
      </c>
      <c r="AP644" s="61" t="str">
        <f aca="false">IF(AL644=1,SUM(AL$5:AL644),"")</f>
        <v/>
      </c>
      <c r="AQ644" s="61" t="n">
        <v>0</v>
      </c>
      <c r="AR644" s="61" t="n">
        <v>0</v>
      </c>
      <c r="AS644" s="61" t="n">
        <v>0</v>
      </c>
      <c r="AT644" s="61" t="n">
        <v>0</v>
      </c>
      <c r="AU644" s="61" t="str">
        <f aca="false">SUBSTITUTE(SUBSTITUTE(SUBSTITUTE(SUBSTITUTE(SUBSTITUTE(SUBSTITUTE(SUBSTITUTE(SUBSTITUTE(SUBSTITUTE(SUBSTITUTE(SUBSTITUTE(SUBSTITUTE(SUBSTITUTE(LOWER(T644&amp;""),CHAR(160),"")," ",""),".",""),"-",""),"/",""),"?",""),"_",""),",",""),"[",""),"]",""),"(",""),")",""),"*","")</f>
        <v/>
      </c>
      <c r="AV644" s="61" t="str">
        <f aca="false">SUBSTITUTE(SUBSTITUTE(SUBSTITUTE(SUBSTITUTE(SUBSTITUTE(SUBSTITUTE(SUBSTITUTE(SUBSTITUTE(SUBSTITUTE(SUBSTITUTE(SUBSTITUTE(SUBSTITUTE(SUBSTITUTE(LOWER(V644&amp;""),CHAR(160),"")," ",""),".",""),"-",""),"/",""),"?",""),"_",""),",",""),"[",""),"]",""),"(",""),")",""),"*","")</f>
        <v/>
      </c>
      <c r="AW644" s="61" t="str">
        <f aca="false">SUBSTITUTE(SUBSTITUTE(SUBSTITUTE(SUBSTITUTE(SUBSTITUTE(SUBSTITUTE(SUBSTITUTE(SUBSTITUTE(SUBSTITUTE(SUBSTITUTE(SUBSTITUTE(SUBSTITUTE(SUBSTITUTE(LOWER(Z644&amp;""),CHAR(160),"")," ",""),".",""),"-",""),"/",""),"?",""),"_",""),",",""),"[",""),"]",""),"(",""),")",""),"*","")</f>
        <v/>
      </c>
      <c r="AX644" s="61" t="str">
        <f aca="false">SUBSTITUTE(SUBSTITUTE(SUBSTITUTE(SUBSTITUTE(SUBSTITUTE(SUBSTITUTE(SUBSTITUTE(SUBSTITUTE(SUBSTITUTE(SUBSTITUTE(SUBSTITUTE(SUBSTITUTE(SUBSTITUTE(LOWER(AE644&amp;""),CHAR(160),"")," ",""),".",""),"-",""),"/",""),"?",""),"_",""),",",""),"[",""),"]",""),"(",""),")",""),"*","")</f>
        <v/>
      </c>
      <c r="AY644" s="61" t="str">
        <f aca="false">SUBSTITUTE(SUBSTITUTE(SUBSTITUTE(SUBSTITUTE(SUBSTITUTE(SUBSTITUTE(SUBSTITUTE(SUBSTITUTE(SUBSTITUTE(SUBSTITUTE(SUBSTITUTE(SUBSTITUTE(SUBSTITUTE(LOWER(W644&amp;""),CHAR(160),"")," ",""),".",""),"-",""),"/",""),"?",""),"_",""),",",""),"[",""),"]",""),"(",""),")",""),"*","")</f>
        <v/>
      </c>
      <c r="AZ644" s="61" t="str">
        <f aca="false">SUBSTITUTE(SUBSTITUTE(SUBSTITUTE(SUBSTITUTE(SUBSTITUTE(SUBSTITUTE(SUBSTITUTE(SUBSTITUTE(SUBSTITUTE(SUBSTITUTE(SUBSTITUTE(SUBSTITUTE(SUBSTITUTE(LOWER(AC644&amp;""),CHAR(160),"")," ",""),".",""),"-",""),"/",""),"?",""),"_",""),",",""),"[",""),"]",""),"(",""),")",""),"*","")</f>
        <v/>
      </c>
      <c r="BA644" s="61" t="str">
        <f aca="false">SUBSTITUTE(SUBSTITUTE(SUBSTITUTE(SUBSTITUTE(SUBSTITUTE(SUBSTITUTE(SUBSTITUTE(SUBSTITUTE(SUBSTITUTE(SUBSTITUTE(SUBSTITUTE(SUBSTITUTE(SUBSTITUTE(LOWER(AA644&amp;""),CHAR(160),"")," ",""),".",""),"-",""),"/",""),"?",""),"_",""),",",""),"[",""),"]",""),"(",""),")",""),"*","")</f>
        <v/>
      </c>
      <c r="BB644" s="61" t="str">
        <f aca="false">IF(AND(TRIM(U644)="Pass",ISNUMBER(AF644)),IF(AF644&lt;&gt;0,"INVALID – qty variance: use Fail or Pass after CA",""),"")&amp;IF(AND(TRIM(U644)="Pass after CA",ISNUMBER(AF644)),IF(AF644&lt;&gt;0,"INVALID – after the corrective action the actual qty must equal expected (update Actual)",""),"")&amp;IF(AND(TRIM(U644)="Pass",TRIM(AB644)&lt;&gt;"",TRIM(AB644)&lt;&gt;"Closed"),"INVALID – corrective action not closed: use Fail, then Pass after CA","")&amp;IF(AND(TRIM(AA644)&lt;&gt;"",TRIM(AB644)=""),"INVALID – CA status missing for the recorded corrective action","")&amp;IF(AND(TRIM(U644)="Pass after CA",OR(OR(LEN(BA644)&lt;5,ISNUMBER(MATCH(BA644,L_Placeholder,0))),TRIM(AB644)&lt;&gt;"Closed")),"INVALID – corrective action not recorded/closed","")</f>
        <v/>
      </c>
    </row>
    <row r="645" customFormat="false" ht="41.25" hidden="false" customHeight="true" outlineLevel="0" collapsed="false">
      <c r="A645" s="57" t="s">
        <v>1341</v>
      </c>
      <c r="B645" s="57" t="s">
        <v>301</v>
      </c>
      <c r="C645" s="57" t="str">
        <f aca="false">Flights!$F$24</f>
        <v>MH1450</v>
      </c>
      <c r="D645" s="58" t="n">
        <f aca="false">Flights!$D$24</f>
        <v>46324</v>
      </c>
      <c r="E645" s="57" t="str">
        <f aca="false">Flights!$G$24&amp;"-"&amp;Flights!$H$24</f>
        <v>KUL-LGK</v>
      </c>
      <c r="F645" s="57" t="str">
        <f aca="false">Flights!$K$24</f>
        <v>EY</v>
      </c>
      <c r="G645" s="57" t="s">
        <v>79</v>
      </c>
      <c r="H645" s="57" t="s">
        <v>356</v>
      </c>
      <c r="I645" s="57" t="s">
        <v>363</v>
      </c>
      <c r="J645" s="57" t="s">
        <v>364</v>
      </c>
      <c r="K645" s="67" t="s">
        <v>365</v>
      </c>
      <c r="L645" s="67" t="s">
        <v>360</v>
      </c>
      <c r="M645" s="67"/>
      <c r="N645" s="67" t="s">
        <v>361</v>
      </c>
      <c r="O645" s="67" t="s">
        <v>892</v>
      </c>
      <c r="P645" s="57" t="s">
        <v>184</v>
      </c>
      <c r="Q645" s="59" t="n">
        <f aca="false">ROUND((Flights!$AC$24)*1440,0)/1440</f>
        <v>46317.4375</v>
      </c>
      <c r="R645" s="59" t="n">
        <f aca="false">Q645+(IF(AND(INDEX(TZ_DSTS,MATCH(P645,TZ_STN,0))&lt;&gt;"",Q645&gt;=INDEX(TZ_DSTS,MATCH(P645,TZ_STN,0)),Q645&lt;INDEX(TZ_DSTE,MATCH(P645,TZ_STN,0))),INDEX(TZ_DST,MATCH(P645,TZ_STN,0)),INDEX(TZ_STD,MATCH(P645,TZ_STN,0))))/24</f>
        <v>46317.7708333333</v>
      </c>
      <c r="S645" s="59" t="n">
        <f aca="false">Q645-T7EarlyD*24/24</f>
        <v>46303.4375</v>
      </c>
      <c r="T645" s="60"/>
      <c r="U645" s="60"/>
      <c r="V645" s="60"/>
      <c r="W645" s="61"/>
      <c r="X645" s="60"/>
      <c r="Y645" s="60"/>
      <c r="Z645" s="60"/>
      <c r="AA645" s="60"/>
      <c r="AB645" s="60"/>
      <c r="AC645" s="60"/>
      <c r="AD645" s="66"/>
      <c r="AE645" s="60"/>
      <c r="AF645" s="61" t="str">
        <f aca="false">IF(AND(ISNUMBER(X645),ISNUMBER(Y645)),Y645-X645,"")</f>
        <v/>
      </c>
      <c r="AG645" s="62" t="str">
        <f aca="false">IF(ISNUMBER(AD645),AD645-(IF(AND(INDEX(TZ_DSTS,MATCH(P645,TZ_STN,0))&lt;&gt;"",(AD645-INDEX(TZ_STD,MATCH(P645,TZ_STN,0))/24)&gt;=INDEX(TZ_DSTS,MATCH(P645,TZ_STN,0)),(AD645-INDEX(TZ_STD,MATCH(P645,TZ_STN,0))/24)&lt;INDEX(TZ_DSTE,MATCH(P645,TZ_STN,0))),INDEX(TZ_DST,MATCH(P645,TZ_STN,0)),INDEX(TZ_STD,MATCH(P645,TZ_STN,0))))/24,"")</f>
        <v/>
      </c>
      <c r="AH645" s="65" t="str">
        <f aca="false">IFERROR(IF(N645="N/A – rule","N/A – RULE",IF(TRIM(U645)="N/A",IF(AT645=0,"INVALID – N/A not permitted for this check",IF(AND(TRIM(AB645)&lt;&gt;"",TRIM(AB645)&lt;&gt;"Closed"),"INVALID – corrective action still open",IF(AND(NOT(OR(LEN(AZ645)&lt;15,ISNUMBER(MATCH(AZ645,L_Placeholder,0)))),NOT(OR(LEN(AU645)&lt;2,ISNUMBER(MATCH(AU645,L_Placeholder,0)))),NOT(OR(LEN(AX645)&lt;2,ISNUMBER(MATCH(AX645,L_Placeholder,0)))),TRIM(AE645)&lt;&gt;TRIM(T645)),"N/A – JUSTIFIED","INVALID – N/A needs a real justification (15+ chars), PIC and a different verifier"))),IF(OR(TRIM(U645)="Pass",TRIM(U645)="Pass after CA"),IF(NOT(ISNUMBER(AD645)),"INVALID – completion time missing",IF(OR(LEN(AU645)&lt;2,ISNUMBER(MATCH(AU645,L_Placeholder,0))),"INVALID – PIC missing",IF(OR(LEN(AV645)&lt;2,ISNUMBER(MATCH(AV645,L_Placeholder,0))),"INVALID – result / assessment missing",IF(OR(OR(LEN(AW645)&lt;3,ISNUMBER(MATCH(AW645,L_Placeholder,0))),SUMPRODUCT(--ISNUMBER(SEARCH(L_EvidencePhrase,AW645)))&gt;0),"INVALID – evidence missing, placeholder or not yet on file",IF(OR(LEN(AX645)&lt;2,ISNUMBER(MATCH(AX645,L_Placeholder,0))),"INVALID – verifier missing",IF(AX645=AU645,"INVALID – verifier must be someone other than the PIC",IF(AND(TRIM(U645)="Pass",SUMPRODUCT(--ISNUMBER(SEARCH(L_ResultBad,AV645)))&gt;0),"INVALID – result describes a problem: use Fail, then Pass after CA",IF(AND(AQ645=1,OR(LEN(AY645)&lt;3,ISNUMBER(MATCH(AY645,L_Placeholder,0)))),"INVALID – batch ID missing or placeholder",IF(AND(AR645=1,OR(NOT(ISNUMBER(X645)),NOT(ISNUMBER(Y645)))),"INVALID – expected/actual qty missing",IF(AND(AR645=1,OR(X645&lt;=0,Y645&lt;0)),"INVALID – expected qty must be above 0 and actual not negative",IF(BB645&lt;&gt;"",BB645,IF(AND(AS645=1,Documents!$J$24&lt;&gt;"ON FILE"),"INVALID – GLD not on file (Documents sheet)",IF(AND(AS645=2,Documents!$O$24&lt;&gt;"ON FILE"),"INVALID – menu checklist not on file (Documents sheet)",IF(AND(AS645=3,NOT(ISNUMBER(Flights!$AX$24))),"INVALID – enter carrying flight KUL departure (Flights AX)",IF(AND(AS645=3,OR(Flights!$AZ$24&gt;Flights!$AA$24,Flights!$AX$24&lt;Flights!$AA$24-3)),"INVALID – carrying flight (Flights AX) cannot arrive before this leg's STD, or is over 3 days early",IF(AG645&gt;AsOfUTC,"INVALID – completion time is in the future",IF(AND(ISNUMBER(S645),AG645&lt;S645),IF(H645="Physical uplift","INVALID – before uplift window (cannot confirm loading)","INVALID – before valid window"),IF(AG645&gt;Flights!$AA$24,"INVALID – completed after departure (cannot establish readiness)",IF(AND(H645="Preparation",AG645&gt;IF(ISNUMBER(Flights!$BA$24),MIN(Flights!$BA$24,Flights!$AA$24),Flights!$AA$24)),"INVALID – completed after loading / departure (cannot establish readiness)",IF(AND(H645="Physical uplift",AG645&gt;Q645),"INVALID – recorded after the loading flight departed",IF(AG645&gt;Q645,"COMPLETE – LATE","COMPLETE"))))))))))))))))))))),IF(TRIM(U645)="Fail","FAIL – DISCREPANCY",IF(AND(TRIM(U645)&lt;&gt;"",TRIM(U645)&lt;&gt;"Not started",TRIM(U645)&lt;&gt;"In progress"),"INVALID – unrecognised status (use the list)",IF(AsOfUTC&gt;Q645,"OVERDUE",IF(N645="Clarification required","OPEN – CLARIFICATION","OPEN"))))))),"INVALID – error value in an input cell")</f>
        <v>OPEN</v>
      </c>
      <c r="AI645" s="61" t="n">
        <f aca="false">IF(OR(AH645="N/A – RULE",AH645="N/A – JUSTIFIED"),0,1)</f>
        <v>1</v>
      </c>
      <c r="AJ645" s="61" t="n">
        <f aca="false">IF(LEFT(AH645,8)="COMPLETE",1,0)</f>
        <v>0</v>
      </c>
      <c r="AK645" s="61" t="n">
        <f aca="false">IF(AND(AI645=1,AJ645=0,AsOfUTC&gt;Q645),1,0)</f>
        <v>0</v>
      </c>
      <c r="AL645" s="61" t="n">
        <f aca="false">IFERROR(IF(AND(AI645=1,OR(TRIM(U645)="Fail",AND(TRIM(AB645)&lt;&gt;"",TRIM(AB645)&lt;&gt;"Closed"),AND(ISNUMBER(AF645),AF645&lt;&gt;0,TRIM(U645)&lt;&gt;"Pass after CA"))),1,0),1)</f>
        <v>0</v>
      </c>
      <c r="AM645" s="61" t="n">
        <f aca="false">IF(LEFT(AH645,7)="INVALID",1,0)</f>
        <v>0</v>
      </c>
      <c r="AN645" s="61" t="n">
        <f aca="false">IF(AND(N645="Clarification required",AI645=1,AJ645=0),1,0)</f>
        <v>0</v>
      </c>
      <c r="AO645" s="61" t="str">
        <f aca="false">IF(AK645=1,SUM(AK$5:AK645),"")</f>
        <v/>
      </c>
      <c r="AP645" s="61" t="str">
        <f aca="false">IF(AL645=1,SUM(AL$5:AL645),"")</f>
        <v/>
      </c>
      <c r="AQ645" s="61" t="n">
        <v>0</v>
      </c>
      <c r="AR645" s="61" t="n">
        <v>0</v>
      </c>
      <c r="AS645" s="61" t="n">
        <v>0</v>
      </c>
      <c r="AT645" s="61" t="n">
        <v>1</v>
      </c>
      <c r="AU645" s="61" t="str">
        <f aca="false">SUBSTITUTE(SUBSTITUTE(SUBSTITUTE(SUBSTITUTE(SUBSTITUTE(SUBSTITUTE(SUBSTITUTE(SUBSTITUTE(SUBSTITUTE(SUBSTITUTE(SUBSTITUTE(SUBSTITUTE(SUBSTITUTE(LOWER(T645&amp;""),CHAR(160),"")," ",""),".",""),"-",""),"/",""),"?",""),"_",""),",",""),"[",""),"]",""),"(",""),")",""),"*","")</f>
        <v/>
      </c>
      <c r="AV645" s="61" t="str">
        <f aca="false">SUBSTITUTE(SUBSTITUTE(SUBSTITUTE(SUBSTITUTE(SUBSTITUTE(SUBSTITUTE(SUBSTITUTE(SUBSTITUTE(SUBSTITUTE(SUBSTITUTE(SUBSTITUTE(SUBSTITUTE(SUBSTITUTE(LOWER(V645&amp;""),CHAR(160),"")," ",""),".",""),"-",""),"/",""),"?",""),"_",""),",",""),"[",""),"]",""),"(",""),")",""),"*","")</f>
        <v/>
      </c>
      <c r="AW645" s="61" t="str">
        <f aca="false">SUBSTITUTE(SUBSTITUTE(SUBSTITUTE(SUBSTITUTE(SUBSTITUTE(SUBSTITUTE(SUBSTITUTE(SUBSTITUTE(SUBSTITUTE(SUBSTITUTE(SUBSTITUTE(SUBSTITUTE(SUBSTITUTE(LOWER(Z645&amp;""),CHAR(160),"")," ",""),".",""),"-",""),"/",""),"?",""),"_",""),",",""),"[",""),"]",""),"(",""),")",""),"*","")</f>
        <v/>
      </c>
      <c r="AX645" s="61" t="str">
        <f aca="false">SUBSTITUTE(SUBSTITUTE(SUBSTITUTE(SUBSTITUTE(SUBSTITUTE(SUBSTITUTE(SUBSTITUTE(SUBSTITUTE(SUBSTITUTE(SUBSTITUTE(SUBSTITUTE(SUBSTITUTE(SUBSTITUTE(LOWER(AE645&amp;""),CHAR(160),"")," ",""),".",""),"-",""),"/",""),"?",""),"_",""),",",""),"[",""),"]",""),"(",""),")",""),"*","")</f>
        <v/>
      </c>
      <c r="AY645" s="61" t="str">
        <f aca="false">SUBSTITUTE(SUBSTITUTE(SUBSTITUTE(SUBSTITUTE(SUBSTITUTE(SUBSTITUTE(SUBSTITUTE(SUBSTITUTE(SUBSTITUTE(SUBSTITUTE(SUBSTITUTE(SUBSTITUTE(SUBSTITUTE(LOWER(W645&amp;""),CHAR(160),"")," ",""),".",""),"-",""),"/",""),"?",""),"_",""),",",""),"[",""),"]",""),"(",""),")",""),"*","")</f>
        <v/>
      </c>
      <c r="AZ645" s="61" t="str">
        <f aca="false">SUBSTITUTE(SUBSTITUTE(SUBSTITUTE(SUBSTITUTE(SUBSTITUTE(SUBSTITUTE(SUBSTITUTE(SUBSTITUTE(SUBSTITUTE(SUBSTITUTE(SUBSTITUTE(SUBSTITUTE(SUBSTITUTE(LOWER(AC645&amp;""),CHAR(160),"")," ",""),".",""),"-",""),"/",""),"?",""),"_",""),",",""),"[",""),"]",""),"(",""),")",""),"*","")</f>
        <v/>
      </c>
      <c r="BA645" s="61" t="str">
        <f aca="false">SUBSTITUTE(SUBSTITUTE(SUBSTITUTE(SUBSTITUTE(SUBSTITUTE(SUBSTITUTE(SUBSTITUTE(SUBSTITUTE(SUBSTITUTE(SUBSTITUTE(SUBSTITUTE(SUBSTITUTE(SUBSTITUTE(LOWER(AA645&amp;""),CHAR(160),"")," ",""),".",""),"-",""),"/",""),"?",""),"_",""),",",""),"[",""),"]",""),"(",""),")",""),"*","")</f>
        <v/>
      </c>
      <c r="BB645" s="61" t="str">
        <f aca="false">IF(AND(TRIM(U645)="Pass",ISNUMBER(AF645)),IF(AF645&lt;&gt;0,"INVALID – qty variance: use Fail or Pass after CA",""),"")&amp;IF(AND(TRIM(U645)="Pass after CA",ISNUMBER(AF645)),IF(AF645&lt;&gt;0,"INVALID – after the corrective action the actual qty must equal expected (update Actual)",""),"")&amp;IF(AND(TRIM(U645)="Pass",TRIM(AB645)&lt;&gt;"",TRIM(AB645)&lt;&gt;"Closed"),"INVALID – corrective action not closed: use Fail, then Pass after CA","")&amp;IF(AND(TRIM(AA645)&lt;&gt;"",TRIM(AB645)=""),"INVALID – CA status missing for the recorded corrective action","")&amp;IF(AND(TRIM(U645)="Pass after CA",OR(OR(LEN(BA645)&lt;5,ISNUMBER(MATCH(BA645,L_Placeholder,0))),TRIM(AB645)&lt;&gt;"Closed")),"INVALID – corrective action not recorded/closed","")</f>
        <v/>
      </c>
    </row>
    <row r="646" customFormat="false" ht="41.25" hidden="false" customHeight="true" outlineLevel="0" collapsed="false">
      <c r="A646" s="57" t="s">
        <v>1342</v>
      </c>
      <c r="B646" s="57" t="s">
        <v>301</v>
      </c>
      <c r="C646" s="57" t="str">
        <f aca="false">Flights!$F$24</f>
        <v>MH1450</v>
      </c>
      <c r="D646" s="58" t="n">
        <f aca="false">Flights!$D$24</f>
        <v>46324</v>
      </c>
      <c r="E646" s="57" t="str">
        <f aca="false">Flights!$G$24&amp;"-"&amp;Flights!$H$24</f>
        <v>KUL-LGK</v>
      </c>
      <c r="F646" s="57" t="str">
        <f aca="false">Flights!$K$24</f>
        <v>EY</v>
      </c>
      <c r="G646" s="57" t="s">
        <v>79</v>
      </c>
      <c r="H646" s="57" t="s">
        <v>356</v>
      </c>
      <c r="I646" s="57" t="s">
        <v>367</v>
      </c>
      <c r="J646" s="57" t="s">
        <v>368</v>
      </c>
      <c r="K646" s="67" t="s">
        <v>369</v>
      </c>
      <c r="L646" s="67" t="s">
        <v>360</v>
      </c>
      <c r="M646" s="67"/>
      <c r="N646" s="67" t="str">
        <f aca="false">IF(TRIM(Flights!$L$24)="A339","Required","N/A – rule")</f>
        <v>N/A – rule</v>
      </c>
      <c r="O646" s="67" t="s">
        <v>370</v>
      </c>
      <c r="P646" s="57" t="s">
        <v>184</v>
      </c>
      <c r="Q646" s="59" t="n">
        <f aca="false">ROUND((Flights!$AC$24)*1440,0)/1440</f>
        <v>46317.4375</v>
      </c>
      <c r="R646" s="59" t="n">
        <f aca="false">Q646+(IF(AND(INDEX(TZ_DSTS,MATCH(P646,TZ_STN,0))&lt;&gt;"",Q646&gt;=INDEX(TZ_DSTS,MATCH(P646,TZ_STN,0)),Q646&lt;INDEX(TZ_DSTE,MATCH(P646,TZ_STN,0))),INDEX(TZ_DST,MATCH(P646,TZ_STN,0)),INDEX(TZ_STD,MATCH(P646,TZ_STN,0))))/24</f>
        <v>46317.7708333333</v>
      </c>
      <c r="S646" s="59" t="n">
        <f aca="false">Q646-T7EarlyD*24/24</f>
        <v>46303.4375</v>
      </c>
      <c r="T646" s="60"/>
      <c r="U646" s="60"/>
      <c r="V646" s="60"/>
      <c r="W646" s="61"/>
      <c r="X646" s="60"/>
      <c r="Y646" s="60"/>
      <c r="Z646" s="60"/>
      <c r="AA646" s="60"/>
      <c r="AB646" s="60"/>
      <c r="AC646" s="60"/>
      <c r="AD646" s="66"/>
      <c r="AE646" s="60"/>
      <c r="AF646" s="61" t="str">
        <f aca="false">IF(AND(ISNUMBER(X646),ISNUMBER(Y646)),Y646-X646,"")</f>
        <v/>
      </c>
      <c r="AG646" s="62" t="str">
        <f aca="false">IF(ISNUMBER(AD646),AD646-(IF(AND(INDEX(TZ_DSTS,MATCH(P646,TZ_STN,0))&lt;&gt;"",(AD646-INDEX(TZ_STD,MATCH(P646,TZ_STN,0))/24)&gt;=INDEX(TZ_DSTS,MATCH(P646,TZ_STN,0)),(AD646-INDEX(TZ_STD,MATCH(P646,TZ_STN,0))/24)&lt;INDEX(TZ_DSTE,MATCH(P646,TZ_STN,0))),INDEX(TZ_DST,MATCH(P646,TZ_STN,0)),INDEX(TZ_STD,MATCH(P646,TZ_STN,0))))/24,"")</f>
        <v/>
      </c>
      <c r="AH646" s="65" t="str">
        <f aca="false">IFERROR(IF(N646="N/A – rule","N/A – RULE",IF(TRIM(U646)="N/A",IF(AT646=0,"INVALID – N/A not permitted for this check",IF(AND(TRIM(AB646)&lt;&gt;"",TRIM(AB646)&lt;&gt;"Closed"),"INVALID – corrective action still open",IF(AND(NOT(OR(LEN(AZ646)&lt;15,ISNUMBER(MATCH(AZ646,L_Placeholder,0)))),NOT(OR(LEN(AU646)&lt;2,ISNUMBER(MATCH(AU646,L_Placeholder,0)))),NOT(OR(LEN(AX646)&lt;2,ISNUMBER(MATCH(AX646,L_Placeholder,0)))),TRIM(AE646)&lt;&gt;TRIM(T646)),"N/A – JUSTIFIED","INVALID – N/A needs a real justification (15+ chars), PIC and a different verifier"))),IF(OR(TRIM(U646)="Pass",TRIM(U646)="Pass after CA"),IF(NOT(ISNUMBER(AD646)),"INVALID – completion time missing",IF(OR(LEN(AU646)&lt;2,ISNUMBER(MATCH(AU646,L_Placeholder,0))),"INVALID – PIC missing",IF(OR(LEN(AV646)&lt;2,ISNUMBER(MATCH(AV646,L_Placeholder,0))),"INVALID – result / assessment missing",IF(OR(OR(LEN(AW646)&lt;3,ISNUMBER(MATCH(AW646,L_Placeholder,0))),SUMPRODUCT(--ISNUMBER(SEARCH(L_EvidencePhrase,AW646)))&gt;0),"INVALID – evidence missing, placeholder or not yet on file",IF(OR(LEN(AX646)&lt;2,ISNUMBER(MATCH(AX646,L_Placeholder,0))),"INVALID – verifier missing",IF(AX646=AU646,"INVALID – verifier must be someone other than the PIC",IF(AND(TRIM(U646)="Pass",SUMPRODUCT(--ISNUMBER(SEARCH(L_ResultBad,AV646)))&gt;0),"INVALID – result describes a problem: use Fail, then Pass after CA",IF(AND(AQ646=1,OR(LEN(AY646)&lt;3,ISNUMBER(MATCH(AY646,L_Placeholder,0)))),"INVALID – batch ID missing or placeholder",IF(AND(AR646=1,OR(NOT(ISNUMBER(X646)),NOT(ISNUMBER(Y646)))),"INVALID – expected/actual qty missing",IF(AND(AR646=1,OR(X646&lt;=0,Y646&lt;0)),"INVALID – expected qty must be above 0 and actual not negative",IF(BB646&lt;&gt;"",BB646,IF(AND(AS646=1,Documents!$J$24&lt;&gt;"ON FILE"),"INVALID – GLD not on file (Documents sheet)",IF(AND(AS646=2,Documents!$O$24&lt;&gt;"ON FILE"),"INVALID – menu checklist not on file (Documents sheet)",IF(AND(AS646=3,NOT(ISNUMBER(Flights!$AX$24))),"INVALID – enter carrying flight KUL departure (Flights AX)",IF(AND(AS646=3,OR(Flights!$AZ$24&gt;Flights!$AA$24,Flights!$AX$24&lt;Flights!$AA$24-3)),"INVALID – carrying flight (Flights AX) cannot arrive before this leg's STD, or is over 3 days early",IF(AG646&gt;AsOfUTC,"INVALID – completion time is in the future",IF(AND(ISNUMBER(S646),AG646&lt;S646),IF(H646="Physical uplift","INVALID – before uplift window (cannot confirm loading)","INVALID – before valid window"),IF(AG646&gt;Flights!$AA$24,"INVALID – completed after departure (cannot establish readiness)",IF(AND(H646="Preparation",AG646&gt;IF(ISNUMBER(Flights!$BA$24),MIN(Flights!$BA$24,Flights!$AA$24),Flights!$AA$24)),"INVALID – completed after loading / departure (cannot establish readiness)",IF(AND(H646="Physical uplift",AG646&gt;Q646),"INVALID – recorded after the loading flight departed",IF(AG646&gt;Q646,"COMPLETE – LATE","COMPLETE"))))))))))))))))))))),IF(TRIM(U646)="Fail","FAIL – DISCREPANCY",IF(AND(TRIM(U646)&lt;&gt;"",TRIM(U646)&lt;&gt;"Not started",TRIM(U646)&lt;&gt;"In progress"),"INVALID – unrecognised status (use the list)",IF(AsOfUTC&gt;Q646,"OVERDUE",IF(N646="Clarification required","OPEN – CLARIFICATION","OPEN"))))))),"INVALID – error value in an input cell")</f>
        <v>N/A – RULE</v>
      </c>
      <c r="AI646" s="61" t="n">
        <f aca="false">IF(OR(AH646="N/A – RULE",AH646="N/A – JUSTIFIED"),0,1)</f>
        <v>0</v>
      </c>
      <c r="AJ646" s="61" t="n">
        <f aca="false">IF(LEFT(AH646,8)="COMPLETE",1,0)</f>
        <v>0</v>
      </c>
      <c r="AK646" s="61" t="n">
        <f aca="false">IF(AND(AI646=1,AJ646=0,AsOfUTC&gt;Q646),1,0)</f>
        <v>0</v>
      </c>
      <c r="AL646" s="61" t="n">
        <f aca="false">IFERROR(IF(AND(AI646=1,OR(TRIM(U646)="Fail",AND(TRIM(AB646)&lt;&gt;"",TRIM(AB646)&lt;&gt;"Closed"),AND(ISNUMBER(AF646),AF646&lt;&gt;0,TRIM(U646)&lt;&gt;"Pass after CA"))),1,0),1)</f>
        <v>0</v>
      </c>
      <c r="AM646" s="61" t="n">
        <f aca="false">IF(LEFT(AH646,7)="INVALID",1,0)</f>
        <v>0</v>
      </c>
      <c r="AN646" s="61" t="n">
        <f aca="false">IF(AND(N646="Clarification required",AI646=1,AJ646=0),1,0)</f>
        <v>0</v>
      </c>
      <c r="AO646" s="61" t="str">
        <f aca="false">IF(AK646=1,SUM(AK$5:AK646),"")</f>
        <v/>
      </c>
      <c r="AP646" s="61" t="str">
        <f aca="false">IF(AL646=1,SUM(AL$5:AL646),"")</f>
        <v/>
      </c>
      <c r="AQ646" s="61" t="n">
        <v>0</v>
      </c>
      <c r="AR646" s="61" t="n">
        <v>0</v>
      </c>
      <c r="AS646" s="61" t="n">
        <v>0</v>
      </c>
      <c r="AT646" s="61" t="n">
        <v>0</v>
      </c>
      <c r="AU646" s="61" t="str">
        <f aca="false">SUBSTITUTE(SUBSTITUTE(SUBSTITUTE(SUBSTITUTE(SUBSTITUTE(SUBSTITUTE(SUBSTITUTE(SUBSTITUTE(SUBSTITUTE(SUBSTITUTE(SUBSTITUTE(SUBSTITUTE(SUBSTITUTE(LOWER(T646&amp;""),CHAR(160),"")," ",""),".",""),"-",""),"/",""),"?",""),"_",""),",",""),"[",""),"]",""),"(",""),")",""),"*","")</f>
        <v/>
      </c>
      <c r="AV646" s="61" t="str">
        <f aca="false">SUBSTITUTE(SUBSTITUTE(SUBSTITUTE(SUBSTITUTE(SUBSTITUTE(SUBSTITUTE(SUBSTITUTE(SUBSTITUTE(SUBSTITUTE(SUBSTITUTE(SUBSTITUTE(SUBSTITUTE(SUBSTITUTE(LOWER(V646&amp;""),CHAR(160),"")," ",""),".",""),"-",""),"/",""),"?",""),"_",""),",",""),"[",""),"]",""),"(",""),")",""),"*","")</f>
        <v/>
      </c>
      <c r="AW646" s="61" t="str">
        <f aca="false">SUBSTITUTE(SUBSTITUTE(SUBSTITUTE(SUBSTITUTE(SUBSTITUTE(SUBSTITUTE(SUBSTITUTE(SUBSTITUTE(SUBSTITUTE(SUBSTITUTE(SUBSTITUTE(SUBSTITUTE(SUBSTITUTE(LOWER(Z646&amp;""),CHAR(160),"")," ",""),".",""),"-",""),"/",""),"?",""),"_",""),",",""),"[",""),"]",""),"(",""),")",""),"*","")</f>
        <v/>
      </c>
      <c r="AX646" s="61" t="str">
        <f aca="false">SUBSTITUTE(SUBSTITUTE(SUBSTITUTE(SUBSTITUTE(SUBSTITUTE(SUBSTITUTE(SUBSTITUTE(SUBSTITUTE(SUBSTITUTE(SUBSTITUTE(SUBSTITUTE(SUBSTITUTE(SUBSTITUTE(LOWER(AE646&amp;""),CHAR(160),"")," ",""),".",""),"-",""),"/",""),"?",""),"_",""),",",""),"[",""),"]",""),"(",""),")",""),"*","")</f>
        <v/>
      </c>
      <c r="AY646" s="61" t="str">
        <f aca="false">SUBSTITUTE(SUBSTITUTE(SUBSTITUTE(SUBSTITUTE(SUBSTITUTE(SUBSTITUTE(SUBSTITUTE(SUBSTITUTE(SUBSTITUTE(SUBSTITUTE(SUBSTITUTE(SUBSTITUTE(SUBSTITUTE(LOWER(W646&amp;""),CHAR(160),"")," ",""),".",""),"-",""),"/",""),"?",""),"_",""),",",""),"[",""),"]",""),"(",""),")",""),"*","")</f>
        <v/>
      </c>
      <c r="AZ646" s="61" t="str">
        <f aca="false">SUBSTITUTE(SUBSTITUTE(SUBSTITUTE(SUBSTITUTE(SUBSTITUTE(SUBSTITUTE(SUBSTITUTE(SUBSTITUTE(SUBSTITUTE(SUBSTITUTE(SUBSTITUTE(SUBSTITUTE(SUBSTITUTE(LOWER(AC646&amp;""),CHAR(160),"")," ",""),".",""),"-",""),"/",""),"?",""),"_",""),",",""),"[",""),"]",""),"(",""),")",""),"*","")</f>
        <v/>
      </c>
      <c r="BA646" s="61" t="str">
        <f aca="false">SUBSTITUTE(SUBSTITUTE(SUBSTITUTE(SUBSTITUTE(SUBSTITUTE(SUBSTITUTE(SUBSTITUTE(SUBSTITUTE(SUBSTITUTE(SUBSTITUTE(SUBSTITUTE(SUBSTITUTE(SUBSTITUTE(LOWER(AA646&amp;""),CHAR(160),"")," ",""),".",""),"-",""),"/",""),"?",""),"_",""),",",""),"[",""),"]",""),"(",""),")",""),"*","")</f>
        <v/>
      </c>
      <c r="BB646" s="61" t="str">
        <f aca="false">IF(AND(TRIM(U646)="Pass",ISNUMBER(AF646)),IF(AF646&lt;&gt;0,"INVALID – qty variance: use Fail or Pass after CA",""),"")&amp;IF(AND(TRIM(U646)="Pass after CA",ISNUMBER(AF646)),IF(AF646&lt;&gt;0,"INVALID – after the corrective action the actual qty must equal expected (update Actual)",""),"")&amp;IF(AND(TRIM(U646)="Pass",TRIM(AB646)&lt;&gt;"",TRIM(AB646)&lt;&gt;"Closed"),"INVALID – corrective action not closed: use Fail, then Pass after CA","")&amp;IF(AND(TRIM(AA646)&lt;&gt;"",TRIM(AB646)=""),"INVALID – CA status missing for the recorded corrective action","")&amp;IF(AND(TRIM(U646)="Pass after CA",OR(OR(LEN(BA646)&lt;5,ISNUMBER(MATCH(BA646,L_Placeholder,0))),TRIM(AB646)&lt;&gt;"Closed")),"INVALID – corrective action not recorded/closed","")</f>
        <v/>
      </c>
    </row>
    <row r="647" customFormat="false" ht="39.75" hidden="false" customHeight="true" outlineLevel="0" collapsed="false">
      <c r="A647" s="57" t="s">
        <v>1343</v>
      </c>
      <c r="B647" s="57" t="s">
        <v>301</v>
      </c>
      <c r="C647" s="57" t="str">
        <f aca="false">Flights!$F$24</f>
        <v>MH1450</v>
      </c>
      <c r="D647" s="58" t="n">
        <f aca="false">Flights!$D$24</f>
        <v>46324</v>
      </c>
      <c r="E647" s="57" t="str">
        <f aca="false">Flights!$G$24&amp;"-"&amp;Flights!$H$24</f>
        <v>KUL-LGK</v>
      </c>
      <c r="F647" s="57" t="str">
        <f aca="false">Flights!$K$24</f>
        <v>EY</v>
      </c>
      <c r="G647" s="57" t="s">
        <v>79</v>
      </c>
      <c r="H647" s="57" t="s">
        <v>356</v>
      </c>
      <c r="I647" s="57" t="s">
        <v>372</v>
      </c>
      <c r="J647" s="57" t="s">
        <v>373</v>
      </c>
      <c r="K647" s="67" t="s">
        <v>374</v>
      </c>
      <c r="L647" s="67" t="s">
        <v>360</v>
      </c>
      <c r="M647" s="67"/>
      <c r="N647" s="67" t="s">
        <v>361</v>
      </c>
      <c r="O647" s="67"/>
      <c r="P647" s="57" t="s">
        <v>184</v>
      </c>
      <c r="Q647" s="59" t="n">
        <f aca="false">ROUND((Flights!$AC$24)*1440,0)/1440</f>
        <v>46317.4375</v>
      </c>
      <c r="R647" s="59" t="n">
        <f aca="false">Q647+(IF(AND(INDEX(TZ_DSTS,MATCH(P647,TZ_STN,0))&lt;&gt;"",Q647&gt;=INDEX(TZ_DSTS,MATCH(P647,TZ_STN,0)),Q647&lt;INDEX(TZ_DSTE,MATCH(P647,TZ_STN,0))),INDEX(TZ_DST,MATCH(P647,TZ_STN,0)),INDEX(TZ_STD,MATCH(P647,TZ_STN,0))))/24</f>
        <v>46317.7708333333</v>
      </c>
      <c r="S647" s="59" t="n">
        <f aca="false">Q647-T7EarlyD*24/24</f>
        <v>46303.4375</v>
      </c>
      <c r="T647" s="60"/>
      <c r="U647" s="60"/>
      <c r="V647" s="60"/>
      <c r="W647" s="61"/>
      <c r="X647" s="60"/>
      <c r="Y647" s="60"/>
      <c r="Z647" s="60"/>
      <c r="AA647" s="60"/>
      <c r="AB647" s="60"/>
      <c r="AC647" s="60"/>
      <c r="AD647" s="66"/>
      <c r="AE647" s="60"/>
      <c r="AF647" s="61" t="str">
        <f aca="false">IF(AND(ISNUMBER(X647),ISNUMBER(Y647)),Y647-X647,"")</f>
        <v/>
      </c>
      <c r="AG647" s="62" t="str">
        <f aca="false">IF(ISNUMBER(AD647),AD647-(IF(AND(INDEX(TZ_DSTS,MATCH(P647,TZ_STN,0))&lt;&gt;"",(AD647-INDEX(TZ_STD,MATCH(P647,TZ_STN,0))/24)&gt;=INDEX(TZ_DSTS,MATCH(P647,TZ_STN,0)),(AD647-INDEX(TZ_STD,MATCH(P647,TZ_STN,0))/24)&lt;INDEX(TZ_DSTE,MATCH(P647,TZ_STN,0))),INDEX(TZ_DST,MATCH(P647,TZ_STN,0)),INDEX(TZ_STD,MATCH(P647,TZ_STN,0))))/24,"")</f>
        <v/>
      </c>
      <c r="AH647" s="65" t="str">
        <f aca="false">IFERROR(IF(N647="N/A – rule","N/A – RULE",IF(TRIM(U647)="N/A",IF(AT647=0,"INVALID – N/A not permitted for this check",IF(AND(TRIM(AB647)&lt;&gt;"",TRIM(AB647)&lt;&gt;"Closed"),"INVALID – corrective action still open",IF(AND(NOT(OR(LEN(AZ647)&lt;15,ISNUMBER(MATCH(AZ647,L_Placeholder,0)))),NOT(OR(LEN(AU647)&lt;2,ISNUMBER(MATCH(AU647,L_Placeholder,0)))),NOT(OR(LEN(AX647)&lt;2,ISNUMBER(MATCH(AX647,L_Placeholder,0)))),TRIM(AE647)&lt;&gt;TRIM(T647)),"N/A – JUSTIFIED","INVALID – N/A needs a real justification (15+ chars), PIC and a different verifier"))),IF(OR(TRIM(U647)="Pass",TRIM(U647)="Pass after CA"),IF(NOT(ISNUMBER(AD647)),"INVALID – completion time missing",IF(OR(LEN(AU647)&lt;2,ISNUMBER(MATCH(AU647,L_Placeholder,0))),"INVALID – PIC missing",IF(OR(LEN(AV647)&lt;2,ISNUMBER(MATCH(AV647,L_Placeholder,0))),"INVALID – result / assessment missing",IF(OR(OR(LEN(AW647)&lt;3,ISNUMBER(MATCH(AW647,L_Placeholder,0))),SUMPRODUCT(--ISNUMBER(SEARCH(L_EvidencePhrase,AW647)))&gt;0),"INVALID – evidence missing, placeholder or not yet on file",IF(OR(LEN(AX647)&lt;2,ISNUMBER(MATCH(AX647,L_Placeholder,0))),"INVALID – verifier missing",IF(AX647=AU647,"INVALID – verifier must be someone other than the PIC",IF(AND(TRIM(U647)="Pass",SUMPRODUCT(--ISNUMBER(SEARCH(L_ResultBad,AV647)))&gt;0),"INVALID – result describes a problem: use Fail, then Pass after CA",IF(AND(AQ647=1,OR(LEN(AY647)&lt;3,ISNUMBER(MATCH(AY647,L_Placeholder,0)))),"INVALID – batch ID missing or placeholder",IF(AND(AR647=1,OR(NOT(ISNUMBER(X647)),NOT(ISNUMBER(Y647)))),"INVALID – expected/actual qty missing",IF(AND(AR647=1,OR(X647&lt;=0,Y647&lt;0)),"INVALID – expected qty must be above 0 and actual not negative",IF(BB647&lt;&gt;"",BB647,IF(AND(AS647=1,Documents!$J$24&lt;&gt;"ON FILE"),"INVALID – GLD not on file (Documents sheet)",IF(AND(AS647=2,Documents!$O$24&lt;&gt;"ON FILE"),"INVALID – menu checklist not on file (Documents sheet)",IF(AND(AS647=3,NOT(ISNUMBER(Flights!$AX$24))),"INVALID – enter carrying flight KUL departure (Flights AX)",IF(AND(AS647=3,OR(Flights!$AZ$24&gt;Flights!$AA$24,Flights!$AX$24&lt;Flights!$AA$24-3)),"INVALID – carrying flight (Flights AX) cannot arrive before this leg's STD, or is over 3 days early",IF(AG647&gt;AsOfUTC,"INVALID – completion time is in the future",IF(AND(ISNUMBER(S647),AG647&lt;S647),IF(H647="Physical uplift","INVALID – before uplift window (cannot confirm loading)","INVALID – before valid window"),IF(AG647&gt;Flights!$AA$24,"INVALID – completed after departure (cannot establish readiness)",IF(AND(H647="Preparation",AG647&gt;IF(ISNUMBER(Flights!$BA$24),MIN(Flights!$BA$24,Flights!$AA$24),Flights!$AA$24)),"INVALID – completed after loading / departure (cannot establish readiness)",IF(AND(H647="Physical uplift",AG647&gt;Q647),"INVALID – recorded after the loading flight departed",IF(AG647&gt;Q647,"COMPLETE – LATE","COMPLETE"))))))))))))))))))))),IF(TRIM(U647)="Fail","FAIL – DISCREPANCY",IF(AND(TRIM(U647)&lt;&gt;"",TRIM(U647)&lt;&gt;"Not started",TRIM(U647)&lt;&gt;"In progress"),"INVALID – unrecognised status (use the list)",IF(AsOfUTC&gt;Q647,"OVERDUE",IF(N647="Clarification required","OPEN – CLARIFICATION","OPEN"))))))),"INVALID – error value in an input cell")</f>
        <v>OPEN</v>
      </c>
      <c r="AI647" s="61" t="n">
        <f aca="false">IF(OR(AH647="N/A – RULE",AH647="N/A – JUSTIFIED"),0,1)</f>
        <v>1</v>
      </c>
      <c r="AJ647" s="61" t="n">
        <f aca="false">IF(LEFT(AH647,8)="COMPLETE",1,0)</f>
        <v>0</v>
      </c>
      <c r="AK647" s="61" t="n">
        <f aca="false">IF(AND(AI647=1,AJ647=0,AsOfUTC&gt;Q647),1,0)</f>
        <v>0</v>
      </c>
      <c r="AL647" s="61" t="n">
        <f aca="false">IFERROR(IF(AND(AI647=1,OR(TRIM(U647)="Fail",AND(TRIM(AB647)&lt;&gt;"",TRIM(AB647)&lt;&gt;"Closed"),AND(ISNUMBER(AF647),AF647&lt;&gt;0,TRIM(U647)&lt;&gt;"Pass after CA"))),1,0),1)</f>
        <v>0</v>
      </c>
      <c r="AM647" s="61" t="n">
        <f aca="false">IF(LEFT(AH647,7)="INVALID",1,0)</f>
        <v>0</v>
      </c>
      <c r="AN647" s="61" t="n">
        <f aca="false">IF(AND(N647="Clarification required",AI647=1,AJ647=0),1,0)</f>
        <v>0</v>
      </c>
      <c r="AO647" s="61" t="str">
        <f aca="false">IF(AK647=1,SUM(AK$5:AK647),"")</f>
        <v/>
      </c>
      <c r="AP647" s="61" t="str">
        <f aca="false">IF(AL647=1,SUM(AL$5:AL647),"")</f>
        <v/>
      </c>
      <c r="AQ647" s="61" t="n">
        <v>0</v>
      </c>
      <c r="AR647" s="61" t="n">
        <v>0</v>
      </c>
      <c r="AS647" s="61" t="n">
        <v>0</v>
      </c>
      <c r="AT647" s="61" t="n">
        <v>0</v>
      </c>
      <c r="AU647" s="61" t="str">
        <f aca="false">SUBSTITUTE(SUBSTITUTE(SUBSTITUTE(SUBSTITUTE(SUBSTITUTE(SUBSTITUTE(SUBSTITUTE(SUBSTITUTE(SUBSTITUTE(SUBSTITUTE(SUBSTITUTE(SUBSTITUTE(SUBSTITUTE(LOWER(T647&amp;""),CHAR(160),"")," ",""),".",""),"-",""),"/",""),"?",""),"_",""),",",""),"[",""),"]",""),"(",""),")",""),"*","")</f>
        <v/>
      </c>
      <c r="AV647" s="61" t="str">
        <f aca="false">SUBSTITUTE(SUBSTITUTE(SUBSTITUTE(SUBSTITUTE(SUBSTITUTE(SUBSTITUTE(SUBSTITUTE(SUBSTITUTE(SUBSTITUTE(SUBSTITUTE(SUBSTITUTE(SUBSTITUTE(SUBSTITUTE(LOWER(V647&amp;""),CHAR(160),"")," ",""),".",""),"-",""),"/",""),"?",""),"_",""),",",""),"[",""),"]",""),"(",""),")",""),"*","")</f>
        <v/>
      </c>
      <c r="AW647" s="61" t="str">
        <f aca="false">SUBSTITUTE(SUBSTITUTE(SUBSTITUTE(SUBSTITUTE(SUBSTITUTE(SUBSTITUTE(SUBSTITUTE(SUBSTITUTE(SUBSTITUTE(SUBSTITUTE(SUBSTITUTE(SUBSTITUTE(SUBSTITUTE(LOWER(Z647&amp;""),CHAR(160),"")," ",""),".",""),"-",""),"/",""),"?",""),"_",""),",",""),"[",""),"]",""),"(",""),")",""),"*","")</f>
        <v/>
      </c>
      <c r="AX647" s="61" t="str">
        <f aca="false">SUBSTITUTE(SUBSTITUTE(SUBSTITUTE(SUBSTITUTE(SUBSTITUTE(SUBSTITUTE(SUBSTITUTE(SUBSTITUTE(SUBSTITUTE(SUBSTITUTE(SUBSTITUTE(SUBSTITUTE(SUBSTITUTE(LOWER(AE647&amp;""),CHAR(160),"")," ",""),".",""),"-",""),"/",""),"?",""),"_",""),",",""),"[",""),"]",""),"(",""),")",""),"*","")</f>
        <v/>
      </c>
      <c r="AY647" s="61" t="str">
        <f aca="false">SUBSTITUTE(SUBSTITUTE(SUBSTITUTE(SUBSTITUTE(SUBSTITUTE(SUBSTITUTE(SUBSTITUTE(SUBSTITUTE(SUBSTITUTE(SUBSTITUTE(SUBSTITUTE(SUBSTITUTE(SUBSTITUTE(LOWER(W647&amp;""),CHAR(160),"")," ",""),".",""),"-",""),"/",""),"?",""),"_",""),",",""),"[",""),"]",""),"(",""),")",""),"*","")</f>
        <v/>
      </c>
      <c r="AZ647" s="61" t="str">
        <f aca="false">SUBSTITUTE(SUBSTITUTE(SUBSTITUTE(SUBSTITUTE(SUBSTITUTE(SUBSTITUTE(SUBSTITUTE(SUBSTITUTE(SUBSTITUTE(SUBSTITUTE(SUBSTITUTE(SUBSTITUTE(SUBSTITUTE(LOWER(AC647&amp;""),CHAR(160),"")," ",""),".",""),"-",""),"/",""),"?",""),"_",""),",",""),"[",""),"]",""),"(",""),")",""),"*","")</f>
        <v/>
      </c>
      <c r="BA647" s="61" t="str">
        <f aca="false">SUBSTITUTE(SUBSTITUTE(SUBSTITUTE(SUBSTITUTE(SUBSTITUTE(SUBSTITUTE(SUBSTITUTE(SUBSTITUTE(SUBSTITUTE(SUBSTITUTE(SUBSTITUTE(SUBSTITUTE(SUBSTITUTE(LOWER(AA647&amp;""),CHAR(160),"")," ",""),".",""),"-",""),"/",""),"?",""),"_",""),",",""),"[",""),"]",""),"(",""),")",""),"*","")</f>
        <v/>
      </c>
      <c r="BB647" s="61" t="str">
        <f aca="false">IF(AND(TRIM(U647)="Pass",ISNUMBER(AF647)),IF(AF647&lt;&gt;0,"INVALID – qty variance: use Fail or Pass after CA",""),"")&amp;IF(AND(TRIM(U647)="Pass after CA",ISNUMBER(AF647)),IF(AF647&lt;&gt;0,"INVALID – after the corrective action the actual qty must equal expected (update Actual)",""),"")&amp;IF(AND(TRIM(U647)="Pass",TRIM(AB647)&lt;&gt;"",TRIM(AB647)&lt;&gt;"Closed"),"INVALID – corrective action not closed: use Fail, then Pass after CA","")&amp;IF(AND(TRIM(AA647)&lt;&gt;"",TRIM(AB647)=""),"INVALID – CA status missing for the recorded corrective action","")&amp;IF(AND(TRIM(U647)="Pass after CA",OR(OR(LEN(BA647)&lt;5,ISNUMBER(MATCH(BA647,L_Placeholder,0))),TRIM(AB647)&lt;&gt;"Closed")),"INVALID – corrective action not recorded/closed","")</f>
        <v/>
      </c>
    </row>
    <row r="648" customFormat="false" ht="39.75" hidden="false" customHeight="true" outlineLevel="0" collapsed="false">
      <c r="A648" s="57" t="s">
        <v>1344</v>
      </c>
      <c r="B648" s="57" t="s">
        <v>301</v>
      </c>
      <c r="C648" s="57" t="str">
        <f aca="false">Flights!$F$24</f>
        <v>MH1450</v>
      </c>
      <c r="D648" s="58" t="n">
        <f aca="false">Flights!$D$24</f>
        <v>46324</v>
      </c>
      <c r="E648" s="57" t="str">
        <f aca="false">Flights!$G$24&amp;"-"&amp;Flights!$H$24</f>
        <v>KUL-LGK</v>
      </c>
      <c r="F648" s="57" t="str">
        <f aca="false">Flights!$K$24</f>
        <v>EY</v>
      </c>
      <c r="G648" s="57" t="s">
        <v>79</v>
      </c>
      <c r="H648" s="57" t="s">
        <v>356</v>
      </c>
      <c r="I648" s="57" t="s">
        <v>376</v>
      </c>
      <c r="J648" s="57" t="s">
        <v>377</v>
      </c>
      <c r="K648" s="67" t="s">
        <v>378</v>
      </c>
      <c r="L648" s="67" t="s">
        <v>360</v>
      </c>
      <c r="M648" s="67"/>
      <c r="N648" s="67" t="s">
        <v>361</v>
      </c>
      <c r="O648" s="67"/>
      <c r="P648" s="57" t="s">
        <v>184</v>
      </c>
      <c r="Q648" s="59" t="n">
        <f aca="false">ROUND((Flights!$AC$24)*1440,0)/1440</f>
        <v>46317.4375</v>
      </c>
      <c r="R648" s="59" t="n">
        <f aca="false">Q648+(IF(AND(INDEX(TZ_DSTS,MATCH(P648,TZ_STN,0))&lt;&gt;"",Q648&gt;=INDEX(TZ_DSTS,MATCH(P648,TZ_STN,0)),Q648&lt;INDEX(TZ_DSTE,MATCH(P648,TZ_STN,0))),INDEX(TZ_DST,MATCH(P648,TZ_STN,0)),INDEX(TZ_STD,MATCH(P648,TZ_STN,0))))/24</f>
        <v>46317.7708333333</v>
      </c>
      <c r="S648" s="59" t="n">
        <f aca="false">Q648-T7EarlyD*24/24</f>
        <v>46303.4375</v>
      </c>
      <c r="T648" s="60"/>
      <c r="U648" s="60"/>
      <c r="V648" s="60"/>
      <c r="W648" s="61"/>
      <c r="X648" s="60"/>
      <c r="Y648" s="60"/>
      <c r="Z648" s="60"/>
      <c r="AA648" s="60"/>
      <c r="AB648" s="60"/>
      <c r="AC648" s="60"/>
      <c r="AD648" s="66"/>
      <c r="AE648" s="60"/>
      <c r="AF648" s="61" t="str">
        <f aca="false">IF(AND(ISNUMBER(X648),ISNUMBER(Y648)),Y648-X648,"")</f>
        <v/>
      </c>
      <c r="AG648" s="62" t="str">
        <f aca="false">IF(ISNUMBER(AD648),AD648-(IF(AND(INDEX(TZ_DSTS,MATCH(P648,TZ_STN,0))&lt;&gt;"",(AD648-INDEX(TZ_STD,MATCH(P648,TZ_STN,0))/24)&gt;=INDEX(TZ_DSTS,MATCH(P648,TZ_STN,0)),(AD648-INDEX(TZ_STD,MATCH(P648,TZ_STN,0))/24)&lt;INDEX(TZ_DSTE,MATCH(P648,TZ_STN,0))),INDEX(TZ_DST,MATCH(P648,TZ_STN,0)),INDEX(TZ_STD,MATCH(P648,TZ_STN,0))))/24,"")</f>
        <v/>
      </c>
      <c r="AH648" s="65" t="str">
        <f aca="false">IFERROR(IF(N648="N/A – rule","N/A – RULE",IF(TRIM(U648)="N/A",IF(AT648=0,"INVALID – N/A not permitted for this check",IF(AND(TRIM(AB648)&lt;&gt;"",TRIM(AB648)&lt;&gt;"Closed"),"INVALID – corrective action still open",IF(AND(NOT(OR(LEN(AZ648)&lt;15,ISNUMBER(MATCH(AZ648,L_Placeholder,0)))),NOT(OR(LEN(AU648)&lt;2,ISNUMBER(MATCH(AU648,L_Placeholder,0)))),NOT(OR(LEN(AX648)&lt;2,ISNUMBER(MATCH(AX648,L_Placeholder,0)))),TRIM(AE648)&lt;&gt;TRIM(T648)),"N/A – JUSTIFIED","INVALID – N/A needs a real justification (15+ chars), PIC and a different verifier"))),IF(OR(TRIM(U648)="Pass",TRIM(U648)="Pass after CA"),IF(NOT(ISNUMBER(AD648)),"INVALID – completion time missing",IF(OR(LEN(AU648)&lt;2,ISNUMBER(MATCH(AU648,L_Placeholder,0))),"INVALID – PIC missing",IF(OR(LEN(AV648)&lt;2,ISNUMBER(MATCH(AV648,L_Placeholder,0))),"INVALID – result / assessment missing",IF(OR(OR(LEN(AW648)&lt;3,ISNUMBER(MATCH(AW648,L_Placeholder,0))),SUMPRODUCT(--ISNUMBER(SEARCH(L_EvidencePhrase,AW648)))&gt;0),"INVALID – evidence missing, placeholder or not yet on file",IF(OR(LEN(AX648)&lt;2,ISNUMBER(MATCH(AX648,L_Placeholder,0))),"INVALID – verifier missing",IF(AX648=AU648,"INVALID – verifier must be someone other than the PIC",IF(AND(TRIM(U648)="Pass",SUMPRODUCT(--ISNUMBER(SEARCH(L_ResultBad,AV648)))&gt;0),"INVALID – result describes a problem: use Fail, then Pass after CA",IF(AND(AQ648=1,OR(LEN(AY648)&lt;3,ISNUMBER(MATCH(AY648,L_Placeholder,0)))),"INVALID – batch ID missing or placeholder",IF(AND(AR648=1,OR(NOT(ISNUMBER(X648)),NOT(ISNUMBER(Y648)))),"INVALID – expected/actual qty missing",IF(AND(AR648=1,OR(X648&lt;=0,Y648&lt;0)),"INVALID – expected qty must be above 0 and actual not negative",IF(BB648&lt;&gt;"",BB648,IF(AND(AS648=1,Documents!$J$24&lt;&gt;"ON FILE"),"INVALID – GLD not on file (Documents sheet)",IF(AND(AS648=2,Documents!$O$24&lt;&gt;"ON FILE"),"INVALID – menu checklist not on file (Documents sheet)",IF(AND(AS648=3,NOT(ISNUMBER(Flights!$AX$24))),"INVALID – enter carrying flight KUL departure (Flights AX)",IF(AND(AS648=3,OR(Flights!$AZ$24&gt;Flights!$AA$24,Flights!$AX$24&lt;Flights!$AA$24-3)),"INVALID – carrying flight (Flights AX) cannot arrive before this leg's STD, or is over 3 days early",IF(AG648&gt;AsOfUTC,"INVALID – completion time is in the future",IF(AND(ISNUMBER(S648),AG648&lt;S648),IF(H648="Physical uplift","INVALID – before uplift window (cannot confirm loading)","INVALID – before valid window"),IF(AG648&gt;Flights!$AA$24,"INVALID – completed after departure (cannot establish readiness)",IF(AND(H648="Preparation",AG648&gt;IF(ISNUMBER(Flights!$BA$24),MIN(Flights!$BA$24,Flights!$AA$24),Flights!$AA$24)),"INVALID – completed after loading / departure (cannot establish readiness)",IF(AND(H648="Physical uplift",AG648&gt;Q648),"INVALID – recorded after the loading flight departed",IF(AG648&gt;Q648,"COMPLETE – LATE","COMPLETE"))))))))))))))))))))),IF(TRIM(U648)="Fail","FAIL – DISCREPANCY",IF(AND(TRIM(U648)&lt;&gt;"",TRIM(U648)&lt;&gt;"Not started",TRIM(U648)&lt;&gt;"In progress"),"INVALID – unrecognised status (use the list)",IF(AsOfUTC&gt;Q648,"OVERDUE",IF(N648="Clarification required","OPEN – CLARIFICATION","OPEN"))))))),"INVALID – error value in an input cell")</f>
        <v>OPEN</v>
      </c>
      <c r="AI648" s="61" t="n">
        <f aca="false">IF(OR(AH648="N/A – RULE",AH648="N/A – JUSTIFIED"),0,1)</f>
        <v>1</v>
      </c>
      <c r="AJ648" s="61" t="n">
        <f aca="false">IF(LEFT(AH648,8)="COMPLETE",1,0)</f>
        <v>0</v>
      </c>
      <c r="AK648" s="61" t="n">
        <f aca="false">IF(AND(AI648=1,AJ648=0,AsOfUTC&gt;Q648),1,0)</f>
        <v>0</v>
      </c>
      <c r="AL648" s="61" t="n">
        <f aca="false">IFERROR(IF(AND(AI648=1,OR(TRIM(U648)="Fail",AND(TRIM(AB648)&lt;&gt;"",TRIM(AB648)&lt;&gt;"Closed"),AND(ISNUMBER(AF648),AF648&lt;&gt;0,TRIM(U648)&lt;&gt;"Pass after CA"))),1,0),1)</f>
        <v>0</v>
      </c>
      <c r="AM648" s="61" t="n">
        <f aca="false">IF(LEFT(AH648,7)="INVALID",1,0)</f>
        <v>0</v>
      </c>
      <c r="AN648" s="61" t="n">
        <f aca="false">IF(AND(N648="Clarification required",AI648=1,AJ648=0),1,0)</f>
        <v>0</v>
      </c>
      <c r="AO648" s="61" t="str">
        <f aca="false">IF(AK648=1,SUM(AK$5:AK648),"")</f>
        <v/>
      </c>
      <c r="AP648" s="61" t="str">
        <f aca="false">IF(AL648=1,SUM(AL$5:AL648),"")</f>
        <v/>
      </c>
      <c r="AQ648" s="61" t="n">
        <v>0</v>
      </c>
      <c r="AR648" s="61" t="n">
        <v>0</v>
      </c>
      <c r="AS648" s="61" t="n">
        <v>0</v>
      </c>
      <c r="AT648" s="61" t="n">
        <v>0</v>
      </c>
      <c r="AU648" s="61" t="str">
        <f aca="false">SUBSTITUTE(SUBSTITUTE(SUBSTITUTE(SUBSTITUTE(SUBSTITUTE(SUBSTITUTE(SUBSTITUTE(SUBSTITUTE(SUBSTITUTE(SUBSTITUTE(SUBSTITUTE(SUBSTITUTE(SUBSTITUTE(LOWER(T648&amp;""),CHAR(160),"")," ",""),".",""),"-",""),"/",""),"?",""),"_",""),",",""),"[",""),"]",""),"(",""),")",""),"*","")</f>
        <v/>
      </c>
      <c r="AV648" s="61" t="str">
        <f aca="false">SUBSTITUTE(SUBSTITUTE(SUBSTITUTE(SUBSTITUTE(SUBSTITUTE(SUBSTITUTE(SUBSTITUTE(SUBSTITUTE(SUBSTITUTE(SUBSTITUTE(SUBSTITUTE(SUBSTITUTE(SUBSTITUTE(LOWER(V648&amp;""),CHAR(160),"")," ",""),".",""),"-",""),"/",""),"?",""),"_",""),",",""),"[",""),"]",""),"(",""),")",""),"*","")</f>
        <v/>
      </c>
      <c r="AW648" s="61" t="str">
        <f aca="false">SUBSTITUTE(SUBSTITUTE(SUBSTITUTE(SUBSTITUTE(SUBSTITUTE(SUBSTITUTE(SUBSTITUTE(SUBSTITUTE(SUBSTITUTE(SUBSTITUTE(SUBSTITUTE(SUBSTITUTE(SUBSTITUTE(LOWER(Z648&amp;""),CHAR(160),"")," ",""),".",""),"-",""),"/",""),"?",""),"_",""),",",""),"[",""),"]",""),"(",""),")",""),"*","")</f>
        <v/>
      </c>
      <c r="AX648" s="61" t="str">
        <f aca="false">SUBSTITUTE(SUBSTITUTE(SUBSTITUTE(SUBSTITUTE(SUBSTITUTE(SUBSTITUTE(SUBSTITUTE(SUBSTITUTE(SUBSTITUTE(SUBSTITUTE(SUBSTITUTE(SUBSTITUTE(SUBSTITUTE(LOWER(AE648&amp;""),CHAR(160),"")," ",""),".",""),"-",""),"/",""),"?",""),"_",""),",",""),"[",""),"]",""),"(",""),")",""),"*","")</f>
        <v/>
      </c>
      <c r="AY648" s="61" t="str">
        <f aca="false">SUBSTITUTE(SUBSTITUTE(SUBSTITUTE(SUBSTITUTE(SUBSTITUTE(SUBSTITUTE(SUBSTITUTE(SUBSTITUTE(SUBSTITUTE(SUBSTITUTE(SUBSTITUTE(SUBSTITUTE(SUBSTITUTE(LOWER(W648&amp;""),CHAR(160),"")," ",""),".",""),"-",""),"/",""),"?",""),"_",""),",",""),"[",""),"]",""),"(",""),")",""),"*","")</f>
        <v/>
      </c>
      <c r="AZ648" s="61" t="str">
        <f aca="false">SUBSTITUTE(SUBSTITUTE(SUBSTITUTE(SUBSTITUTE(SUBSTITUTE(SUBSTITUTE(SUBSTITUTE(SUBSTITUTE(SUBSTITUTE(SUBSTITUTE(SUBSTITUTE(SUBSTITUTE(SUBSTITUTE(LOWER(AC648&amp;""),CHAR(160),"")," ",""),".",""),"-",""),"/",""),"?",""),"_",""),",",""),"[",""),"]",""),"(",""),")",""),"*","")</f>
        <v/>
      </c>
      <c r="BA648" s="61" t="str">
        <f aca="false">SUBSTITUTE(SUBSTITUTE(SUBSTITUTE(SUBSTITUTE(SUBSTITUTE(SUBSTITUTE(SUBSTITUTE(SUBSTITUTE(SUBSTITUTE(SUBSTITUTE(SUBSTITUTE(SUBSTITUTE(SUBSTITUTE(LOWER(AA648&amp;""),CHAR(160),"")," ",""),".",""),"-",""),"/",""),"?",""),"_",""),",",""),"[",""),"]",""),"(",""),")",""),"*","")</f>
        <v/>
      </c>
      <c r="BB648" s="61" t="str">
        <f aca="false">IF(AND(TRIM(U648)="Pass",ISNUMBER(AF648)),IF(AF648&lt;&gt;0,"INVALID – qty variance: use Fail or Pass after CA",""),"")&amp;IF(AND(TRIM(U648)="Pass after CA",ISNUMBER(AF648)),IF(AF648&lt;&gt;0,"INVALID – after the corrective action the actual qty must equal expected (update Actual)",""),"")&amp;IF(AND(TRIM(U648)="Pass",TRIM(AB648)&lt;&gt;"",TRIM(AB648)&lt;&gt;"Closed"),"INVALID – corrective action not closed: use Fail, then Pass after CA","")&amp;IF(AND(TRIM(AA648)&lt;&gt;"",TRIM(AB648)=""),"INVALID – CA status missing for the recorded corrective action","")&amp;IF(AND(TRIM(U648)="Pass after CA",OR(OR(LEN(BA648)&lt;5,ISNUMBER(MATCH(BA648,L_Placeholder,0))),TRIM(AB648)&lt;&gt;"Closed")),"INVALID – corrective action not recorded/closed","")</f>
        <v/>
      </c>
    </row>
    <row r="649" customFormat="false" ht="39.75" hidden="false" customHeight="true" outlineLevel="0" collapsed="false">
      <c r="A649" s="57" t="s">
        <v>1345</v>
      </c>
      <c r="B649" s="57" t="s">
        <v>301</v>
      </c>
      <c r="C649" s="57" t="str">
        <f aca="false">Flights!$F$24</f>
        <v>MH1450</v>
      </c>
      <c r="D649" s="58" t="n">
        <f aca="false">Flights!$D$24</f>
        <v>46324</v>
      </c>
      <c r="E649" s="57" t="str">
        <f aca="false">Flights!$G$24&amp;"-"&amp;Flights!$H$24</f>
        <v>KUL-LGK</v>
      </c>
      <c r="F649" s="57" t="str">
        <f aca="false">Flights!$K$24</f>
        <v>EY</v>
      </c>
      <c r="G649" s="57" t="s">
        <v>79</v>
      </c>
      <c r="H649" s="57" t="s">
        <v>356</v>
      </c>
      <c r="I649" s="57" t="s">
        <v>376</v>
      </c>
      <c r="J649" s="57" t="s">
        <v>380</v>
      </c>
      <c r="K649" s="67" t="s">
        <v>381</v>
      </c>
      <c r="L649" s="67" t="s">
        <v>360</v>
      </c>
      <c r="M649" s="67"/>
      <c r="N649" s="67" t="s">
        <v>361</v>
      </c>
      <c r="O649" s="67"/>
      <c r="P649" s="57" t="s">
        <v>184</v>
      </c>
      <c r="Q649" s="59" t="n">
        <f aca="false">ROUND((Flights!$AC$24)*1440,0)/1440</f>
        <v>46317.4375</v>
      </c>
      <c r="R649" s="59" t="n">
        <f aca="false">Q649+(IF(AND(INDEX(TZ_DSTS,MATCH(P649,TZ_STN,0))&lt;&gt;"",Q649&gt;=INDEX(TZ_DSTS,MATCH(P649,TZ_STN,0)),Q649&lt;INDEX(TZ_DSTE,MATCH(P649,TZ_STN,0))),INDEX(TZ_DST,MATCH(P649,TZ_STN,0)),INDEX(TZ_STD,MATCH(P649,TZ_STN,0))))/24</f>
        <v>46317.7708333333</v>
      </c>
      <c r="S649" s="59" t="n">
        <f aca="false">Q649-T7EarlyD*24/24</f>
        <v>46303.4375</v>
      </c>
      <c r="T649" s="60"/>
      <c r="U649" s="60"/>
      <c r="V649" s="60"/>
      <c r="W649" s="61"/>
      <c r="X649" s="60"/>
      <c r="Y649" s="60"/>
      <c r="Z649" s="60"/>
      <c r="AA649" s="60"/>
      <c r="AB649" s="60"/>
      <c r="AC649" s="60"/>
      <c r="AD649" s="66"/>
      <c r="AE649" s="60"/>
      <c r="AF649" s="61" t="str">
        <f aca="false">IF(AND(ISNUMBER(X649),ISNUMBER(Y649)),Y649-X649,"")</f>
        <v/>
      </c>
      <c r="AG649" s="62" t="str">
        <f aca="false">IF(ISNUMBER(AD649),AD649-(IF(AND(INDEX(TZ_DSTS,MATCH(P649,TZ_STN,0))&lt;&gt;"",(AD649-INDEX(TZ_STD,MATCH(P649,TZ_STN,0))/24)&gt;=INDEX(TZ_DSTS,MATCH(P649,TZ_STN,0)),(AD649-INDEX(TZ_STD,MATCH(P649,TZ_STN,0))/24)&lt;INDEX(TZ_DSTE,MATCH(P649,TZ_STN,0))),INDEX(TZ_DST,MATCH(P649,TZ_STN,0)),INDEX(TZ_STD,MATCH(P649,TZ_STN,0))))/24,"")</f>
        <v/>
      </c>
      <c r="AH649" s="65" t="str">
        <f aca="false">IFERROR(IF(N649="N/A – rule","N/A – RULE",IF(TRIM(U649)="N/A",IF(AT649=0,"INVALID – N/A not permitted for this check",IF(AND(TRIM(AB649)&lt;&gt;"",TRIM(AB649)&lt;&gt;"Closed"),"INVALID – corrective action still open",IF(AND(NOT(OR(LEN(AZ649)&lt;15,ISNUMBER(MATCH(AZ649,L_Placeholder,0)))),NOT(OR(LEN(AU649)&lt;2,ISNUMBER(MATCH(AU649,L_Placeholder,0)))),NOT(OR(LEN(AX649)&lt;2,ISNUMBER(MATCH(AX649,L_Placeholder,0)))),TRIM(AE649)&lt;&gt;TRIM(T649)),"N/A – JUSTIFIED","INVALID – N/A needs a real justification (15+ chars), PIC and a different verifier"))),IF(OR(TRIM(U649)="Pass",TRIM(U649)="Pass after CA"),IF(NOT(ISNUMBER(AD649)),"INVALID – completion time missing",IF(OR(LEN(AU649)&lt;2,ISNUMBER(MATCH(AU649,L_Placeholder,0))),"INVALID – PIC missing",IF(OR(LEN(AV649)&lt;2,ISNUMBER(MATCH(AV649,L_Placeholder,0))),"INVALID – result / assessment missing",IF(OR(OR(LEN(AW649)&lt;3,ISNUMBER(MATCH(AW649,L_Placeholder,0))),SUMPRODUCT(--ISNUMBER(SEARCH(L_EvidencePhrase,AW649)))&gt;0),"INVALID – evidence missing, placeholder or not yet on file",IF(OR(LEN(AX649)&lt;2,ISNUMBER(MATCH(AX649,L_Placeholder,0))),"INVALID – verifier missing",IF(AX649=AU649,"INVALID – verifier must be someone other than the PIC",IF(AND(TRIM(U649)="Pass",SUMPRODUCT(--ISNUMBER(SEARCH(L_ResultBad,AV649)))&gt;0),"INVALID – result describes a problem: use Fail, then Pass after CA",IF(AND(AQ649=1,OR(LEN(AY649)&lt;3,ISNUMBER(MATCH(AY649,L_Placeholder,0)))),"INVALID – batch ID missing or placeholder",IF(AND(AR649=1,OR(NOT(ISNUMBER(X649)),NOT(ISNUMBER(Y649)))),"INVALID – expected/actual qty missing",IF(AND(AR649=1,OR(X649&lt;=0,Y649&lt;0)),"INVALID – expected qty must be above 0 and actual not negative",IF(BB649&lt;&gt;"",BB649,IF(AND(AS649=1,Documents!$J$24&lt;&gt;"ON FILE"),"INVALID – GLD not on file (Documents sheet)",IF(AND(AS649=2,Documents!$O$24&lt;&gt;"ON FILE"),"INVALID – menu checklist not on file (Documents sheet)",IF(AND(AS649=3,NOT(ISNUMBER(Flights!$AX$24))),"INVALID – enter carrying flight KUL departure (Flights AX)",IF(AND(AS649=3,OR(Flights!$AZ$24&gt;Flights!$AA$24,Flights!$AX$24&lt;Flights!$AA$24-3)),"INVALID – carrying flight (Flights AX) cannot arrive before this leg's STD, or is over 3 days early",IF(AG649&gt;AsOfUTC,"INVALID – completion time is in the future",IF(AND(ISNUMBER(S649),AG649&lt;S649),IF(H649="Physical uplift","INVALID – before uplift window (cannot confirm loading)","INVALID – before valid window"),IF(AG649&gt;Flights!$AA$24,"INVALID – completed after departure (cannot establish readiness)",IF(AND(H649="Preparation",AG649&gt;IF(ISNUMBER(Flights!$BA$24),MIN(Flights!$BA$24,Flights!$AA$24),Flights!$AA$24)),"INVALID – completed after loading / departure (cannot establish readiness)",IF(AND(H649="Physical uplift",AG649&gt;Q649),"INVALID – recorded after the loading flight departed",IF(AG649&gt;Q649,"COMPLETE – LATE","COMPLETE"))))))))))))))))))))),IF(TRIM(U649)="Fail","FAIL – DISCREPANCY",IF(AND(TRIM(U649)&lt;&gt;"",TRIM(U649)&lt;&gt;"Not started",TRIM(U649)&lt;&gt;"In progress"),"INVALID – unrecognised status (use the list)",IF(AsOfUTC&gt;Q649,"OVERDUE",IF(N649="Clarification required","OPEN – CLARIFICATION","OPEN"))))))),"INVALID – error value in an input cell")</f>
        <v>OPEN</v>
      </c>
      <c r="AI649" s="61" t="n">
        <f aca="false">IF(OR(AH649="N/A – RULE",AH649="N/A – JUSTIFIED"),0,1)</f>
        <v>1</v>
      </c>
      <c r="AJ649" s="61" t="n">
        <f aca="false">IF(LEFT(AH649,8)="COMPLETE",1,0)</f>
        <v>0</v>
      </c>
      <c r="AK649" s="61" t="n">
        <f aca="false">IF(AND(AI649=1,AJ649=0,AsOfUTC&gt;Q649),1,0)</f>
        <v>0</v>
      </c>
      <c r="AL649" s="61" t="n">
        <f aca="false">IFERROR(IF(AND(AI649=1,OR(TRIM(U649)="Fail",AND(TRIM(AB649)&lt;&gt;"",TRIM(AB649)&lt;&gt;"Closed"),AND(ISNUMBER(AF649),AF649&lt;&gt;0,TRIM(U649)&lt;&gt;"Pass after CA"))),1,0),1)</f>
        <v>0</v>
      </c>
      <c r="AM649" s="61" t="n">
        <f aca="false">IF(LEFT(AH649,7)="INVALID",1,0)</f>
        <v>0</v>
      </c>
      <c r="AN649" s="61" t="n">
        <f aca="false">IF(AND(N649="Clarification required",AI649=1,AJ649=0),1,0)</f>
        <v>0</v>
      </c>
      <c r="AO649" s="61" t="str">
        <f aca="false">IF(AK649=1,SUM(AK$5:AK649),"")</f>
        <v/>
      </c>
      <c r="AP649" s="61" t="str">
        <f aca="false">IF(AL649=1,SUM(AL$5:AL649),"")</f>
        <v/>
      </c>
      <c r="AQ649" s="61" t="n">
        <v>0</v>
      </c>
      <c r="AR649" s="61" t="n">
        <v>0</v>
      </c>
      <c r="AS649" s="61" t="n">
        <v>0</v>
      </c>
      <c r="AT649" s="61" t="n">
        <v>0</v>
      </c>
      <c r="AU649" s="61" t="str">
        <f aca="false">SUBSTITUTE(SUBSTITUTE(SUBSTITUTE(SUBSTITUTE(SUBSTITUTE(SUBSTITUTE(SUBSTITUTE(SUBSTITUTE(SUBSTITUTE(SUBSTITUTE(SUBSTITUTE(SUBSTITUTE(SUBSTITUTE(LOWER(T649&amp;""),CHAR(160),"")," ",""),".",""),"-",""),"/",""),"?",""),"_",""),",",""),"[",""),"]",""),"(",""),")",""),"*","")</f>
        <v/>
      </c>
      <c r="AV649" s="61" t="str">
        <f aca="false">SUBSTITUTE(SUBSTITUTE(SUBSTITUTE(SUBSTITUTE(SUBSTITUTE(SUBSTITUTE(SUBSTITUTE(SUBSTITUTE(SUBSTITUTE(SUBSTITUTE(SUBSTITUTE(SUBSTITUTE(SUBSTITUTE(LOWER(V649&amp;""),CHAR(160),"")," ",""),".",""),"-",""),"/",""),"?",""),"_",""),",",""),"[",""),"]",""),"(",""),")",""),"*","")</f>
        <v/>
      </c>
      <c r="AW649" s="61" t="str">
        <f aca="false">SUBSTITUTE(SUBSTITUTE(SUBSTITUTE(SUBSTITUTE(SUBSTITUTE(SUBSTITUTE(SUBSTITUTE(SUBSTITUTE(SUBSTITUTE(SUBSTITUTE(SUBSTITUTE(SUBSTITUTE(SUBSTITUTE(LOWER(Z649&amp;""),CHAR(160),"")," ",""),".",""),"-",""),"/",""),"?",""),"_",""),",",""),"[",""),"]",""),"(",""),")",""),"*","")</f>
        <v/>
      </c>
      <c r="AX649" s="61" t="str">
        <f aca="false">SUBSTITUTE(SUBSTITUTE(SUBSTITUTE(SUBSTITUTE(SUBSTITUTE(SUBSTITUTE(SUBSTITUTE(SUBSTITUTE(SUBSTITUTE(SUBSTITUTE(SUBSTITUTE(SUBSTITUTE(SUBSTITUTE(LOWER(AE649&amp;""),CHAR(160),"")," ",""),".",""),"-",""),"/",""),"?",""),"_",""),",",""),"[",""),"]",""),"(",""),")",""),"*","")</f>
        <v/>
      </c>
      <c r="AY649" s="61" t="str">
        <f aca="false">SUBSTITUTE(SUBSTITUTE(SUBSTITUTE(SUBSTITUTE(SUBSTITUTE(SUBSTITUTE(SUBSTITUTE(SUBSTITUTE(SUBSTITUTE(SUBSTITUTE(SUBSTITUTE(SUBSTITUTE(SUBSTITUTE(LOWER(W649&amp;""),CHAR(160),"")," ",""),".",""),"-",""),"/",""),"?",""),"_",""),",",""),"[",""),"]",""),"(",""),")",""),"*","")</f>
        <v/>
      </c>
      <c r="AZ649" s="61" t="str">
        <f aca="false">SUBSTITUTE(SUBSTITUTE(SUBSTITUTE(SUBSTITUTE(SUBSTITUTE(SUBSTITUTE(SUBSTITUTE(SUBSTITUTE(SUBSTITUTE(SUBSTITUTE(SUBSTITUTE(SUBSTITUTE(SUBSTITUTE(LOWER(AC649&amp;""),CHAR(160),"")," ",""),".",""),"-",""),"/",""),"?",""),"_",""),",",""),"[",""),"]",""),"(",""),")",""),"*","")</f>
        <v/>
      </c>
      <c r="BA649" s="61" t="str">
        <f aca="false">SUBSTITUTE(SUBSTITUTE(SUBSTITUTE(SUBSTITUTE(SUBSTITUTE(SUBSTITUTE(SUBSTITUTE(SUBSTITUTE(SUBSTITUTE(SUBSTITUTE(SUBSTITUTE(SUBSTITUTE(SUBSTITUTE(LOWER(AA649&amp;""),CHAR(160),"")," ",""),".",""),"-",""),"/",""),"?",""),"_",""),",",""),"[",""),"]",""),"(",""),")",""),"*","")</f>
        <v/>
      </c>
      <c r="BB649" s="61" t="str">
        <f aca="false">IF(AND(TRIM(U649)="Pass",ISNUMBER(AF649)),IF(AF649&lt;&gt;0,"INVALID – qty variance: use Fail or Pass after CA",""),"")&amp;IF(AND(TRIM(U649)="Pass after CA",ISNUMBER(AF649)),IF(AF649&lt;&gt;0,"INVALID – after the corrective action the actual qty must equal expected (update Actual)",""),"")&amp;IF(AND(TRIM(U649)="Pass",TRIM(AB649)&lt;&gt;"",TRIM(AB649)&lt;&gt;"Closed"),"INVALID – corrective action not closed: use Fail, then Pass after CA","")&amp;IF(AND(TRIM(AA649)&lt;&gt;"",TRIM(AB649)=""),"INVALID – CA status missing for the recorded corrective action","")&amp;IF(AND(TRIM(U649)="Pass after CA",OR(OR(LEN(BA649)&lt;5,ISNUMBER(MATCH(BA649,L_Placeholder,0))),TRIM(AB649)&lt;&gt;"Closed")),"INVALID – corrective action not recorded/closed","")</f>
        <v/>
      </c>
    </row>
    <row r="650" customFormat="false" ht="39.75" hidden="false" customHeight="true" outlineLevel="0" collapsed="false">
      <c r="A650" s="57" t="s">
        <v>1346</v>
      </c>
      <c r="B650" s="57" t="s">
        <v>301</v>
      </c>
      <c r="C650" s="57" t="str">
        <f aca="false">Flights!$F$24</f>
        <v>MH1450</v>
      </c>
      <c r="D650" s="58" t="n">
        <f aca="false">Flights!$D$24</f>
        <v>46324</v>
      </c>
      <c r="E650" s="57" t="str">
        <f aca="false">Flights!$G$24&amp;"-"&amp;Flights!$H$24</f>
        <v>KUL-LGK</v>
      </c>
      <c r="F650" s="57" t="str">
        <f aca="false">Flights!$K$24</f>
        <v>EY</v>
      </c>
      <c r="G650" s="57" t="s">
        <v>79</v>
      </c>
      <c r="H650" s="57" t="s">
        <v>356</v>
      </c>
      <c r="I650" s="57" t="s">
        <v>383</v>
      </c>
      <c r="J650" s="57" t="s">
        <v>384</v>
      </c>
      <c r="K650" s="67" t="s">
        <v>385</v>
      </c>
      <c r="L650" s="67" t="s">
        <v>360</v>
      </c>
      <c r="M650" s="67"/>
      <c r="N650" s="67" t="s">
        <v>361</v>
      </c>
      <c r="O650" s="67"/>
      <c r="P650" s="57" t="s">
        <v>184</v>
      </c>
      <c r="Q650" s="59" t="n">
        <f aca="false">ROUND((Flights!$AC$24)*1440,0)/1440</f>
        <v>46317.4375</v>
      </c>
      <c r="R650" s="59" t="n">
        <f aca="false">Q650+(IF(AND(INDEX(TZ_DSTS,MATCH(P650,TZ_STN,0))&lt;&gt;"",Q650&gt;=INDEX(TZ_DSTS,MATCH(P650,TZ_STN,0)),Q650&lt;INDEX(TZ_DSTE,MATCH(P650,TZ_STN,0))),INDEX(TZ_DST,MATCH(P650,TZ_STN,0)),INDEX(TZ_STD,MATCH(P650,TZ_STN,0))))/24</f>
        <v>46317.7708333333</v>
      </c>
      <c r="S650" s="59" t="n">
        <f aca="false">Q650-T7EarlyD*24/24</f>
        <v>46303.4375</v>
      </c>
      <c r="T650" s="60"/>
      <c r="U650" s="60"/>
      <c r="V650" s="60"/>
      <c r="W650" s="61"/>
      <c r="X650" s="60"/>
      <c r="Y650" s="60"/>
      <c r="Z650" s="60"/>
      <c r="AA650" s="60"/>
      <c r="AB650" s="60"/>
      <c r="AC650" s="60"/>
      <c r="AD650" s="66"/>
      <c r="AE650" s="60"/>
      <c r="AF650" s="61" t="str">
        <f aca="false">IF(AND(ISNUMBER(X650),ISNUMBER(Y650)),Y650-X650,"")</f>
        <v/>
      </c>
      <c r="AG650" s="62" t="str">
        <f aca="false">IF(ISNUMBER(AD650),AD650-(IF(AND(INDEX(TZ_DSTS,MATCH(P650,TZ_STN,0))&lt;&gt;"",(AD650-INDEX(TZ_STD,MATCH(P650,TZ_STN,0))/24)&gt;=INDEX(TZ_DSTS,MATCH(P650,TZ_STN,0)),(AD650-INDEX(TZ_STD,MATCH(P650,TZ_STN,0))/24)&lt;INDEX(TZ_DSTE,MATCH(P650,TZ_STN,0))),INDEX(TZ_DST,MATCH(P650,TZ_STN,0)),INDEX(TZ_STD,MATCH(P650,TZ_STN,0))))/24,"")</f>
        <v/>
      </c>
      <c r="AH650" s="65" t="str">
        <f aca="false">IFERROR(IF(N650="N/A – rule","N/A – RULE",IF(TRIM(U650)="N/A",IF(AT650=0,"INVALID – N/A not permitted for this check",IF(AND(TRIM(AB650)&lt;&gt;"",TRIM(AB650)&lt;&gt;"Closed"),"INVALID – corrective action still open",IF(AND(NOT(OR(LEN(AZ650)&lt;15,ISNUMBER(MATCH(AZ650,L_Placeholder,0)))),NOT(OR(LEN(AU650)&lt;2,ISNUMBER(MATCH(AU650,L_Placeholder,0)))),NOT(OR(LEN(AX650)&lt;2,ISNUMBER(MATCH(AX650,L_Placeholder,0)))),TRIM(AE650)&lt;&gt;TRIM(T650)),"N/A – JUSTIFIED","INVALID – N/A needs a real justification (15+ chars), PIC and a different verifier"))),IF(OR(TRIM(U650)="Pass",TRIM(U650)="Pass after CA"),IF(NOT(ISNUMBER(AD650)),"INVALID – completion time missing",IF(OR(LEN(AU650)&lt;2,ISNUMBER(MATCH(AU650,L_Placeholder,0))),"INVALID – PIC missing",IF(OR(LEN(AV650)&lt;2,ISNUMBER(MATCH(AV650,L_Placeholder,0))),"INVALID – result / assessment missing",IF(OR(OR(LEN(AW650)&lt;3,ISNUMBER(MATCH(AW650,L_Placeholder,0))),SUMPRODUCT(--ISNUMBER(SEARCH(L_EvidencePhrase,AW650)))&gt;0),"INVALID – evidence missing, placeholder or not yet on file",IF(OR(LEN(AX650)&lt;2,ISNUMBER(MATCH(AX650,L_Placeholder,0))),"INVALID – verifier missing",IF(AX650=AU650,"INVALID – verifier must be someone other than the PIC",IF(AND(TRIM(U650)="Pass",SUMPRODUCT(--ISNUMBER(SEARCH(L_ResultBad,AV650)))&gt;0),"INVALID – result describes a problem: use Fail, then Pass after CA",IF(AND(AQ650=1,OR(LEN(AY650)&lt;3,ISNUMBER(MATCH(AY650,L_Placeholder,0)))),"INVALID – batch ID missing or placeholder",IF(AND(AR650=1,OR(NOT(ISNUMBER(X650)),NOT(ISNUMBER(Y650)))),"INVALID – expected/actual qty missing",IF(AND(AR650=1,OR(X650&lt;=0,Y650&lt;0)),"INVALID – expected qty must be above 0 and actual not negative",IF(BB650&lt;&gt;"",BB650,IF(AND(AS650=1,Documents!$J$24&lt;&gt;"ON FILE"),"INVALID – GLD not on file (Documents sheet)",IF(AND(AS650=2,Documents!$O$24&lt;&gt;"ON FILE"),"INVALID – menu checklist not on file (Documents sheet)",IF(AND(AS650=3,NOT(ISNUMBER(Flights!$AX$24))),"INVALID – enter carrying flight KUL departure (Flights AX)",IF(AND(AS650=3,OR(Flights!$AZ$24&gt;Flights!$AA$24,Flights!$AX$24&lt;Flights!$AA$24-3)),"INVALID – carrying flight (Flights AX) cannot arrive before this leg's STD, or is over 3 days early",IF(AG650&gt;AsOfUTC,"INVALID – completion time is in the future",IF(AND(ISNUMBER(S650),AG650&lt;S650),IF(H650="Physical uplift","INVALID – before uplift window (cannot confirm loading)","INVALID – before valid window"),IF(AG650&gt;Flights!$AA$24,"INVALID – completed after departure (cannot establish readiness)",IF(AND(H650="Preparation",AG650&gt;IF(ISNUMBER(Flights!$BA$24),MIN(Flights!$BA$24,Flights!$AA$24),Flights!$AA$24)),"INVALID – completed after loading / departure (cannot establish readiness)",IF(AND(H650="Physical uplift",AG650&gt;Q650),"INVALID – recorded after the loading flight departed",IF(AG650&gt;Q650,"COMPLETE – LATE","COMPLETE"))))))))))))))))))))),IF(TRIM(U650)="Fail","FAIL – DISCREPANCY",IF(AND(TRIM(U650)&lt;&gt;"",TRIM(U650)&lt;&gt;"Not started",TRIM(U650)&lt;&gt;"In progress"),"INVALID – unrecognised status (use the list)",IF(AsOfUTC&gt;Q650,"OVERDUE",IF(N650="Clarification required","OPEN – CLARIFICATION","OPEN"))))))),"INVALID – error value in an input cell")</f>
        <v>OPEN</v>
      </c>
      <c r="AI650" s="61" t="n">
        <f aca="false">IF(OR(AH650="N/A – RULE",AH650="N/A – JUSTIFIED"),0,1)</f>
        <v>1</v>
      </c>
      <c r="AJ650" s="61" t="n">
        <f aca="false">IF(LEFT(AH650,8)="COMPLETE",1,0)</f>
        <v>0</v>
      </c>
      <c r="AK650" s="61" t="n">
        <f aca="false">IF(AND(AI650=1,AJ650=0,AsOfUTC&gt;Q650),1,0)</f>
        <v>0</v>
      </c>
      <c r="AL650" s="61" t="n">
        <f aca="false">IFERROR(IF(AND(AI650=1,OR(TRIM(U650)="Fail",AND(TRIM(AB650)&lt;&gt;"",TRIM(AB650)&lt;&gt;"Closed"),AND(ISNUMBER(AF650),AF650&lt;&gt;0,TRIM(U650)&lt;&gt;"Pass after CA"))),1,0),1)</f>
        <v>0</v>
      </c>
      <c r="AM650" s="61" t="n">
        <f aca="false">IF(LEFT(AH650,7)="INVALID",1,0)</f>
        <v>0</v>
      </c>
      <c r="AN650" s="61" t="n">
        <f aca="false">IF(AND(N650="Clarification required",AI650=1,AJ650=0),1,0)</f>
        <v>0</v>
      </c>
      <c r="AO650" s="61" t="str">
        <f aca="false">IF(AK650=1,SUM(AK$5:AK650),"")</f>
        <v/>
      </c>
      <c r="AP650" s="61" t="str">
        <f aca="false">IF(AL650=1,SUM(AL$5:AL650),"")</f>
        <v/>
      </c>
      <c r="AQ650" s="61" t="n">
        <v>0</v>
      </c>
      <c r="AR650" s="61" t="n">
        <v>0</v>
      </c>
      <c r="AS650" s="61" t="n">
        <v>1</v>
      </c>
      <c r="AT650" s="61" t="n">
        <v>0</v>
      </c>
      <c r="AU650" s="61" t="str">
        <f aca="false">SUBSTITUTE(SUBSTITUTE(SUBSTITUTE(SUBSTITUTE(SUBSTITUTE(SUBSTITUTE(SUBSTITUTE(SUBSTITUTE(SUBSTITUTE(SUBSTITUTE(SUBSTITUTE(SUBSTITUTE(SUBSTITUTE(LOWER(T650&amp;""),CHAR(160),"")," ",""),".",""),"-",""),"/",""),"?",""),"_",""),",",""),"[",""),"]",""),"(",""),")",""),"*","")</f>
        <v/>
      </c>
      <c r="AV650" s="61" t="str">
        <f aca="false">SUBSTITUTE(SUBSTITUTE(SUBSTITUTE(SUBSTITUTE(SUBSTITUTE(SUBSTITUTE(SUBSTITUTE(SUBSTITUTE(SUBSTITUTE(SUBSTITUTE(SUBSTITUTE(SUBSTITUTE(SUBSTITUTE(LOWER(V650&amp;""),CHAR(160),"")," ",""),".",""),"-",""),"/",""),"?",""),"_",""),",",""),"[",""),"]",""),"(",""),")",""),"*","")</f>
        <v/>
      </c>
      <c r="AW650" s="61" t="str">
        <f aca="false">SUBSTITUTE(SUBSTITUTE(SUBSTITUTE(SUBSTITUTE(SUBSTITUTE(SUBSTITUTE(SUBSTITUTE(SUBSTITUTE(SUBSTITUTE(SUBSTITUTE(SUBSTITUTE(SUBSTITUTE(SUBSTITUTE(LOWER(Z650&amp;""),CHAR(160),"")," ",""),".",""),"-",""),"/",""),"?",""),"_",""),",",""),"[",""),"]",""),"(",""),")",""),"*","")</f>
        <v/>
      </c>
      <c r="AX650" s="61" t="str">
        <f aca="false">SUBSTITUTE(SUBSTITUTE(SUBSTITUTE(SUBSTITUTE(SUBSTITUTE(SUBSTITUTE(SUBSTITUTE(SUBSTITUTE(SUBSTITUTE(SUBSTITUTE(SUBSTITUTE(SUBSTITUTE(SUBSTITUTE(LOWER(AE650&amp;""),CHAR(160),"")," ",""),".",""),"-",""),"/",""),"?",""),"_",""),",",""),"[",""),"]",""),"(",""),")",""),"*","")</f>
        <v/>
      </c>
      <c r="AY650" s="61" t="str">
        <f aca="false">SUBSTITUTE(SUBSTITUTE(SUBSTITUTE(SUBSTITUTE(SUBSTITUTE(SUBSTITUTE(SUBSTITUTE(SUBSTITUTE(SUBSTITUTE(SUBSTITUTE(SUBSTITUTE(SUBSTITUTE(SUBSTITUTE(LOWER(W650&amp;""),CHAR(160),"")," ",""),".",""),"-",""),"/",""),"?",""),"_",""),",",""),"[",""),"]",""),"(",""),")",""),"*","")</f>
        <v/>
      </c>
      <c r="AZ650" s="61" t="str">
        <f aca="false">SUBSTITUTE(SUBSTITUTE(SUBSTITUTE(SUBSTITUTE(SUBSTITUTE(SUBSTITUTE(SUBSTITUTE(SUBSTITUTE(SUBSTITUTE(SUBSTITUTE(SUBSTITUTE(SUBSTITUTE(SUBSTITUTE(LOWER(AC650&amp;""),CHAR(160),"")," ",""),".",""),"-",""),"/",""),"?",""),"_",""),",",""),"[",""),"]",""),"(",""),")",""),"*","")</f>
        <v/>
      </c>
      <c r="BA650" s="61" t="str">
        <f aca="false">SUBSTITUTE(SUBSTITUTE(SUBSTITUTE(SUBSTITUTE(SUBSTITUTE(SUBSTITUTE(SUBSTITUTE(SUBSTITUTE(SUBSTITUTE(SUBSTITUTE(SUBSTITUTE(SUBSTITUTE(SUBSTITUTE(LOWER(AA650&amp;""),CHAR(160),"")," ",""),".",""),"-",""),"/",""),"?",""),"_",""),",",""),"[",""),"]",""),"(",""),")",""),"*","")</f>
        <v/>
      </c>
      <c r="BB650" s="61" t="str">
        <f aca="false">IF(AND(TRIM(U650)="Pass",ISNUMBER(AF650)),IF(AF650&lt;&gt;0,"INVALID – qty variance: use Fail or Pass after CA",""),"")&amp;IF(AND(TRIM(U650)="Pass after CA",ISNUMBER(AF650)),IF(AF650&lt;&gt;0,"INVALID – after the corrective action the actual qty must equal expected (update Actual)",""),"")&amp;IF(AND(TRIM(U650)="Pass",TRIM(AB650)&lt;&gt;"",TRIM(AB650)&lt;&gt;"Closed"),"INVALID – corrective action not closed: use Fail, then Pass after CA","")&amp;IF(AND(TRIM(AA650)&lt;&gt;"",TRIM(AB650)=""),"INVALID – CA status missing for the recorded corrective action","")&amp;IF(AND(TRIM(U650)="Pass after CA",OR(OR(LEN(BA650)&lt;5,ISNUMBER(MATCH(BA650,L_Placeholder,0))),TRIM(AB650)&lt;&gt;"Closed")),"INVALID – corrective action not recorded/closed","")</f>
        <v/>
      </c>
    </row>
    <row r="651" customFormat="false" ht="39.75" hidden="false" customHeight="true" outlineLevel="0" collapsed="false">
      <c r="A651" s="57" t="s">
        <v>1347</v>
      </c>
      <c r="B651" s="57" t="s">
        <v>301</v>
      </c>
      <c r="C651" s="57" t="str">
        <f aca="false">Flights!$F$24</f>
        <v>MH1450</v>
      </c>
      <c r="D651" s="58" t="n">
        <f aca="false">Flights!$D$24</f>
        <v>46324</v>
      </c>
      <c r="E651" s="57" t="str">
        <f aca="false">Flights!$G$24&amp;"-"&amp;Flights!$H$24</f>
        <v>KUL-LGK</v>
      </c>
      <c r="F651" s="57" t="str">
        <f aca="false">Flights!$K$24</f>
        <v>EY</v>
      </c>
      <c r="G651" s="57" t="s">
        <v>79</v>
      </c>
      <c r="H651" s="57" t="s">
        <v>356</v>
      </c>
      <c r="I651" s="57" t="s">
        <v>383</v>
      </c>
      <c r="J651" s="57" t="s">
        <v>387</v>
      </c>
      <c r="K651" s="67" t="s">
        <v>385</v>
      </c>
      <c r="L651" s="67" t="s">
        <v>360</v>
      </c>
      <c r="M651" s="67"/>
      <c r="N651" s="67" t="s">
        <v>361</v>
      </c>
      <c r="O651" s="67"/>
      <c r="P651" s="57" t="s">
        <v>184</v>
      </c>
      <c r="Q651" s="59" t="n">
        <f aca="false">ROUND((Flights!$AC$24)*1440,0)/1440</f>
        <v>46317.4375</v>
      </c>
      <c r="R651" s="59" t="n">
        <f aca="false">Q651+(IF(AND(INDEX(TZ_DSTS,MATCH(P651,TZ_STN,0))&lt;&gt;"",Q651&gt;=INDEX(TZ_DSTS,MATCH(P651,TZ_STN,0)),Q651&lt;INDEX(TZ_DSTE,MATCH(P651,TZ_STN,0))),INDEX(TZ_DST,MATCH(P651,TZ_STN,0)),INDEX(TZ_STD,MATCH(P651,TZ_STN,0))))/24</f>
        <v>46317.7708333333</v>
      </c>
      <c r="S651" s="59" t="n">
        <f aca="false">Q651-T7EarlyD*24/24</f>
        <v>46303.4375</v>
      </c>
      <c r="T651" s="60"/>
      <c r="U651" s="60"/>
      <c r="V651" s="60"/>
      <c r="W651" s="61"/>
      <c r="X651" s="60"/>
      <c r="Y651" s="60"/>
      <c r="Z651" s="60"/>
      <c r="AA651" s="60"/>
      <c r="AB651" s="60"/>
      <c r="AC651" s="60"/>
      <c r="AD651" s="66"/>
      <c r="AE651" s="60"/>
      <c r="AF651" s="61" t="str">
        <f aca="false">IF(AND(ISNUMBER(X651),ISNUMBER(Y651)),Y651-X651,"")</f>
        <v/>
      </c>
      <c r="AG651" s="62" t="str">
        <f aca="false">IF(ISNUMBER(AD651),AD651-(IF(AND(INDEX(TZ_DSTS,MATCH(P651,TZ_STN,0))&lt;&gt;"",(AD651-INDEX(TZ_STD,MATCH(P651,TZ_STN,0))/24)&gt;=INDEX(TZ_DSTS,MATCH(P651,TZ_STN,0)),(AD651-INDEX(TZ_STD,MATCH(P651,TZ_STN,0))/24)&lt;INDEX(TZ_DSTE,MATCH(P651,TZ_STN,0))),INDEX(TZ_DST,MATCH(P651,TZ_STN,0)),INDEX(TZ_STD,MATCH(P651,TZ_STN,0))))/24,"")</f>
        <v/>
      </c>
      <c r="AH651" s="65" t="str">
        <f aca="false">IFERROR(IF(N651="N/A – rule","N/A – RULE",IF(TRIM(U651)="N/A",IF(AT651=0,"INVALID – N/A not permitted for this check",IF(AND(TRIM(AB651)&lt;&gt;"",TRIM(AB651)&lt;&gt;"Closed"),"INVALID – corrective action still open",IF(AND(NOT(OR(LEN(AZ651)&lt;15,ISNUMBER(MATCH(AZ651,L_Placeholder,0)))),NOT(OR(LEN(AU651)&lt;2,ISNUMBER(MATCH(AU651,L_Placeholder,0)))),NOT(OR(LEN(AX651)&lt;2,ISNUMBER(MATCH(AX651,L_Placeholder,0)))),TRIM(AE651)&lt;&gt;TRIM(T651)),"N/A – JUSTIFIED","INVALID – N/A needs a real justification (15+ chars), PIC and a different verifier"))),IF(OR(TRIM(U651)="Pass",TRIM(U651)="Pass after CA"),IF(NOT(ISNUMBER(AD651)),"INVALID – completion time missing",IF(OR(LEN(AU651)&lt;2,ISNUMBER(MATCH(AU651,L_Placeholder,0))),"INVALID – PIC missing",IF(OR(LEN(AV651)&lt;2,ISNUMBER(MATCH(AV651,L_Placeholder,0))),"INVALID – result / assessment missing",IF(OR(OR(LEN(AW651)&lt;3,ISNUMBER(MATCH(AW651,L_Placeholder,0))),SUMPRODUCT(--ISNUMBER(SEARCH(L_EvidencePhrase,AW651)))&gt;0),"INVALID – evidence missing, placeholder or not yet on file",IF(OR(LEN(AX651)&lt;2,ISNUMBER(MATCH(AX651,L_Placeholder,0))),"INVALID – verifier missing",IF(AX651=AU651,"INVALID – verifier must be someone other than the PIC",IF(AND(TRIM(U651)="Pass",SUMPRODUCT(--ISNUMBER(SEARCH(L_ResultBad,AV651)))&gt;0),"INVALID – result describes a problem: use Fail, then Pass after CA",IF(AND(AQ651=1,OR(LEN(AY651)&lt;3,ISNUMBER(MATCH(AY651,L_Placeholder,0)))),"INVALID – batch ID missing or placeholder",IF(AND(AR651=1,OR(NOT(ISNUMBER(X651)),NOT(ISNUMBER(Y651)))),"INVALID – expected/actual qty missing",IF(AND(AR651=1,OR(X651&lt;=0,Y651&lt;0)),"INVALID – expected qty must be above 0 and actual not negative",IF(BB651&lt;&gt;"",BB651,IF(AND(AS651=1,Documents!$J$24&lt;&gt;"ON FILE"),"INVALID – GLD not on file (Documents sheet)",IF(AND(AS651=2,Documents!$O$24&lt;&gt;"ON FILE"),"INVALID – menu checklist not on file (Documents sheet)",IF(AND(AS651=3,NOT(ISNUMBER(Flights!$AX$24))),"INVALID – enter carrying flight KUL departure (Flights AX)",IF(AND(AS651=3,OR(Flights!$AZ$24&gt;Flights!$AA$24,Flights!$AX$24&lt;Flights!$AA$24-3)),"INVALID – carrying flight (Flights AX) cannot arrive before this leg's STD, or is over 3 days early",IF(AG651&gt;AsOfUTC,"INVALID – completion time is in the future",IF(AND(ISNUMBER(S651),AG651&lt;S651),IF(H651="Physical uplift","INVALID – before uplift window (cannot confirm loading)","INVALID – before valid window"),IF(AG651&gt;Flights!$AA$24,"INVALID – completed after departure (cannot establish readiness)",IF(AND(H651="Preparation",AG651&gt;IF(ISNUMBER(Flights!$BA$24),MIN(Flights!$BA$24,Flights!$AA$24),Flights!$AA$24)),"INVALID – completed after loading / departure (cannot establish readiness)",IF(AND(H651="Physical uplift",AG651&gt;Q651),"INVALID – recorded after the loading flight departed",IF(AG651&gt;Q651,"COMPLETE – LATE","COMPLETE"))))))))))))))))))))),IF(TRIM(U651)="Fail","FAIL – DISCREPANCY",IF(AND(TRIM(U651)&lt;&gt;"",TRIM(U651)&lt;&gt;"Not started",TRIM(U651)&lt;&gt;"In progress"),"INVALID – unrecognised status (use the list)",IF(AsOfUTC&gt;Q651,"OVERDUE",IF(N651="Clarification required","OPEN – CLARIFICATION","OPEN"))))))),"INVALID – error value in an input cell")</f>
        <v>OPEN</v>
      </c>
      <c r="AI651" s="61" t="n">
        <f aca="false">IF(OR(AH651="N/A – RULE",AH651="N/A – JUSTIFIED"),0,1)</f>
        <v>1</v>
      </c>
      <c r="AJ651" s="61" t="n">
        <f aca="false">IF(LEFT(AH651,8)="COMPLETE",1,0)</f>
        <v>0</v>
      </c>
      <c r="AK651" s="61" t="n">
        <f aca="false">IF(AND(AI651=1,AJ651=0,AsOfUTC&gt;Q651),1,0)</f>
        <v>0</v>
      </c>
      <c r="AL651" s="61" t="n">
        <f aca="false">IFERROR(IF(AND(AI651=1,OR(TRIM(U651)="Fail",AND(TRIM(AB651)&lt;&gt;"",TRIM(AB651)&lt;&gt;"Closed"),AND(ISNUMBER(AF651),AF651&lt;&gt;0,TRIM(U651)&lt;&gt;"Pass after CA"))),1,0),1)</f>
        <v>0</v>
      </c>
      <c r="AM651" s="61" t="n">
        <f aca="false">IF(LEFT(AH651,7)="INVALID",1,0)</f>
        <v>0</v>
      </c>
      <c r="AN651" s="61" t="n">
        <f aca="false">IF(AND(N651="Clarification required",AI651=1,AJ651=0),1,0)</f>
        <v>0</v>
      </c>
      <c r="AO651" s="61" t="str">
        <f aca="false">IF(AK651=1,SUM(AK$5:AK651),"")</f>
        <v/>
      </c>
      <c r="AP651" s="61" t="str">
        <f aca="false">IF(AL651=1,SUM(AL$5:AL651),"")</f>
        <v/>
      </c>
      <c r="AQ651" s="61" t="n">
        <v>0</v>
      </c>
      <c r="AR651" s="61" t="n">
        <v>0</v>
      </c>
      <c r="AS651" s="61" t="n">
        <v>2</v>
      </c>
      <c r="AT651" s="61" t="n">
        <v>0</v>
      </c>
      <c r="AU651" s="61" t="str">
        <f aca="false">SUBSTITUTE(SUBSTITUTE(SUBSTITUTE(SUBSTITUTE(SUBSTITUTE(SUBSTITUTE(SUBSTITUTE(SUBSTITUTE(SUBSTITUTE(SUBSTITUTE(SUBSTITUTE(SUBSTITUTE(SUBSTITUTE(LOWER(T651&amp;""),CHAR(160),"")," ",""),".",""),"-",""),"/",""),"?",""),"_",""),",",""),"[",""),"]",""),"(",""),")",""),"*","")</f>
        <v/>
      </c>
      <c r="AV651" s="61" t="str">
        <f aca="false">SUBSTITUTE(SUBSTITUTE(SUBSTITUTE(SUBSTITUTE(SUBSTITUTE(SUBSTITUTE(SUBSTITUTE(SUBSTITUTE(SUBSTITUTE(SUBSTITUTE(SUBSTITUTE(SUBSTITUTE(SUBSTITUTE(LOWER(V651&amp;""),CHAR(160),"")," ",""),".",""),"-",""),"/",""),"?",""),"_",""),",",""),"[",""),"]",""),"(",""),")",""),"*","")</f>
        <v/>
      </c>
      <c r="AW651" s="61" t="str">
        <f aca="false">SUBSTITUTE(SUBSTITUTE(SUBSTITUTE(SUBSTITUTE(SUBSTITUTE(SUBSTITUTE(SUBSTITUTE(SUBSTITUTE(SUBSTITUTE(SUBSTITUTE(SUBSTITUTE(SUBSTITUTE(SUBSTITUTE(LOWER(Z651&amp;""),CHAR(160),"")," ",""),".",""),"-",""),"/",""),"?",""),"_",""),",",""),"[",""),"]",""),"(",""),")",""),"*","")</f>
        <v/>
      </c>
      <c r="AX651" s="61" t="str">
        <f aca="false">SUBSTITUTE(SUBSTITUTE(SUBSTITUTE(SUBSTITUTE(SUBSTITUTE(SUBSTITUTE(SUBSTITUTE(SUBSTITUTE(SUBSTITUTE(SUBSTITUTE(SUBSTITUTE(SUBSTITUTE(SUBSTITUTE(LOWER(AE651&amp;""),CHAR(160),"")," ",""),".",""),"-",""),"/",""),"?",""),"_",""),",",""),"[",""),"]",""),"(",""),")",""),"*","")</f>
        <v/>
      </c>
      <c r="AY651" s="61" t="str">
        <f aca="false">SUBSTITUTE(SUBSTITUTE(SUBSTITUTE(SUBSTITUTE(SUBSTITUTE(SUBSTITUTE(SUBSTITUTE(SUBSTITUTE(SUBSTITUTE(SUBSTITUTE(SUBSTITUTE(SUBSTITUTE(SUBSTITUTE(LOWER(W651&amp;""),CHAR(160),"")," ",""),".",""),"-",""),"/",""),"?",""),"_",""),",",""),"[",""),"]",""),"(",""),")",""),"*","")</f>
        <v/>
      </c>
      <c r="AZ651" s="61" t="str">
        <f aca="false">SUBSTITUTE(SUBSTITUTE(SUBSTITUTE(SUBSTITUTE(SUBSTITUTE(SUBSTITUTE(SUBSTITUTE(SUBSTITUTE(SUBSTITUTE(SUBSTITUTE(SUBSTITUTE(SUBSTITUTE(SUBSTITUTE(LOWER(AC651&amp;""),CHAR(160),"")," ",""),".",""),"-",""),"/",""),"?",""),"_",""),",",""),"[",""),"]",""),"(",""),")",""),"*","")</f>
        <v/>
      </c>
      <c r="BA651" s="61" t="str">
        <f aca="false">SUBSTITUTE(SUBSTITUTE(SUBSTITUTE(SUBSTITUTE(SUBSTITUTE(SUBSTITUTE(SUBSTITUTE(SUBSTITUTE(SUBSTITUTE(SUBSTITUTE(SUBSTITUTE(SUBSTITUTE(SUBSTITUTE(LOWER(AA651&amp;""),CHAR(160),"")," ",""),".",""),"-",""),"/",""),"?",""),"_",""),",",""),"[",""),"]",""),"(",""),")",""),"*","")</f>
        <v/>
      </c>
      <c r="BB651" s="61" t="str">
        <f aca="false">IF(AND(TRIM(U651)="Pass",ISNUMBER(AF651)),IF(AF651&lt;&gt;0,"INVALID – qty variance: use Fail or Pass after CA",""),"")&amp;IF(AND(TRIM(U651)="Pass after CA",ISNUMBER(AF651)),IF(AF651&lt;&gt;0,"INVALID – after the corrective action the actual qty must equal expected (update Actual)",""),"")&amp;IF(AND(TRIM(U651)="Pass",TRIM(AB651)&lt;&gt;"",TRIM(AB651)&lt;&gt;"Closed"),"INVALID – corrective action not closed: use Fail, then Pass after CA","")&amp;IF(AND(TRIM(AA651)&lt;&gt;"",TRIM(AB651)=""),"INVALID – CA status missing for the recorded corrective action","")&amp;IF(AND(TRIM(U651)="Pass after CA",OR(OR(LEN(BA651)&lt;5,ISNUMBER(MATCH(BA651,L_Placeholder,0))),TRIM(AB651)&lt;&gt;"Closed")),"INVALID – corrective action not recorded/closed","")</f>
        <v/>
      </c>
    </row>
    <row r="652" customFormat="false" ht="39.75" hidden="false" customHeight="true" outlineLevel="0" collapsed="false">
      <c r="A652" s="57" t="s">
        <v>1348</v>
      </c>
      <c r="B652" s="57" t="s">
        <v>301</v>
      </c>
      <c r="C652" s="57" t="str">
        <f aca="false">Flights!$F$24</f>
        <v>MH1450</v>
      </c>
      <c r="D652" s="58" t="n">
        <f aca="false">Flights!$D$24</f>
        <v>46324</v>
      </c>
      <c r="E652" s="57" t="str">
        <f aca="false">Flights!$G$24&amp;"-"&amp;Flights!$H$24</f>
        <v>KUL-LGK</v>
      </c>
      <c r="F652" s="57" t="str">
        <f aca="false">Flights!$K$24</f>
        <v>EY</v>
      </c>
      <c r="G652" s="57" t="s">
        <v>79</v>
      </c>
      <c r="H652" s="57" t="s">
        <v>356</v>
      </c>
      <c r="I652" s="57" t="s">
        <v>389</v>
      </c>
      <c r="J652" s="57" t="s">
        <v>390</v>
      </c>
      <c r="K652" s="67" t="s">
        <v>900</v>
      </c>
      <c r="L652" s="67" t="s">
        <v>1349</v>
      </c>
      <c r="M652" s="67"/>
      <c r="N652" s="67" t="s">
        <v>361</v>
      </c>
      <c r="O652" s="67"/>
      <c r="P652" s="57" t="s">
        <v>184</v>
      </c>
      <c r="Q652" s="59" t="n">
        <f aca="false">ROUND((Flights!$AC$24)*1440,0)/1440</f>
        <v>46317.4375</v>
      </c>
      <c r="R652" s="59" t="n">
        <f aca="false">Q652+(IF(AND(INDEX(TZ_DSTS,MATCH(P652,TZ_STN,0))&lt;&gt;"",Q652&gt;=INDEX(TZ_DSTS,MATCH(P652,TZ_STN,0)),Q652&lt;INDEX(TZ_DSTE,MATCH(P652,TZ_STN,0))),INDEX(TZ_DST,MATCH(P652,TZ_STN,0)),INDEX(TZ_STD,MATCH(P652,TZ_STN,0))))/24</f>
        <v>46317.7708333333</v>
      </c>
      <c r="S652" s="59" t="n">
        <f aca="false">Q652-T7EarlyD*24/24</f>
        <v>46303.4375</v>
      </c>
      <c r="T652" s="60"/>
      <c r="U652" s="60"/>
      <c r="V652" s="60"/>
      <c r="W652" s="61"/>
      <c r="X652" s="60"/>
      <c r="Y652" s="60"/>
      <c r="Z652" s="60"/>
      <c r="AA652" s="60"/>
      <c r="AB652" s="60"/>
      <c r="AC652" s="60"/>
      <c r="AD652" s="66"/>
      <c r="AE652" s="60"/>
      <c r="AF652" s="61" t="str">
        <f aca="false">IF(AND(ISNUMBER(X652),ISNUMBER(Y652)),Y652-X652,"")</f>
        <v/>
      </c>
      <c r="AG652" s="62" t="str">
        <f aca="false">IF(ISNUMBER(AD652),AD652-(IF(AND(INDEX(TZ_DSTS,MATCH(P652,TZ_STN,0))&lt;&gt;"",(AD652-INDEX(TZ_STD,MATCH(P652,TZ_STN,0))/24)&gt;=INDEX(TZ_DSTS,MATCH(P652,TZ_STN,0)),(AD652-INDEX(TZ_STD,MATCH(P652,TZ_STN,0))/24)&lt;INDEX(TZ_DSTE,MATCH(P652,TZ_STN,0))),INDEX(TZ_DST,MATCH(P652,TZ_STN,0)),INDEX(TZ_STD,MATCH(P652,TZ_STN,0))))/24,"")</f>
        <v/>
      </c>
      <c r="AH652" s="65" t="str">
        <f aca="false">IFERROR(IF(N652="N/A – rule","N/A – RULE",IF(TRIM(U652)="N/A",IF(AT652=0,"INVALID – N/A not permitted for this check",IF(AND(TRIM(AB652)&lt;&gt;"",TRIM(AB652)&lt;&gt;"Closed"),"INVALID – corrective action still open",IF(AND(NOT(OR(LEN(AZ652)&lt;15,ISNUMBER(MATCH(AZ652,L_Placeholder,0)))),NOT(OR(LEN(AU652)&lt;2,ISNUMBER(MATCH(AU652,L_Placeholder,0)))),NOT(OR(LEN(AX652)&lt;2,ISNUMBER(MATCH(AX652,L_Placeholder,0)))),TRIM(AE652)&lt;&gt;TRIM(T652)),"N/A – JUSTIFIED","INVALID – N/A needs a real justification (15+ chars), PIC and a different verifier"))),IF(OR(TRIM(U652)="Pass",TRIM(U652)="Pass after CA"),IF(NOT(ISNUMBER(AD652)),"INVALID – completion time missing",IF(OR(LEN(AU652)&lt;2,ISNUMBER(MATCH(AU652,L_Placeholder,0))),"INVALID – PIC missing",IF(OR(LEN(AV652)&lt;2,ISNUMBER(MATCH(AV652,L_Placeholder,0))),"INVALID – result / assessment missing",IF(OR(OR(LEN(AW652)&lt;3,ISNUMBER(MATCH(AW652,L_Placeholder,0))),SUMPRODUCT(--ISNUMBER(SEARCH(L_EvidencePhrase,AW652)))&gt;0),"INVALID – evidence missing, placeholder or not yet on file",IF(OR(LEN(AX652)&lt;2,ISNUMBER(MATCH(AX652,L_Placeholder,0))),"INVALID – verifier missing",IF(AX652=AU652,"INVALID – verifier must be someone other than the PIC",IF(AND(TRIM(U652)="Pass",SUMPRODUCT(--ISNUMBER(SEARCH(L_ResultBad,AV652)))&gt;0),"INVALID – result describes a problem: use Fail, then Pass after CA",IF(AND(AQ652=1,OR(LEN(AY652)&lt;3,ISNUMBER(MATCH(AY652,L_Placeholder,0)))),"INVALID – batch ID missing or placeholder",IF(AND(AR652=1,OR(NOT(ISNUMBER(X652)),NOT(ISNUMBER(Y652)))),"INVALID – expected/actual qty missing",IF(AND(AR652=1,OR(X652&lt;=0,Y652&lt;0)),"INVALID – expected qty must be above 0 and actual not negative",IF(BB652&lt;&gt;"",BB652,IF(AND(AS652=1,Documents!$J$24&lt;&gt;"ON FILE"),"INVALID – GLD not on file (Documents sheet)",IF(AND(AS652=2,Documents!$O$24&lt;&gt;"ON FILE"),"INVALID – menu checklist not on file (Documents sheet)",IF(AND(AS652=3,NOT(ISNUMBER(Flights!$AX$24))),"INVALID – enter carrying flight KUL departure (Flights AX)",IF(AND(AS652=3,OR(Flights!$AZ$24&gt;Flights!$AA$24,Flights!$AX$24&lt;Flights!$AA$24-3)),"INVALID – carrying flight (Flights AX) cannot arrive before this leg's STD, or is over 3 days early",IF(AG652&gt;AsOfUTC,"INVALID – completion time is in the future",IF(AND(ISNUMBER(S652),AG652&lt;S652),IF(H652="Physical uplift","INVALID – before uplift window (cannot confirm loading)","INVALID – before valid window"),IF(AG652&gt;Flights!$AA$24,"INVALID – completed after departure (cannot establish readiness)",IF(AND(H652="Preparation",AG652&gt;IF(ISNUMBER(Flights!$BA$24),MIN(Flights!$BA$24,Flights!$AA$24),Flights!$AA$24)),"INVALID – completed after loading / departure (cannot establish readiness)",IF(AND(H652="Physical uplift",AG652&gt;Q652),"INVALID – recorded after the loading flight departed",IF(AG652&gt;Q652,"COMPLETE – LATE","COMPLETE"))))))))))))))))))))),IF(TRIM(U652)="Fail","FAIL – DISCREPANCY",IF(AND(TRIM(U652)&lt;&gt;"",TRIM(U652)&lt;&gt;"Not started",TRIM(U652)&lt;&gt;"In progress"),"INVALID – unrecognised status (use the list)",IF(AsOfUTC&gt;Q652,"OVERDUE",IF(N652="Clarification required","OPEN – CLARIFICATION","OPEN"))))))),"INVALID – error value in an input cell")</f>
        <v>OPEN</v>
      </c>
      <c r="AI652" s="61" t="n">
        <f aca="false">IF(OR(AH652="N/A – RULE",AH652="N/A – JUSTIFIED"),0,1)</f>
        <v>1</v>
      </c>
      <c r="AJ652" s="61" t="n">
        <f aca="false">IF(LEFT(AH652,8)="COMPLETE",1,0)</f>
        <v>0</v>
      </c>
      <c r="AK652" s="61" t="n">
        <f aca="false">IF(AND(AI652=1,AJ652=0,AsOfUTC&gt;Q652),1,0)</f>
        <v>0</v>
      </c>
      <c r="AL652" s="61" t="n">
        <f aca="false">IFERROR(IF(AND(AI652=1,OR(TRIM(U652)="Fail",AND(TRIM(AB652)&lt;&gt;"",TRIM(AB652)&lt;&gt;"Closed"),AND(ISNUMBER(AF652),AF652&lt;&gt;0,TRIM(U652)&lt;&gt;"Pass after CA"))),1,0),1)</f>
        <v>0</v>
      </c>
      <c r="AM652" s="61" t="n">
        <f aca="false">IF(LEFT(AH652,7)="INVALID",1,0)</f>
        <v>0</v>
      </c>
      <c r="AN652" s="61" t="n">
        <f aca="false">IF(AND(N652="Clarification required",AI652=1,AJ652=0),1,0)</f>
        <v>0</v>
      </c>
      <c r="AO652" s="61" t="str">
        <f aca="false">IF(AK652=1,SUM(AK$5:AK652),"")</f>
        <v/>
      </c>
      <c r="AP652" s="61" t="str">
        <f aca="false">IF(AL652=1,SUM(AL$5:AL652),"")</f>
        <v/>
      </c>
      <c r="AQ652" s="61" t="n">
        <v>0</v>
      </c>
      <c r="AR652" s="61" t="n">
        <v>0</v>
      </c>
      <c r="AS652" s="61" t="n">
        <v>0</v>
      </c>
      <c r="AT652" s="61" t="n">
        <v>0</v>
      </c>
      <c r="AU652" s="61" t="str">
        <f aca="false">SUBSTITUTE(SUBSTITUTE(SUBSTITUTE(SUBSTITUTE(SUBSTITUTE(SUBSTITUTE(SUBSTITUTE(SUBSTITUTE(SUBSTITUTE(SUBSTITUTE(SUBSTITUTE(SUBSTITUTE(SUBSTITUTE(LOWER(T652&amp;""),CHAR(160),"")," ",""),".",""),"-",""),"/",""),"?",""),"_",""),",",""),"[",""),"]",""),"(",""),")",""),"*","")</f>
        <v/>
      </c>
      <c r="AV652" s="61" t="str">
        <f aca="false">SUBSTITUTE(SUBSTITUTE(SUBSTITUTE(SUBSTITUTE(SUBSTITUTE(SUBSTITUTE(SUBSTITUTE(SUBSTITUTE(SUBSTITUTE(SUBSTITUTE(SUBSTITUTE(SUBSTITUTE(SUBSTITUTE(LOWER(V652&amp;""),CHAR(160),"")," ",""),".",""),"-",""),"/",""),"?",""),"_",""),",",""),"[",""),"]",""),"(",""),")",""),"*","")</f>
        <v/>
      </c>
      <c r="AW652" s="61" t="str">
        <f aca="false">SUBSTITUTE(SUBSTITUTE(SUBSTITUTE(SUBSTITUTE(SUBSTITUTE(SUBSTITUTE(SUBSTITUTE(SUBSTITUTE(SUBSTITUTE(SUBSTITUTE(SUBSTITUTE(SUBSTITUTE(SUBSTITUTE(LOWER(Z652&amp;""),CHAR(160),"")," ",""),".",""),"-",""),"/",""),"?",""),"_",""),",",""),"[",""),"]",""),"(",""),")",""),"*","")</f>
        <v/>
      </c>
      <c r="AX652" s="61" t="str">
        <f aca="false">SUBSTITUTE(SUBSTITUTE(SUBSTITUTE(SUBSTITUTE(SUBSTITUTE(SUBSTITUTE(SUBSTITUTE(SUBSTITUTE(SUBSTITUTE(SUBSTITUTE(SUBSTITUTE(SUBSTITUTE(SUBSTITUTE(LOWER(AE652&amp;""),CHAR(160),"")," ",""),".",""),"-",""),"/",""),"?",""),"_",""),",",""),"[",""),"]",""),"(",""),")",""),"*","")</f>
        <v/>
      </c>
      <c r="AY652" s="61" t="str">
        <f aca="false">SUBSTITUTE(SUBSTITUTE(SUBSTITUTE(SUBSTITUTE(SUBSTITUTE(SUBSTITUTE(SUBSTITUTE(SUBSTITUTE(SUBSTITUTE(SUBSTITUTE(SUBSTITUTE(SUBSTITUTE(SUBSTITUTE(LOWER(W652&amp;""),CHAR(160),"")," ",""),".",""),"-",""),"/",""),"?",""),"_",""),",",""),"[",""),"]",""),"(",""),")",""),"*","")</f>
        <v/>
      </c>
      <c r="AZ652" s="61" t="str">
        <f aca="false">SUBSTITUTE(SUBSTITUTE(SUBSTITUTE(SUBSTITUTE(SUBSTITUTE(SUBSTITUTE(SUBSTITUTE(SUBSTITUTE(SUBSTITUTE(SUBSTITUTE(SUBSTITUTE(SUBSTITUTE(SUBSTITUTE(LOWER(AC652&amp;""),CHAR(160),"")," ",""),".",""),"-",""),"/",""),"?",""),"_",""),",",""),"[",""),"]",""),"(",""),")",""),"*","")</f>
        <v/>
      </c>
      <c r="BA652" s="61" t="str">
        <f aca="false">SUBSTITUTE(SUBSTITUTE(SUBSTITUTE(SUBSTITUTE(SUBSTITUTE(SUBSTITUTE(SUBSTITUTE(SUBSTITUTE(SUBSTITUTE(SUBSTITUTE(SUBSTITUTE(SUBSTITUTE(SUBSTITUTE(LOWER(AA652&amp;""),CHAR(160),"")," ",""),".",""),"-",""),"/",""),"?",""),"_",""),",",""),"[",""),"]",""),"(",""),")",""),"*","")</f>
        <v/>
      </c>
      <c r="BB652" s="61" t="str">
        <f aca="false">IF(AND(TRIM(U652)="Pass",ISNUMBER(AF652)),IF(AF652&lt;&gt;0,"INVALID – qty variance: use Fail or Pass after CA",""),"")&amp;IF(AND(TRIM(U652)="Pass after CA",ISNUMBER(AF652)),IF(AF652&lt;&gt;0,"INVALID – after the corrective action the actual qty must equal expected (update Actual)",""),"")&amp;IF(AND(TRIM(U652)="Pass",TRIM(AB652)&lt;&gt;"",TRIM(AB652)&lt;&gt;"Closed"),"INVALID – corrective action not closed: use Fail, then Pass after CA","")&amp;IF(AND(TRIM(AA652)&lt;&gt;"",TRIM(AB652)=""),"INVALID – CA status missing for the recorded corrective action","")&amp;IF(AND(TRIM(U652)="Pass after CA",OR(OR(LEN(BA652)&lt;5,ISNUMBER(MATCH(BA652,L_Placeholder,0))),TRIM(AB652)&lt;&gt;"Closed")),"INVALID – corrective action not recorded/closed","")</f>
        <v/>
      </c>
    </row>
    <row r="653" customFormat="false" ht="39.75" hidden="false" customHeight="true" outlineLevel="0" collapsed="false">
      <c r="A653" s="57" t="s">
        <v>1350</v>
      </c>
      <c r="B653" s="57" t="s">
        <v>301</v>
      </c>
      <c r="C653" s="57" t="str">
        <f aca="false">Flights!$F$24</f>
        <v>MH1450</v>
      </c>
      <c r="D653" s="58" t="n">
        <f aca="false">Flights!$D$24</f>
        <v>46324</v>
      </c>
      <c r="E653" s="57" t="str">
        <f aca="false">Flights!$G$24&amp;"-"&amp;Flights!$H$24</f>
        <v>KUL-LGK</v>
      </c>
      <c r="F653" s="57" t="str">
        <f aca="false">Flights!$K$24</f>
        <v>EY</v>
      </c>
      <c r="G653" s="57" t="s">
        <v>81</v>
      </c>
      <c r="H653" s="57" t="s">
        <v>356</v>
      </c>
      <c r="I653" s="57" t="s">
        <v>357</v>
      </c>
      <c r="J653" s="57" t="s">
        <v>394</v>
      </c>
      <c r="K653" s="67" t="s">
        <v>395</v>
      </c>
      <c r="L653" s="67" t="s">
        <v>396</v>
      </c>
      <c r="M653" s="67"/>
      <c r="N653" s="67" t="s">
        <v>361</v>
      </c>
      <c r="O653" s="67"/>
      <c r="P653" s="57" t="s">
        <v>184</v>
      </c>
      <c r="Q653" s="59" t="n">
        <f aca="false">ROUND((Flights!$AD$24)*1440,0)/1440</f>
        <v>46323.4375</v>
      </c>
      <c r="R653" s="59" t="n">
        <f aca="false">Q653+(IF(AND(INDEX(TZ_DSTS,MATCH(P653,TZ_STN,0))&lt;&gt;"",Q653&gt;=INDEX(TZ_DSTS,MATCH(P653,TZ_STN,0)),Q653&lt;INDEX(TZ_DSTE,MATCH(P653,TZ_STN,0))),INDEX(TZ_DST,MATCH(P653,TZ_STN,0)),INDEX(TZ_STD,MATCH(P653,TZ_STN,0))))/24</f>
        <v>46323.7708333333</v>
      </c>
      <c r="S653" s="59" t="n">
        <f aca="false">Q653-T24EarlyH/24</f>
        <v>46322.4375</v>
      </c>
      <c r="T653" s="60"/>
      <c r="U653" s="60"/>
      <c r="V653" s="60"/>
      <c r="W653" s="60"/>
      <c r="X653" s="60"/>
      <c r="Y653" s="60"/>
      <c r="Z653" s="60"/>
      <c r="AA653" s="60"/>
      <c r="AB653" s="60"/>
      <c r="AC653" s="60"/>
      <c r="AD653" s="66"/>
      <c r="AE653" s="60"/>
      <c r="AF653" s="61" t="str">
        <f aca="false">IF(AND(ISNUMBER(X653),ISNUMBER(Y653)),Y653-X653,"")</f>
        <v/>
      </c>
      <c r="AG653" s="62" t="str">
        <f aca="false">IF(ISNUMBER(AD653),AD653-(IF(AND(INDEX(TZ_DSTS,MATCH(P653,TZ_STN,0))&lt;&gt;"",(AD653-INDEX(TZ_STD,MATCH(P653,TZ_STN,0))/24)&gt;=INDEX(TZ_DSTS,MATCH(P653,TZ_STN,0)),(AD653-INDEX(TZ_STD,MATCH(P653,TZ_STN,0))/24)&lt;INDEX(TZ_DSTE,MATCH(P653,TZ_STN,0))),INDEX(TZ_DST,MATCH(P653,TZ_STN,0)),INDEX(TZ_STD,MATCH(P653,TZ_STN,0))))/24,"")</f>
        <v/>
      </c>
      <c r="AH653" s="65" t="str">
        <f aca="false">IFERROR(IF(N653="N/A – rule","N/A – RULE",IF(TRIM(U653)="N/A",IF(AT653=0,"INVALID – N/A not permitted for this check",IF(AND(TRIM(AB653)&lt;&gt;"",TRIM(AB653)&lt;&gt;"Closed"),"INVALID – corrective action still open",IF(AND(NOT(OR(LEN(AZ653)&lt;15,ISNUMBER(MATCH(AZ653,L_Placeholder,0)))),NOT(OR(LEN(AU653)&lt;2,ISNUMBER(MATCH(AU653,L_Placeholder,0)))),NOT(OR(LEN(AX653)&lt;2,ISNUMBER(MATCH(AX653,L_Placeholder,0)))),TRIM(AE653)&lt;&gt;TRIM(T653)),"N/A – JUSTIFIED","INVALID – N/A needs a real justification (15+ chars), PIC and a different verifier"))),IF(OR(TRIM(U653)="Pass",TRIM(U653)="Pass after CA"),IF(NOT(ISNUMBER(AD653)),"INVALID – completion time missing",IF(OR(LEN(AU653)&lt;2,ISNUMBER(MATCH(AU653,L_Placeholder,0))),"INVALID – PIC missing",IF(OR(LEN(AV653)&lt;2,ISNUMBER(MATCH(AV653,L_Placeholder,0))),"INVALID – result / assessment missing",IF(OR(OR(LEN(AW653)&lt;3,ISNUMBER(MATCH(AW653,L_Placeholder,0))),SUMPRODUCT(--ISNUMBER(SEARCH(L_EvidencePhrase,AW653)))&gt;0),"INVALID – evidence missing, placeholder or not yet on file",IF(OR(LEN(AX653)&lt;2,ISNUMBER(MATCH(AX653,L_Placeholder,0))),"INVALID – verifier missing",IF(AX653=AU653,"INVALID – verifier must be someone other than the PIC",IF(AND(TRIM(U653)="Pass",SUMPRODUCT(--ISNUMBER(SEARCH(L_ResultBad,AV653)))&gt;0),"INVALID – result describes a problem: use Fail, then Pass after CA",IF(AND(AQ653=1,OR(LEN(AY653)&lt;3,ISNUMBER(MATCH(AY653,L_Placeholder,0)))),"INVALID – batch ID missing or placeholder",IF(AND(AR653=1,OR(NOT(ISNUMBER(X653)),NOT(ISNUMBER(Y653)))),"INVALID – expected/actual qty missing",IF(AND(AR653=1,OR(X653&lt;=0,Y653&lt;0)),"INVALID – expected qty must be above 0 and actual not negative",IF(BB653&lt;&gt;"",BB653,IF(AND(AS653=1,Documents!$J$24&lt;&gt;"ON FILE"),"INVALID – GLD not on file (Documents sheet)",IF(AND(AS653=2,Documents!$O$24&lt;&gt;"ON FILE"),"INVALID – menu checklist not on file (Documents sheet)",IF(AND(AS653=3,NOT(ISNUMBER(Flights!$AX$24))),"INVALID – enter carrying flight KUL departure (Flights AX)",IF(AND(AS653=3,OR(Flights!$AZ$24&gt;Flights!$AA$24,Flights!$AX$24&lt;Flights!$AA$24-3)),"INVALID – carrying flight (Flights AX) cannot arrive before this leg's STD, or is over 3 days early",IF(AG653&gt;AsOfUTC,"INVALID – completion time is in the future",IF(AND(ISNUMBER(S653),AG653&lt;S653),IF(H653="Physical uplift","INVALID – before uplift window (cannot confirm loading)","INVALID – before valid window"),IF(AG653&gt;Flights!$AA$24,"INVALID – completed after departure (cannot establish readiness)",IF(AND(H653="Preparation",AG653&gt;IF(ISNUMBER(Flights!$BA$24),MIN(Flights!$BA$24,Flights!$AA$24),Flights!$AA$24)),"INVALID – completed after loading / departure (cannot establish readiness)",IF(AND(H653="Physical uplift",AG653&gt;Q653),"INVALID – recorded after the loading flight departed",IF(AG653&gt;Q653,"COMPLETE – LATE","COMPLETE"))))))))))))))))))))),IF(TRIM(U653)="Fail","FAIL – DISCREPANCY",IF(AND(TRIM(U653)&lt;&gt;"",TRIM(U653)&lt;&gt;"Not started",TRIM(U653)&lt;&gt;"In progress"),"INVALID – unrecognised status (use the list)",IF(AsOfUTC&gt;Q653,"OVERDUE",IF(N653="Clarification required","OPEN – CLARIFICATION","OPEN"))))))),"INVALID – error value in an input cell")</f>
        <v>OPEN</v>
      </c>
      <c r="AI653" s="61" t="n">
        <f aca="false">IF(OR(AH653="N/A – RULE",AH653="N/A – JUSTIFIED"),0,1)</f>
        <v>1</v>
      </c>
      <c r="AJ653" s="61" t="n">
        <f aca="false">IF(LEFT(AH653,8)="COMPLETE",1,0)</f>
        <v>0</v>
      </c>
      <c r="AK653" s="61" t="n">
        <f aca="false">IF(AND(AI653=1,AJ653=0,AsOfUTC&gt;Q653),1,0)</f>
        <v>0</v>
      </c>
      <c r="AL653" s="61" t="n">
        <f aca="false">IFERROR(IF(AND(AI653=1,OR(TRIM(U653)="Fail",AND(TRIM(AB653)&lt;&gt;"",TRIM(AB653)&lt;&gt;"Closed"),AND(ISNUMBER(AF653),AF653&lt;&gt;0,TRIM(U653)&lt;&gt;"Pass after CA"))),1,0),1)</f>
        <v>0</v>
      </c>
      <c r="AM653" s="61" t="n">
        <f aca="false">IF(LEFT(AH653,7)="INVALID",1,0)</f>
        <v>0</v>
      </c>
      <c r="AN653" s="61" t="n">
        <f aca="false">IF(AND(N653="Clarification required",AI653=1,AJ653=0),1,0)</f>
        <v>0</v>
      </c>
      <c r="AO653" s="61" t="str">
        <f aca="false">IF(AK653=1,SUM(AK$5:AK653),"")</f>
        <v/>
      </c>
      <c r="AP653" s="61" t="str">
        <f aca="false">IF(AL653=1,SUM(AL$5:AL653),"")</f>
        <v/>
      </c>
      <c r="AQ653" s="61" t="n">
        <v>1</v>
      </c>
      <c r="AR653" s="61" t="n">
        <v>0</v>
      </c>
      <c r="AS653" s="61" t="n">
        <v>0</v>
      </c>
      <c r="AT653" s="61" t="n">
        <v>0</v>
      </c>
      <c r="AU653" s="61" t="str">
        <f aca="false">SUBSTITUTE(SUBSTITUTE(SUBSTITUTE(SUBSTITUTE(SUBSTITUTE(SUBSTITUTE(SUBSTITUTE(SUBSTITUTE(SUBSTITUTE(SUBSTITUTE(SUBSTITUTE(SUBSTITUTE(SUBSTITUTE(LOWER(T653&amp;""),CHAR(160),"")," ",""),".",""),"-",""),"/",""),"?",""),"_",""),",",""),"[",""),"]",""),"(",""),")",""),"*","")</f>
        <v/>
      </c>
      <c r="AV653" s="61" t="str">
        <f aca="false">SUBSTITUTE(SUBSTITUTE(SUBSTITUTE(SUBSTITUTE(SUBSTITUTE(SUBSTITUTE(SUBSTITUTE(SUBSTITUTE(SUBSTITUTE(SUBSTITUTE(SUBSTITUTE(SUBSTITUTE(SUBSTITUTE(LOWER(V653&amp;""),CHAR(160),"")," ",""),".",""),"-",""),"/",""),"?",""),"_",""),",",""),"[",""),"]",""),"(",""),")",""),"*","")</f>
        <v/>
      </c>
      <c r="AW653" s="61" t="str">
        <f aca="false">SUBSTITUTE(SUBSTITUTE(SUBSTITUTE(SUBSTITUTE(SUBSTITUTE(SUBSTITUTE(SUBSTITUTE(SUBSTITUTE(SUBSTITUTE(SUBSTITUTE(SUBSTITUTE(SUBSTITUTE(SUBSTITUTE(LOWER(Z653&amp;""),CHAR(160),"")," ",""),".",""),"-",""),"/",""),"?",""),"_",""),",",""),"[",""),"]",""),"(",""),")",""),"*","")</f>
        <v/>
      </c>
      <c r="AX653" s="61" t="str">
        <f aca="false">SUBSTITUTE(SUBSTITUTE(SUBSTITUTE(SUBSTITUTE(SUBSTITUTE(SUBSTITUTE(SUBSTITUTE(SUBSTITUTE(SUBSTITUTE(SUBSTITUTE(SUBSTITUTE(SUBSTITUTE(SUBSTITUTE(LOWER(AE653&amp;""),CHAR(160),"")," ",""),".",""),"-",""),"/",""),"?",""),"_",""),",",""),"[",""),"]",""),"(",""),")",""),"*","")</f>
        <v/>
      </c>
      <c r="AY653" s="61" t="str">
        <f aca="false">SUBSTITUTE(SUBSTITUTE(SUBSTITUTE(SUBSTITUTE(SUBSTITUTE(SUBSTITUTE(SUBSTITUTE(SUBSTITUTE(SUBSTITUTE(SUBSTITUTE(SUBSTITUTE(SUBSTITUTE(SUBSTITUTE(LOWER(W653&amp;""),CHAR(160),"")," ",""),".",""),"-",""),"/",""),"?",""),"_",""),",",""),"[",""),"]",""),"(",""),")",""),"*","")</f>
        <v/>
      </c>
      <c r="AZ653" s="61" t="str">
        <f aca="false">SUBSTITUTE(SUBSTITUTE(SUBSTITUTE(SUBSTITUTE(SUBSTITUTE(SUBSTITUTE(SUBSTITUTE(SUBSTITUTE(SUBSTITUTE(SUBSTITUTE(SUBSTITUTE(SUBSTITUTE(SUBSTITUTE(LOWER(AC653&amp;""),CHAR(160),"")," ",""),".",""),"-",""),"/",""),"?",""),"_",""),",",""),"[",""),"]",""),"(",""),")",""),"*","")</f>
        <v/>
      </c>
      <c r="BA653" s="61" t="str">
        <f aca="false">SUBSTITUTE(SUBSTITUTE(SUBSTITUTE(SUBSTITUTE(SUBSTITUTE(SUBSTITUTE(SUBSTITUTE(SUBSTITUTE(SUBSTITUTE(SUBSTITUTE(SUBSTITUTE(SUBSTITUTE(SUBSTITUTE(LOWER(AA653&amp;""),CHAR(160),"")," ",""),".",""),"-",""),"/",""),"?",""),"_",""),",",""),"[",""),"]",""),"(",""),")",""),"*","")</f>
        <v/>
      </c>
      <c r="BB653" s="61" t="str">
        <f aca="false">IF(AND(TRIM(U653)="Pass",ISNUMBER(AF653)),IF(AF653&lt;&gt;0,"INVALID – qty variance: use Fail or Pass after CA",""),"")&amp;IF(AND(TRIM(U653)="Pass after CA",ISNUMBER(AF653)),IF(AF653&lt;&gt;0,"INVALID – after the corrective action the actual qty must equal expected (update Actual)",""),"")&amp;IF(AND(TRIM(U653)="Pass",TRIM(AB653)&lt;&gt;"",TRIM(AB653)&lt;&gt;"Closed"),"INVALID – corrective action not closed: use Fail, then Pass after CA","")&amp;IF(AND(TRIM(AA653)&lt;&gt;"",TRIM(AB653)=""),"INVALID – CA status missing for the recorded corrective action","")&amp;IF(AND(TRIM(U653)="Pass after CA",OR(OR(LEN(BA653)&lt;5,ISNUMBER(MATCH(BA653,L_Placeholder,0))),TRIM(AB653)&lt;&gt;"Closed")),"INVALID – corrective action not recorded/closed","")</f>
        <v/>
      </c>
    </row>
    <row r="654" customFormat="false" ht="39.75" hidden="false" customHeight="true" outlineLevel="0" collapsed="false">
      <c r="A654" s="57" t="s">
        <v>1351</v>
      </c>
      <c r="B654" s="57" t="s">
        <v>301</v>
      </c>
      <c r="C654" s="57" t="str">
        <f aca="false">Flights!$F$24</f>
        <v>MH1450</v>
      </c>
      <c r="D654" s="58" t="n">
        <f aca="false">Flights!$D$24</f>
        <v>46324</v>
      </c>
      <c r="E654" s="57" t="str">
        <f aca="false">Flights!$G$24&amp;"-"&amp;Flights!$H$24</f>
        <v>KUL-LGK</v>
      </c>
      <c r="F654" s="57" t="str">
        <f aca="false">Flights!$K$24</f>
        <v>EY</v>
      </c>
      <c r="G654" s="57" t="s">
        <v>398</v>
      </c>
      <c r="H654" s="57" t="s">
        <v>356</v>
      </c>
      <c r="I654" s="57" t="s">
        <v>357</v>
      </c>
      <c r="J654" s="57" t="s">
        <v>399</v>
      </c>
      <c r="K654" s="67"/>
      <c r="L654" s="67" t="s">
        <v>400</v>
      </c>
      <c r="M654" s="67"/>
      <c r="N654" s="67" t="s">
        <v>361</v>
      </c>
      <c r="O654" s="67" t="s">
        <v>401</v>
      </c>
      <c r="P654" s="57" t="s">
        <v>184</v>
      </c>
      <c r="Q654" s="59" t="n">
        <f aca="false">ROUND((Flights!$AE$24)*1440,0)/1440</f>
        <v>46323.9375</v>
      </c>
      <c r="R654" s="59" t="n">
        <f aca="false">Q654+(IF(AND(INDEX(TZ_DSTS,MATCH(P654,TZ_STN,0))&lt;&gt;"",Q654&gt;=INDEX(TZ_DSTS,MATCH(P654,TZ_STN,0)),Q654&lt;INDEX(TZ_DSTE,MATCH(P654,TZ_STN,0))),INDEX(TZ_DST,MATCH(P654,TZ_STN,0)),INDEX(TZ_STD,MATCH(P654,TZ_STN,0))))/24</f>
        <v>46324.2708333333</v>
      </c>
      <c r="S654" s="59" t="n">
        <f aca="false">Q654-T12EarlyH/24</f>
        <v>46323.4375</v>
      </c>
      <c r="T654" s="60"/>
      <c r="U654" s="60"/>
      <c r="V654" s="60"/>
      <c r="W654" s="61"/>
      <c r="X654" s="60"/>
      <c r="Y654" s="60"/>
      <c r="Z654" s="60"/>
      <c r="AA654" s="60"/>
      <c r="AB654" s="60"/>
      <c r="AC654" s="60"/>
      <c r="AD654" s="66"/>
      <c r="AE654" s="60"/>
      <c r="AF654" s="61" t="str">
        <f aca="false">IF(AND(ISNUMBER(X654),ISNUMBER(Y654)),Y654-X654,"")</f>
        <v/>
      </c>
      <c r="AG654" s="62" t="str">
        <f aca="false">IF(ISNUMBER(AD654),AD654-(IF(AND(INDEX(TZ_DSTS,MATCH(P654,TZ_STN,0))&lt;&gt;"",(AD654-INDEX(TZ_STD,MATCH(P654,TZ_STN,0))/24)&gt;=INDEX(TZ_DSTS,MATCH(P654,TZ_STN,0)),(AD654-INDEX(TZ_STD,MATCH(P654,TZ_STN,0))/24)&lt;INDEX(TZ_DSTE,MATCH(P654,TZ_STN,0))),INDEX(TZ_DST,MATCH(P654,TZ_STN,0)),INDEX(TZ_STD,MATCH(P654,TZ_STN,0))))/24,"")</f>
        <v/>
      </c>
      <c r="AH654" s="65" t="str">
        <f aca="false">IFERROR(IF(N654="N/A – rule","N/A – RULE",IF(TRIM(U654)="N/A",IF(AT654=0,"INVALID – N/A not permitted for this check",IF(AND(TRIM(AB654)&lt;&gt;"",TRIM(AB654)&lt;&gt;"Closed"),"INVALID – corrective action still open",IF(AND(NOT(OR(LEN(AZ654)&lt;15,ISNUMBER(MATCH(AZ654,L_Placeholder,0)))),NOT(OR(LEN(AU654)&lt;2,ISNUMBER(MATCH(AU654,L_Placeholder,0)))),NOT(OR(LEN(AX654)&lt;2,ISNUMBER(MATCH(AX654,L_Placeholder,0)))),TRIM(AE654)&lt;&gt;TRIM(T654)),"N/A – JUSTIFIED","INVALID – N/A needs a real justification (15+ chars), PIC and a different verifier"))),IF(OR(TRIM(U654)="Pass",TRIM(U654)="Pass after CA"),IF(NOT(ISNUMBER(AD654)),"INVALID – completion time missing",IF(OR(LEN(AU654)&lt;2,ISNUMBER(MATCH(AU654,L_Placeholder,0))),"INVALID – PIC missing",IF(OR(LEN(AV654)&lt;2,ISNUMBER(MATCH(AV654,L_Placeholder,0))),"INVALID – result / assessment missing",IF(OR(OR(LEN(AW654)&lt;3,ISNUMBER(MATCH(AW654,L_Placeholder,0))),SUMPRODUCT(--ISNUMBER(SEARCH(L_EvidencePhrase,AW654)))&gt;0),"INVALID – evidence missing, placeholder or not yet on file",IF(OR(LEN(AX654)&lt;2,ISNUMBER(MATCH(AX654,L_Placeholder,0))),"INVALID – verifier missing",IF(AX654=AU654,"INVALID – verifier must be someone other than the PIC",IF(AND(TRIM(U654)="Pass",SUMPRODUCT(--ISNUMBER(SEARCH(L_ResultBad,AV654)))&gt;0),"INVALID – result describes a problem: use Fail, then Pass after CA",IF(AND(AQ654=1,OR(LEN(AY654)&lt;3,ISNUMBER(MATCH(AY654,L_Placeholder,0)))),"INVALID – batch ID missing or placeholder",IF(AND(AR654=1,OR(NOT(ISNUMBER(X654)),NOT(ISNUMBER(Y654)))),"INVALID – expected/actual qty missing",IF(AND(AR654=1,OR(X654&lt;=0,Y654&lt;0)),"INVALID – expected qty must be above 0 and actual not negative",IF(BB654&lt;&gt;"",BB654,IF(AND(AS654=1,Documents!$J$24&lt;&gt;"ON FILE"),"INVALID – GLD not on file (Documents sheet)",IF(AND(AS654=2,Documents!$O$24&lt;&gt;"ON FILE"),"INVALID – menu checklist not on file (Documents sheet)",IF(AND(AS654=3,NOT(ISNUMBER(Flights!$AX$24))),"INVALID – enter carrying flight KUL departure (Flights AX)",IF(AND(AS654=3,OR(Flights!$AZ$24&gt;Flights!$AA$24,Flights!$AX$24&lt;Flights!$AA$24-3)),"INVALID – carrying flight (Flights AX) cannot arrive before this leg's STD, or is over 3 days early",IF(AG654&gt;AsOfUTC,"INVALID – completion time is in the future",IF(AND(ISNUMBER(S654),AG654&lt;S654),IF(H654="Physical uplift","INVALID – before uplift window (cannot confirm loading)","INVALID – before valid window"),IF(AG654&gt;Flights!$AA$24,"INVALID – completed after departure (cannot establish readiness)",IF(AND(H654="Preparation",AG654&gt;IF(ISNUMBER(Flights!$BA$24),MIN(Flights!$BA$24,Flights!$AA$24),Flights!$AA$24)),"INVALID – completed after loading / departure (cannot establish readiness)",IF(AND(H654="Physical uplift",AG654&gt;Q654),"INVALID – recorded after the loading flight departed",IF(AG654&gt;Q654,"COMPLETE – LATE","COMPLETE"))))))))))))))))))))),IF(TRIM(U654)="Fail","FAIL – DISCREPANCY",IF(AND(TRIM(U654)&lt;&gt;"",TRIM(U654)&lt;&gt;"Not started",TRIM(U654)&lt;&gt;"In progress"),"INVALID – unrecognised status (use the list)",IF(AsOfUTC&gt;Q654,"OVERDUE",IF(N654="Clarification required","OPEN – CLARIFICATION","OPEN"))))))),"INVALID – error value in an input cell")</f>
        <v>OPEN</v>
      </c>
      <c r="AI654" s="61" t="n">
        <f aca="false">IF(OR(AH654="N/A – RULE",AH654="N/A – JUSTIFIED"),0,1)</f>
        <v>1</v>
      </c>
      <c r="AJ654" s="61" t="n">
        <f aca="false">IF(LEFT(AH654,8)="COMPLETE",1,0)</f>
        <v>0</v>
      </c>
      <c r="AK654" s="61" t="n">
        <f aca="false">IF(AND(AI654=1,AJ654=0,AsOfUTC&gt;Q654),1,0)</f>
        <v>0</v>
      </c>
      <c r="AL654" s="61" t="n">
        <f aca="false">IFERROR(IF(AND(AI654=1,OR(TRIM(U654)="Fail",AND(TRIM(AB654)&lt;&gt;"",TRIM(AB654)&lt;&gt;"Closed"),AND(ISNUMBER(AF654),AF654&lt;&gt;0,TRIM(U654)&lt;&gt;"Pass after CA"))),1,0),1)</f>
        <v>0</v>
      </c>
      <c r="AM654" s="61" t="n">
        <f aca="false">IF(LEFT(AH654,7)="INVALID",1,0)</f>
        <v>0</v>
      </c>
      <c r="AN654" s="61" t="n">
        <f aca="false">IF(AND(N654="Clarification required",AI654=1,AJ654=0),1,0)</f>
        <v>0</v>
      </c>
      <c r="AO654" s="61" t="str">
        <f aca="false">IF(AK654=1,SUM(AK$5:AK654),"")</f>
        <v/>
      </c>
      <c r="AP654" s="61" t="str">
        <f aca="false">IF(AL654=1,SUM(AL$5:AL654),"")</f>
        <v/>
      </c>
      <c r="AQ654" s="61" t="n">
        <v>0</v>
      </c>
      <c r="AR654" s="61" t="n">
        <v>0</v>
      </c>
      <c r="AS654" s="61" t="n">
        <v>0</v>
      </c>
      <c r="AT654" s="61" t="n">
        <v>0</v>
      </c>
      <c r="AU654" s="61" t="str">
        <f aca="false">SUBSTITUTE(SUBSTITUTE(SUBSTITUTE(SUBSTITUTE(SUBSTITUTE(SUBSTITUTE(SUBSTITUTE(SUBSTITUTE(SUBSTITUTE(SUBSTITUTE(SUBSTITUTE(SUBSTITUTE(SUBSTITUTE(LOWER(T654&amp;""),CHAR(160),"")," ",""),".",""),"-",""),"/",""),"?",""),"_",""),",",""),"[",""),"]",""),"(",""),")",""),"*","")</f>
        <v/>
      </c>
      <c r="AV654" s="61" t="str">
        <f aca="false">SUBSTITUTE(SUBSTITUTE(SUBSTITUTE(SUBSTITUTE(SUBSTITUTE(SUBSTITUTE(SUBSTITUTE(SUBSTITUTE(SUBSTITUTE(SUBSTITUTE(SUBSTITUTE(SUBSTITUTE(SUBSTITUTE(LOWER(V654&amp;""),CHAR(160),"")," ",""),".",""),"-",""),"/",""),"?",""),"_",""),",",""),"[",""),"]",""),"(",""),")",""),"*","")</f>
        <v/>
      </c>
      <c r="AW654" s="61" t="str">
        <f aca="false">SUBSTITUTE(SUBSTITUTE(SUBSTITUTE(SUBSTITUTE(SUBSTITUTE(SUBSTITUTE(SUBSTITUTE(SUBSTITUTE(SUBSTITUTE(SUBSTITUTE(SUBSTITUTE(SUBSTITUTE(SUBSTITUTE(LOWER(Z654&amp;""),CHAR(160),"")," ",""),".",""),"-",""),"/",""),"?",""),"_",""),",",""),"[",""),"]",""),"(",""),")",""),"*","")</f>
        <v/>
      </c>
      <c r="AX654" s="61" t="str">
        <f aca="false">SUBSTITUTE(SUBSTITUTE(SUBSTITUTE(SUBSTITUTE(SUBSTITUTE(SUBSTITUTE(SUBSTITUTE(SUBSTITUTE(SUBSTITUTE(SUBSTITUTE(SUBSTITUTE(SUBSTITUTE(SUBSTITUTE(LOWER(AE654&amp;""),CHAR(160),"")," ",""),".",""),"-",""),"/",""),"?",""),"_",""),",",""),"[",""),"]",""),"(",""),")",""),"*","")</f>
        <v/>
      </c>
      <c r="AY654" s="61" t="str">
        <f aca="false">SUBSTITUTE(SUBSTITUTE(SUBSTITUTE(SUBSTITUTE(SUBSTITUTE(SUBSTITUTE(SUBSTITUTE(SUBSTITUTE(SUBSTITUTE(SUBSTITUTE(SUBSTITUTE(SUBSTITUTE(SUBSTITUTE(LOWER(W654&amp;""),CHAR(160),"")," ",""),".",""),"-",""),"/",""),"?",""),"_",""),",",""),"[",""),"]",""),"(",""),")",""),"*","")</f>
        <v/>
      </c>
      <c r="AZ654" s="61" t="str">
        <f aca="false">SUBSTITUTE(SUBSTITUTE(SUBSTITUTE(SUBSTITUTE(SUBSTITUTE(SUBSTITUTE(SUBSTITUTE(SUBSTITUTE(SUBSTITUTE(SUBSTITUTE(SUBSTITUTE(SUBSTITUTE(SUBSTITUTE(LOWER(AC654&amp;""),CHAR(160),"")," ",""),".",""),"-",""),"/",""),"?",""),"_",""),",",""),"[",""),"]",""),"(",""),")",""),"*","")</f>
        <v/>
      </c>
      <c r="BA654" s="61" t="str">
        <f aca="false">SUBSTITUTE(SUBSTITUTE(SUBSTITUTE(SUBSTITUTE(SUBSTITUTE(SUBSTITUTE(SUBSTITUTE(SUBSTITUTE(SUBSTITUTE(SUBSTITUTE(SUBSTITUTE(SUBSTITUTE(SUBSTITUTE(LOWER(AA654&amp;""),CHAR(160),"")," ",""),".",""),"-",""),"/",""),"?",""),"_",""),",",""),"[",""),"]",""),"(",""),")",""),"*","")</f>
        <v/>
      </c>
      <c r="BB654" s="61" t="str">
        <f aca="false">IF(AND(TRIM(U654)="Pass",ISNUMBER(AF654)),IF(AF654&lt;&gt;0,"INVALID – qty variance: use Fail or Pass after CA",""),"")&amp;IF(AND(TRIM(U654)="Pass after CA",ISNUMBER(AF654)),IF(AF654&lt;&gt;0,"INVALID – after the corrective action the actual qty must equal expected (update Actual)",""),"")&amp;IF(AND(TRIM(U654)="Pass",TRIM(AB654)&lt;&gt;"",TRIM(AB654)&lt;&gt;"Closed"),"INVALID – corrective action not closed: use Fail, then Pass after CA","")&amp;IF(AND(TRIM(AA654)&lt;&gt;"",TRIM(AB654)=""),"INVALID – CA status missing for the recorded corrective action","")&amp;IF(AND(TRIM(U654)="Pass after CA",OR(OR(LEN(BA654)&lt;5,ISNUMBER(MATCH(BA654,L_Placeholder,0))),TRIM(AB654)&lt;&gt;"Closed")),"INVALID – corrective action not recorded/closed","")</f>
        <v/>
      </c>
    </row>
    <row r="655" customFormat="false" ht="39.75" hidden="false" customHeight="true" outlineLevel="0" collapsed="false">
      <c r="A655" s="57" t="s">
        <v>1352</v>
      </c>
      <c r="B655" s="57" t="s">
        <v>301</v>
      </c>
      <c r="C655" s="57" t="str">
        <f aca="false">Flights!$F$24</f>
        <v>MH1450</v>
      </c>
      <c r="D655" s="58" t="n">
        <f aca="false">Flights!$D$24</f>
        <v>46324</v>
      </c>
      <c r="E655" s="57" t="str">
        <f aca="false">Flights!$G$24&amp;"-"&amp;Flights!$H$24</f>
        <v>KUL-LGK</v>
      </c>
      <c r="F655" s="57" t="str">
        <f aca="false">Flights!$K$24</f>
        <v>EY</v>
      </c>
      <c r="G655" s="57" t="s">
        <v>398</v>
      </c>
      <c r="H655" s="57" t="s">
        <v>356</v>
      </c>
      <c r="I655" s="57" t="s">
        <v>357</v>
      </c>
      <c r="J655" s="57" t="s">
        <v>403</v>
      </c>
      <c r="K655" s="67" t="s">
        <v>404</v>
      </c>
      <c r="L655" s="67" t="s">
        <v>400</v>
      </c>
      <c r="M655" s="67"/>
      <c r="N655" s="67" t="s">
        <v>361</v>
      </c>
      <c r="O655" s="67" t="s">
        <v>401</v>
      </c>
      <c r="P655" s="57" t="s">
        <v>184</v>
      </c>
      <c r="Q655" s="59" t="n">
        <f aca="false">ROUND((Flights!$AE$24)*1440,0)/1440</f>
        <v>46323.9375</v>
      </c>
      <c r="R655" s="59" t="n">
        <f aca="false">Q655+(IF(AND(INDEX(TZ_DSTS,MATCH(P655,TZ_STN,0))&lt;&gt;"",Q655&gt;=INDEX(TZ_DSTS,MATCH(P655,TZ_STN,0)),Q655&lt;INDEX(TZ_DSTE,MATCH(P655,TZ_STN,0))),INDEX(TZ_DST,MATCH(P655,TZ_STN,0)),INDEX(TZ_STD,MATCH(P655,TZ_STN,0))))/24</f>
        <v>46324.2708333333</v>
      </c>
      <c r="S655" s="59" t="n">
        <f aca="false">Q655-T12EarlyH/24</f>
        <v>46323.4375</v>
      </c>
      <c r="T655" s="60"/>
      <c r="U655" s="60"/>
      <c r="V655" s="60"/>
      <c r="W655" s="61"/>
      <c r="X655" s="60"/>
      <c r="Y655" s="60"/>
      <c r="Z655" s="60"/>
      <c r="AA655" s="60"/>
      <c r="AB655" s="60"/>
      <c r="AC655" s="60"/>
      <c r="AD655" s="66"/>
      <c r="AE655" s="60"/>
      <c r="AF655" s="61" t="str">
        <f aca="false">IF(AND(ISNUMBER(X655),ISNUMBER(Y655)),Y655-X655,"")</f>
        <v/>
      </c>
      <c r="AG655" s="62" t="str">
        <f aca="false">IF(ISNUMBER(AD655),AD655-(IF(AND(INDEX(TZ_DSTS,MATCH(P655,TZ_STN,0))&lt;&gt;"",(AD655-INDEX(TZ_STD,MATCH(P655,TZ_STN,0))/24)&gt;=INDEX(TZ_DSTS,MATCH(P655,TZ_STN,0)),(AD655-INDEX(TZ_STD,MATCH(P655,TZ_STN,0))/24)&lt;INDEX(TZ_DSTE,MATCH(P655,TZ_STN,0))),INDEX(TZ_DST,MATCH(P655,TZ_STN,0)),INDEX(TZ_STD,MATCH(P655,TZ_STN,0))))/24,"")</f>
        <v/>
      </c>
      <c r="AH655" s="65" t="str">
        <f aca="false">IFERROR(IF(N655="N/A – rule","N/A – RULE",IF(TRIM(U655)="N/A",IF(AT655=0,"INVALID – N/A not permitted for this check",IF(AND(TRIM(AB655)&lt;&gt;"",TRIM(AB655)&lt;&gt;"Closed"),"INVALID – corrective action still open",IF(AND(NOT(OR(LEN(AZ655)&lt;15,ISNUMBER(MATCH(AZ655,L_Placeholder,0)))),NOT(OR(LEN(AU655)&lt;2,ISNUMBER(MATCH(AU655,L_Placeholder,0)))),NOT(OR(LEN(AX655)&lt;2,ISNUMBER(MATCH(AX655,L_Placeholder,0)))),TRIM(AE655)&lt;&gt;TRIM(T655)),"N/A – JUSTIFIED","INVALID – N/A needs a real justification (15+ chars), PIC and a different verifier"))),IF(OR(TRIM(U655)="Pass",TRIM(U655)="Pass after CA"),IF(NOT(ISNUMBER(AD655)),"INVALID – completion time missing",IF(OR(LEN(AU655)&lt;2,ISNUMBER(MATCH(AU655,L_Placeholder,0))),"INVALID – PIC missing",IF(OR(LEN(AV655)&lt;2,ISNUMBER(MATCH(AV655,L_Placeholder,0))),"INVALID – result / assessment missing",IF(OR(OR(LEN(AW655)&lt;3,ISNUMBER(MATCH(AW655,L_Placeholder,0))),SUMPRODUCT(--ISNUMBER(SEARCH(L_EvidencePhrase,AW655)))&gt;0),"INVALID – evidence missing, placeholder or not yet on file",IF(OR(LEN(AX655)&lt;2,ISNUMBER(MATCH(AX655,L_Placeholder,0))),"INVALID – verifier missing",IF(AX655=AU655,"INVALID – verifier must be someone other than the PIC",IF(AND(TRIM(U655)="Pass",SUMPRODUCT(--ISNUMBER(SEARCH(L_ResultBad,AV655)))&gt;0),"INVALID – result describes a problem: use Fail, then Pass after CA",IF(AND(AQ655=1,OR(LEN(AY655)&lt;3,ISNUMBER(MATCH(AY655,L_Placeholder,0)))),"INVALID – batch ID missing or placeholder",IF(AND(AR655=1,OR(NOT(ISNUMBER(X655)),NOT(ISNUMBER(Y655)))),"INVALID – expected/actual qty missing",IF(AND(AR655=1,OR(X655&lt;=0,Y655&lt;0)),"INVALID – expected qty must be above 0 and actual not negative",IF(BB655&lt;&gt;"",BB655,IF(AND(AS655=1,Documents!$J$24&lt;&gt;"ON FILE"),"INVALID – GLD not on file (Documents sheet)",IF(AND(AS655=2,Documents!$O$24&lt;&gt;"ON FILE"),"INVALID – menu checklist not on file (Documents sheet)",IF(AND(AS655=3,NOT(ISNUMBER(Flights!$AX$24))),"INVALID – enter carrying flight KUL departure (Flights AX)",IF(AND(AS655=3,OR(Flights!$AZ$24&gt;Flights!$AA$24,Flights!$AX$24&lt;Flights!$AA$24-3)),"INVALID – carrying flight (Flights AX) cannot arrive before this leg's STD, or is over 3 days early",IF(AG655&gt;AsOfUTC,"INVALID – completion time is in the future",IF(AND(ISNUMBER(S655),AG655&lt;S655),IF(H655="Physical uplift","INVALID – before uplift window (cannot confirm loading)","INVALID – before valid window"),IF(AG655&gt;Flights!$AA$24,"INVALID – completed after departure (cannot establish readiness)",IF(AND(H655="Preparation",AG655&gt;IF(ISNUMBER(Flights!$BA$24),MIN(Flights!$BA$24,Flights!$AA$24),Flights!$AA$24)),"INVALID – completed after loading / departure (cannot establish readiness)",IF(AND(H655="Physical uplift",AG655&gt;Q655),"INVALID – recorded after the loading flight departed",IF(AG655&gt;Q655,"COMPLETE – LATE","COMPLETE"))))))))))))))))))))),IF(TRIM(U655)="Fail","FAIL – DISCREPANCY",IF(AND(TRIM(U655)&lt;&gt;"",TRIM(U655)&lt;&gt;"Not started",TRIM(U655)&lt;&gt;"In progress"),"INVALID – unrecognised status (use the list)",IF(AsOfUTC&gt;Q655,"OVERDUE",IF(N655="Clarification required","OPEN – CLARIFICATION","OPEN"))))))),"INVALID – error value in an input cell")</f>
        <v>OPEN</v>
      </c>
      <c r="AI655" s="61" t="n">
        <f aca="false">IF(OR(AH655="N/A – RULE",AH655="N/A – JUSTIFIED"),0,1)</f>
        <v>1</v>
      </c>
      <c r="AJ655" s="61" t="n">
        <f aca="false">IF(LEFT(AH655,8)="COMPLETE",1,0)</f>
        <v>0</v>
      </c>
      <c r="AK655" s="61" t="n">
        <f aca="false">IF(AND(AI655=1,AJ655=0,AsOfUTC&gt;Q655),1,0)</f>
        <v>0</v>
      </c>
      <c r="AL655" s="61" t="n">
        <f aca="false">IFERROR(IF(AND(AI655=1,OR(TRIM(U655)="Fail",AND(TRIM(AB655)&lt;&gt;"",TRIM(AB655)&lt;&gt;"Closed"),AND(ISNUMBER(AF655),AF655&lt;&gt;0,TRIM(U655)&lt;&gt;"Pass after CA"))),1,0),1)</f>
        <v>0</v>
      </c>
      <c r="AM655" s="61" t="n">
        <f aca="false">IF(LEFT(AH655,7)="INVALID",1,0)</f>
        <v>0</v>
      </c>
      <c r="AN655" s="61" t="n">
        <f aca="false">IF(AND(N655="Clarification required",AI655=1,AJ655=0),1,0)</f>
        <v>0</v>
      </c>
      <c r="AO655" s="61" t="str">
        <f aca="false">IF(AK655=1,SUM(AK$5:AK655),"")</f>
        <v/>
      </c>
      <c r="AP655" s="61" t="str">
        <f aca="false">IF(AL655=1,SUM(AL$5:AL655),"")</f>
        <v/>
      </c>
      <c r="AQ655" s="61" t="n">
        <v>0</v>
      </c>
      <c r="AR655" s="61" t="n">
        <v>1</v>
      </c>
      <c r="AS655" s="61" t="n">
        <v>0</v>
      </c>
      <c r="AT655" s="61" t="n">
        <v>0</v>
      </c>
      <c r="AU655" s="61" t="str">
        <f aca="false">SUBSTITUTE(SUBSTITUTE(SUBSTITUTE(SUBSTITUTE(SUBSTITUTE(SUBSTITUTE(SUBSTITUTE(SUBSTITUTE(SUBSTITUTE(SUBSTITUTE(SUBSTITUTE(SUBSTITUTE(SUBSTITUTE(LOWER(T655&amp;""),CHAR(160),"")," ",""),".",""),"-",""),"/",""),"?",""),"_",""),",",""),"[",""),"]",""),"(",""),")",""),"*","")</f>
        <v/>
      </c>
      <c r="AV655" s="61" t="str">
        <f aca="false">SUBSTITUTE(SUBSTITUTE(SUBSTITUTE(SUBSTITUTE(SUBSTITUTE(SUBSTITUTE(SUBSTITUTE(SUBSTITUTE(SUBSTITUTE(SUBSTITUTE(SUBSTITUTE(SUBSTITUTE(SUBSTITUTE(LOWER(V655&amp;""),CHAR(160),"")," ",""),".",""),"-",""),"/",""),"?",""),"_",""),",",""),"[",""),"]",""),"(",""),")",""),"*","")</f>
        <v/>
      </c>
      <c r="AW655" s="61" t="str">
        <f aca="false">SUBSTITUTE(SUBSTITUTE(SUBSTITUTE(SUBSTITUTE(SUBSTITUTE(SUBSTITUTE(SUBSTITUTE(SUBSTITUTE(SUBSTITUTE(SUBSTITUTE(SUBSTITUTE(SUBSTITUTE(SUBSTITUTE(LOWER(Z655&amp;""),CHAR(160),"")," ",""),".",""),"-",""),"/",""),"?",""),"_",""),",",""),"[",""),"]",""),"(",""),")",""),"*","")</f>
        <v/>
      </c>
      <c r="AX655" s="61" t="str">
        <f aca="false">SUBSTITUTE(SUBSTITUTE(SUBSTITUTE(SUBSTITUTE(SUBSTITUTE(SUBSTITUTE(SUBSTITUTE(SUBSTITUTE(SUBSTITUTE(SUBSTITUTE(SUBSTITUTE(SUBSTITUTE(SUBSTITUTE(LOWER(AE655&amp;""),CHAR(160),"")," ",""),".",""),"-",""),"/",""),"?",""),"_",""),",",""),"[",""),"]",""),"(",""),")",""),"*","")</f>
        <v/>
      </c>
      <c r="AY655" s="61" t="str">
        <f aca="false">SUBSTITUTE(SUBSTITUTE(SUBSTITUTE(SUBSTITUTE(SUBSTITUTE(SUBSTITUTE(SUBSTITUTE(SUBSTITUTE(SUBSTITUTE(SUBSTITUTE(SUBSTITUTE(SUBSTITUTE(SUBSTITUTE(LOWER(W655&amp;""),CHAR(160),"")," ",""),".",""),"-",""),"/",""),"?",""),"_",""),",",""),"[",""),"]",""),"(",""),")",""),"*","")</f>
        <v/>
      </c>
      <c r="AZ655" s="61" t="str">
        <f aca="false">SUBSTITUTE(SUBSTITUTE(SUBSTITUTE(SUBSTITUTE(SUBSTITUTE(SUBSTITUTE(SUBSTITUTE(SUBSTITUTE(SUBSTITUTE(SUBSTITUTE(SUBSTITUTE(SUBSTITUTE(SUBSTITUTE(LOWER(AC655&amp;""),CHAR(160),"")," ",""),".",""),"-",""),"/",""),"?",""),"_",""),",",""),"[",""),"]",""),"(",""),")",""),"*","")</f>
        <v/>
      </c>
      <c r="BA655" s="61" t="str">
        <f aca="false">SUBSTITUTE(SUBSTITUTE(SUBSTITUTE(SUBSTITUTE(SUBSTITUTE(SUBSTITUTE(SUBSTITUTE(SUBSTITUTE(SUBSTITUTE(SUBSTITUTE(SUBSTITUTE(SUBSTITUTE(SUBSTITUTE(LOWER(AA655&amp;""),CHAR(160),"")," ",""),".",""),"-",""),"/",""),"?",""),"_",""),",",""),"[",""),"]",""),"(",""),")",""),"*","")</f>
        <v/>
      </c>
      <c r="BB655" s="61" t="str">
        <f aca="false">IF(AND(TRIM(U655)="Pass",ISNUMBER(AF655)),IF(AF655&lt;&gt;0,"INVALID – qty variance: use Fail or Pass after CA",""),"")&amp;IF(AND(TRIM(U655)="Pass after CA",ISNUMBER(AF655)),IF(AF655&lt;&gt;0,"INVALID – after the corrective action the actual qty must equal expected (update Actual)",""),"")&amp;IF(AND(TRIM(U655)="Pass",TRIM(AB655)&lt;&gt;"",TRIM(AB655)&lt;&gt;"Closed"),"INVALID – corrective action not closed: use Fail, then Pass after CA","")&amp;IF(AND(TRIM(AA655)&lt;&gt;"",TRIM(AB655)=""),"INVALID – CA status missing for the recorded corrective action","")&amp;IF(AND(TRIM(U655)="Pass after CA",OR(OR(LEN(BA655)&lt;5,ISNUMBER(MATCH(BA655,L_Placeholder,0))),TRIM(AB655)&lt;&gt;"Closed")),"INVALID – corrective action not recorded/closed","")</f>
        <v/>
      </c>
    </row>
    <row r="656" customFormat="false" ht="39.75" hidden="false" customHeight="true" outlineLevel="0" collapsed="false">
      <c r="A656" s="57" t="s">
        <v>1353</v>
      </c>
      <c r="B656" s="57" t="s">
        <v>301</v>
      </c>
      <c r="C656" s="57" t="str">
        <f aca="false">Flights!$F$24</f>
        <v>MH1450</v>
      </c>
      <c r="D656" s="58" t="n">
        <f aca="false">Flights!$D$24</f>
        <v>46324</v>
      </c>
      <c r="E656" s="57" t="str">
        <f aca="false">Flights!$G$24&amp;"-"&amp;Flights!$H$24</f>
        <v>KUL-LGK</v>
      </c>
      <c r="F656" s="57" t="str">
        <f aca="false">Flights!$K$24</f>
        <v>EY</v>
      </c>
      <c r="G656" s="57" t="s">
        <v>398</v>
      </c>
      <c r="H656" s="57" t="s">
        <v>356</v>
      </c>
      <c r="I656" s="57" t="s">
        <v>406</v>
      </c>
      <c r="J656" s="57" t="s">
        <v>407</v>
      </c>
      <c r="K656" s="67"/>
      <c r="L656" s="67" t="s">
        <v>400</v>
      </c>
      <c r="M656" s="67"/>
      <c r="N656" s="67" t="s">
        <v>361</v>
      </c>
      <c r="O656" s="67" t="s">
        <v>401</v>
      </c>
      <c r="P656" s="57" t="s">
        <v>184</v>
      </c>
      <c r="Q656" s="59" t="n">
        <f aca="false">ROUND((Flights!$AE$24)*1440,0)/1440</f>
        <v>46323.9375</v>
      </c>
      <c r="R656" s="59" t="n">
        <f aca="false">Q656+(IF(AND(INDEX(TZ_DSTS,MATCH(P656,TZ_STN,0))&lt;&gt;"",Q656&gt;=INDEX(TZ_DSTS,MATCH(P656,TZ_STN,0)),Q656&lt;INDEX(TZ_DSTE,MATCH(P656,TZ_STN,0))),INDEX(TZ_DST,MATCH(P656,TZ_STN,0)),INDEX(TZ_STD,MATCH(P656,TZ_STN,0))))/24</f>
        <v>46324.2708333333</v>
      </c>
      <c r="S656" s="59" t="n">
        <f aca="false">Q656-T12EarlyH/24</f>
        <v>46323.4375</v>
      </c>
      <c r="T656" s="60"/>
      <c r="U656" s="60"/>
      <c r="V656" s="60"/>
      <c r="W656" s="61"/>
      <c r="X656" s="60"/>
      <c r="Y656" s="60"/>
      <c r="Z656" s="60"/>
      <c r="AA656" s="60"/>
      <c r="AB656" s="60"/>
      <c r="AC656" s="60"/>
      <c r="AD656" s="66"/>
      <c r="AE656" s="60"/>
      <c r="AF656" s="61" t="str">
        <f aca="false">IF(AND(ISNUMBER(X656),ISNUMBER(Y656)),Y656-X656,"")</f>
        <v/>
      </c>
      <c r="AG656" s="62" t="str">
        <f aca="false">IF(ISNUMBER(AD656),AD656-(IF(AND(INDEX(TZ_DSTS,MATCH(P656,TZ_STN,0))&lt;&gt;"",(AD656-INDEX(TZ_STD,MATCH(P656,TZ_STN,0))/24)&gt;=INDEX(TZ_DSTS,MATCH(P656,TZ_STN,0)),(AD656-INDEX(TZ_STD,MATCH(P656,TZ_STN,0))/24)&lt;INDEX(TZ_DSTE,MATCH(P656,TZ_STN,0))),INDEX(TZ_DST,MATCH(P656,TZ_STN,0)),INDEX(TZ_STD,MATCH(P656,TZ_STN,0))))/24,"")</f>
        <v/>
      </c>
      <c r="AH656" s="65" t="str">
        <f aca="false">IFERROR(IF(N656="N/A – rule","N/A – RULE",IF(TRIM(U656)="N/A",IF(AT656=0,"INVALID – N/A not permitted for this check",IF(AND(TRIM(AB656)&lt;&gt;"",TRIM(AB656)&lt;&gt;"Closed"),"INVALID – corrective action still open",IF(AND(NOT(OR(LEN(AZ656)&lt;15,ISNUMBER(MATCH(AZ656,L_Placeholder,0)))),NOT(OR(LEN(AU656)&lt;2,ISNUMBER(MATCH(AU656,L_Placeholder,0)))),NOT(OR(LEN(AX656)&lt;2,ISNUMBER(MATCH(AX656,L_Placeholder,0)))),TRIM(AE656)&lt;&gt;TRIM(T656)),"N/A – JUSTIFIED","INVALID – N/A needs a real justification (15+ chars), PIC and a different verifier"))),IF(OR(TRIM(U656)="Pass",TRIM(U656)="Pass after CA"),IF(NOT(ISNUMBER(AD656)),"INVALID – completion time missing",IF(OR(LEN(AU656)&lt;2,ISNUMBER(MATCH(AU656,L_Placeholder,0))),"INVALID – PIC missing",IF(OR(LEN(AV656)&lt;2,ISNUMBER(MATCH(AV656,L_Placeholder,0))),"INVALID – result / assessment missing",IF(OR(OR(LEN(AW656)&lt;3,ISNUMBER(MATCH(AW656,L_Placeholder,0))),SUMPRODUCT(--ISNUMBER(SEARCH(L_EvidencePhrase,AW656)))&gt;0),"INVALID – evidence missing, placeholder or not yet on file",IF(OR(LEN(AX656)&lt;2,ISNUMBER(MATCH(AX656,L_Placeholder,0))),"INVALID – verifier missing",IF(AX656=AU656,"INVALID – verifier must be someone other than the PIC",IF(AND(TRIM(U656)="Pass",SUMPRODUCT(--ISNUMBER(SEARCH(L_ResultBad,AV656)))&gt;0),"INVALID – result describes a problem: use Fail, then Pass after CA",IF(AND(AQ656=1,OR(LEN(AY656)&lt;3,ISNUMBER(MATCH(AY656,L_Placeholder,0)))),"INVALID – batch ID missing or placeholder",IF(AND(AR656=1,OR(NOT(ISNUMBER(X656)),NOT(ISNUMBER(Y656)))),"INVALID – expected/actual qty missing",IF(AND(AR656=1,OR(X656&lt;=0,Y656&lt;0)),"INVALID – expected qty must be above 0 and actual not negative",IF(BB656&lt;&gt;"",BB656,IF(AND(AS656=1,Documents!$J$24&lt;&gt;"ON FILE"),"INVALID – GLD not on file (Documents sheet)",IF(AND(AS656=2,Documents!$O$24&lt;&gt;"ON FILE"),"INVALID – menu checklist not on file (Documents sheet)",IF(AND(AS656=3,NOT(ISNUMBER(Flights!$AX$24))),"INVALID – enter carrying flight KUL departure (Flights AX)",IF(AND(AS656=3,OR(Flights!$AZ$24&gt;Flights!$AA$24,Flights!$AX$24&lt;Flights!$AA$24-3)),"INVALID – carrying flight (Flights AX) cannot arrive before this leg's STD, or is over 3 days early",IF(AG656&gt;AsOfUTC,"INVALID – completion time is in the future",IF(AND(ISNUMBER(S656),AG656&lt;S656),IF(H656="Physical uplift","INVALID – before uplift window (cannot confirm loading)","INVALID – before valid window"),IF(AG656&gt;Flights!$AA$24,"INVALID – completed after departure (cannot establish readiness)",IF(AND(H656="Preparation",AG656&gt;IF(ISNUMBER(Flights!$BA$24),MIN(Flights!$BA$24,Flights!$AA$24),Flights!$AA$24)),"INVALID – completed after loading / departure (cannot establish readiness)",IF(AND(H656="Physical uplift",AG656&gt;Q656),"INVALID – recorded after the loading flight departed",IF(AG656&gt;Q656,"COMPLETE – LATE","COMPLETE"))))))))))))))))))))),IF(TRIM(U656)="Fail","FAIL – DISCREPANCY",IF(AND(TRIM(U656)&lt;&gt;"",TRIM(U656)&lt;&gt;"Not started",TRIM(U656)&lt;&gt;"In progress"),"INVALID – unrecognised status (use the list)",IF(AsOfUTC&gt;Q656,"OVERDUE",IF(N656="Clarification required","OPEN – CLARIFICATION","OPEN"))))))),"INVALID – error value in an input cell")</f>
        <v>OPEN</v>
      </c>
      <c r="AI656" s="61" t="n">
        <f aca="false">IF(OR(AH656="N/A – RULE",AH656="N/A – JUSTIFIED"),0,1)</f>
        <v>1</v>
      </c>
      <c r="AJ656" s="61" t="n">
        <f aca="false">IF(LEFT(AH656,8)="COMPLETE",1,0)</f>
        <v>0</v>
      </c>
      <c r="AK656" s="61" t="n">
        <f aca="false">IF(AND(AI656=1,AJ656=0,AsOfUTC&gt;Q656),1,0)</f>
        <v>0</v>
      </c>
      <c r="AL656" s="61" t="n">
        <f aca="false">IFERROR(IF(AND(AI656=1,OR(TRIM(U656)="Fail",AND(TRIM(AB656)&lt;&gt;"",TRIM(AB656)&lt;&gt;"Closed"),AND(ISNUMBER(AF656),AF656&lt;&gt;0,TRIM(U656)&lt;&gt;"Pass after CA"))),1,0),1)</f>
        <v>0</v>
      </c>
      <c r="AM656" s="61" t="n">
        <f aca="false">IF(LEFT(AH656,7)="INVALID",1,0)</f>
        <v>0</v>
      </c>
      <c r="AN656" s="61" t="n">
        <f aca="false">IF(AND(N656="Clarification required",AI656=1,AJ656=0),1,0)</f>
        <v>0</v>
      </c>
      <c r="AO656" s="61" t="str">
        <f aca="false">IF(AK656=1,SUM(AK$5:AK656),"")</f>
        <v/>
      </c>
      <c r="AP656" s="61" t="str">
        <f aca="false">IF(AL656=1,SUM(AL$5:AL656),"")</f>
        <v/>
      </c>
      <c r="AQ656" s="61" t="n">
        <v>0</v>
      </c>
      <c r="AR656" s="61" t="n">
        <v>0</v>
      </c>
      <c r="AS656" s="61" t="n">
        <v>0</v>
      </c>
      <c r="AT656" s="61" t="n">
        <v>0</v>
      </c>
      <c r="AU656" s="61" t="str">
        <f aca="false">SUBSTITUTE(SUBSTITUTE(SUBSTITUTE(SUBSTITUTE(SUBSTITUTE(SUBSTITUTE(SUBSTITUTE(SUBSTITUTE(SUBSTITUTE(SUBSTITUTE(SUBSTITUTE(SUBSTITUTE(SUBSTITUTE(LOWER(T656&amp;""),CHAR(160),"")," ",""),".",""),"-",""),"/",""),"?",""),"_",""),",",""),"[",""),"]",""),"(",""),")",""),"*","")</f>
        <v/>
      </c>
      <c r="AV656" s="61" t="str">
        <f aca="false">SUBSTITUTE(SUBSTITUTE(SUBSTITUTE(SUBSTITUTE(SUBSTITUTE(SUBSTITUTE(SUBSTITUTE(SUBSTITUTE(SUBSTITUTE(SUBSTITUTE(SUBSTITUTE(SUBSTITUTE(SUBSTITUTE(LOWER(V656&amp;""),CHAR(160),"")," ",""),".",""),"-",""),"/",""),"?",""),"_",""),",",""),"[",""),"]",""),"(",""),")",""),"*","")</f>
        <v/>
      </c>
      <c r="AW656" s="61" t="str">
        <f aca="false">SUBSTITUTE(SUBSTITUTE(SUBSTITUTE(SUBSTITUTE(SUBSTITUTE(SUBSTITUTE(SUBSTITUTE(SUBSTITUTE(SUBSTITUTE(SUBSTITUTE(SUBSTITUTE(SUBSTITUTE(SUBSTITUTE(LOWER(Z656&amp;""),CHAR(160),"")," ",""),".",""),"-",""),"/",""),"?",""),"_",""),",",""),"[",""),"]",""),"(",""),")",""),"*","")</f>
        <v/>
      </c>
      <c r="AX656" s="61" t="str">
        <f aca="false">SUBSTITUTE(SUBSTITUTE(SUBSTITUTE(SUBSTITUTE(SUBSTITUTE(SUBSTITUTE(SUBSTITUTE(SUBSTITUTE(SUBSTITUTE(SUBSTITUTE(SUBSTITUTE(SUBSTITUTE(SUBSTITUTE(LOWER(AE656&amp;""),CHAR(160),"")," ",""),".",""),"-",""),"/",""),"?",""),"_",""),",",""),"[",""),"]",""),"(",""),")",""),"*","")</f>
        <v/>
      </c>
      <c r="AY656" s="61" t="str">
        <f aca="false">SUBSTITUTE(SUBSTITUTE(SUBSTITUTE(SUBSTITUTE(SUBSTITUTE(SUBSTITUTE(SUBSTITUTE(SUBSTITUTE(SUBSTITUTE(SUBSTITUTE(SUBSTITUTE(SUBSTITUTE(SUBSTITUTE(LOWER(W656&amp;""),CHAR(160),"")," ",""),".",""),"-",""),"/",""),"?",""),"_",""),",",""),"[",""),"]",""),"(",""),")",""),"*","")</f>
        <v/>
      </c>
      <c r="AZ656" s="61" t="str">
        <f aca="false">SUBSTITUTE(SUBSTITUTE(SUBSTITUTE(SUBSTITUTE(SUBSTITUTE(SUBSTITUTE(SUBSTITUTE(SUBSTITUTE(SUBSTITUTE(SUBSTITUTE(SUBSTITUTE(SUBSTITUTE(SUBSTITUTE(LOWER(AC656&amp;""),CHAR(160),"")," ",""),".",""),"-",""),"/",""),"?",""),"_",""),",",""),"[",""),"]",""),"(",""),")",""),"*","")</f>
        <v/>
      </c>
      <c r="BA656" s="61" t="str">
        <f aca="false">SUBSTITUTE(SUBSTITUTE(SUBSTITUTE(SUBSTITUTE(SUBSTITUTE(SUBSTITUTE(SUBSTITUTE(SUBSTITUTE(SUBSTITUTE(SUBSTITUTE(SUBSTITUTE(SUBSTITUTE(SUBSTITUTE(LOWER(AA656&amp;""),CHAR(160),"")," ",""),".",""),"-",""),"/",""),"?",""),"_",""),",",""),"[",""),"]",""),"(",""),")",""),"*","")</f>
        <v/>
      </c>
      <c r="BB656" s="61" t="str">
        <f aca="false">IF(AND(TRIM(U656)="Pass",ISNUMBER(AF656)),IF(AF656&lt;&gt;0,"INVALID – qty variance: use Fail or Pass after CA",""),"")&amp;IF(AND(TRIM(U656)="Pass after CA",ISNUMBER(AF656)),IF(AF656&lt;&gt;0,"INVALID – after the corrective action the actual qty must equal expected (update Actual)",""),"")&amp;IF(AND(TRIM(U656)="Pass",TRIM(AB656)&lt;&gt;"",TRIM(AB656)&lt;&gt;"Closed"),"INVALID – corrective action not closed: use Fail, then Pass after CA","")&amp;IF(AND(TRIM(AA656)&lt;&gt;"",TRIM(AB656)=""),"INVALID – CA status missing for the recorded corrective action","")&amp;IF(AND(TRIM(U656)="Pass after CA",OR(OR(LEN(BA656)&lt;5,ISNUMBER(MATCH(BA656,L_Placeholder,0))),TRIM(AB656)&lt;&gt;"Closed")),"INVALID – corrective action not recorded/closed","")</f>
        <v/>
      </c>
    </row>
    <row r="657" customFormat="false" ht="39.75" hidden="false" customHeight="true" outlineLevel="0" collapsed="false">
      <c r="A657" s="57" t="s">
        <v>1354</v>
      </c>
      <c r="B657" s="57" t="s">
        <v>301</v>
      </c>
      <c r="C657" s="57" t="str">
        <f aca="false">Flights!$F$24</f>
        <v>MH1450</v>
      </c>
      <c r="D657" s="58" t="n">
        <f aca="false">Flights!$D$24</f>
        <v>46324</v>
      </c>
      <c r="E657" s="57" t="str">
        <f aca="false">Flights!$G$24&amp;"-"&amp;Flights!$H$24</f>
        <v>KUL-LGK</v>
      </c>
      <c r="F657" s="57" t="str">
        <f aca="false">Flights!$K$24</f>
        <v>EY</v>
      </c>
      <c r="G657" s="57" t="s">
        <v>398</v>
      </c>
      <c r="H657" s="57" t="s">
        <v>356</v>
      </c>
      <c r="I657" s="57" t="s">
        <v>406</v>
      </c>
      <c r="J657" s="57" t="s">
        <v>409</v>
      </c>
      <c r="K657" s="67"/>
      <c r="L657" s="67" t="s">
        <v>400</v>
      </c>
      <c r="M657" s="67"/>
      <c r="N657" s="67" t="s">
        <v>361</v>
      </c>
      <c r="O657" s="67" t="s">
        <v>401</v>
      </c>
      <c r="P657" s="57" t="s">
        <v>184</v>
      </c>
      <c r="Q657" s="59" t="n">
        <f aca="false">ROUND((Flights!$AE$24)*1440,0)/1440</f>
        <v>46323.9375</v>
      </c>
      <c r="R657" s="59" t="n">
        <f aca="false">Q657+(IF(AND(INDEX(TZ_DSTS,MATCH(P657,TZ_STN,0))&lt;&gt;"",Q657&gt;=INDEX(TZ_DSTS,MATCH(P657,TZ_STN,0)),Q657&lt;INDEX(TZ_DSTE,MATCH(P657,TZ_STN,0))),INDEX(TZ_DST,MATCH(P657,TZ_STN,0)),INDEX(TZ_STD,MATCH(P657,TZ_STN,0))))/24</f>
        <v>46324.2708333333</v>
      </c>
      <c r="S657" s="59" t="n">
        <f aca="false">Q657-T12EarlyH/24</f>
        <v>46323.4375</v>
      </c>
      <c r="T657" s="60"/>
      <c r="U657" s="60"/>
      <c r="V657" s="60"/>
      <c r="W657" s="61"/>
      <c r="X657" s="60"/>
      <c r="Y657" s="60"/>
      <c r="Z657" s="60"/>
      <c r="AA657" s="60"/>
      <c r="AB657" s="60"/>
      <c r="AC657" s="60"/>
      <c r="AD657" s="66"/>
      <c r="AE657" s="60"/>
      <c r="AF657" s="61" t="str">
        <f aca="false">IF(AND(ISNUMBER(X657),ISNUMBER(Y657)),Y657-X657,"")</f>
        <v/>
      </c>
      <c r="AG657" s="62" t="str">
        <f aca="false">IF(ISNUMBER(AD657),AD657-(IF(AND(INDEX(TZ_DSTS,MATCH(P657,TZ_STN,0))&lt;&gt;"",(AD657-INDEX(TZ_STD,MATCH(P657,TZ_STN,0))/24)&gt;=INDEX(TZ_DSTS,MATCH(P657,TZ_STN,0)),(AD657-INDEX(TZ_STD,MATCH(P657,TZ_STN,0))/24)&lt;INDEX(TZ_DSTE,MATCH(P657,TZ_STN,0))),INDEX(TZ_DST,MATCH(P657,TZ_STN,0)),INDEX(TZ_STD,MATCH(P657,TZ_STN,0))))/24,"")</f>
        <v/>
      </c>
      <c r="AH657" s="65" t="str">
        <f aca="false">IFERROR(IF(N657="N/A – rule","N/A – RULE",IF(TRIM(U657)="N/A",IF(AT657=0,"INVALID – N/A not permitted for this check",IF(AND(TRIM(AB657)&lt;&gt;"",TRIM(AB657)&lt;&gt;"Closed"),"INVALID – corrective action still open",IF(AND(NOT(OR(LEN(AZ657)&lt;15,ISNUMBER(MATCH(AZ657,L_Placeholder,0)))),NOT(OR(LEN(AU657)&lt;2,ISNUMBER(MATCH(AU657,L_Placeholder,0)))),NOT(OR(LEN(AX657)&lt;2,ISNUMBER(MATCH(AX657,L_Placeholder,0)))),TRIM(AE657)&lt;&gt;TRIM(T657)),"N/A – JUSTIFIED","INVALID – N/A needs a real justification (15+ chars), PIC and a different verifier"))),IF(OR(TRIM(U657)="Pass",TRIM(U657)="Pass after CA"),IF(NOT(ISNUMBER(AD657)),"INVALID – completion time missing",IF(OR(LEN(AU657)&lt;2,ISNUMBER(MATCH(AU657,L_Placeholder,0))),"INVALID – PIC missing",IF(OR(LEN(AV657)&lt;2,ISNUMBER(MATCH(AV657,L_Placeholder,0))),"INVALID – result / assessment missing",IF(OR(OR(LEN(AW657)&lt;3,ISNUMBER(MATCH(AW657,L_Placeholder,0))),SUMPRODUCT(--ISNUMBER(SEARCH(L_EvidencePhrase,AW657)))&gt;0),"INVALID – evidence missing, placeholder or not yet on file",IF(OR(LEN(AX657)&lt;2,ISNUMBER(MATCH(AX657,L_Placeholder,0))),"INVALID – verifier missing",IF(AX657=AU657,"INVALID – verifier must be someone other than the PIC",IF(AND(TRIM(U657)="Pass",SUMPRODUCT(--ISNUMBER(SEARCH(L_ResultBad,AV657)))&gt;0),"INVALID – result describes a problem: use Fail, then Pass after CA",IF(AND(AQ657=1,OR(LEN(AY657)&lt;3,ISNUMBER(MATCH(AY657,L_Placeholder,0)))),"INVALID – batch ID missing or placeholder",IF(AND(AR657=1,OR(NOT(ISNUMBER(X657)),NOT(ISNUMBER(Y657)))),"INVALID – expected/actual qty missing",IF(AND(AR657=1,OR(X657&lt;=0,Y657&lt;0)),"INVALID – expected qty must be above 0 and actual not negative",IF(BB657&lt;&gt;"",BB657,IF(AND(AS657=1,Documents!$J$24&lt;&gt;"ON FILE"),"INVALID – GLD not on file (Documents sheet)",IF(AND(AS657=2,Documents!$O$24&lt;&gt;"ON FILE"),"INVALID – menu checklist not on file (Documents sheet)",IF(AND(AS657=3,NOT(ISNUMBER(Flights!$AX$24))),"INVALID – enter carrying flight KUL departure (Flights AX)",IF(AND(AS657=3,OR(Flights!$AZ$24&gt;Flights!$AA$24,Flights!$AX$24&lt;Flights!$AA$24-3)),"INVALID – carrying flight (Flights AX) cannot arrive before this leg's STD, or is over 3 days early",IF(AG657&gt;AsOfUTC,"INVALID – completion time is in the future",IF(AND(ISNUMBER(S657),AG657&lt;S657),IF(H657="Physical uplift","INVALID – before uplift window (cannot confirm loading)","INVALID – before valid window"),IF(AG657&gt;Flights!$AA$24,"INVALID – completed after departure (cannot establish readiness)",IF(AND(H657="Preparation",AG657&gt;IF(ISNUMBER(Flights!$BA$24),MIN(Flights!$BA$24,Flights!$AA$24),Flights!$AA$24)),"INVALID – completed after loading / departure (cannot establish readiness)",IF(AND(H657="Physical uplift",AG657&gt;Q657),"INVALID – recorded after the loading flight departed",IF(AG657&gt;Q657,"COMPLETE – LATE","COMPLETE"))))))))))))))))))))),IF(TRIM(U657)="Fail","FAIL – DISCREPANCY",IF(AND(TRIM(U657)&lt;&gt;"",TRIM(U657)&lt;&gt;"Not started",TRIM(U657)&lt;&gt;"In progress"),"INVALID – unrecognised status (use the list)",IF(AsOfUTC&gt;Q657,"OVERDUE",IF(N657="Clarification required","OPEN – CLARIFICATION","OPEN"))))))),"INVALID – error value in an input cell")</f>
        <v>OPEN</v>
      </c>
      <c r="AI657" s="61" t="n">
        <f aca="false">IF(OR(AH657="N/A – RULE",AH657="N/A – JUSTIFIED"),0,1)</f>
        <v>1</v>
      </c>
      <c r="AJ657" s="61" t="n">
        <f aca="false">IF(LEFT(AH657,8)="COMPLETE",1,0)</f>
        <v>0</v>
      </c>
      <c r="AK657" s="61" t="n">
        <f aca="false">IF(AND(AI657=1,AJ657=0,AsOfUTC&gt;Q657),1,0)</f>
        <v>0</v>
      </c>
      <c r="AL657" s="61" t="n">
        <f aca="false">IFERROR(IF(AND(AI657=1,OR(TRIM(U657)="Fail",AND(TRIM(AB657)&lt;&gt;"",TRIM(AB657)&lt;&gt;"Closed"),AND(ISNUMBER(AF657),AF657&lt;&gt;0,TRIM(U657)&lt;&gt;"Pass after CA"))),1,0),1)</f>
        <v>0</v>
      </c>
      <c r="AM657" s="61" t="n">
        <f aca="false">IF(LEFT(AH657,7)="INVALID",1,0)</f>
        <v>0</v>
      </c>
      <c r="AN657" s="61" t="n">
        <f aca="false">IF(AND(N657="Clarification required",AI657=1,AJ657=0),1,0)</f>
        <v>0</v>
      </c>
      <c r="AO657" s="61" t="str">
        <f aca="false">IF(AK657=1,SUM(AK$5:AK657),"")</f>
        <v/>
      </c>
      <c r="AP657" s="61" t="str">
        <f aca="false">IF(AL657=1,SUM(AL$5:AL657),"")</f>
        <v/>
      </c>
      <c r="AQ657" s="61" t="n">
        <v>0</v>
      </c>
      <c r="AR657" s="61" t="n">
        <v>0</v>
      </c>
      <c r="AS657" s="61" t="n">
        <v>0</v>
      </c>
      <c r="AT657" s="61" t="n">
        <v>0</v>
      </c>
      <c r="AU657" s="61" t="str">
        <f aca="false">SUBSTITUTE(SUBSTITUTE(SUBSTITUTE(SUBSTITUTE(SUBSTITUTE(SUBSTITUTE(SUBSTITUTE(SUBSTITUTE(SUBSTITUTE(SUBSTITUTE(SUBSTITUTE(SUBSTITUTE(SUBSTITUTE(LOWER(T657&amp;""),CHAR(160),"")," ",""),".",""),"-",""),"/",""),"?",""),"_",""),",",""),"[",""),"]",""),"(",""),")",""),"*","")</f>
        <v/>
      </c>
      <c r="AV657" s="61" t="str">
        <f aca="false">SUBSTITUTE(SUBSTITUTE(SUBSTITUTE(SUBSTITUTE(SUBSTITUTE(SUBSTITUTE(SUBSTITUTE(SUBSTITUTE(SUBSTITUTE(SUBSTITUTE(SUBSTITUTE(SUBSTITUTE(SUBSTITUTE(LOWER(V657&amp;""),CHAR(160),"")," ",""),".",""),"-",""),"/",""),"?",""),"_",""),",",""),"[",""),"]",""),"(",""),")",""),"*","")</f>
        <v/>
      </c>
      <c r="AW657" s="61" t="str">
        <f aca="false">SUBSTITUTE(SUBSTITUTE(SUBSTITUTE(SUBSTITUTE(SUBSTITUTE(SUBSTITUTE(SUBSTITUTE(SUBSTITUTE(SUBSTITUTE(SUBSTITUTE(SUBSTITUTE(SUBSTITUTE(SUBSTITUTE(LOWER(Z657&amp;""),CHAR(160),"")," ",""),".",""),"-",""),"/",""),"?",""),"_",""),",",""),"[",""),"]",""),"(",""),")",""),"*","")</f>
        <v/>
      </c>
      <c r="AX657" s="61" t="str">
        <f aca="false">SUBSTITUTE(SUBSTITUTE(SUBSTITUTE(SUBSTITUTE(SUBSTITUTE(SUBSTITUTE(SUBSTITUTE(SUBSTITUTE(SUBSTITUTE(SUBSTITUTE(SUBSTITUTE(SUBSTITUTE(SUBSTITUTE(LOWER(AE657&amp;""),CHAR(160),"")," ",""),".",""),"-",""),"/",""),"?",""),"_",""),",",""),"[",""),"]",""),"(",""),")",""),"*","")</f>
        <v/>
      </c>
      <c r="AY657" s="61" t="str">
        <f aca="false">SUBSTITUTE(SUBSTITUTE(SUBSTITUTE(SUBSTITUTE(SUBSTITUTE(SUBSTITUTE(SUBSTITUTE(SUBSTITUTE(SUBSTITUTE(SUBSTITUTE(SUBSTITUTE(SUBSTITUTE(SUBSTITUTE(LOWER(W657&amp;""),CHAR(160),"")," ",""),".",""),"-",""),"/",""),"?",""),"_",""),",",""),"[",""),"]",""),"(",""),")",""),"*","")</f>
        <v/>
      </c>
      <c r="AZ657" s="61" t="str">
        <f aca="false">SUBSTITUTE(SUBSTITUTE(SUBSTITUTE(SUBSTITUTE(SUBSTITUTE(SUBSTITUTE(SUBSTITUTE(SUBSTITUTE(SUBSTITUTE(SUBSTITUTE(SUBSTITUTE(SUBSTITUTE(SUBSTITUTE(LOWER(AC657&amp;""),CHAR(160),"")," ",""),".",""),"-",""),"/",""),"?",""),"_",""),",",""),"[",""),"]",""),"(",""),")",""),"*","")</f>
        <v/>
      </c>
      <c r="BA657" s="61" t="str">
        <f aca="false">SUBSTITUTE(SUBSTITUTE(SUBSTITUTE(SUBSTITUTE(SUBSTITUTE(SUBSTITUTE(SUBSTITUTE(SUBSTITUTE(SUBSTITUTE(SUBSTITUTE(SUBSTITUTE(SUBSTITUTE(SUBSTITUTE(LOWER(AA657&amp;""),CHAR(160),"")," ",""),".",""),"-",""),"/",""),"?",""),"_",""),",",""),"[",""),"]",""),"(",""),")",""),"*","")</f>
        <v/>
      </c>
      <c r="BB657" s="61" t="str">
        <f aca="false">IF(AND(TRIM(U657)="Pass",ISNUMBER(AF657)),IF(AF657&lt;&gt;0,"INVALID – qty variance: use Fail or Pass after CA",""),"")&amp;IF(AND(TRIM(U657)="Pass after CA",ISNUMBER(AF657)),IF(AF657&lt;&gt;0,"INVALID – after the corrective action the actual qty must equal expected (update Actual)",""),"")&amp;IF(AND(TRIM(U657)="Pass",TRIM(AB657)&lt;&gt;"",TRIM(AB657)&lt;&gt;"Closed"),"INVALID – corrective action not closed: use Fail, then Pass after CA","")&amp;IF(AND(TRIM(AA657)&lt;&gt;"",TRIM(AB657)=""),"INVALID – CA status missing for the recorded corrective action","")&amp;IF(AND(TRIM(U657)="Pass after CA",OR(OR(LEN(BA657)&lt;5,ISNUMBER(MATCH(BA657,L_Placeholder,0))),TRIM(AB657)&lt;&gt;"Closed")),"INVALID – corrective action not recorded/closed","")</f>
        <v/>
      </c>
    </row>
    <row r="658" customFormat="false" ht="39.75" hidden="false" customHeight="true" outlineLevel="0" collapsed="false">
      <c r="A658" s="57" t="s">
        <v>1355</v>
      </c>
      <c r="B658" s="57" t="s">
        <v>301</v>
      </c>
      <c r="C658" s="57" t="str">
        <f aca="false">Flights!$F$24</f>
        <v>MH1450</v>
      </c>
      <c r="D658" s="58" t="n">
        <f aca="false">Flights!$D$24</f>
        <v>46324</v>
      </c>
      <c r="E658" s="57" t="str">
        <f aca="false">Flights!$G$24&amp;"-"&amp;Flights!$H$24</f>
        <v>KUL-LGK</v>
      </c>
      <c r="F658" s="57" t="str">
        <f aca="false">Flights!$K$24</f>
        <v>EY</v>
      </c>
      <c r="G658" s="57" t="s">
        <v>398</v>
      </c>
      <c r="H658" s="57" t="s">
        <v>356</v>
      </c>
      <c r="I658" s="57" t="s">
        <v>406</v>
      </c>
      <c r="J658" s="57" t="s">
        <v>411</v>
      </c>
      <c r="K658" s="67"/>
      <c r="L658" s="67" t="s">
        <v>400</v>
      </c>
      <c r="M658" s="67"/>
      <c r="N658" s="67" t="s">
        <v>361</v>
      </c>
      <c r="O658" s="67" t="s">
        <v>401</v>
      </c>
      <c r="P658" s="57" t="s">
        <v>184</v>
      </c>
      <c r="Q658" s="59" t="n">
        <f aca="false">ROUND((Flights!$AE$24)*1440,0)/1440</f>
        <v>46323.9375</v>
      </c>
      <c r="R658" s="59" t="n">
        <f aca="false">Q658+(IF(AND(INDEX(TZ_DSTS,MATCH(P658,TZ_STN,0))&lt;&gt;"",Q658&gt;=INDEX(TZ_DSTS,MATCH(P658,TZ_STN,0)),Q658&lt;INDEX(TZ_DSTE,MATCH(P658,TZ_STN,0))),INDEX(TZ_DST,MATCH(P658,TZ_STN,0)),INDEX(TZ_STD,MATCH(P658,TZ_STN,0))))/24</f>
        <v>46324.2708333333</v>
      </c>
      <c r="S658" s="59" t="n">
        <f aca="false">Q658-T12EarlyH/24</f>
        <v>46323.4375</v>
      </c>
      <c r="T658" s="60"/>
      <c r="U658" s="60"/>
      <c r="V658" s="60"/>
      <c r="W658" s="61"/>
      <c r="X658" s="60"/>
      <c r="Y658" s="60"/>
      <c r="Z658" s="60"/>
      <c r="AA658" s="60"/>
      <c r="AB658" s="60"/>
      <c r="AC658" s="60"/>
      <c r="AD658" s="66"/>
      <c r="AE658" s="60"/>
      <c r="AF658" s="61" t="str">
        <f aca="false">IF(AND(ISNUMBER(X658),ISNUMBER(Y658)),Y658-X658,"")</f>
        <v/>
      </c>
      <c r="AG658" s="62" t="str">
        <f aca="false">IF(ISNUMBER(AD658),AD658-(IF(AND(INDEX(TZ_DSTS,MATCH(P658,TZ_STN,0))&lt;&gt;"",(AD658-INDEX(TZ_STD,MATCH(P658,TZ_STN,0))/24)&gt;=INDEX(TZ_DSTS,MATCH(P658,TZ_STN,0)),(AD658-INDEX(TZ_STD,MATCH(P658,TZ_STN,0))/24)&lt;INDEX(TZ_DSTE,MATCH(P658,TZ_STN,0))),INDEX(TZ_DST,MATCH(P658,TZ_STN,0)),INDEX(TZ_STD,MATCH(P658,TZ_STN,0))))/24,"")</f>
        <v/>
      </c>
      <c r="AH658" s="65" t="str">
        <f aca="false">IFERROR(IF(N658="N/A – rule","N/A – RULE",IF(TRIM(U658)="N/A",IF(AT658=0,"INVALID – N/A not permitted for this check",IF(AND(TRIM(AB658)&lt;&gt;"",TRIM(AB658)&lt;&gt;"Closed"),"INVALID – corrective action still open",IF(AND(NOT(OR(LEN(AZ658)&lt;15,ISNUMBER(MATCH(AZ658,L_Placeholder,0)))),NOT(OR(LEN(AU658)&lt;2,ISNUMBER(MATCH(AU658,L_Placeholder,0)))),NOT(OR(LEN(AX658)&lt;2,ISNUMBER(MATCH(AX658,L_Placeholder,0)))),TRIM(AE658)&lt;&gt;TRIM(T658)),"N/A – JUSTIFIED","INVALID – N/A needs a real justification (15+ chars), PIC and a different verifier"))),IF(OR(TRIM(U658)="Pass",TRIM(U658)="Pass after CA"),IF(NOT(ISNUMBER(AD658)),"INVALID – completion time missing",IF(OR(LEN(AU658)&lt;2,ISNUMBER(MATCH(AU658,L_Placeholder,0))),"INVALID – PIC missing",IF(OR(LEN(AV658)&lt;2,ISNUMBER(MATCH(AV658,L_Placeholder,0))),"INVALID – result / assessment missing",IF(OR(OR(LEN(AW658)&lt;3,ISNUMBER(MATCH(AW658,L_Placeholder,0))),SUMPRODUCT(--ISNUMBER(SEARCH(L_EvidencePhrase,AW658)))&gt;0),"INVALID – evidence missing, placeholder or not yet on file",IF(OR(LEN(AX658)&lt;2,ISNUMBER(MATCH(AX658,L_Placeholder,0))),"INVALID – verifier missing",IF(AX658=AU658,"INVALID – verifier must be someone other than the PIC",IF(AND(TRIM(U658)="Pass",SUMPRODUCT(--ISNUMBER(SEARCH(L_ResultBad,AV658)))&gt;0),"INVALID – result describes a problem: use Fail, then Pass after CA",IF(AND(AQ658=1,OR(LEN(AY658)&lt;3,ISNUMBER(MATCH(AY658,L_Placeholder,0)))),"INVALID – batch ID missing or placeholder",IF(AND(AR658=1,OR(NOT(ISNUMBER(X658)),NOT(ISNUMBER(Y658)))),"INVALID – expected/actual qty missing",IF(AND(AR658=1,OR(X658&lt;=0,Y658&lt;0)),"INVALID – expected qty must be above 0 and actual not negative",IF(BB658&lt;&gt;"",BB658,IF(AND(AS658=1,Documents!$J$24&lt;&gt;"ON FILE"),"INVALID – GLD not on file (Documents sheet)",IF(AND(AS658=2,Documents!$O$24&lt;&gt;"ON FILE"),"INVALID – menu checklist not on file (Documents sheet)",IF(AND(AS658=3,NOT(ISNUMBER(Flights!$AX$24))),"INVALID – enter carrying flight KUL departure (Flights AX)",IF(AND(AS658=3,OR(Flights!$AZ$24&gt;Flights!$AA$24,Flights!$AX$24&lt;Flights!$AA$24-3)),"INVALID – carrying flight (Flights AX) cannot arrive before this leg's STD, or is over 3 days early",IF(AG658&gt;AsOfUTC,"INVALID – completion time is in the future",IF(AND(ISNUMBER(S658),AG658&lt;S658),IF(H658="Physical uplift","INVALID – before uplift window (cannot confirm loading)","INVALID – before valid window"),IF(AG658&gt;Flights!$AA$24,"INVALID – completed after departure (cannot establish readiness)",IF(AND(H658="Preparation",AG658&gt;IF(ISNUMBER(Flights!$BA$24),MIN(Flights!$BA$24,Flights!$AA$24),Flights!$AA$24)),"INVALID – completed after loading / departure (cannot establish readiness)",IF(AND(H658="Physical uplift",AG658&gt;Q658),"INVALID – recorded after the loading flight departed",IF(AG658&gt;Q658,"COMPLETE – LATE","COMPLETE"))))))))))))))))))))),IF(TRIM(U658)="Fail","FAIL – DISCREPANCY",IF(AND(TRIM(U658)&lt;&gt;"",TRIM(U658)&lt;&gt;"Not started",TRIM(U658)&lt;&gt;"In progress"),"INVALID – unrecognised status (use the list)",IF(AsOfUTC&gt;Q658,"OVERDUE",IF(N658="Clarification required","OPEN – CLARIFICATION","OPEN"))))))),"INVALID – error value in an input cell")</f>
        <v>OPEN</v>
      </c>
      <c r="AI658" s="61" t="n">
        <f aca="false">IF(OR(AH658="N/A – RULE",AH658="N/A – JUSTIFIED"),0,1)</f>
        <v>1</v>
      </c>
      <c r="AJ658" s="61" t="n">
        <f aca="false">IF(LEFT(AH658,8)="COMPLETE",1,0)</f>
        <v>0</v>
      </c>
      <c r="AK658" s="61" t="n">
        <f aca="false">IF(AND(AI658=1,AJ658=0,AsOfUTC&gt;Q658),1,0)</f>
        <v>0</v>
      </c>
      <c r="AL658" s="61" t="n">
        <f aca="false">IFERROR(IF(AND(AI658=1,OR(TRIM(U658)="Fail",AND(TRIM(AB658)&lt;&gt;"",TRIM(AB658)&lt;&gt;"Closed"),AND(ISNUMBER(AF658),AF658&lt;&gt;0,TRIM(U658)&lt;&gt;"Pass after CA"))),1,0),1)</f>
        <v>0</v>
      </c>
      <c r="AM658" s="61" t="n">
        <f aca="false">IF(LEFT(AH658,7)="INVALID",1,0)</f>
        <v>0</v>
      </c>
      <c r="AN658" s="61" t="n">
        <f aca="false">IF(AND(N658="Clarification required",AI658=1,AJ658=0),1,0)</f>
        <v>0</v>
      </c>
      <c r="AO658" s="61" t="str">
        <f aca="false">IF(AK658=1,SUM(AK$5:AK658),"")</f>
        <v/>
      </c>
      <c r="AP658" s="61" t="str">
        <f aca="false">IF(AL658=1,SUM(AL$5:AL658),"")</f>
        <v/>
      </c>
      <c r="AQ658" s="61" t="n">
        <v>0</v>
      </c>
      <c r="AR658" s="61" t="n">
        <v>0</v>
      </c>
      <c r="AS658" s="61" t="n">
        <v>0</v>
      </c>
      <c r="AT658" s="61" t="n">
        <v>0</v>
      </c>
      <c r="AU658" s="61" t="str">
        <f aca="false">SUBSTITUTE(SUBSTITUTE(SUBSTITUTE(SUBSTITUTE(SUBSTITUTE(SUBSTITUTE(SUBSTITUTE(SUBSTITUTE(SUBSTITUTE(SUBSTITUTE(SUBSTITUTE(SUBSTITUTE(SUBSTITUTE(LOWER(T658&amp;""),CHAR(160),"")," ",""),".",""),"-",""),"/",""),"?",""),"_",""),",",""),"[",""),"]",""),"(",""),")",""),"*","")</f>
        <v/>
      </c>
      <c r="AV658" s="61" t="str">
        <f aca="false">SUBSTITUTE(SUBSTITUTE(SUBSTITUTE(SUBSTITUTE(SUBSTITUTE(SUBSTITUTE(SUBSTITUTE(SUBSTITUTE(SUBSTITUTE(SUBSTITUTE(SUBSTITUTE(SUBSTITUTE(SUBSTITUTE(LOWER(V658&amp;""),CHAR(160),"")," ",""),".",""),"-",""),"/",""),"?",""),"_",""),",",""),"[",""),"]",""),"(",""),")",""),"*","")</f>
        <v/>
      </c>
      <c r="AW658" s="61" t="str">
        <f aca="false">SUBSTITUTE(SUBSTITUTE(SUBSTITUTE(SUBSTITUTE(SUBSTITUTE(SUBSTITUTE(SUBSTITUTE(SUBSTITUTE(SUBSTITUTE(SUBSTITUTE(SUBSTITUTE(SUBSTITUTE(SUBSTITUTE(LOWER(Z658&amp;""),CHAR(160),"")," ",""),".",""),"-",""),"/",""),"?",""),"_",""),",",""),"[",""),"]",""),"(",""),")",""),"*","")</f>
        <v/>
      </c>
      <c r="AX658" s="61" t="str">
        <f aca="false">SUBSTITUTE(SUBSTITUTE(SUBSTITUTE(SUBSTITUTE(SUBSTITUTE(SUBSTITUTE(SUBSTITUTE(SUBSTITUTE(SUBSTITUTE(SUBSTITUTE(SUBSTITUTE(SUBSTITUTE(SUBSTITUTE(LOWER(AE658&amp;""),CHAR(160),"")," ",""),".",""),"-",""),"/",""),"?",""),"_",""),",",""),"[",""),"]",""),"(",""),")",""),"*","")</f>
        <v/>
      </c>
      <c r="AY658" s="61" t="str">
        <f aca="false">SUBSTITUTE(SUBSTITUTE(SUBSTITUTE(SUBSTITUTE(SUBSTITUTE(SUBSTITUTE(SUBSTITUTE(SUBSTITUTE(SUBSTITUTE(SUBSTITUTE(SUBSTITUTE(SUBSTITUTE(SUBSTITUTE(LOWER(W658&amp;""),CHAR(160),"")," ",""),".",""),"-",""),"/",""),"?",""),"_",""),",",""),"[",""),"]",""),"(",""),")",""),"*","")</f>
        <v/>
      </c>
      <c r="AZ658" s="61" t="str">
        <f aca="false">SUBSTITUTE(SUBSTITUTE(SUBSTITUTE(SUBSTITUTE(SUBSTITUTE(SUBSTITUTE(SUBSTITUTE(SUBSTITUTE(SUBSTITUTE(SUBSTITUTE(SUBSTITUTE(SUBSTITUTE(SUBSTITUTE(LOWER(AC658&amp;""),CHAR(160),"")," ",""),".",""),"-",""),"/",""),"?",""),"_",""),",",""),"[",""),"]",""),"(",""),")",""),"*","")</f>
        <v/>
      </c>
      <c r="BA658" s="61" t="str">
        <f aca="false">SUBSTITUTE(SUBSTITUTE(SUBSTITUTE(SUBSTITUTE(SUBSTITUTE(SUBSTITUTE(SUBSTITUTE(SUBSTITUTE(SUBSTITUTE(SUBSTITUTE(SUBSTITUTE(SUBSTITUTE(SUBSTITUTE(LOWER(AA658&amp;""),CHAR(160),"")," ",""),".",""),"-",""),"/",""),"?",""),"_",""),",",""),"[",""),"]",""),"(",""),")",""),"*","")</f>
        <v/>
      </c>
      <c r="BB658" s="61" t="str">
        <f aca="false">IF(AND(TRIM(U658)="Pass",ISNUMBER(AF658)),IF(AF658&lt;&gt;0,"INVALID – qty variance: use Fail or Pass after CA",""),"")&amp;IF(AND(TRIM(U658)="Pass after CA",ISNUMBER(AF658)),IF(AF658&lt;&gt;0,"INVALID – after the corrective action the actual qty must equal expected (update Actual)",""),"")&amp;IF(AND(TRIM(U658)="Pass",TRIM(AB658)&lt;&gt;"",TRIM(AB658)&lt;&gt;"Closed"),"INVALID – corrective action not closed: use Fail, then Pass after CA","")&amp;IF(AND(TRIM(AA658)&lt;&gt;"",TRIM(AB658)=""),"INVALID – CA status missing for the recorded corrective action","")&amp;IF(AND(TRIM(U658)="Pass after CA",OR(OR(LEN(BA658)&lt;5,ISNUMBER(MATCH(BA658,L_Placeholder,0))),TRIM(AB658)&lt;&gt;"Closed")),"INVALID – corrective action not recorded/closed","")</f>
        <v/>
      </c>
    </row>
    <row r="659" customFormat="false" ht="78.75" hidden="false" customHeight="true" outlineLevel="0" collapsed="false">
      <c r="A659" s="57" t="s">
        <v>1356</v>
      </c>
      <c r="B659" s="57" t="s">
        <v>301</v>
      </c>
      <c r="C659" s="57" t="str">
        <f aca="false">Flights!$F$24</f>
        <v>MH1450</v>
      </c>
      <c r="D659" s="58" t="n">
        <f aca="false">Flights!$D$24</f>
        <v>46324</v>
      </c>
      <c r="E659" s="57" t="str">
        <f aca="false">Flights!$G$24&amp;"-"&amp;Flights!$H$24</f>
        <v>KUL-LGK</v>
      </c>
      <c r="F659" s="57" t="str">
        <f aca="false">Flights!$K$24</f>
        <v>EY</v>
      </c>
      <c r="G659" s="57" t="s">
        <v>398</v>
      </c>
      <c r="H659" s="57" t="s">
        <v>356</v>
      </c>
      <c r="I659" s="57" t="s">
        <v>406</v>
      </c>
      <c r="J659" s="57" t="s">
        <v>413</v>
      </c>
      <c r="K659" s="67" t="s">
        <v>469</v>
      </c>
      <c r="L659" s="67" t="s">
        <v>400</v>
      </c>
      <c r="M659" s="67"/>
      <c r="N659" s="67" t="s">
        <v>361</v>
      </c>
      <c r="O659" s="67" t="s">
        <v>401</v>
      </c>
      <c r="P659" s="57" t="s">
        <v>184</v>
      </c>
      <c r="Q659" s="59" t="n">
        <f aca="false">ROUND((Flights!$AE$24)*1440,0)/1440</f>
        <v>46323.9375</v>
      </c>
      <c r="R659" s="59" t="n">
        <f aca="false">Q659+(IF(AND(INDEX(TZ_DSTS,MATCH(P659,TZ_STN,0))&lt;&gt;"",Q659&gt;=INDEX(TZ_DSTS,MATCH(P659,TZ_STN,0)),Q659&lt;INDEX(TZ_DSTE,MATCH(P659,TZ_STN,0))),INDEX(TZ_DST,MATCH(P659,TZ_STN,0)),INDEX(TZ_STD,MATCH(P659,TZ_STN,0))))/24</f>
        <v>46324.2708333333</v>
      </c>
      <c r="S659" s="59" t="n">
        <f aca="false">Q659-T12EarlyH/24</f>
        <v>46323.4375</v>
      </c>
      <c r="T659" s="60"/>
      <c r="U659" s="60"/>
      <c r="V659" s="60"/>
      <c r="W659" s="61"/>
      <c r="X659" s="60"/>
      <c r="Y659" s="60"/>
      <c r="Z659" s="60"/>
      <c r="AA659" s="60"/>
      <c r="AB659" s="60"/>
      <c r="AC659" s="60"/>
      <c r="AD659" s="66"/>
      <c r="AE659" s="60"/>
      <c r="AF659" s="61" t="str">
        <f aca="false">IF(AND(ISNUMBER(X659),ISNUMBER(Y659)),Y659-X659,"")</f>
        <v/>
      </c>
      <c r="AG659" s="62" t="str">
        <f aca="false">IF(ISNUMBER(AD659),AD659-(IF(AND(INDEX(TZ_DSTS,MATCH(P659,TZ_STN,0))&lt;&gt;"",(AD659-INDEX(TZ_STD,MATCH(P659,TZ_STN,0))/24)&gt;=INDEX(TZ_DSTS,MATCH(P659,TZ_STN,0)),(AD659-INDEX(TZ_STD,MATCH(P659,TZ_STN,0))/24)&lt;INDEX(TZ_DSTE,MATCH(P659,TZ_STN,0))),INDEX(TZ_DST,MATCH(P659,TZ_STN,0)),INDEX(TZ_STD,MATCH(P659,TZ_STN,0))))/24,"")</f>
        <v/>
      </c>
      <c r="AH659" s="65" t="str">
        <f aca="false">IFERROR(IF(N659="N/A – rule","N/A – RULE",IF(TRIM(U659)="N/A",IF(AT659=0,"INVALID – N/A not permitted for this check",IF(AND(TRIM(AB659)&lt;&gt;"",TRIM(AB659)&lt;&gt;"Closed"),"INVALID – corrective action still open",IF(AND(NOT(OR(LEN(AZ659)&lt;15,ISNUMBER(MATCH(AZ659,L_Placeholder,0)))),NOT(OR(LEN(AU659)&lt;2,ISNUMBER(MATCH(AU659,L_Placeholder,0)))),NOT(OR(LEN(AX659)&lt;2,ISNUMBER(MATCH(AX659,L_Placeholder,0)))),TRIM(AE659)&lt;&gt;TRIM(T659)),"N/A – JUSTIFIED","INVALID – N/A needs a real justification (15+ chars), PIC and a different verifier"))),IF(OR(TRIM(U659)="Pass",TRIM(U659)="Pass after CA"),IF(NOT(ISNUMBER(AD659)),"INVALID – completion time missing",IF(OR(LEN(AU659)&lt;2,ISNUMBER(MATCH(AU659,L_Placeholder,0))),"INVALID – PIC missing",IF(OR(LEN(AV659)&lt;2,ISNUMBER(MATCH(AV659,L_Placeholder,0))),"INVALID – result / assessment missing",IF(OR(OR(LEN(AW659)&lt;3,ISNUMBER(MATCH(AW659,L_Placeholder,0))),SUMPRODUCT(--ISNUMBER(SEARCH(L_EvidencePhrase,AW659)))&gt;0),"INVALID – evidence missing, placeholder or not yet on file",IF(OR(LEN(AX659)&lt;2,ISNUMBER(MATCH(AX659,L_Placeholder,0))),"INVALID – verifier missing",IF(AX659=AU659,"INVALID – verifier must be someone other than the PIC",IF(AND(TRIM(U659)="Pass",SUMPRODUCT(--ISNUMBER(SEARCH(L_ResultBad,AV659)))&gt;0),"INVALID – result describes a problem: use Fail, then Pass after CA",IF(AND(AQ659=1,OR(LEN(AY659)&lt;3,ISNUMBER(MATCH(AY659,L_Placeholder,0)))),"INVALID – batch ID missing or placeholder",IF(AND(AR659=1,OR(NOT(ISNUMBER(X659)),NOT(ISNUMBER(Y659)))),"INVALID – expected/actual qty missing",IF(AND(AR659=1,OR(X659&lt;=0,Y659&lt;0)),"INVALID – expected qty must be above 0 and actual not negative",IF(BB659&lt;&gt;"",BB659,IF(AND(AS659=1,Documents!$J$24&lt;&gt;"ON FILE"),"INVALID – GLD not on file (Documents sheet)",IF(AND(AS659=2,Documents!$O$24&lt;&gt;"ON FILE"),"INVALID – menu checklist not on file (Documents sheet)",IF(AND(AS659=3,NOT(ISNUMBER(Flights!$AX$24))),"INVALID – enter carrying flight KUL departure (Flights AX)",IF(AND(AS659=3,OR(Flights!$AZ$24&gt;Flights!$AA$24,Flights!$AX$24&lt;Flights!$AA$24-3)),"INVALID – carrying flight (Flights AX) cannot arrive before this leg's STD, or is over 3 days early",IF(AG659&gt;AsOfUTC,"INVALID – completion time is in the future",IF(AND(ISNUMBER(S659),AG659&lt;S659),IF(H659="Physical uplift","INVALID – before uplift window (cannot confirm loading)","INVALID – before valid window"),IF(AG659&gt;Flights!$AA$24,"INVALID – completed after departure (cannot establish readiness)",IF(AND(H659="Preparation",AG659&gt;IF(ISNUMBER(Flights!$BA$24),MIN(Flights!$BA$24,Flights!$AA$24),Flights!$AA$24)),"INVALID – completed after loading / departure (cannot establish readiness)",IF(AND(H659="Physical uplift",AG659&gt;Q659),"INVALID – recorded after the loading flight departed",IF(AG659&gt;Q659,"COMPLETE – LATE","COMPLETE"))))))))))))))))))))),IF(TRIM(U659)="Fail","FAIL – DISCREPANCY",IF(AND(TRIM(U659)&lt;&gt;"",TRIM(U659)&lt;&gt;"Not started",TRIM(U659)&lt;&gt;"In progress"),"INVALID – unrecognised status (use the list)",IF(AsOfUTC&gt;Q659,"OVERDUE",IF(N659="Clarification required","OPEN – CLARIFICATION","OPEN"))))))),"INVALID – error value in an input cell")</f>
        <v>OPEN</v>
      </c>
      <c r="AI659" s="61" t="n">
        <f aca="false">IF(OR(AH659="N/A – RULE",AH659="N/A – JUSTIFIED"),0,1)</f>
        <v>1</v>
      </c>
      <c r="AJ659" s="61" t="n">
        <f aca="false">IF(LEFT(AH659,8)="COMPLETE",1,0)</f>
        <v>0</v>
      </c>
      <c r="AK659" s="61" t="n">
        <f aca="false">IF(AND(AI659=1,AJ659=0,AsOfUTC&gt;Q659),1,0)</f>
        <v>0</v>
      </c>
      <c r="AL659" s="61" t="n">
        <f aca="false">IFERROR(IF(AND(AI659=1,OR(TRIM(U659)="Fail",AND(TRIM(AB659)&lt;&gt;"",TRIM(AB659)&lt;&gt;"Closed"),AND(ISNUMBER(AF659),AF659&lt;&gt;0,TRIM(U659)&lt;&gt;"Pass after CA"))),1,0),1)</f>
        <v>0</v>
      </c>
      <c r="AM659" s="61" t="n">
        <f aca="false">IF(LEFT(AH659,7)="INVALID",1,0)</f>
        <v>0</v>
      </c>
      <c r="AN659" s="61" t="n">
        <f aca="false">IF(AND(N659="Clarification required",AI659=1,AJ659=0),1,0)</f>
        <v>0</v>
      </c>
      <c r="AO659" s="61" t="str">
        <f aca="false">IF(AK659=1,SUM(AK$5:AK659),"")</f>
        <v/>
      </c>
      <c r="AP659" s="61" t="str">
        <f aca="false">IF(AL659=1,SUM(AL$5:AL659),"")</f>
        <v/>
      </c>
      <c r="AQ659" s="61" t="n">
        <v>0</v>
      </c>
      <c r="AR659" s="61" t="n">
        <v>1</v>
      </c>
      <c r="AS659" s="61" t="n">
        <v>0</v>
      </c>
      <c r="AT659" s="61" t="n">
        <v>0</v>
      </c>
      <c r="AU659" s="61" t="str">
        <f aca="false">SUBSTITUTE(SUBSTITUTE(SUBSTITUTE(SUBSTITUTE(SUBSTITUTE(SUBSTITUTE(SUBSTITUTE(SUBSTITUTE(SUBSTITUTE(SUBSTITUTE(SUBSTITUTE(SUBSTITUTE(SUBSTITUTE(LOWER(T659&amp;""),CHAR(160),"")," ",""),".",""),"-",""),"/",""),"?",""),"_",""),",",""),"[",""),"]",""),"(",""),")",""),"*","")</f>
        <v/>
      </c>
      <c r="AV659" s="61" t="str">
        <f aca="false">SUBSTITUTE(SUBSTITUTE(SUBSTITUTE(SUBSTITUTE(SUBSTITUTE(SUBSTITUTE(SUBSTITUTE(SUBSTITUTE(SUBSTITUTE(SUBSTITUTE(SUBSTITUTE(SUBSTITUTE(SUBSTITUTE(LOWER(V659&amp;""),CHAR(160),"")," ",""),".",""),"-",""),"/",""),"?",""),"_",""),",",""),"[",""),"]",""),"(",""),")",""),"*","")</f>
        <v/>
      </c>
      <c r="AW659" s="61" t="str">
        <f aca="false">SUBSTITUTE(SUBSTITUTE(SUBSTITUTE(SUBSTITUTE(SUBSTITUTE(SUBSTITUTE(SUBSTITUTE(SUBSTITUTE(SUBSTITUTE(SUBSTITUTE(SUBSTITUTE(SUBSTITUTE(SUBSTITUTE(LOWER(Z659&amp;""),CHAR(160),"")," ",""),".",""),"-",""),"/",""),"?",""),"_",""),",",""),"[",""),"]",""),"(",""),")",""),"*","")</f>
        <v/>
      </c>
      <c r="AX659" s="61" t="str">
        <f aca="false">SUBSTITUTE(SUBSTITUTE(SUBSTITUTE(SUBSTITUTE(SUBSTITUTE(SUBSTITUTE(SUBSTITUTE(SUBSTITUTE(SUBSTITUTE(SUBSTITUTE(SUBSTITUTE(SUBSTITUTE(SUBSTITUTE(LOWER(AE659&amp;""),CHAR(160),"")," ",""),".",""),"-",""),"/",""),"?",""),"_",""),",",""),"[",""),"]",""),"(",""),")",""),"*","")</f>
        <v/>
      </c>
      <c r="AY659" s="61" t="str">
        <f aca="false">SUBSTITUTE(SUBSTITUTE(SUBSTITUTE(SUBSTITUTE(SUBSTITUTE(SUBSTITUTE(SUBSTITUTE(SUBSTITUTE(SUBSTITUTE(SUBSTITUTE(SUBSTITUTE(SUBSTITUTE(SUBSTITUTE(LOWER(W659&amp;""),CHAR(160),"")," ",""),".",""),"-",""),"/",""),"?",""),"_",""),",",""),"[",""),"]",""),"(",""),")",""),"*","")</f>
        <v/>
      </c>
      <c r="AZ659" s="61" t="str">
        <f aca="false">SUBSTITUTE(SUBSTITUTE(SUBSTITUTE(SUBSTITUTE(SUBSTITUTE(SUBSTITUTE(SUBSTITUTE(SUBSTITUTE(SUBSTITUTE(SUBSTITUTE(SUBSTITUTE(SUBSTITUTE(SUBSTITUTE(LOWER(AC659&amp;""),CHAR(160),"")," ",""),".",""),"-",""),"/",""),"?",""),"_",""),",",""),"[",""),"]",""),"(",""),")",""),"*","")</f>
        <v/>
      </c>
      <c r="BA659" s="61" t="str">
        <f aca="false">SUBSTITUTE(SUBSTITUTE(SUBSTITUTE(SUBSTITUTE(SUBSTITUTE(SUBSTITUTE(SUBSTITUTE(SUBSTITUTE(SUBSTITUTE(SUBSTITUTE(SUBSTITUTE(SUBSTITUTE(SUBSTITUTE(LOWER(AA659&amp;""),CHAR(160),"")," ",""),".",""),"-",""),"/",""),"?",""),"_",""),",",""),"[",""),"]",""),"(",""),")",""),"*","")</f>
        <v/>
      </c>
      <c r="BB659" s="61" t="str">
        <f aca="false">IF(AND(TRIM(U659)="Pass",ISNUMBER(AF659)),IF(AF659&lt;&gt;0,"INVALID – qty variance: use Fail or Pass after CA",""),"")&amp;IF(AND(TRIM(U659)="Pass after CA",ISNUMBER(AF659)),IF(AF659&lt;&gt;0,"INVALID – after the corrective action the actual qty must equal expected (update Actual)",""),"")&amp;IF(AND(TRIM(U659)="Pass",TRIM(AB659)&lt;&gt;"",TRIM(AB659)&lt;&gt;"Closed"),"INVALID – corrective action not closed: use Fail, then Pass after CA","")&amp;IF(AND(TRIM(AA659)&lt;&gt;"",TRIM(AB659)=""),"INVALID – CA status missing for the recorded corrective action","")&amp;IF(AND(TRIM(U659)="Pass after CA",OR(OR(LEN(BA659)&lt;5,ISNUMBER(MATCH(BA659,L_Placeholder,0))),TRIM(AB659)&lt;&gt;"Closed")),"INVALID – corrective action not recorded/closed","")</f>
        <v/>
      </c>
    </row>
    <row r="660" customFormat="false" ht="39.75" hidden="false" customHeight="true" outlineLevel="0" collapsed="false">
      <c r="A660" s="57" t="s">
        <v>1357</v>
      </c>
      <c r="B660" s="57" t="s">
        <v>301</v>
      </c>
      <c r="C660" s="57" t="str">
        <f aca="false">Flights!$F$24</f>
        <v>MH1450</v>
      </c>
      <c r="D660" s="58" t="n">
        <f aca="false">Flights!$D$24</f>
        <v>46324</v>
      </c>
      <c r="E660" s="57" t="str">
        <f aca="false">Flights!$G$24&amp;"-"&amp;Flights!$H$24</f>
        <v>KUL-LGK</v>
      </c>
      <c r="F660" s="57" t="str">
        <f aca="false">Flights!$K$24</f>
        <v>EY</v>
      </c>
      <c r="G660" s="57" t="s">
        <v>398</v>
      </c>
      <c r="H660" s="57" t="s">
        <v>356</v>
      </c>
      <c r="I660" s="57" t="s">
        <v>406</v>
      </c>
      <c r="J660" s="57" t="s">
        <v>416</v>
      </c>
      <c r="K660" s="67"/>
      <c r="L660" s="67" t="s">
        <v>400</v>
      </c>
      <c r="M660" s="67"/>
      <c r="N660" s="67" t="s">
        <v>361</v>
      </c>
      <c r="O660" s="67" t="s">
        <v>401</v>
      </c>
      <c r="P660" s="57" t="s">
        <v>184</v>
      </c>
      <c r="Q660" s="59" t="n">
        <f aca="false">ROUND((Flights!$AE$24)*1440,0)/1440</f>
        <v>46323.9375</v>
      </c>
      <c r="R660" s="59" t="n">
        <f aca="false">Q660+(IF(AND(INDEX(TZ_DSTS,MATCH(P660,TZ_STN,0))&lt;&gt;"",Q660&gt;=INDEX(TZ_DSTS,MATCH(P660,TZ_STN,0)),Q660&lt;INDEX(TZ_DSTE,MATCH(P660,TZ_STN,0))),INDEX(TZ_DST,MATCH(P660,TZ_STN,0)),INDEX(TZ_STD,MATCH(P660,TZ_STN,0))))/24</f>
        <v>46324.2708333333</v>
      </c>
      <c r="S660" s="59" t="n">
        <f aca="false">Q660-T12EarlyH/24</f>
        <v>46323.4375</v>
      </c>
      <c r="T660" s="60"/>
      <c r="U660" s="60"/>
      <c r="V660" s="60"/>
      <c r="W660" s="61"/>
      <c r="X660" s="60"/>
      <c r="Y660" s="60"/>
      <c r="Z660" s="60"/>
      <c r="AA660" s="60"/>
      <c r="AB660" s="60"/>
      <c r="AC660" s="60"/>
      <c r="AD660" s="66"/>
      <c r="AE660" s="60"/>
      <c r="AF660" s="61" t="str">
        <f aca="false">IF(AND(ISNUMBER(X660),ISNUMBER(Y660)),Y660-X660,"")</f>
        <v/>
      </c>
      <c r="AG660" s="62" t="str">
        <f aca="false">IF(ISNUMBER(AD660),AD660-(IF(AND(INDEX(TZ_DSTS,MATCH(P660,TZ_STN,0))&lt;&gt;"",(AD660-INDEX(TZ_STD,MATCH(P660,TZ_STN,0))/24)&gt;=INDEX(TZ_DSTS,MATCH(P660,TZ_STN,0)),(AD660-INDEX(TZ_STD,MATCH(P660,TZ_STN,0))/24)&lt;INDEX(TZ_DSTE,MATCH(P660,TZ_STN,0))),INDEX(TZ_DST,MATCH(P660,TZ_STN,0)),INDEX(TZ_STD,MATCH(P660,TZ_STN,0))))/24,"")</f>
        <v/>
      </c>
      <c r="AH660" s="65" t="str">
        <f aca="false">IFERROR(IF(N660="N/A – rule","N/A – RULE",IF(TRIM(U660)="N/A",IF(AT660=0,"INVALID – N/A not permitted for this check",IF(AND(TRIM(AB660)&lt;&gt;"",TRIM(AB660)&lt;&gt;"Closed"),"INVALID – corrective action still open",IF(AND(NOT(OR(LEN(AZ660)&lt;15,ISNUMBER(MATCH(AZ660,L_Placeholder,0)))),NOT(OR(LEN(AU660)&lt;2,ISNUMBER(MATCH(AU660,L_Placeholder,0)))),NOT(OR(LEN(AX660)&lt;2,ISNUMBER(MATCH(AX660,L_Placeholder,0)))),TRIM(AE660)&lt;&gt;TRIM(T660)),"N/A – JUSTIFIED","INVALID – N/A needs a real justification (15+ chars), PIC and a different verifier"))),IF(OR(TRIM(U660)="Pass",TRIM(U660)="Pass after CA"),IF(NOT(ISNUMBER(AD660)),"INVALID – completion time missing",IF(OR(LEN(AU660)&lt;2,ISNUMBER(MATCH(AU660,L_Placeholder,0))),"INVALID – PIC missing",IF(OR(LEN(AV660)&lt;2,ISNUMBER(MATCH(AV660,L_Placeholder,0))),"INVALID – result / assessment missing",IF(OR(OR(LEN(AW660)&lt;3,ISNUMBER(MATCH(AW660,L_Placeholder,0))),SUMPRODUCT(--ISNUMBER(SEARCH(L_EvidencePhrase,AW660)))&gt;0),"INVALID – evidence missing, placeholder or not yet on file",IF(OR(LEN(AX660)&lt;2,ISNUMBER(MATCH(AX660,L_Placeholder,0))),"INVALID – verifier missing",IF(AX660=AU660,"INVALID – verifier must be someone other than the PIC",IF(AND(TRIM(U660)="Pass",SUMPRODUCT(--ISNUMBER(SEARCH(L_ResultBad,AV660)))&gt;0),"INVALID – result describes a problem: use Fail, then Pass after CA",IF(AND(AQ660=1,OR(LEN(AY660)&lt;3,ISNUMBER(MATCH(AY660,L_Placeholder,0)))),"INVALID – batch ID missing or placeholder",IF(AND(AR660=1,OR(NOT(ISNUMBER(X660)),NOT(ISNUMBER(Y660)))),"INVALID – expected/actual qty missing",IF(AND(AR660=1,OR(X660&lt;=0,Y660&lt;0)),"INVALID – expected qty must be above 0 and actual not negative",IF(BB660&lt;&gt;"",BB660,IF(AND(AS660=1,Documents!$J$24&lt;&gt;"ON FILE"),"INVALID – GLD not on file (Documents sheet)",IF(AND(AS660=2,Documents!$O$24&lt;&gt;"ON FILE"),"INVALID – menu checklist not on file (Documents sheet)",IF(AND(AS660=3,NOT(ISNUMBER(Flights!$AX$24))),"INVALID – enter carrying flight KUL departure (Flights AX)",IF(AND(AS660=3,OR(Flights!$AZ$24&gt;Flights!$AA$24,Flights!$AX$24&lt;Flights!$AA$24-3)),"INVALID – carrying flight (Flights AX) cannot arrive before this leg's STD, or is over 3 days early",IF(AG660&gt;AsOfUTC,"INVALID – completion time is in the future",IF(AND(ISNUMBER(S660),AG660&lt;S660),IF(H660="Physical uplift","INVALID – before uplift window (cannot confirm loading)","INVALID – before valid window"),IF(AG660&gt;Flights!$AA$24,"INVALID – completed after departure (cannot establish readiness)",IF(AND(H660="Preparation",AG660&gt;IF(ISNUMBER(Flights!$BA$24),MIN(Flights!$BA$24,Flights!$AA$24),Flights!$AA$24)),"INVALID – completed after loading / departure (cannot establish readiness)",IF(AND(H660="Physical uplift",AG660&gt;Q660),"INVALID – recorded after the loading flight departed",IF(AG660&gt;Q660,"COMPLETE – LATE","COMPLETE"))))))))))))))))))))),IF(TRIM(U660)="Fail","FAIL – DISCREPANCY",IF(AND(TRIM(U660)&lt;&gt;"",TRIM(U660)&lt;&gt;"Not started",TRIM(U660)&lt;&gt;"In progress"),"INVALID – unrecognised status (use the list)",IF(AsOfUTC&gt;Q660,"OVERDUE",IF(N660="Clarification required","OPEN – CLARIFICATION","OPEN"))))))),"INVALID – error value in an input cell")</f>
        <v>OPEN</v>
      </c>
      <c r="AI660" s="61" t="n">
        <f aca="false">IF(OR(AH660="N/A – RULE",AH660="N/A – JUSTIFIED"),0,1)</f>
        <v>1</v>
      </c>
      <c r="AJ660" s="61" t="n">
        <f aca="false">IF(LEFT(AH660,8)="COMPLETE",1,0)</f>
        <v>0</v>
      </c>
      <c r="AK660" s="61" t="n">
        <f aca="false">IF(AND(AI660=1,AJ660=0,AsOfUTC&gt;Q660),1,0)</f>
        <v>0</v>
      </c>
      <c r="AL660" s="61" t="n">
        <f aca="false">IFERROR(IF(AND(AI660=1,OR(TRIM(U660)="Fail",AND(TRIM(AB660)&lt;&gt;"",TRIM(AB660)&lt;&gt;"Closed"),AND(ISNUMBER(AF660),AF660&lt;&gt;0,TRIM(U660)&lt;&gt;"Pass after CA"))),1,0),1)</f>
        <v>0</v>
      </c>
      <c r="AM660" s="61" t="n">
        <f aca="false">IF(LEFT(AH660,7)="INVALID",1,0)</f>
        <v>0</v>
      </c>
      <c r="AN660" s="61" t="n">
        <f aca="false">IF(AND(N660="Clarification required",AI660=1,AJ660=0),1,0)</f>
        <v>0</v>
      </c>
      <c r="AO660" s="61" t="str">
        <f aca="false">IF(AK660=1,SUM(AK$5:AK660),"")</f>
        <v/>
      </c>
      <c r="AP660" s="61" t="str">
        <f aca="false">IF(AL660=1,SUM(AL$5:AL660),"")</f>
        <v/>
      </c>
      <c r="AQ660" s="61" t="n">
        <v>0</v>
      </c>
      <c r="AR660" s="61" t="n">
        <v>0</v>
      </c>
      <c r="AS660" s="61" t="n">
        <v>0</v>
      </c>
      <c r="AT660" s="61" t="n">
        <v>0</v>
      </c>
      <c r="AU660" s="61" t="str">
        <f aca="false">SUBSTITUTE(SUBSTITUTE(SUBSTITUTE(SUBSTITUTE(SUBSTITUTE(SUBSTITUTE(SUBSTITUTE(SUBSTITUTE(SUBSTITUTE(SUBSTITUTE(SUBSTITUTE(SUBSTITUTE(SUBSTITUTE(LOWER(T660&amp;""),CHAR(160),"")," ",""),".",""),"-",""),"/",""),"?",""),"_",""),",",""),"[",""),"]",""),"(",""),")",""),"*","")</f>
        <v/>
      </c>
      <c r="AV660" s="61" t="str">
        <f aca="false">SUBSTITUTE(SUBSTITUTE(SUBSTITUTE(SUBSTITUTE(SUBSTITUTE(SUBSTITUTE(SUBSTITUTE(SUBSTITUTE(SUBSTITUTE(SUBSTITUTE(SUBSTITUTE(SUBSTITUTE(SUBSTITUTE(LOWER(V660&amp;""),CHAR(160),"")," ",""),".",""),"-",""),"/",""),"?",""),"_",""),",",""),"[",""),"]",""),"(",""),")",""),"*","")</f>
        <v/>
      </c>
      <c r="AW660" s="61" t="str">
        <f aca="false">SUBSTITUTE(SUBSTITUTE(SUBSTITUTE(SUBSTITUTE(SUBSTITUTE(SUBSTITUTE(SUBSTITUTE(SUBSTITUTE(SUBSTITUTE(SUBSTITUTE(SUBSTITUTE(SUBSTITUTE(SUBSTITUTE(LOWER(Z660&amp;""),CHAR(160),"")," ",""),".",""),"-",""),"/",""),"?",""),"_",""),",",""),"[",""),"]",""),"(",""),")",""),"*","")</f>
        <v/>
      </c>
      <c r="AX660" s="61" t="str">
        <f aca="false">SUBSTITUTE(SUBSTITUTE(SUBSTITUTE(SUBSTITUTE(SUBSTITUTE(SUBSTITUTE(SUBSTITUTE(SUBSTITUTE(SUBSTITUTE(SUBSTITUTE(SUBSTITUTE(SUBSTITUTE(SUBSTITUTE(LOWER(AE660&amp;""),CHAR(160),"")," ",""),".",""),"-",""),"/",""),"?",""),"_",""),",",""),"[",""),"]",""),"(",""),")",""),"*","")</f>
        <v/>
      </c>
      <c r="AY660" s="61" t="str">
        <f aca="false">SUBSTITUTE(SUBSTITUTE(SUBSTITUTE(SUBSTITUTE(SUBSTITUTE(SUBSTITUTE(SUBSTITUTE(SUBSTITUTE(SUBSTITUTE(SUBSTITUTE(SUBSTITUTE(SUBSTITUTE(SUBSTITUTE(LOWER(W660&amp;""),CHAR(160),"")," ",""),".",""),"-",""),"/",""),"?",""),"_",""),",",""),"[",""),"]",""),"(",""),")",""),"*","")</f>
        <v/>
      </c>
      <c r="AZ660" s="61" t="str">
        <f aca="false">SUBSTITUTE(SUBSTITUTE(SUBSTITUTE(SUBSTITUTE(SUBSTITUTE(SUBSTITUTE(SUBSTITUTE(SUBSTITUTE(SUBSTITUTE(SUBSTITUTE(SUBSTITUTE(SUBSTITUTE(SUBSTITUTE(LOWER(AC660&amp;""),CHAR(160),"")," ",""),".",""),"-",""),"/",""),"?",""),"_",""),",",""),"[",""),"]",""),"(",""),")",""),"*","")</f>
        <v/>
      </c>
      <c r="BA660" s="61" t="str">
        <f aca="false">SUBSTITUTE(SUBSTITUTE(SUBSTITUTE(SUBSTITUTE(SUBSTITUTE(SUBSTITUTE(SUBSTITUTE(SUBSTITUTE(SUBSTITUTE(SUBSTITUTE(SUBSTITUTE(SUBSTITUTE(SUBSTITUTE(LOWER(AA660&amp;""),CHAR(160),"")," ",""),".",""),"-",""),"/",""),"?",""),"_",""),",",""),"[",""),"]",""),"(",""),")",""),"*","")</f>
        <v/>
      </c>
      <c r="BB660" s="61" t="str">
        <f aca="false">IF(AND(TRIM(U660)="Pass",ISNUMBER(AF660)),IF(AF660&lt;&gt;0,"INVALID – qty variance: use Fail or Pass after CA",""),"")&amp;IF(AND(TRIM(U660)="Pass after CA",ISNUMBER(AF660)),IF(AF660&lt;&gt;0,"INVALID – after the corrective action the actual qty must equal expected (update Actual)",""),"")&amp;IF(AND(TRIM(U660)="Pass",TRIM(AB660)&lt;&gt;"",TRIM(AB660)&lt;&gt;"Closed"),"INVALID – corrective action not closed: use Fail, then Pass after CA","")&amp;IF(AND(TRIM(AA660)&lt;&gt;"",TRIM(AB660)=""),"INVALID – CA status missing for the recorded corrective action","")&amp;IF(AND(TRIM(U660)="Pass after CA",OR(OR(LEN(BA660)&lt;5,ISNUMBER(MATCH(BA660,L_Placeholder,0))),TRIM(AB660)&lt;&gt;"Closed")),"INVALID – corrective action not recorded/closed","")</f>
        <v/>
      </c>
    </row>
    <row r="661" customFormat="false" ht="41.25" hidden="false" customHeight="true" outlineLevel="0" collapsed="false">
      <c r="A661" s="57" t="s">
        <v>1358</v>
      </c>
      <c r="B661" s="57" t="s">
        <v>301</v>
      </c>
      <c r="C661" s="57" t="str">
        <f aca="false">Flights!$F$24</f>
        <v>MH1450</v>
      </c>
      <c r="D661" s="58" t="n">
        <f aca="false">Flights!$D$24</f>
        <v>46324</v>
      </c>
      <c r="E661" s="57" t="str">
        <f aca="false">Flights!$G$24&amp;"-"&amp;Flights!$H$24</f>
        <v>KUL-LGK</v>
      </c>
      <c r="F661" s="57" t="str">
        <f aca="false">Flights!$K$24</f>
        <v>EY</v>
      </c>
      <c r="G661" s="57" t="s">
        <v>398</v>
      </c>
      <c r="H661" s="57" t="s">
        <v>356</v>
      </c>
      <c r="I661" s="57" t="s">
        <v>425</v>
      </c>
      <c r="J661" s="57" t="s">
        <v>426</v>
      </c>
      <c r="K661" s="67" t="s">
        <v>427</v>
      </c>
      <c r="L661" s="67" t="s">
        <v>1359</v>
      </c>
      <c r="M661" s="67" t="s">
        <v>429</v>
      </c>
      <c r="N661" s="67" t="s">
        <v>361</v>
      </c>
      <c r="O661" s="67" t="s">
        <v>481</v>
      </c>
      <c r="P661" s="57" t="s">
        <v>184</v>
      </c>
      <c r="Q661" s="59" t="n">
        <f aca="false">ROUND((Flights!$AE$24)*1440,0)/1440</f>
        <v>46323.9375</v>
      </c>
      <c r="R661" s="59" t="n">
        <f aca="false">Q661+(IF(AND(INDEX(TZ_DSTS,MATCH(P661,TZ_STN,0))&lt;&gt;"",Q661&gt;=INDEX(TZ_DSTS,MATCH(P661,TZ_STN,0)),Q661&lt;INDEX(TZ_DSTE,MATCH(P661,TZ_STN,0))),INDEX(TZ_DST,MATCH(P661,TZ_STN,0)),INDEX(TZ_STD,MATCH(P661,TZ_STN,0))))/24</f>
        <v>46324.2708333333</v>
      </c>
      <c r="S661" s="59" t="n">
        <f aca="false">Q661-T12EarlyH/24</f>
        <v>46323.4375</v>
      </c>
      <c r="T661" s="60"/>
      <c r="U661" s="60"/>
      <c r="V661" s="60"/>
      <c r="W661" s="61"/>
      <c r="X661" s="60"/>
      <c r="Y661" s="60"/>
      <c r="Z661" s="60"/>
      <c r="AA661" s="60"/>
      <c r="AB661" s="60"/>
      <c r="AC661" s="60"/>
      <c r="AD661" s="66"/>
      <c r="AE661" s="60"/>
      <c r="AF661" s="61" t="str">
        <f aca="false">IF(AND(ISNUMBER(X661),ISNUMBER(Y661)),Y661-X661,"")</f>
        <v/>
      </c>
      <c r="AG661" s="62" t="str">
        <f aca="false">IF(ISNUMBER(AD661),AD661-(IF(AND(INDEX(TZ_DSTS,MATCH(P661,TZ_STN,0))&lt;&gt;"",(AD661-INDEX(TZ_STD,MATCH(P661,TZ_STN,0))/24)&gt;=INDEX(TZ_DSTS,MATCH(P661,TZ_STN,0)),(AD661-INDEX(TZ_STD,MATCH(P661,TZ_STN,0))/24)&lt;INDEX(TZ_DSTE,MATCH(P661,TZ_STN,0))),INDEX(TZ_DST,MATCH(P661,TZ_STN,0)),INDEX(TZ_STD,MATCH(P661,TZ_STN,0))))/24,"")</f>
        <v/>
      </c>
      <c r="AH661" s="65" t="str">
        <f aca="false">IFERROR(IF(N661="N/A – rule","N/A – RULE",IF(TRIM(U661)="N/A",IF(AT661=0,"INVALID – N/A not permitted for this check",IF(AND(TRIM(AB661)&lt;&gt;"",TRIM(AB661)&lt;&gt;"Closed"),"INVALID – corrective action still open",IF(AND(NOT(OR(LEN(AZ661)&lt;15,ISNUMBER(MATCH(AZ661,L_Placeholder,0)))),NOT(OR(LEN(AU661)&lt;2,ISNUMBER(MATCH(AU661,L_Placeholder,0)))),NOT(OR(LEN(AX661)&lt;2,ISNUMBER(MATCH(AX661,L_Placeholder,0)))),TRIM(AE661)&lt;&gt;TRIM(T661)),"N/A – JUSTIFIED","INVALID – N/A needs a real justification (15+ chars), PIC and a different verifier"))),IF(OR(TRIM(U661)="Pass",TRIM(U661)="Pass after CA"),IF(NOT(ISNUMBER(AD661)),"INVALID – completion time missing",IF(OR(LEN(AU661)&lt;2,ISNUMBER(MATCH(AU661,L_Placeholder,0))),"INVALID – PIC missing",IF(OR(LEN(AV661)&lt;2,ISNUMBER(MATCH(AV661,L_Placeholder,0))),"INVALID – result / assessment missing",IF(OR(OR(LEN(AW661)&lt;3,ISNUMBER(MATCH(AW661,L_Placeholder,0))),SUMPRODUCT(--ISNUMBER(SEARCH(L_EvidencePhrase,AW661)))&gt;0),"INVALID – evidence missing, placeholder or not yet on file",IF(OR(LEN(AX661)&lt;2,ISNUMBER(MATCH(AX661,L_Placeholder,0))),"INVALID – verifier missing",IF(AX661=AU661,"INVALID – verifier must be someone other than the PIC",IF(AND(TRIM(U661)="Pass",SUMPRODUCT(--ISNUMBER(SEARCH(L_ResultBad,AV661)))&gt;0),"INVALID – result describes a problem: use Fail, then Pass after CA",IF(AND(AQ661=1,OR(LEN(AY661)&lt;3,ISNUMBER(MATCH(AY661,L_Placeholder,0)))),"INVALID – batch ID missing or placeholder",IF(AND(AR661=1,OR(NOT(ISNUMBER(X661)),NOT(ISNUMBER(Y661)))),"INVALID – expected/actual qty missing",IF(AND(AR661=1,OR(X661&lt;=0,Y661&lt;0)),"INVALID – expected qty must be above 0 and actual not negative",IF(BB661&lt;&gt;"",BB661,IF(AND(AS661=1,Documents!$J$24&lt;&gt;"ON FILE"),"INVALID – GLD not on file (Documents sheet)",IF(AND(AS661=2,Documents!$O$24&lt;&gt;"ON FILE"),"INVALID – menu checklist not on file (Documents sheet)",IF(AND(AS661=3,NOT(ISNUMBER(Flights!$AX$24))),"INVALID – enter carrying flight KUL departure (Flights AX)",IF(AND(AS661=3,OR(Flights!$AZ$24&gt;Flights!$AA$24,Flights!$AX$24&lt;Flights!$AA$24-3)),"INVALID – carrying flight (Flights AX) cannot arrive before this leg's STD, or is over 3 days early",IF(AG661&gt;AsOfUTC,"INVALID – completion time is in the future",IF(AND(ISNUMBER(S661),AG661&lt;S661),IF(H661="Physical uplift","INVALID – before uplift window (cannot confirm loading)","INVALID – before valid window"),IF(AG661&gt;Flights!$AA$24,"INVALID – completed after departure (cannot establish readiness)",IF(AND(H661="Preparation",AG661&gt;IF(ISNUMBER(Flights!$BA$24),MIN(Flights!$BA$24,Flights!$AA$24),Flights!$AA$24)),"INVALID – completed after loading / departure (cannot establish readiness)",IF(AND(H661="Physical uplift",AG661&gt;Q661),"INVALID – recorded after the loading flight departed",IF(AG661&gt;Q661,"COMPLETE – LATE","COMPLETE"))))))))))))))))))))),IF(TRIM(U661)="Fail","FAIL – DISCREPANCY",IF(AND(TRIM(U661)&lt;&gt;"",TRIM(U661)&lt;&gt;"Not started",TRIM(U661)&lt;&gt;"In progress"),"INVALID – unrecognised status (use the list)",IF(AsOfUTC&gt;Q661,"OVERDUE",IF(N661="Clarification required","OPEN – CLARIFICATION","OPEN"))))))),"INVALID – error value in an input cell")</f>
        <v>OPEN</v>
      </c>
      <c r="AI661" s="61" t="n">
        <f aca="false">IF(OR(AH661="N/A – RULE",AH661="N/A – JUSTIFIED"),0,1)</f>
        <v>1</v>
      </c>
      <c r="AJ661" s="61" t="n">
        <f aca="false">IF(LEFT(AH661,8)="COMPLETE",1,0)</f>
        <v>0</v>
      </c>
      <c r="AK661" s="61" t="n">
        <f aca="false">IF(AND(AI661=1,AJ661=0,AsOfUTC&gt;Q661),1,0)</f>
        <v>0</v>
      </c>
      <c r="AL661" s="61" t="n">
        <f aca="false">IFERROR(IF(AND(AI661=1,OR(TRIM(U661)="Fail",AND(TRIM(AB661)&lt;&gt;"",TRIM(AB661)&lt;&gt;"Closed"),AND(ISNUMBER(AF661),AF661&lt;&gt;0,TRIM(U661)&lt;&gt;"Pass after CA"))),1,0),1)</f>
        <v>0</v>
      </c>
      <c r="AM661" s="61" t="n">
        <f aca="false">IF(LEFT(AH661,7)="INVALID",1,0)</f>
        <v>0</v>
      </c>
      <c r="AN661" s="61" t="n">
        <f aca="false">IF(AND(N661="Clarification required",AI661=1,AJ661=0),1,0)</f>
        <v>0</v>
      </c>
      <c r="AO661" s="61" t="str">
        <f aca="false">IF(AK661=1,SUM(AK$5:AK661),"")</f>
        <v/>
      </c>
      <c r="AP661" s="61" t="str">
        <f aca="false">IF(AL661=1,SUM(AL$5:AL661),"")</f>
        <v/>
      </c>
      <c r="AQ661" s="61" t="n">
        <v>0</v>
      </c>
      <c r="AR661" s="61" t="n">
        <v>0</v>
      </c>
      <c r="AS661" s="61" t="n">
        <v>0</v>
      </c>
      <c r="AT661" s="61" t="n">
        <v>0</v>
      </c>
      <c r="AU661" s="61" t="str">
        <f aca="false">SUBSTITUTE(SUBSTITUTE(SUBSTITUTE(SUBSTITUTE(SUBSTITUTE(SUBSTITUTE(SUBSTITUTE(SUBSTITUTE(SUBSTITUTE(SUBSTITUTE(SUBSTITUTE(SUBSTITUTE(SUBSTITUTE(LOWER(T661&amp;""),CHAR(160),"")," ",""),".",""),"-",""),"/",""),"?",""),"_",""),",",""),"[",""),"]",""),"(",""),")",""),"*","")</f>
        <v/>
      </c>
      <c r="AV661" s="61" t="str">
        <f aca="false">SUBSTITUTE(SUBSTITUTE(SUBSTITUTE(SUBSTITUTE(SUBSTITUTE(SUBSTITUTE(SUBSTITUTE(SUBSTITUTE(SUBSTITUTE(SUBSTITUTE(SUBSTITUTE(SUBSTITUTE(SUBSTITUTE(LOWER(V661&amp;""),CHAR(160),"")," ",""),".",""),"-",""),"/",""),"?",""),"_",""),",",""),"[",""),"]",""),"(",""),")",""),"*","")</f>
        <v/>
      </c>
      <c r="AW661" s="61" t="str">
        <f aca="false">SUBSTITUTE(SUBSTITUTE(SUBSTITUTE(SUBSTITUTE(SUBSTITUTE(SUBSTITUTE(SUBSTITUTE(SUBSTITUTE(SUBSTITUTE(SUBSTITUTE(SUBSTITUTE(SUBSTITUTE(SUBSTITUTE(LOWER(Z661&amp;""),CHAR(160),"")," ",""),".",""),"-",""),"/",""),"?",""),"_",""),",",""),"[",""),"]",""),"(",""),")",""),"*","")</f>
        <v/>
      </c>
      <c r="AX661" s="61" t="str">
        <f aca="false">SUBSTITUTE(SUBSTITUTE(SUBSTITUTE(SUBSTITUTE(SUBSTITUTE(SUBSTITUTE(SUBSTITUTE(SUBSTITUTE(SUBSTITUTE(SUBSTITUTE(SUBSTITUTE(SUBSTITUTE(SUBSTITUTE(LOWER(AE661&amp;""),CHAR(160),"")," ",""),".",""),"-",""),"/",""),"?",""),"_",""),",",""),"[",""),"]",""),"(",""),")",""),"*","")</f>
        <v/>
      </c>
      <c r="AY661" s="61" t="str">
        <f aca="false">SUBSTITUTE(SUBSTITUTE(SUBSTITUTE(SUBSTITUTE(SUBSTITUTE(SUBSTITUTE(SUBSTITUTE(SUBSTITUTE(SUBSTITUTE(SUBSTITUTE(SUBSTITUTE(SUBSTITUTE(SUBSTITUTE(LOWER(W661&amp;""),CHAR(160),"")," ",""),".",""),"-",""),"/",""),"?",""),"_",""),",",""),"[",""),"]",""),"(",""),")",""),"*","")</f>
        <v/>
      </c>
      <c r="AZ661" s="61" t="str">
        <f aca="false">SUBSTITUTE(SUBSTITUTE(SUBSTITUTE(SUBSTITUTE(SUBSTITUTE(SUBSTITUTE(SUBSTITUTE(SUBSTITUTE(SUBSTITUTE(SUBSTITUTE(SUBSTITUTE(SUBSTITUTE(SUBSTITUTE(LOWER(AC661&amp;""),CHAR(160),"")," ",""),".",""),"-",""),"/",""),"?",""),"_",""),",",""),"[",""),"]",""),"(",""),")",""),"*","")</f>
        <v/>
      </c>
      <c r="BA661" s="61" t="str">
        <f aca="false">SUBSTITUTE(SUBSTITUTE(SUBSTITUTE(SUBSTITUTE(SUBSTITUTE(SUBSTITUTE(SUBSTITUTE(SUBSTITUTE(SUBSTITUTE(SUBSTITUTE(SUBSTITUTE(SUBSTITUTE(SUBSTITUTE(LOWER(AA661&amp;""),CHAR(160),"")," ",""),".",""),"-",""),"/",""),"?",""),"_",""),",",""),"[",""),"]",""),"(",""),")",""),"*","")</f>
        <v/>
      </c>
      <c r="BB661" s="61" t="str">
        <f aca="false">IF(AND(TRIM(U661)="Pass",ISNUMBER(AF661)),IF(AF661&lt;&gt;0,"INVALID – qty variance: use Fail or Pass after CA",""),"")&amp;IF(AND(TRIM(U661)="Pass after CA",ISNUMBER(AF661)),IF(AF661&lt;&gt;0,"INVALID – after the corrective action the actual qty must equal expected (update Actual)",""),"")&amp;IF(AND(TRIM(U661)="Pass",TRIM(AB661)&lt;&gt;"",TRIM(AB661)&lt;&gt;"Closed"),"INVALID – corrective action not closed: use Fail, then Pass after CA","")&amp;IF(AND(TRIM(AA661)&lt;&gt;"",TRIM(AB661)=""),"INVALID – CA status missing for the recorded corrective action","")&amp;IF(AND(TRIM(U661)="Pass after CA",OR(OR(LEN(BA661)&lt;5,ISNUMBER(MATCH(BA661,L_Placeholder,0))),TRIM(AB661)&lt;&gt;"Closed")),"INVALID – corrective action not recorded/closed","")</f>
        <v/>
      </c>
    </row>
    <row r="662" customFormat="false" ht="39.75" hidden="false" customHeight="true" outlineLevel="0" collapsed="false">
      <c r="A662" s="57" t="s">
        <v>1360</v>
      </c>
      <c r="B662" s="57" t="s">
        <v>301</v>
      </c>
      <c r="C662" s="57" t="str">
        <f aca="false">Flights!$F$24</f>
        <v>MH1450</v>
      </c>
      <c r="D662" s="58" t="n">
        <f aca="false">Flights!$D$24</f>
        <v>46324</v>
      </c>
      <c r="E662" s="57" t="str">
        <f aca="false">Flights!$G$24&amp;"-"&amp;Flights!$H$24</f>
        <v>KUL-LGK</v>
      </c>
      <c r="F662" s="57" t="str">
        <f aca="false">Flights!$K$24</f>
        <v>EY</v>
      </c>
      <c r="G662" s="57" t="s">
        <v>437</v>
      </c>
      <c r="H662" s="57" t="s">
        <v>438</v>
      </c>
      <c r="I662" s="57" t="s">
        <v>357</v>
      </c>
      <c r="J662" s="57" t="s">
        <v>439</v>
      </c>
      <c r="K662" s="67" t="s">
        <v>404</v>
      </c>
      <c r="L662" s="67" t="s">
        <v>440</v>
      </c>
      <c r="M662" s="67"/>
      <c r="N662" s="67" t="s">
        <v>361</v>
      </c>
      <c r="O662" s="67" t="s">
        <v>441</v>
      </c>
      <c r="P662" s="57" t="s">
        <v>184</v>
      </c>
      <c r="Q662" s="59" t="n">
        <f aca="false">ROUND((Flights!$AF$24)*1440,0)/1440</f>
        <v>46324.4375</v>
      </c>
      <c r="R662" s="59" t="n">
        <f aca="false">Q662+(IF(AND(INDEX(TZ_DSTS,MATCH(P662,TZ_STN,0))&lt;&gt;"",Q662&gt;=INDEX(TZ_DSTS,MATCH(P662,TZ_STN,0)),Q662&lt;INDEX(TZ_DSTE,MATCH(P662,TZ_STN,0))),INDEX(TZ_DST,MATCH(P662,TZ_STN,0)),INDEX(TZ_STD,MATCH(P662,TZ_STN,0))))/24</f>
        <v>46324.7708333333</v>
      </c>
      <c r="S662" s="59" t="n">
        <f aca="false">IF(ISNUMBER(Flights!$AZ$24),MAX(Q662-UpliftWindowH/24,Flights!$AZ$24),Q662-UpliftWindowH/24)</f>
        <v>46324.1875</v>
      </c>
      <c r="T662" s="60"/>
      <c r="U662" s="60"/>
      <c r="V662" s="60"/>
      <c r="W662" s="61"/>
      <c r="X662" s="60"/>
      <c r="Y662" s="60"/>
      <c r="Z662" s="60"/>
      <c r="AA662" s="60"/>
      <c r="AB662" s="60"/>
      <c r="AC662" s="60"/>
      <c r="AD662" s="66"/>
      <c r="AE662" s="60"/>
      <c r="AF662" s="61" t="str">
        <f aca="false">IF(AND(ISNUMBER(X662),ISNUMBER(Y662)),Y662-X662,"")</f>
        <v/>
      </c>
      <c r="AG662" s="62" t="str">
        <f aca="false">IF(ISNUMBER(AD662),AD662-(IF(AND(INDEX(TZ_DSTS,MATCH(P662,TZ_STN,0))&lt;&gt;"",(AD662-INDEX(TZ_STD,MATCH(P662,TZ_STN,0))/24)&gt;=INDEX(TZ_DSTS,MATCH(P662,TZ_STN,0)),(AD662-INDEX(TZ_STD,MATCH(P662,TZ_STN,0))/24)&lt;INDEX(TZ_DSTE,MATCH(P662,TZ_STN,0))),INDEX(TZ_DST,MATCH(P662,TZ_STN,0)),INDEX(TZ_STD,MATCH(P662,TZ_STN,0))))/24,"")</f>
        <v/>
      </c>
      <c r="AH662" s="65" t="str">
        <f aca="false">IFERROR(IF(N662="N/A – rule","N/A – RULE",IF(TRIM(U662)="N/A",IF(AT662=0,"INVALID – N/A not permitted for this check",IF(AND(TRIM(AB662)&lt;&gt;"",TRIM(AB662)&lt;&gt;"Closed"),"INVALID – corrective action still open",IF(AND(NOT(OR(LEN(AZ662)&lt;15,ISNUMBER(MATCH(AZ662,L_Placeholder,0)))),NOT(OR(LEN(AU662)&lt;2,ISNUMBER(MATCH(AU662,L_Placeholder,0)))),NOT(OR(LEN(AX662)&lt;2,ISNUMBER(MATCH(AX662,L_Placeholder,0)))),TRIM(AE662)&lt;&gt;TRIM(T662)),"N/A – JUSTIFIED","INVALID – N/A needs a real justification (15+ chars), PIC and a different verifier"))),IF(OR(TRIM(U662)="Pass",TRIM(U662)="Pass after CA"),IF(NOT(ISNUMBER(AD662)),"INVALID – completion time missing",IF(OR(LEN(AU662)&lt;2,ISNUMBER(MATCH(AU662,L_Placeholder,0))),"INVALID – PIC missing",IF(OR(LEN(AV662)&lt;2,ISNUMBER(MATCH(AV662,L_Placeholder,0))),"INVALID – result / assessment missing",IF(OR(OR(LEN(AW662)&lt;3,ISNUMBER(MATCH(AW662,L_Placeholder,0))),SUMPRODUCT(--ISNUMBER(SEARCH(L_EvidencePhrase,AW662)))&gt;0),"INVALID – evidence missing, placeholder or not yet on file",IF(OR(LEN(AX662)&lt;2,ISNUMBER(MATCH(AX662,L_Placeholder,0))),"INVALID – verifier missing",IF(AX662=AU662,"INVALID – verifier must be someone other than the PIC",IF(AND(TRIM(U662)="Pass",SUMPRODUCT(--ISNUMBER(SEARCH(L_ResultBad,AV662)))&gt;0),"INVALID – result describes a problem: use Fail, then Pass after CA",IF(AND(AQ662=1,OR(LEN(AY662)&lt;3,ISNUMBER(MATCH(AY662,L_Placeholder,0)))),"INVALID – batch ID missing or placeholder",IF(AND(AR662=1,OR(NOT(ISNUMBER(X662)),NOT(ISNUMBER(Y662)))),"INVALID – expected/actual qty missing",IF(AND(AR662=1,OR(X662&lt;=0,Y662&lt;0)),"INVALID – expected qty must be above 0 and actual not negative",IF(AH655="N/A – JUSTIFIED","INVALID – preparation row F20-T12-02 is N/A",IF(AND(AR662=1,ISNUMBER(X655),X662&lt;&gt;X655),"INVALID – expected qty differs from preparation check F20-T12-02",IF(BB662&lt;&gt;"",BB662,IF(AND(AS662=1,Documents!$J$24&lt;&gt;"ON FILE"),"INVALID – GLD not on file (Documents sheet)",IF(AND(AS662=2,Documents!$O$24&lt;&gt;"ON FILE"),"INVALID – menu checklist not on file (Documents sheet)",IF(AND(AS662=3,NOT(ISNUMBER(Flights!$AX$24))),"INVALID – enter carrying flight KUL departure (Flights AX)",IF(AND(AS662=3,OR(Flights!$AZ$24&gt;Flights!$AA$24,Flights!$AX$24&lt;Flights!$AA$24-3)),"INVALID – carrying flight (Flights AX) cannot arrive before this leg's STD, or is over 3 days early",IF(AG662&gt;AsOfUTC,"INVALID – completion time is in the future",IF(AND(ISNUMBER(S662),AG662&lt;S662),IF(H662="Physical uplift","INVALID – before uplift window (cannot confirm loading)","INVALID – before valid window"),IF(AG662&gt;Flights!$AA$24,"INVALID – completed after departure (cannot establish readiness)",IF(AND(H662="Preparation",AG662&gt;IF(ISNUMBER(Flights!$BA$24),MIN(Flights!$BA$24,Flights!$AA$24),Flights!$AA$24)),"INVALID – completed after loading / departure (cannot establish readiness)",IF(AND(H662="Physical uplift",AG662&gt;Q662),"INVALID – recorded after the loading flight departed",IF(AG662&gt;Q662,"COMPLETE – LATE","COMPLETE"))))))))))))))))))))))),IF(TRIM(U662)="Fail","FAIL – DISCREPANCY",IF(AND(TRIM(U662)&lt;&gt;"",TRIM(U662)&lt;&gt;"Not started",TRIM(U662)&lt;&gt;"In progress"),"INVALID – unrecognised status (use the list)",IF(AsOfUTC&gt;Q662,"OVERDUE",IF(N662="Clarification required","OPEN – CLARIFICATION","OPEN"))))))),"INVALID – error value in an input cell")</f>
        <v>OPEN</v>
      </c>
      <c r="AI662" s="61" t="n">
        <f aca="false">IF(OR(AH662="N/A – RULE",AH662="N/A – JUSTIFIED"),0,1)</f>
        <v>1</v>
      </c>
      <c r="AJ662" s="61" t="n">
        <f aca="false">IF(LEFT(AH662,8)="COMPLETE",1,0)</f>
        <v>0</v>
      </c>
      <c r="AK662" s="61" t="n">
        <f aca="false">IF(AND(AI662=1,AJ662=0,AsOfUTC&gt;Q662),1,0)</f>
        <v>0</v>
      </c>
      <c r="AL662" s="61" t="n">
        <f aca="false">IFERROR(IF(AND(AI662=1,OR(TRIM(U662)="Fail",AND(TRIM(AB662)&lt;&gt;"",TRIM(AB662)&lt;&gt;"Closed"),AND(ISNUMBER(AF662),AF662&lt;&gt;0,TRIM(U662)&lt;&gt;"Pass after CA"))),1,0),1)</f>
        <v>0</v>
      </c>
      <c r="AM662" s="61" t="n">
        <f aca="false">IF(LEFT(AH662,7)="INVALID",1,0)</f>
        <v>0</v>
      </c>
      <c r="AN662" s="61" t="n">
        <f aca="false">IF(AND(N662="Clarification required",AI662=1,AJ662=0),1,0)</f>
        <v>0</v>
      </c>
      <c r="AO662" s="61" t="str">
        <f aca="false">IF(AK662=1,SUM(AK$5:AK662),"")</f>
        <v/>
      </c>
      <c r="AP662" s="61" t="str">
        <f aca="false">IF(AL662=1,SUM(AL$5:AL662),"")</f>
        <v/>
      </c>
      <c r="AQ662" s="61" t="n">
        <v>0</v>
      </c>
      <c r="AR662" s="61" t="n">
        <v>1</v>
      </c>
      <c r="AS662" s="61" t="n">
        <v>0</v>
      </c>
      <c r="AT662" s="61" t="n">
        <v>0</v>
      </c>
      <c r="AU662" s="61" t="str">
        <f aca="false">SUBSTITUTE(SUBSTITUTE(SUBSTITUTE(SUBSTITUTE(SUBSTITUTE(SUBSTITUTE(SUBSTITUTE(SUBSTITUTE(SUBSTITUTE(SUBSTITUTE(SUBSTITUTE(SUBSTITUTE(SUBSTITUTE(LOWER(T662&amp;""),CHAR(160),"")," ",""),".",""),"-",""),"/",""),"?",""),"_",""),",",""),"[",""),"]",""),"(",""),")",""),"*","")</f>
        <v/>
      </c>
      <c r="AV662" s="61" t="str">
        <f aca="false">SUBSTITUTE(SUBSTITUTE(SUBSTITUTE(SUBSTITUTE(SUBSTITUTE(SUBSTITUTE(SUBSTITUTE(SUBSTITUTE(SUBSTITUTE(SUBSTITUTE(SUBSTITUTE(SUBSTITUTE(SUBSTITUTE(LOWER(V662&amp;""),CHAR(160),"")," ",""),".",""),"-",""),"/",""),"?",""),"_",""),",",""),"[",""),"]",""),"(",""),")",""),"*","")</f>
        <v/>
      </c>
      <c r="AW662" s="61" t="str">
        <f aca="false">SUBSTITUTE(SUBSTITUTE(SUBSTITUTE(SUBSTITUTE(SUBSTITUTE(SUBSTITUTE(SUBSTITUTE(SUBSTITUTE(SUBSTITUTE(SUBSTITUTE(SUBSTITUTE(SUBSTITUTE(SUBSTITUTE(LOWER(Z662&amp;""),CHAR(160),"")," ",""),".",""),"-",""),"/",""),"?",""),"_",""),",",""),"[",""),"]",""),"(",""),")",""),"*","")</f>
        <v/>
      </c>
      <c r="AX662" s="61" t="str">
        <f aca="false">SUBSTITUTE(SUBSTITUTE(SUBSTITUTE(SUBSTITUTE(SUBSTITUTE(SUBSTITUTE(SUBSTITUTE(SUBSTITUTE(SUBSTITUTE(SUBSTITUTE(SUBSTITUTE(SUBSTITUTE(SUBSTITUTE(LOWER(AE662&amp;""),CHAR(160),"")," ",""),".",""),"-",""),"/",""),"?",""),"_",""),",",""),"[",""),"]",""),"(",""),")",""),"*","")</f>
        <v/>
      </c>
      <c r="AY662" s="61" t="str">
        <f aca="false">SUBSTITUTE(SUBSTITUTE(SUBSTITUTE(SUBSTITUTE(SUBSTITUTE(SUBSTITUTE(SUBSTITUTE(SUBSTITUTE(SUBSTITUTE(SUBSTITUTE(SUBSTITUTE(SUBSTITUTE(SUBSTITUTE(LOWER(W662&amp;""),CHAR(160),"")," ",""),".",""),"-",""),"/",""),"?",""),"_",""),",",""),"[",""),"]",""),"(",""),")",""),"*","")</f>
        <v/>
      </c>
      <c r="AZ662" s="61" t="str">
        <f aca="false">SUBSTITUTE(SUBSTITUTE(SUBSTITUTE(SUBSTITUTE(SUBSTITUTE(SUBSTITUTE(SUBSTITUTE(SUBSTITUTE(SUBSTITUTE(SUBSTITUTE(SUBSTITUTE(SUBSTITUTE(SUBSTITUTE(LOWER(AC662&amp;""),CHAR(160),"")," ",""),".",""),"-",""),"/",""),"?",""),"_",""),",",""),"[",""),"]",""),"(",""),")",""),"*","")</f>
        <v/>
      </c>
      <c r="BA662" s="61" t="str">
        <f aca="false">SUBSTITUTE(SUBSTITUTE(SUBSTITUTE(SUBSTITUTE(SUBSTITUTE(SUBSTITUTE(SUBSTITUTE(SUBSTITUTE(SUBSTITUTE(SUBSTITUTE(SUBSTITUTE(SUBSTITUTE(SUBSTITUTE(LOWER(AA662&amp;""),CHAR(160),"")," ",""),".",""),"-",""),"/",""),"?",""),"_",""),",",""),"[",""),"]",""),"(",""),")",""),"*","")</f>
        <v/>
      </c>
      <c r="BB662" s="61" t="str">
        <f aca="false">IF(AND(TRIM(U662)="Pass",ISNUMBER(AF662)),IF(AF662&lt;&gt;0,"INVALID – qty variance: use Fail or Pass after CA",""),"")&amp;IF(AND(TRIM(U662)="Pass after CA",ISNUMBER(AF662)),IF(AF662&lt;&gt;0,"INVALID – after the corrective action the actual qty must equal expected (update Actual)",""),"")&amp;IF(AND(TRIM(U662)="Pass",TRIM(AB662)&lt;&gt;"",TRIM(AB662)&lt;&gt;"Closed"),"INVALID – corrective action not closed: use Fail, then Pass after CA","")&amp;IF(AND(TRIM(AA662)&lt;&gt;"",TRIM(AB662)=""),"INVALID – CA status missing for the recorded corrective action","")&amp;IF(AND(TRIM(U662)="Pass after CA",OR(OR(LEN(BA662)&lt;5,ISNUMBER(MATCH(BA662,L_Placeholder,0))),TRIM(AB662)&lt;&gt;"Closed")),"INVALID – corrective action not recorded/closed","")</f>
        <v/>
      </c>
    </row>
    <row r="663" customFormat="false" ht="39.75" hidden="false" customHeight="true" outlineLevel="0" collapsed="false">
      <c r="A663" s="57" t="s">
        <v>1361</v>
      </c>
      <c r="B663" s="57" t="s">
        <v>301</v>
      </c>
      <c r="C663" s="57" t="str">
        <f aca="false">Flights!$F$24</f>
        <v>MH1450</v>
      </c>
      <c r="D663" s="58" t="n">
        <f aca="false">Flights!$D$24</f>
        <v>46324</v>
      </c>
      <c r="E663" s="57" t="str">
        <f aca="false">Flights!$G$24&amp;"-"&amp;Flights!$H$24</f>
        <v>KUL-LGK</v>
      </c>
      <c r="F663" s="57" t="str">
        <f aca="false">Flights!$K$24</f>
        <v>EY</v>
      </c>
      <c r="G663" s="57" t="s">
        <v>437</v>
      </c>
      <c r="H663" s="57" t="s">
        <v>438</v>
      </c>
      <c r="I663" s="57" t="s">
        <v>406</v>
      </c>
      <c r="J663" s="57" t="s">
        <v>443</v>
      </c>
      <c r="K663" s="67" t="s">
        <v>404</v>
      </c>
      <c r="L663" s="67" t="s">
        <v>440</v>
      </c>
      <c r="M663" s="67"/>
      <c r="N663" s="67" t="s">
        <v>361</v>
      </c>
      <c r="O663" s="67" t="s">
        <v>441</v>
      </c>
      <c r="P663" s="57" t="s">
        <v>184</v>
      </c>
      <c r="Q663" s="59" t="n">
        <f aca="false">ROUND((Flights!$AF$24)*1440,0)/1440</f>
        <v>46324.4375</v>
      </c>
      <c r="R663" s="59" t="n">
        <f aca="false">Q663+(IF(AND(INDEX(TZ_DSTS,MATCH(P663,TZ_STN,0))&lt;&gt;"",Q663&gt;=INDEX(TZ_DSTS,MATCH(P663,TZ_STN,0)),Q663&lt;INDEX(TZ_DSTE,MATCH(P663,TZ_STN,0))),INDEX(TZ_DST,MATCH(P663,TZ_STN,0)),INDEX(TZ_STD,MATCH(P663,TZ_STN,0))))/24</f>
        <v>46324.7708333333</v>
      </c>
      <c r="S663" s="59" t="n">
        <f aca="false">IF(ISNUMBER(Flights!$AZ$24),MAX(Q663-UpliftWindowH/24,Flights!$AZ$24),Q663-UpliftWindowH/24)</f>
        <v>46324.1875</v>
      </c>
      <c r="T663" s="60"/>
      <c r="U663" s="60"/>
      <c r="V663" s="60"/>
      <c r="W663" s="61"/>
      <c r="X663" s="60"/>
      <c r="Y663" s="60"/>
      <c r="Z663" s="60"/>
      <c r="AA663" s="60"/>
      <c r="AB663" s="60"/>
      <c r="AC663" s="60"/>
      <c r="AD663" s="66"/>
      <c r="AE663" s="60"/>
      <c r="AF663" s="61" t="str">
        <f aca="false">IF(AND(ISNUMBER(X663),ISNUMBER(Y663)),Y663-X663,"")</f>
        <v/>
      </c>
      <c r="AG663" s="62" t="str">
        <f aca="false">IF(ISNUMBER(AD663),AD663-(IF(AND(INDEX(TZ_DSTS,MATCH(P663,TZ_STN,0))&lt;&gt;"",(AD663-INDEX(TZ_STD,MATCH(P663,TZ_STN,0))/24)&gt;=INDEX(TZ_DSTS,MATCH(P663,TZ_STN,0)),(AD663-INDEX(TZ_STD,MATCH(P663,TZ_STN,0))/24)&lt;INDEX(TZ_DSTE,MATCH(P663,TZ_STN,0))),INDEX(TZ_DST,MATCH(P663,TZ_STN,0)),INDEX(TZ_STD,MATCH(P663,TZ_STN,0))))/24,"")</f>
        <v/>
      </c>
      <c r="AH663" s="65" t="str">
        <f aca="false">IFERROR(IF(N663="N/A – rule","N/A – RULE",IF(TRIM(U663)="N/A",IF(AT663=0,"INVALID – N/A not permitted for this check",IF(AND(TRIM(AB663)&lt;&gt;"",TRIM(AB663)&lt;&gt;"Closed"),"INVALID – corrective action still open",IF(AND(NOT(OR(LEN(AZ663)&lt;15,ISNUMBER(MATCH(AZ663,L_Placeholder,0)))),NOT(OR(LEN(AU663)&lt;2,ISNUMBER(MATCH(AU663,L_Placeholder,0)))),NOT(OR(LEN(AX663)&lt;2,ISNUMBER(MATCH(AX663,L_Placeholder,0)))),TRIM(AE663)&lt;&gt;TRIM(T663)),"N/A – JUSTIFIED","INVALID – N/A needs a real justification (15+ chars), PIC and a different verifier"))),IF(OR(TRIM(U663)="Pass",TRIM(U663)="Pass after CA"),IF(NOT(ISNUMBER(AD663)),"INVALID – completion time missing",IF(OR(LEN(AU663)&lt;2,ISNUMBER(MATCH(AU663,L_Placeholder,0))),"INVALID – PIC missing",IF(OR(LEN(AV663)&lt;2,ISNUMBER(MATCH(AV663,L_Placeholder,0))),"INVALID – result / assessment missing",IF(OR(OR(LEN(AW663)&lt;3,ISNUMBER(MATCH(AW663,L_Placeholder,0))),SUMPRODUCT(--ISNUMBER(SEARCH(L_EvidencePhrase,AW663)))&gt;0),"INVALID – evidence missing, placeholder or not yet on file",IF(OR(LEN(AX663)&lt;2,ISNUMBER(MATCH(AX663,L_Placeholder,0))),"INVALID – verifier missing",IF(AX663=AU663,"INVALID – verifier must be someone other than the PIC",IF(AND(TRIM(U663)="Pass",SUMPRODUCT(--ISNUMBER(SEARCH(L_ResultBad,AV663)))&gt;0),"INVALID – result describes a problem: use Fail, then Pass after CA",IF(AND(AQ663=1,OR(LEN(AY663)&lt;3,ISNUMBER(MATCH(AY663,L_Placeholder,0)))),"INVALID – batch ID missing or placeholder",IF(AND(AR663=1,OR(NOT(ISNUMBER(X663)),NOT(ISNUMBER(Y663)))),"INVALID – expected/actual qty missing",IF(AND(AR663=1,OR(X663&lt;=0,Y663&lt;0)),"INVALID – expected qty must be above 0 and actual not negative",IF(AH659="N/A – JUSTIFIED","INVALID – preparation row F20-T12-06 is N/A",IF(AND(AR663=1,ISNUMBER(X659),X663&lt;&gt;X659),"INVALID – expected qty differs from preparation check F20-T12-06",IF(BB663&lt;&gt;"",BB663,IF(AND(AS663=1,Documents!$J$24&lt;&gt;"ON FILE"),"INVALID – GLD not on file (Documents sheet)",IF(AND(AS663=2,Documents!$O$24&lt;&gt;"ON FILE"),"INVALID – menu checklist not on file (Documents sheet)",IF(AND(AS663=3,NOT(ISNUMBER(Flights!$AX$24))),"INVALID – enter carrying flight KUL departure (Flights AX)",IF(AND(AS663=3,OR(Flights!$AZ$24&gt;Flights!$AA$24,Flights!$AX$24&lt;Flights!$AA$24-3)),"INVALID – carrying flight (Flights AX) cannot arrive before this leg's STD, or is over 3 days early",IF(AG663&gt;AsOfUTC,"INVALID – completion time is in the future",IF(AND(ISNUMBER(S663),AG663&lt;S663),IF(H663="Physical uplift","INVALID – before uplift window (cannot confirm loading)","INVALID – before valid window"),IF(AG663&gt;Flights!$AA$24,"INVALID – completed after departure (cannot establish readiness)",IF(AND(H663="Preparation",AG663&gt;IF(ISNUMBER(Flights!$BA$24),MIN(Flights!$BA$24,Flights!$AA$24),Flights!$AA$24)),"INVALID – completed after loading / departure (cannot establish readiness)",IF(AND(H663="Physical uplift",AG663&gt;Q663),"INVALID – recorded after the loading flight departed",IF(AG663&gt;Q663,"COMPLETE – LATE","COMPLETE"))))))))))))))))))))))),IF(TRIM(U663)="Fail","FAIL – DISCREPANCY",IF(AND(TRIM(U663)&lt;&gt;"",TRIM(U663)&lt;&gt;"Not started",TRIM(U663)&lt;&gt;"In progress"),"INVALID – unrecognised status (use the list)",IF(AsOfUTC&gt;Q663,"OVERDUE",IF(N663="Clarification required","OPEN – CLARIFICATION","OPEN"))))))),"INVALID – error value in an input cell")</f>
        <v>OPEN</v>
      </c>
      <c r="AI663" s="61" t="n">
        <f aca="false">IF(OR(AH663="N/A – RULE",AH663="N/A – JUSTIFIED"),0,1)</f>
        <v>1</v>
      </c>
      <c r="AJ663" s="61" t="n">
        <f aca="false">IF(LEFT(AH663,8)="COMPLETE",1,0)</f>
        <v>0</v>
      </c>
      <c r="AK663" s="61" t="n">
        <f aca="false">IF(AND(AI663=1,AJ663=0,AsOfUTC&gt;Q663),1,0)</f>
        <v>0</v>
      </c>
      <c r="AL663" s="61" t="n">
        <f aca="false">IFERROR(IF(AND(AI663=1,OR(TRIM(U663)="Fail",AND(TRIM(AB663)&lt;&gt;"",TRIM(AB663)&lt;&gt;"Closed"),AND(ISNUMBER(AF663),AF663&lt;&gt;0,TRIM(U663)&lt;&gt;"Pass after CA"))),1,0),1)</f>
        <v>0</v>
      </c>
      <c r="AM663" s="61" t="n">
        <f aca="false">IF(LEFT(AH663,7)="INVALID",1,0)</f>
        <v>0</v>
      </c>
      <c r="AN663" s="61" t="n">
        <f aca="false">IF(AND(N663="Clarification required",AI663=1,AJ663=0),1,0)</f>
        <v>0</v>
      </c>
      <c r="AO663" s="61" t="str">
        <f aca="false">IF(AK663=1,SUM(AK$5:AK663),"")</f>
        <v/>
      </c>
      <c r="AP663" s="61" t="str">
        <f aca="false">IF(AL663=1,SUM(AL$5:AL663),"")</f>
        <v/>
      </c>
      <c r="AQ663" s="61" t="n">
        <v>0</v>
      </c>
      <c r="AR663" s="61" t="n">
        <v>1</v>
      </c>
      <c r="AS663" s="61" t="n">
        <v>0</v>
      </c>
      <c r="AT663" s="61" t="n">
        <v>0</v>
      </c>
      <c r="AU663" s="61" t="str">
        <f aca="false">SUBSTITUTE(SUBSTITUTE(SUBSTITUTE(SUBSTITUTE(SUBSTITUTE(SUBSTITUTE(SUBSTITUTE(SUBSTITUTE(SUBSTITUTE(SUBSTITUTE(SUBSTITUTE(SUBSTITUTE(SUBSTITUTE(LOWER(T663&amp;""),CHAR(160),"")," ",""),".",""),"-",""),"/",""),"?",""),"_",""),",",""),"[",""),"]",""),"(",""),")",""),"*","")</f>
        <v/>
      </c>
      <c r="AV663" s="61" t="str">
        <f aca="false">SUBSTITUTE(SUBSTITUTE(SUBSTITUTE(SUBSTITUTE(SUBSTITUTE(SUBSTITUTE(SUBSTITUTE(SUBSTITUTE(SUBSTITUTE(SUBSTITUTE(SUBSTITUTE(SUBSTITUTE(SUBSTITUTE(LOWER(V663&amp;""),CHAR(160),"")," ",""),".",""),"-",""),"/",""),"?",""),"_",""),",",""),"[",""),"]",""),"(",""),")",""),"*","")</f>
        <v/>
      </c>
      <c r="AW663" s="61" t="str">
        <f aca="false">SUBSTITUTE(SUBSTITUTE(SUBSTITUTE(SUBSTITUTE(SUBSTITUTE(SUBSTITUTE(SUBSTITUTE(SUBSTITUTE(SUBSTITUTE(SUBSTITUTE(SUBSTITUTE(SUBSTITUTE(SUBSTITUTE(LOWER(Z663&amp;""),CHAR(160),"")," ",""),".",""),"-",""),"/",""),"?",""),"_",""),",",""),"[",""),"]",""),"(",""),")",""),"*","")</f>
        <v/>
      </c>
      <c r="AX663" s="61" t="str">
        <f aca="false">SUBSTITUTE(SUBSTITUTE(SUBSTITUTE(SUBSTITUTE(SUBSTITUTE(SUBSTITUTE(SUBSTITUTE(SUBSTITUTE(SUBSTITUTE(SUBSTITUTE(SUBSTITUTE(SUBSTITUTE(SUBSTITUTE(LOWER(AE663&amp;""),CHAR(160),"")," ",""),".",""),"-",""),"/",""),"?",""),"_",""),",",""),"[",""),"]",""),"(",""),")",""),"*","")</f>
        <v/>
      </c>
      <c r="AY663" s="61" t="str">
        <f aca="false">SUBSTITUTE(SUBSTITUTE(SUBSTITUTE(SUBSTITUTE(SUBSTITUTE(SUBSTITUTE(SUBSTITUTE(SUBSTITUTE(SUBSTITUTE(SUBSTITUTE(SUBSTITUTE(SUBSTITUTE(SUBSTITUTE(LOWER(W663&amp;""),CHAR(160),"")," ",""),".",""),"-",""),"/",""),"?",""),"_",""),",",""),"[",""),"]",""),"(",""),")",""),"*","")</f>
        <v/>
      </c>
      <c r="AZ663" s="61" t="str">
        <f aca="false">SUBSTITUTE(SUBSTITUTE(SUBSTITUTE(SUBSTITUTE(SUBSTITUTE(SUBSTITUTE(SUBSTITUTE(SUBSTITUTE(SUBSTITUTE(SUBSTITUTE(SUBSTITUTE(SUBSTITUTE(SUBSTITUTE(LOWER(AC663&amp;""),CHAR(160),"")," ",""),".",""),"-",""),"/",""),"?",""),"_",""),",",""),"[",""),"]",""),"(",""),")",""),"*","")</f>
        <v/>
      </c>
      <c r="BA663" s="61" t="str">
        <f aca="false">SUBSTITUTE(SUBSTITUTE(SUBSTITUTE(SUBSTITUTE(SUBSTITUTE(SUBSTITUTE(SUBSTITUTE(SUBSTITUTE(SUBSTITUTE(SUBSTITUTE(SUBSTITUTE(SUBSTITUTE(SUBSTITUTE(LOWER(AA663&amp;""),CHAR(160),"")," ",""),".",""),"-",""),"/",""),"?",""),"_",""),",",""),"[",""),"]",""),"(",""),")",""),"*","")</f>
        <v/>
      </c>
      <c r="BB663" s="61" t="str">
        <f aca="false">IF(AND(TRIM(U663)="Pass",ISNUMBER(AF663)),IF(AF663&lt;&gt;0,"INVALID – qty variance: use Fail or Pass after CA",""),"")&amp;IF(AND(TRIM(U663)="Pass after CA",ISNUMBER(AF663)),IF(AF663&lt;&gt;0,"INVALID – after the corrective action the actual qty must equal expected (update Actual)",""),"")&amp;IF(AND(TRIM(U663)="Pass",TRIM(AB663)&lt;&gt;"",TRIM(AB663)&lt;&gt;"Closed"),"INVALID – corrective action not closed: use Fail, then Pass after CA","")&amp;IF(AND(TRIM(AA663)&lt;&gt;"",TRIM(AB663)=""),"INVALID – CA status missing for the recorded corrective action","")&amp;IF(AND(TRIM(U663)="Pass after CA",OR(OR(LEN(BA663)&lt;5,ISNUMBER(MATCH(BA663,L_Placeholder,0))),TRIM(AB663)&lt;&gt;"Closed")),"INVALID – corrective action not recorded/closed","")</f>
        <v/>
      </c>
    </row>
    <row r="664" customFormat="false" ht="39.75" hidden="false" customHeight="true" outlineLevel="0" collapsed="false">
      <c r="A664" s="57" t="s">
        <v>1362</v>
      </c>
      <c r="B664" s="57" t="s">
        <v>301</v>
      </c>
      <c r="C664" s="57" t="str">
        <f aca="false">Flights!$F$24</f>
        <v>MH1450</v>
      </c>
      <c r="D664" s="58" t="n">
        <f aca="false">Flights!$D$24</f>
        <v>46324</v>
      </c>
      <c r="E664" s="57" t="str">
        <f aca="false">Flights!$G$24&amp;"-"&amp;Flights!$H$24</f>
        <v>KUL-LGK</v>
      </c>
      <c r="F664" s="57" t="str">
        <f aca="false">Flights!$K$24</f>
        <v>EY</v>
      </c>
      <c r="G664" s="57" t="s">
        <v>437</v>
      </c>
      <c r="H664" s="57" t="s">
        <v>438</v>
      </c>
      <c r="I664" s="57" t="s">
        <v>425</v>
      </c>
      <c r="J664" s="57" t="s">
        <v>447</v>
      </c>
      <c r="K664" s="67" t="s">
        <v>427</v>
      </c>
      <c r="L664" s="67" t="s">
        <v>1359</v>
      </c>
      <c r="M664" s="67" t="s">
        <v>429</v>
      </c>
      <c r="N664" s="67" t="s">
        <v>361</v>
      </c>
      <c r="O664" s="67"/>
      <c r="P664" s="57" t="s">
        <v>184</v>
      </c>
      <c r="Q664" s="59" t="n">
        <f aca="false">ROUND((Flights!$AF$24)*1440,0)/1440</f>
        <v>46324.4375</v>
      </c>
      <c r="R664" s="59" t="n">
        <f aca="false">Q664+(IF(AND(INDEX(TZ_DSTS,MATCH(P664,TZ_STN,0))&lt;&gt;"",Q664&gt;=INDEX(TZ_DSTS,MATCH(P664,TZ_STN,0)),Q664&lt;INDEX(TZ_DSTE,MATCH(P664,TZ_STN,0))),INDEX(TZ_DST,MATCH(P664,TZ_STN,0)),INDEX(TZ_STD,MATCH(P664,TZ_STN,0))))/24</f>
        <v>46324.7708333333</v>
      </c>
      <c r="S664" s="59" t="n">
        <f aca="false">IF(ISNUMBER(Flights!$AZ$24),MAX(Q664-UpliftWindowH/24,Flights!$AZ$24),Q664-UpliftWindowH/24)</f>
        <v>46324.1875</v>
      </c>
      <c r="T664" s="60"/>
      <c r="U664" s="60"/>
      <c r="V664" s="60"/>
      <c r="W664" s="61"/>
      <c r="X664" s="60"/>
      <c r="Y664" s="60"/>
      <c r="Z664" s="60"/>
      <c r="AA664" s="60"/>
      <c r="AB664" s="60"/>
      <c r="AC664" s="60"/>
      <c r="AD664" s="66"/>
      <c r="AE664" s="60"/>
      <c r="AF664" s="61" t="str">
        <f aca="false">IF(AND(ISNUMBER(X664),ISNUMBER(Y664)),Y664-X664,"")</f>
        <v/>
      </c>
      <c r="AG664" s="62" t="str">
        <f aca="false">IF(ISNUMBER(AD664),AD664-(IF(AND(INDEX(TZ_DSTS,MATCH(P664,TZ_STN,0))&lt;&gt;"",(AD664-INDEX(TZ_STD,MATCH(P664,TZ_STN,0))/24)&gt;=INDEX(TZ_DSTS,MATCH(P664,TZ_STN,0)),(AD664-INDEX(TZ_STD,MATCH(P664,TZ_STN,0))/24)&lt;INDEX(TZ_DSTE,MATCH(P664,TZ_STN,0))),INDEX(TZ_DST,MATCH(P664,TZ_STN,0)),INDEX(TZ_STD,MATCH(P664,TZ_STN,0))))/24,"")</f>
        <v/>
      </c>
      <c r="AH664" s="65" t="str">
        <f aca="false">IFERROR(IF(N664="N/A – rule","N/A – RULE",IF(TRIM(U664)="N/A",IF(AT664=0,"INVALID – N/A not permitted for this check",IF(AND(TRIM(AB664)&lt;&gt;"",TRIM(AB664)&lt;&gt;"Closed"),"INVALID – corrective action still open",IF(AND(NOT(OR(LEN(AZ664)&lt;15,ISNUMBER(MATCH(AZ664,L_Placeholder,0)))),NOT(OR(LEN(AU664)&lt;2,ISNUMBER(MATCH(AU664,L_Placeholder,0)))),NOT(OR(LEN(AX664)&lt;2,ISNUMBER(MATCH(AX664,L_Placeholder,0)))),TRIM(AE664)&lt;&gt;TRIM(T664)),"N/A – JUSTIFIED","INVALID – N/A needs a real justification (15+ chars), PIC and a different verifier"))),IF(OR(TRIM(U664)="Pass",TRIM(U664)="Pass after CA"),IF(NOT(ISNUMBER(AD664)),"INVALID – completion time missing",IF(OR(LEN(AU664)&lt;2,ISNUMBER(MATCH(AU664,L_Placeholder,0))),"INVALID – PIC missing",IF(OR(LEN(AV664)&lt;2,ISNUMBER(MATCH(AV664,L_Placeholder,0))),"INVALID – result / assessment missing",IF(OR(OR(LEN(AW664)&lt;3,ISNUMBER(MATCH(AW664,L_Placeholder,0))),SUMPRODUCT(--ISNUMBER(SEARCH(L_EvidencePhrase,AW664)))&gt;0),"INVALID – evidence missing, placeholder or not yet on file",IF(OR(LEN(AX664)&lt;2,ISNUMBER(MATCH(AX664,L_Placeholder,0))),"INVALID – verifier missing",IF(AX664=AU664,"INVALID – verifier must be someone other than the PIC",IF(AND(TRIM(U664)="Pass",SUMPRODUCT(--ISNUMBER(SEARCH(L_ResultBad,AV664)))&gt;0),"INVALID – result describes a problem: use Fail, then Pass after CA",IF(AND(AQ664=1,OR(LEN(AY664)&lt;3,ISNUMBER(MATCH(AY664,L_Placeholder,0)))),"INVALID – batch ID missing or placeholder",IF(AND(AR664=1,OR(NOT(ISNUMBER(X664)),NOT(ISNUMBER(Y664)))),"INVALID – expected/actual qty missing",IF(AND(AR664=1,OR(X664&lt;=0,Y664&lt;0)),"INVALID – expected qty must be above 0 and actual not negative",IF(AH661="N/A – JUSTIFIED","INVALID – preparation row F20-T12-08 is N/A",IF(AND(AR664=1,ISNUMBER(X661),X664&lt;&gt;X661),"INVALID – expected qty differs from preparation check F20-T12-08",IF(BB664&lt;&gt;"",BB664,IF(AND(AS664=1,Documents!$J$24&lt;&gt;"ON FILE"),"INVALID – GLD not on file (Documents sheet)",IF(AND(AS664=2,Documents!$O$24&lt;&gt;"ON FILE"),"INVALID – menu checklist not on file (Documents sheet)",IF(AND(AS664=3,NOT(ISNUMBER(Flights!$AX$24))),"INVALID – enter carrying flight KUL departure (Flights AX)",IF(AND(AS664=3,OR(Flights!$AZ$24&gt;Flights!$AA$24,Flights!$AX$24&lt;Flights!$AA$24-3)),"INVALID – carrying flight (Flights AX) cannot arrive before this leg's STD, or is over 3 days early",IF(AG664&gt;AsOfUTC,"INVALID – completion time is in the future",IF(AND(ISNUMBER(S664),AG664&lt;S664),IF(H664="Physical uplift","INVALID – before uplift window (cannot confirm loading)","INVALID – before valid window"),IF(AG664&gt;Flights!$AA$24,"INVALID – completed after departure (cannot establish readiness)",IF(AND(H664="Preparation",AG664&gt;IF(ISNUMBER(Flights!$BA$24),MIN(Flights!$BA$24,Flights!$AA$24),Flights!$AA$24)),"INVALID – completed after loading / departure (cannot establish readiness)",IF(AND(H664="Physical uplift",AG664&gt;Q664),"INVALID – recorded after the loading flight departed",IF(AG664&gt;Q664,"COMPLETE – LATE","COMPLETE"))))))))))))))))))))))),IF(TRIM(U664)="Fail","FAIL – DISCREPANCY",IF(AND(TRIM(U664)&lt;&gt;"",TRIM(U664)&lt;&gt;"Not started",TRIM(U664)&lt;&gt;"In progress"),"INVALID – unrecognised status (use the list)",IF(AsOfUTC&gt;Q664,"OVERDUE",IF(N664="Clarification required","OPEN – CLARIFICATION","OPEN"))))))),"INVALID – error value in an input cell")</f>
        <v>OPEN</v>
      </c>
      <c r="AI664" s="61" t="n">
        <f aca="false">IF(OR(AH664="N/A – RULE",AH664="N/A – JUSTIFIED"),0,1)</f>
        <v>1</v>
      </c>
      <c r="AJ664" s="61" t="n">
        <f aca="false">IF(LEFT(AH664,8)="COMPLETE",1,0)</f>
        <v>0</v>
      </c>
      <c r="AK664" s="61" t="n">
        <f aca="false">IF(AND(AI664=1,AJ664=0,AsOfUTC&gt;Q664),1,0)</f>
        <v>0</v>
      </c>
      <c r="AL664" s="61" t="n">
        <f aca="false">IFERROR(IF(AND(AI664=1,OR(TRIM(U664)="Fail",AND(TRIM(AB664)&lt;&gt;"",TRIM(AB664)&lt;&gt;"Closed"),AND(ISNUMBER(AF664),AF664&lt;&gt;0,TRIM(U664)&lt;&gt;"Pass after CA"))),1,0),1)</f>
        <v>0</v>
      </c>
      <c r="AM664" s="61" t="n">
        <f aca="false">IF(LEFT(AH664,7)="INVALID",1,0)</f>
        <v>0</v>
      </c>
      <c r="AN664" s="61" t="n">
        <f aca="false">IF(AND(N664="Clarification required",AI664=1,AJ664=0),1,0)</f>
        <v>0</v>
      </c>
      <c r="AO664" s="61" t="str">
        <f aca="false">IF(AK664=1,SUM(AK$5:AK664),"")</f>
        <v/>
      </c>
      <c r="AP664" s="61" t="str">
        <f aca="false">IF(AL664=1,SUM(AL$5:AL664),"")</f>
        <v/>
      </c>
      <c r="AQ664" s="61" t="n">
        <v>0</v>
      </c>
      <c r="AR664" s="61" t="n">
        <v>0</v>
      </c>
      <c r="AS664" s="61" t="n">
        <v>0</v>
      </c>
      <c r="AT664" s="61" t="n">
        <v>0</v>
      </c>
      <c r="AU664" s="61" t="str">
        <f aca="false">SUBSTITUTE(SUBSTITUTE(SUBSTITUTE(SUBSTITUTE(SUBSTITUTE(SUBSTITUTE(SUBSTITUTE(SUBSTITUTE(SUBSTITUTE(SUBSTITUTE(SUBSTITUTE(SUBSTITUTE(SUBSTITUTE(LOWER(T664&amp;""),CHAR(160),"")," ",""),".",""),"-",""),"/",""),"?",""),"_",""),",",""),"[",""),"]",""),"(",""),")",""),"*","")</f>
        <v/>
      </c>
      <c r="AV664" s="61" t="str">
        <f aca="false">SUBSTITUTE(SUBSTITUTE(SUBSTITUTE(SUBSTITUTE(SUBSTITUTE(SUBSTITUTE(SUBSTITUTE(SUBSTITUTE(SUBSTITUTE(SUBSTITUTE(SUBSTITUTE(SUBSTITUTE(SUBSTITUTE(LOWER(V664&amp;""),CHAR(160),"")," ",""),".",""),"-",""),"/",""),"?",""),"_",""),",",""),"[",""),"]",""),"(",""),")",""),"*","")</f>
        <v/>
      </c>
      <c r="AW664" s="61" t="str">
        <f aca="false">SUBSTITUTE(SUBSTITUTE(SUBSTITUTE(SUBSTITUTE(SUBSTITUTE(SUBSTITUTE(SUBSTITUTE(SUBSTITUTE(SUBSTITUTE(SUBSTITUTE(SUBSTITUTE(SUBSTITUTE(SUBSTITUTE(LOWER(Z664&amp;""),CHAR(160),"")," ",""),".",""),"-",""),"/",""),"?",""),"_",""),",",""),"[",""),"]",""),"(",""),")",""),"*","")</f>
        <v/>
      </c>
      <c r="AX664" s="61" t="str">
        <f aca="false">SUBSTITUTE(SUBSTITUTE(SUBSTITUTE(SUBSTITUTE(SUBSTITUTE(SUBSTITUTE(SUBSTITUTE(SUBSTITUTE(SUBSTITUTE(SUBSTITUTE(SUBSTITUTE(SUBSTITUTE(SUBSTITUTE(LOWER(AE664&amp;""),CHAR(160),"")," ",""),".",""),"-",""),"/",""),"?",""),"_",""),",",""),"[",""),"]",""),"(",""),")",""),"*","")</f>
        <v/>
      </c>
      <c r="AY664" s="61" t="str">
        <f aca="false">SUBSTITUTE(SUBSTITUTE(SUBSTITUTE(SUBSTITUTE(SUBSTITUTE(SUBSTITUTE(SUBSTITUTE(SUBSTITUTE(SUBSTITUTE(SUBSTITUTE(SUBSTITUTE(SUBSTITUTE(SUBSTITUTE(LOWER(W664&amp;""),CHAR(160),"")," ",""),".",""),"-",""),"/",""),"?",""),"_",""),",",""),"[",""),"]",""),"(",""),")",""),"*","")</f>
        <v/>
      </c>
      <c r="AZ664" s="61" t="str">
        <f aca="false">SUBSTITUTE(SUBSTITUTE(SUBSTITUTE(SUBSTITUTE(SUBSTITUTE(SUBSTITUTE(SUBSTITUTE(SUBSTITUTE(SUBSTITUTE(SUBSTITUTE(SUBSTITUTE(SUBSTITUTE(SUBSTITUTE(LOWER(AC664&amp;""),CHAR(160),"")," ",""),".",""),"-",""),"/",""),"?",""),"_",""),",",""),"[",""),"]",""),"(",""),")",""),"*","")</f>
        <v/>
      </c>
      <c r="BA664" s="61" t="str">
        <f aca="false">SUBSTITUTE(SUBSTITUTE(SUBSTITUTE(SUBSTITUTE(SUBSTITUTE(SUBSTITUTE(SUBSTITUTE(SUBSTITUTE(SUBSTITUTE(SUBSTITUTE(SUBSTITUTE(SUBSTITUTE(SUBSTITUTE(LOWER(AA664&amp;""),CHAR(160),"")," ",""),".",""),"-",""),"/",""),"?",""),"_",""),",",""),"[",""),"]",""),"(",""),")",""),"*","")</f>
        <v/>
      </c>
      <c r="BB664" s="61" t="str">
        <f aca="false">IF(AND(TRIM(U664)="Pass",ISNUMBER(AF664)),IF(AF664&lt;&gt;0,"INVALID – qty variance: use Fail or Pass after CA",""),"")&amp;IF(AND(TRIM(U664)="Pass after CA",ISNUMBER(AF664)),IF(AF664&lt;&gt;0,"INVALID – after the corrective action the actual qty must equal expected (update Actual)",""),"")&amp;IF(AND(TRIM(U664)="Pass",TRIM(AB664)&lt;&gt;"",TRIM(AB664)&lt;&gt;"Closed"),"INVALID – corrective action not closed: use Fail, then Pass after CA","")&amp;IF(AND(TRIM(AA664)&lt;&gt;"",TRIM(AB664)=""),"INVALID – CA status missing for the recorded corrective action","")&amp;IF(AND(TRIM(U664)="Pass after CA",OR(OR(LEN(BA664)&lt;5,ISNUMBER(MATCH(BA664,L_Placeholder,0))),TRIM(AB664)&lt;&gt;"Closed")),"INVALID – corrective action not recorded/closed","")</f>
        <v/>
      </c>
    </row>
    <row r="665" customFormat="false" ht="39.75" hidden="false" customHeight="true" outlineLevel="0" collapsed="false">
      <c r="A665" s="57" t="s">
        <v>1363</v>
      </c>
      <c r="B665" s="57" t="s">
        <v>307</v>
      </c>
      <c r="C665" s="57" t="str">
        <f aca="false">Flights!$F$25</f>
        <v>MH1437</v>
      </c>
      <c r="D665" s="58" t="n">
        <f aca="false">Flights!$D$25</f>
        <v>46325</v>
      </c>
      <c r="E665" s="57" t="str">
        <f aca="false">Flights!$G$25&amp;"-"&amp;Flights!$H$25</f>
        <v>LGK-KUL</v>
      </c>
      <c r="F665" s="57" t="str">
        <f aca="false">Flights!$K$25</f>
        <v>BC</v>
      </c>
      <c r="G665" s="57" t="s">
        <v>79</v>
      </c>
      <c r="H665" s="57" t="s">
        <v>356</v>
      </c>
      <c r="I665" s="57" t="s">
        <v>357</v>
      </c>
      <c r="J665" s="57" t="s">
        <v>358</v>
      </c>
      <c r="K665" s="67" t="s">
        <v>359</v>
      </c>
      <c r="L665" s="67" t="s">
        <v>360</v>
      </c>
      <c r="M665" s="67"/>
      <c r="N665" s="67" t="s">
        <v>361</v>
      </c>
      <c r="O665" s="67" t="s">
        <v>890</v>
      </c>
      <c r="P665" s="57" t="s">
        <v>184</v>
      </c>
      <c r="Q665" s="59" t="n">
        <f aca="false">ROUND((Flights!$AC$25)*1440,0)/1440</f>
        <v>46318.28125</v>
      </c>
      <c r="R665" s="59" t="n">
        <f aca="false">Q665+(IF(AND(INDEX(TZ_DSTS,MATCH(P665,TZ_STN,0))&lt;&gt;"",Q665&gt;=INDEX(TZ_DSTS,MATCH(P665,TZ_STN,0)),Q665&lt;INDEX(TZ_DSTE,MATCH(P665,TZ_STN,0))),INDEX(TZ_DST,MATCH(P665,TZ_STN,0)),INDEX(TZ_STD,MATCH(P665,TZ_STN,0))))/24</f>
        <v>46318.6145833333</v>
      </c>
      <c r="S665" s="59" t="n">
        <f aca="false">Q665-T7EarlyD*24/24</f>
        <v>46304.28125</v>
      </c>
      <c r="T665" s="60"/>
      <c r="U665" s="60"/>
      <c r="V665" s="60"/>
      <c r="W665" s="61"/>
      <c r="X665" s="60"/>
      <c r="Y665" s="60"/>
      <c r="Z665" s="60"/>
      <c r="AA665" s="60"/>
      <c r="AB665" s="60"/>
      <c r="AC665" s="60"/>
      <c r="AD665" s="66"/>
      <c r="AE665" s="60"/>
      <c r="AF665" s="61" t="str">
        <f aca="false">IF(AND(ISNUMBER(X665),ISNUMBER(Y665)),Y665-X665,"")</f>
        <v/>
      </c>
      <c r="AG665" s="62" t="str">
        <f aca="false">IF(ISNUMBER(AD665),AD665-(IF(AND(INDEX(TZ_DSTS,MATCH(P665,TZ_STN,0))&lt;&gt;"",(AD665-INDEX(TZ_STD,MATCH(P665,TZ_STN,0))/24)&gt;=INDEX(TZ_DSTS,MATCH(P665,TZ_STN,0)),(AD665-INDEX(TZ_STD,MATCH(P665,TZ_STN,0))/24)&lt;INDEX(TZ_DSTE,MATCH(P665,TZ_STN,0))),INDEX(TZ_DST,MATCH(P665,TZ_STN,0)),INDEX(TZ_STD,MATCH(P665,TZ_STN,0))))/24,"")</f>
        <v/>
      </c>
      <c r="AH665" s="65" t="str">
        <f aca="false">IFERROR(IF(N665="N/A – rule","N/A – RULE",IF(TRIM(U665)="N/A",IF(AT665=0,"INVALID – N/A not permitted for this check",IF(AND(TRIM(AB665)&lt;&gt;"",TRIM(AB665)&lt;&gt;"Closed"),"INVALID – corrective action still open",IF(AND(NOT(OR(LEN(AZ665)&lt;15,ISNUMBER(MATCH(AZ665,L_Placeholder,0)))),NOT(OR(LEN(AU665)&lt;2,ISNUMBER(MATCH(AU665,L_Placeholder,0)))),NOT(OR(LEN(AX665)&lt;2,ISNUMBER(MATCH(AX665,L_Placeholder,0)))),TRIM(AE665)&lt;&gt;TRIM(T665)),"N/A – JUSTIFIED","INVALID – N/A needs a real justification (15+ chars), PIC and a different verifier"))),IF(OR(TRIM(U665)="Pass",TRIM(U665)="Pass after CA"),IF(NOT(ISNUMBER(AD665)),"INVALID – completion time missing",IF(OR(LEN(AU665)&lt;2,ISNUMBER(MATCH(AU665,L_Placeholder,0))),"INVALID – PIC missing",IF(OR(LEN(AV665)&lt;2,ISNUMBER(MATCH(AV665,L_Placeholder,0))),"INVALID – result / assessment missing",IF(OR(OR(LEN(AW665)&lt;3,ISNUMBER(MATCH(AW665,L_Placeholder,0))),SUMPRODUCT(--ISNUMBER(SEARCH(L_EvidencePhrase,AW665)))&gt;0),"INVALID – evidence missing, placeholder or not yet on file",IF(OR(LEN(AX665)&lt;2,ISNUMBER(MATCH(AX665,L_Placeholder,0))),"INVALID – verifier missing",IF(AX665=AU665,"INVALID – verifier must be someone other than the PIC",IF(AND(TRIM(U665)="Pass",SUMPRODUCT(--ISNUMBER(SEARCH(L_ResultBad,AV665)))&gt;0),"INVALID – result describes a problem: use Fail, then Pass after CA",IF(AND(AQ665=1,OR(LEN(AY665)&lt;3,ISNUMBER(MATCH(AY665,L_Placeholder,0)))),"INVALID – batch ID missing or placeholder",IF(AND(AR665=1,OR(NOT(ISNUMBER(X665)),NOT(ISNUMBER(Y665)))),"INVALID – expected/actual qty missing",IF(AND(AR665=1,OR(X665&lt;=0,Y665&lt;0)),"INVALID – expected qty must be above 0 and actual not negative",IF(BB665&lt;&gt;"",BB665,IF(AND(AS665=1,Documents!$J$25&lt;&gt;"ON FILE"),"INVALID – GLD not on file (Documents sheet)",IF(AND(AS665=2,Documents!$O$25&lt;&gt;"ON FILE"),"INVALID – menu checklist not on file (Documents sheet)",IF(AND(AS665=3,NOT(ISNUMBER(Flights!$AX$25))),"INVALID – enter carrying flight KUL departure (Flights AX)",IF(AND(AS665=3,OR(Flights!$AZ$25&gt;Flights!$AA$25,Flights!$AX$25&lt;Flights!$AA$25-3)),"INVALID – carrying flight (Flights AX) cannot arrive before this leg's STD, or is over 3 days early",IF(AG665&gt;AsOfUTC,"INVALID – completion time is in the future",IF(AND(ISNUMBER(S665),AG665&lt;S665),IF(H665="Physical uplift","INVALID – before uplift window (cannot confirm loading)","INVALID – before valid window"),IF(AG665&gt;Flights!$AA$25,"INVALID – completed after departure (cannot establish readiness)",IF(AND(H665="Preparation",AG665&gt;IF(ISNUMBER(Flights!$BA$25),MIN(Flights!$BA$25,Flights!$AA$25),Flights!$AA$25)),"INVALID – completed after loading / departure (cannot establish readiness)",IF(AND(H665="Physical uplift",AG665&gt;Q665),"INVALID – recorded after the loading flight departed",IF(AG665&gt;Q665,"COMPLETE – LATE","COMPLETE"))))))))))))))))))))),IF(TRIM(U665)="Fail","FAIL – DISCREPANCY",IF(AND(TRIM(U665)&lt;&gt;"",TRIM(U665)&lt;&gt;"Not started",TRIM(U665)&lt;&gt;"In progress"),"INVALID – unrecognised status (use the list)",IF(AsOfUTC&gt;Q665,"OVERDUE",IF(N665="Clarification required","OPEN – CLARIFICATION","OPEN"))))))),"INVALID – error value in an input cell")</f>
        <v>OPEN</v>
      </c>
      <c r="AI665" s="61" t="n">
        <f aca="false">IF(OR(AH665="N/A – RULE",AH665="N/A – JUSTIFIED"),0,1)</f>
        <v>1</v>
      </c>
      <c r="AJ665" s="61" t="n">
        <f aca="false">IF(LEFT(AH665,8)="COMPLETE",1,0)</f>
        <v>0</v>
      </c>
      <c r="AK665" s="61" t="n">
        <f aca="false">IF(AND(AI665=1,AJ665=0,AsOfUTC&gt;Q665),1,0)</f>
        <v>0</v>
      </c>
      <c r="AL665" s="61" t="n">
        <f aca="false">IFERROR(IF(AND(AI665=1,OR(TRIM(U665)="Fail",AND(TRIM(AB665)&lt;&gt;"",TRIM(AB665)&lt;&gt;"Closed"),AND(ISNUMBER(AF665),AF665&lt;&gt;0,TRIM(U665)&lt;&gt;"Pass after CA"))),1,0),1)</f>
        <v>0</v>
      </c>
      <c r="AM665" s="61" t="n">
        <f aca="false">IF(LEFT(AH665,7)="INVALID",1,0)</f>
        <v>0</v>
      </c>
      <c r="AN665" s="61" t="n">
        <f aca="false">IF(AND(N665="Clarification required",AI665=1,AJ665=0),1,0)</f>
        <v>0</v>
      </c>
      <c r="AO665" s="61" t="str">
        <f aca="false">IF(AK665=1,SUM(AK$5:AK665),"")</f>
        <v/>
      </c>
      <c r="AP665" s="61" t="str">
        <f aca="false">IF(AL665=1,SUM(AL$5:AL665),"")</f>
        <v/>
      </c>
      <c r="AQ665" s="61" t="n">
        <v>0</v>
      </c>
      <c r="AR665" s="61" t="n">
        <v>0</v>
      </c>
      <c r="AS665" s="61" t="n">
        <v>0</v>
      </c>
      <c r="AT665" s="61" t="n">
        <v>0</v>
      </c>
      <c r="AU665" s="61" t="str">
        <f aca="false">SUBSTITUTE(SUBSTITUTE(SUBSTITUTE(SUBSTITUTE(SUBSTITUTE(SUBSTITUTE(SUBSTITUTE(SUBSTITUTE(SUBSTITUTE(SUBSTITUTE(SUBSTITUTE(SUBSTITUTE(SUBSTITUTE(LOWER(T665&amp;""),CHAR(160),"")," ",""),".",""),"-",""),"/",""),"?",""),"_",""),",",""),"[",""),"]",""),"(",""),")",""),"*","")</f>
        <v/>
      </c>
      <c r="AV665" s="61" t="str">
        <f aca="false">SUBSTITUTE(SUBSTITUTE(SUBSTITUTE(SUBSTITUTE(SUBSTITUTE(SUBSTITUTE(SUBSTITUTE(SUBSTITUTE(SUBSTITUTE(SUBSTITUTE(SUBSTITUTE(SUBSTITUTE(SUBSTITUTE(LOWER(V665&amp;""),CHAR(160),"")," ",""),".",""),"-",""),"/",""),"?",""),"_",""),",",""),"[",""),"]",""),"(",""),")",""),"*","")</f>
        <v/>
      </c>
      <c r="AW665" s="61" t="str">
        <f aca="false">SUBSTITUTE(SUBSTITUTE(SUBSTITUTE(SUBSTITUTE(SUBSTITUTE(SUBSTITUTE(SUBSTITUTE(SUBSTITUTE(SUBSTITUTE(SUBSTITUTE(SUBSTITUTE(SUBSTITUTE(SUBSTITUTE(LOWER(Z665&amp;""),CHAR(160),"")," ",""),".",""),"-",""),"/",""),"?",""),"_",""),",",""),"[",""),"]",""),"(",""),")",""),"*","")</f>
        <v/>
      </c>
      <c r="AX665" s="61" t="str">
        <f aca="false">SUBSTITUTE(SUBSTITUTE(SUBSTITUTE(SUBSTITUTE(SUBSTITUTE(SUBSTITUTE(SUBSTITUTE(SUBSTITUTE(SUBSTITUTE(SUBSTITUTE(SUBSTITUTE(SUBSTITUTE(SUBSTITUTE(LOWER(AE665&amp;""),CHAR(160),"")," ",""),".",""),"-",""),"/",""),"?",""),"_",""),",",""),"[",""),"]",""),"(",""),")",""),"*","")</f>
        <v/>
      </c>
      <c r="AY665" s="61" t="str">
        <f aca="false">SUBSTITUTE(SUBSTITUTE(SUBSTITUTE(SUBSTITUTE(SUBSTITUTE(SUBSTITUTE(SUBSTITUTE(SUBSTITUTE(SUBSTITUTE(SUBSTITUTE(SUBSTITUTE(SUBSTITUTE(SUBSTITUTE(LOWER(W665&amp;""),CHAR(160),"")," ",""),".",""),"-",""),"/",""),"?",""),"_",""),",",""),"[",""),"]",""),"(",""),")",""),"*","")</f>
        <v/>
      </c>
      <c r="AZ665" s="61" t="str">
        <f aca="false">SUBSTITUTE(SUBSTITUTE(SUBSTITUTE(SUBSTITUTE(SUBSTITUTE(SUBSTITUTE(SUBSTITUTE(SUBSTITUTE(SUBSTITUTE(SUBSTITUTE(SUBSTITUTE(SUBSTITUTE(SUBSTITUTE(LOWER(AC665&amp;""),CHAR(160),"")," ",""),".",""),"-",""),"/",""),"?",""),"_",""),",",""),"[",""),"]",""),"(",""),")",""),"*","")</f>
        <v/>
      </c>
      <c r="BA665" s="61" t="str">
        <f aca="false">SUBSTITUTE(SUBSTITUTE(SUBSTITUTE(SUBSTITUTE(SUBSTITUTE(SUBSTITUTE(SUBSTITUTE(SUBSTITUTE(SUBSTITUTE(SUBSTITUTE(SUBSTITUTE(SUBSTITUTE(SUBSTITUTE(LOWER(AA665&amp;""),CHAR(160),"")," ",""),".",""),"-",""),"/",""),"?",""),"_",""),",",""),"[",""),"]",""),"(",""),")",""),"*","")</f>
        <v/>
      </c>
      <c r="BB665" s="61" t="str">
        <f aca="false">IF(AND(TRIM(U665)="Pass",ISNUMBER(AF665)),IF(AF665&lt;&gt;0,"INVALID – qty variance: use Fail or Pass after CA",""),"")&amp;IF(AND(TRIM(U665)="Pass after CA",ISNUMBER(AF665)),IF(AF665&lt;&gt;0,"INVALID – after the corrective action the actual qty must equal expected (update Actual)",""),"")&amp;IF(AND(TRIM(U665)="Pass",TRIM(AB665)&lt;&gt;"",TRIM(AB665)&lt;&gt;"Closed"),"INVALID – corrective action not closed: use Fail, then Pass after CA","")&amp;IF(AND(TRIM(AA665)&lt;&gt;"",TRIM(AB665)=""),"INVALID – CA status missing for the recorded corrective action","")&amp;IF(AND(TRIM(U665)="Pass after CA",OR(OR(LEN(BA665)&lt;5,ISNUMBER(MATCH(BA665,L_Placeholder,0))),TRIM(AB665)&lt;&gt;"Closed")),"INVALID – corrective action not recorded/closed","")</f>
        <v/>
      </c>
    </row>
    <row r="666" customFormat="false" ht="41.25" hidden="false" customHeight="true" outlineLevel="0" collapsed="false">
      <c r="A666" s="57" t="s">
        <v>1364</v>
      </c>
      <c r="B666" s="57" t="s">
        <v>307</v>
      </c>
      <c r="C666" s="57" t="str">
        <f aca="false">Flights!$F$25</f>
        <v>MH1437</v>
      </c>
      <c r="D666" s="58" t="n">
        <f aca="false">Flights!$D$25</f>
        <v>46325</v>
      </c>
      <c r="E666" s="57" t="str">
        <f aca="false">Flights!$G$25&amp;"-"&amp;Flights!$H$25</f>
        <v>LGK-KUL</v>
      </c>
      <c r="F666" s="57" t="str">
        <f aca="false">Flights!$K$25</f>
        <v>BC</v>
      </c>
      <c r="G666" s="57" t="s">
        <v>79</v>
      </c>
      <c r="H666" s="57" t="s">
        <v>356</v>
      </c>
      <c r="I666" s="57" t="s">
        <v>363</v>
      </c>
      <c r="J666" s="57" t="s">
        <v>364</v>
      </c>
      <c r="K666" s="67" t="s">
        <v>365</v>
      </c>
      <c r="L666" s="67" t="s">
        <v>360</v>
      </c>
      <c r="M666" s="67"/>
      <c r="N666" s="67" t="s">
        <v>361</v>
      </c>
      <c r="O666" s="67" t="s">
        <v>892</v>
      </c>
      <c r="P666" s="57" t="s">
        <v>184</v>
      </c>
      <c r="Q666" s="59" t="n">
        <f aca="false">ROUND((Flights!$AC$25)*1440,0)/1440</f>
        <v>46318.28125</v>
      </c>
      <c r="R666" s="59" t="n">
        <f aca="false">Q666+(IF(AND(INDEX(TZ_DSTS,MATCH(P666,TZ_STN,0))&lt;&gt;"",Q666&gt;=INDEX(TZ_DSTS,MATCH(P666,TZ_STN,0)),Q666&lt;INDEX(TZ_DSTE,MATCH(P666,TZ_STN,0))),INDEX(TZ_DST,MATCH(P666,TZ_STN,0)),INDEX(TZ_STD,MATCH(P666,TZ_STN,0))))/24</f>
        <v>46318.6145833333</v>
      </c>
      <c r="S666" s="59" t="n">
        <f aca="false">Q666-T7EarlyD*24/24</f>
        <v>46304.28125</v>
      </c>
      <c r="T666" s="60"/>
      <c r="U666" s="60"/>
      <c r="V666" s="60"/>
      <c r="W666" s="61"/>
      <c r="X666" s="60"/>
      <c r="Y666" s="60"/>
      <c r="Z666" s="60"/>
      <c r="AA666" s="60"/>
      <c r="AB666" s="60"/>
      <c r="AC666" s="60"/>
      <c r="AD666" s="66"/>
      <c r="AE666" s="60"/>
      <c r="AF666" s="61" t="str">
        <f aca="false">IF(AND(ISNUMBER(X666),ISNUMBER(Y666)),Y666-X666,"")</f>
        <v/>
      </c>
      <c r="AG666" s="62" t="str">
        <f aca="false">IF(ISNUMBER(AD666),AD666-(IF(AND(INDEX(TZ_DSTS,MATCH(P666,TZ_STN,0))&lt;&gt;"",(AD666-INDEX(TZ_STD,MATCH(P666,TZ_STN,0))/24)&gt;=INDEX(TZ_DSTS,MATCH(P666,TZ_STN,0)),(AD666-INDEX(TZ_STD,MATCH(P666,TZ_STN,0))/24)&lt;INDEX(TZ_DSTE,MATCH(P666,TZ_STN,0))),INDEX(TZ_DST,MATCH(P666,TZ_STN,0)),INDEX(TZ_STD,MATCH(P666,TZ_STN,0))))/24,"")</f>
        <v/>
      </c>
      <c r="AH666" s="65" t="str">
        <f aca="false">IFERROR(IF(N666="N/A – rule","N/A – RULE",IF(TRIM(U666)="N/A",IF(AT666=0,"INVALID – N/A not permitted for this check",IF(AND(TRIM(AB666)&lt;&gt;"",TRIM(AB666)&lt;&gt;"Closed"),"INVALID – corrective action still open",IF(AND(NOT(OR(LEN(AZ666)&lt;15,ISNUMBER(MATCH(AZ666,L_Placeholder,0)))),NOT(OR(LEN(AU666)&lt;2,ISNUMBER(MATCH(AU666,L_Placeholder,0)))),NOT(OR(LEN(AX666)&lt;2,ISNUMBER(MATCH(AX666,L_Placeholder,0)))),TRIM(AE666)&lt;&gt;TRIM(T666)),"N/A – JUSTIFIED","INVALID – N/A needs a real justification (15+ chars), PIC and a different verifier"))),IF(OR(TRIM(U666)="Pass",TRIM(U666)="Pass after CA"),IF(NOT(ISNUMBER(AD666)),"INVALID – completion time missing",IF(OR(LEN(AU666)&lt;2,ISNUMBER(MATCH(AU666,L_Placeholder,0))),"INVALID – PIC missing",IF(OR(LEN(AV666)&lt;2,ISNUMBER(MATCH(AV666,L_Placeholder,0))),"INVALID – result / assessment missing",IF(OR(OR(LEN(AW666)&lt;3,ISNUMBER(MATCH(AW666,L_Placeholder,0))),SUMPRODUCT(--ISNUMBER(SEARCH(L_EvidencePhrase,AW666)))&gt;0),"INVALID – evidence missing, placeholder or not yet on file",IF(OR(LEN(AX666)&lt;2,ISNUMBER(MATCH(AX666,L_Placeholder,0))),"INVALID – verifier missing",IF(AX666=AU666,"INVALID – verifier must be someone other than the PIC",IF(AND(TRIM(U666)="Pass",SUMPRODUCT(--ISNUMBER(SEARCH(L_ResultBad,AV666)))&gt;0),"INVALID – result describes a problem: use Fail, then Pass after CA",IF(AND(AQ666=1,OR(LEN(AY666)&lt;3,ISNUMBER(MATCH(AY666,L_Placeholder,0)))),"INVALID – batch ID missing or placeholder",IF(AND(AR666=1,OR(NOT(ISNUMBER(X666)),NOT(ISNUMBER(Y666)))),"INVALID – expected/actual qty missing",IF(AND(AR666=1,OR(X666&lt;=0,Y666&lt;0)),"INVALID – expected qty must be above 0 and actual not negative",IF(BB666&lt;&gt;"",BB666,IF(AND(AS666=1,Documents!$J$25&lt;&gt;"ON FILE"),"INVALID – GLD not on file (Documents sheet)",IF(AND(AS666=2,Documents!$O$25&lt;&gt;"ON FILE"),"INVALID – menu checklist not on file (Documents sheet)",IF(AND(AS666=3,NOT(ISNUMBER(Flights!$AX$25))),"INVALID – enter carrying flight KUL departure (Flights AX)",IF(AND(AS666=3,OR(Flights!$AZ$25&gt;Flights!$AA$25,Flights!$AX$25&lt;Flights!$AA$25-3)),"INVALID – carrying flight (Flights AX) cannot arrive before this leg's STD, or is over 3 days early",IF(AG666&gt;AsOfUTC,"INVALID – completion time is in the future",IF(AND(ISNUMBER(S666),AG666&lt;S666),IF(H666="Physical uplift","INVALID – before uplift window (cannot confirm loading)","INVALID – before valid window"),IF(AG666&gt;Flights!$AA$25,"INVALID – completed after departure (cannot establish readiness)",IF(AND(H666="Preparation",AG666&gt;IF(ISNUMBER(Flights!$BA$25),MIN(Flights!$BA$25,Flights!$AA$25),Flights!$AA$25)),"INVALID – completed after loading / departure (cannot establish readiness)",IF(AND(H666="Physical uplift",AG666&gt;Q666),"INVALID – recorded after the loading flight departed",IF(AG666&gt;Q666,"COMPLETE – LATE","COMPLETE"))))))))))))))))))))),IF(TRIM(U666)="Fail","FAIL – DISCREPANCY",IF(AND(TRIM(U666)&lt;&gt;"",TRIM(U666)&lt;&gt;"Not started",TRIM(U666)&lt;&gt;"In progress"),"INVALID – unrecognised status (use the list)",IF(AsOfUTC&gt;Q666,"OVERDUE",IF(N666="Clarification required","OPEN – CLARIFICATION","OPEN"))))))),"INVALID – error value in an input cell")</f>
        <v>OPEN</v>
      </c>
      <c r="AI666" s="61" t="n">
        <f aca="false">IF(OR(AH666="N/A – RULE",AH666="N/A – JUSTIFIED"),0,1)</f>
        <v>1</v>
      </c>
      <c r="AJ666" s="61" t="n">
        <f aca="false">IF(LEFT(AH666,8)="COMPLETE",1,0)</f>
        <v>0</v>
      </c>
      <c r="AK666" s="61" t="n">
        <f aca="false">IF(AND(AI666=1,AJ666=0,AsOfUTC&gt;Q666),1,0)</f>
        <v>0</v>
      </c>
      <c r="AL666" s="61" t="n">
        <f aca="false">IFERROR(IF(AND(AI666=1,OR(TRIM(U666)="Fail",AND(TRIM(AB666)&lt;&gt;"",TRIM(AB666)&lt;&gt;"Closed"),AND(ISNUMBER(AF666),AF666&lt;&gt;0,TRIM(U666)&lt;&gt;"Pass after CA"))),1,0),1)</f>
        <v>0</v>
      </c>
      <c r="AM666" s="61" t="n">
        <f aca="false">IF(LEFT(AH666,7)="INVALID",1,0)</f>
        <v>0</v>
      </c>
      <c r="AN666" s="61" t="n">
        <f aca="false">IF(AND(N666="Clarification required",AI666=1,AJ666=0),1,0)</f>
        <v>0</v>
      </c>
      <c r="AO666" s="61" t="str">
        <f aca="false">IF(AK666=1,SUM(AK$5:AK666),"")</f>
        <v/>
      </c>
      <c r="AP666" s="61" t="str">
        <f aca="false">IF(AL666=1,SUM(AL$5:AL666),"")</f>
        <v/>
      </c>
      <c r="AQ666" s="61" t="n">
        <v>0</v>
      </c>
      <c r="AR666" s="61" t="n">
        <v>0</v>
      </c>
      <c r="AS666" s="61" t="n">
        <v>0</v>
      </c>
      <c r="AT666" s="61" t="n">
        <v>1</v>
      </c>
      <c r="AU666" s="61" t="str">
        <f aca="false">SUBSTITUTE(SUBSTITUTE(SUBSTITUTE(SUBSTITUTE(SUBSTITUTE(SUBSTITUTE(SUBSTITUTE(SUBSTITUTE(SUBSTITUTE(SUBSTITUTE(SUBSTITUTE(SUBSTITUTE(SUBSTITUTE(LOWER(T666&amp;""),CHAR(160),"")," ",""),".",""),"-",""),"/",""),"?",""),"_",""),",",""),"[",""),"]",""),"(",""),")",""),"*","")</f>
        <v/>
      </c>
      <c r="AV666" s="61" t="str">
        <f aca="false">SUBSTITUTE(SUBSTITUTE(SUBSTITUTE(SUBSTITUTE(SUBSTITUTE(SUBSTITUTE(SUBSTITUTE(SUBSTITUTE(SUBSTITUTE(SUBSTITUTE(SUBSTITUTE(SUBSTITUTE(SUBSTITUTE(LOWER(V666&amp;""),CHAR(160),"")," ",""),".",""),"-",""),"/",""),"?",""),"_",""),",",""),"[",""),"]",""),"(",""),")",""),"*","")</f>
        <v/>
      </c>
      <c r="AW666" s="61" t="str">
        <f aca="false">SUBSTITUTE(SUBSTITUTE(SUBSTITUTE(SUBSTITUTE(SUBSTITUTE(SUBSTITUTE(SUBSTITUTE(SUBSTITUTE(SUBSTITUTE(SUBSTITUTE(SUBSTITUTE(SUBSTITUTE(SUBSTITUTE(LOWER(Z666&amp;""),CHAR(160),"")," ",""),".",""),"-",""),"/",""),"?",""),"_",""),",",""),"[",""),"]",""),"(",""),")",""),"*","")</f>
        <v/>
      </c>
      <c r="AX666" s="61" t="str">
        <f aca="false">SUBSTITUTE(SUBSTITUTE(SUBSTITUTE(SUBSTITUTE(SUBSTITUTE(SUBSTITUTE(SUBSTITUTE(SUBSTITUTE(SUBSTITUTE(SUBSTITUTE(SUBSTITUTE(SUBSTITUTE(SUBSTITUTE(LOWER(AE666&amp;""),CHAR(160),"")," ",""),".",""),"-",""),"/",""),"?",""),"_",""),",",""),"[",""),"]",""),"(",""),")",""),"*","")</f>
        <v/>
      </c>
      <c r="AY666" s="61" t="str">
        <f aca="false">SUBSTITUTE(SUBSTITUTE(SUBSTITUTE(SUBSTITUTE(SUBSTITUTE(SUBSTITUTE(SUBSTITUTE(SUBSTITUTE(SUBSTITUTE(SUBSTITUTE(SUBSTITUTE(SUBSTITUTE(SUBSTITUTE(LOWER(W666&amp;""),CHAR(160),"")," ",""),".",""),"-",""),"/",""),"?",""),"_",""),",",""),"[",""),"]",""),"(",""),")",""),"*","")</f>
        <v/>
      </c>
      <c r="AZ666" s="61" t="str">
        <f aca="false">SUBSTITUTE(SUBSTITUTE(SUBSTITUTE(SUBSTITUTE(SUBSTITUTE(SUBSTITUTE(SUBSTITUTE(SUBSTITUTE(SUBSTITUTE(SUBSTITUTE(SUBSTITUTE(SUBSTITUTE(SUBSTITUTE(LOWER(AC666&amp;""),CHAR(160),"")," ",""),".",""),"-",""),"/",""),"?",""),"_",""),",",""),"[",""),"]",""),"(",""),")",""),"*","")</f>
        <v/>
      </c>
      <c r="BA666" s="61" t="str">
        <f aca="false">SUBSTITUTE(SUBSTITUTE(SUBSTITUTE(SUBSTITUTE(SUBSTITUTE(SUBSTITUTE(SUBSTITUTE(SUBSTITUTE(SUBSTITUTE(SUBSTITUTE(SUBSTITUTE(SUBSTITUTE(SUBSTITUTE(LOWER(AA666&amp;""),CHAR(160),"")," ",""),".",""),"-",""),"/",""),"?",""),"_",""),",",""),"[",""),"]",""),"(",""),")",""),"*","")</f>
        <v/>
      </c>
      <c r="BB666" s="61" t="str">
        <f aca="false">IF(AND(TRIM(U666)="Pass",ISNUMBER(AF666)),IF(AF666&lt;&gt;0,"INVALID – qty variance: use Fail or Pass after CA",""),"")&amp;IF(AND(TRIM(U666)="Pass after CA",ISNUMBER(AF666)),IF(AF666&lt;&gt;0,"INVALID – after the corrective action the actual qty must equal expected (update Actual)",""),"")&amp;IF(AND(TRIM(U666)="Pass",TRIM(AB666)&lt;&gt;"",TRIM(AB666)&lt;&gt;"Closed"),"INVALID – corrective action not closed: use Fail, then Pass after CA","")&amp;IF(AND(TRIM(AA666)&lt;&gt;"",TRIM(AB666)=""),"INVALID – CA status missing for the recorded corrective action","")&amp;IF(AND(TRIM(U666)="Pass after CA",OR(OR(LEN(BA666)&lt;5,ISNUMBER(MATCH(BA666,L_Placeholder,0))),TRIM(AB666)&lt;&gt;"Closed")),"INVALID – corrective action not recorded/closed","")</f>
        <v/>
      </c>
    </row>
    <row r="667" customFormat="false" ht="41.25" hidden="false" customHeight="true" outlineLevel="0" collapsed="false">
      <c r="A667" s="57" t="s">
        <v>1365</v>
      </c>
      <c r="B667" s="57" t="s">
        <v>307</v>
      </c>
      <c r="C667" s="57" t="str">
        <f aca="false">Flights!$F$25</f>
        <v>MH1437</v>
      </c>
      <c r="D667" s="58" t="n">
        <f aca="false">Flights!$D$25</f>
        <v>46325</v>
      </c>
      <c r="E667" s="57" t="str">
        <f aca="false">Flights!$G$25&amp;"-"&amp;Flights!$H$25</f>
        <v>LGK-KUL</v>
      </c>
      <c r="F667" s="57" t="str">
        <f aca="false">Flights!$K$25</f>
        <v>BC</v>
      </c>
      <c r="G667" s="57" t="s">
        <v>79</v>
      </c>
      <c r="H667" s="57" t="s">
        <v>356</v>
      </c>
      <c r="I667" s="57" t="s">
        <v>367</v>
      </c>
      <c r="J667" s="57" t="s">
        <v>368</v>
      </c>
      <c r="K667" s="67" t="s">
        <v>369</v>
      </c>
      <c r="L667" s="67" t="s">
        <v>360</v>
      </c>
      <c r="M667" s="67"/>
      <c r="N667" s="67" t="str">
        <f aca="false">IF(TRIM(Flights!$L$25)="A339","Required","N/A – rule")</f>
        <v>N/A – rule</v>
      </c>
      <c r="O667" s="67" t="s">
        <v>370</v>
      </c>
      <c r="P667" s="57" t="s">
        <v>184</v>
      </c>
      <c r="Q667" s="59" t="n">
        <f aca="false">ROUND((Flights!$AC$25)*1440,0)/1440</f>
        <v>46318.28125</v>
      </c>
      <c r="R667" s="59" t="n">
        <f aca="false">Q667+(IF(AND(INDEX(TZ_DSTS,MATCH(P667,TZ_STN,0))&lt;&gt;"",Q667&gt;=INDEX(TZ_DSTS,MATCH(P667,TZ_STN,0)),Q667&lt;INDEX(TZ_DSTE,MATCH(P667,TZ_STN,0))),INDEX(TZ_DST,MATCH(P667,TZ_STN,0)),INDEX(TZ_STD,MATCH(P667,TZ_STN,0))))/24</f>
        <v>46318.6145833333</v>
      </c>
      <c r="S667" s="59" t="n">
        <f aca="false">Q667-T7EarlyD*24/24</f>
        <v>46304.28125</v>
      </c>
      <c r="T667" s="60"/>
      <c r="U667" s="60"/>
      <c r="V667" s="60"/>
      <c r="W667" s="61"/>
      <c r="X667" s="60"/>
      <c r="Y667" s="60"/>
      <c r="Z667" s="60"/>
      <c r="AA667" s="60"/>
      <c r="AB667" s="60"/>
      <c r="AC667" s="60"/>
      <c r="AD667" s="66"/>
      <c r="AE667" s="60"/>
      <c r="AF667" s="61" t="str">
        <f aca="false">IF(AND(ISNUMBER(X667),ISNUMBER(Y667)),Y667-X667,"")</f>
        <v/>
      </c>
      <c r="AG667" s="62" t="str">
        <f aca="false">IF(ISNUMBER(AD667),AD667-(IF(AND(INDEX(TZ_DSTS,MATCH(P667,TZ_STN,0))&lt;&gt;"",(AD667-INDEX(TZ_STD,MATCH(P667,TZ_STN,0))/24)&gt;=INDEX(TZ_DSTS,MATCH(P667,TZ_STN,0)),(AD667-INDEX(TZ_STD,MATCH(P667,TZ_STN,0))/24)&lt;INDEX(TZ_DSTE,MATCH(P667,TZ_STN,0))),INDEX(TZ_DST,MATCH(P667,TZ_STN,0)),INDEX(TZ_STD,MATCH(P667,TZ_STN,0))))/24,"")</f>
        <v/>
      </c>
      <c r="AH667" s="65" t="str">
        <f aca="false">IFERROR(IF(N667="N/A – rule","N/A – RULE",IF(TRIM(U667)="N/A",IF(AT667=0,"INVALID – N/A not permitted for this check",IF(AND(TRIM(AB667)&lt;&gt;"",TRIM(AB667)&lt;&gt;"Closed"),"INVALID – corrective action still open",IF(AND(NOT(OR(LEN(AZ667)&lt;15,ISNUMBER(MATCH(AZ667,L_Placeholder,0)))),NOT(OR(LEN(AU667)&lt;2,ISNUMBER(MATCH(AU667,L_Placeholder,0)))),NOT(OR(LEN(AX667)&lt;2,ISNUMBER(MATCH(AX667,L_Placeholder,0)))),TRIM(AE667)&lt;&gt;TRIM(T667)),"N/A – JUSTIFIED","INVALID – N/A needs a real justification (15+ chars), PIC and a different verifier"))),IF(OR(TRIM(U667)="Pass",TRIM(U667)="Pass after CA"),IF(NOT(ISNUMBER(AD667)),"INVALID – completion time missing",IF(OR(LEN(AU667)&lt;2,ISNUMBER(MATCH(AU667,L_Placeholder,0))),"INVALID – PIC missing",IF(OR(LEN(AV667)&lt;2,ISNUMBER(MATCH(AV667,L_Placeholder,0))),"INVALID – result / assessment missing",IF(OR(OR(LEN(AW667)&lt;3,ISNUMBER(MATCH(AW667,L_Placeholder,0))),SUMPRODUCT(--ISNUMBER(SEARCH(L_EvidencePhrase,AW667)))&gt;0),"INVALID – evidence missing, placeholder or not yet on file",IF(OR(LEN(AX667)&lt;2,ISNUMBER(MATCH(AX667,L_Placeholder,0))),"INVALID – verifier missing",IF(AX667=AU667,"INVALID – verifier must be someone other than the PIC",IF(AND(TRIM(U667)="Pass",SUMPRODUCT(--ISNUMBER(SEARCH(L_ResultBad,AV667)))&gt;0),"INVALID – result describes a problem: use Fail, then Pass after CA",IF(AND(AQ667=1,OR(LEN(AY667)&lt;3,ISNUMBER(MATCH(AY667,L_Placeholder,0)))),"INVALID – batch ID missing or placeholder",IF(AND(AR667=1,OR(NOT(ISNUMBER(X667)),NOT(ISNUMBER(Y667)))),"INVALID – expected/actual qty missing",IF(AND(AR667=1,OR(X667&lt;=0,Y667&lt;0)),"INVALID – expected qty must be above 0 and actual not negative",IF(BB667&lt;&gt;"",BB667,IF(AND(AS667=1,Documents!$J$25&lt;&gt;"ON FILE"),"INVALID – GLD not on file (Documents sheet)",IF(AND(AS667=2,Documents!$O$25&lt;&gt;"ON FILE"),"INVALID – menu checklist not on file (Documents sheet)",IF(AND(AS667=3,NOT(ISNUMBER(Flights!$AX$25))),"INVALID – enter carrying flight KUL departure (Flights AX)",IF(AND(AS667=3,OR(Flights!$AZ$25&gt;Flights!$AA$25,Flights!$AX$25&lt;Flights!$AA$25-3)),"INVALID – carrying flight (Flights AX) cannot arrive before this leg's STD, or is over 3 days early",IF(AG667&gt;AsOfUTC,"INVALID – completion time is in the future",IF(AND(ISNUMBER(S667),AG667&lt;S667),IF(H667="Physical uplift","INVALID – before uplift window (cannot confirm loading)","INVALID – before valid window"),IF(AG667&gt;Flights!$AA$25,"INVALID – completed after departure (cannot establish readiness)",IF(AND(H667="Preparation",AG667&gt;IF(ISNUMBER(Flights!$BA$25),MIN(Flights!$BA$25,Flights!$AA$25),Flights!$AA$25)),"INVALID – completed after loading / departure (cannot establish readiness)",IF(AND(H667="Physical uplift",AG667&gt;Q667),"INVALID – recorded after the loading flight departed",IF(AG667&gt;Q667,"COMPLETE – LATE","COMPLETE"))))))))))))))))))))),IF(TRIM(U667)="Fail","FAIL – DISCREPANCY",IF(AND(TRIM(U667)&lt;&gt;"",TRIM(U667)&lt;&gt;"Not started",TRIM(U667)&lt;&gt;"In progress"),"INVALID – unrecognised status (use the list)",IF(AsOfUTC&gt;Q667,"OVERDUE",IF(N667="Clarification required","OPEN – CLARIFICATION","OPEN"))))))),"INVALID – error value in an input cell")</f>
        <v>N/A – RULE</v>
      </c>
      <c r="AI667" s="61" t="n">
        <f aca="false">IF(OR(AH667="N/A – RULE",AH667="N/A – JUSTIFIED"),0,1)</f>
        <v>0</v>
      </c>
      <c r="AJ667" s="61" t="n">
        <f aca="false">IF(LEFT(AH667,8)="COMPLETE",1,0)</f>
        <v>0</v>
      </c>
      <c r="AK667" s="61" t="n">
        <f aca="false">IF(AND(AI667=1,AJ667=0,AsOfUTC&gt;Q667),1,0)</f>
        <v>0</v>
      </c>
      <c r="AL667" s="61" t="n">
        <f aca="false">IFERROR(IF(AND(AI667=1,OR(TRIM(U667)="Fail",AND(TRIM(AB667)&lt;&gt;"",TRIM(AB667)&lt;&gt;"Closed"),AND(ISNUMBER(AF667),AF667&lt;&gt;0,TRIM(U667)&lt;&gt;"Pass after CA"))),1,0),1)</f>
        <v>0</v>
      </c>
      <c r="AM667" s="61" t="n">
        <f aca="false">IF(LEFT(AH667,7)="INVALID",1,0)</f>
        <v>0</v>
      </c>
      <c r="AN667" s="61" t="n">
        <f aca="false">IF(AND(N667="Clarification required",AI667=1,AJ667=0),1,0)</f>
        <v>0</v>
      </c>
      <c r="AO667" s="61" t="str">
        <f aca="false">IF(AK667=1,SUM(AK$5:AK667),"")</f>
        <v/>
      </c>
      <c r="AP667" s="61" t="str">
        <f aca="false">IF(AL667=1,SUM(AL$5:AL667),"")</f>
        <v/>
      </c>
      <c r="AQ667" s="61" t="n">
        <v>0</v>
      </c>
      <c r="AR667" s="61" t="n">
        <v>0</v>
      </c>
      <c r="AS667" s="61" t="n">
        <v>0</v>
      </c>
      <c r="AT667" s="61" t="n">
        <v>0</v>
      </c>
      <c r="AU667" s="61" t="str">
        <f aca="false">SUBSTITUTE(SUBSTITUTE(SUBSTITUTE(SUBSTITUTE(SUBSTITUTE(SUBSTITUTE(SUBSTITUTE(SUBSTITUTE(SUBSTITUTE(SUBSTITUTE(SUBSTITUTE(SUBSTITUTE(SUBSTITUTE(LOWER(T667&amp;""),CHAR(160),"")," ",""),".",""),"-",""),"/",""),"?",""),"_",""),",",""),"[",""),"]",""),"(",""),")",""),"*","")</f>
        <v/>
      </c>
      <c r="AV667" s="61" t="str">
        <f aca="false">SUBSTITUTE(SUBSTITUTE(SUBSTITUTE(SUBSTITUTE(SUBSTITUTE(SUBSTITUTE(SUBSTITUTE(SUBSTITUTE(SUBSTITUTE(SUBSTITUTE(SUBSTITUTE(SUBSTITUTE(SUBSTITUTE(LOWER(V667&amp;""),CHAR(160),"")," ",""),".",""),"-",""),"/",""),"?",""),"_",""),",",""),"[",""),"]",""),"(",""),")",""),"*","")</f>
        <v/>
      </c>
      <c r="AW667" s="61" t="str">
        <f aca="false">SUBSTITUTE(SUBSTITUTE(SUBSTITUTE(SUBSTITUTE(SUBSTITUTE(SUBSTITUTE(SUBSTITUTE(SUBSTITUTE(SUBSTITUTE(SUBSTITUTE(SUBSTITUTE(SUBSTITUTE(SUBSTITUTE(LOWER(Z667&amp;""),CHAR(160),"")," ",""),".",""),"-",""),"/",""),"?",""),"_",""),",",""),"[",""),"]",""),"(",""),")",""),"*","")</f>
        <v/>
      </c>
      <c r="AX667" s="61" t="str">
        <f aca="false">SUBSTITUTE(SUBSTITUTE(SUBSTITUTE(SUBSTITUTE(SUBSTITUTE(SUBSTITUTE(SUBSTITUTE(SUBSTITUTE(SUBSTITUTE(SUBSTITUTE(SUBSTITUTE(SUBSTITUTE(SUBSTITUTE(LOWER(AE667&amp;""),CHAR(160),"")," ",""),".",""),"-",""),"/",""),"?",""),"_",""),",",""),"[",""),"]",""),"(",""),")",""),"*","")</f>
        <v/>
      </c>
      <c r="AY667" s="61" t="str">
        <f aca="false">SUBSTITUTE(SUBSTITUTE(SUBSTITUTE(SUBSTITUTE(SUBSTITUTE(SUBSTITUTE(SUBSTITUTE(SUBSTITUTE(SUBSTITUTE(SUBSTITUTE(SUBSTITUTE(SUBSTITUTE(SUBSTITUTE(LOWER(W667&amp;""),CHAR(160),"")," ",""),".",""),"-",""),"/",""),"?",""),"_",""),",",""),"[",""),"]",""),"(",""),")",""),"*","")</f>
        <v/>
      </c>
      <c r="AZ667" s="61" t="str">
        <f aca="false">SUBSTITUTE(SUBSTITUTE(SUBSTITUTE(SUBSTITUTE(SUBSTITUTE(SUBSTITUTE(SUBSTITUTE(SUBSTITUTE(SUBSTITUTE(SUBSTITUTE(SUBSTITUTE(SUBSTITUTE(SUBSTITUTE(LOWER(AC667&amp;""),CHAR(160),"")," ",""),".",""),"-",""),"/",""),"?",""),"_",""),",",""),"[",""),"]",""),"(",""),")",""),"*","")</f>
        <v/>
      </c>
      <c r="BA667" s="61" t="str">
        <f aca="false">SUBSTITUTE(SUBSTITUTE(SUBSTITUTE(SUBSTITUTE(SUBSTITUTE(SUBSTITUTE(SUBSTITUTE(SUBSTITUTE(SUBSTITUTE(SUBSTITUTE(SUBSTITUTE(SUBSTITUTE(SUBSTITUTE(LOWER(AA667&amp;""),CHAR(160),"")," ",""),".",""),"-",""),"/",""),"?",""),"_",""),",",""),"[",""),"]",""),"(",""),")",""),"*","")</f>
        <v/>
      </c>
      <c r="BB667" s="61" t="str">
        <f aca="false">IF(AND(TRIM(U667)="Pass",ISNUMBER(AF667)),IF(AF667&lt;&gt;0,"INVALID – qty variance: use Fail or Pass after CA",""),"")&amp;IF(AND(TRIM(U667)="Pass after CA",ISNUMBER(AF667)),IF(AF667&lt;&gt;0,"INVALID – after the corrective action the actual qty must equal expected (update Actual)",""),"")&amp;IF(AND(TRIM(U667)="Pass",TRIM(AB667)&lt;&gt;"",TRIM(AB667)&lt;&gt;"Closed"),"INVALID – corrective action not closed: use Fail, then Pass after CA","")&amp;IF(AND(TRIM(AA667)&lt;&gt;"",TRIM(AB667)=""),"INVALID – CA status missing for the recorded corrective action","")&amp;IF(AND(TRIM(U667)="Pass after CA",OR(OR(LEN(BA667)&lt;5,ISNUMBER(MATCH(BA667,L_Placeholder,0))),TRIM(AB667)&lt;&gt;"Closed")),"INVALID – corrective action not recorded/closed","")</f>
        <v/>
      </c>
    </row>
    <row r="668" customFormat="false" ht="39.75" hidden="false" customHeight="true" outlineLevel="0" collapsed="false">
      <c r="A668" s="57" t="s">
        <v>1366</v>
      </c>
      <c r="B668" s="57" t="s">
        <v>307</v>
      </c>
      <c r="C668" s="57" t="str">
        <f aca="false">Flights!$F$25</f>
        <v>MH1437</v>
      </c>
      <c r="D668" s="58" t="n">
        <f aca="false">Flights!$D$25</f>
        <v>46325</v>
      </c>
      <c r="E668" s="57" t="str">
        <f aca="false">Flights!$G$25&amp;"-"&amp;Flights!$H$25</f>
        <v>LGK-KUL</v>
      </c>
      <c r="F668" s="57" t="str">
        <f aca="false">Flights!$K$25</f>
        <v>BC</v>
      </c>
      <c r="G668" s="57" t="s">
        <v>79</v>
      </c>
      <c r="H668" s="57" t="s">
        <v>356</v>
      </c>
      <c r="I668" s="57" t="s">
        <v>372</v>
      </c>
      <c r="J668" s="57" t="s">
        <v>373</v>
      </c>
      <c r="K668" s="67" t="s">
        <v>374</v>
      </c>
      <c r="L668" s="67" t="s">
        <v>360</v>
      </c>
      <c r="M668" s="67"/>
      <c r="N668" s="67" t="s">
        <v>361</v>
      </c>
      <c r="O668" s="67"/>
      <c r="P668" s="57" t="s">
        <v>184</v>
      </c>
      <c r="Q668" s="59" t="n">
        <f aca="false">ROUND((Flights!$AC$25)*1440,0)/1440</f>
        <v>46318.28125</v>
      </c>
      <c r="R668" s="59" t="n">
        <f aca="false">Q668+(IF(AND(INDEX(TZ_DSTS,MATCH(P668,TZ_STN,0))&lt;&gt;"",Q668&gt;=INDEX(TZ_DSTS,MATCH(P668,TZ_STN,0)),Q668&lt;INDEX(TZ_DSTE,MATCH(P668,TZ_STN,0))),INDEX(TZ_DST,MATCH(P668,TZ_STN,0)),INDEX(TZ_STD,MATCH(P668,TZ_STN,0))))/24</f>
        <v>46318.6145833333</v>
      </c>
      <c r="S668" s="59" t="n">
        <f aca="false">Q668-T7EarlyD*24/24</f>
        <v>46304.28125</v>
      </c>
      <c r="T668" s="60"/>
      <c r="U668" s="60"/>
      <c r="V668" s="60"/>
      <c r="W668" s="61"/>
      <c r="X668" s="60"/>
      <c r="Y668" s="60"/>
      <c r="Z668" s="60"/>
      <c r="AA668" s="60"/>
      <c r="AB668" s="60"/>
      <c r="AC668" s="60"/>
      <c r="AD668" s="66"/>
      <c r="AE668" s="60"/>
      <c r="AF668" s="61" t="str">
        <f aca="false">IF(AND(ISNUMBER(X668),ISNUMBER(Y668)),Y668-X668,"")</f>
        <v/>
      </c>
      <c r="AG668" s="62" t="str">
        <f aca="false">IF(ISNUMBER(AD668),AD668-(IF(AND(INDEX(TZ_DSTS,MATCH(P668,TZ_STN,0))&lt;&gt;"",(AD668-INDEX(TZ_STD,MATCH(P668,TZ_STN,0))/24)&gt;=INDEX(TZ_DSTS,MATCH(P668,TZ_STN,0)),(AD668-INDEX(TZ_STD,MATCH(P668,TZ_STN,0))/24)&lt;INDEX(TZ_DSTE,MATCH(P668,TZ_STN,0))),INDEX(TZ_DST,MATCH(P668,TZ_STN,0)),INDEX(TZ_STD,MATCH(P668,TZ_STN,0))))/24,"")</f>
        <v/>
      </c>
      <c r="AH668" s="65" t="str">
        <f aca="false">IFERROR(IF(N668="N/A – rule","N/A – RULE",IF(TRIM(U668)="N/A",IF(AT668=0,"INVALID – N/A not permitted for this check",IF(AND(TRIM(AB668)&lt;&gt;"",TRIM(AB668)&lt;&gt;"Closed"),"INVALID – corrective action still open",IF(AND(NOT(OR(LEN(AZ668)&lt;15,ISNUMBER(MATCH(AZ668,L_Placeholder,0)))),NOT(OR(LEN(AU668)&lt;2,ISNUMBER(MATCH(AU668,L_Placeholder,0)))),NOT(OR(LEN(AX668)&lt;2,ISNUMBER(MATCH(AX668,L_Placeholder,0)))),TRIM(AE668)&lt;&gt;TRIM(T668)),"N/A – JUSTIFIED","INVALID – N/A needs a real justification (15+ chars), PIC and a different verifier"))),IF(OR(TRIM(U668)="Pass",TRIM(U668)="Pass after CA"),IF(NOT(ISNUMBER(AD668)),"INVALID – completion time missing",IF(OR(LEN(AU668)&lt;2,ISNUMBER(MATCH(AU668,L_Placeholder,0))),"INVALID – PIC missing",IF(OR(LEN(AV668)&lt;2,ISNUMBER(MATCH(AV668,L_Placeholder,0))),"INVALID – result / assessment missing",IF(OR(OR(LEN(AW668)&lt;3,ISNUMBER(MATCH(AW668,L_Placeholder,0))),SUMPRODUCT(--ISNUMBER(SEARCH(L_EvidencePhrase,AW668)))&gt;0),"INVALID – evidence missing, placeholder or not yet on file",IF(OR(LEN(AX668)&lt;2,ISNUMBER(MATCH(AX668,L_Placeholder,0))),"INVALID – verifier missing",IF(AX668=AU668,"INVALID – verifier must be someone other than the PIC",IF(AND(TRIM(U668)="Pass",SUMPRODUCT(--ISNUMBER(SEARCH(L_ResultBad,AV668)))&gt;0),"INVALID – result describes a problem: use Fail, then Pass after CA",IF(AND(AQ668=1,OR(LEN(AY668)&lt;3,ISNUMBER(MATCH(AY668,L_Placeholder,0)))),"INVALID – batch ID missing or placeholder",IF(AND(AR668=1,OR(NOT(ISNUMBER(X668)),NOT(ISNUMBER(Y668)))),"INVALID – expected/actual qty missing",IF(AND(AR668=1,OR(X668&lt;=0,Y668&lt;0)),"INVALID – expected qty must be above 0 and actual not negative",IF(BB668&lt;&gt;"",BB668,IF(AND(AS668=1,Documents!$J$25&lt;&gt;"ON FILE"),"INVALID – GLD not on file (Documents sheet)",IF(AND(AS668=2,Documents!$O$25&lt;&gt;"ON FILE"),"INVALID – menu checklist not on file (Documents sheet)",IF(AND(AS668=3,NOT(ISNUMBER(Flights!$AX$25))),"INVALID – enter carrying flight KUL departure (Flights AX)",IF(AND(AS668=3,OR(Flights!$AZ$25&gt;Flights!$AA$25,Flights!$AX$25&lt;Flights!$AA$25-3)),"INVALID – carrying flight (Flights AX) cannot arrive before this leg's STD, or is over 3 days early",IF(AG668&gt;AsOfUTC,"INVALID – completion time is in the future",IF(AND(ISNUMBER(S668),AG668&lt;S668),IF(H668="Physical uplift","INVALID – before uplift window (cannot confirm loading)","INVALID – before valid window"),IF(AG668&gt;Flights!$AA$25,"INVALID – completed after departure (cannot establish readiness)",IF(AND(H668="Preparation",AG668&gt;IF(ISNUMBER(Flights!$BA$25),MIN(Flights!$BA$25,Flights!$AA$25),Flights!$AA$25)),"INVALID – completed after loading / departure (cannot establish readiness)",IF(AND(H668="Physical uplift",AG668&gt;Q668),"INVALID – recorded after the loading flight departed",IF(AG668&gt;Q668,"COMPLETE – LATE","COMPLETE"))))))))))))))))))))),IF(TRIM(U668)="Fail","FAIL – DISCREPANCY",IF(AND(TRIM(U668)&lt;&gt;"",TRIM(U668)&lt;&gt;"Not started",TRIM(U668)&lt;&gt;"In progress"),"INVALID – unrecognised status (use the list)",IF(AsOfUTC&gt;Q668,"OVERDUE",IF(N668="Clarification required","OPEN – CLARIFICATION","OPEN"))))))),"INVALID – error value in an input cell")</f>
        <v>OPEN</v>
      </c>
      <c r="AI668" s="61" t="n">
        <f aca="false">IF(OR(AH668="N/A – RULE",AH668="N/A – JUSTIFIED"),0,1)</f>
        <v>1</v>
      </c>
      <c r="AJ668" s="61" t="n">
        <f aca="false">IF(LEFT(AH668,8)="COMPLETE",1,0)</f>
        <v>0</v>
      </c>
      <c r="AK668" s="61" t="n">
        <f aca="false">IF(AND(AI668=1,AJ668=0,AsOfUTC&gt;Q668),1,0)</f>
        <v>0</v>
      </c>
      <c r="AL668" s="61" t="n">
        <f aca="false">IFERROR(IF(AND(AI668=1,OR(TRIM(U668)="Fail",AND(TRIM(AB668)&lt;&gt;"",TRIM(AB668)&lt;&gt;"Closed"),AND(ISNUMBER(AF668),AF668&lt;&gt;0,TRIM(U668)&lt;&gt;"Pass after CA"))),1,0),1)</f>
        <v>0</v>
      </c>
      <c r="AM668" s="61" t="n">
        <f aca="false">IF(LEFT(AH668,7)="INVALID",1,0)</f>
        <v>0</v>
      </c>
      <c r="AN668" s="61" t="n">
        <f aca="false">IF(AND(N668="Clarification required",AI668=1,AJ668=0),1,0)</f>
        <v>0</v>
      </c>
      <c r="AO668" s="61" t="str">
        <f aca="false">IF(AK668=1,SUM(AK$5:AK668),"")</f>
        <v/>
      </c>
      <c r="AP668" s="61" t="str">
        <f aca="false">IF(AL668=1,SUM(AL$5:AL668),"")</f>
        <v/>
      </c>
      <c r="AQ668" s="61" t="n">
        <v>0</v>
      </c>
      <c r="AR668" s="61" t="n">
        <v>0</v>
      </c>
      <c r="AS668" s="61" t="n">
        <v>0</v>
      </c>
      <c r="AT668" s="61" t="n">
        <v>0</v>
      </c>
      <c r="AU668" s="61" t="str">
        <f aca="false">SUBSTITUTE(SUBSTITUTE(SUBSTITUTE(SUBSTITUTE(SUBSTITUTE(SUBSTITUTE(SUBSTITUTE(SUBSTITUTE(SUBSTITUTE(SUBSTITUTE(SUBSTITUTE(SUBSTITUTE(SUBSTITUTE(LOWER(T668&amp;""),CHAR(160),"")," ",""),".",""),"-",""),"/",""),"?",""),"_",""),",",""),"[",""),"]",""),"(",""),")",""),"*","")</f>
        <v/>
      </c>
      <c r="AV668" s="61" t="str">
        <f aca="false">SUBSTITUTE(SUBSTITUTE(SUBSTITUTE(SUBSTITUTE(SUBSTITUTE(SUBSTITUTE(SUBSTITUTE(SUBSTITUTE(SUBSTITUTE(SUBSTITUTE(SUBSTITUTE(SUBSTITUTE(SUBSTITUTE(LOWER(V668&amp;""),CHAR(160),"")," ",""),".",""),"-",""),"/",""),"?",""),"_",""),",",""),"[",""),"]",""),"(",""),")",""),"*","")</f>
        <v/>
      </c>
      <c r="AW668" s="61" t="str">
        <f aca="false">SUBSTITUTE(SUBSTITUTE(SUBSTITUTE(SUBSTITUTE(SUBSTITUTE(SUBSTITUTE(SUBSTITUTE(SUBSTITUTE(SUBSTITUTE(SUBSTITUTE(SUBSTITUTE(SUBSTITUTE(SUBSTITUTE(LOWER(Z668&amp;""),CHAR(160),"")," ",""),".",""),"-",""),"/",""),"?",""),"_",""),",",""),"[",""),"]",""),"(",""),")",""),"*","")</f>
        <v/>
      </c>
      <c r="AX668" s="61" t="str">
        <f aca="false">SUBSTITUTE(SUBSTITUTE(SUBSTITUTE(SUBSTITUTE(SUBSTITUTE(SUBSTITUTE(SUBSTITUTE(SUBSTITUTE(SUBSTITUTE(SUBSTITUTE(SUBSTITUTE(SUBSTITUTE(SUBSTITUTE(LOWER(AE668&amp;""),CHAR(160),"")," ",""),".",""),"-",""),"/",""),"?",""),"_",""),",",""),"[",""),"]",""),"(",""),")",""),"*","")</f>
        <v/>
      </c>
      <c r="AY668" s="61" t="str">
        <f aca="false">SUBSTITUTE(SUBSTITUTE(SUBSTITUTE(SUBSTITUTE(SUBSTITUTE(SUBSTITUTE(SUBSTITUTE(SUBSTITUTE(SUBSTITUTE(SUBSTITUTE(SUBSTITUTE(SUBSTITUTE(SUBSTITUTE(LOWER(W668&amp;""),CHAR(160),"")," ",""),".",""),"-",""),"/",""),"?",""),"_",""),",",""),"[",""),"]",""),"(",""),")",""),"*","")</f>
        <v/>
      </c>
      <c r="AZ668" s="61" t="str">
        <f aca="false">SUBSTITUTE(SUBSTITUTE(SUBSTITUTE(SUBSTITUTE(SUBSTITUTE(SUBSTITUTE(SUBSTITUTE(SUBSTITUTE(SUBSTITUTE(SUBSTITUTE(SUBSTITUTE(SUBSTITUTE(SUBSTITUTE(LOWER(AC668&amp;""),CHAR(160),"")," ",""),".",""),"-",""),"/",""),"?",""),"_",""),",",""),"[",""),"]",""),"(",""),")",""),"*","")</f>
        <v/>
      </c>
      <c r="BA668" s="61" t="str">
        <f aca="false">SUBSTITUTE(SUBSTITUTE(SUBSTITUTE(SUBSTITUTE(SUBSTITUTE(SUBSTITUTE(SUBSTITUTE(SUBSTITUTE(SUBSTITUTE(SUBSTITUTE(SUBSTITUTE(SUBSTITUTE(SUBSTITUTE(LOWER(AA668&amp;""),CHAR(160),"")," ",""),".",""),"-",""),"/",""),"?",""),"_",""),",",""),"[",""),"]",""),"(",""),")",""),"*","")</f>
        <v/>
      </c>
      <c r="BB668" s="61" t="str">
        <f aca="false">IF(AND(TRIM(U668)="Pass",ISNUMBER(AF668)),IF(AF668&lt;&gt;0,"INVALID – qty variance: use Fail or Pass after CA",""),"")&amp;IF(AND(TRIM(U668)="Pass after CA",ISNUMBER(AF668)),IF(AF668&lt;&gt;0,"INVALID – after the corrective action the actual qty must equal expected (update Actual)",""),"")&amp;IF(AND(TRIM(U668)="Pass",TRIM(AB668)&lt;&gt;"",TRIM(AB668)&lt;&gt;"Closed"),"INVALID – corrective action not closed: use Fail, then Pass after CA","")&amp;IF(AND(TRIM(AA668)&lt;&gt;"",TRIM(AB668)=""),"INVALID – CA status missing for the recorded corrective action","")&amp;IF(AND(TRIM(U668)="Pass after CA",OR(OR(LEN(BA668)&lt;5,ISNUMBER(MATCH(BA668,L_Placeholder,0))),TRIM(AB668)&lt;&gt;"Closed")),"INVALID – corrective action not recorded/closed","")</f>
        <v/>
      </c>
    </row>
    <row r="669" customFormat="false" ht="39.75" hidden="false" customHeight="true" outlineLevel="0" collapsed="false">
      <c r="A669" s="57" t="s">
        <v>1367</v>
      </c>
      <c r="B669" s="57" t="s">
        <v>307</v>
      </c>
      <c r="C669" s="57" t="str">
        <f aca="false">Flights!$F$25</f>
        <v>MH1437</v>
      </c>
      <c r="D669" s="58" t="n">
        <f aca="false">Flights!$D$25</f>
        <v>46325</v>
      </c>
      <c r="E669" s="57" t="str">
        <f aca="false">Flights!$G$25&amp;"-"&amp;Flights!$H$25</f>
        <v>LGK-KUL</v>
      </c>
      <c r="F669" s="57" t="str">
        <f aca="false">Flights!$K$25</f>
        <v>BC</v>
      </c>
      <c r="G669" s="57" t="s">
        <v>79</v>
      </c>
      <c r="H669" s="57" t="s">
        <v>356</v>
      </c>
      <c r="I669" s="57" t="s">
        <v>376</v>
      </c>
      <c r="J669" s="57" t="s">
        <v>377</v>
      </c>
      <c r="K669" s="67" t="s">
        <v>378</v>
      </c>
      <c r="L669" s="67" t="s">
        <v>360</v>
      </c>
      <c r="M669" s="67"/>
      <c r="N669" s="67" t="s">
        <v>361</v>
      </c>
      <c r="O669" s="67"/>
      <c r="P669" s="57" t="s">
        <v>184</v>
      </c>
      <c r="Q669" s="59" t="n">
        <f aca="false">ROUND((Flights!$AC$25)*1440,0)/1440</f>
        <v>46318.28125</v>
      </c>
      <c r="R669" s="59" t="n">
        <f aca="false">Q669+(IF(AND(INDEX(TZ_DSTS,MATCH(P669,TZ_STN,0))&lt;&gt;"",Q669&gt;=INDEX(TZ_DSTS,MATCH(P669,TZ_STN,0)),Q669&lt;INDEX(TZ_DSTE,MATCH(P669,TZ_STN,0))),INDEX(TZ_DST,MATCH(P669,TZ_STN,0)),INDEX(TZ_STD,MATCH(P669,TZ_STN,0))))/24</f>
        <v>46318.6145833333</v>
      </c>
      <c r="S669" s="59" t="n">
        <f aca="false">Q669-T7EarlyD*24/24</f>
        <v>46304.28125</v>
      </c>
      <c r="T669" s="60"/>
      <c r="U669" s="60"/>
      <c r="V669" s="60"/>
      <c r="W669" s="61"/>
      <c r="X669" s="60"/>
      <c r="Y669" s="60"/>
      <c r="Z669" s="60"/>
      <c r="AA669" s="60"/>
      <c r="AB669" s="60"/>
      <c r="AC669" s="60"/>
      <c r="AD669" s="66"/>
      <c r="AE669" s="60"/>
      <c r="AF669" s="61" t="str">
        <f aca="false">IF(AND(ISNUMBER(X669),ISNUMBER(Y669)),Y669-X669,"")</f>
        <v/>
      </c>
      <c r="AG669" s="62" t="str">
        <f aca="false">IF(ISNUMBER(AD669),AD669-(IF(AND(INDEX(TZ_DSTS,MATCH(P669,TZ_STN,0))&lt;&gt;"",(AD669-INDEX(TZ_STD,MATCH(P669,TZ_STN,0))/24)&gt;=INDEX(TZ_DSTS,MATCH(P669,TZ_STN,0)),(AD669-INDEX(TZ_STD,MATCH(P669,TZ_STN,0))/24)&lt;INDEX(TZ_DSTE,MATCH(P669,TZ_STN,0))),INDEX(TZ_DST,MATCH(P669,TZ_STN,0)),INDEX(TZ_STD,MATCH(P669,TZ_STN,0))))/24,"")</f>
        <v/>
      </c>
      <c r="AH669" s="65" t="str">
        <f aca="false">IFERROR(IF(N669="N/A – rule","N/A – RULE",IF(TRIM(U669)="N/A",IF(AT669=0,"INVALID – N/A not permitted for this check",IF(AND(TRIM(AB669)&lt;&gt;"",TRIM(AB669)&lt;&gt;"Closed"),"INVALID – corrective action still open",IF(AND(NOT(OR(LEN(AZ669)&lt;15,ISNUMBER(MATCH(AZ669,L_Placeholder,0)))),NOT(OR(LEN(AU669)&lt;2,ISNUMBER(MATCH(AU669,L_Placeholder,0)))),NOT(OR(LEN(AX669)&lt;2,ISNUMBER(MATCH(AX669,L_Placeholder,0)))),TRIM(AE669)&lt;&gt;TRIM(T669)),"N/A – JUSTIFIED","INVALID – N/A needs a real justification (15+ chars), PIC and a different verifier"))),IF(OR(TRIM(U669)="Pass",TRIM(U669)="Pass after CA"),IF(NOT(ISNUMBER(AD669)),"INVALID – completion time missing",IF(OR(LEN(AU669)&lt;2,ISNUMBER(MATCH(AU669,L_Placeholder,0))),"INVALID – PIC missing",IF(OR(LEN(AV669)&lt;2,ISNUMBER(MATCH(AV669,L_Placeholder,0))),"INVALID – result / assessment missing",IF(OR(OR(LEN(AW669)&lt;3,ISNUMBER(MATCH(AW669,L_Placeholder,0))),SUMPRODUCT(--ISNUMBER(SEARCH(L_EvidencePhrase,AW669)))&gt;0),"INVALID – evidence missing, placeholder or not yet on file",IF(OR(LEN(AX669)&lt;2,ISNUMBER(MATCH(AX669,L_Placeholder,0))),"INVALID – verifier missing",IF(AX669=AU669,"INVALID – verifier must be someone other than the PIC",IF(AND(TRIM(U669)="Pass",SUMPRODUCT(--ISNUMBER(SEARCH(L_ResultBad,AV669)))&gt;0),"INVALID – result describes a problem: use Fail, then Pass after CA",IF(AND(AQ669=1,OR(LEN(AY669)&lt;3,ISNUMBER(MATCH(AY669,L_Placeholder,0)))),"INVALID – batch ID missing or placeholder",IF(AND(AR669=1,OR(NOT(ISNUMBER(X669)),NOT(ISNUMBER(Y669)))),"INVALID – expected/actual qty missing",IF(AND(AR669=1,OR(X669&lt;=0,Y669&lt;0)),"INVALID – expected qty must be above 0 and actual not negative",IF(BB669&lt;&gt;"",BB669,IF(AND(AS669=1,Documents!$J$25&lt;&gt;"ON FILE"),"INVALID – GLD not on file (Documents sheet)",IF(AND(AS669=2,Documents!$O$25&lt;&gt;"ON FILE"),"INVALID – menu checklist not on file (Documents sheet)",IF(AND(AS669=3,NOT(ISNUMBER(Flights!$AX$25))),"INVALID – enter carrying flight KUL departure (Flights AX)",IF(AND(AS669=3,OR(Flights!$AZ$25&gt;Flights!$AA$25,Flights!$AX$25&lt;Flights!$AA$25-3)),"INVALID – carrying flight (Flights AX) cannot arrive before this leg's STD, or is over 3 days early",IF(AG669&gt;AsOfUTC,"INVALID – completion time is in the future",IF(AND(ISNUMBER(S669),AG669&lt;S669),IF(H669="Physical uplift","INVALID – before uplift window (cannot confirm loading)","INVALID – before valid window"),IF(AG669&gt;Flights!$AA$25,"INVALID – completed after departure (cannot establish readiness)",IF(AND(H669="Preparation",AG669&gt;IF(ISNUMBER(Flights!$BA$25),MIN(Flights!$BA$25,Flights!$AA$25),Flights!$AA$25)),"INVALID – completed after loading / departure (cannot establish readiness)",IF(AND(H669="Physical uplift",AG669&gt;Q669),"INVALID – recorded after the loading flight departed",IF(AG669&gt;Q669,"COMPLETE – LATE","COMPLETE"))))))))))))))))))))),IF(TRIM(U669)="Fail","FAIL – DISCREPANCY",IF(AND(TRIM(U669)&lt;&gt;"",TRIM(U669)&lt;&gt;"Not started",TRIM(U669)&lt;&gt;"In progress"),"INVALID – unrecognised status (use the list)",IF(AsOfUTC&gt;Q669,"OVERDUE",IF(N669="Clarification required","OPEN – CLARIFICATION","OPEN"))))))),"INVALID – error value in an input cell")</f>
        <v>OPEN</v>
      </c>
      <c r="AI669" s="61" t="n">
        <f aca="false">IF(OR(AH669="N/A – RULE",AH669="N/A – JUSTIFIED"),0,1)</f>
        <v>1</v>
      </c>
      <c r="AJ669" s="61" t="n">
        <f aca="false">IF(LEFT(AH669,8)="COMPLETE",1,0)</f>
        <v>0</v>
      </c>
      <c r="AK669" s="61" t="n">
        <f aca="false">IF(AND(AI669=1,AJ669=0,AsOfUTC&gt;Q669),1,0)</f>
        <v>0</v>
      </c>
      <c r="AL669" s="61" t="n">
        <f aca="false">IFERROR(IF(AND(AI669=1,OR(TRIM(U669)="Fail",AND(TRIM(AB669)&lt;&gt;"",TRIM(AB669)&lt;&gt;"Closed"),AND(ISNUMBER(AF669),AF669&lt;&gt;0,TRIM(U669)&lt;&gt;"Pass after CA"))),1,0),1)</f>
        <v>0</v>
      </c>
      <c r="AM669" s="61" t="n">
        <f aca="false">IF(LEFT(AH669,7)="INVALID",1,0)</f>
        <v>0</v>
      </c>
      <c r="AN669" s="61" t="n">
        <f aca="false">IF(AND(N669="Clarification required",AI669=1,AJ669=0),1,0)</f>
        <v>0</v>
      </c>
      <c r="AO669" s="61" t="str">
        <f aca="false">IF(AK669=1,SUM(AK$5:AK669),"")</f>
        <v/>
      </c>
      <c r="AP669" s="61" t="str">
        <f aca="false">IF(AL669=1,SUM(AL$5:AL669),"")</f>
        <v/>
      </c>
      <c r="AQ669" s="61" t="n">
        <v>0</v>
      </c>
      <c r="AR669" s="61" t="n">
        <v>0</v>
      </c>
      <c r="AS669" s="61" t="n">
        <v>0</v>
      </c>
      <c r="AT669" s="61" t="n">
        <v>0</v>
      </c>
      <c r="AU669" s="61" t="str">
        <f aca="false">SUBSTITUTE(SUBSTITUTE(SUBSTITUTE(SUBSTITUTE(SUBSTITUTE(SUBSTITUTE(SUBSTITUTE(SUBSTITUTE(SUBSTITUTE(SUBSTITUTE(SUBSTITUTE(SUBSTITUTE(SUBSTITUTE(LOWER(T669&amp;""),CHAR(160),"")," ",""),".",""),"-",""),"/",""),"?",""),"_",""),",",""),"[",""),"]",""),"(",""),")",""),"*","")</f>
        <v/>
      </c>
      <c r="AV669" s="61" t="str">
        <f aca="false">SUBSTITUTE(SUBSTITUTE(SUBSTITUTE(SUBSTITUTE(SUBSTITUTE(SUBSTITUTE(SUBSTITUTE(SUBSTITUTE(SUBSTITUTE(SUBSTITUTE(SUBSTITUTE(SUBSTITUTE(SUBSTITUTE(LOWER(V669&amp;""),CHAR(160),"")," ",""),".",""),"-",""),"/",""),"?",""),"_",""),",",""),"[",""),"]",""),"(",""),")",""),"*","")</f>
        <v/>
      </c>
      <c r="AW669" s="61" t="str">
        <f aca="false">SUBSTITUTE(SUBSTITUTE(SUBSTITUTE(SUBSTITUTE(SUBSTITUTE(SUBSTITUTE(SUBSTITUTE(SUBSTITUTE(SUBSTITUTE(SUBSTITUTE(SUBSTITUTE(SUBSTITUTE(SUBSTITUTE(LOWER(Z669&amp;""),CHAR(160),"")," ",""),".",""),"-",""),"/",""),"?",""),"_",""),",",""),"[",""),"]",""),"(",""),")",""),"*","")</f>
        <v/>
      </c>
      <c r="AX669" s="61" t="str">
        <f aca="false">SUBSTITUTE(SUBSTITUTE(SUBSTITUTE(SUBSTITUTE(SUBSTITUTE(SUBSTITUTE(SUBSTITUTE(SUBSTITUTE(SUBSTITUTE(SUBSTITUTE(SUBSTITUTE(SUBSTITUTE(SUBSTITUTE(LOWER(AE669&amp;""),CHAR(160),"")," ",""),".",""),"-",""),"/",""),"?",""),"_",""),",",""),"[",""),"]",""),"(",""),")",""),"*","")</f>
        <v/>
      </c>
      <c r="AY669" s="61" t="str">
        <f aca="false">SUBSTITUTE(SUBSTITUTE(SUBSTITUTE(SUBSTITUTE(SUBSTITUTE(SUBSTITUTE(SUBSTITUTE(SUBSTITUTE(SUBSTITUTE(SUBSTITUTE(SUBSTITUTE(SUBSTITUTE(SUBSTITUTE(LOWER(W669&amp;""),CHAR(160),"")," ",""),".",""),"-",""),"/",""),"?",""),"_",""),",",""),"[",""),"]",""),"(",""),")",""),"*","")</f>
        <v/>
      </c>
      <c r="AZ669" s="61" t="str">
        <f aca="false">SUBSTITUTE(SUBSTITUTE(SUBSTITUTE(SUBSTITUTE(SUBSTITUTE(SUBSTITUTE(SUBSTITUTE(SUBSTITUTE(SUBSTITUTE(SUBSTITUTE(SUBSTITUTE(SUBSTITUTE(SUBSTITUTE(LOWER(AC669&amp;""),CHAR(160),"")," ",""),".",""),"-",""),"/",""),"?",""),"_",""),",",""),"[",""),"]",""),"(",""),")",""),"*","")</f>
        <v/>
      </c>
      <c r="BA669" s="61" t="str">
        <f aca="false">SUBSTITUTE(SUBSTITUTE(SUBSTITUTE(SUBSTITUTE(SUBSTITUTE(SUBSTITUTE(SUBSTITUTE(SUBSTITUTE(SUBSTITUTE(SUBSTITUTE(SUBSTITUTE(SUBSTITUTE(SUBSTITUTE(LOWER(AA669&amp;""),CHAR(160),"")," ",""),".",""),"-",""),"/",""),"?",""),"_",""),",",""),"[",""),"]",""),"(",""),")",""),"*","")</f>
        <v/>
      </c>
      <c r="BB669" s="61" t="str">
        <f aca="false">IF(AND(TRIM(U669)="Pass",ISNUMBER(AF669)),IF(AF669&lt;&gt;0,"INVALID – qty variance: use Fail or Pass after CA",""),"")&amp;IF(AND(TRIM(U669)="Pass after CA",ISNUMBER(AF669)),IF(AF669&lt;&gt;0,"INVALID – after the corrective action the actual qty must equal expected (update Actual)",""),"")&amp;IF(AND(TRIM(U669)="Pass",TRIM(AB669)&lt;&gt;"",TRIM(AB669)&lt;&gt;"Closed"),"INVALID – corrective action not closed: use Fail, then Pass after CA","")&amp;IF(AND(TRIM(AA669)&lt;&gt;"",TRIM(AB669)=""),"INVALID – CA status missing for the recorded corrective action","")&amp;IF(AND(TRIM(U669)="Pass after CA",OR(OR(LEN(BA669)&lt;5,ISNUMBER(MATCH(BA669,L_Placeholder,0))),TRIM(AB669)&lt;&gt;"Closed")),"INVALID – corrective action not recorded/closed","")</f>
        <v/>
      </c>
    </row>
    <row r="670" customFormat="false" ht="39.75" hidden="false" customHeight="true" outlineLevel="0" collapsed="false">
      <c r="A670" s="57" t="s">
        <v>1368</v>
      </c>
      <c r="B670" s="57" t="s">
        <v>307</v>
      </c>
      <c r="C670" s="57" t="str">
        <f aca="false">Flights!$F$25</f>
        <v>MH1437</v>
      </c>
      <c r="D670" s="58" t="n">
        <f aca="false">Flights!$D$25</f>
        <v>46325</v>
      </c>
      <c r="E670" s="57" t="str">
        <f aca="false">Flights!$G$25&amp;"-"&amp;Flights!$H$25</f>
        <v>LGK-KUL</v>
      </c>
      <c r="F670" s="57" t="str">
        <f aca="false">Flights!$K$25</f>
        <v>BC</v>
      </c>
      <c r="G670" s="57" t="s">
        <v>79</v>
      </c>
      <c r="H670" s="57" t="s">
        <v>356</v>
      </c>
      <c r="I670" s="57" t="s">
        <v>376</v>
      </c>
      <c r="J670" s="57" t="s">
        <v>380</v>
      </c>
      <c r="K670" s="67" t="s">
        <v>381</v>
      </c>
      <c r="L670" s="67" t="s">
        <v>360</v>
      </c>
      <c r="M670" s="67"/>
      <c r="N670" s="67" t="s">
        <v>361</v>
      </c>
      <c r="O670" s="67"/>
      <c r="P670" s="57" t="s">
        <v>184</v>
      </c>
      <c r="Q670" s="59" t="n">
        <f aca="false">ROUND((Flights!$AC$25)*1440,0)/1440</f>
        <v>46318.28125</v>
      </c>
      <c r="R670" s="59" t="n">
        <f aca="false">Q670+(IF(AND(INDEX(TZ_DSTS,MATCH(P670,TZ_STN,0))&lt;&gt;"",Q670&gt;=INDEX(TZ_DSTS,MATCH(P670,TZ_STN,0)),Q670&lt;INDEX(TZ_DSTE,MATCH(P670,TZ_STN,0))),INDEX(TZ_DST,MATCH(P670,TZ_STN,0)),INDEX(TZ_STD,MATCH(P670,TZ_STN,0))))/24</f>
        <v>46318.6145833333</v>
      </c>
      <c r="S670" s="59" t="n">
        <f aca="false">Q670-T7EarlyD*24/24</f>
        <v>46304.28125</v>
      </c>
      <c r="T670" s="60"/>
      <c r="U670" s="60"/>
      <c r="V670" s="60"/>
      <c r="W670" s="61"/>
      <c r="X670" s="60"/>
      <c r="Y670" s="60"/>
      <c r="Z670" s="60"/>
      <c r="AA670" s="60"/>
      <c r="AB670" s="60"/>
      <c r="AC670" s="60"/>
      <c r="AD670" s="66"/>
      <c r="AE670" s="60"/>
      <c r="AF670" s="61" t="str">
        <f aca="false">IF(AND(ISNUMBER(X670),ISNUMBER(Y670)),Y670-X670,"")</f>
        <v/>
      </c>
      <c r="AG670" s="62" t="str">
        <f aca="false">IF(ISNUMBER(AD670),AD670-(IF(AND(INDEX(TZ_DSTS,MATCH(P670,TZ_STN,0))&lt;&gt;"",(AD670-INDEX(TZ_STD,MATCH(P670,TZ_STN,0))/24)&gt;=INDEX(TZ_DSTS,MATCH(P670,TZ_STN,0)),(AD670-INDEX(TZ_STD,MATCH(P670,TZ_STN,0))/24)&lt;INDEX(TZ_DSTE,MATCH(P670,TZ_STN,0))),INDEX(TZ_DST,MATCH(P670,TZ_STN,0)),INDEX(TZ_STD,MATCH(P670,TZ_STN,0))))/24,"")</f>
        <v/>
      </c>
      <c r="AH670" s="65" t="str">
        <f aca="false">IFERROR(IF(N670="N/A – rule","N/A – RULE",IF(TRIM(U670)="N/A",IF(AT670=0,"INVALID – N/A not permitted for this check",IF(AND(TRIM(AB670)&lt;&gt;"",TRIM(AB670)&lt;&gt;"Closed"),"INVALID – corrective action still open",IF(AND(NOT(OR(LEN(AZ670)&lt;15,ISNUMBER(MATCH(AZ670,L_Placeholder,0)))),NOT(OR(LEN(AU670)&lt;2,ISNUMBER(MATCH(AU670,L_Placeholder,0)))),NOT(OR(LEN(AX670)&lt;2,ISNUMBER(MATCH(AX670,L_Placeholder,0)))),TRIM(AE670)&lt;&gt;TRIM(T670)),"N/A – JUSTIFIED","INVALID – N/A needs a real justification (15+ chars), PIC and a different verifier"))),IF(OR(TRIM(U670)="Pass",TRIM(U670)="Pass after CA"),IF(NOT(ISNUMBER(AD670)),"INVALID – completion time missing",IF(OR(LEN(AU670)&lt;2,ISNUMBER(MATCH(AU670,L_Placeholder,0))),"INVALID – PIC missing",IF(OR(LEN(AV670)&lt;2,ISNUMBER(MATCH(AV670,L_Placeholder,0))),"INVALID – result / assessment missing",IF(OR(OR(LEN(AW670)&lt;3,ISNUMBER(MATCH(AW670,L_Placeholder,0))),SUMPRODUCT(--ISNUMBER(SEARCH(L_EvidencePhrase,AW670)))&gt;0),"INVALID – evidence missing, placeholder or not yet on file",IF(OR(LEN(AX670)&lt;2,ISNUMBER(MATCH(AX670,L_Placeholder,0))),"INVALID – verifier missing",IF(AX670=AU670,"INVALID – verifier must be someone other than the PIC",IF(AND(TRIM(U670)="Pass",SUMPRODUCT(--ISNUMBER(SEARCH(L_ResultBad,AV670)))&gt;0),"INVALID – result describes a problem: use Fail, then Pass after CA",IF(AND(AQ670=1,OR(LEN(AY670)&lt;3,ISNUMBER(MATCH(AY670,L_Placeholder,0)))),"INVALID – batch ID missing or placeholder",IF(AND(AR670=1,OR(NOT(ISNUMBER(X670)),NOT(ISNUMBER(Y670)))),"INVALID – expected/actual qty missing",IF(AND(AR670=1,OR(X670&lt;=0,Y670&lt;0)),"INVALID – expected qty must be above 0 and actual not negative",IF(BB670&lt;&gt;"",BB670,IF(AND(AS670=1,Documents!$J$25&lt;&gt;"ON FILE"),"INVALID – GLD not on file (Documents sheet)",IF(AND(AS670=2,Documents!$O$25&lt;&gt;"ON FILE"),"INVALID – menu checklist not on file (Documents sheet)",IF(AND(AS670=3,NOT(ISNUMBER(Flights!$AX$25))),"INVALID – enter carrying flight KUL departure (Flights AX)",IF(AND(AS670=3,OR(Flights!$AZ$25&gt;Flights!$AA$25,Flights!$AX$25&lt;Flights!$AA$25-3)),"INVALID – carrying flight (Flights AX) cannot arrive before this leg's STD, or is over 3 days early",IF(AG670&gt;AsOfUTC,"INVALID – completion time is in the future",IF(AND(ISNUMBER(S670),AG670&lt;S670),IF(H670="Physical uplift","INVALID – before uplift window (cannot confirm loading)","INVALID – before valid window"),IF(AG670&gt;Flights!$AA$25,"INVALID – completed after departure (cannot establish readiness)",IF(AND(H670="Preparation",AG670&gt;IF(ISNUMBER(Flights!$BA$25),MIN(Flights!$BA$25,Flights!$AA$25),Flights!$AA$25)),"INVALID – completed after loading / departure (cannot establish readiness)",IF(AND(H670="Physical uplift",AG670&gt;Q670),"INVALID – recorded after the loading flight departed",IF(AG670&gt;Q670,"COMPLETE – LATE","COMPLETE"))))))))))))))))))))),IF(TRIM(U670)="Fail","FAIL – DISCREPANCY",IF(AND(TRIM(U670)&lt;&gt;"",TRIM(U670)&lt;&gt;"Not started",TRIM(U670)&lt;&gt;"In progress"),"INVALID – unrecognised status (use the list)",IF(AsOfUTC&gt;Q670,"OVERDUE",IF(N670="Clarification required","OPEN – CLARIFICATION","OPEN"))))))),"INVALID – error value in an input cell")</f>
        <v>OPEN</v>
      </c>
      <c r="AI670" s="61" t="n">
        <f aca="false">IF(OR(AH670="N/A – RULE",AH670="N/A – JUSTIFIED"),0,1)</f>
        <v>1</v>
      </c>
      <c r="AJ670" s="61" t="n">
        <f aca="false">IF(LEFT(AH670,8)="COMPLETE",1,0)</f>
        <v>0</v>
      </c>
      <c r="AK670" s="61" t="n">
        <f aca="false">IF(AND(AI670=1,AJ670=0,AsOfUTC&gt;Q670),1,0)</f>
        <v>0</v>
      </c>
      <c r="AL670" s="61" t="n">
        <f aca="false">IFERROR(IF(AND(AI670=1,OR(TRIM(U670)="Fail",AND(TRIM(AB670)&lt;&gt;"",TRIM(AB670)&lt;&gt;"Closed"),AND(ISNUMBER(AF670),AF670&lt;&gt;0,TRIM(U670)&lt;&gt;"Pass after CA"))),1,0),1)</f>
        <v>0</v>
      </c>
      <c r="AM670" s="61" t="n">
        <f aca="false">IF(LEFT(AH670,7)="INVALID",1,0)</f>
        <v>0</v>
      </c>
      <c r="AN670" s="61" t="n">
        <f aca="false">IF(AND(N670="Clarification required",AI670=1,AJ670=0),1,0)</f>
        <v>0</v>
      </c>
      <c r="AO670" s="61" t="str">
        <f aca="false">IF(AK670=1,SUM(AK$5:AK670),"")</f>
        <v/>
      </c>
      <c r="AP670" s="61" t="str">
        <f aca="false">IF(AL670=1,SUM(AL$5:AL670),"")</f>
        <v/>
      </c>
      <c r="AQ670" s="61" t="n">
        <v>0</v>
      </c>
      <c r="AR670" s="61" t="n">
        <v>0</v>
      </c>
      <c r="AS670" s="61" t="n">
        <v>0</v>
      </c>
      <c r="AT670" s="61" t="n">
        <v>0</v>
      </c>
      <c r="AU670" s="61" t="str">
        <f aca="false">SUBSTITUTE(SUBSTITUTE(SUBSTITUTE(SUBSTITUTE(SUBSTITUTE(SUBSTITUTE(SUBSTITUTE(SUBSTITUTE(SUBSTITUTE(SUBSTITUTE(SUBSTITUTE(SUBSTITUTE(SUBSTITUTE(LOWER(T670&amp;""),CHAR(160),"")," ",""),".",""),"-",""),"/",""),"?",""),"_",""),",",""),"[",""),"]",""),"(",""),")",""),"*","")</f>
        <v/>
      </c>
      <c r="AV670" s="61" t="str">
        <f aca="false">SUBSTITUTE(SUBSTITUTE(SUBSTITUTE(SUBSTITUTE(SUBSTITUTE(SUBSTITUTE(SUBSTITUTE(SUBSTITUTE(SUBSTITUTE(SUBSTITUTE(SUBSTITUTE(SUBSTITUTE(SUBSTITUTE(LOWER(V670&amp;""),CHAR(160),"")," ",""),".",""),"-",""),"/",""),"?",""),"_",""),",",""),"[",""),"]",""),"(",""),")",""),"*","")</f>
        <v/>
      </c>
      <c r="AW670" s="61" t="str">
        <f aca="false">SUBSTITUTE(SUBSTITUTE(SUBSTITUTE(SUBSTITUTE(SUBSTITUTE(SUBSTITUTE(SUBSTITUTE(SUBSTITUTE(SUBSTITUTE(SUBSTITUTE(SUBSTITUTE(SUBSTITUTE(SUBSTITUTE(LOWER(Z670&amp;""),CHAR(160),"")," ",""),".",""),"-",""),"/",""),"?",""),"_",""),",",""),"[",""),"]",""),"(",""),")",""),"*","")</f>
        <v/>
      </c>
      <c r="AX670" s="61" t="str">
        <f aca="false">SUBSTITUTE(SUBSTITUTE(SUBSTITUTE(SUBSTITUTE(SUBSTITUTE(SUBSTITUTE(SUBSTITUTE(SUBSTITUTE(SUBSTITUTE(SUBSTITUTE(SUBSTITUTE(SUBSTITUTE(SUBSTITUTE(LOWER(AE670&amp;""),CHAR(160),"")," ",""),".",""),"-",""),"/",""),"?",""),"_",""),",",""),"[",""),"]",""),"(",""),")",""),"*","")</f>
        <v/>
      </c>
      <c r="AY670" s="61" t="str">
        <f aca="false">SUBSTITUTE(SUBSTITUTE(SUBSTITUTE(SUBSTITUTE(SUBSTITUTE(SUBSTITUTE(SUBSTITUTE(SUBSTITUTE(SUBSTITUTE(SUBSTITUTE(SUBSTITUTE(SUBSTITUTE(SUBSTITUTE(LOWER(W670&amp;""),CHAR(160),"")," ",""),".",""),"-",""),"/",""),"?",""),"_",""),",",""),"[",""),"]",""),"(",""),")",""),"*","")</f>
        <v/>
      </c>
      <c r="AZ670" s="61" t="str">
        <f aca="false">SUBSTITUTE(SUBSTITUTE(SUBSTITUTE(SUBSTITUTE(SUBSTITUTE(SUBSTITUTE(SUBSTITUTE(SUBSTITUTE(SUBSTITUTE(SUBSTITUTE(SUBSTITUTE(SUBSTITUTE(SUBSTITUTE(LOWER(AC670&amp;""),CHAR(160),"")," ",""),".",""),"-",""),"/",""),"?",""),"_",""),",",""),"[",""),"]",""),"(",""),")",""),"*","")</f>
        <v/>
      </c>
      <c r="BA670" s="61" t="str">
        <f aca="false">SUBSTITUTE(SUBSTITUTE(SUBSTITUTE(SUBSTITUTE(SUBSTITUTE(SUBSTITUTE(SUBSTITUTE(SUBSTITUTE(SUBSTITUTE(SUBSTITUTE(SUBSTITUTE(SUBSTITUTE(SUBSTITUTE(LOWER(AA670&amp;""),CHAR(160),"")," ",""),".",""),"-",""),"/",""),"?",""),"_",""),",",""),"[",""),"]",""),"(",""),")",""),"*","")</f>
        <v/>
      </c>
      <c r="BB670" s="61" t="str">
        <f aca="false">IF(AND(TRIM(U670)="Pass",ISNUMBER(AF670)),IF(AF670&lt;&gt;0,"INVALID – qty variance: use Fail or Pass after CA",""),"")&amp;IF(AND(TRIM(U670)="Pass after CA",ISNUMBER(AF670)),IF(AF670&lt;&gt;0,"INVALID – after the corrective action the actual qty must equal expected (update Actual)",""),"")&amp;IF(AND(TRIM(U670)="Pass",TRIM(AB670)&lt;&gt;"",TRIM(AB670)&lt;&gt;"Closed"),"INVALID – corrective action not closed: use Fail, then Pass after CA","")&amp;IF(AND(TRIM(AA670)&lt;&gt;"",TRIM(AB670)=""),"INVALID – CA status missing for the recorded corrective action","")&amp;IF(AND(TRIM(U670)="Pass after CA",OR(OR(LEN(BA670)&lt;5,ISNUMBER(MATCH(BA670,L_Placeholder,0))),TRIM(AB670)&lt;&gt;"Closed")),"INVALID – corrective action not recorded/closed","")</f>
        <v/>
      </c>
    </row>
    <row r="671" customFormat="false" ht="39.75" hidden="false" customHeight="true" outlineLevel="0" collapsed="false">
      <c r="A671" s="57" t="s">
        <v>1369</v>
      </c>
      <c r="B671" s="57" t="s">
        <v>307</v>
      </c>
      <c r="C671" s="57" t="str">
        <f aca="false">Flights!$F$25</f>
        <v>MH1437</v>
      </c>
      <c r="D671" s="58" t="n">
        <f aca="false">Flights!$D$25</f>
        <v>46325</v>
      </c>
      <c r="E671" s="57" t="str">
        <f aca="false">Flights!$G$25&amp;"-"&amp;Flights!$H$25</f>
        <v>LGK-KUL</v>
      </c>
      <c r="F671" s="57" t="str">
        <f aca="false">Flights!$K$25</f>
        <v>BC</v>
      </c>
      <c r="G671" s="57" t="s">
        <v>79</v>
      </c>
      <c r="H671" s="57" t="s">
        <v>356</v>
      </c>
      <c r="I671" s="57" t="s">
        <v>383</v>
      </c>
      <c r="J671" s="57" t="s">
        <v>384</v>
      </c>
      <c r="K671" s="67" t="s">
        <v>385</v>
      </c>
      <c r="L671" s="67" t="s">
        <v>360</v>
      </c>
      <c r="M671" s="67"/>
      <c r="N671" s="67" t="s">
        <v>361</v>
      </c>
      <c r="O671" s="67"/>
      <c r="P671" s="57" t="s">
        <v>184</v>
      </c>
      <c r="Q671" s="59" t="n">
        <f aca="false">ROUND((Flights!$AC$25)*1440,0)/1440</f>
        <v>46318.28125</v>
      </c>
      <c r="R671" s="59" t="n">
        <f aca="false">Q671+(IF(AND(INDEX(TZ_DSTS,MATCH(P671,TZ_STN,0))&lt;&gt;"",Q671&gt;=INDEX(TZ_DSTS,MATCH(P671,TZ_STN,0)),Q671&lt;INDEX(TZ_DSTE,MATCH(P671,TZ_STN,0))),INDEX(TZ_DST,MATCH(P671,TZ_STN,0)),INDEX(TZ_STD,MATCH(P671,TZ_STN,0))))/24</f>
        <v>46318.6145833333</v>
      </c>
      <c r="S671" s="59" t="n">
        <f aca="false">Q671-T7EarlyD*24/24</f>
        <v>46304.28125</v>
      </c>
      <c r="T671" s="60"/>
      <c r="U671" s="60"/>
      <c r="V671" s="60"/>
      <c r="W671" s="61"/>
      <c r="X671" s="60"/>
      <c r="Y671" s="60"/>
      <c r="Z671" s="60"/>
      <c r="AA671" s="60"/>
      <c r="AB671" s="60"/>
      <c r="AC671" s="60"/>
      <c r="AD671" s="66"/>
      <c r="AE671" s="60"/>
      <c r="AF671" s="61" t="str">
        <f aca="false">IF(AND(ISNUMBER(X671),ISNUMBER(Y671)),Y671-X671,"")</f>
        <v/>
      </c>
      <c r="AG671" s="62" t="str">
        <f aca="false">IF(ISNUMBER(AD671),AD671-(IF(AND(INDEX(TZ_DSTS,MATCH(P671,TZ_STN,0))&lt;&gt;"",(AD671-INDEX(TZ_STD,MATCH(P671,TZ_STN,0))/24)&gt;=INDEX(TZ_DSTS,MATCH(P671,TZ_STN,0)),(AD671-INDEX(TZ_STD,MATCH(P671,TZ_STN,0))/24)&lt;INDEX(TZ_DSTE,MATCH(P671,TZ_STN,0))),INDEX(TZ_DST,MATCH(P671,TZ_STN,0)),INDEX(TZ_STD,MATCH(P671,TZ_STN,0))))/24,"")</f>
        <v/>
      </c>
      <c r="AH671" s="65" t="str">
        <f aca="false">IFERROR(IF(N671="N/A – rule","N/A – RULE",IF(TRIM(U671)="N/A",IF(AT671=0,"INVALID – N/A not permitted for this check",IF(AND(TRIM(AB671)&lt;&gt;"",TRIM(AB671)&lt;&gt;"Closed"),"INVALID – corrective action still open",IF(AND(NOT(OR(LEN(AZ671)&lt;15,ISNUMBER(MATCH(AZ671,L_Placeholder,0)))),NOT(OR(LEN(AU671)&lt;2,ISNUMBER(MATCH(AU671,L_Placeholder,0)))),NOT(OR(LEN(AX671)&lt;2,ISNUMBER(MATCH(AX671,L_Placeholder,0)))),TRIM(AE671)&lt;&gt;TRIM(T671)),"N/A – JUSTIFIED","INVALID – N/A needs a real justification (15+ chars), PIC and a different verifier"))),IF(OR(TRIM(U671)="Pass",TRIM(U671)="Pass after CA"),IF(NOT(ISNUMBER(AD671)),"INVALID – completion time missing",IF(OR(LEN(AU671)&lt;2,ISNUMBER(MATCH(AU671,L_Placeholder,0))),"INVALID – PIC missing",IF(OR(LEN(AV671)&lt;2,ISNUMBER(MATCH(AV671,L_Placeholder,0))),"INVALID – result / assessment missing",IF(OR(OR(LEN(AW671)&lt;3,ISNUMBER(MATCH(AW671,L_Placeholder,0))),SUMPRODUCT(--ISNUMBER(SEARCH(L_EvidencePhrase,AW671)))&gt;0),"INVALID – evidence missing, placeholder or not yet on file",IF(OR(LEN(AX671)&lt;2,ISNUMBER(MATCH(AX671,L_Placeholder,0))),"INVALID – verifier missing",IF(AX671=AU671,"INVALID – verifier must be someone other than the PIC",IF(AND(TRIM(U671)="Pass",SUMPRODUCT(--ISNUMBER(SEARCH(L_ResultBad,AV671)))&gt;0),"INVALID – result describes a problem: use Fail, then Pass after CA",IF(AND(AQ671=1,OR(LEN(AY671)&lt;3,ISNUMBER(MATCH(AY671,L_Placeholder,0)))),"INVALID – batch ID missing or placeholder",IF(AND(AR671=1,OR(NOT(ISNUMBER(X671)),NOT(ISNUMBER(Y671)))),"INVALID – expected/actual qty missing",IF(AND(AR671=1,OR(X671&lt;=0,Y671&lt;0)),"INVALID – expected qty must be above 0 and actual not negative",IF(BB671&lt;&gt;"",BB671,IF(AND(AS671=1,Documents!$J$25&lt;&gt;"ON FILE"),"INVALID – GLD not on file (Documents sheet)",IF(AND(AS671=2,Documents!$O$25&lt;&gt;"ON FILE"),"INVALID – menu checklist not on file (Documents sheet)",IF(AND(AS671=3,NOT(ISNUMBER(Flights!$AX$25))),"INVALID – enter carrying flight KUL departure (Flights AX)",IF(AND(AS671=3,OR(Flights!$AZ$25&gt;Flights!$AA$25,Flights!$AX$25&lt;Flights!$AA$25-3)),"INVALID – carrying flight (Flights AX) cannot arrive before this leg's STD, or is over 3 days early",IF(AG671&gt;AsOfUTC,"INVALID – completion time is in the future",IF(AND(ISNUMBER(S671),AG671&lt;S671),IF(H671="Physical uplift","INVALID – before uplift window (cannot confirm loading)","INVALID – before valid window"),IF(AG671&gt;Flights!$AA$25,"INVALID – completed after departure (cannot establish readiness)",IF(AND(H671="Preparation",AG671&gt;IF(ISNUMBER(Flights!$BA$25),MIN(Flights!$BA$25,Flights!$AA$25),Flights!$AA$25)),"INVALID – completed after loading / departure (cannot establish readiness)",IF(AND(H671="Physical uplift",AG671&gt;Q671),"INVALID – recorded after the loading flight departed",IF(AG671&gt;Q671,"COMPLETE – LATE","COMPLETE"))))))))))))))))))))),IF(TRIM(U671)="Fail","FAIL – DISCREPANCY",IF(AND(TRIM(U671)&lt;&gt;"",TRIM(U671)&lt;&gt;"Not started",TRIM(U671)&lt;&gt;"In progress"),"INVALID – unrecognised status (use the list)",IF(AsOfUTC&gt;Q671,"OVERDUE",IF(N671="Clarification required","OPEN – CLARIFICATION","OPEN"))))))),"INVALID – error value in an input cell")</f>
        <v>OPEN</v>
      </c>
      <c r="AI671" s="61" t="n">
        <f aca="false">IF(OR(AH671="N/A – RULE",AH671="N/A – JUSTIFIED"),0,1)</f>
        <v>1</v>
      </c>
      <c r="AJ671" s="61" t="n">
        <f aca="false">IF(LEFT(AH671,8)="COMPLETE",1,0)</f>
        <v>0</v>
      </c>
      <c r="AK671" s="61" t="n">
        <f aca="false">IF(AND(AI671=1,AJ671=0,AsOfUTC&gt;Q671),1,0)</f>
        <v>0</v>
      </c>
      <c r="AL671" s="61" t="n">
        <f aca="false">IFERROR(IF(AND(AI671=1,OR(TRIM(U671)="Fail",AND(TRIM(AB671)&lt;&gt;"",TRIM(AB671)&lt;&gt;"Closed"),AND(ISNUMBER(AF671),AF671&lt;&gt;0,TRIM(U671)&lt;&gt;"Pass after CA"))),1,0),1)</f>
        <v>0</v>
      </c>
      <c r="AM671" s="61" t="n">
        <f aca="false">IF(LEFT(AH671,7)="INVALID",1,0)</f>
        <v>0</v>
      </c>
      <c r="AN671" s="61" t="n">
        <f aca="false">IF(AND(N671="Clarification required",AI671=1,AJ671=0),1,0)</f>
        <v>0</v>
      </c>
      <c r="AO671" s="61" t="str">
        <f aca="false">IF(AK671=1,SUM(AK$5:AK671),"")</f>
        <v/>
      </c>
      <c r="AP671" s="61" t="str">
        <f aca="false">IF(AL671=1,SUM(AL$5:AL671),"")</f>
        <v/>
      </c>
      <c r="AQ671" s="61" t="n">
        <v>0</v>
      </c>
      <c r="AR671" s="61" t="n">
        <v>0</v>
      </c>
      <c r="AS671" s="61" t="n">
        <v>1</v>
      </c>
      <c r="AT671" s="61" t="n">
        <v>0</v>
      </c>
      <c r="AU671" s="61" t="str">
        <f aca="false">SUBSTITUTE(SUBSTITUTE(SUBSTITUTE(SUBSTITUTE(SUBSTITUTE(SUBSTITUTE(SUBSTITUTE(SUBSTITUTE(SUBSTITUTE(SUBSTITUTE(SUBSTITUTE(SUBSTITUTE(SUBSTITUTE(LOWER(T671&amp;""),CHAR(160),"")," ",""),".",""),"-",""),"/",""),"?",""),"_",""),",",""),"[",""),"]",""),"(",""),")",""),"*","")</f>
        <v/>
      </c>
      <c r="AV671" s="61" t="str">
        <f aca="false">SUBSTITUTE(SUBSTITUTE(SUBSTITUTE(SUBSTITUTE(SUBSTITUTE(SUBSTITUTE(SUBSTITUTE(SUBSTITUTE(SUBSTITUTE(SUBSTITUTE(SUBSTITUTE(SUBSTITUTE(SUBSTITUTE(LOWER(V671&amp;""),CHAR(160),"")," ",""),".",""),"-",""),"/",""),"?",""),"_",""),",",""),"[",""),"]",""),"(",""),")",""),"*","")</f>
        <v/>
      </c>
      <c r="AW671" s="61" t="str">
        <f aca="false">SUBSTITUTE(SUBSTITUTE(SUBSTITUTE(SUBSTITUTE(SUBSTITUTE(SUBSTITUTE(SUBSTITUTE(SUBSTITUTE(SUBSTITUTE(SUBSTITUTE(SUBSTITUTE(SUBSTITUTE(SUBSTITUTE(LOWER(Z671&amp;""),CHAR(160),"")," ",""),".",""),"-",""),"/",""),"?",""),"_",""),",",""),"[",""),"]",""),"(",""),")",""),"*","")</f>
        <v/>
      </c>
      <c r="AX671" s="61" t="str">
        <f aca="false">SUBSTITUTE(SUBSTITUTE(SUBSTITUTE(SUBSTITUTE(SUBSTITUTE(SUBSTITUTE(SUBSTITUTE(SUBSTITUTE(SUBSTITUTE(SUBSTITUTE(SUBSTITUTE(SUBSTITUTE(SUBSTITUTE(LOWER(AE671&amp;""),CHAR(160),"")," ",""),".",""),"-",""),"/",""),"?",""),"_",""),",",""),"[",""),"]",""),"(",""),")",""),"*","")</f>
        <v/>
      </c>
      <c r="AY671" s="61" t="str">
        <f aca="false">SUBSTITUTE(SUBSTITUTE(SUBSTITUTE(SUBSTITUTE(SUBSTITUTE(SUBSTITUTE(SUBSTITUTE(SUBSTITUTE(SUBSTITUTE(SUBSTITUTE(SUBSTITUTE(SUBSTITUTE(SUBSTITUTE(LOWER(W671&amp;""),CHAR(160),"")," ",""),".",""),"-",""),"/",""),"?",""),"_",""),",",""),"[",""),"]",""),"(",""),")",""),"*","")</f>
        <v/>
      </c>
      <c r="AZ671" s="61" t="str">
        <f aca="false">SUBSTITUTE(SUBSTITUTE(SUBSTITUTE(SUBSTITUTE(SUBSTITUTE(SUBSTITUTE(SUBSTITUTE(SUBSTITUTE(SUBSTITUTE(SUBSTITUTE(SUBSTITUTE(SUBSTITUTE(SUBSTITUTE(LOWER(AC671&amp;""),CHAR(160),"")," ",""),".",""),"-",""),"/",""),"?",""),"_",""),",",""),"[",""),"]",""),"(",""),")",""),"*","")</f>
        <v/>
      </c>
      <c r="BA671" s="61" t="str">
        <f aca="false">SUBSTITUTE(SUBSTITUTE(SUBSTITUTE(SUBSTITUTE(SUBSTITUTE(SUBSTITUTE(SUBSTITUTE(SUBSTITUTE(SUBSTITUTE(SUBSTITUTE(SUBSTITUTE(SUBSTITUTE(SUBSTITUTE(LOWER(AA671&amp;""),CHAR(160),"")," ",""),".",""),"-",""),"/",""),"?",""),"_",""),",",""),"[",""),"]",""),"(",""),")",""),"*","")</f>
        <v/>
      </c>
      <c r="BB671" s="61" t="str">
        <f aca="false">IF(AND(TRIM(U671)="Pass",ISNUMBER(AF671)),IF(AF671&lt;&gt;0,"INVALID – qty variance: use Fail or Pass after CA",""),"")&amp;IF(AND(TRIM(U671)="Pass after CA",ISNUMBER(AF671)),IF(AF671&lt;&gt;0,"INVALID – after the corrective action the actual qty must equal expected (update Actual)",""),"")&amp;IF(AND(TRIM(U671)="Pass",TRIM(AB671)&lt;&gt;"",TRIM(AB671)&lt;&gt;"Closed"),"INVALID – corrective action not closed: use Fail, then Pass after CA","")&amp;IF(AND(TRIM(AA671)&lt;&gt;"",TRIM(AB671)=""),"INVALID – CA status missing for the recorded corrective action","")&amp;IF(AND(TRIM(U671)="Pass after CA",OR(OR(LEN(BA671)&lt;5,ISNUMBER(MATCH(BA671,L_Placeholder,0))),TRIM(AB671)&lt;&gt;"Closed")),"INVALID – corrective action not recorded/closed","")</f>
        <v/>
      </c>
    </row>
    <row r="672" customFormat="false" ht="39.75" hidden="false" customHeight="true" outlineLevel="0" collapsed="false">
      <c r="A672" s="57" t="s">
        <v>1370</v>
      </c>
      <c r="B672" s="57" t="s">
        <v>307</v>
      </c>
      <c r="C672" s="57" t="str">
        <f aca="false">Flights!$F$25</f>
        <v>MH1437</v>
      </c>
      <c r="D672" s="58" t="n">
        <f aca="false">Flights!$D$25</f>
        <v>46325</v>
      </c>
      <c r="E672" s="57" t="str">
        <f aca="false">Flights!$G$25&amp;"-"&amp;Flights!$H$25</f>
        <v>LGK-KUL</v>
      </c>
      <c r="F672" s="57" t="str">
        <f aca="false">Flights!$K$25</f>
        <v>BC</v>
      </c>
      <c r="G672" s="57" t="s">
        <v>79</v>
      </c>
      <c r="H672" s="57" t="s">
        <v>356</v>
      </c>
      <c r="I672" s="57" t="s">
        <v>383</v>
      </c>
      <c r="J672" s="57" t="s">
        <v>387</v>
      </c>
      <c r="K672" s="67" t="s">
        <v>385</v>
      </c>
      <c r="L672" s="67" t="s">
        <v>360</v>
      </c>
      <c r="M672" s="67"/>
      <c r="N672" s="67" t="s">
        <v>361</v>
      </c>
      <c r="O672" s="67"/>
      <c r="P672" s="57" t="s">
        <v>184</v>
      </c>
      <c r="Q672" s="59" t="n">
        <f aca="false">ROUND((Flights!$AC$25)*1440,0)/1440</f>
        <v>46318.28125</v>
      </c>
      <c r="R672" s="59" t="n">
        <f aca="false">Q672+(IF(AND(INDEX(TZ_DSTS,MATCH(P672,TZ_STN,0))&lt;&gt;"",Q672&gt;=INDEX(TZ_DSTS,MATCH(P672,TZ_STN,0)),Q672&lt;INDEX(TZ_DSTE,MATCH(P672,TZ_STN,0))),INDEX(TZ_DST,MATCH(P672,TZ_STN,0)),INDEX(TZ_STD,MATCH(P672,TZ_STN,0))))/24</f>
        <v>46318.6145833333</v>
      </c>
      <c r="S672" s="59" t="n">
        <f aca="false">Q672-T7EarlyD*24/24</f>
        <v>46304.28125</v>
      </c>
      <c r="T672" s="60"/>
      <c r="U672" s="60"/>
      <c r="V672" s="60"/>
      <c r="W672" s="61"/>
      <c r="X672" s="60"/>
      <c r="Y672" s="60"/>
      <c r="Z672" s="60"/>
      <c r="AA672" s="60"/>
      <c r="AB672" s="60"/>
      <c r="AC672" s="60"/>
      <c r="AD672" s="66"/>
      <c r="AE672" s="60"/>
      <c r="AF672" s="61" t="str">
        <f aca="false">IF(AND(ISNUMBER(X672),ISNUMBER(Y672)),Y672-X672,"")</f>
        <v/>
      </c>
      <c r="AG672" s="62" t="str">
        <f aca="false">IF(ISNUMBER(AD672),AD672-(IF(AND(INDEX(TZ_DSTS,MATCH(P672,TZ_STN,0))&lt;&gt;"",(AD672-INDEX(TZ_STD,MATCH(P672,TZ_STN,0))/24)&gt;=INDEX(TZ_DSTS,MATCH(P672,TZ_STN,0)),(AD672-INDEX(TZ_STD,MATCH(P672,TZ_STN,0))/24)&lt;INDEX(TZ_DSTE,MATCH(P672,TZ_STN,0))),INDEX(TZ_DST,MATCH(P672,TZ_STN,0)),INDEX(TZ_STD,MATCH(P672,TZ_STN,0))))/24,"")</f>
        <v/>
      </c>
      <c r="AH672" s="65" t="str">
        <f aca="false">IFERROR(IF(N672="N/A – rule","N/A – RULE",IF(TRIM(U672)="N/A",IF(AT672=0,"INVALID – N/A not permitted for this check",IF(AND(TRIM(AB672)&lt;&gt;"",TRIM(AB672)&lt;&gt;"Closed"),"INVALID – corrective action still open",IF(AND(NOT(OR(LEN(AZ672)&lt;15,ISNUMBER(MATCH(AZ672,L_Placeholder,0)))),NOT(OR(LEN(AU672)&lt;2,ISNUMBER(MATCH(AU672,L_Placeholder,0)))),NOT(OR(LEN(AX672)&lt;2,ISNUMBER(MATCH(AX672,L_Placeholder,0)))),TRIM(AE672)&lt;&gt;TRIM(T672)),"N/A – JUSTIFIED","INVALID – N/A needs a real justification (15+ chars), PIC and a different verifier"))),IF(OR(TRIM(U672)="Pass",TRIM(U672)="Pass after CA"),IF(NOT(ISNUMBER(AD672)),"INVALID – completion time missing",IF(OR(LEN(AU672)&lt;2,ISNUMBER(MATCH(AU672,L_Placeholder,0))),"INVALID – PIC missing",IF(OR(LEN(AV672)&lt;2,ISNUMBER(MATCH(AV672,L_Placeholder,0))),"INVALID – result / assessment missing",IF(OR(OR(LEN(AW672)&lt;3,ISNUMBER(MATCH(AW672,L_Placeholder,0))),SUMPRODUCT(--ISNUMBER(SEARCH(L_EvidencePhrase,AW672)))&gt;0),"INVALID – evidence missing, placeholder or not yet on file",IF(OR(LEN(AX672)&lt;2,ISNUMBER(MATCH(AX672,L_Placeholder,0))),"INVALID – verifier missing",IF(AX672=AU672,"INVALID – verifier must be someone other than the PIC",IF(AND(TRIM(U672)="Pass",SUMPRODUCT(--ISNUMBER(SEARCH(L_ResultBad,AV672)))&gt;0),"INVALID – result describes a problem: use Fail, then Pass after CA",IF(AND(AQ672=1,OR(LEN(AY672)&lt;3,ISNUMBER(MATCH(AY672,L_Placeholder,0)))),"INVALID – batch ID missing or placeholder",IF(AND(AR672=1,OR(NOT(ISNUMBER(X672)),NOT(ISNUMBER(Y672)))),"INVALID – expected/actual qty missing",IF(AND(AR672=1,OR(X672&lt;=0,Y672&lt;0)),"INVALID – expected qty must be above 0 and actual not negative",IF(BB672&lt;&gt;"",BB672,IF(AND(AS672=1,Documents!$J$25&lt;&gt;"ON FILE"),"INVALID – GLD not on file (Documents sheet)",IF(AND(AS672=2,Documents!$O$25&lt;&gt;"ON FILE"),"INVALID – menu checklist not on file (Documents sheet)",IF(AND(AS672=3,NOT(ISNUMBER(Flights!$AX$25))),"INVALID – enter carrying flight KUL departure (Flights AX)",IF(AND(AS672=3,OR(Flights!$AZ$25&gt;Flights!$AA$25,Flights!$AX$25&lt;Flights!$AA$25-3)),"INVALID – carrying flight (Flights AX) cannot arrive before this leg's STD, or is over 3 days early",IF(AG672&gt;AsOfUTC,"INVALID – completion time is in the future",IF(AND(ISNUMBER(S672),AG672&lt;S672),IF(H672="Physical uplift","INVALID – before uplift window (cannot confirm loading)","INVALID – before valid window"),IF(AG672&gt;Flights!$AA$25,"INVALID – completed after departure (cannot establish readiness)",IF(AND(H672="Preparation",AG672&gt;IF(ISNUMBER(Flights!$BA$25),MIN(Flights!$BA$25,Flights!$AA$25),Flights!$AA$25)),"INVALID – completed after loading / departure (cannot establish readiness)",IF(AND(H672="Physical uplift",AG672&gt;Q672),"INVALID – recorded after the loading flight departed",IF(AG672&gt;Q672,"COMPLETE – LATE","COMPLETE"))))))))))))))))))))),IF(TRIM(U672)="Fail","FAIL – DISCREPANCY",IF(AND(TRIM(U672)&lt;&gt;"",TRIM(U672)&lt;&gt;"Not started",TRIM(U672)&lt;&gt;"In progress"),"INVALID – unrecognised status (use the list)",IF(AsOfUTC&gt;Q672,"OVERDUE",IF(N672="Clarification required","OPEN – CLARIFICATION","OPEN"))))))),"INVALID – error value in an input cell")</f>
        <v>OPEN</v>
      </c>
      <c r="AI672" s="61" t="n">
        <f aca="false">IF(OR(AH672="N/A – RULE",AH672="N/A – JUSTIFIED"),0,1)</f>
        <v>1</v>
      </c>
      <c r="AJ672" s="61" t="n">
        <f aca="false">IF(LEFT(AH672,8)="COMPLETE",1,0)</f>
        <v>0</v>
      </c>
      <c r="AK672" s="61" t="n">
        <f aca="false">IF(AND(AI672=1,AJ672=0,AsOfUTC&gt;Q672),1,0)</f>
        <v>0</v>
      </c>
      <c r="AL672" s="61" t="n">
        <f aca="false">IFERROR(IF(AND(AI672=1,OR(TRIM(U672)="Fail",AND(TRIM(AB672)&lt;&gt;"",TRIM(AB672)&lt;&gt;"Closed"),AND(ISNUMBER(AF672),AF672&lt;&gt;0,TRIM(U672)&lt;&gt;"Pass after CA"))),1,0),1)</f>
        <v>0</v>
      </c>
      <c r="AM672" s="61" t="n">
        <f aca="false">IF(LEFT(AH672,7)="INVALID",1,0)</f>
        <v>0</v>
      </c>
      <c r="AN672" s="61" t="n">
        <f aca="false">IF(AND(N672="Clarification required",AI672=1,AJ672=0),1,0)</f>
        <v>0</v>
      </c>
      <c r="AO672" s="61" t="str">
        <f aca="false">IF(AK672=1,SUM(AK$5:AK672),"")</f>
        <v/>
      </c>
      <c r="AP672" s="61" t="str">
        <f aca="false">IF(AL672=1,SUM(AL$5:AL672),"")</f>
        <v/>
      </c>
      <c r="AQ672" s="61" t="n">
        <v>0</v>
      </c>
      <c r="AR672" s="61" t="n">
        <v>0</v>
      </c>
      <c r="AS672" s="61" t="n">
        <v>2</v>
      </c>
      <c r="AT672" s="61" t="n">
        <v>0</v>
      </c>
      <c r="AU672" s="61" t="str">
        <f aca="false">SUBSTITUTE(SUBSTITUTE(SUBSTITUTE(SUBSTITUTE(SUBSTITUTE(SUBSTITUTE(SUBSTITUTE(SUBSTITUTE(SUBSTITUTE(SUBSTITUTE(SUBSTITUTE(SUBSTITUTE(SUBSTITUTE(LOWER(T672&amp;""),CHAR(160),"")," ",""),".",""),"-",""),"/",""),"?",""),"_",""),",",""),"[",""),"]",""),"(",""),")",""),"*","")</f>
        <v/>
      </c>
      <c r="AV672" s="61" t="str">
        <f aca="false">SUBSTITUTE(SUBSTITUTE(SUBSTITUTE(SUBSTITUTE(SUBSTITUTE(SUBSTITUTE(SUBSTITUTE(SUBSTITUTE(SUBSTITUTE(SUBSTITUTE(SUBSTITUTE(SUBSTITUTE(SUBSTITUTE(LOWER(V672&amp;""),CHAR(160),"")," ",""),".",""),"-",""),"/",""),"?",""),"_",""),",",""),"[",""),"]",""),"(",""),")",""),"*","")</f>
        <v/>
      </c>
      <c r="AW672" s="61" t="str">
        <f aca="false">SUBSTITUTE(SUBSTITUTE(SUBSTITUTE(SUBSTITUTE(SUBSTITUTE(SUBSTITUTE(SUBSTITUTE(SUBSTITUTE(SUBSTITUTE(SUBSTITUTE(SUBSTITUTE(SUBSTITUTE(SUBSTITUTE(LOWER(Z672&amp;""),CHAR(160),"")," ",""),".",""),"-",""),"/",""),"?",""),"_",""),",",""),"[",""),"]",""),"(",""),")",""),"*","")</f>
        <v/>
      </c>
      <c r="AX672" s="61" t="str">
        <f aca="false">SUBSTITUTE(SUBSTITUTE(SUBSTITUTE(SUBSTITUTE(SUBSTITUTE(SUBSTITUTE(SUBSTITUTE(SUBSTITUTE(SUBSTITUTE(SUBSTITUTE(SUBSTITUTE(SUBSTITUTE(SUBSTITUTE(LOWER(AE672&amp;""),CHAR(160),"")," ",""),".",""),"-",""),"/",""),"?",""),"_",""),",",""),"[",""),"]",""),"(",""),")",""),"*","")</f>
        <v/>
      </c>
      <c r="AY672" s="61" t="str">
        <f aca="false">SUBSTITUTE(SUBSTITUTE(SUBSTITUTE(SUBSTITUTE(SUBSTITUTE(SUBSTITUTE(SUBSTITUTE(SUBSTITUTE(SUBSTITUTE(SUBSTITUTE(SUBSTITUTE(SUBSTITUTE(SUBSTITUTE(LOWER(W672&amp;""),CHAR(160),"")," ",""),".",""),"-",""),"/",""),"?",""),"_",""),",",""),"[",""),"]",""),"(",""),")",""),"*","")</f>
        <v/>
      </c>
      <c r="AZ672" s="61" t="str">
        <f aca="false">SUBSTITUTE(SUBSTITUTE(SUBSTITUTE(SUBSTITUTE(SUBSTITUTE(SUBSTITUTE(SUBSTITUTE(SUBSTITUTE(SUBSTITUTE(SUBSTITUTE(SUBSTITUTE(SUBSTITUTE(SUBSTITUTE(LOWER(AC672&amp;""),CHAR(160),"")," ",""),".",""),"-",""),"/",""),"?",""),"_",""),",",""),"[",""),"]",""),"(",""),")",""),"*","")</f>
        <v/>
      </c>
      <c r="BA672" s="61" t="str">
        <f aca="false">SUBSTITUTE(SUBSTITUTE(SUBSTITUTE(SUBSTITUTE(SUBSTITUTE(SUBSTITUTE(SUBSTITUTE(SUBSTITUTE(SUBSTITUTE(SUBSTITUTE(SUBSTITUTE(SUBSTITUTE(SUBSTITUTE(LOWER(AA672&amp;""),CHAR(160),"")," ",""),".",""),"-",""),"/",""),"?",""),"_",""),",",""),"[",""),"]",""),"(",""),")",""),"*","")</f>
        <v/>
      </c>
      <c r="BB672" s="61" t="str">
        <f aca="false">IF(AND(TRIM(U672)="Pass",ISNUMBER(AF672)),IF(AF672&lt;&gt;0,"INVALID – qty variance: use Fail or Pass after CA",""),"")&amp;IF(AND(TRIM(U672)="Pass after CA",ISNUMBER(AF672)),IF(AF672&lt;&gt;0,"INVALID – after the corrective action the actual qty must equal expected (update Actual)",""),"")&amp;IF(AND(TRIM(U672)="Pass",TRIM(AB672)&lt;&gt;"",TRIM(AB672)&lt;&gt;"Closed"),"INVALID – corrective action not closed: use Fail, then Pass after CA","")&amp;IF(AND(TRIM(AA672)&lt;&gt;"",TRIM(AB672)=""),"INVALID – CA status missing for the recorded corrective action","")&amp;IF(AND(TRIM(U672)="Pass after CA",OR(OR(LEN(BA672)&lt;5,ISNUMBER(MATCH(BA672,L_Placeholder,0))),TRIM(AB672)&lt;&gt;"Closed")),"INVALID – corrective action not recorded/closed","")</f>
        <v/>
      </c>
    </row>
    <row r="673" customFormat="false" ht="41.25" hidden="false" customHeight="true" outlineLevel="0" collapsed="false">
      <c r="A673" s="57" t="s">
        <v>1371</v>
      </c>
      <c r="B673" s="57" t="s">
        <v>307</v>
      </c>
      <c r="C673" s="57" t="str">
        <f aca="false">Flights!$F$25</f>
        <v>MH1437</v>
      </c>
      <c r="D673" s="58" t="n">
        <f aca="false">Flights!$D$25</f>
        <v>46325</v>
      </c>
      <c r="E673" s="57" t="str">
        <f aca="false">Flights!$G$25&amp;"-"&amp;Flights!$H$25</f>
        <v>LGK-KUL</v>
      </c>
      <c r="F673" s="57" t="str">
        <f aca="false">Flights!$K$25</f>
        <v>BC</v>
      </c>
      <c r="G673" s="57" t="s">
        <v>79</v>
      </c>
      <c r="H673" s="57" t="s">
        <v>356</v>
      </c>
      <c r="I673" s="57" t="s">
        <v>389</v>
      </c>
      <c r="J673" s="57" t="s">
        <v>390</v>
      </c>
      <c r="K673" s="67" t="s">
        <v>900</v>
      </c>
      <c r="L673" s="67" t="s">
        <v>1349</v>
      </c>
      <c r="M673" s="67"/>
      <c r="N673" s="67" t="s">
        <v>361</v>
      </c>
      <c r="O673" s="67" t="s">
        <v>945</v>
      </c>
      <c r="P673" s="57" t="s">
        <v>184</v>
      </c>
      <c r="Q673" s="59" t="n">
        <f aca="false">ROUND((Flights!$AC$25)*1440,0)/1440</f>
        <v>46318.28125</v>
      </c>
      <c r="R673" s="59" t="n">
        <f aca="false">Q673+(IF(AND(INDEX(TZ_DSTS,MATCH(P673,TZ_STN,0))&lt;&gt;"",Q673&gt;=INDEX(TZ_DSTS,MATCH(P673,TZ_STN,0)),Q673&lt;INDEX(TZ_DSTE,MATCH(P673,TZ_STN,0))),INDEX(TZ_DST,MATCH(P673,TZ_STN,0)),INDEX(TZ_STD,MATCH(P673,TZ_STN,0))))/24</f>
        <v>46318.6145833333</v>
      </c>
      <c r="S673" s="59" t="n">
        <f aca="false">Q673-T7EarlyD*24/24</f>
        <v>46304.28125</v>
      </c>
      <c r="T673" s="60"/>
      <c r="U673" s="60"/>
      <c r="V673" s="60"/>
      <c r="W673" s="61"/>
      <c r="X673" s="60"/>
      <c r="Y673" s="60"/>
      <c r="Z673" s="60"/>
      <c r="AA673" s="60"/>
      <c r="AB673" s="60"/>
      <c r="AC673" s="60"/>
      <c r="AD673" s="66"/>
      <c r="AE673" s="60"/>
      <c r="AF673" s="61" t="str">
        <f aca="false">IF(AND(ISNUMBER(X673),ISNUMBER(Y673)),Y673-X673,"")</f>
        <v/>
      </c>
      <c r="AG673" s="62" t="str">
        <f aca="false">IF(ISNUMBER(AD673),AD673-(IF(AND(INDEX(TZ_DSTS,MATCH(P673,TZ_STN,0))&lt;&gt;"",(AD673-INDEX(TZ_STD,MATCH(P673,TZ_STN,0))/24)&gt;=INDEX(TZ_DSTS,MATCH(P673,TZ_STN,0)),(AD673-INDEX(TZ_STD,MATCH(P673,TZ_STN,0))/24)&lt;INDEX(TZ_DSTE,MATCH(P673,TZ_STN,0))),INDEX(TZ_DST,MATCH(P673,TZ_STN,0)),INDEX(TZ_STD,MATCH(P673,TZ_STN,0))))/24,"")</f>
        <v/>
      </c>
      <c r="AH673" s="65" t="str">
        <f aca="false">IFERROR(IF(N673="N/A – rule","N/A – RULE",IF(TRIM(U673)="N/A",IF(AT673=0,"INVALID – N/A not permitted for this check",IF(AND(TRIM(AB673)&lt;&gt;"",TRIM(AB673)&lt;&gt;"Closed"),"INVALID – corrective action still open",IF(AND(NOT(OR(LEN(AZ673)&lt;15,ISNUMBER(MATCH(AZ673,L_Placeholder,0)))),NOT(OR(LEN(AU673)&lt;2,ISNUMBER(MATCH(AU673,L_Placeholder,0)))),NOT(OR(LEN(AX673)&lt;2,ISNUMBER(MATCH(AX673,L_Placeholder,0)))),TRIM(AE673)&lt;&gt;TRIM(T673)),"N/A – JUSTIFIED","INVALID – N/A needs a real justification (15+ chars), PIC and a different verifier"))),IF(OR(TRIM(U673)="Pass",TRIM(U673)="Pass after CA"),IF(NOT(ISNUMBER(AD673)),"INVALID – completion time missing",IF(OR(LEN(AU673)&lt;2,ISNUMBER(MATCH(AU673,L_Placeholder,0))),"INVALID – PIC missing",IF(OR(LEN(AV673)&lt;2,ISNUMBER(MATCH(AV673,L_Placeholder,0))),"INVALID – result / assessment missing",IF(OR(OR(LEN(AW673)&lt;3,ISNUMBER(MATCH(AW673,L_Placeholder,0))),SUMPRODUCT(--ISNUMBER(SEARCH(L_EvidencePhrase,AW673)))&gt;0),"INVALID – evidence missing, placeholder or not yet on file",IF(OR(LEN(AX673)&lt;2,ISNUMBER(MATCH(AX673,L_Placeholder,0))),"INVALID – verifier missing",IF(AX673=AU673,"INVALID – verifier must be someone other than the PIC",IF(AND(TRIM(U673)="Pass",SUMPRODUCT(--ISNUMBER(SEARCH(L_ResultBad,AV673)))&gt;0),"INVALID – result describes a problem: use Fail, then Pass after CA",IF(AND(AQ673=1,OR(LEN(AY673)&lt;3,ISNUMBER(MATCH(AY673,L_Placeholder,0)))),"INVALID – batch ID missing or placeholder",IF(AND(AR673=1,OR(NOT(ISNUMBER(X673)),NOT(ISNUMBER(Y673)))),"INVALID – expected/actual qty missing",IF(AND(AR673=1,OR(X673&lt;=0,Y673&lt;0)),"INVALID – expected qty must be above 0 and actual not negative",IF(BB673&lt;&gt;"",BB673,IF(AND(AS673=1,Documents!$J$25&lt;&gt;"ON FILE"),"INVALID – GLD not on file (Documents sheet)",IF(AND(AS673=2,Documents!$O$25&lt;&gt;"ON FILE"),"INVALID – menu checklist not on file (Documents sheet)",IF(AND(AS673=3,NOT(ISNUMBER(Flights!$AX$25))),"INVALID – enter carrying flight KUL departure (Flights AX)",IF(AND(AS673=3,OR(Flights!$AZ$25&gt;Flights!$AA$25,Flights!$AX$25&lt;Flights!$AA$25-3)),"INVALID – carrying flight (Flights AX) cannot arrive before this leg's STD, or is over 3 days early",IF(AG673&gt;AsOfUTC,"INVALID – completion time is in the future",IF(AND(ISNUMBER(S673),AG673&lt;S673),IF(H673="Physical uplift","INVALID – before uplift window (cannot confirm loading)","INVALID – before valid window"),IF(AG673&gt;Flights!$AA$25,"INVALID – completed after departure (cannot establish readiness)",IF(AND(H673="Preparation",AG673&gt;IF(ISNUMBER(Flights!$BA$25),MIN(Flights!$BA$25,Flights!$AA$25),Flights!$AA$25)),"INVALID – completed after loading / departure (cannot establish readiness)",IF(AND(H673="Physical uplift",AG673&gt;Q673),"INVALID – recorded after the loading flight departed",IF(AG673&gt;Q673,"COMPLETE – LATE","COMPLETE"))))))))))))))))))))),IF(TRIM(U673)="Fail","FAIL – DISCREPANCY",IF(AND(TRIM(U673)&lt;&gt;"",TRIM(U673)&lt;&gt;"Not started",TRIM(U673)&lt;&gt;"In progress"),"INVALID – unrecognised status (use the list)",IF(AsOfUTC&gt;Q673,"OVERDUE",IF(N673="Clarification required","OPEN – CLARIFICATION","OPEN"))))))),"INVALID – error value in an input cell")</f>
        <v>OPEN</v>
      </c>
      <c r="AI673" s="61" t="n">
        <f aca="false">IF(OR(AH673="N/A – RULE",AH673="N/A – JUSTIFIED"),0,1)</f>
        <v>1</v>
      </c>
      <c r="AJ673" s="61" t="n">
        <f aca="false">IF(LEFT(AH673,8)="COMPLETE",1,0)</f>
        <v>0</v>
      </c>
      <c r="AK673" s="61" t="n">
        <f aca="false">IF(AND(AI673=1,AJ673=0,AsOfUTC&gt;Q673),1,0)</f>
        <v>0</v>
      </c>
      <c r="AL673" s="61" t="n">
        <f aca="false">IFERROR(IF(AND(AI673=1,OR(TRIM(U673)="Fail",AND(TRIM(AB673)&lt;&gt;"",TRIM(AB673)&lt;&gt;"Closed"),AND(ISNUMBER(AF673),AF673&lt;&gt;0,TRIM(U673)&lt;&gt;"Pass after CA"))),1,0),1)</f>
        <v>0</v>
      </c>
      <c r="AM673" s="61" t="n">
        <f aca="false">IF(LEFT(AH673,7)="INVALID",1,0)</f>
        <v>0</v>
      </c>
      <c r="AN673" s="61" t="n">
        <f aca="false">IF(AND(N673="Clarification required",AI673=1,AJ673=0),1,0)</f>
        <v>0</v>
      </c>
      <c r="AO673" s="61" t="str">
        <f aca="false">IF(AK673=1,SUM(AK$5:AK673),"")</f>
        <v/>
      </c>
      <c r="AP673" s="61" t="str">
        <f aca="false">IF(AL673=1,SUM(AL$5:AL673),"")</f>
        <v/>
      </c>
      <c r="AQ673" s="61" t="n">
        <v>0</v>
      </c>
      <c r="AR673" s="61" t="n">
        <v>0</v>
      </c>
      <c r="AS673" s="61" t="n">
        <v>0</v>
      </c>
      <c r="AT673" s="61" t="n">
        <v>0</v>
      </c>
      <c r="AU673" s="61" t="str">
        <f aca="false">SUBSTITUTE(SUBSTITUTE(SUBSTITUTE(SUBSTITUTE(SUBSTITUTE(SUBSTITUTE(SUBSTITUTE(SUBSTITUTE(SUBSTITUTE(SUBSTITUTE(SUBSTITUTE(SUBSTITUTE(SUBSTITUTE(LOWER(T673&amp;""),CHAR(160),"")," ",""),".",""),"-",""),"/",""),"?",""),"_",""),",",""),"[",""),"]",""),"(",""),")",""),"*","")</f>
        <v/>
      </c>
      <c r="AV673" s="61" t="str">
        <f aca="false">SUBSTITUTE(SUBSTITUTE(SUBSTITUTE(SUBSTITUTE(SUBSTITUTE(SUBSTITUTE(SUBSTITUTE(SUBSTITUTE(SUBSTITUTE(SUBSTITUTE(SUBSTITUTE(SUBSTITUTE(SUBSTITUTE(LOWER(V673&amp;""),CHAR(160),"")," ",""),".",""),"-",""),"/",""),"?",""),"_",""),",",""),"[",""),"]",""),"(",""),")",""),"*","")</f>
        <v/>
      </c>
      <c r="AW673" s="61" t="str">
        <f aca="false">SUBSTITUTE(SUBSTITUTE(SUBSTITUTE(SUBSTITUTE(SUBSTITUTE(SUBSTITUTE(SUBSTITUTE(SUBSTITUTE(SUBSTITUTE(SUBSTITUTE(SUBSTITUTE(SUBSTITUTE(SUBSTITUTE(LOWER(Z673&amp;""),CHAR(160),"")," ",""),".",""),"-",""),"/",""),"?",""),"_",""),",",""),"[",""),"]",""),"(",""),")",""),"*","")</f>
        <v/>
      </c>
      <c r="AX673" s="61" t="str">
        <f aca="false">SUBSTITUTE(SUBSTITUTE(SUBSTITUTE(SUBSTITUTE(SUBSTITUTE(SUBSTITUTE(SUBSTITUTE(SUBSTITUTE(SUBSTITUTE(SUBSTITUTE(SUBSTITUTE(SUBSTITUTE(SUBSTITUTE(LOWER(AE673&amp;""),CHAR(160),"")," ",""),".",""),"-",""),"/",""),"?",""),"_",""),",",""),"[",""),"]",""),"(",""),")",""),"*","")</f>
        <v/>
      </c>
      <c r="AY673" s="61" t="str">
        <f aca="false">SUBSTITUTE(SUBSTITUTE(SUBSTITUTE(SUBSTITUTE(SUBSTITUTE(SUBSTITUTE(SUBSTITUTE(SUBSTITUTE(SUBSTITUTE(SUBSTITUTE(SUBSTITUTE(SUBSTITUTE(SUBSTITUTE(LOWER(W673&amp;""),CHAR(160),"")," ",""),".",""),"-",""),"/",""),"?",""),"_",""),",",""),"[",""),"]",""),"(",""),")",""),"*","")</f>
        <v/>
      </c>
      <c r="AZ673" s="61" t="str">
        <f aca="false">SUBSTITUTE(SUBSTITUTE(SUBSTITUTE(SUBSTITUTE(SUBSTITUTE(SUBSTITUTE(SUBSTITUTE(SUBSTITUTE(SUBSTITUTE(SUBSTITUTE(SUBSTITUTE(SUBSTITUTE(SUBSTITUTE(LOWER(AC673&amp;""),CHAR(160),"")," ",""),".",""),"-",""),"/",""),"?",""),"_",""),",",""),"[",""),"]",""),"(",""),")",""),"*","")</f>
        <v/>
      </c>
      <c r="BA673" s="61" t="str">
        <f aca="false">SUBSTITUTE(SUBSTITUTE(SUBSTITUTE(SUBSTITUTE(SUBSTITUTE(SUBSTITUTE(SUBSTITUTE(SUBSTITUTE(SUBSTITUTE(SUBSTITUTE(SUBSTITUTE(SUBSTITUTE(SUBSTITUTE(LOWER(AA673&amp;""),CHAR(160),"")," ",""),".",""),"-",""),"/",""),"?",""),"_",""),",",""),"[",""),"]",""),"(",""),")",""),"*","")</f>
        <v/>
      </c>
      <c r="BB673" s="61" t="str">
        <f aca="false">IF(AND(TRIM(U673)="Pass",ISNUMBER(AF673)),IF(AF673&lt;&gt;0,"INVALID – qty variance: use Fail or Pass after CA",""),"")&amp;IF(AND(TRIM(U673)="Pass after CA",ISNUMBER(AF673)),IF(AF673&lt;&gt;0,"INVALID – after the corrective action the actual qty must equal expected (update Actual)",""),"")&amp;IF(AND(TRIM(U673)="Pass",TRIM(AB673)&lt;&gt;"",TRIM(AB673)&lt;&gt;"Closed"),"INVALID – corrective action not closed: use Fail, then Pass after CA","")&amp;IF(AND(TRIM(AA673)&lt;&gt;"",TRIM(AB673)=""),"INVALID – CA status missing for the recorded corrective action","")&amp;IF(AND(TRIM(U673)="Pass after CA",OR(OR(LEN(BA673)&lt;5,ISNUMBER(MATCH(BA673,L_Placeholder,0))),TRIM(AB673)&lt;&gt;"Closed")),"INVALID – corrective action not recorded/closed","")</f>
        <v/>
      </c>
    </row>
    <row r="674" customFormat="false" ht="78.75" hidden="false" customHeight="true" outlineLevel="0" collapsed="false">
      <c r="A674" s="57" t="s">
        <v>1372</v>
      </c>
      <c r="B674" s="57" t="s">
        <v>307</v>
      </c>
      <c r="C674" s="57" t="str">
        <f aca="false">Flights!$F$25</f>
        <v>MH1437</v>
      </c>
      <c r="D674" s="58" t="n">
        <f aca="false">Flights!$D$25</f>
        <v>46325</v>
      </c>
      <c r="E674" s="57" t="str">
        <f aca="false">Flights!$G$25&amp;"-"&amp;Flights!$H$25</f>
        <v>LGK-KUL</v>
      </c>
      <c r="F674" s="57" t="str">
        <f aca="false">Flights!$K$25</f>
        <v>BC</v>
      </c>
      <c r="G674" s="57" t="s">
        <v>79</v>
      </c>
      <c r="H674" s="57" t="s">
        <v>356</v>
      </c>
      <c r="I674" s="57" t="s">
        <v>389</v>
      </c>
      <c r="J674" s="57" t="s">
        <v>947</v>
      </c>
      <c r="K674" s="67" t="s">
        <v>1373</v>
      </c>
      <c r="L674" s="67" t="s">
        <v>1349</v>
      </c>
      <c r="M674" s="67"/>
      <c r="N674" s="67" t="s">
        <v>422</v>
      </c>
      <c r="O674" s="67" t="s">
        <v>1374</v>
      </c>
      <c r="P674" s="57" t="s">
        <v>184</v>
      </c>
      <c r="Q674" s="59" t="n">
        <f aca="false">ROUND((Flights!$AC$25)*1440,0)/1440</f>
        <v>46318.28125</v>
      </c>
      <c r="R674" s="59" t="n">
        <f aca="false">Q674+(IF(AND(INDEX(TZ_DSTS,MATCH(P674,TZ_STN,0))&lt;&gt;"",Q674&gt;=INDEX(TZ_DSTS,MATCH(P674,TZ_STN,0)),Q674&lt;INDEX(TZ_DSTE,MATCH(P674,TZ_STN,0))),INDEX(TZ_DST,MATCH(P674,TZ_STN,0)),INDEX(TZ_STD,MATCH(P674,TZ_STN,0))))/24</f>
        <v>46318.6145833333</v>
      </c>
      <c r="S674" s="59" t="n">
        <f aca="false">Q674-T7EarlyD*24/24</f>
        <v>46304.28125</v>
      </c>
      <c r="T674" s="60"/>
      <c r="U674" s="60"/>
      <c r="V674" s="60"/>
      <c r="W674" s="61"/>
      <c r="X674" s="60"/>
      <c r="Y674" s="60"/>
      <c r="Z674" s="60"/>
      <c r="AA674" s="60"/>
      <c r="AB674" s="60"/>
      <c r="AC674" s="60"/>
      <c r="AD674" s="66"/>
      <c r="AE674" s="60"/>
      <c r="AF674" s="61" t="str">
        <f aca="false">IF(AND(ISNUMBER(X674),ISNUMBER(Y674)),Y674-X674,"")</f>
        <v/>
      </c>
      <c r="AG674" s="62" t="str">
        <f aca="false">IF(ISNUMBER(AD674),AD674-(IF(AND(INDEX(TZ_DSTS,MATCH(P674,TZ_STN,0))&lt;&gt;"",(AD674-INDEX(TZ_STD,MATCH(P674,TZ_STN,0))/24)&gt;=INDEX(TZ_DSTS,MATCH(P674,TZ_STN,0)),(AD674-INDEX(TZ_STD,MATCH(P674,TZ_STN,0))/24)&lt;INDEX(TZ_DSTE,MATCH(P674,TZ_STN,0))),INDEX(TZ_DST,MATCH(P674,TZ_STN,0)),INDEX(TZ_STD,MATCH(P674,TZ_STN,0))))/24,"")</f>
        <v/>
      </c>
      <c r="AH674" s="65" t="str">
        <f aca="false">IFERROR(IF(N674="N/A – rule","N/A – RULE",IF(TRIM(U674)="N/A",IF(AT674=0,"INVALID – N/A not permitted for this check",IF(AND(TRIM(AB674)&lt;&gt;"",TRIM(AB674)&lt;&gt;"Closed"),"INVALID – corrective action still open",IF(AND(NOT(OR(LEN(AZ674)&lt;15,ISNUMBER(MATCH(AZ674,L_Placeholder,0)))),NOT(OR(LEN(AU674)&lt;2,ISNUMBER(MATCH(AU674,L_Placeholder,0)))),NOT(OR(LEN(AX674)&lt;2,ISNUMBER(MATCH(AX674,L_Placeholder,0)))),TRIM(AE674)&lt;&gt;TRIM(T674)),"N/A – JUSTIFIED","INVALID – N/A needs a real justification (15+ chars), PIC and a different verifier"))),IF(OR(TRIM(U674)="Pass",TRIM(U674)="Pass after CA"),IF(NOT(ISNUMBER(AD674)),"INVALID – completion time missing",IF(OR(LEN(AU674)&lt;2,ISNUMBER(MATCH(AU674,L_Placeholder,0))),"INVALID – PIC missing",IF(OR(LEN(AV674)&lt;2,ISNUMBER(MATCH(AV674,L_Placeholder,0))),"INVALID – result / assessment missing",IF(OR(OR(LEN(AW674)&lt;3,ISNUMBER(MATCH(AW674,L_Placeholder,0))),SUMPRODUCT(--ISNUMBER(SEARCH(L_EvidencePhrase,AW674)))&gt;0),"INVALID – evidence missing, placeholder or not yet on file",IF(OR(LEN(AX674)&lt;2,ISNUMBER(MATCH(AX674,L_Placeholder,0))),"INVALID – verifier missing",IF(AX674=AU674,"INVALID – verifier must be someone other than the PIC",IF(AND(TRIM(U674)="Pass",SUMPRODUCT(--ISNUMBER(SEARCH(L_ResultBad,AV674)))&gt;0),"INVALID – result describes a problem: use Fail, then Pass after CA",IF(AND(AQ674=1,OR(LEN(AY674)&lt;3,ISNUMBER(MATCH(AY674,L_Placeholder,0)))),"INVALID – batch ID missing or placeholder",IF(AND(AR674=1,OR(NOT(ISNUMBER(X674)),NOT(ISNUMBER(Y674)))),"INVALID – expected/actual qty missing",IF(AND(AR674=1,OR(X674&lt;=0,Y674&lt;0)),"INVALID – expected qty must be above 0 and actual not negative",IF(BB674&lt;&gt;"",BB674,IF(AND(AS674=1,Documents!$J$25&lt;&gt;"ON FILE"),"INVALID – GLD not on file (Documents sheet)",IF(AND(AS674=2,Documents!$O$25&lt;&gt;"ON FILE"),"INVALID – menu checklist not on file (Documents sheet)",IF(AND(AS674=3,NOT(ISNUMBER(Flights!$AX$25))),"INVALID – enter carrying flight KUL departure (Flights AX)",IF(AND(AS674=3,OR(Flights!$AZ$25&gt;Flights!$AA$25,Flights!$AX$25&lt;Flights!$AA$25-3)),"INVALID – carrying flight (Flights AX) cannot arrive before this leg's STD, or is over 3 days early",IF(AG674&gt;AsOfUTC,"INVALID – completion time is in the future",IF(AND(ISNUMBER(S674),AG674&lt;S674),IF(H674="Physical uplift","INVALID – before uplift window (cannot confirm loading)","INVALID – before valid window"),IF(AG674&gt;Flights!$AA$25,"INVALID – completed after departure (cannot establish readiness)",IF(AND(H674="Preparation",AG674&gt;IF(ISNUMBER(Flights!$BA$25),MIN(Flights!$BA$25,Flights!$AA$25),Flights!$AA$25)),"INVALID – completed after loading / departure (cannot establish readiness)",IF(AND(H674="Physical uplift",AG674&gt;Q674),"INVALID – recorded after the loading flight departed",IF(AG674&gt;Q674,"COMPLETE – LATE","COMPLETE"))))))))))))))))))))),IF(TRIM(U674)="Fail","FAIL – DISCREPANCY",IF(AND(TRIM(U674)&lt;&gt;"",TRIM(U674)&lt;&gt;"Not started",TRIM(U674)&lt;&gt;"In progress"),"INVALID – unrecognised status (use the list)",IF(AsOfUTC&gt;Q674,"OVERDUE",IF(N674="Clarification required","OPEN – CLARIFICATION","OPEN"))))))),"INVALID – error value in an input cell")</f>
        <v>OPEN – CLARIFICATION</v>
      </c>
      <c r="AI674" s="61" t="n">
        <f aca="false">IF(OR(AH674="N/A – RULE",AH674="N/A – JUSTIFIED"),0,1)</f>
        <v>1</v>
      </c>
      <c r="AJ674" s="61" t="n">
        <f aca="false">IF(LEFT(AH674,8)="COMPLETE",1,0)</f>
        <v>0</v>
      </c>
      <c r="AK674" s="61" t="n">
        <f aca="false">IF(AND(AI674=1,AJ674=0,AsOfUTC&gt;Q674),1,0)</f>
        <v>0</v>
      </c>
      <c r="AL674" s="61" t="n">
        <f aca="false">IFERROR(IF(AND(AI674=1,OR(TRIM(U674)="Fail",AND(TRIM(AB674)&lt;&gt;"",TRIM(AB674)&lt;&gt;"Closed"),AND(ISNUMBER(AF674),AF674&lt;&gt;0,TRIM(U674)&lt;&gt;"Pass after CA"))),1,0),1)</f>
        <v>0</v>
      </c>
      <c r="AM674" s="61" t="n">
        <f aca="false">IF(LEFT(AH674,7)="INVALID",1,0)</f>
        <v>0</v>
      </c>
      <c r="AN674" s="61" t="n">
        <f aca="false">IF(AND(N674="Clarification required",AI674=1,AJ674=0),1,0)</f>
        <v>1</v>
      </c>
      <c r="AO674" s="61" t="str">
        <f aca="false">IF(AK674=1,SUM(AK$5:AK674),"")</f>
        <v/>
      </c>
      <c r="AP674" s="61" t="str">
        <f aca="false">IF(AL674=1,SUM(AL$5:AL674),"")</f>
        <v/>
      </c>
      <c r="AQ674" s="61" t="n">
        <v>0</v>
      </c>
      <c r="AR674" s="61" t="n">
        <v>0</v>
      </c>
      <c r="AS674" s="61" t="n">
        <v>3</v>
      </c>
      <c r="AT674" s="61" t="n">
        <v>0</v>
      </c>
      <c r="AU674" s="61" t="str">
        <f aca="false">SUBSTITUTE(SUBSTITUTE(SUBSTITUTE(SUBSTITUTE(SUBSTITUTE(SUBSTITUTE(SUBSTITUTE(SUBSTITUTE(SUBSTITUTE(SUBSTITUTE(SUBSTITUTE(SUBSTITUTE(SUBSTITUTE(LOWER(T674&amp;""),CHAR(160),"")," ",""),".",""),"-",""),"/",""),"?",""),"_",""),",",""),"[",""),"]",""),"(",""),")",""),"*","")</f>
        <v/>
      </c>
      <c r="AV674" s="61" t="str">
        <f aca="false">SUBSTITUTE(SUBSTITUTE(SUBSTITUTE(SUBSTITUTE(SUBSTITUTE(SUBSTITUTE(SUBSTITUTE(SUBSTITUTE(SUBSTITUTE(SUBSTITUTE(SUBSTITUTE(SUBSTITUTE(SUBSTITUTE(LOWER(V674&amp;""),CHAR(160),"")," ",""),".",""),"-",""),"/",""),"?",""),"_",""),",",""),"[",""),"]",""),"(",""),")",""),"*","")</f>
        <v/>
      </c>
      <c r="AW674" s="61" t="str">
        <f aca="false">SUBSTITUTE(SUBSTITUTE(SUBSTITUTE(SUBSTITUTE(SUBSTITUTE(SUBSTITUTE(SUBSTITUTE(SUBSTITUTE(SUBSTITUTE(SUBSTITUTE(SUBSTITUTE(SUBSTITUTE(SUBSTITUTE(LOWER(Z674&amp;""),CHAR(160),"")," ",""),".",""),"-",""),"/",""),"?",""),"_",""),",",""),"[",""),"]",""),"(",""),")",""),"*","")</f>
        <v/>
      </c>
      <c r="AX674" s="61" t="str">
        <f aca="false">SUBSTITUTE(SUBSTITUTE(SUBSTITUTE(SUBSTITUTE(SUBSTITUTE(SUBSTITUTE(SUBSTITUTE(SUBSTITUTE(SUBSTITUTE(SUBSTITUTE(SUBSTITUTE(SUBSTITUTE(SUBSTITUTE(LOWER(AE674&amp;""),CHAR(160),"")," ",""),".",""),"-",""),"/",""),"?",""),"_",""),",",""),"[",""),"]",""),"(",""),")",""),"*","")</f>
        <v/>
      </c>
      <c r="AY674" s="61" t="str">
        <f aca="false">SUBSTITUTE(SUBSTITUTE(SUBSTITUTE(SUBSTITUTE(SUBSTITUTE(SUBSTITUTE(SUBSTITUTE(SUBSTITUTE(SUBSTITUTE(SUBSTITUTE(SUBSTITUTE(SUBSTITUTE(SUBSTITUTE(LOWER(W674&amp;""),CHAR(160),"")," ",""),".",""),"-",""),"/",""),"?",""),"_",""),",",""),"[",""),"]",""),"(",""),")",""),"*","")</f>
        <v/>
      </c>
      <c r="AZ674" s="61" t="str">
        <f aca="false">SUBSTITUTE(SUBSTITUTE(SUBSTITUTE(SUBSTITUTE(SUBSTITUTE(SUBSTITUTE(SUBSTITUTE(SUBSTITUTE(SUBSTITUTE(SUBSTITUTE(SUBSTITUTE(SUBSTITUTE(SUBSTITUTE(LOWER(AC674&amp;""),CHAR(160),"")," ",""),".",""),"-",""),"/",""),"?",""),"_",""),",",""),"[",""),"]",""),"(",""),")",""),"*","")</f>
        <v/>
      </c>
      <c r="BA674" s="61" t="str">
        <f aca="false">SUBSTITUTE(SUBSTITUTE(SUBSTITUTE(SUBSTITUTE(SUBSTITUTE(SUBSTITUTE(SUBSTITUTE(SUBSTITUTE(SUBSTITUTE(SUBSTITUTE(SUBSTITUTE(SUBSTITUTE(SUBSTITUTE(LOWER(AA674&amp;""),CHAR(160),"")," ",""),".",""),"-",""),"/",""),"?",""),"_",""),",",""),"[",""),"]",""),"(",""),")",""),"*","")</f>
        <v/>
      </c>
      <c r="BB674" s="61" t="str">
        <f aca="false">IF(AND(TRIM(U674)="Pass",ISNUMBER(AF674)),IF(AF674&lt;&gt;0,"INVALID – qty variance: use Fail or Pass after CA",""),"")&amp;IF(AND(TRIM(U674)="Pass after CA",ISNUMBER(AF674)),IF(AF674&lt;&gt;0,"INVALID – after the corrective action the actual qty must equal expected (update Actual)",""),"")&amp;IF(AND(TRIM(U674)="Pass",TRIM(AB674)&lt;&gt;"",TRIM(AB674)&lt;&gt;"Closed"),"INVALID – corrective action not closed: use Fail, then Pass after CA","")&amp;IF(AND(TRIM(AA674)&lt;&gt;"",TRIM(AB674)=""),"INVALID – CA status missing for the recorded corrective action","")&amp;IF(AND(TRIM(U674)="Pass after CA",OR(OR(LEN(BA674)&lt;5,ISNUMBER(MATCH(BA674,L_Placeholder,0))),TRIM(AB674)&lt;&gt;"Closed")),"INVALID – corrective action not recorded/closed","")</f>
        <v/>
      </c>
    </row>
    <row r="675" customFormat="false" ht="39.75" hidden="false" customHeight="true" outlineLevel="0" collapsed="false">
      <c r="A675" s="57" t="s">
        <v>1375</v>
      </c>
      <c r="B675" s="57" t="s">
        <v>307</v>
      </c>
      <c r="C675" s="57" t="str">
        <f aca="false">Flights!$F$25</f>
        <v>MH1437</v>
      </c>
      <c r="D675" s="58" t="n">
        <f aca="false">Flights!$D$25</f>
        <v>46325</v>
      </c>
      <c r="E675" s="57" t="str">
        <f aca="false">Flights!$G$25&amp;"-"&amp;Flights!$H$25</f>
        <v>LGK-KUL</v>
      </c>
      <c r="F675" s="57" t="str">
        <f aca="false">Flights!$K$25</f>
        <v>BC</v>
      </c>
      <c r="G675" s="57" t="s">
        <v>81</v>
      </c>
      <c r="H675" s="57" t="s">
        <v>356</v>
      </c>
      <c r="I675" s="57" t="s">
        <v>357</v>
      </c>
      <c r="J675" s="57" t="s">
        <v>394</v>
      </c>
      <c r="K675" s="67" t="s">
        <v>395</v>
      </c>
      <c r="L675" s="67" t="s">
        <v>396</v>
      </c>
      <c r="M675" s="67"/>
      <c r="N675" s="67" t="s">
        <v>361</v>
      </c>
      <c r="O675" s="67" t="s">
        <v>951</v>
      </c>
      <c r="P675" s="57" t="s">
        <v>184</v>
      </c>
      <c r="Q675" s="59" t="n">
        <f aca="false">ROUND((MIN(Flights!$AD$25,Flights!$AY$25))*1440,0)/1440</f>
        <v>46324.1875</v>
      </c>
      <c r="R675" s="59" t="n">
        <f aca="false">Q675+(IF(AND(INDEX(TZ_DSTS,MATCH(P675,TZ_STN,0))&lt;&gt;"",Q675&gt;=INDEX(TZ_DSTS,MATCH(P675,TZ_STN,0)),Q675&lt;INDEX(TZ_DSTE,MATCH(P675,TZ_STN,0))),INDEX(TZ_DST,MATCH(P675,TZ_STN,0)),INDEX(TZ_STD,MATCH(P675,TZ_STN,0))))/24</f>
        <v>46324.5208333333</v>
      </c>
      <c r="S675" s="59" t="n">
        <f aca="false">Q675-T24EarlyH/24</f>
        <v>46323.1875</v>
      </c>
      <c r="T675" s="60"/>
      <c r="U675" s="60"/>
      <c r="V675" s="60"/>
      <c r="W675" s="60"/>
      <c r="X675" s="60"/>
      <c r="Y675" s="60"/>
      <c r="Z675" s="60"/>
      <c r="AA675" s="60"/>
      <c r="AB675" s="60"/>
      <c r="AC675" s="60"/>
      <c r="AD675" s="66"/>
      <c r="AE675" s="60"/>
      <c r="AF675" s="61" t="str">
        <f aca="false">IF(AND(ISNUMBER(X675),ISNUMBER(Y675)),Y675-X675,"")</f>
        <v/>
      </c>
      <c r="AG675" s="62" t="str">
        <f aca="false">IF(ISNUMBER(AD675),AD675-(IF(AND(INDEX(TZ_DSTS,MATCH(P675,TZ_STN,0))&lt;&gt;"",(AD675-INDEX(TZ_STD,MATCH(P675,TZ_STN,0))/24)&gt;=INDEX(TZ_DSTS,MATCH(P675,TZ_STN,0)),(AD675-INDEX(TZ_STD,MATCH(P675,TZ_STN,0))/24)&lt;INDEX(TZ_DSTE,MATCH(P675,TZ_STN,0))),INDEX(TZ_DST,MATCH(P675,TZ_STN,0)),INDEX(TZ_STD,MATCH(P675,TZ_STN,0))))/24,"")</f>
        <v/>
      </c>
      <c r="AH675" s="65" t="str">
        <f aca="false">IFERROR(IF(N675="N/A – rule","N/A – RULE",IF(TRIM(U675)="N/A",IF(AT675=0,"INVALID – N/A not permitted for this check",IF(AND(TRIM(AB675)&lt;&gt;"",TRIM(AB675)&lt;&gt;"Closed"),"INVALID – corrective action still open",IF(AND(NOT(OR(LEN(AZ675)&lt;15,ISNUMBER(MATCH(AZ675,L_Placeholder,0)))),NOT(OR(LEN(AU675)&lt;2,ISNUMBER(MATCH(AU675,L_Placeholder,0)))),NOT(OR(LEN(AX675)&lt;2,ISNUMBER(MATCH(AX675,L_Placeholder,0)))),TRIM(AE675)&lt;&gt;TRIM(T675)),"N/A – JUSTIFIED","INVALID – N/A needs a real justification (15+ chars), PIC and a different verifier"))),IF(OR(TRIM(U675)="Pass",TRIM(U675)="Pass after CA"),IF(NOT(ISNUMBER(AD675)),"INVALID – completion time missing",IF(OR(LEN(AU675)&lt;2,ISNUMBER(MATCH(AU675,L_Placeholder,0))),"INVALID – PIC missing",IF(OR(LEN(AV675)&lt;2,ISNUMBER(MATCH(AV675,L_Placeholder,0))),"INVALID – result / assessment missing",IF(OR(OR(LEN(AW675)&lt;3,ISNUMBER(MATCH(AW675,L_Placeholder,0))),SUMPRODUCT(--ISNUMBER(SEARCH(L_EvidencePhrase,AW675)))&gt;0),"INVALID – evidence missing, placeholder or not yet on file",IF(OR(LEN(AX675)&lt;2,ISNUMBER(MATCH(AX675,L_Placeholder,0))),"INVALID – verifier missing",IF(AX675=AU675,"INVALID – verifier must be someone other than the PIC",IF(AND(TRIM(U675)="Pass",SUMPRODUCT(--ISNUMBER(SEARCH(L_ResultBad,AV675)))&gt;0),"INVALID – result describes a problem: use Fail, then Pass after CA",IF(AND(AQ675=1,OR(LEN(AY675)&lt;3,ISNUMBER(MATCH(AY675,L_Placeholder,0)))),"INVALID – batch ID missing or placeholder",IF(AND(AR675=1,OR(NOT(ISNUMBER(X675)),NOT(ISNUMBER(Y675)))),"INVALID – expected/actual qty missing",IF(AND(AR675=1,OR(X675&lt;=0,Y675&lt;0)),"INVALID – expected qty must be above 0 and actual not negative",IF(BB675&lt;&gt;"",BB675,IF(AND(AS675=1,Documents!$J$25&lt;&gt;"ON FILE"),"INVALID – GLD not on file (Documents sheet)",IF(AND(AS675=2,Documents!$O$25&lt;&gt;"ON FILE"),"INVALID – menu checklist not on file (Documents sheet)",IF(AND(AS675=3,NOT(ISNUMBER(Flights!$AX$25))),"INVALID – enter carrying flight KUL departure (Flights AX)",IF(AND(AS675=3,OR(Flights!$AZ$25&gt;Flights!$AA$25,Flights!$AX$25&lt;Flights!$AA$25-3)),"INVALID – carrying flight (Flights AX) cannot arrive before this leg's STD, or is over 3 days early",IF(AG675&gt;AsOfUTC,"INVALID – completion time is in the future",IF(AND(ISNUMBER(S675),AG675&lt;S675),IF(H675="Physical uplift","INVALID – before uplift window (cannot confirm loading)","INVALID – before valid window"),IF(AG675&gt;Flights!$AA$25,"INVALID – completed after departure (cannot establish readiness)",IF(AND(H675="Preparation",AG675&gt;Flights!$AY$25+UpliftWindowH/24),"INVALID – completed after the carrying flight left KUL",IF(AND(H675="Physical uplift",AG675&gt;Q675),"INVALID – recorded after the loading flight departed",IF(AG675&gt;Q675,"COMPLETE – LATE","COMPLETE"))))))))))))))))))))),IF(TRIM(U675)="Fail","FAIL – DISCREPANCY",IF(AND(TRIM(U675)&lt;&gt;"",TRIM(U675)&lt;&gt;"Not started",TRIM(U675)&lt;&gt;"In progress"),"INVALID – unrecognised status (use the list)",IF(AsOfUTC&gt;Q675,"OVERDUE",IF(N675="Clarification required","OPEN – CLARIFICATION","OPEN"))))))),"INVALID – error value in an input cell")</f>
        <v>OPEN</v>
      </c>
      <c r="AI675" s="61" t="n">
        <f aca="false">IF(OR(AH675="N/A – RULE",AH675="N/A – JUSTIFIED"),0,1)</f>
        <v>1</v>
      </c>
      <c r="AJ675" s="61" t="n">
        <f aca="false">IF(LEFT(AH675,8)="COMPLETE",1,0)</f>
        <v>0</v>
      </c>
      <c r="AK675" s="61" t="n">
        <f aca="false">IF(AND(AI675=1,AJ675=0,AsOfUTC&gt;Q675),1,0)</f>
        <v>0</v>
      </c>
      <c r="AL675" s="61" t="n">
        <f aca="false">IFERROR(IF(AND(AI675=1,OR(TRIM(U675)="Fail",AND(TRIM(AB675)&lt;&gt;"",TRIM(AB675)&lt;&gt;"Closed"),AND(ISNUMBER(AF675),AF675&lt;&gt;0,TRIM(U675)&lt;&gt;"Pass after CA"))),1,0),1)</f>
        <v>0</v>
      </c>
      <c r="AM675" s="61" t="n">
        <f aca="false">IF(LEFT(AH675,7)="INVALID",1,0)</f>
        <v>0</v>
      </c>
      <c r="AN675" s="61" t="n">
        <f aca="false">IF(AND(N675="Clarification required",AI675=1,AJ675=0),1,0)</f>
        <v>0</v>
      </c>
      <c r="AO675" s="61" t="str">
        <f aca="false">IF(AK675=1,SUM(AK$5:AK675),"")</f>
        <v/>
      </c>
      <c r="AP675" s="61" t="str">
        <f aca="false">IF(AL675=1,SUM(AL$5:AL675),"")</f>
        <v/>
      </c>
      <c r="AQ675" s="61" t="n">
        <v>1</v>
      </c>
      <c r="AR675" s="61" t="n">
        <v>0</v>
      </c>
      <c r="AS675" s="61" t="n">
        <v>0</v>
      </c>
      <c r="AT675" s="61" t="n">
        <v>0</v>
      </c>
      <c r="AU675" s="61" t="str">
        <f aca="false">SUBSTITUTE(SUBSTITUTE(SUBSTITUTE(SUBSTITUTE(SUBSTITUTE(SUBSTITUTE(SUBSTITUTE(SUBSTITUTE(SUBSTITUTE(SUBSTITUTE(SUBSTITUTE(SUBSTITUTE(SUBSTITUTE(LOWER(T675&amp;""),CHAR(160),"")," ",""),".",""),"-",""),"/",""),"?",""),"_",""),",",""),"[",""),"]",""),"(",""),")",""),"*","")</f>
        <v/>
      </c>
      <c r="AV675" s="61" t="str">
        <f aca="false">SUBSTITUTE(SUBSTITUTE(SUBSTITUTE(SUBSTITUTE(SUBSTITUTE(SUBSTITUTE(SUBSTITUTE(SUBSTITUTE(SUBSTITUTE(SUBSTITUTE(SUBSTITUTE(SUBSTITUTE(SUBSTITUTE(LOWER(V675&amp;""),CHAR(160),"")," ",""),".",""),"-",""),"/",""),"?",""),"_",""),",",""),"[",""),"]",""),"(",""),")",""),"*","")</f>
        <v/>
      </c>
      <c r="AW675" s="61" t="str">
        <f aca="false">SUBSTITUTE(SUBSTITUTE(SUBSTITUTE(SUBSTITUTE(SUBSTITUTE(SUBSTITUTE(SUBSTITUTE(SUBSTITUTE(SUBSTITUTE(SUBSTITUTE(SUBSTITUTE(SUBSTITUTE(SUBSTITUTE(LOWER(Z675&amp;""),CHAR(160),"")," ",""),".",""),"-",""),"/",""),"?",""),"_",""),",",""),"[",""),"]",""),"(",""),")",""),"*","")</f>
        <v/>
      </c>
      <c r="AX675" s="61" t="str">
        <f aca="false">SUBSTITUTE(SUBSTITUTE(SUBSTITUTE(SUBSTITUTE(SUBSTITUTE(SUBSTITUTE(SUBSTITUTE(SUBSTITUTE(SUBSTITUTE(SUBSTITUTE(SUBSTITUTE(SUBSTITUTE(SUBSTITUTE(LOWER(AE675&amp;""),CHAR(160),"")," ",""),".",""),"-",""),"/",""),"?",""),"_",""),",",""),"[",""),"]",""),"(",""),")",""),"*","")</f>
        <v/>
      </c>
      <c r="AY675" s="61" t="str">
        <f aca="false">SUBSTITUTE(SUBSTITUTE(SUBSTITUTE(SUBSTITUTE(SUBSTITUTE(SUBSTITUTE(SUBSTITUTE(SUBSTITUTE(SUBSTITUTE(SUBSTITUTE(SUBSTITUTE(SUBSTITUTE(SUBSTITUTE(LOWER(W675&amp;""),CHAR(160),"")," ",""),".",""),"-",""),"/",""),"?",""),"_",""),",",""),"[",""),"]",""),"(",""),")",""),"*","")</f>
        <v/>
      </c>
      <c r="AZ675" s="61" t="str">
        <f aca="false">SUBSTITUTE(SUBSTITUTE(SUBSTITUTE(SUBSTITUTE(SUBSTITUTE(SUBSTITUTE(SUBSTITUTE(SUBSTITUTE(SUBSTITUTE(SUBSTITUTE(SUBSTITUTE(SUBSTITUTE(SUBSTITUTE(LOWER(AC675&amp;""),CHAR(160),"")," ",""),".",""),"-",""),"/",""),"?",""),"_",""),",",""),"[",""),"]",""),"(",""),")",""),"*","")</f>
        <v/>
      </c>
      <c r="BA675" s="61" t="str">
        <f aca="false">SUBSTITUTE(SUBSTITUTE(SUBSTITUTE(SUBSTITUTE(SUBSTITUTE(SUBSTITUTE(SUBSTITUTE(SUBSTITUTE(SUBSTITUTE(SUBSTITUTE(SUBSTITUTE(SUBSTITUTE(SUBSTITUTE(LOWER(AA675&amp;""),CHAR(160),"")," ",""),".",""),"-",""),"/",""),"?",""),"_",""),",",""),"[",""),"]",""),"(",""),")",""),"*","")</f>
        <v/>
      </c>
      <c r="BB675" s="61" t="str">
        <f aca="false">IF(AND(TRIM(U675)="Pass",ISNUMBER(AF675)),IF(AF675&lt;&gt;0,"INVALID – qty variance: use Fail or Pass after CA",""),"")&amp;IF(AND(TRIM(U675)="Pass after CA",ISNUMBER(AF675)),IF(AF675&lt;&gt;0,"INVALID – after the corrective action the actual qty must equal expected (update Actual)",""),"")&amp;IF(AND(TRIM(U675)="Pass",TRIM(AB675)&lt;&gt;"",TRIM(AB675)&lt;&gt;"Closed"),"INVALID – corrective action not closed: use Fail, then Pass after CA","")&amp;IF(AND(TRIM(AA675)&lt;&gt;"",TRIM(AB675)=""),"INVALID – CA status missing for the recorded corrective action","")&amp;IF(AND(TRIM(U675)="Pass after CA",OR(OR(LEN(BA675)&lt;5,ISNUMBER(MATCH(BA675,L_Placeholder,0))),TRIM(AB675)&lt;&gt;"Closed")),"INVALID – corrective action not recorded/closed","")</f>
        <v/>
      </c>
    </row>
    <row r="676" customFormat="false" ht="41.25" hidden="false" customHeight="true" outlineLevel="0" collapsed="false">
      <c r="A676" s="57" t="s">
        <v>1376</v>
      </c>
      <c r="B676" s="57" t="s">
        <v>307</v>
      </c>
      <c r="C676" s="57" t="str">
        <f aca="false">Flights!$F$25</f>
        <v>MH1437</v>
      </c>
      <c r="D676" s="58" t="n">
        <f aca="false">Flights!$D$25</f>
        <v>46325</v>
      </c>
      <c r="E676" s="57" t="str">
        <f aca="false">Flights!$G$25&amp;"-"&amp;Flights!$H$25</f>
        <v>LGK-KUL</v>
      </c>
      <c r="F676" s="57" t="str">
        <f aca="false">Flights!$K$25</f>
        <v>BC</v>
      </c>
      <c r="G676" s="57" t="s">
        <v>398</v>
      </c>
      <c r="H676" s="57" t="s">
        <v>356</v>
      </c>
      <c r="I676" s="57" t="s">
        <v>357</v>
      </c>
      <c r="J676" s="57" t="s">
        <v>399</v>
      </c>
      <c r="K676" s="67"/>
      <c r="L676" s="67" t="s">
        <v>400</v>
      </c>
      <c r="M676" s="67"/>
      <c r="N676" s="67" t="s">
        <v>361</v>
      </c>
      <c r="O676" s="67" t="s">
        <v>953</v>
      </c>
      <c r="P676" s="57" t="s">
        <v>184</v>
      </c>
      <c r="Q676" s="59" t="n">
        <f aca="false">ROUND((MIN(Flights!$AE$25,Flights!$AY$25))*1440,0)/1440</f>
        <v>46324.1875</v>
      </c>
      <c r="R676" s="59" t="n">
        <f aca="false">Q676+(IF(AND(INDEX(TZ_DSTS,MATCH(P676,TZ_STN,0))&lt;&gt;"",Q676&gt;=INDEX(TZ_DSTS,MATCH(P676,TZ_STN,0)),Q676&lt;INDEX(TZ_DSTE,MATCH(P676,TZ_STN,0))),INDEX(TZ_DST,MATCH(P676,TZ_STN,0)),INDEX(TZ_STD,MATCH(P676,TZ_STN,0))))/24</f>
        <v>46324.5208333333</v>
      </c>
      <c r="S676" s="59" t="n">
        <f aca="false">Q676-T12EarlyH/24</f>
        <v>46323.6875</v>
      </c>
      <c r="T676" s="60"/>
      <c r="U676" s="60"/>
      <c r="V676" s="60"/>
      <c r="W676" s="61"/>
      <c r="X676" s="60"/>
      <c r="Y676" s="60"/>
      <c r="Z676" s="60"/>
      <c r="AA676" s="60"/>
      <c r="AB676" s="60"/>
      <c r="AC676" s="60"/>
      <c r="AD676" s="66"/>
      <c r="AE676" s="60"/>
      <c r="AF676" s="61" t="str">
        <f aca="false">IF(AND(ISNUMBER(X676),ISNUMBER(Y676)),Y676-X676,"")</f>
        <v/>
      </c>
      <c r="AG676" s="62" t="str">
        <f aca="false">IF(ISNUMBER(AD676),AD676-(IF(AND(INDEX(TZ_DSTS,MATCH(P676,TZ_STN,0))&lt;&gt;"",(AD676-INDEX(TZ_STD,MATCH(P676,TZ_STN,0))/24)&gt;=INDEX(TZ_DSTS,MATCH(P676,TZ_STN,0)),(AD676-INDEX(TZ_STD,MATCH(P676,TZ_STN,0))/24)&lt;INDEX(TZ_DSTE,MATCH(P676,TZ_STN,0))),INDEX(TZ_DST,MATCH(P676,TZ_STN,0)),INDEX(TZ_STD,MATCH(P676,TZ_STN,0))))/24,"")</f>
        <v/>
      </c>
      <c r="AH676" s="65" t="str">
        <f aca="false">IFERROR(IF(N676="N/A – rule","N/A – RULE",IF(TRIM(U676)="N/A",IF(AT676=0,"INVALID – N/A not permitted for this check",IF(AND(TRIM(AB676)&lt;&gt;"",TRIM(AB676)&lt;&gt;"Closed"),"INVALID – corrective action still open",IF(AND(NOT(OR(LEN(AZ676)&lt;15,ISNUMBER(MATCH(AZ676,L_Placeholder,0)))),NOT(OR(LEN(AU676)&lt;2,ISNUMBER(MATCH(AU676,L_Placeholder,0)))),NOT(OR(LEN(AX676)&lt;2,ISNUMBER(MATCH(AX676,L_Placeholder,0)))),TRIM(AE676)&lt;&gt;TRIM(T676)),"N/A – JUSTIFIED","INVALID – N/A needs a real justification (15+ chars), PIC and a different verifier"))),IF(OR(TRIM(U676)="Pass",TRIM(U676)="Pass after CA"),IF(NOT(ISNUMBER(AD676)),"INVALID – completion time missing",IF(OR(LEN(AU676)&lt;2,ISNUMBER(MATCH(AU676,L_Placeholder,0))),"INVALID – PIC missing",IF(OR(LEN(AV676)&lt;2,ISNUMBER(MATCH(AV676,L_Placeholder,0))),"INVALID – result / assessment missing",IF(OR(OR(LEN(AW676)&lt;3,ISNUMBER(MATCH(AW676,L_Placeholder,0))),SUMPRODUCT(--ISNUMBER(SEARCH(L_EvidencePhrase,AW676)))&gt;0),"INVALID – evidence missing, placeholder or not yet on file",IF(OR(LEN(AX676)&lt;2,ISNUMBER(MATCH(AX676,L_Placeholder,0))),"INVALID – verifier missing",IF(AX676=AU676,"INVALID – verifier must be someone other than the PIC",IF(AND(TRIM(U676)="Pass",SUMPRODUCT(--ISNUMBER(SEARCH(L_ResultBad,AV676)))&gt;0),"INVALID – result describes a problem: use Fail, then Pass after CA",IF(AND(AQ676=1,OR(LEN(AY676)&lt;3,ISNUMBER(MATCH(AY676,L_Placeholder,0)))),"INVALID – batch ID missing or placeholder",IF(AND(AR676=1,OR(NOT(ISNUMBER(X676)),NOT(ISNUMBER(Y676)))),"INVALID – expected/actual qty missing",IF(AND(AR676=1,OR(X676&lt;=0,Y676&lt;0)),"INVALID – expected qty must be above 0 and actual not negative",IF(BB676&lt;&gt;"",BB676,IF(AND(AS676=1,Documents!$J$25&lt;&gt;"ON FILE"),"INVALID – GLD not on file (Documents sheet)",IF(AND(AS676=2,Documents!$O$25&lt;&gt;"ON FILE"),"INVALID – menu checklist not on file (Documents sheet)",IF(AND(AS676=3,NOT(ISNUMBER(Flights!$AX$25))),"INVALID – enter carrying flight KUL departure (Flights AX)",IF(AND(AS676=3,OR(Flights!$AZ$25&gt;Flights!$AA$25,Flights!$AX$25&lt;Flights!$AA$25-3)),"INVALID – carrying flight (Flights AX) cannot arrive before this leg's STD, or is over 3 days early",IF(AG676&gt;AsOfUTC,"INVALID – completion time is in the future",IF(AND(ISNUMBER(S676),AG676&lt;S676),IF(H676="Physical uplift","INVALID – before uplift window (cannot confirm loading)","INVALID – before valid window"),IF(AG676&gt;Flights!$AA$25,"INVALID – completed after departure (cannot establish readiness)",IF(AND(H676="Preparation",AG676&gt;Flights!$AY$25+UpliftWindowH/24),"INVALID – completed after the carrying flight left KUL",IF(AND(H676="Physical uplift",AG676&gt;Q676),"INVALID – recorded after the loading flight departed",IF(AG676&gt;Q676,"COMPLETE – LATE","COMPLETE"))))))))))))))))))))),IF(TRIM(U676)="Fail","FAIL – DISCREPANCY",IF(AND(TRIM(U676)&lt;&gt;"",TRIM(U676)&lt;&gt;"Not started",TRIM(U676)&lt;&gt;"In progress"),"INVALID – unrecognised status (use the list)",IF(AsOfUTC&gt;Q676,"OVERDUE",IF(N676="Clarification required","OPEN – CLARIFICATION","OPEN"))))))),"INVALID – error value in an input cell")</f>
        <v>OPEN</v>
      </c>
      <c r="AI676" s="61" t="n">
        <f aca="false">IF(OR(AH676="N/A – RULE",AH676="N/A – JUSTIFIED"),0,1)</f>
        <v>1</v>
      </c>
      <c r="AJ676" s="61" t="n">
        <f aca="false">IF(LEFT(AH676,8)="COMPLETE",1,0)</f>
        <v>0</v>
      </c>
      <c r="AK676" s="61" t="n">
        <f aca="false">IF(AND(AI676=1,AJ676=0,AsOfUTC&gt;Q676),1,0)</f>
        <v>0</v>
      </c>
      <c r="AL676" s="61" t="n">
        <f aca="false">IFERROR(IF(AND(AI676=1,OR(TRIM(U676)="Fail",AND(TRIM(AB676)&lt;&gt;"",TRIM(AB676)&lt;&gt;"Closed"),AND(ISNUMBER(AF676),AF676&lt;&gt;0,TRIM(U676)&lt;&gt;"Pass after CA"))),1,0),1)</f>
        <v>0</v>
      </c>
      <c r="AM676" s="61" t="n">
        <f aca="false">IF(LEFT(AH676,7)="INVALID",1,0)</f>
        <v>0</v>
      </c>
      <c r="AN676" s="61" t="n">
        <f aca="false">IF(AND(N676="Clarification required",AI676=1,AJ676=0),1,0)</f>
        <v>0</v>
      </c>
      <c r="AO676" s="61" t="str">
        <f aca="false">IF(AK676=1,SUM(AK$5:AK676),"")</f>
        <v/>
      </c>
      <c r="AP676" s="61" t="str">
        <f aca="false">IF(AL676=1,SUM(AL$5:AL676),"")</f>
        <v/>
      </c>
      <c r="AQ676" s="61" t="n">
        <v>0</v>
      </c>
      <c r="AR676" s="61" t="n">
        <v>0</v>
      </c>
      <c r="AS676" s="61" t="n">
        <v>0</v>
      </c>
      <c r="AT676" s="61" t="n">
        <v>0</v>
      </c>
      <c r="AU676" s="61" t="str">
        <f aca="false">SUBSTITUTE(SUBSTITUTE(SUBSTITUTE(SUBSTITUTE(SUBSTITUTE(SUBSTITUTE(SUBSTITUTE(SUBSTITUTE(SUBSTITUTE(SUBSTITUTE(SUBSTITUTE(SUBSTITUTE(SUBSTITUTE(LOWER(T676&amp;""),CHAR(160),"")," ",""),".",""),"-",""),"/",""),"?",""),"_",""),",",""),"[",""),"]",""),"(",""),")",""),"*","")</f>
        <v/>
      </c>
      <c r="AV676" s="61" t="str">
        <f aca="false">SUBSTITUTE(SUBSTITUTE(SUBSTITUTE(SUBSTITUTE(SUBSTITUTE(SUBSTITUTE(SUBSTITUTE(SUBSTITUTE(SUBSTITUTE(SUBSTITUTE(SUBSTITUTE(SUBSTITUTE(SUBSTITUTE(LOWER(V676&amp;""),CHAR(160),"")," ",""),".",""),"-",""),"/",""),"?",""),"_",""),",",""),"[",""),"]",""),"(",""),")",""),"*","")</f>
        <v/>
      </c>
      <c r="AW676" s="61" t="str">
        <f aca="false">SUBSTITUTE(SUBSTITUTE(SUBSTITUTE(SUBSTITUTE(SUBSTITUTE(SUBSTITUTE(SUBSTITUTE(SUBSTITUTE(SUBSTITUTE(SUBSTITUTE(SUBSTITUTE(SUBSTITUTE(SUBSTITUTE(LOWER(Z676&amp;""),CHAR(160),"")," ",""),".",""),"-",""),"/",""),"?",""),"_",""),",",""),"[",""),"]",""),"(",""),")",""),"*","")</f>
        <v/>
      </c>
      <c r="AX676" s="61" t="str">
        <f aca="false">SUBSTITUTE(SUBSTITUTE(SUBSTITUTE(SUBSTITUTE(SUBSTITUTE(SUBSTITUTE(SUBSTITUTE(SUBSTITUTE(SUBSTITUTE(SUBSTITUTE(SUBSTITUTE(SUBSTITUTE(SUBSTITUTE(LOWER(AE676&amp;""),CHAR(160),"")," ",""),".",""),"-",""),"/",""),"?",""),"_",""),",",""),"[",""),"]",""),"(",""),")",""),"*","")</f>
        <v/>
      </c>
      <c r="AY676" s="61" t="str">
        <f aca="false">SUBSTITUTE(SUBSTITUTE(SUBSTITUTE(SUBSTITUTE(SUBSTITUTE(SUBSTITUTE(SUBSTITUTE(SUBSTITUTE(SUBSTITUTE(SUBSTITUTE(SUBSTITUTE(SUBSTITUTE(SUBSTITUTE(LOWER(W676&amp;""),CHAR(160),"")," ",""),".",""),"-",""),"/",""),"?",""),"_",""),",",""),"[",""),"]",""),"(",""),")",""),"*","")</f>
        <v/>
      </c>
      <c r="AZ676" s="61" t="str">
        <f aca="false">SUBSTITUTE(SUBSTITUTE(SUBSTITUTE(SUBSTITUTE(SUBSTITUTE(SUBSTITUTE(SUBSTITUTE(SUBSTITUTE(SUBSTITUTE(SUBSTITUTE(SUBSTITUTE(SUBSTITUTE(SUBSTITUTE(LOWER(AC676&amp;""),CHAR(160),"")," ",""),".",""),"-",""),"/",""),"?",""),"_",""),",",""),"[",""),"]",""),"(",""),")",""),"*","")</f>
        <v/>
      </c>
      <c r="BA676" s="61" t="str">
        <f aca="false">SUBSTITUTE(SUBSTITUTE(SUBSTITUTE(SUBSTITUTE(SUBSTITUTE(SUBSTITUTE(SUBSTITUTE(SUBSTITUTE(SUBSTITUTE(SUBSTITUTE(SUBSTITUTE(SUBSTITUTE(SUBSTITUTE(LOWER(AA676&amp;""),CHAR(160),"")," ",""),".",""),"-",""),"/",""),"?",""),"_",""),",",""),"[",""),"]",""),"(",""),")",""),"*","")</f>
        <v/>
      </c>
      <c r="BB676" s="61" t="str">
        <f aca="false">IF(AND(TRIM(U676)="Pass",ISNUMBER(AF676)),IF(AF676&lt;&gt;0,"INVALID – qty variance: use Fail or Pass after CA",""),"")&amp;IF(AND(TRIM(U676)="Pass after CA",ISNUMBER(AF676)),IF(AF676&lt;&gt;0,"INVALID – after the corrective action the actual qty must equal expected (update Actual)",""),"")&amp;IF(AND(TRIM(U676)="Pass",TRIM(AB676)&lt;&gt;"",TRIM(AB676)&lt;&gt;"Closed"),"INVALID – corrective action not closed: use Fail, then Pass after CA","")&amp;IF(AND(TRIM(AA676)&lt;&gt;"",TRIM(AB676)=""),"INVALID – CA status missing for the recorded corrective action","")&amp;IF(AND(TRIM(U676)="Pass after CA",OR(OR(LEN(BA676)&lt;5,ISNUMBER(MATCH(BA676,L_Placeholder,0))),TRIM(AB676)&lt;&gt;"Closed")),"INVALID – corrective action not recorded/closed","")</f>
        <v/>
      </c>
    </row>
    <row r="677" customFormat="false" ht="41.25" hidden="false" customHeight="true" outlineLevel="0" collapsed="false">
      <c r="A677" s="57" t="s">
        <v>1377</v>
      </c>
      <c r="B677" s="57" t="s">
        <v>307</v>
      </c>
      <c r="C677" s="57" t="str">
        <f aca="false">Flights!$F$25</f>
        <v>MH1437</v>
      </c>
      <c r="D677" s="58" t="n">
        <f aca="false">Flights!$D$25</f>
        <v>46325</v>
      </c>
      <c r="E677" s="57" t="str">
        <f aca="false">Flights!$G$25&amp;"-"&amp;Flights!$H$25</f>
        <v>LGK-KUL</v>
      </c>
      <c r="F677" s="57" t="str">
        <f aca="false">Flights!$K$25</f>
        <v>BC</v>
      </c>
      <c r="G677" s="57" t="s">
        <v>398</v>
      </c>
      <c r="H677" s="57" t="s">
        <v>356</v>
      </c>
      <c r="I677" s="57" t="s">
        <v>357</v>
      </c>
      <c r="J677" s="57" t="s">
        <v>403</v>
      </c>
      <c r="K677" s="67" t="s">
        <v>404</v>
      </c>
      <c r="L677" s="67" t="s">
        <v>400</v>
      </c>
      <c r="M677" s="67"/>
      <c r="N677" s="67" t="s">
        <v>361</v>
      </c>
      <c r="O677" s="67" t="s">
        <v>953</v>
      </c>
      <c r="P677" s="57" t="s">
        <v>184</v>
      </c>
      <c r="Q677" s="59" t="n">
        <f aca="false">ROUND((MIN(Flights!$AE$25,Flights!$AY$25))*1440,0)/1440</f>
        <v>46324.1875</v>
      </c>
      <c r="R677" s="59" t="n">
        <f aca="false">Q677+(IF(AND(INDEX(TZ_DSTS,MATCH(P677,TZ_STN,0))&lt;&gt;"",Q677&gt;=INDEX(TZ_DSTS,MATCH(P677,TZ_STN,0)),Q677&lt;INDEX(TZ_DSTE,MATCH(P677,TZ_STN,0))),INDEX(TZ_DST,MATCH(P677,TZ_STN,0)),INDEX(TZ_STD,MATCH(P677,TZ_STN,0))))/24</f>
        <v>46324.5208333333</v>
      </c>
      <c r="S677" s="59" t="n">
        <f aca="false">Q677-T12EarlyH/24</f>
        <v>46323.6875</v>
      </c>
      <c r="T677" s="60"/>
      <c r="U677" s="60"/>
      <c r="V677" s="60"/>
      <c r="W677" s="61"/>
      <c r="X677" s="60"/>
      <c r="Y677" s="60"/>
      <c r="Z677" s="60"/>
      <c r="AA677" s="60"/>
      <c r="AB677" s="60"/>
      <c r="AC677" s="60"/>
      <c r="AD677" s="66"/>
      <c r="AE677" s="60"/>
      <c r="AF677" s="61" t="str">
        <f aca="false">IF(AND(ISNUMBER(X677),ISNUMBER(Y677)),Y677-X677,"")</f>
        <v/>
      </c>
      <c r="AG677" s="62" t="str">
        <f aca="false">IF(ISNUMBER(AD677),AD677-(IF(AND(INDEX(TZ_DSTS,MATCH(P677,TZ_STN,0))&lt;&gt;"",(AD677-INDEX(TZ_STD,MATCH(P677,TZ_STN,0))/24)&gt;=INDEX(TZ_DSTS,MATCH(P677,TZ_STN,0)),(AD677-INDEX(TZ_STD,MATCH(P677,TZ_STN,0))/24)&lt;INDEX(TZ_DSTE,MATCH(P677,TZ_STN,0))),INDEX(TZ_DST,MATCH(P677,TZ_STN,0)),INDEX(TZ_STD,MATCH(P677,TZ_STN,0))))/24,"")</f>
        <v/>
      </c>
      <c r="AH677" s="65" t="str">
        <f aca="false">IFERROR(IF(N677="N/A – rule","N/A – RULE",IF(TRIM(U677)="N/A",IF(AT677=0,"INVALID – N/A not permitted for this check",IF(AND(TRIM(AB677)&lt;&gt;"",TRIM(AB677)&lt;&gt;"Closed"),"INVALID – corrective action still open",IF(AND(NOT(OR(LEN(AZ677)&lt;15,ISNUMBER(MATCH(AZ677,L_Placeholder,0)))),NOT(OR(LEN(AU677)&lt;2,ISNUMBER(MATCH(AU677,L_Placeholder,0)))),NOT(OR(LEN(AX677)&lt;2,ISNUMBER(MATCH(AX677,L_Placeholder,0)))),TRIM(AE677)&lt;&gt;TRIM(T677)),"N/A – JUSTIFIED","INVALID – N/A needs a real justification (15+ chars), PIC and a different verifier"))),IF(OR(TRIM(U677)="Pass",TRIM(U677)="Pass after CA"),IF(NOT(ISNUMBER(AD677)),"INVALID – completion time missing",IF(OR(LEN(AU677)&lt;2,ISNUMBER(MATCH(AU677,L_Placeholder,0))),"INVALID – PIC missing",IF(OR(LEN(AV677)&lt;2,ISNUMBER(MATCH(AV677,L_Placeholder,0))),"INVALID – result / assessment missing",IF(OR(OR(LEN(AW677)&lt;3,ISNUMBER(MATCH(AW677,L_Placeholder,0))),SUMPRODUCT(--ISNUMBER(SEARCH(L_EvidencePhrase,AW677)))&gt;0),"INVALID – evidence missing, placeholder or not yet on file",IF(OR(LEN(AX677)&lt;2,ISNUMBER(MATCH(AX677,L_Placeholder,0))),"INVALID – verifier missing",IF(AX677=AU677,"INVALID – verifier must be someone other than the PIC",IF(AND(TRIM(U677)="Pass",SUMPRODUCT(--ISNUMBER(SEARCH(L_ResultBad,AV677)))&gt;0),"INVALID – result describes a problem: use Fail, then Pass after CA",IF(AND(AQ677=1,OR(LEN(AY677)&lt;3,ISNUMBER(MATCH(AY677,L_Placeholder,0)))),"INVALID – batch ID missing or placeholder",IF(AND(AR677=1,OR(NOT(ISNUMBER(X677)),NOT(ISNUMBER(Y677)))),"INVALID – expected/actual qty missing",IF(AND(AR677=1,OR(X677&lt;=0,Y677&lt;0)),"INVALID – expected qty must be above 0 and actual not negative",IF(BB677&lt;&gt;"",BB677,IF(AND(AS677=1,Documents!$J$25&lt;&gt;"ON FILE"),"INVALID – GLD not on file (Documents sheet)",IF(AND(AS677=2,Documents!$O$25&lt;&gt;"ON FILE"),"INVALID – menu checklist not on file (Documents sheet)",IF(AND(AS677=3,NOT(ISNUMBER(Flights!$AX$25))),"INVALID – enter carrying flight KUL departure (Flights AX)",IF(AND(AS677=3,OR(Flights!$AZ$25&gt;Flights!$AA$25,Flights!$AX$25&lt;Flights!$AA$25-3)),"INVALID – carrying flight (Flights AX) cannot arrive before this leg's STD, or is over 3 days early",IF(AG677&gt;AsOfUTC,"INVALID – completion time is in the future",IF(AND(ISNUMBER(S677),AG677&lt;S677),IF(H677="Physical uplift","INVALID – before uplift window (cannot confirm loading)","INVALID – before valid window"),IF(AG677&gt;Flights!$AA$25,"INVALID – completed after departure (cannot establish readiness)",IF(AND(H677="Preparation",AG677&gt;Flights!$AY$25+UpliftWindowH/24),"INVALID – completed after the carrying flight left KUL",IF(AND(H677="Physical uplift",AG677&gt;Q677),"INVALID – recorded after the loading flight departed",IF(AG677&gt;Q677,"COMPLETE – LATE","COMPLETE"))))))))))))))))))))),IF(TRIM(U677)="Fail","FAIL – DISCREPANCY",IF(AND(TRIM(U677)&lt;&gt;"",TRIM(U677)&lt;&gt;"Not started",TRIM(U677)&lt;&gt;"In progress"),"INVALID – unrecognised status (use the list)",IF(AsOfUTC&gt;Q677,"OVERDUE",IF(N677="Clarification required","OPEN – CLARIFICATION","OPEN"))))))),"INVALID – error value in an input cell")</f>
        <v>OPEN</v>
      </c>
      <c r="AI677" s="61" t="n">
        <f aca="false">IF(OR(AH677="N/A – RULE",AH677="N/A – JUSTIFIED"),0,1)</f>
        <v>1</v>
      </c>
      <c r="AJ677" s="61" t="n">
        <f aca="false">IF(LEFT(AH677,8)="COMPLETE",1,0)</f>
        <v>0</v>
      </c>
      <c r="AK677" s="61" t="n">
        <f aca="false">IF(AND(AI677=1,AJ677=0,AsOfUTC&gt;Q677),1,0)</f>
        <v>0</v>
      </c>
      <c r="AL677" s="61" t="n">
        <f aca="false">IFERROR(IF(AND(AI677=1,OR(TRIM(U677)="Fail",AND(TRIM(AB677)&lt;&gt;"",TRIM(AB677)&lt;&gt;"Closed"),AND(ISNUMBER(AF677),AF677&lt;&gt;0,TRIM(U677)&lt;&gt;"Pass after CA"))),1,0),1)</f>
        <v>0</v>
      </c>
      <c r="AM677" s="61" t="n">
        <f aca="false">IF(LEFT(AH677,7)="INVALID",1,0)</f>
        <v>0</v>
      </c>
      <c r="AN677" s="61" t="n">
        <f aca="false">IF(AND(N677="Clarification required",AI677=1,AJ677=0),1,0)</f>
        <v>0</v>
      </c>
      <c r="AO677" s="61" t="str">
        <f aca="false">IF(AK677=1,SUM(AK$5:AK677),"")</f>
        <v/>
      </c>
      <c r="AP677" s="61" t="str">
        <f aca="false">IF(AL677=1,SUM(AL$5:AL677),"")</f>
        <v/>
      </c>
      <c r="AQ677" s="61" t="n">
        <v>0</v>
      </c>
      <c r="AR677" s="61" t="n">
        <v>1</v>
      </c>
      <c r="AS677" s="61" t="n">
        <v>0</v>
      </c>
      <c r="AT677" s="61" t="n">
        <v>0</v>
      </c>
      <c r="AU677" s="61" t="str">
        <f aca="false">SUBSTITUTE(SUBSTITUTE(SUBSTITUTE(SUBSTITUTE(SUBSTITUTE(SUBSTITUTE(SUBSTITUTE(SUBSTITUTE(SUBSTITUTE(SUBSTITUTE(SUBSTITUTE(SUBSTITUTE(SUBSTITUTE(LOWER(T677&amp;""),CHAR(160),"")," ",""),".",""),"-",""),"/",""),"?",""),"_",""),",",""),"[",""),"]",""),"(",""),")",""),"*","")</f>
        <v/>
      </c>
      <c r="AV677" s="61" t="str">
        <f aca="false">SUBSTITUTE(SUBSTITUTE(SUBSTITUTE(SUBSTITUTE(SUBSTITUTE(SUBSTITUTE(SUBSTITUTE(SUBSTITUTE(SUBSTITUTE(SUBSTITUTE(SUBSTITUTE(SUBSTITUTE(SUBSTITUTE(LOWER(V677&amp;""),CHAR(160),"")," ",""),".",""),"-",""),"/",""),"?",""),"_",""),",",""),"[",""),"]",""),"(",""),")",""),"*","")</f>
        <v/>
      </c>
      <c r="AW677" s="61" t="str">
        <f aca="false">SUBSTITUTE(SUBSTITUTE(SUBSTITUTE(SUBSTITUTE(SUBSTITUTE(SUBSTITUTE(SUBSTITUTE(SUBSTITUTE(SUBSTITUTE(SUBSTITUTE(SUBSTITUTE(SUBSTITUTE(SUBSTITUTE(LOWER(Z677&amp;""),CHAR(160),"")," ",""),".",""),"-",""),"/",""),"?",""),"_",""),",",""),"[",""),"]",""),"(",""),")",""),"*","")</f>
        <v/>
      </c>
      <c r="AX677" s="61" t="str">
        <f aca="false">SUBSTITUTE(SUBSTITUTE(SUBSTITUTE(SUBSTITUTE(SUBSTITUTE(SUBSTITUTE(SUBSTITUTE(SUBSTITUTE(SUBSTITUTE(SUBSTITUTE(SUBSTITUTE(SUBSTITUTE(SUBSTITUTE(LOWER(AE677&amp;""),CHAR(160),"")," ",""),".",""),"-",""),"/",""),"?",""),"_",""),",",""),"[",""),"]",""),"(",""),")",""),"*","")</f>
        <v/>
      </c>
      <c r="AY677" s="61" t="str">
        <f aca="false">SUBSTITUTE(SUBSTITUTE(SUBSTITUTE(SUBSTITUTE(SUBSTITUTE(SUBSTITUTE(SUBSTITUTE(SUBSTITUTE(SUBSTITUTE(SUBSTITUTE(SUBSTITUTE(SUBSTITUTE(SUBSTITUTE(LOWER(W677&amp;""),CHAR(160),"")," ",""),".",""),"-",""),"/",""),"?",""),"_",""),",",""),"[",""),"]",""),"(",""),")",""),"*","")</f>
        <v/>
      </c>
      <c r="AZ677" s="61" t="str">
        <f aca="false">SUBSTITUTE(SUBSTITUTE(SUBSTITUTE(SUBSTITUTE(SUBSTITUTE(SUBSTITUTE(SUBSTITUTE(SUBSTITUTE(SUBSTITUTE(SUBSTITUTE(SUBSTITUTE(SUBSTITUTE(SUBSTITUTE(LOWER(AC677&amp;""),CHAR(160),"")," ",""),".",""),"-",""),"/",""),"?",""),"_",""),",",""),"[",""),"]",""),"(",""),")",""),"*","")</f>
        <v/>
      </c>
      <c r="BA677" s="61" t="str">
        <f aca="false">SUBSTITUTE(SUBSTITUTE(SUBSTITUTE(SUBSTITUTE(SUBSTITUTE(SUBSTITUTE(SUBSTITUTE(SUBSTITUTE(SUBSTITUTE(SUBSTITUTE(SUBSTITUTE(SUBSTITUTE(SUBSTITUTE(LOWER(AA677&amp;""),CHAR(160),"")," ",""),".",""),"-",""),"/",""),"?",""),"_",""),",",""),"[",""),"]",""),"(",""),")",""),"*","")</f>
        <v/>
      </c>
      <c r="BB677" s="61" t="str">
        <f aca="false">IF(AND(TRIM(U677)="Pass",ISNUMBER(AF677)),IF(AF677&lt;&gt;0,"INVALID – qty variance: use Fail or Pass after CA",""),"")&amp;IF(AND(TRIM(U677)="Pass after CA",ISNUMBER(AF677)),IF(AF677&lt;&gt;0,"INVALID – after the corrective action the actual qty must equal expected (update Actual)",""),"")&amp;IF(AND(TRIM(U677)="Pass",TRIM(AB677)&lt;&gt;"",TRIM(AB677)&lt;&gt;"Closed"),"INVALID – corrective action not closed: use Fail, then Pass after CA","")&amp;IF(AND(TRIM(AA677)&lt;&gt;"",TRIM(AB677)=""),"INVALID – CA status missing for the recorded corrective action","")&amp;IF(AND(TRIM(U677)="Pass after CA",OR(OR(LEN(BA677)&lt;5,ISNUMBER(MATCH(BA677,L_Placeholder,0))),TRIM(AB677)&lt;&gt;"Closed")),"INVALID – corrective action not recorded/closed","")</f>
        <v/>
      </c>
    </row>
    <row r="678" customFormat="false" ht="41.25" hidden="false" customHeight="true" outlineLevel="0" collapsed="false">
      <c r="A678" s="57" t="s">
        <v>1378</v>
      </c>
      <c r="B678" s="57" t="s">
        <v>307</v>
      </c>
      <c r="C678" s="57" t="str">
        <f aca="false">Flights!$F$25</f>
        <v>MH1437</v>
      </c>
      <c r="D678" s="58" t="n">
        <f aca="false">Flights!$D$25</f>
        <v>46325</v>
      </c>
      <c r="E678" s="57" t="str">
        <f aca="false">Flights!$G$25&amp;"-"&amp;Flights!$H$25</f>
        <v>LGK-KUL</v>
      </c>
      <c r="F678" s="57" t="str">
        <f aca="false">Flights!$K$25</f>
        <v>BC</v>
      </c>
      <c r="G678" s="57" t="s">
        <v>398</v>
      </c>
      <c r="H678" s="57" t="s">
        <v>356</v>
      </c>
      <c r="I678" s="57" t="s">
        <v>406</v>
      </c>
      <c r="J678" s="57" t="s">
        <v>407</v>
      </c>
      <c r="K678" s="67"/>
      <c r="L678" s="67" t="s">
        <v>400</v>
      </c>
      <c r="M678" s="67"/>
      <c r="N678" s="67" t="s">
        <v>361</v>
      </c>
      <c r="O678" s="67" t="s">
        <v>953</v>
      </c>
      <c r="P678" s="57" t="s">
        <v>184</v>
      </c>
      <c r="Q678" s="59" t="n">
        <f aca="false">ROUND((MIN(Flights!$AE$25,Flights!$AY$25))*1440,0)/1440</f>
        <v>46324.1875</v>
      </c>
      <c r="R678" s="59" t="n">
        <f aca="false">Q678+(IF(AND(INDEX(TZ_DSTS,MATCH(P678,TZ_STN,0))&lt;&gt;"",Q678&gt;=INDEX(TZ_DSTS,MATCH(P678,TZ_STN,0)),Q678&lt;INDEX(TZ_DSTE,MATCH(P678,TZ_STN,0))),INDEX(TZ_DST,MATCH(P678,TZ_STN,0)),INDEX(TZ_STD,MATCH(P678,TZ_STN,0))))/24</f>
        <v>46324.5208333333</v>
      </c>
      <c r="S678" s="59" t="n">
        <f aca="false">Q678-T12EarlyH/24</f>
        <v>46323.6875</v>
      </c>
      <c r="T678" s="60"/>
      <c r="U678" s="60"/>
      <c r="V678" s="60"/>
      <c r="W678" s="61"/>
      <c r="X678" s="60"/>
      <c r="Y678" s="60"/>
      <c r="Z678" s="60"/>
      <c r="AA678" s="60"/>
      <c r="AB678" s="60"/>
      <c r="AC678" s="60"/>
      <c r="AD678" s="66"/>
      <c r="AE678" s="60"/>
      <c r="AF678" s="61" t="str">
        <f aca="false">IF(AND(ISNUMBER(X678),ISNUMBER(Y678)),Y678-X678,"")</f>
        <v/>
      </c>
      <c r="AG678" s="62" t="str">
        <f aca="false">IF(ISNUMBER(AD678),AD678-(IF(AND(INDEX(TZ_DSTS,MATCH(P678,TZ_STN,0))&lt;&gt;"",(AD678-INDEX(TZ_STD,MATCH(P678,TZ_STN,0))/24)&gt;=INDEX(TZ_DSTS,MATCH(P678,TZ_STN,0)),(AD678-INDEX(TZ_STD,MATCH(P678,TZ_STN,0))/24)&lt;INDEX(TZ_DSTE,MATCH(P678,TZ_STN,0))),INDEX(TZ_DST,MATCH(P678,TZ_STN,0)),INDEX(TZ_STD,MATCH(P678,TZ_STN,0))))/24,"")</f>
        <v/>
      </c>
      <c r="AH678" s="65" t="str">
        <f aca="false">IFERROR(IF(N678="N/A – rule","N/A – RULE",IF(TRIM(U678)="N/A",IF(AT678=0,"INVALID – N/A not permitted for this check",IF(AND(TRIM(AB678)&lt;&gt;"",TRIM(AB678)&lt;&gt;"Closed"),"INVALID – corrective action still open",IF(AND(NOT(OR(LEN(AZ678)&lt;15,ISNUMBER(MATCH(AZ678,L_Placeholder,0)))),NOT(OR(LEN(AU678)&lt;2,ISNUMBER(MATCH(AU678,L_Placeholder,0)))),NOT(OR(LEN(AX678)&lt;2,ISNUMBER(MATCH(AX678,L_Placeholder,0)))),TRIM(AE678)&lt;&gt;TRIM(T678)),"N/A – JUSTIFIED","INVALID – N/A needs a real justification (15+ chars), PIC and a different verifier"))),IF(OR(TRIM(U678)="Pass",TRIM(U678)="Pass after CA"),IF(NOT(ISNUMBER(AD678)),"INVALID – completion time missing",IF(OR(LEN(AU678)&lt;2,ISNUMBER(MATCH(AU678,L_Placeholder,0))),"INVALID – PIC missing",IF(OR(LEN(AV678)&lt;2,ISNUMBER(MATCH(AV678,L_Placeholder,0))),"INVALID – result / assessment missing",IF(OR(OR(LEN(AW678)&lt;3,ISNUMBER(MATCH(AW678,L_Placeholder,0))),SUMPRODUCT(--ISNUMBER(SEARCH(L_EvidencePhrase,AW678)))&gt;0),"INVALID – evidence missing, placeholder or not yet on file",IF(OR(LEN(AX678)&lt;2,ISNUMBER(MATCH(AX678,L_Placeholder,0))),"INVALID – verifier missing",IF(AX678=AU678,"INVALID – verifier must be someone other than the PIC",IF(AND(TRIM(U678)="Pass",SUMPRODUCT(--ISNUMBER(SEARCH(L_ResultBad,AV678)))&gt;0),"INVALID – result describes a problem: use Fail, then Pass after CA",IF(AND(AQ678=1,OR(LEN(AY678)&lt;3,ISNUMBER(MATCH(AY678,L_Placeholder,0)))),"INVALID – batch ID missing or placeholder",IF(AND(AR678=1,OR(NOT(ISNUMBER(X678)),NOT(ISNUMBER(Y678)))),"INVALID – expected/actual qty missing",IF(AND(AR678=1,OR(X678&lt;=0,Y678&lt;0)),"INVALID – expected qty must be above 0 and actual not negative",IF(BB678&lt;&gt;"",BB678,IF(AND(AS678=1,Documents!$J$25&lt;&gt;"ON FILE"),"INVALID – GLD not on file (Documents sheet)",IF(AND(AS678=2,Documents!$O$25&lt;&gt;"ON FILE"),"INVALID – menu checklist not on file (Documents sheet)",IF(AND(AS678=3,NOT(ISNUMBER(Flights!$AX$25))),"INVALID – enter carrying flight KUL departure (Flights AX)",IF(AND(AS678=3,OR(Flights!$AZ$25&gt;Flights!$AA$25,Flights!$AX$25&lt;Flights!$AA$25-3)),"INVALID – carrying flight (Flights AX) cannot arrive before this leg's STD, or is over 3 days early",IF(AG678&gt;AsOfUTC,"INVALID – completion time is in the future",IF(AND(ISNUMBER(S678),AG678&lt;S678),IF(H678="Physical uplift","INVALID – before uplift window (cannot confirm loading)","INVALID – before valid window"),IF(AG678&gt;Flights!$AA$25,"INVALID – completed after departure (cannot establish readiness)",IF(AND(H678="Preparation",AG678&gt;Flights!$AY$25+UpliftWindowH/24),"INVALID – completed after the carrying flight left KUL",IF(AND(H678="Physical uplift",AG678&gt;Q678),"INVALID – recorded after the loading flight departed",IF(AG678&gt;Q678,"COMPLETE – LATE","COMPLETE"))))))))))))))))))))),IF(TRIM(U678)="Fail","FAIL – DISCREPANCY",IF(AND(TRIM(U678)&lt;&gt;"",TRIM(U678)&lt;&gt;"Not started",TRIM(U678)&lt;&gt;"In progress"),"INVALID – unrecognised status (use the list)",IF(AsOfUTC&gt;Q678,"OVERDUE",IF(N678="Clarification required","OPEN – CLARIFICATION","OPEN"))))))),"INVALID – error value in an input cell")</f>
        <v>OPEN</v>
      </c>
      <c r="AI678" s="61" t="n">
        <f aca="false">IF(OR(AH678="N/A – RULE",AH678="N/A – JUSTIFIED"),0,1)</f>
        <v>1</v>
      </c>
      <c r="AJ678" s="61" t="n">
        <f aca="false">IF(LEFT(AH678,8)="COMPLETE",1,0)</f>
        <v>0</v>
      </c>
      <c r="AK678" s="61" t="n">
        <f aca="false">IF(AND(AI678=1,AJ678=0,AsOfUTC&gt;Q678),1,0)</f>
        <v>0</v>
      </c>
      <c r="AL678" s="61" t="n">
        <f aca="false">IFERROR(IF(AND(AI678=1,OR(TRIM(U678)="Fail",AND(TRIM(AB678)&lt;&gt;"",TRIM(AB678)&lt;&gt;"Closed"),AND(ISNUMBER(AF678),AF678&lt;&gt;0,TRIM(U678)&lt;&gt;"Pass after CA"))),1,0),1)</f>
        <v>0</v>
      </c>
      <c r="AM678" s="61" t="n">
        <f aca="false">IF(LEFT(AH678,7)="INVALID",1,0)</f>
        <v>0</v>
      </c>
      <c r="AN678" s="61" t="n">
        <f aca="false">IF(AND(N678="Clarification required",AI678=1,AJ678=0),1,0)</f>
        <v>0</v>
      </c>
      <c r="AO678" s="61" t="str">
        <f aca="false">IF(AK678=1,SUM(AK$5:AK678),"")</f>
        <v/>
      </c>
      <c r="AP678" s="61" t="str">
        <f aca="false">IF(AL678=1,SUM(AL$5:AL678),"")</f>
        <v/>
      </c>
      <c r="AQ678" s="61" t="n">
        <v>0</v>
      </c>
      <c r="AR678" s="61" t="n">
        <v>0</v>
      </c>
      <c r="AS678" s="61" t="n">
        <v>0</v>
      </c>
      <c r="AT678" s="61" t="n">
        <v>0</v>
      </c>
      <c r="AU678" s="61" t="str">
        <f aca="false">SUBSTITUTE(SUBSTITUTE(SUBSTITUTE(SUBSTITUTE(SUBSTITUTE(SUBSTITUTE(SUBSTITUTE(SUBSTITUTE(SUBSTITUTE(SUBSTITUTE(SUBSTITUTE(SUBSTITUTE(SUBSTITUTE(LOWER(T678&amp;""),CHAR(160),"")," ",""),".",""),"-",""),"/",""),"?",""),"_",""),",",""),"[",""),"]",""),"(",""),")",""),"*","")</f>
        <v/>
      </c>
      <c r="AV678" s="61" t="str">
        <f aca="false">SUBSTITUTE(SUBSTITUTE(SUBSTITUTE(SUBSTITUTE(SUBSTITUTE(SUBSTITUTE(SUBSTITUTE(SUBSTITUTE(SUBSTITUTE(SUBSTITUTE(SUBSTITUTE(SUBSTITUTE(SUBSTITUTE(LOWER(V678&amp;""),CHAR(160),"")," ",""),".",""),"-",""),"/",""),"?",""),"_",""),",",""),"[",""),"]",""),"(",""),")",""),"*","")</f>
        <v/>
      </c>
      <c r="AW678" s="61" t="str">
        <f aca="false">SUBSTITUTE(SUBSTITUTE(SUBSTITUTE(SUBSTITUTE(SUBSTITUTE(SUBSTITUTE(SUBSTITUTE(SUBSTITUTE(SUBSTITUTE(SUBSTITUTE(SUBSTITUTE(SUBSTITUTE(SUBSTITUTE(LOWER(Z678&amp;""),CHAR(160),"")," ",""),".",""),"-",""),"/",""),"?",""),"_",""),",",""),"[",""),"]",""),"(",""),")",""),"*","")</f>
        <v/>
      </c>
      <c r="AX678" s="61" t="str">
        <f aca="false">SUBSTITUTE(SUBSTITUTE(SUBSTITUTE(SUBSTITUTE(SUBSTITUTE(SUBSTITUTE(SUBSTITUTE(SUBSTITUTE(SUBSTITUTE(SUBSTITUTE(SUBSTITUTE(SUBSTITUTE(SUBSTITUTE(LOWER(AE678&amp;""),CHAR(160),"")," ",""),".",""),"-",""),"/",""),"?",""),"_",""),",",""),"[",""),"]",""),"(",""),")",""),"*","")</f>
        <v/>
      </c>
      <c r="AY678" s="61" t="str">
        <f aca="false">SUBSTITUTE(SUBSTITUTE(SUBSTITUTE(SUBSTITUTE(SUBSTITUTE(SUBSTITUTE(SUBSTITUTE(SUBSTITUTE(SUBSTITUTE(SUBSTITUTE(SUBSTITUTE(SUBSTITUTE(SUBSTITUTE(LOWER(W678&amp;""),CHAR(160),"")," ",""),".",""),"-",""),"/",""),"?",""),"_",""),",",""),"[",""),"]",""),"(",""),")",""),"*","")</f>
        <v/>
      </c>
      <c r="AZ678" s="61" t="str">
        <f aca="false">SUBSTITUTE(SUBSTITUTE(SUBSTITUTE(SUBSTITUTE(SUBSTITUTE(SUBSTITUTE(SUBSTITUTE(SUBSTITUTE(SUBSTITUTE(SUBSTITUTE(SUBSTITUTE(SUBSTITUTE(SUBSTITUTE(LOWER(AC678&amp;""),CHAR(160),"")," ",""),".",""),"-",""),"/",""),"?",""),"_",""),",",""),"[",""),"]",""),"(",""),")",""),"*","")</f>
        <v/>
      </c>
      <c r="BA678" s="61" t="str">
        <f aca="false">SUBSTITUTE(SUBSTITUTE(SUBSTITUTE(SUBSTITUTE(SUBSTITUTE(SUBSTITUTE(SUBSTITUTE(SUBSTITUTE(SUBSTITUTE(SUBSTITUTE(SUBSTITUTE(SUBSTITUTE(SUBSTITUTE(LOWER(AA678&amp;""),CHAR(160),"")," ",""),".",""),"-",""),"/",""),"?",""),"_",""),",",""),"[",""),"]",""),"(",""),")",""),"*","")</f>
        <v/>
      </c>
      <c r="BB678" s="61" t="str">
        <f aca="false">IF(AND(TRIM(U678)="Pass",ISNUMBER(AF678)),IF(AF678&lt;&gt;0,"INVALID – qty variance: use Fail or Pass after CA",""),"")&amp;IF(AND(TRIM(U678)="Pass after CA",ISNUMBER(AF678)),IF(AF678&lt;&gt;0,"INVALID – after the corrective action the actual qty must equal expected (update Actual)",""),"")&amp;IF(AND(TRIM(U678)="Pass",TRIM(AB678)&lt;&gt;"",TRIM(AB678)&lt;&gt;"Closed"),"INVALID – corrective action not closed: use Fail, then Pass after CA","")&amp;IF(AND(TRIM(AA678)&lt;&gt;"",TRIM(AB678)=""),"INVALID – CA status missing for the recorded corrective action","")&amp;IF(AND(TRIM(U678)="Pass after CA",OR(OR(LEN(BA678)&lt;5,ISNUMBER(MATCH(BA678,L_Placeholder,0))),TRIM(AB678)&lt;&gt;"Closed")),"INVALID – corrective action not recorded/closed","")</f>
        <v/>
      </c>
    </row>
    <row r="679" customFormat="false" ht="41.25" hidden="false" customHeight="true" outlineLevel="0" collapsed="false">
      <c r="A679" s="57" t="s">
        <v>1379</v>
      </c>
      <c r="B679" s="57" t="s">
        <v>307</v>
      </c>
      <c r="C679" s="57" t="str">
        <f aca="false">Flights!$F$25</f>
        <v>MH1437</v>
      </c>
      <c r="D679" s="58" t="n">
        <f aca="false">Flights!$D$25</f>
        <v>46325</v>
      </c>
      <c r="E679" s="57" t="str">
        <f aca="false">Flights!$G$25&amp;"-"&amp;Flights!$H$25</f>
        <v>LGK-KUL</v>
      </c>
      <c r="F679" s="57" t="str">
        <f aca="false">Flights!$K$25</f>
        <v>BC</v>
      </c>
      <c r="G679" s="57" t="s">
        <v>398</v>
      </c>
      <c r="H679" s="57" t="s">
        <v>356</v>
      </c>
      <c r="I679" s="57" t="s">
        <v>406</v>
      </c>
      <c r="J679" s="57" t="s">
        <v>409</v>
      </c>
      <c r="K679" s="67"/>
      <c r="L679" s="67" t="s">
        <v>400</v>
      </c>
      <c r="M679" s="67"/>
      <c r="N679" s="67" t="s">
        <v>361</v>
      </c>
      <c r="O679" s="67" t="s">
        <v>953</v>
      </c>
      <c r="P679" s="57" t="s">
        <v>184</v>
      </c>
      <c r="Q679" s="59" t="n">
        <f aca="false">ROUND((MIN(Flights!$AE$25,Flights!$AY$25))*1440,0)/1440</f>
        <v>46324.1875</v>
      </c>
      <c r="R679" s="59" t="n">
        <f aca="false">Q679+(IF(AND(INDEX(TZ_DSTS,MATCH(P679,TZ_STN,0))&lt;&gt;"",Q679&gt;=INDEX(TZ_DSTS,MATCH(P679,TZ_STN,0)),Q679&lt;INDEX(TZ_DSTE,MATCH(P679,TZ_STN,0))),INDEX(TZ_DST,MATCH(P679,TZ_STN,0)),INDEX(TZ_STD,MATCH(P679,TZ_STN,0))))/24</f>
        <v>46324.5208333333</v>
      </c>
      <c r="S679" s="59" t="n">
        <f aca="false">Q679-T12EarlyH/24</f>
        <v>46323.6875</v>
      </c>
      <c r="T679" s="60"/>
      <c r="U679" s="60"/>
      <c r="V679" s="60"/>
      <c r="W679" s="61"/>
      <c r="X679" s="60"/>
      <c r="Y679" s="60"/>
      <c r="Z679" s="60"/>
      <c r="AA679" s="60"/>
      <c r="AB679" s="60"/>
      <c r="AC679" s="60"/>
      <c r="AD679" s="66"/>
      <c r="AE679" s="60"/>
      <c r="AF679" s="61" t="str">
        <f aca="false">IF(AND(ISNUMBER(X679),ISNUMBER(Y679)),Y679-X679,"")</f>
        <v/>
      </c>
      <c r="AG679" s="62" t="str">
        <f aca="false">IF(ISNUMBER(AD679),AD679-(IF(AND(INDEX(TZ_DSTS,MATCH(P679,TZ_STN,0))&lt;&gt;"",(AD679-INDEX(TZ_STD,MATCH(P679,TZ_STN,0))/24)&gt;=INDEX(TZ_DSTS,MATCH(P679,TZ_STN,0)),(AD679-INDEX(TZ_STD,MATCH(P679,TZ_STN,0))/24)&lt;INDEX(TZ_DSTE,MATCH(P679,TZ_STN,0))),INDEX(TZ_DST,MATCH(P679,TZ_STN,0)),INDEX(TZ_STD,MATCH(P679,TZ_STN,0))))/24,"")</f>
        <v/>
      </c>
      <c r="AH679" s="65" t="str">
        <f aca="false">IFERROR(IF(N679="N/A – rule","N/A – RULE",IF(TRIM(U679)="N/A",IF(AT679=0,"INVALID – N/A not permitted for this check",IF(AND(TRIM(AB679)&lt;&gt;"",TRIM(AB679)&lt;&gt;"Closed"),"INVALID – corrective action still open",IF(AND(NOT(OR(LEN(AZ679)&lt;15,ISNUMBER(MATCH(AZ679,L_Placeholder,0)))),NOT(OR(LEN(AU679)&lt;2,ISNUMBER(MATCH(AU679,L_Placeholder,0)))),NOT(OR(LEN(AX679)&lt;2,ISNUMBER(MATCH(AX679,L_Placeholder,0)))),TRIM(AE679)&lt;&gt;TRIM(T679)),"N/A – JUSTIFIED","INVALID – N/A needs a real justification (15+ chars), PIC and a different verifier"))),IF(OR(TRIM(U679)="Pass",TRIM(U679)="Pass after CA"),IF(NOT(ISNUMBER(AD679)),"INVALID – completion time missing",IF(OR(LEN(AU679)&lt;2,ISNUMBER(MATCH(AU679,L_Placeholder,0))),"INVALID – PIC missing",IF(OR(LEN(AV679)&lt;2,ISNUMBER(MATCH(AV679,L_Placeholder,0))),"INVALID – result / assessment missing",IF(OR(OR(LEN(AW679)&lt;3,ISNUMBER(MATCH(AW679,L_Placeholder,0))),SUMPRODUCT(--ISNUMBER(SEARCH(L_EvidencePhrase,AW679)))&gt;0),"INVALID – evidence missing, placeholder or not yet on file",IF(OR(LEN(AX679)&lt;2,ISNUMBER(MATCH(AX679,L_Placeholder,0))),"INVALID – verifier missing",IF(AX679=AU679,"INVALID – verifier must be someone other than the PIC",IF(AND(TRIM(U679)="Pass",SUMPRODUCT(--ISNUMBER(SEARCH(L_ResultBad,AV679)))&gt;0),"INVALID – result describes a problem: use Fail, then Pass after CA",IF(AND(AQ679=1,OR(LEN(AY679)&lt;3,ISNUMBER(MATCH(AY679,L_Placeholder,0)))),"INVALID – batch ID missing or placeholder",IF(AND(AR679=1,OR(NOT(ISNUMBER(X679)),NOT(ISNUMBER(Y679)))),"INVALID – expected/actual qty missing",IF(AND(AR679=1,OR(X679&lt;=0,Y679&lt;0)),"INVALID – expected qty must be above 0 and actual not negative",IF(BB679&lt;&gt;"",BB679,IF(AND(AS679=1,Documents!$J$25&lt;&gt;"ON FILE"),"INVALID – GLD not on file (Documents sheet)",IF(AND(AS679=2,Documents!$O$25&lt;&gt;"ON FILE"),"INVALID – menu checklist not on file (Documents sheet)",IF(AND(AS679=3,NOT(ISNUMBER(Flights!$AX$25))),"INVALID – enter carrying flight KUL departure (Flights AX)",IF(AND(AS679=3,OR(Flights!$AZ$25&gt;Flights!$AA$25,Flights!$AX$25&lt;Flights!$AA$25-3)),"INVALID – carrying flight (Flights AX) cannot arrive before this leg's STD, or is over 3 days early",IF(AG679&gt;AsOfUTC,"INVALID – completion time is in the future",IF(AND(ISNUMBER(S679),AG679&lt;S679),IF(H679="Physical uplift","INVALID – before uplift window (cannot confirm loading)","INVALID – before valid window"),IF(AG679&gt;Flights!$AA$25,"INVALID – completed after departure (cannot establish readiness)",IF(AND(H679="Preparation",AG679&gt;Flights!$AY$25+UpliftWindowH/24),"INVALID – completed after the carrying flight left KUL",IF(AND(H679="Physical uplift",AG679&gt;Q679),"INVALID – recorded after the loading flight departed",IF(AG679&gt;Q679,"COMPLETE – LATE","COMPLETE"))))))))))))))))))))),IF(TRIM(U679)="Fail","FAIL – DISCREPANCY",IF(AND(TRIM(U679)&lt;&gt;"",TRIM(U679)&lt;&gt;"Not started",TRIM(U679)&lt;&gt;"In progress"),"INVALID – unrecognised status (use the list)",IF(AsOfUTC&gt;Q679,"OVERDUE",IF(N679="Clarification required","OPEN – CLARIFICATION","OPEN"))))))),"INVALID – error value in an input cell")</f>
        <v>OPEN</v>
      </c>
      <c r="AI679" s="61" t="n">
        <f aca="false">IF(OR(AH679="N/A – RULE",AH679="N/A – JUSTIFIED"),0,1)</f>
        <v>1</v>
      </c>
      <c r="AJ679" s="61" t="n">
        <f aca="false">IF(LEFT(AH679,8)="COMPLETE",1,0)</f>
        <v>0</v>
      </c>
      <c r="AK679" s="61" t="n">
        <f aca="false">IF(AND(AI679=1,AJ679=0,AsOfUTC&gt;Q679),1,0)</f>
        <v>0</v>
      </c>
      <c r="AL679" s="61" t="n">
        <f aca="false">IFERROR(IF(AND(AI679=1,OR(TRIM(U679)="Fail",AND(TRIM(AB679)&lt;&gt;"",TRIM(AB679)&lt;&gt;"Closed"),AND(ISNUMBER(AF679),AF679&lt;&gt;0,TRIM(U679)&lt;&gt;"Pass after CA"))),1,0),1)</f>
        <v>0</v>
      </c>
      <c r="AM679" s="61" t="n">
        <f aca="false">IF(LEFT(AH679,7)="INVALID",1,0)</f>
        <v>0</v>
      </c>
      <c r="AN679" s="61" t="n">
        <f aca="false">IF(AND(N679="Clarification required",AI679=1,AJ679=0),1,0)</f>
        <v>0</v>
      </c>
      <c r="AO679" s="61" t="str">
        <f aca="false">IF(AK679=1,SUM(AK$5:AK679),"")</f>
        <v/>
      </c>
      <c r="AP679" s="61" t="str">
        <f aca="false">IF(AL679=1,SUM(AL$5:AL679),"")</f>
        <v/>
      </c>
      <c r="AQ679" s="61" t="n">
        <v>0</v>
      </c>
      <c r="AR679" s="61" t="n">
        <v>0</v>
      </c>
      <c r="AS679" s="61" t="n">
        <v>0</v>
      </c>
      <c r="AT679" s="61" t="n">
        <v>0</v>
      </c>
      <c r="AU679" s="61" t="str">
        <f aca="false">SUBSTITUTE(SUBSTITUTE(SUBSTITUTE(SUBSTITUTE(SUBSTITUTE(SUBSTITUTE(SUBSTITUTE(SUBSTITUTE(SUBSTITUTE(SUBSTITUTE(SUBSTITUTE(SUBSTITUTE(SUBSTITUTE(LOWER(T679&amp;""),CHAR(160),"")," ",""),".",""),"-",""),"/",""),"?",""),"_",""),",",""),"[",""),"]",""),"(",""),")",""),"*","")</f>
        <v/>
      </c>
      <c r="AV679" s="61" t="str">
        <f aca="false">SUBSTITUTE(SUBSTITUTE(SUBSTITUTE(SUBSTITUTE(SUBSTITUTE(SUBSTITUTE(SUBSTITUTE(SUBSTITUTE(SUBSTITUTE(SUBSTITUTE(SUBSTITUTE(SUBSTITUTE(SUBSTITUTE(LOWER(V679&amp;""),CHAR(160),"")," ",""),".",""),"-",""),"/",""),"?",""),"_",""),",",""),"[",""),"]",""),"(",""),")",""),"*","")</f>
        <v/>
      </c>
      <c r="AW679" s="61" t="str">
        <f aca="false">SUBSTITUTE(SUBSTITUTE(SUBSTITUTE(SUBSTITUTE(SUBSTITUTE(SUBSTITUTE(SUBSTITUTE(SUBSTITUTE(SUBSTITUTE(SUBSTITUTE(SUBSTITUTE(SUBSTITUTE(SUBSTITUTE(LOWER(Z679&amp;""),CHAR(160),"")," ",""),".",""),"-",""),"/",""),"?",""),"_",""),",",""),"[",""),"]",""),"(",""),")",""),"*","")</f>
        <v/>
      </c>
      <c r="AX679" s="61" t="str">
        <f aca="false">SUBSTITUTE(SUBSTITUTE(SUBSTITUTE(SUBSTITUTE(SUBSTITUTE(SUBSTITUTE(SUBSTITUTE(SUBSTITUTE(SUBSTITUTE(SUBSTITUTE(SUBSTITUTE(SUBSTITUTE(SUBSTITUTE(LOWER(AE679&amp;""),CHAR(160),"")," ",""),".",""),"-",""),"/",""),"?",""),"_",""),",",""),"[",""),"]",""),"(",""),")",""),"*","")</f>
        <v/>
      </c>
      <c r="AY679" s="61" t="str">
        <f aca="false">SUBSTITUTE(SUBSTITUTE(SUBSTITUTE(SUBSTITUTE(SUBSTITUTE(SUBSTITUTE(SUBSTITUTE(SUBSTITUTE(SUBSTITUTE(SUBSTITUTE(SUBSTITUTE(SUBSTITUTE(SUBSTITUTE(LOWER(W679&amp;""),CHAR(160),"")," ",""),".",""),"-",""),"/",""),"?",""),"_",""),",",""),"[",""),"]",""),"(",""),")",""),"*","")</f>
        <v/>
      </c>
      <c r="AZ679" s="61" t="str">
        <f aca="false">SUBSTITUTE(SUBSTITUTE(SUBSTITUTE(SUBSTITUTE(SUBSTITUTE(SUBSTITUTE(SUBSTITUTE(SUBSTITUTE(SUBSTITUTE(SUBSTITUTE(SUBSTITUTE(SUBSTITUTE(SUBSTITUTE(LOWER(AC679&amp;""),CHAR(160),"")," ",""),".",""),"-",""),"/",""),"?",""),"_",""),",",""),"[",""),"]",""),"(",""),")",""),"*","")</f>
        <v/>
      </c>
      <c r="BA679" s="61" t="str">
        <f aca="false">SUBSTITUTE(SUBSTITUTE(SUBSTITUTE(SUBSTITUTE(SUBSTITUTE(SUBSTITUTE(SUBSTITUTE(SUBSTITUTE(SUBSTITUTE(SUBSTITUTE(SUBSTITUTE(SUBSTITUTE(SUBSTITUTE(LOWER(AA679&amp;""),CHAR(160),"")," ",""),".",""),"-",""),"/",""),"?",""),"_",""),",",""),"[",""),"]",""),"(",""),")",""),"*","")</f>
        <v/>
      </c>
      <c r="BB679" s="61" t="str">
        <f aca="false">IF(AND(TRIM(U679)="Pass",ISNUMBER(AF679)),IF(AF679&lt;&gt;0,"INVALID – qty variance: use Fail or Pass after CA",""),"")&amp;IF(AND(TRIM(U679)="Pass after CA",ISNUMBER(AF679)),IF(AF679&lt;&gt;0,"INVALID – after the corrective action the actual qty must equal expected (update Actual)",""),"")&amp;IF(AND(TRIM(U679)="Pass",TRIM(AB679)&lt;&gt;"",TRIM(AB679)&lt;&gt;"Closed"),"INVALID – corrective action not closed: use Fail, then Pass after CA","")&amp;IF(AND(TRIM(AA679)&lt;&gt;"",TRIM(AB679)=""),"INVALID – CA status missing for the recorded corrective action","")&amp;IF(AND(TRIM(U679)="Pass after CA",OR(OR(LEN(BA679)&lt;5,ISNUMBER(MATCH(BA679,L_Placeholder,0))),TRIM(AB679)&lt;&gt;"Closed")),"INVALID – corrective action not recorded/closed","")</f>
        <v/>
      </c>
    </row>
    <row r="680" customFormat="false" ht="41.25" hidden="false" customHeight="true" outlineLevel="0" collapsed="false">
      <c r="A680" s="57" t="s">
        <v>1380</v>
      </c>
      <c r="B680" s="57" t="s">
        <v>307</v>
      </c>
      <c r="C680" s="57" t="str">
        <f aca="false">Flights!$F$25</f>
        <v>MH1437</v>
      </c>
      <c r="D680" s="58" t="n">
        <f aca="false">Flights!$D$25</f>
        <v>46325</v>
      </c>
      <c r="E680" s="57" t="str">
        <f aca="false">Flights!$G$25&amp;"-"&amp;Flights!$H$25</f>
        <v>LGK-KUL</v>
      </c>
      <c r="F680" s="57" t="str">
        <f aca="false">Flights!$K$25</f>
        <v>BC</v>
      </c>
      <c r="G680" s="57" t="s">
        <v>398</v>
      </c>
      <c r="H680" s="57" t="s">
        <v>356</v>
      </c>
      <c r="I680" s="57" t="s">
        <v>406</v>
      </c>
      <c r="J680" s="57" t="s">
        <v>411</v>
      </c>
      <c r="K680" s="67"/>
      <c r="L680" s="67" t="s">
        <v>400</v>
      </c>
      <c r="M680" s="67"/>
      <c r="N680" s="67" t="s">
        <v>361</v>
      </c>
      <c r="O680" s="67" t="s">
        <v>953</v>
      </c>
      <c r="P680" s="57" t="s">
        <v>184</v>
      </c>
      <c r="Q680" s="59" t="n">
        <f aca="false">ROUND((MIN(Flights!$AE$25,Flights!$AY$25))*1440,0)/1440</f>
        <v>46324.1875</v>
      </c>
      <c r="R680" s="59" t="n">
        <f aca="false">Q680+(IF(AND(INDEX(TZ_DSTS,MATCH(P680,TZ_STN,0))&lt;&gt;"",Q680&gt;=INDEX(TZ_DSTS,MATCH(P680,TZ_STN,0)),Q680&lt;INDEX(TZ_DSTE,MATCH(P680,TZ_STN,0))),INDEX(TZ_DST,MATCH(P680,TZ_STN,0)),INDEX(TZ_STD,MATCH(P680,TZ_STN,0))))/24</f>
        <v>46324.5208333333</v>
      </c>
      <c r="S680" s="59" t="n">
        <f aca="false">Q680-T12EarlyH/24</f>
        <v>46323.6875</v>
      </c>
      <c r="T680" s="60"/>
      <c r="U680" s="60"/>
      <c r="V680" s="60"/>
      <c r="W680" s="61"/>
      <c r="X680" s="60"/>
      <c r="Y680" s="60"/>
      <c r="Z680" s="60"/>
      <c r="AA680" s="60"/>
      <c r="AB680" s="60"/>
      <c r="AC680" s="60"/>
      <c r="AD680" s="66"/>
      <c r="AE680" s="60"/>
      <c r="AF680" s="61" t="str">
        <f aca="false">IF(AND(ISNUMBER(X680),ISNUMBER(Y680)),Y680-X680,"")</f>
        <v/>
      </c>
      <c r="AG680" s="62" t="str">
        <f aca="false">IF(ISNUMBER(AD680),AD680-(IF(AND(INDEX(TZ_DSTS,MATCH(P680,TZ_STN,0))&lt;&gt;"",(AD680-INDEX(TZ_STD,MATCH(P680,TZ_STN,0))/24)&gt;=INDEX(TZ_DSTS,MATCH(P680,TZ_STN,0)),(AD680-INDEX(TZ_STD,MATCH(P680,TZ_STN,0))/24)&lt;INDEX(TZ_DSTE,MATCH(P680,TZ_STN,0))),INDEX(TZ_DST,MATCH(P680,TZ_STN,0)),INDEX(TZ_STD,MATCH(P680,TZ_STN,0))))/24,"")</f>
        <v/>
      </c>
      <c r="AH680" s="65" t="str">
        <f aca="false">IFERROR(IF(N680="N/A – rule","N/A – RULE",IF(TRIM(U680)="N/A",IF(AT680=0,"INVALID – N/A not permitted for this check",IF(AND(TRIM(AB680)&lt;&gt;"",TRIM(AB680)&lt;&gt;"Closed"),"INVALID – corrective action still open",IF(AND(NOT(OR(LEN(AZ680)&lt;15,ISNUMBER(MATCH(AZ680,L_Placeholder,0)))),NOT(OR(LEN(AU680)&lt;2,ISNUMBER(MATCH(AU680,L_Placeholder,0)))),NOT(OR(LEN(AX680)&lt;2,ISNUMBER(MATCH(AX680,L_Placeholder,0)))),TRIM(AE680)&lt;&gt;TRIM(T680)),"N/A – JUSTIFIED","INVALID – N/A needs a real justification (15+ chars), PIC and a different verifier"))),IF(OR(TRIM(U680)="Pass",TRIM(U680)="Pass after CA"),IF(NOT(ISNUMBER(AD680)),"INVALID – completion time missing",IF(OR(LEN(AU680)&lt;2,ISNUMBER(MATCH(AU680,L_Placeholder,0))),"INVALID – PIC missing",IF(OR(LEN(AV680)&lt;2,ISNUMBER(MATCH(AV680,L_Placeholder,0))),"INVALID – result / assessment missing",IF(OR(OR(LEN(AW680)&lt;3,ISNUMBER(MATCH(AW680,L_Placeholder,0))),SUMPRODUCT(--ISNUMBER(SEARCH(L_EvidencePhrase,AW680)))&gt;0),"INVALID – evidence missing, placeholder or not yet on file",IF(OR(LEN(AX680)&lt;2,ISNUMBER(MATCH(AX680,L_Placeholder,0))),"INVALID – verifier missing",IF(AX680=AU680,"INVALID – verifier must be someone other than the PIC",IF(AND(TRIM(U680)="Pass",SUMPRODUCT(--ISNUMBER(SEARCH(L_ResultBad,AV680)))&gt;0),"INVALID – result describes a problem: use Fail, then Pass after CA",IF(AND(AQ680=1,OR(LEN(AY680)&lt;3,ISNUMBER(MATCH(AY680,L_Placeholder,0)))),"INVALID – batch ID missing or placeholder",IF(AND(AR680=1,OR(NOT(ISNUMBER(X680)),NOT(ISNUMBER(Y680)))),"INVALID – expected/actual qty missing",IF(AND(AR680=1,OR(X680&lt;=0,Y680&lt;0)),"INVALID – expected qty must be above 0 and actual not negative",IF(BB680&lt;&gt;"",BB680,IF(AND(AS680=1,Documents!$J$25&lt;&gt;"ON FILE"),"INVALID – GLD not on file (Documents sheet)",IF(AND(AS680=2,Documents!$O$25&lt;&gt;"ON FILE"),"INVALID – menu checklist not on file (Documents sheet)",IF(AND(AS680=3,NOT(ISNUMBER(Flights!$AX$25))),"INVALID – enter carrying flight KUL departure (Flights AX)",IF(AND(AS680=3,OR(Flights!$AZ$25&gt;Flights!$AA$25,Flights!$AX$25&lt;Flights!$AA$25-3)),"INVALID – carrying flight (Flights AX) cannot arrive before this leg's STD, or is over 3 days early",IF(AG680&gt;AsOfUTC,"INVALID – completion time is in the future",IF(AND(ISNUMBER(S680),AG680&lt;S680),IF(H680="Physical uplift","INVALID – before uplift window (cannot confirm loading)","INVALID – before valid window"),IF(AG680&gt;Flights!$AA$25,"INVALID – completed after departure (cannot establish readiness)",IF(AND(H680="Preparation",AG680&gt;Flights!$AY$25+UpliftWindowH/24),"INVALID – completed after the carrying flight left KUL",IF(AND(H680="Physical uplift",AG680&gt;Q680),"INVALID – recorded after the loading flight departed",IF(AG680&gt;Q680,"COMPLETE – LATE","COMPLETE"))))))))))))))))))))),IF(TRIM(U680)="Fail","FAIL – DISCREPANCY",IF(AND(TRIM(U680)&lt;&gt;"",TRIM(U680)&lt;&gt;"Not started",TRIM(U680)&lt;&gt;"In progress"),"INVALID – unrecognised status (use the list)",IF(AsOfUTC&gt;Q680,"OVERDUE",IF(N680="Clarification required","OPEN – CLARIFICATION","OPEN"))))))),"INVALID – error value in an input cell")</f>
        <v>OPEN</v>
      </c>
      <c r="AI680" s="61" t="n">
        <f aca="false">IF(OR(AH680="N/A – RULE",AH680="N/A – JUSTIFIED"),0,1)</f>
        <v>1</v>
      </c>
      <c r="AJ680" s="61" t="n">
        <f aca="false">IF(LEFT(AH680,8)="COMPLETE",1,0)</f>
        <v>0</v>
      </c>
      <c r="AK680" s="61" t="n">
        <f aca="false">IF(AND(AI680=1,AJ680=0,AsOfUTC&gt;Q680),1,0)</f>
        <v>0</v>
      </c>
      <c r="AL680" s="61" t="n">
        <f aca="false">IFERROR(IF(AND(AI680=1,OR(TRIM(U680)="Fail",AND(TRIM(AB680)&lt;&gt;"",TRIM(AB680)&lt;&gt;"Closed"),AND(ISNUMBER(AF680),AF680&lt;&gt;0,TRIM(U680)&lt;&gt;"Pass after CA"))),1,0),1)</f>
        <v>0</v>
      </c>
      <c r="AM680" s="61" t="n">
        <f aca="false">IF(LEFT(AH680,7)="INVALID",1,0)</f>
        <v>0</v>
      </c>
      <c r="AN680" s="61" t="n">
        <f aca="false">IF(AND(N680="Clarification required",AI680=1,AJ680=0),1,0)</f>
        <v>0</v>
      </c>
      <c r="AO680" s="61" t="str">
        <f aca="false">IF(AK680=1,SUM(AK$5:AK680),"")</f>
        <v/>
      </c>
      <c r="AP680" s="61" t="str">
        <f aca="false">IF(AL680=1,SUM(AL$5:AL680),"")</f>
        <v/>
      </c>
      <c r="AQ680" s="61" t="n">
        <v>0</v>
      </c>
      <c r="AR680" s="61" t="n">
        <v>0</v>
      </c>
      <c r="AS680" s="61" t="n">
        <v>0</v>
      </c>
      <c r="AT680" s="61" t="n">
        <v>0</v>
      </c>
      <c r="AU680" s="61" t="str">
        <f aca="false">SUBSTITUTE(SUBSTITUTE(SUBSTITUTE(SUBSTITUTE(SUBSTITUTE(SUBSTITUTE(SUBSTITUTE(SUBSTITUTE(SUBSTITUTE(SUBSTITUTE(SUBSTITUTE(SUBSTITUTE(SUBSTITUTE(LOWER(T680&amp;""),CHAR(160),"")," ",""),".",""),"-",""),"/",""),"?",""),"_",""),",",""),"[",""),"]",""),"(",""),")",""),"*","")</f>
        <v/>
      </c>
      <c r="AV680" s="61" t="str">
        <f aca="false">SUBSTITUTE(SUBSTITUTE(SUBSTITUTE(SUBSTITUTE(SUBSTITUTE(SUBSTITUTE(SUBSTITUTE(SUBSTITUTE(SUBSTITUTE(SUBSTITUTE(SUBSTITUTE(SUBSTITUTE(SUBSTITUTE(LOWER(V680&amp;""),CHAR(160),"")," ",""),".",""),"-",""),"/",""),"?",""),"_",""),",",""),"[",""),"]",""),"(",""),")",""),"*","")</f>
        <v/>
      </c>
      <c r="AW680" s="61" t="str">
        <f aca="false">SUBSTITUTE(SUBSTITUTE(SUBSTITUTE(SUBSTITUTE(SUBSTITUTE(SUBSTITUTE(SUBSTITUTE(SUBSTITUTE(SUBSTITUTE(SUBSTITUTE(SUBSTITUTE(SUBSTITUTE(SUBSTITUTE(LOWER(Z680&amp;""),CHAR(160),"")," ",""),".",""),"-",""),"/",""),"?",""),"_",""),",",""),"[",""),"]",""),"(",""),")",""),"*","")</f>
        <v/>
      </c>
      <c r="AX680" s="61" t="str">
        <f aca="false">SUBSTITUTE(SUBSTITUTE(SUBSTITUTE(SUBSTITUTE(SUBSTITUTE(SUBSTITUTE(SUBSTITUTE(SUBSTITUTE(SUBSTITUTE(SUBSTITUTE(SUBSTITUTE(SUBSTITUTE(SUBSTITUTE(LOWER(AE680&amp;""),CHAR(160),"")," ",""),".",""),"-",""),"/",""),"?",""),"_",""),",",""),"[",""),"]",""),"(",""),")",""),"*","")</f>
        <v/>
      </c>
      <c r="AY680" s="61" t="str">
        <f aca="false">SUBSTITUTE(SUBSTITUTE(SUBSTITUTE(SUBSTITUTE(SUBSTITUTE(SUBSTITUTE(SUBSTITUTE(SUBSTITUTE(SUBSTITUTE(SUBSTITUTE(SUBSTITUTE(SUBSTITUTE(SUBSTITUTE(LOWER(W680&amp;""),CHAR(160),"")," ",""),".",""),"-",""),"/",""),"?",""),"_",""),",",""),"[",""),"]",""),"(",""),")",""),"*","")</f>
        <v/>
      </c>
      <c r="AZ680" s="61" t="str">
        <f aca="false">SUBSTITUTE(SUBSTITUTE(SUBSTITUTE(SUBSTITUTE(SUBSTITUTE(SUBSTITUTE(SUBSTITUTE(SUBSTITUTE(SUBSTITUTE(SUBSTITUTE(SUBSTITUTE(SUBSTITUTE(SUBSTITUTE(LOWER(AC680&amp;""),CHAR(160),"")," ",""),".",""),"-",""),"/",""),"?",""),"_",""),",",""),"[",""),"]",""),"(",""),")",""),"*","")</f>
        <v/>
      </c>
      <c r="BA680" s="61" t="str">
        <f aca="false">SUBSTITUTE(SUBSTITUTE(SUBSTITUTE(SUBSTITUTE(SUBSTITUTE(SUBSTITUTE(SUBSTITUTE(SUBSTITUTE(SUBSTITUTE(SUBSTITUTE(SUBSTITUTE(SUBSTITUTE(SUBSTITUTE(LOWER(AA680&amp;""),CHAR(160),"")," ",""),".",""),"-",""),"/",""),"?",""),"_",""),",",""),"[",""),"]",""),"(",""),")",""),"*","")</f>
        <v/>
      </c>
      <c r="BB680" s="61" t="str">
        <f aca="false">IF(AND(TRIM(U680)="Pass",ISNUMBER(AF680)),IF(AF680&lt;&gt;0,"INVALID – qty variance: use Fail or Pass after CA",""),"")&amp;IF(AND(TRIM(U680)="Pass after CA",ISNUMBER(AF680)),IF(AF680&lt;&gt;0,"INVALID – after the corrective action the actual qty must equal expected (update Actual)",""),"")&amp;IF(AND(TRIM(U680)="Pass",TRIM(AB680)&lt;&gt;"",TRIM(AB680)&lt;&gt;"Closed"),"INVALID – corrective action not closed: use Fail, then Pass after CA","")&amp;IF(AND(TRIM(AA680)&lt;&gt;"",TRIM(AB680)=""),"INVALID – CA status missing for the recorded corrective action","")&amp;IF(AND(TRIM(U680)="Pass after CA",OR(OR(LEN(BA680)&lt;5,ISNUMBER(MATCH(BA680,L_Placeholder,0))),TRIM(AB680)&lt;&gt;"Closed")),"INVALID – corrective action not recorded/closed","")</f>
        <v/>
      </c>
    </row>
    <row r="681" customFormat="false" ht="78.75" hidden="false" customHeight="true" outlineLevel="0" collapsed="false">
      <c r="A681" s="57" t="s">
        <v>1381</v>
      </c>
      <c r="B681" s="57" t="s">
        <v>307</v>
      </c>
      <c r="C681" s="57" t="str">
        <f aca="false">Flights!$F$25</f>
        <v>MH1437</v>
      </c>
      <c r="D681" s="58" t="n">
        <f aca="false">Flights!$D$25</f>
        <v>46325</v>
      </c>
      <c r="E681" s="57" t="str">
        <f aca="false">Flights!$G$25&amp;"-"&amp;Flights!$H$25</f>
        <v>LGK-KUL</v>
      </c>
      <c r="F681" s="57" t="str">
        <f aca="false">Flights!$K$25</f>
        <v>BC</v>
      </c>
      <c r="G681" s="57" t="s">
        <v>398</v>
      </c>
      <c r="H681" s="57" t="s">
        <v>356</v>
      </c>
      <c r="I681" s="57" t="s">
        <v>406</v>
      </c>
      <c r="J681" s="57" t="s">
        <v>413</v>
      </c>
      <c r="K681" s="67" t="s">
        <v>469</v>
      </c>
      <c r="L681" s="67" t="s">
        <v>400</v>
      </c>
      <c r="M681" s="67"/>
      <c r="N681" s="67" t="s">
        <v>361</v>
      </c>
      <c r="O681" s="67" t="s">
        <v>953</v>
      </c>
      <c r="P681" s="57" t="s">
        <v>184</v>
      </c>
      <c r="Q681" s="59" t="n">
        <f aca="false">ROUND((MIN(Flights!$AE$25,Flights!$AY$25))*1440,0)/1440</f>
        <v>46324.1875</v>
      </c>
      <c r="R681" s="59" t="n">
        <f aca="false">Q681+(IF(AND(INDEX(TZ_DSTS,MATCH(P681,TZ_STN,0))&lt;&gt;"",Q681&gt;=INDEX(TZ_DSTS,MATCH(P681,TZ_STN,0)),Q681&lt;INDEX(TZ_DSTE,MATCH(P681,TZ_STN,0))),INDEX(TZ_DST,MATCH(P681,TZ_STN,0)),INDEX(TZ_STD,MATCH(P681,TZ_STN,0))))/24</f>
        <v>46324.5208333333</v>
      </c>
      <c r="S681" s="59" t="n">
        <f aca="false">Q681-T12EarlyH/24</f>
        <v>46323.6875</v>
      </c>
      <c r="T681" s="60"/>
      <c r="U681" s="60"/>
      <c r="V681" s="60"/>
      <c r="W681" s="61"/>
      <c r="X681" s="60"/>
      <c r="Y681" s="60"/>
      <c r="Z681" s="60"/>
      <c r="AA681" s="60"/>
      <c r="AB681" s="60"/>
      <c r="AC681" s="60"/>
      <c r="AD681" s="66"/>
      <c r="AE681" s="60"/>
      <c r="AF681" s="61" t="str">
        <f aca="false">IF(AND(ISNUMBER(X681),ISNUMBER(Y681)),Y681-X681,"")</f>
        <v/>
      </c>
      <c r="AG681" s="62" t="str">
        <f aca="false">IF(ISNUMBER(AD681),AD681-(IF(AND(INDEX(TZ_DSTS,MATCH(P681,TZ_STN,0))&lt;&gt;"",(AD681-INDEX(TZ_STD,MATCH(P681,TZ_STN,0))/24)&gt;=INDEX(TZ_DSTS,MATCH(P681,TZ_STN,0)),(AD681-INDEX(TZ_STD,MATCH(P681,TZ_STN,0))/24)&lt;INDEX(TZ_DSTE,MATCH(P681,TZ_STN,0))),INDEX(TZ_DST,MATCH(P681,TZ_STN,0)),INDEX(TZ_STD,MATCH(P681,TZ_STN,0))))/24,"")</f>
        <v/>
      </c>
      <c r="AH681" s="65" t="str">
        <f aca="false">IFERROR(IF(N681="N/A – rule","N/A – RULE",IF(TRIM(U681)="N/A",IF(AT681=0,"INVALID – N/A not permitted for this check",IF(AND(TRIM(AB681)&lt;&gt;"",TRIM(AB681)&lt;&gt;"Closed"),"INVALID – corrective action still open",IF(AND(NOT(OR(LEN(AZ681)&lt;15,ISNUMBER(MATCH(AZ681,L_Placeholder,0)))),NOT(OR(LEN(AU681)&lt;2,ISNUMBER(MATCH(AU681,L_Placeholder,0)))),NOT(OR(LEN(AX681)&lt;2,ISNUMBER(MATCH(AX681,L_Placeholder,0)))),TRIM(AE681)&lt;&gt;TRIM(T681)),"N/A – JUSTIFIED","INVALID – N/A needs a real justification (15+ chars), PIC and a different verifier"))),IF(OR(TRIM(U681)="Pass",TRIM(U681)="Pass after CA"),IF(NOT(ISNUMBER(AD681)),"INVALID – completion time missing",IF(OR(LEN(AU681)&lt;2,ISNUMBER(MATCH(AU681,L_Placeholder,0))),"INVALID – PIC missing",IF(OR(LEN(AV681)&lt;2,ISNUMBER(MATCH(AV681,L_Placeholder,0))),"INVALID – result / assessment missing",IF(OR(OR(LEN(AW681)&lt;3,ISNUMBER(MATCH(AW681,L_Placeholder,0))),SUMPRODUCT(--ISNUMBER(SEARCH(L_EvidencePhrase,AW681)))&gt;0),"INVALID – evidence missing, placeholder or not yet on file",IF(OR(LEN(AX681)&lt;2,ISNUMBER(MATCH(AX681,L_Placeholder,0))),"INVALID – verifier missing",IF(AX681=AU681,"INVALID – verifier must be someone other than the PIC",IF(AND(TRIM(U681)="Pass",SUMPRODUCT(--ISNUMBER(SEARCH(L_ResultBad,AV681)))&gt;0),"INVALID – result describes a problem: use Fail, then Pass after CA",IF(AND(AQ681=1,OR(LEN(AY681)&lt;3,ISNUMBER(MATCH(AY681,L_Placeholder,0)))),"INVALID – batch ID missing or placeholder",IF(AND(AR681=1,OR(NOT(ISNUMBER(X681)),NOT(ISNUMBER(Y681)))),"INVALID – expected/actual qty missing",IF(AND(AR681=1,OR(X681&lt;=0,Y681&lt;0)),"INVALID – expected qty must be above 0 and actual not negative",IF(BB681&lt;&gt;"",BB681,IF(AND(AS681=1,Documents!$J$25&lt;&gt;"ON FILE"),"INVALID – GLD not on file (Documents sheet)",IF(AND(AS681=2,Documents!$O$25&lt;&gt;"ON FILE"),"INVALID – menu checklist not on file (Documents sheet)",IF(AND(AS681=3,NOT(ISNUMBER(Flights!$AX$25))),"INVALID – enter carrying flight KUL departure (Flights AX)",IF(AND(AS681=3,OR(Flights!$AZ$25&gt;Flights!$AA$25,Flights!$AX$25&lt;Flights!$AA$25-3)),"INVALID – carrying flight (Flights AX) cannot arrive before this leg's STD, or is over 3 days early",IF(AG681&gt;AsOfUTC,"INVALID – completion time is in the future",IF(AND(ISNUMBER(S681),AG681&lt;S681),IF(H681="Physical uplift","INVALID – before uplift window (cannot confirm loading)","INVALID – before valid window"),IF(AG681&gt;Flights!$AA$25,"INVALID – completed after departure (cannot establish readiness)",IF(AND(H681="Preparation",AG681&gt;Flights!$AY$25+UpliftWindowH/24),"INVALID – completed after the carrying flight left KUL",IF(AND(H681="Physical uplift",AG681&gt;Q681),"INVALID – recorded after the loading flight departed",IF(AG681&gt;Q681,"COMPLETE – LATE","COMPLETE"))))))))))))))))))))),IF(TRIM(U681)="Fail","FAIL – DISCREPANCY",IF(AND(TRIM(U681)&lt;&gt;"",TRIM(U681)&lt;&gt;"Not started",TRIM(U681)&lt;&gt;"In progress"),"INVALID – unrecognised status (use the list)",IF(AsOfUTC&gt;Q681,"OVERDUE",IF(N681="Clarification required","OPEN – CLARIFICATION","OPEN"))))))),"INVALID – error value in an input cell")</f>
        <v>OPEN</v>
      </c>
      <c r="AI681" s="61" t="n">
        <f aca="false">IF(OR(AH681="N/A – RULE",AH681="N/A – JUSTIFIED"),0,1)</f>
        <v>1</v>
      </c>
      <c r="AJ681" s="61" t="n">
        <f aca="false">IF(LEFT(AH681,8)="COMPLETE",1,0)</f>
        <v>0</v>
      </c>
      <c r="AK681" s="61" t="n">
        <f aca="false">IF(AND(AI681=1,AJ681=0,AsOfUTC&gt;Q681),1,0)</f>
        <v>0</v>
      </c>
      <c r="AL681" s="61" t="n">
        <f aca="false">IFERROR(IF(AND(AI681=1,OR(TRIM(U681)="Fail",AND(TRIM(AB681)&lt;&gt;"",TRIM(AB681)&lt;&gt;"Closed"),AND(ISNUMBER(AF681),AF681&lt;&gt;0,TRIM(U681)&lt;&gt;"Pass after CA"))),1,0),1)</f>
        <v>0</v>
      </c>
      <c r="AM681" s="61" t="n">
        <f aca="false">IF(LEFT(AH681,7)="INVALID",1,0)</f>
        <v>0</v>
      </c>
      <c r="AN681" s="61" t="n">
        <f aca="false">IF(AND(N681="Clarification required",AI681=1,AJ681=0),1,0)</f>
        <v>0</v>
      </c>
      <c r="AO681" s="61" t="str">
        <f aca="false">IF(AK681=1,SUM(AK$5:AK681),"")</f>
        <v/>
      </c>
      <c r="AP681" s="61" t="str">
        <f aca="false">IF(AL681=1,SUM(AL$5:AL681),"")</f>
        <v/>
      </c>
      <c r="AQ681" s="61" t="n">
        <v>0</v>
      </c>
      <c r="AR681" s="61" t="n">
        <v>1</v>
      </c>
      <c r="AS681" s="61" t="n">
        <v>0</v>
      </c>
      <c r="AT681" s="61" t="n">
        <v>0</v>
      </c>
      <c r="AU681" s="61" t="str">
        <f aca="false">SUBSTITUTE(SUBSTITUTE(SUBSTITUTE(SUBSTITUTE(SUBSTITUTE(SUBSTITUTE(SUBSTITUTE(SUBSTITUTE(SUBSTITUTE(SUBSTITUTE(SUBSTITUTE(SUBSTITUTE(SUBSTITUTE(LOWER(T681&amp;""),CHAR(160),"")," ",""),".",""),"-",""),"/",""),"?",""),"_",""),",",""),"[",""),"]",""),"(",""),")",""),"*","")</f>
        <v/>
      </c>
      <c r="AV681" s="61" t="str">
        <f aca="false">SUBSTITUTE(SUBSTITUTE(SUBSTITUTE(SUBSTITUTE(SUBSTITUTE(SUBSTITUTE(SUBSTITUTE(SUBSTITUTE(SUBSTITUTE(SUBSTITUTE(SUBSTITUTE(SUBSTITUTE(SUBSTITUTE(LOWER(V681&amp;""),CHAR(160),"")," ",""),".",""),"-",""),"/",""),"?",""),"_",""),",",""),"[",""),"]",""),"(",""),")",""),"*","")</f>
        <v/>
      </c>
      <c r="AW681" s="61" t="str">
        <f aca="false">SUBSTITUTE(SUBSTITUTE(SUBSTITUTE(SUBSTITUTE(SUBSTITUTE(SUBSTITUTE(SUBSTITUTE(SUBSTITUTE(SUBSTITUTE(SUBSTITUTE(SUBSTITUTE(SUBSTITUTE(SUBSTITUTE(LOWER(Z681&amp;""),CHAR(160),"")," ",""),".",""),"-",""),"/",""),"?",""),"_",""),",",""),"[",""),"]",""),"(",""),")",""),"*","")</f>
        <v/>
      </c>
      <c r="AX681" s="61" t="str">
        <f aca="false">SUBSTITUTE(SUBSTITUTE(SUBSTITUTE(SUBSTITUTE(SUBSTITUTE(SUBSTITUTE(SUBSTITUTE(SUBSTITUTE(SUBSTITUTE(SUBSTITUTE(SUBSTITUTE(SUBSTITUTE(SUBSTITUTE(LOWER(AE681&amp;""),CHAR(160),"")," ",""),".",""),"-",""),"/",""),"?",""),"_",""),",",""),"[",""),"]",""),"(",""),")",""),"*","")</f>
        <v/>
      </c>
      <c r="AY681" s="61" t="str">
        <f aca="false">SUBSTITUTE(SUBSTITUTE(SUBSTITUTE(SUBSTITUTE(SUBSTITUTE(SUBSTITUTE(SUBSTITUTE(SUBSTITUTE(SUBSTITUTE(SUBSTITUTE(SUBSTITUTE(SUBSTITUTE(SUBSTITUTE(LOWER(W681&amp;""),CHAR(160),"")," ",""),".",""),"-",""),"/",""),"?",""),"_",""),",",""),"[",""),"]",""),"(",""),")",""),"*","")</f>
        <v/>
      </c>
      <c r="AZ681" s="61" t="str">
        <f aca="false">SUBSTITUTE(SUBSTITUTE(SUBSTITUTE(SUBSTITUTE(SUBSTITUTE(SUBSTITUTE(SUBSTITUTE(SUBSTITUTE(SUBSTITUTE(SUBSTITUTE(SUBSTITUTE(SUBSTITUTE(SUBSTITUTE(LOWER(AC681&amp;""),CHAR(160),"")," ",""),".",""),"-",""),"/",""),"?",""),"_",""),",",""),"[",""),"]",""),"(",""),")",""),"*","")</f>
        <v/>
      </c>
      <c r="BA681" s="61" t="str">
        <f aca="false">SUBSTITUTE(SUBSTITUTE(SUBSTITUTE(SUBSTITUTE(SUBSTITUTE(SUBSTITUTE(SUBSTITUTE(SUBSTITUTE(SUBSTITUTE(SUBSTITUTE(SUBSTITUTE(SUBSTITUTE(SUBSTITUTE(LOWER(AA681&amp;""),CHAR(160),"")," ",""),".",""),"-",""),"/",""),"?",""),"_",""),",",""),"[",""),"]",""),"(",""),")",""),"*","")</f>
        <v/>
      </c>
      <c r="BB681" s="61" t="str">
        <f aca="false">IF(AND(TRIM(U681)="Pass",ISNUMBER(AF681)),IF(AF681&lt;&gt;0,"INVALID – qty variance: use Fail or Pass after CA",""),"")&amp;IF(AND(TRIM(U681)="Pass after CA",ISNUMBER(AF681)),IF(AF681&lt;&gt;0,"INVALID – after the corrective action the actual qty must equal expected (update Actual)",""),"")&amp;IF(AND(TRIM(U681)="Pass",TRIM(AB681)&lt;&gt;"",TRIM(AB681)&lt;&gt;"Closed"),"INVALID – corrective action not closed: use Fail, then Pass after CA","")&amp;IF(AND(TRIM(AA681)&lt;&gt;"",TRIM(AB681)=""),"INVALID – CA status missing for the recorded corrective action","")&amp;IF(AND(TRIM(U681)="Pass after CA",OR(OR(LEN(BA681)&lt;5,ISNUMBER(MATCH(BA681,L_Placeholder,0))),TRIM(AB681)&lt;&gt;"Closed")),"INVALID – corrective action not recorded/closed","")</f>
        <v/>
      </c>
    </row>
    <row r="682" customFormat="false" ht="41.25" hidden="false" customHeight="true" outlineLevel="0" collapsed="false">
      <c r="A682" s="57" t="s">
        <v>1382</v>
      </c>
      <c r="B682" s="57" t="s">
        <v>307</v>
      </c>
      <c r="C682" s="57" t="str">
        <f aca="false">Flights!$F$25</f>
        <v>MH1437</v>
      </c>
      <c r="D682" s="58" t="n">
        <f aca="false">Flights!$D$25</f>
        <v>46325</v>
      </c>
      <c r="E682" s="57" t="str">
        <f aca="false">Flights!$G$25&amp;"-"&amp;Flights!$H$25</f>
        <v>LGK-KUL</v>
      </c>
      <c r="F682" s="57" t="str">
        <f aca="false">Flights!$K$25</f>
        <v>BC</v>
      </c>
      <c r="G682" s="57" t="s">
        <v>398</v>
      </c>
      <c r="H682" s="57" t="s">
        <v>356</v>
      </c>
      <c r="I682" s="57" t="s">
        <v>406</v>
      </c>
      <c r="J682" s="57" t="s">
        <v>416</v>
      </c>
      <c r="K682" s="67"/>
      <c r="L682" s="67" t="s">
        <v>400</v>
      </c>
      <c r="M682" s="67"/>
      <c r="N682" s="67" t="s">
        <v>361</v>
      </c>
      <c r="O682" s="67" t="s">
        <v>953</v>
      </c>
      <c r="P682" s="57" t="s">
        <v>184</v>
      </c>
      <c r="Q682" s="59" t="n">
        <f aca="false">ROUND((MIN(Flights!$AE$25,Flights!$AY$25))*1440,0)/1440</f>
        <v>46324.1875</v>
      </c>
      <c r="R682" s="59" t="n">
        <f aca="false">Q682+(IF(AND(INDEX(TZ_DSTS,MATCH(P682,TZ_STN,0))&lt;&gt;"",Q682&gt;=INDEX(TZ_DSTS,MATCH(P682,TZ_STN,0)),Q682&lt;INDEX(TZ_DSTE,MATCH(P682,TZ_STN,0))),INDEX(TZ_DST,MATCH(P682,TZ_STN,0)),INDEX(TZ_STD,MATCH(P682,TZ_STN,0))))/24</f>
        <v>46324.5208333333</v>
      </c>
      <c r="S682" s="59" t="n">
        <f aca="false">Q682-T12EarlyH/24</f>
        <v>46323.6875</v>
      </c>
      <c r="T682" s="60"/>
      <c r="U682" s="60"/>
      <c r="V682" s="60"/>
      <c r="W682" s="61"/>
      <c r="X682" s="60"/>
      <c r="Y682" s="60"/>
      <c r="Z682" s="60"/>
      <c r="AA682" s="60"/>
      <c r="AB682" s="60"/>
      <c r="AC682" s="60"/>
      <c r="AD682" s="66"/>
      <c r="AE682" s="60"/>
      <c r="AF682" s="61" t="str">
        <f aca="false">IF(AND(ISNUMBER(X682),ISNUMBER(Y682)),Y682-X682,"")</f>
        <v/>
      </c>
      <c r="AG682" s="62" t="str">
        <f aca="false">IF(ISNUMBER(AD682),AD682-(IF(AND(INDEX(TZ_DSTS,MATCH(P682,TZ_STN,0))&lt;&gt;"",(AD682-INDEX(TZ_STD,MATCH(P682,TZ_STN,0))/24)&gt;=INDEX(TZ_DSTS,MATCH(P682,TZ_STN,0)),(AD682-INDEX(TZ_STD,MATCH(P682,TZ_STN,0))/24)&lt;INDEX(TZ_DSTE,MATCH(P682,TZ_STN,0))),INDEX(TZ_DST,MATCH(P682,TZ_STN,0)),INDEX(TZ_STD,MATCH(P682,TZ_STN,0))))/24,"")</f>
        <v/>
      </c>
      <c r="AH682" s="65" t="str">
        <f aca="false">IFERROR(IF(N682="N/A – rule","N/A – RULE",IF(TRIM(U682)="N/A",IF(AT682=0,"INVALID – N/A not permitted for this check",IF(AND(TRIM(AB682)&lt;&gt;"",TRIM(AB682)&lt;&gt;"Closed"),"INVALID – corrective action still open",IF(AND(NOT(OR(LEN(AZ682)&lt;15,ISNUMBER(MATCH(AZ682,L_Placeholder,0)))),NOT(OR(LEN(AU682)&lt;2,ISNUMBER(MATCH(AU682,L_Placeholder,0)))),NOT(OR(LEN(AX682)&lt;2,ISNUMBER(MATCH(AX682,L_Placeholder,0)))),TRIM(AE682)&lt;&gt;TRIM(T682)),"N/A – JUSTIFIED","INVALID – N/A needs a real justification (15+ chars), PIC and a different verifier"))),IF(OR(TRIM(U682)="Pass",TRIM(U682)="Pass after CA"),IF(NOT(ISNUMBER(AD682)),"INVALID – completion time missing",IF(OR(LEN(AU682)&lt;2,ISNUMBER(MATCH(AU682,L_Placeholder,0))),"INVALID – PIC missing",IF(OR(LEN(AV682)&lt;2,ISNUMBER(MATCH(AV682,L_Placeholder,0))),"INVALID – result / assessment missing",IF(OR(OR(LEN(AW682)&lt;3,ISNUMBER(MATCH(AW682,L_Placeholder,0))),SUMPRODUCT(--ISNUMBER(SEARCH(L_EvidencePhrase,AW682)))&gt;0),"INVALID – evidence missing, placeholder or not yet on file",IF(OR(LEN(AX682)&lt;2,ISNUMBER(MATCH(AX682,L_Placeholder,0))),"INVALID – verifier missing",IF(AX682=AU682,"INVALID – verifier must be someone other than the PIC",IF(AND(TRIM(U682)="Pass",SUMPRODUCT(--ISNUMBER(SEARCH(L_ResultBad,AV682)))&gt;0),"INVALID – result describes a problem: use Fail, then Pass after CA",IF(AND(AQ682=1,OR(LEN(AY682)&lt;3,ISNUMBER(MATCH(AY682,L_Placeholder,0)))),"INVALID – batch ID missing or placeholder",IF(AND(AR682=1,OR(NOT(ISNUMBER(X682)),NOT(ISNUMBER(Y682)))),"INVALID – expected/actual qty missing",IF(AND(AR682=1,OR(X682&lt;=0,Y682&lt;0)),"INVALID – expected qty must be above 0 and actual not negative",IF(BB682&lt;&gt;"",BB682,IF(AND(AS682=1,Documents!$J$25&lt;&gt;"ON FILE"),"INVALID – GLD not on file (Documents sheet)",IF(AND(AS682=2,Documents!$O$25&lt;&gt;"ON FILE"),"INVALID – menu checklist not on file (Documents sheet)",IF(AND(AS682=3,NOT(ISNUMBER(Flights!$AX$25))),"INVALID – enter carrying flight KUL departure (Flights AX)",IF(AND(AS682=3,OR(Flights!$AZ$25&gt;Flights!$AA$25,Flights!$AX$25&lt;Flights!$AA$25-3)),"INVALID – carrying flight (Flights AX) cannot arrive before this leg's STD, or is over 3 days early",IF(AG682&gt;AsOfUTC,"INVALID – completion time is in the future",IF(AND(ISNUMBER(S682),AG682&lt;S682),IF(H682="Physical uplift","INVALID – before uplift window (cannot confirm loading)","INVALID – before valid window"),IF(AG682&gt;Flights!$AA$25,"INVALID – completed after departure (cannot establish readiness)",IF(AND(H682="Preparation",AG682&gt;Flights!$AY$25+UpliftWindowH/24),"INVALID – completed after the carrying flight left KUL",IF(AND(H682="Physical uplift",AG682&gt;Q682),"INVALID – recorded after the loading flight departed",IF(AG682&gt;Q682,"COMPLETE – LATE","COMPLETE"))))))))))))))))))))),IF(TRIM(U682)="Fail","FAIL – DISCREPANCY",IF(AND(TRIM(U682)&lt;&gt;"",TRIM(U682)&lt;&gt;"Not started",TRIM(U682)&lt;&gt;"In progress"),"INVALID – unrecognised status (use the list)",IF(AsOfUTC&gt;Q682,"OVERDUE",IF(N682="Clarification required","OPEN – CLARIFICATION","OPEN"))))))),"INVALID – error value in an input cell")</f>
        <v>OPEN</v>
      </c>
      <c r="AI682" s="61" t="n">
        <f aca="false">IF(OR(AH682="N/A – RULE",AH682="N/A – JUSTIFIED"),0,1)</f>
        <v>1</v>
      </c>
      <c r="AJ682" s="61" t="n">
        <f aca="false">IF(LEFT(AH682,8)="COMPLETE",1,0)</f>
        <v>0</v>
      </c>
      <c r="AK682" s="61" t="n">
        <f aca="false">IF(AND(AI682=1,AJ682=0,AsOfUTC&gt;Q682),1,0)</f>
        <v>0</v>
      </c>
      <c r="AL682" s="61" t="n">
        <f aca="false">IFERROR(IF(AND(AI682=1,OR(TRIM(U682)="Fail",AND(TRIM(AB682)&lt;&gt;"",TRIM(AB682)&lt;&gt;"Closed"),AND(ISNUMBER(AF682),AF682&lt;&gt;0,TRIM(U682)&lt;&gt;"Pass after CA"))),1,0),1)</f>
        <v>0</v>
      </c>
      <c r="AM682" s="61" t="n">
        <f aca="false">IF(LEFT(AH682,7)="INVALID",1,0)</f>
        <v>0</v>
      </c>
      <c r="AN682" s="61" t="n">
        <f aca="false">IF(AND(N682="Clarification required",AI682=1,AJ682=0),1,0)</f>
        <v>0</v>
      </c>
      <c r="AO682" s="61" t="str">
        <f aca="false">IF(AK682=1,SUM(AK$5:AK682),"")</f>
        <v/>
      </c>
      <c r="AP682" s="61" t="str">
        <f aca="false">IF(AL682=1,SUM(AL$5:AL682),"")</f>
        <v/>
      </c>
      <c r="AQ682" s="61" t="n">
        <v>0</v>
      </c>
      <c r="AR682" s="61" t="n">
        <v>0</v>
      </c>
      <c r="AS682" s="61" t="n">
        <v>0</v>
      </c>
      <c r="AT682" s="61" t="n">
        <v>0</v>
      </c>
      <c r="AU682" s="61" t="str">
        <f aca="false">SUBSTITUTE(SUBSTITUTE(SUBSTITUTE(SUBSTITUTE(SUBSTITUTE(SUBSTITUTE(SUBSTITUTE(SUBSTITUTE(SUBSTITUTE(SUBSTITUTE(SUBSTITUTE(SUBSTITUTE(SUBSTITUTE(LOWER(T682&amp;""),CHAR(160),"")," ",""),".",""),"-",""),"/",""),"?",""),"_",""),",",""),"[",""),"]",""),"(",""),")",""),"*","")</f>
        <v/>
      </c>
      <c r="AV682" s="61" t="str">
        <f aca="false">SUBSTITUTE(SUBSTITUTE(SUBSTITUTE(SUBSTITUTE(SUBSTITUTE(SUBSTITUTE(SUBSTITUTE(SUBSTITUTE(SUBSTITUTE(SUBSTITUTE(SUBSTITUTE(SUBSTITUTE(SUBSTITUTE(LOWER(V682&amp;""),CHAR(160),"")," ",""),".",""),"-",""),"/",""),"?",""),"_",""),",",""),"[",""),"]",""),"(",""),")",""),"*","")</f>
        <v/>
      </c>
      <c r="AW682" s="61" t="str">
        <f aca="false">SUBSTITUTE(SUBSTITUTE(SUBSTITUTE(SUBSTITUTE(SUBSTITUTE(SUBSTITUTE(SUBSTITUTE(SUBSTITUTE(SUBSTITUTE(SUBSTITUTE(SUBSTITUTE(SUBSTITUTE(SUBSTITUTE(LOWER(Z682&amp;""),CHAR(160),"")," ",""),".",""),"-",""),"/",""),"?",""),"_",""),",",""),"[",""),"]",""),"(",""),")",""),"*","")</f>
        <v/>
      </c>
      <c r="AX682" s="61" t="str">
        <f aca="false">SUBSTITUTE(SUBSTITUTE(SUBSTITUTE(SUBSTITUTE(SUBSTITUTE(SUBSTITUTE(SUBSTITUTE(SUBSTITUTE(SUBSTITUTE(SUBSTITUTE(SUBSTITUTE(SUBSTITUTE(SUBSTITUTE(LOWER(AE682&amp;""),CHAR(160),"")," ",""),".",""),"-",""),"/",""),"?",""),"_",""),",",""),"[",""),"]",""),"(",""),")",""),"*","")</f>
        <v/>
      </c>
      <c r="AY682" s="61" t="str">
        <f aca="false">SUBSTITUTE(SUBSTITUTE(SUBSTITUTE(SUBSTITUTE(SUBSTITUTE(SUBSTITUTE(SUBSTITUTE(SUBSTITUTE(SUBSTITUTE(SUBSTITUTE(SUBSTITUTE(SUBSTITUTE(SUBSTITUTE(LOWER(W682&amp;""),CHAR(160),"")," ",""),".",""),"-",""),"/",""),"?",""),"_",""),",",""),"[",""),"]",""),"(",""),")",""),"*","")</f>
        <v/>
      </c>
      <c r="AZ682" s="61" t="str">
        <f aca="false">SUBSTITUTE(SUBSTITUTE(SUBSTITUTE(SUBSTITUTE(SUBSTITUTE(SUBSTITUTE(SUBSTITUTE(SUBSTITUTE(SUBSTITUTE(SUBSTITUTE(SUBSTITUTE(SUBSTITUTE(SUBSTITUTE(LOWER(AC682&amp;""),CHAR(160),"")," ",""),".",""),"-",""),"/",""),"?",""),"_",""),",",""),"[",""),"]",""),"(",""),")",""),"*","")</f>
        <v/>
      </c>
      <c r="BA682" s="61" t="str">
        <f aca="false">SUBSTITUTE(SUBSTITUTE(SUBSTITUTE(SUBSTITUTE(SUBSTITUTE(SUBSTITUTE(SUBSTITUTE(SUBSTITUTE(SUBSTITUTE(SUBSTITUTE(SUBSTITUTE(SUBSTITUTE(SUBSTITUTE(LOWER(AA682&amp;""),CHAR(160),"")," ",""),".",""),"-",""),"/",""),"?",""),"_",""),",",""),"[",""),"]",""),"(",""),")",""),"*","")</f>
        <v/>
      </c>
      <c r="BB682" s="61" t="str">
        <f aca="false">IF(AND(TRIM(U682)="Pass",ISNUMBER(AF682)),IF(AF682&lt;&gt;0,"INVALID – qty variance: use Fail or Pass after CA",""),"")&amp;IF(AND(TRIM(U682)="Pass after CA",ISNUMBER(AF682)),IF(AF682&lt;&gt;0,"INVALID – after the corrective action the actual qty must equal expected (update Actual)",""),"")&amp;IF(AND(TRIM(U682)="Pass",TRIM(AB682)&lt;&gt;"",TRIM(AB682)&lt;&gt;"Closed"),"INVALID – corrective action not closed: use Fail, then Pass after CA","")&amp;IF(AND(TRIM(AA682)&lt;&gt;"",TRIM(AB682)=""),"INVALID – CA status missing for the recorded corrective action","")&amp;IF(AND(TRIM(U682)="Pass after CA",OR(OR(LEN(BA682)&lt;5,ISNUMBER(MATCH(BA682,L_Placeholder,0))),TRIM(AB682)&lt;&gt;"Closed")),"INVALID – corrective action not recorded/closed","")</f>
        <v/>
      </c>
    </row>
    <row r="683" customFormat="false" ht="91.5" hidden="false" customHeight="true" outlineLevel="0" collapsed="false">
      <c r="A683" s="57" t="s">
        <v>1383</v>
      </c>
      <c r="B683" s="57" t="s">
        <v>307</v>
      </c>
      <c r="C683" s="57" t="str">
        <f aca="false">Flights!$F$25</f>
        <v>MH1437</v>
      </c>
      <c r="D683" s="58" t="n">
        <f aca="false">Flights!$D$25</f>
        <v>46325</v>
      </c>
      <c r="E683" s="57" t="str">
        <f aca="false">Flights!$G$25&amp;"-"&amp;Flights!$H$25</f>
        <v>LGK-KUL</v>
      </c>
      <c r="F683" s="57" t="str">
        <f aca="false">Flights!$K$25</f>
        <v>BC</v>
      </c>
      <c r="G683" s="57" t="s">
        <v>398</v>
      </c>
      <c r="H683" s="57" t="s">
        <v>356</v>
      </c>
      <c r="I683" s="57" t="s">
        <v>418</v>
      </c>
      <c r="J683" s="57" t="s">
        <v>472</v>
      </c>
      <c r="K683" s="67" t="s">
        <v>473</v>
      </c>
      <c r="L683" s="67" t="s">
        <v>1384</v>
      </c>
      <c r="M683" s="67" t="s">
        <v>429</v>
      </c>
      <c r="N683" s="67" t="s">
        <v>361</v>
      </c>
      <c r="O683" s="67" t="s">
        <v>1385</v>
      </c>
      <c r="P683" s="57" t="s">
        <v>184</v>
      </c>
      <c r="Q683" s="59" t="n">
        <f aca="false">ROUND((MIN(Flights!$AE$25,Flights!$AY$25))*1440,0)/1440</f>
        <v>46324.1875</v>
      </c>
      <c r="R683" s="59" t="n">
        <f aca="false">Q683+(IF(AND(INDEX(TZ_DSTS,MATCH(P683,TZ_STN,0))&lt;&gt;"",Q683&gt;=INDEX(TZ_DSTS,MATCH(P683,TZ_STN,0)),Q683&lt;INDEX(TZ_DSTE,MATCH(P683,TZ_STN,0))),INDEX(TZ_DST,MATCH(P683,TZ_STN,0)),INDEX(TZ_STD,MATCH(P683,TZ_STN,0))))/24</f>
        <v>46324.5208333333</v>
      </c>
      <c r="S683" s="59" t="n">
        <f aca="false">Q683-T12EarlyH/24</f>
        <v>46323.6875</v>
      </c>
      <c r="T683" s="60"/>
      <c r="U683" s="60"/>
      <c r="V683" s="60"/>
      <c r="W683" s="61"/>
      <c r="X683" s="60"/>
      <c r="Y683" s="60"/>
      <c r="Z683" s="60"/>
      <c r="AA683" s="60"/>
      <c r="AB683" s="60"/>
      <c r="AC683" s="60"/>
      <c r="AD683" s="66"/>
      <c r="AE683" s="60"/>
      <c r="AF683" s="61" t="str">
        <f aca="false">IF(AND(ISNUMBER(X683),ISNUMBER(Y683)),Y683-X683,"")</f>
        <v/>
      </c>
      <c r="AG683" s="62" t="str">
        <f aca="false">IF(ISNUMBER(AD683),AD683-(IF(AND(INDEX(TZ_DSTS,MATCH(P683,TZ_STN,0))&lt;&gt;"",(AD683-INDEX(TZ_STD,MATCH(P683,TZ_STN,0))/24)&gt;=INDEX(TZ_DSTS,MATCH(P683,TZ_STN,0)),(AD683-INDEX(TZ_STD,MATCH(P683,TZ_STN,0))/24)&lt;INDEX(TZ_DSTE,MATCH(P683,TZ_STN,0))),INDEX(TZ_DST,MATCH(P683,TZ_STN,0)),INDEX(TZ_STD,MATCH(P683,TZ_STN,0))))/24,"")</f>
        <v/>
      </c>
      <c r="AH683" s="65" t="str">
        <f aca="false">IFERROR(IF(N683="N/A – rule","N/A – RULE",IF(TRIM(U683)="N/A",IF(AT683=0,"INVALID – N/A not permitted for this check",IF(AND(TRIM(AB683)&lt;&gt;"",TRIM(AB683)&lt;&gt;"Closed"),"INVALID – corrective action still open",IF(AND(NOT(OR(LEN(AZ683)&lt;15,ISNUMBER(MATCH(AZ683,L_Placeholder,0)))),NOT(OR(LEN(AU683)&lt;2,ISNUMBER(MATCH(AU683,L_Placeholder,0)))),NOT(OR(LEN(AX683)&lt;2,ISNUMBER(MATCH(AX683,L_Placeholder,0)))),TRIM(AE683)&lt;&gt;TRIM(T683)),"N/A – JUSTIFIED","INVALID – N/A needs a real justification (15+ chars), PIC and a different verifier"))),IF(OR(TRIM(U683)="Pass",TRIM(U683)="Pass after CA"),IF(NOT(ISNUMBER(AD683)),"INVALID – completion time missing",IF(OR(LEN(AU683)&lt;2,ISNUMBER(MATCH(AU683,L_Placeholder,0))),"INVALID – PIC missing",IF(OR(LEN(AV683)&lt;2,ISNUMBER(MATCH(AV683,L_Placeholder,0))),"INVALID – result / assessment missing",IF(OR(OR(LEN(AW683)&lt;3,ISNUMBER(MATCH(AW683,L_Placeholder,0))),SUMPRODUCT(--ISNUMBER(SEARCH(L_EvidencePhrase,AW683)))&gt;0),"INVALID – evidence missing, placeholder or not yet on file",IF(OR(LEN(AX683)&lt;2,ISNUMBER(MATCH(AX683,L_Placeholder,0))),"INVALID – verifier missing",IF(AX683=AU683,"INVALID – verifier must be someone other than the PIC",IF(AND(TRIM(U683)="Pass",SUMPRODUCT(--ISNUMBER(SEARCH(L_ResultBad,AV683)))&gt;0),"INVALID – result describes a problem: use Fail, then Pass after CA",IF(AND(AQ683=1,OR(LEN(AY683)&lt;3,ISNUMBER(MATCH(AY683,L_Placeholder,0)))),"INVALID – batch ID missing or placeholder",IF(AND(AR683=1,OR(NOT(ISNUMBER(X683)),NOT(ISNUMBER(Y683)))),"INVALID – expected/actual qty missing",IF(AND(AR683=1,OR(X683&lt;=0,Y683&lt;0)),"INVALID – expected qty must be above 0 and actual not negative",IF(BB683&lt;&gt;"",BB683,IF(AND(AS683=1,Documents!$J$25&lt;&gt;"ON FILE"),"INVALID – GLD not on file (Documents sheet)",IF(AND(AS683=2,Documents!$O$25&lt;&gt;"ON FILE"),"INVALID – menu checklist not on file (Documents sheet)",IF(AND(AS683=3,NOT(ISNUMBER(Flights!$AX$25))),"INVALID – enter carrying flight KUL departure (Flights AX)",IF(AND(AS683=3,OR(Flights!$AZ$25&gt;Flights!$AA$25,Flights!$AX$25&lt;Flights!$AA$25-3)),"INVALID – carrying flight (Flights AX) cannot arrive before this leg's STD, or is over 3 days early",IF(AG683&gt;AsOfUTC,"INVALID – completion time is in the future",IF(AND(ISNUMBER(S683),AG683&lt;S683),IF(H683="Physical uplift","INVALID – before uplift window (cannot confirm loading)","INVALID – before valid window"),IF(AG683&gt;Flights!$AA$25,"INVALID – completed after departure (cannot establish readiness)",IF(AND(H683="Preparation",AG683&gt;Flights!$AY$25+UpliftWindowH/24),"INVALID – completed after the carrying flight left KUL",IF(AND(H683="Physical uplift",AG683&gt;Q683),"INVALID – recorded after the loading flight departed",IF(AG683&gt;Q683,"COMPLETE – LATE","COMPLETE"))))))))))))))))))))),IF(TRIM(U683)="Fail","FAIL – DISCREPANCY",IF(AND(TRIM(U683)&lt;&gt;"",TRIM(U683)&lt;&gt;"Not started",TRIM(U683)&lt;&gt;"In progress"),"INVALID – unrecognised status (use the list)",IF(AsOfUTC&gt;Q683,"OVERDUE",IF(N683="Clarification required","OPEN – CLARIFICATION","OPEN"))))))),"INVALID – error value in an input cell")</f>
        <v>OPEN</v>
      </c>
      <c r="AI683" s="61" t="n">
        <f aca="false">IF(OR(AH683="N/A – RULE",AH683="N/A – JUSTIFIED"),0,1)</f>
        <v>1</v>
      </c>
      <c r="AJ683" s="61" t="n">
        <f aca="false">IF(LEFT(AH683,8)="COMPLETE",1,0)</f>
        <v>0</v>
      </c>
      <c r="AK683" s="61" t="n">
        <f aca="false">IF(AND(AI683=1,AJ683=0,AsOfUTC&gt;Q683),1,0)</f>
        <v>0</v>
      </c>
      <c r="AL683" s="61" t="n">
        <f aca="false">IFERROR(IF(AND(AI683=1,OR(TRIM(U683)="Fail",AND(TRIM(AB683)&lt;&gt;"",TRIM(AB683)&lt;&gt;"Closed"),AND(ISNUMBER(AF683),AF683&lt;&gt;0,TRIM(U683)&lt;&gt;"Pass after CA"))),1,0),1)</f>
        <v>0</v>
      </c>
      <c r="AM683" s="61" t="n">
        <f aca="false">IF(LEFT(AH683,7)="INVALID",1,0)</f>
        <v>0</v>
      </c>
      <c r="AN683" s="61" t="n">
        <f aca="false">IF(AND(N683="Clarification required",AI683=1,AJ683=0),1,0)</f>
        <v>0</v>
      </c>
      <c r="AO683" s="61" t="str">
        <f aca="false">IF(AK683=1,SUM(AK$5:AK683),"")</f>
        <v/>
      </c>
      <c r="AP683" s="61" t="str">
        <f aca="false">IF(AL683=1,SUM(AL$5:AL683),"")</f>
        <v/>
      </c>
      <c r="AQ683" s="61" t="n">
        <v>0</v>
      </c>
      <c r="AR683" s="61" t="n">
        <v>0</v>
      </c>
      <c r="AS683" s="61" t="n">
        <v>0</v>
      </c>
      <c r="AT683" s="61" t="n">
        <v>0</v>
      </c>
      <c r="AU683" s="61" t="str">
        <f aca="false">SUBSTITUTE(SUBSTITUTE(SUBSTITUTE(SUBSTITUTE(SUBSTITUTE(SUBSTITUTE(SUBSTITUTE(SUBSTITUTE(SUBSTITUTE(SUBSTITUTE(SUBSTITUTE(SUBSTITUTE(SUBSTITUTE(LOWER(T683&amp;""),CHAR(160),"")," ",""),".",""),"-",""),"/",""),"?",""),"_",""),",",""),"[",""),"]",""),"(",""),")",""),"*","")</f>
        <v/>
      </c>
      <c r="AV683" s="61" t="str">
        <f aca="false">SUBSTITUTE(SUBSTITUTE(SUBSTITUTE(SUBSTITUTE(SUBSTITUTE(SUBSTITUTE(SUBSTITUTE(SUBSTITUTE(SUBSTITUTE(SUBSTITUTE(SUBSTITUTE(SUBSTITUTE(SUBSTITUTE(LOWER(V683&amp;""),CHAR(160),"")," ",""),".",""),"-",""),"/",""),"?",""),"_",""),",",""),"[",""),"]",""),"(",""),")",""),"*","")</f>
        <v/>
      </c>
      <c r="AW683" s="61" t="str">
        <f aca="false">SUBSTITUTE(SUBSTITUTE(SUBSTITUTE(SUBSTITUTE(SUBSTITUTE(SUBSTITUTE(SUBSTITUTE(SUBSTITUTE(SUBSTITUTE(SUBSTITUTE(SUBSTITUTE(SUBSTITUTE(SUBSTITUTE(LOWER(Z683&amp;""),CHAR(160),"")," ",""),".",""),"-",""),"/",""),"?",""),"_",""),",",""),"[",""),"]",""),"(",""),")",""),"*","")</f>
        <v/>
      </c>
      <c r="AX683" s="61" t="str">
        <f aca="false">SUBSTITUTE(SUBSTITUTE(SUBSTITUTE(SUBSTITUTE(SUBSTITUTE(SUBSTITUTE(SUBSTITUTE(SUBSTITUTE(SUBSTITUTE(SUBSTITUTE(SUBSTITUTE(SUBSTITUTE(SUBSTITUTE(LOWER(AE683&amp;""),CHAR(160),"")," ",""),".",""),"-",""),"/",""),"?",""),"_",""),",",""),"[",""),"]",""),"(",""),")",""),"*","")</f>
        <v/>
      </c>
      <c r="AY683" s="61" t="str">
        <f aca="false">SUBSTITUTE(SUBSTITUTE(SUBSTITUTE(SUBSTITUTE(SUBSTITUTE(SUBSTITUTE(SUBSTITUTE(SUBSTITUTE(SUBSTITUTE(SUBSTITUTE(SUBSTITUTE(SUBSTITUTE(SUBSTITUTE(LOWER(W683&amp;""),CHAR(160),"")," ",""),".",""),"-",""),"/",""),"?",""),"_",""),",",""),"[",""),"]",""),"(",""),")",""),"*","")</f>
        <v/>
      </c>
      <c r="AZ683" s="61" t="str">
        <f aca="false">SUBSTITUTE(SUBSTITUTE(SUBSTITUTE(SUBSTITUTE(SUBSTITUTE(SUBSTITUTE(SUBSTITUTE(SUBSTITUTE(SUBSTITUTE(SUBSTITUTE(SUBSTITUTE(SUBSTITUTE(SUBSTITUTE(LOWER(AC683&amp;""),CHAR(160),"")," ",""),".",""),"-",""),"/",""),"?",""),"_",""),",",""),"[",""),"]",""),"(",""),")",""),"*","")</f>
        <v/>
      </c>
      <c r="BA683" s="61" t="str">
        <f aca="false">SUBSTITUTE(SUBSTITUTE(SUBSTITUTE(SUBSTITUTE(SUBSTITUTE(SUBSTITUTE(SUBSTITUTE(SUBSTITUTE(SUBSTITUTE(SUBSTITUTE(SUBSTITUTE(SUBSTITUTE(SUBSTITUTE(LOWER(AA683&amp;""),CHAR(160),"")," ",""),".",""),"-",""),"/",""),"?",""),"_",""),",",""),"[",""),"]",""),"(",""),")",""),"*","")</f>
        <v/>
      </c>
      <c r="BB683" s="61" t="str">
        <f aca="false">IF(AND(TRIM(U683)="Pass",ISNUMBER(AF683)),IF(AF683&lt;&gt;0,"INVALID – qty variance: use Fail or Pass after CA",""),"")&amp;IF(AND(TRIM(U683)="Pass after CA",ISNUMBER(AF683)),IF(AF683&lt;&gt;0,"INVALID – after the corrective action the actual qty must equal expected (update Actual)",""),"")&amp;IF(AND(TRIM(U683)="Pass",TRIM(AB683)&lt;&gt;"",TRIM(AB683)&lt;&gt;"Closed"),"INVALID – corrective action not closed: use Fail, then Pass after CA","")&amp;IF(AND(TRIM(AA683)&lt;&gt;"",TRIM(AB683)=""),"INVALID – CA status missing for the recorded corrective action","")&amp;IF(AND(TRIM(U683)="Pass after CA",OR(OR(LEN(BA683)&lt;5,ISNUMBER(MATCH(BA683,L_Placeholder,0))),TRIM(AB683)&lt;&gt;"Closed")),"INVALID – corrective action not recorded/closed","")</f>
        <v/>
      </c>
    </row>
    <row r="684" customFormat="false" ht="66" hidden="false" customHeight="true" outlineLevel="0" collapsed="false">
      <c r="A684" s="57" t="s">
        <v>1386</v>
      </c>
      <c r="B684" s="57" t="s">
        <v>307</v>
      </c>
      <c r="C684" s="57" t="str">
        <f aca="false">Flights!$F$25</f>
        <v>MH1437</v>
      </c>
      <c r="D684" s="58" t="n">
        <f aca="false">Flights!$D$25</f>
        <v>46325</v>
      </c>
      <c r="E684" s="57" t="str">
        <f aca="false">Flights!$G$25&amp;"-"&amp;Flights!$H$25</f>
        <v>LGK-KUL</v>
      </c>
      <c r="F684" s="57" t="str">
        <f aca="false">Flights!$K$25</f>
        <v>BC</v>
      </c>
      <c r="G684" s="57" t="s">
        <v>398</v>
      </c>
      <c r="H684" s="57" t="s">
        <v>356</v>
      </c>
      <c r="I684" s="57" t="s">
        <v>477</v>
      </c>
      <c r="J684" s="57" t="s">
        <v>478</v>
      </c>
      <c r="K684" s="67" t="s">
        <v>479</v>
      </c>
      <c r="L684" s="67" t="s">
        <v>1387</v>
      </c>
      <c r="M684" s="67" t="s">
        <v>429</v>
      </c>
      <c r="N684" s="67" t="s">
        <v>361</v>
      </c>
      <c r="O684" s="67" t="s">
        <v>962</v>
      </c>
      <c r="P684" s="57" t="s">
        <v>184</v>
      </c>
      <c r="Q684" s="59" t="n">
        <f aca="false">ROUND((MIN(Flights!$AE$25,Flights!$AY$25))*1440,0)/1440</f>
        <v>46324.1875</v>
      </c>
      <c r="R684" s="59" t="n">
        <f aca="false">Q684+(IF(AND(INDEX(TZ_DSTS,MATCH(P684,TZ_STN,0))&lt;&gt;"",Q684&gt;=INDEX(TZ_DSTS,MATCH(P684,TZ_STN,0)),Q684&lt;INDEX(TZ_DSTE,MATCH(P684,TZ_STN,0))),INDEX(TZ_DST,MATCH(P684,TZ_STN,0)),INDEX(TZ_STD,MATCH(P684,TZ_STN,0))))/24</f>
        <v>46324.5208333333</v>
      </c>
      <c r="S684" s="59" t="n">
        <f aca="false">Q684-T12EarlyH/24</f>
        <v>46323.6875</v>
      </c>
      <c r="T684" s="60"/>
      <c r="U684" s="60"/>
      <c r="V684" s="60"/>
      <c r="W684" s="61"/>
      <c r="X684" s="60"/>
      <c r="Y684" s="60"/>
      <c r="Z684" s="60"/>
      <c r="AA684" s="60"/>
      <c r="AB684" s="60"/>
      <c r="AC684" s="60"/>
      <c r="AD684" s="66"/>
      <c r="AE684" s="60"/>
      <c r="AF684" s="61" t="str">
        <f aca="false">IF(AND(ISNUMBER(X684),ISNUMBER(Y684)),Y684-X684,"")</f>
        <v/>
      </c>
      <c r="AG684" s="62" t="str">
        <f aca="false">IF(ISNUMBER(AD684),AD684-(IF(AND(INDEX(TZ_DSTS,MATCH(P684,TZ_STN,0))&lt;&gt;"",(AD684-INDEX(TZ_STD,MATCH(P684,TZ_STN,0))/24)&gt;=INDEX(TZ_DSTS,MATCH(P684,TZ_STN,0)),(AD684-INDEX(TZ_STD,MATCH(P684,TZ_STN,0))/24)&lt;INDEX(TZ_DSTE,MATCH(P684,TZ_STN,0))),INDEX(TZ_DST,MATCH(P684,TZ_STN,0)),INDEX(TZ_STD,MATCH(P684,TZ_STN,0))))/24,"")</f>
        <v/>
      </c>
      <c r="AH684" s="65" t="str">
        <f aca="false">IFERROR(IF(N684="N/A – rule","N/A – RULE",IF(TRIM(U684)="N/A",IF(AT684=0,"INVALID – N/A not permitted for this check",IF(AND(TRIM(AB684)&lt;&gt;"",TRIM(AB684)&lt;&gt;"Closed"),"INVALID – corrective action still open",IF(AND(NOT(OR(LEN(AZ684)&lt;15,ISNUMBER(MATCH(AZ684,L_Placeholder,0)))),NOT(OR(LEN(AU684)&lt;2,ISNUMBER(MATCH(AU684,L_Placeholder,0)))),NOT(OR(LEN(AX684)&lt;2,ISNUMBER(MATCH(AX684,L_Placeholder,0)))),TRIM(AE684)&lt;&gt;TRIM(T684)),"N/A – JUSTIFIED","INVALID – N/A needs a real justification (15+ chars), PIC and a different verifier"))),IF(OR(TRIM(U684)="Pass",TRIM(U684)="Pass after CA"),IF(NOT(ISNUMBER(AD684)),"INVALID – completion time missing",IF(OR(LEN(AU684)&lt;2,ISNUMBER(MATCH(AU684,L_Placeholder,0))),"INVALID – PIC missing",IF(OR(LEN(AV684)&lt;2,ISNUMBER(MATCH(AV684,L_Placeholder,0))),"INVALID – result / assessment missing",IF(OR(OR(LEN(AW684)&lt;3,ISNUMBER(MATCH(AW684,L_Placeholder,0))),SUMPRODUCT(--ISNUMBER(SEARCH(L_EvidencePhrase,AW684)))&gt;0),"INVALID – evidence missing, placeholder or not yet on file",IF(OR(LEN(AX684)&lt;2,ISNUMBER(MATCH(AX684,L_Placeholder,0))),"INVALID – verifier missing",IF(AX684=AU684,"INVALID – verifier must be someone other than the PIC",IF(AND(TRIM(U684)="Pass",SUMPRODUCT(--ISNUMBER(SEARCH(L_ResultBad,AV684)))&gt;0),"INVALID – result describes a problem: use Fail, then Pass after CA",IF(AND(AQ684=1,OR(LEN(AY684)&lt;3,ISNUMBER(MATCH(AY684,L_Placeholder,0)))),"INVALID – batch ID missing or placeholder",IF(AND(AR684=1,OR(NOT(ISNUMBER(X684)),NOT(ISNUMBER(Y684)))),"INVALID – expected/actual qty missing",IF(AND(AR684=1,OR(X684&lt;=0,Y684&lt;0)),"INVALID – expected qty must be above 0 and actual not negative",IF(BB684&lt;&gt;"",BB684,IF(AND(AS684=1,Documents!$J$25&lt;&gt;"ON FILE"),"INVALID – GLD not on file (Documents sheet)",IF(AND(AS684=2,Documents!$O$25&lt;&gt;"ON FILE"),"INVALID – menu checklist not on file (Documents sheet)",IF(AND(AS684=3,NOT(ISNUMBER(Flights!$AX$25))),"INVALID – enter carrying flight KUL departure (Flights AX)",IF(AND(AS684=3,OR(Flights!$AZ$25&gt;Flights!$AA$25,Flights!$AX$25&lt;Flights!$AA$25-3)),"INVALID – carrying flight (Flights AX) cannot arrive before this leg's STD, or is over 3 days early",IF(AG684&gt;AsOfUTC,"INVALID – completion time is in the future",IF(AND(ISNUMBER(S684),AG684&lt;S684),IF(H684="Physical uplift","INVALID – before uplift window (cannot confirm loading)","INVALID – before valid window"),IF(AG684&gt;Flights!$AA$25,"INVALID – completed after departure (cannot establish readiness)",IF(AND(H684="Preparation",AG684&gt;Flights!$AY$25+UpliftWindowH/24),"INVALID – completed after the carrying flight left KUL",IF(AND(H684="Physical uplift",AG684&gt;Q684),"INVALID – recorded after the loading flight departed",IF(AG684&gt;Q684,"COMPLETE – LATE","COMPLETE"))))))))))))))))))))),IF(TRIM(U684)="Fail","FAIL – DISCREPANCY",IF(AND(TRIM(U684)&lt;&gt;"",TRIM(U684)&lt;&gt;"Not started",TRIM(U684)&lt;&gt;"In progress"),"INVALID – unrecognised status (use the list)",IF(AsOfUTC&gt;Q684,"OVERDUE",IF(N684="Clarification required","OPEN – CLARIFICATION","OPEN"))))))),"INVALID – error value in an input cell")</f>
        <v>OPEN</v>
      </c>
      <c r="AI684" s="61" t="n">
        <f aca="false">IF(OR(AH684="N/A – RULE",AH684="N/A – JUSTIFIED"),0,1)</f>
        <v>1</v>
      </c>
      <c r="AJ684" s="61" t="n">
        <f aca="false">IF(LEFT(AH684,8)="COMPLETE",1,0)</f>
        <v>0</v>
      </c>
      <c r="AK684" s="61" t="n">
        <f aca="false">IF(AND(AI684=1,AJ684=0,AsOfUTC&gt;Q684),1,0)</f>
        <v>0</v>
      </c>
      <c r="AL684" s="61" t="n">
        <f aca="false">IFERROR(IF(AND(AI684=1,OR(TRIM(U684)="Fail",AND(TRIM(AB684)&lt;&gt;"",TRIM(AB684)&lt;&gt;"Closed"),AND(ISNUMBER(AF684),AF684&lt;&gt;0,TRIM(U684)&lt;&gt;"Pass after CA"))),1,0),1)</f>
        <v>0</v>
      </c>
      <c r="AM684" s="61" t="n">
        <f aca="false">IF(LEFT(AH684,7)="INVALID",1,0)</f>
        <v>0</v>
      </c>
      <c r="AN684" s="61" t="n">
        <f aca="false">IF(AND(N684="Clarification required",AI684=1,AJ684=0),1,0)</f>
        <v>0</v>
      </c>
      <c r="AO684" s="61" t="str">
        <f aca="false">IF(AK684=1,SUM(AK$5:AK684),"")</f>
        <v/>
      </c>
      <c r="AP684" s="61" t="str">
        <f aca="false">IF(AL684=1,SUM(AL$5:AL684),"")</f>
        <v/>
      </c>
      <c r="AQ684" s="61" t="n">
        <v>0</v>
      </c>
      <c r="AR684" s="61" t="n">
        <v>0</v>
      </c>
      <c r="AS684" s="61" t="n">
        <v>0</v>
      </c>
      <c r="AT684" s="61" t="n">
        <v>0</v>
      </c>
      <c r="AU684" s="61" t="str">
        <f aca="false">SUBSTITUTE(SUBSTITUTE(SUBSTITUTE(SUBSTITUTE(SUBSTITUTE(SUBSTITUTE(SUBSTITUTE(SUBSTITUTE(SUBSTITUTE(SUBSTITUTE(SUBSTITUTE(SUBSTITUTE(SUBSTITUTE(LOWER(T684&amp;""),CHAR(160),"")," ",""),".",""),"-",""),"/",""),"?",""),"_",""),",",""),"[",""),"]",""),"(",""),")",""),"*","")</f>
        <v/>
      </c>
      <c r="AV684" s="61" t="str">
        <f aca="false">SUBSTITUTE(SUBSTITUTE(SUBSTITUTE(SUBSTITUTE(SUBSTITUTE(SUBSTITUTE(SUBSTITUTE(SUBSTITUTE(SUBSTITUTE(SUBSTITUTE(SUBSTITUTE(SUBSTITUTE(SUBSTITUTE(LOWER(V684&amp;""),CHAR(160),"")," ",""),".",""),"-",""),"/",""),"?",""),"_",""),",",""),"[",""),"]",""),"(",""),")",""),"*","")</f>
        <v/>
      </c>
      <c r="AW684" s="61" t="str">
        <f aca="false">SUBSTITUTE(SUBSTITUTE(SUBSTITUTE(SUBSTITUTE(SUBSTITUTE(SUBSTITUTE(SUBSTITUTE(SUBSTITUTE(SUBSTITUTE(SUBSTITUTE(SUBSTITUTE(SUBSTITUTE(SUBSTITUTE(LOWER(Z684&amp;""),CHAR(160),"")," ",""),".",""),"-",""),"/",""),"?",""),"_",""),",",""),"[",""),"]",""),"(",""),")",""),"*","")</f>
        <v/>
      </c>
      <c r="AX684" s="61" t="str">
        <f aca="false">SUBSTITUTE(SUBSTITUTE(SUBSTITUTE(SUBSTITUTE(SUBSTITUTE(SUBSTITUTE(SUBSTITUTE(SUBSTITUTE(SUBSTITUTE(SUBSTITUTE(SUBSTITUTE(SUBSTITUTE(SUBSTITUTE(LOWER(AE684&amp;""),CHAR(160),"")," ",""),".",""),"-",""),"/",""),"?",""),"_",""),",",""),"[",""),"]",""),"(",""),")",""),"*","")</f>
        <v/>
      </c>
      <c r="AY684" s="61" t="str">
        <f aca="false">SUBSTITUTE(SUBSTITUTE(SUBSTITUTE(SUBSTITUTE(SUBSTITUTE(SUBSTITUTE(SUBSTITUTE(SUBSTITUTE(SUBSTITUTE(SUBSTITUTE(SUBSTITUTE(SUBSTITUTE(SUBSTITUTE(LOWER(W684&amp;""),CHAR(160),"")," ",""),".",""),"-",""),"/",""),"?",""),"_",""),",",""),"[",""),"]",""),"(",""),")",""),"*","")</f>
        <v/>
      </c>
      <c r="AZ684" s="61" t="str">
        <f aca="false">SUBSTITUTE(SUBSTITUTE(SUBSTITUTE(SUBSTITUTE(SUBSTITUTE(SUBSTITUTE(SUBSTITUTE(SUBSTITUTE(SUBSTITUTE(SUBSTITUTE(SUBSTITUTE(SUBSTITUTE(SUBSTITUTE(LOWER(AC684&amp;""),CHAR(160),"")," ",""),".",""),"-",""),"/",""),"?",""),"_",""),",",""),"[",""),"]",""),"(",""),")",""),"*","")</f>
        <v/>
      </c>
      <c r="BA684" s="61" t="str">
        <f aca="false">SUBSTITUTE(SUBSTITUTE(SUBSTITUTE(SUBSTITUTE(SUBSTITUTE(SUBSTITUTE(SUBSTITUTE(SUBSTITUTE(SUBSTITUTE(SUBSTITUTE(SUBSTITUTE(SUBSTITUTE(SUBSTITUTE(LOWER(AA684&amp;""),CHAR(160),"")," ",""),".",""),"-",""),"/",""),"?",""),"_",""),",",""),"[",""),"]",""),"(",""),")",""),"*","")</f>
        <v/>
      </c>
      <c r="BB684" s="61" t="str">
        <f aca="false">IF(AND(TRIM(U684)="Pass",ISNUMBER(AF684)),IF(AF684&lt;&gt;0,"INVALID – qty variance: use Fail or Pass after CA",""),"")&amp;IF(AND(TRIM(U684)="Pass after CA",ISNUMBER(AF684)),IF(AF684&lt;&gt;0,"INVALID – after the corrective action the actual qty must equal expected (update Actual)",""),"")&amp;IF(AND(TRIM(U684)="Pass",TRIM(AB684)&lt;&gt;"",TRIM(AB684)&lt;&gt;"Closed"),"INVALID – corrective action not closed: use Fail, then Pass after CA","")&amp;IF(AND(TRIM(AA684)&lt;&gt;"",TRIM(AB684)=""),"INVALID – CA status missing for the recorded corrective action","")&amp;IF(AND(TRIM(U684)="Pass after CA",OR(OR(LEN(BA684)&lt;5,ISNUMBER(MATCH(BA684,L_Placeholder,0))),TRIM(AB684)&lt;&gt;"Closed")),"INVALID – corrective action not recorded/closed","")</f>
        <v/>
      </c>
    </row>
    <row r="685" customFormat="false" ht="66" hidden="false" customHeight="true" outlineLevel="0" collapsed="false">
      <c r="A685" s="57" t="s">
        <v>1388</v>
      </c>
      <c r="B685" s="57" t="s">
        <v>307</v>
      </c>
      <c r="C685" s="57" t="str">
        <f aca="false">Flights!$F$25</f>
        <v>MH1437</v>
      </c>
      <c r="D685" s="58" t="n">
        <f aca="false">Flights!$D$25</f>
        <v>46325</v>
      </c>
      <c r="E685" s="57" t="str">
        <f aca="false">Flights!$G$25&amp;"-"&amp;Flights!$H$25</f>
        <v>LGK-KUL</v>
      </c>
      <c r="F685" s="57" t="str">
        <f aca="false">Flights!$K$25</f>
        <v>BC</v>
      </c>
      <c r="G685" s="57" t="s">
        <v>398</v>
      </c>
      <c r="H685" s="57" t="s">
        <v>356</v>
      </c>
      <c r="I685" s="57" t="s">
        <v>477</v>
      </c>
      <c r="J685" s="57" t="s">
        <v>483</v>
      </c>
      <c r="K685" s="67" t="s">
        <v>479</v>
      </c>
      <c r="L685" s="67" t="s">
        <v>1389</v>
      </c>
      <c r="M685" s="67" t="s">
        <v>429</v>
      </c>
      <c r="N685" s="67" t="s">
        <v>361</v>
      </c>
      <c r="O685" s="67" t="s">
        <v>962</v>
      </c>
      <c r="P685" s="57" t="s">
        <v>184</v>
      </c>
      <c r="Q685" s="59" t="n">
        <f aca="false">ROUND((MIN(Flights!$AE$25,Flights!$AY$25))*1440,0)/1440</f>
        <v>46324.1875</v>
      </c>
      <c r="R685" s="59" t="n">
        <f aca="false">Q685+(IF(AND(INDEX(TZ_DSTS,MATCH(P685,TZ_STN,0))&lt;&gt;"",Q685&gt;=INDEX(TZ_DSTS,MATCH(P685,TZ_STN,0)),Q685&lt;INDEX(TZ_DSTE,MATCH(P685,TZ_STN,0))),INDEX(TZ_DST,MATCH(P685,TZ_STN,0)),INDEX(TZ_STD,MATCH(P685,TZ_STN,0))))/24</f>
        <v>46324.5208333333</v>
      </c>
      <c r="S685" s="59" t="n">
        <f aca="false">Q685-T12EarlyH/24</f>
        <v>46323.6875</v>
      </c>
      <c r="T685" s="60"/>
      <c r="U685" s="60"/>
      <c r="V685" s="60"/>
      <c r="W685" s="61"/>
      <c r="X685" s="60"/>
      <c r="Y685" s="60"/>
      <c r="Z685" s="60"/>
      <c r="AA685" s="60"/>
      <c r="AB685" s="60"/>
      <c r="AC685" s="60"/>
      <c r="AD685" s="66"/>
      <c r="AE685" s="60"/>
      <c r="AF685" s="61" t="str">
        <f aca="false">IF(AND(ISNUMBER(X685),ISNUMBER(Y685)),Y685-X685,"")</f>
        <v/>
      </c>
      <c r="AG685" s="62" t="str">
        <f aca="false">IF(ISNUMBER(AD685),AD685-(IF(AND(INDEX(TZ_DSTS,MATCH(P685,TZ_STN,0))&lt;&gt;"",(AD685-INDEX(TZ_STD,MATCH(P685,TZ_STN,0))/24)&gt;=INDEX(TZ_DSTS,MATCH(P685,TZ_STN,0)),(AD685-INDEX(TZ_STD,MATCH(P685,TZ_STN,0))/24)&lt;INDEX(TZ_DSTE,MATCH(P685,TZ_STN,0))),INDEX(TZ_DST,MATCH(P685,TZ_STN,0)),INDEX(TZ_STD,MATCH(P685,TZ_STN,0))))/24,"")</f>
        <v/>
      </c>
      <c r="AH685" s="65" t="str">
        <f aca="false">IFERROR(IF(N685="N/A – rule","N/A – RULE",IF(TRIM(U685)="N/A",IF(AT685=0,"INVALID – N/A not permitted for this check",IF(AND(TRIM(AB685)&lt;&gt;"",TRIM(AB685)&lt;&gt;"Closed"),"INVALID – corrective action still open",IF(AND(NOT(OR(LEN(AZ685)&lt;15,ISNUMBER(MATCH(AZ685,L_Placeholder,0)))),NOT(OR(LEN(AU685)&lt;2,ISNUMBER(MATCH(AU685,L_Placeholder,0)))),NOT(OR(LEN(AX685)&lt;2,ISNUMBER(MATCH(AX685,L_Placeholder,0)))),TRIM(AE685)&lt;&gt;TRIM(T685)),"N/A – JUSTIFIED","INVALID – N/A needs a real justification (15+ chars), PIC and a different verifier"))),IF(OR(TRIM(U685)="Pass",TRIM(U685)="Pass after CA"),IF(NOT(ISNUMBER(AD685)),"INVALID – completion time missing",IF(OR(LEN(AU685)&lt;2,ISNUMBER(MATCH(AU685,L_Placeholder,0))),"INVALID – PIC missing",IF(OR(LEN(AV685)&lt;2,ISNUMBER(MATCH(AV685,L_Placeholder,0))),"INVALID – result / assessment missing",IF(OR(OR(LEN(AW685)&lt;3,ISNUMBER(MATCH(AW685,L_Placeholder,0))),SUMPRODUCT(--ISNUMBER(SEARCH(L_EvidencePhrase,AW685)))&gt;0),"INVALID – evidence missing, placeholder or not yet on file",IF(OR(LEN(AX685)&lt;2,ISNUMBER(MATCH(AX685,L_Placeholder,0))),"INVALID – verifier missing",IF(AX685=AU685,"INVALID – verifier must be someone other than the PIC",IF(AND(TRIM(U685)="Pass",SUMPRODUCT(--ISNUMBER(SEARCH(L_ResultBad,AV685)))&gt;0),"INVALID – result describes a problem: use Fail, then Pass after CA",IF(AND(AQ685=1,OR(LEN(AY685)&lt;3,ISNUMBER(MATCH(AY685,L_Placeholder,0)))),"INVALID – batch ID missing or placeholder",IF(AND(AR685=1,OR(NOT(ISNUMBER(X685)),NOT(ISNUMBER(Y685)))),"INVALID – expected/actual qty missing",IF(AND(AR685=1,OR(X685&lt;=0,Y685&lt;0)),"INVALID – expected qty must be above 0 and actual not negative",IF(BB685&lt;&gt;"",BB685,IF(AND(AS685=1,Documents!$J$25&lt;&gt;"ON FILE"),"INVALID – GLD not on file (Documents sheet)",IF(AND(AS685=2,Documents!$O$25&lt;&gt;"ON FILE"),"INVALID – menu checklist not on file (Documents sheet)",IF(AND(AS685=3,NOT(ISNUMBER(Flights!$AX$25))),"INVALID – enter carrying flight KUL departure (Flights AX)",IF(AND(AS685=3,OR(Flights!$AZ$25&gt;Flights!$AA$25,Flights!$AX$25&lt;Flights!$AA$25-3)),"INVALID – carrying flight (Flights AX) cannot arrive before this leg's STD, or is over 3 days early",IF(AG685&gt;AsOfUTC,"INVALID – completion time is in the future",IF(AND(ISNUMBER(S685),AG685&lt;S685),IF(H685="Physical uplift","INVALID – before uplift window (cannot confirm loading)","INVALID – before valid window"),IF(AG685&gt;Flights!$AA$25,"INVALID – completed after departure (cannot establish readiness)",IF(AND(H685="Preparation",AG685&gt;Flights!$AY$25+UpliftWindowH/24),"INVALID – completed after the carrying flight left KUL",IF(AND(H685="Physical uplift",AG685&gt;Q685),"INVALID – recorded after the loading flight departed",IF(AG685&gt;Q685,"COMPLETE – LATE","COMPLETE"))))))))))))))))))))),IF(TRIM(U685)="Fail","FAIL – DISCREPANCY",IF(AND(TRIM(U685)&lt;&gt;"",TRIM(U685)&lt;&gt;"Not started",TRIM(U685)&lt;&gt;"In progress"),"INVALID – unrecognised status (use the list)",IF(AsOfUTC&gt;Q685,"OVERDUE",IF(N685="Clarification required","OPEN – CLARIFICATION","OPEN"))))))),"INVALID – error value in an input cell")</f>
        <v>OPEN</v>
      </c>
      <c r="AI685" s="61" t="n">
        <f aca="false">IF(OR(AH685="N/A – RULE",AH685="N/A – JUSTIFIED"),0,1)</f>
        <v>1</v>
      </c>
      <c r="AJ685" s="61" t="n">
        <f aca="false">IF(LEFT(AH685,8)="COMPLETE",1,0)</f>
        <v>0</v>
      </c>
      <c r="AK685" s="61" t="n">
        <f aca="false">IF(AND(AI685=1,AJ685=0,AsOfUTC&gt;Q685),1,0)</f>
        <v>0</v>
      </c>
      <c r="AL685" s="61" t="n">
        <f aca="false">IFERROR(IF(AND(AI685=1,OR(TRIM(U685)="Fail",AND(TRIM(AB685)&lt;&gt;"",TRIM(AB685)&lt;&gt;"Closed"),AND(ISNUMBER(AF685),AF685&lt;&gt;0,TRIM(U685)&lt;&gt;"Pass after CA"))),1,0),1)</f>
        <v>0</v>
      </c>
      <c r="AM685" s="61" t="n">
        <f aca="false">IF(LEFT(AH685,7)="INVALID",1,0)</f>
        <v>0</v>
      </c>
      <c r="AN685" s="61" t="n">
        <f aca="false">IF(AND(N685="Clarification required",AI685=1,AJ685=0),1,0)</f>
        <v>0</v>
      </c>
      <c r="AO685" s="61" t="str">
        <f aca="false">IF(AK685=1,SUM(AK$5:AK685),"")</f>
        <v/>
      </c>
      <c r="AP685" s="61" t="str">
        <f aca="false">IF(AL685=1,SUM(AL$5:AL685),"")</f>
        <v/>
      </c>
      <c r="AQ685" s="61" t="n">
        <v>0</v>
      </c>
      <c r="AR685" s="61" t="n">
        <v>0</v>
      </c>
      <c r="AS685" s="61" t="n">
        <v>0</v>
      </c>
      <c r="AT685" s="61" t="n">
        <v>0</v>
      </c>
      <c r="AU685" s="61" t="str">
        <f aca="false">SUBSTITUTE(SUBSTITUTE(SUBSTITUTE(SUBSTITUTE(SUBSTITUTE(SUBSTITUTE(SUBSTITUTE(SUBSTITUTE(SUBSTITUTE(SUBSTITUTE(SUBSTITUTE(SUBSTITUTE(SUBSTITUTE(LOWER(T685&amp;""),CHAR(160),"")," ",""),".",""),"-",""),"/",""),"?",""),"_",""),",",""),"[",""),"]",""),"(",""),")",""),"*","")</f>
        <v/>
      </c>
      <c r="AV685" s="61" t="str">
        <f aca="false">SUBSTITUTE(SUBSTITUTE(SUBSTITUTE(SUBSTITUTE(SUBSTITUTE(SUBSTITUTE(SUBSTITUTE(SUBSTITUTE(SUBSTITUTE(SUBSTITUTE(SUBSTITUTE(SUBSTITUTE(SUBSTITUTE(LOWER(V685&amp;""),CHAR(160),"")," ",""),".",""),"-",""),"/",""),"?",""),"_",""),",",""),"[",""),"]",""),"(",""),")",""),"*","")</f>
        <v/>
      </c>
      <c r="AW685" s="61" t="str">
        <f aca="false">SUBSTITUTE(SUBSTITUTE(SUBSTITUTE(SUBSTITUTE(SUBSTITUTE(SUBSTITUTE(SUBSTITUTE(SUBSTITUTE(SUBSTITUTE(SUBSTITUTE(SUBSTITUTE(SUBSTITUTE(SUBSTITUTE(LOWER(Z685&amp;""),CHAR(160),"")," ",""),".",""),"-",""),"/",""),"?",""),"_",""),",",""),"[",""),"]",""),"(",""),")",""),"*","")</f>
        <v/>
      </c>
      <c r="AX685" s="61" t="str">
        <f aca="false">SUBSTITUTE(SUBSTITUTE(SUBSTITUTE(SUBSTITUTE(SUBSTITUTE(SUBSTITUTE(SUBSTITUTE(SUBSTITUTE(SUBSTITUTE(SUBSTITUTE(SUBSTITUTE(SUBSTITUTE(SUBSTITUTE(LOWER(AE685&amp;""),CHAR(160),"")," ",""),".",""),"-",""),"/",""),"?",""),"_",""),",",""),"[",""),"]",""),"(",""),")",""),"*","")</f>
        <v/>
      </c>
      <c r="AY685" s="61" t="str">
        <f aca="false">SUBSTITUTE(SUBSTITUTE(SUBSTITUTE(SUBSTITUTE(SUBSTITUTE(SUBSTITUTE(SUBSTITUTE(SUBSTITUTE(SUBSTITUTE(SUBSTITUTE(SUBSTITUTE(SUBSTITUTE(SUBSTITUTE(LOWER(W685&amp;""),CHAR(160),"")," ",""),".",""),"-",""),"/",""),"?",""),"_",""),",",""),"[",""),"]",""),"(",""),")",""),"*","")</f>
        <v/>
      </c>
      <c r="AZ685" s="61" t="str">
        <f aca="false">SUBSTITUTE(SUBSTITUTE(SUBSTITUTE(SUBSTITUTE(SUBSTITUTE(SUBSTITUTE(SUBSTITUTE(SUBSTITUTE(SUBSTITUTE(SUBSTITUTE(SUBSTITUTE(SUBSTITUTE(SUBSTITUTE(LOWER(AC685&amp;""),CHAR(160),"")," ",""),".",""),"-",""),"/",""),"?",""),"_",""),",",""),"[",""),"]",""),"(",""),")",""),"*","")</f>
        <v/>
      </c>
      <c r="BA685" s="61" t="str">
        <f aca="false">SUBSTITUTE(SUBSTITUTE(SUBSTITUTE(SUBSTITUTE(SUBSTITUTE(SUBSTITUTE(SUBSTITUTE(SUBSTITUTE(SUBSTITUTE(SUBSTITUTE(SUBSTITUTE(SUBSTITUTE(SUBSTITUTE(LOWER(AA685&amp;""),CHAR(160),"")," ",""),".",""),"-",""),"/",""),"?",""),"_",""),",",""),"[",""),"]",""),"(",""),")",""),"*","")</f>
        <v/>
      </c>
      <c r="BB685" s="61" t="str">
        <f aca="false">IF(AND(TRIM(U685)="Pass",ISNUMBER(AF685)),IF(AF685&lt;&gt;0,"INVALID – qty variance: use Fail or Pass after CA",""),"")&amp;IF(AND(TRIM(U685)="Pass after CA",ISNUMBER(AF685)),IF(AF685&lt;&gt;0,"INVALID – after the corrective action the actual qty must equal expected (update Actual)",""),"")&amp;IF(AND(TRIM(U685)="Pass",TRIM(AB685)&lt;&gt;"",TRIM(AB685)&lt;&gt;"Closed"),"INVALID – corrective action not closed: use Fail, then Pass after CA","")&amp;IF(AND(TRIM(AA685)&lt;&gt;"",TRIM(AB685)=""),"INVALID – CA status missing for the recorded corrective action","")&amp;IF(AND(TRIM(U685)="Pass after CA",OR(OR(LEN(BA685)&lt;5,ISNUMBER(MATCH(BA685,L_Placeholder,0))),TRIM(AB685)&lt;&gt;"Closed")),"INVALID – corrective action not recorded/closed","")</f>
        <v/>
      </c>
    </row>
    <row r="686" customFormat="false" ht="66" hidden="false" customHeight="true" outlineLevel="0" collapsed="false">
      <c r="A686" s="57" t="s">
        <v>1390</v>
      </c>
      <c r="B686" s="57" t="s">
        <v>307</v>
      </c>
      <c r="C686" s="57" t="str">
        <f aca="false">Flights!$F$25</f>
        <v>MH1437</v>
      </c>
      <c r="D686" s="58" t="n">
        <f aca="false">Flights!$D$25</f>
        <v>46325</v>
      </c>
      <c r="E686" s="57" t="str">
        <f aca="false">Flights!$G$25&amp;"-"&amp;Flights!$H$25</f>
        <v>LGK-KUL</v>
      </c>
      <c r="F686" s="57" t="str">
        <f aca="false">Flights!$K$25</f>
        <v>BC</v>
      </c>
      <c r="G686" s="57" t="s">
        <v>398</v>
      </c>
      <c r="H686" s="57" t="s">
        <v>356</v>
      </c>
      <c r="I686" s="57" t="s">
        <v>477</v>
      </c>
      <c r="J686" s="57" t="s">
        <v>486</v>
      </c>
      <c r="K686" s="67" t="s">
        <v>479</v>
      </c>
      <c r="L686" s="67" t="s">
        <v>1391</v>
      </c>
      <c r="M686" s="67" t="s">
        <v>429</v>
      </c>
      <c r="N686" s="67" t="s">
        <v>361</v>
      </c>
      <c r="O686" s="67" t="s">
        <v>962</v>
      </c>
      <c r="P686" s="57" t="s">
        <v>184</v>
      </c>
      <c r="Q686" s="59" t="n">
        <f aca="false">ROUND((MIN(Flights!$AE$25,Flights!$AY$25))*1440,0)/1440</f>
        <v>46324.1875</v>
      </c>
      <c r="R686" s="59" t="n">
        <f aca="false">Q686+(IF(AND(INDEX(TZ_DSTS,MATCH(P686,TZ_STN,0))&lt;&gt;"",Q686&gt;=INDEX(TZ_DSTS,MATCH(P686,TZ_STN,0)),Q686&lt;INDEX(TZ_DSTE,MATCH(P686,TZ_STN,0))),INDEX(TZ_DST,MATCH(P686,TZ_STN,0)),INDEX(TZ_STD,MATCH(P686,TZ_STN,0))))/24</f>
        <v>46324.5208333333</v>
      </c>
      <c r="S686" s="59" t="n">
        <f aca="false">Q686-T12EarlyH/24</f>
        <v>46323.6875</v>
      </c>
      <c r="T686" s="60"/>
      <c r="U686" s="60"/>
      <c r="V686" s="60"/>
      <c r="W686" s="61"/>
      <c r="X686" s="60"/>
      <c r="Y686" s="60"/>
      <c r="Z686" s="60"/>
      <c r="AA686" s="60"/>
      <c r="AB686" s="60"/>
      <c r="AC686" s="60"/>
      <c r="AD686" s="66"/>
      <c r="AE686" s="60"/>
      <c r="AF686" s="61" t="str">
        <f aca="false">IF(AND(ISNUMBER(X686),ISNUMBER(Y686)),Y686-X686,"")</f>
        <v/>
      </c>
      <c r="AG686" s="62" t="str">
        <f aca="false">IF(ISNUMBER(AD686),AD686-(IF(AND(INDEX(TZ_DSTS,MATCH(P686,TZ_STN,0))&lt;&gt;"",(AD686-INDEX(TZ_STD,MATCH(P686,TZ_STN,0))/24)&gt;=INDEX(TZ_DSTS,MATCH(P686,TZ_STN,0)),(AD686-INDEX(TZ_STD,MATCH(P686,TZ_STN,0))/24)&lt;INDEX(TZ_DSTE,MATCH(P686,TZ_STN,0))),INDEX(TZ_DST,MATCH(P686,TZ_STN,0)),INDEX(TZ_STD,MATCH(P686,TZ_STN,0))))/24,"")</f>
        <v/>
      </c>
      <c r="AH686" s="65" t="str">
        <f aca="false">IFERROR(IF(N686="N/A – rule","N/A – RULE",IF(TRIM(U686)="N/A",IF(AT686=0,"INVALID – N/A not permitted for this check",IF(AND(TRIM(AB686)&lt;&gt;"",TRIM(AB686)&lt;&gt;"Closed"),"INVALID – corrective action still open",IF(AND(NOT(OR(LEN(AZ686)&lt;15,ISNUMBER(MATCH(AZ686,L_Placeholder,0)))),NOT(OR(LEN(AU686)&lt;2,ISNUMBER(MATCH(AU686,L_Placeholder,0)))),NOT(OR(LEN(AX686)&lt;2,ISNUMBER(MATCH(AX686,L_Placeholder,0)))),TRIM(AE686)&lt;&gt;TRIM(T686)),"N/A – JUSTIFIED","INVALID – N/A needs a real justification (15+ chars), PIC and a different verifier"))),IF(OR(TRIM(U686)="Pass",TRIM(U686)="Pass after CA"),IF(NOT(ISNUMBER(AD686)),"INVALID – completion time missing",IF(OR(LEN(AU686)&lt;2,ISNUMBER(MATCH(AU686,L_Placeholder,0))),"INVALID – PIC missing",IF(OR(LEN(AV686)&lt;2,ISNUMBER(MATCH(AV686,L_Placeholder,0))),"INVALID – result / assessment missing",IF(OR(OR(LEN(AW686)&lt;3,ISNUMBER(MATCH(AW686,L_Placeholder,0))),SUMPRODUCT(--ISNUMBER(SEARCH(L_EvidencePhrase,AW686)))&gt;0),"INVALID – evidence missing, placeholder or not yet on file",IF(OR(LEN(AX686)&lt;2,ISNUMBER(MATCH(AX686,L_Placeholder,0))),"INVALID – verifier missing",IF(AX686=AU686,"INVALID – verifier must be someone other than the PIC",IF(AND(TRIM(U686)="Pass",SUMPRODUCT(--ISNUMBER(SEARCH(L_ResultBad,AV686)))&gt;0),"INVALID – result describes a problem: use Fail, then Pass after CA",IF(AND(AQ686=1,OR(LEN(AY686)&lt;3,ISNUMBER(MATCH(AY686,L_Placeholder,0)))),"INVALID – batch ID missing or placeholder",IF(AND(AR686=1,OR(NOT(ISNUMBER(X686)),NOT(ISNUMBER(Y686)))),"INVALID – expected/actual qty missing",IF(AND(AR686=1,OR(X686&lt;=0,Y686&lt;0)),"INVALID – expected qty must be above 0 and actual not negative",IF(BB686&lt;&gt;"",BB686,IF(AND(AS686=1,Documents!$J$25&lt;&gt;"ON FILE"),"INVALID – GLD not on file (Documents sheet)",IF(AND(AS686=2,Documents!$O$25&lt;&gt;"ON FILE"),"INVALID – menu checklist not on file (Documents sheet)",IF(AND(AS686=3,NOT(ISNUMBER(Flights!$AX$25))),"INVALID – enter carrying flight KUL departure (Flights AX)",IF(AND(AS686=3,OR(Flights!$AZ$25&gt;Flights!$AA$25,Flights!$AX$25&lt;Flights!$AA$25-3)),"INVALID – carrying flight (Flights AX) cannot arrive before this leg's STD, or is over 3 days early",IF(AG686&gt;AsOfUTC,"INVALID – completion time is in the future",IF(AND(ISNUMBER(S686),AG686&lt;S686),IF(H686="Physical uplift","INVALID – before uplift window (cannot confirm loading)","INVALID – before valid window"),IF(AG686&gt;Flights!$AA$25,"INVALID – completed after departure (cannot establish readiness)",IF(AND(H686="Preparation",AG686&gt;Flights!$AY$25+UpliftWindowH/24),"INVALID – completed after the carrying flight left KUL",IF(AND(H686="Physical uplift",AG686&gt;Q686),"INVALID – recorded after the loading flight departed",IF(AG686&gt;Q686,"COMPLETE – LATE","COMPLETE"))))))))))))))))))))),IF(TRIM(U686)="Fail","FAIL – DISCREPANCY",IF(AND(TRIM(U686)&lt;&gt;"",TRIM(U686)&lt;&gt;"Not started",TRIM(U686)&lt;&gt;"In progress"),"INVALID – unrecognised status (use the list)",IF(AsOfUTC&gt;Q686,"OVERDUE",IF(N686="Clarification required","OPEN – CLARIFICATION","OPEN"))))))),"INVALID – error value in an input cell")</f>
        <v>OPEN</v>
      </c>
      <c r="AI686" s="61" t="n">
        <f aca="false">IF(OR(AH686="N/A – RULE",AH686="N/A – JUSTIFIED"),0,1)</f>
        <v>1</v>
      </c>
      <c r="AJ686" s="61" t="n">
        <f aca="false">IF(LEFT(AH686,8)="COMPLETE",1,0)</f>
        <v>0</v>
      </c>
      <c r="AK686" s="61" t="n">
        <f aca="false">IF(AND(AI686=1,AJ686=0,AsOfUTC&gt;Q686),1,0)</f>
        <v>0</v>
      </c>
      <c r="AL686" s="61" t="n">
        <f aca="false">IFERROR(IF(AND(AI686=1,OR(TRIM(U686)="Fail",AND(TRIM(AB686)&lt;&gt;"",TRIM(AB686)&lt;&gt;"Closed"),AND(ISNUMBER(AF686),AF686&lt;&gt;0,TRIM(U686)&lt;&gt;"Pass after CA"))),1,0),1)</f>
        <v>0</v>
      </c>
      <c r="AM686" s="61" t="n">
        <f aca="false">IF(LEFT(AH686,7)="INVALID",1,0)</f>
        <v>0</v>
      </c>
      <c r="AN686" s="61" t="n">
        <f aca="false">IF(AND(N686="Clarification required",AI686=1,AJ686=0),1,0)</f>
        <v>0</v>
      </c>
      <c r="AO686" s="61" t="str">
        <f aca="false">IF(AK686=1,SUM(AK$5:AK686),"")</f>
        <v/>
      </c>
      <c r="AP686" s="61" t="str">
        <f aca="false">IF(AL686=1,SUM(AL$5:AL686),"")</f>
        <v/>
      </c>
      <c r="AQ686" s="61" t="n">
        <v>0</v>
      </c>
      <c r="AR686" s="61" t="n">
        <v>0</v>
      </c>
      <c r="AS686" s="61" t="n">
        <v>0</v>
      </c>
      <c r="AT686" s="61" t="n">
        <v>0</v>
      </c>
      <c r="AU686" s="61" t="str">
        <f aca="false">SUBSTITUTE(SUBSTITUTE(SUBSTITUTE(SUBSTITUTE(SUBSTITUTE(SUBSTITUTE(SUBSTITUTE(SUBSTITUTE(SUBSTITUTE(SUBSTITUTE(SUBSTITUTE(SUBSTITUTE(SUBSTITUTE(LOWER(T686&amp;""),CHAR(160),"")," ",""),".",""),"-",""),"/",""),"?",""),"_",""),",",""),"[",""),"]",""),"(",""),")",""),"*","")</f>
        <v/>
      </c>
      <c r="AV686" s="61" t="str">
        <f aca="false">SUBSTITUTE(SUBSTITUTE(SUBSTITUTE(SUBSTITUTE(SUBSTITUTE(SUBSTITUTE(SUBSTITUTE(SUBSTITUTE(SUBSTITUTE(SUBSTITUTE(SUBSTITUTE(SUBSTITUTE(SUBSTITUTE(LOWER(V686&amp;""),CHAR(160),"")," ",""),".",""),"-",""),"/",""),"?",""),"_",""),",",""),"[",""),"]",""),"(",""),")",""),"*","")</f>
        <v/>
      </c>
      <c r="AW686" s="61" t="str">
        <f aca="false">SUBSTITUTE(SUBSTITUTE(SUBSTITUTE(SUBSTITUTE(SUBSTITUTE(SUBSTITUTE(SUBSTITUTE(SUBSTITUTE(SUBSTITUTE(SUBSTITUTE(SUBSTITUTE(SUBSTITUTE(SUBSTITUTE(LOWER(Z686&amp;""),CHAR(160),"")," ",""),".",""),"-",""),"/",""),"?",""),"_",""),",",""),"[",""),"]",""),"(",""),")",""),"*","")</f>
        <v/>
      </c>
      <c r="AX686" s="61" t="str">
        <f aca="false">SUBSTITUTE(SUBSTITUTE(SUBSTITUTE(SUBSTITUTE(SUBSTITUTE(SUBSTITUTE(SUBSTITUTE(SUBSTITUTE(SUBSTITUTE(SUBSTITUTE(SUBSTITUTE(SUBSTITUTE(SUBSTITUTE(LOWER(AE686&amp;""),CHAR(160),"")," ",""),".",""),"-",""),"/",""),"?",""),"_",""),",",""),"[",""),"]",""),"(",""),")",""),"*","")</f>
        <v/>
      </c>
      <c r="AY686" s="61" t="str">
        <f aca="false">SUBSTITUTE(SUBSTITUTE(SUBSTITUTE(SUBSTITUTE(SUBSTITUTE(SUBSTITUTE(SUBSTITUTE(SUBSTITUTE(SUBSTITUTE(SUBSTITUTE(SUBSTITUTE(SUBSTITUTE(SUBSTITUTE(LOWER(W686&amp;""),CHAR(160),"")," ",""),".",""),"-",""),"/",""),"?",""),"_",""),",",""),"[",""),"]",""),"(",""),")",""),"*","")</f>
        <v/>
      </c>
      <c r="AZ686" s="61" t="str">
        <f aca="false">SUBSTITUTE(SUBSTITUTE(SUBSTITUTE(SUBSTITUTE(SUBSTITUTE(SUBSTITUTE(SUBSTITUTE(SUBSTITUTE(SUBSTITUTE(SUBSTITUTE(SUBSTITUTE(SUBSTITUTE(SUBSTITUTE(LOWER(AC686&amp;""),CHAR(160),"")," ",""),".",""),"-",""),"/",""),"?",""),"_",""),",",""),"[",""),"]",""),"(",""),")",""),"*","")</f>
        <v/>
      </c>
      <c r="BA686" s="61" t="str">
        <f aca="false">SUBSTITUTE(SUBSTITUTE(SUBSTITUTE(SUBSTITUTE(SUBSTITUTE(SUBSTITUTE(SUBSTITUTE(SUBSTITUTE(SUBSTITUTE(SUBSTITUTE(SUBSTITUTE(SUBSTITUTE(SUBSTITUTE(LOWER(AA686&amp;""),CHAR(160),"")," ",""),".",""),"-",""),"/",""),"?",""),"_",""),",",""),"[",""),"]",""),"(",""),")",""),"*","")</f>
        <v/>
      </c>
      <c r="BB686" s="61" t="str">
        <f aca="false">IF(AND(TRIM(U686)="Pass",ISNUMBER(AF686)),IF(AF686&lt;&gt;0,"INVALID – qty variance: use Fail or Pass after CA",""),"")&amp;IF(AND(TRIM(U686)="Pass after CA",ISNUMBER(AF686)),IF(AF686&lt;&gt;0,"INVALID – after the corrective action the actual qty must equal expected (update Actual)",""),"")&amp;IF(AND(TRIM(U686)="Pass",TRIM(AB686)&lt;&gt;"",TRIM(AB686)&lt;&gt;"Closed"),"INVALID – corrective action not closed: use Fail, then Pass after CA","")&amp;IF(AND(TRIM(AA686)&lt;&gt;"",TRIM(AB686)=""),"INVALID – CA status missing for the recorded corrective action","")&amp;IF(AND(TRIM(U686)="Pass after CA",OR(OR(LEN(BA686)&lt;5,ISNUMBER(MATCH(BA686,L_Placeholder,0))),TRIM(AB686)&lt;&gt;"Closed")),"INVALID – corrective action not recorded/closed","")</f>
        <v/>
      </c>
    </row>
    <row r="687" customFormat="false" ht="66" hidden="false" customHeight="true" outlineLevel="0" collapsed="false">
      <c r="A687" s="57" t="s">
        <v>1392</v>
      </c>
      <c r="B687" s="57" t="s">
        <v>307</v>
      </c>
      <c r="C687" s="57" t="str">
        <f aca="false">Flights!$F$25</f>
        <v>MH1437</v>
      </c>
      <c r="D687" s="58" t="n">
        <f aca="false">Flights!$D$25</f>
        <v>46325</v>
      </c>
      <c r="E687" s="57" t="str">
        <f aca="false">Flights!$G$25&amp;"-"&amp;Flights!$H$25</f>
        <v>LGK-KUL</v>
      </c>
      <c r="F687" s="57" t="str">
        <f aca="false">Flights!$K$25</f>
        <v>BC</v>
      </c>
      <c r="G687" s="57" t="s">
        <v>398</v>
      </c>
      <c r="H687" s="57" t="s">
        <v>356</v>
      </c>
      <c r="I687" s="57" t="s">
        <v>477</v>
      </c>
      <c r="J687" s="57" t="s">
        <v>496</v>
      </c>
      <c r="K687" s="67" t="s">
        <v>497</v>
      </c>
      <c r="L687" s="67" t="s">
        <v>1393</v>
      </c>
      <c r="M687" s="67" t="s">
        <v>429</v>
      </c>
      <c r="N687" s="67" t="s">
        <v>361</v>
      </c>
      <c r="O687" s="67" t="s">
        <v>1394</v>
      </c>
      <c r="P687" s="57" t="s">
        <v>184</v>
      </c>
      <c r="Q687" s="59" t="n">
        <f aca="false">ROUND((MIN(Flights!$AE$25,Flights!$AY$25))*1440,0)/1440</f>
        <v>46324.1875</v>
      </c>
      <c r="R687" s="59" t="n">
        <f aca="false">Q687+(IF(AND(INDEX(TZ_DSTS,MATCH(P687,TZ_STN,0))&lt;&gt;"",Q687&gt;=INDEX(TZ_DSTS,MATCH(P687,TZ_STN,0)),Q687&lt;INDEX(TZ_DSTE,MATCH(P687,TZ_STN,0))),INDEX(TZ_DST,MATCH(P687,TZ_STN,0)),INDEX(TZ_STD,MATCH(P687,TZ_STN,0))))/24</f>
        <v>46324.5208333333</v>
      </c>
      <c r="S687" s="59" t="n">
        <f aca="false">Q687-T12EarlyH/24</f>
        <v>46323.6875</v>
      </c>
      <c r="T687" s="60"/>
      <c r="U687" s="60"/>
      <c r="V687" s="60"/>
      <c r="W687" s="61"/>
      <c r="X687" s="60"/>
      <c r="Y687" s="60"/>
      <c r="Z687" s="60"/>
      <c r="AA687" s="60"/>
      <c r="AB687" s="60"/>
      <c r="AC687" s="60"/>
      <c r="AD687" s="66"/>
      <c r="AE687" s="60"/>
      <c r="AF687" s="61" t="str">
        <f aca="false">IF(AND(ISNUMBER(X687),ISNUMBER(Y687)),Y687-X687,"")</f>
        <v/>
      </c>
      <c r="AG687" s="62" t="str">
        <f aca="false">IF(ISNUMBER(AD687),AD687-(IF(AND(INDEX(TZ_DSTS,MATCH(P687,TZ_STN,0))&lt;&gt;"",(AD687-INDEX(TZ_STD,MATCH(P687,TZ_STN,0))/24)&gt;=INDEX(TZ_DSTS,MATCH(P687,TZ_STN,0)),(AD687-INDEX(TZ_STD,MATCH(P687,TZ_STN,0))/24)&lt;INDEX(TZ_DSTE,MATCH(P687,TZ_STN,0))),INDEX(TZ_DST,MATCH(P687,TZ_STN,0)),INDEX(TZ_STD,MATCH(P687,TZ_STN,0))))/24,"")</f>
        <v/>
      </c>
      <c r="AH687" s="65" t="str">
        <f aca="false">IFERROR(IF(N687="N/A – rule","N/A – RULE",IF(TRIM(U687)="N/A",IF(AT687=0,"INVALID – N/A not permitted for this check",IF(AND(TRIM(AB687)&lt;&gt;"",TRIM(AB687)&lt;&gt;"Closed"),"INVALID – corrective action still open",IF(AND(NOT(OR(LEN(AZ687)&lt;15,ISNUMBER(MATCH(AZ687,L_Placeholder,0)))),NOT(OR(LEN(AU687)&lt;2,ISNUMBER(MATCH(AU687,L_Placeholder,0)))),NOT(OR(LEN(AX687)&lt;2,ISNUMBER(MATCH(AX687,L_Placeholder,0)))),TRIM(AE687)&lt;&gt;TRIM(T687)),"N/A – JUSTIFIED","INVALID – N/A needs a real justification (15+ chars), PIC and a different verifier"))),IF(OR(TRIM(U687)="Pass",TRIM(U687)="Pass after CA"),IF(NOT(ISNUMBER(AD687)),"INVALID – completion time missing",IF(OR(LEN(AU687)&lt;2,ISNUMBER(MATCH(AU687,L_Placeholder,0))),"INVALID – PIC missing",IF(OR(LEN(AV687)&lt;2,ISNUMBER(MATCH(AV687,L_Placeholder,0))),"INVALID – result / assessment missing",IF(OR(OR(LEN(AW687)&lt;3,ISNUMBER(MATCH(AW687,L_Placeholder,0))),SUMPRODUCT(--ISNUMBER(SEARCH(L_EvidencePhrase,AW687)))&gt;0),"INVALID – evidence missing, placeholder or not yet on file",IF(OR(LEN(AX687)&lt;2,ISNUMBER(MATCH(AX687,L_Placeholder,0))),"INVALID – verifier missing",IF(AX687=AU687,"INVALID – verifier must be someone other than the PIC",IF(AND(TRIM(U687)="Pass",SUMPRODUCT(--ISNUMBER(SEARCH(L_ResultBad,AV687)))&gt;0),"INVALID – result describes a problem: use Fail, then Pass after CA",IF(AND(AQ687=1,OR(LEN(AY687)&lt;3,ISNUMBER(MATCH(AY687,L_Placeholder,0)))),"INVALID – batch ID missing or placeholder",IF(AND(AR687=1,OR(NOT(ISNUMBER(X687)),NOT(ISNUMBER(Y687)))),"INVALID – expected/actual qty missing",IF(AND(AR687=1,OR(X687&lt;=0,Y687&lt;0)),"INVALID – expected qty must be above 0 and actual not negative",IF(BB687&lt;&gt;"",BB687,IF(AND(AS687=1,Documents!$J$25&lt;&gt;"ON FILE"),"INVALID – GLD not on file (Documents sheet)",IF(AND(AS687=2,Documents!$O$25&lt;&gt;"ON FILE"),"INVALID – menu checklist not on file (Documents sheet)",IF(AND(AS687=3,NOT(ISNUMBER(Flights!$AX$25))),"INVALID – enter carrying flight KUL departure (Flights AX)",IF(AND(AS687=3,OR(Flights!$AZ$25&gt;Flights!$AA$25,Flights!$AX$25&lt;Flights!$AA$25-3)),"INVALID – carrying flight (Flights AX) cannot arrive before this leg's STD, or is over 3 days early",IF(AG687&gt;AsOfUTC,"INVALID – completion time is in the future",IF(AND(ISNUMBER(S687),AG687&lt;S687),IF(H687="Physical uplift","INVALID – before uplift window (cannot confirm loading)","INVALID – before valid window"),IF(AG687&gt;Flights!$AA$25,"INVALID – completed after departure (cannot establish readiness)",IF(AND(H687="Preparation",AG687&gt;Flights!$AY$25+UpliftWindowH/24),"INVALID – completed after the carrying flight left KUL",IF(AND(H687="Physical uplift",AG687&gt;Q687),"INVALID – recorded after the loading flight departed",IF(AG687&gt;Q687,"COMPLETE – LATE","COMPLETE"))))))))))))))))))))),IF(TRIM(U687)="Fail","FAIL – DISCREPANCY",IF(AND(TRIM(U687)&lt;&gt;"",TRIM(U687)&lt;&gt;"Not started",TRIM(U687)&lt;&gt;"In progress"),"INVALID – unrecognised status (use the list)",IF(AsOfUTC&gt;Q687,"OVERDUE",IF(N687="Clarification required","OPEN – CLARIFICATION","OPEN"))))))),"INVALID – error value in an input cell")</f>
        <v>OPEN</v>
      </c>
      <c r="AI687" s="61" t="n">
        <f aca="false">IF(OR(AH687="N/A – RULE",AH687="N/A – JUSTIFIED"),0,1)</f>
        <v>1</v>
      </c>
      <c r="AJ687" s="61" t="n">
        <f aca="false">IF(LEFT(AH687,8)="COMPLETE",1,0)</f>
        <v>0</v>
      </c>
      <c r="AK687" s="61" t="n">
        <f aca="false">IF(AND(AI687=1,AJ687=0,AsOfUTC&gt;Q687),1,0)</f>
        <v>0</v>
      </c>
      <c r="AL687" s="61" t="n">
        <f aca="false">IFERROR(IF(AND(AI687=1,OR(TRIM(U687)="Fail",AND(TRIM(AB687)&lt;&gt;"",TRIM(AB687)&lt;&gt;"Closed"),AND(ISNUMBER(AF687),AF687&lt;&gt;0,TRIM(U687)&lt;&gt;"Pass after CA"))),1,0),1)</f>
        <v>0</v>
      </c>
      <c r="AM687" s="61" t="n">
        <f aca="false">IF(LEFT(AH687,7)="INVALID",1,0)</f>
        <v>0</v>
      </c>
      <c r="AN687" s="61" t="n">
        <f aca="false">IF(AND(N687="Clarification required",AI687=1,AJ687=0),1,0)</f>
        <v>0</v>
      </c>
      <c r="AO687" s="61" t="str">
        <f aca="false">IF(AK687=1,SUM(AK$5:AK687),"")</f>
        <v/>
      </c>
      <c r="AP687" s="61" t="str">
        <f aca="false">IF(AL687=1,SUM(AL$5:AL687),"")</f>
        <v/>
      </c>
      <c r="AQ687" s="61" t="n">
        <v>0</v>
      </c>
      <c r="AR687" s="61" t="n">
        <v>0</v>
      </c>
      <c r="AS687" s="61" t="n">
        <v>0</v>
      </c>
      <c r="AT687" s="61" t="n">
        <v>0</v>
      </c>
      <c r="AU687" s="61" t="str">
        <f aca="false">SUBSTITUTE(SUBSTITUTE(SUBSTITUTE(SUBSTITUTE(SUBSTITUTE(SUBSTITUTE(SUBSTITUTE(SUBSTITUTE(SUBSTITUTE(SUBSTITUTE(SUBSTITUTE(SUBSTITUTE(SUBSTITUTE(LOWER(T687&amp;""),CHAR(160),"")," ",""),".",""),"-",""),"/",""),"?",""),"_",""),",",""),"[",""),"]",""),"(",""),")",""),"*","")</f>
        <v/>
      </c>
      <c r="AV687" s="61" t="str">
        <f aca="false">SUBSTITUTE(SUBSTITUTE(SUBSTITUTE(SUBSTITUTE(SUBSTITUTE(SUBSTITUTE(SUBSTITUTE(SUBSTITUTE(SUBSTITUTE(SUBSTITUTE(SUBSTITUTE(SUBSTITUTE(SUBSTITUTE(LOWER(V687&amp;""),CHAR(160),"")," ",""),".",""),"-",""),"/",""),"?",""),"_",""),",",""),"[",""),"]",""),"(",""),")",""),"*","")</f>
        <v/>
      </c>
      <c r="AW687" s="61" t="str">
        <f aca="false">SUBSTITUTE(SUBSTITUTE(SUBSTITUTE(SUBSTITUTE(SUBSTITUTE(SUBSTITUTE(SUBSTITUTE(SUBSTITUTE(SUBSTITUTE(SUBSTITUTE(SUBSTITUTE(SUBSTITUTE(SUBSTITUTE(LOWER(Z687&amp;""),CHAR(160),"")," ",""),".",""),"-",""),"/",""),"?",""),"_",""),",",""),"[",""),"]",""),"(",""),")",""),"*","")</f>
        <v/>
      </c>
      <c r="AX687" s="61" t="str">
        <f aca="false">SUBSTITUTE(SUBSTITUTE(SUBSTITUTE(SUBSTITUTE(SUBSTITUTE(SUBSTITUTE(SUBSTITUTE(SUBSTITUTE(SUBSTITUTE(SUBSTITUTE(SUBSTITUTE(SUBSTITUTE(SUBSTITUTE(LOWER(AE687&amp;""),CHAR(160),"")," ",""),".",""),"-",""),"/",""),"?",""),"_",""),",",""),"[",""),"]",""),"(",""),")",""),"*","")</f>
        <v/>
      </c>
      <c r="AY687" s="61" t="str">
        <f aca="false">SUBSTITUTE(SUBSTITUTE(SUBSTITUTE(SUBSTITUTE(SUBSTITUTE(SUBSTITUTE(SUBSTITUTE(SUBSTITUTE(SUBSTITUTE(SUBSTITUTE(SUBSTITUTE(SUBSTITUTE(SUBSTITUTE(LOWER(W687&amp;""),CHAR(160),"")," ",""),".",""),"-",""),"/",""),"?",""),"_",""),",",""),"[",""),"]",""),"(",""),")",""),"*","")</f>
        <v/>
      </c>
      <c r="AZ687" s="61" t="str">
        <f aca="false">SUBSTITUTE(SUBSTITUTE(SUBSTITUTE(SUBSTITUTE(SUBSTITUTE(SUBSTITUTE(SUBSTITUTE(SUBSTITUTE(SUBSTITUTE(SUBSTITUTE(SUBSTITUTE(SUBSTITUTE(SUBSTITUTE(LOWER(AC687&amp;""),CHAR(160),"")," ",""),".",""),"-",""),"/",""),"?",""),"_",""),",",""),"[",""),"]",""),"(",""),")",""),"*","")</f>
        <v/>
      </c>
      <c r="BA687" s="61" t="str">
        <f aca="false">SUBSTITUTE(SUBSTITUTE(SUBSTITUTE(SUBSTITUTE(SUBSTITUTE(SUBSTITUTE(SUBSTITUTE(SUBSTITUTE(SUBSTITUTE(SUBSTITUTE(SUBSTITUTE(SUBSTITUTE(SUBSTITUTE(LOWER(AA687&amp;""),CHAR(160),"")," ",""),".",""),"-",""),"/",""),"?",""),"_",""),",",""),"[",""),"]",""),"(",""),")",""),"*","")</f>
        <v/>
      </c>
      <c r="BB687" s="61" t="str">
        <f aca="false">IF(AND(TRIM(U687)="Pass",ISNUMBER(AF687)),IF(AF687&lt;&gt;0,"INVALID – qty variance: use Fail or Pass after CA",""),"")&amp;IF(AND(TRIM(U687)="Pass after CA",ISNUMBER(AF687)),IF(AF687&lt;&gt;0,"INVALID – after the corrective action the actual qty must equal expected (update Actual)",""),"")&amp;IF(AND(TRIM(U687)="Pass",TRIM(AB687)&lt;&gt;"",TRIM(AB687)&lt;&gt;"Closed"),"INVALID – corrective action not closed: use Fail, then Pass after CA","")&amp;IF(AND(TRIM(AA687)&lt;&gt;"",TRIM(AB687)=""),"INVALID – CA status missing for the recorded corrective action","")&amp;IF(AND(TRIM(U687)="Pass after CA",OR(OR(LEN(BA687)&lt;5,ISNUMBER(MATCH(BA687,L_Placeholder,0))),TRIM(AB687)&lt;&gt;"Closed")),"INVALID – corrective action not recorded/closed","")</f>
        <v/>
      </c>
    </row>
    <row r="688" customFormat="false" ht="66" hidden="false" customHeight="true" outlineLevel="0" collapsed="false">
      <c r="A688" s="57" t="s">
        <v>1395</v>
      </c>
      <c r="B688" s="57" t="s">
        <v>307</v>
      </c>
      <c r="C688" s="57" t="str">
        <f aca="false">Flights!$F$25</f>
        <v>MH1437</v>
      </c>
      <c r="D688" s="58" t="n">
        <f aca="false">Flights!$D$25</f>
        <v>46325</v>
      </c>
      <c r="E688" s="57" t="str">
        <f aca="false">Flights!$G$25&amp;"-"&amp;Flights!$H$25</f>
        <v>LGK-KUL</v>
      </c>
      <c r="F688" s="57" t="str">
        <f aca="false">Flights!$K$25</f>
        <v>BC</v>
      </c>
      <c r="G688" s="57" t="s">
        <v>398</v>
      </c>
      <c r="H688" s="57" t="s">
        <v>356</v>
      </c>
      <c r="I688" s="57" t="s">
        <v>477</v>
      </c>
      <c r="J688" s="57" t="s">
        <v>501</v>
      </c>
      <c r="K688" s="67" t="s">
        <v>479</v>
      </c>
      <c r="L688" s="67" t="s">
        <v>1396</v>
      </c>
      <c r="M688" s="67" t="s">
        <v>429</v>
      </c>
      <c r="N688" s="67" t="s">
        <v>361</v>
      </c>
      <c r="O688" s="67" t="s">
        <v>962</v>
      </c>
      <c r="P688" s="57" t="s">
        <v>184</v>
      </c>
      <c r="Q688" s="59" t="n">
        <f aca="false">ROUND((MIN(Flights!$AE$25,Flights!$AY$25))*1440,0)/1440</f>
        <v>46324.1875</v>
      </c>
      <c r="R688" s="59" t="n">
        <f aca="false">Q688+(IF(AND(INDEX(TZ_DSTS,MATCH(P688,TZ_STN,0))&lt;&gt;"",Q688&gt;=INDEX(TZ_DSTS,MATCH(P688,TZ_STN,0)),Q688&lt;INDEX(TZ_DSTE,MATCH(P688,TZ_STN,0))),INDEX(TZ_DST,MATCH(P688,TZ_STN,0)),INDEX(TZ_STD,MATCH(P688,TZ_STN,0))))/24</f>
        <v>46324.5208333333</v>
      </c>
      <c r="S688" s="59" t="n">
        <f aca="false">Q688-T12EarlyH/24</f>
        <v>46323.6875</v>
      </c>
      <c r="T688" s="60"/>
      <c r="U688" s="60"/>
      <c r="V688" s="60"/>
      <c r="W688" s="61"/>
      <c r="X688" s="60"/>
      <c r="Y688" s="60"/>
      <c r="Z688" s="60"/>
      <c r="AA688" s="60"/>
      <c r="AB688" s="60"/>
      <c r="AC688" s="60"/>
      <c r="AD688" s="66"/>
      <c r="AE688" s="60"/>
      <c r="AF688" s="61" t="str">
        <f aca="false">IF(AND(ISNUMBER(X688),ISNUMBER(Y688)),Y688-X688,"")</f>
        <v/>
      </c>
      <c r="AG688" s="62" t="str">
        <f aca="false">IF(ISNUMBER(AD688),AD688-(IF(AND(INDEX(TZ_DSTS,MATCH(P688,TZ_STN,0))&lt;&gt;"",(AD688-INDEX(TZ_STD,MATCH(P688,TZ_STN,0))/24)&gt;=INDEX(TZ_DSTS,MATCH(P688,TZ_STN,0)),(AD688-INDEX(TZ_STD,MATCH(P688,TZ_STN,0))/24)&lt;INDEX(TZ_DSTE,MATCH(P688,TZ_STN,0))),INDEX(TZ_DST,MATCH(P688,TZ_STN,0)),INDEX(TZ_STD,MATCH(P688,TZ_STN,0))))/24,"")</f>
        <v/>
      </c>
      <c r="AH688" s="65" t="str">
        <f aca="false">IFERROR(IF(N688="N/A – rule","N/A – RULE",IF(TRIM(U688)="N/A",IF(AT688=0,"INVALID – N/A not permitted for this check",IF(AND(TRIM(AB688)&lt;&gt;"",TRIM(AB688)&lt;&gt;"Closed"),"INVALID – corrective action still open",IF(AND(NOT(OR(LEN(AZ688)&lt;15,ISNUMBER(MATCH(AZ688,L_Placeholder,0)))),NOT(OR(LEN(AU688)&lt;2,ISNUMBER(MATCH(AU688,L_Placeholder,0)))),NOT(OR(LEN(AX688)&lt;2,ISNUMBER(MATCH(AX688,L_Placeholder,0)))),TRIM(AE688)&lt;&gt;TRIM(T688)),"N/A – JUSTIFIED","INVALID – N/A needs a real justification (15+ chars), PIC and a different verifier"))),IF(OR(TRIM(U688)="Pass",TRIM(U688)="Pass after CA"),IF(NOT(ISNUMBER(AD688)),"INVALID – completion time missing",IF(OR(LEN(AU688)&lt;2,ISNUMBER(MATCH(AU688,L_Placeholder,0))),"INVALID – PIC missing",IF(OR(LEN(AV688)&lt;2,ISNUMBER(MATCH(AV688,L_Placeholder,0))),"INVALID – result / assessment missing",IF(OR(OR(LEN(AW688)&lt;3,ISNUMBER(MATCH(AW688,L_Placeholder,0))),SUMPRODUCT(--ISNUMBER(SEARCH(L_EvidencePhrase,AW688)))&gt;0),"INVALID – evidence missing, placeholder or not yet on file",IF(OR(LEN(AX688)&lt;2,ISNUMBER(MATCH(AX688,L_Placeholder,0))),"INVALID – verifier missing",IF(AX688=AU688,"INVALID – verifier must be someone other than the PIC",IF(AND(TRIM(U688)="Pass",SUMPRODUCT(--ISNUMBER(SEARCH(L_ResultBad,AV688)))&gt;0),"INVALID – result describes a problem: use Fail, then Pass after CA",IF(AND(AQ688=1,OR(LEN(AY688)&lt;3,ISNUMBER(MATCH(AY688,L_Placeholder,0)))),"INVALID – batch ID missing or placeholder",IF(AND(AR688=1,OR(NOT(ISNUMBER(X688)),NOT(ISNUMBER(Y688)))),"INVALID – expected/actual qty missing",IF(AND(AR688=1,OR(X688&lt;=0,Y688&lt;0)),"INVALID – expected qty must be above 0 and actual not negative",IF(BB688&lt;&gt;"",BB688,IF(AND(AS688=1,Documents!$J$25&lt;&gt;"ON FILE"),"INVALID – GLD not on file (Documents sheet)",IF(AND(AS688=2,Documents!$O$25&lt;&gt;"ON FILE"),"INVALID – menu checklist not on file (Documents sheet)",IF(AND(AS688=3,NOT(ISNUMBER(Flights!$AX$25))),"INVALID – enter carrying flight KUL departure (Flights AX)",IF(AND(AS688=3,OR(Flights!$AZ$25&gt;Flights!$AA$25,Flights!$AX$25&lt;Flights!$AA$25-3)),"INVALID – carrying flight (Flights AX) cannot arrive before this leg's STD, or is over 3 days early",IF(AG688&gt;AsOfUTC,"INVALID – completion time is in the future",IF(AND(ISNUMBER(S688),AG688&lt;S688),IF(H688="Physical uplift","INVALID – before uplift window (cannot confirm loading)","INVALID – before valid window"),IF(AG688&gt;Flights!$AA$25,"INVALID – completed after departure (cannot establish readiness)",IF(AND(H688="Preparation",AG688&gt;Flights!$AY$25+UpliftWindowH/24),"INVALID – completed after the carrying flight left KUL",IF(AND(H688="Physical uplift",AG688&gt;Q688),"INVALID – recorded after the loading flight departed",IF(AG688&gt;Q688,"COMPLETE – LATE","COMPLETE"))))))))))))))))))))),IF(TRIM(U688)="Fail","FAIL – DISCREPANCY",IF(AND(TRIM(U688)&lt;&gt;"",TRIM(U688)&lt;&gt;"Not started",TRIM(U688)&lt;&gt;"In progress"),"INVALID – unrecognised status (use the list)",IF(AsOfUTC&gt;Q688,"OVERDUE",IF(N688="Clarification required","OPEN – CLARIFICATION","OPEN"))))))),"INVALID – error value in an input cell")</f>
        <v>OPEN</v>
      </c>
      <c r="AI688" s="61" t="n">
        <f aca="false">IF(OR(AH688="N/A – RULE",AH688="N/A – JUSTIFIED"),0,1)</f>
        <v>1</v>
      </c>
      <c r="AJ688" s="61" t="n">
        <f aca="false">IF(LEFT(AH688,8)="COMPLETE",1,0)</f>
        <v>0</v>
      </c>
      <c r="AK688" s="61" t="n">
        <f aca="false">IF(AND(AI688=1,AJ688=0,AsOfUTC&gt;Q688),1,0)</f>
        <v>0</v>
      </c>
      <c r="AL688" s="61" t="n">
        <f aca="false">IFERROR(IF(AND(AI688=1,OR(TRIM(U688)="Fail",AND(TRIM(AB688)&lt;&gt;"",TRIM(AB688)&lt;&gt;"Closed"),AND(ISNUMBER(AF688),AF688&lt;&gt;0,TRIM(U688)&lt;&gt;"Pass after CA"))),1,0),1)</f>
        <v>0</v>
      </c>
      <c r="AM688" s="61" t="n">
        <f aca="false">IF(LEFT(AH688,7)="INVALID",1,0)</f>
        <v>0</v>
      </c>
      <c r="AN688" s="61" t="n">
        <f aca="false">IF(AND(N688="Clarification required",AI688=1,AJ688=0),1,0)</f>
        <v>0</v>
      </c>
      <c r="AO688" s="61" t="str">
        <f aca="false">IF(AK688=1,SUM(AK$5:AK688),"")</f>
        <v/>
      </c>
      <c r="AP688" s="61" t="str">
        <f aca="false">IF(AL688=1,SUM(AL$5:AL688),"")</f>
        <v/>
      </c>
      <c r="AQ688" s="61" t="n">
        <v>0</v>
      </c>
      <c r="AR688" s="61" t="n">
        <v>0</v>
      </c>
      <c r="AS688" s="61" t="n">
        <v>0</v>
      </c>
      <c r="AT688" s="61" t="n">
        <v>0</v>
      </c>
      <c r="AU688" s="61" t="str">
        <f aca="false">SUBSTITUTE(SUBSTITUTE(SUBSTITUTE(SUBSTITUTE(SUBSTITUTE(SUBSTITUTE(SUBSTITUTE(SUBSTITUTE(SUBSTITUTE(SUBSTITUTE(SUBSTITUTE(SUBSTITUTE(SUBSTITUTE(LOWER(T688&amp;""),CHAR(160),"")," ",""),".",""),"-",""),"/",""),"?",""),"_",""),",",""),"[",""),"]",""),"(",""),")",""),"*","")</f>
        <v/>
      </c>
      <c r="AV688" s="61" t="str">
        <f aca="false">SUBSTITUTE(SUBSTITUTE(SUBSTITUTE(SUBSTITUTE(SUBSTITUTE(SUBSTITUTE(SUBSTITUTE(SUBSTITUTE(SUBSTITUTE(SUBSTITUTE(SUBSTITUTE(SUBSTITUTE(SUBSTITUTE(LOWER(V688&amp;""),CHAR(160),"")," ",""),".",""),"-",""),"/",""),"?",""),"_",""),",",""),"[",""),"]",""),"(",""),")",""),"*","")</f>
        <v/>
      </c>
      <c r="AW688" s="61" t="str">
        <f aca="false">SUBSTITUTE(SUBSTITUTE(SUBSTITUTE(SUBSTITUTE(SUBSTITUTE(SUBSTITUTE(SUBSTITUTE(SUBSTITUTE(SUBSTITUTE(SUBSTITUTE(SUBSTITUTE(SUBSTITUTE(SUBSTITUTE(LOWER(Z688&amp;""),CHAR(160),"")," ",""),".",""),"-",""),"/",""),"?",""),"_",""),",",""),"[",""),"]",""),"(",""),")",""),"*","")</f>
        <v/>
      </c>
      <c r="AX688" s="61" t="str">
        <f aca="false">SUBSTITUTE(SUBSTITUTE(SUBSTITUTE(SUBSTITUTE(SUBSTITUTE(SUBSTITUTE(SUBSTITUTE(SUBSTITUTE(SUBSTITUTE(SUBSTITUTE(SUBSTITUTE(SUBSTITUTE(SUBSTITUTE(LOWER(AE688&amp;""),CHAR(160),"")," ",""),".",""),"-",""),"/",""),"?",""),"_",""),",",""),"[",""),"]",""),"(",""),")",""),"*","")</f>
        <v/>
      </c>
      <c r="AY688" s="61" t="str">
        <f aca="false">SUBSTITUTE(SUBSTITUTE(SUBSTITUTE(SUBSTITUTE(SUBSTITUTE(SUBSTITUTE(SUBSTITUTE(SUBSTITUTE(SUBSTITUTE(SUBSTITUTE(SUBSTITUTE(SUBSTITUTE(SUBSTITUTE(LOWER(W688&amp;""),CHAR(160),"")," ",""),".",""),"-",""),"/",""),"?",""),"_",""),",",""),"[",""),"]",""),"(",""),")",""),"*","")</f>
        <v/>
      </c>
      <c r="AZ688" s="61" t="str">
        <f aca="false">SUBSTITUTE(SUBSTITUTE(SUBSTITUTE(SUBSTITUTE(SUBSTITUTE(SUBSTITUTE(SUBSTITUTE(SUBSTITUTE(SUBSTITUTE(SUBSTITUTE(SUBSTITUTE(SUBSTITUTE(SUBSTITUTE(LOWER(AC688&amp;""),CHAR(160),"")," ",""),".",""),"-",""),"/",""),"?",""),"_",""),",",""),"[",""),"]",""),"(",""),")",""),"*","")</f>
        <v/>
      </c>
      <c r="BA688" s="61" t="str">
        <f aca="false">SUBSTITUTE(SUBSTITUTE(SUBSTITUTE(SUBSTITUTE(SUBSTITUTE(SUBSTITUTE(SUBSTITUTE(SUBSTITUTE(SUBSTITUTE(SUBSTITUTE(SUBSTITUTE(SUBSTITUTE(SUBSTITUTE(LOWER(AA688&amp;""),CHAR(160),"")," ",""),".",""),"-",""),"/",""),"?",""),"_",""),",",""),"[",""),"]",""),"(",""),")",""),"*","")</f>
        <v/>
      </c>
      <c r="BB688" s="61" t="str">
        <f aca="false">IF(AND(TRIM(U688)="Pass",ISNUMBER(AF688)),IF(AF688&lt;&gt;0,"INVALID – qty variance: use Fail or Pass after CA",""),"")&amp;IF(AND(TRIM(U688)="Pass after CA",ISNUMBER(AF688)),IF(AF688&lt;&gt;0,"INVALID – after the corrective action the actual qty must equal expected (update Actual)",""),"")&amp;IF(AND(TRIM(U688)="Pass",TRIM(AB688)&lt;&gt;"",TRIM(AB688)&lt;&gt;"Closed"),"INVALID – corrective action not closed: use Fail, then Pass after CA","")&amp;IF(AND(TRIM(AA688)&lt;&gt;"",TRIM(AB688)=""),"INVALID – CA status missing for the recorded corrective action","")&amp;IF(AND(TRIM(U688)="Pass after CA",OR(OR(LEN(BA688)&lt;5,ISNUMBER(MATCH(BA688,L_Placeholder,0))),TRIM(AB688)&lt;&gt;"Closed")),"INVALID – corrective action not recorded/closed","")</f>
        <v/>
      </c>
    </row>
    <row r="689" customFormat="false" ht="66" hidden="false" customHeight="true" outlineLevel="0" collapsed="false">
      <c r="A689" s="57" t="s">
        <v>1397</v>
      </c>
      <c r="B689" s="57" t="s">
        <v>307</v>
      </c>
      <c r="C689" s="57" t="str">
        <f aca="false">Flights!$F$25</f>
        <v>MH1437</v>
      </c>
      <c r="D689" s="58" t="n">
        <f aca="false">Flights!$D$25</f>
        <v>46325</v>
      </c>
      <c r="E689" s="57" t="str">
        <f aca="false">Flights!$G$25&amp;"-"&amp;Flights!$H$25</f>
        <v>LGK-KUL</v>
      </c>
      <c r="F689" s="57" t="str">
        <f aca="false">Flights!$K$25</f>
        <v>BC</v>
      </c>
      <c r="G689" s="57" t="s">
        <v>398</v>
      </c>
      <c r="H689" s="57" t="s">
        <v>356</v>
      </c>
      <c r="I689" s="57" t="s">
        <v>425</v>
      </c>
      <c r="J689" s="57" t="s">
        <v>504</v>
      </c>
      <c r="K689" s="67" t="s">
        <v>427</v>
      </c>
      <c r="L689" s="67" t="s">
        <v>1398</v>
      </c>
      <c r="M689" s="67" t="s">
        <v>429</v>
      </c>
      <c r="N689" s="67" t="s">
        <v>361</v>
      </c>
      <c r="O689" s="67" t="s">
        <v>962</v>
      </c>
      <c r="P689" s="57" t="s">
        <v>184</v>
      </c>
      <c r="Q689" s="59" t="n">
        <f aca="false">ROUND((MIN(Flights!$AE$25,Flights!$AY$25))*1440,0)/1440</f>
        <v>46324.1875</v>
      </c>
      <c r="R689" s="59" t="n">
        <f aca="false">Q689+(IF(AND(INDEX(TZ_DSTS,MATCH(P689,TZ_STN,0))&lt;&gt;"",Q689&gt;=INDEX(TZ_DSTS,MATCH(P689,TZ_STN,0)),Q689&lt;INDEX(TZ_DSTE,MATCH(P689,TZ_STN,0))),INDEX(TZ_DST,MATCH(P689,TZ_STN,0)),INDEX(TZ_STD,MATCH(P689,TZ_STN,0))))/24</f>
        <v>46324.5208333333</v>
      </c>
      <c r="S689" s="59" t="n">
        <f aca="false">Q689-T12EarlyH/24</f>
        <v>46323.6875</v>
      </c>
      <c r="T689" s="60"/>
      <c r="U689" s="60"/>
      <c r="V689" s="60"/>
      <c r="W689" s="61"/>
      <c r="X689" s="60"/>
      <c r="Y689" s="60"/>
      <c r="Z689" s="60"/>
      <c r="AA689" s="60"/>
      <c r="AB689" s="60"/>
      <c r="AC689" s="60"/>
      <c r="AD689" s="66"/>
      <c r="AE689" s="60"/>
      <c r="AF689" s="61" t="str">
        <f aca="false">IF(AND(ISNUMBER(X689),ISNUMBER(Y689)),Y689-X689,"")</f>
        <v/>
      </c>
      <c r="AG689" s="62" t="str">
        <f aca="false">IF(ISNUMBER(AD689),AD689-(IF(AND(INDEX(TZ_DSTS,MATCH(P689,TZ_STN,0))&lt;&gt;"",(AD689-INDEX(TZ_STD,MATCH(P689,TZ_STN,0))/24)&gt;=INDEX(TZ_DSTS,MATCH(P689,TZ_STN,0)),(AD689-INDEX(TZ_STD,MATCH(P689,TZ_STN,0))/24)&lt;INDEX(TZ_DSTE,MATCH(P689,TZ_STN,0))),INDEX(TZ_DST,MATCH(P689,TZ_STN,0)),INDEX(TZ_STD,MATCH(P689,TZ_STN,0))))/24,"")</f>
        <v/>
      </c>
      <c r="AH689" s="65" t="str">
        <f aca="false">IFERROR(IF(N689="N/A – rule","N/A – RULE",IF(TRIM(U689)="N/A",IF(AT689=0,"INVALID – N/A not permitted for this check",IF(AND(TRIM(AB689)&lt;&gt;"",TRIM(AB689)&lt;&gt;"Closed"),"INVALID – corrective action still open",IF(AND(NOT(OR(LEN(AZ689)&lt;15,ISNUMBER(MATCH(AZ689,L_Placeholder,0)))),NOT(OR(LEN(AU689)&lt;2,ISNUMBER(MATCH(AU689,L_Placeholder,0)))),NOT(OR(LEN(AX689)&lt;2,ISNUMBER(MATCH(AX689,L_Placeholder,0)))),TRIM(AE689)&lt;&gt;TRIM(T689)),"N/A – JUSTIFIED","INVALID – N/A needs a real justification (15+ chars), PIC and a different verifier"))),IF(OR(TRIM(U689)="Pass",TRIM(U689)="Pass after CA"),IF(NOT(ISNUMBER(AD689)),"INVALID – completion time missing",IF(OR(LEN(AU689)&lt;2,ISNUMBER(MATCH(AU689,L_Placeholder,0))),"INVALID – PIC missing",IF(OR(LEN(AV689)&lt;2,ISNUMBER(MATCH(AV689,L_Placeholder,0))),"INVALID – result / assessment missing",IF(OR(OR(LEN(AW689)&lt;3,ISNUMBER(MATCH(AW689,L_Placeholder,0))),SUMPRODUCT(--ISNUMBER(SEARCH(L_EvidencePhrase,AW689)))&gt;0),"INVALID – evidence missing, placeholder or not yet on file",IF(OR(LEN(AX689)&lt;2,ISNUMBER(MATCH(AX689,L_Placeholder,0))),"INVALID – verifier missing",IF(AX689=AU689,"INVALID – verifier must be someone other than the PIC",IF(AND(TRIM(U689)="Pass",SUMPRODUCT(--ISNUMBER(SEARCH(L_ResultBad,AV689)))&gt;0),"INVALID – result describes a problem: use Fail, then Pass after CA",IF(AND(AQ689=1,OR(LEN(AY689)&lt;3,ISNUMBER(MATCH(AY689,L_Placeholder,0)))),"INVALID – batch ID missing or placeholder",IF(AND(AR689=1,OR(NOT(ISNUMBER(X689)),NOT(ISNUMBER(Y689)))),"INVALID – expected/actual qty missing",IF(AND(AR689=1,OR(X689&lt;=0,Y689&lt;0)),"INVALID – expected qty must be above 0 and actual not negative",IF(BB689&lt;&gt;"",BB689,IF(AND(AS689=1,Documents!$J$25&lt;&gt;"ON FILE"),"INVALID – GLD not on file (Documents sheet)",IF(AND(AS689=2,Documents!$O$25&lt;&gt;"ON FILE"),"INVALID – menu checklist not on file (Documents sheet)",IF(AND(AS689=3,NOT(ISNUMBER(Flights!$AX$25))),"INVALID – enter carrying flight KUL departure (Flights AX)",IF(AND(AS689=3,OR(Flights!$AZ$25&gt;Flights!$AA$25,Flights!$AX$25&lt;Flights!$AA$25-3)),"INVALID – carrying flight (Flights AX) cannot arrive before this leg's STD, or is over 3 days early",IF(AG689&gt;AsOfUTC,"INVALID – completion time is in the future",IF(AND(ISNUMBER(S689),AG689&lt;S689),IF(H689="Physical uplift","INVALID – before uplift window (cannot confirm loading)","INVALID – before valid window"),IF(AG689&gt;Flights!$AA$25,"INVALID – completed after departure (cannot establish readiness)",IF(AND(H689="Preparation",AG689&gt;Flights!$AY$25+UpliftWindowH/24),"INVALID – completed after the carrying flight left KUL",IF(AND(H689="Physical uplift",AG689&gt;Q689),"INVALID – recorded after the loading flight departed",IF(AG689&gt;Q689,"COMPLETE – LATE","COMPLETE"))))))))))))))))))))),IF(TRIM(U689)="Fail","FAIL – DISCREPANCY",IF(AND(TRIM(U689)&lt;&gt;"",TRIM(U689)&lt;&gt;"Not started",TRIM(U689)&lt;&gt;"In progress"),"INVALID – unrecognised status (use the list)",IF(AsOfUTC&gt;Q689,"OVERDUE",IF(N689="Clarification required","OPEN – CLARIFICATION","OPEN"))))))),"INVALID – error value in an input cell")</f>
        <v>OPEN</v>
      </c>
      <c r="AI689" s="61" t="n">
        <f aca="false">IF(OR(AH689="N/A – RULE",AH689="N/A – JUSTIFIED"),0,1)</f>
        <v>1</v>
      </c>
      <c r="AJ689" s="61" t="n">
        <f aca="false">IF(LEFT(AH689,8)="COMPLETE",1,0)</f>
        <v>0</v>
      </c>
      <c r="AK689" s="61" t="n">
        <f aca="false">IF(AND(AI689=1,AJ689=0,AsOfUTC&gt;Q689),1,0)</f>
        <v>0</v>
      </c>
      <c r="AL689" s="61" t="n">
        <f aca="false">IFERROR(IF(AND(AI689=1,OR(TRIM(U689)="Fail",AND(TRIM(AB689)&lt;&gt;"",TRIM(AB689)&lt;&gt;"Closed"),AND(ISNUMBER(AF689),AF689&lt;&gt;0,TRIM(U689)&lt;&gt;"Pass after CA"))),1,0),1)</f>
        <v>0</v>
      </c>
      <c r="AM689" s="61" t="n">
        <f aca="false">IF(LEFT(AH689,7)="INVALID",1,0)</f>
        <v>0</v>
      </c>
      <c r="AN689" s="61" t="n">
        <f aca="false">IF(AND(N689="Clarification required",AI689=1,AJ689=0),1,0)</f>
        <v>0</v>
      </c>
      <c r="AO689" s="61" t="str">
        <f aca="false">IF(AK689=1,SUM(AK$5:AK689),"")</f>
        <v/>
      </c>
      <c r="AP689" s="61" t="str">
        <f aca="false">IF(AL689=1,SUM(AL$5:AL689),"")</f>
        <v/>
      </c>
      <c r="AQ689" s="61" t="n">
        <v>0</v>
      </c>
      <c r="AR689" s="61" t="n">
        <v>0</v>
      </c>
      <c r="AS689" s="61" t="n">
        <v>0</v>
      </c>
      <c r="AT689" s="61" t="n">
        <v>0</v>
      </c>
      <c r="AU689" s="61" t="str">
        <f aca="false">SUBSTITUTE(SUBSTITUTE(SUBSTITUTE(SUBSTITUTE(SUBSTITUTE(SUBSTITUTE(SUBSTITUTE(SUBSTITUTE(SUBSTITUTE(SUBSTITUTE(SUBSTITUTE(SUBSTITUTE(SUBSTITUTE(LOWER(T689&amp;""),CHAR(160),"")," ",""),".",""),"-",""),"/",""),"?",""),"_",""),",",""),"[",""),"]",""),"(",""),")",""),"*","")</f>
        <v/>
      </c>
      <c r="AV689" s="61" t="str">
        <f aca="false">SUBSTITUTE(SUBSTITUTE(SUBSTITUTE(SUBSTITUTE(SUBSTITUTE(SUBSTITUTE(SUBSTITUTE(SUBSTITUTE(SUBSTITUTE(SUBSTITUTE(SUBSTITUTE(SUBSTITUTE(SUBSTITUTE(LOWER(V689&amp;""),CHAR(160),"")," ",""),".",""),"-",""),"/",""),"?",""),"_",""),",",""),"[",""),"]",""),"(",""),")",""),"*","")</f>
        <v/>
      </c>
      <c r="AW689" s="61" t="str">
        <f aca="false">SUBSTITUTE(SUBSTITUTE(SUBSTITUTE(SUBSTITUTE(SUBSTITUTE(SUBSTITUTE(SUBSTITUTE(SUBSTITUTE(SUBSTITUTE(SUBSTITUTE(SUBSTITUTE(SUBSTITUTE(SUBSTITUTE(LOWER(Z689&amp;""),CHAR(160),"")," ",""),".",""),"-",""),"/",""),"?",""),"_",""),",",""),"[",""),"]",""),"(",""),")",""),"*","")</f>
        <v/>
      </c>
      <c r="AX689" s="61" t="str">
        <f aca="false">SUBSTITUTE(SUBSTITUTE(SUBSTITUTE(SUBSTITUTE(SUBSTITUTE(SUBSTITUTE(SUBSTITUTE(SUBSTITUTE(SUBSTITUTE(SUBSTITUTE(SUBSTITUTE(SUBSTITUTE(SUBSTITUTE(LOWER(AE689&amp;""),CHAR(160),"")," ",""),".",""),"-",""),"/",""),"?",""),"_",""),",",""),"[",""),"]",""),"(",""),")",""),"*","")</f>
        <v/>
      </c>
      <c r="AY689" s="61" t="str">
        <f aca="false">SUBSTITUTE(SUBSTITUTE(SUBSTITUTE(SUBSTITUTE(SUBSTITUTE(SUBSTITUTE(SUBSTITUTE(SUBSTITUTE(SUBSTITUTE(SUBSTITUTE(SUBSTITUTE(SUBSTITUTE(SUBSTITUTE(LOWER(W689&amp;""),CHAR(160),"")," ",""),".",""),"-",""),"/",""),"?",""),"_",""),",",""),"[",""),"]",""),"(",""),")",""),"*","")</f>
        <v/>
      </c>
      <c r="AZ689" s="61" t="str">
        <f aca="false">SUBSTITUTE(SUBSTITUTE(SUBSTITUTE(SUBSTITUTE(SUBSTITUTE(SUBSTITUTE(SUBSTITUTE(SUBSTITUTE(SUBSTITUTE(SUBSTITUTE(SUBSTITUTE(SUBSTITUTE(SUBSTITUTE(LOWER(AC689&amp;""),CHAR(160),"")," ",""),".",""),"-",""),"/",""),"?",""),"_",""),",",""),"[",""),"]",""),"(",""),")",""),"*","")</f>
        <v/>
      </c>
      <c r="BA689" s="61" t="str">
        <f aca="false">SUBSTITUTE(SUBSTITUTE(SUBSTITUTE(SUBSTITUTE(SUBSTITUTE(SUBSTITUTE(SUBSTITUTE(SUBSTITUTE(SUBSTITUTE(SUBSTITUTE(SUBSTITUTE(SUBSTITUTE(SUBSTITUTE(LOWER(AA689&amp;""),CHAR(160),"")," ",""),".",""),"-",""),"/",""),"?",""),"_",""),",",""),"[",""),"]",""),"(",""),")",""),"*","")</f>
        <v/>
      </c>
      <c r="BB689" s="61" t="str">
        <f aca="false">IF(AND(TRIM(U689)="Pass",ISNUMBER(AF689)),IF(AF689&lt;&gt;0,"INVALID – qty variance: use Fail or Pass after CA",""),"")&amp;IF(AND(TRIM(U689)="Pass after CA",ISNUMBER(AF689)),IF(AF689&lt;&gt;0,"INVALID – after the corrective action the actual qty must equal expected (update Actual)",""),"")&amp;IF(AND(TRIM(U689)="Pass",TRIM(AB689)&lt;&gt;"",TRIM(AB689)&lt;&gt;"Closed"),"INVALID – corrective action not closed: use Fail, then Pass after CA","")&amp;IF(AND(TRIM(AA689)&lt;&gt;"",TRIM(AB689)=""),"INVALID – CA status missing for the recorded corrective action","")&amp;IF(AND(TRIM(U689)="Pass after CA",OR(OR(LEN(BA689)&lt;5,ISNUMBER(MATCH(BA689,L_Placeholder,0))),TRIM(AB689)&lt;&gt;"Closed")),"INVALID – corrective action not recorded/closed","")</f>
        <v/>
      </c>
    </row>
    <row r="690" customFormat="false" ht="66" hidden="false" customHeight="true" outlineLevel="0" collapsed="false">
      <c r="A690" s="57" t="s">
        <v>1399</v>
      </c>
      <c r="B690" s="57" t="s">
        <v>307</v>
      </c>
      <c r="C690" s="57" t="str">
        <f aca="false">Flights!$F$25</f>
        <v>MH1437</v>
      </c>
      <c r="D690" s="58" t="n">
        <f aca="false">Flights!$D$25</f>
        <v>46325</v>
      </c>
      <c r="E690" s="57" t="str">
        <f aca="false">Flights!$G$25&amp;"-"&amp;Flights!$H$25</f>
        <v>LGK-KUL</v>
      </c>
      <c r="F690" s="57" t="str">
        <f aca="false">Flights!$K$25</f>
        <v>BC</v>
      </c>
      <c r="G690" s="57" t="s">
        <v>398</v>
      </c>
      <c r="H690" s="57" t="s">
        <v>356</v>
      </c>
      <c r="I690" s="57" t="s">
        <v>425</v>
      </c>
      <c r="J690" s="57" t="s">
        <v>507</v>
      </c>
      <c r="K690" s="67" t="s">
        <v>427</v>
      </c>
      <c r="L690" s="67" t="s">
        <v>1400</v>
      </c>
      <c r="M690" s="67" t="s">
        <v>429</v>
      </c>
      <c r="N690" s="67" t="s">
        <v>361</v>
      </c>
      <c r="O690" s="67" t="s">
        <v>962</v>
      </c>
      <c r="P690" s="57" t="s">
        <v>184</v>
      </c>
      <c r="Q690" s="59" t="n">
        <f aca="false">ROUND((MIN(Flights!$AE$25,Flights!$AY$25))*1440,0)/1440</f>
        <v>46324.1875</v>
      </c>
      <c r="R690" s="59" t="n">
        <f aca="false">Q690+(IF(AND(INDEX(TZ_DSTS,MATCH(P690,TZ_STN,0))&lt;&gt;"",Q690&gt;=INDEX(TZ_DSTS,MATCH(P690,TZ_STN,0)),Q690&lt;INDEX(TZ_DSTE,MATCH(P690,TZ_STN,0))),INDEX(TZ_DST,MATCH(P690,TZ_STN,0)),INDEX(TZ_STD,MATCH(P690,TZ_STN,0))))/24</f>
        <v>46324.5208333333</v>
      </c>
      <c r="S690" s="59" t="n">
        <f aca="false">Q690-T12EarlyH/24</f>
        <v>46323.6875</v>
      </c>
      <c r="T690" s="60"/>
      <c r="U690" s="60"/>
      <c r="V690" s="60"/>
      <c r="W690" s="61"/>
      <c r="X690" s="60"/>
      <c r="Y690" s="60"/>
      <c r="Z690" s="60"/>
      <c r="AA690" s="60"/>
      <c r="AB690" s="60"/>
      <c r="AC690" s="60"/>
      <c r="AD690" s="66"/>
      <c r="AE690" s="60"/>
      <c r="AF690" s="61" t="str">
        <f aca="false">IF(AND(ISNUMBER(X690),ISNUMBER(Y690)),Y690-X690,"")</f>
        <v/>
      </c>
      <c r="AG690" s="62" t="str">
        <f aca="false">IF(ISNUMBER(AD690),AD690-(IF(AND(INDEX(TZ_DSTS,MATCH(P690,TZ_STN,0))&lt;&gt;"",(AD690-INDEX(TZ_STD,MATCH(P690,TZ_STN,0))/24)&gt;=INDEX(TZ_DSTS,MATCH(P690,TZ_STN,0)),(AD690-INDEX(TZ_STD,MATCH(P690,TZ_STN,0))/24)&lt;INDEX(TZ_DSTE,MATCH(P690,TZ_STN,0))),INDEX(TZ_DST,MATCH(P690,TZ_STN,0)),INDEX(TZ_STD,MATCH(P690,TZ_STN,0))))/24,"")</f>
        <v/>
      </c>
      <c r="AH690" s="65" t="str">
        <f aca="false">IFERROR(IF(N690="N/A – rule","N/A – RULE",IF(TRIM(U690)="N/A",IF(AT690=0,"INVALID – N/A not permitted for this check",IF(AND(TRIM(AB690)&lt;&gt;"",TRIM(AB690)&lt;&gt;"Closed"),"INVALID – corrective action still open",IF(AND(NOT(OR(LEN(AZ690)&lt;15,ISNUMBER(MATCH(AZ690,L_Placeholder,0)))),NOT(OR(LEN(AU690)&lt;2,ISNUMBER(MATCH(AU690,L_Placeholder,0)))),NOT(OR(LEN(AX690)&lt;2,ISNUMBER(MATCH(AX690,L_Placeholder,0)))),TRIM(AE690)&lt;&gt;TRIM(T690)),"N/A – JUSTIFIED","INVALID – N/A needs a real justification (15+ chars), PIC and a different verifier"))),IF(OR(TRIM(U690)="Pass",TRIM(U690)="Pass after CA"),IF(NOT(ISNUMBER(AD690)),"INVALID – completion time missing",IF(OR(LEN(AU690)&lt;2,ISNUMBER(MATCH(AU690,L_Placeholder,0))),"INVALID – PIC missing",IF(OR(LEN(AV690)&lt;2,ISNUMBER(MATCH(AV690,L_Placeholder,0))),"INVALID – result / assessment missing",IF(OR(OR(LEN(AW690)&lt;3,ISNUMBER(MATCH(AW690,L_Placeholder,0))),SUMPRODUCT(--ISNUMBER(SEARCH(L_EvidencePhrase,AW690)))&gt;0),"INVALID – evidence missing, placeholder or not yet on file",IF(OR(LEN(AX690)&lt;2,ISNUMBER(MATCH(AX690,L_Placeholder,0))),"INVALID – verifier missing",IF(AX690=AU690,"INVALID – verifier must be someone other than the PIC",IF(AND(TRIM(U690)="Pass",SUMPRODUCT(--ISNUMBER(SEARCH(L_ResultBad,AV690)))&gt;0),"INVALID – result describes a problem: use Fail, then Pass after CA",IF(AND(AQ690=1,OR(LEN(AY690)&lt;3,ISNUMBER(MATCH(AY690,L_Placeholder,0)))),"INVALID – batch ID missing or placeholder",IF(AND(AR690=1,OR(NOT(ISNUMBER(X690)),NOT(ISNUMBER(Y690)))),"INVALID – expected/actual qty missing",IF(AND(AR690=1,OR(X690&lt;=0,Y690&lt;0)),"INVALID – expected qty must be above 0 and actual not negative",IF(BB690&lt;&gt;"",BB690,IF(AND(AS690=1,Documents!$J$25&lt;&gt;"ON FILE"),"INVALID – GLD not on file (Documents sheet)",IF(AND(AS690=2,Documents!$O$25&lt;&gt;"ON FILE"),"INVALID – menu checklist not on file (Documents sheet)",IF(AND(AS690=3,NOT(ISNUMBER(Flights!$AX$25))),"INVALID – enter carrying flight KUL departure (Flights AX)",IF(AND(AS690=3,OR(Flights!$AZ$25&gt;Flights!$AA$25,Flights!$AX$25&lt;Flights!$AA$25-3)),"INVALID – carrying flight (Flights AX) cannot arrive before this leg's STD, or is over 3 days early",IF(AG690&gt;AsOfUTC,"INVALID – completion time is in the future",IF(AND(ISNUMBER(S690),AG690&lt;S690),IF(H690="Physical uplift","INVALID – before uplift window (cannot confirm loading)","INVALID – before valid window"),IF(AG690&gt;Flights!$AA$25,"INVALID – completed after departure (cannot establish readiness)",IF(AND(H690="Preparation",AG690&gt;Flights!$AY$25+UpliftWindowH/24),"INVALID – completed after the carrying flight left KUL",IF(AND(H690="Physical uplift",AG690&gt;Q690),"INVALID – recorded after the loading flight departed",IF(AG690&gt;Q690,"COMPLETE – LATE","COMPLETE"))))))))))))))))))))),IF(TRIM(U690)="Fail","FAIL – DISCREPANCY",IF(AND(TRIM(U690)&lt;&gt;"",TRIM(U690)&lt;&gt;"Not started",TRIM(U690)&lt;&gt;"In progress"),"INVALID – unrecognised status (use the list)",IF(AsOfUTC&gt;Q690,"OVERDUE",IF(N690="Clarification required","OPEN – CLARIFICATION","OPEN"))))))),"INVALID – error value in an input cell")</f>
        <v>OPEN</v>
      </c>
      <c r="AI690" s="61" t="n">
        <f aca="false">IF(OR(AH690="N/A – RULE",AH690="N/A – JUSTIFIED"),0,1)</f>
        <v>1</v>
      </c>
      <c r="AJ690" s="61" t="n">
        <f aca="false">IF(LEFT(AH690,8)="COMPLETE",1,0)</f>
        <v>0</v>
      </c>
      <c r="AK690" s="61" t="n">
        <f aca="false">IF(AND(AI690=1,AJ690=0,AsOfUTC&gt;Q690),1,0)</f>
        <v>0</v>
      </c>
      <c r="AL690" s="61" t="n">
        <f aca="false">IFERROR(IF(AND(AI690=1,OR(TRIM(U690)="Fail",AND(TRIM(AB690)&lt;&gt;"",TRIM(AB690)&lt;&gt;"Closed"),AND(ISNUMBER(AF690),AF690&lt;&gt;0,TRIM(U690)&lt;&gt;"Pass after CA"))),1,0),1)</f>
        <v>0</v>
      </c>
      <c r="AM690" s="61" t="n">
        <f aca="false">IF(LEFT(AH690,7)="INVALID",1,0)</f>
        <v>0</v>
      </c>
      <c r="AN690" s="61" t="n">
        <f aca="false">IF(AND(N690="Clarification required",AI690=1,AJ690=0),1,0)</f>
        <v>0</v>
      </c>
      <c r="AO690" s="61" t="str">
        <f aca="false">IF(AK690=1,SUM(AK$5:AK690),"")</f>
        <v/>
      </c>
      <c r="AP690" s="61" t="str">
        <f aca="false">IF(AL690=1,SUM(AL$5:AL690),"")</f>
        <v/>
      </c>
      <c r="AQ690" s="61" t="n">
        <v>0</v>
      </c>
      <c r="AR690" s="61" t="n">
        <v>0</v>
      </c>
      <c r="AS690" s="61" t="n">
        <v>0</v>
      </c>
      <c r="AT690" s="61" t="n">
        <v>0</v>
      </c>
      <c r="AU690" s="61" t="str">
        <f aca="false">SUBSTITUTE(SUBSTITUTE(SUBSTITUTE(SUBSTITUTE(SUBSTITUTE(SUBSTITUTE(SUBSTITUTE(SUBSTITUTE(SUBSTITUTE(SUBSTITUTE(SUBSTITUTE(SUBSTITUTE(SUBSTITUTE(LOWER(T690&amp;""),CHAR(160),"")," ",""),".",""),"-",""),"/",""),"?",""),"_",""),",",""),"[",""),"]",""),"(",""),")",""),"*","")</f>
        <v/>
      </c>
      <c r="AV690" s="61" t="str">
        <f aca="false">SUBSTITUTE(SUBSTITUTE(SUBSTITUTE(SUBSTITUTE(SUBSTITUTE(SUBSTITUTE(SUBSTITUTE(SUBSTITUTE(SUBSTITUTE(SUBSTITUTE(SUBSTITUTE(SUBSTITUTE(SUBSTITUTE(LOWER(V690&amp;""),CHAR(160),"")," ",""),".",""),"-",""),"/",""),"?",""),"_",""),",",""),"[",""),"]",""),"(",""),")",""),"*","")</f>
        <v/>
      </c>
      <c r="AW690" s="61" t="str">
        <f aca="false">SUBSTITUTE(SUBSTITUTE(SUBSTITUTE(SUBSTITUTE(SUBSTITUTE(SUBSTITUTE(SUBSTITUTE(SUBSTITUTE(SUBSTITUTE(SUBSTITUTE(SUBSTITUTE(SUBSTITUTE(SUBSTITUTE(LOWER(Z690&amp;""),CHAR(160),"")," ",""),".",""),"-",""),"/",""),"?",""),"_",""),",",""),"[",""),"]",""),"(",""),")",""),"*","")</f>
        <v/>
      </c>
      <c r="AX690" s="61" t="str">
        <f aca="false">SUBSTITUTE(SUBSTITUTE(SUBSTITUTE(SUBSTITUTE(SUBSTITUTE(SUBSTITUTE(SUBSTITUTE(SUBSTITUTE(SUBSTITUTE(SUBSTITUTE(SUBSTITUTE(SUBSTITUTE(SUBSTITUTE(LOWER(AE690&amp;""),CHAR(160),"")," ",""),".",""),"-",""),"/",""),"?",""),"_",""),",",""),"[",""),"]",""),"(",""),")",""),"*","")</f>
        <v/>
      </c>
      <c r="AY690" s="61" t="str">
        <f aca="false">SUBSTITUTE(SUBSTITUTE(SUBSTITUTE(SUBSTITUTE(SUBSTITUTE(SUBSTITUTE(SUBSTITUTE(SUBSTITUTE(SUBSTITUTE(SUBSTITUTE(SUBSTITUTE(SUBSTITUTE(SUBSTITUTE(LOWER(W690&amp;""),CHAR(160),"")," ",""),".",""),"-",""),"/",""),"?",""),"_",""),",",""),"[",""),"]",""),"(",""),")",""),"*","")</f>
        <v/>
      </c>
      <c r="AZ690" s="61" t="str">
        <f aca="false">SUBSTITUTE(SUBSTITUTE(SUBSTITUTE(SUBSTITUTE(SUBSTITUTE(SUBSTITUTE(SUBSTITUTE(SUBSTITUTE(SUBSTITUTE(SUBSTITUTE(SUBSTITUTE(SUBSTITUTE(SUBSTITUTE(LOWER(AC690&amp;""),CHAR(160),"")," ",""),".",""),"-",""),"/",""),"?",""),"_",""),",",""),"[",""),"]",""),"(",""),")",""),"*","")</f>
        <v/>
      </c>
      <c r="BA690" s="61" t="str">
        <f aca="false">SUBSTITUTE(SUBSTITUTE(SUBSTITUTE(SUBSTITUTE(SUBSTITUTE(SUBSTITUTE(SUBSTITUTE(SUBSTITUTE(SUBSTITUTE(SUBSTITUTE(SUBSTITUTE(SUBSTITUTE(SUBSTITUTE(LOWER(AA690&amp;""),CHAR(160),"")," ",""),".",""),"-",""),"/",""),"?",""),"_",""),",",""),"[",""),"]",""),"(",""),")",""),"*","")</f>
        <v/>
      </c>
      <c r="BB690" s="61" t="str">
        <f aca="false">IF(AND(TRIM(U690)="Pass",ISNUMBER(AF690)),IF(AF690&lt;&gt;0,"INVALID – qty variance: use Fail or Pass after CA",""),"")&amp;IF(AND(TRIM(U690)="Pass after CA",ISNUMBER(AF690)),IF(AF690&lt;&gt;0,"INVALID – after the corrective action the actual qty must equal expected (update Actual)",""),"")&amp;IF(AND(TRIM(U690)="Pass",TRIM(AB690)&lt;&gt;"",TRIM(AB690)&lt;&gt;"Closed"),"INVALID – corrective action not closed: use Fail, then Pass after CA","")&amp;IF(AND(TRIM(AA690)&lt;&gt;"",TRIM(AB690)=""),"INVALID – CA status missing for the recorded corrective action","")&amp;IF(AND(TRIM(U690)="Pass after CA",OR(OR(LEN(BA690)&lt;5,ISNUMBER(MATCH(BA690,L_Placeholder,0))),TRIM(AB690)&lt;&gt;"Closed")),"INVALID – corrective action not recorded/closed","")</f>
        <v/>
      </c>
    </row>
    <row r="691" customFormat="false" ht="39.75" hidden="false" customHeight="true" outlineLevel="0" collapsed="false">
      <c r="A691" s="57" t="s">
        <v>1401</v>
      </c>
      <c r="B691" s="57" t="s">
        <v>307</v>
      </c>
      <c r="C691" s="57" t="str">
        <f aca="false">Flights!$F$25</f>
        <v>MH1437</v>
      </c>
      <c r="D691" s="58" t="n">
        <f aca="false">Flights!$D$25</f>
        <v>46325</v>
      </c>
      <c r="E691" s="57" t="str">
        <f aca="false">Flights!$G$25&amp;"-"&amp;Flights!$H$25</f>
        <v>LGK-KUL</v>
      </c>
      <c r="F691" s="57" t="str">
        <f aca="false">Flights!$K$25</f>
        <v>BC</v>
      </c>
      <c r="G691" s="57" t="s">
        <v>437</v>
      </c>
      <c r="H691" s="57" t="s">
        <v>438</v>
      </c>
      <c r="I691" s="57" t="s">
        <v>357</v>
      </c>
      <c r="J691" s="57" t="s">
        <v>439</v>
      </c>
      <c r="K691" s="67" t="s">
        <v>404</v>
      </c>
      <c r="L691" s="67" t="s">
        <v>440</v>
      </c>
      <c r="M691" s="67"/>
      <c r="N691" s="67" t="s">
        <v>361</v>
      </c>
      <c r="O691" s="67" t="s">
        <v>441</v>
      </c>
      <c r="P691" s="57" t="s">
        <v>303</v>
      </c>
      <c r="Q691" s="59" t="n">
        <f aca="false">ROUND((Flights!$AF$25)*1440,0)/1440</f>
        <v>46325.28125</v>
      </c>
      <c r="R691" s="59" t="n">
        <f aca="false">Q691+(IF(AND(INDEX(TZ_DSTS,MATCH(P691,TZ_STN,0))&lt;&gt;"",Q691&gt;=INDEX(TZ_DSTS,MATCH(P691,TZ_STN,0)),Q691&lt;INDEX(TZ_DSTE,MATCH(P691,TZ_STN,0))),INDEX(TZ_DST,MATCH(P691,TZ_STN,0)),INDEX(TZ_STD,MATCH(P691,TZ_STN,0))))/24</f>
        <v>46325.6145833333</v>
      </c>
      <c r="S691" s="59" t="n">
        <f aca="false">IF(ISNUMBER(Flights!$AZ$25),MAX(Q691-UpliftWindowH/24,Flights!$AZ$25),Q691-UpliftWindowH/24)</f>
        <v>46325.03125</v>
      </c>
      <c r="T691" s="60"/>
      <c r="U691" s="60"/>
      <c r="V691" s="60"/>
      <c r="W691" s="61"/>
      <c r="X691" s="60"/>
      <c r="Y691" s="60"/>
      <c r="Z691" s="60"/>
      <c r="AA691" s="60"/>
      <c r="AB691" s="60"/>
      <c r="AC691" s="60"/>
      <c r="AD691" s="66"/>
      <c r="AE691" s="60"/>
      <c r="AF691" s="61" t="str">
        <f aca="false">IF(AND(ISNUMBER(X691),ISNUMBER(Y691)),Y691-X691,"")</f>
        <v/>
      </c>
      <c r="AG691" s="62" t="str">
        <f aca="false">IF(ISNUMBER(AD691),AD691-(IF(AND(INDEX(TZ_DSTS,MATCH(P691,TZ_STN,0))&lt;&gt;"",(AD691-INDEX(TZ_STD,MATCH(P691,TZ_STN,0))/24)&gt;=INDEX(TZ_DSTS,MATCH(P691,TZ_STN,0)),(AD691-INDEX(TZ_STD,MATCH(P691,TZ_STN,0))/24)&lt;INDEX(TZ_DSTE,MATCH(P691,TZ_STN,0))),INDEX(TZ_DST,MATCH(P691,TZ_STN,0)),INDEX(TZ_STD,MATCH(P691,TZ_STN,0))))/24,"")</f>
        <v/>
      </c>
      <c r="AH691" s="65" t="str">
        <f aca="false">IFERROR(IF(N691="N/A – rule","N/A – RULE",IF(TRIM(U691)="N/A",IF(AT691=0,"INVALID – N/A not permitted for this check",IF(AND(TRIM(AB691)&lt;&gt;"",TRIM(AB691)&lt;&gt;"Closed"),"INVALID – corrective action still open",IF(AND(NOT(OR(LEN(AZ691)&lt;15,ISNUMBER(MATCH(AZ691,L_Placeholder,0)))),NOT(OR(LEN(AU691)&lt;2,ISNUMBER(MATCH(AU691,L_Placeholder,0)))),NOT(OR(LEN(AX691)&lt;2,ISNUMBER(MATCH(AX691,L_Placeholder,0)))),TRIM(AE691)&lt;&gt;TRIM(T691)),"N/A – JUSTIFIED","INVALID – N/A needs a real justification (15+ chars), PIC and a different verifier"))),IF(OR(TRIM(U691)="Pass",TRIM(U691)="Pass after CA"),IF(NOT(ISNUMBER(AD691)),"INVALID – completion time missing",IF(OR(LEN(AU691)&lt;2,ISNUMBER(MATCH(AU691,L_Placeholder,0))),"INVALID – PIC missing",IF(OR(LEN(AV691)&lt;2,ISNUMBER(MATCH(AV691,L_Placeholder,0))),"INVALID – result / assessment missing",IF(OR(OR(LEN(AW691)&lt;3,ISNUMBER(MATCH(AW691,L_Placeholder,0))),SUMPRODUCT(--ISNUMBER(SEARCH(L_EvidencePhrase,AW691)))&gt;0),"INVALID – evidence missing, placeholder or not yet on file",IF(OR(LEN(AX691)&lt;2,ISNUMBER(MATCH(AX691,L_Placeholder,0))),"INVALID – verifier missing",IF(AX691=AU691,"INVALID – verifier must be someone other than the PIC",IF(AND(TRIM(U691)="Pass",SUMPRODUCT(--ISNUMBER(SEARCH(L_ResultBad,AV691)))&gt;0),"INVALID – result describes a problem: use Fail, then Pass after CA",IF(AND(AQ691=1,OR(LEN(AY691)&lt;3,ISNUMBER(MATCH(AY691,L_Placeholder,0)))),"INVALID – batch ID missing or placeholder",IF(AND(AR691=1,OR(NOT(ISNUMBER(X691)),NOT(ISNUMBER(Y691)))),"INVALID – expected/actual qty missing",IF(AND(AR691=1,OR(X691&lt;=0,Y691&lt;0)),"INVALID – expected qty must be above 0 and actual not negative",IF(AH677="N/A – JUSTIFIED","INVALID – preparation row F21-T12-02 is N/A",IF(AND(AR691=1,ISNUMBER(X677),X691&lt;&gt;X677),"INVALID – expected qty differs from preparation check F21-T12-02",IF(BB691&lt;&gt;"",BB691,IF(AND(AS691=1,Documents!$J$25&lt;&gt;"ON FILE"),"INVALID – GLD not on file (Documents sheet)",IF(AND(AS691=2,Documents!$O$25&lt;&gt;"ON FILE"),"INVALID – menu checklist not on file (Documents sheet)",IF(AND(AS691=3,NOT(ISNUMBER(Flights!$AX$25))),"INVALID – enter carrying flight KUL departure (Flights AX)",IF(AND(AS691=3,OR(Flights!$AZ$25&gt;Flights!$AA$25,Flights!$AX$25&lt;Flights!$AA$25-3)),"INVALID – carrying flight (Flights AX) cannot arrive before this leg's STD, or is over 3 days early",IF(AG691&gt;AsOfUTC,"INVALID – completion time is in the future",IF(AND(ISNUMBER(S691),AG691&lt;S691),IF(H691="Physical uplift","INVALID – before uplift window (cannot confirm loading)","INVALID – before valid window"),IF(AG691&gt;Flights!$AA$25,"INVALID – completed after departure (cannot establish readiness)",IF(AND(H691="Preparation",AG691&gt;IF(ISNUMBER(Flights!$BA$25),MIN(Flights!$BA$25,Flights!$AA$25),Flights!$AA$25)),"INVALID – completed after loading / departure (cannot establish readiness)",IF(AND(H691="Physical uplift",AG691&gt;Q691),"INVALID – recorded after the loading flight departed",IF(AG691&gt;Q691,"COMPLETE – LATE","COMPLETE"))))))))))))))))))))))),IF(TRIM(U691)="Fail","FAIL – DISCREPANCY",IF(AND(TRIM(U691)&lt;&gt;"",TRIM(U691)&lt;&gt;"Not started",TRIM(U691)&lt;&gt;"In progress"),"INVALID – unrecognised status (use the list)",IF(AsOfUTC&gt;Q691,"OVERDUE",IF(N691="Clarification required","OPEN – CLARIFICATION","OPEN"))))))),"INVALID – error value in an input cell")</f>
        <v>OPEN</v>
      </c>
      <c r="AI691" s="61" t="n">
        <f aca="false">IF(OR(AH691="N/A – RULE",AH691="N/A – JUSTIFIED"),0,1)</f>
        <v>1</v>
      </c>
      <c r="AJ691" s="61" t="n">
        <f aca="false">IF(LEFT(AH691,8)="COMPLETE",1,0)</f>
        <v>0</v>
      </c>
      <c r="AK691" s="61" t="n">
        <f aca="false">IF(AND(AI691=1,AJ691=0,AsOfUTC&gt;Q691),1,0)</f>
        <v>0</v>
      </c>
      <c r="AL691" s="61" t="n">
        <f aca="false">IFERROR(IF(AND(AI691=1,OR(TRIM(U691)="Fail",AND(TRIM(AB691)&lt;&gt;"",TRIM(AB691)&lt;&gt;"Closed"),AND(ISNUMBER(AF691),AF691&lt;&gt;0,TRIM(U691)&lt;&gt;"Pass after CA"))),1,0),1)</f>
        <v>0</v>
      </c>
      <c r="AM691" s="61" t="n">
        <f aca="false">IF(LEFT(AH691,7)="INVALID",1,0)</f>
        <v>0</v>
      </c>
      <c r="AN691" s="61" t="n">
        <f aca="false">IF(AND(N691="Clarification required",AI691=1,AJ691=0),1,0)</f>
        <v>0</v>
      </c>
      <c r="AO691" s="61" t="str">
        <f aca="false">IF(AK691=1,SUM(AK$5:AK691),"")</f>
        <v/>
      </c>
      <c r="AP691" s="61" t="str">
        <f aca="false">IF(AL691=1,SUM(AL$5:AL691),"")</f>
        <v/>
      </c>
      <c r="AQ691" s="61" t="n">
        <v>0</v>
      </c>
      <c r="AR691" s="61" t="n">
        <v>1</v>
      </c>
      <c r="AS691" s="61" t="n">
        <v>0</v>
      </c>
      <c r="AT691" s="61" t="n">
        <v>0</v>
      </c>
      <c r="AU691" s="61" t="str">
        <f aca="false">SUBSTITUTE(SUBSTITUTE(SUBSTITUTE(SUBSTITUTE(SUBSTITUTE(SUBSTITUTE(SUBSTITUTE(SUBSTITUTE(SUBSTITUTE(SUBSTITUTE(SUBSTITUTE(SUBSTITUTE(SUBSTITUTE(LOWER(T691&amp;""),CHAR(160),"")," ",""),".",""),"-",""),"/",""),"?",""),"_",""),",",""),"[",""),"]",""),"(",""),")",""),"*","")</f>
        <v/>
      </c>
      <c r="AV691" s="61" t="str">
        <f aca="false">SUBSTITUTE(SUBSTITUTE(SUBSTITUTE(SUBSTITUTE(SUBSTITUTE(SUBSTITUTE(SUBSTITUTE(SUBSTITUTE(SUBSTITUTE(SUBSTITUTE(SUBSTITUTE(SUBSTITUTE(SUBSTITUTE(LOWER(V691&amp;""),CHAR(160),"")," ",""),".",""),"-",""),"/",""),"?",""),"_",""),",",""),"[",""),"]",""),"(",""),")",""),"*","")</f>
        <v/>
      </c>
      <c r="AW691" s="61" t="str">
        <f aca="false">SUBSTITUTE(SUBSTITUTE(SUBSTITUTE(SUBSTITUTE(SUBSTITUTE(SUBSTITUTE(SUBSTITUTE(SUBSTITUTE(SUBSTITUTE(SUBSTITUTE(SUBSTITUTE(SUBSTITUTE(SUBSTITUTE(LOWER(Z691&amp;""),CHAR(160),"")," ",""),".",""),"-",""),"/",""),"?",""),"_",""),",",""),"[",""),"]",""),"(",""),")",""),"*","")</f>
        <v/>
      </c>
      <c r="AX691" s="61" t="str">
        <f aca="false">SUBSTITUTE(SUBSTITUTE(SUBSTITUTE(SUBSTITUTE(SUBSTITUTE(SUBSTITUTE(SUBSTITUTE(SUBSTITUTE(SUBSTITUTE(SUBSTITUTE(SUBSTITUTE(SUBSTITUTE(SUBSTITUTE(LOWER(AE691&amp;""),CHAR(160),"")," ",""),".",""),"-",""),"/",""),"?",""),"_",""),",",""),"[",""),"]",""),"(",""),")",""),"*","")</f>
        <v/>
      </c>
      <c r="AY691" s="61" t="str">
        <f aca="false">SUBSTITUTE(SUBSTITUTE(SUBSTITUTE(SUBSTITUTE(SUBSTITUTE(SUBSTITUTE(SUBSTITUTE(SUBSTITUTE(SUBSTITUTE(SUBSTITUTE(SUBSTITUTE(SUBSTITUTE(SUBSTITUTE(LOWER(W691&amp;""),CHAR(160),"")," ",""),".",""),"-",""),"/",""),"?",""),"_",""),",",""),"[",""),"]",""),"(",""),")",""),"*","")</f>
        <v/>
      </c>
      <c r="AZ691" s="61" t="str">
        <f aca="false">SUBSTITUTE(SUBSTITUTE(SUBSTITUTE(SUBSTITUTE(SUBSTITUTE(SUBSTITUTE(SUBSTITUTE(SUBSTITUTE(SUBSTITUTE(SUBSTITUTE(SUBSTITUTE(SUBSTITUTE(SUBSTITUTE(LOWER(AC691&amp;""),CHAR(160),"")," ",""),".",""),"-",""),"/",""),"?",""),"_",""),",",""),"[",""),"]",""),"(",""),")",""),"*","")</f>
        <v/>
      </c>
      <c r="BA691" s="61" t="str">
        <f aca="false">SUBSTITUTE(SUBSTITUTE(SUBSTITUTE(SUBSTITUTE(SUBSTITUTE(SUBSTITUTE(SUBSTITUTE(SUBSTITUTE(SUBSTITUTE(SUBSTITUTE(SUBSTITUTE(SUBSTITUTE(SUBSTITUTE(LOWER(AA691&amp;""),CHAR(160),"")," ",""),".",""),"-",""),"/",""),"?",""),"_",""),",",""),"[",""),"]",""),"(",""),")",""),"*","")</f>
        <v/>
      </c>
      <c r="BB691" s="61" t="str">
        <f aca="false">IF(AND(TRIM(U691)="Pass",ISNUMBER(AF691)),IF(AF691&lt;&gt;0,"INVALID – qty variance: use Fail or Pass after CA",""),"")&amp;IF(AND(TRIM(U691)="Pass after CA",ISNUMBER(AF691)),IF(AF691&lt;&gt;0,"INVALID – after the corrective action the actual qty must equal expected (update Actual)",""),"")&amp;IF(AND(TRIM(U691)="Pass",TRIM(AB691)&lt;&gt;"",TRIM(AB691)&lt;&gt;"Closed"),"INVALID – corrective action not closed: use Fail, then Pass after CA","")&amp;IF(AND(TRIM(AA691)&lt;&gt;"",TRIM(AB691)=""),"INVALID – CA status missing for the recorded corrective action","")&amp;IF(AND(TRIM(U691)="Pass after CA",OR(OR(LEN(BA691)&lt;5,ISNUMBER(MATCH(BA691,L_Placeholder,0))),TRIM(AB691)&lt;&gt;"Closed")),"INVALID – corrective action not recorded/closed","")</f>
        <v/>
      </c>
    </row>
    <row r="692" customFormat="false" ht="39.75" hidden="false" customHeight="true" outlineLevel="0" collapsed="false">
      <c r="A692" s="57" t="s">
        <v>1402</v>
      </c>
      <c r="B692" s="57" t="s">
        <v>307</v>
      </c>
      <c r="C692" s="57" t="str">
        <f aca="false">Flights!$F$25</f>
        <v>MH1437</v>
      </c>
      <c r="D692" s="58" t="n">
        <f aca="false">Flights!$D$25</f>
        <v>46325</v>
      </c>
      <c r="E692" s="57" t="str">
        <f aca="false">Flights!$G$25&amp;"-"&amp;Flights!$H$25</f>
        <v>LGK-KUL</v>
      </c>
      <c r="F692" s="57" t="str">
        <f aca="false">Flights!$K$25</f>
        <v>BC</v>
      </c>
      <c r="G692" s="57" t="s">
        <v>437</v>
      </c>
      <c r="H692" s="57" t="s">
        <v>438</v>
      </c>
      <c r="I692" s="57" t="s">
        <v>406</v>
      </c>
      <c r="J692" s="57" t="s">
        <v>443</v>
      </c>
      <c r="K692" s="67" t="s">
        <v>404</v>
      </c>
      <c r="L692" s="67" t="s">
        <v>440</v>
      </c>
      <c r="M692" s="67"/>
      <c r="N692" s="67" t="s">
        <v>361</v>
      </c>
      <c r="O692" s="67" t="s">
        <v>441</v>
      </c>
      <c r="P692" s="57" t="s">
        <v>303</v>
      </c>
      <c r="Q692" s="59" t="n">
        <f aca="false">ROUND((Flights!$AF$25)*1440,0)/1440</f>
        <v>46325.28125</v>
      </c>
      <c r="R692" s="59" t="n">
        <f aca="false">Q692+(IF(AND(INDEX(TZ_DSTS,MATCH(P692,TZ_STN,0))&lt;&gt;"",Q692&gt;=INDEX(TZ_DSTS,MATCH(P692,TZ_STN,0)),Q692&lt;INDEX(TZ_DSTE,MATCH(P692,TZ_STN,0))),INDEX(TZ_DST,MATCH(P692,TZ_STN,0)),INDEX(TZ_STD,MATCH(P692,TZ_STN,0))))/24</f>
        <v>46325.6145833333</v>
      </c>
      <c r="S692" s="59" t="n">
        <f aca="false">IF(ISNUMBER(Flights!$AZ$25),MAX(Q692-UpliftWindowH/24,Flights!$AZ$25),Q692-UpliftWindowH/24)</f>
        <v>46325.03125</v>
      </c>
      <c r="T692" s="60"/>
      <c r="U692" s="60"/>
      <c r="V692" s="60"/>
      <c r="W692" s="61"/>
      <c r="X692" s="60"/>
      <c r="Y692" s="60"/>
      <c r="Z692" s="60"/>
      <c r="AA692" s="60"/>
      <c r="AB692" s="60"/>
      <c r="AC692" s="60"/>
      <c r="AD692" s="66"/>
      <c r="AE692" s="60"/>
      <c r="AF692" s="61" t="str">
        <f aca="false">IF(AND(ISNUMBER(X692),ISNUMBER(Y692)),Y692-X692,"")</f>
        <v/>
      </c>
      <c r="AG692" s="62" t="str">
        <f aca="false">IF(ISNUMBER(AD692),AD692-(IF(AND(INDEX(TZ_DSTS,MATCH(P692,TZ_STN,0))&lt;&gt;"",(AD692-INDEX(TZ_STD,MATCH(P692,TZ_STN,0))/24)&gt;=INDEX(TZ_DSTS,MATCH(P692,TZ_STN,0)),(AD692-INDEX(TZ_STD,MATCH(P692,TZ_STN,0))/24)&lt;INDEX(TZ_DSTE,MATCH(P692,TZ_STN,0))),INDEX(TZ_DST,MATCH(P692,TZ_STN,0)),INDEX(TZ_STD,MATCH(P692,TZ_STN,0))))/24,"")</f>
        <v/>
      </c>
      <c r="AH692" s="65" t="str">
        <f aca="false">IFERROR(IF(N692="N/A – rule","N/A – RULE",IF(TRIM(U692)="N/A",IF(AT692=0,"INVALID – N/A not permitted for this check",IF(AND(TRIM(AB692)&lt;&gt;"",TRIM(AB692)&lt;&gt;"Closed"),"INVALID – corrective action still open",IF(AND(NOT(OR(LEN(AZ692)&lt;15,ISNUMBER(MATCH(AZ692,L_Placeholder,0)))),NOT(OR(LEN(AU692)&lt;2,ISNUMBER(MATCH(AU692,L_Placeholder,0)))),NOT(OR(LEN(AX692)&lt;2,ISNUMBER(MATCH(AX692,L_Placeholder,0)))),TRIM(AE692)&lt;&gt;TRIM(T692)),"N/A – JUSTIFIED","INVALID – N/A needs a real justification (15+ chars), PIC and a different verifier"))),IF(OR(TRIM(U692)="Pass",TRIM(U692)="Pass after CA"),IF(NOT(ISNUMBER(AD692)),"INVALID – completion time missing",IF(OR(LEN(AU692)&lt;2,ISNUMBER(MATCH(AU692,L_Placeholder,0))),"INVALID – PIC missing",IF(OR(LEN(AV692)&lt;2,ISNUMBER(MATCH(AV692,L_Placeholder,0))),"INVALID – result / assessment missing",IF(OR(OR(LEN(AW692)&lt;3,ISNUMBER(MATCH(AW692,L_Placeholder,0))),SUMPRODUCT(--ISNUMBER(SEARCH(L_EvidencePhrase,AW692)))&gt;0),"INVALID – evidence missing, placeholder or not yet on file",IF(OR(LEN(AX692)&lt;2,ISNUMBER(MATCH(AX692,L_Placeholder,0))),"INVALID – verifier missing",IF(AX692=AU692,"INVALID – verifier must be someone other than the PIC",IF(AND(TRIM(U692)="Pass",SUMPRODUCT(--ISNUMBER(SEARCH(L_ResultBad,AV692)))&gt;0),"INVALID – result describes a problem: use Fail, then Pass after CA",IF(AND(AQ692=1,OR(LEN(AY692)&lt;3,ISNUMBER(MATCH(AY692,L_Placeholder,0)))),"INVALID – batch ID missing or placeholder",IF(AND(AR692=1,OR(NOT(ISNUMBER(X692)),NOT(ISNUMBER(Y692)))),"INVALID – expected/actual qty missing",IF(AND(AR692=1,OR(X692&lt;=0,Y692&lt;0)),"INVALID – expected qty must be above 0 and actual not negative",IF(AH681="N/A – JUSTIFIED","INVALID – preparation row F21-T12-06 is N/A",IF(AND(AR692=1,ISNUMBER(X681),X692&lt;&gt;X681),"INVALID – expected qty differs from preparation check F21-T12-06",IF(BB692&lt;&gt;"",BB692,IF(AND(AS692=1,Documents!$J$25&lt;&gt;"ON FILE"),"INVALID – GLD not on file (Documents sheet)",IF(AND(AS692=2,Documents!$O$25&lt;&gt;"ON FILE"),"INVALID – menu checklist not on file (Documents sheet)",IF(AND(AS692=3,NOT(ISNUMBER(Flights!$AX$25))),"INVALID – enter carrying flight KUL departure (Flights AX)",IF(AND(AS692=3,OR(Flights!$AZ$25&gt;Flights!$AA$25,Flights!$AX$25&lt;Flights!$AA$25-3)),"INVALID – carrying flight (Flights AX) cannot arrive before this leg's STD, or is over 3 days early",IF(AG692&gt;AsOfUTC,"INVALID – completion time is in the future",IF(AND(ISNUMBER(S692),AG692&lt;S692),IF(H692="Physical uplift","INVALID – before uplift window (cannot confirm loading)","INVALID – before valid window"),IF(AG692&gt;Flights!$AA$25,"INVALID – completed after departure (cannot establish readiness)",IF(AND(H692="Preparation",AG692&gt;IF(ISNUMBER(Flights!$BA$25),MIN(Flights!$BA$25,Flights!$AA$25),Flights!$AA$25)),"INVALID – completed after loading / departure (cannot establish readiness)",IF(AND(H692="Physical uplift",AG692&gt;Q692),"INVALID – recorded after the loading flight departed",IF(AG692&gt;Q692,"COMPLETE – LATE","COMPLETE"))))))))))))))))))))))),IF(TRIM(U692)="Fail","FAIL – DISCREPANCY",IF(AND(TRIM(U692)&lt;&gt;"",TRIM(U692)&lt;&gt;"Not started",TRIM(U692)&lt;&gt;"In progress"),"INVALID – unrecognised status (use the list)",IF(AsOfUTC&gt;Q692,"OVERDUE",IF(N692="Clarification required","OPEN – CLARIFICATION","OPEN"))))))),"INVALID – error value in an input cell")</f>
        <v>OPEN</v>
      </c>
      <c r="AI692" s="61" t="n">
        <f aca="false">IF(OR(AH692="N/A – RULE",AH692="N/A – JUSTIFIED"),0,1)</f>
        <v>1</v>
      </c>
      <c r="AJ692" s="61" t="n">
        <f aca="false">IF(LEFT(AH692,8)="COMPLETE",1,0)</f>
        <v>0</v>
      </c>
      <c r="AK692" s="61" t="n">
        <f aca="false">IF(AND(AI692=1,AJ692=0,AsOfUTC&gt;Q692),1,0)</f>
        <v>0</v>
      </c>
      <c r="AL692" s="61" t="n">
        <f aca="false">IFERROR(IF(AND(AI692=1,OR(TRIM(U692)="Fail",AND(TRIM(AB692)&lt;&gt;"",TRIM(AB692)&lt;&gt;"Closed"),AND(ISNUMBER(AF692),AF692&lt;&gt;0,TRIM(U692)&lt;&gt;"Pass after CA"))),1,0),1)</f>
        <v>0</v>
      </c>
      <c r="AM692" s="61" t="n">
        <f aca="false">IF(LEFT(AH692,7)="INVALID",1,0)</f>
        <v>0</v>
      </c>
      <c r="AN692" s="61" t="n">
        <f aca="false">IF(AND(N692="Clarification required",AI692=1,AJ692=0),1,0)</f>
        <v>0</v>
      </c>
      <c r="AO692" s="61" t="str">
        <f aca="false">IF(AK692=1,SUM(AK$5:AK692),"")</f>
        <v/>
      </c>
      <c r="AP692" s="61" t="str">
        <f aca="false">IF(AL692=1,SUM(AL$5:AL692),"")</f>
        <v/>
      </c>
      <c r="AQ692" s="61" t="n">
        <v>0</v>
      </c>
      <c r="AR692" s="61" t="n">
        <v>1</v>
      </c>
      <c r="AS692" s="61" t="n">
        <v>0</v>
      </c>
      <c r="AT692" s="61" t="n">
        <v>0</v>
      </c>
      <c r="AU692" s="61" t="str">
        <f aca="false">SUBSTITUTE(SUBSTITUTE(SUBSTITUTE(SUBSTITUTE(SUBSTITUTE(SUBSTITUTE(SUBSTITUTE(SUBSTITUTE(SUBSTITUTE(SUBSTITUTE(SUBSTITUTE(SUBSTITUTE(SUBSTITUTE(LOWER(T692&amp;""),CHAR(160),"")," ",""),".",""),"-",""),"/",""),"?",""),"_",""),",",""),"[",""),"]",""),"(",""),")",""),"*","")</f>
        <v/>
      </c>
      <c r="AV692" s="61" t="str">
        <f aca="false">SUBSTITUTE(SUBSTITUTE(SUBSTITUTE(SUBSTITUTE(SUBSTITUTE(SUBSTITUTE(SUBSTITUTE(SUBSTITUTE(SUBSTITUTE(SUBSTITUTE(SUBSTITUTE(SUBSTITUTE(SUBSTITUTE(LOWER(V692&amp;""),CHAR(160),"")," ",""),".",""),"-",""),"/",""),"?",""),"_",""),",",""),"[",""),"]",""),"(",""),")",""),"*","")</f>
        <v/>
      </c>
      <c r="AW692" s="61" t="str">
        <f aca="false">SUBSTITUTE(SUBSTITUTE(SUBSTITUTE(SUBSTITUTE(SUBSTITUTE(SUBSTITUTE(SUBSTITUTE(SUBSTITUTE(SUBSTITUTE(SUBSTITUTE(SUBSTITUTE(SUBSTITUTE(SUBSTITUTE(LOWER(Z692&amp;""),CHAR(160),"")," ",""),".",""),"-",""),"/",""),"?",""),"_",""),",",""),"[",""),"]",""),"(",""),")",""),"*","")</f>
        <v/>
      </c>
      <c r="AX692" s="61" t="str">
        <f aca="false">SUBSTITUTE(SUBSTITUTE(SUBSTITUTE(SUBSTITUTE(SUBSTITUTE(SUBSTITUTE(SUBSTITUTE(SUBSTITUTE(SUBSTITUTE(SUBSTITUTE(SUBSTITUTE(SUBSTITUTE(SUBSTITUTE(LOWER(AE692&amp;""),CHAR(160),"")," ",""),".",""),"-",""),"/",""),"?",""),"_",""),",",""),"[",""),"]",""),"(",""),")",""),"*","")</f>
        <v/>
      </c>
      <c r="AY692" s="61" t="str">
        <f aca="false">SUBSTITUTE(SUBSTITUTE(SUBSTITUTE(SUBSTITUTE(SUBSTITUTE(SUBSTITUTE(SUBSTITUTE(SUBSTITUTE(SUBSTITUTE(SUBSTITUTE(SUBSTITUTE(SUBSTITUTE(SUBSTITUTE(LOWER(W692&amp;""),CHAR(160),"")," ",""),".",""),"-",""),"/",""),"?",""),"_",""),",",""),"[",""),"]",""),"(",""),")",""),"*","")</f>
        <v/>
      </c>
      <c r="AZ692" s="61" t="str">
        <f aca="false">SUBSTITUTE(SUBSTITUTE(SUBSTITUTE(SUBSTITUTE(SUBSTITUTE(SUBSTITUTE(SUBSTITUTE(SUBSTITUTE(SUBSTITUTE(SUBSTITUTE(SUBSTITUTE(SUBSTITUTE(SUBSTITUTE(LOWER(AC692&amp;""),CHAR(160),"")," ",""),".",""),"-",""),"/",""),"?",""),"_",""),",",""),"[",""),"]",""),"(",""),")",""),"*","")</f>
        <v/>
      </c>
      <c r="BA692" s="61" t="str">
        <f aca="false">SUBSTITUTE(SUBSTITUTE(SUBSTITUTE(SUBSTITUTE(SUBSTITUTE(SUBSTITUTE(SUBSTITUTE(SUBSTITUTE(SUBSTITUTE(SUBSTITUTE(SUBSTITUTE(SUBSTITUTE(SUBSTITUTE(LOWER(AA692&amp;""),CHAR(160),"")," ",""),".",""),"-",""),"/",""),"?",""),"_",""),",",""),"[",""),"]",""),"(",""),")",""),"*","")</f>
        <v/>
      </c>
      <c r="BB692" s="61" t="str">
        <f aca="false">IF(AND(TRIM(U692)="Pass",ISNUMBER(AF692)),IF(AF692&lt;&gt;0,"INVALID – qty variance: use Fail or Pass after CA",""),"")&amp;IF(AND(TRIM(U692)="Pass after CA",ISNUMBER(AF692)),IF(AF692&lt;&gt;0,"INVALID – after the corrective action the actual qty must equal expected (update Actual)",""),"")&amp;IF(AND(TRIM(U692)="Pass",TRIM(AB692)&lt;&gt;"",TRIM(AB692)&lt;&gt;"Closed"),"INVALID – corrective action not closed: use Fail, then Pass after CA","")&amp;IF(AND(TRIM(AA692)&lt;&gt;"",TRIM(AB692)=""),"INVALID – CA status missing for the recorded corrective action","")&amp;IF(AND(TRIM(U692)="Pass after CA",OR(OR(LEN(BA692)&lt;5,ISNUMBER(MATCH(BA692,L_Placeholder,0))),TRIM(AB692)&lt;&gt;"Closed")),"INVALID – corrective action not recorded/closed","")</f>
        <v/>
      </c>
    </row>
    <row r="693" customFormat="false" ht="78.75" hidden="false" customHeight="true" outlineLevel="0" collapsed="false">
      <c r="A693" s="57" t="s">
        <v>1403</v>
      </c>
      <c r="B693" s="57" t="s">
        <v>307</v>
      </c>
      <c r="C693" s="57" t="str">
        <f aca="false">Flights!$F$25</f>
        <v>MH1437</v>
      </c>
      <c r="D693" s="58" t="n">
        <f aca="false">Flights!$D$25</f>
        <v>46325</v>
      </c>
      <c r="E693" s="57" t="str">
        <f aca="false">Flights!$G$25&amp;"-"&amp;Flights!$H$25</f>
        <v>LGK-KUL</v>
      </c>
      <c r="F693" s="57" t="str">
        <f aca="false">Flights!$K$25</f>
        <v>BC</v>
      </c>
      <c r="G693" s="57" t="s">
        <v>437</v>
      </c>
      <c r="H693" s="57" t="s">
        <v>438</v>
      </c>
      <c r="I693" s="57" t="s">
        <v>389</v>
      </c>
      <c r="J693" s="57" t="s">
        <v>1404</v>
      </c>
      <c r="K693" s="67" t="s">
        <v>1405</v>
      </c>
      <c r="L693" s="67" t="s">
        <v>968</v>
      </c>
      <c r="M693" s="67"/>
      <c r="N693" s="67" t="s">
        <v>361</v>
      </c>
      <c r="O693" s="67" t="s">
        <v>969</v>
      </c>
      <c r="P693" s="57" t="s">
        <v>184</v>
      </c>
      <c r="Q693" s="59" t="n">
        <f aca="false">ROUND((Flights!$AY$25+UpliftWindowH/24)*1440,0)/1440</f>
        <v>46324.4375</v>
      </c>
      <c r="R693" s="59" t="n">
        <f aca="false">Q693+(IF(AND(INDEX(TZ_DSTS,MATCH(P693,TZ_STN,0))&lt;&gt;"",Q693&gt;=INDEX(TZ_DSTS,MATCH(P693,TZ_STN,0)),Q693&lt;INDEX(TZ_DSTE,MATCH(P693,TZ_STN,0))),INDEX(TZ_DST,MATCH(P693,TZ_STN,0)),INDEX(TZ_STD,MATCH(P693,TZ_STN,0))))/24</f>
        <v>46324.7708333333</v>
      </c>
      <c r="S693" s="59" t="n">
        <f aca="false">Q693-UpliftWindowH/24</f>
        <v>46324.1875</v>
      </c>
      <c r="T693" s="60"/>
      <c r="U693" s="60"/>
      <c r="V693" s="60"/>
      <c r="W693" s="61"/>
      <c r="X693" s="60"/>
      <c r="Y693" s="60"/>
      <c r="Z693" s="60"/>
      <c r="AA693" s="60"/>
      <c r="AB693" s="60"/>
      <c r="AC693" s="60"/>
      <c r="AD693" s="66"/>
      <c r="AE693" s="60"/>
      <c r="AF693" s="61" t="str">
        <f aca="false">IF(AND(ISNUMBER(X693),ISNUMBER(Y693)),Y693-X693,"")</f>
        <v/>
      </c>
      <c r="AG693" s="62" t="str">
        <f aca="false">IF(ISNUMBER(AD693),AD693-(IF(AND(INDEX(TZ_DSTS,MATCH(P693,TZ_STN,0))&lt;&gt;"",(AD693-INDEX(TZ_STD,MATCH(P693,TZ_STN,0))/24)&gt;=INDEX(TZ_DSTS,MATCH(P693,TZ_STN,0)),(AD693-INDEX(TZ_STD,MATCH(P693,TZ_STN,0))/24)&lt;INDEX(TZ_DSTE,MATCH(P693,TZ_STN,0))),INDEX(TZ_DST,MATCH(P693,TZ_STN,0)),INDEX(TZ_STD,MATCH(P693,TZ_STN,0))))/24,"")</f>
        <v/>
      </c>
      <c r="AH693" s="65" t="str">
        <f aca="false">IFERROR(IF(N693="N/A – rule","N/A – RULE",IF(TRIM(U693)="N/A",IF(AT693=0,"INVALID – N/A not permitted for this check",IF(AND(TRIM(AB693)&lt;&gt;"",TRIM(AB693)&lt;&gt;"Closed"),"INVALID – corrective action still open",IF(AND(NOT(OR(LEN(AZ693)&lt;15,ISNUMBER(MATCH(AZ693,L_Placeholder,0)))),NOT(OR(LEN(AU693)&lt;2,ISNUMBER(MATCH(AU693,L_Placeholder,0)))),NOT(OR(LEN(AX693)&lt;2,ISNUMBER(MATCH(AX693,L_Placeholder,0)))),TRIM(AE693)&lt;&gt;TRIM(T693)),"N/A – JUSTIFIED","INVALID – N/A needs a real justification (15+ chars), PIC and a different verifier"))),IF(OR(TRIM(U693)="Pass",TRIM(U693)="Pass after CA"),IF(NOT(ISNUMBER(AD693)),"INVALID – completion time missing",IF(OR(LEN(AU693)&lt;2,ISNUMBER(MATCH(AU693,L_Placeholder,0))),"INVALID – PIC missing",IF(OR(LEN(AV693)&lt;2,ISNUMBER(MATCH(AV693,L_Placeholder,0))),"INVALID – result / assessment missing",IF(OR(OR(LEN(AW693)&lt;3,ISNUMBER(MATCH(AW693,L_Placeholder,0))),SUMPRODUCT(--ISNUMBER(SEARCH(L_EvidencePhrase,AW693)))&gt;0),"INVALID – evidence missing, placeholder or not yet on file",IF(OR(LEN(AX693)&lt;2,ISNUMBER(MATCH(AX693,L_Placeholder,0))),"INVALID – verifier missing",IF(AX693=AU693,"INVALID – verifier must be someone other than the PIC",IF(AND(TRIM(U693)="Pass",SUMPRODUCT(--ISNUMBER(SEARCH(L_ResultBad,AV693)))&gt;0),"INVALID – result describes a problem: use Fail, then Pass after CA",IF(AND(AQ693=1,OR(LEN(AY693)&lt;3,ISNUMBER(MATCH(AY693,L_Placeholder,0)))),"INVALID – batch ID missing or placeholder",IF(AND(AR693=1,OR(NOT(ISNUMBER(X693)),NOT(ISNUMBER(Y693)))),"INVALID – expected/actual qty missing",IF(AND(AR693=1,OR(X693&lt;=0,Y693&lt;0)),"INVALID – expected qty must be above 0 and actual not negative",IF(BB693&lt;&gt;"",BB693,IF(AND(AS693=1,Documents!$J$25&lt;&gt;"ON FILE"),"INVALID – GLD not on file (Documents sheet)",IF(AND(AS693=2,Documents!$O$25&lt;&gt;"ON FILE"),"INVALID – menu checklist not on file (Documents sheet)",IF(AND(AS693=3,NOT(ISNUMBER(Flights!$AX$25))),"INVALID – enter carrying flight KUL departure (Flights AX)",IF(AND(AS693=3,OR(Flights!$AZ$25&gt;Flights!$AA$25,Flights!$AX$25&lt;Flights!$AA$25-3)),"INVALID – carrying flight (Flights AX) cannot arrive before this leg's STD, or is over 3 days early",IF(AG693&gt;AsOfUTC,"INVALID – completion time is in the future",IF(AND(ISNUMBER(S693),AG693&lt;S693),IF(H693="Physical uplift","INVALID – before uplift window (cannot confirm loading)","INVALID – before valid window"),IF(AG693&gt;Flights!$AA$25,"INVALID – completed after departure (cannot establish readiness)",IF(AND(H693="Preparation",AG693&gt;Flights!$AY$25+UpliftWindowH/24),"INVALID – completed after the carrying flight left KUL",IF(AND(H693="Physical uplift",AG693&gt;Q693),"INVALID – recorded after the loading flight departed",IF(AG693&gt;Q693,"COMPLETE – LATE","COMPLETE"))))))))))))))))))))),IF(TRIM(U693)="Fail","FAIL – DISCREPANCY",IF(AND(TRIM(U693)&lt;&gt;"",TRIM(U693)&lt;&gt;"Not started",TRIM(U693)&lt;&gt;"In progress"),"INVALID – unrecognised status (use the list)",IF(AsOfUTC&gt;Q693,"OVERDUE",IF(N693="Clarification required","OPEN – CLARIFICATION","OPEN"))))))),"INVALID – error value in an input cell")</f>
        <v>OPEN</v>
      </c>
      <c r="AI693" s="61" t="n">
        <f aca="false">IF(OR(AH693="N/A – RULE",AH693="N/A – JUSTIFIED"),0,1)</f>
        <v>1</v>
      </c>
      <c r="AJ693" s="61" t="n">
        <f aca="false">IF(LEFT(AH693,8)="COMPLETE",1,0)</f>
        <v>0</v>
      </c>
      <c r="AK693" s="61" t="n">
        <f aca="false">IF(AND(AI693=1,AJ693=0,AsOfUTC&gt;Q693),1,0)</f>
        <v>0</v>
      </c>
      <c r="AL693" s="61" t="n">
        <f aca="false">IFERROR(IF(AND(AI693=1,OR(TRIM(U693)="Fail",AND(TRIM(AB693)&lt;&gt;"",TRIM(AB693)&lt;&gt;"Closed"),AND(ISNUMBER(AF693),AF693&lt;&gt;0,TRIM(U693)&lt;&gt;"Pass after CA"))),1,0),1)</f>
        <v>0</v>
      </c>
      <c r="AM693" s="61" t="n">
        <f aca="false">IF(LEFT(AH693,7)="INVALID",1,0)</f>
        <v>0</v>
      </c>
      <c r="AN693" s="61" t="n">
        <f aca="false">IF(AND(N693="Clarification required",AI693=1,AJ693=0),1,0)</f>
        <v>0</v>
      </c>
      <c r="AO693" s="61" t="str">
        <f aca="false">IF(AK693=1,SUM(AK$5:AK693),"")</f>
        <v/>
      </c>
      <c r="AP693" s="61" t="str">
        <f aca="false">IF(AL693=1,SUM(AL$5:AL693),"")</f>
        <v/>
      </c>
      <c r="AQ693" s="61" t="n">
        <v>0</v>
      </c>
      <c r="AR693" s="61" t="n">
        <v>0</v>
      </c>
      <c r="AS693" s="61" t="n">
        <v>0</v>
      </c>
      <c r="AT693" s="61" t="n">
        <v>0</v>
      </c>
      <c r="AU693" s="61" t="str">
        <f aca="false">SUBSTITUTE(SUBSTITUTE(SUBSTITUTE(SUBSTITUTE(SUBSTITUTE(SUBSTITUTE(SUBSTITUTE(SUBSTITUTE(SUBSTITUTE(SUBSTITUTE(SUBSTITUTE(SUBSTITUTE(SUBSTITUTE(LOWER(T693&amp;""),CHAR(160),"")," ",""),".",""),"-",""),"/",""),"?",""),"_",""),",",""),"[",""),"]",""),"(",""),")",""),"*","")</f>
        <v/>
      </c>
      <c r="AV693" s="61" t="str">
        <f aca="false">SUBSTITUTE(SUBSTITUTE(SUBSTITUTE(SUBSTITUTE(SUBSTITUTE(SUBSTITUTE(SUBSTITUTE(SUBSTITUTE(SUBSTITUTE(SUBSTITUTE(SUBSTITUTE(SUBSTITUTE(SUBSTITUTE(LOWER(V693&amp;""),CHAR(160),"")," ",""),".",""),"-",""),"/",""),"?",""),"_",""),",",""),"[",""),"]",""),"(",""),")",""),"*","")</f>
        <v/>
      </c>
      <c r="AW693" s="61" t="str">
        <f aca="false">SUBSTITUTE(SUBSTITUTE(SUBSTITUTE(SUBSTITUTE(SUBSTITUTE(SUBSTITUTE(SUBSTITUTE(SUBSTITUTE(SUBSTITUTE(SUBSTITUTE(SUBSTITUTE(SUBSTITUTE(SUBSTITUTE(LOWER(Z693&amp;""),CHAR(160),"")," ",""),".",""),"-",""),"/",""),"?",""),"_",""),",",""),"[",""),"]",""),"(",""),")",""),"*","")</f>
        <v/>
      </c>
      <c r="AX693" s="61" t="str">
        <f aca="false">SUBSTITUTE(SUBSTITUTE(SUBSTITUTE(SUBSTITUTE(SUBSTITUTE(SUBSTITUTE(SUBSTITUTE(SUBSTITUTE(SUBSTITUTE(SUBSTITUTE(SUBSTITUTE(SUBSTITUTE(SUBSTITUTE(LOWER(AE693&amp;""),CHAR(160),"")," ",""),".",""),"-",""),"/",""),"?",""),"_",""),",",""),"[",""),"]",""),"(",""),")",""),"*","")</f>
        <v/>
      </c>
      <c r="AY693" s="61" t="str">
        <f aca="false">SUBSTITUTE(SUBSTITUTE(SUBSTITUTE(SUBSTITUTE(SUBSTITUTE(SUBSTITUTE(SUBSTITUTE(SUBSTITUTE(SUBSTITUTE(SUBSTITUTE(SUBSTITUTE(SUBSTITUTE(SUBSTITUTE(LOWER(W693&amp;""),CHAR(160),"")," ",""),".",""),"-",""),"/",""),"?",""),"_",""),",",""),"[",""),"]",""),"(",""),")",""),"*","")</f>
        <v/>
      </c>
      <c r="AZ693" s="61" t="str">
        <f aca="false">SUBSTITUTE(SUBSTITUTE(SUBSTITUTE(SUBSTITUTE(SUBSTITUTE(SUBSTITUTE(SUBSTITUTE(SUBSTITUTE(SUBSTITUTE(SUBSTITUTE(SUBSTITUTE(SUBSTITUTE(SUBSTITUTE(LOWER(AC693&amp;""),CHAR(160),"")," ",""),".",""),"-",""),"/",""),"?",""),"_",""),",",""),"[",""),"]",""),"(",""),")",""),"*","")</f>
        <v/>
      </c>
      <c r="BA693" s="61" t="str">
        <f aca="false">SUBSTITUTE(SUBSTITUTE(SUBSTITUTE(SUBSTITUTE(SUBSTITUTE(SUBSTITUTE(SUBSTITUTE(SUBSTITUTE(SUBSTITUTE(SUBSTITUTE(SUBSTITUTE(SUBSTITUTE(SUBSTITUTE(LOWER(AA693&amp;""),CHAR(160),"")," ",""),".",""),"-",""),"/",""),"?",""),"_",""),",",""),"[",""),"]",""),"(",""),")",""),"*","")</f>
        <v/>
      </c>
      <c r="BB693" s="61" t="str">
        <f aca="false">IF(AND(TRIM(U693)="Pass",ISNUMBER(AF693)),IF(AF693&lt;&gt;0,"INVALID – qty variance: use Fail or Pass after CA",""),"")&amp;IF(AND(TRIM(U693)="Pass after CA",ISNUMBER(AF693)),IF(AF693&lt;&gt;0,"INVALID – after the corrective action the actual qty must equal expected (update Actual)",""),"")&amp;IF(AND(TRIM(U693)="Pass",TRIM(AB693)&lt;&gt;"",TRIM(AB693)&lt;&gt;"Closed"),"INVALID – corrective action not closed: use Fail, then Pass after CA","")&amp;IF(AND(TRIM(AA693)&lt;&gt;"",TRIM(AB693)=""),"INVALID – CA status missing for the recorded corrective action","")&amp;IF(AND(TRIM(U693)="Pass after CA",OR(OR(LEN(BA693)&lt;5,ISNUMBER(MATCH(BA693,L_Placeholder,0))),TRIM(AB693)&lt;&gt;"Closed")),"INVALID – corrective action not recorded/closed","")</f>
        <v/>
      </c>
    </row>
    <row r="694" customFormat="false" ht="41.25" hidden="false" customHeight="true" outlineLevel="0" collapsed="false">
      <c r="A694" s="57" t="s">
        <v>1406</v>
      </c>
      <c r="B694" s="57" t="s">
        <v>307</v>
      </c>
      <c r="C694" s="57" t="str">
        <f aca="false">Flights!$F$25</f>
        <v>MH1437</v>
      </c>
      <c r="D694" s="58" t="n">
        <f aca="false">Flights!$D$25</f>
        <v>46325</v>
      </c>
      <c r="E694" s="57" t="str">
        <f aca="false">Flights!$G$25&amp;"-"&amp;Flights!$H$25</f>
        <v>LGK-KUL</v>
      </c>
      <c r="F694" s="57" t="str">
        <f aca="false">Flights!$K$25</f>
        <v>BC</v>
      </c>
      <c r="G694" s="57" t="s">
        <v>437</v>
      </c>
      <c r="H694" s="57" t="s">
        <v>438</v>
      </c>
      <c r="I694" s="57" t="s">
        <v>418</v>
      </c>
      <c r="J694" s="57" t="s">
        <v>512</v>
      </c>
      <c r="K694" s="67" t="s">
        <v>473</v>
      </c>
      <c r="L694" s="67" t="s">
        <v>1384</v>
      </c>
      <c r="M694" s="67" t="s">
        <v>429</v>
      </c>
      <c r="N694" s="67" t="s">
        <v>361</v>
      </c>
      <c r="O694" s="67" t="s">
        <v>513</v>
      </c>
      <c r="P694" s="57" t="s">
        <v>303</v>
      </c>
      <c r="Q694" s="59" t="n">
        <f aca="false">ROUND((Flights!$AF$25)*1440,0)/1440</f>
        <v>46325.28125</v>
      </c>
      <c r="R694" s="59" t="n">
        <f aca="false">Q694+(IF(AND(INDEX(TZ_DSTS,MATCH(P694,TZ_STN,0))&lt;&gt;"",Q694&gt;=INDEX(TZ_DSTS,MATCH(P694,TZ_STN,0)),Q694&lt;INDEX(TZ_DSTE,MATCH(P694,TZ_STN,0))),INDEX(TZ_DST,MATCH(P694,TZ_STN,0)),INDEX(TZ_STD,MATCH(P694,TZ_STN,0))))/24</f>
        <v>46325.6145833333</v>
      </c>
      <c r="S694" s="59" t="n">
        <f aca="false">IF(ISNUMBER(Flights!$AZ$25),MAX(Q694-UpliftWindowH/24,Flights!$AZ$25),Q694-UpliftWindowH/24)</f>
        <v>46325.03125</v>
      </c>
      <c r="T694" s="60"/>
      <c r="U694" s="60"/>
      <c r="V694" s="60"/>
      <c r="W694" s="61"/>
      <c r="X694" s="60"/>
      <c r="Y694" s="60"/>
      <c r="Z694" s="60"/>
      <c r="AA694" s="60"/>
      <c r="AB694" s="60"/>
      <c r="AC694" s="60"/>
      <c r="AD694" s="66"/>
      <c r="AE694" s="60"/>
      <c r="AF694" s="61" t="str">
        <f aca="false">IF(AND(ISNUMBER(X694),ISNUMBER(Y694)),Y694-X694,"")</f>
        <v/>
      </c>
      <c r="AG694" s="62" t="str">
        <f aca="false">IF(ISNUMBER(AD694),AD694-(IF(AND(INDEX(TZ_DSTS,MATCH(P694,TZ_STN,0))&lt;&gt;"",(AD694-INDEX(TZ_STD,MATCH(P694,TZ_STN,0))/24)&gt;=INDEX(TZ_DSTS,MATCH(P694,TZ_STN,0)),(AD694-INDEX(TZ_STD,MATCH(P694,TZ_STN,0))/24)&lt;INDEX(TZ_DSTE,MATCH(P694,TZ_STN,0))),INDEX(TZ_DST,MATCH(P694,TZ_STN,0)),INDEX(TZ_STD,MATCH(P694,TZ_STN,0))))/24,"")</f>
        <v/>
      </c>
      <c r="AH694" s="65" t="str">
        <f aca="false">IFERROR(IF(N694="N/A – rule","N/A – RULE",IF(TRIM(U694)="N/A",IF(AT694=0,"INVALID – N/A not permitted for this check",IF(AND(TRIM(AB694)&lt;&gt;"",TRIM(AB694)&lt;&gt;"Closed"),"INVALID – corrective action still open",IF(AND(NOT(OR(LEN(AZ694)&lt;15,ISNUMBER(MATCH(AZ694,L_Placeholder,0)))),NOT(OR(LEN(AU694)&lt;2,ISNUMBER(MATCH(AU694,L_Placeholder,0)))),NOT(OR(LEN(AX694)&lt;2,ISNUMBER(MATCH(AX694,L_Placeholder,0)))),TRIM(AE694)&lt;&gt;TRIM(T694)),"N/A – JUSTIFIED","INVALID – N/A needs a real justification (15+ chars), PIC and a different verifier"))),IF(OR(TRIM(U694)="Pass",TRIM(U694)="Pass after CA"),IF(NOT(ISNUMBER(AD694)),"INVALID – completion time missing",IF(OR(LEN(AU694)&lt;2,ISNUMBER(MATCH(AU694,L_Placeholder,0))),"INVALID – PIC missing",IF(OR(LEN(AV694)&lt;2,ISNUMBER(MATCH(AV694,L_Placeholder,0))),"INVALID – result / assessment missing",IF(OR(OR(LEN(AW694)&lt;3,ISNUMBER(MATCH(AW694,L_Placeholder,0))),SUMPRODUCT(--ISNUMBER(SEARCH(L_EvidencePhrase,AW694)))&gt;0),"INVALID – evidence missing, placeholder or not yet on file",IF(OR(LEN(AX694)&lt;2,ISNUMBER(MATCH(AX694,L_Placeholder,0))),"INVALID – verifier missing",IF(AX694=AU694,"INVALID – verifier must be someone other than the PIC",IF(AND(TRIM(U694)="Pass",SUMPRODUCT(--ISNUMBER(SEARCH(L_ResultBad,AV694)))&gt;0),"INVALID – result describes a problem: use Fail, then Pass after CA",IF(AND(AQ694=1,OR(LEN(AY694)&lt;3,ISNUMBER(MATCH(AY694,L_Placeholder,0)))),"INVALID – batch ID missing or placeholder",IF(AND(AR694=1,OR(NOT(ISNUMBER(X694)),NOT(ISNUMBER(Y694)))),"INVALID – expected/actual qty missing",IF(AND(AR694=1,OR(X694&lt;=0,Y694&lt;0)),"INVALID – expected qty must be above 0 and actual not negative",IF(AH683="N/A – JUSTIFIED","INVALID – preparation row F21-T12-08 is N/A",IF(AND(AR694=1,ISNUMBER(X683),X694&lt;&gt;X683),"INVALID – expected qty differs from preparation check F21-T12-08",IF(BB694&lt;&gt;"",BB694,IF(AND(AS694=1,Documents!$J$25&lt;&gt;"ON FILE"),"INVALID – GLD not on file (Documents sheet)",IF(AND(AS694=2,Documents!$O$25&lt;&gt;"ON FILE"),"INVALID – menu checklist not on file (Documents sheet)",IF(AND(AS694=3,NOT(ISNUMBER(Flights!$AX$25))),"INVALID – enter carrying flight KUL departure (Flights AX)",IF(AND(AS694=3,OR(Flights!$AZ$25&gt;Flights!$AA$25,Flights!$AX$25&lt;Flights!$AA$25-3)),"INVALID – carrying flight (Flights AX) cannot arrive before this leg's STD, or is over 3 days early",IF(AG694&gt;AsOfUTC,"INVALID – completion time is in the future",IF(AND(ISNUMBER(S694),AG694&lt;S694),IF(H694="Physical uplift","INVALID – before uplift window (cannot confirm loading)","INVALID – before valid window"),IF(AG694&gt;Flights!$AA$25,"INVALID – completed after departure (cannot establish readiness)",IF(AND(H694="Preparation",AG694&gt;IF(ISNUMBER(Flights!$BA$25),MIN(Flights!$BA$25,Flights!$AA$25),Flights!$AA$25)),"INVALID – completed after loading / departure (cannot establish readiness)",IF(AND(H694="Physical uplift",AG694&gt;Q694),"INVALID – recorded after the loading flight departed",IF(AG694&gt;Q694,"COMPLETE – LATE","COMPLETE"))))))))))))))))))))))),IF(TRIM(U694)="Fail","FAIL – DISCREPANCY",IF(AND(TRIM(U694)&lt;&gt;"",TRIM(U694)&lt;&gt;"Not started",TRIM(U694)&lt;&gt;"In progress"),"INVALID – unrecognised status (use the list)",IF(AsOfUTC&gt;Q694,"OVERDUE",IF(N694="Clarification required","OPEN – CLARIFICATION","OPEN"))))))),"INVALID – error value in an input cell")</f>
        <v>OPEN</v>
      </c>
      <c r="AI694" s="61" t="n">
        <f aca="false">IF(OR(AH694="N/A – RULE",AH694="N/A – JUSTIFIED"),0,1)</f>
        <v>1</v>
      </c>
      <c r="AJ694" s="61" t="n">
        <f aca="false">IF(LEFT(AH694,8)="COMPLETE",1,0)</f>
        <v>0</v>
      </c>
      <c r="AK694" s="61" t="n">
        <f aca="false">IF(AND(AI694=1,AJ694=0,AsOfUTC&gt;Q694),1,0)</f>
        <v>0</v>
      </c>
      <c r="AL694" s="61" t="n">
        <f aca="false">IFERROR(IF(AND(AI694=1,OR(TRIM(U694)="Fail",AND(TRIM(AB694)&lt;&gt;"",TRIM(AB694)&lt;&gt;"Closed"),AND(ISNUMBER(AF694),AF694&lt;&gt;0,TRIM(U694)&lt;&gt;"Pass after CA"))),1,0),1)</f>
        <v>0</v>
      </c>
      <c r="AM694" s="61" t="n">
        <f aca="false">IF(LEFT(AH694,7)="INVALID",1,0)</f>
        <v>0</v>
      </c>
      <c r="AN694" s="61" t="n">
        <f aca="false">IF(AND(N694="Clarification required",AI694=1,AJ694=0),1,0)</f>
        <v>0</v>
      </c>
      <c r="AO694" s="61" t="str">
        <f aca="false">IF(AK694=1,SUM(AK$5:AK694),"")</f>
        <v/>
      </c>
      <c r="AP694" s="61" t="str">
        <f aca="false">IF(AL694=1,SUM(AL$5:AL694),"")</f>
        <v/>
      </c>
      <c r="AQ694" s="61" t="n">
        <v>0</v>
      </c>
      <c r="AR694" s="61" t="n">
        <v>0</v>
      </c>
      <c r="AS694" s="61" t="n">
        <v>0</v>
      </c>
      <c r="AT694" s="61" t="n">
        <v>0</v>
      </c>
      <c r="AU694" s="61" t="str">
        <f aca="false">SUBSTITUTE(SUBSTITUTE(SUBSTITUTE(SUBSTITUTE(SUBSTITUTE(SUBSTITUTE(SUBSTITUTE(SUBSTITUTE(SUBSTITUTE(SUBSTITUTE(SUBSTITUTE(SUBSTITUTE(SUBSTITUTE(LOWER(T694&amp;""),CHAR(160),"")," ",""),".",""),"-",""),"/",""),"?",""),"_",""),",",""),"[",""),"]",""),"(",""),")",""),"*","")</f>
        <v/>
      </c>
      <c r="AV694" s="61" t="str">
        <f aca="false">SUBSTITUTE(SUBSTITUTE(SUBSTITUTE(SUBSTITUTE(SUBSTITUTE(SUBSTITUTE(SUBSTITUTE(SUBSTITUTE(SUBSTITUTE(SUBSTITUTE(SUBSTITUTE(SUBSTITUTE(SUBSTITUTE(LOWER(V694&amp;""),CHAR(160),"")," ",""),".",""),"-",""),"/",""),"?",""),"_",""),",",""),"[",""),"]",""),"(",""),")",""),"*","")</f>
        <v/>
      </c>
      <c r="AW694" s="61" t="str">
        <f aca="false">SUBSTITUTE(SUBSTITUTE(SUBSTITUTE(SUBSTITUTE(SUBSTITUTE(SUBSTITUTE(SUBSTITUTE(SUBSTITUTE(SUBSTITUTE(SUBSTITUTE(SUBSTITUTE(SUBSTITUTE(SUBSTITUTE(LOWER(Z694&amp;""),CHAR(160),"")," ",""),".",""),"-",""),"/",""),"?",""),"_",""),",",""),"[",""),"]",""),"(",""),")",""),"*","")</f>
        <v/>
      </c>
      <c r="AX694" s="61" t="str">
        <f aca="false">SUBSTITUTE(SUBSTITUTE(SUBSTITUTE(SUBSTITUTE(SUBSTITUTE(SUBSTITUTE(SUBSTITUTE(SUBSTITUTE(SUBSTITUTE(SUBSTITUTE(SUBSTITUTE(SUBSTITUTE(SUBSTITUTE(LOWER(AE694&amp;""),CHAR(160),"")," ",""),".",""),"-",""),"/",""),"?",""),"_",""),",",""),"[",""),"]",""),"(",""),")",""),"*","")</f>
        <v/>
      </c>
      <c r="AY694" s="61" t="str">
        <f aca="false">SUBSTITUTE(SUBSTITUTE(SUBSTITUTE(SUBSTITUTE(SUBSTITUTE(SUBSTITUTE(SUBSTITUTE(SUBSTITUTE(SUBSTITUTE(SUBSTITUTE(SUBSTITUTE(SUBSTITUTE(SUBSTITUTE(LOWER(W694&amp;""),CHAR(160),"")," ",""),".",""),"-",""),"/",""),"?",""),"_",""),",",""),"[",""),"]",""),"(",""),")",""),"*","")</f>
        <v/>
      </c>
      <c r="AZ694" s="61" t="str">
        <f aca="false">SUBSTITUTE(SUBSTITUTE(SUBSTITUTE(SUBSTITUTE(SUBSTITUTE(SUBSTITUTE(SUBSTITUTE(SUBSTITUTE(SUBSTITUTE(SUBSTITUTE(SUBSTITUTE(SUBSTITUTE(SUBSTITUTE(LOWER(AC694&amp;""),CHAR(160),"")," ",""),".",""),"-",""),"/",""),"?",""),"_",""),",",""),"[",""),"]",""),"(",""),")",""),"*","")</f>
        <v/>
      </c>
      <c r="BA694" s="61" t="str">
        <f aca="false">SUBSTITUTE(SUBSTITUTE(SUBSTITUTE(SUBSTITUTE(SUBSTITUTE(SUBSTITUTE(SUBSTITUTE(SUBSTITUTE(SUBSTITUTE(SUBSTITUTE(SUBSTITUTE(SUBSTITUTE(SUBSTITUTE(LOWER(AA694&amp;""),CHAR(160),"")," ",""),".",""),"-",""),"/",""),"?",""),"_",""),",",""),"[",""),"]",""),"(",""),")",""),"*","")</f>
        <v/>
      </c>
      <c r="BB694" s="61" t="str">
        <f aca="false">IF(AND(TRIM(U694)="Pass",ISNUMBER(AF694)),IF(AF694&lt;&gt;0,"INVALID – qty variance: use Fail or Pass after CA",""),"")&amp;IF(AND(TRIM(U694)="Pass after CA",ISNUMBER(AF694)),IF(AF694&lt;&gt;0,"INVALID – after the corrective action the actual qty must equal expected (update Actual)",""),"")&amp;IF(AND(TRIM(U694)="Pass",TRIM(AB694)&lt;&gt;"",TRIM(AB694)&lt;&gt;"Closed"),"INVALID – corrective action not closed: use Fail, then Pass after CA","")&amp;IF(AND(TRIM(AA694)&lt;&gt;"",TRIM(AB694)=""),"INVALID – CA status missing for the recorded corrective action","")&amp;IF(AND(TRIM(U694)="Pass after CA",OR(OR(LEN(BA694)&lt;5,ISNUMBER(MATCH(BA694,L_Placeholder,0))),TRIM(AB694)&lt;&gt;"Closed")),"INVALID – corrective action not recorded/closed","")</f>
        <v/>
      </c>
    </row>
    <row r="695" customFormat="false" ht="39.75" hidden="false" customHeight="true" outlineLevel="0" collapsed="false">
      <c r="A695" s="57" t="s">
        <v>1407</v>
      </c>
      <c r="B695" s="57" t="s">
        <v>307</v>
      </c>
      <c r="C695" s="57" t="str">
        <f aca="false">Flights!$F$25</f>
        <v>MH1437</v>
      </c>
      <c r="D695" s="58" t="n">
        <f aca="false">Flights!$D$25</f>
        <v>46325</v>
      </c>
      <c r="E695" s="57" t="str">
        <f aca="false">Flights!$G$25&amp;"-"&amp;Flights!$H$25</f>
        <v>LGK-KUL</v>
      </c>
      <c r="F695" s="57" t="str">
        <f aca="false">Flights!$K$25</f>
        <v>BC</v>
      </c>
      <c r="G695" s="57" t="s">
        <v>437</v>
      </c>
      <c r="H695" s="57" t="s">
        <v>438</v>
      </c>
      <c r="I695" s="57" t="s">
        <v>477</v>
      </c>
      <c r="J695" s="57" t="s">
        <v>515</v>
      </c>
      <c r="K695" s="67" t="s">
        <v>479</v>
      </c>
      <c r="L695" s="67" t="s">
        <v>1387</v>
      </c>
      <c r="M695" s="67" t="s">
        <v>429</v>
      </c>
      <c r="N695" s="67" t="s">
        <v>361</v>
      </c>
      <c r="O695" s="67"/>
      <c r="P695" s="57" t="s">
        <v>303</v>
      </c>
      <c r="Q695" s="59" t="n">
        <f aca="false">ROUND((Flights!$AF$25)*1440,0)/1440</f>
        <v>46325.28125</v>
      </c>
      <c r="R695" s="59" t="n">
        <f aca="false">Q695+(IF(AND(INDEX(TZ_DSTS,MATCH(P695,TZ_STN,0))&lt;&gt;"",Q695&gt;=INDEX(TZ_DSTS,MATCH(P695,TZ_STN,0)),Q695&lt;INDEX(TZ_DSTE,MATCH(P695,TZ_STN,0))),INDEX(TZ_DST,MATCH(P695,TZ_STN,0)),INDEX(TZ_STD,MATCH(P695,TZ_STN,0))))/24</f>
        <v>46325.6145833333</v>
      </c>
      <c r="S695" s="59" t="n">
        <f aca="false">IF(ISNUMBER(Flights!$AZ$25),MAX(Q695-UpliftWindowH/24,Flights!$AZ$25),Q695-UpliftWindowH/24)</f>
        <v>46325.03125</v>
      </c>
      <c r="T695" s="60"/>
      <c r="U695" s="60"/>
      <c r="V695" s="60"/>
      <c r="W695" s="61"/>
      <c r="X695" s="60"/>
      <c r="Y695" s="60"/>
      <c r="Z695" s="60"/>
      <c r="AA695" s="60"/>
      <c r="AB695" s="60"/>
      <c r="AC695" s="60"/>
      <c r="AD695" s="66"/>
      <c r="AE695" s="60"/>
      <c r="AF695" s="61" t="str">
        <f aca="false">IF(AND(ISNUMBER(X695),ISNUMBER(Y695)),Y695-X695,"")</f>
        <v/>
      </c>
      <c r="AG695" s="62" t="str">
        <f aca="false">IF(ISNUMBER(AD695),AD695-(IF(AND(INDEX(TZ_DSTS,MATCH(P695,TZ_STN,0))&lt;&gt;"",(AD695-INDEX(TZ_STD,MATCH(P695,TZ_STN,0))/24)&gt;=INDEX(TZ_DSTS,MATCH(P695,TZ_STN,0)),(AD695-INDEX(TZ_STD,MATCH(P695,TZ_STN,0))/24)&lt;INDEX(TZ_DSTE,MATCH(P695,TZ_STN,0))),INDEX(TZ_DST,MATCH(P695,TZ_STN,0)),INDEX(TZ_STD,MATCH(P695,TZ_STN,0))))/24,"")</f>
        <v/>
      </c>
      <c r="AH695" s="65" t="str">
        <f aca="false">IFERROR(IF(N695="N/A – rule","N/A – RULE",IF(TRIM(U695)="N/A",IF(AT695=0,"INVALID – N/A not permitted for this check",IF(AND(TRIM(AB695)&lt;&gt;"",TRIM(AB695)&lt;&gt;"Closed"),"INVALID – corrective action still open",IF(AND(NOT(OR(LEN(AZ695)&lt;15,ISNUMBER(MATCH(AZ695,L_Placeholder,0)))),NOT(OR(LEN(AU695)&lt;2,ISNUMBER(MATCH(AU695,L_Placeholder,0)))),NOT(OR(LEN(AX695)&lt;2,ISNUMBER(MATCH(AX695,L_Placeholder,0)))),TRIM(AE695)&lt;&gt;TRIM(T695)),"N/A – JUSTIFIED","INVALID – N/A needs a real justification (15+ chars), PIC and a different verifier"))),IF(OR(TRIM(U695)="Pass",TRIM(U695)="Pass after CA"),IF(NOT(ISNUMBER(AD695)),"INVALID – completion time missing",IF(OR(LEN(AU695)&lt;2,ISNUMBER(MATCH(AU695,L_Placeholder,0))),"INVALID – PIC missing",IF(OR(LEN(AV695)&lt;2,ISNUMBER(MATCH(AV695,L_Placeholder,0))),"INVALID – result / assessment missing",IF(OR(OR(LEN(AW695)&lt;3,ISNUMBER(MATCH(AW695,L_Placeholder,0))),SUMPRODUCT(--ISNUMBER(SEARCH(L_EvidencePhrase,AW695)))&gt;0),"INVALID – evidence missing, placeholder or not yet on file",IF(OR(LEN(AX695)&lt;2,ISNUMBER(MATCH(AX695,L_Placeholder,0))),"INVALID – verifier missing",IF(AX695=AU695,"INVALID – verifier must be someone other than the PIC",IF(AND(TRIM(U695)="Pass",SUMPRODUCT(--ISNUMBER(SEARCH(L_ResultBad,AV695)))&gt;0),"INVALID – result describes a problem: use Fail, then Pass after CA",IF(AND(AQ695=1,OR(LEN(AY695)&lt;3,ISNUMBER(MATCH(AY695,L_Placeholder,0)))),"INVALID – batch ID missing or placeholder",IF(AND(AR695=1,OR(NOT(ISNUMBER(X695)),NOT(ISNUMBER(Y695)))),"INVALID – expected/actual qty missing",IF(AND(AR695=1,OR(X695&lt;=0,Y695&lt;0)),"INVALID – expected qty must be above 0 and actual not negative",IF(AH684="N/A – JUSTIFIED","INVALID – preparation row F21-T12-09 is N/A",IF(AND(AR695=1,ISNUMBER(X684),X695&lt;&gt;X684),"INVALID – expected qty differs from preparation check F21-T12-09",IF(BB695&lt;&gt;"",BB695,IF(AND(AS695=1,Documents!$J$25&lt;&gt;"ON FILE"),"INVALID – GLD not on file (Documents sheet)",IF(AND(AS695=2,Documents!$O$25&lt;&gt;"ON FILE"),"INVALID – menu checklist not on file (Documents sheet)",IF(AND(AS695=3,NOT(ISNUMBER(Flights!$AX$25))),"INVALID – enter carrying flight KUL departure (Flights AX)",IF(AND(AS695=3,OR(Flights!$AZ$25&gt;Flights!$AA$25,Flights!$AX$25&lt;Flights!$AA$25-3)),"INVALID – carrying flight (Flights AX) cannot arrive before this leg's STD, or is over 3 days early",IF(AG695&gt;AsOfUTC,"INVALID – completion time is in the future",IF(AND(ISNUMBER(S695),AG695&lt;S695),IF(H695="Physical uplift","INVALID – before uplift window (cannot confirm loading)","INVALID – before valid window"),IF(AG695&gt;Flights!$AA$25,"INVALID – completed after departure (cannot establish readiness)",IF(AND(H695="Preparation",AG695&gt;IF(ISNUMBER(Flights!$BA$25),MIN(Flights!$BA$25,Flights!$AA$25),Flights!$AA$25)),"INVALID – completed after loading / departure (cannot establish readiness)",IF(AND(H695="Physical uplift",AG695&gt;Q695),"INVALID – recorded after the loading flight departed",IF(AG695&gt;Q695,"COMPLETE – LATE","COMPLETE"))))))))))))))))))))))),IF(TRIM(U695)="Fail","FAIL – DISCREPANCY",IF(AND(TRIM(U695)&lt;&gt;"",TRIM(U695)&lt;&gt;"Not started",TRIM(U695)&lt;&gt;"In progress"),"INVALID – unrecognised status (use the list)",IF(AsOfUTC&gt;Q695,"OVERDUE",IF(N695="Clarification required","OPEN – CLARIFICATION","OPEN"))))))),"INVALID – error value in an input cell")</f>
        <v>OPEN</v>
      </c>
      <c r="AI695" s="61" t="n">
        <f aca="false">IF(OR(AH695="N/A – RULE",AH695="N/A – JUSTIFIED"),0,1)</f>
        <v>1</v>
      </c>
      <c r="AJ695" s="61" t="n">
        <f aca="false">IF(LEFT(AH695,8)="COMPLETE",1,0)</f>
        <v>0</v>
      </c>
      <c r="AK695" s="61" t="n">
        <f aca="false">IF(AND(AI695=1,AJ695=0,AsOfUTC&gt;Q695),1,0)</f>
        <v>0</v>
      </c>
      <c r="AL695" s="61" t="n">
        <f aca="false">IFERROR(IF(AND(AI695=1,OR(TRIM(U695)="Fail",AND(TRIM(AB695)&lt;&gt;"",TRIM(AB695)&lt;&gt;"Closed"),AND(ISNUMBER(AF695),AF695&lt;&gt;0,TRIM(U695)&lt;&gt;"Pass after CA"))),1,0),1)</f>
        <v>0</v>
      </c>
      <c r="AM695" s="61" t="n">
        <f aca="false">IF(LEFT(AH695,7)="INVALID",1,0)</f>
        <v>0</v>
      </c>
      <c r="AN695" s="61" t="n">
        <f aca="false">IF(AND(N695="Clarification required",AI695=1,AJ695=0),1,0)</f>
        <v>0</v>
      </c>
      <c r="AO695" s="61" t="str">
        <f aca="false">IF(AK695=1,SUM(AK$5:AK695),"")</f>
        <v/>
      </c>
      <c r="AP695" s="61" t="str">
        <f aca="false">IF(AL695=1,SUM(AL$5:AL695),"")</f>
        <v/>
      </c>
      <c r="AQ695" s="61" t="n">
        <v>0</v>
      </c>
      <c r="AR695" s="61" t="n">
        <v>0</v>
      </c>
      <c r="AS695" s="61" t="n">
        <v>0</v>
      </c>
      <c r="AT695" s="61" t="n">
        <v>0</v>
      </c>
      <c r="AU695" s="61" t="str">
        <f aca="false">SUBSTITUTE(SUBSTITUTE(SUBSTITUTE(SUBSTITUTE(SUBSTITUTE(SUBSTITUTE(SUBSTITUTE(SUBSTITUTE(SUBSTITUTE(SUBSTITUTE(SUBSTITUTE(SUBSTITUTE(SUBSTITUTE(LOWER(T695&amp;""),CHAR(160),"")," ",""),".",""),"-",""),"/",""),"?",""),"_",""),",",""),"[",""),"]",""),"(",""),")",""),"*","")</f>
        <v/>
      </c>
      <c r="AV695" s="61" t="str">
        <f aca="false">SUBSTITUTE(SUBSTITUTE(SUBSTITUTE(SUBSTITUTE(SUBSTITUTE(SUBSTITUTE(SUBSTITUTE(SUBSTITUTE(SUBSTITUTE(SUBSTITUTE(SUBSTITUTE(SUBSTITUTE(SUBSTITUTE(LOWER(V695&amp;""),CHAR(160),"")," ",""),".",""),"-",""),"/",""),"?",""),"_",""),",",""),"[",""),"]",""),"(",""),")",""),"*","")</f>
        <v/>
      </c>
      <c r="AW695" s="61" t="str">
        <f aca="false">SUBSTITUTE(SUBSTITUTE(SUBSTITUTE(SUBSTITUTE(SUBSTITUTE(SUBSTITUTE(SUBSTITUTE(SUBSTITUTE(SUBSTITUTE(SUBSTITUTE(SUBSTITUTE(SUBSTITUTE(SUBSTITUTE(LOWER(Z695&amp;""),CHAR(160),"")," ",""),".",""),"-",""),"/",""),"?",""),"_",""),",",""),"[",""),"]",""),"(",""),")",""),"*","")</f>
        <v/>
      </c>
      <c r="AX695" s="61" t="str">
        <f aca="false">SUBSTITUTE(SUBSTITUTE(SUBSTITUTE(SUBSTITUTE(SUBSTITUTE(SUBSTITUTE(SUBSTITUTE(SUBSTITUTE(SUBSTITUTE(SUBSTITUTE(SUBSTITUTE(SUBSTITUTE(SUBSTITUTE(LOWER(AE695&amp;""),CHAR(160),"")," ",""),".",""),"-",""),"/",""),"?",""),"_",""),",",""),"[",""),"]",""),"(",""),")",""),"*","")</f>
        <v/>
      </c>
      <c r="AY695" s="61" t="str">
        <f aca="false">SUBSTITUTE(SUBSTITUTE(SUBSTITUTE(SUBSTITUTE(SUBSTITUTE(SUBSTITUTE(SUBSTITUTE(SUBSTITUTE(SUBSTITUTE(SUBSTITUTE(SUBSTITUTE(SUBSTITUTE(SUBSTITUTE(LOWER(W695&amp;""),CHAR(160),"")," ",""),".",""),"-",""),"/",""),"?",""),"_",""),",",""),"[",""),"]",""),"(",""),")",""),"*","")</f>
        <v/>
      </c>
      <c r="AZ695" s="61" t="str">
        <f aca="false">SUBSTITUTE(SUBSTITUTE(SUBSTITUTE(SUBSTITUTE(SUBSTITUTE(SUBSTITUTE(SUBSTITUTE(SUBSTITUTE(SUBSTITUTE(SUBSTITUTE(SUBSTITUTE(SUBSTITUTE(SUBSTITUTE(LOWER(AC695&amp;""),CHAR(160),"")," ",""),".",""),"-",""),"/",""),"?",""),"_",""),",",""),"[",""),"]",""),"(",""),")",""),"*","")</f>
        <v/>
      </c>
      <c r="BA695" s="61" t="str">
        <f aca="false">SUBSTITUTE(SUBSTITUTE(SUBSTITUTE(SUBSTITUTE(SUBSTITUTE(SUBSTITUTE(SUBSTITUTE(SUBSTITUTE(SUBSTITUTE(SUBSTITUTE(SUBSTITUTE(SUBSTITUTE(SUBSTITUTE(LOWER(AA695&amp;""),CHAR(160),"")," ",""),".",""),"-",""),"/",""),"?",""),"_",""),",",""),"[",""),"]",""),"(",""),")",""),"*","")</f>
        <v/>
      </c>
      <c r="BB695" s="61" t="str">
        <f aca="false">IF(AND(TRIM(U695)="Pass",ISNUMBER(AF695)),IF(AF695&lt;&gt;0,"INVALID – qty variance: use Fail or Pass after CA",""),"")&amp;IF(AND(TRIM(U695)="Pass after CA",ISNUMBER(AF695)),IF(AF695&lt;&gt;0,"INVALID – after the corrective action the actual qty must equal expected (update Actual)",""),"")&amp;IF(AND(TRIM(U695)="Pass",TRIM(AB695)&lt;&gt;"",TRIM(AB695)&lt;&gt;"Closed"),"INVALID – corrective action not closed: use Fail, then Pass after CA","")&amp;IF(AND(TRIM(AA695)&lt;&gt;"",TRIM(AB695)=""),"INVALID – CA status missing for the recorded corrective action","")&amp;IF(AND(TRIM(U695)="Pass after CA",OR(OR(LEN(BA695)&lt;5,ISNUMBER(MATCH(BA695,L_Placeholder,0))),TRIM(AB695)&lt;&gt;"Closed")),"INVALID – corrective action not recorded/closed","")</f>
        <v/>
      </c>
    </row>
    <row r="696" customFormat="false" ht="39.75" hidden="false" customHeight="true" outlineLevel="0" collapsed="false">
      <c r="A696" s="57" t="s">
        <v>1408</v>
      </c>
      <c r="B696" s="57" t="s">
        <v>307</v>
      </c>
      <c r="C696" s="57" t="str">
        <f aca="false">Flights!$F$25</f>
        <v>MH1437</v>
      </c>
      <c r="D696" s="58" t="n">
        <f aca="false">Flights!$D$25</f>
        <v>46325</v>
      </c>
      <c r="E696" s="57" t="str">
        <f aca="false">Flights!$G$25&amp;"-"&amp;Flights!$H$25</f>
        <v>LGK-KUL</v>
      </c>
      <c r="F696" s="57" t="str">
        <f aca="false">Flights!$K$25</f>
        <v>BC</v>
      </c>
      <c r="G696" s="57" t="s">
        <v>437</v>
      </c>
      <c r="H696" s="57" t="s">
        <v>438</v>
      </c>
      <c r="I696" s="57" t="s">
        <v>477</v>
      </c>
      <c r="J696" s="57" t="s">
        <v>517</v>
      </c>
      <c r="K696" s="67" t="s">
        <v>479</v>
      </c>
      <c r="L696" s="67" t="s">
        <v>1389</v>
      </c>
      <c r="M696" s="67" t="s">
        <v>429</v>
      </c>
      <c r="N696" s="67" t="s">
        <v>361</v>
      </c>
      <c r="O696" s="67"/>
      <c r="P696" s="57" t="s">
        <v>303</v>
      </c>
      <c r="Q696" s="59" t="n">
        <f aca="false">ROUND((Flights!$AF$25)*1440,0)/1440</f>
        <v>46325.28125</v>
      </c>
      <c r="R696" s="59" t="n">
        <f aca="false">Q696+(IF(AND(INDEX(TZ_DSTS,MATCH(P696,TZ_STN,0))&lt;&gt;"",Q696&gt;=INDEX(TZ_DSTS,MATCH(P696,TZ_STN,0)),Q696&lt;INDEX(TZ_DSTE,MATCH(P696,TZ_STN,0))),INDEX(TZ_DST,MATCH(P696,TZ_STN,0)),INDEX(TZ_STD,MATCH(P696,TZ_STN,0))))/24</f>
        <v>46325.6145833333</v>
      </c>
      <c r="S696" s="59" t="n">
        <f aca="false">IF(ISNUMBER(Flights!$AZ$25),MAX(Q696-UpliftWindowH/24,Flights!$AZ$25),Q696-UpliftWindowH/24)</f>
        <v>46325.03125</v>
      </c>
      <c r="T696" s="60"/>
      <c r="U696" s="60"/>
      <c r="V696" s="60"/>
      <c r="W696" s="61"/>
      <c r="X696" s="60"/>
      <c r="Y696" s="60"/>
      <c r="Z696" s="60"/>
      <c r="AA696" s="60"/>
      <c r="AB696" s="60"/>
      <c r="AC696" s="60"/>
      <c r="AD696" s="66"/>
      <c r="AE696" s="60"/>
      <c r="AF696" s="61" t="str">
        <f aca="false">IF(AND(ISNUMBER(X696),ISNUMBER(Y696)),Y696-X696,"")</f>
        <v/>
      </c>
      <c r="AG696" s="62" t="str">
        <f aca="false">IF(ISNUMBER(AD696),AD696-(IF(AND(INDEX(TZ_DSTS,MATCH(P696,TZ_STN,0))&lt;&gt;"",(AD696-INDEX(TZ_STD,MATCH(P696,TZ_STN,0))/24)&gt;=INDEX(TZ_DSTS,MATCH(P696,TZ_STN,0)),(AD696-INDEX(TZ_STD,MATCH(P696,TZ_STN,0))/24)&lt;INDEX(TZ_DSTE,MATCH(P696,TZ_STN,0))),INDEX(TZ_DST,MATCH(P696,TZ_STN,0)),INDEX(TZ_STD,MATCH(P696,TZ_STN,0))))/24,"")</f>
        <v/>
      </c>
      <c r="AH696" s="65" t="str">
        <f aca="false">IFERROR(IF(N696="N/A – rule","N/A – RULE",IF(TRIM(U696)="N/A",IF(AT696=0,"INVALID – N/A not permitted for this check",IF(AND(TRIM(AB696)&lt;&gt;"",TRIM(AB696)&lt;&gt;"Closed"),"INVALID – corrective action still open",IF(AND(NOT(OR(LEN(AZ696)&lt;15,ISNUMBER(MATCH(AZ696,L_Placeholder,0)))),NOT(OR(LEN(AU696)&lt;2,ISNUMBER(MATCH(AU696,L_Placeholder,0)))),NOT(OR(LEN(AX696)&lt;2,ISNUMBER(MATCH(AX696,L_Placeholder,0)))),TRIM(AE696)&lt;&gt;TRIM(T696)),"N/A – JUSTIFIED","INVALID – N/A needs a real justification (15+ chars), PIC and a different verifier"))),IF(OR(TRIM(U696)="Pass",TRIM(U696)="Pass after CA"),IF(NOT(ISNUMBER(AD696)),"INVALID – completion time missing",IF(OR(LEN(AU696)&lt;2,ISNUMBER(MATCH(AU696,L_Placeholder,0))),"INVALID – PIC missing",IF(OR(LEN(AV696)&lt;2,ISNUMBER(MATCH(AV696,L_Placeholder,0))),"INVALID – result / assessment missing",IF(OR(OR(LEN(AW696)&lt;3,ISNUMBER(MATCH(AW696,L_Placeholder,0))),SUMPRODUCT(--ISNUMBER(SEARCH(L_EvidencePhrase,AW696)))&gt;0),"INVALID – evidence missing, placeholder or not yet on file",IF(OR(LEN(AX696)&lt;2,ISNUMBER(MATCH(AX696,L_Placeholder,0))),"INVALID – verifier missing",IF(AX696=AU696,"INVALID – verifier must be someone other than the PIC",IF(AND(TRIM(U696)="Pass",SUMPRODUCT(--ISNUMBER(SEARCH(L_ResultBad,AV696)))&gt;0),"INVALID – result describes a problem: use Fail, then Pass after CA",IF(AND(AQ696=1,OR(LEN(AY696)&lt;3,ISNUMBER(MATCH(AY696,L_Placeholder,0)))),"INVALID – batch ID missing or placeholder",IF(AND(AR696=1,OR(NOT(ISNUMBER(X696)),NOT(ISNUMBER(Y696)))),"INVALID – expected/actual qty missing",IF(AND(AR696=1,OR(X696&lt;=0,Y696&lt;0)),"INVALID – expected qty must be above 0 and actual not negative",IF(AH685="N/A – JUSTIFIED","INVALID – preparation row F21-T12-10 is N/A",IF(AND(AR696=1,ISNUMBER(X685),X696&lt;&gt;X685),"INVALID – expected qty differs from preparation check F21-T12-10",IF(BB696&lt;&gt;"",BB696,IF(AND(AS696=1,Documents!$J$25&lt;&gt;"ON FILE"),"INVALID – GLD not on file (Documents sheet)",IF(AND(AS696=2,Documents!$O$25&lt;&gt;"ON FILE"),"INVALID – menu checklist not on file (Documents sheet)",IF(AND(AS696=3,NOT(ISNUMBER(Flights!$AX$25))),"INVALID – enter carrying flight KUL departure (Flights AX)",IF(AND(AS696=3,OR(Flights!$AZ$25&gt;Flights!$AA$25,Flights!$AX$25&lt;Flights!$AA$25-3)),"INVALID – carrying flight (Flights AX) cannot arrive before this leg's STD, or is over 3 days early",IF(AG696&gt;AsOfUTC,"INVALID – completion time is in the future",IF(AND(ISNUMBER(S696),AG696&lt;S696),IF(H696="Physical uplift","INVALID – before uplift window (cannot confirm loading)","INVALID – before valid window"),IF(AG696&gt;Flights!$AA$25,"INVALID – completed after departure (cannot establish readiness)",IF(AND(H696="Preparation",AG696&gt;IF(ISNUMBER(Flights!$BA$25),MIN(Flights!$BA$25,Flights!$AA$25),Flights!$AA$25)),"INVALID – completed after loading / departure (cannot establish readiness)",IF(AND(H696="Physical uplift",AG696&gt;Q696),"INVALID – recorded after the loading flight departed",IF(AG696&gt;Q696,"COMPLETE – LATE","COMPLETE"))))))))))))))))))))))),IF(TRIM(U696)="Fail","FAIL – DISCREPANCY",IF(AND(TRIM(U696)&lt;&gt;"",TRIM(U696)&lt;&gt;"Not started",TRIM(U696)&lt;&gt;"In progress"),"INVALID – unrecognised status (use the list)",IF(AsOfUTC&gt;Q696,"OVERDUE",IF(N696="Clarification required","OPEN – CLARIFICATION","OPEN"))))))),"INVALID – error value in an input cell")</f>
        <v>OPEN</v>
      </c>
      <c r="AI696" s="61" t="n">
        <f aca="false">IF(OR(AH696="N/A – RULE",AH696="N/A – JUSTIFIED"),0,1)</f>
        <v>1</v>
      </c>
      <c r="AJ696" s="61" t="n">
        <f aca="false">IF(LEFT(AH696,8)="COMPLETE",1,0)</f>
        <v>0</v>
      </c>
      <c r="AK696" s="61" t="n">
        <f aca="false">IF(AND(AI696=1,AJ696=0,AsOfUTC&gt;Q696),1,0)</f>
        <v>0</v>
      </c>
      <c r="AL696" s="61" t="n">
        <f aca="false">IFERROR(IF(AND(AI696=1,OR(TRIM(U696)="Fail",AND(TRIM(AB696)&lt;&gt;"",TRIM(AB696)&lt;&gt;"Closed"),AND(ISNUMBER(AF696),AF696&lt;&gt;0,TRIM(U696)&lt;&gt;"Pass after CA"))),1,0),1)</f>
        <v>0</v>
      </c>
      <c r="AM696" s="61" t="n">
        <f aca="false">IF(LEFT(AH696,7)="INVALID",1,0)</f>
        <v>0</v>
      </c>
      <c r="AN696" s="61" t="n">
        <f aca="false">IF(AND(N696="Clarification required",AI696=1,AJ696=0),1,0)</f>
        <v>0</v>
      </c>
      <c r="AO696" s="61" t="str">
        <f aca="false">IF(AK696=1,SUM(AK$5:AK696),"")</f>
        <v/>
      </c>
      <c r="AP696" s="61" t="str">
        <f aca="false">IF(AL696=1,SUM(AL$5:AL696),"")</f>
        <v/>
      </c>
      <c r="AQ696" s="61" t="n">
        <v>0</v>
      </c>
      <c r="AR696" s="61" t="n">
        <v>0</v>
      </c>
      <c r="AS696" s="61" t="n">
        <v>0</v>
      </c>
      <c r="AT696" s="61" t="n">
        <v>0</v>
      </c>
      <c r="AU696" s="61" t="str">
        <f aca="false">SUBSTITUTE(SUBSTITUTE(SUBSTITUTE(SUBSTITUTE(SUBSTITUTE(SUBSTITUTE(SUBSTITUTE(SUBSTITUTE(SUBSTITUTE(SUBSTITUTE(SUBSTITUTE(SUBSTITUTE(SUBSTITUTE(LOWER(T696&amp;""),CHAR(160),"")," ",""),".",""),"-",""),"/",""),"?",""),"_",""),",",""),"[",""),"]",""),"(",""),")",""),"*","")</f>
        <v/>
      </c>
      <c r="AV696" s="61" t="str">
        <f aca="false">SUBSTITUTE(SUBSTITUTE(SUBSTITUTE(SUBSTITUTE(SUBSTITUTE(SUBSTITUTE(SUBSTITUTE(SUBSTITUTE(SUBSTITUTE(SUBSTITUTE(SUBSTITUTE(SUBSTITUTE(SUBSTITUTE(LOWER(V696&amp;""),CHAR(160),"")," ",""),".",""),"-",""),"/",""),"?",""),"_",""),",",""),"[",""),"]",""),"(",""),")",""),"*","")</f>
        <v/>
      </c>
      <c r="AW696" s="61" t="str">
        <f aca="false">SUBSTITUTE(SUBSTITUTE(SUBSTITUTE(SUBSTITUTE(SUBSTITUTE(SUBSTITUTE(SUBSTITUTE(SUBSTITUTE(SUBSTITUTE(SUBSTITUTE(SUBSTITUTE(SUBSTITUTE(SUBSTITUTE(LOWER(Z696&amp;""),CHAR(160),"")," ",""),".",""),"-",""),"/",""),"?",""),"_",""),",",""),"[",""),"]",""),"(",""),")",""),"*","")</f>
        <v/>
      </c>
      <c r="AX696" s="61" t="str">
        <f aca="false">SUBSTITUTE(SUBSTITUTE(SUBSTITUTE(SUBSTITUTE(SUBSTITUTE(SUBSTITUTE(SUBSTITUTE(SUBSTITUTE(SUBSTITUTE(SUBSTITUTE(SUBSTITUTE(SUBSTITUTE(SUBSTITUTE(LOWER(AE696&amp;""),CHAR(160),"")," ",""),".",""),"-",""),"/",""),"?",""),"_",""),",",""),"[",""),"]",""),"(",""),")",""),"*","")</f>
        <v/>
      </c>
      <c r="AY696" s="61" t="str">
        <f aca="false">SUBSTITUTE(SUBSTITUTE(SUBSTITUTE(SUBSTITUTE(SUBSTITUTE(SUBSTITUTE(SUBSTITUTE(SUBSTITUTE(SUBSTITUTE(SUBSTITUTE(SUBSTITUTE(SUBSTITUTE(SUBSTITUTE(LOWER(W696&amp;""),CHAR(160),"")," ",""),".",""),"-",""),"/",""),"?",""),"_",""),",",""),"[",""),"]",""),"(",""),")",""),"*","")</f>
        <v/>
      </c>
      <c r="AZ696" s="61" t="str">
        <f aca="false">SUBSTITUTE(SUBSTITUTE(SUBSTITUTE(SUBSTITUTE(SUBSTITUTE(SUBSTITUTE(SUBSTITUTE(SUBSTITUTE(SUBSTITUTE(SUBSTITUTE(SUBSTITUTE(SUBSTITUTE(SUBSTITUTE(LOWER(AC696&amp;""),CHAR(160),"")," ",""),".",""),"-",""),"/",""),"?",""),"_",""),",",""),"[",""),"]",""),"(",""),")",""),"*","")</f>
        <v/>
      </c>
      <c r="BA696" s="61" t="str">
        <f aca="false">SUBSTITUTE(SUBSTITUTE(SUBSTITUTE(SUBSTITUTE(SUBSTITUTE(SUBSTITUTE(SUBSTITUTE(SUBSTITUTE(SUBSTITUTE(SUBSTITUTE(SUBSTITUTE(SUBSTITUTE(SUBSTITUTE(LOWER(AA696&amp;""),CHAR(160),"")," ",""),".",""),"-",""),"/",""),"?",""),"_",""),",",""),"[",""),"]",""),"(",""),")",""),"*","")</f>
        <v/>
      </c>
      <c r="BB696" s="61" t="str">
        <f aca="false">IF(AND(TRIM(U696)="Pass",ISNUMBER(AF696)),IF(AF696&lt;&gt;0,"INVALID – qty variance: use Fail or Pass after CA",""),"")&amp;IF(AND(TRIM(U696)="Pass after CA",ISNUMBER(AF696)),IF(AF696&lt;&gt;0,"INVALID – after the corrective action the actual qty must equal expected (update Actual)",""),"")&amp;IF(AND(TRIM(U696)="Pass",TRIM(AB696)&lt;&gt;"",TRIM(AB696)&lt;&gt;"Closed"),"INVALID – corrective action not closed: use Fail, then Pass after CA","")&amp;IF(AND(TRIM(AA696)&lt;&gt;"",TRIM(AB696)=""),"INVALID – CA status missing for the recorded corrective action","")&amp;IF(AND(TRIM(U696)="Pass after CA",OR(OR(LEN(BA696)&lt;5,ISNUMBER(MATCH(BA696,L_Placeholder,0))),TRIM(AB696)&lt;&gt;"Closed")),"INVALID – corrective action not recorded/closed","")</f>
        <v/>
      </c>
    </row>
    <row r="697" customFormat="false" ht="39.75" hidden="false" customHeight="true" outlineLevel="0" collapsed="false">
      <c r="A697" s="57" t="s">
        <v>1409</v>
      </c>
      <c r="B697" s="57" t="s">
        <v>307</v>
      </c>
      <c r="C697" s="57" t="str">
        <f aca="false">Flights!$F$25</f>
        <v>MH1437</v>
      </c>
      <c r="D697" s="58" t="n">
        <f aca="false">Flights!$D$25</f>
        <v>46325</v>
      </c>
      <c r="E697" s="57" t="str">
        <f aca="false">Flights!$G$25&amp;"-"&amp;Flights!$H$25</f>
        <v>LGK-KUL</v>
      </c>
      <c r="F697" s="57" t="str">
        <f aca="false">Flights!$K$25</f>
        <v>BC</v>
      </c>
      <c r="G697" s="57" t="s">
        <v>437</v>
      </c>
      <c r="H697" s="57" t="s">
        <v>438</v>
      </c>
      <c r="I697" s="57" t="s">
        <v>477</v>
      </c>
      <c r="J697" s="57" t="s">
        <v>519</v>
      </c>
      <c r="K697" s="67" t="s">
        <v>479</v>
      </c>
      <c r="L697" s="67" t="s">
        <v>1391</v>
      </c>
      <c r="M697" s="67" t="s">
        <v>429</v>
      </c>
      <c r="N697" s="67" t="s">
        <v>361</v>
      </c>
      <c r="O697" s="67"/>
      <c r="P697" s="57" t="s">
        <v>303</v>
      </c>
      <c r="Q697" s="59" t="n">
        <f aca="false">ROUND((Flights!$AF$25)*1440,0)/1440</f>
        <v>46325.28125</v>
      </c>
      <c r="R697" s="59" t="n">
        <f aca="false">Q697+(IF(AND(INDEX(TZ_DSTS,MATCH(P697,TZ_STN,0))&lt;&gt;"",Q697&gt;=INDEX(TZ_DSTS,MATCH(P697,TZ_STN,0)),Q697&lt;INDEX(TZ_DSTE,MATCH(P697,TZ_STN,0))),INDEX(TZ_DST,MATCH(P697,TZ_STN,0)),INDEX(TZ_STD,MATCH(P697,TZ_STN,0))))/24</f>
        <v>46325.6145833333</v>
      </c>
      <c r="S697" s="59" t="n">
        <f aca="false">IF(ISNUMBER(Flights!$AZ$25),MAX(Q697-UpliftWindowH/24,Flights!$AZ$25),Q697-UpliftWindowH/24)</f>
        <v>46325.03125</v>
      </c>
      <c r="T697" s="60"/>
      <c r="U697" s="60"/>
      <c r="V697" s="60"/>
      <c r="W697" s="61"/>
      <c r="X697" s="60"/>
      <c r="Y697" s="60"/>
      <c r="Z697" s="60"/>
      <c r="AA697" s="60"/>
      <c r="AB697" s="60"/>
      <c r="AC697" s="60"/>
      <c r="AD697" s="66"/>
      <c r="AE697" s="60"/>
      <c r="AF697" s="61" t="str">
        <f aca="false">IF(AND(ISNUMBER(X697),ISNUMBER(Y697)),Y697-X697,"")</f>
        <v/>
      </c>
      <c r="AG697" s="62" t="str">
        <f aca="false">IF(ISNUMBER(AD697),AD697-(IF(AND(INDEX(TZ_DSTS,MATCH(P697,TZ_STN,0))&lt;&gt;"",(AD697-INDEX(TZ_STD,MATCH(P697,TZ_STN,0))/24)&gt;=INDEX(TZ_DSTS,MATCH(P697,TZ_STN,0)),(AD697-INDEX(TZ_STD,MATCH(P697,TZ_STN,0))/24)&lt;INDEX(TZ_DSTE,MATCH(P697,TZ_STN,0))),INDEX(TZ_DST,MATCH(P697,TZ_STN,0)),INDEX(TZ_STD,MATCH(P697,TZ_STN,0))))/24,"")</f>
        <v/>
      </c>
      <c r="AH697" s="65" t="str">
        <f aca="false">IFERROR(IF(N697="N/A – rule","N/A – RULE",IF(TRIM(U697)="N/A",IF(AT697=0,"INVALID – N/A not permitted for this check",IF(AND(TRIM(AB697)&lt;&gt;"",TRIM(AB697)&lt;&gt;"Closed"),"INVALID – corrective action still open",IF(AND(NOT(OR(LEN(AZ697)&lt;15,ISNUMBER(MATCH(AZ697,L_Placeholder,0)))),NOT(OR(LEN(AU697)&lt;2,ISNUMBER(MATCH(AU697,L_Placeholder,0)))),NOT(OR(LEN(AX697)&lt;2,ISNUMBER(MATCH(AX697,L_Placeholder,0)))),TRIM(AE697)&lt;&gt;TRIM(T697)),"N/A – JUSTIFIED","INVALID – N/A needs a real justification (15+ chars), PIC and a different verifier"))),IF(OR(TRIM(U697)="Pass",TRIM(U697)="Pass after CA"),IF(NOT(ISNUMBER(AD697)),"INVALID – completion time missing",IF(OR(LEN(AU697)&lt;2,ISNUMBER(MATCH(AU697,L_Placeholder,0))),"INVALID – PIC missing",IF(OR(LEN(AV697)&lt;2,ISNUMBER(MATCH(AV697,L_Placeholder,0))),"INVALID – result / assessment missing",IF(OR(OR(LEN(AW697)&lt;3,ISNUMBER(MATCH(AW697,L_Placeholder,0))),SUMPRODUCT(--ISNUMBER(SEARCH(L_EvidencePhrase,AW697)))&gt;0),"INVALID – evidence missing, placeholder or not yet on file",IF(OR(LEN(AX697)&lt;2,ISNUMBER(MATCH(AX697,L_Placeholder,0))),"INVALID – verifier missing",IF(AX697=AU697,"INVALID – verifier must be someone other than the PIC",IF(AND(TRIM(U697)="Pass",SUMPRODUCT(--ISNUMBER(SEARCH(L_ResultBad,AV697)))&gt;0),"INVALID – result describes a problem: use Fail, then Pass after CA",IF(AND(AQ697=1,OR(LEN(AY697)&lt;3,ISNUMBER(MATCH(AY697,L_Placeholder,0)))),"INVALID – batch ID missing or placeholder",IF(AND(AR697=1,OR(NOT(ISNUMBER(X697)),NOT(ISNUMBER(Y697)))),"INVALID – expected/actual qty missing",IF(AND(AR697=1,OR(X697&lt;=0,Y697&lt;0)),"INVALID – expected qty must be above 0 and actual not negative",IF(AH686="N/A – JUSTIFIED","INVALID – preparation row F21-T12-11 is N/A",IF(AND(AR697=1,ISNUMBER(X686),X697&lt;&gt;X686),"INVALID – expected qty differs from preparation check F21-T12-11",IF(BB697&lt;&gt;"",BB697,IF(AND(AS697=1,Documents!$J$25&lt;&gt;"ON FILE"),"INVALID – GLD not on file (Documents sheet)",IF(AND(AS697=2,Documents!$O$25&lt;&gt;"ON FILE"),"INVALID – menu checklist not on file (Documents sheet)",IF(AND(AS697=3,NOT(ISNUMBER(Flights!$AX$25))),"INVALID – enter carrying flight KUL departure (Flights AX)",IF(AND(AS697=3,OR(Flights!$AZ$25&gt;Flights!$AA$25,Flights!$AX$25&lt;Flights!$AA$25-3)),"INVALID – carrying flight (Flights AX) cannot arrive before this leg's STD, or is over 3 days early",IF(AG697&gt;AsOfUTC,"INVALID – completion time is in the future",IF(AND(ISNUMBER(S697),AG697&lt;S697),IF(H697="Physical uplift","INVALID – before uplift window (cannot confirm loading)","INVALID – before valid window"),IF(AG697&gt;Flights!$AA$25,"INVALID – completed after departure (cannot establish readiness)",IF(AND(H697="Preparation",AG697&gt;IF(ISNUMBER(Flights!$BA$25),MIN(Flights!$BA$25,Flights!$AA$25),Flights!$AA$25)),"INVALID – completed after loading / departure (cannot establish readiness)",IF(AND(H697="Physical uplift",AG697&gt;Q697),"INVALID – recorded after the loading flight departed",IF(AG697&gt;Q697,"COMPLETE – LATE","COMPLETE"))))))))))))))))))))))),IF(TRIM(U697)="Fail","FAIL – DISCREPANCY",IF(AND(TRIM(U697)&lt;&gt;"",TRIM(U697)&lt;&gt;"Not started",TRIM(U697)&lt;&gt;"In progress"),"INVALID – unrecognised status (use the list)",IF(AsOfUTC&gt;Q697,"OVERDUE",IF(N697="Clarification required","OPEN – CLARIFICATION","OPEN"))))))),"INVALID – error value in an input cell")</f>
        <v>OPEN</v>
      </c>
      <c r="AI697" s="61" t="n">
        <f aca="false">IF(OR(AH697="N/A – RULE",AH697="N/A – JUSTIFIED"),0,1)</f>
        <v>1</v>
      </c>
      <c r="AJ697" s="61" t="n">
        <f aca="false">IF(LEFT(AH697,8)="COMPLETE",1,0)</f>
        <v>0</v>
      </c>
      <c r="AK697" s="61" t="n">
        <f aca="false">IF(AND(AI697=1,AJ697=0,AsOfUTC&gt;Q697),1,0)</f>
        <v>0</v>
      </c>
      <c r="AL697" s="61" t="n">
        <f aca="false">IFERROR(IF(AND(AI697=1,OR(TRIM(U697)="Fail",AND(TRIM(AB697)&lt;&gt;"",TRIM(AB697)&lt;&gt;"Closed"),AND(ISNUMBER(AF697),AF697&lt;&gt;0,TRIM(U697)&lt;&gt;"Pass after CA"))),1,0),1)</f>
        <v>0</v>
      </c>
      <c r="AM697" s="61" t="n">
        <f aca="false">IF(LEFT(AH697,7)="INVALID",1,0)</f>
        <v>0</v>
      </c>
      <c r="AN697" s="61" t="n">
        <f aca="false">IF(AND(N697="Clarification required",AI697=1,AJ697=0),1,0)</f>
        <v>0</v>
      </c>
      <c r="AO697" s="61" t="str">
        <f aca="false">IF(AK697=1,SUM(AK$5:AK697),"")</f>
        <v/>
      </c>
      <c r="AP697" s="61" t="str">
        <f aca="false">IF(AL697=1,SUM(AL$5:AL697),"")</f>
        <v/>
      </c>
      <c r="AQ697" s="61" t="n">
        <v>0</v>
      </c>
      <c r="AR697" s="61" t="n">
        <v>0</v>
      </c>
      <c r="AS697" s="61" t="n">
        <v>0</v>
      </c>
      <c r="AT697" s="61" t="n">
        <v>0</v>
      </c>
      <c r="AU697" s="61" t="str">
        <f aca="false">SUBSTITUTE(SUBSTITUTE(SUBSTITUTE(SUBSTITUTE(SUBSTITUTE(SUBSTITUTE(SUBSTITUTE(SUBSTITUTE(SUBSTITUTE(SUBSTITUTE(SUBSTITUTE(SUBSTITUTE(SUBSTITUTE(LOWER(T697&amp;""),CHAR(160),"")," ",""),".",""),"-",""),"/",""),"?",""),"_",""),",",""),"[",""),"]",""),"(",""),")",""),"*","")</f>
        <v/>
      </c>
      <c r="AV697" s="61" t="str">
        <f aca="false">SUBSTITUTE(SUBSTITUTE(SUBSTITUTE(SUBSTITUTE(SUBSTITUTE(SUBSTITUTE(SUBSTITUTE(SUBSTITUTE(SUBSTITUTE(SUBSTITUTE(SUBSTITUTE(SUBSTITUTE(SUBSTITUTE(LOWER(V697&amp;""),CHAR(160),"")," ",""),".",""),"-",""),"/",""),"?",""),"_",""),",",""),"[",""),"]",""),"(",""),")",""),"*","")</f>
        <v/>
      </c>
      <c r="AW697" s="61" t="str">
        <f aca="false">SUBSTITUTE(SUBSTITUTE(SUBSTITUTE(SUBSTITUTE(SUBSTITUTE(SUBSTITUTE(SUBSTITUTE(SUBSTITUTE(SUBSTITUTE(SUBSTITUTE(SUBSTITUTE(SUBSTITUTE(SUBSTITUTE(LOWER(Z697&amp;""),CHAR(160),"")," ",""),".",""),"-",""),"/",""),"?",""),"_",""),",",""),"[",""),"]",""),"(",""),")",""),"*","")</f>
        <v/>
      </c>
      <c r="AX697" s="61" t="str">
        <f aca="false">SUBSTITUTE(SUBSTITUTE(SUBSTITUTE(SUBSTITUTE(SUBSTITUTE(SUBSTITUTE(SUBSTITUTE(SUBSTITUTE(SUBSTITUTE(SUBSTITUTE(SUBSTITUTE(SUBSTITUTE(SUBSTITUTE(LOWER(AE697&amp;""),CHAR(160),"")," ",""),".",""),"-",""),"/",""),"?",""),"_",""),",",""),"[",""),"]",""),"(",""),")",""),"*","")</f>
        <v/>
      </c>
      <c r="AY697" s="61" t="str">
        <f aca="false">SUBSTITUTE(SUBSTITUTE(SUBSTITUTE(SUBSTITUTE(SUBSTITUTE(SUBSTITUTE(SUBSTITUTE(SUBSTITUTE(SUBSTITUTE(SUBSTITUTE(SUBSTITUTE(SUBSTITUTE(SUBSTITUTE(LOWER(W697&amp;""),CHAR(160),"")," ",""),".",""),"-",""),"/",""),"?",""),"_",""),",",""),"[",""),"]",""),"(",""),")",""),"*","")</f>
        <v/>
      </c>
      <c r="AZ697" s="61" t="str">
        <f aca="false">SUBSTITUTE(SUBSTITUTE(SUBSTITUTE(SUBSTITUTE(SUBSTITUTE(SUBSTITUTE(SUBSTITUTE(SUBSTITUTE(SUBSTITUTE(SUBSTITUTE(SUBSTITUTE(SUBSTITUTE(SUBSTITUTE(LOWER(AC697&amp;""),CHAR(160),"")," ",""),".",""),"-",""),"/",""),"?",""),"_",""),",",""),"[",""),"]",""),"(",""),")",""),"*","")</f>
        <v/>
      </c>
      <c r="BA697" s="61" t="str">
        <f aca="false">SUBSTITUTE(SUBSTITUTE(SUBSTITUTE(SUBSTITUTE(SUBSTITUTE(SUBSTITUTE(SUBSTITUTE(SUBSTITUTE(SUBSTITUTE(SUBSTITUTE(SUBSTITUTE(SUBSTITUTE(SUBSTITUTE(LOWER(AA697&amp;""),CHAR(160),"")," ",""),".",""),"-",""),"/",""),"?",""),"_",""),",",""),"[",""),"]",""),"(",""),")",""),"*","")</f>
        <v/>
      </c>
      <c r="BB697" s="61" t="str">
        <f aca="false">IF(AND(TRIM(U697)="Pass",ISNUMBER(AF697)),IF(AF697&lt;&gt;0,"INVALID – qty variance: use Fail or Pass after CA",""),"")&amp;IF(AND(TRIM(U697)="Pass after CA",ISNUMBER(AF697)),IF(AF697&lt;&gt;0,"INVALID – after the corrective action the actual qty must equal expected (update Actual)",""),"")&amp;IF(AND(TRIM(U697)="Pass",TRIM(AB697)&lt;&gt;"",TRIM(AB697)&lt;&gt;"Closed"),"INVALID – corrective action not closed: use Fail, then Pass after CA","")&amp;IF(AND(TRIM(AA697)&lt;&gt;"",TRIM(AB697)=""),"INVALID – CA status missing for the recorded corrective action","")&amp;IF(AND(TRIM(U697)="Pass after CA",OR(OR(LEN(BA697)&lt;5,ISNUMBER(MATCH(BA697,L_Placeholder,0))),TRIM(AB697)&lt;&gt;"Closed")),"INVALID – corrective action not recorded/closed","")</f>
        <v/>
      </c>
    </row>
    <row r="698" customFormat="false" ht="39.75" hidden="false" customHeight="true" outlineLevel="0" collapsed="false">
      <c r="A698" s="57" t="s">
        <v>1410</v>
      </c>
      <c r="B698" s="57" t="s">
        <v>307</v>
      </c>
      <c r="C698" s="57" t="str">
        <f aca="false">Flights!$F$25</f>
        <v>MH1437</v>
      </c>
      <c r="D698" s="58" t="n">
        <f aca="false">Flights!$D$25</f>
        <v>46325</v>
      </c>
      <c r="E698" s="57" t="str">
        <f aca="false">Flights!$G$25&amp;"-"&amp;Flights!$H$25</f>
        <v>LGK-KUL</v>
      </c>
      <c r="F698" s="57" t="str">
        <f aca="false">Flights!$K$25</f>
        <v>BC</v>
      </c>
      <c r="G698" s="57" t="s">
        <v>437</v>
      </c>
      <c r="H698" s="57" t="s">
        <v>438</v>
      </c>
      <c r="I698" s="57" t="s">
        <v>477</v>
      </c>
      <c r="J698" s="57" t="s">
        <v>526</v>
      </c>
      <c r="K698" s="67" t="s">
        <v>497</v>
      </c>
      <c r="L698" s="67" t="s">
        <v>1393</v>
      </c>
      <c r="M698" s="67" t="s">
        <v>429</v>
      </c>
      <c r="N698" s="67" t="s">
        <v>361</v>
      </c>
      <c r="O698" s="67" t="s">
        <v>527</v>
      </c>
      <c r="P698" s="57" t="s">
        <v>303</v>
      </c>
      <c r="Q698" s="59" t="n">
        <f aca="false">ROUND((Flights!$AF$25)*1440,0)/1440</f>
        <v>46325.28125</v>
      </c>
      <c r="R698" s="59" t="n">
        <f aca="false">Q698+(IF(AND(INDEX(TZ_DSTS,MATCH(P698,TZ_STN,0))&lt;&gt;"",Q698&gt;=INDEX(TZ_DSTS,MATCH(P698,TZ_STN,0)),Q698&lt;INDEX(TZ_DSTE,MATCH(P698,TZ_STN,0))),INDEX(TZ_DST,MATCH(P698,TZ_STN,0)),INDEX(TZ_STD,MATCH(P698,TZ_STN,0))))/24</f>
        <v>46325.6145833333</v>
      </c>
      <c r="S698" s="59" t="n">
        <f aca="false">IF(ISNUMBER(Flights!$AZ$25),MAX(Q698-UpliftWindowH/24,Flights!$AZ$25),Q698-UpliftWindowH/24)</f>
        <v>46325.03125</v>
      </c>
      <c r="T698" s="60"/>
      <c r="U698" s="60"/>
      <c r="V698" s="60"/>
      <c r="W698" s="61"/>
      <c r="X698" s="60"/>
      <c r="Y698" s="60"/>
      <c r="Z698" s="60"/>
      <c r="AA698" s="60"/>
      <c r="AB698" s="60"/>
      <c r="AC698" s="60"/>
      <c r="AD698" s="66"/>
      <c r="AE698" s="60"/>
      <c r="AF698" s="61" t="str">
        <f aca="false">IF(AND(ISNUMBER(X698),ISNUMBER(Y698)),Y698-X698,"")</f>
        <v/>
      </c>
      <c r="AG698" s="62" t="str">
        <f aca="false">IF(ISNUMBER(AD698),AD698-(IF(AND(INDEX(TZ_DSTS,MATCH(P698,TZ_STN,0))&lt;&gt;"",(AD698-INDEX(TZ_STD,MATCH(P698,TZ_STN,0))/24)&gt;=INDEX(TZ_DSTS,MATCH(P698,TZ_STN,0)),(AD698-INDEX(TZ_STD,MATCH(P698,TZ_STN,0))/24)&lt;INDEX(TZ_DSTE,MATCH(P698,TZ_STN,0))),INDEX(TZ_DST,MATCH(P698,TZ_STN,0)),INDEX(TZ_STD,MATCH(P698,TZ_STN,0))))/24,"")</f>
        <v/>
      </c>
      <c r="AH698" s="65" t="str">
        <f aca="false">IFERROR(IF(N698="N/A – rule","N/A – RULE",IF(TRIM(U698)="N/A",IF(AT698=0,"INVALID – N/A not permitted for this check",IF(AND(TRIM(AB698)&lt;&gt;"",TRIM(AB698)&lt;&gt;"Closed"),"INVALID – corrective action still open",IF(AND(NOT(OR(LEN(AZ698)&lt;15,ISNUMBER(MATCH(AZ698,L_Placeholder,0)))),NOT(OR(LEN(AU698)&lt;2,ISNUMBER(MATCH(AU698,L_Placeholder,0)))),NOT(OR(LEN(AX698)&lt;2,ISNUMBER(MATCH(AX698,L_Placeholder,0)))),TRIM(AE698)&lt;&gt;TRIM(T698)),"N/A – JUSTIFIED","INVALID – N/A needs a real justification (15+ chars), PIC and a different verifier"))),IF(OR(TRIM(U698)="Pass",TRIM(U698)="Pass after CA"),IF(NOT(ISNUMBER(AD698)),"INVALID – completion time missing",IF(OR(LEN(AU698)&lt;2,ISNUMBER(MATCH(AU698,L_Placeholder,0))),"INVALID – PIC missing",IF(OR(LEN(AV698)&lt;2,ISNUMBER(MATCH(AV698,L_Placeholder,0))),"INVALID – result / assessment missing",IF(OR(OR(LEN(AW698)&lt;3,ISNUMBER(MATCH(AW698,L_Placeholder,0))),SUMPRODUCT(--ISNUMBER(SEARCH(L_EvidencePhrase,AW698)))&gt;0),"INVALID – evidence missing, placeholder or not yet on file",IF(OR(LEN(AX698)&lt;2,ISNUMBER(MATCH(AX698,L_Placeholder,0))),"INVALID – verifier missing",IF(AX698=AU698,"INVALID – verifier must be someone other than the PIC",IF(AND(TRIM(U698)="Pass",SUMPRODUCT(--ISNUMBER(SEARCH(L_ResultBad,AV698)))&gt;0),"INVALID – result describes a problem: use Fail, then Pass after CA",IF(AND(AQ698=1,OR(LEN(AY698)&lt;3,ISNUMBER(MATCH(AY698,L_Placeholder,0)))),"INVALID – batch ID missing or placeholder",IF(AND(AR698=1,OR(NOT(ISNUMBER(X698)),NOT(ISNUMBER(Y698)))),"INVALID – expected/actual qty missing",IF(AND(AR698=1,OR(X698&lt;=0,Y698&lt;0)),"INVALID – expected qty must be above 0 and actual not negative",IF(AH687="N/A – JUSTIFIED","INVALID – preparation row F21-T12-12 is N/A",IF(AND(AR698=1,ISNUMBER(X687),X698&lt;&gt;X687),"INVALID – expected qty differs from preparation check F21-T12-12",IF(BB698&lt;&gt;"",BB698,IF(AND(AS698=1,Documents!$J$25&lt;&gt;"ON FILE"),"INVALID – GLD not on file (Documents sheet)",IF(AND(AS698=2,Documents!$O$25&lt;&gt;"ON FILE"),"INVALID – menu checklist not on file (Documents sheet)",IF(AND(AS698=3,NOT(ISNUMBER(Flights!$AX$25))),"INVALID – enter carrying flight KUL departure (Flights AX)",IF(AND(AS698=3,OR(Flights!$AZ$25&gt;Flights!$AA$25,Flights!$AX$25&lt;Flights!$AA$25-3)),"INVALID – carrying flight (Flights AX) cannot arrive before this leg's STD, or is over 3 days early",IF(AG698&gt;AsOfUTC,"INVALID – completion time is in the future",IF(AND(ISNUMBER(S698),AG698&lt;S698),IF(H698="Physical uplift","INVALID – before uplift window (cannot confirm loading)","INVALID – before valid window"),IF(AG698&gt;Flights!$AA$25,"INVALID – completed after departure (cannot establish readiness)",IF(AND(H698="Preparation",AG698&gt;IF(ISNUMBER(Flights!$BA$25),MIN(Flights!$BA$25,Flights!$AA$25),Flights!$AA$25)),"INVALID – completed after loading / departure (cannot establish readiness)",IF(AND(H698="Physical uplift",AG698&gt;Q698),"INVALID – recorded after the loading flight departed",IF(AG698&gt;Q698,"COMPLETE – LATE","COMPLETE"))))))))))))))))))))))),IF(TRIM(U698)="Fail","FAIL – DISCREPANCY",IF(AND(TRIM(U698)&lt;&gt;"",TRIM(U698)&lt;&gt;"Not started",TRIM(U698)&lt;&gt;"In progress"),"INVALID – unrecognised status (use the list)",IF(AsOfUTC&gt;Q698,"OVERDUE",IF(N698="Clarification required","OPEN – CLARIFICATION","OPEN"))))))),"INVALID – error value in an input cell")</f>
        <v>OPEN</v>
      </c>
      <c r="AI698" s="61" t="n">
        <f aca="false">IF(OR(AH698="N/A – RULE",AH698="N/A – JUSTIFIED"),0,1)</f>
        <v>1</v>
      </c>
      <c r="AJ698" s="61" t="n">
        <f aca="false">IF(LEFT(AH698,8)="COMPLETE",1,0)</f>
        <v>0</v>
      </c>
      <c r="AK698" s="61" t="n">
        <f aca="false">IF(AND(AI698=1,AJ698=0,AsOfUTC&gt;Q698),1,0)</f>
        <v>0</v>
      </c>
      <c r="AL698" s="61" t="n">
        <f aca="false">IFERROR(IF(AND(AI698=1,OR(TRIM(U698)="Fail",AND(TRIM(AB698)&lt;&gt;"",TRIM(AB698)&lt;&gt;"Closed"),AND(ISNUMBER(AF698),AF698&lt;&gt;0,TRIM(U698)&lt;&gt;"Pass after CA"))),1,0),1)</f>
        <v>0</v>
      </c>
      <c r="AM698" s="61" t="n">
        <f aca="false">IF(LEFT(AH698,7)="INVALID",1,0)</f>
        <v>0</v>
      </c>
      <c r="AN698" s="61" t="n">
        <f aca="false">IF(AND(N698="Clarification required",AI698=1,AJ698=0),1,0)</f>
        <v>0</v>
      </c>
      <c r="AO698" s="61" t="str">
        <f aca="false">IF(AK698=1,SUM(AK$5:AK698),"")</f>
        <v/>
      </c>
      <c r="AP698" s="61" t="str">
        <f aca="false">IF(AL698=1,SUM(AL$5:AL698),"")</f>
        <v/>
      </c>
      <c r="AQ698" s="61" t="n">
        <v>0</v>
      </c>
      <c r="AR698" s="61" t="n">
        <v>0</v>
      </c>
      <c r="AS698" s="61" t="n">
        <v>0</v>
      </c>
      <c r="AT698" s="61" t="n">
        <v>0</v>
      </c>
      <c r="AU698" s="61" t="str">
        <f aca="false">SUBSTITUTE(SUBSTITUTE(SUBSTITUTE(SUBSTITUTE(SUBSTITUTE(SUBSTITUTE(SUBSTITUTE(SUBSTITUTE(SUBSTITUTE(SUBSTITUTE(SUBSTITUTE(SUBSTITUTE(SUBSTITUTE(LOWER(T698&amp;""),CHAR(160),"")," ",""),".",""),"-",""),"/",""),"?",""),"_",""),",",""),"[",""),"]",""),"(",""),")",""),"*","")</f>
        <v/>
      </c>
      <c r="AV698" s="61" t="str">
        <f aca="false">SUBSTITUTE(SUBSTITUTE(SUBSTITUTE(SUBSTITUTE(SUBSTITUTE(SUBSTITUTE(SUBSTITUTE(SUBSTITUTE(SUBSTITUTE(SUBSTITUTE(SUBSTITUTE(SUBSTITUTE(SUBSTITUTE(LOWER(V698&amp;""),CHAR(160),"")," ",""),".",""),"-",""),"/",""),"?",""),"_",""),",",""),"[",""),"]",""),"(",""),")",""),"*","")</f>
        <v/>
      </c>
      <c r="AW698" s="61" t="str">
        <f aca="false">SUBSTITUTE(SUBSTITUTE(SUBSTITUTE(SUBSTITUTE(SUBSTITUTE(SUBSTITUTE(SUBSTITUTE(SUBSTITUTE(SUBSTITUTE(SUBSTITUTE(SUBSTITUTE(SUBSTITUTE(SUBSTITUTE(LOWER(Z698&amp;""),CHAR(160),"")," ",""),".",""),"-",""),"/",""),"?",""),"_",""),",",""),"[",""),"]",""),"(",""),")",""),"*","")</f>
        <v/>
      </c>
      <c r="AX698" s="61" t="str">
        <f aca="false">SUBSTITUTE(SUBSTITUTE(SUBSTITUTE(SUBSTITUTE(SUBSTITUTE(SUBSTITUTE(SUBSTITUTE(SUBSTITUTE(SUBSTITUTE(SUBSTITUTE(SUBSTITUTE(SUBSTITUTE(SUBSTITUTE(LOWER(AE698&amp;""),CHAR(160),"")," ",""),".",""),"-",""),"/",""),"?",""),"_",""),",",""),"[",""),"]",""),"(",""),")",""),"*","")</f>
        <v/>
      </c>
      <c r="AY698" s="61" t="str">
        <f aca="false">SUBSTITUTE(SUBSTITUTE(SUBSTITUTE(SUBSTITUTE(SUBSTITUTE(SUBSTITUTE(SUBSTITUTE(SUBSTITUTE(SUBSTITUTE(SUBSTITUTE(SUBSTITUTE(SUBSTITUTE(SUBSTITUTE(LOWER(W698&amp;""),CHAR(160),"")," ",""),".",""),"-",""),"/",""),"?",""),"_",""),",",""),"[",""),"]",""),"(",""),")",""),"*","")</f>
        <v/>
      </c>
      <c r="AZ698" s="61" t="str">
        <f aca="false">SUBSTITUTE(SUBSTITUTE(SUBSTITUTE(SUBSTITUTE(SUBSTITUTE(SUBSTITUTE(SUBSTITUTE(SUBSTITUTE(SUBSTITUTE(SUBSTITUTE(SUBSTITUTE(SUBSTITUTE(SUBSTITUTE(LOWER(AC698&amp;""),CHAR(160),"")," ",""),".",""),"-",""),"/",""),"?",""),"_",""),",",""),"[",""),"]",""),"(",""),")",""),"*","")</f>
        <v/>
      </c>
      <c r="BA698" s="61" t="str">
        <f aca="false">SUBSTITUTE(SUBSTITUTE(SUBSTITUTE(SUBSTITUTE(SUBSTITUTE(SUBSTITUTE(SUBSTITUTE(SUBSTITUTE(SUBSTITUTE(SUBSTITUTE(SUBSTITUTE(SUBSTITUTE(SUBSTITUTE(LOWER(AA698&amp;""),CHAR(160),"")," ",""),".",""),"-",""),"/",""),"?",""),"_",""),",",""),"[",""),"]",""),"(",""),")",""),"*","")</f>
        <v/>
      </c>
      <c r="BB698" s="61" t="str">
        <f aca="false">IF(AND(TRIM(U698)="Pass",ISNUMBER(AF698)),IF(AF698&lt;&gt;0,"INVALID – qty variance: use Fail or Pass after CA",""),"")&amp;IF(AND(TRIM(U698)="Pass after CA",ISNUMBER(AF698)),IF(AF698&lt;&gt;0,"INVALID – after the corrective action the actual qty must equal expected (update Actual)",""),"")&amp;IF(AND(TRIM(U698)="Pass",TRIM(AB698)&lt;&gt;"",TRIM(AB698)&lt;&gt;"Closed"),"INVALID – corrective action not closed: use Fail, then Pass after CA","")&amp;IF(AND(TRIM(AA698)&lt;&gt;"",TRIM(AB698)=""),"INVALID – CA status missing for the recorded corrective action","")&amp;IF(AND(TRIM(U698)="Pass after CA",OR(OR(LEN(BA698)&lt;5,ISNUMBER(MATCH(BA698,L_Placeholder,0))),TRIM(AB698)&lt;&gt;"Closed")),"INVALID – corrective action not recorded/closed","")</f>
        <v/>
      </c>
    </row>
    <row r="699" customFormat="false" ht="39.75" hidden="false" customHeight="true" outlineLevel="0" collapsed="false">
      <c r="A699" s="57" t="s">
        <v>1411</v>
      </c>
      <c r="B699" s="57" t="s">
        <v>307</v>
      </c>
      <c r="C699" s="57" t="str">
        <f aca="false">Flights!$F$25</f>
        <v>MH1437</v>
      </c>
      <c r="D699" s="58" t="n">
        <f aca="false">Flights!$D$25</f>
        <v>46325</v>
      </c>
      <c r="E699" s="57" t="str">
        <f aca="false">Flights!$G$25&amp;"-"&amp;Flights!$H$25</f>
        <v>LGK-KUL</v>
      </c>
      <c r="F699" s="57" t="str">
        <f aca="false">Flights!$K$25</f>
        <v>BC</v>
      </c>
      <c r="G699" s="57" t="s">
        <v>437</v>
      </c>
      <c r="H699" s="57" t="s">
        <v>438</v>
      </c>
      <c r="I699" s="57" t="s">
        <v>477</v>
      </c>
      <c r="J699" s="57" t="s">
        <v>529</v>
      </c>
      <c r="K699" s="67" t="s">
        <v>479</v>
      </c>
      <c r="L699" s="67" t="s">
        <v>1396</v>
      </c>
      <c r="M699" s="67" t="s">
        <v>429</v>
      </c>
      <c r="N699" s="67" t="s">
        <v>361</v>
      </c>
      <c r="O699" s="67"/>
      <c r="P699" s="57" t="s">
        <v>303</v>
      </c>
      <c r="Q699" s="59" t="n">
        <f aca="false">ROUND((Flights!$AF$25)*1440,0)/1440</f>
        <v>46325.28125</v>
      </c>
      <c r="R699" s="59" t="n">
        <f aca="false">Q699+(IF(AND(INDEX(TZ_DSTS,MATCH(P699,TZ_STN,0))&lt;&gt;"",Q699&gt;=INDEX(TZ_DSTS,MATCH(P699,TZ_STN,0)),Q699&lt;INDEX(TZ_DSTE,MATCH(P699,TZ_STN,0))),INDEX(TZ_DST,MATCH(P699,TZ_STN,0)),INDEX(TZ_STD,MATCH(P699,TZ_STN,0))))/24</f>
        <v>46325.6145833333</v>
      </c>
      <c r="S699" s="59" t="n">
        <f aca="false">IF(ISNUMBER(Flights!$AZ$25),MAX(Q699-UpliftWindowH/24,Flights!$AZ$25),Q699-UpliftWindowH/24)</f>
        <v>46325.03125</v>
      </c>
      <c r="T699" s="60"/>
      <c r="U699" s="60"/>
      <c r="V699" s="60"/>
      <c r="W699" s="61"/>
      <c r="X699" s="60"/>
      <c r="Y699" s="60"/>
      <c r="Z699" s="60"/>
      <c r="AA699" s="60"/>
      <c r="AB699" s="60"/>
      <c r="AC699" s="60"/>
      <c r="AD699" s="66"/>
      <c r="AE699" s="60"/>
      <c r="AF699" s="61" t="str">
        <f aca="false">IF(AND(ISNUMBER(X699),ISNUMBER(Y699)),Y699-X699,"")</f>
        <v/>
      </c>
      <c r="AG699" s="62" t="str">
        <f aca="false">IF(ISNUMBER(AD699),AD699-(IF(AND(INDEX(TZ_DSTS,MATCH(P699,TZ_STN,0))&lt;&gt;"",(AD699-INDEX(TZ_STD,MATCH(P699,TZ_STN,0))/24)&gt;=INDEX(TZ_DSTS,MATCH(P699,TZ_STN,0)),(AD699-INDEX(TZ_STD,MATCH(P699,TZ_STN,0))/24)&lt;INDEX(TZ_DSTE,MATCH(P699,TZ_STN,0))),INDEX(TZ_DST,MATCH(P699,TZ_STN,0)),INDEX(TZ_STD,MATCH(P699,TZ_STN,0))))/24,"")</f>
        <v/>
      </c>
      <c r="AH699" s="65" t="str">
        <f aca="false">IFERROR(IF(N699="N/A – rule","N/A – RULE",IF(TRIM(U699)="N/A",IF(AT699=0,"INVALID – N/A not permitted for this check",IF(AND(TRIM(AB699)&lt;&gt;"",TRIM(AB699)&lt;&gt;"Closed"),"INVALID – corrective action still open",IF(AND(NOT(OR(LEN(AZ699)&lt;15,ISNUMBER(MATCH(AZ699,L_Placeholder,0)))),NOT(OR(LEN(AU699)&lt;2,ISNUMBER(MATCH(AU699,L_Placeholder,0)))),NOT(OR(LEN(AX699)&lt;2,ISNUMBER(MATCH(AX699,L_Placeholder,0)))),TRIM(AE699)&lt;&gt;TRIM(T699)),"N/A – JUSTIFIED","INVALID – N/A needs a real justification (15+ chars), PIC and a different verifier"))),IF(OR(TRIM(U699)="Pass",TRIM(U699)="Pass after CA"),IF(NOT(ISNUMBER(AD699)),"INVALID – completion time missing",IF(OR(LEN(AU699)&lt;2,ISNUMBER(MATCH(AU699,L_Placeholder,0))),"INVALID – PIC missing",IF(OR(LEN(AV699)&lt;2,ISNUMBER(MATCH(AV699,L_Placeholder,0))),"INVALID – result / assessment missing",IF(OR(OR(LEN(AW699)&lt;3,ISNUMBER(MATCH(AW699,L_Placeholder,0))),SUMPRODUCT(--ISNUMBER(SEARCH(L_EvidencePhrase,AW699)))&gt;0),"INVALID – evidence missing, placeholder or not yet on file",IF(OR(LEN(AX699)&lt;2,ISNUMBER(MATCH(AX699,L_Placeholder,0))),"INVALID – verifier missing",IF(AX699=AU699,"INVALID – verifier must be someone other than the PIC",IF(AND(TRIM(U699)="Pass",SUMPRODUCT(--ISNUMBER(SEARCH(L_ResultBad,AV699)))&gt;0),"INVALID – result describes a problem: use Fail, then Pass after CA",IF(AND(AQ699=1,OR(LEN(AY699)&lt;3,ISNUMBER(MATCH(AY699,L_Placeholder,0)))),"INVALID – batch ID missing or placeholder",IF(AND(AR699=1,OR(NOT(ISNUMBER(X699)),NOT(ISNUMBER(Y699)))),"INVALID – expected/actual qty missing",IF(AND(AR699=1,OR(X699&lt;=0,Y699&lt;0)),"INVALID – expected qty must be above 0 and actual not negative",IF(AH688="N/A – JUSTIFIED","INVALID – preparation row F21-T12-13 is N/A",IF(AND(AR699=1,ISNUMBER(X688),X699&lt;&gt;X688),"INVALID – expected qty differs from preparation check F21-T12-13",IF(BB699&lt;&gt;"",BB699,IF(AND(AS699=1,Documents!$J$25&lt;&gt;"ON FILE"),"INVALID – GLD not on file (Documents sheet)",IF(AND(AS699=2,Documents!$O$25&lt;&gt;"ON FILE"),"INVALID – menu checklist not on file (Documents sheet)",IF(AND(AS699=3,NOT(ISNUMBER(Flights!$AX$25))),"INVALID – enter carrying flight KUL departure (Flights AX)",IF(AND(AS699=3,OR(Flights!$AZ$25&gt;Flights!$AA$25,Flights!$AX$25&lt;Flights!$AA$25-3)),"INVALID – carrying flight (Flights AX) cannot arrive before this leg's STD, or is over 3 days early",IF(AG699&gt;AsOfUTC,"INVALID – completion time is in the future",IF(AND(ISNUMBER(S699),AG699&lt;S699),IF(H699="Physical uplift","INVALID – before uplift window (cannot confirm loading)","INVALID – before valid window"),IF(AG699&gt;Flights!$AA$25,"INVALID – completed after departure (cannot establish readiness)",IF(AND(H699="Preparation",AG699&gt;IF(ISNUMBER(Flights!$BA$25),MIN(Flights!$BA$25,Flights!$AA$25),Flights!$AA$25)),"INVALID – completed after loading / departure (cannot establish readiness)",IF(AND(H699="Physical uplift",AG699&gt;Q699),"INVALID – recorded after the loading flight departed",IF(AG699&gt;Q699,"COMPLETE – LATE","COMPLETE"))))))))))))))))))))))),IF(TRIM(U699)="Fail","FAIL – DISCREPANCY",IF(AND(TRIM(U699)&lt;&gt;"",TRIM(U699)&lt;&gt;"Not started",TRIM(U699)&lt;&gt;"In progress"),"INVALID – unrecognised status (use the list)",IF(AsOfUTC&gt;Q699,"OVERDUE",IF(N699="Clarification required","OPEN – CLARIFICATION","OPEN"))))))),"INVALID – error value in an input cell")</f>
        <v>OPEN</v>
      </c>
      <c r="AI699" s="61" t="n">
        <f aca="false">IF(OR(AH699="N/A – RULE",AH699="N/A – JUSTIFIED"),0,1)</f>
        <v>1</v>
      </c>
      <c r="AJ699" s="61" t="n">
        <f aca="false">IF(LEFT(AH699,8)="COMPLETE",1,0)</f>
        <v>0</v>
      </c>
      <c r="AK699" s="61" t="n">
        <f aca="false">IF(AND(AI699=1,AJ699=0,AsOfUTC&gt;Q699),1,0)</f>
        <v>0</v>
      </c>
      <c r="AL699" s="61" t="n">
        <f aca="false">IFERROR(IF(AND(AI699=1,OR(TRIM(U699)="Fail",AND(TRIM(AB699)&lt;&gt;"",TRIM(AB699)&lt;&gt;"Closed"),AND(ISNUMBER(AF699),AF699&lt;&gt;0,TRIM(U699)&lt;&gt;"Pass after CA"))),1,0),1)</f>
        <v>0</v>
      </c>
      <c r="AM699" s="61" t="n">
        <f aca="false">IF(LEFT(AH699,7)="INVALID",1,0)</f>
        <v>0</v>
      </c>
      <c r="AN699" s="61" t="n">
        <f aca="false">IF(AND(N699="Clarification required",AI699=1,AJ699=0),1,0)</f>
        <v>0</v>
      </c>
      <c r="AO699" s="61" t="str">
        <f aca="false">IF(AK699=1,SUM(AK$5:AK699),"")</f>
        <v/>
      </c>
      <c r="AP699" s="61" t="str">
        <f aca="false">IF(AL699=1,SUM(AL$5:AL699),"")</f>
        <v/>
      </c>
      <c r="AQ699" s="61" t="n">
        <v>0</v>
      </c>
      <c r="AR699" s="61" t="n">
        <v>0</v>
      </c>
      <c r="AS699" s="61" t="n">
        <v>0</v>
      </c>
      <c r="AT699" s="61" t="n">
        <v>0</v>
      </c>
      <c r="AU699" s="61" t="str">
        <f aca="false">SUBSTITUTE(SUBSTITUTE(SUBSTITUTE(SUBSTITUTE(SUBSTITUTE(SUBSTITUTE(SUBSTITUTE(SUBSTITUTE(SUBSTITUTE(SUBSTITUTE(SUBSTITUTE(SUBSTITUTE(SUBSTITUTE(LOWER(T699&amp;""),CHAR(160),"")," ",""),".",""),"-",""),"/",""),"?",""),"_",""),",",""),"[",""),"]",""),"(",""),")",""),"*","")</f>
        <v/>
      </c>
      <c r="AV699" s="61" t="str">
        <f aca="false">SUBSTITUTE(SUBSTITUTE(SUBSTITUTE(SUBSTITUTE(SUBSTITUTE(SUBSTITUTE(SUBSTITUTE(SUBSTITUTE(SUBSTITUTE(SUBSTITUTE(SUBSTITUTE(SUBSTITUTE(SUBSTITUTE(LOWER(V699&amp;""),CHAR(160),"")," ",""),".",""),"-",""),"/",""),"?",""),"_",""),",",""),"[",""),"]",""),"(",""),")",""),"*","")</f>
        <v/>
      </c>
      <c r="AW699" s="61" t="str">
        <f aca="false">SUBSTITUTE(SUBSTITUTE(SUBSTITUTE(SUBSTITUTE(SUBSTITUTE(SUBSTITUTE(SUBSTITUTE(SUBSTITUTE(SUBSTITUTE(SUBSTITUTE(SUBSTITUTE(SUBSTITUTE(SUBSTITUTE(LOWER(Z699&amp;""),CHAR(160),"")," ",""),".",""),"-",""),"/",""),"?",""),"_",""),",",""),"[",""),"]",""),"(",""),")",""),"*","")</f>
        <v/>
      </c>
      <c r="AX699" s="61" t="str">
        <f aca="false">SUBSTITUTE(SUBSTITUTE(SUBSTITUTE(SUBSTITUTE(SUBSTITUTE(SUBSTITUTE(SUBSTITUTE(SUBSTITUTE(SUBSTITUTE(SUBSTITUTE(SUBSTITUTE(SUBSTITUTE(SUBSTITUTE(LOWER(AE699&amp;""),CHAR(160),"")," ",""),".",""),"-",""),"/",""),"?",""),"_",""),",",""),"[",""),"]",""),"(",""),")",""),"*","")</f>
        <v/>
      </c>
      <c r="AY699" s="61" t="str">
        <f aca="false">SUBSTITUTE(SUBSTITUTE(SUBSTITUTE(SUBSTITUTE(SUBSTITUTE(SUBSTITUTE(SUBSTITUTE(SUBSTITUTE(SUBSTITUTE(SUBSTITUTE(SUBSTITUTE(SUBSTITUTE(SUBSTITUTE(LOWER(W699&amp;""),CHAR(160),"")," ",""),".",""),"-",""),"/",""),"?",""),"_",""),",",""),"[",""),"]",""),"(",""),")",""),"*","")</f>
        <v/>
      </c>
      <c r="AZ699" s="61" t="str">
        <f aca="false">SUBSTITUTE(SUBSTITUTE(SUBSTITUTE(SUBSTITUTE(SUBSTITUTE(SUBSTITUTE(SUBSTITUTE(SUBSTITUTE(SUBSTITUTE(SUBSTITUTE(SUBSTITUTE(SUBSTITUTE(SUBSTITUTE(LOWER(AC699&amp;""),CHAR(160),"")," ",""),".",""),"-",""),"/",""),"?",""),"_",""),",",""),"[",""),"]",""),"(",""),")",""),"*","")</f>
        <v/>
      </c>
      <c r="BA699" s="61" t="str">
        <f aca="false">SUBSTITUTE(SUBSTITUTE(SUBSTITUTE(SUBSTITUTE(SUBSTITUTE(SUBSTITUTE(SUBSTITUTE(SUBSTITUTE(SUBSTITUTE(SUBSTITUTE(SUBSTITUTE(SUBSTITUTE(SUBSTITUTE(LOWER(AA699&amp;""),CHAR(160),"")," ",""),".",""),"-",""),"/",""),"?",""),"_",""),",",""),"[",""),"]",""),"(",""),")",""),"*","")</f>
        <v/>
      </c>
      <c r="BB699" s="61" t="str">
        <f aca="false">IF(AND(TRIM(U699)="Pass",ISNUMBER(AF699)),IF(AF699&lt;&gt;0,"INVALID – qty variance: use Fail or Pass after CA",""),"")&amp;IF(AND(TRIM(U699)="Pass after CA",ISNUMBER(AF699)),IF(AF699&lt;&gt;0,"INVALID – after the corrective action the actual qty must equal expected (update Actual)",""),"")&amp;IF(AND(TRIM(U699)="Pass",TRIM(AB699)&lt;&gt;"",TRIM(AB699)&lt;&gt;"Closed"),"INVALID – corrective action not closed: use Fail, then Pass after CA","")&amp;IF(AND(TRIM(AA699)&lt;&gt;"",TRIM(AB699)=""),"INVALID – CA status missing for the recorded corrective action","")&amp;IF(AND(TRIM(U699)="Pass after CA",OR(OR(LEN(BA699)&lt;5,ISNUMBER(MATCH(BA699,L_Placeholder,0))),TRIM(AB699)&lt;&gt;"Closed")),"INVALID – corrective action not recorded/closed","")</f>
        <v/>
      </c>
    </row>
    <row r="700" customFormat="false" ht="39.75" hidden="false" customHeight="true" outlineLevel="0" collapsed="false">
      <c r="A700" s="57" t="s">
        <v>1412</v>
      </c>
      <c r="B700" s="57" t="s">
        <v>307</v>
      </c>
      <c r="C700" s="57" t="str">
        <f aca="false">Flights!$F$25</f>
        <v>MH1437</v>
      </c>
      <c r="D700" s="58" t="n">
        <f aca="false">Flights!$D$25</f>
        <v>46325</v>
      </c>
      <c r="E700" s="57" t="str">
        <f aca="false">Flights!$G$25&amp;"-"&amp;Flights!$H$25</f>
        <v>LGK-KUL</v>
      </c>
      <c r="F700" s="57" t="str">
        <f aca="false">Flights!$K$25</f>
        <v>BC</v>
      </c>
      <c r="G700" s="57" t="s">
        <v>437</v>
      </c>
      <c r="H700" s="57" t="s">
        <v>438</v>
      </c>
      <c r="I700" s="57" t="s">
        <v>425</v>
      </c>
      <c r="J700" s="57" t="s">
        <v>531</v>
      </c>
      <c r="K700" s="67" t="s">
        <v>427</v>
      </c>
      <c r="L700" s="67" t="s">
        <v>1398</v>
      </c>
      <c r="M700" s="67" t="s">
        <v>429</v>
      </c>
      <c r="N700" s="67" t="s">
        <v>361</v>
      </c>
      <c r="O700" s="67"/>
      <c r="P700" s="57" t="s">
        <v>303</v>
      </c>
      <c r="Q700" s="59" t="n">
        <f aca="false">ROUND((Flights!$AF$25)*1440,0)/1440</f>
        <v>46325.28125</v>
      </c>
      <c r="R700" s="59" t="n">
        <f aca="false">Q700+(IF(AND(INDEX(TZ_DSTS,MATCH(P700,TZ_STN,0))&lt;&gt;"",Q700&gt;=INDEX(TZ_DSTS,MATCH(P700,TZ_STN,0)),Q700&lt;INDEX(TZ_DSTE,MATCH(P700,TZ_STN,0))),INDEX(TZ_DST,MATCH(P700,TZ_STN,0)),INDEX(TZ_STD,MATCH(P700,TZ_STN,0))))/24</f>
        <v>46325.6145833333</v>
      </c>
      <c r="S700" s="59" t="n">
        <f aca="false">IF(ISNUMBER(Flights!$AZ$25),MAX(Q700-UpliftWindowH/24,Flights!$AZ$25),Q700-UpliftWindowH/24)</f>
        <v>46325.03125</v>
      </c>
      <c r="T700" s="60"/>
      <c r="U700" s="60"/>
      <c r="V700" s="60"/>
      <c r="W700" s="61"/>
      <c r="X700" s="60"/>
      <c r="Y700" s="60"/>
      <c r="Z700" s="60"/>
      <c r="AA700" s="60"/>
      <c r="AB700" s="60"/>
      <c r="AC700" s="60"/>
      <c r="AD700" s="66"/>
      <c r="AE700" s="60"/>
      <c r="AF700" s="61" t="str">
        <f aca="false">IF(AND(ISNUMBER(X700),ISNUMBER(Y700)),Y700-X700,"")</f>
        <v/>
      </c>
      <c r="AG700" s="62" t="str">
        <f aca="false">IF(ISNUMBER(AD700),AD700-(IF(AND(INDEX(TZ_DSTS,MATCH(P700,TZ_STN,0))&lt;&gt;"",(AD700-INDEX(TZ_STD,MATCH(P700,TZ_STN,0))/24)&gt;=INDEX(TZ_DSTS,MATCH(P700,TZ_STN,0)),(AD700-INDEX(TZ_STD,MATCH(P700,TZ_STN,0))/24)&lt;INDEX(TZ_DSTE,MATCH(P700,TZ_STN,0))),INDEX(TZ_DST,MATCH(P700,TZ_STN,0)),INDEX(TZ_STD,MATCH(P700,TZ_STN,0))))/24,"")</f>
        <v/>
      </c>
      <c r="AH700" s="65" t="str">
        <f aca="false">IFERROR(IF(N700="N/A – rule","N/A – RULE",IF(TRIM(U700)="N/A",IF(AT700=0,"INVALID – N/A not permitted for this check",IF(AND(TRIM(AB700)&lt;&gt;"",TRIM(AB700)&lt;&gt;"Closed"),"INVALID – corrective action still open",IF(AND(NOT(OR(LEN(AZ700)&lt;15,ISNUMBER(MATCH(AZ700,L_Placeholder,0)))),NOT(OR(LEN(AU700)&lt;2,ISNUMBER(MATCH(AU700,L_Placeholder,0)))),NOT(OR(LEN(AX700)&lt;2,ISNUMBER(MATCH(AX700,L_Placeholder,0)))),TRIM(AE700)&lt;&gt;TRIM(T700)),"N/A – JUSTIFIED","INVALID – N/A needs a real justification (15+ chars), PIC and a different verifier"))),IF(OR(TRIM(U700)="Pass",TRIM(U700)="Pass after CA"),IF(NOT(ISNUMBER(AD700)),"INVALID – completion time missing",IF(OR(LEN(AU700)&lt;2,ISNUMBER(MATCH(AU700,L_Placeholder,0))),"INVALID – PIC missing",IF(OR(LEN(AV700)&lt;2,ISNUMBER(MATCH(AV700,L_Placeholder,0))),"INVALID – result / assessment missing",IF(OR(OR(LEN(AW700)&lt;3,ISNUMBER(MATCH(AW700,L_Placeholder,0))),SUMPRODUCT(--ISNUMBER(SEARCH(L_EvidencePhrase,AW700)))&gt;0),"INVALID – evidence missing, placeholder or not yet on file",IF(OR(LEN(AX700)&lt;2,ISNUMBER(MATCH(AX700,L_Placeholder,0))),"INVALID – verifier missing",IF(AX700=AU700,"INVALID – verifier must be someone other than the PIC",IF(AND(TRIM(U700)="Pass",SUMPRODUCT(--ISNUMBER(SEARCH(L_ResultBad,AV700)))&gt;0),"INVALID – result describes a problem: use Fail, then Pass after CA",IF(AND(AQ700=1,OR(LEN(AY700)&lt;3,ISNUMBER(MATCH(AY700,L_Placeholder,0)))),"INVALID – batch ID missing or placeholder",IF(AND(AR700=1,OR(NOT(ISNUMBER(X700)),NOT(ISNUMBER(Y700)))),"INVALID – expected/actual qty missing",IF(AND(AR700=1,OR(X700&lt;=0,Y700&lt;0)),"INVALID – expected qty must be above 0 and actual not negative",IF(AH689="N/A – JUSTIFIED","INVALID – preparation row F21-T12-14 is N/A",IF(AND(AR700=1,ISNUMBER(X689),X700&lt;&gt;X689),"INVALID – expected qty differs from preparation check F21-T12-14",IF(BB700&lt;&gt;"",BB700,IF(AND(AS700=1,Documents!$J$25&lt;&gt;"ON FILE"),"INVALID – GLD not on file (Documents sheet)",IF(AND(AS700=2,Documents!$O$25&lt;&gt;"ON FILE"),"INVALID – menu checklist not on file (Documents sheet)",IF(AND(AS700=3,NOT(ISNUMBER(Flights!$AX$25))),"INVALID – enter carrying flight KUL departure (Flights AX)",IF(AND(AS700=3,OR(Flights!$AZ$25&gt;Flights!$AA$25,Flights!$AX$25&lt;Flights!$AA$25-3)),"INVALID – carrying flight (Flights AX) cannot arrive before this leg's STD, or is over 3 days early",IF(AG700&gt;AsOfUTC,"INVALID – completion time is in the future",IF(AND(ISNUMBER(S700),AG700&lt;S700),IF(H700="Physical uplift","INVALID – before uplift window (cannot confirm loading)","INVALID – before valid window"),IF(AG700&gt;Flights!$AA$25,"INVALID – completed after departure (cannot establish readiness)",IF(AND(H700="Preparation",AG700&gt;IF(ISNUMBER(Flights!$BA$25),MIN(Flights!$BA$25,Flights!$AA$25),Flights!$AA$25)),"INVALID – completed after loading / departure (cannot establish readiness)",IF(AND(H700="Physical uplift",AG700&gt;Q700),"INVALID – recorded after the loading flight departed",IF(AG700&gt;Q700,"COMPLETE – LATE","COMPLETE"))))))))))))))))))))))),IF(TRIM(U700)="Fail","FAIL – DISCREPANCY",IF(AND(TRIM(U700)&lt;&gt;"",TRIM(U700)&lt;&gt;"Not started",TRIM(U700)&lt;&gt;"In progress"),"INVALID – unrecognised status (use the list)",IF(AsOfUTC&gt;Q700,"OVERDUE",IF(N700="Clarification required","OPEN – CLARIFICATION","OPEN"))))))),"INVALID – error value in an input cell")</f>
        <v>OPEN</v>
      </c>
      <c r="AI700" s="61" t="n">
        <f aca="false">IF(OR(AH700="N/A – RULE",AH700="N/A – JUSTIFIED"),0,1)</f>
        <v>1</v>
      </c>
      <c r="AJ700" s="61" t="n">
        <f aca="false">IF(LEFT(AH700,8)="COMPLETE",1,0)</f>
        <v>0</v>
      </c>
      <c r="AK700" s="61" t="n">
        <f aca="false">IF(AND(AI700=1,AJ700=0,AsOfUTC&gt;Q700),1,0)</f>
        <v>0</v>
      </c>
      <c r="AL700" s="61" t="n">
        <f aca="false">IFERROR(IF(AND(AI700=1,OR(TRIM(U700)="Fail",AND(TRIM(AB700)&lt;&gt;"",TRIM(AB700)&lt;&gt;"Closed"),AND(ISNUMBER(AF700),AF700&lt;&gt;0,TRIM(U700)&lt;&gt;"Pass after CA"))),1,0),1)</f>
        <v>0</v>
      </c>
      <c r="AM700" s="61" t="n">
        <f aca="false">IF(LEFT(AH700,7)="INVALID",1,0)</f>
        <v>0</v>
      </c>
      <c r="AN700" s="61" t="n">
        <f aca="false">IF(AND(N700="Clarification required",AI700=1,AJ700=0),1,0)</f>
        <v>0</v>
      </c>
      <c r="AO700" s="61" t="str">
        <f aca="false">IF(AK700=1,SUM(AK$5:AK700),"")</f>
        <v/>
      </c>
      <c r="AP700" s="61" t="str">
        <f aca="false">IF(AL700=1,SUM(AL$5:AL700),"")</f>
        <v/>
      </c>
      <c r="AQ700" s="61" t="n">
        <v>0</v>
      </c>
      <c r="AR700" s="61" t="n">
        <v>0</v>
      </c>
      <c r="AS700" s="61" t="n">
        <v>0</v>
      </c>
      <c r="AT700" s="61" t="n">
        <v>0</v>
      </c>
      <c r="AU700" s="61" t="str">
        <f aca="false">SUBSTITUTE(SUBSTITUTE(SUBSTITUTE(SUBSTITUTE(SUBSTITUTE(SUBSTITUTE(SUBSTITUTE(SUBSTITUTE(SUBSTITUTE(SUBSTITUTE(SUBSTITUTE(SUBSTITUTE(SUBSTITUTE(LOWER(T700&amp;""),CHAR(160),"")," ",""),".",""),"-",""),"/",""),"?",""),"_",""),",",""),"[",""),"]",""),"(",""),")",""),"*","")</f>
        <v/>
      </c>
      <c r="AV700" s="61" t="str">
        <f aca="false">SUBSTITUTE(SUBSTITUTE(SUBSTITUTE(SUBSTITUTE(SUBSTITUTE(SUBSTITUTE(SUBSTITUTE(SUBSTITUTE(SUBSTITUTE(SUBSTITUTE(SUBSTITUTE(SUBSTITUTE(SUBSTITUTE(LOWER(V700&amp;""),CHAR(160),"")," ",""),".",""),"-",""),"/",""),"?",""),"_",""),",",""),"[",""),"]",""),"(",""),")",""),"*","")</f>
        <v/>
      </c>
      <c r="AW700" s="61" t="str">
        <f aca="false">SUBSTITUTE(SUBSTITUTE(SUBSTITUTE(SUBSTITUTE(SUBSTITUTE(SUBSTITUTE(SUBSTITUTE(SUBSTITUTE(SUBSTITUTE(SUBSTITUTE(SUBSTITUTE(SUBSTITUTE(SUBSTITUTE(LOWER(Z700&amp;""),CHAR(160),"")," ",""),".",""),"-",""),"/",""),"?",""),"_",""),",",""),"[",""),"]",""),"(",""),")",""),"*","")</f>
        <v/>
      </c>
      <c r="AX700" s="61" t="str">
        <f aca="false">SUBSTITUTE(SUBSTITUTE(SUBSTITUTE(SUBSTITUTE(SUBSTITUTE(SUBSTITUTE(SUBSTITUTE(SUBSTITUTE(SUBSTITUTE(SUBSTITUTE(SUBSTITUTE(SUBSTITUTE(SUBSTITUTE(LOWER(AE700&amp;""),CHAR(160),"")," ",""),".",""),"-",""),"/",""),"?",""),"_",""),",",""),"[",""),"]",""),"(",""),")",""),"*","")</f>
        <v/>
      </c>
      <c r="AY700" s="61" t="str">
        <f aca="false">SUBSTITUTE(SUBSTITUTE(SUBSTITUTE(SUBSTITUTE(SUBSTITUTE(SUBSTITUTE(SUBSTITUTE(SUBSTITUTE(SUBSTITUTE(SUBSTITUTE(SUBSTITUTE(SUBSTITUTE(SUBSTITUTE(LOWER(W700&amp;""),CHAR(160),"")," ",""),".",""),"-",""),"/",""),"?",""),"_",""),",",""),"[",""),"]",""),"(",""),")",""),"*","")</f>
        <v/>
      </c>
      <c r="AZ700" s="61" t="str">
        <f aca="false">SUBSTITUTE(SUBSTITUTE(SUBSTITUTE(SUBSTITUTE(SUBSTITUTE(SUBSTITUTE(SUBSTITUTE(SUBSTITUTE(SUBSTITUTE(SUBSTITUTE(SUBSTITUTE(SUBSTITUTE(SUBSTITUTE(LOWER(AC700&amp;""),CHAR(160),"")," ",""),".",""),"-",""),"/",""),"?",""),"_",""),",",""),"[",""),"]",""),"(",""),")",""),"*","")</f>
        <v/>
      </c>
      <c r="BA700" s="61" t="str">
        <f aca="false">SUBSTITUTE(SUBSTITUTE(SUBSTITUTE(SUBSTITUTE(SUBSTITUTE(SUBSTITUTE(SUBSTITUTE(SUBSTITUTE(SUBSTITUTE(SUBSTITUTE(SUBSTITUTE(SUBSTITUTE(SUBSTITUTE(LOWER(AA700&amp;""),CHAR(160),"")," ",""),".",""),"-",""),"/",""),"?",""),"_",""),",",""),"[",""),"]",""),"(",""),")",""),"*","")</f>
        <v/>
      </c>
      <c r="BB700" s="61" t="str">
        <f aca="false">IF(AND(TRIM(U700)="Pass",ISNUMBER(AF700)),IF(AF700&lt;&gt;0,"INVALID – qty variance: use Fail or Pass after CA",""),"")&amp;IF(AND(TRIM(U700)="Pass after CA",ISNUMBER(AF700)),IF(AF700&lt;&gt;0,"INVALID – after the corrective action the actual qty must equal expected (update Actual)",""),"")&amp;IF(AND(TRIM(U700)="Pass",TRIM(AB700)&lt;&gt;"",TRIM(AB700)&lt;&gt;"Closed"),"INVALID – corrective action not closed: use Fail, then Pass after CA","")&amp;IF(AND(TRIM(AA700)&lt;&gt;"",TRIM(AB700)=""),"INVALID – CA status missing for the recorded corrective action","")&amp;IF(AND(TRIM(U700)="Pass after CA",OR(OR(LEN(BA700)&lt;5,ISNUMBER(MATCH(BA700,L_Placeholder,0))),TRIM(AB700)&lt;&gt;"Closed")),"INVALID – corrective action not recorded/closed","")</f>
        <v/>
      </c>
    </row>
    <row r="701" customFormat="false" ht="39.75" hidden="false" customHeight="true" outlineLevel="0" collapsed="false">
      <c r="A701" s="57" t="s">
        <v>1413</v>
      </c>
      <c r="B701" s="57" t="s">
        <v>307</v>
      </c>
      <c r="C701" s="57" t="str">
        <f aca="false">Flights!$F$25</f>
        <v>MH1437</v>
      </c>
      <c r="D701" s="58" t="n">
        <f aca="false">Flights!$D$25</f>
        <v>46325</v>
      </c>
      <c r="E701" s="57" t="str">
        <f aca="false">Flights!$G$25&amp;"-"&amp;Flights!$H$25</f>
        <v>LGK-KUL</v>
      </c>
      <c r="F701" s="57" t="str">
        <f aca="false">Flights!$K$25</f>
        <v>BC</v>
      </c>
      <c r="G701" s="57" t="s">
        <v>437</v>
      </c>
      <c r="H701" s="57" t="s">
        <v>438</v>
      </c>
      <c r="I701" s="57" t="s">
        <v>425</v>
      </c>
      <c r="J701" s="57" t="s">
        <v>533</v>
      </c>
      <c r="K701" s="67" t="s">
        <v>427</v>
      </c>
      <c r="L701" s="67" t="s">
        <v>1400</v>
      </c>
      <c r="M701" s="67" t="s">
        <v>429</v>
      </c>
      <c r="N701" s="67" t="s">
        <v>361</v>
      </c>
      <c r="O701" s="67"/>
      <c r="P701" s="57" t="s">
        <v>303</v>
      </c>
      <c r="Q701" s="59" t="n">
        <f aca="false">ROUND((Flights!$AF$25)*1440,0)/1440</f>
        <v>46325.28125</v>
      </c>
      <c r="R701" s="59" t="n">
        <f aca="false">Q701+(IF(AND(INDEX(TZ_DSTS,MATCH(P701,TZ_STN,0))&lt;&gt;"",Q701&gt;=INDEX(TZ_DSTS,MATCH(P701,TZ_STN,0)),Q701&lt;INDEX(TZ_DSTE,MATCH(P701,TZ_STN,0))),INDEX(TZ_DST,MATCH(P701,TZ_STN,0)),INDEX(TZ_STD,MATCH(P701,TZ_STN,0))))/24</f>
        <v>46325.6145833333</v>
      </c>
      <c r="S701" s="59" t="n">
        <f aca="false">IF(ISNUMBER(Flights!$AZ$25),MAX(Q701-UpliftWindowH/24,Flights!$AZ$25),Q701-UpliftWindowH/24)</f>
        <v>46325.03125</v>
      </c>
      <c r="T701" s="60"/>
      <c r="U701" s="60"/>
      <c r="V701" s="60"/>
      <c r="W701" s="61"/>
      <c r="X701" s="60"/>
      <c r="Y701" s="60"/>
      <c r="Z701" s="60"/>
      <c r="AA701" s="60"/>
      <c r="AB701" s="60"/>
      <c r="AC701" s="60"/>
      <c r="AD701" s="66"/>
      <c r="AE701" s="60"/>
      <c r="AF701" s="61" t="str">
        <f aca="false">IF(AND(ISNUMBER(X701),ISNUMBER(Y701)),Y701-X701,"")</f>
        <v/>
      </c>
      <c r="AG701" s="62" t="str">
        <f aca="false">IF(ISNUMBER(AD701),AD701-(IF(AND(INDEX(TZ_DSTS,MATCH(P701,TZ_STN,0))&lt;&gt;"",(AD701-INDEX(TZ_STD,MATCH(P701,TZ_STN,0))/24)&gt;=INDEX(TZ_DSTS,MATCH(P701,TZ_STN,0)),(AD701-INDEX(TZ_STD,MATCH(P701,TZ_STN,0))/24)&lt;INDEX(TZ_DSTE,MATCH(P701,TZ_STN,0))),INDEX(TZ_DST,MATCH(P701,TZ_STN,0)),INDEX(TZ_STD,MATCH(P701,TZ_STN,0))))/24,"")</f>
        <v/>
      </c>
      <c r="AH701" s="65" t="str">
        <f aca="false">IFERROR(IF(N701="N/A – rule","N/A – RULE",IF(TRIM(U701)="N/A",IF(AT701=0,"INVALID – N/A not permitted for this check",IF(AND(TRIM(AB701)&lt;&gt;"",TRIM(AB701)&lt;&gt;"Closed"),"INVALID – corrective action still open",IF(AND(NOT(OR(LEN(AZ701)&lt;15,ISNUMBER(MATCH(AZ701,L_Placeholder,0)))),NOT(OR(LEN(AU701)&lt;2,ISNUMBER(MATCH(AU701,L_Placeholder,0)))),NOT(OR(LEN(AX701)&lt;2,ISNUMBER(MATCH(AX701,L_Placeholder,0)))),TRIM(AE701)&lt;&gt;TRIM(T701)),"N/A – JUSTIFIED","INVALID – N/A needs a real justification (15+ chars), PIC and a different verifier"))),IF(OR(TRIM(U701)="Pass",TRIM(U701)="Pass after CA"),IF(NOT(ISNUMBER(AD701)),"INVALID – completion time missing",IF(OR(LEN(AU701)&lt;2,ISNUMBER(MATCH(AU701,L_Placeholder,0))),"INVALID – PIC missing",IF(OR(LEN(AV701)&lt;2,ISNUMBER(MATCH(AV701,L_Placeholder,0))),"INVALID – result / assessment missing",IF(OR(OR(LEN(AW701)&lt;3,ISNUMBER(MATCH(AW701,L_Placeholder,0))),SUMPRODUCT(--ISNUMBER(SEARCH(L_EvidencePhrase,AW701)))&gt;0),"INVALID – evidence missing, placeholder or not yet on file",IF(OR(LEN(AX701)&lt;2,ISNUMBER(MATCH(AX701,L_Placeholder,0))),"INVALID – verifier missing",IF(AX701=AU701,"INVALID – verifier must be someone other than the PIC",IF(AND(TRIM(U701)="Pass",SUMPRODUCT(--ISNUMBER(SEARCH(L_ResultBad,AV701)))&gt;0),"INVALID – result describes a problem: use Fail, then Pass after CA",IF(AND(AQ701=1,OR(LEN(AY701)&lt;3,ISNUMBER(MATCH(AY701,L_Placeholder,0)))),"INVALID – batch ID missing or placeholder",IF(AND(AR701=1,OR(NOT(ISNUMBER(X701)),NOT(ISNUMBER(Y701)))),"INVALID – expected/actual qty missing",IF(AND(AR701=1,OR(X701&lt;=0,Y701&lt;0)),"INVALID – expected qty must be above 0 and actual not negative",IF(AH690="N/A – JUSTIFIED","INVALID – preparation row F21-T12-15 is N/A",IF(AND(AR701=1,ISNUMBER(X690),X701&lt;&gt;X690),"INVALID – expected qty differs from preparation check F21-T12-15",IF(BB701&lt;&gt;"",BB701,IF(AND(AS701=1,Documents!$J$25&lt;&gt;"ON FILE"),"INVALID – GLD not on file (Documents sheet)",IF(AND(AS701=2,Documents!$O$25&lt;&gt;"ON FILE"),"INVALID – menu checklist not on file (Documents sheet)",IF(AND(AS701=3,NOT(ISNUMBER(Flights!$AX$25))),"INVALID – enter carrying flight KUL departure (Flights AX)",IF(AND(AS701=3,OR(Flights!$AZ$25&gt;Flights!$AA$25,Flights!$AX$25&lt;Flights!$AA$25-3)),"INVALID – carrying flight (Flights AX) cannot arrive before this leg's STD, or is over 3 days early",IF(AG701&gt;AsOfUTC,"INVALID – completion time is in the future",IF(AND(ISNUMBER(S701),AG701&lt;S701),IF(H701="Physical uplift","INVALID – before uplift window (cannot confirm loading)","INVALID – before valid window"),IF(AG701&gt;Flights!$AA$25,"INVALID – completed after departure (cannot establish readiness)",IF(AND(H701="Preparation",AG701&gt;IF(ISNUMBER(Flights!$BA$25),MIN(Flights!$BA$25,Flights!$AA$25),Flights!$AA$25)),"INVALID – completed after loading / departure (cannot establish readiness)",IF(AND(H701="Physical uplift",AG701&gt;Q701),"INVALID – recorded after the loading flight departed",IF(AG701&gt;Q701,"COMPLETE – LATE","COMPLETE"))))))))))))))))))))))),IF(TRIM(U701)="Fail","FAIL – DISCREPANCY",IF(AND(TRIM(U701)&lt;&gt;"",TRIM(U701)&lt;&gt;"Not started",TRIM(U701)&lt;&gt;"In progress"),"INVALID – unrecognised status (use the list)",IF(AsOfUTC&gt;Q701,"OVERDUE",IF(N701="Clarification required","OPEN – CLARIFICATION","OPEN"))))))),"INVALID – error value in an input cell")</f>
        <v>OPEN</v>
      </c>
      <c r="AI701" s="61" t="n">
        <f aca="false">IF(OR(AH701="N/A – RULE",AH701="N/A – JUSTIFIED"),0,1)</f>
        <v>1</v>
      </c>
      <c r="AJ701" s="61" t="n">
        <f aca="false">IF(LEFT(AH701,8)="COMPLETE",1,0)</f>
        <v>0</v>
      </c>
      <c r="AK701" s="61" t="n">
        <f aca="false">IF(AND(AI701=1,AJ701=0,AsOfUTC&gt;Q701),1,0)</f>
        <v>0</v>
      </c>
      <c r="AL701" s="61" t="n">
        <f aca="false">IFERROR(IF(AND(AI701=1,OR(TRIM(U701)="Fail",AND(TRIM(AB701)&lt;&gt;"",TRIM(AB701)&lt;&gt;"Closed"),AND(ISNUMBER(AF701),AF701&lt;&gt;0,TRIM(U701)&lt;&gt;"Pass after CA"))),1,0),1)</f>
        <v>0</v>
      </c>
      <c r="AM701" s="61" t="n">
        <f aca="false">IF(LEFT(AH701,7)="INVALID",1,0)</f>
        <v>0</v>
      </c>
      <c r="AN701" s="61" t="n">
        <f aca="false">IF(AND(N701="Clarification required",AI701=1,AJ701=0),1,0)</f>
        <v>0</v>
      </c>
      <c r="AO701" s="61" t="str">
        <f aca="false">IF(AK701=1,SUM(AK$5:AK701),"")</f>
        <v/>
      </c>
      <c r="AP701" s="61" t="str">
        <f aca="false">IF(AL701=1,SUM(AL$5:AL701),"")</f>
        <v/>
      </c>
      <c r="AQ701" s="61" t="n">
        <v>0</v>
      </c>
      <c r="AR701" s="61" t="n">
        <v>0</v>
      </c>
      <c r="AS701" s="61" t="n">
        <v>0</v>
      </c>
      <c r="AT701" s="61" t="n">
        <v>0</v>
      </c>
      <c r="AU701" s="61" t="str">
        <f aca="false">SUBSTITUTE(SUBSTITUTE(SUBSTITUTE(SUBSTITUTE(SUBSTITUTE(SUBSTITUTE(SUBSTITUTE(SUBSTITUTE(SUBSTITUTE(SUBSTITUTE(SUBSTITUTE(SUBSTITUTE(SUBSTITUTE(LOWER(T701&amp;""),CHAR(160),"")," ",""),".",""),"-",""),"/",""),"?",""),"_",""),",",""),"[",""),"]",""),"(",""),")",""),"*","")</f>
        <v/>
      </c>
      <c r="AV701" s="61" t="str">
        <f aca="false">SUBSTITUTE(SUBSTITUTE(SUBSTITUTE(SUBSTITUTE(SUBSTITUTE(SUBSTITUTE(SUBSTITUTE(SUBSTITUTE(SUBSTITUTE(SUBSTITUTE(SUBSTITUTE(SUBSTITUTE(SUBSTITUTE(LOWER(V701&amp;""),CHAR(160),"")," ",""),".",""),"-",""),"/",""),"?",""),"_",""),",",""),"[",""),"]",""),"(",""),")",""),"*","")</f>
        <v/>
      </c>
      <c r="AW701" s="61" t="str">
        <f aca="false">SUBSTITUTE(SUBSTITUTE(SUBSTITUTE(SUBSTITUTE(SUBSTITUTE(SUBSTITUTE(SUBSTITUTE(SUBSTITUTE(SUBSTITUTE(SUBSTITUTE(SUBSTITUTE(SUBSTITUTE(SUBSTITUTE(LOWER(Z701&amp;""),CHAR(160),"")," ",""),".",""),"-",""),"/",""),"?",""),"_",""),",",""),"[",""),"]",""),"(",""),")",""),"*","")</f>
        <v/>
      </c>
      <c r="AX701" s="61" t="str">
        <f aca="false">SUBSTITUTE(SUBSTITUTE(SUBSTITUTE(SUBSTITUTE(SUBSTITUTE(SUBSTITUTE(SUBSTITUTE(SUBSTITUTE(SUBSTITUTE(SUBSTITUTE(SUBSTITUTE(SUBSTITUTE(SUBSTITUTE(LOWER(AE701&amp;""),CHAR(160),"")," ",""),".",""),"-",""),"/",""),"?",""),"_",""),",",""),"[",""),"]",""),"(",""),")",""),"*","")</f>
        <v/>
      </c>
      <c r="AY701" s="61" t="str">
        <f aca="false">SUBSTITUTE(SUBSTITUTE(SUBSTITUTE(SUBSTITUTE(SUBSTITUTE(SUBSTITUTE(SUBSTITUTE(SUBSTITUTE(SUBSTITUTE(SUBSTITUTE(SUBSTITUTE(SUBSTITUTE(SUBSTITUTE(LOWER(W701&amp;""),CHAR(160),"")," ",""),".",""),"-",""),"/",""),"?",""),"_",""),",",""),"[",""),"]",""),"(",""),")",""),"*","")</f>
        <v/>
      </c>
      <c r="AZ701" s="61" t="str">
        <f aca="false">SUBSTITUTE(SUBSTITUTE(SUBSTITUTE(SUBSTITUTE(SUBSTITUTE(SUBSTITUTE(SUBSTITUTE(SUBSTITUTE(SUBSTITUTE(SUBSTITUTE(SUBSTITUTE(SUBSTITUTE(SUBSTITUTE(LOWER(AC701&amp;""),CHAR(160),"")," ",""),".",""),"-",""),"/",""),"?",""),"_",""),",",""),"[",""),"]",""),"(",""),")",""),"*","")</f>
        <v/>
      </c>
      <c r="BA701" s="61" t="str">
        <f aca="false">SUBSTITUTE(SUBSTITUTE(SUBSTITUTE(SUBSTITUTE(SUBSTITUTE(SUBSTITUTE(SUBSTITUTE(SUBSTITUTE(SUBSTITUTE(SUBSTITUTE(SUBSTITUTE(SUBSTITUTE(SUBSTITUTE(LOWER(AA701&amp;""),CHAR(160),"")," ",""),".",""),"-",""),"/",""),"?",""),"_",""),",",""),"[",""),"]",""),"(",""),")",""),"*","")</f>
        <v/>
      </c>
      <c r="BB701" s="61" t="str">
        <f aca="false">IF(AND(TRIM(U701)="Pass",ISNUMBER(AF701)),IF(AF701&lt;&gt;0,"INVALID – qty variance: use Fail or Pass after CA",""),"")&amp;IF(AND(TRIM(U701)="Pass after CA",ISNUMBER(AF701)),IF(AF701&lt;&gt;0,"INVALID – after the corrective action the actual qty must equal expected (update Actual)",""),"")&amp;IF(AND(TRIM(U701)="Pass",TRIM(AB701)&lt;&gt;"",TRIM(AB701)&lt;&gt;"Closed"),"INVALID – corrective action not closed: use Fail, then Pass after CA","")&amp;IF(AND(TRIM(AA701)&lt;&gt;"",TRIM(AB701)=""),"INVALID – CA status missing for the recorded corrective action","")&amp;IF(AND(TRIM(U701)="Pass after CA",OR(OR(LEN(BA701)&lt;5,ISNUMBER(MATCH(BA701,L_Placeholder,0))),TRIM(AB701)&lt;&gt;"Closed")),"INVALID – corrective action not recorded/closed","")</f>
        <v/>
      </c>
    </row>
    <row r="702" customFormat="false" ht="39.75" hidden="false" customHeight="true" outlineLevel="0" collapsed="false">
      <c r="A702" s="57" t="s">
        <v>1414</v>
      </c>
      <c r="B702" s="57" t="s">
        <v>309</v>
      </c>
      <c r="C702" s="57" t="str">
        <f aca="false">Flights!$F$26</f>
        <v>MH0002</v>
      </c>
      <c r="D702" s="58" t="n">
        <f aca="false">Flights!$D$26</f>
        <v>46325</v>
      </c>
      <c r="E702" s="57" t="str">
        <f aca="false">Flights!$G$26&amp;"-"&amp;Flights!$H$26</f>
        <v>KUL-LHR</v>
      </c>
      <c r="F702" s="57" t="str">
        <f aca="false">Flights!$K$26</f>
        <v>BC</v>
      </c>
      <c r="G702" s="57" t="s">
        <v>79</v>
      </c>
      <c r="H702" s="57" t="s">
        <v>356</v>
      </c>
      <c r="I702" s="57" t="s">
        <v>357</v>
      </c>
      <c r="J702" s="57" t="s">
        <v>358</v>
      </c>
      <c r="K702" s="67" t="s">
        <v>359</v>
      </c>
      <c r="L702" s="67" t="s">
        <v>360</v>
      </c>
      <c r="M702" s="67"/>
      <c r="N702" s="67" t="s">
        <v>361</v>
      </c>
      <c r="O702" s="67"/>
      <c r="P702" s="57" t="s">
        <v>184</v>
      </c>
      <c r="Q702" s="59" t="n">
        <f aca="false">ROUND((Flights!$AC$26)*1440,0)/1440</f>
        <v>46318.6388888889</v>
      </c>
      <c r="R702" s="59" t="n">
        <f aca="false">Q702+(IF(AND(INDEX(TZ_DSTS,MATCH(P702,TZ_STN,0))&lt;&gt;"",Q702&gt;=INDEX(TZ_DSTS,MATCH(P702,TZ_STN,0)),Q702&lt;INDEX(TZ_DSTE,MATCH(P702,TZ_STN,0))),INDEX(TZ_DST,MATCH(P702,TZ_STN,0)),INDEX(TZ_STD,MATCH(P702,TZ_STN,0))))/24</f>
        <v>46318.9722222222</v>
      </c>
      <c r="S702" s="59" t="n">
        <f aca="false">Q702-T7EarlyD*24/24</f>
        <v>46304.6388888889</v>
      </c>
      <c r="T702" s="60"/>
      <c r="U702" s="60"/>
      <c r="V702" s="60"/>
      <c r="W702" s="61"/>
      <c r="X702" s="60"/>
      <c r="Y702" s="60"/>
      <c r="Z702" s="60"/>
      <c r="AA702" s="60"/>
      <c r="AB702" s="60"/>
      <c r="AC702" s="60"/>
      <c r="AD702" s="66"/>
      <c r="AE702" s="60"/>
      <c r="AF702" s="61" t="str">
        <f aca="false">IF(AND(ISNUMBER(X702),ISNUMBER(Y702)),Y702-X702,"")</f>
        <v/>
      </c>
      <c r="AG702" s="62" t="str">
        <f aca="false">IF(ISNUMBER(AD702),AD702-(IF(AND(INDEX(TZ_DSTS,MATCH(P702,TZ_STN,0))&lt;&gt;"",(AD702-INDEX(TZ_STD,MATCH(P702,TZ_STN,0))/24)&gt;=INDEX(TZ_DSTS,MATCH(P702,TZ_STN,0)),(AD702-INDEX(TZ_STD,MATCH(P702,TZ_STN,0))/24)&lt;INDEX(TZ_DSTE,MATCH(P702,TZ_STN,0))),INDEX(TZ_DST,MATCH(P702,TZ_STN,0)),INDEX(TZ_STD,MATCH(P702,TZ_STN,0))))/24,"")</f>
        <v/>
      </c>
      <c r="AH702" s="65" t="str">
        <f aca="false">IFERROR(IF(N702="N/A – rule","N/A – RULE",IF(TRIM(U702)="N/A",IF(AT702=0,"INVALID – N/A not permitted for this check",IF(AND(TRIM(AB702)&lt;&gt;"",TRIM(AB702)&lt;&gt;"Closed"),"INVALID – corrective action still open",IF(AND(NOT(OR(LEN(AZ702)&lt;15,ISNUMBER(MATCH(AZ702,L_Placeholder,0)))),NOT(OR(LEN(AU702)&lt;2,ISNUMBER(MATCH(AU702,L_Placeholder,0)))),NOT(OR(LEN(AX702)&lt;2,ISNUMBER(MATCH(AX702,L_Placeholder,0)))),TRIM(AE702)&lt;&gt;TRIM(T702)),"N/A – JUSTIFIED","INVALID – N/A needs a real justification (15+ chars), PIC and a different verifier"))),IF(OR(TRIM(U702)="Pass",TRIM(U702)="Pass after CA"),IF(NOT(ISNUMBER(AD702)),"INVALID – completion time missing",IF(OR(LEN(AU702)&lt;2,ISNUMBER(MATCH(AU702,L_Placeholder,0))),"INVALID – PIC missing",IF(OR(LEN(AV702)&lt;2,ISNUMBER(MATCH(AV702,L_Placeholder,0))),"INVALID – result / assessment missing",IF(OR(OR(LEN(AW702)&lt;3,ISNUMBER(MATCH(AW702,L_Placeholder,0))),SUMPRODUCT(--ISNUMBER(SEARCH(L_EvidencePhrase,AW702)))&gt;0),"INVALID – evidence missing, placeholder or not yet on file",IF(OR(LEN(AX702)&lt;2,ISNUMBER(MATCH(AX702,L_Placeholder,0))),"INVALID – verifier missing",IF(AX702=AU702,"INVALID – verifier must be someone other than the PIC",IF(AND(TRIM(U702)="Pass",SUMPRODUCT(--ISNUMBER(SEARCH(L_ResultBad,AV702)))&gt;0),"INVALID – result describes a problem: use Fail, then Pass after CA",IF(AND(AQ702=1,OR(LEN(AY702)&lt;3,ISNUMBER(MATCH(AY702,L_Placeholder,0)))),"INVALID – batch ID missing or placeholder",IF(AND(AR702=1,OR(NOT(ISNUMBER(X702)),NOT(ISNUMBER(Y702)))),"INVALID – expected/actual qty missing",IF(AND(AR702=1,OR(X702&lt;=0,Y702&lt;0)),"INVALID – expected qty must be above 0 and actual not negative",IF(BB702&lt;&gt;"",BB702,IF(AND(AS702=1,Documents!$J$26&lt;&gt;"ON FILE"),"INVALID – GLD not on file (Documents sheet)",IF(AND(AS702=2,Documents!$O$26&lt;&gt;"ON FILE"),"INVALID – menu checklist not on file (Documents sheet)",IF(AND(AS702=3,NOT(ISNUMBER(Flights!$AX$26))),"INVALID – enter carrying flight KUL departure (Flights AX)",IF(AND(AS702=3,OR(Flights!$AZ$26&gt;Flights!$AA$26,Flights!$AX$26&lt;Flights!$AA$26-3)),"INVALID – carrying flight (Flights AX) cannot arrive before this leg's STD, or is over 3 days early",IF(AG702&gt;AsOfUTC,"INVALID – completion time is in the future",IF(AND(ISNUMBER(S702),AG702&lt;S702),IF(H702="Physical uplift","INVALID – before uplift window (cannot confirm loading)","INVALID – before valid window"),IF(AG702&gt;Flights!$AA$26,"INVALID – completed after departure (cannot establish readiness)",IF(AND(H702="Preparation",AG702&gt;IF(ISNUMBER(Flights!$BA$26),MIN(Flights!$BA$26,Flights!$AA$26),Flights!$AA$26)),"INVALID – completed after loading / departure (cannot establish readiness)",IF(AND(H702="Physical uplift",AG702&gt;Q702),"INVALID – recorded after the loading flight departed",IF(AG702&gt;Q702,"COMPLETE – LATE","COMPLETE"))))))))))))))))))))),IF(TRIM(U702)="Fail","FAIL – DISCREPANCY",IF(AND(TRIM(U702)&lt;&gt;"",TRIM(U702)&lt;&gt;"Not started",TRIM(U702)&lt;&gt;"In progress"),"INVALID – unrecognised status (use the list)",IF(AsOfUTC&gt;Q702,"OVERDUE",IF(N702="Clarification required","OPEN – CLARIFICATION","OPEN"))))))),"INVALID – error value in an input cell")</f>
        <v>OPEN</v>
      </c>
      <c r="AI702" s="61" t="n">
        <f aca="false">IF(OR(AH702="N/A – RULE",AH702="N/A – JUSTIFIED"),0,1)</f>
        <v>1</v>
      </c>
      <c r="AJ702" s="61" t="n">
        <f aca="false">IF(LEFT(AH702,8)="COMPLETE",1,0)</f>
        <v>0</v>
      </c>
      <c r="AK702" s="61" t="n">
        <f aca="false">IF(AND(AI702=1,AJ702=0,AsOfUTC&gt;Q702),1,0)</f>
        <v>0</v>
      </c>
      <c r="AL702" s="61" t="n">
        <f aca="false">IFERROR(IF(AND(AI702=1,OR(TRIM(U702)="Fail",AND(TRIM(AB702)&lt;&gt;"",TRIM(AB702)&lt;&gt;"Closed"),AND(ISNUMBER(AF702),AF702&lt;&gt;0,TRIM(U702)&lt;&gt;"Pass after CA"))),1,0),1)</f>
        <v>0</v>
      </c>
      <c r="AM702" s="61" t="n">
        <f aca="false">IF(LEFT(AH702,7)="INVALID",1,0)</f>
        <v>0</v>
      </c>
      <c r="AN702" s="61" t="n">
        <f aca="false">IF(AND(N702="Clarification required",AI702=1,AJ702=0),1,0)</f>
        <v>0</v>
      </c>
      <c r="AO702" s="61" t="str">
        <f aca="false">IF(AK702=1,SUM(AK$5:AK702),"")</f>
        <v/>
      </c>
      <c r="AP702" s="61" t="str">
        <f aca="false">IF(AL702=1,SUM(AL$5:AL702),"")</f>
        <v/>
      </c>
      <c r="AQ702" s="61" t="n">
        <v>0</v>
      </c>
      <c r="AR702" s="61" t="n">
        <v>0</v>
      </c>
      <c r="AS702" s="61" t="n">
        <v>0</v>
      </c>
      <c r="AT702" s="61" t="n">
        <v>0</v>
      </c>
      <c r="AU702" s="61" t="str">
        <f aca="false">SUBSTITUTE(SUBSTITUTE(SUBSTITUTE(SUBSTITUTE(SUBSTITUTE(SUBSTITUTE(SUBSTITUTE(SUBSTITUTE(SUBSTITUTE(SUBSTITUTE(SUBSTITUTE(SUBSTITUTE(SUBSTITUTE(LOWER(T702&amp;""),CHAR(160),"")," ",""),".",""),"-",""),"/",""),"?",""),"_",""),",",""),"[",""),"]",""),"(",""),")",""),"*","")</f>
        <v/>
      </c>
      <c r="AV702" s="61" t="str">
        <f aca="false">SUBSTITUTE(SUBSTITUTE(SUBSTITUTE(SUBSTITUTE(SUBSTITUTE(SUBSTITUTE(SUBSTITUTE(SUBSTITUTE(SUBSTITUTE(SUBSTITUTE(SUBSTITUTE(SUBSTITUTE(SUBSTITUTE(LOWER(V702&amp;""),CHAR(160),"")," ",""),".",""),"-",""),"/",""),"?",""),"_",""),",",""),"[",""),"]",""),"(",""),")",""),"*","")</f>
        <v/>
      </c>
      <c r="AW702" s="61" t="str">
        <f aca="false">SUBSTITUTE(SUBSTITUTE(SUBSTITUTE(SUBSTITUTE(SUBSTITUTE(SUBSTITUTE(SUBSTITUTE(SUBSTITUTE(SUBSTITUTE(SUBSTITUTE(SUBSTITUTE(SUBSTITUTE(SUBSTITUTE(LOWER(Z702&amp;""),CHAR(160),"")," ",""),".",""),"-",""),"/",""),"?",""),"_",""),",",""),"[",""),"]",""),"(",""),")",""),"*","")</f>
        <v/>
      </c>
      <c r="AX702" s="61" t="str">
        <f aca="false">SUBSTITUTE(SUBSTITUTE(SUBSTITUTE(SUBSTITUTE(SUBSTITUTE(SUBSTITUTE(SUBSTITUTE(SUBSTITUTE(SUBSTITUTE(SUBSTITUTE(SUBSTITUTE(SUBSTITUTE(SUBSTITUTE(LOWER(AE702&amp;""),CHAR(160),"")," ",""),".",""),"-",""),"/",""),"?",""),"_",""),",",""),"[",""),"]",""),"(",""),")",""),"*","")</f>
        <v/>
      </c>
      <c r="AY702" s="61" t="str">
        <f aca="false">SUBSTITUTE(SUBSTITUTE(SUBSTITUTE(SUBSTITUTE(SUBSTITUTE(SUBSTITUTE(SUBSTITUTE(SUBSTITUTE(SUBSTITUTE(SUBSTITUTE(SUBSTITUTE(SUBSTITUTE(SUBSTITUTE(LOWER(W702&amp;""),CHAR(160),"")," ",""),".",""),"-",""),"/",""),"?",""),"_",""),",",""),"[",""),"]",""),"(",""),")",""),"*","")</f>
        <v/>
      </c>
      <c r="AZ702" s="61" t="str">
        <f aca="false">SUBSTITUTE(SUBSTITUTE(SUBSTITUTE(SUBSTITUTE(SUBSTITUTE(SUBSTITUTE(SUBSTITUTE(SUBSTITUTE(SUBSTITUTE(SUBSTITUTE(SUBSTITUTE(SUBSTITUTE(SUBSTITUTE(LOWER(AC702&amp;""),CHAR(160),"")," ",""),".",""),"-",""),"/",""),"?",""),"_",""),",",""),"[",""),"]",""),"(",""),")",""),"*","")</f>
        <v/>
      </c>
      <c r="BA702" s="61" t="str">
        <f aca="false">SUBSTITUTE(SUBSTITUTE(SUBSTITUTE(SUBSTITUTE(SUBSTITUTE(SUBSTITUTE(SUBSTITUTE(SUBSTITUTE(SUBSTITUTE(SUBSTITUTE(SUBSTITUTE(SUBSTITUTE(SUBSTITUTE(LOWER(AA702&amp;""),CHAR(160),"")," ",""),".",""),"-",""),"/",""),"?",""),"_",""),",",""),"[",""),"]",""),"(",""),")",""),"*","")</f>
        <v/>
      </c>
      <c r="BB702" s="61" t="str">
        <f aca="false">IF(AND(TRIM(U702)="Pass",ISNUMBER(AF702)),IF(AF702&lt;&gt;0,"INVALID – qty variance: use Fail or Pass after CA",""),"")&amp;IF(AND(TRIM(U702)="Pass after CA",ISNUMBER(AF702)),IF(AF702&lt;&gt;0,"INVALID – after the corrective action the actual qty must equal expected (update Actual)",""),"")&amp;IF(AND(TRIM(U702)="Pass",TRIM(AB702)&lt;&gt;"",TRIM(AB702)&lt;&gt;"Closed"),"INVALID – corrective action not closed: use Fail, then Pass after CA","")&amp;IF(AND(TRIM(AA702)&lt;&gt;"",TRIM(AB702)=""),"INVALID – CA status missing for the recorded corrective action","")&amp;IF(AND(TRIM(U702)="Pass after CA",OR(OR(LEN(BA702)&lt;5,ISNUMBER(MATCH(BA702,L_Placeholder,0))),TRIM(AB702)&lt;&gt;"Closed")),"INVALID – corrective action not recorded/closed","")</f>
        <v/>
      </c>
    </row>
    <row r="703" customFormat="false" ht="39.75" hidden="false" customHeight="true" outlineLevel="0" collapsed="false">
      <c r="A703" s="57" t="s">
        <v>1415</v>
      </c>
      <c r="B703" s="57" t="s">
        <v>309</v>
      </c>
      <c r="C703" s="57" t="str">
        <f aca="false">Flights!$F$26</f>
        <v>MH0002</v>
      </c>
      <c r="D703" s="58" t="n">
        <f aca="false">Flights!$D$26</f>
        <v>46325</v>
      </c>
      <c r="E703" s="57" t="str">
        <f aca="false">Flights!$G$26&amp;"-"&amp;Flights!$H$26</f>
        <v>KUL-LHR</v>
      </c>
      <c r="F703" s="57" t="str">
        <f aca="false">Flights!$K$26</f>
        <v>BC</v>
      </c>
      <c r="G703" s="57" t="s">
        <v>79</v>
      </c>
      <c r="H703" s="57" t="s">
        <v>356</v>
      </c>
      <c r="I703" s="57" t="s">
        <v>363</v>
      </c>
      <c r="J703" s="57" t="s">
        <v>364</v>
      </c>
      <c r="K703" s="67" t="s">
        <v>365</v>
      </c>
      <c r="L703" s="67" t="s">
        <v>360</v>
      </c>
      <c r="M703" s="67"/>
      <c r="N703" s="67" t="s">
        <v>361</v>
      </c>
      <c r="O703" s="67"/>
      <c r="P703" s="57" t="s">
        <v>184</v>
      </c>
      <c r="Q703" s="59" t="n">
        <f aca="false">ROUND((Flights!$AC$26)*1440,0)/1440</f>
        <v>46318.6388888889</v>
      </c>
      <c r="R703" s="59" t="n">
        <f aca="false">Q703+(IF(AND(INDEX(TZ_DSTS,MATCH(P703,TZ_STN,0))&lt;&gt;"",Q703&gt;=INDEX(TZ_DSTS,MATCH(P703,TZ_STN,0)),Q703&lt;INDEX(TZ_DSTE,MATCH(P703,TZ_STN,0))),INDEX(TZ_DST,MATCH(P703,TZ_STN,0)),INDEX(TZ_STD,MATCH(P703,TZ_STN,0))))/24</f>
        <v>46318.9722222222</v>
      </c>
      <c r="S703" s="59" t="n">
        <f aca="false">Q703-T7EarlyD*24/24</f>
        <v>46304.6388888889</v>
      </c>
      <c r="T703" s="60"/>
      <c r="U703" s="60"/>
      <c r="V703" s="60"/>
      <c r="W703" s="61"/>
      <c r="X703" s="60"/>
      <c r="Y703" s="60"/>
      <c r="Z703" s="60"/>
      <c r="AA703" s="60"/>
      <c r="AB703" s="60"/>
      <c r="AC703" s="60"/>
      <c r="AD703" s="66"/>
      <c r="AE703" s="60"/>
      <c r="AF703" s="61" t="str">
        <f aca="false">IF(AND(ISNUMBER(X703),ISNUMBER(Y703)),Y703-X703,"")</f>
        <v/>
      </c>
      <c r="AG703" s="62" t="str">
        <f aca="false">IF(ISNUMBER(AD703),AD703-(IF(AND(INDEX(TZ_DSTS,MATCH(P703,TZ_STN,0))&lt;&gt;"",(AD703-INDEX(TZ_STD,MATCH(P703,TZ_STN,0))/24)&gt;=INDEX(TZ_DSTS,MATCH(P703,TZ_STN,0)),(AD703-INDEX(TZ_STD,MATCH(P703,TZ_STN,0))/24)&lt;INDEX(TZ_DSTE,MATCH(P703,TZ_STN,0))),INDEX(TZ_DST,MATCH(P703,TZ_STN,0)),INDEX(TZ_STD,MATCH(P703,TZ_STN,0))))/24,"")</f>
        <v/>
      </c>
      <c r="AH703" s="65" t="str">
        <f aca="false">IFERROR(IF(N703="N/A – rule","N/A – RULE",IF(TRIM(U703)="N/A",IF(AT703=0,"INVALID – N/A not permitted for this check",IF(AND(TRIM(AB703)&lt;&gt;"",TRIM(AB703)&lt;&gt;"Closed"),"INVALID – corrective action still open",IF(AND(NOT(OR(LEN(AZ703)&lt;15,ISNUMBER(MATCH(AZ703,L_Placeholder,0)))),NOT(OR(LEN(AU703)&lt;2,ISNUMBER(MATCH(AU703,L_Placeholder,0)))),NOT(OR(LEN(AX703)&lt;2,ISNUMBER(MATCH(AX703,L_Placeholder,0)))),TRIM(AE703)&lt;&gt;TRIM(T703)),"N/A – JUSTIFIED","INVALID – N/A needs a real justification (15+ chars), PIC and a different verifier"))),IF(OR(TRIM(U703)="Pass",TRIM(U703)="Pass after CA"),IF(NOT(ISNUMBER(AD703)),"INVALID – completion time missing",IF(OR(LEN(AU703)&lt;2,ISNUMBER(MATCH(AU703,L_Placeholder,0))),"INVALID – PIC missing",IF(OR(LEN(AV703)&lt;2,ISNUMBER(MATCH(AV703,L_Placeholder,0))),"INVALID – result / assessment missing",IF(OR(OR(LEN(AW703)&lt;3,ISNUMBER(MATCH(AW703,L_Placeholder,0))),SUMPRODUCT(--ISNUMBER(SEARCH(L_EvidencePhrase,AW703)))&gt;0),"INVALID – evidence missing, placeholder or not yet on file",IF(OR(LEN(AX703)&lt;2,ISNUMBER(MATCH(AX703,L_Placeholder,0))),"INVALID – verifier missing",IF(AX703=AU703,"INVALID – verifier must be someone other than the PIC",IF(AND(TRIM(U703)="Pass",SUMPRODUCT(--ISNUMBER(SEARCH(L_ResultBad,AV703)))&gt;0),"INVALID – result describes a problem: use Fail, then Pass after CA",IF(AND(AQ703=1,OR(LEN(AY703)&lt;3,ISNUMBER(MATCH(AY703,L_Placeholder,0)))),"INVALID – batch ID missing or placeholder",IF(AND(AR703=1,OR(NOT(ISNUMBER(X703)),NOT(ISNUMBER(Y703)))),"INVALID – expected/actual qty missing",IF(AND(AR703=1,OR(X703&lt;=0,Y703&lt;0)),"INVALID – expected qty must be above 0 and actual not negative",IF(BB703&lt;&gt;"",BB703,IF(AND(AS703=1,Documents!$J$26&lt;&gt;"ON FILE"),"INVALID – GLD not on file (Documents sheet)",IF(AND(AS703=2,Documents!$O$26&lt;&gt;"ON FILE"),"INVALID – menu checklist not on file (Documents sheet)",IF(AND(AS703=3,NOT(ISNUMBER(Flights!$AX$26))),"INVALID – enter carrying flight KUL departure (Flights AX)",IF(AND(AS703=3,OR(Flights!$AZ$26&gt;Flights!$AA$26,Flights!$AX$26&lt;Flights!$AA$26-3)),"INVALID – carrying flight (Flights AX) cannot arrive before this leg's STD, or is over 3 days early",IF(AG703&gt;AsOfUTC,"INVALID – completion time is in the future",IF(AND(ISNUMBER(S703),AG703&lt;S703),IF(H703="Physical uplift","INVALID – before uplift window (cannot confirm loading)","INVALID – before valid window"),IF(AG703&gt;Flights!$AA$26,"INVALID – completed after departure (cannot establish readiness)",IF(AND(H703="Preparation",AG703&gt;IF(ISNUMBER(Flights!$BA$26),MIN(Flights!$BA$26,Flights!$AA$26),Flights!$AA$26)),"INVALID – completed after loading / departure (cannot establish readiness)",IF(AND(H703="Physical uplift",AG703&gt;Q703),"INVALID – recorded after the loading flight departed",IF(AG703&gt;Q703,"COMPLETE – LATE","COMPLETE"))))))))))))))))))))),IF(TRIM(U703)="Fail","FAIL – DISCREPANCY",IF(AND(TRIM(U703)&lt;&gt;"",TRIM(U703)&lt;&gt;"Not started",TRIM(U703)&lt;&gt;"In progress"),"INVALID – unrecognised status (use the list)",IF(AsOfUTC&gt;Q703,"OVERDUE",IF(N703="Clarification required","OPEN – CLARIFICATION","OPEN"))))))),"INVALID – error value in an input cell")</f>
        <v>OPEN</v>
      </c>
      <c r="AI703" s="61" t="n">
        <f aca="false">IF(OR(AH703="N/A – RULE",AH703="N/A – JUSTIFIED"),0,1)</f>
        <v>1</v>
      </c>
      <c r="AJ703" s="61" t="n">
        <f aca="false">IF(LEFT(AH703,8)="COMPLETE",1,0)</f>
        <v>0</v>
      </c>
      <c r="AK703" s="61" t="n">
        <f aca="false">IF(AND(AI703=1,AJ703=0,AsOfUTC&gt;Q703),1,0)</f>
        <v>0</v>
      </c>
      <c r="AL703" s="61" t="n">
        <f aca="false">IFERROR(IF(AND(AI703=1,OR(TRIM(U703)="Fail",AND(TRIM(AB703)&lt;&gt;"",TRIM(AB703)&lt;&gt;"Closed"),AND(ISNUMBER(AF703),AF703&lt;&gt;0,TRIM(U703)&lt;&gt;"Pass after CA"))),1,0),1)</f>
        <v>0</v>
      </c>
      <c r="AM703" s="61" t="n">
        <f aca="false">IF(LEFT(AH703,7)="INVALID",1,0)</f>
        <v>0</v>
      </c>
      <c r="AN703" s="61" t="n">
        <f aca="false">IF(AND(N703="Clarification required",AI703=1,AJ703=0),1,0)</f>
        <v>0</v>
      </c>
      <c r="AO703" s="61" t="str">
        <f aca="false">IF(AK703=1,SUM(AK$5:AK703),"")</f>
        <v/>
      </c>
      <c r="AP703" s="61" t="str">
        <f aca="false">IF(AL703=1,SUM(AL$5:AL703),"")</f>
        <v/>
      </c>
      <c r="AQ703" s="61" t="n">
        <v>0</v>
      </c>
      <c r="AR703" s="61" t="n">
        <v>0</v>
      </c>
      <c r="AS703" s="61" t="n">
        <v>0</v>
      </c>
      <c r="AT703" s="61" t="n">
        <v>0</v>
      </c>
      <c r="AU703" s="61" t="str">
        <f aca="false">SUBSTITUTE(SUBSTITUTE(SUBSTITUTE(SUBSTITUTE(SUBSTITUTE(SUBSTITUTE(SUBSTITUTE(SUBSTITUTE(SUBSTITUTE(SUBSTITUTE(SUBSTITUTE(SUBSTITUTE(SUBSTITUTE(LOWER(T703&amp;""),CHAR(160),"")," ",""),".",""),"-",""),"/",""),"?",""),"_",""),",",""),"[",""),"]",""),"(",""),")",""),"*","")</f>
        <v/>
      </c>
      <c r="AV703" s="61" t="str">
        <f aca="false">SUBSTITUTE(SUBSTITUTE(SUBSTITUTE(SUBSTITUTE(SUBSTITUTE(SUBSTITUTE(SUBSTITUTE(SUBSTITUTE(SUBSTITUTE(SUBSTITUTE(SUBSTITUTE(SUBSTITUTE(SUBSTITUTE(LOWER(V703&amp;""),CHAR(160),"")," ",""),".",""),"-",""),"/",""),"?",""),"_",""),",",""),"[",""),"]",""),"(",""),")",""),"*","")</f>
        <v/>
      </c>
      <c r="AW703" s="61" t="str">
        <f aca="false">SUBSTITUTE(SUBSTITUTE(SUBSTITUTE(SUBSTITUTE(SUBSTITUTE(SUBSTITUTE(SUBSTITUTE(SUBSTITUTE(SUBSTITUTE(SUBSTITUTE(SUBSTITUTE(SUBSTITUTE(SUBSTITUTE(LOWER(Z703&amp;""),CHAR(160),"")," ",""),".",""),"-",""),"/",""),"?",""),"_",""),",",""),"[",""),"]",""),"(",""),")",""),"*","")</f>
        <v/>
      </c>
      <c r="AX703" s="61" t="str">
        <f aca="false">SUBSTITUTE(SUBSTITUTE(SUBSTITUTE(SUBSTITUTE(SUBSTITUTE(SUBSTITUTE(SUBSTITUTE(SUBSTITUTE(SUBSTITUTE(SUBSTITUTE(SUBSTITUTE(SUBSTITUTE(SUBSTITUTE(LOWER(AE703&amp;""),CHAR(160),"")," ",""),".",""),"-",""),"/",""),"?",""),"_",""),",",""),"[",""),"]",""),"(",""),")",""),"*","")</f>
        <v/>
      </c>
      <c r="AY703" s="61" t="str">
        <f aca="false">SUBSTITUTE(SUBSTITUTE(SUBSTITUTE(SUBSTITUTE(SUBSTITUTE(SUBSTITUTE(SUBSTITUTE(SUBSTITUTE(SUBSTITUTE(SUBSTITUTE(SUBSTITUTE(SUBSTITUTE(SUBSTITUTE(LOWER(W703&amp;""),CHAR(160),"")," ",""),".",""),"-",""),"/",""),"?",""),"_",""),",",""),"[",""),"]",""),"(",""),")",""),"*","")</f>
        <v/>
      </c>
      <c r="AZ703" s="61" t="str">
        <f aca="false">SUBSTITUTE(SUBSTITUTE(SUBSTITUTE(SUBSTITUTE(SUBSTITUTE(SUBSTITUTE(SUBSTITUTE(SUBSTITUTE(SUBSTITUTE(SUBSTITUTE(SUBSTITUTE(SUBSTITUTE(SUBSTITUTE(LOWER(AC703&amp;""),CHAR(160),"")," ",""),".",""),"-",""),"/",""),"?",""),"_",""),",",""),"[",""),"]",""),"(",""),")",""),"*","")</f>
        <v/>
      </c>
      <c r="BA703" s="61" t="str">
        <f aca="false">SUBSTITUTE(SUBSTITUTE(SUBSTITUTE(SUBSTITUTE(SUBSTITUTE(SUBSTITUTE(SUBSTITUTE(SUBSTITUTE(SUBSTITUTE(SUBSTITUTE(SUBSTITUTE(SUBSTITUTE(SUBSTITUTE(LOWER(AA703&amp;""),CHAR(160),"")," ",""),".",""),"-",""),"/",""),"?",""),"_",""),",",""),"[",""),"]",""),"(",""),")",""),"*","")</f>
        <v/>
      </c>
      <c r="BB703" s="61" t="str">
        <f aca="false">IF(AND(TRIM(U703)="Pass",ISNUMBER(AF703)),IF(AF703&lt;&gt;0,"INVALID – qty variance: use Fail or Pass after CA",""),"")&amp;IF(AND(TRIM(U703)="Pass after CA",ISNUMBER(AF703)),IF(AF703&lt;&gt;0,"INVALID – after the corrective action the actual qty must equal expected (update Actual)",""),"")&amp;IF(AND(TRIM(U703)="Pass",TRIM(AB703)&lt;&gt;"",TRIM(AB703)&lt;&gt;"Closed"),"INVALID – corrective action not closed: use Fail, then Pass after CA","")&amp;IF(AND(TRIM(AA703)&lt;&gt;"",TRIM(AB703)=""),"INVALID – CA status missing for the recorded corrective action","")&amp;IF(AND(TRIM(U703)="Pass after CA",OR(OR(LEN(BA703)&lt;5,ISNUMBER(MATCH(BA703,L_Placeholder,0))),TRIM(AB703)&lt;&gt;"Closed")),"INVALID – corrective action not recorded/closed","")</f>
        <v/>
      </c>
    </row>
    <row r="704" customFormat="false" ht="41.25" hidden="false" customHeight="true" outlineLevel="0" collapsed="false">
      <c r="A704" s="57" t="s">
        <v>1416</v>
      </c>
      <c r="B704" s="57" t="s">
        <v>309</v>
      </c>
      <c r="C704" s="57" t="str">
        <f aca="false">Flights!$F$26</f>
        <v>MH0002</v>
      </c>
      <c r="D704" s="58" t="n">
        <f aca="false">Flights!$D$26</f>
        <v>46325</v>
      </c>
      <c r="E704" s="57" t="str">
        <f aca="false">Flights!$G$26&amp;"-"&amp;Flights!$H$26</f>
        <v>KUL-LHR</v>
      </c>
      <c r="F704" s="57" t="str">
        <f aca="false">Flights!$K$26</f>
        <v>BC</v>
      </c>
      <c r="G704" s="57" t="s">
        <v>79</v>
      </c>
      <c r="H704" s="57" t="s">
        <v>356</v>
      </c>
      <c r="I704" s="57" t="s">
        <v>367</v>
      </c>
      <c r="J704" s="57" t="s">
        <v>368</v>
      </c>
      <c r="K704" s="67" t="s">
        <v>369</v>
      </c>
      <c r="L704" s="67" t="s">
        <v>360</v>
      </c>
      <c r="M704" s="67"/>
      <c r="N704" s="67" t="str">
        <f aca="false">IF(TRIM(Flights!$L$26)="A339","Required","N/A – rule")</f>
        <v>N/A – rule</v>
      </c>
      <c r="O704" s="67" t="s">
        <v>370</v>
      </c>
      <c r="P704" s="57" t="s">
        <v>184</v>
      </c>
      <c r="Q704" s="59" t="n">
        <f aca="false">ROUND((Flights!$AC$26)*1440,0)/1440</f>
        <v>46318.6388888889</v>
      </c>
      <c r="R704" s="59" t="n">
        <f aca="false">Q704+(IF(AND(INDEX(TZ_DSTS,MATCH(P704,TZ_STN,0))&lt;&gt;"",Q704&gt;=INDEX(TZ_DSTS,MATCH(P704,TZ_STN,0)),Q704&lt;INDEX(TZ_DSTE,MATCH(P704,TZ_STN,0))),INDEX(TZ_DST,MATCH(P704,TZ_STN,0)),INDEX(TZ_STD,MATCH(P704,TZ_STN,0))))/24</f>
        <v>46318.9722222222</v>
      </c>
      <c r="S704" s="59" t="n">
        <f aca="false">Q704-T7EarlyD*24/24</f>
        <v>46304.6388888889</v>
      </c>
      <c r="T704" s="60"/>
      <c r="U704" s="60"/>
      <c r="V704" s="60"/>
      <c r="W704" s="61"/>
      <c r="X704" s="60"/>
      <c r="Y704" s="60"/>
      <c r="Z704" s="60"/>
      <c r="AA704" s="60"/>
      <c r="AB704" s="60"/>
      <c r="AC704" s="60"/>
      <c r="AD704" s="66"/>
      <c r="AE704" s="60"/>
      <c r="AF704" s="61" t="str">
        <f aca="false">IF(AND(ISNUMBER(X704),ISNUMBER(Y704)),Y704-X704,"")</f>
        <v/>
      </c>
      <c r="AG704" s="62" t="str">
        <f aca="false">IF(ISNUMBER(AD704),AD704-(IF(AND(INDEX(TZ_DSTS,MATCH(P704,TZ_STN,0))&lt;&gt;"",(AD704-INDEX(TZ_STD,MATCH(P704,TZ_STN,0))/24)&gt;=INDEX(TZ_DSTS,MATCH(P704,TZ_STN,0)),(AD704-INDEX(TZ_STD,MATCH(P704,TZ_STN,0))/24)&lt;INDEX(TZ_DSTE,MATCH(P704,TZ_STN,0))),INDEX(TZ_DST,MATCH(P704,TZ_STN,0)),INDEX(TZ_STD,MATCH(P704,TZ_STN,0))))/24,"")</f>
        <v/>
      </c>
      <c r="AH704" s="65" t="str">
        <f aca="false">IFERROR(IF(N704="N/A – rule","N/A – RULE",IF(TRIM(U704)="N/A",IF(AT704=0,"INVALID – N/A not permitted for this check",IF(AND(TRIM(AB704)&lt;&gt;"",TRIM(AB704)&lt;&gt;"Closed"),"INVALID – corrective action still open",IF(AND(NOT(OR(LEN(AZ704)&lt;15,ISNUMBER(MATCH(AZ704,L_Placeholder,0)))),NOT(OR(LEN(AU704)&lt;2,ISNUMBER(MATCH(AU704,L_Placeholder,0)))),NOT(OR(LEN(AX704)&lt;2,ISNUMBER(MATCH(AX704,L_Placeholder,0)))),TRIM(AE704)&lt;&gt;TRIM(T704)),"N/A – JUSTIFIED","INVALID – N/A needs a real justification (15+ chars), PIC and a different verifier"))),IF(OR(TRIM(U704)="Pass",TRIM(U704)="Pass after CA"),IF(NOT(ISNUMBER(AD704)),"INVALID – completion time missing",IF(OR(LEN(AU704)&lt;2,ISNUMBER(MATCH(AU704,L_Placeholder,0))),"INVALID – PIC missing",IF(OR(LEN(AV704)&lt;2,ISNUMBER(MATCH(AV704,L_Placeholder,0))),"INVALID – result / assessment missing",IF(OR(OR(LEN(AW704)&lt;3,ISNUMBER(MATCH(AW704,L_Placeholder,0))),SUMPRODUCT(--ISNUMBER(SEARCH(L_EvidencePhrase,AW704)))&gt;0),"INVALID – evidence missing, placeholder or not yet on file",IF(OR(LEN(AX704)&lt;2,ISNUMBER(MATCH(AX704,L_Placeholder,0))),"INVALID – verifier missing",IF(AX704=AU704,"INVALID – verifier must be someone other than the PIC",IF(AND(TRIM(U704)="Pass",SUMPRODUCT(--ISNUMBER(SEARCH(L_ResultBad,AV704)))&gt;0),"INVALID – result describes a problem: use Fail, then Pass after CA",IF(AND(AQ704=1,OR(LEN(AY704)&lt;3,ISNUMBER(MATCH(AY704,L_Placeholder,0)))),"INVALID – batch ID missing or placeholder",IF(AND(AR704=1,OR(NOT(ISNUMBER(X704)),NOT(ISNUMBER(Y704)))),"INVALID – expected/actual qty missing",IF(AND(AR704=1,OR(X704&lt;=0,Y704&lt;0)),"INVALID – expected qty must be above 0 and actual not negative",IF(BB704&lt;&gt;"",BB704,IF(AND(AS704=1,Documents!$J$26&lt;&gt;"ON FILE"),"INVALID – GLD not on file (Documents sheet)",IF(AND(AS704=2,Documents!$O$26&lt;&gt;"ON FILE"),"INVALID – menu checklist not on file (Documents sheet)",IF(AND(AS704=3,NOT(ISNUMBER(Flights!$AX$26))),"INVALID – enter carrying flight KUL departure (Flights AX)",IF(AND(AS704=3,OR(Flights!$AZ$26&gt;Flights!$AA$26,Flights!$AX$26&lt;Flights!$AA$26-3)),"INVALID – carrying flight (Flights AX) cannot arrive before this leg's STD, or is over 3 days early",IF(AG704&gt;AsOfUTC,"INVALID – completion time is in the future",IF(AND(ISNUMBER(S704),AG704&lt;S704),IF(H704="Physical uplift","INVALID – before uplift window (cannot confirm loading)","INVALID – before valid window"),IF(AG704&gt;Flights!$AA$26,"INVALID – completed after departure (cannot establish readiness)",IF(AND(H704="Preparation",AG704&gt;IF(ISNUMBER(Flights!$BA$26),MIN(Flights!$BA$26,Flights!$AA$26),Flights!$AA$26)),"INVALID – completed after loading / departure (cannot establish readiness)",IF(AND(H704="Physical uplift",AG704&gt;Q704),"INVALID – recorded after the loading flight departed",IF(AG704&gt;Q704,"COMPLETE – LATE","COMPLETE"))))))))))))))))))))),IF(TRIM(U704)="Fail","FAIL – DISCREPANCY",IF(AND(TRIM(U704)&lt;&gt;"",TRIM(U704)&lt;&gt;"Not started",TRIM(U704)&lt;&gt;"In progress"),"INVALID – unrecognised status (use the list)",IF(AsOfUTC&gt;Q704,"OVERDUE",IF(N704="Clarification required","OPEN – CLARIFICATION","OPEN"))))))),"INVALID – error value in an input cell")</f>
        <v>N/A – RULE</v>
      </c>
      <c r="AI704" s="61" t="n">
        <f aca="false">IF(OR(AH704="N/A – RULE",AH704="N/A – JUSTIFIED"),0,1)</f>
        <v>0</v>
      </c>
      <c r="AJ704" s="61" t="n">
        <f aca="false">IF(LEFT(AH704,8)="COMPLETE",1,0)</f>
        <v>0</v>
      </c>
      <c r="AK704" s="61" t="n">
        <f aca="false">IF(AND(AI704=1,AJ704=0,AsOfUTC&gt;Q704),1,0)</f>
        <v>0</v>
      </c>
      <c r="AL704" s="61" t="n">
        <f aca="false">IFERROR(IF(AND(AI704=1,OR(TRIM(U704)="Fail",AND(TRIM(AB704)&lt;&gt;"",TRIM(AB704)&lt;&gt;"Closed"),AND(ISNUMBER(AF704),AF704&lt;&gt;0,TRIM(U704)&lt;&gt;"Pass after CA"))),1,0),1)</f>
        <v>0</v>
      </c>
      <c r="AM704" s="61" t="n">
        <f aca="false">IF(LEFT(AH704,7)="INVALID",1,0)</f>
        <v>0</v>
      </c>
      <c r="AN704" s="61" t="n">
        <f aca="false">IF(AND(N704="Clarification required",AI704=1,AJ704=0),1,0)</f>
        <v>0</v>
      </c>
      <c r="AO704" s="61" t="str">
        <f aca="false">IF(AK704=1,SUM(AK$5:AK704),"")</f>
        <v/>
      </c>
      <c r="AP704" s="61" t="str">
        <f aca="false">IF(AL704=1,SUM(AL$5:AL704),"")</f>
        <v/>
      </c>
      <c r="AQ704" s="61" t="n">
        <v>0</v>
      </c>
      <c r="AR704" s="61" t="n">
        <v>0</v>
      </c>
      <c r="AS704" s="61" t="n">
        <v>0</v>
      </c>
      <c r="AT704" s="61" t="n">
        <v>0</v>
      </c>
      <c r="AU704" s="61" t="str">
        <f aca="false">SUBSTITUTE(SUBSTITUTE(SUBSTITUTE(SUBSTITUTE(SUBSTITUTE(SUBSTITUTE(SUBSTITUTE(SUBSTITUTE(SUBSTITUTE(SUBSTITUTE(SUBSTITUTE(SUBSTITUTE(SUBSTITUTE(LOWER(T704&amp;""),CHAR(160),"")," ",""),".",""),"-",""),"/",""),"?",""),"_",""),",",""),"[",""),"]",""),"(",""),")",""),"*","")</f>
        <v/>
      </c>
      <c r="AV704" s="61" t="str">
        <f aca="false">SUBSTITUTE(SUBSTITUTE(SUBSTITUTE(SUBSTITUTE(SUBSTITUTE(SUBSTITUTE(SUBSTITUTE(SUBSTITUTE(SUBSTITUTE(SUBSTITUTE(SUBSTITUTE(SUBSTITUTE(SUBSTITUTE(LOWER(V704&amp;""),CHAR(160),"")," ",""),".",""),"-",""),"/",""),"?",""),"_",""),",",""),"[",""),"]",""),"(",""),")",""),"*","")</f>
        <v/>
      </c>
      <c r="AW704" s="61" t="str">
        <f aca="false">SUBSTITUTE(SUBSTITUTE(SUBSTITUTE(SUBSTITUTE(SUBSTITUTE(SUBSTITUTE(SUBSTITUTE(SUBSTITUTE(SUBSTITUTE(SUBSTITUTE(SUBSTITUTE(SUBSTITUTE(SUBSTITUTE(LOWER(Z704&amp;""),CHAR(160),"")," ",""),".",""),"-",""),"/",""),"?",""),"_",""),",",""),"[",""),"]",""),"(",""),")",""),"*","")</f>
        <v/>
      </c>
      <c r="AX704" s="61" t="str">
        <f aca="false">SUBSTITUTE(SUBSTITUTE(SUBSTITUTE(SUBSTITUTE(SUBSTITUTE(SUBSTITUTE(SUBSTITUTE(SUBSTITUTE(SUBSTITUTE(SUBSTITUTE(SUBSTITUTE(SUBSTITUTE(SUBSTITUTE(LOWER(AE704&amp;""),CHAR(160),"")," ",""),".",""),"-",""),"/",""),"?",""),"_",""),",",""),"[",""),"]",""),"(",""),")",""),"*","")</f>
        <v/>
      </c>
      <c r="AY704" s="61" t="str">
        <f aca="false">SUBSTITUTE(SUBSTITUTE(SUBSTITUTE(SUBSTITUTE(SUBSTITUTE(SUBSTITUTE(SUBSTITUTE(SUBSTITUTE(SUBSTITUTE(SUBSTITUTE(SUBSTITUTE(SUBSTITUTE(SUBSTITUTE(LOWER(W704&amp;""),CHAR(160),"")," ",""),".",""),"-",""),"/",""),"?",""),"_",""),",",""),"[",""),"]",""),"(",""),")",""),"*","")</f>
        <v/>
      </c>
      <c r="AZ704" s="61" t="str">
        <f aca="false">SUBSTITUTE(SUBSTITUTE(SUBSTITUTE(SUBSTITUTE(SUBSTITUTE(SUBSTITUTE(SUBSTITUTE(SUBSTITUTE(SUBSTITUTE(SUBSTITUTE(SUBSTITUTE(SUBSTITUTE(SUBSTITUTE(LOWER(AC704&amp;""),CHAR(160),"")," ",""),".",""),"-",""),"/",""),"?",""),"_",""),",",""),"[",""),"]",""),"(",""),")",""),"*","")</f>
        <v/>
      </c>
      <c r="BA704" s="61" t="str">
        <f aca="false">SUBSTITUTE(SUBSTITUTE(SUBSTITUTE(SUBSTITUTE(SUBSTITUTE(SUBSTITUTE(SUBSTITUTE(SUBSTITUTE(SUBSTITUTE(SUBSTITUTE(SUBSTITUTE(SUBSTITUTE(SUBSTITUTE(LOWER(AA704&amp;""),CHAR(160),"")," ",""),".",""),"-",""),"/",""),"?",""),"_",""),",",""),"[",""),"]",""),"(",""),")",""),"*","")</f>
        <v/>
      </c>
      <c r="BB704" s="61" t="str">
        <f aca="false">IF(AND(TRIM(U704)="Pass",ISNUMBER(AF704)),IF(AF704&lt;&gt;0,"INVALID – qty variance: use Fail or Pass after CA",""),"")&amp;IF(AND(TRIM(U704)="Pass after CA",ISNUMBER(AF704)),IF(AF704&lt;&gt;0,"INVALID – after the corrective action the actual qty must equal expected (update Actual)",""),"")&amp;IF(AND(TRIM(U704)="Pass",TRIM(AB704)&lt;&gt;"",TRIM(AB704)&lt;&gt;"Closed"),"INVALID – corrective action not closed: use Fail, then Pass after CA","")&amp;IF(AND(TRIM(AA704)&lt;&gt;"",TRIM(AB704)=""),"INVALID – CA status missing for the recorded corrective action","")&amp;IF(AND(TRIM(U704)="Pass after CA",OR(OR(LEN(BA704)&lt;5,ISNUMBER(MATCH(BA704,L_Placeholder,0))),TRIM(AB704)&lt;&gt;"Closed")),"INVALID – corrective action not recorded/closed","")</f>
        <v/>
      </c>
    </row>
    <row r="705" customFormat="false" ht="39.75" hidden="false" customHeight="true" outlineLevel="0" collapsed="false">
      <c r="A705" s="57" t="s">
        <v>1417</v>
      </c>
      <c r="B705" s="57" t="s">
        <v>309</v>
      </c>
      <c r="C705" s="57" t="str">
        <f aca="false">Flights!$F$26</f>
        <v>MH0002</v>
      </c>
      <c r="D705" s="58" t="n">
        <f aca="false">Flights!$D$26</f>
        <v>46325</v>
      </c>
      <c r="E705" s="57" t="str">
        <f aca="false">Flights!$G$26&amp;"-"&amp;Flights!$H$26</f>
        <v>KUL-LHR</v>
      </c>
      <c r="F705" s="57" t="str">
        <f aca="false">Flights!$K$26</f>
        <v>BC</v>
      </c>
      <c r="G705" s="57" t="s">
        <v>79</v>
      </c>
      <c r="H705" s="57" t="s">
        <v>356</v>
      </c>
      <c r="I705" s="57" t="s">
        <v>372</v>
      </c>
      <c r="J705" s="57" t="s">
        <v>373</v>
      </c>
      <c r="K705" s="67" t="s">
        <v>374</v>
      </c>
      <c r="L705" s="67" t="s">
        <v>360</v>
      </c>
      <c r="M705" s="67"/>
      <c r="N705" s="67" t="s">
        <v>361</v>
      </c>
      <c r="O705" s="67"/>
      <c r="P705" s="57" t="s">
        <v>184</v>
      </c>
      <c r="Q705" s="59" t="n">
        <f aca="false">ROUND((Flights!$AC$26)*1440,0)/1440</f>
        <v>46318.6388888889</v>
      </c>
      <c r="R705" s="59" t="n">
        <f aca="false">Q705+(IF(AND(INDEX(TZ_DSTS,MATCH(P705,TZ_STN,0))&lt;&gt;"",Q705&gt;=INDEX(TZ_DSTS,MATCH(P705,TZ_STN,0)),Q705&lt;INDEX(TZ_DSTE,MATCH(P705,TZ_STN,0))),INDEX(TZ_DST,MATCH(P705,TZ_STN,0)),INDEX(TZ_STD,MATCH(P705,TZ_STN,0))))/24</f>
        <v>46318.9722222222</v>
      </c>
      <c r="S705" s="59" t="n">
        <f aca="false">Q705-T7EarlyD*24/24</f>
        <v>46304.6388888889</v>
      </c>
      <c r="T705" s="60"/>
      <c r="U705" s="60"/>
      <c r="V705" s="60"/>
      <c r="W705" s="61"/>
      <c r="X705" s="60"/>
      <c r="Y705" s="60"/>
      <c r="Z705" s="60"/>
      <c r="AA705" s="60"/>
      <c r="AB705" s="60"/>
      <c r="AC705" s="60"/>
      <c r="AD705" s="66"/>
      <c r="AE705" s="60"/>
      <c r="AF705" s="61" t="str">
        <f aca="false">IF(AND(ISNUMBER(X705),ISNUMBER(Y705)),Y705-X705,"")</f>
        <v/>
      </c>
      <c r="AG705" s="62" t="str">
        <f aca="false">IF(ISNUMBER(AD705),AD705-(IF(AND(INDEX(TZ_DSTS,MATCH(P705,TZ_STN,0))&lt;&gt;"",(AD705-INDEX(TZ_STD,MATCH(P705,TZ_STN,0))/24)&gt;=INDEX(TZ_DSTS,MATCH(P705,TZ_STN,0)),(AD705-INDEX(TZ_STD,MATCH(P705,TZ_STN,0))/24)&lt;INDEX(TZ_DSTE,MATCH(P705,TZ_STN,0))),INDEX(TZ_DST,MATCH(P705,TZ_STN,0)),INDEX(TZ_STD,MATCH(P705,TZ_STN,0))))/24,"")</f>
        <v/>
      </c>
      <c r="AH705" s="65" t="str">
        <f aca="false">IFERROR(IF(N705="N/A – rule","N/A – RULE",IF(TRIM(U705)="N/A",IF(AT705=0,"INVALID – N/A not permitted for this check",IF(AND(TRIM(AB705)&lt;&gt;"",TRIM(AB705)&lt;&gt;"Closed"),"INVALID – corrective action still open",IF(AND(NOT(OR(LEN(AZ705)&lt;15,ISNUMBER(MATCH(AZ705,L_Placeholder,0)))),NOT(OR(LEN(AU705)&lt;2,ISNUMBER(MATCH(AU705,L_Placeholder,0)))),NOT(OR(LEN(AX705)&lt;2,ISNUMBER(MATCH(AX705,L_Placeholder,0)))),TRIM(AE705)&lt;&gt;TRIM(T705)),"N/A – JUSTIFIED","INVALID – N/A needs a real justification (15+ chars), PIC and a different verifier"))),IF(OR(TRIM(U705)="Pass",TRIM(U705)="Pass after CA"),IF(NOT(ISNUMBER(AD705)),"INVALID – completion time missing",IF(OR(LEN(AU705)&lt;2,ISNUMBER(MATCH(AU705,L_Placeholder,0))),"INVALID – PIC missing",IF(OR(LEN(AV705)&lt;2,ISNUMBER(MATCH(AV705,L_Placeholder,0))),"INVALID – result / assessment missing",IF(OR(OR(LEN(AW705)&lt;3,ISNUMBER(MATCH(AW705,L_Placeholder,0))),SUMPRODUCT(--ISNUMBER(SEARCH(L_EvidencePhrase,AW705)))&gt;0),"INVALID – evidence missing, placeholder or not yet on file",IF(OR(LEN(AX705)&lt;2,ISNUMBER(MATCH(AX705,L_Placeholder,0))),"INVALID – verifier missing",IF(AX705=AU705,"INVALID – verifier must be someone other than the PIC",IF(AND(TRIM(U705)="Pass",SUMPRODUCT(--ISNUMBER(SEARCH(L_ResultBad,AV705)))&gt;0),"INVALID – result describes a problem: use Fail, then Pass after CA",IF(AND(AQ705=1,OR(LEN(AY705)&lt;3,ISNUMBER(MATCH(AY705,L_Placeholder,0)))),"INVALID – batch ID missing or placeholder",IF(AND(AR705=1,OR(NOT(ISNUMBER(X705)),NOT(ISNUMBER(Y705)))),"INVALID – expected/actual qty missing",IF(AND(AR705=1,OR(X705&lt;=0,Y705&lt;0)),"INVALID – expected qty must be above 0 and actual not negative",IF(BB705&lt;&gt;"",BB705,IF(AND(AS705=1,Documents!$J$26&lt;&gt;"ON FILE"),"INVALID – GLD not on file (Documents sheet)",IF(AND(AS705=2,Documents!$O$26&lt;&gt;"ON FILE"),"INVALID – menu checklist not on file (Documents sheet)",IF(AND(AS705=3,NOT(ISNUMBER(Flights!$AX$26))),"INVALID – enter carrying flight KUL departure (Flights AX)",IF(AND(AS705=3,OR(Flights!$AZ$26&gt;Flights!$AA$26,Flights!$AX$26&lt;Flights!$AA$26-3)),"INVALID – carrying flight (Flights AX) cannot arrive before this leg's STD, or is over 3 days early",IF(AG705&gt;AsOfUTC,"INVALID – completion time is in the future",IF(AND(ISNUMBER(S705),AG705&lt;S705),IF(H705="Physical uplift","INVALID – before uplift window (cannot confirm loading)","INVALID – before valid window"),IF(AG705&gt;Flights!$AA$26,"INVALID – completed after departure (cannot establish readiness)",IF(AND(H705="Preparation",AG705&gt;IF(ISNUMBER(Flights!$BA$26),MIN(Flights!$BA$26,Flights!$AA$26),Flights!$AA$26)),"INVALID – completed after loading / departure (cannot establish readiness)",IF(AND(H705="Physical uplift",AG705&gt;Q705),"INVALID – recorded after the loading flight departed",IF(AG705&gt;Q705,"COMPLETE – LATE","COMPLETE"))))))))))))))))))))),IF(TRIM(U705)="Fail","FAIL – DISCREPANCY",IF(AND(TRIM(U705)&lt;&gt;"",TRIM(U705)&lt;&gt;"Not started",TRIM(U705)&lt;&gt;"In progress"),"INVALID – unrecognised status (use the list)",IF(AsOfUTC&gt;Q705,"OVERDUE",IF(N705="Clarification required","OPEN – CLARIFICATION","OPEN"))))))),"INVALID – error value in an input cell")</f>
        <v>OPEN</v>
      </c>
      <c r="AI705" s="61" t="n">
        <f aca="false">IF(OR(AH705="N/A – RULE",AH705="N/A – JUSTIFIED"),0,1)</f>
        <v>1</v>
      </c>
      <c r="AJ705" s="61" t="n">
        <f aca="false">IF(LEFT(AH705,8)="COMPLETE",1,0)</f>
        <v>0</v>
      </c>
      <c r="AK705" s="61" t="n">
        <f aca="false">IF(AND(AI705=1,AJ705=0,AsOfUTC&gt;Q705),1,0)</f>
        <v>0</v>
      </c>
      <c r="AL705" s="61" t="n">
        <f aca="false">IFERROR(IF(AND(AI705=1,OR(TRIM(U705)="Fail",AND(TRIM(AB705)&lt;&gt;"",TRIM(AB705)&lt;&gt;"Closed"),AND(ISNUMBER(AF705),AF705&lt;&gt;0,TRIM(U705)&lt;&gt;"Pass after CA"))),1,0),1)</f>
        <v>0</v>
      </c>
      <c r="AM705" s="61" t="n">
        <f aca="false">IF(LEFT(AH705,7)="INVALID",1,0)</f>
        <v>0</v>
      </c>
      <c r="AN705" s="61" t="n">
        <f aca="false">IF(AND(N705="Clarification required",AI705=1,AJ705=0),1,0)</f>
        <v>0</v>
      </c>
      <c r="AO705" s="61" t="str">
        <f aca="false">IF(AK705=1,SUM(AK$5:AK705),"")</f>
        <v/>
      </c>
      <c r="AP705" s="61" t="str">
        <f aca="false">IF(AL705=1,SUM(AL$5:AL705),"")</f>
        <v/>
      </c>
      <c r="AQ705" s="61" t="n">
        <v>0</v>
      </c>
      <c r="AR705" s="61" t="n">
        <v>0</v>
      </c>
      <c r="AS705" s="61" t="n">
        <v>0</v>
      </c>
      <c r="AT705" s="61" t="n">
        <v>0</v>
      </c>
      <c r="AU705" s="61" t="str">
        <f aca="false">SUBSTITUTE(SUBSTITUTE(SUBSTITUTE(SUBSTITUTE(SUBSTITUTE(SUBSTITUTE(SUBSTITUTE(SUBSTITUTE(SUBSTITUTE(SUBSTITUTE(SUBSTITUTE(SUBSTITUTE(SUBSTITUTE(LOWER(T705&amp;""),CHAR(160),"")," ",""),".",""),"-",""),"/",""),"?",""),"_",""),",",""),"[",""),"]",""),"(",""),")",""),"*","")</f>
        <v/>
      </c>
      <c r="AV705" s="61" t="str">
        <f aca="false">SUBSTITUTE(SUBSTITUTE(SUBSTITUTE(SUBSTITUTE(SUBSTITUTE(SUBSTITUTE(SUBSTITUTE(SUBSTITUTE(SUBSTITUTE(SUBSTITUTE(SUBSTITUTE(SUBSTITUTE(SUBSTITUTE(LOWER(V705&amp;""),CHAR(160),"")," ",""),".",""),"-",""),"/",""),"?",""),"_",""),",",""),"[",""),"]",""),"(",""),")",""),"*","")</f>
        <v/>
      </c>
      <c r="AW705" s="61" t="str">
        <f aca="false">SUBSTITUTE(SUBSTITUTE(SUBSTITUTE(SUBSTITUTE(SUBSTITUTE(SUBSTITUTE(SUBSTITUTE(SUBSTITUTE(SUBSTITUTE(SUBSTITUTE(SUBSTITUTE(SUBSTITUTE(SUBSTITUTE(LOWER(Z705&amp;""),CHAR(160),"")," ",""),".",""),"-",""),"/",""),"?",""),"_",""),",",""),"[",""),"]",""),"(",""),")",""),"*","")</f>
        <v/>
      </c>
      <c r="AX705" s="61" t="str">
        <f aca="false">SUBSTITUTE(SUBSTITUTE(SUBSTITUTE(SUBSTITUTE(SUBSTITUTE(SUBSTITUTE(SUBSTITUTE(SUBSTITUTE(SUBSTITUTE(SUBSTITUTE(SUBSTITUTE(SUBSTITUTE(SUBSTITUTE(LOWER(AE705&amp;""),CHAR(160),"")," ",""),".",""),"-",""),"/",""),"?",""),"_",""),",",""),"[",""),"]",""),"(",""),")",""),"*","")</f>
        <v/>
      </c>
      <c r="AY705" s="61" t="str">
        <f aca="false">SUBSTITUTE(SUBSTITUTE(SUBSTITUTE(SUBSTITUTE(SUBSTITUTE(SUBSTITUTE(SUBSTITUTE(SUBSTITUTE(SUBSTITUTE(SUBSTITUTE(SUBSTITUTE(SUBSTITUTE(SUBSTITUTE(LOWER(W705&amp;""),CHAR(160),"")," ",""),".",""),"-",""),"/",""),"?",""),"_",""),",",""),"[",""),"]",""),"(",""),")",""),"*","")</f>
        <v/>
      </c>
      <c r="AZ705" s="61" t="str">
        <f aca="false">SUBSTITUTE(SUBSTITUTE(SUBSTITUTE(SUBSTITUTE(SUBSTITUTE(SUBSTITUTE(SUBSTITUTE(SUBSTITUTE(SUBSTITUTE(SUBSTITUTE(SUBSTITUTE(SUBSTITUTE(SUBSTITUTE(LOWER(AC705&amp;""),CHAR(160),"")," ",""),".",""),"-",""),"/",""),"?",""),"_",""),",",""),"[",""),"]",""),"(",""),")",""),"*","")</f>
        <v/>
      </c>
      <c r="BA705" s="61" t="str">
        <f aca="false">SUBSTITUTE(SUBSTITUTE(SUBSTITUTE(SUBSTITUTE(SUBSTITUTE(SUBSTITUTE(SUBSTITUTE(SUBSTITUTE(SUBSTITUTE(SUBSTITUTE(SUBSTITUTE(SUBSTITUTE(SUBSTITUTE(LOWER(AA705&amp;""),CHAR(160),"")," ",""),".",""),"-",""),"/",""),"?",""),"_",""),",",""),"[",""),"]",""),"(",""),")",""),"*","")</f>
        <v/>
      </c>
      <c r="BB705" s="61" t="str">
        <f aca="false">IF(AND(TRIM(U705)="Pass",ISNUMBER(AF705)),IF(AF705&lt;&gt;0,"INVALID – qty variance: use Fail or Pass after CA",""),"")&amp;IF(AND(TRIM(U705)="Pass after CA",ISNUMBER(AF705)),IF(AF705&lt;&gt;0,"INVALID – after the corrective action the actual qty must equal expected (update Actual)",""),"")&amp;IF(AND(TRIM(U705)="Pass",TRIM(AB705)&lt;&gt;"",TRIM(AB705)&lt;&gt;"Closed"),"INVALID – corrective action not closed: use Fail, then Pass after CA","")&amp;IF(AND(TRIM(AA705)&lt;&gt;"",TRIM(AB705)=""),"INVALID – CA status missing for the recorded corrective action","")&amp;IF(AND(TRIM(U705)="Pass after CA",OR(OR(LEN(BA705)&lt;5,ISNUMBER(MATCH(BA705,L_Placeholder,0))),TRIM(AB705)&lt;&gt;"Closed")),"INVALID – corrective action not recorded/closed","")</f>
        <v/>
      </c>
    </row>
    <row r="706" customFormat="false" ht="39.75" hidden="false" customHeight="true" outlineLevel="0" collapsed="false">
      <c r="A706" s="57" t="s">
        <v>1418</v>
      </c>
      <c r="B706" s="57" t="s">
        <v>309</v>
      </c>
      <c r="C706" s="57" t="str">
        <f aca="false">Flights!$F$26</f>
        <v>MH0002</v>
      </c>
      <c r="D706" s="58" t="n">
        <f aca="false">Flights!$D$26</f>
        <v>46325</v>
      </c>
      <c r="E706" s="57" t="str">
        <f aca="false">Flights!$G$26&amp;"-"&amp;Flights!$H$26</f>
        <v>KUL-LHR</v>
      </c>
      <c r="F706" s="57" t="str">
        <f aca="false">Flights!$K$26</f>
        <v>BC</v>
      </c>
      <c r="G706" s="57" t="s">
        <v>79</v>
      </c>
      <c r="H706" s="57" t="s">
        <v>356</v>
      </c>
      <c r="I706" s="57" t="s">
        <v>376</v>
      </c>
      <c r="J706" s="57" t="s">
        <v>377</v>
      </c>
      <c r="K706" s="67" t="s">
        <v>378</v>
      </c>
      <c r="L706" s="67" t="s">
        <v>360</v>
      </c>
      <c r="M706" s="67"/>
      <c r="N706" s="67" t="s">
        <v>361</v>
      </c>
      <c r="O706" s="67"/>
      <c r="P706" s="57" t="s">
        <v>184</v>
      </c>
      <c r="Q706" s="59" t="n">
        <f aca="false">ROUND((Flights!$AC$26)*1440,0)/1440</f>
        <v>46318.6388888889</v>
      </c>
      <c r="R706" s="59" t="n">
        <f aca="false">Q706+(IF(AND(INDEX(TZ_DSTS,MATCH(P706,TZ_STN,0))&lt;&gt;"",Q706&gt;=INDEX(TZ_DSTS,MATCH(P706,TZ_STN,0)),Q706&lt;INDEX(TZ_DSTE,MATCH(P706,TZ_STN,0))),INDEX(TZ_DST,MATCH(P706,TZ_STN,0)),INDEX(TZ_STD,MATCH(P706,TZ_STN,0))))/24</f>
        <v>46318.9722222222</v>
      </c>
      <c r="S706" s="59" t="n">
        <f aca="false">Q706-T7EarlyD*24/24</f>
        <v>46304.6388888889</v>
      </c>
      <c r="T706" s="60"/>
      <c r="U706" s="60"/>
      <c r="V706" s="60"/>
      <c r="W706" s="61"/>
      <c r="X706" s="60"/>
      <c r="Y706" s="60"/>
      <c r="Z706" s="60"/>
      <c r="AA706" s="60"/>
      <c r="AB706" s="60"/>
      <c r="AC706" s="60"/>
      <c r="AD706" s="66"/>
      <c r="AE706" s="60"/>
      <c r="AF706" s="61" t="str">
        <f aca="false">IF(AND(ISNUMBER(X706),ISNUMBER(Y706)),Y706-X706,"")</f>
        <v/>
      </c>
      <c r="AG706" s="62" t="str">
        <f aca="false">IF(ISNUMBER(AD706),AD706-(IF(AND(INDEX(TZ_DSTS,MATCH(P706,TZ_STN,0))&lt;&gt;"",(AD706-INDEX(TZ_STD,MATCH(P706,TZ_STN,0))/24)&gt;=INDEX(TZ_DSTS,MATCH(P706,TZ_STN,0)),(AD706-INDEX(TZ_STD,MATCH(P706,TZ_STN,0))/24)&lt;INDEX(TZ_DSTE,MATCH(P706,TZ_STN,0))),INDEX(TZ_DST,MATCH(P706,TZ_STN,0)),INDEX(TZ_STD,MATCH(P706,TZ_STN,0))))/24,"")</f>
        <v/>
      </c>
      <c r="AH706" s="65" t="str">
        <f aca="false">IFERROR(IF(N706="N/A – rule","N/A – RULE",IF(TRIM(U706)="N/A",IF(AT706=0,"INVALID – N/A not permitted for this check",IF(AND(TRIM(AB706)&lt;&gt;"",TRIM(AB706)&lt;&gt;"Closed"),"INVALID – corrective action still open",IF(AND(NOT(OR(LEN(AZ706)&lt;15,ISNUMBER(MATCH(AZ706,L_Placeholder,0)))),NOT(OR(LEN(AU706)&lt;2,ISNUMBER(MATCH(AU706,L_Placeholder,0)))),NOT(OR(LEN(AX706)&lt;2,ISNUMBER(MATCH(AX706,L_Placeholder,0)))),TRIM(AE706)&lt;&gt;TRIM(T706)),"N/A – JUSTIFIED","INVALID – N/A needs a real justification (15+ chars), PIC and a different verifier"))),IF(OR(TRIM(U706)="Pass",TRIM(U706)="Pass after CA"),IF(NOT(ISNUMBER(AD706)),"INVALID – completion time missing",IF(OR(LEN(AU706)&lt;2,ISNUMBER(MATCH(AU706,L_Placeholder,0))),"INVALID – PIC missing",IF(OR(LEN(AV706)&lt;2,ISNUMBER(MATCH(AV706,L_Placeholder,0))),"INVALID – result / assessment missing",IF(OR(OR(LEN(AW706)&lt;3,ISNUMBER(MATCH(AW706,L_Placeholder,0))),SUMPRODUCT(--ISNUMBER(SEARCH(L_EvidencePhrase,AW706)))&gt;0),"INVALID – evidence missing, placeholder or not yet on file",IF(OR(LEN(AX706)&lt;2,ISNUMBER(MATCH(AX706,L_Placeholder,0))),"INVALID – verifier missing",IF(AX706=AU706,"INVALID – verifier must be someone other than the PIC",IF(AND(TRIM(U706)="Pass",SUMPRODUCT(--ISNUMBER(SEARCH(L_ResultBad,AV706)))&gt;0),"INVALID – result describes a problem: use Fail, then Pass after CA",IF(AND(AQ706=1,OR(LEN(AY706)&lt;3,ISNUMBER(MATCH(AY706,L_Placeholder,0)))),"INVALID – batch ID missing or placeholder",IF(AND(AR706=1,OR(NOT(ISNUMBER(X706)),NOT(ISNUMBER(Y706)))),"INVALID – expected/actual qty missing",IF(AND(AR706=1,OR(X706&lt;=0,Y706&lt;0)),"INVALID – expected qty must be above 0 and actual not negative",IF(BB706&lt;&gt;"",BB706,IF(AND(AS706=1,Documents!$J$26&lt;&gt;"ON FILE"),"INVALID – GLD not on file (Documents sheet)",IF(AND(AS706=2,Documents!$O$26&lt;&gt;"ON FILE"),"INVALID – menu checklist not on file (Documents sheet)",IF(AND(AS706=3,NOT(ISNUMBER(Flights!$AX$26))),"INVALID – enter carrying flight KUL departure (Flights AX)",IF(AND(AS706=3,OR(Flights!$AZ$26&gt;Flights!$AA$26,Flights!$AX$26&lt;Flights!$AA$26-3)),"INVALID – carrying flight (Flights AX) cannot arrive before this leg's STD, or is over 3 days early",IF(AG706&gt;AsOfUTC,"INVALID – completion time is in the future",IF(AND(ISNUMBER(S706),AG706&lt;S706),IF(H706="Physical uplift","INVALID – before uplift window (cannot confirm loading)","INVALID – before valid window"),IF(AG706&gt;Flights!$AA$26,"INVALID – completed after departure (cannot establish readiness)",IF(AND(H706="Preparation",AG706&gt;IF(ISNUMBER(Flights!$BA$26),MIN(Flights!$BA$26,Flights!$AA$26),Flights!$AA$26)),"INVALID – completed after loading / departure (cannot establish readiness)",IF(AND(H706="Physical uplift",AG706&gt;Q706),"INVALID – recorded after the loading flight departed",IF(AG706&gt;Q706,"COMPLETE – LATE","COMPLETE"))))))))))))))))))))),IF(TRIM(U706)="Fail","FAIL – DISCREPANCY",IF(AND(TRIM(U706)&lt;&gt;"",TRIM(U706)&lt;&gt;"Not started",TRIM(U706)&lt;&gt;"In progress"),"INVALID – unrecognised status (use the list)",IF(AsOfUTC&gt;Q706,"OVERDUE",IF(N706="Clarification required","OPEN – CLARIFICATION","OPEN"))))))),"INVALID – error value in an input cell")</f>
        <v>OPEN</v>
      </c>
      <c r="AI706" s="61" t="n">
        <f aca="false">IF(OR(AH706="N/A – RULE",AH706="N/A – JUSTIFIED"),0,1)</f>
        <v>1</v>
      </c>
      <c r="AJ706" s="61" t="n">
        <f aca="false">IF(LEFT(AH706,8)="COMPLETE",1,0)</f>
        <v>0</v>
      </c>
      <c r="AK706" s="61" t="n">
        <f aca="false">IF(AND(AI706=1,AJ706=0,AsOfUTC&gt;Q706),1,0)</f>
        <v>0</v>
      </c>
      <c r="AL706" s="61" t="n">
        <f aca="false">IFERROR(IF(AND(AI706=1,OR(TRIM(U706)="Fail",AND(TRIM(AB706)&lt;&gt;"",TRIM(AB706)&lt;&gt;"Closed"),AND(ISNUMBER(AF706),AF706&lt;&gt;0,TRIM(U706)&lt;&gt;"Pass after CA"))),1,0),1)</f>
        <v>0</v>
      </c>
      <c r="AM706" s="61" t="n">
        <f aca="false">IF(LEFT(AH706,7)="INVALID",1,0)</f>
        <v>0</v>
      </c>
      <c r="AN706" s="61" t="n">
        <f aca="false">IF(AND(N706="Clarification required",AI706=1,AJ706=0),1,0)</f>
        <v>0</v>
      </c>
      <c r="AO706" s="61" t="str">
        <f aca="false">IF(AK706=1,SUM(AK$5:AK706),"")</f>
        <v/>
      </c>
      <c r="AP706" s="61" t="str">
        <f aca="false">IF(AL706=1,SUM(AL$5:AL706),"")</f>
        <v/>
      </c>
      <c r="AQ706" s="61" t="n">
        <v>0</v>
      </c>
      <c r="AR706" s="61" t="n">
        <v>0</v>
      </c>
      <c r="AS706" s="61" t="n">
        <v>0</v>
      </c>
      <c r="AT706" s="61" t="n">
        <v>0</v>
      </c>
      <c r="AU706" s="61" t="str">
        <f aca="false">SUBSTITUTE(SUBSTITUTE(SUBSTITUTE(SUBSTITUTE(SUBSTITUTE(SUBSTITUTE(SUBSTITUTE(SUBSTITUTE(SUBSTITUTE(SUBSTITUTE(SUBSTITUTE(SUBSTITUTE(SUBSTITUTE(LOWER(T706&amp;""),CHAR(160),"")," ",""),".",""),"-",""),"/",""),"?",""),"_",""),",",""),"[",""),"]",""),"(",""),")",""),"*","")</f>
        <v/>
      </c>
      <c r="AV706" s="61" t="str">
        <f aca="false">SUBSTITUTE(SUBSTITUTE(SUBSTITUTE(SUBSTITUTE(SUBSTITUTE(SUBSTITUTE(SUBSTITUTE(SUBSTITUTE(SUBSTITUTE(SUBSTITUTE(SUBSTITUTE(SUBSTITUTE(SUBSTITUTE(LOWER(V706&amp;""),CHAR(160),"")," ",""),".",""),"-",""),"/",""),"?",""),"_",""),",",""),"[",""),"]",""),"(",""),")",""),"*","")</f>
        <v/>
      </c>
      <c r="AW706" s="61" t="str">
        <f aca="false">SUBSTITUTE(SUBSTITUTE(SUBSTITUTE(SUBSTITUTE(SUBSTITUTE(SUBSTITUTE(SUBSTITUTE(SUBSTITUTE(SUBSTITUTE(SUBSTITUTE(SUBSTITUTE(SUBSTITUTE(SUBSTITUTE(LOWER(Z706&amp;""),CHAR(160),"")," ",""),".",""),"-",""),"/",""),"?",""),"_",""),",",""),"[",""),"]",""),"(",""),")",""),"*","")</f>
        <v/>
      </c>
      <c r="AX706" s="61" t="str">
        <f aca="false">SUBSTITUTE(SUBSTITUTE(SUBSTITUTE(SUBSTITUTE(SUBSTITUTE(SUBSTITUTE(SUBSTITUTE(SUBSTITUTE(SUBSTITUTE(SUBSTITUTE(SUBSTITUTE(SUBSTITUTE(SUBSTITUTE(LOWER(AE706&amp;""),CHAR(160),"")," ",""),".",""),"-",""),"/",""),"?",""),"_",""),",",""),"[",""),"]",""),"(",""),")",""),"*","")</f>
        <v/>
      </c>
      <c r="AY706" s="61" t="str">
        <f aca="false">SUBSTITUTE(SUBSTITUTE(SUBSTITUTE(SUBSTITUTE(SUBSTITUTE(SUBSTITUTE(SUBSTITUTE(SUBSTITUTE(SUBSTITUTE(SUBSTITUTE(SUBSTITUTE(SUBSTITUTE(SUBSTITUTE(LOWER(W706&amp;""),CHAR(160),"")," ",""),".",""),"-",""),"/",""),"?",""),"_",""),",",""),"[",""),"]",""),"(",""),")",""),"*","")</f>
        <v/>
      </c>
      <c r="AZ706" s="61" t="str">
        <f aca="false">SUBSTITUTE(SUBSTITUTE(SUBSTITUTE(SUBSTITUTE(SUBSTITUTE(SUBSTITUTE(SUBSTITUTE(SUBSTITUTE(SUBSTITUTE(SUBSTITUTE(SUBSTITUTE(SUBSTITUTE(SUBSTITUTE(LOWER(AC706&amp;""),CHAR(160),"")," ",""),".",""),"-",""),"/",""),"?",""),"_",""),",",""),"[",""),"]",""),"(",""),")",""),"*","")</f>
        <v/>
      </c>
      <c r="BA706" s="61" t="str">
        <f aca="false">SUBSTITUTE(SUBSTITUTE(SUBSTITUTE(SUBSTITUTE(SUBSTITUTE(SUBSTITUTE(SUBSTITUTE(SUBSTITUTE(SUBSTITUTE(SUBSTITUTE(SUBSTITUTE(SUBSTITUTE(SUBSTITUTE(LOWER(AA706&amp;""),CHAR(160),"")," ",""),".",""),"-",""),"/",""),"?",""),"_",""),",",""),"[",""),"]",""),"(",""),")",""),"*","")</f>
        <v/>
      </c>
      <c r="BB706" s="61" t="str">
        <f aca="false">IF(AND(TRIM(U706)="Pass",ISNUMBER(AF706)),IF(AF706&lt;&gt;0,"INVALID – qty variance: use Fail or Pass after CA",""),"")&amp;IF(AND(TRIM(U706)="Pass after CA",ISNUMBER(AF706)),IF(AF706&lt;&gt;0,"INVALID – after the corrective action the actual qty must equal expected (update Actual)",""),"")&amp;IF(AND(TRIM(U706)="Pass",TRIM(AB706)&lt;&gt;"",TRIM(AB706)&lt;&gt;"Closed"),"INVALID – corrective action not closed: use Fail, then Pass after CA","")&amp;IF(AND(TRIM(AA706)&lt;&gt;"",TRIM(AB706)=""),"INVALID – CA status missing for the recorded corrective action","")&amp;IF(AND(TRIM(U706)="Pass after CA",OR(OR(LEN(BA706)&lt;5,ISNUMBER(MATCH(BA706,L_Placeholder,0))),TRIM(AB706)&lt;&gt;"Closed")),"INVALID – corrective action not recorded/closed","")</f>
        <v/>
      </c>
    </row>
    <row r="707" customFormat="false" ht="39.75" hidden="false" customHeight="true" outlineLevel="0" collapsed="false">
      <c r="A707" s="57" t="s">
        <v>1419</v>
      </c>
      <c r="B707" s="57" t="s">
        <v>309</v>
      </c>
      <c r="C707" s="57" t="str">
        <f aca="false">Flights!$F$26</f>
        <v>MH0002</v>
      </c>
      <c r="D707" s="58" t="n">
        <f aca="false">Flights!$D$26</f>
        <v>46325</v>
      </c>
      <c r="E707" s="57" t="str">
        <f aca="false">Flights!$G$26&amp;"-"&amp;Flights!$H$26</f>
        <v>KUL-LHR</v>
      </c>
      <c r="F707" s="57" t="str">
        <f aca="false">Flights!$K$26</f>
        <v>BC</v>
      </c>
      <c r="G707" s="57" t="s">
        <v>79</v>
      </c>
      <c r="H707" s="57" t="s">
        <v>356</v>
      </c>
      <c r="I707" s="57" t="s">
        <v>376</v>
      </c>
      <c r="J707" s="57" t="s">
        <v>380</v>
      </c>
      <c r="K707" s="67" t="s">
        <v>381</v>
      </c>
      <c r="L707" s="67" t="s">
        <v>360</v>
      </c>
      <c r="M707" s="67"/>
      <c r="N707" s="67" t="s">
        <v>361</v>
      </c>
      <c r="O707" s="67"/>
      <c r="P707" s="57" t="s">
        <v>184</v>
      </c>
      <c r="Q707" s="59" t="n">
        <f aca="false">ROUND((Flights!$AC$26)*1440,0)/1440</f>
        <v>46318.6388888889</v>
      </c>
      <c r="R707" s="59" t="n">
        <f aca="false">Q707+(IF(AND(INDEX(TZ_DSTS,MATCH(P707,TZ_STN,0))&lt;&gt;"",Q707&gt;=INDEX(TZ_DSTS,MATCH(P707,TZ_STN,0)),Q707&lt;INDEX(TZ_DSTE,MATCH(P707,TZ_STN,0))),INDEX(TZ_DST,MATCH(P707,TZ_STN,0)),INDEX(TZ_STD,MATCH(P707,TZ_STN,0))))/24</f>
        <v>46318.9722222222</v>
      </c>
      <c r="S707" s="59" t="n">
        <f aca="false">Q707-T7EarlyD*24/24</f>
        <v>46304.6388888889</v>
      </c>
      <c r="T707" s="60"/>
      <c r="U707" s="60"/>
      <c r="V707" s="60"/>
      <c r="W707" s="61"/>
      <c r="X707" s="60"/>
      <c r="Y707" s="60"/>
      <c r="Z707" s="60"/>
      <c r="AA707" s="60"/>
      <c r="AB707" s="60"/>
      <c r="AC707" s="60"/>
      <c r="AD707" s="66"/>
      <c r="AE707" s="60"/>
      <c r="AF707" s="61" t="str">
        <f aca="false">IF(AND(ISNUMBER(X707),ISNUMBER(Y707)),Y707-X707,"")</f>
        <v/>
      </c>
      <c r="AG707" s="62" t="str">
        <f aca="false">IF(ISNUMBER(AD707),AD707-(IF(AND(INDEX(TZ_DSTS,MATCH(P707,TZ_STN,0))&lt;&gt;"",(AD707-INDEX(TZ_STD,MATCH(P707,TZ_STN,0))/24)&gt;=INDEX(TZ_DSTS,MATCH(P707,TZ_STN,0)),(AD707-INDEX(TZ_STD,MATCH(P707,TZ_STN,0))/24)&lt;INDEX(TZ_DSTE,MATCH(P707,TZ_STN,0))),INDEX(TZ_DST,MATCH(P707,TZ_STN,0)),INDEX(TZ_STD,MATCH(P707,TZ_STN,0))))/24,"")</f>
        <v/>
      </c>
      <c r="AH707" s="65" t="str">
        <f aca="false">IFERROR(IF(N707="N/A – rule","N/A – RULE",IF(TRIM(U707)="N/A",IF(AT707=0,"INVALID – N/A not permitted for this check",IF(AND(TRIM(AB707)&lt;&gt;"",TRIM(AB707)&lt;&gt;"Closed"),"INVALID – corrective action still open",IF(AND(NOT(OR(LEN(AZ707)&lt;15,ISNUMBER(MATCH(AZ707,L_Placeholder,0)))),NOT(OR(LEN(AU707)&lt;2,ISNUMBER(MATCH(AU707,L_Placeholder,0)))),NOT(OR(LEN(AX707)&lt;2,ISNUMBER(MATCH(AX707,L_Placeholder,0)))),TRIM(AE707)&lt;&gt;TRIM(T707)),"N/A – JUSTIFIED","INVALID – N/A needs a real justification (15+ chars), PIC and a different verifier"))),IF(OR(TRIM(U707)="Pass",TRIM(U707)="Pass after CA"),IF(NOT(ISNUMBER(AD707)),"INVALID – completion time missing",IF(OR(LEN(AU707)&lt;2,ISNUMBER(MATCH(AU707,L_Placeholder,0))),"INVALID – PIC missing",IF(OR(LEN(AV707)&lt;2,ISNUMBER(MATCH(AV707,L_Placeholder,0))),"INVALID – result / assessment missing",IF(OR(OR(LEN(AW707)&lt;3,ISNUMBER(MATCH(AW707,L_Placeholder,0))),SUMPRODUCT(--ISNUMBER(SEARCH(L_EvidencePhrase,AW707)))&gt;0),"INVALID – evidence missing, placeholder or not yet on file",IF(OR(LEN(AX707)&lt;2,ISNUMBER(MATCH(AX707,L_Placeholder,0))),"INVALID – verifier missing",IF(AX707=AU707,"INVALID – verifier must be someone other than the PIC",IF(AND(TRIM(U707)="Pass",SUMPRODUCT(--ISNUMBER(SEARCH(L_ResultBad,AV707)))&gt;0),"INVALID – result describes a problem: use Fail, then Pass after CA",IF(AND(AQ707=1,OR(LEN(AY707)&lt;3,ISNUMBER(MATCH(AY707,L_Placeholder,0)))),"INVALID – batch ID missing or placeholder",IF(AND(AR707=1,OR(NOT(ISNUMBER(X707)),NOT(ISNUMBER(Y707)))),"INVALID – expected/actual qty missing",IF(AND(AR707=1,OR(X707&lt;=0,Y707&lt;0)),"INVALID – expected qty must be above 0 and actual not negative",IF(BB707&lt;&gt;"",BB707,IF(AND(AS707=1,Documents!$J$26&lt;&gt;"ON FILE"),"INVALID – GLD not on file (Documents sheet)",IF(AND(AS707=2,Documents!$O$26&lt;&gt;"ON FILE"),"INVALID – menu checklist not on file (Documents sheet)",IF(AND(AS707=3,NOT(ISNUMBER(Flights!$AX$26))),"INVALID – enter carrying flight KUL departure (Flights AX)",IF(AND(AS707=3,OR(Flights!$AZ$26&gt;Flights!$AA$26,Flights!$AX$26&lt;Flights!$AA$26-3)),"INVALID – carrying flight (Flights AX) cannot arrive before this leg's STD, or is over 3 days early",IF(AG707&gt;AsOfUTC,"INVALID – completion time is in the future",IF(AND(ISNUMBER(S707),AG707&lt;S707),IF(H707="Physical uplift","INVALID – before uplift window (cannot confirm loading)","INVALID – before valid window"),IF(AG707&gt;Flights!$AA$26,"INVALID – completed after departure (cannot establish readiness)",IF(AND(H707="Preparation",AG707&gt;IF(ISNUMBER(Flights!$BA$26),MIN(Flights!$BA$26,Flights!$AA$26),Flights!$AA$26)),"INVALID – completed after loading / departure (cannot establish readiness)",IF(AND(H707="Physical uplift",AG707&gt;Q707),"INVALID – recorded after the loading flight departed",IF(AG707&gt;Q707,"COMPLETE – LATE","COMPLETE"))))))))))))))))))))),IF(TRIM(U707)="Fail","FAIL – DISCREPANCY",IF(AND(TRIM(U707)&lt;&gt;"",TRIM(U707)&lt;&gt;"Not started",TRIM(U707)&lt;&gt;"In progress"),"INVALID – unrecognised status (use the list)",IF(AsOfUTC&gt;Q707,"OVERDUE",IF(N707="Clarification required","OPEN – CLARIFICATION","OPEN"))))))),"INVALID – error value in an input cell")</f>
        <v>OPEN</v>
      </c>
      <c r="AI707" s="61" t="n">
        <f aca="false">IF(OR(AH707="N/A – RULE",AH707="N/A – JUSTIFIED"),0,1)</f>
        <v>1</v>
      </c>
      <c r="AJ707" s="61" t="n">
        <f aca="false">IF(LEFT(AH707,8)="COMPLETE",1,0)</f>
        <v>0</v>
      </c>
      <c r="AK707" s="61" t="n">
        <f aca="false">IF(AND(AI707=1,AJ707=0,AsOfUTC&gt;Q707),1,0)</f>
        <v>0</v>
      </c>
      <c r="AL707" s="61" t="n">
        <f aca="false">IFERROR(IF(AND(AI707=1,OR(TRIM(U707)="Fail",AND(TRIM(AB707)&lt;&gt;"",TRIM(AB707)&lt;&gt;"Closed"),AND(ISNUMBER(AF707),AF707&lt;&gt;0,TRIM(U707)&lt;&gt;"Pass after CA"))),1,0),1)</f>
        <v>0</v>
      </c>
      <c r="AM707" s="61" t="n">
        <f aca="false">IF(LEFT(AH707,7)="INVALID",1,0)</f>
        <v>0</v>
      </c>
      <c r="AN707" s="61" t="n">
        <f aca="false">IF(AND(N707="Clarification required",AI707=1,AJ707=0),1,0)</f>
        <v>0</v>
      </c>
      <c r="AO707" s="61" t="str">
        <f aca="false">IF(AK707=1,SUM(AK$5:AK707),"")</f>
        <v/>
      </c>
      <c r="AP707" s="61" t="str">
        <f aca="false">IF(AL707=1,SUM(AL$5:AL707),"")</f>
        <v/>
      </c>
      <c r="AQ707" s="61" t="n">
        <v>0</v>
      </c>
      <c r="AR707" s="61" t="n">
        <v>0</v>
      </c>
      <c r="AS707" s="61" t="n">
        <v>0</v>
      </c>
      <c r="AT707" s="61" t="n">
        <v>0</v>
      </c>
      <c r="AU707" s="61" t="str">
        <f aca="false">SUBSTITUTE(SUBSTITUTE(SUBSTITUTE(SUBSTITUTE(SUBSTITUTE(SUBSTITUTE(SUBSTITUTE(SUBSTITUTE(SUBSTITUTE(SUBSTITUTE(SUBSTITUTE(SUBSTITUTE(SUBSTITUTE(LOWER(T707&amp;""),CHAR(160),"")," ",""),".",""),"-",""),"/",""),"?",""),"_",""),",",""),"[",""),"]",""),"(",""),")",""),"*","")</f>
        <v/>
      </c>
      <c r="AV707" s="61" t="str">
        <f aca="false">SUBSTITUTE(SUBSTITUTE(SUBSTITUTE(SUBSTITUTE(SUBSTITUTE(SUBSTITUTE(SUBSTITUTE(SUBSTITUTE(SUBSTITUTE(SUBSTITUTE(SUBSTITUTE(SUBSTITUTE(SUBSTITUTE(LOWER(V707&amp;""),CHAR(160),"")," ",""),".",""),"-",""),"/",""),"?",""),"_",""),",",""),"[",""),"]",""),"(",""),")",""),"*","")</f>
        <v/>
      </c>
      <c r="AW707" s="61" t="str">
        <f aca="false">SUBSTITUTE(SUBSTITUTE(SUBSTITUTE(SUBSTITUTE(SUBSTITUTE(SUBSTITUTE(SUBSTITUTE(SUBSTITUTE(SUBSTITUTE(SUBSTITUTE(SUBSTITUTE(SUBSTITUTE(SUBSTITUTE(LOWER(Z707&amp;""),CHAR(160),"")," ",""),".",""),"-",""),"/",""),"?",""),"_",""),",",""),"[",""),"]",""),"(",""),")",""),"*","")</f>
        <v/>
      </c>
      <c r="AX707" s="61" t="str">
        <f aca="false">SUBSTITUTE(SUBSTITUTE(SUBSTITUTE(SUBSTITUTE(SUBSTITUTE(SUBSTITUTE(SUBSTITUTE(SUBSTITUTE(SUBSTITUTE(SUBSTITUTE(SUBSTITUTE(SUBSTITUTE(SUBSTITUTE(LOWER(AE707&amp;""),CHAR(160),"")," ",""),".",""),"-",""),"/",""),"?",""),"_",""),",",""),"[",""),"]",""),"(",""),")",""),"*","")</f>
        <v/>
      </c>
      <c r="AY707" s="61" t="str">
        <f aca="false">SUBSTITUTE(SUBSTITUTE(SUBSTITUTE(SUBSTITUTE(SUBSTITUTE(SUBSTITUTE(SUBSTITUTE(SUBSTITUTE(SUBSTITUTE(SUBSTITUTE(SUBSTITUTE(SUBSTITUTE(SUBSTITUTE(LOWER(W707&amp;""),CHAR(160),"")," ",""),".",""),"-",""),"/",""),"?",""),"_",""),",",""),"[",""),"]",""),"(",""),")",""),"*","")</f>
        <v/>
      </c>
      <c r="AZ707" s="61" t="str">
        <f aca="false">SUBSTITUTE(SUBSTITUTE(SUBSTITUTE(SUBSTITUTE(SUBSTITUTE(SUBSTITUTE(SUBSTITUTE(SUBSTITUTE(SUBSTITUTE(SUBSTITUTE(SUBSTITUTE(SUBSTITUTE(SUBSTITUTE(LOWER(AC707&amp;""),CHAR(160),"")," ",""),".",""),"-",""),"/",""),"?",""),"_",""),",",""),"[",""),"]",""),"(",""),")",""),"*","")</f>
        <v/>
      </c>
      <c r="BA707" s="61" t="str">
        <f aca="false">SUBSTITUTE(SUBSTITUTE(SUBSTITUTE(SUBSTITUTE(SUBSTITUTE(SUBSTITUTE(SUBSTITUTE(SUBSTITUTE(SUBSTITUTE(SUBSTITUTE(SUBSTITUTE(SUBSTITUTE(SUBSTITUTE(LOWER(AA707&amp;""),CHAR(160),"")," ",""),".",""),"-",""),"/",""),"?",""),"_",""),",",""),"[",""),"]",""),"(",""),")",""),"*","")</f>
        <v/>
      </c>
      <c r="BB707" s="61" t="str">
        <f aca="false">IF(AND(TRIM(U707)="Pass",ISNUMBER(AF707)),IF(AF707&lt;&gt;0,"INVALID – qty variance: use Fail or Pass after CA",""),"")&amp;IF(AND(TRIM(U707)="Pass after CA",ISNUMBER(AF707)),IF(AF707&lt;&gt;0,"INVALID – after the corrective action the actual qty must equal expected (update Actual)",""),"")&amp;IF(AND(TRIM(U707)="Pass",TRIM(AB707)&lt;&gt;"",TRIM(AB707)&lt;&gt;"Closed"),"INVALID – corrective action not closed: use Fail, then Pass after CA","")&amp;IF(AND(TRIM(AA707)&lt;&gt;"",TRIM(AB707)=""),"INVALID – CA status missing for the recorded corrective action","")&amp;IF(AND(TRIM(U707)="Pass after CA",OR(OR(LEN(BA707)&lt;5,ISNUMBER(MATCH(BA707,L_Placeholder,0))),TRIM(AB707)&lt;&gt;"Closed")),"INVALID – corrective action not recorded/closed","")</f>
        <v/>
      </c>
    </row>
    <row r="708" customFormat="false" ht="39.75" hidden="false" customHeight="true" outlineLevel="0" collapsed="false">
      <c r="A708" s="57" t="s">
        <v>1420</v>
      </c>
      <c r="B708" s="57" t="s">
        <v>309</v>
      </c>
      <c r="C708" s="57" t="str">
        <f aca="false">Flights!$F$26</f>
        <v>MH0002</v>
      </c>
      <c r="D708" s="58" t="n">
        <f aca="false">Flights!$D$26</f>
        <v>46325</v>
      </c>
      <c r="E708" s="57" t="str">
        <f aca="false">Flights!$G$26&amp;"-"&amp;Flights!$H$26</f>
        <v>KUL-LHR</v>
      </c>
      <c r="F708" s="57" t="str">
        <f aca="false">Flights!$K$26</f>
        <v>BC</v>
      </c>
      <c r="G708" s="57" t="s">
        <v>79</v>
      </c>
      <c r="H708" s="57" t="s">
        <v>356</v>
      </c>
      <c r="I708" s="57" t="s">
        <v>383</v>
      </c>
      <c r="J708" s="57" t="s">
        <v>384</v>
      </c>
      <c r="K708" s="67" t="s">
        <v>385</v>
      </c>
      <c r="L708" s="67" t="s">
        <v>360</v>
      </c>
      <c r="M708" s="67"/>
      <c r="N708" s="67" t="s">
        <v>361</v>
      </c>
      <c r="O708" s="67"/>
      <c r="P708" s="57" t="s">
        <v>184</v>
      </c>
      <c r="Q708" s="59" t="n">
        <f aca="false">ROUND((Flights!$AC$26)*1440,0)/1440</f>
        <v>46318.6388888889</v>
      </c>
      <c r="R708" s="59" t="n">
        <f aca="false">Q708+(IF(AND(INDEX(TZ_DSTS,MATCH(P708,TZ_STN,0))&lt;&gt;"",Q708&gt;=INDEX(TZ_DSTS,MATCH(P708,TZ_STN,0)),Q708&lt;INDEX(TZ_DSTE,MATCH(P708,TZ_STN,0))),INDEX(TZ_DST,MATCH(P708,TZ_STN,0)),INDEX(TZ_STD,MATCH(P708,TZ_STN,0))))/24</f>
        <v>46318.9722222222</v>
      </c>
      <c r="S708" s="59" t="n">
        <f aca="false">Q708-T7EarlyD*24/24</f>
        <v>46304.6388888889</v>
      </c>
      <c r="T708" s="60"/>
      <c r="U708" s="60"/>
      <c r="V708" s="60"/>
      <c r="W708" s="61"/>
      <c r="X708" s="60"/>
      <c r="Y708" s="60"/>
      <c r="Z708" s="60"/>
      <c r="AA708" s="60"/>
      <c r="AB708" s="60"/>
      <c r="AC708" s="60"/>
      <c r="AD708" s="66"/>
      <c r="AE708" s="60"/>
      <c r="AF708" s="61" t="str">
        <f aca="false">IF(AND(ISNUMBER(X708),ISNUMBER(Y708)),Y708-X708,"")</f>
        <v/>
      </c>
      <c r="AG708" s="62" t="str">
        <f aca="false">IF(ISNUMBER(AD708),AD708-(IF(AND(INDEX(TZ_DSTS,MATCH(P708,TZ_STN,0))&lt;&gt;"",(AD708-INDEX(TZ_STD,MATCH(P708,TZ_STN,0))/24)&gt;=INDEX(TZ_DSTS,MATCH(P708,TZ_STN,0)),(AD708-INDEX(TZ_STD,MATCH(P708,TZ_STN,0))/24)&lt;INDEX(TZ_DSTE,MATCH(P708,TZ_STN,0))),INDEX(TZ_DST,MATCH(P708,TZ_STN,0)),INDEX(TZ_STD,MATCH(P708,TZ_STN,0))))/24,"")</f>
        <v/>
      </c>
      <c r="AH708" s="65" t="str">
        <f aca="false">IFERROR(IF(N708="N/A – rule","N/A – RULE",IF(TRIM(U708)="N/A",IF(AT708=0,"INVALID – N/A not permitted for this check",IF(AND(TRIM(AB708)&lt;&gt;"",TRIM(AB708)&lt;&gt;"Closed"),"INVALID – corrective action still open",IF(AND(NOT(OR(LEN(AZ708)&lt;15,ISNUMBER(MATCH(AZ708,L_Placeholder,0)))),NOT(OR(LEN(AU708)&lt;2,ISNUMBER(MATCH(AU708,L_Placeholder,0)))),NOT(OR(LEN(AX708)&lt;2,ISNUMBER(MATCH(AX708,L_Placeholder,0)))),TRIM(AE708)&lt;&gt;TRIM(T708)),"N/A – JUSTIFIED","INVALID – N/A needs a real justification (15+ chars), PIC and a different verifier"))),IF(OR(TRIM(U708)="Pass",TRIM(U708)="Pass after CA"),IF(NOT(ISNUMBER(AD708)),"INVALID – completion time missing",IF(OR(LEN(AU708)&lt;2,ISNUMBER(MATCH(AU708,L_Placeholder,0))),"INVALID – PIC missing",IF(OR(LEN(AV708)&lt;2,ISNUMBER(MATCH(AV708,L_Placeholder,0))),"INVALID – result / assessment missing",IF(OR(OR(LEN(AW708)&lt;3,ISNUMBER(MATCH(AW708,L_Placeholder,0))),SUMPRODUCT(--ISNUMBER(SEARCH(L_EvidencePhrase,AW708)))&gt;0),"INVALID – evidence missing, placeholder or not yet on file",IF(OR(LEN(AX708)&lt;2,ISNUMBER(MATCH(AX708,L_Placeholder,0))),"INVALID – verifier missing",IF(AX708=AU708,"INVALID – verifier must be someone other than the PIC",IF(AND(TRIM(U708)="Pass",SUMPRODUCT(--ISNUMBER(SEARCH(L_ResultBad,AV708)))&gt;0),"INVALID – result describes a problem: use Fail, then Pass after CA",IF(AND(AQ708=1,OR(LEN(AY708)&lt;3,ISNUMBER(MATCH(AY708,L_Placeholder,0)))),"INVALID – batch ID missing or placeholder",IF(AND(AR708=1,OR(NOT(ISNUMBER(X708)),NOT(ISNUMBER(Y708)))),"INVALID – expected/actual qty missing",IF(AND(AR708=1,OR(X708&lt;=0,Y708&lt;0)),"INVALID – expected qty must be above 0 and actual not negative",IF(BB708&lt;&gt;"",BB708,IF(AND(AS708=1,Documents!$J$26&lt;&gt;"ON FILE"),"INVALID – GLD not on file (Documents sheet)",IF(AND(AS708=2,Documents!$O$26&lt;&gt;"ON FILE"),"INVALID – menu checklist not on file (Documents sheet)",IF(AND(AS708=3,NOT(ISNUMBER(Flights!$AX$26))),"INVALID – enter carrying flight KUL departure (Flights AX)",IF(AND(AS708=3,OR(Flights!$AZ$26&gt;Flights!$AA$26,Flights!$AX$26&lt;Flights!$AA$26-3)),"INVALID – carrying flight (Flights AX) cannot arrive before this leg's STD, or is over 3 days early",IF(AG708&gt;AsOfUTC,"INVALID – completion time is in the future",IF(AND(ISNUMBER(S708),AG708&lt;S708),IF(H708="Physical uplift","INVALID – before uplift window (cannot confirm loading)","INVALID – before valid window"),IF(AG708&gt;Flights!$AA$26,"INVALID – completed after departure (cannot establish readiness)",IF(AND(H708="Preparation",AG708&gt;IF(ISNUMBER(Flights!$BA$26),MIN(Flights!$BA$26,Flights!$AA$26),Flights!$AA$26)),"INVALID – completed after loading / departure (cannot establish readiness)",IF(AND(H708="Physical uplift",AG708&gt;Q708),"INVALID – recorded after the loading flight departed",IF(AG708&gt;Q708,"COMPLETE – LATE","COMPLETE"))))))))))))))))))))),IF(TRIM(U708)="Fail","FAIL – DISCREPANCY",IF(AND(TRIM(U708)&lt;&gt;"",TRIM(U708)&lt;&gt;"Not started",TRIM(U708)&lt;&gt;"In progress"),"INVALID – unrecognised status (use the list)",IF(AsOfUTC&gt;Q708,"OVERDUE",IF(N708="Clarification required","OPEN – CLARIFICATION","OPEN"))))))),"INVALID – error value in an input cell")</f>
        <v>OPEN</v>
      </c>
      <c r="AI708" s="61" t="n">
        <f aca="false">IF(OR(AH708="N/A – RULE",AH708="N/A – JUSTIFIED"),0,1)</f>
        <v>1</v>
      </c>
      <c r="AJ708" s="61" t="n">
        <f aca="false">IF(LEFT(AH708,8)="COMPLETE",1,0)</f>
        <v>0</v>
      </c>
      <c r="AK708" s="61" t="n">
        <f aca="false">IF(AND(AI708=1,AJ708=0,AsOfUTC&gt;Q708),1,0)</f>
        <v>0</v>
      </c>
      <c r="AL708" s="61" t="n">
        <f aca="false">IFERROR(IF(AND(AI708=1,OR(TRIM(U708)="Fail",AND(TRIM(AB708)&lt;&gt;"",TRIM(AB708)&lt;&gt;"Closed"),AND(ISNUMBER(AF708),AF708&lt;&gt;0,TRIM(U708)&lt;&gt;"Pass after CA"))),1,0),1)</f>
        <v>0</v>
      </c>
      <c r="AM708" s="61" t="n">
        <f aca="false">IF(LEFT(AH708,7)="INVALID",1,0)</f>
        <v>0</v>
      </c>
      <c r="AN708" s="61" t="n">
        <f aca="false">IF(AND(N708="Clarification required",AI708=1,AJ708=0),1,0)</f>
        <v>0</v>
      </c>
      <c r="AO708" s="61" t="str">
        <f aca="false">IF(AK708=1,SUM(AK$5:AK708),"")</f>
        <v/>
      </c>
      <c r="AP708" s="61" t="str">
        <f aca="false">IF(AL708=1,SUM(AL$5:AL708),"")</f>
        <v/>
      </c>
      <c r="AQ708" s="61" t="n">
        <v>0</v>
      </c>
      <c r="AR708" s="61" t="n">
        <v>0</v>
      </c>
      <c r="AS708" s="61" t="n">
        <v>1</v>
      </c>
      <c r="AT708" s="61" t="n">
        <v>0</v>
      </c>
      <c r="AU708" s="61" t="str">
        <f aca="false">SUBSTITUTE(SUBSTITUTE(SUBSTITUTE(SUBSTITUTE(SUBSTITUTE(SUBSTITUTE(SUBSTITUTE(SUBSTITUTE(SUBSTITUTE(SUBSTITUTE(SUBSTITUTE(SUBSTITUTE(SUBSTITUTE(LOWER(T708&amp;""),CHAR(160),"")," ",""),".",""),"-",""),"/",""),"?",""),"_",""),",",""),"[",""),"]",""),"(",""),")",""),"*","")</f>
        <v/>
      </c>
      <c r="AV708" s="61" t="str">
        <f aca="false">SUBSTITUTE(SUBSTITUTE(SUBSTITUTE(SUBSTITUTE(SUBSTITUTE(SUBSTITUTE(SUBSTITUTE(SUBSTITUTE(SUBSTITUTE(SUBSTITUTE(SUBSTITUTE(SUBSTITUTE(SUBSTITUTE(LOWER(V708&amp;""),CHAR(160),"")," ",""),".",""),"-",""),"/",""),"?",""),"_",""),",",""),"[",""),"]",""),"(",""),")",""),"*","")</f>
        <v/>
      </c>
      <c r="AW708" s="61" t="str">
        <f aca="false">SUBSTITUTE(SUBSTITUTE(SUBSTITUTE(SUBSTITUTE(SUBSTITUTE(SUBSTITUTE(SUBSTITUTE(SUBSTITUTE(SUBSTITUTE(SUBSTITUTE(SUBSTITUTE(SUBSTITUTE(SUBSTITUTE(LOWER(Z708&amp;""),CHAR(160),"")," ",""),".",""),"-",""),"/",""),"?",""),"_",""),",",""),"[",""),"]",""),"(",""),")",""),"*","")</f>
        <v/>
      </c>
      <c r="AX708" s="61" t="str">
        <f aca="false">SUBSTITUTE(SUBSTITUTE(SUBSTITUTE(SUBSTITUTE(SUBSTITUTE(SUBSTITUTE(SUBSTITUTE(SUBSTITUTE(SUBSTITUTE(SUBSTITUTE(SUBSTITUTE(SUBSTITUTE(SUBSTITUTE(LOWER(AE708&amp;""),CHAR(160),"")," ",""),".",""),"-",""),"/",""),"?",""),"_",""),",",""),"[",""),"]",""),"(",""),")",""),"*","")</f>
        <v/>
      </c>
      <c r="AY708" s="61" t="str">
        <f aca="false">SUBSTITUTE(SUBSTITUTE(SUBSTITUTE(SUBSTITUTE(SUBSTITUTE(SUBSTITUTE(SUBSTITUTE(SUBSTITUTE(SUBSTITUTE(SUBSTITUTE(SUBSTITUTE(SUBSTITUTE(SUBSTITUTE(LOWER(W708&amp;""),CHAR(160),"")," ",""),".",""),"-",""),"/",""),"?",""),"_",""),",",""),"[",""),"]",""),"(",""),")",""),"*","")</f>
        <v/>
      </c>
      <c r="AZ708" s="61" t="str">
        <f aca="false">SUBSTITUTE(SUBSTITUTE(SUBSTITUTE(SUBSTITUTE(SUBSTITUTE(SUBSTITUTE(SUBSTITUTE(SUBSTITUTE(SUBSTITUTE(SUBSTITUTE(SUBSTITUTE(SUBSTITUTE(SUBSTITUTE(LOWER(AC708&amp;""),CHAR(160),"")," ",""),".",""),"-",""),"/",""),"?",""),"_",""),",",""),"[",""),"]",""),"(",""),")",""),"*","")</f>
        <v/>
      </c>
      <c r="BA708" s="61" t="str">
        <f aca="false">SUBSTITUTE(SUBSTITUTE(SUBSTITUTE(SUBSTITUTE(SUBSTITUTE(SUBSTITUTE(SUBSTITUTE(SUBSTITUTE(SUBSTITUTE(SUBSTITUTE(SUBSTITUTE(SUBSTITUTE(SUBSTITUTE(LOWER(AA708&amp;""),CHAR(160),"")," ",""),".",""),"-",""),"/",""),"?",""),"_",""),",",""),"[",""),"]",""),"(",""),")",""),"*","")</f>
        <v/>
      </c>
      <c r="BB708" s="61" t="str">
        <f aca="false">IF(AND(TRIM(U708)="Pass",ISNUMBER(AF708)),IF(AF708&lt;&gt;0,"INVALID – qty variance: use Fail or Pass after CA",""),"")&amp;IF(AND(TRIM(U708)="Pass after CA",ISNUMBER(AF708)),IF(AF708&lt;&gt;0,"INVALID – after the corrective action the actual qty must equal expected (update Actual)",""),"")&amp;IF(AND(TRIM(U708)="Pass",TRIM(AB708)&lt;&gt;"",TRIM(AB708)&lt;&gt;"Closed"),"INVALID – corrective action not closed: use Fail, then Pass after CA","")&amp;IF(AND(TRIM(AA708)&lt;&gt;"",TRIM(AB708)=""),"INVALID – CA status missing for the recorded corrective action","")&amp;IF(AND(TRIM(U708)="Pass after CA",OR(OR(LEN(BA708)&lt;5,ISNUMBER(MATCH(BA708,L_Placeholder,0))),TRIM(AB708)&lt;&gt;"Closed")),"INVALID – corrective action not recorded/closed","")</f>
        <v/>
      </c>
    </row>
    <row r="709" customFormat="false" ht="39.75" hidden="false" customHeight="true" outlineLevel="0" collapsed="false">
      <c r="A709" s="57" t="s">
        <v>1421</v>
      </c>
      <c r="B709" s="57" t="s">
        <v>309</v>
      </c>
      <c r="C709" s="57" t="str">
        <f aca="false">Flights!$F$26</f>
        <v>MH0002</v>
      </c>
      <c r="D709" s="58" t="n">
        <f aca="false">Flights!$D$26</f>
        <v>46325</v>
      </c>
      <c r="E709" s="57" t="str">
        <f aca="false">Flights!$G$26&amp;"-"&amp;Flights!$H$26</f>
        <v>KUL-LHR</v>
      </c>
      <c r="F709" s="57" t="str">
        <f aca="false">Flights!$K$26</f>
        <v>BC</v>
      </c>
      <c r="G709" s="57" t="s">
        <v>79</v>
      </c>
      <c r="H709" s="57" t="s">
        <v>356</v>
      </c>
      <c r="I709" s="57" t="s">
        <v>383</v>
      </c>
      <c r="J709" s="57" t="s">
        <v>387</v>
      </c>
      <c r="K709" s="67" t="s">
        <v>385</v>
      </c>
      <c r="L709" s="67" t="s">
        <v>360</v>
      </c>
      <c r="M709" s="67"/>
      <c r="N709" s="67" t="s">
        <v>361</v>
      </c>
      <c r="O709" s="67"/>
      <c r="P709" s="57" t="s">
        <v>184</v>
      </c>
      <c r="Q709" s="59" t="n">
        <f aca="false">ROUND((Flights!$AC$26)*1440,0)/1440</f>
        <v>46318.6388888889</v>
      </c>
      <c r="R709" s="59" t="n">
        <f aca="false">Q709+(IF(AND(INDEX(TZ_DSTS,MATCH(P709,TZ_STN,0))&lt;&gt;"",Q709&gt;=INDEX(TZ_DSTS,MATCH(P709,TZ_STN,0)),Q709&lt;INDEX(TZ_DSTE,MATCH(P709,TZ_STN,0))),INDEX(TZ_DST,MATCH(P709,TZ_STN,0)),INDEX(TZ_STD,MATCH(P709,TZ_STN,0))))/24</f>
        <v>46318.9722222222</v>
      </c>
      <c r="S709" s="59" t="n">
        <f aca="false">Q709-T7EarlyD*24/24</f>
        <v>46304.6388888889</v>
      </c>
      <c r="T709" s="60"/>
      <c r="U709" s="60"/>
      <c r="V709" s="60"/>
      <c r="W709" s="61"/>
      <c r="X709" s="60"/>
      <c r="Y709" s="60"/>
      <c r="Z709" s="60"/>
      <c r="AA709" s="60"/>
      <c r="AB709" s="60"/>
      <c r="AC709" s="60"/>
      <c r="AD709" s="66"/>
      <c r="AE709" s="60"/>
      <c r="AF709" s="61" t="str">
        <f aca="false">IF(AND(ISNUMBER(X709),ISNUMBER(Y709)),Y709-X709,"")</f>
        <v/>
      </c>
      <c r="AG709" s="62" t="str">
        <f aca="false">IF(ISNUMBER(AD709),AD709-(IF(AND(INDEX(TZ_DSTS,MATCH(P709,TZ_STN,0))&lt;&gt;"",(AD709-INDEX(TZ_STD,MATCH(P709,TZ_STN,0))/24)&gt;=INDEX(TZ_DSTS,MATCH(P709,TZ_STN,0)),(AD709-INDEX(TZ_STD,MATCH(P709,TZ_STN,0))/24)&lt;INDEX(TZ_DSTE,MATCH(P709,TZ_STN,0))),INDEX(TZ_DST,MATCH(P709,TZ_STN,0)),INDEX(TZ_STD,MATCH(P709,TZ_STN,0))))/24,"")</f>
        <v/>
      </c>
      <c r="AH709" s="65" t="str">
        <f aca="false">IFERROR(IF(N709="N/A – rule","N/A – RULE",IF(TRIM(U709)="N/A",IF(AT709=0,"INVALID – N/A not permitted for this check",IF(AND(TRIM(AB709)&lt;&gt;"",TRIM(AB709)&lt;&gt;"Closed"),"INVALID – corrective action still open",IF(AND(NOT(OR(LEN(AZ709)&lt;15,ISNUMBER(MATCH(AZ709,L_Placeholder,0)))),NOT(OR(LEN(AU709)&lt;2,ISNUMBER(MATCH(AU709,L_Placeholder,0)))),NOT(OR(LEN(AX709)&lt;2,ISNUMBER(MATCH(AX709,L_Placeholder,0)))),TRIM(AE709)&lt;&gt;TRIM(T709)),"N/A – JUSTIFIED","INVALID – N/A needs a real justification (15+ chars), PIC and a different verifier"))),IF(OR(TRIM(U709)="Pass",TRIM(U709)="Pass after CA"),IF(NOT(ISNUMBER(AD709)),"INVALID – completion time missing",IF(OR(LEN(AU709)&lt;2,ISNUMBER(MATCH(AU709,L_Placeholder,0))),"INVALID – PIC missing",IF(OR(LEN(AV709)&lt;2,ISNUMBER(MATCH(AV709,L_Placeholder,0))),"INVALID – result / assessment missing",IF(OR(OR(LEN(AW709)&lt;3,ISNUMBER(MATCH(AW709,L_Placeholder,0))),SUMPRODUCT(--ISNUMBER(SEARCH(L_EvidencePhrase,AW709)))&gt;0),"INVALID – evidence missing, placeholder or not yet on file",IF(OR(LEN(AX709)&lt;2,ISNUMBER(MATCH(AX709,L_Placeholder,0))),"INVALID – verifier missing",IF(AX709=AU709,"INVALID – verifier must be someone other than the PIC",IF(AND(TRIM(U709)="Pass",SUMPRODUCT(--ISNUMBER(SEARCH(L_ResultBad,AV709)))&gt;0),"INVALID – result describes a problem: use Fail, then Pass after CA",IF(AND(AQ709=1,OR(LEN(AY709)&lt;3,ISNUMBER(MATCH(AY709,L_Placeholder,0)))),"INVALID – batch ID missing or placeholder",IF(AND(AR709=1,OR(NOT(ISNUMBER(X709)),NOT(ISNUMBER(Y709)))),"INVALID – expected/actual qty missing",IF(AND(AR709=1,OR(X709&lt;=0,Y709&lt;0)),"INVALID – expected qty must be above 0 and actual not negative",IF(BB709&lt;&gt;"",BB709,IF(AND(AS709=1,Documents!$J$26&lt;&gt;"ON FILE"),"INVALID – GLD not on file (Documents sheet)",IF(AND(AS709=2,Documents!$O$26&lt;&gt;"ON FILE"),"INVALID – menu checklist not on file (Documents sheet)",IF(AND(AS709=3,NOT(ISNUMBER(Flights!$AX$26))),"INVALID – enter carrying flight KUL departure (Flights AX)",IF(AND(AS709=3,OR(Flights!$AZ$26&gt;Flights!$AA$26,Flights!$AX$26&lt;Flights!$AA$26-3)),"INVALID – carrying flight (Flights AX) cannot arrive before this leg's STD, or is over 3 days early",IF(AG709&gt;AsOfUTC,"INVALID – completion time is in the future",IF(AND(ISNUMBER(S709),AG709&lt;S709),IF(H709="Physical uplift","INVALID – before uplift window (cannot confirm loading)","INVALID – before valid window"),IF(AG709&gt;Flights!$AA$26,"INVALID – completed after departure (cannot establish readiness)",IF(AND(H709="Preparation",AG709&gt;IF(ISNUMBER(Flights!$BA$26),MIN(Flights!$BA$26,Flights!$AA$26),Flights!$AA$26)),"INVALID – completed after loading / departure (cannot establish readiness)",IF(AND(H709="Physical uplift",AG709&gt;Q709),"INVALID – recorded after the loading flight departed",IF(AG709&gt;Q709,"COMPLETE – LATE","COMPLETE"))))))))))))))))))))),IF(TRIM(U709)="Fail","FAIL – DISCREPANCY",IF(AND(TRIM(U709)&lt;&gt;"",TRIM(U709)&lt;&gt;"Not started",TRIM(U709)&lt;&gt;"In progress"),"INVALID – unrecognised status (use the list)",IF(AsOfUTC&gt;Q709,"OVERDUE",IF(N709="Clarification required","OPEN – CLARIFICATION","OPEN"))))))),"INVALID – error value in an input cell")</f>
        <v>OPEN</v>
      </c>
      <c r="AI709" s="61" t="n">
        <f aca="false">IF(OR(AH709="N/A – RULE",AH709="N/A – JUSTIFIED"),0,1)</f>
        <v>1</v>
      </c>
      <c r="AJ709" s="61" t="n">
        <f aca="false">IF(LEFT(AH709,8)="COMPLETE",1,0)</f>
        <v>0</v>
      </c>
      <c r="AK709" s="61" t="n">
        <f aca="false">IF(AND(AI709=1,AJ709=0,AsOfUTC&gt;Q709),1,0)</f>
        <v>0</v>
      </c>
      <c r="AL709" s="61" t="n">
        <f aca="false">IFERROR(IF(AND(AI709=1,OR(TRIM(U709)="Fail",AND(TRIM(AB709)&lt;&gt;"",TRIM(AB709)&lt;&gt;"Closed"),AND(ISNUMBER(AF709),AF709&lt;&gt;0,TRIM(U709)&lt;&gt;"Pass after CA"))),1,0),1)</f>
        <v>0</v>
      </c>
      <c r="AM709" s="61" t="n">
        <f aca="false">IF(LEFT(AH709,7)="INVALID",1,0)</f>
        <v>0</v>
      </c>
      <c r="AN709" s="61" t="n">
        <f aca="false">IF(AND(N709="Clarification required",AI709=1,AJ709=0),1,0)</f>
        <v>0</v>
      </c>
      <c r="AO709" s="61" t="str">
        <f aca="false">IF(AK709=1,SUM(AK$5:AK709),"")</f>
        <v/>
      </c>
      <c r="AP709" s="61" t="str">
        <f aca="false">IF(AL709=1,SUM(AL$5:AL709),"")</f>
        <v/>
      </c>
      <c r="AQ709" s="61" t="n">
        <v>0</v>
      </c>
      <c r="AR709" s="61" t="n">
        <v>0</v>
      </c>
      <c r="AS709" s="61" t="n">
        <v>2</v>
      </c>
      <c r="AT709" s="61" t="n">
        <v>0</v>
      </c>
      <c r="AU709" s="61" t="str">
        <f aca="false">SUBSTITUTE(SUBSTITUTE(SUBSTITUTE(SUBSTITUTE(SUBSTITUTE(SUBSTITUTE(SUBSTITUTE(SUBSTITUTE(SUBSTITUTE(SUBSTITUTE(SUBSTITUTE(SUBSTITUTE(SUBSTITUTE(LOWER(T709&amp;""),CHAR(160),"")," ",""),".",""),"-",""),"/",""),"?",""),"_",""),",",""),"[",""),"]",""),"(",""),")",""),"*","")</f>
        <v/>
      </c>
      <c r="AV709" s="61" t="str">
        <f aca="false">SUBSTITUTE(SUBSTITUTE(SUBSTITUTE(SUBSTITUTE(SUBSTITUTE(SUBSTITUTE(SUBSTITUTE(SUBSTITUTE(SUBSTITUTE(SUBSTITUTE(SUBSTITUTE(SUBSTITUTE(SUBSTITUTE(LOWER(V709&amp;""),CHAR(160),"")," ",""),".",""),"-",""),"/",""),"?",""),"_",""),",",""),"[",""),"]",""),"(",""),")",""),"*","")</f>
        <v/>
      </c>
      <c r="AW709" s="61" t="str">
        <f aca="false">SUBSTITUTE(SUBSTITUTE(SUBSTITUTE(SUBSTITUTE(SUBSTITUTE(SUBSTITUTE(SUBSTITUTE(SUBSTITUTE(SUBSTITUTE(SUBSTITUTE(SUBSTITUTE(SUBSTITUTE(SUBSTITUTE(LOWER(Z709&amp;""),CHAR(160),"")," ",""),".",""),"-",""),"/",""),"?",""),"_",""),",",""),"[",""),"]",""),"(",""),")",""),"*","")</f>
        <v/>
      </c>
      <c r="AX709" s="61" t="str">
        <f aca="false">SUBSTITUTE(SUBSTITUTE(SUBSTITUTE(SUBSTITUTE(SUBSTITUTE(SUBSTITUTE(SUBSTITUTE(SUBSTITUTE(SUBSTITUTE(SUBSTITUTE(SUBSTITUTE(SUBSTITUTE(SUBSTITUTE(LOWER(AE709&amp;""),CHAR(160),"")," ",""),".",""),"-",""),"/",""),"?",""),"_",""),",",""),"[",""),"]",""),"(",""),")",""),"*","")</f>
        <v/>
      </c>
      <c r="AY709" s="61" t="str">
        <f aca="false">SUBSTITUTE(SUBSTITUTE(SUBSTITUTE(SUBSTITUTE(SUBSTITUTE(SUBSTITUTE(SUBSTITUTE(SUBSTITUTE(SUBSTITUTE(SUBSTITUTE(SUBSTITUTE(SUBSTITUTE(SUBSTITUTE(LOWER(W709&amp;""),CHAR(160),"")," ",""),".",""),"-",""),"/",""),"?",""),"_",""),",",""),"[",""),"]",""),"(",""),")",""),"*","")</f>
        <v/>
      </c>
      <c r="AZ709" s="61" t="str">
        <f aca="false">SUBSTITUTE(SUBSTITUTE(SUBSTITUTE(SUBSTITUTE(SUBSTITUTE(SUBSTITUTE(SUBSTITUTE(SUBSTITUTE(SUBSTITUTE(SUBSTITUTE(SUBSTITUTE(SUBSTITUTE(SUBSTITUTE(LOWER(AC709&amp;""),CHAR(160),"")," ",""),".",""),"-",""),"/",""),"?",""),"_",""),",",""),"[",""),"]",""),"(",""),")",""),"*","")</f>
        <v/>
      </c>
      <c r="BA709" s="61" t="str">
        <f aca="false">SUBSTITUTE(SUBSTITUTE(SUBSTITUTE(SUBSTITUTE(SUBSTITUTE(SUBSTITUTE(SUBSTITUTE(SUBSTITUTE(SUBSTITUTE(SUBSTITUTE(SUBSTITUTE(SUBSTITUTE(SUBSTITUTE(LOWER(AA709&amp;""),CHAR(160),"")," ",""),".",""),"-",""),"/",""),"?",""),"_",""),",",""),"[",""),"]",""),"(",""),")",""),"*","")</f>
        <v/>
      </c>
      <c r="BB709" s="61" t="str">
        <f aca="false">IF(AND(TRIM(U709)="Pass",ISNUMBER(AF709)),IF(AF709&lt;&gt;0,"INVALID – qty variance: use Fail or Pass after CA",""),"")&amp;IF(AND(TRIM(U709)="Pass after CA",ISNUMBER(AF709)),IF(AF709&lt;&gt;0,"INVALID – after the corrective action the actual qty must equal expected (update Actual)",""),"")&amp;IF(AND(TRIM(U709)="Pass",TRIM(AB709)&lt;&gt;"",TRIM(AB709)&lt;&gt;"Closed"),"INVALID – corrective action not closed: use Fail, then Pass after CA","")&amp;IF(AND(TRIM(AA709)&lt;&gt;"",TRIM(AB709)=""),"INVALID – CA status missing for the recorded corrective action","")&amp;IF(AND(TRIM(U709)="Pass after CA",OR(OR(LEN(BA709)&lt;5,ISNUMBER(MATCH(BA709,L_Placeholder,0))),TRIM(AB709)&lt;&gt;"Closed")),"INVALID – corrective action not recorded/closed","")</f>
        <v/>
      </c>
    </row>
    <row r="710" customFormat="false" ht="39.75" hidden="false" customHeight="true" outlineLevel="0" collapsed="false">
      <c r="A710" s="57" t="s">
        <v>1422</v>
      </c>
      <c r="B710" s="57" t="s">
        <v>309</v>
      </c>
      <c r="C710" s="57" t="str">
        <f aca="false">Flights!$F$26</f>
        <v>MH0002</v>
      </c>
      <c r="D710" s="58" t="n">
        <f aca="false">Flights!$D$26</f>
        <v>46325</v>
      </c>
      <c r="E710" s="57" t="str">
        <f aca="false">Flights!$G$26&amp;"-"&amp;Flights!$H$26</f>
        <v>KUL-LHR</v>
      </c>
      <c r="F710" s="57" t="str">
        <f aca="false">Flights!$K$26</f>
        <v>BC</v>
      </c>
      <c r="G710" s="57" t="s">
        <v>79</v>
      </c>
      <c r="H710" s="57" t="s">
        <v>356</v>
      </c>
      <c r="I710" s="57" t="s">
        <v>389</v>
      </c>
      <c r="J710" s="57" t="s">
        <v>390</v>
      </c>
      <c r="K710" s="67" t="s">
        <v>694</v>
      </c>
      <c r="L710" s="67" t="s">
        <v>392</v>
      </c>
      <c r="M710" s="67"/>
      <c r="N710" s="67" t="s">
        <v>361</v>
      </c>
      <c r="O710" s="67"/>
      <c r="P710" s="57" t="s">
        <v>184</v>
      </c>
      <c r="Q710" s="59" t="n">
        <f aca="false">ROUND((Flights!$AC$26)*1440,0)/1440</f>
        <v>46318.6388888889</v>
      </c>
      <c r="R710" s="59" t="n">
        <f aca="false">Q710+(IF(AND(INDEX(TZ_DSTS,MATCH(P710,TZ_STN,0))&lt;&gt;"",Q710&gt;=INDEX(TZ_DSTS,MATCH(P710,TZ_STN,0)),Q710&lt;INDEX(TZ_DSTE,MATCH(P710,TZ_STN,0))),INDEX(TZ_DST,MATCH(P710,TZ_STN,0)),INDEX(TZ_STD,MATCH(P710,TZ_STN,0))))/24</f>
        <v>46318.9722222222</v>
      </c>
      <c r="S710" s="59" t="n">
        <f aca="false">Q710-T7EarlyD*24/24</f>
        <v>46304.6388888889</v>
      </c>
      <c r="T710" s="60"/>
      <c r="U710" s="60"/>
      <c r="V710" s="60"/>
      <c r="W710" s="61"/>
      <c r="X710" s="60"/>
      <c r="Y710" s="60"/>
      <c r="Z710" s="60"/>
      <c r="AA710" s="60"/>
      <c r="AB710" s="60"/>
      <c r="AC710" s="60"/>
      <c r="AD710" s="66"/>
      <c r="AE710" s="60"/>
      <c r="AF710" s="61" t="str">
        <f aca="false">IF(AND(ISNUMBER(X710),ISNUMBER(Y710)),Y710-X710,"")</f>
        <v/>
      </c>
      <c r="AG710" s="62" t="str">
        <f aca="false">IF(ISNUMBER(AD710),AD710-(IF(AND(INDEX(TZ_DSTS,MATCH(P710,TZ_STN,0))&lt;&gt;"",(AD710-INDEX(TZ_STD,MATCH(P710,TZ_STN,0))/24)&gt;=INDEX(TZ_DSTS,MATCH(P710,TZ_STN,0)),(AD710-INDEX(TZ_STD,MATCH(P710,TZ_STN,0))/24)&lt;INDEX(TZ_DSTE,MATCH(P710,TZ_STN,0))),INDEX(TZ_DST,MATCH(P710,TZ_STN,0)),INDEX(TZ_STD,MATCH(P710,TZ_STN,0))))/24,"")</f>
        <v/>
      </c>
      <c r="AH710" s="65" t="str">
        <f aca="false">IFERROR(IF(N710="N/A – rule","N/A – RULE",IF(TRIM(U710)="N/A",IF(AT710=0,"INVALID – N/A not permitted for this check",IF(AND(TRIM(AB710)&lt;&gt;"",TRIM(AB710)&lt;&gt;"Closed"),"INVALID – corrective action still open",IF(AND(NOT(OR(LEN(AZ710)&lt;15,ISNUMBER(MATCH(AZ710,L_Placeholder,0)))),NOT(OR(LEN(AU710)&lt;2,ISNUMBER(MATCH(AU710,L_Placeholder,0)))),NOT(OR(LEN(AX710)&lt;2,ISNUMBER(MATCH(AX710,L_Placeholder,0)))),TRIM(AE710)&lt;&gt;TRIM(T710)),"N/A – JUSTIFIED","INVALID – N/A needs a real justification (15+ chars), PIC and a different verifier"))),IF(OR(TRIM(U710)="Pass",TRIM(U710)="Pass after CA"),IF(NOT(ISNUMBER(AD710)),"INVALID – completion time missing",IF(OR(LEN(AU710)&lt;2,ISNUMBER(MATCH(AU710,L_Placeholder,0))),"INVALID – PIC missing",IF(OR(LEN(AV710)&lt;2,ISNUMBER(MATCH(AV710,L_Placeholder,0))),"INVALID – result / assessment missing",IF(OR(OR(LEN(AW710)&lt;3,ISNUMBER(MATCH(AW710,L_Placeholder,0))),SUMPRODUCT(--ISNUMBER(SEARCH(L_EvidencePhrase,AW710)))&gt;0),"INVALID – evidence missing, placeholder or not yet on file",IF(OR(LEN(AX710)&lt;2,ISNUMBER(MATCH(AX710,L_Placeholder,0))),"INVALID – verifier missing",IF(AX710=AU710,"INVALID – verifier must be someone other than the PIC",IF(AND(TRIM(U710)="Pass",SUMPRODUCT(--ISNUMBER(SEARCH(L_ResultBad,AV710)))&gt;0),"INVALID – result describes a problem: use Fail, then Pass after CA",IF(AND(AQ710=1,OR(LEN(AY710)&lt;3,ISNUMBER(MATCH(AY710,L_Placeholder,0)))),"INVALID – batch ID missing or placeholder",IF(AND(AR710=1,OR(NOT(ISNUMBER(X710)),NOT(ISNUMBER(Y710)))),"INVALID – expected/actual qty missing",IF(AND(AR710=1,OR(X710&lt;=0,Y710&lt;0)),"INVALID – expected qty must be above 0 and actual not negative",IF(BB710&lt;&gt;"",BB710,IF(AND(AS710=1,Documents!$J$26&lt;&gt;"ON FILE"),"INVALID – GLD not on file (Documents sheet)",IF(AND(AS710=2,Documents!$O$26&lt;&gt;"ON FILE"),"INVALID – menu checklist not on file (Documents sheet)",IF(AND(AS710=3,NOT(ISNUMBER(Flights!$AX$26))),"INVALID – enter carrying flight KUL departure (Flights AX)",IF(AND(AS710=3,OR(Flights!$AZ$26&gt;Flights!$AA$26,Flights!$AX$26&lt;Flights!$AA$26-3)),"INVALID – carrying flight (Flights AX) cannot arrive before this leg's STD, or is over 3 days early",IF(AG710&gt;AsOfUTC,"INVALID – completion time is in the future",IF(AND(ISNUMBER(S710),AG710&lt;S710),IF(H710="Physical uplift","INVALID – before uplift window (cannot confirm loading)","INVALID – before valid window"),IF(AG710&gt;Flights!$AA$26,"INVALID – completed after departure (cannot establish readiness)",IF(AND(H710="Preparation",AG710&gt;IF(ISNUMBER(Flights!$BA$26),MIN(Flights!$BA$26,Flights!$AA$26),Flights!$AA$26)),"INVALID – completed after loading / departure (cannot establish readiness)",IF(AND(H710="Physical uplift",AG710&gt;Q710),"INVALID – recorded after the loading flight departed",IF(AG710&gt;Q710,"COMPLETE – LATE","COMPLETE"))))))))))))))))))))),IF(TRIM(U710)="Fail","FAIL – DISCREPANCY",IF(AND(TRIM(U710)&lt;&gt;"",TRIM(U710)&lt;&gt;"Not started",TRIM(U710)&lt;&gt;"In progress"),"INVALID – unrecognised status (use the list)",IF(AsOfUTC&gt;Q710,"OVERDUE",IF(N710="Clarification required","OPEN – CLARIFICATION","OPEN"))))))),"INVALID – error value in an input cell")</f>
        <v>OPEN</v>
      </c>
      <c r="AI710" s="61" t="n">
        <f aca="false">IF(OR(AH710="N/A – RULE",AH710="N/A – JUSTIFIED"),0,1)</f>
        <v>1</v>
      </c>
      <c r="AJ710" s="61" t="n">
        <f aca="false">IF(LEFT(AH710,8)="COMPLETE",1,0)</f>
        <v>0</v>
      </c>
      <c r="AK710" s="61" t="n">
        <f aca="false">IF(AND(AI710=1,AJ710=0,AsOfUTC&gt;Q710),1,0)</f>
        <v>0</v>
      </c>
      <c r="AL710" s="61" t="n">
        <f aca="false">IFERROR(IF(AND(AI710=1,OR(TRIM(U710)="Fail",AND(TRIM(AB710)&lt;&gt;"",TRIM(AB710)&lt;&gt;"Closed"),AND(ISNUMBER(AF710),AF710&lt;&gt;0,TRIM(U710)&lt;&gt;"Pass after CA"))),1,0),1)</f>
        <v>0</v>
      </c>
      <c r="AM710" s="61" t="n">
        <f aca="false">IF(LEFT(AH710,7)="INVALID",1,0)</f>
        <v>0</v>
      </c>
      <c r="AN710" s="61" t="n">
        <f aca="false">IF(AND(N710="Clarification required",AI710=1,AJ710=0),1,0)</f>
        <v>0</v>
      </c>
      <c r="AO710" s="61" t="str">
        <f aca="false">IF(AK710=1,SUM(AK$5:AK710),"")</f>
        <v/>
      </c>
      <c r="AP710" s="61" t="str">
        <f aca="false">IF(AL710=1,SUM(AL$5:AL710),"")</f>
        <v/>
      </c>
      <c r="AQ710" s="61" t="n">
        <v>0</v>
      </c>
      <c r="AR710" s="61" t="n">
        <v>0</v>
      </c>
      <c r="AS710" s="61" t="n">
        <v>0</v>
      </c>
      <c r="AT710" s="61" t="n">
        <v>0</v>
      </c>
      <c r="AU710" s="61" t="str">
        <f aca="false">SUBSTITUTE(SUBSTITUTE(SUBSTITUTE(SUBSTITUTE(SUBSTITUTE(SUBSTITUTE(SUBSTITUTE(SUBSTITUTE(SUBSTITUTE(SUBSTITUTE(SUBSTITUTE(SUBSTITUTE(SUBSTITUTE(LOWER(T710&amp;""),CHAR(160),"")," ",""),".",""),"-",""),"/",""),"?",""),"_",""),",",""),"[",""),"]",""),"(",""),")",""),"*","")</f>
        <v/>
      </c>
      <c r="AV710" s="61" t="str">
        <f aca="false">SUBSTITUTE(SUBSTITUTE(SUBSTITUTE(SUBSTITUTE(SUBSTITUTE(SUBSTITUTE(SUBSTITUTE(SUBSTITUTE(SUBSTITUTE(SUBSTITUTE(SUBSTITUTE(SUBSTITUTE(SUBSTITUTE(LOWER(V710&amp;""),CHAR(160),"")," ",""),".",""),"-",""),"/",""),"?",""),"_",""),",",""),"[",""),"]",""),"(",""),")",""),"*","")</f>
        <v/>
      </c>
      <c r="AW710" s="61" t="str">
        <f aca="false">SUBSTITUTE(SUBSTITUTE(SUBSTITUTE(SUBSTITUTE(SUBSTITUTE(SUBSTITUTE(SUBSTITUTE(SUBSTITUTE(SUBSTITUTE(SUBSTITUTE(SUBSTITUTE(SUBSTITUTE(SUBSTITUTE(LOWER(Z710&amp;""),CHAR(160),"")," ",""),".",""),"-",""),"/",""),"?",""),"_",""),",",""),"[",""),"]",""),"(",""),")",""),"*","")</f>
        <v/>
      </c>
      <c r="AX710" s="61" t="str">
        <f aca="false">SUBSTITUTE(SUBSTITUTE(SUBSTITUTE(SUBSTITUTE(SUBSTITUTE(SUBSTITUTE(SUBSTITUTE(SUBSTITUTE(SUBSTITUTE(SUBSTITUTE(SUBSTITUTE(SUBSTITUTE(SUBSTITUTE(LOWER(AE710&amp;""),CHAR(160),"")," ",""),".",""),"-",""),"/",""),"?",""),"_",""),",",""),"[",""),"]",""),"(",""),")",""),"*","")</f>
        <v/>
      </c>
      <c r="AY710" s="61" t="str">
        <f aca="false">SUBSTITUTE(SUBSTITUTE(SUBSTITUTE(SUBSTITUTE(SUBSTITUTE(SUBSTITUTE(SUBSTITUTE(SUBSTITUTE(SUBSTITUTE(SUBSTITUTE(SUBSTITUTE(SUBSTITUTE(SUBSTITUTE(LOWER(W710&amp;""),CHAR(160),"")," ",""),".",""),"-",""),"/",""),"?",""),"_",""),",",""),"[",""),"]",""),"(",""),")",""),"*","")</f>
        <v/>
      </c>
      <c r="AZ710" s="61" t="str">
        <f aca="false">SUBSTITUTE(SUBSTITUTE(SUBSTITUTE(SUBSTITUTE(SUBSTITUTE(SUBSTITUTE(SUBSTITUTE(SUBSTITUTE(SUBSTITUTE(SUBSTITUTE(SUBSTITUTE(SUBSTITUTE(SUBSTITUTE(LOWER(AC710&amp;""),CHAR(160),"")," ",""),".",""),"-",""),"/",""),"?",""),"_",""),",",""),"[",""),"]",""),"(",""),")",""),"*","")</f>
        <v/>
      </c>
      <c r="BA710" s="61" t="str">
        <f aca="false">SUBSTITUTE(SUBSTITUTE(SUBSTITUTE(SUBSTITUTE(SUBSTITUTE(SUBSTITUTE(SUBSTITUTE(SUBSTITUTE(SUBSTITUTE(SUBSTITUTE(SUBSTITUTE(SUBSTITUTE(SUBSTITUTE(LOWER(AA710&amp;""),CHAR(160),"")," ",""),".",""),"-",""),"/",""),"?",""),"_",""),",",""),"[",""),"]",""),"(",""),")",""),"*","")</f>
        <v/>
      </c>
      <c r="BB710" s="61" t="str">
        <f aca="false">IF(AND(TRIM(U710)="Pass",ISNUMBER(AF710)),IF(AF710&lt;&gt;0,"INVALID – qty variance: use Fail or Pass after CA",""),"")&amp;IF(AND(TRIM(U710)="Pass after CA",ISNUMBER(AF710)),IF(AF710&lt;&gt;0,"INVALID – after the corrective action the actual qty must equal expected (update Actual)",""),"")&amp;IF(AND(TRIM(U710)="Pass",TRIM(AB710)&lt;&gt;"",TRIM(AB710)&lt;&gt;"Closed"),"INVALID – corrective action not closed: use Fail, then Pass after CA","")&amp;IF(AND(TRIM(AA710)&lt;&gt;"",TRIM(AB710)=""),"INVALID – CA status missing for the recorded corrective action","")&amp;IF(AND(TRIM(U710)="Pass after CA",OR(OR(LEN(BA710)&lt;5,ISNUMBER(MATCH(BA710,L_Placeholder,0))),TRIM(AB710)&lt;&gt;"Closed")),"INVALID – corrective action not recorded/closed","")</f>
        <v/>
      </c>
    </row>
    <row r="711" customFormat="false" ht="39.75" hidden="false" customHeight="true" outlineLevel="0" collapsed="false">
      <c r="A711" s="57" t="s">
        <v>1423</v>
      </c>
      <c r="B711" s="57" t="s">
        <v>309</v>
      </c>
      <c r="C711" s="57" t="str">
        <f aca="false">Flights!$F$26</f>
        <v>MH0002</v>
      </c>
      <c r="D711" s="58" t="n">
        <f aca="false">Flights!$D$26</f>
        <v>46325</v>
      </c>
      <c r="E711" s="57" t="str">
        <f aca="false">Flights!$G$26&amp;"-"&amp;Flights!$H$26</f>
        <v>KUL-LHR</v>
      </c>
      <c r="F711" s="57" t="str">
        <f aca="false">Flights!$K$26</f>
        <v>BC</v>
      </c>
      <c r="G711" s="57" t="s">
        <v>81</v>
      </c>
      <c r="H711" s="57" t="s">
        <v>356</v>
      </c>
      <c r="I711" s="57" t="s">
        <v>357</v>
      </c>
      <c r="J711" s="57" t="s">
        <v>394</v>
      </c>
      <c r="K711" s="67" t="s">
        <v>395</v>
      </c>
      <c r="L711" s="67" t="s">
        <v>396</v>
      </c>
      <c r="M711" s="67"/>
      <c r="N711" s="67" t="s">
        <v>361</v>
      </c>
      <c r="O711" s="67"/>
      <c r="P711" s="57" t="s">
        <v>184</v>
      </c>
      <c r="Q711" s="59" t="n">
        <f aca="false">ROUND((Flights!$AD$26)*1440,0)/1440</f>
        <v>46324.6388888889</v>
      </c>
      <c r="R711" s="59" t="n">
        <f aca="false">Q711+(IF(AND(INDEX(TZ_DSTS,MATCH(P711,TZ_STN,0))&lt;&gt;"",Q711&gt;=INDEX(TZ_DSTS,MATCH(P711,TZ_STN,0)),Q711&lt;INDEX(TZ_DSTE,MATCH(P711,TZ_STN,0))),INDEX(TZ_DST,MATCH(P711,TZ_STN,0)),INDEX(TZ_STD,MATCH(P711,TZ_STN,0))))/24</f>
        <v>46324.9722222222</v>
      </c>
      <c r="S711" s="59" t="n">
        <f aca="false">Q711-T24EarlyH/24</f>
        <v>46323.6388888889</v>
      </c>
      <c r="T711" s="60"/>
      <c r="U711" s="60"/>
      <c r="V711" s="60"/>
      <c r="W711" s="60"/>
      <c r="X711" s="60"/>
      <c r="Y711" s="60"/>
      <c r="Z711" s="60"/>
      <c r="AA711" s="60"/>
      <c r="AB711" s="60"/>
      <c r="AC711" s="60"/>
      <c r="AD711" s="66"/>
      <c r="AE711" s="60"/>
      <c r="AF711" s="61" t="str">
        <f aca="false">IF(AND(ISNUMBER(X711),ISNUMBER(Y711)),Y711-X711,"")</f>
        <v/>
      </c>
      <c r="AG711" s="62" t="str">
        <f aca="false">IF(ISNUMBER(AD711),AD711-(IF(AND(INDEX(TZ_DSTS,MATCH(P711,TZ_STN,0))&lt;&gt;"",(AD711-INDEX(TZ_STD,MATCH(P711,TZ_STN,0))/24)&gt;=INDEX(TZ_DSTS,MATCH(P711,TZ_STN,0)),(AD711-INDEX(TZ_STD,MATCH(P711,TZ_STN,0))/24)&lt;INDEX(TZ_DSTE,MATCH(P711,TZ_STN,0))),INDEX(TZ_DST,MATCH(P711,TZ_STN,0)),INDEX(TZ_STD,MATCH(P711,TZ_STN,0))))/24,"")</f>
        <v/>
      </c>
      <c r="AH711" s="65" t="str">
        <f aca="false">IFERROR(IF(N711="N/A – rule","N/A – RULE",IF(TRIM(U711)="N/A",IF(AT711=0,"INVALID – N/A not permitted for this check",IF(AND(TRIM(AB711)&lt;&gt;"",TRIM(AB711)&lt;&gt;"Closed"),"INVALID – corrective action still open",IF(AND(NOT(OR(LEN(AZ711)&lt;15,ISNUMBER(MATCH(AZ711,L_Placeholder,0)))),NOT(OR(LEN(AU711)&lt;2,ISNUMBER(MATCH(AU711,L_Placeholder,0)))),NOT(OR(LEN(AX711)&lt;2,ISNUMBER(MATCH(AX711,L_Placeholder,0)))),TRIM(AE711)&lt;&gt;TRIM(T711)),"N/A – JUSTIFIED","INVALID – N/A needs a real justification (15+ chars), PIC and a different verifier"))),IF(OR(TRIM(U711)="Pass",TRIM(U711)="Pass after CA"),IF(NOT(ISNUMBER(AD711)),"INVALID – completion time missing",IF(OR(LEN(AU711)&lt;2,ISNUMBER(MATCH(AU711,L_Placeholder,0))),"INVALID – PIC missing",IF(OR(LEN(AV711)&lt;2,ISNUMBER(MATCH(AV711,L_Placeholder,0))),"INVALID – result / assessment missing",IF(OR(OR(LEN(AW711)&lt;3,ISNUMBER(MATCH(AW711,L_Placeholder,0))),SUMPRODUCT(--ISNUMBER(SEARCH(L_EvidencePhrase,AW711)))&gt;0),"INVALID – evidence missing, placeholder or not yet on file",IF(OR(LEN(AX711)&lt;2,ISNUMBER(MATCH(AX711,L_Placeholder,0))),"INVALID – verifier missing",IF(AX711=AU711,"INVALID – verifier must be someone other than the PIC",IF(AND(TRIM(U711)="Pass",SUMPRODUCT(--ISNUMBER(SEARCH(L_ResultBad,AV711)))&gt;0),"INVALID – result describes a problem: use Fail, then Pass after CA",IF(AND(AQ711=1,OR(LEN(AY711)&lt;3,ISNUMBER(MATCH(AY711,L_Placeholder,0)))),"INVALID – batch ID missing or placeholder",IF(AND(AR711=1,OR(NOT(ISNUMBER(X711)),NOT(ISNUMBER(Y711)))),"INVALID – expected/actual qty missing",IF(AND(AR711=1,OR(X711&lt;=0,Y711&lt;0)),"INVALID – expected qty must be above 0 and actual not negative",IF(BB711&lt;&gt;"",BB711,IF(AND(AS711=1,Documents!$J$26&lt;&gt;"ON FILE"),"INVALID – GLD not on file (Documents sheet)",IF(AND(AS711=2,Documents!$O$26&lt;&gt;"ON FILE"),"INVALID – menu checklist not on file (Documents sheet)",IF(AND(AS711=3,NOT(ISNUMBER(Flights!$AX$26))),"INVALID – enter carrying flight KUL departure (Flights AX)",IF(AND(AS711=3,OR(Flights!$AZ$26&gt;Flights!$AA$26,Flights!$AX$26&lt;Flights!$AA$26-3)),"INVALID – carrying flight (Flights AX) cannot arrive before this leg's STD, or is over 3 days early",IF(AG711&gt;AsOfUTC,"INVALID – completion time is in the future",IF(AND(ISNUMBER(S711),AG711&lt;S711),IF(H711="Physical uplift","INVALID – before uplift window (cannot confirm loading)","INVALID – before valid window"),IF(AG711&gt;Flights!$AA$26,"INVALID – completed after departure (cannot establish readiness)",IF(AND(H711="Preparation",AG711&gt;IF(ISNUMBER(Flights!$BA$26),MIN(Flights!$BA$26,Flights!$AA$26),Flights!$AA$26)),"INVALID – completed after loading / departure (cannot establish readiness)",IF(AND(H711="Physical uplift",AG711&gt;Q711),"INVALID – recorded after the loading flight departed",IF(AG711&gt;Q711,"COMPLETE – LATE","COMPLETE"))))))))))))))))))))),IF(TRIM(U711)="Fail","FAIL – DISCREPANCY",IF(AND(TRIM(U711)&lt;&gt;"",TRIM(U711)&lt;&gt;"Not started",TRIM(U711)&lt;&gt;"In progress"),"INVALID – unrecognised status (use the list)",IF(AsOfUTC&gt;Q711,"OVERDUE",IF(N711="Clarification required","OPEN – CLARIFICATION","OPEN"))))))),"INVALID – error value in an input cell")</f>
        <v>OPEN</v>
      </c>
      <c r="AI711" s="61" t="n">
        <f aca="false">IF(OR(AH711="N/A – RULE",AH711="N/A – JUSTIFIED"),0,1)</f>
        <v>1</v>
      </c>
      <c r="AJ711" s="61" t="n">
        <f aca="false">IF(LEFT(AH711,8)="COMPLETE",1,0)</f>
        <v>0</v>
      </c>
      <c r="AK711" s="61" t="n">
        <f aca="false">IF(AND(AI711=1,AJ711=0,AsOfUTC&gt;Q711),1,0)</f>
        <v>0</v>
      </c>
      <c r="AL711" s="61" t="n">
        <f aca="false">IFERROR(IF(AND(AI711=1,OR(TRIM(U711)="Fail",AND(TRIM(AB711)&lt;&gt;"",TRIM(AB711)&lt;&gt;"Closed"),AND(ISNUMBER(AF711),AF711&lt;&gt;0,TRIM(U711)&lt;&gt;"Pass after CA"))),1,0),1)</f>
        <v>0</v>
      </c>
      <c r="AM711" s="61" t="n">
        <f aca="false">IF(LEFT(AH711,7)="INVALID",1,0)</f>
        <v>0</v>
      </c>
      <c r="AN711" s="61" t="n">
        <f aca="false">IF(AND(N711="Clarification required",AI711=1,AJ711=0),1,0)</f>
        <v>0</v>
      </c>
      <c r="AO711" s="61" t="str">
        <f aca="false">IF(AK711=1,SUM(AK$5:AK711),"")</f>
        <v/>
      </c>
      <c r="AP711" s="61" t="str">
        <f aca="false">IF(AL711=1,SUM(AL$5:AL711),"")</f>
        <v/>
      </c>
      <c r="AQ711" s="61" t="n">
        <v>1</v>
      </c>
      <c r="AR711" s="61" t="n">
        <v>0</v>
      </c>
      <c r="AS711" s="61" t="n">
        <v>0</v>
      </c>
      <c r="AT711" s="61" t="n">
        <v>0</v>
      </c>
      <c r="AU711" s="61" t="str">
        <f aca="false">SUBSTITUTE(SUBSTITUTE(SUBSTITUTE(SUBSTITUTE(SUBSTITUTE(SUBSTITUTE(SUBSTITUTE(SUBSTITUTE(SUBSTITUTE(SUBSTITUTE(SUBSTITUTE(SUBSTITUTE(SUBSTITUTE(LOWER(T711&amp;""),CHAR(160),"")," ",""),".",""),"-",""),"/",""),"?",""),"_",""),",",""),"[",""),"]",""),"(",""),")",""),"*","")</f>
        <v/>
      </c>
      <c r="AV711" s="61" t="str">
        <f aca="false">SUBSTITUTE(SUBSTITUTE(SUBSTITUTE(SUBSTITUTE(SUBSTITUTE(SUBSTITUTE(SUBSTITUTE(SUBSTITUTE(SUBSTITUTE(SUBSTITUTE(SUBSTITUTE(SUBSTITUTE(SUBSTITUTE(LOWER(V711&amp;""),CHAR(160),"")," ",""),".",""),"-",""),"/",""),"?",""),"_",""),",",""),"[",""),"]",""),"(",""),")",""),"*","")</f>
        <v/>
      </c>
      <c r="AW711" s="61" t="str">
        <f aca="false">SUBSTITUTE(SUBSTITUTE(SUBSTITUTE(SUBSTITUTE(SUBSTITUTE(SUBSTITUTE(SUBSTITUTE(SUBSTITUTE(SUBSTITUTE(SUBSTITUTE(SUBSTITUTE(SUBSTITUTE(SUBSTITUTE(LOWER(Z711&amp;""),CHAR(160),"")," ",""),".",""),"-",""),"/",""),"?",""),"_",""),",",""),"[",""),"]",""),"(",""),")",""),"*","")</f>
        <v/>
      </c>
      <c r="AX711" s="61" t="str">
        <f aca="false">SUBSTITUTE(SUBSTITUTE(SUBSTITUTE(SUBSTITUTE(SUBSTITUTE(SUBSTITUTE(SUBSTITUTE(SUBSTITUTE(SUBSTITUTE(SUBSTITUTE(SUBSTITUTE(SUBSTITUTE(SUBSTITUTE(LOWER(AE711&amp;""),CHAR(160),"")," ",""),".",""),"-",""),"/",""),"?",""),"_",""),",",""),"[",""),"]",""),"(",""),")",""),"*","")</f>
        <v/>
      </c>
      <c r="AY711" s="61" t="str">
        <f aca="false">SUBSTITUTE(SUBSTITUTE(SUBSTITUTE(SUBSTITUTE(SUBSTITUTE(SUBSTITUTE(SUBSTITUTE(SUBSTITUTE(SUBSTITUTE(SUBSTITUTE(SUBSTITUTE(SUBSTITUTE(SUBSTITUTE(LOWER(W711&amp;""),CHAR(160),"")," ",""),".",""),"-",""),"/",""),"?",""),"_",""),",",""),"[",""),"]",""),"(",""),")",""),"*","")</f>
        <v/>
      </c>
      <c r="AZ711" s="61" t="str">
        <f aca="false">SUBSTITUTE(SUBSTITUTE(SUBSTITUTE(SUBSTITUTE(SUBSTITUTE(SUBSTITUTE(SUBSTITUTE(SUBSTITUTE(SUBSTITUTE(SUBSTITUTE(SUBSTITUTE(SUBSTITUTE(SUBSTITUTE(LOWER(AC711&amp;""),CHAR(160),"")," ",""),".",""),"-",""),"/",""),"?",""),"_",""),",",""),"[",""),"]",""),"(",""),")",""),"*","")</f>
        <v/>
      </c>
      <c r="BA711" s="61" t="str">
        <f aca="false">SUBSTITUTE(SUBSTITUTE(SUBSTITUTE(SUBSTITUTE(SUBSTITUTE(SUBSTITUTE(SUBSTITUTE(SUBSTITUTE(SUBSTITUTE(SUBSTITUTE(SUBSTITUTE(SUBSTITUTE(SUBSTITUTE(LOWER(AA711&amp;""),CHAR(160),"")," ",""),".",""),"-",""),"/",""),"?",""),"_",""),",",""),"[",""),"]",""),"(",""),")",""),"*","")</f>
        <v/>
      </c>
      <c r="BB711" s="61" t="str">
        <f aca="false">IF(AND(TRIM(U711)="Pass",ISNUMBER(AF711)),IF(AF711&lt;&gt;0,"INVALID – qty variance: use Fail or Pass after CA",""),"")&amp;IF(AND(TRIM(U711)="Pass after CA",ISNUMBER(AF711)),IF(AF711&lt;&gt;0,"INVALID – after the corrective action the actual qty must equal expected (update Actual)",""),"")&amp;IF(AND(TRIM(U711)="Pass",TRIM(AB711)&lt;&gt;"",TRIM(AB711)&lt;&gt;"Closed"),"INVALID – corrective action not closed: use Fail, then Pass after CA","")&amp;IF(AND(TRIM(AA711)&lt;&gt;"",TRIM(AB711)=""),"INVALID – CA status missing for the recorded corrective action","")&amp;IF(AND(TRIM(U711)="Pass after CA",OR(OR(LEN(BA711)&lt;5,ISNUMBER(MATCH(BA711,L_Placeholder,0))),TRIM(AB711)&lt;&gt;"Closed")),"INVALID – corrective action not recorded/closed","")</f>
        <v/>
      </c>
    </row>
    <row r="712" customFormat="false" ht="39.75" hidden="false" customHeight="true" outlineLevel="0" collapsed="false">
      <c r="A712" s="57" t="s">
        <v>1424</v>
      </c>
      <c r="B712" s="57" t="s">
        <v>309</v>
      </c>
      <c r="C712" s="57" t="str">
        <f aca="false">Flights!$F$26</f>
        <v>MH0002</v>
      </c>
      <c r="D712" s="58" t="n">
        <f aca="false">Flights!$D$26</f>
        <v>46325</v>
      </c>
      <c r="E712" s="57" t="str">
        <f aca="false">Flights!$G$26&amp;"-"&amp;Flights!$H$26</f>
        <v>KUL-LHR</v>
      </c>
      <c r="F712" s="57" t="str">
        <f aca="false">Flights!$K$26</f>
        <v>BC</v>
      </c>
      <c r="G712" s="57" t="s">
        <v>398</v>
      </c>
      <c r="H712" s="57" t="s">
        <v>356</v>
      </c>
      <c r="I712" s="57" t="s">
        <v>357</v>
      </c>
      <c r="J712" s="57" t="s">
        <v>399</v>
      </c>
      <c r="K712" s="67"/>
      <c r="L712" s="67" t="s">
        <v>400</v>
      </c>
      <c r="M712" s="67"/>
      <c r="N712" s="67" t="s">
        <v>361</v>
      </c>
      <c r="O712" s="67" t="s">
        <v>401</v>
      </c>
      <c r="P712" s="57" t="s">
        <v>184</v>
      </c>
      <c r="Q712" s="59" t="n">
        <f aca="false">ROUND((Flights!$AE$26)*1440,0)/1440</f>
        <v>46325.1388888889</v>
      </c>
      <c r="R712" s="59" t="n">
        <f aca="false">Q712+(IF(AND(INDEX(TZ_DSTS,MATCH(P712,TZ_STN,0))&lt;&gt;"",Q712&gt;=INDEX(TZ_DSTS,MATCH(P712,TZ_STN,0)),Q712&lt;INDEX(TZ_DSTE,MATCH(P712,TZ_STN,0))),INDEX(TZ_DST,MATCH(P712,TZ_STN,0)),INDEX(TZ_STD,MATCH(P712,TZ_STN,0))))/24</f>
        <v>46325.4722222222</v>
      </c>
      <c r="S712" s="59" t="n">
        <f aca="false">Q712-T12EarlyH/24</f>
        <v>46324.6388888889</v>
      </c>
      <c r="T712" s="60"/>
      <c r="U712" s="60"/>
      <c r="V712" s="60"/>
      <c r="W712" s="61"/>
      <c r="X712" s="60"/>
      <c r="Y712" s="60"/>
      <c r="Z712" s="60"/>
      <c r="AA712" s="60"/>
      <c r="AB712" s="60"/>
      <c r="AC712" s="60"/>
      <c r="AD712" s="66"/>
      <c r="AE712" s="60"/>
      <c r="AF712" s="61" t="str">
        <f aca="false">IF(AND(ISNUMBER(X712),ISNUMBER(Y712)),Y712-X712,"")</f>
        <v/>
      </c>
      <c r="AG712" s="62" t="str">
        <f aca="false">IF(ISNUMBER(AD712),AD712-(IF(AND(INDEX(TZ_DSTS,MATCH(P712,TZ_STN,0))&lt;&gt;"",(AD712-INDEX(TZ_STD,MATCH(P712,TZ_STN,0))/24)&gt;=INDEX(TZ_DSTS,MATCH(P712,TZ_STN,0)),(AD712-INDEX(TZ_STD,MATCH(P712,TZ_STN,0))/24)&lt;INDEX(TZ_DSTE,MATCH(P712,TZ_STN,0))),INDEX(TZ_DST,MATCH(P712,TZ_STN,0)),INDEX(TZ_STD,MATCH(P712,TZ_STN,0))))/24,"")</f>
        <v/>
      </c>
      <c r="AH712" s="65" t="str">
        <f aca="false">IFERROR(IF(N712="N/A – rule","N/A – RULE",IF(TRIM(U712)="N/A",IF(AT712=0,"INVALID – N/A not permitted for this check",IF(AND(TRIM(AB712)&lt;&gt;"",TRIM(AB712)&lt;&gt;"Closed"),"INVALID – corrective action still open",IF(AND(NOT(OR(LEN(AZ712)&lt;15,ISNUMBER(MATCH(AZ712,L_Placeholder,0)))),NOT(OR(LEN(AU712)&lt;2,ISNUMBER(MATCH(AU712,L_Placeholder,0)))),NOT(OR(LEN(AX712)&lt;2,ISNUMBER(MATCH(AX712,L_Placeholder,0)))),TRIM(AE712)&lt;&gt;TRIM(T712)),"N/A – JUSTIFIED","INVALID – N/A needs a real justification (15+ chars), PIC and a different verifier"))),IF(OR(TRIM(U712)="Pass",TRIM(U712)="Pass after CA"),IF(NOT(ISNUMBER(AD712)),"INVALID – completion time missing",IF(OR(LEN(AU712)&lt;2,ISNUMBER(MATCH(AU712,L_Placeholder,0))),"INVALID – PIC missing",IF(OR(LEN(AV712)&lt;2,ISNUMBER(MATCH(AV712,L_Placeholder,0))),"INVALID – result / assessment missing",IF(OR(OR(LEN(AW712)&lt;3,ISNUMBER(MATCH(AW712,L_Placeholder,0))),SUMPRODUCT(--ISNUMBER(SEARCH(L_EvidencePhrase,AW712)))&gt;0),"INVALID – evidence missing, placeholder or not yet on file",IF(OR(LEN(AX712)&lt;2,ISNUMBER(MATCH(AX712,L_Placeholder,0))),"INVALID – verifier missing",IF(AX712=AU712,"INVALID – verifier must be someone other than the PIC",IF(AND(TRIM(U712)="Pass",SUMPRODUCT(--ISNUMBER(SEARCH(L_ResultBad,AV712)))&gt;0),"INVALID – result describes a problem: use Fail, then Pass after CA",IF(AND(AQ712=1,OR(LEN(AY712)&lt;3,ISNUMBER(MATCH(AY712,L_Placeholder,0)))),"INVALID – batch ID missing or placeholder",IF(AND(AR712=1,OR(NOT(ISNUMBER(X712)),NOT(ISNUMBER(Y712)))),"INVALID – expected/actual qty missing",IF(AND(AR712=1,OR(X712&lt;=0,Y712&lt;0)),"INVALID – expected qty must be above 0 and actual not negative",IF(BB712&lt;&gt;"",BB712,IF(AND(AS712=1,Documents!$J$26&lt;&gt;"ON FILE"),"INVALID – GLD not on file (Documents sheet)",IF(AND(AS712=2,Documents!$O$26&lt;&gt;"ON FILE"),"INVALID – menu checklist not on file (Documents sheet)",IF(AND(AS712=3,NOT(ISNUMBER(Flights!$AX$26))),"INVALID – enter carrying flight KUL departure (Flights AX)",IF(AND(AS712=3,OR(Flights!$AZ$26&gt;Flights!$AA$26,Flights!$AX$26&lt;Flights!$AA$26-3)),"INVALID – carrying flight (Flights AX) cannot arrive before this leg's STD, or is over 3 days early",IF(AG712&gt;AsOfUTC,"INVALID – completion time is in the future",IF(AND(ISNUMBER(S712),AG712&lt;S712),IF(H712="Physical uplift","INVALID – before uplift window (cannot confirm loading)","INVALID – before valid window"),IF(AG712&gt;Flights!$AA$26,"INVALID – completed after departure (cannot establish readiness)",IF(AND(H712="Preparation",AG712&gt;IF(ISNUMBER(Flights!$BA$26),MIN(Flights!$BA$26,Flights!$AA$26),Flights!$AA$26)),"INVALID – completed after loading / departure (cannot establish readiness)",IF(AND(H712="Physical uplift",AG712&gt;Q712),"INVALID – recorded after the loading flight departed",IF(AG712&gt;Q712,"COMPLETE – LATE","COMPLETE"))))))))))))))))))))),IF(TRIM(U712)="Fail","FAIL – DISCREPANCY",IF(AND(TRIM(U712)&lt;&gt;"",TRIM(U712)&lt;&gt;"Not started",TRIM(U712)&lt;&gt;"In progress"),"INVALID – unrecognised status (use the list)",IF(AsOfUTC&gt;Q712,"OVERDUE",IF(N712="Clarification required","OPEN – CLARIFICATION","OPEN"))))))),"INVALID – error value in an input cell")</f>
        <v>OPEN</v>
      </c>
      <c r="AI712" s="61" t="n">
        <f aca="false">IF(OR(AH712="N/A – RULE",AH712="N/A – JUSTIFIED"),0,1)</f>
        <v>1</v>
      </c>
      <c r="AJ712" s="61" t="n">
        <f aca="false">IF(LEFT(AH712,8)="COMPLETE",1,0)</f>
        <v>0</v>
      </c>
      <c r="AK712" s="61" t="n">
        <f aca="false">IF(AND(AI712=1,AJ712=0,AsOfUTC&gt;Q712),1,0)</f>
        <v>0</v>
      </c>
      <c r="AL712" s="61" t="n">
        <f aca="false">IFERROR(IF(AND(AI712=1,OR(TRIM(U712)="Fail",AND(TRIM(AB712)&lt;&gt;"",TRIM(AB712)&lt;&gt;"Closed"),AND(ISNUMBER(AF712),AF712&lt;&gt;0,TRIM(U712)&lt;&gt;"Pass after CA"))),1,0),1)</f>
        <v>0</v>
      </c>
      <c r="AM712" s="61" t="n">
        <f aca="false">IF(LEFT(AH712,7)="INVALID",1,0)</f>
        <v>0</v>
      </c>
      <c r="AN712" s="61" t="n">
        <f aca="false">IF(AND(N712="Clarification required",AI712=1,AJ712=0),1,0)</f>
        <v>0</v>
      </c>
      <c r="AO712" s="61" t="str">
        <f aca="false">IF(AK712=1,SUM(AK$5:AK712),"")</f>
        <v/>
      </c>
      <c r="AP712" s="61" t="str">
        <f aca="false">IF(AL712=1,SUM(AL$5:AL712),"")</f>
        <v/>
      </c>
      <c r="AQ712" s="61" t="n">
        <v>0</v>
      </c>
      <c r="AR712" s="61" t="n">
        <v>0</v>
      </c>
      <c r="AS712" s="61" t="n">
        <v>0</v>
      </c>
      <c r="AT712" s="61" t="n">
        <v>0</v>
      </c>
      <c r="AU712" s="61" t="str">
        <f aca="false">SUBSTITUTE(SUBSTITUTE(SUBSTITUTE(SUBSTITUTE(SUBSTITUTE(SUBSTITUTE(SUBSTITUTE(SUBSTITUTE(SUBSTITUTE(SUBSTITUTE(SUBSTITUTE(SUBSTITUTE(SUBSTITUTE(LOWER(T712&amp;""),CHAR(160),"")," ",""),".",""),"-",""),"/",""),"?",""),"_",""),",",""),"[",""),"]",""),"(",""),")",""),"*","")</f>
        <v/>
      </c>
      <c r="AV712" s="61" t="str">
        <f aca="false">SUBSTITUTE(SUBSTITUTE(SUBSTITUTE(SUBSTITUTE(SUBSTITUTE(SUBSTITUTE(SUBSTITUTE(SUBSTITUTE(SUBSTITUTE(SUBSTITUTE(SUBSTITUTE(SUBSTITUTE(SUBSTITUTE(LOWER(V712&amp;""),CHAR(160),"")," ",""),".",""),"-",""),"/",""),"?",""),"_",""),",",""),"[",""),"]",""),"(",""),")",""),"*","")</f>
        <v/>
      </c>
      <c r="AW712" s="61" t="str">
        <f aca="false">SUBSTITUTE(SUBSTITUTE(SUBSTITUTE(SUBSTITUTE(SUBSTITUTE(SUBSTITUTE(SUBSTITUTE(SUBSTITUTE(SUBSTITUTE(SUBSTITUTE(SUBSTITUTE(SUBSTITUTE(SUBSTITUTE(LOWER(Z712&amp;""),CHAR(160),"")," ",""),".",""),"-",""),"/",""),"?",""),"_",""),",",""),"[",""),"]",""),"(",""),")",""),"*","")</f>
        <v/>
      </c>
      <c r="AX712" s="61" t="str">
        <f aca="false">SUBSTITUTE(SUBSTITUTE(SUBSTITUTE(SUBSTITUTE(SUBSTITUTE(SUBSTITUTE(SUBSTITUTE(SUBSTITUTE(SUBSTITUTE(SUBSTITUTE(SUBSTITUTE(SUBSTITUTE(SUBSTITUTE(LOWER(AE712&amp;""),CHAR(160),"")," ",""),".",""),"-",""),"/",""),"?",""),"_",""),",",""),"[",""),"]",""),"(",""),")",""),"*","")</f>
        <v/>
      </c>
      <c r="AY712" s="61" t="str">
        <f aca="false">SUBSTITUTE(SUBSTITUTE(SUBSTITUTE(SUBSTITUTE(SUBSTITUTE(SUBSTITUTE(SUBSTITUTE(SUBSTITUTE(SUBSTITUTE(SUBSTITUTE(SUBSTITUTE(SUBSTITUTE(SUBSTITUTE(LOWER(W712&amp;""),CHAR(160),"")," ",""),".",""),"-",""),"/",""),"?",""),"_",""),",",""),"[",""),"]",""),"(",""),")",""),"*","")</f>
        <v/>
      </c>
      <c r="AZ712" s="61" t="str">
        <f aca="false">SUBSTITUTE(SUBSTITUTE(SUBSTITUTE(SUBSTITUTE(SUBSTITUTE(SUBSTITUTE(SUBSTITUTE(SUBSTITUTE(SUBSTITUTE(SUBSTITUTE(SUBSTITUTE(SUBSTITUTE(SUBSTITUTE(LOWER(AC712&amp;""),CHAR(160),"")," ",""),".",""),"-",""),"/",""),"?",""),"_",""),",",""),"[",""),"]",""),"(",""),")",""),"*","")</f>
        <v/>
      </c>
      <c r="BA712" s="61" t="str">
        <f aca="false">SUBSTITUTE(SUBSTITUTE(SUBSTITUTE(SUBSTITUTE(SUBSTITUTE(SUBSTITUTE(SUBSTITUTE(SUBSTITUTE(SUBSTITUTE(SUBSTITUTE(SUBSTITUTE(SUBSTITUTE(SUBSTITUTE(LOWER(AA712&amp;""),CHAR(160),"")," ",""),".",""),"-",""),"/",""),"?",""),"_",""),",",""),"[",""),"]",""),"(",""),")",""),"*","")</f>
        <v/>
      </c>
      <c r="BB712" s="61" t="str">
        <f aca="false">IF(AND(TRIM(U712)="Pass",ISNUMBER(AF712)),IF(AF712&lt;&gt;0,"INVALID – qty variance: use Fail or Pass after CA",""),"")&amp;IF(AND(TRIM(U712)="Pass after CA",ISNUMBER(AF712)),IF(AF712&lt;&gt;0,"INVALID – after the corrective action the actual qty must equal expected (update Actual)",""),"")&amp;IF(AND(TRIM(U712)="Pass",TRIM(AB712)&lt;&gt;"",TRIM(AB712)&lt;&gt;"Closed"),"INVALID – corrective action not closed: use Fail, then Pass after CA","")&amp;IF(AND(TRIM(AA712)&lt;&gt;"",TRIM(AB712)=""),"INVALID – CA status missing for the recorded corrective action","")&amp;IF(AND(TRIM(U712)="Pass after CA",OR(OR(LEN(BA712)&lt;5,ISNUMBER(MATCH(BA712,L_Placeholder,0))),TRIM(AB712)&lt;&gt;"Closed")),"INVALID – corrective action not recorded/closed","")</f>
        <v/>
      </c>
    </row>
    <row r="713" customFormat="false" ht="39.75" hidden="false" customHeight="true" outlineLevel="0" collapsed="false">
      <c r="A713" s="57" t="s">
        <v>1425</v>
      </c>
      <c r="B713" s="57" t="s">
        <v>309</v>
      </c>
      <c r="C713" s="57" t="str">
        <f aca="false">Flights!$F$26</f>
        <v>MH0002</v>
      </c>
      <c r="D713" s="58" t="n">
        <f aca="false">Flights!$D$26</f>
        <v>46325</v>
      </c>
      <c r="E713" s="57" t="str">
        <f aca="false">Flights!$G$26&amp;"-"&amp;Flights!$H$26</f>
        <v>KUL-LHR</v>
      </c>
      <c r="F713" s="57" t="str">
        <f aca="false">Flights!$K$26</f>
        <v>BC</v>
      </c>
      <c r="G713" s="57" t="s">
        <v>398</v>
      </c>
      <c r="H713" s="57" t="s">
        <v>356</v>
      </c>
      <c r="I713" s="57" t="s">
        <v>357</v>
      </c>
      <c r="J713" s="57" t="s">
        <v>403</v>
      </c>
      <c r="K713" s="67" t="s">
        <v>404</v>
      </c>
      <c r="L713" s="67" t="s">
        <v>400</v>
      </c>
      <c r="M713" s="67"/>
      <c r="N713" s="67" t="s">
        <v>361</v>
      </c>
      <c r="O713" s="67" t="s">
        <v>401</v>
      </c>
      <c r="P713" s="57" t="s">
        <v>184</v>
      </c>
      <c r="Q713" s="59" t="n">
        <f aca="false">ROUND((Flights!$AE$26)*1440,0)/1440</f>
        <v>46325.1388888889</v>
      </c>
      <c r="R713" s="59" t="n">
        <f aca="false">Q713+(IF(AND(INDEX(TZ_DSTS,MATCH(P713,TZ_STN,0))&lt;&gt;"",Q713&gt;=INDEX(TZ_DSTS,MATCH(P713,TZ_STN,0)),Q713&lt;INDEX(TZ_DSTE,MATCH(P713,TZ_STN,0))),INDEX(TZ_DST,MATCH(P713,TZ_STN,0)),INDEX(TZ_STD,MATCH(P713,TZ_STN,0))))/24</f>
        <v>46325.4722222222</v>
      </c>
      <c r="S713" s="59" t="n">
        <f aca="false">Q713-T12EarlyH/24</f>
        <v>46324.6388888889</v>
      </c>
      <c r="T713" s="60"/>
      <c r="U713" s="60"/>
      <c r="V713" s="60"/>
      <c r="W713" s="61"/>
      <c r="X713" s="60"/>
      <c r="Y713" s="60"/>
      <c r="Z713" s="60"/>
      <c r="AA713" s="60"/>
      <c r="AB713" s="60"/>
      <c r="AC713" s="60"/>
      <c r="AD713" s="66"/>
      <c r="AE713" s="60"/>
      <c r="AF713" s="61" t="str">
        <f aca="false">IF(AND(ISNUMBER(X713),ISNUMBER(Y713)),Y713-X713,"")</f>
        <v/>
      </c>
      <c r="AG713" s="62" t="str">
        <f aca="false">IF(ISNUMBER(AD713),AD713-(IF(AND(INDEX(TZ_DSTS,MATCH(P713,TZ_STN,0))&lt;&gt;"",(AD713-INDEX(TZ_STD,MATCH(P713,TZ_STN,0))/24)&gt;=INDEX(TZ_DSTS,MATCH(P713,TZ_STN,0)),(AD713-INDEX(TZ_STD,MATCH(P713,TZ_STN,0))/24)&lt;INDEX(TZ_DSTE,MATCH(P713,TZ_STN,0))),INDEX(TZ_DST,MATCH(P713,TZ_STN,0)),INDEX(TZ_STD,MATCH(P713,TZ_STN,0))))/24,"")</f>
        <v/>
      </c>
      <c r="AH713" s="65" t="str">
        <f aca="false">IFERROR(IF(N713="N/A – rule","N/A – RULE",IF(TRIM(U713)="N/A",IF(AT713=0,"INVALID – N/A not permitted for this check",IF(AND(TRIM(AB713)&lt;&gt;"",TRIM(AB713)&lt;&gt;"Closed"),"INVALID – corrective action still open",IF(AND(NOT(OR(LEN(AZ713)&lt;15,ISNUMBER(MATCH(AZ713,L_Placeholder,0)))),NOT(OR(LEN(AU713)&lt;2,ISNUMBER(MATCH(AU713,L_Placeholder,0)))),NOT(OR(LEN(AX713)&lt;2,ISNUMBER(MATCH(AX713,L_Placeholder,0)))),TRIM(AE713)&lt;&gt;TRIM(T713)),"N/A – JUSTIFIED","INVALID – N/A needs a real justification (15+ chars), PIC and a different verifier"))),IF(OR(TRIM(U713)="Pass",TRIM(U713)="Pass after CA"),IF(NOT(ISNUMBER(AD713)),"INVALID – completion time missing",IF(OR(LEN(AU713)&lt;2,ISNUMBER(MATCH(AU713,L_Placeholder,0))),"INVALID – PIC missing",IF(OR(LEN(AV713)&lt;2,ISNUMBER(MATCH(AV713,L_Placeholder,0))),"INVALID – result / assessment missing",IF(OR(OR(LEN(AW713)&lt;3,ISNUMBER(MATCH(AW713,L_Placeholder,0))),SUMPRODUCT(--ISNUMBER(SEARCH(L_EvidencePhrase,AW713)))&gt;0),"INVALID – evidence missing, placeholder or not yet on file",IF(OR(LEN(AX713)&lt;2,ISNUMBER(MATCH(AX713,L_Placeholder,0))),"INVALID – verifier missing",IF(AX713=AU713,"INVALID – verifier must be someone other than the PIC",IF(AND(TRIM(U713)="Pass",SUMPRODUCT(--ISNUMBER(SEARCH(L_ResultBad,AV713)))&gt;0),"INVALID – result describes a problem: use Fail, then Pass after CA",IF(AND(AQ713=1,OR(LEN(AY713)&lt;3,ISNUMBER(MATCH(AY713,L_Placeholder,0)))),"INVALID – batch ID missing or placeholder",IF(AND(AR713=1,OR(NOT(ISNUMBER(X713)),NOT(ISNUMBER(Y713)))),"INVALID – expected/actual qty missing",IF(AND(AR713=1,OR(X713&lt;=0,Y713&lt;0)),"INVALID – expected qty must be above 0 and actual not negative",IF(BB713&lt;&gt;"",BB713,IF(AND(AS713=1,Documents!$J$26&lt;&gt;"ON FILE"),"INVALID – GLD not on file (Documents sheet)",IF(AND(AS713=2,Documents!$O$26&lt;&gt;"ON FILE"),"INVALID – menu checklist not on file (Documents sheet)",IF(AND(AS713=3,NOT(ISNUMBER(Flights!$AX$26))),"INVALID – enter carrying flight KUL departure (Flights AX)",IF(AND(AS713=3,OR(Flights!$AZ$26&gt;Flights!$AA$26,Flights!$AX$26&lt;Flights!$AA$26-3)),"INVALID – carrying flight (Flights AX) cannot arrive before this leg's STD, or is over 3 days early",IF(AG713&gt;AsOfUTC,"INVALID – completion time is in the future",IF(AND(ISNUMBER(S713),AG713&lt;S713),IF(H713="Physical uplift","INVALID – before uplift window (cannot confirm loading)","INVALID – before valid window"),IF(AG713&gt;Flights!$AA$26,"INVALID – completed after departure (cannot establish readiness)",IF(AND(H713="Preparation",AG713&gt;IF(ISNUMBER(Flights!$BA$26),MIN(Flights!$BA$26,Flights!$AA$26),Flights!$AA$26)),"INVALID – completed after loading / departure (cannot establish readiness)",IF(AND(H713="Physical uplift",AG713&gt;Q713),"INVALID – recorded after the loading flight departed",IF(AG713&gt;Q713,"COMPLETE – LATE","COMPLETE"))))))))))))))))))))),IF(TRIM(U713)="Fail","FAIL – DISCREPANCY",IF(AND(TRIM(U713)&lt;&gt;"",TRIM(U713)&lt;&gt;"Not started",TRIM(U713)&lt;&gt;"In progress"),"INVALID – unrecognised status (use the list)",IF(AsOfUTC&gt;Q713,"OVERDUE",IF(N713="Clarification required","OPEN – CLARIFICATION","OPEN"))))))),"INVALID – error value in an input cell")</f>
        <v>OPEN</v>
      </c>
      <c r="AI713" s="61" t="n">
        <f aca="false">IF(OR(AH713="N/A – RULE",AH713="N/A – JUSTIFIED"),0,1)</f>
        <v>1</v>
      </c>
      <c r="AJ713" s="61" t="n">
        <f aca="false">IF(LEFT(AH713,8)="COMPLETE",1,0)</f>
        <v>0</v>
      </c>
      <c r="AK713" s="61" t="n">
        <f aca="false">IF(AND(AI713=1,AJ713=0,AsOfUTC&gt;Q713),1,0)</f>
        <v>0</v>
      </c>
      <c r="AL713" s="61" t="n">
        <f aca="false">IFERROR(IF(AND(AI713=1,OR(TRIM(U713)="Fail",AND(TRIM(AB713)&lt;&gt;"",TRIM(AB713)&lt;&gt;"Closed"),AND(ISNUMBER(AF713),AF713&lt;&gt;0,TRIM(U713)&lt;&gt;"Pass after CA"))),1,0),1)</f>
        <v>0</v>
      </c>
      <c r="AM713" s="61" t="n">
        <f aca="false">IF(LEFT(AH713,7)="INVALID",1,0)</f>
        <v>0</v>
      </c>
      <c r="AN713" s="61" t="n">
        <f aca="false">IF(AND(N713="Clarification required",AI713=1,AJ713=0),1,0)</f>
        <v>0</v>
      </c>
      <c r="AO713" s="61" t="str">
        <f aca="false">IF(AK713=1,SUM(AK$5:AK713),"")</f>
        <v/>
      </c>
      <c r="AP713" s="61" t="str">
        <f aca="false">IF(AL713=1,SUM(AL$5:AL713),"")</f>
        <v/>
      </c>
      <c r="AQ713" s="61" t="n">
        <v>0</v>
      </c>
      <c r="AR713" s="61" t="n">
        <v>1</v>
      </c>
      <c r="AS713" s="61" t="n">
        <v>0</v>
      </c>
      <c r="AT713" s="61" t="n">
        <v>0</v>
      </c>
      <c r="AU713" s="61" t="str">
        <f aca="false">SUBSTITUTE(SUBSTITUTE(SUBSTITUTE(SUBSTITUTE(SUBSTITUTE(SUBSTITUTE(SUBSTITUTE(SUBSTITUTE(SUBSTITUTE(SUBSTITUTE(SUBSTITUTE(SUBSTITUTE(SUBSTITUTE(LOWER(T713&amp;""),CHAR(160),"")," ",""),".",""),"-",""),"/",""),"?",""),"_",""),",",""),"[",""),"]",""),"(",""),")",""),"*","")</f>
        <v/>
      </c>
      <c r="AV713" s="61" t="str">
        <f aca="false">SUBSTITUTE(SUBSTITUTE(SUBSTITUTE(SUBSTITUTE(SUBSTITUTE(SUBSTITUTE(SUBSTITUTE(SUBSTITUTE(SUBSTITUTE(SUBSTITUTE(SUBSTITUTE(SUBSTITUTE(SUBSTITUTE(LOWER(V713&amp;""),CHAR(160),"")," ",""),".",""),"-",""),"/",""),"?",""),"_",""),",",""),"[",""),"]",""),"(",""),")",""),"*","")</f>
        <v/>
      </c>
      <c r="AW713" s="61" t="str">
        <f aca="false">SUBSTITUTE(SUBSTITUTE(SUBSTITUTE(SUBSTITUTE(SUBSTITUTE(SUBSTITUTE(SUBSTITUTE(SUBSTITUTE(SUBSTITUTE(SUBSTITUTE(SUBSTITUTE(SUBSTITUTE(SUBSTITUTE(LOWER(Z713&amp;""),CHAR(160),"")," ",""),".",""),"-",""),"/",""),"?",""),"_",""),",",""),"[",""),"]",""),"(",""),")",""),"*","")</f>
        <v/>
      </c>
      <c r="AX713" s="61" t="str">
        <f aca="false">SUBSTITUTE(SUBSTITUTE(SUBSTITUTE(SUBSTITUTE(SUBSTITUTE(SUBSTITUTE(SUBSTITUTE(SUBSTITUTE(SUBSTITUTE(SUBSTITUTE(SUBSTITUTE(SUBSTITUTE(SUBSTITUTE(LOWER(AE713&amp;""),CHAR(160),"")," ",""),".",""),"-",""),"/",""),"?",""),"_",""),",",""),"[",""),"]",""),"(",""),")",""),"*","")</f>
        <v/>
      </c>
      <c r="AY713" s="61" t="str">
        <f aca="false">SUBSTITUTE(SUBSTITUTE(SUBSTITUTE(SUBSTITUTE(SUBSTITUTE(SUBSTITUTE(SUBSTITUTE(SUBSTITUTE(SUBSTITUTE(SUBSTITUTE(SUBSTITUTE(SUBSTITUTE(SUBSTITUTE(LOWER(W713&amp;""),CHAR(160),"")," ",""),".",""),"-",""),"/",""),"?",""),"_",""),",",""),"[",""),"]",""),"(",""),")",""),"*","")</f>
        <v/>
      </c>
      <c r="AZ713" s="61" t="str">
        <f aca="false">SUBSTITUTE(SUBSTITUTE(SUBSTITUTE(SUBSTITUTE(SUBSTITUTE(SUBSTITUTE(SUBSTITUTE(SUBSTITUTE(SUBSTITUTE(SUBSTITUTE(SUBSTITUTE(SUBSTITUTE(SUBSTITUTE(LOWER(AC713&amp;""),CHAR(160),"")," ",""),".",""),"-",""),"/",""),"?",""),"_",""),",",""),"[",""),"]",""),"(",""),")",""),"*","")</f>
        <v/>
      </c>
      <c r="BA713" s="61" t="str">
        <f aca="false">SUBSTITUTE(SUBSTITUTE(SUBSTITUTE(SUBSTITUTE(SUBSTITUTE(SUBSTITUTE(SUBSTITUTE(SUBSTITUTE(SUBSTITUTE(SUBSTITUTE(SUBSTITUTE(SUBSTITUTE(SUBSTITUTE(LOWER(AA713&amp;""),CHAR(160),"")," ",""),".",""),"-",""),"/",""),"?",""),"_",""),",",""),"[",""),"]",""),"(",""),")",""),"*","")</f>
        <v/>
      </c>
      <c r="BB713" s="61" t="str">
        <f aca="false">IF(AND(TRIM(U713)="Pass",ISNUMBER(AF713)),IF(AF713&lt;&gt;0,"INVALID – qty variance: use Fail or Pass after CA",""),"")&amp;IF(AND(TRIM(U713)="Pass after CA",ISNUMBER(AF713)),IF(AF713&lt;&gt;0,"INVALID – after the corrective action the actual qty must equal expected (update Actual)",""),"")&amp;IF(AND(TRIM(U713)="Pass",TRIM(AB713)&lt;&gt;"",TRIM(AB713)&lt;&gt;"Closed"),"INVALID – corrective action not closed: use Fail, then Pass after CA","")&amp;IF(AND(TRIM(AA713)&lt;&gt;"",TRIM(AB713)=""),"INVALID – CA status missing for the recorded corrective action","")&amp;IF(AND(TRIM(U713)="Pass after CA",OR(OR(LEN(BA713)&lt;5,ISNUMBER(MATCH(BA713,L_Placeholder,0))),TRIM(AB713)&lt;&gt;"Closed")),"INVALID – corrective action not recorded/closed","")</f>
        <v/>
      </c>
    </row>
    <row r="714" customFormat="false" ht="39.75" hidden="false" customHeight="true" outlineLevel="0" collapsed="false">
      <c r="A714" s="57" t="s">
        <v>1426</v>
      </c>
      <c r="B714" s="57" t="s">
        <v>309</v>
      </c>
      <c r="C714" s="57" t="str">
        <f aca="false">Flights!$F$26</f>
        <v>MH0002</v>
      </c>
      <c r="D714" s="58" t="n">
        <f aca="false">Flights!$D$26</f>
        <v>46325</v>
      </c>
      <c r="E714" s="57" t="str">
        <f aca="false">Flights!$G$26&amp;"-"&amp;Flights!$H$26</f>
        <v>KUL-LHR</v>
      </c>
      <c r="F714" s="57" t="str">
        <f aca="false">Flights!$K$26</f>
        <v>BC</v>
      </c>
      <c r="G714" s="57" t="s">
        <v>398</v>
      </c>
      <c r="H714" s="57" t="s">
        <v>356</v>
      </c>
      <c r="I714" s="57" t="s">
        <v>406</v>
      </c>
      <c r="J714" s="57" t="s">
        <v>407</v>
      </c>
      <c r="K714" s="67"/>
      <c r="L714" s="67" t="s">
        <v>400</v>
      </c>
      <c r="M714" s="67"/>
      <c r="N714" s="67" t="s">
        <v>361</v>
      </c>
      <c r="O714" s="67" t="s">
        <v>401</v>
      </c>
      <c r="P714" s="57" t="s">
        <v>184</v>
      </c>
      <c r="Q714" s="59" t="n">
        <f aca="false">ROUND((Flights!$AE$26)*1440,0)/1440</f>
        <v>46325.1388888889</v>
      </c>
      <c r="R714" s="59" t="n">
        <f aca="false">Q714+(IF(AND(INDEX(TZ_DSTS,MATCH(P714,TZ_STN,0))&lt;&gt;"",Q714&gt;=INDEX(TZ_DSTS,MATCH(P714,TZ_STN,0)),Q714&lt;INDEX(TZ_DSTE,MATCH(P714,TZ_STN,0))),INDEX(TZ_DST,MATCH(P714,TZ_STN,0)),INDEX(TZ_STD,MATCH(P714,TZ_STN,0))))/24</f>
        <v>46325.4722222222</v>
      </c>
      <c r="S714" s="59" t="n">
        <f aca="false">Q714-T12EarlyH/24</f>
        <v>46324.6388888889</v>
      </c>
      <c r="T714" s="60"/>
      <c r="U714" s="60"/>
      <c r="V714" s="60"/>
      <c r="W714" s="61"/>
      <c r="X714" s="60"/>
      <c r="Y714" s="60"/>
      <c r="Z714" s="60"/>
      <c r="AA714" s="60"/>
      <c r="AB714" s="60"/>
      <c r="AC714" s="60"/>
      <c r="AD714" s="66"/>
      <c r="AE714" s="60"/>
      <c r="AF714" s="61" t="str">
        <f aca="false">IF(AND(ISNUMBER(X714),ISNUMBER(Y714)),Y714-X714,"")</f>
        <v/>
      </c>
      <c r="AG714" s="62" t="str">
        <f aca="false">IF(ISNUMBER(AD714),AD714-(IF(AND(INDEX(TZ_DSTS,MATCH(P714,TZ_STN,0))&lt;&gt;"",(AD714-INDEX(TZ_STD,MATCH(P714,TZ_STN,0))/24)&gt;=INDEX(TZ_DSTS,MATCH(P714,TZ_STN,0)),(AD714-INDEX(TZ_STD,MATCH(P714,TZ_STN,0))/24)&lt;INDEX(TZ_DSTE,MATCH(P714,TZ_STN,0))),INDEX(TZ_DST,MATCH(P714,TZ_STN,0)),INDEX(TZ_STD,MATCH(P714,TZ_STN,0))))/24,"")</f>
        <v/>
      </c>
      <c r="AH714" s="65" t="str">
        <f aca="false">IFERROR(IF(N714="N/A – rule","N/A – RULE",IF(TRIM(U714)="N/A",IF(AT714=0,"INVALID – N/A not permitted for this check",IF(AND(TRIM(AB714)&lt;&gt;"",TRIM(AB714)&lt;&gt;"Closed"),"INVALID – corrective action still open",IF(AND(NOT(OR(LEN(AZ714)&lt;15,ISNUMBER(MATCH(AZ714,L_Placeholder,0)))),NOT(OR(LEN(AU714)&lt;2,ISNUMBER(MATCH(AU714,L_Placeholder,0)))),NOT(OR(LEN(AX714)&lt;2,ISNUMBER(MATCH(AX714,L_Placeholder,0)))),TRIM(AE714)&lt;&gt;TRIM(T714)),"N/A – JUSTIFIED","INVALID – N/A needs a real justification (15+ chars), PIC and a different verifier"))),IF(OR(TRIM(U714)="Pass",TRIM(U714)="Pass after CA"),IF(NOT(ISNUMBER(AD714)),"INVALID – completion time missing",IF(OR(LEN(AU714)&lt;2,ISNUMBER(MATCH(AU714,L_Placeholder,0))),"INVALID – PIC missing",IF(OR(LEN(AV714)&lt;2,ISNUMBER(MATCH(AV714,L_Placeholder,0))),"INVALID – result / assessment missing",IF(OR(OR(LEN(AW714)&lt;3,ISNUMBER(MATCH(AW714,L_Placeholder,0))),SUMPRODUCT(--ISNUMBER(SEARCH(L_EvidencePhrase,AW714)))&gt;0),"INVALID – evidence missing, placeholder or not yet on file",IF(OR(LEN(AX714)&lt;2,ISNUMBER(MATCH(AX714,L_Placeholder,0))),"INVALID – verifier missing",IF(AX714=AU714,"INVALID – verifier must be someone other than the PIC",IF(AND(TRIM(U714)="Pass",SUMPRODUCT(--ISNUMBER(SEARCH(L_ResultBad,AV714)))&gt;0),"INVALID – result describes a problem: use Fail, then Pass after CA",IF(AND(AQ714=1,OR(LEN(AY714)&lt;3,ISNUMBER(MATCH(AY714,L_Placeholder,0)))),"INVALID – batch ID missing or placeholder",IF(AND(AR714=1,OR(NOT(ISNUMBER(X714)),NOT(ISNUMBER(Y714)))),"INVALID – expected/actual qty missing",IF(AND(AR714=1,OR(X714&lt;=0,Y714&lt;0)),"INVALID – expected qty must be above 0 and actual not negative",IF(BB714&lt;&gt;"",BB714,IF(AND(AS714=1,Documents!$J$26&lt;&gt;"ON FILE"),"INVALID – GLD not on file (Documents sheet)",IF(AND(AS714=2,Documents!$O$26&lt;&gt;"ON FILE"),"INVALID – menu checklist not on file (Documents sheet)",IF(AND(AS714=3,NOT(ISNUMBER(Flights!$AX$26))),"INVALID – enter carrying flight KUL departure (Flights AX)",IF(AND(AS714=3,OR(Flights!$AZ$26&gt;Flights!$AA$26,Flights!$AX$26&lt;Flights!$AA$26-3)),"INVALID – carrying flight (Flights AX) cannot arrive before this leg's STD, or is over 3 days early",IF(AG714&gt;AsOfUTC,"INVALID – completion time is in the future",IF(AND(ISNUMBER(S714),AG714&lt;S714),IF(H714="Physical uplift","INVALID – before uplift window (cannot confirm loading)","INVALID – before valid window"),IF(AG714&gt;Flights!$AA$26,"INVALID – completed after departure (cannot establish readiness)",IF(AND(H714="Preparation",AG714&gt;IF(ISNUMBER(Flights!$BA$26),MIN(Flights!$BA$26,Flights!$AA$26),Flights!$AA$26)),"INVALID – completed after loading / departure (cannot establish readiness)",IF(AND(H714="Physical uplift",AG714&gt;Q714),"INVALID – recorded after the loading flight departed",IF(AG714&gt;Q714,"COMPLETE – LATE","COMPLETE"))))))))))))))))))))),IF(TRIM(U714)="Fail","FAIL – DISCREPANCY",IF(AND(TRIM(U714)&lt;&gt;"",TRIM(U714)&lt;&gt;"Not started",TRIM(U714)&lt;&gt;"In progress"),"INVALID – unrecognised status (use the list)",IF(AsOfUTC&gt;Q714,"OVERDUE",IF(N714="Clarification required","OPEN – CLARIFICATION","OPEN"))))))),"INVALID – error value in an input cell")</f>
        <v>OPEN</v>
      </c>
      <c r="AI714" s="61" t="n">
        <f aca="false">IF(OR(AH714="N/A – RULE",AH714="N/A – JUSTIFIED"),0,1)</f>
        <v>1</v>
      </c>
      <c r="AJ714" s="61" t="n">
        <f aca="false">IF(LEFT(AH714,8)="COMPLETE",1,0)</f>
        <v>0</v>
      </c>
      <c r="AK714" s="61" t="n">
        <f aca="false">IF(AND(AI714=1,AJ714=0,AsOfUTC&gt;Q714),1,0)</f>
        <v>0</v>
      </c>
      <c r="AL714" s="61" t="n">
        <f aca="false">IFERROR(IF(AND(AI714=1,OR(TRIM(U714)="Fail",AND(TRIM(AB714)&lt;&gt;"",TRIM(AB714)&lt;&gt;"Closed"),AND(ISNUMBER(AF714),AF714&lt;&gt;0,TRIM(U714)&lt;&gt;"Pass after CA"))),1,0),1)</f>
        <v>0</v>
      </c>
      <c r="AM714" s="61" t="n">
        <f aca="false">IF(LEFT(AH714,7)="INVALID",1,0)</f>
        <v>0</v>
      </c>
      <c r="AN714" s="61" t="n">
        <f aca="false">IF(AND(N714="Clarification required",AI714=1,AJ714=0),1,0)</f>
        <v>0</v>
      </c>
      <c r="AO714" s="61" t="str">
        <f aca="false">IF(AK714=1,SUM(AK$5:AK714),"")</f>
        <v/>
      </c>
      <c r="AP714" s="61" t="str">
        <f aca="false">IF(AL714=1,SUM(AL$5:AL714),"")</f>
        <v/>
      </c>
      <c r="AQ714" s="61" t="n">
        <v>0</v>
      </c>
      <c r="AR714" s="61" t="n">
        <v>0</v>
      </c>
      <c r="AS714" s="61" t="n">
        <v>0</v>
      </c>
      <c r="AT714" s="61" t="n">
        <v>0</v>
      </c>
      <c r="AU714" s="61" t="str">
        <f aca="false">SUBSTITUTE(SUBSTITUTE(SUBSTITUTE(SUBSTITUTE(SUBSTITUTE(SUBSTITUTE(SUBSTITUTE(SUBSTITUTE(SUBSTITUTE(SUBSTITUTE(SUBSTITUTE(SUBSTITUTE(SUBSTITUTE(LOWER(T714&amp;""),CHAR(160),"")," ",""),".",""),"-",""),"/",""),"?",""),"_",""),",",""),"[",""),"]",""),"(",""),")",""),"*","")</f>
        <v/>
      </c>
      <c r="AV714" s="61" t="str">
        <f aca="false">SUBSTITUTE(SUBSTITUTE(SUBSTITUTE(SUBSTITUTE(SUBSTITUTE(SUBSTITUTE(SUBSTITUTE(SUBSTITUTE(SUBSTITUTE(SUBSTITUTE(SUBSTITUTE(SUBSTITUTE(SUBSTITUTE(LOWER(V714&amp;""),CHAR(160),"")," ",""),".",""),"-",""),"/",""),"?",""),"_",""),",",""),"[",""),"]",""),"(",""),")",""),"*","")</f>
        <v/>
      </c>
      <c r="AW714" s="61" t="str">
        <f aca="false">SUBSTITUTE(SUBSTITUTE(SUBSTITUTE(SUBSTITUTE(SUBSTITUTE(SUBSTITUTE(SUBSTITUTE(SUBSTITUTE(SUBSTITUTE(SUBSTITUTE(SUBSTITUTE(SUBSTITUTE(SUBSTITUTE(LOWER(Z714&amp;""),CHAR(160),"")," ",""),".",""),"-",""),"/",""),"?",""),"_",""),",",""),"[",""),"]",""),"(",""),")",""),"*","")</f>
        <v/>
      </c>
      <c r="AX714" s="61" t="str">
        <f aca="false">SUBSTITUTE(SUBSTITUTE(SUBSTITUTE(SUBSTITUTE(SUBSTITUTE(SUBSTITUTE(SUBSTITUTE(SUBSTITUTE(SUBSTITUTE(SUBSTITUTE(SUBSTITUTE(SUBSTITUTE(SUBSTITUTE(LOWER(AE714&amp;""),CHAR(160),"")," ",""),".",""),"-",""),"/",""),"?",""),"_",""),",",""),"[",""),"]",""),"(",""),")",""),"*","")</f>
        <v/>
      </c>
      <c r="AY714" s="61" t="str">
        <f aca="false">SUBSTITUTE(SUBSTITUTE(SUBSTITUTE(SUBSTITUTE(SUBSTITUTE(SUBSTITUTE(SUBSTITUTE(SUBSTITUTE(SUBSTITUTE(SUBSTITUTE(SUBSTITUTE(SUBSTITUTE(SUBSTITUTE(LOWER(W714&amp;""),CHAR(160),"")," ",""),".",""),"-",""),"/",""),"?",""),"_",""),",",""),"[",""),"]",""),"(",""),")",""),"*","")</f>
        <v/>
      </c>
      <c r="AZ714" s="61" t="str">
        <f aca="false">SUBSTITUTE(SUBSTITUTE(SUBSTITUTE(SUBSTITUTE(SUBSTITUTE(SUBSTITUTE(SUBSTITUTE(SUBSTITUTE(SUBSTITUTE(SUBSTITUTE(SUBSTITUTE(SUBSTITUTE(SUBSTITUTE(LOWER(AC714&amp;""),CHAR(160),"")," ",""),".",""),"-",""),"/",""),"?",""),"_",""),",",""),"[",""),"]",""),"(",""),")",""),"*","")</f>
        <v/>
      </c>
      <c r="BA714" s="61" t="str">
        <f aca="false">SUBSTITUTE(SUBSTITUTE(SUBSTITUTE(SUBSTITUTE(SUBSTITUTE(SUBSTITUTE(SUBSTITUTE(SUBSTITUTE(SUBSTITUTE(SUBSTITUTE(SUBSTITUTE(SUBSTITUTE(SUBSTITUTE(LOWER(AA714&amp;""),CHAR(160),"")," ",""),".",""),"-",""),"/",""),"?",""),"_",""),",",""),"[",""),"]",""),"(",""),")",""),"*","")</f>
        <v/>
      </c>
      <c r="BB714" s="61" t="str">
        <f aca="false">IF(AND(TRIM(U714)="Pass",ISNUMBER(AF714)),IF(AF714&lt;&gt;0,"INVALID – qty variance: use Fail or Pass after CA",""),"")&amp;IF(AND(TRIM(U714)="Pass after CA",ISNUMBER(AF714)),IF(AF714&lt;&gt;0,"INVALID – after the corrective action the actual qty must equal expected (update Actual)",""),"")&amp;IF(AND(TRIM(U714)="Pass",TRIM(AB714)&lt;&gt;"",TRIM(AB714)&lt;&gt;"Closed"),"INVALID – corrective action not closed: use Fail, then Pass after CA","")&amp;IF(AND(TRIM(AA714)&lt;&gt;"",TRIM(AB714)=""),"INVALID – CA status missing for the recorded corrective action","")&amp;IF(AND(TRIM(U714)="Pass after CA",OR(OR(LEN(BA714)&lt;5,ISNUMBER(MATCH(BA714,L_Placeholder,0))),TRIM(AB714)&lt;&gt;"Closed")),"INVALID – corrective action not recorded/closed","")</f>
        <v/>
      </c>
    </row>
    <row r="715" customFormat="false" ht="39.75" hidden="false" customHeight="true" outlineLevel="0" collapsed="false">
      <c r="A715" s="57" t="s">
        <v>1427</v>
      </c>
      <c r="B715" s="57" t="s">
        <v>309</v>
      </c>
      <c r="C715" s="57" t="str">
        <f aca="false">Flights!$F$26</f>
        <v>MH0002</v>
      </c>
      <c r="D715" s="58" t="n">
        <f aca="false">Flights!$D$26</f>
        <v>46325</v>
      </c>
      <c r="E715" s="57" t="str">
        <f aca="false">Flights!$G$26&amp;"-"&amp;Flights!$H$26</f>
        <v>KUL-LHR</v>
      </c>
      <c r="F715" s="57" t="str">
        <f aca="false">Flights!$K$26</f>
        <v>BC</v>
      </c>
      <c r="G715" s="57" t="s">
        <v>398</v>
      </c>
      <c r="H715" s="57" t="s">
        <v>356</v>
      </c>
      <c r="I715" s="57" t="s">
        <v>406</v>
      </c>
      <c r="J715" s="57" t="s">
        <v>409</v>
      </c>
      <c r="K715" s="67"/>
      <c r="L715" s="67" t="s">
        <v>400</v>
      </c>
      <c r="M715" s="67"/>
      <c r="N715" s="67" t="s">
        <v>361</v>
      </c>
      <c r="O715" s="67" t="s">
        <v>401</v>
      </c>
      <c r="P715" s="57" t="s">
        <v>184</v>
      </c>
      <c r="Q715" s="59" t="n">
        <f aca="false">ROUND((Flights!$AE$26)*1440,0)/1440</f>
        <v>46325.1388888889</v>
      </c>
      <c r="R715" s="59" t="n">
        <f aca="false">Q715+(IF(AND(INDEX(TZ_DSTS,MATCH(P715,TZ_STN,0))&lt;&gt;"",Q715&gt;=INDEX(TZ_DSTS,MATCH(P715,TZ_STN,0)),Q715&lt;INDEX(TZ_DSTE,MATCH(P715,TZ_STN,0))),INDEX(TZ_DST,MATCH(P715,TZ_STN,0)),INDEX(TZ_STD,MATCH(P715,TZ_STN,0))))/24</f>
        <v>46325.4722222222</v>
      </c>
      <c r="S715" s="59" t="n">
        <f aca="false">Q715-T12EarlyH/24</f>
        <v>46324.6388888889</v>
      </c>
      <c r="T715" s="60"/>
      <c r="U715" s="60"/>
      <c r="V715" s="60"/>
      <c r="W715" s="61"/>
      <c r="X715" s="60"/>
      <c r="Y715" s="60"/>
      <c r="Z715" s="60"/>
      <c r="AA715" s="60"/>
      <c r="AB715" s="60"/>
      <c r="AC715" s="60"/>
      <c r="AD715" s="66"/>
      <c r="AE715" s="60"/>
      <c r="AF715" s="61" t="str">
        <f aca="false">IF(AND(ISNUMBER(X715),ISNUMBER(Y715)),Y715-X715,"")</f>
        <v/>
      </c>
      <c r="AG715" s="62" t="str">
        <f aca="false">IF(ISNUMBER(AD715),AD715-(IF(AND(INDEX(TZ_DSTS,MATCH(P715,TZ_STN,0))&lt;&gt;"",(AD715-INDEX(TZ_STD,MATCH(P715,TZ_STN,0))/24)&gt;=INDEX(TZ_DSTS,MATCH(P715,TZ_STN,0)),(AD715-INDEX(TZ_STD,MATCH(P715,TZ_STN,0))/24)&lt;INDEX(TZ_DSTE,MATCH(P715,TZ_STN,0))),INDEX(TZ_DST,MATCH(P715,TZ_STN,0)),INDEX(TZ_STD,MATCH(P715,TZ_STN,0))))/24,"")</f>
        <v/>
      </c>
      <c r="AH715" s="65" t="str">
        <f aca="false">IFERROR(IF(N715="N/A – rule","N/A – RULE",IF(TRIM(U715)="N/A",IF(AT715=0,"INVALID – N/A not permitted for this check",IF(AND(TRIM(AB715)&lt;&gt;"",TRIM(AB715)&lt;&gt;"Closed"),"INVALID – corrective action still open",IF(AND(NOT(OR(LEN(AZ715)&lt;15,ISNUMBER(MATCH(AZ715,L_Placeholder,0)))),NOT(OR(LEN(AU715)&lt;2,ISNUMBER(MATCH(AU715,L_Placeholder,0)))),NOT(OR(LEN(AX715)&lt;2,ISNUMBER(MATCH(AX715,L_Placeholder,0)))),TRIM(AE715)&lt;&gt;TRIM(T715)),"N/A – JUSTIFIED","INVALID – N/A needs a real justification (15+ chars), PIC and a different verifier"))),IF(OR(TRIM(U715)="Pass",TRIM(U715)="Pass after CA"),IF(NOT(ISNUMBER(AD715)),"INVALID – completion time missing",IF(OR(LEN(AU715)&lt;2,ISNUMBER(MATCH(AU715,L_Placeholder,0))),"INVALID – PIC missing",IF(OR(LEN(AV715)&lt;2,ISNUMBER(MATCH(AV715,L_Placeholder,0))),"INVALID – result / assessment missing",IF(OR(OR(LEN(AW715)&lt;3,ISNUMBER(MATCH(AW715,L_Placeholder,0))),SUMPRODUCT(--ISNUMBER(SEARCH(L_EvidencePhrase,AW715)))&gt;0),"INVALID – evidence missing, placeholder or not yet on file",IF(OR(LEN(AX715)&lt;2,ISNUMBER(MATCH(AX715,L_Placeholder,0))),"INVALID – verifier missing",IF(AX715=AU715,"INVALID – verifier must be someone other than the PIC",IF(AND(TRIM(U715)="Pass",SUMPRODUCT(--ISNUMBER(SEARCH(L_ResultBad,AV715)))&gt;0),"INVALID – result describes a problem: use Fail, then Pass after CA",IF(AND(AQ715=1,OR(LEN(AY715)&lt;3,ISNUMBER(MATCH(AY715,L_Placeholder,0)))),"INVALID – batch ID missing or placeholder",IF(AND(AR715=1,OR(NOT(ISNUMBER(X715)),NOT(ISNUMBER(Y715)))),"INVALID – expected/actual qty missing",IF(AND(AR715=1,OR(X715&lt;=0,Y715&lt;0)),"INVALID – expected qty must be above 0 and actual not negative",IF(BB715&lt;&gt;"",BB715,IF(AND(AS715=1,Documents!$J$26&lt;&gt;"ON FILE"),"INVALID – GLD not on file (Documents sheet)",IF(AND(AS715=2,Documents!$O$26&lt;&gt;"ON FILE"),"INVALID – menu checklist not on file (Documents sheet)",IF(AND(AS715=3,NOT(ISNUMBER(Flights!$AX$26))),"INVALID – enter carrying flight KUL departure (Flights AX)",IF(AND(AS715=3,OR(Flights!$AZ$26&gt;Flights!$AA$26,Flights!$AX$26&lt;Flights!$AA$26-3)),"INVALID – carrying flight (Flights AX) cannot arrive before this leg's STD, or is over 3 days early",IF(AG715&gt;AsOfUTC,"INVALID – completion time is in the future",IF(AND(ISNUMBER(S715),AG715&lt;S715),IF(H715="Physical uplift","INVALID – before uplift window (cannot confirm loading)","INVALID – before valid window"),IF(AG715&gt;Flights!$AA$26,"INVALID – completed after departure (cannot establish readiness)",IF(AND(H715="Preparation",AG715&gt;IF(ISNUMBER(Flights!$BA$26),MIN(Flights!$BA$26,Flights!$AA$26),Flights!$AA$26)),"INVALID – completed after loading / departure (cannot establish readiness)",IF(AND(H715="Physical uplift",AG715&gt;Q715),"INVALID – recorded after the loading flight departed",IF(AG715&gt;Q715,"COMPLETE – LATE","COMPLETE"))))))))))))))))))))),IF(TRIM(U715)="Fail","FAIL – DISCREPANCY",IF(AND(TRIM(U715)&lt;&gt;"",TRIM(U715)&lt;&gt;"Not started",TRIM(U715)&lt;&gt;"In progress"),"INVALID – unrecognised status (use the list)",IF(AsOfUTC&gt;Q715,"OVERDUE",IF(N715="Clarification required","OPEN – CLARIFICATION","OPEN"))))))),"INVALID – error value in an input cell")</f>
        <v>OPEN</v>
      </c>
      <c r="AI715" s="61" t="n">
        <f aca="false">IF(OR(AH715="N/A – RULE",AH715="N/A – JUSTIFIED"),0,1)</f>
        <v>1</v>
      </c>
      <c r="AJ715" s="61" t="n">
        <f aca="false">IF(LEFT(AH715,8)="COMPLETE",1,0)</f>
        <v>0</v>
      </c>
      <c r="AK715" s="61" t="n">
        <f aca="false">IF(AND(AI715=1,AJ715=0,AsOfUTC&gt;Q715),1,0)</f>
        <v>0</v>
      </c>
      <c r="AL715" s="61" t="n">
        <f aca="false">IFERROR(IF(AND(AI715=1,OR(TRIM(U715)="Fail",AND(TRIM(AB715)&lt;&gt;"",TRIM(AB715)&lt;&gt;"Closed"),AND(ISNUMBER(AF715),AF715&lt;&gt;0,TRIM(U715)&lt;&gt;"Pass after CA"))),1,0),1)</f>
        <v>0</v>
      </c>
      <c r="AM715" s="61" t="n">
        <f aca="false">IF(LEFT(AH715,7)="INVALID",1,0)</f>
        <v>0</v>
      </c>
      <c r="AN715" s="61" t="n">
        <f aca="false">IF(AND(N715="Clarification required",AI715=1,AJ715=0),1,0)</f>
        <v>0</v>
      </c>
      <c r="AO715" s="61" t="str">
        <f aca="false">IF(AK715=1,SUM(AK$5:AK715),"")</f>
        <v/>
      </c>
      <c r="AP715" s="61" t="str">
        <f aca="false">IF(AL715=1,SUM(AL$5:AL715),"")</f>
        <v/>
      </c>
      <c r="AQ715" s="61" t="n">
        <v>0</v>
      </c>
      <c r="AR715" s="61" t="n">
        <v>0</v>
      </c>
      <c r="AS715" s="61" t="n">
        <v>0</v>
      </c>
      <c r="AT715" s="61" t="n">
        <v>0</v>
      </c>
      <c r="AU715" s="61" t="str">
        <f aca="false">SUBSTITUTE(SUBSTITUTE(SUBSTITUTE(SUBSTITUTE(SUBSTITUTE(SUBSTITUTE(SUBSTITUTE(SUBSTITUTE(SUBSTITUTE(SUBSTITUTE(SUBSTITUTE(SUBSTITUTE(SUBSTITUTE(LOWER(T715&amp;""),CHAR(160),"")," ",""),".",""),"-",""),"/",""),"?",""),"_",""),",",""),"[",""),"]",""),"(",""),")",""),"*","")</f>
        <v/>
      </c>
      <c r="AV715" s="61" t="str">
        <f aca="false">SUBSTITUTE(SUBSTITUTE(SUBSTITUTE(SUBSTITUTE(SUBSTITUTE(SUBSTITUTE(SUBSTITUTE(SUBSTITUTE(SUBSTITUTE(SUBSTITUTE(SUBSTITUTE(SUBSTITUTE(SUBSTITUTE(LOWER(V715&amp;""),CHAR(160),"")," ",""),".",""),"-",""),"/",""),"?",""),"_",""),",",""),"[",""),"]",""),"(",""),")",""),"*","")</f>
        <v/>
      </c>
      <c r="AW715" s="61" t="str">
        <f aca="false">SUBSTITUTE(SUBSTITUTE(SUBSTITUTE(SUBSTITUTE(SUBSTITUTE(SUBSTITUTE(SUBSTITUTE(SUBSTITUTE(SUBSTITUTE(SUBSTITUTE(SUBSTITUTE(SUBSTITUTE(SUBSTITUTE(LOWER(Z715&amp;""),CHAR(160),"")," ",""),".",""),"-",""),"/",""),"?",""),"_",""),",",""),"[",""),"]",""),"(",""),")",""),"*","")</f>
        <v/>
      </c>
      <c r="AX715" s="61" t="str">
        <f aca="false">SUBSTITUTE(SUBSTITUTE(SUBSTITUTE(SUBSTITUTE(SUBSTITUTE(SUBSTITUTE(SUBSTITUTE(SUBSTITUTE(SUBSTITUTE(SUBSTITUTE(SUBSTITUTE(SUBSTITUTE(SUBSTITUTE(LOWER(AE715&amp;""),CHAR(160),"")," ",""),".",""),"-",""),"/",""),"?",""),"_",""),",",""),"[",""),"]",""),"(",""),")",""),"*","")</f>
        <v/>
      </c>
      <c r="AY715" s="61" t="str">
        <f aca="false">SUBSTITUTE(SUBSTITUTE(SUBSTITUTE(SUBSTITUTE(SUBSTITUTE(SUBSTITUTE(SUBSTITUTE(SUBSTITUTE(SUBSTITUTE(SUBSTITUTE(SUBSTITUTE(SUBSTITUTE(SUBSTITUTE(LOWER(W715&amp;""),CHAR(160),"")," ",""),".",""),"-",""),"/",""),"?",""),"_",""),",",""),"[",""),"]",""),"(",""),")",""),"*","")</f>
        <v/>
      </c>
      <c r="AZ715" s="61" t="str">
        <f aca="false">SUBSTITUTE(SUBSTITUTE(SUBSTITUTE(SUBSTITUTE(SUBSTITUTE(SUBSTITUTE(SUBSTITUTE(SUBSTITUTE(SUBSTITUTE(SUBSTITUTE(SUBSTITUTE(SUBSTITUTE(SUBSTITUTE(LOWER(AC715&amp;""),CHAR(160),"")," ",""),".",""),"-",""),"/",""),"?",""),"_",""),",",""),"[",""),"]",""),"(",""),")",""),"*","")</f>
        <v/>
      </c>
      <c r="BA715" s="61" t="str">
        <f aca="false">SUBSTITUTE(SUBSTITUTE(SUBSTITUTE(SUBSTITUTE(SUBSTITUTE(SUBSTITUTE(SUBSTITUTE(SUBSTITUTE(SUBSTITUTE(SUBSTITUTE(SUBSTITUTE(SUBSTITUTE(SUBSTITUTE(LOWER(AA715&amp;""),CHAR(160),"")," ",""),".",""),"-",""),"/",""),"?",""),"_",""),",",""),"[",""),"]",""),"(",""),")",""),"*","")</f>
        <v/>
      </c>
      <c r="BB715" s="61" t="str">
        <f aca="false">IF(AND(TRIM(U715)="Pass",ISNUMBER(AF715)),IF(AF715&lt;&gt;0,"INVALID – qty variance: use Fail or Pass after CA",""),"")&amp;IF(AND(TRIM(U715)="Pass after CA",ISNUMBER(AF715)),IF(AF715&lt;&gt;0,"INVALID – after the corrective action the actual qty must equal expected (update Actual)",""),"")&amp;IF(AND(TRIM(U715)="Pass",TRIM(AB715)&lt;&gt;"",TRIM(AB715)&lt;&gt;"Closed"),"INVALID – corrective action not closed: use Fail, then Pass after CA","")&amp;IF(AND(TRIM(AA715)&lt;&gt;"",TRIM(AB715)=""),"INVALID – CA status missing for the recorded corrective action","")&amp;IF(AND(TRIM(U715)="Pass after CA",OR(OR(LEN(BA715)&lt;5,ISNUMBER(MATCH(BA715,L_Placeholder,0))),TRIM(AB715)&lt;&gt;"Closed")),"INVALID – corrective action not recorded/closed","")</f>
        <v/>
      </c>
    </row>
    <row r="716" customFormat="false" ht="39.75" hidden="false" customHeight="true" outlineLevel="0" collapsed="false">
      <c r="A716" s="57" t="s">
        <v>1428</v>
      </c>
      <c r="B716" s="57" t="s">
        <v>309</v>
      </c>
      <c r="C716" s="57" t="str">
        <f aca="false">Flights!$F$26</f>
        <v>MH0002</v>
      </c>
      <c r="D716" s="58" t="n">
        <f aca="false">Flights!$D$26</f>
        <v>46325</v>
      </c>
      <c r="E716" s="57" t="str">
        <f aca="false">Flights!$G$26&amp;"-"&amp;Flights!$H$26</f>
        <v>KUL-LHR</v>
      </c>
      <c r="F716" s="57" t="str">
        <f aca="false">Flights!$K$26</f>
        <v>BC</v>
      </c>
      <c r="G716" s="57" t="s">
        <v>398</v>
      </c>
      <c r="H716" s="57" t="s">
        <v>356</v>
      </c>
      <c r="I716" s="57" t="s">
        <v>406</v>
      </c>
      <c r="J716" s="57" t="s">
        <v>411</v>
      </c>
      <c r="K716" s="67"/>
      <c r="L716" s="67" t="s">
        <v>400</v>
      </c>
      <c r="M716" s="67"/>
      <c r="N716" s="67" t="s">
        <v>361</v>
      </c>
      <c r="O716" s="67" t="s">
        <v>401</v>
      </c>
      <c r="P716" s="57" t="s">
        <v>184</v>
      </c>
      <c r="Q716" s="59" t="n">
        <f aca="false">ROUND((Flights!$AE$26)*1440,0)/1440</f>
        <v>46325.1388888889</v>
      </c>
      <c r="R716" s="59" t="n">
        <f aca="false">Q716+(IF(AND(INDEX(TZ_DSTS,MATCH(P716,TZ_STN,0))&lt;&gt;"",Q716&gt;=INDEX(TZ_DSTS,MATCH(P716,TZ_STN,0)),Q716&lt;INDEX(TZ_DSTE,MATCH(P716,TZ_STN,0))),INDEX(TZ_DST,MATCH(P716,TZ_STN,0)),INDEX(TZ_STD,MATCH(P716,TZ_STN,0))))/24</f>
        <v>46325.4722222222</v>
      </c>
      <c r="S716" s="59" t="n">
        <f aca="false">Q716-T12EarlyH/24</f>
        <v>46324.6388888889</v>
      </c>
      <c r="T716" s="60"/>
      <c r="U716" s="60"/>
      <c r="V716" s="60"/>
      <c r="W716" s="61"/>
      <c r="X716" s="60"/>
      <c r="Y716" s="60"/>
      <c r="Z716" s="60"/>
      <c r="AA716" s="60"/>
      <c r="AB716" s="60"/>
      <c r="AC716" s="60"/>
      <c r="AD716" s="66"/>
      <c r="AE716" s="60"/>
      <c r="AF716" s="61" t="str">
        <f aca="false">IF(AND(ISNUMBER(X716),ISNUMBER(Y716)),Y716-X716,"")</f>
        <v/>
      </c>
      <c r="AG716" s="62" t="str">
        <f aca="false">IF(ISNUMBER(AD716),AD716-(IF(AND(INDEX(TZ_DSTS,MATCH(P716,TZ_STN,0))&lt;&gt;"",(AD716-INDEX(TZ_STD,MATCH(P716,TZ_STN,0))/24)&gt;=INDEX(TZ_DSTS,MATCH(P716,TZ_STN,0)),(AD716-INDEX(TZ_STD,MATCH(P716,TZ_STN,0))/24)&lt;INDEX(TZ_DSTE,MATCH(P716,TZ_STN,0))),INDEX(TZ_DST,MATCH(P716,TZ_STN,0)),INDEX(TZ_STD,MATCH(P716,TZ_STN,0))))/24,"")</f>
        <v/>
      </c>
      <c r="AH716" s="65" t="str">
        <f aca="false">IFERROR(IF(N716="N/A – rule","N/A – RULE",IF(TRIM(U716)="N/A",IF(AT716=0,"INVALID – N/A not permitted for this check",IF(AND(TRIM(AB716)&lt;&gt;"",TRIM(AB716)&lt;&gt;"Closed"),"INVALID – corrective action still open",IF(AND(NOT(OR(LEN(AZ716)&lt;15,ISNUMBER(MATCH(AZ716,L_Placeholder,0)))),NOT(OR(LEN(AU716)&lt;2,ISNUMBER(MATCH(AU716,L_Placeholder,0)))),NOT(OR(LEN(AX716)&lt;2,ISNUMBER(MATCH(AX716,L_Placeholder,0)))),TRIM(AE716)&lt;&gt;TRIM(T716)),"N/A – JUSTIFIED","INVALID – N/A needs a real justification (15+ chars), PIC and a different verifier"))),IF(OR(TRIM(U716)="Pass",TRIM(U716)="Pass after CA"),IF(NOT(ISNUMBER(AD716)),"INVALID – completion time missing",IF(OR(LEN(AU716)&lt;2,ISNUMBER(MATCH(AU716,L_Placeholder,0))),"INVALID – PIC missing",IF(OR(LEN(AV716)&lt;2,ISNUMBER(MATCH(AV716,L_Placeholder,0))),"INVALID – result / assessment missing",IF(OR(OR(LEN(AW716)&lt;3,ISNUMBER(MATCH(AW716,L_Placeholder,0))),SUMPRODUCT(--ISNUMBER(SEARCH(L_EvidencePhrase,AW716)))&gt;0),"INVALID – evidence missing, placeholder or not yet on file",IF(OR(LEN(AX716)&lt;2,ISNUMBER(MATCH(AX716,L_Placeholder,0))),"INVALID – verifier missing",IF(AX716=AU716,"INVALID – verifier must be someone other than the PIC",IF(AND(TRIM(U716)="Pass",SUMPRODUCT(--ISNUMBER(SEARCH(L_ResultBad,AV716)))&gt;0),"INVALID – result describes a problem: use Fail, then Pass after CA",IF(AND(AQ716=1,OR(LEN(AY716)&lt;3,ISNUMBER(MATCH(AY716,L_Placeholder,0)))),"INVALID – batch ID missing or placeholder",IF(AND(AR716=1,OR(NOT(ISNUMBER(X716)),NOT(ISNUMBER(Y716)))),"INVALID – expected/actual qty missing",IF(AND(AR716=1,OR(X716&lt;=0,Y716&lt;0)),"INVALID – expected qty must be above 0 and actual not negative",IF(BB716&lt;&gt;"",BB716,IF(AND(AS716=1,Documents!$J$26&lt;&gt;"ON FILE"),"INVALID – GLD not on file (Documents sheet)",IF(AND(AS716=2,Documents!$O$26&lt;&gt;"ON FILE"),"INVALID – menu checklist not on file (Documents sheet)",IF(AND(AS716=3,NOT(ISNUMBER(Flights!$AX$26))),"INVALID – enter carrying flight KUL departure (Flights AX)",IF(AND(AS716=3,OR(Flights!$AZ$26&gt;Flights!$AA$26,Flights!$AX$26&lt;Flights!$AA$26-3)),"INVALID – carrying flight (Flights AX) cannot arrive before this leg's STD, or is over 3 days early",IF(AG716&gt;AsOfUTC,"INVALID – completion time is in the future",IF(AND(ISNUMBER(S716),AG716&lt;S716),IF(H716="Physical uplift","INVALID – before uplift window (cannot confirm loading)","INVALID – before valid window"),IF(AG716&gt;Flights!$AA$26,"INVALID – completed after departure (cannot establish readiness)",IF(AND(H716="Preparation",AG716&gt;IF(ISNUMBER(Flights!$BA$26),MIN(Flights!$BA$26,Flights!$AA$26),Flights!$AA$26)),"INVALID – completed after loading / departure (cannot establish readiness)",IF(AND(H716="Physical uplift",AG716&gt;Q716),"INVALID – recorded after the loading flight departed",IF(AG716&gt;Q716,"COMPLETE – LATE","COMPLETE"))))))))))))))))))))),IF(TRIM(U716)="Fail","FAIL – DISCREPANCY",IF(AND(TRIM(U716)&lt;&gt;"",TRIM(U716)&lt;&gt;"Not started",TRIM(U716)&lt;&gt;"In progress"),"INVALID – unrecognised status (use the list)",IF(AsOfUTC&gt;Q716,"OVERDUE",IF(N716="Clarification required","OPEN – CLARIFICATION","OPEN"))))))),"INVALID – error value in an input cell")</f>
        <v>OPEN</v>
      </c>
      <c r="AI716" s="61" t="n">
        <f aca="false">IF(OR(AH716="N/A – RULE",AH716="N/A – JUSTIFIED"),0,1)</f>
        <v>1</v>
      </c>
      <c r="AJ716" s="61" t="n">
        <f aca="false">IF(LEFT(AH716,8)="COMPLETE",1,0)</f>
        <v>0</v>
      </c>
      <c r="AK716" s="61" t="n">
        <f aca="false">IF(AND(AI716=1,AJ716=0,AsOfUTC&gt;Q716),1,0)</f>
        <v>0</v>
      </c>
      <c r="AL716" s="61" t="n">
        <f aca="false">IFERROR(IF(AND(AI716=1,OR(TRIM(U716)="Fail",AND(TRIM(AB716)&lt;&gt;"",TRIM(AB716)&lt;&gt;"Closed"),AND(ISNUMBER(AF716),AF716&lt;&gt;0,TRIM(U716)&lt;&gt;"Pass after CA"))),1,0),1)</f>
        <v>0</v>
      </c>
      <c r="AM716" s="61" t="n">
        <f aca="false">IF(LEFT(AH716,7)="INVALID",1,0)</f>
        <v>0</v>
      </c>
      <c r="AN716" s="61" t="n">
        <f aca="false">IF(AND(N716="Clarification required",AI716=1,AJ716=0),1,0)</f>
        <v>0</v>
      </c>
      <c r="AO716" s="61" t="str">
        <f aca="false">IF(AK716=1,SUM(AK$5:AK716),"")</f>
        <v/>
      </c>
      <c r="AP716" s="61" t="str">
        <f aca="false">IF(AL716=1,SUM(AL$5:AL716),"")</f>
        <v/>
      </c>
      <c r="AQ716" s="61" t="n">
        <v>0</v>
      </c>
      <c r="AR716" s="61" t="n">
        <v>0</v>
      </c>
      <c r="AS716" s="61" t="n">
        <v>0</v>
      </c>
      <c r="AT716" s="61" t="n">
        <v>0</v>
      </c>
      <c r="AU716" s="61" t="str">
        <f aca="false">SUBSTITUTE(SUBSTITUTE(SUBSTITUTE(SUBSTITUTE(SUBSTITUTE(SUBSTITUTE(SUBSTITUTE(SUBSTITUTE(SUBSTITUTE(SUBSTITUTE(SUBSTITUTE(SUBSTITUTE(SUBSTITUTE(LOWER(T716&amp;""),CHAR(160),"")," ",""),".",""),"-",""),"/",""),"?",""),"_",""),",",""),"[",""),"]",""),"(",""),")",""),"*","")</f>
        <v/>
      </c>
      <c r="AV716" s="61" t="str">
        <f aca="false">SUBSTITUTE(SUBSTITUTE(SUBSTITUTE(SUBSTITUTE(SUBSTITUTE(SUBSTITUTE(SUBSTITUTE(SUBSTITUTE(SUBSTITUTE(SUBSTITUTE(SUBSTITUTE(SUBSTITUTE(SUBSTITUTE(LOWER(V716&amp;""),CHAR(160),"")," ",""),".",""),"-",""),"/",""),"?",""),"_",""),",",""),"[",""),"]",""),"(",""),")",""),"*","")</f>
        <v/>
      </c>
      <c r="AW716" s="61" t="str">
        <f aca="false">SUBSTITUTE(SUBSTITUTE(SUBSTITUTE(SUBSTITUTE(SUBSTITUTE(SUBSTITUTE(SUBSTITUTE(SUBSTITUTE(SUBSTITUTE(SUBSTITUTE(SUBSTITUTE(SUBSTITUTE(SUBSTITUTE(LOWER(Z716&amp;""),CHAR(160),"")," ",""),".",""),"-",""),"/",""),"?",""),"_",""),",",""),"[",""),"]",""),"(",""),")",""),"*","")</f>
        <v/>
      </c>
      <c r="AX716" s="61" t="str">
        <f aca="false">SUBSTITUTE(SUBSTITUTE(SUBSTITUTE(SUBSTITUTE(SUBSTITUTE(SUBSTITUTE(SUBSTITUTE(SUBSTITUTE(SUBSTITUTE(SUBSTITUTE(SUBSTITUTE(SUBSTITUTE(SUBSTITUTE(LOWER(AE716&amp;""),CHAR(160),"")," ",""),".",""),"-",""),"/",""),"?",""),"_",""),",",""),"[",""),"]",""),"(",""),")",""),"*","")</f>
        <v/>
      </c>
      <c r="AY716" s="61" t="str">
        <f aca="false">SUBSTITUTE(SUBSTITUTE(SUBSTITUTE(SUBSTITUTE(SUBSTITUTE(SUBSTITUTE(SUBSTITUTE(SUBSTITUTE(SUBSTITUTE(SUBSTITUTE(SUBSTITUTE(SUBSTITUTE(SUBSTITUTE(LOWER(W716&amp;""),CHAR(160),"")," ",""),".",""),"-",""),"/",""),"?",""),"_",""),",",""),"[",""),"]",""),"(",""),")",""),"*","")</f>
        <v/>
      </c>
      <c r="AZ716" s="61" t="str">
        <f aca="false">SUBSTITUTE(SUBSTITUTE(SUBSTITUTE(SUBSTITUTE(SUBSTITUTE(SUBSTITUTE(SUBSTITUTE(SUBSTITUTE(SUBSTITUTE(SUBSTITUTE(SUBSTITUTE(SUBSTITUTE(SUBSTITUTE(LOWER(AC716&amp;""),CHAR(160),"")," ",""),".",""),"-",""),"/",""),"?",""),"_",""),",",""),"[",""),"]",""),"(",""),")",""),"*","")</f>
        <v/>
      </c>
      <c r="BA716" s="61" t="str">
        <f aca="false">SUBSTITUTE(SUBSTITUTE(SUBSTITUTE(SUBSTITUTE(SUBSTITUTE(SUBSTITUTE(SUBSTITUTE(SUBSTITUTE(SUBSTITUTE(SUBSTITUTE(SUBSTITUTE(SUBSTITUTE(SUBSTITUTE(LOWER(AA716&amp;""),CHAR(160),"")," ",""),".",""),"-",""),"/",""),"?",""),"_",""),",",""),"[",""),"]",""),"(",""),")",""),"*","")</f>
        <v/>
      </c>
      <c r="BB716" s="61" t="str">
        <f aca="false">IF(AND(TRIM(U716)="Pass",ISNUMBER(AF716)),IF(AF716&lt;&gt;0,"INVALID – qty variance: use Fail or Pass after CA",""),"")&amp;IF(AND(TRIM(U716)="Pass after CA",ISNUMBER(AF716)),IF(AF716&lt;&gt;0,"INVALID – after the corrective action the actual qty must equal expected (update Actual)",""),"")&amp;IF(AND(TRIM(U716)="Pass",TRIM(AB716)&lt;&gt;"",TRIM(AB716)&lt;&gt;"Closed"),"INVALID – corrective action not closed: use Fail, then Pass after CA","")&amp;IF(AND(TRIM(AA716)&lt;&gt;"",TRIM(AB716)=""),"INVALID – CA status missing for the recorded corrective action","")&amp;IF(AND(TRIM(U716)="Pass after CA",OR(OR(LEN(BA716)&lt;5,ISNUMBER(MATCH(BA716,L_Placeholder,0))),TRIM(AB716)&lt;&gt;"Closed")),"INVALID – corrective action not recorded/closed","")</f>
        <v/>
      </c>
    </row>
    <row r="717" customFormat="false" ht="141" hidden="false" customHeight="true" outlineLevel="0" collapsed="false">
      <c r="A717" s="57" t="s">
        <v>1429</v>
      </c>
      <c r="B717" s="57" t="s">
        <v>309</v>
      </c>
      <c r="C717" s="57" t="str">
        <f aca="false">Flights!$F$26</f>
        <v>MH0002</v>
      </c>
      <c r="D717" s="58" t="n">
        <f aca="false">Flights!$D$26</f>
        <v>46325</v>
      </c>
      <c r="E717" s="57" t="str">
        <f aca="false">Flights!$G$26&amp;"-"&amp;Flights!$H$26</f>
        <v>KUL-LHR</v>
      </c>
      <c r="F717" s="57" t="str">
        <f aca="false">Flights!$K$26</f>
        <v>BC</v>
      </c>
      <c r="G717" s="57" t="s">
        <v>398</v>
      </c>
      <c r="H717" s="57" t="s">
        <v>356</v>
      </c>
      <c r="I717" s="57" t="s">
        <v>406</v>
      </c>
      <c r="J717" s="57" t="s">
        <v>413</v>
      </c>
      <c r="K717" s="67" t="s">
        <v>414</v>
      </c>
      <c r="L717" s="67" t="s">
        <v>400</v>
      </c>
      <c r="M717" s="67"/>
      <c r="N717" s="67" t="s">
        <v>361</v>
      </c>
      <c r="O717" s="67" t="s">
        <v>401</v>
      </c>
      <c r="P717" s="57" t="s">
        <v>184</v>
      </c>
      <c r="Q717" s="59" t="n">
        <f aca="false">ROUND((Flights!$AE$26)*1440,0)/1440</f>
        <v>46325.1388888889</v>
      </c>
      <c r="R717" s="59" t="n">
        <f aca="false">Q717+(IF(AND(INDEX(TZ_DSTS,MATCH(P717,TZ_STN,0))&lt;&gt;"",Q717&gt;=INDEX(TZ_DSTS,MATCH(P717,TZ_STN,0)),Q717&lt;INDEX(TZ_DSTE,MATCH(P717,TZ_STN,0))),INDEX(TZ_DST,MATCH(P717,TZ_STN,0)),INDEX(TZ_STD,MATCH(P717,TZ_STN,0))))/24</f>
        <v>46325.4722222222</v>
      </c>
      <c r="S717" s="59" t="n">
        <f aca="false">Q717-T12EarlyH/24</f>
        <v>46324.6388888889</v>
      </c>
      <c r="T717" s="60"/>
      <c r="U717" s="60"/>
      <c r="V717" s="60"/>
      <c r="W717" s="61"/>
      <c r="X717" s="60"/>
      <c r="Y717" s="60"/>
      <c r="Z717" s="60"/>
      <c r="AA717" s="60"/>
      <c r="AB717" s="60"/>
      <c r="AC717" s="60"/>
      <c r="AD717" s="66"/>
      <c r="AE717" s="60"/>
      <c r="AF717" s="61" t="str">
        <f aca="false">IF(AND(ISNUMBER(X717),ISNUMBER(Y717)),Y717-X717,"")</f>
        <v/>
      </c>
      <c r="AG717" s="62" t="str">
        <f aca="false">IF(ISNUMBER(AD717),AD717-(IF(AND(INDEX(TZ_DSTS,MATCH(P717,TZ_STN,0))&lt;&gt;"",(AD717-INDEX(TZ_STD,MATCH(P717,TZ_STN,0))/24)&gt;=INDEX(TZ_DSTS,MATCH(P717,TZ_STN,0)),(AD717-INDEX(TZ_STD,MATCH(P717,TZ_STN,0))/24)&lt;INDEX(TZ_DSTE,MATCH(P717,TZ_STN,0))),INDEX(TZ_DST,MATCH(P717,TZ_STN,0)),INDEX(TZ_STD,MATCH(P717,TZ_STN,0))))/24,"")</f>
        <v/>
      </c>
      <c r="AH717" s="65" t="str">
        <f aca="false">IFERROR(IF(N717="N/A – rule","N/A – RULE",IF(TRIM(U717)="N/A",IF(AT717=0,"INVALID – N/A not permitted for this check",IF(AND(TRIM(AB717)&lt;&gt;"",TRIM(AB717)&lt;&gt;"Closed"),"INVALID – corrective action still open",IF(AND(NOT(OR(LEN(AZ717)&lt;15,ISNUMBER(MATCH(AZ717,L_Placeholder,0)))),NOT(OR(LEN(AU717)&lt;2,ISNUMBER(MATCH(AU717,L_Placeholder,0)))),NOT(OR(LEN(AX717)&lt;2,ISNUMBER(MATCH(AX717,L_Placeholder,0)))),TRIM(AE717)&lt;&gt;TRIM(T717)),"N/A – JUSTIFIED","INVALID – N/A needs a real justification (15+ chars), PIC and a different verifier"))),IF(OR(TRIM(U717)="Pass",TRIM(U717)="Pass after CA"),IF(NOT(ISNUMBER(AD717)),"INVALID – completion time missing",IF(OR(LEN(AU717)&lt;2,ISNUMBER(MATCH(AU717,L_Placeholder,0))),"INVALID – PIC missing",IF(OR(LEN(AV717)&lt;2,ISNUMBER(MATCH(AV717,L_Placeholder,0))),"INVALID – result / assessment missing",IF(OR(OR(LEN(AW717)&lt;3,ISNUMBER(MATCH(AW717,L_Placeholder,0))),SUMPRODUCT(--ISNUMBER(SEARCH(L_EvidencePhrase,AW717)))&gt;0),"INVALID – evidence missing, placeholder or not yet on file",IF(OR(LEN(AX717)&lt;2,ISNUMBER(MATCH(AX717,L_Placeholder,0))),"INVALID – verifier missing",IF(AX717=AU717,"INVALID – verifier must be someone other than the PIC",IF(AND(TRIM(U717)="Pass",SUMPRODUCT(--ISNUMBER(SEARCH(L_ResultBad,AV717)))&gt;0),"INVALID – result describes a problem: use Fail, then Pass after CA",IF(AND(AQ717=1,OR(LEN(AY717)&lt;3,ISNUMBER(MATCH(AY717,L_Placeholder,0)))),"INVALID – batch ID missing or placeholder",IF(AND(AR717=1,OR(NOT(ISNUMBER(X717)),NOT(ISNUMBER(Y717)))),"INVALID – expected/actual qty missing",IF(AND(AR717=1,OR(X717&lt;=0,Y717&lt;0)),"INVALID – expected qty must be above 0 and actual not negative",IF(BB717&lt;&gt;"",BB717,IF(AND(AS717=1,Documents!$J$26&lt;&gt;"ON FILE"),"INVALID – GLD not on file (Documents sheet)",IF(AND(AS717=2,Documents!$O$26&lt;&gt;"ON FILE"),"INVALID – menu checklist not on file (Documents sheet)",IF(AND(AS717=3,NOT(ISNUMBER(Flights!$AX$26))),"INVALID – enter carrying flight KUL departure (Flights AX)",IF(AND(AS717=3,OR(Flights!$AZ$26&gt;Flights!$AA$26,Flights!$AX$26&lt;Flights!$AA$26-3)),"INVALID – carrying flight (Flights AX) cannot arrive before this leg's STD, or is over 3 days early",IF(AG717&gt;AsOfUTC,"INVALID – completion time is in the future",IF(AND(ISNUMBER(S717),AG717&lt;S717),IF(H717="Physical uplift","INVALID – before uplift window (cannot confirm loading)","INVALID – before valid window"),IF(AG717&gt;Flights!$AA$26,"INVALID – completed after departure (cannot establish readiness)",IF(AND(H717="Preparation",AG717&gt;IF(ISNUMBER(Flights!$BA$26),MIN(Flights!$BA$26,Flights!$AA$26),Flights!$AA$26)),"INVALID – completed after loading / departure (cannot establish readiness)",IF(AND(H717="Physical uplift",AG717&gt;Q717),"INVALID – recorded after the loading flight departed",IF(AG717&gt;Q717,"COMPLETE – LATE","COMPLETE"))))))))))))))))))))),IF(TRIM(U717)="Fail","FAIL – DISCREPANCY",IF(AND(TRIM(U717)&lt;&gt;"",TRIM(U717)&lt;&gt;"Not started",TRIM(U717)&lt;&gt;"In progress"),"INVALID – unrecognised status (use the list)",IF(AsOfUTC&gt;Q717,"OVERDUE",IF(N717="Clarification required","OPEN – CLARIFICATION","OPEN"))))))),"INVALID – error value in an input cell")</f>
        <v>OPEN</v>
      </c>
      <c r="AI717" s="61" t="n">
        <f aca="false">IF(OR(AH717="N/A – RULE",AH717="N/A – JUSTIFIED"),0,1)</f>
        <v>1</v>
      </c>
      <c r="AJ717" s="61" t="n">
        <f aca="false">IF(LEFT(AH717,8)="COMPLETE",1,0)</f>
        <v>0</v>
      </c>
      <c r="AK717" s="61" t="n">
        <f aca="false">IF(AND(AI717=1,AJ717=0,AsOfUTC&gt;Q717),1,0)</f>
        <v>0</v>
      </c>
      <c r="AL717" s="61" t="n">
        <f aca="false">IFERROR(IF(AND(AI717=1,OR(TRIM(U717)="Fail",AND(TRIM(AB717)&lt;&gt;"",TRIM(AB717)&lt;&gt;"Closed"),AND(ISNUMBER(AF717),AF717&lt;&gt;0,TRIM(U717)&lt;&gt;"Pass after CA"))),1,0),1)</f>
        <v>0</v>
      </c>
      <c r="AM717" s="61" t="n">
        <f aca="false">IF(LEFT(AH717,7)="INVALID",1,0)</f>
        <v>0</v>
      </c>
      <c r="AN717" s="61" t="n">
        <f aca="false">IF(AND(N717="Clarification required",AI717=1,AJ717=0),1,0)</f>
        <v>0</v>
      </c>
      <c r="AO717" s="61" t="str">
        <f aca="false">IF(AK717=1,SUM(AK$5:AK717),"")</f>
        <v/>
      </c>
      <c r="AP717" s="61" t="str">
        <f aca="false">IF(AL717=1,SUM(AL$5:AL717),"")</f>
        <v/>
      </c>
      <c r="AQ717" s="61" t="n">
        <v>0</v>
      </c>
      <c r="AR717" s="61" t="n">
        <v>1</v>
      </c>
      <c r="AS717" s="61" t="n">
        <v>0</v>
      </c>
      <c r="AT717" s="61" t="n">
        <v>0</v>
      </c>
      <c r="AU717" s="61" t="str">
        <f aca="false">SUBSTITUTE(SUBSTITUTE(SUBSTITUTE(SUBSTITUTE(SUBSTITUTE(SUBSTITUTE(SUBSTITUTE(SUBSTITUTE(SUBSTITUTE(SUBSTITUTE(SUBSTITUTE(SUBSTITUTE(SUBSTITUTE(LOWER(T717&amp;""),CHAR(160),"")," ",""),".",""),"-",""),"/",""),"?",""),"_",""),",",""),"[",""),"]",""),"(",""),")",""),"*","")</f>
        <v/>
      </c>
      <c r="AV717" s="61" t="str">
        <f aca="false">SUBSTITUTE(SUBSTITUTE(SUBSTITUTE(SUBSTITUTE(SUBSTITUTE(SUBSTITUTE(SUBSTITUTE(SUBSTITUTE(SUBSTITUTE(SUBSTITUTE(SUBSTITUTE(SUBSTITUTE(SUBSTITUTE(LOWER(V717&amp;""),CHAR(160),"")," ",""),".",""),"-",""),"/",""),"?",""),"_",""),",",""),"[",""),"]",""),"(",""),")",""),"*","")</f>
        <v/>
      </c>
      <c r="AW717" s="61" t="str">
        <f aca="false">SUBSTITUTE(SUBSTITUTE(SUBSTITUTE(SUBSTITUTE(SUBSTITUTE(SUBSTITUTE(SUBSTITUTE(SUBSTITUTE(SUBSTITUTE(SUBSTITUTE(SUBSTITUTE(SUBSTITUTE(SUBSTITUTE(LOWER(Z717&amp;""),CHAR(160),"")," ",""),".",""),"-",""),"/",""),"?",""),"_",""),",",""),"[",""),"]",""),"(",""),")",""),"*","")</f>
        <v/>
      </c>
      <c r="AX717" s="61" t="str">
        <f aca="false">SUBSTITUTE(SUBSTITUTE(SUBSTITUTE(SUBSTITUTE(SUBSTITUTE(SUBSTITUTE(SUBSTITUTE(SUBSTITUTE(SUBSTITUTE(SUBSTITUTE(SUBSTITUTE(SUBSTITUTE(SUBSTITUTE(LOWER(AE717&amp;""),CHAR(160),"")," ",""),".",""),"-",""),"/",""),"?",""),"_",""),",",""),"[",""),"]",""),"(",""),")",""),"*","")</f>
        <v/>
      </c>
      <c r="AY717" s="61" t="str">
        <f aca="false">SUBSTITUTE(SUBSTITUTE(SUBSTITUTE(SUBSTITUTE(SUBSTITUTE(SUBSTITUTE(SUBSTITUTE(SUBSTITUTE(SUBSTITUTE(SUBSTITUTE(SUBSTITUTE(SUBSTITUTE(SUBSTITUTE(LOWER(W717&amp;""),CHAR(160),"")," ",""),".",""),"-",""),"/",""),"?",""),"_",""),",",""),"[",""),"]",""),"(",""),")",""),"*","")</f>
        <v/>
      </c>
      <c r="AZ717" s="61" t="str">
        <f aca="false">SUBSTITUTE(SUBSTITUTE(SUBSTITUTE(SUBSTITUTE(SUBSTITUTE(SUBSTITUTE(SUBSTITUTE(SUBSTITUTE(SUBSTITUTE(SUBSTITUTE(SUBSTITUTE(SUBSTITUTE(SUBSTITUTE(LOWER(AC717&amp;""),CHAR(160),"")," ",""),".",""),"-",""),"/",""),"?",""),"_",""),",",""),"[",""),"]",""),"(",""),")",""),"*","")</f>
        <v/>
      </c>
      <c r="BA717" s="61" t="str">
        <f aca="false">SUBSTITUTE(SUBSTITUTE(SUBSTITUTE(SUBSTITUTE(SUBSTITUTE(SUBSTITUTE(SUBSTITUTE(SUBSTITUTE(SUBSTITUTE(SUBSTITUTE(SUBSTITUTE(SUBSTITUTE(SUBSTITUTE(LOWER(AA717&amp;""),CHAR(160),"")," ",""),".",""),"-",""),"/",""),"?",""),"_",""),",",""),"[",""),"]",""),"(",""),")",""),"*","")</f>
        <v/>
      </c>
      <c r="BB717" s="61" t="str">
        <f aca="false">IF(AND(TRIM(U717)="Pass",ISNUMBER(AF717)),IF(AF717&lt;&gt;0,"INVALID – qty variance: use Fail or Pass after CA",""),"")&amp;IF(AND(TRIM(U717)="Pass after CA",ISNUMBER(AF717)),IF(AF717&lt;&gt;0,"INVALID – after the corrective action the actual qty must equal expected (update Actual)",""),"")&amp;IF(AND(TRIM(U717)="Pass",TRIM(AB717)&lt;&gt;"",TRIM(AB717)&lt;&gt;"Closed"),"INVALID – corrective action not closed: use Fail, then Pass after CA","")&amp;IF(AND(TRIM(AA717)&lt;&gt;"",TRIM(AB717)=""),"INVALID – CA status missing for the recorded corrective action","")&amp;IF(AND(TRIM(U717)="Pass after CA",OR(OR(LEN(BA717)&lt;5,ISNUMBER(MATCH(BA717,L_Placeholder,0))),TRIM(AB717)&lt;&gt;"Closed")),"INVALID – corrective action not recorded/closed","")</f>
        <v/>
      </c>
    </row>
    <row r="718" customFormat="false" ht="39.75" hidden="false" customHeight="true" outlineLevel="0" collapsed="false">
      <c r="A718" s="57" t="s">
        <v>1430</v>
      </c>
      <c r="B718" s="57" t="s">
        <v>309</v>
      </c>
      <c r="C718" s="57" t="str">
        <f aca="false">Flights!$F$26</f>
        <v>MH0002</v>
      </c>
      <c r="D718" s="58" t="n">
        <f aca="false">Flights!$D$26</f>
        <v>46325</v>
      </c>
      <c r="E718" s="57" t="str">
        <f aca="false">Flights!$G$26&amp;"-"&amp;Flights!$H$26</f>
        <v>KUL-LHR</v>
      </c>
      <c r="F718" s="57" t="str">
        <f aca="false">Flights!$K$26</f>
        <v>BC</v>
      </c>
      <c r="G718" s="57" t="s">
        <v>398</v>
      </c>
      <c r="H718" s="57" t="s">
        <v>356</v>
      </c>
      <c r="I718" s="57" t="s">
        <v>406</v>
      </c>
      <c r="J718" s="57" t="s">
        <v>416</v>
      </c>
      <c r="K718" s="67"/>
      <c r="L718" s="67" t="s">
        <v>400</v>
      </c>
      <c r="M718" s="67"/>
      <c r="N718" s="67" t="s">
        <v>361</v>
      </c>
      <c r="O718" s="67" t="s">
        <v>401</v>
      </c>
      <c r="P718" s="57" t="s">
        <v>184</v>
      </c>
      <c r="Q718" s="59" t="n">
        <f aca="false">ROUND((Flights!$AE$26)*1440,0)/1440</f>
        <v>46325.1388888889</v>
      </c>
      <c r="R718" s="59" t="n">
        <f aca="false">Q718+(IF(AND(INDEX(TZ_DSTS,MATCH(P718,TZ_STN,0))&lt;&gt;"",Q718&gt;=INDEX(TZ_DSTS,MATCH(P718,TZ_STN,0)),Q718&lt;INDEX(TZ_DSTE,MATCH(P718,TZ_STN,0))),INDEX(TZ_DST,MATCH(P718,TZ_STN,0)),INDEX(TZ_STD,MATCH(P718,TZ_STN,0))))/24</f>
        <v>46325.4722222222</v>
      </c>
      <c r="S718" s="59" t="n">
        <f aca="false">Q718-T12EarlyH/24</f>
        <v>46324.6388888889</v>
      </c>
      <c r="T718" s="60"/>
      <c r="U718" s="60"/>
      <c r="V718" s="60"/>
      <c r="W718" s="61"/>
      <c r="X718" s="60"/>
      <c r="Y718" s="60"/>
      <c r="Z718" s="60"/>
      <c r="AA718" s="60"/>
      <c r="AB718" s="60"/>
      <c r="AC718" s="60"/>
      <c r="AD718" s="66"/>
      <c r="AE718" s="60"/>
      <c r="AF718" s="61" t="str">
        <f aca="false">IF(AND(ISNUMBER(X718),ISNUMBER(Y718)),Y718-X718,"")</f>
        <v/>
      </c>
      <c r="AG718" s="62" t="str">
        <f aca="false">IF(ISNUMBER(AD718),AD718-(IF(AND(INDEX(TZ_DSTS,MATCH(P718,TZ_STN,0))&lt;&gt;"",(AD718-INDEX(TZ_STD,MATCH(P718,TZ_STN,0))/24)&gt;=INDEX(TZ_DSTS,MATCH(P718,TZ_STN,0)),(AD718-INDEX(TZ_STD,MATCH(P718,TZ_STN,0))/24)&lt;INDEX(TZ_DSTE,MATCH(P718,TZ_STN,0))),INDEX(TZ_DST,MATCH(P718,TZ_STN,0)),INDEX(TZ_STD,MATCH(P718,TZ_STN,0))))/24,"")</f>
        <v/>
      </c>
      <c r="AH718" s="65" t="str">
        <f aca="false">IFERROR(IF(N718="N/A – rule","N/A – RULE",IF(TRIM(U718)="N/A",IF(AT718=0,"INVALID – N/A not permitted for this check",IF(AND(TRIM(AB718)&lt;&gt;"",TRIM(AB718)&lt;&gt;"Closed"),"INVALID – corrective action still open",IF(AND(NOT(OR(LEN(AZ718)&lt;15,ISNUMBER(MATCH(AZ718,L_Placeholder,0)))),NOT(OR(LEN(AU718)&lt;2,ISNUMBER(MATCH(AU718,L_Placeholder,0)))),NOT(OR(LEN(AX718)&lt;2,ISNUMBER(MATCH(AX718,L_Placeholder,0)))),TRIM(AE718)&lt;&gt;TRIM(T718)),"N/A – JUSTIFIED","INVALID – N/A needs a real justification (15+ chars), PIC and a different verifier"))),IF(OR(TRIM(U718)="Pass",TRIM(U718)="Pass after CA"),IF(NOT(ISNUMBER(AD718)),"INVALID – completion time missing",IF(OR(LEN(AU718)&lt;2,ISNUMBER(MATCH(AU718,L_Placeholder,0))),"INVALID – PIC missing",IF(OR(LEN(AV718)&lt;2,ISNUMBER(MATCH(AV718,L_Placeholder,0))),"INVALID – result / assessment missing",IF(OR(OR(LEN(AW718)&lt;3,ISNUMBER(MATCH(AW718,L_Placeholder,0))),SUMPRODUCT(--ISNUMBER(SEARCH(L_EvidencePhrase,AW718)))&gt;0),"INVALID – evidence missing, placeholder or not yet on file",IF(OR(LEN(AX718)&lt;2,ISNUMBER(MATCH(AX718,L_Placeholder,0))),"INVALID – verifier missing",IF(AX718=AU718,"INVALID – verifier must be someone other than the PIC",IF(AND(TRIM(U718)="Pass",SUMPRODUCT(--ISNUMBER(SEARCH(L_ResultBad,AV718)))&gt;0),"INVALID – result describes a problem: use Fail, then Pass after CA",IF(AND(AQ718=1,OR(LEN(AY718)&lt;3,ISNUMBER(MATCH(AY718,L_Placeholder,0)))),"INVALID – batch ID missing or placeholder",IF(AND(AR718=1,OR(NOT(ISNUMBER(X718)),NOT(ISNUMBER(Y718)))),"INVALID – expected/actual qty missing",IF(AND(AR718=1,OR(X718&lt;=0,Y718&lt;0)),"INVALID – expected qty must be above 0 and actual not negative",IF(BB718&lt;&gt;"",BB718,IF(AND(AS718=1,Documents!$J$26&lt;&gt;"ON FILE"),"INVALID – GLD not on file (Documents sheet)",IF(AND(AS718=2,Documents!$O$26&lt;&gt;"ON FILE"),"INVALID – menu checklist not on file (Documents sheet)",IF(AND(AS718=3,NOT(ISNUMBER(Flights!$AX$26))),"INVALID – enter carrying flight KUL departure (Flights AX)",IF(AND(AS718=3,OR(Flights!$AZ$26&gt;Flights!$AA$26,Flights!$AX$26&lt;Flights!$AA$26-3)),"INVALID – carrying flight (Flights AX) cannot arrive before this leg's STD, or is over 3 days early",IF(AG718&gt;AsOfUTC,"INVALID – completion time is in the future",IF(AND(ISNUMBER(S718),AG718&lt;S718),IF(H718="Physical uplift","INVALID – before uplift window (cannot confirm loading)","INVALID – before valid window"),IF(AG718&gt;Flights!$AA$26,"INVALID – completed after departure (cannot establish readiness)",IF(AND(H718="Preparation",AG718&gt;IF(ISNUMBER(Flights!$BA$26),MIN(Flights!$BA$26,Flights!$AA$26),Flights!$AA$26)),"INVALID – completed after loading / departure (cannot establish readiness)",IF(AND(H718="Physical uplift",AG718&gt;Q718),"INVALID – recorded after the loading flight departed",IF(AG718&gt;Q718,"COMPLETE – LATE","COMPLETE"))))))))))))))))))))),IF(TRIM(U718)="Fail","FAIL – DISCREPANCY",IF(AND(TRIM(U718)&lt;&gt;"",TRIM(U718)&lt;&gt;"Not started",TRIM(U718)&lt;&gt;"In progress"),"INVALID – unrecognised status (use the list)",IF(AsOfUTC&gt;Q718,"OVERDUE",IF(N718="Clarification required","OPEN – CLARIFICATION","OPEN"))))))),"INVALID – error value in an input cell")</f>
        <v>OPEN</v>
      </c>
      <c r="AI718" s="61" t="n">
        <f aca="false">IF(OR(AH718="N/A – RULE",AH718="N/A – JUSTIFIED"),0,1)</f>
        <v>1</v>
      </c>
      <c r="AJ718" s="61" t="n">
        <f aca="false">IF(LEFT(AH718,8)="COMPLETE",1,0)</f>
        <v>0</v>
      </c>
      <c r="AK718" s="61" t="n">
        <f aca="false">IF(AND(AI718=1,AJ718=0,AsOfUTC&gt;Q718),1,0)</f>
        <v>0</v>
      </c>
      <c r="AL718" s="61" t="n">
        <f aca="false">IFERROR(IF(AND(AI718=1,OR(TRIM(U718)="Fail",AND(TRIM(AB718)&lt;&gt;"",TRIM(AB718)&lt;&gt;"Closed"),AND(ISNUMBER(AF718),AF718&lt;&gt;0,TRIM(U718)&lt;&gt;"Pass after CA"))),1,0),1)</f>
        <v>0</v>
      </c>
      <c r="AM718" s="61" t="n">
        <f aca="false">IF(LEFT(AH718,7)="INVALID",1,0)</f>
        <v>0</v>
      </c>
      <c r="AN718" s="61" t="n">
        <f aca="false">IF(AND(N718="Clarification required",AI718=1,AJ718=0),1,0)</f>
        <v>0</v>
      </c>
      <c r="AO718" s="61" t="str">
        <f aca="false">IF(AK718=1,SUM(AK$5:AK718),"")</f>
        <v/>
      </c>
      <c r="AP718" s="61" t="str">
        <f aca="false">IF(AL718=1,SUM(AL$5:AL718),"")</f>
        <v/>
      </c>
      <c r="AQ718" s="61" t="n">
        <v>0</v>
      </c>
      <c r="AR718" s="61" t="n">
        <v>0</v>
      </c>
      <c r="AS718" s="61" t="n">
        <v>0</v>
      </c>
      <c r="AT718" s="61" t="n">
        <v>0</v>
      </c>
      <c r="AU718" s="61" t="str">
        <f aca="false">SUBSTITUTE(SUBSTITUTE(SUBSTITUTE(SUBSTITUTE(SUBSTITUTE(SUBSTITUTE(SUBSTITUTE(SUBSTITUTE(SUBSTITUTE(SUBSTITUTE(SUBSTITUTE(SUBSTITUTE(SUBSTITUTE(LOWER(T718&amp;""),CHAR(160),"")," ",""),".",""),"-",""),"/",""),"?",""),"_",""),",",""),"[",""),"]",""),"(",""),")",""),"*","")</f>
        <v/>
      </c>
      <c r="AV718" s="61" t="str">
        <f aca="false">SUBSTITUTE(SUBSTITUTE(SUBSTITUTE(SUBSTITUTE(SUBSTITUTE(SUBSTITUTE(SUBSTITUTE(SUBSTITUTE(SUBSTITUTE(SUBSTITUTE(SUBSTITUTE(SUBSTITUTE(SUBSTITUTE(LOWER(V718&amp;""),CHAR(160),"")," ",""),".",""),"-",""),"/",""),"?",""),"_",""),",",""),"[",""),"]",""),"(",""),")",""),"*","")</f>
        <v/>
      </c>
      <c r="AW718" s="61" t="str">
        <f aca="false">SUBSTITUTE(SUBSTITUTE(SUBSTITUTE(SUBSTITUTE(SUBSTITUTE(SUBSTITUTE(SUBSTITUTE(SUBSTITUTE(SUBSTITUTE(SUBSTITUTE(SUBSTITUTE(SUBSTITUTE(SUBSTITUTE(LOWER(Z718&amp;""),CHAR(160),"")," ",""),".",""),"-",""),"/",""),"?",""),"_",""),",",""),"[",""),"]",""),"(",""),")",""),"*","")</f>
        <v/>
      </c>
      <c r="AX718" s="61" t="str">
        <f aca="false">SUBSTITUTE(SUBSTITUTE(SUBSTITUTE(SUBSTITUTE(SUBSTITUTE(SUBSTITUTE(SUBSTITUTE(SUBSTITUTE(SUBSTITUTE(SUBSTITUTE(SUBSTITUTE(SUBSTITUTE(SUBSTITUTE(LOWER(AE718&amp;""),CHAR(160),"")," ",""),".",""),"-",""),"/",""),"?",""),"_",""),",",""),"[",""),"]",""),"(",""),")",""),"*","")</f>
        <v/>
      </c>
      <c r="AY718" s="61" t="str">
        <f aca="false">SUBSTITUTE(SUBSTITUTE(SUBSTITUTE(SUBSTITUTE(SUBSTITUTE(SUBSTITUTE(SUBSTITUTE(SUBSTITUTE(SUBSTITUTE(SUBSTITUTE(SUBSTITUTE(SUBSTITUTE(SUBSTITUTE(LOWER(W718&amp;""),CHAR(160),"")," ",""),".",""),"-",""),"/",""),"?",""),"_",""),",",""),"[",""),"]",""),"(",""),")",""),"*","")</f>
        <v/>
      </c>
      <c r="AZ718" s="61" t="str">
        <f aca="false">SUBSTITUTE(SUBSTITUTE(SUBSTITUTE(SUBSTITUTE(SUBSTITUTE(SUBSTITUTE(SUBSTITUTE(SUBSTITUTE(SUBSTITUTE(SUBSTITUTE(SUBSTITUTE(SUBSTITUTE(SUBSTITUTE(LOWER(AC718&amp;""),CHAR(160),"")," ",""),".",""),"-",""),"/",""),"?",""),"_",""),",",""),"[",""),"]",""),"(",""),")",""),"*","")</f>
        <v/>
      </c>
      <c r="BA718" s="61" t="str">
        <f aca="false">SUBSTITUTE(SUBSTITUTE(SUBSTITUTE(SUBSTITUTE(SUBSTITUTE(SUBSTITUTE(SUBSTITUTE(SUBSTITUTE(SUBSTITUTE(SUBSTITUTE(SUBSTITUTE(SUBSTITUTE(SUBSTITUTE(LOWER(AA718&amp;""),CHAR(160),"")," ",""),".",""),"-",""),"/",""),"?",""),"_",""),",",""),"[",""),"]",""),"(",""),")",""),"*","")</f>
        <v/>
      </c>
      <c r="BB718" s="61" t="str">
        <f aca="false">IF(AND(TRIM(U718)="Pass",ISNUMBER(AF718)),IF(AF718&lt;&gt;0,"INVALID – qty variance: use Fail or Pass after CA",""),"")&amp;IF(AND(TRIM(U718)="Pass after CA",ISNUMBER(AF718)),IF(AF718&lt;&gt;0,"INVALID – after the corrective action the actual qty must equal expected (update Actual)",""),"")&amp;IF(AND(TRIM(U718)="Pass",TRIM(AB718)&lt;&gt;"",TRIM(AB718)&lt;&gt;"Closed"),"INVALID – corrective action not closed: use Fail, then Pass after CA","")&amp;IF(AND(TRIM(AA718)&lt;&gt;"",TRIM(AB718)=""),"INVALID – CA status missing for the recorded corrective action","")&amp;IF(AND(TRIM(U718)="Pass after CA",OR(OR(LEN(BA718)&lt;5,ISNUMBER(MATCH(BA718,L_Placeholder,0))),TRIM(AB718)&lt;&gt;"Closed")),"INVALID – corrective action not recorded/closed","")</f>
        <v/>
      </c>
    </row>
    <row r="719" customFormat="false" ht="91.5" hidden="false" customHeight="true" outlineLevel="0" collapsed="false">
      <c r="A719" s="57" t="s">
        <v>1431</v>
      </c>
      <c r="B719" s="57" t="s">
        <v>309</v>
      </c>
      <c r="C719" s="57" t="str">
        <f aca="false">Flights!$F$26</f>
        <v>MH0002</v>
      </c>
      <c r="D719" s="58" t="n">
        <f aca="false">Flights!$D$26</f>
        <v>46325</v>
      </c>
      <c r="E719" s="57" t="str">
        <f aca="false">Flights!$G$26&amp;"-"&amp;Flights!$H$26</f>
        <v>KUL-LHR</v>
      </c>
      <c r="F719" s="57" t="str">
        <f aca="false">Flights!$K$26</f>
        <v>BC</v>
      </c>
      <c r="G719" s="57" t="s">
        <v>398</v>
      </c>
      <c r="H719" s="57" t="s">
        <v>356</v>
      </c>
      <c r="I719" s="57" t="s">
        <v>418</v>
      </c>
      <c r="J719" s="57" t="s">
        <v>419</v>
      </c>
      <c r="K719" s="67" t="s">
        <v>479</v>
      </c>
      <c r="L719" s="67" t="s">
        <v>421</v>
      </c>
      <c r="M719" s="67" t="s">
        <v>704</v>
      </c>
      <c r="N719" s="67" t="s">
        <v>422</v>
      </c>
      <c r="O719" s="67" t="s">
        <v>705</v>
      </c>
      <c r="P719" s="57" t="s">
        <v>184</v>
      </c>
      <c r="Q719" s="59" t="n">
        <f aca="false">ROUND((Flights!$AE$26)*1440,0)/1440</f>
        <v>46325.1388888889</v>
      </c>
      <c r="R719" s="59" t="n">
        <f aca="false">Q719+(IF(AND(INDEX(TZ_DSTS,MATCH(P719,TZ_STN,0))&lt;&gt;"",Q719&gt;=INDEX(TZ_DSTS,MATCH(P719,TZ_STN,0)),Q719&lt;INDEX(TZ_DSTE,MATCH(P719,TZ_STN,0))),INDEX(TZ_DST,MATCH(P719,TZ_STN,0)),INDEX(TZ_STD,MATCH(P719,TZ_STN,0))))/24</f>
        <v>46325.4722222222</v>
      </c>
      <c r="S719" s="59" t="n">
        <f aca="false">Q719-T12EarlyH/24</f>
        <v>46324.6388888889</v>
      </c>
      <c r="T719" s="60"/>
      <c r="U719" s="60"/>
      <c r="V719" s="60"/>
      <c r="W719" s="61"/>
      <c r="X719" s="60"/>
      <c r="Y719" s="60"/>
      <c r="Z719" s="60"/>
      <c r="AA719" s="60"/>
      <c r="AB719" s="60"/>
      <c r="AC719" s="60"/>
      <c r="AD719" s="66"/>
      <c r="AE719" s="60"/>
      <c r="AF719" s="61" t="str">
        <f aca="false">IF(AND(ISNUMBER(X719),ISNUMBER(Y719)),Y719-X719,"")</f>
        <v/>
      </c>
      <c r="AG719" s="62" t="str">
        <f aca="false">IF(ISNUMBER(AD719),AD719-(IF(AND(INDEX(TZ_DSTS,MATCH(P719,TZ_STN,0))&lt;&gt;"",(AD719-INDEX(TZ_STD,MATCH(P719,TZ_STN,0))/24)&gt;=INDEX(TZ_DSTS,MATCH(P719,TZ_STN,0)),(AD719-INDEX(TZ_STD,MATCH(P719,TZ_STN,0))/24)&lt;INDEX(TZ_DSTE,MATCH(P719,TZ_STN,0))),INDEX(TZ_DST,MATCH(P719,TZ_STN,0)),INDEX(TZ_STD,MATCH(P719,TZ_STN,0))))/24,"")</f>
        <v/>
      </c>
      <c r="AH719" s="65" t="str">
        <f aca="false">IFERROR(IF(N719="N/A – rule","N/A – RULE",IF(TRIM(U719)="N/A",IF(AT719=0,"INVALID – N/A not permitted for this check",IF(AND(TRIM(AB719)&lt;&gt;"",TRIM(AB719)&lt;&gt;"Closed"),"INVALID – corrective action still open",IF(AND(NOT(OR(LEN(AZ719)&lt;15,ISNUMBER(MATCH(AZ719,L_Placeholder,0)))),NOT(OR(LEN(AU719)&lt;2,ISNUMBER(MATCH(AU719,L_Placeholder,0)))),NOT(OR(LEN(AX719)&lt;2,ISNUMBER(MATCH(AX719,L_Placeholder,0)))),TRIM(AE719)&lt;&gt;TRIM(T719)),"N/A – JUSTIFIED","INVALID – N/A needs a real justification (15+ chars), PIC and a different verifier"))),IF(OR(TRIM(U719)="Pass",TRIM(U719)="Pass after CA"),IF(NOT(ISNUMBER(AD719)),"INVALID – completion time missing",IF(OR(LEN(AU719)&lt;2,ISNUMBER(MATCH(AU719,L_Placeholder,0))),"INVALID – PIC missing",IF(OR(LEN(AV719)&lt;2,ISNUMBER(MATCH(AV719,L_Placeholder,0))),"INVALID – result / assessment missing",IF(OR(OR(LEN(AW719)&lt;3,ISNUMBER(MATCH(AW719,L_Placeholder,0))),SUMPRODUCT(--ISNUMBER(SEARCH(L_EvidencePhrase,AW719)))&gt;0),"INVALID – evidence missing, placeholder or not yet on file",IF(OR(LEN(AX719)&lt;2,ISNUMBER(MATCH(AX719,L_Placeholder,0))),"INVALID – verifier missing",IF(AX719=AU719,"INVALID – verifier must be someone other than the PIC",IF(AND(TRIM(U719)="Pass",SUMPRODUCT(--ISNUMBER(SEARCH(L_ResultBad,AV719)))&gt;0),"INVALID – result describes a problem: use Fail, then Pass after CA",IF(AND(AQ719=1,OR(LEN(AY719)&lt;3,ISNUMBER(MATCH(AY719,L_Placeholder,0)))),"INVALID – batch ID missing or placeholder",IF(AND(AR719=1,OR(NOT(ISNUMBER(X719)),NOT(ISNUMBER(Y719)))),"INVALID – expected/actual qty missing",IF(AND(AR719=1,OR(X719&lt;=0,Y719&lt;0)),"INVALID – expected qty must be above 0 and actual not negative",IF(BB719&lt;&gt;"",BB719,IF(AND(AS719=1,Documents!$J$26&lt;&gt;"ON FILE"),"INVALID – GLD not on file (Documents sheet)",IF(AND(AS719=2,Documents!$O$26&lt;&gt;"ON FILE"),"INVALID – menu checklist not on file (Documents sheet)",IF(AND(AS719=3,NOT(ISNUMBER(Flights!$AX$26))),"INVALID – enter carrying flight KUL departure (Flights AX)",IF(AND(AS719=3,OR(Flights!$AZ$26&gt;Flights!$AA$26,Flights!$AX$26&lt;Flights!$AA$26-3)),"INVALID – carrying flight (Flights AX) cannot arrive before this leg's STD, or is over 3 days early",IF(AG719&gt;AsOfUTC,"INVALID – completion time is in the future",IF(AND(ISNUMBER(S719),AG719&lt;S719),IF(H719="Physical uplift","INVALID – before uplift window (cannot confirm loading)","INVALID – before valid window"),IF(AG719&gt;Flights!$AA$26,"INVALID – completed after departure (cannot establish readiness)",IF(AND(H719="Preparation",AG719&gt;IF(ISNUMBER(Flights!$BA$26),MIN(Flights!$BA$26,Flights!$AA$26),Flights!$AA$26)),"INVALID – completed after loading / departure (cannot establish readiness)",IF(AND(H719="Physical uplift",AG719&gt;Q719),"INVALID – recorded after the loading flight departed",IF(AG719&gt;Q719,"COMPLETE – LATE","COMPLETE"))))))))))))))))))))),IF(TRIM(U719)="Fail","FAIL – DISCREPANCY",IF(AND(TRIM(U719)&lt;&gt;"",TRIM(U719)&lt;&gt;"Not started",TRIM(U719)&lt;&gt;"In progress"),"INVALID – unrecognised status (use the list)",IF(AsOfUTC&gt;Q719,"OVERDUE",IF(N719="Clarification required","OPEN – CLARIFICATION","OPEN"))))))),"INVALID – error value in an input cell")</f>
        <v>OPEN – CLARIFICATION</v>
      </c>
      <c r="AI719" s="61" t="n">
        <f aca="false">IF(OR(AH719="N/A – RULE",AH719="N/A – JUSTIFIED"),0,1)</f>
        <v>1</v>
      </c>
      <c r="AJ719" s="61" t="n">
        <f aca="false">IF(LEFT(AH719,8)="COMPLETE",1,0)</f>
        <v>0</v>
      </c>
      <c r="AK719" s="61" t="n">
        <f aca="false">IF(AND(AI719=1,AJ719=0,AsOfUTC&gt;Q719),1,0)</f>
        <v>0</v>
      </c>
      <c r="AL719" s="61" t="n">
        <f aca="false">IFERROR(IF(AND(AI719=1,OR(TRIM(U719)="Fail",AND(TRIM(AB719)&lt;&gt;"",TRIM(AB719)&lt;&gt;"Closed"),AND(ISNUMBER(AF719),AF719&lt;&gt;0,TRIM(U719)&lt;&gt;"Pass after CA"))),1,0),1)</f>
        <v>0</v>
      </c>
      <c r="AM719" s="61" t="n">
        <f aca="false">IF(LEFT(AH719,7)="INVALID",1,0)</f>
        <v>0</v>
      </c>
      <c r="AN719" s="61" t="n">
        <f aca="false">IF(AND(N719="Clarification required",AI719=1,AJ719=0),1,0)</f>
        <v>1</v>
      </c>
      <c r="AO719" s="61" t="str">
        <f aca="false">IF(AK719=1,SUM(AK$5:AK719),"")</f>
        <v/>
      </c>
      <c r="AP719" s="61" t="str">
        <f aca="false">IF(AL719=1,SUM(AL$5:AL719),"")</f>
        <v/>
      </c>
      <c r="AQ719" s="61" t="n">
        <v>0</v>
      </c>
      <c r="AR719" s="61" t="n">
        <v>0</v>
      </c>
      <c r="AS719" s="61" t="n">
        <v>0</v>
      </c>
      <c r="AT719" s="61" t="n">
        <v>1</v>
      </c>
      <c r="AU719" s="61" t="str">
        <f aca="false">SUBSTITUTE(SUBSTITUTE(SUBSTITUTE(SUBSTITUTE(SUBSTITUTE(SUBSTITUTE(SUBSTITUTE(SUBSTITUTE(SUBSTITUTE(SUBSTITUTE(SUBSTITUTE(SUBSTITUTE(SUBSTITUTE(LOWER(T719&amp;""),CHAR(160),"")," ",""),".",""),"-",""),"/",""),"?",""),"_",""),",",""),"[",""),"]",""),"(",""),")",""),"*","")</f>
        <v/>
      </c>
      <c r="AV719" s="61" t="str">
        <f aca="false">SUBSTITUTE(SUBSTITUTE(SUBSTITUTE(SUBSTITUTE(SUBSTITUTE(SUBSTITUTE(SUBSTITUTE(SUBSTITUTE(SUBSTITUTE(SUBSTITUTE(SUBSTITUTE(SUBSTITUTE(SUBSTITUTE(LOWER(V719&amp;""),CHAR(160),"")," ",""),".",""),"-",""),"/",""),"?",""),"_",""),",",""),"[",""),"]",""),"(",""),")",""),"*","")</f>
        <v/>
      </c>
      <c r="AW719" s="61" t="str">
        <f aca="false">SUBSTITUTE(SUBSTITUTE(SUBSTITUTE(SUBSTITUTE(SUBSTITUTE(SUBSTITUTE(SUBSTITUTE(SUBSTITUTE(SUBSTITUTE(SUBSTITUTE(SUBSTITUTE(SUBSTITUTE(SUBSTITUTE(LOWER(Z719&amp;""),CHAR(160),"")," ",""),".",""),"-",""),"/",""),"?",""),"_",""),",",""),"[",""),"]",""),"(",""),")",""),"*","")</f>
        <v/>
      </c>
      <c r="AX719" s="61" t="str">
        <f aca="false">SUBSTITUTE(SUBSTITUTE(SUBSTITUTE(SUBSTITUTE(SUBSTITUTE(SUBSTITUTE(SUBSTITUTE(SUBSTITUTE(SUBSTITUTE(SUBSTITUTE(SUBSTITUTE(SUBSTITUTE(SUBSTITUTE(LOWER(AE719&amp;""),CHAR(160),"")," ",""),".",""),"-",""),"/",""),"?",""),"_",""),",",""),"[",""),"]",""),"(",""),")",""),"*","")</f>
        <v/>
      </c>
      <c r="AY719" s="61" t="str">
        <f aca="false">SUBSTITUTE(SUBSTITUTE(SUBSTITUTE(SUBSTITUTE(SUBSTITUTE(SUBSTITUTE(SUBSTITUTE(SUBSTITUTE(SUBSTITUTE(SUBSTITUTE(SUBSTITUTE(SUBSTITUTE(SUBSTITUTE(LOWER(W719&amp;""),CHAR(160),"")," ",""),".",""),"-",""),"/",""),"?",""),"_",""),",",""),"[",""),"]",""),"(",""),")",""),"*","")</f>
        <v/>
      </c>
      <c r="AZ719" s="61" t="str">
        <f aca="false">SUBSTITUTE(SUBSTITUTE(SUBSTITUTE(SUBSTITUTE(SUBSTITUTE(SUBSTITUTE(SUBSTITUTE(SUBSTITUTE(SUBSTITUTE(SUBSTITUTE(SUBSTITUTE(SUBSTITUTE(SUBSTITUTE(LOWER(AC719&amp;""),CHAR(160),"")," ",""),".",""),"-",""),"/",""),"?",""),"_",""),",",""),"[",""),"]",""),"(",""),")",""),"*","")</f>
        <v/>
      </c>
      <c r="BA719" s="61" t="str">
        <f aca="false">SUBSTITUTE(SUBSTITUTE(SUBSTITUTE(SUBSTITUTE(SUBSTITUTE(SUBSTITUTE(SUBSTITUTE(SUBSTITUTE(SUBSTITUTE(SUBSTITUTE(SUBSTITUTE(SUBSTITUTE(SUBSTITUTE(LOWER(AA719&amp;""),CHAR(160),"")," ",""),".",""),"-",""),"/",""),"?",""),"_",""),",",""),"[",""),"]",""),"(",""),")",""),"*","")</f>
        <v/>
      </c>
      <c r="BB719" s="61" t="str">
        <f aca="false">IF(AND(TRIM(U719)="Pass",ISNUMBER(AF719)),IF(AF719&lt;&gt;0,"INVALID – qty variance: use Fail or Pass after CA",""),"")&amp;IF(AND(TRIM(U719)="Pass after CA",ISNUMBER(AF719)),IF(AF719&lt;&gt;0,"INVALID – after the corrective action the actual qty must equal expected (update Actual)",""),"")&amp;IF(AND(TRIM(U719)="Pass",TRIM(AB719)&lt;&gt;"",TRIM(AB719)&lt;&gt;"Closed"),"INVALID – corrective action not closed: use Fail, then Pass after CA","")&amp;IF(AND(TRIM(AA719)&lt;&gt;"",TRIM(AB719)=""),"INVALID – CA status missing for the recorded corrective action","")&amp;IF(AND(TRIM(U719)="Pass after CA",OR(OR(LEN(BA719)&lt;5,ISNUMBER(MATCH(BA719,L_Placeholder,0))),TRIM(AB719)&lt;&gt;"Closed")),"INVALID – corrective action not recorded/closed","")</f>
        <v/>
      </c>
    </row>
    <row r="720" customFormat="false" ht="39.75" hidden="false" customHeight="true" outlineLevel="0" collapsed="false">
      <c r="A720" s="57" t="s">
        <v>1432</v>
      </c>
      <c r="B720" s="57" t="s">
        <v>309</v>
      </c>
      <c r="C720" s="57" t="str">
        <f aca="false">Flights!$F$26</f>
        <v>MH0002</v>
      </c>
      <c r="D720" s="58" t="n">
        <f aca="false">Flights!$D$26</f>
        <v>46325</v>
      </c>
      <c r="E720" s="57" t="str">
        <f aca="false">Flights!$G$26&amp;"-"&amp;Flights!$H$26</f>
        <v>KUL-LHR</v>
      </c>
      <c r="F720" s="57" t="str">
        <f aca="false">Flights!$K$26</f>
        <v>BC</v>
      </c>
      <c r="G720" s="57" t="s">
        <v>398</v>
      </c>
      <c r="H720" s="57" t="s">
        <v>356</v>
      </c>
      <c r="I720" s="57" t="s">
        <v>418</v>
      </c>
      <c r="J720" s="57" t="s">
        <v>707</v>
      </c>
      <c r="K720" s="67" t="s">
        <v>708</v>
      </c>
      <c r="L720" s="67" t="s">
        <v>709</v>
      </c>
      <c r="M720" s="67" t="s">
        <v>184</v>
      </c>
      <c r="N720" s="67" t="s">
        <v>361</v>
      </c>
      <c r="O720" s="67" t="s">
        <v>710</v>
      </c>
      <c r="P720" s="57" t="s">
        <v>184</v>
      </c>
      <c r="Q720" s="59" t="n">
        <f aca="false">ROUND((Flights!$AE$26)*1440,0)/1440</f>
        <v>46325.1388888889</v>
      </c>
      <c r="R720" s="59" t="n">
        <f aca="false">Q720+(IF(AND(INDEX(TZ_DSTS,MATCH(P720,TZ_STN,0))&lt;&gt;"",Q720&gt;=INDEX(TZ_DSTS,MATCH(P720,TZ_STN,0)),Q720&lt;INDEX(TZ_DSTE,MATCH(P720,TZ_STN,0))),INDEX(TZ_DST,MATCH(P720,TZ_STN,0)),INDEX(TZ_STD,MATCH(P720,TZ_STN,0))))/24</f>
        <v>46325.4722222222</v>
      </c>
      <c r="S720" s="59" t="n">
        <f aca="false">Q720-T12EarlyH/24</f>
        <v>46324.6388888889</v>
      </c>
      <c r="T720" s="60"/>
      <c r="U720" s="60"/>
      <c r="V720" s="60"/>
      <c r="W720" s="61"/>
      <c r="X720" s="60"/>
      <c r="Y720" s="60"/>
      <c r="Z720" s="60"/>
      <c r="AA720" s="60"/>
      <c r="AB720" s="60"/>
      <c r="AC720" s="60"/>
      <c r="AD720" s="66"/>
      <c r="AE720" s="60"/>
      <c r="AF720" s="61" t="str">
        <f aca="false">IF(AND(ISNUMBER(X720),ISNUMBER(Y720)),Y720-X720,"")</f>
        <v/>
      </c>
      <c r="AG720" s="62" t="str">
        <f aca="false">IF(ISNUMBER(AD720),AD720-(IF(AND(INDEX(TZ_DSTS,MATCH(P720,TZ_STN,0))&lt;&gt;"",(AD720-INDEX(TZ_STD,MATCH(P720,TZ_STN,0))/24)&gt;=INDEX(TZ_DSTS,MATCH(P720,TZ_STN,0)),(AD720-INDEX(TZ_STD,MATCH(P720,TZ_STN,0))/24)&lt;INDEX(TZ_DSTE,MATCH(P720,TZ_STN,0))),INDEX(TZ_DST,MATCH(P720,TZ_STN,0)),INDEX(TZ_STD,MATCH(P720,TZ_STN,0))))/24,"")</f>
        <v/>
      </c>
      <c r="AH720" s="65" t="str">
        <f aca="false">IFERROR(IF(N720="N/A – rule","N/A – RULE",IF(TRIM(U720)="N/A",IF(AT720=0,"INVALID – N/A not permitted for this check",IF(AND(TRIM(AB720)&lt;&gt;"",TRIM(AB720)&lt;&gt;"Closed"),"INVALID – corrective action still open",IF(AND(NOT(OR(LEN(AZ720)&lt;15,ISNUMBER(MATCH(AZ720,L_Placeholder,0)))),NOT(OR(LEN(AU720)&lt;2,ISNUMBER(MATCH(AU720,L_Placeholder,0)))),NOT(OR(LEN(AX720)&lt;2,ISNUMBER(MATCH(AX720,L_Placeholder,0)))),TRIM(AE720)&lt;&gt;TRIM(T720)),"N/A – JUSTIFIED","INVALID – N/A needs a real justification (15+ chars), PIC and a different verifier"))),IF(OR(TRIM(U720)="Pass",TRIM(U720)="Pass after CA"),IF(NOT(ISNUMBER(AD720)),"INVALID – completion time missing",IF(OR(LEN(AU720)&lt;2,ISNUMBER(MATCH(AU720,L_Placeholder,0))),"INVALID – PIC missing",IF(OR(LEN(AV720)&lt;2,ISNUMBER(MATCH(AV720,L_Placeholder,0))),"INVALID – result / assessment missing",IF(OR(OR(LEN(AW720)&lt;3,ISNUMBER(MATCH(AW720,L_Placeholder,0))),SUMPRODUCT(--ISNUMBER(SEARCH(L_EvidencePhrase,AW720)))&gt;0),"INVALID – evidence missing, placeholder or not yet on file",IF(OR(LEN(AX720)&lt;2,ISNUMBER(MATCH(AX720,L_Placeholder,0))),"INVALID – verifier missing",IF(AX720=AU720,"INVALID – verifier must be someone other than the PIC",IF(AND(TRIM(U720)="Pass",SUMPRODUCT(--ISNUMBER(SEARCH(L_ResultBad,AV720)))&gt;0),"INVALID – result describes a problem: use Fail, then Pass after CA",IF(AND(AQ720=1,OR(LEN(AY720)&lt;3,ISNUMBER(MATCH(AY720,L_Placeholder,0)))),"INVALID – batch ID missing or placeholder",IF(AND(AR720=1,OR(NOT(ISNUMBER(X720)),NOT(ISNUMBER(Y720)))),"INVALID – expected/actual qty missing",IF(AND(AR720=1,OR(X720&lt;=0,Y720&lt;0)),"INVALID – expected qty must be above 0 and actual not negative",IF(BB720&lt;&gt;"",BB720,IF(AND(AS720=1,Documents!$J$26&lt;&gt;"ON FILE"),"INVALID – GLD not on file (Documents sheet)",IF(AND(AS720=2,Documents!$O$26&lt;&gt;"ON FILE"),"INVALID – menu checklist not on file (Documents sheet)",IF(AND(AS720=3,NOT(ISNUMBER(Flights!$AX$26))),"INVALID – enter carrying flight KUL departure (Flights AX)",IF(AND(AS720=3,OR(Flights!$AZ$26&gt;Flights!$AA$26,Flights!$AX$26&lt;Flights!$AA$26-3)),"INVALID – carrying flight (Flights AX) cannot arrive before this leg's STD, or is over 3 days early",IF(AG720&gt;AsOfUTC,"INVALID – completion time is in the future",IF(AND(ISNUMBER(S720),AG720&lt;S720),IF(H720="Physical uplift","INVALID – before uplift window (cannot confirm loading)","INVALID – before valid window"),IF(AG720&gt;Flights!$AA$26,"INVALID – completed after departure (cannot establish readiness)",IF(AND(H720="Preparation",AG720&gt;IF(ISNUMBER(Flights!$BA$26),MIN(Flights!$BA$26,Flights!$AA$26),Flights!$AA$26)),"INVALID – completed after loading / departure (cannot establish readiness)",IF(AND(H720="Physical uplift",AG720&gt;Q720),"INVALID – recorded after the loading flight departed",IF(AG720&gt;Q720,"COMPLETE – LATE","COMPLETE"))))))))))))))))))))),IF(TRIM(U720)="Fail","FAIL – DISCREPANCY",IF(AND(TRIM(U720)&lt;&gt;"",TRIM(U720)&lt;&gt;"Not started",TRIM(U720)&lt;&gt;"In progress"),"INVALID – unrecognised status (use the list)",IF(AsOfUTC&gt;Q720,"OVERDUE",IF(N720="Clarification required","OPEN – CLARIFICATION","OPEN"))))))),"INVALID – error value in an input cell")</f>
        <v>OPEN</v>
      </c>
      <c r="AI720" s="61" t="n">
        <f aca="false">IF(OR(AH720="N/A – RULE",AH720="N/A – JUSTIFIED"),0,1)</f>
        <v>1</v>
      </c>
      <c r="AJ720" s="61" t="n">
        <f aca="false">IF(LEFT(AH720,8)="COMPLETE",1,0)</f>
        <v>0</v>
      </c>
      <c r="AK720" s="61" t="n">
        <f aca="false">IF(AND(AI720=1,AJ720=0,AsOfUTC&gt;Q720),1,0)</f>
        <v>0</v>
      </c>
      <c r="AL720" s="61" t="n">
        <f aca="false">IFERROR(IF(AND(AI720=1,OR(TRIM(U720)="Fail",AND(TRIM(AB720)&lt;&gt;"",TRIM(AB720)&lt;&gt;"Closed"),AND(ISNUMBER(AF720),AF720&lt;&gt;0,TRIM(U720)&lt;&gt;"Pass after CA"))),1,0),1)</f>
        <v>0</v>
      </c>
      <c r="AM720" s="61" t="n">
        <f aca="false">IF(LEFT(AH720,7)="INVALID",1,0)</f>
        <v>0</v>
      </c>
      <c r="AN720" s="61" t="n">
        <f aca="false">IF(AND(N720="Clarification required",AI720=1,AJ720=0),1,0)</f>
        <v>0</v>
      </c>
      <c r="AO720" s="61" t="str">
        <f aca="false">IF(AK720=1,SUM(AK$5:AK720),"")</f>
        <v/>
      </c>
      <c r="AP720" s="61" t="str">
        <f aca="false">IF(AL720=1,SUM(AL$5:AL720),"")</f>
        <v/>
      </c>
      <c r="AQ720" s="61" t="n">
        <v>0</v>
      </c>
      <c r="AR720" s="61" t="n">
        <v>0</v>
      </c>
      <c r="AS720" s="61" t="n">
        <v>0</v>
      </c>
      <c r="AT720" s="61" t="n">
        <v>0</v>
      </c>
      <c r="AU720" s="61" t="str">
        <f aca="false">SUBSTITUTE(SUBSTITUTE(SUBSTITUTE(SUBSTITUTE(SUBSTITUTE(SUBSTITUTE(SUBSTITUTE(SUBSTITUTE(SUBSTITUTE(SUBSTITUTE(SUBSTITUTE(SUBSTITUTE(SUBSTITUTE(LOWER(T720&amp;""),CHAR(160),"")," ",""),".",""),"-",""),"/",""),"?",""),"_",""),",",""),"[",""),"]",""),"(",""),")",""),"*","")</f>
        <v/>
      </c>
      <c r="AV720" s="61" t="str">
        <f aca="false">SUBSTITUTE(SUBSTITUTE(SUBSTITUTE(SUBSTITUTE(SUBSTITUTE(SUBSTITUTE(SUBSTITUTE(SUBSTITUTE(SUBSTITUTE(SUBSTITUTE(SUBSTITUTE(SUBSTITUTE(SUBSTITUTE(LOWER(V720&amp;""),CHAR(160),"")," ",""),".",""),"-",""),"/",""),"?",""),"_",""),",",""),"[",""),"]",""),"(",""),")",""),"*","")</f>
        <v/>
      </c>
      <c r="AW720" s="61" t="str">
        <f aca="false">SUBSTITUTE(SUBSTITUTE(SUBSTITUTE(SUBSTITUTE(SUBSTITUTE(SUBSTITUTE(SUBSTITUTE(SUBSTITUTE(SUBSTITUTE(SUBSTITUTE(SUBSTITUTE(SUBSTITUTE(SUBSTITUTE(LOWER(Z720&amp;""),CHAR(160),"")," ",""),".",""),"-",""),"/",""),"?",""),"_",""),",",""),"[",""),"]",""),"(",""),")",""),"*","")</f>
        <v/>
      </c>
      <c r="AX720" s="61" t="str">
        <f aca="false">SUBSTITUTE(SUBSTITUTE(SUBSTITUTE(SUBSTITUTE(SUBSTITUTE(SUBSTITUTE(SUBSTITUTE(SUBSTITUTE(SUBSTITUTE(SUBSTITUTE(SUBSTITUTE(SUBSTITUTE(SUBSTITUTE(LOWER(AE720&amp;""),CHAR(160),"")," ",""),".",""),"-",""),"/",""),"?",""),"_",""),",",""),"[",""),"]",""),"(",""),")",""),"*","")</f>
        <v/>
      </c>
      <c r="AY720" s="61" t="str">
        <f aca="false">SUBSTITUTE(SUBSTITUTE(SUBSTITUTE(SUBSTITUTE(SUBSTITUTE(SUBSTITUTE(SUBSTITUTE(SUBSTITUTE(SUBSTITUTE(SUBSTITUTE(SUBSTITUTE(SUBSTITUTE(SUBSTITUTE(LOWER(W720&amp;""),CHAR(160),"")," ",""),".",""),"-",""),"/",""),"?",""),"_",""),",",""),"[",""),"]",""),"(",""),")",""),"*","")</f>
        <v/>
      </c>
      <c r="AZ720" s="61" t="str">
        <f aca="false">SUBSTITUTE(SUBSTITUTE(SUBSTITUTE(SUBSTITUTE(SUBSTITUTE(SUBSTITUTE(SUBSTITUTE(SUBSTITUTE(SUBSTITUTE(SUBSTITUTE(SUBSTITUTE(SUBSTITUTE(SUBSTITUTE(LOWER(AC720&amp;""),CHAR(160),"")," ",""),".",""),"-",""),"/",""),"?",""),"_",""),",",""),"[",""),"]",""),"(",""),")",""),"*","")</f>
        <v/>
      </c>
      <c r="BA720" s="61" t="str">
        <f aca="false">SUBSTITUTE(SUBSTITUTE(SUBSTITUTE(SUBSTITUTE(SUBSTITUTE(SUBSTITUTE(SUBSTITUTE(SUBSTITUTE(SUBSTITUTE(SUBSTITUTE(SUBSTITUTE(SUBSTITUTE(SUBSTITUTE(LOWER(AA720&amp;""),CHAR(160),"")," ",""),".",""),"-",""),"/",""),"?",""),"_",""),",",""),"[",""),"]",""),"(",""),")",""),"*","")</f>
        <v/>
      </c>
      <c r="BB720" s="61" t="str">
        <f aca="false">IF(AND(TRIM(U720)="Pass",ISNUMBER(AF720)),IF(AF720&lt;&gt;0,"INVALID – qty variance: use Fail or Pass after CA",""),"")&amp;IF(AND(TRIM(U720)="Pass after CA",ISNUMBER(AF720)),IF(AF720&lt;&gt;0,"INVALID – after the corrective action the actual qty must equal expected (update Actual)",""),"")&amp;IF(AND(TRIM(U720)="Pass",TRIM(AB720)&lt;&gt;"",TRIM(AB720)&lt;&gt;"Closed"),"INVALID – corrective action not closed: use Fail, then Pass after CA","")&amp;IF(AND(TRIM(AA720)&lt;&gt;"",TRIM(AB720)=""),"INVALID – CA status missing for the recorded corrective action","")&amp;IF(AND(TRIM(U720)="Pass after CA",OR(OR(LEN(BA720)&lt;5,ISNUMBER(MATCH(BA720,L_Placeholder,0))),TRIM(AB720)&lt;&gt;"Closed")),"INVALID – corrective action not recorded/closed","")</f>
        <v/>
      </c>
    </row>
    <row r="721" customFormat="false" ht="39.75" hidden="false" customHeight="true" outlineLevel="0" collapsed="false">
      <c r="A721" s="57" t="s">
        <v>1433</v>
      </c>
      <c r="B721" s="57" t="s">
        <v>309</v>
      </c>
      <c r="C721" s="57" t="str">
        <f aca="false">Flights!$F$26</f>
        <v>MH0002</v>
      </c>
      <c r="D721" s="58" t="n">
        <f aca="false">Flights!$D$26</f>
        <v>46325</v>
      </c>
      <c r="E721" s="57" t="str">
        <f aca="false">Flights!$G$26&amp;"-"&amp;Flights!$H$26</f>
        <v>KUL-LHR</v>
      </c>
      <c r="F721" s="57" t="str">
        <f aca="false">Flights!$K$26</f>
        <v>BC</v>
      </c>
      <c r="G721" s="57" t="s">
        <v>398</v>
      </c>
      <c r="H721" s="57" t="s">
        <v>356</v>
      </c>
      <c r="I721" s="57" t="s">
        <v>418</v>
      </c>
      <c r="J721" s="57" t="s">
        <v>581</v>
      </c>
      <c r="K721" s="67" t="s">
        <v>479</v>
      </c>
      <c r="L721" s="67" t="s">
        <v>712</v>
      </c>
      <c r="M721" s="67" t="s">
        <v>184</v>
      </c>
      <c r="N721" s="67" t="s">
        <v>361</v>
      </c>
      <c r="O721" s="67"/>
      <c r="P721" s="57" t="s">
        <v>184</v>
      </c>
      <c r="Q721" s="59" t="n">
        <f aca="false">ROUND((Flights!$AE$26)*1440,0)/1440</f>
        <v>46325.1388888889</v>
      </c>
      <c r="R721" s="59" t="n">
        <f aca="false">Q721+(IF(AND(INDEX(TZ_DSTS,MATCH(P721,TZ_STN,0))&lt;&gt;"",Q721&gt;=INDEX(TZ_DSTS,MATCH(P721,TZ_STN,0)),Q721&lt;INDEX(TZ_DSTE,MATCH(P721,TZ_STN,0))),INDEX(TZ_DST,MATCH(P721,TZ_STN,0)),INDEX(TZ_STD,MATCH(P721,TZ_STN,0))))/24</f>
        <v>46325.4722222222</v>
      </c>
      <c r="S721" s="59" t="n">
        <f aca="false">Q721-T12EarlyH/24</f>
        <v>46324.6388888889</v>
      </c>
      <c r="T721" s="60"/>
      <c r="U721" s="60"/>
      <c r="V721" s="60"/>
      <c r="W721" s="61"/>
      <c r="X721" s="60"/>
      <c r="Y721" s="60"/>
      <c r="Z721" s="60"/>
      <c r="AA721" s="60"/>
      <c r="AB721" s="60"/>
      <c r="AC721" s="60"/>
      <c r="AD721" s="66"/>
      <c r="AE721" s="60"/>
      <c r="AF721" s="61" t="str">
        <f aca="false">IF(AND(ISNUMBER(X721),ISNUMBER(Y721)),Y721-X721,"")</f>
        <v/>
      </c>
      <c r="AG721" s="62" t="str">
        <f aca="false">IF(ISNUMBER(AD721),AD721-(IF(AND(INDEX(TZ_DSTS,MATCH(P721,TZ_STN,0))&lt;&gt;"",(AD721-INDEX(TZ_STD,MATCH(P721,TZ_STN,0))/24)&gt;=INDEX(TZ_DSTS,MATCH(P721,TZ_STN,0)),(AD721-INDEX(TZ_STD,MATCH(P721,TZ_STN,0))/24)&lt;INDEX(TZ_DSTE,MATCH(P721,TZ_STN,0))),INDEX(TZ_DST,MATCH(P721,TZ_STN,0)),INDEX(TZ_STD,MATCH(P721,TZ_STN,0))))/24,"")</f>
        <v/>
      </c>
      <c r="AH721" s="65" t="str">
        <f aca="false">IFERROR(IF(N721="N/A – rule","N/A – RULE",IF(TRIM(U721)="N/A",IF(AT721=0,"INVALID – N/A not permitted for this check",IF(AND(TRIM(AB721)&lt;&gt;"",TRIM(AB721)&lt;&gt;"Closed"),"INVALID – corrective action still open",IF(AND(NOT(OR(LEN(AZ721)&lt;15,ISNUMBER(MATCH(AZ721,L_Placeholder,0)))),NOT(OR(LEN(AU721)&lt;2,ISNUMBER(MATCH(AU721,L_Placeholder,0)))),NOT(OR(LEN(AX721)&lt;2,ISNUMBER(MATCH(AX721,L_Placeholder,0)))),TRIM(AE721)&lt;&gt;TRIM(T721)),"N/A – JUSTIFIED","INVALID – N/A needs a real justification (15+ chars), PIC and a different verifier"))),IF(OR(TRIM(U721)="Pass",TRIM(U721)="Pass after CA"),IF(NOT(ISNUMBER(AD721)),"INVALID – completion time missing",IF(OR(LEN(AU721)&lt;2,ISNUMBER(MATCH(AU721,L_Placeholder,0))),"INVALID – PIC missing",IF(OR(LEN(AV721)&lt;2,ISNUMBER(MATCH(AV721,L_Placeholder,0))),"INVALID – result / assessment missing",IF(OR(OR(LEN(AW721)&lt;3,ISNUMBER(MATCH(AW721,L_Placeholder,0))),SUMPRODUCT(--ISNUMBER(SEARCH(L_EvidencePhrase,AW721)))&gt;0),"INVALID – evidence missing, placeholder or not yet on file",IF(OR(LEN(AX721)&lt;2,ISNUMBER(MATCH(AX721,L_Placeholder,0))),"INVALID – verifier missing",IF(AX721=AU721,"INVALID – verifier must be someone other than the PIC",IF(AND(TRIM(U721)="Pass",SUMPRODUCT(--ISNUMBER(SEARCH(L_ResultBad,AV721)))&gt;0),"INVALID – result describes a problem: use Fail, then Pass after CA",IF(AND(AQ721=1,OR(LEN(AY721)&lt;3,ISNUMBER(MATCH(AY721,L_Placeholder,0)))),"INVALID – batch ID missing or placeholder",IF(AND(AR721=1,OR(NOT(ISNUMBER(X721)),NOT(ISNUMBER(Y721)))),"INVALID – expected/actual qty missing",IF(AND(AR721=1,OR(X721&lt;=0,Y721&lt;0)),"INVALID – expected qty must be above 0 and actual not negative",IF(BB721&lt;&gt;"",BB721,IF(AND(AS721=1,Documents!$J$26&lt;&gt;"ON FILE"),"INVALID – GLD not on file (Documents sheet)",IF(AND(AS721=2,Documents!$O$26&lt;&gt;"ON FILE"),"INVALID – menu checklist not on file (Documents sheet)",IF(AND(AS721=3,NOT(ISNUMBER(Flights!$AX$26))),"INVALID – enter carrying flight KUL departure (Flights AX)",IF(AND(AS721=3,OR(Flights!$AZ$26&gt;Flights!$AA$26,Flights!$AX$26&lt;Flights!$AA$26-3)),"INVALID – carrying flight (Flights AX) cannot arrive before this leg's STD, or is over 3 days early",IF(AG721&gt;AsOfUTC,"INVALID – completion time is in the future",IF(AND(ISNUMBER(S721),AG721&lt;S721),IF(H721="Physical uplift","INVALID – before uplift window (cannot confirm loading)","INVALID – before valid window"),IF(AG721&gt;Flights!$AA$26,"INVALID – completed after departure (cannot establish readiness)",IF(AND(H721="Preparation",AG721&gt;IF(ISNUMBER(Flights!$BA$26),MIN(Flights!$BA$26,Flights!$AA$26),Flights!$AA$26)),"INVALID – completed after loading / departure (cannot establish readiness)",IF(AND(H721="Physical uplift",AG721&gt;Q721),"INVALID – recorded after the loading flight departed",IF(AG721&gt;Q721,"COMPLETE – LATE","COMPLETE"))))))))))))))))))))),IF(TRIM(U721)="Fail","FAIL – DISCREPANCY",IF(AND(TRIM(U721)&lt;&gt;"",TRIM(U721)&lt;&gt;"Not started",TRIM(U721)&lt;&gt;"In progress"),"INVALID – unrecognised status (use the list)",IF(AsOfUTC&gt;Q721,"OVERDUE",IF(N721="Clarification required","OPEN – CLARIFICATION","OPEN"))))))),"INVALID – error value in an input cell")</f>
        <v>OPEN</v>
      </c>
      <c r="AI721" s="61" t="n">
        <f aca="false">IF(OR(AH721="N/A – RULE",AH721="N/A – JUSTIFIED"),0,1)</f>
        <v>1</v>
      </c>
      <c r="AJ721" s="61" t="n">
        <f aca="false">IF(LEFT(AH721,8)="COMPLETE",1,0)</f>
        <v>0</v>
      </c>
      <c r="AK721" s="61" t="n">
        <f aca="false">IF(AND(AI721=1,AJ721=0,AsOfUTC&gt;Q721),1,0)</f>
        <v>0</v>
      </c>
      <c r="AL721" s="61" t="n">
        <f aca="false">IFERROR(IF(AND(AI721=1,OR(TRIM(U721)="Fail",AND(TRIM(AB721)&lt;&gt;"",TRIM(AB721)&lt;&gt;"Closed"),AND(ISNUMBER(AF721),AF721&lt;&gt;0,TRIM(U721)&lt;&gt;"Pass after CA"))),1,0),1)</f>
        <v>0</v>
      </c>
      <c r="AM721" s="61" t="n">
        <f aca="false">IF(LEFT(AH721,7)="INVALID",1,0)</f>
        <v>0</v>
      </c>
      <c r="AN721" s="61" t="n">
        <f aca="false">IF(AND(N721="Clarification required",AI721=1,AJ721=0),1,0)</f>
        <v>0</v>
      </c>
      <c r="AO721" s="61" t="str">
        <f aca="false">IF(AK721=1,SUM(AK$5:AK721),"")</f>
        <v/>
      </c>
      <c r="AP721" s="61" t="str">
        <f aca="false">IF(AL721=1,SUM(AL$5:AL721),"")</f>
        <v/>
      </c>
      <c r="AQ721" s="61" t="n">
        <v>0</v>
      </c>
      <c r="AR721" s="61" t="n">
        <v>0</v>
      </c>
      <c r="AS721" s="61" t="n">
        <v>0</v>
      </c>
      <c r="AT721" s="61" t="n">
        <v>0</v>
      </c>
      <c r="AU721" s="61" t="str">
        <f aca="false">SUBSTITUTE(SUBSTITUTE(SUBSTITUTE(SUBSTITUTE(SUBSTITUTE(SUBSTITUTE(SUBSTITUTE(SUBSTITUTE(SUBSTITUTE(SUBSTITUTE(SUBSTITUTE(SUBSTITUTE(SUBSTITUTE(LOWER(T721&amp;""),CHAR(160),"")," ",""),".",""),"-",""),"/",""),"?",""),"_",""),",",""),"[",""),"]",""),"(",""),")",""),"*","")</f>
        <v/>
      </c>
      <c r="AV721" s="61" t="str">
        <f aca="false">SUBSTITUTE(SUBSTITUTE(SUBSTITUTE(SUBSTITUTE(SUBSTITUTE(SUBSTITUTE(SUBSTITUTE(SUBSTITUTE(SUBSTITUTE(SUBSTITUTE(SUBSTITUTE(SUBSTITUTE(SUBSTITUTE(LOWER(V721&amp;""),CHAR(160),"")," ",""),".",""),"-",""),"/",""),"?",""),"_",""),",",""),"[",""),"]",""),"(",""),")",""),"*","")</f>
        <v/>
      </c>
      <c r="AW721" s="61" t="str">
        <f aca="false">SUBSTITUTE(SUBSTITUTE(SUBSTITUTE(SUBSTITUTE(SUBSTITUTE(SUBSTITUTE(SUBSTITUTE(SUBSTITUTE(SUBSTITUTE(SUBSTITUTE(SUBSTITUTE(SUBSTITUTE(SUBSTITUTE(LOWER(Z721&amp;""),CHAR(160),"")," ",""),".",""),"-",""),"/",""),"?",""),"_",""),",",""),"[",""),"]",""),"(",""),")",""),"*","")</f>
        <v/>
      </c>
      <c r="AX721" s="61" t="str">
        <f aca="false">SUBSTITUTE(SUBSTITUTE(SUBSTITUTE(SUBSTITUTE(SUBSTITUTE(SUBSTITUTE(SUBSTITUTE(SUBSTITUTE(SUBSTITUTE(SUBSTITUTE(SUBSTITUTE(SUBSTITUTE(SUBSTITUTE(LOWER(AE721&amp;""),CHAR(160),"")," ",""),".",""),"-",""),"/",""),"?",""),"_",""),",",""),"[",""),"]",""),"(",""),")",""),"*","")</f>
        <v/>
      </c>
      <c r="AY721" s="61" t="str">
        <f aca="false">SUBSTITUTE(SUBSTITUTE(SUBSTITUTE(SUBSTITUTE(SUBSTITUTE(SUBSTITUTE(SUBSTITUTE(SUBSTITUTE(SUBSTITUTE(SUBSTITUTE(SUBSTITUTE(SUBSTITUTE(SUBSTITUTE(LOWER(W721&amp;""),CHAR(160),"")," ",""),".",""),"-",""),"/",""),"?",""),"_",""),",",""),"[",""),"]",""),"(",""),")",""),"*","")</f>
        <v/>
      </c>
      <c r="AZ721" s="61" t="str">
        <f aca="false">SUBSTITUTE(SUBSTITUTE(SUBSTITUTE(SUBSTITUTE(SUBSTITUTE(SUBSTITUTE(SUBSTITUTE(SUBSTITUTE(SUBSTITUTE(SUBSTITUTE(SUBSTITUTE(SUBSTITUTE(SUBSTITUTE(LOWER(AC721&amp;""),CHAR(160),"")," ",""),".",""),"-",""),"/",""),"?",""),"_",""),",",""),"[",""),"]",""),"(",""),")",""),"*","")</f>
        <v/>
      </c>
      <c r="BA721" s="61" t="str">
        <f aca="false">SUBSTITUTE(SUBSTITUTE(SUBSTITUTE(SUBSTITUTE(SUBSTITUTE(SUBSTITUTE(SUBSTITUTE(SUBSTITUTE(SUBSTITUTE(SUBSTITUTE(SUBSTITUTE(SUBSTITUTE(SUBSTITUTE(LOWER(AA721&amp;""),CHAR(160),"")," ",""),".",""),"-",""),"/",""),"?",""),"_",""),",",""),"[",""),"]",""),"(",""),")",""),"*","")</f>
        <v/>
      </c>
      <c r="BB721" s="61" t="str">
        <f aca="false">IF(AND(TRIM(U721)="Pass",ISNUMBER(AF721)),IF(AF721&lt;&gt;0,"INVALID – qty variance: use Fail or Pass after CA",""),"")&amp;IF(AND(TRIM(U721)="Pass after CA",ISNUMBER(AF721)),IF(AF721&lt;&gt;0,"INVALID – after the corrective action the actual qty must equal expected (update Actual)",""),"")&amp;IF(AND(TRIM(U721)="Pass",TRIM(AB721)&lt;&gt;"",TRIM(AB721)&lt;&gt;"Closed"),"INVALID – corrective action not closed: use Fail, then Pass after CA","")&amp;IF(AND(TRIM(AA721)&lt;&gt;"",TRIM(AB721)=""),"INVALID – CA status missing for the recorded corrective action","")&amp;IF(AND(TRIM(U721)="Pass after CA",OR(OR(LEN(BA721)&lt;5,ISNUMBER(MATCH(BA721,L_Placeholder,0))),TRIM(AB721)&lt;&gt;"Closed")),"INVALID – corrective action not recorded/closed","")</f>
        <v/>
      </c>
    </row>
    <row r="722" customFormat="false" ht="41.25" hidden="false" customHeight="true" outlineLevel="0" collapsed="false">
      <c r="A722" s="57" t="s">
        <v>1434</v>
      </c>
      <c r="B722" s="57" t="s">
        <v>309</v>
      </c>
      <c r="C722" s="57" t="str">
        <f aca="false">Flights!$F$26</f>
        <v>MH0002</v>
      </c>
      <c r="D722" s="58" t="n">
        <f aca="false">Flights!$D$26</f>
        <v>46325</v>
      </c>
      <c r="E722" s="57" t="str">
        <f aca="false">Flights!$G$26&amp;"-"&amp;Flights!$H$26</f>
        <v>KUL-LHR</v>
      </c>
      <c r="F722" s="57" t="str">
        <f aca="false">Flights!$K$26</f>
        <v>BC</v>
      </c>
      <c r="G722" s="57" t="s">
        <v>398</v>
      </c>
      <c r="H722" s="57" t="s">
        <v>356</v>
      </c>
      <c r="I722" s="57" t="s">
        <v>477</v>
      </c>
      <c r="J722" s="57" t="s">
        <v>478</v>
      </c>
      <c r="K722" s="67" t="s">
        <v>479</v>
      </c>
      <c r="L722" s="67" t="s">
        <v>714</v>
      </c>
      <c r="M722" s="67" t="s">
        <v>429</v>
      </c>
      <c r="N722" s="67" t="s">
        <v>361</v>
      </c>
      <c r="O722" s="67" t="s">
        <v>481</v>
      </c>
      <c r="P722" s="57" t="s">
        <v>184</v>
      </c>
      <c r="Q722" s="59" t="n">
        <f aca="false">ROUND((Flights!$AE$26)*1440,0)/1440</f>
        <v>46325.1388888889</v>
      </c>
      <c r="R722" s="59" t="n">
        <f aca="false">Q722+(IF(AND(INDEX(TZ_DSTS,MATCH(P722,TZ_STN,0))&lt;&gt;"",Q722&gt;=INDEX(TZ_DSTS,MATCH(P722,TZ_STN,0)),Q722&lt;INDEX(TZ_DSTE,MATCH(P722,TZ_STN,0))),INDEX(TZ_DST,MATCH(P722,TZ_STN,0)),INDEX(TZ_STD,MATCH(P722,TZ_STN,0))))/24</f>
        <v>46325.4722222222</v>
      </c>
      <c r="S722" s="59" t="n">
        <f aca="false">Q722-T12EarlyH/24</f>
        <v>46324.6388888889</v>
      </c>
      <c r="T722" s="60"/>
      <c r="U722" s="60"/>
      <c r="V722" s="60"/>
      <c r="W722" s="61"/>
      <c r="X722" s="60"/>
      <c r="Y722" s="60"/>
      <c r="Z722" s="60"/>
      <c r="AA722" s="60"/>
      <c r="AB722" s="60"/>
      <c r="AC722" s="60"/>
      <c r="AD722" s="66"/>
      <c r="AE722" s="60"/>
      <c r="AF722" s="61" t="str">
        <f aca="false">IF(AND(ISNUMBER(X722),ISNUMBER(Y722)),Y722-X722,"")</f>
        <v/>
      </c>
      <c r="AG722" s="62" t="str">
        <f aca="false">IF(ISNUMBER(AD722),AD722-(IF(AND(INDEX(TZ_DSTS,MATCH(P722,TZ_STN,0))&lt;&gt;"",(AD722-INDEX(TZ_STD,MATCH(P722,TZ_STN,0))/24)&gt;=INDEX(TZ_DSTS,MATCH(P722,TZ_STN,0)),(AD722-INDEX(TZ_STD,MATCH(P722,TZ_STN,0))/24)&lt;INDEX(TZ_DSTE,MATCH(P722,TZ_STN,0))),INDEX(TZ_DST,MATCH(P722,TZ_STN,0)),INDEX(TZ_STD,MATCH(P722,TZ_STN,0))))/24,"")</f>
        <v/>
      </c>
      <c r="AH722" s="65" t="str">
        <f aca="false">IFERROR(IF(N722="N/A – rule","N/A – RULE",IF(TRIM(U722)="N/A",IF(AT722=0,"INVALID – N/A not permitted for this check",IF(AND(TRIM(AB722)&lt;&gt;"",TRIM(AB722)&lt;&gt;"Closed"),"INVALID – corrective action still open",IF(AND(NOT(OR(LEN(AZ722)&lt;15,ISNUMBER(MATCH(AZ722,L_Placeholder,0)))),NOT(OR(LEN(AU722)&lt;2,ISNUMBER(MATCH(AU722,L_Placeholder,0)))),NOT(OR(LEN(AX722)&lt;2,ISNUMBER(MATCH(AX722,L_Placeholder,0)))),TRIM(AE722)&lt;&gt;TRIM(T722)),"N/A – JUSTIFIED","INVALID – N/A needs a real justification (15+ chars), PIC and a different verifier"))),IF(OR(TRIM(U722)="Pass",TRIM(U722)="Pass after CA"),IF(NOT(ISNUMBER(AD722)),"INVALID – completion time missing",IF(OR(LEN(AU722)&lt;2,ISNUMBER(MATCH(AU722,L_Placeholder,0))),"INVALID – PIC missing",IF(OR(LEN(AV722)&lt;2,ISNUMBER(MATCH(AV722,L_Placeholder,0))),"INVALID – result / assessment missing",IF(OR(OR(LEN(AW722)&lt;3,ISNUMBER(MATCH(AW722,L_Placeholder,0))),SUMPRODUCT(--ISNUMBER(SEARCH(L_EvidencePhrase,AW722)))&gt;0),"INVALID – evidence missing, placeholder or not yet on file",IF(OR(LEN(AX722)&lt;2,ISNUMBER(MATCH(AX722,L_Placeholder,0))),"INVALID – verifier missing",IF(AX722=AU722,"INVALID – verifier must be someone other than the PIC",IF(AND(TRIM(U722)="Pass",SUMPRODUCT(--ISNUMBER(SEARCH(L_ResultBad,AV722)))&gt;0),"INVALID – result describes a problem: use Fail, then Pass after CA",IF(AND(AQ722=1,OR(LEN(AY722)&lt;3,ISNUMBER(MATCH(AY722,L_Placeholder,0)))),"INVALID – batch ID missing or placeholder",IF(AND(AR722=1,OR(NOT(ISNUMBER(X722)),NOT(ISNUMBER(Y722)))),"INVALID – expected/actual qty missing",IF(AND(AR722=1,OR(X722&lt;=0,Y722&lt;0)),"INVALID – expected qty must be above 0 and actual not negative",IF(BB722&lt;&gt;"",BB722,IF(AND(AS722=1,Documents!$J$26&lt;&gt;"ON FILE"),"INVALID – GLD not on file (Documents sheet)",IF(AND(AS722=2,Documents!$O$26&lt;&gt;"ON FILE"),"INVALID – menu checklist not on file (Documents sheet)",IF(AND(AS722=3,NOT(ISNUMBER(Flights!$AX$26))),"INVALID – enter carrying flight KUL departure (Flights AX)",IF(AND(AS722=3,OR(Flights!$AZ$26&gt;Flights!$AA$26,Flights!$AX$26&lt;Flights!$AA$26-3)),"INVALID – carrying flight (Flights AX) cannot arrive before this leg's STD, or is over 3 days early",IF(AG722&gt;AsOfUTC,"INVALID – completion time is in the future",IF(AND(ISNUMBER(S722),AG722&lt;S722),IF(H722="Physical uplift","INVALID – before uplift window (cannot confirm loading)","INVALID – before valid window"),IF(AG722&gt;Flights!$AA$26,"INVALID – completed after departure (cannot establish readiness)",IF(AND(H722="Preparation",AG722&gt;IF(ISNUMBER(Flights!$BA$26),MIN(Flights!$BA$26,Flights!$AA$26),Flights!$AA$26)),"INVALID – completed after loading / departure (cannot establish readiness)",IF(AND(H722="Physical uplift",AG722&gt;Q722),"INVALID – recorded after the loading flight departed",IF(AG722&gt;Q722,"COMPLETE – LATE","COMPLETE"))))))))))))))))))))),IF(TRIM(U722)="Fail","FAIL – DISCREPANCY",IF(AND(TRIM(U722)&lt;&gt;"",TRIM(U722)&lt;&gt;"Not started",TRIM(U722)&lt;&gt;"In progress"),"INVALID – unrecognised status (use the list)",IF(AsOfUTC&gt;Q722,"OVERDUE",IF(N722="Clarification required","OPEN – CLARIFICATION","OPEN"))))))),"INVALID – error value in an input cell")</f>
        <v>OPEN</v>
      </c>
      <c r="AI722" s="61" t="n">
        <f aca="false">IF(OR(AH722="N/A – RULE",AH722="N/A – JUSTIFIED"),0,1)</f>
        <v>1</v>
      </c>
      <c r="AJ722" s="61" t="n">
        <f aca="false">IF(LEFT(AH722,8)="COMPLETE",1,0)</f>
        <v>0</v>
      </c>
      <c r="AK722" s="61" t="n">
        <f aca="false">IF(AND(AI722=1,AJ722=0,AsOfUTC&gt;Q722),1,0)</f>
        <v>0</v>
      </c>
      <c r="AL722" s="61" t="n">
        <f aca="false">IFERROR(IF(AND(AI722=1,OR(TRIM(U722)="Fail",AND(TRIM(AB722)&lt;&gt;"",TRIM(AB722)&lt;&gt;"Closed"),AND(ISNUMBER(AF722),AF722&lt;&gt;0,TRIM(U722)&lt;&gt;"Pass after CA"))),1,0),1)</f>
        <v>0</v>
      </c>
      <c r="AM722" s="61" t="n">
        <f aca="false">IF(LEFT(AH722,7)="INVALID",1,0)</f>
        <v>0</v>
      </c>
      <c r="AN722" s="61" t="n">
        <f aca="false">IF(AND(N722="Clarification required",AI722=1,AJ722=0),1,0)</f>
        <v>0</v>
      </c>
      <c r="AO722" s="61" t="str">
        <f aca="false">IF(AK722=1,SUM(AK$5:AK722),"")</f>
        <v/>
      </c>
      <c r="AP722" s="61" t="str">
        <f aca="false">IF(AL722=1,SUM(AL$5:AL722),"")</f>
        <v/>
      </c>
      <c r="AQ722" s="61" t="n">
        <v>0</v>
      </c>
      <c r="AR722" s="61" t="n">
        <v>0</v>
      </c>
      <c r="AS722" s="61" t="n">
        <v>0</v>
      </c>
      <c r="AT722" s="61" t="n">
        <v>0</v>
      </c>
      <c r="AU722" s="61" t="str">
        <f aca="false">SUBSTITUTE(SUBSTITUTE(SUBSTITUTE(SUBSTITUTE(SUBSTITUTE(SUBSTITUTE(SUBSTITUTE(SUBSTITUTE(SUBSTITUTE(SUBSTITUTE(SUBSTITUTE(SUBSTITUTE(SUBSTITUTE(LOWER(T722&amp;""),CHAR(160),"")," ",""),".",""),"-",""),"/",""),"?",""),"_",""),",",""),"[",""),"]",""),"(",""),")",""),"*","")</f>
        <v/>
      </c>
      <c r="AV722" s="61" t="str">
        <f aca="false">SUBSTITUTE(SUBSTITUTE(SUBSTITUTE(SUBSTITUTE(SUBSTITUTE(SUBSTITUTE(SUBSTITUTE(SUBSTITUTE(SUBSTITUTE(SUBSTITUTE(SUBSTITUTE(SUBSTITUTE(SUBSTITUTE(LOWER(V722&amp;""),CHAR(160),"")," ",""),".",""),"-",""),"/",""),"?",""),"_",""),",",""),"[",""),"]",""),"(",""),")",""),"*","")</f>
        <v/>
      </c>
      <c r="AW722" s="61" t="str">
        <f aca="false">SUBSTITUTE(SUBSTITUTE(SUBSTITUTE(SUBSTITUTE(SUBSTITUTE(SUBSTITUTE(SUBSTITUTE(SUBSTITUTE(SUBSTITUTE(SUBSTITUTE(SUBSTITUTE(SUBSTITUTE(SUBSTITUTE(LOWER(Z722&amp;""),CHAR(160),"")," ",""),".",""),"-",""),"/",""),"?",""),"_",""),",",""),"[",""),"]",""),"(",""),")",""),"*","")</f>
        <v/>
      </c>
      <c r="AX722" s="61" t="str">
        <f aca="false">SUBSTITUTE(SUBSTITUTE(SUBSTITUTE(SUBSTITUTE(SUBSTITUTE(SUBSTITUTE(SUBSTITUTE(SUBSTITUTE(SUBSTITUTE(SUBSTITUTE(SUBSTITUTE(SUBSTITUTE(SUBSTITUTE(LOWER(AE722&amp;""),CHAR(160),"")," ",""),".",""),"-",""),"/",""),"?",""),"_",""),",",""),"[",""),"]",""),"(",""),")",""),"*","")</f>
        <v/>
      </c>
      <c r="AY722" s="61" t="str">
        <f aca="false">SUBSTITUTE(SUBSTITUTE(SUBSTITUTE(SUBSTITUTE(SUBSTITUTE(SUBSTITUTE(SUBSTITUTE(SUBSTITUTE(SUBSTITUTE(SUBSTITUTE(SUBSTITUTE(SUBSTITUTE(SUBSTITUTE(LOWER(W722&amp;""),CHAR(160),"")," ",""),".",""),"-",""),"/",""),"?",""),"_",""),",",""),"[",""),"]",""),"(",""),")",""),"*","")</f>
        <v/>
      </c>
      <c r="AZ722" s="61" t="str">
        <f aca="false">SUBSTITUTE(SUBSTITUTE(SUBSTITUTE(SUBSTITUTE(SUBSTITUTE(SUBSTITUTE(SUBSTITUTE(SUBSTITUTE(SUBSTITUTE(SUBSTITUTE(SUBSTITUTE(SUBSTITUTE(SUBSTITUTE(LOWER(AC722&amp;""),CHAR(160),"")," ",""),".",""),"-",""),"/",""),"?",""),"_",""),",",""),"[",""),"]",""),"(",""),")",""),"*","")</f>
        <v/>
      </c>
      <c r="BA722" s="61" t="str">
        <f aca="false">SUBSTITUTE(SUBSTITUTE(SUBSTITUTE(SUBSTITUTE(SUBSTITUTE(SUBSTITUTE(SUBSTITUTE(SUBSTITUTE(SUBSTITUTE(SUBSTITUTE(SUBSTITUTE(SUBSTITUTE(SUBSTITUTE(LOWER(AA722&amp;""),CHAR(160),"")," ",""),".",""),"-",""),"/",""),"?",""),"_",""),",",""),"[",""),"]",""),"(",""),")",""),"*","")</f>
        <v/>
      </c>
      <c r="BB722" s="61" t="str">
        <f aca="false">IF(AND(TRIM(U722)="Pass",ISNUMBER(AF722)),IF(AF722&lt;&gt;0,"INVALID – qty variance: use Fail or Pass after CA",""),"")&amp;IF(AND(TRIM(U722)="Pass after CA",ISNUMBER(AF722)),IF(AF722&lt;&gt;0,"INVALID – after the corrective action the actual qty must equal expected (update Actual)",""),"")&amp;IF(AND(TRIM(U722)="Pass",TRIM(AB722)&lt;&gt;"",TRIM(AB722)&lt;&gt;"Closed"),"INVALID – corrective action not closed: use Fail, then Pass after CA","")&amp;IF(AND(TRIM(AA722)&lt;&gt;"",TRIM(AB722)=""),"INVALID – CA status missing for the recorded corrective action","")&amp;IF(AND(TRIM(U722)="Pass after CA",OR(OR(LEN(BA722)&lt;5,ISNUMBER(MATCH(BA722,L_Placeholder,0))),TRIM(AB722)&lt;&gt;"Closed")),"INVALID – corrective action not recorded/closed","")</f>
        <v/>
      </c>
    </row>
    <row r="723" customFormat="false" ht="41.25" hidden="false" customHeight="true" outlineLevel="0" collapsed="false">
      <c r="A723" s="57" t="s">
        <v>1435</v>
      </c>
      <c r="B723" s="57" t="s">
        <v>309</v>
      </c>
      <c r="C723" s="57" t="str">
        <f aca="false">Flights!$F$26</f>
        <v>MH0002</v>
      </c>
      <c r="D723" s="58" t="n">
        <f aca="false">Flights!$D$26</f>
        <v>46325</v>
      </c>
      <c r="E723" s="57" t="str">
        <f aca="false">Flights!$G$26&amp;"-"&amp;Flights!$H$26</f>
        <v>KUL-LHR</v>
      </c>
      <c r="F723" s="57" t="str">
        <f aca="false">Flights!$K$26</f>
        <v>BC</v>
      </c>
      <c r="G723" s="57" t="s">
        <v>398</v>
      </c>
      <c r="H723" s="57" t="s">
        <v>356</v>
      </c>
      <c r="I723" s="57" t="s">
        <v>477</v>
      </c>
      <c r="J723" s="57" t="s">
        <v>483</v>
      </c>
      <c r="K723" s="67" t="s">
        <v>479</v>
      </c>
      <c r="L723" s="67" t="s">
        <v>716</v>
      </c>
      <c r="M723" s="67" t="s">
        <v>429</v>
      </c>
      <c r="N723" s="67" t="s">
        <v>361</v>
      </c>
      <c r="O723" s="67" t="s">
        <v>481</v>
      </c>
      <c r="P723" s="57" t="s">
        <v>184</v>
      </c>
      <c r="Q723" s="59" t="n">
        <f aca="false">ROUND((Flights!$AE$26)*1440,0)/1440</f>
        <v>46325.1388888889</v>
      </c>
      <c r="R723" s="59" t="n">
        <f aca="false">Q723+(IF(AND(INDEX(TZ_DSTS,MATCH(P723,TZ_STN,0))&lt;&gt;"",Q723&gt;=INDEX(TZ_DSTS,MATCH(P723,TZ_STN,0)),Q723&lt;INDEX(TZ_DSTE,MATCH(P723,TZ_STN,0))),INDEX(TZ_DST,MATCH(P723,TZ_STN,0)),INDEX(TZ_STD,MATCH(P723,TZ_STN,0))))/24</f>
        <v>46325.4722222222</v>
      </c>
      <c r="S723" s="59" t="n">
        <f aca="false">Q723-T12EarlyH/24</f>
        <v>46324.6388888889</v>
      </c>
      <c r="T723" s="60"/>
      <c r="U723" s="60"/>
      <c r="V723" s="60"/>
      <c r="W723" s="61"/>
      <c r="X723" s="60"/>
      <c r="Y723" s="60"/>
      <c r="Z723" s="60"/>
      <c r="AA723" s="60"/>
      <c r="AB723" s="60"/>
      <c r="AC723" s="60"/>
      <c r="AD723" s="66"/>
      <c r="AE723" s="60"/>
      <c r="AF723" s="61" t="str">
        <f aca="false">IF(AND(ISNUMBER(X723),ISNUMBER(Y723)),Y723-X723,"")</f>
        <v/>
      </c>
      <c r="AG723" s="62" t="str">
        <f aca="false">IF(ISNUMBER(AD723),AD723-(IF(AND(INDEX(TZ_DSTS,MATCH(P723,TZ_STN,0))&lt;&gt;"",(AD723-INDEX(TZ_STD,MATCH(P723,TZ_STN,0))/24)&gt;=INDEX(TZ_DSTS,MATCH(P723,TZ_STN,0)),(AD723-INDEX(TZ_STD,MATCH(P723,TZ_STN,0))/24)&lt;INDEX(TZ_DSTE,MATCH(P723,TZ_STN,0))),INDEX(TZ_DST,MATCH(P723,TZ_STN,0)),INDEX(TZ_STD,MATCH(P723,TZ_STN,0))))/24,"")</f>
        <v/>
      </c>
      <c r="AH723" s="65" t="str">
        <f aca="false">IFERROR(IF(N723="N/A – rule","N/A – RULE",IF(TRIM(U723)="N/A",IF(AT723=0,"INVALID – N/A not permitted for this check",IF(AND(TRIM(AB723)&lt;&gt;"",TRIM(AB723)&lt;&gt;"Closed"),"INVALID – corrective action still open",IF(AND(NOT(OR(LEN(AZ723)&lt;15,ISNUMBER(MATCH(AZ723,L_Placeholder,0)))),NOT(OR(LEN(AU723)&lt;2,ISNUMBER(MATCH(AU723,L_Placeholder,0)))),NOT(OR(LEN(AX723)&lt;2,ISNUMBER(MATCH(AX723,L_Placeholder,0)))),TRIM(AE723)&lt;&gt;TRIM(T723)),"N/A – JUSTIFIED","INVALID – N/A needs a real justification (15+ chars), PIC and a different verifier"))),IF(OR(TRIM(U723)="Pass",TRIM(U723)="Pass after CA"),IF(NOT(ISNUMBER(AD723)),"INVALID – completion time missing",IF(OR(LEN(AU723)&lt;2,ISNUMBER(MATCH(AU723,L_Placeholder,0))),"INVALID – PIC missing",IF(OR(LEN(AV723)&lt;2,ISNUMBER(MATCH(AV723,L_Placeholder,0))),"INVALID – result / assessment missing",IF(OR(OR(LEN(AW723)&lt;3,ISNUMBER(MATCH(AW723,L_Placeholder,0))),SUMPRODUCT(--ISNUMBER(SEARCH(L_EvidencePhrase,AW723)))&gt;0),"INVALID – evidence missing, placeholder or not yet on file",IF(OR(LEN(AX723)&lt;2,ISNUMBER(MATCH(AX723,L_Placeholder,0))),"INVALID – verifier missing",IF(AX723=AU723,"INVALID – verifier must be someone other than the PIC",IF(AND(TRIM(U723)="Pass",SUMPRODUCT(--ISNUMBER(SEARCH(L_ResultBad,AV723)))&gt;0),"INVALID – result describes a problem: use Fail, then Pass after CA",IF(AND(AQ723=1,OR(LEN(AY723)&lt;3,ISNUMBER(MATCH(AY723,L_Placeholder,0)))),"INVALID – batch ID missing or placeholder",IF(AND(AR723=1,OR(NOT(ISNUMBER(X723)),NOT(ISNUMBER(Y723)))),"INVALID – expected/actual qty missing",IF(AND(AR723=1,OR(X723&lt;=0,Y723&lt;0)),"INVALID – expected qty must be above 0 and actual not negative",IF(BB723&lt;&gt;"",BB723,IF(AND(AS723=1,Documents!$J$26&lt;&gt;"ON FILE"),"INVALID – GLD not on file (Documents sheet)",IF(AND(AS723=2,Documents!$O$26&lt;&gt;"ON FILE"),"INVALID – menu checklist not on file (Documents sheet)",IF(AND(AS723=3,NOT(ISNUMBER(Flights!$AX$26))),"INVALID – enter carrying flight KUL departure (Flights AX)",IF(AND(AS723=3,OR(Flights!$AZ$26&gt;Flights!$AA$26,Flights!$AX$26&lt;Flights!$AA$26-3)),"INVALID – carrying flight (Flights AX) cannot arrive before this leg's STD, or is over 3 days early",IF(AG723&gt;AsOfUTC,"INVALID – completion time is in the future",IF(AND(ISNUMBER(S723),AG723&lt;S723),IF(H723="Physical uplift","INVALID – before uplift window (cannot confirm loading)","INVALID – before valid window"),IF(AG723&gt;Flights!$AA$26,"INVALID – completed after departure (cannot establish readiness)",IF(AND(H723="Preparation",AG723&gt;IF(ISNUMBER(Flights!$BA$26),MIN(Flights!$BA$26,Flights!$AA$26),Flights!$AA$26)),"INVALID – completed after loading / departure (cannot establish readiness)",IF(AND(H723="Physical uplift",AG723&gt;Q723),"INVALID – recorded after the loading flight departed",IF(AG723&gt;Q723,"COMPLETE – LATE","COMPLETE"))))))))))))))))))))),IF(TRIM(U723)="Fail","FAIL – DISCREPANCY",IF(AND(TRIM(U723)&lt;&gt;"",TRIM(U723)&lt;&gt;"Not started",TRIM(U723)&lt;&gt;"In progress"),"INVALID – unrecognised status (use the list)",IF(AsOfUTC&gt;Q723,"OVERDUE",IF(N723="Clarification required","OPEN – CLARIFICATION","OPEN"))))))),"INVALID – error value in an input cell")</f>
        <v>OPEN</v>
      </c>
      <c r="AI723" s="61" t="n">
        <f aca="false">IF(OR(AH723="N/A – RULE",AH723="N/A – JUSTIFIED"),0,1)</f>
        <v>1</v>
      </c>
      <c r="AJ723" s="61" t="n">
        <f aca="false">IF(LEFT(AH723,8)="COMPLETE",1,0)</f>
        <v>0</v>
      </c>
      <c r="AK723" s="61" t="n">
        <f aca="false">IF(AND(AI723=1,AJ723=0,AsOfUTC&gt;Q723),1,0)</f>
        <v>0</v>
      </c>
      <c r="AL723" s="61" t="n">
        <f aca="false">IFERROR(IF(AND(AI723=1,OR(TRIM(U723)="Fail",AND(TRIM(AB723)&lt;&gt;"",TRIM(AB723)&lt;&gt;"Closed"),AND(ISNUMBER(AF723),AF723&lt;&gt;0,TRIM(U723)&lt;&gt;"Pass after CA"))),1,0),1)</f>
        <v>0</v>
      </c>
      <c r="AM723" s="61" t="n">
        <f aca="false">IF(LEFT(AH723,7)="INVALID",1,0)</f>
        <v>0</v>
      </c>
      <c r="AN723" s="61" t="n">
        <f aca="false">IF(AND(N723="Clarification required",AI723=1,AJ723=0),1,0)</f>
        <v>0</v>
      </c>
      <c r="AO723" s="61" t="str">
        <f aca="false">IF(AK723=1,SUM(AK$5:AK723),"")</f>
        <v/>
      </c>
      <c r="AP723" s="61" t="str">
        <f aca="false">IF(AL723=1,SUM(AL$5:AL723),"")</f>
        <v/>
      </c>
      <c r="AQ723" s="61" t="n">
        <v>0</v>
      </c>
      <c r="AR723" s="61" t="n">
        <v>0</v>
      </c>
      <c r="AS723" s="61" t="n">
        <v>0</v>
      </c>
      <c r="AT723" s="61" t="n">
        <v>0</v>
      </c>
      <c r="AU723" s="61" t="str">
        <f aca="false">SUBSTITUTE(SUBSTITUTE(SUBSTITUTE(SUBSTITUTE(SUBSTITUTE(SUBSTITUTE(SUBSTITUTE(SUBSTITUTE(SUBSTITUTE(SUBSTITUTE(SUBSTITUTE(SUBSTITUTE(SUBSTITUTE(LOWER(T723&amp;""),CHAR(160),"")," ",""),".",""),"-",""),"/",""),"?",""),"_",""),",",""),"[",""),"]",""),"(",""),")",""),"*","")</f>
        <v/>
      </c>
      <c r="AV723" s="61" t="str">
        <f aca="false">SUBSTITUTE(SUBSTITUTE(SUBSTITUTE(SUBSTITUTE(SUBSTITUTE(SUBSTITUTE(SUBSTITUTE(SUBSTITUTE(SUBSTITUTE(SUBSTITUTE(SUBSTITUTE(SUBSTITUTE(SUBSTITUTE(LOWER(V723&amp;""),CHAR(160),"")," ",""),".",""),"-",""),"/",""),"?",""),"_",""),",",""),"[",""),"]",""),"(",""),")",""),"*","")</f>
        <v/>
      </c>
      <c r="AW723" s="61" t="str">
        <f aca="false">SUBSTITUTE(SUBSTITUTE(SUBSTITUTE(SUBSTITUTE(SUBSTITUTE(SUBSTITUTE(SUBSTITUTE(SUBSTITUTE(SUBSTITUTE(SUBSTITUTE(SUBSTITUTE(SUBSTITUTE(SUBSTITUTE(LOWER(Z723&amp;""),CHAR(160),"")," ",""),".",""),"-",""),"/",""),"?",""),"_",""),",",""),"[",""),"]",""),"(",""),")",""),"*","")</f>
        <v/>
      </c>
      <c r="AX723" s="61" t="str">
        <f aca="false">SUBSTITUTE(SUBSTITUTE(SUBSTITUTE(SUBSTITUTE(SUBSTITUTE(SUBSTITUTE(SUBSTITUTE(SUBSTITUTE(SUBSTITUTE(SUBSTITUTE(SUBSTITUTE(SUBSTITUTE(SUBSTITUTE(LOWER(AE723&amp;""),CHAR(160),"")," ",""),".",""),"-",""),"/",""),"?",""),"_",""),",",""),"[",""),"]",""),"(",""),")",""),"*","")</f>
        <v/>
      </c>
      <c r="AY723" s="61" t="str">
        <f aca="false">SUBSTITUTE(SUBSTITUTE(SUBSTITUTE(SUBSTITUTE(SUBSTITUTE(SUBSTITUTE(SUBSTITUTE(SUBSTITUTE(SUBSTITUTE(SUBSTITUTE(SUBSTITUTE(SUBSTITUTE(SUBSTITUTE(LOWER(W723&amp;""),CHAR(160),"")," ",""),".",""),"-",""),"/",""),"?",""),"_",""),",",""),"[",""),"]",""),"(",""),")",""),"*","")</f>
        <v/>
      </c>
      <c r="AZ723" s="61" t="str">
        <f aca="false">SUBSTITUTE(SUBSTITUTE(SUBSTITUTE(SUBSTITUTE(SUBSTITUTE(SUBSTITUTE(SUBSTITUTE(SUBSTITUTE(SUBSTITUTE(SUBSTITUTE(SUBSTITUTE(SUBSTITUTE(SUBSTITUTE(LOWER(AC723&amp;""),CHAR(160),"")," ",""),".",""),"-",""),"/",""),"?",""),"_",""),",",""),"[",""),"]",""),"(",""),")",""),"*","")</f>
        <v/>
      </c>
      <c r="BA723" s="61" t="str">
        <f aca="false">SUBSTITUTE(SUBSTITUTE(SUBSTITUTE(SUBSTITUTE(SUBSTITUTE(SUBSTITUTE(SUBSTITUTE(SUBSTITUTE(SUBSTITUTE(SUBSTITUTE(SUBSTITUTE(SUBSTITUTE(SUBSTITUTE(LOWER(AA723&amp;""),CHAR(160),"")," ",""),".",""),"-",""),"/",""),"?",""),"_",""),",",""),"[",""),"]",""),"(",""),")",""),"*","")</f>
        <v/>
      </c>
      <c r="BB723" s="61" t="str">
        <f aca="false">IF(AND(TRIM(U723)="Pass",ISNUMBER(AF723)),IF(AF723&lt;&gt;0,"INVALID – qty variance: use Fail or Pass after CA",""),"")&amp;IF(AND(TRIM(U723)="Pass after CA",ISNUMBER(AF723)),IF(AF723&lt;&gt;0,"INVALID – after the corrective action the actual qty must equal expected (update Actual)",""),"")&amp;IF(AND(TRIM(U723)="Pass",TRIM(AB723)&lt;&gt;"",TRIM(AB723)&lt;&gt;"Closed"),"INVALID – corrective action not closed: use Fail, then Pass after CA","")&amp;IF(AND(TRIM(AA723)&lt;&gt;"",TRIM(AB723)=""),"INVALID – CA status missing for the recorded corrective action","")&amp;IF(AND(TRIM(U723)="Pass after CA",OR(OR(LEN(BA723)&lt;5,ISNUMBER(MATCH(BA723,L_Placeholder,0))),TRIM(AB723)&lt;&gt;"Closed")),"INVALID – corrective action not recorded/closed","")</f>
        <v/>
      </c>
    </row>
    <row r="724" customFormat="false" ht="41.25" hidden="false" customHeight="true" outlineLevel="0" collapsed="false">
      <c r="A724" s="57" t="s">
        <v>1436</v>
      </c>
      <c r="B724" s="57" t="s">
        <v>309</v>
      </c>
      <c r="C724" s="57" t="str">
        <f aca="false">Flights!$F$26</f>
        <v>MH0002</v>
      </c>
      <c r="D724" s="58" t="n">
        <f aca="false">Flights!$D$26</f>
        <v>46325</v>
      </c>
      <c r="E724" s="57" t="str">
        <f aca="false">Flights!$G$26&amp;"-"&amp;Flights!$H$26</f>
        <v>KUL-LHR</v>
      </c>
      <c r="F724" s="57" t="str">
        <f aca="false">Flights!$K$26</f>
        <v>BC</v>
      </c>
      <c r="G724" s="57" t="s">
        <v>398</v>
      </c>
      <c r="H724" s="57" t="s">
        <v>356</v>
      </c>
      <c r="I724" s="57" t="s">
        <v>477</v>
      </c>
      <c r="J724" s="57" t="s">
        <v>486</v>
      </c>
      <c r="K724" s="67" t="s">
        <v>479</v>
      </c>
      <c r="L724" s="67" t="s">
        <v>718</v>
      </c>
      <c r="M724" s="67" t="s">
        <v>429</v>
      </c>
      <c r="N724" s="67" t="s">
        <v>361</v>
      </c>
      <c r="O724" s="67" t="s">
        <v>481</v>
      </c>
      <c r="P724" s="57" t="s">
        <v>184</v>
      </c>
      <c r="Q724" s="59" t="n">
        <f aca="false">ROUND((Flights!$AE$26)*1440,0)/1440</f>
        <v>46325.1388888889</v>
      </c>
      <c r="R724" s="59" t="n">
        <f aca="false">Q724+(IF(AND(INDEX(TZ_DSTS,MATCH(P724,TZ_STN,0))&lt;&gt;"",Q724&gt;=INDEX(TZ_DSTS,MATCH(P724,TZ_STN,0)),Q724&lt;INDEX(TZ_DSTE,MATCH(P724,TZ_STN,0))),INDEX(TZ_DST,MATCH(P724,TZ_STN,0)),INDEX(TZ_STD,MATCH(P724,TZ_STN,0))))/24</f>
        <v>46325.4722222222</v>
      </c>
      <c r="S724" s="59" t="n">
        <f aca="false">Q724-T12EarlyH/24</f>
        <v>46324.6388888889</v>
      </c>
      <c r="T724" s="60"/>
      <c r="U724" s="60"/>
      <c r="V724" s="60"/>
      <c r="W724" s="61"/>
      <c r="X724" s="60"/>
      <c r="Y724" s="60"/>
      <c r="Z724" s="60"/>
      <c r="AA724" s="60"/>
      <c r="AB724" s="60"/>
      <c r="AC724" s="60"/>
      <c r="AD724" s="66"/>
      <c r="AE724" s="60"/>
      <c r="AF724" s="61" t="str">
        <f aca="false">IF(AND(ISNUMBER(X724),ISNUMBER(Y724)),Y724-X724,"")</f>
        <v/>
      </c>
      <c r="AG724" s="62" t="str">
        <f aca="false">IF(ISNUMBER(AD724),AD724-(IF(AND(INDEX(TZ_DSTS,MATCH(P724,TZ_STN,0))&lt;&gt;"",(AD724-INDEX(TZ_STD,MATCH(P724,TZ_STN,0))/24)&gt;=INDEX(TZ_DSTS,MATCH(P724,TZ_STN,0)),(AD724-INDEX(TZ_STD,MATCH(P724,TZ_STN,0))/24)&lt;INDEX(TZ_DSTE,MATCH(P724,TZ_STN,0))),INDEX(TZ_DST,MATCH(P724,TZ_STN,0)),INDEX(TZ_STD,MATCH(P724,TZ_STN,0))))/24,"")</f>
        <v/>
      </c>
      <c r="AH724" s="65" t="str">
        <f aca="false">IFERROR(IF(N724="N/A – rule","N/A – RULE",IF(TRIM(U724)="N/A",IF(AT724=0,"INVALID – N/A not permitted for this check",IF(AND(TRIM(AB724)&lt;&gt;"",TRIM(AB724)&lt;&gt;"Closed"),"INVALID – corrective action still open",IF(AND(NOT(OR(LEN(AZ724)&lt;15,ISNUMBER(MATCH(AZ724,L_Placeholder,0)))),NOT(OR(LEN(AU724)&lt;2,ISNUMBER(MATCH(AU724,L_Placeholder,0)))),NOT(OR(LEN(AX724)&lt;2,ISNUMBER(MATCH(AX724,L_Placeholder,0)))),TRIM(AE724)&lt;&gt;TRIM(T724)),"N/A – JUSTIFIED","INVALID – N/A needs a real justification (15+ chars), PIC and a different verifier"))),IF(OR(TRIM(U724)="Pass",TRIM(U724)="Pass after CA"),IF(NOT(ISNUMBER(AD724)),"INVALID – completion time missing",IF(OR(LEN(AU724)&lt;2,ISNUMBER(MATCH(AU724,L_Placeholder,0))),"INVALID – PIC missing",IF(OR(LEN(AV724)&lt;2,ISNUMBER(MATCH(AV724,L_Placeholder,0))),"INVALID – result / assessment missing",IF(OR(OR(LEN(AW724)&lt;3,ISNUMBER(MATCH(AW724,L_Placeholder,0))),SUMPRODUCT(--ISNUMBER(SEARCH(L_EvidencePhrase,AW724)))&gt;0),"INVALID – evidence missing, placeholder or not yet on file",IF(OR(LEN(AX724)&lt;2,ISNUMBER(MATCH(AX724,L_Placeholder,0))),"INVALID – verifier missing",IF(AX724=AU724,"INVALID – verifier must be someone other than the PIC",IF(AND(TRIM(U724)="Pass",SUMPRODUCT(--ISNUMBER(SEARCH(L_ResultBad,AV724)))&gt;0),"INVALID – result describes a problem: use Fail, then Pass after CA",IF(AND(AQ724=1,OR(LEN(AY724)&lt;3,ISNUMBER(MATCH(AY724,L_Placeholder,0)))),"INVALID – batch ID missing or placeholder",IF(AND(AR724=1,OR(NOT(ISNUMBER(X724)),NOT(ISNUMBER(Y724)))),"INVALID – expected/actual qty missing",IF(AND(AR724=1,OR(X724&lt;=0,Y724&lt;0)),"INVALID – expected qty must be above 0 and actual not negative",IF(BB724&lt;&gt;"",BB724,IF(AND(AS724=1,Documents!$J$26&lt;&gt;"ON FILE"),"INVALID – GLD not on file (Documents sheet)",IF(AND(AS724=2,Documents!$O$26&lt;&gt;"ON FILE"),"INVALID – menu checklist not on file (Documents sheet)",IF(AND(AS724=3,NOT(ISNUMBER(Flights!$AX$26))),"INVALID – enter carrying flight KUL departure (Flights AX)",IF(AND(AS724=3,OR(Flights!$AZ$26&gt;Flights!$AA$26,Flights!$AX$26&lt;Flights!$AA$26-3)),"INVALID – carrying flight (Flights AX) cannot arrive before this leg's STD, or is over 3 days early",IF(AG724&gt;AsOfUTC,"INVALID – completion time is in the future",IF(AND(ISNUMBER(S724),AG724&lt;S724),IF(H724="Physical uplift","INVALID – before uplift window (cannot confirm loading)","INVALID – before valid window"),IF(AG724&gt;Flights!$AA$26,"INVALID – completed after departure (cannot establish readiness)",IF(AND(H724="Preparation",AG724&gt;IF(ISNUMBER(Flights!$BA$26),MIN(Flights!$BA$26,Flights!$AA$26),Flights!$AA$26)),"INVALID – completed after loading / departure (cannot establish readiness)",IF(AND(H724="Physical uplift",AG724&gt;Q724),"INVALID – recorded after the loading flight departed",IF(AG724&gt;Q724,"COMPLETE – LATE","COMPLETE"))))))))))))))))))))),IF(TRIM(U724)="Fail","FAIL – DISCREPANCY",IF(AND(TRIM(U724)&lt;&gt;"",TRIM(U724)&lt;&gt;"Not started",TRIM(U724)&lt;&gt;"In progress"),"INVALID – unrecognised status (use the list)",IF(AsOfUTC&gt;Q724,"OVERDUE",IF(N724="Clarification required","OPEN – CLARIFICATION","OPEN"))))))),"INVALID – error value in an input cell")</f>
        <v>OPEN</v>
      </c>
      <c r="AI724" s="61" t="n">
        <f aca="false">IF(OR(AH724="N/A – RULE",AH724="N/A – JUSTIFIED"),0,1)</f>
        <v>1</v>
      </c>
      <c r="AJ724" s="61" t="n">
        <f aca="false">IF(LEFT(AH724,8)="COMPLETE",1,0)</f>
        <v>0</v>
      </c>
      <c r="AK724" s="61" t="n">
        <f aca="false">IF(AND(AI724=1,AJ724=0,AsOfUTC&gt;Q724),1,0)</f>
        <v>0</v>
      </c>
      <c r="AL724" s="61" t="n">
        <f aca="false">IFERROR(IF(AND(AI724=1,OR(TRIM(U724)="Fail",AND(TRIM(AB724)&lt;&gt;"",TRIM(AB724)&lt;&gt;"Closed"),AND(ISNUMBER(AF724),AF724&lt;&gt;0,TRIM(U724)&lt;&gt;"Pass after CA"))),1,0),1)</f>
        <v>0</v>
      </c>
      <c r="AM724" s="61" t="n">
        <f aca="false">IF(LEFT(AH724,7)="INVALID",1,0)</f>
        <v>0</v>
      </c>
      <c r="AN724" s="61" t="n">
        <f aca="false">IF(AND(N724="Clarification required",AI724=1,AJ724=0),1,0)</f>
        <v>0</v>
      </c>
      <c r="AO724" s="61" t="str">
        <f aca="false">IF(AK724=1,SUM(AK$5:AK724),"")</f>
        <v/>
      </c>
      <c r="AP724" s="61" t="str">
        <f aca="false">IF(AL724=1,SUM(AL$5:AL724),"")</f>
        <v/>
      </c>
      <c r="AQ724" s="61" t="n">
        <v>0</v>
      </c>
      <c r="AR724" s="61" t="n">
        <v>0</v>
      </c>
      <c r="AS724" s="61" t="n">
        <v>0</v>
      </c>
      <c r="AT724" s="61" t="n">
        <v>0</v>
      </c>
      <c r="AU724" s="61" t="str">
        <f aca="false">SUBSTITUTE(SUBSTITUTE(SUBSTITUTE(SUBSTITUTE(SUBSTITUTE(SUBSTITUTE(SUBSTITUTE(SUBSTITUTE(SUBSTITUTE(SUBSTITUTE(SUBSTITUTE(SUBSTITUTE(SUBSTITUTE(LOWER(T724&amp;""),CHAR(160),"")," ",""),".",""),"-",""),"/",""),"?",""),"_",""),",",""),"[",""),"]",""),"(",""),")",""),"*","")</f>
        <v/>
      </c>
      <c r="AV724" s="61" t="str">
        <f aca="false">SUBSTITUTE(SUBSTITUTE(SUBSTITUTE(SUBSTITUTE(SUBSTITUTE(SUBSTITUTE(SUBSTITUTE(SUBSTITUTE(SUBSTITUTE(SUBSTITUTE(SUBSTITUTE(SUBSTITUTE(SUBSTITUTE(LOWER(V724&amp;""),CHAR(160),"")," ",""),".",""),"-",""),"/",""),"?",""),"_",""),",",""),"[",""),"]",""),"(",""),")",""),"*","")</f>
        <v/>
      </c>
      <c r="AW724" s="61" t="str">
        <f aca="false">SUBSTITUTE(SUBSTITUTE(SUBSTITUTE(SUBSTITUTE(SUBSTITUTE(SUBSTITUTE(SUBSTITUTE(SUBSTITUTE(SUBSTITUTE(SUBSTITUTE(SUBSTITUTE(SUBSTITUTE(SUBSTITUTE(LOWER(Z724&amp;""),CHAR(160),"")," ",""),".",""),"-",""),"/",""),"?",""),"_",""),",",""),"[",""),"]",""),"(",""),")",""),"*","")</f>
        <v/>
      </c>
      <c r="AX724" s="61" t="str">
        <f aca="false">SUBSTITUTE(SUBSTITUTE(SUBSTITUTE(SUBSTITUTE(SUBSTITUTE(SUBSTITUTE(SUBSTITUTE(SUBSTITUTE(SUBSTITUTE(SUBSTITUTE(SUBSTITUTE(SUBSTITUTE(SUBSTITUTE(LOWER(AE724&amp;""),CHAR(160),"")," ",""),".",""),"-",""),"/",""),"?",""),"_",""),",",""),"[",""),"]",""),"(",""),")",""),"*","")</f>
        <v/>
      </c>
      <c r="AY724" s="61" t="str">
        <f aca="false">SUBSTITUTE(SUBSTITUTE(SUBSTITUTE(SUBSTITUTE(SUBSTITUTE(SUBSTITUTE(SUBSTITUTE(SUBSTITUTE(SUBSTITUTE(SUBSTITUTE(SUBSTITUTE(SUBSTITUTE(SUBSTITUTE(LOWER(W724&amp;""),CHAR(160),"")," ",""),".",""),"-",""),"/",""),"?",""),"_",""),",",""),"[",""),"]",""),"(",""),")",""),"*","")</f>
        <v/>
      </c>
      <c r="AZ724" s="61" t="str">
        <f aca="false">SUBSTITUTE(SUBSTITUTE(SUBSTITUTE(SUBSTITUTE(SUBSTITUTE(SUBSTITUTE(SUBSTITUTE(SUBSTITUTE(SUBSTITUTE(SUBSTITUTE(SUBSTITUTE(SUBSTITUTE(SUBSTITUTE(LOWER(AC724&amp;""),CHAR(160),"")," ",""),".",""),"-",""),"/",""),"?",""),"_",""),",",""),"[",""),"]",""),"(",""),")",""),"*","")</f>
        <v/>
      </c>
      <c r="BA724" s="61" t="str">
        <f aca="false">SUBSTITUTE(SUBSTITUTE(SUBSTITUTE(SUBSTITUTE(SUBSTITUTE(SUBSTITUTE(SUBSTITUTE(SUBSTITUTE(SUBSTITUTE(SUBSTITUTE(SUBSTITUTE(SUBSTITUTE(SUBSTITUTE(LOWER(AA724&amp;""),CHAR(160),"")," ",""),".",""),"-",""),"/",""),"?",""),"_",""),",",""),"[",""),"]",""),"(",""),")",""),"*","")</f>
        <v/>
      </c>
      <c r="BB724" s="61" t="str">
        <f aca="false">IF(AND(TRIM(U724)="Pass",ISNUMBER(AF724)),IF(AF724&lt;&gt;0,"INVALID – qty variance: use Fail or Pass after CA",""),"")&amp;IF(AND(TRIM(U724)="Pass after CA",ISNUMBER(AF724)),IF(AF724&lt;&gt;0,"INVALID – after the corrective action the actual qty must equal expected (update Actual)",""),"")&amp;IF(AND(TRIM(U724)="Pass",TRIM(AB724)&lt;&gt;"",TRIM(AB724)&lt;&gt;"Closed"),"INVALID – corrective action not closed: use Fail, then Pass after CA","")&amp;IF(AND(TRIM(AA724)&lt;&gt;"",TRIM(AB724)=""),"INVALID – CA status missing for the recorded corrective action","")&amp;IF(AND(TRIM(U724)="Pass after CA",OR(OR(LEN(BA724)&lt;5,ISNUMBER(MATCH(BA724,L_Placeholder,0))),TRIM(AB724)&lt;&gt;"Closed")),"INVALID – corrective action not recorded/closed","")</f>
        <v/>
      </c>
    </row>
    <row r="725" customFormat="false" ht="41.25" hidden="false" customHeight="true" outlineLevel="0" collapsed="false">
      <c r="A725" s="57" t="s">
        <v>1437</v>
      </c>
      <c r="B725" s="57" t="s">
        <v>309</v>
      </c>
      <c r="C725" s="57" t="str">
        <f aca="false">Flights!$F$26</f>
        <v>MH0002</v>
      </c>
      <c r="D725" s="58" t="n">
        <f aca="false">Flights!$D$26</f>
        <v>46325</v>
      </c>
      <c r="E725" s="57" t="str">
        <f aca="false">Flights!$G$26&amp;"-"&amp;Flights!$H$26</f>
        <v>KUL-LHR</v>
      </c>
      <c r="F725" s="57" t="str">
        <f aca="false">Flights!$K$26</f>
        <v>BC</v>
      </c>
      <c r="G725" s="57" t="s">
        <v>398</v>
      </c>
      <c r="H725" s="57" t="s">
        <v>356</v>
      </c>
      <c r="I725" s="57" t="s">
        <v>477</v>
      </c>
      <c r="J725" s="57" t="s">
        <v>489</v>
      </c>
      <c r="K725" s="67" t="s">
        <v>479</v>
      </c>
      <c r="L725" s="67" t="s">
        <v>720</v>
      </c>
      <c r="M725" s="67" t="s">
        <v>429</v>
      </c>
      <c r="N725" s="67" t="s">
        <v>361</v>
      </c>
      <c r="O725" s="67" t="s">
        <v>481</v>
      </c>
      <c r="P725" s="57" t="s">
        <v>184</v>
      </c>
      <c r="Q725" s="59" t="n">
        <f aca="false">ROUND((Flights!$AE$26)*1440,0)/1440</f>
        <v>46325.1388888889</v>
      </c>
      <c r="R725" s="59" t="n">
        <f aca="false">Q725+(IF(AND(INDEX(TZ_DSTS,MATCH(P725,TZ_STN,0))&lt;&gt;"",Q725&gt;=INDEX(TZ_DSTS,MATCH(P725,TZ_STN,0)),Q725&lt;INDEX(TZ_DSTE,MATCH(P725,TZ_STN,0))),INDEX(TZ_DST,MATCH(P725,TZ_STN,0)),INDEX(TZ_STD,MATCH(P725,TZ_STN,0))))/24</f>
        <v>46325.4722222222</v>
      </c>
      <c r="S725" s="59" t="n">
        <f aca="false">Q725-T12EarlyH/24</f>
        <v>46324.6388888889</v>
      </c>
      <c r="T725" s="60"/>
      <c r="U725" s="60"/>
      <c r="V725" s="60"/>
      <c r="W725" s="61"/>
      <c r="X725" s="60"/>
      <c r="Y725" s="60"/>
      <c r="Z725" s="60"/>
      <c r="AA725" s="60"/>
      <c r="AB725" s="60"/>
      <c r="AC725" s="60"/>
      <c r="AD725" s="66"/>
      <c r="AE725" s="60"/>
      <c r="AF725" s="61" t="str">
        <f aca="false">IF(AND(ISNUMBER(X725),ISNUMBER(Y725)),Y725-X725,"")</f>
        <v/>
      </c>
      <c r="AG725" s="62" t="str">
        <f aca="false">IF(ISNUMBER(AD725),AD725-(IF(AND(INDEX(TZ_DSTS,MATCH(P725,TZ_STN,0))&lt;&gt;"",(AD725-INDEX(TZ_STD,MATCH(P725,TZ_STN,0))/24)&gt;=INDEX(TZ_DSTS,MATCH(P725,TZ_STN,0)),(AD725-INDEX(TZ_STD,MATCH(P725,TZ_STN,0))/24)&lt;INDEX(TZ_DSTE,MATCH(P725,TZ_STN,0))),INDEX(TZ_DST,MATCH(P725,TZ_STN,0)),INDEX(TZ_STD,MATCH(P725,TZ_STN,0))))/24,"")</f>
        <v/>
      </c>
      <c r="AH725" s="65" t="str">
        <f aca="false">IFERROR(IF(N725="N/A – rule","N/A – RULE",IF(TRIM(U725)="N/A",IF(AT725=0,"INVALID – N/A not permitted for this check",IF(AND(TRIM(AB725)&lt;&gt;"",TRIM(AB725)&lt;&gt;"Closed"),"INVALID – corrective action still open",IF(AND(NOT(OR(LEN(AZ725)&lt;15,ISNUMBER(MATCH(AZ725,L_Placeholder,0)))),NOT(OR(LEN(AU725)&lt;2,ISNUMBER(MATCH(AU725,L_Placeholder,0)))),NOT(OR(LEN(AX725)&lt;2,ISNUMBER(MATCH(AX725,L_Placeholder,0)))),TRIM(AE725)&lt;&gt;TRIM(T725)),"N/A – JUSTIFIED","INVALID – N/A needs a real justification (15+ chars), PIC and a different verifier"))),IF(OR(TRIM(U725)="Pass",TRIM(U725)="Pass after CA"),IF(NOT(ISNUMBER(AD725)),"INVALID – completion time missing",IF(OR(LEN(AU725)&lt;2,ISNUMBER(MATCH(AU725,L_Placeholder,0))),"INVALID – PIC missing",IF(OR(LEN(AV725)&lt;2,ISNUMBER(MATCH(AV725,L_Placeholder,0))),"INVALID – result / assessment missing",IF(OR(OR(LEN(AW725)&lt;3,ISNUMBER(MATCH(AW725,L_Placeholder,0))),SUMPRODUCT(--ISNUMBER(SEARCH(L_EvidencePhrase,AW725)))&gt;0),"INVALID – evidence missing, placeholder or not yet on file",IF(OR(LEN(AX725)&lt;2,ISNUMBER(MATCH(AX725,L_Placeholder,0))),"INVALID – verifier missing",IF(AX725=AU725,"INVALID – verifier must be someone other than the PIC",IF(AND(TRIM(U725)="Pass",SUMPRODUCT(--ISNUMBER(SEARCH(L_ResultBad,AV725)))&gt;0),"INVALID – result describes a problem: use Fail, then Pass after CA",IF(AND(AQ725=1,OR(LEN(AY725)&lt;3,ISNUMBER(MATCH(AY725,L_Placeholder,0)))),"INVALID – batch ID missing or placeholder",IF(AND(AR725=1,OR(NOT(ISNUMBER(X725)),NOT(ISNUMBER(Y725)))),"INVALID – expected/actual qty missing",IF(AND(AR725=1,OR(X725&lt;=0,Y725&lt;0)),"INVALID – expected qty must be above 0 and actual not negative",IF(BB725&lt;&gt;"",BB725,IF(AND(AS725=1,Documents!$J$26&lt;&gt;"ON FILE"),"INVALID – GLD not on file (Documents sheet)",IF(AND(AS725=2,Documents!$O$26&lt;&gt;"ON FILE"),"INVALID – menu checklist not on file (Documents sheet)",IF(AND(AS725=3,NOT(ISNUMBER(Flights!$AX$26))),"INVALID – enter carrying flight KUL departure (Flights AX)",IF(AND(AS725=3,OR(Flights!$AZ$26&gt;Flights!$AA$26,Flights!$AX$26&lt;Flights!$AA$26-3)),"INVALID – carrying flight (Flights AX) cannot arrive before this leg's STD, or is over 3 days early",IF(AG725&gt;AsOfUTC,"INVALID – completion time is in the future",IF(AND(ISNUMBER(S725),AG725&lt;S725),IF(H725="Physical uplift","INVALID – before uplift window (cannot confirm loading)","INVALID – before valid window"),IF(AG725&gt;Flights!$AA$26,"INVALID – completed after departure (cannot establish readiness)",IF(AND(H725="Preparation",AG725&gt;IF(ISNUMBER(Flights!$BA$26),MIN(Flights!$BA$26,Flights!$AA$26),Flights!$AA$26)),"INVALID – completed after loading / departure (cannot establish readiness)",IF(AND(H725="Physical uplift",AG725&gt;Q725),"INVALID – recorded after the loading flight departed",IF(AG725&gt;Q725,"COMPLETE – LATE","COMPLETE"))))))))))))))))))))),IF(TRIM(U725)="Fail","FAIL – DISCREPANCY",IF(AND(TRIM(U725)&lt;&gt;"",TRIM(U725)&lt;&gt;"Not started",TRIM(U725)&lt;&gt;"In progress"),"INVALID – unrecognised status (use the list)",IF(AsOfUTC&gt;Q725,"OVERDUE",IF(N725="Clarification required","OPEN – CLARIFICATION","OPEN"))))))),"INVALID – error value in an input cell")</f>
        <v>OPEN</v>
      </c>
      <c r="AI725" s="61" t="n">
        <f aca="false">IF(OR(AH725="N/A – RULE",AH725="N/A – JUSTIFIED"),0,1)</f>
        <v>1</v>
      </c>
      <c r="AJ725" s="61" t="n">
        <f aca="false">IF(LEFT(AH725,8)="COMPLETE",1,0)</f>
        <v>0</v>
      </c>
      <c r="AK725" s="61" t="n">
        <f aca="false">IF(AND(AI725=1,AJ725=0,AsOfUTC&gt;Q725),1,0)</f>
        <v>0</v>
      </c>
      <c r="AL725" s="61" t="n">
        <f aca="false">IFERROR(IF(AND(AI725=1,OR(TRIM(U725)="Fail",AND(TRIM(AB725)&lt;&gt;"",TRIM(AB725)&lt;&gt;"Closed"),AND(ISNUMBER(AF725),AF725&lt;&gt;0,TRIM(U725)&lt;&gt;"Pass after CA"))),1,0),1)</f>
        <v>0</v>
      </c>
      <c r="AM725" s="61" t="n">
        <f aca="false">IF(LEFT(AH725,7)="INVALID",1,0)</f>
        <v>0</v>
      </c>
      <c r="AN725" s="61" t="n">
        <f aca="false">IF(AND(N725="Clarification required",AI725=1,AJ725=0),1,0)</f>
        <v>0</v>
      </c>
      <c r="AO725" s="61" t="str">
        <f aca="false">IF(AK725=1,SUM(AK$5:AK725),"")</f>
        <v/>
      </c>
      <c r="AP725" s="61" t="str">
        <f aca="false">IF(AL725=1,SUM(AL$5:AL725),"")</f>
        <v/>
      </c>
      <c r="AQ725" s="61" t="n">
        <v>0</v>
      </c>
      <c r="AR725" s="61" t="n">
        <v>0</v>
      </c>
      <c r="AS725" s="61" t="n">
        <v>0</v>
      </c>
      <c r="AT725" s="61" t="n">
        <v>0</v>
      </c>
      <c r="AU725" s="61" t="str">
        <f aca="false">SUBSTITUTE(SUBSTITUTE(SUBSTITUTE(SUBSTITUTE(SUBSTITUTE(SUBSTITUTE(SUBSTITUTE(SUBSTITUTE(SUBSTITUTE(SUBSTITUTE(SUBSTITUTE(SUBSTITUTE(SUBSTITUTE(LOWER(T725&amp;""),CHAR(160),"")," ",""),".",""),"-",""),"/",""),"?",""),"_",""),",",""),"[",""),"]",""),"(",""),")",""),"*","")</f>
        <v/>
      </c>
      <c r="AV725" s="61" t="str">
        <f aca="false">SUBSTITUTE(SUBSTITUTE(SUBSTITUTE(SUBSTITUTE(SUBSTITUTE(SUBSTITUTE(SUBSTITUTE(SUBSTITUTE(SUBSTITUTE(SUBSTITUTE(SUBSTITUTE(SUBSTITUTE(SUBSTITUTE(LOWER(V725&amp;""),CHAR(160),"")," ",""),".",""),"-",""),"/",""),"?",""),"_",""),",",""),"[",""),"]",""),"(",""),")",""),"*","")</f>
        <v/>
      </c>
      <c r="AW725" s="61" t="str">
        <f aca="false">SUBSTITUTE(SUBSTITUTE(SUBSTITUTE(SUBSTITUTE(SUBSTITUTE(SUBSTITUTE(SUBSTITUTE(SUBSTITUTE(SUBSTITUTE(SUBSTITUTE(SUBSTITUTE(SUBSTITUTE(SUBSTITUTE(LOWER(Z725&amp;""),CHAR(160),"")," ",""),".",""),"-",""),"/",""),"?",""),"_",""),",",""),"[",""),"]",""),"(",""),")",""),"*","")</f>
        <v/>
      </c>
      <c r="AX725" s="61" t="str">
        <f aca="false">SUBSTITUTE(SUBSTITUTE(SUBSTITUTE(SUBSTITUTE(SUBSTITUTE(SUBSTITUTE(SUBSTITUTE(SUBSTITUTE(SUBSTITUTE(SUBSTITUTE(SUBSTITUTE(SUBSTITUTE(SUBSTITUTE(LOWER(AE725&amp;""),CHAR(160),"")," ",""),".",""),"-",""),"/",""),"?",""),"_",""),",",""),"[",""),"]",""),"(",""),")",""),"*","")</f>
        <v/>
      </c>
      <c r="AY725" s="61" t="str">
        <f aca="false">SUBSTITUTE(SUBSTITUTE(SUBSTITUTE(SUBSTITUTE(SUBSTITUTE(SUBSTITUTE(SUBSTITUTE(SUBSTITUTE(SUBSTITUTE(SUBSTITUTE(SUBSTITUTE(SUBSTITUTE(SUBSTITUTE(LOWER(W725&amp;""),CHAR(160),"")," ",""),".",""),"-",""),"/",""),"?",""),"_",""),",",""),"[",""),"]",""),"(",""),")",""),"*","")</f>
        <v/>
      </c>
      <c r="AZ725" s="61" t="str">
        <f aca="false">SUBSTITUTE(SUBSTITUTE(SUBSTITUTE(SUBSTITUTE(SUBSTITUTE(SUBSTITUTE(SUBSTITUTE(SUBSTITUTE(SUBSTITUTE(SUBSTITUTE(SUBSTITUTE(SUBSTITUTE(SUBSTITUTE(LOWER(AC725&amp;""),CHAR(160),"")," ",""),".",""),"-",""),"/",""),"?",""),"_",""),",",""),"[",""),"]",""),"(",""),")",""),"*","")</f>
        <v/>
      </c>
      <c r="BA725" s="61" t="str">
        <f aca="false">SUBSTITUTE(SUBSTITUTE(SUBSTITUTE(SUBSTITUTE(SUBSTITUTE(SUBSTITUTE(SUBSTITUTE(SUBSTITUTE(SUBSTITUTE(SUBSTITUTE(SUBSTITUTE(SUBSTITUTE(SUBSTITUTE(LOWER(AA725&amp;""),CHAR(160),"")," ",""),".",""),"-",""),"/",""),"?",""),"_",""),",",""),"[",""),"]",""),"(",""),")",""),"*","")</f>
        <v/>
      </c>
      <c r="BB725" s="61" t="str">
        <f aca="false">IF(AND(TRIM(U725)="Pass",ISNUMBER(AF725)),IF(AF725&lt;&gt;0,"INVALID – qty variance: use Fail or Pass after CA",""),"")&amp;IF(AND(TRIM(U725)="Pass after CA",ISNUMBER(AF725)),IF(AF725&lt;&gt;0,"INVALID – after the corrective action the actual qty must equal expected (update Actual)",""),"")&amp;IF(AND(TRIM(U725)="Pass",TRIM(AB725)&lt;&gt;"",TRIM(AB725)&lt;&gt;"Closed"),"INVALID – corrective action not closed: use Fail, then Pass after CA","")&amp;IF(AND(TRIM(AA725)&lt;&gt;"",TRIM(AB725)=""),"INVALID – CA status missing for the recorded corrective action","")&amp;IF(AND(TRIM(U725)="Pass after CA",OR(OR(LEN(BA725)&lt;5,ISNUMBER(MATCH(BA725,L_Placeholder,0))),TRIM(AB725)&lt;&gt;"Closed")),"INVALID – corrective action not recorded/closed","")</f>
        <v/>
      </c>
    </row>
    <row r="726" customFormat="false" ht="41.25" hidden="false" customHeight="true" outlineLevel="0" collapsed="false">
      <c r="A726" s="57" t="s">
        <v>1438</v>
      </c>
      <c r="B726" s="57" t="s">
        <v>309</v>
      </c>
      <c r="C726" s="57" t="str">
        <f aca="false">Flights!$F$26</f>
        <v>MH0002</v>
      </c>
      <c r="D726" s="58" t="n">
        <f aca="false">Flights!$D$26</f>
        <v>46325</v>
      </c>
      <c r="E726" s="57" t="str">
        <f aca="false">Flights!$G$26&amp;"-"&amp;Flights!$H$26</f>
        <v>KUL-LHR</v>
      </c>
      <c r="F726" s="57" t="str">
        <f aca="false">Flights!$K$26</f>
        <v>BC</v>
      </c>
      <c r="G726" s="57" t="s">
        <v>398</v>
      </c>
      <c r="H726" s="57" t="s">
        <v>356</v>
      </c>
      <c r="I726" s="57" t="s">
        <v>477</v>
      </c>
      <c r="J726" s="57" t="s">
        <v>493</v>
      </c>
      <c r="K726" s="67" t="s">
        <v>479</v>
      </c>
      <c r="L726" s="67" t="s">
        <v>722</v>
      </c>
      <c r="M726" s="67" t="s">
        <v>429</v>
      </c>
      <c r="N726" s="67" t="s">
        <v>361</v>
      </c>
      <c r="O726" s="67" t="s">
        <v>481</v>
      </c>
      <c r="P726" s="57" t="s">
        <v>184</v>
      </c>
      <c r="Q726" s="59" t="n">
        <f aca="false">ROUND((Flights!$AE$26)*1440,0)/1440</f>
        <v>46325.1388888889</v>
      </c>
      <c r="R726" s="59" t="n">
        <f aca="false">Q726+(IF(AND(INDEX(TZ_DSTS,MATCH(P726,TZ_STN,0))&lt;&gt;"",Q726&gt;=INDEX(TZ_DSTS,MATCH(P726,TZ_STN,0)),Q726&lt;INDEX(TZ_DSTE,MATCH(P726,TZ_STN,0))),INDEX(TZ_DST,MATCH(P726,TZ_STN,0)),INDEX(TZ_STD,MATCH(P726,TZ_STN,0))))/24</f>
        <v>46325.4722222222</v>
      </c>
      <c r="S726" s="59" t="n">
        <f aca="false">Q726-T12EarlyH/24</f>
        <v>46324.6388888889</v>
      </c>
      <c r="T726" s="60"/>
      <c r="U726" s="60"/>
      <c r="V726" s="60"/>
      <c r="W726" s="61"/>
      <c r="X726" s="60"/>
      <c r="Y726" s="60"/>
      <c r="Z726" s="60"/>
      <c r="AA726" s="60"/>
      <c r="AB726" s="60"/>
      <c r="AC726" s="60"/>
      <c r="AD726" s="66"/>
      <c r="AE726" s="60"/>
      <c r="AF726" s="61" t="str">
        <f aca="false">IF(AND(ISNUMBER(X726),ISNUMBER(Y726)),Y726-X726,"")</f>
        <v/>
      </c>
      <c r="AG726" s="62" t="str">
        <f aca="false">IF(ISNUMBER(AD726),AD726-(IF(AND(INDEX(TZ_DSTS,MATCH(P726,TZ_STN,0))&lt;&gt;"",(AD726-INDEX(TZ_STD,MATCH(P726,TZ_STN,0))/24)&gt;=INDEX(TZ_DSTS,MATCH(P726,TZ_STN,0)),(AD726-INDEX(TZ_STD,MATCH(P726,TZ_STN,0))/24)&lt;INDEX(TZ_DSTE,MATCH(P726,TZ_STN,0))),INDEX(TZ_DST,MATCH(P726,TZ_STN,0)),INDEX(TZ_STD,MATCH(P726,TZ_STN,0))))/24,"")</f>
        <v/>
      </c>
      <c r="AH726" s="65" t="str">
        <f aca="false">IFERROR(IF(N726="N/A – rule","N/A – RULE",IF(TRIM(U726)="N/A",IF(AT726=0,"INVALID – N/A not permitted for this check",IF(AND(TRIM(AB726)&lt;&gt;"",TRIM(AB726)&lt;&gt;"Closed"),"INVALID – corrective action still open",IF(AND(NOT(OR(LEN(AZ726)&lt;15,ISNUMBER(MATCH(AZ726,L_Placeholder,0)))),NOT(OR(LEN(AU726)&lt;2,ISNUMBER(MATCH(AU726,L_Placeholder,0)))),NOT(OR(LEN(AX726)&lt;2,ISNUMBER(MATCH(AX726,L_Placeholder,0)))),TRIM(AE726)&lt;&gt;TRIM(T726)),"N/A – JUSTIFIED","INVALID – N/A needs a real justification (15+ chars), PIC and a different verifier"))),IF(OR(TRIM(U726)="Pass",TRIM(U726)="Pass after CA"),IF(NOT(ISNUMBER(AD726)),"INVALID – completion time missing",IF(OR(LEN(AU726)&lt;2,ISNUMBER(MATCH(AU726,L_Placeholder,0))),"INVALID – PIC missing",IF(OR(LEN(AV726)&lt;2,ISNUMBER(MATCH(AV726,L_Placeholder,0))),"INVALID – result / assessment missing",IF(OR(OR(LEN(AW726)&lt;3,ISNUMBER(MATCH(AW726,L_Placeholder,0))),SUMPRODUCT(--ISNUMBER(SEARCH(L_EvidencePhrase,AW726)))&gt;0),"INVALID – evidence missing, placeholder or not yet on file",IF(OR(LEN(AX726)&lt;2,ISNUMBER(MATCH(AX726,L_Placeholder,0))),"INVALID – verifier missing",IF(AX726=AU726,"INVALID – verifier must be someone other than the PIC",IF(AND(TRIM(U726)="Pass",SUMPRODUCT(--ISNUMBER(SEARCH(L_ResultBad,AV726)))&gt;0),"INVALID – result describes a problem: use Fail, then Pass after CA",IF(AND(AQ726=1,OR(LEN(AY726)&lt;3,ISNUMBER(MATCH(AY726,L_Placeholder,0)))),"INVALID – batch ID missing or placeholder",IF(AND(AR726=1,OR(NOT(ISNUMBER(X726)),NOT(ISNUMBER(Y726)))),"INVALID – expected/actual qty missing",IF(AND(AR726=1,OR(X726&lt;=0,Y726&lt;0)),"INVALID – expected qty must be above 0 and actual not negative",IF(BB726&lt;&gt;"",BB726,IF(AND(AS726=1,Documents!$J$26&lt;&gt;"ON FILE"),"INVALID – GLD not on file (Documents sheet)",IF(AND(AS726=2,Documents!$O$26&lt;&gt;"ON FILE"),"INVALID – menu checklist not on file (Documents sheet)",IF(AND(AS726=3,NOT(ISNUMBER(Flights!$AX$26))),"INVALID – enter carrying flight KUL departure (Flights AX)",IF(AND(AS726=3,OR(Flights!$AZ$26&gt;Flights!$AA$26,Flights!$AX$26&lt;Flights!$AA$26-3)),"INVALID – carrying flight (Flights AX) cannot arrive before this leg's STD, or is over 3 days early",IF(AG726&gt;AsOfUTC,"INVALID – completion time is in the future",IF(AND(ISNUMBER(S726),AG726&lt;S726),IF(H726="Physical uplift","INVALID – before uplift window (cannot confirm loading)","INVALID – before valid window"),IF(AG726&gt;Flights!$AA$26,"INVALID – completed after departure (cannot establish readiness)",IF(AND(H726="Preparation",AG726&gt;IF(ISNUMBER(Flights!$BA$26),MIN(Flights!$BA$26,Flights!$AA$26),Flights!$AA$26)),"INVALID – completed after loading / departure (cannot establish readiness)",IF(AND(H726="Physical uplift",AG726&gt;Q726),"INVALID – recorded after the loading flight departed",IF(AG726&gt;Q726,"COMPLETE – LATE","COMPLETE"))))))))))))))))))))),IF(TRIM(U726)="Fail","FAIL – DISCREPANCY",IF(AND(TRIM(U726)&lt;&gt;"",TRIM(U726)&lt;&gt;"Not started",TRIM(U726)&lt;&gt;"In progress"),"INVALID – unrecognised status (use the list)",IF(AsOfUTC&gt;Q726,"OVERDUE",IF(N726="Clarification required","OPEN – CLARIFICATION","OPEN"))))))),"INVALID – error value in an input cell")</f>
        <v>OPEN</v>
      </c>
      <c r="AI726" s="61" t="n">
        <f aca="false">IF(OR(AH726="N/A – RULE",AH726="N/A – JUSTIFIED"),0,1)</f>
        <v>1</v>
      </c>
      <c r="AJ726" s="61" t="n">
        <f aca="false">IF(LEFT(AH726,8)="COMPLETE",1,0)</f>
        <v>0</v>
      </c>
      <c r="AK726" s="61" t="n">
        <f aca="false">IF(AND(AI726=1,AJ726=0,AsOfUTC&gt;Q726),1,0)</f>
        <v>0</v>
      </c>
      <c r="AL726" s="61" t="n">
        <f aca="false">IFERROR(IF(AND(AI726=1,OR(TRIM(U726)="Fail",AND(TRIM(AB726)&lt;&gt;"",TRIM(AB726)&lt;&gt;"Closed"),AND(ISNUMBER(AF726),AF726&lt;&gt;0,TRIM(U726)&lt;&gt;"Pass after CA"))),1,0),1)</f>
        <v>0</v>
      </c>
      <c r="AM726" s="61" t="n">
        <f aca="false">IF(LEFT(AH726,7)="INVALID",1,0)</f>
        <v>0</v>
      </c>
      <c r="AN726" s="61" t="n">
        <f aca="false">IF(AND(N726="Clarification required",AI726=1,AJ726=0),1,0)</f>
        <v>0</v>
      </c>
      <c r="AO726" s="61" t="str">
        <f aca="false">IF(AK726=1,SUM(AK$5:AK726),"")</f>
        <v/>
      </c>
      <c r="AP726" s="61" t="str">
        <f aca="false">IF(AL726=1,SUM(AL$5:AL726),"")</f>
        <v/>
      </c>
      <c r="AQ726" s="61" t="n">
        <v>0</v>
      </c>
      <c r="AR726" s="61" t="n">
        <v>0</v>
      </c>
      <c r="AS726" s="61" t="n">
        <v>0</v>
      </c>
      <c r="AT726" s="61" t="n">
        <v>0</v>
      </c>
      <c r="AU726" s="61" t="str">
        <f aca="false">SUBSTITUTE(SUBSTITUTE(SUBSTITUTE(SUBSTITUTE(SUBSTITUTE(SUBSTITUTE(SUBSTITUTE(SUBSTITUTE(SUBSTITUTE(SUBSTITUTE(SUBSTITUTE(SUBSTITUTE(SUBSTITUTE(LOWER(T726&amp;""),CHAR(160),"")," ",""),".",""),"-",""),"/",""),"?",""),"_",""),",",""),"[",""),"]",""),"(",""),")",""),"*","")</f>
        <v/>
      </c>
      <c r="AV726" s="61" t="str">
        <f aca="false">SUBSTITUTE(SUBSTITUTE(SUBSTITUTE(SUBSTITUTE(SUBSTITUTE(SUBSTITUTE(SUBSTITUTE(SUBSTITUTE(SUBSTITUTE(SUBSTITUTE(SUBSTITUTE(SUBSTITUTE(SUBSTITUTE(LOWER(V726&amp;""),CHAR(160),"")," ",""),".",""),"-",""),"/",""),"?",""),"_",""),",",""),"[",""),"]",""),"(",""),")",""),"*","")</f>
        <v/>
      </c>
      <c r="AW726" s="61" t="str">
        <f aca="false">SUBSTITUTE(SUBSTITUTE(SUBSTITUTE(SUBSTITUTE(SUBSTITUTE(SUBSTITUTE(SUBSTITUTE(SUBSTITUTE(SUBSTITUTE(SUBSTITUTE(SUBSTITUTE(SUBSTITUTE(SUBSTITUTE(LOWER(Z726&amp;""),CHAR(160),"")," ",""),".",""),"-",""),"/",""),"?",""),"_",""),",",""),"[",""),"]",""),"(",""),")",""),"*","")</f>
        <v/>
      </c>
      <c r="AX726" s="61" t="str">
        <f aca="false">SUBSTITUTE(SUBSTITUTE(SUBSTITUTE(SUBSTITUTE(SUBSTITUTE(SUBSTITUTE(SUBSTITUTE(SUBSTITUTE(SUBSTITUTE(SUBSTITUTE(SUBSTITUTE(SUBSTITUTE(SUBSTITUTE(LOWER(AE726&amp;""),CHAR(160),"")," ",""),".",""),"-",""),"/",""),"?",""),"_",""),",",""),"[",""),"]",""),"(",""),")",""),"*","")</f>
        <v/>
      </c>
      <c r="AY726" s="61" t="str">
        <f aca="false">SUBSTITUTE(SUBSTITUTE(SUBSTITUTE(SUBSTITUTE(SUBSTITUTE(SUBSTITUTE(SUBSTITUTE(SUBSTITUTE(SUBSTITUTE(SUBSTITUTE(SUBSTITUTE(SUBSTITUTE(SUBSTITUTE(LOWER(W726&amp;""),CHAR(160),"")," ",""),".",""),"-",""),"/",""),"?",""),"_",""),",",""),"[",""),"]",""),"(",""),")",""),"*","")</f>
        <v/>
      </c>
      <c r="AZ726" s="61" t="str">
        <f aca="false">SUBSTITUTE(SUBSTITUTE(SUBSTITUTE(SUBSTITUTE(SUBSTITUTE(SUBSTITUTE(SUBSTITUTE(SUBSTITUTE(SUBSTITUTE(SUBSTITUTE(SUBSTITUTE(SUBSTITUTE(SUBSTITUTE(LOWER(AC726&amp;""),CHAR(160),"")," ",""),".",""),"-",""),"/",""),"?",""),"_",""),",",""),"[",""),"]",""),"(",""),")",""),"*","")</f>
        <v/>
      </c>
      <c r="BA726" s="61" t="str">
        <f aca="false">SUBSTITUTE(SUBSTITUTE(SUBSTITUTE(SUBSTITUTE(SUBSTITUTE(SUBSTITUTE(SUBSTITUTE(SUBSTITUTE(SUBSTITUTE(SUBSTITUTE(SUBSTITUTE(SUBSTITUTE(SUBSTITUTE(LOWER(AA726&amp;""),CHAR(160),"")," ",""),".",""),"-",""),"/",""),"?",""),"_",""),",",""),"[",""),"]",""),"(",""),")",""),"*","")</f>
        <v/>
      </c>
      <c r="BB726" s="61" t="str">
        <f aca="false">IF(AND(TRIM(U726)="Pass",ISNUMBER(AF726)),IF(AF726&lt;&gt;0,"INVALID – qty variance: use Fail or Pass after CA",""),"")&amp;IF(AND(TRIM(U726)="Pass after CA",ISNUMBER(AF726)),IF(AF726&lt;&gt;0,"INVALID – after the corrective action the actual qty must equal expected (update Actual)",""),"")&amp;IF(AND(TRIM(U726)="Pass",TRIM(AB726)&lt;&gt;"",TRIM(AB726)&lt;&gt;"Closed"),"INVALID – corrective action not closed: use Fail, then Pass after CA","")&amp;IF(AND(TRIM(AA726)&lt;&gt;"",TRIM(AB726)=""),"INVALID – CA status missing for the recorded corrective action","")&amp;IF(AND(TRIM(U726)="Pass after CA",OR(OR(LEN(BA726)&lt;5,ISNUMBER(MATCH(BA726,L_Placeholder,0))),TRIM(AB726)&lt;&gt;"Closed")),"INVALID – corrective action not recorded/closed","")</f>
        <v/>
      </c>
    </row>
    <row r="727" customFormat="false" ht="54" hidden="false" customHeight="true" outlineLevel="0" collapsed="false">
      <c r="A727" s="57" t="s">
        <v>1439</v>
      </c>
      <c r="B727" s="57" t="s">
        <v>309</v>
      </c>
      <c r="C727" s="57" t="str">
        <f aca="false">Flights!$F$26</f>
        <v>MH0002</v>
      </c>
      <c r="D727" s="58" t="n">
        <f aca="false">Flights!$D$26</f>
        <v>46325</v>
      </c>
      <c r="E727" s="57" t="str">
        <f aca="false">Flights!$G$26&amp;"-"&amp;Flights!$H$26</f>
        <v>KUL-LHR</v>
      </c>
      <c r="F727" s="57" t="str">
        <f aca="false">Flights!$K$26</f>
        <v>BC</v>
      </c>
      <c r="G727" s="57" t="s">
        <v>398</v>
      </c>
      <c r="H727" s="57" t="s">
        <v>356</v>
      </c>
      <c r="I727" s="57" t="s">
        <v>477</v>
      </c>
      <c r="J727" s="57" t="s">
        <v>496</v>
      </c>
      <c r="K727" s="67" t="s">
        <v>594</v>
      </c>
      <c r="L727" s="67" t="s">
        <v>724</v>
      </c>
      <c r="M727" s="67" t="s">
        <v>429</v>
      </c>
      <c r="N727" s="67" t="s">
        <v>361</v>
      </c>
      <c r="O727" s="67" t="s">
        <v>499</v>
      </c>
      <c r="P727" s="57" t="s">
        <v>184</v>
      </c>
      <c r="Q727" s="59" t="n">
        <f aca="false">ROUND((Flights!$AE$26)*1440,0)/1440</f>
        <v>46325.1388888889</v>
      </c>
      <c r="R727" s="59" t="n">
        <f aca="false">Q727+(IF(AND(INDEX(TZ_DSTS,MATCH(P727,TZ_STN,0))&lt;&gt;"",Q727&gt;=INDEX(TZ_DSTS,MATCH(P727,TZ_STN,0)),Q727&lt;INDEX(TZ_DSTE,MATCH(P727,TZ_STN,0))),INDEX(TZ_DST,MATCH(P727,TZ_STN,0)),INDEX(TZ_STD,MATCH(P727,TZ_STN,0))))/24</f>
        <v>46325.4722222222</v>
      </c>
      <c r="S727" s="59" t="n">
        <f aca="false">Q727-T12EarlyH/24</f>
        <v>46324.6388888889</v>
      </c>
      <c r="T727" s="60"/>
      <c r="U727" s="60"/>
      <c r="V727" s="60"/>
      <c r="W727" s="61"/>
      <c r="X727" s="60"/>
      <c r="Y727" s="60"/>
      <c r="Z727" s="60"/>
      <c r="AA727" s="60"/>
      <c r="AB727" s="60"/>
      <c r="AC727" s="60"/>
      <c r="AD727" s="66"/>
      <c r="AE727" s="60"/>
      <c r="AF727" s="61" t="str">
        <f aca="false">IF(AND(ISNUMBER(X727),ISNUMBER(Y727)),Y727-X727,"")</f>
        <v/>
      </c>
      <c r="AG727" s="62" t="str">
        <f aca="false">IF(ISNUMBER(AD727),AD727-(IF(AND(INDEX(TZ_DSTS,MATCH(P727,TZ_STN,0))&lt;&gt;"",(AD727-INDEX(TZ_STD,MATCH(P727,TZ_STN,0))/24)&gt;=INDEX(TZ_DSTS,MATCH(P727,TZ_STN,0)),(AD727-INDEX(TZ_STD,MATCH(P727,TZ_STN,0))/24)&lt;INDEX(TZ_DSTE,MATCH(P727,TZ_STN,0))),INDEX(TZ_DST,MATCH(P727,TZ_STN,0)),INDEX(TZ_STD,MATCH(P727,TZ_STN,0))))/24,"")</f>
        <v/>
      </c>
      <c r="AH727" s="65" t="str">
        <f aca="false">IFERROR(IF(N727="N/A – rule","N/A – RULE",IF(TRIM(U727)="N/A",IF(AT727=0,"INVALID – N/A not permitted for this check",IF(AND(TRIM(AB727)&lt;&gt;"",TRIM(AB727)&lt;&gt;"Closed"),"INVALID – corrective action still open",IF(AND(NOT(OR(LEN(AZ727)&lt;15,ISNUMBER(MATCH(AZ727,L_Placeholder,0)))),NOT(OR(LEN(AU727)&lt;2,ISNUMBER(MATCH(AU727,L_Placeholder,0)))),NOT(OR(LEN(AX727)&lt;2,ISNUMBER(MATCH(AX727,L_Placeholder,0)))),TRIM(AE727)&lt;&gt;TRIM(T727)),"N/A – JUSTIFIED","INVALID – N/A needs a real justification (15+ chars), PIC and a different verifier"))),IF(OR(TRIM(U727)="Pass",TRIM(U727)="Pass after CA"),IF(NOT(ISNUMBER(AD727)),"INVALID – completion time missing",IF(OR(LEN(AU727)&lt;2,ISNUMBER(MATCH(AU727,L_Placeholder,0))),"INVALID – PIC missing",IF(OR(LEN(AV727)&lt;2,ISNUMBER(MATCH(AV727,L_Placeholder,0))),"INVALID – result / assessment missing",IF(OR(OR(LEN(AW727)&lt;3,ISNUMBER(MATCH(AW727,L_Placeholder,0))),SUMPRODUCT(--ISNUMBER(SEARCH(L_EvidencePhrase,AW727)))&gt;0),"INVALID – evidence missing, placeholder or not yet on file",IF(OR(LEN(AX727)&lt;2,ISNUMBER(MATCH(AX727,L_Placeholder,0))),"INVALID – verifier missing",IF(AX727=AU727,"INVALID – verifier must be someone other than the PIC",IF(AND(TRIM(U727)="Pass",SUMPRODUCT(--ISNUMBER(SEARCH(L_ResultBad,AV727)))&gt;0),"INVALID – result describes a problem: use Fail, then Pass after CA",IF(AND(AQ727=1,OR(LEN(AY727)&lt;3,ISNUMBER(MATCH(AY727,L_Placeholder,0)))),"INVALID – batch ID missing or placeholder",IF(AND(AR727=1,OR(NOT(ISNUMBER(X727)),NOT(ISNUMBER(Y727)))),"INVALID – expected/actual qty missing",IF(AND(AR727=1,OR(X727&lt;=0,Y727&lt;0)),"INVALID – expected qty must be above 0 and actual not negative",IF(BB727&lt;&gt;"",BB727,IF(AND(AS727=1,Documents!$J$26&lt;&gt;"ON FILE"),"INVALID – GLD not on file (Documents sheet)",IF(AND(AS727=2,Documents!$O$26&lt;&gt;"ON FILE"),"INVALID – menu checklist not on file (Documents sheet)",IF(AND(AS727=3,NOT(ISNUMBER(Flights!$AX$26))),"INVALID – enter carrying flight KUL departure (Flights AX)",IF(AND(AS727=3,OR(Flights!$AZ$26&gt;Flights!$AA$26,Flights!$AX$26&lt;Flights!$AA$26-3)),"INVALID – carrying flight (Flights AX) cannot arrive before this leg's STD, or is over 3 days early",IF(AG727&gt;AsOfUTC,"INVALID – completion time is in the future",IF(AND(ISNUMBER(S727),AG727&lt;S727),IF(H727="Physical uplift","INVALID – before uplift window (cannot confirm loading)","INVALID – before valid window"),IF(AG727&gt;Flights!$AA$26,"INVALID – completed after departure (cannot establish readiness)",IF(AND(H727="Preparation",AG727&gt;IF(ISNUMBER(Flights!$BA$26),MIN(Flights!$BA$26,Flights!$AA$26),Flights!$AA$26)),"INVALID – completed after loading / departure (cannot establish readiness)",IF(AND(H727="Physical uplift",AG727&gt;Q727),"INVALID – recorded after the loading flight departed",IF(AG727&gt;Q727,"COMPLETE – LATE","COMPLETE"))))))))))))))))))))),IF(TRIM(U727)="Fail","FAIL – DISCREPANCY",IF(AND(TRIM(U727)&lt;&gt;"",TRIM(U727)&lt;&gt;"Not started",TRIM(U727)&lt;&gt;"In progress"),"INVALID – unrecognised status (use the list)",IF(AsOfUTC&gt;Q727,"OVERDUE",IF(N727="Clarification required","OPEN – CLARIFICATION","OPEN"))))))),"INVALID – error value in an input cell")</f>
        <v>OPEN</v>
      </c>
      <c r="AI727" s="61" t="n">
        <f aca="false">IF(OR(AH727="N/A – RULE",AH727="N/A – JUSTIFIED"),0,1)</f>
        <v>1</v>
      </c>
      <c r="AJ727" s="61" t="n">
        <f aca="false">IF(LEFT(AH727,8)="COMPLETE",1,0)</f>
        <v>0</v>
      </c>
      <c r="AK727" s="61" t="n">
        <f aca="false">IF(AND(AI727=1,AJ727=0,AsOfUTC&gt;Q727),1,0)</f>
        <v>0</v>
      </c>
      <c r="AL727" s="61" t="n">
        <f aca="false">IFERROR(IF(AND(AI727=1,OR(TRIM(U727)="Fail",AND(TRIM(AB727)&lt;&gt;"",TRIM(AB727)&lt;&gt;"Closed"),AND(ISNUMBER(AF727),AF727&lt;&gt;0,TRIM(U727)&lt;&gt;"Pass after CA"))),1,0),1)</f>
        <v>0</v>
      </c>
      <c r="AM727" s="61" t="n">
        <f aca="false">IF(LEFT(AH727,7)="INVALID",1,0)</f>
        <v>0</v>
      </c>
      <c r="AN727" s="61" t="n">
        <f aca="false">IF(AND(N727="Clarification required",AI727=1,AJ727=0),1,0)</f>
        <v>0</v>
      </c>
      <c r="AO727" s="61" t="str">
        <f aca="false">IF(AK727=1,SUM(AK$5:AK727),"")</f>
        <v/>
      </c>
      <c r="AP727" s="61" t="str">
        <f aca="false">IF(AL727=1,SUM(AL$5:AL727),"")</f>
        <v/>
      </c>
      <c r="AQ727" s="61" t="n">
        <v>0</v>
      </c>
      <c r="AR727" s="61" t="n">
        <v>0</v>
      </c>
      <c r="AS727" s="61" t="n">
        <v>0</v>
      </c>
      <c r="AT727" s="61" t="n">
        <v>0</v>
      </c>
      <c r="AU727" s="61" t="str">
        <f aca="false">SUBSTITUTE(SUBSTITUTE(SUBSTITUTE(SUBSTITUTE(SUBSTITUTE(SUBSTITUTE(SUBSTITUTE(SUBSTITUTE(SUBSTITUTE(SUBSTITUTE(SUBSTITUTE(SUBSTITUTE(SUBSTITUTE(LOWER(T727&amp;""),CHAR(160),"")," ",""),".",""),"-",""),"/",""),"?",""),"_",""),",",""),"[",""),"]",""),"(",""),")",""),"*","")</f>
        <v/>
      </c>
      <c r="AV727" s="61" t="str">
        <f aca="false">SUBSTITUTE(SUBSTITUTE(SUBSTITUTE(SUBSTITUTE(SUBSTITUTE(SUBSTITUTE(SUBSTITUTE(SUBSTITUTE(SUBSTITUTE(SUBSTITUTE(SUBSTITUTE(SUBSTITUTE(SUBSTITUTE(LOWER(V727&amp;""),CHAR(160),"")," ",""),".",""),"-",""),"/",""),"?",""),"_",""),",",""),"[",""),"]",""),"(",""),")",""),"*","")</f>
        <v/>
      </c>
      <c r="AW727" s="61" t="str">
        <f aca="false">SUBSTITUTE(SUBSTITUTE(SUBSTITUTE(SUBSTITUTE(SUBSTITUTE(SUBSTITUTE(SUBSTITUTE(SUBSTITUTE(SUBSTITUTE(SUBSTITUTE(SUBSTITUTE(SUBSTITUTE(SUBSTITUTE(LOWER(Z727&amp;""),CHAR(160),"")," ",""),".",""),"-",""),"/",""),"?",""),"_",""),",",""),"[",""),"]",""),"(",""),")",""),"*","")</f>
        <v/>
      </c>
      <c r="AX727" s="61" t="str">
        <f aca="false">SUBSTITUTE(SUBSTITUTE(SUBSTITUTE(SUBSTITUTE(SUBSTITUTE(SUBSTITUTE(SUBSTITUTE(SUBSTITUTE(SUBSTITUTE(SUBSTITUTE(SUBSTITUTE(SUBSTITUTE(SUBSTITUTE(LOWER(AE727&amp;""),CHAR(160),"")," ",""),".",""),"-",""),"/",""),"?",""),"_",""),",",""),"[",""),"]",""),"(",""),")",""),"*","")</f>
        <v/>
      </c>
      <c r="AY727" s="61" t="str">
        <f aca="false">SUBSTITUTE(SUBSTITUTE(SUBSTITUTE(SUBSTITUTE(SUBSTITUTE(SUBSTITUTE(SUBSTITUTE(SUBSTITUTE(SUBSTITUTE(SUBSTITUTE(SUBSTITUTE(SUBSTITUTE(SUBSTITUTE(LOWER(W727&amp;""),CHAR(160),"")," ",""),".",""),"-",""),"/",""),"?",""),"_",""),",",""),"[",""),"]",""),"(",""),")",""),"*","")</f>
        <v/>
      </c>
      <c r="AZ727" s="61" t="str">
        <f aca="false">SUBSTITUTE(SUBSTITUTE(SUBSTITUTE(SUBSTITUTE(SUBSTITUTE(SUBSTITUTE(SUBSTITUTE(SUBSTITUTE(SUBSTITUTE(SUBSTITUTE(SUBSTITUTE(SUBSTITUTE(SUBSTITUTE(LOWER(AC727&amp;""),CHAR(160),"")," ",""),".",""),"-",""),"/",""),"?",""),"_",""),",",""),"[",""),"]",""),"(",""),")",""),"*","")</f>
        <v/>
      </c>
      <c r="BA727" s="61" t="str">
        <f aca="false">SUBSTITUTE(SUBSTITUTE(SUBSTITUTE(SUBSTITUTE(SUBSTITUTE(SUBSTITUTE(SUBSTITUTE(SUBSTITUTE(SUBSTITUTE(SUBSTITUTE(SUBSTITUTE(SUBSTITUTE(SUBSTITUTE(LOWER(AA727&amp;""),CHAR(160),"")," ",""),".",""),"-",""),"/",""),"?",""),"_",""),",",""),"[",""),"]",""),"(",""),")",""),"*","")</f>
        <v/>
      </c>
      <c r="BB727" s="61" t="str">
        <f aca="false">IF(AND(TRIM(U727)="Pass",ISNUMBER(AF727)),IF(AF727&lt;&gt;0,"INVALID – qty variance: use Fail or Pass after CA",""),"")&amp;IF(AND(TRIM(U727)="Pass after CA",ISNUMBER(AF727)),IF(AF727&lt;&gt;0,"INVALID – after the corrective action the actual qty must equal expected (update Actual)",""),"")&amp;IF(AND(TRIM(U727)="Pass",TRIM(AB727)&lt;&gt;"",TRIM(AB727)&lt;&gt;"Closed"),"INVALID – corrective action not closed: use Fail, then Pass after CA","")&amp;IF(AND(TRIM(AA727)&lt;&gt;"",TRIM(AB727)=""),"INVALID – CA status missing for the recorded corrective action","")&amp;IF(AND(TRIM(U727)="Pass after CA",OR(OR(LEN(BA727)&lt;5,ISNUMBER(MATCH(BA727,L_Placeholder,0))),TRIM(AB727)&lt;&gt;"Closed")),"INVALID – corrective action not recorded/closed","")</f>
        <v/>
      </c>
    </row>
    <row r="728" customFormat="false" ht="41.25" hidden="false" customHeight="true" outlineLevel="0" collapsed="false">
      <c r="A728" s="57" t="s">
        <v>1440</v>
      </c>
      <c r="B728" s="57" t="s">
        <v>309</v>
      </c>
      <c r="C728" s="57" t="str">
        <f aca="false">Flights!$F$26</f>
        <v>MH0002</v>
      </c>
      <c r="D728" s="58" t="n">
        <f aca="false">Flights!$D$26</f>
        <v>46325</v>
      </c>
      <c r="E728" s="57" t="str">
        <f aca="false">Flights!$G$26&amp;"-"&amp;Flights!$H$26</f>
        <v>KUL-LHR</v>
      </c>
      <c r="F728" s="57" t="str">
        <f aca="false">Flights!$K$26</f>
        <v>BC</v>
      </c>
      <c r="G728" s="57" t="s">
        <v>398</v>
      </c>
      <c r="H728" s="57" t="s">
        <v>356</v>
      </c>
      <c r="I728" s="57" t="s">
        <v>477</v>
      </c>
      <c r="J728" s="57" t="s">
        <v>501</v>
      </c>
      <c r="K728" s="67" t="s">
        <v>479</v>
      </c>
      <c r="L728" s="67" t="s">
        <v>726</v>
      </c>
      <c r="M728" s="67" t="s">
        <v>429</v>
      </c>
      <c r="N728" s="67" t="s">
        <v>361</v>
      </c>
      <c r="O728" s="67" t="s">
        <v>481</v>
      </c>
      <c r="P728" s="57" t="s">
        <v>184</v>
      </c>
      <c r="Q728" s="59" t="n">
        <f aca="false">ROUND((Flights!$AE$26)*1440,0)/1440</f>
        <v>46325.1388888889</v>
      </c>
      <c r="R728" s="59" t="n">
        <f aca="false">Q728+(IF(AND(INDEX(TZ_DSTS,MATCH(P728,TZ_STN,0))&lt;&gt;"",Q728&gt;=INDEX(TZ_DSTS,MATCH(P728,TZ_STN,0)),Q728&lt;INDEX(TZ_DSTE,MATCH(P728,TZ_STN,0))),INDEX(TZ_DST,MATCH(P728,TZ_STN,0)),INDEX(TZ_STD,MATCH(P728,TZ_STN,0))))/24</f>
        <v>46325.4722222222</v>
      </c>
      <c r="S728" s="59" t="n">
        <f aca="false">Q728-T12EarlyH/24</f>
        <v>46324.6388888889</v>
      </c>
      <c r="T728" s="60"/>
      <c r="U728" s="60"/>
      <c r="V728" s="60"/>
      <c r="W728" s="61"/>
      <c r="X728" s="60"/>
      <c r="Y728" s="60"/>
      <c r="Z728" s="60"/>
      <c r="AA728" s="60"/>
      <c r="AB728" s="60"/>
      <c r="AC728" s="60"/>
      <c r="AD728" s="66"/>
      <c r="AE728" s="60"/>
      <c r="AF728" s="61" t="str">
        <f aca="false">IF(AND(ISNUMBER(X728),ISNUMBER(Y728)),Y728-X728,"")</f>
        <v/>
      </c>
      <c r="AG728" s="62" t="str">
        <f aca="false">IF(ISNUMBER(AD728),AD728-(IF(AND(INDEX(TZ_DSTS,MATCH(P728,TZ_STN,0))&lt;&gt;"",(AD728-INDEX(TZ_STD,MATCH(P728,TZ_STN,0))/24)&gt;=INDEX(TZ_DSTS,MATCH(P728,TZ_STN,0)),(AD728-INDEX(TZ_STD,MATCH(P728,TZ_STN,0))/24)&lt;INDEX(TZ_DSTE,MATCH(P728,TZ_STN,0))),INDEX(TZ_DST,MATCH(P728,TZ_STN,0)),INDEX(TZ_STD,MATCH(P728,TZ_STN,0))))/24,"")</f>
        <v/>
      </c>
      <c r="AH728" s="65" t="str">
        <f aca="false">IFERROR(IF(N728="N/A – rule","N/A – RULE",IF(TRIM(U728)="N/A",IF(AT728=0,"INVALID – N/A not permitted for this check",IF(AND(TRIM(AB728)&lt;&gt;"",TRIM(AB728)&lt;&gt;"Closed"),"INVALID – corrective action still open",IF(AND(NOT(OR(LEN(AZ728)&lt;15,ISNUMBER(MATCH(AZ728,L_Placeholder,0)))),NOT(OR(LEN(AU728)&lt;2,ISNUMBER(MATCH(AU728,L_Placeholder,0)))),NOT(OR(LEN(AX728)&lt;2,ISNUMBER(MATCH(AX728,L_Placeholder,0)))),TRIM(AE728)&lt;&gt;TRIM(T728)),"N/A – JUSTIFIED","INVALID – N/A needs a real justification (15+ chars), PIC and a different verifier"))),IF(OR(TRIM(U728)="Pass",TRIM(U728)="Pass after CA"),IF(NOT(ISNUMBER(AD728)),"INVALID – completion time missing",IF(OR(LEN(AU728)&lt;2,ISNUMBER(MATCH(AU728,L_Placeholder,0))),"INVALID – PIC missing",IF(OR(LEN(AV728)&lt;2,ISNUMBER(MATCH(AV728,L_Placeholder,0))),"INVALID – result / assessment missing",IF(OR(OR(LEN(AW728)&lt;3,ISNUMBER(MATCH(AW728,L_Placeholder,0))),SUMPRODUCT(--ISNUMBER(SEARCH(L_EvidencePhrase,AW728)))&gt;0),"INVALID – evidence missing, placeholder or not yet on file",IF(OR(LEN(AX728)&lt;2,ISNUMBER(MATCH(AX728,L_Placeholder,0))),"INVALID – verifier missing",IF(AX728=AU728,"INVALID – verifier must be someone other than the PIC",IF(AND(TRIM(U728)="Pass",SUMPRODUCT(--ISNUMBER(SEARCH(L_ResultBad,AV728)))&gt;0),"INVALID – result describes a problem: use Fail, then Pass after CA",IF(AND(AQ728=1,OR(LEN(AY728)&lt;3,ISNUMBER(MATCH(AY728,L_Placeholder,0)))),"INVALID – batch ID missing or placeholder",IF(AND(AR728=1,OR(NOT(ISNUMBER(X728)),NOT(ISNUMBER(Y728)))),"INVALID – expected/actual qty missing",IF(AND(AR728=1,OR(X728&lt;=0,Y728&lt;0)),"INVALID – expected qty must be above 0 and actual not negative",IF(BB728&lt;&gt;"",BB728,IF(AND(AS728=1,Documents!$J$26&lt;&gt;"ON FILE"),"INVALID – GLD not on file (Documents sheet)",IF(AND(AS728=2,Documents!$O$26&lt;&gt;"ON FILE"),"INVALID – menu checklist not on file (Documents sheet)",IF(AND(AS728=3,NOT(ISNUMBER(Flights!$AX$26))),"INVALID – enter carrying flight KUL departure (Flights AX)",IF(AND(AS728=3,OR(Flights!$AZ$26&gt;Flights!$AA$26,Flights!$AX$26&lt;Flights!$AA$26-3)),"INVALID – carrying flight (Flights AX) cannot arrive before this leg's STD, or is over 3 days early",IF(AG728&gt;AsOfUTC,"INVALID – completion time is in the future",IF(AND(ISNUMBER(S728),AG728&lt;S728),IF(H728="Physical uplift","INVALID – before uplift window (cannot confirm loading)","INVALID – before valid window"),IF(AG728&gt;Flights!$AA$26,"INVALID – completed after departure (cannot establish readiness)",IF(AND(H728="Preparation",AG728&gt;IF(ISNUMBER(Flights!$BA$26),MIN(Flights!$BA$26,Flights!$AA$26),Flights!$AA$26)),"INVALID – completed after loading / departure (cannot establish readiness)",IF(AND(H728="Physical uplift",AG728&gt;Q728),"INVALID – recorded after the loading flight departed",IF(AG728&gt;Q728,"COMPLETE – LATE","COMPLETE"))))))))))))))))))))),IF(TRIM(U728)="Fail","FAIL – DISCREPANCY",IF(AND(TRIM(U728)&lt;&gt;"",TRIM(U728)&lt;&gt;"Not started",TRIM(U728)&lt;&gt;"In progress"),"INVALID – unrecognised status (use the list)",IF(AsOfUTC&gt;Q728,"OVERDUE",IF(N728="Clarification required","OPEN – CLARIFICATION","OPEN"))))))),"INVALID – error value in an input cell")</f>
        <v>OPEN</v>
      </c>
      <c r="AI728" s="61" t="n">
        <f aca="false">IF(OR(AH728="N/A – RULE",AH728="N/A – JUSTIFIED"),0,1)</f>
        <v>1</v>
      </c>
      <c r="AJ728" s="61" t="n">
        <f aca="false">IF(LEFT(AH728,8)="COMPLETE",1,0)</f>
        <v>0</v>
      </c>
      <c r="AK728" s="61" t="n">
        <f aca="false">IF(AND(AI728=1,AJ728=0,AsOfUTC&gt;Q728),1,0)</f>
        <v>0</v>
      </c>
      <c r="AL728" s="61" t="n">
        <f aca="false">IFERROR(IF(AND(AI728=1,OR(TRIM(U728)="Fail",AND(TRIM(AB728)&lt;&gt;"",TRIM(AB728)&lt;&gt;"Closed"),AND(ISNUMBER(AF728),AF728&lt;&gt;0,TRIM(U728)&lt;&gt;"Pass after CA"))),1,0),1)</f>
        <v>0</v>
      </c>
      <c r="AM728" s="61" t="n">
        <f aca="false">IF(LEFT(AH728,7)="INVALID",1,0)</f>
        <v>0</v>
      </c>
      <c r="AN728" s="61" t="n">
        <f aca="false">IF(AND(N728="Clarification required",AI728=1,AJ728=0),1,0)</f>
        <v>0</v>
      </c>
      <c r="AO728" s="61" t="str">
        <f aca="false">IF(AK728=1,SUM(AK$5:AK728),"")</f>
        <v/>
      </c>
      <c r="AP728" s="61" t="str">
        <f aca="false">IF(AL728=1,SUM(AL$5:AL728),"")</f>
        <v/>
      </c>
      <c r="AQ728" s="61" t="n">
        <v>0</v>
      </c>
      <c r="AR728" s="61" t="n">
        <v>0</v>
      </c>
      <c r="AS728" s="61" t="n">
        <v>0</v>
      </c>
      <c r="AT728" s="61" t="n">
        <v>0</v>
      </c>
      <c r="AU728" s="61" t="str">
        <f aca="false">SUBSTITUTE(SUBSTITUTE(SUBSTITUTE(SUBSTITUTE(SUBSTITUTE(SUBSTITUTE(SUBSTITUTE(SUBSTITUTE(SUBSTITUTE(SUBSTITUTE(SUBSTITUTE(SUBSTITUTE(SUBSTITUTE(LOWER(T728&amp;""),CHAR(160),"")," ",""),".",""),"-",""),"/",""),"?",""),"_",""),",",""),"[",""),"]",""),"(",""),")",""),"*","")</f>
        <v/>
      </c>
      <c r="AV728" s="61" t="str">
        <f aca="false">SUBSTITUTE(SUBSTITUTE(SUBSTITUTE(SUBSTITUTE(SUBSTITUTE(SUBSTITUTE(SUBSTITUTE(SUBSTITUTE(SUBSTITUTE(SUBSTITUTE(SUBSTITUTE(SUBSTITUTE(SUBSTITUTE(LOWER(V728&amp;""),CHAR(160),"")," ",""),".",""),"-",""),"/",""),"?",""),"_",""),",",""),"[",""),"]",""),"(",""),")",""),"*","")</f>
        <v/>
      </c>
      <c r="AW728" s="61" t="str">
        <f aca="false">SUBSTITUTE(SUBSTITUTE(SUBSTITUTE(SUBSTITUTE(SUBSTITUTE(SUBSTITUTE(SUBSTITUTE(SUBSTITUTE(SUBSTITUTE(SUBSTITUTE(SUBSTITUTE(SUBSTITUTE(SUBSTITUTE(LOWER(Z728&amp;""),CHAR(160),"")," ",""),".",""),"-",""),"/",""),"?",""),"_",""),",",""),"[",""),"]",""),"(",""),")",""),"*","")</f>
        <v/>
      </c>
      <c r="AX728" s="61" t="str">
        <f aca="false">SUBSTITUTE(SUBSTITUTE(SUBSTITUTE(SUBSTITUTE(SUBSTITUTE(SUBSTITUTE(SUBSTITUTE(SUBSTITUTE(SUBSTITUTE(SUBSTITUTE(SUBSTITUTE(SUBSTITUTE(SUBSTITUTE(LOWER(AE728&amp;""),CHAR(160),"")," ",""),".",""),"-",""),"/",""),"?",""),"_",""),",",""),"[",""),"]",""),"(",""),")",""),"*","")</f>
        <v/>
      </c>
      <c r="AY728" s="61" t="str">
        <f aca="false">SUBSTITUTE(SUBSTITUTE(SUBSTITUTE(SUBSTITUTE(SUBSTITUTE(SUBSTITUTE(SUBSTITUTE(SUBSTITUTE(SUBSTITUTE(SUBSTITUTE(SUBSTITUTE(SUBSTITUTE(SUBSTITUTE(LOWER(W728&amp;""),CHAR(160),"")," ",""),".",""),"-",""),"/",""),"?",""),"_",""),",",""),"[",""),"]",""),"(",""),")",""),"*","")</f>
        <v/>
      </c>
      <c r="AZ728" s="61" t="str">
        <f aca="false">SUBSTITUTE(SUBSTITUTE(SUBSTITUTE(SUBSTITUTE(SUBSTITUTE(SUBSTITUTE(SUBSTITUTE(SUBSTITUTE(SUBSTITUTE(SUBSTITUTE(SUBSTITUTE(SUBSTITUTE(SUBSTITUTE(LOWER(AC728&amp;""),CHAR(160),"")," ",""),".",""),"-",""),"/",""),"?",""),"_",""),",",""),"[",""),"]",""),"(",""),")",""),"*","")</f>
        <v/>
      </c>
      <c r="BA728" s="61" t="str">
        <f aca="false">SUBSTITUTE(SUBSTITUTE(SUBSTITUTE(SUBSTITUTE(SUBSTITUTE(SUBSTITUTE(SUBSTITUTE(SUBSTITUTE(SUBSTITUTE(SUBSTITUTE(SUBSTITUTE(SUBSTITUTE(SUBSTITUTE(LOWER(AA728&amp;""),CHAR(160),"")," ",""),".",""),"-",""),"/",""),"?",""),"_",""),",",""),"[",""),"]",""),"(",""),")",""),"*","")</f>
        <v/>
      </c>
      <c r="BB728" s="61" t="str">
        <f aca="false">IF(AND(TRIM(U728)="Pass",ISNUMBER(AF728)),IF(AF728&lt;&gt;0,"INVALID – qty variance: use Fail or Pass after CA",""),"")&amp;IF(AND(TRIM(U728)="Pass after CA",ISNUMBER(AF728)),IF(AF728&lt;&gt;0,"INVALID – after the corrective action the actual qty must equal expected (update Actual)",""),"")&amp;IF(AND(TRIM(U728)="Pass",TRIM(AB728)&lt;&gt;"",TRIM(AB728)&lt;&gt;"Closed"),"INVALID – corrective action not closed: use Fail, then Pass after CA","")&amp;IF(AND(TRIM(AA728)&lt;&gt;"",TRIM(AB728)=""),"INVALID – CA status missing for the recorded corrective action","")&amp;IF(AND(TRIM(U728)="Pass after CA",OR(OR(LEN(BA728)&lt;5,ISNUMBER(MATCH(BA728,L_Placeholder,0))),TRIM(AB728)&lt;&gt;"Closed")),"INVALID – corrective action not recorded/closed","")</f>
        <v/>
      </c>
    </row>
    <row r="729" customFormat="false" ht="41.25" hidden="false" customHeight="true" outlineLevel="0" collapsed="false">
      <c r="A729" s="57" t="s">
        <v>1441</v>
      </c>
      <c r="B729" s="57" t="s">
        <v>309</v>
      </c>
      <c r="C729" s="57" t="str">
        <f aca="false">Flights!$F$26</f>
        <v>MH0002</v>
      </c>
      <c r="D729" s="58" t="n">
        <f aca="false">Flights!$D$26</f>
        <v>46325</v>
      </c>
      <c r="E729" s="57" t="str">
        <f aca="false">Flights!$G$26&amp;"-"&amp;Flights!$H$26</f>
        <v>KUL-LHR</v>
      </c>
      <c r="F729" s="57" t="str">
        <f aca="false">Flights!$K$26</f>
        <v>BC</v>
      </c>
      <c r="G729" s="57" t="s">
        <v>398</v>
      </c>
      <c r="H729" s="57" t="s">
        <v>356</v>
      </c>
      <c r="I729" s="57" t="s">
        <v>425</v>
      </c>
      <c r="J729" s="57" t="s">
        <v>504</v>
      </c>
      <c r="K729" s="67" t="s">
        <v>427</v>
      </c>
      <c r="L729" s="67" t="s">
        <v>728</v>
      </c>
      <c r="M729" s="67" t="s">
        <v>429</v>
      </c>
      <c r="N729" s="67" t="s">
        <v>361</v>
      </c>
      <c r="O729" s="67" t="s">
        <v>481</v>
      </c>
      <c r="P729" s="57" t="s">
        <v>184</v>
      </c>
      <c r="Q729" s="59" t="n">
        <f aca="false">ROUND((Flights!$AE$26)*1440,0)/1440</f>
        <v>46325.1388888889</v>
      </c>
      <c r="R729" s="59" t="n">
        <f aca="false">Q729+(IF(AND(INDEX(TZ_DSTS,MATCH(P729,TZ_STN,0))&lt;&gt;"",Q729&gt;=INDEX(TZ_DSTS,MATCH(P729,TZ_STN,0)),Q729&lt;INDEX(TZ_DSTE,MATCH(P729,TZ_STN,0))),INDEX(TZ_DST,MATCH(P729,TZ_STN,0)),INDEX(TZ_STD,MATCH(P729,TZ_STN,0))))/24</f>
        <v>46325.4722222222</v>
      </c>
      <c r="S729" s="59" t="n">
        <f aca="false">Q729-T12EarlyH/24</f>
        <v>46324.6388888889</v>
      </c>
      <c r="T729" s="60"/>
      <c r="U729" s="60"/>
      <c r="V729" s="60"/>
      <c r="W729" s="61"/>
      <c r="X729" s="60"/>
      <c r="Y729" s="60"/>
      <c r="Z729" s="60"/>
      <c r="AA729" s="60"/>
      <c r="AB729" s="60"/>
      <c r="AC729" s="60"/>
      <c r="AD729" s="66"/>
      <c r="AE729" s="60"/>
      <c r="AF729" s="61" t="str">
        <f aca="false">IF(AND(ISNUMBER(X729),ISNUMBER(Y729)),Y729-X729,"")</f>
        <v/>
      </c>
      <c r="AG729" s="62" t="str">
        <f aca="false">IF(ISNUMBER(AD729),AD729-(IF(AND(INDEX(TZ_DSTS,MATCH(P729,TZ_STN,0))&lt;&gt;"",(AD729-INDEX(TZ_STD,MATCH(P729,TZ_STN,0))/24)&gt;=INDEX(TZ_DSTS,MATCH(P729,TZ_STN,0)),(AD729-INDEX(TZ_STD,MATCH(P729,TZ_STN,0))/24)&lt;INDEX(TZ_DSTE,MATCH(P729,TZ_STN,0))),INDEX(TZ_DST,MATCH(P729,TZ_STN,0)),INDEX(TZ_STD,MATCH(P729,TZ_STN,0))))/24,"")</f>
        <v/>
      </c>
      <c r="AH729" s="65" t="str">
        <f aca="false">IFERROR(IF(N729="N/A – rule","N/A – RULE",IF(TRIM(U729)="N/A",IF(AT729=0,"INVALID – N/A not permitted for this check",IF(AND(TRIM(AB729)&lt;&gt;"",TRIM(AB729)&lt;&gt;"Closed"),"INVALID – corrective action still open",IF(AND(NOT(OR(LEN(AZ729)&lt;15,ISNUMBER(MATCH(AZ729,L_Placeholder,0)))),NOT(OR(LEN(AU729)&lt;2,ISNUMBER(MATCH(AU729,L_Placeholder,0)))),NOT(OR(LEN(AX729)&lt;2,ISNUMBER(MATCH(AX729,L_Placeholder,0)))),TRIM(AE729)&lt;&gt;TRIM(T729)),"N/A – JUSTIFIED","INVALID – N/A needs a real justification (15+ chars), PIC and a different verifier"))),IF(OR(TRIM(U729)="Pass",TRIM(U729)="Pass after CA"),IF(NOT(ISNUMBER(AD729)),"INVALID – completion time missing",IF(OR(LEN(AU729)&lt;2,ISNUMBER(MATCH(AU729,L_Placeholder,0))),"INVALID – PIC missing",IF(OR(LEN(AV729)&lt;2,ISNUMBER(MATCH(AV729,L_Placeholder,0))),"INVALID – result / assessment missing",IF(OR(OR(LEN(AW729)&lt;3,ISNUMBER(MATCH(AW729,L_Placeholder,0))),SUMPRODUCT(--ISNUMBER(SEARCH(L_EvidencePhrase,AW729)))&gt;0),"INVALID – evidence missing, placeholder or not yet on file",IF(OR(LEN(AX729)&lt;2,ISNUMBER(MATCH(AX729,L_Placeholder,0))),"INVALID – verifier missing",IF(AX729=AU729,"INVALID – verifier must be someone other than the PIC",IF(AND(TRIM(U729)="Pass",SUMPRODUCT(--ISNUMBER(SEARCH(L_ResultBad,AV729)))&gt;0),"INVALID – result describes a problem: use Fail, then Pass after CA",IF(AND(AQ729=1,OR(LEN(AY729)&lt;3,ISNUMBER(MATCH(AY729,L_Placeholder,0)))),"INVALID – batch ID missing or placeholder",IF(AND(AR729=1,OR(NOT(ISNUMBER(X729)),NOT(ISNUMBER(Y729)))),"INVALID – expected/actual qty missing",IF(AND(AR729=1,OR(X729&lt;=0,Y729&lt;0)),"INVALID – expected qty must be above 0 and actual not negative",IF(BB729&lt;&gt;"",BB729,IF(AND(AS729=1,Documents!$J$26&lt;&gt;"ON FILE"),"INVALID – GLD not on file (Documents sheet)",IF(AND(AS729=2,Documents!$O$26&lt;&gt;"ON FILE"),"INVALID – menu checklist not on file (Documents sheet)",IF(AND(AS729=3,NOT(ISNUMBER(Flights!$AX$26))),"INVALID – enter carrying flight KUL departure (Flights AX)",IF(AND(AS729=3,OR(Flights!$AZ$26&gt;Flights!$AA$26,Flights!$AX$26&lt;Flights!$AA$26-3)),"INVALID – carrying flight (Flights AX) cannot arrive before this leg's STD, or is over 3 days early",IF(AG729&gt;AsOfUTC,"INVALID – completion time is in the future",IF(AND(ISNUMBER(S729),AG729&lt;S729),IF(H729="Physical uplift","INVALID – before uplift window (cannot confirm loading)","INVALID – before valid window"),IF(AG729&gt;Flights!$AA$26,"INVALID – completed after departure (cannot establish readiness)",IF(AND(H729="Preparation",AG729&gt;IF(ISNUMBER(Flights!$BA$26),MIN(Flights!$BA$26,Flights!$AA$26),Flights!$AA$26)),"INVALID – completed after loading / departure (cannot establish readiness)",IF(AND(H729="Physical uplift",AG729&gt;Q729),"INVALID – recorded after the loading flight departed",IF(AG729&gt;Q729,"COMPLETE – LATE","COMPLETE"))))))))))))))))))))),IF(TRIM(U729)="Fail","FAIL – DISCREPANCY",IF(AND(TRIM(U729)&lt;&gt;"",TRIM(U729)&lt;&gt;"Not started",TRIM(U729)&lt;&gt;"In progress"),"INVALID – unrecognised status (use the list)",IF(AsOfUTC&gt;Q729,"OVERDUE",IF(N729="Clarification required","OPEN – CLARIFICATION","OPEN"))))))),"INVALID – error value in an input cell")</f>
        <v>OPEN</v>
      </c>
      <c r="AI729" s="61" t="n">
        <f aca="false">IF(OR(AH729="N/A – RULE",AH729="N/A – JUSTIFIED"),0,1)</f>
        <v>1</v>
      </c>
      <c r="AJ729" s="61" t="n">
        <f aca="false">IF(LEFT(AH729,8)="COMPLETE",1,0)</f>
        <v>0</v>
      </c>
      <c r="AK729" s="61" t="n">
        <f aca="false">IF(AND(AI729=1,AJ729=0,AsOfUTC&gt;Q729),1,0)</f>
        <v>0</v>
      </c>
      <c r="AL729" s="61" t="n">
        <f aca="false">IFERROR(IF(AND(AI729=1,OR(TRIM(U729)="Fail",AND(TRIM(AB729)&lt;&gt;"",TRIM(AB729)&lt;&gt;"Closed"),AND(ISNUMBER(AF729),AF729&lt;&gt;0,TRIM(U729)&lt;&gt;"Pass after CA"))),1,0),1)</f>
        <v>0</v>
      </c>
      <c r="AM729" s="61" t="n">
        <f aca="false">IF(LEFT(AH729,7)="INVALID",1,0)</f>
        <v>0</v>
      </c>
      <c r="AN729" s="61" t="n">
        <f aca="false">IF(AND(N729="Clarification required",AI729=1,AJ729=0),1,0)</f>
        <v>0</v>
      </c>
      <c r="AO729" s="61" t="str">
        <f aca="false">IF(AK729=1,SUM(AK$5:AK729),"")</f>
        <v/>
      </c>
      <c r="AP729" s="61" t="str">
        <f aca="false">IF(AL729=1,SUM(AL$5:AL729),"")</f>
        <v/>
      </c>
      <c r="AQ729" s="61" t="n">
        <v>0</v>
      </c>
      <c r="AR729" s="61" t="n">
        <v>0</v>
      </c>
      <c r="AS729" s="61" t="n">
        <v>0</v>
      </c>
      <c r="AT729" s="61" t="n">
        <v>0</v>
      </c>
      <c r="AU729" s="61" t="str">
        <f aca="false">SUBSTITUTE(SUBSTITUTE(SUBSTITUTE(SUBSTITUTE(SUBSTITUTE(SUBSTITUTE(SUBSTITUTE(SUBSTITUTE(SUBSTITUTE(SUBSTITUTE(SUBSTITUTE(SUBSTITUTE(SUBSTITUTE(LOWER(T729&amp;""),CHAR(160),"")," ",""),".",""),"-",""),"/",""),"?",""),"_",""),",",""),"[",""),"]",""),"(",""),")",""),"*","")</f>
        <v/>
      </c>
      <c r="AV729" s="61" t="str">
        <f aca="false">SUBSTITUTE(SUBSTITUTE(SUBSTITUTE(SUBSTITUTE(SUBSTITUTE(SUBSTITUTE(SUBSTITUTE(SUBSTITUTE(SUBSTITUTE(SUBSTITUTE(SUBSTITUTE(SUBSTITUTE(SUBSTITUTE(LOWER(V729&amp;""),CHAR(160),"")," ",""),".",""),"-",""),"/",""),"?",""),"_",""),",",""),"[",""),"]",""),"(",""),")",""),"*","")</f>
        <v/>
      </c>
      <c r="AW729" s="61" t="str">
        <f aca="false">SUBSTITUTE(SUBSTITUTE(SUBSTITUTE(SUBSTITUTE(SUBSTITUTE(SUBSTITUTE(SUBSTITUTE(SUBSTITUTE(SUBSTITUTE(SUBSTITUTE(SUBSTITUTE(SUBSTITUTE(SUBSTITUTE(LOWER(Z729&amp;""),CHAR(160),"")," ",""),".",""),"-",""),"/",""),"?",""),"_",""),",",""),"[",""),"]",""),"(",""),")",""),"*","")</f>
        <v/>
      </c>
      <c r="AX729" s="61" t="str">
        <f aca="false">SUBSTITUTE(SUBSTITUTE(SUBSTITUTE(SUBSTITUTE(SUBSTITUTE(SUBSTITUTE(SUBSTITUTE(SUBSTITUTE(SUBSTITUTE(SUBSTITUTE(SUBSTITUTE(SUBSTITUTE(SUBSTITUTE(LOWER(AE729&amp;""),CHAR(160),"")," ",""),".",""),"-",""),"/",""),"?",""),"_",""),",",""),"[",""),"]",""),"(",""),")",""),"*","")</f>
        <v/>
      </c>
      <c r="AY729" s="61" t="str">
        <f aca="false">SUBSTITUTE(SUBSTITUTE(SUBSTITUTE(SUBSTITUTE(SUBSTITUTE(SUBSTITUTE(SUBSTITUTE(SUBSTITUTE(SUBSTITUTE(SUBSTITUTE(SUBSTITUTE(SUBSTITUTE(SUBSTITUTE(LOWER(W729&amp;""),CHAR(160),"")," ",""),".",""),"-",""),"/",""),"?",""),"_",""),",",""),"[",""),"]",""),"(",""),")",""),"*","")</f>
        <v/>
      </c>
      <c r="AZ729" s="61" t="str">
        <f aca="false">SUBSTITUTE(SUBSTITUTE(SUBSTITUTE(SUBSTITUTE(SUBSTITUTE(SUBSTITUTE(SUBSTITUTE(SUBSTITUTE(SUBSTITUTE(SUBSTITUTE(SUBSTITUTE(SUBSTITUTE(SUBSTITUTE(LOWER(AC729&amp;""),CHAR(160),"")," ",""),".",""),"-",""),"/",""),"?",""),"_",""),",",""),"[",""),"]",""),"(",""),")",""),"*","")</f>
        <v/>
      </c>
      <c r="BA729" s="61" t="str">
        <f aca="false">SUBSTITUTE(SUBSTITUTE(SUBSTITUTE(SUBSTITUTE(SUBSTITUTE(SUBSTITUTE(SUBSTITUTE(SUBSTITUTE(SUBSTITUTE(SUBSTITUTE(SUBSTITUTE(SUBSTITUTE(SUBSTITUTE(LOWER(AA729&amp;""),CHAR(160),"")," ",""),".",""),"-",""),"/",""),"?",""),"_",""),",",""),"[",""),"]",""),"(",""),")",""),"*","")</f>
        <v/>
      </c>
      <c r="BB729" s="61" t="str">
        <f aca="false">IF(AND(TRIM(U729)="Pass",ISNUMBER(AF729)),IF(AF729&lt;&gt;0,"INVALID – qty variance: use Fail or Pass after CA",""),"")&amp;IF(AND(TRIM(U729)="Pass after CA",ISNUMBER(AF729)),IF(AF729&lt;&gt;0,"INVALID – after the corrective action the actual qty must equal expected (update Actual)",""),"")&amp;IF(AND(TRIM(U729)="Pass",TRIM(AB729)&lt;&gt;"",TRIM(AB729)&lt;&gt;"Closed"),"INVALID – corrective action not closed: use Fail, then Pass after CA","")&amp;IF(AND(TRIM(AA729)&lt;&gt;"",TRIM(AB729)=""),"INVALID – CA status missing for the recorded corrective action","")&amp;IF(AND(TRIM(U729)="Pass after CA",OR(OR(LEN(BA729)&lt;5,ISNUMBER(MATCH(BA729,L_Placeholder,0))),TRIM(AB729)&lt;&gt;"Closed")),"INVALID – corrective action not recorded/closed","")</f>
        <v/>
      </c>
    </row>
    <row r="730" customFormat="false" ht="41.25" hidden="false" customHeight="true" outlineLevel="0" collapsed="false">
      <c r="A730" s="57" t="s">
        <v>1442</v>
      </c>
      <c r="B730" s="57" t="s">
        <v>309</v>
      </c>
      <c r="C730" s="57" t="str">
        <f aca="false">Flights!$F$26</f>
        <v>MH0002</v>
      </c>
      <c r="D730" s="58" t="n">
        <f aca="false">Flights!$D$26</f>
        <v>46325</v>
      </c>
      <c r="E730" s="57" t="str">
        <f aca="false">Flights!$G$26&amp;"-"&amp;Flights!$H$26</f>
        <v>KUL-LHR</v>
      </c>
      <c r="F730" s="57" t="str">
        <f aca="false">Flights!$K$26</f>
        <v>BC</v>
      </c>
      <c r="G730" s="57" t="s">
        <v>398</v>
      </c>
      <c r="H730" s="57" t="s">
        <v>356</v>
      </c>
      <c r="I730" s="57" t="s">
        <v>425</v>
      </c>
      <c r="J730" s="57" t="s">
        <v>601</v>
      </c>
      <c r="K730" s="67" t="s">
        <v>427</v>
      </c>
      <c r="L730" s="67" t="s">
        <v>730</v>
      </c>
      <c r="M730" s="67" t="s">
        <v>429</v>
      </c>
      <c r="N730" s="67" t="s">
        <v>361</v>
      </c>
      <c r="O730" s="67" t="s">
        <v>481</v>
      </c>
      <c r="P730" s="57" t="s">
        <v>184</v>
      </c>
      <c r="Q730" s="59" t="n">
        <f aca="false">ROUND((Flights!$AE$26)*1440,0)/1440</f>
        <v>46325.1388888889</v>
      </c>
      <c r="R730" s="59" t="n">
        <f aca="false">Q730+(IF(AND(INDEX(TZ_DSTS,MATCH(P730,TZ_STN,0))&lt;&gt;"",Q730&gt;=INDEX(TZ_DSTS,MATCH(P730,TZ_STN,0)),Q730&lt;INDEX(TZ_DSTE,MATCH(P730,TZ_STN,0))),INDEX(TZ_DST,MATCH(P730,TZ_STN,0)),INDEX(TZ_STD,MATCH(P730,TZ_STN,0))))/24</f>
        <v>46325.4722222222</v>
      </c>
      <c r="S730" s="59" t="n">
        <f aca="false">Q730-T12EarlyH/24</f>
        <v>46324.6388888889</v>
      </c>
      <c r="T730" s="60"/>
      <c r="U730" s="60"/>
      <c r="V730" s="60"/>
      <c r="W730" s="61"/>
      <c r="X730" s="60"/>
      <c r="Y730" s="60"/>
      <c r="Z730" s="60"/>
      <c r="AA730" s="60"/>
      <c r="AB730" s="60"/>
      <c r="AC730" s="60"/>
      <c r="AD730" s="66"/>
      <c r="AE730" s="60"/>
      <c r="AF730" s="61" t="str">
        <f aca="false">IF(AND(ISNUMBER(X730),ISNUMBER(Y730)),Y730-X730,"")</f>
        <v/>
      </c>
      <c r="AG730" s="62" t="str">
        <f aca="false">IF(ISNUMBER(AD730),AD730-(IF(AND(INDEX(TZ_DSTS,MATCH(P730,TZ_STN,0))&lt;&gt;"",(AD730-INDEX(TZ_STD,MATCH(P730,TZ_STN,0))/24)&gt;=INDEX(TZ_DSTS,MATCH(P730,TZ_STN,0)),(AD730-INDEX(TZ_STD,MATCH(P730,TZ_STN,0))/24)&lt;INDEX(TZ_DSTE,MATCH(P730,TZ_STN,0))),INDEX(TZ_DST,MATCH(P730,TZ_STN,0)),INDEX(TZ_STD,MATCH(P730,TZ_STN,0))))/24,"")</f>
        <v/>
      </c>
      <c r="AH730" s="65" t="str">
        <f aca="false">IFERROR(IF(N730="N/A – rule","N/A – RULE",IF(TRIM(U730)="N/A",IF(AT730=0,"INVALID – N/A not permitted for this check",IF(AND(TRIM(AB730)&lt;&gt;"",TRIM(AB730)&lt;&gt;"Closed"),"INVALID – corrective action still open",IF(AND(NOT(OR(LEN(AZ730)&lt;15,ISNUMBER(MATCH(AZ730,L_Placeholder,0)))),NOT(OR(LEN(AU730)&lt;2,ISNUMBER(MATCH(AU730,L_Placeholder,0)))),NOT(OR(LEN(AX730)&lt;2,ISNUMBER(MATCH(AX730,L_Placeholder,0)))),TRIM(AE730)&lt;&gt;TRIM(T730)),"N/A – JUSTIFIED","INVALID – N/A needs a real justification (15+ chars), PIC and a different verifier"))),IF(OR(TRIM(U730)="Pass",TRIM(U730)="Pass after CA"),IF(NOT(ISNUMBER(AD730)),"INVALID – completion time missing",IF(OR(LEN(AU730)&lt;2,ISNUMBER(MATCH(AU730,L_Placeholder,0))),"INVALID – PIC missing",IF(OR(LEN(AV730)&lt;2,ISNUMBER(MATCH(AV730,L_Placeholder,0))),"INVALID – result / assessment missing",IF(OR(OR(LEN(AW730)&lt;3,ISNUMBER(MATCH(AW730,L_Placeholder,0))),SUMPRODUCT(--ISNUMBER(SEARCH(L_EvidencePhrase,AW730)))&gt;0),"INVALID – evidence missing, placeholder or not yet on file",IF(OR(LEN(AX730)&lt;2,ISNUMBER(MATCH(AX730,L_Placeholder,0))),"INVALID – verifier missing",IF(AX730=AU730,"INVALID – verifier must be someone other than the PIC",IF(AND(TRIM(U730)="Pass",SUMPRODUCT(--ISNUMBER(SEARCH(L_ResultBad,AV730)))&gt;0),"INVALID – result describes a problem: use Fail, then Pass after CA",IF(AND(AQ730=1,OR(LEN(AY730)&lt;3,ISNUMBER(MATCH(AY730,L_Placeholder,0)))),"INVALID – batch ID missing or placeholder",IF(AND(AR730=1,OR(NOT(ISNUMBER(X730)),NOT(ISNUMBER(Y730)))),"INVALID – expected/actual qty missing",IF(AND(AR730=1,OR(X730&lt;=0,Y730&lt;0)),"INVALID – expected qty must be above 0 and actual not negative",IF(BB730&lt;&gt;"",BB730,IF(AND(AS730=1,Documents!$J$26&lt;&gt;"ON FILE"),"INVALID – GLD not on file (Documents sheet)",IF(AND(AS730=2,Documents!$O$26&lt;&gt;"ON FILE"),"INVALID – menu checklist not on file (Documents sheet)",IF(AND(AS730=3,NOT(ISNUMBER(Flights!$AX$26))),"INVALID – enter carrying flight KUL departure (Flights AX)",IF(AND(AS730=3,OR(Flights!$AZ$26&gt;Flights!$AA$26,Flights!$AX$26&lt;Flights!$AA$26-3)),"INVALID – carrying flight (Flights AX) cannot arrive before this leg's STD, or is over 3 days early",IF(AG730&gt;AsOfUTC,"INVALID – completion time is in the future",IF(AND(ISNUMBER(S730),AG730&lt;S730),IF(H730="Physical uplift","INVALID – before uplift window (cannot confirm loading)","INVALID – before valid window"),IF(AG730&gt;Flights!$AA$26,"INVALID – completed after departure (cannot establish readiness)",IF(AND(H730="Preparation",AG730&gt;IF(ISNUMBER(Flights!$BA$26),MIN(Flights!$BA$26,Flights!$AA$26),Flights!$AA$26)),"INVALID – completed after loading / departure (cannot establish readiness)",IF(AND(H730="Physical uplift",AG730&gt;Q730),"INVALID – recorded after the loading flight departed",IF(AG730&gt;Q730,"COMPLETE – LATE","COMPLETE"))))))))))))))))))))),IF(TRIM(U730)="Fail","FAIL – DISCREPANCY",IF(AND(TRIM(U730)&lt;&gt;"",TRIM(U730)&lt;&gt;"Not started",TRIM(U730)&lt;&gt;"In progress"),"INVALID – unrecognised status (use the list)",IF(AsOfUTC&gt;Q730,"OVERDUE",IF(N730="Clarification required","OPEN – CLARIFICATION","OPEN"))))))),"INVALID – error value in an input cell")</f>
        <v>OPEN</v>
      </c>
      <c r="AI730" s="61" t="n">
        <f aca="false">IF(OR(AH730="N/A – RULE",AH730="N/A – JUSTIFIED"),0,1)</f>
        <v>1</v>
      </c>
      <c r="AJ730" s="61" t="n">
        <f aca="false">IF(LEFT(AH730,8)="COMPLETE",1,0)</f>
        <v>0</v>
      </c>
      <c r="AK730" s="61" t="n">
        <f aca="false">IF(AND(AI730=1,AJ730=0,AsOfUTC&gt;Q730),1,0)</f>
        <v>0</v>
      </c>
      <c r="AL730" s="61" t="n">
        <f aca="false">IFERROR(IF(AND(AI730=1,OR(TRIM(U730)="Fail",AND(TRIM(AB730)&lt;&gt;"",TRIM(AB730)&lt;&gt;"Closed"),AND(ISNUMBER(AF730),AF730&lt;&gt;0,TRIM(U730)&lt;&gt;"Pass after CA"))),1,0),1)</f>
        <v>0</v>
      </c>
      <c r="AM730" s="61" t="n">
        <f aca="false">IF(LEFT(AH730,7)="INVALID",1,0)</f>
        <v>0</v>
      </c>
      <c r="AN730" s="61" t="n">
        <f aca="false">IF(AND(N730="Clarification required",AI730=1,AJ730=0),1,0)</f>
        <v>0</v>
      </c>
      <c r="AO730" s="61" t="str">
        <f aca="false">IF(AK730=1,SUM(AK$5:AK730),"")</f>
        <v/>
      </c>
      <c r="AP730" s="61" t="str">
        <f aca="false">IF(AL730=1,SUM(AL$5:AL730),"")</f>
        <v/>
      </c>
      <c r="AQ730" s="61" t="n">
        <v>0</v>
      </c>
      <c r="AR730" s="61" t="n">
        <v>0</v>
      </c>
      <c r="AS730" s="61" t="n">
        <v>0</v>
      </c>
      <c r="AT730" s="61" t="n">
        <v>0</v>
      </c>
      <c r="AU730" s="61" t="str">
        <f aca="false">SUBSTITUTE(SUBSTITUTE(SUBSTITUTE(SUBSTITUTE(SUBSTITUTE(SUBSTITUTE(SUBSTITUTE(SUBSTITUTE(SUBSTITUTE(SUBSTITUTE(SUBSTITUTE(SUBSTITUTE(SUBSTITUTE(LOWER(T730&amp;""),CHAR(160),"")," ",""),".",""),"-",""),"/",""),"?",""),"_",""),",",""),"[",""),"]",""),"(",""),")",""),"*","")</f>
        <v/>
      </c>
      <c r="AV730" s="61" t="str">
        <f aca="false">SUBSTITUTE(SUBSTITUTE(SUBSTITUTE(SUBSTITUTE(SUBSTITUTE(SUBSTITUTE(SUBSTITUTE(SUBSTITUTE(SUBSTITUTE(SUBSTITUTE(SUBSTITUTE(SUBSTITUTE(SUBSTITUTE(LOWER(V730&amp;""),CHAR(160),"")," ",""),".",""),"-",""),"/",""),"?",""),"_",""),",",""),"[",""),"]",""),"(",""),")",""),"*","")</f>
        <v/>
      </c>
      <c r="AW730" s="61" t="str">
        <f aca="false">SUBSTITUTE(SUBSTITUTE(SUBSTITUTE(SUBSTITUTE(SUBSTITUTE(SUBSTITUTE(SUBSTITUTE(SUBSTITUTE(SUBSTITUTE(SUBSTITUTE(SUBSTITUTE(SUBSTITUTE(SUBSTITUTE(LOWER(Z730&amp;""),CHAR(160),"")," ",""),".",""),"-",""),"/",""),"?",""),"_",""),",",""),"[",""),"]",""),"(",""),")",""),"*","")</f>
        <v/>
      </c>
      <c r="AX730" s="61" t="str">
        <f aca="false">SUBSTITUTE(SUBSTITUTE(SUBSTITUTE(SUBSTITUTE(SUBSTITUTE(SUBSTITUTE(SUBSTITUTE(SUBSTITUTE(SUBSTITUTE(SUBSTITUTE(SUBSTITUTE(SUBSTITUTE(SUBSTITUTE(LOWER(AE730&amp;""),CHAR(160),"")," ",""),".",""),"-",""),"/",""),"?",""),"_",""),",",""),"[",""),"]",""),"(",""),")",""),"*","")</f>
        <v/>
      </c>
      <c r="AY730" s="61" t="str">
        <f aca="false">SUBSTITUTE(SUBSTITUTE(SUBSTITUTE(SUBSTITUTE(SUBSTITUTE(SUBSTITUTE(SUBSTITUTE(SUBSTITUTE(SUBSTITUTE(SUBSTITUTE(SUBSTITUTE(SUBSTITUTE(SUBSTITUTE(LOWER(W730&amp;""),CHAR(160),"")," ",""),".",""),"-",""),"/",""),"?",""),"_",""),",",""),"[",""),"]",""),"(",""),")",""),"*","")</f>
        <v/>
      </c>
      <c r="AZ730" s="61" t="str">
        <f aca="false">SUBSTITUTE(SUBSTITUTE(SUBSTITUTE(SUBSTITUTE(SUBSTITUTE(SUBSTITUTE(SUBSTITUTE(SUBSTITUTE(SUBSTITUTE(SUBSTITUTE(SUBSTITUTE(SUBSTITUTE(SUBSTITUTE(LOWER(AC730&amp;""),CHAR(160),"")," ",""),".",""),"-",""),"/",""),"?",""),"_",""),",",""),"[",""),"]",""),"(",""),")",""),"*","")</f>
        <v/>
      </c>
      <c r="BA730" s="61" t="str">
        <f aca="false">SUBSTITUTE(SUBSTITUTE(SUBSTITUTE(SUBSTITUTE(SUBSTITUTE(SUBSTITUTE(SUBSTITUTE(SUBSTITUTE(SUBSTITUTE(SUBSTITUTE(SUBSTITUTE(SUBSTITUTE(SUBSTITUTE(LOWER(AA730&amp;""),CHAR(160),"")," ",""),".",""),"-",""),"/",""),"?",""),"_",""),",",""),"[",""),"]",""),"(",""),")",""),"*","")</f>
        <v/>
      </c>
      <c r="BB730" s="61" t="str">
        <f aca="false">IF(AND(TRIM(U730)="Pass",ISNUMBER(AF730)),IF(AF730&lt;&gt;0,"INVALID – qty variance: use Fail or Pass after CA",""),"")&amp;IF(AND(TRIM(U730)="Pass after CA",ISNUMBER(AF730)),IF(AF730&lt;&gt;0,"INVALID – after the corrective action the actual qty must equal expected (update Actual)",""),"")&amp;IF(AND(TRIM(U730)="Pass",TRIM(AB730)&lt;&gt;"",TRIM(AB730)&lt;&gt;"Closed"),"INVALID – corrective action not closed: use Fail, then Pass after CA","")&amp;IF(AND(TRIM(AA730)&lt;&gt;"",TRIM(AB730)=""),"INVALID – CA status missing for the recorded corrective action","")&amp;IF(AND(TRIM(U730)="Pass after CA",OR(OR(LEN(BA730)&lt;5,ISNUMBER(MATCH(BA730,L_Placeholder,0))),TRIM(AB730)&lt;&gt;"Closed")),"INVALID – corrective action not recorded/closed","")</f>
        <v/>
      </c>
    </row>
    <row r="731" customFormat="false" ht="41.25" hidden="false" customHeight="true" outlineLevel="0" collapsed="false">
      <c r="A731" s="57" t="s">
        <v>1443</v>
      </c>
      <c r="B731" s="57" t="s">
        <v>309</v>
      </c>
      <c r="C731" s="57" t="str">
        <f aca="false">Flights!$F$26</f>
        <v>MH0002</v>
      </c>
      <c r="D731" s="58" t="n">
        <f aca="false">Flights!$D$26</f>
        <v>46325</v>
      </c>
      <c r="E731" s="57" t="str">
        <f aca="false">Flights!$G$26&amp;"-"&amp;Flights!$H$26</f>
        <v>KUL-LHR</v>
      </c>
      <c r="F731" s="57" t="str">
        <f aca="false">Flights!$K$26</f>
        <v>BC</v>
      </c>
      <c r="G731" s="57" t="s">
        <v>398</v>
      </c>
      <c r="H731" s="57" t="s">
        <v>356</v>
      </c>
      <c r="I731" s="57" t="s">
        <v>425</v>
      </c>
      <c r="J731" s="57" t="s">
        <v>604</v>
      </c>
      <c r="K731" s="67" t="s">
        <v>427</v>
      </c>
      <c r="L731" s="67" t="s">
        <v>732</v>
      </c>
      <c r="M731" s="67" t="s">
        <v>429</v>
      </c>
      <c r="N731" s="67" t="s">
        <v>361</v>
      </c>
      <c r="O731" s="67" t="s">
        <v>481</v>
      </c>
      <c r="P731" s="57" t="s">
        <v>184</v>
      </c>
      <c r="Q731" s="59" t="n">
        <f aca="false">ROUND((Flights!$AE$26)*1440,0)/1440</f>
        <v>46325.1388888889</v>
      </c>
      <c r="R731" s="59" t="n">
        <f aca="false">Q731+(IF(AND(INDEX(TZ_DSTS,MATCH(P731,TZ_STN,0))&lt;&gt;"",Q731&gt;=INDEX(TZ_DSTS,MATCH(P731,TZ_STN,0)),Q731&lt;INDEX(TZ_DSTE,MATCH(P731,TZ_STN,0))),INDEX(TZ_DST,MATCH(P731,TZ_STN,0)),INDEX(TZ_STD,MATCH(P731,TZ_STN,0))))/24</f>
        <v>46325.4722222222</v>
      </c>
      <c r="S731" s="59" t="n">
        <f aca="false">Q731-T12EarlyH/24</f>
        <v>46324.6388888889</v>
      </c>
      <c r="T731" s="60"/>
      <c r="U731" s="60"/>
      <c r="V731" s="60"/>
      <c r="W731" s="61"/>
      <c r="X731" s="60"/>
      <c r="Y731" s="60"/>
      <c r="Z731" s="60"/>
      <c r="AA731" s="60"/>
      <c r="AB731" s="60"/>
      <c r="AC731" s="60"/>
      <c r="AD731" s="66"/>
      <c r="AE731" s="60"/>
      <c r="AF731" s="61" t="str">
        <f aca="false">IF(AND(ISNUMBER(X731),ISNUMBER(Y731)),Y731-X731,"")</f>
        <v/>
      </c>
      <c r="AG731" s="62" t="str">
        <f aca="false">IF(ISNUMBER(AD731),AD731-(IF(AND(INDEX(TZ_DSTS,MATCH(P731,TZ_STN,0))&lt;&gt;"",(AD731-INDEX(TZ_STD,MATCH(P731,TZ_STN,0))/24)&gt;=INDEX(TZ_DSTS,MATCH(P731,TZ_STN,0)),(AD731-INDEX(TZ_STD,MATCH(P731,TZ_STN,0))/24)&lt;INDEX(TZ_DSTE,MATCH(P731,TZ_STN,0))),INDEX(TZ_DST,MATCH(P731,TZ_STN,0)),INDEX(TZ_STD,MATCH(P731,TZ_STN,0))))/24,"")</f>
        <v/>
      </c>
      <c r="AH731" s="65" t="str">
        <f aca="false">IFERROR(IF(N731="N/A – rule","N/A – RULE",IF(TRIM(U731)="N/A",IF(AT731=0,"INVALID – N/A not permitted for this check",IF(AND(TRIM(AB731)&lt;&gt;"",TRIM(AB731)&lt;&gt;"Closed"),"INVALID – corrective action still open",IF(AND(NOT(OR(LEN(AZ731)&lt;15,ISNUMBER(MATCH(AZ731,L_Placeholder,0)))),NOT(OR(LEN(AU731)&lt;2,ISNUMBER(MATCH(AU731,L_Placeholder,0)))),NOT(OR(LEN(AX731)&lt;2,ISNUMBER(MATCH(AX731,L_Placeholder,0)))),TRIM(AE731)&lt;&gt;TRIM(T731)),"N/A – JUSTIFIED","INVALID – N/A needs a real justification (15+ chars), PIC and a different verifier"))),IF(OR(TRIM(U731)="Pass",TRIM(U731)="Pass after CA"),IF(NOT(ISNUMBER(AD731)),"INVALID – completion time missing",IF(OR(LEN(AU731)&lt;2,ISNUMBER(MATCH(AU731,L_Placeholder,0))),"INVALID – PIC missing",IF(OR(LEN(AV731)&lt;2,ISNUMBER(MATCH(AV731,L_Placeholder,0))),"INVALID – result / assessment missing",IF(OR(OR(LEN(AW731)&lt;3,ISNUMBER(MATCH(AW731,L_Placeholder,0))),SUMPRODUCT(--ISNUMBER(SEARCH(L_EvidencePhrase,AW731)))&gt;0),"INVALID – evidence missing, placeholder or not yet on file",IF(OR(LEN(AX731)&lt;2,ISNUMBER(MATCH(AX731,L_Placeholder,0))),"INVALID – verifier missing",IF(AX731=AU731,"INVALID – verifier must be someone other than the PIC",IF(AND(TRIM(U731)="Pass",SUMPRODUCT(--ISNUMBER(SEARCH(L_ResultBad,AV731)))&gt;0),"INVALID – result describes a problem: use Fail, then Pass after CA",IF(AND(AQ731=1,OR(LEN(AY731)&lt;3,ISNUMBER(MATCH(AY731,L_Placeholder,0)))),"INVALID – batch ID missing or placeholder",IF(AND(AR731=1,OR(NOT(ISNUMBER(X731)),NOT(ISNUMBER(Y731)))),"INVALID – expected/actual qty missing",IF(AND(AR731=1,OR(X731&lt;=0,Y731&lt;0)),"INVALID – expected qty must be above 0 and actual not negative",IF(BB731&lt;&gt;"",BB731,IF(AND(AS731=1,Documents!$J$26&lt;&gt;"ON FILE"),"INVALID – GLD not on file (Documents sheet)",IF(AND(AS731=2,Documents!$O$26&lt;&gt;"ON FILE"),"INVALID – menu checklist not on file (Documents sheet)",IF(AND(AS731=3,NOT(ISNUMBER(Flights!$AX$26))),"INVALID – enter carrying flight KUL departure (Flights AX)",IF(AND(AS731=3,OR(Flights!$AZ$26&gt;Flights!$AA$26,Flights!$AX$26&lt;Flights!$AA$26-3)),"INVALID – carrying flight (Flights AX) cannot arrive before this leg's STD, or is over 3 days early",IF(AG731&gt;AsOfUTC,"INVALID – completion time is in the future",IF(AND(ISNUMBER(S731),AG731&lt;S731),IF(H731="Physical uplift","INVALID – before uplift window (cannot confirm loading)","INVALID – before valid window"),IF(AG731&gt;Flights!$AA$26,"INVALID – completed after departure (cannot establish readiness)",IF(AND(H731="Preparation",AG731&gt;IF(ISNUMBER(Flights!$BA$26),MIN(Flights!$BA$26,Flights!$AA$26),Flights!$AA$26)),"INVALID – completed after loading / departure (cannot establish readiness)",IF(AND(H731="Physical uplift",AG731&gt;Q731),"INVALID – recorded after the loading flight departed",IF(AG731&gt;Q731,"COMPLETE – LATE","COMPLETE"))))))))))))))))))))),IF(TRIM(U731)="Fail","FAIL – DISCREPANCY",IF(AND(TRIM(U731)&lt;&gt;"",TRIM(U731)&lt;&gt;"Not started",TRIM(U731)&lt;&gt;"In progress"),"INVALID – unrecognised status (use the list)",IF(AsOfUTC&gt;Q731,"OVERDUE",IF(N731="Clarification required","OPEN – CLARIFICATION","OPEN"))))))),"INVALID – error value in an input cell")</f>
        <v>OPEN</v>
      </c>
      <c r="AI731" s="61" t="n">
        <f aca="false">IF(OR(AH731="N/A – RULE",AH731="N/A – JUSTIFIED"),0,1)</f>
        <v>1</v>
      </c>
      <c r="AJ731" s="61" t="n">
        <f aca="false">IF(LEFT(AH731,8)="COMPLETE",1,0)</f>
        <v>0</v>
      </c>
      <c r="AK731" s="61" t="n">
        <f aca="false">IF(AND(AI731=1,AJ731=0,AsOfUTC&gt;Q731),1,0)</f>
        <v>0</v>
      </c>
      <c r="AL731" s="61" t="n">
        <f aca="false">IFERROR(IF(AND(AI731=1,OR(TRIM(U731)="Fail",AND(TRIM(AB731)&lt;&gt;"",TRIM(AB731)&lt;&gt;"Closed"),AND(ISNUMBER(AF731),AF731&lt;&gt;0,TRIM(U731)&lt;&gt;"Pass after CA"))),1,0),1)</f>
        <v>0</v>
      </c>
      <c r="AM731" s="61" t="n">
        <f aca="false">IF(LEFT(AH731,7)="INVALID",1,0)</f>
        <v>0</v>
      </c>
      <c r="AN731" s="61" t="n">
        <f aca="false">IF(AND(N731="Clarification required",AI731=1,AJ731=0),1,0)</f>
        <v>0</v>
      </c>
      <c r="AO731" s="61" t="str">
        <f aca="false">IF(AK731=1,SUM(AK$5:AK731),"")</f>
        <v/>
      </c>
      <c r="AP731" s="61" t="str">
        <f aca="false">IF(AL731=1,SUM(AL$5:AL731),"")</f>
        <v/>
      </c>
      <c r="AQ731" s="61" t="n">
        <v>0</v>
      </c>
      <c r="AR731" s="61" t="n">
        <v>0</v>
      </c>
      <c r="AS731" s="61" t="n">
        <v>0</v>
      </c>
      <c r="AT731" s="61" t="n">
        <v>0</v>
      </c>
      <c r="AU731" s="61" t="str">
        <f aca="false">SUBSTITUTE(SUBSTITUTE(SUBSTITUTE(SUBSTITUTE(SUBSTITUTE(SUBSTITUTE(SUBSTITUTE(SUBSTITUTE(SUBSTITUTE(SUBSTITUTE(SUBSTITUTE(SUBSTITUTE(SUBSTITUTE(LOWER(T731&amp;""),CHAR(160),"")," ",""),".",""),"-",""),"/",""),"?",""),"_",""),",",""),"[",""),"]",""),"(",""),")",""),"*","")</f>
        <v/>
      </c>
      <c r="AV731" s="61" t="str">
        <f aca="false">SUBSTITUTE(SUBSTITUTE(SUBSTITUTE(SUBSTITUTE(SUBSTITUTE(SUBSTITUTE(SUBSTITUTE(SUBSTITUTE(SUBSTITUTE(SUBSTITUTE(SUBSTITUTE(SUBSTITUTE(SUBSTITUTE(LOWER(V731&amp;""),CHAR(160),"")," ",""),".",""),"-",""),"/",""),"?",""),"_",""),",",""),"[",""),"]",""),"(",""),")",""),"*","")</f>
        <v/>
      </c>
      <c r="AW731" s="61" t="str">
        <f aca="false">SUBSTITUTE(SUBSTITUTE(SUBSTITUTE(SUBSTITUTE(SUBSTITUTE(SUBSTITUTE(SUBSTITUTE(SUBSTITUTE(SUBSTITUTE(SUBSTITUTE(SUBSTITUTE(SUBSTITUTE(SUBSTITUTE(LOWER(Z731&amp;""),CHAR(160),"")," ",""),".",""),"-",""),"/",""),"?",""),"_",""),",",""),"[",""),"]",""),"(",""),")",""),"*","")</f>
        <v/>
      </c>
      <c r="AX731" s="61" t="str">
        <f aca="false">SUBSTITUTE(SUBSTITUTE(SUBSTITUTE(SUBSTITUTE(SUBSTITUTE(SUBSTITUTE(SUBSTITUTE(SUBSTITUTE(SUBSTITUTE(SUBSTITUTE(SUBSTITUTE(SUBSTITUTE(SUBSTITUTE(LOWER(AE731&amp;""),CHAR(160),"")," ",""),".",""),"-",""),"/",""),"?",""),"_",""),",",""),"[",""),"]",""),"(",""),")",""),"*","")</f>
        <v/>
      </c>
      <c r="AY731" s="61" t="str">
        <f aca="false">SUBSTITUTE(SUBSTITUTE(SUBSTITUTE(SUBSTITUTE(SUBSTITUTE(SUBSTITUTE(SUBSTITUTE(SUBSTITUTE(SUBSTITUTE(SUBSTITUTE(SUBSTITUTE(SUBSTITUTE(SUBSTITUTE(LOWER(W731&amp;""),CHAR(160),"")," ",""),".",""),"-",""),"/",""),"?",""),"_",""),",",""),"[",""),"]",""),"(",""),")",""),"*","")</f>
        <v/>
      </c>
      <c r="AZ731" s="61" t="str">
        <f aca="false">SUBSTITUTE(SUBSTITUTE(SUBSTITUTE(SUBSTITUTE(SUBSTITUTE(SUBSTITUTE(SUBSTITUTE(SUBSTITUTE(SUBSTITUTE(SUBSTITUTE(SUBSTITUTE(SUBSTITUTE(SUBSTITUTE(LOWER(AC731&amp;""),CHAR(160),"")," ",""),".",""),"-",""),"/",""),"?",""),"_",""),",",""),"[",""),"]",""),"(",""),")",""),"*","")</f>
        <v/>
      </c>
      <c r="BA731" s="61" t="str">
        <f aca="false">SUBSTITUTE(SUBSTITUTE(SUBSTITUTE(SUBSTITUTE(SUBSTITUTE(SUBSTITUTE(SUBSTITUTE(SUBSTITUTE(SUBSTITUTE(SUBSTITUTE(SUBSTITUTE(SUBSTITUTE(SUBSTITUTE(LOWER(AA731&amp;""),CHAR(160),"")," ",""),".",""),"-",""),"/",""),"?",""),"_",""),",",""),"[",""),"]",""),"(",""),")",""),"*","")</f>
        <v/>
      </c>
      <c r="BB731" s="61" t="str">
        <f aca="false">IF(AND(TRIM(U731)="Pass",ISNUMBER(AF731)),IF(AF731&lt;&gt;0,"INVALID – qty variance: use Fail or Pass after CA",""),"")&amp;IF(AND(TRIM(U731)="Pass after CA",ISNUMBER(AF731)),IF(AF731&lt;&gt;0,"INVALID – after the corrective action the actual qty must equal expected (update Actual)",""),"")&amp;IF(AND(TRIM(U731)="Pass",TRIM(AB731)&lt;&gt;"",TRIM(AB731)&lt;&gt;"Closed"),"INVALID – corrective action not closed: use Fail, then Pass after CA","")&amp;IF(AND(TRIM(AA731)&lt;&gt;"",TRIM(AB731)=""),"INVALID – CA status missing for the recorded corrective action","")&amp;IF(AND(TRIM(U731)="Pass after CA",OR(OR(LEN(BA731)&lt;5,ISNUMBER(MATCH(BA731,L_Placeholder,0))),TRIM(AB731)&lt;&gt;"Closed")),"INVALID – corrective action not recorded/closed","")</f>
        <v/>
      </c>
    </row>
    <row r="732" customFormat="false" ht="39.75" hidden="false" customHeight="true" outlineLevel="0" collapsed="false">
      <c r="A732" s="57" t="s">
        <v>1444</v>
      </c>
      <c r="B732" s="57" t="s">
        <v>309</v>
      </c>
      <c r="C732" s="57" t="str">
        <f aca="false">Flights!$F$26</f>
        <v>MH0002</v>
      </c>
      <c r="D732" s="58" t="n">
        <f aca="false">Flights!$D$26</f>
        <v>46325</v>
      </c>
      <c r="E732" s="57" t="str">
        <f aca="false">Flights!$G$26&amp;"-"&amp;Flights!$H$26</f>
        <v>KUL-LHR</v>
      </c>
      <c r="F732" s="57" t="str">
        <f aca="false">Flights!$K$26</f>
        <v>BC</v>
      </c>
      <c r="G732" s="57" t="s">
        <v>398</v>
      </c>
      <c r="H732" s="57" t="s">
        <v>356</v>
      </c>
      <c r="I732" s="57" t="s">
        <v>607</v>
      </c>
      <c r="J732" s="57" t="s">
        <v>608</v>
      </c>
      <c r="K732" s="67" t="s">
        <v>479</v>
      </c>
      <c r="L732" s="67" t="s">
        <v>734</v>
      </c>
      <c r="M732" s="67" t="s">
        <v>184</v>
      </c>
      <c r="N732" s="67" t="s">
        <v>361</v>
      </c>
      <c r="O732" s="67" t="s">
        <v>610</v>
      </c>
      <c r="P732" s="57" t="s">
        <v>184</v>
      </c>
      <c r="Q732" s="59" t="n">
        <f aca="false">ROUND((Flights!$AE$26)*1440,0)/1440</f>
        <v>46325.1388888889</v>
      </c>
      <c r="R732" s="59" t="n">
        <f aca="false">Q732+(IF(AND(INDEX(TZ_DSTS,MATCH(P732,TZ_STN,0))&lt;&gt;"",Q732&gt;=INDEX(TZ_DSTS,MATCH(P732,TZ_STN,0)),Q732&lt;INDEX(TZ_DSTE,MATCH(P732,TZ_STN,0))),INDEX(TZ_DST,MATCH(P732,TZ_STN,0)),INDEX(TZ_STD,MATCH(P732,TZ_STN,0))))/24</f>
        <v>46325.4722222222</v>
      </c>
      <c r="S732" s="59" t="n">
        <f aca="false">Q732-T12EarlyH/24</f>
        <v>46324.6388888889</v>
      </c>
      <c r="T732" s="60"/>
      <c r="U732" s="60"/>
      <c r="V732" s="60"/>
      <c r="W732" s="61"/>
      <c r="X732" s="60"/>
      <c r="Y732" s="60"/>
      <c r="Z732" s="60"/>
      <c r="AA732" s="60"/>
      <c r="AB732" s="60"/>
      <c r="AC732" s="60"/>
      <c r="AD732" s="66"/>
      <c r="AE732" s="60"/>
      <c r="AF732" s="61" t="str">
        <f aca="false">IF(AND(ISNUMBER(X732),ISNUMBER(Y732)),Y732-X732,"")</f>
        <v/>
      </c>
      <c r="AG732" s="62" t="str">
        <f aca="false">IF(ISNUMBER(AD732),AD732-(IF(AND(INDEX(TZ_DSTS,MATCH(P732,TZ_STN,0))&lt;&gt;"",(AD732-INDEX(TZ_STD,MATCH(P732,TZ_STN,0))/24)&gt;=INDEX(TZ_DSTS,MATCH(P732,TZ_STN,0)),(AD732-INDEX(TZ_STD,MATCH(P732,TZ_STN,0))/24)&lt;INDEX(TZ_DSTE,MATCH(P732,TZ_STN,0))),INDEX(TZ_DST,MATCH(P732,TZ_STN,0)),INDEX(TZ_STD,MATCH(P732,TZ_STN,0))))/24,"")</f>
        <v/>
      </c>
      <c r="AH732" s="65" t="str">
        <f aca="false">IFERROR(IF(N732="N/A – rule","N/A – RULE",IF(TRIM(U732)="N/A",IF(AT732=0,"INVALID – N/A not permitted for this check",IF(AND(TRIM(AB732)&lt;&gt;"",TRIM(AB732)&lt;&gt;"Closed"),"INVALID – corrective action still open",IF(AND(NOT(OR(LEN(AZ732)&lt;15,ISNUMBER(MATCH(AZ732,L_Placeholder,0)))),NOT(OR(LEN(AU732)&lt;2,ISNUMBER(MATCH(AU732,L_Placeholder,0)))),NOT(OR(LEN(AX732)&lt;2,ISNUMBER(MATCH(AX732,L_Placeholder,0)))),TRIM(AE732)&lt;&gt;TRIM(T732)),"N/A – JUSTIFIED","INVALID – N/A needs a real justification (15+ chars), PIC and a different verifier"))),IF(OR(TRIM(U732)="Pass",TRIM(U732)="Pass after CA"),IF(NOT(ISNUMBER(AD732)),"INVALID – completion time missing",IF(OR(LEN(AU732)&lt;2,ISNUMBER(MATCH(AU732,L_Placeholder,0))),"INVALID – PIC missing",IF(OR(LEN(AV732)&lt;2,ISNUMBER(MATCH(AV732,L_Placeholder,0))),"INVALID – result / assessment missing",IF(OR(OR(LEN(AW732)&lt;3,ISNUMBER(MATCH(AW732,L_Placeholder,0))),SUMPRODUCT(--ISNUMBER(SEARCH(L_EvidencePhrase,AW732)))&gt;0),"INVALID – evidence missing, placeholder or not yet on file",IF(OR(LEN(AX732)&lt;2,ISNUMBER(MATCH(AX732,L_Placeholder,0))),"INVALID – verifier missing",IF(AX732=AU732,"INVALID – verifier must be someone other than the PIC",IF(AND(TRIM(U732)="Pass",SUMPRODUCT(--ISNUMBER(SEARCH(L_ResultBad,AV732)))&gt;0),"INVALID – result describes a problem: use Fail, then Pass after CA",IF(AND(AQ732=1,OR(LEN(AY732)&lt;3,ISNUMBER(MATCH(AY732,L_Placeholder,0)))),"INVALID – batch ID missing or placeholder",IF(AND(AR732=1,OR(NOT(ISNUMBER(X732)),NOT(ISNUMBER(Y732)))),"INVALID – expected/actual qty missing",IF(AND(AR732=1,OR(X732&lt;=0,Y732&lt;0)),"INVALID – expected qty must be above 0 and actual not negative",IF(BB732&lt;&gt;"",BB732,IF(AND(AS732=1,Documents!$J$26&lt;&gt;"ON FILE"),"INVALID – GLD not on file (Documents sheet)",IF(AND(AS732=2,Documents!$O$26&lt;&gt;"ON FILE"),"INVALID – menu checklist not on file (Documents sheet)",IF(AND(AS732=3,NOT(ISNUMBER(Flights!$AX$26))),"INVALID – enter carrying flight KUL departure (Flights AX)",IF(AND(AS732=3,OR(Flights!$AZ$26&gt;Flights!$AA$26,Flights!$AX$26&lt;Flights!$AA$26-3)),"INVALID – carrying flight (Flights AX) cannot arrive before this leg's STD, or is over 3 days early",IF(AG732&gt;AsOfUTC,"INVALID – completion time is in the future",IF(AND(ISNUMBER(S732),AG732&lt;S732),IF(H732="Physical uplift","INVALID – before uplift window (cannot confirm loading)","INVALID – before valid window"),IF(AG732&gt;Flights!$AA$26,"INVALID – completed after departure (cannot establish readiness)",IF(AND(H732="Preparation",AG732&gt;IF(ISNUMBER(Flights!$BA$26),MIN(Flights!$BA$26,Flights!$AA$26),Flights!$AA$26)),"INVALID – completed after loading / departure (cannot establish readiness)",IF(AND(H732="Physical uplift",AG732&gt;Q732),"INVALID – recorded after the loading flight departed",IF(AG732&gt;Q732,"COMPLETE – LATE","COMPLETE"))))))))))))))))))))),IF(TRIM(U732)="Fail","FAIL – DISCREPANCY",IF(AND(TRIM(U732)&lt;&gt;"",TRIM(U732)&lt;&gt;"Not started",TRIM(U732)&lt;&gt;"In progress"),"INVALID – unrecognised status (use the list)",IF(AsOfUTC&gt;Q732,"OVERDUE",IF(N732="Clarification required","OPEN – CLARIFICATION","OPEN"))))))),"INVALID – error value in an input cell")</f>
        <v>OPEN</v>
      </c>
      <c r="AI732" s="61" t="n">
        <f aca="false">IF(OR(AH732="N/A – RULE",AH732="N/A – JUSTIFIED"),0,1)</f>
        <v>1</v>
      </c>
      <c r="AJ732" s="61" t="n">
        <f aca="false">IF(LEFT(AH732,8)="COMPLETE",1,0)</f>
        <v>0</v>
      </c>
      <c r="AK732" s="61" t="n">
        <f aca="false">IF(AND(AI732=1,AJ732=0,AsOfUTC&gt;Q732),1,0)</f>
        <v>0</v>
      </c>
      <c r="AL732" s="61" t="n">
        <f aca="false">IFERROR(IF(AND(AI732=1,OR(TRIM(U732)="Fail",AND(TRIM(AB732)&lt;&gt;"",TRIM(AB732)&lt;&gt;"Closed"),AND(ISNUMBER(AF732),AF732&lt;&gt;0,TRIM(U732)&lt;&gt;"Pass after CA"))),1,0),1)</f>
        <v>0</v>
      </c>
      <c r="AM732" s="61" t="n">
        <f aca="false">IF(LEFT(AH732,7)="INVALID",1,0)</f>
        <v>0</v>
      </c>
      <c r="AN732" s="61" t="n">
        <f aca="false">IF(AND(N732="Clarification required",AI732=1,AJ732=0),1,0)</f>
        <v>0</v>
      </c>
      <c r="AO732" s="61" t="str">
        <f aca="false">IF(AK732=1,SUM(AK$5:AK732),"")</f>
        <v/>
      </c>
      <c r="AP732" s="61" t="str">
        <f aca="false">IF(AL732=1,SUM(AL$5:AL732),"")</f>
        <v/>
      </c>
      <c r="AQ732" s="61" t="n">
        <v>0</v>
      </c>
      <c r="AR732" s="61" t="n">
        <v>0</v>
      </c>
      <c r="AS732" s="61" t="n">
        <v>0</v>
      </c>
      <c r="AT732" s="61" t="n">
        <v>0</v>
      </c>
      <c r="AU732" s="61" t="str">
        <f aca="false">SUBSTITUTE(SUBSTITUTE(SUBSTITUTE(SUBSTITUTE(SUBSTITUTE(SUBSTITUTE(SUBSTITUTE(SUBSTITUTE(SUBSTITUTE(SUBSTITUTE(SUBSTITUTE(SUBSTITUTE(SUBSTITUTE(LOWER(T732&amp;""),CHAR(160),"")," ",""),".",""),"-",""),"/",""),"?",""),"_",""),",",""),"[",""),"]",""),"(",""),")",""),"*","")</f>
        <v/>
      </c>
      <c r="AV732" s="61" t="str">
        <f aca="false">SUBSTITUTE(SUBSTITUTE(SUBSTITUTE(SUBSTITUTE(SUBSTITUTE(SUBSTITUTE(SUBSTITUTE(SUBSTITUTE(SUBSTITUTE(SUBSTITUTE(SUBSTITUTE(SUBSTITUTE(SUBSTITUTE(LOWER(V732&amp;""),CHAR(160),"")," ",""),".",""),"-",""),"/",""),"?",""),"_",""),",",""),"[",""),"]",""),"(",""),")",""),"*","")</f>
        <v/>
      </c>
      <c r="AW732" s="61" t="str">
        <f aca="false">SUBSTITUTE(SUBSTITUTE(SUBSTITUTE(SUBSTITUTE(SUBSTITUTE(SUBSTITUTE(SUBSTITUTE(SUBSTITUTE(SUBSTITUTE(SUBSTITUTE(SUBSTITUTE(SUBSTITUTE(SUBSTITUTE(LOWER(Z732&amp;""),CHAR(160),"")," ",""),".",""),"-",""),"/",""),"?",""),"_",""),",",""),"[",""),"]",""),"(",""),")",""),"*","")</f>
        <v/>
      </c>
      <c r="AX732" s="61" t="str">
        <f aca="false">SUBSTITUTE(SUBSTITUTE(SUBSTITUTE(SUBSTITUTE(SUBSTITUTE(SUBSTITUTE(SUBSTITUTE(SUBSTITUTE(SUBSTITUTE(SUBSTITUTE(SUBSTITUTE(SUBSTITUTE(SUBSTITUTE(LOWER(AE732&amp;""),CHAR(160),"")," ",""),".",""),"-",""),"/",""),"?",""),"_",""),",",""),"[",""),"]",""),"(",""),")",""),"*","")</f>
        <v/>
      </c>
      <c r="AY732" s="61" t="str">
        <f aca="false">SUBSTITUTE(SUBSTITUTE(SUBSTITUTE(SUBSTITUTE(SUBSTITUTE(SUBSTITUTE(SUBSTITUTE(SUBSTITUTE(SUBSTITUTE(SUBSTITUTE(SUBSTITUTE(SUBSTITUTE(SUBSTITUTE(LOWER(W732&amp;""),CHAR(160),"")," ",""),".",""),"-",""),"/",""),"?",""),"_",""),",",""),"[",""),"]",""),"(",""),")",""),"*","")</f>
        <v/>
      </c>
      <c r="AZ732" s="61" t="str">
        <f aca="false">SUBSTITUTE(SUBSTITUTE(SUBSTITUTE(SUBSTITUTE(SUBSTITUTE(SUBSTITUTE(SUBSTITUTE(SUBSTITUTE(SUBSTITUTE(SUBSTITUTE(SUBSTITUTE(SUBSTITUTE(SUBSTITUTE(LOWER(AC732&amp;""),CHAR(160),"")," ",""),".",""),"-",""),"/",""),"?",""),"_",""),",",""),"[",""),"]",""),"(",""),")",""),"*","")</f>
        <v/>
      </c>
      <c r="BA732" s="61" t="str">
        <f aca="false">SUBSTITUTE(SUBSTITUTE(SUBSTITUTE(SUBSTITUTE(SUBSTITUTE(SUBSTITUTE(SUBSTITUTE(SUBSTITUTE(SUBSTITUTE(SUBSTITUTE(SUBSTITUTE(SUBSTITUTE(SUBSTITUTE(LOWER(AA732&amp;""),CHAR(160),"")," ",""),".",""),"-",""),"/",""),"?",""),"_",""),",",""),"[",""),"]",""),"(",""),")",""),"*","")</f>
        <v/>
      </c>
      <c r="BB732" s="61" t="str">
        <f aca="false">IF(AND(TRIM(U732)="Pass",ISNUMBER(AF732)),IF(AF732&lt;&gt;0,"INVALID – qty variance: use Fail or Pass after CA",""),"")&amp;IF(AND(TRIM(U732)="Pass after CA",ISNUMBER(AF732)),IF(AF732&lt;&gt;0,"INVALID – after the corrective action the actual qty must equal expected (update Actual)",""),"")&amp;IF(AND(TRIM(U732)="Pass",TRIM(AB732)&lt;&gt;"",TRIM(AB732)&lt;&gt;"Closed"),"INVALID – corrective action not closed: use Fail, then Pass after CA","")&amp;IF(AND(TRIM(AA732)&lt;&gt;"",TRIM(AB732)=""),"INVALID – CA status missing for the recorded corrective action","")&amp;IF(AND(TRIM(U732)="Pass after CA",OR(OR(LEN(BA732)&lt;5,ISNUMBER(MATCH(BA732,L_Placeholder,0))),TRIM(AB732)&lt;&gt;"Closed")),"INVALID – corrective action not recorded/closed","")</f>
        <v/>
      </c>
    </row>
    <row r="733" customFormat="false" ht="39.75" hidden="false" customHeight="true" outlineLevel="0" collapsed="false">
      <c r="A733" s="57" t="s">
        <v>1445</v>
      </c>
      <c r="B733" s="57" t="s">
        <v>309</v>
      </c>
      <c r="C733" s="57" t="str">
        <f aca="false">Flights!$F$26</f>
        <v>MH0002</v>
      </c>
      <c r="D733" s="58" t="n">
        <f aca="false">Flights!$D$26</f>
        <v>46325</v>
      </c>
      <c r="E733" s="57" t="str">
        <f aca="false">Flights!$G$26&amp;"-"&amp;Flights!$H$26</f>
        <v>KUL-LHR</v>
      </c>
      <c r="F733" s="57" t="str">
        <f aca="false">Flights!$K$26</f>
        <v>BC</v>
      </c>
      <c r="G733" s="57" t="s">
        <v>437</v>
      </c>
      <c r="H733" s="57" t="s">
        <v>438</v>
      </c>
      <c r="I733" s="57" t="s">
        <v>357</v>
      </c>
      <c r="J733" s="57" t="s">
        <v>439</v>
      </c>
      <c r="K733" s="67" t="s">
        <v>404</v>
      </c>
      <c r="L733" s="67" t="s">
        <v>440</v>
      </c>
      <c r="M733" s="67"/>
      <c r="N733" s="67" t="s">
        <v>361</v>
      </c>
      <c r="O733" s="67" t="s">
        <v>441</v>
      </c>
      <c r="P733" s="57" t="s">
        <v>184</v>
      </c>
      <c r="Q733" s="59" t="n">
        <f aca="false">ROUND((Flights!$AF$26)*1440,0)/1440</f>
        <v>46325.6388888889</v>
      </c>
      <c r="R733" s="59" t="n">
        <f aca="false">Q733+(IF(AND(INDEX(TZ_DSTS,MATCH(P733,TZ_STN,0))&lt;&gt;"",Q733&gt;=INDEX(TZ_DSTS,MATCH(P733,TZ_STN,0)),Q733&lt;INDEX(TZ_DSTE,MATCH(P733,TZ_STN,0))),INDEX(TZ_DST,MATCH(P733,TZ_STN,0)),INDEX(TZ_STD,MATCH(P733,TZ_STN,0))))/24</f>
        <v>46325.9722222222</v>
      </c>
      <c r="S733" s="59" t="n">
        <f aca="false">IF(ISNUMBER(Flights!$AZ$26),MAX(Q733-UpliftWindowH/24,Flights!$AZ$26),Q733-UpliftWindowH/24)</f>
        <v>46325.3888888889</v>
      </c>
      <c r="T733" s="60"/>
      <c r="U733" s="60"/>
      <c r="V733" s="60"/>
      <c r="W733" s="61"/>
      <c r="X733" s="60"/>
      <c r="Y733" s="60"/>
      <c r="Z733" s="60"/>
      <c r="AA733" s="60"/>
      <c r="AB733" s="60"/>
      <c r="AC733" s="60"/>
      <c r="AD733" s="66"/>
      <c r="AE733" s="60"/>
      <c r="AF733" s="61" t="str">
        <f aca="false">IF(AND(ISNUMBER(X733),ISNUMBER(Y733)),Y733-X733,"")</f>
        <v/>
      </c>
      <c r="AG733" s="62" t="str">
        <f aca="false">IF(ISNUMBER(AD733),AD733-(IF(AND(INDEX(TZ_DSTS,MATCH(P733,TZ_STN,0))&lt;&gt;"",(AD733-INDEX(TZ_STD,MATCH(P733,TZ_STN,0))/24)&gt;=INDEX(TZ_DSTS,MATCH(P733,TZ_STN,0)),(AD733-INDEX(TZ_STD,MATCH(P733,TZ_STN,0))/24)&lt;INDEX(TZ_DSTE,MATCH(P733,TZ_STN,0))),INDEX(TZ_DST,MATCH(P733,TZ_STN,0)),INDEX(TZ_STD,MATCH(P733,TZ_STN,0))))/24,"")</f>
        <v/>
      </c>
      <c r="AH733" s="65" t="str">
        <f aca="false">IFERROR(IF(N733="N/A – rule","N/A – RULE",IF(TRIM(U733)="N/A",IF(AT733=0,"INVALID – N/A not permitted for this check",IF(AND(TRIM(AB733)&lt;&gt;"",TRIM(AB733)&lt;&gt;"Closed"),"INVALID – corrective action still open",IF(AND(NOT(OR(LEN(AZ733)&lt;15,ISNUMBER(MATCH(AZ733,L_Placeholder,0)))),NOT(OR(LEN(AU733)&lt;2,ISNUMBER(MATCH(AU733,L_Placeholder,0)))),NOT(OR(LEN(AX733)&lt;2,ISNUMBER(MATCH(AX733,L_Placeholder,0)))),TRIM(AE733)&lt;&gt;TRIM(T733)),"N/A – JUSTIFIED","INVALID – N/A needs a real justification (15+ chars), PIC and a different verifier"))),IF(OR(TRIM(U733)="Pass",TRIM(U733)="Pass after CA"),IF(NOT(ISNUMBER(AD733)),"INVALID – completion time missing",IF(OR(LEN(AU733)&lt;2,ISNUMBER(MATCH(AU733,L_Placeholder,0))),"INVALID – PIC missing",IF(OR(LEN(AV733)&lt;2,ISNUMBER(MATCH(AV733,L_Placeholder,0))),"INVALID – result / assessment missing",IF(OR(OR(LEN(AW733)&lt;3,ISNUMBER(MATCH(AW733,L_Placeholder,0))),SUMPRODUCT(--ISNUMBER(SEARCH(L_EvidencePhrase,AW733)))&gt;0),"INVALID – evidence missing, placeholder or not yet on file",IF(OR(LEN(AX733)&lt;2,ISNUMBER(MATCH(AX733,L_Placeholder,0))),"INVALID – verifier missing",IF(AX733=AU733,"INVALID – verifier must be someone other than the PIC",IF(AND(TRIM(U733)="Pass",SUMPRODUCT(--ISNUMBER(SEARCH(L_ResultBad,AV733)))&gt;0),"INVALID – result describes a problem: use Fail, then Pass after CA",IF(AND(AQ733=1,OR(LEN(AY733)&lt;3,ISNUMBER(MATCH(AY733,L_Placeholder,0)))),"INVALID – batch ID missing or placeholder",IF(AND(AR733=1,OR(NOT(ISNUMBER(X733)),NOT(ISNUMBER(Y733)))),"INVALID – expected/actual qty missing",IF(AND(AR733=1,OR(X733&lt;=0,Y733&lt;0)),"INVALID – expected qty must be above 0 and actual not negative",IF(AH713="N/A – JUSTIFIED","INVALID – preparation row F22-T12-02 is N/A",IF(AND(AR733=1,ISNUMBER(X713),X733&lt;&gt;X713),"INVALID – expected qty differs from preparation check F22-T12-02",IF(BB733&lt;&gt;"",BB733,IF(AND(AS733=1,Documents!$J$26&lt;&gt;"ON FILE"),"INVALID – GLD not on file (Documents sheet)",IF(AND(AS733=2,Documents!$O$26&lt;&gt;"ON FILE"),"INVALID – menu checklist not on file (Documents sheet)",IF(AND(AS733=3,NOT(ISNUMBER(Flights!$AX$26))),"INVALID – enter carrying flight KUL departure (Flights AX)",IF(AND(AS733=3,OR(Flights!$AZ$26&gt;Flights!$AA$26,Flights!$AX$26&lt;Flights!$AA$26-3)),"INVALID – carrying flight (Flights AX) cannot arrive before this leg's STD, or is over 3 days early",IF(AG733&gt;AsOfUTC,"INVALID – completion time is in the future",IF(AND(ISNUMBER(S733),AG733&lt;S733),IF(H733="Physical uplift","INVALID – before uplift window (cannot confirm loading)","INVALID – before valid window"),IF(AG733&gt;Flights!$AA$26,"INVALID – completed after departure (cannot establish readiness)",IF(AND(H733="Preparation",AG733&gt;IF(ISNUMBER(Flights!$BA$26),MIN(Flights!$BA$26,Flights!$AA$26),Flights!$AA$26)),"INVALID – completed after loading / departure (cannot establish readiness)",IF(AND(H733="Physical uplift",AG733&gt;Q733),"INVALID – recorded after the loading flight departed",IF(AG733&gt;Q733,"COMPLETE – LATE","COMPLETE"))))))))))))))))))))))),IF(TRIM(U733)="Fail","FAIL – DISCREPANCY",IF(AND(TRIM(U733)&lt;&gt;"",TRIM(U733)&lt;&gt;"Not started",TRIM(U733)&lt;&gt;"In progress"),"INVALID – unrecognised status (use the list)",IF(AsOfUTC&gt;Q733,"OVERDUE",IF(N733="Clarification required","OPEN – CLARIFICATION","OPEN"))))))),"INVALID – error value in an input cell")</f>
        <v>OPEN</v>
      </c>
      <c r="AI733" s="61" t="n">
        <f aca="false">IF(OR(AH733="N/A – RULE",AH733="N/A – JUSTIFIED"),0,1)</f>
        <v>1</v>
      </c>
      <c r="AJ733" s="61" t="n">
        <f aca="false">IF(LEFT(AH733,8)="COMPLETE",1,0)</f>
        <v>0</v>
      </c>
      <c r="AK733" s="61" t="n">
        <f aca="false">IF(AND(AI733=1,AJ733=0,AsOfUTC&gt;Q733),1,0)</f>
        <v>0</v>
      </c>
      <c r="AL733" s="61" t="n">
        <f aca="false">IFERROR(IF(AND(AI733=1,OR(TRIM(U733)="Fail",AND(TRIM(AB733)&lt;&gt;"",TRIM(AB733)&lt;&gt;"Closed"),AND(ISNUMBER(AF733),AF733&lt;&gt;0,TRIM(U733)&lt;&gt;"Pass after CA"))),1,0),1)</f>
        <v>0</v>
      </c>
      <c r="AM733" s="61" t="n">
        <f aca="false">IF(LEFT(AH733,7)="INVALID",1,0)</f>
        <v>0</v>
      </c>
      <c r="AN733" s="61" t="n">
        <f aca="false">IF(AND(N733="Clarification required",AI733=1,AJ733=0),1,0)</f>
        <v>0</v>
      </c>
      <c r="AO733" s="61" t="str">
        <f aca="false">IF(AK733=1,SUM(AK$5:AK733),"")</f>
        <v/>
      </c>
      <c r="AP733" s="61" t="str">
        <f aca="false">IF(AL733=1,SUM(AL$5:AL733),"")</f>
        <v/>
      </c>
      <c r="AQ733" s="61" t="n">
        <v>0</v>
      </c>
      <c r="AR733" s="61" t="n">
        <v>1</v>
      </c>
      <c r="AS733" s="61" t="n">
        <v>0</v>
      </c>
      <c r="AT733" s="61" t="n">
        <v>0</v>
      </c>
      <c r="AU733" s="61" t="str">
        <f aca="false">SUBSTITUTE(SUBSTITUTE(SUBSTITUTE(SUBSTITUTE(SUBSTITUTE(SUBSTITUTE(SUBSTITUTE(SUBSTITUTE(SUBSTITUTE(SUBSTITUTE(SUBSTITUTE(SUBSTITUTE(SUBSTITUTE(LOWER(T733&amp;""),CHAR(160),"")," ",""),".",""),"-",""),"/",""),"?",""),"_",""),",",""),"[",""),"]",""),"(",""),")",""),"*","")</f>
        <v/>
      </c>
      <c r="AV733" s="61" t="str">
        <f aca="false">SUBSTITUTE(SUBSTITUTE(SUBSTITUTE(SUBSTITUTE(SUBSTITUTE(SUBSTITUTE(SUBSTITUTE(SUBSTITUTE(SUBSTITUTE(SUBSTITUTE(SUBSTITUTE(SUBSTITUTE(SUBSTITUTE(LOWER(V733&amp;""),CHAR(160),"")," ",""),".",""),"-",""),"/",""),"?",""),"_",""),",",""),"[",""),"]",""),"(",""),")",""),"*","")</f>
        <v/>
      </c>
      <c r="AW733" s="61" t="str">
        <f aca="false">SUBSTITUTE(SUBSTITUTE(SUBSTITUTE(SUBSTITUTE(SUBSTITUTE(SUBSTITUTE(SUBSTITUTE(SUBSTITUTE(SUBSTITUTE(SUBSTITUTE(SUBSTITUTE(SUBSTITUTE(SUBSTITUTE(LOWER(Z733&amp;""),CHAR(160),"")," ",""),".",""),"-",""),"/",""),"?",""),"_",""),",",""),"[",""),"]",""),"(",""),")",""),"*","")</f>
        <v/>
      </c>
      <c r="AX733" s="61" t="str">
        <f aca="false">SUBSTITUTE(SUBSTITUTE(SUBSTITUTE(SUBSTITUTE(SUBSTITUTE(SUBSTITUTE(SUBSTITUTE(SUBSTITUTE(SUBSTITUTE(SUBSTITUTE(SUBSTITUTE(SUBSTITUTE(SUBSTITUTE(LOWER(AE733&amp;""),CHAR(160),"")," ",""),".",""),"-",""),"/",""),"?",""),"_",""),",",""),"[",""),"]",""),"(",""),")",""),"*","")</f>
        <v/>
      </c>
      <c r="AY733" s="61" t="str">
        <f aca="false">SUBSTITUTE(SUBSTITUTE(SUBSTITUTE(SUBSTITUTE(SUBSTITUTE(SUBSTITUTE(SUBSTITUTE(SUBSTITUTE(SUBSTITUTE(SUBSTITUTE(SUBSTITUTE(SUBSTITUTE(SUBSTITUTE(LOWER(W733&amp;""),CHAR(160),"")," ",""),".",""),"-",""),"/",""),"?",""),"_",""),",",""),"[",""),"]",""),"(",""),")",""),"*","")</f>
        <v/>
      </c>
      <c r="AZ733" s="61" t="str">
        <f aca="false">SUBSTITUTE(SUBSTITUTE(SUBSTITUTE(SUBSTITUTE(SUBSTITUTE(SUBSTITUTE(SUBSTITUTE(SUBSTITUTE(SUBSTITUTE(SUBSTITUTE(SUBSTITUTE(SUBSTITUTE(SUBSTITUTE(LOWER(AC733&amp;""),CHAR(160),"")," ",""),".",""),"-",""),"/",""),"?",""),"_",""),",",""),"[",""),"]",""),"(",""),")",""),"*","")</f>
        <v/>
      </c>
      <c r="BA733" s="61" t="str">
        <f aca="false">SUBSTITUTE(SUBSTITUTE(SUBSTITUTE(SUBSTITUTE(SUBSTITUTE(SUBSTITUTE(SUBSTITUTE(SUBSTITUTE(SUBSTITUTE(SUBSTITUTE(SUBSTITUTE(SUBSTITUTE(SUBSTITUTE(LOWER(AA733&amp;""),CHAR(160),"")," ",""),".",""),"-",""),"/",""),"?",""),"_",""),",",""),"[",""),"]",""),"(",""),")",""),"*","")</f>
        <v/>
      </c>
      <c r="BB733" s="61" t="str">
        <f aca="false">IF(AND(TRIM(U733)="Pass",ISNUMBER(AF733)),IF(AF733&lt;&gt;0,"INVALID – qty variance: use Fail or Pass after CA",""),"")&amp;IF(AND(TRIM(U733)="Pass after CA",ISNUMBER(AF733)),IF(AF733&lt;&gt;0,"INVALID – after the corrective action the actual qty must equal expected (update Actual)",""),"")&amp;IF(AND(TRIM(U733)="Pass",TRIM(AB733)&lt;&gt;"",TRIM(AB733)&lt;&gt;"Closed"),"INVALID – corrective action not closed: use Fail, then Pass after CA","")&amp;IF(AND(TRIM(AA733)&lt;&gt;"",TRIM(AB733)=""),"INVALID – CA status missing for the recorded corrective action","")&amp;IF(AND(TRIM(U733)="Pass after CA",OR(OR(LEN(BA733)&lt;5,ISNUMBER(MATCH(BA733,L_Placeholder,0))),TRIM(AB733)&lt;&gt;"Closed")),"INVALID – corrective action not recorded/closed","")</f>
        <v/>
      </c>
    </row>
    <row r="734" customFormat="false" ht="39.75" hidden="false" customHeight="true" outlineLevel="0" collapsed="false">
      <c r="A734" s="57" t="s">
        <v>1446</v>
      </c>
      <c r="B734" s="57" t="s">
        <v>309</v>
      </c>
      <c r="C734" s="57" t="str">
        <f aca="false">Flights!$F$26</f>
        <v>MH0002</v>
      </c>
      <c r="D734" s="58" t="n">
        <f aca="false">Flights!$D$26</f>
        <v>46325</v>
      </c>
      <c r="E734" s="57" t="str">
        <f aca="false">Flights!$G$26&amp;"-"&amp;Flights!$H$26</f>
        <v>KUL-LHR</v>
      </c>
      <c r="F734" s="57" t="str">
        <f aca="false">Flights!$K$26</f>
        <v>BC</v>
      </c>
      <c r="G734" s="57" t="s">
        <v>437</v>
      </c>
      <c r="H734" s="57" t="s">
        <v>438</v>
      </c>
      <c r="I734" s="57" t="s">
        <v>406</v>
      </c>
      <c r="J734" s="57" t="s">
        <v>443</v>
      </c>
      <c r="K734" s="67" t="s">
        <v>404</v>
      </c>
      <c r="L734" s="67" t="s">
        <v>440</v>
      </c>
      <c r="M734" s="67"/>
      <c r="N734" s="67" t="s">
        <v>361</v>
      </c>
      <c r="O734" s="67" t="s">
        <v>441</v>
      </c>
      <c r="P734" s="57" t="s">
        <v>184</v>
      </c>
      <c r="Q734" s="59" t="n">
        <f aca="false">ROUND((Flights!$AF$26)*1440,0)/1440</f>
        <v>46325.6388888889</v>
      </c>
      <c r="R734" s="59" t="n">
        <f aca="false">Q734+(IF(AND(INDEX(TZ_DSTS,MATCH(P734,TZ_STN,0))&lt;&gt;"",Q734&gt;=INDEX(TZ_DSTS,MATCH(P734,TZ_STN,0)),Q734&lt;INDEX(TZ_DSTE,MATCH(P734,TZ_STN,0))),INDEX(TZ_DST,MATCH(P734,TZ_STN,0)),INDEX(TZ_STD,MATCH(P734,TZ_STN,0))))/24</f>
        <v>46325.9722222222</v>
      </c>
      <c r="S734" s="59" t="n">
        <f aca="false">IF(ISNUMBER(Flights!$AZ$26),MAX(Q734-UpliftWindowH/24,Flights!$AZ$26),Q734-UpliftWindowH/24)</f>
        <v>46325.3888888889</v>
      </c>
      <c r="T734" s="60"/>
      <c r="U734" s="60"/>
      <c r="V734" s="60"/>
      <c r="W734" s="61"/>
      <c r="X734" s="60"/>
      <c r="Y734" s="60"/>
      <c r="Z734" s="60"/>
      <c r="AA734" s="60"/>
      <c r="AB734" s="60"/>
      <c r="AC734" s="60"/>
      <c r="AD734" s="66"/>
      <c r="AE734" s="60"/>
      <c r="AF734" s="61" t="str">
        <f aca="false">IF(AND(ISNUMBER(X734),ISNUMBER(Y734)),Y734-X734,"")</f>
        <v/>
      </c>
      <c r="AG734" s="62" t="str">
        <f aca="false">IF(ISNUMBER(AD734),AD734-(IF(AND(INDEX(TZ_DSTS,MATCH(P734,TZ_STN,0))&lt;&gt;"",(AD734-INDEX(TZ_STD,MATCH(P734,TZ_STN,0))/24)&gt;=INDEX(TZ_DSTS,MATCH(P734,TZ_STN,0)),(AD734-INDEX(TZ_STD,MATCH(P734,TZ_STN,0))/24)&lt;INDEX(TZ_DSTE,MATCH(P734,TZ_STN,0))),INDEX(TZ_DST,MATCH(P734,TZ_STN,0)),INDEX(TZ_STD,MATCH(P734,TZ_STN,0))))/24,"")</f>
        <v/>
      </c>
      <c r="AH734" s="65" t="str">
        <f aca="false">IFERROR(IF(N734="N/A – rule","N/A – RULE",IF(TRIM(U734)="N/A",IF(AT734=0,"INVALID – N/A not permitted for this check",IF(AND(TRIM(AB734)&lt;&gt;"",TRIM(AB734)&lt;&gt;"Closed"),"INVALID – corrective action still open",IF(AND(NOT(OR(LEN(AZ734)&lt;15,ISNUMBER(MATCH(AZ734,L_Placeholder,0)))),NOT(OR(LEN(AU734)&lt;2,ISNUMBER(MATCH(AU734,L_Placeholder,0)))),NOT(OR(LEN(AX734)&lt;2,ISNUMBER(MATCH(AX734,L_Placeholder,0)))),TRIM(AE734)&lt;&gt;TRIM(T734)),"N/A – JUSTIFIED","INVALID – N/A needs a real justification (15+ chars), PIC and a different verifier"))),IF(OR(TRIM(U734)="Pass",TRIM(U734)="Pass after CA"),IF(NOT(ISNUMBER(AD734)),"INVALID – completion time missing",IF(OR(LEN(AU734)&lt;2,ISNUMBER(MATCH(AU734,L_Placeholder,0))),"INVALID – PIC missing",IF(OR(LEN(AV734)&lt;2,ISNUMBER(MATCH(AV734,L_Placeholder,0))),"INVALID – result / assessment missing",IF(OR(OR(LEN(AW734)&lt;3,ISNUMBER(MATCH(AW734,L_Placeholder,0))),SUMPRODUCT(--ISNUMBER(SEARCH(L_EvidencePhrase,AW734)))&gt;0),"INVALID – evidence missing, placeholder or not yet on file",IF(OR(LEN(AX734)&lt;2,ISNUMBER(MATCH(AX734,L_Placeholder,0))),"INVALID – verifier missing",IF(AX734=AU734,"INVALID – verifier must be someone other than the PIC",IF(AND(TRIM(U734)="Pass",SUMPRODUCT(--ISNUMBER(SEARCH(L_ResultBad,AV734)))&gt;0),"INVALID – result describes a problem: use Fail, then Pass after CA",IF(AND(AQ734=1,OR(LEN(AY734)&lt;3,ISNUMBER(MATCH(AY734,L_Placeholder,0)))),"INVALID – batch ID missing or placeholder",IF(AND(AR734=1,OR(NOT(ISNUMBER(X734)),NOT(ISNUMBER(Y734)))),"INVALID – expected/actual qty missing",IF(AND(AR734=1,OR(X734&lt;=0,Y734&lt;0)),"INVALID – expected qty must be above 0 and actual not negative",IF(AH717="N/A – JUSTIFIED","INVALID – preparation row F22-T12-06 is N/A",IF(AND(AR734=1,ISNUMBER(X717),X734&lt;&gt;X717),"INVALID – expected qty differs from preparation check F22-T12-06",IF(BB734&lt;&gt;"",BB734,IF(AND(AS734=1,Documents!$J$26&lt;&gt;"ON FILE"),"INVALID – GLD not on file (Documents sheet)",IF(AND(AS734=2,Documents!$O$26&lt;&gt;"ON FILE"),"INVALID – menu checklist not on file (Documents sheet)",IF(AND(AS734=3,NOT(ISNUMBER(Flights!$AX$26))),"INVALID – enter carrying flight KUL departure (Flights AX)",IF(AND(AS734=3,OR(Flights!$AZ$26&gt;Flights!$AA$26,Flights!$AX$26&lt;Flights!$AA$26-3)),"INVALID – carrying flight (Flights AX) cannot arrive before this leg's STD, or is over 3 days early",IF(AG734&gt;AsOfUTC,"INVALID – completion time is in the future",IF(AND(ISNUMBER(S734),AG734&lt;S734),IF(H734="Physical uplift","INVALID – before uplift window (cannot confirm loading)","INVALID – before valid window"),IF(AG734&gt;Flights!$AA$26,"INVALID – completed after departure (cannot establish readiness)",IF(AND(H734="Preparation",AG734&gt;IF(ISNUMBER(Flights!$BA$26),MIN(Flights!$BA$26,Flights!$AA$26),Flights!$AA$26)),"INVALID – completed after loading / departure (cannot establish readiness)",IF(AND(H734="Physical uplift",AG734&gt;Q734),"INVALID – recorded after the loading flight departed",IF(AG734&gt;Q734,"COMPLETE – LATE","COMPLETE"))))))))))))))))))))))),IF(TRIM(U734)="Fail","FAIL – DISCREPANCY",IF(AND(TRIM(U734)&lt;&gt;"",TRIM(U734)&lt;&gt;"Not started",TRIM(U734)&lt;&gt;"In progress"),"INVALID – unrecognised status (use the list)",IF(AsOfUTC&gt;Q734,"OVERDUE",IF(N734="Clarification required","OPEN – CLARIFICATION","OPEN"))))))),"INVALID – error value in an input cell")</f>
        <v>OPEN</v>
      </c>
      <c r="AI734" s="61" t="n">
        <f aca="false">IF(OR(AH734="N/A – RULE",AH734="N/A – JUSTIFIED"),0,1)</f>
        <v>1</v>
      </c>
      <c r="AJ734" s="61" t="n">
        <f aca="false">IF(LEFT(AH734,8)="COMPLETE",1,0)</f>
        <v>0</v>
      </c>
      <c r="AK734" s="61" t="n">
        <f aca="false">IF(AND(AI734=1,AJ734=0,AsOfUTC&gt;Q734),1,0)</f>
        <v>0</v>
      </c>
      <c r="AL734" s="61" t="n">
        <f aca="false">IFERROR(IF(AND(AI734=1,OR(TRIM(U734)="Fail",AND(TRIM(AB734)&lt;&gt;"",TRIM(AB734)&lt;&gt;"Closed"),AND(ISNUMBER(AF734),AF734&lt;&gt;0,TRIM(U734)&lt;&gt;"Pass after CA"))),1,0),1)</f>
        <v>0</v>
      </c>
      <c r="AM734" s="61" t="n">
        <f aca="false">IF(LEFT(AH734,7)="INVALID",1,0)</f>
        <v>0</v>
      </c>
      <c r="AN734" s="61" t="n">
        <f aca="false">IF(AND(N734="Clarification required",AI734=1,AJ734=0),1,0)</f>
        <v>0</v>
      </c>
      <c r="AO734" s="61" t="str">
        <f aca="false">IF(AK734=1,SUM(AK$5:AK734),"")</f>
        <v/>
      </c>
      <c r="AP734" s="61" t="str">
        <f aca="false">IF(AL734=1,SUM(AL$5:AL734),"")</f>
        <v/>
      </c>
      <c r="AQ734" s="61" t="n">
        <v>0</v>
      </c>
      <c r="AR734" s="61" t="n">
        <v>1</v>
      </c>
      <c r="AS734" s="61" t="n">
        <v>0</v>
      </c>
      <c r="AT734" s="61" t="n">
        <v>0</v>
      </c>
      <c r="AU734" s="61" t="str">
        <f aca="false">SUBSTITUTE(SUBSTITUTE(SUBSTITUTE(SUBSTITUTE(SUBSTITUTE(SUBSTITUTE(SUBSTITUTE(SUBSTITUTE(SUBSTITUTE(SUBSTITUTE(SUBSTITUTE(SUBSTITUTE(SUBSTITUTE(LOWER(T734&amp;""),CHAR(160),"")," ",""),".",""),"-",""),"/",""),"?",""),"_",""),",",""),"[",""),"]",""),"(",""),")",""),"*","")</f>
        <v/>
      </c>
      <c r="AV734" s="61" t="str">
        <f aca="false">SUBSTITUTE(SUBSTITUTE(SUBSTITUTE(SUBSTITUTE(SUBSTITUTE(SUBSTITUTE(SUBSTITUTE(SUBSTITUTE(SUBSTITUTE(SUBSTITUTE(SUBSTITUTE(SUBSTITUTE(SUBSTITUTE(LOWER(V734&amp;""),CHAR(160),"")," ",""),".",""),"-",""),"/",""),"?",""),"_",""),",",""),"[",""),"]",""),"(",""),")",""),"*","")</f>
        <v/>
      </c>
      <c r="AW734" s="61" t="str">
        <f aca="false">SUBSTITUTE(SUBSTITUTE(SUBSTITUTE(SUBSTITUTE(SUBSTITUTE(SUBSTITUTE(SUBSTITUTE(SUBSTITUTE(SUBSTITUTE(SUBSTITUTE(SUBSTITUTE(SUBSTITUTE(SUBSTITUTE(LOWER(Z734&amp;""),CHAR(160),"")," ",""),".",""),"-",""),"/",""),"?",""),"_",""),",",""),"[",""),"]",""),"(",""),")",""),"*","")</f>
        <v/>
      </c>
      <c r="AX734" s="61" t="str">
        <f aca="false">SUBSTITUTE(SUBSTITUTE(SUBSTITUTE(SUBSTITUTE(SUBSTITUTE(SUBSTITUTE(SUBSTITUTE(SUBSTITUTE(SUBSTITUTE(SUBSTITUTE(SUBSTITUTE(SUBSTITUTE(SUBSTITUTE(LOWER(AE734&amp;""),CHAR(160),"")," ",""),".",""),"-",""),"/",""),"?",""),"_",""),",",""),"[",""),"]",""),"(",""),")",""),"*","")</f>
        <v/>
      </c>
      <c r="AY734" s="61" t="str">
        <f aca="false">SUBSTITUTE(SUBSTITUTE(SUBSTITUTE(SUBSTITUTE(SUBSTITUTE(SUBSTITUTE(SUBSTITUTE(SUBSTITUTE(SUBSTITUTE(SUBSTITUTE(SUBSTITUTE(SUBSTITUTE(SUBSTITUTE(LOWER(W734&amp;""),CHAR(160),"")," ",""),".",""),"-",""),"/",""),"?",""),"_",""),",",""),"[",""),"]",""),"(",""),")",""),"*","")</f>
        <v/>
      </c>
      <c r="AZ734" s="61" t="str">
        <f aca="false">SUBSTITUTE(SUBSTITUTE(SUBSTITUTE(SUBSTITUTE(SUBSTITUTE(SUBSTITUTE(SUBSTITUTE(SUBSTITUTE(SUBSTITUTE(SUBSTITUTE(SUBSTITUTE(SUBSTITUTE(SUBSTITUTE(LOWER(AC734&amp;""),CHAR(160),"")," ",""),".",""),"-",""),"/",""),"?",""),"_",""),",",""),"[",""),"]",""),"(",""),")",""),"*","")</f>
        <v/>
      </c>
      <c r="BA734" s="61" t="str">
        <f aca="false">SUBSTITUTE(SUBSTITUTE(SUBSTITUTE(SUBSTITUTE(SUBSTITUTE(SUBSTITUTE(SUBSTITUTE(SUBSTITUTE(SUBSTITUTE(SUBSTITUTE(SUBSTITUTE(SUBSTITUTE(SUBSTITUTE(LOWER(AA734&amp;""),CHAR(160),"")," ",""),".",""),"-",""),"/",""),"?",""),"_",""),",",""),"[",""),"]",""),"(",""),")",""),"*","")</f>
        <v/>
      </c>
      <c r="BB734" s="61" t="str">
        <f aca="false">IF(AND(TRIM(U734)="Pass",ISNUMBER(AF734)),IF(AF734&lt;&gt;0,"INVALID – qty variance: use Fail or Pass after CA",""),"")&amp;IF(AND(TRIM(U734)="Pass after CA",ISNUMBER(AF734)),IF(AF734&lt;&gt;0,"INVALID – after the corrective action the actual qty must equal expected (update Actual)",""),"")&amp;IF(AND(TRIM(U734)="Pass",TRIM(AB734)&lt;&gt;"",TRIM(AB734)&lt;&gt;"Closed"),"INVALID – corrective action not closed: use Fail, then Pass after CA","")&amp;IF(AND(TRIM(AA734)&lt;&gt;"",TRIM(AB734)=""),"INVALID – CA status missing for the recorded corrective action","")&amp;IF(AND(TRIM(U734)="Pass after CA",OR(OR(LEN(BA734)&lt;5,ISNUMBER(MATCH(BA734,L_Placeholder,0))),TRIM(AB734)&lt;&gt;"Closed")),"INVALID – corrective action not recorded/closed","")</f>
        <v/>
      </c>
    </row>
    <row r="735" customFormat="false" ht="91.5" hidden="false" customHeight="true" outlineLevel="0" collapsed="false">
      <c r="A735" s="57" t="s">
        <v>1447</v>
      </c>
      <c r="B735" s="57" t="s">
        <v>309</v>
      </c>
      <c r="C735" s="57" t="str">
        <f aca="false">Flights!$F$26</f>
        <v>MH0002</v>
      </c>
      <c r="D735" s="58" t="n">
        <f aca="false">Flights!$D$26</f>
        <v>46325</v>
      </c>
      <c r="E735" s="57" t="str">
        <f aca="false">Flights!$G$26&amp;"-"&amp;Flights!$H$26</f>
        <v>KUL-LHR</v>
      </c>
      <c r="F735" s="57" t="str">
        <f aca="false">Flights!$K$26</f>
        <v>BC</v>
      </c>
      <c r="G735" s="57" t="s">
        <v>437</v>
      </c>
      <c r="H735" s="57" t="s">
        <v>438</v>
      </c>
      <c r="I735" s="57" t="s">
        <v>418</v>
      </c>
      <c r="J735" s="57" t="s">
        <v>445</v>
      </c>
      <c r="K735" s="67" t="s">
        <v>479</v>
      </c>
      <c r="L735" s="67" t="s">
        <v>421</v>
      </c>
      <c r="M735" s="67" t="s">
        <v>704</v>
      </c>
      <c r="N735" s="67" t="s">
        <v>422</v>
      </c>
      <c r="O735" s="67" t="s">
        <v>705</v>
      </c>
      <c r="P735" s="57" t="s">
        <v>184</v>
      </c>
      <c r="Q735" s="59" t="n">
        <f aca="false">ROUND((Flights!$AF$26)*1440,0)/1440</f>
        <v>46325.6388888889</v>
      </c>
      <c r="R735" s="59" t="n">
        <f aca="false">Q735+(IF(AND(INDEX(TZ_DSTS,MATCH(P735,TZ_STN,0))&lt;&gt;"",Q735&gt;=INDEX(TZ_DSTS,MATCH(P735,TZ_STN,0)),Q735&lt;INDEX(TZ_DSTE,MATCH(P735,TZ_STN,0))),INDEX(TZ_DST,MATCH(P735,TZ_STN,0)),INDEX(TZ_STD,MATCH(P735,TZ_STN,0))))/24</f>
        <v>46325.9722222222</v>
      </c>
      <c r="S735" s="59" t="n">
        <f aca="false">IF(ISNUMBER(Flights!$AZ$26),MAX(Q735-UpliftWindowH/24,Flights!$AZ$26),Q735-UpliftWindowH/24)</f>
        <v>46325.3888888889</v>
      </c>
      <c r="T735" s="60"/>
      <c r="U735" s="60"/>
      <c r="V735" s="60"/>
      <c r="W735" s="61"/>
      <c r="X735" s="60"/>
      <c r="Y735" s="60"/>
      <c r="Z735" s="60"/>
      <c r="AA735" s="60"/>
      <c r="AB735" s="60"/>
      <c r="AC735" s="60"/>
      <c r="AD735" s="66"/>
      <c r="AE735" s="60"/>
      <c r="AF735" s="61" t="str">
        <f aca="false">IF(AND(ISNUMBER(X735),ISNUMBER(Y735)),Y735-X735,"")</f>
        <v/>
      </c>
      <c r="AG735" s="62" t="str">
        <f aca="false">IF(ISNUMBER(AD735),AD735-(IF(AND(INDEX(TZ_DSTS,MATCH(P735,TZ_STN,0))&lt;&gt;"",(AD735-INDEX(TZ_STD,MATCH(P735,TZ_STN,0))/24)&gt;=INDEX(TZ_DSTS,MATCH(P735,TZ_STN,0)),(AD735-INDEX(TZ_STD,MATCH(P735,TZ_STN,0))/24)&lt;INDEX(TZ_DSTE,MATCH(P735,TZ_STN,0))),INDEX(TZ_DST,MATCH(P735,TZ_STN,0)),INDEX(TZ_STD,MATCH(P735,TZ_STN,0))))/24,"")</f>
        <v/>
      </c>
      <c r="AH735" s="65" t="str">
        <f aca="false">IFERROR(IF(N735="N/A – rule","N/A – RULE",IF(TRIM(U735)="N/A",IF(AT735=0,"INVALID – N/A not permitted for this check",IF(AND(TRIM(AB735)&lt;&gt;"",TRIM(AB735)&lt;&gt;"Closed"),"INVALID – corrective action still open",IF(AND(NOT(OR(LEN(AZ735)&lt;15,ISNUMBER(MATCH(AZ735,L_Placeholder,0)))),NOT(OR(LEN(AU735)&lt;2,ISNUMBER(MATCH(AU735,L_Placeholder,0)))),NOT(OR(LEN(AX735)&lt;2,ISNUMBER(MATCH(AX735,L_Placeholder,0)))),TRIM(AE735)&lt;&gt;TRIM(T735)),"N/A – JUSTIFIED","INVALID – N/A needs a real justification (15+ chars), PIC and a different verifier"))),IF(OR(TRIM(U735)="Pass",TRIM(U735)="Pass after CA"),IF(NOT(ISNUMBER(AD735)),"INVALID – completion time missing",IF(OR(LEN(AU735)&lt;2,ISNUMBER(MATCH(AU735,L_Placeholder,0))),"INVALID – PIC missing",IF(OR(LEN(AV735)&lt;2,ISNUMBER(MATCH(AV735,L_Placeholder,0))),"INVALID – result / assessment missing",IF(OR(OR(LEN(AW735)&lt;3,ISNUMBER(MATCH(AW735,L_Placeholder,0))),SUMPRODUCT(--ISNUMBER(SEARCH(L_EvidencePhrase,AW735)))&gt;0),"INVALID – evidence missing, placeholder or not yet on file",IF(OR(LEN(AX735)&lt;2,ISNUMBER(MATCH(AX735,L_Placeholder,0))),"INVALID – verifier missing",IF(AX735=AU735,"INVALID – verifier must be someone other than the PIC",IF(AND(TRIM(U735)="Pass",SUMPRODUCT(--ISNUMBER(SEARCH(L_ResultBad,AV735)))&gt;0),"INVALID – result describes a problem: use Fail, then Pass after CA",IF(AND(AQ735=1,OR(LEN(AY735)&lt;3,ISNUMBER(MATCH(AY735,L_Placeholder,0)))),"INVALID – batch ID missing or placeholder",IF(AND(AR735=1,OR(NOT(ISNUMBER(X735)),NOT(ISNUMBER(Y735)))),"INVALID – expected/actual qty missing",IF(AND(AR735=1,OR(X735&lt;=0,Y735&lt;0)),"INVALID – expected qty must be above 0 and actual not negative",IF(AH719="N/A – JUSTIFIED","INVALID – preparation row F22-T12-08 is N/A",IF(AND(AR735=1,ISNUMBER(X719),X735&lt;&gt;X719),"INVALID – expected qty differs from preparation check F22-T12-08",IF(BB735&lt;&gt;"",BB735,IF(AND(AS735=1,Documents!$J$26&lt;&gt;"ON FILE"),"INVALID – GLD not on file (Documents sheet)",IF(AND(AS735=2,Documents!$O$26&lt;&gt;"ON FILE"),"INVALID – menu checklist not on file (Documents sheet)",IF(AND(AS735=3,NOT(ISNUMBER(Flights!$AX$26))),"INVALID – enter carrying flight KUL departure (Flights AX)",IF(AND(AS735=3,OR(Flights!$AZ$26&gt;Flights!$AA$26,Flights!$AX$26&lt;Flights!$AA$26-3)),"INVALID – carrying flight (Flights AX) cannot arrive before this leg's STD, or is over 3 days early",IF(AG735&gt;AsOfUTC,"INVALID – completion time is in the future",IF(AND(ISNUMBER(S735),AG735&lt;S735),IF(H735="Physical uplift","INVALID – before uplift window (cannot confirm loading)","INVALID – before valid window"),IF(AG735&gt;Flights!$AA$26,"INVALID – completed after departure (cannot establish readiness)",IF(AND(H735="Preparation",AG735&gt;IF(ISNUMBER(Flights!$BA$26),MIN(Flights!$BA$26,Flights!$AA$26),Flights!$AA$26)),"INVALID – completed after loading / departure (cannot establish readiness)",IF(AND(H735="Physical uplift",AG735&gt;Q735),"INVALID – recorded after the loading flight departed",IF(AG735&gt;Q735,"COMPLETE – LATE","COMPLETE"))))))))))))))))))))))),IF(TRIM(U735)="Fail","FAIL – DISCREPANCY",IF(AND(TRIM(U735)&lt;&gt;"",TRIM(U735)&lt;&gt;"Not started",TRIM(U735)&lt;&gt;"In progress"),"INVALID – unrecognised status (use the list)",IF(AsOfUTC&gt;Q735,"OVERDUE",IF(N735="Clarification required","OPEN – CLARIFICATION","OPEN"))))))),"INVALID – error value in an input cell")</f>
        <v>OPEN – CLARIFICATION</v>
      </c>
      <c r="AI735" s="61" t="n">
        <f aca="false">IF(OR(AH735="N/A – RULE",AH735="N/A – JUSTIFIED"),0,1)</f>
        <v>1</v>
      </c>
      <c r="AJ735" s="61" t="n">
        <f aca="false">IF(LEFT(AH735,8)="COMPLETE",1,0)</f>
        <v>0</v>
      </c>
      <c r="AK735" s="61" t="n">
        <f aca="false">IF(AND(AI735=1,AJ735=0,AsOfUTC&gt;Q735),1,0)</f>
        <v>0</v>
      </c>
      <c r="AL735" s="61" t="n">
        <f aca="false">IFERROR(IF(AND(AI735=1,OR(TRIM(U735)="Fail",AND(TRIM(AB735)&lt;&gt;"",TRIM(AB735)&lt;&gt;"Closed"),AND(ISNUMBER(AF735),AF735&lt;&gt;0,TRIM(U735)&lt;&gt;"Pass after CA"))),1,0),1)</f>
        <v>0</v>
      </c>
      <c r="AM735" s="61" t="n">
        <f aca="false">IF(LEFT(AH735,7)="INVALID",1,0)</f>
        <v>0</v>
      </c>
      <c r="AN735" s="61" t="n">
        <f aca="false">IF(AND(N735="Clarification required",AI735=1,AJ735=0),1,0)</f>
        <v>1</v>
      </c>
      <c r="AO735" s="61" t="str">
        <f aca="false">IF(AK735=1,SUM(AK$5:AK735),"")</f>
        <v/>
      </c>
      <c r="AP735" s="61" t="str">
        <f aca="false">IF(AL735=1,SUM(AL$5:AL735),"")</f>
        <v/>
      </c>
      <c r="AQ735" s="61" t="n">
        <v>0</v>
      </c>
      <c r="AR735" s="61" t="n">
        <v>0</v>
      </c>
      <c r="AS735" s="61" t="n">
        <v>0</v>
      </c>
      <c r="AT735" s="61" t="n">
        <v>1</v>
      </c>
      <c r="AU735" s="61" t="str">
        <f aca="false">SUBSTITUTE(SUBSTITUTE(SUBSTITUTE(SUBSTITUTE(SUBSTITUTE(SUBSTITUTE(SUBSTITUTE(SUBSTITUTE(SUBSTITUTE(SUBSTITUTE(SUBSTITUTE(SUBSTITUTE(SUBSTITUTE(LOWER(T735&amp;""),CHAR(160),"")," ",""),".",""),"-",""),"/",""),"?",""),"_",""),",",""),"[",""),"]",""),"(",""),")",""),"*","")</f>
        <v/>
      </c>
      <c r="AV735" s="61" t="str">
        <f aca="false">SUBSTITUTE(SUBSTITUTE(SUBSTITUTE(SUBSTITUTE(SUBSTITUTE(SUBSTITUTE(SUBSTITUTE(SUBSTITUTE(SUBSTITUTE(SUBSTITUTE(SUBSTITUTE(SUBSTITUTE(SUBSTITUTE(LOWER(V735&amp;""),CHAR(160),"")," ",""),".",""),"-",""),"/",""),"?",""),"_",""),",",""),"[",""),"]",""),"(",""),")",""),"*","")</f>
        <v/>
      </c>
      <c r="AW735" s="61" t="str">
        <f aca="false">SUBSTITUTE(SUBSTITUTE(SUBSTITUTE(SUBSTITUTE(SUBSTITUTE(SUBSTITUTE(SUBSTITUTE(SUBSTITUTE(SUBSTITUTE(SUBSTITUTE(SUBSTITUTE(SUBSTITUTE(SUBSTITUTE(LOWER(Z735&amp;""),CHAR(160),"")," ",""),".",""),"-",""),"/",""),"?",""),"_",""),",",""),"[",""),"]",""),"(",""),")",""),"*","")</f>
        <v/>
      </c>
      <c r="AX735" s="61" t="str">
        <f aca="false">SUBSTITUTE(SUBSTITUTE(SUBSTITUTE(SUBSTITUTE(SUBSTITUTE(SUBSTITUTE(SUBSTITUTE(SUBSTITUTE(SUBSTITUTE(SUBSTITUTE(SUBSTITUTE(SUBSTITUTE(SUBSTITUTE(LOWER(AE735&amp;""),CHAR(160),"")," ",""),".",""),"-",""),"/",""),"?",""),"_",""),",",""),"[",""),"]",""),"(",""),")",""),"*","")</f>
        <v/>
      </c>
      <c r="AY735" s="61" t="str">
        <f aca="false">SUBSTITUTE(SUBSTITUTE(SUBSTITUTE(SUBSTITUTE(SUBSTITUTE(SUBSTITUTE(SUBSTITUTE(SUBSTITUTE(SUBSTITUTE(SUBSTITUTE(SUBSTITUTE(SUBSTITUTE(SUBSTITUTE(LOWER(W735&amp;""),CHAR(160),"")," ",""),".",""),"-",""),"/",""),"?",""),"_",""),",",""),"[",""),"]",""),"(",""),")",""),"*","")</f>
        <v/>
      </c>
      <c r="AZ735" s="61" t="str">
        <f aca="false">SUBSTITUTE(SUBSTITUTE(SUBSTITUTE(SUBSTITUTE(SUBSTITUTE(SUBSTITUTE(SUBSTITUTE(SUBSTITUTE(SUBSTITUTE(SUBSTITUTE(SUBSTITUTE(SUBSTITUTE(SUBSTITUTE(LOWER(AC735&amp;""),CHAR(160),"")," ",""),".",""),"-",""),"/",""),"?",""),"_",""),",",""),"[",""),"]",""),"(",""),")",""),"*","")</f>
        <v/>
      </c>
      <c r="BA735" s="61" t="str">
        <f aca="false">SUBSTITUTE(SUBSTITUTE(SUBSTITUTE(SUBSTITUTE(SUBSTITUTE(SUBSTITUTE(SUBSTITUTE(SUBSTITUTE(SUBSTITUTE(SUBSTITUTE(SUBSTITUTE(SUBSTITUTE(SUBSTITUTE(LOWER(AA735&amp;""),CHAR(160),"")," ",""),".",""),"-",""),"/",""),"?",""),"_",""),",",""),"[",""),"]",""),"(",""),")",""),"*","")</f>
        <v/>
      </c>
      <c r="BB735" s="61" t="str">
        <f aca="false">IF(AND(TRIM(U735)="Pass",ISNUMBER(AF735)),IF(AF735&lt;&gt;0,"INVALID – qty variance: use Fail or Pass after CA",""),"")&amp;IF(AND(TRIM(U735)="Pass after CA",ISNUMBER(AF735)),IF(AF735&lt;&gt;0,"INVALID – after the corrective action the actual qty must equal expected (update Actual)",""),"")&amp;IF(AND(TRIM(U735)="Pass",TRIM(AB735)&lt;&gt;"",TRIM(AB735)&lt;&gt;"Closed"),"INVALID – corrective action not closed: use Fail, then Pass after CA","")&amp;IF(AND(TRIM(AA735)&lt;&gt;"",TRIM(AB735)=""),"INVALID – CA status missing for the recorded corrective action","")&amp;IF(AND(TRIM(U735)="Pass after CA",OR(OR(LEN(BA735)&lt;5,ISNUMBER(MATCH(BA735,L_Placeholder,0))),TRIM(AB735)&lt;&gt;"Closed")),"INVALID – corrective action not recorded/closed","")</f>
        <v/>
      </c>
    </row>
    <row r="736" customFormat="false" ht="39.75" hidden="false" customHeight="true" outlineLevel="0" collapsed="false">
      <c r="A736" s="57" t="s">
        <v>1448</v>
      </c>
      <c r="B736" s="57" t="s">
        <v>309</v>
      </c>
      <c r="C736" s="57" t="str">
        <f aca="false">Flights!$F$26</f>
        <v>MH0002</v>
      </c>
      <c r="D736" s="58" t="n">
        <f aca="false">Flights!$D$26</f>
        <v>46325</v>
      </c>
      <c r="E736" s="57" t="str">
        <f aca="false">Flights!$G$26&amp;"-"&amp;Flights!$H$26</f>
        <v>KUL-LHR</v>
      </c>
      <c r="F736" s="57" t="str">
        <f aca="false">Flights!$K$26</f>
        <v>BC</v>
      </c>
      <c r="G736" s="57" t="s">
        <v>437</v>
      </c>
      <c r="H736" s="57" t="s">
        <v>438</v>
      </c>
      <c r="I736" s="57" t="s">
        <v>418</v>
      </c>
      <c r="J736" s="57" t="s">
        <v>739</v>
      </c>
      <c r="K736" s="67" t="s">
        <v>708</v>
      </c>
      <c r="L736" s="67" t="s">
        <v>709</v>
      </c>
      <c r="M736" s="67" t="s">
        <v>184</v>
      </c>
      <c r="N736" s="67" t="s">
        <v>361</v>
      </c>
      <c r="O736" s="67" t="s">
        <v>710</v>
      </c>
      <c r="P736" s="57" t="s">
        <v>184</v>
      </c>
      <c r="Q736" s="59" t="n">
        <f aca="false">ROUND((Flights!$AF$26)*1440,0)/1440</f>
        <v>46325.6388888889</v>
      </c>
      <c r="R736" s="59" t="n">
        <f aca="false">Q736+(IF(AND(INDEX(TZ_DSTS,MATCH(P736,TZ_STN,0))&lt;&gt;"",Q736&gt;=INDEX(TZ_DSTS,MATCH(P736,TZ_STN,0)),Q736&lt;INDEX(TZ_DSTE,MATCH(P736,TZ_STN,0))),INDEX(TZ_DST,MATCH(P736,TZ_STN,0)),INDEX(TZ_STD,MATCH(P736,TZ_STN,0))))/24</f>
        <v>46325.9722222222</v>
      </c>
      <c r="S736" s="59" t="n">
        <f aca="false">IF(ISNUMBER(Flights!$AZ$26),MAX(Q736-UpliftWindowH/24,Flights!$AZ$26),Q736-UpliftWindowH/24)</f>
        <v>46325.3888888889</v>
      </c>
      <c r="T736" s="60"/>
      <c r="U736" s="60"/>
      <c r="V736" s="60"/>
      <c r="W736" s="61"/>
      <c r="X736" s="60"/>
      <c r="Y736" s="60"/>
      <c r="Z736" s="60"/>
      <c r="AA736" s="60"/>
      <c r="AB736" s="60"/>
      <c r="AC736" s="60"/>
      <c r="AD736" s="66"/>
      <c r="AE736" s="60"/>
      <c r="AF736" s="61" t="str">
        <f aca="false">IF(AND(ISNUMBER(X736),ISNUMBER(Y736)),Y736-X736,"")</f>
        <v/>
      </c>
      <c r="AG736" s="62" t="str">
        <f aca="false">IF(ISNUMBER(AD736),AD736-(IF(AND(INDEX(TZ_DSTS,MATCH(P736,TZ_STN,0))&lt;&gt;"",(AD736-INDEX(TZ_STD,MATCH(P736,TZ_STN,0))/24)&gt;=INDEX(TZ_DSTS,MATCH(P736,TZ_STN,0)),(AD736-INDEX(TZ_STD,MATCH(P736,TZ_STN,0))/24)&lt;INDEX(TZ_DSTE,MATCH(P736,TZ_STN,0))),INDEX(TZ_DST,MATCH(P736,TZ_STN,0)),INDEX(TZ_STD,MATCH(P736,TZ_STN,0))))/24,"")</f>
        <v/>
      </c>
      <c r="AH736" s="65" t="str">
        <f aca="false">IFERROR(IF(N736="N/A – rule","N/A – RULE",IF(TRIM(U736)="N/A",IF(AT736=0,"INVALID – N/A not permitted for this check",IF(AND(TRIM(AB736)&lt;&gt;"",TRIM(AB736)&lt;&gt;"Closed"),"INVALID – corrective action still open",IF(AND(NOT(OR(LEN(AZ736)&lt;15,ISNUMBER(MATCH(AZ736,L_Placeholder,0)))),NOT(OR(LEN(AU736)&lt;2,ISNUMBER(MATCH(AU736,L_Placeholder,0)))),NOT(OR(LEN(AX736)&lt;2,ISNUMBER(MATCH(AX736,L_Placeholder,0)))),TRIM(AE736)&lt;&gt;TRIM(T736)),"N/A – JUSTIFIED","INVALID – N/A needs a real justification (15+ chars), PIC and a different verifier"))),IF(OR(TRIM(U736)="Pass",TRIM(U736)="Pass after CA"),IF(NOT(ISNUMBER(AD736)),"INVALID – completion time missing",IF(OR(LEN(AU736)&lt;2,ISNUMBER(MATCH(AU736,L_Placeholder,0))),"INVALID – PIC missing",IF(OR(LEN(AV736)&lt;2,ISNUMBER(MATCH(AV736,L_Placeholder,0))),"INVALID – result / assessment missing",IF(OR(OR(LEN(AW736)&lt;3,ISNUMBER(MATCH(AW736,L_Placeholder,0))),SUMPRODUCT(--ISNUMBER(SEARCH(L_EvidencePhrase,AW736)))&gt;0),"INVALID – evidence missing, placeholder or not yet on file",IF(OR(LEN(AX736)&lt;2,ISNUMBER(MATCH(AX736,L_Placeholder,0))),"INVALID – verifier missing",IF(AX736=AU736,"INVALID – verifier must be someone other than the PIC",IF(AND(TRIM(U736)="Pass",SUMPRODUCT(--ISNUMBER(SEARCH(L_ResultBad,AV736)))&gt;0),"INVALID – result describes a problem: use Fail, then Pass after CA",IF(AND(AQ736=1,OR(LEN(AY736)&lt;3,ISNUMBER(MATCH(AY736,L_Placeholder,0)))),"INVALID – batch ID missing or placeholder",IF(AND(AR736=1,OR(NOT(ISNUMBER(X736)),NOT(ISNUMBER(Y736)))),"INVALID – expected/actual qty missing",IF(AND(AR736=1,OR(X736&lt;=0,Y736&lt;0)),"INVALID – expected qty must be above 0 and actual not negative",IF(AH720="N/A – JUSTIFIED","INVALID – preparation row F22-T12-09 is N/A",IF(AND(AR736=1,ISNUMBER(X720),X736&lt;&gt;X720),"INVALID – expected qty differs from preparation check F22-T12-09",IF(BB736&lt;&gt;"",BB736,IF(AND(AS736=1,Documents!$J$26&lt;&gt;"ON FILE"),"INVALID – GLD not on file (Documents sheet)",IF(AND(AS736=2,Documents!$O$26&lt;&gt;"ON FILE"),"INVALID – menu checklist not on file (Documents sheet)",IF(AND(AS736=3,NOT(ISNUMBER(Flights!$AX$26))),"INVALID – enter carrying flight KUL departure (Flights AX)",IF(AND(AS736=3,OR(Flights!$AZ$26&gt;Flights!$AA$26,Flights!$AX$26&lt;Flights!$AA$26-3)),"INVALID – carrying flight (Flights AX) cannot arrive before this leg's STD, or is over 3 days early",IF(AG736&gt;AsOfUTC,"INVALID – completion time is in the future",IF(AND(ISNUMBER(S736),AG736&lt;S736),IF(H736="Physical uplift","INVALID – before uplift window (cannot confirm loading)","INVALID – before valid window"),IF(AG736&gt;Flights!$AA$26,"INVALID – completed after departure (cannot establish readiness)",IF(AND(H736="Preparation",AG736&gt;IF(ISNUMBER(Flights!$BA$26),MIN(Flights!$BA$26,Flights!$AA$26),Flights!$AA$26)),"INVALID – completed after loading / departure (cannot establish readiness)",IF(AND(H736="Physical uplift",AG736&gt;Q736),"INVALID – recorded after the loading flight departed",IF(AG736&gt;Q736,"COMPLETE – LATE","COMPLETE"))))))))))))))))))))))),IF(TRIM(U736)="Fail","FAIL – DISCREPANCY",IF(AND(TRIM(U736)&lt;&gt;"",TRIM(U736)&lt;&gt;"Not started",TRIM(U736)&lt;&gt;"In progress"),"INVALID – unrecognised status (use the list)",IF(AsOfUTC&gt;Q736,"OVERDUE",IF(N736="Clarification required","OPEN – CLARIFICATION","OPEN"))))))),"INVALID – error value in an input cell")</f>
        <v>OPEN</v>
      </c>
      <c r="AI736" s="61" t="n">
        <f aca="false">IF(OR(AH736="N/A – RULE",AH736="N/A – JUSTIFIED"),0,1)</f>
        <v>1</v>
      </c>
      <c r="AJ736" s="61" t="n">
        <f aca="false">IF(LEFT(AH736,8)="COMPLETE",1,0)</f>
        <v>0</v>
      </c>
      <c r="AK736" s="61" t="n">
        <f aca="false">IF(AND(AI736=1,AJ736=0,AsOfUTC&gt;Q736),1,0)</f>
        <v>0</v>
      </c>
      <c r="AL736" s="61" t="n">
        <f aca="false">IFERROR(IF(AND(AI736=1,OR(TRIM(U736)="Fail",AND(TRIM(AB736)&lt;&gt;"",TRIM(AB736)&lt;&gt;"Closed"),AND(ISNUMBER(AF736),AF736&lt;&gt;0,TRIM(U736)&lt;&gt;"Pass after CA"))),1,0),1)</f>
        <v>0</v>
      </c>
      <c r="AM736" s="61" t="n">
        <f aca="false">IF(LEFT(AH736,7)="INVALID",1,0)</f>
        <v>0</v>
      </c>
      <c r="AN736" s="61" t="n">
        <f aca="false">IF(AND(N736="Clarification required",AI736=1,AJ736=0),1,0)</f>
        <v>0</v>
      </c>
      <c r="AO736" s="61" t="str">
        <f aca="false">IF(AK736=1,SUM(AK$5:AK736),"")</f>
        <v/>
      </c>
      <c r="AP736" s="61" t="str">
        <f aca="false">IF(AL736=1,SUM(AL$5:AL736),"")</f>
        <v/>
      </c>
      <c r="AQ736" s="61" t="n">
        <v>0</v>
      </c>
      <c r="AR736" s="61" t="n">
        <v>0</v>
      </c>
      <c r="AS736" s="61" t="n">
        <v>0</v>
      </c>
      <c r="AT736" s="61" t="n">
        <v>0</v>
      </c>
      <c r="AU736" s="61" t="str">
        <f aca="false">SUBSTITUTE(SUBSTITUTE(SUBSTITUTE(SUBSTITUTE(SUBSTITUTE(SUBSTITUTE(SUBSTITUTE(SUBSTITUTE(SUBSTITUTE(SUBSTITUTE(SUBSTITUTE(SUBSTITUTE(SUBSTITUTE(LOWER(T736&amp;""),CHAR(160),"")," ",""),".",""),"-",""),"/",""),"?",""),"_",""),",",""),"[",""),"]",""),"(",""),")",""),"*","")</f>
        <v/>
      </c>
      <c r="AV736" s="61" t="str">
        <f aca="false">SUBSTITUTE(SUBSTITUTE(SUBSTITUTE(SUBSTITUTE(SUBSTITUTE(SUBSTITUTE(SUBSTITUTE(SUBSTITUTE(SUBSTITUTE(SUBSTITUTE(SUBSTITUTE(SUBSTITUTE(SUBSTITUTE(LOWER(V736&amp;""),CHAR(160),"")," ",""),".",""),"-",""),"/",""),"?",""),"_",""),",",""),"[",""),"]",""),"(",""),")",""),"*","")</f>
        <v/>
      </c>
      <c r="AW736" s="61" t="str">
        <f aca="false">SUBSTITUTE(SUBSTITUTE(SUBSTITUTE(SUBSTITUTE(SUBSTITUTE(SUBSTITUTE(SUBSTITUTE(SUBSTITUTE(SUBSTITUTE(SUBSTITUTE(SUBSTITUTE(SUBSTITUTE(SUBSTITUTE(LOWER(Z736&amp;""),CHAR(160),"")," ",""),".",""),"-",""),"/",""),"?",""),"_",""),",",""),"[",""),"]",""),"(",""),")",""),"*","")</f>
        <v/>
      </c>
      <c r="AX736" s="61" t="str">
        <f aca="false">SUBSTITUTE(SUBSTITUTE(SUBSTITUTE(SUBSTITUTE(SUBSTITUTE(SUBSTITUTE(SUBSTITUTE(SUBSTITUTE(SUBSTITUTE(SUBSTITUTE(SUBSTITUTE(SUBSTITUTE(SUBSTITUTE(LOWER(AE736&amp;""),CHAR(160),"")," ",""),".",""),"-",""),"/",""),"?",""),"_",""),",",""),"[",""),"]",""),"(",""),")",""),"*","")</f>
        <v/>
      </c>
      <c r="AY736" s="61" t="str">
        <f aca="false">SUBSTITUTE(SUBSTITUTE(SUBSTITUTE(SUBSTITUTE(SUBSTITUTE(SUBSTITUTE(SUBSTITUTE(SUBSTITUTE(SUBSTITUTE(SUBSTITUTE(SUBSTITUTE(SUBSTITUTE(SUBSTITUTE(LOWER(W736&amp;""),CHAR(160),"")," ",""),".",""),"-",""),"/",""),"?",""),"_",""),",",""),"[",""),"]",""),"(",""),")",""),"*","")</f>
        <v/>
      </c>
      <c r="AZ736" s="61" t="str">
        <f aca="false">SUBSTITUTE(SUBSTITUTE(SUBSTITUTE(SUBSTITUTE(SUBSTITUTE(SUBSTITUTE(SUBSTITUTE(SUBSTITUTE(SUBSTITUTE(SUBSTITUTE(SUBSTITUTE(SUBSTITUTE(SUBSTITUTE(LOWER(AC736&amp;""),CHAR(160),"")," ",""),".",""),"-",""),"/",""),"?",""),"_",""),",",""),"[",""),"]",""),"(",""),")",""),"*","")</f>
        <v/>
      </c>
      <c r="BA736" s="61" t="str">
        <f aca="false">SUBSTITUTE(SUBSTITUTE(SUBSTITUTE(SUBSTITUTE(SUBSTITUTE(SUBSTITUTE(SUBSTITUTE(SUBSTITUTE(SUBSTITUTE(SUBSTITUTE(SUBSTITUTE(SUBSTITUTE(SUBSTITUTE(LOWER(AA736&amp;""),CHAR(160),"")," ",""),".",""),"-",""),"/",""),"?",""),"_",""),",",""),"[",""),"]",""),"(",""),")",""),"*","")</f>
        <v/>
      </c>
      <c r="BB736" s="61" t="str">
        <f aca="false">IF(AND(TRIM(U736)="Pass",ISNUMBER(AF736)),IF(AF736&lt;&gt;0,"INVALID – qty variance: use Fail or Pass after CA",""),"")&amp;IF(AND(TRIM(U736)="Pass after CA",ISNUMBER(AF736)),IF(AF736&lt;&gt;0,"INVALID – after the corrective action the actual qty must equal expected (update Actual)",""),"")&amp;IF(AND(TRIM(U736)="Pass",TRIM(AB736)&lt;&gt;"",TRIM(AB736)&lt;&gt;"Closed"),"INVALID – corrective action not closed: use Fail, then Pass after CA","")&amp;IF(AND(TRIM(AA736)&lt;&gt;"",TRIM(AB736)=""),"INVALID – CA status missing for the recorded corrective action","")&amp;IF(AND(TRIM(U736)="Pass after CA",OR(OR(LEN(BA736)&lt;5,ISNUMBER(MATCH(BA736,L_Placeholder,0))),TRIM(AB736)&lt;&gt;"Closed")),"INVALID – corrective action not recorded/closed","")</f>
        <v/>
      </c>
    </row>
    <row r="737" customFormat="false" ht="39.75" hidden="false" customHeight="true" outlineLevel="0" collapsed="false">
      <c r="A737" s="57" t="s">
        <v>1449</v>
      </c>
      <c r="B737" s="57" t="s">
        <v>309</v>
      </c>
      <c r="C737" s="57" t="str">
        <f aca="false">Flights!$F$26</f>
        <v>MH0002</v>
      </c>
      <c r="D737" s="58" t="n">
        <f aca="false">Flights!$D$26</f>
        <v>46325</v>
      </c>
      <c r="E737" s="57" t="str">
        <f aca="false">Flights!$G$26&amp;"-"&amp;Flights!$H$26</f>
        <v>KUL-LHR</v>
      </c>
      <c r="F737" s="57" t="str">
        <f aca="false">Flights!$K$26</f>
        <v>BC</v>
      </c>
      <c r="G737" s="57" t="s">
        <v>437</v>
      </c>
      <c r="H737" s="57" t="s">
        <v>438</v>
      </c>
      <c r="I737" s="57" t="s">
        <v>418</v>
      </c>
      <c r="J737" s="57" t="s">
        <v>621</v>
      </c>
      <c r="K737" s="67" t="s">
        <v>479</v>
      </c>
      <c r="L737" s="67" t="s">
        <v>712</v>
      </c>
      <c r="M737" s="67" t="s">
        <v>184</v>
      </c>
      <c r="N737" s="67" t="s">
        <v>361</v>
      </c>
      <c r="O737" s="67"/>
      <c r="P737" s="57" t="s">
        <v>184</v>
      </c>
      <c r="Q737" s="59" t="n">
        <f aca="false">ROUND((Flights!$AF$26)*1440,0)/1440</f>
        <v>46325.6388888889</v>
      </c>
      <c r="R737" s="59" t="n">
        <f aca="false">Q737+(IF(AND(INDEX(TZ_DSTS,MATCH(P737,TZ_STN,0))&lt;&gt;"",Q737&gt;=INDEX(TZ_DSTS,MATCH(P737,TZ_STN,0)),Q737&lt;INDEX(TZ_DSTE,MATCH(P737,TZ_STN,0))),INDEX(TZ_DST,MATCH(P737,TZ_STN,0)),INDEX(TZ_STD,MATCH(P737,TZ_STN,0))))/24</f>
        <v>46325.9722222222</v>
      </c>
      <c r="S737" s="59" t="n">
        <f aca="false">IF(ISNUMBER(Flights!$AZ$26),MAX(Q737-UpliftWindowH/24,Flights!$AZ$26),Q737-UpliftWindowH/24)</f>
        <v>46325.3888888889</v>
      </c>
      <c r="T737" s="60"/>
      <c r="U737" s="60"/>
      <c r="V737" s="60"/>
      <c r="W737" s="61"/>
      <c r="X737" s="60"/>
      <c r="Y737" s="60"/>
      <c r="Z737" s="60"/>
      <c r="AA737" s="60"/>
      <c r="AB737" s="60"/>
      <c r="AC737" s="60"/>
      <c r="AD737" s="66"/>
      <c r="AE737" s="60"/>
      <c r="AF737" s="61" t="str">
        <f aca="false">IF(AND(ISNUMBER(X737),ISNUMBER(Y737)),Y737-X737,"")</f>
        <v/>
      </c>
      <c r="AG737" s="62" t="str">
        <f aca="false">IF(ISNUMBER(AD737),AD737-(IF(AND(INDEX(TZ_DSTS,MATCH(P737,TZ_STN,0))&lt;&gt;"",(AD737-INDEX(TZ_STD,MATCH(P737,TZ_STN,0))/24)&gt;=INDEX(TZ_DSTS,MATCH(P737,TZ_STN,0)),(AD737-INDEX(TZ_STD,MATCH(P737,TZ_STN,0))/24)&lt;INDEX(TZ_DSTE,MATCH(P737,TZ_STN,0))),INDEX(TZ_DST,MATCH(P737,TZ_STN,0)),INDEX(TZ_STD,MATCH(P737,TZ_STN,0))))/24,"")</f>
        <v/>
      </c>
      <c r="AH737" s="65" t="str">
        <f aca="false">IFERROR(IF(N737="N/A – rule","N/A – RULE",IF(TRIM(U737)="N/A",IF(AT737=0,"INVALID – N/A not permitted for this check",IF(AND(TRIM(AB737)&lt;&gt;"",TRIM(AB737)&lt;&gt;"Closed"),"INVALID – corrective action still open",IF(AND(NOT(OR(LEN(AZ737)&lt;15,ISNUMBER(MATCH(AZ737,L_Placeholder,0)))),NOT(OR(LEN(AU737)&lt;2,ISNUMBER(MATCH(AU737,L_Placeholder,0)))),NOT(OR(LEN(AX737)&lt;2,ISNUMBER(MATCH(AX737,L_Placeholder,0)))),TRIM(AE737)&lt;&gt;TRIM(T737)),"N/A – JUSTIFIED","INVALID – N/A needs a real justification (15+ chars), PIC and a different verifier"))),IF(OR(TRIM(U737)="Pass",TRIM(U737)="Pass after CA"),IF(NOT(ISNUMBER(AD737)),"INVALID – completion time missing",IF(OR(LEN(AU737)&lt;2,ISNUMBER(MATCH(AU737,L_Placeholder,0))),"INVALID – PIC missing",IF(OR(LEN(AV737)&lt;2,ISNUMBER(MATCH(AV737,L_Placeholder,0))),"INVALID – result / assessment missing",IF(OR(OR(LEN(AW737)&lt;3,ISNUMBER(MATCH(AW737,L_Placeholder,0))),SUMPRODUCT(--ISNUMBER(SEARCH(L_EvidencePhrase,AW737)))&gt;0),"INVALID – evidence missing, placeholder or not yet on file",IF(OR(LEN(AX737)&lt;2,ISNUMBER(MATCH(AX737,L_Placeholder,0))),"INVALID – verifier missing",IF(AX737=AU737,"INVALID – verifier must be someone other than the PIC",IF(AND(TRIM(U737)="Pass",SUMPRODUCT(--ISNUMBER(SEARCH(L_ResultBad,AV737)))&gt;0),"INVALID – result describes a problem: use Fail, then Pass after CA",IF(AND(AQ737=1,OR(LEN(AY737)&lt;3,ISNUMBER(MATCH(AY737,L_Placeholder,0)))),"INVALID – batch ID missing or placeholder",IF(AND(AR737=1,OR(NOT(ISNUMBER(X737)),NOT(ISNUMBER(Y737)))),"INVALID – expected/actual qty missing",IF(AND(AR737=1,OR(X737&lt;=0,Y737&lt;0)),"INVALID – expected qty must be above 0 and actual not negative",IF(AH721="N/A – JUSTIFIED","INVALID – preparation row F22-T12-10 is N/A",IF(AND(AR737=1,ISNUMBER(X721),X737&lt;&gt;X721),"INVALID – expected qty differs from preparation check F22-T12-10",IF(BB737&lt;&gt;"",BB737,IF(AND(AS737=1,Documents!$J$26&lt;&gt;"ON FILE"),"INVALID – GLD not on file (Documents sheet)",IF(AND(AS737=2,Documents!$O$26&lt;&gt;"ON FILE"),"INVALID – menu checklist not on file (Documents sheet)",IF(AND(AS737=3,NOT(ISNUMBER(Flights!$AX$26))),"INVALID – enter carrying flight KUL departure (Flights AX)",IF(AND(AS737=3,OR(Flights!$AZ$26&gt;Flights!$AA$26,Flights!$AX$26&lt;Flights!$AA$26-3)),"INVALID – carrying flight (Flights AX) cannot arrive before this leg's STD, or is over 3 days early",IF(AG737&gt;AsOfUTC,"INVALID – completion time is in the future",IF(AND(ISNUMBER(S737),AG737&lt;S737),IF(H737="Physical uplift","INVALID – before uplift window (cannot confirm loading)","INVALID – before valid window"),IF(AG737&gt;Flights!$AA$26,"INVALID – completed after departure (cannot establish readiness)",IF(AND(H737="Preparation",AG737&gt;IF(ISNUMBER(Flights!$BA$26),MIN(Flights!$BA$26,Flights!$AA$26),Flights!$AA$26)),"INVALID – completed after loading / departure (cannot establish readiness)",IF(AND(H737="Physical uplift",AG737&gt;Q737),"INVALID – recorded after the loading flight departed",IF(AG737&gt;Q737,"COMPLETE – LATE","COMPLETE"))))))))))))))))))))))),IF(TRIM(U737)="Fail","FAIL – DISCREPANCY",IF(AND(TRIM(U737)&lt;&gt;"",TRIM(U737)&lt;&gt;"Not started",TRIM(U737)&lt;&gt;"In progress"),"INVALID – unrecognised status (use the list)",IF(AsOfUTC&gt;Q737,"OVERDUE",IF(N737="Clarification required","OPEN – CLARIFICATION","OPEN"))))))),"INVALID – error value in an input cell")</f>
        <v>OPEN</v>
      </c>
      <c r="AI737" s="61" t="n">
        <f aca="false">IF(OR(AH737="N/A – RULE",AH737="N/A – JUSTIFIED"),0,1)</f>
        <v>1</v>
      </c>
      <c r="AJ737" s="61" t="n">
        <f aca="false">IF(LEFT(AH737,8)="COMPLETE",1,0)</f>
        <v>0</v>
      </c>
      <c r="AK737" s="61" t="n">
        <f aca="false">IF(AND(AI737=1,AJ737=0,AsOfUTC&gt;Q737),1,0)</f>
        <v>0</v>
      </c>
      <c r="AL737" s="61" t="n">
        <f aca="false">IFERROR(IF(AND(AI737=1,OR(TRIM(U737)="Fail",AND(TRIM(AB737)&lt;&gt;"",TRIM(AB737)&lt;&gt;"Closed"),AND(ISNUMBER(AF737),AF737&lt;&gt;0,TRIM(U737)&lt;&gt;"Pass after CA"))),1,0),1)</f>
        <v>0</v>
      </c>
      <c r="AM737" s="61" t="n">
        <f aca="false">IF(LEFT(AH737,7)="INVALID",1,0)</f>
        <v>0</v>
      </c>
      <c r="AN737" s="61" t="n">
        <f aca="false">IF(AND(N737="Clarification required",AI737=1,AJ737=0),1,0)</f>
        <v>0</v>
      </c>
      <c r="AO737" s="61" t="str">
        <f aca="false">IF(AK737=1,SUM(AK$5:AK737),"")</f>
        <v/>
      </c>
      <c r="AP737" s="61" t="str">
        <f aca="false">IF(AL737=1,SUM(AL$5:AL737),"")</f>
        <v/>
      </c>
      <c r="AQ737" s="61" t="n">
        <v>0</v>
      </c>
      <c r="AR737" s="61" t="n">
        <v>0</v>
      </c>
      <c r="AS737" s="61" t="n">
        <v>0</v>
      </c>
      <c r="AT737" s="61" t="n">
        <v>0</v>
      </c>
      <c r="AU737" s="61" t="str">
        <f aca="false">SUBSTITUTE(SUBSTITUTE(SUBSTITUTE(SUBSTITUTE(SUBSTITUTE(SUBSTITUTE(SUBSTITUTE(SUBSTITUTE(SUBSTITUTE(SUBSTITUTE(SUBSTITUTE(SUBSTITUTE(SUBSTITUTE(LOWER(T737&amp;""),CHAR(160),"")," ",""),".",""),"-",""),"/",""),"?",""),"_",""),",",""),"[",""),"]",""),"(",""),")",""),"*","")</f>
        <v/>
      </c>
      <c r="AV737" s="61" t="str">
        <f aca="false">SUBSTITUTE(SUBSTITUTE(SUBSTITUTE(SUBSTITUTE(SUBSTITUTE(SUBSTITUTE(SUBSTITUTE(SUBSTITUTE(SUBSTITUTE(SUBSTITUTE(SUBSTITUTE(SUBSTITUTE(SUBSTITUTE(LOWER(V737&amp;""),CHAR(160),"")," ",""),".",""),"-",""),"/",""),"?",""),"_",""),",",""),"[",""),"]",""),"(",""),")",""),"*","")</f>
        <v/>
      </c>
      <c r="AW737" s="61" t="str">
        <f aca="false">SUBSTITUTE(SUBSTITUTE(SUBSTITUTE(SUBSTITUTE(SUBSTITUTE(SUBSTITUTE(SUBSTITUTE(SUBSTITUTE(SUBSTITUTE(SUBSTITUTE(SUBSTITUTE(SUBSTITUTE(SUBSTITUTE(LOWER(Z737&amp;""),CHAR(160),"")," ",""),".",""),"-",""),"/",""),"?",""),"_",""),",",""),"[",""),"]",""),"(",""),")",""),"*","")</f>
        <v/>
      </c>
      <c r="AX737" s="61" t="str">
        <f aca="false">SUBSTITUTE(SUBSTITUTE(SUBSTITUTE(SUBSTITUTE(SUBSTITUTE(SUBSTITUTE(SUBSTITUTE(SUBSTITUTE(SUBSTITUTE(SUBSTITUTE(SUBSTITUTE(SUBSTITUTE(SUBSTITUTE(LOWER(AE737&amp;""),CHAR(160),"")," ",""),".",""),"-",""),"/",""),"?",""),"_",""),",",""),"[",""),"]",""),"(",""),")",""),"*","")</f>
        <v/>
      </c>
      <c r="AY737" s="61" t="str">
        <f aca="false">SUBSTITUTE(SUBSTITUTE(SUBSTITUTE(SUBSTITUTE(SUBSTITUTE(SUBSTITUTE(SUBSTITUTE(SUBSTITUTE(SUBSTITUTE(SUBSTITUTE(SUBSTITUTE(SUBSTITUTE(SUBSTITUTE(LOWER(W737&amp;""),CHAR(160),"")," ",""),".",""),"-",""),"/",""),"?",""),"_",""),",",""),"[",""),"]",""),"(",""),")",""),"*","")</f>
        <v/>
      </c>
      <c r="AZ737" s="61" t="str">
        <f aca="false">SUBSTITUTE(SUBSTITUTE(SUBSTITUTE(SUBSTITUTE(SUBSTITUTE(SUBSTITUTE(SUBSTITUTE(SUBSTITUTE(SUBSTITUTE(SUBSTITUTE(SUBSTITUTE(SUBSTITUTE(SUBSTITUTE(LOWER(AC737&amp;""),CHAR(160),"")," ",""),".",""),"-",""),"/",""),"?",""),"_",""),",",""),"[",""),"]",""),"(",""),")",""),"*","")</f>
        <v/>
      </c>
      <c r="BA737" s="61" t="str">
        <f aca="false">SUBSTITUTE(SUBSTITUTE(SUBSTITUTE(SUBSTITUTE(SUBSTITUTE(SUBSTITUTE(SUBSTITUTE(SUBSTITUTE(SUBSTITUTE(SUBSTITUTE(SUBSTITUTE(SUBSTITUTE(SUBSTITUTE(LOWER(AA737&amp;""),CHAR(160),"")," ",""),".",""),"-",""),"/",""),"?",""),"_",""),",",""),"[",""),"]",""),"(",""),")",""),"*","")</f>
        <v/>
      </c>
      <c r="BB737" s="61" t="str">
        <f aca="false">IF(AND(TRIM(U737)="Pass",ISNUMBER(AF737)),IF(AF737&lt;&gt;0,"INVALID – qty variance: use Fail or Pass after CA",""),"")&amp;IF(AND(TRIM(U737)="Pass after CA",ISNUMBER(AF737)),IF(AF737&lt;&gt;0,"INVALID – after the corrective action the actual qty must equal expected (update Actual)",""),"")&amp;IF(AND(TRIM(U737)="Pass",TRIM(AB737)&lt;&gt;"",TRIM(AB737)&lt;&gt;"Closed"),"INVALID – corrective action not closed: use Fail, then Pass after CA","")&amp;IF(AND(TRIM(AA737)&lt;&gt;"",TRIM(AB737)=""),"INVALID – CA status missing for the recorded corrective action","")&amp;IF(AND(TRIM(U737)="Pass after CA",OR(OR(LEN(BA737)&lt;5,ISNUMBER(MATCH(BA737,L_Placeholder,0))),TRIM(AB737)&lt;&gt;"Closed")),"INVALID – corrective action not recorded/closed","")</f>
        <v/>
      </c>
    </row>
    <row r="738" customFormat="false" ht="39.75" hidden="false" customHeight="true" outlineLevel="0" collapsed="false">
      <c r="A738" s="57" t="s">
        <v>1450</v>
      </c>
      <c r="B738" s="57" t="s">
        <v>309</v>
      </c>
      <c r="C738" s="57" t="str">
        <f aca="false">Flights!$F$26</f>
        <v>MH0002</v>
      </c>
      <c r="D738" s="58" t="n">
        <f aca="false">Flights!$D$26</f>
        <v>46325</v>
      </c>
      <c r="E738" s="57" t="str">
        <f aca="false">Flights!$G$26&amp;"-"&amp;Flights!$H$26</f>
        <v>KUL-LHR</v>
      </c>
      <c r="F738" s="57" t="str">
        <f aca="false">Flights!$K$26</f>
        <v>BC</v>
      </c>
      <c r="G738" s="57" t="s">
        <v>437</v>
      </c>
      <c r="H738" s="57" t="s">
        <v>438</v>
      </c>
      <c r="I738" s="57" t="s">
        <v>477</v>
      </c>
      <c r="J738" s="57" t="s">
        <v>515</v>
      </c>
      <c r="K738" s="67" t="s">
        <v>479</v>
      </c>
      <c r="L738" s="67" t="s">
        <v>714</v>
      </c>
      <c r="M738" s="67" t="s">
        <v>429</v>
      </c>
      <c r="N738" s="67" t="s">
        <v>361</v>
      </c>
      <c r="O738" s="67"/>
      <c r="P738" s="57" t="s">
        <v>184</v>
      </c>
      <c r="Q738" s="59" t="n">
        <f aca="false">ROUND((Flights!$AF$26)*1440,0)/1440</f>
        <v>46325.6388888889</v>
      </c>
      <c r="R738" s="59" t="n">
        <f aca="false">Q738+(IF(AND(INDEX(TZ_DSTS,MATCH(P738,TZ_STN,0))&lt;&gt;"",Q738&gt;=INDEX(TZ_DSTS,MATCH(P738,TZ_STN,0)),Q738&lt;INDEX(TZ_DSTE,MATCH(P738,TZ_STN,0))),INDEX(TZ_DST,MATCH(P738,TZ_STN,0)),INDEX(TZ_STD,MATCH(P738,TZ_STN,0))))/24</f>
        <v>46325.9722222222</v>
      </c>
      <c r="S738" s="59" t="n">
        <f aca="false">IF(ISNUMBER(Flights!$AZ$26),MAX(Q738-UpliftWindowH/24,Flights!$AZ$26),Q738-UpliftWindowH/24)</f>
        <v>46325.3888888889</v>
      </c>
      <c r="T738" s="60"/>
      <c r="U738" s="60"/>
      <c r="V738" s="60"/>
      <c r="W738" s="61"/>
      <c r="X738" s="60"/>
      <c r="Y738" s="60"/>
      <c r="Z738" s="60"/>
      <c r="AA738" s="60"/>
      <c r="AB738" s="60"/>
      <c r="AC738" s="60"/>
      <c r="AD738" s="66"/>
      <c r="AE738" s="60"/>
      <c r="AF738" s="61" t="str">
        <f aca="false">IF(AND(ISNUMBER(X738),ISNUMBER(Y738)),Y738-X738,"")</f>
        <v/>
      </c>
      <c r="AG738" s="62" t="str">
        <f aca="false">IF(ISNUMBER(AD738),AD738-(IF(AND(INDEX(TZ_DSTS,MATCH(P738,TZ_STN,0))&lt;&gt;"",(AD738-INDEX(TZ_STD,MATCH(P738,TZ_STN,0))/24)&gt;=INDEX(TZ_DSTS,MATCH(P738,TZ_STN,0)),(AD738-INDEX(TZ_STD,MATCH(P738,TZ_STN,0))/24)&lt;INDEX(TZ_DSTE,MATCH(P738,TZ_STN,0))),INDEX(TZ_DST,MATCH(P738,TZ_STN,0)),INDEX(TZ_STD,MATCH(P738,TZ_STN,0))))/24,"")</f>
        <v/>
      </c>
      <c r="AH738" s="65" t="str">
        <f aca="false">IFERROR(IF(N738="N/A – rule","N/A – RULE",IF(TRIM(U738)="N/A",IF(AT738=0,"INVALID – N/A not permitted for this check",IF(AND(TRIM(AB738)&lt;&gt;"",TRIM(AB738)&lt;&gt;"Closed"),"INVALID – corrective action still open",IF(AND(NOT(OR(LEN(AZ738)&lt;15,ISNUMBER(MATCH(AZ738,L_Placeholder,0)))),NOT(OR(LEN(AU738)&lt;2,ISNUMBER(MATCH(AU738,L_Placeholder,0)))),NOT(OR(LEN(AX738)&lt;2,ISNUMBER(MATCH(AX738,L_Placeholder,0)))),TRIM(AE738)&lt;&gt;TRIM(T738)),"N/A – JUSTIFIED","INVALID – N/A needs a real justification (15+ chars), PIC and a different verifier"))),IF(OR(TRIM(U738)="Pass",TRIM(U738)="Pass after CA"),IF(NOT(ISNUMBER(AD738)),"INVALID – completion time missing",IF(OR(LEN(AU738)&lt;2,ISNUMBER(MATCH(AU738,L_Placeholder,0))),"INVALID – PIC missing",IF(OR(LEN(AV738)&lt;2,ISNUMBER(MATCH(AV738,L_Placeholder,0))),"INVALID – result / assessment missing",IF(OR(OR(LEN(AW738)&lt;3,ISNUMBER(MATCH(AW738,L_Placeholder,0))),SUMPRODUCT(--ISNUMBER(SEARCH(L_EvidencePhrase,AW738)))&gt;0),"INVALID – evidence missing, placeholder or not yet on file",IF(OR(LEN(AX738)&lt;2,ISNUMBER(MATCH(AX738,L_Placeholder,0))),"INVALID – verifier missing",IF(AX738=AU738,"INVALID – verifier must be someone other than the PIC",IF(AND(TRIM(U738)="Pass",SUMPRODUCT(--ISNUMBER(SEARCH(L_ResultBad,AV738)))&gt;0),"INVALID – result describes a problem: use Fail, then Pass after CA",IF(AND(AQ738=1,OR(LEN(AY738)&lt;3,ISNUMBER(MATCH(AY738,L_Placeholder,0)))),"INVALID – batch ID missing or placeholder",IF(AND(AR738=1,OR(NOT(ISNUMBER(X738)),NOT(ISNUMBER(Y738)))),"INVALID – expected/actual qty missing",IF(AND(AR738=1,OR(X738&lt;=0,Y738&lt;0)),"INVALID – expected qty must be above 0 and actual not negative",IF(AH722="N/A – JUSTIFIED","INVALID – preparation row F22-T12-11 is N/A",IF(AND(AR738=1,ISNUMBER(X722),X738&lt;&gt;X722),"INVALID – expected qty differs from preparation check F22-T12-11",IF(BB738&lt;&gt;"",BB738,IF(AND(AS738=1,Documents!$J$26&lt;&gt;"ON FILE"),"INVALID – GLD not on file (Documents sheet)",IF(AND(AS738=2,Documents!$O$26&lt;&gt;"ON FILE"),"INVALID – menu checklist not on file (Documents sheet)",IF(AND(AS738=3,NOT(ISNUMBER(Flights!$AX$26))),"INVALID – enter carrying flight KUL departure (Flights AX)",IF(AND(AS738=3,OR(Flights!$AZ$26&gt;Flights!$AA$26,Flights!$AX$26&lt;Flights!$AA$26-3)),"INVALID – carrying flight (Flights AX) cannot arrive before this leg's STD, or is over 3 days early",IF(AG738&gt;AsOfUTC,"INVALID – completion time is in the future",IF(AND(ISNUMBER(S738),AG738&lt;S738),IF(H738="Physical uplift","INVALID – before uplift window (cannot confirm loading)","INVALID – before valid window"),IF(AG738&gt;Flights!$AA$26,"INVALID – completed after departure (cannot establish readiness)",IF(AND(H738="Preparation",AG738&gt;IF(ISNUMBER(Flights!$BA$26),MIN(Flights!$BA$26,Flights!$AA$26),Flights!$AA$26)),"INVALID – completed after loading / departure (cannot establish readiness)",IF(AND(H738="Physical uplift",AG738&gt;Q738),"INVALID – recorded after the loading flight departed",IF(AG738&gt;Q738,"COMPLETE – LATE","COMPLETE"))))))))))))))))))))))),IF(TRIM(U738)="Fail","FAIL – DISCREPANCY",IF(AND(TRIM(U738)&lt;&gt;"",TRIM(U738)&lt;&gt;"Not started",TRIM(U738)&lt;&gt;"In progress"),"INVALID – unrecognised status (use the list)",IF(AsOfUTC&gt;Q738,"OVERDUE",IF(N738="Clarification required","OPEN – CLARIFICATION","OPEN"))))))),"INVALID – error value in an input cell")</f>
        <v>OPEN</v>
      </c>
      <c r="AI738" s="61" t="n">
        <f aca="false">IF(OR(AH738="N/A – RULE",AH738="N/A – JUSTIFIED"),0,1)</f>
        <v>1</v>
      </c>
      <c r="AJ738" s="61" t="n">
        <f aca="false">IF(LEFT(AH738,8)="COMPLETE",1,0)</f>
        <v>0</v>
      </c>
      <c r="AK738" s="61" t="n">
        <f aca="false">IF(AND(AI738=1,AJ738=0,AsOfUTC&gt;Q738),1,0)</f>
        <v>0</v>
      </c>
      <c r="AL738" s="61" t="n">
        <f aca="false">IFERROR(IF(AND(AI738=1,OR(TRIM(U738)="Fail",AND(TRIM(AB738)&lt;&gt;"",TRIM(AB738)&lt;&gt;"Closed"),AND(ISNUMBER(AF738),AF738&lt;&gt;0,TRIM(U738)&lt;&gt;"Pass after CA"))),1,0),1)</f>
        <v>0</v>
      </c>
      <c r="AM738" s="61" t="n">
        <f aca="false">IF(LEFT(AH738,7)="INVALID",1,0)</f>
        <v>0</v>
      </c>
      <c r="AN738" s="61" t="n">
        <f aca="false">IF(AND(N738="Clarification required",AI738=1,AJ738=0),1,0)</f>
        <v>0</v>
      </c>
      <c r="AO738" s="61" t="str">
        <f aca="false">IF(AK738=1,SUM(AK$5:AK738),"")</f>
        <v/>
      </c>
      <c r="AP738" s="61" t="str">
        <f aca="false">IF(AL738=1,SUM(AL$5:AL738),"")</f>
        <v/>
      </c>
      <c r="AQ738" s="61" t="n">
        <v>0</v>
      </c>
      <c r="AR738" s="61" t="n">
        <v>0</v>
      </c>
      <c r="AS738" s="61" t="n">
        <v>0</v>
      </c>
      <c r="AT738" s="61" t="n">
        <v>0</v>
      </c>
      <c r="AU738" s="61" t="str">
        <f aca="false">SUBSTITUTE(SUBSTITUTE(SUBSTITUTE(SUBSTITUTE(SUBSTITUTE(SUBSTITUTE(SUBSTITUTE(SUBSTITUTE(SUBSTITUTE(SUBSTITUTE(SUBSTITUTE(SUBSTITUTE(SUBSTITUTE(LOWER(T738&amp;""),CHAR(160),"")," ",""),".",""),"-",""),"/",""),"?",""),"_",""),",",""),"[",""),"]",""),"(",""),")",""),"*","")</f>
        <v/>
      </c>
      <c r="AV738" s="61" t="str">
        <f aca="false">SUBSTITUTE(SUBSTITUTE(SUBSTITUTE(SUBSTITUTE(SUBSTITUTE(SUBSTITUTE(SUBSTITUTE(SUBSTITUTE(SUBSTITUTE(SUBSTITUTE(SUBSTITUTE(SUBSTITUTE(SUBSTITUTE(LOWER(V738&amp;""),CHAR(160),"")," ",""),".",""),"-",""),"/",""),"?",""),"_",""),",",""),"[",""),"]",""),"(",""),")",""),"*","")</f>
        <v/>
      </c>
      <c r="AW738" s="61" t="str">
        <f aca="false">SUBSTITUTE(SUBSTITUTE(SUBSTITUTE(SUBSTITUTE(SUBSTITUTE(SUBSTITUTE(SUBSTITUTE(SUBSTITUTE(SUBSTITUTE(SUBSTITUTE(SUBSTITUTE(SUBSTITUTE(SUBSTITUTE(LOWER(Z738&amp;""),CHAR(160),"")," ",""),".",""),"-",""),"/",""),"?",""),"_",""),",",""),"[",""),"]",""),"(",""),")",""),"*","")</f>
        <v/>
      </c>
      <c r="AX738" s="61" t="str">
        <f aca="false">SUBSTITUTE(SUBSTITUTE(SUBSTITUTE(SUBSTITUTE(SUBSTITUTE(SUBSTITUTE(SUBSTITUTE(SUBSTITUTE(SUBSTITUTE(SUBSTITUTE(SUBSTITUTE(SUBSTITUTE(SUBSTITUTE(LOWER(AE738&amp;""),CHAR(160),"")," ",""),".",""),"-",""),"/",""),"?",""),"_",""),",",""),"[",""),"]",""),"(",""),")",""),"*","")</f>
        <v/>
      </c>
      <c r="AY738" s="61" t="str">
        <f aca="false">SUBSTITUTE(SUBSTITUTE(SUBSTITUTE(SUBSTITUTE(SUBSTITUTE(SUBSTITUTE(SUBSTITUTE(SUBSTITUTE(SUBSTITUTE(SUBSTITUTE(SUBSTITUTE(SUBSTITUTE(SUBSTITUTE(LOWER(W738&amp;""),CHAR(160),"")," ",""),".",""),"-",""),"/",""),"?",""),"_",""),",",""),"[",""),"]",""),"(",""),")",""),"*","")</f>
        <v/>
      </c>
      <c r="AZ738" s="61" t="str">
        <f aca="false">SUBSTITUTE(SUBSTITUTE(SUBSTITUTE(SUBSTITUTE(SUBSTITUTE(SUBSTITUTE(SUBSTITUTE(SUBSTITUTE(SUBSTITUTE(SUBSTITUTE(SUBSTITUTE(SUBSTITUTE(SUBSTITUTE(LOWER(AC738&amp;""),CHAR(160),"")," ",""),".",""),"-",""),"/",""),"?",""),"_",""),",",""),"[",""),"]",""),"(",""),")",""),"*","")</f>
        <v/>
      </c>
      <c r="BA738" s="61" t="str">
        <f aca="false">SUBSTITUTE(SUBSTITUTE(SUBSTITUTE(SUBSTITUTE(SUBSTITUTE(SUBSTITUTE(SUBSTITUTE(SUBSTITUTE(SUBSTITUTE(SUBSTITUTE(SUBSTITUTE(SUBSTITUTE(SUBSTITUTE(LOWER(AA738&amp;""),CHAR(160),"")," ",""),".",""),"-",""),"/",""),"?",""),"_",""),",",""),"[",""),"]",""),"(",""),")",""),"*","")</f>
        <v/>
      </c>
      <c r="BB738" s="61" t="str">
        <f aca="false">IF(AND(TRIM(U738)="Pass",ISNUMBER(AF738)),IF(AF738&lt;&gt;0,"INVALID – qty variance: use Fail or Pass after CA",""),"")&amp;IF(AND(TRIM(U738)="Pass after CA",ISNUMBER(AF738)),IF(AF738&lt;&gt;0,"INVALID – after the corrective action the actual qty must equal expected (update Actual)",""),"")&amp;IF(AND(TRIM(U738)="Pass",TRIM(AB738)&lt;&gt;"",TRIM(AB738)&lt;&gt;"Closed"),"INVALID – corrective action not closed: use Fail, then Pass after CA","")&amp;IF(AND(TRIM(AA738)&lt;&gt;"",TRIM(AB738)=""),"INVALID – CA status missing for the recorded corrective action","")&amp;IF(AND(TRIM(U738)="Pass after CA",OR(OR(LEN(BA738)&lt;5,ISNUMBER(MATCH(BA738,L_Placeholder,0))),TRIM(AB738)&lt;&gt;"Closed")),"INVALID – corrective action not recorded/closed","")</f>
        <v/>
      </c>
    </row>
    <row r="739" customFormat="false" ht="39.75" hidden="false" customHeight="true" outlineLevel="0" collapsed="false">
      <c r="A739" s="57" t="s">
        <v>1451</v>
      </c>
      <c r="B739" s="57" t="s">
        <v>309</v>
      </c>
      <c r="C739" s="57" t="str">
        <f aca="false">Flights!$F$26</f>
        <v>MH0002</v>
      </c>
      <c r="D739" s="58" t="n">
        <f aca="false">Flights!$D$26</f>
        <v>46325</v>
      </c>
      <c r="E739" s="57" t="str">
        <f aca="false">Flights!$G$26&amp;"-"&amp;Flights!$H$26</f>
        <v>KUL-LHR</v>
      </c>
      <c r="F739" s="57" t="str">
        <f aca="false">Flights!$K$26</f>
        <v>BC</v>
      </c>
      <c r="G739" s="57" t="s">
        <v>437</v>
      </c>
      <c r="H739" s="57" t="s">
        <v>438</v>
      </c>
      <c r="I739" s="57" t="s">
        <v>477</v>
      </c>
      <c r="J739" s="57" t="s">
        <v>517</v>
      </c>
      <c r="K739" s="67" t="s">
        <v>479</v>
      </c>
      <c r="L739" s="67" t="s">
        <v>716</v>
      </c>
      <c r="M739" s="67" t="s">
        <v>429</v>
      </c>
      <c r="N739" s="67" t="s">
        <v>361</v>
      </c>
      <c r="O739" s="67"/>
      <c r="P739" s="57" t="s">
        <v>184</v>
      </c>
      <c r="Q739" s="59" t="n">
        <f aca="false">ROUND((Flights!$AF$26)*1440,0)/1440</f>
        <v>46325.6388888889</v>
      </c>
      <c r="R739" s="59" t="n">
        <f aca="false">Q739+(IF(AND(INDEX(TZ_DSTS,MATCH(P739,TZ_STN,0))&lt;&gt;"",Q739&gt;=INDEX(TZ_DSTS,MATCH(P739,TZ_STN,0)),Q739&lt;INDEX(TZ_DSTE,MATCH(P739,TZ_STN,0))),INDEX(TZ_DST,MATCH(P739,TZ_STN,0)),INDEX(TZ_STD,MATCH(P739,TZ_STN,0))))/24</f>
        <v>46325.9722222222</v>
      </c>
      <c r="S739" s="59" t="n">
        <f aca="false">IF(ISNUMBER(Flights!$AZ$26),MAX(Q739-UpliftWindowH/24,Flights!$AZ$26),Q739-UpliftWindowH/24)</f>
        <v>46325.3888888889</v>
      </c>
      <c r="T739" s="60"/>
      <c r="U739" s="60"/>
      <c r="V739" s="60"/>
      <c r="W739" s="61"/>
      <c r="X739" s="60"/>
      <c r="Y739" s="60"/>
      <c r="Z739" s="60"/>
      <c r="AA739" s="60"/>
      <c r="AB739" s="60"/>
      <c r="AC739" s="60"/>
      <c r="AD739" s="66"/>
      <c r="AE739" s="60"/>
      <c r="AF739" s="61" t="str">
        <f aca="false">IF(AND(ISNUMBER(X739),ISNUMBER(Y739)),Y739-X739,"")</f>
        <v/>
      </c>
      <c r="AG739" s="62" t="str">
        <f aca="false">IF(ISNUMBER(AD739),AD739-(IF(AND(INDEX(TZ_DSTS,MATCH(P739,TZ_STN,0))&lt;&gt;"",(AD739-INDEX(TZ_STD,MATCH(P739,TZ_STN,0))/24)&gt;=INDEX(TZ_DSTS,MATCH(P739,TZ_STN,0)),(AD739-INDEX(TZ_STD,MATCH(P739,TZ_STN,0))/24)&lt;INDEX(TZ_DSTE,MATCH(P739,TZ_STN,0))),INDEX(TZ_DST,MATCH(P739,TZ_STN,0)),INDEX(TZ_STD,MATCH(P739,TZ_STN,0))))/24,"")</f>
        <v/>
      </c>
      <c r="AH739" s="65" t="str">
        <f aca="false">IFERROR(IF(N739="N/A – rule","N/A – RULE",IF(TRIM(U739)="N/A",IF(AT739=0,"INVALID – N/A not permitted for this check",IF(AND(TRIM(AB739)&lt;&gt;"",TRIM(AB739)&lt;&gt;"Closed"),"INVALID – corrective action still open",IF(AND(NOT(OR(LEN(AZ739)&lt;15,ISNUMBER(MATCH(AZ739,L_Placeholder,0)))),NOT(OR(LEN(AU739)&lt;2,ISNUMBER(MATCH(AU739,L_Placeholder,0)))),NOT(OR(LEN(AX739)&lt;2,ISNUMBER(MATCH(AX739,L_Placeholder,0)))),TRIM(AE739)&lt;&gt;TRIM(T739)),"N/A – JUSTIFIED","INVALID – N/A needs a real justification (15+ chars), PIC and a different verifier"))),IF(OR(TRIM(U739)="Pass",TRIM(U739)="Pass after CA"),IF(NOT(ISNUMBER(AD739)),"INVALID – completion time missing",IF(OR(LEN(AU739)&lt;2,ISNUMBER(MATCH(AU739,L_Placeholder,0))),"INVALID – PIC missing",IF(OR(LEN(AV739)&lt;2,ISNUMBER(MATCH(AV739,L_Placeholder,0))),"INVALID – result / assessment missing",IF(OR(OR(LEN(AW739)&lt;3,ISNUMBER(MATCH(AW739,L_Placeholder,0))),SUMPRODUCT(--ISNUMBER(SEARCH(L_EvidencePhrase,AW739)))&gt;0),"INVALID – evidence missing, placeholder or not yet on file",IF(OR(LEN(AX739)&lt;2,ISNUMBER(MATCH(AX739,L_Placeholder,0))),"INVALID – verifier missing",IF(AX739=AU739,"INVALID – verifier must be someone other than the PIC",IF(AND(TRIM(U739)="Pass",SUMPRODUCT(--ISNUMBER(SEARCH(L_ResultBad,AV739)))&gt;0),"INVALID – result describes a problem: use Fail, then Pass after CA",IF(AND(AQ739=1,OR(LEN(AY739)&lt;3,ISNUMBER(MATCH(AY739,L_Placeholder,0)))),"INVALID – batch ID missing or placeholder",IF(AND(AR739=1,OR(NOT(ISNUMBER(X739)),NOT(ISNUMBER(Y739)))),"INVALID – expected/actual qty missing",IF(AND(AR739=1,OR(X739&lt;=0,Y739&lt;0)),"INVALID – expected qty must be above 0 and actual not negative",IF(AH723="N/A – JUSTIFIED","INVALID – preparation row F22-T12-12 is N/A",IF(AND(AR739=1,ISNUMBER(X723),X739&lt;&gt;X723),"INVALID – expected qty differs from preparation check F22-T12-12",IF(BB739&lt;&gt;"",BB739,IF(AND(AS739=1,Documents!$J$26&lt;&gt;"ON FILE"),"INVALID – GLD not on file (Documents sheet)",IF(AND(AS739=2,Documents!$O$26&lt;&gt;"ON FILE"),"INVALID – menu checklist not on file (Documents sheet)",IF(AND(AS739=3,NOT(ISNUMBER(Flights!$AX$26))),"INVALID – enter carrying flight KUL departure (Flights AX)",IF(AND(AS739=3,OR(Flights!$AZ$26&gt;Flights!$AA$26,Flights!$AX$26&lt;Flights!$AA$26-3)),"INVALID – carrying flight (Flights AX) cannot arrive before this leg's STD, or is over 3 days early",IF(AG739&gt;AsOfUTC,"INVALID – completion time is in the future",IF(AND(ISNUMBER(S739),AG739&lt;S739),IF(H739="Physical uplift","INVALID – before uplift window (cannot confirm loading)","INVALID – before valid window"),IF(AG739&gt;Flights!$AA$26,"INVALID – completed after departure (cannot establish readiness)",IF(AND(H739="Preparation",AG739&gt;IF(ISNUMBER(Flights!$BA$26),MIN(Flights!$BA$26,Flights!$AA$26),Flights!$AA$26)),"INVALID – completed after loading / departure (cannot establish readiness)",IF(AND(H739="Physical uplift",AG739&gt;Q739),"INVALID – recorded after the loading flight departed",IF(AG739&gt;Q739,"COMPLETE – LATE","COMPLETE"))))))))))))))))))))))),IF(TRIM(U739)="Fail","FAIL – DISCREPANCY",IF(AND(TRIM(U739)&lt;&gt;"",TRIM(U739)&lt;&gt;"Not started",TRIM(U739)&lt;&gt;"In progress"),"INVALID – unrecognised status (use the list)",IF(AsOfUTC&gt;Q739,"OVERDUE",IF(N739="Clarification required","OPEN – CLARIFICATION","OPEN"))))))),"INVALID – error value in an input cell")</f>
        <v>OPEN</v>
      </c>
      <c r="AI739" s="61" t="n">
        <f aca="false">IF(OR(AH739="N/A – RULE",AH739="N/A – JUSTIFIED"),0,1)</f>
        <v>1</v>
      </c>
      <c r="AJ739" s="61" t="n">
        <f aca="false">IF(LEFT(AH739,8)="COMPLETE",1,0)</f>
        <v>0</v>
      </c>
      <c r="AK739" s="61" t="n">
        <f aca="false">IF(AND(AI739=1,AJ739=0,AsOfUTC&gt;Q739),1,0)</f>
        <v>0</v>
      </c>
      <c r="AL739" s="61" t="n">
        <f aca="false">IFERROR(IF(AND(AI739=1,OR(TRIM(U739)="Fail",AND(TRIM(AB739)&lt;&gt;"",TRIM(AB739)&lt;&gt;"Closed"),AND(ISNUMBER(AF739),AF739&lt;&gt;0,TRIM(U739)&lt;&gt;"Pass after CA"))),1,0),1)</f>
        <v>0</v>
      </c>
      <c r="AM739" s="61" t="n">
        <f aca="false">IF(LEFT(AH739,7)="INVALID",1,0)</f>
        <v>0</v>
      </c>
      <c r="AN739" s="61" t="n">
        <f aca="false">IF(AND(N739="Clarification required",AI739=1,AJ739=0),1,0)</f>
        <v>0</v>
      </c>
      <c r="AO739" s="61" t="str">
        <f aca="false">IF(AK739=1,SUM(AK$5:AK739),"")</f>
        <v/>
      </c>
      <c r="AP739" s="61" t="str">
        <f aca="false">IF(AL739=1,SUM(AL$5:AL739),"")</f>
        <v/>
      </c>
      <c r="AQ739" s="61" t="n">
        <v>0</v>
      </c>
      <c r="AR739" s="61" t="n">
        <v>0</v>
      </c>
      <c r="AS739" s="61" t="n">
        <v>0</v>
      </c>
      <c r="AT739" s="61" t="n">
        <v>0</v>
      </c>
      <c r="AU739" s="61" t="str">
        <f aca="false">SUBSTITUTE(SUBSTITUTE(SUBSTITUTE(SUBSTITUTE(SUBSTITUTE(SUBSTITUTE(SUBSTITUTE(SUBSTITUTE(SUBSTITUTE(SUBSTITUTE(SUBSTITUTE(SUBSTITUTE(SUBSTITUTE(LOWER(T739&amp;""),CHAR(160),"")," ",""),".",""),"-",""),"/",""),"?",""),"_",""),",",""),"[",""),"]",""),"(",""),")",""),"*","")</f>
        <v/>
      </c>
      <c r="AV739" s="61" t="str">
        <f aca="false">SUBSTITUTE(SUBSTITUTE(SUBSTITUTE(SUBSTITUTE(SUBSTITUTE(SUBSTITUTE(SUBSTITUTE(SUBSTITUTE(SUBSTITUTE(SUBSTITUTE(SUBSTITUTE(SUBSTITUTE(SUBSTITUTE(LOWER(V739&amp;""),CHAR(160),"")," ",""),".",""),"-",""),"/",""),"?",""),"_",""),",",""),"[",""),"]",""),"(",""),")",""),"*","")</f>
        <v/>
      </c>
      <c r="AW739" s="61" t="str">
        <f aca="false">SUBSTITUTE(SUBSTITUTE(SUBSTITUTE(SUBSTITUTE(SUBSTITUTE(SUBSTITUTE(SUBSTITUTE(SUBSTITUTE(SUBSTITUTE(SUBSTITUTE(SUBSTITUTE(SUBSTITUTE(SUBSTITUTE(LOWER(Z739&amp;""),CHAR(160),"")," ",""),".",""),"-",""),"/",""),"?",""),"_",""),",",""),"[",""),"]",""),"(",""),")",""),"*","")</f>
        <v/>
      </c>
      <c r="AX739" s="61" t="str">
        <f aca="false">SUBSTITUTE(SUBSTITUTE(SUBSTITUTE(SUBSTITUTE(SUBSTITUTE(SUBSTITUTE(SUBSTITUTE(SUBSTITUTE(SUBSTITUTE(SUBSTITUTE(SUBSTITUTE(SUBSTITUTE(SUBSTITUTE(LOWER(AE739&amp;""),CHAR(160),"")," ",""),".",""),"-",""),"/",""),"?",""),"_",""),",",""),"[",""),"]",""),"(",""),")",""),"*","")</f>
        <v/>
      </c>
      <c r="AY739" s="61" t="str">
        <f aca="false">SUBSTITUTE(SUBSTITUTE(SUBSTITUTE(SUBSTITUTE(SUBSTITUTE(SUBSTITUTE(SUBSTITUTE(SUBSTITUTE(SUBSTITUTE(SUBSTITUTE(SUBSTITUTE(SUBSTITUTE(SUBSTITUTE(LOWER(W739&amp;""),CHAR(160),"")," ",""),".",""),"-",""),"/",""),"?",""),"_",""),",",""),"[",""),"]",""),"(",""),")",""),"*","")</f>
        <v/>
      </c>
      <c r="AZ739" s="61" t="str">
        <f aca="false">SUBSTITUTE(SUBSTITUTE(SUBSTITUTE(SUBSTITUTE(SUBSTITUTE(SUBSTITUTE(SUBSTITUTE(SUBSTITUTE(SUBSTITUTE(SUBSTITUTE(SUBSTITUTE(SUBSTITUTE(SUBSTITUTE(LOWER(AC739&amp;""),CHAR(160),"")," ",""),".",""),"-",""),"/",""),"?",""),"_",""),",",""),"[",""),"]",""),"(",""),")",""),"*","")</f>
        <v/>
      </c>
      <c r="BA739" s="61" t="str">
        <f aca="false">SUBSTITUTE(SUBSTITUTE(SUBSTITUTE(SUBSTITUTE(SUBSTITUTE(SUBSTITUTE(SUBSTITUTE(SUBSTITUTE(SUBSTITUTE(SUBSTITUTE(SUBSTITUTE(SUBSTITUTE(SUBSTITUTE(LOWER(AA739&amp;""),CHAR(160),"")," ",""),".",""),"-",""),"/",""),"?",""),"_",""),",",""),"[",""),"]",""),"(",""),")",""),"*","")</f>
        <v/>
      </c>
      <c r="BB739" s="61" t="str">
        <f aca="false">IF(AND(TRIM(U739)="Pass",ISNUMBER(AF739)),IF(AF739&lt;&gt;0,"INVALID – qty variance: use Fail or Pass after CA",""),"")&amp;IF(AND(TRIM(U739)="Pass after CA",ISNUMBER(AF739)),IF(AF739&lt;&gt;0,"INVALID – after the corrective action the actual qty must equal expected (update Actual)",""),"")&amp;IF(AND(TRIM(U739)="Pass",TRIM(AB739)&lt;&gt;"",TRIM(AB739)&lt;&gt;"Closed"),"INVALID – corrective action not closed: use Fail, then Pass after CA","")&amp;IF(AND(TRIM(AA739)&lt;&gt;"",TRIM(AB739)=""),"INVALID – CA status missing for the recorded corrective action","")&amp;IF(AND(TRIM(U739)="Pass after CA",OR(OR(LEN(BA739)&lt;5,ISNUMBER(MATCH(BA739,L_Placeholder,0))),TRIM(AB739)&lt;&gt;"Closed")),"INVALID – corrective action not recorded/closed","")</f>
        <v/>
      </c>
    </row>
    <row r="740" customFormat="false" ht="39.75" hidden="false" customHeight="true" outlineLevel="0" collapsed="false">
      <c r="A740" s="57" t="s">
        <v>1452</v>
      </c>
      <c r="B740" s="57" t="s">
        <v>309</v>
      </c>
      <c r="C740" s="57" t="str">
        <f aca="false">Flights!$F$26</f>
        <v>MH0002</v>
      </c>
      <c r="D740" s="58" t="n">
        <f aca="false">Flights!$D$26</f>
        <v>46325</v>
      </c>
      <c r="E740" s="57" t="str">
        <f aca="false">Flights!$G$26&amp;"-"&amp;Flights!$H$26</f>
        <v>KUL-LHR</v>
      </c>
      <c r="F740" s="57" t="str">
        <f aca="false">Flights!$K$26</f>
        <v>BC</v>
      </c>
      <c r="G740" s="57" t="s">
        <v>437</v>
      </c>
      <c r="H740" s="57" t="s">
        <v>438</v>
      </c>
      <c r="I740" s="57" t="s">
        <v>477</v>
      </c>
      <c r="J740" s="57" t="s">
        <v>519</v>
      </c>
      <c r="K740" s="67" t="s">
        <v>479</v>
      </c>
      <c r="L740" s="67" t="s">
        <v>718</v>
      </c>
      <c r="M740" s="67" t="s">
        <v>429</v>
      </c>
      <c r="N740" s="67" t="s">
        <v>361</v>
      </c>
      <c r="O740" s="67"/>
      <c r="P740" s="57" t="s">
        <v>184</v>
      </c>
      <c r="Q740" s="59" t="n">
        <f aca="false">ROUND((Flights!$AF$26)*1440,0)/1440</f>
        <v>46325.6388888889</v>
      </c>
      <c r="R740" s="59" t="n">
        <f aca="false">Q740+(IF(AND(INDEX(TZ_DSTS,MATCH(P740,TZ_STN,0))&lt;&gt;"",Q740&gt;=INDEX(TZ_DSTS,MATCH(P740,TZ_STN,0)),Q740&lt;INDEX(TZ_DSTE,MATCH(P740,TZ_STN,0))),INDEX(TZ_DST,MATCH(P740,TZ_STN,0)),INDEX(TZ_STD,MATCH(P740,TZ_STN,0))))/24</f>
        <v>46325.9722222222</v>
      </c>
      <c r="S740" s="59" t="n">
        <f aca="false">IF(ISNUMBER(Flights!$AZ$26),MAX(Q740-UpliftWindowH/24,Flights!$AZ$26),Q740-UpliftWindowH/24)</f>
        <v>46325.3888888889</v>
      </c>
      <c r="T740" s="60"/>
      <c r="U740" s="60"/>
      <c r="V740" s="60"/>
      <c r="W740" s="61"/>
      <c r="X740" s="60"/>
      <c r="Y740" s="60"/>
      <c r="Z740" s="60"/>
      <c r="AA740" s="60"/>
      <c r="AB740" s="60"/>
      <c r="AC740" s="60"/>
      <c r="AD740" s="66"/>
      <c r="AE740" s="60"/>
      <c r="AF740" s="61" t="str">
        <f aca="false">IF(AND(ISNUMBER(X740),ISNUMBER(Y740)),Y740-X740,"")</f>
        <v/>
      </c>
      <c r="AG740" s="62" t="str">
        <f aca="false">IF(ISNUMBER(AD740),AD740-(IF(AND(INDEX(TZ_DSTS,MATCH(P740,TZ_STN,0))&lt;&gt;"",(AD740-INDEX(TZ_STD,MATCH(P740,TZ_STN,0))/24)&gt;=INDEX(TZ_DSTS,MATCH(P740,TZ_STN,0)),(AD740-INDEX(TZ_STD,MATCH(P740,TZ_STN,0))/24)&lt;INDEX(TZ_DSTE,MATCH(P740,TZ_STN,0))),INDEX(TZ_DST,MATCH(P740,TZ_STN,0)),INDEX(TZ_STD,MATCH(P740,TZ_STN,0))))/24,"")</f>
        <v/>
      </c>
      <c r="AH740" s="65" t="str">
        <f aca="false">IFERROR(IF(N740="N/A – rule","N/A – RULE",IF(TRIM(U740)="N/A",IF(AT740=0,"INVALID – N/A not permitted for this check",IF(AND(TRIM(AB740)&lt;&gt;"",TRIM(AB740)&lt;&gt;"Closed"),"INVALID – corrective action still open",IF(AND(NOT(OR(LEN(AZ740)&lt;15,ISNUMBER(MATCH(AZ740,L_Placeholder,0)))),NOT(OR(LEN(AU740)&lt;2,ISNUMBER(MATCH(AU740,L_Placeholder,0)))),NOT(OR(LEN(AX740)&lt;2,ISNUMBER(MATCH(AX740,L_Placeholder,0)))),TRIM(AE740)&lt;&gt;TRIM(T740)),"N/A – JUSTIFIED","INVALID – N/A needs a real justification (15+ chars), PIC and a different verifier"))),IF(OR(TRIM(U740)="Pass",TRIM(U740)="Pass after CA"),IF(NOT(ISNUMBER(AD740)),"INVALID – completion time missing",IF(OR(LEN(AU740)&lt;2,ISNUMBER(MATCH(AU740,L_Placeholder,0))),"INVALID – PIC missing",IF(OR(LEN(AV740)&lt;2,ISNUMBER(MATCH(AV740,L_Placeholder,0))),"INVALID – result / assessment missing",IF(OR(OR(LEN(AW740)&lt;3,ISNUMBER(MATCH(AW740,L_Placeholder,0))),SUMPRODUCT(--ISNUMBER(SEARCH(L_EvidencePhrase,AW740)))&gt;0),"INVALID – evidence missing, placeholder or not yet on file",IF(OR(LEN(AX740)&lt;2,ISNUMBER(MATCH(AX740,L_Placeholder,0))),"INVALID – verifier missing",IF(AX740=AU740,"INVALID – verifier must be someone other than the PIC",IF(AND(TRIM(U740)="Pass",SUMPRODUCT(--ISNUMBER(SEARCH(L_ResultBad,AV740)))&gt;0),"INVALID – result describes a problem: use Fail, then Pass after CA",IF(AND(AQ740=1,OR(LEN(AY740)&lt;3,ISNUMBER(MATCH(AY740,L_Placeholder,0)))),"INVALID – batch ID missing or placeholder",IF(AND(AR740=1,OR(NOT(ISNUMBER(X740)),NOT(ISNUMBER(Y740)))),"INVALID – expected/actual qty missing",IF(AND(AR740=1,OR(X740&lt;=0,Y740&lt;0)),"INVALID – expected qty must be above 0 and actual not negative",IF(AH724="N/A – JUSTIFIED","INVALID – preparation row F22-T12-13 is N/A",IF(AND(AR740=1,ISNUMBER(X724),X740&lt;&gt;X724),"INVALID – expected qty differs from preparation check F22-T12-13",IF(BB740&lt;&gt;"",BB740,IF(AND(AS740=1,Documents!$J$26&lt;&gt;"ON FILE"),"INVALID – GLD not on file (Documents sheet)",IF(AND(AS740=2,Documents!$O$26&lt;&gt;"ON FILE"),"INVALID – menu checklist not on file (Documents sheet)",IF(AND(AS740=3,NOT(ISNUMBER(Flights!$AX$26))),"INVALID – enter carrying flight KUL departure (Flights AX)",IF(AND(AS740=3,OR(Flights!$AZ$26&gt;Flights!$AA$26,Flights!$AX$26&lt;Flights!$AA$26-3)),"INVALID – carrying flight (Flights AX) cannot arrive before this leg's STD, or is over 3 days early",IF(AG740&gt;AsOfUTC,"INVALID – completion time is in the future",IF(AND(ISNUMBER(S740),AG740&lt;S740),IF(H740="Physical uplift","INVALID – before uplift window (cannot confirm loading)","INVALID – before valid window"),IF(AG740&gt;Flights!$AA$26,"INVALID – completed after departure (cannot establish readiness)",IF(AND(H740="Preparation",AG740&gt;IF(ISNUMBER(Flights!$BA$26),MIN(Flights!$BA$26,Flights!$AA$26),Flights!$AA$26)),"INVALID – completed after loading / departure (cannot establish readiness)",IF(AND(H740="Physical uplift",AG740&gt;Q740),"INVALID – recorded after the loading flight departed",IF(AG740&gt;Q740,"COMPLETE – LATE","COMPLETE"))))))))))))))))))))))),IF(TRIM(U740)="Fail","FAIL – DISCREPANCY",IF(AND(TRIM(U740)&lt;&gt;"",TRIM(U740)&lt;&gt;"Not started",TRIM(U740)&lt;&gt;"In progress"),"INVALID – unrecognised status (use the list)",IF(AsOfUTC&gt;Q740,"OVERDUE",IF(N740="Clarification required","OPEN – CLARIFICATION","OPEN"))))))),"INVALID – error value in an input cell")</f>
        <v>OPEN</v>
      </c>
      <c r="AI740" s="61" t="n">
        <f aca="false">IF(OR(AH740="N/A – RULE",AH740="N/A – JUSTIFIED"),0,1)</f>
        <v>1</v>
      </c>
      <c r="AJ740" s="61" t="n">
        <f aca="false">IF(LEFT(AH740,8)="COMPLETE",1,0)</f>
        <v>0</v>
      </c>
      <c r="AK740" s="61" t="n">
        <f aca="false">IF(AND(AI740=1,AJ740=0,AsOfUTC&gt;Q740),1,0)</f>
        <v>0</v>
      </c>
      <c r="AL740" s="61" t="n">
        <f aca="false">IFERROR(IF(AND(AI740=1,OR(TRIM(U740)="Fail",AND(TRIM(AB740)&lt;&gt;"",TRIM(AB740)&lt;&gt;"Closed"),AND(ISNUMBER(AF740),AF740&lt;&gt;0,TRIM(U740)&lt;&gt;"Pass after CA"))),1,0),1)</f>
        <v>0</v>
      </c>
      <c r="AM740" s="61" t="n">
        <f aca="false">IF(LEFT(AH740,7)="INVALID",1,0)</f>
        <v>0</v>
      </c>
      <c r="AN740" s="61" t="n">
        <f aca="false">IF(AND(N740="Clarification required",AI740=1,AJ740=0),1,0)</f>
        <v>0</v>
      </c>
      <c r="AO740" s="61" t="str">
        <f aca="false">IF(AK740=1,SUM(AK$5:AK740),"")</f>
        <v/>
      </c>
      <c r="AP740" s="61" t="str">
        <f aca="false">IF(AL740=1,SUM(AL$5:AL740),"")</f>
        <v/>
      </c>
      <c r="AQ740" s="61" t="n">
        <v>0</v>
      </c>
      <c r="AR740" s="61" t="n">
        <v>0</v>
      </c>
      <c r="AS740" s="61" t="n">
        <v>0</v>
      </c>
      <c r="AT740" s="61" t="n">
        <v>0</v>
      </c>
      <c r="AU740" s="61" t="str">
        <f aca="false">SUBSTITUTE(SUBSTITUTE(SUBSTITUTE(SUBSTITUTE(SUBSTITUTE(SUBSTITUTE(SUBSTITUTE(SUBSTITUTE(SUBSTITUTE(SUBSTITUTE(SUBSTITUTE(SUBSTITUTE(SUBSTITUTE(LOWER(T740&amp;""),CHAR(160),"")," ",""),".",""),"-",""),"/",""),"?",""),"_",""),",",""),"[",""),"]",""),"(",""),")",""),"*","")</f>
        <v/>
      </c>
      <c r="AV740" s="61" t="str">
        <f aca="false">SUBSTITUTE(SUBSTITUTE(SUBSTITUTE(SUBSTITUTE(SUBSTITUTE(SUBSTITUTE(SUBSTITUTE(SUBSTITUTE(SUBSTITUTE(SUBSTITUTE(SUBSTITUTE(SUBSTITUTE(SUBSTITUTE(LOWER(V740&amp;""),CHAR(160),"")," ",""),".",""),"-",""),"/",""),"?",""),"_",""),",",""),"[",""),"]",""),"(",""),")",""),"*","")</f>
        <v/>
      </c>
      <c r="AW740" s="61" t="str">
        <f aca="false">SUBSTITUTE(SUBSTITUTE(SUBSTITUTE(SUBSTITUTE(SUBSTITUTE(SUBSTITUTE(SUBSTITUTE(SUBSTITUTE(SUBSTITUTE(SUBSTITUTE(SUBSTITUTE(SUBSTITUTE(SUBSTITUTE(LOWER(Z740&amp;""),CHAR(160),"")," ",""),".",""),"-",""),"/",""),"?",""),"_",""),",",""),"[",""),"]",""),"(",""),")",""),"*","")</f>
        <v/>
      </c>
      <c r="AX740" s="61" t="str">
        <f aca="false">SUBSTITUTE(SUBSTITUTE(SUBSTITUTE(SUBSTITUTE(SUBSTITUTE(SUBSTITUTE(SUBSTITUTE(SUBSTITUTE(SUBSTITUTE(SUBSTITUTE(SUBSTITUTE(SUBSTITUTE(SUBSTITUTE(LOWER(AE740&amp;""),CHAR(160),"")," ",""),".",""),"-",""),"/",""),"?",""),"_",""),",",""),"[",""),"]",""),"(",""),")",""),"*","")</f>
        <v/>
      </c>
      <c r="AY740" s="61" t="str">
        <f aca="false">SUBSTITUTE(SUBSTITUTE(SUBSTITUTE(SUBSTITUTE(SUBSTITUTE(SUBSTITUTE(SUBSTITUTE(SUBSTITUTE(SUBSTITUTE(SUBSTITUTE(SUBSTITUTE(SUBSTITUTE(SUBSTITUTE(LOWER(W740&amp;""),CHAR(160),"")," ",""),".",""),"-",""),"/",""),"?",""),"_",""),",",""),"[",""),"]",""),"(",""),")",""),"*","")</f>
        <v/>
      </c>
      <c r="AZ740" s="61" t="str">
        <f aca="false">SUBSTITUTE(SUBSTITUTE(SUBSTITUTE(SUBSTITUTE(SUBSTITUTE(SUBSTITUTE(SUBSTITUTE(SUBSTITUTE(SUBSTITUTE(SUBSTITUTE(SUBSTITUTE(SUBSTITUTE(SUBSTITUTE(LOWER(AC740&amp;""),CHAR(160),"")," ",""),".",""),"-",""),"/",""),"?",""),"_",""),",",""),"[",""),"]",""),"(",""),")",""),"*","")</f>
        <v/>
      </c>
      <c r="BA740" s="61" t="str">
        <f aca="false">SUBSTITUTE(SUBSTITUTE(SUBSTITUTE(SUBSTITUTE(SUBSTITUTE(SUBSTITUTE(SUBSTITUTE(SUBSTITUTE(SUBSTITUTE(SUBSTITUTE(SUBSTITUTE(SUBSTITUTE(SUBSTITUTE(LOWER(AA740&amp;""),CHAR(160),"")," ",""),".",""),"-",""),"/",""),"?",""),"_",""),",",""),"[",""),"]",""),"(",""),")",""),"*","")</f>
        <v/>
      </c>
      <c r="BB740" s="61" t="str">
        <f aca="false">IF(AND(TRIM(U740)="Pass",ISNUMBER(AF740)),IF(AF740&lt;&gt;0,"INVALID – qty variance: use Fail or Pass after CA",""),"")&amp;IF(AND(TRIM(U740)="Pass after CA",ISNUMBER(AF740)),IF(AF740&lt;&gt;0,"INVALID – after the corrective action the actual qty must equal expected (update Actual)",""),"")&amp;IF(AND(TRIM(U740)="Pass",TRIM(AB740)&lt;&gt;"",TRIM(AB740)&lt;&gt;"Closed"),"INVALID – corrective action not closed: use Fail, then Pass after CA","")&amp;IF(AND(TRIM(AA740)&lt;&gt;"",TRIM(AB740)=""),"INVALID – CA status missing for the recorded corrective action","")&amp;IF(AND(TRIM(U740)="Pass after CA",OR(OR(LEN(BA740)&lt;5,ISNUMBER(MATCH(BA740,L_Placeholder,0))),TRIM(AB740)&lt;&gt;"Closed")),"INVALID – corrective action not recorded/closed","")</f>
        <v/>
      </c>
    </row>
    <row r="741" customFormat="false" ht="39.75" hidden="false" customHeight="true" outlineLevel="0" collapsed="false">
      <c r="A741" s="57" t="s">
        <v>1453</v>
      </c>
      <c r="B741" s="57" t="s">
        <v>309</v>
      </c>
      <c r="C741" s="57" t="str">
        <f aca="false">Flights!$F$26</f>
        <v>MH0002</v>
      </c>
      <c r="D741" s="58" t="n">
        <f aca="false">Flights!$D$26</f>
        <v>46325</v>
      </c>
      <c r="E741" s="57" t="str">
        <f aca="false">Flights!$G$26&amp;"-"&amp;Flights!$H$26</f>
        <v>KUL-LHR</v>
      </c>
      <c r="F741" s="57" t="str">
        <f aca="false">Flights!$K$26</f>
        <v>BC</v>
      </c>
      <c r="G741" s="57" t="s">
        <v>437</v>
      </c>
      <c r="H741" s="57" t="s">
        <v>438</v>
      </c>
      <c r="I741" s="57" t="s">
        <v>477</v>
      </c>
      <c r="J741" s="57" t="s">
        <v>521</v>
      </c>
      <c r="K741" s="67" t="s">
        <v>479</v>
      </c>
      <c r="L741" s="67" t="s">
        <v>720</v>
      </c>
      <c r="M741" s="67" t="s">
        <v>429</v>
      </c>
      <c r="N741" s="67" t="s">
        <v>361</v>
      </c>
      <c r="O741" s="67"/>
      <c r="P741" s="57" t="s">
        <v>184</v>
      </c>
      <c r="Q741" s="59" t="n">
        <f aca="false">ROUND((Flights!$AF$26)*1440,0)/1440</f>
        <v>46325.6388888889</v>
      </c>
      <c r="R741" s="59" t="n">
        <f aca="false">Q741+(IF(AND(INDEX(TZ_DSTS,MATCH(P741,TZ_STN,0))&lt;&gt;"",Q741&gt;=INDEX(TZ_DSTS,MATCH(P741,TZ_STN,0)),Q741&lt;INDEX(TZ_DSTE,MATCH(P741,TZ_STN,0))),INDEX(TZ_DST,MATCH(P741,TZ_STN,0)),INDEX(TZ_STD,MATCH(P741,TZ_STN,0))))/24</f>
        <v>46325.9722222222</v>
      </c>
      <c r="S741" s="59" t="n">
        <f aca="false">IF(ISNUMBER(Flights!$AZ$26),MAX(Q741-UpliftWindowH/24,Flights!$AZ$26),Q741-UpliftWindowH/24)</f>
        <v>46325.3888888889</v>
      </c>
      <c r="T741" s="60"/>
      <c r="U741" s="60"/>
      <c r="V741" s="60"/>
      <c r="W741" s="61"/>
      <c r="X741" s="60"/>
      <c r="Y741" s="60"/>
      <c r="Z741" s="60"/>
      <c r="AA741" s="60"/>
      <c r="AB741" s="60"/>
      <c r="AC741" s="60"/>
      <c r="AD741" s="66"/>
      <c r="AE741" s="60"/>
      <c r="AF741" s="61" t="str">
        <f aca="false">IF(AND(ISNUMBER(X741),ISNUMBER(Y741)),Y741-X741,"")</f>
        <v/>
      </c>
      <c r="AG741" s="62" t="str">
        <f aca="false">IF(ISNUMBER(AD741),AD741-(IF(AND(INDEX(TZ_DSTS,MATCH(P741,TZ_STN,0))&lt;&gt;"",(AD741-INDEX(TZ_STD,MATCH(P741,TZ_STN,0))/24)&gt;=INDEX(TZ_DSTS,MATCH(P741,TZ_STN,0)),(AD741-INDEX(TZ_STD,MATCH(P741,TZ_STN,0))/24)&lt;INDEX(TZ_DSTE,MATCH(P741,TZ_STN,0))),INDEX(TZ_DST,MATCH(P741,TZ_STN,0)),INDEX(TZ_STD,MATCH(P741,TZ_STN,0))))/24,"")</f>
        <v/>
      </c>
      <c r="AH741" s="65" t="str">
        <f aca="false">IFERROR(IF(N741="N/A – rule","N/A – RULE",IF(TRIM(U741)="N/A",IF(AT741=0,"INVALID – N/A not permitted for this check",IF(AND(TRIM(AB741)&lt;&gt;"",TRIM(AB741)&lt;&gt;"Closed"),"INVALID – corrective action still open",IF(AND(NOT(OR(LEN(AZ741)&lt;15,ISNUMBER(MATCH(AZ741,L_Placeholder,0)))),NOT(OR(LEN(AU741)&lt;2,ISNUMBER(MATCH(AU741,L_Placeholder,0)))),NOT(OR(LEN(AX741)&lt;2,ISNUMBER(MATCH(AX741,L_Placeholder,0)))),TRIM(AE741)&lt;&gt;TRIM(T741)),"N/A – JUSTIFIED","INVALID – N/A needs a real justification (15+ chars), PIC and a different verifier"))),IF(OR(TRIM(U741)="Pass",TRIM(U741)="Pass after CA"),IF(NOT(ISNUMBER(AD741)),"INVALID – completion time missing",IF(OR(LEN(AU741)&lt;2,ISNUMBER(MATCH(AU741,L_Placeholder,0))),"INVALID – PIC missing",IF(OR(LEN(AV741)&lt;2,ISNUMBER(MATCH(AV741,L_Placeholder,0))),"INVALID – result / assessment missing",IF(OR(OR(LEN(AW741)&lt;3,ISNUMBER(MATCH(AW741,L_Placeholder,0))),SUMPRODUCT(--ISNUMBER(SEARCH(L_EvidencePhrase,AW741)))&gt;0),"INVALID – evidence missing, placeholder or not yet on file",IF(OR(LEN(AX741)&lt;2,ISNUMBER(MATCH(AX741,L_Placeholder,0))),"INVALID – verifier missing",IF(AX741=AU741,"INVALID – verifier must be someone other than the PIC",IF(AND(TRIM(U741)="Pass",SUMPRODUCT(--ISNUMBER(SEARCH(L_ResultBad,AV741)))&gt;0),"INVALID – result describes a problem: use Fail, then Pass after CA",IF(AND(AQ741=1,OR(LEN(AY741)&lt;3,ISNUMBER(MATCH(AY741,L_Placeholder,0)))),"INVALID – batch ID missing or placeholder",IF(AND(AR741=1,OR(NOT(ISNUMBER(X741)),NOT(ISNUMBER(Y741)))),"INVALID – expected/actual qty missing",IF(AND(AR741=1,OR(X741&lt;=0,Y741&lt;0)),"INVALID – expected qty must be above 0 and actual not negative",IF(AH725="N/A – JUSTIFIED","INVALID – preparation row F22-T12-14 is N/A",IF(AND(AR741=1,ISNUMBER(X725),X741&lt;&gt;X725),"INVALID – expected qty differs from preparation check F22-T12-14",IF(BB741&lt;&gt;"",BB741,IF(AND(AS741=1,Documents!$J$26&lt;&gt;"ON FILE"),"INVALID – GLD not on file (Documents sheet)",IF(AND(AS741=2,Documents!$O$26&lt;&gt;"ON FILE"),"INVALID – menu checklist not on file (Documents sheet)",IF(AND(AS741=3,NOT(ISNUMBER(Flights!$AX$26))),"INVALID – enter carrying flight KUL departure (Flights AX)",IF(AND(AS741=3,OR(Flights!$AZ$26&gt;Flights!$AA$26,Flights!$AX$26&lt;Flights!$AA$26-3)),"INVALID – carrying flight (Flights AX) cannot arrive before this leg's STD, or is over 3 days early",IF(AG741&gt;AsOfUTC,"INVALID – completion time is in the future",IF(AND(ISNUMBER(S741),AG741&lt;S741),IF(H741="Physical uplift","INVALID – before uplift window (cannot confirm loading)","INVALID – before valid window"),IF(AG741&gt;Flights!$AA$26,"INVALID – completed after departure (cannot establish readiness)",IF(AND(H741="Preparation",AG741&gt;IF(ISNUMBER(Flights!$BA$26),MIN(Flights!$BA$26,Flights!$AA$26),Flights!$AA$26)),"INVALID – completed after loading / departure (cannot establish readiness)",IF(AND(H741="Physical uplift",AG741&gt;Q741),"INVALID – recorded after the loading flight departed",IF(AG741&gt;Q741,"COMPLETE – LATE","COMPLETE"))))))))))))))))))))))),IF(TRIM(U741)="Fail","FAIL – DISCREPANCY",IF(AND(TRIM(U741)&lt;&gt;"",TRIM(U741)&lt;&gt;"Not started",TRIM(U741)&lt;&gt;"In progress"),"INVALID – unrecognised status (use the list)",IF(AsOfUTC&gt;Q741,"OVERDUE",IF(N741="Clarification required","OPEN – CLARIFICATION","OPEN"))))))),"INVALID – error value in an input cell")</f>
        <v>OPEN</v>
      </c>
      <c r="AI741" s="61" t="n">
        <f aca="false">IF(OR(AH741="N/A – RULE",AH741="N/A – JUSTIFIED"),0,1)</f>
        <v>1</v>
      </c>
      <c r="AJ741" s="61" t="n">
        <f aca="false">IF(LEFT(AH741,8)="COMPLETE",1,0)</f>
        <v>0</v>
      </c>
      <c r="AK741" s="61" t="n">
        <f aca="false">IF(AND(AI741=1,AJ741=0,AsOfUTC&gt;Q741),1,0)</f>
        <v>0</v>
      </c>
      <c r="AL741" s="61" t="n">
        <f aca="false">IFERROR(IF(AND(AI741=1,OR(TRIM(U741)="Fail",AND(TRIM(AB741)&lt;&gt;"",TRIM(AB741)&lt;&gt;"Closed"),AND(ISNUMBER(AF741),AF741&lt;&gt;0,TRIM(U741)&lt;&gt;"Pass after CA"))),1,0),1)</f>
        <v>0</v>
      </c>
      <c r="AM741" s="61" t="n">
        <f aca="false">IF(LEFT(AH741,7)="INVALID",1,0)</f>
        <v>0</v>
      </c>
      <c r="AN741" s="61" t="n">
        <f aca="false">IF(AND(N741="Clarification required",AI741=1,AJ741=0),1,0)</f>
        <v>0</v>
      </c>
      <c r="AO741" s="61" t="str">
        <f aca="false">IF(AK741=1,SUM(AK$5:AK741),"")</f>
        <v/>
      </c>
      <c r="AP741" s="61" t="str">
        <f aca="false">IF(AL741=1,SUM(AL$5:AL741),"")</f>
        <v/>
      </c>
      <c r="AQ741" s="61" t="n">
        <v>0</v>
      </c>
      <c r="AR741" s="61" t="n">
        <v>0</v>
      </c>
      <c r="AS741" s="61" t="n">
        <v>0</v>
      </c>
      <c r="AT741" s="61" t="n">
        <v>0</v>
      </c>
      <c r="AU741" s="61" t="str">
        <f aca="false">SUBSTITUTE(SUBSTITUTE(SUBSTITUTE(SUBSTITUTE(SUBSTITUTE(SUBSTITUTE(SUBSTITUTE(SUBSTITUTE(SUBSTITUTE(SUBSTITUTE(SUBSTITUTE(SUBSTITUTE(SUBSTITUTE(LOWER(T741&amp;""),CHAR(160),"")," ",""),".",""),"-",""),"/",""),"?",""),"_",""),",",""),"[",""),"]",""),"(",""),")",""),"*","")</f>
        <v/>
      </c>
      <c r="AV741" s="61" t="str">
        <f aca="false">SUBSTITUTE(SUBSTITUTE(SUBSTITUTE(SUBSTITUTE(SUBSTITUTE(SUBSTITUTE(SUBSTITUTE(SUBSTITUTE(SUBSTITUTE(SUBSTITUTE(SUBSTITUTE(SUBSTITUTE(SUBSTITUTE(LOWER(V741&amp;""),CHAR(160),"")," ",""),".",""),"-",""),"/",""),"?",""),"_",""),",",""),"[",""),"]",""),"(",""),")",""),"*","")</f>
        <v/>
      </c>
      <c r="AW741" s="61" t="str">
        <f aca="false">SUBSTITUTE(SUBSTITUTE(SUBSTITUTE(SUBSTITUTE(SUBSTITUTE(SUBSTITUTE(SUBSTITUTE(SUBSTITUTE(SUBSTITUTE(SUBSTITUTE(SUBSTITUTE(SUBSTITUTE(SUBSTITUTE(LOWER(Z741&amp;""),CHAR(160),"")," ",""),".",""),"-",""),"/",""),"?",""),"_",""),",",""),"[",""),"]",""),"(",""),")",""),"*","")</f>
        <v/>
      </c>
      <c r="AX741" s="61" t="str">
        <f aca="false">SUBSTITUTE(SUBSTITUTE(SUBSTITUTE(SUBSTITUTE(SUBSTITUTE(SUBSTITUTE(SUBSTITUTE(SUBSTITUTE(SUBSTITUTE(SUBSTITUTE(SUBSTITUTE(SUBSTITUTE(SUBSTITUTE(LOWER(AE741&amp;""),CHAR(160),"")," ",""),".",""),"-",""),"/",""),"?",""),"_",""),",",""),"[",""),"]",""),"(",""),")",""),"*","")</f>
        <v/>
      </c>
      <c r="AY741" s="61" t="str">
        <f aca="false">SUBSTITUTE(SUBSTITUTE(SUBSTITUTE(SUBSTITUTE(SUBSTITUTE(SUBSTITUTE(SUBSTITUTE(SUBSTITUTE(SUBSTITUTE(SUBSTITUTE(SUBSTITUTE(SUBSTITUTE(SUBSTITUTE(LOWER(W741&amp;""),CHAR(160),"")," ",""),".",""),"-",""),"/",""),"?",""),"_",""),",",""),"[",""),"]",""),"(",""),")",""),"*","")</f>
        <v/>
      </c>
      <c r="AZ741" s="61" t="str">
        <f aca="false">SUBSTITUTE(SUBSTITUTE(SUBSTITUTE(SUBSTITUTE(SUBSTITUTE(SUBSTITUTE(SUBSTITUTE(SUBSTITUTE(SUBSTITUTE(SUBSTITUTE(SUBSTITUTE(SUBSTITUTE(SUBSTITUTE(LOWER(AC741&amp;""),CHAR(160),"")," ",""),".",""),"-",""),"/",""),"?",""),"_",""),",",""),"[",""),"]",""),"(",""),")",""),"*","")</f>
        <v/>
      </c>
      <c r="BA741" s="61" t="str">
        <f aca="false">SUBSTITUTE(SUBSTITUTE(SUBSTITUTE(SUBSTITUTE(SUBSTITUTE(SUBSTITUTE(SUBSTITUTE(SUBSTITUTE(SUBSTITUTE(SUBSTITUTE(SUBSTITUTE(SUBSTITUTE(SUBSTITUTE(LOWER(AA741&amp;""),CHAR(160),"")," ",""),".",""),"-",""),"/",""),"?",""),"_",""),",",""),"[",""),"]",""),"(",""),")",""),"*","")</f>
        <v/>
      </c>
      <c r="BB741" s="61" t="str">
        <f aca="false">IF(AND(TRIM(U741)="Pass",ISNUMBER(AF741)),IF(AF741&lt;&gt;0,"INVALID – qty variance: use Fail or Pass after CA",""),"")&amp;IF(AND(TRIM(U741)="Pass after CA",ISNUMBER(AF741)),IF(AF741&lt;&gt;0,"INVALID – after the corrective action the actual qty must equal expected (update Actual)",""),"")&amp;IF(AND(TRIM(U741)="Pass",TRIM(AB741)&lt;&gt;"",TRIM(AB741)&lt;&gt;"Closed"),"INVALID – corrective action not closed: use Fail, then Pass after CA","")&amp;IF(AND(TRIM(AA741)&lt;&gt;"",TRIM(AB741)=""),"INVALID – CA status missing for the recorded corrective action","")&amp;IF(AND(TRIM(U741)="Pass after CA",OR(OR(LEN(BA741)&lt;5,ISNUMBER(MATCH(BA741,L_Placeholder,0))),TRIM(AB741)&lt;&gt;"Closed")),"INVALID – corrective action not recorded/closed","")</f>
        <v/>
      </c>
    </row>
    <row r="742" customFormat="false" ht="39.75" hidden="false" customHeight="true" outlineLevel="0" collapsed="false">
      <c r="A742" s="57" t="s">
        <v>1454</v>
      </c>
      <c r="B742" s="57" t="s">
        <v>309</v>
      </c>
      <c r="C742" s="57" t="str">
        <f aca="false">Flights!$F$26</f>
        <v>MH0002</v>
      </c>
      <c r="D742" s="58" t="n">
        <f aca="false">Flights!$D$26</f>
        <v>46325</v>
      </c>
      <c r="E742" s="57" t="str">
        <f aca="false">Flights!$G$26&amp;"-"&amp;Flights!$H$26</f>
        <v>KUL-LHR</v>
      </c>
      <c r="F742" s="57" t="str">
        <f aca="false">Flights!$K$26</f>
        <v>BC</v>
      </c>
      <c r="G742" s="57" t="s">
        <v>437</v>
      </c>
      <c r="H742" s="57" t="s">
        <v>438</v>
      </c>
      <c r="I742" s="57" t="s">
        <v>477</v>
      </c>
      <c r="J742" s="57" t="s">
        <v>524</v>
      </c>
      <c r="K742" s="67" t="s">
        <v>479</v>
      </c>
      <c r="L742" s="67" t="s">
        <v>722</v>
      </c>
      <c r="M742" s="67" t="s">
        <v>429</v>
      </c>
      <c r="N742" s="67" t="s">
        <v>361</v>
      </c>
      <c r="O742" s="67"/>
      <c r="P742" s="57" t="s">
        <v>184</v>
      </c>
      <c r="Q742" s="59" t="n">
        <f aca="false">ROUND((Flights!$AF$26)*1440,0)/1440</f>
        <v>46325.6388888889</v>
      </c>
      <c r="R742" s="59" t="n">
        <f aca="false">Q742+(IF(AND(INDEX(TZ_DSTS,MATCH(P742,TZ_STN,0))&lt;&gt;"",Q742&gt;=INDEX(TZ_DSTS,MATCH(P742,TZ_STN,0)),Q742&lt;INDEX(TZ_DSTE,MATCH(P742,TZ_STN,0))),INDEX(TZ_DST,MATCH(P742,TZ_STN,0)),INDEX(TZ_STD,MATCH(P742,TZ_STN,0))))/24</f>
        <v>46325.9722222222</v>
      </c>
      <c r="S742" s="59" t="n">
        <f aca="false">IF(ISNUMBER(Flights!$AZ$26),MAX(Q742-UpliftWindowH/24,Flights!$AZ$26),Q742-UpliftWindowH/24)</f>
        <v>46325.3888888889</v>
      </c>
      <c r="T742" s="60"/>
      <c r="U742" s="60"/>
      <c r="V742" s="60"/>
      <c r="W742" s="61"/>
      <c r="X742" s="60"/>
      <c r="Y742" s="60"/>
      <c r="Z742" s="60"/>
      <c r="AA742" s="60"/>
      <c r="AB742" s="60"/>
      <c r="AC742" s="60"/>
      <c r="AD742" s="66"/>
      <c r="AE742" s="60"/>
      <c r="AF742" s="61" t="str">
        <f aca="false">IF(AND(ISNUMBER(X742),ISNUMBER(Y742)),Y742-X742,"")</f>
        <v/>
      </c>
      <c r="AG742" s="62" t="str">
        <f aca="false">IF(ISNUMBER(AD742),AD742-(IF(AND(INDEX(TZ_DSTS,MATCH(P742,TZ_STN,0))&lt;&gt;"",(AD742-INDEX(TZ_STD,MATCH(P742,TZ_STN,0))/24)&gt;=INDEX(TZ_DSTS,MATCH(P742,TZ_STN,0)),(AD742-INDEX(TZ_STD,MATCH(P742,TZ_STN,0))/24)&lt;INDEX(TZ_DSTE,MATCH(P742,TZ_STN,0))),INDEX(TZ_DST,MATCH(P742,TZ_STN,0)),INDEX(TZ_STD,MATCH(P742,TZ_STN,0))))/24,"")</f>
        <v/>
      </c>
      <c r="AH742" s="65" t="str">
        <f aca="false">IFERROR(IF(N742="N/A – rule","N/A – RULE",IF(TRIM(U742)="N/A",IF(AT742=0,"INVALID – N/A not permitted for this check",IF(AND(TRIM(AB742)&lt;&gt;"",TRIM(AB742)&lt;&gt;"Closed"),"INVALID – corrective action still open",IF(AND(NOT(OR(LEN(AZ742)&lt;15,ISNUMBER(MATCH(AZ742,L_Placeholder,0)))),NOT(OR(LEN(AU742)&lt;2,ISNUMBER(MATCH(AU742,L_Placeholder,0)))),NOT(OR(LEN(AX742)&lt;2,ISNUMBER(MATCH(AX742,L_Placeholder,0)))),TRIM(AE742)&lt;&gt;TRIM(T742)),"N/A – JUSTIFIED","INVALID – N/A needs a real justification (15+ chars), PIC and a different verifier"))),IF(OR(TRIM(U742)="Pass",TRIM(U742)="Pass after CA"),IF(NOT(ISNUMBER(AD742)),"INVALID – completion time missing",IF(OR(LEN(AU742)&lt;2,ISNUMBER(MATCH(AU742,L_Placeholder,0))),"INVALID – PIC missing",IF(OR(LEN(AV742)&lt;2,ISNUMBER(MATCH(AV742,L_Placeholder,0))),"INVALID – result / assessment missing",IF(OR(OR(LEN(AW742)&lt;3,ISNUMBER(MATCH(AW742,L_Placeholder,0))),SUMPRODUCT(--ISNUMBER(SEARCH(L_EvidencePhrase,AW742)))&gt;0),"INVALID – evidence missing, placeholder or not yet on file",IF(OR(LEN(AX742)&lt;2,ISNUMBER(MATCH(AX742,L_Placeholder,0))),"INVALID – verifier missing",IF(AX742=AU742,"INVALID – verifier must be someone other than the PIC",IF(AND(TRIM(U742)="Pass",SUMPRODUCT(--ISNUMBER(SEARCH(L_ResultBad,AV742)))&gt;0),"INVALID – result describes a problem: use Fail, then Pass after CA",IF(AND(AQ742=1,OR(LEN(AY742)&lt;3,ISNUMBER(MATCH(AY742,L_Placeholder,0)))),"INVALID – batch ID missing or placeholder",IF(AND(AR742=1,OR(NOT(ISNUMBER(X742)),NOT(ISNUMBER(Y742)))),"INVALID – expected/actual qty missing",IF(AND(AR742=1,OR(X742&lt;=0,Y742&lt;0)),"INVALID – expected qty must be above 0 and actual not negative",IF(AH726="N/A – JUSTIFIED","INVALID – preparation row F22-T12-15 is N/A",IF(AND(AR742=1,ISNUMBER(X726),X742&lt;&gt;X726),"INVALID – expected qty differs from preparation check F22-T12-15",IF(BB742&lt;&gt;"",BB742,IF(AND(AS742=1,Documents!$J$26&lt;&gt;"ON FILE"),"INVALID – GLD not on file (Documents sheet)",IF(AND(AS742=2,Documents!$O$26&lt;&gt;"ON FILE"),"INVALID – menu checklist not on file (Documents sheet)",IF(AND(AS742=3,NOT(ISNUMBER(Flights!$AX$26))),"INVALID – enter carrying flight KUL departure (Flights AX)",IF(AND(AS742=3,OR(Flights!$AZ$26&gt;Flights!$AA$26,Flights!$AX$26&lt;Flights!$AA$26-3)),"INVALID – carrying flight (Flights AX) cannot arrive before this leg's STD, or is over 3 days early",IF(AG742&gt;AsOfUTC,"INVALID – completion time is in the future",IF(AND(ISNUMBER(S742),AG742&lt;S742),IF(H742="Physical uplift","INVALID – before uplift window (cannot confirm loading)","INVALID – before valid window"),IF(AG742&gt;Flights!$AA$26,"INVALID – completed after departure (cannot establish readiness)",IF(AND(H742="Preparation",AG742&gt;IF(ISNUMBER(Flights!$BA$26),MIN(Flights!$BA$26,Flights!$AA$26),Flights!$AA$26)),"INVALID – completed after loading / departure (cannot establish readiness)",IF(AND(H742="Physical uplift",AG742&gt;Q742),"INVALID – recorded after the loading flight departed",IF(AG742&gt;Q742,"COMPLETE – LATE","COMPLETE"))))))))))))))))))))))),IF(TRIM(U742)="Fail","FAIL – DISCREPANCY",IF(AND(TRIM(U742)&lt;&gt;"",TRIM(U742)&lt;&gt;"Not started",TRIM(U742)&lt;&gt;"In progress"),"INVALID – unrecognised status (use the list)",IF(AsOfUTC&gt;Q742,"OVERDUE",IF(N742="Clarification required","OPEN – CLARIFICATION","OPEN"))))))),"INVALID – error value in an input cell")</f>
        <v>OPEN</v>
      </c>
      <c r="AI742" s="61" t="n">
        <f aca="false">IF(OR(AH742="N/A – RULE",AH742="N/A – JUSTIFIED"),0,1)</f>
        <v>1</v>
      </c>
      <c r="AJ742" s="61" t="n">
        <f aca="false">IF(LEFT(AH742,8)="COMPLETE",1,0)</f>
        <v>0</v>
      </c>
      <c r="AK742" s="61" t="n">
        <f aca="false">IF(AND(AI742=1,AJ742=0,AsOfUTC&gt;Q742),1,0)</f>
        <v>0</v>
      </c>
      <c r="AL742" s="61" t="n">
        <f aca="false">IFERROR(IF(AND(AI742=1,OR(TRIM(U742)="Fail",AND(TRIM(AB742)&lt;&gt;"",TRIM(AB742)&lt;&gt;"Closed"),AND(ISNUMBER(AF742),AF742&lt;&gt;0,TRIM(U742)&lt;&gt;"Pass after CA"))),1,0),1)</f>
        <v>0</v>
      </c>
      <c r="AM742" s="61" t="n">
        <f aca="false">IF(LEFT(AH742,7)="INVALID",1,0)</f>
        <v>0</v>
      </c>
      <c r="AN742" s="61" t="n">
        <f aca="false">IF(AND(N742="Clarification required",AI742=1,AJ742=0),1,0)</f>
        <v>0</v>
      </c>
      <c r="AO742" s="61" t="str">
        <f aca="false">IF(AK742=1,SUM(AK$5:AK742),"")</f>
        <v/>
      </c>
      <c r="AP742" s="61" t="str">
        <f aca="false">IF(AL742=1,SUM(AL$5:AL742),"")</f>
        <v/>
      </c>
      <c r="AQ742" s="61" t="n">
        <v>0</v>
      </c>
      <c r="AR742" s="61" t="n">
        <v>0</v>
      </c>
      <c r="AS742" s="61" t="n">
        <v>0</v>
      </c>
      <c r="AT742" s="61" t="n">
        <v>0</v>
      </c>
      <c r="AU742" s="61" t="str">
        <f aca="false">SUBSTITUTE(SUBSTITUTE(SUBSTITUTE(SUBSTITUTE(SUBSTITUTE(SUBSTITUTE(SUBSTITUTE(SUBSTITUTE(SUBSTITUTE(SUBSTITUTE(SUBSTITUTE(SUBSTITUTE(SUBSTITUTE(LOWER(T742&amp;""),CHAR(160),"")," ",""),".",""),"-",""),"/",""),"?",""),"_",""),",",""),"[",""),"]",""),"(",""),")",""),"*","")</f>
        <v/>
      </c>
      <c r="AV742" s="61" t="str">
        <f aca="false">SUBSTITUTE(SUBSTITUTE(SUBSTITUTE(SUBSTITUTE(SUBSTITUTE(SUBSTITUTE(SUBSTITUTE(SUBSTITUTE(SUBSTITUTE(SUBSTITUTE(SUBSTITUTE(SUBSTITUTE(SUBSTITUTE(LOWER(V742&amp;""),CHAR(160),"")," ",""),".",""),"-",""),"/",""),"?",""),"_",""),",",""),"[",""),"]",""),"(",""),")",""),"*","")</f>
        <v/>
      </c>
      <c r="AW742" s="61" t="str">
        <f aca="false">SUBSTITUTE(SUBSTITUTE(SUBSTITUTE(SUBSTITUTE(SUBSTITUTE(SUBSTITUTE(SUBSTITUTE(SUBSTITUTE(SUBSTITUTE(SUBSTITUTE(SUBSTITUTE(SUBSTITUTE(SUBSTITUTE(LOWER(Z742&amp;""),CHAR(160),"")," ",""),".",""),"-",""),"/",""),"?",""),"_",""),",",""),"[",""),"]",""),"(",""),")",""),"*","")</f>
        <v/>
      </c>
      <c r="AX742" s="61" t="str">
        <f aca="false">SUBSTITUTE(SUBSTITUTE(SUBSTITUTE(SUBSTITUTE(SUBSTITUTE(SUBSTITUTE(SUBSTITUTE(SUBSTITUTE(SUBSTITUTE(SUBSTITUTE(SUBSTITUTE(SUBSTITUTE(SUBSTITUTE(LOWER(AE742&amp;""),CHAR(160),"")," ",""),".",""),"-",""),"/",""),"?",""),"_",""),",",""),"[",""),"]",""),"(",""),")",""),"*","")</f>
        <v/>
      </c>
      <c r="AY742" s="61" t="str">
        <f aca="false">SUBSTITUTE(SUBSTITUTE(SUBSTITUTE(SUBSTITUTE(SUBSTITUTE(SUBSTITUTE(SUBSTITUTE(SUBSTITUTE(SUBSTITUTE(SUBSTITUTE(SUBSTITUTE(SUBSTITUTE(SUBSTITUTE(LOWER(W742&amp;""),CHAR(160),"")," ",""),".",""),"-",""),"/",""),"?",""),"_",""),",",""),"[",""),"]",""),"(",""),")",""),"*","")</f>
        <v/>
      </c>
      <c r="AZ742" s="61" t="str">
        <f aca="false">SUBSTITUTE(SUBSTITUTE(SUBSTITUTE(SUBSTITUTE(SUBSTITUTE(SUBSTITUTE(SUBSTITUTE(SUBSTITUTE(SUBSTITUTE(SUBSTITUTE(SUBSTITUTE(SUBSTITUTE(SUBSTITUTE(LOWER(AC742&amp;""),CHAR(160),"")," ",""),".",""),"-",""),"/",""),"?",""),"_",""),",",""),"[",""),"]",""),"(",""),")",""),"*","")</f>
        <v/>
      </c>
      <c r="BA742" s="61" t="str">
        <f aca="false">SUBSTITUTE(SUBSTITUTE(SUBSTITUTE(SUBSTITUTE(SUBSTITUTE(SUBSTITUTE(SUBSTITUTE(SUBSTITUTE(SUBSTITUTE(SUBSTITUTE(SUBSTITUTE(SUBSTITUTE(SUBSTITUTE(LOWER(AA742&amp;""),CHAR(160),"")," ",""),".",""),"-",""),"/",""),"?",""),"_",""),",",""),"[",""),"]",""),"(",""),")",""),"*","")</f>
        <v/>
      </c>
      <c r="BB742" s="61" t="str">
        <f aca="false">IF(AND(TRIM(U742)="Pass",ISNUMBER(AF742)),IF(AF742&lt;&gt;0,"INVALID – qty variance: use Fail or Pass after CA",""),"")&amp;IF(AND(TRIM(U742)="Pass after CA",ISNUMBER(AF742)),IF(AF742&lt;&gt;0,"INVALID – after the corrective action the actual qty must equal expected (update Actual)",""),"")&amp;IF(AND(TRIM(U742)="Pass",TRIM(AB742)&lt;&gt;"",TRIM(AB742)&lt;&gt;"Closed"),"INVALID – corrective action not closed: use Fail, then Pass after CA","")&amp;IF(AND(TRIM(AA742)&lt;&gt;"",TRIM(AB742)=""),"INVALID – CA status missing for the recorded corrective action","")&amp;IF(AND(TRIM(U742)="Pass after CA",OR(OR(LEN(BA742)&lt;5,ISNUMBER(MATCH(BA742,L_Placeholder,0))),TRIM(AB742)&lt;&gt;"Closed")),"INVALID – corrective action not recorded/closed","")</f>
        <v/>
      </c>
    </row>
    <row r="743" customFormat="false" ht="39.75" hidden="false" customHeight="true" outlineLevel="0" collapsed="false">
      <c r="A743" s="57" t="s">
        <v>1455</v>
      </c>
      <c r="B743" s="57" t="s">
        <v>309</v>
      </c>
      <c r="C743" s="57" t="str">
        <f aca="false">Flights!$F$26</f>
        <v>MH0002</v>
      </c>
      <c r="D743" s="58" t="n">
        <f aca="false">Flights!$D$26</f>
        <v>46325</v>
      </c>
      <c r="E743" s="57" t="str">
        <f aca="false">Flights!$G$26&amp;"-"&amp;Flights!$H$26</f>
        <v>KUL-LHR</v>
      </c>
      <c r="F743" s="57" t="str">
        <f aca="false">Flights!$K$26</f>
        <v>BC</v>
      </c>
      <c r="G743" s="57" t="s">
        <v>437</v>
      </c>
      <c r="H743" s="57" t="s">
        <v>438</v>
      </c>
      <c r="I743" s="57" t="s">
        <v>477</v>
      </c>
      <c r="J743" s="57" t="s">
        <v>526</v>
      </c>
      <c r="K743" s="67" t="s">
        <v>594</v>
      </c>
      <c r="L743" s="67" t="s">
        <v>724</v>
      </c>
      <c r="M743" s="67" t="s">
        <v>429</v>
      </c>
      <c r="N743" s="67" t="s">
        <v>361</v>
      </c>
      <c r="O743" s="67" t="s">
        <v>527</v>
      </c>
      <c r="P743" s="57" t="s">
        <v>184</v>
      </c>
      <c r="Q743" s="59" t="n">
        <f aca="false">ROUND((Flights!$AF$26)*1440,0)/1440</f>
        <v>46325.6388888889</v>
      </c>
      <c r="R743" s="59" t="n">
        <f aca="false">Q743+(IF(AND(INDEX(TZ_DSTS,MATCH(P743,TZ_STN,0))&lt;&gt;"",Q743&gt;=INDEX(TZ_DSTS,MATCH(P743,TZ_STN,0)),Q743&lt;INDEX(TZ_DSTE,MATCH(P743,TZ_STN,0))),INDEX(TZ_DST,MATCH(P743,TZ_STN,0)),INDEX(TZ_STD,MATCH(P743,TZ_STN,0))))/24</f>
        <v>46325.9722222222</v>
      </c>
      <c r="S743" s="59" t="n">
        <f aca="false">IF(ISNUMBER(Flights!$AZ$26),MAX(Q743-UpliftWindowH/24,Flights!$AZ$26),Q743-UpliftWindowH/24)</f>
        <v>46325.3888888889</v>
      </c>
      <c r="T743" s="60"/>
      <c r="U743" s="60"/>
      <c r="V743" s="60"/>
      <c r="W743" s="61"/>
      <c r="X743" s="60"/>
      <c r="Y743" s="60"/>
      <c r="Z743" s="60"/>
      <c r="AA743" s="60"/>
      <c r="AB743" s="60"/>
      <c r="AC743" s="60"/>
      <c r="AD743" s="66"/>
      <c r="AE743" s="60"/>
      <c r="AF743" s="61" t="str">
        <f aca="false">IF(AND(ISNUMBER(X743),ISNUMBER(Y743)),Y743-X743,"")</f>
        <v/>
      </c>
      <c r="AG743" s="62" t="str">
        <f aca="false">IF(ISNUMBER(AD743),AD743-(IF(AND(INDEX(TZ_DSTS,MATCH(P743,TZ_STN,0))&lt;&gt;"",(AD743-INDEX(TZ_STD,MATCH(P743,TZ_STN,0))/24)&gt;=INDEX(TZ_DSTS,MATCH(P743,TZ_STN,0)),(AD743-INDEX(TZ_STD,MATCH(P743,TZ_STN,0))/24)&lt;INDEX(TZ_DSTE,MATCH(P743,TZ_STN,0))),INDEX(TZ_DST,MATCH(P743,TZ_STN,0)),INDEX(TZ_STD,MATCH(P743,TZ_STN,0))))/24,"")</f>
        <v/>
      </c>
      <c r="AH743" s="65" t="str">
        <f aca="false">IFERROR(IF(N743="N/A – rule","N/A – RULE",IF(TRIM(U743)="N/A",IF(AT743=0,"INVALID – N/A not permitted for this check",IF(AND(TRIM(AB743)&lt;&gt;"",TRIM(AB743)&lt;&gt;"Closed"),"INVALID – corrective action still open",IF(AND(NOT(OR(LEN(AZ743)&lt;15,ISNUMBER(MATCH(AZ743,L_Placeholder,0)))),NOT(OR(LEN(AU743)&lt;2,ISNUMBER(MATCH(AU743,L_Placeholder,0)))),NOT(OR(LEN(AX743)&lt;2,ISNUMBER(MATCH(AX743,L_Placeholder,0)))),TRIM(AE743)&lt;&gt;TRIM(T743)),"N/A – JUSTIFIED","INVALID – N/A needs a real justification (15+ chars), PIC and a different verifier"))),IF(OR(TRIM(U743)="Pass",TRIM(U743)="Pass after CA"),IF(NOT(ISNUMBER(AD743)),"INVALID – completion time missing",IF(OR(LEN(AU743)&lt;2,ISNUMBER(MATCH(AU743,L_Placeholder,0))),"INVALID – PIC missing",IF(OR(LEN(AV743)&lt;2,ISNUMBER(MATCH(AV743,L_Placeholder,0))),"INVALID – result / assessment missing",IF(OR(OR(LEN(AW743)&lt;3,ISNUMBER(MATCH(AW743,L_Placeholder,0))),SUMPRODUCT(--ISNUMBER(SEARCH(L_EvidencePhrase,AW743)))&gt;0),"INVALID – evidence missing, placeholder or not yet on file",IF(OR(LEN(AX743)&lt;2,ISNUMBER(MATCH(AX743,L_Placeholder,0))),"INVALID – verifier missing",IF(AX743=AU743,"INVALID – verifier must be someone other than the PIC",IF(AND(TRIM(U743)="Pass",SUMPRODUCT(--ISNUMBER(SEARCH(L_ResultBad,AV743)))&gt;0),"INVALID – result describes a problem: use Fail, then Pass after CA",IF(AND(AQ743=1,OR(LEN(AY743)&lt;3,ISNUMBER(MATCH(AY743,L_Placeholder,0)))),"INVALID – batch ID missing or placeholder",IF(AND(AR743=1,OR(NOT(ISNUMBER(X743)),NOT(ISNUMBER(Y743)))),"INVALID – expected/actual qty missing",IF(AND(AR743=1,OR(X743&lt;=0,Y743&lt;0)),"INVALID – expected qty must be above 0 and actual not negative",IF(AH727="N/A – JUSTIFIED","INVALID – preparation row F22-T12-16 is N/A",IF(AND(AR743=1,ISNUMBER(X727),X743&lt;&gt;X727),"INVALID – expected qty differs from preparation check F22-T12-16",IF(BB743&lt;&gt;"",BB743,IF(AND(AS743=1,Documents!$J$26&lt;&gt;"ON FILE"),"INVALID – GLD not on file (Documents sheet)",IF(AND(AS743=2,Documents!$O$26&lt;&gt;"ON FILE"),"INVALID – menu checklist not on file (Documents sheet)",IF(AND(AS743=3,NOT(ISNUMBER(Flights!$AX$26))),"INVALID – enter carrying flight KUL departure (Flights AX)",IF(AND(AS743=3,OR(Flights!$AZ$26&gt;Flights!$AA$26,Flights!$AX$26&lt;Flights!$AA$26-3)),"INVALID – carrying flight (Flights AX) cannot arrive before this leg's STD, or is over 3 days early",IF(AG743&gt;AsOfUTC,"INVALID – completion time is in the future",IF(AND(ISNUMBER(S743),AG743&lt;S743),IF(H743="Physical uplift","INVALID – before uplift window (cannot confirm loading)","INVALID – before valid window"),IF(AG743&gt;Flights!$AA$26,"INVALID – completed after departure (cannot establish readiness)",IF(AND(H743="Preparation",AG743&gt;IF(ISNUMBER(Flights!$BA$26),MIN(Flights!$BA$26,Flights!$AA$26),Flights!$AA$26)),"INVALID – completed after loading / departure (cannot establish readiness)",IF(AND(H743="Physical uplift",AG743&gt;Q743),"INVALID – recorded after the loading flight departed",IF(AG743&gt;Q743,"COMPLETE – LATE","COMPLETE"))))))))))))))))))))))),IF(TRIM(U743)="Fail","FAIL – DISCREPANCY",IF(AND(TRIM(U743)&lt;&gt;"",TRIM(U743)&lt;&gt;"Not started",TRIM(U743)&lt;&gt;"In progress"),"INVALID – unrecognised status (use the list)",IF(AsOfUTC&gt;Q743,"OVERDUE",IF(N743="Clarification required","OPEN – CLARIFICATION","OPEN"))))))),"INVALID – error value in an input cell")</f>
        <v>OPEN</v>
      </c>
      <c r="AI743" s="61" t="n">
        <f aca="false">IF(OR(AH743="N/A – RULE",AH743="N/A – JUSTIFIED"),0,1)</f>
        <v>1</v>
      </c>
      <c r="AJ743" s="61" t="n">
        <f aca="false">IF(LEFT(AH743,8)="COMPLETE",1,0)</f>
        <v>0</v>
      </c>
      <c r="AK743" s="61" t="n">
        <f aca="false">IF(AND(AI743=1,AJ743=0,AsOfUTC&gt;Q743),1,0)</f>
        <v>0</v>
      </c>
      <c r="AL743" s="61" t="n">
        <f aca="false">IFERROR(IF(AND(AI743=1,OR(TRIM(U743)="Fail",AND(TRIM(AB743)&lt;&gt;"",TRIM(AB743)&lt;&gt;"Closed"),AND(ISNUMBER(AF743),AF743&lt;&gt;0,TRIM(U743)&lt;&gt;"Pass after CA"))),1,0),1)</f>
        <v>0</v>
      </c>
      <c r="AM743" s="61" t="n">
        <f aca="false">IF(LEFT(AH743,7)="INVALID",1,0)</f>
        <v>0</v>
      </c>
      <c r="AN743" s="61" t="n">
        <f aca="false">IF(AND(N743="Clarification required",AI743=1,AJ743=0),1,0)</f>
        <v>0</v>
      </c>
      <c r="AO743" s="61" t="str">
        <f aca="false">IF(AK743=1,SUM(AK$5:AK743),"")</f>
        <v/>
      </c>
      <c r="AP743" s="61" t="str">
        <f aca="false">IF(AL743=1,SUM(AL$5:AL743),"")</f>
        <v/>
      </c>
      <c r="AQ743" s="61" t="n">
        <v>0</v>
      </c>
      <c r="AR743" s="61" t="n">
        <v>0</v>
      </c>
      <c r="AS743" s="61" t="n">
        <v>0</v>
      </c>
      <c r="AT743" s="61" t="n">
        <v>0</v>
      </c>
      <c r="AU743" s="61" t="str">
        <f aca="false">SUBSTITUTE(SUBSTITUTE(SUBSTITUTE(SUBSTITUTE(SUBSTITUTE(SUBSTITUTE(SUBSTITUTE(SUBSTITUTE(SUBSTITUTE(SUBSTITUTE(SUBSTITUTE(SUBSTITUTE(SUBSTITUTE(LOWER(T743&amp;""),CHAR(160),"")," ",""),".",""),"-",""),"/",""),"?",""),"_",""),",",""),"[",""),"]",""),"(",""),")",""),"*","")</f>
        <v/>
      </c>
      <c r="AV743" s="61" t="str">
        <f aca="false">SUBSTITUTE(SUBSTITUTE(SUBSTITUTE(SUBSTITUTE(SUBSTITUTE(SUBSTITUTE(SUBSTITUTE(SUBSTITUTE(SUBSTITUTE(SUBSTITUTE(SUBSTITUTE(SUBSTITUTE(SUBSTITUTE(LOWER(V743&amp;""),CHAR(160),"")," ",""),".",""),"-",""),"/",""),"?",""),"_",""),",",""),"[",""),"]",""),"(",""),")",""),"*","")</f>
        <v/>
      </c>
      <c r="AW743" s="61" t="str">
        <f aca="false">SUBSTITUTE(SUBSTITUTE(SUBSTITUTE(SUBSTITUTE(SUBSTITUTE(SUBSTITUTE(SUBSTITUTE(SUBSTITUTE(SUBSTITUTE(SUBSTITUTE(SUBSTITUTE(SUBSTITUTE(SUBSTITUTE(LOWER(Z743&amp;""),CHAR(160),"")," ",""),".",""),"-",""),"/",""),"?",""),"_",""),",",""),"[",""),"]",""),"(",""),")",""),"*","")</f>
        <v/>
      </c>
      <c r="AX743" s="61" t="str">
        <f aca="false">SUBSTITUTE(SUBSTITUTE(SUBSTITUTE(SUBSTITUTE(SUBSTITUTE(SUBSTITUTE(SUBSTITUTE(SUBSTITUTE(SUBSTITUTE(SUBSTITUTE(SUBSTITUTE(SUBSTITUTE(SUBSTITUTE(LOWER(AE743&amp;""),CHAR(160),"")," ",""),".",""),"-",""),"/",""),"?",""),"_",""),",",""),"[",""),"]",""),"(",""),")",""),"*","")</f>
        <v/>
      </c>
      <c r="AY743" s="61" t="str">
        <f aca="false">SUBSTITUTE(SUBSTITUTE(SUBSTITUTE(SUBSTITUTE(SUBSTITUTE(SUBSTITUTE(SUBSTITUTE(SUBSTITUTE(SUBSTITUTE(SUBSTITUTE(SUBSTITUTE(SUBSTITUTE(SUBSTITUTE(LOWER(W743&amp;""),CHAR(160),"")," ",""),".",""),"-",""),"/",""),"?",""),"_",""),",",""),"[",""),"]",""),"(",""),")",""),"*","")</f>
        <v/>
      </c>
      <c r="AZ743" s="61" t="str">
        <f aca="false">SUBSTITUTE(SUBSTITUTE(SUBSTITUTE(SUBSTITUTE(SUBSTITUTE(SUBSTITUTE(SUBSTITUTE(SUBSTITUTE(SUBSTITUTE(SUBSTITUTE(SUBSTITUTE(SUBSTITUTE(SUBSTITUTE(LOWER(AC743&amp;""),CHAR(160),"")," ",""),".",""),"-",""),"/",""),"?",""),"_",""),",",""),"[",""),"]",""),"(",""),")",""),"*","")</f>
        <v/>
      </c>
      <c r="BA743" s="61" t="str">
        <f aca="false">SUBSTITUTE(SUBSTITUTE(SUBSTITUTE(SUBSTITUTE(SUBSTITUTE(SUBSTITUTE(SUBSTITUTE(SUBSTITUTE(SUBSTITUTE(SUBSTITUTE(SUBSTITUTE(SUBSTITUTE(SUBSTITUTE(LOWER(AA743&amp;""),CHAR(160),"")," ",""),".",""),"-",""),"/",""),"?",""),"_",""),",",""),"[",""),"]",""),"(",""),")",""),"*","")</f>
        <v/>
      </c>
      <c r="BB743" s="61" t="str">
        <f aca="false">IF(AND(TRIM(U743)="Pass",ISNUMBER(AF743)),IF(AF743&lt;&gt;0,"INVALID – qty variance: use Fail or Pass after CA",""),"")&amp;IF(AND(TRIM(U743)="Pass after CA",ISNUMBER(AF743)),IF(AF743&lt;&gt;0,"INVALID – after the corrective action the actual qty must equal expected (update Actual)",""),"")&amp;IF(AND(TRIM(U743)="Pass",TRIM(AB743)&lt;&gt;"",TRIM(AB743)&lt;&gt;"Closed"),"INVALID – corrective action not closed: use Fail, then Pass after CA","")&amp;IF(AND(TRIM(AA743)&lt;&gt;"",TRIM(AB743)=""),"INVALID – CA status missing for the recorded corrective action","")&amp;IF(AND(TRIM(U743)="Pass after CA",OR(OR(LEN(BA743)&lt;5,ISNUMBER(MATCH(BA743,L_Placeholder,0))),TRIM(AB743)&lt;&gt;"Closed")),"INVALID – corrective action not recorded/closed","")</f>
        <v/>
      </c>
    </row>
    <row r="744" customFormat="false" ht="39.75" hidden="false" customHeight="true" outlineLevel="0" collapsed="false">
      <c r="A744" s="57" t="s">
        <v>1456</v>
      </c>
      <c r="B744" s="57" t="s">
        <v>309</v>
      </c>
      <c r="C744" s="57" t="str">
        <f aca="false">Flights!$F$26</f>
        <v>MH0002</v>
      </c>
      <c r="D744" s="58" t="n">
        <f aca="false">Flights!$D$26</f>
        <v>46325</v>
      </c>
      <c r="E744" s="57" t="str">
        <f aca="false">Flights!$G$26&amp;"-"&amp;Flights!$H$26</f>
        <v>KUL-LHR</v>
      </c>
      <c r="F744" s="57" t="str">
        <f aca="false">Flights!$K$26</f>
        <v>BC</v>
      </c>
      <c r="G744" s="57" t="s">
        <v>437</v>
      </c>
      <c r="H744" s="57" t="s">
        <v>438</v>
      </c>
      <c r="I744" s="57" t="s">
        <v>477</v>
      </c>
      <c r="J744" s="57" t="s">
        <v>529</v>
      </c>
      <c r="K744" s="67" t="s">
        <v>479</v>
      </c>
      <c r="L744" s="67" t="s">
        <v>726</v>
      </c>
      <c r="M744" s="67" t="s">
        <v>429</v>
      </c>
      <c r="N744" s="67" t="s">
        <v>361</v>
      </c>
      <c r="O744" s="67"/>
      <c r="P744" s="57" t="s">
        <v>184</v>
      </c>
      <c r="Q744" s="59" t="n">
        <f aca="false">ROUND((Flights!$AF$26)*1440,0)/1440</f>
        <v>46325.6388888889</v>
      </c>
      <c r="R744" s="59" t="n">
        <f aca="false">Q744+(IF(AND(INDEX(TZ_DSTS,MATCH(P744,TZ_STN,0))&lt;&gt;"",Q744&gt;=INDEX(TZ_DSTS,MATCH(P744,TZ_STN,0)),Q744&lt;INDEX(TZ_DSTE,MATCH(P744,TZ_STN,0))),INDEX(TZ_DST,MATCH(P744,TZ_STN,0)),INDEX(TZ_STD,MATCH(P744,TZ_STN,0))))/24</f>
        <v>46325.9722222222</v>
      </c>
      <c r="S744" s="59" t="n">
        <f aca="false">IF(ISNUMBER(Flights!$AZ$26),MAX(Q744-UpliftWindowH/24,Flights!$AZ$26),Q744-UpliftWindowH/24)</f>
        <v>46325.3888888889</v>
      </c>
      <c r="T744" s="60"/>
      <c r="U744" s="60"/>
      <c r="V744" s="60"/>
      <c r="W744" s="61"/>
      <c r="X744" s="60"/>
      <c r="Y744" s="60"/>
      <c r="Z744" s="60"/>
      <c r="AA744" s="60"/>
      <c r="AB744" s="60"/>
      <c r="AC744" s="60"/>
      <c r="AD744" s="66"/>
      <c r="AE744" s="60"/>
      <c r="AF744" s="61" t="str">
        <f aca="false">IF(AND(ISNUMBER(X744),ISNUMBER(Y744)),Y744-X744,"")</f>
        <v/>
      </c>
      <c r="AG744" s="62" t="str">
        <f aca="false">IF(ISNUMBER(AD744),AD744-(IF(AND(INDEX(TZ_DSTS,MATCH(P744,TZ_STN,0))&lt;&gt;"",(AD744-INDEX(TZ_STD,MATCH(P744,TZ_STN,0))/24)&gt;=INDEX(TZ_DSTS,MATCH(P744,TZ_STN,0)),(AD744-INDEX(TZ_STD,MATCH(P744,TZ_STN,0))/24)&lt;INDEX(TZ_DSTE,MATCH(P744,TZ_STN,0))),INDEX(TZ_DST,MATCH(P744,TZ_STN,0)),INDEX(TZ_STD,MATCH(P744,TZ_STN,0))))/24,"")</f>
        <v/>
      </c>
      <c r="AH744" s="65" t="str">
        <f aca="false">IFERROR(IF(N744="N/A – rule","N/A – RULE",IF(TRIM(U744)="N/A",IF(AT744=0,"INVALID – N/A not permitted for this check",IF(AND(TRIM(AB744)&lt;&gt;"",TRIM(AB744)&lt;&gt;"Closed"),"INVALID – corrective action still open",IF(AND(NOT(OR(LEN(AZ744)&lt;15,ISNUMBER(MATCH(AZ744,L_Placeholder,0)))),NOT(OR(LEN(AU744)&lt;2,ISNUMBER(MATCH(AU744,L_Placeholder,0)))),NOT(OR(LEN(AX744)&lt;2,ISNUMBER(MATCH(AX744,L_Placeholder,0)))),TRIM(AE744)&lt;&gt;TRIM(T744)),"N/A – JUSTIFIED","INVALID – N/A needs a real justification (15+ chars), PIC and a different verifier"))),IF(OR(TRIM(U744)="Pass",TRIM(U744)="Pass after CA"),IF(NOT(ISNUMBER(AD744)),"INVALID – completion time missing",IF(OR(LEN(AU744)&lt;2,ISNUMBER(MATCH(AU744,L_Placeholder,0))),"INVALID – PIC missing",IF(OR(LEN(AV744)&lt;2,ISNUMBER(MATCH(AV744,L_Placeholder,0))),"INVALID – result / assessment missing",IF(OR(OR(LEN(AW744)&lt;3,ISNUMBER(MATCH(AW744,L_Placeholder,0))),SUMPRODUCT(--ISNUMBER(SEARCH(L_EvidencePhrase,AW744)))&gt;0),"INVALID – evidence missing, placeholder or not yet on file",IF(OR(LEN(AX744)&lt;2,ISNUMBER(MATCH(AX744,L_Placeholder,0))),"INVALID – verifier missing",IF(AX744=AU744,"INVALID – verifier must be someone other than the PIC",IF(AND(TRIM(U744)="Pass",SUMPRODUCT(--ISNUMBER(SEARCH(L_ResultBad,AV744)))&gt;0),"INVALID – result describes a problem: use Fail, then Pass after CA",IF(AND(AQ744=1,OR(LEN(AY744)&lt;3,ISNUMBER(MATCH(AY744,L_Placeholder,0)))),"INVALID – batch ID missing or placeholder",IF(AND(AR744=1,OR(NOT(ISNUMBER(X744)),NOT(ISNUMBER(Y744)))),"INVALID – expected/actual qty missing",IF(AND(AR744=1,OR(X744&lt;=0,Y744&lt;0)),"INVALID – expected qty must be above 0 and actual not negative",IF(AH728="N/A – JUSTIFIED","INVALID – preparation row F22-T12-17 is N/A",IF(AND(AR744=1,ISNUMBER(X728),X744&lt;&gt;X728),"INVALID – expected qty differs from preparation check F22-T12-17",IF(BB744&lt;&gt;"",BB744,IF(AND(AS744=1,Documents!$J$26&lt;&gt;"ON FILE"),"INVALID – GLD not on file (Documents sheet)",IF(AND(AS744=2,Documents!$O$26&lt;&gt;"ON FILE"),"INVALID – menu checklist not on file (Documents sheet)",IF(AND(AS744=3,NOT(ISNUMBER(Flights!$AX$26))),"INVALID – enter carrying flight KUL departure (Flights AX)",IF(AND(AS744=3,OR(Flights!$AZ$26&gt;Flights!$AA$26,Flights!$AX$26&lt;Flights!$AA$26-3)),"INVALID – carrying flight (Flights AX) cannot arrive before this leg's STD, or is over 3 days early",IF(AG744&gt;AsOfUTC,"INVALID – completion time is in the future",IF(AND(ISNUMBER(S744),AG744&lt;S744),IF(H744="Physical uplift","INVALID – before uplift window (cannot confirm loading)","INVALID – before valid window"),IF(AG744&gt;Flights!$AA$26,"INVALID – completed after departure (cannot establish readiness)",IF(AND(H744="Preparation",AG744&gt;IF(ISNUMBER(Flights!$BA$26),MIN(Flights!$BA$26,Flights!$AA$26),Flights!$AA$26)),"INVALID – completed after loading / departure (cannot establish readiness)",IF(AND(H744="Physical uplift",AG744&gt;Q744),"INVALID – recorded after the loading flight departed",IF(AG744&gt;Q744,"COMPLETE – LATE","COMPLETE"))))))))))))))))))))))),IF(TRIM(U744)="Fail","FAIL – DISCREPANCY",IF(AND(TRIM(U744)&lt;&gt;"",TRIM(U744)&lt;&gt;"Not started",TRIM(U744)&lt;&gt;"In progress"),"INVALID – unrecognised status (use the list)",IF(AsOfUTC&gt;Q744,"OVERDUE",IF(N744="Clarification required","OPEN – CLARIFICATION","OPEN"))))))),"INVALID – error value in an input cell")</f>
        <v>OPEN</v>
      </c>
      <c r="AI744" s="61" t="n">
        <f aca="false">IF(OR(AH744="N/A – RULE",AH744="N/A – JUSTIFIED"),0,1)</f>
        <v>1</v>
      </c>
      <c r="AJ744" s="61" t="n">
        <f aca="false">IF(LEFT(AH744,8)="COMPLETE",1,0)</f>
        <v>0</v>
      </c>
      <c r="AK744" s="61" t="n">
        <f aca="false">IF(AND(AI744=1,AJ744=0,AsOfUTC&gt;Q744),1,0)</f>
        <v>0</v>
      </c>
      <c r="AL744" s="61" t="n">
        <f aca="false">IFERROR(IF(AND(AI744=1,OR(TRIM(U744)="Fail",AND(TRIM(AB744)&lt;&gt;"",TRIM(AB744)&lt;&gt;"Closed"),AND(ISNUMBER(AF744),AF744&lt;&gt;0,TRIM(U744)&lt;&gt;"Pass after CA"))),1,0),1)</f>
        <v>0</v>
      </c>
      <c r="AM744" s="61" t="n">
        <f aca="false">IF(LEFT(AH744,7)="INVALID",1,0)</f>
        <v>0</v>
      </c>
      <c r="AN744" s="61" t="n">
        <f aca="false">IF(AND(N744="Clarification required",AI744=1,AJ744=0),1,0)</f>
        <v>0</v>
      </c>
      <c r="AO744" s="61" t="str">
        <f aca="false">IF(AK744=1,SUM(AK$5:AK744),"")</f>
        <v/>
      </c>
      <c r="AP744" s="61" t="str">
        <f aca="false">IF(AL744=1,SUM(AL$5:AL744),"")</f>
        <v/>
      </c>
      <c r="AQ744" s="61" t="n">
        <v>0</v>
      </c>
      <c r="AR744" s="61" t="n">
        <v>0</v>
      </c>
      <c r="AS744" s="61" t="n">
        <v>0</v>
      </c>
      <c r="AT744" s="61" t="n">
        <v>0</v>
      </c>
      <c r="AU744" s="61" t="str">
        <f aca="false">SUBSTITUTE(SUBSTITUTE(SUBSTITUTE(SUBSTITUTE(SUBSTITUTE(SUBSTITUTE(SUBSTITUTE(SUBSTITUTE(SUBSTITUTE(SUBSTITUTE(SUBSTITUTE(SUBSTITUTE(SUBSTITUTE(LOWER(T744&amp;""),CHAR(160),"")," ",""),".",""),"-",""),"/",""),"?",""),"_",""),",",""),"[",""),"]",""),"(",""),")",""),"*","")</f>
        <v/>
      </c>
      <c r="AV744" s="61" t="str">
        <f aca="false">SUBSTITUTE(SUBSTITUTE(SUBSTITUTE(SUBSTITUTE(SUBSTITUTE(SUBSTITUTE(SUBSTITUTE(SUBSTITUTE(SUBSTITUTE(SUBSTITUTE(SUBSTITUTE(SUBSTITUTE(SUBSTITUTE(LOWER(V744&amp;""),CHAR(160),"")," ",""),".",""),"-",""),"/",""),"?",""),"_",""),",",""),"[",""),"]",""),"(",""),")",""),"*","")</f>
        <v/>
      </c>
      <c r="AW744" s="61" t="str">
        <f aca="false">SUBSTITUTE(SUBSTITUTE(SUBSTITUTE(SUBSTITUTE(SUBSTITUTE(SUBSTITUTE(SUBSTITUTE(SUBSTITUTE(SUBSTITUTE(SUBSTITUTE(SUBSTITUTE(SUBSTITUTE(SUBSTITUTE(LOWER(Z744&amp;""),CHAR(160),"")," ",""),".",""),"-",""),"/",""),"?",""),"_",""),",",""),"[",""),"]",""),"(",""),")",""),"*","")</f>
        <v/>
      </c>
      <c r="AX744" s="61" t="str">
        <f aca="false">SUBSTITUTE(SUBSTITUTE(SUBSTITUTE(SUBSTITUTE(SUBSTITUTE(SUBSTITUTE(SUBSTITUTE(SUBSTITUTE(SUBSTITUTE(SUBSTITUTE(SUBSTITUTE(SUBSTITUTE(SUBSTITUTE(LOWER(AE744&amp;""),CHAR(160),"")," ",""),".",""),"-",""),"/",""),"?",""),"_",""),",",""),"[",""),"]",""),"(",""),")",""),"*","")</f>
        <v/>
      </c>
      <c r="AY744" s="61" t="str">
        <f aca="false">SUBSTITUTE(SUBSTITUTE(SUBSTITUTE(SUBSTITUTE(SUBSTITUTE(SUBSTITUTE(SUBSTITUTE(SUBSTITUTE(SUBSTITUTE(SUBSTITUTE(SUBSTITUTE(SUBSTITUTE(SUBSTITUTE(LOWER(W744&amp;""),CHAR(160),"")," ",""),".",""),"-",""),"/",""),"?",""),"_",""),",",""),"[",""),"]",""),"(",""),")",""),"*","")</f>
        <v/>
      </c>
      <c r="AZ744" s="61" t="str">
        <f aca="false">SUBSTITUTE(SUBSTITUTE(SUBSTITUTE(SUBSTITUTE(SUBSTITUTE(SUBSTITUTE(SUBSTITUTE(SUBSTITUTE(SUBSTITUTE(SUBSTITUTE(SUBSTITUTE(SUBSTITUTE(SUBSTITUTE(LOWER(AC744&amp;""),CHAR(160),"")," ",""),".",""),"-",""),"/",""),"?",""),"_",""),",",""),"[",""),"]",""),"(",""),")",""),"*","")</f>
        <v/>
      </c>
      <c r="BA744" s="61" t="str">
        <f aca="false">SUBSTITUTE(SUBSTITUTE(SUBSTITUTE(SUBSTITUTE(SUBSTITUTE(SUBSTITUTE(SUBSTITUTE(SUBSTITUTE(SUBSTITUTE(SUBSTITUTE(SUBSTITUTE(SUBSTITUTE(SUBSTITUTE(LOWER(AA744&amp;""),CHAR(160),"")," ",""),".",""),"-",""),"/",""),"?",""),"_",""),",",""),"[",""),"]",""),"(",""),")",""),"*","")</f>
        <v/>
      </c>
      <c r="BB744" s="61" t="str">
        <f aca="false">IF(AND(TRIM(U744)="Pass",ISNUMBER(AF744)),IF(AF744&lt;&gt;0,"INVALID – qty variance: use Fail or Pass after CA",""),"")&amp;IF(AND(TRIM(U744)="Pass after CA",ISNUMBER(AF744)),IF(AF744&lt;&gt;0,"INVALID – after the corrective action the actual qty must equal expected (update Actual)",""),"")&amp;IF(AND(TRIM(U744)="Pass",TRIM(AB744)&lt;&gt;"",TRIM(AB744)&lt;&gt;"Closed"),"INVALID – corrective action not closed: use Fail, then Pass after CA","")&amp;IF(AND(TRIM(AA744)&lt;&gt;"",TRIM(AB744)=""),"INVALID – CA status missing for the recorded corrective action","")&amp;IF(AND(TRIM(U744)="Pass after CA",OR(OR(LEN(BA744)&lt;5,ISNUMBER(MATCH(BA744,L_Placeholder,0))),TRIM(AB744)&lt;&gt;"Closed")),"INVALID – corrective action not recorded/closed","")</f>
        <v/>
      </c>
    </row>
    <row r="745" customFormat="false" ht="39.75" hidden="false" customHeight="true" outlineLevel="0" collapsed="false">
      <c r="A745" s="57" t="s">
        <v>1457</v>
      </c>
      <c r="B745" s="57" t="s">
        <v>309</v>
      </c>
      <c r="C745" s="57" t="str">
        <f aca="false">Flights!$F$26</f>
        <v>MH0002</v>
      </c>
      <c r="D745" s="58" t="n">
        <f aca="false">Flights!$D$26</f>
        <v>46325</v>
      </c>
      <c r="E745" s="57" t="str">
        <f aca="false">Flights!$G$26&amp;"-"&amp;Flights!$H$26</f>
        <v>KUL-LHR</v>
      </c>
      <c r="F745" s="57" t="str">
        <f aca="false">Flights!$K$26</f>
        <v>BC</v>
      </c>
      <c r="G745" s="57" t="s">
        <v>437</v>
      </c>
      <c r="H745" s="57" t="s">
        <v>438</v>
      </c>
      <c r="I745" s="57" t="s">
        <v>425</v>
      </c>
      <c r="J745" s="57" t="s">
        <v>531</v>
      </c>
      <c r="K745" s="67" t="s">
        <v>427</v>
      </c>
      <c r="L745" s="67" t="s">
        <v>728</v>
      </c>
      <c r="M745" s="67" t="s">
        <v>429</v>
      </c>
      <c r="N745" s="67" t="s">
        <v>361</v>
      </c>
      <c r="O745" s="67"/>
      <c r="P745" s="57" t="s">
        <v>184</v>
      </c>
      <c r="Q745" s="59" t="n">
        <f aca="false">ROUND((Flights!$AF$26)*1440,0)/1440</f>
        <v>46325.6388888889</v>
      </c>
      <c r="R745" s="59" t="n">
        <f aca="false">Q745+(IF(AND(INDEX(TZ_DSTS,MATCH(P745,TZ_STN,0))&lt;&gt;"",Q745&gt;=INDEX(TZ_DSTS,MATCH(P745,TZ_STN,0)),Q745&lt;INDEX(TZ_DSTE,MATCH(P745,TZ_STN,0))),INDEX(TZ_DST,MATCH(P745,TZ_STN,0)),INDEX(TZ_STD,MATCH(P745,TZ_STN,0))))/24</f>
        <v>46325.9722222222</v>
      </c>
      <c r="S745" s="59" t="n">
        <f aca="false">IF(ISNUMBER(Flights!$AZ$26),MAX(Q745-UpliftWindowH/24,Flights!$AZ$26),Q745-UpliftWindowH/24)</f>
        <v>46325.3888888889</v>
      </c>
      <c r="T745" s="60"/>
      <c r="U745" s="60"/>
      <c r="V745" s="60"/>
      <c r="W745" s="61"/>
      <c r="X745" s="60"/>
      <c r="Y745" s="60"/>
      <c r="Z745" s="60"/>
      <c r="AA745" s="60"/>
      <c r="AB745" s="60"/>
      <c r="AC745" s="60"/>
      <c r="AD745" s="66"/>
      <c r="AE745" s="60"/>
      <c r="AF745" s="61" t="str">
        <f aca="false">IF(AND(ISNUMBER(X745),ISNUMBER(Y745)),Y745-X745,"")</f>
        <v/>
      </c>
      <c r="AG745" s="62" t="str">
        <f aca="false">IF(ISNUMBER(AD745),AD745-(IF(AND(INDEX(TZ_DSTS,MATCH(P745,TZ_STN,0))&lt;&gt;"",(AD745-INDEX(TZ_STD,MATCH(P745,TZ_STN,0))/24)&gt;=INDEX(TZ_DSTS,MATCH(P745,TZ_STN,0)),(AD745-INDEX(TZ_STD,MATCH(P745,TZ_STN,0))/24)&lt;INDEX(TZ_DSTE,MATCH(P745,TZ_STN,0))),INDEX(TZ_DST,MATCH(P745,TZ_STN,0)),INDEX(TZ_STD,MATCH(P745,TZ_STN,0))))/24,"")</f>
        <v/>
      </c>
      <c r="AH745" s="65" t="str">
        <f aca="false">IFERROR(IF(N745="N/A – rule","N/A – RULE",IF(TRIM(U745)="N/A",IF(AT745=0,"INVALID – N/A not permitted for this check",IF(AND(TRIM(AB745)&lt;&gt;"",TRIM(AB745)&lt;&gt;"Closed"),"INVALID – corrective action still open",IF(AND(NOT(OR(LEN(AZ745)&lt;15,ISNUMBER(MATCH(AZ745,L_Placeholder,0)))),NOT(OR(LEN(AU745)&lt;2,ISNUMBER(MATCH(AU745,L_Placeholder,0)))),NOT(OR(LEN(AX745)&lt;2,ISNUMBER(MATCH(AX745,L_Placeholder,0)))),TRIM(AE745)&lt;&gt;TRIM(T745)),"N/A – JUSTIFIED","INVALID – N/A needs a real justification (15+ chars), PIC and a different verifier"))),IF(OR(TRIM(U745)="Pass",TRIM(U745)="Pass after CA"),IF(NOT(ISNUMBER(AD745)),"INVALID – completion time missing",IF(OR(LEN(AU745)&lt;2,ISNUMBER(MATCH(AU745,L_Placeholder,0))),"INVALID – PIC missing",IF(OR(LEN(AV745)&lt;2,ISNUMBER(MATCH(AV745,L_Placeholder,0))),"INVALID – result / assessment missing",IF(OR(OR(LEN(AW745)&lt;3,ISNUMBER(MATCH(AW745,L_Placeholder,0))),SUMPRODUCT(--ISNUMBER(SEARCH(L_EvidencePhrase,AW745)))&gt;0),"INVALID – evidence missing, placeholder or not yet on file",IF(OR(LEN(AX745)&lt;2,ISNUMBER(MATCH(AX745,L_Placeholder,0))),"INVALID – verifier missing",IF(AX745=AU745,"INVALID – verifier must be someone other than the PIC",IF(AND(TRIM(U745)="Pass",SUMPRODUCT(--ISNUMBER(SEARCH(L_ResultBad,AV745)))&gt;0),"INVALID – result describes a problem: use Fail, then Pass after CA",IF(AND(AQ745=1,OR(LEN(AY745)&lt;3,ISNUMBER(MATCH(AY745,L_Placeholder,0)))),"INVALID – batch ID missing or placeholder",IF(AND(AR745=1,OR(NOT(ISNUMBER(X745)),NOT(ISNUMBER(Y745)))),"INVALID – expected/actual qty missing",IF(AND(AR745=1,OR(X745&lt;=0,Y745&lt;0)),"INVALID – expected qty must be above 0 and actual not negative",IF(AH729="N/A – JUSTIFIED","INVALID – preparation row F22-T12-18 is N/A",IF(AND(AR745=1,ISNUMBER(X729),X745&lt;&gt;X729),"INVALID – expected qty differs from preparation check F22-T12-18",IF(BB745&lt;&gt;"",BB745,IF(AND(AS745=1,Documents!$J$26&lt;&gt;"ON FILE"),"INVALID – GLD not on file (Documents sheet)",IF(AND(AS745=2,Documents!$O$26&lt;&gt;"ON FILE"),"INVALID – menu checklist not on file (Documents sheet)",IF(AND(AS745=3,NOT(ISNUMBER(Flights!$AX$26))),"INVALID – enter carrying flight KUL departure (Flights AX)",IF(AND(AS745=3,OR(Flights!$AZ$26&gt;Flights!$AA$26,Flights!$AX$26&lt;Flights!$AA$26-3)),"INVALID – carrying flight (Flights AX) cannot arrive before this leg's STD, or is over 3 days early",IF(AG745&gt;AsOfUTC,"INVALID – completion time is in the future",IF(AND(ISNUMBER(S745),AG745&lt;S745),IF(H745="Physical uplift","INVALID – before uplift window (cannot confirm loading)","INVALID – before valid window"),IF(AG745&gt;Flights!$AA$26,"INVALID – completed after departure (cannot establish readiness)",IF(AND(H745="Preparation",AG745&gt;IF(ISNUMBER(Flights!$BA$26),MIN(Flights!$BA$26,Flights!$AA$26),Flights!$AA$26)),"INVALID – completed after loading / departure (cannot establish readiness)",IF(AND(H745="Physical uplift",AG745&gt;Q745),"INVALID – recorded after the loading flight departed",IF(AG745&gt;Q745,"COMPLETE – LATE","COMPLETE"))))))))))))))))))))))),IF(TRIM(U745)="Fail","FAIL – DISCREPANCY",IF(AND(TRIM(U745)&lt;&gt;"",TRIM(U745)&lt;&gt;"Not started",TRIM(U745)&lt;&gt;"In progress"),"INVALID – unrecognised status (use the list)",IF(AsOfUTC&gt;Q745,"OVERDUE",IF(N745="Clarification required","OPEN – CLARIFICATION","OPEN"))))))),"INVALID – error value in an input cell")</f>
        <v>OPEN</v>
      </c>
      <c r="AI745" s="61" t="n">
        <f aca="false">IF(OR(AH745="N/A – RULE",AH745="N/A – JUSTIFIED"),0,1)</f>
        <v>1</v>
      </c>
      <c r="AJ745" s="61" t="n">
        <f aca="false">IF(LEFT(AH745,8)="COMPLETE",1,0)</f>
        <v>0</v>
      </c>
      <c r="AK745" s="61" t="n">
        <f aca="false">IF(AND(AI745=1,AJ745=0,AsOfUTC&gt;Q745),1,0)</f>
        <v>0</v>
      </c>
      <c r="AL745" s="61" t="n">
        <f aca="false">IFERROR(IF(AND(AI745=1,OR(TRIM(U745)="Fail",AND(TRIM(AB745)&lt;&gt;"",TRIM(AB745)&lt;&gt;"Closed"),AND(ISNUMBER(AF745),AF745&lt;&gt;0,TRIM(U745)&lt;&gt;"Pass after CA"))),1,0),1)</f>
        <v>0</v>
      </c>
      <c r="AM745" s="61" t="n">
        <f aca="false">IF(LEFT(AH745,7)="INVALID",1,0)</f>
        <v>0</v>
      </c>
      <c r="AN745" s="61" t="n">
        <f aca="false">IF(AND(N745="Clarification required",AI745=1,AJ745=0),1,0)</f>
        <v>0</v>
      </c>
      <c r="AO745" s="61" t="str">
        <f aca="false">IF(AK745=1,SUM(AK$5:AK745),"")</f>
        <v/>
      </c>
      <c r="AP745" s="61" t="str">
        <f aca="false">IF(AL745=1,SUM(AL$5:AL745),"")</f>
        <v/>
      </c>
      <c r="AQ745" s="61" t="n">
        <v>0</v>
      </c>
      <c r="AR745" s="61" t="n">
        <v>0</v>
      </c>
      <c r="AS745" s="61" t="n">
        <v>0</v>
      </c>
      <c r="AT745" s="61" t="n">
        <v>0</v>
      </c>
      <c r="AU745" s="61" t="str">
        <f aca="false">SUBSTITUTE(SUBSTITUTE(SUBSTITUTE(SUBSTITUTE(SUBSTITUTE(SUBSTITUTE(SUBSTITUTE(SUBSTITUTE(SUBSTITUTE(SUBSTITUTE(SUBSTITUTE(SUBSTITUTE(SUBSTITUTE(LOWER(T745&amp;""),CHAR(160),"")," ",""),".",""),"-",""),"/",""),"?",""),"_",""),",",""),"[",""),"]",""),"(",""),")",""),"*","")</f>
        <v/>
      </c>
      <c r="AV745" s="61" t="str">
        <f aca="false">SUBSTITUTE(SUBSTITUTE(SUBSTITUTE(SUBSTITUTE(SUBSTITUTE(SUBSTITUTE(SUBSTITUTE(SUBSTITUTE(SUBSTITUTE(SUBSTITUTE(SUBSTITUTE(SUBSTITUTE(SUBSTITUTE(LOWER(V745&amp;""),CHAR(160),"")," ",""),".",""),"-",""),"/",""),"?",""),"_",""),",",""),"[",""),"]",""),"(",""),")",""),"*","")</f>
        <v/>
      </c>
      <c r="AW745" s="61" t="str">
        <f aca="false">SUBSTITUTE(SUBSTITUTE(SUBSTITUTE(SUBSTITUTE(SUBSTITUTE(SUBSTITUTE(SUBSTITUTE(SUBSTITUTE(SUBSTITUTE(SUBSTITUTE(SUBSTITUTE(SUBSTITUTE(SUBSTITUTE(LOWER(Z745&amp;""),CHAR(160),"")," ",""),".",""),"-",""),"/",""),"?",""),"_",""),",",""),"[",""),"]",""),"(",""),")",""),"*","")</f>
        <v/>
      </c>
      <c r="AX745" s="61" t="str">
        <f aca="false">SUBSTITUTE(SUBSTITUTE(SUBSTITUTE(SUBSTITUTE(SUBSTITUTE(SUBSTITUTE(SUBSTITUTE(SUBSTITUTE(SUBSTITUTE(SUBSTITUTE(SUBSTITUTE(SUBSTITUTE(SUBSTITUTE(LOWER(AE745&amp;""),CHAR(160),"")," ",""),".",""),"-",""),"/",""),"?",""),"_",""),",",""),"[",""),"]",""),"(",""),")",""),"*","")</f>
        <v/>
      </c>
      <c r="AY745" s="61" t="str">
        <f aca="false">SUBSTITUTE(SUBSTITUTE(SUBSTITUTE(SUBSTITUTE(SUBSTITUTE(SUBSTITUTE(SUBSTITUTE(SUBSTITUTE(SUBSTITUTE(SUBSTITUTE(SUBSTITUTE(SUBSTITUTE(SUBSTITUTE(LOWER(W745&amp;""),CHAR(160),"")," ",""),".",""),"-",""),"/",""),"?",""),"_",""),",",""),"[",""),"]",""),"(",""),")",""),"*","")</f>
        <v/>
      </c>
      <c r="AZ745" s="61" t="str">
        <f aca="false">SUBSTITUTE(SUBSTITUTE(SUBSTITUTE(SUBSTITUTE(SUBSTITUTE(SUBSTITUTE(SUBSTITUTE(SUBSTITUTE(SUBSTITUTE(SUBSTITUTE(SUBSTITUTE(SUBSTITUTE(SUBSTITUTE(LOWER(AC745&amp;""),CHAR(160),"")," ",""),".",""),"-",""),"/",""),"?",""),"_",""),",",""),"[",""),"]",""),"(",""),")",""),"*","")</f>
        <v/>
      </c>
      <c r="BA745" s="61" t="str">
        <f aca="false">SUBSTITUTE(SUBSTITUTE(SUBSTITUTE(SUBSTITUTE(SUBSTITUTE(SUBSTITUTE(SUBSTITUTE(SUBSTITUTE(SUBSTITUTE(SUBSTITUTE(SUBSTITUTE(SUBSTITUTE(SUBSTITUTE(LOWER(AA745&amp;""),CHAR(160),"")," ",""),".",""),"-",""),"/",""),"?",""),"_",""),",",""),"[",""),"]",""),"(",""),")",""),"*","")</f>
        <v/>
      </c>
      <c r="BB745" s="61" t="str">
        <f aca="false">IF(AND(TRIM(U745)="Pass",ISNUMBER(AF745)),IF(AF745&lt;&gt;0,"INVALID – qty variance: use Fail or Pass after CA",""),"")&amp;IF(AND(TRIM(U745)="Pass after CA",ISNUMBER(AF745)),IF(AF745&lt;&gt;0,"INVALID – after the corrective action the actual qty must equal expected (update Actual)",""),"")&amp;IF(AND(TRIM(U745)="Pass",TRIM(AB745)&lt;&gt;"",TRIM(AB745)&lt;&gt;"Closed"),"INVALID – corrective action not closed: use Fail, then Pass after CA","")&amp;IF(AND(TRIM(AA745)&lt;&gt;"",TRIM(AB745)=""),"INVALID – CA status missing for the recorded corrective action","")&amp;IF(AND(TRIM(U745)="Pass after CA",OR(OR(LEN(BA745)&lt;5,ISNUMBER(MATCH(BA745,L_Placeholder,0))),TRIM(AB745)&lt;&gt;"Closed")),"INVALID – corrective action not recorded/closed","")</f>
        <v/>
      </c>
    </row>
    <row r="746" customFormat="false" ht="39.75" hidden="false" customHeight="true" outlineLevel="0" collapsed="false">
      <c r="A746" s="57" t="s">
        <v>1458</v>
      </c>
      <c r="B746" s="57" t="s">
        <v>309</v>
      </c>
      <c r="C746" s="57" t="str">
        <f aca="false">Flights!$F$26</f>
        <v>MH0002</v>
      </c>
      <c r="D746" s="58" t="n">
        <f aca="false">Flights!$D$26</f>
        <v>46325</v>
      </c>
      <c r="E746" s="57" t="str">
        <f aca="false">Flights!$G$26&amp;"-"&amp;Flights!$H$26</f>
        <v>KUL-LHR</v>
      </c>
      <c r="F746" s="57" t="str">
        <f aca="false">Flights!$K$26</f>
        <v>BC</v>
      </c>
      <c r="G746" s="57" t="s">
        <v>437</v>
      </c>
      <c r="H746" s="57" t="s">
        <v>438</v>
      </c>
      <c r="I746" s="57" t="s">
        <v>425</v>
      </c>
      <c r="J746" s="57" t="s">
        <v>631</v>
      </c>
      <c r="K746" s="67" t="s">
        <v>427</v>
      </c>
      <c r="L746" s="67" t="s">
        <v>730</v>
      </c>
      <c r="M746" s="67" t="s">
        <v>429</v>
      </c>
      <c r="N746" s="67" t="s">
        <v>361</v>
      </c>
      <c r="O746" s="67"/>
      <c r="P746" s="57" t="s">
        <v>184</v>
      </c>
      <c r="Q746" s="59" t="n">
        <f aca="false">ROUND((Flights!$AF$26)*1440,0)/1440</f>
        <v>46325.6388888889</v>
      </c>
      <c r="R746" s="59" t="n">
        <f aca="false">Q746+(IF(AND(INDEX(TZ_DSTS,MATCH(P746,TZ_STN,0))&lt;&gt;"",Q746&gt;=INDEX(TZ_DSTS,MATCH(P746,TZ_STN,0)),Q746&lt;INDEX(TZ_DSTE,MATCH(P746,TZ_STN,0))),INDEX(TZ_DST,MATCH(P746,TZ_STN,0)),INDEX(TZ_STD,MATCH(P746,TZ_STN,0))))/24</f>
        <v>46325.9722222222</v>
      </c>
      <c r="S746" s="59" t="n">
        <f aca="false">IF(ISNUMBER(Flights!$AZ$26),MAX(Q746-UpliftWindowH/24,Flights!$AZ$26),Q746-UpliftWindowH/24)</f>
        <v>46325.3888888889</v>
      </c>
      <c r="T746" s="60"/>
      <c r="U746" s="60"/>
      <c r="V746" s="60"/>
      <c r="W746" s="61"/>
      <c r="X746" s="60"/>
      <c r="Y746" s="60"/>
      <c r="Z746" s="60"/>
      <c r="AA746" s="60"/>
      <c r="AB746" s="60"/>
      <c r="AC746" s="60"/>
      <c r="AD746" s="66"/>
      <c r="AE746" s="60"/>
      <c r="AF746" s="61" t="str">
        <f aca="false">IF(AND(ISNUMBER(X746),ISNUMBER(Y746)),Y746-X746,"")</f>
        <v/>
      </c>
      <c r="AG746" s="62" t="str">
        <f aca="false">IF(ISNUMBER(AD746),AD746-(IF(AND(INDEX(TZ_DSTS,MATCH(P746,TZ_STN,0))&lt;&gt;"",(AD746-INDEX(TZ_STD,MATCH(P746,TZ_STN,0))/24)&gt;=INDEX(TZ_DSTS,MATCH(P746,TZ_STN,0)),(AD746-INDEX(TZ_STD,MATCH(P746,TZ_STN,0))/24)&lt;INDEX(TZ_DSTE,MATCH(P746,TZ_STN,0))),INDEX(TZ_DST,MATCH(P746,TZ_STN,0)),INDEX(TZ_STD,MATCH(P746,TZ_STN,0))))/24,"")</f>
        <v/>
      </c>
      <c r="AH746" s="65" t="str">
        <f aca="false">IFERROR(IF(N746="N/A – rule","N/A – RULE",IF(TRIM(U746)="N/A",IF(AT746=0,"INVALID – N/A not permitted for this check",IF(AND(TRIM(AB746)&lt;&gt;"",TRIM(AB746)&lt;&gt;"Closed"),"INVALID – corrective action still open",IF(AND(NOT(OR(LEN(AZ746)&lt;15,ISNUMBER(MATCH(AZ746,L_Placeholder,0)))),NOT(OR(LEN(AU746)&lt;2,ISNUMBER(MATCH(AU746,L_Placeholder,0)))),NOT(OR(LEN(AX746)&lt;2,ISNUMBER(MATCH(AX746,L_Placeholder,0)))),TRIM(AE746)&lt;&gt;TRIM(T746)),"N/A – JUSTIFIED","INVALID – N/A needs a real justification (15+ chars), PIC and a different verifier"))),IF(OR(TRIM(U746)="Pass",TRIM(U746)="Pass after CA"),IF(NOT(ISNUMBER(AD746)),"INVALID – completion time missing",IF(OR(LEN(AU746)&lt;2,ISNUMBER(MATCH(AU746,L_Placeholder,0))),"INVALID – PIC missing",IF(OR(LEN(AV746)&lt;2,ISNUMBER(MATCH(AV746,L_Placeholder,0))),"INVALID – result / assessment missing",IF(OR(OR(LEN(AW746)&lt;3,ISNUMBER(MATCH(AW746,L_Placeholder,0))),SUMPRODUCT(--ISNUMBER(SEARCH(L_EvidencePhrase,AW746)))&gt;0),"INVALID – evidence missing, placeholder or not yet on file",IF(OR(LEN(AX746)&lt;2,ISNUMBER(MATCH(AX746,L_Placeholder,0))),"INVALID – verifier missing",IF(AX746=AU746,"INVALID – verifier must be someone other than the PIC",IF(AND(TRIM(U746)="Pass",SUMPRODUCT(--ISNUMBER(SEARCH(L_ResultBad,AV746)))&gt;0),"INVALID – result describes a problem: use Fail, then Pass after CA",IF(AND(AQ746=1,OR(LEN(AY746)&lt;3,ISNUMBER(MATCH(AY746,L_Placeholder,0)))),"INVALID – batch ID missing or placeholder",IF(AND(AR746=1,OR(NOT(ISNUMBER(X746)),NOT(ISNUMBER(Y746)))),"INVALID – expected/actual qty missing",IF(AND(AR746=1,OR(X746&lt;=0,Y746&lt;0)),"INVALID – expected qty must be above 0 and actual not negative",IF(AH730="N/A – JUSTIFIED","INVALID – preparation row F22-T12-19 is N/A",IF(AND(AR746=1,ISNUMBER(X730),X746&lt;&gt;X730),"INVALID – expected qty differs from preparation check F22-T12-19",IF(BB746&lt;&gt;"",BB746,IF(AND(AS746=1,Documents!$J$26&lt;&gt;"ON FILE"),"INVALID – GLD not on file (Documents sheet)",IF(AND(AS746=2,Documents!$O$26&lt;&gt;"ON FILE"),"INVALID – menu checklist not on file (Documents sheet)",IF(AND(AS746=3,NOT(ISNUMBER(Flights!$AX$26))),"INVALID – enter carrying flight KUL departure (Flights AX)",IF(AND(AS746=3,OR(Flights!$AZ$26&gt;Flights!$AA$26,Flights!$AX$26&lt;Flights!$AA$26-3)),"INVALID – carrying flight (Flights AX) cannot arrive before this leg's STD, or is over 3 days early",IF(AG746&gt;AsOfUTC,"INVALID – completion time is in the future",IF(AND(ISNUMBER(S746),AG746&lt;S746),IF(H746="Physical uplift","INVALID – before uplift window (cannot confirm loading)","INVALID – before valid window"),IF(AG746&gt;Flights!$AA$26,"INVALID – completed after departure (cannot establish readiness)",IF(AND(H746="Preparation",AG746&gt;IF(ISNUMBER(Flights!$BA$26),MIN(Flights!$BA$26,Flights!$AA$26),Flights!$AA$26)),"INVALID – completed after loading / departure (cannot establish readiness)",IF(AND(H746="Physical uplift",AG746&gt;Q746),"INVALID – recorded after the loading flight departed",IF(AG746&gt;Q746,"COMPLETE – LATE","COMPLETE"))))))))))))))))))))))),IF(TRIM(U746)="Fail","FAIL – DISCREPANCY",IF(AND(TRIM(U746)&lt;&gt;"",TRIM(U746)&lt;&gt;"Not started",TRIM(U746)&lt;&gt;"In progress"),"INVALID – unrecognised status (use the list)",IF(AsOfUTC&gt;Q746,"OVERDUE",IF(N746="Clarification required","OPEN – CLARIFICATION","OPEN"))))))),"INVALID – error value in an input cell")</f>
        <v>OPEN</v>
      </c>
      <c r="AI746" s="61" t="n">
        <f aca="false">IF(OR(AH746="N/A – RULE",AH746="N/A – JUSTIFIED"),0,1)</f>
        <v>1</v>
      </c>
      <c r="AJ746" s="61" t="n">
        <f aca="false">IF(LEFT(AH746,8)="COMPLETE",1,0)</f>
        <v>0</v>
      </c>
      <c r="AK746" s="61" t="n">
        <f aca="false">IF(AND(AI746=1,AJ746=0,AsOfUTC&gt;Q746),1,0)</f>
        <v>0</v>
      </c>
      <c r="AL746" s="61" t="n">
        <f aca="false">IFERROR(IF(AND(AI746=1,OR(TRIM(U746)="Fail",AND(TRIM(AB746)&lt;&gt;"",TRIM(AB746)&lt;&gt;"Closed"),AND(ISNUMBER(AF746),AF746&lt;&gt;0,TRIM(U746)&lt;&gt;"Pass after CA"))),1,0),1)</f>
        <v>0</v>
      </c>
      <c r="AM746" s="61" t="n">
        <f aca="false">IF(LEFT(AH746,7)="INVALID",1,0)</f>
        <v>0</v>
      </c>
      <c r="AN746" s="61" t="n">
        <f aca="false">IF(AND(N746="Clarification required",AI746=1,AJ746=0),1,0)</f>
        <v>0</v>
      </c>
      <c r="AO746" s="61" t="str">
        <f aca="false">IF(AK746=1,SUM(AK$5:AK746),"")</f>
        <v/>
      </c>
      <c r="AP746" s="61" t="str">
        <f aca="false">IF(AL746=1,SUM(AL$5:AL746),"")</f>
        <v/>
      </c>
      <c r="AQ746" s="61" t="n">
        <v>0</v>
      </c>
      <c r="AR746" s="61" t="n">
        <v>0</v>
      </c>
      <c r="AS746" s="61" t="n">
        <v>0</v>
      </c>
      <c r="AT746" s="61" t="n">
        <v>0</v>
      </c>
      <c r="AU746" s="61" t="str">
        <f aca="false">SUBSTITUTE(SUBSTITUTE(SUBSTITUTE(SUBSTITUTE(SUBSTITUTE(SUBSTITUTE(SUBSTITUTE(SUBSTITUTE(SUBSTITUTE(SUBSTITUTE(SUBSTITUTE(SUBSTITUTE(SUBSTITUTE(LOWER(T746&amp;""),CHAR(160),"")," ",""),".",""),"-",""),"/",""),"?",""),"_",""),",",""),"[",""),"]",""),"(",""),")",""),"*","")</f>
        <v/>
      </c>
      <c r="AV746" s="61" t="str">
        <f aca="false">SUBSTITUTE(SUBSTITUTE(SUBSTITUTE(SUBSTITUTE(SUBSTITUTE(SUBSTITUTE(SUBSTITUTE(SUBSTITUTE(SUBSTITUTE(SUBSTITUTE(SUBSTITUTE(SUBSTITUTE(SUBSTITUTE(LOWER(V746&amp;""),CHAR(160),"")," ",""),".",""),"-",""),"/",""),"?",""),"_",""),",",""),"[",""),"]",""),"(",""),")",""),"*","")</f>
        <v/>
      </c>
      <c r="AW746" s="61" t="str">
        <f aca="false">SUBSTITUTE(SUBSTITUTE(SUBSTITUTE(SUBSTITUTE(SUBSTITUTE(SUBSTITUTE(SUBSTITUTE(SUBSTITUTE(SUBSTITUTE(SUBSTITUTE(SUBSTITUTE(SUBSTITUTE(SUBSTITUTE(LOWER(Z746&amp;""),CHAR(160),"")," ",""),".",""),"-",""),"/",""),"?",""),"_",""),",",""),"[",""),"]",""),"(",""),")",""),"*","")</f>
        <v/>
      </c>
      <c r="AX746" s="61" t="str">
        <f aca="false">SUBSTITUTE(SUBSTITUTE(SUBSTITUTE(SUBSTITUTE(SUBSTITUTE(SUBSTITUTE(SUBSTITUTE(SUBSTITUTE(SUBSTITUTE(SUBSTITUTE(SUBSTITUTE(SUBSTITUTE(SUBSTITUTE(LOWER(AE746&amp;""),CHAR(160),"")," ",""),".",""),"-",""),"/",""),"?",""),"_",""),",",""),"[",""),"]",""),"(",""),")",""),"*","")</f>
        <v/>
      </c>
      <c r="AY746" s="61" t="str">
        <f aca="false">SUBSTITUTE(SUBSTITUTE(SUBSTITUTE(SUBSTITUTE(SUBSTITUTE(SUBSTITUTE(SUBSTITUTE(SUBSTITUTE(SUBSTITUTE(SUBSTITUTE(SUBSTITUTE(SUBSTITUTE(SUBSTITUTE(LOWER(W746&amp;""),CHAR(160),"")," ",""),".",""),"-",""),"/",""),"?",""),"_",""),",",""),"[",""),"]",""),"(",""),")",""),"*","")</f>
        <v/>
      </c>
      <c r="AZ746" s="61" t="str">
        <f aca="false">SUBSTITUTE(SUBSTITUTE(SUBSTITUTE(SUBSTITUTE(SUBSTITUTE(SUBSTITUTE(SUBSTITUTE(SUBSTITUTE(SUBSTITUTE(SUBSTITUTE(SUBSTITUTE(SUBSTITUTE(SUBSTITUTE(LOWER(AC746&amp;""),CHAR(160),"")," ",""),".",""),"-",""),"/",""),"?",""),"_",""),",",""),"[",""),"]",""),"(",""),")",""),"*","")</f>
        <v/>
      </c>
      <c r="BA746" s="61" t="str">
        <f aca="false">SUBSTITUTE(SUBSTITUTE(SUBSTITUTE(SUBSTITUTE(SUBSTITUTE(SUBSTITUTE(SUBSTITUTE(SUBSTITUTE(SUBSTITUTE(SUBSTITUTE(SUBSTITUTE(SUBSTITUTE(SUBSTITUTE(LOWER(AA746&amp;""),CHAR(160),"")," ",""),".",""),"-",""),"/",""),"?",""),"_",""),",",""),"[",""),"]",""),"(",""),")",""),"*","")</f>
        <v/>
      </c>
      <c r="BB746" s="61" t="str">
        <f aca="false">IF(AND(TRIM(U746)="Pass",ISNUMBER(AF746)),IF(AF746&lt;&gt;0,"INVALID – qty variance: use Fail or Pass after CA",""),"")&amp;IF(AND(TRIM(U746)="Pass after CA",ISNUMBER(AF746)),IF(AF746&lt;&gt;0,"INVALID – after the corrective action the actual qty must equal expected (update Actual)",""),"")&amp;IF(AND(TRIM(U746)="Pass",TRIM(AB746)&lt;&gt;"",TRIM(AB746)&lt;&gt;"Closed"),"INVALID – corrective action not closed: use Fail, then Pass after CA","")&amp;IF(AND(TRIM(AA746)&lt;&gt;"",TRIM(AB746)=""),"INVALID – CA status missing for the recorded corrective action","")&amp;IF(AND(TRIM(U746)="Pass after CA",OR(OR(LEN(BA746)&lt;5,ISNUMBER(MATCH(BA746,L_Placeholder,0))),TRIM(AB746)&lt;&gt;"Closed")),"INVALID – corrective action not recorded/closed","")</f>
        <v/>
      </c>
    </row>
    <row r="747" customFormat="false" ht="39.75" hidden="false" customHeight="true" outlineLevel="0" collapsed="false">
      <c r="A747" s="57" t="s">
        <v>1459</v>
      </c>
      <c r="B747" s="57" t="s">
        <v>309</v>
      </c>
      <c r="C747" s="57" t="str">
        <f aca="false">Flights!$F$26</f>
        <v>MH0002</v>
      </c>
      <c r="D747" s="58" t="n">
        <f aca="false">Flights!$D$26</f>
        <v>46325</v>
      </c>
      <c r="E747" s="57" t="str">
        <f aca="false">Flights!$G$26&amp;"-"&amp;Flights!$H$26</f>
        <v>KUL-LHR</v>
      </c>
      <c r="F747" s="57" t="str">
        <f aca="false">Flights!$K$26</f>
        <v>BC</v>
      </c>
      <c r="G747" s="57" t="s">
        <v>437</v>
      </c>
      <c r="H747" s="57" t="s">
        <v>438</v>
      </c>
      <c r="I747" s="57" t="s">
        <v>425</v>
      </c>
      <c r="J747" s="57" t="s">
        <v>633</v>
      </c>
      <c r="K747" s="67" t="s">
        <v>427</v>
      </c>
      <c r="L747" s="67" t="s">
        <v>732</v>
      </c>
      <c r="M747" s="67" t="s">
        <v>429</v>
      </c>
      <c r="N747" s="67" t="s">
        <v>361</v>
      </c>
      <c r="O747" s="67"/>
      <c r="P747" s="57" t="s">
        <v>184</v>
      </c>
      <c r="Q747" s="59" t="n">
        <f aca="false">ROUND((Flights!$AF$26)*1440,0)/1440</f>
        <v>46325.6388888889</v>
      </c>
      <c r="R747" s="59" t="n">
        <f aca="false">Q747+(IF(AND(INDEX(TZ_DSTS,MATCH(P747,TZ_STN,0))&lt;&gt;"",Q747&gt;=INDEX(TZ_DSTS,MATCH(P747,TZ_STN,0)),Q747&lt;INDEX(TZ_DSTE,MATCH(P747,TZ_STN,0))),INDEX(TZ_DST,MATCH(P747,TZ_STN,0)),INDEX(TZ_STD,MATCH(P747,TZ_STN,0))))/24</f>
        <v>46325.9722222222</v>
      </c>
      <c r="S747" s="59" t="n">
        <f aca="false">IF(ISNUMBER(Flights!$AZ$26),MAX(Q747-UpliftWindowH/24,Flights!$AZ$26),Q747-UpliftWindowH/24)</f>
        <v>46325.3888888889</v>
      </c>
      <c r="T747" s="60"/>
      <c r="U747" s="60"/>
      <c r="V747" s="60"/>
      <c r="W747" s="61"/>
      <c r="X747" s="60"/>
      <c r="Y747" s="60"/>
      <c r="Z747" s="60"/>
      <c r="AA747" s="60"/>
      <c r="AB747" s="60"/>
      <c r="AC747" s="60"/>
      <c r="AD747" s="66"/>
      <c r="AE747" s="60"/>
      <c r="AF747" s="61" t="str">
        <f aca="false">IF(AND(ISNUMBER(X747),ISNUMBER(Y747)),Y747-X747,"")</f>
        <v/>
      </c>
      <c r="AG747" s="62" t="str">
        <f aca="false">IF(ISNUMBER(AD747),AD747-(IF(AND(INDEX(TZ_DSTS,MATCH(P747,TZ_STN,0))&lt;&gt;"",(AD747-INDEX(TZ_STD,MATCH(P747,TZ_STN,0))/24)&gt;=INDEX(TZ_DSTS,MATCH(P747,TZ_STN,0)),(AD747-INDEX(TZ_STD,MATCH(P747,TZ_STN,0))/24)&lt;INDEX(TZ_DSTE,MATCH(P747,TZ_STN,0))),INDEX(TZ_DST,MATCH(P747,TZ_STN,0)),INDEX(TZ_STD,MATCH(P747,TZ_STN,0))))/24,"")</f>
        <v/>
      </c>
      <c r="AH747" s="65" t="str">
        <f aca="false">IFERROR(IF(N747="N/A – rule","N/A – RULE",IF(TRIM(U747)="N/A",IF(AT747=0,"INVALID – N/A not permitted for this check",IF(AND(TRIM(AB747)&lt;&gt;"",TRIM(AB747)&lt;&gt;"Closed"),"INVALID – corrective action still open",IF(AND(NOT(OR(LEN(AZ747)&lt;15,ISNUMBER(MATCH(AZ747,L_Placeholder,0)))),NOT(OR(LEN(AU747)&lt;2,ISNUMBER(MATCH(AU747,L_Placeholder,0)))),NOT(OR(LEN(AX747)&lt;2,ISNUMBER(MATCH(AX747,L_Placeholder,0)))),TRIM(AE747)&lt;&gt;TRIM(T747)),"N/A – JUSTIFIED","INVALID – N/A needs a real justification (15+ chars), PIC and a different verifier"))),IF(OR(TRIM(U747)="Pass",TRIM(U747)="Pass after CA"),IF(NOT(ISNUMBER(AD747)),"INVALID – completion time missing",IF(OR(LEN(AU747)&lt;2,ISNUMBER(MATCH(AU747,L_Placeholder,0))),"INVALID – PIC missing",IF(OR(LEN(AV747)&lt;2,ISNUMBER(MATCH(AV747,L_Placeholder,0))),"INVALID – result / assessment missing",IF(OR(OR(LEN(AW747)&lt;3,ISNUMBER(MATCH(AW747,L_Placeholder,0))),SUMPRODUCT(--ISNUMBER(SEARCH(L_EvidencePhrase,AW747)))&gt;0),"INVALID – evidence missing, placeholder or not yet on file",IF(OR(LEN(AX747)&lt;2,ISNUMBER(MATCH(AX747,L_Placeholder,0))),"INVALID – verifier missing",IF(AX747=AU747,"INVALID – verifier must be someone other than the PIC",IF(AND(TRIM(U747)="Pass",SUMPRODUCT(--ISNUMBER(SEARCH(L_ResultBad,AV747)))&gt;0),"INVALID – result describes a problem: use Fail, then Pass after CA",IF(AND(AQ747=1,OR(LEN(AY747)&lt;3,ISNUMBER(MATCH(AY747,L_Placeholder,0)))),"INVALID – batch ID missing or placeholder",IF(AND(AR747=1,OR(NOT(ISNUMBER(X747)),NOT(ISNUMBER(Y747)))),"INVALID – expected/actual qty missing",IF(AND(AR747=1,OR(X747&lt;=0,Y747&lt;0)),"INVALID – expected qty must be above 0 and actual not negative",IF(AH731="N/A – JUSTIFIED","INVALID – preparation row F22-T12-20 is N/A",IF(AND(AR747=1,ISNUMBER(X731),X747&lt;&gt;X731),"INVALID – expected qty differs from preparation check F22-T12-20",IF(BB747&lt;&gt;"",BB747,IF(AND(AS747=1,Documents!$J$26&lt;&gt;"ON FILE"),"INVALID – GLD not on file (Documents sheet)",IF(AND(AS747=2,Documents!$O$26&lt;&gt;"ON FILE"),"INVALID – menu checklist not on file (Documents sheet)",IF(AND(AS747=3,NOT(ISNUMBER(Flights!$AX$26))),"INVALID – enter carrying flight KUL departure (Flights AX)",IF(AND(AS747=3,OR(Flights!$AZ$26&gt;Flights!$AA$26,Flights!$AX$26&lt;Flights!$AA$26-3)),"INVALID – carrying flight (Flights AX) cannot arrive before this leg's STD, or is over 3 days early",IF(AG747&gt;AsOfUTC,"INVALID – completion time is in the future",IF(AND(ISNUMBER(S747),AG747&lt;S747),IF(H747="Physical uplift","INVALID – before uplift window (cannot confirm loading)","INVALID – before valid window"),IF(AG747&gt;Flights!$AA$26,"INVALID – completed after departure (cannot establish readiness)",IF(AND(H747="Preparation",AG747&gt;IF(ISNUMBER(Flights!$BA$26),MIN(Flights!$BA$26,Flights!$AA$26),Flights!$AA$26)),"INVALID – completed after loading / departure (cannot establish readiness)",IF(AND(H747="Physical uplift",AG747&gt;Q747),"INVALID – recorded after the loading flight departed",IF(AG747&gt;Q747,"COMPLETE – LATE","COMPLETE"))))))))))))))))))))))),IF(TRIM(U747)="Fail","FAIL – DISCREPANCY",IF(AND(TRIM(U747)&lt;&gt;"",TRIM(U747)&lt;&gt;"Not started",TRIM(U747)&lt;&gt;"In progress"),"INVALID – unrecognised status (use the list)",IF(AsOfUTC&gt;Q747,"OVERDUE",IF(N747="Clarification required","OPEN – CLARIFICATION","OPEN"))))))),"INVALID – error value in an input cell")</f>
        <v>OPEN</v>
      </c>
      <c r="AI747" s="61" t="n">
        <f aca="false">IF(OR(AH747="N/A – RULE",AH747="N/A – JUSTIFIED"),0,1)</f>
        <v>1</v>
      </c>
      <c r="AJ747" s="61" t="n">
        <f aca="false">IF(LEFT(AH747,8)="COMPLETE",1,0)</f>
        <v>0</v>
      </c>
      <c r="AK747" s="61" t="n">
        <f aca="false">IF(AND(AI747=1,AJ747=0,AsOfUTC&gt;Q747),1,0)</f>
        <v>0</v>
      </c>
      <c r="AL747" s="61" t="n">
        <f aca="false">IFERROR(IF(AND(AI747=1,OR(TRIM(U747)="Fail",AND(TRIM(AB747)&lt;&gt;"",TRIM(AB747)&lt;&gt;"Closed"),AND(ISNUMBER(AF747),AF747&lt;&gt;0,TRIM(U747)&lt;&gt;"Pass after CA"))),1,0),1)</f>
        <v>0</v>
      </c>
      <c r="AM747" s="61" t="n">
        <f aca="false">IF(LEFT(AH747,7)="INVALID",1,0)</f>
        <v>0</v>
      </c>
      <c r="AN747" s="61" t="n">
        <f aca="false">IF(AND(N747="Clarification required",AI747=1,AJ747=0),1,0)</f>
        <v>0</v>
      </c>
      <c r="AO747" s="61" t="str">
        <f aca="false">IF(AK747=1,SUM(AK$5:AK747),"")</f>
        <v/>
      </c>
      <c r="AP747" s="61" t="str">
        <f aca="false">IF(AL747=1,SUM(AL$5:AL747),"")</f>
        <v/>
      </c>
      <c r="AQ747" s="61" t="n">
        <v>0</v>
      </c>
      <c r="AR747" s="61" t="n">
        <v>0</v>
      </c>
      <c r="AS747" s="61" t="n">
        <v>0</v>
      </c>
      <c r="AT747" s="61" t="n">
        <v>0</v>
      </c>
      <c r="AU747" s="61" t="str">
        <f aca="false">SUBSTITUTE(SUBSTITUTE(SUBSTITUTE(SUBSTITUTE(SUBSTITUTE(SUBSTITUTE(SUBSTITUTE(SUBSTITUTE(SUBSTITUTE(SUBSTITUTE(SUBSTITUTE(SUBSTITUTE(SUBSTITUTE(LOWER(T747&amp;""),CHAR(160),"")," ",""),".",""),"-",""),"/",""),"?",""),"_",""),",",""),"[",""),"]",""),"(",""),")",""),"*","")</f>
        <v/>
      </c>
      <c r="AV747" s="61" t="str">
        <f aca="false">SUBSTITUTE(SUBSTITUTE(SUBSTITUTE(SUBSTITUTE(SUBSTITUTE(SUBSTITUTE(SUBSTITUTE(SUBSTITUTE(SUBSTITUTE(SUBSTITUTE(SUBSTITUTE(SUBSTITUTE(SUBSTITUTE(LOWER(V747&amp;""),CHAR(160),"")," ",""),".",""),"-",""),"/",""),"?",""),"_",""),",",""),"[",""),"]",""),"(",""),")",""),"*","")</f>
        <v/>
      </c>
      <c r="AW747" s="61" t="str">
        <f aca="false">SUBSTITUTE(SUBSTITUTE(SUBSTITUTE(SUBSTITUTE(SUBSTITUTE(SUBSTITUTE(SUBSTITUTE(SUBSTITUTE(SUBSTITUTE(SUBSTITUTE(SUBSTITUTE(SUBSTITUTE(SUBSTITUTE(LOWER(Z747&amp;""),CHAR(160),"")," ",""),".",""),"-",""),"/",""),"?",""),"_",""),",",""),"[",""),"]",""),"(",""),")",""),"*","")</f>
        <v/>
      </c>
      <c r="AX747" s="61" t="str">
        <f aca="false">SUBSTITUTE(SUBSTITUTE(SUBSTITUTE(SUBSTITUTE(SUBSTITUTE(SUBSTITUTE(SUBSTITUTE(SUBSTITUTE(SUBSTITUTE(SUBSTITUTE(SUBSTITUTE(SUBSTITUTE(SUBSTITUTE(LOWER(AE747&amp;""),CHAR(160),"")," ",""),".",""),"-",""),"/",""),"?",""),"_",""),",",""),"[",""),"]",""),"(",""),")",""),"*","")</f>
        <v/>
      </c>
      <c r="AY747" s="61" t="str">
        <f aca="false">SUBSTITUTE(SUBSTITUTE(SUBSTITUTE(SUBSTITUTE(SUBSTITUTE(SUBSTITUTE(SUBSTITUTE(SUBSTITUTE(SUBSTITUTE(SUBSTITUTE(SUBSTITUTE(SUBSTITUTE(SUBSTITUTE(LOWER(W747&amp;""),CHAR(160),"")," ",""),".",""),"-",""),"/",""),"?",""),"_",""),",",""),"[",""),"]",""),"(",""),")",""),"*","")</f>
        <v/>
      </c>
      <c r="AZ747" s="61" t="str">
        <f aca="false">SUBSTITUTE(SUBSTITUTE(SUBSTITUTE(SUBSTITUTE(SUBSTITUTE(SUBSTITUTE(SUBSTITUTE(SUBSTITUTE(SUBSTITUTE(SUBSTITUTE(SUBSTITUTE(SUBSTITUTE(SUBSTITUTE(LOWER(AC747&amp;""),CHAR(160),"")," ",""),".",""),"-",""),"/",""),"?",""),"_",""),",",""),"[",""),"]",""),"(",""),")",""),"*","")</f>
        <v/>
      </c>
      <c r="BA747" s="61" t="str">
        <f aca="false">SUBSTITUTE(SUBSTITUTE(SUBSTITUTE(SUBSTITUTE(SUBSTITUTE(SUBSTITUTE(SUBSTITUTE(SUBSTITUTE(SUBSTITUTE(SUBSTITUTE(SUBSTITUTE(SUBSTITUTE(SUBSTITUTE(LOWER(AA747&amp;""),CHAR(160),"")," ",""),".",""),"-",""),"/",""),"?",""),"_",""),",",""),"[",""),"]",""),"(",""),")",""),"*","")</f>
        <v/>
      </c>
      <c r="BB747" s="61" t="str">
        <f aca="false">IF(AND(TRIM(U747)="Pass",ISNUMBER(AF747)),IF(AF747&lt;&gt;0,"INVALID – qty variance: use Fail or Pass after CA",""),"")&amp;IF(AND(TRIM(U747)="Pass after CA",ISNUMBER(AF747)),IF(AF747&lt;&gt;0,"INVALID – after the corrective action the actual qty must equal expected (update Actual)",""),"")&amp;IF(AND(TRIM(U747)="Pass",TRIM(AB747)&lt;&gt;"",TRIM(AB747)&lt;&gt;"Closed"),"INVALID – corrective action not closed: use Fail, then Pass after CA","")&amp;IF(AND(TRIM(AA747)&lt;&gt;"",TRIM(AB747)=""),"INVALID – CA status missing for the recorded corrective action","")&amp;IF(AND(TRIM(U747)="Pass after CA",OR(OR(LEN(BA747)&lt;5,ISNUMBER(MATCH(BA747,L_Placeholder,0))),TRIM(AB747)&lt;&gt;"Closed")),"INVALID – corrective action not recorded/closed","")</f>
        <v/>
      </c>
    </row>
    <row r="748" customFormat="false" ht="39.75" hidden="false" customHeight="true" outlineLevel="0" collapsed="false">
      <c r="A748" s="57" t="s">
        <v>1460</v>
      </c>
      <c r="B748" s="57" t="s">
        <v>309</v>
      </c>
      <c r="C748" s="57" t="str">
        <f aca="false">Flights!$F$26</f>
        <v>MH0002</v>
      </c>
      <c r="D748" s="58" t="n">
        <f aca="false">Flights!$D$26</f>
        <v>46325</v>
      </c>
      <c r="E748" s="57" t="str">
        <f aca="false">Flights!$G$26&amp;"-"&amp;Flights!$H$26</f>
        <v>KUL-LHR</v>
      </c>
      <c r="F748" s="57" t="str">
        <f aca="false">Flights!$K$26</f>
        <v>BC</v>
      </c>
      <c r="G748" s="57" t="s">
        <v>437</v>
      </c>
      <c r="H748" s="57" t="s">
        <v>438</v>
      </c>
      <c r="I748" s="57" t="s">
        <v>607</v>
      </c>
      <c r="J748" s="57" t="s">
        <v>635</v>
      </c>
      <c r="K748" s="67" t="s">
        <v>479</v>
      </c>
      <c r="L748" s="67" t="s">
        <v>734</v>
      </c>
      <c r="M748" s="67" t="s">
        <v>184</v>
      </c>
      <c r="N748" s="67" t="s">
        <v>361</v>
      </c>
      <c r="O748" s="67" t="s">
        <v>610</v>
      </c>
      <c r="P748" s="57" t="s">
        <v>184</v>
      </c>
      <c r="Q748" s="59" t="n">
        <f aca="false">ROUND((Flights!$AF$26)*1440,0)/1440</f>
        <v>46325.6388888889</v>
      </c>
      <c r="R748" s="59" t="n">
        <f aca="false">Q748+(IF(AND(INDEX(TZ_DSTS,MATCH(P748,TZ_STN,0))&lt;&gt;"",Q748&gt;=INDEX(TZ_DSTS,MATCH(P748,TZ_STN,0)),Q748&lt;INDEX(TZ_DSTE,MATCH(P748,TZ_STN,0))),INDEX(TZ_DST,MATCH(P748,TZ_STN,0)),INDEX(TZ_STD,MATCH(P748,TZ_STN,0))))/24</f>
        <v>46325.9722222222</v>
      </c>
      <c r="S748" s="59" t="n">
        <f aca="false">IF(ISNUMBER(Flights!$AZ$26),MAX(Q748-UpliftWindowH/24,Flights!$AZ$26),Q748-UpliftWindowH/24)</f>
        <v>46325.3888888889</v>
      </c>
      <c r="T748" s="60"/>
      <c r="U748" s="60"/>
      <c r="V748" s="60"/>
      <c r="W748" s="61"/>
      <c r="X748" s="60"/>
      <c r="Y748" s="60"/>
      <c r="Z748" s="60"/>
      <c r="AA748" s="60"/>
      <c r="AB748" s="60"/>
      <c r="AC748" s="60"/>
      <c r="AD748" s="66"/>
      <c r="AE748" s="60"/>
      <c r="AF748" s="61" t="str">
        <f aca="false">IF(AND(ISNUMBER(X748),ISNUMBER(Y748)),Y748-X748,"")</f>
        <v/>
      </c>
      <c r="AG748" s="62" t="str">
        <f aca="false">IF(ISNUMBER(AD748),AD748-(IF(AND(INDEX(TZ_DSTS,MATCH(P748,TZ_STN,0))&lt;&gt;"",(AD748-INDEX(TZ_STD,MATCH(P748,TZ_STN,0))/24)&gt;=INDEX(TZ_DSTS,MATCH(P748,TZ_STN,0)),(AD748-INDEX(TZ_STD,MATCH(P748,TZ_STN,0))/24)&lt;INDEX(TZ_DSTE,MATCH(P748,TZ_STN,0))),INDEX(TZ_DST,MATCH(P748,TZ_STN,0)),INDEX(TZ_STD,MATCH(P748,TZ_STN,0))))/24,"")</f>
        <v/>
      </c>
      <c r="AH748" s="65" t="str">
        <f aca="false">IFERROR(IF(N748="N/A – rule","N/A – RULE",IF(TRIM(U748)="N/A",IF(AT748=0,"INVALID – N/A not permitted for this check",IF(AND(TRIM(AB748)&lt;&gt;"",TRIM(AB748)&lt;&gt;"Closed"),"INVALID – corrective action still open",IF(AND(NOT(OR(LEN(AZ748)&lt;15,ISNUMBER(MATCH(AZ748,L_Placeholder,0)))),NOT(OR(LEN(AU748)&lt;2,ISNUMBER(MATCH(AU748,L_Placeholder,0)))),NOT(OR(LEN(AX748)&lt;2,ISNUMBER(MATCH(AX748,L_Placeholder,0)))),TRIM(AE748)&lt;&gt;TRIM(T748)),"N/A – JUSTIFIED","INVALID – N/A needs a real justification (15+ chars), PIC and a different verifier"))),IF(OR(TRIM(U748)="Pass",TRIM(U748)="Pass after CA"),IF(NOT(ISNUMBER(AD748)),"INVALID – completion time missing",IF(OR(LEN(AU748)&lt;2,ISNUMBER(MATCH(AU748,L_Placeholder,0))),"INVALID – PIC missing",IF(OR(LEN(AV748)&lt;2,ISNUMBER(MATCH(AV748,L_Placeholder,0))),"INVALID – result / assessment missing",IF(OR(OR(LEN(AW748)&lt;3,ISNUMBER(MATCH(AW748,L_Placeholder,0))),SUMPRODUCT(--ISNUMBER(SEARCH(L_EvidencePhrase,AW748)))&gt;0),"INVALID – evidence missing, placeholder or not yet on file",IF(OR(LEN(AX748)&lt;2,ISNUMBER(MATCH(AX748,L_Placeholder,0))),"INVALID – verifier missing",IF(AX748=AU748,"INVALID – verifier must be someone other than the PIC",IF(AND(TRIM(U748)="Pass",SUMPRODUCT(--ISNUMBER(SEARCH(L_ResultBad,AV748)))&gt;0),"INVALID – result describes a problem: use Fail, then Pass after CA",IF(AND(AQ748=1,OR(LEN(AY748)&lt;3,ISNUMBER(MATCH(AY748,L_Placeholder,0)))),"INVALID – batch ID missing or placeholder",IF(AND(AR748=1,OR(NOT(ISNUMBER(X748)),NOT(ISNUMBER(Y748)))),"INVALID – expected/actual qty missing",IF(AND(AR748=1,OR(X748&lt;=0,Y748&lt;0)),"INVALID – expected qty must be above 0 and actual not negative",IF(AH732="N/A – JUSTIFIED","INVALID – preparation row F22-T12-21 is N/A",IF(AND(AR748=1,ISNUMBER(X732),X748&lt;&gt;X732),"INVALID – expected qty differs from preparation check F22-T12-21",IF(BB748&lt;&gt;"",BB748,IF(AND(AS748=1,Documents!$J$26&lt;&gt;"ON FILE"),"INVALID – GLD not on file (Documents sheet)",IF(AND(AS748=2,Documents!$O$26&lt;&gt;"ON FILE"),"INVALID – menu checklist not on file (Documents sheet)",IF(AND(AS748=3,NOT(ISNUMBER(Flights!$AX$26))),"INVALID – enter carrying flight KUL departure (Flights AX)",IF(AND(AS748=3,OR(Flights!$AZ$26&gt;Flights!$AA$26,Flights!$AX$26&lt;Flights!$AA$26-3)),"INVALID – carrying flight (Flights AX) cannot arrive before this leg's STD, or is over 3 days early",IF(AG748&gt;AsOfUTC,"INVALID – completion time is in the future",IF(AND(ISNUMBER(S748),AG748&lt;S748),IF(H748="Physical uplift","INVALID – before uplift window (cannot confirm loading)","INVALID – before valid window"),IF(AG748&gt;Flights!$AA$26,"INVALID – completed after departure (cannot establish readiness)",IF(AND(H748="Preparation",AG748&gt;IF(ISNUMBER(Flights!$BA$26),MIN(Flights!$BA$26,Flights!$AA$26),Flights!$AA$26)),"INVALID – completed after loading / departure (cannot establish readiness)",IF(AND(H748="Physical uplift",AG748&gt;Q748),"INVALID – recorded after the loading flight departed",IF(AG748&gt;Q748,"COMPLETE – LATE","COMPLETE"))))))))))))))))))))))),IF(TRIM(U748)="Fail","FAIL – DISCREPANCY",IF(AND(TRIM(U748)&lt;&gt;"",TRIM(U748)&lt;&gt;"Not started",TRIM(U748)&lt;&gt;"In progress"),"INVALID – unrecognised status (use the list)",IF(AsOfUTC&gt;Q748,"OVERDUE",IF(N748="Clarification required","OPEN – CLARIFICATION","OPEN"))))))),"INVALID – error value in an input cell")</f>
        <v>OPEN</v>
      </c>
      <c r="AI748" s="61" t="n">
        <f aca="false">IF(OR(AH748="N/A – RULE",AH748="N/A – JUSTIFIED"),0,1)</f>
        <v>1</v>
      </c>
      <c r="AJ748" s="61" t="n">
        <f aca="false">IF(LEFT(AH748,8)="COMPLETE",1,0)</f>
        <v>0</v>
      </c>
      <c r="AK748" s="61" t="n">
        <f aca="false">IF(AND(AI748=1,AJ748=0,AsOfUTC&gt;Q748),1,0)</f>
        <v>0</v>
      </c>
      <c r="AL748" s="61" t="n">
        <f aca="false">IFERROR(IF(AND(AI748=1,OR(TRIM(U748)="Fail",AND(TRIM(AB748)&lt;&gt;"",TRIM(AB748)&lt;&gt;"Closed"),AND(ISNUMBER(AF748),AF748&lt;&gt;0,TRIM(U748)&lt;&gt;"Pass after CA"))),1,0),1)</f>
        <v>0</v>
      </c>
      <c r="AM748" s="61" t="n">
        <f aca="false">IF(LEFT(AH748,7)="INVALID",1,0)</f>
        <v>0</v>
      </c>
      <c r="AN748" s="61" t="n">
        <f aca="false">IF(AND(N748="Clarification required",AI748=1,AJ748=0),1,0)</f>
        <v>0</v>
      </c>
      <c r="AO748" s="61" t="str">
        <f aca="false">IF(AK748=1,SUM(AK$5:AK748),"")</f>
        <v/>
      </c>
      <c r="AP748" s="61" t="str">
        <f aca="false">IF(AL748=1,SUM(AL$5:AL748),"")</f>
        <v/>
      </c>
      <c r="AQ748" s="61" t="n">
        <v>0</v>
      </c>
      <c r="AR748" s="61" t="n">
        <v>0</v>
      </c>
      <c r="AS748" s="61" t="n">
        <v>0</v>
      </c>
      <c r="AT748" s="61" t="n">
        <v>0</v>
      </c>
      <c r="AU748" s="61" t="str">
        <f aca="false">SUBSTITUTE(SUBSTITUTE(SUBSTITUTE(SUBSTITUTE(SUBSTITUTE(SUBSTITUTE(SUBSTITUTE(SUBSTITUTE(SUBSTITUTE(SUBSTITUTE(SUBSTITUTE(SUBSTITUTE(SUBSTITUTE(LOWER(T748&amp;""),CHAR(160),"")," ",""),".",""),"-",""),"/",""),"?",""),"_",""),",",""),"[",""),"]",""),"(",""),")",""),"*","")</f>
        <v/>
      </c>
      <c r="AV748" s="61" t="str">
        <f aca="false">SUBSTITUTE(SUBSTITUTE(SUBSTITUTE(SUBSTITUTE(SUBSTITUTE(SUBSTITUTE(SUBSTITUTE(SUBSTITUTE(SUBSTITUTE(SUBSTITUTE(SUBSTITUTE(SUBSTITUTE(SUBSTITUTE(LOWER(V748&amp;""),CHAR(160),"")," ",""),".",""),"-",""),"/",""),"?",""),"_",""),",",""),"[",""),"]",""),"(",""),")",""),"*","")</f>
        <v/>
      </c>
      <c r="AW748" s="61" t="str">
        <f aca="false">SUBSTITUTE(SUBSTITUTE(SUBSTITUTE(SUBSTITUTE(SUBSTITUTE(SUBSTITUTE(SUBSTITUTE(SUBSTITUTE(SUBSTITUTE(SUBSTITUTE(SUBSTITUTE(SUBSTITUTE(SUBSTITUTE(LOWER(Z748&amp;""),CHAR(160),"")," ",""),".",""),"-",""),"/",""),"?",""),"_",""),",",""),"[",""),"]",""),"(",""),")",""),"*","")</f>
        <v/>
      </c>
      <c r="AX748" s="61" t="str">
        <f aca="false">SUBSTITUTE(SUBSTITUTE(SUBSTITUTE(SUBSTITUTE(SUBSTITUTE(SUBSTITUTE(SUBSTITUTE(SUBSTITUTE(SUBSTITUTE(SUBSTITUTE(SUBSTITUTE(SUBSTITUTE(SUBSTITUTE(LOWER(AE748&amp;""),CHAR(160),"")," ",""),".",""),"-",""),"/",""),"?",""),"_",""),",",""),"[",""),"]",""),"(",""),")",""),"*","")</f>
        <v/>
      </c>
      <c r="AY748" s="61" t="str">
        <f aca="false">SUBSTITUTE(SUBSTITUTE(SUBSTITUTE(SUBSTITUTE(SUBSTITUTE(SUBSTITUTE(SUBSTITUTE(SUBSTITUTE(SUBSTITUTE(SUBSTITUTE(SUBSTITUTE(SUBSTITUTE(SUBSTITUTE(LOWER(W748&amp;""),CHAR(160),"")," ",""),".",""),"-",""),"/",""),"?",""),"_",""),",",""),"[",""),"]",""),"(",""),")",""),"*","")</f>
        <v/>
      </c>
      <c r="AZ748" s="61" t="str">
        <f aca="false">SUBSTITUTE(SUBSTITUTE(SUBSTITUTE(SUBSTITUTE(SUBSTITUTE(SUBSTITUTE(SUBSTITUTE(SUBSTITUTE(SUBSTITUTE(SUBSTITUTE(SUBSTITUTE(SUBSTITUTE(SUBSTITUTE(LOWER(AC748&amp;""),CHAR(160),"")," ",""),".",""),"-",""),"/",""),"?",""),"_",""),",",""),"[",""),"]",""),"(",""),")",""),"*","")</f>
        <v/>
      </c>
      <c r="BA748" s="61" t="str">
        <f aca="false">SUBSTITUTE(SUBSTITUTE(SUBSTITUTE(SUBSTITUTE(SUBSTITUTE(SUBSTITUTE(SUBSTITUTE(SUBSTITUTE(SUBSTITUTE(SUBSTITUTE(SUBSTITUTE(SUBSTITUTE(SUBSTITUTE(LOWER(AA748&amp;""),CHAR(160),"")," ",""),".",""),"-",""),"/",""),"?",""),"_",""),",",""),"[",""),"]",""),"(",""),")",""),"*","")</f>
        <v/>
      </c>
      <c r="BB748" s="61" t="str">
        <f aca="false">IF(AND(TRIM(U748)="Pass",ISNUMBER(AF748)),IF(AF748&lt;&gt;0,"INVALID – qty variance: use Fail or Pass after CA",""),"")&amp;IF(AND(TRIM(U748)="Pass after CA",ISNUMBER(AF748)),IF(AF748&lt;&gt;0,"INVALID – after the corrective action the actual qty must equal expected (update Actual)",""),"")&amp;IF(AND(TRIM(U748)="Pass",TRIM(AB748)&lt;&gt;"",TRIM(AB748)&lt;&gt;"Closed"),"INVALID – corrective action not closed: use Fail, then Pass after CA","")&amp;IF(AND(TRIM(AA748)&lt;&gt;"",TRIM(AB748)=""),"INVALID – CA status missing for the recorded corrective action","")&amp;IF(AND(TRIM(U748)="Pass after CA",OR(OR(LEN(BA748)&lt;5,ISNUMBER(MATCH(BA748,L_Placeholder,0))),TRIM(AB748)&lt;&gt;"Closed")),"INVALID – corrective action not recorded/closed","")</f>
        <v/>
      </c>
    </row>
  </sheetData>
  <sheetProtection sheet="true" formatCells="false" formatColumns="false" formatRows="false" autoFilter="false"/>
  <autoFilter ref="A4:AS748"/>
  <mergeCells count="1">
    <mergeCell ref="D2:J2"/>
  </mergeCells>
  <conditionalFormatting sqref="AH5:AH748">
    <cfRule type="expression" priority="2" aboveAverage="0" equalAverage="0" bottom="0" percent="0" rank="0" text="" dxfId="23">
      <formula>LEFT(AH5,8)="COMPLETE"</formula>
    </cfRule>
    <cfRule type="expression" priority="3" aboveAverage="0" equalAverage="0" bottom="0" percent="0" rank="0" text="" dxfId="24">
      <formula>OR(LEFT(AH5,7)="INVALID",AH5="OVERDUE",LEFT(AH5,4)="FAIL")</formula>
    </cfRule>
    <cfRule type="expression" priority="4" aboveAverage="0" equalAverage="0" bottom="0" percent="0" rank="0" text="" dxfId="17">
      <formula>LEFT(AH5,4)="OPEN"</formula>
    </cfRule>
    <cfRule type="expression" priority="5" aboveAverage="0" equalAverage="0" bottom="0" percent="0" rank="0" text="" dxfId="25">
      <formula>LEFT(AH5,3)="N/A"</formula>
    </cfRule>
  </conditionalFormatting>
  <conditionalFormatting sqref="A5:S748">
    <cfRule type="expression" priority="6" aboveAverage="0" equalAverage="0" bottom="0" percent="0" rank="0" text="" dxfId="26">
      <formula>$AH5="N/A – RULE"</formula>
    </cfRule>
  </conditionalFormatting>
  <conditionalFormatting sqref="N5:N748">
    <cfRule type="cellIs" priority="7" operator="equal" aboveAverage="0" equalAverage="0" bottom="0" percent="0" rank="0" text="" dxfId="0">
      <formula>"Clarification required"</formula>
    </cfRule>
  </conditionalFormatting>
  <dataValidations count="4">
    <dataValidation allowBlank="true" errorStyle="stop" operator="between" prompt="Pass needs completion time, evidence and verifier. N/A needs justification and verifier." promptTitle="Status" showDropDown="false" showErrorMessage="true" showInputMessage="true" sqref="U5:U748" type="list">
      <formula1>L_Status</formula1>
      <formula2>0</formula2>
    </dataValidation>
    <dataValidation allowBlank="true" error="Choose Open or Closed from the list." errorStyle="stop" errorTitle="CA status" operator="between" showDropDown="false" showErrorMessage="true" showInputMessage="false" sqref="AB5:AB748" type="list">
      <formula1>L_CA</formula1>
      <formula2>0</formula2>
    </dataValidation>
    <dataValidation allowBlank="true" error="Enter a date-time between Jul and Dec 2026." errorStyle="stop" errorTitle="Date-time required" operator="between" prompt="Local time at the check station (column P), e.g. 01/10/2026 14:30." promptTitle="Completion time" showDropDown="false" showErrorMessage="true" showInputMessage="true" sqref="AD5:AD748" type="decimal">
      <formula1>46204</formula1>
      <formula2>46419</formula2>
    </dataValidation>
    <dataValidation allowBlank="true" error="Quantity must be a number &gt;= 0." errorStyle="stop" operator="greaterThanOrEqual" showDropDown="false" showErrorMessage="true" showInputMessage="false" sqref="X5:Y748" type="decimal">
      <formula1>0</formula1>
      <formula2>0</formula2>
    </dataValidation>
  </dataValidations>
  <printOptions headings="false" gridLines="false" gridLinesSet="true" horizontalCentered="false" verticalCentered="false"/>
  <pageMargins left="0.3" right="0.3" top="1" bottom="1" header="0.511811023622047" footer="0.5"/>
  <pageSetup paperSize="9" scale="100" fitToWidth="6"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9"/>
    <col collapsed="false" customWidth="true" hidden="false" outlineLevel="0" max="3" min="3" style="0" width="10"/>
    <col collapsed="false" customWidth="true" hidden="false" outlineLevel="0" max="5" min="4" style="0" width="9"/>
    <col collapsed="false" customWidth="true" hidden="false" outlineLevel="0" max="6" min="6" style="0" width="16"/>
    <col collapsed="false" customWidth="true" hidden="false" outlineLevel="0" max="7" min="7" style="0" width="10"/>
    <col collapsed="false" customWidth="true" hidden="false" outlineLevel="0" max="8" min="8" style="0" width="11"/>
    <col collapsed="false" customWidth="true" hidden="false" outlineLevel="0" max="9" min="9" style="0" width="34"/>
    <col collapsed="false" customWidth="true" hidden="false" outlineLevel="0" max="10" min="10" style="0" width="14"/>
    <col collapsed="false" customWidth="true" hidden="false" outlineLevel="0" max="11" min="11" style="0" width="16"/>
    <col collapsed="false" customWidth="true" hidden="false" outlineLevel="0" max="12" min="12" style="0" width="10"/>
    <col collapsed="false" customWidth="true" hidden="false" outlineLevel="0" max="13" min="13" style="0" width="11"/>
    <col collapsed="false" customWidth="true" hidden="false" outlineLevel="0" max="14" min="14" style="0" width="34"/>
    <col collapsed="false" customWidth="true" hidden="false" outlineLevel="0" max="15" min="15" style="0" width="14"/>
    <col collapsed="false" customWidth="true" hidden="false" outlineLevel="0" max="16" min="16" style="0" width="10"/>
    <col collapsed="false" customWidth="true" hidden="false" outlineLevel="0" max="17" min="17" style="0" width="40"/>
  </cols>
  <sheetData>
    <row r="1" customFormat="false" ht="24" hidden="false" customHeight="true" outlineLevel="0" collapsed="false">
      <c r="A1" s="54" t="s">
        <v>383</v>
      </c>
    </row>
    <row r="2" customFormat="false" ht="54" hidden="false" customHeight="true" outlineLevel="0" collapsed="false">
      <c r="C2" s="55" t="s">
        <v>1461</v>
      </c>
      <c r="D2" s="55"/>
      <c r="E2" s="55"/>
      <c r="F2" s="55"/>
      <c r="G2" s="55"/>
      <c r="H2" s="55"/>
      <c r="I2" s="55"/>
    </row>
    <row r="4" customFormat="false" ht="42" hidden="false" customHeight="true" outlineLevel="0" collapsed="false">
      <c r="A4" s="56" t="s">
        <v>135</v>
      </c>
      <c r="B4" s="56" t="s">
        <v>138</v>
      </c>
      <c r="C4" s="56" t="s">
        <v>106</v>
      </c>
      <c r="D4" s="56" t="s">
        <v>107</v>
      </c>
      <c r="E4" s="56" t="s">
        <v>109</v>
      </c>
      <c r="F4" s="56" t="s">
        <v>1462</v>
      </c>
      <c r="G4" s="56" t="s">
        <v>1463</v>
      </c>
      <c r="H4" s="56" t="s">
        <v>1464</v>
      </c>
      <c r="I4" s="56" t="s">
        <v>1465</v>
      </c>
      <c r="J4" s="56" t="s">
        <v>1466</v>
      </c>
      <c r="K4" s="56" t="s">
        <v>1467</v>
      </c>
      <c r="L4" s="56" t="s">
        <v>1468</v>
      </c>
      <c r="M4" s="56" t="s">
        <v>1469</v>
      </c>
      <c r="N4" s="56" t="s">
        <v>1470</v>
      </c>
      <c r="O4" s="56" t="s">
        <v>1471</v>
      </c>
      <c r="P4" s="56" t="s">
        <v>1472</v>
      </c>
      <c r="Q4" s="56" t="s">
        <v>1473</v>
      </c>
    </row>
    <row r="5" customFormat="false" ht="30" hidden="false" customHeight="true" outlineLevel="0" collapsed="false">
      <c r="A5" s="69" t="s">
        <v>180</v>
      </c>
      <c r="B5" s="57" t="str">
        <f aca="false">Flights!F5</f>
        <v>MH0001</v>
      </c>
      <c r="C5" s="70" t="n">
        <f aca="false">Flights!D5</f>
        <v>46303</v>
      </c>
      <c r="D5" s="69" t="str">
        <f aca="false">Flights!G5&amp;"-"&amp;Flights!H5</f>
        <v>LHR-KUL</v>
      </c>
      <c r="E5" s="69" t="str">
        <f aca="false">Flights!L5</f>
        <v>A350</v>
      </c>
      <c r="F5" s="60"/>
      <c r="G5" s="60"/>
      <c r="H5" s="71"/>
      <c r="I5" s="60"/>
      <c r="J5" s="72" t="str">
        <f aca="false">IFERROR(IF(AND(AND(LEN(SUBSTITUTE(SUBSTITUTE(SUBSTITUTE(SUBSTITUTE(SUBSTITUTE(SUBSTITUTE(SUBSTITUTE(SUBSTITUTE(SUBSTITUTE(SUBSTITUTE(SUBSTITUTE(SUBSTITUTE(SUBSTITUTE(LOWER(F5&amp;""),CHAR(160),"")," ",""),".",""),"-",""),"/",""),"?",""),"_",""),",",""),"[",""),"]",""),"(",""),")",""),"*",""))&gt;=3,ISNA(MATCH(SUBSTITUTE(SUBSTITUTE(SUBSTITUTE(SUBSTITUTE(SUBSTITUTE(SUBSTITUTE(SUBSTITUTE(SUBSTITUTE(SUBSTITUTE(SUBSTITUTE(SUBSTITUTE(SUBSTITUTE(SUBSTITUTE(LOWER(F5&amp;""),CHAR(160),"")," ",""),".",""),"-",""),"/",""),"?",""),"_",""),",",""),"[",""),"]",""),"(",""),")",""),"*",""),L_Placeholder,0))),AND(LEN(SUBSTITUTE(SUBSTITUTE(SUBSTITUTE(SUBSTITUTE(SUBSTITUTE(SUBSTITUTE(SUBSTITUTE(SUBSTITUTE(SUBSTITUTE(SUBSTITUTE(SUBSTITUTE(SUBSTITUTE(SUBSTITUTE(LOWER(G5&amp;""),CHAR(160),"")," ",""),".",""),"-",""),"/",""),"?",""),"_",""),",",""),"[",""),"]",""),"(",""),")",""),"*",""))&gt;=1,ISNA(MATCH(SUBSTITUTE(SUBSTITUTE(SUBSTITUTE(SUBSTITUTE(SUBSTITUTE(SUBSTITUTE(SUBSTITUTE(SUBSTITUTE(SUBSTITUTE(SUBSTITUTE(SUBSTITUTE(SUBSTITUTE(SUBSTITUTE(LOWER(G5&amp;""),CHAR(160),"")," ",""),".",""),"-",""),"/",""),"?",""),"_",""),",",""),"[",""),"]",""),"(",""),")",""),"*",""),L_Placeholder,0))),ISNUMBER(H5),H5&gt;=DATE(2020,1,1),H5&lt;=Flights!$D$5,AND(LEN(SUBSTITUTE(SUBSTITUTE(SUBSTITUTE(SUBSTITUTE(SUBSTITUTE(SUBSTITUTE(SUBSTITUTE(SUBSTITUTE(SUBSTITUTE(SUBSTITUTE(SUBSTITUTE(SUBSTITUTE(SUBSTITUTE(LOWER(I5&amp;""),CHAR(160),"")," ",""),".",""),"-",""),"/",""),"?",""),"_",""),",",""),"[",""),"]",""),"(",""),")",""),"*",""))&gt;=5,ISNA(MATCH(SUBSTITUTE(SUBSTITUTE(SUBSTITUTE(SUBSTITUTE(SUBSTITUTE(SUBSTITUTE(SUBSTITUTE(SUBSTITUTE(SUBSTITUTE(SUBSTITUTE(SUBSTITUTE(SUBSTITUTE(SUBSTITUTE(LOWER(I5&amp;""),CHAR(160),"")," ",""),".",""),"-",""),"/",""),"?",""),"_",""),",",""),"[",""),"]",""),"(",""),")",""),"*",""),L_Placeholder,0)))),"ON FILE","OUTSTANDING"),"OUTSTANDING")</f>
        <v>OUTSTANDING</v>
      </c>
      <c r="K5" s="60"/>
      <c r="L5" s="60"/>
      <c r="M5" s="71"/>
      <c r="N5" s="60"/>
      <c r="O5" s="72" t="str">
        <f aca="false">IFERROR(IF(AND(AND(LEN(SUBSTITUTE(SUBSTITUTE(SUBSTITUTE(SUBSTITUTE(SUBSTITUTE(SUBSTITUTE(SUBSTITUTE(SUBSTITUTE(SUBSTITUTE(SUBSTITUTE(SUBSTITUTE(SUBSTITUTE(SUBSTITUTE(LOWER(K5&amp;""),CHAR(160),"")," ",""),".",""),"-",""),"/",""),"?",""),"_",""),",",""),"[",""),"]",""),"(",""),")",""),"*",""))&gt;=3,ISNA(MATCH(SUBSTITUTE(SUBSTITUTE(SUBSTITUTE(SUBSTITUTE(SUBSTITUTE(SUBSTITUTE(SUBSTITUTE(SUBSTITUTE(SUBSTITUTE(SUBSTITUTE(SUBSTITUTE(SUBSTITUTE(SUBSTITUTE(LOWER(K5&amp;""),CHAR(160),"")," ",""),".",""),"-",""),"/",""),"?",""),"_",""),",",""),"[",""),"]",""),"(",""),")",""),"*",""),L_Placeholder,0))),AND(LEN(SUBSTITUTE(SUBSTITUTE(SUBSTITUTE(SUBSTITUTE(SUBSTITUTE(SUBSTITUTE(SUBSTITUTE(SUBSTITUTE(SUBSTITUTE(SUBSTITUTE(SUBSTITUTE(SUBSTITUTE(SUBSTITUTE(LOWER(L5&amp;""),CHAR(160),"")," ",""),".",""),"-",""),"/",""),"?",""),"_",""),",",""),"[",""),"]",""),"(",""),")",""),"*",""))&gt;=1,ISNA(MATCH(SUBSTITUTE(SUBSTITUTE(SUBSTITUTE(SUBSTITUTE(SUBSTITUTE(SUBSTITUTE(SUBSTITUTE(SUBSTITUTE(SUBSTITUTE(SUBSTITUTE(SUBSTITUTE(SUBSTITUTE(SUBSTITUTE(LOWER(L5&amp;""),CHAR(160),"")," ",""),".",""),"-",""),"/",""),"?",""),"_",""),",",""),"[",""),"]",""),"(",""),")",""),"*",""),L_Placeholder,0))),ISNUMBER(M5),M5&gt;=DATE(2020,1,1),M5&lt;=Flights!$D$5,AND(LEN(SUBSTITUTE(SUBSTITUTE(SUBSTITUTE(SUBSTITUTE(SUBSTITUTE(SUBSTITUTE(SUBSTITUTE(SUBSTITUTE(SUBSTITUTE(SUBSTITUTE(SUBSTITUTE(SUBSTITUTE(SUBSTITUTE(LOWER(N5&amp;""),CHAR(160),"")," ",""),".",""),"-",""),"/",""),"?",""),"_",""),",",""),"[",""),"]",""),"(",""),")",""),"*",""))&gt;=5,ISNA(MATCH(SUBSTITUTE(SUBSTITUTE(SUBSTITUTE(SUBSTITUTE(SUBSTITUTE(SUBSTITUTE(SUBSTITUTE(SUBSTITUTE(SUBSTITUTE(SUBSTITUTE(SUBSTITUTE(SUBSTITUTE(SUBSTITUTE(LOWER(N5&amp;""),CHAR(160),"")," ",""),".",""),"-",""),"/",""),"?",""),"_",""),",",""),"[",""),"]",""),"(",""),")",""),"*",""),L_Placeholder,0)))),"ON FILE","OUTSTANDING"),"OUTSTANDING")</f>
        <v>OUTSTANDING</v>
      </c>
      <c r="P5" s="73" t="n">
        <f aca="false">(J5="OUTSTANDING")+(O5="OUTSTANDING")</f>
        <v>2</v>
      </c>
      <c r="Q5" s="57" t="s">
        <v>1474</v>
      </c>
    </row>
    <row r="6" customFormat="false" ht="30" hidden="false" customHeight="true" outlineLevel="0" collapsed="false">
      <c r="A6" s="69" t="s">
        <v>195</v>
      </c>
      <c r="B6" s="57" t="str">
        <f aca="false">Flights!F6</f>
        <v>MH0727</v>
      </c>
      <c r="C6" s="70" t="n">
        <f aca="false">Flights!D6</f>
        <v>46304</v>
      </c>
      <c r="D6" s="69" t="str">
        <f aca="false">Flights!G6&amp;"-"&amp;Flights!H6</f>
        <v>KUL-CGK</v>
      </c>
      <c r="E6" s="69" t="str">
        <f aca="false">Flights!L6</f>
        <v>B738MAX</v>
      </c>
      <c r="F6" s="60"/>
      <c r="G6" s="60"/>
      <c r="H6" s="71"/>
      <c r="I6" s="60"/>
      <c r="J6" s="72" t="str">
        <f aca="false">IFERROR(IF(AND(AND(LEN(SUBSTITUTE(SUBSTITUTE(SUBSTITUTE(SUBSTITUTE(SUBSTITUTE(SUBSTITUTE(SUBSTITUTE(SUBSTITUTE(SUBSTITUTE(SUBSTITUTE(SUBSTITUTE(SUBSTITUTE(SUBSTITUTE(LOWER(F6&amp;""),CHAR(160),"")," ",""),".",""),"-",""),"/",""),"?",""),"_",""),",",""),"[",""),"]",""),"(",""),")",""),"*",""))&gt;=3,ISNA(MATCH(SUBSTITUTE(SUBSTITUTE(SUBSTITUTE(SUBSTITUTE(SUBSTITUTE(SUBSTITUTE(SUBSTITUTE(SUBSTITUTE(SUBSTITUTE(SUBSTITUTE(SUBSTITUTE(SUBSTITUTE(SUBSTITUTE(LOWER(F6&amp;""),CHAR(160),"")," ",""),".",""),"-",""),"/",""),"?",""),"_",""),",",""),"[",""),"]",""),"(",""),")",""),"*",""),L_Placeholder,0))),AND(LEN(SUBSTITUTE(SUBSTITUTE(SUBSTITUTE(SUBSTITUTE(SUBSTITUTE(SUBSTITUTE(SUBSTITUTE(SUBSTITUTE(SUBSTITUTE(SUBSTITUTE(SUBSTITUTE(SUBSTITUTE(SUBSTITUTE(LOWER(G6&amp;""),CHAR(160),"")," ",""),".",""),"-",""),"/",""),"?",""),"_",""),",",""),"[",""),"]",""),"(",""),")",""),"*",""))&gt;=1,ISNA(MATCH(SUBSTITUTE(SUBSTITUTE(SUBSTITUTE(SUBSTITUTE(SUBSTITUTE(SUBSTITUTE(SUBSTITUTE(SUBSTITUTE(SUBSTITUTE(SUBSTITUTE(SUBSTITUTE(SUBSTITUTE(SUBSTITUTE(LOWER(G6&amp;""),CHAR(160),"")," ",""),".",""),"-",""),"/",""),"?",""),"_",""),",",""),"[",""),"]",""),"(",""),")",""),"*",""),L_Placeholder,0))),ISNUMBER(H6),H6&gt;=DATE(2020,1,1),H6&lt;=Flights!$D$6,AND(LEN(SUBSTITUTE(SUBSTITUTE(SUBSTITUTE(SUBSTITUTE(SUBSTITUTE(SUBSTITUTE(SUBSTITUTE(SUBSTITUTE(SUBSTITUTE(SUBSTITUTE(SUBSTITUTE(SUBSTITUTE(SUBSTITUTE(LOWER(I6&amp;""),CHAR(160),"")," ",""),".",""),"-",""),"/",""),"?",""),"_",""),",",""),"[",""),"]",""),"(",""),")",""),"*",""))&gt;=5,ISNA(MATCH(SUBSTITUTE(SUBSTITUTE(SUBSTITUTE(SUBSTITUTE(SUBSTITUTE(SUBSTITUTE(SUBSTITUTE(SUBSTITUTE(SUBSTITUTE(SUBSTITUTE(SUBSTITUTE(SUBSTITUTE(SUBSTITUTE(LOWER(I6&amp;""),CHAR(160),"")," ",""),".",""),"-",""),"/",""),"?",""),"_",""),",",""),"[",""),"]",""),"(",""),")",""),"*",""),L_Placeholder,0)))),"ON FILE","OUTSTANDING"),"OUTSTANDING")</f>
        <v>OUTSTANDING</v>
      </c>
      <c r="K6" s="60"/>
      <c r="L6" s="60"/>
      <c r="M6" s="71"/>
      <c r="N6" s="60"/>
      <c r="O6" s="72" t="str">
        <f aca="false">IFERROR(IF(AND(AND(LEN(SUBSTITUTE(SUBSTITUTE(SUBSTITUTE(SUBSTITUTE(SUBSTITUTE(SUBSTITUTE(SUBSTITUTE(SUBSTITUTE(SUBSTITUTE(SUBSTITUTE(SUBSTITUTE(SUBSTITUTE(SUBSTITUTE(LOWER(K6&amp;""),CHAR(160),"")," ",""),".",""),"-",""),"/",""),"?",""),"_",""),",",""),"[",""),"]",""),"(",""),")",""),"*",""))&gt;=3,ISNA(MATCH(SUBSTITUTE(SUBSTITUTE(SUBSTITUTE(SUBSTITUTE(SUBSTITUTE(SUBSTITUTE(SUBSTITUTE(SUBSTITUTE(SUBSTITUTE(SUBSTITUTE(SUBSTITUTE(SUBSTITUTE(SUBSTITUTE(LOWER(K6&amp;""),CHAR(160),"")," ",""),".",""),"-",""),"/",""),"?",""),"_",""),",",""),"[",""),"]",""),"(",""),")",""),"*",""),L_Placeholder,0))),AND(LEN(SUBSTITUTE(SUBSTITUTE(SUBSTITUTE(SUBSTITUTE(SUBSTITUTE(SUBSTITUTE(SUBSTITUTE(SUBSTITUTE(SUBSTITUTE(SUBSTITUTE(SUBSTITUTE(SUBSTITUTE(SUBSTITUTE(LOWER(L6&amp;""),CHAR(160),"")," ",""),".",""),"-",""),"/",""),"?",""),"_",""),",",""),"[",""),"]",""),"(",""),")",""),"*",""))&gt;=1,ISNA(MATCH(SUBSTITUTE(SUBSTITUTE(SUBSTITUTE(SUBSTITUTE(SUBSTITUTE(SUBSTITUTE(SUBSTITUTE(SUBSTITUTE(SUBSTITUTE(SUBSTITUTE(SUBSTITUTE(SUBSTITUTE(SUBSTITUTE(LOWER(L6&amp;""),CHAR(160),"")," ",""),".",""),"-",""),"/",""),"?",""),"_",""),",",""),"[",""),"]",""),"(",""),")",""),"*",""),L_Placeholder,0))),ISNUMBER(M6),M6&gt;=DATE(2020,1,1),M6&lt;=Flights!$D$6,AND(LEN(SUBSTITUTE(SUBSTITUTE(SUBSTITUTE(SUBSTITUTE(SUBSTITUTE(SUBSTITUTE(SUBSTITUTE(SUBSTITUTE(SUBSTITUTE(SUBSTITUTE(SUBSTITUTE(SUBSTITUTE(SUBSTITUTE(LOWER(N6&amp;""),CHAR(160),"")," ",""),".",""),"-",""),"/",""),"?",""),"_",""),",",""),"[",""),"]",""),"(",""),")",""),"*",""))&gt;=5,ISNA(MATCH(SUBSTITUTE(SUBSTITUTE(SUBSTITUTE(SUBSTITUTE(SUBSTITUTE(SUBSTITUTE(SUBSTITUTE(SUBSTITUTE(SUBSTITUTE(SUBSTITUTE(SUBSTITUTE(SUBSTITUTE(SUBSTITUTE(LOWER(N6&amp;""),CHAR(160),"")," ",""),".",""),"-",""),"/",""),"?",""),"_",""),",",""),"[",""),"]",""),"(",""),")",""),"*",""),L_Placeholder,0)))),"ON FILE","OUTSTANDING"),"OUTSTANDING")</f>
        <v>OUTSTANDING</v>
      </c>
      <c r="P6" s="73" t="n">
        <f aca="false">(J6="OUTSTANDING")+(O6="OUTSTANDING")</f>
        <v>2</v>
      </c>
      <c r="Q6" s="57" t="s">
        <v>1474</v>
      </c>
    </row>
    <row r="7" customFormat="false" ht="30" hidden="false" customHeight="true" outlineLevel="0" collapsed="false">
      <c r="A7" s="69" t="s">
        <v>209</v>
      </c>
      <c r="B7" s="57" t="str">
        <f aca="false">Flights!F7</f>
        <v>MH0720</v>
      </c>
      <c r="C7" s="70" t="n">
        <f aca="false">Flights!D7</f>
        <v>46305</v>
      </c>
      <c r="D7" s="69" t="str">
        <f aca="false">Flights!G7&amp;"-"&amp;Flights!H7</f>
        <v>CGK-KUL</v>
      </c>
      <c r="E7" s="69" t="str">
        <f aca="false">Flights!L7</f>
        <v>A333</v>
      </c>
      <c r="F7" s="60"/>
      <c r="G7" s="60"/>
      <c r="H7" s="71"/>
      <c r="I7" s="60"/>
      <c r="J7" s="72" t="str">
        <f aca="false">IFERROR(IF(AND(AND(LEN(SUBSTITUTE(SUBSTITUTE(SUBSTITUTE(SUBSTITUTE(SUBSTITUTE(SUBSTITUTE(SUBSTITUTE(SUBSTITUTE(SUBSTITUTE(SUBSTITUTE(SUBSTITUTE(SUBSTITUTE(SUBSTITUTE(LOWER(F7&amp;""),CHAR(160),"")," ",""),".",""),"-",""),"/",""),"?",""),"_",""),",",""),"[",""),"]",""),"(",""),")",""),"*",""))&gt;=3,ISNA(MATCH(SUBSTITUTE(SUBSTITUTE(SUBSTITUTE(SUBSTITUTE(SUBSTITUTE(SUBSTITUTE(SUBSTITUTE(SUBSTITUTE(SUBSTITUTE(SUBSTITUTE(SUBSTITUTE(SUBSTITUTE(SUBSTITUTE(LOWER(F7&amp;""),CHAR(160),"")," ",""),".",""),"-",""),"/",""),"?",""),"_",""),",",""),"[",""),"]",""),"(",""),")",""),"*",""),L_Placeholder,0))),AND(LEN(SUBSTITUTE(SUBSTITUTE(SUBSTITUTE(SUBSTITUTE(SUBSTITUTE(SUBSTITUTE(SUBSTITUTE(SUBSTITUTE(SUBSTITUTE(SUBSTITUTE(SUBSTITUTE(SUBSTITUTE(SUBSTITUTE(LOWER(G7&amp;""),CHAR(160),"")," ",""),".",""),"-",""),"/",""),"?",""),"_",""),",",""),"[",""),"]",""),"(",""),")",""),"*",""))&gt;=1,ISNA(MATCH(SUBSTITUTE(SUBSTITUTE(SUBSTITUTE(SUBSTITUTE(SUBSTITUTE(SUBSTITUTE(SUBSTITUTE(SUBSTITUTE(SUBSTITUTE(SUBSTITUTE(SUBSTITUTE(SUBSTITUTE(SUBSTITUTE(LOWER(G7&amp;""),CHAR(160),"")," ",""),".",""),"-",""),"/",""),"?",""),"_",""),",",""),"[",""),"]",""),"(",""),")",""),"*",""),L_Placeholder,0))),ISNUMBER(H7),H7&gt;=DATE(2020,1,1),H7&lt;=Flights!$D$7,AND(LEN(SUBSTITUTE(SUBSTITUTE(SUBSTITUTE(SUBSTITUTE(SUBSTITUTE(SUBSTITUTE(SUBSTITUTE(SUBSTITUTE(SUBSTITUTE(SUBSTITUTE(SUBSTITUTE(SUBSTITUTE(SUBSTITUTE(LOWER(I7&amp;""),CHAR(160),"")," ",""),".",""),"-",""),"/",""),"?",""),"_",""),",",""),"[",""),"]",""),"(",""),")",""),"*",""))&gt;=5,ISNA(MATCH(SUBSTITUTE(SUBSTITUTE(SUBSTITUTE(SUBSTITUTE(SUBSTITUTE(SUBSTITUTE(SUBSTITUTE(SUBSTITUTE(SUBSTITUTE(SUBSTITUTE(SUBSTITUTE(SUBSTITUTE(SUBSTITUTE(LOWER(I7&amp;""),CHAR(160),"")," ",""),".",""),"-",""),"/",""),"?",""),"_",""),",",""),"[",""),"]",""),"(",""),")",""),"*",""),L_Placeholder,0)))),"ON FILE","OUTSTANDING"),"OUTSTANDING")</f>
        <v>OUTSTANDING</v>
      </c>
      <c r="K7" s="60"/>
      <c r="L7" s="60"/>
      <c r="M7" s="71"/>
      <c r="N7" s="60"/>
      <c r="O7" s="72" t="str">
        <f aca="false">IFERROR(IF(AND(AND(LEN(SUBSTITUTE(SUBSTITUTE(SUBSTITUTE(SUBSTITUTE(SUBSTITUTE(SUBSTITUTE(SUBSTITUTE(SUBSTITUTE(SUBSTITUTE(SUBSTITUTE(SUBSTITUTE(SUBSTITUTE(SUBSTITUTE(LOWER(K7&amp;""),CHAR(160),"")," ",""),".",""),"-",""),"/",""),"?",""),"_",""),",",""),"[",""),"]",""),"(",""),")",""),"*",""))&gt;=3,ISNA(MATCH(SUBSTITUTE(SUBSTITUTE(SUBSTITUTE(SUBSTITUTE(SUBSTITUTE(SUBSTITUTE(SUBSTITUTE(SUBSTITUTE(SUBSTITUTE(SUBSTITUTE(SUBSTITUTE(SUBSTITUTE(SUBSTITUTE(LOWER(K7&amp;""),CHAR(160),"")," ",""),".",""),"-",""),"/",""),"?",""),"_",""),",",""),"[",""),"]",""),"(",""),")",""),"*",""),L_Placeholder,0))),AND(LEN(SUBSTITUTE(SUBSTITUTE(SUBSTITUTE(SUBSTITUTE(SUBSTITUTE(SUBSTITUTE(SUBSTITUTE(SUBSTITUTE(SUBSTITUTE(SUBSTITUTE(SUBSTITUTE(SUBSTITUTE(SUBSTITUTE(LOWER(L7&amp;""),CHAR(160),"")," ",""),".",""),"-",""),"/",""),"?",""),"_",""),",",""),"[",""),"]",""),"(",""),")",""),"*",""))&gt;=1,ISNA(MATCH(SUBSTITUTE(SUBSTITUTE(SUBSTITUTE(SUBSTITUTE(SUBSTITUTE(SUBSTITUTE(SUBSTITUTE(SUBSTITUTE(SUBSTITUTE(SUBSTITUTE(SUBSTITUTE(SUBSTITUTE(SUBSTITUTE(LOWER(L7&amp;""),CHAR(160),"")," ",""),".",""),"-",""),"/",""),"?",""),"_",""),",",""),"[",""),"]",""),"(",""),")",""),"*",""),L_Placeholder,0))),ISNUMBER(M7),M7&gt;=DATE(2020,1,1),M7&lt;=Flights!$D$7,AND(LEN(SUBSTITUTE(SUBSTITUTE(SUBSTITUTE(SUBSTITUTE(SUBSTITUTE(SUBSTITUTE(SUBSTITUTE(SUBSTITUTE(SUBSTITUTE(SUBSTITUTE(SUBSTITUTE(SUBSTITUTE(SUBSTITUTE(LOWER(N7&amp;""),CHAR(160),"")," ",""),".",""),"-",""),"/",""),"?",""),"_",""),",",""),"[",""),"]",""),"(",""),")",""),"*",""))&gt;=5,ISNA(MATCH(SUBSTITUTE(SUBSTITUTE(SUBSTITUTE(SUBSTITUTE(SUBSTITUTE(SUBSTITUTE(SUBSTITUTE(SUBSTITUTE(SUBSTITUTE(SUBSTITUTE(SUBSTITUTE(SUBSTITUTE(SUBSTITUTE(LOWER(N7&amp;""),CHAR(160),"")," ",""),".",""),"-",""),"/",""),"?",""),"_",""),",",""),"[",""),"]",""),"(",""),")",""),"*",""),L_Placeholder,0)))),"ON FILE","OUTSTANDING"),"OUTSTANDING")</f>
        <v>OUTSTANDING</v>
      </c>
      <c r="P7" s="73" t="n">
        <f aca="false">(J7="OUTSTANDING")+(O7="OUTSTANDING")</f>
        <v>2</v>
      </c>
      <c r="Q7" s="57" t="s">
        <v>1474</v>
      </c>
    </row>
    <row r="8" customFormat="false" ht="30" hidden="false" customHeight="true" outlineLevel="0" collapsed="false">
      <c r="A8" s="69" t="s">
        <v>215</v>
      </c>
      <c r="B8" s="57" t="str">
        <f aca="false">Flights!F8</f>
        <v>MH0088</v>
      </c>
      <c r="C8" s="70" t="n">
        <f aca="false">Flights!D8</f>
        <v>46305</v>
      </c>
      <c r="D8" s="69" t="str">
        <f aca="false">Flights!G8&amp;"-"&amp;Flights!H8</f>
        <v>KUL-NRT</v>
      </c>
      <c r="E8" s="69" t="str">
        <f aca="false">Flights!L8</f>
        <v>A350</v>
      </c>
      <c r="F8" s="60"/>
      <c r="G8" s="60"/>
      <c r="H8" s="71"/>
      <c r="I8" s="60"/>
      <c r="J8" s="72" t="str">
        <f aca="false">IFERROR(IF(AND(AND(LEN(SUBSTITUTE(SUBSTITUTE(SUBSTITUTE(SUBSTITUTE(SUBSTITUTE(SUBSTITUTE(SUBSTITUTE(SUBSTITUTE(SUBSTITUTE(SUBSTITUTE(SUBSTITUTE(SUBSTITUTE(SUBSTITUTE(LOWER(F8&amp;""),CHAR(160),"")," ",""),".",""),"-",""),"/",""),"?",""),"_",""),",",""),"[",""),"]",""),"(",""),")",""),"*",""))&gt;=3,ISNA(MATCH(SUBSTITUTE(SUBSTITUTE(SUBSTITUTE(SUBSTITUTE(SUBSTITUTE(SUBSTITUTE(SUBSTITUTE(SUBSTITUTE(SUBSTITUTE(SUBSTITUTE(SUBSTITUTE(SUBSTITUTE(SUBSTITUTE(LOWER(F8&amp;""),CHAR(160),"")," ",""),".",""),"-",""),"/",""),"?",""),"_",""),",",""),"[",""),"]",""),"(",""),")",""),"*",""),L_Placeholder,0))),AND(LEN(SUBSTITUTE(SUBSTITUTE(SUBSTITUTE(SUBSTITUTE(SUBSTITUTE(SUBSTITUTE(SUBSTITUTE(SUBSTITUTE(SUBSTITUTE(SUBSTITUTE(SUBSTITUTE(SUBSTITUTE(SUBSTITUTE(LOWER(G8&amp;""),CHAR(160),"")," ",""),".",""),"-",""),"/",""),"?",""),"_",""),",",""),"[",""),"]",""),"(",""),")",""),"*",""))&gt;=1,ISNA(MATCH(SUBSTITUTE(SUBSTITUTE(SUBSTITUTE(SUBSTITUTE(SUBSTITUTE(SUBSTITUTE(SUBSTITUTE(SUBSTITUTE(SUBSTITUTE(SUBSTITUTE(SUBSTITUTE(SUBSTITUTE(SUBSTITUTE(LOWER(G8&amp;""),CHAR(160),"")," ",""),".",""),"-",""),"/",""),"?",""),"_",""),",",""),"[",""),"]",""),"(",""),")",""),"*",""),L_Placeholder,0))),ISNUMBER(H8),H8&gt;=DATE(2020,1,1),H8&lt;=Flights!$D$8,AND(LEN(SUBSTITUTE(SUBSTITUTE(SUBSTITUTE(SUBSTITUTE(SUBSTITUTE(SUBSTITUTE(SUBSTITUTE(SUBSTITUTE(SUBSTITUTE(SUBSTITUTE(SUBSTITUTE(SUBSTITUTE(SUBSTITUTE(LOWER(I8&amp;""),CHAR(160),"")," ",""),".",""),"-",""),"/",""),"?",""),"_",""),",",""),"[",""),"]",""),"(",""),")",""),"*",""))&gt;=5,ISNA(MATCH(SUBSTITUTE(SUBSTITUTE(SUBSTITUTE(SUBSTITUTE(SUBSTITUTE(SUBSTITUTE(SUBSTITUTE(SUBSTITUTE(SUBSTITUTE(SUBSTITUTE(SUBSTITUTE(SUBSTITUTE(SUBSTITUTE(LOWER(I8&amp;""),CHAR(160),"")," ",""),".",""),"-",""),"/",""),"?",""),"_",""),",",""),"[",""),"]",""),"(",""),")",""),"*",""),L_Placeholder,0)))),"ON FILE","OUTSTANDING"),"OUTSTANDING")</f>
        <v>OUTSTANDING</v>
      </c>
      <c r="K8" s="60"/>
      <c r="L8" s="60"/>
      <c r="M8" s="71"/>
      <c r="N8" s="60"/>
      <c r="O8" s="72" t="str">
        <f aca="false">IFERROR(IF(AND(AND(LEN(SUBSTITUTE(SUBSTITUTE(SUBSTITUTE(SUBSTITUTE(SUBSTITUTE(SUBSTITUTE(SUBSTITUTE(SUBSTITUTE(SUBSTITUTE(SUBSTITUTE(SUBSTITUTE(SUBSTITUTE(SUBSTITUTE(LOWER(K8&amp;""),CHAR(160),"")," ",""),".",""),"-",""),"/",""),"?",""),"_",""),",",""),"[",""),"]",""),"(",""),")",""),"*",""))&gt;=3,ISNA(MATCH(SUBSTITUTE(SUBSTITUTE(SUBSTITUTE(SUBSTITUTE(SUBSTITUTE(SUBSTITUTE(SUBSTITUTE(SUBSTITUTE(SUBSTITUTE(SUBSTITUTE(SUBSTITUTE(SUBSTITUTE(SUBSTITUTE(LOWER(K8&amp;""),CHAR(160),"")," ",""),".",""),"-",""),"/",""),"?",""),"_",""),",",""),"[",""),"]",""),"(",""),")",""),"*",""),L_Placeholder,0))),AND(LEN(SUBSTITUTE(SUBSTITUTE(SUBSTITUTE(SUBSTITUTE(SUBSTITUTE(SUBSTITUTE(SUBSTITUTE(SUBSTITUTE(SUBSTITUTE(SUBSTITUTE(SUBSTITUTE(SUBSTITUTE(SUBSTITUTE(LOWER(L8&amp;""),CHAR(160),"")," ",""),".",""),"-",""),"/",""),"?",""),"_",""),",",""),"[",""),"]",""),"(",""),")",""),"*",""))&gt;=1,ISNA(MATCH(SUBSTITUTE(SUBSTITUTE(SUBSTITUTE(SUBSTITUTE(SUBSTITUTE(SUBSTITUTE(SUBSTITUTE(SUBSTITUTE(SUBSTITUTE(SUBSTITUTE(SUBSTITUTE(SUBSTITUTE(SUBSTITUTE(LOWER(L8&amp;""),CHAR(160),"")," ",""),".",""),"-",""),"/",""),"?",""),"_",""),",",""),"[",""),"]",""),"(",""),")",""),"*",""),L_Placeholder,0))),ISNUMBER(M8),M8&gt;=DATE(2020,1,1),M8&lt;=Flights!$D$8,AND(LEN(SUBSTITUTE(SUBSTITUTE(SUBSTITUTE(SUBSTITUTE(SUBSTITUTE(SUBSTITUTE(SUBSTITUTE(SUBSTITUTE(SUBSTITUTE(SUBSTITUTE(SUBSTITUTE(SUBSTITUTE(SUBSTITUTE(LOWER(N8&amp;""),CHAR(160),"")," ",""),".",""),"-",""),"/",""),"?",""),"_",""),",",""),"[",""),"]",""),"(",""),")",""),"*",""))&gt;=5,ISNA(MATCH(SUBSTITUTE(SUBSTITUTE(SUBSTITUTE(SUBSTITUTE(SUBSTITUTE(SUBSTITUTE(SUBSTITUTE(SUBSTITUTE(SUBSTITUTE(SUBSTITUTE(SUBSTITUTE(SUBSTITUTE(SUBSTITUTE(LOWER(N8&amp;""),CHAR(160),"")," ",""),".",""),"-",""),"/",""),"?",""),"_",""),",",""),"[",""),"]",""),"(",""),")",""),"*",""),L_Placeholder,0)))),"ON FILE","OUTSTANDING"),"OUTSTANDING")</f>
        <v>OUTSTANDING</v>
      </c>
      <c r="P8" s="73" t="n">
        <f aca="false">(J8="OUTSTANDING")+(O8="OUTSTANDING")</f>
        <v>2</v>
      </c>
      <c r="Q8" s="57" t="s">
        <v>1474</v>
      </c>
    </row>
    <row r="9" customFormat="false" ht="30" hidden="false" customHeight="true" outlineLevel="0" collapsed="false">
      <c r="A9" s="69" t="s">
        <v>225</v>
      </c>
      <c r="B9" s="57" t="str">
        <f aca="false">Flights!F9</f>
        <v>MH0089</v>
      </c>
      <c r="C9" s="70" t="n">
        <f aca="false">Flights!D9</f>
        <v>46310</v>
      </c>
      <c r="D9" s="69" t="str">
        <f aca="false">Flights!G9&amp;"-"&amp;Flights!H9</f>
        <v>NRT-KUL</v>
      </c>
      <c r="E9" s="69" t="str">
        <f aca="false">Flights!L9</f>
        <v>A350</v>
      </c>
      <c r="F9" s="60"/>
      <c r="G9" s="60"/>
      <c r="H9" s="71"/>
      <c r="I9" s="60"/>
      <c r="J9" s="72" t="str">
        <f aca="false">IFERROR(IF(AND(AND(LEN(SUBSTITUTE(SUBSTITUTE(SUBSTITUTE(SUBSTITUTE(SUBSTITUTE(SUBSTITUTE(SUBSTITUTE(SUBSTITUTE(SUBSTITUTE(SUBSTITUTE(SUBSTITUTE(SUBSTITUTE(SUBSTITUTE(LOWER(F9&amp;""),CHAR(160),"")," ",""),".",""),"-",""),"/",""),"?",""),"_",""),",",""),"[",""),"]",""),"(",""),")",""),"*",""))&gt;=3,ISNA(MATCH(SUBSTITUTE(SUBSTITUTE(SUBSTITUTE(SUBSTITUTE(SUBSTITUTE(SUBSTITUTE(SUBSTITUTE(SUBSTITUTE(SUBSTITUTE(SUBSTITUTE(SUBSTITUTE(SUBSTITUTE(SUBSTITUTE(LOWER(F9&amp;""),CHAR(160),"")," ",""),".",""),"-",""),"/",""),"?",""),"_",""),",",""),"[",""),"]",""),"(",""),")",""),"*",""),L_Placeholder,0))),AND(LEN(SUBSTITUTE(SUBSTITUTE(SUBSTITUTE(SUBSTITUTE(SUBSTITUTE(SUBSTITUTE(SUBSTITUTE(SUBSTITUTE(SUBSTITUTE(SUBSTITUTE(SUBSTITUTE(SUBSTITUTE(SUBSTITUTE(LOWER(G9&amp;""),CHAR(160),"")," ",""),".",""),"-",""),"/",""),"?",""),"_",""),",",""),"[",""),"]",""),"(",""),")",""),"*",""))&gt;=1,ISNA(MATCH(SUBSTITUTE(SUBSTITUTE(SUBSTITUTE(SUBSTITUTE(SUBSTITUTE(SUBSTITUTE(SUBSTITUTE(SUBSTITUTE(SUBSTITUTE(SUBSTITUTE(SUBSTITUTE(SUBSTITUTE(SUBSTITUTE(LOWER(G9&amp;""),CHAR(160),"")," ",""),".",""),"-",""),"/",""),"?",""),"_",""),",",""),"[",""),"]",""),"(",""),")",""),"*",""),L_Placeholder,0))),ISNUMBER(H9),H9&gt;=DATE(2020,1,1),H9&lt;=Flights!$D$9,AND(LEN(SUBSTITUTE(SUBSTITUTE(SUBSTITUTE(SUBSTITUTE(SUBSTITUTE(SUBSTITUTE(SUBSTITUTE(SUBSTITUTE(SUBSTITUTE(SUBSTITUTE(SUBSTITUTE(SUBSTITUTE(SUBSTITUTE(LOWER(I9&amp;""),CHAR(160),"")," ",""),".",""),"-",""),"/",""),"?",""),"_",""),",",""),"[",""),"]",""),"(",""),")",""),"*",""))&gt;=5,ISNA(MATCH(SUBSTITUTE(SUBSTITUTE(SUBSTITUTE(SUBSTITUTE(SUBSTITUTE(SUBSTITUTE(SUBSTITUTE(SUBSTITUTE(SUBSTITUTE(SUBSTITUTE(SUBSTITUTE(SUBSTITUTE(SUBSTITUTE(LOWER(I9&amp;""),CHAR(160),"")," ",""),".",""),"-",""),"/",""),"?",""),"_",""),",",""),"[",""),"]",""),"(",""),")",""),"*",""),L_Placeholder,0)))),"ON FILE","OUTSTANDING"),"OUTSTANDING")</f>
        <v>OUTSTANDING</v>
      </c>
      <c r="K9" s="60"/>
      <c r="L9" s="60"/>
      <c r="M9" s="71"/>
      <c r="N9" s="60"/>
      <c r="O9" s="72" t="str">
        <f aca="false">IFERROR(IF(AND(AND(LEN(SUBSTITUTE(SUBSTITUTE(SUBSTITUTE(SUBSTITUTE(SUBSTITUTE(SUBSTITUTE(SUBSTITUTE(SUBSTITUTE(SUBSTITUTE(SUBSTITUTE(SUBSTITUTE(SUBSTITUTE(SUBSTITUTE(LOWER(K9&amp;""),CHAR(160),"")," ",""),".",""),"-",""),"/",""),"?",""),"_",""),",",""),"[",""),"]",""),"(",""),")",""),"*",""))&gt;=3,ISNA(MATCH(SUBSTITUTE(SUBSTITUTE(SUBSTITUTE(SUBSTITUTE(SUBSTITUTE(SUBSTITUTE(SUBSTITUTE(SUBSTITUTE(SUBSTITUTE(SUBSTITUTE(SUBSTITUTE(SUBSTITUTE(SUBSTITUTE(LOWER(K9&amp;""),CHAR(160),"")," ",""),".",""),"-",""),"/",""),"?",""),"_",""),",",""),"[",""),"]",""),"(",""),")",""),"*",""),L_Placeholder,0))),AND(LEN(SUBSTITUTE(SUBSTITUTE(SUBSTITUTE(SUBSTITUTE(SUBSTITUTE(SUBSTITUTE(SUBSTITUTE(SUBSTITUTE(SUBSTITUTE(SUBSTITUTE(SUBSTITUTE(SUBSTITUTE(SUBSTITUTE(LOWER(L9&amp;""),CHAR(160),"")," ",""),".",""),"-",""),"/",""),"?",""),"_",""),",",""),"[",""),"]",""),"(",""),")",""),"*",""))&gt;=1,ISNA(MATCH(SUBSTITUTE(SUBSTITUTE(SUBSTITUTE(SUBSTITUTE(SUBSTITUTE(SUBSTITUTE(SUBSTITUTE(SUBSTITUTE(SUBSTITUTE(SUBSTITUTE(SUBSTITUTE(SUBSTITUTE(SUBSTITUTE(LOWER(L9&amp;""),CHAR(160),"")," ",""),".",""),"-",""),"/",""),"?",""),"_",""),",",""),"[",""),"]",""),"(",""),")",""),"*",""),L_Placeholder,0))),ISNUMBER(M9),M9&gt;=DATE(2020,1,1),M9&lt;=Flights!$D$9,AND(LEN(SUBSTITUTE(SUBSTITUTE(SUBSTITUTE(SUBSTITUTE(SUBSTITUTE(SUBSTITUTE(SUBSTITUTE(SUBSTITUTE(SUBSTITUTE(SUBSTITUTE(SUBSTITUTE(SUBSTITUTE(SUBSTITUTE(LOWER(N9&amp;""),CHAR(160),"")," ",""),".",""),"-",""),"/",""),"?",""),"_",""),",",""),"[",""),"]",""),"(",""),")",""),"*",""))&gt;=5,ISNA(MATCH(SUBSTITUTE(SUBSTITUTE(SUBSTITUTE(SUBSTITUTE(SUBSTITUTE(SUBSTITUTE(SUBSTITUTE(SUBSTITUTE(SUBSTITUTE(SUBSTITUTE(SUBSTITUTE(SUBSTITUTE(SUBSTITUTE(LOWER(N9&amp;""),CHAR(160),"")," ",""),".",""),"-",""),"/",""),"?",""),"_",""),",",""),"[",""),"]",""),"(",""),")",""),"*",""),L_Placeholder,0)))),"ON FILE","OUTSTANDING"),"OUTSTANDING")</f>
        <v>OUTSTANDING</v>
      </c>
      <c r="P9" s="73" t="n">
        <f aca="false">(J9="OUTSTANDING")+(O9="OUTSTANDING")</f>
        <v>2</v>
      </c>
      <c r="Q9" s="57" t="s">
        <v>1474</v>
      </c>
    </row>
    <row r="10" customFormat="false" ht="30" hidden="false" customHeight="true" outlineLevel="0" collapsed="false">
      <c r="A10" s="69" t="s">
        <v>228</v>
      </c>
      <c r="B10" s="57" t="str">
        <f aca="false">Flights!F10</f>
        <v>MH0002</v>
      </c>
      <c r="C10" s="70" t="n">
        <f aca="false">Flights!D10</f>
        <v>46310</v>
      </c>
      <c r="D10" s="69" t="str">
        <f aca="false">Flights!G10&amp;"-"&amp;Flights!H10</f>
        <v>KUL-LHR</v>
      </c>
      <c r="E10" s="69" t="str">
        <f aca="false">Flights!L10</f>
        <v>A350</v>
      </c>
      <c r="F10" s="60"/>
      <c r="G10" s="60"/>
      <c r="H10" s="71"/>
      <c r="I10" s="60"/>
      <c r="J10" s="72" t="str">
        <f aca="false">IFERROR(IF(AND(AND(LEN(SUBSTITUTE(SUBSTITUTE(SUBSTITUTE(SUBSTITUTE(SUBSTITUTE(SUBSTITUTE(SUBSTITUTE(SUBSTITUTE(SUBSTITUTE(SUBSTITUTE(SUBSTITUTE(SUBSTITUTE(SUBSTITUTE(LOWER(F10&amp;""),CHAR(160),"")," ",""),".",""),"-",""),"/",""),"?",""),"_",""),",",""),"[",""),"]",""),"(",""),")",""),"*",""))&gt;=3,ISNA(MATCH(SUBSTITUTE(SUBSTITUTE(SUBSTITUTE(SUBSTITUTE(SUBSTITUTE(SUBSTITUTE(SUBSTITUTE(SUBSTITUTE(SUBSTITUTE(SUBSTITUTE(SUBSTITUTE(SUBSTITUTE(SUBSTITUTE(LOWER(F10&amp;""),CHAR(160),"")," ",""),".",""),"-",""),"/",""),"?",""),"_",""),",",""),"[",""),"]",""),"(",""),")",""),"*",""),L_Placeholder,0))),AND(LEN(SUBSTITUTE(SUBSTITUTE(SUBSTITUTE(SUBSTITUTE(SUBSTITUTE(SUBSTITUTE(SUBSTITUTE(SUBSTITUTE(SUBSTITUTE(SUBSTITUTE(SUBSTITUTE(SUBSTITUTE(SUBSTITUTE(LOWER(G10&amp;""),CHAR(160),"")," ",""),".",""),"-",""),"/",""),"?",""),"_",""),",",""),"[",""),"]",""),"(",""),")",""),"*",""))&gt;=1,ISNA(MATCH(SUBSTITUTE(SUBSTITUTE(SUBSTITUTE(SUBSTITUTE(SUBSTITUTE(SUBSTITUTE(SUBSTITUTE(SUBSTITUTE(SUBSTITUTE(SUBSTITUTE(SUBSTITUTE(SUBSTITUTE(SUBSTITUTE(LOWER(G10&amp;""),CHAR(160),"")," ",""),".",""),"-",""),"/",""),"?",""),"_",""),",",""),"[",""),"]",""),"(",""),")",""),"*",""),L_Placeholder,0))),ISNUMBER(H10),H10&gt;=DATE(2020,1,1),H10&lt;=Flights!$D$10,AND(LEN(SUBSTITUTE(SUBSTITUTE(SUBSTITUTE(SUBSTITUTE(SUBSTITUTE(SUBSTITUTE(SUBSTITUTE(SUBSTITUTE(SUBSTITUTE(SUBSTITUTE(SUBSTITUTE(SUBSTITUTE(SUBSTITUTE(LOWER(I10&amp;""),CHAR(160),"")," ",""),".",""),"-",""),"/",""),"?",""),"_",""),",",""),"[",""),"]",""),"(",""),")",""),"*",""))&gt;=5,ISNA(MATCH(SUBSTITUTE(SUBSTITUTE(SUBSTITUTE(SUBSTITUTE(SUBSTITUTE(SUBSTITUTE(SUBSTITUTE(SUBSTITUTE(SUBSTITUTE(SUBSTITUTE(SUBSTITUTE(SUBSTITUTE(SUBSTITUTE(LOWER(I10&amp;""),CHAR(160),"")," ",""),".",""),"-",""),"/",""),"?",""),"_",""),",",""),"[",""),"]",""),"(",""),")",""),"*",""),L_Placeholder,0)))),"ON FILE","OUTSTANDING"),"OUTSTANDING")</f>
        <v>OUTSTANDING</v>
      </c>
      <c r="K10" s="60"/>
      <c r="L10" s="60"/>
      <c r="M10" s="71"/>
      <c r="N10" s="60"/>
      <c r="O10" s="72" t="str">
        <f aca="false">IFERROR(IF(AND(AND(LEN(SUBSTITUTE(SUBSTITUTE(SUBSTITUTE(SUBSTITUTE(SUBSTITUTE(SUBSTITUTE(SUBSTITUTE(SUBSTITUTE(SUBSTITUTE(SUBSTITUTE(SUBSTITUTE(SUBSTITUTE(SUBSTITUTE(LOWER(K10&amp;""),CHAR(160),"")," ",""),".",""),"-",""),"/",""),"?",""),"_",""),",",""),"[",""),"]",""),"(",""),")",""),"*",""))&gt;=3,ISNA(MATCH(SUBSTITUTE(SUBSTITUTE(SUBSTITUTE(SUBSTITUTE(SUBSTITUTE(SUBSTITUTE(SUBSTITUTE(SUBSTITUTE(SUBSTITUTE(SUBSTITUTE(SUBSTITUTE(SUBSTITUTE(SUBSTITUTE(LOWER(K10&amp;""),CHAR(160),"")," ",""),".",""),"-",""),"/",""),"?",""),"_",""),",",""),"[",""),"]",""),"(",""),")",""),"*",""),L_Placeholder,0))),AND(LEN(SUBSTITUTE(SUBSTITUTE(SUBSTITUTE(SUBSTITUTE(SUBSTITUTE(SUBSTITUTE(SUBSTITUTE(SUBSTITUTE(SUBSTITUTE(SUBSTITUTE(SUBSTITUTE(SUBSTITUTE(SUBSTITUTE(LOWER(L10&amp;""),CHAR(160),"")," ",""),".",""),"-",""),"/",""),"?",""),"_",""),",",""),"[",""),"]",""),"(",""),")",""),"*",""))&gt;=1,ISNA(MATCH(SUBSTITUTE(SUBSTITUTE(SUBSTITUTE(SUBSTITUTE(SUBSTITUTE(SUBSTITUTE(SUBSTITUTE(SUBSTITUTE(SUBSTITUTE(SUBSTITUTE(SUBSTITUTE(SUBSTITUTE(SUBSTITUTE(LOWER(L10&amp;""),CHAR(160),"")," ",""),".",""),"-",""),"/",""),"?",""),"_",""),",",""),"[",""),"]",""),"(",""),")",""),"*",""),L_Placeholder,0))),ISNUMBER(M10),M10&gt;=DATE(2020,1,1),M10&lt;=Flights!$D$10,AND(LEN(SUBSTITUTE(SUBSTITUTE(SUBSTITUTE(SUBSTITUTE(SUBSTITUTE(SUBSTITUTE(SUBSTITUTE(SUBSTITUTE(SUBSTITUTE(SUBSTITUTE(SUBSTITUTE(SUBSTITUTE(SUBSTITUTE(LOWER(N10&amp;""),CHAR(160),"")," ",""),".",""),"-",""),"/",""),"?",""),"_",""),",",""),"[",""),"]",""),"(",""),")",""),"*",""))&gt;=5,ISNA(MATCH(SUBSTITUTE(SUBSTITUTE(SUBSTITUTE(SUBSTITUTE(SUBSTITUTE(SUBSTITUTE(SUBSTITUTE(SUBSTITUTE(SUBSTITUTE(SUBSTITUTE(SUBSTITUTE(SUBSTITUTE(SUBSTITUTE(LOWER(N10&amp;""),CHAR(160),"")," ",""),".",""),"-",""),"/",""),"?",""),"_",""),",",""),"[",""),"]",""),"(",""),")",""),"*",""),L_Placeholder,0)))),"ON FILE","OUTSTANDING"),"OUTSTANDING")</f>
        <v>OUTSTANDING</v>
      </c>
      <c r="P10" s="73" t="n">
        <f aca="false">(J10="OUTSTANDING")+(O10="OUTSTANDING")</f>
        <v>2</v>
      </c>
      <c r="Q10" s="57" t="s">
        <v>1474</v>
      </c>
    </row>
    <row r="11" customFormat="false" ht="30" hidden="false" customHeight="true" outlineLevel="0" collapsed="false">
      <c r="A11" s="69" t="s">
        <v>232</v>
      </c>
      <c r="B11" s="57" t="str">
        <f aca="false">Flights!F11</f>
        <v>MH0003</v>
      </c>
      <c r="C11" s="70" t="n">
        <f aca="false">Flights!D11</f>
        <v>46304</v>
      </c>
      <c r="D11" s="69" t="str">
        <f aca="false">Flights!G11&amp;"-"&amp;Flights!H11</f>
        <v>LHR-KUL</v>
      </c>
      <c r="E11" s="69" t="str">
        <f aca="false">Flights!L11</f>
        <v>A350</v>
      </c>
      <c r="F11" s="60"/>
      <c r="G11" s="60"/>
      <c r="H11" s="71"/>
      <c r="I11" s="60"/>
      <c r="J11" s="72" t="str">
        <f aca="false">IFERROR(IF(AND(AND(LEN(SUBSTITUTE(SUBSTITUTE(SUBSTITUTE(SUBSTITUTE(SUBSTITUTE(SUBSTITUTE(SUBSTITUTE(SUBSTITUTE(SUBSTITUTE(SUBSTITUTE(SUBSTITUTE(SUBSTITUTE(SUBSTITUTE(LOWER(F11&amp;""),CHAR(160),"")," ",""),".",""),"-",""),"/",""),"?",""),"_",""),",",""),"[",""),"]",""),"(",""),")",""),"*",""))&gt;=3,ISNA(MATCH(SUBSTITUTE(SUBSTITUTE(SUBSTITUTE(SUBSTITUTE(SUBSTITUTE(SUBSTITUTE(SUBSTITUTE(SUBSTITUTE(SUBSTITUTE(SUBSTITUTE(SUBSTITUTE(SUBSTITUTE(SUBSTITUTE(LOWER(F11&amp;""),CHAR(160),"")," ",""),".",""),"-",""),"/",""),"?",""),"_",""),",",""),"[",""),"]",""),"(",""),")",""),"*",""),L_Placeholder,0))),AND(LEN(SUBSTITUTE(SUBSTITUTE(SUBSTITUTE(SUBSTITUTE(SUBSTITUTE(SUBSTITUTE(SUBSTITUTE(SUBSTITUTE(SUBSTITUTE(SUBSTITUTE(SUBSTITUTE(SUBSTITUTE(SUBSTITUTE(LOWER(G11&amp;""),CHAR(160),"")," ",""),".",""),"-",""),"/",""),"?",""),"_",""),",",""),"[",""),"]",""),"(",""),")",""),"*",""))&gt;=1,ISNA(MATCH(SUBSTITUTE(SUBSTITUTE(SUBSTITUTE(SUBSTITUTE(SUBSTITUTE(SUBSTITUTE(SUBSTITUTE(SUBSTITUTE(SUBSTITUTE(SUBSTITUTE(SUBSTITUTE(SUBSTITUTE(SUBSTITUTE(LOWER(G11&amp;""),CHAR(160),"")," ",""),".",""),"-",""),"/",""),"?",""),"_",""),",",""),"[",""),"]",""),"(",""),")",""),"*",""),L_Placeholder,0))),ISNUMBER(H11),H11&gt;=DATE(2020,1,1),H11&lt;=Flights!$D$11,AND(LEN(SUBSTITUTE(SUBSTITUTE(SUBSTITUTE(SUBSTITUTE(SUBSTITUTE(SUBSTITUTE(SUBSTITUTE(SUBSTITUTE(SUBSTITUTE(SUBSTITUTE(SUBSTITUTE(SUBSTITUTE(SUBSTITUTE(LOWER(I11&amp;""),CHAR(160),"")," ",""),".",""),"-",""),"/",""),"?",""),"_",""),",",""),"[",""),"]",""),"(",""),")",""),"*",""))&gt;=5,ISNA(MATCH(SUBSTITUTE(SUBSTITUTE(SUBSTITUTE(SUBSTITUTE(SUBSTITUTE(SUBSTITUTE(SUBSTITUTE(SUBSTITUTE(SUBSTITUTE(SUBSTITUTE(SUBSTITUTE(SUBSTITUTE(SUBSTITUTE(LOWER(I11&amp;""),CHAR(160),"")," ",""),".",""),"-",""),"/",""),"?",""),"_",""),",",""),"[",""),"]",""),"(",""),")",""),"*",""),L_Placeholder,0)))),"ON FILE","OUTSTANDING"),"OUTSTANDING")</f>
        <v>OUTSTANDING</v>
      </c>
      <c r="K11" s="60"/>
      <c r="L11" s="60"/>
      <c r="M11" s="71"/>
      <c r="N11" s="60"/>
      <c r="O11" s="72" t="str">
        <f aca="false">IFERROR(IF(AND(AND(LEN(SUBSTITUTE(SUBSTITUTE(SUBSTITUTE(SUBSTITUTE(SUBSTITUTE(SUBSTITUTE(SUBSTITUTE(SUBSTITUTE(SUBSTITUTE(SUBSTITUTE(SUBSTITUTE(SUBSTITUTE(SUBSTITUTE(LOWER(K11&amp;""),CHAR(160),"")," ",""),".",""),"-",""),"/",""),"?",""),"_",""),",",""),"[",""),"]",""),"(",""),")",""),"*",""))&gt;=3,ISNA(MATCH(SUBSTITUTE(SUBSTITUTE(SUBSTITUTE(SUBSTITUTE(SUBSTITUTE(SUBSTITUTE(SUBSTITUTE(SUBSTITUTE(SUBSTITUTE(SUBSTITUTE(SUBSTITUTE(SUBSTITUTE(SUBSTITUTE(LOWER(K11&amp;""),CHAR(160),"")," ",""),".",""),"-",""),"/",""),"?",""),"_",""),",",""),"[",""),"]",""),"(",""),")",""),"*",""),L_Placeholder,0))),AND(LEN(SUBSTITUTE(SUBSTITUTE(SUBSTITUTE(SUBSTITUTE(SUBSTITUTE(SUBSTITUTE(SUBSTITUTE(SUBSTITUTE(SUBSTITUTE(SUBSTITUTE(SUBSTITUTE(SUBSTITUTE(SUBSTITUTE(LOWER(L11&amp;""),CHAR(160),"")," ",""),".",""),"-",""),"/",""),"?",""),"_",""),",",""),"[",""),"]",""),"(",""),")",""),"*",""))&gt;=1,ISNA(MATCH(SUBSTITUTE(SUBSTITUTE(SUBSTITUTE(SUBSTITUTE(SUBSTITUTE(SUBSTITUTE(SUBSTITUTE(SUBSTITUTE(SUBSTITUTE(SUBSTITUTE(SUBSTITUTE(SUBSTITUTE(SUBSTITUTE(LOWER(L11&amp;""),CHAR(160),"")," ",""),".",""),"-",""),"/",""),"?",""),"_",""),",",""),"[",""),"]",""),"(",""),")",""),"*",""),L_Placeholder,0))),ISNUMBER(M11),M11&gt;=DATE(2020,1,1),M11&lt;=Flights!$D$11,AND(LEN(SUBSTITUTE(SUBSTITUTE(SUBSTITUTE(SUBSTITUTE(SUBSTITUTE(SUBSTITUTE(SUBSTITUTE(SUBSTITUTE(SUBSTITUTE(SUBSTITUTE(SUBSTITUTE(SUBSTITUTE(SUBSTITUTE(LOWER(N11&amp;""),CHAR(160),"")," ",""),".",""),"-",""),"/",""),"?",""),"_",""),",",""),"[",""),"]",""),"(",""),")",""),"*",""))&gt;=5,ISNA(MATCH(SUBSTITUTE(SUBSTITUTE(SUBSTITUTE(SUBSTITUTE(SUBSTITUTE(SUBSTITUTE(SUBSTITUTE(SUBSTITUTE(SUBSTITUTE(SUBSTITUTE(SUBSTITUTE(SUBSTITUTE(SUBSTITUTE(LOWER(N11&amp;""),CHAR(160),"")," ",""),".",""),"-",""),"/",""),"?",""),"_",""),",",""),"[",""),"]",""),"(",""),")",""),"*",""),L_Placeholder,0)))),"ON FILE","OUTSTANDING"),"OUTSTANDING")</f>
        <v>OUTSTANDING</v>
      </c>
      <c r="P11" s="73" t="n">
        <f aca="false">(J11="OUTSTANDING")+(O11="OUTSTANDING")</f>
        <v>2</v>
      </c>
      <c r="Q11" s="57" t="s">
        <v>1474</v>
      </c>
    </row>
    <row r="12" customFormat="false" ht="30" hidden="false" customHeight="true" outlineLevel="0" collapsed="false">
      <c r="A12" s="69" t="s">
        <v>235</v>
      </c>
      <c r="B12" s="57" t="str">
        <f aca="false">Flights!F12</f>
        <v>MH0752</v>
      </c>
      <c r="C12" s="70" t="n">
        <f aca="false">Flights!D12</f>
        <v>46305</v>
      </c>
      <c r="D12" s="69" t="str">
        <f aca="false">Flights!G12&amp;"-"&amp;Flights!H12</f>
        <v>KUL-HAN</v>
      </c>
      <c r="E12" s="69" t="str">
        <f aca="false">Flights!L12</f>
        <v>B738MAX</v>
      </c>
      <c r="F12" s="60"/>
      <c r="G12" s="60"/>
      <c r="H12" s="71"/>
      <c r="I12" s="60"/>
      <c r="J12" s="72" t="str">
        <f aca="false">IFERROR(IF(AND(AND(LEN(SUBSTITUTE(SUBSTITUTE(SUBSTITUTE(SUBSTITUTE(SUBSTITUTE(SUBSTITUTE(SUBSTITUTE(SUBSTITUTE(SUBSTITUTE(SUBSTITUTE(SUBSTITUTE(SUBSTITUTE(SUBSTITUTE(LOWER(F12&amp;""),CHAR(160),"")," ",""),".",""),"-",""),"/",""),"?",""),"_",""),",",""),"[",""),"]",""),"(",""),")",""),"*",""))&gt;=3,ISNA(MATCH(SUBSTITUTE(SUBSTITUTE(SUBSTITUTE(SUBSTITUTE(SUBSTITUTE(SUBSTITUTE(SUBSTITUTE(SUBSTITUTE(SUBSTITUTE(SUBSTITUTE(SUBSTITUTE(SUBSTITUTE(SUBSTITUTE(LOWER(F12&amp;""),CHAR(160),"")," ",""),".",""),"-",""),"/",""),"?",""),"_",""),",",""),"[",""),"]",""),"(",""),")",""),"*",""),L_Placeholder,0))),AND(LEN(SUBSTITUTE(SUBSTITUTE(SUBSTITUTE(SUBSTITUTE(SUBSTITUTE(SUBSTITUTE(SUBSTITUTE(SUBSTITUTE(SUBSTITUTE(SUBSTITUTE(SUBSTITUTE(SUBSTITUTE(SUBSTITUTE(LOWER(G12&amp;""),CHAR(160),"")," ",""),".",""),"-",""),"/",""),"?",""),"_",""),",",""),"[",""),"]",""),"(",""),")",""),"*",""))&gt;=1,ISNA(MATCH(SUBSTITUTE(SUBSTITUTE(SUBSTITUTE(SUBSTITUTE(SUBSTITUTE(SUBSTITUTE(SUBSTITUTE(SUBSTITUTE(SUBSTITUTE(SUBSTITUTE(SUBSTITUTE(SUBSTITUTE(SUBSTITUTE(LOWER(G12&amp;""),CHAR(160),"")," ",""),".",""),"-",""),"/",""),"?",""),"_",""),",",""),"[",""),"]",""),"(",""),")",""),"*",""),L_Placeholder,0))),ISNUMBER(H12),H12&gt;=DATE(2020,1,1),H12&lt;=Flights!$D$12,AND(LEN(SUBSTITUTE(SUBSTITUTE(SUBSTITUTE(SUBSTITUTE(SUBSTITUTE(SUBSTITUTE(SUBSTITUTE(SUBSTITUTE(SUBSTITUTE(SUBSTITUTE(SUBSTITUTE(SUBSTITUTE(SUBSTITUTE(LOWER(I12&amp;""),CHAR(160),"")," ",""),".",""),"-",""),"/",""),"?",""),"_",""),",",""),"[",""),"]",""),"(",""),")",""),"*",""))&gt;=5,ISNA(MATCH(SUBSTITUTE(SUBSTITUTE(SUBSTITUTE(SUBSTITUTE(SUBSTITUTE(SUBSTITUTE(SUBSTITUTE(SUBSTITUTE(SUBSTITUTE(SUBSTITUTE(SUBSTITUTE(SUBSTITUTE(SUBSTITUTE(LOWER(I12&amp;""),CHAR(160),"")," ",""),".",""),"-",""),"/",""),"?",""),"_",""),",",""),"[",""),"]",""),"(",""),")",""),"*",""),L_Placeholder,0)))),"ON FILE","OUTSTANDING"),"OUTSTANDING")</f>
        <v>OUTSTANDING</v>
      </c>
      <c r="K12" s="60"/>
      <c r="L12" s="60"/>
      <c r="M12" s="71"/>
      <c r="N12" s="60"/>
      <c r="O12" s="72" t="str">
        <f aca="false">IFERROR(IF(AND(AND(LEN(SUBSTITUTE(SUBSTITUTE(SUBSTITUTE(SUBSTITUTE(SUBSTITUTE(SUBSTITUTE(SUBSTITUTE(SUBSTITUTE(SUBSTITUTE(SUBSTITUTE(SUBSTITUTE(SUBSTITUTE(SUBSTITUTE(LOWER(K12&amp;""),CHAR(160),"")," ",""),".",""),"-",""),"/",""),"?",""),"_",""),",",""),"[",""),"]",""),"(",""),")",""),"*",""))&gt;=3,ISNA(MATCH(SUBSTITUTE(SUBSTITUTE(SUBSTITUTE(SUBSTITUTE(SUBSTITUTE(SUBSTITUTE(SUBSTITUTE(SUBSTITUTE(SUBSTITUTE(SUBSTITUTE(SUBSTITUTE(SUBSTITUTE(SUBSTITUTE(LOWER(K12&amp;""),CHAR(160),"")," ",""),".",""),"-",""),"/",""),"?",""),"_",""),",",""),"[",""),"]",""),"(",""),")",""),"*",""),L_Placeholder,0))),AND(LEN(SUBSTITUTE(SUBSTITUTE(SUBSTITUTE(SUBSTITUTE(SUBSTITUTE(SUBSTITUTE(SUBSTITUTE(SUBSTITUTE(SUBSTITUTE(SUBSTITUTE(SUBSTITUTE(SUBSTITUTE(SUBSTITUTE(LOWER(L12&amp;""),CHAR(160),"")," ",""),".",""),"-",""),"/",""),"?",""),"_",""),",",""),"[",""),"]",""),"(",""),")",""),"*",""))&gt;=1,ISNA(MATCH(SUBSTITUTE(SUBSTITUTE(SUBSTITUTE(SUBSTITUTE(SUBSTITUTE(SUBSTITUTE(SUBSTITUTE(SUBSTITUTE(SUBSTITUTE(SUBSTITUTE(SUBSTITUTE(SUBSTITUTE(SUBSTITUTE(LOWER(L12&amp;""),CHAR(160),"")," ",""),".",""),"-",""),"/",""),"?",""),"_",""),",",""),"[",""),"]",""),"(",""),")",""),"*",""),L_Placeholder,0))),ISNUMBER(M12),M12&gt;=DATE(2020,1,1),M12&lt;=Flights!$D$12,AND(LEN(SUBSTITUTE(SUBSTITUTE(SUBSTITUTE(SUBSTITUTE(SUBSTITUTE(SUBSTITUTE(SUBSTITUTE(SUBSTITUTE(SUBSTITUTE(SUBSTITUTE(SUBSTITUTE(SUBSTITUTE(SUBSTITUTE(LOWER(N12&amp;""),CHAR(160),"")," ",""),".",""),"-",""),"/",""),"?",""),"_",""),",",""),"[",""),"]",""),"(",""),")",""),"*",""))&gt;=5,ISNA(MATCH(SUBSTITUTE(SUBSTITUTE(SUBSTITUTE(SUBSTITUTE(SUBSTITUTE(SUBSTITUTE(SUBSTITUTE(SUBSTITUTE(SUBSTITUTE(SUBSTITUTE(SUBSTITUTE(SUBSTITUTE(SUBSTITUTE(LOWER(N12&amp;""),CHAR(160),"")," ",""),".",""),"-",""),"/",""),"?",""),"_",""),",",""),"[",""),"]",""),"(",""),")",""),"*",""),L_Placeholder,0)))),"ON FILE","OUTSTANDING"),"OUTSTANDING")</f>
        <v>OUTSTANDING</v>
      </c>
      <c r="P12" s="73" t="n">
        <f aca="false">(J12="OUTSTANDING")+(O12="OUTSTANDING")</f>
        <v>2</v>
      </c>
      <c r="Q12" s="57" t="s">
        <v>1474</v>
      </c>
    </row>
    <row r="13" customFormat="false" ht="30" hidden="false" customHeight="true" outlineLevel="0" collapsed="false">
      <c r="A13" s="69" t="s">
        <v>243</v>
      </c>
      <c r="B13" s="57" t="str">
        <f aca="false">Flights!F13</f>
        <v>MH0753</v>
      </c>
      <c r="C13" s="70" t="n">
        <f aca="false">Flights!D13</f>
        <v>46306</v>
      </c>
      <c r="D13" s="69" t="str">
        <f aca="false">Flights!G13&amp;"-"&amp;Flights!H13</f>
        <v>HAN-KUL</v>
      </c>
      <c r="E13" s="69" t="str">
        <f aca="false">Flights!L13</f>
        <v>B738MAX</v>
      </c>
      <c r="F13" s="60"/>
      <c r="G13" s="60"/>
      <c r="H13" s="71"/>
      <c r="I13" s="60"/>
      <c r="J13" s="72" t="str">
        <f aca="false">IFERROR(IF(AND(AND(LEN(SUBSTITUTE(SUBSTITUTE(SUBSTITUTE(SUBSTITUTE(SUBSTITUTE(SUBSTITUTE(SUBSTITUTE(SUBSTITUTE(SUBSTITUTE(SUBSTITUTE(SUBSTITUTE(SUBSTITUTE(SUBSTITUTE(LOWER(F13&amp;""),CHAR(160),"")," ",""),".",""),"-",""),"/",""),"?",""),"_",""),",",""),"[",""),"]",""),"(",""),")",""),"*",""))&gt;=3,ISNA(MATCH(SUBSTITUTE(SUBSTITUTE(SUBSTITUTE(SUBSTITUTE(SUBSTITUTE(SUBSTITUTE(SUBSTITUTE(SUBSTITUTE(SUBSTITUTE(SUBSTITUTE(SUBSTITUTE(SUBSTITUTE(SUBSTITUTE(LOWER(F13&amp;""),CHAR(160),"")," ",""),".",""),"-",""),"/",""),"?",""),"_",""),",",""),"[",""),"]",""),"(",""),")",""),"*",""),L_Placeholder,0))),AND(LEN(SUBSTITUTE(SUBSTITUTE(SUBSTITUTE(SUBSTITUTE(SUBSTITUTE(SUBSTITUTE(SUBSTITUTE(SUBSTITUTE(SUBSTITUTE(SUBSTITUTE(SUBSTITUTE(SUBSTITUTE(SUBSTITUTE(LOWER(G13&amp;""),CHAR(160),"")," ",""),".",""),"-",""),"/",""),"?",""),"_",""),",",""),"[",""),"]",""),"(",""),")",""),"*",""))&gt;=1,ISNA(MATCH(SUBSTITUTE(SUBSTITUTE(SUBSTITUTE(SUBSTITUTE(SUBSTITUTE(SUBSTITUTE(SUBSTITUTE(SUBSTITUTE(SUBSTITUTE(SUBSTITUTE(SUBSTITUTE(SUBSTITUTE(SUBSTITUTE(LOWER(G13&amp;""),CHAR(160),"")," ",""),".",""),"-",""),"/",""),"?",""),"_",""),",",""),"[",""),"]",""),"(",""),")",""),"*",""),L_Placeholder,0))),ISNUMBER(H13),H13&gt;=DATE(2020,1,1),H13&lt;=Flights!$D$13,AND(LEN(SUBSTITUTE(SUBSTITUTE(SUBSTITUTE(SUBSTITUTE(SUBSTITUTE(SUBSTITUTE(SUBSTITUTE(SUBSTITUTE(SUBSTITUTE(SUBSTITUTE(SUBSTITUTE(SUBSTITUTE(SUBSTITUTE(LOWER(I13&amp;""),CHAR(160),"")," ",""),".",""),"-",""),"/",""),"?",""),"_",""),",",""),"[",""),"]",""),"(",""),")",""),"*",""))&gt;=5,ISNA(MATCH(SUBSTITUTE(SUBSTITUTE(SUBSTITUTE(SUBSTITUTE(SUBSTITUTE(SUBSTITUTE(SUBSTITUTE(SUBSTITUTE(SUBSTITUTE(SUBSTITUTE(SUBSTITUTE(SUBSTITUTE(SUBSTITUTE(LOWER(I13&amp;""),CHAR(160),"")," ",""),".",""),"-",""),"/",""),"?",""),"_",""),",",""),"[",""),"]",""),"(",""),")",""),"*",""),L_Placeholder,0)))),"ON FILE","OUTSTANDING"),"OUTSTANDING")</f>
        <v>OUTSTANDING</v>
      </c>
      <c r="K13" s="60"/>
      <c r="L13" s="60"/>
      <c r="M13" s="71"/>
      <c r="N13" s="60"/>
      <c r="O13" s="72" t="str">
        <f aca="false">IFERROR(IF(AND(AND(LEN(SUBSTITUTE(SUBSTITUTE(SUBSTITUTE(SUBSTITUTE(SUBSTITUTE(SUBSTITUTE(SUBSTITUTE(SUBSTITUTE(SUBSTITUTE(SUBSTITUTE(SUBSTITUTE(SUBSTITUTE(SUBSTITUTE(LOWER(K13&amp;""),CHAR(160),"")," ",""),".",""),"-",""),"/",""),"?",""),"_",""),",",""),"[",""),"]",""),"(",""),")",""),"*",""))&gt;=3,ISNA(MATCH(SUBSTITUTE(SUBSTITUTE(SUBSTITUTE(SUBSTITUTE(SUBSTITUTE(SUBSTITUTE(SUBSTITUTE(SUBSTITUTE(SUBSTITUTE(SUBSTITUTE(SUBSTITUTE(SUBSTITUTE(SUBSTITUTE(LOWER(K13&amp;""),CHAR(160),"")," ",""),".",""),"-",""),"/",""),"?",""),"_",""),",",""),"[",""),"]",""),"(",""),")",""),"*",""),L_Placeholder,0))),AND(LEN(SUBSTITUTE(SUBSTITUTE(SUBSTITUTE(SUBSTITUTE(SUBSTITUTE(SUBSTITUTE(SUBSTITUTE(SUBSTITUTE(SUBSTITUTE(SUBSTITUTE(SUBSTITUTE(SUBSTITUTE(SUBSTITUTE(LOWER(L13&amp;""),CHAR(160),"")," ",""),".",""),"-",""),"/",""),"?",""),"_",""),",",""),"[",""),"]",""),"(",""),")",""),"*",""))&gt;=1,ISNA(MATCH(SUBSTITUTE(SUBSTITUTE(SUBSTITUTE(SUBSTITUTE(SUBSTITUTE(SUBSTITUTE(SUBSTITUTE(SUBSTITUTE(SUBSTITUTE(SUBSTITUTE(SUBSTITUTE(SUBSTITUTE(SUBSTITUTE(LOWER(L13&amp;""),CHAR(160),"")," ",""),".",""),"-",""),"/",""),"?",""),"_",""),",",""),"[",""),"]",""),"(",""),")",""),"*",""),L_Placeholder,0))),ISNUMBER(M13),M13&gt;=DATE(2020,1,1),M13&lt;=Flights!$D$13,AND(LEN(SUBSTITUTE(SUBSTITUTE(SUBSTITUTE(SUBSTITUTE(SUBSTITUTE(SUBSTITUTE(SUBSTITUTE(SUBSTITUTE(SUBSTITUTE(SUBSTITUTE(SUBSTITUTE(SUBSTITUTE(SUBSTITUTE(LOWER(N13&amp;""),CHAR(160),"")," ",""),".",""),"-",""),"/",""),"?",""),"_",""),",",""),"[",""),"]",""),"(",""),")",""),"*",""))&gt;=5,ISNA(MATCH(SUBSTITUTE(SUBSTITUTE(SUBSTITUTE(SUBSTITUTE(SUBSTITUTE(SUBSTITUTE(SUBSTITUTE(SUBSTITUTE(SUBSTITUTE(SUBSTITUTE(SUBSTITUTE(SUBSTITUTE(SUBSTITUTE(LOWER(N13&amp;""),CHAR(160),"")," ",""),".",""),"-",""),"/",""),"?",""),"_",""),",",""),"[",""),"]",""),"(",""),")",""),"*",""),L_Placeholder,0)))),"ON FILE","OUTSTANDING"),"OUTSTANDING")</f>
        <v>OUTSTANDING</v>
      </c>
      <c r="P13" s="73" t="n">
        <f aca="false">(J13="OUTSTANDING")+(O13="OUTSTANDING")</f>
        <v>2</v>
      </c>
      <c r="Q13" s="57" t="s">
        <v>1474</v>
      </c>
    </row>
    <row r="14" customFormat="false" ht="30" hidden="false" customHeight="true" outlineLevel="0" collapsed="false">
      <c r="A14" s="69" t="s">
        <v>248</v>
      </c>
      <c r="B14" s="57" t="str">
        <f aca="false">Flights!F14</f>
        <v>MH1140</v>
      </c>
      <c r="C14" s="70" t="n">
        <f aca="false">Flights!D14</f>
        <v>46307</v>
      </c>
      <c r="D14" s="69" t="str">
        <f aca="false">Flights!G14&amp;"-"&amp;Flights!H14</f>
        <v>KUL-PEN</v>
      </c>
      <c r="E14" s="69" t="str">
        <f aca="false">Flights!L14</f>
        <v>B738MAX</v>
      </c>
      <c r="F14" s="60"/>
      <c r="G14" s="60"/>
      <c r="H14" s="71"/>
      <c r="I14" s="60"/>
      <c r="J14" s="72" t="str">
        <f aca="false">IFERROR(IF(AND(AND(LEN(SUBSTITUTE(SUBSTITUTE(SUBSTITUTE(SUBSTITUTE(SUBSTITUTE(SUBSTITUTE(SUBSTITUTE(SUBSTITUTE(SUBSTITUTE(SUBSTITUTE(SUBSTITUTE(SUBSTITUTE(SUBSTITUTE(LOWER(F14&amp;""),CHAR(160),"")," ",""),".",""),"-",""),"/",""),"?",""),"_",""),",",""),"[",""),"]",""),"(",""),")",""),"*",""))&gt;=3,ISNA(MATCH(SUBSTITUTE(SUBSTITUTE(SUBSTITUTE(SUBSTITUTE(SUBSTITUTE(SUBSTITUTE(SUBSTITUTE(SUBSTITUTE(SUBSTITUTE(SUBSTITUTE(SUBSTITUTE(SUBSTITUTE(SUBSTITUTE(LOWER(F14&amp;""),CHAR(160),"")," ",""),".",""),"-",""),"/",""),"?",""),"_",""),",",""),"[",""),"]",""),"(",""),")",""),"*",""),L_Placeholder,0))),AND(LEN(SUBSTITUTE(SUBSTITUTE(SUBSTITUTE(SUBSTITUTE(SUBSTITUTE(SUBSTITUTE(SUBSTITUTE(SUBSTITUTE(SUBSTITUTE(SUBSTITUTE(SUBSTITUTE(SUBSTITUTE(SUBSTITUTE(LOWER(G14&amp;""),CHAR(160),"")," ",""),".",""),"-",""),"/",""),"?",""),"_",""),",",""),"[",""),"]",""),"(",""),")",""),"*",""))&gt;=1,ISNA(MATCH(SUBSTITUTE(SUBSTITUTE(SUBSTITUTE(SUBSTITUTE(SUBSTITUTE(SUBSTITUTE(SUBSTITUTE(SUBSTITUTE(SUBSTITUTE(SUBSTITUTE(SUBSTITUTE(SUBSTITUTE(SUBSTITUTE(LOWER(G14&amp;""),CHAR(160),"")," ",""),".",""),"-",""),"/",""),"?",""),"_",""),",",""),"[",""),"]",""),"(",""),")",""),"*",""),L_Placeholder,0))),ISNUMBER(H14),H14&gt;=DATE(2020,1,1),H14&lt;=Flights!$D$14,AND(LEN(SUBSTITUTE(SUBSTITUTE(SUBSTITUTE(SUBSTITUTE(SUBSTITUTE(SUBSTITUTE(SUBSTITUTE(SUBSTITUTE(SUBSTITUTE(SUBSTITUTE(SUBSTITUTE(SUBSTITUTE(SUBSTITUTE(LOWER(I14&amp;""),CHAR(160),"")," ",""),".",""),"-",""),"/",""),"?",""),"_",""),",",""),"[",""),"]",""),"(",""),")",""),"*",""))&gt;=5,ISNA(MATCH(SUBSTITUTE(SUBSTITUTE(SUBSTITUTE(SUBSTITUTE(SUBSTITUTE(SUBSTITUTE(SUBSTITUTE(SUBSTITUTE(SUBSTITUTE(SUBSTITUTE(SUBSTITUTE(SUBSTITUTE(SUBSTITUTE(LOWER(I14&amp;""),CHAR(160),"")," ",""),".",""),"-",""),"/",""),"?",""),"_",""),",",""),"[",""),"]",""),"(",""),")",""),"*",""),L_Placeholder,0)))),"ON FILE","OUTSTANDING"),"OUTSTANDING")</f>
        <v>OUTSTANDING</v>
      </c>
      <c r="K14" s="60"/>
      <c r="L14" s="60"/>
      <c r="M14" s="71"/>
      <c r="N14" s="60"/>
      <c r="O14" s="72" t="str">
        <f aca="false">IFERROR(IF(AND(AND(LEN(SUBSTITUTE(SUBSTITUTE(SUBSTITUTE(SUBSTITUTE(SUBSTITUTE(SUBSTITUTE(SUBSTITUTE(SUBSTITUTE(SUBSTITUTE(SUBSTITUTE(SUBSTITUTE(SUBSTITUTE(SUBSTITUTE(LOWER(K14&amp;""),CHAR(160),"")," ",""),".",""),"-",""),"/",""),"?",""),"_",""),",",""),"[",""),"]",""),"(",""),")",""),"*",""))&gt;=3,ISNA(MATCH(SUBSTITUTE(SUBSTITUTE(SUBSTITUTE(SUBSTITUTE(SUBSTITUTE(SUBSTITUTE(SUBSTITUTE(SUBSTITUTE(SUBSTITUTE(SUBSTITUTE(SUBSTITUTE(SUBSTITUTE(SUBSTITUTE(LOWER(K14&amp;""),CHAR(160),"")," ",""),".",""),"-",""),"/",""),"?",""),"_",""),",",""),"[",""),"]",""),"(",""),")",""),"*",""),L_Placeholder,0))),AND(LEN(SUBSTITUTE(SUBSTITUTE(SUBSTITUTE(SUBSTITUTE(SUBSTITUTE(SUBSTITUTE(SUBSTITUTE(SUBSTITUTE(SUBSTITUTE(SUBSTITUTE(SUBSTITUTE(SUBSTITUTE(SUBSTITUTE(LOWER(L14&amp;""),CHAR(160),"")," ",""),".",""),"-",""),"/",""),"?",""),"_",""),",",""),"[",""),"]",""),"(",""),")",""),"*",""))&gt;=1,ISNA(MATCH(SUBSTITUTE(SUBSTITUTE(SUBSTITUTE(SUBSTITUTE(SUBSTITUTE(SUBSTITUTE(SUBSTITUTE(SUBSTITUTE(SUBSTITUTE(SUBSTITUTE(SUBSTITUTE(SUBSTITUTE(SUBSTITUTE(LOWER(L14&amp;""),CHAR(160),"")," ",""),".",""),"-",""),"/",""),"?",""),"_",""),",",""),"[",""),"]",""),"(",""),")",""),"*",""),L_Placeholder,0))),ISNUMBER(M14),M14&gt;=DATE(2020,1,1),M14&lt;=Flights!$D$14,AND(LEN(SUBSTITUTE(SUBSTITUTE(SUBSTITUTE(SUBSTITUTE(SUBSTITUTE(SUBSTITUTE(SUBSTITUTE(SUBSTITUTE(SUBSTITUTE(SUBSTITUTE(SUBSTITUTE(SUBSTITUTE(SUBSTITUTE(LOWER(N14&amp;""),CHAR(160),"")," ",""),".",""),"-",""),"/",""),"?",""),"_",""),",",""),"[",""),"]",""),"(",""),")",""),"*",""))&gt;=5,ISNA(MATCH(SUBSTITUTE(SUBSTITUTE(SUBSTITUTE(SUBSTITUTE(SUBSTITUTE(SUBSTITUTE(SUBSTITUTE(SUBSTITUTE(SUBSTITUTE(SUBSTITUTE(SUBSTITUTE(SUBSTITUTE(SUBSTITUTE(LOWER(N14&amp;""),CHAR(160),"")," ",""),".",""),"-",""),"/",""),"?",""),"_",""),",",""),"[",""),"]",""),"(",""),")",""),"*",""),L_Placeholder,0)))),"ON FILE","OUTSTANDING"),"OUTSTANDING")</f>
        <v>OUTSTANDING</v>
      </c>
      <c r="P14" s="73" t="n">
        <f aca="false">(J14="OUTSTANDING")+(O14="OUTSTANDING")</f>
        <v>2</v>
      </c>
      <c r="Q14" s="57" t="s">
        <v>1474</v>
      </c>
    </row>
    <row r="15" customFormat="false" ht="30" hidden="false" customHeight="true" outlineLevel="0" collapsed="false">
      <c r="A15" s="69" t="s">
        <v>255</v>
      </c>
      <c r="B15" s="57" t="str">
        <f aca="false">Flights!F15</f>
        <v>MH1149</v>
      </c>
      <c r="C15" s="70" t="n">
        <f aca="false">Flights!D15</f>
        <v>46307</v>
      </c>
      <c r="D15" s="69" t="str">
        <f aca="false">Flights!G15&amp;"-"&amp;Flights!H15</f>
        <v>PEN-KUL</v>
      </c>
      <c r="E15" s="69" t="str">
        <f aca="false">Flights!L15</f>
        <v>B738MAX</v>
      </c>
      <c r="F15" s="60"/>
      <c r="G15" s="60"/>
      <c r="H15" s="71"/>
      <c r="I15" s="60"/>
      <c r="J15" s="72" t="str">
        <f aca="false">IFERROR(IF(AND(AND(LEN(SUBSTITUTE(SUBSTITUTE(SUBSTITUTE(SUBSTITUTE(SUBSTITUTE(SUBSTITUTE(SUBSTITUTE(SUBSTITUTE(SUBSTITUTE(SUBSTITUTE(SUBSTITUTE(SUBSTITUTE(SUBSTITUTE(LOWER(F15&amp;""),CHAR(160),"")," ",""),".",""),"-",""),"/",""),"?",""),"_",""),",",""),"[",""),"]",""),"(",""),")",""),"*",""))&gt;=3,ISNA(MATCH(SUBSTITUTE(SUBSTITUTE(SUBSTITUTE(SUBSTITUTE(SUBSTITUTE(SUBSTITUTE(SUBSTITUTE(SUBSTITUTE(SUBSTITUTE(SUBSTITUTE(SUBSTITUTE(SUBSTITUTE(SUBSTITUTE(LOWER(F15&amp;""),CHAR(160),"")," ",""),".",""),"-",""),"/",""),"?",""),"_",""),",",""),"[",""),"]",""),"(",""),")",""),"*",""),L_Placeholder,0))),AND(LEN(SUBSTITUTE(SUBSTITUTE(SUBSTITUTE(SUBSTITUTE(SUBSTITUTE(SUBSTITUTE(SUBSTITUTE(SUBSTITUTE(SUBSTITUTE(SUBSTITUTE(SUBSTITUTE(SUBSTITUTE(SUBSTITUTE(LOWER(G15&amp;""),CHAR(160),"")," ",""),".",""),"-",""),"/",""),"?",""),"_",""),",",""),"[",""),"]",""),"(",""),")",""),"*",""))&gt;=1,ISNA(MATCH(SUBSTITUTE(SUBSTITUTE(SUBSTITUTE(SUBSTITUTE(SUBSTITUTE(SUBSTITUTE(SUBSTITUTE(SUBSTITUTE(SUBSTITUTE(SUBSTITUTE(SUBSTITUTE(SUBSTITUTE(SUBSTITUTE(LOWER(G15&amp;""),CHAR(160),"")," ",""),".",""),"-",""),"/",""),"?",""),"_",""),",",""),"[",""),"]",""),"(",""),")",""),"*",""),L_Placeholder,0))),ISNUMBER(H15),H15&gt;=DATE(2020,1,1),H15&lt;=Flights!$D$15,AND(LEN(SUBSTITUTE(SUBSTITUTE(SUBSTITUTE(SUBSTITUTE(SUBSTITUTE(SUBSTITUTE(SUBSTITUTE(SUBSTITUTE(SUBSTITUTE(SUBSTITUTE(SUBSTITUTE(SUBSTITUTE(SUBSTITUTE(LOWER(I15&amp;""),CHAR(160),"")," ",""),".",""),"-",""),"/",""),"?",""),"_",""),",",""),"[",""),"]",""),"(",""),")",""),"*",""))&gt;=5,ISNA(MATCH(SUBSTITUTE(SUBSTITUTE(SUBSTITUTE(SUBSTITUTE(SUBSTITUTE(SUBSTITUTE(SUBSTITUTE(SUBSTITUTE(SUBSTITUTE(SUBSTITUTE(SUBSTITUTE(SUBSTITUTE(SUBSTITUTE(LOWER(I15&amp;""),CHAR(160),"")," ",""),".",""),"-",""),"/",""),"?",""),"_",""),",",""),"[",""),"]",""),"(",""),")",""),"*",""),L_Placeholder,0)))),"ON FILE","OUTSTANDING"),"OUTSTANDING")</f>
        <v>OUTSTANDING</v>
      </c>
      <c r="K15" s="60"/>
      <c r="L15" s="60"/>
      <c r="M15" s="71"/>
      <c r="N15" s="60"/>
      <c r="O15" s="72" t="str">
        <f aca="false">IFERROR(IF(AND(AND(LEN(SUBSTITUTE(SUBSTITUTE(SUBSTITUTE(SUBSTITUTE(SUBSTITUTE(SUBSTITUTE(SUBSTITUTE(SUBSTITUTE(SUBSTITUTE(SUBSTITUTE(SUBSTITUTE(SUBSTITUTE(SUBSTITUTE(LOWER(K15&amp;""),CHAR(160),"")," ",""),".",""),"-",""),"/",""),"?",""),"_",""),",",""),"[",""),"]",""),"(",""),")",""),"*",""))&gt;=3,ISNA(MATCH(SUBSTITUTE(SUBSTITUTE(SUBSTITUTE(SUBSTITUTE(SUBSTITUTE(SUBSTITUTE(SUBSTITUTE(SUBSTITUTE(SUBSTITUTE(SUBSTITUTE(SUBSTITUTE(SUBSTITUTE(SUBSTITUTE(LOWER(K15&amp;""),CHAR(160),"")," ",""),".",""),"-",""),"/",""),"?",""),"_",""),",",""),"[",""),"]",""),"(",""),")",""),"*",""),L_Placeholder,0))),AND(LEN(SUBSTITUTE(SUBSTITUTE(SUBSTITUTE(SUBSTITUTE(SUBSTITUTE(SUBSTITUTE(SUBSTITUTE(SUBSTITUTE(SUBSTITUTE(SUBSTITUTE(SUBSTITUTE(SUBSTITUTE(SUBSTITUTE(LOWER(L15&amp;""),CHAR(160),"")," ",""),".",""),"-",""),"/",""),"?",""),"_",""),",",""),"[",""),"]",""),"(",""),")",""),"*",""))&gt;=1,ISNA(MATCH(SUBSTITUTE(SUBSTITUTE(SUBSTITUTE(SUBSTITUTE(SUBSTITUTE(SUBSTITUTE(SUBSTITUTE(SUBSTITUTE(SUBSTITUTE(SUBSTITUTE(SUBSTITUTE(SUBSTITUTE(SUBSTITUTE(LOWER(L15&amp;""),CHAR(160),"")," ",""),".",""),"-",""),"/",""),"?",""),"_",""),",",""),"[",""),"]",""),"(",""),")",""),"*",""),L_Placeholder,0))),ISNUMBER(M15),M15&gt;=DATE(2020,1,1),M15&lt;=Flights!$D$15,AND(LEN(SUBSTITUTE(SUBSTITUTE(SUBSTITUTE(SUBSTITUTE(SUBSTITUTE(SUBSTITUTE(SUBSTITUTE(SUBSTITUTE(SUBSTITUTE(SUBSTITUTE(SUBSTITUTE(SUBSTITUTE(SUBSTITUTE(LOWER(N15&amp;""),CHAR(160),"")," ",""),".",""),"-",""),"/",""),"?",""),"_",""),",",""),"[",""),"]",""),"(",""),")",""),"*",""))&gt;=5,ISNA(MATCH(SUBSTITUTE(SUBSTITUTE(SUBSTITUTE(SUBSTITUTE(SUBSTITUTE(SUBSTITUTE(SUBSTITUTE(SUBSTITUTE(SUBSTITUTE(SUBSTITUTE(SUBSTITUTE(SUBSTITUTE(SUBSTITUTE(LOWER(N15&amp;""),CHAR(160),"")," ",""),".",""),"-",""),"/",""),"?",""),"_",""),",",""),"[",""),"]",""),"(",""),")",""),"*",""),L_Placeholder,0)))),"ON FILE","OUTSTANDING"),"OUTSTANDING")</f>
        <v>OUTSTANDING</v>
      </c>
      <c r="P15" s="73" t="n">
        <f aca="false">(J15="OUTSTANDING")+(O15="OUTSTANDING")</f>
        <v>2</v>
      </c>
      <c r="Q15" s="57" t="s">
        <v>1475</v>
      </c>
    </row>
    <row r="16" customFormat="false" ht="30" hidden="false" customHeight="true" outlineLevel="0" collapsed="false">
      <c r="A16" s="69" t="s">
        <v>258</v>
      </c>
      <c r="B16" s="57" t="str">
        <f aca="false">Flights!F16</f>
        <v>MH0139</v>
      </c>
      <c r="C16" s="70" t="n">
        <f aca="false">Flights!D16</f>
        <v>46307</v>
      </c>
      <c r="D16" s="69" t="str">
        <f aca="false">Flights!G16&amp;"-"&amp;Flights!H16</f>
        <v>KUL-ADL</v>
      </c>
      <c r="E16" s="69" t="str">
        <f aca="false">Flights!L16</f>
        <v>A339</v>
      </c>
      <c r="F16" s="60"/>
      <c r="G16" s="60"/>
      <c r="H16" s="71"/>
      <c r="I16" s="60"/>
      <c r="J16" s="72" t="str">
        <f aca="false">IFERROR(IF(AND(AND(LEN(SUBSTITUTE(SUBSTITUTE(SUBSTITUTE(SUBSTITUTE(SUBSTITUTE(SUBSTITUTE(SUBSTITUTE(SUBSTITUTE(SUBSTITUTE(SUBSTITUTE(SUBSTITUTE(SUBSTITUTE(SUBSTITUTE(LOWER(F16&amp;""),CHAR(160),"")," ",""),".",""),"-",""),"/",""),"?",""),"_",""),",",""),"[",""),"]",""),"(",""),")",""),"*",""))&gt;=3,ISNA(MATCH(SUBSTITUTE(SUBSTITUTE(SUBSTITUTE(SUBSTITUTE(SUBSTITUTE(SUBSTITUTE(SUBSTITUTE(SUBSTITUTE(SUBSTITUTE(SUBSTITUTE(SUBSTITUTE(SUBSTITUTE(SUBSTITUTE(LOWER(F16&amp;""),CHAR(160),"")," ",""),".",""),"-",""),"/",""),"?",""),"_",""),",",""),"[",""),"]",""),"(",""),")",""),"*",""),L_Placeholder,0))),AND(LEN(SUBSTITUTE(SUBSTITUTE(SUBSTITUTE(SUBSTITUTE(SUBSTITUTE(SUBSTITUTE(SUBSTITUTE(SUBSTITUTE(SUBSTITUTE(SUBSTITUTE(SUBSTITUTE(SUBSTITUTE(SUBSTITUTE(LOWER(G16&amp;""),CHAR(160),"")," ",""),".",""),"-",""),"/",""),"?",""),"_",""),",",""),"[",""),"]",""),"(",""),")",""),"*",""))&gt;=1,ISNA(MATCH(SUBSTITUTE(SUBSTITUTE(SUBSTITUTE(SUBSTITUTE(SUBSTITUTE(SUBSTITUTE(SUBSTITUTE(SUBSTITUTE(SUBSTITUTE(SUBSTITUTE(SUBSTITUTE(SUBSTITUTE(SUBSTITUTE(LOWER(G16&amp;""),CHAR(160),"")," ",""),".",""),"-",""),"/",""),"?",""),"_",""),",",""),"[",""),"]",""),"(",""),")",""),"*",""),L_Placeholder,0))),ISNUMBER(H16),H16&gt;=DATE(2020,1,1),H16&lt;=Flights!$D$16,AND(LEN(SUBSTITUTE(SUBSTITUTE(SUBSTITUTE(SUBSTITUTE(SUBSTITUTE(SUBSTITUTE(SUBSTITUTE(SUBSTITUTE(SUBSTITUTE(SUBSTITUTE(SUBSTITUTE(SUBSTITUTE(SUBSTITUTE(LOWER(I16&amp;""),CHAR(160),"")," ",""),".",""),"-",""),"/",""),"?",""),"_",""),",",""),"[",""),"]",""),"(",""),")",""),"*",""))&gt;=5,ISNA(MATCH(SUBSTITUTE(SUBSTITUTE(SUBSTITUTE(SUBSTITUTE(SUBSTITUTE(SUBSTITUTE(SUBSTITUTE(SUBSTITUTE(SUBSTITUTE(SUBSTITUTE(SUBSTITUTE(SUBSTITUTE(SUBSTITUTE(LOWER(I16&amp;""),CHAR(160),"")," ",""),".",""),"-",""),"/",""),"?",""),"_",""),",",""),"[",""),"]",""),"(",""),")",""),"*",""),L_Placeholder,0)))),"ON FILE","OUTSTANDING"),"OUTSTANDING")</f>
        <v>OUTSTANDING</v>
      </c>
      <c r="K16" s="60"/>
      <c r="L16" s="60"/>
      <c r="M16" s="71"/>
      <c r="N16" s="60"/>
      <c r="O16" s="72" t="str">
        <f aca="false">IFERROR(IF(AND(AND(LEN(SUBSTITUTE(SUBSTITUTE(SUBSTITUTE(SUBSTITUTE(SUBSTITUTE(SUBSTITUTE(SUBSTITUTE(SUBSTITUTE(SUBSTITUTE(SUBSTITUTE(SUBSTITUTE(SUBSTITUTE(SUBSTITUTE(LOWER(K16&amp;""),CHAR(160),"")," ",""),".",""),"-",""),"/",""),"?",""),"_",""),",",""),"[",""),"]",""),"(",""),")",""),"*",""))&gt;=3,ISNA(MATCH(SUBSTITUTE(SUBSTITUTE(SUBSTITUTE(SUBSTITUTE(SUBSTITUTE(SUBSTITUTE(SUBSTITUTE(SUBSTITUTE(SUBSTITUTE(SUBSTITUTE(SUBSTITUTE(SUBSTITUTE(SUBSTITUTE(LOWER(K16&amp;""),CHAR(160),"")," ",""),".",""),"-",""),"/",""),"?",""),"_",""),",",""),"[",""),"]",""),"(",""),")",""),"*",""),L_Placeholder,0))),AND(LEN(SUBSTITUTE(SUBSTITUTE(SUBSTITUTE(SUBSTITUTE(SUBSTITUTE(SUBSTITUTE(SUBSTITUTE(SUBSTITUTE(SUBSTITUTE(SUBSTITUTE(SUBSTITUTE(SUBSTITUTE(SUBSTITUTE(LOWER(L16&amp;""),CHAR(160),"")," ",""),".",""),"-",""),"/",""),"?",""),"_",""),",",""),"[",""),"]",""),"(",""),")",""),"*",""))&gt;=1,ISNA(MATCH(SUBSTITUTE(SUBSTITUTE(SUBSTITUTE(SUBSTITUTE(SUBSTITUTE(SUBSTITUTE(SUBSTITUTE(SUBSTITUTE(SUBSTITUTE(SUBSTITUTE(SUBSTITUTE(SUBSTITUTE(SUBSTITUTE(LOWER(L16&amp;""),CHAR(160),"")," ",""),".",""),"-",""),"/",""),"?",""),"_",""),",",""),"[",""),"]",""),"(",""),")",""),"*",""),L_Placeholder,0))),ISNUMBER(M16),M16&gt;=DATE(2020,1,1),M16&lt;=Flights!$D$16,AND(LEN(SUBSTITUTE(SUBSTITUTE(SUBSTITUTE(SUBSTITUTE(SUBSTITUTE(SUBSTITUTE(SUBSTITUTE(SUBSTITUTE(SUBSTITUTE(SUBSTITUTE(SUBSTITUTE(SUBSTITUTE(SUBSTITUTE(LOWER(N16&amp;""),CHAR(160),"")," ",""),".",""),"-",""),"/",""),"?",""),"_",""),",",""),"[",""),"]",""),"(",""),")",""),"*",""))&gt;=5,ISNA(MATCH(SUBSTITUTE(SUBSTITUTE(SUBSTITUTE(SUBSTITUTE(SUBSTITUTE(SUBSTITUTE(SUBSTITUTE(SUBSTITUTE(SUBSTITUTE(SUBSTITUTE(SUBSTITUTE(SUBSTITUTE(SUBSTITUTE(LOWER(N16&amp;""),CHAR(160),"")," ",""),".",""),"-",""),"/",""),"?",""),"_",""),",",""),"[",""),"]",""),"(",""),")",""),"*",""),L_Placeholder,0)))),"ON FILE","OUTSTANDING"),"OUTSTANDING")</f>
        <v>OUTSTANDING</v>
      </c>
      <c r="P16" s="73" t="n">
        <f aca="false">(J16="OUTSTANDING")+(O16="OUTSTANDING")</f>
        <v>2</v>
      </c>
      <c r="Q16" s="57" t="s">
        <v>1474</v>
      </c>
    </row>
    <row r="17" customFormat="false" ht="30" hidden="false" customHeight="true" outlineLevel="0" collapsed="false">
      <c r="A17" s="69" t="s">
        <v>269</v>
      </c>
      <c r="B17" s="57" t="str">
        <f aca="false">Flights!F17</f>
        <v>MH0138</v>
      </c>
      <c r="C17" s="70" t="n">
        <f aca="false">Flights!D17</f>
        <v>46309</v>
      </c>
      <c r="D17" s="69" t="str">
        <f aca="false">Flights!G17&amp;"-"&amp;Flights!H17</f>
        <v>ADL-KUL</v>
      </c>
      <c r="E17" s="69" t="str">
        <f aca="false">Flights!L17</f>
        <v>A339</v>
      </c>
      <c r="F17" s="60"/>
      <c r="G17" s="60"/>
      <c r="H17" s="71"/>
      <c r="I17" s="60"/>
      <c r="J17" s="72" t="str">
        <f aca="false">IFERROR(IF(AND(AND(LEN(SUBSTITUTE(SUBSTITUTE(SUBSTITUTE(SUBSTITUTE(SUBSTITUTE(SUBSTITUTE(SUBSTITUTE(SUBSTITUTE(SUBSTITUTE(SUBSTITUTE(SUBSTITUTE(SUBSTITUTE(SUBSTITUTE(LOWER(F17&amp;""),CHAR(160),"")," ",""),".",""),"-",""),"/",""),"?",""),"_",""),",",""),"[",""),"]",""),"(",""),")",""),"*",""))&gt;=3,ISNA(MATCH(SUBSTITUTE(SUBSTITUTE(SUBSTITUTE(SUBSTITUTE(SUBSTITUTE(SUBSTITUTE(SUBSTITUTE(SUBSTITUTE(SUBSTITUTE(SUBSTITUTE(SUBSTITUTE(SUBSTITUTE(SUBSTITUTE(LOWER(F17&amp;""),CHAR(160),"")," ",""),".",""),"-",""),"/",""),"?",""),"_",""),",",""),"[",""),"]",""),"(",""),")",""),"*",""),L_Placeholder,0))),AND(LEN(SUBSTITUTE(SUBSTITUTE(SUBSTITUTE(SUBSTITUTE(SUBSTITUTE(SUBSTITUTE(SUBSTITUTE(SUBSTITUTE(SUBSTITUTE(SUBSTITUTE(SUBSTITUTE(SUBSTITUTE(SUBSTITUTE(LOWER(G17&amp;""),CHAR(160),"")," ",""),".",""),"-",""),"/",""),"?",""),"_",""),",",""),"[",""),"]",""),"(",""),")",""),"*",""))&gt;=1,ISNA(MATCH(SUBSTITUTE(SUBSTITUTE(SUBSTITUTE(SUBSTITUTE(SUBSTITUTE(SUBSTITUTE(SUBSTITUTE(SUBSTITUTE(SUBSTITUTE(SUBSTITUTE(SUBSTITUTE(SUBSTITUTE(SUBSTITUTE(LOWER(G17&amp;""),CHAR(160),"")," ",""),".",""),"-",""),"/",""),"?",""),"_",""),",",""),"[",""),"]",""),"(",""),")",""),"*",""),L_Placeholder,0))),ISNUMBER(H17),H17&gt;=DATE(2020,1,1),H17&lt;=Flights!$D$17,AND(LEN(SUBSTITUTE(SUBSTITUTE(SUBSTITUTE(SUBSTITUTE(SUBSTITUTE(SUBSTITUTE(SUBSTITUTE(SUBSTITUTE(SUBSTITUTE(SUBSTITUTE(SUBSTITUTE(SUBSTITUTE(SUBSTITUTE(LOWER(I17&amp;""),CHAR(160),"")," ",""),".",""),"-",""),"/",""),"?",""),"_",""),",",""),"[",""),"]",""),"(",""),")",""),"*",""))&gt;=5,ISNA(MATCH(SUBSTITUTE(SUBSTITUTE(SUBSTITUTE(SUBSTITUTE(SUBSTITUTE(SUBSTITUTE(SUBSTITUTE(SUBSTITUTE(SUBSTITUTE(SUBSTITUTE(SUBSTITUTE(SUBSTITUTE(SUBSTITUTE(LOWER(I17&amp;""),CHAR(160),"")," ",""),".",""),"-",""),"/",""),"?",""),"_",""),",",""),"[",""),"]",""),"(",""),")",""),"*",""),L_Placeholder,0)))),"ON FILE","OUTSTANDING"),"OUTSTANDING")</f>
        <v>OUTSTANDING</v>
      </c>
      <c r="K17" s="60"/>
      <c r="L17" s="60"/>
      <c r="M17" s="71"/>
      <c r="N17" s="60"/>
      <c r="O17" s="72" t="str">
        <f aca="false">IFERROR(IF(AND(AND(LEN(SUBSTITUTE(SUBSTITUTE(SUBSTITUTE(SUBSTITUTE(SUBSTITUTE(SUBSTITUTE(SUBSTITUTE(SUBSTITUTE(SUBSTITUTE(SUBSTITUTE(SUBSTITUTE(SUBSTITUTE(SUBSTITUTE(LOWER(K17&amp;""),CHAR(160),"")," ",""),".",""),"-",""),"/",""),"?",""),"_",""),",",""),"[",""),"]",""),"(",""),")",""),"*",""))&gt;=3,ISNA(MATCH(SUBSTITUTE(SUBSTITUTE(SUBSTITUTE(SUBSTITUTE(SUBSTITUTE(SUBSTITUTE(SUBSTITUTE(SUBSTITUTE(SUBSTITUTE(SUBSTITUTE(SUBSTITUTE(SUBSTITUTE(SUBSTITUTE(LOWER(K17&amp;""),CHAR(160),"")," ",""),".",""),"-",""),"/",""),"?",""),"_",""),",",""),"[",""),"]",""),"(",""),")",""),"*",""),L_Placeholder,0))),AND(LEN(SUBSTITUTE(SUBSTITUTE(SUBSTITUTE(SUBSTITUTE(SUBSTITUTE(SUBSTITUTE(SUBSTITUTE(SUBSTITUTE(SUBSTITUTE(SUBSTITUTE(SUBSTITUTE(SUBSTITUTE(SUBSTITUTE(LOWER(L17&amp;""),CHAR(160),"")," ",""),".",""),"-",""),"/",""),"?",""),"_",""),",",""),"[",""),"]",""),"(",""),")",""),"*",""))&gt;=1,ISNA(MATCH(SUBSTITUTE(SUBSTITUTE(SUBSTITUTE(SUBSTITUTE(SUBSTITUTE(SUBSTITUTE(SUBSTITUTE(SUBSTITUTE(SUBSTITUTE(SUBSTITUTE(SUBSTITUTE(SUBSTITUTE(SUBSTITUTE(LOWER(L17&amp;""),CHAR(160),"")," ",""),".",""),"-",""),"/",""),"?",""),"_",""),",",""),"[",""),"]",""),"(",""),")",""),"*",""),L_Placeholder,0))),ISNUMBER(M17),M17&gt;=DATE(2020,1,1),M17&lt;=Flights!$D$17,AND(LEN(SUBSTITUTE(SUBSTITUTE(SUBSTITUTE(SUBSTITUTE(SUBSTITUTE(SUBSTITUTE(SUBSTITUTE(SUBSTITUTE(SUBSTITUTE(SUBSTITUTE(SUBSTITUTE(SUBSTITUTE(SUBSTITUTE(LOWER(N17&amp;""),CHAR(160),"")," ",""),".",""),"-",""),"/",""),"?",""),"_",""),",",""),"[",""),"]",""),"(",""),")",""),"*",""))&gt;=5,ISNA(MATCH(SUBSTITUTE(SUBSTITUTE(SUBSTITUTE(SUBSTITUTE(SUBSTITUTE(SUBSTITUTE(SUBSTITUTE(SUBSTITUTE(SUBSTITUTE(SUBSTITUTE(SUBSTITUTE(SUBSTITUTE(SUBSTITUTE(LOWER(N17&amp;""),CHAR(160),"")," ",""),".",""),"-",""),"/",""),"?",""),"_",""),",",""),"[",""),"]",""),"(",""),")",""),"*",""),L_Placeholder,0)))),"ON FILE","OUTSTANDING"),"OUTSTANDING")</f>
        <v>OUTSTANDING</v>
      </c>
      <c r="P17" s="73" t="n">
        <f aca="false">(J17="OUTSTANDING")+(O17="OUTSTANDING")</f>
        <v>2</v>
      </c>
      <c r="Q17" s="57" t="s">
        <v>1474</v>
      </c>
    </row>
    <row r="18" customFormat="false" ht="30" hidden="false" customHeight="true" outlineLevel="0" collapsed="false">
      <c r="A18" s="69" t="s">
        <v>273</v>
      </c>
      <c r="B18" s="57" t="str">
        <f aca="false">Flights!F18</f>
        <v>MH0004</v>
      </c>
      <c r="C18" s="70" t="n">
        <f aca="false">Flights!D18</f>
        <v>46310</v>
      </c>
      <c r="D18" s="69" t="str">
        <f aca="false">Flights!G18&amp;"-"&amp;Flights!H18</f>
        <v>KUL-LHR</v>
      </c>
      <c r="E18" s="69" t="str">
        <f aca="false">Flights!L18</f>
        <v>A350</v>
      </c>
      <c r="F18" s="60"/>
      <c r="G18" s="60"/>
      <c r="H18" s="71"/>
      <c r="I18" s="60"/>
      <c r="J18" s="72" t="str">
        <f aca="false">IFERROR(IF(AND(AND(LEN(SUBSTITUTE(SUBSTITUTE(SUBSTITUTE(SUBSTITUTE(SUBSTITUTE(SUBSTITUTE(SUBSTITUTE(SUBSTITUTE(SUBSTITUTE(SUBSTITUTE(SUBSTITUTE(SUBSTITUTE(SUBSTITUTE(LOWER(F18&amp;""),CHAR(160),"")," ",""),".",""),"-",""),"/",""),"?",""),"_",""),",",""),"[",""),"]",""),"(",""),")",""),"*",""))&gt;=3,ISNA(MATCH(SUBSTITUTE(SUBSTITUTE(SUBSTITUTE(SUBSTITUTE(SUBSTITUTE(SUBSTITUTE(SUBSTITUTE(SUBSTITUTE(SUBSTITUTE(SUBSTITUTE(SUBSTITUTE(SUBSTITUTE(SUBSTITUTE(LOWER(F18&amp;""),CHAR(160),"")," ",""),".",""),"-",""),"/",""),"?",""),"_",""),",",""),"[",""),"]",""),"(",""),")",""),"*",""),L_Placeholder,0))),AND(LEN(SUBSTITUTE(SUBSTITUTE(SUBSTITUTE(SUBSTITUTE(SUBSTITUTE(SUBSTITUTE(SUBSTITUTE(SUBSTITUTE(SUBSTITUTE(SUBSTITUTE(SUBSTITUTE(SUBSTITUTE(SUBSTITUTE(LOWER(G18&amp;""),CHAR(160),"")," ",""),".",""),"-",""),"/",""),"?",""),"_",""),",",""),"[",""),"]",""),"(",""),")",""),"*",""))&gt;=1,ISNA(MATCH(SUBSTITUTE(SUBSTITUTE(SUBSTITUTE(SUBSTITUTE(SUBSTITUTE(SUBSTITUTE(SUBSTITUTE(SUBSTITUTE(SUBSTITUTE(SUBSTITUTE(SUBSTITUTE(SUBSTITUTE(SUBSTITUTE(LOWER(G18&amp;""),CHAR(160),"")," ",""),".",""),"-",""),"/",""),"?",""),"_",""),",",""),"[",""),"]",""),"(",""),")",""),"*",""),L_Placeholder,0))),ISNUMBER(H18),H18&gt;=DATE(2020,1,1),H18&lt;=Flights!$D$18,AND(LEN(SUBSTITUTE(SUBSTITUTE(SUBSTITUTE(SUBSTITUTE(SUBSTITUTE(SUBSTITUTE(SUBSTITUTE(SUBSTITUTE(SUBSTITUTE(SUBSTITUTE(SUBSTITUTE(SUBSTITUTE(SUBSTITUTE(LOWER(I18&amp;""),CHAR(160),"")," ",""),".",""),"-",""),"/",""),"?",""),"_",""),",",""),"[",""),"]",""),"(",""),")",""),"*",""))&gt;=5,ISNA(MATCH(SUBSTITUTE(SUBSTITUTE(SUBSTITUTE(SUBSTITUTE(SUBSTITUTE(SUBSTITUTE(SUBSTITUTE(SUBSTITUTE(SUBSTITUTE(SUBSTITUTE(SUBSTITUTE(SUBSTITUTE(SUBSTITUTE(LOWER(I18&amp;""),CHAR(160),"")," ",""),".",""),"-",""),"/",""),"?",""),"_",""),",",""),"[",""),"]",""),"(",""),")",""),"*",""),L_Placeholder,0)))),"ON FILE","OUTSTANDING"),"OUTSTANDING")</f>
        <v>OUTSTANDING</v>
      </c>
      <c r="K18" s="60"/>
      <c r="L18" s="60"/>
      <c r="M18" s="71"/>
      <c r="N18" s="60"/>
      <c r="O18" s="72" t="str">
        <f aca="false">IFERROR(IF(AND(AND(LEN(SUBSTITUTE(SUBSTITUTE(SUBSTITUTE(SUBSTITUTE(SUBSTITUTE(SUBSTITUTE(SUBSTITUTE(SUBSTITUTE(SUBSTITUTE(SUBSTITUTE(SUBSTITUTE(SUBSTITUTE(SUBSTITUTE(LOWER(K18&amp;""),CHAR(160),"")," ",""),".",""),"-",""),"/",""),"?",""),"_",""),",",""),"[",""),"]",""),"(",""),")",""),"*",""))&gt;=3,ISNA(MATCH(SUBSTITUTE(SUBSTITUTE(SUBSTITUTE(SUBSTITUTE(SUBSTITUTE(SUBSTITUTE(SUBSTITUTE(SUBSTITUTE(SUBSTITUTE(SUBSTITUTE(SUBSTITUTE(SUBSTITUTE(SUBSTITUTE(LOWER(K18&amp;""),CHAR(160),"")," ",""),".",""),"-",""),"/",""),"?",""),"_",""),",",""),"[",""),"]",""),"(",""),")",""),"*",""),L_Placeholder,0))),AND(LEN(SUBSTITUTE(SUBSTITUTE(SUBSTITUTE(SUBSTITUTE(SUBSTITUTE(SUBSTITUTE(SUBSTITUTE(SUBSTITUTE(SUBSTITUTE(SUBSTITUTE(SUBSTITUTE(SUBSTITUTE(SUBSTITUTE(LOWER(L18&amp;""),CHAR(160),"")," ",""),".",""),"-",""),"/",""),"?",""),"_",""),",",""),"[",""),"]",""),"(",""),")",""),"*",""))&gt;=1,ISNA(MATCH(SUBSTITUTE(SUBSTITUTE(SUBSTITUTE(SUBSTITUTE(SUBSTITUTE(SUBSTITUTE(SUBSTITUTE(SUBSTITUTE(SUBSTITUTE(SUBSTITUTE(SUBSTITUTE(SUBSTITUTE(SUBSTITUTE(LOWER(L18&amp;""),CHAR(160),"")," ",""),".",""),"-",""),"/",""),"?",""),"_",""),",",""),"[",""),"]",""),"(",""),")",""),"*",""),L_Placeholder,0))),ISNUMBER(M18),M18&gt;=DATE(2020,1,1),M18&lt;=Flights!$D$18,AND(LEN(SUBSTITUTE(SUBSTITUTE(SUBSTITUTE(SUBSTITUTE(SUBSTITUTE(SUBSTITUTE(SUBSTITUTE(SUBSTITUTE(SUBSTITUTE(SUBSTITUTE(SUBSTITUTE(SUBSTITUTE(SUBSTITUTE(LOWER(N18&amp;""),CHAR(160),"")," ",""),".",""),"-",""),"/",""),"?",""),"_",""),",",""),"[",""),"]",""),"(",""),")",""),"*",""))&gt;=5,ISNA(MATCH(SUBSTITUTE(SUBSTITUTE(SUBSTITUTE(SUBSTITUTE(SUBSTITUTE(SUBSTITUTE(SUBSTITUTE(SUBSTITUTE(SUBSTITUTE(SUBSTITUTE(SUBSTITUTE(SUBSTITUTE(SUBSTITUTE(LOWER(N18&amp;""),CHAR(160),"")," ",""),".",""),"-",""),"/",""),"?",""),"_",""),",",""),"[",""),"]",""),"(",""),")",""),"*",""),L_Placeholder,0)))),"ON FILE","OUTSTANDING"),"OUTSTANDING")</f>
        <v>OUTSTANDING</v>
      </c>
      <c r="P18" s="73" t="n">
        <f aca="false">(J18="OUTSTANDING")+(O18="OUTSTANDING")</f>
        <v>2</v>
      </c>
      <c r="Q18" s="57" t="s">
        <v>1474</v>
      </c>
    </row>
    <row r="19" customFormat="false" ht="30" hidden="false" customHeight="true" outlineLevel="0" collapsed="false">
      <c r="A19" s="69" t="s">
        <v>275</v>
      </c>
      <c r="B19" s="57" t="str">
        <f aca="false">Flights!F19</f>
        <v>MH0003</v>
      </c>
      <c r="C19" s="70" t="n">
        <f aca="false">Flights!D19</f>
        <v>46320</v>
      </c>
      <c r="D19" s="69" t="str">
        <f aca="false">Flights!G19&amp;"-"&amp;Flights!H19</f>
        <v>LHR-KUL</v>
      </c>
      <c r="E19" s="69" t="str">
        <f aca="false">Flights!L19</f>
        <v>A350</v>
      </c>
      <c r="F19" s="60"/>
      <c r="G19" s="60"/>
      <c r="H19" s="71"/>
      <c r="I19" s="60"/>
      <c r="J19" s="72" t="str">
        <f aca="false">IFERROR(IF(AND(AND(LEN(SUBSTITUTE(SUBSTITUTE(SUBSTITUTE(SUBSTITUTE(SUBSTITUTE(SUBSTITUTE(SUBSTITUTE(SUBSTITUTE(SUBSTITUTE(SUBSTITUTE(SUBSTITUTE(SUBSTITUTE(SUBSTITUTE(LOWER(F19&amp;""),CHAR(160),"")," ",""),".",""),"-",""),"/",""),"?",""),"_",""),",",""),"[",""),"]",""),"(",""),")",""),"*",""))&gt;=3,ISNA(MATCH(SUBSTITUTE(SUBSTITUTE(SUBSTITUTE(SUBSTITUTE(SUBSTITUTE(SUBSTITUTE(SUBSTITUTE(SUBSTITUTE(SUBSTITUTE(SUBSTITUTE(SUBSTITUTE(SUBSTITUTE(SUBSTITUTE(LOWER(F19&amp;""),CHAR(160),"")," ",""),".",""),"-",""),"/",""),"?",""),"_",""),",",""),"[",""),"]",""),"(",""),")",""),"*",""),L_Placeholder,0))),AND(LEN(SUBSTITUTE(SUBSTITUTE(SUBSTITUTE(SUBSTITUTE(SUBSTITUTE(SUBSTITUTE(SUBSTITUTE(SUBSTITUTE(SUBSTITUTE(SUBSTITUTE(SUBSTITUTE(SUBSTITUTE(SUBSTITUTE(LOWER(G19&amp;""),CHAR(160),"")," ",""),".",""),"-",""),"/",""),"?",""),"_",""),",",""),"[",""),"]",""),"(",""),")",""),"*",""))&gt;=1,ISNA(MATCH(SUBSTITUTE(SUBSTITUTE(SUBSTITUTE(SUBSTITUTE(SUBSTITUTE(SUBSTITUTE(SUBSTITUTE(SUBSTITUTE(SUBSTITUTE(SUBSTITUTE(SUBSTITUTE(SUBSTITUTE(SUBSTITUTE(LOWER(G19&amp;""),CHAR(160),"")," ",""),".",""),"-",""),"/",""),"?",""),"_",""),",",""),"[",""),"]",""),"(",""),")",""),"*",""),L_Placeholder,0))),ISNUMBER(H19),H19&gt;=DATE(2020,1,1),H19&lt;=Flights!$D$19,AND(LEN(SUBSTITUTE(SUBSTITUTE(SUBSTITUTE(SUBSTITUTE(SUBSTITUTE(SUBSTITUTE(SUBSTITUTE(SUBSTITUTE(SUBSTITUTE(SUBSTITUTE(SUBSTITUTE(SUBSTITUTE(SUBSTITUTE(LOWER(I19&amp;""),CHAR(160),"")," ",""),".",""),"-",""),"/",""),"?",""),"_",""),",",""),"[",""),"]",""),"(",""),")",""),"*",""))&gt;=5,ISNA(MATCH(SUBSTITUTE(SUBSTITUTE(SUBSTITUTE(SUBSTITUTE(SUBSTITUTE(SUBSTITUTE(SUBSTITUTE(SUBSTITUTE(SUBSTITUTE(SUBSTITUTE(SUBSTITUTE(SUBSTITUTE(SUBSTITUTE(LOWER(I19&amp;""),CHAR(160),"")," ",""),".",""),"-",""),"/",""),"?",""),"_",""),",",""),"[",""),"]",""),"(",""),")",""),"*",""),L_Placeholder,0)))),"ON FILE","OUTSTANDING"),"OUTSTANDING")</f>
        <v>OUTSTANDING</v>
      </c>
      <c r="K19" s="60"/>
      <c r="L19" s="60"/>
      <c r="M19" s="71"/>
      <c r="N19" s="60"/>
      <c r="O19" s="72" t="str">
        <f aca="false">IFERROR(IF(AND(AND(LEN(SUBSTITUTE(SUBSTITUTE(SUBSTITUTE(SUBSTITUTE(SUBSTITUTE(SUBSTITUTE(SUBSTITUTE(SUBSTITUTE(SUBSTITUTE(SUBSTITUTE(SUBSTITUTE(SUBSTITUTE(SUBSTITUTE(LOWER(K19&amp;""),CHAR(160),"")," ",""),".",""),"-",""),"/",""),"?",""),"_",""),",",""),"[",""),"]",""),"(",""),")",""),"*",""))&gt;=3,ISNA(MATCH(SUBSTITUTE(SUBSTITUTE(SUBSTITUTE(SUBSTITUTE(SUBSTITUTE(SUBSTITUTE(SUBSTITUTE(SUBSTITUTE(SUBSTITUTE(SUBSTITUTE(SUBSTITUTE(SUBSTITUTE(SUBSTITUTE(LOWER(K19&amp;""),CHAR(160),"")," ",""),".",""),"-",""),"/",""),"?",""),"_",""),",",""),"[",""),"]",""),"(",""),")",""),"*",""),L_Placeholder,0))),AND(LEN(SUBSTITUTE(SUBSTITUTE(SUBSTITUTE(SUBSTITUTE(SUBSTITUTE(SUBSTITUTE(SUBSTITUTE(SUBSTITUTE(SUBSTITUTE(SUBSTITUTE(SUBSTITUTE(SUBSTITUTE(SUBSTITUTE(LOWER(L19&amp;""),CHAR(160),"")," ",""),".",""),"-",""),"/",""),"?",""),"_",""),",",""),"[",""),"]",""),"(",""),")",""),"*",""))&gt;=1,ISNA(MATCH(SUBSTITUTE(SUBSTITUTE(SUBSTITUTE(SUBSTITUTE(SUBSTITUTE(SUBSTITUTE(SUBSTITUTE(SUBSTITUTE(SUBSTITUTE(SUBSTITUTE(SUBSTITUTE(SUBSTITUTE(SUBSTITUTE(LOWER(L19&amp;""),CHAR(160),"")," ",""),".",""),"-",""),"/",""),"?",""),"_",""),",",""),"[",""),"]",""),"(",""),")",""),"*",""),L_Placeholder,0))),ISNUMBER(M19),M19&gt;=DATE(2020,1,1),M19&lt;=Flights!$D$19,AND(LEN(SUBSTITUTE(SUBSTITUTE(SUBSTITUTE(SUBSTITUTE(SUBSTITUTE(SUBSTITUTE(SUBSTITUTE(SUBSTITUTE(SUBSTITUTE(SUBSTITUTE(SUBSTITUTE(SUBSTITUTE(SUBSTITUTE(LOWER(N19&amp;""),CHAR(160),"")," ",""),".",""),"-",""),"/",""),"?",""),"_",""),",",""),"[",""),"]",""),"(",""),")",""),"*",""))&gt;=5,ISNA(MATCH(SUBSTITUTE(SUBSTITUTE(SUBSTITUTE(SUBSTITUTE(SUBSTITUTE(SUBSTITUTE(SUBSTITUTE(SUBSTITUTE(SUBSTITUTE(SUBSTITUTE(SUBSTITUTE(SUBSTITUTE(SUBSTITUTE(LOWER(N19&amp;""),CHAR(160),"")," ",""),".",""),"-",""),"/",""),"?",""),"_",""),",",""),"[",""),"]",""),"(",""),")",""),"*",""),L_Placeholder,0)))),"ON FILE","OUTSTANDING"),"OUTSTANDING")</f>
        <v>OUTSTANDING</v>
      </c>
      <c r="P19" s="73" t="n">
        <f aca="false">(J19="OUTSTANDING")+(O19="OUTSTANDING")</f>
        <v>2</v>
      </c>
      <c r="Q19" s="57" t="s">
        <v>1474</v>
      </c>
    </row>
    <row r="20" customFormat="false" ht="30" hidden="false" customHeight="true" outlineLevel="0" collapsed="false">
      <c r="A20" s="69" t="s">
        <v>277</v>
      </c>
      <c r="B20" s="57" t="str">
        <f aca="false">Flights!F20</f>
        <v>MH0072</v>
      </c>
      <c r="C20" s="70" t="n">
        <f aca="false">Flights!D20</f>
        <v>46321</v>
      </c>
      <c r="D20" s="69" t="str">
        <f aca="false">Flights!G20&amp;"-"&amp;Flights!H20</f>
        <v>KUL-HKG</v>
      </c>
      <c r="E20" s="69" t="str">
        <f aca="false">Flights!L20</f>
        <v>B738MAX</v>
      </c>
      <c r="F20" s="60"/>
      <c r="G20" s="60"/>
      <c r="H20" s="71"/>
      <c r="I20" s="60"/>
      <c r="J20" s="72" t="str">
        <f aca="false">IFERROR(IF(AND(AND(LEN(SUBSTITUTE(SUBSTITUTE(SUBSTITUTE(SUBSTITUTE(SUBSTITUTE(SUBSTITUTE(SUBSTITUTE(SUBSTITUTE(SUBSTITUTE(SUBSTITUTE(SUBSTITUTE(SUBSTITUTE(SUBSTITUTE(LOWER(F20&amp;""),CHAR(160),"")," ",""),".",""),"-",""),"/",""),"?",""),"_",""),",",""),"[",""),"]",""),"(",""),")",""),"*",""))&gt;=3,ISNA(MATCH(SUBSTITUTE(SUBSTITUTE(SUBSTITUTE(SUBSTITUTE(SUBSTITUTE(SUBSTITUTE(SUBSTITUTE(SUBSTITUTE(SUBSTITUTE(SUBSTITUTE(SUBSTITUTE(SUBSTITUTE(SUBSTITUTE(LOWER(F20&amp;""),CHAR(160),"")," ",""),".",""),"-",""),"/",""),"?",""),"_",""),",",""),"[",""),"]",""),"(",""),")",""),"*",""),L_Placeholder,0))),AND(LEN(SUBSTITUTE(SUBSTITUTE(SUBSTITUTE(SUBSTITUTE(SUBSTITUTE(SUBSTITUTE(SUBSTITUTE(SUBSTITUTE(SUBSTITUTE(SUBSTITUTE(SUBSTITUTE(SUBSTITUTE(SUBSTITUTE(LOWER(G20&amp;""),CHAR(160),"")," ",""),".",""),"-",""),"/",""),"?",""),"_",""),",",""),"[",""),"]",""),"(",""),")",""),"*",""))&gt;=1,ISNA(MATCH(SUBSTITUTE(SUBSTITUTE(SUBSTITUTE(SUBSTITUTE(SUBSTITUTE(SUBSTITUTE(SUBSTITUTE(SUBSTITUTE(SUBSTITUTE(SUBSTITUTE(SUBSTITUTE(SUBSTITUTE(SUBSTITUTE(LOWER(G20&amp;""),CHAR(160),"")," ",""),".",""),"-",""),"/",""),"?",""),"_",""),",",""),"[",""),"]",""),"(",""),")",""),"*",""),L_Placeholder,0))),ISNUMBER(H20),H20&gt;=DATE(2020,1,1),H20&lt;=Flights!$D$20,AND(LEN(SUBSTITUTE(SUBSTITUTE(SUBSTITUTE(SUBSTITUTE(SUBSTITUTE(SUBSTITUTE(SUBSTITUTE(SUBSTITUTE(SUBSTITUTE(SUBSTITUTE(SUBSTITUTE(SUBSTITUTE(SUBSTITUTE(LOWER(I20&amp;""),CHAR(160),"")," ",""),".",""),"-",""),"/",""),"?",""),"_",""),",",""),"[",""),"]",""),"(",""),")",""),"*",""))&gt;=5,ISNA(MATCH(SUBSTITUTE(SUBSTITUTE(SUBSTITUTE(SUBSTITUTE(SUBSTITUTE(SUBSTITUTE(SUBSTITUTE(SUBSTITUTE(SUBSTITUTE(SUBSTITUTE(SUBSTITUTE(SUBSTITUTE(SUBSTITUTE(LOWER(I20&amp;""),CHAR(160),"")," ",""),".",""),"-",""),"/",""),"?",""),"_",""),",",""),"[",""),"]",""),"(",""),")",""),"*",""),L_Placeholder,0)))),"ON FILE","OUTSTANDING"),"OUTSTANDING")</f>
        <v>OUTSTANDING</v>
      </c>
      <c r="K20" s="60"/>
      <c r="L20" s="60"/>
      <c r="M20" s="71"/>
      <c r="N20" s="60"/>
      <c r="O20" s="72" t="str">
        <f aca="false">IFERROR(IF(AND(AND(LEN(SUBSTITUTE(SUBSTITUTE(SUBSTITUTE(SUBSTITUTE(SUBSTITUTE(SUBSTITUTE(SUBSTITUTE(SUBSTITUTE(SUBSTITUTE(SUBSTITUTE(SUBSTITUTE(SUBSTITUTE(SUBSTITUTE(LOWER(K20&amp;""),CHAR(160),"")," ",""),".",""),"-",""),"/",""),"?",""),"_",""),",",""),"[",""),"]",""),"(",""),")",""),"*",""))&gt;=3,ISNA(MATCH(SUBSTITUTE(SUBSTITUTE(SUBSTITUTE(SUBSTITUTE(SUBSTITUTE(SUBSTITUTE(SUBSTITUTE(SUBSTITUTE(SUBSTITUTE(SUBSTITUTE(SUBSTITUTE(SUBSTITUTE(SUBSTITUTE(LOWER(K20&amp;""),CHAR(160),"")," ",""),".",""),"-",""),"/",""),"?",""),"_",""),",",""),"[",""),"]",""),"(",""),")",""),"*",""),L_Placeholder,0))),AND(LEN(SUBSTITUTE(SUBSTITUTE(SUBSTITUTE(SUBSTITUTE(SUBSTITUTE(SUBSTITUTE(SUBSTITUTE(SUBSTITUTE(SUBSTITUTE(SUBSTITUTE(SUBSTITUTE(SUBSTITUTE(SUBSTITUTE(LOWER(L20&amp;""),CHAR(160),"")," ",""),".",""),"-",""),"/",""),"?",""),"_",""),",",""),"[",""),"]",""),"(",""),")",""),"*",""))&gt;=1,ISNA(MATCH(SUBSTITUTE(SUBSTITUTE(SUBSTITUTE(SUBSTITUTE(SUBSTITUTE(SUBSTITUTE(SUBSTITUTE(SUBSTITUTE(SUBSTITUTE(SUBSTITUTE(SUBSTITUTE(SUBSTITUTE(SUBSTITUTE(LOWER(L20&amp;""),CHAR(160),"")," ",""),".",""),"-",""),"/",""),"?",""),"_",""),",",""),"[",""),"]",""),"(",""),")",""),"*",""),L_Placeholder,0))),ISNUMBER(M20),M20&gt;=DATE(2020,1,1),M20&lt;=Flights!$D$20,AND(LEN(SUBSTITUTE(SUBSTITUTE(SUBSTITUTE(SUBSTITUTE(SUBSTITUTE(SUBSTITUTE(SUBSTITUTE(SUBSTITUTE(SUBSTITUTE(SUBSTITUTE(SUBSTITUTE(SUBSTITUTE(SUBSTITUTE(LOWER(N20&amp;""),CHAR(160),"")," ",""),".",""),"-",""),"/",""),"?",""),"_",""),",",""),"[",""),"]",""),"(",""),")",""),"*",""))&gt;=5,ISNA(MATCH(SUBSTITUTE(SUBSTITUTE(SUBSTITUTE(SUBSTITUTE(SUBSTITUTE(SUBSTITUTE(SUBSTITUTE(SUBSTITUTE(SUBSTITUTE(SUBSTITUTE(SUBSTITUTE(SUBSTITUTE(SUBSTITUTE(LOWER(N20&amp;""),CHAR(160),"")," ",""),".",""),"-",""),"/",""),"?",""),"_",""),",",""),"[",""),"]",""),"(",""),")",""),"*",""),L_Placeholder,0)))),"ON FILE","OUTSTANDING"),"OUTSTANDING")</f>
        <v>OUTSTANDING</v>
      </c>
      <c r="P20" s="73" t="n">
        <f aca="false">(J20="OUTSTANDING")+(O20="OUTSTANDING")</f>
        <v>2</v>
      </c>
      <c r="Q20" s="57" t="s">
        <v>1474</v>
      </c>
    </row>
    <row r="21" customFormat="false" ht="30" hidden="false" customHeight="true" outlineLevel="0" collapsed="false">
      <c r="A21" s="69" t="s">
        <v>287</v>
      </c>
      <c r="B21" s="57" t="str">
        <f aca="false">Flights!F21</f>
        <v>MH0073</v>
      </c>
      <c r="C21" s="70" t="n">
        <f aca="false">Flights!D21</f>
        <v>46322</v>
      </c>
      <c r="D21" s="69" t="str">
        <f aca="false">Flights!G21&amp;"-"&amp;Flights!H21</f>
        <v>HKG-KUL</v>
      </c>
      <c r="E21" s="69" t="str">
        <f aca="false">Flights!L21</f>
        <v>B738MAX</v>
      </c>
      <c r="F21" s="60"/>
      <c r="G21" s="60"/>
      <c r="H21" s="71"/>
      <c r="I21" s="60"/>
      <c r="J21" s="72" t="str">
        <f aca="false">IFERROR(IF(AND(AND(LEN(SUBSTITUTE(SUBSTITUTE(SUBSTITUTE(SUBSTITUTE(SUBSTITUTE(SUBSTITUTE(SUBSTITUTE(SUBSTITUTE(SUBSTITUTE(SUBSTITUTE(SUBSTITUTE(SUBSTITUTE(SUBSTITUTE(LOWER(F21&amp;""),CHAR(160),"")," ",""),".",""),"-",""),"/",""),"?",""),"_",""),",",""),"[",""),"]",""),"(",""),")",""),"*",""))&gt;=3,ISNA(MATCH(SUBSTITUTE(SUBSTITUTE(SUBSTITUTE(SUBSTITUTE(SUBSTITUTE(SUBSTITUTE(SUBSTITUTE(SUBSTITUTE(SUBSTITUTE(SUBSTITUTE(SUBSTITUTE(SUBSTITUTE(SUBSTITUTE(LOWER(F21&amp;""),CHAR(160),"")," ",""),".",""),"-",""),"/",""),"?",""),"_",""),",",""),"[",""),"]",""),"(",""),")",""),"*",""),L_Placeholder,0))),AND(LEN(SUBSTITUTE(SUBSTITUTE(SUBSTITUTE(SUBSTITUTE(SUBSTITUTE(SUBSTITUTE(SUBSTITUTE(SUBSTITUTE(SUBSTITUTE(SUBSTITUTE(SUBSTITUTE(SUBSTITUTE(SUBSTITUTE(LOWER(G21&amp;""),CHAR(160),"")," ",""),".",""),"-",""),"/",""),"?",""),"_",""),",",""),"[",""),"]",""),"(",""),")",""),"*",""))&gt;=1,ISNA(MATCH(SUBSTITUTE(SUBSTITUTE(SUBSTITUTE(SUBSTITUTE(SUBSTITUTE(SUBSTITUTE(SUBSTITUTE(SUBSTITUTE(SUBSTITUTE(SUBSTITUTE(SUBSTITUTE(SUBSTITUTE(SUBSTITUTE(LOWER(G21&amp;""),CHAR(160),"")," ",""),".",""),"-",""),"/",""),"?",""),"_",""),",",""),"[",""),"]",""),"(",""),")",""),"*",""),L_Placeholder,0))),ISNUMBER(H21),H21&gt;=DATE(2020,1,1),H21&lt;=Flights!$D$21,AND(LEN(SUBSTITUTE(SUBSTITUTE(SUBSTITUTE(SUBSTITUTE(SUBSTITUTE(SUBSTITUTE(SUBSTITUTE(SUBSTITUTE(SUBSTITUTE(SUBSTITUTE(SUBSTITUTE(SUBSTITUTE(SUBSTITUTE(LOWER(I21&amp;""),CHAR(160),"")," ",""),".",""),"-",""),"/",""),"?",""),"_",""),",",""),"[",""),"]",""),"(",""),")",""),"*",""))&gt;=5,ISNA(MATCH(SUBSTITUTE(SUBSTITUTE(SUBSTITUTE(SUBSTITUTE(SUBSTITUTE(SUBSTITUTE(SUBSTITUTE(SUBSTITUTE(SUBSTITUTE(SUBSTITUTE(SUBSTITUTE(SUBSTITUTE(SUBSTITUTE(LOWER(I21&amp;""),CHAR(160),"")," ",""),".",""),"-",""),"/",""),"?",""),"_",""),",",""),"[",""),"]",""),"(",""),")",""),"*",""),L_Placeholder,0)))),"ON FILE","OUTSTANDING"),"OUTSTANDING")</f>
        <v>OUTSTANDING</v>
      </c>
      <c r="K21" s="60"/>
      <c r="L21" s="60"/>
      <c r="M21" s="71"/>
      <c r="N21" s="60"/>
      <c r="O21" s="72" t="str">
        <f aca="false">IFERROR(IF(AND(AND(LEN(SUBSTITUTE(SUBSTITUTE(SUBSTITUTE(SUBSTITUTE(SUBSTITUTE(SUBSTITUTE(SUBSTITUTE(SUBSTITUTE(SUBSTITUTE(SUBSTITUTE(SUBSTITUTE(SUBSTITUTE(SUBSTITUTE(LOWER(K21&amp;""),CHAR(160),"")," ",""),".",""),"-",""),"/",""),"?",""),"_",""),",",""),"[",""),"]",""),"(",""),")",""),"*",""))&gt;=3,ISNA(MATCH(SUBSTITUTE(SUBSTITUTE(SUBSTITUTE(SUBSTITUTE(SUBSTITUTE(SUBSTITUTE(SUBSTITUTE(SUBSTITUTE(SUBSTITUTE(SUBSTITUTE(SUBSTITUTE(SUBSTITUTE(SUBSTITUTE(LOWER(K21&amp;""),CHAR(160),"")," ",""),".",""),"-",""),"/",""),"?",""),"_",""),",",""),"[",""),"]",""),"(",""),")",""),"*",""),L_Placeholder,0))),AND(LEN(SUBSTITUTE(SUBSTITUTE(SUBSTITUTE(SUBSTITUTE(SUBSTITUTE(SUBSTITUTE(SUBSTITUTE(SUBSTITUTE(SUBSTITUTE(SUBSTITUTE(SUBSTITUTE(SUBSTITUTE(SUBSTITUTE(LOWER(L21&amp;""),CHAR(160),"")," ",""),".",""),"-",""),"/",""),"?",""),"_",""),",",""),"[",""),"]",""),"(",""),")",""),"*",""))&gt;=1,ISNA(MATCH(SUBSTITUTE(SUBSTITUTE(SUBSTITUTE(SUBSTITUTE(SUBSTITUTE(SUBSTITUTE(SUBSTITUTE(SUBSTITUTE(SUBSTITUTE(SUBSTITUTE(SUBSTITUTE(SUBSTITUTE(SUBSTITUTE(LOWER(L21&amp;""),CHAR(160),"")," ",""),".",""),"-",""),"/",""),"?",""),"_",""),",",""),"[",""),"]",""),"(",""),")",""),"*",""),L_Placeholder,0))),ISNUMBER(M21),M21&gt;=DATE(2020,1,1),M21&lt;=Flights!$D$21,AND(LEN(SUBSTITUTE(SUBSTITUTE(SUBSTITUTE(SUBSTITUTE(SUBSTITUTE(SUBSTITUTE(SUBSTITUTE(SUBSTITUTE(SUBSTITUTE(SUBSTITUTE(SUBSTITUTE(SUBSTITUTE(SUBSTITUTE(LOWER(N21&amp;""),CHAR(160),"")," ",""),".",""),"-",""),"/",""),"?",""),"_",""),",",""),"[",""),"]",""),"(",""),")",""),"*",""))&gt;=5,ISNA(MATCH(SUBSTITUTE(SUBSTITUTE(SUBSTITUTE(SUBSTITUTE(SUBSTITUTE(SUBSTITUTE(SUBSTITUTE(SUBSTITUTE(SUBSTITUTE(SUBSTITUTE(SUBSTITUTE(SUBSTITUTE(SUBSTITUTE(LOWER(N21&amp;""),CHAR(160),"")," ",""),".",""),"-",""),"/",""),"?",""),"_",""),",",""),"[",""),"]",""),"(",""),")",""),"*",""),L_Placeholder,0)))),"ON FILE","OUTSTANDING"),"OUTSTANDING")</f>
        <v>OUTSTANDING</v>
      </c>
      <c r="P21" s="73" t="n">
        <f aca="false">(J21="OUTSTANDING")+(O21="OUTSTANDING")</f>
        <v>2</v>
      </c>
      <c r="Q21" s="57" t="s">
        <v>1474</v>
      </c>
    </row>
    <row r="22" customFormat="false" ht="30" hidden="false" customHeight="true" outlineLevel="0" collapsed="false">
      <c r="A22" s="69" t="s">
        <v>290</v>
      </c>
      <c r="B22" s="57" t="str">
        <f aca="false">Flights!F22</f>
        <v>MH0052</v>
      </c>
      <c r="C22" s="70" t="n">
        <f aca="false">Flights!D22</f>
        <v>46322</v>
      </c>
      <c r="D22" s="69" t="str">
        <f aca="false">Flights!G22&amp;"-"&amp;Flights!H22</f>
        <v>KUL-KIX</v>
      </c>
      <c r="E22" s="69" t="str">
        <f aca="false">Flights!L22</f>
        <v>A333</v>
      </c>
      <c r="F22" s="60"/>
      <c r="G22" s="60"/>
      <c r="H22" s="71"/>
      <c r="I22" s="60"/>
      <c r="J22" s="72" t="str">
        <f aca="false">IFERROR(IF(AND(AND(LEN(SUBSTITUTE(SUBSTITUTE(SUBSTITUTE(SUBSTITUTE(SUBSTITUTE(SUBSTITUTE(SUBSTITUTE(SUBSTITUTE(SUBSTITUTE(SUBSTITUTE(SUBSTITUTE(SUBSTITUTE(SUBSTITUTE(LOWER(F22&amp;""),CHAR(160),"")," ",""),".",""),"-",""),"/",""),"?",""),"_",""),",",""),"[",""),"]",""),"(",""),")",""),"*",""))&gt;=3,ISNA(MATCH(SUBSTITUTE(SUBSTITUTE(SUBSTITUTE(SUBSTITUTE(SUBSTITUTE(SUBSTITUTE(SUBSTITUTE(SUBSTITUTE(SUBSTITUTE(SUBSTITUTE(SUBSTITUTE(SUBSTITUTE(SUBSTITUTE(LOWER(F22&amp;""),CHAR(160),"")," ",""),".",""),"-",""),"/",""),"?",""),"_",""),",",""),"[",""),"]",""),"(",""),")",""),"*",""),L_Placeholder,0))),AND(LEN(SUBSTITUTE(SUBSTITUTE(SUBSTITUTE(SUBSTITUTE(SUBSTITUTE(SUBSTITUTE(SUBSTITUTE(SUBSTITUTE(SUBSTITUTE(SUBSTITUTE(SUBSTITUTE(SUBSTITUTE(SUBSTITUTE(LOWER(G22&amp;""),CHAR(160),"")," ",""),".",""),"-",""),"/",""),"?",""),"_",""),",",""),"[",""),"]",""),"(",""),")",""),"*",""))&gt;=1,ISNA(MATCH(SUBSTITUTE(SUBSTITUTE(SUBSTITUTE(SUBSTITUTE(SUBSTITUTE(SUBSTITUTE(SUBSTITUTE(SUBSTITUTE(SUBSTITUTE(SUBSTITUTE(SUBSTITUTE(SUBSTITUTE(SUBSTITUTE(LOWER(G22&amp;""),CHAR(160),"")," ",""),".",""),"-",""),"/",""),"?",""),"_",""),",",""),"[",""),"]",""),"(",""),")",""),"*",""),L_Placeholder,0))),ISNUMBER(H22),H22&gt;=DATE(2020,1,1),H22&lt;=Flights!$D$22,AND(LEN(SUBSTITUTE(SUBSTITUTE(SUBSTITUTE(SUBSTITUTE(SUBSTITUTE(SUBSTITUTE(SUBSTITUTE(SUBSTITUTE(SUBSTITUTE(SUBSTITUTE(SUBSTITUTE(SUBSTITUTE(SUBSTITUTE(LOWER(I22&amp;""),CHAR(160),"")," ",""),".",""),"-",""),"/",""),"?",""),"_",""),",",""),"[",""),"]",""),"(",""),")",""),"*",""))&gt;=5,ISNA(MATCH(SUBSTITUTE(SUBSTITUTE(SUBSTITUTE(SUBSTITUTE(SUBSTITUTE(SUBSTITUTE(SUBSTITUTE(SUBSTITUTE(SUBSTITUTE(SUBSTITUTE(SUBSTITUTE(SUBSTITUTE(SUBSTITUTE(LOWER(I22&amp;""),CHAR(160),"")," ",""),".",""),"-",""),"/",""),"?",""),"_",""),",",""),"[",""),"]",""),"(",""),")",""),"*",""),L_Placeholder,0)))),"ON FILE","OUTSTANDING"),"OUTSTANDING")</f>
        <v>OUTSTANDING</v>
      </c>
      <c r="K22" s="60"/>
      <c r="L22" s="60"/>
      <c r="M22" s="71"/>
      <c r="N22" s="60"/>
      <c r="O22" s="72" t="str">
        <f aca="false">IFERROR(IF(AND(AND(LEN(SUBSTITUTE(SUBSTITUTE(SUBSTITUTE(SUBSTITUTE(SUBSTITUTE(SUBSTITUTE(SUBSTITUTE(SUBSTITUTE(SUBSTITUTE(SUBSTITUTE(SUBSTITUTE(SUBSTITUTE(SUBSTITUTE(LOWER(K22&amp;""),CHAR(160),"")," ",""),".",""),"-",""),"/",""),"?",""),"_",""),",",""),"[",""),"]",""),"(",""),")",""),"*",""))&gt;=3,ISNA(MATCH(SUBSTITUTE(SUBSTITUTE(SUBSTITUTE(SUBSTITUTE(SUBSTITUTE(SUBSTITUTE(SUBSTITUTE(SUBSTITUTE(SUBSTITUTE(SUBSTITUTE(SUBSTITUTE(SUBSTITUTE(SUBSTITUTE(LOWER(K22&amp;""),CHAR(160),"")," ",""),".",""),"-",""),"/",""),"?",""),"_",""),",",""),"[",""),"]",""),"(",""),")",""),"*",""),L_Placeholder,0))),AND(LEN(SUBSTITUTE(SUBSTITUTE(SUBSTITUTE(SUBSTITUTE(SUBSTITUTE(SUBSTITUTE(SUBSTITUTE(SUBSTITUTE(SUBSTITUTE(SUBSTITUTE(SUBSTITUTE(SUBSTITUTE(SUBSTITUTE(LOWER(L22&amp;""),CHAR(160),"")," ",""),".",""),"-",""),"/",""),"?",""),"_",""),",",""),"[",""),"]",""),"(",""),")",""),"*",""))&gt;=1,ISNA(MATCH(SUBSTITUTE(SUBSTITUTE(SUBSTITUTE(SUBSTITUTE(SUBSTITUTE(SUBSTITUTE(SUBSTITUTE(SUBSTITUTE(SUBSTITUTE(SUBSTITUTE(SUBSTITUTE(SUBSTITUTE(SUBSTITUTE(LOWER(L22&amp;""),CHAR(160),"")," ",""),".",""),"-",""),"/",""),"?",""),"_",""),",",""),"[",""),"]",""),"(",""),")",""),"*",""),L_Placeholder,0))),ISNUMBER(M22),M22&gt;=DATE(2020,1,1),M22&lt;=Flights!$D$22,AND(LEN(SUBSTITUTE(SUBSTITUTE(SUBSTITUTE(SUBSTITUTE(SUBSTITUTE(SUBSTITUTE(SUBSTITUTE(SUBSTITUTE(SUBSTITUTE(SUBSTITUTE(SUBSTITUTE(SUBSTITUTE(SUBSTITUTE(LOWER(N22&amp;""),CHAR(160),"")," ",""),".",""),"-",""),"/",""),"?",""),"_",""),",",""),"[",""),"]",""),"(",""),")",""),"*",""))&gt;=5,ISNA(MATCH(SUBSTITUTE(SUBSTITUTE(SUBSTITUTE(SUBSTITUTE(SUBSTITUTE(SUBSTITUTE(SUBSTITUTE(SUBSTITUTE(SUBSTITUTE(SUBSTITUTE(SUBSTITUTE(SUBSTITUTE(SUBSTITUTE(LOWER(N22&amp;""),CHAR(160),"")," ",""),".",""),"-",""),"/",""),"?",""),"_",""),",",""),"[",""),"]",""),"(",""),")",""),"*",""),L_Placeholder,0)))),"ON FILE","OUTSTANDING"),"OUTSTANDING")</f>
        <v>OUTSTANDING</v>
      </c>
      <c r="P22" s="73" t="n">
        <f aca="false">(J22="OUTSTANDING")+(O22="OUTSTANDING")</f>
        <v>2</v>
      </c>
      <c r="Q22" s="57" t="s">
        <v>1474</v>
      </c>
    </row>
    <row r="23" customFormat="false" ht="30" hidden="false" customHeight="true" outlineLevel="0" collapsed="false">
      <c r="A23" s="69" t="s">
        <v>298</v>
      </c>
      <c r="B23" s="57" t="str">
        <f aca="false">Flights!F23</f>
        <v>MH0053</v>
      </c>
      <c r="C23" s="70" t="n">
        <f aca="false">Flights!D23</f>
        <v>46324</v>
      </c>
      <c r="D23" s="69" t="str">
        <f aca="false">Flights!G23&amp;"-"&amp;Flights!H23</f>
        <v>KIX-KUL</v>
      </c>
      <c r="E23" s="69" t="str">
        <f aca="false">Flights!L23</f>
        <v>A333</v>
      </c>
      <c r="F23" s="60"/>
      <c r="G23" s="60"/>
      <c r="H23" s="71"/>
      <c r="I23" s="60"/>
      <c r="J23" s="72" t="str">
        <f aca="false">IFERROR(IF(AND(AND(LEN(SUBSTITUTE(SUBSTITUTE(SUBSTITUTE(SUBSTITUTE(SUBSTITUTE(SUBSTITUTE(SUBSTITUTE(SUBSTITUTE(SUBSTITUTE(SUBSTITUTE(SUBSTITUTE(SUBSTITUTE(SUBSTITUTE(LOWER(F23&amp;""),CHAR(160),"")," ",""),".",""),"-",""),"/",""),"?",""),"_",""),",",""),"[",""),"]",""),"(",""),")",""),"*",""))&gt;=3,ISNA(MATCH(SUBSTITUTE(SUBSTITUTE(SUBSTITUTE(SUBSTITUTE(SUBSTITUTE(SUBSTITUTE(SUBSTITUTE(SUBSTITUTE(SUBSTITUTE(SUBSTITUTE(SUBSTITUTE(SUBSTITUTE(SUBSTITUTE(LOWER(F23&amp;""),CHAR(160),"")," ",""),".",""),"-",""),"/",""),"?",""),"_",""),",",""),"[",""),"]",""),"(",""),")",""),"*",""),L_Placeholder,0))),AND(LEN(SUBSTITUTE(SUBSTITUTE(SUBSTITUTE(SUBSTITUTE(SUBSTITUTE(SUBSTITUTE(SUBSTITUTE(SUBSTITUTE(SUBSTITUTE(SUBSTITUTE(SUBSTITUTE(SUBSTITUTE(SUBSTITUTE(LOWER(G23&amp;""),CHAR(160),"")," ",""),".",""),"-",""),"/",""),"?",""),"_",""),",",""),"[",""),"]",""),"(",""),")",""),"*",""))&gt;=1,ISNA(MATCH(SUBSTITUTE(SUBSTITUTE(SUBSTITUTE(SUBSTITUTE(SUBSTITUTE(SUBSTITUTE(SUBSTITUTE(SUBSTITUTE(SUBSTITUTE(SUBSTITUTE(SUBSTITUTE(SUBSTITUTE(SUBSTITUTE(LOWER(G23&amp;""),CHAR(160),"")," ",""),".",""),"-",""),"/",""),"?",""),"_",""),",",""),"[",""),"]",""),"(",""),")",""),"*",""),L_Placeholder,0))),ISNUMBER(H23),H23&gt;=DATE(2020,1,1),H23&lt;=Flights!$D$23,AND(LEN(SUBSTITUTE(SUBSTITUTE(SUBSTITUTE(SUBSTITUTE(SUBSTITUTE(SUBSTITUTE(SUBSTITUTE(SUBSTITUTE(SUBSTITUTE(SUBSTITUTE(SUBSTITUTE(SUBSTITUTE(SUBSTITUTE(LOWER(I23&amp;""),CHAR(160),"")," ",""),".",""),"-",""),"/",""),"?",""),"_",""),",",""),"[",""),"]",""),"(",""),")",""),"*",""))&gt;=5,ISNA(MATCH(SUBSTITUTE(SUBSTITUTE(SUBSTITUTE(SUBSTITUTE(SUBSTITUTE(SUBSTITUTE(SUBSTITUTE(SUBSTITUTE(SUBSTITUTE(SUBSTITUTE(SUBSTITUTE(SUBSTITUTE(SUBSTITUTE(LOWER(I23&amp;""),CHAR(160),"")," ",""),".",""),"-",""),"/",""),"?",""),"_",""),",",""),"[",""),"]",""),"(",""),")",""),"*",""),L_Placeholder,0)))),"ON FILE","OUTSTANDING"),"OUTSTANDING")</f>
        <v>OUTSTANDING</v>
      </c>
      <c r="K23" s="60"/>
      <c r="L23" s="60"/>
      <c r="M23" s="71"/>
      <c r="N23" s="60"/>
      <c r="O23" s="72" t="str">
        <f aca="false">IFERROR(IF(AND(AND(LEN(SUBSTITUTE(SUBSTITUTE(SUBSTITUTE(SUBSTITUTE(SUBSTITUTE(SUBSTITUTE(SUBSTITUTE(SUBSTITUTE(SUBSTITUTE(SUBSTITUTE(SUBSTITUTE(SUBSTITUTE(SUBSTITUTE(LOWER(K23&amp;""),CHAR(160),"")," ",""),".",""),"-",""),"/",""),"?",""),"_",""),",",""),"[",""),"]",""),"(",""),")",""),"*",""))&gt;=3,ISNA(MATCH(SUBSTITUTE(SUBSTITUTE(SUBSTITUTE(SUBSTITUTE(SUBSTITUTE(SUBSTITUTE(SUBSTITUTE(SUBSTITUTE(SUBSTITUTE(SUBSTITUTE(SUBSTITUTE(SUBSTITUTE(SUBSTITUTE(LOWER(K23&amp;""),CHAR(160),"")," ",""),".",""),"-",""),"/",""),"?",""),"_",""),",",""),"[",""),"]",""),"(",""),")",""),"*",""),L_Placeholder,0))),AND(LEN(SUBSTITUTE(SUBSTITUTE(SUBSTITUTE(SUBSTITUTE(SUBSTITUTE(SUBSTITUTE(SUBSTITUTE(SUBSTITUTE(SUBSTITUTE(SUBSTITUTE(SUBSTITUTE(SUBSTITUTE(SUBSTITUTE(LOWER(L23&amp;""),CHAR(160),"")," ",""),".",""),"-",""),"/",""),"?",""),"_",""),",",""),"[",""),"]",""),"(",""),")",""),"*",""))&gt;=1,ISNA(MATCH(SUBSTITUTE(SUBSTITUTE(SUBSTITUTE(SUBSTITUTE(SUBSTITUTE(SUBSTITUTE(SUBSTITUTE(SUBSTITUTE(SUBSTITUTE(SUBSTITUTE(SUBSTITUTE(SUBSTITUTE(SUBSTITUTE(LOWER(L23&amp;""),CHAR(160),"")," ",""),".",""),"-",""),"/",""),"?",""),"_",""),",",""),"[",""),"]",""),"(",""),")",""),"*",""),L_Placeholder,0))),ISNUMBER(M23),M23&gt;=DATE(2020,1,1),M23&lt;=Flights!$D$23,AND(LEN(SUBSTITUTE(SUBSTITUTE(SUBSTITUTE(SUBSTITUTE(SUBSTITUTE(SUBSTITUTE(SUBSTITUTE(SUBSTITUTE(SUBSTITUTE(SUBSTITUTE(SUBSTITUTE(SUBSTITUTE(SUBSTITUTE(LOWER(N23&amp;""),CHAR(160),"")," ",""),".",""),"-",""),"/",""),"?",""),"_",""),",",""),"[",""),"]",""),"(",""),")",""),"*",""))&gt;=5,ISNA(MATCH(SUBSTITUTE(SUBSTITUTE(SUBSTITUTE(SUBSTITUTE(SUBSTITUTE(SUBSTITUTE(SUBSTITUTE(SUBSTITUTE(SUBSTITUTE(SUBSTITUTE(SUBSTITUTE(SUBSTITUTE(SUBSTITUTE(LOWER(N23&amp;""),CHAR(160),"")," ",""),".",""),"-",""),"/",""),"?",""),"_",""),",",""),"[",""),"]",""),"(",""),")",""),"*",""),L_Placeholder,0)))),"ON FILE","OUTSTANDING"),"OUTSTANDING")</f>
        <v>OUTSTANDING</v>
      </c>
      <c r="P23" s="73" t="n">
        <f aca="false">(J23="OUTSTANDING")+(O23="OUTSTANDING")</f>
        <v>2</v>
      </c>
      <c r="Q23" s="57" t="s">
        <v>1474</v>
      </c>
    </row>
    <row r="24" customFormat="false" ht="30" hidden="false" customHeight="true" outlineLevel="0" collapsed="false">
      <c r="A24" s="69" t="s">
        <v>301</v>
      </c>
      <c r="B24" s="57" t="str">
        <f aca="false">Flights!F24</f>
        <v>MH1450</v>
      </c>
      <c r="C24" s="70" t="n">
        <f aca="false">Flights!D24</f>
        <v>46324</v>
      </c>
      <c r="D24" s="69" t="str">
        <f aca="false">Flights!G24&amp;"-"&amp;Flights!H24</f>
        <v>KUL-LGK</v>
      </c>
      <c r="E24" s="69" t="str">
        <f aca="false">Flights!L24</f>
        <v>B738MAX</v>
      </c>
      <c r="F24" s="60"/>
      <c r="G24" s="60"/>
      <c r="H24" s="71"/>
      <c r="I24" s="60"/>
      <c r="J24" s="72" t="str">
        <f aca="false">IFERROR(IF(AND(AND(LEN(SUBSTITUTE(SUBSTITUTE(SUBSTITUTE(SUBSTITUTE(SUBSTITUTE(SUBSTITUTE(SUBSTITUTE(SUBSTITUTE(SUBSTITUTE(SUBSTITUTE(SUBSTITUTE(SUBSTITUTE(SUBSTITUTE(LOWER(F24&amp;""),CHAR(160),"")," ",""),".",""),"-",""),"/",""),"?",""),"_",""),",",""),"[",""),"]",""),"(",""),")",""),"*",""))&gt;=3,ISNA(MATCH(SUBSTITUTE(SUBSTITUTE(SUBSTITUTE(SUBSTITUTE(SUBSTITUTE(SUBSTITUTE(SUBSTITUTE(SUBSTITUTE(SUBSTITUTE(SUBSTITUTE(SUBSTITUTE(SUBSTITUTE(SUBSTITUTE(LOWER(F24&amp;""),CHAR(160),"")," ",""),".",""),"-",""),"/",""),"?",""),"_",""),",",""),"[",""),"]",""),"(",""),")",""),"*",""),L_Placeholder,0))),AND(LEN(SUBSTITUTE(SUBSTITUTE(SUBSTITUTE(SUBSTITUTE(SUBSTITUTE(SUBSTITUTE(SUBSTITUTE(SUBSTITUTE(SUBSTITUTE(SUBSTITUTE(SUBSTITUTE(SUBSTITUTE(SUBSTITUTE(LOWER(G24&amp;""),CHAR(160),"")," ",""),".",""),"-",""),"/",""),"?",""),"_",""),",",""),"[",""),"]",""),"(",""),")",""),"*",""))&gt;=1,ISNA(MATCH(SUBSTITUTE(SUBSTITUTE(SUBSTITUTE(SUBSTITUTE(SUBSTITUTE(SUBSTITUTE(SUBSTITUTE(SUBSTITUTE(SUBSTITUTE(SUBSTITUTE(SUBSTITUTE(SUBSTITUTE(SUBSTITUTE(LOWER(G24&amp;""),CHAR(160),"")," ",""),".",""),"-",""),"/",""),"?",""),"_",""),",",""),"[",""),"]",""),"(",""),")",""),"*",""),L_Placeholder,0))),ISNUMBER(H24),H24&gt;=DATE(2020,1,1),H24&lt;=Flights!$D$24,AND(LEN(SUBSTITUTE(SUBSTITUTE(SUBSTITUTE(SUBSTITUTE(SUBSTITUTE(SUBSTITUTE(SUBSTITUTE(SUBSTITUTE(SUBSTITUTE(SUBSTITUTE(SUBSTITUTE(SUBSTITUTE(SUBSTITUTE(LOWER(I24&amp;""),CHAR(160),"")," ",""),".",""),"-",""),"/",""),"?",""),"_",""),",",""),"[",""),"]",""),"(",""),")",""),"*",""))&gt;=5,ISNA(MATCH(SUBSTITUTE(SUBSTITUTE(SUBSTITUTE(SUBSTITUTE(SUBSTITUTE(SUBSTITUTE(SUBSTITUTE(SUBSTITUTE(SUBSTITUTE(SUBSTITUTE(SUBSTITUTE(SUBSTITUTE(SUBSTITUTE(LOWER(I24&amp;""),CHAR(160),"")," ",""),".",""),"-",""),"/",""),"?",""),"_",""),",",""),"[",""),"]",""),"(",""),")",""),"*",""),L_Placeholder,0)))),"ON FILE","OUTSTANDING"),"OUTSTANDING")</f>
        <v>OUTSTANDING</v>
      </c>
      <c r="K24" s="60"/>
      <c r="L24" s="60"/>
      <c r="M24" s="71"/>
      <c r="N24" s="60"/>
      <c r="O24" s="72" t="str">
        <f aca="false">IFERROR(IF(AND(AND(LEN(SUBSTITUTE(SUBSTITUTE(SUBSTITUTE(SUBSTITUTE(SUBSTITUTE(SUBSTITUTE(SUBSTITUTE(SUBSTITUTE(SUBSTITUTE(SUBSTITUTE(SUBSTITUTE(SUBSTITUTE(SUBSTITUTE(LOWER(K24&amp;""),CHAR(160),"")," ",""),".",""),"-",""),"/",""),"?",""),"_",""),",",""),"[",""),"]",""),"(",""),")",""),"*",""))&gt;=3,ISNA(MATCH(SUBSTITUTE(SUBSTITUTE(SUBSTITUTE(SUBSTITUTE(SUBSTITUTE(SUBSTITUTE(SUBSTITUTE(SUBSTITUTE(SUBSTITUTE(SUBSTITUTE(SUBSTITUTE(SUBSTITUTE(SUBSTITUTE(LOWER(K24&amp;""),CHAR(160),"")," ",""),".",""),"-",""),"/",""),"?",""),"_",""),",",""),"[",""),"]",""),"(",""),")",""),"*",""),L_Placeholder,0))),AND(LEN(SUBSTITUTE(SUBSTITUTE(SUBSTITUTE(SUBSTITUTE(SUBSTITUTE(SUBSTITUTE(SUBSTITUTE(SUBSTITUTE(SUBSTITUTE(SUBSTITUTE(SUBSTITUTE(SUBSTITUTE(SUBSTITUTE(LOWER(L24&amp;""),CHAR(160),"")," ",""),".",""),"-",""),"/",""),"?",""),"_",""),",",""),"[",""),"]",""),"(",""),")",""),"*",""))&gt;=1,ISNA(MATCH(SUBSTITUTE(SUBSTITUTE(SUBSTITUTE(SUBSTITUTE(SUBSTITUTE(SUBSTITUTE(SUBSTITUTE(SUBSTITUTE(SUBSTITUTE(SUBSTITUTE(SUBSTITUTE(SUBSTITUTE(SUBSTITUTE(LOWER(L24&amp;""),CHAR(160),"")," ",""),".",""),"-",""),"/",""),"?",""),"_",""),",",""),"[",""),"]",""),"(",""),")",""),"*",""),L_Placeholder,0))),ISNUMBER(M24),M24&gt;=DATE(2020,1,1),M24&lt;=Flights!$D$24,AND(LEN(SUBSTITUTE(SUBSTITUTE(SUBSTITUTE(SUBSTITUTE(SUBSTITUTE(SUBSTITUTE(SUBSTITUTE(SUBSTITUTE(SUBSTITUTE(SUBSTITUTE(SUBSTITUTE(SUBSTITUTE(SUBSTITUTE(LOWER(N24&amp;""),CHAR(160),"")," ",""),".",""),"-",""),"/",""),"?",""),"_",""),",",""),"[",""),"]",""),"(",""),")",""),"*",""))&gt;=5,ISNA(MATCH(SUBSTITUTE(SUBSTITUTE(SUBSTITUTE(SUBSTITUTE(SUBSTITUTE(SUBSTITUTE(SUBSTITUTE(SUBSTITUTE(SUBSTITUTE(SUBSTITUTE(SUBSTITUTE(SUBSTITUTE(SUBSTITUTE(LOWER(N24&amp;""),CHAR(160),"")," ",""),".",""),"-",""),"/",""),"?",""),"_",""),",",""),"[",""),"]",""),"(",""),")",""),"*",""),L_Placeholder,0)))),"ON FILE","OUTSTANDING"),"OUTSTANDING")</f>
        <v>OUTSTANDING</v>
      </c>
      <c r="P24" s="73" t="n">
        <f aca="false">(J24="OUTSTANDING")+(O24="OUTSTANDING")</f>
        <v>2</v>
      </c>
      <c r="Q24" s="57" t="s">
        <v>1474</v>
      </c>
    </row>
    <row r="25" customFormat="false" ht="30" hidden="false" customHeight="true" outlineLevel="0" collapsed="false">
      <c r="A25" s="69" t="s">
        <v>307</v>
      </c>
      <c r="B25" s="57" t="str">
        <f aca="false">Flights!F25</f>
        <v>MH1437</v>
      </c>
      <c r="C25" s="70" t="n">
        <f aca="false">Flights!D25</f>
        <v>46325</v>
      </c>
      <c r="D25" s="69" t="str">
        <f aca="false">Flights!G25&amp;"-"&amp;Flights!H25</f>
        <v>LGK-KUL</v>
      </c>
      <c r="E25" s="69" t="str">
        <f aca="false">Flights!L25</f>
        <v>B738MAX</v>
      </c>
      <c r="F25" s="60"/>
      <c r="G25" s="60"/>
      <c r="H25" s="71"/>
      <c r="I25" s="60"/>
      <c r="J25" s="72" t="str">
        <f aca="false">IFERROR(IF(AND(AND(LEN(SUBSTITUTE(SUBSTITUTE(SUBSTITUTE(SUBSTITUTE(SUBSTITUTE(SUBSTITUTE(SUBSTITUTE(SUBSTITUTE(SUBSTITUTE(SUBSTITUTE(SUBSTITUTE(SUBSTITUTE(SUBSTITUTE(LOWER(F25&amp;""),CHAR(160),"")," ",""),".",""),"-",""),"/",""),"?",""),"_",""),",",""),"[",""),"]",""),"(",""),")",""),"*",""))&gt;=3,ISNA(MATCH(SUBSTITUTE(SUBSTITUTE(SUBSTITUTE(SUBSTITUTE(SUBSTITUTE(SUBSTITUTE(SUBSTITUTE(SUBSTITUTE(SUBSTITUTE(SUBSTITUTE(SUBSTITUTE(SUBSTITUTE(SUBSTITUTE(LOWER(F25&amp;""),CHAR(160),"")," ",""),".",""),"-",""),"/",""),"?",""),"_",""),",",""),"[",""),"]",""),"(",""),")",""),"*",""),L_Placeholder,0))),AND(LEN(SUBSTITUTE(SUBSTITUTE(SUBSTITUTE(SUBSTITUTE(SUBSTITUTE(SUBSTITUTE(SUBSTITUTE(SUBSTITUTE(SUBSTITUTE(SUBSTITUTE(SUBSTITUTE(SUBSTITUTE(SUBSTITUTE(LOWER(G25&amp;""),CHAR(160),"")," ",""),".",""),"-",""),"/",""),"?",""),"_",""),",",""),"[",""),"]",""),"(",""),")",""),"*",""))&gt;=1,ISNA(MATCH(SUBSTITUTE(SUBSTITUTE(SUBSTITUTE(SUBSTITUTE(SUBSTITUTE(SUBSTITUTE(SUBSTITUTE(SUBSTITUTE(SUBSTITUTE(SUBSTITUTE(SUBSTITUTE(SUBSTITUTE(SUBSTITUTE(LOWER(G25&amp;""),CHAR(160),"")," ",""),".",""),"-",""),"/",""),"?",""),"_",""),",",""),"[",""),"]",""),"(",""),")",""),"*",""),L_Placeholder,0))),ISNUMBER(H25),H25&gt;=DATE(2020,1,1),H25&lt;=Flights!$D$25,AND(LEN(SUBSTITUTE(SUBSTITUTE(SUBSTITUTE(SUBSTITUTE(SUBSTITUTE(SUBSTITUTE(SUBSTITUTE(SUBSTITUTE(SUBSTITUTE(SUBSTITUTE(SUBSTITUTE(SUBSTITUTE(SUBSTITUTE(LOWER(I25&amp;""),CHAR(160),"")," ",""),".",""),"-",""),"/",""),"?",""),"_",""),",",""),"[",""),"]",""),"(",""),")",""),"*",""))&gt;=5,ISNA(MATCH(SUBSTITUTE(SUBSTITUTE(SUBSTITUTE(SUBSTITUTE(SUBSTITUTE(SUBSTITUTE(SUBSTITUTE(SUBSTITUTE(SUBSTITUTE(SUBSTITUTE(SUBSTITUTE(SUBSTITUTE(SUBSTITUTE(LOWER(I25&amp;""),CHAR(160),"")," ",""),".",""),"-",""),"/",""),"?",""),"_",""),",",""),"[",""),"]",""),"(",""),")",""),"*",""),L_Placeholder,0)))),"ON FILE","OUTSTANDING"),"OUTSTANDING")</f>
        <v>OUTSTANDING</v>
      </c>
      <c r="K25" s="60"/>
      <c r="L25" s="60"/>
      <c r="M25" s="71"/>
      <c r="N25" s="60"/>
      <c r="O25" s="72" t="str">
        <f aca="false">IFERROR(IF(AND(AND(LEN(SUBSTITUTE(SUBSTITUTE(SUBSTITUTE(SUBSTITUTE(SUBSTITUTE(SUBSTITUTE(SUBSTITUTE(SUBSTITUTE(SUBSTITUTE(SUBSTITUTE(SUBSTITUTE(SUBSTITUTE(SUBSTITUTE(LOWER(K25&amp;""),CHAR(160),"")," ",""),".",""),"-",""),"/",""),"?",""),"_",""),",",""),"[",""),"]",""),"(",""),")",""),"*",""))&gt;=3,ISNA(MATCH(SUBSTITUTE(SUBSTITUTE(SUBSTITUTE(SUBSTITUTE(SUBSTITUTE(SUBSTITUTE(SUBSTITUTE(SUBSTITUTE(SUBSTITUTE(SUBSTITUTE(SUBSTITUTE(SUBSTITUTE(SUBSTITUTE(LOWER(K25&amp;""),CHAR(160),"")," ",""),".",""),"-",""),"/",""),"?",""),"_",""),",",""),"[",""),"]",""),"(",""),")",""),"*",""),L_Placeholder,0))),AND(LEN(SUBSTITUTE(SUBSTITUTE(SUBSTITUTE(SUBSTITUTE(SUBSTITUTE(SUBSTITUTE(SUBSTITUTE(SUBSTITUTE(SUBSTITUTE(SUBSTITUTE(SUBSTITUTE(SUBSTITUTE(SUBSTITUTE(LOWER(L25&amp;""),CHAR(160),"")," ",""),".",""),"-",""),"/",""),"?",""),"_",""),",",""),"[",""),"]",""),"(",""),")",""),"*",""))&gt;=1,ISNA(MATCH(SUBSTITUTE(SUBSTITUTE(SUBSTITUTE(SUBSTITUTE(SUBSTITUTE(SUBSTITUTE(SUBSTITUTE(SUBSTITUTE(SUBSTITUTE(SUBSTITUTE(SUBSTITUTE(SUBSTITUTE(SUBSTITUTE(LOWER(L25&amp;""),CHAR(160),"")," ",""),".",""),"-",""),"/",""),"?",""),"_",""),",",""),"[",""),"]",""),"(",""),")",""),"*",""),L_Placeholder,0))),ISNUMBER(M25),M25&gt;=DATE(2020,1,1),M25&lt;=Flights!$D$25,AND(LEN(SUBSTITUTE(SUBSTITUTE(SUBSTITUTE(SUBSTITUTE(SUBSTITUTE(SUBSTITUTE(SUBSTITUTE(SUBSTITUTE(SUBSTITUTE(SUBSTITUTE(SUBSTITUTE(SUBSTITUTE(SUBSTITUTE(LOWER(N25&amp;""),CHAR(160),"")," ",""),".",""),"-",""),"/",""),"?",""),"_",""),",",""),"[",""),"]",""),"(",""),")",""),"*",""))&gt;=5,ISNA(MATCH(SUBSTITUTE(SUBSTITUTE(SUBSTITUTE(SUBSTITUTE(SUBSTITUTE(SUBSTITUTE(SUBSTITUTE(SUBSTITUTE(SUBSTITUTE(SUBSTITUTE(SUBSTITUTE(SUBSTITUTE(SUBSTITUTE(LOWER(N25&amp;""),CHAR(160),"")," ",""),".",""),"-",""),"/",""),"?",""),"_",""),",",""),"[",""),"]",""),"(",""),")",""),"*",""),L_Placeholder,0)))),"ON FILE","OUTSTANDING"),"OUTSTANDING")</f>
        <v>OUTSTANDING</v>
      </c>
      <c r="P25" s="73" t="n">
        <f aca="false">(J25="OUTSTANDING")+(O25="OUTSTANDING")</f>
        <v>2</v>
      </c>
      <c r="Q25" s="57" t="s">
        <v>1475</v>
      </c>
    </row>
    <row r="26" customFormat="false" ht="30" hidden="false" customHeight="true" outlineLevel="0" collapsed="false">
      <c r="A26" s="69" t="s">
        <v>309</v>
      </c>
      <c r="B26" s="57" t="str">
        <f aca="false">Flights!F26</f>
        <v>MH0002</v>
      </c>
      <c r="C26" s="70" t="n">
        <f aca="false">Flights!D26</f>
        <v>46325</v>
      </c>
      <c r="D26" s="69" t="str">
        <f aca="false">Flights!G26&amp;"-"&amp;Flights!H26</f>
        <v>KUL-LHR</v>
      </c>
      <c r="E26" s="69" t="str">
        <f aca="false">Flights!L26</f>
        <v>A350</v>
      </c>
      <c r="F26" s="60"/>
      <c r="G26" s="60"/>
      <c r="H26" s="71"/>
      <c r="I26" s="60"/>
      <c r="J26" s="72" t="str">
        <f aca="false">IFERROR(IF(AND(AND(LEN(SUBSTITUTE(SUBSTITUTE(SUBSTITUTE(SUBSTITUTE(SUBSTITUTE(SUBSTITUTE(SUBSTITUTE(SUBSTITUTE(SUBSTITUTE(SUBSTITUTE(SUBSTITUTE(SUBSTITUTE(SUBSTITUTE(LOWER(F26&amp;""),CHAR(160),"")," ",""),".",""),"-",""),"/",""),"?",""),"_",""),",",""),"[",""),"]",""),"(",""),")",""),"*",""))&gt;=3,ISNA(MATCH(SUBSTITUTE(SUBSTITUTE(SUBSTITUTE(SUBSTITUTE(SUBSTITUTE(SUBSTITUTE(SUBSTITUTE(SUBSTITUTE(SUBSTITUTE(SUBSTITUTE(SUBSTITUTE(SUBSTITUTE(SUBSTITUTE(LOWER(F26&amp;""),CHAR(160),"")," ",""),".",""),"-",""),"/",""),"?",""),"_",""),",",""),"[",""),"]",""),"(",""),")",""),"*",""),L_Placeholder,0))),AND(LEN(SUBSTITUTE(SUBSTITUTE(SUBSTITUTE(SUBSTITUTE(SUBSTITUTE(SUBSTITUTE(SUBSTITUTE(SUBSTITUTE(SUBSTITUTE(SUBSTITUTE(SUBSTITUTE(SUBSTITUTE(SUBSTITUTE(LOWER(G26&amp;""),CHAR(160),"")," ",""),".",""),"-",""),"/",""),"?",""),"_",""),",",""),"[",""),"]",""),"(",""),")",""),"*",""))&gt;=1,ISNA(MATCH(SUBSTITUTE(SUBSTITUTE(SUBSTITUTE(SUBSTITUTE(SUBSTITUTE(SUBSTITUTE(SUBSTITUTE(SUBSTITUTE(SUBSTITUTE(SUBSTITUTE(SUBSTITUTE(SUBSTITUTE(SUBSTITUTE(LOWER(G26&amp;""),CHAR(160),"")," ",""),".",""),"-",""),"/",""),"?",""),"_",""),",",""),"[",""),"]",""),"(",""),")",""),"*",""),L_Placeholder,0))),ISNUMBER(H26),H26&gt;=DATE(2020,1,1),H26&lt;=Flights!$D$26,AND(LEN(SUBSTITUTE(SUBSTITUTE(SUBSTITUTE(SUBSTITUTE(SUBSTITUTE(SUBSTITUTE(SUBSTITUTE(SUBSTITUTE(SUBSTITUTE(SUBSTITUTE(SUBSTITUTE(SUBSTITUTE(SUBSTITUTE(LOWER(I26&amp;""),CHAR(160),"")," ",""),".",""),"-",""),"/",""),"?",""),"_",""),",",""),"[",""),"]",""),"(",""),")",""),"*",""))&gt;=5,ISNA(MATCH(SUBSTITUTE(SUBSTITUTE(SUBSTITUTE(SUBSTITUTE(SUBSTITUTE(SUBSTITUTE(SUBSTITUTE(SUBSTITUTE(SUBSTITUTE(SUBSTITUTE(SUBSTITUTE(SUBSTITUTE(SUBSTITUTE(LOWER(I26&amp;""),CHAR(160),"")," ",""),".",""),"-",""),"/",""),"?",""),"_",""),",",""),"[",""),"]",""),"(",""),")",""),"*",""),L_Placeholder,0)))),"ON FILE","OUTSTANDING"),"OUTSTANDING")</f>
        <v>OUTSTANDING</v>
      </c>
      <c r="K26" s="60"/>
      <c r="L26" s="60"/>
      <c r="M26" s="71"/>
      <c r="N26" s="60"/>
      <c r="O26" s="72" t="str">
        <f aca="false">IFERROR(IF(AND(AND(LEN(SUBSTITUTE(SUBSTITUTE(SUBSTITUTE(SUBSTITUTE(SUBSTITUTE(SUBSTITUTE(SUBSTITUTE(SUBSTITUTE(SUBSTITUTE(SUBSTITUTE(SUBSTITUTE(SUBSTITUTE(SUBSTITUTE(LOWER(K26&amp;""),CHAR(160),"")," ",""),".",""),"-",""),"/",""),"?",""),"_",""),",",""),"[",""),"]",""),"(",""),")",""),"*",""))&gt;=3,ISNA(MATCH(SUBSTITUTE(SUBSTITUTE(SUBSTITUTE(SUBSTITUTE(SUBSTITUTE(SUBSTITUTE(SUBSTITUTE(SUBSTITUTE(SUBSTITUTE(SUBSTITUTE(SUBSTITUTE(SUBSTITUTE(SUBSTITUTE(LOWER(K26&amp;""),CHAR(160),"")," ",""),".",""),"-",""),"/",""),"?",""),"_",""),",",""),"[",""),"]",""),"(",""),")",""),"*",""),L_Placeholder,0))),AND(LEN(SUBSTITUTE(SUBSTITUTE(SUBSTITUTE(SUBSTITUTE(SUBSTITUTE(SUBSTITUTE(SUBSTITUTE(SUBSTITUTE(SUBSTITUTE(SUBSTITUTE(SUBSTITUTE(SUBSTITUTE(SUBSTITUTE(LOWER(L26&amp;""),CHAR(160),"")," ",""),".",""),"-",""),"/",""),"?",""),"_",""),",",""),"[",""),"]",""),"(",""),")",""),"*",""))&gt;=1,ISNA(MATCH(SUBSTITUTE(SUBSTITUTE(SUBSTITUTE(SUBSTITUTE(SUBSTITUTE(SUBSTITUTE(SUBSTITUTE(SUBSTITUTE(SUBSTITUTE(SUBSTITUTE(SUBSTITUTE(SUBSTITUTE(SUBSTITUTE(LOWER(L26&amp;""),CHAR(160),"")," ",""),".",""),"-",""),"/",""),"?",""),"_",""),",",""),"[",""),"]",""),"(",""),")",""),"*",""),L_Placeholder,0))),ISNUMBER(M26),M26&gt;=DATE(2020,1,1),M26&lt;=Flights!$D$26,AND(LEN(SUBSTITUTE(SUBSTITUTE(SUBSTITUTE(SUBSTITUTE(SUBSTITUTE(SUBSTITUTE(SUBSTITUTE(SUBSTITUTE(SUBSTITUTE(SUBSTITUTE(SUBSTITUTE(SUBSTITUTE(SUBSTITUTE(LOWER(N26&amp;""),CHAR(160),"")," ",""),".",""),"-",""),"/",""),"?",""),"_",""),",",""),"[",""),"]",""),"(",""),")",""),"*",""))&gt;=5,ISNA(MATCH(SUBSTITUTE(SUBSTITUTE(SUBSTITUTE(SUBSTITUTE(SUBSTITUTE(SUBSTITUTE(SUBSTITUTE(SUBSTITUTE(SUBSTITUTE(SUBSTITUTE(SUBSTITUTE(SUBSTITUTE(SUBSTITUTE(LOWER(N26&amp;""),CHAR(160),"")," ",""),".",""),"-",""),"/",""),"?",""),"_",""),",",""),"[",""),"]",""),"(",""),")",""),"*",""),L_Placeholder,0)))),"ON FILE","OUTSTANDING"),"OUTSTANDING")</f>
        <v>OUTSTANDING</v>
      </c>
      <c r="P26" s="73" t="n">
        <f aca="false">(J26="OUTSTANDING")+(O26="OUTSTANDING")</f>
        <v>2</v>
      </c>
      <c r="Q26" s="57" t="s">
        <v>1474</v>
      </c>
    </row>
  </sheetData>
  <sheetProtection sheet="true" formatCells="false" formatColumns="false" formatRows="false" autoFilter="false"/>
  <mergeCells count="1">
    <mergeCell ref="C2:I2"/>
  </mergeCells>
  <conditionalFormatting sqref="J5:J26">
    <cfRule type="cellIs" priority="2" operator="equal" aboveAverage="0" equalAverage="0" bottom="0" percent="0" rank="0" text="" dxfId="16">
      <formula>"OUTSTANDING"</formula>
    </cfRule>
    <cfRule type="cellIs" priority="3" operator="equal" aboveAverage="0" equalAverage="0" bottom="0" percent="0" rank="0" text="" dxfId="15">
      <formula>"ON FILE"</formula>
    </cfRule>
  </conditionalFormatting>
  <conditionalFormatting sqref="O5:O26">
    <cfRule type="cellIs" priority="4" operator="equal" aboveAverage="0" equalAverage="0" bottom="0" percent="0" rank="0" text="" dxfId="16">
      <formula>"OUTSTANDING"</formula>
    </cfRule>
    <cfRule type="cellIs" priority="5" operator="equal" aboveAverage="0" equalAverage="0" bottom="0" percent="0" rank="0" text="" dxfId="15">
      <formula>"ON FILE"</formula>
    </cfRule>
  </conditionalFormatting>
  <dataValidations count="1">
    <dataValidation allowBlank="true" error="Enter the revision date (2020–2026)." errorStyle="stop" operator="between" showDropDown="false" showErrorMessage="true" showInputMessage="false" sqref="H5:H26 M5:M26" type="date">
      <formula1>43831</formula1>
      <formula2>46387</formula2>
    </dataValidation>
  </dataValidation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9"/>
    <col collapsed="false" customWidth="true" hidden="false" outlineLevel="0" max="4" min="4" style="0" width="11"/>
    <col collapsed="false" customWidth="true" hidden="false" outlineLevel="0" max="5" min="5" style="0" width="30"/>
    <col collapsed="false" customWidth="true" hidden="false" outlineLevel="0" max="7" min="6" style="0" width="14"/>
    <col collapsed="false" customWidth="true" hidden="false" outlineLevel="0" max="8" min="8" style="0" width="16"/>
    <col collapsed="false" customWidth="true" hidden="false" outlineLevel="0" max="9" min="9" style="0" width="20"/>
  </cols>
  <sheetData>
    <row r="1" customFormat="false" ht="24" hidden="false" customHeight="true" outlineLevel="0" collapsed="false">
      <c r="A1" s="54" t="s">
        <v>1476</v>
      </c>
    </row>
    <row r="2" customFormat="false" ht="28.5" hidden="false" customHeight="true" outlineLevel="0" collapsed="false">
      <c r="A2" s="55" t="s">
        <v>1477</v>
      </c>
      <c r="B2" s="55"/>
      <c r="C2" s="55"/>
      <c r="D2" s="55"/>
      <c r="E2" s="55"/>
      <c r="F2" s="55"/>
      <c r="G2" s="55"/>
      <c r="H2" s="55"/>
      <c r="I2" s="55"/>
    </row>
    <row r="4" customFormat="false" ht="31.5" hidden="false" customHeight="true" outlineLevel="0" collapsed="false">
      <c r="A4" s="56" t="s">
        <v>119</v>
      </c>
      <c r="B4" s="56" t="s">
        <v>1478</v>
      </c>
      <c r="C4" s="56" t="s">
        <v>1479</v>
      </c>
      <c r="D4" s="56" t="s">
        <v>1480</v>
      </c>
      <c r="E4" s="56" t="s">
        <v>1481</v>
      </c>
      <c r="F4" s="56" t="s">
        <v>1482</v>
      </c>
      <c r="G4" s="56" t="s">
        <v>1483</v>
      </c>
      <c r="H4" s="56" t="s">
        <v>1484</v>
      </c>
      <c r="I4" s="56" t="s">
        <v>1485</v>
      </c>
    </row>
    <row r="5" customFormat="false" ht="24" hidden="false" customHeight="true" outlineLevel="0" collapsed="false">
      <c r="A5" s="57" t="n">
        <v>1</v>
      </c>
      <c r="B5" s="60"/>
      <c r="C5" s="60"/>
      <c r="D5" s="71"/>
      <c r="E5" s="60"/>
      <c r="F5" s="60"/>
      <c r="G5" s="71"/>
      <c r="H5" s="60"/>
      <c r="I5" s="60"/>
    </row>
    <row r="6" customFormat="false" ht="24" hidden="false" customHeight="true" outlineLevel="0" collapsed="false">
      <c r="A6" s="57" t="n">
        <v>2</v>
      </c>
      <c r="B6" s="60"/>
      <c r="C6" s="60"/>
      <c r="D6" s="71"/>
      <c r="E6" s="60"/>
      <c r="F6" s="60"/>
      <c r="G6" s="71"/>
      <c r="H6" s="60"/>
      <c r="I6" s="60"/>
    </row>
    <row r="7" customFormat="false" ht="24" hidden="false" customHeight="true" outlineLevel="0" collapsed="false">
      <c r="A7" s="57" t="n">
        <v>3</v>
      </c>
      <c r="B7" s="60"/>
      <c r="C7" s="60"/>
      <c r="D7" s="71"/>
      <c r="E7" s="60"/>
      <c r="F7" s="60"/>
      <c r="G7" s="71"/>
      <c r="H7" s="60"/>
      <c r="I7" s="60"/>
    </row>
    <row r="8" customFormat="false" ht="24" hidden="false" customHeight="true" outlineLevel="0" collapsed="false">
      <c r="A8" s="57" t="n">
        <v>4</v>
      </c>
      <c r="B8" s="60"/>
      <c r="C8" s="60"/>
      <c r="D8" s="71"/>
      <c r="E8" s="60"/>
      <c r="F8" s="60"/>
      <c r="G8" s="71"/>
      <c r="H8" s="60"/>
      <c r="I8" s="60"/>
    </row>
    <row r="9" customFormat="false" ht="24" hidden="false" customHeight="true" outlineLevel="0" collapsed="false">
      <c r="A9" s="57" t="n">
        <v>5</v>
      </c>
      <c r="B9" s="60"/>
      <c r="C9" s="60"/>
      <c r="D9" s="71"/>
      <c r="E9" s="60"/>
      <c r="F9" s="60"/>
      <c r="G9" s="71"/>
      <c r="H9" s="60"/>
      <c r="I9" s="60"/>
    </row>
    <row r="10" customFormat="false" ht="24" hidden="false" customHeight="true" outlineLevel="0" collapsed="false">
      <c r="A10" s="57" t="n">
        <v>6</v>
      </c>
      <c r="B10" s="60"/>
      <c r="C10" s="60"/>
      <c r="D10" s="71"/>
      <c r="E10" s="60"/>
      <c r="F10" s="60"/>
      <c r="G10" s="71"/>
      <c r="H10" s="60"/>
      <c r="I10" s="60"/>
    </row>
    <row r="11" customFormat="false" ht="24" hidden="false" customHeight="true" outlineLevel="0" collapsed="false">
      <c r="A11" s="57" t="n">
        <v>7</v>
      </c>
      <c r="B11" s="60"/>
      <c r="C11" s="60"/>
      <c r="D11" s="71"/>
      <c r="E11" s="60"/>
      <c r="F11" s="60"/>
      <c r="G11" s="71"/>
      <c r="H11" s="60"/>
      <c r="I11" s="60"/>
    </row>
    <row r="12" customFormat="false" ht="24" hidden="false" customHeight="true" outlineLevel="0" collapsed="false">
      <c r="A12" s="57" t="n">
        <v>8</v>
      </c>
      <c r="B12" s="60"/>
      <c r="C12" s="60"/>
      <c r="D12" s="71"/>
      <c r="E12" s="60"/>
      <c r="F12" s="60"/>
      <c r="G12" s="71"/>
      <c r="H12" s="60"/>
      <c r="I12" s="60"/>
    </row>
    <row r="13" customFormat="false" ht="24" hidden="false" customHeight="true" outlineLevel="0" collapsed="false">
      <c r="A13" s="57" t="n">
        <v>9</v>
      </c>
      <c r="B13" s="60"/>
      <c r="C13" s="60"/>
      <c r="D13" s="71"/>
      <c r="E13" s="60"/>
      <c r="F13" s="60"/>
      <c r="G13" s="71"/>
      <c r="H13" s="60"/>
      <c r="I13" s="60"/>
    </row>
    <row r="14" customFormat="false" ht="24" hidden="false" customHeight="true" outlineLevel="0" collapsed="false">
      <c r="A14" s="57" t="n">
        <v>10</v>
      </c>
      <c r="B14" s="60"/>
      <c r="C14" s="60"/>
      <c r="D14" s="71"/>
      <c r="E14" s="60"/>
      <c r="F14" s="60"/>
      <c r="G14" s="71"/>
      <c r="H14" s="60"/>
      <c r="I14" s="60"/>
    </row>
    <row r="15" customFormat="false" ht="24" hidden="false" customHeight="true" outlineLevel="0" collapsed="false">
      <c r="A15" s="57" t="n">
        <v>11</v>
      </c>
      <c r="B15" s="60"/>
      <c r="C15" s="60"/>
      <c r="D15" s="71"/>
      <c r="E15" s="60"/>
      <c r="F15" s="60"/>
      <c r="G15" s="71"/>
      <c r="H15" s="60"/>
      <c r="I15" s="60"/>
    </row>
    <row r="16" customFormat="false" ht="24" hidden="false" customHeight="true" outlineLevel="0" collapsed="false">
      <c r="A16" s="57" t="n">
        <v>12</v>
      </c>
      <c r="B16" s="60"/>
      <c r="C16" s="60"/>
      <c r="D16" s="71"/>
      <c r="E16" s="60"/>
      <c r="F16" s="60"/>
      <c r="G16" s="71"/>
      <c r="H16" s="60"/>
      <c r="I16" s="60"/>
    </row>
    <row r="17" customFormat="false" ht="24" hidden="false" customHeight="true" outlineLevel="0" collapsed="false">
      <c r="A17" s="57" t="n">
        <v>13</v>
      </c>
      <c r="B17" s="60"/>
      <c r="C17" s="60"/>
      <c r="D17" s="71"/>
      <c r="E17" s="60"/>
      <c r="F17" s="60"/>
      <c r="G17" s="71"/>
      <c r="H17" s="60"/>
      <c r="I17" s="60"/>
    </row>
    <row r="18" customFormat="false" ht="24" hidden="false" customHeight="true" outlineLevel="0" collapsed="false">
      <c r="A18" s="57" t="n">
        <v>14</v>
      </c>
      <c r="B18" s="60"/>
      <c r="C18" s="60"/>
      <c r="D18" s="71"/>
      <c r="E18" s="60"/>
      <c r="F18" s="60"/>
      <c r="G18" s="71"/>
      <c r="H18" s="60"/>
      <c r="I18" s="60"/>
    </row>
    <row r="19" customFormat="false" ht="24" hidden="false" customHeight="true" outlineLevel="0" collapsed="false">
      <c r="A19" s="57" t="n">
        <v>15</v>
      </c>
      <c r="B19" s="60"/>
      <c r="C19" s="60"/>
      <c r="D19" s="71"/>
      <c r="E19" s="60"/>
      <c r="F19" s="60"/>
      <c r="G19" s="71"/>
      <c r="H19" s="60"/>
      <c r="I19" s="60"/>
    </row>
    <row r="20" customFormat="false" ht="24" hidden="false" customHeight="true" outlineLevel="0" collapsed="false">
      <c r="A20" s="57" t="n">
        <v>16</v>
      </c>
      <c r="B20" s="60"/>
      <c r="C20" s="60"/>
      <c r="D20" s="71"/>
      <c r="E20" s="60"/>
      <c r="F20" s="60"/>
      <c r="G20" s="71"/>
      <c r="H20" s="60"/>
      <c r="I20" s="60"/>
    </row>
    <row r="21" customFormat="false" ht="24" hidden="false" customHeight="true" outlineLevel="0" collapsed="false">
      <c r="A21" s="57" t="n">
        <v>17</v>
      </c>
      <c r="B21" s="60"/>
      <c r="C21" s="60"/>
      <c r="D21" s="71"/>
      <c r="E21" s="60"/>
      <c r="F21" s="60"/>
      <c r="G21" s="71"/>
      <c r="H21" s="60"/>
      <c r="I21" s="60"/>
    </row>
    <row r="22" customFormat="false" ht="24" hidden="false" customHeight="true" outlineLevel="0" collapsed="false">
      <c r="A22" s="57" t="n">
        <v>18</v>
      </c>
      <c r="B22" s="60"/>
      <c r="C22" s="60"/>
      <c r="D22" s="71"/>
      <c r="E22" s="60"/>
      <c r="F22" s="60"/>
      <c r="G22" s="71"/>
      <c r="H22" s="60"/>
      <c r="I22" s="60"/>
    </row>
    <row r="23" customFormat="false" ht="24" hidden="false" customHeight="true" outlineLevel="0" collapsed="false">
      <c r="A23" s="57" t="n">
        <v>19</v>
      </c>
      <c r="B23" s="60"/>
      <c r="C23" s="60"/>
      <c r="D23" s="71"/>
      <c r="E23" s="60"/>
      <c r="F23" s="60"/>
      <c r="G23" s="71"/>
      <c r="H23" s="60"/>
      <c r="I23" s="60"/>
    </row>
    <row r="24" customFormat="false" ht="24" hidden="false" customHeight="true" outlineLevel="0" collapsed="false">
      <c r="A24" s="57" t="n">
        <v>20</v>
      </c>
      <c r="B24" s="60"/>
      <c r="C24" s="60"/>
      <c r="D24" s="71"/>
      <c r="E24" s="60"/>
      <c r="F24" s="60"/>
      <c r="G24" s="71"/>
      <c r="H24" s="60"/>
      <c r="I24" s="60"/>
    </row>
    <row r="25" customFormat="false" ht="24" hidden="false" customHeight="true" outlineLevel="0" collapsed="false">
      <c r="A25" s="57" t="n">
        <v>21</v>
      </c>
      <c r="B25" s="60"/>
      <c r="C25" s="60"/>
      <c r="D25" s="71"/>
      <c r="E25" s="60"/>
      <c r="F25" s="60"/>
      <c r="G25" s="71"/>
      <c r="H25" s="60"/>
      <c r="I25" s="60"/>
    </row>
    <row r="26" customFormat="false" ht="24" hidden="false" customHeight="true" outlineLevel="0" collapsed="false">
      <c r="A26" s="57" t="n">
        <v>22</v>
      </c>
      <c r="B26" s="60"/>
      <c r="C26" s="60"/>
      <c r="D26" s="71"/>
      <c r="E26" s="60"/>
      <c r="F26" s="60"/>
      <c r="G26" s="71"/>
      <c r="H26" s="60"/>
      <c r="I26" s="60"/>
    </row>
    <row r="27" customFormat="false" ht="24" hidden="false" customHeight="true" outlineLevel="0" collapsed="false">
      <c r="A27" s="57" t="n">
        <v>23</v>
      </c>
      <c r="B27" s="60"/>
      <c r="C27" s="60"/>
      <c r="D27" s="71"/>
      <c r="E27" s="60"/>
      <c r="F27" s="60"/>
      <c r="G27" s="71"/>
      <c r="H27" s="60"/>
      <c r="I27" s="60"/>
    </row>
    <row r="28" customFormat="false" ht="24" hidden="false" customHeight="true" outlineLevel="0" collapsed="false">
      <c r="A28" s="57" t="n">
        <v>24</v>
      </c>
      <c r="B28" s="60"/>
      <c r="C28" s="60"/>
      <c r="D28" s="71"/>
      <c r="E28" s="60"/>
      <c r="F28" s="60"/>
      <c r="G28" s="71"/>
      <c r="H28" s="60"/>
      <c r="I28" s="60"/>
    </row>
    <row r="29" customFormat="false" ht="24" hidden="false" customHeight="true" outlineLevel="0" collapsed="false">
      <c r="A29" s="57" t="n">
        <v>25</v>
      </c>
      <c r="B29" s="60"/>
      <c r="C29" s="60"/>
      <c r="D29" s="71"/>
      <c r="E29" s="60"/>
      <c r="F29" s="60"/>
      <c r="G29" s="71"/>
      <c r="H29" s="60"/>
      <c r="I29" s="60"/>
    </row>
    <row r="30" customFormat="false" ht="24" hidden="false" customHeight="true" outlineLevel="0" collapsed="false">
      <c r="A30" s="57" t="n">
        <v>26</v>
      </c>
      <c r="B30" s="60"/>
      <c r="C30" s="60"/>
      <c r="D30" s="71"/>
      <c r="E30" s="60"/>
      <c r="F30" s="60"/>
      <c r="G30" s="71"/>
      <c r="H30" s="60"/>
      <c r="I30" s="60"/>
    </row>
    <row r="31" customFormat="false" ht="24" hidden="false" customHeight="true" outlineLevel="0" collapsed="false">
      <c r="A31" s="57" t="n">
        <v>27</v>
      </c>
      <c r="B31" s="60"/>
      <c r="C31" s="60"/>
      <c r="D31" s="71"/>
      <c r="E31" s="60"/>
      <c r="F31" s="60"/>
      <c r="G31" s="71"/>
      <c r="H31" s="60"/>
      <c r="I31" s="60"/>
    </row>
    <row r="32" customFormat="false" ht="24" hidden="false" customHeight="true" outlineLevel="0" collapsed="false">
      <c r="A32" s="57" t="n">
        <v>28</v>
      </c>
      <c r="B32" s="60"/>
      <c r="C32" s="60"/>
      <c r="D32" s="71"/>
      <c r="E32" s="60"/>
      <c r="F32" s="60"/>
      <c r="G32" s="71"/>
      <c r="H32" s="60"/>
      <c r="I32" s="60"/>
    </row>
    <row r="33" customFormat="false" ht="24" hidden="false" customHeight="true" outlineLevel="0" collapsed="false">
      <c r="A33" s="57" t="n">
        <v>29</v>
      </c>
      <c r="B33" s="60"/>
      <c r="C33" s="60"/>
      <c r="D33" s="71"/>
      <c r="E33" s="60"/>
      <c r="F33" s="60"/>
      <c r="G33" s="71"/>
      <c r="H33" s="60"/>
      <c r="I33" s="60"/>
    </row>
    <row r="34" customFormat="false" ht="24" hidden="false" customHeight="true" outlineLevel="0" collapsed="false">
      <c r="A34" s="57" t="n">
        <v>30</v>
      </c>
      <c r="B34" s="60"/>
      <c r="C34" s="60"/>
      <c r="D34" s="71"/>
      <c r="E34" s="60"/>
      <c r="F34" s="60"/>
      <c r="G34" s="71"/>
      <c r="H34" s="60"/>
      <c r="I34" s="60"/>
    </row>
    <row r="35" customFormat="false" ht="24" hidden="false" customHeight="true" outlineLevel="0" collapsed="false">
      <c r="A35" s="57" t="n">
        <v>31</v>
      </c>
      <c r="B35" s="60"/>
      <c r="C35" s="60"/>
      <c r="D35" s="71"/>
      <c r="E35" s="60"/>
      <c r="F35" s="60"/>
      <c r="G35" s="71"/>
      <c r="H35" s="60"/>
      <c r="I35" s="60"/>
    </row>
    <row r="36" customFormat="false" ht="24" hidden="false" customHeight="true" outlineLevel="0" collapsed="false">
      <c r="A36" s="57" t="n">
        <v>32</v>
      </c>
      <c r="B36" s="60"/>
      <c r="C36" s="60"/>
      <c r="D36" s="71"/>
      <c r="E36" s="60"/>
      <c r="F36" s="60"/>
      <c r="G36" s="71"/>
      <c r="H36" s="60"/>
      <c r="I36" s="60"/>
    </row>
    <row r="37" customFormat="false" ht="24" hidden="false" customHeight="true" outlineLevel="0" collapsed="false">
      <c r="A37" s="57" t="n">
        <v>33</v>
      </c>
      <c r="B37" s="60"/>
      <c r="C37" s="60"/>
      <c r="D37" s="71"/>
      <c r="E37" s="60"/>
      <c r="F37" s="60"/>
      <c r="G37" s="71"/>
      <c r="H37" s="60"/>
      <c r="I37" s="60"/>
    </row>
    <row r="38" customFormat="false" ht="24" hidden="false" customHeight="true" outlineLevel="0" collapsed="false">
      <c r="A38" s="57" t="n">
        <v>34</v>
      </c>
      <c r="B38" s="60"/>
      <c r="C38" s="60"/>
      <c r="D38" s="71"/>
      <c r="E38" s="60"/>
      <c r="F38" s="60"/>
      <c r="G38" s="71"/>
      <c r="H38" s="60"/>
      <c r="I38" s="60"/>
    </row>
    <row r="39" customFormat="false" ht="24" hidden="false" customHeight="true" outlineLevel="0" collapsed="false">
      <c r="A39" s="57" t="n">
        <v>35</v>
      </c>
      <c r="B39" s="60"/>
      <c r="C39" s="60"/>
      <c r="D39" s="71"/>
      <c r="E39" s="60"/>
      <c r="F39" s="60"/>
      <c r="G39" s="71"/>
      <c r="H39" s="60"/>
      <c r="I39" s="60"/>
    </row>
    <row r="40" customFormat="false" ht="24" hidden="false" customHeight="true" outlineLevel="0" collapsed="false">
      <c r="A40" s="57" t="n">
        <v>36</v>
      </c>
      <c r="B40" s="60"/>
      <c r="C40" s="60"/>
      <c r="D40" s="71"/>
      <c r="E40" s="60"/>
      <c r="F40" s="60"/>
      <c r="G40" s="71"/>
      <c r="H40" s="60"/>
      <c r="I40" s="60"/>
    </row>
    <row r="41" customFormat="false" ht="24" hidden="false" customHeight="true" outlineLevel="0" collapsed="false">
      <c r="A41" s="57" t="n">
        <v>37</v>
      </c>
      <c r="B41" s="60"/>
      <c r="C41" s="60"/>
      <c r="D41" s="71"/>
      <c r="E41" s="60"/>
      <c r="F41" s="60"/>
      <c r="G41" s="71"/>
      <c r="H41" s="60"/>
      <c r="I41" s="60"/>
    </row>
    <row r="42" customFormat="false" ht="24" hidden="false" customHeight="true" outlineLevel="0" collapsed="false">
      <c r="A42" s="57" t="n">
        <v>38</v>
      </c>
      <c r="B42" s="60"/>
      <c r="C42" s="60"/>
      <c r="D42" s="71"/>
      <c r="E42" s="60"/>
      <c r="F42" s="60"/>
      <c r="G42" s="71"/>
      <c r="H42" s="60"/>
      <c r="I42" s="60"/>
    </row>
    <row r="43" customFormat="false" ht="24" hidden="false" customHeight="true" outlineLevel="0" collapsed="false">
      <c r="A43" s="57" t="n">
        <v>39</v>
      </c>
      <c r="B43" s="60"/>
      <c r="C43" s="60"/>
      <c r="D43" s="71"/>
      <c r="E43" s="60"/>
      <c r="F43" s="60"/>
      <c r="G43" s="71"/>
      <c r="H43" s="60"/>
      <c r="I43" s="60"/>
    </row>
    <row r="44" customFormat="false" ht="24" hidden="false" customHeight="true" outlineLevel="0" collapsed="false">
      <c r="A44" s="57" t="n">
        <v>40</v>
      </c>
      <c r="B44" s="60"/>
      <c r="C44" s="60"/>
      <c r="D44" s="71"/>
      <c r="E44" s="60"/>
      <c r="F44" s="60"/>
      <c r="G44" s="71"/>
      <c r="H44" s="60"/>
      <c r="I44" s="60"/>
    </row>
  </sheetData>
  <sheetProtection sheet="true" formatCells="false" formatColumns="false" formatRows="false" autoFilter="false"/>
  <mergeCells count="1">
    <mergeCell ref="A2:I2"/>
  </mergeCells>
  <printOptions headings="false" gridLines="false" gridLinesSet="true" horizontalCentered="false" verticalCentered="false"/>
  <pageMargins left="0.3" right="0.3" top="1" bottom="1" header="0.511811023622047" footer="0.5"/>
  <pageSetup paperSize="9" scale="100" fitToWidth="1" fitToHeight="0" pageOrder="downThenOver" orientation="landscape" blackAndWhite="false" draft="false" cellComments="none" horizontalDpi="300" verticalDpi="300" copies="1"/>
  <headerFooter differentFirst="false" differentOddEven="false">
    <oddHeader/>
    <oddFooter>&amp;C&amp;8 &amp;A  |  Page &amp;P of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10"/>
    <col collapsed="false" customWidth="true" hidden="false" outlineLevel="0" max="4" min="4" style="0" width="9"/>
    <col collapsed="false" customWidth="true" hidden="false" outlineLevel="0" max="5" min="5" style="0" width="6"/>
    <col collapsed="false" customWidth="true" hidden="false" outlineLevel="0" max="6" min="6" style="0" width="9"/>
    <col collapsed="false" customWidth="true" hidden="false" outlineLevel="0" max="7" min="7" style="0" width="14"/>
    <col collapsed="false" customWidth="true" hidden="false" outlineLevel="0" max="9" min="8" style="0" width="30"/>
    <col collapsed="false" customWidth="true" hidden="false" outlineLevel="0" max="10" min="10" style="0" width="12"/>
    <col collapsed="false" customWidth="true" hidden="false" outlineLevel="0" max="12" min="11" style="0" width="14"/>
    <col collapsed="false" customWidth="true" hidden="false" outlineLevel="0" max="13" min="13" style="0" width="50"/>
    <col collapsed="false" customWidth="true" hidden="false" outlineLevel="0" max="14" min="14" style="0" width="38"/>
  </cols>
  <sheetData>
    <row r="1" customFormat="false" ht="24" hidden="false" customHeight="true" outlineLevel="0" collapsed="false">
      <c r="A1" s="54" t="s">
        <v>1486</v>
      </c>
    </row>
    <row r="2" customFormat="false" ht="41.25" hidden="false" customHeight="true" outlineLevel="0" collapsed="false">
      <c r="C2" s="55" t="s">
        <v>1487</v>
      </c>
      <c r="D2" s="55"/>
      <c r="E2" s="55"/>
      <c r="F2" s="55"/>
      <c r="G2" s="55"/>
      <c r="H2" s="55"/>
      <c r="I2" s="55"/>
    </row>
    <row r="4" customFormat="false" ht="42" hidden="false" customHeight="true" outlineLevel="0" collapsed="false">
      <c r="A4" s="56" t="s">
        <v>135</v>
      </c>
      <c r="B4" s="56" t="s">
        <v>138</v>
      </c>
      <c r="C4" s="56" t="s">
        <v>106</v>
      </c>
      <c r="D4" s="56" t="s">
        <v>107</v>
      </c>
      <c r="E4" s="56" t="s">
        <v>315</v>
      </c>
      <c r="F4" s="56" t="s">
        <v>109</v>
      </c>
      <c r="G4" s="56" t="s">
        <v>317</v>
      </c>
      <c r="H4" s="56" t="s">
        <v>1488</v>
      </c>
      <c r="I4" s="56" t="s">
        <v>1489</v>
      </c>
      <c r="J4" s="56" t="s">
        <v>1490</v>
      </c>
      <c r="K4" s="56" t="s">
        <v>1491</v>
      </c>
      <c r="L4" s="56" t="s">
        <v>321</v>
      </c>
      <c r="M4" s="56" t="s">
        <v>1492</v>
      </c>
      <c r="N4" s="56" t="s">
        <v>1493</v>
      </c>
    </row>
    <row r="5" customFormat="false" ht="40.5" hidden="false" customHeight="true" outlineLevel="0" collapsed="false">
      <c r="A5" s="57" t="s">
        <v>180</v>
      </c>
      <c r="B5" s="57" t="s">
        <v>182</v>
      </c>
      <c r="C5" s="58" t="n">
        <v>46303</v>
      </c>
      <c r="D5" s="57" t="s">
        <v>1494</v>
      </c>
      <c r="E5" s="57" t="s">
        <v>185</v>
      </c>
      <c r="F5" s="57" t="s">
        <v>186</v>
      </c>
      <c r="G5" s="57" t="s">
        <v>418</v>
      </c>
      <c r="H5" s="57" t="s">
        <v>1495</v>
      </c>
      <c r="I5" s="57" t="s">
        <v>420</v>
      </c>
      <c r="J5" s="57"/>
      <c r="K5" s="57" t="s">
        <v>183</v>
      </c>
      <c r="L5" s="74" t="s">
        <v>422</v>
      </c>
      <c r="M5" s="57" t="s">
        <v>423</v>
      </c>
      <c r="N5" s="57" t="s">
        <v>421</v>
      </c>
    </row>
    <row r="6" customFormat="false" ht="27.75" hidden="false" customHeight="true" outlineLevel="0" collapsed="false">
      <c r="A6" s="57" t="s">
        <v>180</v>
      </c>
      <c r="B6" s="57" t="s">
        <v>182</v>
      </c>
      <c r="C6" s="58" t="n">
        <v>46303</v>
      </c>
      <c r="D6" s="57" t="s">
        <v>1494</v>
      </c>
      <c r="E6" s="57" t="s">
        <v>185</v>
      </c>
      <c r="F6" s="57" t="s">
        <v>186</v>
      </c>
      <c r="G6" s="57" t="s">
        <v>425</v>
      </c>
      <c r="H6" s="57" t="s">
        <v>1496</v>
      </c>
      <c r="I6" s="57" t="s">
        <v>427</v>
      </c>
      <c r="J6" s="57"/>
      <c r="K6" s="57" t="s">
        <v>429</v>
      </c>
      <c r="L6" s="57" t="s">
        <v>361</v>
      </c>
      <c r="M6" s="57"/>
      <c r="N6" s="57" t="s">
        <v>428</v>
      </c>
    </row>
    <row r="7" customFormat="false" ht="52.5" hidden="false" customHeight="true" outlineLevel="0" collapsed="false">
      <c r="A7" s="57" t="s">
        <v>180</v>
      </c>
      <c r="B7" s="57" t="s">
        <v>182</v>
      </c>
      <c r="C7" s="58" t="n">
        <v>46303</v>
      </c>
      <c r="D7" s="57" t="s">
        <v>1494</v>
      </c>
      <c r="E7" s="57" t="s">
        <v>185</v>
      </c>
      <c r="F7" s="57" t="s">
        <v>186</v>
      </c>
      <c r="G7" s="57" t="s">
        <v>425</v>
      </c>
      <c r="H7" s="57" t="s">
        <v>1497</v>
      </c>
      <c r="I7" s="57" t="s">
        <v>427</v>
      </c>
      <c r="J7" s="57" t="s">
        <v>1498</v>
      </c>
      <c r="K7" s="57" t="s">
        <v>429</v>
      </c>
      <c r="L7" s="57" t="s">
        <v>361</v>
      </c>
      <c r="M7" s="57" t="s">
        <v>450</v>
      </c>
      <c r="N7" s="57" t="s">
        <v>434</v>
      </c>
    </row>
    <row r="8" customFormat="false" ht="27.75" hidden="false" customHeight="true" outlineLevel="0" collapsed="false">
      <c r="A8" s="57" t="s">
        <v>195</v>
      </c>
      <c r="B8" s="57" t="s">
        <v>197</v>
      </c>
      <c r="C8" s="58" t="n">
        <v>46304</v>
      </c>
      <c r="D8" s="57" t="s">
        <v>1499</v>
      </c>
      <c r="E8" s="57" t="s">
        <v>199</v>
      </c>
      <c r="F8" s="57" t="s">
        <v>200</v>
      </c>
      <c r="G8" s="57" t="s">
        <v>418</v>
      </c>
      <c r="H8" s="57" t="s">
        <v>1500</v>
      </c>
      <c r="I8" s="57" t="s">
        <v>473</v>
      </c>
      <c r="J8" s="57"/>
      <c r="K8" s="57" t="s">
        <v>429</v>
      </c>
      <c r="L8" s="57" t="s">
        <v>361</v>
      </c>
      <c r="M8" s="57" t="s">
        <v>513</v>
      </c>
      <c r="N8" s="57" t="s">
        <v>474</v>
      </c>
    </row>
    <row r="9" customFormat="false" ht="27.75" hidden="false" customHeight="true" outlineLevel="0" collapsed="false">
      <c r="A9" s="57" t="s">
        <v>195</v>
      </c>
      <c r="B9" s="57" t="s">
        <v>197</v>
      </c>
      <c r="C9" s="58" t="n">
        <v>46304</v>
      </c>
      <c r="D9" s="57" t="s">
        <v>1499</v>
      </c>
      <c r="E9" s="57" t="s">
        <v>199</v>
      </c>
      <c r="F9" s="57" t="s">
        <v>200</v>
      </c>
      <c r="G9" s="57" t="s">
        <v>477</v>
      </c>
      <c r="H9" s="57" t="s">
        <v>1501</v>
      </c>
      <c r="I9" s="57" t="s">
        <v>479</v>
      </c>
      <c r="J9" s="57"/>
      <c r="K9" s="57" t="s">
        <v>429</v>
      </c>
      <c r="L9" s="57" t="s">
        <v>361</v>
      </c>
      <c r="M9" s="57"/>
      <c r="N9" s="57" t="s">
        <v>480</v>
      </c>
    </row>
    <row r="10" customFormat="false" ht="27.75" hidden="false" customHeight="true" outlineLevel="0" collapsed="false">
      <c r="A10" s="57" t="s">
        <v>195</v>
      </c>
      <c r="B10" s="57" t="s">
        <v>197</v>
      </c>
      <c r="C10" s="58" t="n">
        <v>46304</v>
      </c>
      <c r="D10" s="57" t="s">
        <v>1499</v>
      </c>
      <c r="E10" s="57" t="s">
        <v>199</v>
      </c>
      <c r="F10" s="57" t="s">
        <v>200</v>
      </c>
      <c r="G10" s="57" t="s">
        <v>477</v>
      </c>
      <c r="H10" s="57" t="s">
        <v>1502</v>
      </c>
      <c r="I10" s="57" t="s">
        <v>479</v>
      </c>
      <c r="J10" s="57"/>
      <c r="K10" s="57" t="s">
        <v>429</v>
      </c>
      <c r="L10" s="57" t="s">
        <v>361</v>
      </c>
      <c r="M10" s="57"/>
      <c r="N10" s="57" t="s">
        <v>484</v>
      </c>
    </row>
    <row r="11" customFormat="false" ht="27.75" hidden="false" customHeight="true" outlineLevel="0" collapsed="false">
      <c r="A11" s="57" t="s">
        <v>195</v>
      </c>
      <c r="B11" s="57" t="s">
        <v>197</v>
      </c>
      <c r="C11" s="58" t="n">
        <v>46304</v>
      </c>
      <c r="D11" s="57" t="s">
        <v>1499</v>
      </c>
      <c r="E11" s="57" t="s">
        <v>199</v>
      </c>
      <c r="F11" s="57" t="s">
        <v>200</v>
      </c>
      <c r="G11" s="57" t="s">
        <v>477</v>
      </c>
      <c r="H11" s="57" t="s">
        <v>1503</v>
      </c>
      <c r="I11" s="57" t="s">
        <v>479</v>
      </c>
      <c r="J11" s="57"/>
      <c r="K11" s="57" t="s">
        <v>429</v>
      </c>
      <c r="L11" s="57" t="s">
        <v>361</v>
      </c>
      <c r="M11" s="57"/>
      <c r="N11" s="57" t="s">
        <v>487</v>
      </c>
    </row>
    <row r="12" customFormat="false" ht="65.25" hidden="false" customHeight="true" outlineLevel="0" collapsed="false">
      <c r="A12" s="57" t="s">
        <v>195</v>
      </c>
      <c r="B12" s="57" t="s">
        <v>197</v>
      </c>
      <c r="C12" s="58" t="n">
        <v>46304</v>
      </c>
      <c r="D12" s="57" t="s">
        <v>1499</v>
      </c>
      <c r="E12" s="57" t="s">
        <v>199</v>
      </c>
      <c r="F12" s="57" t="s">
        <v>200</v>
      </c>
      <c r="G12" s="57" t="s">
        <v>477</v>
      </c>
      <c r="H12" s="57" t="s">
        <v>1504</v>
      </c>
      <c r="I12" s="57" t="s">
        <v>479</v>
      </c>
      <c r="J12" s="57"/>
      <c r="K12" s="57" t="s">
        <v>429</v>
      </c>
      <c r="L12" s="74" t="s">
        <v>422</v>
      </c>
      <c r="M12" s="57" t="s">
        <v>522</v>
      </c>
      <c r="N12" s="57" t="s">
        <v>490</v>
      </c>
    </row>
    <row r="13" customFormat="false" ht="65.25" hidden="false" customHeight="true" outlineLevel="0" collapsed="false">
      <c r="A13" s="57" t="s">
        <v>195</v>
      </c>
      <c r="B13" s="57" t="s">
        <v>197</v>
      </c>
      <c r="C13" s="58" t="n">
        <v>46304</v>
      </c>
      <c r="D13" s="57" t="s">
        <v>1499</v>
      </c>
      <c r="E13" s="57" t="s">
        <v>199</v>
      </c>
      <c r="F13" s="57" t="s">
        <v>200</v>
      </c>
      <c r="G13" s="57" t="s">
        <v>477</v>
      </c>
      <c r="H13" s="57" t="s">
        <v>1505</v>
      </c>
      <c r="I13" s="57" t="s">
        <v>479</v>
      </c>
      <c r="J13" s="57"/>
      <c r="K13" s="57" t="s">
        <v>429</v>
      </c>
      <c r="L13" s="74" t="s">
        <v>422</v>
      </c>
      <c r="M13" s="57" t="s">
        <v>522</v>
      </c>
      <c r="N13" s="57" t="s">
        <v>494</v>
      </c>
    </row>
    <row r="14" customFormat="false" ht="27.75" hidden="false" customHeight="true" outlineLevel="0" collapsed="false">
      <c r="A14" s="57" t="s">
        <v>195</v>
      </c>
      <c r="B14" s="57" t="s">
        <v>197</v>
      </c>
      <c r="C14" s="58" t="n">
        <v>46304</v>
      </c>
      <c r="D14" s="57" t="s">
        <v>1499</v>
      </c>
      <c r="E14" s="57" t="s">
        <v>199</v>
      </c>
      <c r="F14" s="57" t="s">
        <v>200</v>
      </c>
      <c r="G14" s="57" t="s">
        <v>477</v>
      </c>
      <c r="H14" s="57" t="s">
        <v>1506</v>
      </c>
      <c r="I14" s="57" t="s">
        <v>497</v>
      </c>
      <c r="J14" s="57"/>
      <c r="K14" s="57" t="s">
        <v>429</v>
      </c>
      <c r="L14" s="57" t="s">
        <v>361</v>
      </c>
      <c r="M14" s="57" t="s">
        <v>527</v>
      </c>
      <c r="N14" s="57" t="s">
        <v>498</v>
      </c>
    </row>
    <row r="15" customFormat="false" ht="27.75" hidden="false" customHeight="true" outlineLevel="0" collapsed="false">
      <c r="A15" s="57" t="s">
        <v>195</v>
      </c>
      <c r="B15" s="57" t="s">
        <v>197</v>
      </c>
      <c r="C15" s="58" t="n">
        <v>46304</v>
      </c>
      <c r="D15" s="57" t="s">
        <v>1499</v>
      </c>
      <c r="E15" s="57" t="s">
        <v>199</v>
      </c>
      <c r="F15" s="57" t="s">
        <v>200</v>
      </c>
      <c r="G15" s="57" t="s">
        <v>477</v>
      </c>
      <c r="H15" s="57" t="s">
        <v>1507</v>
      </c>
      <c r="I15" s="57" t="s">
        <v>479</v>
      </c>
      <c r="J15" s="57"/>
      <c r="K15" s="57" t="s">
        <v>429</v>
      </c>
      <c r="L15" s="57" t="s">
        <v>361</v>
      </c>
      <c r="M15" s="57"/>
      <c r="N15" s="57" t="s">
        <v>502</v>
      </c>
    </row>
    <row r="16" customFormat="false" ht="27.75" hidden="false" customHeight="true" outlineLevel="0" collapsed="false">
      <c r="A16" s="57" t="s">
        <v>195</v>
      </c>
      <c r="B16" s="57" t="s">
        <v>197</v>
      </c>
      <c r="C16" s="58" t="n">
        <v>46304</v>
      </c>
      <c r="D16" s="57" t="s">
        <v>1499</v>
      </c>
      <c r="E16" s="57" t="s">
        <v>199</v>
      </c>
      <c r="F16" s="57" t="s">
        <v>200</v>
      </c>
      <c r="G16" s="57" t="s">
        <v>425</v>
      </c>
      <c r="H16" s="57" t="s">
        <v>1508</v>
      </c>
      <c r="I16" s="57" t="s">
        <v>427</v>
      </c>
      <c r="J16" s="57"/>
      <c r="K16" s="57" t="s">
        <v>429</v>
      </c>
      <c r="L16" s="57" t="s">
        <v>361</v>
      </c>
      <c r="M16" s="57"/>
      <c r="N16" s="57" t="s">
        <v>505</v>
      </c>
    </row>
    <row r="17" customFormat="false" ht="27.75" hidden="false" customHeight="true" outlineLevel="0" collapsed="false">
      <c r="A17" s="57" t="s">
        <v>195</v>
      </c>
      <c r="B17" s="57" t="s">
        <v>197</v>
      </c>
      <c r="C17" s="58" t="n">
        <v>46304</v>
      </c>
      <c r="D17" s="57" t="s">
        <v>1499</v>
      </c>
      <c r="E17" s="57" t="s">
        <v>199</v>
      </c>
      <c r="F17" s="57" t="s">
        <v>200</v>
      </c>
      <c r="G17" s="57" t="s">
        <v>425</v>
      </c>
      <c r="H17" s="57" t="s">
        <v>1509</v>
      </c>
      <c r="I17" s="57" t="s">
        <v>427</v>
      </c>
      <c r="J17" s="57"/>
      <c r="K17" s="57" t="s">
        <v>429</v>
      </c>
      <c r="L17" s="57" t="s">
        <v>361</v>
      </c>
      <c r="M17" s="57"/>
      <c r="N17" s="57" t="s">
        <v>508</v>
      </c>
    </row>
    <row r="18" customFormat="false" ht="27.75" hidden="false" customHeight="true" outlineLevel="0" collapsed="false">
      <c r="A18" s="57" t="s">
        <v>209</v>
      </c>
      <c r="B18" s="57" t="s">
        <v>211</v>
      </c>
      <c r="C18" s="58" t="n">
        <v>46305</v>
      </c>
      <c r="D18" s="57" t="s">
        <v>1510</v>
      </c>
      <c r="E18" s="57" t="s">
        <v>185</v>
      </c>
      <c r="F18" s="57" t="s">
        <v>212</v>
      </c>
      <c r="G18" s="57" t="s">
        <v>425</v>
      </c>
      <c r="H18" s="57" t="s">
        <v>1496</v>
      </c>
      <c r="I18" s="57" t="s">
        <v>427</v>
      </c>
      <c r="J18" s="57"/>
      <c r="K18" s="57" t="s">
        <v>429</v>
      </c>
      <c r="L18" s="57" t="s">
        <v>361</v>
      </c>
      <c r="M18" s="57"/>
      <c r="N18" s="57" t="s">
        <v>554</v>
      </c>
    </row>
    <row r="19" customFormat="false" ht="27.75" hidden="false" customHeight="true" outlineLevel="0" collapsed="false">
      <c r="A19" s="57" t="s">
        <v>215</v>
      </c>
      <c r="B19" s="57" t="s">
        <v>216</v>
      </c>
      <c r="C19" s="58" t="n">
        <v>46305</v>
      </c>
      <c r="D19" s="57" t="s">
        <v>1511</v>
      </c>
      <c r="E19" s="57" t="s">
        <v>199</v>
      </c>
      <c r="F19" s="57" t="s">
        <v>186</v>
      </c>
      <c r="G19" s="57" t="s">
        <v>418</v>
      </c>
      <c r="H19" s="57" t="s">
        <v>1495</v>
      </c>
      <c r="I19" s="57" t="s">
        <v>479</v>
      </c>
      <c r="J19" s="57"/>
      <c r="K19" s="57" t="s">
        <v>184</v>
      </c>
      <c r="L19" s="57" t="s">
        <v>361</v>
      </c>
      <c r="M19" s="57"/>
      <c r="N19" s="57" t="s">
        <v>579</v>
      </c>
    </row>
    <row r="20" customFormat="false" ht="27.75" hidden="false" customHeight="true" outlineLevel="0" collapsed="false">
      <c r="A20" s="57" t="s">
        <v>215</v>
      </c>
      <c r="B20" s="57" t="s">
        <v>216</v>
      </c>
      <c r="C20" s="58" t="n">
        <v>46305</v>
      </c>
      <c r="D20" s="57" t="s">
        <v>1511</v>
      </c>
      <c r="E20" s="57" t="s">
        <v>199</v>
      </c>
      <c r="F20" s="57" t="s">
        <v>186</v>
      </c>
      <c r="G20" s="57" t="s">
        <v>418</v>
      </c>
      <c r="H20" s="57" t="s">
        <v>1512</v>
      </c>
      <c r="I20" s="57" t="s">
        <v>479</v>
      </c>
      <c r="J20" s="57"/>
      <c r="K20" s="57" t="s">
        <v>184</v>
      </c>
      <c r="L20" s="57" t="s">
        <v>361</v>
      </c>
      <c r="M20" s="57"/>
      <c r="N20" s="57" t="s">
        <v>582</v>
      </c>
    </row>
    <row r="21" customFormat="false" ht="27.75" hidden="false" customHeight="true" outlineLevel="0" collapsed="false">
      <c r="A21" s="57" t="s">
        <v>215</v>
      </c>
      <c r="B21" s="57" t="s">
        <v>216</v>
      </c>
      <c r="C21" s="58" t="n">
        <v>46305</v>
      </c>
      <c r="D21" s="57" t="s">
        <v>1511</v>
      </c>
      <c r="E21" s="57" t="s">
        <v>199</v>
      </c>
      <c r="F21" s="57" t="s">
        <v>186</v>
      </c>
      <c r="G21" s="57" t="s">
        <v>477</v>
      </c>
      <c r="H21" s="57" t="s">
        <v>1501</v>
      </c>
      <c r="I21" s="57" t="s">
        <v>479</v>
      </c>
      <c r="J21" s="57"/>
      <c r="K21" s="57" t="s">
        <v>429</v>
      </c>
      <c r="L21" s="57" t="s">
        <v>361</v>
      </c>
      <c r="M21" s="57"/>
      <c r="N21" s="57" t="s">
        <v>584</v>
      </c>
    </row>
    <row r="22" customFormat="false" ht="27.75" hidden="false" customHeight="true" outlineLevel="0" collapsed="false">
      <c r="A22" s="57" t="s">
        <v>215</v>
      </c>
      <c r="B22" s="57" t="s">
        <v>216</v>
      </c>
      <c r="C22" s="58" t="n">
        <v>46305</v>
      </c>
      <c r="D22" s="57" t="s">
        <v>1511</v>
      </c>
      <c r="E22" s="57" t="s">
        <v>199</v>
      </c>
      <c r="F22" s="57" t="s">
        <v>186</v>
      </c>
      <c r="G22" s="57" t="s">
        <v>477</v>
      </c>
      <c r="H22" s="57" t="s">
        <v>1502</v>
      </c>
      <c r="I22" s="57" t="s">
        <v>479</v>
      </c>
      <c r="J22" s="57"/>
      <c r="K22" s="57" t="s">
        <v>429</v>
      </c>
      <c r="L22" s="57" t="s">
        <v>361</v>
      </c>
      <c r="M22" s="57"/>
      <c r="N22" s="57" t="s">
        <v>586</v>
      </c>
    </row>
    <row r="23" customFormat="false" ht="27.75" hidden="false" customHeight="true" outlineLevel="0" collapsed="false">
      <c r="A23" s="57" t="s">
        <v>215</v>
      </c>
      <c r="B23" s="57" t="s">
        <v>216</v>
      </c>
      <c r="C23" s="58" t="n">
        <v>46305</v>
      </c>
      <c r="D23" s="57" t="s">
        <v>1511</v>
      </c>
      <c r="E23" s="57" t="s">
        <v>199</v>
      </c>
      <c r="F23" s="57" t="s">
        <v>186</v>
      </c>
      <c r="G23" s="57" t="s">
        <v>477</v>
      </c>
      <c r="H23" s="57" t="s">
        <v>1503</v>
      </c>
      <c r="I23" s="57" t="s">
        <v>479</v>
      </c>
      <c r="J23" s="57"/>
      <c r="K23" s="57" t="s">
        <v>429</v>
      </c>
      <c r="L23" s="57" t="s">
        <v>361</v>
      </c>
      <c r="M23" s="57"/>
      <c r="N23" s="57" t="s">
        <v>588</v>
      </c>
    </row>
    <row r="24" customFormat="false" ht="27.75" hidden="false" customHeight="true" outlineLevel="0" collapsed="false">
      <c r="A24" s="57" t="s">
        <v>215</v>
      </c>
      <c r="B24" s="57" t="s">
        <v>216</v>
      </c>
      <c r="C24" s="58" t="n">
        <v>46305</v>
      </c>
      <c r="D24" s="57" t="s">
        <v>1511</v>
      </c>
      <c r="E24" s="57" t="s">
        <v>199</v>
      </c>
      <c r="F24" s="57" t="s">
        <v>186</v>
      </c>
      <c r="G24" s="57" t="s">
        <v>477</v>
      </c>
      <c r="H24" s="57" t="s">
        <v>1504</v>
      </c>
      <c r="I24" s="57" t="s">
        <v>479</v>
      </c>
      <c r="J24" s="57"/>
      <c r="K24" s="57" t="s">
        <v>429</v>
      </c>
      <c r="L24" s="57" t="s">
        <v>361</v>
      </c>
      <c r="M24" s="57"/>
      <c r="N24" s="57" t="s">
        <v>590</v>
      </c>
    </row>
    <row r="25" customFormat="false" ht="27.75" hidden="false" customHeight="true" outlineLevel="0" collapsed="false">
      <c r="A25" s="57" t="s">
        <v>215</v>
      </c>
      <c r="B25" s="57" t="s">
        <v>216</v>
      </c>
      <c r="C25" s="58" t="n">
        <v>46305</v>
      </c>
      <c r="D25" s="57" t="s">
        <v>1511</v>
      </c>
      <c r="E25" s="57" t="s">
        <v>199</v>
      </c>
      <c r="F25" s="57" t="s">
        <v>186</v>
      </c>
      <c r="G25" s="57" t="s">
        <v>477</v>
      </c>
      <c r="H25" s="57" t="s">
        <v>1505</v>
      </c>
      <c r="I25" s="57" t="s">
        <v>479</v>
      </c>
      <c r="J25" s="57"/>
      <c r="K25" s="57" t="s">
        <v>429</v>
      </c>
      <c r="L25" s="57" t="s">
        <v>361</v>
      </c>
      <c r="M25" s="57"/>
      <c r="N25" s="57" t="s">
        <v>592</v>
      </c>
    </row>
    <row r="26" customFormat="false" ht="27.75" hidden="false" customHeight="true" outlineLevel="0" collapsed="false">
      <c r="A26" s="57" t="s">
        <v>215</v>
      </c>
      <c r="B26" s="57" t="s">
        <v>216</v>
      </c>
      <c r="C26" s="58" t="n">
        <v>46305</v>
      </c>
      <c r="D26" s="57" t="s">
        <v>1511</v>
      </c>
      <c r="E26" s="57" t="s">
        <v>199</v>
      </c>
      <c r="F26" s="57" t="s">
        <v>186</v>
      </c>
      <c r="G26" s="57" t="s">
        <v>477</v>
      </c>
      <c r="H26" s="57" t="s">
        <v>1506</v>
      </c>
      <c r="I26" s="57" t="s">
        <v>594</v>
      </c>
      <c r="J26" s="57"/>
      <c r="K26" s="57" t="s">
        <v>429</v>
      </c>
      <c r="L26" s="57" t="s">
        <v>361</v>
      </c>
      <c r="M26" s="57" t="s">
        <v>527</v>
      </c>
      <c r="N26" s="57" t="s">
        <v>595</v>
      </c>
    </row>
    <row r="27" customFormat="false" ht="27.75" hidden="false" customHeight="true" outlineLevel="0" collapsed="false">
      <c r="A27" s="57" t="s">
        <v>215</v>
      </c>
      <c r="B27" s="57" t="s">
        <v>216</v>
      </c>
      <c r="C27" s="58" t="n">
        <v>46305</v>
      </c>
      <c r="D27" s="57" t="s">
        <v>1511</v>
      </c>
      <c r="E27" s="57" t="s">
        <v>199</v>
      </c>
      <c r="F27" s="57" t="s">
        <v>186</v>
      </c>
      <c r="G27" s="57" t="s">
        <v>477</v>
      </c>
      <c r="H27" s="57" t="s">
        <v>1507</v>
      </c>
      <c r="I27" s="57" t="s">
        <v>479</v>
      </c>
      <c r="J27" s="57"/>
      <c r="K27" s="57" t="s">
        <v>429</v>
      </c>
      <c r="L27" s="57" t="s">
        <v>361</v>
      </c>
      <c r="M27" s="57"/>
      <c r="N27" s="57" t="s">
        <v>597</v>
      </c>
    </row>
    <row r="28" customFormat="false" ht="27.75" hidden="false" customHeight="true" outlineLevel="0" collapsed="false">
      <c r="A28" s="57" t="s">
        <v>215</v>
      </c>
      <c r="B28" s="57" t="s">
        <v>216</v>
      </c>
      <c r="C28" s="58" t="n">
        <v>46305</v>
      </c>
      <c r="D28" s="57" t="s">
        <v>1511</v>
      </c>
      <c r="E28" s="57" t="s">
        <v>199</v>
      </c>
      <c r="F28" s="57" t="s">
        <v>186</v>
      </c>
      <c r="G28" s="57" t="s">
        <v>425</v>
      </c>
      <c r="H28" s="57" t="s">
        <v>1508</v>
      </c>
      <c r="I28" s="57" t="s">
        <v>427</v>
      </c>
      <c r="J28" s="57"/>
      <c r="K28" s="57" t="s">
        <v>429</v>
      </c>
      <c r="L28" s="57" t="s">
        <v>361</v>
      </c>
      <c r="M28" s="57"/>
      <c r="N28" s="57" t="s">
        <v>599</v>
      </c>
    </row>
    <row r="29" customFormat="false" ht="27.75" hidden="false" customHeight="true" outlineLevel="0" collapsed="false">
      <c r="A29" s="57" t="s">
        <v>215</v>
      </c>
      <c r="B29" s="57" t="s">
        <v>216</v>
      </c>
      <c r="C29" s="58" t="n">
        <v>46305</v>
      </c>
      <c r="D29" s="57" t="s">
        <v>1511</v>
      </c>
      <c r="E29" s="57" t="s">
        <v>199</v>
      </c>
      <c r="F29" s="57" t="s">
        <v>186</v>
      </c>
      <c r="G29" s="57" t="s">
        <v>425</v>
      </c>
      <c r="H29" s="57" t="s">
        <v>1513</v>
      </c>
      <c r="I29" s="57" t="s">
        <v>427</v>
      </c>
      <c r="J29" s="57"/>
      <c r="K29" s="57" t="s">
        <v>429</v>
      </c>
      <c r="L29" s="57" t="s">
        <v>361</v>
      </c>
      <c r="M29" s="57"/>
      <c r="N29" s="57" t="s">
        <v>602</v>
      </c>
    </row>
    <row r="30" customFormat="false" ht="27.75" hidden="false" customHeight="true" outlineLevel="0" collapsed="false">
      <c r="A30" s="57" t="s">
        <v>215</v>
      </c>
      <c r="B30" s="57" t="s">
        <v>216</v>
      </c>
      <c r="C30" s="58" t="n">
        <v>46305</v>
      </c>
      <c r="D30" s="57" t="s">
        <v>1511</v>
      </c>
      <c r="E30" s="57" t="s">
        <v>199</v>
      </c>
      <c r="F30" s="57" t="s">
        <v>186</v>
      </c>
      <c r="G30" s="57" t="s">
        <v>425</v>
      </c>
      <c r="H30" s="57" t="s">
        <v>1514</v>
      </c>
      <c r="I30" s="57" t="s">
        <v>427</v>
      </c>
      <c r="J30" s="57"/>
      <c r="K30" s="57" t="s">
        <v>429</v>
      </c>
      <c r="L30" s="57" t="s">
        <v>361</v>
      </c>
      <c r="M30" s="57"/>
      <c r="N30" s="57" t="s">
        <v>605</v>
      </c>
    </row>
    <row r="31" customFormat="false" ht="27.75" hidden="false" customHeight="true" outlineLevel="0" collapsed="false">
      <c r="A31" s="57" t="s">
        <v>215</v>
      </c>
      <c r="B31" s="57" t="s">
        <v>216</v>
      </c>
      <c r="C31" s="58" t="n">
        <v>46305</v>
      </c>
      <c r="D31" s="57" t="s">
        <v>1511</v>
      </c>
      <c r="E31" s="57" t="s">
        <v>199</v>
      </c>
      <c r="F31" s="57" t="s">
        <v>186</v>
      </c>
      <c r="G31" s="57" t="s">
        <v>607</v>
      </c>
      <c r="H31" s="57" t="s">
        <v>1515</v>
      </c>
      <c r="I31" s="57" t="s">
        <v>479</v>
      </c>
      <c r="J31" s="57"/>
      <c r="K31" s="57" t="s">
        <v>184</v>
      </c>
      <c r="L31" s="57" t="s">
        <v>361</v>
      </c>
      <c r="M31" s="57" t="s">
        <v>610</v>
      </c>
      <c r="N31" s="57" t="s">
        <v>609</v>
      </c>
    </row>
    <row r="32" customFormat="false" ht="40.5" hidden="false" customHeight="true" outlineLevel="0" collapsed="false">
      <c r="A32" s="57" t="s">
        <v>215</v>
      </c>
      <c r="B32" s="57" t="s">
        <v>216</v>
      </c>
      <c r="C32" s="58" t="n">
        <v>46305</v>
      </c>
      <c r="D32" s="57" t="s">
        <v>1511</v>
      </c>
      <c r="E32" s="57" t="s">
        <v>199</v>
      </c>
      <c r="F32" s="57" t="s">
        <v>186</v>
      </c>
      <c r="G32" s="57" t="s">
        <v>612</v>
      </c>
      <c r="H32" s="57" t="s">
        <v>1516</v>
      </c>
      <c r="I32" s="57" t="s">
        <v>614</v>
      </c>
      <c r="J32" s="57"/>
      <c r="K32" s="57" t="s">
        <v>429</v>
      </c>
      <c r="L32" s="57" t="s">
        <v>361</v>
      </c>
      <c r="M32" s="57" t="s">
        <v>638</v>
      </c>
      <c r="N32" s="57" t="s">
        <v>615</v>
      </c>
    </row>
    <row r="33" customFormat="false" ht="40.5" hidden="false" customHeight="true" outlineLevel="0" collapsed="false">
      <c r="A33" s="57" t="s">
        <v>225</v>
      </c>
      <c r="B33" s="57" t="s">
        <v>226</v>
      </c>
      <c r="C33" s="58" t="n">
        <v>46310</v>
      </c>
      <c r="D33" s="57" t="s">
        <v>1517</v>
      </c>
      <c r="E33" s="57" t="s">
        <v>185</v>
      </c>
      <c r="F33" s="57" t="s">
        <v>186</v>
      </c>
      <c r="G33" s="57" t="s">
        <v>418</v>
      </c>
      <c r="H33" s="57" t="s">
        <v>1495</v>
      </c>
      <c r="I33" s="57" t="s">
        <v>420</v>
      </c>
      <c r="J33" s="57"/>
      <c r="K33" s="57" t="s">
        <v>184</v>
      </c>
      <c r="L33" s="74" t="s">
        <v>422</v>
      </c>
      <c r="M33" s="57" t="s">
        <v>423</v>
      </c>
      <c r="N33" s="57" t="s">
        <v>579</v>
      </c>
    </row>
    <row r="34" customFormat="false" ht="27.75" hidden="false" customHeight="true" outlineLevel="0" collapsed="false">
      <c r="A34" s="57" t="s">
        <v>225</v>
      </c>
      <c r="B34" s="57" t="s">
        <v>226</v>
      </c>
      <c r="C34" s="58" t="n">
        <v>46310</v>
      </c>
      <c r="D34" s="57" t="s">
        <v>1517</v>
      </c>
      <c r="E34" s="57" t="s">
        <v>185</v>
      </c>
      <c r="F34" s="57" t="s">
        <v>186</v>
      </c>
      <c r="G34" s="57" t="s">
        <v>425</v>
      </c>
      <c r="H34" s="57" t="s">
        <v>1496</v>
      </c>
      <c r="I34" s="57" t="s">
        <v>427</v>
      </c>
      <c r="J34" s="57"/>
      <c r="K34" s="57" t="s">
        <v>429</v>
      </c>
      <c r="L34" s="57" t="s">
        <v>361</v>
      </c>
      <c r="M34" s="57"/>
      <c r="N34" s="57" t="s">
        <v>665</v>
      </c>
    </row>
    <row r="35" customFormat="false" ht="52.5" hidden="false" customHeight="true" outlineLevel="0" collapsed="false">
      <c r="A35" s="57" t="s">
        <v>225</v>
      </c>
      <c r="B35" s="57" t="s">
        <v>226</v>
      </c>
      <c r="C35" s="58" t="n">
        <v>46310</v>
      </c>
      <c r="D35" s="57" t="s">
        <v>1517</v>
      </c>
      <c r="E35" s="57" t="s">
        <v>185</v>
      </c>
      <c r="F35" s="57" t="s">
        <v>186</v>
      </c>
      <c r="G35" s="57" t="s">
        <v>425</v>
      </c>
      <c r="H35" s="57" t="s">
        <v>1497</v>
      </c>
      <c r="I35" s="57" t="s">
        <v>427</v>
      </c>
      <c r="J35" s="57" t="s">
        <v>1498</v>
      </c>
      <c r="K35" s="57" t="s">
        <v>429</v>
      </c>
      <c r="L35" s="57" t="s">
        <v>361</v>
      </c>
      <c r="M35" s="57" t="s">
        <v>682</v>
      </c>
      <c r="N35" s="57" t="s">
        <v>668</v>
      </c>
    </row>
    <row r="36" customFormat="false" ht="52.5" hidden="false" customHeight="true" outlineLevel="0" collapsed="false">
      <c r="A36" s="57" t="s">
        <v>225</v>
      </c>
      <c r="B36" s="57" t="s">
        <v>226</v>
      </c>
      <c r="C36" s="58" t="n">
        <v>46310</v>
      </c>
      <c r="D36" s="57" t="s">
        <v>1517</v>
      </c>
      <c r="E36" s="57" t="s">
        <v>185</v>
      </c>
      <c r="F36" s="57" t="s">
        <v>186</v>
      </c>
      <c r="G36" s="57" t="s">
        <v>612</v>
      </c>
      <c r="H36" s="57" t="s">
        <v>1516</v>
      </c>
      <c r="I36" s="57" t="s">
        <v>614</v>
      </c>
      <c r="J36" s="57"/>
      <c r="K36" s="57" t="s">
        <v>429</v>
      </c>
      <c r="L36" s="74" t="s">
        <v>422</v>
      </c>
      <c r="M36" s="57" t="s">
        <v>684</v>
      </c>
      <c r="N36" s="57" t="s">
        <v>615</v>
      </c>
    </row>
    <row r="37" customFormat="false" ht="78" hidden="false" customHeight="true" outlineLevel="0" collapsed="false">
      <c r="A37" s="57" t="s">
        <v>228</v>
      </c>
      <c r="B37" s="57" t="s">
        <v>229</v>
      </c>
      <c r="C37" s="58" t="n">
        <v>46310</v>
      </c>
      <c r="D37" s="57" t="s">
        <v>1518</v>
      </c>
      <c r="E37" s="57" t="s">
        <v>199</v>
      </c>
      <c r="F37" s="57" t="s">
        <v>186</v>
      </c>
      <c r="G37" s="57" t="s">
        <v>418</v>
      </c>
      <c r="H37" s="57" t="s">
        <v>1495</v>
      </c>
      <c r="I37" s="57" t="s">
        <v>479</v>
      </c>
      <c r="J37" s="57"/>
      <c r="K37" s="57" t="s">
        <v>704</v>
      </c>
      <c r="L37" s="74" t="s">
        <v>422</v>
      </c>
      <c r="M37" s="57" t="s">
        <v>705</v>
      </c>
      <c r="N37" s="57" t="s">
        <v>421</v>
      </c>
    </row>
    <row r="38" customFormat="false" ht="27.75" hidden="false" customHeight="true" outlineLevel="0" collapsed="false">
      <c r="A38" s="57" t="s">
        <v>228</v>
      </c>
      <c r="B38" s="57" t="s">
        <v>229</v>
      </c>
      <c r="C38" s="58" t="n">
        <v>46310</v>
      </c>
      <c r="D38" s="57" t="s">
        <v>1518</v>
      </c>
      <c r="E38" s="57" t="s">
        <v>199</v>
      </c>
      <c r="F38" s="57" t="s">
        <v>186</v>
      </c>
      <c r="G38" s="57" t="s">
        <v>418</v>
      </c>
      <c r="H38" s="57" t="s">
        <v>1519</v>
      </c>
      <c r="I38" s="57" t="s">
        <v>708</v>
      </c>
      <c r="J38" s="57"/>
      <c r="K38" s="57" t="s">
        <v>184</v>
      </c>
      <c r="L38" s="57" t="s">
        <v>361</v>
      </c>
      <c r="M38" s="57" t="s">
        <v>710</v>
      </c>
      <c r="N38" s="57" t="s">
        <v>709</v>
      </c>
    </row>
    <row r="39" customFormat="false" ht="27.75" hidden="false" customHeight="true" outlineLevel="0" collapsed="false">
      <c r="A39" s="57" t="s">
        <v>228</v>
      </c>
      <c r="B39" s="57" t="s">
        <v>229</v>
      </c>
      <c r="C39" s="58" t="n">
        <v>46310</v>
      </c>
      <c r="D39" s="57" t="s">
        <v>1518</v>
      </c>
      <c r="E39" s="57" t="s">
        <v>199</v>
      </c>
      <c r="F39" s="57" t="s">
        <v>186</v>
      </c>
      <c r="G39" s="57" t="s">
        <v>418</v>
      </c>
      <c r="H39" s="57" t="s">
        <v>1512</v>
      </c>
      <c r="I39" s="57" t="s">
        <v>479</v>
      </c>
      <c r="J39" s="57"/>
      <c r="K39" s="57" t="s">
        <v>184</v>
      </c>
      <c r="L39" s="57" t="s">
        <v>361</v>
      </c>
      <c r="M39" s="57"/>
      <c r="N39" s="57" t="s">
        <v>712</v>
      </c>
    </row>
    <row r="40" customFormat="false" ht="27.75" hidden="false" customHeight="true" outlineLevel="0" collapsed="false">
      <c r="A40" s="57" t="s">
        <v>228</v>
      </c>
      <c r="B40" s="57" t="s">
        <v>229</v>
      </c>
      <c r="C40" s="58" t="n">
        <v>46310</v>
      </c>
      <c r="D40" s="57" t="s">
        <v>1518</v>
      </c>
      <c r="E40" s="57" t="s">
        <v>199</v>
      </c>
      <c r="F40" s="57" t="s">
        <v>186</v>
      </c>
      <c r="G40" s="57" t="s">
        <v>477</v>
      </c>
      <c r="H40" s="57" t="s">
        <v>1501</v>
      </c>
      <c r="I40" s="57" t="s">
        <v>479</v>
      </c>
      <c r="J40" s="57"/>
      <c r="K40" s="57" t="s">
        <v>429</v>
      </c>
      <c r="L40" s="57" t="s">
        <v>361</v>
      </c>
      <c r="M40" s="57"/>
      <c r="N40" s="57" t="s">
        <v>714</v>
      </c>
    </row>
    <row r="41" customFormat="false" ht="27.75" hidden="false" customHeight="true" outlineLevel="0" collapsed="false">
      <c r="A41" s="57" t="s">
        <v>228</v>
      </c>
      <c r="B41" s="57" t="s">
        <v>229</v>
      </c>
      <c r="C41" s="58" t="n">
        <v>46310</v>
      </c>
      <c r="D41" s="57" t="s">
        <v>1518</v>
      </c>
      <c r="E41" s="57" t="s">
        <v>199</v>
      </c>
      <c r="F41" s="57" t="s">
        <v>186</v>
      </c>
      <c r="G41" s="57" t="s">
        <v>477</v>
      </c>
      <c r="H41" s="57" t="s">
        <v>1502</v>
      </c>
      <c r="I41" s="57" t="s">
        <v>479</v>
      </c>
      <c r="J41" s="57"/>
      <c r="K41" s="57" t="s">
        <v>429</v>
      </c>
      <c r="L41" s="57" t="s">
        <v>361</v>
      </c>
      <c r="M41" s="57"/>
      <c r="N41" s="57" t="s">
        <v>716</v>
      </c>
    </row>
    <row r="42" customFormat="false" ht="27.75" hidden="false" customHeight="true" outlineLevel="0" collapsed="false">
      <c r="A42" s="57" t="s">
        <v>228</v>
      </c>
      <c r="B42" s="57" t="s">
        <v>229</v>
      </c>
      <c r="C42" s="58" t="n">
        <v>46310</v>
      </c>
      <c r="D42" s="57" t="s">
        <v>1518</v>
      </c>
      <c r="E42" s="57" t="s">
        <v>199</v>
      </c>
      <c r="F42" s="57" t="s">
        <v>186</v>
      </c>
      <c r="G42" s="57" t="s">
        <v>477</v>
      </c>
      <c r="H42" s="57" t="s">
        <v>1503</v>
      </c>
      <c r="I42" s="57" t="s">
        <v>479</v>
      </c>
      <c r="J42" s="57"/>
      <c r="K42" s="57" t="s">
        <v>429</v>
      </c>
      <c r="L42" s="57" t="s">
        <v>361</v>
      </c>
      <c r="M42" s="57"/>
      <c r="N42" s="57" t="s">
        <v>718</v>
      </c>
    </row>
    <row r="43" customFormat="false" ht="27.75" hidden="false" customHeight="true" outlineLevel="0" collapsed="false">
      <c r="A43" s="57" t="s">
        <v>228</v>
      </c>
      <c r="B43" s="57" t="s">
        <v>229</v>
      </c>
      <c r="C43" s="58" t="n">
        <v>46310</v>
      </c>
      <c r="D43" s="57" t="s">
        <v>1518</v>
      </c>
      <c r="E43" s="57" t="s">
        <v>199</v>
      </c>
      <c r="F43" s="57" t="s">
        <v>186</v>
      </c>
      <c r="G43" s="57" t="s">
        <v>477</v>
      </c>
      <c r="H43" s="57" t="s">
        <v>1504</v>
      </c>
      <c r="I43" s="57" t="s">
        <v>479</v>
      </c>
      <c r="J43" s="57"/>
      <c r="K43" s="57" t="s">
        <v>429</v>
      </c>
      <c r="L43" s="57" t="s">
        <v>361</v>
      </c>
      <c r="M43" s="57"/>
      <c r="N43" s="57" t="s">
        <v>720</v>
      </c>
    </row>
    <row r="44" customFormat="false" ht="27.75" hidden="false" customHeight="true" outlineLevel="0" collapsed="false">
      <c r="A44" s="57" t="s">
        <v>228</v>
      </c>
      <c r="B44" s="57" t="s">
        <v>229</v>
      </c>
      <c r="C44" s="58" t="n">
        <v>46310</v>
      </c>
      <c r="D44" s="57" t="s">
        <v>1518</v>
      </c>
      <c r="E44" s="57" t="s">
        <v>199</v>
      </c>
      <c r="F44" s="57" t="s">
        <v>186</v>
      </c>
      <c r="G44" s="57" t="s">
        <v>477</v>
      </c>
      <c r="H44" s="57" t="s">
        <v>1505</v>
      </c>
      <c r="I44" s="57" t="s">
        <v>479</v>
      </c>
      <c r="J44" s="57"/>
      <c r="K44" s="57" t="s">
        <v>429</v>
      </c>
      <c r="L44" s="57" t="s">
        <v>361</v>
      </c>
      <c r="M44" s="57"/>
      <c r="N44" s="57" t="s">
        <v>722</v>
      </c>
    </row>
    <row r="45" customFormat="false" ht="27.75" hidden="false" customHeight="true" outlineLevel="0" collapsed="false">
      <c r="A45" s="57" t="s">
        <v>228</v>
      </c>
      <c r="B45" s="57" t="s">
        <v>229</v>
      </c>
      <c r="C45" s="58" t="n">
        <v>46310</v>
      </c>
      <c r="D45" s="57" t="s">
        <v>1518</v>
      </c>
      <c r="E45" s="57" t="s">
        <v>199</v>
      </c>
      <c r="F45" s="57" t="s">
        <v>186</v>
      </c>
      <c r="G45" s="57" t="s">
        <v>477</v>
      </c>
      <c r="H45" s="57" t="s">
        <v>1506</v>
      </c>
      <c r="I45" s="57" t="s">
        <v>594</v>
      </c>
      <c r="J45" s="57"/>
      <c r="K45" s="57" t="s">
        <v>429</v>
      </c>
      <c r="L45" s="57" t="s">
        <v>361</v>
      </c>
      <c r="M45" s="57" t="s">
        <v>527</v>
      </c>
      <c r="N45" s="57" t="s">
        <v>724</v>
      </c>
    </row>
    <row r="46" customFormat="false" ht="27.75" hidden="false" customHeight="true" outlineLevel="0" collapsed="false">
      <c r="A46" s="57" t="s">
        <v>228</v>
      </c>
      <c r="B46" s="57" t="s">
        <v>229</v>
      </c>
      <c r="C46" s="58" t="n">
        <v>46310</v>
      </c>
      <c r="D46" s="57" t="s">
        <v>1518</v>
      </c>
      <c r="E46" s="57" t="s">
        <v>199</v>
      </c>
      <c r="F46" s="57" t="s">
        <v>186</v>
      </c>
      <c r="G46" s="57" t="s">
        <v>477</v>
      </c>
      <c r="H46" s="57" t="s">
        <v>1507</v>
      </c>
      <c r="I46" s="57" t="s">
        <v>479</v>
      </c>
      <c r="J46" s="57"/>
      <c r="K46" s="57" t="s">
        <v>429</v>
      </c>
      <c r="L46" s="57" t="s">
        <v>361</v>
      </c>
      <c r="M46" s="57"/>
      <c r="N46" s="57" t="s">
        <v>726</v>
      </c>
    </row>
    <row r="47" customFormat="false" ht="27.75" hidden="false" customHeight="true" outlineLevel="0" collapsed="false">
      <c r="A47" s="57" t="s">
        <v>228</v>
      </c>
      <c r="B47" s="57" t="s">
        <v>229</v>
      </c>
      <c r="C47" s="58" t="n">
        <v>46310</v>
      </c>
      <c r="D47" s="57" t="s">
        <v>1518</v>
      </c>
      <c r="E47" s="57" t="s">
        <v>199</v>
      </c>
      <c r="F47" s="57" t="s">
        <v>186</v>
      </c>
      <c r="G47" s="57" t="s">
        <v>425</v>
      </c>
      <c r="H47" s="57" t="s">
        <v>1508</v>
      </c>
      <c r="I47" s="57" t="s">
        <v>427</v>
      </c>
      <c r="J47" s="57"/>
      <c r="K47" s="57" t="s">
        <v>429</v>
      </c>
      <c r="L47" s="57" t="s">
        <v>361</v>
      </c>
      <c r="M47" s="57"/>
      <c r="N47" s="57" t="s">
        <v>728</v>
      </c>
    </row>
    <row r="48" customFormat="false" ht="27.75" hidden="false" customHeight="true" outlineLevel="0" collapsed="false">
      <c r="A48" s="57" t="s">
        <v>228</v>
      </c>
      <c r="B48" s="57" t="s">
        <v>229</v>
      </c>
      <c r="C48" s="58" t="n">
        <v>46310</v>
      </c>
      <c r="D48" s="57" t="s">
        <v>1518</v>
      </c>
      <c r="E48" s="57" t="s">
        <v>199</v>
      </c>
      <c r="F48" s="57" t="s">
        <v>186</v>
      </c>
      <c r="G48" s="57" t="s">
        <v>425</v>
      </c>
      <c r="H48" s="57" t="s">
        <v>1513</v>
      </c>
      <c r="I48" s="57" t="s">
        <v>427</v>
      </c>
      <c r="J48" s="57"/>
      <c r="K48" s="57" t="s">
        <v>429</v>
      </c>
      <c r="L48" s="57" t="s">
        <v>361</v>
      </c>
      <c r="M48" s="57"/>
      <c r="N48" s="57" t="s">
        <v>730</v>
      </c>
    </row>
    <row r="49" customFormat="false" ht="27.75" hidden="false" customHeight="true" outlineLevel="0" collapsed="false">
      <c r="A49" s="57" t="s">
        <v>228</v>
      </c>
      <c r="B49" s="57" t="s">
        <v>229</v>
      </c>
      <c r="C49" s="58" t="n">
        <v>46310</v>
      </c>
      <c r="D49" s="57" t="s">
        <v>1518</v>
      </c>
      <c r="E49" s="57" t="s">
        <v>199</v>
      </c>
      <c r="F49" s="57" t="s">
        <v>186</v>
      </c>
      <c r="G49" s="57" t="s">
        <v>425</v>
      </c>
      <c r="H49" s="57" t="s">
        <v>1514</v>
      </c>
      <c r="I49" s="57" t="s">
        <v>427</v>
      </c>
      <c r="J49" s="57"/>
      <c r="K49" s="57" t="s">
        <v>429</v>
      </c>
      <c r="L49" s="57" t="s">
        <v>361</v>
      </c>
      <c r="M49" s="57"/>
      <c r="N49" s="57" t="s">
        <v>732</v>
      </c>
    </row>
    <row r="50" customFormat="false" ht="27.75" hidden="false" customHeight="true" outlineLevel="0" collapsed="false">
      <c r="A50" s="57" t="s">
        <v>228</v>
      </c>
      <c r="B50" s="57" t="s">
        <v>229</v>
      </c>
      <c r="C50" s="58" t="n">
        <v>46310</v>
      </c>
      <c r="D50" s="57" t="s">
        <v>1518</v>
      </c>
      <c r="E50" s="57" t="s">
        <v>199</v>
      </c>
      <c r="F50" s="57" t="s">
        <v>186</v>
      </c>
      <c r="G50" s="57" t="s">
        <v>607</v>
      </c>
      <c r="H50" s="57" t="s">
        <v>1515</v>
      </c>
      <c r="I50" s="57" t="s">
        <v>479</v>
      </c>
      <c r="J50" s="57"/>
      <c r="K50" s="57" t="s">
        <v>184</v>
      </c>
      <c r="L50" s="57" t="s">
        <v>361</v>
      </c>
      <c r="M50" s="57" t="s">
        <v>610</v>
      </c>
      <c r="N50" s="57" t="s">
        <v>734</v>
      </c>
    </row>
    <row r="51" customFormat="false" ht="27.75" hidden="false" customHeight="true" outlineLevel="0" collapsed="false">
      <c r="A51" s="57" t="s">
        <v>232</v>
      </c>
      <c r="B51" s="57" t="s">
        <v>233</v>
      </c>
      <c r="C51" s="58" t="n">
        <v>46304</v>
      </c>
      <c r="D51" s="57" t="s">
        <v>1494</v>
      </c>
      <c r="E51" s="57" t="s">
        <v>199</v>
      </c>
      <c r="F51" s="57" t="s">
        <v>186</v>
      </c>
      <c r="G51" s="57" t="s">
        <v>418</v>
      </c>
      <c r="H51" s="57" t="s">
        <v>1495</v>
      </c>
      <c r="I51" s="57" t="s">
        <v>479</v>
      </c>
      <c r="J51" s="57"/>
      <c r="K51" s="57" t="s">
        <v>183</v>
      </c>
      <c r="L51" s="57" t="s">
        <v>361</v>
      </c>
      <c r="M51" s="57"/>
      <c r="N51" s="57" t="s">
        <v>421</v>
      </c>
    </row>
    <row r="52" customFormat="false" ht="40.5" hidden="false" customHeight="true" outlineLevel="0" collapsed="false">
      <c r="A52" s="57" t="s">
        <v>232</v>
      </c>
      <c r="B52" s="57" t="s">
        <v>233</v>
      </c>
      <c r="C52" s="58" t="n">
        <v>46304</v>
      </c>
      <c r="D52" s="57" t="s">
        <v>1494</v>
      </c>
      <c r="E52" s="57" t="s">
        <v>199</v>
      </c>
      <c r="F52" s="57" t="s">
        <v>186</v>
      </c>
      <c r="G52" s="57" t="s">
        <v>418</v>
      </c>
      <c r="H52" s="57" t="s">
        <v>1519</v>
      </c>
      <c r="I52" s="57" t="s">
        <v>708</v>
      </c>
      <c r="J52" s="57"/>
      <c r="K52" s="57" t="s">
        <v>184</v>
      </c>
      <c r="L52" s="74" t="s">
        <v>422</v>
      </c>
      <c r="M52" s="57" t="s">
        <v>798</v>
      </c>
      <c r="N52" s="57" t="s">
        <v>709</v>
      </c>
    </row>
    <row r="53" customFormat="false" ht="27.75" hidden="false" customHeight="true" outlineLevel="0" collapsed="false">
      <c r="A53" s="57" t="s">
        <v>232</v>
      </c>
      <c r="B53" s="57" t="s">
        <v>233</v>
      </c>
      <c r="C53" s="58" t="n">
        <v>46304</v>
      </c>
      <c r="D53" s="57" t="s">
        <v>1494</v>
      </c>
      <c r="E53" s="57" t="s">
        <v>199</v>
      </c>
      <c r="F53" s="57" t="s">
        <v>186</v>
      </c>
      <c r="G53" s="57" t="s">
        <v>418</v>
      </c>
      <c r="H53" s="57" t="s">
        <v>1512</v>
      </c>
      <c r="I53" s="57" t="s">
        <v>479</v>
      </c>
      <c r="J53" s="57"/>
      <c r="K53" s="57" t="s">
        <v>184</v>
      </c>
      <c r="L53" s="57" t="s">
        <v>361</v>
      </c>
      <c r="M53" s="57"/>
      <c r="N53" s="57" t="s">
        <v>712</v>
      </c>
    </row>
    <row r="54" customFormat="false" ht="27.75" hidden="false" customHeight="true" outlineLevel="0" collapsed="false">
      <c r="A54" s="57" t="s">
        <v>232</v>
      </c>
      <c r="B54" s="57" t="s">
        <v>233</v>
      </c>
      <c r="C54" s="58" t="n">
        <v>46304</v>
      </c>
      <c r="D54" s="57" t="s">
        <v>1494</v>
      </c>
      <c r="E54" s="57" t="s">
        <v>199</v>
      </c>
      <c r="F54" s="57" t="s">
        <v>186</v>
      </c>
      <c r="G54" s="57" t="s">
        <v>477</v>
      </c>
      <c r="H54" s="57" t="s">
        <v>1501</v>
      </c>
      <c r="I54" s="57" t="s">
        <v>479</v>
      </c>
      <c r="J54" s="57"/>
      <c r="K54" s="57" t="s">
        <v>429</v>
      </c>
      <c r="L54" s="57" t="s">
        <v>361</v>
      </c>
      <c r="M54" s="57"/>
      <c r="N54" s="57" t="s">
        <v>714</v>
      </c>
    </row>
    <row r="55" customFormat="false" ht="27.75" hidden="false" customHeight="true" outlineLevel="0" collapsed="false">
      <c r="A55" s="57" t="s">
        <v>232</v>
      </c>
      <c r="B55" s="57" t="s">
        <v>233</v>
      </c>
      <c r="C55" s="58" t="n">
        <v>46304</v>
      </c>
      <c r="D55" s="57" t="s">
        <v>1494</v>
      </c>
      <c r="E55" s="57" t="s">
        <v>199</v>
      </c>
      <c r="F55" s="57" t="s">
        <v>186</v>
      </c>
      <c r="G55" s="57" t="s">
        <v>477</v>
      </c>
      <c r="H55" s="57" t="s">
        <v>1502</v>
      </c>
      <c r="I55" s="57" t="s">
        <v>479</v>
      </c>
      <c r="J55" s="57"/>
      <c r="K55" s="57" t="s">
        <v>429</v>
      </c>
      <c r="L55" s="57" t="s">
        <v>361</v>
      </c>
      <c r="M55" s="57"/>
      <c r="N55" s="57" t="s">
        <v>716</v>
      </c>
    </row>
    <row r="56" customFormat="false" ht="27.75" hidden="false" customHeight="true" outlineLevel="0" collapsed="false">
      <c r="A56" s="57" t="s">
        <v>232</v>
      </c>
      <c r="B56" s="57" t="s">
        <v>233</v>
      </c>
      <c r="C56" s="58" t="n">
        <v>46304</v>
      </c>
      <c r="D56" s="57" t="s">
        <v>1494</v>
      </c>
      <c r="E56" s="57" t="s">
        <v>199</v>
      </c>
      <c r="F56" s="57" t="s">
        <v>186</v>
      </c>
      <c r="G56" s="57" t="s">
        <v>477</v>
      </c>
      <c r="H56" s="57" t="s">
        <v>1503</v>
      </c>
      <c r="I56" s="57" t="s">
        <v>479</v>
      </c>
      <c r="J56" s="57"/>
      <c r="K56" s="57" t="s">
        <v>429</v>
      </c>
      <c r="L56" s="57" t="s">
        <v>361</v>
      </c>
      <c r="M56" s="57"/>
      <c r="N56" s="57" t="s">
        <v>718</v>
      </c>
    </row>
    <row r="57" customFormat="false" ht="27.75" hidden="false" customHeight="true" outlineLevel="0" collapsed="false">
      <c r="A57" s="57" t="s">
        <v>232</v>
      </c>
      <c r="B57" s="57" t="s">
        <v>233</v>
      </c>
      <c r="C57" s="58" t="n">
        <v>46304</v>
      </c>
      <c r="D57" s="57" t="s">
        <v>1494</v>
      </c>
      <c r="E57" s="57" t="s">
        <v>199</v>
      </c>
      <c r="F57" s="57" t="s">
        <v>186</v>
      </c>
      <c r="G57" s="57" t="s">
        <v>477</v>
      </c>
      <c r="H57" s="57" t="s">
        <v>1504</v>
      </c>
      <c r="I57" s="57" t="s">
        <v>479</v>
      </c>
      <c r="J57" s="57"/>
      <c r="K57" s="57" t="s">
        <v>429</v>
      </c>
      <c r="L57" s="57" t="s">
        <v>361</v>
      </c>
      <c r="M57" s="57"/>
      <c r="N57" s="57" t="s">
        <v>720</v>
      </c>
    </row>
    <row r="58" customFormat="false" ht="27.75" hidden="false" customHeight="true" outlineLevel="0" collapsed="false">
      <c r="A58" s="57" t="s">
        <v>232</v>
      </c>
      <c r="B58" s="57" t="s">
        <v>233</v>
      </c>
      <c r="C58" s="58" t="n">
        <v>46304</v>
      </c>
      <c r="D58" s="57" t="s">
        <v>1494</v>
      </c>
      <c r="E58" s="57" t="s">
        <v>199</v>
      </c>
      <c r="F58" s="57" t="s">
        <v>186</v>
      </c>
      <c r="G58" s="57" t="s">
        <v>477</v>
      </c>
      <c r="H58" s="57" t="s">
        <v>1505</v>
      </c>
      <c r="I58" s="57" t="s">
        <v>479</v>
      </c>
      <c r="J58" s="57"/>
      <c r="K58" s="57" t="s">
        <v>429</v>
      </c>
      <c r="L58" s="57" t="s">
        <v>361</v>
      </c>
      <c r="M58" s="57"/>
      <c r="N58" s="57" t="s">
        <v>722</v>
      </c>
    </row>
    <row r="59" customFormat="false" ht="27.75" hidden="false" customHeight="true" outlineLevel="0" collapsed="false">
      <c r="A59" s="57" t="s">
        <v>232</v>
      </c>
      <c r="B59" s="57" t="s">
        <v>233</v>
      </c>
      <c r="C59" s="58" t="n">
        <v>46304</v>
      </c>
      <c r="D59" s="57" t="s">
        <v>1494</v>
      </c>
      <c r="E59" s="57" t="s">
        <v>199</v>
      </c>
      <c r="F59" s="57" t="s">
        <v>186</v>
      </c>
      <c r="G59" s="57" t="s">
        <v>477</v>
      </c>
      <c r="H59" s="57" t="s">
        <v>1506</v>
      </c>
      <c r="I59" s="57" t="s">
        <v>594</v>
      </c>
      <c r="J59" s="57"/>
      <c r="K59" s="57" t="s">
        <v>429</v>
      </c>
      <c r="L59" s="57" t="s">
        <v>361</v>
      </c>
      <c r="M59" s="57" t="s">
        <v>527</v>
      </c>
      <c r="N59" s="57" t="s">
        <v>724</v>
      </c>
    </row>
    <row r="60" customFormat="false" ht="27.75" hidden="false" customHeight="true" outlineLevel="0" collapsed="false">
      <c r="A60" s="57" t="s">
        <v>232</v>
      </c>
      <c r="B60" s="57" t="s">
        <v>233</v>
      </c>
      <c r="C60" s="58" t="n">
        <v>46304</v>
      </c>
      <c r="D60" s="57" t="s">
        <v>1494</v>
      </c>
      <c r="E60" s="57" t="s">
        <v>199</v>
      </c>
      <c r="F60" s="57" t="s">
        <v>186</v>
      </c>
      <c r="G60" s="57" t="s">
        <v>477</v>
      </c>
      <c r="H60" s="57" t="s">
        <v>1507</v>
      </c>
      <c r="I60" s="57" t="s">
        <v>479</v>
      </c>
      <c r="J60" s="57"/>
      <c r="K60" s="57" t="s">
        <v>429</v>
      </c>
      <c r="L60" s="57" t="s">
        <v>361</v>
      </c>
      <c r="M60" s="57"/>
      <c r="N60" s="57" t="s">
        <v>726</v>
      </c>
    </row>
    <row r="61" customFormat="false" ht="27.75" hidden="false" customHeight="true" outlineLevel="0" collapsed="false">
      <c r="A61" s="57" t="s">
        <v>232</v>
      </c>
      <c r="B61" s="57" t="s">
        <v>233</v>
      </c>
      <c r="C61" s="58" t="n">
        <v>46304</v>
      </c>
      <c r="D61" s="57" t="s">
        <v>1494</v>
      </c>
      <c r="E61" s="57" t="s">
        <v>199</v>
      </c>
      <c r="F61" s="57" t="s">
        <v>186</v>
      </c>
      <c r="G61" s="57" t="s">
        <v>425</v>
      </c>
      <c r="H61" s="57" t="s">
        <v>1508</v>
      </c>
      <c r="I61" s="57" t="s">
        <v>427</v>
      </c>
      <c r="J61" s="57"/>
      <c r="K61" s="57" t="s">
        <v>429</v>
      </c>
      <c r="L61" s="57" t="s">
        <v>361</v>
      </c>
      <c r="M61" s="57"/>
      <c r="N61" s="57" t="s">
        <v>728</v>
      </c>
    </row>
    <row r="62" customFormat="false" ht="27.75" hidden="false" customHeight="true" outlineLevel="0" collapsed="false">
      <c r="A62" s="57" t="s">
        <v>232</v>
      </c>
      <c r="B62" s="57" t="s">
        <v>233</v>
      </c>
      <c r="C62" s="58" t="n">
        <v>46304</v>
      </c>
      <c r="D62" s="57" t="s">
        <v>1494</v>
      </c>
      <c r="E62" s="57" t="s">
        <v>199</v>
      </c>
      <c r="F62" s="57" t="s">
        <v>186</v>
      </c>
      <c r="G62" s="57" t="s">
        <v>425</v>
      </c>
      <c r="H62" s="57" t="s">
        <v>1513</v>
      </c>
      <c r="I62" s="57" t="s">
        <v>427</v>
      </c>
      <c r="J62" s="57"/>
      <c r="K62" s="57" t="s">
        <v>429</v>
      </c>
      <c r="L62" s="57" t="s">
        <v>361</v>
      </c>
      <c r="M62" s="57"/>
      <c r="N62" s="57" t="s">
        <v>730</v>
      </c>
    </row>
    <row r="63" customFormat="false" ht="27.75" hidden="false" customHeight="true" outlineLevel="0" collapsed="false">
      <c r="A63" s="57" t="s">
        <v>232</v>
      </c>
      <c r="B63" s="57" t="s">
        <v>233</v>
      </c>
      <c r="C63" s="58" t="n">
        <v>46304</v>
      </c>
      <c r="D63" s="57" t="s">
        <v>1494</v>
      </c>
      <c r="E63" s="57" t="s">
        <v>199</v>
      </c>
      <c r="F63" s="57" t="s">
        <v>186</v>
      </c>
      <c r="G63" s="57" t="s">
        <v>425</v>
      </c>
      <c r="H63" s="57" t="s">
        <v>1514</v>
      </c>
      <c r="I63" s="57" t="s">
        <v>427</v>
      </c>
      <c r="J63" s="57"/>
      <c r="K63" s="57" t="s">
        <v>429</v>
      </c>
      <c r="L63" s="57" t="s">
        <v>361</v>
      </c>
      <c r="M63" s="57"/>
      <c r="N63" s="57" t="s">
        <v>732</v>
      </c>
    </row>
    <row r="64" customFormat="false" ht="27.75" hidden="false" customHeight="true" outlineLevel="0" collapsed="false">
      <c r="A64" s="57" t="s">
        <v>232</v>
      </c>
      <c r="B64" s="57" t="s">
        <v>233</v>
      </c>
      <c r="C64" s="58" t="n">
        <v>46304</v>
      </c>
      <c r="D64" s="57" t="s">
        <v>1494</v>
      </c>
      <c r="E64" s="57" t="s">
        <v>199</v>
      </c>
      <c r="F64" s="57" t="s">
        <v>186</v>
      </c>
      <c r="G64" s="57" t="s">
        <v>607</v>
      </c>
      <c r="H64" s="57" t="s">
        <v>1515</v>
      </c>
      <c r="I64" s="57" t="s">
        <v>479</v>
      </c>
      <c r="J64" s="57"/>
      <c r="K64" s="57" t="s">
        <v>184</v>
      </c>
      <c r="L64" s="57" t="s">
        <v>361</v>
      </c>
      <c r="M64" s="57" t="s">
        <v>610</v>
      </c>
      <c r="N64" s="57" t="s">
        <v>734</v>
      </c>
    </row>
    <row r="65" customFormat="false" ht="27.75" hidden="false" customHeight="true" outlineLevel="0" collapsed="false">
      <c r="A65" s="57" t="s">
        <v>235</v>
      </c>
      <c r="B65" s="57" t="s">
        <v>236</v>
      </c>
      <c r="C65" s="58" t="n">
        <v>46305</v>
      </c>
      <c r="D65" s="57" t="s">
        <v>1520</v>
      </c>
      <c r="E65" s="57" t="s">
        <v>185</v>
      </c>
      <c r="F65" s="57" t="s">
        <v>200</v>
      </c>
      <c r="G65" s="57" t="s">
        <v>425</v>
      </c>
      <c r="H65" s="57" t="s">
        <v>1496</v>
      </c>
      <c r="I65" s="57" t="s">
        <v>427</v>
      </c>
      <c r="J65" s="57"/>
      <c r="K65" s="57" t="s">
        <v>429</v>
      </c>
      <c r="L65" s="57" t="s">
        <v>361</v>
      </c>
      <c r="M65" s="57"/>
      <c r="N65" s="57" t="s">
        <v>831</v>
      </c>
    </row>
    <row r="66" customFormat="false" ht="27.75" hidden="false" customHeight="true" outlineLevel="0" collapsed="false">
      <c r="A66" s="57" t="s">
        <v>243</v>
      </c>
      <c r="B66" s="57" t="s">
        <v>245</v>
      </c>
      <c r="C66" s="58" t="n">
        <v>46306</v>
      </c>
      <c r="D66" s="57" t="s">
        <v>1521</v>
      </c>
      <c r="E66" s="57" t="s">
        <v>199</v>
      </c>
      <c r="F66" s="57" t="s">
        <v>200</v>
      </c>
      <c r="G66" s="57" t="s">
        <v>418</v>
      </c>
      <c r="H66" s="57" t="s">
        <v>1500</v>
      </c>
      <c r="I66" s="57" t="s">
        <v>473</v>
      </c>
      <c r="J66" s="57"/>
      <c r="K66" s="57" t="s">
        <v>429</v>
      </c>
      <c r="L66" s="57" t="s">
        <v>361</v>
      </c>
      <c r="M66" s="57" t="s">
        <v>513</v>
      </c>
      <c r="N66" s="57" t="s">
        <v>854</v>
      </c>
    </row>
    <row r="67" customFormat="false" ht="27.75" hidden="false" customHeight="true" outlineLevel="0" collapsed="false">
      <c r="A67" s="57" t="s">
        <v>243</v>
      </c>
      <c r="B67" s="57" t="s">
        <v>245</v>
      </c>
      <c r="C67" s="58" t="n">
        <v>46306</v>
      </c>
      <c r="D67" s="57" t="s">
        <v>1521</v>
      </c>
      <c r="E67" s="57" t="s">
        <v>199</v>
      </c>
      <c r="F67" s="57" t="s">
        <v>200</v>
      </c>
      <c r="G67" s="57" t="s">
        <v>477</v>
      </c>
      <c r="H67" s="57" t="s">
        <v>1501</v>
      </c>
      <c r="I67" s="57" t="s">
        <v>479</v>
      </c>
      <c r="J67" s="57"/>
      <c r="K67" s="57" t="s">
        <v>429</v>
      </c>
      <c r="L67" s="57" t="s">
        <v>361</v>
      </c>
      <c r="M67" s="57"/>
      <c r="N67" s="57" t="s">
        <v>857</v>
      </c>
    </row>
    <row r="68" customFormat="false" ht="27.75" hidden="false" customHeight="true" outlineLevel="0" collapsed="false">
      <c r="A68" s="57" t="s">
        <v>243</v>
      </c>
      <c r="B68" s="57" t="s">
        <v>245</v>
      </c>
      <c r="C68" s="58" t="n">
        <v>46306</v>
      </c>
      <c r="D68" s="57" t="s">
        <v>1521</v>
      </c>
      <c r="E68" s="57" t="s">
        <v>199</v>
      </c>
      <c r="F68" s="57" t="s">
        <v>200</v>
      </c>
      <c r="G68" s="57" t="s">
        <v>477</v>
      </c>
      <c r="H68" s="57" t="s">
        <v>1502</v>
      </c>
      <c r="I68" s="57" t="s">
        <v>479</v>
      </c>
      <c r="J68" s="57"/>
      <c r="K68" s="57" t="s">
        <v>429</v>
      </c>
      <c r="L68" s="57" t="s">
        <v>361</v>
      </c>
      <c r="M68" s="57"/>
      <c r="N68" s="57" t="s">
        <v>860</v>
      </c>
    </row>
    <row r="69" customFormat="false" ht="27.75" hidden="false" customHeight="true" outlineLevel="0" collapsed="false">
      <c r="A69" s="57" t="s">
        <v>243</v>
      </c>
      <c r="B69" s="57" t="s">
        <v>245</v>
      </c>
      <c r="C69" s="58" t="n">
        <v>46306</v>
      </c>
      <c r="D69" s="57" t="s">
        <v>1521</v>
      </c>
      <c r="E69" s="57" t="s">
        <v>199</v>
      </c>
      <c r="F69" s="57" t="s">
        <v>200</v>
      </c>
      <c r="G69" s="57" t="s">
        <v>477</v>
      </c>
      <c r="H69" s="57" t="s">
        <v>1503</v>
      </c>
      <c r="I69" s="57" t="s">
        <v>479</v>
      </c>
      <c r="J69" s="57"/>
      <c r="K69" s="57" t="s">
        <v>429</v>
      </c>
      <c r="L69" s="57" t="s">
        <v>361</v>
      </c>
      <c r="M69" s="57"/>
      <c r="N69" s="57" t="s">
        <v>862</v>
      </c>
    </row>
    <row r="70" customFormat="false" ht="65.25" hidden="false" customHeight="true" outlineLevel="0" collapsed="false">
      <c r="A70" s="57" t="s">
        <v>243</v>
      </c>
      <c r="B70" s="57" t="s">
        <v>245</v>
      </c>
      <c r="C70" s="58" t="n">
        <v>46306</v>
      </c>
      <c r="D70" s="57" t="s">
        <v>1521</v>
      </c>
      <c r="E70" s="57" t="s">
        <v>199</v>
      </c>
      <c r="F70" s="57" t="s">
        <v>200</v>
      </c>
      <c r="G70" s="57" t="s">
        <v>477</v>
      </c>
      <c r="H70" s="57" t="s">
        <v>1504</v>
      </c>
      <c r="I70" s="57" t="s">
        <v>479</v>
      </c>
      <c r="J70" s="57"/>
      <c r="K70" s="57" t="s">
        <v>429</v>
      </c>
      <c r="L70" s="74" t="s">
        <v>422</v>
      </c>
      <c r="M70" s="57" t="s">
        <v>522</v>
      </c>
      <c r="N70" s="57" t="s">
        <v>864</v>
      </c>
    </row>
    <row r="71" customFormat="false" ht="65.25" hidden="false" customHeight="true" outlineLevel="0" collapsed="false">
      <c r="A71" s="57" t="s">
        <v>243</v>
      </c>
      <c r="B71" s="57" t="s">
        <v>245</v>
      </c>
      <c r="C71" s="58" t="n">
        <v>46306</v>
      </c>
      <c r="D71" s="57" t="s">
        <v>1521</v>
      </c>
      <c r="E71" s="57" t="s">
        <v>199</v>
      </c>
      <c r="F71" s="57" t="s">
        <v>200</v>
      </c>
      <c r="G71" s="57" t="s">
        <v>477</v>
      </c>
      <c r="H71" s="57" t="s">
        <v>1505</v>
      </c>
      <c r="I71" s="57" t="s">
        <v>479</v>
      </c>
      <c r="J71" s="57"/>
      <c r="K71" s="57" t="s">
        <v>429</v>
      </c>
      <c r="L71" s="74" t="s">
        <v>422</v>
      </c>
      <c r="M71" s="57" t="s">
        <v>522</v>
      </c>
      <c r="N71" s="57" t="s">
        <v>867</v>
      </c>
    </row>
    <row r="72" customFormat="false" ht="27.75" hidden="false" customHeight="true" outlineLevel="0" collapsed="false">
      <c r="A72" s="57" t="s">
        <v>243</v>
      </c>
      <c r="B72" s="57" t="s">
        <v>245</v>
      </c>
      <c r="C72" s="58" t="n">
        <v>46306</v>
      </c>
      <c r="D72" s="57" t="s">
        <v>1521</v>
      </c>
      <c r="E72" s="57" t="s">
        <v>199</v>
      </c>
      <c r="F72" s="57" t="s">
        <v>200</v>
      </c>
      <c r="G72" s="57" t="s">
        <v>477</v>
      </c>
      <c r="H72" s="57" t="s">
        <v>1506</v>
      </c>
      <c r="I72" s="57" t="s">
        <v>497</v>
      </c>
      <c r="J72" s="57"/>
      <c r="K72" s="57" t="s">
        <v>429</v>
      </c>
      <c r="L72" s="57" t="s">
        <v>361</v>
      </c>
      <c r="M72" s="57" t="s">
        <v>527</v>
      </c>
      <c r="N72" s="57" t="s">
        <v>869</v>
      </c>
    </row>
    <row r="73" customFormat="false" ht="27.75" hidden="false" customHeight="true" outlineLevel="0" collapsed="false">
      <c r="A73" s="57" t="s">
        <v>243</v>
      </c>
      <c r="B73" s="57" t="s">
        <v>245</v>
      </c>
      <c r="C73" s="58" t="n">
        <v>46306</v>
      </c>
      <c r="D73" s="57" t="s">
        <v>1521</v>
      </c>
      <c r="E73" s="57" t="s">
        <v>199</v>
      </c>
      <c r="F73" s="57" t="s">
        <v>200</v>
      </c>
      <c r="G73" s="57" t="s">
        <v>477</v>
      </c>
      <c r="H73" s="57" t="s">
        <v>1507</v>
      </c>
      <c r="I73" s="57" t="s">
        <v>479</v>
      </c>
      <c r="J73" s="57"/>
      <c r="K73" s="57" t="s">
        <v>429</v>
      </c>
      <c r="L73" s="57" t="s">
        <v>361</v>
      </c>
      <c r="M73" s="57"/>
      <c r="N73" s="57" t="s">
        <v>872</v>
      </c>
    </row>
    <row r="74" customFormat="false" ht="27.75" hidden="false" customHeight="true" outlineLevel="0" collapsed="false">
      <c r="A74" s="57" t="s">
        <v>243</v>
      </c>
      <c r="B74" s="57" t="s">
        <v>245</v>
      </c>
      <c r="C74" s="58" t="n">
        <v>46306</v>
      </c>
      <c r="D74" s="57" t="s">
        <v>1521</v>
      </c>
      <c r="E74" s="57" t="s">
        <v>199</v>
      </c>
      <c r="F74" s="57" t="s">
        <v>200</v>
      </c>
      <c r="G74" s="57" t="s">
        <v>425</v>
      </c>
      <c r="H74" s="57" t="s">
        <v>1508</v>
      </c>
      <c r="I74" s="57" t="s">
        <v>427</v>
      </c>
      <c r="J74" s="57"/>
      <c r="K74" s="57" t="s">
        <v>429</v>
      </c>
      <c r="L74" s="57" t="s">
        <v>361</v>
      </c>
      <c r="M74" s="57"/>
      <c r="N74" s="57" t="s">
        <v>874</v>
      </c>
    </row>
    <row r="75" customFormat="false" ht="27.75" hidden="false" customHeight="true" outlineLevel="0" collapsed="false">
      <c r="A75" s="57" t="s">
        <v>243</v>
      </c>
      <c r="B75" s="57" t="s">
        <v>245</v>
      </c>
      <c r="C75" s="58" t="n">
        <v>46306</v>
      </c>
      <c r="D75" s="57" t="s">
        <v>1521</v>
      </c>
      <c r="E75" s="57" t="s">
        <v>199</v>
      </c>
      <c r="F75" s="57" t="s">
        <v>200</v>
      </c>
      <c r="G75" s="57" t="s">
        <v>425</v>
      </c>
      <c r="H75" s="57" t="s">
        <v>1509</v>
      </c>
      <c r="I75" s="57" t="s">
        <v>427</v>
      </c>
      <c r="J75" s="57"/>
      <c r="K75" s="57" t="s">
        <v>429</v>
      </c>
      <c r="L75" s="57" t="s">
        <v>361</v>
      </c>
      <c r="M75" s="57"/>
      <c r="N75" s="57" t="s">
        <v>876</v>
      </c>
    </row>
    <row r="76" customFormat="false" ht="27.75" hidden="false" customHeight="true" outlineLevel="0" collapsed="false">
      <c r="A76" s="57" t="s">
        <v>248</v>
      </c>
      <c r="B76" s="57" t="s">
        <v>250</v>
      </c>
      <c r="C76" s="58" t="n">
        <v>46307</v>
      </c>
      <c r="D76" s="57" t="s">
        <v>1522</v>
      </c>
      <c r="E76" s="57" t="s">
        <v>199</v>
      </c>
      <c r="F76" s="57" t="s">
        <v>200</v>
      </c>
      <c r="G76" s="57" t="s">
        <v>418</v>
      </c>
      <c r="H76" s="57" t="s">
        <v>1500</v>
      </c>
      <c r="I76" s="57" t="s">
        <v>473</v>
      </c>
      <c r="J76" s="57"/>
      <c r="K76" s="57" t="s">
        <v>429</v>
      </c>
      <c r="L76" s="57" t="s">
        <v>361</v>
      </c>
      <c r="M76" s="57" t="s">
        <v>513</v>
      </c>
      <c r="N76" s="57" t="s">
        <v>911</v>
      </c>
    </row>
    <row r="77" customFormat="false" ht="27.75" hidden="false" customHeight="true" outlineLevel="0" collapsed="false">
      <c r="A77" s="57" t="s">
        <v>248</v>
      </c>
      <c r="B77" s="57" t="s">
        <v>250</v>
      </c>
      <c r="C77" s="58" t="n">
        <v>46307</v>
      </c>
      <c r="D77" s="57" t="s">
        <v>1522</v>
      </c>
      <c r="E77" s="57" t="s">
        <v>199</v>
      </c>
      <c r="F77" s="57" t="s">
        <v>200</v>
      </c>
      <c r="G77" s="57" t="s">
        <v>477</v>
      </c>
      <c r="H77" s="57" t="s">
        <v>1501</v>
      </c>
      <c r="I77" s="57" t="s">
        <v>479</v>
      </c>
      <c r="J77" s="57"/>
      <c r="K77" s="57" t="s">
        <v>429</v>
      </c>
      <c r="L77" s="57" t="s">
        <v>361</v>
      </c>
      <c r="M77" s="57"/>
      <c r="N77" s="57" t="s">
        <v>913</v>
      </c>
    </row>
    <row r="78" customFormat="false" ht="27.75" hidden="false" customHeight="true" outlineLevel="0" collapsed="false">
      <c r="A78" s="57" t="s">
        <v>248</v>
      </c>
      <c r="B78" s="57" t="s">
        <v>250</v>
      </c>
      <c r="C78" s="58" t="n">
        <v>46307</v>
      </c>
      <c r="D78" s="57" t="s">
        <v>1522</v>
      </c>
      <c r="E78" s="57" t="s">
        <v>199</v>
      </c>
      <c r="F78" s="57" t="s">
        <v>200</v>
      </c>
      <c r="G78" s="57" t="s">
        <v>477</v>
      </c>
      <c r="H78" s="57" t="s">
        <v>1502</v>
      </c>
      <c r="I78" s="57" t="s">
        <v>479</v>
      </c>
      <c r="J78" s="57"/>
      <c r="K78" s="57" t="s">
        <v>429</v>
      </c>
      <c r="L78" s="57" t="s">
        <v>361</v>
      </c>
      <c r="M78" s="57"/>
      <c r="N78" s="57" t="s">
        <v>915</v>
      </c>
    </row>
    <row r="79" customFormat="false" ht="27.75" hidden="false" customHeight="true" outlineLevel="0" collapsed="false">
      <c r="A79" s="57" t="s">
        <v>248</v>
      </c>
      <c r="B79" s="57" t="s">
        <v>250</v>
      </c>
      <c r="C79" s="58" t="n">
        <v>46307</v>
      </c>
      <c r="D79" s="57" t="s">
        <v>1522</v>
      </c>
      <c r="E79" s="57" t="s">
        <v>199</v>
      </c>
      <c r="F79" s="57" t="s">
        <v>200</v>
      </c>
      <c r="G79" s="57" t="s">
        <v>477</v>
      </c>
      <c r="H79" s="57" t="s">
        <v>1503</v>
      </c>
      <c r="I79" s="57" t="s">
        <v>479</v>
      </c>
      <c r="J79" s="57"/>
      <c r="K79" s="57" t="s">
        <v>429</v>
      </c>
      <c r="L79" s="57" t="s">
        <v>361</v>
      </c>
      <c r="M79" s="57"/>
      <c r="N79" s="57" t="s">
        <v>917</v>
      </c>
    </row>
    <row r="80" customFormat="false" ht="27.75" hidden="false" customHeight="true" outlineLevel="0" collapsed="false">
      <c r="A80" s="57" t="s">
        <v>248</v>
      </c>
      <c r="B80" s="57" t="s">
        <v>250</v>
      </c>
      <c r="C80" s="58" t="n">
        <v>46307</v>
      </c>
      <c r="D80" s="57" t="s">
        <v>1522</v>
      </c>
      <c r="E80" s="57" t="s">
        <v>199</v>
      </c>
      <c r="F80" s="57" t="s">
        <v>200</v>
      </c>
      <c r="G80" s="57" t="s">
        <v>477</v>
      </c>
      <c r="H80" s="57" t="s">
        <v>1506</v>
      </c>
      <c r="I80" s="57" t="s">
        <v>497</v>
      </c>
      <c r="J80" s="57"/>
      <c r="K80" s="57" t="s">
        <v>429</v>
      </c>
      <c r="L80" s="57" t="s">
        <v>361</v>
      </c>
      <c r="M80" s="57" t="s">
        <v>527</v>
      </c>
      <c r="N80" s="57" t="s">
        <v>919</v>
      </c>
    </row>
    <row r="81" customFormat="false" ht="27.75" hidden="false" customHeight="true" outlineLevel="0" collapsed="false">
      <c r="A81" s="57" t="s">
        <v>248</v>
      </c>
      <c r="B81" s="57" t="s">
        <v>250</v>
      </c>
      <c r="C81" s="58" t="n">
        <v>46307</v>
      </c>
      <c r="D81" s="57" t="s">
        <v>1522</v>
      </c>
      <c r="E81" s="57" t="s">
        <v>199</v>
      </c>
      <c r="F81" s="57" t="s">
        <v>200</v>
      </c>
      <c r="G81" s="57" t="s">
        <v>477</v>
      </c>
      <c r="H81" s="57" t="s">
        <v>1507</v>
      </c>
      <c r="I81" s="57" t="s">
        <v>479</v>
      </c>
      <c r="J81" s="57"/>
      <c r="K81" s="57" t="s">
        <v>429</v>
      </c>
      <c r="L81" s="57" t="s">
        <v>361</v>
      </c>
      <c r="M81" s="57"/>
      <c r="N81" s="57" t="s">
        <v>921</v>
      </c>
    </row>
    <row r="82" customFormat="false" ht="27.75" hidden="false" customHeight="true" outlineLevel="0" collapsed="false">
      <c r="A82" s="57" t="s">
        <v>248</v>
      </c>
      <c r="B82" s="57" t="s">
        <v>250</v>
      </c>
      <c r="C82" s="58" t="n">
        <v>46307</v>
      </c>
      <c r="D82" s="57" t="s">
        <v>1522</v>
      </c>
      <c r="E82" s="57" t="s">
        <v>199</v>
      </c>
      <c r="F82" s="57" t="s">
        <v>200</v>
      </c>
      <c r="G82" s="57" t="s">
        <v>425</v>
      </c>
      <c r="H82" s="57" t="s">
        <v>1508</v>
      </c>
      <c r="I82" s="57" t="s">
        <v>427</v>
      </c>
      <c r="J82" s="57"/>
      <c r="K82" s="57" t="s">
        <v>429</v>
      </c>
      <c r="L82" s="57" t="s">
        <v>361</v>
      </c>
      <c r="M82" s="57"/>
      <c r="N82" s="57" t="s">
        <v>923</v>
      </c>
    </row>
    <row r="83" customFormat="false" ht="27.75" hidden="false" customHeight="true" outlineLevel="0" collapsed="false">
      <c r="A83" s="57" t="s">
        <v>248</v>
      </c>
      <c r="B83" s="57" t="s">
        <v>250</v>
      </c>
      <c r="C83" s="58" t="n">
        <v>46307</v>
      </c>
      <c r="D83" s="57" t="s">
        <v>1522</v>
      </c>
      <c r="E83" s="57" t="s">
        <v>199</v>
      </c>
      <c r="F83" s="57" t="s">
        <v>200</v>
      </c>
      <c r="G83" s="57" t="s">
        <v>425</v>
      </c>
      <c r="H83" s="57" t="s">
        <v>1509</v>
      </c>
      <c r="I83" s="57" t="s">
        <v>427</v>
      </c>
      <c r="J83" s="57"/>
      <c r="K83" s="57" t="s">
        <v>429</v>
      </c>
      <c r="L83" s="57" t="s">
        <v>361</v>
      </c>
      <c r="M83" s="57"/>
      <c r="N83" s="57" t="s">
        <v>925</v>
      </c>
    </row>
    <row r="84" customFormat="false" ht="27.75" hidden="false" customHeight="true" outlineLevel="0" collapsed="false">
      <c r="A84" s="57" t="s">
        <v>255</v>
      </c>
      <c r="B84" s="57" t="s">
        <v>256</v>
      </c>
      <c r="C84" s="58" t="n">
        <v>46307</v>
      </c>
      <c r="D84" s="57" t="s">
        <v>1523</v>
      </c>
      <c r="E84" s="57" t="s">
        <v>185</v>
      </c>
      <c r="F84" s="57" t="s">
        <v>200</v>
      </c>
      <c r="G84" s="57" t="s">
        <v>425</v>
      </c>
      <c r="H84" s="57" t="s">
        <v>1496</v>
      </c>
      <c r="I84" s="57" t="s">
        <v>427</v>
      </c>
      <c r="J84" s="57"/>
      <c r="K84" s="57" t="s">
        <v>429</v>
      </c>
      <c r="L84" s="57" t="s">
        <v>361</v>
      </c>
      <c r="M84" s="57"/>
      <c r="N84" s="57" t="s">
        <v>961</v>
      </c>
    </row>
    <row r="85" customFormat="false" ht="27.75" hidden="false" customHeight="true" outlineLevel="0" collapsed="false">
      <c r="A85" s="57" t="s">
        <v>258</v>
      </c>
      <c r="B85" s="57" t="s">
        <v>259</v>
      </c>
      <c r="C85" s="58" t="n">
        <v>46307</v>
      </c>
      <c r="D85" s="57" t="s">
        <v>1524</v>
      </c>
      <c r="E85" s="57" t="s">
        <v>199</v>
      </c>
      <c r="F85" s="57" t="s">
        <v>261</v>
      </c>
      <c r="G85" s="57" t="s">
        <v>418</v>
      </c>
      <c r="H85" s="57" t="s">
        <v>1495</v>
      </c>
      <c r="I85" s="57" t="s">
        <v>479</v>
      </c>
      <c r="J85" s="57"/>
      <c r="K85" s="57" t="s">
        <v>184</v>
      </c>
      <c r="L85" s="57" t="s">
        <v>361</v>
      </c>
      <c r="M85" s="57"/>
      <c r="N85" s="57" t="s">
        <v>992</v>
      </c>
    </row>
    <row r="86" customFormat="false" ht="27.75" hidden="false" customHeight="true" outlineLevel="0" collapsed="false">
      <c r="A86" s="57" t="s">
        <v>258</v>
      </c>
      <c r="B86" s="57" t="s">
        <v>259</v>
      </c>
      <c r="C86" s="58" t="n">
        <v>46307</v>
      </c>
      <c r="D86" s="57" t="s">
        <v>1524</v>
      </c>
      <c r="E86" s="57" t="s">
        <v>199</v>
      </c>
      <c r="F86" s="57" t="s">
        <v>261</v>
      </c>
      <c r="G86" s="57" t="s">
        <v>418</v>
      </c>
      <c r="H86" s="57" t="s">
        <v>1512</v>
      </c>
      <c r="I86" s="57" t="s">
        <v>479</v>
      </c>
      <c r="J86" s="57"/>
      <c r="K86" s="57" t="s">
        <v>184</v>
      </c>
      <c r="L86" s="57" t="s">
        <v>361</v>
      </c>
      <c r="M86" s="57"/>
      <c r="N86" s="57" t="s">
        <v>994</v>
      </c>
    </row>
    <row r="87" customFormat="false" ht="27.75" hidden="false" customHeight="true" outlineLevel="0" collapsed="false">
      <c r="A87" s="57" t="s">
        <v>258</v>
      </c>
      <c r="B87" s="57" t="s">
        <v>259</v>
      </c>
      <c r="C87" s="58" t="n">
        <v>46307</v>
      </c>
      <c r="D87" s="57" t="s">
        <v>1524</v>
      </c>
      <c r="E87" s="57" t="s">
        <v>199</v>
      </c>
      <c r="F87" s="57" t="s">
        <v>261</v>
      </c>
      <c r="G87" s="57" t="s">
        <v>477</v>
      </c>
      <c r="H87" s="57" t="s">
        <v>1501</v>
      </c>
      <c r="I87" s="57" t="s">
        <v>479</v>
      </c>
      <c r="J87" s="57"/>
      <c r="K87" s="57" t="s">
        <v>429</v>
      </c>
      <c r="L87" s="57" t="s">
        <v>361</v>
      </c>
      <c r="M87" s="57"/>
      <c r="N87" s="57" t="s">
        <v>996</v>
      </c>
    </row>
    <row r="88" customFormat="false" ht="27.75" hidden="false" customHeight="true" outlineLevel="0" collapsed="false">
      <c r="A88" s="57" t="s">
        <v>258</v>
      </c>
      <c r="B88" s="57" t="s">
        <v>259</v>
      </c>
      <c r="C88" s="58" t="n">
        <v>46307</v>
      </c>
      <c r="D88" s="57" t="s">
        <v>1524</v>
      </c>
      <c r="E88" s="57" t="s">
        <v>199</v>
      </c>
      <c r="F88" s="57" t="s">
        <v>261</v>
      </c>
      <c r="G88" s="57" t="s">
        <v>477</v>
      </c>
      <c r="H88" s="57" t="s">
        <v>1502</v>
      </c>
      <c r="I88" s="57" t="s">
        <v>479</v>
      </c>
      <c r="J88" s="57"/>
      <c r="K88" s="57" t="s">
        <v>429</v>
      </c>
      <c r="L88" s="57" t="s">
        <v>361</v>
      </c>
      <c r="M88" s="57"/>
      <c r="N88" s="57" t="s">
        <v>998</v>
      </c>
    </row>
    <row r="89" customFormat="false" ht="27.75" hidden="false" customHeight="true" outlineLevel="0" collapsed="false">
      <c r="A89" s="57" t="s">
        <v>258</v>
      </c>
      <c r="B89" s="57" t="s">
        <v>259</v>
      </c>
      <c r="C89" s="58" t="n">
        <v>46307</v>
      </c>
      <c r="D89" s="57" t="s">
        <v>1524</v>
      </c>
      <c r="E89" s="57" t="s">
        <v>199</v>
      </c>
      <c r="F89" s="57" t="s">
        <v>261</v>
      </c>
      <c r="G89" s="57" t="s">
        <v>477</v>
      </c>
      <c r="H89" s="57" t="s">
        <v>1503</v>
      </c>
      <c r="I89" s="57" t="s">
        <v>479</v>
      </c>
      <c r="J89" s="57"/>
      <c r="K89" s="57" t="s">
        <v>429</v>
      </c>
      <c r="L89" s="57" t="s">
        <v>361</v>
      </c>
      <c r="M89" s="57"/>
      <c r="N89" s="57" t="s">
        <v>1000</v>
      </c>
    </row>
    <row r="90" customFormat="false" ht="27.75" hidden="false" customHeight="true" outlineLevel="0" collapsed="false">
      <c r="A90" s="57" t="s">
        <v>258</v>
      </c>
      <c r="B90" s="57" t="s">
        <v>259</v>
      </c>
      <c r="C90" s="58" t="n">
        <v>46307</v>
      </c>
      <c r="D90" s="57" t="s">
        <v>1524</v>
      </c>
      <c r="E90" s="57" t="s">
        <v>199</v>
      </c>
      <c r="F90" s="57" t="s">
        <v>261</v>
      </c>
      <c r="G90" s="57" t="s">
        <v>477</v>
      </c>
      <c r="H90" s="57" t="s">
        <v>1504</v>
      </c>
      <c r="I90" s="57" t="s">
        <v>479</v>
      </c>
      <c r="J90" s="57"/>
      <c r="K90" s="57" t="s">
        <v>429</v>
      </c>
      <c r="L90" s="57" t="s">
        <v>361</v>
      </c>
      <c r="M90" s="57"/>
      <c r="N90" s="57" t="s">
        <v>1002</v>
      </c>
    </row>
    <row r="91" customFormat="false" ht="27.75" hidden="false" customHeight="true" outlineLevel="0" collapsed="false">
      <c r="A91" s="57" t="s">
        <v>258</v>
      </c>
      <c r="B91" s="57" t="s">
        <v>259</v>
      </c>
      <c r="C91" s="58" t="n">
        <v>46307</v>
      </c>
      <c r="D91" s="57" t="s">
        <v>1524</v>
      </c>
      <c r="E91" s="57" t="s">
        <v>199</v>
      </c>
      <c r="F91" s="57" t="s">
        <v>261</v>
      </c>
      <c r="G91" s="57" t="s">
        <v>477</v>
      </c>
      <c r="H91" s="57" t="s">
        <v>1505</v>
      </c>
      <c r="I91" s="57" t="s">
        <v>479</v>
      </c>
      <c r="J91" s="57"/>
      <c r="K91" s="57" t="s">
        <v>429</v>
      </c>
      <c r="L91" s="57" t="s">
        <v>361</v>
      </c>
      <c r="M91" s="57"/>
      <c r="N91" s="57" t="s">
        <v>1004</v>
      </c>
    </row>
    <row r="92" customFormat="false" ht="27.75" hidden="false" customHeight="true" outlineLevel="0" collapsed="false">
      <c r="A92" s="57" t="s">
        <v>258</v>
      </c>
      <c r="B92" s="57" t="s">
        <v>259</v>
      </c>
      <c r="C92" s="58" t="n">
        <v>46307</v>
      </c>
      <c r="D92" s="57" t="s">
        <v>1524</v>
      </c>
      <c r="E92" s="57" t="s">
        <v>199</v>
      </c>
      <c r="F92" s="57" t="s">
        <v>261</v>
      </c>
      <c r="G92" s="57" t="s">
        <v>477</v>
      </c>
      <c r="H92" s="57" t="s">
        <v>1506</v>
      </c>
      <c r="I92" s="57" t="s">
        <v>594</v>
      </c>
      <c r="J92" s="57"/>
      <c r="K92" s="57" t="s">
        <v>429</v>
      </c>
      <c r="L92" s="57" t="s">
        <v>361</v>
      </c>
      <c r="M92" s="57" t="s">
        <v>527</v>
      </c>
      <c r="N92" s="57" t="s">
        <v>1006</v>
      </c>
    </row>
    <row r="93" customFormat="false" ht="27.75" hidden="false" customHeight="true" outlineLevel="0" collapsed="false">
      <c r="A93" s="57" t="s">
        <v>258</v>
      </c>
      <c r="B93" s="57" t="s">
        <v>259</v>
      </c>
      <c r="C93" s="58" t="n">
        <v>46307</v>
      </c>
      <c r="D93" s="57" t="s">
        <v>1524</v>
      </c>
      <c r="E93" s="57" t="s">
        <v>199</v>
      </c>
      <c r="F93" s="57" t="s">
        <v>261</v>
      </c>
      <c r="G93" s="57" t="s">
        <v>477</v>
      </c>
      <c r="H93" s="57" t="s">
        <v>1507</v>
      </c>
      <c r="I93" s="57" t="s">
        <v>479</v>
      </c>
      <c r="J93" s="57"/>
      <c r="K93" s="57" t="s">
        <v>429</v>
      </c>
      <c r="L93" s="57" t="s">
        <v>361</v>
      </c>
      <c r="M93" s="57"/>
      <c r="N93" s="57" t="s">
        <v>1008</v>
      </c>
    </row>
    <row r="94" customFormat="false" ht="27.75" hidden="false" customHeight="true" outlineLevel="0" collapsed="false">
      <c r="A94" s="57" t="s">
        <v>258</v>
      </c>
      <c r="B94" s="57" t="s">
        <v>259</v>
      </c>
      <c r="C94" s="58" t="n">
        <v>46307</v>
      </c>
      <c r="D94" s="57" t="s">
        <v>1524</v>
      </c>
      <c r="E94" s="57" t="s">
        <v>199</v>
      </c>
      <c r="F94" s="57" t="s">
        <v>261</v>
      </c>
      <c r="G94" s="57" t="s">
        <v>425</v>
      </c>
      <c r="H94" s="57" t="s">
        <v>1508</v>
      </c>
      <c r="I94" s="57" t="s">
        <v>427</v>
      </c>
      <c r="J94" s="57"/>
      <c r="K94" s="57" t="s">
        <v>429</v>
      </c>
      <c r="L94" s="57" t="s">
        <v>361</v>
      </c>
      <c r="M94" s="57"/>
      <c r="N94" s="57" t="s">
        <v>1010</v>
      </c>
    </row>
    <row r="95" customFormat="false" ht="27.75" hidden="false" customHeight="true" outlineLevel="0" collapsed="false">
      <c r="A95" s="57" t="s">
        <v>258</v>
      </c>
      <c r="B95" s="57" t="s">
        <v>259</v>
      </c>
      <c r="C95" s="58" t="n">
        <v>46307</v>
      </c>
      <c r="D95" s="57" t="s">
        <v>1524</v>
      </c>
      <c r="E95" s="57" t="s">
        <v>199</v>
      </c>
      <c r="F95" s="57" t="s">
        <v>261</v>
      </c>
      <c r="G95" s="57" t="s">
        <v>425</v>
      </c>
      <c r="H95" s="57" t="s">
        <v>1513</v>
      </c>
      <c r="I95" s="57" t="s">
        <v>427</v>
      </c>
      <c r="J95" s="57"/>
      <c r="K95" s="57" t="s">
        <v>429</v>
      </c>
      <c r="L95" s="57" t="s">
        <v>361</v>
      </c>
      <c r="M95" s="57"/>
      <c r="N95" s="57" t="s">
        <v>1012</v>
      </c>
    </row>
    <row r="96" customFormat="false" ht="27.75" hidden="false" customHeight="true" outlineLevel="0" collapsed="false">
      <c r="A96" s="57" t="s">
        <v>258</v>
      </c>
      <c r="B96" s="57" t="s">
        <v>259</v>
      </c>
      <c r="C96" s="58" t="n">
        <v>46307</v>
      </c>
      <c r="D96" s="57" t="s">
        <v>1524</v>
      </c>
      <c r="E96" s="57" t="s">
        <v>199</v>
      </c>
      <c r="F96" s="57" t="s">
        <v>261</v>
      </c>
      <c r="G96" s="57" t="s">
        <v>425</v>
      </c>
      <c r="H96" s="57" t="s">
        <v>1514</v>
      </c>
      <c r="I96" s="57" t="s">
        <v>427</v>
      </c>
      <c r="J96" s="57"/>
      <c r="K96" s="57" t="s">
        <v>429</v>
      </c>
      <c r="L96" s="57" t="s">
        <v>361</v>
      </c>
      <c r="M96" s="57"/>
      <c r="N96" s="57" t="s">
        <v>1014</v>
      </c>
    </row>
    <row r="97" customFormat="false" ht="27.75" hidden="false" customHeight="true" outlineLevel="0" collapsed="false">
      <c r="A97" s="57" t="s">
        <v>258</v>
      </c>
      <c r="B97" s="57" t="s">
        <v>259</v>
      </c>
      <c r="C97" s="58" t="n">
        <v>46307</v>
      </c>
      <c r="D97" s="57" t="s">
        <v>1524</v>
      </c>
      <c r="E97" s="57" t="s">
        <v>199</v>
      </c>
      <c r="F97" s="57" t="s">
        <v>261</v>
      </c>
      <c r="G97" s="57" t="s">
        <v>607</v>
      </c>
      <c r="H97" s="57" t="s">
        <v>1515</v>
      </c>
      <c r="I97" s="57" t="s">
        <v>479</v>
      </c>
      <c r="J97" s="57"/>
      <c r="K97" s="57" t="s">
        <v>184</v>
      </c>
      <c r="L97" s="57" t="s">
        <v>361</v>
      </c>
      <c r="M97" s="57" t="s">
        <v>610</v>
      </c>
      <c r="N97" s="57" t="s">
        <v>1016</v>
      </c>
    </row>
    <row r="98" customFormat="false" ht="27.75" hidden="false" customHeight="true" outlineLevel="0" collapsed="false">
      <c r="A98" s="57" t="s">
        <v>258</v>
      </c>
      <c r="B98" s="57" t="s">
        <v>259</v>
      </c>
      <c r="C98" s="58" t="n">
        <v>46307</v>
      </c>
      <c r="D98" s="57" t="s">
        <v>1524</v>
      </c>
      <c r="E98" s="57" t="s">
        <v>199</v>
      </c>
      <c r="F98" s="57" t="s">
        <v>261</v>
      </c>
      <c r="G98" s="57" t="s">
        <v>612</v>
      </c>
      <c r="H98" s="57" t="s">
        <v>1516</v>
      </c>
      <c r="I98" s="57" t="s">
        <v>1018</v>
      </c>
      <c r="J98" s="57"/>
      <c r="K98" s="57" t="s">
        <v>429</v>
      </c>
      <c r="L98" s="57" t="s">
        <v>361</v>
      </c>
      <c r="M98" s="57" t="s">
        <v>1037</v>
      </c>
      <c r="N98" s="57" t="s">
        <v>1019</v>
      </c>
    </row>
    <row r="99" customFormat="false" ht="40.5" hidden="false" customHeight="true" outlineLevel="0" collapsed="false">
      <c r="A99" s="57" t="s">
        <v>269</v>
      </c>
      <c r="B99" s="57" t="s">
        <v>271</v>
      </c>
      <c r="C99" s="58" t="n">
        <v>46309</v>
      </c>
      <c r="D99" s="57" t="s">
        <v>1525</v>
      </c>
      <c r="E99" s="57" t="s">
        <v>185</v>
      </c>
      <c r="F99" s="57" t="s">
        <v>261</v>
      </c>
      <c r="G99" s="57" t="s">
        <v>418</v>
      </c>
      <c r="H99" s="57" t="s">
        <v>1495</v>
      </c>
      <c r="I99" s="57" t="s">
        <v>420</v>
      </c>
      <c r="J99" s="57"/>
      <c r="K99" s="57" t="s">
        <v>184</v>
      </c>
      <c r="L99" s="74" t="s">
        <v>422</v>
      </c>
      <c r="M99" s="57" t="s">
        <v>423</v>
      </c>
      <c r="N99" s="57" t="s">
        <v>992</v>
      </c>
    </row>
    <row r="100" customFormat="false" ht="27.75" hidden="false" customHeight="true" outlineLevel="0" collapsed="false">
      <c r="A100" s="57" t="s">
        <v>269</v>
      </c>
      <c r="B100" s="57" t="s">
        <v>271</v>
      </c>
      <c r="C100" s="58" t="n">
        <v>46309</v>
      </c>
      <c r="D100" s="57" t="s">
        <v>1525</v>
      </c>
      <c r="E100" s="57" t="s">
        <v>185</v>
      </c>
      <c r="F100" s="57" t="s">
        <v>261</v>
      </c>
      <c r="G100" s="57" t="s">
        <v>425</v>
      </c>
      <c r="H100" s="57" t="s">
        <v>1496</v>
      </c>
      <c r="I100" s="57" t="s">
        <v>427</v>
      </c>
      <c r="J100" s="57"/>
      <c r="K100" s="57" t="s">
        <v>429</v>
      </c>
      <c r="L100" s="57" t="s">
        <v>361</v>
      </c>
      <c r="M100" s="57"/>
      <c r="N100" s="57" t="s">
        <v>1063</v>
      </c>
    </row>
    <row r="101" customFormat="false" ht="40.5" hidden="false" customHeight="true" outlineLevel="0" collapsed="false">
      <c r="A101" s="57" t="s">
        <v>269</v>
      </c>
      <c r="B101" s="57" t="s">
        <v>271</v>
      </c>
      <c r="C101" s="58" t="n">
        <v>46309</v>
      </c>
      <c r="D101" s="57" t="s">
        <v>1525</v>
      </c>
      <c r="E101" s="57" t="s">
        <v>185</v>
      </c>
      <c r="F101" s="57" t="s">
        <v>261</v>
      </c>
      <c r="G101" s="57" t="s">
        <v>425</v>
      </c>
      <c r="H101" s="57" t="s">
        <v>1497</v>
      </c>
      <c r="I101" s="57" t="s">
        <v>427</v>
      </c>
      <c r="J101" s="57" t="s">
        <v>1526</v>
      </c>
      <c r="K101" s="57" t="s">
        <v>429</v>
      </c>
      <c r="L101" s="57" t="s">
        <v>361</v>
      </c>
      <c r="M101" s="57" t="s">
        <v>1078</v>
      </c>
      <c r="N101" s="57" t="s">
        <v>1067</v>
      </c>
    </row>
    <row r="102" customFormat="false" ht="52.5" hidden="false" customHeight="true" outlineLevel="0" collapsed="false">
      <c r="A102" s="57" t="s">
        <v>269</v>
      </c>
      <c r="B102" s="57" t="s">
        <v>271</v>
      </c>
      <c r="C102" s="58" t="n">
        <v>46309</v>
      </c>
      <c r="D102" s="57" t="s">
        <v>1525</v>
      </c>
      <c r="E102" s="57" t="s">
        <v>185</v>
      </c>
      <c r="F102" s="57" t="s">
        <v>261</v>
      </c>
      <c r="G102" s="57" t="s">
        <v>612</v>
      </c>
      <c r="H102" s="57" t="s">
        <v>1516</v>
      </c>
      <c r="I102" s="57" t="s">
        <v>1018</v>
      </c>
      <c r="J102" s="57"/>
      <c r="K102" s="57" t="s">
        <v>429</v>
      </c>
      <c r="L102" s="74" t="s">
        <v>422</v>
      </c>
      <c r="M102" s="57" t="s">
        <v>1080</v>
      </c>
      <c r="N102" s="57" t="s">
        <v>1019</v>
      </c>
    </row>
    <row r="103" customFormat="false" ht="102.75" hidden="false" customHeight="true" outlineLevel="0" collapsed="false">
      <c r="A103" s="57" t="s">
        <v>273</v>
      </c>
      <c r="B103" s="57" t="s">
        <v>274</v>
      </c>
      <c r="C103" s="58" t="n">
        <v>46310</v>
      </c>
      <c r="D103" s="57" t="s">
        <v>1518</v>
      </c>
      <c r="E103" s="57" t="s">
        <v>185</v>
      </c>
      <c r="F103" s="57" t="s">
        <v>186</v>
      </c>
      <c r="G103" s="57" t="s">
        <v>418</v>
      </c>
      <c r="H103" s="57" t="s">
        <v>1495</v>
      </c>
      <c r="I103" s="57" t="s">
        <v>479</v>
      </c>
      <c r="J103" s="57"/>
      <c r="K103" s="57" t="s">
        <v>704</v>
      </c>
      <c r="L103" s="74" t="s">
        <v>422</v>
      </c>
      <c r="M103" s="57" t="s">
        <v>1099</v>
      </c>
      <c r="N103" s="57" t="s">
        <v>421</v>
      </c>
    </row>
    <row r="104" customFormat="false" ht="27.75" hidden="false" customHeight="true" outlineLevel="0" collapsed="false">
      <c r="A104" s="57" t="s">
        <v>273</v>
      </c>
      <c r="B104" s="57" t="s">
        <v>274</v>
      </c>
      <c r="C104" s="58" t="n">
        <v>46310</v>
      </c>
      <c r="D104" s="57" t="s">
        <v>1518</v>
      </c>
      <c r="E104" s="57" t="s">
        <v>185</v>
      </c>
      <c r="F104" s="57" t="s">
        <v>186</v>
      </c>
      <c r="G104" s="57" t="s">
        <v>425</v>
      </c>
      <c r="H104" s="57" t="s">
        <v>1496</v>
      </c>
      <c r="I104" s="57" t="s">
        <v>427</v>
      </c>
      <c r="J104" s="57"/>
      <c r="K104" s="57" t="s">
        <v>429</v>
      </c>
      <c r="L104" s="57" t="s">
        <v>361</v>
      </c>
      <c r="M104" s="57"/>
      <c r="N104" s="57" t="s">
        <v>428</v>
      </c>
    </row>
    <row r="105" customFormat="false" ht="52.5" hidden="false" customHeight="true" outlineLevel="0" collapsed="false">
      <c r="A105" s="57" t="s">
        <v>273</v>
      </c>
      <c r="B105" s="57" t="s">
        <v>274</v>
      </c>
      <c r="C105" s="58" t="n">
        <v>46310</v>
      </c>
      <c r="D105" s="57" t="s">
        <v>1518</v>
      </c>
      <c r="E105" s="57" t="s">
        <v>185</v>
      </c>
      <c r="F105" s="57" t="s">
        <v>186</v>
      </c>
      <c r="G105" s="57" t="s">
        <v>425</v>
      </c>
      <c r="H105" s="57" t="s">
        <v>1497</v>
      </c>
      <c r="I105" s="57" t="s">
        <v>427</v>
      </c>
      <c r="J105" s="57" t="s">
        <v>1498</v>
      </c>
      <c r="K105" s="57" t="s">
        <v>429</v>
      </c>
      <c r="L105" s="57" t="s">
        <v>361</v>
      </c>
      <c r="M105" s="57" t="s">
        <v>1108</v>
      </c>
      <c r="N105" s="57" t="s">
        <v>434</v>
      </c>
    </row>
    <row r="106" customFormat="false" ht="40.5" hidden="false" customHeight="true" outlineLevel="0" collapsed="false">
      <c r="A106" s="57" t="s">
        <v>275</v>
      </c>
      <c r="B106" s="57" t="s">
        <v>233</v>
      </c>
      <c r="C106" s="58" t="n">
        <v>46320</v>
      </c>
      <c r="D106" s="57" t="s">
        <v>1494</v>
      </c>
      <c r="E106" s="57" t="s">
        <v>185</v>
      </c>
      <c r="F106" s="57" t="s">
        <v>186</v>
      </c>
      <c r="G106" s="57" t="s">
        <v>418</v>
      </c>
      <c r="H106" s="57" t="s">
        <v>1495</v>
      </c>
      <c r="I106" s="57" t="s">
        <v>420</v>
      </c>
      <c r="J106" s="57"/>
      <c r="K106" s="57" t="s">
        <v>183</v>
      </c>
      <c r="L106" s="74" t="s">
        <v>422</v>
      </c>
      <c r="M106" s="57" t="s">
        <v>423</v>
      </c>
      <c r="N106" s="57" t="s">
        <v>421</v>
      </c>
    </row>
    <row r="107" customFormat="false" ht="27.75" hidden="false" customHeight="true" outlineLevel="0" collapsed="false">
      <c r="A107" s="57" t="s">
        <v>275</v>
      </c>
      <c r="B107" s="57" t="s">
        <v>233</v>
      </c>
      <c r="C107" s="58" t="n">
        <v>46320</v>
      </c>
      <c r="D107" s="57" t="s">
        <v>1494</v>
      </c>
      <c r="E107" s="57" t="s">
        <v>185</v>
      </c>
      <c r="F107" s="57" t="s">
        <v>186</v>
      </c>
      <c r="G107" s="57" t="s">
        <v>425</v>
      </c>
      <c r="H107" s="57" t="s">
        <v>1496</v>
      </c>
      <c r="I107" s="57" t="s">
        <v>427</v>
      </c>
      <c r="J107" s="57"/>
      <c r="K107" s="57" t="s">
        <v>429</v>
      </c>
      <c r="L107" s="57" t="s">
        <v>361</v>
      </c>
      <c r="M107" s="57"/>
      <c r="N107" s="57" t="s">
        <v>428</v>
      </c>
    </row>
    <row r="108" customFormat="false" ht="52.5" hidden="false" customHeight="true" outlineLevel="0" collapsed="false">
      <c r="A108" s="57" t="s">
        <v>275</v>
      </c>
      <c r="B108" s="57" t="s">
        <v>233</v>
      </c>
      <c r="C108" s="58" t="n">
        <v>46320</v>
      </c>
      <c r="D108" s="57" t="s">
        <v>1494</v>
      </c>
      <c r="E108" s="57" t="s">
        <v>185</v>
      </c>
      <c r="F108" s="57" t="s">
        <v>186</v>
      </c>
      <c r="G108" s="57" t="s">
        <v>425</v>
      </c>
      <c r="H108" s="57" t="s">
        <v>1497</v>
      </c>
      <c r="I108" s="57" t="s">
        <v>427</v>
      </c>
      <c r="J108" s="57" t="s">
        <v>1498</v>
      </c>
      <c r="K108" s="57" t="s">
        <v>429</v>
      </c>
      <c r="L108" s="57" t="s">
        <v>361</v>
      </c>
      <c r="M108" s="57" t="s">
        <v>1138</v>
      </c>
      <c r="N108" s="57" t="s">
        <v>434</v>
      </c>
    </row>
    <row r="109" customFormat="false" ht="27.75" hidden="false" customHeight="true" outlineLevel="0" collapsed="false">
      <c r="A109" s="57" t="s">
        <v>277</v>
      </c>
      <c r="B109" s="57" t="s">
        <v>278</v>
      </c>
      <c r="C109" s="58" t="n">
        <v>46321</v>
      </c>
      <c r="D109" s="57" t="s">
        <v>1527</v>
      </c>
      <c r="E109" s="57" t="s">
        <v>185</v>
      </c>
      <c r="F109" s="57" t="s">
        <v>200</v>
      </c>
      <c r="G109" s="57" t="s">
        <v>425</v>
      </c>
      <c r="H109" s="57" t="s">
        <v>1496</v>
      </c>
      <c r="I109" s="57" t="s">
        <v>427</v>
      </c>
      <c r="J109" s="57"/>
      <c r="K109" s="57" t="s">
        <v>429</v>
      </c>
      <c r="L109" s="57" t="s">
        <v>361</v>
      </c>
      <c r="M109" s="57"/>
      <c r="N109" s="57" t="s">
        <v>1159</v>
      </c>
    </row>
    <row r="110" customFormat="false" ht="78" hidden="false" customHeight="true" outlineLevel="0" collapsed="false">
      <c r="A110" s="57" t="s">
        <v>277</v>
      </c>
      <c r="B110" s="57" t="s">
        <v>278</v>
      </c>
      <c r="C110" s="58" t="n">
        <v>46321</v>
      </c>
      <c r="D110" s="57" t="s">
        <v>1527</v>
      </c>
      <c r="E110" s="57" t="s">
        <v>185</v>
      </c>
      <c r="F110" s="57" t="s">
        <v>200</v>
      </c>
      <c r="G110" s="57" t="s">
        <v>425</v>
      </c>
      <c r="H110" s="57" t="s">
        <v>1497</v>
      </c>
      <c r="I110" s="57" t="s">
        <v>427</v>
      </c>
      <c r="J110" s="57"/>
      <c r="K110" s="57" t="s">
        <v>429</v>
      </c>
      <c r="L110" s="74" t="s">
        <v>422</v>
      </c>
      <c r="M110" s="57" t="s">
        <v>1172</v>
      </c>
      <c r="N110" s="57" t="s">
        <v>1161</v>
      </c>
    </row>
    <row r="111" customFormat="false" ht="27.75" hidden="false" customHeight="true" outlineLevel="0" collapsed="false">
      <c r="A111" s="57" t="s">
        <v>277</v>
      </c>
      <c r="B111" s="57" t="s">
        <v>278</v>
      </c>
      <c r="C111" s="58" t="n">
        <v>46321</v>
      </c>
      <c r="D111" s="57" t="s">
        <v>1527</v>
      </c>
      <c r="E111" s="57" t="s">
        <v>185</v>
      </c>
      <c r="F111" s="57" t="s">
        <v>200</v>
      </c>
      <c r="G111" s="57" t="s">
        <v>612</v>
      </c>
      <c r="H111" s="57" t="s">
        <v>1528</v>
      </c>
      <c r="I111" s="57" t="s">
        <v>1165</v>
      </c>
      <c r="J111" s="57"/>
      <c r="K111" s="57" t="s">
        <v>429</v>
      </c>
      <c r="L111" s="57" t="s">
        <v>361</v>
      </c>
      <c r="M111" s="57" t="s">
        <v>1175</v>
      </c>
      <c r="N111" s="57" t="s">
        <v>1166</v>
      </c>
    </row>
    <row r="112" customFormat="false" ht="27.75" hidden="false" customHeight="true" outlineLevel="0" collapsed="false">
      <c r="A112" s="57" t="s">
        <v>287</v>
      </c>
      <c r="B112" s="57" t="s">
        <v>289</v>
      </c>
      <c r="C112" s="58" t="n">
        <v>46322</v>
      </c>
      <c r="D112" s="57" t="s">
        <v>1529</v>
      </c>
      <c r="E112" s="57" t="s">
        <v>199</v>
      </c>
      <c r="F112" s="57" t="s">
        <v>200</v>
      </c>
      <c r="G112" s="57" t="s">
        <v>418</v>
      </c>
      <c r="H112" s="57" t="s">
        <v>1530</v>
      </c>
      <c r="I112" s="57" t="s">
        <v>479</v>
      </c>
      <c r="J112" s="57"/>
      <c r="K112" s="57" t="s">
        <v>184</v>
      </c>
      <c r="L112" s="57" t="s">
        <v>361</v>
      </c>
      <c r="M112" s="57"/>
      <c r="N112" s="57" t="s">
        <v>1200</v>
      </c>
    </row>
    <row r="113" customFormat="false" ht="27.75" hidden="false" customHeight="true" outlineLevel="0" collapsed="false">
      <c r="A113" s="57" t="s">
        <v>287</v>
      </c>
      <c r="B113" s="57" t="s">
        <v>289</v>
      </c>
      <c r="C113" s="58" t="n">
        <v>46322</v>
      </c>
      <c r="D113" s="57" t="s">
        <v>1529</v>
      </c>
      <c r="E113" s="57" t="s">
        <v>199</v>
      </c>
      <c r="F113" s="57" t="s">
        <v>200</v>
      </c>
      <c r="G113" s="57" t="s">
        <v>477</v>
      </c>
      <c r="H113" s="57" t="s">
        <v>1501</v>
      </c>
      <c r="I113" s="57" t="s">
        <v>479</v>
      </c>
      <c r="J113" s="57"/>
      <c r="K113" s="57" t="s">
        <v>429</v>
      </c>
      <c r="L113" s="57" t="s">
        <v>361</v>
      </c>
      <c r="M113" s="57"/>
      <c r="N113" s="57" t="s">
        <v>1203</v>
      </c>
    </row>
    <row r="114" customFormat="false" ht="27.75" hidden="false" customHeight="true" outlineLevel="0" collapsed="false">
      <c r="A114" s="57" t="s">
        <v>287</v>
      </c>
      <c r="B114" s="57" t="s">
        <v>289</v>
      </c>
      <c r="C114" s="58" t="n">
        <v>46322</v>
      </c>
      <c r="D114" s="57" t="s">
        <v>1529</v>
      </c>
      <c r="E114" s="57" t="s">
        <v>199</v>
      </c>
      <c r="F114" s="57" t="s">
        <v>200</v>
      </c>
      <c r="G114" s="57" t="s">
        <v>477</v>
      </c>
      <c r="H114" s="57" t="s">
        <v>1502</v>
      </c>
      <c r="I114" s="57" t="s">
        <v>479</v>
      </c>
      <c r="J114" s="57"/>
      <c r="K114" s="57" t="s">
        <v>429</v>
      </c>
      <c r="L114" s="57" t="s">
        <v>361</v>
      </c>
      <c r="M114" s="57"/>
      <c r="N114" s="57" t="s">
        <v>1206</v>
      </c>
    </row>
    <row r="115" customFormat="false" ht="27.75" hidden="false" customHeight="true" outlineLevel="0" collapsed="false">
      <c r="A115" s="57" t="s">
        <v>287</v>
      </c>
      <c r="B115" s="57" t="s">
        <v>289</v>
      </c>
      <c r="C115" s="58" t="n">
        <v>46322</v>
      </c>
      <c r="D115" s="57" t="s">
        <v>1529</v>
      </c>
      <c r="E115" s="57" t="s">
        <v>199</v>
      </c>
      <c r="F115" s="57" t="s">
        <v>200</v>
      </c>
      <c r="G115" s="57" t="s">
        <v>477</v>
      </c>
      <c r="H115" s="57" t="s">
        <v>1503</v>
      </c>
      <c r="I115" s="57" t="s">
        <v>479</v>
      </c>
      <c r="J115" s="57"/>
      <c r="K115" s="57" t="s">
        <v>429</v>
      </c>
      <c r="L115" s="57" t="s">
        <v>361</v>
      </c>
      <c r="M115" s="57"/>
      <c r="N115" s="57" t="s">
        <v>1208</v>
      </c>
    </row>
    <row r="116" customFormat="false" ht="65.25" hidden="false" customHeight="true" outlineLevel="0" collapsed="false">
      <c r="A116" s="57" t="s">
        <v>287</v>
      </c>
      <c r="B116" s="57" t="s">
        <v>289</v>
      </c>
      <c r="C116" s="58" t="n">
        <v>46322</v>
      </c>
      <c r="D116" s="57" t="s">
        <v>1529</v>
      </c>
      <c r="E116" s="57" t="s">
        <v>199</v>
      </c>
      <c r="F116" s="57" t="s">
        <v>200</v>
      </c>
      <c r="G116" s="57" t="s">
        <v>477</v>
      </c>
      <c r="H116" s="57" t="s">
        <v>1504</v>
      </c>
      <c r="I116" s="57" t="s">
        <v>479</v>
      </c>
      <c r="J116" s="57"/>
      <c r="K116" s="57" t="s">
        <v>429</v>
      </c>
      <c r="L116" s="74" t="s">
        <v>422</v>
      </c>
      <c r="M116" s="57" t="s">
        <v>1236</v>
      </c>
      <c r="N116" s="57" t="s">
        <v>1210</v>
      </c>
    </row>
    <row r="117" customFormat="false" ht="65.25" hidden="false" customHeight="true" outlineLevel="0" collapsed="false">
      <c r="A117" s="57" t="s">
        <v>287</v>
      </c>
      <c r="B117" s="57" t="s">
        <v>289</v>
      </c>
      <c r="C117" s="58" t="n">
        <v>46322</v>
      </c>
      <c r="D117" s="57" t="s">
        <v>1529</v>
      </c>
      <c r="E117" s="57" t="s">
        <v>199</v>
      </c>
      <c r="F117" s="57" t="s">
        <v>200</v>
      </c>
      <c r="G117" s="57" t="s">
        <v>477</v>
      </c>
      <c r="H117" s="57" t="s">
        <v>1505</v>
      </c>
      <c r="I117" s="57" t="s">
        <v>479</v>
      </c>
      <c r="J117" s="57"/>
      <c r="K117" s="57" t="s">
        <v>429</v>
      </c>
      <c r="L117" s="74" t="s">
        <v>422</v>
      </c>
      <c r="M117" s="57" t="s">
        <v>1236</v>
      </c>
      <c r="N117" s="57" t="s">
        <v>1213</v>
      </c>
    </row>
    <row r="118" customFormat="false" ht="27.75" hidden="false" customHeight="true" outlineLevel="0" collapsed="false">
      <c r="A118" s="57" t="s">
        <v>287</v>
      </c>
      <c r="B118" s="57" t="s">
        <v>289</v>
      </c>
      <c r="C118" s="58" t="n">
        <v>46322</v>
      </c>
      <c r="D118" s="57" t="s">
        <v>1529</v>
      </c>
      <c r="E118" s="57" t="s">
        <v>199</v>
      </c>
      <c r="F118" s="57" t="s">
        <v>200</v>
      </c>
      <c r="G118" s="57" t="s">
        <v>477</v>
      </c>
      <c r="H118" s="57" t="s">
        <v>1506</v>
      </c>
      <c r="I118" s="57" t="s">
        <v>497</v>
      </c>
      <c r="J118" s="57"/>
      <c r="K118" s="57" t="s">
        <v>429</v>
      </c>
      <c r="L118" s="57" t="s">
        <v>361</v>
      </c>
      <c r="M118" s="57" t="s">
        <v>527</v>
      </c>
      <c r="N118" s="57" t="s">
        <v>1215</v>
      </c>
    </row>
    <row r="119" customFormat="false" ht="27.75" hidden="false" customHeight="true" outlineLevel="0" collapsed="false">
      <c r="A119" s="57" t="s">
        <v>287</v>
      </c>
      <c r="B119" s="57" t="s">
        <v>289</v>
      </c>
      <c r="C119" s="58" t="n">
        <v>46322</v>
      </c>
      <c r="D119" s="57" t="s">
        <v>1529</v>
      </c>
      <c r="E119" s="57" t="s">
        <v>199</v>
      </c>
      <c r="F119" s="57" t="s">
        <v>200</v>
      </c>
      <c r="G119" s="57" t="s">
        <v>477</v>
      </c>
      <c r="H119" s="57" t="s">
        <v>1507</v>
      </c>
      <c r="I119" s="57" t="s">
        <v>479</v>
      </c>
      <c r="J119" s="57"/>
      <c r="K119" s="57" t="s">
        <v>429</v>
      </c>
      <c r="L119" s="57" t="s">
        <v>361</v>
      </c>
      <c r="M119" s="57"/>
      <c r="N119" s="57" t="s">
        <v>1218</v>
      </c>
    </row>
    <row r="120" customFormat="false" ht="27.75" hidden="false" customHeight="true" outlineLevel="0" collapsed="false">
      <c r="A120" s="57" t="s">
        <v>287</v>
      </c>
      <c r="B120" s="57" t="s">
        <v>289</v>
      </c>
      <c r="C120" s="58" t="n">
        <v>46322</v>
      </c>
      <c r="D120" s="57" t="s">
        <v>1529</v>
      </c>
      <c r="E120" s="57" t="s">
        <v>199</v>
      </c>
      <c r="F120" s="57" t="s">
        <v>200</v>
      </c>
      <c r="G120" s="57" t="s">
        <v>425</v>
      </c>
      <c r="H120" s="57" t="s">
        <v>1508</v>
      </c>
      <c r="I120" s="57" t="s">
        <v>427</v>
      </c>
      <c r="J120" s="57"/>
      <c r="K120" s="57" t="s">
        <v>429</v>
      </c>
      <c r="L120" s="57" t="s">
        <v>361</v>
      </c>
      <c r="M120" s="57"/>
      <c r="N120" s="57" t="s">
        <v>1220</v>
      </c>
    </row>
    <row r="121" customFormat="false" ht="27.75" hidden="false" customHeight="true" outlineLevel="0" collapsed="false">
      <c r="A121" s="57" t="s">
        <v>287</v>
      </c>
      <c r="B121" s="57" t="s">
        <v>289</v>
      </c>
      <c r="C121" s="58" t="n">
        <v>46322</v>
      </c>
      <c r="D121" s="57" t="s">
        <v>1529</v>
      </c>
      <c r="E121" s="57" t="s">
        <v>199</v>
      </c>
      <c r="F121" s="57" t="s">
        <v>200</v>
      </c>
      <c r="G121" s="57" t="s">
        <v>425</v>
      </c>
      <c r="H121" s="57" t="s">
        <v>1509</v>
      </c>
      <c r="I121" s="57" t="s">
        <v>427</v>
      </c>
      <c r="J121" s="57"/>
      <c r="K121" s="57" t="s">
        <v>429</v>
      </c>
      <c r="L121" s="57" t="s">
        <v>361</v>
      </c>
      <c r="M121" s="57"/>
      <c r="N121" s="57" t="s">
        <v>1222</v>
      </c>
    </row>
    <row r="122" customFormat="false" ht="52.5" hidden="false" customHeight="true" outlineLevel="0" collapsed="false">
      <c r="A122" s="57" t="s">
        <v>287</v>
      </c>
      <c r="B122" s="57" t="s">
        <v>289</v>
      </c>
      <c r="C122" s="58" t="n">
        <v>46322</v>
      </c>
      <c r="D122" s="57" t="s">
        <v>1529</v>
      </c>
      <c r="E122" s="57" t="s">
        <v>199</v>
      </c>
      <c r="F122" s="57" t="s">
        <v>200</v>
      </c>
      <c r="G122" s="57" t="s">
        <v>612</v>
      </c>
      <c r="H122" s="57" t="s">
        <v>1528</v>
      </c>
      <c r="I122" s="57" t="s">
        <v>1165</v>
      </c>
      <c r="J122" s="57"/>
      <c r="K122" s="57" t="s">
        <v>429</v>
      </c>
      <c r="L122" s="74" t="s">
        <v>422</v>
      </c>
      <c r="M122" s="57" t="s">
        <v>1243</v>
      </c>
      <c r="N122" s="57" t="s">
        <v>1166</v>
      </c>
    </row>
    <row r="123" customFormat="false" ht="27.75" hidden="false" customHeight="true" outlineLevel="0" collapsed="false">
      <c r="A123" s="57" t="s">
        <v>290</v>
      </c>
      <c r="B123" s="57" t="s">
        <v>291</v>
      </c>
      <c r="C123" s="58" t="n">
        <v>46322</v>
      </c>
      <c r="D123" s="57" t="s">
        <v>1531</v>
      </c>
      <c r="E123" s="57" t="s">
        <v>199</v>
      </c>
      <c r="F123" s="57" t="s">
        <v>212</v>
      </c>
      <c r="G123" s="57" t="s">
        <v>418</v>
      </c>
      <c r="H123" s="57" t="s">
        <v>1512</v>
      </c>
      <c r="I123" s="57" t="s">
        <v>479</v>
      </c>
      <c r="J123" s="57"/>
      <c r="K123" s="57" t="s">
        <v>184</v>
      </c>
      <c r="L123" s="57" t="s">
        <v>361</v>
      </c>
      <c r="M123" s="57"/>
      <c r="N123" s="57" t="s">
        <v>1264</v>
      </c>
    </row>
    <row r="124" customFormat="false" ht="27.75" hidden="false" customHeight="true" outlineLevel="0" collapsed="false">
      <c r="A124" s="57" t="s">
        <v>290</v>
      </c>
      <c r="B124" s="57" t="s">
        <v>291</v>
      </c>
      <c r="C124" s="58" t="n">
        <v>46322</v>
      </c>
      <c r="D124" s="57" t="s">
        <v>1531</v>
      </c>
      <c r="E124" s="57" t="s">
        <v>199</v>
      </c>
      <c r="F124" s="57" t="s">
        <v>212</v>
      </c>
      <c r="G124" s="57" t="s">
        <v>477</v>
      </c>
      <c r="H124" s="57" t="s">
        <v>1501</v>
      </c>
      <c r="I124" s="57" t="s">
        <v>479</v>
      </c>
      <c r="J124" s="57"/>
      <c r="K124" s="57" t="s">
        <v>429</v>
      </c>
      <c r="L124" s="57" t="s">
        <v>361</v>
      </c>
      <c r="M124" s="57"/>
      <c r="N124" s="57" t="s">
        <v>1266</v>
      </c>
    </row>
    <row r="125" customFormat="false" ht="27.75" hidden="false" customHeight="true" outlineLevel="0" collapsed="false">
      <c r="A125" s="57" t="s">
        <v>290</v>
      </c>
      <c r="B125" s="57" t="s">
        <v>291</v>
      </c>
      <c r="C125" s="58" t="n">
        <v>46322</v>
      </c>
      <c r="D125" s="57" t="s">
        <v>1531</v>
      </c>
      <c r="E125" s="57" t="s">
        <v>199</v>
      </c>
      <c r="F125" s="57" t="s">
        <v>212</v>
      </c>
      <c r="G125" s="57" t="s">
        <v>477</v>
      </c>
      <c r="H125" s="57" t="s">
        <v>1502</v>
      </c>
      <c r="I125" s="57" t="s">
        <v>479</v>
      </c>
      <c r="J125" s="57"/>
      <c r="K125" s="57" t="s">
        <v>429</v>
      </c>
      <c r="L125" s="57" t="s">
        <v>361</v>
      </c>
      <c r="M125" s="57"/>
      <c r="N125" s="57" t="s">
        <v>1268</v>
      </c>
    </row>
    <row r="126" customFormat="false" ht="27.75" hidden="false" customHeight="true" outlineLevel="0" collapsed="false">
      <c r="A126" s="57" t="s">
        <v>290</v>
      </c>
      <c r="B126" s="57" t="s">
        <v>291</v>
      </c>
      <c r="C126" s="58" t="n">
        <v>46322</v>
      </c>
      <c r="D126" s="57" t="s">
        <v>1531</v>
      </c>
      <c r="E126" s="57" t="s">
        <v>199</v>
      </c>
      <c r="F126" s="57" t="s">
        <v>212</v>
      </c>
      <c r="G126" s="57" t="s">
        <v>477</v>
      </c>
      <c r="H126" s="57" t="s">
        <v>1503</v>
      </c>
      <c r="I126" s="57" t="s">
        <v>479</v>
      </c>
      <c r="J126" s="57"/>
      <c r="K126" s="57" t="s">
        <v>429</v>
      </c>
      <c r="L126" s="57" t="s">
        <v>361</v>
      </c>
      <c r="M126" s="57"/>
      <c r="N126" s="57" t="s">
        <v>1270</v>
      </c>
    </row>
    <row r="127" customFormat="false" ht="27.75" hidden="false" customHeight="true" outlineLevel="0" collapsed="false">
      <c r="A127" s="57" t="s">
        <v>290</v>
      </c>
      <c r="B127" s="57" t="s">
        <v>291</v>
      </c>
      <c r="C127" s="58" t="n">
        <v>46322</v>
      </c>
      <c r="D127" s="57" t="s">
        <v>1531</v>
      </c>
      <c r="E127" s="57" t="s">
        <v>199</v>
      </c>
      <c r="F127" s="57" t="s">
        <v>212</v>
      </c>
      <c r="G127" s="57" t="s">
        <v>477</v>
      </c>
      <c r="H127" s="57" t="s">
        <v>1504</v>
      </c>
      <c r="I127" s="57" t="s">
        <v>479</v>
      </c>
      <c r="J127" s="57"/>
      <c r="K127" s="57" t="s">
        <v>429</v>
      </c>
      <c r="L127" s="57" t="s">
        <v>361</v>
      </c>
      <c r="M127" s="57"/>
      <c r="N127" s="57" t="s">
        <v>1272</v>
      </c>
    </row>
    <row r="128" customFormat="false" ht="27.75" hidden="false" customHeight="true" outlineLevel="0" collapsed="false">
      <c r="A128" s="57" t="s">
        <v>290</v>
      </c>
      <c r="B128" s="57" t="s">
        <v>291</v>
      </c>
      <c r="C128" s="58" t="n">
        <v>46322</v>
      </c>
      <c r="D128" s="57" t="s">
        <v>1531</v>
      </c>
      <c r="E128" s="57" t="s">
        <v>199</v>
      </c>
      <c r="F128" s="57" t="s">
        <v>212</v>
      </c>
      <c r="G128" s="57" t="s">
        <v>477</v>
      </c>
      <c r="H128" s="57" t="s">
        <v>1505</v>
      </c>
      <c r="I128" s="57" t="s">
        <v>479</v>
      </c>
      <c r="J128" s="57"/>
      <c r="K128" s="57" t="s">
        <v>429</v>
      </c>
      <c r="L128" s="57" t="s">
        <v>361</v>
      </c>
      <c r="M128" s="57"/>
      <c r="N128" s="57" t="s">
        <v>1274</v>
      </c>
    </row>
    <row r="129" customFormat="false" ht="27.75" hidden="false" customHeight="true" outlineLevel="0" collapsed="false">
      <c r="A129" s="57" t="s">
        <v>290</v>
      </c>
      <c r="B129" s="57" t="s">
        <v>291</v>
      </c>
      <c r="C129" s="58" t="n">
        <v>46322</v>
      </c>
      <c r="D129" s="57" t="s">
        <v>1531</v>
      </c>
      <c r="E129" s="57" t="s">
        <v>199</v>
      </c>
      <c r="F129" s="57" t="s">
        <v>212</v>
      </c>
      <c r="G129" s="57" t="s">
        <v>477</v>
      </c>
      <c r="H129" s="57" t="s">
        <v>1506</v>
      </c>
      <c r="I129" s="57" t="s">
        <v>594</v>
      </c>
      <c r="J129" s="57"/>
      <c r="K129" s="57" t="s">
        <v>429</v>
      </c>
      <c r="L129" s="57" t="s">
        <v>361</v>
      </c>
      <c r="M129" s="57" t="s">
        <v>527</v>
      </c>
      <c r="N129" s="57" t="s">
        <v>1276</v>
      </c>
    </row>
    <row r="130" customFormat="false" ht="27.75" hidden="false" customHeight="true" outlineLevel="0" collapsed="false">
      <c r="A130" s="57" t="s">
        <v>290</v>
      </c>
      <c r="B130" s="57" t="s">
        <v>291</v>
      </c>
      <c r="C130" s="58" t="n">
        <v>46322</v>
      </c>
      <c r="D130" s="57" t="s">
        <v>1531</v>
      </c>
      <c r="E130" s="57" t="s">
        <v>199</v>
      </c>
      <c r="F130" s="57" t="s">
        <v>212</v>
      </c>
      <c r="G130" s="57" t="s">
        <v>477</v>
      </c>
      <c r="H130" s="57" t="s">
        <v>1507</v>
      </c>
      <c r="I130" s="57" t="s">
        <v>479</v>
      </c>
      <c r="J130" s="57"/>
      <c r="K130" s="57" t="s">
        <v>429</v>
      </c>
      <c r="L130" s="57" t="s">
        <v>361</v>
      </c>
      <c r="M130" s="57"/>
      <c r="N130" s="57" t="s">
        <v>1278</v>
      </c>
    </row>
    <row r="131" customFormat="false" ht="27.75" hidden="false" customHeight="true" outlineLevel="0" collapsed="false">
      <c r="A131" s="57" t="s">
        <v>290</v>
      </c>
      <c r="B131" s="57" t="s">
        <v>291</v>
      </c>
      <c r="C131" s="58" t="n">
        <v>46322</v>
      </c>
      <c r="D131" s="57" t="s">
        <v>1531</v>
      </c>
      <c r="E131" s="57" t="s">
        <v>199</v>
      </c>
      <c r="F131" s="57" t="s">
        <v>212</v>
      </c>
      <c r="G131" s="57" t="s">
        <v>425</v>
      </c>
      <c r="H131" s="57" t="s">
        <v>1508</v>
      </c>
      <c r="I131" s="57" t="s">
        <v>427</v>
      </c>
      <c r="J131" s="57"/>
      <c r="K131" s="57" t="s">
        <v>429</v>
      </c>
      <c r="L131" s="57" t="s">
        <v>361</v>
      </c>
      <c r="M131" s="57"/>
      <c r="N131" s="57" t="s">
        <v>1280</v>
      </c>
    </row>
    <row r="132" customFormat="false" ht="27.75" hidden="false" customHeight="true" outlineLevel="0" collapsed="false">
      <c r="A132" s="57" t="s">
        <v>290</v>
      </c>
      <c r="B132" s="57" t="s">
        <v>291</v>
      </c>
      <c r="C132" s="58" t="n">
        <v>46322</v>
      </c>
      <c r="D132" s="57" t="s">
        <v>1531</v>
      </c>
      <c r="E132" s="57" t="s">
        <v>199</v>
      </c>
      <c r="F132" s="57" t="s">
        <v>212</v>
      </c>
      <c r="G132" s="57" t="s">
        <v>425</v>
      </c>
      <c r="H132" s="57" t="s">
        <v>1513</v>
      </c>
      <c r="I132" s="57" t="s">
        <v>427</v>
      </c>
      <c r="J132" s="57"/>
      <c r="K132" s="57" t="s">
        <v>429</v>
      </c>
      <c r="L132" s="57" t="s">
        <v>361</v>
      </c>
      <c r="M132" s="57"/>
      <c r="N132" s="57" t="s">
        <v>1282</v>
      </c>
    </row>
    <row r="133" customFormat="false" ht="27.75" hidden="false" customHeight="true" outlineLevel="0" collapsed="false">
      <c r="A133" s="57" t="s">
        <v>290</v>
      </c>
      <c r="B133" s="57" t="s">
        <v>291</v>
      </c>
      <c r="C133" s="58" t="n">
        <v>46322</v>
      </c>
      <c r="D133" s="57" t="s">
        <v>1531</v>
      </c>
      <c r="E133" s="57" t="s">
        <v>199</v>
      </c>
      <c r="F133" s="57" t="s">
        <v>212</v>
      </c>
      <c r="G133" s="57" t="s">
        <v>425</v>
      </c>
      <c r="H133" s="57" t="s">
        <v>1514</v>
      </c>
      <c r="I133" s="57" t="s">
        <v>427</v>
      </c>
      <c r="J133" s="57"/>
      <c r="K133" s="57" t="s">
        <v>429</v>
      </c>
      <c r="L133" s="57" t="s">
        <v>361</v>
      </c>
      <c r="M133" s="57"/>
      <c r="N133" s="57" t="s">
        <v>1284</v>
      </c>
    </row>
    <row r="134" customFormat="false" ht="27.75" hidden="false" customHeight="true" outlineLevel="0" collapsed="false">
      <c r="A134" s="57" t="s">
        <v>290</v>
      </c>
      <c r="B134" s="57" t="s">
        <v>291</v>
      </c>
      <c r="C134" s="58" t="n">
        <v>46322</v>
      </c>
      <c r="D134" s="57" t="s">
        <v>1531</v>
      </c>
      <c r="E134" s="57" t="s">
        <v>199</v>
      </c>
      <c r="F134" s="57" t="s">
        <v>212</v>
      </c>
      <c r="G134" s="57" t="s">
        <v>607</v>
      </c>
      <c r="H134" s="57" t="s">
        <v>1515</v>
      </c>
      <c r="I134" s="57" t="s">
        <v>479</v>
      </c>
      <c r="J134" s="57"/>
      <c r="K134" s="57" t="s">
        <v>184</v>
      </c>
      <c r="L134" s="57" t="s">
        <v>361</v>
      </c>
      <c r="M134" s="57" t="s">
        <v>610</v>
      </c>
      <c r="N134" s="57" t="s">
        <v>1286</v>
      </c>
    </row>
    <row r="135" customFormat="false" ht="27.75" hidden="false" customHeight="true" outlineLevel="0" collapsed="false">
      <c r="A135" s="57" t="s">
        <v>290</v>
      </c>
      <c r="B135" s="57" t="s">
        <v>291</v>
      </c>
      <c r="C135" s="58" t="n">
        <v>46322</v>
      </c>
      <c r="D135" s="57" t="s">
        <v>1531</v>
      </c>
      <c r="E135" s="57" t="s">
        <v>199</v>
      </c>
      <c r="F135" s="57" t="s">
        <v>212</v>
      </c>
      <c r="G135" s="57" t="s">
        <v>612</v>
      </c>
      <c r="H135" s="57" t="s">
        <v>1516</v>
      </c>
      <c r="I135" s="57" t="s">
        <v>1288</v>
      </c>
      <c r="J135" s="57"/>
      <c r="K135" s="57" t="s">
        <v>429</v>
      </c>
      <c r="L135" s="57" t="s">
        <v>361</v>
      </c>
      <c r="M135" s="57" t="s">
        <v>1306</v>
      </c>
      <c r="N135" s="57" t="s">
        <v>1289</v>
      </c>
    </row>
    <row r="136" customFormat="false" ht="27.75" hidden="false" customHeight="true" outlineLevel="0" collapsed="false">
      <c r="A136" s="57" t="s">
        <v>298</v>
      </c>
      <c r="B136" s="57" t="s">
        <v>299</v>
      </c>
      <c r="C136" s="58" t="n">
        <v>46324</v>
      </c>
      <c r="D136" s="57" t="s">
        <v>1532</v>
      </c>
      <c r="E136" s="57" t="s">
        <v>185</v>
      </c>
      <c r="F136" s="57" t="s">
        <v>212</v>
      </c>
      <c r="G136" s="57" t="s">
        <v>425</v>
      </c>
      <c r="H136" s="57" t="s">
        <v>1496</v>
      </c>
      <c r="I136" s="57" t="s">
        <v>427</v>
      </c>
      <c r="J136" s="57"/>
      <c r="K136" s="57" t="s">
        <v>429</v>
      </c>
      <c r="L136" s="57" t="s">
        <v>361</v>
      </c>
      <c r="M136" s="57"/>
      <c r="N136" s="57" t="s">
        <v>1326</v>
      </c>
    </row>
    <row r="137" customFormat="false" ht="40.5" hidden="false" customHeight="true" outlineLevel="0" collapsed="false">
      <c r="A137" s="57" t="s">
        <v>298</v>
      </c>
      <c r="B137" s="57" t="s">
        <v>299</v>
      </c>
      <c r="C137" s="58" t="n">
        <v>46324</v>
      </c>
      <c r="D137" s="57" t="s">
        <v>1532</v>
      </c>
      <c r="E137" s="57" t="s">
        <v>185</v>
      </c>
      <c r="F137" s="57" t="s">
        <v>212</v>
      </c>
      <c r="G137" s="57" t="s">
        <v>425</v>
      </c>
      <c r="H137" s="57" t="s">
        <v>1497</v>
      </c>
      <c r="I137" s="57" t="s">
        <v>427</v>
      </c>
      <c r="J137" s="57" t="s">
        <v>1526</v>
      </c>
      <c r="K137" s="57" t="s">
        <v>429</v>
      </c>
      <c r="L137" s="57" t="s">
        <v>361</v>
      </c>
      <c r="M137" s="57" t="s">
        <v>1337</v>
      </c>
      <c r="N137" s="57" t="s">
        <v>1329</v>
      </c>
    </row>
    <row r="138" customFormat="false" ht="52.5" hidden="false" customHeight="true" outlineLevel="0" collapsed="false">
      <c r="A138" s="57" t="s">
        <v>298</v>
      </c>
      <c r="B138" s="57" t="s">
        <v>299</v>
      </c>
      <c r="C138" s="58" t="n">
        <v>46324</v>
      </c>
      <c r="D138" s="57" t="s">
        <v>1532</v>
      </c>
      <c r="E138" s="57" t="s">
        <v>185</v>
      </c>
      <c r="F138" s="57" t="s">
        <v>212</v>
      </c>
      <c r="G138" s="57" t="s">
        <v>612</v>
      </c>
      <c r="H138" s="57" t="s">
        <v>1516</v>
      </c>
      <c r="I138" s="57" t="s">
        <v>1288</v>
      </c>
      <c r="J138" s="57"/>
      <c r="K138" s="57" t="s">
        <v>429</v>
      </c>
      <c r="L138" s="74" t="s">
        <v>422</v>
      </c>
      <c r="M138" s="57" t="s">
        <v>1339</v>
      </c>
      <c r="N138" s="57" t="s">
        <v>1289</v>
      </c>
    </row>
    <row r="139" customFormat="false" ht="27.75" hidden="false" customHeight="true" outlineLevel="0" collapsed="false">
      <c r="A139" s="57" t="s">
        <v>301</v>
      </c>
      <c r="B139" s="57" t="s">
        <v>302</v>
      </c>
      <c r="C139" s="58" t="n">
        <v>46324</v>
      </c>
      <c r="D139" s="57" t="s">
        <v>1533</v>
      </c>
      <c r="E139" s="57" t="s">
        <v>185</v>
      </c>
      <c r="F139" s="57" t="s">
        <v>200</v>
      </c>
      <c r="G139" s="57" t="s">
        <v>425</v>
      </c>
      <c r="H139" s="57" t="s">
        <v>1496</v>
      </c>
      <c r="I139" s="57" t="s">
        <v>427</v>
      </c>
      <c r="J139" s="57"/>
      <c r="K139" s="57" t="s">
        <v>429</v>
      </c>
      <c r="L139" s="57" t="s">
        <v>361</v>
      </c>
      <c r="M139" s="57"/>
      <c r="N139" s="57" t="s">
        <v>1359</v>
      </c>
    </row>
    <row r="140" customFormat="false" ht="27.75" hidden="false" customHeight="true" outlineLevel="0" collapsed="false">
      <c r="A140" s="57" t="s">
        <v>307</v>
      </c>
      <c r="B140" s="57" t="s">
        <v>308</v>
      </c>
      <c r="C140" s="58" t="n">
        <v>46325</v>
      </c>
      <c r="D140" s="57" t="s">
        <v>1534</v>
      </c>
      <c r="E140" s="57" t="s">
        <v>199</v>
      </c>
      <c r="F140" s="57" t="s">
        <v>200</v>
      </c>
      <c r="G140" s="57" t="s">
        <v>418</v>
      </c>
      <c r="H140" s="57" t="s">
        <v>1500</v>
      </c>
      <c r="I140" s="57" t="s">
        <v>473</v>
      </c>
      <c r="J140" s="57"/>
      <c r="K140" s="57" t="s">
        <v>429</v>
      </c>
      <c r="L140" s="57" t="s">
        <v>361</v>
      </c>
      <c r="M140" s="57" t="s">
        <v>513</v>
      </c>
      <c r="N140" s="57" t="s">
        <v>1384</v>
      </c>
    </row>
    <row r="141" customFormat="false" ht="27.75" hidden="false" customHeight="true" outlineLevel="0" collapsed="false">
      <c r="A141" s="57" t="s">
        <v>307</v>
      </c>
      <c r="B141" s="57" t="s">
        <v>308</v>
      </c>
      <c r="C141" s="58" t="n">
        <v>46325</v>
      </c>
      <c r="D141" s="57" t="s">
        <v>1534</v>
      </c>
      <c r="E141" s="57" t="s">
        <v>199</v>
      </c>
      <c r="F141" s="57" t="s">
        <v>200</v>
      </c>
      <c r="G141" s="57" t="s">
        <v>477</v>
      </c>
      <c r="H141" s="57" t="s">
        <v>1501</v>
      </c>
      <c r="I141" s="57" t="s">
        <v>479</v>
      </c>
      <c r="J141" s="57"/>
      <c r="K141" s="57" t="s">
        <v>429</v>
      </c>
      <c r="L141" s="57" t="s">
        <v>361</v>
      </c>
      <c r="M141" s="57"/>
      <c r="N141" s="57" t="s">
        <v>1387</v>
      </c>
    </row>
    <row r="142" customFormat="false" ht="27.75" hidden="false" customHeight="true" outlineLevel="0" collapsed="false">
      <c r="A142" s="57" t="s">
        <v>307</v>
      </c>
      <c r="B142" s="57" t="s">
        <v>308</v>
      </c>
      <c r="C142" s="58" t="n">
        <v>46325</v>
      </c>
      <c r="D142" s="57" t="s">
        <v>1534</v>
      </c>
      <c r="E142" s="57" t="s">
        <v>199</v>
      </c>
      <c r="F142" s="57" t="s">
        <v>200</v>
      </c>
      <c r="G142" s="57" t="s">
        <v>477</v>
      </c>
      <c r="H142" s="57" t="s">
        <v>1502</v>
      </c>
      <c r="I142" s="57" t="s">
        <v>479</v>
      </c>
      <c r="J142" s="57"/>
      <c r="K142" s="57" t="s">
        <v>429</v>
      </c>
      <c r="L142" s="57" t="s">
        <v>361</v>
      </c>
      <c r="M142" s="57"/>
      <c r="N142" s="57" t="s">
        <v>1389</v>
      </c>
    </row>
    <row r="143" customFormat="false" ht="27.75" hidden="false" customHeight="true" outlineLevel="0" collapsed="false">
      <c r="A143" s="57" t="s">
        <v>307</v>
      </c>
      <c r="B143" s="57" t="s">
        <v>308</v>
      </c>
      <c r="C143" s="58" t="n">
        <v>46325</v>
      </c>
      <c r="D143" s="57" t="s">
        <v>1534</v>
      </c>
      <c r="E143" s="57" t="s">
        <v>199</v>
      </c>
      <c r="F143" s="57" t="s">
        <v>200</v>
      </c>
      <c r="G143" s="57" t="s">
        <v>477</v>
      </c>
      <c r="H143" s="57" t="s">
        <v>1503</v>
      </c>
      <c r="I143" s="57" t="s">
        <v>479</v>
      </c>
      <c r="J143" s="57"/>
      <c r="K143" s="57" t="s">
        <v>429</v>
      </c>
      <c r="L143" s="57" t="s">
        <v>361</v>
      </c>
      <c r="M143" s="57"/>
      <c r="N143" s="57" t="s">
        <v>1391</v>
      </c>
    </row>
    <row r="144" customFormat="false" ht="27.75" hidden="false" customHeight="true" outlineLevel="0" collapsed="false">
      <c r="A144" s="57" t="s">
        <v>307</v>
      </c>
      <c r="B144" s="57" t="s">
        <v>308</v>
      </c>
      <c r="C144" s="58" t="n">
        <v>46325</v>
      </c>
      <c r="D144" s="57" t="s">
        <v>1534</v>
      </c>
      <c r="E144" s="57" t="s">
        <v>199</v>
      </c>
      <c r="F144" s="57" t="s">
        <v>200</v>
      </c>
      <c r="G144" s="57" t="s">
        <v>477</v>
      </c>
      <c r="H144" s="57" t="s">
        <v>1506</v>
      </c>
      <c r="I144" s="57" t="s">
        <v>497</v>
      </c>
      <c r="J144" s="57"/>
      <c r="K144" s="57" t="s">
        <v>429</v>
      </c>
      <c r="L144" s="57" t="s">
        <v>361</v>
      </c>
      <c r="M144" s="57" t="s">
        <v>527</v>
      </c>
      <c r="N144" s="57" t="s">
        <v>1393</v>
      </c>
    </row>
    <row r="145" customFormat="false" ht="27.75" hidden="false" customHeight="true" outlineLevel="0" collapsed="false">
      <c r="A145" s="57" t="s">
        <v>307</v>
      </c>
      <c r="B145" s="57" t="s">
        <v>308</v>
      </c>
      <c r="C145" s="58" t="n">
        <v>46325</v>
      </c>
      <c r="D145" s="57" t="s">
        <v>1534</v>
      </c>
      <c r="E145" s="57" t="s">
        <v>199</v>
      </c>
      <c r="F145" s="57" t="s">
        <v>200</v>
      </c>
      <c r="G145" s="57" t="s">
        <v>477</v>
      </c>
      <c r="H145" s="57" t="s">
        <v>1507</v>
      </c>
      <c r="I145" s="57" t="s">
        <v>479</v>
      </c>
      <c r="J145" s="57"/>
      <c r="K145" s="57" t="s">
        <v>429</v>
      </c>
      <c r="L145" s="57" t="s">
        <v>361</v>
      </c>
      <c r="M145" s="57"/>
      <c r="N145" s="57" t="s">
        <v>1396</v>
      </c>
    </row>
    <row r="146" customFormat="false" ht="27.75" hidden="false" customHeight="true" outlineLevel="0" collapsed="false">
      <c r="A146" s="57" t="s">
        <v>307</v>
      </c>
      <c r="B146" s="57" t="s">
        <v>308</v>
      </c>
      <c r="C146" s="58" t="n">
        <v>46325</v>
      </c>
      <c r="D146" s="57" t="s">
        <v>1534</v>
      </c>
      <c r="E146" s="57" t="s">
        <v>199</v>
      </c>
      <c r="F146" s="57" t="s">
        <v>200</v>
      </c>
      <c r="G146" s="57" t="s">
        <v>425</v>
      </c>
      <c r="H146" s="57" t="s">
        <v>1508</v>
      </c>
      <c r="I146" s="57" t="s">
        <v>427</v>
      </c>
      <c r="J146" s="57"/>
      <c r="K146" s="57" t="s">
        <v>429</v>
      </c>
      <c r="L146" s="57" t="s">
        <v>361</v>
      </c>
      <c r="M146" s="57"/>
      <c r="N146" s="57" t="s">
        <v>1398</v>
      </c>
    </row>
    <row r="147" customFormat="false" ht="27.75" hidden="false" customHeight="true" outlineLevel="0" collapsed="false">
      <c r="A147" s="57" t="s">
        <v>307</v>
      </c>
      <c r="B147" s="57" t="s">
        <v>308</v>
      </c>
      <c r="C147" s="58" t="n">
        <v>46325</v>
      </c>
      <c r="D147" s="57" t="s">
        <v>1534</v>
      </c>
      <c r="E147" s="57" t="s">
        <v>199</v>
      </c>
      <c r="F147" s="57" t="s">
        <v>200</v>
      </c>
      <c r="G147" s="57" t="s">
        <v>425</v>
      </c>
      <c r="H147" s="57" t="s">
        <v>1509</v>
      </c>
      <c r="I147" s="57" t="s">
        <v>427</v>
      </c>
      <c r="J147" s="57"/>
      <c r="K147" s="57" t="s">
        <v>429</v>
      </c>
      <c r="L147" s="57" t="s">
        <v>361</v>
      </c>
      <c r="M147" s="57"/>
      <c r="N147" s="57" t="s">
        <v>1400</v>
      </c>
    </row>
    <row r="148" customFormat="false" ht="78" hidden="false" customHeight="true" outlineLevel="0" collapsed="false">
      <c r="A148" s="57" t="s">
        <v>309</v>
      </c>
      <c r="B148" s="57" t="s">
        <v>229</v>
      </c>
      <c r="C148" s="58" t="n">
        <v>46325</v>
      </c>
      <c r="D148" s="57" t="s">
        <v>1518</v>
      </c>
      <c r="E148" s="57" t="s">
        <v>199</v>
      </c>
      <c r="F148" s="57" t="s">
        <v>186</v>
      </c>
      <c r="G148" s="57" t="s">
        <v>418</v>
      </c>
      <c r="H148" s="57" t="s">
        <v>1495</v>
      </c>
      <c r="I148" s="57" t="s">
        <v>479</v>
      </c>
      <c r="J148" s="57"/>
      <c r="K148" s="57" t="s">
        <v>704</v>
      </c>
      <c r="L148" s="74" t="s">
        <v>422</v>
      </c>
      <c r="M148" s="57" t="s">
        <v>705</v>
      </c>
      <c r="N148" s="57" t="s">
        <v>421</v>
      </c>
    </row>
    <row r="149" customFormat="false" ht="27.75" hidden="false" customHeight="true" outlineLevel="0" collapsed="false">
      <c r="A149" s="57" t="s">
        <v>309</v>
      </c>
      <c r="B149" s="57" t="s">
        <v>229</v>
      </c>
      <c r="C149" s="58" t="n">
        <v>46325</v>
      </c>
      <c r="D149" s="57" t="s">
        <v>1518</v>
      </c>
      <c r="E149" s="57" t="s">
        <v>199</v>
      </c>
      <c r="F149" s="57" t="s">
        <v>186</v>
      </c>
      <c r="G149" s="57" t="s">
        <v>418</v>
      </c>
      <c r="H149" s="57" t="s">
        <v>1519</v>
      </c>
      <c r="I149" s="57" t="s">
        <v>708</v>
      </c>
      <c r="J149" s="57"/>
      <c r="K149" s="57" t="s">
        <v>184</v>
      </c>
      <c r="L149" s="57" t="s">
        <v>361</v>
      </c>
      <c r="M149" s="57" t="s">
        <v>710</v>
      </c>
      <c r="N149" s="57" t="s">
        <v>709</v>
      </c>
    </row>
    <row r="150" customFormat="false" ht="27.75" hidden="false" customHeight="true" outlineLevel="0" collapsed="false">
      <c r="A150" s="57" t="s">
        <v>309</v>
      </c>
      <c r="B150" s="57" t="s">
        <v>229</v>
      </c>
      <c r="C150" s="58" t="n">
        <v>46325</v>
      </c>
      <c r="D150" s="57" t="s">
        <v>1518</v>
      </c>
      <c r="E150" s="57" t="s">
        <v>199</v>
      </c>
      <c r="F150" s="57" t="s">
        <v>186</v>
      </c>
      <c r="G150" s="57" t="s">
        <v>418</v>
      </c>
      <c r="H150" s="57" t="s">
        <v>1512</v>
      </c>
      <c r="I150" s="57" t="s">
        <v>479</v>
      </c>
      <c r="J150" s="57"/>
      <c r="K150" s="57" t="s">
        <v>184</v>
      </c>
      <c r="L150" s="57" t="s">
        <v>361</v>
      </c>
      <c r="M150" s="57"/>
      <c r="N150" s="57" t="s">
        <v>712</v>
      </c>
    </row>
    <row r="151" customFormat="false" ht="27.75" hidden="false" customHeight="true" outlineLevel="0" collapsed="false">
      <c r="A151" s="57" t="s">
        <v>309</v>
      </c>
      <c r="B151" s="57" t="s">
        <v>229</v>
      </c>
      <c r="C151" s="58" t="n">
        <v>46325</v>
      </c>
      <c r="D151" s="57" t="s">
        <v>1518</v>
      </c>
      <c r="E151" s="57" t="s">
        <v>199</v>
      </c>
      <c r="F151" s="57" t="s">
        <v>186</v>
      </c>
      <c r="G151" s="57" t="s">
        <v>477</v>
      </c>
      <c r="H151" s="57" t="s">
        <v>1501</v>
      </c>
      <c r="I151" s="57" t="s">
        <v>479</v>
      </c>
      <c r="J151" s="57"/>
      <c r="K151" s="57" t="s">
        <v>429</v>
      </c>
      <c r="L151" s="57" t="s">
        <v>361</v>
      </c>
      <c r="M151" s="57"/>
      <c r="N151" s="57" t="s">
        <v>714</v>
      </c>
    </row>
    <row r="152" customFormat="false" ht="27.75" hidden="false" customHeight="true" outlineLevel="0" collapsed="false">
      <c r="A152" s="57" t="s">
        <v>309</v>
      </c>
      <c r="B152" s="57" t="s">
        <v>229</v>
      </c>
      <c r="C152" s="58" t="n">
        <v>46325</v>
      </c>
      <c r="D152" s="57" t="s">
        <v>1518</v>
      </c>
      <c r="E152" s="57" t="s">
        <v>199</v>
      </c>
      <c r="F152" s="57" t="s">
        <v>186</v>
      </c>
      <c r="G152" s="57" t="s">
        <v>477</v>
      </c>
      <c r="H152" s="57" t="s">
        <v>1502</v>
      </c>
      <c r="I152" s="57" t="s">
        <v>479</v>
      </c>
      <c r="J152" s="57"/>
      <c r="K152" s="57" t="s">
        <v>429</v>
      </c>
      <c r="L152" s="57" t="s">
        <v>361</v>
      </c>
      <c r="M152" s="57"/>
      <c r="N152" s="57" t="s">
        <v>716</v>
      </c>
    </row>
    <row r="153" customFormat="false" ht="27.75" hidden="false" customHeight="true" outlineLevel="0" collapsed="false">
      <c r="A153" s="57" t="s">
        <v>309</v>
      </c>
      <c r="B153" s="57" t="s">
        <v>229</v>
      </c>
      <c r="C153" s="58" t="n">
        <v>46325</v>
      </c>
      <c r="D153" s="57" t="s">
        <v>1518</v>
      </c>
      <c r="E153" s="57" t="s">
        <v>199</v>
      </c>
      <c r="F153" s="57" t="s">
        <v>186</v>
      </c>
      <c r="G153" s="57" t="s">
        <v>477</v>
      </c>
      <c r="H153" s="57" t="s">
        <v>1503</v>
      </c>
      <c r="I153" s="57" t="s">
        <v>479</v>
      </c>
      <c r="J153" s="57"/>
      <c r="K153" s="57" t="s">
        <v>429</v>
      </c>
      <c r="L153" s="57" t="s">
        <v>361</v>
      </c>
      <c r="M153" s="57"/>
      <c r="N153" s="57" t="s">
        <v>718</v>
      </c>
    </row>
    <row r="154" customFormat="false" ht="27.75" hidden="false" customHeight="true" outlineLevel="0" collapsed="false">
      <c r="A154" s="57" t="s">
        <v>309</v>
      </c>
      <c r="B154" s="57" t="s">
        <v>229</v>
      </c>
      <c r="C154" s="58" t="n">
        <v>46325</v>
      </c>
      <c r="D154" s="57" t="s">
        <v>1518</v>
      </c>
      <c r="E154" s="57" t="s">
        <v>199</v>
      </c>
      <c r="F154" s="57" t="s">
        <v>186</v>
      </c>
      <c r="G154" s="57" t="s">
        <v>477</v>
      </c>
      <c r="H154" s="57" t="s">
        <v>1504</v>
      </c>
      <c r="I154" s="57" t="s">
        <v>479</v>
      </c>
      <c r="J154" s="57"/>
      <c r="K154" s="57" t="s">
        <v>429</v>
      </c>
      <c r="L154" s="57" t="s">
        <v>361</v>
      </c>
      <c r="M154" s="57"/>
      <c r="N154" s="57" t="s">
        <v>720</v>
      </c>
    </row>
    <row r="155" customFormat="false" ht="27.75" hidden="false" customHeight="true" outlineLevel="0" collapsed="false">
      <c r="A155" s="57" t="s">
        <v>309</v>
      </c>
      <c r="B155" s="57" t="s">
        <v>229</v>
      </c>
      <c r="C155" s="58" t="n">
        <v>46325</v>
      </c>
      <c r="D155" s="57" t="s">
        <v>1518</v>
      </c>
      <c r="E155" s="57" t="s">
        <v>199</v>
      </c>
      <c r="F155" s="57" t="s">
        <v>186</v>
      </c>
      <c r="G155" s="57" t="s">
        <v>477</v>
      </c>
      <c r="H155" s="57" t="s">
        <v>1505</v>
      </c>
      <c r="I155" s="57" t="s">
        <v>479</v>
      </c>
      <c r="J155" s="57"/>
      <c r="K155" s="57" t="s">
        <v>429</v>
      </c>
      <c r="L155" s="57" t="s">
        <v>361</v>
      </c>
      <c r="M155" s="57"/>
      <c r="N155" s="57" t="s">
        <v>722</v>
      </c>
    </row>
    <row r="156" customFormat="false" ht="27.75" hidden="false" customHeight="true" outlineLevel="0" collapsed="false">
      <c r="A156" s="57" t="s">
        <v>309</v>
      </c>
      <c r="B156" s="57" t="s">
        <v>229</v>
      </c>
      <c r="C156" s="58" t="n">
        <v>46325</v>
      </c>
      <c r="D156" s="57" t="s">
        <v>1518</v>
      </c>
      <c r="E156" s="57" t="s">
        <v>199</v>
      </c>
      <c r="F156" s="57" t="s">
        <v>186</v>
      </c>
      <c r="G156" s="57" t="s">
        <v>477</v>
      </c>
      <c r="H156" s="57" t="s">
        <v>1506</v>
      </c>
      <c r="I156" s="57" t="s">
        <v>594</v>
      </c>
      <c r="J156" s="57"/>
      <c r="K156" s="57" t="s">
        <v>429</v>
      </c>
      <c r="L156" s="57" t="s">
        <v>361</v>
      </c>
      <c r="M156" s="57" t="s">
        <v>527</v>
      </c>
      <c r="N156" s="57" t="s">
        <v>724</v>
      </c>
    </row>
    <row r="157" customFormat="false" ht="27.75" hidden="false" customHeight="true" outlineLevel="0" collapsed="false">
      <c r="A157" s="57" t="s">
        <v>309</v>
      </c>
      <c r="B157" s="57" t="s">
        <v>229</v>
      </c>
      <c r="C157" s="58" t="n">
        <v>46325</v>
      </c>
      <c r="D157" s="57" t="s">
        <v>1518</v>
      </c>
      <c r="E157" s="57" t="s">
        <v>199</v>
      </c>
      <c r="F157" s="57" t="s">
        <v>186</v>
      </c>
      <c r="G157" s="57" t="s">
        <v>477</v>
      </c>
      <c r="H157" s="57" t="s">
        <v>1507</v>
      </c>
      <c r="I157" s="57" t="s">
        <v>479</v>
      </c>
      <c r="J157" s="57"/>
      <c r="K157" s="57" t="s">
        <v>429</v>
      </c>
      <c r="L157" s="57" t="s">
        <v>361</v>
      </c>
      <c r="M157" s="57"/>
      <c r="N157" s="57" t="s">
        <v>726</v>
      </c>
    </row>
    <row r="158" customFormat="false" ht="27.75" hidden="false" customHeight="true" outlineLevel="0" collapsed="false">
      <c r="A158" s="57" t="s">
        <v>309</v>
      </c>
      <c r="B158" s="57" t="s">
        <v>229</v>
      </c>
      <c r="C158" s="58" t="n">
        <v>46325</v>
      </c>
      <c r="D158" s="57" t="s">
        <v>1518</v>
      </c>
      <c r="E158" s="57" t="s">
        <v>199</v>
      </c>
      <c r="F158" s="57" t="s">
        <v>186</v>
      </c>
      <c r="G158" s="57" t="s">
        <v>425</v>
      </c>
      <c r="H158" s="57" t="s">
        <v>1508</v>
      </c>
      <c r="I158" s="57" t="s">
        <v>427</v>
      </c>
      <c r="J158" s="57"/>
      <c r="K158" s="57" t="s">
        <v>429</v>
      </c>
      <c r="L158" s="57" t="s">
        <v>361</v>
      </c>
      <c r="M158" s="57"/>
      <c r="N158" s="57" t="s">
        <v>728</v>
      </c>
    </row>
    <row r="159" customFormat="false" ht="27.75" hidden="false" customHeight="true" outlineLevel="0" collapsed="false">
      <c r="A159" s="57" t="s">
        <v>309</v>
      </c>
      <c r="B159" s="57" t="s">
        <v>229</v>
      </c>
      <c r="C159" s="58" t="n">
        <v>46325</v>
      </c>
      <c r="D159" s="57" t="s">
        <v>1518</v>
      </c>
      <c r="E159" s="57" t="s">
        <v>199</v>
      </c>
      <c r="F159" s="57" t="s">
        <v>186</v>
      </c>
      <c r="G159" s="57" t="s">
        <v>425</v>
      </c>
      <c r="H159" s="57" t="s">
        <v>1513</v>
      </c>
      <c r="I159" s="57" t="s">
        <v>427</v>
      </c>
      <c r="J159" s="57"/>
      <c r="K159" s="57" t="s">
        <v>429</v>
      </c>
      <c r="L159" s="57" t="s">
        <v>361</v>
      </c>
      <c r="M159" s="57"/>
      <c r="N159" s="57" t="s">
        <v>730</v>
      </c>
    </row>
    <row r="160" customFormat="false" ht="27.75" hidden="false" customHeight="true" outlineLevel="0" collapsed="false">
      <c r="A160" s="57" t="s">
        <v>309</v>
      </c>
      <c r="B160" s="57" t="s">
        <v>229</v>
      </c>
      <c r="C160" s="58" t="n">
        <v>46325</v>
      </c>
      <c r="D160" s="57" t="s">
        <v>1518</v>
      </c>
      <c r="E160" s="57" t="s">
        <v>199</v>
      </c>
      <c r="F160" s="57" t="s">
        <v>186</v>
      </c>
      <c r="G160" s="57" t="s">
        <v>425</v>
      </c>
      <c r="H160" s="57" t="s">
        <v>1514</v>
      </c>
      <c r="I160" s="57" t="s">
        <v>427</v>
      </c>
      <c r="J160" s="57"/>
      <c r="K160" s="57" t="s">
        <v>429</v>
      </c>
      <c r="L160" s="57" t="s">
        <v>361</v>
      </c>
      <c r="M160" s="57"/>
      <c r="N160" s="57" t="s">
        <v>732</v>
      </c>
    </row>
    <row r="161" customFormat="false" ht="27.75" hidden="false" customHeight="true" outlineLevel="0" collapsed="false">
      <c r="A161" s="57" t="s">
        <v>309</v>
      </c>
      <c r="B161" s="57" t="s">
        <v>229</v>
      </c>
      <c r="C161" s="58" t="n">
        <v>46325</v>
      </c>
      <c r="D161" s="57" t="s">
        <v>1518</v>
      </c>
      <c r="E161" s="57" t="s">
        <v>199</v>
      </c>
      <c r="F161" s="57" t="s">
        <v>186</v>
      </c>
      <c r="G161" s="57" t="s">
        <v>607</v>
      </c>
      <c r="H161" s="57" t="s">
        <v>1515</v>
      </c>
      <c r="I161" s="57" t="s">
        <v>479</v>
      </c>
      <c r="J161" s="57"/>
      <c r="K161" s="57" t="s">
        <v>184</v>
      </c>
      <c r="L161" s="57" t="s">
        <v>361</v>
      </c>
      <c r="M161" s="57" t="s">
        <v>610</v>
      </c>
      <c r="N161" s="57" t="s">
        <v>734</v>
      </c>
    </row>
    <row r="163" customFormat="false" ht="15" hidden="false" customHeight="false" outlineLevel="0" collapsed="false">
      <c r="A163" s="75" t="s">
        <v>1535</v>
      </c>
    </row>
    <row r="164" customFormat="false" ht="30" hidden="false" customHeight="true" outlineLevel="0" collapsed="false">
      <c r="A164" s="56" t="s">
        <v>135</v>
      </c>
      <c r="B164" s="56" t="s">
        <v>138</v>
      </c>
      <c r="C164" s="56" t="s">
        <v>106</v>
      </c>
      <c r="D164" s="56" t="s">
        <v>107</v>
      </c>
      <c r="E164" s="56" t="s">
        <v>315</v>
      </c>
      <c r="F164" s="56" t="s">
        <v>109</v>
      </c>
      <c r="G164" s="56" t="s">
        <v>317</v>
      </c>
      <c r="H164" s="56" t="s">
        <v>1488</v>
      </c>
      <c r="I164" s="56" t="s">
        <v>1493</v>
      </c>
    </row>
    <row r="165" customFormat="false" ht="27.75" hidden="false" customHeight="true" outlineLevel="0" collapsed="false">
      <c r="A165" s="76" t="s">
        <v>180</v>
      </c>
      <c r="B165" s="76" t="s">
        <v>182</v>
      </c>
      <c r="C165" s="77" t="n">
        <v>46303</v>
      </c>
      <c r="D165" s="76" t="s">
        <v>1494</v>
      </c>
      <c r="E165" s="76" t="s">
        <v>185</v>
      </c>
      <c r="F165" s="76" t="s">
        <v>186</v>
      </c>
      <c r="G165" s="76" t="s">
        <v>612</v>
      </c>
      <c r="H165" s="76" t="s">
        <v>1536</v>
      </c>
      <c r="I165" s="76" t="s">
        <v>1537</v>
      </c>
    </row>
    <row r="166" customFormat="false" ht="27.75" hidden="false" customHeight="true" outlineLevel="0" collapsed="false">
      <c r="A166" s="76" t="s">
        <v>195</v>
      </c>
      <c r="B166" s="76" t="s">
        <v>197</v>
      </c>
      <c r="C166" s="77" t="n">
        <v>46304</v>
      </c>
      <c r="D166" s="76" t="s">
        <v>1499</v>
      </c>
      <c r="E166" s="76" t="s">
        <v>199</v>
      </c>
      <c r="F166" s="76" t="s">
        <v>200</v>
      </c>
      <c r="G166" s="76" t="s">
        <v>418</v>
      </c>
      <c r="H166" s="76" t="s">
        <v>1495</v>
      </c>
      <c r="I166" s="76" t="s">
        <v>1538</v>
      </c>
    </row>
    <row r="167" customFormat="false" ht="27.75" hidden="false" customHeight="true" outlineLevel="0" collapsed="false">
      <c r="A167" s="76" t="s">
        <v>195</v>
      </c>
      <c r="B167" s="76" t="s">
        <v>197</v>
      </c>
      <c r="C167" s="77" t="n">
        <v>46304</v>
      </c>
      <c r="D167" s="76" t="s">
        <v>1499</v>
      </c>
      <c r="E167" s="76" t="s">
        <v>199</v>
      </c>
      <c r="F167" s="76" t="s">
        <v>200</v>
      </c>
      <c r="G167" s="76" t="s">
        <v>418</v>
      </c>
      <c r="H167" s="76" t="s">
        <v>1539</v>
      </c>
      <c r="I167" s="76" t="s">
        <v>1540</v>
      </c>
    </row>
    <row r="168" customFormat="false" ht="27.75" hidden="false" customHeight="true" outlineLevel="0" collapsed="false">
      <c r="A168" s="76" t="s">
        <v>195</v>
      </c>
      <c r="B168" s="76" t="s">
        <v>197</v>
      </c>
      <c r="C168" s="77" t="n">
        <v>46304</v>
      </c>
      <c r="D168" s="76" t="s">
        <v>1499</v>
      </c>
      <c r="E168" s="76" t="s">
        <v>199</v>
      </c>
      <c r="F168" s="76" t="s">
        <v>200</v>
      </c>
      <c r="G168" s="76" t="s">
        <v>418</v>
      </c>
      <c r="H168" s="76" t="s">
        <v>1512</v>
      </c>
      <c r="I168" s="76" t="s">
        <v>1541</v>
      </c>
    </row>
    <row r="169" customFormat="false" ht="27.75" hidden="false" customHeight="true" outlineLevel="0" collapsed="false">
      <c r="A169" s="76" t="s">
        <v>195</v>
      </c>
      <c r="B169" s="76" t="s">
        <v>197</v>
      </c>
      <c r="C169" s="77" t="n">
        <v>46304</v>
      </c>
      <c r="D169" s="76" t="s">
        <v>1499</v>
      </c>
      <c r="E169" s="76" t="s">
        <v>199</v>
      </c>
      <c r="F169" s="76" t="s">
        <v>200</v>
      </c>
      <c r="G169" s="76" t="s">
        <v>607</v>
      </c>
      <c r="H169" s="76" t="s">
        <v>1542</v>
      </c>
      <c r="I169" s="76" t="s">
        <v>1543</v>
      </c>
    </row>
    <row r="170" customFormat="false" ht="27.75" hidden="false" customHeight="true" outlineLevel="0" collapsed="false">
      <c r="A170" s="76" t="s">
        <v>195</v>
      </c>
      <c r="B170" s="76" t="s">
        <v>197</v>
      </c>
      <c r="C170" s="77" t="n">
        <v>46304</v>
      </c>
      <c r="D170" s="76" t="s">
        <v>1499</v>
      </c>
      <c r="E170" s="76" t="s">
        <v>199</v>
      </c>
      <c r="F170" s="76" t="s">
        <v>200</v>
      </c>
      <c r="G170" s="76" t="s">
        <v>425</v>
      </c>
      <c r="H170" s="76" t="s">
        <v>1544</v>
      </c>
      <c r="I170" s="76" t="s">
        <v>1545</v>
      </c>
    </row>
    <row r="171" customFormat="false" ht="27.75" hidden="false" customHeight="true" outlineLevel="0" collapsed="false">
      <c r="A171" s="76" t="s">
        <v>195</v>
      </c>
      <c r="B171" s="76" t="s">
        <v>197</v>
      </c>
      <c r="C171" s="77" t="n">
        <v>46304</v>
      </c>
      <c r="D171" s="76" t="s">
        <v>1499</v>
      </c>
      <c r="E171" s="76" t="s">
        <v>199</v>
      </c>
      <c r="F171" s="76" t="s">
        <v>200</v>
      </c>
      <c r="G171" s="76" t="s">
        <v>425</v>
      </c>
      <c r="H171" s="76" t="s">
        <v>1546</v>
      </c>
      <c r="I171" s="76" t="s">
        <v>1547</v>
      </c>
    </row>
    <row r="172" customFormat="false" ht="27.75" hidden="false" customHeight="true" outlineLevel="0" collapsed="false">
      <c r="A172" s="76" t="s">
        <v>195</v>
      </c>
      <c r="B172" s="76" t="s">
        <v>197</v>
      </c>
      <c r="C172" s="77" t="n">
        <v>46304</v>
      </c>
      <c r="D172" s="76" t="s">
        <v>1499</v>
      </c>
      <c r="E172" s="76" t="s">
        <v>199</v>
      </c>
      <c r="F172" s="76" t="s">
        <v>200</v>
      </c>
      <c r="G172" s="76" t="s">
        <v>612</v>
      </c>
      <c r="H172" s="76" t="s">
        <v>1548</v>
      </c>
      <c r="I172" s="76" t="s">
        <v>1549</v>
      </c>
    </row>
    <row r="173" customFormat="false" ht="27.75" hidden="false" customHeight="true" outlineLevel="0" collapsed="false">
      <c r="A173" s="76" t="s">
        <v>209</v>
      </c>
      <c r="B173" s="76" t="s">
        <v>211</v>
      </c>
      <c r="C173" s="77" t="n">
        <v>46305</v>
      </c>
      <c r="D173" s="76" t="s">
        <v>1510</v>
      </c>
      <c r="E173" s="76" t="s">
        <v>185</v>
      </c>
      <c r="F173" s="76" t="s">
        <v>212</v>
      </c>
      <c r="G173" s="76" t="s">
        <v>418</v>
      </c>
      <c r="H173" s="76" t="s">
        <v>1495</v>
      </c>
      <c r="I173" s="76" t="s">
        <v>1538</v>
      </c>
    </row>
    <row r="174" customFormat="false" ht="27.75" hidden="false" customHeight="true" outlineLevel="0" collapsed="false">
      <c r="A174" s="76" t="s">
        <v>209</v>
      </c>
      <c r="B174" s="76" t="s">
        <v>211</v>
      </c>
      <c r="C174" s="77" t="n">
        <v>46305</v>
      </c>
      <c r="D174" s="76" t="s">
        <v>1510</v>
      </c>
      <c r="E174" s="76" t="s">
        <v>185</v>
      </c>
      <c r="F174" s="76" t="s">
        <v>212</v>
      </c>
      <c r="G174" s="76" t="s">
        <v>425</v>
      </c>
      <c r="H174" s="76" t="s">
        <v>1497</v>
      </c>
      <c r="I174" s="76" t="s">
        <v>1550</v>
      </c>
    </row>
    <row r="175" customFormat="false" ht="27.75" hidden="false" customHeight="true" outlineLevel="0" collapsed="false">
      <c r="A175" s="76" t="s">
        <v>209</v>
      </c>
      <c r="B175" s="76" t="s">
        <v>211</v>
      </c>
      <c r="C175" s="77" t="n">
        <v>46305</v>
      </c>
      <c r="D175" s="76" t="s">
        <v>1510</v>
      </c>
      <c r="E175" s="76" t="s">
        <v>185</v>
      </c>
      <c r="F175" s="76" t="s">
        <v>212</v>
      </c>
      <c r="G175" s="76" t="s">
        <v>612</v>
      </c>
      <c r="H175" s="76" t="s">
        <v>1548</v>
      </c>
      <c r="I175" s="76" t="s">
        <v>1549</v>
      </c>
    </row>
    <row r="176" customFormat="false" ht="27.75" hidden="false" customHeight="true" outlineLevel="0" collapsed="false">
      <c r="A176" s="76" t="s">
        <v>215</v>
      </c>
      <c r="B176" s="76" t="s">
        <v>216</v>
      </c>
      <c r="C176" s="77" t="n">
        <v>46305</v>
      </c>
      <c r="D176" s="76" t="s">
        <v>1511</v>
      </c>
      <c r="E176" s="76" t="s">
        <v>199</v>
      </c>
      <c r="F176" s="76" t="s">
        <v>186</v>
      </c>
      <c r="G176" s="76" t="s">
        <v>418</v>
      </c>
      <c r="H176" s="76" t="s">
        <v>1539</v>
      </c>
      <c r="I176" s="76" t="s">
        <v>1551</v>
      </c>
    </row>
    <row r="177" customFormat="false" ht="27.75" hidden="false" customHeight="true" outlineLevel="0" collapsed="false">
      <c r="A177" s="76" t="s">
        <v>215</v>
      </c>
      <c r="B177" s="76" t="s">
        <v>216</v>
      </c>
      <c r="C177" s="77" t="n">
        <v>46305</v>
      </c>
      <c r="D177" s="76" t="s">
        <v>1511</v>
      </c>
      <c r="E177" s="76" t="s">
        <v>199</v>
      </c>
      <c r="F177" s="76" t="s">
        <v>186</v>
      </c>
      <c r="G177" s="76" t="s">
        <v>425</v>
      </c>
      <c r="H177" s="76" t="s">
        <v>1552</v>
      </c>
      <c r="I177" s="76" t="s">
        <v>1553</v>
      </c>
    </row>
    <row r="178" customFormat="false" ht="27.75" hidden="false" customHeight="true" outlineLevel="0" collapsed="false">
      <c r="A178" s="76" t="s">
        <v>228</v>
      </c>
      <c r="B178" s="76" t="s">
        <v>229</v>
      </c>
      <c r="C178" s="77" t="n">
        <v>46310</v>
      </c>
      <c r="D178" s="76" t="s">
        <v>1518</v>
      </c>
      <c r="E178" s="76" t="s">
        <v>199</v>
      </c>
      <c r="F178" s="76" t="s">
        <v>186</v>
      </c>
      <c r="G178" s="76" t="s">
        <v>425</v>
      </c>
      <c r="H178" s="76" t="s">
        <v>1552</v>
      </c>
      <c r="I178" s="76" t="s">
        <v>1554</v>
      </c>
    </row>
    <row r="179" customFormat="false" ht="27.75" hidden="false" customHeight="true" outlineLevel="0" collapsed="false">
      <c r="A179" s="76" t="s">
        <v>228</v>
      </c>
      <c r="B179" s="76" t="s">
        <v>229</v>
      </c>
      <c r="C179" s="77" t="n">
        <v>46310</v>
      </c>
      <c r="D179" s="76" t="s">
        <v>1518</v>
      </c>
      <c r="E179" s="76" t="s">
        <v>199</v>
      </c>
      <c r="F179" s="76" t="s">
        <v>186</v>
      </c>
      <c r="G179" s="76" t="s">
        <v>612</v>
      </c>
      <c r="H179" s="76" t="s">
        <v>1536</v>
      </c>
      <c r="I179" s="76" t="s">
        <v>1537</v>
      </c>
    </row>
    <row r="180" customFormat="false" ht="27.75" hidden="false" customHeight="true" outlineLevel="0" collapsed="false">
      <c r="A180" s="76" t="s">
        <v>232</v>
      </c>
      <c r="B180" s="76" t="s">
        <v>233</v>
      </c>
      <c r="C180" s="77" t="n">
        <v>46304</v>
      </c>
      <c r="D180" s="76" t="s">
        <v>1494</v>
      </c>
      <c r="E180" s="76" t="s">
        <v>199</v>
      </c>
      <c r="F180" s="76" t="s">
        <v>186</v>
      </c>
      <c r="G180" s="76" t="s">
        <v>425</v>
      </c>
      <c r="H180" s="76" t="s">
        <v>1552</v>
      </c>
      <c r="I180" s="76" t="s">
        <v>1554</v>
      </c>
    </row>
    <row r="181" customFormat="false" ht="27.75" hidden="false" customHeight="true" outlineLevel="0" collapsed="false">
      <c r="A181" s="76" t="s">
        <v>232</v>
      </c>
      <c r="B181" s="76" t="s">
        <v>233</v>
      </c>
      <c r="C181" s="77" t="n">
        <v>46304</v>
      </c>
      <c r="D181" s="76" t="s">
        <v>1494</v>
      </c>
      <c r="E181" s="76" t="s">
        <v>199</v>
      </c>
      <c r="F181" s="76" t="s">
        <v>186</v>
      </c>
      <c r="G181" s="76" t="s">
        <v>612</v>
      </c>
      <c r="H181" s="76" t="s">
        <v>1536</v>
      </c>
      <c r="I181" s="76" t="s">
        <v>1537</v>
      </c>
    </row>
    <row r="182" customFormat="false" ht="27.75" hidden="false" customHeight="true" outlineLevel="0" collapsed="false">
      <c r="A182" s="76" t="s">
        <v>235</v>
      </c>
      <c r="B182" s="76" t="s">
        <v>236</v>
      </c>
      <c r="C182" s="77" t="n">
        <v>46305</v>
      </c>
      <c r="D182" s="76" t="s">
        <v>1520</v>
      </c>
      <c r="E182" s="76" t="s">
        <v>185</v>
      </c>
      <c r="F182" s="76" t="s">
        <v>200</v>
      </c>
      <c r="G182" s="76" t="s">
        <v>418</v>
      </c>
      <c r="H182" s="76" t="s">
        <v>1495</v>
      </c>
      <c r="I182" s="76" t="s">
        <v>1555</v>
      </c>
    </row>
    <row r="183" customFormat="false" ht="27.75" hidden="false" customHeight="true" outlineLevel="0" collapsed="false">
      <c r="A183" s="76" t="s">
        <v>235</v>
      </c>
      <c r="B183" s="76" t="s">
        <v>236</v>
      </c>
      <c r="C183" s="77" t="n">
        <v>46305</v>
      </c>
      <c r="D183" s="76" t="s">
        <v>1520</v>
      </c>
      <c r="E183" s="76" t="s">
        <v>185</v>
      </c>
      <c r="F183" s="76" t="s">
        <v>200</v>
      </c>
      <c r="G183" s="76" t="s">
        <v>425</v>
      </c>
      <c r="H183" s="76" t="s">
        <v>1497</v>
      </c>
      <c r="I183" s="76" t="s">
        <v>1550</v>
      </c>
    </row>
    <row r="184" customFormat="false" ht="27.75" hidden="false" customHeight="true" outlineLevel="0" collapsed="false">
      <c r="A184" s="76" t="s">
        <v>235</v>
      </c>
      <c r="B184" s="76" t="s">
        <v>236</v>
      </c>
      <c r="C184" s="77" t="n">
        <v>46305</v>
      </c>
      <c r="D184" s="76" t="s">
        <v>1520</v>
      </c>
      <c r="E184" s="76" t="s">
        <v>185</v>
      </c>
      <c r="F184" s="76" t="s">
        <v>200</v>
      </c>
      <c r="G184" s="76" t="s">
        <v>612</v>
      </c>
      <c r="H184" s="76" t="s">
        <v>1548</v>
      </c>
      <c r="I184" s="76" t="s">
        <v>1549</v>
      </c>
    </row>
    <row r="185" customFormat="false" ht="27.75" hidden="false" customHeight="true" outlineLevel="0" collapsed="false">
      <c r="A185" s="76" t="s">
        <v>243</v>
      </c>
      <c r="B185" s="76" t="s">
        <v>245</v>
      </c>
      <c r="C185" s="77" t="n">
        <v>46306</v>
      </c>
      <c r="D185" s="76" t="s">
        <v>1521</v>
      </c>
      <c r="E185" s="76" t="s">
        <v>199</v>
      </c>
      <c r="F185" s="76" t="s">
        <v>200</v>
      </c>
      <c r="G185" s="76" t="s">
        <v>418</v>
      </c>
      <c r="H185" s="76" t="s">
        <v>1495</v>
      </c>
      <c r="I185" s="76" t="s">
        <v>1555</v>
      </c>
    </row>
    <row r="186" customFormat="false" ht="27.75" hidden="false" customHeight="true" outlineLevel="0" collapsed="false">
      <c r="A186" s="76" t="s">
        <v>243</v>
      </c>
      <c r="B186" s="76" t="s">
        <v>245</v>
      </c>
      <c r="C186" s="77" t="n">
        <v>46306</v>
      </c>
      <c r="D186" s="76" t="s">
        <v>1521</v>
      </c>
      <c r="E186" s="76" t="s">
        <v>199</v>
      </c>
      <c r="F186" s="76" t="s">
        <v>200</v>
      </c>
      <c r="G186" s="76" t="s">
        <v>418</v>
      </c>
      <c r="H186" s="76" t="s">
        <v>1539</v>
      </c>
      <c r="I186" s="76" t="s">
        <v>1556</v>
      </c>
    </row>
    <row r="187" customFormat="false" ht="27.75" hidden="false" customHeight="true" outlineLevel="0" collapsed="false">
      <c r="A187" s="76" t="s">
        <v>243</v>
      </c>
      <c r="B187" s="76" t="s">
        <v>245</v>
      </c>
      <c r="C187" s="77" t="n">
        <v>46306</v>
      </c>
      <c r="D187" s="76" t="s">
        <v>1521</v>
      </c>
      <c r="E187" s="76" t="s">
        <v>199</v>
      </c>
      <c r="F187" s="76" t="s">
        <v>200</v>
      </c>
      <c r="G187" s="76" t="s">
        <v>418</v>
      </c>
      <c r="H187" s="76" t="s">
        <v>1512</v>
      </c>
      <c r="I187" s="76" t="s">
        <v>1557</v>
      </c>
    </row>
    <row r="188" customFormat="false" ht="27.75" hidden="false" customHeight="true" outlineLevel="0" collapsed="false">
      <c r="A188" s="76" t="s">
        <v>243</v>
      </c>
      <c r="B188" s="76" t="s">
        <v>245</v>
      </c>
      <c r="C188" s="77" t="n">
        <v>46306</v>
      </c>
      <c r="D188" s="76" t="s">
        <v>1521</v>
      </c>
      <c r="E188" s="76" t="s">
        <v>199</v>
      </c>
      <c r="F188" s="76" t="s">
        <v>200</v>
      </c>
      <c r="G188" s="76" t="s">
        <v>607</v>
      </c>
      <c r="H188" s="76" t="s">
        <v>1542</v>
      </c>
      <c r="I188" s="76" t="s">
        <v>1558</v>
      </c>
    </row>
    <row r="189" customFormat="false" ht="27.75" hidden="false" customHeight="true" outlineLevel="0" collapsed="false">
      <c r="A189" s="76" t="s">
        <v>243</v>
      </c>
      <c r="B189" s="76" t="s">
        <v>245</v>
      </c>
      <c r="C189" s="77" t="n">
        <v>46306</v>
      </c>
      <c r="D189" s="76" t="s">
        <v>1521</v>
      </c>
      <c r="E189" s="76" t="s">
        <v>199</v>
      </c>
      <c r="F189" s="76" t="s">
        <v>200</v>
      </c>
      <c r="G189" s="76" t="s">
        <v>425</v>
      </c>
      <c r="H189" s="76" t="s">
        <v>1544</v>
      </c>
      <c r="I189" s="76" t="s">
        <v>1559</v>
      </c>
    </row>
    <row r="190" customFormat="false" ht="27.75" hidden="false" customHeight="true" outlineLevel="0" collapsed="false">
      <c r="A190" s="76" t="s">
        <v>243</v>
      </c>
      <c r="B190" s="76" t="s">
        <v>245</v>
      </c>
      <c r="C190" s="77" t="n">
        <v>46306</v>
      </c>
      <c r="D190" s="76" t="s">
        <v>1521</v>
      </c>
      <c r="E190" s="76" t="s">
        <v>199</v>
      </c>
      <c r="F190" s="76" t="s">
        <v>200</v>
      </c>
      <c r="G190" s="76" t="s">
        <v>425</v>
      </c>
      <c r="H190" s="76" t="s">
        <v>1546</v>
      </c>
      <c r="I190" s="76" t="s">
        <v>1560</v>
      </c>
    </row>
    <row r="191" customFormat="false" ht="27.75" hidden="false" customHeight="true" outlineLevel="0" collapsed="false">
      <c r="A191" s="76" t="s">
        <v>243</v>
      </c>
      <c r="B191" s="76" t="s">
        <v>245</v>
      </c>
      <c r="C191" s="77" t="n">
        <v>46306</v>
      </c>
      <c r="D191" s="76" t="s">
        <v>1521</v>
      </c>
      <c r="E191" s="76" t="s">
        <v>199</v>
      </c>
      <c r="F191" s="76" t="s">
        <v>200</v>
      </c>
      <c r="G191" s="76" t="s">
        <v>612</v>
      </c>
      <c r="H191" s="76" t="s">
        <v>1548</v>
      </c>
      <c r="I191" s="76" t="s">
        <v>1549</v>
      </c>
    </row>
    <row r="192" customFormat="false" ht="27.75" hidden="false" customHeight="true" outlineLevel="0" collapsed="false">
      <c r="A192" s="76" t="s">
        <v>248</v>
      </c>
      <c r="B192" s="76" t="s">
        <v>250</v>
      </c>
      <c r="C192" s="77" t="n">
        <v>46307</v>
      </c>
      <c r="D192" s="76" t="s">
        <v>1522</v>
      </c>
      <c r="E192" s="76" t="s">
        <v>199</v>
      </c>
      <c r="F192" s="76" t="s">
        <v>200</v>
      </c>
      <c r="G192" s="76" t="s">
        <v>418</v>
      </c>
      <c r="H192" s="76" t="s">
        <v>1495</v>
      </c>
      <c r="I192" s="76" t="s">
        <v>1561</v>
      </c>
    </row>
    <row r="193" customFormat="false" ht="27.75" hidden="false" customHeight="true" outlineLevel="0" collapsed="false">
      <c r="A193" s="76" t="s">
        <v>248</v>
      </c>
      <c r="B193" s="76" t="s">
        <v>250</v>
      </c>
      <c r="C193" s="77" t="n">
        <v>46307</v>
      </c>
      <c r="D193" s="76" t="s">
        <v>1522</v>
      </c>
      <c r="E193" s="76" t="s">
        <v>199</v>
      </c>
      <c r="F193" s="76" t="s">
        <v>200</v>
      </c>
      <c r="G193" s="76" t="s">
        <v>418</v>
      </c>
      <c r="H193" s="76" t="s">
        <v>1539</v>
      </c>
      <c r="I193" s="76" t="s">
        <v>1562</v>
      </c>
    </row>
    <row r="194" customFormat="false" ht="27.75" hidden="false" customHeight="true" outlineLevel="0" collapsed="false">
      <c r="A194" s="76" t="s">
        <v>248</v>
      </c>
      <c r="B194" s="76" t="s">
        <v>250</v>
      </c>
      <c r="C194" s="77" t="n">
        <v>46307</v>
      </c>
      <c r="D194" s="76" t="s">
        <v>1522</v>
      </c>
      <c r="E194" s="76" t="s">
        <v>199</v>
      </c>
      <c r="F194" s="76" t="s">
        <v>200</v>
      </c>
      <c r="G194" s="76" t="s">
        <v>418</v>
      </c>
      <c r="H194" s="76" t="s">
        <v>1512</v>
      </c>
      <c r="I194" s="76" t="s">
        <v>1563</v>
      </c>
    </row>
    <row r="195" customFormat="false" ht="27.75" hidden="false" customHeight="true" outlineLevel="0" collapsed="false">
      <c r="A195" s="76" t="s">
        <v>248</v>
      </c>
      <c r="B195" s="76" t="s">
        <v>250</v>
      </c>
      <c r="C195" s="77" t="n">
        <v>46307</v>
      </c>
      <c r="D195" s="76" t="s">
        <v>1522</v>
      </c>
      <c r="E195" s="76" t="s">
        <v>199</v>
      </c>
      <c r="F195" s="76" t="s">
        <v>200</v>
      </c>
      <c r="G195" s="76" t="s">
        <v>477</v>
      </c>
      <c r="H195" s="76" t="s">
        <v>1504</v>
      </c>
      <c r="I195" s="76" t="s">
        <v>1564</v>
      </c>
    </row>
    <row r="196" customFormat="false" ht="27.75" hidden="false" customHeight="true" outlineLevel="0" collapsed="false">
      <c r="A196" s="76" t="s">
        <v>248</v>
      </c>
      <c r="B196" s="76" t="s">
        <v>250</v>
      </c>
      <c r="C196" s="77" t="n">
        <v>46307</v>
      </c>
      <c r="D196" s="76" t="s">
        <v>1522</v>
      </c>
      <c r="E196" s="76" t="s">
        <v>199</v>
      </c>
      <c r="F196" s="76" t="s">
        <v>200</v>
      </c>
      <c r="G196" s="76" t="s">
        <v>477</v>
      </c>
      <c r="H196" s="76" t="s">
        <v>1565</v>
      </c>
      <c r="I196" s="76" t="s">
        <v>1566</v>
      </c>
    </row>
    <row r="197" customFormat="false" ht="27.75" hidden="false" customHeight="true" outlineLevel="0" collapsed="false">
      <c r="A197" s="76" t="s">
        <v>248</v>
      </c>
      <c r="B197" s="76" t="s">
        <v>250</v>
      </c>
      <c r="C197" s="77" t="n">
        <v>46307</v>
      </c>
      <c r="D197" s="76" t="s">
        <v>1522</v>
      </c>
      <c r="E197" s="76" t="s">
        <v>199</v>
      </c>
      <c r="F197" s="76" t="s">
        <v>200</v>
      </c>
      <c r="G197" s="76" t="s">
        <v>607</v>
      </c>
      <c r="H197" s="76" t="s">
        <v>1542</v>
      </c>
      <c r="I197" s="76" t="s">
        <v>1567</v>
      </c>
    </row>
    <row r="198" customFormat="false" ht="27.75" hidden="false" customHeight="true" outlineLevel="0" collapsed="false">
      <c r="A198" s="76" t="s">
        <v>248</v>
      </c>
      <c r="B198" s="76" t="s">
        <v>250</v>
      </c>
      <c r="C198" s="77" t="n">
        <v>46307</v>
      </c>
      <c r="D198" s="76" t="s">
        <v>1522</v>
      </c>
      <c r="E198" s="76" t="s">
        <v>199</v>
      </c>
      <c r="F198" s="76" t="s">
        <v>200</v>
      </c>
      <c r="G198" s="76" t="s">
        <v>425</v>
      </c>
      <c r="H198" s="76" t="s">
        <v>1544</v>
      </c>
      <c r="I198" s="76" t="s">
        <v>1568</v>
      </c>
    </row>
    <row r="199" customFormat="false" ht="27.75" hidden="false" customHeight="true" outlineLevel="0" collapsed="false">
      <c r="A199" s="76" t="s">
        <v>248</v>
      </c>
      <c r="B199" s="76" t="s">
        <v>250</v>
      </c>
      <c r="C199" s="77" t="n">
        <v>46307</v>
      </c>
      <c r="D199" s="76" t="s">
        <v>1522</v>
      </c>
      <c r="E199" s="76" t="s">
        <v>199</v>
      </c>
      <c r="F199" s="76" t="s">
        <v>200</v>
      </c>
      <c r="G199" s="76" t="s">
        <v>425</v>
      </c>
      <c r="H199" s="76" t="s">
        <v>1546</v>
      </c>
      <c r="I199" s="76" t="s">
        <v>1569</v>
      </c>
    </row>
    <row r="200" customFormat="false" ht="27.75" hidden="false" customHeight="true" outlineLevel="0" collapsed="false">
      <c r="A200" s="76" t="s">
        <v>248</v>
      </c>
      <c r="B200" s="76" t="s">
        <v>250</v>
      </c>
      <c r="C200" s="77" t="n">
        <v>46307</v>
      </c>
      <c r="D200" s="76" t="s">
        <v>1522</v>
      </c>
      <c r="E200" s="76" t="s">
        <v>199</v>
      </c>
      <c r="F200" s="76" t="s">
        <v>200</v>
      </c>
      <c r="G200" s="76" t="s">
        <v>612</v>
      </c>
      <c r="H200" s="76" t="s">
        <v>1548</v>
      </c>
      <c r="I200" s="76" t="s">
        <v>1549</v>
      </c>
    </row>
    <row r="201" customFormat="false" ht="27.75" hidden="false" customHeight="true" outlineLevel="0" collapsed="false">
      <c r="A201" s="76" t="s">
        <v>255</v>
      </c>
      <c r="B201" s="76" t="s">
        <v>256</v>
      </c>
      <c r="C201" s="77" t="n">
        <v>46307</v>
      </c>
      <c r="D201" s="76" t="s">
        <v>1523</v>
      </c>
      <c r="E201" s="76" t="s">
        <v>185</v>
      </c>
      <c r="F201" s="76" t="s">
        <v>200</v>
      </c>
      <c r="G201" s="76" t="s">
        <v>418</v>
      </c>
      <c r="H201" s="76" t="s">
        <v>1495</v>
      </c>
      <c r="I201" s="76" t="s">
        <v>1561</v>
      </c>
    </row>
    <row r="202" customFormat="false" ht="27.75" hidden="false" customHeight="true" outlineLevel="0" collapsed="false">
      <c r="A202" s="76" t="s">
        <v>255</v>
      </c>
      <c r="B202" s="76" t="s">
        <v>256</v>
      </c>
      <c r="C202" s="77" t="n">
        <v>46307</v>
      </c>
      <c r="D202" s="76" t="s">
        <v>1523</v>
      </c>
      <c r="E202" s="76" t="s">
        <v>185</v>
      </c>
      <c r="F202" s="76" t="s">
        <v>200</v>
      </c>
      <c r="G202" s="76" t="s">
        <v>425</v>
      </c>
      <c r="H202" s="76" t="s">
        <v>1497</v>
      </c>
      <c r="I202" s="76" t="s">
        <v>1550</v>
      </c>
    </row>
    <row r="203" customFormat="false" ht="27.75" hidden="false" customHeight="true" outlineLevel="0" collapsed="false">
      <c r="A203" s="76" t="s">
        <v>255</v>
      </c>
      <c r="B203" s="76" t="s">
        <v>256</v>
      </c>
      <c r="C203" s="77" t="n">
        <v>46307</v>
      </c>
      <c r="D203" s="76" t="s">
        <v>1523</v>
      </c>
      <c r="E203" s="76" t="s">
        <v>185</v>
      </c>
      <c r="F203" s="76" t="s">
        <v>200</v>
      </c>
      <c r="G203" s="76" t="s">
        <v>612</v>
      </c>
      <c r="H203" s="76" t="s">
        <v>1548</v>
      </c>
      <c r="I203" s="76" t="s">
        <v>1549</v>
      </c>
    </row>
    <row r="204" customFormat="false" ht="27.75" hidden="false" customHeight="true" outlineLevel="0" collapsed="false">
      <c r="A204" s="76" t="s">
        <v>258</v>
      </c>
      <c r="B204" s="76" t="s">
        <v>259</v>
      </c>
      <c r="C204" s="77" t="n">
        <v>46307</v>
      </c>
      <c r="D204" s="76" t="s">
        <v>1524</v>
      </c>
      <c r="E204" s="76" t="s">
        <v>199</v>
      </c>
      <c r="F204" s="76" t="s">
        <v>261</v>
      </c>
      <c r="G204" s="76" t="s">
        <v>418</v>
      </c>
      <c r="H204" s="76" t="s">
        <v>1539</v>
      </c>
      <c r="I204" s="76" t="s">
        <v>1570</v>
      </c>
    </row>
    <row r="205" customFormat="false" ht="27.75" hidden="false" customHeight="true" outlineLevel="0" collapsed="false">
      <c r="A205" s="76" t="s">
        <v>258</v>
      </c>
      <c r="B205" s="76" t="s">
        <v>259</v>
      </c>
      <c r="C205" s="77" t="n">
        <v>46307</v>
      </c>
      <c r="D205" s="76" t="s">
        <v>1524</v>
      </c>
      <c r="E205" s="76" t="s">
        <v>199</v>
      </c>
      <c r="F205" s="76" t="s">
        <v>261</v>
      </c>
      <c r="G205" s="76" t="s">
        <v>425</v>
      </c>
      <c r="H205" s="76" t="s">
        <v>1552</v>
      </c>
      <c r="I205" s="76" t="s">
        <v>1571</v>
      </c>
    </row>
    <row r="206" customFormat="false" ht="27.75" hidden="false" customHeight="true" outlineLevel="0" collapsed="false">
      <c r="A206" s="76" t="s">
        <v>273</v>
      </c>
      <c r="B206" s="76" t="s">
        <v>274</v>
      </c>
      <c r="C206" s="77" t="n">
        <v>46310</v>
      </c>
      <c r="D206" s="76" t="s">
        <v>1518</v>
      </c>
      <c r="E206" s="76" t="s">
        <v>185</v>
      </c>
      <c r="F206" s="76" t="s">
        <v>186</v>
      </c>
      <c r="G206" s="76" t="s">
        <v>612</v>
      </c>
      <c r="H206" s="76" t="s">
        <v>1536</v>
      </c>
      <c r="I206" s="76" t="s">
        <v>1537</v>
      </c>
    </row>
    <row r="207" customFormat="false" ht="27.75" hidden="false" customHeight="true" outlineLevel="0" collapsed="false">
      <c r="A207" s="76" t="s">
        <v>275</v>
      </c>
      <c r="B207" s="76" t="s">
        <v>233</v>
      </c>
      <c r="C207" s="77" t="n">
        <v>46320</v>
      </c>
      <c r="D207" s="76" t="s">
        <v>1494</v>
      </c>
      <c r="E207" s="76" t="s">
        <v>185</v>
      </c>
      <c r="F207" s="76" t="s">
        <v>186</v>
      </c>
      <c r="G207" s="76" t="s">
        <v>612</v>
      </c>
      <c r="H207" s="76" t="s">
        <v>1536</v>
      </c>
      <c r="I207" s="76" t="s">
        <v>1537</v>
      </c>
    </row>
    <row r="208" customFormat="false" ht="27.75" hidden="false" customHeight="true" outlineLevel="0" collapsed="false">
      <c r="A208" s="76" t="s">
        <v>277</v>
      </c>
      <c r="B208" s="76" t="s">
        <v>278</v>
      </c>
      <c r="C208" s="77" t="n">
        <v>46321</v>
      </c>
      <c r="D208" s="76" t="s">
        <v>1527</v>
      </c>
      <c r="E208" s="76" t="s">
        <v>185</v>
      </c>
      <c r="F208" s="76" t="s">
        <v>200</v>
      </c>
      <c r="G208" s="76" t="s">
        <v>418</v>
      </c>
      <c r="H208" s="76" t="s">
        <v>1495</v>
      </c>
      <c r="I208" s="76" t="s">
        <v>1572</v>
      </c>
    </row>
    <row r="209" customFormat="false" ht="27.75" hidden="false" customHeight="true" outlineLevel="0" collapsed="false">
      <c r="A209" s="76" t="s">
        <v>287</v>
      </c>
      <c r="B209" s="76" t="s">
        <v>289</v>
      </c>
      <c r="C209" s="77" t="n">
        <v>46322</v>
      </c>
      <c r="D209" s="76" t="s">
        <v>1529</v>
      </c>
      <c r="E209" s="76" t="s">
        <v>199</v>
      </c>
      <c r="F209" s="76" t="s">
        <v>200</v>
      </c>
      <c r="G209" s="76" t="s">
        <v>418</v>
      </c>
      <c r="H209" s="76" t="s">
        <v>1495</v>
      </c>
      <c r="I209" s="76" t="s">
        <v>1572</v>
      </c>
    </row>
    <row r="210" customFormat="false" ht="27.75" hidden="false" customHeight="true" outlineLevel="0" collapsed="false">
      <c r="A210" s="76" t="s">
        <v>287</v>
      </c>
      <c r="B210" s="76" t="s">
        <v>289</v>
      </c>
      <c r="C210" s="77" t="n">
        <v>46322</v>
      </c>
      <c r="D210" s="76" t="s">
        <v>1529</v>
      </c>
      <c r="E210" s="76" t="s">
        <v>199</v>
      </c>
      <c r="F210" s="76" t="s">
        <v>200</v>
      </c>
      <c r="G210" s="76" t="s">
        <v>418</v>
      </c>
      <c r="H210" s="76" t="s">
        <v>1539</v>
      </c>
      <c r="I210" s="76" t="s">
        <v>1573</v>
      </c>
    </row>
    <row r="211" customFormat="false" ht="27.75" hidden="false" customHeight="true" outlineLevel="0" collapsed="false">
      <c r="A211" s="76" t="s">
        <v>287</v>
      </c>
      <c r="B211" s="76" t="s">
        <v>289</v>
      </c>
      <c r="C211" s="77" t="n">
        <v>46322</v>
      </c>
      <c r="D211" s="76" t="s">
        <v>1529</v>
      </c>
      <c r="E211" s="76" t="s">
        <v>199</v>
      </c>
      <c r="F211" s="76" t="s">
        <v>200</v>
      </c>
      <c r="G211" s="76" t="s">
        <v>607</v>
      </c>
      <c r="H211" s="76" t="s">
        <v>1542</v>
      </c>
      <c r="I211" s="76" t="s">
        <v>1574</v>
      </c>
    </row>
    <row r="212" customFormat="false" ht="27.75" hidden="false" customHeight="true" outlineLevel="0" collapsed="false">
      <c r="A212" s="76" t="s">
        <v>287</v>
      </c>
      <c r="B212" s="76" t="s">
        <v>289</v>
      </c>
      <c r="C212" s="77" t="n">
        <v>46322</v>
      </c>
      <c r="D212" s="76" t="s">
        <v>1529</v>
      </c>
      <c r="E212" s="76" t="s">
        <v>199</v>
      </c>
      <c r="F212" s="76" t="s">
        <v>200</v>
      </c>
      <c r="G212" s="76" t="s">
        <v>425</v>
      </c>
      <c r="H212" s="76" t="s">
        <v>1544</v>
      </c>
      <c r="I212" s="76" t="s">
        <v>1575</v>
      </c>
    </row>
    <row r="213" customFormat="false" ht="27.75" hidden="false" customHeight="true" outlineLevel="0" collapsed="false">
      <c r="A213" s="76" t="s">
        <v>287</v>
      </c>
      <c r="B213" s="76" t="s">
        <v>289</v>
      </c>
      <c r="C213" s="77" t="n">
        <v>46322</v>
      </c>
      <c r="D213" s="76" t="s">
        <v>1529</v>
      </c>
      <c r="E213" s="76" t="s">
        <v>199</v>
      </c>
      <c r="F213" s="76" t="s">
        <v>200</v>
      </c>
      <c r="G213" s="76" t="s">
        <v>425</v>
      </c>
      <c r="H213" s="76" t="s">
        <v>1546</v>
      </c>
      <c r="I213" s="76" t="s">
        <v>1576</v>
      </c>
    </row>
    <row r="214" customFormat="false" ht="27.75" hidden="false" customHeight="true" outlineLevel="0" collapsed="false">
      <c r="A214" s="76" t="s">
        <v>290</v>
      </c>
      <c r="B214" s="76" t="s">
        <v>291</v>
      </c>
      <c r="C214" s="77" t="n">
        <v>46322</v>
      </c>
      <c r="D214" s="76" t="s">
        <v>1531</v>
      </c>
      <c r="E214" s="76" t="s">
        <v>199</v>
      </c>
      <c r="F214" s="76" t="s">
        <v>212</v>
      </c>
      <c r="G214" s="76" t="s">
        <v>418</v>
      </c>
      <c r="H214" s="76" t="s">
        <v>1495</v>
      </c>
      <c r="I214" s="76" t="s">
        <v>1577</v>
      </c>
    </row>
    <row r="215" customFormat="false" ht="27.75" hidden="false" customHeight="true" outlineLevel="0" collapsed="false">
      <c r="A215" s="76" t="s">
        <v>290</v>
      </c>
      <c r="B215" s="76" t="s">
        <v>291</v>
      </c>
      <c r="C215" s="77" t="n">
        <v>46322</v>
      </c>
      <c r="D215" s="76" t="s">
        <v>1531</v>
      </c>
      <c r="E215" s="76" t="s">
        <v>199</v>
      </c>
      <c r="F215" s="76" t="s">
        <v>212</v>
      </c>
      <c r="G215" s="76" t="s">
        <v>418</v>
      </c>
      <c r="H215" s="76" t="s">
        <v>1539</v>
      </c>
      <c r="I215" s="76" t="s">
        <v>1578</v>
      </c>
    </row>
    <row r="216" customFormat="false" ht="27.75" hidden="false" customHeight="true" outlineLevel="0" collapsed="false">
      <c r="A216" s="76" t="s">
        <v>290</v>
      </c>
      <c r="B216" s="76" t="s">
        <v>291</v>
      </c>
      <c r="C216" s="77" t="n">
        <v>46322</v>
      </c>
      <c r="D216" s="76" t="s">
        <v>1531</v>
      </c>
      <c r="E216" s="76" t="s">
        <v>199</v>
      </c>
      <c r="F216" s="76" t="s">
        <v>212</v>
      </c>
      <c r="G216" s="76" t="s">
        <v>425</v>
      </c>
      <c r="H216" s="76" t="s">
        <v>1552</v>
      </c>
      <c r="I216" s="76" t="s">
        <v>1579</v>
      </c>
    </row>
    <row r="217" customFormat="false" ht="27.75" hidden="false" customHeight="true" outlineLevel="0" collapsed="false">
      <c r="A217" s="76" t="s">
        <v>298</v>
      </c>
      <c r="B217" s="76" t="s">
        <v>299</v>
      </c>
      <c r="C217" s="77" t="n">
        <v>46324</v>
      </c>
      <c r="D217" s="76" t="s">
        <v>1532</v>
      </c>
      <c r="E217" s="76" t="s">
        <v>185</v>
      </c>
      <c r="F217" s="76" t="s">
        <v>212</v>
      </c>
      <c r="G217" s="76" t="s">
        <v>418</v>
      </c>
      <c r="H217" s="76" t="s">
        <v>1495</v>
      </c>
      <c r="I217" s="76" t="s">
        <v>1577</v>
      </c>
    </row>
    <row r="218" customFormat="false" ht="27.75" hidden="false" customHeight="true" outlineLevel="0" collapsed="false">
      <c r="A218" s="76" t="s">
        <v>301</v>
      </c>
      <c r="B218" s="76" t="s">
        <v>302</v>
      </c>
      <c r="C218" s="77" t="n">
        <v>46324</v>
      </c>
      <c r="D218" s="76" t="s">
        <v>1533</v>
      </c>
      <c r="E218" s="76" t="s">
        <v>185</v>
      </c>
      <c r="F218" s="76" t="s">
        <v>200</v>
      </c>
      <c r="G218" s="76" t="s">
        <v>418</v>
      </c>
      <c r="H218" s="76" t="s">
        <v>1495</v>
      </c>
      <c r="I218" s="76" t="s">
        <v>1580</v>
      </c>
    </row>
    <row r="219" customFormat="false" ht="27.75" hidden="false" customHeight="true" outlineLevel="0" collapsed="false">
      <c r="A219" s="76" t="s">
        <v>301</v>
      </c>
      <c r="B219" s="76" t="s">
        <v>302</v>
      </c>
      <c r="C219" s="77" t="n">
        <v>46324</v>
      </c>
      <c r="D219" s="76" t="s">
        <v>1533</v>
      </c>
      <c r="E219" s="76" t="s">
        <v>185</v>
      </c>
      <c r="F219" s="76" t="s">
        <v>200</v>
      </c>
      <c r="G219" s="76" t="s">
        <v>425</v>
      </c>
      <c r="H219" s="76" t="s">
        <v>1497</v>
      </c>
      <c r="I219" s="76" t="s">
        <v>1550</v>
      </c>
    </row>
    <row r="220" customFormat="false" ht="27.75" hidden="false" customHeight="true" outlineLevel="0" collapsed="false">
      <c r="A220" s="76" t="s">
        <v>301</v>
      </c>
      <c r="B220" s="76" t="s">
        <v>302</v>
      </c>
      <c r="C220" s="77" t="n">
        <v>46324</v>
      </c>
      <c r="D220" s="76" t="s">
        <v>1533</v>
      </c>
      <c r="E220" s="76" t="s">
        <v>185</v>
      </c>
      <c r="F220" s="76" t="s">
        <v>200</v>
      </c>
      <c r="G220" s="76" t="s">
        <v>612</v>
      </c>
      <c r="H220" s="76" t="s">
        <v>1548</v>
      </c>
      <c r="I220" s="76" t="s">
        <v>1549</v>
      </c>
    </row>
    <row r="221" customFormat="false" ht="27.75" hidden="false" customHeight="true" outlineLevel="0" collapsed="false">
      <c r="A221" s="76" t="s">
        <v>307</v>
      </c>
      <c r="B221" s="76" t="s">
        <v>308</v>
      </c>
      <c r="C221" s="77" t="n">
        <v>46325</v>
      </c>
      <c r="D221" s="76" t="s">
        <v>1534</v>
      </c>
      <c r="E221" s="76" t="s">
        <v>199</v>
      </c>
      <c r="F221" s="76" t="s">
        <v>200</v>
      </c>
      <c r="G221" s="76" t="s">
        <v>418</v>
      </c>
      <c r="H221" s="76" t="s">
        <v>1495</v>
      </c>
      <c r="I221" s="76" t="s">
        <v>1580</v>
      </c>
    </row>
    <row r="222" customFormat="false" ht="27.75" hidden="false" customHeight="true" outlineLevel="0" collapsed="false">
      <c r="A222" s="76" t="s">
        <v>307</v>
      </c>
      <c r="B222" s="76" t="s">
        <v>308</v>
      </c>
      <c r="C222" s="77" t="n">
        <v>46325</v>
      </c>
      <c r="D222" s="76" t="s">
        <v>1534</v>
      </c>
      <c r="E222" s="76" t="s">
        <v>199</v>
      </c>
      <c r="F222" s="76" t="s">
        <v>200</v>
      </c>
      <c r="G222" s="76" t="s">
        <v>418</v>
      </c>
      <c r="H222" s="76" t="s">
        <v>1539</v>
      </c>
      <c r="I222" s="76" t="s">
        <v>1581</v>
      </c>
    </row>
    <row r="223" customFormat="false" ht="27.75" hidden="false" customHeight="true" outlineLevel="0" collapsed="false">
      <c r="A223" s="76" t="s">
        <v>307</v>
      </c>
      <c r="B223" s="76" t="s">
        <v>308</v>
      </c>
      <c r="C223" s="77" t="n">
        <v>46325</v>
      </c>
      <c r="D223" s="76" t="s">
        <v>1534</v>
      </c>
      <c r="E223" s="76" t="s">
        <v>199</v>
      </c>
      <c r="F223" s="76" t="s">
        <v>200</v>
      </c>
      <c r="G223" s="76" t="s">
        <v>418</v>
      </c>
      <c r="H223" s="76" t="s">
        <v>1512</v>
      </c>
      <c r="I223" s="76" t="s">
        <v>1582</v>
      </c>
    </row>
    <row r="224" customFormat="false" ht="27.75" hidden="false" customHeight="true" outlineLevel="0" collapsed="false">
      <c r="A224" s="76" t="s">
        <v>307</v>
      </c>
      <c r="B224" s="76" t="s">
        <v>308</v>
      </c>
      <c r="C224" s="77" t="n">
        <v>46325</v>
      </c>
      <c r="D224" s="76" t="s">
        <v>1534</v>
      </c>
      <c r="E224" s="76" t="s">
        <v>199</v>
      </c>
      <c r="F224" s="76" t="s">
        <v>200</v>
      </c>
      <c r="G224" s="76" t="s">
        <v>477</v>
      </c>
      <c r="H224" s="76" t="s">
        <v>1504</v>
      </c>
      <c r="I224" s="76" t="s">
        <v>1583</v>
      </c>
    </row>
    <row r="225" customFormat="false" ht="27.75" hidden="false" customHeight="true" outlineLevel="0" collapsed="false">
      <c r="A225" s="76" t="s">
        <v>307</v>
      </c>
      <c r="B225" s="76" t="s">
        <v>308</v>
      </c>
      <c r="C225" s="77" t="n">
        <v>46325</v>
      </c>
      <c r="D225" s="76" t="s">
        <v>1534</v>
      </c>
      <c r="E225" s="76" t="s">
        <v>199</v>
      </c>
      <c r="F225" s="76" t="s">
        <v>200</v>
      </c>
      <c r="G225" s="76" t="s">
        <v>477</v>
      </c>
      <c r="H225" s="76" t="s">
        <v>1565</v>
      </c>
      <c r="I225" s="76" t="s">
        <v>1584</v>
      </c>
    </row>
    <row r="226" customFormat="false" ht="27.75" hidden="false" customHeight="true" outlineLevel="0" collapsed="false">
      <c r="A226" s="76" t="s">
        <v>307</v>
      </c>
      <c r="B226" s="76" t="s">
        <v>308</v>
      </c>
      <c r="C226" s="77" t="n">
        <v>46325</v>
      </c>
      <c r="D226" s="76" t="s">
        <v>1534</v>
      </c>
      <c r="E226" s="76" t="s">
        <v>199</v>
      </c>
      <c r="F226" s="76" t="s">
        <v>200</v>
      </c>
      <c r="G226" s="76" t="s">
        <v>607</v>
      </c>
      <c r="H226" s="76" t="s">
        <v>1542</v>
      </c>
      <c r="I226" s="76" t="s">
        <v>1585</v>
      </c>
    </row>
    <row r="227" customFormat="false" ht="27.75" hidden="false" customHeight="true" outlineLevel="0" collapsed="false">
      <c r="A227" s="76" t="s">
        <v>307</v>
      </c>
      <c r="B227" s="76" t="s">
        <v>308</v>
      </c>
      <c r="C227" s="77" t="n">
        <v>46325</v>
      </c>
      <c r="D227" s="76" t="s">
        <v>1534</v>
      </c>
      <c r="E227" s="76" t="s">
        <v>199</v>
      </c>
      <c r="F227" s="76" t="s">
        <v>200</v>
      </c>
      <c r="G227" s="76" t="s">
        <v>425</v>
      </c>
      <c r="H227" s="76" t="s">
        <v>1544</v>
      </c>
      <c r="I227" s="76" t="s">
        <v>1586</v>
      </c>
    </row>
    <row r="228" customFormat="false" ht="27.75" hidden="false" customHeight="true" outlineLevel="0" collapsed="false">
      <c r="A228" s="76" t="s">
        <v>307</v>
      </c>
      <c r="B228" s="76" t="s">
        <v>308</v>
      </c>
      <c r="C228" s="77" t="n">
        <v>46325</v>
      </c>
      <c r="D228" s="76" t="s">
        <v>1534</v>
      </c>
      <c r="E228" s="76" t="s">
        <v>199</v>
      </c>
      <c r="F228" s="76" t="s">
        <v>200</v>
      </c>
      <c r="G228" s="76" t="s">
        <v>425</v>
      </c>
      <c r="H228" s="76" t="s">
        <v>1546</v>
      </c>
      <c r="I228" s="76" t="s">
        <v>1587</v>
      </c>
    </row>
    <row r="229" customFormat="false" ht="27.75" hidden="false" customHeight="true" outlineLevel="0" collapsed="false">
      <c r="A229" s="76" t="s">
        <v>307</v>
      </c>
      <c r="B229" s="76" t="s">
        <v>308</v>
      </c>
      <c r="C229" s="77" t="n">
        <v>46325</v>
      </c>
      <c r="D229" s="76" t="s">
        <v>1534</v>
      </c>
      <c r="E229" s="76" t="s">
        <v>199</v>
      </c>
      <c r="F229" s="76" t="s">
        <v>200</v>
      </c>
      <c r="G229" s="76" t="s">
        <v>612</v>
      </c>
      <c r="H229" s="76" t="s">
        <v>1548</v>
      </c>
      <c r="I229" s="76" t="s">
        <v>1549</v>
      </c>
    </row>
    <row r="230" customFormat="false" ht="27.75" hidden="false" customHeight="true" outlineLevel="0" collapsed="false">
      <c r="A230" s="76" t="s">
        <v>309</v>
      </c>
      <c r="B230" s="76" t="s">
        <v>229</v>
      </c>
      <c r="C230" s="77" t="n">
        <v>46325</v>
      </c>
      <c r="D230" s="76" t="s">
        <v>1518</v>
      </c>
      <c r="E230" s="76" t="s">
        <v>199</v>
      </c>
      <c r="F230" s="76" t="s">
        <v>186</v>
      </c>
      <c r="G230" s="76" t="s">
        <v>425</v>
      </c>
      <c r="H230" s="76" t="s">
        <v>1552</v>
      </c>
      <c r="I230" s="76" t="s">
        <v>1554</v>
      </c>
    </row>
    <row r="231" customFormat="false" ht="27.75" hidden="false" customHeight="true" outlineLevel="0" collapsed="false">
      <c r="A231" s="76" t="s">
        <v>309</v>
      </c>
      <c r="B231" s="76" t="s">
        <v>229</v>
      </c>
      <c r="C231" s="77" t="n">
        <v>46325</v>
      </c>
      <c r="D231" s="76" t="s">
        <v>1518</v>
      </c>
      <c r="E231" s="76" t="s">
        <v>199</v>
      </c>
      <c r="F231" s="76" t="s">
        <v>186</v>
      </c>
      <c r="G231" s="76" t="s">
        <v>612</v>
      </c>
      <c r="H231" s="76" t="s">
        <v>1536</v>
      </c>
      <c r="I231" s="76" t="s">
        <v>1537</v>
      </c>
    </row>
  </sheetData>
  <sheetProtection sheet="true" formatCells="false" formatColumns="false" formatRows="false" autoFilter="false"/>
  <autoFilter ref="A4:N161"/>
  <mergeCells count="1">
    <mergeCell ref="C2:I2"/>
  </mergeCells>
  <printOptions headings="false" gridLines="false" gridLinesSet="true" horizontalCentered="false" verticalCentered="false"/>
  <pageMargins left="0.3" right="0.3" top="1" bottom="1" header="0.511811023622047" footer="0.5"/>
  <pageSetup paperSize="9" scale="100" fitToWidth="3" fitToHeight="0" pageOrder="downThenOver" orientation="landscape" blackAndWhite="false" draft="false" cellComments="none" horizontalDpi="300" verticalDpi="300" copies="1"/>
  <headerFooter differentFirst="false" differentOddEven="false">
    <oddHeader/>
    <oddFooter>&amp;C&amp;8 &amp;A  |  Page &amp;P of &amp;N</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20"/>
    <col collapsed="false" customWidth="true" hidden="false" outlineLevel="0" max="4" min="3" style="0" width="14"/>
    <col collapsed="false" customWidth="true" hidden="false" outlineLevel="0" max="6" min="5" style="0" width="18"/>
    <col collapsed="false" customWidth="true" hidden="false" outlineLevel="0" max="8" min="8" style="0" width="16"/>
    <col collapsed="false" customWidth="true" hidden="false" outlineLevel="0" max="9" min="9" style="0" width="14"/>
    <col collapsed="false" customWidth="true" hidden="false" outlineLevel="0" max="13" min="11" style="0" width="22"/>
  </cols>
  <sheetData>
    <row r="1" customFormat="false" ht="24" hidden="false" customHeight="true" outlineLevel="0" collapsed="false">
      <c r="A1" s="54" t="s">
        <v>1588</v>
      </c>
    </row>
    <row r="2" customFormat="false" ht="15" hidden="false" customHeight="false" outlineLevel="0" collapsed="false">
      <c r="A2" s="2" t="s">
        <v>1589</v>
      </c>
    </row>
    <row r="3" customFormat="false" ht="36" hidden="false" customHeight="true" outlineLevel="0" collapsed="false">
      <c r="H3" s="78" t="s">
        <v>1590</v>
      </c>
      <c r="I3" s="78" t="s">
        <v>1591</v>
      </c>
      <c r="K3" s="78" t="s">
        <v>1592</v>
      </c>
      <c r="L3" s="79" t="s">
        <v>1593</v>
      </c>
      <c r="M3" s="79" t="s">
        <v>1594</v>
      </c>
    </row>
    <row r="4" customFormat="false" ht="39.75" hidden="false" customHeight="true" outlineLevel="0" collapsed="false">
      <c r="A4" s="80" t="s">
        <v>1595</v>
      </c>
      <c r="B4" s="81"/>
      <c r="H4" s="82" t="s">
        <v>1596</v>
      </c>
      <c r="I4" s="82" t="s">
        <v>75</v>
      </c>
      <c r="K4" s="82" t="s">
        <v>1597</v>
      </c>
      <c r="L4" s="82" t="s">
        <v>1598</v>
      </c>
      <c r="M4" s="82" t="s">
        <v>1599</v>
      </c>
    </row>
    <row r="5" customFormat="false" ht="27.75" hidden="false" customHeight="true" outlineLevel="0" collapsed="false">
      <c r="A5" s="80" t="s">
        <v>1600</v>
      </c>
      <c r="B5" s="83" t="n">
        <v>8</v>
      </c>
      <c r="H5" s="82" t="s">
        <v>1601</v>
      </c>
      <c r="I5" s="82" t="s">
        <v>1602</v>
      </c>
      <c r="K5" s="82" t="s">
        <v>1598</v>
      </c>
      <c r="L5" s="82" t="s">
        <v>1603</v>
      </c>
      <c r="M5" s="82" t="s">
        <v>1604</v>
      </c>
    </row>
    <row r="6" customFormat="false" ht="25.5" hidden="false" customHeight="true" outlineLevel="0" collapsed="false">
      <c r="A6" s="80" t="s">
        <v>1605</v>
      </c>
      <c r="B6" s="84" t="n">
        <f aca="true">IF(ISNUMBER(B4),B4,NOW()-N(B5)/24)</f>
        <v>46294.018157638</v>
      </c>
      <c r="C6" s="85" t="n">
        <f aca="false">B6+8/24</f>
        <v>46294.3514909714</v>
      </c>
      <c r="D6" s="86" t="s">
        <v>1606</v>
      </c>
      <c r="H6" s="82" t="s">
        <v>1607</v>
      </c>
      <c r="K6" s="82" t="s">
        <v>1608</v>
      </c>
      <c r="L6" s="82" t="s">
        <v>1609</v>
      </c>
      <c r="M6" s="82" t="s">
        <v>1610</v>
      </c>
    </row>
    <row r="7" customFormat="false" ht="51.75" hidden="false" customHeight="true" outlineLevel="0" collapsed="false">
      <c r="A7" s="80" t="s">
        <v>1611</v>
      </c>
      <c r="B7" s="83" t="n">
        <v>6</v>
      </c>
      <c r="C7" s="87" t="n">
        <f aca="false">IF(ISNUMBER(B7),MIN(MAX(B7,1),10),6)</f>
        <v>6</v>
      </c>
      <c r="D7" s="86" t="s">
        <v>1612</v>
      </c>
      <c r="H7" s="82" t="s">
        <v>1613</v>
      </c>
      <c r="K7" s="82" t="s">
        <v>1603</v>
      </c>
      <c r="L7" s="82" t="s">
        <v>1614</v>
      </c>
      <c r="M7" s="82" t="s">
        <v>1615</v>
      </c>
    </row>
    <row r="8" customFormat="false" ht="39.75" hidden="false" customHeight="true" outlineLevel="0" collapsed="false">
      <c r="A8" s="80" t="s">
        <v>1616</v>
      </c>
      <c r="B8" s="83" t="n">
        <v>24</v>
      </c>
      <c r="C8" s="87" t="n">
        <f aca="false">IF(ISNUMBER(B8),MIN(MAX(B8,1),72),24)</f>
        <v>24</v>
      </c>
      <c r="D8" s="86" t="s">
        <v>1617</v>
      </c>
      <c r="H8" s="82" t="s">
        <v>1618</v>
      </c>
      <c r="K8" s="82" t="s">
        <v>1619</v>
      </c>
      <c r="L8" s="82" t="s">
        <v>1620</v>
      </c>
      <c r="M8" s="82" t="s">
        <v>1621</v>
      </c>
    </row>
    <row r="9" customFormat="false" ht="27.75" hidden="false" customHeight="true" outlineLevel="0" collapsed="false">
      <c r="A9" s="80" t="s">
        <v>1622</v>
      </c>
      <c r="B9" s="83" t="n">
        <v>12</v>
      </c>
      <c r="C9" s="87" t="n">
        <f aca="false">IF(ISNUMBER(B9),MIN(MAX(B9,1),48),12)</f>
        <v>12</v>
      </c>
      <c r="D9" s="86" t="s">
        <v>1623</v>
      </c>
      <c r="H9" s="82" t="s">
        <v>92</v>
      </c>
      <c r="K9" s="82" t="s">
        <v>1624</v>
      </c>
      <c r="L9" s="82" t="s">
        <v>1625</v>
      </c>
      <c r="M9" s="82" t="s">
        <v>1626</v>
      </c>
    </row>
    <row r="10" customFormat="false" ht="27.75" hidden="false" customHeight="true" outlineLevel="0" collapsed="false">
      <c r="A10" s="80" t="s">
        <v>1627</v>
      </c>
      <c r="B10" s="83" t="n">
        <v>14</v>
      </c>
      <c r="C10" s="87" t="n">
        <f aca="false">IF(ISNUMBER(B10),MIN(MAX(B10,1),60),14)</f>
        <v>14</v>
      </c>
      <c r="D10" s="86" t="s">
        <v>1628</v>
      </c>
      <c r="K10" s="82" t="s">
        <v>1629</v>
      </c>
      <c r="L10" s="82" t="s">
        <v>1630</v>
      </c>
      <c r="M10" s="82" t="s">
        <v>1631</v>
      </c>
    </row>
    <row r="11" customFormat="false" ht="15" hidden="false" customHeight="false" outlineLevel="0" collapsed="false">
      <c r="A11" s="88" t="s">
        <v>1632</v>
      </c>
      <c r="K11" s="82" t="s">
        <v>1609</v>
      </c>
      <c r="L11" s="82" t="s">
        <v>1633</v>
      </c>
      <c r="M11" s="82" t="s">
        <v>1634</v>
      </c>
    </row>
    <row r="12" customFormat="false" ht="30" hidden="false" customHeight="true" outlineLevel="0" collapsed="false">
      <c r="A12" s="56" t="s">
        <v>1635</v>
      </c>
      <c r="B12" s="56" t="s">
        <v>1636</v>
      </c>
      <c r="C12" s="56" t="s">
        <v>1637</v>
      </c>
      <c r="D12" s="56" t="s">
        <v>1638</v>
      </c>
      <c r="E12" s="56" t="s">
        <v>1639</v>
      </c>
      <c r="F12" s="56" t="s">
        <v>1640</v>
      </c>
      <c r="K12" s="82" t="s">
        <v>1641</v>
      </c>
      <c r="L12" s="82" t="s">
        <v>1642</v>
      </c>
      <c r="M12" s="82" t="s">
        <v>1643</v>
      </c>
    </row>
    <row r="13" customFormat="false" ht="15" hidden="false" customHeight="false" outlineLevel="0" collapsed="false">
      <c r="A13" s="89" t="s">
        <v>184</v>
      </c>
      <c r="B13" s="89" t="s">
        <v>1644</v>
      </c>
      <c r="C13" s="89" t="n">
        <v>8</v>
      </c>
      <c r="D13" s="89"/>
      <c r="E13" s="90"/>
      <c r="F13" s="90"/>
      <c r="K13" s="82" t="s">
        <v>1645</v>
      </c>
      <c r="L13" s="82" t="s">
        <v>1641</v>
      </c>
      <c r="M13" s="82" t="s">
        <v>1646</v>
      </c>
    </row>
    <row r="14" customFormat="false" ht="15" hidden="false" customHeight="false" outlineLevel="0" collapsed="false">
      <c r="A14" s="89" t="s">
        <v>251</v>
      </c>
      <c r="B14" s="89" t="s">
        <v>1644</v>
      </c>
      <c r="C14" s="89" t="n">
        <v>8</v>
      </c>
      <c r="D14" s="89"/>
      <c r="E14" s="90"/>
      <c r="F14" s="90"/>
      <c r="K14" s="82" t="s">
        <v>1647</v>
      </c>
      <c r="L14" s="82" t="s">
        <v>1648</v>
      </c>
      <c r="M14" s="82" t="s">
        <v>1649</v>
      </c>
    </row>
    <row r="15" customFormat="false" ht="15" hidden="false" customHeight="false" outlineLevel="0" collapsed="false">
      <c r="A15" s="89" t="s">
        <v>303</v>
      </c>
      <c r="B15" s="89" t="s">
        <v>1644</v>
      </c>
      <c r="C15" s="89" t="n">
        <v>8</v>
      </c>
      <c r="D15" s="89"/>
      <c r="E15" s="90"/>
      <c r="F15" s="90"/>
      <c r="K15" s="82" t="s">
        <v>1650</v>
      </c>
      <c r="L15" s="82" t="s">
        <v>1651</v>
      </c>
      <c r="M15" s="82" t="s">
        <v>1652</v>
      </c>
    </row>
    <row r="16" customFormat="false" ht="15" hidden="false" customHeight="false" outlineLevel="0" collapsed="false">
      <c r="A16" s="89" t="s">
        <v>183</v>
      </c>
      <c r="B16" s="89" t="s">
        <v>1653</v>
      </c>
      <c r="C16" s="89" t="n">
        <v>0</v>
      </c>
      <c r="D16" s="89" t="n">
        <v>1</v>
      </c>
      <c r="E16" s="90" t="n">
        <v>46110.0416666667</v>
      </c>
      <c r="F16" s="90" t="n">
        <v>46320.0416666667</v>
      </c>
      <c r="K16" s="82" t="s">
        <v>1654</v>
      </c>
      <c r="L16" s="82" t="s">
        <v>1655</v>
      </c>
      <c r="M16" s="82" t="s">
        <v>1656</v>
      </c>
    </row>
    <row r="17" customFormat="false" ht="15" hidden="false" customHeight="false" outlineLevel="0" collapsed="false">
      <c r="A17" s="89" t="s">
        <v>198</v>
      </c>
      <c r="B17" s="89" t="s">
        <v>1657</v>
      </c>
      <c r="C17" s="89" t="n">
        <v>7</v>
      </c>
      <c r="D17" s="89"/>
      <c r="E17" s="90"/>
      <c r="F17" s="90"/>
      <c r="K17" s="82" t="s">
        <v>1658</v>
      </c>
      <c r="L17" s="82" t="s">
        <v>1659</v>
      </c>
      <c r="M17" s="82" t="s">
        <v>1660</v>
      </c>
    </row>
    <row r="18" customFormat="false" ht="15" hidden="false" customHeight="false" outlineLevel="0" collapsed="false">
      <c r="A18" s="89" t="s">
        <v>237</v>
      </c>
      <c r="B18" s="89" t="s">
        <v>1661</v>
      </c>
      <c r="C18" s="89" t="n">
        <v>7</v>
      </c>
      <c r="D18" s="89"/>
      <c r="E18" s="90"/>
      <c r="F18" s="90"/>
      <c r="K18" s="82" t="s">
        <v>1662</v>
      </c>
      <c r="L18" s="82" t="s">
        <v>1663</v>
      </c>
    </row>
    <row r="19" customFormat="false" ht="15" hidden="false" customHeight="false" outlineLevel="0" collapsed="false">
      <c r="A19" s="89" t="s">
        <v>217</v>
      </c>
      <c r="B19" s="89" t="s">
        <v>1664</v>
      </c>
      <c r="C19" s="89" t="n">
        <v>9</v>
      </c>
      <c r="D19" s="89"/>
      <c r="E19" s="90"/>
      <c r="F19" s="90"/>
      <c r="K19" s="82" t="s">
        <v>1665</v>
      </c>
      <c r="L19" s="82" t="s">
        <v>1666</v>
      </c>
    </row>
    <row r="20" customFormat="false" ht="15" hidden="false" customHeight="false" outlineLevel="0" collapsed="false">
      <c r="A20" s="89" t="s">
        <v>292</v>
      </c>
      <c r="B20" s="89" t="s">
        <v>1664</v>
      </c>
      <c r="C20" s="89" t="n">
        <v>9</v>
      </c>
      <c r="D20" s="89"/>
      <c r="E20" s="90"/>
      <c r="F20" s="90"/>
      <c r="K20" s="82" t="s">
        <v>1667</v>
      </c>
      <c r="L20" s="82" t="s">
        <v>1668</v>
      </c>
    </row>
    <row r="21" customFormat="false" ht="15" hidden="false" customHeight="false" outlineLevel="0" collapsed="false">
      <c r="A21" s="89" t="s">
        <v>279</v>
      </c>
      <c r="B21" s="89" t="s">
        <v>1669</v>
      </c>
      <c r="C21" s="89" t="n">
        <v>8</v>
      </c>
      <c r="D21" s="89"/>
      <c r="E21" s="90"/>
      <c r="F21" s="90"/>
      <c r="K21" s="82" t="s">
        <v>1670</v>
      </c>
      <c r="L21" s="82" t="s">
        <v>1671</v>
      </c>
    </row>
    <row r="22" customFormat="false" ht="15" hidden="false" customHeight="false" outlineLevel="0" collapsed="false">
      <c r="A22" s="89" t="s">
        <v>260</v>
      </c>
      <c r="B22" s="89" t="s">
        <v>1672</v>
      </c>
      <c r="C22" s="89" t="n">
        <v>9.5</v>
      </c>
      <c r="D22" s="89" t="n">
        <v>10.5</v>
      </c>
      <c r="E22" s="90" t="n">
        <v>46298.6875</v>
      </c>
      <c r="F22" s="90" t="n">
        <v>46480.6875</v>
      </c>
      <c r="K22" s="82" t="s">
        <v>1673</v>
      </c>
      <c r="L22" s="82" t="s">
        <v>1674</v>
      </c>
    </row>
    <row r="23" customFormat="false" ht="30" hidden="false" customHeight="true" outlineLevel="0" collapsed="false">
      <c r="A23" s="91" t="s">
        <v>1675</v>
      </c>
      <c r="B23" s="91"/>
      <c r="C23" s="91"/>
      <c r="D23" s="91"/>
      <c r="E23" s="91"/>
      <c r="F23" s="91"/>
      <c r="K23" s="82" t="s">
        <v>1676</v>
      </c>
      <c r="L23" s="82" t="s">
        <v>1677</v>
      </c>
    </row>
    <row r="24" customFormat="false" ht="15" hidden="false" customHeight="false" outlineLevel="0" collapsed="false">
      <c r="K24" s="82" t="s">
        <v>1678</v>
      </c>
    </row>
    <row r="25" customFormat="false" ht="15" hidden="false" customHeight="false" outlineLevel="0" collapsed="false">
      <c r="K25" s="82" t="s">
        <v>1679</v>
      </c>
    </row>
    <row r="26" customFormat="false" ht="15" hidden="false" customHeight="false" outlineLevel="0" collapsed="false">
      <c r="K26" s="82" t="s">
        <v>1680</v>
      </c>
    </row>
    <row r="27" customFormat="false" ht="15" hidden="false" customHeight="false" outlineLevel="0" collapsed="false">
      <c r="K27" s="82" t="s">
        <v>1681</v>
      </c>
    </row>
    <row r="28" customFormat="false" ht="15" hidden="false" customHeight="false" outlineLevel="0" collapsed="false">
      <c r="K28" s="82" t="s">
        <v>1682</v>
      </c>
    </row>
    <row r="29" customFormat="false" ht="15" hidden="false" customHeight="false" outlineLevel="0" collapsed="false">
      <c r="K29" s="82" t="s">
        <v>1683</v>
      </c>
    </row>
    <row r="30" customFormat="false" ht="15" hidden="false" customHeight="false" outlineLevel="0" collapsed="false">
      <c r="K30" s="82" t="s">
        <v>1684</v>
      </c>
    </row>
    <row r="31" customFormat="false" ht="15" hidden="false" customHeight="false" outlineLevel="0" collapsed="false">
      <c r="K31" s="82" t="s">
        <v>1685</v>
      </c>
    </row>
    <row r="32" customFormat="false" ht="15" hidden="false" customHeight="false" outlineLevel="0" collapsed="false">
      <c r="K32" s="82" t="s">
        <v>1686</v>
      </c>
    </row>
    <row r="33" customFormat="false" ht="15" hidden="false" customHeight="false" outlineLevel="0" collapsed="false">
      <c r="K33" s="82" t="s">
        <v>1687</v>
      </c>
    </row>
    <row r="34" customFormat="false" ht="15" hidden="false" customHeight="false" outlineLevel="0" collapsed="false">
      <c r="K34" s="82" t="s">
        <v>1688</v>
      </c>
    </row>
    <row r="35" customFormat="false" ht="15" hidden="false" customHeight="false" outlineLevel="0" collapsed="false">
      <c r="K35" s="82" t="s">
        <v>1689</v>
      </c>
    </row>
    <row r="36" customFormat="false" ht="15" hidden="false" customHeight="false" outlineLevel="0" collapsed="false">
      <c r="K36" s="82" t="s">
        <v>1690</v>
      </c>
    </row>
    <row r="37" customFormat="false" ht="15" hidden="false" customHeight="false" outlineLevel="0" collapsed="false">
      <c r="K37" s="82" t="s">
        <v>1691</v>
      </c>
    </row>
  </sheetData>
  <sheetProtection sheet="true" formatCells="false" formatColumns="false" formatRows="false" autoFilter="false"/>
  <mergeCells count="1">
    <mergeCell ref="A23:F23"/>
  </mergeCells>
  <dataValidations count="6">
    <dataValidation allowBlank="false" error="UTC offset in hours, -12 to 14" errorStyle="stop" errorTitle="Invalid setting" operator="between" showDropDown="false" showErrorMessage="true" showInputMessage="false" sqref="B5" type="decimal">
      <formula1>-12</formula1>
      <formula2>14</formula2>
    </dataValidation>
    <dataValidation allowBlank="false" error="Hours, 1 to 10 (must stay below the 12 h preparation check)" errorStyle="stop" errorTitle="Invalid setting" operator="between" showDropDown="false" showErrorMessage="true" showInputMessage="false" sqref="B7" type="decimal">
      <formula1>1</formula1>
      <formula2>10</formula2>
    </dataValidation>
    <dataValidation allowBlank="false" error="Hours, 1 to 72" errorStyle="stop" errorTitle="Invalid setting" operator="between" showDropDown="false" showErrorMessage="true" showInputMessage="false" sqref="B8" type="decimal">
      <formula1>1</formula1>
      <formula2>72</formula2>
    </dataValidation>
    <dataValidation allowBlank="false" error="Hours, 1 to 48" errorStyle="stop" errorTitle="Invalid setting" operator="between" showDropDown="false" showErrorMessage="true" showInputMessage="false" sqref="B9" type="decimal">
      <formula1>1</formula1>
      <formula2>48</formula2>
    </dataValidation>
    <dataValidation allowBlank="false" error="Days, 1 to 60" errorStyle="stop" errorTitle="Invalid setting" operator="between" showDropDown="false" showErrorMessage="true" showInputMessage="false" sqref="B10" type="decimal">
      <formula1>1</formula1>
      <formula2>60</formula2>
    </dataValidation>
    <dataValidation allowBlank="true" error="Enter a UTC date-time in 2026-2027, or leave blank for the live clock." errorStyle="stop" errorTitle="Date-time required" operator="between" showDropDown="false" showErrorMessage="true" showInputMessage="false" sqref="B4" type="decimal">
      <formula1>46023</formula1>
      <formula2>46752</formula2>
    </dataValidation>
  </dataValidations>
  <printOptions headings="false" gridLines="false" gridLinesSet="true" horizontalCentered="false" verticalCentered="false"/>
  <pageMargins left="0.3" right="0.3" top="1" bottom="1" header="0.511811023622047" footer="0.5"/>
  <pageSetup paperSize="9" scale="100" fitToWidth="1" fitToHeight="1" pageOrder="downThenOver" orientation="landscape" blackAndWhite="false" draft="false" cellComments="none" horizontalDpi="300" verticalDpi="300" copies="1"/>
  <headerFooter differentFirst="false" differentOddEven="false">
    <oddHeader/>
    <oddFooter>&amp;C&amp;8 &amp;A  |  Page &amp;P of &amp;N</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F01  "&amp;Flights!$F$5&amp;"  "&amp;TEXT(Flights!$D$5,"DD-MMM-YY")&amp;" ("&amp;Flights!$E$5&amp;")  "&amp;Flights!$G$5&amp;" → "&amp;Flights!$H$5&amp;"  |  Class "&amp;Flights!$K$5</f>
        <v>SKYTRAX 2026 CATERING READINESS CHECKLIST  |  F01  MH0001  08-Oct-26 (THU)  LHR → KUL  |  Class EY</v>
      </c>
      <c r="B1" s="92"/>
      <c r="C1" s="92"/>
      <c r="D1" s="92"/>
      <c r="E1" s="92"/>
      <c r="F1" s="92"/>
      <c r="G1" s="92"/>
      <c r="H1" s="92"/>
    </row>
    <row r="2" customFormat="false" ht="12.75" hidden="false" customHeight="true" outlineLevel="0" collapsed="false">
      <c r="A2" s="93" t="s">
        <v>1692</v>
      </c>
      <c r="B2" s="94" t="str">
        <f aca="false">Flights!$F$5&amp;"   "&amp;TEXT(Flights!$D$5,"DD-MMM-YY")&amp;" ("&amp;Flights!$E$5&amp;")"</f>
        <v>MH0001   08-Oct-26 (THU)</v>
      </c>
      <c r="C2" s="94"/>
      <c r="D2" s="94"/>
      <c r="E2" s="95" t="s">
        <v>1693</v>
      </c>
      <c r="F2" s="96" t="str">
        <f aca="false">Flights!$AT$5</f>
        <v>NOT READY – DOCUMENTS</v>
      </c>
      <c r="G2" s="96"/>
      <c r="H2" s="96"/>
    </row>
    <row r="3" customFormat="false" ht="24" hidden="false" customHeight="true" outlineLevel="0" collapsed="false">
      <c r="A3" s="93" t="s">
        <v>1694</v>
      </c>
      <c r="B3" s="94" t="str">
        <f aca="false">Flights!$G$5&amp;" → "&amp;Flights!$H$5&amp;"   Class "&amp;Flights!$K$5&amp;"   Seat "&amp;Flights!$O$5</f>
        <v>LHR → KUL   Class EY   Seat 14C</v>
      </c>
      <c r="C3" s="94"/>
      <c r="D3" s="94"/>
      <c r="E3" s="95" t="s">
        <v>71</v>
      </c>
      <c r="F3" s="95" t="s">
        <v>1695</v>
      </c>
      <c r="G3" s="95" t="s">
        <v>1696</v>
      </c>
      <c r="H3" s="95"/>
    </row>
    <row r="4" customFormat="false" ht="24" hidden="false" customHeight="true" outlineLevel="0" collapsed="false">
      <c r="A4" s="93" t="s">
        <v>1697</v>
      </c>
      <c r="B4" s="94" t="str">
        <f aca="false">IF(ISNUMBER(Flights!$I$5),TEXT(Flights!$I$5,"DD-MMM-YY HH:MM"),"")&amp;" "&amp;Flights!$G$5&amp;"  →  "&amp;IF(ISNUMBER(Flights!$J$5),TEXT(Flights!$J$5,"DD-MMM-YY HH:MM"),"")&amp;" "&amp;Flights!$H$5</f>
        <v>08-Oct-26 21:35 LHR  →  09-Oct-26 17:50 KUL</v>
      </c>
      <c r="C4" s="94"/>
      <c r="D4" s="94"/>
      <c r="E4" s="93" t="s">
        <v>1698</v>
      </c>
      <c r="F4" s="97" t="str">
        <f aca="false">IF(ISNUMBER(Flights!$AG$5),TEXT(Flights!$AG$5,"DD-MMM-YY HH:MM"),"")&amp;" "&amp;Flights!$V$5</f>
        <v>01-Oct-26 21:35 LHR</v>
      </c>
      <c r="G4" s="98" t="n">
        <f aca="false">Flights!$AJ$5</f>
        <v>0</v>
      </c>
      <c r="H4" s="98"/>
    </row>
    <row r="5" customFormat="false" ht="24" hidden="false" customHeight="true" outlineLevel="0" collapsed="false">
      <c r="A5" s="93" t="s">
        <v>1699</v>
      </c>
      <c r="B5" s="94" t="str">
        <f aca="false">Flights!$L$5&amp;" – "&amp;Flights!$M$5</f>
        <v>A350 – A350-900: A359 (9M-MAB..MAG, row 6) or A350 9M-MAH (row 7) - tail to confirm</v>
      </c>
      <c r="C5" s="94"/>
      <c r="D5" s="94"/>
      <c r="E5" s="93" t="s">
        <v>1700</v>
      </c>
      <c r="F5" s="97" t="str">
        <f aca="false">IF(ISNUMBER(Flights!$AH$5),TEXT(Flights!$AH$5,"DD-MMM-YY HH:MM"),"")&amp;" "&amp;Flights!$V$5</f>
        <v>07-Oct-26 21:35 LHR</v>
      </c>
      <c r="G5" s="98" t="n">
        <f aca="false">Flights!$AK$5</f>
        <v>0</v>
      </c>
      <c r="H5" s="98"/>
    </row>
    <row r="6" customFormat="false" ht="24" hidden="false" customHeight="true" outlineLevel="0" collapsed="false">
      <c r="A6" s="93" t="s">
        <v>1701</v>
      </c>
      <c r="B6" s="94" t="str">
        <f aca="false">IF(TRIM(Flights!$N$5)="","__________________",Flights!$N$5)</f>
        <v>__________________</v>
      </c>
      <c r="C6" s="94"/>
      <c r="D6" s="94"/>
      <c r="E6" s="93" t="s">
        <v>1702</v>
      </c>
      <c r="F6" s="97" t="str">
        <f aca="false">IF(ISNUMBER(Flights!$AI$5),TEXT(Flights!$AI$5,"DD-MMM-YY HH:MM"),"")&amp;" "&amp;Flights!$V$5&amp;IF(Flights!$AI$5=Flights!$AH$5,"  (= T-24H due)","")</f>
        <v>08-Oct-26 09:35 LHR</v>
      </c>
      <c r="G6" s="98" t="n">
        <f aca="false">Flights!$AL$5</f>
        <v>0</v>
      </c>
      <c r="H6" s="98"/>
    </row>
    <row r="7" customFormat="false" ht="24" hidden="false" customHeight="true" outlineLevel="0" collapsed="false">
      <c r="A7" s="93" t="s">
        <v>1703</v>
      </c>
      <c r="B7" s="94" t="str">
        <f aca="false">Flights!$T$5</f>
        <v>2.5 Meal (Meal)</v>
      </c>
      <c r="C7" s="94"/>
      <c r="D7" s="94"/>
      <c r="E7" s="93" t="s">
        <v>1704</v>
      </c>
      <c r="F7" s="97" t="str">
        <f aca="false">"STD "&amp;IF(ISNUMBER(Flights!$I$5),TEXT(Flights!$I$5,"DD-MMM-YY HH:MM"),"")&amp;" "&amp;Flights!$G$5&amp;" (dep stn)"</f>
        <v>STD 08-Oct-26 21:35 LHR (dep stn)</v>
      </c>
      <c r="G7" s="98" t="n">
        <f aca="false">Flights!$AM$5</f>
        <v>0</v>
      </c>
      <c r="H7" s="98"/>
    </row>
    <row r="8" customFormat="false" ht="12.75" hidden="false" customHeight="true" outlineLevel="0" collapsed="false">
      <c r="A8" s="93" t="s">
        <v>153</v>
      </c>
      <c r="B8" s="94" t="str">
        <f aca="false">Flights!$V$5&amp;"   (reference uplift stns: "&amp;Flights!$U$5&amp;")"</f>
        <v>LHR   (reference uplift stns: KUL/LHR)</v>
      </c>
      <c r="C8" s="94"/>
      <c r="D8" s="94"/>
      <c r="E8" s="93" t="s">
        <v>1705</v>
      </c>
      <c r="F8" s="99" t="s">
        <v>1706</v>
      </c>
      <c r="G8" s="98" t="n">
        <f aca="false">Flights!$AN$5</f>
        <v>0</v>
      </c>
      <c r="H8" s="98"/>
    </row>
    <row r="9" customFormat="false" ht="12.75" hidden="false" customHeight="true" outlineLevel="0" collapsed="false">
      <c r="A9" s="93" t="s">
        <v>1707</v>
      </c>
      <c r="B9" s="94" t="str">
        <f aca="false">TRIM(Flights!$P$5&amp;"  "&amp;Flights!$Q$5)</f>
        <v>-</v>
      </c>
      <c r="C9" s="94"/>
      <c r="D9" s="94"/>
      <c r="E9" s="93" t="s">
        <v>1708</v>
      </c>
      <c r="F9" s="100" t="n">
        <f aca="false">Flights!$AP$5</f>
        <v>0</v>
      </c>
      <c r="G9" s="100" t="n">
        <f aca="false">Flights!$AQ$5</f>
        <v>0</v>
      </c>
      <c r="H9" s="100" t="n">
        <f aca="false">Flights!$AU$5</f>
        <v>0</v>
      </c>
    </row>
    <row r="10" customFormat="false" ht="24" hidden="false" customHeight="true" outlineLevel="0" collapsed="false">
      <c r="A10" s="93" t="s">
        <v>1709</v>
      </c>
      <c r="B10" s="94" t="str">
        <f aca="false">IF(TRIM(Flights!$X$5)="","__________________",Flights!$X$5)</f>
        <v>__________________</v>
      </c>
      <c r="C10" s="94"/>
      <c r="D10" s="94"/>
      <c r="E10" s="93" t="s">
        <v>1710</v>
      </c>
      <c r="F10" s="100" t="n">
        <f aca="false">Flights!$AO$5</f>
        <v>24</v>
      </c>
      <c r="G10" s="100" t="n">
        <f aca="false">Flights!$AS$5</f>
        <v>1</v>
      </c>
      <c r="H10" s="100" t="n">
        <f aca="false">Flights!$AR$5</f>
        <v>2</v>
      </c>
    </row>
    <row r="11" customFormat="false" ht="21" hidden="false" customHeight="true" outlineLevel="0" collapsed="false">
      <c r="A11" s="93" t="s">
        <v>1711</v>
      </c>
      <c r="B11" s="94" t="str">
        <f aca="false">IF(TRIM(Flights!$Y$5)="","__________________",Flights!$Y$5)</f>
        <v>__________________</v>
      </c>
      <c r="C11" s="94"/>
      <c r="D11" s="94"/>
      <c r="E11" s="93" t="s">
        <v>1712</v>
      </c>
      <c r="F11" s="100" t="str">
        <f aca="false">Flights!$AV$5&amp;" / "&amp;Flights!$AW$5</f>
        <v>0 / 24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IF(Documents!$F$5="","",Documents!$F$5)</f>
        <v/>
      </c>
      <c r="C14" s="99" t="str">
        <f aca="false">IF(Documents!$G$5="","",Documents!$G$5)&amp;IF(ISNUMBER(Documents!$H$5),"  "&amp;TEXT(Documents!$H$5,"DD-MMM-YY"),"")</f>
        <v/>
      </c>
      <c r="D14" s="99"/>
      <c r="E14" s="107" t="str">
        <f aca="false">IF(Documents!$J$5="OUTSTANDING","OUTSTANDING – attach before T-7D (due "&amp;IF(ISNUMBER(Flights!$AG$5),TEXT(Flights!$AG$5,"DD-MMM-YY HH:MM"),"")&amp;" "&amp;Flights!$V$5&amp;")",IF(Documents!$J$5="","Status not recorded",Documents!$J$5))</f>
        <v>OUTSTANDING – attach before T-7D (due 01-Oct-26 21:35 LHR)</v>
      </c>
      <c r="F14" s="108" t="str">
        <f aca="false">"Staple behind this sheet as page A1."&amp;IF(Documents!$I$5="",""," Location: "&amp;Documents!$I$5)</f>
        <v>Staple behind this sheet as page A1.</v>
      </c>
      <c r="G14" s="108"/>
      <c r="H14" s="108"/>
    </row>
    <row r="15" customFormat="false" ht="36" hidden="false" customHeight="true" outlineLevel="0" collapsed="false">
      <c r="A15" s="93" t="s">
        <v>1723</v>
      </c>
      <c r="B15" s="94" t="str">
        <f aca="false">IF(Documents!$K$5="","",Documents!$K$5)</f>
        <v/>
      </c>
      <c r="C15" s="99" t="str">
        <f aca="false">IF(Documents!$L$5="","",Documents!$L$5)&amp;IF(ISNUMBER(Documents!$M$5),"  "&amp;TEXT(Documents!$M$5,"DD-MMM-YY"),"")</f>
        <v/>
      </c>
      <c r="D15" s="99"/>
      <c r="E15" s="107" t="str">
        <f aca="false">IF(Documents!$O$5="OUTSTANDING","OUTSTANDING – attach before T-7D (due "&amp;IF(ISNUMBER(Flights!$AG$5),TEXT(Flights!$AG$5,"DD-MMM-YY HH:MM"),"")&amp;" "&amp;Flights!$V$5&amp;")",IF(Documents!$O$5="","Status not recorded",Documents!$O$5))</f>
        <v>OUTSTANDING – attach before T-7D (due 01-Oct-26 21:35 LHR)</v>
      </c>
      <c r="F15" s="108" t="str">
        <f aca="false">"Staple behind this sheet as page A2."&amp;IF(Documents!$N$5="",""," Location: "&amp;Documents!$N$5)</f>
        <v>Staple behind this sheet as page A2.</v>
      </c>
      <c r="G15" s="108"/>
      <c r="H15" s="108"/>
    </row>
    <row r="16" customFormat="false" ht="22.5" hidden="false" customHeight="true" outlineLevel="0" collapsed="false">
      <c r="A16" s="93" t="s">
        <v>1724</v>
      </c>
      <c r="B16" s="109" t="str">
        <f aca="false">IF(Documents!$Q$5="","",Documents!$Q$5)</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"&amp;IF(TRIM(Flights!$Y$5)="","__________________",Flights!$Y$5)</f>
        <v>Name: __________________</v>
      </c>
      <c r="B18" s="94"/>
      <c r="C18" s="94" t="str">
        <f aca="false">"Name: __________________"</f>
        <v>Name: __________________</v>
      </c>
      <c r="D18" s="94"/>
      <c r="E18" s="94"/>
      <c r="F18" s="94" t="str">
        <f aca="false">"Name: __________________"&amp;"   Station: "&amp;Flights!$V$5</f>
        <v>Name: __________________   Station: LHR</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"&amp;IF(ISNUMBER(Flights!$AG$5),TEXT(Flights!$AG$5,"DD-MMM-YY HH:MM"),"")&amp;" "&amp;Flights!$V$5&amp;" (meal uplift stn)"&amp;" (rows with another due show their own)  |  Complete "&amp;IF(ISNUMBER(Flights!$AJ$5),TEXT(Flights!$AJ$5,"0%"),Flights!$AJ$5)&amp;"  |  9 lines"</f>
        <v>T-7D — 7 days before departure  |  Due 01-Oct-26 21:35 LHR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Checks!$A$5&amp;CHAR(10)&amp;IF(Checks!$I$5="","",Checks!$I$5&amp;": ")&amp;Checks!$J$5</f>
        <v>F01-T7-01
Meal: Meal sensory testing completed for this flight's menu cycle (assessed class)</v>
      </c>
      <c r="B23" s="114" t="str">
        <f aca="false">Checks!$K$5&amp;IF(Checks!$O$5="","",IF(Checks!$K$5="","",CHAR(10))&amp;"Note: "&amp;Checks!$O$5)</f>
        <v>Record panel result / score in Result</v>
      </c>
      <c r="C23" s="114" t="str">
        <f aca="false">Checks!$N$5&amp;CHAR(10)&amp;IF(ISNUMBER(Checks!$R$5),TEXT(Checks!$R$5,"DD-MMM-YY HH:MM"),"")&amp;" "&amp;Checks!$P$5</f>
        <v>Required
01-Oct-26 21:35 LHR</v>
      </c>
      <c r="D23" s="114" t="str">
        <f aca="false">IF(Checks!$U$5="","",Checks!$U$5)&amp;IF(Checks!$AB$5="","",CHAR(10)&amp;"CA: "&amp;Checks!$AB$5)</f>
        <v/>
      </c>
      <c r="E23" s="114" t="str">
        <f aca="false">IF(Checks!$V$5="","",Checks!$V$5)&amp;IF(Checks!$AC$5="","",IF(Checks!$V$5="","",CHAR(10))&amp;"N/A just.: "&amp;Checks!$AC$5)&amp;IF(Checks!$W$5="","",CHAR(10)&amp;"Batch: "&amp;Checks!$W$5)&amp;IF(AND(Checks!$X$5="",Checks!$Y$5=""),"",CHAR(10)&amp;"Exp: "&amp;Checks!$X$5&amp;"  /  Act: "&amp;Checks!$Y$5)</f>
        <v/>
      </c>
      <c r="F23" s="114" t="str">
        <f aca="false">IF(Checks!$Z$5="","","Evidence: "&amp;Checks!$Z$5)&amp;IF(Checks!$AA$5="","",IF(Checks!$Z$5="","",CHAR(10))&amp;"CA: "&amp;Checks!$AA$5)</f>
        <v/>
      </c>
      <c r="G23" s="114" t="str">
        <f aca="false">IF(ISNUMBER(Checks!$AD$5),TEXT(Checks!$AD$5,"DD-MMM-YY HH:MM")&amp;" "&amp;Checks!$P$5,"")&amp;IF(Checks!$AE$5="","",CHAR(10)&amp;"Verifier: "&amp;Checks!$AE$5)&amp;IF(Checks!$T$5="","",CHAR(10)&amp;"PIC: "&amp;Checks!$T$5)</f>
        <v/>
      </c>
      <c r="H23" s="115" t="str">
        <f aca="false">IF(Checks!$AH$5="","",Checks!$AH$5)</f>
        <v>OPEN</v>
      </c>
    </row>
    <row r="24" customFormat="false" ht="114" hidden="false" customHeight="true" outlineLevel="0" collapsed="false">
      <c r="A24" s="114" t="str">
        <f aca="false">Checks!$A$6&amp;CHAR(10)&amp;IF(Checks!$I$6="","",Checks!$I$6&amp;": ")&amp;Checks!$J$6</f>
        <v>F01-T7-02
Menu: Printed menu cards confirmed (content, cycle, language, quantity)</v>
      </c>
      <c r="B24" s="114" t="str">
        <f aca="false">Checks!$K$6&amp;IF(Checks!$O$6="","",IF(Checks!$K$6="","",CHAR(10))&amp;"Note: "&amp;Checks!$O$6)</f>
        <v>Menu card matches approved menu for this flight</v>
      </c>
      <c r="C24" s="114" t="str">
        <f aca="false">Checks!$N$6&amp;CHAR(10)&amp;IF(ISNUMBER(Checks!$R$6),TEXT(Checks!$R$6,"DD-MMM-YY HH:MM"),"")&amp;" "&amp;Checks!$P$6</f>
        <v>Required
01-Oct-26 21:35 LHR</v>
      </c>
      <c r="D24" s="114" t="str">
        <f aca="false">IF(Checks!$U$6="","",Checks!$U$6)&amp;IF(Checks!$AB$6="","",CHAR(10)&amp;"CA: "&amp;Checks!$AB$6)</f>
        <v/>
      </c>
      <c r="E24" s="114" t="str">
        <f aca="false">IF(Checks!$V$6="","",Checks!$V$6)&amp;IF(Checks!$AC$6="","",IF(Checks!$V$6="","",CHAR(10))&amp;"N/A just.: "&amp;Checks!$AC$6)&amp;IF(Checks!$W$6="","",CHAR(10)&amp;"Batch: "&amp;Checks!$W$6)&amp;IF(AND(Checks!$X$6="",Checks!$Y$6=""),"",CHAR(10)&amp;"Exp: "&amp;Checks!$X$6&amp;"  /  Act: "&amp;Checks!$Y$6)</f>
        <v/>
      </c>
      <c r="F24" s="114" t="str">
        <f aca="false">IF(Checks!$Z$6="","","Evidence: "&amp;Checks!$Z$6)&amp;IF(Checks!$AA$6="","",IF(Checks!$Z$6="","",CHAR(10))&amp;"CA: "&amp;Checks!$AA$6)</f>
        <v/>
      </c>
      <c r="G24" s="114" t="str">
        <f aca="false">IF(ISNUMBER(Checks!$AD$6),TEXT(Checks!$AD$6,"DD-MMM-YY HH:MM")&amp;" "&amp;Checks!$P$6,"")&amp;IF(Checks!$AE$6="","",CHAR(10)&amp;"Verifier: "&amp;Checks!$AE$6)&amp;IF(Checks!$T$6="","",CHAR(10)&amp;"PIC: "&amp;Checks!$T$6)</f>
        <v/>
      </c>
      <c r="H24" s="115" t="str">
        <f aca="false">IF(Checks!$AH$6="","",Checks!$AH$6)</f>
        <v>OPEN</v>
      </c>
    </row>
    <row r="25" customFormat="false" ht="114" hidden="false" customHeight="true" outlineLevel="0" collapsed="false">
      <c r="A25" s="114" t="str">
        <f aca="false">Checks!$A$7&amp;CHAR(10)&amp;IF(Checks!$I$7="","",Checks!$I$7&amp;": ")&amp;Checks!$J$7</f>
        <v>F01-T7-03
IFE: Digital menu in IFE confirmed (A339 only)</v>
      </c>
      <c r="B25" s="114" t="str">
        <f aca="false">Checks!$K$7&amp;IF(Checks!$O$7="","",IF(Checks!$K$7="","",CHAR(10))&amp;"Note: "&amp;Checks!$O$7)</f>
        <v>Applies when fleet = A339
Note: Digital IFE menu applies to A339 only (user brief). Applicability follows the Fleet cell on Flights.</v>
      </c>
      <c r="C25" s="114" t="str">
        <f aca="false">Checks!$N$7&amp;CHAR(10)&amp;IF(ISNUMBER(Checks!$R$7),TEXT(Checks!$R$7,"DD-MMM-YY HH:MM"),"")&amp;" "&amp;Checks!$P$7</f>
        <v>N/A – rule
01-Oct-26 21:35 LHR</v>
      </c>
      <c r="D25" s="114" t="str">
        <f aca="false">IF(Checks!$U$7="","",Checks!$U$7)&amp;IF(Checks!$AB$7="","",CHAR(10)&amp;"CA: "&amp;Checks!$AB$7)</f>
        <v/>
      </c>
      <c r="E25" s="114" t="str">
        <f aca="false">IF(Checks!$V$7="","",Checks!$V$7)&amp;IF(Checks!$AC$7="","",IF(Checks!$V$7="","",CHAR(10))&amp;"N/A just.: "&amp;Checks!$AC$7)&amp;IF(Checks!$W$7="","",CHAR(10)&amp;"Batch: "&amp;Checks!$W$7)&amp;IF(AND(Checks!$X$7="",Checks!$Y$7=""),"",CHAR(10)&amp;"Exp: "&amp;Checks!$X$7&amp;"  /  Act: "&amp;Checks!$Y$7)</f>
        <v/>
      </c>
      <c r="F25" s="114" t="str">
        <f aca="false">IF(Checks!$Z$7="","","Evidence: "&amp;Checks!$Z$7)&amp;IF(Checks!$AA$7="","",IF(Checks!$Z$7="","",CHAR(10))&amp;"CA: "&amp;Checks!$AA$7)</f>
        <v/>
      </c>
      <c r="G25" s="114" t="str">
        <f aca="false">IF(ISNUMBER(Checks!$AD$7),TEXT(Checks!$AD$7,"DD-MMM-YY HH:MM")&amp;" "&amp;Checks!$P$7,"")&amp;IF(Checks!$AE$7="","",CHAR(10)&amp;"Verifier: "&amp;Checks!$AE$7)&amp;IF(Checks!$T$7="","",CHAR(10)&amp;"PIC: "&amp;Checks!$T$7)</f>
        <v/>
      </c>
      <c r="H25" s="115" t="str">
        <f aca="false">IF(Checks!$AH$7="","",Checks!$AH$7)</f>
        <v>N/A – RULE</v>
      </c>
    </row>
    <row r="26" customFormat="false" ht="114" hidden="false" customHeight="true" outlineLevel="0" collapsed="false">
      <c r="A26" s="114" t="str">
        <f aca="false">Checks!$A$8&amp;CHAR(10)&amp;IF(Checks!$I$8="","",Checks!$I$8&amp;": ")&amp;Checks!$J$8</f>
        <v>F01-T7-04
Staffing: Experienced catering officer assigned to this flight</v>
      </c>
      <c r="B26" s="114" t="str">
        <f aca="false">Checks!$K$8&amp;IF(Checks!$O$8="","",IF(Checks!$K$8="","",CHAR(10))&amp;"Note: "&amp;Checks!$O$8)</f>
        <v>Record officer name in Result</v>
      </c>
      <c r="C26" s="114" t="str">
        <f aca="false">Checks!$N$8&amp;CHAR(10)&amp;IF(ISNUMBER(Checks!$R$8),TEXT(Checks!$R$8,"DD-MMM-YY HH:MM"),"")&amp;" "&amp;Checks!$P$8</f>
        <v>Required
01-Oct-26 21:35 LHR</v>
      </c>
      <c r="D26" s="114" t="str">
        <f aca="false">IF(Checks!$U$8="","",Checks!$U$8)&amp;IF(Checks!$AB$8="","",CHAR(10)&amp;"CA: "&amp;Checks!$AB$8)</f>
        <v/>
      </c>
      <c r="E26" s="114" t="str">
        <f aca="false">IF(Checks!$V$8="","",Checks!$V$8)&amp;IF(Checks!$AC$8="","",IF(Checks!$V$8="","",CHAR(10))&amp;"N/A just.: "&amp;Checks!$AC$8)&amp;IF(Checks!$W$8="","",CHAR(10)&amp;"Batch: "&amp;Checks!$W$8)&amp;IF(AND(Checks!$X$8="",Checks!$Y$8=""),"",CHAR(10)&amp;"Exp: "&amp;Checks!$X$8&amp;"  /  Act: "&amp;Checks!$Y$8)</f>
        <v/>
      </c>
      <c r="F26" s="114" t="str">
        <f aca="false">IF(Checks!$Z$8="","","Evidence: "&amp;Checks!$Z$8)&amp;IF(Checks!$AA$8="","",IF(Checks!$Z$8="","",CHAR(10))&amp;"CA: "&amp;Checks!$AA$8)</f>
        <v/>
      </c>
      <c r="G26" s="114" t="str">
        <f aca="false">IF(ISNUMBER(Checks!$AD$8),TEXT(Checks!$AD$8,"DD-MMM-YY HH:MM")&amp;" "&amp;Checks!$P$8,"")&amp;IF(Checks!$AE$8="","",CHAR(10)&amp;"Verifier: "&amp;Checks!$AE$8)&amp;IF(Checks!$T$8="","",CHAR(10)&amp;"PIC: "&amp;Checks!$T$8)</f>
        <v/>
      </c>
      <c r="H26" s="115" t="str">
        <f aca="false">IF(Checks!$AH$8="","",Checks!$AH$8)</f>
        <v>OPEN</v>
      </c>
    </row>
    <row r="27" customFormat="false" ht="114" hidden="false" customHeight="true" outlineLevel="0" collapsed="false">
      <c r="A27" s="114" t="str">
        <f aca="false">Checks!$A$9&amp;CHAR(10)&amp;IF(Checks!$I$9="","",Checks!$I$9&amp;": ")&amp;Checks!$J$9</f>
        <v>F01-T7-05
ISOP: All latest applicable ISOP revisions communicated to caterer</v>
      </c>
      <c r="B27" s="114" t="str">
        <f aca="false">Checks!$K$9&amp;IF(Checks!$O$9="","",IF(Checks!$K$9="","",CHAR(10))&amp;"Note: "&amp;Checks!$O$9)</f>
        <v>List revision numbers in Result (see ISOP register)</v>
      </c>
      <c r="C27" s="114" t="str">
        <f aca="false">Checks!$N$9&amp;CHAR(10)&amp;IF(ISNUMBER(Checks!$R$9),TEXT(Checks!$R$9,"DD-MMM-YY HH:MM"),"")&amp;" "&amp;Checks!$P$9</f>
        <v>Required
01-Oct-26 21:35 LHR</v>
      </c>
      <c r="D27" s="114" t="str">
        <f aca="false">IF(Checks!$U$9="","",Checks!$U$9)&amp;IF(Checks!$AB$9="","",CHAR(10)&amp;"CA: "&amp;Checks!$AB$9)</f>
        <v/>
      </c>
      <c r="E27" s="114" t="str">
        <f aca="false">IF(Checks!$V$9="","",Checks!$V$9)&amp;IF(Checks!$AC$9="","",IF(Checks!$V$9="","",CHAR(10))&amp;"N/A just.: "&amp;Checks!$AC$9)&amp;IF(Checks!$W$9="","",CHAR(10)&amp;"Batch: "&amp;Checks!$W$9)&amp;IF(AND(Checks!$X$9="",Checks!$Y$9=""),"",CHAR(10)&amp;"Exp: "&amp;Checks!$X$9&amp;"  /  Act: "&amp;Checks!$Y$9)</f>
        <v/>
      </c>
      <c r="F27" s="114" t="str">
        <f aca="false">IF(Checks!$Z$9="","","Evidence: "&amp;Checks!$Z$9)&amp;IF(Checks!$AA$9="","",IF(Checks!$Z$9="","",CHAR(10))&amp;"CA: "&amp;Checks!$AA$9)</f>
        <v/>
      </c>
      <c r="G27" s="114" t="str">
        <f aca="false">IF(ISNUMBER(Checks!$AD$9),TEXT(Checks!$AD$9,"DD-MMM-YY HH:MM")&amp;" "&amp;Checks!$P$9,"")&amp;IF(Checks!$AE$9="","",CHAR(10)&amp;"Verifier: "&amp;Checks!$AE$9)&amp;IF(Checks!$T$9="","",CHAR(10)&amp;"PIC: "&amp;Checks!$T$9)</f>
        <v/>
      </c>
      <c r="H27" s="115" t="str">
        <f aca="false">IF(Checks!$AH$9="","",Checks!$AH$9)</f>
        <v>OPEN</v>
      </c>
    </row>
    <row r="28" customFormat="false" ht="114" hidden="false" customHeight="true" outlineLevel="0" collapsed="false">
      <c r="A28" s="114" t="str">
        <f aca="false">Checks!$A$10&amp;CHAR(10)&amp;IF(Checks!$I$10="","",Checks!$I$10&amp;": ")&amp;Checks!$J$10</f>
        <v>F01-T7-06
ISOP: Caterer acknowledgement of ISOP revisions recorded</v>
      </c>
      <c r="B28" s="114" t="str">
        <f aca="false">Checks!$K$10&amp;IF(Checks!$O$10="","",IF(Checks!$K$10="","",CHAR(10))&amp;"Note: "&amp;Checks!$O$10)</f>
        <v>Record acknowledgement ref in Evidence</v>
      </c>
      <c r="C28" s="114" t="str">
        <f aca="false">Checks!$N$10&amp;CHAR(10)&amp;IF(ISNUMBER(Checks!$R$10),TEXT(Checks!$R$10,"DD-MMM-YY HH:MM"),"")&amp;" "&amp;Checks!$P$10</f>
        <v>Required
01-Oct-26 21:35 LHR</v>
      </c>
      <c r="D28" s="114" t="str">
        <f aca="false">IF(Checks!$U$10="","",Checks!$U$10)&amp;IF(Checks!$AB$10="","",CHAR(10)&amp;"CA: "&amp;Checks!$AB$10)</f>
        <v/>
      </c>
      <c r="E28" s="114" t="str">
        <f aca="false">IF(Checks!$V$10="","",Checks!$V$10)&amp;IF(Checks!$AC$10="","",IF(Checks!$V$10="","",CHAR(10))&amp;"N/A just.: "&amp;Checks!$AC$10)&amp;IF(Checks!$W$10="","",CHAR(10)&amp;"Batch: "&amp;Checks!$W$10)&amp;IF(AND(Checks!$X$10="",Checks!$Y$10=""),"",CHAR(10)&amp;"Exp: "&amp;Checks!$X$10&amp;"  /  Act: "&amp;Checks!$Y$10)</f>
        <v/>
      </c>
      <c r="F28" s="114" t="str">
        <f aca="false">IF(Checks!$Z$10="","","Evidence: "&amp;Checks!$Z$10)&amp;IF(Checks!$AA$10="","",IF(Checks!$Z$10="","",CHAR(10))&amp;"CA: "&amp;Checks!$AA$10)</f>
        <v/>
      </c>
      <c r="G28" s="114" t="str">
        <f aca="false">IF(ISNUMBER(Checks!$AD$10),TEXT(Checks!$AD$10,"DD-MMM-YY HH:MM")&amp;" "&amp;Checks!$P$10,"")&amp;IF(Checks!$AE$10="","",CHAR(10)&amp;"Verifier: "&amp;Checks!$AE$10)&amp;IF(Checks!$T$10="","",CHAR(10)&amp;"PIC: "&amp;Checks!$T$10)</f>
        <v/>
      </c>
      <c r="H28" s="115" t="str">
        <f aca="false">IF(Checks!$AH$10="","",Checks!$AH$10)</f>
        <v>OPEN</v>
      </c>
    </row>
    <row r="29" customFormat="false" ht="114" hidden="false" customHeight="true" outlineLevel="0" collapsed="false">
      <c r="A29" s="114" t="str">
        <f aca="false">Checks!$A$11&amp;CHAR(10)&amp;IF(Checks!$I$11="","",Checks!$I$11&amp;": ")&amp;Checks!$J$11</f>
        <v>F01-T7-07
Documents: Galley loading diagram (GLD) received, revision recorded &amp; attached</v>
      </c>
      <c r="B29" s="114" t="str">
        <f aca="false">Checks!$K$11&amp;IF(Checks!$O$11="","",IF(Checks!$K$11="","",CHAR(10))&amp;"Note: "&amp;Checks!$O$11)</f>
        <v>Documents sheet row complete</v>
      </c>
      <c r="C29" s="114" t="str">
        <f aca="false">Checks!$N$11&amp;CHAR(10)&amp;IF(ISNUMBER(Checks!$R$11),TEXT(Checks!$R$11,"DD-MMM-YY HH:MM"),"")&amp;" "&amp;Checks!$P$11</f>
        <v>Required
01-Oct-26 21:35 LHR</v>
      </c>
      <c r="D29" s="114" t="str">
        <f aca="false">IF(Checks!$U$11="","",Checks!$U$11)&amp;IF(Checks!$AB$11="","",CHAR(10)&amp;"CA: "&amp;Checks!$AB$11)</f>
        <v/>
      </c>
      <c r="E29" s="114" t="str">
        <f aca="false">IF(Checks!$V$11="","",Checks!$V$11)&amp;IF(Checks!$AC$11="","",IF(Checks!$V$11="","",CHAR(10))&amp;"N/A just.: "&amp;Checks!$AC$11)&amp;IF(Checks!$W$11="","",CHAR(10)&amp;"Batch: "&amp;Checks!$W$11)&amp;IF(AND(Checks!$X$11="",Checks!$Y$11=""),"",CHAR(10)&amp;"Exp: "&amp;Checks!$X$11&amp;"  /  Act: "&amp;Checks!$Y$11)</f>
        <v/>
      </c>
      <c r="F29" s="114" t="str">
        <f aca="false">IF(Checks!$Z$11="","","Evidence: "&amp;Checks!$Z$11)&amp;IF(Checks!$AA$11="","",IF(Checks!$Z$11="","",CHAR(10))&amp;"CA: "&amp;Checks!$AA$11)</f>
        <v/>
      </c>
      <c r="G29" s="114" t="str">
        <f aca="false">IF(ISNUMBER(Checks!$AD$11),TEXT(Checks!$AD$11,"DD-MMM-YY HH:MM")&amp;" "&amp;Checks!$P$11,"")&amp;IF(Checks!$AE$11="","",CHAR(10)&amp;"Verifier: "&amp;Checks!$AE$11)&amp;IF(Checks!$T$11="","",CHAR(10)&amp;"PIC: "&amp;Checks!$T$11)</f>
        <v/>
      </c>
      <c r="H29" s="115" t="str">
        <f aca="false">IF(Checks!$AH$11="","",Checks!$AH$11)</f>
        <v>OPEN</v>
      </c>
    </row>
    <row r="30" customFormat="false" ht="114" hidden="false" customHeight="true" outlineLevel="0" collapsed="false">
      <c r="A30" s="114" t="str">
        <f aca="false">Checks!$A$12&amp;CHAR(10)&amp;IF(Checks!$I$12="","",Checks!$I$12&amp;": ")&amp;Checks!$J$12</f>
        <v>F01-T7-08
Documents: Menu checklist received, revision recorded &amp; attached</v>
      </c>
      <c r="B30" s="114" t="str">
        <f aca="false">Checks!$K$12&amp;IF(Checks!$O$12="","",IF(Checks!$K$12="","",CHAR(10))&amp;"Note: "&amp;Checks!$O$12)</f>
        <v>Documents sheet row complete</v>
      </c>
      <c r="C30" s="114" t="str">
        <f aca="false">Checks!$N$12&amp;CHAR(10)&amp;IF(ISNUMBER(Checks!$R$12),TEXT(Checks!$R$12,"DD-MMM-YY HH:MM"),"")&amp;" "&amp;Checks!$P$12</f>
        <v>Required
01-Oct-26 21:35 LHR</v>
      </c>
      <c r="D30" s="114" t="str">
        <f aca="false">IF(Checks!$U$12="","",Checks!$U$12)&amp;IF(Checks!$AB$12="","",CHAR(10)&amp;"CA: "&amp;Checks!$AB$12)</f>
        <v/>
      </c>
      <c r="E30" s="114" t="str">
        <f aca="false">IF(Checks!$V$12="","",Checks!$V$12)&amp;IF(Checks!$AC$12="","",IF(Checks!$V$12="","",CHAR(10))&amp;"N/A just.: "&amp;Checks!$AC$12)&amp;IF(Checks!$W$12="","",CHAR(10)&amp;"Batch: "&amp;Checks!$W$12)&amp;IF(AND(Checks!$X$12="",Checks!$Y$12=""),"",CHAR(10)&amp;"Exp: "&amp;Checks!$X$12&amp;"  /  Act: "&amp;Checks!$Y$12)</f>
        <v/>
      </c>
      <c r="F30" s="114" t="str">
        <f aca="false">IF(Checks!$Z$12="","","Evidence: "&amp;Checks!$Z$12)&amp;IF(Checks!$AA$12="","",IF(Checks!$Z$12="","",CHAR(10))&amp;"CA: "&amp;Checks!$AA$12)</f>
        <v/>
      </c>
      <c r="G30" s="114" t="str">
        <f aca="false">IF(ISNUMBER(Checks!$AD$12),TEXT(Checks!$AD$12,"DD-MMM-YY HH:MM")&amp;" "&amp;Checks!$P$12,"")&amp;IF(Checks!$AE$12="","",CHAR(10)&amp;"Verifier: "&amp;Checks!$AE$12)&amp;IF(Checks!$T$12="","",CHAR(10)&amp;"PIC: "&amp;Checks!$T$12)</f>
        <v/>
      </c>
      <c r="H30" s="115" t="str">
        <f aca="false">IF(Checks!$AH$12="","",Checks!$AH$12)</f>
        <v>OPEN</v>
      </c>
    </row>
    <row r="31" customFormat="false" ht="114" hidden="false" customHeight="true" outlineLevel="0" collapsed="false">
      <c r="A31" s="114" t="str">
        <f aca="false">Checks!$A$13&amp;CHAR(10)&amp;IF(Checks!$I$13="","",Checks!$I$13&amp;": ")&amp;Checks!$J$13</f>
        <v>F01-T7-09
Uplift plan: Uplift plan confirmed with caterer vs STD Uplift Information</v>
      </c>
      <c r="B31" s="114" t="str">
        <f aca="false">Checks!$K$13&amp;IF(Checks!$O$13="","",IF(Checks!$K$13="","",CHAR(10))&amp;"Note: "&amp;Checks!$O$13)</f>
        <v>Service: 2.5 Meal (Meal); meal uplift stn LHR (ref lists KUL/LHR)</v>
      </c>
      <c r="C31" s="114" t="str">
        <f aca="false">Checks!$N$13&amp;CHAR(10)&amp;IF(ISNUMBER(Checks!$R$13),TEXT(Checks!$R$13,"DD-MMM-YY HH:MM"),"")&amp;" "&amp;Checks!$P$13</f>
        <v>Required
01-Oct-26 21:35 LHR</v>
      </c>
      <c r="D31" s="114" t="str">
        <f aca="false">IF(Checks!$U$13="","",Checks!$U$13)&amp;IF(Checks!$AB$13="","",CHAR(10)&amp;"CA: "&amp;Checks!$AB$13)</f>
        <v/>
      </c>
      <c r="E31" s="114" t="str">
        <f aca="false">IF(Checks!$V$13="","",Checks!$V$13)&amp;IF(Checks!$AC$13="","",IF(Checks!$V$13="","",CHAR(10))&amp;"N/A just.: "&amp;Checks!$AC$13)&amp;IF(Checks!$W$13="","",CHAR(10)&amp;"Batch: "&amp;Checks!$W$13)&amp;IF(AND(Checks!$X$13="",Checks!$Y$13=""),"",CHAR(10)&amp;"Exp: "&amp;Checks!$X$13&amp;"  /  Act: "&amp;Checks!$Y$13)</f>
        <v/>
      </c>
      <c r="F31" s="114" t="str">
        <f aca="false">IF(Checks!$Z$13="","","Evidence: "&amp;Checks!$Z$13)&amp;IF(Checks!$AA$13="","",IF(Checks!$Z$13="","",CHAR(10))&amp;"CA: "&amp;Checks!$AA$13)</f>
        <v/>
      </c>
      <c r="G31" s="114" t="str">
        <f aca="false">IF(ISNUMBER(Checks!$AD$13),TEXT(Checks!$AD$13,"DD-MMM-YY HH:MM")&amp;" "&amp;Checks!$P$13,"")&amp;IF(Checks!$AE$13="","",CHAR(10)&amp;"Verifier: "&amp;Checks!$AE$13)&amp;IF(Checks!$T$13="","",CHAR(10)&amp;"PIC: "&amp;Checks!$T$13)</f>
        <v/>
      </c>
      <c r="H31" s="115" t="str">
        <f aca="false">IF(Checks!$AH$13="","",Checks!$AH$13)</f>
        <v>OPEN</v>
      </c>
    </row>
    <row r="32" customFormat="false" ht="25.5" hidden="false" customHeight="true" outlineLevel="0" collapsed="false">
      <c r="A32" s="113" t="str">
        <f aca="false">"T-24H — Production batch sensory  |  Due "&amp;IF(ISNUMBER(Flights!$AH$5),TEXT(Flights!$AH$5,"DD-MMM-YY HH:MM"),"")&amp;" "&amp;Flights!$V$5&amp;" (meal uplift stn)"&amp;" (rows with another due show their own)  |  Complete "&amp;IF(ISNUMBER(Flights!$AK$5),TEXT(Flights!$AK$5,"0%"),Flights!$AK$5)&amp;"  |  1 lines"</f>
        <v>T-24H — Production batch sensory  |  Due 07-Oct-26 21:35 LHR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Checks!$A$14&amp;CHAR(10)&amp;IF(Checks!$I$14="","",Checks!$I$14&amp;": ")&amp;Checks!$J$14</f>
        <v>F01-T24-01
Meal: Sensory test repeated on ACTUAL production batch for this flight</v>
      </c>
      <c r="B33" s="114" t="str">
        <f aca="false">Checks!$K$14&amp;IF(Checks!$O$14="","",IF(Checks!$K$14="","",CHAR(10))&amp;"Note: "&amp;Checks!$O$14)</f>
        <v>Batch ID, result, CA and acceptance mandatory</v>
      </c>
      <c r="C33" s="114" t="str">
        <f aca="false">Checks!$N$14&amp;CHAR(10)&amp;IF(ISNUMBER(Checks!$R$14),TEXT(Checks!$R$14,"DD-MMM-YY HH:MM"),"")&amp;" "&amp;Checks!$P$14</f>
        <v>Required
07-Oct-26 21:35 LHR</v>
      </c>
      <c r="D33" s="114" t="str">
        <f aca="false">IF(Checks!$U$14="","",Checks!$U$14)&amp;IF(Checks!$AB$14="","",CHAR(10)&amp;"CA: "&amp;Checks!$AB$14)</f>
        <v/>
      </c>
      <c r="E33" s="114" t="str">
        <f aca="false">IF(Checks!$V$14="","",Checks!$V$14)&amp;IF(Checks!$AC$14="","",IF(Checks!$V$14="","",CHAR(10))&amp;"N/A just.: "&amp;Checks!$AC$14)&amp;IF(Checks!$W$14="","",CHAR(10)&amp;"Batch: "&amp;Checks!$W$14)&amp;IF(AND(Checks!$X$14="",Checks!$Y$14=""),"",CHAR(10)&amp;"Exp: "&amp;Checks!$X$14&amp;"  /  Act: "&amp;Checks!$Y$14)</f>
        <v/>
      </c>
      <c r="F33" s="114" t="str">
        <f aca="false">IF(Checks!$Z$14="","","Evidence: "&amp;Checks!$Z$14)&amp;IF(Checks!$AA$14="","",IF(Checks!$Z$14="","",CHAR(10))&amp;"CA: "&amp;Checks!$AA$14)</f>
        <v/>
      </c>
      <c r="G33" s="114" t="str">
        <f aca="false">IF(ISNUMBER(Checks!$AD$14),TEXT(Checks!$AD$14,"DD-MMM-YY HH:MM")&amp;" "&amp;Checks!$P$14,"")&amp;IF(Checks!$AE$14="","",CHAR(10)&amp;"Verifier: "&amp;Checks!$AE$14)&amp;IF(Checks!$T$14="","",CHAR(10)&amp;"PIC: "&amp;Checks!$T$14)</f>
        <v/>
      </c>
      <c r="H33" s="115" t="str">
        <f aca="false">IF(Checks!$AH$14="","",Checks!$AH$14)</f>
        <v>OPEN</v>
      </c>
    </row>
    <row r="34" customFormat="false" ht="25.5" hidden="false" customHeight="true" outlineLevel="0" collapsed="false">
      <c r="A34" s="113" t="str">
        <f aca="false">"T-12H PREP — Preparation check at caterer (does NOT confirm loading)  |  Due "&amp;IF(ISNUMBER(Flights!$AI$5),TEXT(Flights!$AI$5,"DD-MMM-YY HH:MM"),"")&amp;" "&amp;Flights!$V$5&amp;" (meal uplift stn)"&amp;" (rows with another due show their own)  |  Complete "&amp;IF(ISNUMBER(Flights!$AL$5),TEXT(Flights!$AL$5,"0%"),Flights!$AL$5)&amp;"  |  10 lines"</f>
        <v>T-12H PREP — Preparation check at caterer (does NOT confirm loading)  |  Due 08-Oct-26 09:35 LHR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Checks!$A$15&amp;CHAR(10)&amp;IF(Checks!$I$15="","",Checks!$I$15&amp;": ")&amp;Checks!$J$15</f>
        <v>F01-T12-01
Meal: Meal quality vs menu checklist</v>
      </c>
      <c r="B35" s="114" t="str">
        <f aca="false">Checks!$K$15&amp;IF(Checks!$O$15="","",IF(Checks!$K$15="","",CHAR(10))&amp;"Note: "&amp;Checks!$O$15)</f>
        <v>Note: Preparation check at caterer - does NOT confirm loading.</v>
      </c>
      <c r="C35" s="114" t="str">
        <f aca="false">Checks!$N$15&amp;CHAR(10)&amp;IF(ISNUMBER(Checks!$R$15),TEXT(Checks!$R$15,"DD-MMM-YY HH:MM"),"")&amp;" "&amp;Checks!$P$15</f>
        <v>Required
08-Oct-26 09:35 LHR</v>
      </c>
      <c r="D35" s="114" t="str">
        <f aca="false">IF(Checks!$U$15="","",Checks!$U$15)&amp;IF(Checks!$AB$15="","",CHAR(10)&amp;"CA: "&amp;Checks!$AB$15)</f>
        <v/>
      </c>
      <c r="E35" s="114" t="str">
        <f aca="false">IF(Checks!$V$15="","",Checks!$V$15)&amp;IF(Checks!$AC$15="","",IF(Checks!$V$15="","",CHAR(10))&amp;"N/A just.: "&amp;Checks!$AC$15)&amp;IF(Checks!$W$15="","",CHAR(10)&amp;"Batch: "&amp;Checks!$W$15)&amp;IF(AND(Checks!$X$15="",Checks!$Y$15=""),"",CHAR(10)&amp;"Exp: "&amp;Checks!$X$15&amp;"  /  Act: "&amp;Checks!$Y$15)</f>
        <v/>
      </c>
      <c r="F35" s="114" t="str">
        <f aca="false">IF(Checks!$Z$15="","","Evidence: "&amp;Checks!$Z$15)&amp;IF(Checks!$AA$15="","",IF(Checks!$Z$15="","",CHAR(10))&amp;"CA: "&amp;Checks!$AA$15)</f>
        <v/>
      </c>
      <c r="G35" s="114" t="str">
        <f aca="false">IF(ISNUMBER(Checks!$AD$15),TEXT(Checks!$AD$15,"DD-MMM-YY HH:MM")&amp;" "&amp;Checks!$P$15,"")&amp;IF(Checks!$AE$15="","",CHAR(10)&amp;"Verifier: "&amp;Checks!$AE$15)&amp;IF(Checks!$T$15="","",CHAR(10)&amp;"PIC: "&amp;Checks!$T$15)</f>
        <v/>
      </c>
      <c r="H35" s="115" t="str">
        <f aca="false">IF(Checks!$AH$15="","",Checks!$AH$15)</f>
        <v>OPEN</v>
      </c>
    </row>
    <row r="36" customFormat="false" ht="114" hidden="false" customHeight="true" outlineLevel="0" collapsed="false">
      <c r="A36" s="114" t="str">
        <f aca="false">Checks!$A$16&amp;CHAR(10)&amp;IF(Checks!$I$16="","",Checks!$I$16&amp;": ")&amp;Checks!$J$16</f>
        <v>F01-T12-02
Meal: Meal quantities vs menu checklist</v>
      </c>
      <c r="B36" s="114" t="str">
        <f aca="false">Checks!$K$16&amp;IF(Checks!$O$16="","",IF(Checks!$K$16="","",CHAR(10))&amp;"Note: "&amp;Checks!$O$16)</f>
        <v>Enter expected &amp; actual
Note: Preparation check at caterer - does NOT confirm loading.</v>
      </c>
      <c r="C36" s="114" t="str">
        <f aca="false">Checks!$N$16&amp;CHAR(10)&amp;IF(ISNUMBER(Checks!$R$16),TEXT(Checks!$R$16,"DD-MMM-YY HH:MM"),"")&amp;" "&amp;Checks!$P$16</f>
        <v>Required
08-Oct-26 09:35 LHR</v>
      </c>
      <c r="D36" s="114" t="str">
        <f aca="false">IF(Checks!$U$16="","",Checks!$U$16)&amp;IF(Checks!$AB$16="","",CHAR(10)&amp;"CA: "&amp;Checks!$AB$16)</f>
        <v/>
      </c>
      <c r="E36" s="114" t="str">
        <f aca="false">IF(Checks!$V$16="","",Checks!$V$16)&amp;IF(Checks!$AC$16="","",IF(Checks!$V$16="","",CHAR(10))&amp;"N/A just.: "&amp;Checks!$AC$16)&amp;IF(Checks!$W$16="","",CHAR(10)&amp;"Batch: "&amp;Checks!$W$16)&amp;IF(AND(Checks!$X$16="",Checks!$Y$16=""),"",CHAR(10)&amp;"Exp: "&amp;Checks!$X$16&amp;"  /  Act: "&amp;Checks!$Y$16)</f>
        <v/>
      </c>
      <c r="F36" s="114" t="str">
        <f aca="false">IF(Checks!$Z$16="","","Evidence: "&amp;Checks!$Z$16)&amp;IF(Checks!$AA$16="","",IF(Checks!$Z$16="","",CHAR(10))&amp;"CA: "&amp;Checks!$AA$16)</f>
        <v/>
      </c>
      <c r="G36" s="114" t="str">
        <f aca="false">IF(ISNUMBER(Checks!$AD$16),TEXT(Checks!$AD$16,"DD-MMM-YY HH:MM")&amp;" "&amp;Checks!$P$16,"")&amp;IF(Checks!$AE$16="","",CHAR(10)&amp;"Verifier: "&amp;Checks!$AE$16)&amp;IF(Checks!$T$16="","",CHAR(10)&amp;"PIC: "&amp;Checks!$T$16)</f>
        <v/>
      </c>
      <c r="H36" s="115" t="str">
        <f aca="false">IF(Checks!$AH$16="","",Checks!$AH$16)</f>
        <v>OPEN</v>
      </c>
    </row>
    <row r="37" customFormat="false" ht="114" hidden="false" customHeight="true" outlineLevel="0" collapsed="false">
      <c r="A37" s="114" t="str">
        <f aca="false">Checks!$A$17&amp;CHAR(10)&amp;IF(Checks!$I$17="","",Checks!$I$17&amp;": ")&amp;Checks!$J$17</f>
        <v>F01-T12-03
Equipment: Equipment cleanliness vs GLD</v>
      </c>
      <c r="B37" s="114" t="str">
        <f aca="false">Checks!$K$17&amp;IF(Checks!$O$17="","",IF(Checks!$K$17="","",CHAR(10))&amp;"Note: "&amp;Checks!$O$17)</f>
        <v>Note: Preparation check at caterer - does NOT confirm loading.</v>
      </c>
      <c r="C37" s="114" t="str">
        <f aca="false">Checks!$N$17&amp;CHAR(10)&amp;IF(ISNUMBER(Checks!$R$17),TEXT(Checks!$R$17,"DD-MMM-YY HH:MM"),"")&amp;" "&amp;Checks!$P$17</f>
        <v>Required
08-Oct-26 09:35 LHR</v>
      </c>
      <c r="D37" s="114" t="str">
        <f aca="false">IF(Checks!$U$17="","",Checks!$U$17)&amp;IF(Checks!$AB$17="","",CHAR(10)&amp;"CA: "&amp;Checks!$AB$17)</f>
        <v/>
      </c>
      <c r="E37" s="114" t="str">
        <f aca="false">IF(Checks!$V$17="","",Checks!$V$17)&amp;IF(Checks!$AC$17="","",IF(Checks!$V$17="","",CHAR(10))&amp;"N/A just.: "&amp;Checks!$AC$17)&amp;IF(Checks!$W$17="","",CHAR(10)&amp;"Batch: "&amp;Checks!$W$17)&amp;IF(AND(Checks!$X$17="",Checks!$Y$17=""),"",CHAR(10)&amp;"Exp: "&amp;Checks!$X$17&amp;"  /  Act: "&amp;Checks!$Y$17)</f>
        <v/>
      </c>
      <c r="F37" s="114" t="str">
        <f aca="false">IF(Checks!$Z$17="","","Evidence: "&amp;Checks!$Z$17)&amp;IF(Checks!$AA$17="","",IF(Checks!$Z$17="","",CHAR(10))&amp;"CA: "&amp;Checks!$AA$17)</f>
        <v/>
      </c>
      <c r="G37" s="114" t="str">
        <f aca="false">IF(ISNUMBER(Checks!$AD$17),TEXT(Checks!$AD$17,"DD-MMM-YY HH:MM")&amp;" "&amp;Checks!$P$17,"")&amp;IF(Checks!$AE$17="","",CHAR(10)&amp;"Verifier: "&amp;Checks!$AE$17)&amp;IF(Checks!$T$17="","",CHAR(10)&amp;"PIC: "&amp;Checks!$T$17)</f>
        <v/>
      </c>
      <c r="H37" s="115" t="str">
        <f aca="false">IF(Checks!$AH$17="","",Checks!$AH$17)</f>
        <v>OPEN</v>
      </c>
    </row>
    <row r="38" customFormat="false" ht="114" hidden="false" customHeight="true" outlineLevel="0" collapsed="false">
      <c r="A38" s="114" t="str">
        <f aca="false">Checks!$A$18&amp;CHAR(10)&amp;IF(Checks!$I$18="","",Checks!$I$18&amp;": ")&amp;Checks!$J$18</f>
        <v>F01-T12-04
Equipment: Equipment presentation vs GLD</v>
      </c>
      <c r="B38" s="114" t="str">
        <f aca="false">Checks!$K$18&amp;IF(Checks!$O$18="","",IF(Checks!$K$18="","",CHAR(10))&amp;"Note: "&amp;Checks!$O$18)</f>
        <v>Note: Preparation check at caterer - does NOT confirm loading.</v>
      </c>
      <c r="C38" s="114" t="str">
        <f aca="false">Checks!$N$18&amp;CHAR(10)&amp;IF(ISNUMBER(Checks!$R$18),TEXT(Checks!$R$18,"DD-MMM-YY HH:MM"),"")&amp;" "&amp;Checks!$P$18</f>
        <v>Required
08-Oct-26 09:35 LHR</v>
      </c>
      <c r="D38" s="114" t="str">
        <f aca="false">IF(Checks!$U$18="","",Checks!$U$18)&amp;IF(Checks!$AB$18="","",CHAR(10)&amp;"CA: "&amp;Checks!$AB$18)</f>
        <v/>
      </c>
      <c r="E38" s="114" t="str">
        <f aca="false">IF(Checks!$V$18="","",Checks!$V$18)&amp;IF(Checks!$AC$18="","",IF(Checks!$V$18="","",CHAR(10))&amp;"N/A just.: "&amp;Checks!$AC$18)&amp;IF(Checks!$W$18="","",CHAR(10)&amp;"Batch: "&amp;Checks!$W$18)&amp;IF(AND(Checks!$X$18="",Checks!$Y$18=""),"",CHAR(10)&amp;"Exp: "&amp;Checks!$X$18&amp;"  /  Act: "&amp;Checks!$Y$18)</f>
        <v/>
      </c>
      <c r="F38" s="114" t="str">
        <f aca="false">IF(Checks!$Z$18="","","Evidence: "&amp;Checks!$Z$18)&amp;IF(Checks!$AA$18="","",IF(Checks!$Z$18="","",CHAR(10))&amp;"CA: "&amp;Checks!$AA$18)</f>
        <v/>
      </c>
      <c r="G38" s="114" t="str">
        <f aca="false">IF(ISNUMBER(Checks!$AD$18),TEXT(Checks!$AD$18,"DD-MMM-YY HH:MM")&amp;" "&amp;Checks!$P$18,"")&amp;IF(Checks!$AE$18="","",CHAR(10)&amp;"Verifier: "&amp;Checks!$AE$18)&amp;IF(Checks!$T$18="","",CHAR(10)&amp;"PIC: "&amp;Checks!$T$18)</f>
        <v/>
      </c>
      <c r="H38" s="115" t="str">
        <f aca="false">IF(Checks!$AH$18="","",Checks!$AH$18)</f>
        <v>OPEN</v>
      </c>
    </row>
    <row r="39" customFormat="false" ht="114" hidden="false" customHeight="true" outlineLevel="0" collapsed="false">
      <c r="A39" s="114" t="str">
        <f aca="false">Checks!$A$19&amp;CHAR(10)&amp;IF(Checks!$I$19="","",Checks!$I$19&amp;": ")&amp;Checks!$J$19</f>
        <v>F01-T12-05
Equipment: Equipment serviceability vs GLD</v>
      </c>
      <c r="B39" s="114" t="str">
        <f aca="false">Checks!$K$19&amp;IF(Checks!$O$19="","",IF(Checks!$K$19="","",CHAR(10))&amp;"Note: "&amp;Checks!$O$19)</f>
        <v>Note: Preparation check at caterer - does NOT confirm loading.</v>
      </c>
      <c r="C39" s="114" t="str">
        <f aca="false">Checks!$N$19&amp;CHAR(10)&amp;IF(ISNUMBER(Checks!$R$19),TEXT(Checks!$R$19,"DD-MMM-YY HH:MM"),"")&amp;" "&amp;Checks!$P$19</f>
        <v>Required
08-Oct-26 09:35 LHR</v>
      </c>
      <c r="D39" s="114" t="str">
        <f aca="false">IF(Checks!$U$19="","",Checks!$U$19)&amp;IF(Checks!$AB$19="","",CHAR(10)&amp;"CA: "&amp;Checks!$AB$19)</f>
        <v/>
      </c>
      <c r="E39" s="114" t="str">
        <f aca="false">IF(Checks!$V$19="","",Checks!$V$19)&amp;IF(Checks!$AC$19="","",IF(Checks!$V$19="","",CHAR(10))&amp;"N/A just.: "&amp;Checks!$AC$19)&amp;IF(Checks!$W$19="","",CHAR(10)&amp;"Batch: "&amp;Checks!$W$19)&amp;IF(AND(Checks!$X$19="",Checks!$Y$19=""),"",CHAR(10)&amp;"Exp: "&amp;Checks!$X$19&amp;"  /  Act: "&amp;Checks!$Y$19)</f>
        <v/>
      </c>
      <c r="F39" s="114" t="str">
        <f aca="false">IF(Checks!$Z$19="","","Evidence: "&amp;Checks!$Z$19)&amp;IF(Checks!$AA$19="","",IF(Checks!$Z$19="","",CHAR(10))&amp;"CA: "&amp;Checks!$AA$19)</f>
        <v/>
      </c>
      <c r="G39" s="114" t="str">
        <f aca="false">IF(ISNUMBER(Checks!$AD$19),TEXT(Checks!$AD$19,"DD-MMM-YY HH:MM")&amp;" "&amp;Checks!$P$19,"")&amp;IF(Checks!$AE$19="","",CHAR(10)&amp;"Verifier: "&amp;Checks!$AE$19)&amp;IF(Checks!$T$19="","",CHAR(10)&amp;"PIC: "&amp;Checks!$T$19)</f>
        <v/>
      </c>
      <c r="H39" s="115" t="str">
        <f aca="false">IF(Checks!$AH$19="","",Checks!$AH$19)</f>
        <v>OPEN</v>
      </c>
    </row>
    <row r="40" customFormat="false" ht="322.5" hidden="false" customHeight="true" outlineLevel="0" collapsed="false">
      <c r="A40" s="114" t="str">
        <f aca="false">Checks!$A$20&amp;CHAR(10)&amp;IF(Checks!$I$20="","",Checks!$I$20&amp;": ")&amp;Checks!$J$20</f>
        <v>F01-T12-06
Equipment: Equipment quantities vs GLD</v>
      </c>
      <c r="B40" s="114" t="str">
        <f aca="false">SUBSTITUTE(Checks!$K$20&amp;IF(Checks!$O$20="","",IF(Checks!$K$20="","",CHAR(10))&amp;"Note: "&amp;Checks!$O$20),"AIRCRAFT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Checks!$N$20&amp;CHAR(10)&amp;IF(ISNUMBER(Checks!$R$20),TEXT(Checks!$R$20,"DD-MMM-YY HH:MM"),"")&amp;" "&amp;Checks!$P$20</f>
        <v>Required
08-Oct-26 09:35 LHR</v>
      </c>
      <c r="D40" s="114" t="str">
        <f aca="false">IF(Checks!$U$20="","",Checks!$U$20)&amp;IF(Checks!$AB$20="","",CHAR(10)&amp;"CA: "&amp;Checks!$AB$20)</f>
        <v/>
      </c>
      <c r="E40" s="114" t="str">
        <f aca="false">IF(Checks!$V$20="","",Checks!$V$20)&amp;IF(Checks!$AC$20="","",IF(Checks!$V$20="","",CHAR(10))&amp;"N/A just.: "&amp;Checks!$AC$20)&amp;IF(Checks!$W$20="","",CHAR(10)&amp;"Batch: "&amp;Checks!$W$20)&amp;IF(AND(Checks!$X$20="",Checks!$Y$20=""),"",CHAR(10)&amp;"Exp: "&amp;Checks!$X$20&amp;"  /  Act: "&amp;Checks!$Y$20)</f>
        <v/>
      </c>
      <c r="F40" s="114" t="str">
        <f aca="false">IF(Checks!$Z$20="","","Evidence: "&amp;Checks!$Z$20)&amp;IF(Checks!$AA$20="","",IF(Checks!$Z$20="","",CHAR(10))&amp;"CA: "&amp;Checks!$AA$20)</f>
        <v/>
      </c>
      <c r="G40" s="114" t="str">
        <f aca="false">IF(ISNUMBER(Checks!$AD$20),TEXT(Checks!$AD$20,"DD-MMM-YY HH:MM")&amp;" "&amp;Checks!$P$20,"")&amp;IF(Checks!$AE$20="","",CHAR(10)&amp;"Verifier: "&amp;Checks!$AE$20)&amp;IF(Checks!$T$20="","",CHAR(10)&amp;"PIC: "&amp;Checks!$T$20)</f>
        <v/>
      </c>
      <c r="H40" s="115" t="str">
        <f aca="false">IF(Checks!$AH$20="","",Checks!$AH$20)</f>
        <v>OPEN</v>
      </c>
    </row>
    <row r="41" customFormat="false" ht="114" hidden="false" customHeight="true" outlineLevel="0" collapsed="false">
      <c r="A41" s="114" t="str">
        <f aca="false">Checks!$A$21&amp;CHAR(10)&amp;IF(Checks!$I$21="","",Checks!$I$21&amp;": ")&amp;Checks!$J$21</f>
        <v>F01-T12-07
Equipment: Loading positions planned vs GLD</v>
      </c>
      <c r="B41" s="114" t="str">
        <f aca="false">Checks!$K$21&amp;IF(Checks!$O$21="","",IF(Checks!$K$21="","",CHAR(10))&amp;"Note: "&amp;Checks!$O$21)</f>
        <v>Note: Preparation check at caterer - does NOT confirm loading.</v>
      </c>
      <c r="C41" s="114" t="str">
        <f aca="false">Checks!$N$21&amp;CHAR(10)&amp;IF(ISNUMBER(Checks!$R$21),TEXT(Checks!$R$21,"DD-MMM-YY HH:MM"),"")&amp;" "&amp;Checks!$P$21</f>
        <v>Required
08-Oct-26 09:35 LHR</v>
      </c>
      <c r="D41" s="114" t="str">
        <f aca="false">IF(Checks!$U$21="","",Checks!$U$21)&amp;IF(Checks!$AB$21="","",CHAR(10)&amp;"CA: "&amp;Checks!$AB$21)</f>
        <v/>
      </c>
      <c r="E41" s="114" t="str">
        <f aca="false">IF(Checks!$V$21="","",Checks!$V$21)&amp;IF(Checks!$AC$21="","",IF(Checks!$V$21="","",CHAR(10))&amp;"N/A just.: "&amp;Checks!$AC$21)&amp;IF(Checks!$W$21="","",CHAR(10)&amp;"Batch: "&amp;Checks!$W$21)&amp;IF(AND(Checks!$X$21="",Checks!$Y$21=""),"",CHAR(10)&amp;"Exp: "&amp;Checks!$X$21&amp;"  /  Act: "&amp;Checks!$Y$21)</f>
        <v/>
      </c>
      <c r="F41" s="114" t="str">
        <f aca="false">IF(Checks!$Z$21="","","Evidence: "&amp;Checks!$Z$21)&amp;IF(Checks!$AA$21="","",IF(Checks!$Z$21="","",CHAR(10))&amp;"CA: "&amp;Checks!$AA$21)</f>
        <v/>
      </c>
      <c r="G41" s="114" t="str">
        <f aca="false">IF(ISNUMBER(Checks!$AD$21),TEXT(Checks!$AD$21,"DD-MMM-YY HH:MM")&amp;" "&amp;Checks!$P$21,"")&amp;IF(Checks!$AE$21="","",CHAR(10)&amp;"Verifier: "&amp;Checks!$AE$21)&amp;IF(Checks!$T$21="","",CHAR(10)&amp;"PIC: "&amp;Checks!$T$21)</f>
        <v/>
      </c>
      <c r="H41" s="115" t="str">
        <f aca="false">IF(Checks!$AH$21="","",Checks!$AH$21)</f>
        <v>OPEN</v>
      </c>
    </row>
    <row r="42" customFormat="false" ht="135.75" hidden="false" customHeight="true" outlineLevel="0" collapsed="false">
      <c r="A42" s="114" t="str">
        <f aca="false">Checks!$A$22&amp;CHAR(10)&amp;IF(Checks!$I$22="","",Checks!$I$22&amp;": ")&amp;Checks!$J$22</f>
        <v>F01-T12-08
Amenities: Toiletry kits - prepared</v>
      </c>
      <c r="B42" s="114" t="str">
        <f aca="false">Checks!$K$22&amp;IF(Checks!$O$22="","",IF(Checks!$K$22="","",CHAR(10))&amp;"Note: "&amp;Checks!$O$22)</f>
        <v>Available for sector (ticked in reference)
Note: Reference does not state the cabin class for toiletry kits. Confirm whether EY receives them; if not, mark N/A with the confirmation as justification.</v>
      </c>
      <c r="C42" s="114" t="str">
        <f aca="false">Checks!$N$22&amp;CHAR(10)&amp;IF(ISNUMBER(Checks!$R$22),TEXT(Checks!$R$22,"DD-MMM-YY HH:MM"),"")&amp;" "&amp;Checks!$P$22</f>
        <v>Clarification required
08-Oct-26 09:35 LHR</v>
      </c>
      <c r="D42" s="114" t="str">
        <f aca="false">IF(Checks!$U$22="","",Checks!$U$22)&amp;IF(Checks!$AB$22="","",CHAR(10)&amp;"CA: "&amp;Checks!$AB$22)</f>
        <v/>
      </c>
      <c r="E42" s="114" t="str">
        <f aca="false">IF(Checks!$V$22="","",Checks!$V$22)&amp;IF(Checks!$AC$22="","",IF(Checks!$V$22="","",CHAR(10))&amp;"N/A just.: "&amp;Checks!$AC$22)&amp;IF(Checks!$W$22="","",CHAR(10)&amp;"Batch: "&amp;Checks!$W$22)&amp;IF(AND(Checks!$X$22="",Checks!$Y$22=""),"",CHAR(10)&amp;"Exp: "&amp;Checks!$X$22&amp;"  /  Act: "&amp;Checks!$Y$22)</f>
        <v/>
      </c>
      <c r="F42" s="114" t="str">
        <f aca="false">IF(Checks!$Z$22="","","Evidence: "&amp;Checks!$Z$22)&amp;IF(Checks!$AA$22="","",IF(Checks!$Z$22="","",CHAR(10))&amp;"CA: "&amp;Checks!$AA$22)</f>
        <v/>
      </c>
      <c r="G42" s="114" t="str">
        <f aca="false">IF(ISNUMBER(Checks!$AD$22),TEXT(Checks!$AD$22,"DD-MMM-YY HH:MM")&amp;" "&amp;Checks!$P$22,"")&amp;IF(Checks!$AE$22="","",CHAR(10)&amp;"Verifier: "&amp;Checks!$AE$22)&amp;IF(Checks!$T$22="","",CHAR(10)&amp;"PIC: "&amp;Checks!$T$22)</f>
        <v/>
      </c>
      <c r="H42" s="115" t="str">
        <f aca="false">IF(Checks!$AH$22="","",Checks!$AH$22)</f>
        <v>OPEN – CLARIFICATION</v>
      </c>
    </row>
    <row r="43" customFormat="false" ht="114" hidden="false" customHeight="true" outlineLevel="0" collapsed="false">
      <c r="A43" s="114" t="str">
        <f aca="false">Checks!$A$23&amp;CHAR(10)&amp;IF(Checks!$I$23="","",Checks!$I$23&amp;": ")&amp;Checks!$J$23</f>
        <v>F01-T12-09
Seat Linen: Seat pillow (EY) - prepared</v>
      </c>
      <c r="B43" s="114" t="str">
        <f aca="false">Checks!$K$23&amp;IF(Checks!$O$23="","",IF(Checks!$K$23="","",CHAR(10))&amp;"Note: "&amp;Checks!$O$23)</f>
        <v>Available 100% (ticked in reference)
Note: Reference gives no uplift stn for this item: preparation checked at the meal uplift stn (LHR) - confirm with caterer.</v>
      </c>
      <c r="C43" s="114" t="str">
        <f aca="false">Checks!$N$23&amp;CHAR(10)&amp;IF(ISNUMBER(Checks!$R$23),TEXT(Checks!$R$23,"DD-MMM-YY HH:MM"),"")&amp;" "&amp;Checks!$P$23</f>
        <v>Required
08-Oct-26 09:35 LHR</v>
      </c>
      <c r="D43" s="114" t="str">
        <f aca="false">IF(Checks!$U$23="","",Checks!$U$23)&amp;IF(Checks!$AB$23="","",CHAR(10)&amp;"CA: "&amp;Checks!$AB$23)</f>
        <v/>
      </c>
      <c r="E43" s="114" t="str">
        <f aca="false">IF(Checks!$V$23="","",Checks!$V$23)&amp;IF(Checks!$AC$23="","",IF(Checks!$V$23="","",CHAR(10))&amp;"N/A just.: "&amp;Checks!$AC$23)&amp;IF(Checks!$W$23="","",CHAR(10)&amp;"Batch: "&amp;Checks!$W$23)&amp;IF(AND(Checks!$X$23="",Checks!$Y$23=""),"",CHAR(10)&amp;"Exp: "&amp;Checks!$X$23&amp;"  /  Act: "&amp;Checks!$Y$23)</f>
        <v/>
      </c>
      <c r="F43" s="114" t="str">
        <f aca="false">IF(Checks!$Z$23="","","Evidence: "&amp;Checks!$Z$23)&amp;IF(Checks!$AA$23="","",IF(Checks!$Z$23="","",CHAR(10))&amp;"CA: "&amp;Checks!$AA$23)</f>
        <v/>
      </c>
      <c r="G43" s="114" t="str">
        <f aca="false">IF(ISNUMBER(Checks!$AD$23),TEXT(Checks!$AD$23,"DD-MMM-YY HH:MM")&amp;" "&amp;Checks!$P$23,"")&amp;IF(Checks!$AE$23="","",CHAR(10)&amp;"Verifier: "&amp;Checks!$AE$23)&amp;IF(Checks!$T$23="","",CHAR(10)&amp;"PIC: "&amp;Checks!$T$23)</f>
        <v/>
      </c>
      <c r="H43" s="115" t="str">
        <f aca="false">IF(Checks!$AH$23="","",Checks!$AH$23)</f>
        <v>OPEN</v>
      </c>
    </row>
    <row r="44" customFormat="false" ht="246" hidden="false" customHeight="true" outlineLevel="0" collapsed="false">
      <c r="A44" s="114" t="str">
        <f aca="false">Checks!$A$24&amp;CHAR(10)&amp;IF(Checks!$I$24="","",Checks!$I$24&amp;": ")&amp;Checks!$J$24</f>
        <v>F01-T12-10
Seat Linen: Blanket (EY) - prepared</v>
      </c>
      <c r="B44" s="114" t="str">
        <f aca="false">SUBSTITUTE(Checks!$K$24&amp;IF(Checks!$O$24="","",IF(Checks!$K$24="","",CHAR(10))&amp;"Note: "&amp;Checks!$O$24),"SEAT LINEN!","Ref: SEAT LINEN!")</f>
        <v>Available 100% (ticked in reference); qty 280 (A350 9M-MAH) / 260 (A359) - per tail
Note: EY blanket: flight above 3 hours excl. Regional (Ref: SEAT LINEN!B74:C74); block 13.25 h. Qty per tail: A350 280 pcs (Ref: SEAT LINEN!B76:C76), A359 260 pcs (Ref: SEAT LINEN!B77:C77). Reference gives no uplift stn for this item: preparation checked at the meal uplift stn (LHR) - confirm with caterer.</v>
      </c>
      <c r="C44" s="114" t="str">
        <f aca="false">Checks!$N$24&amp;CHAR(10)&amp;IF(ISNUMBER(Checks!$R$24),TEXT(Checks!$R$24,"DD-MMM-YY HH:MM"),"")&amp;" "&amp;Checks!$P$24</f>
        <v>Required
08-Oct-26 09:35 LHR</v>
      </c>
      <c r="D44" s="114" t="str">
        <f aca="false">IF(Checks!$U$24="","",Checks!$U$24)&amp;IF(Checks!$AB$24="","",CHAR(10)&amp;"CA: "&amp;Checks!$AB$24)</f>
        <v/>
      </c>
      <c r="E44" s="114" t="str">
        <f aca="false">IF(Checks!$V$24="","",Checks!$V$24)&amp;IF(Checks!$AC$24="","",IF(Checks!$V$24="","",CHAR(10))&amp;"N/A just.: "&amp;Checks!$AC$24)&amp;IF(Checks!$W$24="","",CHAR(10)&amp;"Batch: "&amp;Checks!$W$24)&amp;IF(AND(Checks!$X$24="",Checks!$Y$24=""),"",CHAR(10)&amp;"Exp: "&amp;Checks!$X$24&amp;"  /  Act: "&amp;Checks!$Y$24)</f>
        <v/>
      </c>
      <c r="F44" s="114" t="str">
        <f aca="false">IF(Checks!$Z$24="","","Evidence: "&amp;Checks!$Z$24)&amp;IF(Checks!$AA$24="","",IF(Checks!$Z$24="","",CHAR(10))&amp;"CA: "&amp;Checks!$AA$24)</f>
        <v/>
      </c>
      <c r="G44" s="114" t="str">
        <f aca="false">IF(ISNUMBER(Checks!$AD$24),TEXT(Checks!$AD$24,"DD-MMM-YY HH:MM")&amp;" "&amp;Checks!$P$24,"")&amp;IF(Checks!$AE$24="","",CHAR(10)&amp;"Verifier: "&amp;Checks!$AE$24)&amp;IF(Checks!$T$24="","",CHAR(10)&amp;"PIC: "&amp;Checks!$T$24)</f>
        <v/>
      </c>
      <c r="H44" s="115" t="str">
        <f aca="false">IF(Checks!$AH$24="","",Checks!$AH$24)</f>
        <v>OPEN</v>
      </c>
    </row>
    <row r="45" customFormat="false" ht="25.5" hidden="false" customHeight="true" outlineLevel="0" collapsed="false">
      <c r="A45" s="113" t="str">
        <f aca="false">"UPLIFT — Physical uplift – on-board confirmation before departure  |  Due "&amp;"STD "&amp;IF(ISNUMBER(Flights!$I$5),TEXT(Flights!$I$5,"DD-MMM-YY HH:MM"),"")&amp;" "&amp;Flights!$G$5&amp;" (departure stn)"&amp;" (rows with another due show their own)  |  Complete "&amp;IF(ISNUMBER(Flights!$AM$5),TEXT(Flights!$AM$5,"0%"),Flights!$AM$5)&amp;"  |  5 lines"</f>
        <v>UPLIFT — Physical uplift – on-board confirmation before departure  |  Due STD 08-Oct-26 21:35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Checks!$A$25&amp;CHAR(10)&amp;IF(Checks!$I$25="","",Checks!$I$25&amp;": ")&amp;Checks!$J$25</f>
        <v>F01-UPL-01
Meal: Meals physically uplifted on board - quantity vs menu checklist</v>
      </c>
      <c r="B46" s="114" t="str">
        <f aca="false">Checks!$K$25&amp;IF(Checks!$O$25="","",IF(Checks!$K$25="","",CHAR(10))&amp;"Note: "&amp;Checks!$O$25)</f>
        <v>Enter expected &amp; actual
Note: Confirm on board before departure; completion time must fall inside the uplift window.</v>
      </c>
      <c r="C46" s="114" t="str">
        <f aca="false">Checks!$N$25&amp;CHAR(10)&amp;IF(ISNUMBER(Checks!$R$25),TEXT(Checks!$R$25,"DD-MMM-YY HH:MM"),"")&amp;" "&amp;Checks!$P$25</f>
        <v>Required
08-Oct-26 21:35 LHR</v>
      </c>
      <c r="D46" s="114" t="str">
        <f aca="false">IF(Checks!$U$25="","",Checks!$U$25)&amp;IF(Checks!$AB$25="","",CHAR(10)&amp;"CA: "&amp;Checks!$AB$25)</f>
        <v/>
      </c>
      <c r="E46" s="114" t="str">
        <f aca="false">IF(Checks!$V$25="","",Checks!$V$25)&amp;IF(Checks!$AC$25="","",IF(Checks!$V$25="","",CHAR(10))&amp;"N/A just.: "&amp;Checks!$AC$25)&amp;IF(Checks!$W$25="","",CHAR(10)&amp;"Batch: "&amp;Checks!$W$25)&amp;IF(AND(Checks!$X$25="",Checks!$Y$25=""),"",CHAR(10)&amp;"Exp: "&amp;Checks!$X$25&amp;"  /  Act: "&amp;Checks!$Y$25)</f>
        <v/>
      </c>
      <c r="F46" s="114" t="str">
        <f aca="false">IF(Checks!$Z$25="","","Evidence: "&amp;Checks!$Z$25)&amp;IF(Checks!$AA$25="","",IF(Checks!$Z$25="","",CHAR(10))&amp;"CA: "&amp;Checks!$AA$25)</f>
        <v/>
      </c>
      <c r="G46" s="114" t="str">
        <f aca="false">IF(ISNUMBER(Checks!$AD$25),TEXT(Checks!$AD$25,"DD-MMM-YY HH:MM")&amp;" "&amp;Checks!$P$25,"")&amp;IF(Checks!$AE$25="","",CHAR(10)&amp;"Verifier: "&amp;Checks!$AE$25)&amp;IF(Checks!$T$25="","",CHAR(10)&amp;"PIC: "&amp;Checks!$T$25)</f>
        <v/>
      </c>
      <c r="H46" s="115" t="str">
        <f aca="false">IF(Checks!$AH$25="","",Checks!$AH$25)</f>
        <v>OPEN</v>
      </c>
    </row>
    <row r="47" customFormat="false" ht="114" hidden="false" customHeight="true" outlineLevel="0" collapsed="false">
      <c r="A47" s="114" t="str">
        <f aca="false">Checks!$A$26&amp;CHAR(10)&amp;IF(Checks!$I$26="","",Checks!$I$26&amp;": ")&amp;Checks!$J$26</f>
        <v>F01-UPL-02
Equipment: Equipment physically loaded at GLD positions - quantity &amp; positions</v>
      </c>
      <c r="B47" s="114" t="str">
        <f aca="false">Checks!$K$26&amp;IF(Checks!$O$26="","",IF(Checks!$K$26="","",CHAR(10))&amp;"Note: "&amp;Checks!$O$26)</f>
        <v>Enter expected &amp; actual
Note: Confirm on board before departure; completion time must fall inside the uplift window.</v>
      </c>
      <c r="C47" s="114" t="str">
        <f aca="false">Checks!$N$26&amp;CHAR(10)&amp;IF(ISNUMBER(Checks!$R$26),TEXT(Checks!$R$26,"DD-MMM-YY HH:MM"),"")&amp;" "&amp;Checks!$P$26</f>
        <v>Required
08-Oct-26 21:35 LHR</v>
      </c>
      <c r="D47" s="114" t="str">
        <f aca="false">IF(Checks!$U$26="","",Checks!$U$26)&amp;IF(Checks!$AB$26="","",CHAR(10)&amp;"CA: "&amp;Checks!$AB$26)</f>
        <v/>
      </c>
      <c r="E47" s="114" t="str">
        <f aca="false">IF(Checks!$V$26="","",Checks!$V$26)&amp;IF(Checks!$AC$26="","",IF(Checks!$V$26="","",CHAR(10))&amp;"N/A just.: "&amp;Checks!$AC$26)&amp;IF(Checks!$W$26="","",CHAR(10)&amp;"Batch: "&amp;Checks!$W$26)&amp;IF(AND(Checks!$X$26="",Checks!$Y$26=""),"",CHAR(10)&amp;"Exp: "&amp;Checks!$X$26&amp;"  /  Act: "&amp;Checks!$Y$26)</f>
        <v/>
      </c>
      <c r="F47" s="114" t="str">
        <f aca="false">IF(Checks!$Z$26="","","Evidence: "&amp;Checks!$Z$26)&amp;IF(Checks!$AA$26="","",IF(Checks!$Z$26="","",CHAR(10))&amp;"CA: "&amp;Checks!$AA$26)</f>
        <v/>
      </c>
      <c r="G47" s="114" t="str">
        <f aca="false">IF(ISNUMBER(Checks!$AD$26),TEXT(Checks!$AD$26,"DD-MMM-YY HH:MM")&amp;" "&amp;Checks!$P$26,"")&amp;IF(Checks!$AE$26="","",CHAR(10)&amp;"Verifier: "&amp;Checks!$AE$26)&amp;IF(Checks!$T$26="","",CHAR(10)&amp;"PIC: "&amp;Checks!$T$26)</f>
        <v/>
      </c>
      <c r="H47" s="115" t="str">
        <f aca="false">IF(Checks!$AH$26="","",Checks!$AH$26)</f>
        <v>OPEN</v>
      </c>
    </row>
    <row r="48" customFormat="false" ht="135.75" hidden="false" customHeight="true" outlineLevel="0" collapsed="false">
      <c r="A48" s="114" t="str">
        <f aca="false">Checks!$A$27&amp;CHAR(10)&amp;IF(Checks!$I$27="","",Checks!$I$27&amp;": ")&amp;Checks!$J$27</f>
        <v>F01-UPL-03
Amenities: Toiletry kits - on board</v>
      </c>
      <c r="B48" s="114" t="str">
        <f aca="false">Checks!$K$27&amp;IF(Checks!$O$27="","",IF(Checks!$K$27="","",CHAR(10))&amp;"Note: "&amp;Checks!$O$27)</f>
        <v>Available for sector (ticked in reference)
Note: Reference does not state the cabin class for toiletry kits. Confirm whether EY receives them; if not, mark N/A with the confirmation as justification.</v>
      </c>
      <c r="C48" s="114" t="str">
        <f aca="false">Checks!$N$27&amp;CHAR(10)&amp;IF(ISNUMBER(Checks!$R$27),TEXT(Checks!$R$27,"DD-MMM-YY HH:MM"),"")&amp;" "&amp;Checks!$P$27</f>
        <v>Clarification required
08-Oct-26 21:35 LHR</v>
      </c>
      <c r="D48" s="114" t="str">
        <f aca="false">IF(Checks!$U$27="","",Checks!$U$27)&amp;IF(Checks!$AB$27="","",CHAR(10)&amp;"CA: "&amp;Checks!$AB$27)</f>
        <v/>
      </c>
      <c r="E48" s="114" t="str">
        <f aca="false">IF(Checks!$V$27="","",Checks!$V$27)&amp;IF(Checks!$AC$27="","",IF(Checks!$V$27="","",CHAR(10))&amp;"N/A just.: "&amp;Checks!$AC$27)&amp;IF(Checks!$W$27="","",CHAR(10)&amp;"Batch: "&amp;Checks!$W$27)&amp;IF(AND(Checks!$X$27="",Checks!$Y$27=""),"",CHAR(10)&amp;"Exp: "&amp;Checks!$X$27&amp;"  /  Act: "&amp;Checks!$Y$27)</f>
        <v/>
      </c>
      <c r="F48" s="114" t="str">
        <f aca="false">IF(Checks!$Z$27="","","Evidence: "&amp;Checks!$Z$27)&amp;IF(Checks!$AA$27="","",IF(Checks!$Z$27="","",CHAR(10))&amp;"CA: "&amp;Checks!$AA$27)</f>
        <v/>
      </c>
      <c r="G48" s="114" t="str">
        <f aca="false">IF(ISNUMBER(Checks!$AD$27),TEXT(Checks!$AD$27,"DD-MMM-YY HH:MM")&amp;" "&amp;Checks!$P$27,"")&amp;IF(Checks!$AE$27="","",CHAR(10)&amp;"Verifier: "&amp;Checks!$AE$27)&amp;IF(Checks!$T$27="","",CHAR(10)&amp;"PIC: "&amp;Checks!$T$27)</f>
        <v/>
      </c>
      <c r="H48" s="115" t="str">
        <f aca="false">IF(Checks!$AH$27="","",Checks!$AH$27)</f>
        <v>OPEN – CLARIFICATION</v>
      </c>
    </row>
    <row r="49" customFormat="false" ht="114" hidden="false" customHeight="true" outlineLevel="0" collapsed="false">
      <c r="A49" s="114" t="str">
        <f aca="false">Checks!$A$28&amp;CHAR(10)&amp;IF(Checks!$I$28="","",Checks!$I$28&amp;": ")&amp;Checks!$J$28</f>
        <v>F01-UPL-04
Seat Linen: Seat pillow (EY) - on board</v>
      </c>
      <c r="B49" s="114" t="str">
        <f aca="false">Checks!$K$28&amp;IF(Checks!$O$28="","",IF(Checks!$K$28="","",CHAR(10))&amp;"Note: "&amp;Checks!$O$28)</f>
        <v>Available 100% (ticked in reference)</v>
      </c>
      <c r="C49" s="114" t="str">
        <f aca="false">Checks!$N$28&amp;CHAR(10)&amp;IF(ISNUMBER(Checks!$R$28),TEXT(Checks!$R$28,"DD-MMM-YY HH:MM"),"")&amp;" "&amp;Checks!$P$28</f>
        <v>Required
08-Oct-26 21:35 LHR</v>
      </c>
      <c r="D49" s="114" t="str">
        <f aca="false">IF(Checks!$U$28="","",Checks!$U$28)&amp;IF(Checks!$AB$28="","",CHAR(10)&amp;"CA: "&amp;Checks!$AB$28)</f>
        <v/>
      </c>
      <c r="E49" s="114" t="str">
        <f aca="false">IF(Checks!$V$28="","",Checks!$V$28)&amp;IF(Checks!$AC$28="","",IF(Checks!$V$28="","",CHAR(10))&amp;"N/A just.: "&amp;Checks!$AC$28)&amp;IF(Checks!$W$28="","",CHAR(10)&amp;"Batch: "&amp;Checks!$W$28)&amp;IF(AND(Checks!$X$28="",Checks!$Y$28=""),"",CHAR(10)&amp;"Exp: "&amp;Checks!$X$28&amp;"  /  Act: "&amp;Checks!$Y$28)</f>
        <v/>
      </c>
      <c r="F49" s="114" t="str">
        <f aca="false">IF(Checks!$Z$28="","","Evidence: "&amp;Checks!$Z$28)&amp;IF(Checks!$AA$28="","",IF(Checks!$Z$28="","",CHAR(10))&amp;"CA: "&amp;Checks!$AA$28)</f>
        <v/>
      </c>
      <c r="G49" s="114" t="str">
        <f aca="false">IF(ISNUMBER(Checks!$AD$28),TEXT(Checks!$AD$28,"DD-MMM-YY HH:MM")&amp;" "&amp;Checks!$P$28,"")&amp;IF(Checks!$AE$28="","",CHAR(10)&amp;"Verifier: "&amp;Checks!$AE$28)&amp;IF(Checks!$T$28="","",CHAR(10)&amp;"PIC: "&amp;Checks!$T$28)</f>
        <v/>
      </c>
      <c r="H49" s="115" t="str">
        <f aca="false">IF(Checks!$AH$28="","",Checks!$AH$28)</f>
        <v>OPEN</v>
      </c>
    </row>
    <row r="50" customFormat="false" ht="168.75" hidden="false" customHeight="true" outlineLevel="0" collapsed="false">
      <c r="A50" s="114" t="str">
        <f aca="false">Checks!$A$29&amp;CHAR(10)&amp;IF(Checks!$I$29="","",Checks!$I$29&amp;": ")&amp;Checks!$J$29</f>
        <v>F01-UPL-05
Seat Linen: Blanket (EY) - on board</v>
      </c>
      <c r="B50" s="114" t="str">
        <f aca="false">SUBSTITUTE(Checks!$K$29&amp;IF(Checks!$O$29="","",IF(Checks!$K$29="","",CHAR(10))&amp;"Note: "&amp;Checks!$O$29),"SEAT LINEN!","Ref: SEAT LINEN!")</f>
        <v>Available 100% (ticked in reference); qty 280 (A350 9M-MAH) / 260 (A359) - per tail
Note: EY blanket: flight above 3 hours excl. Regional (Ref: SEAT LINEN!B74:C74); block 13.25 h. Qty per tail: A350 280 pcs (Ref: SEAT LINEN!B76:C76), A359 260 pcs (Ref: SEAT LINEN!B77:C77).</v>
      </c>
      <c r="C50" s="114" t="str">
        <f aca="false">Checks!$N$29&amp;CHAR(10)&amp;IF(ISNUMBER(Checks!$R$29),TEXT(Checks!$R$29,"DD-MMM-YY HH:MM"),"")&amp;" "&amp;Checks!$P$29</f>
        <v>Required
08-Oct-26 21:35 LHR</v>
      </c>
      <c r="D50" s="114" t="str">
        <f aca="false">IF(Checks!$U$29="","",Checks!$U$29)&amp;IF(Checks!$AB$29="","",CHAR(10)&amp;"CA: "&amp;Checks!$AB$29)</f>
        <v/>
      </c>
      <c r="E50" s="114" t="str">
        <f aca="false">IF(Checks!$V$29="","",Checks!$V$29)&amp;IF(Checks!$AC$29="","",IF(Checks!$V$29="","",CHAR(10))&amp;"N/A just.: "&amp;Checks!$AC$29)&amp;IF(Checks!$W$29="","",CHAR(10)&amp;"Batch: "&amp;Checks!$W$29)&amp;IF(AND(Checks!$X$29="",Checks!$Y$29=""),"",CHAR(10)&amp;"Exp: "&amp;Checks!$X$29&amp;"  /  Act: "&amp;Checks!$Y$29)</f>
        <v/>
      </c>
      <c r="F50" s="114" t="str">
        <f aca="false">IF(Checks!$Z$29="","","Evidence: "&amp;Checks!$Z$29)&amp;IF(Checks!$AA$29="","",IF(Checks!$Z$29="","",CHAR(10))&amp;"CA: "&amp;Checks!$AA$29)</f>
        <v/>
      </c>
      <c r="G50" s="114" t="str">
        <f aca="false">IF(ISNUMBER(Checks!$AD$29),TEXT(Checks!$AD$29,"DD-MMM-YY HH:MM")&amp;" "&amp;Checks!$P$29,"")&amp;IF(Checks!$AE$29="","",CHAR(10)&amp;"Verifier: "&amp;Checks!$AE$29)&amp;IF(Checks!$T$29="","",CHAR(10)&amp;"PIC: "&amp;Checks!$T$29)</f>
        <v/>
      </c>
      <c r="H50" s="115" t="str">
        <f aca="false">IF(Checks!$AH$29="","",Checks!$AH$29)</f>
        <v>OPEN</v>
      </c>
    </row>
    <row r="52" customFormat="false" ht="24" hidden="false" customHeight="true" outlineLevel="0" collapsed="false">
      <c r="A52" s="116" t="s">
        <v>1737</v>
      </c>
      <c r="B52" s="116"/>
      <c r="C52" s="116"/>
      <c r="D52" s="116"/>
      <c r="E52" s="116" t="s">
        <v>1738</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F01 MH0001 08-Oct-26 LHR-KUL Class EY</oddHeader>
    <oddFooter>&amp;L&amp;"Arial,Bold"&amp;8 F01 MH0001 08-Oct-26 LHR-KUL Class EY&amp;C&amp;"Arial,Regular"&amp;8 Printed: ____________________&amp;R&amp;"Arial,Regular"&amp;8 F01  Page &amp;P of &amp;N</oddFooter>
  </headerFooter>
  <rowBreaks count="8" manualBreakCount="8">
    <brk id="20" man="true" max="16383" min="0"/>
    <brk id="26" man="true" max="16383" min="0"/>
    <brk id="30" man="true" max="16383" min="0"/>
    <brk id="35" man="true" max="16383" min="0"/>
    <brk id="39" man="true" max="16383" min="0"/>
    <brk id="41" man="true" max="16383" min="0"/>
    <brk id="44" man="true" max="16383" min="0"/>
    <brk id="48" man="true" max="16383" min="0"/>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F02  "&amp;Flights!$F$6&amp;"  "&amp;TEXT(Flights!$D$6,"DD-MMM-YY")&amp;" ("&amp;Flights!$E$6&amp;")  "&amp;Flights!$G$6&amp;" → "&amp;Flights!$H$6&amp;"  |  Class "&amp;Flights!$K$6</f>
        <v>SKYTRAX 2026 CATERING READINESS CHECKLIST  |  F02  MH0727  09-Oct-26 (FRI)  KUL → CGK  |  Class BC</v>
      </c>
      <c r="B1" s="92"/>
      <c r="C1" s="92"/>
      <c r="D1" s="92"/>
      <c r="E1" s="92"/>
      <c r="F1" s="92"/>
      <c r="G1" s="92"/>
      <c r="H1" s="92"/>
    </row>
    <row r="2" customFormat="false" ht="12.75" hidden="false" customHeight="true" outlineLevel="0" collapsed="false">
      <c r="A2" s="93" t="s">
        <v>1692</v>
      </c>
      <c r="B2" s="94" t="str">
        <f aca="false">Flights!$F$6&amp;"   "&amp;TEXT(Flights!$D$6,"DD-MMM-YY")&amp;" ("&amp;Flights!$E$6&amp;")"</f>
        <v>MH0727   09-Oct-26 (FRI)</v>
      </c>
      <c r="C2" s="94"/>
      <c r="D2" s="94"/>
      <c r="E2" s="95" t="s">
        <v>1693</v>
      </c>
      <c r="F2" s="96" t="str">
        <f aca="false">Flights!$AT$6</f>
        <v>NOT READY – DOCUMENTS</v>
      </c>
      <c r="G2" s="96"/>
      <c r="H2" s="96"/>
    </row>
    <row r="3" customFormat="false" ht="24" hidden="false" customHeight="true" outlineLevel="0" collapsed="false">
      <c r="A3" s="93" t="s">
        <v>1694</v>
      </c>
      <c r="B3" s="94" t="str">
        <f aca="false">Flights!$G$6&amp;" → "&amp;Flights!$H$6&amp;"   Class "&amp;Flights!$K$6&amp;"   Seat "&amp;Flights!$O$6</f>
        <v>KUL → CGK   Class BC   Seat 1C</v>
      </c>
      <c r="C3" s="94"/>
      <c r="D3" s="94"/>
      <c r="E3" s="95" t="s">
        <v>71</v>
      </c>
      <c r="F3" s="95" t="s">
        <v>1695</v>
      </c>
      <c r="G3" s="95" t="s">
        <v>1696</v>
      </c>
      <c r="H3" s="95"/>
    </row>
    <row r="4" customFormat="false" ht="24" hidden="false" customHeight="true" outlineLevel="0" collapsed="false">
      <c r="A4" s="93" t="s">
        <v>1697</v>
      </c>
      <c r="B4" s="94" t="str">
        <f aca="false">IF(ISNUMBER(Flights!$I$6),TEXT(Flights!$I$6,"DD-MMM-YY HH:MM"),"")&amp;" "&amp;Flights!$G$6&amp;"  →  "&amp;IF(ISNUMBER(Flights!$J$6),TEXT(Flights!$J$6,"DD-MMM-YY HH:MM"),"")&amp;" "&amp;Flights!$H$6</f>
        <v>09-Oct-26 21:50 KUL  →  09-Oct-26 23:05 CGK</v>
      </c>
      <c r="C4" s="94"/>
      <c r="D4" s="94"/>
      <c r="E4" s="93" t="s">
        <v>1698</v>
      </c>
      <c r="F4" s="97" t="str">
        <f aca="false">IF(ISNUMBER(Flights!$AG$6),TEXT(Flights!$AG$6,"DD-MMM-YY HH:MM"),"")&amp;" "&amp;Flights!$V$6</f>
        <v>02-Oct-26 21:50 KUL</v>
      </c>
      <c r="G4" s="98" t="n">
        <f aca="false">Flights!$AJ$6</f>
        <v>0</v>
      </c>
      <c r="H4" s="98"/>
    </row>
    <row r="5" customFormat="false" ht="24" hidden="false" customHeight="true" outlineLevel="0" collapsed="false">
      <c r="A5" s="93" t="s">
        <v>1699</v>
      </c>
      <c r="B5" s="94" t="str">
        <f aca="false">Flights!$L$6&amp;" – "&amp;Flights!$M$6</f>
        <v>B738MAX – B737-8 (B7M8)</v>
      </c>
      <c r="C5" s="94"/>
      <c r="D5" s="94"/>
      <c r="E5" s="93" t="s">
        <v>1700</v>
      </c>
      <c r="F5" s="97" t="str">
        <f aca="false">IF(ISNUMBER(Flights!$AH$6),TEXT(Flights!$AH$6,"DD-MMM-YY HH:MM"),"")&amp;" "&amp;Flights!$V$6</f>
        <v>08-Oct-26 21:50 KUL</v>
      </c>
      <c r="G5" s="98" t="n">
        <f aca="false">Flights!$AK$6</f>
        <v>0</v>
      </c>
      <c r="H5" s="98"/>
    </row>
    <row r="6" customFormat="false" ht="24" hidden="false" customHeight="true" outlineLevel="0" collapsed="false">
      <c r="A6" s="93" t="s">
        <v>1701</v>
      </c>
      <c r="B6" s="94" t="str">
        <f aca="false">IF(TRIM(Flights!$N$6)="","__________________",Flights!$N$6)</f>
        <v>__________________</v>
      </c>
      <c r="C6" s="94"/>
      <c r="D6" s="94"/>
      <c r="E6" s="93" t="s">
        <v>1702</v>
      </c>
      <c r="F6" s="97" t="str">
        <f aca="false">IF(ISNUMBER(Flights!$AI$6),TEXT(Flights!$AI$6,"DD-MMM-YY HH:MM"),"")&amp;" "&amp;Flights!$V$6&amp;IF(Flights!$AI$6=Flights!$AH$6,"  (= T-24H due)","")</f>
        <v>09-Oct-26 09:50 KUL</v>
      </c>
      <c r="G6" s="98" t="n">
        <f aca="false">Flights!$AL$6</f>
        <v>0</v>
      </c>
      <c r="H6" s="98"/>
    </row>
    <row r="7" customFormat="false" ht="24" hidden="false" customHeight="true" outlineLevel="0" collapsed="false">
      <c r="A7" s="93" t="s">
        <v>1703</v>
      </c>
      <c r="B7" s="94" t="str">
        <f aca="false">Flights!$T$6</f>
        <v>1 Meal (Meal)</v>
      </c>
      <c r="C7" s="94"/>
      <c r="D7" s="94"/>
      <c r="E7" s="93" t="s">
        <v>1704</v>
      </c>
      <c r="F7" s="97" t="str">
        <f aca="false">"STD "&amp;IF(ISNUMBER(Flights!$I$6),TEXT(Flights!$I$6,"DD-MMM-YY HH:MM"),"")&amp;" "&amp;Flights!$G$6&amp;" (dep stn)"</f>
        <v>STD 09-Oct-26 21:50 KUL (dep stn)</v>
      </c>
      <c r="G7" s="98" t="n">
        <f aca="false">Flights!$AM$6</f>
        <v>0</v>
      </c>
      <c r="H7" s="98"/>
    </row>
    <row r="8" customFormat="false" ht="12.75" hidden="false" customHeight="true" outlineLevel="0" collapsed="false">
      <c r="A8" s="93" t="s">
        <v>153</v>
      </c>
      <c r="B8" s="94" t="str">
        <f aca="false">Flights!$V$6&amp;"   (reference uplift stns: "&amp;Flights!$U$6&amp;")"</f>
        <v>KUL   (reference uplift stns: KUL/CGK)</v>
      </c>
      <c r="C8" s="94"/>
      <c r="D8" s="94"/>
      <c r="E8" s="93" t="s">
        <v>1705</v>
      </c>
      <c r="F8" s="99" t="s">
        <v>1706</v>
      </c>
      <c r="G8" s="98" t="n">
        <f aca="false">Flights!$AN$6</f>
        <v>0</v>
      </c>
      <c r="H8" s="98"/>
    </row>
    <row r="9" customFormat="false" ht="12.75" hidden="false" customHeight="true" outlineLevel="0" collapsed="false">
      <c r="A9" s="93" t="s">
        <v>1707</v>
      </c>
      <c r="B9" s="94" t="str">
        <f aca="false">TRIM(Flights!$P$6&amp;"  "&amp;Flights!$Q$6)</f>
        <v>4H 00M Overnight CGK</v>
      </c>
      <c r="C9" s="94"/>
      <c r="D9" s="94"/>
      <c r="E9" s="93" t="s">
        <v>1708</v>
      </c>
      <c r="F9" s="100" t="n">
        <f aca="false">Flights!$AP$6</f>
        <v>0</v>
      </c>
      <c r="G9" s="100" t="n">
        <f aca="false">Flights!$AQ$6</f>
        <v>0</v>
      </c>
      <c r="H9" s="100" t="n">
        <f aca="false">Flights!$AU$6</f>
        <v>0</v>
      </c>
    </row>
    <row r="10" customFormat="false" ht="24" hidden="false" customHeight="true" outlineLevel="0" collapsed="false">
      <c r="A10" s="93" t="s">
        <v>1709</v>
      </c>
      <c r="B10" s="94" t="str">
        <f aca="false">IF(TRIM(Flights!$X$6)="","__________________",Flights!$X$6)</f>
        <v>__________________</v>
      </c>
      <c r="C10" s="94"/>
      <c r="D10" s="94"/>
      <c r="E10" s="93" t="s">
        <v>1710</v>
      </c>
      <c r="F10" s="100" t="n">
        <f aca="false">Flights!$AO$6</f>
        <v>38</v>
      </c>
      <c r="G10" s="100" t="n">
        <f aca="false">Flights!$AS$6</f>
        <v>2</v>
      </c>
      <c r="H10" s="100" t="n">
        <f aca="false">Flights!$AR$6</f>
        <v>2</v>
      </c>
    </row>
    <row r="11" customFormat="false" ht="21" hidden="false" customHeight="true" outlineLevel="0" collapsed="false">
      <c r="A11" s="93" t="s">
        <v>1711</v>
      </c>
      <c r="B11" s="94" t="str">
        <f aca="false">IF(TRIM(Flights!$Y$6)="","__________________",Flights!$Y$6)</f>
        <v>__________________</v>
      </c>
      <c r="C11" s="94"/>
      <c r="D11" s="94"/>
      <c r="E11" s="93" t="s">
        <v>1712</v>
      </c>
      <c r="F11" s="100" t="str">
        <f aca="false">Flights!$AV$6&amp;" / "&amp;Flights!$AW$6</f>
        <v>0 / 38</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IF(Documents!$F$6="","",Documents!$F$6)</f>
        <v/>
      </c>
      <c r="C14" s="99" t="str">
        <f aca="false">IF(Documents!$G$6="","",Documents!$G$6)&amp;IF(ISNUMBER(Documents!$H$6),"  "&amp;TEXT(Documents!$H$6,"DD-MMM-YY"),"")</f>
        <v/>
      </c>
      <c r="D14" s="99"/>
      <c r="E14" s="107" t="str">
        <f aca="false">IF(Documents!$J$6="OUTSTANDING","OUTSTANDING – attach before T-7D (due "&amp;IF(ISNUMBER(Flights!$AG$6),TEXT(Flights!$AG$6,"DD-MMM-YY HH:MM"),"")&amp;" "&amp;Flights!$V$6&amp;")",IF(Documents!$J$6="","Status not recorded",Documents!$J$6))</f>
        <v>OUTSTANDING – attach before T-7D (due 02-Oct-26 21:50 KUL)</v>
      </c>
      <c r="F14" s="108" t="str">
        <f aca="false">"Staple behind this sheet as page A1."&amp;IF(Documents!$I$6="",""," Location: "&amp;Documents!$I$6)</f>
        <v>Staple behind this sheet as page A1.</v>
      </c>
      <c r="G14" s="108"/>
      <c r="H14" s="108"/>
    </row>
    <row r="15" customFormat="false" ht="36" hidden="false" customHeight="true" outlineLevel="0" collapsed="false">
      <c r="A15" s="93" t="s">
        <v>1723</v>
      </c>
      <c r="B15" s="94" t="str">
        <f aca="false">IF(Documents!$K$6="","",Documents!$K$6)</f>
        <v/>
      </c>
      <c r="C15" s="99" t="str">
        <f aca="false">IF(Documents!$L$6="","",Documents!$L$6)&amp;IF(ISNUMBER(Documents!$M$6),"  "&amp;TEXT(Documents!$M$6,"DD-MMM-YY"),"")</f>
        <v/>
      </c>
      <c r="D15" s="99"/>
      <c r="E15" s="107" t="str">
        <f aca="false">IF(Documents!$O$6="OUTSTANDING","OUTSTANDING – attach before T-7D (due "&amp;IF(ISNUMBER(Flights!$AG$6),TEXT(Flights!$AG$6,"DD-MMM-YY HH:MM"),"")&amp;" "&amp;Flights!$V$6&amp;")",IF(Documents!$O$6="","Status not recorded",Documents!$O$6))</f>
        <v>OUTSTANDING – attach before T-7D (due 02-Oct-26 21:50 KUL)</v>
      </c>
      <c r="F15" s="108" t="str">
        <f aca="false">"Staple behind this sheet as page A2."&amp;IF(Documents!$N$6="",""," Location: "&amp;Documents!$N$6)</f>
        <v>Staple behind this sheet as page A2.</v>
      </c>
      <c r="G15" s="108"/>
      <c r="H15" s="108"/>
    </row>
    <row r="16" customFormat="false" ht="22.5" hidden="false" customHeight="true" outlineLevel="0" collapsed="false">
      <c r="A16" s="93" t="s">
        <v>1724</v>
      </c>
      <c r="B16" s="109" t="str">
        <f aca="false">IF(Documents!$Q$6="","",Documents!$Q$6)</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"&amp;IF(TRIM(Flights!$Y$6)="","__________________",Flights!$Y$6)</f>
        <v>Name: __________________</v>
      </c>
      <c r="B18" s="94"/>
      <c r="C18" s="94" t="str">
        <f aca="false">"Name: __________________"</f>
        <v>Name: __________________</v>
      </c>
      <c r="D18" s="94"/>
      <c r="E18" s="94"/>
      <c r="F18" s="94" t="str">
        <f aca="false">"Name: __________________"&amp;"   Station: "&amp;Flights!$V$6</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"&amp;IF(ISNUMBER(Flights!$AG$6),TEXT(Flights!$AG$6,"DD-MMM-YY HH:MM"),"")&amp;" "&amp;Flights!$V$6&amp;" (meal uplift stn)"&amp;" (rows with another due show their own)  |  Complete "&amp;IF(ISNUMBER(Flights!$AJ$6),TEXT(Flights!$AJ$6,"0%"),Flights!$AJ$6)&amp;"  |  9 lines"</f>
        <v>T-7D — 7 days before departure  |  Due 02-Oct-26 21:50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Checks!$A$30&amp;CHAR(10)&amp;IF(Checks!$I$30="","",Checks!$I$30&amp;": ")&amp;Checks!$J$30</f>
        <v>F02-T7-01
Meal: Meal sensory testing completed for this flight's menu cycle (assessed class)</v>
      </c>
      <c r="B23" s="114" t="str">
        <f aca="false">Checks!$K$30&amp;IF(Checks!$O$30="","",IF(Checks!$K$30="","",CHAR(10))&amp;"Note: "&amp;Checks!$O$30)</f>
        <v>Record panel result / score in Result</v>
      </c>
      <c r="C23" s="114" t="str">
        <f aca="false">Checks!$N$30&amp;CHAR(10)&amp;IF(ISNUMBER(Checks!$R$30),TEXT(Checks!$R$30,"DD-MMM-YY HH:MM"),"")&amp;" "&amp;Checks!$P$30</f>
        <v>Required
02-Oct-26 21:50 KUL</v>
      </c>
      <c r="D23" s="114" t="str">
        <f aca="false">IF(Checks!$U$30="","",Checks!$U$30)&amp;IF(Checks!$AB$30="","",CHAR(10)&amp;"CA: "&amp;Checks!$AB$30)</f>
        <v/>
      </c>
      <c r="E23" s="114" t="str">
        <f aca="false">IF(Checks!$V$30="","",Checks!$V$30)&amp;IF(Checks!$AC$30="","",IF(Checks!$V$30="","",CHAR(10))&amp;"N/A just.: "&amp;Checks!$AC$30)&amp;IF(Checks!$W$30="","",CHAR(10)&amp;"Batch: "&amp;Checks!$W$30)&amp;IF(AND(Checks!$X$30="",Checks!$Y$30=""),"",CHAR(10)&amp;"Exp: "&amp;Checks!$X$30&amp;"  /  Act: "&amp;Checks!$Y$30)</f>
        <v/>
      </c>
      <c r="F23" s="114" t="str">
        <f aca="false">IF(Checks!$Z$30="","","Evidence: "&amp;Checks!$Z$30)&amp;IF(Checks!$AA$30="","",IF(Checks!$Z$30="","",CHAR(10))&amp;"CA: "&amp;Checks!$AA$30)</f>
        <v/>
      </c>
      <c r="G23" s="114" t="str">
        <f aca="false">IF(ISNUMBER(Checks!$AD$30),TEXT(Checks!$AD$30,"DD-MMM-YY HH:MM")&amp;" "&amp;Checks!$P$30,"")&amp;IF(Checks!$AE$30="","",CHAR(10)&amp;"Verifier: "&amp;Checks!$AE$30)&amp;IF(Checks!$T$30="","",CHAR(10)&amp;"PIC: "&amp;Checks!$T$30)</f>
        <v/>
      </c>
      <c r="H23" s="115" t="str">
        <f aca="false">IF(Checks!$AH$30="","",Checks!$AH$30)</f>
        <v>OPEN</v>
      </c>
    </row>
    <row r="24" customFormat="false" ht="114" hidden="false" customHeight="true" outlineLevel="0" collapsed="false">
      <c r="A24" s="114" t="str">
        <f aca="false">Checks!$A$31&amp;CHAR(10)&amp;IF(Checks!$I$31="","",Checks!$I$31&amp;": ")&amp;Checks!$J$31</f>
        <v>F02-T7-02
Menu: Printed menu cards confirmed (content, cycle, language, quantity)</v>
      </c>
      <c r="B24" s="114" t="str">
        <f aca="false">Checks!$K$31&amp;IF(Checks!$O$31="","",IF(Checks!$K$31="","",CHAR(10))&amp;"Note: "&amp;Checks!$O$31)</f>
        <v>Menu card matches approved menu for this flight</v>
      </c>
      <c r="C24" s="114" t="str">
        <f aca="false">Checks!$N$31&amp;CHAR(10)&amp;IF(ISNUMBER(Checks!$R$31),TEXT(Checks!$R$31,"DD-MMM-YY HH:MM"),"")&amp;" "&amp;Checks!$P$31</f>
        <v>Required
02-Oct-26 21:50 KUL</v>
      </c>
      <c r="D24" s="114" t="str">
        <f aca="false">IF(Checks!$U$31="","",Checks!$U$31)&amp;IF(Checks!$AB$31="","",CHAR(10)&amp;"CA: "&amp;Checks!$AB$31)</f>
        <v/>
      </c>
      <c r="E24" s="114" t="str">
        <f aca="false">IF(Checks!$V$31="","",Checks!$V$31)&amp;IF(Checks!$AC$31="","",IF(Checks!$V$31="","",CHAR(10))&amp;"N/A just.: "&amp;Checks!$AC$31)&amp;IF(Checks!$W$31="","",CHAR(10)&amp;"Batch: "&amp;Checks!$W$31)&amp;IF(AND(Checks!$X$31="",Checks!$Y$31=""),"",CHAR(10)&amp;"Exp: "&amp;Checks!$X$31&amp;"  /  Act: "&amp;Checks!$Y$31)</f>
        <v/>
      </c>
      <c r="F24" s="114" t="str">
        <f aca="false">IF(Checks!$Z$31="","","Evidence: "&amp;Checks!$Z$31)&amp;IF(Checks!$AA$31="","",IF(Checks!$Z$31="","",CHAR(10))&amp;"CA: "&amp;Checks!$AA$31)</f>
        <v/>
      </c>
      <c r="G24" s="114" t="str">
        <f aca="false">IF(ISNUMBER(Checks!$AD$31),TEXT(Checks!$AD$31,"DD-MMM-YY HH:MM")&amp;" "&amp;Checks!$P$31,"")&amp;IF(Checks!$AE$31="","",CHAR(10)&amp;"Verifier: "&amp;Checks!$AE$31)&amp;IF(Checks!$T$31="","",CHAR(10)&amp;"PIC: "&amp;Checks!$T$31)</f>
        <v/>
      </c>
      <c r="H24" s="115" t="str">
        <f aca="false">IF(Checks!$AH$31="","",Checks!$AH$31)</f>
        <v>OPEN</v>
      </c>
    </row>
    <row r="25" customFormat="false" ht="114" hidden="false" customHeight="true" outlineLevel="0" collapsed="false">
      <c r="A25" s="114" t="str">
        <f aca="false">Checks!$A$32&amp;CHAR(10)&amp;IF(Checks!$I$32="","",Checks!$I$32&amp;": ")&amp;Checks!$J$32</f>
        <v>F02-T7-03
IFE: Digital menu in IFE confirmed (A339 only)</v>
      </c>
      <c r="B25" s="114" t="str">
        <f aca="false">Checks!$K$32&amp;IF(Checks!$O$32="","",IF(Checks!$K$32="","",CHAR(10))&amp;"Note: "&amp;Checks!$O$32)</f>
        <v>Applies when fleet = A339
Note: Digital IFE menu applies to A339 only (user brief). Applicability follows the Fleet cell on Flights.</v>
      </c>
      <c r="C25" s="114" t="str">
        <f aca="false">Checks!$N$32&amp;CHAR(10)&amp;IF(ISNUMBER(Checks!$R$32),TEXT(Checks!$R$32,"DD-MMM-YY HH:MM"),"")&amp;" "&amp;Checks!$P$32</f>
        <v>N/A – rule
02-Oct-26 21:50 KUL</v>
      </c>
      <c r="D25" s="114" t="str">
        <f aca="false">IF(Checks!$U$32="","",Checks!$U$32)&amp;IF(Checks!$AB$32="","",CHAR(10)&amp;"CA: "&amp;Checks!$AB$32)</f>
        <v/>
      </c>
      <c r="E25" s="114" t="str">
        <f aca="false">IF(Checks!$V$32="","",Checks!$V$32)&amp;IF(Checks!$AC$32="","",IF(Checks!$V$32="","",CHAR(10))&amp;"N/A just.: "&amp;Checks!$AC$32)&amp;IF(Checks!$W$32="","",CHAR(10)&amp;"Batch: "&amp;Checks!$W$32)&amp;IF(AND(Checks!$X$32="",Checks!$Y$32=""),"",CHAR(10)&amp;"Exp: "&amp;Checks!$X$32&amp;"  /  Act: "&amp;Checks!$Y$32)</f>
        <v/>
      </c>
      <c r="F25" s="114" t="str">
        <f aca="false">IF(Checks!$Z$32="","","Evidence: "&amp;Checks!$Z$32)&amp;IF(Checks!$AA$32="","",IF(Checks!$Z$32="","",CHAR(10))&amp;"CA: "&amp;Checks!$AA$32)</f>
        <v/>
      </c>
      <c r="G25" s="114" t="str">
        <f aca="false">IF(ISNUMBER(Checks!$AD$32),TEXT(Checks!$AD$32,"DD-MMM-YY HH:MM")&amp;" "&amp;Checks!$P$32,"")&amp;IF(Checks!$AE$32="","",CHAR(10)&amp;"Verifier: "&amp;Checks!$AE$32)&amp;IF(Checks!$T$32="","",CHAR(10)&amp;"PIC: "&amp;Checks!$T$32)</f>
        <v/>
      </c>
      <c r="H25" s="115" t="str">
        <f aca="false">IF(Checks!$AH$32="","",Checks!$AH$32)</f>
        <v>N/A – RULE</v>
      </c>
    </row>
    <row r="26" customFormat="false" ht="114" hidden="false" customHeight="true" outlineLevel="0" collapsed="false">
      <c r="A26" s="114" t="str">
        <f aca="false">Checks!$A$33&amp;CHAR(10)&amp;IF(Checks!$I$33="","",Checks!$I$33&amp;": ")&amp;Checks!$J$33</f>
        <v>F02-T7-04
Staffing: Experienced catering officer assigned to this flight</v>
      </c>
      <c r="B26" s="114" t="str">
        <f aca="false">Checks!$K$33&amp;IF(Checks!$O$33="","",IF(Checks!$K$33="","",CHAR(10))&amp;"Note: "&amp;Checks!$O$33)</f>
        <v>Record officer name in Result</v>
      </c>
      <c r="C26" s="114" t="str">
        <f aca="false">Checks!$N$33&amp;CHAR(10)&amp;IF(ISNUMBER(Checks!$R$33),TEXT(Checks!$R$33,"DD-MMM-YY HH:MM"),"")&amp;" "&amp;Checks!$P$33</f>
        <v>Required
02-Oct-26 21:50 KUL</v>
      </c>
      <c r="D26" s="114" t="str">
        <f aca="false">IF(Checks!$U$33="","",Checks!$U$33)&amp;IF(Checks!$AB$33="","",CHAR(10)&amp;"CA: "&amp;Checks!$AB$33)</f>
        <v/>
      </c>
      <c r="E26" s="114" t="str">
        <f aca="false">IF(Checks!$V$33="","",Checks!$V$33)&amp;IF(Checks!$AC$33="","",IF(Checks!$V$33="","",CHAR(10))&amp;"N/A just.: "&amp;Checks!$AC$33)&amp;IF(Checks!$W$33="","",CHAR(10)&amp;"Batch: "&amp;Checks!$W$33)&amp;IF(AND(Checks!$X$33="",Checks!$Y$33=""),"",CHAR(10)&amp;"Exp: "&amp;Checks!$X$33&amp;"  /  Act: "&amp;Checks!$Y$33)</f>
        <v/>
      </c>
      <c r="F26" s="114" t="str">
        <f aca="false">IF(Checks!$Z$33="","","Evidence: "&amp;Checks!$Z$33)&amp;IF(Checks!$AA$33="","",IF(Checks!$Z$33="","",CHAR(10))&amp;"CA: "&amp;Checks!$AA$33)</f>
        <v/>
      </c>
      <c r="G26" s="114" t="str">
        <f aca="false">IF(ISNUMBER(Checks!$AD$33),TEXT(Checks!$AD$33,"DD-MMM-YY HH:MM")&amp;" "&amp;Checks!$P$33,"")&amp;IF(Checks!$AE$33="","",CHAR(10)&amp;"Verifier: "&amp;Checks!$AE$33)&amp;IF(Checks!$T$33="","",CHAR(10)&amp;"PIC: "&amp;Checks!$T$33)</f>
        <v/>
      </c>
      <c r="H26" s="115" t="str">
        <f aca="false">IF(Checks!$AH$33="","",Checks!$AH$33)</f>
        <v>OPEN</v>
      </c>
    </row>
    <row r="27" customFormat="false" ht="114" hidden="false" customHeight="true" outlineLevel="0" collapsed="false">
      <c r="A27" s="114" t="str">
        <f aca="false">Checks!$A$34&amp;CHAR(10)&amp;IF(Checks!$I$34="","",Checks!$I$34&amp;": ")&amp;Checks!$J$34</f>
        <v>F02-T7-05
ISOP: All latest applicable ISOP revisions communicated to caterer</v>
      </c>
      <c r="B27" s="114" t="str">
        <f aca="false">Checks!$K$34&amp;IF(Checks!$O$34="","",IF(Checks!$K$34="","",CHAR(10))&amp;"Note: "&amp;Checks!$O$34)</f>
        <v>List revision numbers in Result (see ISOP register)</v>
      </c>
      <c r="C27" s="114" t="str">
        <f aca="false">Checks!$N$34&amp;CHAR(10)&amp;IF(ISNUMBER(Checks!$R$34),TEXT(Checks!$R$34,"DD-MMM-YY HH:MM"),"")&amp;" "&amp;Checks!$P$34</f>
        <v>Required
02-Oct-26 21:50 KUL</v>
      </c>
      <c r="D27" s="114" t="str">
        <f aca="false">IF(Checks!$U$34="","",Checks!$U$34)&amp;IF(Checks!$AB$34="","",CHAR(10)&amp;"CA: "&amp;Checks!$AB$34)</f>
        <v/>
      </c>
      <c r="E27" s="114" t="str">
        <f aca="false">IF(Checks!$V$34="","",Checks!$V$34)&amp;IF(Checks!$AC$34="","",IF(Checks!$V$34="","",CHAR(10))&amp;"N/A just.: "&amp;Checks!$AC$34)&amp;IF(Checks!$W$34="","",CHAR(10)&amp;"Batch: "&amp;Checks!$W$34)&amp;IF(AND(Checks!$X$34="",Checks!$Y$34=""),"",CHAR(10)&amp;"Exp: "&amp;Checks!$X$34&amp;"  /  Act: "&amp;Checks!$Y$34)</f>
        <v/>
      </c>
      <c r="F27" s="114" t="str">
        <f aca="false">IF(Checks!$Z$34="","","Evidence: "&amp;Checks!$Z$34)&amp;IF(Checks!$AA$34="","",IF(Checks!$Z$34="","",CHAR(10))&amp;"CA: "&amp;Checks!$AA$34)</f>
        <v/>
      </c>
      <c r="G27" s="114" t="str">
        <f aca="false">IF(ISNUMBER(Checks!$AD$34),TEXT(Checks!$AD$34,"DD-MMM-YY HH:MM")&amp;" "&amp;Checks!$P$34,"")&amp;IF(Checks!$AE$34="","",CHAR(10)&amp;"Verifier: "&amp;Checks!$AE$34)&amp;IF(Checks!$T$34="","",CHAR(10)&amp;"PIC: "&amp;Checks!$T$34)</f>
        <v/>
      </c>
      <c r="H27" s="115" t="str">
        <f aca="false">IF(Checks!$AH$34="","",Checks!$AH$34)</f>
        <v>OPEN</v>
      </c>
    </row>
    <row r="28" customFormat="false" ht="114" hidden="false" customHeight="true" outlineLevel="0" collapsed="false">
      <c r="A28" s="114" t="str">
        <f aca="false">Checks!$A$35&amp;CHAR(10)&amp;IF(Checks!$I$35="","",Checks!$I$35&amp;": ")&amp;Checks!$J$35</f>
        <v>F02-T7-06
ISOP: Caterer acknowledgement of ISOP revisions recorded</v>
      </c>
      <c r="B28" s="114" t="str">
        <f aca="false">Checks!$K$35&amp;IF(Checks!$O$35="","",IF(Checks!$K$35="","",CHAR(10))&amp;"Note: "&amp;Checks!$O$35)</f>
        <v>Record acknowledgement ref in Evidence</v>
      </c>
      <c r="C28" s="114" t="str">
        <f aca="false">Checks!$N$35&amp;CHAR(10)&amp;IF(ISNUMBER(Checks!$R$35),TEXT(Checks!$R$35,"DD-MMM-YY HH:MM"),"")&amp;" "&amp;Checks!$P$35</f>
        <v>Required
02-Oct-26 21:50 KUL</v>
      </c>
      <c r="D28" s="114" t="str">
        <f aca="false">IF(Checks!$U$35="","",Checks!$U$35)&amp;IF(Checks!$AB$35="","",CHAR(10)&amp;"CA: "&amp;Checks!$AB$35)</f>
        <v/>
      </c>
      <c r="E28" s="114" t="str">
        <f aca="false">IF(Checks!$V$35="","",Checks!$V$35)&amp;IF(Checks!$AC$35="","",IF(Checks!$V$35="","",CHAR(10))&amp;"N/A just.: "&amp;Checks!$AC$35)&amp;IF(Checks!$W$35="","",CHAR(10)&amp;"Batch: "&amp;Checks!$W$35)&amp;IF(AND(Checks!$X$35="",Checks!$Y$35=""),"",CHAR(10)&amp;"Exp: "&amp;Checks!$X$35&amp;"  /  Act: "&amp;Checks!$Y$35)</f>
        <v/>
      </c>
      <c r="F28" s="114" t="str">
        <f aca="false">IF(Checks!$Z$35="","","Evidence: "&amp;Checks!$Z$35)&amp;IF(Checks!$AA$35="","",IF(Checks!$Z$35="","",CHAR(10))&amp;"CA: "&amp;Checks!$AA$35)</f>
        <v/>
      </c>
      <c r="G28" s="114" t="str">
        <f aca="false">IF(ISNUMBER(Checks!$AD$35),TEXT(Checks!$AD$35,"DD-MMM-YY HH:MM")&amp;" "&amp;Checks!$P$35,"")&amp;IF(Checks!$AE$35="","",CHAR(10)&amp;"Verifier: "&amp;Checks!$AE$35)&amp;IF(Checks!$T$35="","",CHAR(10)&amp;"PIC: "&amp;Checks!$T$35)</f>
        <v/>
      </c>
      <c r="H28" s="115" t="str">
        <f aca="false">IF(Checks!$AH$35="","",Checks!$AH$35)</f>
        <v>OPEN</v>
      </c>
    </row>
    <row r="29" customFormat="false" ht="114" hidden="false" customHeight="true" outlineLevel="0" collapsed="false">
      <c r="A29" s="114" t="str">
        <f aca="false">Checks!$A$36&amp;CHAR(10)&amp;IF(Checks!$I$36="","",Checks!$I$36&amp;": ")&amp;Checks!$J$36</f>
        <v>F02-T7-07
Documents: Galley loading diagram (GLD) received, revision recorded &amp; attached</v>
      </c>
      <c r="B29" s="114" t="str">
        <f aca="false">Checks!$K$36&amp;IF(Checks!$O$36="","",IF(Checks!$K$36="","",CHAR(10))&amp;"Note: "&amp;Checks!$O$36)</f>
        <v>Documents sheet row complete</v>
      </c>
      <c r="C29" s="114" t="str">
        <f aca="false">Checks!$N$36&amp;CHAR(10)&amp;IF(ISNUMBER(Checks!$R$36),TEXT(Checks!$R$36,"DD-MMM-YY HH:MM"),"")&amp;" "&amp;Checks!$P$36</f>
        <v>Required
02-Oct-26 21:50 KUL</v>
      </c>
      <c r="D29" s="114" t="str">
        <f aca="false">IF(Checks!$U$36="","",Checks!$U$36)&amp;IF(Checks!$AB$36="","",CHAR(10)&amp;"CA: "&amp;Checks!$AB$36)</f>
        <v/>
      </c>
      <c r="E29" s="114" t="str">
        <f aca="false">IF(Checks!$V$36="","",Checks!$V$36)&amp;IF(Checks!$AC$36="","",IF(Checks!$V$36="","",CHAR(10))&amp;"N/A just.: "&amp;Checks!$AC$36)&amp;IF(Checks!$W$36="","",CHAR(10)&amp;"Batch: "&amp;Checks!$W$36)&amp;IF(AND(Checks!$X$36="",Checks!$Y$36=""),"",CHAR(10)&amp;"Exp: "&amp;Checks!$X$36&amp;"  /  Act: "&amp;Checks!$Y$36)</f>
        <v/>
      </c>
      <c r="F29" s="114" t="str">
        <f aca="false">IF(Checks!$Z$36="","","Evidence: "&amp;Checks!$Z$36)&amp;IF(Checks!$AA$36="","",IF(Checks!$Z$36="","",CHAR(10))&amp;"CA: "&amp;Checks!$AA$36)</f>
        <v/>
      </c>
      <c r="G29" s="114" t="str">
        <f aca="false">IF(ISNUMBER(Checks!$AD$36),TEXT(Checks!$AD$36,"DD-MMM-YY HH:MM")&amp;" "&amp;Checks!$P$36,"")&amp;IF(Checks!$AE$36="","",CHAR(10)&amp;"Verifier: "&amp;Checks!$AE$36)&amp;IF(Checks!$T$36="","",CHAR(10)&amp;"PIC: "&amp;Checks!$T$36)</f>
        <v/>
      </c>
      <c r="H29" s="115" t="str">
        <f aca="false">IF(Checks!$AH$36="","",Checks!$AH$36)</f>
        <v>OPEN</v>
      </c>
    </row>
    <row r="30" customFormat="false" ht="114" hidden="false" customHeight="true" outlineLevel="0" collapsed="false">
      <c r="A30" s="114" t="str">
        <f aca="false">Checks!$A$37&amp;CHAR(10)&amp;IF(Checks!$I$37="","",Checks!$I$37&amp;": ")&amp;Checks!$J$37</f>
        <v>F02-T7-08
Documents: Menu checklist received, revision recorded &amp; attached</v>
      </c>
      <c r="B30" s="114" t="str">
        <f aca="false">Checks!$K$37&amp;IF(Checks!$O$37="","",IF(Checks!$K$37="","",CHAR(10))&amp;"Note: "&amp;Checks!$O$37)</f>
        <v>Documents sheet row complete</v>
      </c>
      <c r="C30" s="114" t="str">
        <f aca="false">Checks!$N$37&amp;CHAR(10)&amp;IF(ISNUMBER(Checks!$R$37),TEXT(Checks!$R$37,"DD-MMM-YY HH:MM"),"")&amp;" "&amp;Checks!$P$37</f>
        <v>Required
02-Oct-26 21:50 KUL</v>
      </c>
      <c r="D30" s="114" t="str">
        <f aca="false">IF(Checks!$U$37="","",Checks!$U$37)&amp;IF(Checks!$AB$37="","",CHAR(10)&amp;"CA: "&amp;Checks!$AB$37)</f>
        <v/>
      </c>
      <c r="E30" s="114" t="str">
        <f aca="false">IF(Checks!$V$37="","",Checks!$V$37)&amp;IF(Checks!$AC$37="","",IF(Checks!$V$37="","",CHAR(10))&amp;"N/A just.: "&amp;Checks!$AC$37)&amp;IF(Checks!$W$37="","",CHAR(10)&amp;"Batch: "&amp;Checks!$W$37)&amp;IF(AND(Checks!$X$37="",Checks!$Y$37=""),"",CHAR(10)&amp;"Exp: "&amp;Checks!$X$37&amp;"  /  Act: "&amp;Checks!$Y$37)</f>
        <v/>
      </c>
      <c r="F30" s="114" t="str">
        <f aca="false">IF(Checks!$Z$37="","","Evidence: "&amp;Checks!$Z$37)&amp;IF(Checks!$AA$37="","",IF(Checks!$Z$37="","",CHAR(10))&amp;"CA: "&amp;Checks!$AA$37)</f>
        <v/>
      </c>
      <c r="G30" s="114" t="str">
        <f aca="false">IF(ISNUMBER(Checks!$AD$37),TEXT(Checks!$AD$37,"DD-MMM-YY HH:MM")&amp;" "&amp;Checks!$P$37,"")&amp;IF(Checks!$AE$37="","",CHAR(10)&amp;"Verifier: "&amp;Checks!$AE$37)&amp;IF(Checks!$T$37="","",CHAR(10)&amp;"PIC: "&amp;Checks!$T$37)</f>
        <v/>
      </c>
      <c r="H30" s="115" t="str">
        <f aca="false">IF(Checks!$AH$37="","",Checks!$AH$37)</f>
        <v>OPEN</v>
      </c>
    </row>
    <row r="31" customFormat="false" ht="114" hidden="false" customHeight="true" outlineLevel="0" collapsed="false">
      <c r="A31" s="114" t="str">
        <f aca="false">Checks!$A$38&amp;CHAR(10)&amp;IF(Checks!$I$38="","",Checks!$I$38&amp;": ")&amp;Checks!$J$38</f>
        <v>F02-T7-09
Uplift plan: Uplift plan confirmed with caterer vs STD Uplift Information</v>
      </c>
      <c r="B31" s="114" t="str">
        <f aca="false">Checks!$K$38&amp;IF(Checks!$O$38="","",IF(Checks!$K$38="","",CHAR(10))&amp;"Note: "&amp;Checks!$O$38)</f>
        <v>Service: 1 Meal (Meal); meal uplift stn KUL (ref lists KUL/CGK)</v>
      </c>
      <c r="C31" s="114" t="str">
        <f aca="false">Checks!$N$38&amp;CHAR(10)&amp;IF(ISNUMBER(Checks!$R$38),TEXT(Checks!$R$38,"DD-MMM-YY HH:MM"),"")&amp;" "&amp;Checks!$P$38</f>
        <v>Required
02-Oct-26 21:50 KUL</v>
      </c>
      <c r="D31" s="114" t="str">
        <f aca="false">IF(Checks!$U$38="","",Checks!$U$38)&amp;IF(Checks!$AB$38="","",CHAR(10)&amp;"CA: "&amp;Checks!$AB$38)</f>
        <v/>
      </c>
      <c r="E31" s="114" t="str">
        <f aca="false">IF(Checks!$V$38="","",Checks!$V$38)&amp;IF(Checks!$AC$38="","",IF(Checks!$V$38="","",CHAR(10))&amp;"N/A just.: "&amp;Checks!$AC$38)&amp;IF(Checks!$W$38="","",CHAR(10)&amp;"Batch: "&amp;Checks!$W$38)&amp;IF(AND(Checks!$X$38="",Checks!$Y$38=""),"",CHAR(10)&amp;"Exp: "&amp;Checks!$X$38&amp;"  /  Act: "&amp;Checks!$Y$38)</f>
        <v/>
      </c>
      <c r="F31" s="114" t="str">
        <f aca="false">IF(Checks!$Z$38="","","Evidence: "&amp;Checks!$Z$38)&amp;IF(Checks!$AA$38="","",IF(Checks!$Z$38="","",CHAR(10))&amp;"CA: "&amp;Checks!$AA$38)</f>
        <v/>
      </c>
      <c r="G31" s="114" t="str">
        <f aca="false">IF(ISNUMBER(Checks!$AD$38),TEXT(Checks!$AD$38,"DD-MMM-YY HH:MM")&amp;" "&amp;Checks!$P$38,"")&amp;IF(Checks!$AE$38="","",CHAR(10)&amp;"Verifier: "&amp;Checks!$AE$38)&amp;IF(Checks!$T$38="","",CHAR(10)&amp;"PIC: "&amp;Checks!$T$38)</f>
        <v/>
      </c>
      <c r="H31" s="115" t="str">
        <f aca="false">IF(Checks!$AH$38="","",Checks!$AH$38)</f>
        <v>OPEN</v>
      </c>
    </row>
    <row r="32" customFormat="false" ht="25.5" hidden="false" customHeight="true" outlineLevel="0" collapsed="false">
      <c r="A32" s="113" t="str">
        <f aca="false">"T-24H — Production batch sensory  |  Due "&amp;IF(ISNUMBER(Flights!$AH$6),TEXT(Flights!$AH$6,"DD-MMM-YY HH:MM"),"")&amp;" "&amp;Flights!$V$6&amp;" (meal uplift stn)"&amp;" (rows with another due show their own)  |  Complete "&amp;IF(ISNUMBER(Flights!$AK$6),TEXT(Flights!$AK$6,"0%"),Flights!$AK$6)&amp;"  |  1 lines"</f>
        <v>T-24H — Production batch sensory  |  Due 08-Oct-26 21:50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Checks!$A$39&amp;CHAR(10)&amp;IF(Checks!$I$39="","",Checks!$I$39&amp;": ")&amp;Checks!$J$39</f>
        <v>F02-T24-01
Meal: Sensory test repeated on ACTUAL production batch for this flight</v>
      </c>
      <c r="B33" s="114" t="str">
        <f aca="false">Checks!$K$39&amp;IF(Checks!$O$39="","",IF(Checks!$K$39="","",CHAR(10))&amp;"Note: "&amp;Checks!$O$39)</f>
        <v>Batch ID, result, CA and acceptance mandatory</v>
      </c>
      <c r="C33" s="114" t="str">
        <f aca="false">Checks!$N$39&amp;CHAR(10)&amp;IF(ISNUMBER(Checks!$R$39),TEXT(Checks!$R$39,"DD-MMM-YY HH:MM"),"")&amp;" "&amp;Checks!$P$39</f>
        <v>Required
08-Oct-26 21:50 KUL</v>
      </c>
      <c r="D33" s="114" t="str">
        <f aca="false">IF(Checks!$U$39="","",Checks!$U$39)&amp;IF(Checks!$AB$39="","",CHAR(10)&amp;"CA: "&amp;Checks!$AB$39)</f>
        <v/>
      </c>
      <c r="E33" s="114" t="str">
        <f aca="false">IF(Checks!$V$39="","",Checks!$V$39)&amp;IF(Checks!$AC$39="","",IF(Checks!$V$39="","",CHAR(10))&amp;"N/A just.: "&amp;Checks!$AC$39)&amp;IF(Checks!$W$39="","",CHAR(10)&amp;"Batch: "&amp;Checks!$W$39)&amp;IF(AND(Checks!$X$39="",Checks!$Y$39=""),"",CHAR(10)&amp;"Exp: "&amp;Checks!$X$39&amp;"  /  Act: "&amp;Checks!$Y$39)</f>
        <v/>
      </c>
      <c r="F33" s="114" t="str">
        <f aca="false">IF(Checks!$Z$39="","","Evidence: "&amp;Checks!$Z$39)&amp;IF(Checks!$AA$39="","",IF(Checks!$Z$39="","",CHAR(10))&amp;"CA: "&amp;Checks!$AA$39)</f>
        <v/>
      </c>
      <c r="G33" s="114" t="str">
        <f aca="false">IF(ISNUMBER(Checks!$AD$39),TEXT(Checks!$AD$39,"DD-MMM-YY HH:MM")&amp;" "&amp;Checks!$P$39,"")&amp;IF(Checks!$AE$39="","",CHAR(10)&amp;"Verifier: "&amp;Checks!$AE$39)&amp;IF(Checks!$T$39="","",CHAR(10)&amp;"PIC: "&amp;Checks!$T$39)</f>
        <v/>
      </c>
      <c r="H33" s="115" t="str">
        <f aca="false">IF(Checks!$AH$39="","",Checks!$AH$39)</f>
        <v>OPEN</v>
      </c>
    </row>
    <row r="34" customFormat="false" ht="25.5" hidden="false" customHeight="true" outlineLevel="0" collapsed="false">
      <c r="A34" s="113" t="str">
        <f aca="false">"T-12H PREP — Preparation check at caterer (does NOT confirm loading)  |  Due "&amp;IF(ISNUMBER(Flights!$AI$6),TEXT(Flights!$AI$6,"DD-MMM-YY HH:MM"),"")&amp;" "&amp;Flights!$V$6&amp;" (meal uplift stn)"&amp;" (rows with another due show their own)  |  Complete "&amp;IF(ISNUMBER(Flights!$AL$6),TEXT(Flights!$AL$6,"0%"),Flights!$AL$6)&amp;"  |  17 lines"</f>
        <v>T-12H PREP — Preparation check at caterer (does NOT confirm loading)  |  Due 09-Oct-26 09:50 KUL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Checks!$A$40&amp;CHAR(10)&amp;IF(Checks!$I$40="","",Checks!$I$40&amp;": ")&amp;Checks!$J$40</f>
        <v>F02-T12-01
Meal: Meal quality vs menu checklist</v>
      </c>
      <c r="B35" s="114" t="str">
        <f aca="false">Checks!$K$40&amp;IF(Checks!$O$40="","",IF(Checks!$K$40="","",CHAR(10))&amp;"Note: "&amp;Checks!$O$40)</f>
        <v>Note: Preparation check at caterer - does NOT confirm loading.</v>
      </c>
      <c r="C35" s="114" t="str">
        <f aca="false">Checks!$N$40&amp;CHAR(10)&amp;IF(ISNUMBER(Checks!$R$40),TEXT(Checks!$R$40,"DD-MMM-YY HH:MM"),"")&amp;" "&amp;Checks!$P$40</f>
        <v>Required
09-Oct-26 09:50 KUL</v>
      </c>
      <c r="D35" s="114" t="str">
        <f aca="false">IF(Checks!$U$40="","",Checks!$U$40)&amp;IF(Checks!$AB$40="","",CHAR(10)&amp;"CA: "&amp;Checks!$AB$40)</f>
        <v/>
      </c>
      <c r="E35" s="114" t="str">
        <f aca="false">IF(Checks!$V$40="","",Checks!$V$40)&amp;IF(Checks!$AC$40="","",IF(Checks!$V$40="","",CHAR(10))&amp;"N/A just.: "&amp;Checks!$AC$40)&amp;IF(Checks!$W$40="","",CHAR(10)&amp;"Batch: "&amp;Checks!$W$40)&amp;IF(AND(Checks!$X$40="",Checks!$Y$40=""),"",CHAR(10)&amp;"Exp: "&amp;Checks!$X$40&amp;"  /  Act: "&amp;Checks!$Y$40)</f>
        <v/>
      </c>
      <c r="F35" s="114" t="str">
        <f aca="false">IF(Checks!$Z$40="","","Evidence: "&amp;Checks!$Z$40)&amp;IF(Checks!$AA$40="","",IF(Checks!$Z$40="","",CHAR(10))&amp;"CA: "&amp;Checks!$AA$40)</f>
        <v/>
      </c>
      <c r="G35" s="114" t="str">
        <f aca="false">IF(ISNUMBER(Checks!$AD$40),TEXT(Checks!$AD$40,"DD-MMM-YY HH:MM")&amp;" "&amp;Checks!$P$40,"")&amp;IF(Checks!$AE$40="","",CHAR(10)&amp;"Verifier: "&amp;Checks!$AE$40)&amp;IF(Checks!$T$40="","",CHAR(10)&amp;"PIC: "&amp;Checks!$T$40)</f>
        <v/>
      </c>
      <c r="H35" s="115" t="str">
        <f aca="false">IF(Checks!$AH$40="","",Checks!$AH$40)</f>
        <v>OPEN</v>
      </c>
    </row>
    <row r="36" customFormat="false" ht="114" hidden="false" customHeight="true" outlineLevel="0" collapsed="false">
      <c r="A36" s="114" t="str">
        <f aca="false">Checks!$A$41&amp;CHAR(10)&amp;IF(Checks!$I$41="","",Checks!$I$41&amp;": ")&amp;Checks!$J$41</f>
        <v>F02-T12-02
Meal: Meal quantities vs menu checklist</v>
      </c>
      <c r="B36" s="114" t="str">
        <f aca="false">Checks!$K$41&amp;IF(Checks!$O$41="","",IF(Checks!$K$41="","",CHAR(10))&amp;"Note: "&amp;Checks!$O$41)</f>
        <v>Enter expected &amp; actual
Note: Preparation check at caterer - does NOT confirm loading.</v>
      </c>
      <c r="C36" s="114" t="str">
        <f aca="false">Checks!$N$41&amp;CHAR(10)&amp;IF(ISNUMBER(Checks!$R$41),TEXT(Checks!$R$41,"DD-MMM-YY HH:MM"),"")&amp;" "&amp;Checks!$P$41</f>
        <v>Required
09-Oct-26 09:50 KUL</v>
      </c>
      <c r="D36" s="114" t="str">
        <f aca="false">IF(Checks!$U$41="","",Checks!$U$41)&amp;IF(Checks!$AB$41="","",CHAR(10)&amp;"CA: "&amp;Checks!$AB$41)</f>
        <v/>
      </c>
      <c r="E36" s="114" t="str">
        <f aca="false">IF(Checks!$V$41="","",Checks!$V$41)&amp;IF(Checks!$AC$41="","",IF(Checks!$V$41="","",CHAR(10))&amp;"N/A just.: "&amp;Checks!$AC$41)&amp;IF(Checks!$W$41="","",CHAR(10)&amp;"Batch: "&amp;Checks!$W$41)&amp;IF(AND(Checks!$X$41="",Checks!$Y$41=""),"",CHAR(10)&amp;"Exp: "&amp;Checks!$X$41&amp;"  /  Act: "&amp;Checks!$Y$41)</f>
        <v/>
      </c>
      <c r="F36" s="114" t="str">
        <f aca="false">IF(Checks!$Z$41="","","Evidence: "&amp;Checks!$Z$41)&amp;IF(Checks!$AA$41="","",IF(Checks!$Z$41="","",CHAR(10))&amp;"CA: "&amp;Checks!$AA$41)</f>
        <v/>
      </c>
      <c r="G36" s="114" t="str">
        <f aca="false">IF(ISNUMBER(Checks!$AD$41),TEXT(Checks!$AD$41,"DD-MMM-YY HH:MM")&amp;" "&amp;Checks!$P$41,"")&amp;IF(Checks!$AE$41="","",CHAR(10)&amp;"Verifier: "&amp;Checks!$AE$41)&amp;IF(Checks!$T$41="","",CHAR(10)&amp;"PIC: "&amp;Checks!$T$41)</f>
        <v/>
      </c>
      <c r="H36" s="115" t="str">
        <f aca="false">IF(Checks!$AH$41="","",Checks!$AH$41)</f>
        <v>OPEN</v>
      </c>
    </row>
    <row r="37" customFormat="false" ht="114" hidden="false" customHeight="true" outlineLevel="0" collapsed="false">
      <c r="A37" s="114" t="str">
        <f aca="false">Checks!$A$42&amp;CHAR(10)&amp;IF(Checks!$I$42="","",Checks!$I$42&amp;": ")&amp;Checks!$J$42</f>
        <v>F02-T12-03
Equipment: Equipment cleanliness vs GLD</v>
      </c>
      <c r="B37" s="114" t="str">
        <f aca="false">Checks!$K$42&amp;IF(Checks!$O$42="","",IF(Checks!$K$42="","",CHAR(10))&amp;"Note: "&amp;Checks!$O$42)</f>
        <v>Note: Preparation check at caterer - does NOT confirm loading.</v>
      </c>
      <c r="C37" s="114" t="str">
        <f aca="false">Checks!$N$42&amp;CHAR(10)&amp;IF(ISNUMBER(Checks!$R$42),TEXT(Checks!$R$42,"DD-MMM-YY HH:MM"),"")&amp;" "&amp;Checks!$P$42</f>
        <v>Required
09-Oct-26 09:50 KUL</v>
      </c>
      <c r="D37" s="114" t="str">
        <f aca="false">IF(Checks!$U$42="","",Checks!$U$42)&amp;IF(Checks!$AB$42="","",CHAR(10)&amp;"CA: "&amp;Checks!$AB$42)</f>
        <v/>
      </c>
      <c r="E37" s="114" t="str">
        <f aca="false">IF(Checks!$V$42="","",Checks!$V$42)&amp;IF(Checks!$AC$42="","",IF(Checks!$V$42="","",CHAR(10))&amp;"N/A just.: "&amp;Checks!$AC$42)&amp;IF(Checks!$W$42="","",CHAR(10)&amp;"Batch: "&amp;Checks!$W$42)&amp;IF(AND(Checks!$X$42="",Checks!$Y$42=""),"",CHAR(10)&amp;"Exp: "&amp;Checks!$X$42&amp;"  /  Act: "&amp;Checks!$Y$42)</f>
        <v/>
      </c>
      <c r="F37" s="114" t="str">
        <f aca="false">IF(Checks!$Z$42="","","Evidence: "&amp;Checks!$Z$42)&amp;IF(Checks!$AA$42="","",IF(Checks!$Z$42="","",CHAR(10))&amp;"CA: "&amp;Checks!$AA$42)</f>
        <v/>
      </c>
      <c r="G37" s="114" t="str">
        <f aca="false">IF(ISNUMBER(Checks!$AD$42),TEXT(Checks!$AD$42,"DD-MMM-YY HH:MM")&amp;" "&amp;Checks!$P$42,"")&amp;IF(Checks!$AE$42="","",CHAR(10)&amp;"Verifier: "&amp;Checks!$AE$42)&amp;IF(Checks!$T$42="","",CHAR(10)&amp;"PIC: "&amp;Checks!$T$42)</f>
        <v/>
      </c>
      <c r="H37" s="115" t="str">
        <f aca="false">IF(Checks!$AH$42="","",Checks!$AH$42)</f>
        <v>OPEN</v>
      </c>
    </row>
    <row r="38" customFormat="false" ht="114" hidden="false" customHeight="true" outlineLevel="0" collapsed="false">
      <c r="A38" s="114" t="str">
        <f aca="false">Checks!$A$43&amp;CHAR(10)&amp;IF(Checks!$I$43="","",Checks!$I$43&amp;": ")&amp;Checks!$J$43</f>
        <v>F02-T12-04
Equipment: Equipment presentation vs GLD</v>
      </c>
      <c r="B38" s="114" t="str">
        <f aca="false">Checks!$K$43&amp;IF(Checks!$O$43="","",IF(Checks!$K$43="","",CHAR(10))&amp;"Note: "&amp;Checks!$O$43)</f>
        <v>Note: Preparation check at caterer - does NOT confirm loading.</v>
      </c>
      <c r="C38" s="114" t="str">
        <f aca="false">Checks!$N$43&amp;CHAR(10)&amp;IF(ISNUMBER(Checks!$R$43),TEXT(Checks!$R$43,"DD-MMM-YY HH:MM"),"")&amp;" "&amp;Checks!$P$43</f>
        <v>Required
09-Oct-26 09:50 KUL</v>
      </c>
      <c r="D38" s="114" t="str">
        <f aca="false">IF(Checks!$U$43="","",Checks!$U$43)&amp;IF(Checks!$AB$43="","",CHAR(10)&amp;"CA: "&amp;Checks!$AB$43)</f>
        <v/>
      </c>
      <c r="E38" s="114" t="str">
        <f aca="false">IF(Checks!$V$43="","",Checks!$V$43)&amp;IF(Checks!$AC$43="","",IF(Checks!$V$43="","",CHAR(10))&amp;"N/A just.: "&amp;Checks!$AC$43)&amp;IF(Checks!$W$43="","",CHAR(10)&amp;"Batch: "&amp;Checks!$W$43)&amp;IF(AND(Checks!$X$43="",Checks!$Y$43=""),"",CHAR(10)&amp;"Exp: "&amp;Checks!$X$43&amp;"  /  Act: "&amp;Checks!$Y$43)</f>
        <v/>
      </c>
      <c r="F38" s="114" t="str">
        <f aca="false">IF(Checks!$Z$43="","","Evidence: "&amp;Checks!$Z$43)&amp;IF(Checks!$AA$43="","",IF(Checks!$Z$43="","",CHAR(10))&amp;"CA: "&amp;Checks!$AA$43)</f>
        <v/>
      </c>
      <c r="G38" s="114" t="str">
        <f aca="false">IF(ISNUMBER(Checks!$AD$43),TEXT(Checks!$AD$43,"DD-MMM-YY HH:MM")&amp;" "&amp;Checks!$P$43,"")&amp;IF(Checks!$AE$43="","",CHAR(10)&amp;"Verifier: "&amp;Checks!$AE$43)&amp;IF(Checks!$T$43="","",CHAR(10)&amp;"PIC: "&amp;Checks!$T$43)</f>
        <v/>
      </c>
      <c r="H38" s="115" t="str">
        <f aca="false">IF(Checks!$AH$43="","",Checks!$AH$43)</f>
        <v>OPEN</v>
      </c>
    </row>
    <row r="39" customFormat="false" ht="114" hidden="false" customHeight="true" outlineLevel="0" collapsed="false">
      <c r="A39" s="114" t="str">
        <f aca="false">Checks!$A$44&amp;CHAR(10)&amp;IF(Checks!$I$44="","",Checks!$I$44&amp;": ")&amp;Checks!$J$44</f>
        <v>F02-T12-05
Equipment: Equipment serviceability vs GLD</v>
      </c>
      <c r="B39" s="114" t="str">
        <f aca="false">Checks!$K$44&amp;IF(Checks!$O$44="","",IF(Checks!$K$44="","",CHAR(10))&amp;"Note: "&amp;Checks!$O$44)</f>
        <v>Note: Preparation check at caterer - does NOT confirm loading.</v>
      </c>
      <c r="C39" s="114" t="str">
        <f aca="false">Checks!$N$44&amp;CHAR(10)&amp;IF(ISNUMBER(Checks!$R$44),TEXT(Checks!$R$44,"DD-MMM-YY HH:MM"),"")&amp;" "&amp;Checks!$P$44</f>
        <v>Required
09-Oct-26 09:50 KUL</v>
      </c>
      <c r="D39" s="114" t="str">
        <f aca="false">IF(Checks!$U$44="","",Checks!$U$44)&amp;IF(Checks!$AB$44="","",CHAR(10)&amp;"CA: "&amp;Checks!$AB$44)</f>
        <v/>
      </c>
      <c r="E39" s="114" t="str">
        <f aca="false">IF(Checks!$V$44="","",Checks!$V$44)&amp;IF(Checks!$AC$44="","",IF(Checks!$V$44="","",CHAR(10))&amp;"N/A just.: "&amp;Checks!$AC$44)&amp;IF(Checks!$W$44="","",CHAR(10)&amp;"Batch: "&amp;Checks!$W$44)&amp;IF(AND(Checks!$X$44="",Checks!$Y$44=""),"",CHAR(10)&amp;"Exp: "&amp;Checks!$X$44&amp;"  /  Act: "&amp;Checks!$Y$44)</f>
        <v/>
      </c>
      <c r="F39" s="114" t="str">
        <f aca="false">IF(Checks!$Z$44="","","Evidence: "&amp;Checks!$Z$44)&amp;IF(Checks!$AA$44="","",IF(Checks!$Z$44="","",CHAR(10))&amp;"CA: "&amp;Checks!$AA$44)</f>
        <v/>
      </c>
      <c r="G39" s="114" t="str">
        <f aca="false">IF(ISNUMBER(Checks!$AD$44),TEXT(Checks!$AD$44,"DD-MMM-YY HH:MM")&amp;" "&amp;Checks!$P$44,"")&amp;IF(Checks!$AE$44="","",CHAR(10)&amp;"Verifier: "&amp;Checks!$AE$44)&amp;IF(Checks!$T$44="","",CHAR(10)&amp;"PIC: "&amp;Checks!$T$44)</f>
        <v/>
      </c>
      <c r="H39" s="115" t="str">
        <f aca="false">IF(Checks!$AH$44="","",Checks!$AH$44)</f>
        <v>OPEN</v>
      </c>
    </row>
    <row r="40" customFormat="false" ht="190.5" hidden="false" customHeight="true" outlineLevel="0" collapsed="false">
      <c r="A40" s="114" t="str">
        <f aca="false">Checks!$A$45&amp;CHAR(10)&amp;IF(Checks!$I$45="","",Checks!$I$45&amp;": ")&amp;Checks!$J$45</f>
        <v>F02-T12-06
Equipment: Equipment quantities vs GLD</v>
      </c>
      <c r="B40" s="114" t="str">
        <f aca="false">SUBSTITUTE(Checks!$K$45&amp;IF(Checks!$O$45="","",IF(Checks!$K$45="","",CHAR(10))&amp;"Note: "&amp;Checks!$O$45),"AIRCRAFT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Checks!$N$45&amp;CHAR(10)&amp;IF(ISNUMBER(Checks!$R$45),TEXT(Checks!$R$45,"DD-MMM-YY HH:MM"),"")&amp;" "&amp;Checks!$P$45</f>
        <v>Required
09-Oct-26 09:50 KUL</v>
      </c>
      <c r="D40" s="114" t="str">
        <f aca="false">IF(Checks!$U$45="","",Checks!$U$45)&amp;IF(Checks!$AB$45="","",CHAR(10)&amp;"CA: "&amp;Checks!$AB$45)</f>
        <v/>
      </c>
      <c r="E40" s="114" t="str">
        <f aca="false">IF(Checks!$V$45="","",Checks!$V$45)&amp;IF(Checks!$AC$45="","",IF(Checks!$V$45="","",CHAR(10))&amp;"N/A just.: "&amp;Checks!$AC$45)&amp;IF(Checks!$W$45="","",CHAR(10)&amp;"Batch: "&amp;Checks!$W$45)&amp;IF(AND(Checks!$X$45="",Checks!$Y$45=""),"",CHAR(10)&amp;"Exp: "&amp;Checks!$X$45&amp;"  /  Act: "&amp;Checks!$Y$45)</f>
        <v/>
      </c>
      <c r="F40" s="114" t="str">
        <f aca="false">IF(Checks!$Z$45="","","Evidence: "&amp;Checks!$Z$45)&amp;IF(Checks!$AA$45="","",IF(Checks!$Z$45="","",CHAR(10))&amp;"CA: "&amp;Checks!$AA$45)</f>
        <v/>
      </c>
      <c r="G40" s="114" t="str">
        <f aca="false">IF(ISNUMBER(Checks!$AD$45),TEXT(Checks!$AD$45,"DD-MMM-YY HH:MM")&amp;" "&amp;Checks!$P$45,"")&amp;IF(Checks!$AE$45="","",CHAR(10)&amp;"Verifier: "&amp;Checks!$AE$45)&amp;IF(Checks!$T$45="","",CHAR(10)&amp;"PIC: "&amp;Checks!$T$45)</f>
        <v/>
      </c>
      <c r="H40" s="115" t="str">
        <f aca="false">IF(Checks!$AH$45="","",Checks!$AH$45)</f>
        <v>OPEN</v>
      </c>
    </row>
    <row r="41" customFormat="false" ht="114" hidden="false" customHeight="true" outlineLevel="0" collapsed="false">
      <c r="A41" s="114" t="str">
        <f aca="false">Checks!$A$46&amp;CHAR(10)&amp;IF(Checks!$I$46="","",Checks!$I$46&amp;": ")&amp;Checks!$J$46</f>
        <v>F02-T12-07
Equipment: Loading positions planned vs GLD</v>
      </c>
      <c r="B41" s="114" t="str">
        <f aca="false">Checks!$K$46&amp;IF(Checks!$O$46="","",IF(Checks!$K$46="","",CHAR(10))&amp;"Note: "&amp;Checks!$O$46)</f>
        <v>Note: Preparation check at caterer - does NOT confirm loading.</v>
      </c>
      <c r="C41" s="114" t="str">
        <f aca="false">Checks!$N$46&amp;CHAR(10)&amp;IF(ISNUMBER(Checks!$R$46),TEXT(Checks!$R$46,"DD-MMM-YY HH:MM"),"")&amp;" "&amp;Checks!$P$46</f>
        <v>Required
09-Oct-26 09:50 KUL</v>
      </c>
      <c r="D41" s="114" t="str">
        <f aca="false">IF(Checks!$U$46="","",Checks!$U$46)&amp;IF(Checks!$AB$46="","",CHAR(10)&amp;"CA: "&amp;Checks!$AB$46)</f>
        <v/>
      </c>
      <c r="E41" s="114" t="str">
        <f aca="false">IF(Checks!$V$46="","",Checks!$V$46)&amp;IF(Checks!$AC$46="","",IF(Checks!$V$46="","",CHAR(10))&amp;"N/A just.: "&amp;Checks!$AC$46)&amp;IF(Checks!$W$46="","",CHAR(10)&amp;"Batch: "&amp;Checks!$W$46)&amp;IF(AND(Checks!$X$46="",Checks!$Y$46=""),"",CHAR(10)&amp;"Exp: "&amp;Checks!$X$46&amp;"  /  Act: "&amp;Checks!$Y$46)</f>
        <v/>
      </c>
      <c r="F41" s="114" t="str">
        <f aca="false">IF(Checks!$Z$46="","","Evidence: "&amp;Checks!$Z$46)&amp;IF(Checks!$AA$46="","",IF(Checks!$Z$46="","",CHAR(10))&amp;"CA: "&amp;Checks!$AA$46)</f>
        <v/>
      </c>
      <c r="G41" s="114" t="str">
        <f aca="false">IF(ISNUMBER(Checks!$AD$46),TEXT(Checks!$AD$46,"DD-MMM-YY HH:MM")&amp;" "&amp;Checks!$P$46,"")&amp;IF(Checks!$AE$46="","",CHAR(10)&amp;"Verifier: "&amp;Checks!$AE$46)&amp;IF(Checks!$T$46="","",CHAR(10)&amp;"PIC: "&amp;Checks!$T$46)</f>
        <v/>
      </c>
      <c r="H41" s="115" t="str">
        <f aca="false">IF(Checks!$AH$46="","",Checks!$AH$46)</f>
        <v>OPEN</v>
      </c>
    </row>
    <row r="42" customFormat="false" ht="168.75" hidden="false" customHeight="true" outlineLevel="0" collapsed="false">
      <c r="A42" s="114" t="str">
        <f aca="false">Checks!$A$47&amp;CHAR(10)&amp;IF(Checks!$I$47="","",Checks!$I$47&amp;": ")&amp;Checks!$J$47</f>
        <v>F02-T12-08
Amenities: Disposable slippers in DAM cart (BC, on request) - prepared</v>
      </c>
      <c r="B42" s="114" t="str">
        <f aca="false">Checks!$K$47&amp;IF(Checks!$O$47="","",IF(Checks!$K$47="","",CHAR(10))&amp;"Note: "&amp;Checks!$O$47)</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Checks!$N$47&amp;CHAR(10)&amp;IF(ISNUMBER(Checks!$R$47),TEXT(Checks!$R$47,"DD-MMM-YY HH:MM"),"")&amp;" "&amp;Checks!$P$47</f>
        <v>Required
09-Oct-26 09:50 KUL</v>
      </c>
      <c r="D42" s="114" t="str">
        <f aca="false">IF(Checks!$U$47="","",Checks!$U$47)&amp;IF(Checks!$AB$47="","",CHAR(10)&amp;"CA: "&amp;Checks!$AB$47)</f>
        <v/>
      </c>
      <c r="E42" s="114" t="str">
        <f aca="false">IF(Checks!$V$47="","",Checks!$V$47)&amp;IF(Checks!$AC$47="","",IF(Checks!$V$47="","",CHAR(10))&amp;"N/A just.: "&amp;Checks!$AC$47)&amp;IF(Checks!$W$47="","",CHAR(10)&amp;"Batch: "&amp;Checks!$W$47)&amp;IF(AND(Checks!$X$47="",Checks!$Y$47=""),"",CHAR(10)&amp;"Exp: "&amp;Checks!$X$47&amp;"  /  Act: "&amp;Checks!$Y$47)</f>
        <v/>
      </c>
      <c r="F42" s="114" t="str">
        <f aca="false">IF(Checks!$Z$47="","","Evidence: "&amp;Checks!$Z$47)&amp;IF(Checks!$AA$47="","",IF(Checks!$Z$47="","",CHAR(10))&amp;"CA: "&amp;Checks!$AA$47)</f>
        <v/>
      </c>
      <c r="G42" s="114" t="str">
        <f aca="false">IF(ISNUMBER(Checks!$AD$47),TEXT(Checks!$AD$47,"DD-MMM-YY HH:MM")&amp;" "&amp;Checks!$P$47,"")&amp;IF(Checks!$AE$47="","",CHAR(10)&amp;"Verifier: "&amp;Checks!$AE$47)&amp;IF(Checks!$T$47="","",CHAR(10)&amp;"PIC: "&amp;Checks!$T$47)</f>
        <v/>
      </c>
      <c r="H42" s="115" t="str">
        <f aca="false">IF(Checks!$AH$47="","",Checks!$AH$47)</f>
        <v>OPEN</v>
      </c>
    </row>
    <row r="43" customFormat="false" ht="114" hidden="false" customHeight="true" outlineLevel="0" collapsed="false">
      <c r="A43" s="114" t="str">
        <f aca="false">Checks!$A$48&amp;CHAR(10)&amp;IF(Checks!$I$48="","",Checks!$I$48&amp;": ")&amp;Checks!$J$48</f>
        <v>F02-T12-09
F&amp;B Linen: Towel - prepared</v>
      </c>
      <c r="B43" s="114" t="str">
        <f aca="false">Checks!$K$48&amp;IF(Checks!$O$48="","",IF(Checks!$K$48="","",CHAR(10))&amp;"Note: "&amp;Checks!$O$48)</f>
        <v>Available (ticked in reference)
Note: Reference gives no uplift stn for this item: preparation checked at the meal uplift stn (KUL) - confirm with caterer.</v>
      </c>
      <c r="C43" s="114" t="str">
        <f aca="false">Checks!$N$48&amp;CHAR(10)&amp;IF(ISNUMBER(Checks!$R$48),TEXT(Checks!$R$48,"DD-MMM-YY HH:MM"),"")&amp;" "&amp;Checks!$P$48</f>
        <v>Required
09-Oct-26 09:50 KUL</v>
      </c>
      <c r="D43" s="114" t="str">
        <f aca="false">IF(Checks!$U$48="","",Checks!$U$48)&amp;IF(Checks!$AB$48="","",CHAR(10)&amp;"CA: "&amp;Checks!$AB$48)</f>
        <v/>
      </c>
      <c r="E43" s="114" t="str">
        <f aca="false">IF(Checks!$V$48="","",Checks!$V$48)&amp;IF(Checks!$AC$48="","",IF(Checks!$V$48="","",CHAR(10))&amp;"N/A just.: "&amp;Checks!$AC$48)&amp;IF(Checks!$W$48="","",CHAR(10)&amp;"Batch: "&amp;Checks!$W$48)&amp;IF(AND(Checks!$X$48="",Checks!$Y$48=""),"",CHAR(10)&amp;"Exp: "&amp;Checks!$X$48&amp;"  /  Act: "&amp;Checks!$Y$48)</f>
        <v/>
      </c>
      <c r="F43" s="114" t="str">
        <f aca="false">IF(Checks!$Z$48="","","Evidence: "&amp;Checks!$Z$48)&amp;IF(Checks!$AA$48="","",IF(Checks!$Z$48="","",CHAR(10))&amp;"CA: "&amp;Checks!$AA$48)</f>
        <v/>
      </c>
      <c r="G43" s="114" t="str">
        <f aca="false">IF(ISNUMBER(Checks!$AD$48),TEXT(Checks!$AD$48,"DD-MMM-YY HH:MM")&amp;" "&amp;Checks!$P$48,"")&amp;IF(Checks!$AE$48="","",CHAR(10)&amp;"Verifier: "&amp;Checks!$AE$48)&amp;IF(Checks!$T$48="","",CHAR(10)&amp;"PIC: "&amp;Checks!$T$48)</f>
        <v/>
      </c>
      <c r="H43" s="115" t="str">
        <f aca="false">IF(Checks!$AH$48="","",Checks!$AH$48)</f>
        <v>OPEN</v>
      </c>
    </row>
    <row r="44" customFormat="false" ht="114" hidden="false" customHeight="true" outlineLevel="0" collapsed="false">
      <c r="A44" s="114" t="str">
        <f aca="false">Checks!$A$49&amp;CHAR(10)&amp;IF(Checks!$I$49="","",Checks!$I$49&amp;": ")&amp;Checks!$J$49</f>
        <v>F02-T12-10
F&amp;B Linen: Tray cloth - prepared</v>
      </c>
      <c r="B44" s="114" t="str">
        <f aca="false">Checks!$K$49&amp;IF(Checks!$O$49="","",IF(Checks!$K$49="","",CHAR(10))&amp;"Note: "&amp;Checks!$O$49)</f>
        <v>Available (ticked in reference)
Note: Reference gives no uplift stn for this item: preparation checked at the meal uplift stn (KUL) - confirm with caterer.</v>
      </c>
      <c r="C44" s="114" t="str">
        <f aca="false">Checks!$N$49&amp;CHAR(10)&amp;IF(ISNUMBER(Checks!$R$49),TEXT(Checks!$R$49,"DD-MMM-YY HH:MM"),"")&amp;" "&amp;Checks!$P$49</f>
        <v>Required
09-Oct-26 09:50 KUL</v>
      </c>
      <c r="D44" s="114" t="str">
        <f aca="false">IF(Checks!$U$49="","",Checks!$U$49)&amp;IF(Checks!$AB$49="","",CHAR(10)&amp;"CA: "&amp;Checks!$AB$49)</f>
        <v/>
      </c>
      <c r="E44" s="114" t="str">
        <f aca="false">IF(Checks!$V$49="","",Checks!$V$49)&amp;IF(Checks!$AC$49="","",IF(Checks!$V$49="","",CHAR(10))&amp;"N/A just.: "&amp;Checks!$AC$49)&amp;IF(Checks!$W$49="","",CHAR(10)&amp;"Batch: "&amp;Checks!$W$49)&amp;IF(AND(Checks!$X$49="",Checks!$Y$49=""),"",CHAR(10)&amp;"Exp: "&amp;Checks!$X$49&amp;"  /  Act: "&amp;Checks!$Y$49)</f>
        <v/>
      </c>
      <c r="F44" s="114" t="str">
        <f aca="false">IF(Checks!$Z$49="","","Evidence: "&amp;Checks!$Z$49)&amp;IF(Checks!$AA$49="","",IF(Checks!$Z$49="","",CHAR(10))&amp;"CA: "&amp;Checks!$AA$49)</f>
        <v/>
      </c>
      <c r="G44" s="114" t="str">
        <f aca="false">IF(ISNUMBER(Checks!$AD$49),TEXT(Checks!$AD$49,"DD-MMM-YY HH:MM")&amp;" "&amp;Checks!$P$49,"")&amp;IF(Checks!$AE$49="","",CHAR(10)&amp;"Verifier: "&amp;Checks!$AE$49)&amp;IF(Checks!$T$49="","",CHAR(10)&amp;"PIC: "&amp;Checks!$T$49)</f>
        <v/>
      </c>
      <c r="H44" s="115" t="str">
        <f aca="false">IF(Checks!$AH$49="","",Checks!$AH$49)</f>
        <v>OPEN</v>
      </c>
    </row>
    <row r="45" customFormat="false" ht="114" hidden="false" customHeight="true" outlineLevel="0" collapsed="false">
      <c r="A45" s="114" t="str">
        <f aca="false">Checks!$A$50&amp;CHAR(10)&amp;IF(Checks!$I$50="","",Checks!$I$50&amp;": ")&amp;Checks!$J$50</f>
        <v>F02-T12-11
F&amp;B Linen: Napkin - prepared</v>
      </c>
      <c r="B45" s="114" t="str">
        <f aca="false">Checks!$K$50&amp;IF(Checks!$O$50="","",IF(Checks!$K$50="","",CHAR(10))&amp;"Note: "&amp;Checks!$O$50)</f>
        <v>Available (ticked in reference)
Note: Reference gives no uplift stn for this item: preparation checked at the meal uplift stn (KUL) - confirm with caterer.</v>
      </c>
      <c r="C45" s="114" t="str">
        <f aca="false">Checks!$N$50&amp;CHAR(10)&amp;IF(ISNUMBER(Checks!$R$50),TEXT(Checks!$R$50,"DD-MMM-YY HH:MM"),"")&amp;" "&amp;Checks!$P$50</f>
        <v>Required
09-Oct-26 09:50 KUL</v>
      </c>
      <c r="D45" s="114" t="str">
        <f aca="false">IF(Checks!$U$50="","",Checks!$U$50)&amp;IF(Checks!$AB$50="","",CHAR(10)&amp;"CA: "&amp;Checks!$AB$50)</f>
        <v/>
      </c>
      <c r="E45" s="114" t="str">
        <f aca="false">IF(Checks!$V$50="","",Checks!$V$50)&amp;IF(Checks!$AC$50="","",IF(Checks!$V$50="","",CHAR(10))&amp;"N/A just.: "&amp;Checks!$AC$50)&amp;IF(Checks!$W$50="","",CHAR(10)&amp;"Batch: "&amp;Checks!$W$50)&amp;IF(AND(Checks!$X$50="",Checks!$Y$50=""),"",CHAR(10)&amp;"Exp: "&amp;Checks!$X$50&amp;"  /  Act: "&amp;Checks!$Y$50)</f>
        <v/>
      </c>
      <c r="F45" s="114" t="str">
        <f aca="false">IF(Checks!$Z$50="","","Evidence: "&amp;Checks!$Z$50)&amp;IF(Checks!$AA$50="","",IF(Checks!$Z$50="","",CHAR(10))&amp;"CA: "&amp;Checks!$AA$50)</f>
        <v/>
      </c>
      <c r="G45" s="114" t="str">
        <f aca="false">IF(ISNUMBER(Checks!$AD$50),TEXT(Checks!$AD$50,"DD-MMM-YY HH:MM")&amp;" "&amp;Checks!$P$50,"")&amp;IF(Checks!$AE$50="","",CHAR(10)&amp;"Verifier: "&amp;Checks!$AE$50)&amp;IF(Checks!$T$50="","",CHAR(10)&amp;"PIC: "&amp;Checks!$T$50)</f>
        <v/>
      </c>
      <c r="H45" s="115" t="str">
        <f aca="false">IF(Checks!$AH$50="","",Checks!$AH$50)</f>
        <v>OPEN</v>
      </c>
    </row>
    <row r="46" customFormat="false" ht="279" hidden="false" customHeight="true" outlineLevel="0" collapsed="false">
      <c r="A46" s="114" t="str">
        <f aca="false">Checks!$A$51&amp;CHAR(10)&amp;IF(Checks!$I$51="","",Checks!$I$51&amp;": ")&amp;Checks!$J$51</f>
        <v>F02-T12-12
F&amp;B Linen: Table cloth - prepared</v>
      </c>
      <c r="B46" s="114" t="str">
        <f aca="false">SUBSTITUTE(Checks!$K$51&amp;IF(Checks!$O$51="","",IF(Checks!$K$51="","",CHAR(10))&amp;"Note: "&amp;Checks!$O$51),"F&amp;B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6" s="114" t="str">
        <f aca="false">Checks!$N$51&amp;CHAR(10)&amp;IF(ISNUMBER(Checks!$R$51),TEXT(Checks!$R$51,"DD-MMM-YY HH:MM"),"")&amp;" "&amp;Checks!$P$51</f>
        <v>Clarification required
09-Oct-26 09:50 KUL</v>
      </c>
      <c r="D46" s="114" t="str">
        <f aca="false">IF(Checks!$U$51="","",Checks!$U$51)&amp;IF(Checks!$AB$51="","",CHAR(10)&amp;"CA: "&amp;Checks!$AB$51)</f>
        <v/>
      </c>
      <c r="E46" s="114" t="str">
        <f aca="false">IF(Checks!$V$51="","",Checks!$V$51)&amp;IF(Checks!$AC$51="","",IF(Checks!$V$51="","",CHAR(10))&amp;"N/A just.: "&amp;Checks!$AC$51)&amp;IF(Checks!$W$51="","",CHAR(10)&amp;"Batch: "&amp;Checks!$W$51)&amp;IF(AND(Checks!$X$51="",Checks!$Y$51=""),"",CHAR(10)&amp;"Exp: "&amp;Checks!$X$51&amp;"  /  Act: "&amp;Checks!$Y$51)</f>
        <v/>
      </c>
      <c r="F46" s="114" t="str">
        <f aca="false">IF(Checks!$Z$51="","","Evidence: "&amp;Checks!$Z$51)&amp;IF(Checks!$AA$51="","",IF(Checks!$Z$51="","",CHAR(10))&amp;"CA: "&amp;Checks!$AA$51)</f>
        <v/>
      </c>
      <c r="G46" s="114" t="str">
        <f aca="false">IF(ISNUMBER(Checks!$AD$51),TEXT(Checks!$AD$51,"DD-MMM-YY HH:MM")&amp;" "&amp;Checks!$P$51,"")&amp;IF(Checks!$AE$51="","",CHAR(10)&amp;"Verifier: "&amp;Checks!$AE$51)&amp;IF(Checks!$T$51="","",CHAR(10)&amp;"PIC: "&amp;Checks!$T$51)</f>
        <v/>
      </c>
      <c r="H46" s="115" t="str">
        <f aca="false">IF(Checks!$AH$51="","",Checks!$AH$51)</f>
        <v>OPEN – CLARIFICATION</v>
      </c>
    </row>
    <row r="47" customFormat="false" ht="279" hidden="false" customHeight="true" outlineLevel="0" collapsed="false">
      <c r="A47" s="114" t="str">
        <f aca="false">Checks!$A$52&amp;CHAR(10)&amp;IF(Checks!$I$52="","",Checks!$I$52&amp;": ")&amp;Checks!$J$52</f>
        <v>F02-T12-13
F&amp;B Linen: Bread linen (using table cloth) - prepared</v>
      </c>
      <c r="B47" s="114" t="str">
        <f aca="false">SUBSTITUTE(Checks!$K$52&amp;IF(Checks!$O$52="","",IF(Checks!$K$52="","",CHAR(10))&amp;"Note: "&amp;Checks!$O$52),"F&amp;B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(KUL) - confirm with caterer.</v>
      </c>
      <c r="C47" s="114" t="str">
        <f aca="false">Checks!$N$52&amp;CHAR(10)&amp;IF(ISNUMBER(Checks!$R$52),TEXT(Checks!$R$52,"DD-MMM-YY HH:MM"),"")&amp;" "&amp;Checks!$P$52</f>
        <v>Clarification required
09-Oct-26 09:50 KUL</v>
      </c>
      <c r="D47" s="114" t="str">
        <f aca="false">IF(Checks!$U$52="","",Checks!$U$52)&amp;IF(Checks!$AB$52="","",CHAR(10)&amp;"CA: "&amp;Checks!$AB$52)</f>
        <v/>
      </c>
      <c r="E47" s="114" t="str">
        <f aca="false">IF(Checks!$V$52="","",Checks!$V$52)&amp;IF(Checks!$AC$52="","",IF(Checks!$V$52="","",CHAR(10))&amp;"N/A just.: "&amp;Checks!$AC$52)&amp;IF(Checks!$W$52="","",CHAR(10)&amp;"Batch: "&amp;Checks!$W$52)&amp;IF(AND(Checks!$X$52="",Checks!$Y$52=""),"",CHAR(10)&amp;"Exp: "&amp;Checks!$X$52&amp;"  /  Act: "&amp;Checks!$Y$52)</f>
        <v/>
      </c>
      <c r="F47" s="114" t="str">
        <f aca="false">IF(Checks!$Z$52="","","Evidence: "&amp;Checks!$Z$52)&amp;IF(Checks!$AA$52="","",IF(Checks!$Z$52="","",CHAR(10))&amp;"CA: "&amp;Checks!$AA$52)</f>
        <v/>
      </c>
      <c r="G47" s="114" t="str">
        <f aca="false">IF(ISNUMBER(Checks!$AD$52),TEXT(Checks!$AD$52,"DD-MMM-YY HH:MM")&amp;" "&amp;Checks!$P$52,"")&amp;IF(Checks!$AE$52="","",CHAR(10)&amp;"Verifier: "&amp;Checks!$AE$52)&amp;IF(Checks!$T$52="","",CHAR(10)&amp;"PIC: "&amp;Checks!$T$52)</f>
        <v/>
      </c>
      <c r="H47" s="115" t="str">
        <f aca="false">IF(Checks!$AH$52="","",Checks!$AH$52)</f>
        <v>OPEN – CLARIFICATION</v>
      </c>
    </row>
    <row r="48" customFormat="false" ht="124.5" hidden="false" customHeight="true" outlineLevel="0" collapsed="false">
      <c r="A48" s="114" t="str">
        <f aca="false">Checks!$A$53&amp;CHAR(10)&amp;IF(Checks!$I$53="","",Checks!$I$53&amp;": ")&amp;Checks!$J$53</f>
        <v>F02-T12-14
F&amp;B Linen: Trolley cloth - prepared</v>
      </c>
      <c r="B48" s="114" t="str">
        <f aca="false">SUBSTITUTE(Checks!$K$53&amp;IF(Checks!$O$53="","",IF(Checks!$K$53="","",CHAR(10))&amp;"Note: "&amp;Checks!$O$53),"F&amp;B LINEN!","Ref: F&amp;B LINEN!")</f>
        <v>Narrow body: Top only
Note: Per note Ref: F&amp;B LINEN!B79:C80. Reference gives no uplift stn for this item: preparation checked at the meal uplift stn (KUL) - confirm with caterer.</v>
      </c>
      <c r="C48" s="114" t="str">
        <f aca="false">Checks!$N$53&amp;CHAR(10)&amp;IF(ISNUMBER(Checks!$R$53),TEXT(Checks!$R$53,"DD-MMM-YY HH:MM"),"")&amp;" "&amp;Checks!$P$53</f>
        <v>Required
09-Oct-26 09:50 KUL</v>
      </c>
      <c r="D48" s="114" t="str">
        <f aca="false">IF(Checks!$U$53="","",Checks!$U$53)&amp;IF(Checks!$AB$53="","",CHAR(10)&amp;"CA: "&amp;Checks!$AB$53)</f>
        <v/>
      </c>
      <c r="E48" s="114" t="str">
        <f aca="false">IF(Checks!$V$53="","",Checks!$V$53)&amp;IF(Checks!$AC$53="","",IF(Checks!$V$53="","",CHAR(10))&amp;"N/A just.: "&amp;Checks!$AC$53)&amp;IF(Checks!$W$53="","",CHAR(10)&amp;"Batch: "&amp;Checks!$W$53)&amp;IF(AND(Checks!$X$53="",Checks!$Y$53=""),"",CHAR(10)&amp;"Exp: "&amp;Checks!$X$53&amp;"  /  Act: "&amp;Checks!$Y$53)</f>
        <v/>
      </c>
      <c r="F48" s="114" t="str">
        <f aca="false">IF(Checks!$Z$53="","","Evidence: "&amp;Checks!$Z$53)&amp;IF(Checks!$AA$53="","",IF(Checks!$Z$53="","",CHAR(10))&amp;"CA: "&amp;Checks!$AA$53)</f>
        <v/>
      </c>
      <c r="G48" s="114" t="str">
        <f aca="false">IF(ISNUMBER(Checks!$AD$53),TEXT(Checks!$AD$53,"DD-MMM-YY HH:MM")&amp;" "&amp;Checks!$P$53,"")&amp;IF(Checks!$AE$53="","",CHAR(10)&amp;"Verifier: "&amp;Checks!$AE$53)&amp;IF(Checks!$T$53="","",CHAR(10)&amp;"PIC: "&amp;Checks!$T$53)</f>
        <v/>
      </c>
      <c r="H48" s="115" t="str">
        <f aca="false">IF(Checks!$AH$53="","",Checks!$AH$53)</f>
        <v>OPEN</v>
      </c>
    </row>
    <row r="49" customFormat="false" ht="114" hidden="false" customHeight="true" outlineLevel="0" collapsed="false">
      <c r="A49" s="114" t="str">
        <f aca="false">Checks!$A$54&amp;CHAR(10)&amp;IF(Checks!$I$54="","",Checks!$I$54&amp;": ")&amp;Checks!$J$54</f>
        <v>F02-T12-15
F&amp;B Linen: Linen bag - prepared</v>
      </c>
      <c r="B49" s="114" t="str">
        <f aca="false">Checks!$K$54&amp;IF(Checks!$O$54="","",IF(Checks!$K$54="","",CHAR(10))&amp;"Note: "&amp;Checks!$O$54)</f>
        <v>Available (ticked in reference)
Note: Reference gives no uplift stn for this item: preparation checked at the meal uplift stn (KUL) - confirm with caterer.</v>
      </c>
      <c r="C49" s="114" t="str">
        <f aca="false">Checks!$N$54&amp;CHAR(10)&amp;IF(ISNUMBER(Checks!$R$54),TEXT(Checks!$R$54,"DD-MMM-YY HH:MM"),"")&amp;" "&amp;Checks!$P$54</f>
        <v>Required
09-Oct-26 09:50 KUL</v>
      </c>
      <c r="D49" s="114" t="str">
        <f aca="false">IF(Checks!$U$54="","",Checks!$U$54)&amp;IF(Checks!$AB$54="","",CHAR(10)&amp;"CA: "&amp;Checks!$AB$54)</f>
        <v/>
      </c>
      <c r="E49" s="114" t="str">
        <f aca="false">IF(Checks!$V$54="","",Checks!$V$54)&amp;IF(Checks!$AC$54="","",IF(Checks!$V$54="","",CHAR(10))&amp;"N/A just.: "&amp;Checks!$AC$54)&amp;IF(Checks!$W$54="","",CHAR(10)&amp;"Batch: "&amp;Checks!$W$54)&amp;IF(AND(Checks!$X$54="",Checks!$Y$54=""),"",CHAR(10)&amp;"Exp: "&amp;Checks!$X$54&amp;"  /  Act: "&amp;Checks!$Y$54)</f>
        <v/>
      </c>
      <c r="F49" s="114" t="str">
        <f aca="false">IF(Checks!$Z$54="","","Evidence: "&amp;Checks!$Z$54)&amp;IF(Checks!$AA$54="","",IF(Checks!$Z$54="","",CHAR(10))&amp;"CA: "&amp;Checks!$AA$54)</f>
        <v/>
      </c>
      <c r="G49" s="114" t="str">
        <f aca="false">IF(ISNUMBER(Checks!$AD$54),TEXT(Checks!$AD$54,"DD-MMM-YY HH:MM")&amp;" "&amp;Checks!$P$54,"")&amp;IF(Checks!$AE$54="","",CHAR(10)&amp;"Verifier: "&amp;Checks!$AE$54)&amp;IF(Checks!$T$54="","",CHAR(10)&amp;"PIC: "&amp;Checks!$T$54)</f>
        <v/>
      </c>
      <c r="H49" s="115" t="str">
        <f aca="false">IF(Checks!$AH$54="","",Checks!$AH$54)</f>
        <v>OPEN</v>
      </c>
    </row>
    <row r="50" customFormat="false" ht="114" hidden="false" customHeight="true" outlineLevel="0" collapsed="false">
      <c r="A50" s="114" t="str">
        <f aca="false">Checks!$A$55&amp;CHAR(10)&amp;IF(Checks!$I$55="","",Checks!$I$55&amp;": ")&amp;Checks!$J$55</f>
        <v>F02-T12-16
Seat Linen: Seat pillow (BS &amp; BC) - prepared</v>
      </c>
      <c r="B50" s="114" t="str">
        <f aca="false">Checks!$K$55&amp;IF(Checks!$O$55="","",IF(Checks!$K$55="","",CHAR(10))&amp;"Note: "&amp;Checks!$O$55)</f>
        <v>Available 100% (ticked in reference)
Note: Reference gives no uplift stn for this item: preparation checked at the meal uplift stn (KUL) - confirm with caterer.</v>
      </c>
      <c r="C50" s="114" t="str">
        <f aca="false">Checks!$N$55&amp;CHAR(10)&amp;IF(ISNUMBER(Checks!$R$55),TEXT(Checks!$R$55,"DD-MMM-YY HH:MM"),"")&amp;" "&amp;Checks!$P$55</f>
        <v>Required
09-Oct-26 09:50 KUL</v>
      </c>
      <c r="D50" s="114" t="str">
        <f aca="false">IF(Checks!$U$55="","",Checks!$U$55)&amp;IF(Checks!$AB$55="","",CHAR(10)&amp;"CA: "&amp;Checks!$AB$55)</f>
        <v/>
      </c>
      <c r="E50" s="114" t="str">
        <f aca="false">IF(Checks!$V$55="","",Checks!$V$55)&amp;IF(Checks!$AC$55="","",IF(Checks!$V$55="","",CHAR(10))&amp;"N/A just.: "&amp;Checks!$AC$55)&amp;IF(Checks!$W$55="","",CHAR(10)&amp;"Batch: "&amp;Checks!$W$55)&amp;IF(AND(Checks!$X$55="",Checks!$Y$55=""),"",CHAR(10)&amp;"Exp: "&amp;Checks!$X$55&amp;"  /  Act: "&amp;Checks!$Y$55)</f>
        <v/>
      </c>
      <c r="F50" s="114" t="str">
        <f aca="false">IF(Checks!$Z$55="","","Evidence: "&amp;Checks!$Z$55)&amp;IF(Checks!$AA$55="","",IF(Checks!$Z$55="","",CHAR(10))&amp;"CA: "&amp;Checks!$AA$55)</f>
        <v/>
      </c>
      <c r="G50" s="114" t="str">
        <f aca="false">IF(ISNUMBER(Checks!$AD$55),TEXT(Checks!$AD$55,"DD-MMM-YY HH:MM")&amp;" "&amp;Checks!$P$55,"")&amp;IF(Checks!$AE$55="","",CHAR(10)&amp;"Verifier: "&amp;Checks!$AE$55)&amp;IF(Checks!$T$55="","",CHAR(10)&amp;"PIC: "&amp;Checks!$T$55)</f>
        <v/>
      </c>
      <c r="H50" s="115" t="str">
        <f aca="false">IF(Checks!$AH$55="","",Checks!$AH$55)</f>
        <v>OPEN</v>
      </c>
    </row>
    <row r="51" customFormat="false" ht="114" hidden="false" customHeight="true" outlineLevel="0" collapsed="false">
      <c r="A51" s="114" t="str">
        <f aca="false">Checks!$A$56&amp;CHAR(10)&amp;IF(Checks!$I$56="","",Checks!$I$56&amp;": ")&amp;Checks!$J$56</f>
        <v>F02-T12-17
Seat Linen: Blanket (BS &amp; BC) - prepared</v>
      </c>
      <c r="B51" s="114" t="str">
        <f aca="false">Checks!$K$56&amp;IF(Checks!$O$56="","",IF(Checks!$K$56="","",CHAR(10))&amp;"Note: "&amp;Checks!$O$56)</f>
        <v>Available 100% (ticked in reference)
Note: Reference gives no uplift stn for this item: preparation checked at the meal uplift stn (KUL) - confirm with caterer.</v>
      </c>
      <c r="C51" s="114" t="str">
        <f aca="false">Checks!$N$56&amp;CHAR(10)&amp;IF(ISNUMBER(Checks!$R$56),TEXT(Checks!$R$56,"DD-MMM-YY HH:MM"),"")&amp;" "&amp;Checks!$P$56</f>
        <v>Required
09-Oct-26 09:50 KUL</v>
      </c>
      <c r="D51" s="114" t="str">
        <f aca="false">IF(Checks!$U$56="","",Checks!$U$56)&amp;IF(Checks!$AB$56="","",CHAR(10)&amp;"CA: "&amp;Checks!$AB$56)</f>
        <v/>
      </c>
      <c r="E51" s="114" t="str">
        <f aca="false">IF(Checks!$V$56="","",Checks!$V$56)&amp;IF(Checks!$AC$56="","",IF(Checks!$V$56="","",CHAR(10))&amp;"N/A just.: "&amp;Checks!$AC$56)&amp;IF(Checks!$W$56="","",CHAR(10)&amp;"Batch: "&amp;Checks!$W$56)&amp;IF(AND(Checks!$X$56="",Checks!$Y$56=""),"",CHAR(10)&amp;"Exp: "&amp;Checks!$X$56&amp;"  /  Act: "&amp;Checks!$Y$56)</f>
        <v/>
      </c>
      <c r="F51" s="114" t="str">
        <f aca="false">IF(Checks!$Z$56="","","Evidence: "&amp;Checks!$Z$56)&amp;IF(Checks!$AA$56="","",IF(Checks!$Z$56="","",CHAR(10))&amp;"CA: "&amp;Checks!$AA$56)</f>
        <v/>
      </c>
      <c r="G51" s="114" t="str">
        <f aca="false">IF(ISNUMBER(Checks!$AD$56),TEXT(Checks!$AD$56,"DD-MMM-YY HH:MM")&amp;" "&amp;Checks!$P$56,"")&amp;IF(Checks!$AE$56="","",CHAR(10)&amp;"Verifier: "&amp;Checks!$AE$56)&amp;IF(Checks!$T$56="","",CHAR(10)&amp;"PIC: "&amp;Checks!$T$56)</f>
        <v/>
      </c>
      <c r="H51" s="115" t="str">
        <f aca="false">IF(Checks!$AH$56="","",Checks!$AH$56)</f>
        <v>OPEN</v>
      </c>
    </row>
    <row r="52" customFormat="false" ht="25.5" hidden="false" customHeight="true" outlineLevel="0" collapsed="false">
      <c r="A52" s="113" t="str">
        <f aca="false">"UPLIFT — Physical uplift – on-board confirmation before departure  |  Due "&amp;"STD "&amp;IF(ISNUMBER(Flights!$I$6),TEXT(Flights!$I$6,"DD-MMM-YY HH:MM"),"")&amp;" "&amp;Flights!$G$6&amp;" (departure stn)"&amp;" (rows with another due show their own)  |  Complete "&amp;IF(ISNUMBER(Flights!$AM$6),TEXT(Flights!$AM$6,"0%"),Flights!$AM$6)&amp;"  |  12 lines"</f>
        <v>UPLIFT — Physical uplift – on-board confirmation before departure  |  Due STD 09-Oct-26 21:50 KUL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Checks!$A$57&amp;CHAR(10)&amp;IF(Checks!$I$57="","",Checks!$I$57&amp;": ")&amp;Checks!$J$57</f>
        <v>F02-UPL-01
Meal: Meals physically uplifted on board - quantity vs menu checklist</v>
      </c>
      <c r="B53" s="114" t="str">
        <f aca="false">Checks!$K$57&amp;IF(Checks!$O$57="","",IF(Checks!$K$57="","",CHAR(10))&amp;"Note: "&amp;Checks!$O$57)</f>
        <v>Enter expected &amp; actual
Note: Confirm on board before departure; completion time must fall inside the uplift window.</v>
      </c>
      <c r="C53" s="114" t="str">
        <f aca="false">Checks!$N$57&amp;CHAR(10)&amp;IF(ISNUMBER(Checks!$R$57),TEXT(Checks!$R$57,"DD-MMM-YY HH:MM"),"")&amp;" "&amp;Checks!$P$57</f>
        <v>Required
09-Oct-26 21:50 KUL</v>
      </c>
      <c r="D53" s="114" t="str">
        <f aca="false">IF(Checks!$U$57="","",Checks!$U$57)&amp;IF(Checks!$AB$57="","",CHAR(10)&amp;"CA: "&amp;Checks!$AB$57)</f>
        <v/>
      </c>
      <c r="E53" s="114" t="str">
        <f aca="false">IF(Checks!$V$57="","",Checks!$V$57)&amp;IF(Checks!$AC$57="","",IF(Checks!$V$57="","",CHAR(10))&amp;"N/A just.: "&amp;Checks!$AC$57)&amp;IF(Checks!$W$57="","",CHAR(10)&amp;"Batch: "&amp;Checks!$W$57)&amp;IF(AND(Checks!$X$57="",Checks!$Y$57=""),"",CHAR(10)&amp;"Exp: "&amp;Checks!$X$57&amp;"  /  Act: "&amp;Checks!$Y$57)</f>
        <v/>
      </c>
      <c r="F53" s="114" t="str">
        <f aca="false">IF(Checks!$Z$57="","","Evidence: "&amp;Checks!$Z$57)&amp;IF(Checks!$AA$57="","",IF(Checks!$Z$57="","",CHAR(10))&amp;"CA: "&amp;Checks!$AA$57)</f>
        <v/>
      </c>
      <c r="G53" s="114" t="str">
        <f aca="false">IF(ISNUMBER(Checks!$AD$57),TEXT(Checks!$AD$57,"DD-MMM-YY HH:MM")&amp;" "&amp;Checks!$P$57,"")&amp;IF(Checks!$AE$57="","",CHAR(10)&amp;"Verifier: "&amp;Checks!$AE$57)&amp;IF(Checks!$T$57="","",CHAR(10)&amp;"PIC: "&amp;Checks!$T$57)</f>
        <v/>
      </c>
      <c r="H53" s="115" t="str">
        <f aca="false">IF(Checks!$AH$57="","",Checks!$AH$57)</f>
        <v>OPEN</v>
      </c>
    </row>
    <row r="54" customFormat="false" ht="114" hidden="false" customHeight="true" outlineLevel="0" collapsed="false">
      <c r="A54" s="114" t="str">
        <f aca="false">Checks!$A$58&amp;CHAR(10)&amp;IF(Checks!$I$58="","",Checks!$I$58&amp;": ")&amp;Checks!$J$58</f>
        <v>F02-UPL-02
Equipment: Equipment physically loaded at GLD positions - quantity &amp; positions</v>
      </c>
      <c r="B54" s="114" t="str">
        <f aca="false">Checks!$K$58&amp;IF(Checks!$O$58="","",IF(Checks!$K$58="","",CHAR(10))&amp;"Note: "&amp;Checks!$O$58)</f>
        <v>Enter expected &amp; actual
Note: Confirm on board before departure; completion time must fall inside the uplift window.</v>
      </c>
      <c r="C54" s="114" t="str">
        <f aca="false">Checks!$N$58&amp;CHAR(10)&amp;IF(ISNUMBER(Checks!$R$58),TEXT(Checks!$R$58,"DD-MMM-YY HH:MM"),"")&amp;" "&amp;Checks!$P$58</f>
        <v>Required
09-Oct-26 21:50 KUL</v>
      </c>
      <c r="D54" s="114" t="str">
        <f aca="false">IF(Checks!$U$58="","",Checks!$U$58)&amp;IF(Checks!$AB$58="","",CHAR(10)&amp;"CA: "&amp;Checks!$AB$58)</f>
        <v/>
      </c>
      <c r="E54" s="114" t="str">
        <f aca="false">IF(Checks!$V$58="","",Checks!$V$58)&amp;IF(Checks!$AC$58="","",IF(Checks!$V$58="","",CHAR(10))&amp;"N/A just.: "&amp;Checks!$AC$58)&amp;IF(Checks!$W$58="","",CHAR(10)&amp;"Batch: "&amp;Checks!$W$58)&amp;IF(AND(Checks!$X$58="",Checks!$Y$58=""),"",CHAR(10)&amp;"Exp: "&amp;Checks!$X$58&amp;"  /  Act: "&amp;Checks!$Y$58)</f>
        <v/>
      </c>
      <c r="F54" s="114" t="str">
        <f aca="false">IF(Checks!$Z$58="","","Evidence: "&amp;Checks!$Z$58)&amp;IF(Checks!$AA$58="","",IF(Checks!$Z$58="","",CHAR(10))&amp;"CA: "&amp;Checks!$AA$58)</f>
        <v/>
      </c>
      <c r="G54" s="114" t="str">
        <f aca="false">IF(ISNUMBER(Checks!$AD$58),TEXT(Checks!$AD$58,"DD-MMM-YY HH:MM")&amp;" "&amp;Checks!$P$58,"")&amp;IF(Checks!$AE$58="","",CHAR(10)&amp;"Verifier: "&amp;Checks!$AE$58)&amp;IF(Checks!$T$58="","",CHAR(10)&amp;"PIC: "&amp;Checks!$T$58)</f>
        <v/>
      </c>
      <c r="H54" s="115" t="str">
        <f aca="false">IF(Checks!$AH$58="","",Checks!$AH$58)</f>
        <v>OPEN</v>
      </c>
    </row>
    <row r="55" customFormat="false" ht="114" hidden="false" customHeight="true" outlineLevel="0" collapsed="false">
      <c r="A55" s="114" t="str">
        <f aca="false">Checks!$A$59&amp;CHAR(10)&amp;IF(Checks!$I$59="","",Checks!$I$59&amp;": ")&amp;Checks!$J$59</f>
        <v>F02-UPL-03
Amenities: Disposable slippers in DAM cart (BC, on request) - on board</v>
      </c>
      <c r="B55" s="114" t="str">
        <f aca="false">Checks!$K$59&amp;IF(Checks!$O$59="","",IF(Checks!$K$59="","",CHAR(10))&amp;"Note: "&amp;Checks!$O$59)</f>
        <v>Available in DAM cart on request basis
Note: Sector has no BC slippers; note C83: disposable slipper available in DAM cart (on request basis).</v>
      </c>
      <c r="C55" s="114" t="str">
        <f aca="false">Checks!$N$59&amp;CHAR(10)&amp;IF(ISNUMBER(Checks!$R$59),TEXT(Checks!$R$59,"DD-MMM-YY HH:MM"),"")&amp;" "&amp;Checks!$P$59</f>
        <v>Required
09-Oct-26 21:50 KUL</v>
      </c>
      <c r="D55" s="114" t="str">
        <f aca="false">IF(Checks!$U$59="","",Checks!$U$59)&amp;IF(Checks!$AB$59="","",CHAR(10)&amp;"CA: "&amp;Checks!$AB$59)</f>
        <v/>
      </c>
      <c r="E55" s="114" t="str">
        <f aca="false">IF(Checks!$V$59="","",Checks!$V$59)&amp;IF(Checks!$AC$59="","",IF(Checks!$V$59="","",CHAR(10))&amp;"N/A just.: "&amp;Checks!$AC$59)&amp;IF(Checks!$W$59="","",CHAR(10)&amp;"Batch: "&amp;Checks!$W$59)&amp;IF(AND(Checks!$X$59="",Checks!$Y$59=""),"",CHAR(10)&amp;"Exp: "&amp;Checks!$X$59&amp;"  /  Act: "&amp;Checks!$Y$59)</f>
        <v/>
      </c>
      <c r="F55" s="114" t="str">
        <f aca="false">IF(Checks!$Z$59="","","Evidence: "&amp;Checks!$Z$59)&amp;IF(Checks!$AA$59="","",IF(Checks!$Z$59="","",CHAR(10))&amp;"CA: "&amp;Checks!$AA$59)</f>
        <v/>
      </c>
      <c r="G55" s="114" t="str">
        <f aca="false">IF(ISNUMBER(Checks!$AD$59),TEXT(Checks!$AD$59,"DD-MMM-YY HH:MM")&amp;" "&amp;Checks!$P$59,"")&amp;IF(Checks!$AE$59="","",CHAR(10)&amp;"Verifier: "&amp;Checks!$AE$59)&amp;IF(Checks!$T$59="","",CHAR(10)&amp;"PIC: "&amp;Checks!$T$59)</f>
        <v/>
      </c>
      <c r="H55" s="115" t="str">
        <f aca="false">IF(Checks!$AH$59="","",Checks!$AH$59)</f>
        <v>OPEN</v>
      </c>
    </row>
    <row r="56" customFormat="false" ht="114" hidden="false" customHeight="true" outlineLevel="0" collapsed="false">
      <c r="A56" s="114" t="str">
        <f aca="false">Checks!$A$60&amp;CHAR(10)&amp;IF(Checks!$I$60="","",Checks!$I$60&amp;": ")&amp;Checks!$J$60</f>
        <v>F02-UPL-04
F&amp;B Linen: Towel - on board</v>
      </c>
      <c r="B56" s="114" t="str">
        <f aca="false">Checks!$K$60&amp;IF(Checks!$O$60="","",IF(Checks!$K$60="","",CHAR(10))&amp;"Note: "&amp;Checks!$O$60)</f>
        <v>Available (ticked in reference)</v>
      </c>
      <c r="C56" s="114" t="str">
        <f aca="false">Checks!$N$60&amp;CHAR(10)&amp;IF(ISNUMBER(Checks!$R$60),TEXT(Checks!$R$60,"DD-MMM-YY HH:MM"),"")&amp;" "&amp;Checks!$P$60</f>
        <v>Required
09-Oct-26 21:50 KUL</v>
      </c>
      <c r="D56" s="114" t="str">
        <f aca="false">IF(Checks!$U$60="","",Checks!$U$60)&amp;IF(Checks!$AB$60="","",CHAR(10)&amp;"CA: "&amp;Checks!$AB$60)</f>
        <v/>
      </c>
      <c r="E56" s="114" t="str">
        <f aca="false">IF(Checks!$V$60="","",Checks!$V$60)&amp;IF(Checks!$AC$60="","",IF(Checks!$V$60="","",CHAR(10))&amp;"N/A just.: "&amp;Checks!$AC$60)&amp;IF(Checks!$W$60="","",CHAR(10)&amp;"Batch: "&amp;Checks!$W$60)&amp;IF(AND(Checks!$X$60="",Checks!$Y$60=""),"",CHAR(10)&amp;"Exp: "&amp;Checks!$X$60&amp;"  /  Act: "&amp;Checks!$Y$60)</f>
        <v/>
      </c>
      <c r="F56" s="114" t="str">
        <f aca="false">IF(Checks!$Z$60="","","Evidence: "&amp;Checks!$Z$60)&amp;IF(Checks!$AA$60="","",IF(Checks!$Z$60="","",CHAR(10))&amp;"CA: "&amp;Checks!$AA$60)</f>
        <v/>
      </c>
      <c r="G56" s="114" t="str">
        <f aca="false">IF(ISNUMBER(Checks!$AD$60),TEXT(Checks!$AD$60,"DD-MMM-YY HH:MM")&amp;" "&amp;Checks!$P$60,"")&amp;IF(Checks!$AE$60="","",CHAR(10)&amp;"Verifier: "&amp;Checks!$AE$60)&amp;IF(Checks!$T$60="","",CHAR(10)&amp;"PIC: "&amp;Checks!$T$60)</f>
        <v/>
      </c>
      <c r="H56" s="115" t="str">
        <f aca="false">IF(Checks!$AH$60="","",Checks!$AH$60)</f>
        <v>OPEN</v>
      </c>
    </row>
    <row r="57" customFormat="false" ht="114" hidden="false" customHeight="true" outlineLevel="0" collapsed="false">
      <c r="A57" s="114" t="str">
        <f aca="false">Checks!$A$61&amp;CHAR(10)&amp;IF(Checks!$I$61="","",Checks!$I$61&amp;": ")&amp;Checks!$J$61</f>
        <v>F02-UPL-05
F&amp;B Linen: Tray cloth - on board</v>
      </c>
      <c r="B57" s="114" t="str">
        <f aca="false">Checks!$K$61&amp;IF(Checks!$O$61="","",IF(Checks!$K$61="","",CHAR(10))&amp;"Note: "&amp;Checks!$O$61)</f>
        <v>Available (ticked in reference)</v>
      </c>
      <c r="C57" s="114" t="str">
        <f aca="false">Checks!$N$61&amp;CHAR(10)&amp;IF(ISNUMBER(Checks!$R$61),TEXT(Checks!$R$61,"DD-MMM-YY HH:MM"),"")&amp;" "&amp;Checks!$P$61</f>
        <v>Required
09-Oct-26 21:50 KUL</v>
      </c>
      <c r="D57" s="114" t="str">
        <f aca="false">IF(Checks!$U$61="","",Checks!$U$61)&amp;IF(Checks!$AB$61="","",CHAR(10)&amp;"CA: "&amp;Checks!$AB$61)</f>
        <v/>
      </c>
      <c r="E57" s="114" t="str">
        <f aca="false">IF(Checks!$V$61="","",Checks!$V$61)&amp;IF(Checks!$AC$61="","",IF(Checks!$V$61="","",CHAR(10))&amp;"N/A just.: "&amp;Checks!$AC$61)&amp;IF(Checks!$W$61="","",CHAR(10)&amp;"Batch: "&amp;Checks!$W$61)&amp;IF(AND(Checks!$X$61="",Checks!$Y$61=""),"",CHAR(10)&amp;"Exp: "&amp;Checks!$X$61&amp;"  /  Act: "&amp;Checks!$Y$61)</f>
        <v/>
      </c>
      <c r="F57" s="114" t="str">
        <f aca="false">IF(Checks!$Z$61="","","Evidence: "&amp;Checks!$Z$61)&amp;IF(Checks!$AA$61="","",IF(Checks!$Z$61="","",CHAR(10))&amp;"CA: "&amp;Checks!$AA$61)</f>
        <v/>
      </c>
      <c r="G57" s="114" t="str">
        <f aca="false">IF(ISNUMBER(Checks!$AD$61),TEXT(Checks!$AD$61,"DD-MMM-YY HH:MM")&amp;" "&amp;Checks!$P$61,"")&amp;IF(Checks!$AE$61="","",CHAR(10)&amp;"Verifier: "&amp;Checks!$AE$61)&amp;IF(Checks!$T$61="","",CHAR(10)&amp;"PIC: "&amp;Checks!$T$61)</f>
        <v/>
      </c>
      <c r="H57" s="115" t="str">
        <f aca="false">IF(Checks!$AH$61="","",Checks!$AH$61)</f>
        <v>OPEN</v>
      </c>
    </row>
    <row r="58" customFormat="false" ht="114" hidden="false" customHeight="true" outlineLevel="0" collapsed="false">
      <c r="A58" s="114" t="str">
        <f aca="false">Checks!$A$62&amp;CHAR(10)&amp;IF(Checks!$I$62="","",Checks!$I$62&amp;": ")&amp;Checks!$J$62</f>
        <v>F02-UPL-06
F&amp;B Linen: Napkin - on board</v>
      </c>
      <c r="B58" s="114" t="str">
        <f aca="false">Checks!$K$62&amp;IF(Checks!$O$62="","",IF(Checks!$K$62="","",CHAR(10))&amp;"Note: "&amp;Checks!$O$62)</f>
        <v>Available (ticked in reference)</v>
      </c>
      <c r="C58" s="114" t="str">
        <f aca="false">Checks!$N$62&amp;CHAR(10)&amp;IF(ISNUMBER(Checks!$R$62),TEXT(Checks!$R$62,"DD-MMM-YY HH:MM"),"")&amp;" "&amp;Checks!$P$62</f>
        <v>Required
09-Oct-26 21:50 KUL</v>
      </c>
      <c r="D58" s="114" t="str">
        <f aca="false">IF(Checks!$U$62="","",Checks!$U$62)&amp;IF(Checks!$AB$62="","",CHAR(10)&amp;"CA: "&amp;Checks!$AB$62)</f>
        <v/>
      </c>
      <c r="E58" s="114" t="str">
        <f aca="false">IF(Checks!$V$62="","",Checks!$V$62)&amp;IF(Checks!$AC$62="","",IF(Checks!$V$62="","",CHAR(10))&amp;"N/A just.: "&amp;Checks!$AC$62)&amp;IF(Checks!$W$62="","",CHAR(10)&amp;"Batch: "&amp;Checks!$W$62)&amp;IF(AND(Checks!$X$62="",Checks!$Y$62=""),"",CHAR(10)&amp;"Exp: "&amp;Checks!$X$62&amp;"  /  Act: "&amp;Checks!$Y$62)</f>
        <v/>
      </c>
      <c r="F58" s="114" t="str">
        <f aca="false">IF(Checks!$Z$62="","","Evidence: "&amp;Checks!$Z$62)&amp;IF(Checks!$AA$62="","",IF(Checks!$Z$62="","",CHAR(10))&amp;"CA: "&amp;Checks!$AA$62)</f>
        <v/>
      </c>
      <c r="G58" s="114" t="str">
        <f aca="false">IF(ISNUMBER(Checks!$AD$62),TEXT(Checks!$AD$62,"DD-MMM-YY HH:MM")&amp;" "&amp;Checks!$P$62,"")&amp;IF(Checks!$AE$62="","",CHAR(10)&amp;"Verifier: "&amp;Checks!$AE$62)&amp;IF(Checks!$T$62="","",CHAR(10)&amp;"PIC: "&amp;Checks!$T$62)</f>
        <v/>
      </c>
      <c r="H58" s="115" t="str">
        <f aca="false">IF(Checks!$AH$62="","",Checks!$AH$62)</f>
        <v>OPEN</v>
      </c>
    </row>
    <row r="59" customFormat="false" ht="201.75" hidden="false" customHeight="true" outlineLevel="0" collapsed="false">
      <c r="A59" s="114" t="str">
        <f aca="false">Checks!$A$63&amp;CHAR(10)&amp;IF(Checks!$I$63="","",Checks!$I$63&amp;": ")&amp;Checks!$J$63</f>
        <v>F02-UPL-07
F&amp;B Linen: Table cloth - on board</v>
      </c>
      <c r="B59" s="114" t="str">
        <f aca="false">SUBSTITUTE(Checks!$K$63&amp;IF(Checks!$O$63="","",IF(Checks!$K$63="","",CHAR(10))&amp;"Note: "&amp;Checks!$O$63),"F&amp;B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Checks!$N$63&amp;CHAR(10)&amp;IF(ISNUMBER(Checks!$R$63),TEXT(Checks!$R$63,"DD-MMM-YY HH:MM"),"")&amp;" "&amp;Checks!$P$63</f>
        <v>Clarification required
09-Oct-26 21:50 KUL</v>
      </c>
      <c r="D59" s="114" t="str">
        <f aca="false">IF(Checks!$U$63="","",Checks!$U$63)&amp;IF(Checks!$AB$63="","",CHAR(10)&amp;"CA: "&amp;Checks!$AB$63)</f>
        <v/>
      </c>
      <c r="E59" s="114" t="str">
        <f aca="false">IF(Checks!$V$63="","",Checks!$V$63)&amp;IF(Checks!$AC$63="","",IF(Checks!$V$63="","",CHAR(10))&amp;"N/A just.: "&amp;Checks!$AC$63)&amp;IF(Checks!$W$63="","",CHAR(10)&amp;"Batch: "&amp;Checks!$W$63)&amp;IF(AND(Checks!$X$63="",Checks!$Y$63=""),"",CHAR(10)&amp;"Exp: "&amp;Checks!$X$63&amp;"  /  Act: "&amp;Checks!$Y$63)</f>
        <v/>
      </c>
      <c r="F59" s="114" t="str">
        <f aca="false">IF(Checks!$Z$63="","","Evidence: "&amp;Checks!$Z$63)&amp;IF(Checks!$AA$63="","",IF(Checks!$Z$63="","",CHAR(10))&amp;"CA: "&amp;Checks!$AA$63)</f>
        <v/>
      </c>
      <c r="G59" s="114" t="str">
        <f aca="false">IF(ISNUMBER(Checks!$AD$63),TEXT(Checks!$AD$63,"DD-MMM-YY HH:MM")&amp;" "&amp;Checks!$P$63,"")&amp;IF(Checks!$AE$63="","",CHAR(10)&amp;"Verifier: "&amp;Checks!$AE$63)&amp;IF(Checks!$T$63="","",CHAR(10)&amp;"PIC: "&amp;Checks!$T$63)</f>
        <v/>
      </c>
      <c r="H59" s="115" t="str">
        <f aca="false">IF(Checks!$AH$63="","",Checks!$AH$63)</f>
        <v>OPEN – CLARIFICATION</v>
      </c>
    </row>
    <row r="60" customFormat="false" ht="201.75" hidden="false" customHeight="true" outlineLevel="0" collapsed="false">
      <c r="A60" s="114" t="str">
        <f aca="false">Checks!$A$64&amp;CHAR(10)&amp;IF(Checks!$I$64="","",Checks!$I$64&amp;": ")&amp;Checks!$J$64</f>
        <v>F02-UPL-08
F&amp;B Linen: Bread linen (using table cloth) - on board</v>
      </c>
      <c r="B60" s="114" t="str">
        <f aca="false">SUBSTITUTE(Checks!$K$64&amp;IF(Checks!$O$64="","",IF(Checks!$K$64="","",CHAR(10))&amp;"Note: "&amp;Checks!$O$64),"F&amp;B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Checks!$N$64&amp;CHAR(10)&amp;IF(ISNUMBER(Checks!$R$64),TEXT(Checks!$R$64,"DD-MMM-YY HH:MM"),"")&amp;" "&amp;Checks!$P$64</f>
        <v>Clarification required
09-Oct-26 21:50 KUL</v>
      </c>
      <c r="D60" s="114" t="str">
        <f aca="false">IF(Checks!$U$64="","",Checks!$U$64)&amp;IF(Checks!$AB$64="","",CHAR(10)&amp;"CA: "&amp;Checks!$AB$64)</f>
        <v/>
      </c>
      <c r="E60" s="114" t="str">
        <f aca="false">IF(Checks!$V$64="","",Checks!$V$64)&amp;IF(Checks!$AC$64="","",IF(Checks!$V$64="","",CHAR(10))&amp;"N/A just.: "&amp;Checks!$AC$64)&amp;IF(Checks!$W$64="","",CHAR(10)&amp;"Batch: "&amp;Checks!$W$64)&amp;IF(AND(Checks!$X$64="",Checks!$Y$64=""),"",CHAR(10)&amp;"Exp: "&amp;Checks!$X$64&amp;"  /  Act: "&amp;Checks!$Y$64)</f>
        <v/>
      </c>
      <c r="F60" s="114" t="str">
        <f aca="false">IF(Checks!$Z$64="","","Evidence: "&amp;Checks!$Z$64)&amp;IF(Checks!$AA$64="","",IF(Checks!$Z$64="","",CHAR(10))&amp;"CA: "&amp;Checks!$AA$64)</f>
        <v/>
      </c>
      <c r="G60" s="114" t="str">
        <f aca="false">IF(ISNUMBER(Checks!$AD$64),TEXT(Checks!$AD$64,"DD-MMM-YY HH:MM")&amp;" "&amp;Checks!$P$64,"")&amp;IF(Checks!$AE$64="","",CHAR(10)&amp;"Verifier: "&amp;Checks!$AE$64)&amp;IF(Checks!$T$64="","",CHAR(10)&amp;"PIC: "&amp;Checks!$T$64)</f>
        <v/>
      </c>
      <c r="H60" s="115" t="str">
        <f aca="false">IF(Checks!$AH$64="","",Checks!$AH$64)</f>
        <v>OPEN – CLARIFICATION</v>
      </c>
    </row>
    <row r="61" customFormat="false" ht="114" hidden="false" customHeight="true" outlineLevel="0" collapsed="false">
      <c r="A61" s="114" t="str">
        <f aca="false">Checks!$A$65&amp;CHAR(10)&amp;IF(Checks!$I$65="","",Checks!$I$65&amp;": ")&amp;Checks!$J$65</f>
        <v>F02-UPL-09
F&amp;B Linen: Trolley cloth - on board</v>
      </c>
      <c r="B61" s="114" t="str">
        <f aca="false">SUBSTITUTE(Checks!$K$65&amp;IF(Checks!$O$65="","",IF(Checks!$K$65="","",CHAR(10))&amp;"Note: "&amp;Checks!$O$65),"F&amp;B LINEN!","Ref: F&amp;B LINEN!")</f>
        <v>Narrow body: Top only
Note: Per note Ref: F&amp;B LINEN!B79:C80.</v>
      </c>
      <c r="C61" s="114" t="str">
        <f aca="false">Checks!$N$65&amp;CHAR(10)&amp;IF(ISNUMBER(Checks!$R$65),TEXT(Checks!$R$65,"DD-MMM-YY HH:MM"),"")&amp;" "&amp;Checks!$P$65</f>
        <v>Required
09-Oct-26 21:50 KUL</v>
      </c>
      <c r="D61" s="114" t="str">
        <f aca="false">IF(Checks!$U$65="","",Checks!$U$65)&amp;IF(Checks!$AB$65="","",CHAR(10)&amp;"CA: "&amp;Checks!$AB$65)</f>
        <v/>
      </c>
      <c r="E61" s="114" t="str">
        <f aca="false">IF(Checks!$V$65="","",Checks!$V$65)&amp;IF(Checks!$AC$65="","",IF(Checks!$V$65="","",CHAR(10))&amp;"N/A just.: "&amp;Checks!$AC$65)&amp;IF(Checks!$W$65="","",CHAR(10)&amp;"Batch: "&amp;Checks!$W$65)&amp;IF(AND(Checks!$X$65="",Checks!$Y$65=""),"",CHAR(10)&amp;"Exp: "&amp;Checks!$X$65&amp;"  /  Act: "&amp;Checks!$Y$65)</f>
        <v/>
      </c>
      <c r="F61" s="114" t="str">
        <f aca="false">IF(Checks!$Z$65="","","Evidence: "&amp;Checks!$Z$65)&amp;IF(Checks!$AA$65="","",IF(Checks!$Z$65="","",CHAR(10))&amp;"CA: "&amp;Checks!$AA$65)</f>
        <v/>
      </c>
      <c r="G61" s="114" t="str">
        <f aca="false">IF(ISNUMBER(Checks!$AD$65),TEXT(Checks!$AD$65,"DD-MMM-YY HH:MM")&amp;" "&amp;Checks!$P$65,"")&amp;IF(Checks!$AE$65="","",CHAR(10)&amp;"Verifier: "&amp;Checks!$AE$65)&amp;IF(Checks!$T$65="","",CHAR(10)&amp;"PIC: "&amp;Checks!$T$65)</f>
        <v/>
      </c>
      <c r="H61" s="115" t="str">
        <f aca="false">IF(Checks!$AH$65="","",Checks!$AH$65)</f>
        <v>OPEN</v>
      </c>
    </row>
    <row r="62" customFormat="false" ht="114" hidden="false" customHeight="true" outlineLevel="0" collapsed="false">
      <c r="A62" s="114" t="str">
        <f aca="false">Checks!$A$66&amp;CHAR(10)&amp;IF(Checks!$I$66="","",Checks!$I$66&amp;": ")&amp;Checks!$J$66</f>
        <v>F02-UPL-10
F&amp;B Linen: Linen bag - on board</v>
      </c>
      <c r="B62" s="114" t="str">
        <f aca="false">Checks!$K$66&amp;IF(Checks!$O$66="","",IF(Checks!$K$66="","",CHAR(10))&amp;"Note: "&amp;Checks!$O$66)</f>
        <v>Available (ticked in reference)</v>
      </c>
      <c r="C62" s="114" t="str">
        <f aca="false">Checks!$N$66&amp;CHAR(10)&amp;IF(ISNUMBER(Checks!$R$66),TEXT(Checks!$R$66,"DD-MMM-YY HH:MM"),"")&amp;" "&amp;Checks!$P$66</f>
        <v>Required
09-Oct-26 21:50 KUL</v>
      </c>
      <c r="D62" s="114" t="str">
        <f aca="false">IF(Checks!$U$66="","",Checks!$U$66)&amp;IF(Checks!$AB$66="","",CHAR(10)&amp;"CA: "&amp;Checks!$AB$66)</f>
        <v/>
      </c>
      <c r="E62" s="114" t="str">
        <f aca="false">IF(Checks!$V$66="","",Checks!$V$66)&amp;IF(Checks!$AC$66="","",IF(Checks!$V$66="","",CHAR(10))&amp;"N/A just.: "&amp;Checks!$AC$66)&amp;IF(Checks!$W$66="","",CHAR(10)&amp;"Batch: "&amp;Checks!$W$66)&amp;IF(AND(Checks!$X$66="",Checks!$Y$66=""),"",CHAR(10)&amp;"Exp: "&amp;Checks!$X$66&amp;"  /  Act: "&amp;Checks!$Y$66)</f>
        <v/>
      </c>
      <c r="F62" s="114" t="str">
        <f aca="false">IF(Checks!$Z$66="","","Evidence: "&amp;Checks!$Z$66)&amp;IF(Checks!$AA$66="","",IF(Checks!$Z$66="","",CHAR(10))&amp;"CA: "&amp;Checks!$AA$66)</f>
        <v/>
      </c>
      <c r="G62" s="114" t="str">
        <f aca="false">IF(ISNUMBER(Checks!$AD$66),TEXT(Checks!$AD$66,"DD-MMM-YY HH:MM")&amp;" "&amp;Checks!$P$66,"")&amp;IF(Checks!$AE$66="","",CHAR(10)&amp;"Verifier: "&amp;Checks!$AE$66)&amp;IF(Checks!$T$66="","",CHAR(10)&amp;"PIC: "&amp;Checks!$T$66)</f>
        <v/>
      </c>
      <c r="H62" s="115" t="str">
        <f aca="false">IF(Checks!$AH$66="","",Checks!$AH$66)</f>
        <v>OPEN</v>
      </c>
    </row>
    <row r="63" customFormat="false" ht="114" hidden="false" customHeight="true" outlineLevel="0" collapsed="false">
      <c r="A63" s="114" t="str">
        <f aca="false">Checks!$A$67&amp;CHAR(10)&amp;IF(Checks!$I$67="","",Checks!$I$67&amp;": ")&amp;Checks!$J$67</f>
        <v>F02-UPL-11
Seat Linen: Seat pillow (BS &amp; BC) - on board</v>
      </c>
      <c r="B63" s="114" t="str">
        <f aca="false">Checks!$K$67&amp;IF(Checks!$O$67="","",IF(Checks!$K$67="","",CHAR(10))&amp;"Note: "&amp;Checks!$O$67)</f>
        <v>Available 100% (ticked in reference)</v>
      </c>
      <c r="C63" s="114" t="str">
        <f aca="false">Checks!$N$67&amp;CHAR(10)&amp;IF(ISNUMBER(Checks!$R$67),TEXT(Checks!$R$67,"DD-MMM-YY HH:MM"),"")&amp;" "&amp;Checks!$P$67</f>
        <v>Required
09-Oct-26 21:50 KUL</v>
      </c>
      <c r="D63" s="114" t="str">
        <f aca="false">IF(Checks!$U$67="","",Checks!$U$67)&amp;IF(Checks!$AB$67="","",CHAR(10)&amp;"CA: "&amp;Checks!$AB$67)</f>
        <v/>
      </c>
      <c r="E63" s="114" t="str">
        <f aca="false">IF(Checks!$V$67="","",Checks!$V$67)&amp;IF(Checks!$AC$67="","",IF(Checks!$V$67="","",CHAR(10))&amp;"N/A just.: "&amp;Checks!$AC$67)&amp;IF(Checks!$W$67="","",CHAR(10)&amp;"Batch: "&amp;Checks!$W$67)&amp;IF(AND(Checks!$X$67="",Checks!$Y$67=""),"",CHAR(10)&amp;"Exp: "&amp;Checks!$X$67&amp;"  /  Act: "&amp;Checks!$Y$67)</f>
        <v/>
      </c>
      <c r="F63" s="114" t="str">
        <f aca="false">IF(Checks!$Z$67="","","Evidence: "&amp;Checks!$Z$67)&amp;IF(Checks!$AA$67="","",IF(Checks!$Z$67="","",CHAR(10))&amp;"CA: "&amp;Checks!$AA$67)</f>
        <v/>
      </c>
      <c r="G63" s="114" t="str">
        <f aca="false">IF(ISNUMBER(Checks!$AD$67),TEXT(Checks!$AD$67,"DD-MMM-YY HH:MM")&amp;" "&amp;Checks!$P$67,"")&amp;IF(Checks!$AE$67="","",CHAR(10)&amp;"Verifier: "&amp;Checks!$AE$67)&amp;IF(Checks!$T$67="","",CHAR(10)&amp;"PIC: "&amp;Checks!$T$67)</f>
        <v/>
      </c>
      <c r="H63" s="115" t="str">
        <f aca="false">IF(Checks!$AH$67="","",Checks!$AH$67)</f>
        <v>OPEN</v>
      </c>
    </row>
    <row r="64" customFormat="false" ht="114" hidden="false" customHeight="true" outlineLevel="0" collapsed="false">
      <c r="A64" s="114" t="str">
        <f aca="false">Checks!$A$68&amp;CHAR(10)&amp;IF(Checks!$I$68="","",Checks!$I$68&amp;": ")&amp;Checks!$J$68</f>
        <v>F02-UPL-12
Seat Linen: Blanket (BS &amp; BC) - on board</v>
      </c>
      <c r="B64" s="114" t="str">
        <f aca="false">Checks!$K$68&amp;IF(Checks!$O$68="","",IF(Checks!$K$68="","",CHAR(10))&amp;"Note: "&amp;Checks!$O$68)</f>
        <v>Available 100% (ticked in reference)</v>
      </c>
      <c r="C64" s="114" t="str">
        <f aca="false">Checks!$N$68&amp;CHAR(10)&amp;IF(ISNUMBER(Checks!$R$68),TEXT(Checks!$R$68,"DD-MMM-YY HH:MM"),"")&amp;" "&amp;Checks!$P$68</f>
        <v>Required
09-Oct-26 21:50 KUL</v>
      </c>
      <c r="D64" s="114" t="str">
        <f aca="false">IF(Checks!$U$68="","",Checks!$U$68)&amp;IF(Checks!$AB$68="","",CHAR(10)&amp;"CA: "&amp;Checks!$AB$68)</f>
        <v/>
      </c>
      <c r="E64" s="114" t="str">
        <f aca="false">IF(Checks!$V$68="","",Checks!$V$68)&amp;IF(Checks!$AC$68="","",IF(Checks!$V$68="","",CHAR(10))&amp;"N/A just.: "&amp;Checks!$AC$68)&amp;IF(Checks!$W$68="","",CHAR(10)&amp;"Batch: "&amp;Checks!$W$68)&amp;IF(AND(Checks!$X$68="",Checks!$Y$68=""),"",CHAR(10)&amp;"Exp: "&amp;Checks!$X$68&amp;"  /  Act: "&amp;Checks!$Y$68)</f>
        <v/>
      </c>
      <c r="F64" s="114" t="str">
        <f aca="false">IF(Checks!$Z$68="","","Evidence: "&amp;Checks!$Z$68)&amp;IF(Checks!$AA$68="","",IF(Checks!$Z$68="","",CHAR(10))&amp;"CA: "&amp;Checks!$AA$68)</f>
        <v/>
      </c>
      <c r="G64" s="114" t="str">
        <f aca="false">IF(ISNUMBER(Checks!$AD$68),TEXT(Checks!$AD$68,"DD-MMM-YY HH:MM")&amp;" "&amp;Checks!$P$68,"")&amp;IF(Checks!$AE$68="","",CHAR(10)&amp;"Verifier: "&amp;Checks!$AE$68)&amp;IF(Checks!$T$68="","",CHAR(10)&amp;"PIC: "&amp;Checks!$T$68)</f>
        <v/>
      </c>
      <c r="H64" s="115" t="str">
        <f aca="false">IF(Checks!$AH$68="","",Checks!$AH$68)</f>
        <v>OPEN</v>
      </c>
    </row>
    <row r="66" customFormat="false" ht="24" hidden="false" customHeight="true" outlineLevel="0" collapsed="false">
      <c r="A66" s="116" t="s">
        <v>1737</v>
      </c>
      <c r="B66" s="116"/>
      <c r="C66" s="116"/>
      <c r="D66" s="116"/>
      <c r="E66" s="116" t="s">
        <v>1738</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F02 MH0727 09-Oct-26 KUL-CGK Class BC</oddHeader>
    <oddFooter>&amp;L&amp;"Arial,Bold"&amp;8 F02 MH0727 09-Oct-26 KUL-CGK Class BC&amp;C&amp;"Arial,Regular"&amp;8 Printed: ____________________&amp;R&amp;"Arial,Regular"&amp;8 F02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F03  "&amp;Flights!$F$7&amp;"  "&amp;TEXT(Flights!$D$7,"DD-MMM-YY")&amp;" ("&amp;Flights!$E$7&amp;")  "&amp;Flights!$G$7&amp;" → "&amp;Flights!$H$7&amp;"  |  Class "&amp;Flights!$K$7</f>
        <v>SKYTRAX 2026 CATERING READINESS CHECKLIST  |  F03  MH0720  10-Oct-26 (SAT)  CGK → KUL  |  Class EY</v>
      </c>
      <c r="B1" s="92"/>
      <c r="C1" s="92"/>
      <c r="D1" s="92"/>
      <c r="E1" s="92"/>
      <c r="F1" s="92"/>
      <c r="G1" s="92"/>
      <c r="H1" s="92"/>
    </row>
    <row r="2" customFormat="false" ht="12.75" hidden="false" customHeight="true" outlineLevel="0" collapsed="false">
      <c r="A2" s="93" t="s">
        <v>1692</v>
      </c>
      <c r="B2" s="94" t="str">
        <f aca="false">Flights!$F$7&amp;"   "&amp;TEXT(Flights!$D$7,"DD-MMM-YY")&amp;" ("&amp;Flights!$E$7&amp;")"</f>
        <v>MH0720   10-Oct-26 (SAT)</v>
      </c>
      <c r="C2" s="94"/>
      <c r="D2" s="94"/>
      <c r="E2" s="95" t="s">
        <v>1693</v>
      </c>
      <c r="F2" s="96" t="str">
        <f aca="false">Flights!$AT$7</f>
        <v>NOT READY – DOCUMENTS</v>
      </c>
      <c r="G2" s="96"/>
      <c r="H2" s="96"/>
    </row>
    <row r="3" customFormat="false" ht="24" hidden="false" customHeight="true" outlineLevel="0" collapsed="false">
      <c r="A3" s="93" t="s">
        <v>1694</v>
      </c>
      <c r="B3" s="94" t="str">
        <f aca="false">Flights!$G$7&amp;" → "&amp;Flights!$H$7&amp;"   Class "&amp;Flights!$K$7&amp;"   Seat "&amp;Flights!$O$7</f>
        <v>CGK → KUL   Class EY   Seat 11C</v>
      </c>
      <c r="C3" s="94"/>
      <c r="D3" s="94"/>
      <c r="E3" s="95" t="s">
        <v>71</v>
      </c>
      <c r="F3" s="95" t="s">
        <v>1695</v>
      </c>
      <c r="G3" s="95" t="s">
        <v>1696</v>
      </c>
      <c r="H3" s="95"/>
    </row>
    <row r="4" customFormat="false" ht="24" hidden="false" customHeight="true" outlineLevel="0" collapsed="false">
      <c r="A4" s="93" t="s">
        <v>1697</v>
      </c>
      <c r="B4" s="94" t="str">
        <f aca="false">IF(ISNUMBER(Flights!$I$7),TEXT(Flights!$I$7,"DD-MMM-YY HH:MM"),"")&amp;" "&amp;Flights!$G$7&amp;"  →  "&amp;IF(ISNUMBER(Flights!$J$7),TEXT(Flights!$J$7,"DD-MMM-YY HH:MM"),"")&amp;" "&amp;Flights!$H$7</f>
        <v>10-Oct-26 16:05 CGK  →  10-Oct-26 19:25 KUL</v>
      </c>
      <c r="C4" s="94"/>
      <c r="D4" s="94"/>
      <c r="E4" s="93" t="s">
        <v>1698</v>
      </c>
      <c r="F4" s="97" t="str">
        <f aca="false">IF(ISNUMBER(Flights!$AG$7),TEXT(Flights!$AG$7,"DD-MMM-YY HH:MM"),"")&amp;" "&amp;Flights!$V$7</f>
        <v>03-Oct-26 16:05 CGK</v>
      </c>
      <c r="G4" s="98" t="n">
        <f aca="false">Flights!$AJ$7</f>
        <v>0</v>
      </c>
      <c r="H4" s="98"/>
    </row>
    <row r="5" customFormat="false" ht="24" hidden="false" customHeight="true" outlineLevel="0" collapsed="false">
      <c r="A5" s="93" t="s">
        <v>1699</v>
      </c>
      <c r="B5" s="94" t="str">
        <f aca="false">Flights!$L$7&amp;" – "&amp;Flights!$M$7</f>
        <v>A333 – A330-300 (A333)</v>
      </c>
      <c r="C5" s="94"/>
      <c r="D5" s="94"/>
      <c r="E5" s="93" t="s">
        <v>1700</v>
      </c>
      <c r="F5" s="97" t="str">
        <f aca="false">IF(ISNUMBER(Flights!$AH$7),TEXT(Flights!$AH$7,"DD-MMM-YY HH:MM"),"")&amp;" "&amp;Flights!$V$7</f>
        <v>09-Oct-26 16:05 CGK</v>
      </c>
      <c r="G5" s="98" t="n">
        <f aca="false">Flights!$AK$7</f>
        <v>0</v>
      </c>
      <c r="H5" s="98"/>
    </row>
    <row r="6" customFormat="false" ht="24" hidden="false" customHeight="true" outlineLevel="0" collapsed="false">
      <c r="A6" s="93" t="s">
        <v>1701</v>
      </c>
      <c r="B6" s="94" t="str">
        <f aca="false">IF(TRIM(Flights!$N$7)="","__________________",Flights!$N$7)</f>
        <v>__________________</v>
      </c>
      <c r="C6" s="94"/>
      <c r="D6" s="94"/>
      <c r="E6" s="93" t="s">
        <v>1702</v>
      </c>
      <c r="F6" s="97" t="str">
        <f aca="false">IF(ISNUMBER(Flights!$AI$7),TEXT(Flights!$AI$7,"DD-MMM-YY HH:MM"),"")&amp;" "&amp;Flights!$V$7&amp;IF(Flights!$AI$7=Flights!$AH$7,"  (= T-24H due)","")</f>
        <v>10-Oct-26 04:05 CGK</v>
      </c>
      <c r="G6" s="98" t="n">
        <f aca="false">Flights!$AL$7</f>
        <v>0</v>
      </c>
      <c r="H6" s="98"/>
    </row>
    <row r="7" customFormat="false" ht="24" hidden="false" customHeight="true" outlineLevel="0" collapsed="false">
      <c r="A7" s="93" t="s">
        <v>1703</v>
      </c>
      <c r="B7" s="94" t="str">
        <f aca="false">Flights!$T$7</f>
        <v>1 Meal (Meal)</v>
      </c>
      <c r="C7" s="94"/>
      <c r="D7" s="94"/>
      <c r="E7" s="93" t="s">
        <v>1704</v>
      </c>
      <c r="F7" s="97" t="str">
        <f aca="false">"STD "&amp;IF(ISNUMBER(Flights!$I$7),TEXT(Flights!$I$7,"DD-MMM-YY HH:MM"),"")&amp;" "&amp;Flights!$G$7&amp;" (dep stn)"</f>
        <v>STD 10-Oct-26 16:05 CGK (dep stn)</v>
      </c>
      <c r="G7" s="98" t="n">
        <f aca="false">Flights!$AM$7</f>
        <v>0</v>
      </c>
      <c r="H7" s="98"/>
    </row>
    <row r="8" customFormat="false" ht="12.75" hidden="false" customHeight="true" outlineLevel="0" collapsed="false">
      <c r="A8" s="93" t="s">
        <v>153</v>
      </c>
      <c r="B8" s="94" t="str">
        <f aca="false">Flights!$V$7&amp;"   (reference uplift stns: "&amp;Flights!$U$7&amp;")"</f>
        <v>CGK   (reference uplift stns: KUL/CGK)</v>
      </c>
      <c r="C8" s="94"/>
      <c r="D8" s="94"/>
      <c r="E8" s="93" t="s">
        <v>1705</v>
      </c>
      <c r="F8" s="99" t="s">
        <v>1706</v>
      </c>
      <c r="G8" s="98" t="n">
        <f aca="false">Flights!$AN$7</f>
        <v>0</v>
      </c>
      <c r="H8" s="98"/>
    </row>
    <row r="9" customFormat="false" ht="12.75" hidden="false" customHeight="true" outlineLevel="0" collapsed="false">
      <c r="A9" s="93" t="s">
        <v>1707</v>
      </c>
      <c r="B9" s="94" t="str">
        <f aca="false">TRIM(Flights!$P$7&amp;"  "&amp;Flights!$Q$7)</f>
        <v>-</v>
      </c>
      <c r="C9" s="94"/>
      <c r="D9" s="94"/>
      <c r="E9" s="93" t="s">
        <v>1708</v>
      </c>
      <c r="F9" s="100" t="n">
        <f aca="false">Flights!$AP$7</f>
        <v>0</v>
      </c>
      <c r="G9" s="100" t="n">
        <f aca="false">Flights!$AQ$7</f>
        <v>0</v>
      </c>
      <c r="H9" s="100" t="n">
        <f aca="false">Flights!$AU$7</f>
        <v>0</v>
      </c>
    </row>
    <row r="10" customFormat="false" ht="24" hidden="false" customHeight="true" outlineLevel="0" collapsed="false">
      <c r="A10" s="93" t="s">
        <v>1709</v>
      </c>
      <c r="B10" s="94" t="str">
        <f aca="false">IF(TRIM(Flights!$X$7)="","__________________",Flights!$X$7)</f>
        <v>__________________</v>
      </c>
      <c r="C10" s="94"/>
      <c r="D10" s="94"/>
      <c r="E10" s="93" t="s">
        <v>1710</v>
      </c>
      <c r="F10" s="100" t="n">
        <f aca="false">Flights!$AO$7</f>
        <v>20</v>
      </c>
      <c r="G10" s="100" t="n">
        <f aca="false">Flights!$AS$7</f>
        <v>0</v>
      </c>
      <c r="H10" s="100" t="n">
        <f aca="false">Flights!$AR$7</f>
        <v>2</v>
      </c>
    </row>
    <row r="11" customFormat="false" ht="21" hidden="false" customHeight="true" outlineLevel="0" collapsed="false">
      <c r="A11" s="93" t="s">
        <v>1711</v>
      </c>
      <c r="B11" s="94" t="str">
        <f aca="false">IF(TRIM(Flights!$Y$7)="","__________________",Flights!$Y$7)</f>
        <v>__________________</v>
      </c>
      <c r="C11" s="94"/>
      <c r="D11" s="94"/>
      <c r="E11" s="93" t="s">
        <v>1712</v>
      </c>
      <c r="F11" s="100" t="str">
        <f aca="false">Flights!$AV$7&amp;" / "&amp;Flights!$AW$7</f>
        <v>0 / 20</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IF(Documents!$F$7="","",Documents!$F$7)</f>
        <v/>
      </c>
      <c r="C14" s="99" t="str">
        <f aca="false">IF(Documents!$G$7="","",Documents!$G$7)&amp;IF(ISNUMBER(Documents!$H$7),"  "&amp;TEXT(Documents!$H$7,"DD-MMM-YY"),"")</f>
        <v/>
      </c>
      <c r="D14" s="99"/>
      <c r="E14" s="107" t="str">
        <f aca="false">IF(Documents!$J$7="OUTSTANDING","OUTSTANDING – attach before T-7D (due "&amp;IF(ISNUMBER(Flights!$AG$7),TEXT(Flights!$AG$7,"DD-MMM-YY HH:MM"),"")&amp;" "&amp;Flights!$V$7&amp;")",IF(Documents!$J$7="","Status not recorded",Documents!$J$7))</f>
        <v>OUTSTANDING – attach before T-7D (due 03-Oct-26 16:05 CGK)</v>
      </c>
      <c r="F14" s="108" t="str">
        <f aca="false">"Staple behind this sheet as page A1."&amp;IF(Documents!$I$7="",""," Location: "&amp;Documents!$I$7)</f>
        <v>Staple behind this sheet as page A1.</v>
      </c>
      <c r="G14" s="108"/>
      <c r="H14" s="108"/>
    </row>
    <row r="15" customFormat="false" ht="36" hidden="false" customHeight="true" outlineLevel="0" collapsed="false">
      <c r="A15" s="93" t="s">
        <v>1723</v>
      </c>
      <c r="B15" s="94" t="str">
        <f aca="false">IF(Documents!$K$7="","",Documents!$K$7)</f>
        <v/>
      </c>
      <c r="C15" s="99" t="str">
        <f aca="false">IF(Documents!$L$7="","",Documents!$L$7)&amp;IF(ISNUMBER(Documents!$M$7),"  "&amp;TEXT(Documents!$M$7,"DD-MMM-YY"),"")</f>
        <v/>
      </c>
      <c r="D15" s="99"/>
      <c r="E15" s="107" t="str">
        <f aca="false">IF(Documents!$O$7="OUTSTANDING","OUTSTANDING – attach before T-7D (due "&amp;IF(ISNUMBER(Flights!$AG$7),TEXT(Flights!$AG$7,"DD-MMM-YY HH:MM"),"")&amp;" "&amp;Flights!$V$7&amp;")",IF(Documents!$O$7="","Status not recorded",Documents!$O$7))</f>
        <v>OUTSTANDING – attach before T-7D (due 03-Oct-26 16:05 CGK)</v>
      </c>
      <c r="F15" s="108" t="str">
        <f aca="false">"Staple behind this sheet as page A2."&amp;IF(Documents!$N$7="",""," Location: "&amp;Documents!$N$7)</f>
        <v>Staple behind this sheet as page A2.</v>
      </c>
      <c r="G15" s="108"/>
      <c r="H15" s="108"/>
    </row>
    <row r="16" customFormat="false" ht="22.5" hidden="false" customHeight="true" outlineLevel="0" collapsed="false">
      <c r="A16" s="93" t="s">
        <v>1724</v>
      </c>
      <c r="B16" s="109" t="str">
        <f aca="false">IF(Documents!$Q$7="","",Documents!$Q$7)</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"&amp;IF(TRIM(Flights!$Y$7)="","__________________",Flights!$Y$7)</f>
        <v>Name: __________________</v>
      </c>
      <c r="B18" s="94"/>
      <c r="C18" s="94" t="str">
        <f aca="false">"Name: __________________"</f>
        <v>Name: __________________</v>
      </c>
      <c r="D18" s="94"/>
      <c r="E18" s="94"/>
      <c r="F18" s="94" t="str">
        <f aca="false">"Name: __________________"&amp;"   Station: "&amp;Flights!$V$7</f>
        <v>Name: __________________   Station: CGK</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"&amp;IF(ISNUMBER(Flights!$AG$7),TEXT(Flights!$AG$7,"DD-MMM-YY HH:MM"),"")&amp;" "&amp;Flights!$V$7&amp;" (meal uplift stn)"&amp;" (rows with another due show their own)  |  Complete "&amp;IF(ISNUMBER(Flights!$AJ$7),TEXT(Flights!$AJ$7,"0%"),Flights!$AJ$7)&amp;"  |  9 lines"</f>
        <v>T-7D — 7 days before departure  |  Due 03-Oct-26 16:05 CGK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Checks!$A$69&amp;CHAR(10)&amp;IF(Checks!$I$69="","",Checks!$I$69&amp;": ")&amp;Checks!$J$69</f>
        <v>F03-T7-01
Meal: Meal sensory testing completed for this flight's menu cycle (assessed class)</v>
      </c>
      <c r="B23" s="114" t="str">
        <f aca="false">Checks!$K$69&amp;IF(Checks!$O$69="","",IF(Checks!$K$69="","",CHAR(10))&amp;"Note: "&amp;Checks!$O$69)</f>
        <v>Record panel result / score in Result</v>
      </c>
      <c r="C23" s="114" t="str">
        <f aca="false">Checks!$N$69&amp;CHAR(10)&amp;IF(ISNUMBER(Checks!$R$69),TEXT(Checks!$R$69,"DD-MMM-YY HH:MM"),"")&amp;" "&amp;Checks!$P$69</f>
        <v>Required
03-Oct-26 16:05 CGK</v>
      </c>
      <c r="D23" s="114" t="str">
        <f aca="false">IF(Checks!$U$69="","",Checks!$U$69)&amp;IF(Checks!$AB$69="","",CHAR(10)&amp;"CA: "&amp;Checks!$AB$69)</f>
        <v/>
      </c>
      <c r="E23" s="114" t="str">
        <f aca="false">IF(Checks!$V$69="","",Checks!$V$69)&amp;IF(Checks!$AC$69="","",IF(Checks!$V$69="","",CHAR(10))&amp;"N/A just.: "&amp;Checks!$AC$69)&amp;IF(Checks!$W$69="","",CHAR(10)&amp;"Batch: "&amp;Checks!$W$69)&amp;IF(AND(Checks!$X$69="",Checks!$Y$69=""),"",CHAR(10)&amp;"Exp: "&amp;Checks!$X$69&amp;"  /  Act: "&amp;Checks!$Y$69)</f>
        <v/>
      </c>
      <c r="F23" s="114" t="str">
        <f aca="false">IF(Checks!$Z$69="","","Evidence: "&amp;Checks!$Z$69)&amp;IF(Checks!$AA$69="","",IF(Checks!$Z$69="","",CHAR(10))&amp;"CA: "&amp;Checks!$AA$69)</f>
        <v/>
      </c>
      <c r="G23" s="114" t="str">
        <f aca="false">IF(ISNUMBER(Checks!$AD$69),TEXT(Checks!$AD$69,"DD-MMM-YY HH:MM")&amp;" "&amp;Checks!$P$69,"")&amp;IF(Checks!$AE$69="","",CHAR(10)&amp;"Verifier: "&amp;Checks!$AE$69)&amp;IF(Checks!$T$69="","",CHAR(10)&amp;"PIC: "&amp;Checks!$T$69)</f>
        <v/>
      </c>
      <c r="H23" s="115" t="str">
        <f aca="false">IF(Checks!$AH$69="","",Checks!$AH$69)</f>
        <v>OPEN</v>
      </c>
    </row>
    <row r="24" customFormat="false" ht="114" hidden="false" customHeight="true" outlineLevel="0" collapsed="false">
      <c r="A24" s="114" t="str">
        <f aca="false">Checks!$A$70&amp;CHAR(10)&amp;IF(Checks!$I$70="","",Checks!$I$70&amp;": ")&amp;Checks!$J$70</f>
        <v>F03-T7-02
Menu: Printed menu cards confirmed (content, cycle, language, quantity)</v>
      </c>
      <c r="B24" s="114" t="str">
        <f aca="false">Checks!$K$70&amp;IF(Checks!$O$70="","",IF(Checks!$K$70="","",CHAR(10))&amp;"Note: "&amp;Checks!$O$70)</f>
        <v>Menu card matches approved menu for this flight</v>
      </c>
      <c r="C24" s="114" t="str">
        <f aca="false">Checks!$N$70&amp;CHAR(10)&amp;IF(ISNUMBER(Checks!$R$70),TEXT(Checks!$R$70,"DD-MMM-YY HH:MM"),"")&amp;" "&amp;Checks!$P$70</f>
        <v>Required
03-Oct-26 16:05 CGK</v>
      </c>
      <c r="D24" s="114" t="str">
        <f aca="false">IF(Checks!$U$70="","",Checks!$U$70)&amp;IF(Checks!$AB$70="","",CHAR(10)&amp;"CA: "&amp;Checks!$AB$70)</f>
        <v/>
      </c>
      <c r="E24" s="114" t="str">
        <f aca="false">IF(Checks!$V$70="","",Checks!$V$70)&amp;IF(Checks!$AC$70="","",IF(Checks!$V$70="","",CHAR(10))&amp;"N/A just.: "&amp;Checks!$AC$70)&amp;IF(Checks!$W$70="","",CHAR(10)&amp;"Batch: "&amp;Checks!$W$70)&amp;IF(AND(Checks!$X$70="",Checks!$Y$70=""),"",CHAR(10)&amp;"Exp: "&amp;Checks!$X$70&amp;"  /  Act: "&amp;Checks!$Y$70)</f>
        <v/>
      </c>
      <c r="F24" s="114" t="str">
        <f aca="false">IF(Checks!$Z$70="","","Evidence: "&amp;Checks!$Z$70)&amp;IF(Checks!$AA$70="","",IF(Checks!$Z$70="","",CHAR(10))&amp;"CA: "&amp;Checks!$AA$70)</f>
        <v/>
      </c>
      <c r="G24" s="114" t="str">
        <f aca="false">IF(ISNUMBER(Checks!$AD$70),TEXT(Checks!$AD$70,"DD-MMM-YY HH:MM")&amp;" "&amp;Checks!$P$70,"")&amp;IF(Checks!$AE$70="","",CHAR(10)&amp;"Verifier: "&amp;Checks!$AE$70)&amp;IF(Checks!$T$70="","",CHAR(10)&amp;"PIC: "&amp;Checks!$T$70)</f>
        <v/>
      </c>
      <c r="H24" s="115" t="str">
        <f aca="false">IF(Checks!$AH$70="","",Checks!$AH$70)</f>
        <v>OPEN</v>
      </c>
    </row>
    <row r="25" customFormat="false" ht="114" hidden="false" customHeight="true" outlineLevel="0" collapsed="false">
      <c r="A25" s="114" t="str">
        <f aca="false">Checks!$A$71&amp;CHAR(10)&amp;IF(Checks!$I$71="","",Checks!$I$71&amp;": ")&amp;Checks!$J$71</f>
        <v>F03-T7-03
IFE: Digital menu in IFE confirmed (A339 only)</v>
      </c>
      <c r="B25" s="114" t="str">
        <f aca="false">Checks!$K$71&amp;IF(Checks!$O$71="","",IF(Checks!$K$71="","",CHAR(10))&amp;"Note: "&amp;Checks!$O$71)</f>
        <v>Applies when fleet = A339
Note: Digital IFE menu applies to A339 only (user brief). Applicability follows the Fleet cell on Flights.</v>
      </c>
      <c r="C25" s="114" t="str">
        <f aca="false">Checks!$N$71&amp;CHAR(10)&amp;IF(ISNUMBER(Checks!$R$71),TEXT(Checks!$R$71,"DD-MMM-YY HH:MM"),"")&amp;" "&amp;Checks!$P$71</f>
        <v>N/A – rule
03-Oct-26 16:05 CGK</v>
      </c>
      <c r="D25" s="114" t="str">
        <f aca="false">IF(Checks!$U$71="","",Checks!$U$71)&amp;IF(Checks!$AB$71="","",CHAR(10)&amp;"CA: "&amp;Checks!$AB$71)</f>
        <v/>
      </c>
      <c r="E25" s="114" t="str">
        <f aca="false">IF(Checks!$V$71="","",Checks!$V$71)&amp;IF(Checks!$AC$71="","",IF(Checks!$V$71="","",CHAR(10))&amp;"N/A just.: "&amp;Checks!$AC$71)&amp;IF(Checks!$W$71="","",CHAR(10)&amp;"Batch: "&amp;Checks!$W$71)&amp;IF(AND(Checks!$X$71="",Checks!$Y$71=""),"",CHAR(10)&amp;"Exp: "&amp;Checks!$X$71&amp;"  /  Act: "&amp;Checks!$Y$71)</f>
        <v/>
      </c>
      <c r="F25" s="114" t="str">
        <f aca="false">IF(Checks!$Z$71="","","Evidence: "&amp;Checks!$Z$71)&amp;IF(Checks!$AA$71="","",IF(Checks!$Z$71="","",CHAR(10))&amp;"CA: "&amp;Checks!$AA$71)</f>
        <v/>
      </c>
      <c r="G25" s="114" t="str">
        <f aca="false">IF(ISNUMBER(Checks!$AD$71),TEXT(Checks!$AD$71,"DD-MMM-YY HH:MM")&amp;" "&amp;Checks!$P$71,"")&amp;IF(Checks!$AE$71="","",CHAR(10)&amp;"Verifier: "&amp;Checks!$AE$71)&amp;IF(Checks!$T$71="","",CHAR(10)&amp;"PIC: "&amp;Checks!$T$71)</f>
        <v/>
      </c>
      <c r="H25" s="115" t="str">
        <f aca="false">IF(Checks!$AH$71="","",Checks!$AH$71)</f>
        <v>N/A – RULE</v>
      </c>
    </row>
    <row r="26" customFormat="false" ht="114" hidden="false" customHeight="true" outlineLevel="0" collapsed="false">
      <c r="A26" s="114" t="str">
        <f aca="false">Checks!$A$72&amp;CHAR(10)&amp;IF(Checks!$I$72="","",Checks!$I$72&amp;": ")&amp;Checks!$J$72</f>
        <v>F03-T7-04
Staffing: Experienced catering officer assigned to this flight</v>
      </c>
      <c r="B26" s="114" t="str">
        <f aca="false">Checks!$K$72&amp;IF(Checks!$O$72="","",IF(Checks!$K$72="","",CHAR(10))&amp;"Note: "&amp;Checks!$O$72)</f>
        <v>Record officer name in Result</v>
      </c>
      <c r="C26" s="114" t="str">
        <f aca="false">Checks!$N$72&amp;CHAR(10)&amp;IF(ISNUMBER(Checks!$R$72),TEXT(Checks!$R$72,"DD-MMM-YY HH:MM"),"")&amp;" "&amp;Checks!$P$72</f>
        <v>Required
03-Oct-26 16:05 CGK</v>
      </c>
      <c r="D26" s="114" t="str">
        <f aca="false">IF(Checks!$U$72="","",Checks!$U$72)&amp;IF(Checks!$AB$72="","",CHAR(10)&amp;"CA: "&amp;Checks!$AB$72)</f>
        <v/>
      </c>
      <c r="E26" s="114" t="str">
        <f aca="false">IF(Checks!$V$72="","",Checks!$V$72)&amp;IF(Checks!$AC$72="","",IF(Checks!$V$72="","",CHAR(10))&amp;"N/A just.: "&amp;Checks!$AC$72)&amp;IF(Checks!$W$72="","",CHAR(10)&amp;"Batch: "&amp;Checks!$W$72)&amp;IF(AND(Checks!$X$72="",Checks!$Y$72=""),"",CHAR(10)&amp;"Exp: "&amp;Checks!$X$72&amp;"  /  Act: "&amp;Checks!$Y$72)</f>
        <v/>
      </c>
      <c r="F26" s="114" t="str">
        <f aca="false">IF(Checks!$Z$72="","","Evidence: "&amp;Checks!$Z$72)&amp;IF(Checks!$AA$72="","",IF(Checks!$Z$72="","",CHAR(10))&amp;"CA: "&amp;Checks!$AA$72)</f>
        <v/>
      </c>
      <c r="G26" s="114" t="str">
        <f aca="false">IF(ISNUMBER(Checks!$AD$72),TEXT(Checks!$AD$72,"DD-MMM-YY HH:MM")&amp;" "&amp;Checks!$P$72,"")&amp;IF(Checks!$AE$72="","",CHAR(10)&amp;"Verifier: "&amp;Checks!$AE$72)&amp;IF(Checks!$T$72="","",CHAR(10)&amp;"PIC: "&amp;Checks!$T$72)</f>
        <v/>
      </c>
      <c r="H26" s="115" t="str">
        <f aca="false">IF(Checks!$AH$72="","",Checks!$AH$72)</f>
        <v>OPEN</v>
      </c>
    </row>
    <row r="27" customFormat="false" ht="114" hidden="false" customHeight="true" outlineLevel="0" collapsed="false">
      <c r="A27" s="114" t="str">
        <f aca="false">Checks!$A$73&amp;CHAR(10)&amp;IF(Checks!$I$73="","",Checks!$I$73&amp;": ")&amp;Checks!$J$73</f>
        <v>F03-T7-05
ISOP: All latest applicable ISOP revisions communicated to caterer</v>
      </c>
      <c r="B27" s="114" t="str">
        <f aca="false">Checks!$K$73&amp;IF(Checks!$O$73="","",IF(Checks!$K$73="","",CHAR(10))&amp;"Note: "&amp;Checks!$O$73)</f>
        <v>List revision numbers in Result (see ISOP register)</v>
      </c>
      <c r="C27" s="114" t="str">
        <f aca="false">Checks!$N$73&amp;CHAR(10)&amp;IF(ISNUMBER(Checks!$R$73),TEXT(Checks!$R$73,"DD-MMM-YY HH:MM"),"")&amp;" "&amp;Checks!$P$73</f>
        <v>Required
03-Oct-26 16:05 CGK</v>
      </c>
      <c r="D27" s="114" t="str">
        <f aca="false">IF(Checks!$U$73="","",Checks!$U$73)&amp;IF(Checks!$AB$73="","",CHAR(10)&amp;"CA: "&amp;Checks!$AB$73)</f>
        <v/>
      </c>
      <c r="E27" s="114" t="str">
        <f aca="false">IF(Checks!$V$73="","",Checks!$V$73)&amp;IF(Checks!$AC$73="","",IF(Checks!$V$73="","",CHAR(10))&amp;"N/A just.: "&amp;Checks!$AC$73)&amp;IF(Checks!$W$73="","",CHAR(10)&amp;"Batch: "&amp;Checks!$W$73)&amp;IF(AND(Checks!$X$73="",Checks!$Y$73=""),"",CHAR(10)&amp;"Exp: "&amp;Checks!$X$73&amp;"  /  Act: "&amp;Checks!$Y$73)</f>
        <v/>
      </c>
      <c r="F27" s="114" t="str">
        <f aca="false">IF(Checks!$Z$73="","","Evidence: "&amp;Checks!$Z$73)&amp;IF(Checks!$AA$73="","",IF(Checks!$Z$73="","",CHAR(10))&amp;"CA: "&amp;Checks!$AA$73)</f>
        <v/>
      </c>
      <c r="G27" s="114" t="str">
        <f aca="false">IF(ISNUMBER(Checks!$AD$73),TEXT(Checks!$AD$73,"DD-MMM-YY HH:MM")&amp;" "&amp;Checks!$P$73,"")&amp;IF(Checks!$AE$73="","",CHAR(10)&amp;"Verifier: "&amp;Checks!$AE$73)&amp;IF(Checks!$T$73="","",CHAR(10)&amp;"PIC: "&amp;Checks!$T$73)</f>
        <v/>
      </c>
      <c r="H27" s="115" t="str">
        <f aca="false">IF(Checks!$AH$73="","",Checks!$AH$73)</f>
        <v>OPEN</v>
      </c>
    </row>
    <row r="28" customFormat="false" ht="114" hidden="false" customHeight="true" outlineLevel="0" collapsed="false">
      <c r="A28" s="114" t="str">
        <f aca="false">Checks!$A$74&amp;CHAR(10)&amp;IF(Checks!$I$74="","",Checks!$I$74&amp;": ")&amp;Checks!$J$74</f>
        <v>F03-T7-06
ISOP: Caterer acknowledgement of ISOP revisions recorded</v>
      </c>
      <c r="B28" s="114" t="str">
        <f aca="false">Checks!$K$74&amp;IF(Checks!$O$74="","",IF(Checks!$K$74="","",CHAR(10))&amp;"Note: "&amp;Checks!$O$74)</f>
        <v>Record acknowledgement ref in Evidence</v>
      </c>
      <c r="C28" s="114" t="str">
        <f aca="false">Checks!$N$74&amp;CHAR(10)&amp;IF(ISNUMBER(Checks!$R$74),TEXT(Checks!$R$74,"DD-MMM-YY HH:MM"),"")&amp;" "&amp;Checks!$P$74</f>
        <v>Required
03-Oct-26 16:05 CGK</v>
      </c>
      <c r="D28" s="114" t="str">
        <f aca="false">IF(Checks!$U$74="","",Checks!$U$74)&amp;IF(Checks!$AB$74="","",CHAR(10)&amp;"CA: "&amp;Checks!$AB$74)</f>
        <v/>
      </c>
      <c r="E28" s="114" t="str">
        <f aca="false">IF(Checks!$V$74="","",Checks!$V$74)&amp;IF(Checks!$AC$74="","",IF(Checks!$V$74="","",CHAR(10))&amp;"N/A just.: "&amp;Checks!$AC$74)&amp;IF(Checks!$W$74="","",CHAR(10)&amp;"Batch: "&amp;Checks!$W$74)&amp;IF(AND(Checks!$X$74="",Checks!$Y$74=""),"",CHAR(10)&amp;"Exp: "&amp;Checks!$X$74&amp;"  /  Act: "&amp;Checks!$Y$74)</f>
        <v/>
      </c>
      <c r="F28" s="114" t="str">
        <f aca="false">IF(Checks!$Z$74="","","Evidence: "&amp;Checks!$Z$74)&amp;IF(Checks!$AA$74="","",IF(Checks!$Z$74="","",CHAR(10))&amp;"CA: "&amp;Checks!$AA$74)</f>
        <v/>
      </c>
      <c r="G28" s="114" t="str">
        <f aca="false">IF(ISNUMBER(Checks!$AD$74),TEXT(Checks!$AD$74,"DD-MMM-YY HH:MM")&amp;" "&amp;Checks!$P$74,"")&amp;IF(Checks!$AE$74="","",CHAR(10)&amp;"Verifier: "&amp;Checks!$AE$74)&amp;IF(Checks!$T$74="","",CHAR(10)&amp;"PIC: "&amp;Checks!$T$74)</f>
        <v/>
      </c>
      <c r="H28" s="115" t="str">
        <f aca="false">IF(Checks!$AH$74="","",Checks!$AH$74)</f>
        <v>OPEN</v>
      </c>
    </row>
    <row r="29" customFormat="false" ht="114" hidden="false" customHeight="true" outlineLevel="0" collapsed="false">
      <c r="A29" s="114" t="str">
        <f aca="false">Checks!$A$75&amp;CHAR(10)&amp;IF(Checks!$I$75="","",Checks!$I$75&amp;": ")&amp;Checks!$J$75</f>
        <v>F03-T7-07
Documents: Galley loading diagram (GLD) received, revision recorded &amp; attached</v>
      </c>
      <c r="B29" s="114" t="str">
        <f aca="false">Checks!$K$75&amp;IF(Checks!$O$75="","",IF(Checks!$K$75="","",CHAR(10))&amp;"Note: "&amp;Checks!$O$75)</f>
        <v>Documents sheet row complete</v>
      </c>
      <c r="C29" s="114" t="str">
        <f aca="false">Checks!$N$75&amp;CHAR(10)&amp;IF(ISNUMBER(Checks!$R$75),TEXT(Checks!$R$75,"DD-MMM-YY HH:MM"),"")&amp;" "&amp;Checks!$P$75</f>
        <v>Required
03-Oct-26 16:05 CGK</v>
      </c>
      <c r="D29" s="114" t="str">
        <f aca="false">IF(Checks!$U$75="","",Checks!$U$75)&amp;IF(Checks!$AB$75="","",CHAR(10)&amp;"CA: "&amp;Checks!$AB$75)</f>
        <v/>
      </c>
      <c r="E29" s="114" t="str">
        <f aca="false">IF(Checks!$V$75="","",Checks!$V$75)&amp;IF(Checks!$AC$75="","",IF(Checks!$V$75="","",CHAR(10))&amp;"N/A just.: "&amp;Checks!$AC$75)&amp;IF(Checks!$W$75="","",CHAR(10)&amp;"Batch: "&amp;Checks!$W$75)&amp;IF(AND(Checks!$X$75="",Checks!$Y$75=""),"",CHAR(10)&amp;"Exp: "&amp;Checks!$X$75&amp;"  /  Act: "&amp;Checks!$Y$75)</f>
        <v/>
      </c>
      <c r="F29" s="114" t="str">
        <f aca="false">IF(Checks!$Z$75="","","Evidence: "&amp;Checks!$Z$75)&amp;IF(Checks!$AA$75="","",IF(Checks!$Z$75="","",CHAR(10))&amp;"CA: "&amp;Checks!$AA$75)</f>
        <v/>
      </c>
      <c r="G29" s="114" t="str">
        <f aca="false">IF(ISNUMBER(Checks!$AD$75),TEXT(Checks!$AD$75,"DD-MMM-YY HH:MM")&amp;" "&amp;Checks!$P$75,"")&amp;IF(Checks!$AE$75="","",CHAR(10)&amp;"Verifier: "&amp;Checks!$AE$75)&amp;IF(Checks!$T$75="","",CHAR(10)&amp;"PIC: "&amp;Checks!$T$75)</f>
        <v/>
      </c>
      <c r="H29" s="115" t="str">
        <f aca="false">IF(Checks!$AH$75="","",Checks!$AH$75)</f>
        <v>OPEN</v>
      </c>
    </row>
    <row r="30" customFormat="false" ht="114" hidden="false" customHeight="true" outlineLevel="0" collapsed="false">
      <c r="A30" s="114" t="str">
        <f aca="false">Checks!$A$76&amp;CHAR(10)&amp;IF(Checks!$I$76="","",Checks!$I$76&amp;": ")&amp;Checks!$J$76</f>
        <v>F03-T7-08
Documents: Menu checklist received, revision recorded &amp; attached</v>
      </c>
      <c r="B30" s="114" t="str">
        <f aca="false">Checks!$K$76&amp;IF(Checks!$O$76="","",IF(Checks!$K$76="","",CHAR(10))&amp;"Note: "&amp;Checks!$O$76)</f>
        <v>Documents sheet row complete</v>
      </c>
      <c r="C30" s="114" t="str">
        <f aca="false">Checks!$N$76&amp;CHAR(10)&amp;IF(ISNUMBER(Checks!$R$76),TEXT(Checks!$R$76,"DD-MMM-YY HH:MM"),"")&amp;" "&amp;Checks!$P$76</f>
        <v>Required
03-Oct-26 16:05 CGK</v>
      </c>
      <c r="D30" s="114" t="str">
        <f aca="false">IF(Checks!$U$76="","",Checks!$U$76)&amp;IF(Checks!$AB$76="","",CHAR(10)&amp;"CA: "&amp;Checks!$AB$76)</f>
        <v/>
      </c>
      <c r="E30" s="114" t="str">
        <f aca="false">IF(Checks!$V$76="","",Checks!$V$76)&amp;IF(Checks!$AC$76="","",IF(Checks!$V$76="","",CHAR(10))&amp;"N/A just.: "&amp;Checks!$AC$76)&amp;IF(Checks!$W$76="","",CHAR(10)&amp;"Batch: "&amp;Checks!$W$76)&amp;IF(AND(Checks!$X$76="",Checks!$Y$76=""),"",CHAR(10)&amp;"Exp: "&amp;Checks!$X$76&amp;"  /  Act: "&amp;Checks!$Y$76)</f>
        <v/>
      </c>
      <c r="F30" s="114" t="str">
        <f aca="false">IF(Checks!$Z$76="","","Evidence: "&amp;Checks!$Z$76)&amp;IF(Checks!$AA$76="","",IF(Checks!$Z$76="","",CHAR(10))&amp;"CA: "&amp;Checks!$AA$76)</f>
        <v/>
      </c>
      <c r="G30" s="114" t="str">
        <f aca="false">IF(ISNUMBER(Checks!$AD$76),TEXT(Checks!$AD$76,"DD-MMM-YY HH:MM")&amp;" "&amp;Checks!$P$76,"")&amp;IF(Checks!$AE$76="","",CHAR(10)&amp;"Verifier: "&amp;Checks!$AE$76)&amp;IF(Checks!$T$76="","",CHAR(10)&amp;"PIC: "&amp;Checks!$T$76)</f>
        <v/>
      </c>
      <c r="H30" s="115" t="str">
        <f aca="false">IF(Checks!$AH$76="","",Checks!$AH$76)</f>
        <v>OPEN</v>
      </c>
    </row>
    <row r="31" customFormat="false" ht="114" hidden="false" customHeight="true" outlineLevel="0" collapsed="false">
      <c r="A31" s="114" t="str">
        <f aca="false">Checks!$A$77&amp;CHAR(10)&amp;IF(Checks!$I$77="","",Checks!$I$77&amp;": ")&amp;Checks!$J$77</f>
        <v>F03-T7-09
Uplift plan: Uplift plan confirmed with caterer vs STD Uplift Information</v>
      </c>
      <c r="B31" s="114" t="str">
        <f aca="false">Checks!$K$77&amp;IF(Checks!$O$77="","",IF(Checks!$K$77="","",CHAR(10))&amp;"Note: "&amp;Checks!$O$77)</f>
        <v>Service: 1 Meal (Meal); meal uplift stn CGK (ref lists KUL/CGK)</v>
      </c>
      <c r="C31" s="114" t="str">
        <f aca="false">Checks!$N$77&amp;CHAR(10)&amp;IF(ISNUMBER(Checks!$R$77),TEXT(Checks!$R$77,"DD-MMM-YY HH:MM"),"")&amp;" "&amp;Checks!$P$77</f>
        <v>Required
03-Oct-26 16:05 CGK</v>
      </c>
      <c r="D31" s="114" t="str">
        <f aca="false">IF(Checks!$U$77="","",Checks!$U$77)&amp;IF(Checks!$AB$77="","",CHAR(10)&amp;"CA: "&amp;Checks!$AB$77)</f>
        <v/>
      </c>
      <c r="E31" s="114" t="str">
        <f aca="false">IF(Checks!$V$77="","",Checks!$V$77)&amp;IF(Checks!$AC$77="","",IF(Checks!$V$77="","",CHAR(10))&amp;"N/A just.: "&amp;Checks!$AC$77)&amp;IF(Checks!$W$77="","",CHAR(10)&amp;"Batch: "&amp;Checks!$W$77)&amp;IF(AND(Checks!$X$77="",Checks!$Y$77=""),"",CHAR(10)&amp;"Exp: "&amp;Checks!$X$77&amp;"  /  Act: "&amp;Checks!$Y$77)</f>
        <v/>
      </c>
      <c r="F31" s="114" t="str">
        <f aca="false">IF(Checks!$Z$77="","","Evidence: "&amp;Checks!$Z$77)&amp;IF(Checks!$AA$77="","",IF(Checks!$Z$77="","",CHAR(10))&amp;"CA: "&amp;Checks!$AA$77)</f>
        <v/>
      </c>
      <c r="G31" s="114" t="str">
        <f aca="false">IF(ISNUMBER(Checks!$AD$77),TEXT(Checks!$AD$77,"DD-MMM-YY HH:MM")&amp;" "&amp;Checks!$P$77,"")&amp;IF(Checks!$AE$77="","",CHAR(10)&amp;"Verifier: "&amp;Checks!$AE$77)&amp;IF(Checks!$T$77="","",CHAR(10)&amp;"PIC: "&amp;Checks!$T$77)</f>
        <v/>
      </c>
      <c r="H31" s="115" t="str">
        <f aca="false">IF(Checks!$AH$77="","",Checks!$AH$77)</f>
        <v>OPEN</v>
      </c>
    </row>
    <row r="32" customFormat="false" ht="25.5" hidden="false" customHeight="true" outlineLevel="0" collapsed="false">
      <c r="A32" s="113" t="str">
        <f aca="false">"T-24H — Production batch sensory  |  Due "&amp;IF(ISNUMBER(Flights!$AH$7),TEXT(Flights!$AH$7,"DD-MMM-YY HH:MM"),"")&amp;" "&amp;Flights!$V$7&amp;" (meal uplift stn)"&amp;" (rows with another due show their own)  |  Complete "&amp;IF(ISNUMBER(Flights!$AK$7),TEXT(Flights!$AK$7,"0%"),Flights!$AK$7)&amp;"  |  1 lines"</f>
        <v>T-24H — Production batch sensory  |  Due 09-Oct-26 16:05 CGK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Checks!$A$78&amp;CHAR(10)&amp;IF(Checks!$I$78="","",Checks!$I$78&amp;": ")&amp;Checks!$J$78</f>
        <v>F03-T24-01
Meal: Sensory test repeated on ACTUAL production batch for this flight</v>
      </c>
      <c r="B33" s="114" t="str">
        <f aca="false">Checks!$K$78&amp;IF(Checks!$O$78="","",IF(Checks!$K$78="","",CHAR(10))&amp;"Note: "&amp;Checks!$O$78)</f>
        <v>Batch ID, result, CA and acceptance mandatory</v>
      </c>
      <c r="C33" s="114" t="str">
        <f aca="false">Checks!$N$78&amp;CHAR(10)&amp;IF(ISNUMBER(Checks!$R$78),TEXT(Checks!$R$78,"DD-MMM-YY HH:MM"),"")&amp;" "&amp;Checks!$P$78</f>
        <v>Required
09-Oct-26 16:05 CGK</v>
      </c>
      <c r="D33" s="114" t="str">
        <f aca="false">IF(Checks!$U$78="","",Checks!$U$78)&amp;IF(Checks!$AB$78="","",CHAR(10)&amp;"CA: "&amp;Checks!$AB$78)</f>
        <v/>
      </c>
      <c r="E33" s="114" t="str">
        <f aca="false">IF(Checks!$V$78="","",Checks!$V$78)&amp;IF(Checks!$AC$78="","",IF(Checks!$V$78="","",CHAR(10))&amp;"N/A just.: "&amp;Checks!$AC$78)&amp;IF(Checks!$W$78="","",CHAR(10)&amp;"Batch: "&amp;Checks!$W$78)&amp;IF(AND(Checks!$X$78="",Checks!$Y$78=""),"",CHAR(10)&amp;"Exp: "&amp;Checks!$X$78&amp;"  /  Act: "&amp;Checks!$Y$78)</f>
        <v/>
      </c>
      <c r="F33" s="114" t="str">
        <f aca="false">IF(Checks!$Z$78="","","Evidence: "&amp;Checks!$Z$78)&amp;IF(Checks!$AA$78="","",IF(Checks!$Z$78="","",CHAR(10))&amp;"CA: "&amp;Checks!$AA$78)</f>
        <v/>
      </c>
      <c r="G33" s="114" t="str">
        <f aca="false">IF(ISNUMBER(Checks!$AD$78),TEXT(Checks!$AD$78,"DD-MMM-YY HH:MM")&amp;" "&amp;Checks!$P$78,"")&amp;IF(Checks!$AE$78="","",CHAR(10)&amp;"Verifier: "&amp;Checks!$AE$78)&amp;IF(Checks!$T$78="","",CHAR(10)&amp;"PIC: "&amp;Checks!$T$78)</f>
        <v/>
      </c>
      <c r="H33" s="115" t="str">
        <f aca="false">IF(Checks!$AH$78="","",Checks!$AH$78)</f>
        <v>OPEN</v>
      </c>
    </row>
    <row r="34" customFormat="false" ht="25.5" hidden="false" customHeight="true" outlineLevel="0" collapsed="false">
      <c r="A34" s="113" t="str">
        <f aca="false">"T-12H PREP — Preparation check at caterer (does NOT confirm loading)  |  Due "&amp;IF(ISNUMBER(Flights!$AI$7),TEXT(Flights!$AI$7,"DD-MMM-YY HH:MM"),"")&amp;" "&amp;Flights!$V$7&amp;" (meal uplift stn)"&amp;" (rows with another due show their own)  |  Complete "&amp;IF(ISNUMBER(Flights!$AL$7),TEXT(Flights!$AL$7,"0%"),Flights!$AL$7)&amp;"  |  8 lines"</f>
        <v>T-12H PREP — Preparation check at caterer (does NOT confirm loading)  |  Due 10-Oct-26 04:05 CGK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Checks!$A$79&amp;CHAR(10)&amp;IF(Checks!$I$79="","",Checks!$I$79&amp;": ")&amp;Checks!$J$79</f>
        <v>F03-T12-01
Meal: Meal quality vs menu checklist</v>
      </c>
      <c r="B35" s="114" t="str">
        <f aca="false">Checks!$K$79&amp;IF(Checks!$O$79="","",IF(Checks!$K$79="","",CHAR(10))&amp;"Note: "&amp;Checks!$O$79)</f>
        <v>Note: Preparation check at caterer - does NOT confirm loading.</v>
      </c>
      <c r="C35" s="114" t="str">
        <f aca="false">Checks!$N$79&amp;CHAR(10)&amp;IF(ISNUMBER(Checks!$R$79),TEXT(Checks!$R$79,"DD-MMM-YY HH:MM"),"")&amp;" "&amp;Checks!$P$79</f>
        <v>Required
10-Oct-26 04:05 CGK</v>
      </c>
      <c r="D35" s="114" t="str">
        <f aca="false">IF(Checks!$U$79="","",Checks!$U$79)&amp;IF(Checks!$AB$79="","",CHAR(10)&amp;"CA: "&amp;Checks!$AB$79)</f>
        <v/>
      </c>
      <c r="E35" s="114" t="str">
        <f aca="false">IF(Checks!$V$79="","",Checks!$V$79)&amp;IF(Checks!$AC$79="","",IF(Checks!$V$79="","",CHAR(10))&amp;"N/A just.: "&amp;Checks!$AC$79)&amp;IF(Checks!$W$79="","",CHAR(10)&amp;"Batch: "&amp;Checks!$W$79)&amp;IF(AND(Checks!$X$79="",Checks!$Y$79=""),"",CHAR(10)&amp;"Exp: "&amp;Checks!$X$79&amp;"  /  Act: "&amp;Checks!$Y$79)</f>
        <v/>
      </c>
      <c r="F35" s="114" t="str">
        <f aca="false">IF(Checks!$Z$79="","","Evidence: "&amp;Checks!$Z$79)&amp;IF(Checks!$AA$79="","",IF(Checks!$Z$79="","",CHAR(10))&amp;"CA: "&amp;Checks!$AA$79)</f>
        <v/>
      </c>
      <c r="G35" s="114" t="str">
        <f aca="false">IF(ISNUMBER(Checks!$AD$79),TEXT(Checks!$AD$79,"DD-MMM-YY HH:MM")&amp;" "&amp;Checks!$P$79,"")&amp;IF(Checks!$AE$79="","",CHAR(10)&amp;"Verifier: "&amp;Checks!$AE$79)&amp;IF(Checks!$T$79="","",CHAR(10)&amp;"PIC: "&amp;Checks!$T$79)</f>
        <v/>
      </c>
      <c r="H35" s="115" t="str">
        <f aca="false">IF(Checks!$AH$79="","",Checks!$AH$79)</f>
        <v>OPEN</v>
      </c>
    </row>
    <row r="36" customFormat="false" ht="114" hidden="false" customHeight="true" outlineLevel="0" collapsed="false">
      <c r="A36" s="114" t="str">
        <f aca="false">Checks!$A$80&amp;CHAR(10)&amp;IF(Checks!$I$80="","",Checks!$I$80&amp;": ")&amp;Checks!$J$80</f>
        <v>F03-T12-02
Meal: Meal quantities vs menu checklist</v>
      </c>
      <c r="B36" s="114" t="str">
        <f aca="false">Checks!$K$80&amp;IF(Checks!$O$80="","",IF(Checks!$K$80="","",CHAR(10))&amp;"Note: "&amp;Checks!$O$80)</f>
        <v>Enter expected &amp; actual
Note: Preparation check at caterer - does NOT confirm loading.</v>
      </c>
      <c r="C36" s="114" t="str">
        <f aca="false">Checks!$N$80&amp;CHAR(10)&amp;IF(ISNUMBER(Checks!$R$80),TEXT(Checks!$R$80,"DD-MMM-YY HH:MM"),"")&amp;" "&amp;Checks!$P$80</f>
        <v>Required
10-Oct-26 04:05 CGK</v>
      </c>
      <c r="D36" s="114" t="str">
        <f aca="false">IF(Checks!$U$80="","",Checks!$U$80)&amp;IF(Checks!$AB$80="","",CHAR(10)&amp;"CA: "&amp;Checks!$AB$80)</f>
        <v/>
      </c>
      <c r="E36" s="114" t="str">
        <f aca="false">IF(Checks!$V$80="","",Checks!$V$80)&amp;IF(Checks!$AC$80="","",IF(Checks!$V$80="","",CHAR(10))&amp;"N/A just.: "&amp;Checks!$AC$80)&amp;IF(Checks!$W$80="","",CHAR(10)&amp;"Batch: "&amp;Checks!$W$80)&amp;IF(AND(Checks!$X$80="",Checks!$Y$80=""),"",CHAR(10)&amp;"Exp: "&amp;Checks!$X$80&amp;"  /  Act: "&amp;Checks!$Y$80)</f>
        <v/>
      </c>
      <c r="F36" s="114" t="str">
        <f aca="false">IF(Checks!$Z$80="","","Evidence: "&amp;Checks!$Z$80)&amp;IF(Checks!$AA$80="","",IF(Checks!$Z$80="","",CHAR(10))&amp;"CA: "&amp;Checks!$AA$80)</f>
        <v/>
      </c>
      <c r="G36" s="114" t="str">
        <f aca="false">IF(ISNUMBER(Checks!$AD$80),TEXT(Checks!$AD$80,"DD-MMM-YY HH:MM")&amp;" "&amp;Checks!$P$80,"")&amp;IF(Checks!$AE$80="","",CHAR(10)&amp;"Verifier: "&amp;Checks!$AE$80)&amp;IF(Checks!$T$80="","",CHAR(10)&amp;"PIC: "&amp;Checks!$T$80)</f>
        <v/>
      </c>
      <c r="H36" s="115" t="str">
        <f aca="false">IF(Checks!$AH$80="","",Checks!$AH$80)</f>
        <v>OPEN</v>
      </c>
    </row>
    <row r="37" customFormat="false" ht="114" hidden="false" customHeight="true" outlineLevel="0" collapsed="false">
      <c r="A37" s="114" t="str">
        <f aca="false">Checks!$A$81&amp;CHAR(10)&amp;IF(Checks!$I$81="","",Checks!$I$81&amp;": ")&amp;Checks!$J$81</f>
        <v>F03-T12-03
Equipment: Equipment cleanliness vs GLD</v>
      </c>
      <c r="B37" s="114" t="str">
        <f aca="false">Checks!$K$81&amp;IF(Checks!$O$81="","",IF(Checks!$K$81="","",CHAR(10))&amp;"Note: "&amp;Checks!$O$81)</f>
        <v>Note: Preparation check at caterer - does NOT confirm loading.</v>
      </c>
      <c r="C37" s="114" t="str">
        <f aca="false">Checks!$N$81&amp;CHAR(10)&amp;IF(ISNUMBER(Checks!$R$81),TEXT(Checks!$R$81,"DD-MMM-YY HH:MM"),"")&amp;" "&amp;Checks!$P$81</f>
        <v>Required
10-Oct-26 04:05 CGK</v>
      </c>
      <c r="D37" s="114" t="str">
        <f aca="false">IF(Checks!$U$81="","",Checks!$U$81)&amp;IF(Checks!$AB$81="","",CHAR(10)&amp;"CA: "&amp;Checks!$AB$81)</f>
        <v/>
      </c>
      <c r="E37" s="114" t="str">
        <f aca="false">IF(Checks!$V$81="","",Checks!$V$81)&amp;IF(Checks!$AC$81="","",IF(Checks!$V$81="","",CHAR(10))&amp;"N/A just.: "&amp;Checks!$AC$81)&amp;IF(Checks!$W$81="","",CHAR(10)&amp;"Batch: "&amp;Checks!$W$81)&amp;IF(AND(Checks!$X$81="",Checks!$Y$81=""),"",CHAR(10)&amp;"Exp: "&amp;Checks!$X$81&amp;"  /  Act: "&amp;Checks!$Y$81)</f>
        <v/>
      </c>
      <c r="F37" s="114" t="str">
        <f aca="false">IF(Checks!$Z$81="","","Evidence: "&amp;Checks!$Z$81)&amp;IF(Checks!$AA$81="","",IF(Checks!$Z$81="","",CHAR(10))&amp;"CA: "&amp;Checks!$AA$81)</f>
        <v/>
      </c>
      <c r="G37" s="114" t="str">
        <f aca="false">IF(ISNUMBER(Checks!$AD$81),TEXT(Checks!$AD$81,"DD-MMM-YY HH:MM")&amp;" "&amp;Checks!$P$81,"")&amp;IF(Checks!$AE$81="","",CHAR(10)&amp;"Verifier: "&amp;Checks!$AE$81)&amp;IF(Checks!$T$81="","",CHAR(10)&amp;"PIC: "&amp;Checks!$T$81)</f>
        <v/>
      </c>
      <c r="H37" s="115" t="str">
        <f aca="false">IF(Checks!$AH$81="","",Checks!$AH$81)</f>
        <v>OPEN</v>
      </c>
    </row>
    <row r="38" customFormat="false" ht="114" hidden="false" customHeight="true" outlineLevel="0" collapsed="false">
      <c r="A38" s="114" t="str">
        <f aca="false">Checks!$A$82&amp;CHAR(10)&amp;IF(Checks!$I$82="","",Checks!$I$82&amp;": ")&amp;Checks!$J$82</f>
        <v>F03-T12-04
Equipment: Equipment presentation vs GLD</v>
      </c>
      <c r="B38" s="114" t="str">
        <f aca="false">Checks!$K$82&amp;IF(Checks!$O$82="","",IF(Checks!$K$82="","",CHAR(10))&amp;"Note: "&amp;Checks!$O$82)</f>
        <v>Note: Preparation check at caterer - does NOT confirm loading.</v>
      </c>
      <c r="C38" s="114" t="str">
        <f aca="false">Checks!$N$82&amp;CHAR(10)&amp;IF(ISNUMBER(Checks!$R$82),TEXT(Checks!$R$82,"DD-MMM-YY HH:MM"),"")&amp;" "&amp;Checks!$P$82</f>
        <v>Required
10-Oct-26 04:05 CGK</v>
      </c>
      <c r="D38" s="114" t="str">
        <f aca="false">IF(Checks!$U$82="","",Checks!$U$82)&amp;IF(Checks!$AB$82="","",CHAR(10)&amp;"CA: "&amp;Checks!$AB$82)</f>
        <v/>
      </c>
      <c r="E38" s="114" t="str">
        <f aca="false">IF(Checks!$V$82="","",Checks!$V$82)&amp;IF(Checks!$AC$82="","",IF(Checks!$V$82="","",CHAR(10))&amp;"N/A just.: "&amp;Checks!$AC$82)&amp;IF(Checks!$W$82="","",CHAR(10)&amp;"Batch: "&amp;Checks!$W$82)&amp;IF(AND(Checks!$X$82="",Checks!$Y$82=""),"",CHAR(10)&amp;"Exp: "&amp;Checks!$X$82&amp;"  /  Act: "&amp;Checks!$Y$82)</f>
        <v/>
      </c>
      <c r="F38" s="114" t="str">
        <f aca="false">IF(Checks!$Z$82="","","Evidence: "&amp;Checks!$Z$82)&amp;IF(Checks!$AA$82="","",IF(Checks!$Z$82="","",CHAR(10))&amp;"CA: "&amp;Checks!$AA$82)</f>
        <v/>
      </c>
      <c r="G38" s="114" t="str">
        <f aca="false">IF(ISNUMBER(Checks!$AD$82),TEXT(Checks!$AD$82,"DD-MMM-YY HH:MM")&amp;" "&amp;Checks!$P$82,"")&amp;IF(Checks!$AE$82="","",CHAR(10)&amp;"Verifier: "&amp;Checks!$AE$82)&amp;IF(Checks!$T$82="","",CHAR(10)&amp;"PIC: "&amp;Checks!$T$82)</f>
        <v/>
      </c>
      <c r="H38" s="115" t="str">
        <f aca="false">IF(Checks!$AH$82="","",Checks!$AH$82)</f>
        <v>OPEN</v>
      </c>
    </row>
    <row r="39" customFormat="false" ht="114" hidden="false" customHeight="true" outlineLevel="0" collapsed="false">
      <c r="A39" s="114" t="str">
        <f aca="false">Checks!$A$83&amp;CHAR(10)&amp;IF(Checks!$I$83="","",Checks!$I$83&amp;": ")&amp;Checks!$J$83</f>
        <v>F03-T12-05
Equipment: Equipment serviceability vs GLD</v>
      </c>
      <c r="B39" s="114" t="str">
        <f aca="false">Checks!$K$83&amp;IF(Checks!$O$83="","",IF(Checks!$K$83="","",CHAR(10))&amp;"Note: "&amp;Checks!$O$83)</f>
        <v>Note: Preparation check at caterer - does NOT confirm loading.</v>
      </c>
      <c r="C39" s="114" t="str">
        <f aca="false">Checks!$N$83&amp;CHAR(10)&amp;IF(ISNUMBER(Checks!$R$83),TEXT(Checks!$R$83,"DD-MMM-YY HH:MM"),"")&amp;" "&amp;Checks!$P$83</f>
        <v>Required
10-Oct-26 04:05 CGK</v>
      </c>
      <c r="D39" s="114" t="str">
        <f aca="false">IF(Checks!$U$83="","",Checks!$U$83)&amp;IF(Checks!$AB$83="","",CHAR(10)&amp;"CA: "&amp;Checks!$AB$83)</f>
        <v/>
      </c>
      <c r="E39" s="114" t="str">
        <f aca="false">IF(Checks!$V$83="","",Checks!$V$83)&amp;IF(Checks!$AC$83="","",IF(Checks!$V$83="","",CHAR(10))&amp;"N/A just.: "&amp;Checks!$AC$83)&amp;IF(Checks!$W$83="","",CHAR(10)&amp;"Batch: "&amp;Checks!$W$83)&amp;IF(AND(Checks!$X$83="",Checks!$Y$83=""),"",CHAR(10)&amp;"Exp: "&amp;Checks!$X$83&amp;"  /  Act: "&amp;Checks!$Y$83)</f>
        <v/>
      </c>
      <c r="F39" s="114" t="str">
        <f aca="false">IF(Checks!$Z$83="","","Evidence: "&amp;Checks!$Z$83)&amp;IF(Checks!$AA$83="","",IF(Checks!$Z$83="","",CHAR(10))&amp;"CA: "&amp;Checks!$AA$83)</f>
        <v/>
      </c>
      <c r="G39" s="114" t="str">
        <f aca="false">IF(ISNUMBER(Checks!$AD$83),TEXT(Checks!$AD$83,"DD-MMM-YY HH:MM")&amp;" "&amp;Checks!$P$83,"")&amp;IF(Checks!$AE$83="","",CHAR(10)&amp;"Verifier: "&amp;Checks!$AE$83)&amp;IF(Checks!$T$83="","",CHAR(10)&amp;"PIC: "&amp;Checks!$T$83)</f>
        <v/>
      </c>
      <c r="H39" s="115" t="str">
        <f aca="false">IF(Checks!$AH$83="","",Checks!$AH$83)</f>
        <v>OPEN</v>
      </c>
    </row>
    <row r="40" customFormat="false" ht="201.75" hidden="false" customHeight="true" outlineLevel="0" collapsed="false">
      <c r="A40" s="114" t="str">
        <f aca="false">Checks!$A$84&amp;CHAR(10)&amp;IF(Checks!$I$84="","",Checks!$I$84&amp;": ")&amp;Checks!$J$84</f>
        <v>F03-T12-06
Equipment: Equipment quantities vs GLD</v>
      </c>
      <c r="B40" s="114" t="str">
        <f aca="false">SUBSTITUTE(Checks!$K$84&amp;IF(Checks!$O$84="","",IF(Checks!$K$84="","",CHAR(10))&amp;"Note: "&amp;Checks!$O$84),"AIRCRAFT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Checks!$N$84&amp;CHAR(10)&amp;IF(ISNUMBER(Checks!$R$84),TEXT(Checks!$R$84,"DD-MMM-YY HH:MM"),"")&amp;" "&amp;Checks!$P$84</f>
        <v>Required
10-Oct-26 04:05 CGK</v>
      </c>
      <c r="D40" s="114" t="str">
        <f aca="false">IF(Checks!$U$84="","",Checks!$U$84)&amp;IF(Checks!$AB$84="","",CHAR(10)&amp;"CA: "&amp;Checks!$AB$84)</f>
        <v/>
      </c>
      <c r="E40" s="114" t="str">
        <f aca="false">IF(Checks!$V$84="","",Checks!$V$84)&amp;IF(Checks!$AC$84="","",IF(Checks!$V$84="","",CHAR(10))&amp;"N/A just.: "&amp;Checks!$AC$84)&amp;IF(Checks!$W$84="","",CHAR(10)&amp;"Batch: "&amp;Checks!$W$84)&amp;IF(AND(Checks!$X$84="",Checks!$Y$84=""),"",CHAR(10)&amp;"Exp: "&amp;Checks!$X$84&amp;"  /  Act: "&amp;Checks!$Y$84)</f>
        <v/>
      </c>
      <c r="F40" s="114" t="str">
        <f aca="false">IF(Checks!$Z$84="","","Evidence: "&amp;Checks!$Z$84)&amp;IF(Checks!$AA$84="","",IF(Checks!$Z$84="","",CHAR(10))&amp;"CA: "&amp;Checks!$AA$84)</f>
        <v/>
      </c>
      <c r="G40" s="114" t="str">
        <f aca="false">IF(ISNUMBER(Checks!$AD$84),TEXT(Checks!$AD$84,"DD-MMM-YY HH:MM")&amp;" "&amp;Checks!$P$84,"")&amp;IF(Checks!$AE$84="","",CHAR(10)&amp;"Verifier: "&amp;Checks!$AE$84)&amp;IF(Checks!$T$84="","",CHAR(10)&amp;"PIC: "&amp;Checks!$T$84)</f>
        <v/>
      </c>
      <c r="H40" s="115" t="str">
        <f aca="false">IF(Checks!$AH$84="","",Checks!$AH$84)</f>
        <v>OPEN</v>
      </c>
    </row>
    <row r="41" customFormat="false" ht="114" hidden="false" customHeight="true" outlineLevel="0" collapsed="false">
      <c r="A41" s="114" t="str">
        <f aca="false">Checks!$A$85&amp;CHAR(10)&amp;IF(Checks!$I$85="","",Checks!$I$85&amp;": ")&amp;Checks!$J$85</f>
        <v>F03-T12-07
Equipment: Loading positions planned vs GLD</v>
      </c>
      <c r="B41" s="114" t="str">
        <f aca="false">Checks!$K$85&amp;IF(Checks!$O$85="","",IF(Checks!$K$85="","",CHAR(10))&amp;"Note: "&amp;Checks!$O$85)</f>
        <v>Note: Preparation check at caterer - does NOT confirm loading.</v>
      </c>
      <c r="C41" s="114" t="str">
        <f aca="false">Checks!$N$85&amp;CHAR(10)&amp;IF(ISNUMBER(Checks!$R$85),TEXT(Checks!$R$85,"DD-MMM-YY HH:MM"),"")&amp;" "&amp;Checks!$P$85</f>
        <v>Required
10-Oct-26 04:05 CGK</v>
      </c>
      <c r="D41" s="114" t="str">
        <f aca="false">IF(Checks!$U$85="","",Checks!$U$85)&amp;IF(Checks!$AB$85="","",CHAR(10)&amp;"CA: "&amp;Checks!$AB$85)</f>
        <v/>
      </c>
      <c r="E41" s="114" t="str">
        <f aca="false">IF(Checks!$V$85="","",Checks!$V$85)&amp;IF(Checks!$AC$85="","",IF(Checks!$V$85="","",CHAR(10))&amp;"N/A just.: "&amp;Checks!$AC$85)&amp;IF(Checks!$W$85="","",CHAR(10)&amp;"Batch: "&amp;Checks!$W$85)&amp;IF(AND(Checks!$X$85="",Checks!$Y$85=""),"",CHAR(10)&amp;"Exp: "&amp;Checks!$X$85&amp;"  /  Act: "&amp;Checks!$Y$85)</f>
        <v/>
      </c>
      <c r="F41" s="114" t="str">
        <f aca="false">IF(Checks!$Z$85="","","Evidence: "&amp;Checks!$Z$85)&amp;IF(Checks!$AA$85="","",IF(Checks!$Z$85="","",CHAR(10))&amp;"CA: "&amp;Checks!$AA$85)</f>
        <v/>
      </c>
      <c r="G41" s="114" t="str">
        <f aca="false">IF(ISNUMBER(Checks!$AD$85),TEXT(Checks!$AD$85,"DD-MMM-YY HH:MM")&amp;" "&amp;Checks!$P$85,"")&amp;IF(Checks!$AE$85="","",CHAR(10)&amp;"Verifier: "&amp;Checks!$AE$85)&amp;IF(Checks!$T$85="","",CHAR(10)&amp;"PIC: "&amp;Checks!$T$85)</f>
        <v/>
      </c>
      <c r="H41" s="115" t="str">
        <f aca="false">IF(Checks!$AH$85="","",Checks!$AH$85)</f>
        <v>OPEN</v>
      </c>
    </row>
    <row r="42" customFormat="false" ht="114" hidden="false" customHeight="true" outlineLevel="0" collapsed="false">
      <c r="A42" s="114" t="str">
        <f aca="false">Checks!$A$86&amp;CHAR(10)&amp;IF(Checks!$I$86="","",Checks!$I$86&amp;": ")&amp;Checks!$J$86</f>
        <v>F03-T12-08
Seat Linen: Seat pillow (EY) - prepared</v>
      </c>
      <c r="B42" s="114" t="str">
        <f aca="false">Checks!$K$86&amp;IF(Checks!$O$86="","",IF(Checks!$K$86="","",CHAR(10))&amp;"Note: "&amp;Checks!$O$86)</f>
        <v>Available 100% (ticked in reference)
Note: Reference gives no uplift stn for this item: preparation checked at the meal uplift stn (CGK) - confirm with caterer.</v>
      </c>
      <c r="C42" s="114" t="str">
        <f aca="false">Checks!$N$86&amp;CHAR(10)&amp;IF(ISNUMBER(Checks!$R$86),TEXT(Checks!$R$86,"DD-MMM-YY HH:MM"),"")&amp;" "&amp;Checks!$P$86</f>
        <v>Required
10-Oct-26 04:05 CGK</v>
      </c>
      <c r="D42" s="114" t="str">
        <f aca="false">IF(Checks!$U$86="","",Checks!$U$86)&amp;IF(Checks!$AB$86="","",CHAR(10)&amp;"CA: "&amp;Checks!$AB$86)</f>
        <v/>
      </c>
      <c r="E42" s="114" t="str">
        <f aca="false">IF(Checks!$V$86="","",Checks!$V$86)&amp;IF(Checks!$AC$86="","",IF(Checks!$V$86="","",CHAR(10))&amp;"N/A just.: "&amp;Checks!$AC$86)&amp;IF(Checks!$W$86="","",CHAR(10)&amp;"Batch: "&amp;Checks!$W$86)&amp;IF(AND(Checks!$X$86="",Checks!$Y$86=""),"",CHAR(10)&amp;"Exp: "&amp;Checks!$X$86&amp;"  /  Act: "&amp;Checks!$Y$86)</f>
        <v/>
      </c>
      <c r="F42" s="114" t="str">
        <f aca="false">IF(Checks!$Z$86="","","Evidence: "&amp;Checks!$Z$86)&amp;IF(Checks!$AA$86="","",IF(Checks!$Z$86="","",CHAR(10))&amp;"CA: "&amp;Checks!$AA$86)</f>
        <v/>
      </c>
      <c r="G42" s="114" t="str">
        <f aca="false">IF(ISNUMBER(Checks!$AD$86),TEXT(Checks!$AD$86,"DD-MMM-YY HH:MM")&amp;" "&amp;Checks!$P$86,"")&amp;IF(Checks!$AE$86="","",CHAR(10)&amp;"Verifier: "&amp;Checks!$AE$86)&amp;IF(Checks!$T$86="","",CHAR(10)&amp;"PIC: "&amp;Checks!$T$86)</f>
        <v/>
      </c>
      <c r="H42" s="115" t="str">
        <f aca="false">IF(Checks!$AH$86="","",Checks!$AH$86)</f>
        <v>OPEN</v>
      </c>
    </row>
    <row r="43" customFormat="false" ht="25.5" hidden="false" customHeight="true" outlineLevel="0" collapsed="false">
      <c r="A43" s="113" t="str">
        <f aca="false">"UPLIFT — Physical uplift – on-board confirmation before departure  |  Due "&amp;"STD "&amp;IF(ISNUMBER(Flights!$I$7),TEXT(Flights!$I$7,"DD-MMM-YY HH:MM"),"")&amp;" "&amp;Flights!$G$7&amp;" (departure stn)"&amp;" (rows with another due show their own)  |  Complete "&amp;IF(ISNUMBER(Flights!$AM$7),TEXT(Flights!$AM$7,"0%"),Flights!$AM$7)&amp;"  |  3 lines"</f>
        <v>UPLIFT — Physical uplift – on-board confirmation before departure  |  Due STD 10-Oct-26 16:05 CGK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Checks!$A$87&amp;CHAR(10)&amp;IF(Checks!$I$87="","",Checks!$I$87&amp;": ")&amp;Checks!$J$87</f>
        <v>F03-UPL-01
Meal: Meals physically uplifted on board - quantity vs menu checklist</v>
      </c>
      <c r="B44" s="114" t="str">
        <f aca="false">Checks!$K$87&amp;IF(Checks!$O$87="","",IF(Checks!$K$87="","",CHAR(10))&amp;"Note: "&amp;Checks!$O$87)</f>
        <v>Enter expected &amp; actual
Note: Confirm on board before departure; completion time must fall inside the uplift window.</v>
      </c>
      <c r="C44" s="114" t="str">
        <f aca="false">Checks!$N$87&amp;CHAR(10)&amp;IF(ISNUMBER(Checks!$R$87),TEXT(Checks!$R$87,"DD-MMM-YY HH:MM"),"")&amp;" "&amp;Checks!$P$87</f>
        <v>Required
10-Oct-26 16:05 CGK</v>
      </c>
      <c r="D44" s="114" t="str">
        <f aca="false">IF(Checks!$U$87="","",Checks!$U$87)&amp;IF(Checks!$AB$87="","",CHAR(10)&amp;"CA: "&amp;Checks!$AB$87)</f>
        <v/>
      </c>
      <c r="E44" s="114" t="str">
        <f aca="false">IF(Checks!$V$87="","",Checks!$V$87)&amp;IF(Checks!$AC$87="","",IF(Checks!$V$87="","",CHAR(10))&amp;"N/A just.: "&amp;Checks!$AC$87)&amp;IF(Checks!$W$87="","",CHAR(10)&amp;"Batch: "&amp;Checks!$W$87)&amp;IF(AND(Checks!$X$87="",Checks!$Y$87=""),"",CHAR(10)&amp;"Exp: "&amp;Checks!$X$87&amp;"  /  Act: "&amp;Checks!$Y$87)</f>
        <v/>
      </c>
      <c r="F44" s="114" t="str">
        <f aca="false">IF(Checks!$Z$87="","","Evidence: "&amp;Checks!$Z$87)&amp;IF(Checks!$AA$87="","",IF(Checks!$Z$87="","",CHAR(10))&amp;"CA: "&amp;Checks!$AA$87)</f>
        <v/>
      </c>
      <c r="G44" s="114" t="str">
        <f aca="false">IF(ISNUMBER(Checks!$AD$87),TEXT(Checks!$AD$87,"DD-MMM-YY HH:MM")&amp;" "&amp;Checks!$P$87,"")&amp;IF(Checks!$AE$87="","",CHAR(10)&amp;"Verifier: "&amp;Checks!$AE$87)&amp;IF(Checks!$T$87="","",CHAR(10)&amp;"PIC: "&amp;Checks!$T$87)</f>
        <v/>
      </c>
      <c r="H44" s="115" t="str">
        <f aca="false">IF(Checks!$AH$87="","",Checks!$AH$87)</f>
        <v>OPEN</v>
      </c>
    </row>
    <row r="45" customFormat="false" ht="114" hidden="false" customHeight="true" outlineLevel="0" collapsed="false">
      <c r="A45" s="114" t="str">
        <f aca="false">Checks!$A$88&amp;CHAR(10)&amp;IF(Checks!$I$88="","",Checks!$I$88&amp;": ")&amp;Checks!$J$88</f>
        <v>F03-UPL-02
Equipment: Equipment physically loaded at GLD positions - quantity &amp; positions</v>
      </c>
      <c r="B45" s="114" t="str">
        <f aca="false">Checks!$K$88&amp;IF(Checks!$O$88="","",IF(Checks!$K$88="","",CHAR(10))&amp;"Note: "&amp;Checks!$O$88)</f>
        <v>Enter expected &amp; actual
Note: Confirm on board before departure; completion time must fall inside the uplift window.</v>
      </c>
      <c r="C45" s="114" t="str">
        <f aca="false">Checks!$N$88&amp;CHAR(10)&amp;IF(ISNUMBER(Checks!$R$88),TEXT(Checks!$R$88,"DD-MMM-YY HH:MM"),"")&amp;" "&amp;Checks!$P$88</f>
        <v>Required
10-Oct-26 16:05 CGK</v>
      </c>
      <c r="D45" s="114" t="str">
        <f aca="false">IF(Checks!$U$88="","",Checks!$U$88)&amp;IF(Checks!$AB$88="","",CHAR(10)&amp;"CA: "&amp;Checks!$AB$88)</f>
        <v/>
      </c>
      <c r="E45" s="114" t="str">
        <f aca="false">IF(Checks!$V$88="","",Checks!$V$88)&amp;IF(Checks!$AC$88="","",IF(Checks!$V$88="","",CHAR(10))&amp;"N/A just.: "&amp;Checks!$AC$88)&amp;IF(Checks!$W$88="","",CHAR(10)&amp;"Batch: "&amp;Checks!$W$88)&amp;IF(AND(Checks!$X$88="",Checks!$Y$88=""),"",CHAR(10)&amp;"Exp: "&amp;Checks!$X$88&amp;"  /  Act: "&amp;Checks!$Y$88)</f>
        <v/>
      </c>
      <c r="F45" s="114" t="str">
        <f aca="false">IF(Checks!$Z$88="","","Evidence: "&amp;Checks!$Z$88)&amp;IF(Checks!$AA$88="","",IF(Checks!$Z$88="","",CHAR(10))&amp;"CA: "&amp;Checks!$AA$88)</f>
        <v/>
      </c>
      <c r="G45" s="114" t="str">
        <f aca="false">IF(ISNUMBER(Checks!$AD$88),TEXT(Checks!$AD$88,"DD-MMM-YY HH:MM")&amp;" "&amp;Checks!$P$88,"")&amp;IF(Checks!$AE$88="","",CHAR(10)&amp;"Verifier: "&amp;Checks!$AE$88)&amp;IF(Checks!$T$88="","",CHAR(10)&amp;"PIC: "&amp;Checks!$T$88)</f>
        <v/>
      </c>
      <c r="H45" s="115" t="str">
        <f aca="false">IF(Checks!$AH$88="","",Checks!$AH$88)</f>
        <v>OPEN</v>
      </c>
    </row>
    <row r="46" customFormat="false" ht="114" hidden="false" customHeight="true" outlineLevel="0" collapsed="false">
      <c r="A46" s="114" t="str">
        <f aca="false">Checks!$A$89&amp;CHAR(10)&amp;IF(Checks!$I$89="","",Checks!$I$89&amp;": ")&amp;Checks!$J$89</f>
        <v>F03-UPL-03
Seat Linen: Seat pillow (EY) - on board</v>
      </c>
      <c r="B46" s="114" t="str">
        <f aca="false">Checks!$K$89&amp;IF(Checks!$O$89="","",IF(Checks!$K$89="","",CHAR(10))&amp;"Note: "&amp;Checks!$O$89)</f>
        <v>Available 100% (ticked in reference)</v>
      </c>
      <c r="C46" s="114" t="str">
        <f aca="false">Checks!$N$89&amp;CHAR(10)&amp;IF(ISNUMBER(Checks!$R$89),TEXT(Checks!$R$89,"DD-MMM-YY HH:MM"),"")&amp;" "&amp;Checks!$P$89</f>
        <v>Required
10-Oct-26 16:05 CGK</v>
      </c>
      <c r="D46" s="114" t="str">
        <f aca="false">IF(Checks!$U$89="","",Checks!$U$89)&amp;IF(Checks!$AB$89="","",CHAR(10)&amp;"CA: "&amp;Checks!$AB$89)</f>
        <v/>
      </c>
      <c r="E46" s="114" t="str">
        <f aca="false">IF(Checks!$V$89="","",Checks!$V$89)&amp;IF(Checks!$AC$89="","",IF(Checks!$V$89="","",CHAR(10))&amp;"N/A just.: "&amp;Checks!$AC$89)&amp;IF(Checks!$W$89="","",CHAR(10)&amp;"Batch: "&amp;Checks!$W$89)&amp;IF(AND(Checks!$X$89="",Checks!$Y$89=""),"",CHAR(10)&amp;"Exp: "&amp;Checks!$X$89&amp;"  /  Act: "&amp;Checks!$Y$89)</f>
        <v/>
      </c>
      <c r="F46" s="114" t="str">
        <f aca="false">IF(Checks!$Z$89="","","Evidence: "&amp;Checks!$Z$89)&amp;IF(Checks!$AA$89="","",IF(Checks!$Z$89="","",CHAR(10))&amp;"CA: "&amp;Checks!$AA$89)</f>
        <v/>
      </c>
      <c r="G46" s="114" t="str">
        <f aca="false">IF(ISNUMBER(Checks!$AD$89),TEXT(Checks!$AD$89,"DD-MMM-YY HH:MM")&amp;" "&amp;Checks!$P$89,"")&amp;IF(Checks!$AE$89="","",CHAR(10)&amp;"Verifier: "&amp;Checks!$AE$89)&amp;IF(Checks!$T$89="","",CHAR(10)&amp;"PIC: "&amp;Checks!$T$89)</f>
        <v/>
      </c>
      <c r="H46" s="115" t="str">
        <f aca="false">IF(Checks!$AH$89="","",Checks!$AH$89)</f>
        <v>OPEN</v>
      </c>
    </row>
    <row r="48" customFormat="false" ht="24" hidden="false" customHeight="true" outlineLevel="0" collapsed="false">
      <c r="A48" s="116" t="s">
        <v>1737</v>
      </c>
      <c r="B48" s="116"/>
      <c r="C48" s="116"/>
      <c r="D48" s="116"/>
      <c r="E48" s="116" t="s">
        <v>1738</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F03 MH0720 10-Oct-26 CGK-KUL Class EY</oddHeader>
    <oddFooter>&amp;L&amp;"Arial,Bold"&amp;8 F03 MH0720 10-Oct-26 CGK-KUL Class EY&amp;C&amp;"Arial,Regular"&amp;8 Printed: ____________________&amp;R&amp;"Arial,Regular"&amp;8 F03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F04  "&amp;Flights!$F$8&amp;"  "&amp;TEXT(Flights!$D$8,"DD-MMM-YY")&amp;" ("&amp;Flights!$E$8&amp;")  "&amp;Flights!$G$8&amp;" → "&amp;Flights!$H$8&amp;"  |  Class "&amp;Flights!$K$8</f>
        <v>SKYTRAX 2026 CATERING READINESS CHECKLIST  |  F04  MH0088  10-Oct-26 (SAT)  KUL → NRT  |  Class BC</v>
      </c>
      <c r="B1" s="92"/>
      <c r="C1" s="92"/>
      <c r="D1" s="92"/>
      <c r="E1" s="92"/>
      <c r="F1" s="92"/>
      <c r="G1" s="92"/>
      <c r="H1" s="92"/>
    </row>
    <row r="2" customFormat="false" ht="12.75" hidden="false" customHeight="true" outlineLevel="0" collapsed="false">
      <c r="A2" s="93" t="s">
        <v>1692</v>
      </c>
      <c r="B2" s="94" t="str">
        <f aca="false">Flights!$F$8&amp;"   "&amp;TEXT(Flights!$D$8,"DD-MMM-YY")&amp;" ("&amp;Flights!$E$8&amp;")"</f>
        <v>MH0088   10-Oct-26 (SAT)</v>
      </c>
      <c r="C2" s="94"/>
      <c r="D2" s="94"/>
      <c r="E2" s="95" t="s">
        <v>1693</v>
      </c>
      <c r="F2" s="96" t="str">
        <f aca="false">Flights!$AT$8</f>
        <v>NOT READY – DOCUMENTS</v>
      </c>
      <c r="G2" s="96"/>
      <c r="H2" s="96"/>
    </row>
    <row r="3" customFormat="false" ht="24" hidden="false" customHeight="true" outlineLevel="0" collapsed="false">
      <c r="A3" s="93" t="s">
        <v>1694</v>
      </c>
      <c r="B3" s="94" t="str">
        <f aca="false">Flights!$G$8&amp;" → "&amp;Flights!$H$8&amp;"   Class "&amp;Flights!$K$8&amp;"   Seat "&amp;Flights!$O$8</f>
        <v>KUL → NRT   Class BC   Seat 1A</v>
      </c>
      <c r="C3" s="94"/>
      <c r="D3" s="94"/>
      <c r="E3" s="95" t="s">
        <v>71</v>
      </c>
      <c r="F3" s="95" t="s">
        <v>1695</v>
      </c>
      <c r="G3" s="95" t="s">
        <v>1696</v>
      </c>
      <c r="H3" s="95"/>
    </row>
    <row r="4" customFormat="false" ht="24" hidden="false" customHeight="true" outlineLevel="0" collapsed="false">
      <c r="A4" s="93" t="s">
        <v>1697</v>
      </c>
      <c r="B4" s="94" t="str">
        <f aca="false">IF(ISNUMBER(Flights!$I$8),TEXT(Flights!$I$8,"DD-MMM-YY HH:MM"),"")&amp;" "&amp;Flights!$G$8&amp;"  →  "&amp;IF(ISNUMBER(Flights!$J$8),TEXT(Flights!$J$8,"DD-MMM-YY HH:MM"),"")&amp;" "&amp;Flights!$H$8</f>
        <v>10-Oct-26 23:30 KUL  →  11-Oct-26 07:40 NRT</v>
      </c>
      <c r="C4" s="94"/>
      <c r="D4" s="94"/>
      <c r="E4" s="93" t="s">
        <v>1698</v>
      </c>
      <c r="F4" s="97" t="str">
        <f aca="false">IF(ISNUMBER(Flights!$AG$8),TEXT(Flights!$AG$8,"DD-MMM-YY HH:MM"),"")&amp;" "&amp;Flights!$V$8</f>
        <v>03-Oct-26 23:30 KUL</v>
      </c>
      <c r="G4" s="98" t="n">
        <f aca="false">Flights!$AJ$8</f>
        <v>0</v>
      </c>
      <c r="H4" s="98"/>
    </row>
    <row r="5" customFormat="false" ht="24" hidden="false" customHeight="true" outlineLevel="0" collapsed="false">
      <c r="A5" s="93" t="s">
        <v>1699</v>
      </c>
      <c r="B5" s="94" t="str">
        <f aca="false">Flights!$L$8&amp;" – "&amp;Flights!$M$8</f>
        <v>A350 – A350-900: A359 (9M-MAB..MAG, row 6) or A350 9M-MAH (row 7) - tail to confirm</v>
      </c>
      <c r="C5" s="94"/>
      <c r="D5" s="94"/>
      <c r="E5" s="93" t="s">
        <v>1700</v>
      </c>
      <c r="F5" s="97" t="str">
        <f aca="false">IF(ISNUMBER(Flights!$AH$8),TEXT(Flights!$AH$8,"DD-MMM-YY HH:MM"),"")&amp;" "&amp;Flights!$V$8</f>
        <v>09-Oct-26 23:30 KUL</v>
      </c>
      <c r="G5" s="98" t="n">
        <f aca="false">Flights!$AK$8</f>
        <v>0</v>
      </c>
      <c r="H5" s="98"/>
    </row>
    <row r="6" customFormat="false" ht="24" hidden="false" customHeight="true" outlineLevel="0" collapsed="false">
      <c r="A6" s="93" t="s">
        <v>1701</v>
      </c>
      <c r="B6" s="94" t="str">
        <f aca="false">IF(TRIM(Flights!$N$8)="","__________________",Flights!$N$8)</f>
        <v>__________________</v>
      </c>
      <c r="C6" s="94"/>
      <c r="D6" s="94"/>
      <c r="E6" s="93" t="s">
        <v>1702</v>
      </c>
      <c r="F6" s="97" t="str">
        <f aca="false">IF(ISNUMBER(Flights!$AI$8),TEXT(Flights!$AI$8,"DD-MMM-YY HH:MM"),"")&amp;" "&amp;Flights!$V$8&amp;IF(Flights!$AI$8=Flights!$AH$8,"  (= T-24H due)","")</f>
        <v>10-Oct-26 11:30 KUL</v>
      </c>
      <c r="G6" s="98" t="n">
        <f aca="false">Flights!$AL$8</f>
        <v>0</v>
      </c>
      <c r="H6" s="98"/>
    </row>
    <row r="7" customFormat="false" ht="24" hidden="false" customHeight="true" outlineLevel="0" collapsed="false">
      <c r="A7" s="93" t="s">
        <v>1703</v>
      </c>
      <c r="B7" s="94" t="str">
        <f aca="false">Flights!$T$8</f>
        <v>1.5 Meal (Meal)</v>
      </c>
      <c r="C7" s="94"/>
      <c r="D7" s="94"/>
      <c r="E7" s="93" t="s">
        <v>1704</v>
      </c>
      <c r="F7" s="97" t="str">
        <f aca="false">"STD "&amp;IF(ISNUMBER(Flights!$I$8),TEXT(Flights!$I$8,"DD-MMM-YY HH:MM"),"")&amp;" "&amp;Flights!$G$8&amp;" (dep stn)"</f>
        <v>STD 10-Oct-26 23:30 KUL (dep stn)</v>
      </c>
      <c r="G7" s="98" t="n">
        <f aca="false">Flights!$AM$8</f>
        <v>0</v>
      </c>
      <c r="H7" s="98"/>
    </row>
    <row r="8" customFormat="false" ht="12.75" hidden="false" customHeight="true" outlineLevel="0" collapsed="false">
      <c r="A8" s="93" t="s">
        <v>153</v>
      </c>
      <c r="B8" s="94" t="str">
        <f aca="false">Flights!$V$8&amp;"   (reference uplift stns: "&amp;Flights!$U$8&amp;")"</f>
        <v>KUL   (reference uplift stns: KUL/NRT)</v>
      </c>
      <c r="C8" s="94"/>
      <c r="D8" s="94"/>
      <c r="E8" s="93" t="s">
        <v>1705</v>
      </c>
      <c r="F8" s="99" t="s">
        <v>1706</v>
      </c>
      <c r="G8" s="98" t="n">
        <f aca="false">Flights!$AN$8</f>
        <v>0</v>
      </c>
      <c r="H8" s="98"/>
    </row>
    <row r="9" customFormat="false" ht="12.75" hidden="false" customHeight="true" outlineLevel="0" collapsed="false">
      <c r="A9" s="93" t="s">
        <v>1707</v>
      </c>
      <c r="B9" s="94" t="str">
        <f aca="false">TRIM(Flights!$P$8&amp;"  "&amp;Flights!$Q$8)</f>
        <v>4H 05M Overnight NRT</v>
      </c>
      <c r="C9" s="94"/>
      <c r="D9" s="94"/>
      <c r="E9" s="93" t="s">
        <v>1708</v>
      </c>
      <c r="F9" s="100" t="n">
        <f aca="false">Flights!$AP$8</f>
        <v>0</v>
      </c>
      <c r="G9" s="100" t="n">
        <f aca="false">Flights!$AQ$8</f>
        <v>0</v>
      </c>
      <c r="H9" s="100" t="n">
        <f aca="false">Flights!$AU$8</f>
        <v>0</v>
      </c>
    </row>
    <row r="10" customFormat="false" ht="24" hidden="false" customHeight="true" outlineLevel="0" collapsed="false">
      <c r="A10" s="93" t="s">
        <v>1709</v>
      </c>
      <c r="B10" s="94" t="str">
        <f aca="false">IF(TRIM(Flights!$X$8)="","__________________",Flights!$X$8)</f>
        <v>__________________</v>
      </c>
      <c r="C10" s="94"/>
      <c r="D10" s="94"/>
      <c r="E10" s="93" t="s">
        <v>1710</v>
      </c>
      <c r="F10" s="100" t="n">
        <f aca="false">Flights!$AO$8</f>
        <v>46</v>
      </c>
      <c r="G10" s="100" t="n">
        <f aca="false">Flights!$AS$8</f>
        <v>0</v>
      </c>
      <c r="H10" s="100" t="n">
        <f aca="false">Flights!$AR$8</f>
        <v>2</v>
      </c>
    </row>
    <row r="11" customFormat="false" ht="21" hidden="false" customHeight="true" outlineLevel="0" collapsed="false">
      <c r="A11" s="93" t="s">
        <v>1711</v>
      </c>
      <c r="B11" s="94" t="str">
        <f aca="false">IF(TRIM(Flights!$Y$8)="","__________________",Flights!$Y$8)</f>
        <v>__________________</v>
      </c>
      <c r="C11" s="94"/>
      <c r="D11" s="94"/>
      <c r="E11" s="93" t="s">
        <v>1712</v>
      </c>
      <c r="F11" s="100" t="str">
        <f aca="false">Flights!$AV$8&amp;" / "&amp;Flights!$AW$8</f>
        <v>0 / 46</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IF(Documents!$F$8="","",Documents!$F$8)</f>
        <v/>
      </c>
      <c r="C14" s="99" t="str">
        <f aca="false">IF(Documents!$G$8="","",Documents!$G$8)&amp;IF(ISNUMBER(Documents!$H$8),"  "&amp;TEXT(Documents!$H$8,"DD-MMM-YY"),"")</f>
        <v/>
      </c>
      <c r="D14" s="99"/>
      <c r="E14" s="107" t="str">
        <f aca="false">IF(Documents!$J$8="OUTSTANDING","OUTSTANDING – attach before T-7D (due "&amp;IF(ISNUMBER(Flights!$AG$8),TEXT(Flights!$AG$8,"DD-MMM-YY HH:MM"),"")&amp;" "&amp;Flights!$V$8&amp;")",IF(Documents!$J$8="","Status not recorded",Documents!$J$8))</f>
        <v>OUTSTANDING – attach before T-7D (due 03-Oct-26 23:30 KUL)</v>
      </c>
      <c r="F14" s="108" t="str">
        <f aca="false">"Staple behind this sheet as page A1."&amp;IF(Documents!$I$8="",""," Location: "&amp;Documents!$I$8)</f>
        <v>Staple behind this sheet as page A1.</v>
      </c>
      <c r="G14" s="108"/>
      <c r="H14" s="108"/>
    </row>
    <row r="15" customFormat="false" ht="36" hidden="false" customHeight="true" outlineLevel="0" collapsed="false">
      <c r="A15" s="93" t="s">
        <v>1723</v>
      </c>
      <c r="B15" s="94" t="str">
        <f aca="false">IF(Documents!$K$8="","",Documents!$K$8)</f>
        <v/>
      </c>
      <c r="C15" s="99" t="str">
        <f aca="false">IF(Documents!$L$8="","",Documents!$L$8)&amp;IF(ISNUMBER(Documents!$M$8),"  "&amp;TEXT(Documents!$M$8,"DD-MMM-YY"),"")</f>
        <v/>
      </c>
      <c r="D15" s="99"/>
      <c r="E15" s="107" t="str">
        <f aca="false">IF(Documents!$O$8="OUTSTANDING","OUTSTANDING – attach before T-7D (due "&amp;IF(ISNUMBER(Flights!$AG$8),TEXT(Flights!$AG$8,"DD-MMM-YY HH:MM"),"")&amp;" "&amp;Flights!$V$8&amp;")",IF(Documents!$O$8="","Status not recorded",Documents!$O$8))</f>
        <v>OUTSTANDING – attach before T-7D (due 03-Oct-26 23:30 KUL)</v>
      </c>
      <c r="F15" s="108" t="str">
        <f aca="false">"Staple behind this sheet as page A2."&amp;IF(Documents!$N$8="",""," Location: "&amp;Documents!$N$8)</f>
        <v>Staple behind this sheet as page A2.</v>
      </c>
      <c r="G15" s="108"/>
      <c r="H15" s="108"/>
    </row>
    <row r="16" customFormat="false" ht="22.5" hidden="false" customHeight="true" outlineLevel="0" collapsed="false">
      <c r="A16" s="93" t="s">
        <v>1724</v>
      </c>
      <c r="B16" s="109" t="str">
        <f aca="false">IF(Documents!$Q$8="","",Documents!$Q$8)</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"&amp;IF(TRIM(Flights!$Y$8)="","__________________",Flights!$Y$8)</f>
        <v>Name: __________________</v>
      </c>
      <c r="B18" s="94"/>
      <c r="C18" s="94" t="str">
        <f aca="false">"Name: __________________"</f>
        <v>Name: __________________</v>
      </c>
      <c r="D18" s="94"/>
      <c r="E18" s="94"/>
      <c r="F18" s="94" t="str">
        <f aca="false">"Name: __________________"&amp;"   Station: "&amp;Flights!$V$8</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"&amp;IF(ISNUMBER(Flights!$AG$8),TEXT(Flights!$AG$8,"DD-MMM-YY HH:MM"),"")&amp;" "&amp;Flights!$V$8&amp;" (meal uplift stn)"&amp;" (rows with another due show their own)  |  Complete "&amp;IF(ISNUMBER(Flights!$AJ$8),TEXT(Flights!$AJ$8,"0%"),Flights!$AJ$8)&amp;"  |  9 lines"</f>
        <v>T-7D — 7 days before departure  |  Due 03-Oct-26 23:30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Checks!$A$90&amp;CHAR(10)&amp;IF(Checks!$I$90="","",Checks!$I$90&amp;": ")&amp;Checks!$J$90</f>
        <v>F04-T7-01
Meal: Meal sensory testing completed for this flight's menu cycle (assessed class)</v>
      </c>
      <c r="B23" s="114" t="str">
        <f aca="false">Checks!$K$90&amp;IF(Checks!$O$90="","",IF(Checks!$K$90="","",CHAR(10))&amp;"Note: "&amp;Checks!$O$90)</f>
        <v>Record panel result / score in Result</v>
      </c>
      <c r="C23" s="114" t="str">
        <f aca="false">Checks!$N$90&amp;CHAR(10)&amp;IF(ISNUMBER(Checks!$R$90),TEXT(Checks!$R$90,"DD-MMM-YY HH:MM"),"")&amp;" "&amp;Checks!$P$90</f>
        <v>Required
03-Oct-26 23:30 KUL</v>
      </c>
      <c r="D23" s="114" t="str">
        <f aca="false">IF(Checks!$U$90="","",Checks!$U$90)&amp;IF(Checks!$AB$90="","",CHAR(10)&amp;"CA: "&amp;Checks!$AB$90)</f>
        <v/>
      </c>
      <c r="E23" s="114" t="str">
        <f aca="false">IF(Checks!$V$90="","",Checks!$V$90)&amp;IF(Checks!$AC$90="","",IF(Checks!$V$90="","",CHAR(10))&amp;"N/A just.: "&amp;Checks!$AC$90)&amp;IF(Checks!$W$90="","",CHAR(10)&amp;"Batch: "&amp;Checks!$W$90)&amp;IF(AND(Checks!$X$90="",Checks!$Y$90=""),"",CHAR(10)&amp;"Exp: "&amp;Checks!$X$90&amp;"  /  Act: "&amp;Checks!$Y$90)</f>
        <v/>
      </c>
      <c r="F23" s="114" t="str">
        <f aca="false">IF(Checks!$Z$90="","","Evidence: "&amp;Checks!$Z$90)&amp;IF(Checks!$AA$90="","",IF(Checks!$Z$90="","",CHAR(10))&amp;"CA: "&amp;Checks!$AA$90)</f>
        <v/>
      </c>
      <c r="G23" s="114" t="str">
        <f aca="false">IF(ISNUMBER(Checks!$AD$90),TEXT(Checks!$AD$90,"DD-MMM-YY HH:MM")&amp;" "&amp;Checks!$P$90,"")&amp;IF(Checks!$AE$90="","",CHAR(10)&amp;"Verifier: "&amp;Checks!$AE$90)&amp;IF(Checks!$T$90="","",CHAR(10)&amp;"PIC: "&amp;Checks!$T$90)</f>
        <v/>
      </c>
      <c r="H23" s="115" t="str">
        <f aca="false">IF(Checks!$AH$90="","",Checks!$AH$90)</f>
        <v>OPEN</v>
      </c>
    </row>
    <row r="24" customFormat="false" ht="114" hidden="false" customHeight="true" outlineLevel="0" collapsed="false">
      <c r="A24" s="114" t="str">
        <f aca="false">Checks!$A$91&amp;CHAR(10)&amp;IF(Checks!$I$91="","",Checks!$I$91&amp;": ")&amp;Checks!$J$91</f>
        <v>F04-T7-02
Menu: Printed menu cards confirmed (content, cycle, language, quantity)</v>
      </c>
      <c r="B24" s="114" t="str">
        <f aca="false">Checks!$K$91&amp;IF(Checks!$O$91="","",IF(Checks!$K$91="","",CHAR(10))&amp;"Note: "&amp;Checks!$O$91)</f>
        <v>Menu card matches approved menu for this flight</v>
      </c>
      <c r="C24" s="114" t="str">
        <f aca="false">Checks!$N$91&amp;CHAR(10)&amp;IF(ISNUMBER(Checks!$R$91),TEXT(Checks!$R$91,"DD-MMM-YY HH:MM"),"")&amp;" "&amp;Checks!$P$91</f>
        <v>Required
03-Oct-26 23:30 KUL</v>
      </c>
      <c r="D24" s="114" t="str">
        <f aca="false">IF(Checks!$U$91="","",Checks!$U$91)&amp;IF(Checks!$AB$91="","",CHAR(10)&amp;"CA: "&amp;Checks!$AB$91)</f>
        <v/>
      </c>
      <c r="E24" s="114" t="str">
        <f aca="false">IF(Checks!$V$91="","",Checks!$V$91)&amp;IF(Checks!$AC$91="","",IF(Checks!$V$91="","",CHAR(10))&amp;"N/A just.: "&amp;Checks!$AC$91)&amp;IF(Checks!$W$91="","",CHAR(10)&amp;"Batch: "&amp;Checks!$W$91)&amp;IF(AND(Checks!$X$91="",Checks!$Y$91=""),"",CHAR(10)&amp;"Exp: "&amp;Checks!$X$91&amp;"  /  Act: "&amp;Checks!$Y$91)</f>
        <v/>
      </c>
      <c r="F24" s="114" t="str">
        <f aca="false">IF(Checks!$Z$91="","","Evidence: "&amp;Checks!$Z$91)&amp;IF(Checks!$AA$91="","",IF(Checks!$Z$91="","",CHAR(10))&amp;"CA: "&amp;Checks!$AA$91)</f>
        <v/>
      </c>
      <c r="G24" s="114" t="str">
        <f aca="false">IF(ISNUMBER(Checks!$AD$91),TEXT(Checks!$AD$91,"DD-MMM-YY HH:MM")&amp;" "&amp;Checks!$P$91,"")&amp;IF(Checks!$AE$91="","",CHAR(10)&amp;"Verifier: "&amp;Checks!$AE$91)&amp;IF(Checks!$T$91="","",CHAR(10)&amp;"PIC: "&amp;Checks!$T$91)</f>
        <v/>
      </c>
      <c r="H24" s="115" t="str">
        <f aca="false">IF(Checks!$AH$91="","",Checks!$AH$91)</f>
        <v>OPEN</v>
      </c>
    </row>
    <row r="25" customFormat="false" ht="114" hidden="false" customHeight="true" outlineLevel="0" collapsed="false">
      <c r="A25" s="114" t="str">
        <f aca="false">Checks!$A$92&amp;CHAR(10)&amp;IF(Checks!$I$92="","",Checks!$I$92&amp;": ")&amp;Checks!$J$92</f>
        <v>F04-T7-03
IFE: Digital menu in IFE confirmed (A339 only)</v>
      </c>
      <c r="B25" s="114" t="str">
        <f aca="false">Checks!$K$92&amp;IF(Checks!$O$92="","",IF(Checks!$K$92="","",CHAR(10))&amp;"Note: "&amp;Checks!$O$92)</f>
        <v>Applies when fleet = A339
Note: Digital IFE menu applies to A339 only (user brief). Applicability follows the Fleet cell on Flights.</v>
      </c>
      <c r="C25" s="114" t="str">
        <f aca="false">Checks!$N$92&amp;CHAR(10)&amp;IF(ISNUMBER(Checks!$R$92),TEXT(Checks!$R$92,"DD-MMM-YY HH:MM"),"")&amp;" "&amp;Checks!$P$92</f>
        <v>N/A – rule
03-Oct-26 23:30 KUL</v>
      </c>
      <c r="D25" s="114" t="str">
        <f aca="false">IF(Checks!$U$92="","",Checks!$U$92)&amp;IF(Checks!$AB$92="","",CHAR(10)&amp;"CA: "&amp;Checks!$AB$92)</f>
        <v/>
      </c>
      <c r="E25" s="114" t="str">
        <f aca="false">IF(Checks!$V$92="","",Checks!$V$92)&amp;IF(Checks!$AC$92="","",IF(Checks!$V$92="","",CHAR(10))&amp;"N/A just.: "&amp;Checks!$AC$92)&amp;IF(Checks!$W$92="","",CHAR(10)&amp;"Batch: "&amp;Checks!$W$92)&amp;IF(AND(Checks!$X$92="",Checks!$Y$92=""),"",CHAR(10)&amp;"Exp: "&amp;Checks!$X$92&amp;"  /  Act: "&amp;Checks!$Y$92)</f>
        <v/>
      </c>
      <c r="F25" s="114" t="str">
        <f aca="false">IF(Checks!$Z$92="","","Evidence: "&amp;Checks!$Z$92)&amp;IF(Checks!$AA$92="","",IF(Checks!$Z$92="","",CHAR(10))&amp;"CA: "&amp;Checks!$AA$92)</f>
        <v/>
      </c>
      <c r="G25" s="114" t="str">
        <f aca="false">IF(ISNUMBER(Checks!$AD$92),TEXT(Checks!$AD$92,"DD-MMM-YY HH:MM")&amp;" "&amp;Checks!$P$92,"")&amp;IF(Checks!$AE$92="","",CHAR(10)&amp;"Verifier: "&amp;Checks!$AE$92)&amp;IF(Checks!$T$92="","",CHAR(10)&amp;"PIC: "&amp;Checks!$T$92)</f>
        <v/>
      </c>
      <c r="H25" s="115" t="str">
        <f aca="false">IF(Checks!$AH$92="","",Checks!$AH$92)</f>
        <v>N/A – RULE</v>
      </c>
    </row>
    <row r="26" customFormat="false" ht="114" hidden="false" customHeight="true" outlineLevel="0" collapsed="false">
      <c r="A26" s="114" t="str">
        <f aca="false">Checks!$A$93&amp;CHAR(10)&amp;IF(Checks!$I$93="","",Checks!$I$93&amp;": ")&amp;Checks!$J$93</f>
        <v>F04-T7-04
Staffing: Experienced catering officer assigned to this flight</v>
      </c>
      <c r="B26" s="114" t="str">
        <f aca="false">Checks!$K$93&amp;IF(Checks!$O$93="","",IF(Checks!$K$93="","",CHAR(10))&amp;"Note: "&amp;Checks!$O$93)</f>
        <v>Record officer name in Result</v>
      </c>
      <c r="C26" s="114" t="str">
        <f aca="false">Checks!$N$93&amp;CHAR(10)&amp;IF(ISNUMBER(Checks!$R$93),TEXT(Checks!$R$93,"DD-MMM-YY HH:MM"),"")&amp;" "&amp;Checks!$P$93</f>
        <v>Required
03-Oct-26 23:30 KUL</v>
      </c>
      <c r="D26" s="114" t="str">
        <f aca="false">IF(Checks!$U$93="","",Checks!$U$93)&amp;IF(Checks!$AB$93="","",CHAR(10)&amp;"CA: "&amp;Checks!$AB$93)</f>
        <v/>
      </c>
      <c r="E26" s="114" t="str">
        <f aca="false">IF(Checks!$V$93="","",Checks!$V$93)&amp;IF(Checks!$AC$93="","",IF(Checks!$V$93="","",CHAR(10))&amp;"N/A just.: "&amp;Checks!$AC$93)&amp;IF(Checks!$W$93="","",CHAR(10)&amp;"Batch: "&amp;Checks!$W$93)&amp;IF(AND(Checks!$X$93="",Checks!$Y$93=""),"",CHAR(10)&amp;"Exp: "&amp;Checks!$X$93&amp;"  /  Act: "&amp;Checks!$Y$93)</f>
        <v/>
      </c>
      <c r="F26" s="114" t="str">
        <f aca="false">IF(Checks!$Z$93="","","Evidence: "&amp;Checks!$Z$93)&amp;IF(Checks!$AA$93="","",IF(Checks!$Z$93="","",CHAR(10))&amp;"CA: "&amp;Checks!$AA$93)</f>
        <v/>
      </c>
      <c r="G26" s="114" t="str">
        <f aca="false">IF(ISNUMBER(Checks!$AD$93),TEXT(Checks!$AD$93,"DD-MMM-YY HH:MM")&amp;" "&amp;Checks!$P$93,"")&amp;IF(Checks!$AE$93="","",CHAR(10)&amp;"Verifier: "&amp;Checks!$AE$93)&amp;IF(Checks!$T$93="","",CHAR(10)&amp;"PIC: "&amp;Checks!$T$93)</f>
        <v/>
      </c>
      <c r="H26" s="115" t="str">
        <f aca="false">IF(Checks!$AH$93="","",Checks!$AH$93)</f>
        <v>OPEN</v>
      </c>
    </row>
    <row r="27" customFormat="false" ht="114" hidden="false" customHeight="true" outlineLevel="0" collapsed="false">
      <c r="A27" s="114" t="str">
        <f aca="false">Checks!$A$94&amp;CHAR(10)&amp;IF(Checks!$I$94="","",Checks!$I$94&amp;": ")&amp;Checks!$J$94</f>
        <v>F04-T7-05
ISOP: All latest applicable ISOP revisions communicated to caterer</v>
      </c>
      <c r="B27" s="114" t="str">
        <f aca="false">Checks!$K$94&amp;IF(Checks!$O$94="","",IF(Checks!$K$94="","",CHAR(10))&amp;"Note: "&amp;Checks!$O$94)</f>
        <v>List revision numbers in Result (see ISOP register)</v>
      </c>
      <c r="C27" s="114" t="str">
        <f aca="false">Checks!$N$94&amp;CHAR(10)&amp;IF(ISNUMBER(Checks!$R$94),TEXT(Checks!$R$94,"DD-MMM-YY HH:MM"),"")&amp;" "&amp;Checks!$P$94</f>
        <v>Required
03-Oct-26 23:30 KUL</v>
      </c>
      <c r="D27" s="114" t="str">
        <f aca="false">IF(Checks!$U$94="","",Checks!$U$94)&amp;IF(Checks!$AB$94="","",CHAR(10)&amp;"CA: "&amp;Checks!$AB$94)</f>
        <v/>
      </c>
      <c r="E27" s="114" t="str">
        <f aca="false">IF(Checks!$V$94="","",Checks!$V$94)&amp;IF(Checks!$AC$94="","",IF(Checks!$V$94="","",CHAR(10))&amp;"N/A just.: "&amp;Checks!$AC$94)&amp;IF(Checks!$W$94="","",CHAR(10)&amp;"Batch: "&amp;Checks!$W$94)&amp;IF(AND(Checks!$X$94="",Checks!$Y$94=""),"",CHAR(10)&amp;"Exp: "&amp;Checks!$X$94&amp;"  /  Act: "&amp;Checks!$Y$94)</f>
        <v/>
      </c>
      <c r="F27" s="114" t="str">
        <f aca="false">IF(Checks!$Z$94="","","Evidence: "&amp;Checks!$Z$94)&amp;IF(Checks!$AA$94="","",IF(Checks!$Z$94="","",CHAR(10))&amp;"CA: "&amp;Checks!$AA$94)</f>
        <v/>
      </c>
      <c r="G27" s="114" t="str">
        <f aca="false">IF(ISNUMBER(Checks!$AD$94),TEXT(Checks!$AD$94,"DD-MMM-YY HH:MM")&amp;" "&amp;Checks!$P$94,"")&amp;IF(Checks!$AE$94="","",CHAR(10)&amp;"Verifier: "&amp;Checks!$AE$94)&amp;IF(Checks!$T$94="","",CHAR(10)&amp;"PIC: "&amp;Checks!$T$94)</f>
        <v/>
      </c>
      <c r="H27" s="115" t="str">
        <f aca="false">IF(Checks!$AH$94="","",Checks!$AH$94)</f>
        <v>OPEN</v>
      </c>
    </row>
    <row r="28" customFormat="false" ht="114" hidden="false" customHeight="true" outlineLevel="0" collapsed="false">
      <c r="A28" s="114" t="str">
        <f aca="false">Checks!$A$95&amp;CHAR(10)&amp;IF(Checks!$I$95="","",Checks!$I$95&amp;": ")&amp;Checks!$J$95</f>
        <v>F04-T7-06
ISOP: Caterer acknowledgement of ISOP revisions recorded</v>
      </c>
      <c r="B28" s="114" t="str">
        <f aca="false">Checks!$K$95&amp;IF(Checks!$O$95="","",IF(Checks!$K$95="","",CHAR(10))&amp;"Note: "&amp;Checks!$O$95)</f>
        <v>Record acknowledgement ref in Evidence</v>
      </c>
      <c r="C28" s="114" t="str">
        <f aca="false">Checks!$N$95&amp;CHAR(10)&amp;IF(ISNUMBER(Checks!$R$95),TEXT(Checks!$R$95,"DD-MMM-YY HH:MM"),"")&amp;" "&amp;Checks!$P$95</f>
        <v>Required
03-Oct-26 23:30 KUL</v>
      </c>
      <c r="D28" s="114" t="str">
        <f aca="false">IF(Checks!$U$95="","",Checks!$U$95)&amp;IF(Checks!$AB$95="","",CHAR(10)&amp;"CA: "&amp;Checks!$AB$95)</f>
        <v/>
      </c>
      <c r="E28" s="114" t="str">
        <f aca="false">IF(Checks!$V$95="","",Checks!$V$95)&amp;IF(Checks!$AC$95="","",IF(Checks!$V$95="","",CHAR(10))&amp;"N/A just.: "&amp;Checks!$AC$95)&amp;IF(Checks!$W$95="","",CHAR(10)&amp;"Batch: "&amp;Checks!$W$95)&amp;IF(AND(Checks!$X$95="",Checks!$Y$95=""),"",CHAR(10)&amp;"Exp: "&amp;Checks!$X$95&amp;"  /  Act: "&amp;Checks!$Y$95)</f>
        <v/>
      </c>
      <c r="F28" s="114" t="str">
        <f aca="false">IF(Checks!$Z$95="","","Evidence: "&amp;Checks!$Z$95)&amp;IF(Checks!$AA$95="","",IF(Checks!$Z$95="","",CHAR(10))&amp;"CA: "&amp;Checks!$AA$95)</f>
        <v/>
      </c>
      <c r="G28" s="114" t="str">
        <f aca="false">IF(ISNUMBER(Checks!$AD$95),TEXT(Checks!$AD$95,"DD-MMM-YY HH:MM")&amp;" "&amp;Checks!$P$95,"")&amp;IF(Checks!$AE$95="","",CHAR(10)&amp;"Verifier: "&amp;Checks!$AE$95)&amp;IF(Checks!$T$95="","",CHAR(10)&amp;"PIC: "&amp;Checks!$T$95)</f>
        <v/>
      </c>
      <c r="H28" s="115" t="str">
        <f aca="false">IF(Checks!$AH$95="","",Checks!$AH$95)</f>
        <v>OPEN</v>
      </c>
    </row>
    <row r="29" customFormat="false" ht="114" hidden="false" customHeight="true" outlineLevel="0" collapsed="false">
      <c r="A29" s="114" t="str">
        <f aca="false">Checks!$A$96&amp;CHAR(10)&amp;IF(Checks!$I$96="","",Checks!$I$96&amp;": ")&amp;Checks!$J$96</f>
        <v>F04-T7-07
Documents: Galley loading diagram (GLD) received, revision recorded &amp; attached</v>
      </c>
      <c r="B29" s="114" t="str">
        <f aca="false">Checks!$K$96&amp;IF(Checks!$O$96="","",IF(Checks!$K$96="","",CHAR(10))&amp;"Note: "&amp;Checks!$O$96)</f>
        <v>Documents sheet row complete</v>
      </c>
      <c r="C29" s="114" t="str">
        <f aca="false">Checks!$N$96&amp;CHAR(10)&amp;IF(ISNUMBER(Checks!$R$96),TEXT(Checks!$R$96,"DD-MMM-YY HH:MM"),"")&amp;" "&amp;Checks!$P$96</f>
        <v>Required
03-Oct-26 23:30 KUL</v>
      </c>
      <c r="D29" s="114" t="str">
        <f aca="false">IF(Checks!$U$96="","",Checks!$U$96)&amp;IF(Checks!$AB$96="","",CHAR(10)&amp;"CA: "&amp;Checks!$AB$96)</f>
        <v/>
      </c>
      <c r="E29" s="114" t="str">
        <f aca="false">IF(Checks!$V$96="","",Checks!$V$96)&amp;IF(Checks!$AC$96="","",IF(Checks!$V$96="","",CHAR(10))&amp;"N/A just.: "&amp;Checks!$AC$96)&amp;IF(Checks!$W$96="","",CHAR(10)&amp;"Batch: "&amp;Checks!$W$96)&amp;IF(AND(Checks!$X$96="",Checks!$Y$96=""),"",CHAR(10)&amp;"Exp: "&amp;Checks!$X$96&amp;"  /  Act: "&amp;Checks!$Y$96)</f>
        <v/>
      </c>
      <c r="F29" s="114" t="str">
        <f aca="false">IF(Checks!$Z$96="","","Evidence: "&amp;Checks!$Z$96)&amp;IF(Checks!$AA$96="","",IF(Checks!$Z$96="","",CHAR(10))&amp;"CA: "&amp;Checks!$AA$96)</f>
        <v/>
      </c>
      <c r="G29" s="114" t="str">
        <f aca="false">IF(ISNUMBER(Checks!$AD$96),TEXT(Checks!$AD$96,"DD-MMM-YY HH:MM")&amp;" "&amp;Checks!$P$96,"")&amp;IF(Checks!$AE$96="","",CHAR(10)&amp;"Verifier: "&amp;Checks!$AE$96)&amp;IF(Checks!$T$96="","",CHAR(10)&amp;"PIC: "&amp;Checks!$T$96)</f>
        <v/>
      </c>
      <c r="H29" s="115" t="str">
        <f aca="false">IF(Checks!$AH$96="","",Checks!$AH$96)</f>
        <v>OPEN</v>
      </c>
    </row>
    <row r="30" customFormat="false" ht="114" hidden="false" customHeight="true" outlineLevel="0" collapsed="false">
      <c r="A30" s="114" t="str">
        <f aca="false">Checks!$A$97&amp;CHAR(10)&amp;IF(Checks!$I$97="","",Checks!$I$97&amp;": ")&amp;Checks!$J$97</f>
        <v>F04-T7-08
Documents: Menu checklist received, revision recorded &amp; attached</v>
      </c>
      <c r="B30" s="114" t="str">
        <f aca="false">Checks!$K$97&amp;IF(Checks!$O$97="","",IF(Checks!$K$97="","",CHAR(10))&amp;"Note: "&amp;Checks!$O$97)</f>
        <v>Documents sheet row complete</v>
      </c>
      <c r="C30" s="114" t="str">
        <f aca="false">Checks!$N$97&amp;CHAR(10)&amp;IF(ISNUMBER(Checks!$R$97),TEXT(Checks!$R$97,"DD-MMM-YY HH:MM"),"")&amp;" "&amp;Checks!$P$97</f>
        <v>Required
03-Oct-26 23:30 KUL</v>
      </c>
      <c r="D30" s="114" t="str">
        <f aca="false">IF(Checks!$U$97="","",Checks!$U$97)&amp;IF(Checks!$AB$97="","",CHAR(10)&amp;"CA: "&amp;Checks!$AB$97)</f>
        <v/>
      </c>
      <c r="E30" s="114" t="str">
        <f aca="false">IF(Checks!$V$97="","",Checks!$V$97)&amp;IF(Checks!$AC$97="","",IF(Checks!$V$97="","",CHAR(10))&amp;"N/A just.: "&amp;Checks!$AC$97)&amp;IF(Checks!$W$97="","",CHAR(10)&amp;"Batch: "&amp;Checks!$W$97)&amp;IF(AND(Checks!$X$97="",Checks!$Y$97=""),"",CHAR(10)&amp;"Exp: "&amp;Checks!$X$97&amp;"  /  Act: "&amp;Checks!$Y$97)</f>
        <v/>
      </c>
      <c r="F30" s="114" t="str">
        <f aca="false">IF(Checks!$Z$97="","","Evidence: "&amp;Checks!$Z$97)&amp;IF(Checks!$AA$97="","",IF(Checks!$Z$97="","",CHAR(10))&amp;"CA: "&amp;Checks!$AA$97)</f>
        <v/>
      </c>
      <c r="G30" s="114" t="str">
        <f aca="false">IF(ISNUMBER(Checks!$AD$97),TEXT(Checks!$AD$97,"DD-MMM-YY HH:MM")&amp;" "&amp;Checks!$P$97,"")&amp;IF(Checks!$AE$97="","",CHAR(10)&amp;"Verifier: "&amp;Checks!$AE$97)&amp;IF(Checks!$T$97="","",CHAR(10)&amp;"PIC: "&amp;Checks!$T$97)</f>
        <v/>
      </c>
      <c r="H30" s="115" t="str">
        <f aca="false">IF(Checks!$AH$97="","",Checks!$AH$97)</f>
        <v>OPEN</v>
      </c>
    </row>
    <row r="31" customFormat="false" ht="114" hidden="false" customHeight="true" outlineLevel="0" collapsed="false">
      <c r="A31" s="114" t="str">
        <f aca="false">Checks!$A$98&amp;CHAR(10)&amp;IF(Checks!$I$98="","",Checks!$I$98&amp;": ")&amp;Checks!$J$98</f>
        <v>F04-T7-09
Uplift plan: Uplift plan confirmed with caterer vs STD Uplift Information</v>
      </c>
      <c r="B31" s="114" t="str">
        <f aca="false">Checks!$K$98&amp;IF(Checks!$O$98="","",IF(Checks!$K$98="","",CHAR(10))&amp;"Note: "&amp;Checks!$O$98)</f>
        <v>Service: 1.5 Meal (Meal); meal uplift stn KUL (ref lists KUL/NRT)</v>
      </c>
      <c r="C31" s="114" t="str">
        <f aca="false">Checks!$N$98&amp;CHAR(10)&amp;IF(ISNUMBER(Checks!$R$98),TEXT(Checks!$R$98,"DD-MMM-YY HH:MM"),"")&amp;" "&amp;Checks!$P$98</f>
        <v>Required
03-Oct-26 23:30 KUL</v>
      </c>
      <c r="D31" s="114" t="str">
        <f aca="false">IF(Checks!$U$98="","",Checks!$U$98)&amp;IF(Checks!$AB$98="","",CHAR(10)&amp;"CA: "&amp;Checks!$AB$98)</f>
        <v/>
      </c>
      <c r="E31" s="114" t="str">
        <f aca="false">IF(Checks!$V$98="","",Checks!$V$98)&amp;IF(Checks!$AC$98="","",IF(Checks!$V$98="","",CHAR(10))&amp;"N/A just.: "&amp;Checks!$AC$98)&amp;IF(Checks!$W$98="","",CHAR(10)&amp;"Batch: "&amp;Checks!$W$98)&amp;IF(AND(Checks!$X$98="",Checks!$Y$98=""),"",CHAR(10)&amp;"Exp: "&amp;Checks!$X$98&amp;"  /  Act: "&amp;Checks!$Y$98)</f>
        <v/>
      </c>
      <c r="F31" s="114" t="str">
        <f aca="false">IF(Checks!$Z$98="","","Evidence: "&amp;Checks!$Z$98)&amp;IF(Checks!$AA$98="","",IF(Checks!$Z$98="","",CHAR(10))&amp;"CA: "&amp;Checks!$AA$98)</f>
        <v/>
      </c>
      <c r="G31" s="114" t="str">
        <f aca="false">IF(ISNUMBER(Checks!$AD$98),TEXT(Checks!$AD$98,"DD-MMM-YY HH:MM")&amp;" "&amp;Checks!$P$98,"")&amp;IF(Checks!$AE$98="","",CHAR(10)&amp;"Verifier: "&amp;Checks!$AE$98)&amp;IF(Checks!$T$98="","",CHAR(10)&amp;"PIC: "&amp;Checks!$T$98)</f>
        <v/>
      </c>
      <c r="H31" s="115" t="str">
        <f aca="false">IF(Checks!$AH$98="","",Checks!$AH$98)</f>
        <v>OPEN</v>
      </c>
    </row>
    <row r="32" customFormat="false" ht="25.5" hidden="false" customHeight="true" outlineLevel="0" collapsed="false">
      <c r="A32" s="113" t="str">
        <f aca="false">"T-24H — Production batch sensory  |  Due "&amp;IF(ISNUMBER(Flights!$AH$8),TEXT(Flights!$AH$8,"DD-MMM-YY HH:MM"),"")&amp;" "&amp;Flights!$V$8&amp;" (meal uplift stn)"&amp;" (rows with another due show their own)  |  Complete "&amp;IF(ISNUMBER(Flights!$AK$8),TEXT(Flights!$AK$8,"0%"),Flights!$AK$8)&amp;"  |  1 lines"</f>
        <v>T-24H — Production batch sensory  |  Due 09-Oct-26 23:30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Checks!$A$99&amp;CHAR(10)&amp;IF(Checks!$I$99="","",Checks!$I$99&amp;": ")&amp;Checks!$J$99</f>
        <v>F04-T24-01
Meal: Sensory test repeated on ACTUAL production batch for this flight</v>
      </c>
      <c r="B33" s="114" t="str">
        <f aca="false">Checks!$K$99&amp;IF(Checks!$O$99="","",IF(Checks!$K$99="","",CHAR(10))&amp;"Note: "&amp;Checks!$O$99)</f>
        <v>Batch ID, result, CA and acceptance mandatory</v>
      </c>
      <c r="C33" s="114" t="str">
        <f aca="false">Checks!$N$99&amp;CHAR(10)&amp;IF(ISNUMBER(Checks!$R$99),TEXT(Checks!$R$99,"DD-MMM-YY HH:MM"),"")&amp;" "&amp;Checks!$P$99</f>
        <v>Required
09-Oct-26 23:30 KUL</v>
      </c>
      <c r="D33" s="114" t="str">
        <f aca="false">IF(Checks!$U$99="","",Checks!$U$99)&amp;IF(Checks!$AB$99="","",CHAR(10)&amp;"CA: "&amp;Checks!$AB$99)</f>
        <v/>
      </c>
      <c r="E33" s="114" t="str">
        <f aca="false">IF(Checks!$V$99="","",Checks!$V$99)&amp;IF(Checks!$AC$99="","",IF(Checks!$V$99="","",CHAR(10))&amp;"N/A just.: "&amp;Checks!$AC$99)&amp;IF(Checks!$W$99="","",CHAR(10)&amp;"Batch: "&amp;Checks!$W$99)&amp;IF(AND(Checks!$X$99="",Checks!$Y$99=""),"",CHAR(10)&amp;"Exp: "&amp;Checks!$X$99&amp;"  /  Act: "&amp;Checks!$Y$99)</f>
        <v/>
      </c>
      <c r="F33" s="114" t="str">
        <f aca="false">IF(Checks!$Z$99="","","Evidence: "&amp;Checks!$Z$99)&amp;IF(Checks!$AA$99="","",IF(Checks!$Z$99="","",CHAR(10))&amp;"CA: "&amp;Checks!$AA$99)</f>
        <v/>
      </c>
      <c r="G33" s="114" t="str">
        <f aca="false">IF(ISNUMBER(Checks!$AD$99),TEXT(Checks!$AD$99,"DD-MMM-YY HH:MM")&amp;" "&amp;Checks!$P$99,"")&amp;IF(Checks!$AE$99="","",CHAR(10)&amp;"Verifier: "&amp;Checks!$AE$99)&amp;IF(Checks!$T$99="","",CHAR(10)&amp;"PIC: "&amp;Checks!$T$99)</f>
        <v/>
      </c>
      <c r="H33" s="115" t="str">
        <f aca="false">IF(Checks!$AH$99="","",Checks!$AH$99)</f>
        <v>OPEN</v>
      </c>
    </row>
    <row r="34" customFormat="false" ht="25.5" hidden="false" customHeight="true" outlineLevel="0" collapsed="false">
      <c r="A34" s="113" t="str">
        <f aca="false">"T-12H PREP — Preparation check at caterer (does NOT confirm loading)  |  Due "&amp;IF(ISNUMBER(Flights!$AI$8),TEXT(Flights!$AI$8,"DD-MMM-YY HH:MM"),"")&amp;" "&amp;Flights!$V$8&amp;" (meal uplift stn)"&amp;" (rows with another due show their own)  |  Complete "&amp;IF(ISNUMBER(Flights!$AL$8),TEXT(Flights!$AL$8,"0%"),Flights!$AL$8)&amp;"  |  21 lines"</f>
        <v>T-12H PREP — Preparation check at caterer (does NOT confirm loading)  |  Due 10-Oct-26 11:30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Checks!$A$100&amp;CHAR(10)&amp;IF(Checks!$I$100="","",Checks!$I$100&amp;": ")&amp;Checks!$J$100</f>
        <v>F04-T12-01
Meal: Meal quality vs menu checklist</v>
      </c>
      <c r="B35" s="114" t="str">
        <f aca="false">Checks!$K$100&amp;IF(Checks!$O$100="","",IF(Checks!$K$100="","",CHAR(10))&amp;"Note: "&amp;Checks!$O$100)</f>
        <v>Note: Preparation check at caterer - does NOT confirm loading.</v>
      </c>
      <c r="C35" s="114" t="str">
        <f aca="false">Checks!$N$100&amp;CHAR(10)&amp;IF(ISNUMBER(Checks!$R$100),TEXT(Checks!$R$100,"DD-MMM-YY HH:MM"),"")&amp;" "&amp;Checks!$P$100</f>
        <v>Required
10-Oct-26 11:30 KUL</v>
      </c>
      <c r="D35" s="114" t="str">
        <f aca="false">IF(Checks!$U$100="","",Checks!$U$100)&amp;IF(Checks!$AB$100="","",CHAR(10)&amp;"CA: "&amp;Checks!$AB$100)</f>
        <v/>
      </c>
      <c r="E35" s="114" t="str">
        <f aca="false">IF(Checks!$V$100="","",Checks!$V$100)&amp;IF(Checks!$AC$100="","",IF(Checks!$V$100="","",CHAR(10))&amp;"N/A just.: "&amp;Checks!$AC$100)&amp;IF(Checks!$W$100="","",CHAR(10)&amp;"Batch: "&amp;Checks!$W$100)&amp;IF(AND(Checks!$X$100="",Checks!$Y$100=""),"",CHAR(10)&amp;"Exp: "&amp;Checks!$X$100&amp;"  /  Act: "&amp;Checks!$Y$100)</f>
        <v/>
      </c>
      <c r="F35" s="114" t="str">
        <f aca="false">IF(Checks!$Z$100="","","Evidence: "&amp;Checks!$Z$100)&amp;IF(Checks!$AA$100="","",IF(Checks!$Z$100="","",CHAR(10))&amp;"CA: "&amp;Checks!$AA$100)</f>
        <v/>
      </c>
      <c r="G35" s="114" t="str">
        <f aca="false">IF(ISNUMBER(Checks!$AD$100),TEXT(Checks!$AD$100,"DD-MMM-YY HH:MM")&amp;" "&amp;Checks!$P$100,"")&amp;IF(Checks!$AE$100="","",CHAR(10)&amp;"Verifier: "&amp;Checks!$AE$100)&amp;IF(Checks!$T$100="","",CHAR(10)&amp;"PIC: "&amp;Checks!$T$100)</f>
        <v/>
      </c>
      <c r="H35" s="115" t="str">
        <f aca="false">IF(Checks!$AH$100="","",Checks!$AH$100)</f>
        <v>OPEN</v>
      </c>
    </row>
    <row r="36" customFormat="false" ht="114" hidden="false" customHeight="true" outlineLevel="0" collapsed="false">
      <c r="A36" s="114" t="str">
        <f aca="false">Checks!$A$101&amp;CHAR(10)&amp;IF(Checks!$I$101="","",Checks!$I$101&amp;": ")&amp;Checks!$J$101</f>
        <v>F04-T12-02
Meal: Meal quantities vs menu checklist</v>
      </c>
      <c r="B36" s="114" t="str">
        <f aca="false">Checks!$K$101&amp;IF(Checks!$O$101="","",IF(Checks!$K$101="","",CHAR(10))&amp;"Note: "&amp;Checks!$O$101)</f>
        <v>Enter expected &amp; actual
Note: Preparation check at caterer - does NOT confirm loading.</v>
      </c>
      <c r="C36" s="114" t="str">
        <f aca="false">Checks!$N$101&amp;CHAR(10)&amp;IF(ISNUMBER(Checks!$R$101),TEXT(Checks!$R$101,"DD-MMM-YY HH:MM"),"")&amp;" "&amp;Checks!$P$101</f>
        <v>Required
10-Oct-26 11:30 KUL</v>
      </c>
      <c r="D36" s="114" t="str">
        <f aca="false">IF(Checks!$U$101="","",Checks!$U$101)&amp;IF(Checks!$AB$101="","",CHAR(10)&amp;"CA: "&amp;Checks!$AB$101)</f>
        <v/>
      </c>
      <c r="E36" s="114" t="str">
        <f aca="false">IF(Checks!$V$101="","",Checks!$V$101)&amp;IF(Checks!$AC$101="","",IF(Checks!$V$101="","",CHAR(10))&amp;"N/A just.: "&amp;Checks!$AC$101)&amp;IF(Checks!$W$101="","",CHAR(10)&amp;"Batch: "&amp;Checks!$W$101)&amp;IF(AND(Checks!$X$101="",Checks!$Y$101=""),"",CHAR(10)&amp;"Exp: "&amp;Checks!$X$101&amp;"  /  Act: "&amp;Checks!$Y$101)</f>
        <v/>
      </c>
      <c r="F36" s="114" t="str">
        <f aca="false">IF(Checks!$Z$101="","","Evidence: "&amp;Checks!$Z$101)&amp;IF(Checks!$AA$101="","",IF(Checks!$Z$101="","",CHAR(10))&amp;"CA: "&amp;Checks!$AA$101)</f>
        <v/>
      </c>
      <c r="G36" s="114" t="str">
        <f aca="false">IF(ISNUMBER(Checks!$AD$101),TEXT(Checks!$AD$101,"DD-MMM-YY HH:MM")&amp;" "&amp;Checks!$P$101,"")&amp;IF(Checks!$AE$101="","",CHAR(10)&amp;"Verifier: "&amp;Checks!$AE$101)&amp;IF(Checks!$T$101="","",CHAR(10)&amp;"PIC: "&amp;Checks!$T$101)</f>
        <v/>
      </c>
      <c r="H36" s="115" t="str">
        <f aca="false">IF(Checks!$AH$101="","",Checks!$AH$101)</f>
        <v>OPEN</v>
      </c>
    </row>
    <row r="37" customFormat="false" ht="114" hidden="false" customHeight="true" outlineLevel="0" collapsed="false">
      <c r="A37" s="114" t="str">
        <f aca="false">Checks!$A$102&amp;CHAR(10)&amp;IF(Checks!$I$102="","",Checks!$I$102&amp;": ")&amp;Checks!$J$102</f>
        <v>F04-T12-03
Equipment: Equipment cleanliness vs GLD</v>
      </c>
      <c r="B37" s="114" t="str">
        <f aca="false">Checks!$K$102&amp;IF(Checks!$O$102="","",IF(Checks!$K$102="","",CHAR(10))&amp;"Note: "&amp;Checks!$O$102)</f>
        <v>Note: Preparation check at caterer - does NOT confirm loading.</v>
      </c>
      <c r="C37" s="114" t="str">
        <f aca="false">Checks!$N$102&amp;CHAR(10)&amp;IF(ISNUMBER(Checks!$R$102),TEXT(Checks!$R$102,"DD-MMM-YY HH:MM"),"")&amp;" "&amp;Checks!$P$102</f>
        <v>Required
10-Oct-26 11:30 KUL</v>
      </c>
      <c r="D37" s="114" t="str">
        <f aca="false">IF(Checks!$U$102="","",Checks!$U$102)&amp;IF(Checks!$AB$102="","",CHAR(10)&amp;"CA: "&amp;Checks!$AB$102)</f>
        <v/>
      </c>
      <c r="E37" s="114" t="str">
        <f aca="false">IF(Checks!$V$102="","",Checks!$V$102)&amp;IF(Checks!$AC$102="","",IF(Checks!$V$102="","",CHAR(10))&amp;"N/A just.: "&amp;Checks!$AC$102)&amp;IF(Checks!$W$102="","",CHAR(10)&amp;"Batch: "&amp;Checks!$W$102)&amp;IF(AND(Checks!$X$102="",Checks!$Y$102=""),"",CHAR(10)&amp;"Exp: "&amp;Checks!$X$102&amp;"  /  Act: "&amp;Checks!$Y$102)</f>
        <v/>
      </c>
      <c r="F37" s="114" t="str">
        <f aca="false">IF(Checks!$Z$102="","","Evidence: "&amp;Checks!$Z$102)&amp;IF(Checks!$AA$102="","",IF(Checks!$Z$102="","",CHAR(10))&amp;"CA: "&amp;Checks!$AA$102)</f>
        <v/>
      </c>
      <c r="G37" s="114" t="str">
        <f aca="false">IF(ISNUMBER(Checks!$AD$102),TEXT(Checks!$AD$102,"DD-MMM-YY HH:MM")&amp;" "&amp;Checks!$P$102,"")&amp;IF(Checks!$AE$102="","",CHAR(10)&amp;"Verifier: "&amp;Checks!$AE$102)&amp;IF(Checks!$T$102="","",CHAR(10)&amp;"PIC: "&amp;Checks!$T$102)</f>
        <v/>
      </c>
      <c r="H37" s="115" t="str">
        <f aca="false">IF(Checks!$AH$102="","",Checks!$AH$102)</f>
        <v>OPEN</v>
      </c>
    </row>
    <row r="38" customFormat="false" ht="114" hidden="false" customHeight="true" outlineLevel="0" collapsed="false">
      <c r="A38" s="114" t="str">
        <f aca="false">Checks!$A$103&amp;CHAR(10)&amp;IF(Checks!$I$103="","",Checks!$I$103&amp;": ")&amp;Checks!$J$103</f>
        <v>F04-T12-04
Equipment: Equipment presentation vs GLD</v>
      </c>
      <c r="B38" s="114" t="str">
        <f aca="false">Checks!$K$103&amp;IF(Checks!$O$103="","",IF(Checks!$K$103="","",CHAR(10))&amp;"Note: "&amp;Checks!$O$103)</f>
        <v>Note: Preparation check at caterer - does NOT confirm loading.</v>
      </c>
      <c r="C38" s="114" t="str">
        <f aca="false">Checks!$N$103&amp;CHAR(10)&amp;IF(ISNUMBER(Checks!$R$103),TEXT(Checks!$R$103,"DD-MMM-YY HH:MM"),"")&amp;" "&amp;Checks!$P$103</f>
        <v>Required
10-Oct-26 11:30 KUL</v>
      </c>
      <c r="D38" s="114" t="str">
        <f aca="false">IF(Checks!$U$103="","",Checks!$U$103)&amp;IF(Checks!$AB$103="","",CHAR(10)&amp;"CA: "&amp;Checks!$AB$103)</f>
        <v/>
      </c>
      <c r="E38" s="114" t="str">
        <f aca="false">IF(Checks!$V$103="","",Checks!$V$103)&amp;IF(Checks!$AC$103="","",IF(Checks!$V$103="","",CHAR(10))&amp;"N/A just.: "&amp;Checks!$AC$103)&amp;IF(Checks!$W$103="","",CHAR(10)&amp;"Batch: "&amp;Checks!$W$103)&amp;IF(AND(Checks!$X$103="",Checks!$Y$103=""),"",CHAR(10)&amp;"Exp: "&amp;Checks!$X$103&amp;"  /  Act: "&amp;Checks!$Y$103)</f>
        <v/>
      </c>
      <c r="F38" s="114" t="str">
        <f aca="false">IF(Checks!$Z$103="","","Evidence: "&amp;Checks!$Z$103)&amp;IF(Checks!$AA$103="","",IF(Checks!$Z$103="","",CHAR(10))&amp;"CA: "&amp;Checks!$AA$103)</f>
        <v/>
      </c>
      <c r="G38" s="114" t="str">
        <f aca="false">IF(ISNUMBER(Checks!$AD$103),TEXT(Checks!$AD$103,"DD-MMM-YY HH:MM")&amp;" "&amp;Checks!$P$103,"")&amp;IF(Checks!$AE$103="","",CHAR(10)&amp;"Verifier: "&amp;Checks!$AE$103)&amp;IF(Checks!$T$103="","",CHAR(10)&amp;"PIC: "&amp;Checks!$T$103)</f>
        <v/>
      </c>
      <c r="H38" s="115" t="str">
        <f aca="false">IF(Checks!$AH$103="","",Checks!$AH$103)</f>
        <v>OPEN</v>
      </c>
    </row>
    <row r="39" customFormat="false" ht="114" hidden="false" customHeight="true" outlineLevel="0" collapsed="false">
      <c r="A39" s="114" t="str">
        <f aca="false">Checks!$A$104&amp;CHAR(10)&amp;IF(Checks!$I$104="","",Checks!$I$104&amp;": ")&amp;Checks!$J$104</f>
        <v>F04-T12-05
Equipment: Equipment serviceability vs GLD</v>
      </c>
      <c r="B39" s="114" t="str">
        <f aca="false">Checks!$K$104&amp;IF(Checks!$O$104="","",IF(Checks!$K$104="","",CHAR(10))&amp;"Note: "&amp;Checks!$O$104)</f>
        <v>Note: Preparation check at caterer - does NOT confirm loading.</v>
      </c>
      <c r="C39" s="114" t="str">
        <f aca="false">Checks!$N$104&amp;CHAR(10)&amp;IF(ISNUMBER(Checks!$R$104),TEXT(Checks!$R$104,"DD-MMM-YY HH:MM"),"")&amp;" "&amp;Checks!$P$104</f>
        <v>Required
10-Oct-26 11:30 KUL</v>
      </c>
      <c r="D39" s="114" t="str">
        <f aca="false">IF(Checks!$U$104="","",Checks!$U$104)&amp;IF(Checks!$AB$104="","",CHAR(10)&amp;"CA: "&amp;Checks!$AB$104)</f>
        <v/>
      </c>
      <c r="E39" s="114" t="str">
        <f aca="false">IF(Checks!$V$104="","",Checks!$V$104)&amp;IF(Checks!$AC$104="","",IF(Checks!$V$104="","",CHAR(10))&amp;"N/A just.: "&amp;Checks!$AC$104)&amp;IF(Checks!$W$104="","",CHAR(10)&amp;"Batch: "&amp;Checks!$W$104)&amp;IF(AND(Checks!$X$104="",Checks!$Y$104=""),"",CHAR(10)&amp;"Exp: "&amp;Checks!$X$104&amp;"  /  Act: "&amp;Checks!$Y$104)</f>
        <v/>
      </c>
      <c r="F39" s="114" t="str">
        <f aca="false">IF(Checks!$Z$104="","","Evidence: "&amp;Checks!$Z$104)&amp;IF(Checks!$AA$104="","",IF(Checks!$Z$104="","",CHAR(10))&amp;"CA: "&amp;Checks!$AA$104)</f>
        <v/>
      </c>
      <c r="G39" s="114" t="str">
        <f aca="false">IF(ISNUMBER(Checks!$AD$104),TEXT(Checks!$AD$104,"DD-MMM-YY HH:MM")&amp;" "&amp;Checks!$P$104,"")&amp;IF(Checks!$AE$104="","",CHAR(10)&amp;"Verifier: "&amp;Checks!$AE$104)&amp;IF(Checks!$T$104="","",CHAR(10)&amp;"PIC: "&amp;Checks!$T$104)</f>
        <v/>
      </c>
      <c r="H39" s="115" t="str">
        <f aca="false">IF(Checks!$AH$104="","",Checks!$AH$104)</f>
        <v>OPEN</v>
      </c>
    </row>
    <row r="40" customFormat="false" ht="322.5" hidden="false" customHeight="true" outlineLevel="0" collapsed="false">
      <c r="A40" s="114" t="str">
        <f aca="false">Checks!$A$105&amp;CHAR(10)&amp;IF(Checks!$I$105="","",Checks!$I$105&amp;": ")&amp;Checks!$J$105</f>
        <v>F04-T12-06
Equipment: Equipment quantities vs GLD</v>
      </c>
      <c r="B40" s="114" t="str">
        <f aca="false">SUBSTITUTE(Checks!$K$105&amp;IF(Checks!$O$105="","",IF(Checks!$K$105="","",CHAR(10))&amp;"Note: "&amp;Checks!$O$105),"AIRCRAFT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Checks!$N$105&amp;CHAR(10)&amp;IF(ISNUMBER(Checks!$R$105),TEXT(Checks!$R$105,"DD-MMM-YY HH:MM"),"")&amp;" "&amp;Checks!$P$105</f>
        <v>Required
10-Oct-26 11:30 KUL</v>
      </c>
      <c r="D40" s="114" t="str">
        <f aca="false">IF(Checks!$U$105="","",Checks!$U$105)&amp;IF(Checks!$AB$105="","",CHAR(10)&amp;"CA: "&amp;Checks!$AB$105)</f>
        <v/>
      </c>
      <c r="E40" s="114" t="str">
        <f aca="false">IF(Checks!$V$105="","",Checks!$V$105)&amp;IF(Checks!$AC$105="","",IF(Checks!$V$105="","",CHAR(10))&amp;"N/A just.: "&amp;Checks!$AC$105)&amp;IF(Checks!$W$105="","",CHAR(10)&amp;"Batch: "&amp;Checks!$W$105)&amp;IF(AND(Checks!$X$105="",Checks!$Y$105=""),"",CHAR(10)&amp;"Exp: "&amp;Checks!$X$105&amp;"  /  Act: "&amp;Checks!$Y$105)</f>
        <v/>
      </c>
      <c r="F40" s="114" t="str">
        <f aca="false">IF(Checks!$Z$105="","","Evidence: "&amp;Checks!$Z$105)&amp;IF(Checks!$AA$105="","",IF(Checks!$Z$105="","",CHAR(10))&amp;"CA: "&amp;Checks!$AA$105)</f>
        <v/>
      </c>
      <c r="G40" s="114" t="str">
        <f aca="false">IF(ISNUMBER(Checks!$AD$105),TEXT(Checks!$AD$105,"DD-MMM-YY HH:MM")&amp;" "&amp;Checks!$P$105,"")&amp;IF(Checks!$AE$105="","",CHAR(10)&amp;"Verifier: "&amp;Checks!$AE$105)&amp;IF(Checks!$T$105="","",CHAR(10)&amp;"PIC: "&amp;Checks!$T$105)</f>
        <v/>
      </c>
      <c r="H40" s="115" t="str">
        <f aca="false">IF(Checks!$AH$105="","",Checks!$AH$105)</f>
        <v>OPEN</v>
      </c>
    </row>
    <row r="41" customFormat="false" ht="114" hidden="false" customHeight="true" outlineLevel="0" collapsed="false">
      <c r="A41" s="114" t="str">
        <f aca="false">Checks!$A$106&amp;CHAR(10)&amp;IF(Checks!$I$106="","",Checks!$I$106&amp;": ")&amp;Checks!$J$106</f>
        <v>F04-T12-07
Equipment: Loading positions planned vs GLD</v>
      </c>
      <c r="B41" s="114" t="str">
        <f aca="false">Checks!$K$106&amp;IF(Checks!$O$106="","",IF(Checks!$K$106="","",CHAR(10))&amp;"Note: "&amp;Checks!$O$106)</f>
        <v>Note: Preparation check at caterer - does NOT confirm loading.</v>
      </c>
      <c r="C41" s="114" t="str">
        <f aca="false">Checks!$N$106&amp;CHAR(10)&amp;IF(ISNUMBER(Checks!$R$106),TEXT(Checks!$R$106,"DD-MMM-YY HH:MM"),"")&amp;" "&amp;Checks!$P$106</f>
        <v>Required
10-Oct-26 11:30 KUL</v>
      </c>
      <c r="D41" s="114" t="str">
        <f aca="false">IF(Checks!$U$106="","",Checks!$U$106)&amp;IF(Checks!$AB$106="","",CHAR(10)&amp;"CA: "&amp;Checks!$AB$106)</f>
        <v/>
      </c>
      <c r="E41" s="114" t="str">
        <f aca="false">IF(Checks!$V$106="","",Checks!$V$106)&amp;IF(Checks!$AC$106="","",IF(Checks!$V$106="","",CHAR(10))&amp;"N/A just.: "&amp;Checks!$AC$106)&amp;IF(Checks!$W$106="","",CHAR(10)&amp;"Batch: "&amp;Checks!$W$106)&amp;IF(AND(Checks!$X$106="",Checks!$Y$106=""),"",CHAR(10)&amp;"Exp: "&amp;Checks!$X$106&amp;"  /  Act: "&amp;Checks!$Y$106)</f>
        <v/>
      </c>
      <c r="F41" s="114" t="str">
        <f aca="false">IF(Checks!$Z$106="","","Evidence: "&amp;Checks!$Z$106)&amp;IF(Checks!$AA$106="","",IF(Checks!$Z$106="","",CHAR(10))&amp;"CA: "&amp;Checks!$AA$106)</f>
        <v/>
      </c>
      <c r="G41" s="114" t="str">
        <f aca="false">IF(ISNUMBER(Checks!$AD$106),TEXT(Checks!$AD$106,"DD-MMM-YY HH:MM")&amp;" "&amp;Checks!$P$106,"")&amp;IF(Checks!$AE$106="","",CHAR(10)&amp;"Verifier: "&amp;Checks!$AE$106)&amp;IF(Checks!$T$106="","",CHAR(10)&amp;"PIC: "&amp;Checks!$T$106)</f>
        <v/>
      </c>
      <c r="H41" s="115" t="str">
        <f aca="false">IF(Checks!$AH$106="","",Checks!$AH$106)</f>
        <v>OPEN</v>
      </c>
    </row>
    <row r="42" customFormat="false" ht="114" hidden="false" customHeight="true" outlineLevel="0" collapsed="false">
      <c r="A42" s="114" t="str">
        <f aca="false">Checks!$A$107&amp;CHAR(10)&amp;IF(Checks!$I$107="","",Checks!$I$107&amp;": ")&amp;Checks!$J$107</f>
        <v>F04-T12-08
Amenities: Toiletry kits - prepared</v>
      </c>
      <c r="B42" s="114" t="str">
        <f aca="false">Checks!$K$107&amp;IF(Checks!$O$107="","",IF(Checks!$K$107="","",CHAR(10))&amp;"Note: "&amp;Checks!$O$107)</f>
        <v>Available (ticked in reference)</v>
      </c>
      <c r="C42" s="114" t="str">
        <f aca="false">Checks!$N$107&amp;CHAR(10)&amp;IF(ISNUMBER(Checks!$R$107),TEXT(Checks!$R$107,"DD-MMM-YY HH:MM"),"")&amp;" "&amp;Checks!$P$107</f>
        <v>Required
10-Oct-26 11:30 KUL</v>
      </c>
      <c r="D42" s="114" t="str">
        <f aca="false">IF(Checks!$U$107="","",Checks!$U$107)&amp;IF(Checks!$AB$107="","",CHAR(10)&amp;"CA: "&amp;Checks!$AB$107)</f>
        <v/>
      </c>
      <c r="E42" s="114" t="str">
        <f aca="false">IF(Checks!$V$107="","",Checks!$V$107)&amp;IF(Checks!$AC$107="","",IF(Checks!$V$107="","",CHAR(10))&amp;"N/A just.: "&amp;Checks!$AC$107)&amp;IF(Checks!$W$107="","",CHAR(10)&amp;"Batch: "&amp;Checks!$W$107)&amp;IF(AND(Checks!$X$107="",Checks!$Y$107=""),"",CHAR(10)&amp;"Exp: "&amp;Checks!$X$107&amp;"  /  Act: "&amp;Checks!$Y$107)</f>
        <v/>
      </c>
      <c r="F42" s="114" t="str">
        <f aca="false">IF(Checks!$Z$107="","","Evidence: "&amp;Checks!$Z$107)&amp;IF(Checks!$AA$107="","",IF(Checks!$Z$107="","",CHAR(10))&amp;"CA: "&amp;Checks!$AA$107)</f>
        <v/>
      </c>
      <c r="G42" s="114" t="str">
        <f aca="false">IF(ISNUMBER(Checks!$AD$107),TEXT(Checks!$AD$107,"DD-MMM-YY HH:MM")&amp;" "&amp;Checks!$P$107,"")&amp;IF(Checks!$AE$107="","",CHAR(10)&amp;"Verifier: "&amp;Checks!$AE$107)&amp;IF(Checks!$T$107="","",CHAR(10)&amp;"PIC: "&amp;Checks!$T$107)</f>
        <v/>
      </c>
      <c r="H42" s="115" t="str">
        <f aca="false">IF(Checks!$AH$107="","",Checks!$AH$107)</f>
        <v>OPEN</v>
      </c>
    </row>
    <row r="43" customFormat="false" ht="114" hidden="false" customHeight="true" outlineLevel="0" collapsed="false">
      <c r="A43" s="114" t="str">
        <f aca="false">Checks!$A$108&amp;CHAR(10)&amp;IF(Checks!$I$108="","",Checks!$I$108&amp;": ")&amp;Checks!$J$108</f>
        <v>F04-T12-09
Amenities: Slippers (BS/BC) - prepared</v>
      </c>
      <c r="B43" s="114" t="str">
        <f aca="false">Checks!$K$108&amp;IF(Checks!$O$108="","",IF(Checks!$K$108="","",CHAR(10))&amp;"Note: "&amp;Checks!$O$108)</f>
        <v>Available (ticked in reference)</v>
      </c>
      <c r="C43" s="114" t="str">
        <f aca="false">Checks!$N$108&amp;CHAR(10)&amp;IF(ISNUMBER(Checks!$R$108),TEXT(Checks!$R$108,"DD-MMM-YY HH:MM"),"")&amp;" "&amp;Checks!$P$108</f>
        <v>Required
10-Oct-26 11:30 KUL</v>
      </c>
      <c r="D43" s="114" t="str">
        <f aca="false">IF(Checks!$U$108="","",Checks!$U$108)&amp;IF(Checks!$AB$108="","",CHAR(10)&amp;"CA: "&amp;Checks!$AB$108)</f>
        <v/>
      </c>
      <c r="E43" s="114" t="str">
        <f aca="false">IF(Checks!$V$108="","",Checks!$V$108)&amp;IF(Checks!$AC$108="","",IF(Checks!$V$108="","",CHAR(10))&amp;"N/A just.: "&amp;Checks!$AC$108)&amp;IF(Checks!$W$108="","",CHAR(10)&amp;"Batch: "&amp;Checks!$W$108)&amp;IF(AND(Checks!$X$108="",Checks!$Y$108=""),"",CHAR(10)&amp;"Exp: "&amp;Checks!$X$108&amp;"  /  Act: "&amp;Checks!$Y$108)</f>
        <v/>
      </c>
      <c r="F43" s="114" t="str">
        <f aca="false">IF(Checks!$Z$108="","","Evidence: "&amp;Checks!$Z$108)&amp;IF(Checks!$AA$108="","",IF(Checks!$Z$108="","",CHAR(10))&amp;"CA: "&amp;Checks!$AA$108)</f>
        <v/>
      </c>
      <c r="G43" s="114" t="str">
        <f aca="false">IF(ISNUMBER(Checks!$AD$108),TEXT(Checks!$AD$108,"DD-MMM-YY HH:MM")&amp;" "&amp;Checks!$P$108,"")&amp;IF(Checks!$AE$108="","",CHAR(10)&amp;"Verifier: "&amp;Checks!$AE$108)&amp;IF(Checks!$T$108="","",CHAR(10)&amp;"PIC: "&amp;Checks!$T$108)</f>
        <v/>
      </c>
      <c r="H43" s="115" t="str">
        <f aca="false">IF(Checks!$AH$108="","",Checks!$AH$108)</f>
        <v>OPEN</v>
      </c>
    </row>
    <row r="44" customFormat="false" ht="114" hidden="false" customHeight="true" outlineLevel="0" collapsed="false">
      <c r="A44" s="114" t="str">
        <f aca="false">Checks!$A$109&amp;CHAR(10)&amp;IF(Checks!$I$109="","",Checks!$I$109&amp;": ")&amp;Checks!$J$109</f>
        <v>F04-T12-10
F&amp;B Linen: Towel - prepared</v>
      </c>
      <c r="B44" s="114" t="str">
        <f aca="false">Checks!$K$109&amp;IF(Checks!$O$109="","",IF(Checks!$K$109="","",CHAR(10))&amp;"Note: "&amp;Checks!$O$109)</f>
        <v>Available (ticked in reference)
Note: Reference gives no uplift stn for this item: preparation checked at the meal uplift stn (KUL) - confirm with caterer.</v>
      </c>
      <c r="C44" s="114" t="str">
        <f aca="false">Checks!$N$109&amp;CHAR(10)&amp;IF(ISNUMBER(Checks!$R$109),TEXT(Checks!$R$109,"DD-MMM-YY HH:MM"),"")&amp;" "&amp;Checks!$P$109</f>
        <v>Required
10-Oct-26 11:30 KUL</v>
      </c>
      <c r="D44" s="114" t="str">
        <f aca="false">IF(Checks!$U$109="","",Checks!$U$109)&amp;IF(Checks!$AB$109="","",CHAR(10)&amp;"CA: "&amp;Checks!$AB$109)</f>
        <v/>
      </c>
      <c r="E44" s="114" t="str">
        <f aca="false">IF(Checks!$V$109="","",Checks!$V$109)&amp;IF(Checks!$AC$109="","",IF(Checks!$V$109="","",CHAR(10))&amp;"N/A just.: "&amp;Checks!$AC$109)&amp;IF(Checks!$W$109="","",CHAR(10)&amp;"Batch: "&amp;Checks!$W$109)&amp;IF(AND(Checks!$X$109="",Checks!$Y$109=""),"",CHAR(10)&amp;"Exp: "&amp;Checks!$X$109&amp;"  /  Act: "&amp;Checks!$Y$109)</f>
        <v/>
      </c>
      <c r="F44" s="114" t="str">
        <f aca="false">IF(Checks!$Z$109="","","Evidence: "&amp;Checks!$Z$109)&amp;IF(Checks!$AA$109="","",IF(Checks!$Z$109="","",CHAR(10))&amp;"CA: "&amp;Checks!$AA$109)</f>
        <v/>
      </c>
      <c r="G44" s="114" t="str">
        <f aca="false">IF(ISNUMBER(Checks!$AD$109),TEXT(Checks!$AD$109,"DD-MMM-YY HH:MM")&amp;" "&amp;Checks!$P$109,"")&amp;IF(Checks!$AE$109="","",CHAR(10)&amp;"Verifier: "&amp;Checks!$AE$109)&amp;IF(Checks!$T$109="","",CHAR(10)&amp;"PIC: "&amp;Checks!$T$109)</f>
        <v/>
      </c>
      <c r="H44" s="115" t="str">
        <f aca="false">IF(Checks!$AH$109="","",Checks!$AH$109)</f>
        <v>OPEN</v>
      </c>
    </row>
    <row r="45" customFormat="false" ht="114" hidden="false" customHeight="true" outlineLevel="0" collapsed="false">
      <c r="A45" s="114" t="str">
        <f aca="false">Checks!$A$110&amp;CHAR(10)&amp;IF(Checks!$I$110="","",Checks!$I$110&amp;": ")&amp;Checks!$J$110</f>
        <v>F04-T12-11
F&amp;B Linen: Tray cloth - prepared</v>
      </c>
      <c r="B45" s="114" t="str">
        <f aca="false">Checks!$K$110&amp;IF(Checks!$O$110="","",IF(Checks!$K$110="","",CHAR(10))&amp;"Note: "&amp;Checks!$O$110)</f>
        <v>Available (ticked in reference)
Note: Reference gives no uplift stn for this item: preparation checked at the meal uplift stn (KUL) - confirm with caterer.</v>
      </c>
      <c r="C45" s="114" t="str">
        <f aca="false">Checks!$N$110&amp;CHAR(10)&amp;IF(ISNUMBER(Checks!$R$110),TEXT(Checks!$R$110,"DD-MMM-YY HH:MM"),"")&amp;" "&amp;Checks!$P$110</f>
        <v>Required
10-Oct-26 11:30 KUL</v>
      </c>
      <c r="D45" s="114" t="str">
        <f aca="false">IF(Checks!$U$110="","",Checks!$U$110)&amp;IF(Checks!$AB$110="","",CHAR(10)&amp;"CA: "&amp;Checks!$AB$110)</f>
        <v/>
      </c>
      <c r="E45" s="114" t="str">
        <f aca="false">IF(Checks!$V$110="","",Checks!$V$110)&amp;IF(Checks!$AC$110="","",IF(Checks!$V$110="","",CHAR(10))&amp;"N/A just.: "&amp;Checks!$AC$110)&amp;IF(Checks!$W$110="","",CHAR(10)&amp;"Batch: "&amp;Checks!$W$110)&amp;IF(AND(Checks!$X$110="",Checks!$Y$110=""),"",CHAR(10)&amp;"Exp: "&amp;Checks!$X$110&amp;"  /  Act: "&amp;Checks!$Y$110)</f>
        <v/>
      </c>
      <c r="F45" s="114" t="str">
        <f aca="false">IF(Checks!$Z$110="","","Evidence: "&amp;Checks!$Z$110)&amp;IF(Checks!$AA$110="","",IF(Checks!$Z$110="","",CHAR(10))&amp;"CA: "&amp;Checks!$AA$110)</f>
        <v/>
      </c>
      <c r="G45" s="114" t="str">
        <f aca="false">IF(ISNUMBER(Checks!$AD$110),TEXT(Checks!$AD$110,"DD-MMM-YY HH:MM")&amp;" "&amp;Checks!$P$110,"")&amp;IF(Checks!$AE$110="","",CHAR(10)&amp;"Verifier: "&amp;Checks!$AE$110)&amp;IF(Checks!$T$110="","",CHAR(10)&amp;"PIC: "&amp;Checks!$T$110)</f>
        <v/>
      </c>
      <c r="H45" s="115" t="str">
        <f aca="false">IF(Checks!$AH$110="","",Checks!$AH$110)</f>
        <v>OPEN</v>
      </c>
    </row>
    <row r="46" customFormat="false" ht="114" hidden="false" customHeight="true" outlineLevel="0" collapsed="false">
      <c r="A46" s="114" t="str">
        <f aca="false">Checks!$A$111&amp;CHAR(10)&amp;IF(Checks!$I$111="","",Checks!$I$111&amp;": ")&amp;Checks!$J$111</f>
        <v>F04-T12-12
F&amp;B Linen: Napkin - prepared</v>
      </c>
      <c r="B46" s="114" t="str">
        <f aca="false">Checks!$K$111&amp;IF(Checks!$O$111="","",IF(Checks!$K$111="","",CHAR(10))&amp;"Note: "&amp;Checks!$O$111)</f>
        <v>Available (ticked in reference)
Note: Reference gives no uplift stn for this item: preparation checked at the meal uplift stn (KUL) - confirm with caterer.</v>
      </c>
      <c r="C46" s="114" t="str">
        <f aca="false">Checks!$N$111&amp;CHAR(10)&amp;IF(ISNUMBER(Checks!$R$111),TEXT(Checks!$R$111,"DD-MMM-YY HH:MM"),"")&amp;" "&amp;Checks!$P$111</f>
        <v>Required
10-Oct-26 11:30 KUL</v>
      </c>
      <c r="D46" s="114" t="str">
        <f aca="false">IF(Checks!$U$111="","",Checks!$U$111)&amp;IF(Checks!$AB$111="","",CHAR(10)&amp;"CA: "&amp;Checks!$AB$111)</f>
        <v/>
      </c>
      <c r="E46" s="114" t="str">
        <f aca="false">IF(Checks!$V$111="","",Checks!$V$111)&amp;IF(Checks!$AC$111="","",IF(Checks!$V$111="","",CHAR(10))&amp;"N/A just.: "&amp;Checks!$AC$111)&amp;IF(Checks!$W$111="","",CHAR(10)&amp;"Batch: "&amp;Checks!$W$111)&amp;IF(AND(Checks!$X$111="",Checks!$Y$111=""),"",CHAR(10)&amp;"Exp: "&amp;Checks!$X$111&amp;"  /  Act: "&amp;Checks!$Y$111)</f>
        <v/>
      </c>
      <c r="F46" s="114" t="str">
        <f aca="false">IF(Checks!$Z$111="","","Evidence: "&amp;Checks!$Z$111)&amp;IF(Checks!$AA$111="","",IF(Checks!$Z$111="","",CHAR(10))&amp;"CA: "&amp;Checks!$AA$111)</f>
        <v/>
      </c>
      <c r="G46" s="114" t="str">
        <f aca="false">IF(ISNUMBER(Checks!$AD$111),TEXT(Checks!$AD$111,"DD-MMM-YY HH:MM")&amp;" "&amp;Checks!$P$111,"")&amp;IF(Checks!$AE$111="","",CHAR(10)&amp;"Verifier: "&amp;Checks!$AE$111)&amp;IF(Checks!$T$111="","",CHAR(10)&amp;"PIC: "&amp;Checks!$T$111)</f>
        <v/>
      </c>
      <c r="H46" s="115" t="str">
        <f aca="false">IF(Checks!$AH$111="","",Checks!$AH$111)</f>
        <v>OPEN</v>
      </c>
    </row>
    <row r="47" customFormat="false" ht="114" hidden="false" customHeight="true" outlineLevel="0" collapsed="false">
      <c r="A47" s="114" t="str">
        <f aca="false">Checks!$A$112&amp;CHAR(10)&amp;IF(Checks!$I$112="","",Checks!$I$112&amp;": ")&amp;Checks!$J$112</f>
        <v>F04-T12-13
F&amp;B Linen: Table cloth - prepared</v>
      </c>
      <c r="B47" s="114" t="str">
        <f aca="false">Checks!$K$112&amp;IF(Checks!$O$112="","",IF(Checks!$K$112="","",CHAR(10))&amp;"Note: "&amp;Checks!$O$112)</f>
        <v>Available (ticked in reference)
Note: Reference gives no uplift stn for this item: preparation checked at the meal uplift stn (KUL) - confirm with caterer.</v>
      </c>
      <c r="C47" s="114" t="str">
        <f aca="false">Checks!$N$112&amp;CHAR(10)&amp;IF(ISNUMBER(Checks!$R$112),TEXT(Checks!$R$112,"DD-MMM-YY HH:MM"),"")&amp;" "&amp;Checks!$P$112</f>
        <v>Required
10-Oct-26 11:30 KUL</v>
      </c>
      <c r="D47" s="114" t="str">
        <f aca="false">IF(Checks!$U$112="","",Checks!$U$112)&amp;IF(Checks!$AB$112="","",CHAR(10)&amp;"CA: "&amp;Checks!$AB$112)</f>
        <v/>
      </c>
      <c r="E47" s="114" t="str">
        <f aca="false">IF(Checks!$V$112="","",Checks!$V$112)&amp;IF(Checks!$AC$112="","",IF(Checks!$V$112="","",CHAR(10))&amp;"N/A just.: "&amp;Checks!$AC$112)&amp;IF(Checks!$W$112="","",CHAR(10)&amp;"Batch: "&amp;Checks!$W$112)&amp;IF(AND(Checks!$X$112="",Checks!$Y$112=""),"",CHAR(10)&amp;"Exp: "&amp;Checks!$X$112&amp;"  /  Act: "&amp;Checks!$Y$112)</f>
        <v/>
      </c>
      <c r="F47" s="114" t="str">
        <f aca="false">IF(Checks!$Z$112="","","Evidence: "&amp;Checks!$Z$112)&amp;IF(Checks!$AA$112="","",IF(Checks!$Z$112="","",CHAR(10))&amp;"CA: "&amp;Checks!$AA$112)</f>
        <v/>
      </c>
      <c r="G47" s="114" t="str">
        <f aca="false">IF(ISNUMBER(Checks!$AD$112),TEXT(Checks!$AD$112,"DD-MMM-YY HH:MM")&amp;" "&amp;Checks!$P$112,"")&amp;IF(Checks!$AE$112="","",CHAR(10)&amp;"Verifier: "&amp;Checks!$AE$112)&amp;IF(Checks!$T$112="","",CHAR(10)&amp;"PIC: "&amp;Checks!$T$112)</f>
        <v/>
      </c>
      <c r="H47" s="115" t="str">
        <f aca="false">IF(Checks!$AH$112="","",Checks!$AH$112)</f>
        <v>OPEN</v>
      </c>
    </row>
    <row r="48" customFormat="false" ht="114" hidden="false" customHeight="true" outlineLevel="0" collapsed="false">
      <c r="A48" s="114" t="str">
        <f aca="false">Checks!$A$113&amp;CHAR(10)&amp;IF(Checks!$I$113="","",Checks!$I$113&amp;": ")&amp;Checks!$J$113</f>
        <v>F04-T12-14
F&amp;B Linen: Bread linen (using table cloth) - prepared</v>
      </c>
      <c r="B48" s="114" t="str">
        <f aca="false">Checks!$K$113&amp;IF(Checks!$O$113="","",IF(Checks!$K$113="","",CHAR(10))&amp;"Note: "&amp;Checks!$O$113)</f>
        <v>Available (ticked in reference)
Note: Reference gives no uplift stn for this item: preparation checked at the meal uplift stn (KUL) - confirm with caterer.</v>
      </c>
      <c r="C48" s="114" t="str">
        <f aca="false">Checks!$N$113&amp;CHAR(10)&amp;IF(ISNUMBER(Checks!$R$113),TEXT(Checks!$R$113,"DD-MMM-YY HH:MM"),"")&amp;" "&amp;Checks!$P$113</f>
        <v>Required
10-Oct-26 11:30 KUL</v>
      </c>
      <c r="D48" s="114" t="str">
        <f aca="false">IF(Checks!$U$113="","",Checks!$U$113)&amp;IF(Checks!$AB$113="","",CHAR(10)&amp;"CA: "&amp;Checks!$AB$113)</f>
        <v/>
      </c>
      <c r="E48" s="114" t="str">
        <f aca="false">IF(Checks!$V$113="","",Checks!$V$113)&amp;IF(Checks!$AC$113="","",IF(Checks!$V$113="","",CHAR(10))&amp;"N/A just.: "&amp;Checks!$AC$113)&amp;IF(Checks!$W$113="","",CHAR(10)&amp;"Batch: "&amp;Checks!$W$113)&amp;IF(AND(Checks!$X$113="",Checks!$Y$113=""),"",CHAR(10)&amp;"Exp: "&amp;Checks!$X$113&amp;"  /  Act: "&amp;Checks!$Y$113)</f>
        <v/>
      </c>
      <c r="F48" s="114" t="str">
        <f aca="false">IF(Checks!$Z$113="","","Evidence: "&amp;Checks!$Z$113)&amp;IF(Checks!$AA$113="","",IF(Checks!$Z$113="","",CHAR(10))&amp;"CA: "&amp;Checks!$AA$113)</f>
        <v/>
      </c>
      <c r="G48" s="114" t="str">
        <f aca="false">IF(ISNUMBER(Checks!$AD$113),TEXT(Checks!$AD$113,"DD-MMM-YY HH:MM")&amp;" "&amp;Checks!$P$113,"")&amp;IF(Checks!$AE$113="","",CHAR(10)&amp;"Verifier: "&amp;Checks!$AE$113)&amp;IF(Checks!$T$113="","",CHAR(10)&amp;"PIC: "&amp;Checks!$T$113)</f>
        <v/>
      </c>
      <c r="H48" s="115" t="str">
        <f aca="false">IF(Checks!$AH$113="","",Checks!$AH$113)</f>
        <v>OPEN</v>
      </c>
    </row>
    <row r="49" customFormat="false" ht="124.5" hidden="false" customHeight="true" outlineLevel="0" collapsed="false">
      <c r="A49" s="114" t="str">
        <f aca="false">Checks!$A$114&amp;CHAR(10)&amp;IF(Checks!$I$114="","",Checks!$I$114&amp;": ")&amp;Checks!$J$114</f>
        <v>F04-T12-15
F&amp;B Linen: Trolley cloth - prepared</v>
      </c>
      <c r="B49" s="114" t="str">
        <f aca="false">SUBSTITUTE(Checks!$K$114&amp;IF(Checks!$O$114="","",IF(Checks!$K$114="","",CHAR(10))&amp;"Note: "&amp;Checks!$O$114),"F&amp;B LINEN!","Ref: F&amp;B LINEN!")</f>
        <v>Wide body: Top/Middle &amp; Bottom
Note: Per note Ref: F&amp;B LINEN!B79:C80. Reference gives no uplift stn for this item: preparation checked at the meal uplift stn (KUL) - confirm with caterer.</v>
      </c>
      <c r="C49" s="114" t="str">
        <f aca="false">Checks!$N$114&amp;CHAR(10)&amp;IF(ISNUMBER(Checks!$R$114),TEXT(Checks!$R$114,"DD-MMM-YY HH:MM"),"")&amp;" "&amp;Checks!$P$114</f>
        <v>Required
10-Oct-26 11:30 KUL</v>
      </c>
      <c r="D49" s="114" t="str">
        <f aca="false">IF(Checks!$U$114="","",Checks!$U$114)&amp;IF(Checks!$AB$114="","",CHAR(10)&amp;"CA: "&amp;Checks!$AB$114)</f>
        <v/>
      </c>
      <c r="E49" s="114" t="str">
        <f aca="false">IF(Checks!$V$114="","",Checks!$V$114)&amp;IF(Checks!$AC$114="","",IF(Checks!$V$114="","",CHAR(10))&amp;"N/A just.: "&amp;Checks!$AC$114)&amp;IF(Checks!$W$114="","",CHAR(10)&amp;"Batch: "&amp;Checks!$W$114)&amp;IF(AND(Checks!$X$114="",Checks!$Y$114=""),"",CHAR(10)&amp;"Exp: "&amp;Checks!$X$114&amp;"  /  Act: "&amp;Checks!$Y$114)</f>
        <v/>
      </c>
      <c r="F49" s="114" t="str">
        <f aca="false">IF(Checks!$Z$114="","","Evidence: "&amp;Checks!$Z$114)&amp;IF(Checks!$AA$114="","",IF(Checks!$Z$114="","",CHAR(10))&amp;"CA: "&amp;Checks!$AA$114)</f>
        <v/>
      </c>
      <c r="G49" s="114" t="str">
        <f aca="false">IF(ISNUMBER(Checks!$AD$114),TEXT(Checks!$AD$114,"DD-MMM-YY HH:MM")&amp;" "&amp;Checks!$P$114,"")&amp;IF(Checks!$AE$114="","",CHAR(10)&amp;"Verifier: "&amp;Checks!$AE$114)&amp;IF(Checks!$T$114="","",CHAR(10)&amp;"PIC: "&amp;Checks!$T$114)</f>
        <v/>
      </c>
      <c r="H49" s="115" t="str">
        <f aca="false">IF(Checks!$AH$114="","",Checks!$AH$114)</f>
        <v>OPEN</v>
      </c>
    </row>
    <row r="50" customFormat="false" ht="114" hidden="false" customHeight="true" outlineLevel="0" collapsed="false">
      <c r="A50" s="114" t="str">
        <f aca="false">Checks!$A$115&amp;CHAR(10)&amp;IF(Checks!$I$115="","",Checks!$I$115&amp;": ")&amp;Checks!$J$115</f>
        <v>F04-T12-16
F&amp;B Linen: Linen bag - prepared</v>
      </c>
      <c r="B50" s="114" t="str">
        <f aca="false">Checks!$K$115&amp;IF(Checks!$O$115="","",IF(Checks!$K$115="","",CHAR(10))&amp;"Note: "&amp;Checks!$O$115)</f>
        <v>Available (ticked in reference)
Note: Reference gives no uplift stn for this item: preparation checked at the meal uplift stn (KUL) - confirm with caterer.</v>
      </c>
      <c r="C50" s="114" t="str">
        <f aca="false">Checks!$N$115&amp;CHAR(10)&amp;IF(ISNUMBER(Checks!$R$115),TEXT(Checks!$R$115,"DD-MMM-YY HH:MM"),"")&amp;" "&amp;Checks!$P$115</f>
        <v>Required
10-Oct-26 11:30 KUL</v>
      </c>
      <c r="D50" s="114" t="str">
        <f aca="false">IF(Checks!$U$115="","",Checks!$U$115)&amp;IF(Checks!$AB$115="","",CHAR(10)&amp;"CA: "&amp;Checks!$AB$115)</f>
        <v/>
      </c>
      <c r="E50" s="114" t="str">
        <f aca="false">IF(Checks!$V$115="","",Checks!$V$115)&amp;IF(Checks!$AC$115="","",IF(Checks!$V$115="","",CHAR(10))&amp;"N/A just.: "&amp;Checks!$AC$115)&amp;IF(Checks!$W$115="","",CHAR(10)&amp;"Batch: "&amp;Checks!$W$115)&amp;IF(AND(Checks!$X$115="",Checks!$Y$115=""),"",CHAR(10)&amp;"Exp: "&amp;Checks!$X$115&amp;"  /  Act: "&amp;Checks!$Y$115)</f>
        <v/>
      </c>
      <c r="F50" s="114" t="str">
        <f aca="false">IF(Checks!$Z$115="","","Evidence: "&amp;Checks!$Z$115)&amp;IF(Checks!$AA$115="","",IF(Checks!$Z$115="","",CHAR(10))&amp;"CA: "&amp;Checks!$AA$115)</f>
        <v/>
      </c>
      <c r="G50" s="114" t="str">
        <f aca="false">IF(ISNUMBER(Checks!$AD$115),TEXT(Checks!$AD$115,"DD-MMM-YY HH:MM")&amp;" "&amp;Checks!$P$115,"")&amp;IF(Checks!$AE$115="","",CHAR(10)&amp;"Verifier: "&amp;Checks!$AE$115)&amp;IF(Checks!$T$115="","",CHAR(10)&amp;"PIC: "&amp;Checks!$T$115)</f>
        <v/>
      </c>
      <c r="H50" s="115" t="str">
        <f aca="false">IF(Checks!$AH$115="","",Checks!$AH$115)</f>
        <v>OPEN</v>
      </c>
    </row>
    <row r="51" customFormat="false" ht="114" hidden="false" customHeight="true" outlineLevel="0" collapsed="false">
      <c r="A51" s="114" t="str">
        <f aca="false">Checks!$A$116&amp;CHAR(10)&amp;IF(Checks!$I$116="","",Checks!$I$116&amp;": ")&amp;Checks!$J$116</f>
        <v>F04-T12-17
Seat Linen: Seat pillow (BS &amp; BC) - prepared</v>
      </c>
      <c r="B51" s="114" t="str">
        <f aca="false">Checks!$K$116&amp;IF(Checks!$O$116="","",IF(Checks!$K$116="","",CHAR(10))&amp;"Note: "&amp;Checks!$O$116)</f>
        <v>Available 100% (ticked in reference)
Note: Reference gives no uplift stn for this item: preparation checked at the meal uplift stn (KUL) - confirm with caterer.</v>
      </c>
      <c r="C51" s="114" t="str">
        <f aca="false">Checks!$N$116&amp;CHAR(10)&amp;IF(ISNUMBER(Checks!$R$116),TEXT(Checks!$R$116,"DD-MMM-YY HH:MM"),"")&amp;" "&amp;Checks!$P$116</f>
        <v>Required
10-Oct-26 11:30 KUL</v>
      </c>
      <c r="D51" s="114" t="str">
        <f aca="false">IF(Checks!$U$116="","",Checks!$U$116)&amp;IF(Checks!$AB$116="","",CHAR(10)&amp;"CA: "&amp;Checks!$AB$116)</f>
        <v/>
      </c>
      <c r="E51" s="114" t="str">
        <f aca="false">IF(Checks!$V$116="","",Checks!$V$116)&amp;IF(Checks!$AC$116="","",IF(Checks!$V$116="","",CHAR(10))&amp;"N/A just.: "&amp;Checks!$AC$116)&amp;IF(Checks!$W$116="","",CHAR(10)&amp;"Batch: "&amp;Checks!$W$116)&amp;IF(AND(Checks!$X$116="",Checks!$Y$116=""),"",CHAR(10)&amp;"Exp: "&amp;Checks!$X$116&amp;"  /  Act: "&amp;Checks!$Y$116)</f>
        <v/>
      </c>
      <c r="F51" s="114" t="str">
        <f aca="false">IF(Checks!$Z$116="","","Evidence: "&amp;Checks!$Z$116)&amp;IF(Checks!$AA$116="","",IF(Checks!$Z$116="","",CHAR(10))&amp;"CA: "&amp;Checks!$AA$116)</f>
        <v/>
      </c>
      <c r="G51" s="114" t="str">
        <f aca="false">IF(ISNUMBER(Checks!$AD$116),TEXT(Checks!$AD$116,"DD-MMM-YY HH:MM")&amp;" "&amp;Checks!$P$116,"")&amp;IF(Checks!$AE$116="","",CHAR(10)&amp;"Verifier: "&amp;Checks!$AE$116)&amp;IF(Checks!$T$116="","",CHAR(10)&amp;"PIC: "&amp;Checks!$T$116)</f>
        <v/>
      </c>
      <c r="H51" s="115" t="str">
        <f aca="false">IF(Checks!$AH$116="","",Checks!$AH$116)</f>
        <v>OPEN</v>
      </c>
    </row>
    <row r="52" customFormat="false" ht="114" hidden="false" customHeight="true" outlineLevel="0" collapsed="false">
      <c r="A52" s="114" t="str">
        <f aca="false">Checks!$A$117&amp;CHAR(10)&amp;IF(Checks!$I$117="","",Checks!$I$117&amp;": ")&amp;Checks!$J$117</f>
        <v>F04-T12-18
Seat Linen: Duvet (BS &amp; BC) - prepared</v>
      </c>
      <c r="B52" s="114" t="str">
        <f aca="false">Checks!$K$117&amp;IF(Checks!$O$117="","",IF(Checks!$K$117="","",CHAR(10))&amp;"Note: "&amp;Checks!$O$117)</f>
        <v>Available 100% (ticked in reference)
Note: Reference gives no uplift stn for this item: preparation checked at the meal uplift stn (KUL) - confirm with caterer.</v>
      </c>
      <c r="C52" s="114" t="str">
        <f aca="false">Checks!$N$117&amp;CHAR(10)&amp;IF(ISNUMBER(Checks!$R$117),TEXT(Checks!$R$117,"DD-MMM-YY HH:MM"),"")&amp;" "&amp;Checks!$P$117</f>
        <v>Required
10-Oct-26 11:30 KUL</v>
      </c>
      <c r="D52" s="114" t="str">
        <f aca="false">IF(Checks!$U$117="","",Checks!$U$117)&amp;IF(Checks!$AB$117="","",CHAR(10)&amp;"CA: "&amp;Checks!$AB$117)</f>
        <v/>
      </c>
      <c r="E52" s="114" t="str">
        <f aca="false">IF(Checks!$V$117="","",Checks!$V$117)&amp;IF(Checks!$AC$117="","",IF(Checks!$V$117="","",CHAR(10))&amp;"N/A just.: "&amp;Checks!$AC$117)&amp;IF(Checks!$W$117="","",CHAR(10)&amp;"Batch: "&amp;Checks!$W$117)&amp;IF(AND(Checks!$X$117="",Checks!$Y$117=""),"",CHAR(10)&amp;"Exp: "&amp;Checks!$X$117&amp;"  /  Act: "&amp;Checks!$Y$117)</f>
        <v/>
      </c>
      <c r="F52" s="114" t="str">
        <f aca="false">IF(Checks!$Z$117="","","Evidence: "&amp;Checks!$Z$117)&amp;IF(Checks!$AA$117="","",IF(Checks!$Z$117="","",CHAR(10))&amp;"CA: "&amp;Checks!$AA$117)</f>
        <v/>
      </c>
      <c r="G52" s="114" t="str">
        <f aca="false">IF(ISNUMBER(Checks!$AD$117),TEXT(Checks!$AD$117,"DD-MMM-YY HH:MM")&amp;" "&amp;Checks!$P$117,"")&amp;IF(Checks!$AE$117="","",CHAR(10)&amp;"Verifier: "&amp;Checks!$AE$117)&amp;IF(Checks!$T$117="","",CHAR(10)&amp;"PIC: "&amp;Checks!$T$117)</f>
        <v/>
      </c>
      <c r="H52" s="115" t="str">
        <f aca="false">IF(Checks!$AH$117="","",Checks!$AH$117)</f>
        <v>OPEN</v>
      </c>
    </row>
    <row r="53" customFormat="false" ht="114" hidden="false" customHeight="true" outlineLevel="0" collapsed="false">
      <c r="A53" s="114" t="str">
        <f aca="false">Checks!$A$118&amp;CHAR(10)&amp;IF(Checks!$I$118="","",Checks!$I$118&amp;": ")&amp;Checks!$J$118</f>
        <v>F04-T12-19
Seat Linen: Mattress (BS &amp; BC) - prepared</v>
      </c>
      <c r="B53" s="114" t="str">
        <f aca="false">Checks!$K$118&amp;IF(Checks!$O$118="","",IF(Checks!$K$118="","",CHAR(10))&amp;"Note: "&amp;Checks!$O$118)</f>
        <v>Available 100% (ticked in reference)
Note: Reference gives no uplift stn for this item: preparation checked at the meal uplift stn (KUL) - confirm with caterer.</v>
      </c>
      <c r="C53" s="114" t="str">
        <f aca="false">Checks!$N$118&amp;CHAR(10)&amp;IF(ISNUMBER(Checks!$R$118),TEXT(Checks!$R$118,"DD-MMM-YY HH:MM"),"")&amp;" "&amp;Checks!$P$118</f>
        <v>Required
10-Oct-26 11:30 KUL</v>
      </c>
      <c r="D53" s="114" t="str">
        <f aca="false">IF(Checks!$U$118="","",Checks!$U$118)&amp;IF(Checks!$AB$118="","",CHAR(10)&amp;"CA: "&amp;Checks!$AB$118)</f>
        <v/>
      </c>
      <c r="E53" s="114" t="str">
        <f aca="false">IF(Checks!$V$118="","",Checks!$V$118)&amp;IF(Checks!$AC$118="","",IF(Checks!$V$118="","",CHAR(10))&amp;"N/A just.: "&amp;Checks!$AC$118)&amp;IF(Checks!$W$118="","",CHAR(10)&amp;"Batch: "&amp;Checks!$W$118)&amp;IF(AND(Checks!$X$118="",Checks!$Y$118=""),"",CHAR(10)&amp;"Exp: "&amp;Checks!$X$118&amp;"  /  Act: "&amp;Checks!$Y$118)</f>
        <v/>
      </c>
      <c r="F53" s="114" t="str">
        <f aca="false">IF(Checks!$Z$118="","","Evidence: "&amp;Checks!$Z$118)&amp;IF(Checks!$AA$118="","",IF(Checks!$Z$118="","",CHAR(10))&amp;"CA: "&amp;Checks!$AA$118)</f>
        <v/>
      </c>
      <c r="G53" s="114" t="str">
        <f aca="false">IF(ISNUMBER(Checks!$AD$118),TEXT(Checks!$AD$118,"DD-MMM-YY HH:MM")&amp;" "&amp;Checks!$P$118,"")&amp;IF(Checks!$AE$118="","",CHAR(10)&amp;"Verifier: "&amp;Checks!$AE$118)&amp;IF(Checks!$T$118="","",CHAR(10)&amp;"PIC: "&amp;Checks!$T$118)</f>
        <v/>
      </c>
      <c r="H53" s="115" t="str">
        <f aca="false">IF(Checks!$AH$118="","",Checks!$AH$118)</f>
        <v>OPEN</v>
      </c>
    </row>
    <row r="54" customFormat="false" ht="114" hidden="false" customHeight="true" outlineLevel="0" collapsed="false">
      <c r="A54" s="114" t="str">
        <f aca="false">Checks!$A$119&amp;CHAR(10)&amp;IF(Checks!$I$119="","",Checks!$I$119&amp;": ")&amp;Checks!$J$119</f>
        <v>F04-T12-20
Signature Drinks: Signature drink &amp; garnish (BC) - prepared</v>
      </c>
      <c r="B54" s="114" t="str">
        <f aca="false">Checks!$K$119&amp;IF(Checks!$O$119="","",IF(Checks!$K$119="","",CHAR(10))&amp;"Note: "&amp;Checks!$O$119)</f>
        <v>Available (ticked in reference)
Note: Signature drinks &amp; garnish uplifted from KUL (note D79).</v>
      </c>
      <c r="C54" s="114" t="str">
        <f aca="false">Checks!$N$119&amp;CHAR(10)&amp;IF(ISNUMBER(Checks!$R$119),TEXT(Checks!$R$119,"DD-MMM-YY HH:MM"),"")&amp;" "&amp;Checks!$P$119</f>
        <v>Required
10-Oct-26 11:30 KUL</v>
      </c>
      <c r="D54" s="114" t="str">
        <f aca="false">IF(Checks!$U$119="","",Checks!$U$119)&amp;IF(Checks!$AB$119="","",CHAR(10)&amp;"CA: "&amp;Checks!$AB$119)</f>
        <v/>
      </c>
      <c r="E54" s="114" t="str">
        <f aca="false">IF(Checks!$V$119="","",Checks!$V$119)&amp;IF(Checks!$AC$119="","",IF(Checks!$V$119="","",CHAR(10))&amp;"N/A just.: "&amp;Checks!$AC$119)&amp;IF(Checks!$W$119="","",CHAR(10)&amp;"Batch: "&amp;Checks!$W$119)&amp;IF(AND(Checks!$X$119="",Checks!$Y$119=""),"",CHAR(10)&amp;"Exp: "&amp;Checks!$X$119&amp;"  /  Act: "&amp;Checks!$Y$119)</f>
        <v/>
      </c>
      <c r="F54" s="114" t="str">
        <f aca="false">IF(Checks!$Z$119="","","Evidence: "&amp;Checks!$Z$119)&amp;IF(Checks!$AA$119="","",IF(Checks!$Z$119="","",CHAR(10))&amp;"CA: "&amp;Checks!$AA$119)</f>
        <v/>
      </c>
      <c r="G54" s="114" t="str">
        <f aca="false">IF(ISNUMBER(Checks!$AD$119),TEXT(Checks!$AD$119,"DD-MMM-YY HH:MM")&amp;" "&amp;Checks!$P$119,"")&amp;IF(Checks!$AE$119="","",CHAR(10)&amp;"Verifier: "&amp;Checks!$AE$119)&amp;IF(Checks!$T$119="","",CHAR(10)&amp;"PIC: "&amp;Checks!$T$119)</f>
        <v/>
      </c>
      <c r="H54" s="115" t="str">
        <f aca="false">IF(Checks!$AH$119="","",Checks!$AH$119)</f>
        <v>OPEN</v>
      </c>
    </row>
    <row r="55" customFormat="false" ht="168.75" hidden="false" customHeight="true" outlineLevel="0" collapsed="false">
      <c r="A55" s="114" t="str">
        <f aca="false">Checks!$A$120&amp;CHAR(10)&amp;IF(Checks!$I$120="","",Checks!$I$120&amp;": ")&amp;Checks!$J$120</f>
        <v>F04-T12-21
Sales Cart: Sales cart (caterer PASB) - prepared</v>
      </c>
      <c r="B55" s="114" t="str">
        <f aca="false">Checks!$K$120&amp;IF(Checks!$O$120="","",IF(Checks!$K$120="","",CHAR(10))&amp;"Note: "&amp;Checks!$O$120)</f>
        <v>A359: 5R41A &amp; 5R42A (not applicable for LHR) (full cart); 9M-MAH: G4F13A (half cart) - per tail
Note: Block 7.17 h &gt;= 4 h. Location depends on tail. Reference gives no uplift stn for this item: preparation checked at the meal uplift stn (KUL) - confirm with caterer.</v>
      </c>
      <c r="C55" s="114" t="str">
        <f aca="false">Checks!$N$120&amp;CHAR(10)&amp;IF(ISNUMBER(Checks!$R$120),TEXT(Checks!$R$120,"DD-MMM-YY HH:MM"),"")&amp;" "&amp;Checks!$P$120</f>
        <v>Required
10-Oct-26 11:30 KUL</v>
      </c>
      <c r="D55" s="114" t="str">
        <f aca="false">IF(Checks!$U$120="","",Checks!$U$120)&amp;IF(Checks!$AB$120="","",CHAR(10)&amp;"CA: "&amp;Checks!$AB$120)</f>
        <v/>
      </c>
      <c r="E55" s="114" t="str">
        <f aca="false">IF(Checks!$V$120="","",Checks!$V$120)&amp;IF(Checks!$AC$120="","",IF(Checks!$V$120="","",CHAR(10))&amp;"N/A just.: "&amp;Checks!$AC$120)&amp;IF(Checks!$W$120="","",CHAR(10)&amp;"Batch: "&amp;Checks!$W$120)&amp;IF(AND(Checks!$X$120="",Checks!$Y$120=""),"",CHAR(10)&amp;"Exp: "&amp;Checks!$X$120&amp;"  /  Act: "&amp;Checks!$Y$120)</f>
        <v/>
      </c>
      <c r="F55" s="114" t="str">
        <f aca="false">IF(Checks!$Z$120="","","Evidence: "&amp;Checks!$Z$120)&amp;IF(Checks!$AA$120="","",IF(Checks!$Z$120="","",CHAR(10))&amp;"CA: "&amp;Checks!$AA$120)</f>
        <v/>
      </c>
      <c r="G55" s="114" t="str">
        <f aca="false">IF(ISNUMBER(Checks!$AD$120),TEXT(Checks!$AD$120,"DD-MMM-YY HH:MM")&amp;" "&amp;Checks!$P$120,"")&amp;IF(Checks!$AE$120="","",CHAR(10)&amp;"Verifier: "&amp;Checks!$AE$120)&amp;IF(Checks!$T$120="","",CHAR(10)&amp;"PIC: "&amp;Checks!$T$120)</f>
        <v/>
      </c>
      <c r="H55" s="115" t="str">
        <f aca="false">IF(Checks!$AH$120="","",Checks!$AH$120)</f>
        <v>OPEN</v>
      </c>
    </row>
    <row r="56" customFormat="false" ht="25.5" hidden="false" customHeight="true" outlineLevel="0" collapsed="false">
      <c r="A56" s="113" t="str">
        <f aca="false">"UPLIFT — Physical uplift – on-board confirmation before departure  |  Due "&amp;"STD "&amp;IF(ISNUMBER(Flights!$I$8),TEXT(Flights!$I$8,"DD-MMM-YY HH:MM"),"")&amp;" "&amp;Flights!$G$8&amp;" (departure stn)"&amp;" (rows with another due show their own)  |  Complete "&amp;IF(ISNUMBER(Flights!$AM$8),TEXT(Flights!$AM$8,"0%"),Flights!$AM$8)&amp;"  |  16 lines"</f>
        <v>UPLIFT — Physical uplift – on-board confirmation before departure  |  Due STD 10-Oct-26 23:30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Checks!$A$121&amp;CHAR(10)&amp;IF(Checks!$I$121="","",Checks!$I$121&amp;": ")&amp;Checks!$J$121</f>
        <v>F04-UPL-01
Meal: Meals physically uplifted on board - quantity vs menu checklist</v>
      </c>
      <c r="B57" s="114" t="str">
        <f aca="false">Checks!$K$121&amp;IF(Checks!$O$121="","",IF(Checks!$K$121="","",CHAR(10))&amp;"Note: "&amp;Checks!$O$121)</f>
        <v>Enter expected &amp; actual
Note: Confirm on board before departure; completion time must fall inside the uplift window.</v>
      </c>
      <c r="C57" s="114" t="str">
        <f aca="false">Checks!$N$121&amp;CHAR(10)&amp;IF(ISNUMBER(Checks!$R$121),TEXT(Checks!$R$121,"DD-MMM-YY HH:MM"),"")&amp;" "&amp;Checks!$P$121</f>
        <v>Required
10-Oct-26 23:30 KUL</v>
      </c>
      <c r="D57" s="114" t="str">
        <f aca="false">IF(Checks!$U$121="","",Checks!$U$121)&amp;IF(Checks!$AB$121="","",CHAR(10)&amp;"CA: "&amp;Checks!$AB$121)</f>
        <v/>
      </c>
      <c r="E57" s="114" t="str">
        <f aca="false">IF(Checks!$V$121="","",Checks!$V$121)&amp;IF(Checks!$AC$121="","",IF(Checks!$V$121="","",CHAR(10))&amp;"N/A just.: "&amp;Checks!$AC$121)&amp;IF(Checks!$W$121="","",CHAR(10)&amp;"Batch: "&amp;Checks!$W$121)&amp;IF(AND(Checks!$X$121="",Checks!$Y$121=""),"",CHAR(10)&amp;"Exp: "&amp;Checks!$X$121&amp;"  /  Act: "&amp;Checks!$Y$121)</f>
        <v/>
      </c>
      <c r="F57" s="114" t="str">
        <f aca="false">IF(Checks!$Z$121="","","Evidence: "&amp;Checks!$Z$121)&amp;IF(Checks!$AA$121="","",IF(Checks!$Z$121="","",CHAR(10))&amp;"CA: "&amp;Checks!$AA$121)</f>
        <v/>
      </c>
      <c r="G57" s="114" t="str">
        <f aca="false">IF(ISNUMBER(Checks!$AD$121),TEXT(Checks!$AD$121,"DD-MMM-YY HH:MM")&amp;" "&amp;Checks!$P$121,"")&amp;IF(Checks!$AE$121="","",CHAR(10)&amp;"Verifier: "&amp;Checks!$AE$121)&amp;IF(Checks!$T$121="","",CHAR(10)&amp;"PIC: "&amp;Checks!$T$121)</f>
        <v/>
      </c>
      <c r="H57" s="115" t="str">
        <f aca="false">IF(Checks!$AH$121="","",Checks!$AH$121)</f>
        <v>OPEN</v>
      </c>
    </row>
    <row r="58" customFormat="false" ht="114" hidden="false" customHeight="true" outlineLevel="0" collapsed="false">
      <c r="A58" s="114" t="str">
        <f aca="false">Checks!$A$122&amp;CHAR(10)&amp;IF(Checks!$I$122="","",Checks!$I$122&amp;": ")&amp;Checks!$J$122</f>
        <v>F04-UPL-02
Equipment: Equipment physically loaded at GLD positions - quantity &amp; positions</v>
      </c>
      <c r="B58" s="114" t="str">
        <f aca="false">Checks!$K$122&amp;IF(Checks!$O$122="","",IF(Checks!$K$122="","",CHAR(10))&amp;"Note: "&amp;Checks!$O$122)</f>
        <v>Enter expected &amp; actual
Note: Confirm on board before departure; completion time must fall inside the uplift window.</v>
      </c>
      <c r="C58" s="114" t="str">
        <f aca="false">Checks!$N$122&amp;CHAR(10)&amp;IF(ISNUMBER(Checks!$R$122),TEXT(Checks!$R$122,"DD-MMM-YY HH:MM"),"")&amp;" "&amp;Checks!$P$122</f>
        <v>Required
10-Oct-26 23:30 KUL</v>
      </c>
      <c r="D58" s="114" t="str">
        <f aca="false">IF(Checks!$U$122="","",Checks!$U$122)&amp;IF(Checks!$AB$122="","",CHAR(10)&amp;"CA: "&amp;Checks!$AB$122)</f>
        <v/>
      </c>
      <c r="E58" s="114" t="str">
        <f aca="false">IF(Checks!$V$122="","",Checks!$V$122)&amp;IF(Checks!$AC$122="","",IF(Checks!$V$122="","",CHAR(10))&amp;"N/A just.: "&amp;Checks!$AC$122)&amp;IF(Checks!$W$122="","",CHAR(10)&amp;"Batch: "&amp;Checks!$W$122)&amp;IF(AND(Checks!$X$122="",Checks!$Y$122=""),"",CHAR(10)&amp;"Exp: "&amp;Checks!$X$122&amp;"  /  Act: "&amp;Checks!$Y$122)</f>
        <v/>
      </c>
      <c r="F58" s="114" t="str">
        <f aca="false">IF(Checks!$Z$122="","","Evidence: "&amp;Checks!$Z$122)&amp;IF(Checks!$AA$122="","",IF(Checks!$Z$122="","",CHAR(10))&amp;"CA: "&amp;Checks!$AA$122)</f>
        <v/>
      </c>
      <c r="G58" s="114" t="str">
        <f aca="false">IF(ISNUMBER(Checks!$AD$122),TEXT(Checks!$AD$122,"DD-MMM-YY HH:MM")&amp;" "&amp;Checks!$P$122,"")&amp;IF(Checks!$AE$122="","",CHAR(10)&amp;"Verifier: "&amp;Checks!$AE$122)&amp;IF(Checks!$T$122="","",CHAR(10)&amp;"PIC: "&amp;Checks!$T$122)</f>
        <v/>
      </c>
      <c r="H58" s="115" t="str">
        <f aca="false">IF(Checks!$AH$122="","",Checks!$AH$122)</f>
        <v>OPEN</v>
      </c>
    </row>
    <row r="59" customFormat="false" ht="114" hidden="false" customHeight="true" outlineLevel="0" collapsed="false">
      <c r="A59" s="114" t="str">
        <f aca="false">Checks!$A$123&amp;CHAR(10)&amp;IF(Checks!$I$123="","",Checks!$I$123&amp;": ")&amp;Checks!$J$123</f>
        <v>F04-UPL-03
Amenities: Toiletry kits - on board</v>
      </c>
      <c r="B59" s="114" t="str">
        <f aca="false">Checks!$K$123&amp;IF(Checks!$O$123="","",IF(Checks!$K$123="","",CHAR(10))&amp;"Note: "&amp;Checks!$O$123)</f>
        <v>Available (ticked in reference)</v>
      </c>
      <c r="C59" s="114" t="str">
        <f aca="false">Checks!$N$123&amp;CHAR(10)&amp;IF(ISNUMBER(Checks!$R$123),TEXT(Checks!$R$123,"DD-MMM-YY HH:MM"),"")&amp;" "&amp;Checks!$P$123</f>
        <v>Required
10-Oct-26 23:30 KUL</v>
      </c>
      <c r="D59" s="114" t="str">
        <f aca="false">IF(Checks!$U$123="","",Checks!$U$123)&amp;IF(Checks!$AB$123="","",CHAR(10)&amp;"CA: "&amp;Checks!$AB$123)</f>
        <v/>
      </c>
      <c r="E59" s="114" t="str">
        <f aca="false">IF(Checks!$V$123="","",Checks!$V$123)&amp;IF(Checks!$AC$123="","",IF(Checks!$V$123="","",CHAR(10))&amp;"N/A just.: "&amp;Checks!$AC$123)&amp;IF(Checks!$W$123="","",CHAR(10)&amp;"Batch: "&amp;Checks!$W$123)&amp;IF(AND(Checks!$X$123="",Checks!$Y$123=""),"",CHAR(10)&amp;"Exp: "&amp;Checks!$X$123&amp;"  /  Act: "&amp;Checks!$Y$123)</f>
        <v/>
      </c>
      <c r="F59" s="114" t="str">
        <f aca="false">IF(Checks!$Z$123="","","Evidence: "&amp;Checks!$Z$123)&amp;IF(Checks!$AA$123="","",IF(Checks!$Z$123="","",CHAR(10))&amp;"CA: "&amp;Checks!$AA$123)</f>
        <v/>
      </c>
      <c r="G59" s="114" t="str">
        <f aca="false">IF(ISNUMBER(Checks!$AD$123),TEXT(Checks!$AD$123,"DD-MMM-YY HH:MM")&amp;" "&amp;Checks!$P$123,"")&amp;IF(Checks!$AE$123="","",CHAR(10)&amp;"Verifier: "&amp;Checks!$AE$123)&amp;IF(Checks!$T$123="","",CHAR(10)&amp;"PIC: "&amp;Checks!$T$123)</f>
        <v/>
      </c>
      <c r="H59" s="115" t="str">
        <f aca="false">IF(Checks!$AH$123="","",Checks!$AH$123)</f>
        <v>OPEN</v>
      </c>
    </row>
    <row r="60" customFormat="false" ht="114" hidden="false" customHeight="true" outlineLevel="0" collapsed="false">
      <c r="A60" s="114" t="str">
        <f aca="false">Checks!$A$124&amp;CHAR(10)&amp;IF(Checks!$I$124="","",Checks!$I$124&amp;": ")&amp;Checks!$J$124</f>
        <v>F04-UPL-04
Amenities: Slippers (BS/BC) - on board</v>
      </c>
      <c r="B60" s="114" t="str">
        <f aca="false">Checks!$K$124&amp;IF(Checks!$O$124="","",IF(Checks!$K$124="","",CHAR(10))&amp;"Note: "&amp;Checks!$O$124)</f>
        <v>Available (ticked in reference)</v>
      </c>
      <c r="C60" s="114" t="str">
        <f aca="false">Checks!$N$124&amp;CHAR(10)&amp;IF(ISNUMBER(Checks!$R$124),TEXT(Checks!$R$124,"DD-MMM-YY HH:MM"),"")&amp;" "&amp;Checks!$P$124</f>
        <v>Required
10-Oct-26 23:30 KUL</v>
      </c>
      <c r="D60" s="114" t="str">
        <f aca="false">IF(Checks!$U$124="","",Checks!$U$124)&amp;IF(Checks!$AB$124="","",CHAR(10)&amp;"CA: "&amp;Checks!$AB$124)</f>
        <v/>
      </c>
      <c r="E60" s="114" t="str">
        <f aca="false">IF(Checks!$V$124="","",Checks!$V$124)&amp;IF(Checks!$AC$124="","",IF(Checks!$V$124="","",CHAR(10))&amp;"N/A just.: "&amp;Checks!$AC$124)&amp;IF(Checks!$W$124="","",CHAR(10)&amp;"Batch: "&amp;Checks!$W$124)&amp;IF(AND(Checks!$X$124="",Checks!$Y$124=""),"",CHAR(10)&amp;"Exp: "&amp;Checks!$X$124&amp;"  /  Act: "&amp;Checks!$Y$124)</f>
        <v/>
      </c>
      <c r="F60" s="114" t="str">
        <f aca="false">IF(Checks!$Z$124="","","Evidence: "&amp;Checks!$Z$124)&amp;IF(Checks!$AA$124="","",IF(Checks!$Z$124="","",CHAR(10))&amp;"CA: "&amp;Checks!$AA$124)</f>
        <v/>
      </c>
      <c r="G60" s="114" t="str">
        <f aca="false">IF(ISNUMBER(Checks!$AD$124),TEXT(Checks!$AD$124,"DD-MMM-YY HH:MM")&amp;" "&amp;Checks!$P$124,"")&amp;IF(Checks!$AE$124="","",CHAR(10)&amp;"Verifier: "&amp;Checks!$AE$124)&amp;IF(Checks!$T$124="","",CHAR(10)&amp;"PIC: "&amp;Checks!$T$124)</f>
        <v/>
      </c>
      <c r="H60" s="115" t="str">
        <f aca="false">IF(Checks!$AH$124="","",Checks!$AH$124)</f>
        <v>OPEN</v>
      </c>
    </row>
    <row r="61" customFormat="false" ht="114" hidden="false" customHeight="true" outlineLevel="0" collapsed="false">
      <c r="A61" s="114" t="str">
        <f aca="false">Checks!$A$125&amp;CHAR(10)&amp;IF(Checks!$I$125="","",Checks!$I$125&amp;": ")&amp;Checks!$J$125</f>
        <v>F04-UPL-05
F&amp;B Linen: Towel - on board</v>
      </c>
      <c r="B61" s="114" t="str">
        <f aca="false">Checks!$K$125&amp;IF(Checks!$O$125="","",IF(Checks!$K$125="","",CHAR(10))&amp;"Note: "&amp;Checks!$O$125)</f>
        <v>Available (ticked in reference)</v>
      </c>
      <c r="C61" s="114" t="str">
        <f aca="false">Checks!$N$125&amp;CHAR(10)&amp;IF(ISNUMBER(Checks!$R$125),TEXT(Checks!$R$125,"DD-MMM-YY HH:MM"),"")&amp;" "&amp;Checks!$P$125</f>
        <v>Required
10-Oct-26 23:30 KUL</v>
      </c>
      <c r="D61" s="114" t="str">
        <f aca="false">IF(Checks!$U$125="","",Checks!$U$125)&amp;IF(Checks!$AB$125="","",CHAR(10)&amp;"CA: "&amp;Checks!$AB$125)</f>
        <v/>
      </c>
      <c r="E61" s="114" t="str">
        <f aca="false">IF(Checks!$V$125="","",Checks!$V$125)&amp;IF(Checks!$AC$125="","",IF(Checks!$V$125="","",CHAR(10))&amp;"N/A just.: "&amp;Checks!$AC$125)&amp;IF(Checks!$W$125="","",CHAR(10)&amp;"Batch: "&amp;Checks!$W$125)&amp;IF(AND(Checks!$X$125="",Checks!$Y$125=""),"",CHAR(10)&amp;"Exp: "&amp;Checks!$X$125&amp;"  /  Act: "&amp;Checks!$Y$125)</f>
        <v/>
      </c>
      <c r="F61" s="114" t="str">
        <f aca="false">IF(Checks!$Z$125="","","Evidence: "&amp;Checks!$Z$125)&amp;IF(Checks!$AA$125="","",IF(Checks!$Z$125="","",CHAR(10))&amp;"CA: "&amp;Checks!$AA$125)</f>
        <v/>
      </c>
      <c r="G61" s="114" t="str">
        <f aca="false">IF(ISNUMBER(Checks!$AD$125),TEXT(Checks!$AD$125,"DD-MMM-YY HH:MM")&amp;" "&amp;Checks!$P$125,"")&amp;IF(Checks!$AE$125="","",CHAR(10)&amp;"Verifier: "&amp;Checks!$AE$125)&amp;IF(Checks!$T$125="","",CHAR(10)&amp;"PIC: "&amp;Checks!$T$125)</f>
        <v/>
      </c>
      <c r="H61" s="115" t="str">
        <f aca="false">IF(Checks!$AH$125="","",Checks!$AH$125)</f>
        <v>OPEN</v>
      </c>
    </row>
    <row r="62" customFormat="false" ht="114" hidden="false" customHeight="true" outlineLevel="0" collapsed="false">
      <c r="A62" s="114" t="str">
        <f aca="false">Checks!$A$126&amp;CHAR(10)&amp;IF(Checks!$I$126="","",Checks!$I$126&amp;": ")&amp;Checks!$J$126</f>
        <v>F04-UPL-06
F&amp;B Linen: Tray cloth - on board</v>
      </c>
      <c r="B62" s="114" t="str">
        <f aca="false">Checks!$K$126&amp;IF(Checks!$O$126="","",IF(Checks!$K$126="","",CHAR(10))&amp;"Note: "&amp;Checks!$O$126)</f>
        <v>Available (ticked in reference)</v>
      </c>
      <c r="C62" s="114" t="str">
        <f aca="false">Checks!$N$126&amp;CHAR(10)&amp;IF(ISNUMBER(Checks!$R$126),TEXT(Checks!$R$126,"DD-MMM-YY HH:MM"),"")&amp;" "&amp;Checks!$P$126</f>
        <v>Required
10-Oct-26 23:30 KUL</v>
      </c>
      <c r="D62" s="114" t="str">
        <f aca="false">IF(Checks!$U$126="","",Checks!$U$126)&amp;IF(Checks!$AB$126="","",CHAR(10)&amp;"CA: "&amp;Checks!$AB$126)</f>
        <v/>
      </c>
      <c r="E62" s="114" t="str">
        <f aca="false">IF(Checks!$V$126="","",Checks!$V$126)&amp;IF(Checks!$AC$126="","",IF(Checks!$V$126="","",CHAR(10))&amp;"N/A just.: "&amp;Checks!$AC$126)&amp;IF(Checks!$W$126="","",CHAR(10)&amp;"Batch: "&amp;Checks!$W$126)&amp;IF(AND(Checks!$X$126="",Checks!$Y$126=""),"",CHAR(10)&amp;"Exp: "&amp;Checks!$X$126&amp;"  /  Act: "&amp;Checks!$Y$126)</f>
        <v/>
      </c>
      <c r="F62" s="114" t="str">
        <f aca="false">IF(Checks!$Z$126="","","Evidence: "&amp;Checks!$Z$126)&amp;IF(Checks!$AA$126="","",IF(Checks!$Z$126="","",CHAR(10))&amp;"CA: "&amp;Checks!$AA$126)</f>
        <v/>
      </c>
      <c r="G62" s="114" t="str">
        <f aca="false">IF(ISNUMBER(Checks!$AD$126),TEXT(Checks!$AD$126,"DD-MMM-YY HH:MM")&amp;" "&amp;Checks!$P$126,"")&amp;IF(Checks!$AE$126="","",CHAR(10)&amp;"Verifier: "&amp;Checks!$AE$126)&amp;IF(Checks!$T$126="","",CHAR(10)&amp;"PIC: "&amp;Checks!$T$126)</f>
        <v/>
      </c>
      <c r="H62" s="115" t="str">
        <f aca="false">IF(Checks!$AH$126="","",Checks!$AH$126)</f>
        <v>OPEN</v>
      </c>
    </row>
    <row r="63" customFormat="false" ht="114" hidden="false" customHeight="true" outlineLevel="0" collapsed="false">
      <c r="A63" s="114" t="str">
        <f aca="false">Checks!$A$127&amp;CHAR(10)&amp;IF(Checks!$I$127="","",Checks!$I$127&amp;": ")&amp;Checks!$J$127</f>
        <v>F04-UPL-07
F&amp;B Linen: Napkin - on board</v>
      </c>
      <c r="B63" s="114" t="str">
        <f aca="false">Checks!$K$127&amp;IF(Checks!$O$127="","",IF(Checks!$K$127="","",CHAR(10))&amp;"Note: "&amp;Checks!$O$127)</f>
        <v>Available (ticked in reference)</v>
      </c>
      <c r="C63" s="114" t="str">
        <f aca="false">Checks!$N$127&amp;CHAR(10)&amp;IF(ISNUMBER(Checks!$R$127),TEXT(Checks!$R$127,"DD-MMM-YY HH:MM"),"")&amp;" "&amp;Checks!$P$127</f>
        <v>Required
10-Oct-26 23:30 KUL</v>
      </c>
      <c r="D63" s="114" t="str">
        <f aca="false">IF(Checks!$U$127="","",Checks!$U$127)&amp;IF(Checks!$AB$127="","",CHAR(10)&amp;"CA: "&amp;Checks!$AB$127)</f>
        <v/>
      </c>
      <c r="E63" s="114" t="str">
        <f aca="false">IF(Checks!$V$127="","",Checks!$V$127)&amp;IF(Checks!$AC$127="","",IF(Checks!$V$127="","",CHAR(10))&amp;"N/A just.: "&amp;Checks!$AC$127)&amp;IF(Checks!$W$127="","",CHAR(10)&amp;"Batch: "&amp;Checks!$W$127)&amp;IF(AND(Checks!$X$127="",Checks!$Y$127=""),"",CHAR(10)&amp;"Exp: "&amp;Checks!$X$127&amp;"  /  Act: "&amp;Checks!$Y$127)</f>
        <v/>
      </c>
      <c r="F63" s="114" t="str">
        <f aca="false">IF(Checks!$Z$127="","","Evidence: "&amp;Checks!$Z$127)&amp;IF(Checks!$AA$127="","",IF(Checks!$Z$127="","",CHAR(10))&amp;"CA: "&amp;Checks!$AA$127)</f>
        <v/>
      </c>
      <c r="G63" s="114" t="str">
        <f aca="false">IF(ISNUMBER(Checks!$AD$127),TEXT(Checks!$AD$127,"DD-MMM-YY HH:MM")&amp;" "&amp;Checks!$P$127,"")&amp;IF(Checks!$AE$127="","",CHAR(10)&amp;"Verifier: "&amp;Checks!$AE$127)&amp;IF(Checks!$T$127="","",CHAR(10)&amp;"PIC: "&amp;Checks!$T$127)</f>
        <v/>
      </c>
      <c r="H63" s="115" t="str">
        <f aca="false">IF(Checks!$AH$127="","",Checks!$AH$127)</f>
        <v>OPEN</v>
      </c>
    </row>
    <row r="64" customFormat="false" ht="114" hidden="false" customHeight="true" outlineLevel="0" collapsed="false">
      <c r="A64" s="114" t="str">
        <f aca="false">Checks!$A$128&amp;CHAR(10)&amp;IF(Checks!$I$128="","",Checks!$I$128&amp;": ")&amp;Checks!$J$128</f>
        <v>F04-UPL-08
F&amp;B Linen: Table cloth - on board</v>
      </c>
      <c r="B64" s="114" t="str">
        <f aca="false">Checks!$K$128&amp;IF(Checks!$O$128="","",IF(Checks!$K$128="","",CHAR(10))&amp;"Note: "&amp;Checks!$O$128)</f>
        <v>Available (ticked in reference)</v>
      </c>
      <c r="C64" s="114" t="str">
        <f aca="false">Checks!$N$128&amp;CHAR(10)&amp;IF(ISNUMBER(Checks!$R$128),TEXT(Checks!$R$128,"DD-MMM-YY HH:MM"),"")&amp;" "&amp;Checks!$P$128</f>
        <v>Required
10-Oct-26 23:30 KUL</v>
      </c>
      <c r="D64" s="114" t="str">
        <f aca="false">IF(Checks!$U$128="","",Checks!$U$128)&amp;IF(Checks!$AB$128="","",CHAR(10)&amp;"CA: "&amp;Checks!$AB$128)</f>
        <v/>
      </c>
      <c r="E64" s="114" t="str">
        <f aca="false">IF(Checks!$V$128="","",Checks!$V$128)&amp;IF(Checks!$AC$128="","",IF(Checks!$V$128="","",CHAR(10))&amp;"N/A just.: "&amp;Checks!$AC$128)&amp;IF(Checks!$W$128="","",CHAR(10)&amp;"Batch: "&amp;Checks!$W$128)&amp;IF(AND(Checks!$X$128="",Checks!$Y$128=""),"",CHAR(10)&amp;"Exp: "&amp;Checks!$X$128&amp;"  /  Act: "&amp;Checks!$Y$128)</f>
        <v/>
      </c>
      <c r="F64" s="114" t="str">
        <f aca="false">IF(Checks!$Z$128="","","Evidence: "&amp;Checks!$Z$128)&amp;IF(Checks!$AA$128="","",IF(Checks!$Z$128="","",CHAR(10))&amp;"CA: "&amp;Checks!$AA$128)</f>
        <v/>
      </c>
      <c r="G64" s="114" t="str">
        <f aca="false">IF(ISNUMBER(Checks!$AD$128),TEXT(Checks!$AD$128,"DD-MMM-YY HH:MM")&amp;" "&amp;Checks!$P$128,"")&amp;IF(Checks!$AE$128="","",CHAR(10)&amp;"Verifier: "&amp;Checks!$AE$128)&amp;IF(Checks!$T$128="","",CHAR(10)&amp;"PIC: "&amp;Checks!$T$128)</f>
        <v/>
      </c>
      <c r="H64" s="115" t="str">
        <f aca="false">IF(Checks!$AH$128="","",Checks!$AH$128)</f>
        <v>OPEN</v>
      </c>
    </row>
    <row r="65" customFormat="false" ht="114" hidden="false" customHeight="true" outlineLevel="0" collapsed="false">
      <c r="A65" s="114" t="str">
        <f aca="false">Checks!$A$129&amp;CHAR(10)&amp;IF(Checks!$I$129="","",Checks!$I$129&amp;": ")&amp;Checks!$J$129</f>
        <v>F04-UPL-09
F&amp;B Linen: Bread linen (using table cloth) - on board</v>
      </c>
      <c r="B65" s="114" t="str">
        <f aca="false">Checks!$K$129&amp;IF(Checks!$O$129="","",IF(Checks!$K$129="","",CHAR(10))&amp;"Note: "&amp;Checks!$O$129)</f>
        <v>Available (ticked in reference)</v>
      </c>
      <c r="C65" s="114" t="str">
        <f aca="false">Checks!$N$129&amp;CHAR(10)&amp;IF(ISNUMBER(Checks!$R$129),TEXT(Checks!$R$129,"DD-MMM-YY HH:MM"),"")&amp;" "&amp;Checks!$P$129</f>
        <v>Required
10-Oct-26 23:30 KUL</v>
      </c>
      <c r="D65" s="114" t="str">
        <f aca="false">IF(Checks!$U$129="","",Checks!$U$129)&amp;IF(Checks!$AB$129="","",CHAR(10)&amp;"CA: "&amp;Checks!$AB$129)</f>
        <v/>
      </c>
      <c r="E65" s="114" t="str">
        <f aca="false">IF(Checks!$V$129="","",Checks!$V$129)&amp;IF(Checks!$AC$129="","",IF(Checks!$V$129="","",CHAR(10))&amp;"N/A just.: "&amp;Checks!$AC$129)&amp;IF(Checks!$W$129="","",CHAR(10)&amp;"Batch: "&amp;Checks!$W$129)&amp;IF(AND(Checks!$X$129="",Checks!$Y$129=""),"",CHAR(10)&amp;"Exp: "&amp;Checks!$X$129&amp;"  /  Act: "&amp;Checks!$Y$129)</f>
        <v/>
      </c>
      <c r="F65" s="114" t="str">
        <f aca="false">IF(Checks!$Z$129="","","Evidence: "&amp;Checks!$Z$129)&amp;IF(Checks!$AA$129="","",IF(Checks!$Z$129="","",CHAR(10))&amp;"CA: "&amp;Checks!$AA$129)</f>
        <v/>
      </c>
      <c r="G65" s="114" t="str">
        <f aca="false">IF(ISNUMBER(Checks!$AD$129),TEXT(Checks!$AD$129,"DD-MMM-YY HH:MM")&amp;" "&amp;Checks!$P$129,"")&amp;IF(Checks!$AE$129="","",CHAR(10)&amp;"Verifier: "&amp;Checks!$AE$129)&amp;IF(Checks!$T$129="","",CHAR(10)&amp;"PIC: "&amp;Checks!$T$129)</f>
        <v/>
      </c>
      <c r="H65" s="115" t="str">
        <f aca="false">IF(Checks!$AH$129="","",Checks!$AH$129)</f>
        <v>OPEN</v>
      </c>
    </row>
    <row r="66" customFormat="false" ht="114" hidden="false" customHeight="true" outlineLevel="0" collapsed="false">
      <c r="A66" s="114" t="str">
        <f aca="false">Checks!$A$130&amp;CHAR(10)&amp;IF(Checks!$I$130="","",Checks!$I$130&amp;": ")&amp;Checks!$J$130</f>
        <v>F04-UPL-10
F&amp;B Linen: Trolley cloth - on board</v>
      </c>
      <c r="B66" s="114" t="str">
        <f aca="false">SUBSTITUTE(Checks!$K$130&amp;IF(Checks!$O$130="","",IF(Checks!$K$130="","",CHAR(10))&amp;"Note: "&amp;Checks!$O$130),"F&amp;B LINEN!","Ref: F&amp;B LINEN!")</f>
        <v>Wide body: Top/Middle &amp; Bottom
Note: Per note Ref: F&amp;B LINEN!B79:C80.</v>
      </c>
      <c r="C66" s="114" t="str">
        <f aca="false">Checks!$N$130&amp;CHAR(10)&amp;IF(ISNUMBER(Checks!$R$130),TEXT(Checks!$R$130,"DD-MMM-YY HH:MM"),"")&amp;" "&amp;Checks!$P$130</f>
        <v>Required
10-Oct-26 23:30 KUL</v>
      </c>
      <c r="D66" s="114" t="str">
        <f aca="false">IF(Checks!$U$130="","",Checks!$U$130)&amp;IF(Checks!$AB$130="","",CHAR(10)&amp;"CA: "&amp;Checks!$AB$130)</f>
        <v/>
      </c>
      <c r="E66" s="114" t="str">
        <f aca="false">IF(Checks!$V$130="","",Checks!$V$130)&amp;IF(Checks!$AC$130="","",IF(Checks!$V$130="","",CHAR(10))&amp;"N/A just.: "&amp;Checks!$AC$130)&amp;IF(Checks!$W$130="","",CHAR(10)&amp;"Batch: "&amp;Checks!$W$130)&amp;IF(AND(Checks!$X$130="",Checks!$Y$130=""),"",CHAR(10)&amp;"Exp: "&amp;Checks!$X$130&amp;"  /  Act: "&amp;Checks!$Y$130)</f>
        <v/>
      </c>
      <c r="F66" s="114" t="str">
        <f aca="false">IF(Checks!$Z$130="","","Evidence: "&amp;Checks!$Z$130)&amp;IF(Checks!$AA$130="","",IF(Checks!$Z$130="","",CHAR(10))&amp;"CA: "&amp;Checks!$AA$130)</f>
        <v/>
      </c>
      <c r="G66" s="114" t="str">
        <f aca="false">IF(ISNUMBER(Checks!$AD$130),TEXT(Checks!$AD$130,"DD-MMM-YY HH:MM")&amp;" "&amp;Checks!$P$130,"")&amp;IF(Checks!$AE$130="","",CHAR(10)&amp;"Verifier: "&amp;Checks!$AE$130)&amp;IF(Checks!$T$130="","",CHAR(10)&amp;"PIC: "&amp;Checks!$T$130)</f>
        <v/>
      </c>
      <c r="H66" s="115" t="str">
        <f aca="false">IF(Checks!$AH$130="","",Checks!$AH$130)</f>
        <v>OPEN</v>
      </c>
    </row>
    <row r="67" customFormat="false" ht="114" hidden="false" customHeight="true" outlineLevel="0" collapsed="false">
      <c r="A67" s="114" t="str">
        <f aca="false">Checks!$A$131&amp;CHAR(10)&amp;IF(Checks!$I$131="","",Checks!$I$131&amp;": ")&amp;Checks!$J$131</f>
        <v>F04-UPL-11
F&amp;B Linen: Linen bag - on board</v>
      </c>
      <c r="B67" s="114" t="str">
        <f aca="false">Checks!$K$131&amp;IF(Checks!$O$131="","",IF(Checks!$K$131="","",CHAR(10))&amp;"Note: "&amp;Checks!$O$131)</f>
        <v>Available (ticked in reference)</v>
      </c>
      <c r="C67" s="114" t="str">
        <f aca="false">Checks!$N$131&amp;CHAR(10)&amp;IF(ISNUMBER(Checks!$R$131),TEXT(Checks!$R$131,"DD-MMM-YY HH:MM"),"")&amp;" "&amp;Checks!$P$131</f>
        <v>Required
10-Oct-26 23:30 KUL</v>
      </c>
      <c r="D67" s="114" t="str">
        <f aca="false">IF(Checks!$U$131="","",Checks!$U$131)&amp;IF(Checks!$AB$131="","",CHAR(10)&amp;"CA: "&amp;Checks!$AB$131)</f>
        <v/>
      </c>
      <c r="E67" s="114" t="str">
        <f aca="false">IF(Checks!$V$131="","",Checks!$V$131)&amp;IF(Checks!$AC$131="","",IF(Checks!$V$131="","",CHAR(10))&amp;"N/A just.: "&amp;Checks!$AC$131)&amp;IF(Checks!$W$131="","",CHAR(10)&amp;"Batch: "&amp;Checks!$W$131)&amp;IF(AND(Checks!$X$131="",Checks!$Y$131=""),"",CHAR(10)&amp;"Exp: "&amp;Checks!$X$131&amp;"  /  Act: "&amp;Checks!$Y$131)</f>
        <v/>
      </c>
      <c r="F67" s="114" t="str">
        <f aca="false">IF(Checks!$Z$131="","","Evidence: "&amp;Checks!$Z$131)&amp;IF(Checks!$AA$131="","",IF(Checks!$Z$131="","",CHAR(10))&amp;"CA: "&amp;Checks!$AA$131)</f>
        <v/>
      </c>
      <c r="G67" s="114" t="str">
        <f aca="false">IF(ISNUMBER(Checks!$AD$131),TEXT(Checks!$AD$131,"DD-MMM-YY HH:MM")&amp;" "&amp;Checks!$P$131,"")&amp;IF(Checks!$AE$131="","",CHAR(10)&amp;"Verifier: "&amp;Checks!$AE$131)&amp;IF(Checks!$T$131="","",CHAR(10)&amp;"PIC: "&amp;Checks!$T$131)</f>
        <v/>
      </c>
      <c r="H67" s="115" t="str">
        <f aca="false">IF(Checks!$AH$131="","",Checks!$AH$131)</f>
        <v>OPEN</v>
      </c>
    </row>
    <row r="68" customFormat="false" ht="114" hidden="false" customHeight="true" outlineLevel="0" collapsed="false">
      <c r="A68" s="114" t="str">
        <f aca="false">Checks!$A$132&amp;CHAR(10)&amp;IF(Checks!$I$132="","",Checks!$I$132&amp;": ")&amp;Checks!$J$132</f>
        <v>F04-UPL-12
Seat Linen: Seat pillow (BS &amp; BC) - on board</v>
      </c>
      <c r="B68" s="114" t="str">
        <f aca="false">Checks!$K$132&amp;IF(Checks!$O$132="","",IF(Checks!$K$132="","",CHAR(10))&amp;"Note: "&amp;Checks!$O$132)</f>
        <v>Available 100% (ticked in reference)</v>
      </c>
      <c r="C68" s="114" t="str">
        <f aca="false">Checks!$N$132&amp;CHAR(10)&amp;IF(ISNUMBER(Checks!$R$132),TEXT(Checks!$R$132,"DD-MMM-YY HH:MM"),"")&amp;" "&amp;Checks!$P$132</f>
        <v>Required
10-Oct-26 23:30 KUL</v>
      </c>
      <c r="D68" s="114" t="str">
        <f aca="false">IF(Checks!$U$132="","",Checks!$U$132)&amp;IF(Checks!$AB$132="","",CHAR(10)&amp;"CA: "&amp;Checks!$AB$132)</f>
        <v/>
      </c>
      <c r="E68" s="114" t="str">
        <f aca="false">IF(Checks!$V$132="","",Checks!$V$132)&amp;IF(Checks!$AC$132="","",IF(Checks!$V$132="","",CHAR(10))&amp;"N/A just.: "&amp;Checks!$AC$132)&amp;IF(Checks!$W$132="","",CHAR(10)&amp;"Batch: "&amp;Checks!$W$132)&amp;IF(AND(Checks!$X$132="",Checks!$Y$132=""),"",CHAR(10)&amp;"Exp: "&amp;Checks!$X$132&amp;"  /  Act: "&amp;Checks!$Y$132)</f>
        <v/>
      </c>
      <c r="F68" s="114" t="str">
        <f aca="false">IF(Checks!$Z$132="","","Evidence: "&amp;Checks!$Z$132)&amp;IF(Checks!$AA$132="","",IF(Checks!$Z$132="","",CHAR(10))&amp;"CA: "&amp;Checks!$AA$132)</f>
        <v/>
      </c>
      <c r="G68" s="114" t="str">
        <f aca="false">IF(ISNUMBER(Checks!$AD$132),TEXT(Checks!$AD$132,"DD-MMM-YY HH:MM")&amp;" "&amp;Checks!$P$132,"")&amp;IF(Checks!$AE$132="","",CHAR(10)&amp;"Verifier: "&amp;Checks!$AE$132)&amp;IF(Checks!$T$132="","",CHAR(10)&amp;"PIC: "&amp;Checks!$T$132)</f>
        <v/>
      </c>
      <c r="H68" s="115" t="str">
        <f aca="false">IF(Checks!$AH$132="","",Checks!$AH$132)</f>
        <v>OPEN</v>
      </c>
    </row>
    <row r="69" customFormat="false" ht="114" hidden="false" customHeight="true" outlineLevel="0" collapsed="false">
      <c r="A69" s="114" t="str">
        <f aca="false">Checks!$A$133&amp;CHAR(10)&amp;IF(Checks!$I$133="","",Checks!$I$133&amp;": ")&amp;Checks!$J$133</f>
        <v>F04-UPL-13
Seat Linen: Duvet (BS &amp; BC) - on board</v>
      </c>
      <c r="B69" s="114" t="str">
        <f aca="false">Checks!$K$133&amp;IF(Checks!$O$133="","",IF(Checks!$K$133="","",CHAR(10))&amp;"Note: "&amp;Checks!$O$133)</f>
        <v>Available 100% (ticked in reference)</v>
      </c>
      <c r="C69" s="114" t="str">
        <f aca="false">Checks!$N$133&amp;CHAR(10)&amp;IF(ISNUMBER(Checks!$R$133),TEXT(Checks!$R$133,"DD-MMM-YY HH:MM"),"")&amp;" "&amp;Checks!$P$133</f>
        <v>Required
10-Oct-26 23:30 KUL</v>
      </c>
      <c r="D69" s="114" t="str">
        <f aca="false">IF(Checks!$U$133="","",Checks!$U$133)&amp;IF(Checks!$AB$133="","",CHAR(10)&amp;"CA: "&amp;Checks!$AB$133)</f>
        <v/>
      </c>
      <c r="E69" s="114" t="str">
        <f aca="false">IF(Checks!$V$133="","",Checks!$V$133)&amp;IF(Checks!$AC$133="","",IF(Checks!$V$133="","",CHAR(10))&amp;"N/A just.: "&amp;Checks!$AC$133)&amp;IF(Checks!$W$133="","",CHAR(10)&amp;"Batch: "&amp;Checks!$W$133)&amp;IF(AND(Checks!$X$133="",Checks!$Y$133=""),"",CHAR(10)&amp;"Exp: "&amp;Checks!$X$133&amp;"  /  Act: "&amp;Checks!$Y$133)</f>
        <v/>
      </c>
      <c r="F69" s="114" t="str">
        <f aca="false">IF(Checks!$Z$133="","","Evidence: "&amp;Checks!$Z$133)&amp;IF(Checks!$AA$133="","",IF(Checks!$Z$133="","",CHAR(10))&amp;"CA: "&amp;Checks!$AA$133)</f>
        <v/>
      </c>
      <c r="G69" s="114" t="str">
        <f aca="false">IF(ISNUMBER(Checks!$AD$133),TEXT(Checks!$AD$133,"DD-MMM-YY HH:MM")&amp;" "&amp;Checks!$P$133,"")&amp;IF(Checks!$AE$133="","",CHAR(10)&amp;"Verifier: "&amp;Checks!$AE$133)&amp;IF(Checks!$T$133="","",CHAR(10)&amp;"PIC: "&amp;Checks!$T$133)</f>
        <v/>
      </c>
      <c r="H69" s="115" t="str">
        <f aca="false">IF(Checks!$AH$133="","",Checks!$AH$133)</f>
        <v>OPEN</v>
      </c>
    </row>
    <row r="70" customFormat="false" ht="114" hidden="false" customHeight="true" outlineLevel="0" collapsed="false">
      <c r="A70" s="114" t="str">
        <f aca="false">Checks!$A$134&amp;CHAR(10)&amp;IF(Checks!$I$134="","",Checks!$I$134&amp;": ")&amp;Checks!$J$134</f>
        <v>F04-UPL-14
Seat Linen: Mattress (BS &amp; BC) - on board</v>
      </c>
      <c r="B70" s="114" t="str">
        <f aca="false">Checks!$K$134&amp;IF(Checks!$O$134="","",IF(Checks!$K$134="","",CHAR(10))&amp;"Note: "&amp;Checks!$O$134)</f>
        <v>Available 100% (ticked in reference)</v>
      </c>
      <c r="C70" s="114" t="str">
        <f aca="false">Checks!$N$134&amp;CHAR(10)&amp;IF(ISNUMBER(Checks!$R$134),TEXT(Checks!$R$134,"DD-MMM-YY HH:MM"),"")&amp;" "&amp;Checks!$P$134</f>
        <v>Required
10-Oct-26 23:30 KUL</v>
      </c>
      <c r="D70" s="114" t="str">
        <f aca="false">IF(Checks!$U$134="","",Checks!$U$134)&amp;IF(Checks!$AB$134="","",CHAR(10)&amp;"CA: "&amp;Checks!$AB$134)</f>
        <v/>
      </c>
      <c r="E70" s="114" t="str">
        <f aca="false">IF(Checks!$V$134="","",Checks!$V$134)&amp;IF(Checks!$AC$134="","",IF(Checks!$V$134="","",CHAR(10))&amp;"N/A just.: "&amp;Checks!$AC$134)&amp;IF(Checks!$W$134="","",CHAR(10)&amp;"Batch: "&amp;Checks!$W$134)&amp;IF(AND(Checks!$X$134="",Checks!$Y$134=""),"",CHAR(10)&amp;"Exp: "&amp;Checks!$X$134&amp;"  /  Act: "&amp;Checks!$Y$134)</f>
        <v/>
      </c>
      <c r="F70" s="114" t="str">
        <f aca="false">IF(Checks!$Z$134="","","Evidence: "&amp;Checks!$Z$134)&amp;IF(Checks!$AA$134="","",IF(Checks!$Z$134="","",CHAR(10))&amp;"CA: "&amp;Checks!$AA$134)</f>
        <v/>
      </c>
      <c r="G70" s="114" t="str">
        <f aca="false">IF(ISNUMBER(Checks!$AD$134),TEXT(Checks!$AD$134,"DD-MMM-YY HH:MM")&amp;" "&amp;Checks!$P$134,"")&amp;IF(Checks!$AE$134="","",CHAR(10)&amp;"Verifier: "&amp;Checks!$AE$134)&amp;IF(Checks!$T$134="","",CHAR(10)&amp;"PIC: "&amp;Checks!$T$134)</f>
        <v/>
      </c>
      <c r="H70" s="115" t="str">
        <f aca="false">IF(Checks!$AH$134="","",Checks!$AH$134)</f>
        <v>OPEN</v>
      </c>
    </row>
    <row r="71" customFormat="false" ht="114" hidden="false" customHeight="true" outlineLevel="0" collapsed="false">
      <c r="A71" s="114" t="str">
        <f aca="false">Checks!$A$135&amp;CHAR(10)&amp;IF(Checks!$I$135="","",Checks!$I$135&amp;": ")&amp;Checks!$J$135</f>
        <v>F04-UPL-15
Signature Drinks: Signature drink &amp; garnish (BC) - on board</v>
      </c>
      <c r="B71" s="114" t="str">
        <f aca="false">Checks!$K$135&amp;IF(Checks!$O$135="","",IF(Checks!$K$135="","",CHAR(10))&amp;"Note: "&amp;Checks!$O$135)</f>
        <v>Available (ticked in reference)
Note: Signature drinks &amp; garnish uplifted from KUL (note D79).</v>
      </c>
      <c r="C71" s="114" t="str">
        <f aca="false">Checks!$N$135&amp;CHAR(10)&amp;IF(ISNUMBER(Checks!$R$135),TEXT(Checks!$R$135,"DD-MMM-YY HH:MM"),"")&amp;" "&amp;Checks!$P$135</f>
        <v>Required
10-Oct-26 23:30 KUL</v>
      </c>
      <c r="D71" s="114" t="str">
        <f aca="false">IF(Checks!$U$135="","",Checks!$U$135)&amp;IF(Checks!$AB$135="","",CHAR(10)&amp;"CA: "&amp;Checks!$AB$135)</f>
        <v/>
      </c>
      <c r="E71" s="114" t="str">
        <f aca="false">IF(Checks!$V$135="","",Checks!$V$135)&amp;IF(Checks!$AC$135="","",IF(Checks!$V$135="","",CHAR(10))&amp;"N/A just.: "&amp;Checks!$AC$135)&amp;IF(Checks!$W$135="","",CHAR(10)&amp;"Batch: "&amp;Checks!$W$135)&amp;IF(AND(Checks!$X$135="",Checks!$Y$135=""),"",CHAR(10)&amp;"Exp: "&amp;Checks!$X$135&amp;"  /  Act: "&amp;Checks!$Y$135)</f>
        <v/>
      </c>
      <c r="F71" s="114" t="str">
        <f aca="false">IF(Checks!$Z$135="","","Evidence: "&amp;Checks!$Z$135)&amp;IF(Checks!$AA$135="","",IF(Checks!$Z$135="","",CHAR(10))&amp;"CA: "&amp;Checks!$AA$135)</f>
        <v/>
      </c>
      <c r="G71" s="114" t="str">
        <f aca="false">IF(ISNUMBER(Checks!$AD$135),TEXT(Checks!$AD$135,"DD-MMM-YY HH:MM")&amp;" "&amp;Checks!$P$135,"")&amp;IF(Checks!$AE$135="","",CHAR(10)&amp;"Verifier: "&amp;Checks!$AE$135)&amp;IF(Checks!$T$135="","",CHAR(10)&amp;"PIC: "&amp;Checks!$T$135)</f>
        <v/>
      </c>
      <c r="H71" s="115" t="str">
        <f aca="false">IF(Checks!$AH$135="","",Checks!$AH$135)</f>
        <v>OPEN</v>
      </c>
    </row>
    <row r="72" customFormat="false" ht="114" hidden="false" customHeight="true" outlineLevel="0" collapsed="false">
      <c r="A72" s="114" t="str">
        <f aca="false">Checks!$A$136&amp;CHAR(10)&amp;IF(Checks!$I$136="","",Checks!$I$136&amp;": ")&amp;Checks!$J$136</f>
        <v>F04-UPL-16
Sales Cart: Sales cart (caterer PASB) - on board</v>
      </c>
      <c r="B72" s="114" t="str">
        <f aca="false">Checks!$K$136&amp;IF(Checks!$O$136="","",IF(Checks!$K$136="","",CHAR(10))&amp;"Note: "&amp;Checks!$O$136)</f>
        <v>A359: 5R41A &amp; 5R42A (not applicable for LHR) (full cart); 9M-MAH: G4F13A (half cart) - per tail
Note: Block 7.17 h &gt;= 4 h. Location depends on tail.</v>
      </c>
      <c r="C72" s="114" t="str">
        <f aca="false">Checks!$N$136&amp;CHAR(10)&amp;IF(ISNUMBER(Checks!$R$136),TEXT(Checks!$R$136,"DD-MMM-YY HH:MM"),"")&amp;" "&amp;Checks!$P$136</f>
        <v>Required
10-Oct-26 23:30 KUL</v>
      </c>
      <c r="D72" s="114" t="str">
        <f aca="false">IF(Checks!$U$136="","",Checks!$U$136)&amp;IF(Checks!$AB$136="","",CHAR(10)&amp;"CA: "&amp;Checks!$AB$136)</f>
        <v/>
      </c>
      <c r="E72" s="114" t="str">
        <f aca="false">IF(Checks!$V$136="","",Checks!$V$136)&amp;IF(Checks!$AC$136="","",IF(Checks!$V$136="","",CHAR(10))&amp;"N/A just.: "&amp;Checks!$AC$136)&amp;IF(Checks!$W$136="","",CHAR(10)&amp;"Batch: "&amp;Checks!$W$136)&amp;IF(AND(Checks!$X$136="",Checks!$Y$136=""),"",CHAR(10)&amp;"Exp: "&amp;Checks!$X$136&amp;"  /  Act: "&amp;Checks!$Y$136)</f>
        <v/>
      </c>
      <c r="F72" s="114" t="str">
        <f aca="false">IF(Checks!$Z$136="","","Evidence: "&amp;Checks!$Z$136)&amp;IF(Checks!$AA$136="","",IF(Checks!$Z$136="","",CHAR(10))&amp;"CA: "&amp;Checks!$AA$136)</f>
        <v/>
      </c>
      <c r="G72" s="114" t="str">
        <f aca="false">IF(ISNUMBER(Checks!$AD$136),TEXT(Checks!$AD$136,"DD-MMM-YY HH:MM")&amp;" "&amp;Checks!$P$136,"")&amp;IF(Checks!$AE$136="","",CHAR(10)&amp;"Verifier: "&amp;Checks!$AE$136)&amp;IF(Checks!$T$136="","",CHAR(10)&amp;"PIC: "&amp;Checks!$T$136)</f>
        <v/>
      </c>
      <c r="H72" s="115" t="str">
        <f aca="false">IF(Checks!$AH$136="","",Checks!$AH$136)</f>
        <v>OPEN</v>
      </c>
    </row>
    <row r="74" customFormat="false" ht="24" hidden="false" customHeight="true" outlineLevel="0" collapsed="false">
      <c r="A74" s="116" t="s">
        <v>1737</v>
      </c>
      <c r="B74" s="116"/>
      <c r="C74" s="116"/>
      <c r="D74" s="116"/>
      <c r="E74" s="116" t="s">
        <v>1738</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F04 MH0088 10-Oct-26 KUL-NRT Class BC</oddHeader>
    <oddFooter>&amp;L&amp;"Arial,Bold"&amp;8 F04 MH0088 10-Oct-26 KUL-NRT Class BC&amp;C&amp;"Arial,Regular"&amp;8 Printed: ____________________&amp;R&amp;"Arial,Regular"&amp;8 F04  Page &amp;P of &amp;N</oddFooter>
  </headerFooter>
  <rowBreaks count="13" manualBreakCount="13">
    <brk id="20" man="true" max="16383" min="0"/>
    <brk id="26" man="true" max="16383" min="0"/>
    <brk id="30" man="true" max="16383" min="0"/>
    <brk id="35" man="true" max="16383" min="0"/>
    <brk id="39" man="true" max="16383" min="0"/>
    <brk id="41" man="true" max="16383" min="0"/>
    <brk id="45" man="true" max="16383" min="0"/>
    <brk id="49" man="true" max="16383" min="0"/>
    <brk id="53" man="true" max="16383" min="0"/>
    <brk id="57" man="true" max="16383" min="0"/>
    <brk id="61" man="true" max="16383" min="0"/>
    <brk id="65" man="true" max="16383" min="0"/>
    <brk id="69" man="true" max="16383" min="0"/>
  </rowBreaks>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F05  "&amp;Flights!$F$9&amp;"  "&amp;TEXT(Flights!$D$9,"DD-MMM-YY")&amp;" ("&amp;Flights!$E$9&amp;")  "&amp;Flights!$G$9&amp;" → "&amp;Flights!$H$9&amp;"  |  Class "&amp;Flights!$K$9</f>
        <v>SKYTRAX 2026 CATERING READINESS CHECKLIST  |  F05  MH0089  15-Oct-26 (THU)  NRT → KUL  |  Class EY</v>
      </c>
      <c r="B1" s="92"/>
      <c r="C1" s="92"/>
      <c r="D1" s="92"/>
      <c r="E1" s="92"/>
      <c r="F1" s="92"/>
      <c r="G1" s="92"/>
      <c r="H1" s="92"/>
    </row>
    <row r="2" customFormat="false" ht="12.75" hidden="false" customHeight="true" outlineLevel="0" collapsed="false">
      <c r="A2" s="93" t="s">
        <v>1692</v>
      </c>
      <c r="B2" s="94" t="str">
        <f aca="false">Flights!$F$9&amp;"   "&amp;TEXT(Flights!$D$9,"DD-MMM-YY")&amp;" ("&amp;Flights!$E$9&amp;")"</f>
        <v>MH0089   15-Oct-26 (THU)</v>
      </c>
      <c r="C2" s="94"/>
      <c r="D2" s="94"/>
      <c r="E2" s="95" t="s">
        <v>1693</v>
      </c>
      <c r="F2" s="96" t="str">
        <f aca="false">Flights!$AT$9</f>
        <v>NOT READY – DOCUMENTS</v>
      </c>
      <c r="G2" s="96"/>
      <c r="H2" s="96"/>
    </row>
    <row r="3" customFormat="false" ht="24" hidden="false" customHeight="true" outlineLevel="0" collapsed="false">
      <c r="A3" s="93" t="s">
        <v>1694</v>
      </c>
      <c r="B3" s="94" t="str">
        <f aca="false">Flights!$G$9&amp;" → "&amp;Flights!$H$9&amp;"   Class "&amp;Flights!$K$9&amp;"   Seat "&amp;Flights!$O$9</f>
        <v>NRT → KUL   Class EY   Seat 9K</v>
      </c>
      <c r="C3" s="94"/>
      <c r="D3" s="94"/>
      <c r="E3" s="95" t="s">
        <v>71</v>
      </c>
      <c r="F3" s="95" t="s">
        <v>1695</v>
      </c>
      <c r="G3" s="95" t="s">
        <v>1696</v>
      </c>
      <c r="H3" s="95"/>
    </row>
    <row r="4" customFormat="false" ht="24" hidden="false" customHeight="true" outlineLevel="0" collapsed="false">
      <c r="A4" s="93" t="s">
        <v>1697</v>
      </c>
      <c r="B4" s="94" t="str">
        <f aca="false">IF(ISNUMBER(Flights!$I$9),TEXT(Flights!$I$9,"DD-MMM-YY HH:MM"),"")&amp;" "&amp;Flights!$G$9&amp;"  →  "&amp;IF(ISNUMBER(Flights!$J$9),TEXT(Flights!$J$9,"DD-MMM-YY HH:MM"),"")&amp;" "&amp;Flights!$H$9</f>
        <v>15-Oct-26 10:05 NRT  →  15-Oct-26 16:45 KUL</v>
      </c>
      <c r="C4" s="94"/>
      <c r="D4" s="94"/>
      <c r="E4" s="93" t="s">
        <v>1698</v>
      </c>
      <c r="F4" s="97" t="str">
        <f aca="false">IF(ISNUMBER(Flights!$AG$9),TEXT(Flights!$AG$9,"DD-MMM-YY HH:MM"),"")&amp;" "&amp;Flights!$V$9</f>
        <v>08-Oct-26 10:05 NRT</v>
      </c>
      <c r="G4" s="98" t="n">
        <f aca="false">Flights!$AJ$9</f>
        <v>0</v>
      </c>
      <c r="H4" s="98"/>
    </row>
    <row r="5" customFormat="false" ht="24" hidden="false" customHeight="true" outlineLevel="0" collapsed="false">
      <c r="A5" s="93" t="s">
        <v>1699</v>
      </c>
      <c r="B5" s="94" t="str">
        <f aca="false">Flights!$L$9&amp;" – "&amp;Flights!$M$9</f>
        <v>A350 – A350-900: A359 (9M-MAB..MAG, row 6) or A350 9M-MAH (row 7) - tail to confirm</v>
      </c>
      <c r="C5" s="94"/>
      <c r="D5" s="94"/>
      <c r="E5" s="93" t="s">
        <v>1700</v>
      </c>
      <c r="F5" s="97" t="str">
        <f aca="false">IF(ISNUMBER(Flights!$AH$9),TEXT(Flights!$AH$9,"DD-MMM-YY HH:MM"),"")&amp;" "&amp;Flights!$V$9</f>
        <v>14-Oct-26 10:05 NRT</v>
      </c>
      <c r="G5" s="98" t="n">
        <f aca="false">Flights!$AK$9</f>
        <v>0</v>
      </c>
      <c r="H5" s="98"/>
    </row>
    <row r="6" customFormat="false" ht="24" hidden="false" customHeight="true" outlineLevel="0" collapsed="false">
      <c r="A6" s="93" t="s">
        <v>1701</v>
      </c>
      <c r="B6" s="94" t="str">
        <f aca="false">IF(TRIM(Flights!$N$9)="","__________________",Flights!$N$9)</f>
        <v>__________________</v>
      </c>
      <c r="C6" s="94"/>
      <c r="D6" s="94"/>
      <c r="E6" s="93" t="s">
        <v>1702</v>
      </c>
      <c r="F6" s="97" t="str">
        <f aca="false">IF(ISNUMBER(Flights!$AI$9),TEXT(Flights!$AI$9,"DD-MMM-YY HH:MM"),"")&amp;" "&amp;Flights!$V$9&amp;IF(Flights!$AI$9=Flights!$AH$9,"  (= T-24H due)","")</f>
        <v>14-Oct-26 22:05 NRT</v>
      </c>
      <c r="G6" s="98" t="n">
        <f aca="false">Flights!$AL$9</f>
        <v>0</v>
      </c>
      <c r="H6" s="98"/>
    </row>
    <row r="7" customFormat="false" ht="24" hidden="false" customHeight="true" outlineLevel="0" collapsed="false">
      <c r="A7" s="93" t="s">
        <v>1703</v>
      </c>
      <c r="B7" s="94" t="str">
        <f aca="false">Flights!$T$9</f>
        <v>1.5 Meal (Meal)</v>
      </c>
      <c r="C7" s="94"/>
      <c r="D7" s="94"/>
      <c r="E7" s="93" t="s">
        <v>1704</v>
      </c>
      <c r="F7" s="97" t="str">
        <f aca="false">"STD "&amp;IF(ISNUMBER(Flights!$I$9),TEXT(Flights!$I$9,"DD-MMM-YY HH:MM"),"")&amp;" "&amp;Flights!$G$9&amp;" (dep stn)"</f>
        <v>STD 15-Oct-26 10:05 NRT (dep stn)</v>
      </c>
      <c r="G7" s="98" t="n">
        <f aca="false">Flights!$AM$9</f>
        <v>0</v>
      </c>
      <c r="H7" s="98"/>
    </row>
    <row r="8" customFormat="false" ht="12.75" hidden="false" customHeight="true" outlineLevel="0" collapsed="false">
      <c r="A8" s="93" t="s">
        <v>153</v>
      </c>
      <c r="B8" s="94" t="str">
        <f aca="false">Flights!$V$9&amp;"   (reference uplift stns: "&amp;Flights!$U$9&amp;")"</f>
        <v>NRT   (reference uplift stns: KUL/NRT)</v>
      </c>
      <c r="C8" s="94"/>
      <c r="D8" s="94"/>
      <c r="E8" s="93" t="s">
        <v>1705</v>
      </c>
      <c r="F8" s="99" t="s">
        <v>1706</v>
      </c>
      <c r="G8" s="98" t="n">
        <f aca="false">Flights!$AN$9</f>
        <v>0</v>
      </c>
      <c r="H8" s="98"/>
    </row>
    <row r="9" customFormat="false" ht="12.75" hidden="false" customHeight="true" outlineLevel="0" collapsed="false">
      <c r="A9" s="93" t="s">
        <v>1707</v>
      </c>
      <c r="B9" s="94" t="str">
        <f aca="false">TRIM(Flights!$P$9&amp;"  "&amp;Flights!$Q$9)</f>
        <v>-</v>
      </c>
      <c r="C9" s="94"/>
      <c r="D9" s="94"/>
      <c r="E9" s="93" t="s">
        <v>1708</v>
      </c>
      <c r="F9" s="100" t="n">
        <f aca="false">Flights!$AP$9</f>
        <v>0</v>
      </c>
      <c r="G9" s="100" t="n">
        <f aca="false">Flights!$AQ$9</f>
        <v>0</v>
      </c>
      <c r="H9" s="100" t="n">
        <f aca="false">Flights!$AU$9</f>
        <v>0</v>
      </c>
    </row>
    <row r="10" customFormat="false" ht="24" hidden="false" customHeight="true" outlineLevel="0" collapsed="false">
      <c r="A10" s="93" t="s">
        <v>1709</v>
      </c>
      <c r="B10" s="94" t="str">
        <f aca="false">IF(TRIM(Flights!$X$9)="","__________________",Flights!$X$9)</f>
        <v>__________________</v>
      </c>
      <c r="C10" s="94"/>
      <c r="D10" s="94"/>
      <c r="E10" s="93" t="s">
        <v>1710</v>
      </c>
      <c r="F10" s="100" t="n">
        <f aca="false">Flights!$AO$9</f>
        <v>28</v>
      </c>
      <c r="G10" s="100" t="n">
        <f aca="false">Flights!$AS$9</f>
        <v>3</v>
      </c>
      <c r="H10" s="100" t="n">
        <f aca="false">Flights!$AR$9</f>
        <v>2</v>
      </c>
    </row>
    <row r="11" customFormat="false" ht="21" hidden="false" customHeight="true" outlineLevel="0" collapsed="false">
      <c r="A11" s="93" t="s">
        <v>1711</v>
      </c>
      <c r="B11" s="94" t="str">
        <f aca="false">IF(TRIM(Flights!$Y$9)="","__________________",Flights!$Y$9)</f>
        <v>__________________</v>
      </c>
      <c r="C11" s="94"/>
      <c r="D11" s="94"/>
      <c r="E11" s="93" t="s">
        <v>1712</v>
      </c>
      <c r="F11" s="100" t="str">
        <f aca="false">Flights!$AV$9&amp;" / "&amp;Flights!$AW$9</f>
        <v>0 / 28</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"&amp;IF(ISNUMBER(Flights!$AY$9),TEXT(Flights!$AY$9+IFERROR(INDEX(Settings!$C$13:$C$22,MATCH("KUL",Settings!$A$13:$A$22,0)),8)/24,"DD-MMM-YY HH:MM")&amp;" KUL","(not set)")&amp;"   |   Carrying flight KUL departure (loading confirmed by): "&amp;IF(ISNUMBER(Flights!$AY$9),TEXT(Flights!$AY$9+UpliftWindowH/24+IFERROR(INDEX(Settings!$C$13:$C$22,MATCH("KUL",Settings!$A$13:$A$22,0)),8)/24,"DD-MMM-YY HH:MM")&amp;" KUL","(not set)")&amp;IF(ISNUMBER(Flights!$AX$9),"",IF(TRIM(Flights!$W$9)&lt;&gt;"","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10-Oct-26 17:30 KUL   |   Carrying flight KUL departure (loading confirmed by): 10-Oct-26 23:30 KUL (latest possible – enter actual on Flights AX)</v>
      </c>
      <c r="B13" s="118"/>
      <c r="C13" s="118"/>
      <c r="D13" s="118"/>
      <c r="E13" s="118"/>
      <c r="F13" s="118"/>
      <c r="G13" s="118"/>
      <c r="H13" s="118"/>
    </row>
    <row r="14" customFormat="false" ht="13.5" hidden="false" customHeight="true" outlineLevel="0" collapsed="false">
      <c r="A14" s="95" t="s">
        <v>1717</v>
      </c>
      <c r="B14" s="95" t="s">
        <v>1718</v>
      </c>
      <c r="C14" s="95" t="s">
        <v>1719</v>
      </c>
      <c r="D14" s="95"/>
      <c r="E14" s="95" t="s">
        <v>1720</v>
      </c>
      <c r="F14" s="95" t="s">
        <v>1721</v>
      </c>
      <c r="G14" s="95"/>
      <c r="H14" s="95"/>
    </row>
    <row r="15" customFormat="false" ht="36" hidden="false" customHeight="true" outlineLevel="0" collapsed="false">
      <c r="A15" s="93" t="s">
        <v>1722</v>
      </c>
      <c r="B15" s="94" t="str">
        <f aca="false">IF(Documents!$F$9="","",Documents!$F$9)</f>
        <v/>
      </c>
      <c r="C15" s="99" t="str">
        <f aca="false">IF(Documents!$G$9="","",Documents!$G$9)&amp;IF(ISNUMBER(Documents!$H$9),"  "&amp;TEXT(Documents!$H$9,"DD-MMM-YY"),"")</f>
        <v/>
      </c>
      <c r="D15" s="99"/>
      <c r="E15" s="107" t="str">
        <f aca="false">IF(Documents!$J$9="OUTSTANDING","OUTSTANDING – attach before T-7D (due "&amp;IF(ISNUMBER(Flights!$AG$9),TEXT(Flights!$AG$9,"DD-MMM-YY HH:MM"),"")&amp;" "&amp;Flights!$V$9&amp;")",IF(Documents!$J$9="","Status not recorded",Documents!$J$9))</f>
        <v>OUTSTANDING – attach before T-7D (due 08-Oct-26 10:05 NRT)</v>
      </c>
      <c r="F15" s="108" t="str">
        <f aca="false">"Staple behind this sheet as page A1."&amp;IF(Documents!$I$9="",""," Location: "&amp;Documents!$I$9)</f>
        <v>Staple behind this sheet as page A1.</v>
      </c>
      <c r="G15" s="108"/>
      <c r="H15" s="108"/>
    </row>
    <row r="16" customFormat="false" ht="36" hidden="false" customHeight="true" outlineLevel="0" collapsed="false">
      <c r="A16" s="93" t="s">
        <v>1723</v>
      </c>
      <c r="B16" s="94" t="str">
        <f aca="false">IF(Documents!$K$9="","",Documents!$K$9)</f>
        <v/>
      </c>
      <c r="C16" s="99" t="str">
        <f aca="false">IF(Documents!$L$9="","",Documents!$L$9)&amp;IF(ISNUMBER(Documents!$M$9),"  "&amp;TEXT(Documents!$M$9,"DD-MMM-YY"),"")</f>
        <v/>
      </c>
      <c r="D16" s="99"/>
      <c r="E16" s="107" t="str">
        <f aca="false">IF(Documents!$O$9="OUTSTANDING","OUTSTANDING – attach before T-7D (due "&amp;IF(ISNUMBER(Flights!$AG$9),TEXT(Flights!$AG$9,"DD-MMM-YY HH:MM"),"")&amp;" "&amp;Flights!$V$9&amp;")",IF(Documents!$O$9="","Status not recorded",Documents!$O$9))</f>
        <v>OUTSTANDING – attach before T-7D (due 08-Oct-26 10:05 NRT)</v>
      </c>
      <c r="F16" s="108" t="str">
        <f aca="false">"Staple behind this sheet as page A2."&amp;IF(Documents!$N$9="",""," Location: "&amp;Documents!$N$9)</f>
        <v>Staple behind this sheet as page A2.</v>
      </c>
      <c r="G16" s="108"/>
      <c r="H16" s="108"/>
    </row>
    <row r="17" customFormat="false" ht="22.5" hidden="false" customHeight="true" outlineLevel="0" collapsed="false">
      <c r="A17" s="93" t="s">
        <v>1724</v>
      </c>
      <c r="B17" s="109" t="str">
        <f aca="false">IF(Documents!$Q$9="","",Documents!$Q$9)</f>
        <v>Not supplied with brief – obtain from caterer / MAGCS.</v>
      </c>
      <c r="C17" s="109"/>
      <c r="D17" s="109"/>
      <c r="E17" s="109"/>
      <c r="F17" s="109"/>
      <c r="G17" s="109"/>
      <c r="H17" s="109"/>
    </row>
    <row r="18" customFormat="false" ht="13.5" hidden="false" customHeight="true" outlineLevel="0" collapsed="false">
      <c r="A18" s="110" t="s">
        <v>1725</v>
      </c>
      <c r="B18" s="110"/>
      <c r="C18" s="110" t="s">
        <v>1726</v>
      </c>
      <c r="D18" s="110"/>
      <c r="E18" s="110"/>
      <c r="F18" s="110" t="s">
        <v>1727</v>
      </c>
      <c r="G18" s="110"/>
      <c r="H18" s="110"/>
    </row>
    <row r="19" customFormat="false" ht="18" hidden="false" customHeight="true" outlineLevel="0" collapsed="false">
      <c r="A19" s="94" t="str">
        <f aca="false">"Name: "&amp;IF(TRIM(Flights!$Y$9)="","__________________",Flights!$Y$9)</f>
        <v>Name: __________________</v>
      </c>
      <c r="B19" s="94"/>
      <c r="C19" s="94" t="str">
        <f aca="false">"Name: __________________"</f>
        <v>Name: __________________</v>
      </c>
      <c r="D19" s="94"/>
      <c r="E19" s="94"/>
      <c r="F19" s="94" t="str">
        <f aca="false">"Name: __________________"&amp;"   Station: "&amp;Flights!$V$9</f>
        <v>Name: __________________   Station: NRT</v>
      </c>
      <c r="G19" s="94"/>
      <c r="H19" s="94"/>
    </row>
    <row r="20" customFormat="false" ht="30" hidden="false" customHeight="true" outlineLevel="0" collapsed="false">
      <c r="A20" s="111" t="s">
        <v>1728</v>
      </c>
      <c r="B20" s="111"/>
      <c r="C20" s="111" t="s">
        <v>1728</v>
      </c>
      <c r="D20" s="111"/>
      <c r="E20" s="111"/>
      <c r="F20" s="111" t="s">
        <v>1728</v>
      </c>
      <c r="G20" s="111"/>
      <c r="H20" s="111"/>
    </row>
    <row r="21" customFormat="false" ht="13.5" hidden="false" customHeight="true" outlineLevel="0" collapsed="false">
      <c r="A21" s="112" t="s">
        <v>1729</v>
      </c>
      <c r="B21" s="112"/>
      <c r="C21" s="112"/>
      <c r="D21" s="112"/>
      <c r="E21" s="112"/>
      <c r="F21" s="112"/>
      <c r="G21" s="112"/>
      <c r="H21" s="112"/>
    </row>
    <row r="22" customFormat="false" ht="24" hidden="false" customHeight="true" outlineLevel="0" collapsed="false">
      <c r="A22" s="95" t="s">
        <v>1730</v>
      </c>
      <c r="B22" s="95" t="s">
        <v>1731</v>
      </c>
      <c r="C22" s="95" t="s">
        <v>1732</v>
      </c>
      <c r="D22" s="95" t="s">
        <v>1733</v>
      </c>
      <c r="E22" s="95" t="s">
        <v>1734</v>
      </c>
      <c r="F22" s="95" t="s">
        <v>1735</v>
      </c>
      <c r="G22" s="95" t="s">
        <v>1736</v>
      </c>
      <c r="H22" s="95" t="s">
        <v>124</v>
      </c>
    </row>
    <row r="23" customFormat="false" ht="25.5" hidden="false" customHeight="true" outlineLevel="0" collapsed="false">
      <c r="A23" s="113" t="str">
        <f aca="false">"T-7D — 7 days before departure  |  Due "&amp;IF(ISNUMBER(Flights!$AG$9),TEXT(Flights!$AG$9,"DD-MMM-YY HH:MM"),"")&amp;" "&amp;Flights!$V$9&amp;" (meal uplift stn)"&amp;" (rows with another due show their own)  |  Complete "&amp;IF(ISNUMBER(Flights!$AJ$9),TEXT(Flights!$AJ$9,"0%"),Flights!$AJ$9)&amp;"  |  10 lines"</f>
        <v>T-7D — 7 days before departure  |  Due 08-Oct-26 10:05 NRT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Checks!$A$137&amp;CHAR(10)&amp;IF(Checks!$I$137="","",Checks!$I$137&amp;": ")&amp;Checks!$J$137</f>
        <v>F05-T7-01
Meal: Meal sensory testing completed for this flight's menu cycle (assessed class)</v>
      </c>
      <c r="B24" s="114" t="str">
        <f aca="false">Checks!$K$137&amp;IF(Checks!$O$137="","",IF(Checks!$K$137="","",CHAR(10))&amp;"Note: "&amp;Checks!$O$137)</f>
        <v>Record panel result / score in Result</v>
      </c>
      <c r="C24" s="114" t="str">
        <f aca="false">Checks!$N$137&amp;CHAR(10)&amp;IF(ISNUMBER(Checks!$R$137),TEXT(Checks!$R$137,"DD-MMM-YY HH:MM"),"")&amp;" "&amp;Checks!$P$137</f>
        <v>Required
08-Oct-26 10:05 NRT</v>
      </c>
      <c r="D24" s="114" t="str">
        <f aca="false">IF(Checks!$U$137="","",Checks!$U$137)&amp;IF(Checks!$AB$137="","",CHAR(10)&amp;"CA: "&amp;Checks!$AB$137)</f>
        <v/>
      </c>
      <c r="E24" s="114" t="str">
        <f aca="false">IF(Checks!$V$137="","",Checks!$V$137)&amp;IF(Checks!$AC$137="","",IF(Checks!$V$137="","",CHAR(10))&amp;"N/A just.: "&amp;Checks!$AC$137)&amp;IF(Checks!$W$137="","",CHAR(10)&amp;"Batch: "&amp;Checks!$W$137)&amp;IF(AND(Checks!$X$137="",Checks!$Y$137=""),"",CHAR(10)&amp;"Exp: "&amp;Checks!$X$137&amp;"  /  Act: "&amp;Checks!$Y$137)</f>
        <v/>
      </c>
      <c r="F24" s="114" t="str">
        <f aca="false">IF(Checks!$Z$137="","","Evidence: "&amp;Checks!$Z$137)&amp;IF(Checks!$AA$137="","",IF(Checks!$Z$137="","",CHAR(10))&amp;"CA: "&amp;Checks!$AA$137)</f>
        <v/>
      </c>
      <c r="G24" s="114" t="str">
        <f aca="false">IF(ISNUMBER(Checks!$AD$137),TEXT(Checks!$AD$137,"DD-MMM-YY HH:MM")&amp;" "&amp;Checks!$P$137,"")&amp;IF(Checks!$AE$137="","",CHAR(10)&amp;"Verifier: "&amp;Checks!$AE$137)&amp;IF(Checks!$T$137="","",CHAR(10)&amp;"PIC: "&amp;Checks!$T$137)</f>
        <v/>
      </c>
      <c r="H24" s="115" t="str">
        <f aca="false">IF(Checks!$AH$137="","",Checks!$AH$137)</f>
        <v>OPEN</v>
      </c>
    </row>
    <row r="25" customFormat="false" ht="114" hidden="false" customHeight="true" outlineLevel="0" collapsed="false">
      <c r="A25" s="114" t="str">
        <f aca="false">Checks!$A$138&amp;CHAR(10)&amp;IF(Checks!$I$138="","",Checks!$I$138&amp;": ")&amp;Checks!$J$138</f>
        <v>F05-T7-02
Menu: Printed menu cards confirmed (content, cycle, language, quantity)</v>
      </c>
      <c r="B25" s="114" t="str">
        <f aca="false">Checks!$K$138&amp;IF(Checks!$O$138="","",IF(Checks!$K$138="","",CHAR(10))&amp;"Note: "&amp;Checks!$O$138)</f>
        <v>Menu card matches approved menu for this flight</v>
      </c>
      <c r="C25" s="114" t="str">
        <f aca="false">Checks!$N$138&amp;CHAR(10)&amp;IF(ISNUMBER(Checks!$R$138),TEXT(Checks!$R$138,"DD-MMM-YY HH:MM"),"")&amp;" "&amp;Checks!$P$138</f>
        <v>Required
08-Oct-26 10:05 NRT</v>
      </c>
      <c r="D25" s="114" t="str">
        <f aca="false">IF(Checks!$U$138="","",Checks!$U$138)&amp;IF(Checks!$AB$138="","",CHAR(10)&amp;"CA: "&amp;Checks!$AB$138)</f>
        <v/>
      </c>
      <c r="E25" s="114" t="str">
        <f aca="false">IF(Checks!$V$138="","",Checks!$V$138)&amp;IF(Checks!$AC$138="","",IF(Checks!$V$138="","",CHAR(10))&amp;"N/A just.: "&amp;Checks!$AC$138)&amp;IF(Checks!$W$138="","",CHAR(10)&amp;"Batch: "&amp;Checks!$W$138)&amp;IF(AND(Checks!$X$138="",Checks!$Y$138=""),"",CHAR(10)&amp;"Exp: "&amp;Checks!$X$138&amp;"  /  Act: "&amp;Checks!$Y$138)</f>
        <v/>
      </c>
      <c r="F25" s="114" t="str">
        <f aca="false">IF(Checks!$Z$138="","","Evidence: "&amp;Checks!$Z$138)&amp;IF(Checks!$AA$138="","",IF(Checks!$Z$138="","",CHAR(10))&amp;"CA: "&amp;Checks!$AA$138)</f>
        <v/>
      </c>
      <c r="G25" s="114" t="str">
        <f aca="false">IF(ISNUMBER(Checks!$AD$138),TEXT(Checks!$AD$138,"DD-MMM-YY HH:MM")&amp;" "&amp;Checks!$P$138,"")&amp;IF(Checks!$AE$138="","",CHAR(10)&amp;"Verifier: "&amp;Checks!$AE$138)&amp;IF(Checks!$T$138="","",CHAR(10)&amp;"PIC: "&amp;Checks!$T$138)</f>
        <v/>
      </c>
      <c r="H25" s="115" t="str">
        <f aca="false">IF(Checks!$AH$138="","",Checks!$AH$138)</f>
        <v>OPEN</v>
      </c>
    </row>
    <row r="26" customFormat="false" ht="114" hidden="false" customHeight="true" outlineLevel="0" collapsed="false">
      <c r="A26" s="114" t="str">
        <f aca="false">Checks!$A$139&amp;CHAR(10)&amp;IF(Checks!$I$139="","",Checks!$I$139&amp;": ")&amp;Checks!$J$139</f>
        <v>F05-T7-03
IFE: Digital menu in IFE confirmed (A339 only)</v>
      </c>
      <c r="B26" s="114" t="str">
        <f aca="false">Checks!$K$139&amp;IF(Checks!$O$139="","",IF(Checks!$K$139="","",CHAR(10))&amp;"Note: "&amp;Checks!$O$139)</f>
        <v>Applies when fleet = A339
Note: Digital IFE menu applies to A339 only (user brief). Applicability follows the Fleet cell on Flights.</v>
      </c>
      <c r="C26" s="114" t="str">
        <f aca="false">Checks!$N$139&amp;CHAR(10)&amp;IF(ISNUMBER(Checks!$R$139),TEXT(Checks!$R$139,"DD-MMM-YY HH:MM"),"")&amp;" "&amp;Checks!$P$139</f>
        <v>N/A – rule
08-Oct-26 10:05 NRT</v>
      </c>
      <c r="D26" s="114" t="str">
        <f aca="false">IF(Checks!$U$139="","",Checks!$U$139)&amp;IF(Checks!$AB$139="","",CHAR(10)&amp;"CA: "&amp;Checks!$AB$139)</f>
        <v/>
      </c>
      <c r="E26" s="114" t="str">
        <f aca="false">IF(Checks!$V$139="","",Checks!$V$139)&amp;IF(Checks!$AC$139="","",IF(Checks!$V$139="","",CHAR(10))&amp;"N/A just.: "&amp;Checks!$AC$139)&amp;IF(Checks!$W$139="","",CHAR(10)&amp;"Batch: "&amp;Checks!$W$139)&amp;IF(AND(Checks!$X$139="",Checks!$Y$139=""),"",CHAR(10)&amp;"Exp: "&amp;Checks!$X$139&amp;"  /  Act: "&amp;Checks!$Y$139)</f>
        <v/>
      </c>
      <c r="F26" s="114" t="str">
        <f aca="false">IF(Checks!$Z$139="","","Evidence: "&amp;Checks!$Z$139)&amp;IF(Checks!$AA$139="","",IF(Checks!$Z$139="","",CHAR(10))&amp;"CA: "&amp;Checks!$AA$139)</f>
        <v/>
      </c>
      <c r="G26" s="114" t="str">
        <f aca="false">IF(ISNUMBER(Checks!$AD$139),TEXT(Checks!$AD$139,"DD-MMM-YY HH:MM")&amp;" "&amp;Checks!$P$139,"")&amp;IF(Checks!$AE$139="","",CHAR(10)&amp;"Verifier: "&amp;Checks!$AE$139)&amp;IF(Checks!$T$139="","",CHAR(10)&amp;"PIC: "&amp;Checks!$T$139)</f>
        <v/>
      </c>
      <c r="H26" s="115" t="str">
        <f aca="false">IF(Checks!$AH$139="","",Checks!$AH$139)</f>
        <v>N/A – RULE</v>
      </c>
    </row>
    <row r="27" customFormat="false" ht="114" hidden="false" customHeight="true" outlineLevel="0" collapsed="false">
      <c r="A27" s="114" t="str">
        <f aca="false">Checks!$A$140&amp;CHAR(10)&amp;IF(Checks!$I$140="","",Checks!$I$140&amp;": ")&amp;Checks!$J$140</f>
        <v>F05-T7-04
Staffing: Experienced catering officer assigned to this flight</v>
      </c>
      <c r="B27" s="114" t="str">
        <f aca="false">Checks!$K$140&amp;IF(Checks!$O$140="","",IF(Checks!$K$140="","",CHAR(10))&amp;"Note: "&amp;Checks!$O$140)</f>
        <v>Record officer name in Result</v>
      </c>
      <c r="C27" s="114" t="str">
        <f aca="false">Checks!$N$140&amp;CHAR(10)&amp;IF(ISNUMBER(Checks!$R$140),TEXT(Checks!$R$140,"DD-MMM-YY HH:MM"),"")&amp;" "&amp;Checks!$P$140</f>
        <v>Required
08-Oct-26 10:05 NRT</v>
      </c>
      <c r="D27" s="114" t="str">
        <f aca="false">IF(Checks!$U$140="","",Checks!$U$140)&amp;IF(Checks!$AB$140="","",CHAR(10)&amp;"CA: "&amp;Checks!$AB$140)</f>
        <v/>
      </c>
      <c r="E27" s="114" t="str">
        <f aca="false">IF(Checks!$V$140="","",Checks!$V$140)&amp;IF(Checks!$AC$140="","",IF(Checks!$V$140="","",CHAR(10))&amp;"N/A just.: "&amp;Checks!$AC$140)&amp;IF(Checks!$W$140="","",CHAR(10)&amp;"Batch: "&amp;Checks!$W$140)&amp;IF(AND(Checks!$X$140="",Checks!$Y$140=""),"",CHAR(10)&amp;"Exp: "&amp;Checks!$X$140&amp;"  /  Act: "&amp;Checks!$Y$140)</f>
        <v/>
      </c>
      <c r="F27" s="114" t="str">
        <f aca="false">IF(Checks!$Z$140="","","Evidence: "&amp;Checks!$Z$140)&amp;IF(Checks!$AA$140="","",IF(Checks!$Z$140="","",CHAR(10))&amp;"CA: "&amp;Checks!$AA$140)</f>
        <v/>
      </c>
      <c r="G27" s="114" t="str">
        <f aca="false">IF(ISNUMBER(Checks!$AD$140),TEXT(Checks!$AD$140,"DD-MMM-YY HH:MM")&amp;" "&amp;Checks!$P$140,"")&amp;IF(Checks!$AE$140="","",CHAR(10)&amp;"Verifier: "&amp;Checks!$AE$140)&amp;IF(Checks!$T$140="","",CHAR(10)&amp;"PIC: "&amp;Checks!$T$140)</f>
        <v/>
      </c>
      <c r="H27" s="115" t="str">
        <f aca="false">IF(Checks!$AH$140="","",Checks!$AH$140)</f>
        <v>OPEN</v>
      </c>
    </row>
    <row r="28" customFormat="false" ht="114" hidden="false" customHeight="true" outlineLevel="0" collapsed="false">
      <c r="A28" s="114" t="str">
        <f aca="false">Checks!$A$141&amp;CHAR(10)&amp;IF(Checks!$I$141="","",Checks!$I$141&amp;": ")&amp;Checks!$J$141</f>
        <v>F05-T7-05
ISOP: All latest applicable ISOP revisions communicated to caterer</v>
      </c>
      <c r="B28" s="114" t="str">
        <f aca="false">Checks!$K$141&amp;IF(Checks!$O$141="","",IF(Checks!$K$141="","",CHAR(10))&amp;"Note: "&amp;Checks!$O$141)</f>
        <v>List revision numbers in Result (see ISOP register)</v>
      </c>
      <c r="C28" s="114" t="str">
        <f aca="false">Checks!$N$141&amp;CHAR(10)&amp;IF(ISNUMBER(Checks!$R$141),TEXT(Checks!$R$141,"DD-MMM-YY HH:MM"),"")&amp;" "&amp;Checks!$P$141</f>
        <v>Required
08-Oct-26 10:05 NRT</v>
      </c>
      <c r="D28" s="114" t="str">
        <f aca="false">IF(Checks!$U$141="","",Checks!$U$141)&amp;IF(Checks!$AB$141="","",CHAR(10)&amp;"CA: "&amp;Checks!$AB$141)</f>
        <v/>
      </c>
      <c r="E28" s="114" t="str">
        <f aca="false">IF(Checks!$V$141="","",Checks!$V$141)&amp;IF(Checks!$AC$141="","",IF(Checks!$V$141="","",CHAR(10))&amp;"N/A just.: "&amp;Checks!$AC$141)&amp;IF(Checks!$W$141="","",CHAR(10)&amp;"Batch: "&amp;Checks!$W$141)&amp;IF(AND(Checks!$X$141="",Checks!$Y$141=""),"",CHAR(10)&amp;"Exp: "&amp;Checks!$X$141&amp;"  /  Act: "&amp;Checks!$Y$141)</f>
        <v/>
      </c>
      <c r="F28" s="114" t="str">
        <f aca="false">IF(Checks!$Z$141="","","Evidence: "&amp;Checks!$Z$141)&amp;IF(Checks!$AA$141="","",IF(Checks!$Z$141="","",CHAR(10))&amp;"CA: "&amp;Checks!$AA$141)</f>
        <v/>
      </c>
      <c r="G28" s="114" t="str">
        <f aca="false">IF(ISNUMBER(Checks!$AD$141),TEXT(Checks!$AD$141,"DD-MMM-YY HH:MM")&amp;" "&amp;Checks!$P$141,"")&amp;IF(Checks!$AE$141="","",CHAR(10)&amp;"Verifier: "&amp;Checks!$AE$141)&amp;IF(Checks!$T$141="","",CHAR(10)&amp;"PIC: "&amp;Checks!$T$141)</f>
        <v/>
      </c>
      <c r="H28" s="115" t="str">
        <f aca="false">IF(Checks!$AH$141="","",Checks!$AH$141)</f>
        <v>OPEN</v>
      </c>
    </row>
    <row r="29" customFormat="false" ht="114" hidden="false" customHeight="true" outlineLevel="0" collapsed="false">
      <c r="A29" s="114" t="str">
        <f aca="false">Checks!$A$142&amp;CHAR(10)&amp;IF(Checks!$I$142="","",Checks!$I$142&amp;": ")&amp;Checks!$J$142</f>
        <v>F05-T7-06
ISOP: Caterer acknowledgement of ISOP revisions recorded</v>
      </c>
      <c r="B29" s="114" t="str">
        <f aca="false">Checks!$K$142&amp;IF(Checks!$O$142="","",IF(Checks!$K$142="","",CHAR(10))&amp;"Note: "&amp;Checks!$O$142)</f>
        <v>Record acknowledgement ref in Evidence</v>
      </c>
      <c r="C29" s="114" t="str">
        <f aca="false">Checks!$N$142&amp;CHAR(10)&amp;IF(ISNUMBER(Checks!$R$142),TEXT(Checks!$R$142,"DD-MMM-YY HH:MM"),"")&amp;" "&amp;Checks!$P$142</f>
        <v>Required
08-Oct-26 10:05 NRT</v>
      </c>
      <c r="D29" s="114" t="str">
        <f aca="false">IF(Checks!$U$142="","",Checks!$U$142)&amp;IF(Checks!$AB$142="","",CHAR(10)&amp;"CA: "&amp;Checks!$AB$142)</f>
        <v/>
      </c>
      <c r="E29" s="114" t="str">
        <f aca="false">IF(Checks!$V$142="","",Checks!$V$142)&amp;IF(Checks!$AC$142="","",IF(Checks!$V$142="","",CHAR(10))&amp;"N/A just.: "&amp;Checks!$AC$142)&amp;IF(Checks!$W$142="","",CHAR(10)&amp;"Batch: "&amp;Checks!$W$142)&amp;IF(AND(Checks!$X$142="",Checks!$Y$142=""),"",CHAR(10)&amp;"Exp: "&amp;Checks!$X$142&amp;"  /  Act: "&amp;Checks!$Y$142)</f>
        <v/>
      </c>
      <c r="F29" s="114" t="str">
        <f aca="false">IF(Checks!$Z$142="","","Evidence: "&amp;Checks!$Z$142)&amp;IF(Checks!$AA$142="","",IF(Checks!$Z$142="","",CHAR(10))&amp;"CA: "&amp;Checks!$AA$142)</f>
        <v/>
      </c>
      <c r="G29" s="114" t="str">
        <f aca="false">IF(ISNUMBER(Checks!$AD$142),TEXT(Checks!$AD$142,"DD-MMM-YY HH:MM")&amp;" "&amp;Checks!$P$142,"")&amp;IF(Checks!$AE$142="","",CHAR(10)&amp;"Verifier: "&amp;Checks!$AE$142)&amp;IF(Checks!$T$142="","",CHAR(10)&amp;"PIC: "&amp;Checks!$T$142)</f>
        <v/>
      </c>
      <c r="H29" s="115" t="str">
        <f aca="false">IF(Checks!$AH$142="","",Checks!$AH$142)</f>
        <v>OPEN</v>
      </c>
    </row>
    <row r="30" customFormat="false" ht="114" hidden="false" customHeight="true" outlineLevel="0" collapsed="false">
      <c r="A30" s="114" t="str">
        <f aca="false">Checks!$A$143&amp;CHAR(10)&amp;IF(Checks!$I$143="","",Checks!$I$143&amp;": ")&amp;Checks!$J$143</f>
        <v>F05-T7-07
Documents: Galley loading diagram (GLD) received, revision recorded &amp; attached</v>
      </c>
      <c r="B30" s="114" t="str">
        <f aca="false">Checks!$K$143&amp;IF(Checks!$O$143="","",IF(Checks!$K$143="","",CHAR(10))&amp;"Note: "&amp;Checks!$O$143)</f>
        <v>Documents sheet row complete</v>
      </c>
      <c r="C30" s="114" t="str">
        <f aca="false">Checks!$N$143&amp;CHAR(10)&amp;IF(ISNUMBER(Checks!$R$143),TEXT(Checks!$R$143,"DD-MMM-YY HH:MM"),"")&amp;" "&amp;Checks!$P$143</f>
        <v>Required
08-Oct-26 10:05 NRT</v>
      </c>
      <c r="D30" s="114" t="str">
        <f aca="false">IF(Checks!$U$143="","",Checks!$U$143)&amp;IF(Checks!$AB$143="","",CHAR(10)&amp;"CA: "&amp;Checks!$AB$143)</f>
        <v/>
      </c>
      <c r="E30" s="114" t="str">
        <f aca="false">IF(Checks!$V$143="","",Checks!$V$143)&amp;IF(Checks!$AC$143="","",IF(Checks!$V$143="","",CHAR(10))&amp;"N/A just.: "&amp;Checks!$AC$143)&amp;IF(Checks!$W$143="","",CHAR(10)&amp;"Batch: "&amp;Checks!$W$143)&amp;IF(AND(Checks!$X$143="",Checks!$Y$143=""),"",CHAR(10)&amp;"Exp: "&amp;Checks!$X$143&amp;"  /  Act: "&amp;Checks!$Y$143)</f>
        <v/>
      </c>
      <c r="F30" s="114" t="str">
        <f aca="false">IF(Checks!$Z$143="","","Evidence: "&amp;Checks!$Z$143)&amp;IF(Checks!$AA$143="","",IF(Checks!$Z$143="","",CHAR(10))&amp;"CA: "&amp;Checks!$AA$143)</f>
        <v/>
      </c>
      <c r="G30" s="114" t="str">
        <f aca="false">IF(ISNUMBER(Checks!$AD$143),TEXT(Checks!$AD$143,"DD-MMM-YY HH:MM")&amp;" "&amp;Checks!$P$143,"")&amp;IF(Checks!$AE$143="","",CHAR(10)&amp;"Verifier: "&amp;Checks!$AE$143)&amp;IF(Checks!$T$143="","",CHAR(10)&amp;"PIC: "&amp;Checks!$T$143)</f>
        <v/>
      </c>
      <c r="H30" s="115" t="str">
        <f aca="false">IF(Checks!$AH$143="","",Checks!$AH$143)</f>
        <v>OPEN</v>
      </c>
    </row>
    <row r="31" customFormat="false" ht="114" hidden="false" customHeight="true" outlineLevel="0" collapsed="false">
      <c r="A31" s="114" t="str">
        <f aca="false">Checks!$A$144&amp;CHAR(10)&amp;IF(Checks!$I$144="","",Checks!$I$144&amp;": ")&amp;Checks!$J$144</f>
        <v>F05-T7-08
Documents: Menu checklist received, revision recorded &amp; attached</v>
      </c>
      <c r="B31" s="114" t="str">
        <f aca="false">Checks!$K$144&amp;IF(Checks!$O$144="","",IF(Checks!$K$144="","",CHAR(10))&amp;"Note: "&amp;Checks!$O$144)</f>
        <v>Documents sheet row complete</v>
      </c>
      <c r="C31" s="114" t="str">
        <f aca="false">Checks!$N$144&amp;CHAR(10)&amp;IF(ISNUMBER(Checks!$R$144),TEXT(Checks!$R$144,"DD-MMM-YY HH:MM"),"")&amp;" "&amp;Checks!$P$144</f>
        <v>Required
08-Oct-26 10:05 NRT</v>
      </c>
      <c r="D31" s="114" t="str">
        <f aca="false">IF(Checks!$U$144="","",Checks!$U$144)&amp;IF(Checks!$AB$144="","",CHAR(10)&amp;"CA: "&amp;Checks!$AB$144)</f>
        <v/>
      </c>
      <c r="E31" s="114" t="str">
        <f aca="false">IF(Checks!$V$144="","",Checks!$V$144)&amp;IF(Checks!$AC$144="","",IF(Checks!$V$144="","",CHAR(10))&amp;"N/A just.: "&amp;Checks!$AC$144)&amp;IF(Checks!$W$144="","",CHAR(10)&amp;"Batch: "&amp;Checks!$W$144)&amp;IF(AND(Checks!$X$144="",Checks!$Y$144=""),"",CHAR(10)&amp;"Exp: "&amp;Checks!$X$144&amp;"  /  Act: "&amp;Checks!$Y$144)</f>
        <v/>
      </c>
      <c r="F31" s="114" t="str">
        <f aca="false">IF(Checks!$Z$144="","","Evidence: "&amp;Checks!$Z$144)&amp;IF(Checks!$AA$144="","",IF(Checks!$Z$144="","",CHAR(10))&amp;"CA: "&amp;Checks!$AA$144)</f>
        <v/>
      </c>
      <c r="G31" s="114" t="str">
        <f aca="false">IF(ISNUMBER(Checks!$AD$144),TEXT(Checks!$AD$144,"DD-MMM-YY HH:MM")&amp;" "&amp;Checks!$P$144,"")&amp;IF(Checks!$AE$144="","",CHAR(10)&amp;"Verifier: "&amp;Checks!$AE$144)&amp;IF(Checks!$T$144="","",CHAR(10)&amp;"PIC: "&amp;Checks!$T$144)</f>
        <v/>
      </c>
      <c r="H31" s="115" t="str">
        <f aca="false">IF(Checks!$AH$144="","",Checks!$AH$144)</f>
        <v>OPEN</v>
      </c>
    </row>
    <row r="32" customFormat="false" ht="114" hidden="false" customHeight="true" outlineLevel="0" collapsed="false">
      <c r="A32" s="114" t="str">
        <f aca="false">Checks!$A$145&amp;CHAR(10)&amp;IF(Checks!$I$145="","",Checks!$I$145&amp;": ")&amp;Checks!$J$145</f>
        <v>F05-T7-09
Uplift plan: Uplift plan confirmed with caterer vs STD Uplift Information</v>
      </c>
      <c r="B32" s="114" t="str">
        <f aca="false">Checks!$K$145&amp;IF(Checks!$O$145="","",IF(Checks!$K$145="","",CHAR(10))&amp;"Note: "&amp;Checks!$O$145)</f>
        <v>Service: 1.5 Meal (Meal); meal uplift stn NRT (ref lists KUL/NRT)</v>
      </c>
      <c r="C32" s="114" t="str">
        <f aca="false">Checks!$N$145&amp;CHAR(10)&amp;IF(ISNUMBER(Checks!$R$145),TEXT(Checks!$R$145,"DD-MMM-YY HH:MM"),"")&amp;" "&amp;Checks!$P$145</f>
        <v>Required
08-Oct-26 10:05 NRT</v>
      </c>
      <c r="D32" s="114" t="str">
        <f aca="false">IF(Checks!$U$145="","",Checks!$U$145)&amp;IF(Checks!$AB$145="","",CHAR(10)&amp;"CA: "&amp;Checks!$AB$145)</f>
        <v/>
      </c>
      <c r="E32" s="114" t="str">
        <f aca="false">IF(Checks!$V$145="","",Checks!$V$145)&amp;IF(Checks!$AC$145="","",IF(Checks!$V$145="","",CHAR(10))&amp;"N/A just.: "&amp;Checks!$AC$145)&amp;IF(Checks!$W$145="","",CHAR(10)&amp;"Batch: "&amp;Checks!$W$145)&amp;IF(AND(Checks!$X$145="",Checks!$Y$145=""),"",CHAR(10)&amp;"Exp: "&amp;Checks!$X$145&amp;"  /  Act: "&amp;Checks!$Y$145)</f>
        <v/>
      </c>
      <c r="F32" s="114" t="str">
        <f aca="false">IF(Checks!$Z$145="","","Evidence: "&amp;Checks!$Z$145)&amp;IF(Checks!$AA$145="","",IF(Checks!$Z$145="","",CHAR(10))&amp;"CA: "&amp;Checks!$AA$145)</f>
        <v/>
      </c>
      <c r="G32" s="114" t="str">
        <f aca="false">IF(ISNUMBER(Checks!$AD$145),TEXT(Checks!$AD$145,"DD-MMM-YY HH:MM")&amp;" "&amp;Checks!$P$145,"")&amp;IF(Checks!$AE$145="","",CHAR(10)&amp;"Verifier: "&amp;Checks!$AE$145)&amp;IF(Checks!$T$145="","",CHAR(10)&amp;"PIC: "&amp;Checks!$T$145)</f>
        <v/>
      </c>
      <c r="H32" s="115" t="str">
        <f aca="false">IF(Checks!$AH$145="","",Checks!$AH$145)</f>
        <v>OPEN</v>
      </c>
    </row>
    <row r="33" customFormat="false" ht="256.5" hidden="false" customHeight="true" outlineLevel="0" collapsed="false">
      <c r="A33" s="114" t="str">
        <f aca="false">Checks!$A$146&amp;CHAR(10)&amp;IF(Checks!$I$146="","",Checks!$I$146&amp;": ")&amp;Checks!$J$146</f>
        <v>F05-T7-10
Uplift plan: Inbound KUL-NRT flight carrying KUL-sourced items identified and its KUL departure (UTC) entered on Flights col AX</v>
      </c>
      <c r="B33" s="114" t="str">
        <f aca="false">Checks!$K$146&amp;IF(Checks!$O$146="","",IF(Checks!$K$146="","",CHAR(10))&amp;"Note: "&amp;Checks!$O$146)</f>
        <v>KUL-sourced items (Toiletry kits) travel on the inbound KUL-NRT sector
Note: Cannot be passed until Flights AX holds the carrying flight's KUL departure (agenda candidate MH0088 10-Oct (F04)). Until then the prep and KUL-loading dues assume the agenda candidate's KUL departure, or if none, the latest possible one (STD minus the shortest agenda KUL-NRT block).</v>
      </c>
      <c r="C33" s="114" t="str">
        <f aca="false">Checks!$N$146&amp;CHAR(10)&amp;IF(ISNUMBER(Checks!$R$146),TEXT(Checks!$R$146,"DD-MMM-YY HH:MM"),"")&amp;" "&amp;Checks!$P$146</f>
        <v>Clarification required
08-Oct-26 09:05 KUL</v>
      </c>
      <c r="D33" s="114" t="str">
        <f aca="false">IF(Checks!$U$146="","",Checks!$U$146)&amp;IF(Checks!$AB$146="","",CHAR(10)&amp;"CA: "&amp;Checks!$AB$146)</f>
        <v/>
      </c>
      <c r="E33" s="114" t="str">
        <f aca="false">IF(Checks!$V$146="","",Checks!$V$146)&amp;IF(Checks!$AC$146="","",IF(Checks!$V$146="","",CHAR(10))&amp;"N/A just.: "&amp;Checks!$AC$146)&amp;IF(Checks!$W$146="","",CHAR(10)&amp;"Batch: "&amp;Checks!$W$146)&amp;IF(AND(Checks!$X$146="",Checks!$Y$146=""),"",CHAR(10)&amp;"Exp: "&amp;Checks!$X$146&amp;"  /  Act: "&amp;Checks!$Y$146)</f>
        <v/>
      </c>
      <c r="F33" s="114" t="str">
        <f aca="false">IF(Checks!$Z$146="","","Evidence: "&amp;Checks!$Z$146)&amp;IF(Checks!$AA$146="","",IF(Checks!$Z$146="","",CHAR(10))&amp;"CA: "&amp;Checks!$AA$146)</f>
        <v/>
      </c>
      <c r="G33" s="114" t="str">
        <f aca="false">IF(ISNUMBER(Checks!$AD$146),TEXT(Checks!$AD$146,"DD-MMM-YY HH:MM")&amp;" "&amp;Checks!$P$146,"")&amp;IF(Checks!$AE$146="","",CHAR(10)&amp;"Verifier: "&amp;Checks!$AE$146)&amp;IF(Checks!$T$146="","",CHAR(10)&amp;"PIC: "&amp;Checks!$T$146)</f>
        <v/>
      </c>
      <c r="H33" s="115" t="str">
        <f aca="false">IF(Checks!$AH$146="","",Checks!$AH$146)</f>
        <v>OPEN – CLARIFICATION</v>
      </c>
    </row>
    <row r="34" customFormat="false" ht="25.5" hidden="false" customHeight="true" outlineLevel="0" collapsed="false">
      <c r="A34" s="113" t="str">
        <f aca="false">"T-24H — Production batch sensory  |  Due "&amp;IF(ISNUMBER(Flights!$AH$9),TEXT(Flights!$AH$9,"DD-MMM-YY HH:MM"),"")&amp;" "&amp;Flights!$V$9&amp;" (meal uplift stn)"&amp;" (rows with another due show their own)  |  Complete "&amp;IF(ISNUMBER(Flights!$AK$9),TEXT(Flights!$AK$9,"0%"),Flights!$AK$9)&amp;"  |  1 lines"</f>
        <v>T-24H — Production batch sensory  |  Due 14-Oct-26 10:05 NRT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Checks!$A$147&amp;CHAR(10)&amp;IF(Checks!$I$147="","",Checks!$I$147&amp;": ")&amp;Checks!$J$147</f>
        <v>F05-T24-01
Meal: Sensory test repeated on ACTUAL production batch for this flight</v>
      </c>
      <c r="B35" s="114" t="str">
        <f aca="false">Checks!$K$147&amp;IF(Checks!$O$147="","",IF(Checks!$K$147="","",CHAR(10))&amp;"Note: "&amp;Checks!$O$147)</f>
        <v>Batch ID, result, CA and acceptance mandatory</v>
      </c>
      <c r="C35" s="114" t="str">
        <f aca="false">Checks!$N$147&amp;CHAR(10)&amp;IF(ISNUMBER(Checks!$R$147),TEXT(Checks!$R$147,"DD-MMM-YY HH:MM"),"")&amp;" "&amp;Checks!$P$147</f>
        <v>Required
14-Oct-26 10:05 NRT</v>
      </c>
      <c r="D35" s="114" t="str">
        <f aca="false">IF(Checks!$U$147="","",Checks!$U$147)&amp;IF(Checks!$AB$147="","",CHAR(10)&amp;"CA: "&amp;Checks!$AB$147)</f>
        <v/>
      </c>
      <c r="E35" s="114" t="str">
        <f aca="false">IF(Checks!$V$147="","",Checks!$V$147)&amp;IF(Checks!$AC$147="","",IF(Checks!$V$147="","",CHAR(10))&amp;"N/A just.: "&amp;Checks!$AC$147)&amp;IF(Checks!$W$147="","",CHAR(10)&amp;"Batch: "&amp;Checks!$W$147)&amp;IF(AND(Checks!$X$147="",Checks!$Y$147=""),"",CHAR(10)&amp;"Exp: "&amp;Checks!$X$147&amp;"  /  Act: "&amp;Checks!$Y$147)</f>
        <v/>
      </c>
      <c r="F35" s="114" t="str">
        <f aca="false">IF(Checks!$Z$147="","","Evidence: "&amp;Checks!$Z$147)&amp;IF(Checks!$AA$147="","",IF(Checks!$Z$147="","",CHAR(10))&amp;"CA: "&amp;Checks!$AA$147)</f>
        <v/>
      </c>
      <c r="G35" s="114" t="str">
        <f aca="false">IF(ISNUMBER(Checks!$AD$147),TEXT(Checks!$AD$147,"DD-MMM-YY HH:MM")&amp;" "&amp;Checks!$P$147,"")&amp;IF(Checks!$AE$147="","",CHAR(10)&amp;"Verifier: "&amp;Checks!$AE$147)&amp;IF(Checks!$T$147="","",CHAR(10)&amp;"PIC: "&amp;Checks!$T$147)</f>
        <v/>
      </c>
      <c r="H35" s="115" t="str">
        <f aca="false">IF(Checks!$AH$147="","",Checks!$AH$147)</f>
        <v>OPEN</v>
      </c>
    </row>
    <row r="36" customFormat="false" ht="25.5" hidden="false" customHeight="true" outlineLevel="0" collapsed="false">
      <c r="A36" s="113" t="str">
        <f aca="false">"T-12H PREP — Preparation check at caterer (does NOT confirm loading)  |  Due "&amp;IF(ISNUMBER(Flights!$AI$9),TEXT(Flights!$AI$9,"DD-MMM-YY HH:MM"),"")&amp;" "&amp;Flights!$V$9&amp;" (meal uplift stn)"&amp;" (rows with another due show their own)  |  Complete "&amp;IF(ISNUMBER(Flights!$AL$9),TEXT(Flights!$AL$9,"0%"),Flights!$AL$9)&amp;"  |  11 lines"</f>
        <v>T-12H PREP — Preparation check at caterer (does NOT confirm loading)  |  Due 14-Oct-26 22:05 NRT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Checks!$A$148&amp;CHAR(10)&amp;IF(Checks!$I$148="","",Checks!$I$148&amp;": ")&amp;Checks!$J$148</f>
        <v>F05-T12-01
Meal: Meal quality vs menu checklist</v>
      </c>
      <c r="B37" s="114" t="str">
        <f aca="false">Checks!$K$148&amp;IF(Checks!$O$148="","",IF(Checks!$K$148="","",CHAR(10))&amp;"Note: "&amp;Checks!$O$148)</f>
        <v>Note: Preparation check at caterer - does NOT confirm loading.</v>
      </c>
      <c r="C37" s="114" t="str">
        <f aca="false">Checks!$N$148&amp;CHAR(10)&amp;IF(ISNUMBER(Checks!$R$148),TEXT(Checks!$R$148,"DD-MMM-YY HH:MM"),"")&amp;" "&amp;Checks!$P$148</f>
        <v>Required
14-Oct-26 22:05 NRT</v>
      </c>
      <c r="D37" s="114" t="str">
        <f aca="false">IF(Checks!$U$148="","",Checks!$U$148)&amp;IF(Checks!$AB$148="","",CHAR(10)&amp;"CA: "&amp;Checks!$AB$148)</f>
        <v/>
      </c>
      <c r="E37" s="114" t="str">
        <f aca="false">IF(Checks!$V$148="","",Checks!$V$148)&amp;IF(Checks!$AC$148="","",IF(Checks!$V$148="","",CHAR(10))&amp;"N/A just.: "&amp;Checks!$AC$148)&amp;IF(Checks!$W$148="","",CHAR(10)&amp;"Batch: "&amp;Checks!$W$148)&amp;IF(AND(Checks!$X$148="",Checks!$Y$148=""),"",CHAR(10)&amp;"Exp: "&amp;Checks!$X$148&amp;"  /  Act: "&amp;Checks!$Y$148)</f>
        <v/>
      </c>
      <c r="F37" s="114" t="str">
        <f aca="false">IF(Checks!$Z$148="","","Evidence: "&amp;Checks!$Z$148)&amp;IF(Checks!$AA$148="","",IF(Checks!$Z$148="","",CHAR(10))&amp;"CA: "&amp;Checks!$AA$148)</f>
        <v/>
      </c>
      <c r="G37" s="114" t="str">
        <f aca="false">IF(ISNUMBER(Checks!$AD$148),TEXT(Checks!$AD$148,"DD-MMM-YY HH:MM")&amp;" "&amp;Checks!$P$148,"")&amp;IF(Checks!$AE$148="","",CHAR(10)&amp;"Verifier: "&amp;Checks!$AE$148)&amp;IF(Checks!$T$148="","",CHAR(10)&amp;"PIC: "&amp;Checks!$T$148)</f>
        <v/>
      </c>
      <c r="H37" s="115" t="str">
        <f aca="false">IF(Checks!$AH$148="","",Checks!$AH$148)</f>
        <v>OPEN</v>
      </c>
    </row>
    <row r="38" customFormat="false" ht="114" hidden="false" customHeight="true" outlineLevel="0" collapsed="false">
      <c r="A38" s="114" t="str">
        <f aca="false">Checks!$A$149&amp;CHAR(10)&amp;IF(Checks!$I$149="","",Checks!$I$149&amp;": ")&amp;Checks!$J$149</f>
        <v>F05-T12-02
Meal: Meal quantities vs menu checklist</v>
      </c>
      <c r="B38" s="114" t="str">
        <f aca="false">Checks!$K$149&amp;IF(Checks!$O$149="","",IF(Checks!$K$149="","",CHAR(10))&amp;"Note: "&amp;Checks!$O$149)</f>
        <v>Enter expected &amp; actual
Note: Preparation check at caterer - does NOT confirm loading.</v>
      </c>
      <c r="C38" s="114" t="str">
        <f aca="false">Checks!$N$149&amp;CHAR(10)&amp;IF(ISNUMBER(Checks!$R$149),TEXT(Checks!$R$149,"DD-MMM-YY HH:MM"),"")&amp;" "&amp;Checks!$P$149</f>
        <v>Required
14-Oct-26 22:05 NRT</v>
      </c>
      <c r="D38" s="114" t="str">
        <f aca="false">IF(Checks!$U$149="","",Checks!$U$149)&amp;IF(Checks!$AB$149="","",CHAR(10)&amp;"CA: "&amp;Checks!$AB$149)</f>
        <v/>
      </c>
      <c r="E38" s="114" t="str">
        <f aca="false">IF(Checks!$V$149="","",Checks!$V$149)&amp;IF(Checks!$AC$149="","",IF(Checks!$V$149="","",CHAR(10))&amp;"N/A just.: "&amp;Checks!$AC$149)&amp;IF(Checks!$W$149="","",CHAR(10)&amp;"Batch: "&amp;Checks!$W$149)&amp;IF(AND(Checks!$X$149="",Checks!$Y$149=""),"",CHAR(10)&amp;"Exp: "&amp;Checks!$X$149&amp;"  /  Act: "&amp;Checks!$Y$149)</f>
        <v/>
      </c>
      <c r="F38" s="114" t="str">
        <f aca="false">IF(Checks!$Z$149="","","Evidence: "&amp;Checks!$Z$149)&amp;IF(Checks!$AA$149="","",IF(Checks!$Z$149="","",CHAR(10))&amp;"CA: "&amp;Checks!$AA$149)</f>
        <v/>
      </c>
      <c r="G38" s="114" t="str">
        <f aca="false">IF(ISNUMBER(Checks!$AD$149),TEXT(Checks!$AD$149,"DD-MMM-YY HH:MM")&amp;" "&amp;Checks!$P$149,"")&amp;IF(Checks!$AE$149="","",CHAR(10)&amp;"Verifier: "&amp;Checks!$AE$149)&amp;IF(Checks!$T$149="","",CHAR(10)&amp;"PIC: "&amp;Checks!$T$149)</f>
        <v/>
      </c>
      <c r="H38" s="115" t="str">
        <f aca="false">IF(Checks!$AH$149="","",Checks!$AH$149)</f>
        <v>OPEN</v>
      </c>
    </row>
    <row r="39" customFormat="false" ht="114" hidden="false" customHeight="true" outlineLevel="0" collapsed="false">
      <c r="A39" s="114" t="str">
        <f aca="false">Checks!$A$150&amp;CHAR(10)&amp;IF(Checks!$I$150="","",Checks!$I$150&amp;": ")&amp;Checks!$J$150</f>
        <v>F05-T12-03
Equipment: Equipment cleanliness vs GLD</v>
      </c>
      <c r="B39" s="114" t="str">
        <f aca="false">Checks!$K$150&amp;IF(Checks!$O$150="","",IF(Checks!$K$150="","",CHAR(10))&amp;"Note: "&amp;Checks!$O$150)</f>
        <v>Note: Preparation check at caterer - does NOT confirm loading.</v>
      </c>
      <c r="C39" s="114" t="str">
        <f aca="false">Checks!$N$150&amp;CHAR(10)&amp;IF(ISNUMBER(Checks!$R$150),TEXT(Checks!$R$150,"DD-MMM-YY HH:MM"),"")&amp;" "&amp;Checks!$P$150</f>
        <v>Required
14-Oct-26 22:05 NRT</v>
      </c>
      <c r="D39" s="114" t="str">
        <f aca="false">IF(Checks!$U$150="","",Checks!$U$150)&amp;IF(Checks!$AB$150="","",CHAR(10)&amp;"CA: "&amp;Checks!$AB$150)</f>
        <v/>
      </c>
      <c r="E39" s="114" t="str">
        <f aca="false">IF(Checks!$V$150="","",Checks!$V$150)&amp;IF(Checks!$AC$150="","",IF(Checks!$V$150="","",CHAR(10))&amp;"N/A just.: "&amp;Checks!$AC$150)&amp;IF(Checks!$W$150="","",CHAR(10)&amp;"Batch: "&amp;Checks!$W$150)&amp;IF(AND(Checks!$X$150="",Checks!$Y$150=""),"",CHAR(10)&amp;"Exp: "&amp;Checks!$X$150&amp;"  /  Act: "&amp;Checks!$Y$150)</f>
        <v/>
      </c>
      <c r="F39" s="114" t="str">
        <f aca="false">IF(Checks!$Z$150="","","Evidence: "&amp;Checks!$Z$150)&amp;IF(Checks!$AA$150="","",IF(Checks!$Z$150="","",CHAR(10))&amp;"CA: "&amp;Checks!$AA$150)</f>
        <v/>
      </c>
      <c r="G39" s="114" t="str">
        <f aca="false">IF(ISNUMBER(Checks!$AD$150),TEXT(Checks!$AD$150,"DD-MMM-YY HH:MM")&amp;" "&amp;Checks!$P$150,"")&amp;IF(Checks!$AE$150="","",CHAR(10)&amp;"Verifier: "&amp;Checks!$AE$150)&amp;IF(Checks!$T$150="","",CHAR(10)&amp;"PIC: "&amp;Checks!$T$150)</f>
        <v/>
      </c>
      <c r="H39" s="115" t="str">
        <f aca="false">IF(Checks!$AH$150="","",Checks!$AH$150)</f>
        <v>OPEN</v>
      </c>
    </row>
    <row r="40" customFormat="false" ht="114" hidden="false" customHeight="true" outlineLevel="0" collapsed="false">
      <c r="A40" s="114" t="str">
        <f aca="false">Checks!$A$151&amp;CHAR(10)&amp;IF(Checks!$I$151="","",Checks!$I$151&amp;": ")&amp;Checks!$J$151</f>
        <v>F05-T12-04
Equipment: Equipment presentation vs GLD</v>
      </c>
      <c r="B40" s="114" t="str">
        <f aca="false">Checks!$K$151&amp;IF(Checks!$O$151="","",IF(Checks!$K$151="","",CHAR(10))&amp;"Note: "&amp;Checks!$O$151)</f>
        <v>Note: Preparation check at caterer - does NOT confirm loading.</v>
      </c>
      <c r="C40" s="114" t="str">
        <f aca="false">Checks!$N$151&amp;CHAR(10)&amp;IF(ISNUMBER(Checks!$R$151),TEXT(Checks!$R$151,"DD-MMM-YY HH:MM"),"")&amp;" "&amp;Checks!$P$151</f>
        <v>Required
14-Oct-26 22:05 NRT</v>
      </c>
      <c r="D40" s="114" t="str">
        <f aca="false">IF(Checks!$U$151="","",Checks!$U$151)&amp;IF(Checks!$AB$151="","",CHAR(10)&amp;"CA: "&amp;Checks!$AB$151)</f>
        <v/>
      </c>
      <c r="E40" s="114" t="str">
        <f aca="false">IF(Checks!$V$151="","",Checks!$V$151)&amp;IF(Checks!$AC$151="","",IF(Checks!$V$151="","",CHAR(10))&amp;"N/A just.: "&amp;Checks!$AC$151)&amp;IF(Checks!$W$151="","",CHAR(10)&amp;"Batch: "&amp;Checks!$W$151)&amp;IF(AND(Checks!$X$151="",Checks!$Y$151=""),"",CHAR(10)&amp;"Exp: "&amp;Checks!$X$151&amp;"  /  Act: "&amp;Checks!$Y$151)</f>
        <v/>
      </c>
      <c r="F40" s="114" t="str">
        <f aca="false">IF(Checks!$Z$151="","","Evidence: "&amp;Checks!$Z$151)&amp;IF(Checks!$AA$151="","",IF(Checks!$Z$151="","",CHAR(10))&amp;"CA: "&amp;Checks!$AA$151)</f>
        <v/>
      </c>
      <c r="G40" s="114" t="str">
        <f aca="false">IF(ISNUMBER(Checks!$AD$151),TEXT(Checks!$AD$151,"DD-MMM-YY HH:MM")&amp;" "&amp;Checks!$P$151,"")&amp;IF(Checks!$AE$151="","",CHAR(10)&amp;"Verifier: "&amp;Checks!$AE$151)&amp;IF(Checks!$T$151="","",CHAR(10)&amp;"PIC: "&amp;Checks!$T$151)</f>
        <v/>
      </c>
      <c r="H40" s="115" t="str">
        <f aca="false">IF(Checks!$AH$151="","",Checks!$AH$151)</f>
        <v>OPEN</v>
      </c>
    </row>
    <row r="41" customFormat="false" ht="114" hidden="false" customHeight="true" outlineLevel="0" collapsed="false">
      <c r="A41" s="114" t="str">
        <f aca="false">Checks!$A$152&amp;CHAR(10)&amp;IF(Checks!$I$152="","",Checks!$I$152&amp;": ")&amp;Checks!$J$152</f>
        <v>F05-T12-05
Equipment: Equipment serviceability vs GLD</v>
      </c>
      <c r="B41" s="114" t="str">
        <f aca="false">Checks!$K$152&amp;IF(Checks!$O$152="","",IF(Checks!$K$152="","",CHAR(10))&amp;"Note: "&amp;Checks!$O$152)</f>
        <v>Note: Preparation check at caterer - does NOT confirm loading.</v>
      </c>
      <c r="C41" s="114" t="str">
        <f aca="false">Checks!$N$152&amp;CHAR(10)&amp;IF(ISNUMBER(Checks!$R$152),TEXT(Checks!$R$152,"DD-MMM-YY HH:MM"),"")&amp;" "&amp;Checks!$P$152</f>
        <v>Required
14-Oct-26 22:05 NRT</v>
      </c>
      <c r="D41" s="114" t="str">
        <f aca="false">IF(Checks!$U$152="","",Checks!$U$152)&amp;IF(Checks!$AB$152="","",CHAR(10)&amp;"CA: "&amp;Checks!$AB$152)</f>
        <v/>
      </c>
      <c r="E41" s="114" t="str">
        <f aca="false">IF(Checks!$V$152="","",Checks!$V$152)&amp;IF(Checks!$AC$152="","",IF(Checks!$V$152="","",CHAR(10))&amp;"N/A just.: "&amp;Checks!$AC$152)&amp;IF(Checks!$W$152="","",CHAR(10)&amp;"Batch: "&amp;Checks!$W$152)&amp;IF(AND(Checks!$X$152="",Checks!$Y$152=""),"",CHAR(10)&amp;"Exp: "&amp;Checks!$X$152&amp;"  /  Act: "&amp;Checks!$Y$152)</f>
        <v/>
      </c>
      <c r="F41" s="114" t="str">
        <f aca="false">IF(Checks!$Z$152="","","Evidence: "&amp;Checks!$Z$152)&amp;IF(Checks!$AA$152="","",IF(Checks!$Z$152="","",CHAR(10))&amp;"CA: "&amp;Checks!$AA$152)</f>
        <v/>
      </c>
      <c r="G41" s="114" t="str">
        <f aca="false">IF(ISNUMBER(Checks!$AD$152),TEXT(Checks!$AD$152,"DD-MMM-YY HH:MM")&amp;" "&amp;Checks!$P$152,"")&amp;IF(Checks!$AE$152="","",CHAR(10)&amp;"Verifier: "&amp;Checks!$AE$152)&amp;IF(Checks!$T$152="","",CHAR(10)&amp;"PIC: "&amp;Checks!$T$152)</f>
        <v/>
      </c>
      <c r="H41" s="115" t="str">
        <f aca="false">IF(Checks!$AH$152="","",Checks!$AH$152)</f>
        <v>OPEN</v>
      </c>
    </row>
    <row r="42" customFormat="false" ht="322.5" hidden="false" customHeight="true" outlineLevel="0" collapsed="false">
      <c r="A42" s="114" t="str">
        <f aca="false">Checks!$A$153&amp;CHAR(10)&amp;IF(Checks!$I$153="","",Checks!$I$153&amp;": ")&amp;Checks!$J$153</f>
        <v>F05-T12-06
Equipment: Equipment quantities vs GLD</v>
      </c>
      <c r="B42" s="114" t="str">
        <f aca="false">SUBSTITUTE(Checks!$K$153&amp;IF(Checks!$O$153="","",IF(Checks!$K$153="","",CHAR(10))&amp;"Note: "&amp;Checks!$O$153),"AIRCRAFT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Checks!$N$153&amp;CHAR(10)&amp;IF(ISNUMBER(Checks!$R$153),TEXT(Checks!$R$153,"DD-MMM-YY HH:MM"),"")&amp;" "&amp;Checks!$P$153</f>
        <v>Required
14-Oct-26 22:05 NRT</v>
      </c>
      <c r="D42" s="114" t="str">
        <f aca="false">IF(Checks!$U$153="","",Checks!$U$153)&amp;IF(Checks!$AB$153="","",CHAR(10)&amp;"CA: "&amp;Checks!$AB$153)</f>
        <v/>
      </c>
      <c r="E42" s="114" t="str">
        <f aca="false">IF(Checks!$V$153="","",Checks!$V$153)&amp;IF(Checks!$AC$153="","",IF(Checks!$V$153="","",CHAR(10))&amp;"N/A just.: "&amp;Checks!$AC$153)&amp;IF(Checks!$W$153="","",CHAR(10)&amp;"Batch: "&amp;Checks!$W$153)&amp;IF(AND(Checks!$X$153="",Checks!$Y$153=""),"",CHAR(10)&amp;"Exp: "&amp;Checks!$X$153&amp;"  /  Act: "&amp;Checks!$Y$153)</f>
        <v/>
      </c>
      <c r="F42" s="114" t="str">
        <f aca="false">IF(Checks!$Z$153="","","Evidence: "&amp;Checks!$Z$153)&amp;IF(Checks!$AA$153="","",IF(Checks!$Z$153="","",CHAR(10))&amp;"CA: "&amp;Checks!$AA$153)</f>
        <v/>
      </c>
      <c r="G42" s="114" t="str">
        <f aca="false">IF(ISNUMBER(Checks!$AD$153),TEXT(Checks!$AD$153,"DD-MMM-YY HH:MM")&amp;" "&amp;Checks!$P$153,"")&amp;IF(Checks!$AE$153="","",CHAR(10)&amp;"Verifier: "&amp;Checks!$AE$153)&amp;IF(Checks!$T$153="","",CHAR(10)&amp;"PIC: "&amp;Checks!$T$153)</f>
        <v/>
      </c>
      <c r="H42" s="115" t="str">
        <f aca="false">IF(Checks!$AH$153="","",Checks!$AH$153)</f>
        <v>OPEN</v>
      </c>
    </row>
    <row r="43" customFormat="false" ht="114" hidden="false" customHeight="true" outlineLevel="0" collapsed="false">
      <c r="A43" s="114" t="str">
        <f aca="false">Checks!$A$154&amp;CHAR(10)&amp;IF(Checks!$I$154="","",Checks!$I$154&amp;": ")&amp;Checks!$J$154</f>
        <v>F05-T12-07
Equipment: Loading positions planned vs GLD</v>
      </c>
      <c r="B43" s="114" t="str">
        <f aca="false">Checks!$K$154&amp;IF(Checks!$O$154="","",IF(Checks!$K$154="","",CHAR(10))&amp;"Note: "&amp;Checks!$O$154)</f>
        <v>Note: Preparation check at caterer - does NOT confirm loading.</v>
      </c>
      <c r="C43" s="114" t="str">
        <f aca="false">Checks!$N$154&amp;CHAR(10)&amp;IF(ISNUMBER(Checks!$R$154),TEXT(Checks!$R$154,"DD-MMM-YY HH:MM"),"")&amp;" "&amp;Checks!$P$154</f>
        <v>Required
14-Oct-26 22:05 NRT</v>
      </c>
      <c r="D43" s="114" t="str">
        <f aca="false">IF(Checks!$U$154="","",Checks!$U$154)&amp;IF(Checks!$AB$154="","",CHAR(10)&amp;"CA: "&amp;Checks!$AB$154)</f>
        <v/>
      </c>
      <c r="E43" s="114" t="str">
        <f aca="false">IF(Checks!$V$154="","",Checks!$V$154)&amp;IF(Checks!$AC$154="","",IF(Checks!$V$154="","",CHAR(10))&amp;"N/A just.: "&amp;Checks!$AC$154)&amp;IF(Checks!$W$154="","",CHAR(10)&amp;"Batch: "&amp;Checks!$W$154)&amp;IF(AND(Checks!$X$154="",Checks!$Y$154=""),"",CHAR(10)&amp;"Exp: "&amp;Checks!$X$154&amp;"  /  Act: "&amp;Checks!$Y$154)</f>
        <v/>
      </c>
      <c r="F43" s="114" t="str">
        <f aca="false">IF(Checks!$Z$154="","","Evidence: "&amp;Checks!$Z$154)&amp;IF(Checks!$AA$154="","",IF(Checks!$Z$154="","",CHAR(10))&amp;"CA: "&amp;Checks!$AA$154)</f>
        <v/>
      </c>
      <c r="G43" s="114" t="str">
        <f aca="false">IF(ISNUMBER(Checks!$AD$154),TEXT(Checks!$AD$154,"DD-MMM-YY HH:MM")&amp;" "&amp;Checks!$P$154,"")&amp;IF(Checks!$AE$154="","",CHAR(10)&amp;"Verifier: "&amp;Checks!$AE$154)&amp;IF(Checks!$T$154="","",CHAR(10)&amp;"PIC: "&amp;Checks!$T$154)</f>
        <v/>
      </c>
      <c r="H43" s="115" t="str">
        <f aca="false">IF(Checks!$AH$154="","",Checks!$AH$154)</f>
        <v>OPEN</v>
      </c>
    </row>
    <row r="44" customFormat="false" ht="213" hidden="false" customHeight="true" outlineLevel="0" collapsed="false">
      <c r="A44" s="114" t="str">
        <f aca="false">Checks!$A$155&amp;CHAR(10)&amp;IF(Checks!$I$155="","",Checks!$I$155&amp;": ")&amp;Checks!$J$155</f>
        <v>F05-T12-08
Amenities: Toiletry kits - prepared</v>
      </c>
      <c r="B44" s="114" t="str">
        <f aca="false">Checks!$K$155&amp;IF(Checks!$O$155="","",IF(Checks!$K$155="","",CHAR(10))&amp;"Note: "&amp;Checks!$O$155)</f>
        <v>Available for sector (ticked in reference)
Note: Reference does not state the cabin class for toiletry kits. Confirm whether EY receives them; if not, mark N/A with the confirmation as justification. Loaded at KUL on the inbound KUL-NRT flight: due = that flight's KUL departure (Flights AX) minus the uplift window.</v>
      </c>
      <c r="C44" s="114" t="str">
        <f aca="false">Checks!$N$155&amp;CHAR(10)&amp;IF(ISNUMBER(Checks!$R$155),TEXT(Checks!$R$155,"DD-MMM-YY HH:MM"),"")&amp;" "&amp;Checks!$P$155</f>
        <v>Clarification required
10-Oct-26 17:30 KUL</v>
      </c>
      <c r="D44" s="114" t="str">
        <f aca="false">IF(Checks!$U$155="","",Checks!$U$155)&amp;IF(Checks!$AB$155="","",CHAR(10)&amp;"CA: "&amp;Checks!$AB$155)</f>
        <v/>
      </c>
      <c r="E44" s="114" t="str">
        <f aca="false">IF(Checks!$V$155="","",Checks!$V$155)&amp;IF(Checks!$AC$155="","",IF(Checks!$V$155="","",CHAR(10))&amp;"N/A just.: "&amp;Checks!$AC$155)&amp;IF(Checks!$W$155="","",CHAR(10)&amp;"Batch: "&amp;Checks!$W$155)&amp;IF(AND(Checks!$X$155="",Checks!$Y$155=""),"",CHAR(10)&amp;"Exp: "&amp;Checks!$X$155&amp;"  /  Act: "&amp;Checks!$Y$155)</f>
        <v/>
      </c>
      <c r="F44" s="114" t="str">
        <f aca="false">IF(Checks!$Z$155="","","Evidence: "&amp;Checks!$Z$155)&amp;IF(Checks!$AA$155="","",IF(Checks!$Z$155="","",CHAR(10))&amp;"CA: "&amp;Checks!$AA$155)</f>
        <v/>
      </c>
      <c r="G44" s="114" t="str">
        <f aca="false">IF(ISNUMBER(Checks!$AD$155),TEXT(Checks!$AD$155,"DD-MMM-YY HH:MM")&amp;" "&amp;Checks!$P$155,"")&amp;IF(Checks!$AE$155="","",CHAR(10)&amp;"Verifier: "&amp;Checks!$AE$155)&amp;IF(Checks!$T$155="","",CHAR(10)&amp;"PIC: "&amp;Checks!$T$155)</f>
        <v/>
      </c>
      <c r="H44" s="115" t="str">
        <f aca="false">IF(Checks!$AH$155="","",Checks!$AH$155)</f>
        <v>OPEN – CLARIFICATION</v>
      </c>
    </row>
    <row r="45" customFormat="false" ht="114" hidden="false" customHeight="true" outlineLevel="0" collapsed="false">
      <c r="A45" s="114" t="str">
        <f aca="false">Checks!$A$156&amp;CHAR(10)&amp;IF(Checks!$I$156="","",Checks!$I$156&amp;": ")&amp;Checks!$J$156</f>
        <v>F05-T12-09
Seat Linen: Seat pillow (EY) - prepared</v>
      </c>
      <c r="B45" s="114" t="str">
        <f aca="false">Checks!$K$156&amp;IF(Checks!$O$156="","",IF(Checks!$K$156="","",CHAR(10))&amp;"Note: "&amp;Checks!$O$156)</f>
        <v>Available 100% (ticked in reference)
Note: Reference gives no uplift stn for this item: preparation checked at the meal uplift stn (NRT) - confirm with caterer.</v>
      </c>
      <c r="C45" s="114" t="str">
        <f aca="false">Checks!$N$156&amp;CHAR(10)&amp;IF(ISNUMBER(Checks!$R$156),TEXT(Checks!$R$156,"DD-MMM-YY HH:MM"),"")&amp;" "&amp;Checks!$P$156</f>
        <v>Required
14-Oct-26 22:05 NRT</v>
      </c>
      <c r="D45" s="114" t="str">
        <f aca="false">IF(Checks!$U$156="","",Checks!$U$156)&amp;IF(Checks!$AB$156="","",CHAR(10)&amp;"CA: "&amp;Checks!$AB$156)</f>
        <v/>
      </c>
      <c r="E45" s="114" t="str">
        <f aca="false">IF(Checks!$V$156="","",Checks!$V$156)&amp;IF(Checks!$AC$156="","",IF(Checks!$V$156="","",CHAR(10))&amp;"N/A just.: "&amp;Checks!$AC$156)&amp;IF(Checks!$W$156="","",CHAR(10)&amp;"Batch: "&amp;Checks!$W$156)&amp;IF(AND(Checks!$X$156="",Checks!$Y$156=""),"",CHAR(10)&amp;"Exp: "&amp;Checks!$X$156&amp;"  /  Act: "&amp;Checks!$Y$156)</f>
        <v/>
      </c>
      <c r="F45" s="114" t="str">
        <f aca="false">IF(Checks!$Z$156="","","Evidence: "&amp;Checks!$Z$156)&amp;IF(Checks!$AA$156="","",IF(Checks!$Z$156="","",CHAR(10))&amp;"CA: "&amp;Checks!$AA$156)</f>
        <v/>
      </c>
      <c r="G45" s="114" t="str">
        <f aca="false">IF(ISNUMBER(Checks!$AD$156),TEXT(Checks!$AD$156,"DD-MMM-YY HH:MM")&amp;" "&amp;Checks!$P$156,"")&amp;IF(Checks!$AE$156="","",CHAR(10)&amp;"Verifier: "&amp;Checks!$AE$156)&amp;IF(Checks!$T$156="","",CHAR(10)&amp;"PIC: "&amp;Checks!$T$156)</f>
        <v/>
      </c>
      <c r="H45" s="115" t="str">
        <f aca="false">IF(Checks!$AH$156="","",Checks!$AH$156)</f>
        <v>OPEN</v>
      </c>
    </row>
    <row r="46" customFormat="false" ht="246" hidden="false" customHeight="true" outlineLevel="0" collapsed="false">
      <c r="A46" s="114" t="str">
        <f aca="false">Checks!$A$157&amp;CHAR(10)&amp;IF(Checks!$I$157="","",Checks!$I$157&amp;": ")&amp;Checks!$J$157</f>
        <v>F05-T12-10
Seat Linen: Blanket (EY) - prepared</v>
      </c>
      <c r="B46" s="114" t="str">
        <f aca="false">SUBSTITUTE(Checks!$K$157&amp;IF(Checks!$O$157="","",IF(Checks!$K$157="","",CHAR(10))&amp;"Note: "&amp;Checks!$O$157),"SEAT LINEN!","Ref: SEAT LINEN!")</f>
        <v>Available 100% (ticked in reference); qty 280 (A350 9M-MAH) / 260 (A359) - per tail
Note: EY blanket: flight above 3 hours excl. Regional (Ref: SEAT LINEN!B74:C74); block 7.67 h. Qty per tail: A350 280 pcs (Ref: SEAT LINEN!B76:C76), A359 260 pcs (Ref: SEAT LINEN!B77:C77). Reference gives no uplift stn for this item: preparation checked at the meal uplift stn (NRT) - confirm with caterer.</v>
      </c>
      <c r="C46" s="114" t="str">
        <f aca="false">Checks!$N$157&amp;CHAR(10)&amp;IF(ISNUMBER(Checks!$R$157),TEXT(Checks!$R$157,"DD-MMM-YY HH:MM"),"")&amp;" "&amp;Checks!$P$157</f>
        <v>Required
14-Oct-26 22:05 NRT</v>
      </c>
      <c r="D46" s="114" t="str">
        <f aca="false">IF(Checks!$U$157="","",Checks!$U$157)&amp;IF(Checks!$AB$157="","",CHAR(10)&amp;"CA: "&amp;Checks!$AB$157)</f>
        <v/>
      </c>
      <c r="E46" s="114" t="str">
        <f aca="false">IF(Checks!$V$157="","",Checks!$V$157)&amp;IF(Checks!$AC$157="","",IF(Checks!$V$157="","",CHAR(10))&amp;"N/A just.: "&amp;Checks!$AC$157)&amp;IF(Checks!$W$157="","",CHAR(10)&amp;"Batch: "&amp;Checks!$W$157)&amp;IF(AND(Checks!$X$157="",Checks!$Y$157=""),"",CHAR(10)&amp;"Exp: "&amp;Checks!$X$157&amp;"  /  Act: "&amp;Checks!$Y$157)</f>
        <v/>
      </c>
      <c r="F46" s="114" t="str">
        <f aca="false">IF(Checks!$Z$157="","","Evidence: "&amp;Checks!$Z$157)&amp;IF(Checks!$AA$157="","",IF(Checks!$Z$157="","",CHAR(10))&amp;"CA: "&amp;Checks!$AA$157)</f>
        <v/>
      </c>
      <c r="G46" s="114" t="str">
        <f aca="false">IF(ISNUMBER(Checks!$AD$157),TEXT(Checks!$AD$157,"DD-MMM-YY HH:MM")&amp;" "&amp;Checks!$P$157,"")&amp;IF(Checks!$AE$157="","",CHAR(10)&amp;"Verifier: "&amp;Checks!$AE$157)&amp;IF(Checks!$T$157="","",CHAR(10)&amp;"PIC: "&amp;Checks!$T$157)</f>
        <v/>
      </c>
      <c r="H46" s="115" t="str">
        <f aca="false">IF(Checks!$AH$157="","",Checks!$AH$157)</f>
        <v>OPEN</v>
      </c>
    </row>
    <row r="47" customFormat="false" ht="256.5" hidden="false" customHeight="true" outlineLevel="0" collapsed="false">
      <c r="A47" s="114" t="str">
        <f aca="false">Checks!$A$158&amp;CHAR(10)&amp;IF(Checks!$I$158="","",Checks!$I$158&amp;": ")&amp;Checks!$J$158</f>
        <v>F05-T12-11
Sales Cart: Sales cart (caterer PASB) - prepared</v>
      </c>
      <c r="B47" s="114" t="str">
        <f aca="false">Checks!$K$158&amp;IF(Checks!$O$158="","",IF(Checks!$K$158="","",CHAR(10))&amp;"Note: "&amp;Checks!$O$158)</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 Reference gives no uplift stn for this item: preparation checked at the meal uplift stn (NRT) - confirm with caterer.</v>
      </c>
      <c r="C47" s="114" t="str">
        <f aca="false">Checks!$N$158&amp;CHAR(10)&amp;IF(ISNUMBER(Checks!$R$158),TEXT(Checks!$R$158,"DD-MMM-YY HH:MM"),"")&amp;" "&amp;Checks!$P$158</f>
        <v>Clarification required
14-Oct-26 22:05 NRT</v>
      </c>
      <c r="D47" s="114" t="str">
        <f aca="false">IF(Checks!$U$158="","",Checks!$U$158)&amp;IF(Checks!$AB$158="","",CHAR(10)&amp;"CA: "&amp;Checks!$AB$158)</f>
        <v/>
      </c>
      <c r="E47" s="114" t="str">
        <f aca="false">IF(Checks!$V$158="","",Checks!$V$158)&amp;IF(Checks!$AC$158="","",IF(Checks!$V$158="","",CHAR(10))&amp;"N/A just.: "&amp;Checks!$AC$158)&amp;IF(Checks!$W$158="","",CHAR(10)&amp;"Batch: "&amp;Checks!$W$158)&amp;IF(AND(Checks!$X$158="",Checks!$Y$158=""),"",CHAR(10)&amp;"Exp: "&amp;Checks!$X$158&amp;"  /  Act: "&amp;Checks!$Y$158)</f>
        <v/>
      </c>
      <c r="F47" s="114" t="str">
        <f aca="false">IF(Checks!$Z$158="","","Evidence: "&amp;Checks!$Z$158)&amp;IF(Checks!$AA$158="","",IF(Checks!$Z$158="","",CHAR(10))&amp;"CA: "&amp;Checks!$AA$158)</f>
        <v/>
      </c>
      <c r="G47" s="114" t="str">
        <f aca="false">IF(ISNUMBER(Checks!$AD$158),TEXT(Checks!$AD$158,"DD-MMM-YY HH:MM")&amp;" "&amp;Checks!$P$158,"")&amp;IF(Checks!$AE$158="","",CHAR(10)&amp;"Verifier: "&amp;Checks!$AE$158)&amp;IF(Checks!$T$158="","",CHAR(10)&amp;"PIC: "&amp;Checks!$T$158)</f>
        <v/>
      </c>
      <c r="H47" s="115" t="str">
        <f aca="false">IF(Checks!$AH$158="","",Checks!$AH$158)</f>
        <v>OPEN – CLARIFICATION</v>
      </c>
    </row>
    <row r="48" customFormat="false" ht="25.5" hidden="false" customHeight="true" outlineLevel="0" collapsed="false">
      <c r="A48" s="113" t="str">
        <f aca="false">"UPLIFT — Physical uplift – on-board confirmation before departure  |  Due "&amp;"STD "&amp;IF(ISNUMBER(Flights!$I$9),TEXT(Flights!$I$9,"DD-MMM-YY HH:MM"),"")&amp;" "&amp;Flights!$G$9&amp;" (departure stn)"&amp;" (rows with another due show their own)  |  Complete "&amp;IF(ISNUMBER(Flights!$AM$9),TEXT(Flights!$AM$9,"0%"),Flights!$AM$9)&amp;"  |  7 lines"</f>
        <v>UPLIFT — Physical uplift – on-board confirmation before departure  |  Due STD 15-Oct-26 10:05 NRT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Checks!$A$159&amp;CHAR(10)&amp;IF(Checks!$I$159="","",Checks!$I$159&amp;": ")&amp;Checks!$J$159</f>
        <v>F05-UPL-01
Meal: Meals physically uplifted on board - quantity vs menu checklist</v>
      </c>
      <c r="B49" s="114" t="str">
        <f aca="false">Checks!$K$159&amp;IF(Checks!$O$159="","",IF(Checks!$K$159="","",CHAR(10))&amp;"Note: "&amp;Checks!$O$159)</f>
        <v>Enter expected &amp; actual
Note: Confirm on board before departure; completion time must fall inside the uplift window.</v>
      </c>
      <c r="C49" s="114" t="str">
        <f aca="false">Checks!$N$159&amp;CHAR(10)&amp;IF(ISNUMBER(Checks!$R$159),TEXT(Checks!$R$159,"DD-MMM-YY HH:MM"),"")&amp;" "&amp;Checks!$P$159</f>
        <v>Required
15-Oct-26 10:05 NRT</v>
      </c>
      <c r="D49" s="114" t="str">
        <f aca="false">IF(Checks!$U$159="","",Checks!$U$159)&amp;IF(Checks!$AB$159="","",CHAR(10)&amp;"CA: "&amp;Checks!$AB$159)</f>
        <v/>
      </c>
      <c r="E49" s="114" t="str">
        <f aca="false">IF(Checks!$V$159="","",Checks!$V$159)&amp;IF(Checks!$AC$159="","",IF(Checks!$V$159="","",CHAR(10))&amp;"N/A just.: "&amp;Checks!$AC$159)&amp;IF(Checks!$W$159="","",CHAR(10)&amp;"Batch: "&amp;Checks!$W$159)&amp;IF(AND(Checks!$X$159="",Checks!$Y$159=""),"",CHAR(10)&amp;"Exp: "&amp;Checks!$X$159&amp;"  /  Act: "&amp;Checks!$Y$159)</f>
        <v/>
      </c>
      <c r="F49" s="114" t="str">
        <f aca="false">IF(Checks!$Z$159="","","Evidence: "&amp;Checks!$Z$159)&amp;IF(Checks!$AA$159="","",IF(Checks!$Z$159="","",CHAR(10))&amp;"CA: "&amp;Checks!$AA$159)</f>
        <v/>
      </c>
      <c r="G49" s="114" t="str">
        <f aca="false">IF(ISNUMBER(Checks!$AD$159),TEXT(Checks!$AD$159,"DD-MMM-YY HH:MM")&amp;" "&amp;Checks!$P$159,"")&amp;IF(Checks!$AE$159="","",CHAR(10)&amp;"Verifier: "&amp;Checks!$AE$159)&amp;IF(Checks!$T$159="","",CHAR(10)&amp;"PIC: "&amp;Checks!$T$159)</f>
        <v/>
      </c>
      <c r="H49" s="115" t="str">
        <f aca="false">IF(Checks!$AH$159="","",Checks!$AH$159)</f>
        <v>OPEN</v>
      </c>
    </row>
    <row r="50" customFormat="false" ht="114" hidden="false" customHeight="true" outlineLevel="0" collapsed="false">
      <c r="A50" s="114" t="str">
        <f aca="false">Checks!$A$160&amp;CHAR(10)&amp;IF(Checks!$I$160="","",Checks!$I$160&amp;": ")&amp;Checks!$J$160</f>
        <v>F05-UPL-02
Equipment: Equipment physically loaded at GLD positions - quantity &amp; positions</v>
      </c>
      <c r="B50" s="114" t="str">
        <f aca="false">Checks!$K$160&amp;IF(Checks!$O$160="","",IF(Checks!$K$160="","",CHAR(10))&amp;"Note: "&amp;Checks!$O$160)</f>
        <v>Enter expected &amp; actual
Note: Confirm on board before departure; completion time must fall inside the uplift window.</v>
      </c>
      <c r="C50" s="114" t="str">
        <f aca="false">Checks!$N$160&amp;CHAR(10)&amp;IF(ISNUMBER(Checks!$R$160),TEXT(Checks!$R$160,"DD-MMM-YY HH:MM"),"")&amp;" "&amp;Checks!$P$160</f>
        <v>Required
15-Oct-26 10:05 NRT</v>
      </c>
      <c r="D50" s="114" t="str">
        <f aca="false">IF(Checks!$U$160="","",Checks!$U$160)&amp;IF(Checks!$AB$160="","",CHAR(10)&amp;"CA: "&amp;Checks!$AB$160)</f>
        <v/>
      </c>
      <c r="E50" s="114" t="str">
        <f aca="false">IF(Checks!$V$160="","",Checks!$V$160)&amp;IF(Checks!$AC$160="","",IF(Checks!$V$160="","",CHAR(10))&amp;"N/A just.: "&amp;Checks!$AC$160)&amp;IF(Checks!$W$160="","",CHAR(10)&amp;"Batch: "&amp;Checks!$W$160)&amp;IF(AND(Checks!$X$160="",Checks!$Y$160=""),"",CHAR(10)&amp;"Exp: "&amp;Checks!$X$160&amp;"  /  Act: "&amp;Checks!$Y$160)</f>
        <v/>
      </c>
      <c r="F50" s="114" t="str">
        <f aca="false">IF(Checks!$Z$160="","","Evidence: "&amp;Checks!$Z$160)&amp;IF(Checks!$AA$160="","",IF(Checks!$Z$160="","",CHAR(10))&amp;"CA: "&amp;Checks!$AA$160)</f>
        <v/>
      </c>
      <c r="G50" s="114" t="str">
        <f aca="false">IF(ISNUMBER(Checks!$AD$160),TEXT(Checks!$AD$160,"DD-MMM-YY HH:MM")&amp;" "&amp;Checks!$P$160,"")&amp;IF(Checks!$AE$160="","",CHAR(10)&amp;"Verifier: "&amp;Checks!$AE$160)&amp;IF(Checks!$T$160="","",CHAR(10)&amp;"PIC: "&amp;Checks!$T$160)</f>
        <v/>
      </c>
      <c r="H50" s="115" t="str">
        <f aca="false">IF(Checks!$AH$160="","",Checks!$AH$160)</f>
        <v>OPEN</v>
      </c>
    </row>
    <row r="51" customFormat="false" ht="114" hidden="false" customHeight="true" outlineLevel="0" collapsed="false">
      <c r="A51" s="114" t="str">
        <f aca="false">Checks!$A$161&amp;CHAR(10)&amp;IF(Checks!$I$161="","",Checks!$I$161&amp;": ")&amp;Checks!$J$161</f>
        <v>F05-UPL-03
Uplift plan: KUL-sourced items physically loaded at KUL on the inbound KUL-NRT flight</v>
      </c>
      <c r="B51" s="114" t="str">
        <f aca="false">Checks!$K$161&amp;IF(Checks!$O$161="","",IF(Checks!$K$161="","",CHAR(10))&amp;"Note: "&amp;Checks!$O$161)</f>
        <v>Items: Toiletry kits. Quantities as per Requirements
Note: Confirmed at KUL inside the uplift window before the carrying flight's KUL departure (Flights AX).</v>
      </c>
      <c r="C51" s="114" t="str">
        <f aca="false">Checks!$N$161&amp;CHAR(10)&amp;IF(ISNUMBER(Checks!$R$161),TEXT(Checks!$R$161,"DD-MMM-YY HH:MM"),"")&amp;" "&amp;Checks!$P$161</f>
        <v>Required
10-Oct-26 23:30 KUL</v>
      </c>
      <c r="D51" s="114" t="str">
        <f aca="false">IF(Checks!$U$161="","",Checks!$U$161)&amp;IF(Checks!$AB$161="","",CHAR(10)&amp;"CA: "&amp;Checks!$AB$161)</f>
        <v/>
      </c>
      <c r="E51" s="114" t="str">
        <f aca="false">IF(Checks!$V$161="","",Checks!$V$161)&amp;IF(Checks!$AC$161="","",IF(Checks!$V$161="","",CHAR(10))&amp;"N/A just.: "&amp;Checks!$AC$161)&amp;IF(Checks!$W$161="","",CHAR(10)&amp;"Batch: "&amp;Checks!$W$161)&amp;IF(AND(Checks!$X$161="",Checks!$Y$161=""),"",CHAR(10)&amp;"Exp: "&amp;Checks!$X$161&amp;"  /  Act: "&amp;Checks!$Y$161)</f>
        <v/>
      </c>
      <c r="F51" s="114" t="str">
        <f aca="false">IF(Checks!$Z$161="","","Evidence: "&amp;Checks!$Z$161)&amp;IF(Checks!$AA$161="","",IF(Checks!$Z$161="","",CHAR(10))&amp;"CA: "&amp;Checks!$AA$161)</f>
        <v/>
      </c>
      <c r="G51" s="114" t="str">
        <f aca="false">IF(ISNUMBER(Checks!$AD$161),TEXT(Checks!$AD$161,"DD-MMM-YY HH:MM")&amp;" "&amp;Checks!$P$161,"")&amp;IF(Checks!$AE$161="","",CHAR(10)&amp;"Verifier: "&amp;Checks!$AE$161)&amp;IF(Checks!$T$161="","",CHAR(10)&amp;"PIC: "&amp;Checks!$T$161)</f>
        <v/>
      </c>
      <c r="H51" s="115" t="str">
        <f aca="false">IF(Checks!$AH$161="","",Checks!$AH$161)</f>
        <v>OPEN</v>
      </c>
    </row>
    <row r="52" customFormat="false" ht="135.75" hidden="false" customHeight="true" outlineLevel="0" collapsed="false">
      <c r="A52" s="114" t="str">
        <f aca="false">Checks!$A$162&amp;CHAR(10)&amp;IF(Checks!$I$162="","",Checks!$I$162&amp;": ")&amp;Checks!$J$162</f>
        <v>F05-UPL-04
Amenities: Toiletry kits - on board</v>
      </c>
      <c r="B52" s="114" t="str">
        <f aca="false">Checks!$K$162&amp;IF(Checks!$O$162="","",IF(Checks!$K$162="","",CHAR(10))&amp;"Note: "&amp;Checks!$O$162)</f>
        <v>Available for sector (ticked in reference)
Note: Reference does not state the cabin class for toiletry kits. Confirm whether EY receives them; if not, mark N/A with the confirmation as justification.</v>
      </c>
      <c r="C52" s="114" t="str">
        <f aca="false">Checks!$N$162&amp;CHAR(10)&amp;IF(ISNUMBER(Checks!$R$162),TEXT(Checks!$R$162,"DD-MMM-YY HH:MM"),"")&amp;" "&amp;Checks!$P$162</f>
        <v>Clarification required
15-Oct-26 10:05 NRT</v>
      </c>
      <c r="D52" s="114" t="str">
        <f aca="false">IF(Checks!$U$162="","",Checks!$U$162)&amp;IF(Checks!$AB$162="","",CHAR(10)&amp;"CA: "&amp;Checks!$AB$162)</f>
        <v/>
      </c>
      <c r="E52" s="114" t="str">
        <f aca="false">IF(Checks!$V$162="","",Checks!$V$162)&amp;IF(Checks!$AC$162="","",IF(Checks!$V$162="","",CHAR(10))&amp;"N/A just.: "&amp;Checks!$AC$162)&amp;IF(Checks!$W$162="","",CHAR(10)&amp;"Batch: "&amp;Checks!$W$162)&amp;IF(AND(Checks!$X$162="",Checks!$Y$162=""),"",CHAR(10)&amp;"Exp: "&amp;Checks!$X$162&amp;"  /  Act: "&amp;Checks!$Y$162)</f>
        <v/>
      </c>
      <c r="F52" s="114" t="str">
        <f aca="false">IF(Checks!$Z$162="","","Evidence: "&amp;Checks!$Z$162)&amp;IF(Checks!$AA$162="","",IF(Checks!$Z$162="","",CHAR(10))&amp;"CA: "&amp;Checks!$AA$162)</f>
        <v/>
      </c>
      <c r="G52" s="114" t="str">
        <f aca="false">IF(ISNUMBER(Checks!$AD$162),TEXT(Checks!$AD$162,"DD-MMM-YY HH:MM")&amp;" "&amp;Checks!$P$162,"")&amp;IF(Checks!$AE$162="","",CHAR(10)&amp;"Verifier: "&amp;Checks!$AE$162)&amp;IF(Checks!$T$162="","",CHAR(10)&amp;"PIC: "&amp;Checks!$T$162)</f>
        <v/>
      </c>
      <c r="H52" s="115" t="str">
        <f aca="false">IF(Checks!$AH$162="","",Checks!$AH$162)</f>
        <v>OPEN – CLARIFICATION</v>
      </c>
    </row>
    <row r="53" customFormat="false" ht="114" hidden="false" customHeight="true" outlineLevel="0" collapsed="false">
      <c r="A53" s="114" t="str">
        <f aca="false">Checks!$A$163&amp;CHAR(10)&amp;IF(Checks!$I$163="","",Checks!$I$163&amp;": ")&amp;Checks!$J$163</f>
        <v>F05-UPL-05
Seat Linen: Seat pillow (EY) - on board</v>
      </c>
      <c r="B53" s="114" t="str">
        <f aca="false">Checks!$K$163&amp;IF(Checks!$O$163="","",IF(Checks!$K$163="","",CHAR(10))&amp;"Note: "&amp;Checks!$O$163)</f>
        <v>Available 100% (ticked in reference)</v>
      </c>
      <c r="C53" s="114" t="str">
        <f aca="false">Checks!$N$163&amp;CHAR(10)&amp;IF(ISNUMBER(Checks!$R$163),TEXT(Checks!$R$163,"DD-MMM-YY HH:MM"),"")&amp;" "&amp;Checks!$P$163</f>
        <v>Required
15-Oct-26 10:05 NRT</v>
      </c>
      <c r="D53" s="114" t="str">
        <f aca="false">IF(Checks!$U$163="","",Checks!$U$163)&amp;IF(Checks!$AB$163="","",CHAR(10)&amp;"CA: "&amp;Checks!$AB$163)</f>
        <v/>
      </c>
      <c r="E53" s="114" t="str">
        <f aca="false">IF(Checks!$V$163="","",Checks!$V$163)&amp;IF(Checks!$AC$163="","",IF(Checks!$V$163="","",CHAR(10))&amp;"N/A just.: "&amp;Checks!$AC$163)&amp;IF(Checks!$W$163="","",CHAR(10)&amp;"Batch: "&amp;Checks!$W$163)&amp;IF(AND(Checks!$X$163="",Checks!$Y$163=""),"",CHAR(10)&amp;"Exp: "&amp;Checks!$X$163&amp;"  /  Act: "&amp;Checks!$Y$163)</f>
        <v/>
      </c>
      <c r="F53" s="114" t="str">
        <f aca="false">IF(Checks!$Z$163="","","Evidence: "&amp;Checks!$Z$163)&amp;IF(Checks!$AA$163="","",IF(Checks!$Z$163="","",CHAR(10))&amp;"CA: "&amp;Checks!$AA$163)</f>
        <v/>
      </c>
      <c r="G53" s="114" t="str">
        <f aca="false">IF(ISNUMBER(Checks!$AD$163),TEXT(Checks!$AD$163,"DD-MMM-YY HH:MM")&amp;" "&amp;Checks!$P$163,"")&amp;IF(Checks!$AE$163="","",CHAR(10)&amp;"Verifier: "&amp;Checks!$AE$163)&amp;IF(Checks!$T$163="","",CHAR(10)&amp;"PIC: "&amp;Checks!$T$163)</f>
        <v/>
      </c>
      <c r="H53" s="115" t="str">
        <f aca="false">IF(Checks!$AH$163="","",Checks!$AH$163)</f>
        <v>OPEN</v>
      </c>
    </row>
    <row r="54" customFormat="false" ht="168.75" hidden="false" customHeight="true" outlineLevel="0" collapsed="false">
      <c r="A54" s="114" t="str">
        <f aca="false">Checks!$A$164&amp;CHAR(10)&amp;IF(Checks!$I$164="","",Checks!$I$164&amp;": ")&amp;Checks!$J$164</f>
        <v>F05-UPL-06
Seat Linen: Blanket (EY) - on board</v>
      </c>
      <c r="B54" s="114" t="str">
        <f aca="false">SUBSTITUTE(Checks!$K$164&amp;IF(Checks!$O$164="","",IF(Checks!$K$164="","",CHAR(10))&amp;"Note: "&amp;Checks!$O$164),"SEAT LINEN!","Ref: SEAT LINEN!")</f>
        <v>Available 100% (ticked in reference); qty 280 (A350 9M-MAH) / 260 (A359) - per tail
Note: EY blanket: flight above 3 hours excl. Regional (Ref: SEAT LINEN!B74:C74); block 7.67 h. Qty per tail: A350 280 pcs (Ref: SEAT LINEN!B76:C76), A359 260 pcs (Ref: SEAT LINEN!B77:C77).</v>
      </c>
      <c r="C54" s="114" t="str">
        <f aca="false">Checks!$N$164&amp;CHAR(10)&amp;IF(ISNUMBER(Checks!$R$164),TEXT(Checks!$R$164,"DD-MMM-YY HH:MM"),"")&amp;" "&amp;Checks!$P$164</f>
        <v>Required
15-Oct-26 10:05 NRT</v>
      </c>
      <c r="D54" s="114" t="str">
        <f aca="false">IF(Checks!$U$164="","",Checks!$U$164)&amp;IF(Checks!$AB$164="","",CHAR(10)&amp;"CA: "&amp;Checks!$AB$164)</f>
        <v/>
      </c>
      <c r="E54" s="114" t="str">
        <f aca="false">IF(Checks!$V$164="","",Checks!$V$164)&amp;IF(Checks!$AC$164="","",IF(Checks!$V$164="","",CHAR(10))&amp;"N/A just.: "&amp;Checks!$AC$164)&amp;IF(Checks!$W$164="","",CHAR(10)&amp;"Batch: "&amp;Checks!$W$164)&amp;IF(AND(Checks!$X$164="",Checks!$Y$164=""),"",CHAR(10)&amp;"Exp: "&amp;Checks!$X$164&amp;"  /  Act: "&amp;Checks!$Y$164)</f>
        <v/>
      </c>
      <c r="F54" s="114" t="str">
        <f aca="false">IF(Checks!$Z$164="","","Evidence: "&amp;Checks!$Z$164)&amp;IF(Checks!$AA$164="","",IF(Checks!$Z$164="","",CHAR(10))&amp;"CA: "&amp;Checks!$AA$164)</f>
        <v/>
      </c>
      <c r="G54" s="114" t="str">
        <f aca="false">IF(ISNUMBER(Checks!$AD$164),TEXT(Checks!$AD$164,"DD-MMM-YY HH:MM")&amp;" "&amp;Checks!$P$164,"")&amp;IF(Checks!$AE$164="","",CHAR(10)&amp;"Verifier: "&amp;Checks!$AE$164)&amp;IF(Checks!$T$164="","",CHAR(10)&amp;"PIC: "&amp;Checks!$T$164)</f>
        <v/>
      </c>
      <c r="H54" s="115" t="str">
        <f aca="false">IF(Checks!$AH$164="","",Checks!$AH$164)</f>
        <v>OPEN</v>
      </c>
    </row>
    <row r="55" customFormat="false" ht="190.5" hidden="false" customHeight="true" outlineLevel="0" collapsed="false">
      <c r="A55" s="114" t="str">
        <f aca="false">Checks!$A$165&amp;CHAR(10)&amp;IF(Checks!$I$165="","",Checks!$I$165&amp;": ")&amp;Checks!$J$165</f>
        <v>F05-UPL-07
Sales Cart: Sales cart (caterer PASB) - on board</v>
      </c>
      <c r="B55" s="114" t="str">
        <f aca="false">Checks!$K$165&amp;IF(Checks!$O$165="","",IF(Checks!$K$165="","",CHAR(10))&amp;"Note: "&amp;Checks!$O$165)</f>
        <v>A359: 5R41A &amp; 5R42A (not applicable for LHR) (full cart); 9M-MAH: G4F13A (half cart) - per tail
Note: Block 7.67 h &gt;= 4 h. Location depends on tail. Reference names caterer PASB for the KUL/NRT/KUL sector but no uplift station: confirm whether the NRT-KUL sales cart is loaded at KUL (round trip) or at NRT.</v>
      </c>
      <c r="C55" s="114" t="str">
        <f aca="false">Checks!$N$165&amp;CHAR(10)&amp;IF(ISNUMBER(Checks!$R$165),TEXT(Checks!$R$165,"DD-MMM-YY HH:MM"),"")&amp;" "&amp;Checks!$P$165</f>
        <v>Clarification required
15-Oct-26 10:05 NRT</v>
      </c>
      <c r="D55" s="114" t="str">
        <f aca="false">IF(Checks!$U$165="","",Checks!$U$165)&amp;IF(Checks!$AB$165="","",CHAR(10)&amp;"CA: "&amp;Checks!$AB$165)</f>
        <v/>
      </c>
      <c r="E55" s="114" t="str">
        <f aca="false">IF(Checks!$V$165="","",Checks!$V$165)&amp;IF(Checks!$AC$165="","",IF(Checks!$V$165="","",CHAR(10))&amp;"N/A just.: "&amp;Checks!$AC$165)&amp;IF(Checks!$W$165="","",CHAR(10)&amp;"Batch: "&amp;Checks!$W$165)&amp;IF(AND(Checks!$X$165="",Checks!$Y$165=""),"",CHAR(10)&amp;"Exp: "&amp;Checks!$X$165&amp;"  /  Act: "&amp;Checks!$Y$165)</f>
        <v/>
      </c>
      <c r="F55" s="114" t="str">
        <f aca="false">IF(Checks!$Z$165="","","Evidence: "&amp;Checks!$Z$165)&amp;IF(Checks!$AA$165="","",IF(Checks!$Z$165="","",CHAR(10))&amp;"CA: "&amp;Checks!$AA$165)</f>
        <v/>
      </c>
      <c r="G55" s="114" t="str">
        <f aca="false">IF(ISNUMBER(Checks!$AD$165),TEXT(Checks!$AD$165,"DD-MMM-YY HH:MM")&amp;" "&amp;Checks!$P$165,"")&amp;IF(Checks!$AE$165="","",CHAR(10)&amp;"Verifier: "&amp;Checks!$AE$165)&amp;IF(Checks!$T$165="","",CHAR(10)&amp;"PIC: "&amp;Checks!$T$165)</f>
        <v/>
      </c>
      <c r="H55" s="115" t="str">
        <f aca="false">IF(Checks!$AH$165="","",Checks!$AH$165)</f>
        <v>OPEN – CLARIFICATION</v>
      </c>
    </row>
    <row r="57" customFormat="false" ht="24" hidden="false" customHeight="true" outlineLevel="0" collapsed="false">
      <c r="A57" s="116" t="s">
        <v>1737</v>
      </c>
      <c r="B57" s="116"/>
      <c r="C57" s="116"/>
      <c r="D57" s="116"/>
      <c r="E57" s="116" t="s">
        <v>1738</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F05 MH0089 15-Oct-26 NRT-KUL Class EY</oddHeader>
    <oddFooter>&amp;L&amp;"Arial,Bold"&amp;8 F05 MH0089 15-Oct-26 NRT-KUL Class EY&amp;C&amp;"Arial,Regular"&amp;8 Printed: ____________________&amp;R&amp;"Arial,Regular"&amp;8 F05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6" man="true" max="16383" min="0"/>
    <brk id="49" man="true" max="16383" min="0"/>
    <brk id="53" man="true" max="16383" min="0"/>
  </rowBreaks>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F06  "&amp;Flights!$F$10&amp;"  "&amp;TEXT(Flights!$D$10,"DD-MMM-YY")&amp;" ("&amp;Flights!$E$10&amp;")  "&amp;Flights!$G$10&amp;" → "&amp;Flights!$H$10&amp;"  |  Class "&amp;Flights!$K$10</f>
        <v>SKYTRAX 2026 CATERING READINESS CHECKLIST  |  F06  MH0002  15-Oct-26 (THU)  KUL → LHR  |  Class BC</v>
      </c>
      <c r="B1" s="92"/>
      <c r="C1" s="92"/>
      <c r="D1" s="92"/>
      <c r="E1" s="92"/>
      <c r="F1" s="92"/>
      <c r="G1" s="92"/>
      <c r="H1" s="92"/>
    </row>
    <row r="2" customFormat="false" ht="12.75" hidden="false" customHeight="true" outlineLevel="0" collapsed="false">
      <c r="A2" s="93" t="s">
        <v>1692</v>
      </c>
      <c r="B2" s="94" t="str">
        <f aca="false">Flights!$F$10&amp;"   "&amp;TEXT(Flights!$D$10,"DD-MMM-YY")&amp;" ("&amp;Flights!$E$10&amp;")"</f>
        <v>MH0002   15-Oct-26 (THU)</v>
      </c>
      <c r="C2" s="94"/>
      <c r="D2" s="94"/>
      <c r="E2" s="95" t="s">
        <v>1693</v>
      </c>
      <c r="F2" s="96" t="str">
        <f aca="false">Flights!$AT$10</f>
        <v>NOT READY – DOCUMENTS</v>
      </c>
      <c r="G2" s="96"/>
      <c r="H2" s="96"/>
    </row>
    <row r="3" customFormat="false" ht="24" hidden="false" customHeight="true" outlineLevel="0" collapsed="false">
      <c r="A3" s="93" t="s">
        <v>1694</v>
      </c>
      <c r="B3" s="94" t="str">
        <f aca="false">Flights!$G$10&amp;" → "&amp;Flights!$H$10&amp;"   Class "&amp;Flights!$K$10&amp;"   Seat "&amp;Flights!$O$10</f>
        <v>KUL → LHR   Class BC   Seat 2K</v>
      </c>
      <c r="C3" s="94"/>
      <c r="D3" s="94"/>
      <c r="E3" s="95" t="s">
        <v>71</v>
      </c>
      <c r="F3" s="95" t="s">
        <v>1695</v>
      </c>
      <c r="G3" s="95" t="s">
        <v>1696</v>
      </c>
      <c r="H3" s="95"/>
    </row>
    <row r="4" customFormat="false" ht="24" hidden="false" customHeight="true" outlineLevel="0" collapsed="false">
      <c r="A4" s="93" t="s">
        <v>1697</v>
      </c>
      <c r="B4" s="94" t="str">
        <f aca="false">IF(ISNUMBER(Flights!$I$10),TEXT(Flights!$I$10,"DD-MMM-YY HH:MM"),"")&amp;" "&amp;Flights!$G$10&amp;"  →  "&amp;IF(ISNUMBER(Flights!$J$10),TEXT(Flights!$J$10,"DD-MMM-YY HH:MM"),"")&amp;" "&amp;Flights!$H$10</f>
        <v>15-Oct-26 23:20 KUL  →  16-Oct-26 05:55 LHR</v>
      </c>
      <c r="C4" s="94"/>
      <c r="D4" s="94"/>
      <c r="E4" s="93" t="s">
        <v>1698</v>
      </c>
      <c r="F4" s="97" t="str">
        <f aca="false">IF(ISNUMBER(Flights!$AG$10),TEXT(Flights!$AG$10,"DD-MMM-YY HH:MM"),"")&amp;" "&amp;Flights!$V$10</f>
        <v>08-Oct-26 23:20 KUL</v>
      </c>
      <c r="G4" s="98" t="n">
        <f aca="false">Flights!$AJ$10</f>
        <v>0</v>
      </c>
      <c r="H4" s="98"/>
    </row>
    <row r="5" customFormat="false" ht="24" hidden="false" customHeight="true" outlineLevel="0" collapsed="false">
      <c r="A5" s="93" t="s">
        <v>1699</v>
      </c>
      <c r="B5" s="94" t="str">
        <f aca="false">Flights!$L$10&amp;" – "&amp;Flights!$M$10</f>
        <v>A350 – A350-900: A359 (9M-MAB..MAG, row 6) or A350 9M-MAH (row 7) - tail to confirm</v>
      </c>
      <c r="C5" s="94"/>
      <c r="D5" s="94"/>
      <c r="E5" s="93" t="s">
        <v>1700</v>
      </c>
      <c r="F5" s="97" t="str">
        <f aca="false">IF(ISNUMBER(Flights!$AH$10),TEXT(Flights!$AH$10,"DD-MMM-YY HH:MM"),"")&amp;" "&amp;Flights!$V$10</f>
        <v>14-Oct-26 23:20 KUL</v>
      </c>
      <c r="G5" s="98" t="n">
        <f aca="false">Flights!$AK$10</f>
        <v>0</v>
      </c>
      <c r="H5" s="98"/>
    </row>
    <row r="6" customFormat="false" ht="24" hidden="false" customHeight="true" outlineLevel="0" collapsed="false">
      <c r="A6" s="93" t="s">
        <v>1701</v>
      </c>
      <c r="B6" s="94" t="str">
        <f aca="false">IF(TRIM(Flights!$N$10)="","__________________",Flights!$N$10)</f>
        <v>__________________</v>
      </c>
      <c r="C6" s="94"/>
      <c r="D6" s="94"/>
      <c r="E6" s="93" t="s">
        <v>1702</v>
      </c>
      <c r="F6" s="97" t="str">
        <f aca="false">IF(ISNUMBER(Flights!$AI$10),TEXT(Flights!$AI$10,"DD-MMM-YY HH:MM"),"")&amp;" "&amp;Flights!$V$10&amp;IF(Flights!$AI$10=Flights!$AH$10,"  (= T-24H due)","")</f>
        <v>15-Oct-26 11:20 KUL</v>
      </c>
      <c r="G6" s="98" t="n">
        <f aca="false">Flights!$AL$10</f>
        <v>0</v>
      </c>
      <c r="H6" s="98"/>
    </row>
    <row r="7" customFormat="false" ht="24" hidden="false" customHeight="true" outlineLevel="0" collapsed="false">
      <c r="A7" s="93" t="s">
        <v>1703</v>
      </c>
      <c r="B7" s="94" t="str">
        <f aca="false">Flights!$T$10</f>
        <v>2.5 Meal (Meal)</v>
      </c>
      <c r="C7" s="94"/>
      <c r="D7" s="94"/>
      <c r="E7" s="93" t="s">
        <v>1704</v>
      </c>
      <c r="F7" s="97" t="str">
        <f aca="false">"STD "&amp;IF(ISNUMBER(Flights!$I$10),TEXT(Flights!$I$10,"DD-MMM-YY HH:MM"),"")&amp;" "&amp;Flights!$G$10&amp;" (dep stn)"</f>
        <v>STD 15-Oct-26 23:20 KUL (dep stn)</v>
      </c>
      <c r="G7" s="98" t="n">
        <f aca="false">Flights!$AM$10</f>
        <v>0</v>
      </c>
      <c r="H7" s="98"/>
    </row>
    <row r="8" customFormat="false" ht="12.75" hidden="false" customHeight="true" outlineLevel="0" collapsed="false">
      <c r="A8" s="93" t="s">
        <v>153</v>
      </c>
      <c r="B8" s="94" t="str">
        <f aca="false">Flights!$V$10&amp;"   (reference uplift stns: "&amp;Flights!$U$10&amp;")"</f>
        <v>KUL   (reference uplift stns: KUL/LHR)</v>
      </c>
      <c r="C8" s="94"/>
      <c r="D8" s="94"/>
      <c r="E8" s="93" t="s">
        <v>1705</v>
      </c>
      <c r="F8" s="99" t="s">
        <v>1706</v>
      </c>
      <c r="G8" s="98" t="n">
        <f aca="false">Flights!$AN$10</f>
        <v>0</v>
      </c>
      <c r="H8" s="98"/>
    </row>
    <row r="9" customFormat="false" ht="12.75" hidden="false" customHeight="true" outlineLevel="0" collapsed="false">
      <c r="A9" s="93" t="s">
        <v>1707</v>
      </c>
      <c r="B9" s="94" t="str">
        <f aca="false">TRIM(Flights!$P$10&amp;"  "&amp;Flights!$Q$10)</f>
        <v>6H 35M</v>
      </c>
      <c r="C9" s="94"/>
      <c r="D9" s="94"/>
      <c r="E9" s="93" t="s">
        <v>1708</v>
      </c>
      <c r="F9" s="100" t="n">
        <f aca="false">Flights!$AP$10</f>
        <v>0</v>
      </c>
      <c r="G9" s="100" t="n">
        <f aca="false">Flights!$AQ$10</f>
        <v>0</v>
      </c>
      <c r="H9" s="100" t="n">
        <f aca="false">Flights!$AU$10</f>
        <v>0</v>
      </c>
    </row>
    <row r="10" customFormat="false" ht="24" hidden="false" customHeight="true" outlineLevel="0" collapsed="false">
      <c r="A10" s="93" t="s">
        <v>1709</v>
      </c>
      <c r="B10" s="94" t="str">
        <f aca="false">IF(TRIM(Flights!$X$10)="","__________________",Flights!$X$10)</f>
        <v>__________________</v>
      </c>
      <c r="C10" s="94"/>
      <c r="D10" s="94"/>
      <c r="E10" s="93" t="s">
        <v>1710</v>
      </c>
      <c r="F10" s="100" t="n">
        <f aca="false">Flights!$AO$10</f>
        <v>46</v>
      </c>
      <c r="G10" s="100" t="n">
        <f aca="false">Flights!$AS$10</f>
        <v>1</v>
      </c>
      <c r="H10" s="100" t="n">
        <f aca="false">Flights!$AR$10</f>
        <v>2</v>
      </c>
    </row>
    <row r="11" customFormat="false" ht="21" hidden="false" customHeight="true" outlineLevel="0" collapsed="false">
      <c r="A11" s="93" t="s">
        <v>1711</v>
      </c>
      <c r="B11" s="94" t="str">
        <f aca="false">IF(TRIM(Flights!$Y$10)="","__________________",Flights!$Y$10)</f>
        <v>__________________</v>
      </c>
      <c r="C11" s="94"/>
      <c r="D11" s="94"/>
      <c r="E11" s="93" t="s">
        <v>1712</v>
      </c>
      <c r="F11" s="100" t="str">
        <f aca="false">Flights!$AV$10&amp;" / "&amp;Flights!$AW$10</f>
        <v>0 / 46</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IF(Documents!$F$10="","",Documents!$F$10)</f>
        <v/>
      </c>
      <c r="C14" s="99" t="str">
        <f aca="false">IF(Documents!$G$10="","",Documents!$G$10)&amp;IF(ISNUMBER(Documents!$H$10),"  "&amp;TEXT(Documents!$H$10,"DD-MMM-YY"),"")</f>
        <v/>
      </c>
      <c r="D14" s="99"/>
      <c r="E14" s="107" t="str">
        <f aca="false">IF(Documents!$J$10="OUTSTANDING","OUTSTANDING – attach before T-7D (due "&amp;IF(ISNUMBER(Flights!$AG$10),TEXT(Flights!$AG$10,"DD-MMM-YY HH:MM"),"")&amp;" "&amp;Flights!$V$10&amp;")",IF(Documents!$J$10="","Status not recorded",Documents!$J$10))</f>
        <v>OUTSTANDING – attach before T-7D (due 08-Oct-26 23:20 KUL)</v>
      </c>
      <c r="F14" s="108" t="str">
        <f aca="false">"Staple behind this sheet as page A1."&amp;IF(Documents!$I$10="",""," Location: "&amp;Documents!$I$10)</f>
        <v>Staple behind this sheet as page A1.</v>
      </c>
      <c r="G14" s="108"/>
      <c r="H14" s="108"/>
    </row>
    <row r="15" customFormat="false" ht="36" hidden="false" customHeight="true" outlineLevel="0" collapsed="false">
      <c r="A15" s="93" t="s">
        <v>1723</v>
      </c>
      <c r="B15" s="94" t="str">
        <f aca="false">IF(Documents!$K$10="","",Documents!$K$10)</f>
        <v/>
      </c>
      <c r="C15" s="99" t="str">
        <f aca="false">IF(Documents!$L$10="","",Documents!$L$10)&amp;IF(ISNUMBER(Documents!$M$10),"  "&amp;TEXT(Documents!$M$10,"DD-MMM-YY"),"")</f>
        <v/>
      </c>
      <c r="D15" s="99"/>
      <c r="E15" s="107" t="str">
        <f aca="false">IF(Documents!$O$10="OUTSTANDING","OUTSTANDING – attach before T-7D (due "&amp;IF(ISNUMBER(Flights!$AG$10),TEXT(Flights!$AG$10,"DD-MMM-YY HH:MM"),"")&amp;" "&amp;Flights!$V$10&amp;")",IF(Documents!$O$10="","Status not recorded",Documents!$O$10))</f>
        <v>OUTSTANDING – attach before T-7D (due 08-Oct-26 23:20 KUL)</v>
      </c>
      <c r="F15" s="108" t="str">
        <f aca="false">"Staple behind this sheet as page A2."&amp;IF(Documents!$N$10="",""," Location: "&amp;Documents!$N$10)</f>
        <v>Staple behind this sheet as page A2.</v>
      </c>
      <c r="G15" s="108"/>
      <c r="H15" s="108"/>
    </row>
    <row r="16" customFormat="false" ht="22.5" hidden="false" customHeight="true" outlineLevel="0" collapsed="false">
      <c r="A16" s="93" t="s">
        <v>1724</v>
      </c>
      <c r="B16" s="109" t="str">
        <f aca="false">IF(Documents!$Q$10="","",Documents!$Q$10)</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"&amp;IF(TRIM(Flights!$Y$10)="","__________________",Flights!$Y$10)</f>
        <v>Name: __________________</v>
      </c>
      <c r="B18" s="94"/>
      <c r="C18" s="94" t="str">
        <f aca="false">"Name: __________________"</f>
        <v>Name: __________________</v>
      </c>
      <c r="D18" s="94"/>
      <c r="E18" s="94"/>
      <c r="F18" s="94" t="str">
        <f aca="false">"Name: __________________"&amp;"   Station: "&amp;Flights!$V$10</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"&amp;IF(ISNUMBER(Flights!$AG$10),TEXT(Flights!$AG$10,"DD-MMM-YY HH:MM"),"")&amp;" "&amp;Flights!$V$10&amp;" (meal uplift stn)"&amp;" (rows with another due show their own)  |  Complete "&amp;IF(ISNUMBER(Flights!$AJ$10),TEXT(Flights!$AJ$10,"0%"),Flights!$AJ$10)&amp;"  |  9 lines"</f>
        <v>T-7D — 7 days before departure  |  Due 08-Oct-26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Checks!$A$166&amp;CHAR(10)&amp;IF(Checks!$I$166="","",Checks!$I$166&amp;": ")&amp;Checks!$J$166</f>
        <v>F06-T7-01
Meal: Meal sensory testing completed for this flight's menu cycle (assessed class)</v>
      </c>
      <c r="B23" s="114" t="str">
        <f aca="false">Checks!$K$166&amp;IF(Checks!$O$166="","",IF(Checks!$K$166="","",CHAR(10))&amp;"Note: "&amp;Checks!$O$166)</f>
        <v>Record panel result / score in Result</v>
      </c>
      <c r="C23" s="114" t="str">
        <f aca="false">Checks!$N$166&amp;CHAR(10)&amp;IF(ISNUMBER(Checks!$R$166),TEXT(Checks!$R$166,"DD-MMM-YY HH:MM"),"")&amp;" "&amp;Checks!$P$166</f>
        <v>Required
08-Oct-26 23:20 KUL</v>
      </c>
      <c r="D23" s="114" t="str">
        <f aca="false">IF(Checks!$U$166="","",Checks!$U$166)&amp;IF(Checks!$AB$166="","",CHAR(10)&amp;"CA: "&amp;Checks!$AB$166)</f>
        <v/>
      </c>
      <c r="E23" s="114" t="str">
        <f aca="false">IF(Checks!$V$166="","",Checks!$V$166)&amp;IF(Checks!$AC$166="","",IF(Checks!$V$166="","",CHAR(10))&amp;"N/A just.: "&amp;Checks!$AC$166)&amp;IF(Checks!$W$166="","",CHAR(10)&amp;"Batch: "&amp;Checks!$W$166)&amp;IF(AND(Checks!$X$166="",Checks!$Y$166=""),"",CHAR(10)&amp;"Exp: "&amp;Checks!$X$166&amp;"  /  Act: "&amp;Checks!$Y$166)</f>
        <v/>
      </c>
      <c r="F23" s="114" t="str">
        <f aca="false">IF(Checks!$Z$166="","","Evidence: "&amp;Checks!$Z$166)&amp;IF(Checks!$AA$166="","",IF(Checks!$Z$166="","",CHAR(10))&amp;"CA: "&amp;Checks!$AA$166)</f>
        <v/>
      </c>
      <c r="G23" s="114" t="str">
        <f aca="false">IF(ISNUMBER(Checks!$AD$166),TEXT(Checks!$AD$166,"DD-MMM-YY HH:MM")&amp;" "&amp;Checks!$P$166,"")&amp;IF(Checks!$AE$166="","",CHAR(10)&amp;"Verifier: "&amp;Checks!$AE$166)&amp;IF(Checks!$T$166="","",CHAR(10)&amp;"PIC: "&amp;Checks!$T$166)</f>
        <v/>
      </c>
      <c r="H23" s="115" t="str">
        <f aca="false">IF(Checks!$AH$166="","",Checks!$AH$166)</f>
        <v>OPEN</v>
      </c>
    </row>
    <row r="24" customFormat="false" ht="114" hidden="false" customHeight="true" outlineLevel="0" collapsed="false">
      <c r="A24" s="114" t="str">
        <f aca="false">Checks!$A$167&amp;CHAR(10)&amp;IF(Checks!$I$167="","",Checks!$I$167&amp;": ")&amp;Checks!$J$167</f>
        <v>F06-T7-02
Menu: Printed menu cards confirmed (content, cycle, language, quantity)</v>
      </c>
      <c r="B24" s="114" t="str">
        <f aca="false">Checks!$K$167&amp;IF(Checks!$O$167="","",IF(Checks!$K$167="","",CHAR(10))&amp;"Note: "&amp;Checks!$O$167)</f>
        <v>Menu card matches approved menu for this flight</v>
      </c>
      <c r="C24" s="114" t="str">
        <f aca="false">Checks!$N$167&amp;CHAR(10)&amp;IF(ISNUMBER(Checks!$R$167),TEXT(Checks!$R$167,"DD-MMM-YY HH:MM"),"")&amp;" "&amp;Checks!$P$167</f>
        <v>Required
08-Oct-26 23:20 KUL</v>
      </c>
      <c r="D24" s="114" t="str">
        <f aca="false">IF(Checks!$U$167="","",Checks!$U$167)&amp;IF(Checks!$AB$167="","",CHAR(10)&amp;"CA: "&amp;Checks!$AB$167)</f>
        <v/>
      </c>
      <c r="E24" s="114" t="str">
        <f aca="false">IF(Checks!$V$167="","",Checks!$V$167)&amp;IF(Checks!$AC$167="","",IF(Checks!$V$167="","",CHAR(10))&amp;"N/A just.: "&amp;Checks!$AC$167)&amp;IF(Checks!$W$167="","",CHAR(10)&amp;"Batch: "&amp;Checks!$W$167)&amp;IF(AND(Checks!$X$167="",Checks!$Y$167=""),"",CHAR(10)&amp;"Exp: "&amp;Checks!$X$167&amp;"  /  Act: "&amp;Checks!$Y$167)</f>
        <v/>
      </c>
      <c r="F24" s="114" t="str">
        <f aca="false">IF(Checks!$Z$167="","","Evidence: "&amp;Checks!$Z$167)&amp;IF(Checks!$AA$167="","",IF(Checks!$Z$167="","",CHAR(10))&amp;"CA: "&amp;Checks!$AA$167)</f>
        <v/>
      </c>
      <c r="G24" s="114" t="str">
        <f aca="false">IF(ISNUMBER(Checks!$AD$167),TEXT(Checks!$AD$167,"DD-MMM-YY HH:MM")&amp;" "&amp;Checks!$P$167,"")&amp;IF(Checks!$AE$167="","",CHAR(10)&amp;"Verifier: "&amp;Checks!$AE$167)&amp;IF(Checks!$T$167="","",CHAR(10)&amp;"PIC: "&amp;Checks!$T$167)</f>
        <v/>
      </c>
      <c r="H24" s="115" t="str">
        <f aca="false">IF(Checks!$AH$167="","",Checks!$AH$167)</f>
        <v>OPEN</v>
      </c>
    </row>
    <row r="25" customFormat="false" ht="114" hidden="false" customHeight="true" outlineLevel="0" collapsed="false">
      <c r="A25" s="114" t="str">
        <f aca="false">Checks!$A$168&amp;CHAR(10)&amp;IF(Checks!$I$168="","",Checks!$I$168&amp;": ")&amp;Checks!$J$168</f>
        <v>F06-T7-03
IFE: Digital menu in IFE confirmed (A339 only)</v>
      </c>
      <c r="B25" s="114" t="str">
        <f aca="false">Checks!$K$168&amp;IF(Checks!$O$168="","",IF(Checks!$K$168="","",CHAR(10))&amp;"Note: "&amp;Checks!$O$168)</f>
        <v>Applies when fleet = A339
Note: Digital IFE menu applies to A339 only (user brief). Applicability follows the Fleet cell on Flights.</v>
      </c>
      <c r="C25" s="114" t="str">
        <f aca="false">Checks!$N$168&amp;CHAR(10)&amp;IF(ISNUMBER(Checks!$R$168),TEXT(Checks!$R$168,"DD-MMM-YY HH:MM"),"")&amp;" "&amp;Checks!$P$168</f>
        <v>N/A – rule
08-Oct-26 23:20 KUL</v>
      </c>
      <c r="D25" s="114" t="str">
        <f aca="false">IF(Checks!$U$168="","",Checks!$U$168)&amp;IF(Checks!$AB$168="","",CHAR(10)&amp;"CA: "&amp;Checks!$AB$168)</f>
        <v/>
      </c>
      <c r="E25" s="114" t="str">
        <f aca="false">IF(Checks!$V$168="","",Checks!$V$168)&amp;IF(Checks!$AC$168="","",IF(Checks!$V$168="","",CHAR(10))&amp;"N/A just.: "&amp;Checks!$AC$168)&amp;IF(Checks!$W$168="","",CHAR(10)&amp;"Batch: "&amp;Checks!$W$168)&amp;IF(AND(Checks!$X$168="",Checks!$Y$168=""),"",CHAR(10)&amp;"Exp: "&amp;Checks!$X$168&amp;"  /  Act: "&amp;Checks!$Y$168)</f>
        <v/>
      </c>
      <c r="F25" s="114" t="str">
        <f aca="false">IF(Checks!$Z$168="","","Evidence: "&amp;Checks!$Z$168)&amp;IF(Checks!$AA$168="","",IF(Checks!$Z$168="","",CHAR(10))&amp;"CA: "&amp;Checks!$AA$168)</f>
        <v/>
      </c>
      <c r="G25" s="114" t="str">
        <f aca="false">IF(ISNUMBER(Checks!$AD$168),TEXT(Checks!$AD$168,"DD-MMM-YY HH:MM")&amp;" "&amp;Checks!$P$168,"")&amp;IF(Checks!$AE$168="","",CHAR(10)&amp;"Verifier: "&amp;Checks!$AE$168)&amp;IF(Checks!$T$168="","",CHAR(10)&amp;"PIC: "&amp;Checks!$T$168)</f>
        <v/>
      </c>
      <c r="H25" s="115" t="str">
        <f aca="false">IF(Checks!$AH$168="","",Checks!$AH$168)</f>
        <v>N/A – RULE</v>
      </c>
    </row>
    <row r="26" customFormat="false" ht="114" hidden="false" customHeight="true" outlineLevel="0" collapsed="false">
      <c r="A26" s="114" t="str">
        <f aca="false">Checks!$A$169&amp;CHAR(10)&amp;IF(Checks!$I$169="","",Checks!$I$169&amp;": ")&amp;Checks!$J$169</f>
        <v>F06-T7-04
Staffing: Experienced catering officer assigned to this flight</v>
      </c>
      <c r="B26" s="114" t="str">
        <f aca="false">Checks!$K$169&amp;IF(Checks!$O$169="","",IF(Checks!$K$169="","",CHAR(10))&amp;"Note: "&amp;Checks!$O$169)</f>
        <v>Record officer name in Result</v>
      </c>
      <c r="C26" s="114" t="str">
        <f aca="false">Checks!$N$169&amp;CHAR(10)&amp;IF(ISNUMBER(Checks!$R$169),TEXT(Checks!$R$169,"DD-MMM-YY HH:MM"),"")&amp;" "&amp;Checks!$P$169</f>
        <v>Required
08-Oct-26 23:20 KUL</v>
      </c>
      <c r="D26" s="114" t="str">
        <f aca="false">IF(Checks!$U$169="","",Checks!$U$169)&amp;IF(Checks!$AB$169="","",CHAR(10)&amp;"CA: "&amp;Checks!$AB$169)</f>
        <v/>
      </c>
      <c r="E26" s="114" t="str">
        <f aca="false">IF(Checks!$V$169="","",Checks!$V$169)&amp;IF(Checks!$AC$169="","",IF(Checks!$V$169="","",CHAR(10))&amp;"N/A just.: "&amp;Checks!$AC$169)&amp;IF(Checks!$W$169="","",CHAR(10)&amp;"Batch: "&amp;Checks!$W$169)&amp;IF(AND(Checks!$X$169="",Checks!$Y$169=""),"",CHAR(10)&amp;"Exp: "&amp;Checks!$X$169&amp;"  /  Act: "&amp;Checks!$Y$169)</f>
        <v/>
      </c>
      <c r="F26" s="114" t="str">
        <f aca="false">IF(Checks!$Z$169="","","Evidence: "&amp;Checks!$Z$169)&amp;IF(Checks!$AA$169="","",IF(Checks!$Z$169="","",CHAR(10))&amp;"CA: "&amp;Checks!$AA$169)</f>
        <v/>
      </c>
      <c r="G26" s="114" t="str">
        <f aca="false">IF(ISNUMBER(Checks!$AD$169),TEXT(Checks!$AD$169,"DD-MMM-YY HH:MM")&amp;" "&amp;Checks!$P$169,"")&amp;IF(Checks!$AE$169="","",CHAR(10)&amp;"Verifier: "&amp;Checks!$AE$169)&amp;IF(Checks!$T$169="","",CHAR(10)&amp;"PIC: "&amp;Checks!$T$169)</f>
        <v/>
      </c>
      <c r="H26" s="115" t="str">
        <f aca="false">IF(Checks!$AH$169="","",Checks!$AH$169)</f>
        <v>OPEN</v>
      </c>
    </row>
    <row r="27" customFormat="false" ht="114" hidden="false" customHeight="true" outlineLevel="0" collapsed="false">
      <c r="A27" s="114" t="str">
        <f aca="false">Checks!$A$170&amp;CHAR(10)&amp;IF(Checks!$I$170="","",Checks!$I$170&amp;": ")&amp;Checks!$J$170</f>
        <v>F06-T7-05
ISOP: All latest applicable ISOP revisions communicated to caterer</v>
      </c>
      <c r="B27" s="114" t="str">
        <f aca="false">Checks!$K$170&amp;IF(Checks!$O$170="","",IF(Checks!$K$170="","",CHAR(10))&amp;"Note: "&amp;Checks!$O$170)</f>
        <v>List revision numbers in Result (see ISOP register)</v>
      </c>
      <c r="C27" s="114" t="str">
        <f aca="false">Checks!$N$170&amp;CHAR(10)&amp;IF(ISNUMBER(Checks!$R$170),TEXT(Checks!$R$170,"DD-MMM-YY HH:MM"),"")&amp;" "&amp;Checks!$P$170</f>
        <v>Required
08-Oct-26 23:20 KUL</v>
      </c>
      <c r="D27" s="114" t="str">
        <f aca="false">IF(Checks!$U$170="","",Checks!$U$170)&amp;IF(Checks!$AB$170="","",CHAR(10)&amp;"CA: "&amp;Checks!$AB$170)</f>
        <v/>
      </c>
      <c r="E27" s="114" t="str">
        <f aca="false">IF(Checks!$V$170="","",Checks!$V$170)&amp;IF(Checks!$AC$170="","",IF(Checks!$V$170="","",CHAR(10))&amp;"N/A just.: "&amp;Checks!$AC$170)&amp;IF(Checks!$W$170="","",CHAR(10)&amp;"Batch: "&amp;Checks!$W$170)&amp;IF(AND(Checks!$X$170="",Checks!$Y$170=""),"",CHAR(10)&amp;"Exp: "&amp;Checks!$X$170&amp;"  /  Act: "&amp;Checks!$Y$170)</f>
        <v/>
      </c>
      <c r="F27" s="114" t="str">
        <f aca="false">IF(Checks!$Z$170="","","Evidence: "&amp;Checks!$Z$170)&amp;IF(Checks!$AA$170="","",IF(Checks!$Z$170="","",CHAR(10))&amp;"CA: "&amp;Checks!$AA$170)</f>
        <v/>
      </c>
      <c r="G27" s="114" t="str">
        <f aca="false">IF(ISNUMBER(Checks!$AD$170),TEXT(Checks!$AD$170,"DD-MMM-YY HH:MM")&amp;" "&amp;Checks!$P$170,"")&amp;IF(Checks!$AE$170="","",CHAR(10)&amp;"Verifier: "&amp;Checks!$AE$170)&amp;IF(Checks!$T$170="","",CHAR(10)&amp;"PIC: "&amp;Checks!$T$170)</f>
        <v/>
      </c>
      <c r="H27" s="115" t="str">
        <f aca="false">IF(Checks!$AH$170="","",Checks!$AH$170)</f>
        <v>OPEN</v>
      </c>
    </row>
    <row r="28" customFormat="false" ht="114" hidden="false" customHeight="true" outlineLevel="0" collapsed="false">
      <c r="A28" s="114" t="str">
        <f aca="false">Checks!$A$171&amp;CHAR(10)&amp;IF(Checks!$I$171="","",Checks!$I$171&amp;": ")&amp;Checks!$J$171</f>
        <v>F06-T7-06
ISOP: Caterer acknowledgement of ISOP revisions recorded</v>
      </c>
      <c r="B28" s="114" t="str">
        <f aca="false">Checks!$K$171&amp;IF(Checks!$O$171="","",IF(Checks!$K$171="","",CHAR(10))&amp;"Note: "&amp;Checks!$O$171)</f>
        <v>Record acknowledgement ref in Evidence</v>
      </c>
      <c r="C28" s="114" t="str">
        <f aca="false">Checks!$N$171&amp;CHAR(10)&amp;IF(ISNUMBER(Checks!$R$171),TEXT(Checks!$R$171,"DD-MMM-YY HH:MM"),"")&amp;" "&amp;Checks!$P$171</f>
        <v>Required
08-Oct-26 23:20 KUL</v>
      </c>
      <c r="D28" s="114" t="str">
        <f aca="false">IF(Checks!$U$171="","",Checks!$U$171)&amp;IF(Checks!$AB$171="","",CHAR(10)&amp;"CA: "&amp;Checks!$AB$171)</f>
        <v/>
      </c>
      <c r="E28" s="114" t="str">
        <f aca="false">IF(Checks!$V$171="","",Checks!$V$171)&amp;IF(Checks!$AC$171="","",IF(Checks!$V$171="","",CHAR(10))&amp;"N/A just.: "&amp;Checks!$AC$171)&amp;IF(Checks!$W$171="","",CHAR(10)&amp;"Batch: "&amp;Checks!$W$171)&amp;IF(AND(Checks!$X$171="",Checks!$Y$171=""),"",CHAR(10)&amp;"Exp: "&amp;Checks!$X$171&amp;"  /  Act: "&amp;Checks!$Y$171)</f>
        <v/>
      </c>
      <c r="F28" s="114" t="str">
        <f aca="false">IF(Checks!$Z$171="","","Evidence: "&amp;Checks!$Z$171)&amp;IF(Checks!$AA$171="","",IF(Checks!$Z$171="","",CHAR(10))&amp;"CA: "&amp;Checks!$AA$171)</f>
        <v/>
      </c>
      <c r="G28" s="114" t="str">
        <f aca="false">IF(ISNUMBER(Checks!$AD$171),TEXT(Checks!$AD$171,"DD-MMM-YY HH:MM")&amp;" "&amp;Checks!$P$171,"")&amp;IF(Checks!$AE$171="","",CHAR(10)&amp;"Verifier: "&amp;Checks!$AE$171)&amp;IF(Checks!$T$171="","",CHAR(10)&amp;"PIC: "&amp;Checks!$T$171)</f>
        <v/>
      </c>
      <c r="H28" s="115" t="str">
        <f aca="false">IF(Checks!$AH$171="","",Checks!$AH$171)</f>
        <v>OPEN</v>
      </c>
    </row>
    <row r="29" customFormat="false" ht="114" hidden="false" customHeight="true" outlineLevel="0" collapsed="false">
      <c r="A29" s="114" t="str">
        <f aca="false">Checks!$A$172&amp;CHAR(10)&amp;IF(Checks!$I$172="","",Checks!$I$172&amp;": ")&amp;Checks!$J$172</f>
        <v>F06-T7-07
Documents: Galley loading diagram (GLD) received, revision recorded &amp; attached</v>
      </c>
      <c r="B29" s="114" t="str">
        <f aca="false">Checks!$K$172&amp;IF(Checks!$O$172="","",IF(Checks!$K$172="","",CHAR(10))&amp;"Note: "&amp;Checks!$O$172)</f>
        <v>Documents sheet row complete</v>
      </c>
      <c r="C29" s="114" t="str">
        <f aca="false">Checks!$N$172&amp;CHAR(10)&amp;IF(ISNUMBER(Checks!$R$172),TEXT(Checks!$R$172,"DD-MMM-YY HH:MM"),"")&amp;" "&amp;Checks!$P$172</f>
        <v>Required
08-Oct-26 23:20 KUL</v>
      </c>
      <c r="D29" s="114" t="str">
        <f aca="false">IF(Checks!$U$172="","",Checks!$U$172)&amp;IF(Checks!$AB$172="","",CHAR(10)&amp;"CA: "&amp;Checks!$AB$172)</f>
        <v/>
      </c>
      <c r="E29" s="114" t="str">
        <f aca="false">IF(Checks!$V$172="","",Checks!$V$172)&amp;IF(Checks!$AC$172="","",IF(Checks!$V$172="","",CHAR(10))&amp;"N/A just.: "&amp;Checks!$AC$172)&amp;IF(Checks!$W$172="","",CHAR(10)&amp;"Batch: "&amp;Checks!$W$172)&amp;IF(AND(Checks!$X$172="",Checks!$Y$172=""),"",CHAR(10)&amp;"Exp: "&amp;Checks!$X$172&amp;"  /  Act: "&amp;Checks!$Y$172)</f>
        <v/>
      </c>
      <c r="F29" s="114" t="str">
        <f aca="false">IF(Checks!$Z$172="","","Evidence: "&amp;Checks!$Z$172)&amp;IF(Checks!$AA$172="","",IF(Checks!$Z$172="","",CHAR(10))&amp;"CA: "&amp;Checks!$AA$172)</f>
        <v/>
      </c>
      <c r="G29" s="114" t="str">
        <f aca="false">IF(ISNUMBER(Checks!$AD$172),TEXT(Checks!$AD$172,"DD-MMM-YY HH:MM")&amp;" "&amp;Checks!$P$172,"")&amp;IF(Checks!$AE$172="","",CHAR(10)&amp;"Verifier: "&amp;Checks!$AE$172)&amp;IF(Checks!$T$172="","",CHAR(10)&amp;"PIC: "&amp;Checks!$T$172)</f>
        <v/>
      </c>
      <c r="H29" s="115" t="str">
        <f aca="false">IF(Checks!$AH$172="","",Checks!$AH$172)</f>
        <v>OPEN</v>
      </c>
    </row>
    <row r="30" customFormat="false" ht="114" hidden="false" customHeight="true" outlineLevel="0" collapsed="false">
      <c r="A30" s="114" t="str">
        <f aca="false">Checks!$A$173&amp;CHAR(10)&amp;IF(Checks!$I$173="","",Checks!$I$173&amp;": ")&amp;Checks!$J$173</f>
        <v>F06-T7-08
Documents: Menu checklist received, revision recorded &amp; attached</v>
      </c>
      <c r="B30" s="114" t="str">
        <f aca="false">Checks!$K$173&amp;IF(Checks!$O$173="","",IF(Checks!$K$173="","",CHAR(10))&amp;"Note: "&amp;Checks!$O$173)</f>
        <v>Documents sheet row complete</v>
      </c>
      <c r="C30" s="114" t="str">
        <f aca="false">Checks!$N$173&amp;CHAR(10)&amp;IF(ISNUMBER(Checks!$R$173),TEXT(Checks!$R$173,"DD-MMM-YY HH:MM"),"")&amp;" "&amp;Checks!$P$173</f>
        <v>Required
08-Oct-26 23:20 KUL</v>
      </c>
      <c r="D30" s="114" t="str">
        <f aca="false">IF(Checks!$U$173="","",Checks!$U$173)&amp;IF(Checks!$AB$173="","",CHAR(10)&amp;"CA: "&amp;Checks!$AB$173)</f>
        <v/>
      </c>
      <c r="E30" s="114" t="str">
        <f aca="false">IF(Checks!$V$173="","",Checks!$V$173)&amp;IF(Checks!$AC$173="","",IF(Checks!$V$173="","",CHAR(10))&amp;"N/A just.: "&amp;Checks!$AC$173)&amp;IF(Checks!$W$173="","",CHAR(10)&amp;"Batch: "&amp;Checks!$W$173)&amp;IF(AND(Checks!$X$173="",Checks!$Y$173=""),"",CHAR(10)&amp;"Exp: "&amp;Checks!$X$173&amp;"  /  Act: "&amp;Checks!$Y$173)</f>
        <v/>
      </c>
      <c r="F30" s="114" t="str">
        <f aca="false">IF(Checks!$Z$173="","","Evidence: "&amp;Checks!$Z$173)&amp;IF(Checks!$AA$173="","",IF(Checks!$Z$173="","",CHAR(10))&amp;"CA: "&amp;Checks!$AA$173)</f>
        <v/>
      </c>
      <c r="G30" s="114" t="str">
        <f aca="false">IF(ISNUMBER(Checks!$AD$173),TEXT(Checks!$AD$173,"DD-MMM-YY HH:MM")&amp;" "&amp;Checks!$P$173,"")&amp;IF(Checks!$AE$173="","",CHAR(10)&amp;"Verifier: "&amp;Checks!$AE$173)&amp;IF(Checks!$T$173="","",CHAR(10)&amp;"PIC: "&amp;Checks!$T$173)</f>
        <v/>
      </c>
      <c r="H30" s="115" t="str">
        <f aca="false">IF(Checks!$AH$173="","",Checks!$AH$173)</f>
        <v>OPEN</v>
      </c>
    </row>
    <row r="31" customFormat="false" ht="114" hidden="false" customHeight="true" outlineLevel="0" collapsed="false">
      <c r="A31" s="114" t="str">
        <f aca="false">Checks!$A$174&amp;CHAR(10)&amp;IF(Checks!$I$174="","",Checks!$I$174&amp;": ")&amp;Checks!$J$174</f>
        <v>F06-T7-09
Uplift plan: Uplift plan confirmed with caterer vs STD Uplift Information</v>
      </c>
      <c r="B31" s="114" t="str">
        <f aca="false">Checks!$K$174&amp;IF(Checks!$O$174="","",IF(Checks!$K$174="","",CHAR(10))&amp;"Note: "&amp;Checks!$O$174)</f>
        <v>Service: 2.5 Meal (Meal); meal uplift stn KUL (ref lists KUL/LHR)</v>
      </c>
      <c r="C31" s="114" t="str">
        <f aca="false">Checks!$N$174&amp;CHAR(10)&amp;IF(ISNUMBER(Checks!$R$174),TEXT(Checks!$R$174,"DD-MMM-YY HH:MM"),"")&amp;" "&amp;Checks!$P$174</f>
        <v>Required
08-Oct-26 23:20 KUL</v>
      </c>
      <c r="D31" s="114" t="str">
        <f aca="false">IF(Checks!$U$174="","",Checks!$U$174)&amp;IF(Checks!$AB$174="","",CHAR(10)&amp;"CA: "&amp;Checks!$AB$174)</f>
        <v/>
      </c>
      <c r="E31" s="114" t="str">
        <f aca="false">IF(Checks!$V$174="","",Checks!$V$174)&amp;IF(Checks!$AC$174="","",IF(Checks!$V$174="","",CHAR(10))&amp;"N/A just.: "&amp;Checks!$AC$174)&amp;IF(Checks!$W$174="","",CHAR(10)&amp;"Batch: "&amp;Checks!$W$174)&amp;IF(AND(Checks!$X$174="",Checks!$Y$174=""),"",CHAR(10)&amp;"Exp: "&amp;Checks!$X$174&amp;"  /  Act: "&amp;Checks!$Y$174)</f>
        <v/>
      </c>
      <c r="F31" s="114" t="str">
        <f aca="false">IF(Checks!$Z$174="","","Evidence: "&amp;Checks!$Z$174)&amp;IF(Checks!$AA$174="","",IF(Checks!$Z$174="","",CHAR(10))&amp;"CA: "&amp;Checks!$AA$174)</f>
        <v/>
      </c>
      <c r="G31" s="114" t="str">
        <f aca="false">IF(ISNUMBER(Checks!$AD$174),TEXT(Checks!$AD$174,"DD-MMM-YY HH:MM")&amp;" "&amp;Checks!$P$174,"")&amp;IF(Checks!$AE$174="","",CHAR(10)&amp;"Verifier: "&amp;Checks!$AE$174)&amp;IF(Checks!$T$174="","",CHAR(10)&amp;"PIC: "&amp;Checks!$T$174)</f>
        <v/>
      </c>
      <c r="H31" s="115" t="str">
        <f aca="false">IF(Checks!$AH$174="","",Checks!$AH$174)</f>
        <v>OPEN</v>
      </c>
    </row>
    <row r="32" customFormat="false" ht="25.5" hidden="false" customHeight="true" outlineLevel="0" collapsed="false">
      <c r="A32" s="113" t="str">
        <f aca="false">"T-24H — Production batch sensory  |  Due "&amp;IF(ISNUMBER(Flights!$AH$10),TEXT(Flights!$AH$10,"DD-MMM-YY HH:MM"),"")&amp;" "&amp;Flights!$V$10&amp;" (meal uplift stn)"&amp;" (rows with another due show their own)  |  Complete "&amp;IF(ISNUMBER(Flights!$AK$10),TEXT(Flights!$AK$10,"0%"),Flights!$AK$10)&amp;"  |  1 lines"</f>
        <v>T-24H — Production batch sensory  |  Due 14-Oct-26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Checks!$A$175&amp;CHAR(10)&amp;IF(Checks!$I$175="","",Checks!$I$175&amp;": ")&amp;Checks!$J$175</f>
        <v>F06-T24-01
Meal: Sensory test repeated on ACTUAL production batch for this flight</v>
      </c>
      <c r="B33" s="114" t="str">
        <f aca="false">Checks!$K$175&amp;IF(Checks!$O$175="","",IF(Checks!$K$175="","",CHAR(10))&amp;"Note: "&amp;Checks!$O$175)</f>
        <v>Batch ID, result, CA and acceptance mandatory</v>
      </c>
      <c r="C33" s="114" t="str">
        <f aca="false">Checks!$N$175&amp;CHAR(10)&amp;IF(ISNUMBER(Checks!$R$175),TEXT(Checks!$R$175,"DD-MMM-YY HH:MM"),"")&amp;" "&amp;Checks!$P$175</f>
        <v>Required
14-Oct-26 23:20 KUL</v>
      </c>
      <c r="D33" s="114" t="str">
        <f aca="false">IF(Checks!$U$175="","",Checks!$U$175)&amp;IF(Checks!$AB$175="","",CHAR(10)&amp;"CA: "&amp;Checks!$AB$175)</f>
        <v/>
      </c>
      <c r="E33" s="114" t="str">
        <f aca="false">IF(Checks!$V$175="","",Checks!$V$175)&amp;IF(Checks!$AC$175="","",IF(Checks!$V$175="","",CHAR(10))&amp;"N/A just.: "&amp;Checks!$AC$175)&amp;IF(Checks!$W$175="","",CHAR(10)&amp;"Batch: "&amp;Checks!$W$175)&amp;IF(AND(Checks!$X$175="",Checks!$Y$175=""),"",CHAR(10)&amp;"Exp: "&amp;Checks!$X$175&amp;"  /  Act: "&amp;Checks!$Y$175)</f>
        <v/>
      </c>
      <c r="F33" s="114" t="str">
        <f aca="false">IF(Checks!$Z$175="","","Evidence: "&amp;Checks!$Z$175)&amp;IF(Checks!$AA$175="","",IF(Checks!$Z$175="","",CHAR(10))&amp;"CA: "&amp;Checks!$AA$175)</f>
        <v/>
      </c>
      <c r="G33" s="114" t="str">
        <f aca="false">IF(ISNUMBER(Checks!$AD$175),TEXT(Checks!$AD$175,"DD-MMM-YY HH:MM")&amp;" "&amp;Checks!$P$175,"")&amp;IF(Checks!$AE$175="","",CHAR(10)&amp;"Verifier: "&amp;Checks!$AE$175)&amp;IF(Checks!$T$175="","",CHAR(10)&amp;"PIC: "&amp;Checks!$T$175)</f>
        <v/>
      </c>
      <c r="H33" s="115" t="str">
        <f aca="false">IF(Checks!$AH$175="","",Checks!$AH$175)</f>
        <v>OPEN</v>
      </c>
    </row>
    <row r="34" customFormat="false" ht="25.5" hidden="false" customHeight="true" outlineLevel="0" collapsed="false">
      <c r="A34" s="113" t="str">
        <f aca="false">"T-12H PREP — Preparation check at caterer (does NOT confirm loading)  |  Due "&amp;IF(ISNUMBER(Flights!$AI$10),TEXT(Flights!$AI$10,"DD-MMM-YY HH:MM"),"")&amp;" "&amp;Flights!$V$10&amp;" (meal uplift stn)"&amp;" (rows with another due show their own)  |  Complete "&amp;IF(ISNUMBER(Flights!$AL$10),TEXT(Flights!$AL$10,"0%"),Flights!$AL$10)&amp;"  |  21 lines"</f>
        <v>T-12H PREP — Preparation check at caterer (does NOT confirm loading)  |  Due 15-Oct-26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Checks!$A$176&amp;CHAR(10)&amp;IF(Checks!$I$176="","",Checks!$I$176&amp;": ")&amp;Checks!$J$176</f>
        <v>F06-T12-01
Meal: Meal quality vs menu checklist</v>
      </c>
      <c r="B35" s="114" t="str">
        <f aca="false">Checks!$K$176&amp;IF(Checks!$O$176="","",IF(Checks!$K$176="","",CHAR(10))&amp;"Note: "&amp;Checks!$O$176)</f>
        <v>Note: Preparation check at caterer - does NOT confirm loading.</v>
      </c>
      <c r="C35" s="114" t="str">
        <f aca="false">Checks!$N$176&amp;CHAR(10)&amp;IF(ISNUMBER(Checks!$R$176),TEXT(Checks!$R$176,"DD-MMM-YY HH:MM"),"")&amp;" "&amp;Checks!$P$176</f>
        <v>Required
15-Oct-26 11:20 KUL</v>
      </c>
      <c r="D35" s="114" t="str">
        <f aca="false">IF(Checks!$U$176="","",Checks!$U$176)&amp;IF(Checks!$AB$176="","",CHAR(10)&amp;"CA: "&amp;Checks!$AB$176)</f>
        <v/>
      </c>
      <c r="E35" s="114" t="str">
        <f aca="false">IF(Checks!$V$176="","",Checks!$V$176)&amp;IF(Checks!$AC$176="","",IF(Checks!$V$176="","",CHAR(10))&amp;"N/A just.: "&amp;Checks!$AC$176)&amp;IF(Checks!$W$176="","",CHAR(10)&amp;"Batch: "&amp;Checks!$W$176)&amp;IF(AND(Checks!$X$176="",Checks!$Y$176=""),"",CHAR(10)&amp;"Exp: "&amp;Checks!$X$176&amp;"  /  Act: "&amp;Checks!$Y$176)</f>
        <v/>
      </c>
      <c r="F35" s="114" t="str">
        <f aca="false">IF(Checks!$Z$176="","","Evidence: "&amp;Checks!$Z$176)&amp;IF(Checks!$AA$176="","",IF(Checks!$Z$176="","",CHAR(10))&amp;"CA: "&amp;Checks!$AA$176)</f>
        <v/>
      </c>
      <c r="G35" s="114" t="str">
        <f aca="false">IF(ISNUMBER(Checks!$AD$176),TEXT(Checks!$AD$176,"DD-MMM-YY HH:MM")&amp;" "&amp;Checks!$P$176,"")&amp;IF(Checks!$AE$176="","",CHAR(10)&amp;"Verifier: "&amp;Checks!$AE$176)&amp;IF(Checks!$T$176="","",CHAR(10)&amp;"PIC: "&amp;Checks!$T$176)</f>
        <v/>
      </c>
      <c r="H35" s="115" t="str">
        <f aca="false">IF(Checks!$AH$176="","",Checks!$AH$176)</f>
        <v>OPEN</v>
      </c>
    </row>
    <row r="36" customFormat="false" ht="114" hidden="false" customHeight="true" outlineLevel="0" collapsed="false">
      <c r="A36" s="114" t="str">
        <f aca="false">Checks!$A$177&amp;CHAR(10)&amp;IF(Checks!$I$177="","",Checks!$I$177&amp;": ")&amp;Checks!$J$177</f>
        <v>F06-T12-02
Meal: Meal quantities vs menu checklist</v>
      </c>
      <c r="B36" s="114" t="str">
        <f aca="false">Checks!$K$177&amp;IF(Checks!$O$177="","",IF(Checks!$K$177="","",CHAR(10))&amp;"Note: "&amp;Checks!$O$177)</f>
        <v>Enter expected &amp; actual
Note: Preparation check at caterer - does NOT confirm loading.</v>
      </c>
      <c r="C36" s="114" t="str">
        <f aca="false">Checks!$N$177&amp;CHAR(10)&amp;IF(ISNUMBER(Checks!$R$177),TEXT(Checks!$R$177,"DD-MMM-YY HH:MM"),"")&amp;" "&amp;Checks!$P$177</f>
        <v>Required
15-Oct-26 11:20 KUL</v>
      </c>
      <c r="D36" s="114" t="str">
        <f aca="false">IF(Checks!$U$177="","",Checks!$U$177)&amp;IF(Checks!$AB$177="","",CHAR(10)&amp;"CA: "&amp;Checks!$AB$177)</f>
        <v/>
      </c>
      <c r="E36" s="114" t="str">
        <f aca="false">IF(Checks!$V$177="","",Checks!$V$177)&amp;IF(Checks!$AC$177="","",IF(Checks!$V$177="","",CHAR(10))&amp;"N/A just.: "&amp;Checks!$AC$177)&amp;IF(Checks!$W$177="","",CHAR(10)&amp;"Batch: "&amp;Checks!$W$177)&amp;IF(AND(Checks!$X$177="",Checks!$Y$177=""),"",CHAR(10)&amp;"Exp: "&amp;Checks!$X$177&amp;"  /  Act: "&amp;Checks!$Y$177)</f>
        <v/>
      </c>
      <c r="F36" s="114" t="str">
        <f aca="false">IF(Checks!$Z$177="","","Evidence: "&amp;Checks!$Z$177)&amp;IF(Checks!$AA$177="","",IF(Checks!$Z$177="","",CHAR(10))&amp;"CA: "&amp;Checks!$AA$177)</f>
        <v/>
      </c>
      <c r="G36" s="114" t="str">
        <f aca="false">IF(ISNUMBER(Checks!$AD$177),TEXT(Checks!$AD$177,"DD-MMM-YY HH:MM")&amp;" "&amp;Checks!$P$177,"")&amp;IF(Checks!$AE$177="","",CHAR(10)&amp;"Verifier: "&amp;Checks!$AE$177)&amp;IF(Checks!$T$177="","",CHAR(10)&amp;"PIC: "&amp;Checks!$T$177)</f>
        <v/>
      </c>
      <c r="H36" s="115" t="str">
        <f aca="false">IF(Checks!$AH$177="","",Checks!$AH$177)</f>
        <v>OPEN</v>
      </c>
    </row>
    <row r="37" customFormat="false" ht="114" hidden="false" customHeight="true" outlineLevel="0" collapsed="false">
      <c r="A37" s="114" t="str">
        <f aca="false">Checks!$A$178&amp;CHAR(10)&amp;IF(Checks!$I$178="","",Checks!$I$178&amp;": ")&amp;Checks!$J$178</f>
        <v>F06-T12-03
Equipment: Equipment cleanliness vs GLD</v>
      </c>
      <c r="B37" s="114" t="str">
        <f aca="false">Checks!$K$178&amp;IF(Checks!$O$178="","",IF(Checks!$K$178="","",CHAR(10))&amp;"Note: "&amp;Checks!$O$178)</f>
        <v>Note: Preparation check at caterer - does NOT confirm loading.</v>
      </c>
      <c r="C37" s="114" t="str">
        <f aca="false">Checks!$N$178&amp;CHAR(10)&amp;IF(ISNUMBER(Checks!$R$178),TEXT(Checks!$R$178,"DD-MMM-YY HH:MM"),"")&amp;" "&amp;Checks!$P$178</f>
        <v>Required
15-Oct-26 11:20 KUL</v>
      </c>
      <c r="D37" s="114" t="str">
        <f aca="false">IF(Checks!$U$178="","",Checks!$U$178)&amp;IF(Checks!$AB$178="","",CHAR(10)&amp;"CA: "&amp;Checks!$AB$178)</f>
        <v/>
      </c>
      <c r="E37" s="114" t="str">
        <f aca="false">IF(Checks!$V$178="","",Checks!$V$178)&amp;IF(Checks!$AC$178="","",IF(Checks!$V$178="","",CHAR(10))&amp;"N/A just.: "&amp;Checks!$AC$178)&amp;IF(Checks!$W$178="","",CHAR(10)&amp;"Batch: "&amp;Checks!$W$178)&amp;IF(AND(Checks!$X$178="",Checks!$Y$178=""),"",CHAR(10)&amp;"Exp: "&amp;Checks!$X$178&amp;"  /  Act: "&amp;Checks!$Y$178)</f>
        <v/>
      </c>
      <c r="F37" s="114" t="str">
        <f aca="false">IF(Checks!$Z$178="","","Evidence: "&amp;Checks!$Z$178)&amp;IF(Checks!$AA$178="","",IF(Checks!$Z$178="","",CHAR(10))&amp;"CA: "&amp;Checks!$AA$178)</f>
        <v/>
      </c>
      <c r="G37" s="114" t="str">
        <f aca="false">IF(ISNUMBER(Checks!$AD$178),TEXT(Checks!$AD$178,"DD-MMM-YY HH:MM")&amp;" "&amp;Checks!$P$178,"")&amp;IF(Checks!$AE$178="","",CHAR(10)&amp;"Verifier: "&amp;Checks!$AE$178)&amp;IF(Checks!$T$178="","",CHAR(10)&amp;"PIC: "&amp;Checks!$T$178)</f>
        <v/>
      </c>
      <c r="H37" s="115" t="str">
        <f aca="false">IF(Checks!$AH$178="","",Checks!$AH$178)</f>
        <v>OPEN</v>
      </c>
    </row>
    <row r="38" customFormat="false" ht="114" hidden="false" customHeight="true" outlineLevel="0" collapsed="false">
      <c r="A38" s="114" t="str">
        <f aca="false">Checks!$A$179&amp;CHAR(10)&amp;IF(Checks!$I$179="","",Checks!$I$179&amp;": ")&amp;Checks!$J$179</f>
        <v>F06-T12-04
Equipment: Equipment presentation vs GLD</v>
      </c>
      <c r="B38" s="114" t="str">
        <f aca="false">Checks!$K$179&amp;IF(Checks!$O$179="","",IF(Checks!$K$179="","",CHAR(10))&amp;"Note: "&amp;Checks!$O$179)</f>
        <v>Note: Preparation check at caterer - does NOT confirm loading.</v>
      </c>
      <c r="C38" s="114" t="str">
        <f aca="false">Checks!$N$179&amp;CHAR(10)&amp;IF(ISNUMBER(Checks!$R$179),TEXT(Checks!$R$179,"DD-MMM-YY HH:MM"),"")&amp;" "&amp;Checks!$P$179</f>
        <v>Required
15-Oct-26 11:20 KUL</v>
      </c>
      <c r="D38" s="114" t="str">
        <f aca="false">IF(Checks!$U$179="","",Checks!$U$179)&amp;IF(Checks!$AB$179="","",CHAR(10)&amp;"CA: "&amp;Checks!$AB$179)</f>
        <v/>
      </c>
      <c r="E38" s="114" t="str">
        <f aca="false">IF(Checks!$V$179="","",Checks!$V$179)&amp;IF(Checks!$AC$179="","",IF(Checks!$V$179="","",CHAR(10))&amp;"N/A just.: "&amp;Checks!$AC$179)&amp;IF(Checks!$W$179="","",CHAR(10)&amp;"Batch: "&amp;Checks!$W$179)&amp;IF(AND(Checks!$X$179="",Checks!$Y$179=""),"",CHAR(10)&amp;"Exp: "&amp;Checks!$X$179&amp;"  /  Act: "&amp;Checks!$Y$179)</f>
        <v/>
      </c>
      <c r="F38" s="114" t="str">
        <f aca="false">IF(Checks!$Z$179="","","Evidence: "&amp;Checks!$Z$179)&amp;IF(Checks!$AA$179="","",IF(Checks!$Z$179="","",CHAR(10))&amp;"CA: "&amp;Checks!$AA$179)</f>
        <v/>
      </c>
      <c r="G38" s="114" t="str">
        <f aca="false">IF(ISNUMBER(Checks!$AD$179),TEXT(Checks!$AD$179,"DD-MMM-YY HH:MM")&amp;" "&amp;Checks!$P$179,"")&amp;IF(Checks!$AE$179="","",CHAR(10)&amp;"Verifier: "&amp;Checks!$AE$179)&amp;IF(Checks!$T$179="","",CHAR(10)&amp;"PIC: "&amp;Checks!$T$179)</f>
        <v/>
      </c>
      <c r="H38" s="115" t="str">
        <f aca="false">IF(Checks!$AH$179="","",Checks!$AH$179)</f>
        <v>OPEN</v>
      </c>
    </row>
    <row r="39" customFormat="false" ht="114" hidden="false" customHeight="true" outlineLevel="0" collapsed="false">
      <c r="A39" s="114" t="str">
        <f aca="false">Checks!$A$180&amp;CHAR(10)&amp;IF(Checks!$I$180="","",Checks!$I$180&amp;": ")&amp;Checks!$J$180</f>
        <v>F06-T12-05
Equipment: Equipment serviceability vs GLD</v>
      </c>
      <c r="B39" s="114" t="str">
        <f aca="false">Checks!$K$180&amp;IF(Checks!$O$180="","",IF(Checks!$K$180="","",CHAR(10))&amp;"Note: "&amp;Checks!$O$180)</f>
        <v>Note: Preparation check at caterer - does NOT confirm loading.</v>
      </c>
      <c r="C39" s="114" t="str">
        <f aca="false">Checks!$N$180&amp;CHAR(10)&amp;IF(ISNUMBER(Checks!$R$180),TEXT(Checks!$R$180,"DD-MMM-YY HH:MM"),"")&amp;" "&amp;Checks!$P$180</f>
        <v>Required
15-Oct-26 11:20 KUL</v>
      </c>
      <c r="D39" s="114" t="str">
        <f aca="false">IF(Checks!$U$180="","",Checks!$U$180)&amp;IF(Checks!$AB$180="","",CHAR(10)&amp;"CA: "&amp;Checks!$AB$180)</f>
        <v/>
      </c>
      <c r="E39" s="114" t="str">
        <f aca="false">IF(Checks!$V$180="","",Checks!$V$180)&amp;IF(Checks!$AC$180="","",IF(Checks!$V$180="","",CHAR(10))&amp;"N/A just.: "&amp;Checks!$AC$180)&amp;IF(Checks!$W$180="","",CHAR(10)&amp;"Batch: "&amp;Checks!$W$180)&amp;IF(AND(Checks!$X$180="",Checks!$Y$180=""),"",CHAR(10)&amp;"Exp: "&amp;Checks!$X$180&amp;"  /  Act: "&amp;Checks!$Y$180)</f>
        <v/>
      </c>
      <c r="F39" s="114" t="str">
        <f aca="false">IF(Checks!$Z$180="","","Evidence: "&amp;Checks!$Z$180)&amp;IF(Checks!$AA$180="","",IF(Checks!$Z$180="","",CHAR(10))&amp;"CA: "&amp;Checks!$AA$180)</f>
        <v/>
      </c>
      <c r="G39" s="114" t="str">
        <f aca="false">IF(ISNUMBER(Checks!$AD$180),TEXT(Checks!$AD$180,"DD-MMM-YY HH:MM")&amp;" "&amp;Checks!$P$180,"")&amp;IF(Checks!$AE$180="","",CHAR(10)&amp;"Verifier: "&amp;Checks!$AE$180)&amp;IF(Checks!$T$180="","",CHAR(10)&amp;"PIC: "&amp;Checks!$T$180)</f>
        <v/>
      </c>
      <c r="H39" s="115" t="str">
        <f aca="false">IF(Checks!$AH$180="","",Checks!$AH$180)</f>
        <v>OPEN</v>
      </c>
    </row>
    <row r="40" customFormat="false" ht="322.5" hidden="false" customHeight="true" outlineLevel="0" collapsed="false">
      <c r="A40" s="114" t="str">
        <f aca="false">Checks!$A$181&amp;CHAR(10)&amp;IF(Checks!$I$181="","",Checks!$I$181&amp;": ")&amp;Checks!$J$181</f>
        <v>F06-T12-06
Equipment: Equipment quantities vs GLD</v>
      </c>
      <c r="B40" s="114" t="str">
        <f aca="false">SUBSTITUTE(Checks!$K$181&amp;IF(Checks!$O$181="","",IF(Checks!$K$181="","",CHAR(10))&amp;"Note: "&amp;Checks!$O$181),"AIRCRAFT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Checks!$N$181&amp;CHAR(10)&amp;IF(ISNUMBER(Checks!$R$181),TEXT(Checks!$R$181,"DD-MMM-YY HH:MM"),"")&amp;" "&amp;Checks!$P$181</f>
        <v>Required
15-Oct-26 11:20 KUL</v>
      </c>
      <c r="D40" s="114" t="str">
        <f aca="false">IF(Checks!$U$181="","",Checks!$U$181)&amp;IF(Checks!$AB$181="","",CHAR(10)&amp;"CA: "&amp;Checks!$AB$181)</f>
        <v/>
      </c>
      <c r="E40" s="114" t="str">
        <f aca="false">IF(Checks!$V$181="","",Checks!$V$181)&amp;IF(Checks!$AC$181="","",IF(Checks!$V$181="","",CHAR(10))&amp;"N/A just.: "&amp;Checks!$AC$181)&amp;IF(Checks!$W$181="","",CHAR(10)&amp;"Batch: "&amp;Checks!$W$181)&amp;IF(AND(Checks!$X$181="",Checks!$Y$181=""),"",CHAR(10)&amp;"Exp: "&amp;Checks!$X$181&amp;"  /  Act: "&amp;Checks!$Y$181)</f>
        <v/>
      </c>
      <c r="F40" s="114" t="str">
        <f aca="false">IF(Checks!$Z$181="","","Evidence: "&amp;Checks!$Z$181)&amp;IF(Checks!$AA$181="","",IF(Checks!$Z$181="","",CHAR(10))&amp;"CA: "&amp;Checks!$AA$181)</f>
        <v/>
      </c>
      <c r="G40" s="114" t="str">
        <f aca="false">IF(ISNUMBER(Checks!$AD$181),TEXT(Checks!$AD$181,"DD-MMM-YY HH:MM")&amp;" "&amp;Checks!$P$181,"")&amp;IF(Checks!$AE$181="","",CHAR(10)&amp;"Verifier: "&amp;Checks!$AE$181)&amp;IF(Checks!$T$181="","",CHAR(10)&amp;"PIC: "&amp;Checks!$T$181)</f>
        <v/>
      </c>
      <c r="H40" s="115" t="str">
        <f aca="false">IF(Checks!$AH$181="","",Checks!$AH$181)</f>
        <v>OPEN</v>
      </c>
    </row>
    <row r="41" customFormat="false" ht="114" hidden="false" customHeight="true" outlineLevel="0" collapsed="false">
      <c r="A41" s="114" t="str">
        <f aca="false">Checks!$A$182&amp;CHAR(10)&amp;IF(Checks!$I$182="","",Checks!$I$182&amp;": ")&amp;Checks!$J$182</f>
        <v>F06-T12-07
Equipment: Loading positions planned vs GLD</v>
      </c>
      <c r="B41" s="114" t="str">
        <f aca="false">Checks!$K$182&amp;IF(Checks!$O$182="","",IF(Checks!$K$182="","",CHAR(10))&amp;"Note: "&amp;Checks!$O$182)</f>
        <v>Note: Preparation check at caterer - does NOT confirm loading.</v>
      </c>
      <c r="C41" s="114" t="str">
        <f aca="false">Checks!$N$182&amp;CHAR(10)&amp;IF(ISNUMBER(Checks!$R$182),TEXT(Checks!$R$182,"DD-MMM-YY HH:MM"),"")&amp;" "&amp;Checks!$P$182</f>
        <v>Required
15-Oct-26 11:20 KUL</v>
      </c>
      <c r="D41" s="114" t="str">
        <f aca="false">IF(Checks!$U$182="","",Checks!$U$182)&amp;IF(Checks!$AB$182="","",CHAR(10)&amp;"CA: "&amp;Checks!$AB$182)</f>
        <v/>
      </c>
      <c r="E41" s="114" t="str">
        <f aca="false">IF(Checks!$V$182="","",Checks!$V$182)&amp;IF(Checks!$AC$182="","",IF(Checks!$V$182="","",CHAR(10))&amp;"N/A just.: "&amp;Checks!$AC$182)&amp;IF(Checks!$W$182="","",CHAR(10)&amp;"Batch: "&amp;Checks!$W$182)&amp;IF(AND(Checks!$X$182="",Checks!$Y$182=""),"",CHAR(10)&amp;"Exp: "&amp;Checks!$X$182&amp;"  /  Act: "&amp;Checks!$Y$182)</f>
        <v/>
      </c>
      <c r="F41" s="114" t="str">
        <f aca="false">IF(Checks!$Z$182="","","Evidence: "&amp;Checks!$Z$182)&amp;IF(Checks!$AA$182="","",IF(Checks!$Z$182="","",CHAR(10))&amp;"CA: "&amp;Checks!$AA$182)</f>
        <v/>
      </c>
      <c r="G41" s="114" t="str">
        <f aca="false">IF(ISNUMBER(Checks!$AD$182),TEXT(Checks!$AD$182,"DD-MMM-YY HH:MM")&amp;" "&amp;Checks!$P$182,"")&amp;IF(Checks!$AE$182="","",CHAR(10)&amp;"Verifier: "&amp;Checks!$AE$182)&amp;IF(Checks!$T$182="","",CHAR(10)&amp;"PIC: "&amp;Checks!$T$182)</f>
        <v/>
      </c>
      <c r="H41" s="115" t="str">
        <f aca="false">IF(Checks!$AH$182="","",Checks!$AH$182)</f>
        <v>OPEN</v>
      </c>
    </row>
    <row r="42" customFormat="false" ht="213" hidden="false" customHeight="true" outlineLevel="0" collapsed="false">
      <c r="A42" s="114" t="str">
        <f aca="false">Checks!$A$183&amp;CHAR(10)&amp;IF(Checks!$I$183="","",Checks!$I$183&amp;": ")&amp;Checks!$J$183</f>
        <v>F06-T12-08
Amenities: Toiletry kits - prepared</v>
      </c>
      <c r="B42" s="114" t="str">
        <f aca="false">SUBSTITUTE(Checks!$K$183&amp;IF(Checks!$O$183="","",IF(Checks!$K$183="","",CHAR(10))&amp;"Note: "&amp;Checks!$O$183),"AMENITIES!","Ref: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Checks!$N$183&amp;CHAR(10)&amp;IF(ISNUMBER(Checks!$R$183),TEXT(Checks!$R$183,"DD-MMM-YY HH:MM"),"")&amp;" "&amp;Checks!$P$183</f>
        <v>Clarification required
15-Oct-26 11:20 KUL</v>
      </c>
      <c r="D42" s="114" t="str">
        <f aca="false">IF(Checks!$U$183="","",Checks!$U$183)&amp;IF(Checks!$AB$183="","",CHAR(10)&amp;"CA: "&amp;Checks!$AB$183)</f>
        <v/>
      </c>
      <c r="E42" s="114" t="str">
        <f aca="false">IF(Checks!$V$183="","",Checks!$V$183)&amp;IF(Checks!$AC$183="","",IF(Checks!$V$183="","",CHAR(10))&amp;"N/A just.: "&amp;Checks!$AC$183)&amp;IF(Checks!$W$183="","",CHAR(10)&amp;"Batch: "&amp;Checks!$W$183)&amp;IF(AND(Checks!$X$183="",Checks!$Y$183=""),"",CHAR(10)&amp;"Exp: "&amp;Checks!$X$183&amp;"  /  Act: "&amp;Checks!$Y$183)</f>
        <v/>
      </c>
      <c r="F42" s="114" t="str">
        <f aca="false">IF(Checks!$Z$183="","","Evidence: "&amp;Checks!$Z$183)&amp;IF(Checks!$AA$183="","",IF(Checks!$Z$183="","",CHAR(10))&amp;"CA: "&amp;Checks!$AA$183)</f>
        <v/>
      </c>
      <c r="G42" s="114" t="str">
        <f aca="false">IF(ISNUMBER(Checks!$AD$183),TEXT(Checks!$AD$183,"DD-MMM-YY HH:MM")&amp;" "&amp;Checks!$P$183,"")&amp;IF(Checks!$AE$183="","",CHAR(10)&amp;"Verifier: "&amp;Checks!$AE$183)&amp;IF(Checks!$T$183="","",CHAR(10)&amp;"PIC: "&amp;Checks!$T$183)</f>
        <v/>
      </c>
      <c r="H42" s="115" t="str">
        <f aca="false">IF(Checks!$AH$183="","",Checks!$AH$183)</f>
        <v>OPEN – CLARIFICATION</v>
      </c>
    </row>
    <row r="43" customFormat="false" ht="114" hidden="false" customHeight="true" outlineLevel="0" collapsed="false">
      <c r="A43" s="114" t="str">
        <f aca="false">Checks!$A$184&amp;CHAR(10)&amp;IF(Checks!$I$184="","",Checks!$I$184&amp;": ")&amp;Checks!$J$184</f>
        <v>F06-T12-09
Amenities: Pajamas (BC) - prepared</v>
      </c>
      <c r="B43" s="114" t="str">
        <f aca="false">Checks!$K$184&amp;IF(Checks!$O$184="","",IF(Checks!$K$184="","",CHAR(10))&amp;"Note: "&amp;Checks!$O$184)</f>
        <v>Available - BC red-eye only
Note: Red-eye departure 2320 local.</v>
      </c>
      <c r="C43" s="114" t="str">
        <f aca="false">Checks!$N$184&amp;CHAR(10)&amp;IF(ISNUMBER(Checks!$R$184),TEXT(Checks!$R$184,"DD-MMM-YY HH:MM"),"")&amp;" "&amp;Checks!$P$184</f>
        <v>Required
15-Oct-26 11:20 KUL</v>
      </c>
      <c r="D43" s="114" t="str">
        <f aca="false">IF(Checks!$U$184="","",Checks!$U$184)&amp;IF(Checks!$AB$184="","",CHAR(10)&amp;"CA: "&amp;Checks!$AB$184)</f>
        <v/>
      </c>
      <c r="E43" s="114" t="str">
        <f aca="false">IF(Checks!$V$184="","",Checks!$V$184)&amp;IF(Checks!$AC$184="","",IF(Checks!$V$184="","",CHAR(10))&amp;"N/A just.: "&amp;Checks!$AC$184)&amp;IF(Checks!$W$184="","",CHAR(10)&amp;"Batch: "&amp;Checks!$W$184)&amp;IF(AND(Checks!$X$184="",Checks!$Y$184=""),"",CHAR(10)&amp;"Exp: "&amp;Checks!$X$184&amp;"  /  Act: "&amp;Checks!$Y$184)</f>
        <v/>
      </c>
      <c r="F43" s="114" t="str">
        <f aca="false">IF(Checks!$Z$184="","","Evidence: "&amp;Checks!$Z$184)&amp;IF(Checks!$AA$184="","",IF(Checks!$Z$184="","",CHAR(10))&amp;"CA: "&amp;Checks!$AA$184)</f>
        <v/>
      </c>
      <c r="G43" s="114" t="str">
        <f aca="false">IF(ISNUMBER(Checks!$AD$184),TEXT(Checks!$AD$184,"DD-MMM-YY HH:MM")&amp;" "&amp;Checks!$P$184,"")&amp;IF(Checks!$AE$184="","",CHAR(10)&amp;"Verifier: "&amp;Checks!$AE$184)&amp;IF(Checks!$T$184="","",CHAR(10)&amp;"PIC: "&amp;Checks!$T$184)</f>
        <v/>
      </c>
      <c r="H43" s="115" t="str">
        <f aca="false">IF(Checks!$AH$184="","",Checks!$AH$184)</f>
        <v>OPEN</v>
      </c>
    </row>
    <row r="44" customFormat="false" ht="114" hidden="false" customHeight="true" outlineLevel="0" collapsed="false">
      <c r="A44" s="114" t="str">
        <f aca="false">Checks!$A$185&amp;CHAR(10)&amp;IF(Checks!$I$185="","",Checks!$I$185&amp;": ")&amp;Checks!$J$185</f>
        <v>F06-T12-10
Amenities: Slippers (BS/BC) - prepared</v>
      </c>
      <c r="B44" s="114" t="str">
        <f aca="false">Checks!$K$185&amp;IF(Checks!$O$185="","",IF(Checks!$K$185="","",CHAR(10))&amp;"Note: "&amp;Checks!$O$185)</f>
        <v>Available (ticked in reference)</v>
      </c>
      <c r="C44" s="114" t="str">
        <f aca="false">Checks!$N$185&amp;CHAR(10)&amp;IF(ISNUMBER(Checks!$R$185),TEXT(Checks!$R$185,"DD-MMM-YY HH:MM"),"")&amp;" "&amp;Checks!$P$185</f>
        <v>Required
15-Oct-26 11:20 KUL</v>
      </c>
      <c r="D44" s="114" t="str">
        <f aca="false">IF(Checks!$U$185="","",Checks!$U$185)&amp;IF(Checks!$AB$185="","",CHAR(10)&amp;"CA: "&amp;Checks!$AB$185)</f>
        <v/>
      </c>
      <c r="E44" s="114" t="str">
        <f aca="false">IF(Checks!$V$185="","",Checks!$V$185)&amp;IF(Checks!$AC$185="","",IF(Checks!$V$185="","",CHAR(10))&amp;"N/A just.: "&amp;Checks!$AC$185)&amp;IF(Checks!$W$185="","",CHAR(10)&amp;"Batch: "&amp;Checks!$W$185)&amp;IF(AND(Checks!$X$185="",Checks!$Y$185=""),"",CHAR(10)&amp;"Exp: "&amp;Checks!$X$185&amp;"  /  Act: "&amp;Checks!$Y$185)</f>
        <v/>
      </c>
      <c r="F44" s="114" t="str">
        <f aca="false">IF(Checks!$Z$185="","","Evidence: "&amp;Checks!$Z$185)&amp;IF(Checks!$AA$185="","",IF(Checks!$Z$185="","",CHAR(10))&amp;"CA: "&amp;Checks!$AA$185)</f>
        <v/>
      </c>
      <c r="G44" s="114" t="str">
        <f aca="false">IF(ISNUMBER(Checks!$AD$185),TEXT(Checks!$AD$185,"DD-MMM-YY HH:MM")&amp;" "&amp;Checks!$P$185,"")&amp;IF(Checks!$AE$185="","",CHAR(10)&amp;"Verifier: "&amp;Checks!$AE$185)&amp;IF(Checks!$T$185="","",CHAR(10)&amp;"PIC: "&amp;Checks!$T$185)</f>
        <v/>
      </c>
      <c r="H44" s="115" t="str">
        <f aca="false">IF(Checks!$AH$185="","",Checks!$AH$185)</f>
        <v>OPEN</v>
      </c>
    </row>
    <row r="45" customFormat="false" ht="114" hidden="false" customHeight="true" outlineLevel="0" collapsed="false">
      <c r="A45" s="114" t="str">
        <f aca="false">Checks!$A$186&amp;CHAR(10)&amp;IF(Checks!$I$186="","",Checks!$I$186&amp;": ")&amp;Checks!$J$186</f>
        <v>F06-T12-11
F&amp;B Linen: Towel - prepared</v>
      </c>
      <c r="B45" s="114" t="str">
        <f aca="false">Checks!$K$186&amp;IF(Checks!$O$186="","",IF(Checks!$K$186="","",CHAR(10))&amp;"Note: "&amp;Checks!$O$186)</f>
        <v>Available (ticked in reference)
Note: Reference gives no uplift stn for this item: preparation checked at the meal uplift stn (KUL) - confirm with caterer.</v>
      </c>
      <c r="C45" s="114" t="str">
        <f aca="false">Checks!$N$186&amp;CHAR(10)&amp;IF(ISNUMBER(Checks!$R$186),TEXT(Checks!$R$186,"DD-MMM-YY HH:MM"),"")&amp;" "&amp;Checks!$P$186</f>
        <v>Required
15-Oct-26 11:20 KUL</v>
      </c>
      <c r="D45" s="114" t="str">
        <f aca="false">IF(Checks!$U$186="","",Checks!$U$186)&amp;IF(Checks!$AB$186="","",CHAR(10)&amp;"CA: "&amp;Checks!$AB$186)</f>
        <v/>
      </c>
      <c r="E45" s="114" t="str">
        <f aca="false">IF(Checks!$V$186="","",Checks!$V$186)&amp;IF(Checks!$AC$186="","",IF(Checks!$V$186="","",CHAR(10))&amp;"N/A just.: "&amp;Checks!$AC$186)&amp;IF(Checks!$W$186="","",CHAR(10)&amp;"Batch: "&amp;Checks!$W$186)&amp;IF(AND(Checks!$X$186="",Checks!$Y$186=""),"",CHAR(10)&amp;"Exp: "&amp;Checks!$X$186&amp;"  /  Act: "&amp;Checks!$Y$186)</f>
        <v/>
      </c>
      <c r="F45" s="114" t="str">
        <f aca="false">IF(Checks!$Z$186="","","Evidence: "&amp;Checks!$Z$186)&amp;IF(Checks!$AA$186="","",IF(Checks!$Z$186="","",CHAR(10))&amp;"CA: "&amp;Checks!$AA$186)</f>
        <v/>
      </c>
      <c r="G45" s="114" t="str">
        <f aca="false">IF(ISNUMBER(Checks!$AD$186),TEXT(Checks!$AD$186,"DD-MMM-YY HH:MM")&amp;" "&amp;Checks!$P$186,"")&amp;IF(Checks!$AE$186="","",CHAR(10)&amp;"Verifier: "&amp;Checks!$AE$186)&amp;IF(Checks!$T$186="","",CHAR(10)&amp;"PIC: "&amp;Checks!$T$186)</f>
        <v/>
      </c>
      <c r="H45" s="115" t="str">
        <f aca="false">IF(Checks!$AH$186="","",Checks!$AH$186)</f>
        <v>OPEN</v>
      </c>
    </row>
    <row r="46" customFormat="false" ht="114" hidden="false" customHeight="true" outlineLevel="0" collapsed="false">
      <c r="A46" s="114" t="str">
        <f aca="false">Checks!$A$187&amp;CHAR(10)&amp;IF(Checks!$I$187="","",Checks!$I$187&amp;": ")&amp;Checks!$J$187</f>
        <v>F06-T12-12
F&amp;B Linen: Tray cloth - prepared</v>
      </c>
      <c r="B46" s="114" t="str">
        <f aca="false">Checks!$K$187&amp;IF(Checks!$O$187="","",IF(Checks!$K$187="","",CHAR(10))&amp;"Note: "&amp;Checks!$O$187)</f>
        <v>Available (ticked in reference)
Note: Reference gives no uplift stn for this item: preparation checked at the meal uplift stn (KUL) - confirm with caterer.</v>
      </c>
      <c r="C46" s="114" t="str">
        <f aca="false">Checks!$N$187&amp;CHAR(10)&amp;IF(ISNUMBER(Checks!$R$187),TEXT(Checks!$R$187,"DD-MMM-YY HH:MM"),"")&amp;" "&amp;Checks!$P$187</f>
        <v>Required
15-Oct-26 11:20 KUL</v>
      </c>
      <c r="D46" s="114" t="str">
        <f aca="false">IF(Checks!$U$187="","",Checks!$U$187)&amp;IF(Checks!$AB$187="","",CHAR(10)&amp;"CA: "&amp;Checks!$AB$187)</f>
        <v/>
      </c>
      <c r="E46" s="114" t="str">
        <f aca="false">IF(Checks!$V$187="","",Checks!$V$187)&amp;IF(Checks!$AC$187="","",IF(Checks!$V$187="","",CHAR(10))&amp;"N/A just.: "&amp;Checks!$AC$187)&amp;IF(Checks!$W$187="","",CHAR(10)&amp;"Batch: "&amp;Checks!$W$187)&amp;IF(AND(Checks!$X$187="",Checks!$Y$187=""),"",CHAR(10)&amp;"Exp: "&amp;Checks!$X$187&amp;"  /  Act: "&amp;Checks!$Y$187)</f>
        <v/>
      </c>
      <c r="F46" s="114" t="str">
        <f aca="false">IF(Checks!$Z$187="","","Evidence: "&amp;Checks!$Z$187)&amp;IF(Checks!$AA$187="","",IF(Checks!$Z$187="","",CHAR(10))&amp;"CA: "&amp;Checks!$AA$187)</f>
        <v/>
      </c>
      <c r="G46" s="114" t="str">
        <f aca="false">IF(ISNUMBER(Checks!$AD$187),TEXT(Checks!$AD$187,"DD-MMM-YY HH:MM")&amp;" "&amp;Checks!$P$187,"")&amp;IF(Checks!$AE$187="","",CHAR(10)&amp;"Verifier: "&amp;Checks!$AE$187)&amp;IF(Checks!$T$187="","",CHAR(10)&amp;"PIC: "&amp;Checks!$T$187)</f>
        <v/>
      </c>
      <c r="H46" s="115" t="str">
        <f aca="false">IF(Checks!$AH$187="","",Checks!$AH$187)</f>
        <v>OPEN</v>
      </c>
    </row>
    <row r="47" customFormat="false" ht="114" hidden="false" customHeight="true" outlineLevel="0" collapsed="false">
      <c r="A47" s="114" t="str">
        <f aca="false">Checks!$A$188&amp;CHAR(10)&amp;IF(Checks!$I$188="","",Checks!$I$188&amp;": ")&amp;Checks!$J$188</f>
        <v>F06-T12-13
F&amp;B Linen: Napkin - prepared</v>
      </c>
      <c r="B47" s="114" t="str">
        <f aca="false">Checks!$K$188&amp;IF(Checks!$O$188="","",IF(Checks!$K$188="","",CHAR(10))&amp;"Note: "&amp;Checks!$O$188)</f>
        <v>Available (ticked in reference)
Note: Reference gives no uplift stn for this item: preparation checked at the meal uplift stn (KUL) - confirm with caterer.</v>
      </c>
      <c r="C47" s="114" t="str">
        <f aca="false">Checks!$N$188&amp;CHAR(10)&amp;IF(ISNUMBER(Checks!$R$188),TEXT(Checks!$R$188,"DD-MMM-YY HH:MM"),"")&amp;" "&amp;Checks!$P$188</f>
        <v>Required
15-Oct-26 11:20 KUL</v>
      </c>
      <c r="D47" s="114" t="str">
        <f aca="false">IF(Checks!$U$188="","",Checks!$U$188)&amp;IF(Checks!$AB$188="","",CHAR(10)&amp;"CA: "&amp;Checks!$AB$188)</f>
        <v/>
      </c>
      <c r="E47" s="114" t="str">
        <f aca="false">IF(Checks!$V$188="","",Checks!$V$188)&amp;IF(Checks!$AC$188="","",IF(Checks!$V$188="","",CHAR(10))&amp;"N/A just.: "&amp;Checks!$AC$188)&amp;IF(Checks!$W$188="","",CHAR(10)&amp;"Batch: "&amp;Checks!$W$188)&amp;IF(AND(Checks!$X$188="",Checks!$Y$188=""),"",CHAR(10)&amp;"Exp: "&amp;Checks!$X$188&amp;"  /  Act: "&amp;Checks!$Y$188)</f>
        <v/>
      </c>
      <c r="F47" s="114" t="str">
        <f aca="false">IF(Checks!$Z$188="","","Evidence: "&amp;Checks!$Z$188)&amp;IF(Checks!$AA$188="","",IF(Checks!$Z$188="","",CHAR(10))&amp;"CA: "&amp;Checks!$AA$188)</f>
        <v/>
      </c>
      <c r="G47" s="114" t="str">
        <f aca="false">IF(ISNUMBER(Checks!$AD$188),TEXT(Checks!$AD$188,"DD-MMM-YY HH:MM")&amp;" "&amp;Checks!$P$188,"")&amp;IF(Checks!$AE$188="","",CHAR(10)&amp;"Verifier: "&amp;Checks!$AE$188)&amp;IF(Checks!$T$188="","",CHAR(10)&amp;"PIC: "&amp;Checks!$T$188)</f>
        <v/>
      </c>
      <c r="H47" s="115" t="str">
        <f aca="false">IF(Checks!$AH$188="","",Checks!$AH$188)</f>
        <v>OPEN</v>
      </c>
    </row>
    <row r="48" customFormat="false" ht="114" hidden="false" customHeight="true" outlineLevel="0" collapsed="false">
      <c r="A48" s="114" t="str">
        <f aca="false">Checks!$A$189&amp;CHAR(10)&amp;IF(Checks!$I$189="","",Checks!$I$189&amp;": ")&amp;Checks!$J$189</f>
        <v>F06-T12-14
F&amp;B Linen: Table cloth - prepared</v>
      </c>
      <c r="B48" s="114" t="str">
        <f aca="false">Checks!$K$189&amp;IF(Checks!$O$189="","",IF(Checks!$K$189="","",CHAR(10))&amp;"Note: "&amp;Checks!$O$189)</f>
        <v>Available (ticked in reference)
Note: Reference gives no uplift stn for this item: preparation checked at the meal uplift stn (KUL) - confirm with caterer.</v>
      </c>
      <c r="C48" s="114" t="str">
        <f aca="false">Checks!$N$189&amp;CHAR(10)&amp;IF(ISNUMBER(Checks!$R$189),TEXT(Checks!$R$189,"DD-MMM-YY HH:MM"),"")&amp;" "&amp;Checks!$P$189</f>
        <v>Required
15-Oct-26 11:20 KUL</v>
      </c>
      <c r="D48" s="114" t="str">
        <f aca="false">IF(Checks!$U$189="","",Checks!$U$189)&amp;IF(Checks!$AB$189="","",CHAR(10)&amp;"CA: "&amp;Checks!$AB$189)</f>
        <v/>
      </c>
      <c r="E48" s="114" t="str">
        <f aca="false">IF(Checks!$V$189="","",Checks!$V$189)&amp;IF(Checks!$AC$189="","",IF(Checks!$V$189="","",CHAR(10))&amp;"N/A just.: "&amp;Checks!$AC$189)&amp;IF(Checks!$W$189="","",CHAR(10)&amp;"Batch: "&amp;Checks!$W$189)&amp;IF(AND(Checks!$X$189="",Checks!$Y$189=""),"",CHAR(10)&amp;"Exp: "&amp;Checks!$X$189&amp;"  /  Act: "&amp;Checks!$Y$189)</f>
        <v/>
      </c>
      <c r="F48" s="114" t="str">
        <f aca="false">IF(Checks!$Z$189="","","Evidence: "&amp;Checks!$Z$189)&amp;IF(Checks!$AA$189="","",IF(Checks!$Z$189="","",CHAR(10))&amp;"CA: "&amp;Checks!$AA$189)</f>
        <v/>
      </c>
      <c r="G48" s="114" t="str">
        <f aca="false">IF(ISNUMBER(Checks!$AD$189),TEXT(Checks!$AD$189,"DD-MMM-YY HH:MM")&amp;" "&amp;Checks!$P$189,"")&amp;IF(Checks!$AE$189="","",CHAR(10)&amp;"Verifier: "&amp;Checks!$AE$189)&amp;IF(Checks!$T$189="","",CHAR(10)&amp;"PIC: "&amp;Checks!$T$189)</f>
        <v/>
      </c>
      <c r="H48" s="115" t="str">
        <f aca="false">IF(Checks!$AH$189="","",Checks!$AH$189)</f>
        <v>OPEN</v>
      </c>
    </row>
    <row r="49" customFormat="false" ht="114" hidden="false" customHeight="true" outlineLevel="0" collapsed="false">
      <c r="A49" s="114" t="str">
        <f aca="false">Checks!$A$190&amp;CHAR(10)&amp;IF(Checks!$I$190="","",Checks!$I$190&amp;": ")&amp;Checks!$J$190</f>
        <v>F06-T12-15
F&amp;B Linen: Bread linen (using table cloth) - prepared</v>
      </c>
      <c r="B49" s="114" t="str">
        <f aca="false">Checks!$K$190&amp;IF(Checks!$O$190="","",IF(Checks!$K$190="","",CHAR(10))&amp;"Note: "&amp;Checks!$O$190)</f>
        <v>Available (ticked in reference)
Note: Reference gives no uplift stn for this item: preparation checked at the meal uplift stn (KUL) - confirm with caterer.</v>
      </c>
      <c r="C49" s="114" t="str">
        <f aca="false">Checks!$N$190&amp;CHAR(10)&amp;IF(ISNUMBER(Checks!$R$190),TEXT(Checks!$R$190,"DD-MMM-YY HH:MM"),"")&amp;" "&amp;Checks!$P$190</f>
        <v>Required
15-Oct-26 11:20 KUL</v>
      </c>
      <c r="D49" s="114" t="str">
        <f aca="false">IF(Checks!$U$190="","",Checks!$U$190)&amp;IF(Checks!$AB$190="","",CHAR(10)&amp;"CA: "&amp;Checks!$AB$190)</f>
        <v/>
      </c>
      <c r="E49" s="114" t="str">
        <f aca="false">IF(Checks!$V$190="","",Checks!$V$190)&amp;IF(Checks!$AC$190="","",IF(Checks!$V$190="","",CHAR(10))&amp;"N/A just.: "&amp;Checks!$AC$190)&amp;IF(Checks!$W$190="","",CHAR(10)&amp;"Batch: "&amp;Checks!$W$190)&amp;IF(AND(Checks!$X$190="",Checks!$Y$190=""),"",CHAR(10)&amp;"Exp: "&amp;Checks!$X$190&amp;"  /  Act: "&amp;Checks!$Y$190)</f>
        <v/>
      </c>
      <c r="F49" s="114" t="str">
        <f aca="false">IF(Checks!$Z$190="","","Evidence: "&amp;Checks!$Z$190)&amp;IF(Checks!$AA$190="","",IF(Checks!$Z$190="","",CHAR(10))&amp;"CA: "&amp;Checks!$AA$190)</f>
        <v/>
      </c>
      <c r="G49" s="114" t="str">
        <f aca="false">IF(ISNUMBER(Checks!$AD$190),TEXT(Checks!$AD$190,"DD-MMM-YY HH:MM")&amp;" "&amp;Checks!$P$190,"")&amp;IF(Checks!$AE$190="","",CHAR(10)&amp;"Verifier: "&amp;Checks!$AE$190)&amp;IF(Checks!$T$190="","",CHAR(10)&amp;"PIC: "&amp;Checks!$T$190)</f>
        <v/>
      </c>
      <c r="H49" s="115" t="str">
        <f aca="false">IF(Checks!$AH$190="","",Checks!$AH$190)</f>
        <v>OPEN</v>
      </c>
    </row>
    <row r="50" customFormat="false" ht="124.5" hidden="false" customHeight="true" outlineLevel="0" collapsed="false">
      <c r="A50" s="114" t="str">
        <f aca="false">Checks!$A$191&amp;CHAR(10)&amp;IF(Checks!$I$191="","",Checks!$I$191&amp;": ")&amp;Checks!$J$191</f>
        <v>F06-T12-16
F&amp;B Linen: Trolley cloth - prepared</v>
      </c>
      <c r="B50" s="114" t="str">
        <f aca="false">SUBSTITUTE(Checks!$K$191&amp;IF(Checks!$O$191="","",IF(Checks!$K$191="","",CHAR(10))&amp;"Note: "&amp;Checks!$O$191),"F&amp;B LINEN!","Ref: F&amp;B LINEN!")</f>
        <v>Wide body: Top/Middle &amp; Bottom
Note: Per note Ref: F&amp;B LINEN!B79:C80. Reference gives no uplift stn for this item: preparation checked at the meal uplift stn (KUL) - confirm with caterer.</v>
      </c>
      <c r="C50" s="114" t="str">
        <f aca="false">Checks!$N$191&amp;CHAR(10)&amp;IF(ISNUMBER(Checks!$R$191),TEXT(Checks!$R$191,"DD-MMM-YY HH:MM"),"")&amp;" "&amp;Checks!$P$191</f>
        <v>Required
15-Oct-26 11:20 KUL</v>
      </c>
      <c r="D50" s="114" t="str">
        <f aca="false">IF(Checks!$U$191="","",Checks!$U$191)&amp;IF(Checks!$AB$191="","",CHAR(10)&amp;"CA: "&amp;Checks!$AB$191)</f>
        <v/>
      </c>
      <c r="E50" s="114" t="str">
        <f aca="false">IF(Checks!$V$191="","",Checks!$V$191)&amp;IF(Checks!$AC$191="","",IF(Checks!$V$191="","",CHAR(10))&amp;"N/A just.: "&amp;Checks!$AC$191)&amp;IF(Checks!$W$191="","",CHAR(10)&amp;"Batch: "&amp;Checks!$W$191)&amp;IF(AND(Checks!$X$191="",Checks!$Y$191=""),"",CHAR(10)&amp;"Exp: "&amp;Checks!$X$191&amp;"  /  Act: "&amp;Checks!$Y$191)</f>
        <v/>
      </c>
      <c r="F50" s="114" t="str">
        <f aca="false">IF(Checks!$Z$191="","","Evidence: "&amp;Checks!$Z$191)&amp;IF(Checks!$AA$191="","",IF(Checks!$Z$191="","",CHAR(10))&amp;"CA: "&amp;Checks!$AA$191)</f>
        <v/>
      </c>
      <c r="G50" s="114" t="str">
        <f aca="false">IF(ISNUMBER(Checks!$AD$191),TEXT(Checks!$AD$191,"DD-MMM-YY HH:MM")&amp;" "&amp;Checks!$P$191,"")&amp;IF(Checks!$AE$191="","",CHAR(10)&amp;"Verifier: "&amp;Checks!$AE$191)&amp;IF(Checks!$T$191="","",CHAR(10)&amp;"PIC: "&amp;Checks!$T$191)</f>
        <v/>
      </c>
      <c r="H50" s="115" t="str">
        <f aca="false">IF(Checks!$AH$191="","",Checks!$AH$191)</f>
        <v>OPEN</v>
      </c>
    </row>
    <row r="51" customFormat="false" ht="114" hidden="false" customHeight="true" outlineLevel="0" collapsed="false">
      <c r="A51" s="114" t="str">
        <f aca="false">Checks!$A$192&amp;CHAR(10)&amp;IF(Checks!$I$192="","",Checks!$I$192&amp;": ")&amp;Checks!$J$192</f>
        <v>F06-T12-17
F&amp;B Linen: Linen bag - prepared</v>
      </c>
      <c r="B51" s="114" t="str">
        <f aca="false">Checks!$K$192&amp;IF(Checks!$O$192="","",IF(Checks!$K$192="","",CHAR(10))&amp;"Note: "&amp;Checks!$O$192)</f>
        <v>Available (ticked in reference)
Note: Reference gives no uplift stn for this item: preparation checked at the meal uplift stn (KUL) - confirm with caterer.</v>
      </c>
      <c r="C51" s="114" t="str">
        <f aca="false">Checks!$N$192&amp;CHAR(10)&amp;IF(ISNUMBER(Checks!$R$192),TEXT(Checks!$R$192,"DD-MMM-YY HH:MM"),"")&amp;" "&amp;Checks!$P$192</f>
        <v>Required
15-Oct-26 11:20 KUL</v>
      </c>
      <c r="D51" s="114" t="str">
        <f aca="false">IF(Checks!$U$192="","",Checks!$U$192)&amp;IF(Checks!$AB$192="","",CHAR(10)&amp;"CA: "&amp;Checks!$AB$192)</f>
        <v/>
      </c>
      <c r="E51" s="114" t="str">
        <f aca="false">IF(Checks!$V$192="","",Checks!$V$192)&amp;IF(Checks!$AC$192="","",IF(Checks!$V$192="","",CHAR(10))&amp;"N/A just.: "&amp;Checks!$AC$192)&amp;IF(Checks!$W$192="","",CHAR(10)&amp;"Batch: "&amp;Checks!$W$192)&amp;IF(AND(Checks!$X$192="",Checks!$Y$192=""),"",CHAR(10)&amp;"Exp: "&amp;Checks!$X$192&amp;"  /  Act: "&amp;Checks!$Y$192)</f>
        <v/>
      </c>
      <c r="F51" s="114" t="str">
        <f aca="false">IF(Checks!$Z$192="","","Evidence: "&amp;Checks!$Z$192)&amp;IF(Checks!$AA$192="","",IF(Checks!$Z$192="","",CHAR(10))&amp;"CA: "&amp;Checks!$AA$192)</f>
        <v/>
      </c>
      <c r="G51" s="114" t="str">
        <f aca="false">IF(ISNUMBER(Checks!$AD$192),TEXT(Checks!$AD$192,"DD-MMM-YY HH:MM")&amp;" "&amp;Checks!$P$192,"")&amp;IF(Checks!$AE$192="","",CHAR(10)&amp;"Verifier: "&amp;Checks!$AE$192)&amp;IF(Checks!$T$192="","",CHAR(10)&amp;"PIC: "&amp;Checks!$T$192)</f>
        <v/>
      </c>
      <c r="H51" s="115" t="str">
        <f aca="false">IF(Checks!$AH$192="","",Checks!$AH$192)</f>
        <v>OPEN</v>
      </c>
    </row>
    <row r="52" customFormat="false" ht="114" hidden="false" customHeight="true" outlineLevel="0" collapsed="false">
      <c r="A52" s="114" t="str">
        <f aca="false">Checks!$A$193&amp;CHAR(10)&amp;IF(Checks!$I$193="","",Checks!$I$193&amp;": ")&amp;Checks!$J$193</f>
        <v>F06-T12-18
Seat Linen: Seat pillow (BS &amp; BC) - prepared</v>
      </c>
      <c r="B52" s="114" t="str">
        <f aca="false">Checks!$K$193&amp;IF(Checks!$O$193="","",IF(Checks!$K$193="","",CHAR(10))&amp;"Note: "&amp;Checks!$O$193)</f>
        <v>Available 100% (ticked in reference)
Note: Reference gives no uplift stn for this item: preparation checked at the meal uplift stn (KUL) - confirm with caterer.</v>
      </c>
      <c r="C52" s="114" t="str">
        <f aca="false">Checks!$N$193&amp;CHAR(10)&amp;IF(ISNUMBER(Checks!$R$193),TEXT(Checks!$R$193,"DD-MMM-YY HH:MM"),"")&amp;" "&amp;Checks!$P$193</f>
        <v>Required
15-Oct-26 11:20 KUL</v>
      </c>
      <c r="D52" s="114" t="str">
        <f aca="false">IF(Checks!$U$193="","",Checks!$U$193)&amp;IF(Checks!$AB$193="","",CHAR(10)&amp;"CA: "&amp;Checks!$AB$193)</f>
        <v/>
      </c>
      <c r="E52" s="114" t="str">
        <f aca="false">IF(Checks!$V$193="","",Checks!$V$193)&amp;IF(Checks!$AC$193="","",IF(Checks!$V$193="","",CHAR(10))&amp;"N/A just.: "&amp;Checks!$AC$193)&amp;IF(Checks!$W$193="","",CHAR(10)&amp;"Batch: "&amp;Checks!$W$193)&amp;IF(AND(Checks!$X$193="",Checks!$Y$193=""),"",CHAR(10)&amp;"Exp: "&amp;Checks!$X$193&amp;"  /  Act: "&amp;Checks!$Y$193)</f>
        <v/>
      </c>
      <c r="F52" s="114" t="str">
        <f aca="false">IF(Checks!$Z$193="","","Evidence: "&amp;Checks!$Z$193)&amp;IF(Checks!$AA$193="","",IF(Checks!$Z$193="","",CHAR(10))&amp;"CA: "&amp;Checks!$AA$193)</f>
        <v/>
      </c>
      <c r="G52" s="114" t="str">
        <f aca="false">IF(ISNUMBER(Checks!$AD$193),TEXT(Checks!$AD$193,"DD-MMM-YY HH:MM")&amp;" "&amp;Checks!$P$193,"")&amp;IF(Checks!$AE$193="","",CHAR(10)&amp;"Verifier: "&amp;Checks!$AE$193)&amp;IF(Checks!$T$193="","",CHAR(10)&amp;"PIC: "&amp;Checks!$T$193)</f>
        <v/>
      </c>
      <c r="H52" s="115" t="str">
        <f aca="false">IF(Checks!$AH$193="","",Checks!$AH$193)</f>
        <v>OPEN</v>
      </c>
    </row>
    <row r="53" customFormat="false" ht="114" hidden="false" customHeight="true" outlineLevel="0" collapsed="false">
      <c r="A53" s="114" t="str">
        <f aca="false">Checks!$A$194&amp;CHAR(10)&amp;IF(Checks!$I$194="","",Checks!$I$194&amp;": ")&amp;Checks!$J$194</f>
        <v>F06-T12-19
Seat Linen: Duvet (BS &amp; BC) - prepared</v>
      </c>
      <c r="B53" s="114" t="str">
        <f aca="false">Checks!$K$194&amp;IF(Checks!$O$194="","",IF(Checks!$K$194="","",CHAR(10))&amp;"Note: "&amp;Checks!$O$194)</f>
        <v>Available 100% (ticked in reference)
Note: Reference gives no uplift stn for this item: preparation checked at the meal uplift stn (KUL) - confirm with caterer.</v>
      </c>
      <c r="C53" s="114" t="str">
        <f aca="false">Checks!$N$194&amp;CHAR(10)&amp;IF(ISNUMBER(Checks!$R$194),TEXT(Checks!$R$194,"DD-MMM-YY HH:MM"),"")&amp;" "&amp;Checks!$P$194</f>
        <v>Required
15-Oct-26 11:20 KUL</v>
      </c>
      <c r="D53" s="114" t="str">
        <f aca="false">IF(Checks!$U$194="","",Checks!$U$194)&amp;IF(Checks!$AB$194="","",CHAR(10)&amp;"CA: "&amp;Checks!$AB$194)</f>
        <v/>
      </c>
      <c r="E53" s="114" t="str">
        <f aca="false">IF(Checks!$V$194="","",Checks!$V$194)&amp;IF(Checks!$AC$194="","",IF(Checks!$V$194="","",CHAR(10))&amp;"N/A just.: "&amp;Checks!$AC$194)&amp;IF(Checks!$W$194="","",CHAR(10)&amp;"Batch: "&amp;Checks!$W$194)&amp;IF(AND(Checks!$X$194="",Checks!$Y$194=""),"",CHAR(10)&amp;"Exp: "&amp;Checks!$X$194&amp;"  /  Act: "&amp;Checks!$Y$194)</f>
        <v/>
      </c>
      <c r="F53" s="114" t="str">
        <f aca="false">IF(Checks!$Z$194="","","Evidence: "&amp;Checks!$Z$194)&amp;IF(Checks!$AA$194="","",IF(Checks!$Z$194="","",CHAR(10))&amp;"CA: "&amp;Checks!$AA$194)</f>
        <v/>
      </c>
      <c r="G53" s="114" t="str">
        <f aca="false">IF(ISNUMBER(Checks!$AD$194),TEXT(Checks!$AD$194,"DD-MMM-YY HH:MM")&amp;" "&amp;Checks!$P$194,"")&amp;IF(Checks!$AE$194="","",CHAR(10)&amp;"Verifier: "&amp;Checks!$AE$194)&amp;IF(Checks!$T$194="","",CHAR(10)&amp;"PIC: "&amp;Checks!$T$194)</f>
        <v/>
      </c>
      <c r="H53" s="115" t="str">
        <f aca="false">IF(Checks!$AH$194="","",Checks!$AH$194)</f>
        <v>OPEN</v>
      </c>
    </row>
    <row r="54" customFormat="false" ht="114" hidden="false" customHeight="true" outlineLevel="0" collapsed="false">
      <c r="A54" s="114" t="str">
        <f aca="false">Checks!$A$195&amp;CHAR(10)&amp;IF(Checks!$I$195="","",Checks!$I$195&amp;": ")&amp;Checks!$J$195</f>
        <v>F06-T12-20
Seat Linen: Mattress (BS &amp; BC) - prepared</v>
      </c>
      <c r="B54" s="114" t="str">
        <f aca="false">Checks!$K$195&amp;IF(Checks!$O$195="","",IF(Checks!$K$195="","",CHAR(10))&amp;"Note: "&amp;Checks!$O$195)</f>
        <v>Available 100% (ticked in reference)
Note: Reference gives no uplift stn for this item: preparation checked at the meal uplift stn (KUL) - confirm with caterer.</v>
      </c>
      <c r="C54" s="114" t="str">
        <f aca="false">Checks!$N$195&amp;CHAR(10)&amp;IF(ISNUMBER(Checks!$R$195),TEXT(Checks!$R$195,"DD-MMM-YY HH:MM"),"")&amp;" "&amp;Checks!$P$195</f>
        <v>Required
15-Oct-26 11:20 KUL</v>
      </c>
      <c r="D54" s="114" t="str">
        <f aca="false">IF(Checks!$U$195="","",Checks!$U$195)&amp;IF(Checks!$AB$195="","",CHAR(10)&amp;"CA: "&amp;Checks!$AB$195)</f>
        <v/>
      </c>
      <c r="E54" s="114" t="str">
        <f aca="false">IF(Checks!$V$195="","",Checks!$V$195)&amp;IF(Checks!$AC$195="","",IF(Checks!$V$195="","",CHAR(10))&amp;"N/A just.: "&amp;Checks!$AC$195)&amp;IF(Checks!$W$195="","",CHAR(10)&amp;"Batch: "&amp;Checks!$W$195)&amp;IF(AND(Checks!$X$195="",Checks!$Y$195=""),"",CHAR(10)&amp;"Exp: "&amp;Checks!$X$195&amp;"  /  Act: "&amp;Checks!$Y$195)</f>
        <v/>
      </c>
      <c r="F54" s="114" t="str">
        <f aca="false">IF(Checks!$Z$195="","","Evidence: "&amp;Checks!$Z$195)&amp;IF(Checks!$AA$195="","",IF(Checks!$Z$195="","",CHAR(10))&amp;"CA: "&amp;Checks!$AA$195)</f>
        <v/>
      </c>
      <c r="G54" s="114" t="str">
        <f aca="false">IF(ISNUMBER(Checks!$AD$195),TEXT(Checks!$AD$195,"DD-MMM-YY HH:MM")&amp;" "&amp;Checks!$P$195,"")&amp;IF(Checks!$AE$195="","",CHAR(10)&amp;"Verifier: "&amp;Checks!$AE$195)&amp;IF(Checks!$T$195="","",CHAR(10)&amp;"PIC: "&amp;Checks!$T$195)</f>
        <v/>
      </c>
      <c r="H54" s="115" t="str">
        <f aca="false">IF(Checks!$AH$195="","",Checks!$AH$195)</f>
        <v>OPEN</v>
      </c>
    </row>
    <row r="55" customFormat="false" ht="114" hidden="false" customHeight="true" outlineLevel="0" collapsed="false">
      <c r="A55" s="114" t="str">
        <f aca="false">Checks!$A$196&amp;CHAR(10)&amp;IF(Checks!$I$196="","",Checks!$I$196&amp;": ")&amp;Checks!$J$196</f>
        <v>F06-T12-21
Signature Drinks: Signature drink &amp; garnish (BC) - prepared</v>
      </c>
      <c r="B55" s="114" t="str">
        <f aca="false">Checks!$K$196&amp;IF(Checks!$O$196="","",IF(Checks!$K$196="","",CHAR(10))&amp;"Note: "&amp;Checks!$O$196)</f>
        <v>Available (ticked in reference)
Note: Signature drinks &amp; garnish uplifted from KUL (note D79).</v>
      </c>
      <c r="C55" s="114" t="str">
        <f aca="false">Checks!$N$196&amp;CHAR(10)&amp;IF(ISNUMBER(Checks!$R$196),TEXT(Checks!$R$196,"DD-MMM-YY HH:MM"),"")&amp;" "&amp;Checks!$P$196</f>
        <v>Required
15-Oct-26 11:20 KUL</v>
      </c>
      <c r="D55" s="114" t="str">
        <f aca="false">IF(Checks!$U$196="","",Checks!$U$196)&amp;IF(Checks!$AB$196="","",CHAR(10)&amp;"CA: "&amp;Checks!$AB$196)</f>
        <v/>
      </c>
      <c r="E55" s="114" t="str">
        <f aca="false">IF(Checks!$V$196="","",Checks!$V$196)&amp;IF(Checks!$AC$196="","",IF(Checks!$V$196="","",CHAR(10))&amp;"N/A just.: "&amp;Checks!$AC$196)&amp;IF(Checks!$W$196="","",CHAR(10)&amp;"Batch: "&amp;Checks!$W$196)&amp;IF(AND(Checks!$X$196="",Checks!$Y$196=""),"",CHAR(10)&amp;"Exp: "&amp;Checks!$X$196&amp;"  /  Act: "&amp;Checks!$Y$196)</f>
        <v/>
      </c>
      <c r="F55" s="114" t="str">
        <f aca="false">IF(Checks!$Z$196="","","Evidence: "&amp;Checks!$Z$196)&amp;IF(Checks!$AA$196="","",IF(Checks!$Z$196="","",CHAR(10))&amp;"CA: "&amp;Checks!$AA$196)</f>
        <v/>
      </c>
      <c r="G55" s="114" t="str">
        <f aca="false">IF(ISNUMBER(Checks!$AD$196),TEXT(Checks!$AD$196,"DD-MMM-YY HH:MM")&amp;" "&amp;Checks!$P$196,"")&amp;IF(Checks!$AE$196="","",CHAR(10)&amp;"Verifier: "&amp;Checks!$AE$196)&amp;IF(Checks!$T$196="","",CHAR(10)&amp;"PIC: "&amp;Checks!$T$196)</f>
        <v/>
      </c>
      <c r="H55" s="115" t="str">
        <f aca="false">IF(Checks!$AH$196="","",Checks!$AH$196)</f>
        <v>OPEN</v>
      </c>
    </row>
    <row r="56" customFormat="false" ht="25.5" hidden="false" customHeight="true" outlineLevel="0" collapsed="false">
      <c r="A56" s="113" t="str">
        <f aca="false">"UPLIFT — Physical uplift – on-board confirmation before departure  |  Due "&amp;"STD "&amp;IF(ISNUMBER(Flights!$I$10),TEXT(Flights!$I$10,"DD-MMM-YY HH:MM"),"")&amp;" "&amp;Flights!$G$10&amp;" (departure stn)"&amp;" (rows with another due show their own)  |  Complete "&amp;IF(ISNUMBER(Flights!$AM$10),TEXT(Flights!$AM$10,"0%"),Flights!$AM$10)&amp;"  |  16 lines"</f>
        <v>UPLIFT — Physical uplift – on-board confirmation before departure  |  Due STD 15-Oct-26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Checks!$A$197&amp;CHAR(10)&amp;IF(Checks!$I$197="","",Checks!$I$197&amp;": ")&amp;Checks!$J$197</f>
        <v>F06-UPL-01
Meal: Meals physically uplifted on board - quantity vs menu checklist</v>
      </c>
      <c r="B57" s="114" t="str">
        <f aca="false">Checks!$K$197&amp;IF(Checks!$O$197="","",IF(Checks!$K$197="","",CHAR(10))&amp;"Note: "&amp;Checks!$O$197)</f>
        <v>Enter expected &amp; actual
Note: Confirm on board before departure; completion time must fall inside the uplift window.</v>
      </c>
      <c r="C57" s="114" t="str">
        <f aca="false">Checks!$N$197&amp;CHAR(10)&amp;IF(ISNUMBER(Checks!$R$197),TEXT(Checks!$R$197,"DD-MMM-YY HH:MM"),"")&amp;" "&amp;Checks!$P$197</f>
        <v>Required
15-Oct-26 23:20 KUL</v>
      </c>
      <c r="D57" s="114" t="str">
        <f aca="false">IF(Checks!$U$197="","",Checks!$U$197)&amp;IF(Checks!$AB$197="","",CHAR(10)&amp;"CA: "&amp;Checks!$AB$197)</f>
        <v/>
      </c>
      <c r="E57" s="114" t="str">
        <f aca="false">IF(Checks!$V$197="","",Checks!$V$197)&amp;IF(Checks!$AC$197="","",IF(Checks!$V$197="","",CHAR(10))&amp;"N/A just.: "&amp;Checks!$AC$197)&amp;IF(Checks!$W$197="","",CHAR(10)&amp;"Batch: "&amp;Checks!$W$197)&amp;IF(AND(Checks!$X$197="",Checks!$Y$197=""),"",CHAR(10)&amp;"Exp: "&amp;Checks!$X$197&amp;"  /  Act: "&amp;Checks!$Y$197)</f>
        <v/>
      </c>
      <c r="F57" s="114" t="str">
        <f aca="false">IF(Checks!$Z$197="","","Evidence: "&amp;Checks!$Z$197)&amp;IF(Checks!$AA$197="","",IF(Checks!$Z$197="","",CHAR(10))&amp;"CA: "&amp;Checks!$AA$197)</f>
        <v/>
      </c>
      <c r="G57" s="114" t="str">
        <f aca="false">IF(ISNUMBER(Checks!$AD$197),TEXT(Checks!$AD$197,"DD-MMM-YY HH:MM")&amp;" "&amp;Checks!$P$197,"")&amp;IF(Checks!$AE$197="","",CHAR(10)&amp;"Verifier: "&amp;Checks!$AE$197)&amp;IF(Checks!$T$197="","",CHAR(10)&amp;"PIC: "&amp;Checks!$T$197)</f>
        <v/>
      </c>
      <c r="H57" s="115" t="str">
        <f aca="false">IF(Checks!$AH$197="","",Checks!$AH$197)</f>
        <v>OPEN</v>
      </c>
    </row>
    <row r="58" customFormat="false" ht="114" hidden="false" customHeight="true" outlineLevel="0" collapsed="false">
      <c r="A58" s="114" t="str">
        <f aca="false">Checks!$A$198&amp;CHAR(10)&amp;IF(Checks!$I$198="","",Checks!$I$198&amp;": ")&amp;Checks!$J$198</f>
        <v>F06-UPL-02
Equipment: Equipment physically loaded at GLD positions - quantity &amp; positions</v>
      </c>
      <c r="B58" s="114" t="str">
        <f aca="false">Checks!$K$198&amp;IF(Checks!$O$198="","",IF(Checks!$K$198="","",CHAR(10))&amp;"Note: "&amp;Checks!$O$198)</f>
        <v>Enter expected &amp; actual
Note: Confirm on board before departure; completion time must fall inside the uplift window.</v>
      </c>
      <c r="C58" s="114" t="str">
        <f aca="false">Checks!$N$198&amp;CHAR(10)&amp;IF(ISNUMBER(Checks!$R$198),TEXT(Checks!$R$198,"DD-MMM-YY HH:MM"),"")&amp;" "&amp;Checks!$P$198</f>
        <v>Required
15-Oct-26 23:20 KUL</v>
      </c>
      <c r="D58" s="114" t="str">
        <f aca="false">IF(Checks!$U$198="","",Checks!$U$198)&amp;IF(Checks!$AB$198="","",CHAR(10)&amp;"CA: "&amp;Checks!$AB$198)</f>
        <v/>
      </c>
      <c r="E58" s="114" t="str">
        <f aca="false">IF(Checks!$V$198="","",Checks!$V$198)&amp;IF(Checks!$AC$198="","",IF(Checks!$V$198="","",CHAR(10))&amp;"N/A just.: "&amp;Checks!$AC$198)&amp;IF(Checks!$W$198="","",CHAR(10)&amp;"Batch: "&amp;Checks!$W$198)&amp;IF(AND(Checks!$X$198="",Checks!$Y$198=""),"",CHAR(10)&amp;"Exp: "&amp;Checks!$X$198&amp;"  /  Act: "&amp;Checks!$Y$198)</f>
        <v/>
      </c>
      <c r="F58" s="114" t="str">
        <f aca="false">IF(Checks!$Z$198="","","Evidence: "&amp;Checks!$Z$198)&amp;IF(Checks!$AA$198="","",IF(Checks!$Z$198="","",CHAR(10))&amp;"CA: "&amp;Checks!$AA$198)</f>
        <v/>
      </c>
      <c r="G58" s="114" t="str">
        <f aca="false">IF(ISNUMBER(Checks!$AD$198),TEXT(Checks!$AD$198,"DD-MMM-YY HH:MM")&amp;" "&amp;Checks!$P$198,"")&amp;IF(Checks!$AE$198="","",CHAR(10)&amp;"Verifier: "&amp;Checks!$AE$198)&amp;IF(Checks!$T$198="","",CHAR(10)&amp;"PIC: "&amp;Checks!$T$198)</f>
        <v/>
      </c>
      <c r="H58" s="115" t="str">
        <f aca="false">IF(Checks!$AH$198="","",Checks!$AH$198)</f>
        <v>OPEN</v>
      </c>
    </row>
    <row r="59" customFormat="false" ht="213" hidden="false" customHeight="true" outlineLevel="0" collapsed="false">
      <c r="A59" s="114" t="str">
        <f aca="false">Checks!$A$199&amp;CHAR(10)&amp;IF(Checks!$I$199="","",Checks!$I$199&amp;": ")&amp;Checks!$J$199</f>
        <v>F06-UPL-03
Amenities: Toiletry kits - on board</v>
      </c>
      <c r="B59" s="114" t="str">
        <f aca="false">SUBSTITUTE(Checks!$K$199&amp;IF(Checks!$O$199="","",IF(Checks!$K$199="","",CHAR(10))&amp;"Note: "&amp;Checks!$O$199),"AMENITIES!","Ref: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Checks!$N$199&amp;CHAR(10)&amp;IF(ISNUMBER(Checks!$R$199),TEXT(Checks!$R$199,"DD-MMM-YY HH:MM"),"")&amp;" "&amp;Checks!$P$199</f>
        <v>Clarification required
15-Oct-26 23:20 KUL</v>
      </c>
      <c r="D59" s="114" t="str">
        <f aca="false">IF(Checks!$U$199="","",Checks!$U$199)&amp;IF(Checks!$AB$199="","",CHAR(10)&amp;"CA: "&amp;Checks!$AB$199)</f>
        <v/>
      </c>
      <c r="E59" s="114" t="str">
        <f aca="false">IF(Checks!$V$199="","",Checks!$V$199)&amp;IF(Checks!$AC$199="","",IF(Checks!$V$199="","",CHAR(10))&amp;"N/A just.: "&amp;Checks!$AC$199)&amp;IF(Checks!$W$199="","",CHAR(10)&amp;"Batch: "&amp;Checks!$W$199)&amp;IF(AND(Checks!$X$199="",Checks!$Y$199=""),"",CHAR(10)&amp;"Exp: "&amp;Checks!$X$199&amp;"  /  Act: "&amp;Checks!$Y$199)</f>
        <v/>
      </c>
      <c r="F59" s="114" t="str">
        <f aca="false">IF(Checks!$Z$199="","","Evidence: "&amp;Checks!$Z$199)&amp;IF(Checks!$AA$199="","",IF(Checks!$Z$199="","",CHAR(10))&amp;"CA: "&amp;Checks!$AA$199)</f>
        <v/>
      </c>
      <c r="G59" s="114" t="str">
        <f aca="false">IF(ISNUMBER(Checks!$AD$199),TEXT(Checks!$AD$199,"DD-MMM-YY HH:MM")&amp;" "&amp;Checks!$P$199,"")&amp;IF(Checks!$AE$199="","",CHAR(10)&amp;"Verifier: "&amp;Checks!$AE$199)&amp;IF(Checks!$T$199="","",CHAR(10)&amp;"PIC: "&amp;Checks!$T$199)</f>
        <v/>
      </c>
      <c r="H59" s="115" t="str">
        <f aca="false">IF(Checks!$AH$199="","",Checks!$AH$199)</f>
        <v>OPEN – CLARIFICATION</v>
      </c>
    </row>
    <row r="60" customFormat="false" ht="114" hidden="false" customHeight="true" outlineLevel="0" collapsed="false">
      <c r="A60" s="114" t="str">
        <f aca="false">Checks!$A$200&amp;CHAR(10)&amp;IF(Checks!$I$200="","",Checks!$I$200&amp;": ")&amp;Checks!$J$200</f>
        <v>F06-UPL-04
Amenities: Pajamas (BC) - on board</v>
      </c>
      <c r="B60" s="114" t="str">
        <f aca="false">Checks!$K$200&amp;IF(Checks!$O$200="","",IF(Checks!$K$200="","",CHAR(10))&amp;"Note: "&amp;Checks!$O$200)</f>
        <v>Available - BC red-eye only
Note: Red-eye departure 2320 local.</v>
      </c>
      <c r="C60" s="114" t="str">
        <f aca="false">Checks!$N$200&amp;CHAR(10)&amp;IF(ISNUMBER(Checks!$R$200),TEXT(Checks!$R$200,"DD-MMM-YY HH:MM"),"")&amp;" "&amp;Checks!$P$200</f>
        <v>Required
15-Oct-26 23:20 KUL</v>
      </c>
      <c r="D60" s="114" t="str">
        <f aca="false">IF(Checks!$U$200="","",Checks!$U$200)&amp;IF(Checks!$AB$200="","",CHAR(10)&amp;"CA: "&amp;Checks!$AB$200)</f>
        <v/>
      </c>
      <c r="E60" s="114" t="str">
        <f aca="false">IF(Checks!$V$200="","",Checks!$V$200)&amp;IF(Checks!$AC$200="","",IF(Checks!$V$200="","",CHAR(10))&amp;"N/A just.: "&amp;Checks!$AC$200)&amp;IF(Checks!$W$200="","",CHAR(10)&amp;"Batch: "&amp;Checks!$W$200)&amp;IF(AND(Checks!$X$200="",Checks!$Y$200=""),"",CHAR(10)&amp;"Exp: "&amp;Checks!$X$200&amp;"  /  Act: "&amp;Checks!$Y$200)</f>
        <v/>
      </c>
      <c r="F60" s="114" t="str">
        <f aca="false">IF(Checks!$Z$200="","","Evidence: "&amp;Checks!$Z$200)&amp;IF(Checks!$AA$200="","",IF(Checks!$Z$200="","",CHAR(10))&amp;"CA: "&amp;Checks!$AA$200)</f>
        <v/>
      </c>
      <c r="G60" s="114" t="str">
        <f aca="false">IF(ISNUMBER(Checks!$AD$200),TEXT(Checks!$AD$200,"DD-MMM-YY HH:MM")&amp;" "&amp;Checks!$P$200,"")&amp;IF(Checks!$AE$200="","",CHAR(10)&amp;"Verifier: "&amp;Checks!$AE$200)&amp;IF(Checks!$T$200="","",CHAR(10)&amp;"PIC: "&amp;Checks!$T$200)</f>
        <v/>
      </c>
      <c r="H60" s="115" t="str">
        <f aca="false">IF(Checks!$AH$200="","",Checks!$AH$200)</f>
        <v>OPEN</v>
      </c>
    </row>
    <row r="61" customFormat="false" ht="114" hidden="false" customHeight="true" outlineLevel="0" collapsed="false">
      <c r="A61" s="114" t="str">
        <f aca="false">Checks!$A$201&amp;CHAR(10)&amp;IF(Checks!$I$201="","",Checks!$I$201&amp;": ")&amp;Checks!$J$201</f>
        <v>F06-UPL-05
Amenities: Slippers (BS/BC) - on board</v>
      </c>
      <c r="B61" s="114" t="str">
        <f aca="false">Checks!$K$201&amp;IF(Checks!$O$201="","",IF(Checks!$K$201="","",CHAR(10))&amp;"Note: "&amp;Checks!$O$201)</f>
        <v>Available (ticked in reference)</v>
      </c>
      <c r="C61" s="114" t="str">
        <f aca="false">Checks!$N$201&amp;CHAR(10)&amp;IF(ISNUMBER(Checks!$R$201),TEXT(Checks!$R$201,"DD-MMM-YY HH:MM"),"")&amp;" "&amp;Checks!$P$201</f>
        <v>Required
15-Oct-26 23:20 KUL</v>
      </c>
      <c r="D61" s="114" t="str">
        <f aca="false">IF(Checks!$U$201="","",Checks!$U$201)&amp;IF(Checks!$AB$201="","",CHAR(10)&amp;"CA: "&amp;Checks!$AB$201)</f>
        <v/>
      </c>
      <c r="E61" s="114" t="str">
        <f aca="false">IF(Checks!$V$201="","",Checks!$V$201)&amp;IF(Checks!$AC$201="","",IF(Checks!$V$201="","",CHAR(10))&amp;"N/A just.: "&amp;Checks!$AC$201)&amp;IF(Checks!$W$201="","",CHAR(10)&amp;"Batch: "&amp;Checks!$W$201)&amp;IF(AND(Checks!$X$201="",Checks!$Y$201=""),"",CHAR(10)&amp;"Exp: "&amp;Checks!$X$201&amp;"  /  Act: "&amp;Checks!$Y$201)</f>
        <v/>
      </c>
      <c r="F61" s="114" t="str">
        <f aca="false">IF(Checks!$Z$201="","","Evidence: "&amp;Checks!$Z$201)&amp;IF(Checks!$AA$201="","",IF(Checks!$Z$201="","",CHAR(10))&amp;"CA: "&amp;Checks!$AA$201)</f>
        <v/>
      </c>
      <c r="G61" s="114" t="str">
        <f aca="false">IF(ISNUMBER(Checks!$AD$201),TEXT(Checks!$AD$201,"DD-MMM-YY HH:MM")&amp;" "&amp;Checks!$P$201,"")&amp;IF(Checks!$AE$201="","",CHAR(10)&amp;"Verifier: "&amp;Checks!$AE$201)&amp;IF(Checks!$T$201="","",CHAR(10)&amp;"PIC: "&amp;Checks!$T$201)</f>
        <v/>
      </c>
      <c r="H61" s="115" t="str">
        <f aca="false">IF(Checks!$AH$201="","",Checks!$AH$201)</f>
        <v>OPEN</v>
      </c>
    </row>
    <row r="62" customFormat="false" ht="114" hidden="false" customHeight="true" outlineLevel="0" collapsed="false">
      <c r="A62" s="114" t="str">
        <f aca="false">Checks!$A$202&amp;CHAR(10)&amp;IF(Checks!$I$202="","",Checks!$I$202&amp;": ")&amp;Checks!$J$202</f>
        <v>F06-UPL-06
F&amp;B Linen: Towel - on board</v>
      </c>
      <c r="B62" s="114" t="str">
        <f aca="false">Checks!$K$202&amp;IF(Checks!$O$202="","",IF(Checks!$K$202="","",CHAR(10))&amp;"Note: "&amp;Checks!$O$202)</f>
        <v>Available (ticked in reference)</v>
      </c>
      <c r="C62" s="114" t="str">
        <f aca="false">Checks!$N$202&amp;CHAR(10)&amp;IF(ISNUMBER(Checks!$R$202),TEXT(Checks!$R$202,"DD-MMM-YY HH:MM"),"")&amp;" "&amp;Checks!$P$202</f>
        <v>Required
15-Oct-26 23:20 KUL</v>
      </c>
      <c r="D62" s="114" t="str">
        <f aca="false">IF(Checks!$U$202="","",Checks!$U$202)&amp;IF(Checks!$AB$202="","",CHAR(10)&amp;"CA: "&amp;Checks!$AB$202)</f>
        <v/>
      </c>
      <c r="E62" s="114" t="str">
        <f aca="false">IF(Checks!$V$202="","",Checks!$V$202)&amp;IF(Checks!$AC$202="","",IF(Checks!$V$202="","",CHAR(10))&amp;"N/A just.: "&amp;Checks!$AC$202)&amp;IF(Checks!$W$202="","",CHAR(10)&amp;"Batch: "&amp;Checks!$W$202)&amp;IF(AND(Checks!$X$202="",Checks!$Y$202=""),"",CHAR(10)&amp;"Exp: "&amp;Checks!$X$202&amp;"  /  Act: "&amp;Checks!$Y$202)</f>
        <v/>
      </c>
      <c r="F62" s="114" t="str">
        <f aca="false">IF(Checks!$Z$202="","","Evidence: "&amp;Checks!$Z$202)&amp;IF(Checks!$AA$202="","",IF(Checks!$Z$202="","",CHAR(10))&amp;"CA: "&amp;Checks!$AA$202)</f>
        <v/>
      </c>
      <c r="G62" s="114" t="str">
        <f aca="false">IF(ISNUMBER(Checks!$AD$202),TEXT(Checks!$AD$202,"DD-MMM-YY HH:MM")&amp;" "&amp;Checks!$P$202,"")&amp;IF(Checks!$AE$202="","",CHAR(10)&amp;"Verifier: "&amp;Checks!$AE$202)&amp;IF(Checks!$T$202="","",CHAR(10)&amp;"PIC: "&amp;Checks!$T$202)</f>
        <v/>
      </c>
      <c r="H62" s="115" t="str">
        <f aca="false">IF(Checks!$AH$202="","",Checks!$AH$202)</f>
        <v>OPEN</v>
      </c>
    </row>
    <row r="63" customFormat="false" ht="114" hidden="false" customHeight="true" outlineLevel="0" collapsed="false">
      <c r="A63" s="114" t="str">
        <f aca="false">Checks!$A$203&amp;CHAR(10)&amp;IF(Checks!$I$203="","",Checks!$I$203&amp;": ")&amp;Checks!$J$203</f>
        <v>F06-UPL-07
F&amp;B Linen: Tray cloth - on board</v>
      </c>
      <c r="B63" s="114" t="str">
        <f aca="false">Checks!$K$203&amp;IF(Checks!$O$203="","",IF(Checks!$K$203="","",CHAR(10))&amp;"Note: "&amp;Checks!$O$203)</f>
        <v>Available (ticked in reference)</v>
      </c>
      <c r="C63" s="114" t="str">
        <f aca="false">Checks!$N$203&amp;CHAR(10)&amp;IF(ISNUMBER(Checks!$R$203),TEXT(Checks!$R$203,"DD-MMM-YY HH:MM"),"")&amp;" "&amp;Checks!$P$203</f>
        <v>Required
15-Oct-26 23:20 KUL</v>
      </c>
      <c r="D63" s="114" t="str">
        <f aca="false">IF(Checks!$U$203="","",Checks!$U$203)&amp;IF(Checks!$AB$203="","",CHAR(10)&amp;"CA: "&amp;Checks!$AB$203)</f>
        <v/>
      </c>
      <c r="E63" s="114" t="str">
        <f aca="false">IF(Checks!$V$203="","",Checks!$V$203)&amp;IF(Checks!$AC$203="","",IF(Checks!$V$203="","",CHAR(10))&amp;"N/A just.: "&amp;Checks!$AC$203)&amp;IF(Checks!$W$203="","",CHAR(10)&amp;"Batch: "&amp;Checks!$W$203)&amp;IF(AND(Checks!$X$203="",Checks!$Y$203=""),"",CHAR(10)&amp;"Exp: "&amp;Checks!$X$203&amp;"  /  Act: "&amp;Checks!$Y$203)</f>
        <v/>
      </c>
      <c r="F63" s="114" t="str">
        <f aca="false">IF(Checks!$Z$203="","","Evidence: "&amp;Checks!$Z$203)&amp;IF(Checks!$AA$203="","",IF(Checks!$Z$203="","",CHAR(10))&amp;"CA: "&amp;Checks!$AA$203)</f>
        <v/>
      </c>
      <c r="G63" s="114" t="str">
        <f aca="false">IF(ISNUMBER(Checks!$AD$203),TEXT(Checks!$AD$203,"DD-MMM-YY HH:MM")&amp;" "&amp;Checks!$P$203,"")&amp;IF(Checks!$AE$203="","",CHAR(10)&amp;"Verifier: "&amp;Checks!$AE$203)&amp;IF(Checks!$T$203="","",CHAR(10)&amp;"PIC: "&amp;Checks!$T$203)</f>
        <v/>
      </c>
      <c r="H63" s="115" t="str">
        <f aca="false">IF(Checks!$AH$203="","",Checks!$AH$203)</f>
        <v>OPEN</v>
      </c>
    </row>
    <row r="64" customFormat="false" ht="114" hidden="false" customHeight="true" outlineLevel="0" collapsed="false">
      <c r="A64" s="114" t="str">
        <f aca="false">Checks!$A$204&amp;CHAR(10)&amp;IF(Checks!$I$204="","",Checks!$I$204&amp;": ")&amp;Checks!$J$204</f>
        <v>F06-UPL-08
F&amp;B Linen: Napkin - on board</v>
      </c>
      <c r="B64" s="114" t="str">
        <f aca="false">Checks!$K$204&amp;IF(Checks!$O$204="","",IF(Checks!$K$204="","",CHAR(10))&amp;"Note: "&amp;Checks!$O$204)</f>
        <v>Available (ticked in reference)</v>
      </c>
      <c r="C64" s="114" t="str">
        <f aca="false">Checks!$N$204&amp;CHAR(10)&amp;IF(ISNUMBER(Checks!$R$204),TEXT(Checks!$R$204,"DD-MMM-YY HH:MM"),"")&amp;" "&amp;Checks!$P$204</f>
        <v>Required
15-Oct-26 23:20 KUL</v>
      </c>
      <c r="D64" s="114" t="str">
        <f aca="false">IF(Checks!$U$204="","",Checks!$U$204)&amp;IF(Checks!$AB$204="","",CHAR(10)&amp;"CA: "&amp;Checks!$AB$204)</f>
        <v/>
      </c>
      <c r="E64" s="114" t="str">
        <f aca="false">IF(Checks!$V$204="","",Checks!$V$204)&amp;IF(Checks!$AC$204="","",IF(Checks!$V$204="","",CHAR(10))&amp;"N/A just.: "&amp;Checks!$AC$204)&amp;IF(Checks!$W$204="","",CHAR(10)&amp;"Batch: "&amp;Checks!$W$204)&amp;IF(AND(Checks!$X$204="",Checks!$Y$204=""),"",CHAR(10)&amp;"Exp: "&amp;Checks!$X$204&amp;"  /  Act: "&amp;Checks!$Y$204)</f>
        <v/>
      </c>
      <c r="F64" s="114" t="str">
        <f aca="false">IF(Checks!$Z$204="","","Evidence: "&amp;Checks!$Z$204)&amp;IF(Checks!$AA$204="","",IF(Checks!$Z$204="","",CHAR(10))&amp;"CA: "&amp;Checks!$AA$204)</f>
        <v/>
      </c>
      <c r="G64" s="114" t="str">
        <f aca="false">IF(ISNUMBER(Checks!$AD$204),TEXT(Checks!$AD$204,"DD-MMM-YY HH:MM")&amp;" "&amp;Checks!$P$204,"")&amp;IF(Checks!$AE$204="","",CHAR(10)&amp;"Verifier: "&amp;Checks!$AE$204)&amp;IF(Checks!$T$204="","",CHAR(10)&amp;"PIC: "&amp;Checks!$T$204)</f>
        <v/>
      </c>
      <c r="H64" s="115" t="str">
        <f aca="false">IF(Checks!$AH$204="","",Checks!$AH$204)</f>
        <v>OPEN</v>
      </c>
    </row>
    <row r="65" customFormat="false" ht="114" hidden="false" customHeight="true" outlineLevel="0" collapsed="false">
      <c r="A65" s="114" t="str">
        <f aca="false">Checks!$A$205&amp;CHAR(10)&amp;IF(Checks!$I$205="","",Checks!$I$205&amp;": ")&amp;Checks!$J$205</f>
        <v>F06-UPL-09
F&amp;B Linen: Table cloth - on board</v>
      </c>
      <c r="B65" s="114" t="str">
        <f aca="false">Checks!$K$205&amp;IF(Checks!$O$205="","",IF(Checks!$K$205="","",CHAR(10))&amp;"Note: "&amp;Checks!$O$205)</f>
        <v>Available (ticked in reference)</v>
      </c>
      <c r="C65" s="114" t="str">
        <f aca="false">Checks!$N$205&amp;CHAR(10)&amp;IF(ISNUMBER(Checks!$R$205),TEXT(Checks!$R$205,"DD-MMM-YY HH:MM"),"")&amp;" "&amp;Checks!$P$205</f>
        <v>Required
15-Oct-26 23:20 KUL</v>
      </c>
      <c r="D65" s="114" t="str">
        <f aca="false">IF(Checks!$U$205="","",Checks!$U$205)&amp;IF(Checks!$AB$205="","",CHAR(10)&amp;"CA: "&amp;Checks!$AB$205)</f>
        <v/>
      </c>
      <c r="E65" s="114" t="str">
        <f aca="false">IF(Checks!$V$205="","",Checks!$V$205)&amp;IF(Checks!$AC$205="","",IF(Checks!$V$205="","",CHAR(10))&amp;"N/A just.: "&amp;Checks!$AC$205)&amp;IF(Checks!$W$205="","",CHAR(10)&amp;"Batch: "&amp;Checks!$W$205)&amp;IF(AND(Checks!$X$205="",Checks!$Y$205=""),"",CHAR(10)&amp;"Exp: "&amp;Checks!$X$205&amp;"  /  Act: "&amp;Checks!$Y$205)</f>
        <v/>
      </c>
      <c r="F65" s="114" t="str">
        <f aca="false">IF(Checks!$Z$205="","","Evidence: "&amp;Checks!$Z$205)&amp;IF(Checks!$AA$205="","",IF(Checks!$Z$205="","",CHAR(10))&amp;"CA: "&amp;Checks!$AA$205)</f>
        <v/>
      </c>
      <c r="G65" s="114" t="str">
        <f aca="false">IF(ISNUMBER(Checks!$AD$205),TEXT(Checks!$AD$205,"DD-MMM-YY HH:MM")&amp;" "&amp;Checks!$P$205,"")&amp;IF(Checks!$AE$205="","",CHAR(10)&amp;"Verifier: "&amp;Checks!$AE$205)&amp;IF(Checks!$T$205="","",CHAR(10)&amp;"PIC: "&amp;Checks!$T$205)</f>
        <v/>
      </c>
      <c r="H65" s="115" t="str">
        <f aca="false">IF(Checks!$AH$205="","",Checks!$AH$205)</f>
        <v>OPEN</v>
      </c>
    </row>
    <row r="66" customFormat="false" ht="114" hidden="false" customHeight="true" outlineLevel="0" collapsed="false">
      <c r="A66" s="114" t="str">
        <f aca="false">Checks!$A$206&amp;CHAR(10)&amp;IF(Checks!$I$206="","",Checks!$I$206&amp;": ")&amp;Checks!$J$206</f>
        <v>F06-UPL-10
F&amp;B Linen: Bread linen (using table cloth) - on board</v>
      </c>
      <c r="B66" s="114" t="str">
        <f aca="false">Checks!$K$206&amp;IF(Checks!$O$206="","",IF(Checks!$K$206="","",CHAR(10))&amp;"Note: "&amp;Checks!$O$206)</f>
        <v>Available (ticked in reference)</v>
      </c>
      <c r="C66" s="114" t="str">
        <f aca="false">Checks!$N$206&amp;CHAR(10)&amp;IF(ISNUMBER(Checks!$R$206),TEXT(Checks!$R$206,"DD-MMM-YY HH:MM"),"")&amp;" "&amp;Checks!$P$206</f>
        <v>Required
15-Oct-26 23:20 KUL</v>
      </c>
      <c r="D66" s="114" t="str">
        <f aca="false">IF(Checks!$U$206="","",Checks!$U$206)&amp;IF(Checks!$AB$206="","",CHAR(10)&amp;"CA: "&amp;Checks!$AB$206)</f>
        <v/>
      </c>
      <c r="E66" s="114" t="str">
        <f aca="false">IF(Checks!$V$206="","",Checks!$V$206)&amp;IF(Checks!$AC$206="","",IF(Checks!$V$206="","",CHAR(10))&amp;"N/A just.: "&amp;Checks!$AC$206)&amp;IF(Checks!$W$206="","",CHAR(10)&amp;"Batch: "&amp;Checks!$W$206)&amp;IF(AND(Checks!$X$206="",Checks!$Y$206=""),"",CHAR(10)&amp;"Exp: "&amp;Checks!$X$206&amp;"  /  Act: "&amp;Checks!$Y$206)</f>
        <v/>
      </c>
      <c r="F66" s="114" t="str">
        <f aca="false">IF(Checks!$Z$206="","","Evidence: "&amp;Checks!$Z$206)&amp;IF(Checks!$AA$206="","",IF(Checks!$Z$206="","",CHAR(10))&amp;"CA: "&amp;Checks!$AA$206)</f>
        <v/>
      </c>
      <c r="G66" s="114" t="str">
        <f aca="false">IF(ISNUMBER(Checks!$AD$206),TEXT(Checks!$AD$206,"DD-MMM-YY HH:MM")&amp;" "&amp;Checks!$P$206,"")&amp;IF(Checks!$AE$206="","",CHAR(10)&amp;"Verifier: "&amp;Checks!$AE$206)&amp;IF(Checks!$T$206="","",CHAR(10)&amp;"PIC: "&amp;Checks!$T$206)</f>
        <v/>
      </c>
      <c r="H66" s="115" t="str">
        <f aca="false">IF(Checks!$AH$206="","",Checks!$AH$206)</f>
        <v>OPEN</v>
      </c>
    </row>
    <row r="67" customFormat="false" ht="114" hidden="false" customHeight="true" outlineLevel="0" collapsed="false">
      <c r="A67" s="114" t="str">
        <f aca="false">Checks!$A$207&amp;CHAR(10)&amp;IF(Checks!$I$207="","",Checks!$I$207&amp;": ")&amp;Checks!$J$207</f>
        <v>F06-UPL-11
F&amp;B Linen: Trolley cloth - on board</v>
      </c>
      <c r="B67" s="114" t="str">
        <f aca="false">SUBSTITUTE(Checks!$K$207&amp;IF(Checks!$O$207="","",IF(Checks!$K$207="","",CHAR(10))&amp;"Note: "&amp;Checks!$O$207),"F&amp;B LINEN!","Ref: F&amp;B LINEN!")</f>
        <v>Wide body: Top/Middle &amp; Bottom
Note: Per note Ref: F&amp;B LINEN!B79:C80.</v>
      </c>
      <c r="C67" s="114" t="str">
        <f aca="false">Checks!$N$207&amp;CHAR(10)&amp;IF(ISNUMBER(Checks!$R$207),TEXT(Checks!$R$207,"DD-MMM-YY HH:MM"),"")&amp;" "&amp;Checks!$P$207</f>
        <v>Required
15-Oct-26 23:20 KUL</v>
      </c>
      <c r="D67" s="114" t="str">
        <f aca="false">IF(Checks!$U$207="","",Checks!$U$207)&amp;IF(Checks!$AB$207="","",CHAR(10)&amp;"CA: "&amp;Checks!$AB$207)</f>
        <v/>
      </c>
      <c r="E67" s="114" t="str">
        <f aca="false">IF(Checks!$V$207="","",Checks!$V$207)&amp;IF(Checks!$AC$207="","",IF(Checks!$V$207="","",CHAR(10))&amp;"N/A just.: "&amp;Checks!$AC$207)&amp;IF(Checks!$W$207="","",CHAR(10)&amp;"Batch: "&amp;Checks!$W$207)&amp;IF(AND(Checks!$X$207="",Checks!$Y$207=""),"",CHAR(10)&amp;"Exp: "&amp;Checks!$X$207&amp;"  /  Act: "&amp;Checks!$Y$207)</f>
        <v/>
      </c>
      <c r="F67" s="114" t="str">
        <f aca="false">IF(Checks!$Z$207="","","Evidence: "&amp;Checks!$Z$207)&amp;IF(Checks!$AA$207="","",IF(Checks!$Z$207="","",CHAR(10))&amp;"CA: "&amp;Checks!$AA$207)</f>
        <v/>
      </c>
      <c r="G67" s="114" t="str">
        <f aca="false">IF(ISNUMBER(Checks!$AD$207),TEXT(Checks!$AD$207,"DD-MMM-YY HH:MM")&amp;" "&amp;Checks!$P$207,"")&amp;IF(Checks!$AE$207="","",CHAR(10)&amp;"Verifier: "&amp;Checks!$AE$207)&amp;IF(Checks!$T$207="","",CHAR(10)&amp;"PIC: "&amp;Checks!$T$207)</f>
        <v/>
      </c>
      <c r="H67" s="115" t="str">
        <f aca="false">IF(Checks!$AH$207="","",Checks!$AH$207)</f>
        <v>OPEN</v>
      </c>
    </row>
    <row r="68" customFormat="false" ht="114" hidden="false" customHeight="true" outlineLevel="0" collapsed="false">
      <c r="A68" s="114" t="str">
        <f aca="false">Checks!$A$208&amp;CHAR(10)&amp;IF(Checks!$I$208="","",Checks!$I$208&amp;": ")&amp;Checks!$J$208</f>
        <v>F06-UPL-12
F&amp;B Linen: Linen bag - on board</v>
      </c>
      <c r="B68" s="114" t="str">
        <f aca="false">Checks!$K$208&amp;IF(Checks!$O$208="","",IF(Checks!$K$208="","",CHAR(10))&amp;"Note: "&amp;Checks!$O$208)</f>
        <v>Available (ticked in reference)</v>
      </c>
      <c r="C68" s="114" t="str">
        <f aca="false">Checks!$N$208&amp;CHAR(10)&amp;IF(ISNUMBER(Checks!$R$208),TEXT(Checks!$R$208,"DD-MMM-YY HH:MM"),"")&amp;" "&amp;Checks!$P$208</f>
        <v>Required
15-Oct-26 23:20 KUL</v>
      </c>
      <c r="D68" s="114" t="str">
        <f aca="false">IF(Checks!$U$208="","",Checks!$U$208)&amp;IF(Checks!$AB$208="","",CHAR(10)&amp;"CA: "&amp;Checks!$AB$208)</f>
        <v/>
      </c>
      <c r="E68" s="114" t="str">
        <f aca="false">IF(Checks!$V$208="","",Checks!$V$208)&amp;IF(Checks!$AC$208="","",IF(Checks!$V$208="","",CHAR(10))&amp;"N/A just.: "&amp;Checks!$AC$208)&amp;IF(Checks!$W$208="","",CHAR(10)&amp;"Batch: "&amp;Checks!$W$208)&amp;IF(AND(Checks!$X$208="",Checks!$Y$208=""),"",CHAR(10)&amp;"Exp: "&amp;Checks!$X$208&amp;"  /  Act: "&amp;Checks!$Y$208)</f>
        <v/>
      </c>
      <c r="F68" s="114" t="str">
        <f aca="false">IF(Checks!$Z$208="","","Evidence: "&amp;Checks!$Z$208)&amp;IF(Checks!$AA$208="","",IF(Checks!$Z$208="","",CHAR(10))&amp;"CA: "&amp;Checks!$AA$208)</f>
        <v/>
      </c>
      <c r="G68" s="114" t="str">
        <f aca="false">IF(ISNUMBER(Checks!$AD$208),TEXT(Checks!$AD$208,"DD-MMM-YY HH:MM")&amp;" "&amp;Checks!$P$208,"")&amp;IF(Checks!$AE$208="","",CHAR(10)&amp;"Verifier: "&amp;Checks!$AE$208)&amp;IF(Checks!$T$208="","",CHAR(10)&amp;"PIC: "&amp;Checks!$T$208)</f>
        <v/>
      </c>
      <c r="H68" s="115" t="str">
        <f aca="false">IF(Checks!$AH$208="","",Checks!$AH$208)</f>
        <v>OPEN</v>
      </c>
    </row>
    <row r="69" customFormat="false" ht="114" hidden="false" customHeight="true" outlineLevel="0" collapsed="false">
      <c r="A69" s="114" t="str">
        <f aca="false">Checks!$A$209&amp;CHAR(10)&amp;IF(Checks!$I$209="","",Checks!$I$209&amp;": ")&amp;Checks!$J$209</f>
        <v>F06-UPL-13
Seat Linen: Seat pillow (BS &amp; BC) - on board</v>
      </c>
      <c r="B69" s="114" t="str">
        <f aca="false">Checks!$K$209&amp;IF(Checks!$O$209="","",IF(Checks!$K$209="","",CHAR(10))&amp;"Note: "&amp;Checks!$O$209)</f>
        <v>Available 100% (ticked in reference)</v>
      </c>
      <c r="C69" s="114" t="str">
        <f aca="false">Checks!$N$209&amp;CHAR(10)&amp;IF(ISNUMBER(Checks!$R$209),TEXT(Checks!$R$209,"DD-MMM-YY HH:MM"),"")&amp;" "&amp;Checks!$P$209</f>
        <v>Required
15-Oct-26 23:20 KUL</v>
      </c>
      <c r="D69" s="114" t="str">
        <f aca="false">IF(Checks!$U$209="","",Checks!$U$209)&amp;IF(Checks!$AB$209="","",CHAR(10)&amp;"CA: "&amp;Checks!$AB$209)</f>
        <v/>
      </c>
      <c r="E69" s="114" t="str">
        <f aca="false">IF(Checks!$V$209="","",Checks!$V$209)&amp;IF(Checks!$AC$209="","",IF(Checks!$V$209="","",CHAR(10))&amp;"N/A just.: "&amp;Checks!$AC$209)&amp;IF(Checks!$W$209="","",CHAR(10)&amp;"Batch: "&amp;Checks!$W$209)&amp;IF(AND(Checks!$X$209="",Checks!$Y$209=""),"",CHAR(10)&amp;"Exp: "&amp;Checks!$X$209&amp;"  /  Act: "&amp;Checks!$Y$209)</f>
        <v/>
      </c>
      <c r="F69" s="114" t="str">
        <f aca="false">IF(Checks!$Z$209="","","Evidence: "&amp;Checks!$Z$209)&amp;IF(Checks!$AA$209="","",IF(Checks!$Z$209="","",CHAR(10))&amp;"CA: "&amp;Checks!$AA$209)</f>
        <v/>
      </c>
      <c r="G69" s="114" t="str">
        <f aca="false">IF(ISNUMBER(Checks!$AD$209),TEXT(Checks!$AD$209,"DD-MMM-YY HH:MM")&amp;" "&amp;Checks!$P$209,"")&amp;IF(Checks!$AE$209="","",CHAR(10)&amp;"Verifier: "&amp;Checks!$AE$209)&amp;IF(Checks!$T$209="","",CHAR(10)&amp;"PIC: "&amp;Checks!$T$209)</f>
        <v/>
      </c>
      <c r="H69" s="115" t="str">
        <f aca="false">IF(Checks!$AH$209="","",Checks!$AH$209)</f>
        <v>OPEN</v>
      </c>
    </row>
    <row r="70" customFormat="false" ht="114" hidden="false" customHeight="true" outlineLevel="0" collapsed="false">
      <c r="A70" s="114" t="str">
        <f aca="false">Checks!$A$210&amp;CHAR(10)&amp;IF(Checks!$I$210="","",Checks!$I$210&amp;": ")&amp;Checks!$J$210</f>
        <v>F06-UPL-14
Seat Linen: Duvet (BS &amp; BC) - on board</v>
      </c>
      <c r="B70" s="114" t="str">
        <f aca="false">Checks!$K$210&amp;IF(Checks!$O$210="","",IF(Checks!$K$210="","",CHAR(10))&amp;"Note: "&amp;Checks!$O$210)</f>
        <v>Available 100% (ticked in reference)</v>
      </c>
      <c r="C70" s="114" t="str">
        <f aca="false">Checks!$N$210&amp;CHAR(10)&amp;IF(ISNUMBER(Checks!$R$210),TEXT(Checks!$R$210,"DD-MMM-YY HH:MM"),"")&amp;" "&amp;Checks!$P$210</f>
        <v>Required
15-Oct-26 23:20 KUL</v>
      </c>
      <c r="D70" s="114" t="str">
        <f aca="false">IF(Checks!$U$210="","",Checks!$U$210)&amp;IF(Checks!$AB$210="","",CHAR(10)&amp;"CA: "&amp;Checks!$AB$210)</f>
        <v/>
      </c>
      <c r="E70" s="114" t="str">
        <f aca="false">IF(Checks!$V$210="","",Checks!$V$210)&amp;IF(Checks!$AC$210="","",IF(Checks!$V$210="","",CHAR(10))&amp;"N/A just.: "&amp;Checks!$AC$210)&amp;IF(Checks!$W$210="","",CHAR(10)&amp;"Batch: "&amp;Checks!$W$210)&amp;IF(AND(Checks!$X$210="",Checks!$Y$210=""),"",CHAR(10)&amp;"Exp: "&amp;Checks!$X$210&amp;"  /  Act: "&amp;Checks!$Y$210)</f>
        <v/>
      </c>
      <c r="F70" s="114" t="str">
        <f aca="false">IF(Checks!$Z$210="","","Evidence: "&amp;Checks!$Z$210)&amp;IF(Checks!$AA$210="","",IF(Checks!$Z$210="","",CHAR(10))&amp;"CA: "&amp;Checks!$AA$210)</f>
        <v/>
      </c>
      <c r="G70" s="114" t="str">
        <f aca="false">IF(ISNUMBER(Checks!$AD$210),TEXT(Checks!$AD$210,"DD-MMM-YY HH:MM")&amp;" "&amp;Checks!$P$210,"")&amp;IF(Checks!$AE$210="","",CHAR(10)&amp;"Verifier: "&amp;Checks!$AE$210)&amp;IF(Checks!$T$210="","",CHAR(10)&amp;"PIC: "&amp;Checks!$T$210)</f>
        <v/>
      </c>
      <c r="H70" s="115" t="str">
        <f aca="false">IF(Checks!$AH$210="","",Checks!$AH$210)</f>
        <v>OPEN</v>
      </c>
    </row>
    <row r="71" customFormat="false" ht="114" hidden="false" customHeight="true" outlineLevel="0" collapsed="false">
      <c r="A71" s="114" t="str">
        <f aca="false">Checks!$A$211&amp;CHAR(10)&amp;IF(Checks!$I$211="","",Checks!$I$211&amp;": ")&amp;Checks!$J$211</f>
        <v>F06-UPL-15
Seat Linen: Mattress (BS &amp; BC) - on board</v>
      </c>
      <c r="B71" s="114" t="str">
        <f aca="false">Checks!$K$211&amp;IF(Checks!$O$211="","",IF(Checks!$K$211="","",CHAR(10))&amp;"Note: "&amp;Checks!$O$211)</f>
        <v>Available 100% (ticked in reference)</v>
      </c>
      <c r="C71" s="114" t="str">
        <f aca="false">Checks!$N$211&amp;CHAR(10)&amp;IF(ISNUMBER(Checks!$R$211),TEXT(Checks!$R$211,"DD-MMM-YY HH:MM"),"")&amp;" "&amp;Checks!$P$211</f>
        <v>Required
15-Oct-26 23:20 KUL</v>
      </c>
      <c r="D71" s="114" t="str">
        <f aca="false">IF(Checks!$U$211="","",Checks!$U$211)&amp;IF(Checks!$AB$211="","",CHAR(10)&amp;"CA: "&amp;Checks!$AB$211)</f>
        <v/>
      </c>
      <c r="E71" s="114" t="str">
        <f aca="false">IF(Checks!$V$211="","",Checks!$V$211)&amp;IF(Checks!$AC$211="","",IF(Checks!$V$211="","",CHAR(10))&amp;"N/A just.: "&amp;Checks!$AC$211)&amp;IF(Checks!$W$211="","",CHAR(10)&amp;"Batch: "&amp;Checks!$W$211)&amp;IF(AND(Checks!$X$211="",Checks!$Y$211=""),"",CHAR(10)&amp;"Exp: "&amp;Checks!$X$211&amp;"  /  Act: "&amp;Checks!$Y$211)</f>
        <v/>
      </c>
      <c r="F71" s="114" t="str">
        <f aca="false">IF(Checks!$Z$211="","","Evidence: "&amp;Checks!$Z$211)&amp;IF(Checks!$AA$211="","",IF(Checks!$Z$211="","",CHAR(10))&amp;"CA: "&amp;Checks!$AA$211)</f>
        <v/>
      </c>
      <c r="G71" s="114" t="str">
        <f aca="false">IF(ISNUMBER(Checks!$AD$211),TEXT(Checks!$AD$211,"DD-MMM-YY HH:MM")&amp;" "&amp;Checks!$P$211,"")&amp;IF(Checks!$AE$211="","",CHAR(10)&amp;"Verifier: "&amp;Checks!$AE$211)&amp;IF(Checks!$T$211="","",CHAR(10)&amp;"PIC: "&amp;Checks!$T$211)</f>
        <v/>
      </c>
      <c r="H71" s="115" t="str">
        <f aca="false">IF(Checks!$AH$211="","",Checks!$AH$211)</f>
        <v>OPEN</v>
      </c>
    </row>
    <row r="72" customFormat="false" ht="114" hidden="false" customHeight="true" outlineLevel="0" collapsed="false">
      <c r="A72" s="114" t="str">
        <f aca="false">Checks!$A$212&amp;CHAR(10)&amp;IF(Checks!$I$212="","",Checks!$I$212&amp;": ")&amp;Checks!$J$212</f>
        <v>F06-UPL-16
Signature Drinks: Signature drink &amp; garnish (BC) - on board</v>
      </c>
      <c r="B72" s="114" t="str">
        <f aca="false">Checks!$K$212&amp;IF(Checks!$O$212="","",IF(Checks!$K$212="","",CHAR(10))&amp;"Note: "&amp;Checks!$O$212)</f>
        <v>Available (ticked in reference)
Note: Signature drinks &amp; garnish uplifted from KUL (note D79).</v>
      </c>
      <c r="C72" s="114" t="str">
        <f aca="false">Checks!$N$212&amp;CHAR(10)&amp;IF(ISNUMBER(Checks!$R$212),TEXT(Checks!$R$212,"DD-MMM-YY HH:MM"),"")&amp;" "&amp;Checks!$P$212</f>
        <v>Required
15-Oct-26 23:20 KUL</v>
      </c>
      <c r="D72" s="114" t="str">
        <f aca="false">IF(Checks!$U$212="","",Checks!$U$212)&amp;IF(Checks!$AB$212="","",CHAR(10)&amp;"CA: "&amp;Checks!$AB$212)</f>
        <v/>
      </c>
      <c r="E72" s="114" t="str">
        <f aca="false">IF(Checks!$V$212="","",Checks!$V$212)&amp;IF(Checks!$AC$212="","",IF(Checks!$V$212="","",CHAR(10))&amp;"N/A just.: "&amp;Checks!$AC$212)&amp;IF(Checks!$W$212="","",CHAR(10)&amp;"Batch: "&amp;Checks!$W$212)&amp;IF(AND(Checks!$X$212="",Checks!$Y$212=""),"",CHAR(10)&amp;"Exp: "&amp;Checks!$X$212&amp;"  /  Act: "&amp;Checks!$Y$212)</f>
        <v/>
      </c>
      <c r="F72" s="114" t="str">
        <f aca="false">IF(Checks!$Z$212="","","Evidence: "&amp;Checks!$Z$212)&amp;IF(Checks!$AA$212="","",IF(Checks!$Z$212="","",CHAR(10))&amp;"CA: "&amp;Checks!$AA$212)</f>
        <v/>
      </c>
      <c r="G72" s="114" t="str">
        <f aca="false">IF(ISNUMBER(Checks!$AD$212),TEXT(Checks!$AD$212,"DD-MMM-YY HH:MM")&amp;" "&amp;Checks!$P$212,"")&amp;IF(Checks!$AE$212="","",CHAR(10)&amp;"Verifier: "&amp;Checks!$AE$212)&amp;IF(Checks!$T$212="","",CHAR(10)&amp;"PIC: "&amp;Checks!$T$212)</f>
        <v/>
      </c>
      <c r="H72" s="115" t="str">
        <f aca="false">IF(Checks!$AH$212="","",Checks!$AH$212)</f>
        <v>OPEN</v>
      </c>
    </row>
    <row r="74" customFormat="false" ht="24" hidden="false" customHeight="true" outlineLevel="0" collapsed="false">
      <c r="A74" s="116" t="s">
        <v>1737</v>
      </c>
      <c r="B74" s="116"/>
      <c r="C74" s="116"/>
      <c r="D74" s="116"/>
      <c r="E74" s="116" t="s">
        <v>1738</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F06 MH0002 15-Oct-26 KUL-LHR Class BC</oddHeader>
    <oddFooter>&amp;L&amp;"Arial,Bold"&amp;8 F06 MH0002 15-Oct-26 KUL-LHR Class BC&amp;C&amp;"Arial,Regular"&amp;8 Printed: ____________________&amp;R&amp;"Arial,Regular"&amp;8 F06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F07  "&amp;Flights!$F$11&amp;"  "&amp;TEXT(Flights!$D$11,"DD-MMM-YY")&amp;" ("&amp;Flights!$E$11&amp;")  "&amp;Flights!$G$11&amp;" → "&amp;Flights!$H$11&amp;"  |  Class "&amp;Flights!$K$11</f>
        <v>SKYTRAX 2026 CATERING READINESS CHECKLIST  |  F07  MH0003  09-Oct-26 (FRI)  LHR → KUL  |  Class BC</v>
      </c>
      <c r="B1" s="92"/>
      <c r="C1" s="92"/>
      <c r="D1" s="92"/>
      <c r="E1" s="92"/>
      <c r="F1" s="92"/>
      <c r="G1" s="92"/>
      <c r="H1" s="92"/>
    </row>
    <row r="2" customFormat="false" ht="12.75" hidden="false" customHeight="true" outlineLevel="0" collapsed="false">
      <c r="A2" s="93" t="s">
        <v>1692</v>
      </c>
      <c r="B2" s="94" t="str">
        <f aca="false">Flights!$F$11&amp;"   "&amp;TEXT(Flights!$D$11,"DD-MMM-YY")&amp;" ("&amp;Flights!$E$11&amp;")"</f>
        <v>MH0003   09-Oct-26 (FRI)</v>
      </c>
      <c r="C2" s="94"/>
      <c r="D2" s="94"/>
      <c r="E2" s="95" t="s">
        <v>1693</v>
      </c>
      <c r="F2" s="96" t="str">
        <f aca="false">Flights!$AT$11</f>
        <v>NOT READY – DOCUMENTS</v>
      </c>
      <c r="G2" s="96"/>
      <c r="H2" s="96"/>
    </row>
    <row r="3" customFormat="false" ht="24" hidden="false" customHeight="true" outlineLevel="0" collapsed="false">
      <c r="A3" s="93" t="s">
        <v>1694</v>
      </c>
      <c r="B3" s="94" t="str">
        <f aca="false">Flights!$G$11&amp;" → "&amp;Flights!$H$11&amp;"   Class "&amp;Flights!$K$11&amp;"   Seat "&amp;Flights!$O$11</f>
        <v>LHR → KUL   Class BC   Seat 2A</v>
      </c>
      <c r="C3" s="94"/>
      <c r="D3" s="94"/>
      <c r="E3" s="95" t="s">
        <v>71</v>
      </c>
      <c r="F3" s="95" t="s">
        <v>1695</v>
      </c>
      <c r="G3" s="95" t="s">
        <v>1696</v>
      </c>
      <c r="H3" s="95"/>
    </row>
    <row r="4" customFormat="false" ht="24" hidden="false" customHeight="true" outlineLevel="0" collapsed="false">
      <c r="A4" s="93" t="s">
        <v>1697</v>
      </c>
      <c r="B4" s="94" t="str">
        <f aca="false">IF(ISNUMBER(Flights!$I$11),TEXT(Flights!$I$11,"DD-MMM-YY HH:MM"),"")&amp;" "&amp;Flights!$G$11&amp;"  →  "&amp;IF(ISNUMBER(Flights!$J$11),TEXT(Flights!$J$11,"DD-MMM-YY HH:MM"),"")&amp;" "&amp;Flights!$H$11</f>
        <v>09-Oct-26 11:00 LHR  →  10-Oct-26 06:45 KUL</v>
      </c>
      <c r="C4" s="94"/>
      <c r="D4" s="94"/>
      <c r="E4" s="93" t="s">
        <v>1698</v>
      </c>
      <c r="F4" s="97" t="str">
        <f aca="false">IF(ISNUMBER(Flights!$AG$11),TEXT(Flights!$AG$11,"DD-MMM-YY HH:MM"),"")&amp;" "&amp;Flights!$V$11</f>
        <v>02-Oct-26 11:00 LHR</v>
      </c>
      <c r="G4" s="98" t="n">
        <f aca="false">Flights!$AJ$11</f>
        <v>0</v>
      </c>
      <c r="H4" s="98"/>
    </row>
    <row r="5" customFormat="false" ht="24" hidden="false" customHeight="true" outlineLevel="0" collapsed="false">
      <c r="A5" s="93" t="s">
        <v>1699</v>
      </c>
      <c r="B5" s="94" t="str">
        <f aca="false">Flights!$L$11&amp;" – "&amp;Flights!$M$11</f>
        <v>A350 – A350-900: A359 (9M-MAB..MAG, row 6) or A350 9M-MAH (row 7) - tail to confirm</v>
      </c>
      <c r="C5" s="94"/>
      <c r="D5" s="94"/>
      <c r="E5" s="93" t="s">
        <v>1700</v>
      </c>
      <c r="F5" s="97" t="str">
        <f aca="false">IF(ISNUMBER(Flights!$AH$11),TEXT(Flights!$AH$11,"DD-MMM-YY HH:MM"),"")&amp;" "&amp;Flights!$V$11</f>
        <v>08-Oct-26 11:00 LHR</v>
      </c>
      <c r="G5" s="98" t="n">
        <f aca="false">Flights!$AK$11</f>
        <v>0</v>
      </c>
      <c r="H5" s="98"/>
    </row>
    <row r="6" customFormat="false" ht="24" hidden="false" customHeight="true" outlineLevel="0" collapsed="false">
      <c r="A6" s="93" t="s">
        <v>1701</v>
      </c>
      <c r="B6" s="94" t="str">
        <f aca="false">IF(TRIM(Flights!$N$11)="","__________________",Flights!$N$11)</f>
        <v>__________________</v>
      </c>
      <c r="C6" s="94"/>
      <c r="D6" s="94"/>
      <c r="E6" s="93" t="s">
        <v>1702</v>
      </c>
      <c r="F6" s="97" t="str">
        <f aca="false">IF(ISNUMBER(Flights!$AI$11),TEXT(Flights!$AI$11,"DD-MMM-YY HH:MM"),"")&amp;" "&amp;Flights!$V$11&amp;IF(Flights!$AI$11=Flights!$AH$11,"  (= T-24H due)","")</f>
        <v>08-Oct-26 23:00 LHR</v>
      </c>
      <c r="G6" s="98" t="n">
        <f aca="false">Flights!$AL$11</f>
        <v>0</v>
      </c>
      <c r="H6" s="98"/>
    </row>
    <row r="7" customFormat="false" ht="24" hidden="false" customHeight="true" outlineLevel="0" collapsed="false">
      <c r="A7" s="93" t="s">
        <v>1703</v>
      </c>
      <c r="B7" s="94" t="str">
        <f aca="false">Flights!$T$11</f>
        <v>2.5 Meal (Meal)</v>
      </c>
      <c r="C7" s="94"/>
      <c r="D7" s="94"/>
      <c r="E7" s="93" t="s">
        <v>1704</v>
      </c>
      <c r="F7" s="97" t="str">
        <f aca="false">"STD "&amp;IF(ISNUMBER(Flights!$I$11),TEXT(Flights!$I$11,"DD-MMM-YY HH:MM"),"")&amp;" "&amp;Flights!$G$11&amp;" (dep stn)"</f>
        <v>STD 09-Oct-26 11:00 LHR (dep stn)</v>
      </c>
      <c r="G7" s="98" t="n">
        <f aca="false">Flights!$AM$11</f>
        <v>0</v>
      </c>
      <c r="H7" s="98"/>
    </row>
    <row r="8" customFormat="false" ht="12.75" hidden="false" customHeight="true" outlineLevel="0" collapsed="false">
      <c r="A8" s="93" t="s">
        <v>153</v>
      </c>
      <c r="B8" s="94" t="str">
        <f aca="false">Flights!$V$11&amp;"   (reference uplift stns: "&amp;Flights!$U$11&amp;")"</f>
        <v>LHR   (reference uplift stns: KUL/LHR)</v>
      </c>
      <c r="C8" s="94"/>
      <c r="D8" s="94"/>
      <c r="E8" s="93" t="s">
        <v>1705</v>
      </c>
      <c r="F8" s="99" t="s">
        <v>1706</v>
      </c>
      <c r="G8" s="98" t="n">
        <f aca="false">Flights!$AN$11</f>
        <v>0</v>
      </c>
      <c r="H8" s="98"/>
    </row>
    <row r="9" customFormat="false" ht="12.75" hidden="false" customHeight="true" outlineLevel="0" collapsed="false">
      <c r="A9" s="93" t="s">
        <v>1707</v>
      </c>
      <c r="B9" s="94" t="str">
        <f aca="false">TRIM(Flights!$P$11&amp;"  "&amp;Flights!$Q$11)</f>
        <v>-</v>
      </c>
      <c r="C9" s="94"/>
      <c r="D9" s="94"/>
      <c r="E9" s="93" t="s">
        <v>1708</v>
      </c>
      <c r="F9" s="100" t="n">
        <f aca="false">Flights!$AP$11</f>
        <v>0</v>
      </c>
      <c r="G9" s="100" t="n">
        <f aca="false">Flights!$AQ$11</f>
        <v>0</v>
      </c>
      <c r="H9" s="100" t="n">
        <f aca="false">Flights!$AU$11</f>
        <v>0</v>
      </c>
    </row>
    <row r="10" customFormat="false" ht="24" hidden="false" customHeight="true" outlineLevel="0" collapsed="false">
      <c r="A10" s="93" t="s">
        <v>1709</v>
      </c>
      <c r="B10" s="94" t="str">
        <f aca="false">IF(TRIM(Flights!$X$11)="","__________________",Flights!$X$11)</f>
        <v>__________________</v>
      </c>
      <c r="C10" s="94"/>
      <c r="D10" s="94"/>
      <c r="E10" s="93" t="s">
        <v>1710</v>
      </c>
      <c r="F10" s="100" t="n">
        <f aca="false">Flights!$AO$11</f>
        <v>48</v>
      </c>
      <c r="G10" s="100" t="n">
        <f aca="false">Flights!$AS$11</f>
        <v>2</v>
      </c>
      <c r="H10" s="100" t="n">
        <f aca="false">Flights!$AR$11</f>
        <v>2</v>
      </c>
    </row>
    <row r="11" customFormat="false" ht="21" hidden="false" customHeight="true" outlineLevel="0" collapsed="false">
      <c r="A11" s="93" t="s">
        <v>1711</v>
      </c>
      <c r="B11" s="94" t="str">
        <f aca="false">IF(TRIM(Flights!$Y$11)="","__________________",Flights!$Y$11)</f>
        <v>__________________</v>
      </c>
      <c r="C11" s="94"/>
      <c r="D11" s="94"/>
      <c r="E11" s="93" t="s">
        <v>1712</v>
      </c>
      <c r="F11" s="100" t="str">
        <f aca="false">Flights!$AV$11&amp;" / "&amp;Flights!$AW$11</f>
        <v>0 / 48</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"&amp;IF(ISNUMBER(Flights!$AY$11),TEXT(Flights!$AY$11+IFERROR(INDEX(Settings!$C$13:$C$22,MATCH("KUL",Settings!$A$13:$A$22,0)),8)/24,"DD-MMM-YY HH:MM")&amp;" KUL","(not set)")&amp;"   |   Carrying flight KUL departure (loading confirmed by): "&amp;IF(ISNUMBER(Flights!$AY$11),TEXT(Flights!$AY$11+UpliftWindowH/24+IFERROR(INDEX(Settings!$C$13:$C$22,MATCH("KUL",Settings!$A$13:$A$22,0)),8)/24,"DD-MMM-YY HH:MM")&amp;" KUL","(not set)")&amp;IF(ISNUMBER(Flights!$AX$11),"",IF(TRIM(Flights!$W$11)&lt;&gt;"","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08-Oct-26 22:25 KUL   |   Carrying flight KUL departure (loading confirmed by): 09-Oct-26 04:25 KUL (latest possible – enter actual on Flights AX)</v>
      </c>
      <c r="B13" s="118"/>
      <c r="C13" s="118"/>
      <c r="D13" s="118"/>
      <c r="E13" s="118"/>
      <c r="F13" s="118"/>
      <c r="G13" s="118"/>
      <c r="H13" s="118"/>
    </row>
    <row r="14" customFormat="false" ht="13.5" hidden="false" customHeight="true" outlineLevel="0" collapsed="false">
      <c r="A14" s="95" t="s">
        <v>1717</v>
      </c>
      <c r="B14" s="95" t="s">
        <v>1718</v>
      </c>
      <c r="C14" s="95" t="s">
        <v>1719</v>
      </c>
      <c r="D14" s="95"/>
      <c r="E14" s="95" t="s">
        <v>1720</v>
      </c>
      <c r="F14" s="95" t="s">
        <v>1721</v>
      </c>
      <c r="G14" s="95"/>
      <c r="H14" s="95"/>
    </row>
    <row r="15" customFormat="false" ht="36" hidden="false" customHeight="true" outlineLevel="0" collapsed="false">
      <c r="A15" s="93" t="s">
        <v>1722</v>
      </c>
      <c r="B15" s="94" t="str">
        <f aca="false">IF(Documents!$F$11="","",Documents!$F$11)</f>
        <v/>
      </c>
      <c r="C15" s="99" t="str">
        <f aca="false">IF(Documents!$G$11="","",Documents!$G$11)&amp;IF(ISNUMBER(Documents!$H$11),"  "&amp;TEXT(Documents!$H$11,"DD-MMM-YY"),"")</f>
        <v/>
      </c>
      <c r="D15" s="99"/>
      <c r="E15" s="107" t="str">
        <f aca="false">IF(Documents!$J$11="OUTSTANDING","OUTSTANDING – attach before T-7D (due "&amp;IF(ISNUMBER(Flights!$AG$11),TEXT(Flights!$AG$11,"DD-MMM-YY HH:MM"),"")&amp;" "&amp;Flights!$V$11&amp;")",IF(Documents!$J$11="","Status not recorded",Documents!$J$11))</f>
        <v>OUTSTANDING – attach before T-7D (due 02-Oct-26 11:00 LHR)</v>
      </c>
      <c r="F15" s="108" t="str">
        <f aca="false">"Staple behind this sheet as page A1."&amp;IF(Documents!$I$11="",""," Location: "&amp;Documents!$I$11)</f>
        <v>Staple behind this sheet as page A1.</v>
      </c>
      <c r="G15" s="108"/>
      <c r="H15" s="108"/>
    </row>
    <row r="16" customFormat="false" ht="36" hidden="false" customHeight="true" outlineLevel="0" collapsed="false">
      <c r="A16" s="93" t="s">
        <v>1723</v>
      </c>
      <c r="B16" s="94" t="str">
        <f aca="false">IF(Documents!$K$11="","",Documents!$K$11)</f>
        <v/>
      </c>
      <c r="C16" s="99" t="str">
        <f aca="false">IF(Documents!$L$11="","",Documents!$L$11)&amp;IF(ISNUMBER(Documents!$M$11),"  "&amp;TEXT(Documents!$M$11,"DD-MMM-YY"),"")</f>
        <v/>
      </c>
      <c r="D16" s="99"/>
      <c r="E16" s="107" t="str">
        <f aca="false">IF(Documents!$O$11="OUTSTANDING","OUTSTANDING – attach before T-7D (due "&amp;IF(ISNUMBER(Flights!$AG$11),TEXT(Flights!$AG$11,"DD-MMM-YY HH:MM"),"")&amp;" "&amp;Flights!$V$11&amp;")",IF(Documents!$O$11="","Status not recorded",Documents!$O$11))</f>
        <v>OUTSTANDING – attach before T-7D (due 02-Oct-26 11:00 LHR)</v>
      </c>
      <c r="F16" s="108" t="str">
        <f aca="false">"Staple behind this sheet as page A2."&amp;IF(Documents!$N$11="",""," Location: "&amp;Documents!$N$11)</f>
        <v>Staple behind this sheet as page A2.</v>
      </c>
      <c r="G16" s="108"/>
      <c r="H16" s="108"/>
    </row>
    <row r="17" customFormat="false" ht="22.5" hidden="false" customHeight="true" outlineLevel="0" collapsed="false">
      <c r="A17" s="93" t="s">
        <v>1724</v>
      </c>
      <c r="B17" s="109" t="str">
        <f aca="false">IF(Documents!$Q$11="","",Documents!$Q$11)</f>
        <v>Not supplied with brief – obtain from caterer / MAGCS.</v>
      </c>
      <c r="C17" s="109"/>
      <c r="D17" s="109"/>
      <c r="E17" s="109"/>
      <c r="F17" s="109"/>
      <c r="G17" s="109"/>
      <c r="H17" s="109"/>
    </row>
    <row r="18" customFormat="false" ht="13.5" hidden="false" customHeight="true" outlineLevel="0" collapsed="false">
      <c r="A18" s="110" t="s">
        <v>1725</v>
      </c>
      <c r="B18" s="110"/>
      <c r="C18" s="110" t="s">
        <v>1726</v>
      </c>
      <c r="D18" s="110"/>
      <c r="E18" s="110"/>
      <c r="F18" s="110" t="s">
        <v>1727</v>
      </c>
      <c r="G18" s="110"/>
      <c r="H18" s="110"/>
    </row>
    <row r="19" customFormat="false" ht="18" hidden="false" customHeight="true" outlineLevel="0" collapsed="false">
      <c r="A19" s="94" t="str">
        <f aca="false">"Name: "&amp;IF(TRIM(Flights!$Y$11)="","__________________",Flights!$Y$11)</f>
        <v>Name: __________________</v>
      </c>
      <c r="B19" s="94"/>
      <c r="C19" s="94" t="str">
        <f aca="false">"Name: __________________"</f>
        <v>Name: __________________</v>
      </c>
      <c r="D19" s="94"/>
      <c r="E19" s="94"/>
      <c r="F19" s="94" t="str">
        <f aca="false">"Name: __________________"&amp;"   Station: "&amp;Flights!$V$11</f>
        <v>Name: __________________   Station: LHR</v>
      </c>
      <c r="G19" s="94"/>
      <c r="H19" s="94"/>
    </row>
    <row r="20" customFormat="false" ht="30" hidden="false" customHeight="true" outlineLevel="0" collapsed="false">
      <c r="A20" s="111" t="s">
        <v>1728</v>
      </c>
      <c r="B20" s="111"/>
      <c r="C20" s="111" t="s">
        <v>1728</v>
      </c>
      <c r="D20" s="111"/>
      <c r="E20" s="111"/>
      <c r="F20" s="111" t="s">
        <v>1728</v>
      </c>
      <c r="G20" s="111"/>
      <c r="H20" s="111"/>
    </row>
    <row r="21" customFormat="false" ht="13.5" hidden="false" customHeight="true" outlineLevel="0" collapsed="false">
      <c r="A21" s="112" t="s">
        <v>1729</v>
      </c>
      <c r="B21" s="112"/>
      <c r="C21" s="112"/>
      <c r="D21" s="112"/>
      <c r="E21" s="112"/>
      <c r="F21" s="112"/>
      <c r="G21" s="112"/>
      <c r="H21" s="112"/>
    </row>
    <row r="22" customFormat="false" ht="24" hidden="false" customHeight="true" outlineLevel="0" collapsed="false">
      <c r="A22" s="95" t="s">
        <v>1730</v>
      </c>
      <c r="B22" s="95" t="s">
        <v>1731</v>
      </c>
      <c r="C22" s="95" t="s">
        <v>1732</v>
      </c>
      <c r="D22" s="95" t="s">
        <v>1733</v>
      </c>
      <c r="E22" s="95" t="s">
        <v>1734</v>
      </c>
      <c r="F22" s="95" t="s">
        <v>1735</v>
      </c>
      <c r="G22" s="95" t="s">
        <v>1736</v>
      </c>
      <c r="H22" s="95" t="s">
        <v>124</v>
      </c>
    </row>
    <row r="23" customFormat="false" ht="25.5" hidden="false" customHeight="true" outlineLevel="0" collapsed="false">
      <c r="A23" s="113" t="str">
        <f aca="false">"T-7D — 7 days before departure  |  Due "&amp;IF(ISNUMBER(Flights!$AG$11),TEXT(Flights!$AG$11,"DD-MMM-YY HH:MM"),"")&amp;" "&amp;Flights!$V$11&amp;" (meal uplift stn)"&amp;" (rows with another due show their own)  |  Complete "&amp;IF(ISNUMBER(Flights!$AJ$11),TEXT(Flights!$AJ$11,"0%"),Flights!$AJ$11)&amp;"  |  10 lines"</f>
        <v>T-7D — 7 days before departure  |  Due 02-Oct-26 11:00 LHR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Checks!$A$213&amp;CHAR(10)&amp;IF(Checks!$I$213="","",Checks!$I$213&amp;": ")&amp;Checks!$J$213</f>
        <v>F07-T7-01
Meal: Meal sensory testing completed for this flight's menu cycle (assessed class)</v>
      </c>
      <c r="B24" s="114" t="str">
        <f aca="false">Checks!$K$213&amp;IF(Checks!$O$213="","",IF(Checks!$K$213="","",CHAR(10))&amp;"Note: "&amp;Checks!$O$213)</f>
        <v>Record panel result / score in Result</v>
      </c>
      <c r="C24" s="114" t="str">
        <f aca="false">Checks!$N$213&amp;CHAR(10)&amp;IF(ISNUMBER(Checks!$R$213),TEXT(Checks!$R$213,"DD-MMM-YY HH:MM"),"")&amp;" "&amp;Checks!$P$213</f>
        <v>Required
02-Oct-26 11:00 LHR</v>
      </c>
      <c r="D24" s="114" t="str">
        <f aca="false">IF(Checks!$U$213="","",Checks!$U$213)&amp;IF(Checks!$AB$213="","",CHAR(10)&amp;"CA: "&amp;Checks!$AB$213)</f>
        <v/>
      </c>
      <c r="E24" s="114" t="str">
        <f aca="false">IF(Checks!$V$213="","",Checks!$V$213)&amp;IF(Checks!$AC$213="","",IF(Checks!$V$213="","",CHAR(10))&amp;"N/A just.: "&amp;Checks!$AC$213)&amp;IF(Checks!$W$213="","",CHAR(10)&amp;"Batch: "&amp;Checks!$W$213)&amp;IF(AND(Checks!$X$213="",Checks!$Y$213=""),"",CHAR(10)&amp;"Exp: "&amp;Checks!$X$213&amp;"  /  Act: "&amp;Checks!$Y$213)</f>
        <v/>
      </c>
      <c r="F24" s="114" t="str">
        <f aca="false">IF(Checks!$Z$213="","","Evidence: "&amp;Checks!$Z$213)&amp;IF(Checks!$AA$213="","",IF(Checks!$Z$213="","",CHAR(10))&amp;"CA: "&amp;Checks!$AA$213)</f>
        <v/>
      </c>
      <c r="G24" s="114" t="str">
        <f aca="false">IF(ISNUMBER(Checks!$AD$213),TEXT(Checks!$AD$213,"DD-MMM-YY HH:MM")&amp;" "&amp;Checks!$P$213,"")&amp;IF(Checks!$AE$213="","",CHAR(10)&amp;"Verifier: "&amp;Checks!$AE$213)&amp;IF(Checks!$T$213="","",CHAR(10)&amp;"PIC: "&amp;Checks!$T$213)</f>
        <v/>
      </c>
      <c r="H24" s="115" t="str">
        <f aca="false">IF(Checks!$AH$213="","",Checks!$AH$213)</f>
        <v>OPEN</v>
      </c>
    </row>
    <row r="25" customFormat="false" ht="114" hidden="false" customHeight="true" outlineLevel="0" collapsed="false">
      <c r="A25" s="114" t="str">
        <f aca="false">Checks!$A$214&amp;CHAR(10)&amp;IF(Checks!$I$214="","",Checks!$I$214&amp;": ")&amp;Checks!$J$214</f>
        <v>F07-T7-02
Menu: Printed menu cards confirmed (content, cycle, language, quantity)</v>
      </c>
      <c r="B25" s="114" t="str">
        <f aca="false">Checks!$K$214&amp;IF(Checks!$O$214="","",IF(Checks!$K$214="","",CHAR(10))&amp;"Note: "&amp;Checks!$O$214)</f>
        <v>Menu card matches approved menu for this flight</v>
      </c>
      <c r="C25" s="114" t="str">
        <f aca="false">Checks!$N$214&amp;CHAR(10)&amp;IF(ISNUMBER(Checks!$R$214),TEXT(Checks!$R$214,"DD-MMM-YY HH:MM"),"")&amp;" "&amp;Checks!$P$214</f>
        <v>Required
02-Oct-26 11:00 LHR</v>
      </c>
      <c r="D25" s="114" t="str">
        <f aca="false">IF(Checks!$U$214="","",Checks!$U$214)&amp;IF(Checks!$AB$214="","",CHAR(10)&amp;"CA: "&amp;Checks!$AB$214)</f>
        <v/>
      </c>
      <c r="E25" s="114" t="str">
        <f aca="false">IF(Checks!$V$214="","",Checks!$V$214)&amp;IF(Checks!$AC$214="","",IF(Checks!$V$214="","",CHAR(10))&amp;"N/A just.: "&amp;Checks!$AC$214)&amp;IF(Checks!$W$214="","",CHAR(10)&amp;"Batch: "&amp;Checks!$W$214)&amp;IF(AND(Checks!$X$214="",Checks!$Y$214=""),"",CHAR(10)&amp;"Exp: "&amp;Checks!$X$214&amp;"  /  Act: "&amp;Checks!$Y$214)</f>
        <v/>
      </c>
      <c r="F25" s="114" t="str">
        <f aca="false">IF(Checks!$Z$214="","","Evidence: "&amp;Checks!$Z$214)&amp;IF(Checks!$AA$214="","",IF(Checks!$Z$214="","",CHAR(10))&amp;"CA: "&amp;Checks!$AA$214)</f>
        <v/>
      </c>
      <c r="G25" s="114" t="str">
        <f aca="false">IF(ISNUMBER(Checks!$AD$214),TEXT(Checks!$AD$214,"DD-MMM-YY HH:MM")&amp;" "&amp;Checks!$P$214,"")&amp;IF(Checks!$AE$214="","",CHAR(10)&amp;"Verifier: "&amp;Checks!$AE$214)&amp;IF(Checks!$T$214="","",CHAR(10)&amp;"PIC: "&amp;Checks!$T$214)</f>
        <v/>
      </c>
      <c r="H25" s="115" t="str">
        <f aca="false">IF(Checks!$AH$214="","",Checks!$AH$214)</f>
        <v>OPEN</v>
      </c>
    </row>
    <row r="26" customFormat="false" ht="114" hidden="false" customHeight="true" outlineLevel="0" collapsed="false">
      <c r="A26" s="114" t="str">
        <f aca="false">Checks!$A$215&amp;CHAR(10)&amp;IF(Checks!$I$215="","",Checks!$I$215&amp;": ")&amp;Checks!$J$215</f>
        <v>F07-T7-03
IFE: Digital menu in IFE confirmed (A339 only)</v>
      </c>
      <c r="B26" s="114" t="str">
        <f aca="false">Checks!$K$215&amp;IF(Checks!$O$215="","",IF(Checks!$K$215="","",CHAR(10))&amp;"Note: "&amp;Checks!$O$215)</f>
        <v>Applies when fleet = A339
Note: Digital IFE menu applies to A339 only (user brief). Applicability follows the Fleet cell on Flights.</v>
      </c>
      <c r="C26" s="114" t="str">
        <f aca="false">Checks!$N$215&amp;CHAR(10)&amp;IF(ISNUMBER(Checks!$R$215),TEXT(Checks!$R$215,"DD-MMM-YY HH:MM"),"")&amp;" "&amp;Checks!$P$215</f>
        <v>N/A – rule
02-Oct-26 11:00 LHR</v>
      </c>
      <c r="D26" s="114" t="str">
        <f aca="false">IF(Checks!$U$215="","",Checks!$U$215)&amp;IF(Checks!$AB$215="","",CHAR(10)&amp;"CA: "&amp;Checks!$AB$215)</f>
        <v/>
      </c>
      <c r="E26" s="114" t="str">
        <f aca="false">IF(Checks!$V$215="","",Checks!$V$215)&amp;IF(Checks!$AC$215="","",IF(Checks!$V$215="","",CHAR(10))&amp;"N/A just.: "&amp;Checks!$AC$215)&amp;IF(Checks!$W$215="","",CHAR(10)&amp;"Batch: "&amp;Checks!$W$215)&amp;IF(AND(Checks!$X$215="",Checks!$Y$215=""),"",CHAR(10)&amp;"Exp: "&amp;Checks!$X$215&amp;"  /  Act: "&amp;Checks!$Y$215)</f>
        <v/>
      </c>
      <c r="F26" s="114" t="str">
        <f aca="false">IF(Checks!$Z$215="","","Evidence: "&amp;Checks!$Z$215)&amp;IF(Checks!$AA$215="","",IF(Checks!$Z$215="","",CHAR(10))&amp;"CA: "&amp;Checks!$AA$215)</f>
        <v/>
      </c>
      <c r="G26" s="114" t="str">
        <f aca="false">IF(ISNUMBER(Checks!$AD$215),TEXT(Checks!$AD$215,"DD-MMM-YY HH:MM")&amp;" "&amp;Checks!$P$215,"")&amp;IF(Checks!$AE$215="","",CHAR(10)&amp;"Verifier: "&amp;Checks!$AE$215)&amp;IF(Checks!$T$215="","",CHAR(10)&amp;"PIC: "&amp;Checks!$T$215)</f>
        <v/>
      </c>
      <c r="H26" s="115" t="str">
        <f aca="false">IF(Checks!$AH$215="","",Checks!$AH$215)</f>
        <v>N/A – RULE</v>
      </c>
    </row>
    <row r="27" customFormat="false" ht="114" hidden="false" customHeight="true" outlineLevel="0" collapsed="false">
      <c r="A27" s="114" t="str">
        <f aca="false">Checks!$A$216&amp;CHAR(10)&amp;IF(Checks!$I$216="","",Checks!$I$216&amp;": ")&amp;Checks!$J$216</f>
        <v>F07-T7-04
Staffing: Experienced catering officer assigned to this flight</v>
      </c>
      <c r="B27" s="114" t="str">
        <f aca="false">Checks!$K$216&amp;IF(Checks!$O$216="","",IF(Checks!$K$216="","",CHAR(10))&amp;"Note: "&amp;Checks!$O$216)</f>
        <v>Record officer name in Result</v>
      </c>
      <c r="C27" s="114" t="str">
        <f aca="false">Checks!$N$216&amp;CHAR(10)&amp;IF(ISNUMBER(Checks!$R$216),TEXT(Checks!$R$216,"DD-MMM-YY HH:MM"),"")&amp;" "&amp;Checks!$P$216</f>
        <v>Required
02-Oct-26 11:00 LHR</v>
      </c>
      <c r="D27" s="114" t="str">
        <f aca="false">IF(Checks!$U$216="","",Checks!$U$216)&amp;IF(Checks!$AB$216="","",CHAR(10)&amp;"CA: "&amp;Checks!$AB$216)</f>
        <v/>
      </c>
      <c r="E27" s="114" t="str">
        <f aca="false">IF(Checks!$V$216="","",Checks!$V$216)&amp;IF(Checks!$AC$216="","",IF(Checks!$V$216="","",CHAR(10))&amp;"N/A just.: "&amp;Checks!$AC$216)&amp;IF(Checks!$W$216="","",CHAR(10)&amp;"Batch: "&amp;Checks!$W$216)&amp;IF(AND(Checks!$X$216="",Checks!$Y$216=""),"",CHAR(10)&amp;"Exp: "&amp;Checks!$X$216&amp;"  /  Act: "&amp;Checks!$Y$216)</f>
        <v/>
      </c>
      <c r="F27" s="114" t="str">
        <f aca="false">IF(Checks!$Z$216="","","Evidence: "&amp;Checks!$Z$216)&amp;IF(Checks!$AA$216="","",IF(Checks!$Z$216="","",CHAR(10))&amp;"CA: "&amp;Checks!$AA$216)</f>
        <v/>
      </c>
      <c r="G27" s="114" t="str">
        <f aca="false">IF(ISNUMBER(Checks!$AD$216),TEXT(Checks!$AD$216,"DD-MMM-YY HH:MM")&amp;" "&amp;Checks!$P$216,"")&amp;IF(Checks!$AE$216="","",CHAR(10)&amp;"Verifier: "&amp;Checks!$AE$216)&amp;IF(Checks!$T$216="","",CHAR(10)&amp;"PIC: "&amp;Checks!$T$216)</f>
        <v/>
      </c>
      <c r="H27" s="115" t="str">
        <f aca="false">IF(Checks!$AH$216="","",Checks!$AH$216)</f>
        <v>OPEN</v>
      </c>
    </row>
    <row r="28" customFormat="false" ht="114" hidden="false" customHeight="true" outlineLevel="0" collapsed="false">
      <c r="A28" s="114" t="str">
        <f aca="false">Checks!$A$217&amp;CHAR(10)&amp;IF(Checks!$I$217="","",Checks!$I$217&amp;": ")&amp;Checks!$J$217</f>
        <v>F07-T7-05
ISOP: All latest applicable ISOP revisions communicated to caterer</v>
      </c>
      <c r="B28" s="114" t="str">
        <f aca="false">Checks!$K$217&amp;IF(Checks!$O$217="","",IF(Checks!$K$217="","",CHAR(10))&amp;"Note: "&amp;Checks!$O$217)</f>
        <v>List revision numbers in Result (see ISOP register)</v>
      </c>
      <c r="C28" s="114" t="str">
        <f aca="false">Checks!$N$217&amp;CHAR(10)&amp;IF(ISNUMBER(Checks!$R$217),TEXT(Checks!$R$217,"DD-MMM-YY HH:MM"),"")&amp;" "&amp;Checks!$P$217</f>
        <v>Required
02-Oct-26 11:00 LHR</v>
      </c>
      <c r="D28" s="114" t="str">
        <f aca="false">IF(Checks!$U$217="","",Checks!$U$217)&amp;IF(Checks!$AB$217="","",CHAR(10)&amp;"CA: "&amp;Checks!$AB$217)</f>
        <v/>
      </c>
      <c r="E28" s="114" t="str">
        <f aca="false">IF(Checks!$V$217="","",Checks!$V$217)&amp;IF(Checks!$AC$217="","",IF(Checks!$V$217="","",CHAR(10))&amp;"N/A just.: "&amp;Checks!$AC$217)&amp;IF(Checks!$W$217="","",CHAR(10)&amp;"Batch: "&amp;Checks!$W$217)&amp;IF(AND(Checks!$X$217="",Checks!$Y$217=""),"",CHAR(10)&amp;"Exp: "&amp;Checks!$X$217&amp;"  /  Act: "&amp;Checks!$Y$217)</f>
        <v/>
      </c>
      <c r="F28" s="114" t="str">
        <f aca="false">IF(Checks!$Z$217="","","Evidence: "&amp;Checks!$Z$217)&amp;IF(Checks!$AA$217="","",IF(Checks!$Z$217="","",CHAR(10))&amp;"CA: "&amp;Checks!$AA$217)</f>
        <v/>
      </c>
      <c r="G28" s="114" t="str">
        <f aca="false">IF(ISNUMBER(Checks!$AD$217),TEXT(Checks!$AD$217,"DD-MMM-YY HH:MM")&amp;" "&amp;Checks!$P$217,"")&amp;IF(Checks!$AE$217="","",CHAR(10)&amp;"Verifier: "&amp;Checks!$AE$217)&amp;IF(Checks!$T$217="","",CHAR(10)&amp;"PIC: "&amp;Checks!$T$217)</f>
        <v/>
      </c>
      <c r="H28" s="115" t="str">
        <f aca="false">IF(Checks!$AH$217="","",Checks!$AH$217)</f>
        <v>OPEN</v>
      </c>
    </row>
    <row r="29" customFormat="false" ht="114" hidden="false" customHeight="true" outlineLevel="0" collapsed="false">
      <c r="A29" s="114" t="str">
        <f aca="false">Checks!$A$218&amp;CHAR(10)&amp;IF(Checks!$I$218="","",Checks!$I$218&amp;": ")&amp;Checks!$J$218</f>
        <v>F07-T7-06
ISOP: Caterer acknowledgement of ISOP revisions recorded</v>
      </c>
      <c r="B29" s="114" t="str">
        <f aca="false">Checks!$K$218&amp;IF(Checks!$O$218="","",IF(Checks!$K$218="","",CHAR(10))&amp;"Note: "&amp;Checks!$O$218)</f>
        <v>Record acknowledgement ref in Evidence</v>
      </c>
      <c r="C29" s="114" t="str">
        <f aca="false">Checks!$N$218&amp;CHAR(10)&amp;IF(ISNUMBER(Checks!$R$218),TEXT(Checks!$R$218,"DD-MMM-YY HH:MM"),"")&amp;" "&amp;Checks!$P$218</f>
        <v>Required
02-Oct-26 11:00 LHR</v>
      </c>
      <c r="D29" s="114" t="str">
        <f aca="false">IF(Checks!$U$218="","",Checks!$U$218)&amp;IF(Checks!$AB$218="","",CHAR(10)&amp;"CA: "&amp;Checks!$AB$218)</f>
        <v/>
      </c>
      <c r="E29" s="114" t="str">
        <f aca="false">IF(Checks!$V$218="","",Checks!$V$218)&amp;IF(Checks!$AC$218="","",IF(Checks!$V$218="","",CHAR(10))&amp;"N/A just.: "&amp;Checks!$AC$218)&amp;IF(Checks!$W$218="","",CHAR(10)&amp;"Batch: "&amp;Checks!$W$218)&amp;IF(AND(Checks!$X$218="",Checks!$Y$218=""),"",CHAR(10)&amp;"Exp: "&amp;Checks!$X$218&amp;"  /  Act: "&amp;Checks!$Y$218)</f>
        <v/>
      </c>
      <c r="F29" s="114" t="str">
        <f aca="false">IF(Checks!$Z$218="","","Evidence: "&amp;Checks!$Z$218)&amp;IF(Checks!$AA$218="","",IF(Checks!$Z$218="","",CHAR(10))&amp;"CA: "&amp;Checks!$AA$218)</f>
        <v/>
      </c>
      <c r="G29" s="114" t="str">
        <f aca="false">IF(ISNUMBER(Checks!$AD$218),TEXT(Checks!$AD$218,"DD-MMM-YY HH:MM")&amp;" "&amp;Checks!$P$218,"")&amp;IF(Checks!$AE$218="","",CHAR(10)&amp;"Verifier: "&amp;Checks!$AE$218)&amp;IF(Checks!$T$218="","",CHAR(10)&amp;"PIC: "&amp;Checks!$T$218)</f>
        <v/>
      </c>
      <c r="H29" s="115" t="str">
        <f aca="false">IF(Checks!$AH$218="","",Checks!$AH$218)</f>
        <v>OPEN</v>
      </c>
    </row>
    <row r="30" customFormat="false" ht="114" hidden="false" customHeight="true" outlineLevel="0" collapsed="false">
      <c r="A30" s="114" t="str">
        <f aca="false">Checks!$A$219&amp;CHAR(10)&amp;IF(Checks!$I$219="","",Checks!$I$219&amp;": ")&amp;Checks!$J$219</f>
        <v>F07-T7-07
Documents: Galley loading diagram (GLD) received, revision recorded &amp; attached</v>
      </c>
      <c r="B30" s="114" t="str">
        <f aca="false">Checks!$K$219&amp;IF(Checks!$O$219="","",IF(Checks!$K$219="","",CHAR(10))&amp;"Note: "&amp;Checks!$O$219)</f>
        <v>Documents sheet row complete</v>
      </c>
      <c r="C30" s="114" t="str">
        <f aca="false">Checks!$N$219&amp;CHAR(10)&amp;IF(ISNUMBER(Checks!$R$219),TEXT(Checks!$R$219,"DD-MMM-YY HH:MM"),"")&amp;" "&amp;Checks!$P$219</f>
        <v>Required
02-Oct-26 11:00 LHR</v>
      </c>
      <c r="D30" s="114" t="str">
        <f aca="false">IF(Checks!$U$219="","",Checks!$U$219)&amp;IF(Checks!$AB$219="","",CHAR(10)&amp;"CA: "&amp;Checks!$AB$219)</f>
        <v/>
      </c>
      <c r="E30" s="114" t="str">
        <f aca="false">IF(Checks!$V$219="","",Checks!$V$219)&amp;IF(Checks!$AC$219="","",IF(Checks!$V$219="","",CHAR(10))&amp;"N/A just.: "&amp;Checks!$AC$219)&amp;IF(Checks!$W$219="","",CHAR(10)&amp;"Batch: "&amp;Checks!$W$219)&amp;IF(AND(Checks!$X$219="",Checks!$Y$219=""),"",CHAR(10)&amp;"Exp: "&amp;Checks!$X$219&amp;"  /  Act: "&amp;Checks!$Y$219)</f>
        <v/>
      </c>
      <c r="F30" s="114" t="str">
        <f aca="false">IF(Checks!$Z$219="","","Evidence: "&amp;Checks!$Z$219)&amp;IF(Checks!$AA$219="","",IF(Checks!$Z$219="","",CHAR(10))&amp;"CA: "&amp;Checks!$AA$219)</f>
        <v/>
      </c>
      <c r="G30" s="114" t="str">
        <f aca="false">IF(ISNUMBER(Checks!$AD$219),TEXT(Checks!$AD$219,"DD-MMM-YY HH:MM")&amp;" "&amp;Checks!$P$219,"")&amp;IF(Checks!$AE$219="","",CHAR(10)&amp;"Verifier: "&amp;Checks!$AE$219)&amp;IF(Checks!$T$219="","",CHAR(10)&amp;"PIC: "&amp;Checks!$T$219)</f>
        <v/>
      </c>
      <c r="H30" s="115" t="str">
        <f aca="false">IF(Checks!$AH$219="","",Checks!$AH$219)</f>
        <v>OPEN</v>
      </c>
    </row>
    <row r="31" customFormat="false" ht="114" hidden="false" customHeight="true" outlineLevel="0" collapsed="false">
      <c r="A31" s="114" t="str">
        <f aca="false">Checks!$A$220&amp;CHAR(10)&amp;IF(Checks!$I$220="","",Checks!$I$220&amp;": ")&amp;Checks!$J$220</f>
        <v>F07-T7-08
Documents: Menu checklist received, revision recorded &amp; attached</v>
      </c>
      <c r="B31" s="114" t="str">
        <f aca="false">Checks!$K$220&amp;IF(Checks!$O$220="","",IF(Checks!$K$220="","",CHAR(10))&amp;"Note: "&amp;Checks!$O$220)</f>
        <v>Documents sheet row complete</v>
      </c>
      <c r="C31" s="114" t="str">
        <f aca="false">Checks!$N$220&amp;CHAR(10)&amp;IF(ISNUMBER(Checks!$R$220),TEXT(Checks!$R$220,"DD-MMM-YY HH:MM"),"")&amp;" "&amp;Checks!$P$220</f>
        <v>Required
02-Oct-26 11:00 LHR</v>
      </c>
      <c r="D31" s="114" t="str">
        <f aca="false">IF(Checks!$U$220="","",Checks!$U$220)&amp;IF(Checks!$AB$220="","",CHAR(10)&amp;"CA: "&amp;Checks!$AB$220)</f>
        <v/>
      </c>
      <c r="E31" s="114" t="str">
        <f aca="false">IF(Checks!$V$220="","",Checks!$V$220)&amp;IF(Checks!$AC$220="","",IF(Checks!$V$220="","",CHAR(10))&amp;"N/A just.: "&amp;Checks!$AC$220)&amp;IF(Checks!$W$220="","",CHAR(10)&amp;"Batch: "&amp;Checks!$W$220)&amp;IF(AND(Checks!$X$220="",Checks!$Y$220=""),"",CHAR(10)&amp;"Exp: "&amp;Checks!$X$220&amp;"  /  Act: "&amp;Checks!$Y$220)</f>
        <v/>
      </c>
      <c r="F31" s="114" t="str">
        <f aca="false">IF(Checks!$Z$220="","","Evidence: "&amp;Checks!$Z$220)&amp;IF(Checks!$AA$220="","",IF(Checks!$Z$220="","",CHAR(10))&amp;"CA: "&amp;Checks!$AA$220)</f>
        <v/>
      </c>
      <c r="G31" s="114" t="str">
        <f aca="false">IF(ISNUMBER(Checks!$AD$220),TEXT(Checks!$AD$220,"DD-MMM-YY HH:MM")&amp;" "&amp;Checks!$P$220,"")&amp;IF(Checks!$AE$220="","",CHAR(10)&amp;"Verifier: "&amp;Checks!$AE$220)&amp;IF(Checks!$T$220="","",CHAR(10)&amp;"PIC: "&amp;Checks!$T$220)</f>
        <v/>
      </c>
      <c r="H31" s="115" t="str">
        <f aca="false">IF(Checks!$AH$220="","",Checks!$AH$220)</f>
        <v>OPEN</v>
      </c>
    </row>
    <row r="32" customFormat="false" ht="114" hidden="false" customHeight="true" outlineLevel="0" collapsed="false">
      <c r="A32" s="114" t="str">
        <f aca="false">Checks!$A$221&amp;CHAR(10)&amp;IF(Checks!$I$221="","",Checks!$I$221&amp;": ")&amp;Checks!$J$221</f>
        <v>F07-T7-09
Uplift plan: Uplift plan confirmed with caterer vs STD Uplift Information</v>
      </c>
      <c r="B32" s="114" t="str">
        <f aca="false">Checks!$K$221&amp;IF(Checks!$O$221="","",IF(Checks!$K$221="","",CHAR(10))&amp;"Note: "&amp;Checks!$O$221)</f>
        <v>Service: 2.5 Meal (Meal); meal uplift stn LHR (ref lists KUL/LHR)</v>
      </c>
      <c r="C32" s="114" t="str">
        <f aca="false">Checks!$N$221&amp;CHAR(10)&amp;IF(ISNUMBER(Checks!$R$221),TEXT(Checks!$R$221,"DD-MMM-YY HH:MM"),"")&amp;" "&amp;Checks!$P$221</f>
        <v>Required
02-Oct-26 11:00 LHR</v>
      </c>
      <c r="D32" s="114" t="str">
        <f aca="false">IF(Checks!$U$221="","",Checks!$U$221)&amp;IF(Checks!$AB$221="","",CHAR(10)&amp;"CA: "&amp;Checks!$AB$221)</f>
        <v/>
      </c>
      <c r="E32" s="114" t="str">
        <f aca="false">IF(Checks!$V$221="","",Checks!$V$221)&amp;IF(Checks!$AC$221="","",IF(Checks!$V$221="","",CHAR(10))&amp;"N/A just.: "&amp;Checks!$AC$221)&amp;IF(Checks!$W$221="","",CHAR(10)&amp;"Batch: "&amp;Checks!$W$221)&amp;IF(AND(Checks!$X$221="",Checks!$Y$221=""),"",CHAR(10)&amp;"Exp: "&amp;Checks!$X$221&amp;"  /  Act: "&amp;Checks!$Y$221)</f>
        <v/>
      </c>
      <c r="F32" s="114" t="str">
        <f aca="false">IF(Checks!$Z$221="","","Evidence: "&amp;Checks!$Z$221)&amp;IF(Checks!$AA$221="","",IF(Checks!$Z$221="","",CHAR(10))&amp;"CA: "&amp;Checks!$AA$221)</f>
        <v/>
      </c>
      <c r="G32" s="114" t="str">
        <f aca="false">IF(ISNUMBER(Checks!$AD$221),TEXT(Checks!$AD$221,"DD-MMM-YY HH:MM")&amp;" "&amp;Checks!$P$221,"")&amp;IF(Checks!$AE$221="","",CHAR(10)&amp;"Verifier: "&amp;Checks!$AE$221)&amp;IF(Checks!$T$221="","",CHAR(10)&amp;"PIC: "&amp;Checks!$T$221)</f>
        <v/>
      </c>
      <c r="H32" s="115" t="str">
        <f aca="false">IF(Checks!$AH$221="","",Checks!$AH$221)</f>
        <v>OPEN</v>
      </c>
    </row>
    <row r="33" customFormat="false" ht="279" hidden="false" customHeight="true" outlineLevel="0" collapsed="false">
      <c r="A33" s="114" t="str">
        <f aca="false">Checks!$A$222&amp;CHAR(10)&amp;IF(Checks!$I$222="","",Checks!$I$222&amp;": ")&amp;Checks!$J$222</f>
        <v>F07-T7-10
Uplift plan: Inbound KUL-LHR flight carrying KUL-sourced items identified and its KUL departure (UTC) entered on Flights col AX</v>
      </c>
      <c r="B33" s="114" t="str">
        <f aca="false">Checks!$K$222&amp;IF(Checks!$O$222="","",IF(Checks!$K$222="","",CHAR(10))&amp;"Note: "&amp;Checks!$O$222)</f>
        <v>KUL-sourced items (Pajamas (BC), Slippers (BS/BC), Signature drink &amp; garnish (BC)) travel on the inbound KUL-LHR sector
Note: Cannot be passed until Flights AX holds the carrying flight's KUL departure (no KUL-LHR flight before this leg in the agenda). Until then the prep and KUL-loading dues assume the agenda candidate's KUL departure, or if none, the latest possible one (STD minus the shortest agenda KUL-LHR block).</v>
      </c>
      <c r="C33" s="114" t="str">
        <f aca="false">Checks!$N$222&amp;CHAR(10)&amp;IF(ISNUMBER(Checks!$R$222),TEXT(Checks!$R$222,"DD-MMM-YY HH:MM"),"")&amp;" "&amp;Checks!$P$222</f>
        <v>Clarification required
02-Oct-26 18:00 KUL</v>
      </c>
      <c r="D33" s="114" t="str">
        <f aca="false">IF(Checks!$U$222="","",Checks!$U$222)&amp;IF(Checks!$AB$222="","",CHAR(10)&amp;"CA: "&amp;Checks!$AB$222)</f>
        <v/>
      </c>
      <c r="E33" s="114" t="str">
        <f aca="false">IF(Checks!$V$222="","",Checks!$V$222)&amp;IF(Checks!$AC$222="","",IF(Checks!$V$222="","",CHAR(10))&amp;"N/A just.: "&amp;Checks!$AC$222)&amp;IF(Checks!$W$222="","",CHAR(10)&amp;"Batch: "&amp;Checks!$W$222)&amp;IF(AND(Checks!$X$222="",Checks!$Y$222=""),"",CHAR(10)&amp;"Exp: "&amp;Checks!$X$222&amp;"  /  Act: "&amp;Checks!$Y$222)</f>
        <v/>
      </c>
      <c r="F33" s="114" t="str">
        <f aca="false">IF(Checks!$Z$222="","","Evidence: "&amp;Checks!$Z$222)&amp;IF(Checks!$AA$222="","",IF(Checks!$Z$222="","",CHAR(10))&amp;"CA: "&amp;Checks!$AA$222)</f>
        <v/>
      </c>
      <c r="G33" s="114" t="str">
        <f aca="false">IF(ISNUMBER(Checks!$AD$222),TEXT(Checks!$AD$222,"DD-MMM-YY HH:MM")&amp;" "&amp;Checks!$P$222,"")&amp;IF(Checks!$AE$222="","",CHAR(10)&amp;"Verifier: "&amp;Checks!$AE$222)&amp;IF(Checks!$T$222="","",CHAR(10)&amp;"PIC: "&amp;Checks!$T$222)</f>
        <v/>
      </c>
      <c r="H33" s="115" t="str">
        <f aca="false">IF(Checks!$AH$222="","",Checks!$AH$222)</f>
        <v>OPEN – CLARIFICATION</v>
      </c>
    </row>
    <row r="34" customFormat="false" ht="25.5" hidden="false" customHeight="true" outlineLevel="0" collapsed="false">
      <c r="A34" s="113" t="str">
        <f aca="false">"T-24H — Production batch sensory  |  Due "&amp;IF(ISNUMBER(Flights!$AH$11),TEXT(Flights!$AH$11,"DD-MMM-YY HH:MM"),"")&amp;" "&amp;Flights!$V$11&amp;" (meal uplift stn)"&amp;" (rows with another due show their own)  |  Complete "&amp;IF(ISNUMBER(Flights!$AK$11),TEXT(Flights!$AK$11,"0%"),Flights!$AK$11)&amp;"  |  1 lines"</f>
        <v>T-24H — Production batch sensory  |  Due 08-Oct-26 11:00 LHR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Checks!$A$223&amp;CHAR(10)&amp;IF(Checks!$I$223="","",Checks!$I$223&amp;": ")&amp;Checks!$J$223</f>
        <v>F07-T24-01
Meal: Sensory test repeated on ACTUAL production batch for this flight</v>
      </c>
      <c r="B35" s="114" t="str">
        <f aca="false">Checks!$K$223&amp;IF(Checks!$O$223="","",IF(Checks!$K$223="","",CHAR(10))&amp;"Note: "&amp;Checks!$O$223)</f>
        <v>Batch ID, result, CA and acceptance mandatory</v>
      </c>
      <c r="C35" s="114" t="str">
        <f aca="false">Checks!$N$223&amp;CHAR(10)&amp;IF(ISNUMBER(Checks!$R$223),TEXT(Checks!$R$223,"DD-MMM-YY HH:MM"),"")&amp;" "&amp;Checks!$P$223</f>
        <v>Required
08-Oct-26 11:00 LHR</v>
      </c>
      <c r="D35" s="114" t="str">
        <f aca="false">IF(Checks!$U$223="","",Checks!$U$223)&amp;IF(Checks!$AB$223="","",CHAR(10)&amp;"CA: "&amp;Checks!$AB$223)</f>
        <v/>
      </c>
      <c r="E35" s="114" t="str">
        <f aca="false">IF(Checks!$V$223="","",Checks!$V$223)&amp;IF(Checks!$AC$223="","",IF(Checks!$V$223="","",CHAR(10))&amp;"N/A just.: "&amp;Checks!$AC$223)&amp;IF(Checks!$W$223="","",CHAR(10)&amp;"Batch: "&amp;Checks!$W$223)&amp;IF(AND(Checks!$X$223="",Checks!$Y$223=""),"",CHAR(10)&amp;"Exp: "&amp;Checks!$X$223&amp;"  /  Act: "&amp;Checks!$Y$223)</f>
        <v/>
      </c>
      <c r="F35" s="114" t="str">
        <f aca="false">IF(Checks!$Z$223="","","Evidence: "&amp;Checks!$Z$223)&amp;IF(Checks!$AA$223="","",IF(Checks!$Z$223="","",CHAR(10))&amp;"CA: "&amp;Checks!$AA$223)</f>
        <v/>
      </c>
      <c r="G35" s="114" t="str">
        <f aca="false">IF(ISNUMBER(Checks!$AD$223),TEXT(Checks!$AD$223,"DD-MMM-YY HH:MM")&amp;" "&amp;Checks!$P$223,"")&amp;IF(Checks!$AE$223="","",CHAR(10)&amp;"Verifier: "&amp;Checks!$AE$223)&amp;IF(Checks!$T$223="","",CHAR(10)&amp;"PIC: "&amp;Checks!$T$223)</f>
        <v/>
      </c>
      <c r="H35" s="115" t="str">
        <f aca="false">IF(Checks!$AH$223="","",Checks!$AH$223)</f>
        <v>OPEN</v>
      </c>
    </row>
    <row r="36" customFormat="false" ht="25.5" hidden="false" customHeight="true" outlineLevel="0" collapsed="false">
      <c r="A36" s="113" t="str">
        <f aca="false">"T-12H PREP — Preparation check at caterer (does NOT confirm loading)  |  Due "&amp;IF(ISNUMBER(Flights!$AI$11),TEXT(Flights!$AI$11,"DD-MMM-YY HH:MM"),"")&amp;" "&amp;Flights!$V$11&amp;" (meal uplift stn)"&amp;" (rows with another due show their own)  |  Complete "&amp;IF(ISNUMBER(Flights!$AL$11),TEXT(Flights!$AL$11,"0%"),Flights!$AL$11)&amp;"  |  21 lines"</f>
        <v>T-12H PREP — Preparation check at caterer (does NOT confirm loading)  |  Due 08-Oct-26 23:00 LHR (meal uplift stn) (rows with another due show their own)  |  Complete 0%  |  21 lines</v>
      </c>
      <c r="B36" s="113"/>
      <c r="C36" s="113"/>
      <c r="D36" s="113"/>
      <c r="E36" s="113"/>
      <c r="F36" s="113"/>
      <c r="G36" s="113"/>
      <c r="H36" s="113"/>
    </row>
    <row r="37" customFormat="false" ht="114" hidden="false" customHeight="true" outlineLevel="0" collapsed="false">
      <c r="A37" s="114" t="str">
        <f aca="false">Checks!$A$224&amp;CHAR(10)&amp;IF(Checks!$I$224="","",Checks!$I$224&amp;": ")&amp;Checks!$J$224</f>
        <v>F07-T12-01
Meal: Meal quality vs menu checklist</v>
      </c>
      <c r="B37" s="114" t="str">
        <f aca="false">Checks!$K$224&amp;IF(Checks!$O$224="","",IF(Checks!$K$224="","",CHAR(10))&amp;"Note: "&amp;Checks!$O$224)</f>
        <v>Note: Preparation check at caterer - does NOT confirm loading.</v>
      </c>
      <c r="C37" s="114" t="str">
        <f aca="false">Checks!$N$224&amp;CHAR(10)&amp;IF(ISNUMBER(Checks!$R$224),TEXT(Checks!$R$224,"DD-MMM-YY HH:MM"),"")&amp;" "&amp;Checks!$P$224</f>
        <v>Required
08-Oct-26 23:00 LHR</v>
      </c>
      <c r="D37" s="114" t="str">
        <f aca="false">IF(Checks!$U$224="","",Checks!$U$224)&amp;IF(Checks!$AB$224="","",CHAR(10)&amp;"CA: "&amp;Checks!$AB$224)</f>
        <v/>
      </c>
      <c r="E37" s="114" t="str">
        <f aca="false">IF(Checks!$V$224="","",Checks!$V$224)&amp;IF(Checks!$AC$224="","",IF(Checks!$V$224="","",CHAR(10))&amp;"N/A just.: "&amp;Checks!$AC$224)&amp;IF(Checks!$W$224="","",CHAR(10)&amp;"Batch: "&amp;Checks!$W$224)&amp;IF(AND(Checks!$X$224="",Checks!$Y$224=""),"",CHAR(10)&amp;"Exp: "&amp;Checks!$X$224&amp;"  /  Act: "&amp;Checks!$Y$224)</f>
        <v/>
      </c>
      <c r="F37" s="114" t="str">
        <f aca="false">IF(Checks!$Z$224="","","Evidence: "&amp;Checks!$Z$224)&amp;IF(Checks!$AA$224="","",IF(Checks!$Z$224="","",CHAR(10))&amp;"CA: "&amp;Checks!$AA$224)</f>
        <v/>
      </c>
      <c r="G37" s="114" t="str">
        <f aca="false">IF(ISNUMBER(Checks!$AD$224),TEXT(Checks!$AD$224,"DD-MMM-YY HH:MM")&amp;" "&amp;Checks!$P$224,"")&amp;IF(Checks!$AE$224="","",CHAR(10)&amp;"Verifier: "&amp;Checks!$AE$224)&amp;IF(Checks!$T$224="","",CHAR(10)&amp;"PIC: "&amp;Checks!$T$224)</f>
        <v/>
      </c>
      <c r="H37" s="115" t="str">
        <f aca="false">IF(Checks!$AH$224="","",Checks!$AH$224)</f>
        <v>OPEN</v>
      </c>
    </row>
    <row r="38" customFormat="false" ht="114" hidden="false" customHeight="true" outlineLevel="0" collapsed="false">
      <c r="A38" s="114" t="str">
        <f aca="false">Checks!$A$225&amp;CHAR(10)&amp;IF(Checks!$I$225="","",Checks!$I$225&amp;": ")&amp;Checks!$J$225</f>
        <v>F07-T12-02
Meal: Meal quantities vs menu checklist</v>
      </c>
      <c r="B38" s="114" t="str">
        <f aca="false">Checks!$K$225&amp;IF(Checks!$O$225="","",IF(Checks!$K$225="","",CHAR(10))&amp;"Note: "&amp;Checks!$O$225)</f>
        <v>Enter expected &amp; actual
Note: Preparation check at caterer - does NOT confirm loading.</v>
      </c>
      <c r="C38" s="114" t="str">
        <f aca="false">Checks!$N$225&amp;CHAR(10)&amp;IF(ISNUMBER(Checks!$R$225),TEXT(Checks!$R$225,"DD-MMM-YY HH:MM"),"")&amp;" "&amp;Checks!$P$225</f>
        <v>Required
08-Oct-26 23:00 LHR</v>
      </c>
      <c r="D38" s="114" t="str">
        <f aca="false">IF(Checks!$U$225="","",Checks!$U$225)&amp;IF(Checks!$AB$225="","",CHAR(10)&amp;"CA: "&amp;Checks!$AB$225)</f>
        <v/>
      </c>
      <c r="E38" s="114" t="str">
        <f aca="false">IF(Checks!$V$225="","",Checks!$V$225)&amp;IF(Checks!$AC$225="","",IF(Checks!$V$225="","",CHAR(10))&amp;"N/A just.: "&amp;Checks!$AC$225)&amp;IF(Checks!$W$225="","",CHAR(10)&amp;"Batch: "&amp;Checks!$W$225)&amp;IF(AND(Checks!$X$225="",Checks!$Y$225=""),"",CHAR(10)&amp;"Exp: "&amp;Checks!$X$225&amp;"  /  Act: "&amp;Checks!$Y$225)</f>
        <v/>
      </c>
      <c r="F38" s="114" t="str">
        <f aca="false">IF(Checks!$Z$225="","","Evidence: "&amp;Checks!$Z$225)&amp;IF(Checks!$AA$225="","",IF(Checks!$Z$225="","",CHAR(10))&amp;"CA: "&amp;Checks!$AA$225)</f>
        <v/>
      </c>
      <c r="G38" s="114" t="str">
        <f aca="false">IF(ISNUMBER(Checks!$AD$225),TEXT(Checks!$AD$225,"DD-MMM-YY HH:MM")&amp;" "&amp;Checks!$P$225,"")&amp;IF(Checks!$AE$225="","",CHAR(10)&amp;"Verifier: "&amp;Checks!$AE$225)&amp;IF(Checks!$T$225="","",CHAR(10)&amp;"PIC: "&amp;Checks!$T$225)</f>
        <v/>
      </c>
      <c r="H38" s="115" t="str">
        <f aca="false">IF(Checks!$AH$225="","",Checks!$AH$225)</f>
        <v>OPEN</v>
      </c>
    </row>
    <row r="39" customFormat="false" ht="114" hidden="false" customHeight="true" outlineLevel="0" collapsed="false">
      <c r="A39" s="114" t="str">
        <f aca="false">Checks!$A$226&amp;CHAR(10)&amp;IF(Checks!$I$226="","",Checks!$I$226&amp;": ")&amp;Checks!$J$226</f>
        <v>F07-T12-03
Equipment: Equipment cleanliness vs GLD</v>
      </c>
      <c r="B39" s="114" t="str">
        <f aca="false">Checks!$K$226&amp;IF(Checks!$O$226="","",IF(Checks!$K$226="","",CHAR(10))&amp;"Note: "&amp;Checks!$O$226)</f>
        <v>Note: Preparation check at caterer - does NOT confirm loading.</v>
      </c>
      <c r="C39" s="114" t="str">
        <f aca="false">Checks!$N$226&amp;CHAR(10)&amp;IF(ISNUMBER(Checks!$R$226),TEXT(Checks!$R$226,"DD-MMM-YY HH:MM"),"")&amp;" "&amp;Checks!$P$226</f>
        <v>Required
08-Oct-26 23:00 LHR</v>
      </c>
      <c r="D39" s="114" t="str">
        <f aca="false">IF(Checks!$U$226="","",Checks!$U$226)&amp;IF(Checks!$AB$226="","",CHAR(10)&amp;"CA: "&amp;Checks!$AB$226)</f>
        <v/>
      </c>
      <c r="E39" s="114" t="str">
        <f aca="false">IF(Checks!$V$226="","",Checks!$V$226)&amp;IF(Checks!$AC$226="","",IF(Checks!$V$226="","",CHAR(10))&amp;"N/A just.: "&amp;Checks!$AC$226)&amp;IF(Checks!$W$226="","",CHAR(10)&amp;"Batch: "&amp;Checks!$W$226)&amp;IF(AND(Checks!$X$226="",Checks!$Y$226=""),"",CHAR(10)&amp;"Exp: "&amp;Checks!$X$226&amp;"  /  Act: "&amp;Checks!$Y$226)</f>
        <v/>
      </c>
      <c r="F39" s="114" t="str">
        <f aca="false">IF(Checks!$Z$226="","","Evidence: "&amp;Checks!$Z$226)&amp;IF(Checks!$AA$226="","",IF(Checks!$Z$226="","",CHAR(10))&amp;"CA: "&amp;Checks!$AA$226)</f>
        <v/>
      </c>
      <c r="G39" s="114" t="str">
        <f aca="false">IF(ISNUMBER(Checks!$AD$226),TEXT(Checks!$AD$226,"DD-MMM-YY HH:MM")&amp;" "&amp;Checks!$P$226,"")&amp;IF(Checks!$AE$226="","",CHAR(10)&amp;"Verifier: "&amp;Checks!$AE$226)&amp;IF(Checks!$T$226="","",CHAR(10)&amp;"PIC: "&amp;Checks!$T$226)</f>
        <v/>
      </c>
      <c r="H39" s="115" t="str">
        <f aca="false">IF(Checks!$AH$226="","",Checks!$AH$226)</f>
        <v>OPEN</v>
      </c>
    </row>
    <row r="40" customFormat="false" ht="114" hidden="false" customHeight="true" outlineLevel="0" collapsed="false">
      <c r="A40" s="114" t="str">
        <f aca="false">Checks!$A$227&amp;CHAR(10)&amp;IF(Checks!$I$227="","",Checks!$I$227&amp;": ")&amp;Checks!$J$227</f>
        <v>F07-T12-04
Equipment: Equipment presentation vs GLD</v>
      </c>
      <c r="B40" s="114" t="str">
        <f aca="false">Checks!$K$227&amp;IF(Checks!$O$227="","",IF(Checks!$K$227="","",CHAR(10))&amp;"Note: "&amp;Checks!$O$227)</f>
        <v>Note: Preparation check at caterer - does NOT confirm loading.</v>
      </c>
      <c r="C40" s="114" t="str">
        <f aca="false">Checks!$N$227&amp;CHAR(10)&amp;IF(ISNUMBER(Checks!$R$227),TEXT(Checks!$R$227,"DD-MMM-YY HH:MM"),"")&amp;" "&amp;Checks!$P$227</f>
        <v>Required
08-Oct-26 23:00 LHR</v>
      </c>
      <c r="D40" s="114" t="str">
        <f aca="false">IF(Checks!$U$227="","",Checks!$U$227)&amp;IF(Checks!$AB$227="","",CHAR(10)&amp;"CA: "&amp;Checks!$AB$227)</f>
        <v/>
      </c>
      <c r="E40" s="114" t="str">
        <f aca="false">IF(Checks!$V$227="","",Checks!$V$227)&amp;IF(Checks!$AC$227="","",IF(Checks!$V$227="","",CHAR(10))&amp;"N/A just.: "&amp;Checks!$AC$227)&amp;IF(Checks!$W$227="","",CHAR(10)&amp;"Batch: "&amp;Checks!$W$227)&amp;IF(AND(Checks!$X$227="",Checks!$Y$227=""),"",CHAR(10)&amp;"Exp: "&amp;Checks!$X$227&amp;"  /  Act: "&amp;Checks!$Y$227)</f>
        <v/>
      </c>
      <c r="F40" s="114" t="str">
        <f aca="false">IF(Checks!$Z$227="","","Evidence: "&amp;Checks!$Z$227)&amp;IF(Checks!$AA$227="","",IF(Checks!$Z$227="","",CHAR(10))&amp;"CA: "&amp;Checks!$AA$227)</f>
        <v/>
      </c>
      <c r="G40" s="114" t="str">
        <f aca="false">IF(ISNUMBER(Checks!$AD$227),TEXT(Checks!$AD$227,"DD-MMM-YY HH:MM")&amp;" "&amp;Checks!$P$227,"")&amp;IF(Checks!$AE$227="","",CHAR(10)&amp;"Verifier: "&amp;Checks!$AE$227)&amp;IF(Checks!$T$227="","",CHAR(10)&amp;"PIC: "&amp;Checks!$T$227)</f>
        <v/>
      </c>
      <c r="H40" s="115" t="str">
        <f aca="false">IF(Checks!$AH$227="","",Checks!$AH$227)</f>
        <v>OPEN</v>
      </c>
    </row>
    <row r="41" customFormat="false" ht="114" hidden="false" customHeight="true" outlineLevel="0" collapsed="false">
      <c r="A41" s="114" t="str">
        <f aca="false">Checks!$A$228&amp;CHAR(10)&amp;IF(Checks!$I$228="","",Checks!$I$228&amp;": ")&amp;Checks!$J$228</f>
        <v>F07-T12-05
Equipment: Equipment serviceability vs GLD</v>
      </c>
      <c r="B41" s="114" t="str">
        <f aca="false">Checks!$K$228&amp;IF(Checks!$O$228="","",IF(Checks!$K$228="","",CHAR(10))&amp;"Note: "&amp;Checks!$O$228)</f>
        <v>Note: Preparation check at caterer - does NOT confirm loading.</v>
      </c>
      <c r="C41" s="114" t="str">
        <f aca="false">Checks!$N$228&amp;CHAR(10)&amp;IF(ISNUMBER(Checks!$R$228),TEXT(Checks!$R$228,"DD-MMM-YY HH:MM"),"")&amp;" "&amp;Checks!$P$228</f>
        <v>Required
08-Oct-26 23:00 LHR</v>
      </c>
      <c r="D41" s="114" t="str">
        <f aca="false">IF(Checks!$U$228="","",Checks!$U$228)&amp;IF(Checks!$AB$228="","",CHAR(10)&amp;"CA: "&amp;Checks!$AB$228)</f>
        <v/>
      </c>
      <c r="E41" s="114" t="str">
        <f aca="false">IF(Checks!$V$228="","",Checks!$V$228)&amp;IF(Checks!$AC$228="","",IF(Checks!$V$228="","",CHAR(10))&amp;"N/A just.: "&amp;Checks!$AC$228)&amp;IF(Checks!$W$228="","",CHAR(10)&amp;"Batch: "&amp;Checks!$W$228)&amp;IF(AND(Checks!$X$228="",Checks!$Y$228=""),"",CHAR(10)&amp;"Exp: "&amp;Checks!$X$228&amp;"  /  Act: "&amp;Checks!$Y$228)</f>
        <v/>
      </c>
      <c r="F41" s="114" t="str">
        <f aca="false">IF(Checks!$Z$228="","","Evidence: "&amp;Checks!$Z$228)&amp;IF(Checks!$AA$228="","",IF(Checks!$Z$228="","",CHAR(10))&amp;"CA: "&amp;Checks!$AA$228)</f>
        <v/>
      </c>
      <c r="G41" s="114" t="str">
        <f aca="false">IF(ISNUMBER(Checks!$AD$228),TEXT(Checks!$AD$228,"DD-MMM-YY HH:MM")&amp;" "&amp;Checks!$P$228,"")&amp;IF(Checks!$AE$228="","",CHAR(10)&amp;"Verifier: "&amp;Checks!$AE$228)&amp;IF(Checks!$T$228="","",CHAR(10)&amp;"PIC: "&amp;Checks!$T$228)</f>
        <v/>
      </c>
      <c r="H41" s="115" t="str">
        <f aca="false">IF(Checks!$AH$228="","",Checks!$AH$228)</f>
        <v>OPEN</v>
      </c>
    </row>
    <row r="42" customFormat="false" ht="322.5" hidden="false" customHeight="true" outlineLevel="0" collapsed="false">
      <c r="A42" s="114" t="str">
        <f aca="false">Checks!$A$229&amp;CHAR(10)&amp;IF(Checks!$I$229="","",Checks!$I$229&amp;": ")&amp;Checks!$J$229</f>
        <v>F07-T12-06
Equipment: Equipment quantities vs GLD</v>
      </c>
      <c r="B42" s="114" t="str">
        <f aca="false">SUBSTITUTE(Checks!$K$229&amp;IF(Checks!$O$229="","",IF(Checks!$K$229="","",CHAR(10))&amp;"Note: "&amp;Checks!$O$229),"AIRCRAFT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2" s="114" t="str">
        <f aca="false">Checks!$N$229&amp;CHAR(10)&amp;IF(ISNUMBER(Checks!$R$229),TEXT(Checks!$R$229,"DD-MMM-YY HH:MM"),"")&amp;" "&amp;Checks!$P$229</f>
        <v>Required
08-Oct-26 23:00 LHR</v>
      </c>
      <c r="D42" s="114" t="str">
        <f aca="false">IF(Checks!$U$229="","",Checks!$U$229)&amp;IF(Checks!$AB$229="","",CHAR(10)&amp;"CA: "&amp;Checks!$AB$229)</f>
        <v/>
      </c>
      <c r="E42" s="114" t="str">
        <f aca="false">IF(Checks!$V$229="","",Checks!$V$229)&amp;IF(Checks!$AC$229="","",IF(Checks!$V$229="","",CHAR(10))&amp;"N/A just.: "&amp;Checks!$AC$229)&amp;IF(Checks!$W$229="","",CHAR(10)&amp;"Batch: "&amp;Checks!$W$229)&amp;IF(AND(Checks!$X$229="",Checks!$Y$229=""),"",CHAR(10)&amp;"Exp: "&amp;Checks!$X$229&amp;"  /  Act: "&amp;Checks!$Y$229)</f>
        <v/>
      </c>
      <c r="F42" s="114" t="str">
        <f aca="false">IF(Checks!$Z$229="","","Evidence: "&amp;Checks!$Z$229)&amp;IF(Checks!$AA$229="","",IF(Checks!$Z$229="","",CHAR(10))&amp;"CA: "&amp;Checks!$AA$229)</f>
        <v/>
      </c>
      <c r="G42" s="114" t="str">
        <f aca="false">IF(ISNUMBER(Checks!$AD$229),TEXT(Checks!$AD$229,"DD-MMM-YY HH:MM")&amp;" "&amp;Checks!$P$229,"")&amp;IF(Checks!$AE$229="","",CHAR(10)&amp;"Verifier: "&amp;Checks!$AE$229)&amp;IF(Checks!$T$229="","",CHAR(10)&amp;"PIC: "&amp;Checks!$T$229)</f>
        <v/>
      </c>
      <c r="H42" s="115" t="str">
        <f aca="false">IF(Checks!$AH$229="","",Checks!$AH$229)</f>
        <v>OPEN</v>
      </c>
    </row>
    <row r="43" customFormat="false" ht="114" hidden="false" customHeight="true" outlineLevel="0" collapsed="false">
      <c r="A43" s="114" t="str">
        <f aca="false">Checks!$A$230&amp;CHAR(10)&amp;IF(Checks!$I$230="","",Checks!$I$230&amp;": ")&amp;Checks!$J$230</f>
        <v>F07-T12-07
Equipment: Loading positions planned vs GLD</v>
      </c>
      <c r="B43" s="114" t="str">
        <f aca="false">Checks!$K$230&amp;IF(Checks!$O$230="","",IF(Checks!$K$230="","",CHAR(10))&amp;"Note: "&amp;Checks!$O$230)</f>
        <v>Note: Preparation check at caterer - does NOT confirm loading.</v>
      </c>
      <c r="C43" s="114" t="str">
        <f aca="false">Checks!$N$230&amp;CHAR(10)&amp;IF(ISNUMBER(Checks!$R$230),TEXT(Checks!$R$230,"DD-MMM-YY HH:MM"),"")&amp;" "&amp;Checks!$P$230</f>
        <v>Required
08-Oct-26 23:00 LHR</v>
      </c>
      <c r="D43" s="114" t="str">
        <f aca="false">IF(Checks!$U$230="","",Checks!$U$230)&amp;IF(Checks!$AB$230="","",CHAR(10)&amp;"CA: "&amp;Checks!$AB$230)</f>
        <v/>
      </c>
      <c r="E43" s="114" t="str">
        <f aca="false">IF(Checks!$V$230="","",Checks!$V$230)&amp;IF(Checks!$AC$230="","",IF(Checks!$V$230="","",CHAR(10))&amp;"N/A just.: "&amp;Checks!$AC$230)&amp;IF(Checks!$W$230="","",CHAR(10)&amp;"Batch: "&amp;Checks!$W$230)&amp;IF(AND(Checks!$X$230="",Checks!$Y$230=""),"",CHAR(10)&amp;"Exp: "&amp;Checks!$X$230&amp;"  /  Act: "&amp;Checks!$Y$230)</f>
        <v/>
      </c>
      <c r="F43" s="114" t="str">
        <f aca="false">IF(Checks!$Z$230="","","Evidence: "&amp;Checks!$Z$230)&amp;IF(Checks!$AA$230="","",IF(Checks!$Z$230="","",CHAR(10))&amp;"CA: "&amp;Checks!$AA$230)</f>
        <v/>
      </c>
      <c r="G43" s="114" t="str">
        <f aca="false">IF(ISNUMBER(Checks!$AD$230),TEXT(Checks!$AD$230,"DD-MMM-YY HH:MM")&amp;" "&amp;Checks!$P$230,"")&amp;IF(Checks!$AE$230="","",CHAR(10)&amp;"Verifier: "&amp;Checks!$AE$230)&amp;IF(Checks!$T$230="","",CHAR(10)&amp;"PIC: "&amp;Checks!$T$230)</f>
        <v/>
      </c>
      <c r="H43" s="115" t="str">
        <f aca="false">IF(Checks!$AH$230="","",Checks!$AH$230)</f>
        <v>OPEN</v>
      </c>
    </row>
    <row r="44" customFormat="false" ht="114" hidden="false" customHeight="true" outlineLevel="0" collapsed="false">
      <c r="A44" s="114" t="str">
        <f aca="false">Checks!$A$231&amp;CHAR(10)&amp;IF(Checks!$I$231="","",Checks!$I$231&amp;": ")&amp;Checks!$J$231</f>
        <v>F07-T12-08
Amenities: Toiletry kits - prepared</v>
      </c>
      <c r="B44" s="114" t="str">
        <f aca="false">Checks!$K$231&amp;IF(Checks!$O$231="","",IF(Checks!$K$231="","",CHAR(10))&amp;"Note: "&amp;Checks!$O$231)</f>
        <v>Available (ticked in reference)</v>
      </c>
      <c r="C44" s="114" t="str">
        <f aca="false">Checks!$N$231&amp;CHAR(10)&amp;IF(ISNUMBER(Checks!$R$231),TEXT(Checks!$R$231,"DD-MMM-YY HH:MM"),"")&amp;" "&amp;Checks!$P$231</f>
        <v>Required
08-Oct-26 23:00 LHR</v>
      </c>
      <c r="D44" s="114" t="str">
        <f aca="false">IF(Checks!$U$231="","",Checks!$U$231)&amp;IF(Checks!$AB$231="","",CHAR(10)&amp;"CA: "&amp;Checks!$AB$231)</f>
        <v/>
      </c>
      <c r="E44" s="114" t="str">
        <f aca="false">IF(Checks!$V$231="","",Checks!$V$231)&amp;IF(Checks!$AC$231="","",IF(Checks!$V$231="","",CHAR(10))&amp;"N/A just.: "&amp;Checks!$AC$231)&amp;IF(Checks!$W$231="","",CHAR(10)&amp;"Batch: "&amp;Checks!$W$231)&amp;IF(AND(Checks!$X$231="",Checks!$Y$231=""),"",CHAR(10)&amp;"Exp: "&amp;Checks!$X$231&amp;"  /  Act: "&amp;Checks!$Y$231)</f>
        <v/>
      </c>
      <c r="F44" s="114" t="str">
        <f aca="false">IF(Checks!$Z$231="","","Evidence: "&amp;Checks!$Z$231)&amp;IF(Checks!$AA$231="","",IF(Checks!$Z$231="","",CHAR(10))&amp;"CA: "&amp;Checks!$AA$231)</f>
        <v/>
      </c>
      <c r="G44" s="114" t="str">
        <f aca="false">IF(ISNUMBER(Checks!$AD$231),TEXT(Checks!$AD$231,"DD-MMM-YY HH:MM")&amp;" "&amp;Checks!$P$231,"")&amp;IF(Checks!$AE$231="","",CHAR(10)&amp;"Verifier: "&amp;Checks!$AE$231)&amp;IF(Checks!$T$231="","",CHAR(10)&amp;"PIC: "&amp;Checks!$T$231)</f>
        <v/>
      </c>
      <c r="H44" s="115" t="str">
        <f aca="false">IF(Checks!$AH$231="","",Checks!$AH$231)</f>
        <v>OPEN</v>
      </c>
    </row>
    <row r="45" customFormat="false" ht="180" hidden="false" customHeight="true" outlineLevel="0" collapsed="false">
      <c r="A45" s="114" t="str">
        <f aca="false">Checks!$A$232&amp;CHAR(10)&amp;IF(Checks!$I$232="","",Checks!$I$232&amp;": ")&amp;Checks!$J$232</f>
        <v>F07-T12-09
Amenities: Pajamas (BC) - prepared</v>
      </c>
      <c r="B45" s="114" t="str">
        <f aca="false">Checks!$K$232&amp;IF(Checks!$O$232="","",IF(Checks!$K$232="","",CHAR(10))&amp;"Note: "&amp;Checks!$O$232)</f>
        <v>Available - BC red-eye only
Note: Reference limits BC pajamas to red-eye flights; STD 1100 local arriving 0645+1 - confirm whether this leg counts as red-eye. Loaded at KUL on the inbound KUL-LHR flight: due = that flight's KUL departure (Flights AX) minus the uplift window.</v>
      </c>
      <c r="C45" s="114" t="str">
        <f aca="false">Checks!$N$232&amp;CHAR(10)&amp;IF(ISNUMBER(Checks!$R$232),TEXT(Checks!$R$232,"DD-MMM-YY HH:MM"),"")&amp;" "&amp;Checks!$P$232</f>
        <v>Clarification required
08-Oct-26 22:25 KUL</v>
      </c>
      <c r="D45" s="114" t="str">
        <f aca="false">IF(Checks!$U$232="","",Checks!$U$232)&amp;IF(Checks!$AB$232="","",CHAR(10)&amp;"CA: "&amp;Checks!$AB$232)</f>
        <v/>
      </c>
      <c r="E45" s="114" t="str">
        <f aca="false">IF(Checks!$V$232="","",Checks!$V$232)&amp;IF(Checks!$AC$232="","",IF(Checks!$V$232="","",CHAR(10))&amp;"N/A just.: "&amp;Checks!$AC$232)&amp;IF(Checks!$W$232="","",CHAR(10)&amp;"Batch: "&amp;Checks!$W$232)&amp;IF(AND(Checks!$X$232="",Checks!$Y$232=""),"",CHAR(10)&amp;"Exp: "&amp;Checks!$X$232&amp;"  /  Act: "&amp;Checks!$Y$232)</f>
        <v/>
      </c>
      <c r="F45" s="114" t="str">
        <f aca="false">IF(Checks!$Z$232="","","Evidence: "&amp;Checks!$Z$232)&amp;IF(Checks!$AA$232="","",IF(Checks!$Z$232="","",CHAR(10))&amp;"CA: "&amp;Checks!$AA$232)</f>
        <v/>
      </c>
      <c r="G45" s="114" t="str">
        <f aca="false">IF(ISNUMBER(Checks!$AD$232),TEXT(Checks!$AD$232,"DD-MMM-YY HH:MM")&amp;" "&amp;Checks!$P$232,"")&amp;IF(Checks!$AE$232="","",CHAR(10)&amp;"Verifier: "&amp;Checks!$AE$232)&amp;IF(Checks!$T$232="","",CHAR(10)&amp;"PIC: "&amp;Checks!$T$232)</f>
        <v/>
      </c>
      <c r="H45" s="115" t="str">
        <f aca="false">IF(Checks!$AH$232="","",Checks!$AH$232)</f>
        <v>OPEN – CLARIFICATION</v>
      </c>
    </row>
    <row r="46" customFormat="false" ht="114" hidden="false" customHeight="true" outlineLevel="0" collapsed="false">
      <c r="A46" s="114" t="str">
        <f aca="false">Checks!$A$233&amp;CHAR(10)&amp;IF(Checks!$I$233="","",Checks!$I$233&amp;": ")&amp;Checks!$J$233</f>
        <v>F07-T12-10
Amenities: Slippers (BS/BC) - prepared</v>
      </c>
      <c r="B46" s="114" t="str">
        <f aca="false">Checks!$K$233&amp;IF(Checks!$O$233="","",IF(Checks!$K$233="","",CHAR(10))&amp;"Note: "&amp;Checks!$O$233)</f>
        <v>Available (ticked in reference)
Note: Loaded at KUL on the inbound KUL-LHR flight: due = that flight's KUL departure (Flights AX) minus the uplift window.</v>
      </c>
      <c r="C46" s="114" t="str">
        <f aca="false">Checks!$N$233&amp;CHAR(10)&amp;IF(ISNUMBER(Checks!$R$233),TEXT(Checks!$R$233,"DD-MMM-YY HH:MM"),"")&amp;" "&amp;Checks!$P$233</f>
        <v>Required
08-Oct-26 22:25 KUL</v>
      </c>
      <c r="D46" s="114" t="str">
        <f aca="false">IF(Checks!$U$233="","",Checks!$U$233)&amp;IF(Checks!$AB$233="","",CHAR(10)&amp;"CA: "&amp;Checks!$AB$233)</f>
        <v/>
      </c>
      <c r="E46" s="114" t="str">
        <f aca="false">IF(Checks!$V$233="","",Checks!$V$233)&amp;IF(Checks!$AC$233="","",IF(Checks!$V$233="","",CHAR(10))&amp;"N/A just.: "&amp;Checks!$AC$233)&amp;IF(Checks!$W$233="","",CHAR(10)&amp;"Batch: "&amp;Checks!$W$233)&amp;IF(AND(Checks!$X$233="",Checks!$Y$233=""),"",CHAR(10)&amp;"Exp: "&amp;Checks!$X$233&amp;"  /  Act: "&amp;Checks!$Y$233)</f>
        <v/>
      </c>
      <c r="F46" s="114" t="str">
        <f aca="false">IF(Checks!$Z$233="","","Evidence: "&amp;Checks!$Z$233)&amp;IF(Checks!$AA$233="","",IF(Checks!$Z$233="","",CHAR(10))&amp;"CA: "&amp;Checks!$AA$233)</f>
        <v/>
      </c>
      <c r="G46" s="114" t="str">
        <f aca="false">IF(ISNUMBER(Checks!$AD$233),TEXT(Checks!$AD$233,"DD-MMM-YY HH:MM")&amp;" "&amp;Checks!$P$233,"")&amp;IF(Checks!$AE$233="","",CHAR(10)&amp;"Verifier: "&amp;Checks!$AE$233)&amp;IF(Checks!$T$233="","",CHAR(10)&amp;"PIC: "&amp;Checks!$T$233)</f>
        <v/>
      </c>
      <c r="H46" s="115" t="str">
        <f aca="false">IF(Checks!$AH$233="","",Checks!$AH$233)</f>
        <v>OPEN</v>
      </c>
    </row>
    <row r="47" customFormat="false" ht="114" hidden="false" customHeight="true" outlineLevel="0" collapsed="false">
      <c r="A47" s="114" t="str">
        <f aca="false">Checks!$A$234&amp;CHAR(10)&amp;IF(Checks!$I$234="","",Checks!$I$234&amp;": ")&amp;Checks!$J$234</f>
        <v>F07-T12-11
F&amp;B Linen: Towel - prepared</v>
      </c>
      <c r="B47" s="114" t="str">
        <f aca="false">Checks!$K$234&amp;IF(Checks!$O$234="","",IF(Checks!$K$234="","",CHAR(10))&amp;"Note: "&amp;Checks!$O$234)</f>
        <v>Available (ticked in reference)
Note: Reference gives no uplift stn for this item: preparation checked at the meal uplift stn (LHR) - confirm with caterer.</v>
      </c>
      <c r="C47" s="114" t="str">
        <f aca="false">Checks!$N$234&amp;CHAR(10)&amp;IF(ISNUMBER(Checks!$R$234),TEXT(Checks!$R$234,"DD-MMM-YY HH:MM"),"")&amp;" "&amp;Checks!$P$234</f>
        <v>Required
08-Oct-26 23:00 LHR</v>
      </c>
      <c r="D47" s="114" t="str">
        <f aca="false">IF(Checks!$U$234="","",Checks!$U$234)&amp;IF(Checks!$AB$234="","",CHAR(10)&amp;"CA: "&amp;Checks!$AB$234)</f>
        <v/>
      </c>
      <c r="E47" s="114" t="str">
        <f aca="false">IF(Checks!$V$234="","",Checks!$V$234)&amp;IF(Checks!$AC$234="","",IF(Checks!$V$234="","",CHAR(10))&amp;"N/A just.: "&amp;Checks!$AC$234)&amp;IF(Checks!$W$234="","",CHAR(10)&amp;"Batch: "&amp;Checks!$W$234)&amp;IF(AND(Checks!$X$234="",Checks!$Y$234=""),"",CHAR(10)&amp;"Exp: "&amp;Checks!$X$234&amp;"  /  Act: "&amp;Checks!$Y$234)</f>
        <v/>
      </c>
      <c r="F47" s="114" t="str">
        <f aca="false">IF(Checks!$Z$234="","","Evidence: "&amp;Checks!$Z$234)&amp;IF(Checks!$AA$234="","",IF(Checks!$Z$234="","",CHAR(10))&amp;"CA: "&amp;Checks!$AA$234)</f>
        <v/>
      </c>
      <c r="G47" s="114" t="str">
        <f aca="false">IF(ISNUMBER(Checks!$AD$234),TEXT(Checks!$AD$234,"DD-MMM-YY HH:MM")&amp;" "&amp;Checks!$P$234,"")&amp;IF(Checks!$AE$234="","",CHAR(10)&amp;"Verifier: "&amp;Checks!$AE$234)&amp;IF(Checks!$T$234="","",CHAR(10)&amp;"PIC: "&amp;Checks!$T$234)</f>
        <v/>
      </c>
      <c r="H47" s="115" t="str">
        <f aca="false">IF(Checks!$AH$234="","",Checks!$AH$234)</f>
        <v>OPEN</v>
      </c>
    </row>
    <row r="48" customFormat="false" ht="114" hidden="false" customHeight="true" outlineLevel="0" collapsed="false">
      <c r="A48" s="114" t="str">
        <f aca="false">Checks!$A$235&amp;CHAR(10)&amp;IF(Checks!$I$235="","",Checks!$I$235&amp;": ")&amp;Checks!$J$235</f>
        <v>F07-T12-12
F&amp;B Linen: Tray cloth - prepared</v>
      </c>
      <c r="B48" s="114" t="str">
        <f aca="false">Checks!$K$235&amp;IF(Checks!$O$235="","",IF(Checks!$K$235="","",CHAR(10))&amp;"Note: "&amp;Checks!$O$235)</f>
        <v>Available (ticked in reference)
Note: Reference gives no uplift stn for this item: preparation checked at the meal uplift stn (LHR) - confirm with caterer.</v>
      </c>
      <c r="C48" s="114" t="str">
        <f aca="false">Checks!$N$235&amp;CHAR(10)&amp;IF(ISNUMBER(Checks!$R$235),TEXT(Checks!$R$235,"DD-MMM-YY HH:MM"),"")&amp;" "&amp;Checks!$P$235</f>
        <v>Required
08-Oct-26 23:00 LHR</v>
      </c>
      <c r="D48" s="114" t="str">
        <f aca="false">IF(Checks!$U$235="","",Checks!$U$235)&amp;IF(Checks!$AB$235="","",CHAR(10)&amp;"CA: "&amp;Checks!$AB$235)</f>
        <v/>
      </c>
      <c r="E48" s="114" t="str">
        <f aca="false">IF(Checks!$V$235="","",Checks!$V$235)&amp;IF(Checks!$AC$235="","",IF(Checks!$V$235="","",CHAR(10))&amp;"N/A just.: "&amp;Checks!$AC$235)&amp;IF(Checks!$W$235="","",CHAR(10)&amp;"Batch: "&amp;Checks!$W$235)&amp;IF(AND(Checks!$X$235="",Checks!$Y$235=""),"",CHAR(10)&amp;"Exp: "&amp;Checks!$X$235&amp;"  /  Act: "&amp;Checks!$Y$235)</f>
        <v/>
      </c>
      <c r="F48" s="114" t="str">
        <f aca="false">IF(Checks!$Z$235="","","Evidence: "&amp;Checks!$Z$235)&amp;IF(Checks!$AA$235="","",IF(Checks!$Z$235="","",CHAR(10))&amp;"CA: "&amp;Checks!$AA$235)</f>
        <v/>
      </c>
      <c r="G48" s="114" t="str">
        <f aca="false">IF(ISNUMBER(Checks!$AD$235),TEXT(Checks!$AD$235,"DD-MMM-YY HH:MM")&amp;" "&amp;Checks!$P$235,"")&amp;IF(Checks!$AE$235="","",CHAR(10)&amp;"Verifier: "&amp;Checks!$AE$235)&amp;IF(Checks!$T$235="","",CHAR(10)&amp;"PIC: "&amp;Checks!$T$235)</f>
        <v/>
      </c>
      <c r="H48" s="115" t="str">
        <f aca="false">IF(Checks!$AH$235="","",Checks!$AH$235)</f>
        <v>OPEN</v>
      </c>
    </row>
    <row r="49" customFormat="false" ht="114" hidden="false" customHeight="true" outlineLevel="0" collapsed="false">
      <c r="A49" s="114" t="str">
        <f aca="false">Checks!$A$236&amp;CHAR(10)&amp;IF(Checks!$I$236="","",Checks!$I$236&amp;": ")&amp;Checks!$J$236</f>
        <v>F07-T12-13
F&amp;B Linen: Napkin - prepared</v>
      </c>
      <c r="B49" s="114" t="str">
        <f aca="false">Checks!$K$236&amp;IF(Checks!$O$236="","",IF(Checks!$K$236="","",CHAR(10))&amp;"Note: "&amp;Checks!$O$236)</f>
        <v>Available (ticked in reference)
Note: Reference gives no uplift stn for this item: preparation checked at the meal uplift stn (LHR) - confirm with caterer.</v>
      </c>
      <c r="C49" s="114" t="str">
        <f aca="false">Checks!$N$236&amp;CHAR(10)&amp;IF(ISNUMBER(Checks!$R$236),TEXT(Checks!$R$236,"DD-MMM-YY HH:MM"),"")&amp;" "&amp;Checks!$P$236</f>
        <v>Required
08-Oct-26 23:00 LHR</v>
      </c>
      <c r="D49" s="114" t="str">
        <f aca="false">IF(Checks!$U$236="","",Checks!$U$236)&amp;IF(Checks!$AB$236="","",CHAR(10)&amp;"CA: "&amp;Checks!$AB$236)</f>
        <v/>
      </c>
      <c r="E49" s="114" t="str">
        <f aca="false">IF(Checks!$V$236="","",Checks!$V$236)&amp;IF(Checks!$AC$236="","",IF(Checks!$V$236="","",CHAR(10))&amp;"N/A just.: "&amp;Checks!$AC$236)&amp;IF(Checks!$W$236="","",CHAR(10)&amp;"Batch: "&amp;Checks!$W$236)&amp;IF(AND(Checks!$X$236="",Checks!$Y$236=""),"",CHAR(10)&amp;"Exp: "&amp;Checks!$X$236&amp;"  /  Act: "&amp;Checks!$Y$236)</f>
        <v/>
      </c>
      <c r="F49" s="114" t="str">
        <f aca="false">IF(Checks!$Z$236="","","Evidence: "&amp;Checks!$Z$236)&amp;IF(Checks!$AA$236="","",IF(Checks!$Z$236="","",CHAR(10))&amp;"CA: "&amp;Checks!$AA$236)</f>
        <v/>
      </c>
      <c r="G49" s="114" t="str">
        <f aca="false">IF(ISNUMBER(Checks!$AD$236),TEXT(Checks!$AD$236,"DD-MMM-YY HH:MM")&amp;" "&amp;Checks!$P$236,"")&amp;IF(Checks!$AE$236="","",CHAR(10)&amp;"Verifier: "&amp;Checks!$AE$236)&amp;IF(Checks!$T$236="","",CHAR(10)&amp;"PIC: "&amp;Checks!$T$236)</f>
        <v/>
      </c>
      <c r="H49" s="115" t="str">
        <f aca="false">IF(Checks!$AH$236="","",Checks!$AH$236)</f>
        <v>OPEN</v>
      </c>
    </row>
    <row r="50" customFormat="false" ht="114" hidden="false" customHeight="true" outlineLevel="0" collapsed="false">
      <c r="A50" s="114" t="str">
        <f aca="false">Checks!$A$237&amp;CHAR(10)&amp;IF(Checks!$I$237="","",Checks!$I$237&amp;": ")&amp;Checks!$J$237</f>
        <v>F07-T12-14
F&amp;B Linen: Table cloth - prepared</v>
      </c>
      <c r="B50" s="114" t="str">
        <f aca="false">Checks!$K$237&amp;IF(Checks!$O$237="","",IF(Checks!$K$237="","",CHAR(10))&amp;"Note: "&amp;Checks!$O$237)</f>
        <v>Available (ticked in reference)
Note: Reference gives no uplift stn for this item: preparation checked at the meal uplift stn (LHR) - confirm with caterer.</v>
      </c>
      <c r="C50" s="114" t="str">
        <f aca="false">Checks!$N$237&amp;CHAR(10)&amp;IF(ISNUMBER(Checks!$R$237),TEXT(Checks!$R$237,"DD-MMM-YY HH:MM"),"")&amp;" "&amp;Checks!$P$237</f>
        <v>Required
08-Oct-26 23:00 LHR</v>
      </c>
      <c r="D50" s="114" t="str">
        <f aca="false">IF(Checks!$U$237="","",Checks!$U$237)&amp;IF(Checks!$AB$237="","",CHAR(10)&amp;"CA: "&amp;Checks!$AB$237)</f>
        <v/>
      </c>
      <c r="E50" s="114" t="str">
        <f aca="false">IF(Checks!$V$237="","",Checks!$V$237)&amp;IF(Checks!$AC$237="","",IF(Checks!$V$237="","",CHAR(10))&amp;"N/A just.: "&amp;Checks!$AC$237)&amp;IF(Checks!$W$237="","",CHAR(10)&amp;"Batch: "&amp;Checks!$W$237)&amp;IF(AND(Checks!$X$237="",Checks!$Y$237=""),"",CHAR(10)&amp;"Exp: "&amp;Checks!$X$237&amp;"  /  Act: "&amp;Checks!$Y$237)</f>
        <v/>
      </c>
      <c r="F50" s="114" t="str">
        <f aca="false">IF(Checks!$Z$237="","","Evidence: "&amp;Checks!$Z$237)&amp;IF(Checks!$AA$237="","",IF(Checks!$Z$237="","",CHAR(10))&amp;"CA: "&amp;Checks!$AA$237)</f>
        <v/>
      </c>
      <c r="G50" s="114" t="str">
        <f aca="false">IF(ISNUMBER(Checks!$AD$237),TEXT(Checks!$AD$237,"DD-MMM-YY HH:MM")&amp;" "&amp;Checks!$P$237,"")&amp;IF(Checks!$AE$237="","",CHAR(10)&amp;"Verifier: "&amp;Checks!$AE$237)&amp;IF(Checks!$T$237="","",CHAR(10)&amp;"PIC: "&amp;Checks!$T$237)</f>
        <v/>
      </c>
      <c r="H50" s="115" t="str">
        <f aca="false">IF(Checks!$AH$237="","",Checks!$AH$237)</f>
        <v>OPEN</v>
      </c>
    </row>
    <row r="51" customFormat="false" ht="114" hidden="false" customHeight="true" outlineLevel="0" collapsed="false">
      <c r="A51" s="114" t="str">
        <f aca="false">Checks!$A$238&amp;CHAR(10)&amp;IF(Checks!$I$238="","",Checks!$I$238&amp;": ")&amp;Checks!$J$238</f>
        <v>F07-T12-15
F&amp;B Linen: Bread linen (using table cloth) - prepared</v>
      </c>
      <c r="B51" s="114" t="str">
        <f aca="false">Checks!$K$238&amp;IF(Checks!$O$238="","",IF(Checks!$K$238="","",CHAR(10))&amp;"Note: "&amp;Checks!$O$238)</f>
        <v>Available (ticked in reference)
Note: Reference gives no uplift stn for this item: preparation checked at the meal uplift stn (LHR) - confirm with caterer.</v>
      </c>
      <c r="C51" s="114" t="str">
        <f aca="false">Checks!$N$238&amp;CHAR(10)&amp;IF(ISNUMBER(Checks!$R$238),TEXT(Checks!$R$238,"DD-MMM-YY HH:MM"),"")&amp;" "&amp;Checks!$P$238</f>
        <v>Required
08-Oct-26 23:00 LHR</v>
      </c>
      <c r="D51" s="114" t="str">
        <f aca="false">IF(Checks!$U$238="","",Checks!$U$238)&amp;IF(Checks!$AB$238="","",CHAR(10)&amp;"CA: "&amp;Checks!$AB$238)</f>
        <v/>
      </c>
      <c r="E51" s="114" t="str">
        <f aca="false">IF(Checks!$V$238="","",Checks!$V$238)&amp;IF(Checks!$AC$238="","",IF(Checks!$V$238="","",CHAR(10))&amp;"N/A just.: "&amp;Checks!$AC$238)&amp;IF(Checks!$W$238="","",CHAR(10)&amp;"Batch: "&amp;Checks!$W$238)&amp;IF(AND(Checks!$X$238="",Checks!$Y$238=""),"",CHAR(10)&amp;"Exp: "&amp;Checks!$X$238&amp;"  /  Act: "&amp;Checks!$Y$238)</f>
        <v/>
      </c>
      <c r="F51" s="114" t="str">
        <f aca="false">IF(Checks!$Z$238="","","Evidence: "&amp;Checks!$Z$238)&amp;IF(Checks!$AA$238="","",IF(Checks!$Z$238="","",CHAR(10))&amp;"CA: "&amp;Checks!$AA$238)</f>
        <v/>
      </c>
      <c r="G51" s="114" t="str">
        <f aca="false">IF(ISNUMBER(Checks!$AD$238),TEXT(Checks!$AD$238,"DD-MMM-YY HH:MM")&amp;" "&amp;Checks!$P$238,"")&amp;IF(Checks!$AE$238="","",CHAR(10)&amp;"Verifier: "&amp;Checks!$AE$238)&amp;IF(Checks!$T$238="","",CHAR(10)&amp;"PIC: "&amp;Checks!$T$238)</f>
        <v/>
      </c>
      <c r="H51" s="115" t="str">
        <f aca="false">IF(Checks!$AH$238="","",Checks!$AH$238)</f>
        <v>OPEN</v>
      </c>
    </row>
    <row r="52" customFormat="false" ht="124.5" hidden="false" customHeight="true" outlineLevel="0" collapsed="false">
      <c r="A52" s="114" t="str">
        <f aca="false">Checks!$A$239&amp;CHAR(10)&amp;IF(Checks!$I$239="","",Checks!$I$239&amp;": ")&amp;Checks!$J$239</f>
        <v>F07-T12-16
F&amp;B Linen: Trolley cloth - prepared</v>
      </c>
      <c r="B52" s="114" t="str">
        <f aca="false">SUBSTITUTE(Checks!$K$239&amp;IF(Checks!$O$239="","",IF(Checks!$K$239="","",CHAR(10))&amp;"Note: "&amp;Checks!$O$239),"F&amp;B LINEN!","Ref: F&amp;B LINEN!")</f>
        <v>Wide body: Top/Middle &amp; Bottom
Note: Per note Ref: F&amp;B LINEN!B79:C80. Reference gives no uplift stn for this item: preparation checked at the meal uplift stn (LHR) - confirm with caterer.</v>
      </c>
      <c r="C52" s="114" t="str">
        <f aca="false">Checks!$N$239&amp;CHAR(10)&amp;IF(ISNUMBER(Checks!$R$239),TEXT(Checks!$R$239,"DD-MMM-YY HH:MM"),"")&amp;" "&amp;Checks!$P$239</f>
        <v>Required
08-Oct-26 23:00 LHR</v>
      </c>
      <c r="D52" s="114" t="str">
        <f aca="false">IF(Checks!$U$239="","",Checks!$U$239)&amp;IF(Checks!$AB$239="","",CHAR(10)&amp;"CA: "&amp;Checks!$AB$239)</f>
        <v/>
      </c>
      <c r="E52" s="114" t="str">
        <f aca="false">IF(Checks!$V$239="","",Checks!$V$239)&amp;IF(Checks!$AC$239="","",IF(Checks!$V$239="","",CHAR(10))&amp;"N/A just.: "&amp;Checks!$AC$239)&amp;IF(Checks!$W$239="","",CHAR(10)&amp;"Batch: "&amp;Checks!$W$239)&amp;IF(AND(Checks!$X$239="",Checks!$Y$239=""),"",CHAR(10)&amp;"Exp: "&amp;Checks!$X$239&amp;"  /  Act: "&amp;Checks!$Y$239)</f>
        <v/>
      </c>
      <c r="F52" s="114" t="str">
        <f aca="false">IF(Checks!$Z$239="","","Evidence: "&amp;Checks!$Z$239)&amp;IF(Checks!$AA$239="","",IF(Checks!$Z$239="","",CHAR(10))&amp;"CA: "&amp;Checks!$AA$239)</f>
        <v/>
      </c>
      <c r="G52" s="114" t="str">
        <f aca="false">IF(ISNUMBER(Checks!$AD$239),TEXT(Checks!$AD$239,"DD-MMM-YY HH:MM")&amp;" "&amp;Checks!$P$239,"")&amp;IF(Checks!$AE$239="","",CHAR(10)&amp;"Verifier: "&amp;Checks!$AE$239)&amp;IF(Checks!$T$239="","",CHAR(10)&amp;"PIC: "&amp;Checks!$T$239)</f>
        <v/>
      </c>
      <c r="H52" s="115" t="str">
        <f aca="false">IF(Checks!$AH$239="","",Checks!$AH$239)</f>
        <v>OPEN</v>
      </c>
    </row>
    <row r="53" customFormat="false" ht="114" hidden="false" customHeight="true" outlineLevel="0" collapsed="false">
      <c r="A53" s="114" t="str">
        <f aca="false">Checks!$A$240&amp;CHAR(10)&amp;IF(Checks!$I$240="","",Checks!$I$240&amp;": ")&amp;Checks!$J$240</f>
        <v>F07-T12-17
F&amp;B Linen: Linen bag - prepared</v>
      </c>
      <c r="B53" s="114" t="str">
        <f aca="false">Checks!$K$240&amp;IF(Checks!$O$240="","",IF(Checks!$K$240="","",CHAR(10))&amp;"Note: "&amp;Checks!$O$240)</f>
        <v>Available (ticked in reference)
Note: Reference gives no uplift stn for this item: preparation checked at the meal uplift stn (LHR) - confirm with caterer.</v>
      </c>
      <c r="C53" s="114" t="str">
        <f aca="false">Checks!$N$240&amp;CHAR(10)&amp;IF(ISNUMBER(Checks!$R$240),TEXT(Checks!$R$240,"DD-MMM-YY HH:MM"),"")&amp;" "&amp;Checks!$P$240</f>
        <v>Required
08-Oct-26 23:00 LHR</v>
      </c>
      <c r="D53" s="114" t="str">
        <f aca="false">IF(Checks!$U$240="","",Checks!$U$240)&amp;IF(Checks!$AB$240="","",CHAR(10)&amp;"CA: "&amp;Checks!$AB$240)</f>
        <v/>
      </c>
      <c r="E53" s="114" t="str">
        <f aca="false">IF(Checks!$V$240="","",Checks!$V$240)&amp;IF(Checks!$AC$240="","",IF(Checks!$V$240="","",CHAR(10))&amp;"N/A just.: "&amp;Checks!$AC$240)&amp;IF(Checks!$W$240="","",CHAR(10)&amp;"Batch: "&amp;Checks!$W$240)&amp;IF(AND(Checks!$X$240="",Checks!$Y$240=""),"",CHAR(10)&amp;"Exp: "&amp;Checks!$X$240&amp;"  /  Act: "&amp;Checks!$Y$240)</f>
        <v/>
      </c>
      <c r="F53" s="114" t="str">
        <f aca="false">IF(Checks!$Z$240="","","Evidence: "&amp;Checks!$Z$240)&amp;IF(Checks!$AA$240="","",IF(Checks!$Z$240="","",CHAR(10))&amp;"CA: "&amp;Checks!$AA$240)</f>
        <v/>
      </c>
      <c r="G53" s="114" t="str">
        <f aca="false">IF(ISNUMBER(Checks!$AD$240),TEXT(Checks!$AD$240,"DD-MMM-YY HH:MM")&amp;" "&amp;Checks!$P$240,"")&amp;IF(Checks!$AE$240="","",CHAR(10)&amp;"Verifier: "&amp;Checks!$AE$240)&amp;IF(Checks!$T$240="","",CHAR(10)&amp;"PIC: "&amp;Checks!$T$240)</f>
        <v/>
      </c>
      <c r="H53" s="115" t="str">
        <f aca="false">IF(Checks!$AH$240="","",Checks!$AH$240)</f>
        <v>OPEN</v>
      </c>
    </row>
    <row r="54" customFormat="false" ht="114" hidden="false" customHeight="true" outlineLevel="0" collapsed="false">
      <c r="A54" s="114" t="str">
        <f aca="false">Checks!$A$241&amp;CHAR(10)&amp;IF(Checks!$I$241="","",Checks!$I$241&amp;": ")&amp;Checks!$J$241</f>
        <v>F07-T12-18
Seat Linen: Seat pillow (BS &amp; BC) - prepared</v>
      </c>
      <c r="B54" s="114" t="str">
        <f aca="false">Checks!$K$241&amp;IF(Checks!$O$241="","",IF(Checks!$K$241="","",CHAR(10))&amp;"Note: "&amp;Checks!$O$241)</f>
        <v>Available 100% (ticked in reference)
Note: Reference gives no uplift stn for this item: preparation checked at the meal uplift stn (LHR) - confirm with caterer.</v>
      </c>
      <c r="C54" s="114" t="str">
        <f aca="false">Checks!$N$241&amp;CHAR(10)&amp;IF(ISNUMBER(Checks!$R$241),TEXT(Checks!$R$241,"DD-MMM-YY HH:MM"),"")&amp;" "&amp;Checks!$P$241</f>
        <v>Required
08-Oct-26 23:00 LHR</v>
      </c>
      <c r="D54" s="114" t="str">
        <f aca="false">IF(Checks!$U$241="","",Checks!$U$241)&amp;IF(Checks!$AB$241="","",CHAR(10)&amp;"CA: "&amp;Checks!$AB$241)</f>
        <v/>
      </c>
      <c r="E54" s="114" t="str">
        <f aca="false">IF(Checks!$V$241="","",Checks!$V$241)&amp;IF(Checks!$AC$241="","",IF(Checks!$V$241="","",CHAR(10))&amp;"N/A just.: "&amp;Checks!$AC$241)&amp;IF(Checks!$W$241="","",CHAR(10)&amp;"Batch: "&amp;Checks!$W$241)&amp;IF(AND(Checks!$X$241="",Checks!$Y$241=""),"",CHAR(10)&amp;"Exp: "&amp;Checks!$X$241&amp;"  /  Act: "&amp;Checks!$Y$241)</f>
        <v/>
      </c>
      <c r="F54" s="114" t="str">
        <f aca="false">IF(Checks!$Z$241="","","Evidence: "&amp;Checks!$Z$241)&amp;IF(Checks!$AA$241="","",IF(Checks!$Z$241="","",CHAR(10))&amp;"CA: "&amp;Checks!$AA$241)</f>
        <v/>
      </c>
      <c r="G54" s="114" t="str">
        <f aca="false">IF(ISNUMBER(Checks!$AD$241),TEXT(Checks!$AD$241,"DD-MMM-YY HH:MM")&amp;" "&amp;Checks!$P$241,"")&amp;IF(Checks!$AE$241="","",CHAR(10)&amp;"Verifier: "&amp;Checks!$AE$241)&amp;IF(Checks!$T$241="","",CHAR(10)&amp;"PIC: "&amp;Checks!$T$241)</f>
        <v/>
      </c>
      <c r="H54" s="115" t="str">
        <f aca="false">IF(Checks!$AH$241="","",Checks!$AH$241)</f>
        <v>OPEN</v>
      </c>
    </row>
    <row r="55" customFormat="false" ht="114" hidden="false" customHeight="true" outlineLevel="0" collapsed="false">
      <c r="A55" s="114" t="str">
        <f aca="false">Checks!$A$242&amp;CHAR(10)&amp;IF(Checks!$I$242="","",Checks!$I$242&amp;": ")&amp;Checks!$J$242</f>
        <v>F07-T12-19
Seat Linen: Duvet (BS &amp; BC) - prepared</v>
      </c>
      <c r="B55" s="114" t="str">
        <f aca="false">Checks!$K$242&amp;IF(Checks!$O$242="","",IF(Checks!$K$242="","",CHAR(10))&amp;"Note: "&amp;Checks!$O$242)</f>
        <v>Available 100% (ticked in reference)
Note: Reference gives no uplift stn for this item: preparation checked at the meal uplift stn (LHR) - confirm with caterer.</v>
      </c>
      <c r="C55" s="114" t="str">
        <f aca="false">Checks!$N$242&amp;CHAR(10)&amp;IF(ISNUMBER(Checks!$R$242),TEXT(Checks!$R$242,"DD-MMM-YY HH:MM"),"")&amp;" "&amp;Checks!$P$242</f>
        <v>Required
08-Oct-26 23:00 LHR</v>
      </c>
      <c r="D55" s="114" t="str">
        <f aca="false">IF(Checks!$U$242="","",Checks!$U$242)&amp;IF(Checks!$AB$242="","",CHAR(10)&amp;"CA: "&amp;Checks!$AB$242)</f>
        <v/>
      </c>
      <c r="E55" s="114" t="str">
        <f aca="false">IF(Checks!$V$242="","",Checks!$V$242)&amp;IF(Checks!$AC$242="","",IF(Checks!$V$242="","",CHAR(10))&amp;"N/A just.: "&amp;Checks!$AC$242)&amp;IF(Checks!$W$242="","",CHAR(10)&amp;"Batch: "&amp;Checks!$W$242)&amp;IF(AND(Checks!$X$242="",Checks!$Y$242=""),"",CHAR(10)&amp;"Exp: "&amp;Checks!$X$242&amp;"  /  Act: "&amp;Checks!$Y$242)</f>
        <v/>
      </c>
      <c r="F55" s="114" t="str">
        <f aca="false">IF(Checks!$Z$242="","","Evidence: "&amp;Checks!$Z$242)&amp;IF(Checks!$AA$242="","",IF(Checks!$Z$242="","",CHAR(10))&amp;"CA: "&amp;Checks!$AA$242)</f>
        <v/>
      </c>
      <c r="G55" s="114" t="str">
        <f aca="false">IF(ISNUMBER(Checks!$AD$242),TEXT(Checks!$AD$242,"DD-MMM-YY HH:MM")&amp;" "&amp;Checks!$P$242,"")&amp;IF(Checks!$AE$242="","",CHAR(10)&amp;"Verifier: "&amp;Checks!$AE$242)&amp;IF(Checks!$T$242="","",CHAR(10)&amp;"PIC: "&amp;Checks!$T$242)</f>
        <v/>
      </c>
      <c r="H55" s="115" t="str">
        <f aca="false">IF(Checks!$AH$242="","",Checks!$AH$242)</f>
        <v>OPEN</v>
      </c>
    </row>
    <row r="56" customFormat="false" ht="114" hidden="false" customHeight="true" outlineLevel="0" collapsed="false">
      <c r="A56" s="114" t="str">
        <f aca="false">Checks!$A$243&amp;CHAR(10)&amp;IF(Checks!$I$243="","",Checks!$I$243&amp;": ")&amp;Checks!$J$243</f>
        <v>F07-T12-20
Seat Linen: Mattress (BS &amp; BC) - prepared</v>
      </c>
      <c r="B56" s="114" t="str">
        <f aca="false">Checks!$K$243&amp;IF(Checks!$O$243="","",IF(Checks!$K$243="","",CHAR(10))&amp;"Note: "&amp;Checks!$O$243)</f>
        <v>Available 100% (ticked in reference)
Note: Reference gives no uplift stn for this item: preparation checked at the meal uplift stn (LHR) - confirm with caterer.</v>
      </c>
      <c r="C56" s="114" t="str">
        <f aca="false">Checks!$N$243&amp;CHAR(10)&amp;IF(ISNUMBER(Checks!$R$243),TEXT(Checks!$R$243,"DD-MMM-YY HH:MM"),"")&amp;" "&amp;Checks!$P$243</f>
        <v>Required
08-Oct-26 23:00 LHR</v>
      </c>
      <c r="D56" s="114" t="str">
        <f aca="false">IF(Checks!$U$243="","",Checks!$U$243)&amp;IF(Checks!$AB$243="","",CHAR(10)&amp;"CA: "&amp;Checks!$AB$243)</f>
        <v/>
      </c>
      <c r="E56" s="114" t="str">
        <f aca="false">IF(Checks!$V$243="","",Checks!$V$243)&amp;IF(Checks!$AC$243="","",IF(Checks!$V$243="","",CHAR(10))&amp;"N/A just.: "&amp;Checks!$AC$243)&amp;IF(Checks!$W$243="","",CHAR(10)&amp;"Batch: "&amp;Checks!$W$243)&amp;IF(AND(Checks!$X$243="",Checks!$Y$243=""),"",CHAR(10)&amp;"Exp: "&amp;Checks!$X$243&amp;"  /  Act: "&amp;Checks!$Y$243)</f>
        <v/>
      </c>
      <c r="F56" s="114" t="str">
        <f aca="false">IF(Checks!$Z$243="","","Evidence: "&amp;Checks!$Z$243)&amp;IF(Checks!$AA$243="","",IF(Checks!$Z$243="","",CHAR(10))&amp;"CA: "&amp;Checks!$AA$243)</f>
        <v/>
      </c>
      <c r="G56" s="114" t="str">
        <f aca="false">IF(ISNUMBER(Checks!$AD$243),TEXT(Checks!$AD$243,"DD-MMM-YY HH:MM")&amp;" "&amp;Checks!$P$243,"")&amp;IF(Checks!$AE$243="","",CHAR(10)&amp;"Verifier: "&amp;Checks!$AE$243)&amp;IF(Checks!$T$243="","",CHAR(10)&amp;"PIC: "&amp;Checks!$T$243)</f>
        <v/>
      </c>
      <c r="H56" s="115" t="str">
        <f aca="false">IF(Checks!$AH$243="","",Checks!$AH$243)</f>
        <v>OPEN</v>
      </c>
    </row>
    <row r="57" customFormat="false" ht="147" hidden="false" customHeight="true" outlineLevel="0" collapsed="false">
      <c r="A57" s="114" t="str">
        <f aca="false">Checks!$A$244&amp;CHAR(10)&amp;IF(Checks!$I$244="","",Checks!$I$244&amp;": ")&amp;Checks!$J$244</f>
        <v>F07-T12-21
Signature Drinks: Signature drink &amp; garnish (BC) - prepared</v>
      </c>
      <c r="B57" s="114" t="str">
        <f aca="false">Checks!$K$244&amp;IF(Checks!$O$244="","",IF(Checks!$K$244="","",CHAR(10))&amp;"Note: "&amp;Checks!$O$244)</f>
        <v>Available (ticked in reference)
Note: Signature drinks &amp; garnish uplifted from KUL (note D79). Loaded at KUL on the inbound KUL-LHR flight: due = that flight's KUL departure (Flights AX) minus the uplift window.</v>
      </c>
      <c r="C57" s="114" t="str">
        <f aca="false">Checks!$N$244&amp;CHAR(10)&amp;IF(ISNUMBER(Checks!$R$244),TEXT(Checks!$R$244,"DD-MMM-YY HH:MM"),"")&amp;" "&amp;Checks!$P$244</f>
        <v>Required
08-Oct-26 22:25 KUL</v>
      </c>
      <c r="D57" s="114" t="str">
        <f aca="false">IF(Checks!$U$244="","",Checks!$U$244)&amp;IF(Checks!$AB$244="","",CHAR(10)&amp;"CA: "&amp;Checks!$AB$244)</f>
        <v/>
      </c>
      <c r="E57" s="114" t="str">
        <f aca="false">IF(Checks!$V$244="","",Checks!$V$244)&amp;IF(Checks!$AC$244="","",IF(Checks!$V$244="","",CHAR(10))&amp;"N/A just.: "&amp;Checks!$AC$244)&amp;IF(Checks!$W$244="","",CHAR(10)&amp;"Batch: "&amp;Checks!$W$244)&amp;IF(AND(Checks!$X$244="",Checks!$Y$244=""),"",CHAR(10)&amp;"Exp: "&amp;Checks!$X$244&amp;"  /  Act: "&amp;Checks!$Y$244)</f>
        <v/>
      </c>
      <c r="F57" s="114" t="str">
        <f aca="false">IF(Checks!$Z$244="","","Evidence: "&amp;Checks!$Z$244)&amp;IF(Checks!$AA$244="","",IF(Checks!$Z$244="","",CHAR(10))&amp;"CA: "&amp;Checks!$AA$244)</f>
        <v/>
      </c>
      <c r="G57" s="114" t="str">
        <f aca="false">IF(ISNUMBER(Checks!$AD$244),TEXT(Checks!$AD$244,"DD-MMM-YY HH:MM")&amp;" "&amp;Checks!$P$244,"")&amp;IF(Checks!$AE$244="","",CHAR(10)&amp;"Verifier: "&amp;Checks!$AE$244)&amp;IF(Checks!$T$244="","",CHAR(10)&amp;"PIC: "&amp;Checks!$T$244)</f>
        <v/>
      </c>
      <c r="H57" s="115" t="str">
        <f aca="false">IF(Checks!$AH$244="","",Checks!$AH$244)</f>
        <v>OPEN</v>
      </c>
    </row>
    <row r="58" customFormat="false" ht="25.5" hidden="false" customHeight="true" outlineLevel="0" collapsed="false">
      <c r="A58" s="113" t="str">
        <f aca="false">"UPLIFT — Physical uplift – on-board confirmation before departure  |  Due "&amp;"STD "&amp;IF(ISNUMBER(Flights!$I$11),TEXT(Flights!$I$11,"DD-MMM-YY HH:MM"),"")&amp;" "&amp;Flights!$G$11&amp;" (departure stn)"&amp;" (rows with another due show their own)  |  Complete "&amp;IF(ISNUMBER(Flights!$AM$11),TEXT(Flights!$AM$11,"0%"),Flights!$AM$11)&amp;"  |  17 lines"</f>
        <v>UPLIFT — Physical uplift – on-board confirmation before departure  |  Due STD 09-Oct-26 11:00 LHR (departure stn) (rows with another due show their own)  |  Complete 0%  |  17 lines</v>
      </c>
      <c r="B58" s="113"/>
      <c r="C58" s="113"/>
      <c r="D58" s="113"/>
      <c r="E58" s="113"/>
      <c r="F58" s="113"/>
      <c r="G58" s="113"/>
      <c r="H58" s="113"/>
    </row>
    <row r="59" customFormat="false" ht="114" hidden="false" customHeight="true" outlineLevel="0" collapsed="false">
      <c r="A59" s="114" t="str">
        <f aca="false">Checks!$A$245&amp;CHAR(10)&amp;IF(Checks!$I$245="","",Checks!$I$245&amp;": ")&amp;Checks!$J$245</f>
        <v>F07-UPL-01
Meal: Meals physically uplifted on board - quantity vs menu checklist</v>
      </c>
      <c r="B59" s="114" t="str">
        <f aca="false">Checks!$K$245&amp;IF(Checks!$O$245="","",IF(Checks!$K$245="","",CHAR(10))&amp;"Note: "&amp;Checks!$O$245)</f>
        <v>Enter expected &amp; actual
Note: Confirm on board before departure; completion time must fall inside the uplift window.</v>
      </c>
      <c r="C59" s="114" t="str">
        <f aca="false">Checks!$N$245&amp;CHAR(10)&amp;IF(ISNUMBER(Checks!$R$245),TEXT(Checks!$R$245,"DD-MMM-YY HH:MM"),"")&amp;" "&amp;Checks!$P$245</f>
        <v>Required
09-Oct-26 11:00 LHR</v>
      </c>
      <c r="D59" s="114" t="str">
        <f aca="false">IF(Checks!$U$245="","",Checks!$U$245)&amp;IF(Checks!$AB$245="","",CHAR(10)&amp;"CA: "&amp;Checks!$AB$245)</f>
        <v/>
      </c>
      <c r="E59" s="114" t="str">
        <f aca="false">IF(Checks!$V$245="","",Checks!$V$245)&amp;IF(Checks!$AC$245="","",IF(Checks!$V$245="","",CHAR(10))&amp;"N/A just.: "&amp;Checks!$AC$245)&amp;IF(Checks!$W$245="","",CHAR(10)&amp;"Batch: "&amp;Checks!$W$245)&amp;IF(AND(Checks!$X$245="",Checks!$Y$245=""),"",CHAR(10)&amp;"Exp: "&amp;Checks!$X$245&amp;"  /  Act: "&amp;Checks!$Y$245)</f>
        <v/>
      </c>
      <c r="F59" s="114" t="str">
        <f aca="false">IF(Checks!$Z$245="","","Evidence: "&amp;Checks!$Z$245)&amp;IF(Checks!$AA$245="","",IF(Checks!$Z$245="","",CHAR(10))&amp;"CA: "&amp;Checks!$AA$245)</f>
        <v/>
      </c>
      <c r="G59" s="114" t="str">
        <f aca="false">IF(ISNUMBER(Checks!$AD$245),TEXT(Checks!$AD$245,"DD-MMM-YY HH:MM")&amp;" "&amp;Checks!$P$245,"")&amp;IF(Checks!$AE$245="","",CHAR(10)&amp;"Verifier: "&amp;Checks!$AE$245)&amp;IF(Checks!$T$245="","",CHAR(10)&amp;"PIC: "&amp;Checks!$T$245)</f>
        <v/>
      </c>
      <c r="H59" s="115" t="str">
        <f aca="false">IF(Checks!$AH$245="","",Checks!$AH$245)</f>
        <v>OPEN</v>
      </c>
    </row>
    <row r="60" customFormat="false" ht="114" hidden="false" customHeight="true" outlineLevel="0" collapsed="false">
      <c r="A60" s="114" t="str">
        <f aca="false">Checks!$A$246&amp;CHAR(10)&amp;IF(Checks!$I$246="","",Checks!$I$246&amp;": ")&amp;Checks!$J$246</f>
        <v>F07-UPL-02
Equipment: Equipment physically loaded at GLD positions - quantity &amp; positions</v>
      </c>
      <c r="B60" s="114" t="str">
        <f aca="false">Checks!$K$246&amp;IF(Checks!$O$246="","",IF(Checks!$K$246="","",CHAR(10))&amp;"Note: "&amp;Checks!$O$246)</f>
        <v>Enter expected &amp; actual
Note: Confirm on board before departure; completion time must fall inside the uplift window.</v>
      </c>
      <c r="C60" s="114" t="str">
        <f aca="false">Checks!$N$246&amp;CHAR(10)&amp;IF(ISNUMBER(Checks!$R$246),TEXT(Checks!$R$246,"DD-MMM-YY HH:MM"),"")&amp;" "&amp;Checks!$P$246</f>
        <v>Required
09-Oct-26 11:00 LHR</v>
      </c>
      <c r="D60" s="114" t="str">
        <f aca="false">IF(Checks!$U$246="","",Checks!$U$246)&amp;IF(Checks!$AB$246="","",CHAR(10)&amp;"CA: "&amp;Checks!$AB$246)</f>
        <v/>
      </c>
      <c r="E60" s="114" t="str">
        <f aca="false">IF(Checks!$V$246="","",Checks!$V$246)&amp;IF(Checks!$AC$246="","",IF(Checks!$V$246="","",CHAR(10))&amp;"N/A just.: "&amp;Checks!$AC$246)&amp;IF(Checks!$W$246="","",CHAR(10)&amp;"Batch: "&amp;Checks!$W$246)&amp;IF(AND(Checks!$X$246="",Checks!$Y$246=""),"",CHAR(10)&amp;"Exp: "&amp;Checks!$X$246&amp;"  /  Act: "&amp;Checks!$Y$246)</f>
        <v/>
      </c>
      <c r="F60" s="114" t="str">
        <f aca="false">IF(Checks!$Z$246="","","Evidence: "&amp;Checks!$Z$246)&amp;IF(Checks!$AA$246="","",IF(Checks!$Z$246="","",CHAR(10))&amp;"CA: "&amp;Checks!$AA$246)</f>
        <v/>
      </c>
      <c r="G60" s="114" t="str">
        <f aca="false">IF(ISNUMBER(Checks!$AD$246),TEXT(Checks!$AD$246,"DD-MMM-YY HH:MM")&amp;" "&amp;Checks!$P$246,"")&amp;IF(Checks!$AE$246="","",CHAR(10)&amp;"Verifier: "&amp;Checks!$AE$246)&amp;IF(Checks!$T$246="","",CHAR(10)&amp;"PIC: "&amp;Checks!$T$246)</f>
        <v/>
      </c>
      <c r="H60" s="115" t="str">
        <f aca="false">IF(Checks!$AH$246="","",Checks!$AH$246)</f>
        <v>OPEN</v>
      </c>
    </row>
    <row r="61" customFormat="false" ht="147" hidden="false" customHeight="true" outlineLevel="0" collapsed="false">
      <c r="A61" s="114" t="str">
        <f aca="false">Checks!$A$247&amp;CHAR(10)&amp;IF(Checks!$I$247="","",Checks!$I$247&amp;": ")&amp;Checks!$J$247</f>
        <v>F07-UPL-03
Uplift plan: KUL-sourced items physically loaded at KUL on the inbound KUL-LHR flight</v>
      </c>
      <c r="B61" s="114" t="str">
        <f aca="false">Checks!$K$247&amp;IF(Checks!$O$247="","",IF(Checks!$K$247="","",CHAR(10))&amp;"Note: "&amp;Checks!$O$247)</f>
        <v>Items: Pajamas (BC), Slippers (BS/BC), Signature drink &amp; garnish (BC). Quantities as per Requirements
Note: Confirmed at KUL inside the uplift window before the carrying flight's KUL departure (Flights AX).</v>
      </c>
      <c r="C61" s="114" t="str">
        <f aca="false">Checks!$N$247&amp;CHAR(10)&amp;IF(ISNUMBER(Checks!$R$247),TEXT(Checks!$R$247,"DD-MMM-YY HH:MM"),"")&amp;" "&amp;Checks!$P$247</f>
        <v>Required
09-Oct-26 04:25 KUL</v>
      </c>
      <c r="D61" s="114" t="str">
        <f aca="false">IF(Checks!$U$247="","",Checks!$U$247)&amp;IF(Checks!$AB$247="","",CHAR(10)&amp;"CA: "&amp;Checks!$AB$247)</f>
        <v/>
      </c>
      <c r="E61" s="114" t="str">
        <f aca="false">IF(Checks!$V$247="","",Checks!$V$247)&amp;IF(Checks!$AC$247="","",IF(Checks!$V$247="","",CHAR(10))&amp;"N/A just.: "&amp;Checks!$AC$247)&amp;IF(Checks!$W$247="","",CHAR(10)&amp;"Batch: "&amp;Checks!$W$247)&amp;IF(AND(Checks!$X$247="",Checks!$Y$247=""),"",CHAR(10)&amp;"Exp: "&amp;Checks!$X$247&amp;"  /  Act: "&amp;Checks!$Y$247)</f>
        <v/>
      </c>
      <c r="F61" s="114" t="str">
        <f aca="false">IF(Checks!$Z$247="","","Evidence: "&amp;Checks!$Z$247)&amp;IF(Checks!$AA$247="","",IF(Checks!$Z$247="","",CHAR(10))&amp;"CA: "&amp;Checks!$AA$247)</f>
        <v/>
      </c>
      <c r="G61" s="114" t="str">
        <f aca="false">IF(ISNUMBER(Checks!$AD$247),TEXT(Checks!$AD$247,"DD-MMM-YY HH:MM")&amp;" "&amp;Checks!$P$247,"")&amp;IF(Checks!$AE$247="","",CHAR(10)&amp;"Verifier: "&amp;Checks!$AE$247)&amp;IF(Checks!$T$247="","",CHAR(10)&amp;"PIC: "&amp;Checks!$T$247)</f>
        <v/>
      </c>
      <c r="H61" s="115" t="str">
        <f aca="false">IF(Checks!$AH$247="","",Checks!$AH$247)</f>
        <v>OPEN</v>
      </c>
    </row>
    <row r="62" customFormat="false" ht="114" hidden="false" customHeight="true" outlineLevel="0" collapsed="false">
      <c r="A62" s="114" t="str">
        <f aca="false">Checks!$A$248&amp;CHAR(10)&amp;IF(Checks!$I$248="","",Checks!$I$248&amp;": ")&amp;Checks!$J$248</f>
        <v>F07-UPL-04
Amenities: Toiletry kits - on board</v>
      </c>
      <c r="B62" s="114" t="str">
        <f aca="false">Checks!$K$248&amp;IF(Checks!$O$248="","",IF(Checks!$K$248="","",CHAR(10))&amp;"Note: "&amp;Checks!$O$248)</f>
        <v>Available (ticked in reference)</v>
      </c>
      <c r="C62" s="114" t="str">
        <f aca="false">Checks!$N$248&amp;CHAR(10)&amp;IF(ISNUMBER(Checks!$R$248),TEXT(Checks!$R$248,"DD-MMM-YY HH:MM"),"")&amp;" "&amp;Checks!$P$248</f>
        <v>Required
09-Oct-26 11:00 LHR</v>
      </c>
      <c r="D62" s="114" t="str">
        <f aca="false">IF(Checks!$U$248="","",Checks!$U$248)&amp;IF(Checks!$AB$248="","",CHAR(10)&amp;"CA: "&amp;Checks!$AB$248)</f>
        <v/>
      </c>
      <c r="E62" s="114" t="str">
        <f aca="false">IF(Checks!$V$248="","",Checks!$V$248)&amp;IF(Checks!$AC$248="","",IF(Checks!$V$248="","",CHAR(10))&amp;"N/A just.: "&amp;Checks!$AC$248)&amp;IF(Checks!$W$248="","",CHAR(10)&amp;"Batch: "&amp;Checks!$W$248)&amp;IF(AND(Checks!$X$248="",Checks!$Y$248=""),"",CHAR(10)&amp;"Exp: "&amp;Checks!$X$248&amp;"  /  Act: "&amp;Checks!$Y$248)</f>
        <v/>
      </c>
      <c r="F62" s="114" t="str">
        <f aca="false">IF(Checks!$Z$248="","","Evidence: "&amp;Checks!$Z$248)&amp;IF(Checks!$AA$248="","",IF(Checks!$Z$248="","",CHAR(10))&amp;"CA: "&amp;Checks!$AA$248)</f>
        <v/>
      </c>
      <c r="G62" s="114" t="str">
        <f aca="false">IF(ISNUMBER(Checks!$AD$248),TEXT(Checks!$AD$248,"DD-MMM-YY HH:MM")&amp;" "&amp;Checks!$P$248,"")&amp;IF(Checks!$AE$248="","",CHAR(10)&amp;"Verifier: "&amp;Checks!$AE$248)&amp;IF(Checks!$T$248="","",CHAR(10)&amp;"PIC: "&amp;Checks!$T$248)</f>
        <v/>
      </c>
      <c r="H62" s="115" t="str">
        <f aca="false">IF(Checks!$AH$248="","",Checks!$AH$248)</f>
        <v>OPEN</v>
      </c>
    </row>
    <row r="63" customFormat="false" ht="114" hidden="false" customHeight="true" outlineLevel="0" collapsed="false">
      <c r="A63" s="114" t="str">
        <f aca="false">Checks!$A$249&amp;CHAR(10)&amp;IF(Checks!$I$249="","",Checks!$I$249&amp;": ")&amp;Checks!$J$249</f>
        <v>F07-UPL-05
Amenities: Pajamas (BC) - on board</v>
      </c>
      <c r="B63" s="114" t="str">
        <f aca="false">Checks!$K$249&amp;IF(Checks!$O$249="","",IF(Checks!$K$249="","",CHAR(10))&amp;"Note: "&amp;Checks!$O$249)</f>
        <v>Available - BC red-eye only
Note: Reference limits BC pajamas to red-eye flights; STD 1100 local arriving 0645+1 - confirm whether this leg counts as red-eye.</v>
      </c>
      <c r="C63" s="114" t="str">
        <f aca="false">Checks!$N$249&amp;CHAR(10)&amp;IF(ISNUMBER(Checks!$R$249),TEXT(Checks!$R$249,"DD-MMM-YY HH:MM"),"")&amp;" "&amp;Checks!$P$249</f>
        <v>Clarification required
09-Oct-26 11:00 LHR</v>
      </c>
      <c r="D63" s="114" t="str">
        <f aca="false">IF(Checks!$U$249="","",Checks!$U$249)&amp;IF(Checks!$AB$249="","",CHAR(10)&amp;"CA: "&amp;Checks!$AB$249)</f>
        <v/>
      </c>
      <c r="E63" s="114" t="str">
        <f aca="false">IF(Checks!$V$249="","",Checks!$V$249)&amp;IF(Checks!$AC$249="","",IF(Checks!$V$249="","",CHAR(10))&amp;"N/A just.: "&amp;Checks!$AC$249)&amp;IF(Checks!$W$249="","",CHAR(10)&amp;"Batch: "&amp;Checks!$W$249)&amp;IF(AND(Checks!$X$249="",Checks!$Y$249=""),"",CHAR(10)&amp;"Exp: "&amp;Checks!$X$249&amp;"  /  Act: "&amp;Checks!$Y$249)</f>
        <v/>
      </c>
      <c r="F63" s="114" t="str">
        <f aca="false">IF(Checks!$Z$249="","","Evidence: "&amp;Checks!$Z$249)&amp;IF(Checks!$AA$249="","",IF(Checks!$Z$249="","",CHAR(10))&amp;"CA: "&amp;Checks!$AA$249)</f>
        <v/>
      </c>
      <c r="G63" s="114" t="str">
        <f aca="false">IF(ISNUMBER(Checks!$AD$249),TEXT(Checks!$AD$249,"DD-MMM-YY HH:MM")&amp;" "&amp;Checks!$P$249,"")&amp;IF(Checks!$AE$249="","",CHAR(10)&amp;"Verifier: "&amp;Checks!$AE$249)&amp;IF(Checks!$T$249="","",CHAR(10)&amp;"PIC: "&amp;Checks!$T$249)</f>
        <v/>
      </c>
      <c r="H63" s="115" t="str">
        <f aca="false">IF(Checks!$AH$249="","",Checks!$AH$249)</f>
        <v>OPEN – CLARIFICATION</v>
      </c>
    </row>
    <row r="64" customFormat="false" ht="114" hidden="false" customHeight="true" outlineLevel="0" collapsed="false">
      <c r="A64" s="114" t="str">
        <f aca="false">Checks!$A$250&amp;CHAR(10)&amp;IF(Checks!$I$250="","",Checks!$I$250&amp;": ")&amp;Checks!$J$250</f>
        <v>F07-UPL-06
Amenities: Slippers (BS/BC) - on board</v>
      </c>
      <c r="B64" s="114" t="str">
        <f aca="false">Checks!$K$250&amp;IF(Checks!$O$250="","",IF(Checks!$K$250="","",CHAR(10))&amp;"Note: "&amp;Checks!$O$250)</f>
        <v>Available (ticked in reference)</v>
      </c>
      <c r="C64" s="114" t="str">
        <f aca="false">Checks!$N$250&amp;CHAR(10)&amp;IF(ISNUMBER(Checks!$R$250),TEXT(Checks!$R$250,"DD-MMM-YY HH:MM"),"")&amp;" "&amp;Checks!$P$250</f>
        <v>Required
09-Oct-26 11:00 LHR</v>
      </c>
      <c r="D64" s="114" t="str">
        <f aca="false">IF(Checks!$U$250="","",Checks!$U$250)&amp;IF(Checks!$AB$250="","",CHAR(10)&amp;"CA: "&amp;Checks!$AB$250)</f>
        <v/>
      </c>
      <c r="E64" s="114" t="str">
        <f aca="false">IF(Checks!$V$250="","",Checks!$V$250)&amp;IF(Checks!$AC$250="","",IF(Checks!$V$250="","",CHAR(10))&amp;"N/A just.: "&amp;Checks!$AC$250)&amp;IF(Checks!$W$250="","",CHAR(10)&amp;"Batch: "&amp;Checks!$W$250)&amp;IF(AND(Checks!$X$250="",Checks!$Y$250=""),"",CHAR(10)&amp;"Exp: "&amp;Checks!$X$250&amp;"  /  Act: "&amp;Checks!$Y$250)</f>
        <v/>
      </c>
      <c r="F64" s="114" t="str">
        <f aca="false">IF(Checks!$Z$250="","","Evidence: "&amp;Checks!$Z$250)&amp;IF(Checks!$AA$250="","",IF(Checks!$Z$250="","",CHAR(10))&amp;"CA: "&amp;Checks!$AA$250)</f>
        <v/>
      </c>
      <c r="G64" s="114" t="str">
        <f aca="false">IF(ISNUMBER(Checks!$AD$250),TEXT(Checks!$AD$250,"DD-MMM-YY HH:MM")&amp;" "&amp;Checks!$P$250,"")&amp;IF(Checks!$AE$250="","",CHAR(10)&amp;"Verifier: "&amp;Checks!$AE$250)&amp;IF(Checks!$T$250="","",CHAR(10)&amp;"PIC: "&amp;Checks!$T$250)</f>
        <v/>
      </c>
      <c r="H64" s="115" t="str">
        <f aca="false">IF(Checks!$AH$250="","",Checks!$AH$250)</f>
        <v>OPEN</v>
      </c>
    </row>
    <row r="65" customFormat="false" ht="114" hidden="false" customHeight="true" outlineLevel="0" collapsed="false">
      <c r="A65" s="114" t="str">
        <f aca="false">Checks!$A$251&amp;CHAR(10)&amp;IF(Checks!$I$251="","",Checks!$I$251&amp;": ")&amp;Checks!$J$251</f>
        <v>F07-UPL-07
F&amp;B Linen: Towel - on board</v>
      </c>
      <c r="B65" s="114" t="str">
        <f aca="false">Checks!$K$251&amp;IF(Checks!$O$251="","",IF(Checks!$K$251="","",CHAR(10))&amp;"Note: "&amp;Checks!$O$251)</f>
        <v>Available (ticked in reference)</v>
      </c>
      <c r="C65" s="114" t="str">
        <f aca="false">Checks!$N$251&amp;CHAR(10)&amp;IF(ISNUMBER(Checks!$R$251),TEXT(Checks!$R$251,"DD-MMM-YY HH:MM"),"")&amp;" "&amp;Checks!$P$251</f>
        <v>Required
09-Oct-26 11:00 LHR</v>
      </c>
      <c r="D65" s="114" t="str">
        <f aca="false">IF(Checks!$U$251="","",Checks!$U$251)&amp;IF(Checks!$AB$251="","",CHAR(10)&amp;"CA: "&amp;Checks!$AB$251)</f>
        <v/>
      </c>
      <c r="E65" s="114" t="str">
        <f aca="false">IF(Checks!$V$251="","",Checks!$V$251)&amp;IF(Checks!$AC$251="","",IF(Checks!$V$251="","",CHAR(10))&amp;"N/A just.: "&amp;Checks!$AC$251)&amp;IF(Checks!$W$251="","",CHAR(10)&amp;"Batch: "&amp;Checks!$W$251)&amp;IF(AND(Checks!$X$251="",Checks!$Y$251=""),"",CHAR(10)&amp;"Exp: "&amp;Checks!$X$251&amp;"  /  Act: "&amp;Checks!$Y$251)</f>
        <v/>
      </c>
      <c r="F65" s="114" t="str">
        <f aca="false">IF(Checks!$Z$251="","","Evidence: "&amp;Checks!$Z$251)&amp;IF(Checks!$AA$251="","",IF(Checks!$Z$251="","",CHAR(10))&amp;"CA: "&amp;Checks!$AA$251)</f>
        <v/>
      </c>
      <c r="G65" s="114" t="str">
        <f aca="false">IF(ISNUMBER(Checks!$AD$251),TEXT(Checks!$AD$251,"DD-MMM-YY HH:MM")&amp;" "&amp;Checks!$P$251,"")&amp;IF(Checks!$AE$251="","",CHAR(10)&amp;"Verifier: "&amp;Checks!$AE$251)&amp;IF(Checks!$T$251="","",CHAR(10)&amp;"PIC: "&amp;Checks!$T$251)</f>
        <v/>
      </c>
      <c r="H65" s="115" t="str">
        <f aca="false">IF(Checks!$AH$251="","",Checks!$AH$251)</f>
        <v>OPEN</v>
      </c>
    </row>
    <row r="66" customFormat="false" ht="114" hidden="false" customHeight="true" outlineLevel="0" collapsed="false">
      <c r="A66" s="114" t="str">
        <f aca="false">Checks!$A$252&amp;CHAR(10)&amp;IF(Checks!$I$252="","",Checks!$I$252&amp;": ")&amp;Checks!$J$252</f>
        <v>F07-UPL-08
F&amp;B Linen: Tray cloth - on board</v>
      </c>
      <c r="B66" s="114" t="str">
        <f aca="false">Checks!$K$252&amp;IF(Checks!$O$252="","",IF(Checks!$K$252="","",CHAR(10))&amp;"Note: "&amp;Checks!$O$252)</f>
        <v>Available (ticked in reference)</v>
      </c>
      <c r="C66" s="114" t="str">
        <f aca="false">Checks!$N$252&amp;CHAR(10)&amp;IF(ISNUMBER(Checks!$R$252),TEXT(Checks!$R$252,"DD-MMM-YY HH:MM"),"")&amp;" "&amp;Checks!$P$252</f>
        <v>Required
09-Oct-26 11:00 LHR</v>
      </c>
      <c r="D66" s="114" t="str">
        <f aca="false">IF(Checks!$U$252="","",Checks!$U$252)&amp;IF(Checks!$AB$252="","",CHAR(10)&amp;"CA: "&amp;Checks!$AB$252)</f>
        <v/>
      </c>
      <c r="E66" s="114" t="str">
        <f aca="false">IF(Checks!$V$252="","",Checks!$V$252)&amp;IF(Checks!$AC$252="","",IF(Checks!$V$252="","",CHAR(10))&amp;"N/A just.: "&amp;Checks!$AC$252)&amp;IF(Checks!$W$252="","",CHAR(10)&amp;"Batch: "&amp;Checks!$W$252)&amp;IF(AND(Checks!$X$252="",Checks!$Y$252=""),"",CHAR(10)&amp;"Exp: "&amp;Checks!$X$252&amp;"  /  Act: "&amp;Checks!$Y$252)</f>
        <v/>
      </c>
      <c r="F66" s="114" t="str">
        <f aca="false">IF(Checks!$Z$252="","","Evidence: "&amp;Checks!$Z$252)&amp;IF(Checks!$AA$252="","",IF(Checks!$Z$252="","",CHAR(10))&amp;"CA: "&amp;Checks!$AA$252)</f>
        <v/>
      </c>
      <c r="G66" s="114" t="str">
        <f aca="false">IF(ISNUMBER(Checks!$AD$252),TEXT(Checks!$AD$252,"DD-MMM-YY HH:MM")&amp;" "&amp;Checks!$P$252,"")&amp;IF(Checks!$AE$252="","",CHAR(10)&amp;"Verifier: "&amp;Checks!$AE$252)&amp;IF(Checks!$T$252="","",CHAR(10)&amp;"PIC: "&amp;Checks!$T$252)</f>
        <v/>
      </c>
      <c r="H66" s="115" t="str">
        <f aca="false">IF(Checks!$AH$252="","",Checks!$AH$252)</f>
        <v>OPEN</v>
      </c>
    </row>
    <row r="67" customFormat="false" ht="114" hidden="false" customHeight="true" outlineLevel="0" collapsed="false">
      <c r="A67" s="114" t="str">
        <f aca="false">Checks!$A$253&amp;CHAR(10)&amp;IF(Checks!$I$253="","",Checks!$I$253&amp;": ")&amp;Checks!$J$253</f>
        <v>F07-UPL-09
F&amp;B Linen: Napkin - on board</v>
      </c>
      <c r="B67" s="114" t="str">
        <f aca="false">Checks!$K$253&amp;IF(Checks!$O$253="","",IF(Checks!$K$253="","",CHAR(10))&amp;"Note: "&amp;Checks!$O$253)</f>
        <v>Available (ticked in reference)</v>
      </c>
      <c r="C67" s="114" t="str">
        <f aca="false">Checks!$N$253&amp;CHAR(10)&amp;IF(ISNUMBER(Checks!$R$253),TEXT(Checks!$R$253,"DD-MMM-YY HH:MM"),"")&amp;" "&amp;Checks!$P$253</f>
        <v>Required
09-Oct-26 11:00 LHR</v>
      </c>
      <c r="D67" s="114" t="str">
        <f aca="false">IF(Checks!$U$253="","",Checks!$U$253)&amp;IF(Checks!$AB$253="","",CHAR(10)&amp;"CA: "&amp;Checks!$AB$253)</f>
        <v/>
      </c>
      <c r="E67" s="114" t="str">
        <f aca="false">IF(Checks!$V$253="","",Checks!$V$253)&amp;IF(Checks!$AC$253="","",IF(Checks!$V$253="","",CHAR(10))&amp;"N/A just.: "&amp;Checks!$AC$253)&amp;IF(Checks!$W$253="","",CHAR(10)&amp;"Batch: "&amp;Checks!$W$253)&amp;IF(AND(Checks!$X$253="",Checks!$Y$253=""),"",CHAR(10)&amp;"Exp: "&amp;Checks!$X$253&amp;"  /  Act: "&amp;Checks!$Y$253)</f>
        <v/>
      </c>
      <c r="F67" s="114" t="str">
        <f aca="false">IF(Checks!$Z$253="","","Evidence: "&amp;Checks!$Z$253)&amp;IF(Checks!$AA$253="","",IF(Checks!$Z$253="","",CHAR(10))&amp;"CA: "&amp;Checks!$AA$253)</f>
        <v/>
      </c>
      <c r="G67" s="114" t="str">
        <f aca="false">IF(ISNUMBER(Checks!$AD$253),TEXT(Checks!$AD$253,"DD-MMM-YY HH:MM")&amp;" "&amp;Checks!$P$253,"")&amp;IF(Checks!$AE$253="","",CHAR(10)&amp;"Verifier: "&amp;Checks!$AE$253)&amp;IF(Checks!$T$253="","",CHAR(10)&amp;"PIC: "&amp;Checks!$T$253)</f>
        <v/>
      </c>
      <c r="H67" s="115" t="str">
        <f aca="false">IF(Checks!$AH$253="","",Checks!$AH$253)</f>
        <v>OPEN</v>
      </c>
    </row>
    <row r="68" customFormat="false" ht="114" hidden="false" customHeight="true" outlineLevel="0" collapsed="false">
      <c r="A68" s="114" t="str">
        <f aca="false">Checks!$A$254&amp;CHAR(10)&amp;IF(Checks!$I$254="","",Checks!$I$254&amp;": ")&amp;Checks!$J$254</f>
        <v>F07-UPL-10
F&amp;B Linen: Table cloth - on board</v>
      </c>
      <c r="B68" s="114" t="str">
        <f aca="false">Checks!$K$254&amp;IF(Checks!$O$254="","",IF(Checks!$K$254="","",CHAR(10))&amp;"Note: "&amp;Checks!$O$254)</f>
        <v>Available (ticked in reference)</v>
      </c>
      <c r="C68" s="114" t="str">
        <f aca="false">Checks!$N$254&amp;CHAR(10)&amp;IF(ISNUMBER(Checks!$R$254),TEXT(Checks!$R$254,"DD-MMM-YY HH:MM"),"")&amp;" "&amp;Checks!$P$254</f>
        <v>Required
09-Oct-26 11:00 LHR</v>
      </c>
      <c r="D68" s="114" t="str">
        <f aca="false">IF(Checks!$U$254="","",Checks!$U$254)&amp;IF(Checks!$AB$254="","",CHAR(10)&amp;"CA: "&amp;Checks!$AB$254)</f>
        <v/>
      </c>
      <c r="E68" s="114" t="str">
        <f aca="false">IF(Checks!$V$254="","",Checks!$V$254)&amp;IF(Checks!$AC$254="","",IF(Checks!$V$254="","",CHAR(10))&amp;"N/A just.: "&amp;Checks!$AC$254)&amp;IF(Checks!$W$254="","",CHAR(10)&amp;"Batch: "&amp;Checks!$W$254)&amp;IF(AND(Checks!$X$254="",Checks!$Y$254=""),"",CHAR(10)&amp;"Exp: "&amp;Checks!$X$254&amp;"  /  Act: "&amp;Checks!$Y$254)</f>
        <v/>
      </c>
      <c r="F68" s="114" t="str">
        <f aca="false">IF(Checks!$Z$254="","","Evidence: "&amp;Checks!$Z$254)&amp;IF(Checks!$AA$254="","",IF(Checks!$Z$254="","",CHAR(10))&amp;"CA: "&amp;Checks!$AA$254)</f>
        <v/>
      </c>
      <c r="G68" s="114" t="str">
        <f aca="false">IF(ISNUMBER(Checks!$AD$254),TEXT(Checks!$AD$254,"DD-MMM-YY HH:MM")&amp;" "&amp;Checks!$P$254,"")&amp;IF(Checks!$AE$254="","",CHAR(10)&amp;"Verifier: "&amp;Checks!$AE$254)&amp;IF(Checks!$T$254="","",CHAR(10)&amp;"PIC: "&amp;Checks!$T$254)</f>
        <v/>
      </c>
      <c r="H68" s="115" t="str">
        <f aca="false">IF(Checks!$AH$254="","",Checks!$AH$254)</f>
        <v>OPEN</v>
      </c>
    </row>
    <row r="69" customFormat="false" ht="114" hidden="false" customHeight="true" outlineLevel="0" collapsed="false">
      <c r="A69" s="114" t="str">
        <f aca="false">Checks!$A$255&amp;CHAR(10)&amp;IF(Checks!$I$255="","",Checks!$I$255&amp;": ")&amp;Checks!$J$255</f>
        <v>F07-UPL-11
F&amp;B Linen: Bread linen (using table cloth) - on board</v>
      </c>
      <c r="B69" s="114" t="str">
        <f aca="false">Checks!$K$255&amp;IF(Checks!$O$255="","",IF(Checks!$K$255="","",CHAR(10))&amp;"Note: "&amp;Checks!$O$255)</f>
        <v>Available (ticked in reference)</v>
      </c>
      <c r="C69" s="114" t="str">
        <f aca="false">Checks!$N$255&amp;CHAR(10)&amp;IF(ISNUMBER(Checks!$R$255),TEXT(Checks!$R$255,"DD-MMM-YY HH:MM"),"")&amp;" "&amp;Checks!$P$255</f>
        <v>Required
09-Oct-26 11:00 LHR</v>
      </c>
      <c r="D69" s="114" t="str">
        <f aca="false">IF(Checks!$U$255="","",Checks!$U$255)&amp;IF(Checks!$AB$255="","",CHAR(10)&amp;"CA: "&amp;Checks!$AB$255)</f>
        <v/>
      </c>
      <c r="E69" s="114" t="str">
        <f aca="false">IF(Checks!$V$255="","",Checks!$V$255)&amp;IF(Checks!$AC$255="","",IF(Checks!$V$255="","",CHAR(10))&amp;"N/A just.: "&amp;Checks!$AC$255)&amp;IF(Checks!$W$255="","",CHAR(10)&amp;"Batch: "&amp;Checks!$W$255)&amp;IF(AND(Checks!$X$255="",Checks!$Y$255=""),"",CHAR(10)&amp;"Exp: "&amp;Checks!$X$255&amp;"  /  Act: "&amp;Checks!$Y$255)</f>
        <v/>
      </c>
      <c r="F69" s="114" t="str">
        <f aca="false">IF(Checks!$Z$255="","","Evidence: "&amp;Checks!$Z$255)&amp;IF(Checks!$AA$255="","",IF(Checks!$Z$255="","",CHAR(10))&amp;"CA: "&amp;Checks!$AA$255)</f>
        <v/>
      </c>
      <c r="G69" s="114" t="str">
        <f aca="false">IF(ISNUMBER(Checks!$AD$255),TEXT(Checks!$AD$255,"DD-MMM-YY HH:MM")&amp;" "&amp;Checks!$P$255,"")&amp;IF(Checks!$AE$255="","",CHAR(10)&amp;"Verifier: "&amp;Checks!$AE$255)&amp;IF(Checks!$T$255="","",CHAR(10)&amp;"PIC: "&amp;Checks!$T$255)</f>
        <v/>
      </c>
      <c r="H69" s="115" t="str">
        <f aca="false">IF(Checks!$AH$255="","",Checks!$AH$255)</f>
        <v>OPEN</v>
      </c>
    </row>
    <row r="70" customFormat="false" ht="114" hidden="false" customHeight="true" outlineLevel="0" collapsed="false">
      <c r="A70" s="114" t="str">
        <f aca="false">Checks!$A$256&amp;CHAR(10)&amp;IF(Checks!$I$256="","",Checks!$I$256&amp;": ")&amp;Checks!$J$256</f>
        <v>F07-UPL-12
F&amp;B Linen: Trolley cloth - on board</v>
      </c>
      <c r="B70" s="114" t="str">
        <f aca="false">SUBSTITUTE(Checks!$K$256&amp;IF(Checks!$O$256="","",IF(Checks!$K$256="","",CHAR(10))&amp;"Note: "&amp;Checks!$O$256),"F&amp;B LINEN!","Ref: F&amp;B LINEN!")</f>
        <v>Wide body: Top/Middle &amp; Bottom
Note: Per note Ref: F&amp;B LINEN!B79:C80.</v>
      </c>
      <c r="C70" s="114" t="str">
        <f aca="false">Checks!$N$256&amp;CHAR(10)&amp;IF(ISNUMBER(Checks!$R$256),TEXT(Checks!$R$256,"DD-MMM-YY HH:MM"),"")&amp;" "&amp;Checks!$P$256</f>
        <v>Required
09-Oct-26 11:00 LHR</v>
      </c>
      <c r="D70" s="114" t="str">
        <f aca="false">IF(Checks!$U$256="","",Checks!$U$256)&amp;IF(Checks!$AB$256="","",CHAR(10)&amp;"CA: "&amp;Checks!$AB$256)</f>
        <v/>
      </c>
      <c r="E70" s="114" t="str">
        <f aca="false">IF(Checks!$V$256="","",Checks!$V$256)&amp;IF(Checks!$AC$256="","",IF(Checks!$V$256="","",CHAR(10))&amp;"N/A just.: "&amp;Checks!$AC$256)&amp;IF(Checks!$W$256="","",CHAR(10)&amp;"Batch: "&amp;Checks!$W$256)&amp;IF(AND(Checks!$X$256="",Checks!$Y$256=""),"",CHAR(10)&amp;"Exp: "&amp;Checks!$X$256&amp;"  /  Act: "&amp;Checks!$Y$256)</f>
        <v/>
      </c>
      <c r="F70" s="114" t="str">
        <f aca="false">IF(Checks!$Z$256="","","Evidence: "&amp;Checks!$Z$256)&amp;IF(Checks!$AA$256="","",IF(Checks!$Z$256="","",CHAR(10))&amp;"CA: "&amp;Checks!$AA$256)</f>
        <v/>
      </c>
      <c r="G70" s="114" t="str">
        <f aca="false">IF(ISNUMBER(Checks!$AD$256),TEXT(Checks!$AD$256,"DD-MMM-YY HH:MM")&amp;" "&amp;Checks!$P$256,"")&amp;IF(Checks!$AE$256="","",CHAR(10)&amp;"Verifier: "&amp;Checks!$AE$256)&amp;IF(Checks!$T$256="","",CHAR(10)&amp;"PIC: "&amp;Checks!$T$256)</f>
        <v/>
      </c>
      <c r="H70" s="115" t="str">
        <f aca="false">IF(Checks!$AH$256="","",Checks!$AH$256)</f>
        <v>OPEN</v>
      </c>
    </row>
    <row r="71" customFormat="false" ht="114" hidden="false" customHeight="true" outlineLevel="0" collapsed="false">
      <c r="A71" s="114" t="str">
        <f aca="false">Checks!$A$257&amp;CHAR(10)&amp;IF(Checks!$I$257="","",Checks!$I$257&amp;": ")&amp;Checks!$J$257</f>
        <v>F07-UPL-13
F&amp;B Linen: Linen bag - on board</v>
      </c>
      <c r="B71" s="114" t="str">
        <f aca="false">Checks!$K$257&amp;IF(Checks!$O$257="","",IF(Checks!$K$257="","",CHAR(10))&amp;"Note: "&amp;Checks!$O$257)</f>
        <v>Available (ticked in reference)</v>
      </c>
      <c r="C71" s="114" t="str">
        <f aca="false">Checks!$N$257&amp;CHAR(10)&amp;IF(ISNUMBER(Checks!$R$257),TEXT(Checks!$R$257,"DD-MMM-YY HH:MM"),"")&amp;" "&amp;Checks!$P$257</f>
        <v>Required
09-Oct-26 11:00 LHR</v>
      </c>
      <c r="D71" s="114" t="str">
        <f aca="false">IF(Checks!$U$257="","",Checks!$U$257)&amp;IF(Checks!$AB$257="","",CHAR(10)&amp;"CA: "&amp;Checks!$AB$257)</f>
        <v/>
      </c>
      <c r="E71" s="114" t="str">
        <f aca="false">IF(Checks!$V$257="","",Checks!$V$257)&amp;IF(Checks!$AC$257="","",IF(Checks!$V$257="","",CHAR(10))&amp;"N/A just.: "&amp;Checks!$AC$257)&amp;IF(Checks!$W$257="","",CHAR(10)&amp;"Batch: "&amp;Checks!$W$257)&amp;IF(AND(Checks!$X$257="",Checks!$Y$257=""),"",CHAR(10)&amp;"Exp: "&amp;Checks!$X$257&amp;"  /  Act: "&amp;Checks!$Y$257)</f>
        <v/>
      </c>
      <c r="F71" s="114" t="str">
        <f aca="false">IF(Checks!$Z$257="","","Evidence: "&amp;Checks!$Z$257)&amp;IF(Checks!$AA$257="","",IF(Checks!$Z$257="","",CHAR(10))&amp;"CA: "&amp;Checks!$AA$257)</f>
        <v/>
      </c>
      <c r="G71" s="114" t="str">
        <f aca="false">IF(ISNUMBER(Checks!$AD$257),TEXT(Checks!$AD$257,"DD-MMM-YY HH:MM")&amp;" "&amp;Checks!$P$257,"")&amp;IF(Checks!$AE$257="","",CHAR(10)&amp;"Verifier: "&amp;Checks!$AE$257)&amp;IF(Checks!$T$257="","",CHAR(10)&amp;"PIC: "&amp;Checks!$T$257)</f>
        <v/>
      </c>
      <c r="H71" s="115" t="str">
        <f aca="false">IF(Checks!$AH$257="","",Checks!$AH$257)</f>
        <v>OPEN</v>
      </c>
    </row>
    <row r="72" customFormat="false" ht="114" hidden="false" customHeight="true" outlineLevel="0" collapsed="false">
      <c r="A72" s="114" t="str">
        <f aca="false">Checks!$A$258&amp;CHAR(10)&amp;IF(Checks!$I$258="","",Checks!$I$258&amp;": ")&amp;Checks!$J$258</f>
        <v>F07-UPL-14
Seat Linen: Seat pillow (BS &amp; BC) - on board</v>
      </c>
      <c r="B72" s="114" t="str">
        <f aca="false">Checks!$K$258&amp;IF(Checks!$O$258="","",IF(Checks!$K$258="","",CHAR(10))&amp;"Note: "&amp;Checks!$O$258)</f>
        <v>Available 100% (ticked in reference)</v>
      </c>
      <c r="C72" s="114" t="str">
        <f aca="false">Checks!$N$258&amp;CHAR(10)&amp;IF(ISNUMBER(Checks!$R$258),TEXT(Checks!$R$258,"DD-MMM-YY HH:MM"),"")&amp;" "&amp;Checks!$P$258</f>
        <v>Required
09-Oct-26 11:00 LHR</v>
      </c>
      <c r="D72" s="114" t="str">
        <f aca="false">IF(Checks!$U$258="","",Checks!$U$258)&amp;IF(Checks!$AB$258="","",CHAR(10)&amp;"CA: "&amp;Checks!$AB$258)</f>
        <v/>
      </c>
      <c r="E72" s="114" t="str">
        <f aca="false">IF(Checks!$V$258="","",Checks!$V$258)&amp;IF(Checks!$AC$258="","",IF(Checks!$V$258="","",CHAR(10))&amp;"N/A just.: "&amp;Checks!$AC$258)&amp;IF(Checks!$W$258="","",CHAR(10)&amp;"Batch: "&amp;Checks!$W$258)&amp;IF(AND(Checks!$X$258="",Checks!$Y$258=""),"",CHAR(10)&amp;"Exp: "&amp;Checks!$X$258&amp;"  /  Act: "&amp;Checks!$Y$258)</f>
        <v/>
      </c>
      <c r="F72" s="114" t="str">
        <f aca="false">IF(Checks!$Z$258="","","Evidence: "&amp;Checks!$Z$258)&amp;IF(Checks!$AA$258="","",IF(Checks!$Z$258="","",CHAR(10))&amp;"CA: "&amp;Checks!$AA$258)</f>
        <v/>
      </c>
      <c r="G72" s="114" t="str">
        <f aca="false">IF(ISNUMBER(Checks!$AD$258),TEXT(Checks!$AD$258,"DD-MMM-YY HH:MM")&amp;" "&amp;Checks!$P$258,"")&amp;IF(Checks!$AE$258="","",CHAR(10)&amp;"Verifier: "&amp;Checks!$AE$258)&amp;IF(Checks!$T$258="","",CHAR(10)&amp;"PIC: "&amp;Checks!$T$258)</f>
        <v/>
      </c>
      <c r="H72" s="115" t="str">
        <f aca="false">IF(Checks!$AH$258="","",Checks!$AH$258)</f>
        <v>OPEN</v>
      </c>
    </row>
    <row r="73" customFormat="false" ht="114" hidden="false" customHeight="true" outlineLevel="0" collapsed="false">
      <c r="A73" s="114" t="str">
        <f aca="false">Checks!$A$259&amp;CHAR(10)&amp;IF(Checks!$I$259="","",Checks!$I$259&amp;": ")&amp;Checks!$J$259</f>
        <v>F07-UPL-15
Seat Linen: Duvet (BS &amp; BC) - on board</v>
      </c>
      <c r="B73" s="114" t="str">
        <f aca="false">Checks!$K$259&amp;IF(Checks!$O$259="","",IF(Checks!$K$259="","",CHAR(10))&amp;"Note: "&amp;Checks!$O$259)</f>
        <v>Available 100% (ticked in reference)</v>
      </c>
      <c r="C73" s="114" t="str">
        <f aca="false">Checks!$N$259&amp;CHAR(10)&amp;IF(ISNUMBER(Checks!$R$259),TEXT(Checks!$R$259,"DD-MMM-YY HH:MM"),"")&amp;" "&amp;Checks!$P$259</f>
        <v>Required
09-Oct-26 11:00 LHR</v>
      </c>
      <c r="D73" s="114" t="str">
        <f aca="false">IF(Checks!$U$259="","",Checks!$U$259)&amp;IF(Checks!$AB$259="","",CHAR(10)&amp;"CA: "&amp;Checks!$AB$259)</f>
        <v/>
      </c>
      <c r="E73" s="114" t="str">
        <f aca="false">IF(Checks!$V$259="","",Checks!$V$259)&amp;IF(Checks!$AC$259="","",IF(Checks!$V$259="","",CHAR(10))&amp;"N/A just.: "&amp;Checks!$AC$259)&amp;IF(Checks!$W$259="","",CHAR(10)&amp;"Batch: "&amp;Checks!$W$259)&amp;IF(AND(Checks!$X$259="",Checks!$Y$259=""),"",CHAR(10)&amp;"Exp: "&amp;Checks!$X$259&amp;"  /  Act: "&amp;Checks!$Y$259)</f>
        <v/>
      </c>
      <c r="F73" s="114" t="str">
        <f aca="false">IF(Checks!$Z$259="","","Evidence: "&amp;Checks!$Z$259)&amp;IF(Checks!$AA$259="","",IF(Checks!$Z$259="","",CHAR(10))&amp;"CA: "&amp;Checks!$AA$259)</f>
        <v/>
      </c>
      <c r="G73" s="114" t="str">
        <f aca="false">IF(ISNUMBER(Checks!$AD$259),TEXT(Checks!$AD$259,"DD-MMM-YY HH:MM")&amp;" "&amp;Checks!$P$259,"")&amp;IF(Checks!$AE$259="","",CHAR(10)&amp;"Verifier: "&amp;Checks!$AE$259)&amp;IF(Checks!$T$259="","",CHAR(10)&amp;"PIC: "&amp;Checks!$T$259)</f>
        <v/>
      </c>
      <c r="H73" s="115" t="str">
        <f aca="false">IF(Checks!$AH$259="","",Checks!$AH$259)</f>
        <v>OPEN</v>
      </c>
    </row>
    <row r="74" customFormat="false" ht="114" hidden="false" customHeight="true" outlineLevel="0" collapsed="false">
      <c r="A74" s="114" t="str">
        <f aca="false">Checks!$A$260&amp;CHAR(10)&amp;IF(Checks!$I$260="","",Checks!$I$260&amp;": ")&amp;Checks!$J$260</f>
        <v>F07-UPL-16
Seat Linen: Mattress (BS &amp; BC) - on board</v>
      </c>
      <c r="B74" s="114" t="str">
        <f aca="false">Checks!$K$260&amp;IF(Checks!$O$260="","",IF(Checks!$K$260="","",CHAR(10))&amp;"Note: "&amp;Checks!$O$260)</f>
        <v>Available 100% (ticked in reference)</v>
      </c>
      <c r="C74" s="114" t="str">
        <f aca="false">Checks!$N$260&amp;CHAR(10)&amp;IF(ISNUMBER(Checks!$R$260),TEXT(Checks!$R$260,"DD-MMM-YY HH:MM"),"")&amp;" "&amp;Checks!$P$260</f>
        <v>Required
09-Oct-26 11:00 LHR</v>
      </c>
      <c r="D74" s="114" t="str">
        <f aca="false">IF(Checks!$U$260="","",Checks!$U$260)&amp;IF(Checks!$AB$260="","",CHAR(10)&amp;"CA: "&amp;Checks!$AB$260)</f>
        <v/>
      </c>
      <c r="E74" s="114" t="str">
        <f aca="false">IF(Checks!$V$260="","",Checks!$V$260)&amp;IF(Checks!$AC$260="","",IF(Checks!$V$260="","",CHAR(10))&amp;"N/A just.: "&amp;Checks!$AC$260)&amp;IF(Checks!$W$260="","",CHAR(10)&amp;"Batch: "&amp;Checks!$W$260)&amp;IF(AND(Checks!$X$260="",Checks!$Y$260=""),"",CHAR(10)&amp;"Exp: "&amp;Checks!$X$260&amp;"  /  Act: "&amp;Checks!$Y$260)</f>
        <v/>
      </c>
      <c r="F74" s="114" t="str">
        <f aca="false">IF(Checks!$Z$260="","","Evidence: "&amp;Checks!$Z$260)&amp;IF(Checks!$AA$260="","",IF(Checks!$Z$260="","",CHAR(10))&amp;"CA: "&amp;Checks!$AA$260)</f>
        <v/>
      </c>
      <c r="G74" s="114" t="str">
        <f aca="false">IF(ISNUMBER(Checks!$AD$260),TEXT(Checks!$AD$260,"DD-MMM-YY HH:MM")&amp;" "&amp;Checks!$P$260,"")&amp;IF(Checks!$AE$260="","",CHAR(10)&amp;"Verifier: "&amp;Checks!$AE$260)&amp;IF(Checks!$T$260="","",CHAR(10)&amp;"PIC: "&amp;Checks!$T$260)</f>
        <v/>
      </c>
      <c r="H74" s="115" t="str">
        <f aca="false">IF(Checks!$AH$260="","",Checks!$AH$260)</f>
        <v>OPEN</v>
      </c>
    </row>
    <row r="75" customFormat="false" ht="114" hidden="false" customHeight="true" outlineLevel="0" collapsed="false">
      <c r="A75" s="114" t="str">
        <f aca="false">Checks!$A$261&amp;CHAR(10)&amp;IF(Checks!$I$261="","",Checks!$I$261&amp;": ")&amp;Checks!$J$261</f>
        <v>F07-UPL-17
Signature Drinks: Signature drink &amp; garnish (BC) - on board</v>
      </c>
      <c r="B75" s="114" t="str">
        <f aca="false">Checks!$K$261&amp;IF(Checks!$O$261="","",IF(Checks!$K$261="","",CHAR(10))&amp;"Note: "&amp;Checks!$O$261)</f>
        <v>Available (ticked in reference)
Note: Signature drinks &amp; garnish uplifted from KUL (note D79).</v>
      </c>
      <c r="C75" s="114" t="str">
        <f aca="false">Checks!$N$261&amp;CHAR(10)&amp;IF(ISNUMBER(Checks!$R$261),TEXT(Checks!$R$261,"DD-MMM-YY HH:MM"),"")&amp;" "&amp;Checks!$P$261</f>
        <v>Required
09-Oct-26 11:00 LHR</v>
      </c>
      <c r="D75" s="114" t="str">
        <f aca="false">IF(Checks!$U$261="","",Checks!$U$261)&amp;IF(Checks!$AB$261="","",CHAR(10)&amp;"CA: "&amp;Checks!$AB$261)</f>
        <v/>
      </c>
      <c r="E75" s="114" t="str">
        <f aca="false">IF(Checks!$V$261="","",Checks!$V$261)&amp;IF(Checks!$AC$261="","",IF(Checks!$V$261="","",CHAR(10))&amp;"N/A just.: "&amp;Checks!$AC$261)&amp;IF(Checks!$W$261="","",CHAR(10)&amp;"Batch: "&amp;Checks!$W$261)&amp;IF(AND(Checks!$X$261="",Checks!$Y$261=""),"",CHAR(10)&amp;"Exp: "&amp;Checks!$X$261&amp;"  /  Act: "&amp;Checks!$Y$261)</f>
        <v/>
      </c>
      <c r="F75" s="114" t="str">
        <f aca="false">IF(Checks!$Z$261="","","Evidence: "&amp;Checks!$Z$261)&amp;IF(Checks!$AA$261="","",IF(Checks!$Z$261="","",CHAR(10))&amp;"CA: "&amp;Checks!$AA$261)</f>
        <v/>
      </c>
      <c r="G75" s="114" t="str">
        <f aca="false">IF(ISNUMBER(Checks!$AD$261),TEXT(Checks!$AD$261,"DD-MMM-YY HH:MM")&amp;" "&amp;Checks!$P$261,"")&amp;IF(Checks!$AE$261="","",CHAR(10)&amp;"Verifier: "&amp;Checks!$AE$261)&amp;IF(Checks!$T$261="","",CHAR(10)&amp;"PIC: "&amp;Checks!$T$261)</f>
        <v/>
      </c>
      <c r="H75" s="115" t="str">
        <f aca="false">IF(Checks!$AH$261="","",Checks!$AH$261)</f>
        <v>OPEN</v>
      </c>
    </row>
    <row r="77" customFormat="false" ht="24" hidden="false" customHeight="true" outlineLevel="0" collapsed="false">
      <c r="A77" s="116" t="s">
        <v>1737</v>
      </c>
      <c r="B77" s="116"/>
      <c r="C77" s="116"/>
      <c r="D77" s="116"/>
      <c r="E77" s="116" t="s">
        <v>1738</v>
      </c>
      <c r="F77" s="116"/>
      <c r="G77" s="116"/>
      <c r="H77" s="116"/>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row r="85" customFormat="false" ht="21.75" hidden="false" customHeight="true" outlineLevel="0" collapsed="false">
      <c r="A85" s="117"/>
      <c r="B85" s="117"/>
      <c r="C85" s="117"/>
      <c r="D85" s="117"/>
      <c r="E85" s="117"/>
      <c r="F85" s="117"/>
      <c r="G85" s="117"/>
      <c r="H85" s="117"/>
    </row>
    <row r="86" customFormat="false" ht="21.75" hidden="false" customHeight="true" outlineLevel="0" collapsed="false">
      <c r="A86" s="117"/>
      <c r="B86" s="117"/>
      <c r="C86" s="117"/>
      <c r="D86" s="117"/>
      <c r="E86" s="117"/>
      <c r="F86" s="117"/>
      <c r="G86" s="117"/>
      <c r="H86" s="117"/>
    </row>
    <row r="87" customFormat="false" ht="21.75" hidden="false" customHeight="true" outlineLevel="0" collapsed="false">
      <c r="A87" s="117"/>
      <c r="B87" s="117"/>
      <c r="C87" s="117"/>
      <c r="D87" s="117"/>
      <c r="E87" s="117"/>
      <c r="F87" s="117"/>
      <c r="G87" s="117"/>
      <c r="H8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8:H58"/>
    <mergeCell ref="A77:D77"/>
    <mergeCell ref="E77:H77"/>
    <mergeCell ref="A78:D87"/>
    <mergeCell ref="E78:H8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7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75">
    <cfRule type="expression" priority="17" aboveAverage="0" equalAverage="0" bottom="0" percent="0" rank="0" text="" dxfId="34">
      <formula>LEFT($H24,3)="N/A"</formula>
    </cfRule>
  </conditionalFormatting>
  <conditionalFormatting sqref="D24:D7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F07 MH0003 09-Oct-26 LHR-KUL Class BC</oddHeader>
    <oddFooter>&amp;L&amp;"Arial,Bold"&amp;8 F07 MH0003 09-Oct-26 LHR-KUL Class BC&amp;C&amp;"Arial,Regular"&amp;8 Printed: ____________________&amp;R&amp;"Arial,Regular"&amp;8 F07  Page &amp;P of &amp;N</oddFooter>
  </headerFooter>
  <rowBreaks count="15" manualBreakCount="15">
    <brk id="21" man="true" max="16383" min="0"/>
    <brk id="27" man="true" max="16383" min="0"/>
    <brk id="31" man="true" max="16383" min="0"/>
    <brk id="33" man="true" max="16383" min="0"/>
    <brk id="38" man="true" max="16383" min="0"/>
    <brk id="41" man="true" max="16383" min="0"/>
    <brk id="43" man="true" max="16383" min="0"/>
    <brk id="46" man="true" max="16383" min="0"/>
    <brk id="50" man="true" max="16383" min="0"/>
    <brk id="54" man="true" max="16383" min="0"/>
    <brk id="57" man="true" max="16383" min="0"/>
    <brk id="61" man="true" max="16383" min="0"/>
    <brk id="65" man="true" max="16383" min="0"/>
    <brk id="69" man="true" max="16383" min="0"/>
    <brk id="73" man="true" max="16383" min="0"/>
  </rowBreaks>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F08  "&amp;Flights!$F$12&amp;"  "&amp;TEXT(Flights!$D$12,"DD-MMM-YY")&amp;" ("&amp;Flights!$E$12&amp;")  "&amp;Flights!$G$12&amp;" → "&amp;Flights!$H$12&amp;"  |  Class "&amp;Flights!$K$12</f>
        <v>SKYTRAX 2026 CATERING READINESS CHECKLIST  |  F08  MH0752  10-Oct-26 (SAT)  KUL → HAN  |  Class EY</v>
      </c>
      <c r="B1" s="92"/>
      <c r="C1" s="92"/>
      <c r="D1" s="92"/>
      <c r="E1" s="92"/>
      <c r="F1" s="92"/>
      <c r="G1" s="92"/>
      <c r="H1" s="92"/>
    </row>
    <row r="2" customFormat="false" ht="12.75" hidden="false" customHeight="true" outlineLevel="0" collapsed="false">
      <c r="A2" s="93" t="s">
        <v>1692</v>
      </c>
      <c r="B2" s="94" t="str">
        <f aca="false">Flights!$F$12&amp;"   "&amp;TEXT(Flights!$D$12,"DD-MMM-YY")&amp;" ("&amp;Flights!$E$12&amp;")"</f>
        <v>MH0752   10-Oct-26 (SAT)</v>
      </c>
      <c r="C2" s="94"/>
      <c r="D2" s="94"/>
      <c r="E2" s="95" t="s">
        <v>1693</v>
      </c>
      <c r="F2" s="96" t="str">
        <f aca="false">Flights!$AT$12</f>
        <v>NOT READY – DOCUMENTS</v>
      </c>
      <c r="G2" s="96"/>
      <c r="H2" s="96"/>
    </row>
    <row r="3" customFormat="false" ht="24" hidden="false" customHeight="true" outlineLevel="0" collapsed="false">
      <c r="A3" s="93" t="s">
        <v>1694</v>
      </c>
      <c r="B3" s="94" t="str">
        <f aca="false">Flights!$G$12&amp;" → "&amp;Flights!$H$12&amp;"   Class "&amp;Flights!$K$12&amp;"   Seat "&amp;Flights!$O$12</f>
        <v>KUL → HAN   Class EY   Seat 4A</v>
      </c>
      <c r="C3" s="94"/>
      <c r="D3" s="94"/>
      <c r="E3" s="95" t="s">
        <v>71</v>
      </c>
      <c r="F3" s="95" t="s">
        <v>1695</v>
      </c>
      <c r="G3" s="95" t="s">
        <v>1696</v>
      </c>
      <c r="H3" s="95"/>
    </row>
    <row r="4" customFormat="false" ht="24" hidden="false" customHeight="true" outlineLevel="0" collapsed="false">
      <c r="A4" s="93" t="s">
        <v>1697</v>
      </c>
      <c r="B4" s="94" t="str">
        <f aca="false">IF(ISNUMBER(Flights!$I$12),TEXT(Flights!$I$12,"DD-MMM-YY HH:MM"),"")&amp;" "&amp;Flights!$G$12&amp;"  →  "&amp;IF(ISNUMBER(Flights!$J$12),TEXT(Flights!$J$12,"DD-MMM-YY HH:MM"),"")&amp;" "&amp;Flights!$H$12</f>
        <v>10-Oct-26 09:35 KUL  →  10-Oct-26 12:15 HAN</v>
      </c>
      <c r="C4" s="94"/>
      <c r="D4" s="94"/>
      <c r="E4" s="93" t="s">
        <v>1698</v>
      </c>
      <c r="F4" s="97" t="str">
        <f aca="false">IF(ISNUMBER(Flights!$AG$12),TEXT(Flights!$AG$12,"DD-MMM-YY HH:MM"),"")&amp;" "&amp;Flights!$V$12</f>
        <v>03-Oct-26 09:35 KUL</v>
      </c>
      <c r="G4" s="98" t="n">
        <f aca="false">Flights!$AJ$12</f>
        <v>0</v>
      </c>
      <c r="H4" s="98"/>
    </row>
    <row r="5" customFormat="false" ht="24" hidden="false" customHeight="true" outlineLevel="0" collapsed="false">
      <c r="A5" s="93" t="s">
        <v>1699</v>
      </c>
      <c r="B5" s="94" t="str">
        <f aca="false">Flights!$L$12&amp;" – "&amp;Flights!$M$12</f>
        <v>B738MAX – B737-8 (B7M8)</v>
      </c>
      <c r="C5" s="94"/>
      <c r="D5" s="94"/>
      <c r="E5" s="93" t="s">
        <v>1700</v>
      </c>
      <c r="F5" s="97" t="str">
        <f aca="false">IF(ISNUMBER(Flights!$AH$12),TEXT(Flights!$AH$12,"DD-MMM-YY HH:MM"),"")&amp;" "&amp;Flights!$V$12</f>
        <v>09-Oct-26 09:35 KUL</v>
      </c>
      <c r="G5" s="98" t="n">
        <f aca="false">Flights!$AK$12</f>
        <v>0</v>
      </c>
      <c r="H5" s="98"/>
    </row>
    <row r="6" customFormat="false" ht="24" hidden="false" customHeight="true" outlineLevel="0" collapsed="false">
      <c r="A6" s="93" t="s">
        <v>1701</v>
      </c>
      <c r="B6" s="94" t="str">
        <f aca="false">IF(TRIM(Flights!$N$12)="","__________________",Flights!$N$12)</f>
        <v>__________________</v>
      </c>
      <c r="C6" s="94"/>
      <c r="D6" s="94"/>
      <c r="E6" s="93" t="s">
        <v>1702</v>
      </c>
      <c r="F6" s="97" t="str">
        <f aca="false">IF(ISNUMBER(Flights!$AI$12),TEXT(Flights!$AI$12,"DD-MMM-YY HH:MM"),"")&amp;" "&amp;Flights!$V$12&amp;IF(Flights!$AI$12=Flights!$AH$12,"  (= T-24H due)","")</f>
        <v>09-Oct-26 21:35 KUL</v>
      </c>
      <c r="G6" s="98" t="n">
        <f aca="false">Flights!$AL$12</f>
        <v>0</v>
      </c>
      <c r="H6" s="98"/>
    </row>
    <row r="7" customFormat="false" ht="24" hidden="false" customHeight="true" outlineLevel="0" collapsed="false">
      <c r="A7" s="93" t="s">
        <v>1703</v>
      </c>
      <c r="B7" s="94" t="str">
        <f aca="false">Flights!$T$12</f>
        <v>1 Meal (Meal)</v>
      </c>
      <c r="C7" s="94"/>
      <c r="D7" s="94"/>
      <c r="E7" s="93" t="s">
        <v>1704</v>
      </c>
      <c r="F7" s="97" t="str">
        <f aca="false">"STD "&amp;IF(ISNUMBER(Flights!$I$12),TEXT(Flights!$I$12,"DD-MMM-YY HH:MM"),"")&amp;" "&amp;Flights!$G$12&amp;" (dep stn)"</f>
        <v>STD 10-Oct-26 09:35 KUL (dep stn)</v>
      </c>
      <c r="G7" s="98" t="n">
        <f aca="false">Flights!$AM$12</f>
        <v>0</v>
      </c>
      <c r="H7" s="98"/>
    </row>
    <row r="8" customFormat="false" ht="12.75" hidden="false" customHeight="true" outlineLevel="0" collapsed="false">
      <c r="A8" s="93" t="s">
        <v>153</v>
      </c>
      <c r="B8" s="94" t="str">
        <f aca="false">Flights!$V$12&amp;"   (reference uplift stns: "&amp;Flights!$U$12&amp;")"</f>
        <v>KUL   (reference uplift stns: KUL/HAN)</v>
      </c>
      <c r="C8" s="94"/>
      <c r="D8" s="94"/>
      <c r="E8" s="93" t="s">
        <v>1705</v>
      </c>
      <c r="F8" s="99" t="s">
        <v>1706</v>
      </c>
      <c r="G8" s="98" t="n">
        <f aca="false">Flights!$AN$12</f>
        <v>0</v>
      </c>
      <c r="H8" s="98"/>
    </row>
    <row r="9" customFormat="false" ht="12.75" hidden="false" customHeight="true" outlineLevel="0" collapsed="false">
      <c r="A9" s="93" t="s">
        <v>1707</v>
      </c>
      <c r="B9" s="94" t="str">
        <f aca="false">TRIM(Flights!$P$12&amp;"  "&amp;Flights!$Q$12)</f>
        <v>2H 50M Overnight HAN</v>
      </c>
      <c r="C9" s="94"/>
      <c r="D9" s="94"/>
      <c r="E9" s="93" t="s">
        <v>1708</v>
      </c>
      <c r="F9" s="100" t="n">
        <f aca="false">Flights!$AP$12</f>
        <v>0</v>
      </c>
      <c r="G9" s="100" t="n">
        <f aca="false">Flights!$AQ$12</f>
        <v>0</v>
      </c>
      <c r="H9" s="100" t="n">
        <f aca="false">Flights!$AU$12</f>
        <v>0</v>
      </c>
    </row>
    <row r="10" customFormat="false" ht="24" hidden="false" customHeight="true" outlineLevel="0" collapsed="false">
      <c r="A10" s="93" t="s">
        <v>1709</v>
      </c>
      <c r="B10" s="94" t="str">
        <f aca="false">IF(TRIM(Flights!$X$12)="","__________________",Flights!$X$12)</f>
        <v>__________________</v>
      </c>
      <c r="C10" s="94"/>
      <c r="D10" s="94"/>
      <c r="E10" s="93" t="s">
        <v>1710</v>
      </c>
      <c r="F10" s="100" t="n">
        <f aca="false">Flights!$AO$12</f>
        <v>20</v>
      </c>
      <c r="G10" s="100" t="n">
        <f aca="false">Flights!$AS$12</f>
        <v>0</v>
      </c>
      <c r="H10" s="100" t="n">
        <f aca="false">Flights!$AR$12</f>
        <v>2</v>
      </c>
    </row>
    <row r="11" customFormat="false" ht="21" hidden="false" customHeight="true" outlineLevel="0" collapsed="false">
      <c r="A11" s="93" t="s">
        <v>1711</v>
      </c>
      <c r="B11" s="94" t="str">
        <f aca="false">IF(TRIM(Flights!$Y$12)="","__________________",Flights!$Y$12)</f>
        <v>__________________</v>
      </c>
      <c r="C11" s="94"/>
      <c r="D11" s="94"/>
      <c r="E11" s="93" t="s">
        <v>1712</v>
      </c>
      <c r="F11" s="100" t="str">
        <f aca="false">Flights!$AV$12&amp;" / "&amp;Flights!$AW$12</f>
        <v>0 / 20</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IF(Documents!$F$12="","",Documents!$F$12)</f>
        <v/>
      </c>
      <c r="C14" s="99" t="str">
        <f aca="false">IF(Documents!$G$12="","",Documents!$G$12)&amp;IF(ISNUMBER(Documents!$H$12),"  "&amp;TEXT(Documents!$H$12,"DD-MMM-YY"),"")</f>
        <v/>
      </c>
      <c r="D14" s="99"/>
      <c r="E14" s="107" t="str">
        <f aca="false">IF(Documents!$J$12="OUTSTANDING","OUTSTANDING – attach before T-7D (due "&amp;IF(ISNUMBER(Flights!$AG$12),TEXT(Flights!$AG$12,"DD-MMM-YY HH:MM"),"")&amp;" "&amp;Flights!$V$12&amp;")",IF(Documents!$J$12="","Status not recorded",Documents!$J$12))</f>
        <v>OUTSTANDING – attach before T-7D (due 03-Oct-26 09:35 KUL)</v>
      </c>
      <c r="F14" s="108" t="str">
        <f aca="false">"Staple behind this sheet as page A1."&amp;IF(Documents!$I$12="",""," Location: "&amp;Documents!$I$12)</f>
        <v>Staple behind this sheet as page A1.</v>
      </c>
      <c r="G14" s="108"/>
      <c r="H14" s="108"/>
    </row>
    <row r="15" customFormat="false" ht="36" hidden="false" customHeight="true" outlineLevel="0" collapsed="false">
      <c r="A15" s="93" t="s">
        <v>1723</v>
      </c>
      <c r="B15" s="94" t="str">
        <f aca="false">IF(Documents!$K$12="","",Documents!$K$12)</f>
        <v/>
      </c>
      <c r="C15" s="99" t="str">
        <f aca="false">IF(Documents!$L$12="","",Documents!$L$12)&amp;IF(ISNUMBER(Documents!$M$12),"  "&amp;TEXT(Documents!$M$12,"DD-MMM-YY"),"")</f>
        <v/>
      </c>
      <c r="D15" s="99"/>
      <c r="E15" s="107" t="str">
        <f aca="false">IF(Documents!$O$12="OUTSTANDING","OUTSTANDING – attach before T-7D (due "&amp;IF(ISNUMBER(Flights!$AG$12),TEXT(Flights!$AG$12,"DD-MMM-YY HH:MM"),"")&amp;" "&amp;Flights!$V$12&amp;")",IF(Documents!$O$12="","Status not recorded",Documents!$O$12))</f>
        <v>OUTSTANDING – attach before T-7D (due 03-Oct-26 09:35 KUL)</v>
      </c>
      <c r="F15" s="108" t="str">
        <f aca="false">"Staple behind this sheet as page A2."&amp;IF(Documents!$N$12="",""," Location: "&amp;Documents!$N$12)</f>
        <v>Staple behind this sheet as page A2.</v>
      </c>
      <c r="G15" s="108"/>
      <c r="H15" s="108"/>
    </row>
    <row r="16" customFormat="false" ht="22.5" hidden="false" customHeight="true" outlineLevel="0" collapsed="false">
      <c r="A16" s="93" t="s">
        <v>1724</v>
      </c>
      <c r="B16" s="109" t="str">
        <f aca="false">IF(Documents!$Q$12="","",Documents!$Q$12)</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"&amp;IF(TRIM(Flights!$Y$12)="","__________________",Flights!$Y$12)</f>
        <v>Name: __________________</v>
      </c>
      <c r="B18" s="94"/>
      <c r="C18" s="94" t="str">
        <f aca="false">"Name: __________________"</f>
        <v>Name: __________________</v>
      </c>
      <c r="D18" s="94"/>
      <c r="E18" s="94"/>
      <c r="F18" s="94" t="str">
        <f aca="false">"Name: __________________"&amp;"   Station: "&amp;Flights!$V$12</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"&amp;IF(ISNUMBER(Flights!$AG$12),TEXT(Flights!$AG$12,"DD-MMM-YY HH:MM"),"")&amp;" "&amp;Flights!$V$12&amp;" (meal uplift stn)"&amp;" (rows with another due show their own)  |  Complete "&amp;IF(ISNUMBER(Flights!$AJ$12),TEXT(Flights!$AJ$12,"0%"),Flights!$AJ$12)&amp;"  |  9 lines"</f>
        <v>T-7D — 7 days before departure  |  Due 03-Oct-26 09:35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Checks!$A$262&amp;CHAR(10)&amp;IF(Checks!$I$262="","",Checks!$I$262&amp;": ")&amp;Checks!$J$262</f>
        <v>F08-T7-01
Meal: Meal sensory testing completed for this flight's menu cycle (assessed class)</v>
      </c>
      <c r="B23" s="114" t="str">
        <f aca="false">Checks!$K$262&amp;IF(Checks!$O$262="","",IF(Checks!$K$262="","",CHAR(10))&amp;"Note: "&amp;Checks!$O$262)</f>
        <v>Record panel result / score in Result</v>
      </c>
      <c r="C23" s="114" t="str">
        <f aca="false">Checks!$N$262&amp;CHAR(10)&amp;IF(ISNUMBER(Checks!$R$262),TEXT(Checks!$R$262,"DD-MMM-YY HH:MM"),"")&amp;" "&amp;Checks!$P$262</f>
        <v>Required
03-Oct-26 09:35 KUL</v>
      </c>
      <c r="D23" s="114" t="str">
        <f aca="false">IF(Checks!$U$262="","",Checks!$U$262)&amp;IF(Checks!$AB$262="","",CHAR(10)&amp;"CA: "&amp;Checks!$AB$262)</f>
        <v/>
      </c>
      <c r="E23" s="114" t="str">
        <f aca="false">IF(Checks!$V$262="","",Checks!$V$262)&amp;IF(Checks!$AC$262="","",IF(Checks!$V$262="","",CHAR(10))&amp;"N/A just.: "&amp;Checks!$AC$262)&amp;IF(Checks!$W$262="","",CHAR(10)&amp;"Batch: "&amp;Checks!$W$262)&amp;IF(AND(Checks!$X$262="",Checks!$Y$262=""),"",CHAR(10)&amp;"Exp: "&amp;Checks!$X$262&amp;"  /  Act: "&amp;Checks!$Y$262)</f>
        <v/>
      </c>
      <c r="F23" s="114" t="str">
        <f aca="false">IF(Checks!$Z$262="","","Evidence: "&amp;Checks!$Z$262)&amp;IF(Checks!$AA$262="","",IF(Checks!$Z$262="","",CHAR(10))&amp;"CA: "&amp;Checks!$AA$262)</f>
        <v/>
      </c>
      <c r="G23" s="114" t="str">
        <f aca="false">IF(ISNUMBER(Checks!$AD$262),TEXT(Checks!$AD$262,"DD-MMM-YY HH:MM")&amp;" "&amp;Checks!$P$262,"")&amp;IF(Checks!$AE$262="","",CHAR(10)&amp;"Verifier: "&amp;Checks!$AE$262)&amp;IF(Checks!$T$262="","",CHAR(10)&amp;"PIC: "&amp;Checks!$T$262)</f>
        <v/>
      </c>
      <c r="H23" s="115" t="str">
        <f aca="false">IF(Checks!$AH$262="","",Checks!$AH$262)</f>
        <v>OPEN</v>
      </c>
    </row>
    <row r="24" customFormat="false" ht="114" hidden="false" customHeight="true" outlineLevel="0" collapsed="false">
      <c r="A24" s="114" t="str">
        <f aca="false">Checks!$A$263&amp;CHAR(10)&amp;IF(Checks!$I$263="","",Checks!$I$263&amp;": ")&amp;Checks!$J$263</f>
        <v>F08-T7-02
Menu: Printed menu cards confirmed (content, cycle, language, quantity)</v>
      </c>
      <c r="B24" s="114" t="str">
        <f aca="false">Checks!$K$263&amp;IF(Checks!$O$263="","",IF(Checks!$K$263="","",CHAR(10))&amp;"Note: "&amp;Checks!$O$263)</f>
        <v>Menu card matches approved menu for this flight</v>
      </c>
      <c r="C24" s="114" t="str">
        <f aca="false">Checks!$N$263&amp;CHAR(10)&amp;IF(ISNUMBER(Checks!$R$263),TEXT(Checks!$R$263,"DD-MMM-YY HH:MM"),"")&amp;" "&amp;Checks!$P$263</f>
        <v>Required
03-Oct-26 09:35 KUL</v>
      </c>
      <c r="D24" s="114" t="str">
        <f aca="false">IF(Checks!$U$263="","",Checks!$U$263)&amp;IF(Checks!$AB$263="","",CHAR(10)&amp;"CA: "&amp;Checks!$AB$263)</f>
        <v/>
      </c>
      <c r="E24" s="114" t="str">
        <f aca="false">IF(Checks!$V$263="","",Checks!$V$263)&amp;IF(Checks!$AC$263="","",IF(Checks!$V$263="","",CHAR(10))&amp;"N/A just.: "&amp;Checks!$AC$263)&amp;IF(Checks!$W$263="","",CHAR(10)&amp;"Batch: "&amp;Checks!$W$263)&amp;IF(AND(Checks!$X$263="",Checks!$Y$263=""),"",CHAR(10)&amp;"Exp: "&amp;Checks!$X$263&amp;"  /  Act: "&amp;Checks!$Y$263)</f>
        <v/>
      </c>
      <c r="F24" s="114" t="str">
        <f aca="false">IF(Checks!$Z$263="","","Evidence: "&amp;Checks!$Z$263)&amp;IF(Checks!$AA$263="","",IF(Checks!$Z$263="","",CHAR(10))&amp;"CA: "&amp;Checks!$AA$263)</f>
        <v/>
      </c>
      <c r="G24" s="114" t="str">
        <f aca="false">IF(ISNUMBER(Checks!$AD$263),TEXT(Checks!$AD$263,"DD-MMM-YY HH:MM")&amp;" "&amp;Checks!$P$263,"")&amp;IF(Checks!$AE$263="","",CHAR(10)&amp;"Verifier: "&amp;Checks!$AE$263)&amp;IF(Checks!$T$263="","",CHAR(10)&amp;"PIC: "&amp;Checks!$T$263)</f>
        <v/>
      </c>
      <c r="H24" s="115" t="str">
        <f aca="false">IF(Checks!$AH$263="","",Checks!$AH$263)</f>
        <v>OPEN</v>
      </c>
    </row>
    <row r="25" customFormat="false" ht="114" hidden="false" customHeight="true" outlineLevel="0" collapsed="false">
      <c r="A25" s="114" t="str">
        <f aca="false">Checks!$A$264&amp;CHAR(10)&amp;IF(Checks!$I$264="","",Checks!$I$264&amp;": ")&amp;Checks!$J$264</f>
        <v>F08-T7-03
IFE: Digital menu in IFE confirmed (A339 only)</v>
      </c>
      <c r="B25" s="114" t="str">
        <f aca="false">Checks!$K$264&amp;IF(Checks!$O$264="","",IF(Checks!$K$264="","",CHAR(10))&amp;"Note: "&amp;Checks!$O$264)</f>
        <v>Applies when fleet = A339
Note: Digital IFE menu applies to A339 only (user brief). Applicability follows the Fleet cell on Flights.</v>
      </c>
      <c r="C25" s="114" t="str">
        <f aca="false">Checks!$N$264&amp;CHAR(10)&amp;IF(ISNUMBER(Checks!$R$264),TEXT(Checks!$R$264,"DD-MMM-YY HH:MM"),"")&amp;" "&amp;Checks!$P$264</f>
        <v>N/A – rule
03-Oct-26 09:35 KUL</v>
      </c>
      <c r="D25" s="114" t="str">
        <f aca="false">IF(Checks!$U$264="","",Checks!$U$264)&amp;IF(Checks!$AB$264="","",CHAR(10)&amp;"CA: "&amp;Checks!$AB$264)</f>
        <v/>
      </c>
      <c r="E25" s="114" t="str">
        <f aca="false">IF(Checks!$V$264="","",Checks!$V$264)&amp;IF(Checks!$AC$264="","",IF(Checks!$V$264="","",CHAR(10))&amp;"N/A just.: "&amp;Checks!$AC$264)&amp;IF(Checks!$W$264="","",CHAR(10)&amp;"Batch: "&amp;Checks!$W$264)&amp;IF(AND(Checks!$X$264="",Checks!$Y$264=""),"",CHAR(10)&amp;"Exp: "&amp;Checks!$X$264&amp;"  /  Act: "&amp;Checks!$Y$264)</f>
        <v/>
      </c>
      <c r="F25" s="114" t="str">
        <f aca="false">IF(Checks!$Z$264="","","Evidence: "&amp;Checks!$Z$264)&amp;IF(Checks!$AA$264="","",IF(Checks!$Z$264="","",CHAR(10))&amp;"CA: "&amp;Checks!$AA$264)</f>
        <v/>
      </c>
      <c r="G25" s="114" t="str">
        <f aca="false">IF(ISNUMBER(Checks!$AD$264),TEXT(Checks!$AD$264,"DD-MMM-YY HH:MM")&amp;" "&amp;Checks!$P$264,"")&amp;IF(Checks!$AE$264="","",CHAR(10)&amp;"Verifier: "&amp;Checks!$AE$264)&amp;IF(Checks!$T$264="","",CHAR(10)&amp;"PIC: "&amp;Checks!$T$264)</f>
        <v/>
      </c>
      <c r="H25" s="115" t="str">
        <f aca="false">IF(Checks!$AH$264="","",Checks!$AH$264)</f>
        <v>N/A – RULE</v>
      </c>
    </row>
    <row r="26" customFormat="false" ht="114" hidden="false" customHeight="true" outlineLevel="0" collapsed="false">
      <c r="A26" s="114" t="str">
        <f aca="false">Checks!$A$265&amp;CHAR(10)&amp;IF(Checks!$I$265="","",Checks!$I$265&amp;": ")&amp;Checks!$J$265</f>
        <v>F08-T7-04
Staffing: Experienced catering officer assigned to this flight</v>
      </c>
      <c r="B26" s="114" t="str">
        <f aca="false">Checks!$K$265&amp;IF(Checks!$O$265="","",IF(Checks!$K$265="","",CHAR(10))&amp;"Note: "&amp;Checks!$O$265)</f>
        <v>Record officer name in Result</v>
      </c>
      <c r="C26" s="114" t="str">
        <f aca="false">Checks!$N$265&amp;CHAR(10)&amp;IF(ISNUMBER(Checks!$R$265),TEXT(Checks!$R$265,"DD-MMM-YY HH:MM"),"")&amp;" "&amp;Checks!$P$265</f>
        <v>Required
03-Oct-26 09:35 KUL</v>
      </c>
      <c r="D26" s="114" t="str">
        <f aca="false">IF(Checks!$U$265="","",Checks!$U$265)&amp;IF(Checks!$AB$265="","",CHAR(10)&amp;"CA: "&amp;Checks!$AB$265)</f>
        <v/>
      </c>
      <c r="E26" s="114" t="str">
        <f aca="false">IF(Checks!$V$265="","",Checks!$V$265)&amp;IF(Checks!$AC$265="","",IF(Checks!$V$265="","",CHAR(10))&amp;"N/A just.: "&amp;Checks!$AC$265)&amp;IF(Checks!$W$265="","",CHAR(10)&amp;"Batch: "&amp;Checks!$W$265)&amp;IF(AND(Checks!$X$265="",Checks!$Y$265=""),"",CHAR(10)&amp;"Exp: "&amp;Checks!$X$265&amp;"  /  Act: "&amp;Checks!$Y$265)</f>
        <v/>
      </c>
      <c r="F26" s="114" t="str">
        <f aca="false">IF(Checks!$Z$265="","","Evidence: "&amp;Checks!$Z$265)&amp;IF(Checks!$AA$265="","",IF(Checks!$Z$265="","",CHAR(10))&amp;"CA: "&amp;Checks!$AA$265)</f>
        <v/>
      </c>
      <c r="G26" s="114" t="str">
        <f aca="false">IF(ISNUMBER(Checks!$AD$265),TEXT(Checks!$AD$265,"DD-MMM-YY HH:MM")&amp;" "&amp;Checks!$P$265,"")&amp;IF(Checks!$AE$265="","",CHAR(10)&amp;"Verifier: "&amp;Checks!$AE$265)&amp;IF(Checks!$T$265="","",CHAR(10)&amp;"PIC: "&amp;Checks!$T$265)</f>
        <v/>
      </c>
      <c r="H26" s="115" t="str">
        <f aca="false">IF(Checks!$AH$265="","",Checks!$AH$265)</f>
        <v>OPEN</v>
      </c>
    </row>
    <row r="27" customFormat="false" ht="114" hidden="false" customHeight="true" outlineLevel="0" collapsed="false">
      <c r="A27" s="114" t="str">
        <f aca="false">Checks!$A$266&amp;CHAR(10)&amp;IF(Checks!$I$266="","",Checks!$I$266&amp;": ")&amp;Checks!$J$266</f>
        <v>F08-T7-05
ISOP: All latest applicable ISOP revisions communicated to caterer</v>
      </c>
      <c r="B27" s="114" t="str">
        <f aca="false">Checks!$K$266&amp;IF(Checks!$O$266="","",IF(Checks!$K$266="","",CHAR(10))&amp;"Note: "&amp;Checks!$O$266)</f>
        <v>List revision numbers in Result (see ISOP register)</v>
      </c>
      <c r="C27" s="114" t="str">
        <f aca="false">Checks!$N$266&amp;CHAR(10)&amp;IF(ISNUMBER(Checks!$R$266),TEXT(Checks!$R$266,"DD-MMM-YY HH:MM"),"")&amp;" "&amp;Checks!$P$266</f>
        <v>Required
03-Oct-26 09:35 KUL</v>
      </c>
      <c r="D27" s="114" t="str">
        <f aca="false">IF(Checks!$U$266="","",Checks!$U$266)&amp;IF(Checks!$AB$266="","",CHAR(10)&amp;"CA: "&amp;Checks!$AB$266)</f>
        <v/>
      </c>
      <c r="E27" s="114" t="str">
        <f aca="false">IF(Checks!$V$266="","",Checks!$V$266)&amp;IF(Checks!$AC$266="","",IF(Checks!$V$266="","",CHAR(10))&amp;"N/A just.: "&amp;Checks!$AC$266)&amp;IF(Checks!$W$266="","",CHAR(10)&amp;"Batch: "&amp;Checks!$W$266)&amp;IF(AND(Checks!$X$266="",Checks!$Y$266=""),"",CHAR(10)&amp;"Exp: "&amp;Checks!$X$266&amp;"  /  Act: "&amp;Checks!$Y$266)</f>
        <v/>
      </c>
      <c r="F27" s="114" t="str">
        <f aca="false">IF(Checks!$Z$266="","","Evidence: "&amp;Checks!$Z$266)&amp;IF(Checks!$AA$266="","",IF(Checks!$Z$266="","",CHAR(10))&amp;"CA: "&amp;Checks!$AA$266)</f>
        <v/>
      </c>
      <c r="G27" s="114" t="str">
        <f aca="false">IF(ISNUMBER(Checks!$AD$266),TEXT(Checks!$AD$266,"DD-MMM-YY HH:MM")&amp;" "&amp;Checks!$P$266,"")&amp;IF(Checks!$AE$266="","",CHAR(10)&amp;"Verifier: "&amp;Checks!$AE$266)&amp;IF(Checks!$T$266="","",CHAR(10)&amp;"PIC: "&amp;Checks!$T$266)</f>
        <v/>
      </c>
      <c r="H27" s="115" t="str">
        <f aca="false">IF(Checks!$AH$266="","",Checks!$AH$266)</f>
        <v>OPEN</v>
      </c>
    </row>
    <row r="28" customFormat="false" ht="114" hidden="false" customHeight="true" outlineLevel="0" collapsed="false">
      <c r="A28" s="114" t="str">
        <f aca="false">Checks!$A$267&amp;CHAR(10)&amp;IF(Checks!$I$267="","",Checks!$I$267&amp;": ")&amp;Checks!$J$267</f>
        <v>F08-T7-06
ISOP: Caterer acknowledgement of ISOP revisions recorded</v>
      </c>
      <c r="B28" s="114" t="str">
        <f aca="false">Checks!$K$267&amp;IF(Checks!$O$267="","",IF(Checks!$K$267="","",CHAR(10))&amp;"Note: "&amp;Checks!$O$267)</f>
        <v>Record acknowledgement ref in Evidence</v>
      </c>
      <c r="C28" s="114" t="str">
        <f aca="false">Checks!$N$267&amp;CHAR(10)&amp;IF(ISNUMBER(Checks!$R$267),TEXT(Checks!$R$267,"DD-MMM-YY HH:MM"),"")&amp;" "&amp;Checks!$P$267</f>
        <v>Required
03-Oct-26 09:35 KUL</v>
      </c>
      <c r="D28" s="114" t="str">
        <f aca="false">IF(Checks!$U$267="","",Checks!$U$267)&amp;IF(Checks!$AB$267="","",CHAR(10)&amp;"CA: "&amp;Checks!$AB$267)</f>
        <v/>
      </c>
      <c r="E28" s="114" t="str">
        <f aca="false">IF(Checks!$V$267="","",Checks!$V$267)&amp;IF(Checks!$AC$267="","",IF(Checks!$V$267="","",CHAR(10))&amp;"N/A just.: "&amp;Checks!$AC$267)&amp;IF(Checks!$W$267="","",CHAR(10)&amp;"Batch: "&amp;Checks!$W$267)&amp;IF(AND(Checks!$X$267="",Checks!$Y$267=""),"",CHAR(10)&amp;"Exp: "&amp;Checks!$X$267&amp;"  /  Act: "&amp;Checks!$Y$267)</f>
        <v/>
      </c>
      <c r="F28" s="114" t="str">
        <f aca="false">IF(Checks!$Z$267="","","Evidence: "&amp;Checks!$Z$267)&amp;IF(Checks!$AA$267="","",IF(Checks!$Z$267="","",CHAR(10))&amp;"CA: "&amp;Checks!$AA$267)</f>
        <v/>
      </c>
      <c r="G28" s="114" t="str">
        <f aca="false">IF(ISNUMBER(Checks!$AD$267),TEXT(Checks!$AD$267,"DD-MMM-YY HH:MM")&amp;" "&amp;Checks!$P$267,"")&amp;IF(Checks!$AE$267="","",CHAR(10)&amp;"Verifier: "&amp;Checks!$AE$267)&amp;IF(Checks!$T$267="","",CHAR(10)&amp;"PIC: "&amp;Checks!$T$267)</f>
        <v/>
      </c>
      <c r="H28" s="115" t="str">
        <f aca="false">IF(Checks!$AH$267="","",Checks!$AH$267)</f>
        <v>OPEN</v>
      </c>
    </row>
    <row r="29" customFormat="false" ht="114" hidden="false" customHeight="true" outlineLevel="0" collapsed="false">
      <c r="A29" s="114" t="str">
        <f aca="false">Checks!$A$268&amp;CHAR(10)&amp;IF(Checks!$I$268="","",Checks!$I$268&amp;": ")&amp;Checks!$J$268</f>
        <v>F08-T7-07
Documents: Galley loading diagram (GLD) received, revision recorded &amp; attached</v>
      </c>
      <c r="B29" s="114" t="str">
        <f aca="false">Checks!$K$268&amp;IF(Checks!$O$268="","",IF(Checks!$K$268="","",CHAR(10))&amp;"Note: "&amp;Checks!$O$268)</f>
        <v>Documents sheet row complete</v>
      </c>
      <c r="C29" s="114" t="str">
        <f aca="false">Checks!$N$268&amp;CHAR(10)&amp;IF(ISNUMBER(Checks!$R$268),TEXT(Checks!$R$268,"DD-MMM-YY HH:MM"),"")&amp;" "&amp;Checks!$P$268</f>
        <v>Required
03-Oct-26 09:35 KUL</v>
      </c>
      <c r="D29" s="114" t="str">
        <f aca="false">IF(Checks!$U$268="","",Checks!$U$268)&amp;IF(Checks!$AB$268="","",CHAR(10)&amp;"CA: "&amp;Checks!$AB$268)</f>
        <v/>
      </c>
      <c r="E29" s="114" t="str">
        <f aca="false">IF(Checks!$V$268="","",Checks!$V$268)&amp;IF(Checks!$AC$268="","",IF(Checks!$V$268="","",CHAR(10))&amp;"N/A just.: "&amp;Checks!$AC$268)&amp;IF(Checks!$W$268="","",CHAR(10)&amp;"Batch: "&amp;Checks!$W$268)&amp;IF(AND(Checks!$X$268="",Checks!$Y$268=""),"",CHAR(10)&amp;"Exp: "&amp;Checks!$X$268&amp;"  /  Act: "&amp;Checks!$Y$268)</f>
        <v/>
      </c>
      <c r="F29" s="114" t="str">
        <f aca="false">IF(Checks!$Z$268="","","Evidence: "&amp;Checks!$Z$268)&amp;IF(Checks!$AA$268="","",IF(Checks!$Z$268="","",CHAR(10))&amp;"CA: "&amp;Checks!$AA$268)</f>
        <v/>
      </c>
      <c r="G29" s="114" t="str">
        <f aca="false">IF(ISNUMBER(Checks!$AD$268),TEXT(Checks!$AD$268,"DD-MMM-YY HH:MM")&amp;" "&amp;Checks!$P$268,"")&amp;IF(Checks!$AE$268="","",CHAR(10)&amp;"Verifier: "&amp;Checks!$AE$268)&amp;IF(Checks!$T$268="","",CHAR(10)&amp;"PIC: "&amp;Checks!$T$268)</f>
        <v/>
      </c>
      <c r="H29" s="115" t="str">
        <f aca="false">IF(Checks!$AH$268="","",Checks!$AH$268)</f>
        <v>OPEN</v>
      </c>
    </row>
    <row r="30" customFormat="false" ht="114" hidden="false" customHeight="true" outlineLevel="0" collapsed="false">
      <c r="A30" s="114" t="str">
        <f aca="false">Checks!$A$269&amp;CHAR(10)&amp;IF(Checks!$I$269="","",Checks!$I$269&amp;": ")&amp;Checks!$J$269</f>
        <v>F08-T7-08
Documents: Menu checklist received, revision recorded &amp; attached</v>
      </c>
      <c r="B30" s="114" t="str">
        <f aca="false">Checks!$K$269&amp;IF(Checks!$O$269="","",IF(Checks!$K$269="","",CHAR(10))&amp;"Note: "&amp;Checks!$O$269)</f>
        <v>Documents sheet row complete</v>
      </c>
      <c r="C30" s="114" t="str">
        <f aca="false">Checks!$N$269&amp;CHAR(10)&amp;IF(ISNUMBER(Checks!$R$269),TEXT(Checks!$R$269,"DD-MMM-YY HH:MM"),"")&amp;" "&amp;Checks!$P$269</f>
        <v>Required
03-Oct-26 09:35 KUL</v>
      </c>
      <c r="D30" s="114" t="str">
        <f aca="false">IF(Checks!$U$269="","",Checks!$U$269)&amp;IF(Checks!$AB$269="","",CHAR(10)&amp;"CA: "&amp;Checks!$AB$269)</f>
        <v/>
      </c>
      <c r="E30" s="114" t="str">
        <f aca="false">IF(Checks!$V$269="","",Checks!$V$269)&amp;IF(Checks!$AC$269="","",IF(Checks!$V$269="","",CHAR(10))&amp;"N/A just.: "&amp;Checks!$AC$269)&amp;IF(Checks!$W$269="","",CHAR(10)&amp;"Batch: "&amp;Checks!$W$269)&amp;IF(AND(Checks!$X$269="",Checks!$Y$269=""),"",CHAR(10)&amp;"Exp: "&amp;Checks!$X$269&amp;"  /  Act: "&amp;Checks!$Y$269)</f>
        <v/>
      </c>
      <c r="F30" s="114" t="str">
        <f aca="false">IF(Checks!$Z$269="","","Evidence: "&amp;Checks!$Z$269)&amp;IF(Checks!$AA$269="","",IF(Checks!$Z$269="","",CHAR(10))&amp;"CA: "&amp;Checks!$AA$269)</f>
        <v/>
      </c>
      <c r="G30" s="114" t="str">
        <f aca="false">IF(ISNUMBER(Checks!$AD$269),TEXT(Checks!$AD$269,"DD-MMM-YY HH:MM")&amp;" "&amp;Checks!$P$269,"")&amp;IF(Checks!$AE$269="","",CHAR(10)&amp;"Verifier: "&amp;Checks!$AE$269)&amp;IF(Checks!$T$269="","",CHAR(10)&amp;"PIC: "&amp;Checks!$T$269)</f>
        <v/>
      </c>
      <c r="H30" s="115" t="str">
        <f aca="false">IF(Checks!$AH$269="","",Checks!$AH$269)</f>
        <v>OPEN</v>
      </c>
    </row>
    <row r="31" customFormat="false" ht="114" hidden="false" customHeight="true" outlineLevel="0" collapsed="false">
      <c r="A31" s="114" t="str">
        <f aca="false">Checks!$A$270&amp;CHAR(10)&amp;IF(Checks!$I$270="","",Checks!$I$270&amp;": ")&amp;Checks!$J$270</f>
        <v>F08-T7-09
Uplift plan: Uplift plan confirmed with caterer vs STD Uplift Information</v>
      </c>
      <c r="B31" s="114" t="str">
        <f aca="false">Checks!$K$270&amp;IF(Checks!$O$270="","",IF(Checks!$K$270="","",CHAR(10))&amp;"Note: "&amp;Checks!$O$270)</f>
        <v>Service: 1 Meal (Meal); meal uplift stn KUL (ref lists KUL/HAN)</v>
      </c>
      <c r="C31" s="114" t="str">
        <f aca="false">Checks!$N$270&amp;CHAR(10)&amp;IF(ISNUMBER(Checks!$R$270),TEXT(Checks!$R$270,"DD-MMM-YY HH:MM"),"")&amp;" "&amp;Checks!$P$270</f>
        <v>Required
03-Oct-26 09:35 KUL</v>
      </c>
      <c r="D31" s="114" t="str">
        <f aca="false">IF(Checks!$U$270="","",Checks!$U$270)&amp;IF(Checks!$AB$270="","",CHAR(10)&amp;"CA: "&amp;Checks!$AB$270)</f>
        <v/>
      </c>
      <c r="E31" s="114" t="str">
        <f aca="false">IF(Checks!$V$270="","",Checks!$V$270)&amp;IF(Checks!$AC$270="","",IF(Checks!$V$270="","",CHAR(10))&amp;"N/A just.: "&amp;Checks!$AC$270)&amp;IF(Checks!$W$270="","",CHAR(10)&amp;"Batch: "&amp;Checks!$W$270)&amp;IF(AND(Checks!$X$270="",Checks!$Y$270=""),"",CHAR(10)&amp;"Exp: "&amp;Checks!$X$270&amp;"  /  Act: "&amp;Checks!$Y$270)</f>
        <v/>
      </c>
      <c r="F31" s="114" t="str">
        <f aca="false">IF(Checks!$Z$270="","","Evidence: "&amp;Checks!$Z$270)&amp;IF(Checks!$AA$270="","",IF(Checks!$Z$270="","",CHAR(10))&amp;"CA: "&amp;Checks!$AA$270)</f>
        <v/>
      </c>
      <c r="G31" s="114" t="str">
        <f aca="false">IF(ISNUMBER(Checks!$AD$270),TEXT(Checks!$AD$270,"DD-MMM-YY HH:MM")&amp;" "&amp;Checks!$P$270,"")&amp;IF(Checks!$AE$270="","",CHAR(10)&amp;"Verifier: "&amp;Checks!$AE$270)&amp;IF(Checks!$T$270="","",CHAR(10)&amp;"PIC: "&amp;Checks!$T$270)</f>
        <v/>
      </c>
      <c r="H31" s="115" t="str">
        <f aca="false">IF(Checks!$AH$270="","",Checks!$AH$270)</f>
        <v>OPEN</v>
      </c>
    </row>
    <row r="32" customFormat="false" ht="25.5" hidden="false" customHeight="true" outlineLevel="0" collapsed="false">
      <c r="A32" s="113" t="str">
        <f aca="false">"T-24H — Production batch sensory  |  Due "&amp;IF(ISNUMBER(Flights!$AH$12),TEXT(Flights!$AH$12,"DD-MMM-YY HH:MM"),"")&amp;" "&amp;Flights!$V$12&amp;" (meal uplift stn)"&amp;" (rows with another due show their own)  |  Complete "&amp;IF(ISNUMBER(Flights!$AK$12),TEXT(Flights!$AK$12,"0%"),Flights!$AK$12)&amp;"  |  1 lines"</f>
        <v>T-24H — Production batch sensory  |  Due 09-Oct-26 09:35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Checks!$A$271&amp;CHAR(10)&amp;IF(Checks!$I$271="","",Checks!$I$271&amp;": ")&amp;Checks!$J$271</f>
        <v>F08-T24-01
Meal: Sensory test repeated on ACTUAL production batch for this flight</v>
      </c>
      <c r="B33" s="114" t="str">
        <f aca="false">Checks!$K$271&amp;IF(Checks!$O$271="","",IF(Checks!$K$271="","",CHAR(10))&amp;"Note: "&amp;Checks!$O$271)</f>
        <v>Batch ID, result, CA and acceptance mandatory</v>
      </c>
      <c r="C33" s="114" t="str">
        <f aca="false">Checks!$N$271&amp;CHAR(10)&amp;IF(ISNUMBER(Checks!$R$271),TEXT(Checks!$R$271,"DD-MMM-YY HH:MM"),"")&amp;" "&amp;Checks!$P$271</f>
        <v>Required
09-Oct-26 09:35 KUL</v>
      </c>
      <c r="D33" s="114" t="str">
        <f aca="false">IF(Checks!$U$271="","",Checks!$U$271)&amp;IF(Checks!$AB$271="","",CHAR(10)&amp;"CA: "&amp;Checks!$AB$271)</f>
        <v/>
      </c>
      <c r="E33" s="114" t="str">
        <f aca="false">IF(Checks!$V$271="","",Checks!$V$271)&amp;IF(Checks!$AC$271="","",IF(Checks!$V$271="","",CHAR(10))&amp;"N/A just.: "&amp;Checks!$AC$271)&amp;IF(Checks!$W$271="","",CHAR(10)&amp;"Batch: "&amp;Checks!$W$271)&amp;IF(AND(Checks!$X$271="",Checks!$Y$271=""),"",CHAR(10)&amp;"Exp: "&amp;Checks!$X$271&amp;"  /  Act: "&amp;Checks!$Y$271)</f>
        <v/>
      </c>
      <c r="F33" s="114" t="str">
        <f aca="false">IF(Checks!$Z$271="","","Evidence: "&amp;Checks!$Z$271)&amp;IF(Checks!$AA$271="","",IF(Checks!$Z$271="","",CHAR(10))&amp;"CA: "&amp;Checks!$AA$271)</f>
        <v/>
      </c>
      <c r="G33" s="114" t="str">
        <f aca="false">IF(ISNUMBER(Checks!$AD$271),TEXT(Checks!$AD$271,"DD-MMM-YY HH:MM")&amp;" "&amp;Checks!$P$271,"")&amp;IF(Checks!$AE$271="","",CHAR(10)&amp;"Verifier: "&amp;Checks!$AE$271)&amp;IF(Checks!$T$271="","",CHAR(10)&amp;"PIC: "&amp;Checks!$T$271)</f>
        <v/>
      </c>
      <c r="H33" s="115" t="str">
        <f aca="false">IF(Checks!$AH$271="","",Checks!$AH$271)</f>
        <v>OPEN</v>
      </c>
    </row>
    <row r="34" customFormat="false" ht="25.5" hidden="false" customHeight="true" outlineLevel="0" collapsed="false">
      <c r="A34" s="113" t="str">
        <f aca="false">"T-12H PREP — Preparation check at caterer (does NOT confirm loading)  |  Due "&amp;IF(ISNUMBER(Flights!$AI$12),TEXT(Flights!$AI$12,"DD-MMM-YY HH:MM"),"")&amp;" "&amp;Flights!$V$12&amp;" (meal uplift stn)"&amp;" (rows with another due show their own)  |  Complete "&amp;IF(ISNUMBER(Flights!$AL$12),TEXT(Flights!$AL$12,"0%"),Flights!$AL$12)&amp;"  |  8 lines"</f>
        <v>T-12H PREP — Preparation check at caterer (does NOT confirm loading)  |  Due 09-Oct-26 21:35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Checks!$A$272&amp;CHAR(10)&amp;IF(Checks!$I$272="","",Checks!$I$272&amp;": ")&amp;Checks!$J$272</f>
        <v>F08-T12-01
Meal: Meal quality vs menu checklist</v>
      </c>
      <c r="B35" s="114" t="str">
        <f aca="false">Checks!$K$272&amp;IF(Checks!$O$272="","",IF(Checks!$K$272="","",CHAR(10))&amp;"Note: "&amp;Checks!$O$272)</f>
        <v>Note: Preparation check at caterer - does NOT confirm loading.</v>
      </c>
      <c r="C35" s="114" t="str">
        <f aca="false">Checks!$N$272&amp;CHAR(10)&amp;IF(ISNUMBER(Checks!$R$272),TEXT(Checks!$R$272,"DD-MMM-YY HH:MM"),"")&amp;" "&amp;Checks!$P$272</f>
        <v>Required
09-Oct-26 21:35 KUL</v>
      </c>
      <c r="D35" s="114" t="str">
        <f aca="false">IF(Checks!$U$272="","",Checks!$U$272)&amp;IF(Checks!$AB$272="","",CHAR(10)&amp;"CA: "&amp;Checks!$AB$272)</f>
        <v/>
      </c>
      <c r="E35" s="114" t="str">
        <f aca="false">IF(Checks!$V$272="","",Checks!$V$272)&amp;IF(Checks!$AC$272="","",IF(Checks!$V$272="","",CHAR(10))&amp;"N/A just.: "&amp;Checks!$AC$272)&amp;IF(Checks!$W$272="","",CHAR(10)&amp;"Batch: "&amp;Checks!$W$272)&amp;IF(AND(Checks!$X$272="",Checks!$Y$272=""),"",CHAR(10)&amp;"Exp: "&amp;Checks!$X$272&amp;"  /  Act: "&amp;Checks!$Y$272)</f>
        <v/>
      </c>
      <c r="F35" s="114" t="str">
        <f aca="false">IF(Checks!$Z$272="","","Evidence: "&amp;Checks!$Z$272)&amp;IF(Checks!$AA$272="","",IF(Checks!$Z$272="","",CHAR(10))&amp;"CA: "&amp;Checks!$AA$272)</f>
        <v/>
      </c>
      <c r="G35" s="114" t="str">
        <f aca="false">IF(ISNUMBER(Checks!$AD$272),TEXT(Checks!$AD$272,"DD-MMM-YY HH:MM")&amp;" "&amp;Checks!$P$272,"")&amp;IF(Checks!$AE$272="","",CHAR(10)&amp;"Verifier: "&amp;Checks!$AE$272)&amp;IF(Checks!$T$272="","",CHAR(10)&amp;"PIC: "&amp;Checks!$T$272)</f>
        <v/>
      </c>
      <c r="H35" s="115" t="str">
        <f aca="false">IF(Checks!$AH$272="","",Checks!$AH$272)</f>
        <v>OPEN</v>
      </c>
    </row>
    <row r="36" customFormat="false" ht="114" hidden="false" customHeight="true" outlineLevel="0" collapsed="false">
      <c r="A36" s="114" t="str">
        <f aca="false">Checks!$A$273&amp;CHAR(10)&amp;IF(Checks!$I$273="","",Checks!$I$273&amp;": ")&amp;Checks!$J$273</f>
        <v>F08-T12-02
Meal: Meal quantities vs menu checklist</v>
      </c>
      <c r="B36" s="114" t="str">
        <f aca="false">Checks!$K$273&amp;IF(Checks!$O$273="","",IF(Checks!$K$273="","",CHAR(10))&amp;"Note: "&amp;Checks!$O$273)</f>
        <v>Enter expected &amp; actual
Note: Preparation check at caterer - does NOT confirm loading.</v>
      </c>
      <c r="C36" s="114" t="str">
        <f aca="false">Checks!$N$273&amp;CHAR(10)&amp;IF(ISNUMBER(Checks!$R$273),TEXT(Checks!$R$273,"DD-MMM-YY HH:MM"),"")&amp;" "&amp;Checks!$P$273</f>
        <v>Required
09-Oct-26 21:35 KUL</v>
      </c>
      <c r="D36" s="114" t="str">
        <f aca="false">IF(Checks!$U$273="","",Checks!$U$273)&amp;IF(Checks!$AB$273="","",CHAR(10)&amp;"CA: "&amp;Checks!$AB$273)</f>
        <v/>
      </c>
      <c r="E36" s="114" t="str">
        <f aca="false">IF(Checks!$V$273="","",Checks!$V$273)&amp;IF(Checks!$AC$273="","",IF(Checks!$V$273="","",CHAR(10))&amp;"N/A just.: "&amp;Checks!$AC$273)&amp;IF(Checks!$W$273="","",CHAR(10)&amp;"Batch: "&amp;Checks!$W$273)&amp;IF(AND(Checks!$X$273="",Checks!$Y$273=""),"",CHAR(10)&amp;"Exp: "&amp;Checks!$X$273&amp;"  /  Act: "&amp;Checks!$Y$273)</f>
        <v/>
      </c>
      <c r="F36" s="114" t="str">
        <f aca="false">IF(Checks!$Z$273="","","Evidence: "&amp;Checks!$Z$273)&amp;IF(Checks!$AA$273="","",IF(Checks!$Z$273="","",CHAR(10))&amp;"CA: "&amp;Checks!$AA$273)</f>
        <v/>
      </c>
      <c r="G36" s="114" t="str">
        <f aca="false">IF(ISNUMBER(Checks!$AD$273),TEXT(Checks!$AD$273,"DD-MMM-YY HH:MM")&amp;" "&amp;Checks!$P$273,"")&amp;IF(Checks!$AE$273="","",CHAR(10)&amp;"Verifier: "&amp;Checks!$AE$273)&amp;IF(Checks!$T$273="","",CHAR(10)&amp;"PIC: "&amp;Checks!$T$273)</f>
        <v/>
      </c>
      <c r="H36" s="115" t="str">
        <f aca="false">IF(Checks!$AH$273="","",Checks!$AH$273)</f>
        <v>OPEN</v>
      </c>
    </row>
    <row r="37" customFormat="false" ht="114" hidden="false" customHeight="true" outlineLevel="0" collapsed="false">
      <c r="A37" s="114" t="str">
        <f aca="false">Checks!$A$274&amp;CHAR(10)&amp;IF(Checks!$I$274="","",Checks!$I$274&amp;": ")&amp;Checks!$J$274</f>
        <v>F08-T12-03
Equipment: Equipment cleanliness vs GLD</v>
      </c>
      <c r="B37" s="114" t="str">
        <f aca="false">Checks!$K$274&amp;IF(Checks!$O$274="","",IF(Checks!$K$274="","",CHAR(10))&amp;"Note: "&amp;Checks!$O$274)</f>
        <v>Note: Preparation check at caterer - does NOT confirm loading.</v>
      </c>
      <c r="C37" s="114" t="str">
        <f aca="false">Checks!$N$274&amp;CHAR(10)&amp;IF(ISNUMBER(Checks!$R$274),TEXT(Checks!$R$274,"DD-MMM-YY HH:MM"),"")&amp;" "&amp;Checks!$P$274</f>
        <v>Required
09-Oct-26 21:35 KUL</v>
      </c>
      <c r="D37" s="114" t="str">
        <f aca="false">IF(Checks!$U$274="","",Checks!$U$274)&amp;IF(Checks!$AB$274="","",CHAR(10)&amp;"CA: "&amp;Checks!$AB$274)</f>
        <v/>
      </c>
      <c r="E37" s="114" t="str">
        <f aca="false">IF(Checks!$V$274="","",Checks!$V$274)&amp;IF(Checks!$AC$274="","",IF(Checks!$V$274="","",CHAR(10))&amp;"N/A just.: "&amp;Checks!$AC$274)&amp;IF(Checks!$W$274="","",CHAR(10)&amp;"Batch: "&amp;Checks!$W$274)&amp;IF(AND(Checks!$X$274="",Checks!$Y$274=""),"",CHAR(10)&amp;"Exp: "&amp;Checks!$X$274&amp;"  /  Act: "&amp;Checks!$Y$274)</f>
        <v/>
      </c>
      <c r="F37" s="114" t="str">
        <f aca="false">IF(Checks!$Z$274="","","Evidence: "&amp;Checks!$Z$274)&amp;IF(Checks!$AA$274="","",IF(Checks!$Z$274="","",CHAR(10))&amp;"CA: "&amp;Checks!$AA$274)</f>
        <v/>
      </c>
      <c r="G37" s="114" t="str">
        <f aca="false">IF(ISNUMBER(Checks!$AD$274),TEXT(Checks!$AD$274,"DD-MMM-YY HH:MM")&amp;" "&amp;Checks!$P$274,"")&amp;IF(Checks!$AE$274="","",CHAR(10)&amp;"Verifier: "&amp;Checks!$AE$274)&amp;IF(Checks!$T$274="","",CHAR(10)&amp;"PIC: "&amp;Checks!$T$274)</f>
        <v/>
      </c>
      <c r="H37" s="115" t="str">
        <f aca="false">IF(Checks!$AH$274="","",Checks!$AH$274)</f>
        <v>OPEN</v>
      </c>
    </row>
    <row r="38" customFormat="false" ht="114" hidden="false" customHeight="true" outlineLevel="0" collapsed="false">
      <c r="A38" s="114" t="str">
        <f aca="false">Checks!$A$275&amp;CHAR(10)&amp;IF(Checks!$I$275="","",Checks!$I$275&amp;": ")&amp;Checks!$J$275</f>
        <v>F08-T12-04
Equipment: Equipment presentation vs GLD</v>
      </c>
      <c r="B38" s="114" t="str">
        <f aca="false">Checks!$K$275&amp;IF(Checks!$O$275="","",IF(Checks!$K$275="","",CHAR(10))&amp;"Note: "&amp;Checks!$O$275)</f>
        <v>Note: Preparation check at caterer - does NOT confirm loading.</v>
      </c>
      <c r="C38" s="114" t="str">
        <f aca="false">Checks!$N$275&amp;CHAR(10)&amp;IF(ISNUMBER(Checks!$R$275),TEXT(Checks!$R$275,"DD-MMM-YY HH:MM"),"")&amp;" "&amp;Checks!$P$275</f>
        <v>Required
09-Oct-26 21:35 KUL</v>
      </c>
      <c r="D38" s="114" t="str">
        <f aca="false">IF(Checks!$U$275="","",Checks!$U$275)&amp;IF(Checks!$AB$275="","",CHAR(10)&amp;"CA: "&amp;Checks!$AB$275)</f>
        <v/>
      </c>
      <c r="E38" s="114" t="str">
        <f aca="false">IF(Checks!$V$275="","",Checks!$V$275)&amp;IF(Checks!$AC$275="","",IF(Checks!$V$275="","",CHAR(10))&amp;"N/A just.: "&amp;Checks!$AC$275)&amp;IF(Checks!$W$275="","",CHAR(10)&amp;"Batch: "&amp;Checks!$W$275)&amp;IF(AND(Checks!$X$275="",Checks!$Y$275=""),"",CHAR(10)&amp;"Exp: "&amp;Checks!$X$275&amp;"  /  Act: "&amp;Checks!$Y$275)</f>
        <v/>
      </c>
      <c r="F38" s="114" t="str">
        <f aca="false">IF(Checks!$Z$275="","","Evidence: "&amp;Checks!$Z$275)&amp;IF(Checks!$AA$275="","",IF(Checks!$Z$275="","",CHAR(10))&amp;"CA: "&amp;Checks!$AA$275)</f>
        <v/>
      </c>
      <c r="G38" s="114" t="str">
        <f aca="false">IF(ISNUMBER(Checks!$AD$275),TEXT(Checks!$AD$275,"DD-MMM-YY HH:MM")&amp;" "&amp;Checks!$P$275,"")&amp;IF(Checks!$AE$275="","",CHAR(10)&amp;"Verifier: "&amp;Checks!$AE$275)&amp;IF(Checks!$T$275="","",CHAR(10)&amp;"PIC: "&amp;Checks!$T$275)</f>
        <v/>
      </c>
      <c r="H38" s="115" t="str">
        <f aca="false">IF(Checks!$AH$275="","",Checks!$AH$275)</f>
        <v>OPEN</v>
      </c>
    </row>
    <row r="39" customFormat="false" ht="114" hidden="false" customHeight="true" outlineLevel="0" collapsed="false">
      <c r="A39" s="114" t="str">
        <f aca="false">Checks!$A$276&amp;CHAR(10)&amp;IF(Checks!$I$276="","",Checks!$I$276&amp;": ")&amp;Checks!$J$276</f>
        <v>F08-T12-05
Equipment: Equipment serviceability vs GLD</v>
      </c>
      <c r="B39" s="114" t="str">
        <f aca="false">Checks!$K$276&amp;IF(Checks!$O$276="","",IF(Checks!$K$276="","",CHAR(10))&amp;"Note: "&amp;Checks!$O$276)</f>
        <v>Note: Preparation check at caterer - does NOT confirm loading.</v>
      </c>
      <c r="C39" s="114" t="str">
        <f aca="false">Checks!$N$276&amp;CHAR(10)&amp;IF(ISNUMBER(Checks!$R$276),TEXT(Checks!$R$276,"DD-MMM-YY HH:MM"),"")&amp;" "&amp;Checks!$P$276</f>
        <v>Required
09-Oct-26 21:35 KUL</v>
      </c>
      <c r="D39" s="114" t="str">
        <f aca="false">IF(Checks!$U$276="","",Checks!$U$276)&amp;IF(Checks!$AB$276="","",CHAR(10)&amp;"CA: "&amp;Checks!$AB$276)</f>
        <v/>
      </c>
      <c r="E39" s="114" t="str">
        <f aca="false">IF(Checks!$V$276="","",Checks!$V$276)&amp;IF(Checks!$AC$276="","",IF(Checks!$V$276="","",CHAR(10))&amp;"N/A just.: "&amp;Checks!$AC$276)&amp;IF(Checks!$W$276="","",CHAR(10)&amp;"Batch: "&amp;Checks!$W$276)&amp;IF(AND(Checks!$X$276="",Checks!$Y$276=""),"",CHAR(10)&amp;"Exp: "&amp;Checks!$X$276&amp;"  /  Act: "&amp;Checks!$Y$276)</f>
        <v/>
      </c>
      <c r="F39" s="114" t="str">
        <f aca="false">IF(Checks!$Z$276="","","Evidence: "&amp;Checks!$Z$276)&amp;IF(Checks!$AA$276="","",IF(Checks!$Z$276="","",CHAR(10))&amp;"CA: "&amp;Checks!$AA$276)</f>
        <v/>
      </c>
      <c r="G39" s="114" t="str">
        <f aca="false">IF(ISNUMBER(Checks!$AD$276),TEXT(Checks!$AD$276,"DD-MMM-YY HH:MM")&amp;" "&amp;Checks!$P$276,"")&amp;IF(Checks!$AE$276="","",CHAR(10)&amp;"Verifier: "&amp;Checks!$AE$276)&amp;IF(Checks!$T$276="","",CHAR(10)&amp;"PIC: "&amp;Checks!$T$276)</f>
        <v/>
      </c>
      <c r="H39" s="115" t="str">
        <f aca="false">IF(Checks!$AH$276="","",Checks!$AH$276)</f>
        <v>OPEN</v>
      </c>
    </row>
    <row r="40" customFormat="false" ht="190.5" hidden="false" customHeight="true" outlineLevel="0" collapsed="false">
      <c r="A40" s="114" t="str">
        <f aca="false">Checks!$A$277&amp;CHAR(10)&amp;IF(Checks!$I$277="","",Checks!$I$277&amp;": ")&amp;Checks!$J$277</f>
        <v>F08-T12-06
Equipment: Equipment quantities vs GLD</v>
      </c>
      <c r="B40" s="114" t="str">
        <f aca="false">SUBSTITUTE(Checks!$K$277&amp;IF(Checks!$O$277="","",IF(Checks!$K$277="","",CHAR(10))&amp;"Note: "&amp;Checks!$O$277),"AIRCRAFT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Checks!$N$277&amp;CHAR(10)&amp;IF(ISNUMBER(Checks!$R$277),TEXT(Checks!$R$277,"DD-MMM-YY HH:MM"),"")&amp;" "&amp;Checks!$P$277</f>
        <v>Required
09-Oct-26 21:35 KUL</v>
      </c>
      <c r="D40" s="114" t="str">
        <f aca="false">IF(Checks!$U$277="","",Checks!$U$277)&amp;IF(Checks!$AB$277="","",CHAR(10)&amp;"CA: "&amp;Checks!$AB$277)</f>
        <v/>
      </c>
      <c r="E40" s="114" t="str">
        <f aca="false">IF(Checks!$V$277="","",Checks!$V$277)&amp;IF(Checks!$AC$277="","",IF(Checks!$V$277="","",CHAR(10))&amp;"N/A just.: "&amp;Checks!$AC$277)&amp;IF(Checks!$W$277="","",CHAR(10)&amp;"Batch: "&amp;Checks!$W$277)&amp;IF(AND(Checks!$X$277="",Checks!$Y$277=""),"",CHAR(10)&amp;"Exp: "&amp;Checks!$X$277&amp;"  /  Act: "&amp;Checks!$Y$277)</f>
        <v/>
      </c>
      <c r="F40" s="114" t="str">
        <f aca="false">IF(Checks!$Z$277="","","Evidence: "&amp;Checks!$Z$277)&amp;IF(Checks!$AA$277="","",IF(Checks!$Z$277="","",CHAR(10))&amp;"CA: "&amp;Checks!$AA$277)</f>
        <v/>
      </c>
      <c r="G40" s="114" t="str">
        <f aca="false">IF(ISNUMBER(Checks!$AD$277),TEXT(Checks!$AD$277,"DD-MMM-YY HH:MM")&amp;" "&amp;Checks!$P$277,"")&amp;IF(Checks!$AE$277="","",CHAR(10)&amp;"Verifier: "&amp;Checks!$AE$277)&amp;IF(Checks!$T$277="","",CHAR(10)&amp;"PIC: "&amp;Checks!$T$277)</f>
        <v/>
      </c>
      <c r="H40" s="115" t="str">
        <f aca="false">IF(Checks!$AH$277="","",Checks!$AH$277)</f>
        <v>OPEN</v>
      </c>
    </row>
    <row r="41" customFormat="false" ht="114" hidden="false" customHeight="true" outlineLevel="0" collapsed="false">
      <c r="A41" s="114" t="str">
        <f aca="false">Checks!$A$278&amp;CHAR(10)&amp;IF(Checks!$I$278="","",Checks!$I$278&amp;": ")&amp;Checks!$J$278</f>
        <v>F08-T12-07
Equipment: Loading positions planned vs GLD</v>
      </c>
      <c r="B41" s="114" t="str">
        <f aca="false">Checks!$K$278&amp;IF(Checks!$O$278="","",IF(Checks!$K$278="","",CHAR(10))&amp;"Note: "&amp;Checks!$O$278)</f>
        <v>Note: Preparation check at caterer - does NOT confirm loading.</v>
      </c>
      <c r="C41" s="114" t="str">
        <f aca="false">Checks!$N$278&amp;CHAR(10)&amp;IF(ISNUMBER(Checks!$R$278),TEXT(Checks!$R$278,"DD-MMM-YY HH:MM"),"")&amp;" "&amp;Checks!$P$278</f>
        <v>Required
09-Oct-26 21:35 KUL</v>
      </c>
      <c r="D41" s="114" t="str">
        <f aca="false">IF(Checks!$U$278="","",Checks!$U$278)&amp;IF(Checks!$AB$278="","",CHAR(10)&amp;"CA: "&amp;Checks!$AB$278)</f>
        <v/>
      </c>
      <c r="E41" s="114" t="str">
        <f aca="false">IF(Checks!$V$278="","",Checks!$V$278)&amp;IF(Checks!$AC$278="","",IF(Checks!$V$278="","",CHAR(10))&amp;"N/A just.: "&amp;Checks!$AC$278)&amp;IF(Checks!$W$278="","",CHAR(10)&amp;"Batch: "&amp;Checks!$W$278)&amp;IF(AND(Checks!$X$278="",Checks!$Y$278=""),"",CHAR(10)&amp;"Exp: "&amp;Checks!$X$278&amp;"  /  Act: "&amp;Checks!$Y$278)</f>
        <v/>
      </c>
      <c r="F41" s="114" t="str">
        <f aca="false">IF(Checks!$Z$278="","","Evidence: "&amp;Checks!$Z$278)&amp;IF(Checks!$AA$278="","",IF(Checks!$Z$278="","",CHAR(10))&amp;"CA: "&amp;Checks!$AA$278)</f>
        <v/>
      </c>
      <c r="G41" s="114" t="str">
        <f aca="false">IF(ISNUMBER(Checks!$AD$278),TEXT(Checks!$AD$278,"DD-MMM-YY HH:MM")&amp;" "&amp;Checks!$P$278,"")&amp;IF(Checks!$AE$278="","",CHAR(10)&amp;"Verifier: "&amp;Checks!$AE$278)&amp;IF(Checks!$T$278="","",CHAR(10)&amp;"PIC: "&amp;Checks!$T$278)</f>
        <v/>
      </c>
      <c r="H41" s="115" t="str">
        <f aca="false">IF(Checks!$AH$278="","",Checks!$AH$278)</f>
        <v>OPEN</v>
      </c>
    </row>
    <row r="42" customFormat="false" ht="114" hidden="false" customHeight="true" outlineLevel="0" collapsed="false">
      <c r="A42" s="114" t="str">
        <f aca="false">Checks!$A$279&amp;CHAR(10)&amp;IF(Checks!$I$279="","",Checks!$I$279&amp;": ")&amp;Checks!$J$279</f>
        <v>F08-T12-08
Seat Linen: Seat pillow (EY) - prepared</v>
      </c>
      <c r="B42" s="114" t="str">
        <f aca="false">Checks!$K$279&amp;IF(Checks!$O$279="","",IF(Checks!$K$279="","",CHAR(10))&amp;"Note: "&amp;Checks!$O$279)</f>
        <v>Available 100% (ticked in reference)
Note: Reference gives no uplift stn for this item: preparation checked at the meal uplift stn (KUL) - confirm with caterer.</v>
      </c>
      <c r="C42" s="114" t="str">
        <f aca="false">Checks!$N$279&amp;CHAR(10)&amp;IF(ISNUMBER(Checks!$R$279),TEXT(Checks!$R$279,"DD-MMM-YY HH:MM"),"")&amp;" "&amp;Checks!$P$279</f>
        <v>Required
09-Oct-26 21:35 KUL</v>
      </c>
      <c r="D42" s="114" t="str">
        <f aca="false">IF(Checks!$U$279="","",Checks!$U$279)&amp;IF(Checks!$AB$279="","",CHAR(10)&amp;"CA: "&amp;Checks!$AB$279)</f>
        <v/>
      </c>
      <c r="E42" s="114" t="str">
        <f aca="false">IF(Checks!$V$279="","",Checks!$V$279)&amp;IF(Checks!$AC$279="","",IF(Checks!$V$279="","",CHAR(10))&amp;"N/A just.: "&amp;Checks!$AC$279)&amp;IF(Checks!$W$279="","",CHAR(10)&amp;"Batch: "&amp;Checks!$W$279)&amp;IF(AND(Checks!$X$279="",Checks!$Y$279=""),"",CHAR(10)&amp;"Exp: "&amp;Checks!$X$279&amp;"  /  Act: "&amp;Checks!$Y$279)</f>
        <v/>
      </c>
      <c r="F42" s="114" t="str">
        <f aca="false">IF(Checks!$Z$279="","","Evidence: "&amp;Checks!$Z$279)&amp;IF(Checks!$AA$279="","",IF(Checks!$Z$279="","",CHAR(10))&amp;"CA: "&amp;Checks!$AA$279)</f>
        <v/>
      </c>
      <c r="G42" s="114" t="str">
        <f aca="false">IF(ISNUMBER(Checks!$AD$279),TEXT(Checks!$AD$279,"DD-MMM-YY HH:MM")&amp;" "&amp;Checks!$P$279,"")&amp;IF(Checks!$AE$279="","",CHAR(10)&amp;"Verifier: "&amp;Checks!$AE$279)&amp;IF(Checks!$T$279="","",CHAR(10)&amp;"PIC: "&amp;Checks!$T$279)</f>
        <v/>
      </c>
      <c r="H42" s="115" t="str">
        <f aca="false">IF(Checks!$AH$279="","",Checks!$AH$279)</f>
        <v>OPEN</v>
      </c>
    </row>
    <row r="43" customFormat="false" ht="25.5" hidden="false" customHeight="true" outlineLevel="0" collapsed="false">
      <c r="A43" s="113" t="str">
        <f aca="false">"UPLIFT — Physical uplift – on-board confirmation before departure  |  Due "&amp;"STD "&amp;IF(ISNUMBER(Flights!$I$12),TEXT(Flights!$I$12,"DD-MMM-YY HH:MM"),"")&amp;" "&amp;Flights!$G$12&amp;" (departure stn)"&amp;" (rows with another due show their own)  |  Complete "&amp;IF(ISNUMBER(Flights!$AM$12),TEXT(Flights!$AM$12,"0%"),Flights!$AM$12)&amp;"  |  3 lines"</f>
        <v>UPLIFT — Physical uplift – on-board confirmation before departure  |  Due STD 10-Oct-26 09:35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Checks!$A$280&amp;CHAR(10)&amp;IF(Checks!$I$280="","",Checks!$I$280&amp;": ")&amp;Checks!$J$280</f>
        <v>F08-UPL-01
Meal: Meals physically uplifted on board - quantity vs menu checklist</v>
      </c>
      <c r="B44" s="114" t="str">
        <f aca="false">Checks!$K$280&amp;IF(Checks!$O$280="","",IF(Checks!$K$280="","",CHAR(10))&amp;"Note: "&amp;Checks!$O$280)</f>
        <v>Enter expected &amp; actual
Note: Confirm on board before departure; completion time must fall inside the uplift window.</v>
      </c>
      <c r="C44" s="114" t="str">
        <f aca="false">Checks!$N$280&amp;CHAR(10)&amp;IF(ISNUMBER(Checks!$R$280),TEXT(Checks!$R$280,"DD-MMM-YY HH:MM"),"")&amp;" "&amp;Checks!$P$280</f>
        <v>Required
10-Oct-26 09:35 KUL</v>
      </c>
      <c r="D44" s="114" t="str">
        <f aca="false">IF(Checks!$U$280="","",Checks!$U$280)&amp;IF(Checks!$AB$280="","",CHAR(10)&amp;"CA: "&amp;Checks!$AB$280)</f>
        <v/>
      </c>
      <c r="E44" s="114" t="str">
        <f aca="false">IF(Checks!$V$280="","",Checks!$V$280)&amp;IF(Checks!$AC$280="","",IF(Checks!$V$280="","",CHAR(10))&amp;"N/A just.: "&amp;Checks!$AC$280)&amp;IF(Checks!$W$280="","",CHAR(10)&amp;"Batch: "&amp;Checks!$W$280)&amp;IF(AND(Checks!$X$280="",Checks!$Y$280=""),"",CHAR(10)&amp;"Exp: "&amp;Checks!$X$280&amp;"  /  Act: "&amp;Checks!$Y$280)</f>
        <v/>
      </c>
      <c r="F44" s="114" t="str">
        <f aca="false">IF(Checks!$Z$280="","","Evidence: "&amp;Checks!$Z$280)&amp;IF(Checks!$AA$280="","",IF(Checks!$Z$280="","",CHAR(10))&amp;"CA: "&amp;Checks!$AA$280)</f>
        <v/>
      </c>
      <c r="G44" s="114" t="str">
        <f aca="false">IF(ISNUMBER(Checks!$AD$280),TEXT(Checks!$AD$280,"DD-MMM-YY HH:MM")&amp;" "&amp;Checks!$P$280,"")&amp;IF(Checks!$AE$280="","",CHAR(10)&amp;"Verifier: "&amp;Checks!$AE$280)&amp;IF(Checks!$T$280="","",CHAR(10)&amp;"PIC: "&amp;Checks!$T$280)</f>
        <v/>
      </c>
      <c r="H44" s="115" t="str">
        <f aca="false">IF(Checks!$AH$280="","",Checks!$AH$280)</f>
        <v>OPEN</v>
      </c>
    </row>
    <row r="45" customFormat="false" ht="114" hidden="false" customHeight="true" outlineLevel="0" collapsed="false">
      <c r="A45" s="114" t="str">
        <f aca="false">Checks!$A$281&amp;CHAR(10)&amp;IF(Checks!$I$281="","",Checks!$I$281&amp;": ")&amp;Checks!$J$281</f>
        <v>F08-UPL-02
Equipment: Equipment physically loaded at GLD positions - quantity &amp; positions</v>
      </c>
      <c r="B45" s="114" t="str">
        <f aca="false">Checks!$K$281&amp;IF(Checks!$O$281="","",IF(Checks!$K$281="","",CHAR(10))&amp;"Note: "&amp;Checks!$O$281)</f>
        <v>Enter expected &amp; actual
Note: Confirm on board before departure; completion time must fall inside the uplift window.</v>
      </c>
      <c r="C45" s="114" t="str">
        <f aca="false">Checks!$N$281&amp;CHAR(10)&amp;IF(ISNUMBER(Checks!$R$281),TEXT(Checks!$R$281,"DD-MMM-YY HH:MM"),"")&amp;" "&amp;Checks!$P$281</f>
        <v>Required
10-Oct-26 09:35 KUL</v>
      </c>
      <c r="D45" s="114" t="str">
        <f aca="false">IF(Checks!$U$281="","",Checks!$U$281)&amp;IF(Checks!$AB$281="","",CHAR(10)&amp;"CA: "&amp;Checks!$AB$281)</f>
        <v/>
      </c>
      <c r="E45" s="114" t="str">
        <f aca="false">IF(Checks!$V$281="","",Checks!$V$281)&amp;IF(Checks!$AC$281="","",IF(Checks!$V$281="","",CHAR(10))&amp;"N/A just.: "&amp;Checks!$AC$281)&amp;IF(Checks!$W$281="","",CHAR(10)&amp;"Batch: "&amp;Checks!$W$281)&amp;IF(AND(Checks!$X$281="",Checks!$Y$281=""),"",CHAR(10)&amp;"Exp: "&amp;Checks!$X$281&amp;"  /  Act: "&amp;Checks!$Y$281)</f>
        <v/>
      </c>
      <c r="F45" s="114" t="str">
        <f aca="false">IF(Checks!$Z$281="","","Evidence: "&amp;Checks!$Z$281)&amp;IF(Checks!$AA$281="","",IF(Checks!$Z$281="","",CHAR(10))&amp;"CA: "&amp;Checks!$AA$281)</f>
        <v/>
      </c>
      <c r="G45" s="114" t="str">
        <f aca="false">IF(ISNUMBER(Checks!$AD$281),TEXT(Checks!$AD$281,"DD-MMM-YY HH:MM")&amp;" "&amp;Checks!$P$281,"")&amp;IF(Checks!$AE$281="","",CHAR(10)&amp;"Verifier: "&amp;Checks!$AE$281)&amp;IF(Checks!$T$281="","",CHAR(10)&amp;"PIC: "&amp;Checks!$T$281)</f>
        <v/>
      </c>
      <c r="H45" s="115" t="str">
        <f aca="false">IF(Checks!$AH$281="","",Checks!$AH$281)</f>
        <v>OPEN</v>
      </c>
    </row>
    <row r="46" customFormat="false" ht="114" hidden="false" customHeight="true" outlineLevel="0" collapsed="false">
      <c r="A46" s="114" t="str">
        <f aca="false">Checks!$A$282&amp;CHAR(10)&amp;IF(Checks!$I$282="","",Checks!$I$282&amp;": ")&amp;Checks!$J$282</f>
        <v>F08-UPL-03
Seat Linen: Seat pillow (EY) - on board</v>
      </c>
      <c r="B46" s="114" t="str">
        <f aca="false">Checks!$K$282&amp;IF(Checks!$O$282="","",IF(Checks!$K$282="","",CHAR(10))&amp;"Note: "&amp;Checks!$O$282)</f>
        <v>Available 100% (ticked in reference)</v>
      </c>
      <c r="C46" s="114" t="str">
        <f aca="false">Checks!$N$282&amp;CHAR(10)&amp;IF(ISNUMBER(Checks!$R$282),TEXT(Checks!$R$282,"DD-MMM-YY HH:MM"),"")&amp;" "&amp;Checks!$P$282</f>
        <v>Required
10-Oct-26 09:35 KUL</v>
      </c>
      <c r="D46" s="114" t="str">
        <f aca="false">IF(Checks!$U$282="","",Checks!$U$282)&amp;IF(Checks!$AB$282="","",CHAR(10)&amp;"CA: "&amp;Checks!$AB$282)</f>
        <v/>
      </c>
      <c r="E46" s="114" t="str">
        <f aca="false">IF(Checks!$V$282="","",Checks!$V$282)&amp;IF(Checks!$AC$282="","",IF(Checks!$V$282="","",CHAR(10))&amp;"N/A just.: "&amp;Checks!$AC$282)&amp;IF(Checks!$W$282="","",CHAR(10)&amp;"Batch: "&amp;Checks!$W$282)&amp;IF(AND(Checks!$X$282="",Checks!$Y$282=""),"",CHAR(10)&amp;"Exp: "&amp;Checks!$X$282&amp;"  /  Act: "&amp;Checks!$Y$282)</f>
        <v/>
      </c>
      <c r="F46" s="114" t="str">
        <f aca="false">IF(Checks!$Z$282="","","Evidence: "&amp;Checks!$Z$282)&amp;IF(Checks!$AA$282="","",IF(Checks!$Z$282="","",CHAR(10))&amp;"CA: "&amp;Checks!$AA$282)</f>
        <v/>
      </c>
      <c r="G46" s="114" t="str">
        <f aca="false">IF(ISNUMBER(Checks!$AD$282),TEXT(Checks!$AD$282,"DD-MMM-YY HH:MM")&amp;" "&amp;Checks!$P$282,"")&amp;IF(Checks!$AE$282="","",CHAR(10)&amp;"Verifier: "&amp;Checks!$AE$282)&amp;IF(Checks!$T$282="","",CHAR(10)&amp;"PIC: "&amp;Checks!$T$282)</f>
        <v/>
      </c>
      <c r="H46" s="115" t="str">
        <f aca="false">IF(Checks!$AH$282="","",Checks!$AH$282)</f>
        <v>OPEN</v>
      </c>
    </row>
    <row r="48" customFormat="false" ht="24" hidden="false" customHeight="true" outlineLevel="0" collapsed="false">
      <c r="A48" s="116" t="s">
        <v>1737</v>
      </c>
      <c r="B48" s="116"/>
      <c r="C48" s="116"/>
      <c r="D48" s="116"/>
      <c r="E48" s="116" t="s">
        <v>1738</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F08 MH0752 10-Oct-26 KUL-HAN Class EY</oddHeader>
    <oddFooter>&amp;L&amp;"Arial,Bold"&amp;8 F08 MH0752 10-Oct-26 KUL-HAN Class EY&amp;C&amp;"Arial,Regular"&amp;8 Printed: ____________________&amp;R&amp;"Arial,Regular"&amp;8 F08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F09  "&amp;Flights!$F$13&amp;"  "&amp;TEXT(Flights!$D$13,"DD-MMM-YY")&amp;" ("&amp;Flights!$E$13&amp;")  "&amp;Flights!$G$13&amp;" → "&amp;Flights!$H$13&amp;"  |  Class "&amp;Flights!$K$13</f>
        <v>SKYTRAX 2026 CATERING READINESS CHECKLIST  |  F09  MH0753  11-Oct-26 (SUN)  HAN → KUL  |  Class BC</v>
      </c>
      <c r="B1" s="92"/>
      <c r="C1" s="92"/>
      <c r="D1" s="92"/>
      <c r="E1" s="92"/>
      <c r="F1" s="92"/>
      <c r="G1" s="92"/>
      <c r="H1" s="92"/>
    </row>
    <row r="2" customFormat="false" ht="12.75" hidden="false" customHeight="true" outlineLevel="0" collapsed="false">
      <c r="A2" s="93" t="s">
        <v>1692</v>
      </c>
      <c r="B2" s="94" t="str">
        <f aca="false">Flights!$F$13&amp;"   "&amp;TEXT(Flights!$D$13,"DD-MMM-YY")&amp;" ("&amp;Flights!$E$13&amp;")"</f>
        <v>MH0753   11-Oct-26 (SUN)</v>
      </c>
      <c r="C2" s="94"/>
      <c r="D2" s="94"/>
      <c r="E2" s="95" t="s">
        <v>1693</v>
      </c>
      <c r="F2" s="96" t="str">
        <f aca="false">Flights!$AT$13</f>
        <v>NOT READY – DOCUMENTS</v>
      </c>
      <c r="G2" s="96"/>
      <c r="H2" s="96"/>
    </row>
    <row r="3" customFormat="false" ht="24" hidden="false" customHeight="true" outlineLevel="0" collapsed="false">
      <c r="A3" s="93" t="s">
        <v>1694</v>
      </c>
      <c r="B3" s="94" t="str">
        <f aca="false">Flights!$G$13&amp;" → "&amp;Flights!$H$13&amp;"   Class "&amp;Flights!$K$13&amp;"   Seat "&amp;Flights!$O$13</f>
        <v>HAN → KUL   Class BC   Seat 1F</v>
      </c>
      <c r="C3" s="94"/>
      <c r="D3" s="94"/>
      <c r="E3" s="95" t="s">
        <v>71</v>
      </c>
      <c r="F3" s="95" t="s">
        <v>1695</v>
      </c>
      <c r="G3" s="95" t="s">
        <v>1696</v>
      </c>
      <c r="H3" s="95"/>
    </row>
    <row r="4" customFormat="false" ht="24" hidden="false" customHeight="true" outlineLevel="0" collapsed="false">
      <c r="A4" s="93" t="s">
        <v>1697</v>
      </c>
      <c r="B4" s="94" t="str">
        <f aca="false">IF(ISNUMBER(Flights!$I$13),TEXT(Flights!$I$13,"DD-MMM-YY HH:MM"),"")&amp;" "&amp;Flights!$G$13&amp;"  →  "&amp;IF(ISNUMBER(Flights!$J$13),TEXT(Flights!$J$13,"DD-MMM-YY HH:MM"),"")&amp;" "&amp;Flights!$H$13</f>
        <v>11-Oct-26 13:05 HAN  →  11-Oct-26 17:30 KUL</v>
      </c>
      <c r="C4" s="94"/>
      <c r="D4" s="94"/>
      <c r="E4" s="93" t="s">
        <v>1698</v>
      </c>
      <c r="F4" s="97" t="str">
        <f aca="false">IF(ISNUMBER(Flights!$AG$13),TEXT(Flights!$AG$13,"DD-MMM-YY HH:MM"),"")&amp;" "&amp;Flights!$V$13</f>
        <v>04-Oct-26 13:05 HAN</v>
      </c>
      <c r="G4" s="98" t="n">
        <f aca="false">Flights!$AJ$13</f>
        <v>0</v>
      </c>
      <c r="H4" s="98"/>
    </row>
    <row r="5" customFormat="false" ht="24" hidden="false" customHeight="true" outlineLevel="0" collapsed="false">
      <c r="A5" s="93" t="s">
        <v>1699</v>
      </c>
      <c r="B5" s="94" t="str">
        <f aca="false">Flights!$L$13&amp;" – "&amp;Flights!$M$13</f>
        <v>B738MAX – B737-8 (B7M8)</v>
      </c>
      <c r="C5" s="94"/>
      <c r="D5" s="94"/>
      <c r="E5" s="93" t="s">
        <v>1700</v>
      </c>
      <c r="F5" s="97" t="str">
        <f aca="false">IF(ISNUMBER(Flights!$AH$13),TEXT(Flights!$AH$13,"DD-MMM-YY HH:MM"),"")&amp;" "&amp;Flights!$V$13</f>
        <v>10-Oct-26 13:05 HAN</v>
      </c>
      <c r="G5" s="98" t="n">
        <f aca="false">Flights!$AK$13</f>
        <v>0</v>
      </c>
      <c r="H5" s="98"/>
    </row>
    <row r="6" customFormat="false" ht="24" hidden="false" customHeight="true" outlineLevel="0" collapsed="false">
      <c r="A6" s="93" t="s">
        <v>1701</v>
      </c>
      <c r="B6" s="94" t="str">
        <f aca="false">IF(TRIM(Flights!$N$13)="","__________________",Flights!$N$13)</f>
        <v>__________________</v>
      </c>
      <c r="C6" s="94"/>
      <c r="D6" s="94"/>
      <c r="E6" s="93" t="s">
        <v>1702</v>
      </c>
      <c r="F6" s="97" t="str">
        <f aca="false">IF(ISNUMBER(Flights!$AI$13),TEXT(Flights!$AI$13,"DD-MMM-YY HH:MM"),"")&amp;" "&amp;Flights!$V$13&amp;IF(Flights!$AI$13=Flights!$AH$13,"  (= T-24H due)","")</f>
        <v>11-Oct-26 01:05 HAN</v>
      </c>
      <c r="G6" s="98" t="n">
        <f aca="false">Flights!$AL$13</f>
        <v>0</v>
      </c>
      <c r="H6" s="98"/>
    </row>
    <row r="7" customFormat="false" ht="24" hidden="false" customHeight="true" outlineLevel="0" collapsed="false">
      <c r="A7" s="93" t="s">
        <v>1703</v>
      </c>
      <c r="B7" s="94" t="str">
        <f aca="false">Flights!$T$13</f>
        <v>1 Meal (Meal)</v>
      </c>
      <c r="C7" s="94"/>
      <c r="D7" s="94"/>
      <c r="E7" s="93" t="s">
        <v>1704</v>
      </c>
      <c r="F7" s="97" t="str">
        <f aca="false">"STD "&amp;IF(ISNUMBER(Flights!$I$13),TEXT(Flights!$I$13,"DD-MMM-YY HH:MM"),"")&amp;" "&amp;Flights!$G$13&amp;" (dep stn)"</f>
        <v>STD 11-Oct-26 13:05 HAN (dep stn)</v>
      </c>
      <c r="G7" s="98" t="n">
        <f aca="false">Flights!$AM$13</f>
        <v>0</v>
      </c>
      <c r="H7" s="98"/>
    </row>
    <row r="8" customFormat="false" ht="12.75" hidden="false" customHeight="true" outlineLevel="0" collapsed="false">
      <c r="A8" s="93" t="s">
        <v>153</v>
      </c>
      <c r="B8" s="94" t="str">
        <f aca="false">Flights!$V$13&amp;"   (reference uplift stns: "&amp;Flights!$U$13&amp;")"</f>
        <v>HAN   (reference uplift stns: KUL/HAN)</v>
      </c>
      <c r="C8" s="94"/>
      <c r="D8" s="94"/>
      <c r="E8" s="93" t="s">
        <v>1705</v>
      </c>
      <c r="F8" s="99" t="s">
        <v>1706</v>
      </c>
      <c r="G8" s="98" t="n">
        <f aca="false">Flights!$AN$13</f>
        <v>0</v>
      </c>
      <c r="H8" s="98"/>
    </row>
    <row r="9" customFormat="false" ht="12.75" hidden="false" customHeight="true" outlineLevel="0" collapsed="false">
      <c r="A9" s="93" t="s">
        <v>1707</v>
      </c>
      <c r="B9" s="94" t="str">
        <f aca="false">TRIM(Flights!$P$13&amp;"  "&amp;Flights!$Q$13)</f>
        <v>- Overnight KUL</v>
      </c>
      <c r="C9" s="94"/>
      <c r="D9" s="94"/>
      <c r="E9" s="93" t="s">
        <v>1708</v>
      </c>
      <c r="F9" s="100" t="n">
        <f aca="false">Flights!$AP$13</f>
        <v>0</v>
      </c>
      <c r="G9" s="100" t="n">
        <f aca="false">Flights!$AQ$13</f>
        <v>0</v>
      </c>
      <c r="H9" s="100" t="n">
        <f aca="false">Flights!$AU$13</f>
        <v>0</v>
      </c>
    </row>
    <row r="10" customFormat="false" ht="24" hidden="false" customHeight="true" outlineLevel="0" collapsed="false">
      <c r="A10" s="93" t="s">
        <v>1709</v>
      </c>
      <c r="B10" s="94" t="str">
        <f aca="false">IF(TRIM(Flights!$X$13)="","__________________",Flights!$X$13)</f>
        <v>__________________</v>
      </c>
      <c r="C10" s="94"/>
      <c r="D10" s="94"/>
      <c r="E10" s="93" t="s">
        <v>1710</v>
      </c>
      <c r="F10" s="100" t="n">
        <f aca="false">Flights!$AO$13</f>
        <v>38</v>
      </c>
      <c r="G10" s="100" t="n">
        <f aca="false">Flights!$AS$13</f>
        <v>2</v>
      </c>
      <c r="H10" s="100" t="n">
        <f aca="false">Flights!$AR$13</f>
        <v>2</v>
      </c>
    </row>
    <row r="11" customFormat="false" ht="21" hidden="false" customHeight="true" outlineLevel="0" collapsed="false">
      <c r="A11" s="93" t="s">
        <v>1711</v>
      </c>
      <c r="B11" s="94" t="str">
        <f aca="false">IF(TRIM(Flights!$Y$13)="","__________________",Flights!$Y$13)</f>
        <v>__________________</v>
      </c>
      <c r="C11" s="94"/>
      <c r="D11" s="94"/>
      <c r="E11" s="93" t="s">
        <v>1712</v>
      </c>
      <c r="F11" s="100" t="str">
        <f aca="false">Flights!$AV$13&amp;" / "&amp;Flights!$AW$13</f>
        <v>0 / 38</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IF(Documents!$F$13="","",Documents!$F$13)</f>
        <v/>
      </c>
      <c r="C14" s="99" t="str">
        <f aca="false">IF(Documents!$G$13="","",Documents!$G$13)&amp;IF(ISNUMBER(Documents!$H$13),"  "&amp;TEXT(Documents!$H$13,"DD-MMM-YY"),"")</f>
        <v/>
      </c>
      <c r="D14" s="99"/>
      <c r="E14" s="107" t="str">
        <f aca="false">IF(Documents!$J$13="OUTSTANDING","OUTSTANDING – attach before T-7D (due "&amp;IF(ISNUMBER(Flights!$AG$13),TEXT(Flights!$AG$13,"DD-MMM-YY HH:MM"),"")&amp;" "&amp;Flights!$V$13&amp;")",IF(Documents!$J$13="","Status not recorded",Documents!$J$13))</f>
        <v>OUTSTANDING – attach before T-7D (due 04-Oct-26 13:05 HAN)</v>
      </c>
      <c r="F14" s="108" t="str">
        <f aca="false">"Staple behind this sheet as page A1."&amp;IF(Documents!$I$13="",""," Location: "&amp;Documents!$I$13)</f>
        <v>Staple behind this sheet as page A1.</v>
      </c>
      <c r="G14" s="108"/>
      <c r="H14" s="108"/>
    </row>
    <row r="15" customFormat="false" ht="36" hidden="false" customHeight="true" outlineLevel="0" collapsed="false">
      <c r="A15" s="93" t="s">
        <v>1723</v>
      </c>
      <c r="B15" s="94" t="str">
        <f aca="false">IF(Documents!$K$13="","",Documents!$K$13)</f>
        <v/>
      </c>
      <c r="C15" s="99" t="str">
        <f aca="false">IF(Documents!$L$13="","",Documents!$L$13)&amp;IF(ISNUMBER(Documents!$M$13),"  "&amp;TEXT(Documents!$M$13,"DD-MMM-YY"),"")</f>
        <v/>
      </c>
      <c r="D15" s="99"/>
      <c r="E15" s="107" t="str">
        <f aca="false">IF(Documents!$O$13="OUTSTANDING","OUTSTANDING – attach before T-7D (due "&amp;IF(ISNUMBER(Flights!$AG$13),TEXT(Flights!$AG$13,"DD-MMM-YY HH:MM"),"")&amp;" "&amp;Flights!$V$13&amp;")",IF(Documents!$O$13="","Status not recorded",Documents!$O$13))</f>
        <v>OUTSTANDING – attach before T-7D (due 04-Oct-26 13:05 HAN)</v>
      </c>
      <c r="F15" s="108" t="str">
        <f aca="false">"Staple behind this sheet as page A2."&amp;IF(Documents!$N$13="",""," Location: "&amp;Documents!$N$13)</f>
        <v>Staple behind this sheet as page A2.</v>
      </c>
      <c r="G15" s="108"/>
      <c r="H15" s="108"/>
    </row>
    <row r="16" customFormat="false" ht="22.5" hidden="false" customHeight="true" outlineLevel="0" collapsed="false">
      <c r="A16" s="93" t="s">
        <v>1724</v>
      </c>
      <c r="B16" s="109" t="str">
        <f aca="false">IF(Documents!$Q$13="","",Documents!$Q$13)</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"&amp;IF(TRIM(Flights!$Y$13)="","__________________",Flights!$Y$13)</f>
        <v>Name: __________________</v>
      </c>
      <c r="B18" s="94"/>
      <c r="C18" s="94" t="str">
        <f aca="false">"Name: __________________"</f>
        <v>Name: __________________</v>
      </c>
      <c r="D18" s="94"/>
      <c r="E18" s="94"/>
      <c r="F18" s="94" t="str">
        <f aca="false">"Name: __________________"&amp;"   Station: "&amp;Flights!$V$13</f>
        <v>Name: __________________   Station: HAN</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"&amp;IF(ISNUMBER(Flights!$AG$13),TEXT(Flights!$AG$13,"DD-MMM-YY HH:MM"),"")&amp;" "&amp;Flights!$V$13&amp;" (meal uplift stn)"&amp;" (rows with another due show their own)  |  Complete "&amp;IF(ISNUMBER(Flights!$AJ$13),TEXT(Flights!$AJ$13,"0%"),Flights!$AJ$13)&amp;"  |  9 lines"</f>
        <v>T-7D — 7 days before departure  |  Due 04-Oct-26 13:05 HAN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Checks!$A$283&amp;CHAR(10)&amp;IF(Checks!$I$283="","",Checks!$I$283&amp;": ")&amp;Checks!$J$283</f>
        <v>F09-T7-01
Meal: Meal sensory testing completed for this flight's menu cycle (assessed class)</v>
      </c>
      <c r="B23" s="114" t="str">
        <f aca="false">Checks!$K$283&amp;IF(Checks!$O$283="","",IF(Checks!$K$283="","",CHAR(10))&amp;"Note: "&amp;Checks!$O$283)</f>
        <v>Record panel result / score in Result</v>
      </c>
      <c r="C23" s="114" t="str">
        <f aca="false">Checks!$N$283&amp;CHAR(10)&amp;IF(ISNUMBER(Checks!$R$283),TEXT(Checks!$R$283,"DD-MMM-YY HH:MM"),"")&amp;" "&amp;Checks!$P$283</f>
        <v>Required
04-Oct-26 13:05 HAN</v>
      </c>
      <c r="D23" s="114" t="str">
        <f aca="false">IF(Checks!$U$283="","",Checks!$U$283)&amp;IF(Checks!$AB$283="","",CHAR(10)&amp;"CA: "&amp;Checks!$AB$283)</f>
        <v/>
      </c>
      <c r="E23" s="114" t="str">
        <f aca="false">IF(Checks!$V$283="","",Checks!$V$283)&amp;IF(Checks!$AC$283="","",IF(Checks!$V$283="","",CHAR(10))&amp;"N/A just.: "&amp;Checks!$AC$283)&amp;IF(Checks!$W$283="","",CHAR(10)&amp;"Batch: "&amp;Checks!$W$283)&amp;IF(AND(Checks!$X$283="",Checks!$Y$283=""),"",CHAR(10)&amp;"Exp: "&amp;Checks!$X$283&amp;"  /  Act: "&amp;Checks!$Y$283)</f>
        <v/>
      </c>
      <c r="F23" s="114" t="str">
        <f aca="false">IF(Checks!$Z$283="","","Evidence: "&amp;Checks!$Z$283)&amp;IF(Checks!$AA$283="","",IF(Checks!$Z$283="","",CHAR(10))&amp;"CA: "&amp;Checks!$AA$283)</f>
        <v/>
      </c>
      <c r="G23" s="114" t="str">
        <f aca="false">IF(ISNUMBER(Checks!$AD$283),TEXT(Checks!$AD$283,"DD-MMM-YY HH:MM")&amp;" "&amp;Checks!$P$283,"")&amp;IF(Checks!$AE$283="","",CHAR(10)&amp;"Verifier: "&amp;Checks!$AE$283)&amp;IF(Checks!$T$283="","",CHAR(10)&amp;"PIC: "&amp;Checks!$T$283)</f>
        <v/>
      </c>
      <c r="H23" s="115" t="str">
        <f aca="false">IF(Checks!$AH$283="","",Checks!$AH$283)</f>
        <v>OPEN</v>
      </c>
    </row>
    <row r="24" customFormat="false" ht="114" hidden="false" customHeight="true" outlineLevel="0" collapsed="false">
      <c r="A24" s="114" t="str">
        <f aca="false">Checks!$A$284&amp;CHAR(10)&amp;IF(Checks!$I$284="","",Checks!$I$284&amp;": ")&amp;Checks!$J$284</f>
        <v>F09-T7-02
Menu: Printed menu cards confirmed (content, cycle, language, quantity)</v>
      </c>
      <c r="B24" s="114" t="str">
        <f aca="false">Checks!$K$284&amp;IF(Checks!$O$284="","",IF(Checks!$K$284="","",CHAR(10))&amp;"Note: "&amp;Checks!$O$284)</f>
        <v>Menu card matches approved menu for this flight</v>
      </c>
      <c r="C24" s="114" t="str">
        <f aca="false">Checks!$N$284&amp;CHAR(10)&amp;IF(ISNUMBER(Checks!$R$284),TEXT(Checks!$R$284,"DD-MMM-YY HH:MM"),"")&amp;" "&amp;Checks!$P$284</f>
        <v>Required
04-Oct-26 13:05 HAN</v>
      </c>
      <c r="D24" s="114" t="str">
        <f aca="false">IF(Checks!$U$284="","",Checks!$U$284)&amp;IF(Checks!$AB$284="","",CHAR(10)&amp;"CA: "&amp;Checks!$AB$284)</f>
        <v/>
      </c>
      <c r="E24" s="114" t="str">
        <f aca="false">IF(Checks!$V$284="","",Checks!$V$284)&amp;IF(Checks!$AC$284="","",IF(Checks!$V$284="","",CHAR(10))&amp;"N/A just.: "&amp;Checks!$AC$284)&amp;IF(Checks!$W$284="","",CHAR(10)&amp;"Batch: "&amp;Checks!$W$284)&amp;IF(AND(Checks!$X$284="",Checks!$Y$284=""),"",CHAR(10)&amp;"Exp: "&amp;Checks!$X$284&amp;"  /  Act: "&amp;Checks!$Y$284)</f>
        <v/>
      </c>
      <c r="F24" s="114" t="str">
        <f aca="false">IF(Checks!$Z$284="","","Evidence: "&amp;Checks!$Z$284)&amp;IF(Checks!$AA$284="","",IF(Checks!$Z$284="","",CHAR(10))&amp;"CA: "&amp;Checks!$AA$284)</f>
        <v/>
      </c>
      <c r="G24" s="114" t="str">
        <f aca="false">IF(ISNUMBER(Checks!$AD$284),TEXT(Checks!$AD$284,"DD-MMM-YY HH:MM")&amp;" "&amp;Checks!$P$284,"")&amp;IF(Checks!$AE$284="","",CHAR(10)&amp;"Verifier: "&amp;Checks!$AE$284)&amp;IF(Checks!$T$284="","",CHAR(10)&amp;"PIC: "&amp;Checks!$T$284)</f>
        <v/>
      </c>
      <c r="H24" s="115" t="str">
        <f aca="false">IF(Checks!$AH$284="","",Checks!$AH$284)</f>
        <v>OPEN</v>
      </c>
    </row>
    <row r="25" customFormat="false" ht="114" hidden="false" customHeight="true" outlineLevel="0" collapsed="false">
      <c r="A25" s="114" t="str">
        <f aca="false">Checks!$A$285&amp;CHAR(10)&amp;IF(Checks!$I$285="","",Checks!$I$285&amp;": ")&amp;Checks!$J$285</f>
        <v>F09-T7-03
IFE: Digital menu in IFE confirmed (A339 only)</v>
      </c>
      <c r="B25" s="114" t="str">
        <f aca="false">Checks!$K$285&amp;IF(Checks!$O$285="","",IF(Checks!$K$285="","",CHAR(10))&amp;"Note: "&amp;Checks!$O$285)</f>
        <v>Applies when fleet = A339
Note: Digital IFE menu applies to A339 only (user brief). Applicability follows the Fleet cell on Flights.</v>
      </c>
      <c r="C25" s="114" t="str">
        <f aca="false">Checks!$N$285&amp;CHAR(10)&amp;IF(ISNUMBER(Checks!$R$285),TEXT(Checks!$R$285,"DD-MMM-YY HH:MM"),"")&amp;" "&amp;Checks!$P$285</f>
        <v>N/A – rule
04-Oct-26 13:05 HAN</v>
      </c>
      <c r="D25" s="114" t="str">
        <f aca="false">IF(Checks!$U$285="","",Checks!$U$285)&amp;IF(Checks!$AB$285="","",CHAR(10)&amp;"CA: "&amp;Checks!$AB$285)</f>
        <v/>
      </c>
      <c r="E25" s="114" t="str">
        <f aca="false">IF(Checks!$V$285="","",Checks!$V$285)&amp;IF(Checks!$AC$285="","",IF(Checks!$V$285="","",CHAR(10))&amp;"N/A just.: "&amp;Checks!$AC$285)&amp;IF(Checks!$W$285="","",CHAR(10)&amp;"Batch: "&amp;Checks!$W$285)&amp;IF(AND(Checks!$X$285="",Checks!$Y$285=""),"",CHAR(10)&amp;"Exp: "&amp;Checks!$X$285&amp;"  /  Act: "&amp;Checks!$Y$285)</f>
        <v/>
      </c>
      <c r="F25" s="114" t="str">
        <f aca="false">IF(Checks!$Z$285="","","Evidence: "&amp;Checks!$Z$285)&amp;IF(Checks!$AA$285="","",IF(Checks!$Z$285="","",CHAR(10))&amp;"CA: "&amp;Checks!$AA$285)</f>
        <v/>
      </c>
      <c r="G25" s="114" t="str">
        <f aca="false">IF(ISNUMBER(Checks!$AD$285),TEXT(Checks!$AD$285,"DD-MMM-YY HH:MM")&amp;" "&amp;Checks!$P$285,"")&amp;IF(Checks!$AE$285="","",CHAR(10)&amp;"Verifier: "&amp;Checks!$AE$285)&amp;IF(Checks!$T$285="","",CHAR(10)&amp;"PIC: "&amp;Checks!$T$285)</f>
        <v/>
      </c>
      <c r="H25" s="115" t="str">
        <f aca="false">IF(Checks!$AH$285="","",Checks!$AH$285)</f>
        <v>N/A – RULE</v>
      </c>
    </row>
    <row r="26" customFormat="false" ht="114" hidden="false" customHeight="true" outlineLevel="0" collapsed="false">
      <c r="A26" s="114" t="str">
        <f aca="false">Checks!$A$286&amp;CHAR(10)&amp;IF(Checks!$I$286="","",Checks!$I$286&amp;": ")&amp;Checks!$J$286</f>
        <v>F09-T7-04
Staffing: Experienced catering officer assigned to this flight</v>
      </c>
      <c r="B26" s="114" t="str">
        <f aca="false">Checks!$K$286&amp;IF(Checks!$O$286="","",IF(Checks!$K$286="","",CHAR(10))&amp;"Note: "&amp;Checks!$O$286)</f>
        <v>Record officer name in Result</v>
      </c>
      <c r="C26" s="114" t="str">
        <f aca="false">Checks!$N$286&amp;CHAR(10)&amp;IF(ISNUMBER(Checks!$R$286),TEXT(Checks!$R$286,"DD-MMM-YY HH:MM"),"")&amp;" "&amp;Checks!$P$286</f>
        <v>Required
04-Oct-26 13:05 HAN</v>
      </c>
      <c r="D26" s="114" t="str">
        <f aca="false">IF(Checks!$U$286="","",Checks!$U$286)&amp;IF(Checks!$AB$286="","",CHAR(10)&amp;"CA: "&amp;Checks!$AB$286)</f>
        <v/>
      </c>
      <c r="E26" s="114" t="str">
        <f aca="false">IF(Checks!$V$286="","",Checks!$V$286)&amp;IF(Checks!$AC$286="","",IF(Checks!$V$286="","",CHAR(10))&amp;"N/A just.: "&amp;Checks!$AC$286)&amp;IF(Checks!$W$286="","",CHAR(10)&amp;"Batch: "&amp;Checks!$W$286)&amp;IF(AND(Checks!$X$286="",Checks!$Y$286=""),"",CHAR(10)&amp;"Exp: "&amp;Checks!$X$286&amp;"  /  Act: "&amp;Checks!$Y$286)</f>
        <v/>
      </c>
      <c r="F26" s="114" t="str">
        <f aca="false">IF(Checks!$Z$286="","","Evidence: "&amp;Checks!$Z$286)&amp;IF(Checks!$AA$286="","",IF(Checks!$Z$286="","",CHAR(10))&amp;"CA: "&amp;Checks!$AA$286)</f>
        <v/>
      </c>
      <c r="G26" s="114" t="str">
        <f aca="false">IF(ISNUMBER(Checks!$AD$286),TEXT(Checks!$AD$286,"DD-MMM-YY HH:MM")&amp;" "&amp;Checks!$P$286,"")&amp;IF(Checks!$AE$286="","",CHAR(10)&amp;"Verifier: "&amp;Checks!$AE$286)&amp;IF(Checks!$T$286="","",CHAR(10)&amp;"PIC: "&amp;Checks!$T$286)</f>
        <v/>
      </c>
      <c r="H26" s="115" t="str">
        <f aca="false">IF(Checks!$AH$286="","",Checks!$AH$286)</f>
        <v>OPEN</v>
      </c>
    </row>
    <row r="27" customFormat="false" ht="114" hidden="false" customHeight="true" outlineLevel="0" collapsed="false">
      <c r="A27" s="114" t="str">
        <f aca="false">Checks!$A$287&amp;CHAR(10)&amp;IF(Checks!$I$287="","",Checks!$I$287&amp;": ")&amp;Checks!$J$287</f>
        <v>F09-T7-05
ISOP: All latest applicable ISOP revisions communicated to caterer</v>
      </c>
      <c r="B27" s="114" t="str">
        <f aca="false">Checks!$K$287&amp;IF(Checks!$O$287="","",IF(Checks!$K$287="","",CHAR(10))&amp;"Note: "&amp;Checks!$O$287)</f>
        <v>List revision numbers in Result (see ISOP register)</v>
      </c>
      <c r="C27" s="114" t="str">
        <f aca="false">Checks!$N$287&amp;CHAR(10)&amp;IF(ISNUMBER(Checks!$R$287),TEXT(Checks!$R$287,"DD-MMM-YY HH:MM"),"")&amp;" "&amp;Checks!$P$287</f>
        <v>Required
04-Oct-26 13:05 HAN</v>
      </c>
      <c r="D27" s="114" t="str">
        <f aca="false">IF(Checks!$U$287="","",Checks!$U$287)&amp;IF(Checks!$AB$287="","",CHAR(10)&amp;"CA: "&amp;Checks!$AB$287)</f>
        <v/>
      </c>
      <c r="E27" s="114" t="str">
        <f aca="false">IF(Checks!$V$287="","",Checks!$V$287)&amp;IF(Checks!$AC$287="","",IF(Checks!$V$287="","",CHAR(10))&amp;"N/A just.: "&amp;Checks!$AC$287)&amp;IF(Checks!$W$287="","",CHAR(10)&amp;"Batch: "&amp;Checks!$W$287)&amp;IF(AND(Checks!$X$287="",Checks!$Y$287=""),"",CHAR(10)&amp;"Exp: "&amp;Checks!$X$287&amp;"  /  Act: "&amp;Checks!$Y$287)</f>
        <v/>
      </c>
      <c r="F27" s="114" t="str">
        <f aca="false">IF(Checks!$Z$287="","","Evidence: "&amp;Checks!$Z$287)&amp;IF(Checks!$AA$287="","",IF(Checks!$Z$287="","",CHAR(10))&amp;"CA: "&amp;Checks!$AA$287)</f>
        <v/>
      </c>
      <c r="G27" s="114" t="str">
        <f aca="false">IF(ISNUMBER(Checks!$AD$287),TEXT(Checks!$AD$287,"DD-MMM-YY HH:MM")&amp;" "&amp;Checks!$P$287,"")&amp;IF(Checks!$AE$287="","",CHAR(10)&amp;"Verifier: "&amp;Checks!$AE$287)&amp;IF(Checks!$T$287="","",CHAR(10)&amp;"PIC: "&amp;Checks!$T$287)</f>
        <v/>
      </c>
      <c r="H27" s="115" t="str">
        <f aca="false">IF(Checks!$AH$287="","",Checks!$AH$287)</f>
        <v>OPEN</v>
      </c>
    </row>
    <row r="28" customFormat="false" ht="114" hidden="false" customHeight="true" outlineLevel="0" collapsed="false">
      <c r="A28" s="114" t="str">
        <f aca="false">Checks!$A$288&amp;CHAR(10)&amp;IF(Checks!$I$288="","",Checks!$I$288&amp;": ")&amp;Checks!$J$288</f>
        <v>F09-T7-06
ISOP: Caterer acknowledgement of ISOP revisions recorded</v>
      </c>
      <c r="B28" s="114" t="str">
        <f aca="false">Checks!$K$288&amp;IF(Checks!$O$288="","",IF(Checks!$K$288="","",CHAR(10))&amp;"Note: "&amp;Checks!$O$288)</f>
        <v>Record acknowledgement ref in Evidence</v>
      </c>
      <c r="C28" s="114" t="str">
        <f aca="false">Checks!$N$288&amp;CHAR(10)&amp;IF(ISNUMBER(Checks!$R$288),TEXT(Checks!$R$288,"DD-MMM-YY HH:MM"),"")&amp;" "&amp;Checks!$P$288</f>
        <v>Required
04-Oct-26 13:05 HAN</v>
      </c>
      <c r="D28" s="114" t="str">
        <f aca="false">IF(Checks!$U$288="","",Checks!$U$288)&amp;IF(Checks!$AB$288="","",CHAR(10)&amp;"CA: "&amp;Checks!$AB$288)</f>
        <v/>
      </c>
      <c r="E28" s="114" t="str">
        <f aca="false">IF(Checks!$V$288="","",Checks!$V$288)&amp;IF(Checks!$AC$288="","",IF(Checks!$V$288="","",CHAR(10))&amp;"N/A just.: "&amp;Checks!$AC$288)&amp;IF(Checks!$W$288="","",CHAR(10)&amp;"Batch: "&amp;Checks!$W$288)&amp;IF(AND(Checks!$X$288="",Checks!$Y$288=""),"",CHAR(10)&amp;"Exp: "&amp;Checks!$X$288&amp;"  /  Act: "&amp;Checks!$Y$288)</f>
        <v/>
      </c>
      <c r="F28" s="114" t="str">
        <f aca="false">IF(Checks!$Z$288="","","Evidence: "&amp;Checks!$Z$288)&amp;IF(Checks!$AA$288="","",IF(Checks!$Z$288="","",CHAR(10))&amp;"CA: "&amp;Checks!$AA$288)</f>
        <v/>
      </c>
      <c r="G28" s="114" t="str">
        <f aca="false">IF(ISNUMBER(Checks!$AD$288),TEXT(Checks!$AD$288,"DD-MMM-YY HH:MM")&amp;" "&amp;Checks!$P$288,"")&amp;IF(Checks!$AE$288="","",CHAR(10)&amp;"Verifier: "&amp;Checks!$AE$288)&amp;IF(Checks!$T$288="","",CHAR(10)&amp;"PIC: "&amp;Checks!$T$288)</f>
        <v/>
      </c>
      <c r="H28" s="115" t="str">
        <f aca="false">IF(Checks!$AH$288="","",Checks!$AH$288)</f>
        <v>OPEN</v>
      </c>
    </row>
    <row r="29" customFormat="false" ht="114" hidden="false" customHeight="true" outlineLevel="0" collapsed="false">
      <c r="A29" s="114" t="str">
        <f aca="false">Checks!$A$289&amp;CHAR(10)&amp;IF(Checks!$I$289="","",Checks!$I$289&amp;": ")&amp;Checks!$J$289</f>
        <v>F09-T7-07
Documents: Galley loading diagram (GLD) received, revision recorded &amp; attached</v>
      </c>
      <c r="B29" s="114" t="str">
        <f aca="false">Checks!$K$289&amp;IF(Checks!$O$289="","",IF(Checks!$K$289="","",CHAR(10))&amp;"Note: "&amp;Checks!$O$289)</f>
        <v>Documents sheet row complete</v>
      </c>
      <c r="C29" s="114" t="str">
        <f aca="false">Checks!$N$289&amp;CHAR(10)&amp;IF(ISNUMBER(Checks!$R$289),TEXT(Checks!$R$289,"DD-MMM-YY HH:MM"),"")&amp;" "&amp;Checks!$P$289</f>
        <v>Required
04-Oct-26 13:05 HAN</v>
      </c>
      <c r="D29" s="114" t="str">
        <f aca="false">IF(Checks!$U$289="","",Checks!$U$289)&amp;IF(Checks!$AB$289="","",CHAR(10)&amp;"CA: "&amp;Checks!$AB$289)</f>
        <v/>
      </c>
      <c r="E29" s="114" t="str">
        <f aca="false">IF(Checks!$V$289="","",Checks!$V$289)&amp;IF(Checks!$AC$289="","",IF(Checks!$V$289="","",CHAR(10))&amp;"N/A just.: "&amp;Checks!$AC$289)&amp;IF(Checks!$W$289="","",CHAR(10)&amp;"Batch: "&amp;Checks!$W$289)&amp;IF(AND(Checks!$X$289="",Checks!$Y$289=""),"",CHAR(10)&amp;"Exp: "&amp;Checks!$X$289&amp;"  /  Act: "&amp;Checks!$Y$289)</f>
        <v/>
      </c>
      <c r="F29" s="114" t="str">
        <f aca="false">IF(Checks!$Z$289="","","Evidence: "&amp;Checks!$Z$289)&amp;IF(Checks!$AA$289="","",IF(Checks!$Z$289="","",CHAR(10))&amp;"CA: "&amp;Checks!$AA$289)</f>
        <v/>
      </c>
      <c r="G29" s="114" t="str">
        <f aca="false">IF(ISNUMBER(Checks!$AD$289),TEXT(Checks!$AD$289,"DD-MMM-YY HH:MM")&amp;" "&amp;Checks!$P$289,"")&amp;IF(Checks!$AE$289="","",CHAR(10)&amp;"Verifier: "&amp;Checks!$AE$289)&amp;IF(Checks!$T$289="","",CHAR(10)&amp;"PIC: "&amp;Checks!$T$289)</f>
        <v/>
      </c>
      <c r="H29" s="115" t="str">
        <f aca="false">IF(Checks!$AH$289="","",Checks!$AH$289)</f>
        <v>OPEN</v>
      </c>
    </row>
    <row r="30" customFormat="false" ht="114" hidden="false" customHeight="true" outlineLevel="0" collapsed="false">
      <c r="A30" s="114" t="str">
        <f aca="false">Checks!$A$290&amp;CHAR(10)&amp;IF(Checks!$I$290="","",Checks!$I$290&amp;": ")&amp;Checks!$J$290</f>
        <v>F09-T7-08
Documents: Menu checklist received, revision recorded &amp; attached</v>
      </c>
      <c r="B30" s="114" t="str">
        <f aca="false">Checks!$K$290&amp;IF(Checks!$O$290="","",IF(Checks!$K$290="","",CHAR(10))&amp;"Note: "&amp;Checks!$O$290)</f>
        <v>Documents sheet row complete</v>
      </c>
      <c r="C30" s="114" t="str">
        <f aca="false">Checks!$N$290&amp;CHAR(10)&amp;IF(ISNUMBER(Checks!$R$290),TEXT(Checks!$R$290,"DD-MMM-YY HH:MM"),"")&amp;" "&amp;Checks!$P$290</f>
        <v>Required
04-Oct-26 13:05 HAN</v>
      </c>
      <c r="D30" s="114" t="str">
        <f aca="false">IF(Checks!$U$290="","",Checks!$U$290)&amp;IF(Checks!$AB$290="","",CHAR(10)&amp;"CA: "&amp;Checks!$AB$290)</f>
        <v/>
      </c>
      <c r="E30" s="114" t="str">
        <f aca="false">IF(Checks!$V$290="","",Checks!$V$290)&amp;IF(Checks!$AC$290="","",IF(Checks!$V$290="","",CHAR(10))&amp;"N/A just.: "&amp;Checks!$AC$290)&amp;IF(Checks!$W$290="","",CHAR(10)&amp;"Batch: "&amp;Checks!$W$290)&amp;IF(AND(Checks!$X$290="",Checks!$Y$290=""),"",CHAR(10)&amp;"Exp: "&amp;Checks!$X$290&amp;"  /  Act: "&amp;Checks!$Y$290)</f>
        <v/>
      </c>
      <c r="F30" s="114" t="str">
        <f aca="false">IF(Checks!$Z$290="","","Evidence: "&amp;Checks!$Z$290)&amp;IF(Checks!$AA$290="","",IF(Checks!$Z$290="","",CHAR(10))&amp;"CA: "&amp;Checks!$AA$290)</f>
        <v/>
      </c>
      <c r="G30" s="114" t="str">
        <f aca="false">IF(ISNUMBER(Checks!$AD$290),TEXT(Checks!$AD$290,"DD-MMM-YY HH:MM")&amp;" "&amp;Checks!$P$290,"")&amp;IF(Checks!$AE$290="","",CHAR(10)&amp;"Verifier: "&amp;Checks!$AE$290)&amp;IF(Checks!$T$290="","",CHAR(10)&amp;"PIC: "&amp;Checks!$T$290)</f>
        <v/>
      </c>
      <c r="H30" s="115" t="str">
        <f aca="false">IF(Checks!$AH$290="","",Checks!$AH$290)</f>
        <v>OPEN</v>
      </c>
    </row>
    <row r="31" customFormat="false" ht="114" hidden="false" customHeight="true" outlineLevel="0" collapsed="false">
      <c r="A31" s="114" t="str">
        <f aca="false">Checks!$A$291&amp;CHAR(10)&amp;IF(Checks!$I$291="","",Checks!$I$291&amp;": ")&amp;Checks!$J$291</f>
        <v>F09-T7-09
Uplift plan: Uplift plan confirmed with caterer vs STD Uplift Information</v>
      </c>
      <c r="B31" s="114" t="str">
        <f aca="false">Checks!$K$291&amp;IF(Checks!$O$291="","",IF(Checks!$K$291="","",CHAR(10))&amp;"Note: "&amp;Checks!$O$291)</f>
        <v>Service: 1 Meal (Meal); meal uplift stn HAN (ref lists KUL/HAN)</v>
      </c>
      <c r="C31" s="114" t="str">
        <f aca="false">Checks!$N$291&amp;CHAR(10)&amp;IF(ISNUMBER(Checks!$R$291),TEXT(Checks!$R$291,"DD-MMM-YY HH:MM"),"")&amp;" "&amp;Checks!$P$291</f>
        <v>Required
04-Oct-26 13:05 HAN</v>
      </c>
      <c r="D31" s="114" t="str">
        <f aca="false">IF(Checks!$U$291="","",Checks!$U$291)&amp;IF(Checks!$AB$291="","",CHAR(10)&amp;"CA: "&amp;Checks!$AB$291)</f>
        <v/>
      </c>
      <c r="E31" s="114" t="str">
        <f aca="false">IF(Checks!$V$291="","",Checks!$V$291)&amp;IF(Checks!$AC$291="","",IF(Checks!$V$291="","",CHAR(10))&amp;"N/A just.: "&amp;Checks!$AC$291)&amp;IF(Checks!$W$291="","",CHAR(10)&amp;"Batch: "&amp;Checks!$W$291)&amp;IF(AND(Checks!$X$291="",Checks!$Y$291=""),"",CHAR(10)&amp;"Exp: "&amp;Checks!$X$291&amp;"  /  Act: "&amp;Checks!$Y$291)</f>
        <v/>
      </c>
      <c r="F31" s="114" t="str">
        <f aca="false">IF(Checks!$Z$291="","","Evidence: "&amp;Checks!$Z$291)&amp;IF(Checks!$AA$291="","",IF(Checks!$Z$291="","",CHAR(10))&amp;"CA: "&amp;Checks!$AA$291)</f>
        <v/>
      </c>
      <c r="G31" s="114" t="str">
        <f aca="false">IF(ISNUMBER(Checks!$AD$291),TEXT(Checks!$AD$291,"DD-MMM-YY HH:MM")&amp;" "&amp;Checks!$P$291,"")&amp;IF(Checks!$AE$291="","",CHAR(10)&amp;"Verifier: "&amp;Checks!$AE$291)&amp;IF(Checks!$T$291="","",CHAR(10)&amp;"PIC: "&amp;Checks!$T$291)</f>
        <v/>
      </c>
      <c r="H31" s="115" t="str">
        <f aca="false">IF(Checks!$AH$291="","",Checks!$AH$291)</f>
        <v>OPEN</v>
      </c>
    </row>
    <row r="32" customFormat="false" ht="25.5" hidden="false" customHeight="true" outlineLevel="0" collapsed="false">
      <c r="A32" s="113" t="str">
        <f aca="false">"T-24H — Production batch sensory  |  Due "&amp;IF(ISNUMBER(Flights!$AH$13),TEXT(Flights!$AH$13,"DD-MMM-YY HH:MM"),"")&amp;" "&amp;Flights!$V$13&amp;" (meal uplift stn)"&amp;" (rows with another due show their own)  |  Complete "&amp;IF(ISNUMBER(Flights!$AK$13),TEXT(Flights!$AK$13,"0%"),Flights!$AK$13)&amp;"  |  1 lines"</f>
        <v>T-24H — Production batch sensory  |  Due 10-Oct-26 13:05 HAN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Checks!$A$292&amp;CHAR(10)&amp;IF(Checks!$I$292="","",Checks!$I$292&amp;": ")&amp;Checks!$J$292</f>
        <v>F09-T24-01
Meal: Sensory test repeated on ACTUAL production batch for this flight</v>
      </c>
      <c r="B33" s="114" t="str">
        <f aca="false">Checks!$K$292&amp;IF(Checks!$O$292="","",IF(Checks!$K$292="","",CHAR(10))&amp;"Note: "&amp;Checks!$O$292)</f>
        <v>Batch ID, result, CA and acceptance mandatory</v>
      </c>
      <c r="C33" s="114" t="str">
        <f aca="false">Checks!$N$292&amp;CHAR(10)&amp;IF(ISNUMBER(Checks!$R$292),TEXT(Checks!$R$292,"DD-MMM-YY HH:MM"),"")&amp;" "&amp;Checks!$P$292</f>
        <v>Required
10-Oct-26 13:05 HAN</v>
      </c>
      <c r="D33" s="114" t="str">
        <f aca="false">IF(Checks!$U$292="","",Checks!$U$292)&amp;IF(Checks!$AB$292="","",CHAR(10)&amp;"CA: "&amp;Checks!$AB$292)</f>
        <v/>
      </c>
      <c r="E33" s="114" t="str">
        <f aca="false">IF(Checks!$V$292="","",Checks!$V$292)&amp;IF(Checks!$AC$292="","",IF(Checks!$V$292="","",CHAR(10))&amp;"N/A just.: "&amp;Checks!$AC$292)&amp;IF(Checks!$W$292="","",CHAR(10)&amp;"Batch: "&amp;Checks!$W$292)&amp;IF(AND(Checks!$X$292="",Checks!$Y$292=""),"",CHAR(10)&amp;"Exp: "&amp;Checks!$X$292&amp;"  /  Act: "&amp;Checks!$Y$292)</f>
        <v/>
      </c>
      <c r="F33" s="114" t="str">
        <f aca="false">IF(Checks!$Z$292="","","Evidence: "&amp;Checks!$Z$292)&amp;IF(Checks!$AA$292="","",IF(Checks!$Z$292="","",CHAR(10))&amp;"CA: "&amp;Checks!$AA$292)</f>
        <v/>
      </c>
      <c r="G33" s="114" t="str">
        <f aca="false">IF(ISNUMBER(Checks!$AD$292),TEXT(Checks!$AD$292,"DD-MMM-YY HH:MM")&amp;" "&amp;Checks!$P$292,"")&amp;IF(Checks!$AE$292="","",CHAR(10)&amp;"Verifier: "&amp;Checks!$AE$292)&amp;IF(Checks!$T$292="","",CHAR(10)&amp;"PIC: "&amp;Checks!$T$292)</f>
        <v/>
      </c>
      <c r="H33" s="115" t="str">
        <f aca="false">IF(Checks!$AH$292="","",Checks!$AH$292)</f>
        <v>OPEN</v>
      </c>
    </row>
    <row r="34" customFormat="false" ht="25.5" hidden="false" customHeight="true" outlineLevel="0" collapsed="false">
      <c r="A34" s="113" t="str">
        <f aca="false">"T-12H PREP — Preparation check at caterer (does NOT confirm loading)  |  Due "&amp;IF(ISNUMBER(Flights!$AI$13),TEXT(Flights!$AI$13,"DD-MMM-YY HH:MM"),"")&amp;" "&amp;Flights!$V$13&amp;" (meal uplift stn)"&amp;" (rows with another due show their own)  |  Complete "&amp;IF(ISNUMBER(Flights!$AL$13),TEXT(Flights!$AL$13,"0%"),Flights!$AL$13)&amp;"  |  17 lines"</f>
        <v>T-12H PREP — Preparation check at caterer (does NOT confirm loading)  |  Due 11-Oct-26 01:05 HAN (meal uplift stn) (rows with another due show their own)  |  Complete 0%  |  17 lines</v>
      </c>
      <c r="B34" s="113"/>
      <c r="C34" s="113"/>
      <c r="D34" s="113"/>
      <c r="E34" s="113"/>
      <c r="F34" s="113"/>
      <c r="G34" s="113"/>
      <c r="H34" s="113"/>
    </row>
    <row r="35" customFormat="false" ht="114" hidden="false" customHeight="true" outlineLevel="0" collapsed="false">
      <c r="A35" s="114" t="str">
        <f aca="false">Checks!$A$293&amp;CHAR(10)&amp;IF(Checks!$I$293="","",Checks!$I$293&amp;": ")&amp;Checks!$J$293</f>
        <v>F09-T12-01
Meal: Meal quality vs menu checklist</v>
      </c>
      <c r="B35" s="114" t="str">
        <f aca="false">Checks!$K$293&amp;IF(Checks!$O$293="","",IF(Checks!$K$293="","",CHAR(10))&amp;"Note: "&amp;Checks!$O$293)</f>
        <v>Note: Preparation check at caterer - does NOT confirm loading.</v>
      </c>
      <c r="C35" s="114" t="str">
        <f aca="false">Checks!$N$293&amp;CHAR(10)&amp;IF(ISNUMBER(Checks!$R$293),TEXT(Checks!$R$293,"DD-MMM-YY HH:MM"),"")&amp;" "&amp;Checks!$P$293</f>
        <v>Required
11-Oct-26 01:05 HAN</v>
      </c>
      <c r="D35" s="114" t="str">
        <f aca="false">IF(Checks!$U$293="","",Checks!$U$293)&amp;IF(Checks!$AB$293="","",CHAR(10)&amp;"CA: "&amp;Checks!$AB$293)</f>
        <v/>
      </c>
      <c r="E35" s="114" t="str">
        <f aca="false">IF(Checks!$V$293="","",Checks!$V$293)&amp;IF(Checks!$AC$293="","",IF(Checks!$V$293="","",CHAR(10))&amp;"N/A just.: "&amp;Checks!$AC$293)&amp;IF(Checks!$W$293="","",CHAR(10)&amp;"Batch: "&amp;Checks!$W$293)&amp;IF(AND(Checks!$X$293="",Checks!$Y$293=""),"",CHAR(10)&amp;"Exp: "&amp;Checks!$X$293&amp;"  /  Act: "&amp;Checks!$Y$293)</f>
        <v/>
      </c>
      <c r="F35" s="114" t="str">
        <f aca="false">IF(Checks!$Z$293="","","Evidence: "&amp;Checks!$Z$293)&amp;IF(Checks!$AA$293="","",IF(Checks!$Z$293="","",CHAR(10))&amp;"CA: "&amp;Checks!$AA$293)</f>
        <v/>
      </c>
      <c r="G35" s="114" t="str">
        <f aca="false">IF(ISNUMBER(Checks!$AD$293),TEXT(Checks!$AD$293,"DD-MMM-YY HH:MM")&amp;" "&amp;Checks!$P$293,"")&amp;IF(Checks!$AE$293="","",CHAR(10)&amp;"Verifier: "&amp;Checks!$AE$293)&amp;IF(Checks!$T$293="","",CHAR(10)&amp;"PIC: "&amp;Checks!$T$293)</f>
        <v/>
      </c>
      <c r="H35" s="115" t="str">
        <f aca="false">IF(Checks!$AH$293="","",Checks!$AH$293)</f>
        <v>OPEN</v>
      </c>
    </row>
    <row r="36" customFormat="false" ht="114" hidden="false" customHeight="true" outlineLevel="0" collapsed="false">
      <c r="A36" s="114" t="str">
        <f aca="false">Checks!$A$294&amp;CHAR(10)&amp;IF(Checks!$I$294="","",Checks!$I$294&amp;": ")&amp;Checks!$J$294</f>
        <v>F09-T12-02
Meal: Meal quantities vs menu checklist</v>
      </c>
      <c r="B36" s="114" t="str">
        <f aca="false">Checks!$K$294&amp;IF(Checks!$O$294="","",IF(Checks!$K$294="","",CHAR(10))&amp;"Note: "&amp;Checks!$O$294)</f>
        <v>Enter expected &amp; actual
Note: Preparation check at caterer - does NOT confirm loading.</v>
      </c>
      <c r="C36" s="114" t="str">
        <f aca="false">Checks!$N$294&amp;CHAR(10)&amp;IF(ISNUMBER(Checks!$R$294),TEXT(Checks!$R$294,"DD-MMM-YY HH:MM"),"")&amp;" "&amp;Checks!$P$294</f>
        <v>Required
11-Oct-26 01:05 HAN</v>
      </c>
      <c r="D36" s="114" t="str">
        <f aca="false">IF(Checks!$U$294="","",Checks!$U$294)&amp;IF(Checks!$AB$294="","",CHAR(10)&amp;"CA: "&amp;Checks!$AB$294)</f>
        <v/>
      </c>
      <c r="E36" s="114" t="str">
        <f aca="false">IF(Checks!$V$294="","",Checks!$V$294)&amp;IF(Checks!$AC$294="","",IF(Checks!$V$294="","",CHAR(10))&amp;"N/A just.: "&amp;Checks!$AC$294)&amp;IF(Checks!$W$294="","",CHAR(10)&amp;"Batch: "&amp;Checks!$W$294)&amp;IF(AND(Checks!$X$294="",Checks!$Y$294=""),"",CHAR(10)&amp;"Exp: "&amp;Checks!$X$294&amp;"  /  Act: "&amp;Checks!$Y$294)</f>
        <v/>
      </c>
      <c r="F36" s="114" t="str">
        <f aca="false">IF(Checks!$Z$294="","","Evidence: "&amp;Checks!$Z$294)&amp;IF(Checks!$AA$294="","",IF(Checks!$Z$294="","",CHAR(10))&amp;"CA: "&amp;Checks!$AA$294)</f>
        <v/>
      </c>
      <c r="G36" s="114" t="str">
        <f aca="false">IF(ISNUMBER(Checks!$AD$294),TEXT(Checks!$AD$294,"DD-MMM-YY HH:MM")&amp;" "&amp;Checks!$P$294,"")&amp;IF(Checks!$AE$294="","",CHAR(10)&amp;"Verifier: "&amp;Checks!$AE$294)&amp;IF(Checks!$T$294="","",CHAR(10)&amp;"PIC: "&amp;Checks!$T$294)</f>
        <v/>
      </c>
      <c r="H36" s="115" t="str">
        <f aca="false">IF(Checks!$AH$294="","",Checks!$AH$294)</f>
        <v>OPEN</v>
      </c>
    </row>
    <row r="37" customFormat="false" ht="114" hidden="false" customHeight="true" outlineLevel="0" collapsed="false">
      <c r="A37" s="114" t="str">
        <f aca="false">Checks!$A$295&amp;CHAR(10)&amp;IF(Checks!$I$295="","",Checks!$I$295&amp;": ")&amp;Checks!$J$295</f>
        <v>F09-T12-03
Equipment: Equipment cleanliness vs GLD</v>
      </c>
      <c r="B37" s="114" t="str">
        <f aca="false">Checks!$K$295&amp;IF(Checks!$O$295="","",IF(Checks!$K$295="","",CHAR(10))&amp;"Note: "&amp;Checks!$O$295)</f>
        <v>Note: Preparation check at caterer - does NOT confirm loading.</v>
      </c>
      <c r="C37" s="114" t="str">
        <f aca="false">Checks!$N$295&amp;CHAR(10)&amp;IF(ISNUMBER(Checks!$R$295),TEXT(Checks!$R$295,"DD-MMM-YY HH:MM"),"")&amp;" "&amp;Checks!$P$295</f>
        <v>Required
11-Oct-26 01:05 HAN</v>
      </c>
      <c r="D37" s="114" t="str">
        <f aca="false">IF(Checks!$U$295="","",Checks!$U$295)&amp;IF(Checks!$AB$295="","",CHAR(10)&amp;"CA: "&amp;Checks!$AB$295)</f>
        <v/>
      </c>
      <c r="E37" s="114" t="str">
        <f aca="false">IF(Checks!$V$295="","",Checks!$V$295)&amp;IF(Checks!$AC$295="","",IF(Checks!$V$295="","",CHAR(10))&amp;"N/A just.: "&amp;Checks!$AC$295)&amp;IF(Checks!$W$295="","",CHAR(10)&amp;"Batch: "&amp;Checks!$W$295)&amp;IF(AND(Checks!$X$295="",Checks!$Y$295=""),"",CHAR(10)&amp;"Exp: "&amp;Checks!$X$295&amp;"  /  Act: "&amp;Checks!$Y$295)</f>
        <v/>
      </c>
      <c r="F37" s="114" t="str">
        <f aca="false">IF(Checks!$Z$295="","","Evidence: "&amp;Checks!$Z$295)&amp;IF(Checks!$AA$295="","",IF(Checks!$Z$295="","",CHAR(10))&amp;"CA: "&amp;Checks!$AA$295)</f>
        <v/>
      </c>
      <c r="G37" s="114" t="str">
        <f aca="false">IF(ISNUMBER(Checks!$AD$295),TEXT(Checks!$AD$295,"DD-MMM-YY HH:MM")&amp;" "&amp;Checks!$P$295,"")&amp;IF(Checks!$AE$295="","",CHAR(10)&amp;"Verifier: "&amp;Checks!$AE$295)&amp;IF(Checks!$T$295="","",CHAR(10)&amp;"PIC: "&amp;Checks!$T$295)</f>
        <v/>
      </c>
      <c r="H37" s="115" t="str">
        <f aca="false">IF(Checks!$AH$295="","",Checks!$AH$295)</f>
        <v>OPEN</v>
      </c>
    </row>
    <row r="38" customFormat="false" ht="114" hidden="false" customHeight="true" outlineLevel="0" collapsed="false">
      <c r="A38" s="114" t="str">
        <f aca="false">Checks!$A$296&amp;CHAR(10)&amp;IF(Checks!$I$296="","",Checks!$I$296&amp;": ")&amp;Checks!$J$296</f>
        <v>F09-T12-04
Equipment: Equipment presentation vs GLD</v>
      </c>
      <c r="B38" s="114" t="str">
        <f aca="false">Checks!$K$296&amp;IF(Checks!$O$296="","",IF(Checks!$K$296="","",CHAR(10))&amp;"Note: "&amp;Checks!$O$296)</f>
        <v>Note: Preparation check at caterer - does NOT confirm loading.</v>
      </c>
      <c r="C38" s="114" t="str">
        <f aca="false">Checks!$N$296&amp;CHAR(10)&amp;IF(ISNUMBER(Checks!$R$296),TEXT(Checks!$R$296,"DD-MMM-YY HH:MM"),"")&amp;" "&amp;Checks!$P$296</f>
        <v>Required
11-Oct-26 01:05 HAN</v>
      </c>
      <c r="D38" s="114" t="str">
        <f aca="false">IF(Checks!$U$296="","",Checks!$U$296)&amp;IF(Checks!$AB$296="","",CHAR(10)&amp;"CA: "&amp;Checks!$AB$296)</f>
        <v/>
      </c>
      <c r="E38" s="114" t="str">
        <f aca="false">IF(Checks!$V$296="","",Checks!$V$296)&amp;IF(Checks!$AC$296="","",IF(Checks!$V$296="","",CHAR(10))&amp;"N/A just.: "&amp;Checks!$AC$296)&amp;IF(Checks!$W$296="","",CHAR(10)&amp;"Batch: "&amp;Checks!$W$296)&amp;IF(AND(Checks!$X$296="",Checks!$Y$296=""),"",CHAR(10)&amp;"Exp: "&amp;Checks!$X$296&amp;"  /  Act: "&amp;Checks!$Y$296)</f>
        <v/>
      </c>
      <c r="F38" s="114" t="str">
        <f aca="false">IF(Checks!$Z$296="","","Evidence: "&amp;Checks!$Z$296)&amp;IF(Checks!$AA$296="","",IF(Checks!$Z$296="","",CHAR(10))&amp;"CA: "&amp;Checks!$AA$296)</f>
        <v/>
      </c>
      <c r="G38" s="114" t="str">
        <f aca="false">IF(ISNUMBER(Checks!$AD$296),TEXT(Checks!$AD$296,"DD-MMM-YY HH:MM")&amp;" "&amp;Checks!$P$296,"")&amp;IF(Checks!$AE$296="","",CHAR(10)&amp;"Verifier: "&amp;Checks!$AE$296)&amp;IF(Checks!$T$296="","",CHAR(10)&amp;"PIC: "&amp;Checks!$T$296)</f>
        <v/>
      </c>
      <c r="H38" s="115" t="str">
        <f aca="false">IF(Checks!$AH$296="","",Checks!$AH$296)</f>
        <v>OPEN</v>
      </c>
    </row>
    <row r="39" customFormat="false" ht="114" hidden="false" customHeight="true" outlineLevel="0" collapsed="false">
      <c r="A39" s="114" t="str">
        <f aca="false">Checks!$A$297&amp;CHAR(10)&amp;IF(Checks!$I$297="","",Checks!$I$297&amp;": ")&amp;Checks!$J$297</f>
        <v>F09-T12-05
Equipment: Equipment serviceability vs GLD</v>
      </c>
      <c r="B39" s="114" t="str">
        <f aca="false">Checks!$K$297&amp;IF(Checks!$O$297="","",IF(Checks!$K$297="","",CHAR(10))&amp;"Note: "&amp;Checks!$O$297)</f>
        <v>Note: Preparation check at caterer - does NOT confirm loading.</v>
      </c>
      <c r="C39" s="114" t="str">
        <f aca="false">Checks!$N$297&amp;CHAR(10)&amp;IF(ISNUMBER(Checks!$R$297),TEXT(Checks!$R$297,"DD-MMM-YY HH:MM"),"")&amp;" "&amp;Checks!$P$297</f>
        <v>Required
11-Oct-26 01:05 HAN</v>
      </c>
      <c r="D39" s="114" t="str">
        <f aca="false">IF(Checks!$U$297="","",Checks!$U$297)&amp;IF(Checks!$AB$297="","",CHAR(10)&amp;"CA: "&amp;Checks!$AB$297)</f>
        <v/>
      </c>
      <c r="E39" s="114" t="str">
        <f aca="false">IF(Checks!$V$297="","",Checks!$V$297)&amp;IF(Checks!$AC$297="","",IF(Checks!$V$297="","",CHAR(10))&amp;"N/A just.: "&amp;Checks!$AC$297)&amp;IF(Checks!$W$297="","",CHAR(10)&amp;"Batch: "&amp;Checks!$W$297)&amp;IF(AND(Checks!$X$297="",Checks!$Y$297=""),"",CHAR(10)&amp;"Exp: "&amp;Checks!$X$297&amp;"  /  Act: "&amp;Checks!$Y$297)</f>
        <v/>
      </c>
      <c r="F39" s="114" t="str">
        <f aca="false">IF(Checks!$Z$297="","","Evidence: "&amp;Checks!$Z$297)&amp;IF(Checks!$AA$297="","",IF(Checks!$Z$297="","",CHAR(10))&amp;"CA: "&amp;Checks!$AA$297)</f>
        <v/>
      </c>
      <c r="G39" s="114" t="str">
        <f aca="false">IF(ISNUMBER(Checks!$AD$297),TEXT(Checks!$AD$297,"DD-MMM-YY HH:MM")&amp;" "&amp;Checks!$P$297,"")&amp;IF(Checks!$AE$297="","",CHAR(10)&amp;"Verifier: "&amp;Checks!$AE$297)&amp;IF(Checks!$T$297="","",CHAR(10)&amp;"PIC: "&amp;Checks!$T$297)</f>
        <v/>
      </c>
      <c r="H39" s="115" t="str">
        <f aca="false">IF(Checks!$AH$297="","",Checks!$AH$297)</f>
        <v>OPEN</v>
      </c>
    </row>
    <row r="40" customFormat="false" ht="190.5" hidden="false" customHeight="true" outlineLevel="0" collapsed="false">
      <c r="A40" s="114" t="str">
        <f aca="false">Checks!$A$298&amp;CHAR(10)&amp;IF(Checks!$I$298="","",Checks!$I$298&amp;": ")&amp;Checks!$J$298</f>
        <v>F09-T12-06
Equipment: Equipment quantities vs GLD</v>
      </c>
      <c r="B40" s="114" t="str">
        <f aca="false">SUBSTITUTE(Checks!$K$298&amp;IF(Checks!$O$298="","",IF(Checks!$K$298="","",CHAR(10))&amp;"Note: "&amp;Checks!$O$298),"AIRCRAFT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Checks!$N$298&amp;CHAR(10)&amp;IF(ISNUMBER(Checks!$R$298),TEXT(Checks!$R$298,"DD-MMM-YY HH:MM"),"")&amp;" "&amp;Checks!$P$298</f>
        <v>Required
11-Oct-26 01:05 HAN</v>
      </c>
      <c r="D40" s="114" t="str">
        <f aca="false">IF(Checks!$U$298="","",Checks!$U$298)&amp;IF(Checks!$AB$298="","",CHAR(10)&amp;"CA: "&amp;Checks!$AB$298)</f>
        <v/>
      </c>
      <c r="E40" s="114" t="str">
        <f aca="false">IF(Checks!$V$298="","",Checks!$V$298)&amp;IF(Checks!$AC$298="","",IF(Checks!$V$298="","",CHAR(10))&amp;"N/A just.: "&amp;Checks!$AC$298)&amp;IF(Checks!$W$298="","",CHAR(10)&amp;"Batch: "&amp;Checks!$W$298)&amp;IF(AND(Checks!$X$298="",Checks!$Y$298=""),"",CHAR(10)&amp;"Exp: "&amp;Checks!$X$298&amp;"  /  Act: "&amp;Checks!$Y$298)</f>
        <v/>
      </c>
      <c r="F40" s="114" t="str">
        <f aca="false">IF(Checks!$Z$298="","","Evidence: "&amp;Checks!$Z$298)&amp;IF(Checks!$AA$298="","",IF(Checks!$Z$298="","",CHAR(10))&amp;"CA: "&amp;Checks!$AA$298)</f>
        <v/>
      </c>
      <c r="G40" s="114" t="str">
        <f aca="false">IF(ISNUMBER(Checks!$AD$298),TEXT(Checks!$AD$298,"DD-MMM-YY HH:MM")&amp;" "&amp;Checks!$P$298,"")&amp;IF(Checks!$AE$298="","",CHAR(10)&amp;"Verifier: "&amp;Checks!$AE$298)&amp;IF(Checks!$T$298="","",CHAR(10)&amp;"PIC: "&amp;Checks!$T$298)</f>
        <v/>
      </c>
      <c r="H40" s="115" t="str">
        <f aca="false">IF(Checks!$AH$298="","",Checks!$AH$298)</f>
        <v>OPEN</v>
      </c>
    </row>
    <row r="41" customFormat="false" ht="114" hidden="false" customHeight="true" outlineLevel="0" collapsed="false">
      <c r="A41" s="114" t="str">
        <f aca="false">Checks!$A$299&amp;CHAR(10)&amp;IF(Checks!$I$299="","",Checks!$I$299&amp;": ")&amp;Checks!$J$299</f>
        <v>F09-T12-07
Equipment: Loading positions planned vs GLD</v>
      </c>
      <c r="B41" s="114" t="str">
        <f aca="false">Checks!$K$299&amp;IF(Checks!$O$299="","",IF(Checks!$K$299="","",CHAR(10))&amp;"Note: "&amp;Checks!$O$299)</f>
        <v>Note: Preparation check at caterer - does NOT confirm loading.</v>
      </c>
      <c r="C41" s="114" t="str">
        <f aca="false">Checks!$N$299&amp;CHAR(10)&amp;IF(ISNUMBER(Checks!$R$299),TEXT(Checks!$R$299,"DD-MMM-YY HH:MM"),"")&amp;" "&amp;Checks!$P$299</f>
        <v>Required
11-Oct-26 01:05 HAN</v>
      </c>
      <c r="D41" s="114" t="str">
        <f aca="false">IF(Checks!$U$299="","",Checks!$U$299)&amp;IF(Checks!$AB$299="","",CHAR(10)&amp;"CA: "&amp;Checks!$AB$299)</f>
        <v/>
      </c>
      <c r="E41" s="114" t="str">
        <f aca="false">IF(Checks!$V$299="","",Checks!$V$299)&amp;IF(Checks!$AC$299="","",IF(Checks!$V$299="","",CHAR(10))&amp;"N/A just.: "&amp;Checks!$AC$299)&amp;IF(Checks!$W$299="","",CHAR(10)&amp;"Batch: "&amp;Checks!$W$299)&amp;IF(AND(Checks!$X$299="",Checks!$Y$299=""),"",CHAR(10)&amp;"Exp: "&amp;Checks!$X$299&amp;"  /  Act: "&amp;Checks!$Y$299)</f>
        <v/>
      </c>
      <c r="F41" s="114" t="str">
        <f aca="false">IF(Checks!$Z$299="","","Evidence: "&amp;Checks!$Z$299)&amp;IF(Checks!$AA$299="","",IF(Checks!$Z$299="","",CHAR(10))&amp;"CA: "&amp;Checks!$AA$299)</f>
        <v/>
      </c>
      <c r="G41" s="114" t="str">
        <f aca="false">IF(ISNUMBER(Checks!$AD$299),TEXT(Checks!$AD$299,"DD-MMM-YY HH:MM")&amp;" "&amp;Checks!$P$299,"")&amp;IF(Checks!$AE$299="","",CHAR(10)&amp;"Verifier: "&amp;Checks!$AE$299)&amp;IF(Checks!$T$299="","",CHAR(10)&amp;"PIC: "&amp;Checks!$T$299)</f>
        <v/>
      </c>
      <c r="H41" s="115" t="str">
        <f aca="false">IF(Checks!$AH$299="","",Checks!$AH$299)</f>
        <v>OPEN</v>
      </c>
    </row>
    <row r="42" customFormat="false" ht="168.75" hidden="false" customHeight="true" outlineLevel="0" collapsed="false">
      <c r="A42" s="114" t="str">
        <f aca="false">Checks!$A$300&amp;CHAR(10)&amp;IF(Checks!$I$300="","",Checks!$I$300&amp;": ")&amp;Checks!$J$300</f>
        <v>F09-T12-08
Amenities: Disposable slippers in DAM cart (BC, on request) - prepared</v>
      </c>
      <c r="B42" s="114" t="str">
        <f aca="false">Checks!$K$300&amp;IF(Checks!$O$300="","",IF(Checks!$K$300="","",CHAR(10))&amp;"Note: "&amp;Checks!$O$300)</f>
        <v>Available in DAM cart on request basis
Note: Sector has no BC slippers; note C83: disposable slipper available in DAM cart (on request basis). Reference gives no uplift stn for this item: preparation checked at the meal uplift stn (HAN) - confirm with caterer.</v>
      </c>
      <c r="C42" s="114" t="str">
        <f aca="false">Checks!$N$300&amp;CHAR(10)&amp;IF(ISNUMBER(Checks!$R$300),TEXT(Checks!$R$300,"DD-MMM-YY HH:MM"),"")&amp;" "&amp;Checks!$P$300</f>
        <v>Required
11-Oct-26 01:05 HAN</v>
      </c>
      <c r="D42" s="114" t="str">
        <f aca="false">IF(Checks!$U$300="","",Checks!$U$300)&amp;IF(Checks!$AB$300="","",CHAR(10)&amp;"CA: "&amp;Checks!$AB$300)</f>
        <v/>
      </c>
      <c r="E42" s="114" t="str">
        <f aca="false">IF(Checks!$V$300="","",Checks!$V$300)&amp;IF(Checks!$AC$300="","",IF(Checks!$V$300="","",CHAR(10))&amp;"N/A just.: "&amp;Checks!$AC$300)&amp;IF(Checks!$W$300="","",CHAR(10)&amp;"Batch: "&amp;Checks!$W$300)&amp;IF(AND(Checks!$X$300="",Checks!$Y$300=""),"",CHAR(10)&amp;"Exp: "&amp;Checks!$X$300&amp;"  /  Act: "&amp;Checks!$Y$300)</f>
        <v/>
      </c>
      <c r="F42" s="114" t="str">
        <f aca="false">IF(Checks!$Z$300="","","Evidence: "&amp;Checks!$Z$300)&amp;IF(Checks!$AA$300="","",IF(Checks!$Z$300="","",CHAR(10))&amp;"CA: "&amp;Checks!$AA$300)</f>
        <v/>
      </c>
      <c r="G42" s="114" t="str">
        <f aca="false">IF(ISNUMBER(Checks!$AD$300),TEXT(Checks!$AD$300,"DD-MMM-YY HH:MM")&amp;" "&amp;Checks!$P$300,"")&amp;IF(Checks!$AE$300="","",CHAR(10)&amp;"Verifier: "&amp;Checks!$AE$300)&amp;IF(Checks!$T$300="","",CHAR(10)&amp;"PIC: "&amp;Checks!$T$300)</f>
        <v/>
      </c>
      <c r="H42" s="115" t="str">
        <f aca="false">IF(Checks!$AH$300="","",Checks!$AH$300)</f>
        <v>OPEN</v>
      </c>
    </row>
    <row r="43" customFormat="false" ht="114" hidden="false" customHeight="true" outlineLevel="0" collapsed="false">
      <c r="A43" s="114" t="str">
        <f aca="false">Checks!$A$301&amp;CHAR(10)&amp;IF(Checks!$I$301="","",Checks!$I$301&amp;": ")&amp;Checks!$J$301</f>
        <v>F09-T12-09
F&amp;B Linen: Towel - prepared</v>
      </c>
      <c r="B43" s="114" t="str">
        <f aca="false">Checks!$K$301&amp;IF(Checks!$O$301="","",IF(Checks!$K$301="","",CHAR(10))&amp;"Note: "&amp;Checks!$O$301)</f>
        <v>Available (ticked in reference)
Note: Reference gives no uplift stn for this item: preparation checked at the meal uplift stn (HAN) - confirm with caterer.</v>
      </c>
      <c r="C43" s="114" t="str">
        <f aca="false">Checks!$N$301&amp;CHAR(10)&amp;IF(ISNUMBER(Checks!$R$301),TEXT(Checks!$R$301,"DD-MMM-YY HH:MM"),"")&amp;" "&amp;Checks!$P$301</f>
        <v>Required
11-Oct-26 01:05 HAN</v>
      </c>
      <c r="D43" s="114" t="str">
        <f aca="false">IF(Checks!$U$301="","",Checks!$U$301)&amp;IF(Checks!$AB$301="","",CHAR(10)&amp;"CA: "&amp;Checks!$AB$301)</f>
        <v/>
      </c>
      <c r="E43" s="114" t="str">
        <f aca="false">IF(Checks!$V$301="","",Checks!$V$301)&amp;IF(Checks!$AC$301="","",IF(Checks!$V$301="","",CHAR(10))&amp;"N/A just.: "&amp;Checks!$AC$301)&amp;IF(Checks!$W$301="","",CHAR(10)&amp;"Batch: "&amp;Checks!$W$301)&amp;IF(AND(Checks!$X$301="",Checks!$Y$301=""),"",CHAR(10)&amp;"Exp: "&amp;Checks!$X$301&amp;"  /  Act: "&amp;Checks!$Y$301)</f>
        <v/>
      </c>
      <c r="F43" s="114" t="str">
        <f aca="false">IF(Checks!$Z$301="","","Evidence: "&amp;Checks!$Z$301)&amp;IF(Checks!$AA$301="","",IF(Checks!$Z$301="","",CHAR(10))&amp;"CA: "&amp;Checks!$AA$301)</f>
        <v/>
      </c>
      <c r="G43" s="114" t="str">
        <f aca="false">IF(ISNUMBER(Checks!$AD$301),TEXT(Checks!$AD$301,"DD-MMM-YY HH:MM")&amp;" "&amp;Checks!$P$301,"")&amp;IF(Checks!$AE$301="","",CHAR(10)&amp;"Verifier: "&amp;Checks!$AE$301)&amp;IF(Checks!$T$301="","",CHAR(10)&amp;"PIC: "&amp;Checks!$T$301)</f>
        <v/>
      </c>
      <c r="H43" s="115" t="str">
        <f aca="false">IF(Checks!$AH$301="","",Checks!$AH$301)</f>
        <v>OPEN</v>
      </c>
    </row>
    <row r="44" customFormat="false" ht="114" hidden="false" customHeight="true" outlineLevel="0" collapsed="false">
      <c r="A44" s="114" t="str">
        <f aca="false">Checks!$A$302&amp;CHAR(10)&amp;IF(Checks!$I$302="","",Checks!$I$302&amp;": ")&amp;Checks!$J$302</f>
        <v>F09-T12-10
F&amp;B Linen: Tray cloth - prepared</v>
      </c>
      <c r="B44" s="114" t="str">
        <f aca="false">Checks!$K$302&amp;IF(Checks!$O$302="","",IF(Checks!$K$302="","",CHAR(10))&amp;"Note: "&amp;Checks!$O$302)</f>
        <v>Available (ticked in reference)
Note: Reference gives no uplift stn for this item: preparation checked at the meal uplift stn (HAN) - confirm with caterer.</v>
      </c>
      <c r="C44" s="114" t="str">
        <f aca="false">Checks!$N$302&amp;CHAR(10)&amp;IF(ISNUMBER(Checks!$R$302),TEXT(Checks!$R$302,"DD-MMM-YY HH:MM"),"")&amp;" "&amp;Checks!$P$302</f>
        <v>Required
11-Oct-26 01:05 HAN</v>
      </c>
      <c r="D44" s="114" t="str">
        <f aca="false">IF(Checks!$U$302="","",Checks!$U$302)&amp;IF(Checks!$AB$302="","",CHAR(10)&amp;"CA: "&amp;Checks!$AB$302)</f>
        <v/>
      </c>
      <c r="E44" s="114" t="str">
        <f aca="false">IF(Checks!$V$302="","",Checks!$V$302)&amp;IF(Checks!$AC$302="","",IF(Checks!$V$302="","",CHAR(10))&amp;"N/A just.: "&amp;Checks!$AC$302)&amp;IF(Checks!$W$302="","",CHAR(10)&amp;"Batch: "&amp;Checks!$W$302)&amp;IF(AND(Checks!$X$302="",Checks!$Y$302=""),"",CHAR(10)&amp;"Exp: "&amp;Checks!$X$302&amp;"  /  Act: "&amp;Checks!$Y$302)</f>
        <v/>
      </c>
      <c r="F44" s="114" t="str">
        <f aca="false">IF(Checks!$Z$302="","","Evidence: "&amp;Checks!$Z$302)&amp;IF(Checks!$AA$302="","",IF(Checks!$Z$302="","",CHAR(10))&amp;"CA: "&amp;Checks!$AA$302)</f>
        <v/>
      </c>
      <c r="G44" s="114" t="str">
        <f aca="false">IF(ISNUMBER(Checks!$AD$302),TEXT(Checks!$AD$302,"DD-MMM-YY HH:MM")&amp;" "&amp;Checks!$P$302,"")&amp;IF(Checks!$AE$302="","",CHAR(10)&amp;"Verifier: "&amp;Checks!$AE$302)&amp;IF(Checks!$T$302="","",CHAR(10)&amp;"PIC: "&amp;Checks!$T$302)</f>
        <v/>
      </c>
      <c r="H44" s="115" t="str">
        <f aca="false">IF(Checks!$AH$302="","",Checks!$AH$302)</f>
        <v>OPEN</v>
      </c>
    </row>
    <row r="45" customFormat="false" ht="114" hidden="false" customHeight="true" outlineLevel="0" collapsed="false">
      <c r="A45" s="114" t="str">
        <f aca="false">Checks!$A$303&amp;CHAR(10)&amp;IF(Checks!$I$303="","",Checks!$I$303&amp;": ")&amp;Checks!$J$303</f>
        <v>F09-T12-11
F&amp;B Linen: Napkin - prepared</v>
      </c>
      <c r="B45" s="114" t="str">
        <f aca="false">Checks!$K$303&amp;IF(Checks!$O$303="","",IF(Checks!$K$303="","",CHAR(10))&amp;"Note: "&amp;Checks!$O$303)</f>
        <v>Available (ticked in reference)
Note: Reference gives no uplift stn for this item: preparation checked at the meal uplift stn (HAN) - confirm with caterer.</v>
      </c>
      <c r="C45" s="114" t="str">
        <f aca="false">Checks!$N$303&amp;CHAR(10)&amp;IF(ISNUMBER(Checks!$R$303),TEXT(Checks!$R$303,"DD-MMM-YY HH:MM"),"")&amp;" "&amp;Checks!$P$303</f>
        <v>Required
11-Oct-26 01:05 HAN</v>
      </c>
      <c r="D45" s="114" t="str">
        <f aca="false">IF(Checks!$U$303="","",Checks!$U$303)&amp;IF(Checks!$AB$303="","",CHAR(10)&amp;"CA: "&amp;Checks!$AB$303)</f>
        <v/>
      </c>
      <c r="E45" s="114" t="str">
        <f aca="false">IF(Checks!$V$303="","",Checks!$V$303)&amp;IF(Checks!$AC$303="","",IF(Checks!$V$303="","",CHAR(10))&amp;"N/A just.: "&amp;Checks!$AC$303)&amp;IF(Checks!$W$303="","",CHAR(10)&amp;"Batch: "&amp;Checks!$W$303)&amp;IF(AND(Checks!$X$303="",Checks!$Y$303=""),"",CHAR(10)&amp;"Exp: "&amp;Checks!$X$303&amp;"  /  Act: "&amp;Checks!$Y$303)</f>
        <v/>
      </c>
      <c r="F45" s="114" t="str">
        <f aca="false">IF(Checks!$Z$303="","","Evidence: "&amp;Checks!$Z$303)&amp;IF(Checks!$AA$303="","",IF(Checks!$Z$303="","",CHAR(10))&amp;"CA: "&amp;Checks!$AA$303)</f>
        <v/>
      </c>
      <c r="G45" s="114" t="str">
        <f aca="false">IF(ISNUMBER(Checks!$AD$303),TEXT(Checks!$AD$303,"DD-MMM-YY HH:MM")&amp;" "&amp;Checks!$P$303,"")&amp;IF(Checks!$AE$303="","",CHAR(10)&amp;"Verifier: "&amp;Checks!$AE$303)&amp;IF(Checks!$T$303="","",CHAR(10)&amp;"PIC: "&amp;Checks!$T$303)</f>
        <v/>
      </c>
      <c r="H45" s="115" t="str">
        <f aca="false">IF(Checks!$AH$303="","",Checks!$AH$303)</f>
        <v>OPEN</v>
      </c>
    </row>
    <row r="46" customFormat="false" ht="279" hidden="false" customHeight="true" outlineLevel="0" collapsed="false">
      <c r="A46" s="114" t="str">
        <f aca="false">Checks!$A$304&amp;CHAR(10)&amp;IF(Checks!$I$304="","",Checks!$I$304&amp;": ")&amp;Checks!$J$304</f>
        <v>F09-T12-12
F&amp;B Linen: Table cloth - prepared</v>
      </c>
      <c r="B46" s="114" t="str">
        <f aca="false">SUBSTITUTE(Checks!$K$304&amp;IF(Checks!$O$304="","",IF(Checks!$K$304="","",CHAR(10))&amp;"Note: "&amp;Checks!$O$304),"F&amp;B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6" s="114" t="str">
        <f aca="false">Checks!$N$304&amp;CHAR(10)&amp;IF(ISNUMBER(Checks!$R$304),TEXT(Checks!$R$304,"DD-MMM-YY HH:MM"),"")&amp;" "&amp;Checks!$P$304</f>
        <v>Clarification required
11-Oct-26 01:05 HAN</v>
      </c>
      <c r="D46" s="114" t="str">
        <f aca="false">IF(Checks!$U$304="","",Checks!$U$304)&amp;IF(Checks!$AB$304="","",CHAR(10)&amp;"CA: "&amp;Checks!$AB$304)</f>
        <v/>
      </c>
      <c r="E46" s="114" t="str">
        <f aca="false">IF(Checks!$V$304="","",Checks!$V$304)&amp;IF(Checks!$AC$304="","",IF(Checks!$V$304="","",CHAR(10))&amp;"N/A just.: "&amp;Checks!$AC$304)&amp;IF(Checks!$W$304="","",CHAR(10)&amp;"Batch: "&amp;Checks!$W$304)&amp;IF(AND(Checks!$X$304="",Checks!$Y$304=""),"",CHAR(10)&amp;"Exp: "&amp;Checks!$X$304&amp;"  /  Act: "&amp;Checks!$Y$304)</f>
        <v/>
      </c>
      <c r="F46" s="114" t="str">
        <f aca="false">IF(Checks!$Z$304="","","Evidence: "&amp;Checks!$Z$304)&amp;IF(Checks!$AA$304="","",IF(Checks!$Z$304="","",CHAR(10))&amp;"CA: "&amp;Checks!$AA$304)</f>
        <v/>
      </c>
      <c r="G46" s="114" t="str">
        <f aca="false">IF(ISNUMBER(Checks!$AD$304),TEXT(Checks!$AD$304,"DD-MMM-YY HH:MM")&amp;" "&amp;Checks!$P$304,"")&amp;IF(Checks!$AE$304="","",CHAR(10)&amp;"Verifier: "&amp;Checks!$AE$304)&amp;IF(Checks!$T$304="","",CHAR(10)&amp;"PIC: "&amp;Checks!$T$304)</f>
        <v/>
      </c>
      <c r="H46" s="115" t="str">
        <f aca="false">IF(Checks!$AH$304="","",Checks!$AH$304)</f>
        <v>OPEN – CLARIFICATION</v>
      </c>
    </row>
    <row r="47" customFormat="false" ht="279" hidden="false" customHeight="true" outlineLevel="0" collapsed="false">
      <c r="A47" s="114" t="str">
        <f aca="false">Checks!$A$305&amp;CHAR(10)&amp;IF(Checks!$I$305="","",Checks!$I$305&amp;": ")&amp;Checks!$J$305</f>
        <v>F09-T12-13
F&amp;B Linen: Bread linen (using table cloth) - prepared</v>
      </c>
      <c r="B47" s="114" t="str">
        <f aca="false">SUBSTITUTE(Checks!$K$305&amp;IF(Checks!$O$305="","",IF(Checks!$K$305="","",CHAR(10))&amp;"Note: "&amp;Checks!$O$305),"F&amp;B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 Reference gives no uplift stn for this item: preparation checked at the meal uplift stn (HAN) - confirm with caterer.</v>
      </c>
      <c r="C47" s="114" t="str">
        <f aca="false">Checks!$N$305&amp;CHAR(10)&amp;IF(ISNUMBER(Checks!$R$305),TEXT(Checks!$R$305,"DD-MMM-YY HH:MM"),"")&amp;" "&amp;Checks!$P$305</f>
        <v>Clarification required
11-Oct-26 01:05 HAN</v>
      </c>
      <c r="D47" s="114" t="str">
        <f aca="false">IF(Checks!$U$305="","",Checks!$U$305)&amp;IF(Checks!$AB$305="","",CHAR(10)&amp;"CA: "&amp;Checks!$AB$305)</f>
        <v/>
      </c>
      <c r="E47" s="114" t="str">
        <f aca="false">IF(Checks!$V$305="","",Checks!$V$305)&amp;IF(Checks!$AC$305="","",IF(Checks!$V$305="","",CHAR(10))&amp;"N/A just.: "&amp;Checks!$AC$305)&amp;IF(Checks!$W$305="","",CHAR(10)&amp;"Batch: "&amp;Checks!$W$305)&amp;IF(AND(Checks!$X$305="",Checks!$Y$305=""),"",CHAR(10)&amp;"Exp: "&amp;Checks!$X$305&amp;"  /  Act: "&amp;Checks!$Y$305)</f>
        <v/>
      </c>
      <c r="F47" s="114" t="str">
        <f aca="false">IF(Checks!$Z$305="","","Evidence: "&amp;Checks!$Z$305)&amp;IF(Checks!$AA$305="","",IF(Checks!$Z$305="","",CHAR(10))&amp;"CA: "&amp;Checks!$AA$305)</f>
        <v/>
      </c>
      <c r="G47" s="114" t="str">
        <f aca="false">IF(ISNUMBER(Checks!$AD$305),TEXT(Checks!$AD$305,"DD-MMM-YY HH:MM")&amp;" "&amp;Checks!$P$305,"")&amp;IF(Checks!$AE$305="","",CHAR(10)&amp;"Verifier: "&amp;Checks!$AE$305)&amp;IF(Checks!$T$305="","",CHAR(10)&amp;"PIC: "&amp;Checks!$T$305)</f>
        <v/>
      </c>
      <c r="H47" s="115" t="str">
        <f aca="false">IF(Checks!$AH$305="","",Checks!$AH$305)</f>
        <v>OPEN – CLARIFICATION</v>
      </c>
    </row>
    <row r="48" customFormat="false" ht="124.5" hidden="false" customHeight="true" outlineLevel="0" collapsed="false">
      <c r="A48" s="114" t="str">
        <f aca="false">Checks!$A$306&amp;CHAR(10)&amp;IF(Checks!$I$306="","",Checks!$I$306&amp;": ")&amp;Checks!$J$306</f>
        <v>F09-T12-14
F&amp;B Linen: Trolley cloth - prepared</v>
      </c>
      <c r="B48" s="114" t="str">
        <f aca="false">SUBSTITUTE(Checks!$K$306&amp;IF(Checks!$O$306="","",IF(Checks!$K$306="","",CHAR(10))&amp;"Note: "&amp;Checks!$O$306),"F&amp;B LINEN!","Ref: F&amp;B LINEN!")</f>
        <v>Narrow body: Top only
Note: Per note Ref: F&amp;B LINEN!B79:C80. Reference gives no uplift stn for this item: preparation checked at the meal uplift stn (HAN) - confirm with caterer.</v>
      </c>
      <c r="C48" s="114" t="str">
        <f aca="false">Checks!$N$306&amp;CHAR(10)&amp;IF(ISNUMBER(Checks!$R$306),TEXT(Checks!$R$306,"DD-MMM-YY HH:MM"),"")&amp;" "&amp;Checks!$P$306</f>
        <v>Required
11-Oct-26 01:05 HAN</v>
      </c>
      <c r="D48" s="114" t="str">
        <f aca="false">IF(Checks!$U$306="","",Checks!$U$306)&amp;IF(Checks!$AB$306="","",CHAR(10)&amp;"CA: "&amp;Checks!$AB$306)</f>
        <v/>
      </c>
      <c r="E48" s="114" t="str">
        <f aca="false">IF(Checks!$V$306="","",Checks!$V$306)&amp;IF(Checks!$AC$306="","",IF(Checks!$V$306="","",CHAR(10))&amp;"N/A just.: "&amp;Checks!$AC$306)&amp;IF(Checks!$W$306="","",CHAR(10)&amp;"Batch: "&amp;Checks!$W$306)&amp;IF(AND(Checks!$X$306="",Checks!$Y$306=""),"",CHAR(10)&amp;"Exp: "&amp;Checks!$X$306&amp;"  /  Act: "&amp;Checks!$Y$306)</f>
        <v/>
      </c>
      <c r="F48" s="114" t="str">
        <f aca="false">IF(Checks!$Z$306="","","Evidence: "&amp;Checks!$Z$306)&amp;IF(Checks!$AA$306="","",IF(Checks!$Z$306="","",CHAR(10))&amp;"CA: "&amp;Checks!$AA$306)</f>
        <v/>
      </c>
      <c r="G48" s="114" t="str">
        <f aca="false">IF(ISNUMBER(Checks!$AD$306),TEXT(Checks!$AD$306,"DD-MMM-YY HH:MM")&amp;" "&amp;Checks!$P$306,"")&amp;IF(Checks!$AE$306="","",CHAR(10)&amp;"Verifier: "&amp;Checks!$AE$306)&amp;IF(Checks!$T$306="","",CHAR(10)&amp;"PIC: "&amp;Checks!$T$306)</f>
        <v/>
      </c>
      <c r="H48" s="115" t="str">
        <f aca="false">IF(Checks!$AH$306="","",Checks!$AH$306)</f>
        <v>OPEN</v>
      </c>
    </row>
    <row r="49" customFormat="false" ht="114" hidden="false" customHeight="true" outlineLevel="0" collapsed="false">
      <c r="A49" s="114" t="str">
        <f aca="false">Checks!$A$307&amp;CHAR(10)&amp;IF(Checks!$I$307="","",Checks!$I$307&amp;": ")&amp;Checks!$J$307</f>
        <v>F09-T12-15
F&amp;B Linen: Linen bag - prepared</v>
      </c>
      <c r="B49" s="114" t="str">
        <f aca="false">Checks!$K$307&amp;IF(Checks!$O$307="","",IF(Checks!$K$307="","",CHAR(10))&amp;"Note: "&amp;Checks!$O$307)</f>
        <v>Available (ticked in reference)
Note: Reference gives no uplift stn for this item: preparation checked at the meal uplift stn (HAN) - confirm with caterer.</v>
      </c>
      <c r="C49" s="114" t="str">
        <f aca="false">Checks!$N$307&amp;CHAR(10)&amp;IF(ISNUMBER(Checks!$R$307),TEXT(Checks!$R$307,"DD-MMM-YY HH:MM"),"")&amp;" "&amp;Checks!$P$307</f>
        <v>Required
11-Oct-26 01:05 HAN</v>
      </c>
      <c r="D49" s="114" t="str">
        <f aca="false">IF(Checks!$U$307="","",Checks!$U$307)&amp;IF(Checks!$AB$307="","",CHAR(10)&amp;"CA: "&amp;Checks!$AB$307)</f>
        <v/>
      </c>
      <c r="E49" s="114" t="str">
        <f aca="false">IF(Checks!$V$307="","",Checks!$V$307)&amp;IF(Checks!$AC$307="","",IF(Checks!$V$307="","",CHAR(10))&amp;"N/A just.: "&amp;Checks!$AC$307)&amp;IF(Checks!$W$307="","",CHAR(10)&amp;"Batch: "&amp;Checks!$W$307)&amp;IF(AND(Checks!$X$307="",Checks!$Y$307=""),"",CHAR(10)&amp;"Exp: "&amp;Checks!$X$307&amp;"  /  Act: "&amp;Checks!$Y$307)</f>
        <v/>
      </c>
      <c r="F49" s="114" t="str">
        <f aca="false">IF(Checks!$Z$307="","","Evidence: "&amp;Checks!$Z$307)&amp;IF(Checks!$AA$307="","",IF(Checks!$Z$307="","",CHAR(10))&amp;"CA: "&amp;Checks!$AA$307)</f>
        <v/>
      </c>
      <c r="G49" s="114" t="str">
        <f aca="false">IF(ISNUMBER(Checks!$AD$307),TEXT(Checks!$AD$307,"DD-MMM-YY HH:MM")&amp;" "&amp;Checks!$P$307,"")&amp;IF(Checks!$AE$307="","",CHAR(10)&amp;"Verifier: "&amp;Checks!$AE$307)&amp;IF(Checks!$T$307="","",CHAR(10)&amp;"PIC: "&amp;Checks!$T$307)</f>
        <v/>
      </c>
      <c r="H49" s="115" t="str">
        <f aca="false">IF(Checks!$AH$307="","",Checks!$AH$307)</f>
        <v>OPEN</v>
      </c>
    </row>
    <row r="50" customFormat="false" ht="114" hidden="false" customHeight="true" outlineLevel="0" collapsed="false">
      <c r="A50" s="114" t="str">
        <f aca="false">Checks!$A$308&amp;CHAR(10)&amp;IF(Checks!$I$308="","",Checks!$I$308&amp;": ")&amp;Checks!$J$308</f>
        <v>F09-T12-16
Seat Linen: Seat pillow (BS &amp; BC) - prepared</v>
      </c>
      <c r="B50" s="114" t="str">
        <f aca="false">Checks!$K$308&amp;IF(Checks!$O$308="","",IF(Checks!$K$308="","",CHAR(10))&amp;"Note: "&amp;Checks!$O$308)</f>
        <v>Available 100% (ticked in reference)
Note: Reference gives no uplift stn for this item: preparation checked at the meal uplift stn (HAN) - confirm with caterer.</v>
      </c>
      <c r="C50" s="114" t="str">
        <f aca="false">Checks!$N$308&amp;CHAR(10)&amp;IF(ISNUMBER(Checks!$R$308),TEXT(Checks!$R$308,"DD-MMM-YY HH:MM"),"")&amp;" "&amp;Checks!$P$308</f>
        <v>Required
11-Oct-26 01:05 HAN</v>
      </c>
      <c r="D50" s="114" t="str">
        <f aca="false">IF(Checks!$U$308="","",Checks!$U$308)&amp;IF(Checks!$AB$308="","",CHAR(10)&amp;"CA: "&amp;Checks!$AB$308)</f>
        <v/>
      </c>
      <c r="E50" s="114" t="str">
        <f aca="false">IF(Checks!$V$308="","",Checks!$V$308)&amp;IF(Checks!$AC$308="","",IF(Checks!$V$308="","",CHAR(10))&amp;"N/A just.: "&amp;Checks!$AC$308)&amp;IF(Checks!$W$308="","",CHAR(10)&amp;"Batch: "&amp;Checks!$W$308)&amp;IF(AND(Checks!$X$308="",Checks!$Y$308=""),"",CHAR(10)&amp;"Exp: "&amp;Checks!$X$308&amp;"  /  Act: "&amp;Checks!$Y$308)</f>
        <v/>
      </c>
      <c r="F50" s="114" t="str">
        <f aca="false">IF(Checks!$Z$308="","","Evidence: "&amp;Checks!$Z$308)&amp;IF(Checks!$AA$308="","",IF(Checks!$Z$308="","",CHAR(10))&amp;"CA: "&amp;Checks!$AA$308)</f>
        <v/>
      </c>
      <c r="G50" s="114" t="str">
        <f aca="false">IF(ISNUMBER(Checks!$AD$308),TEXT(Checks!$AD$308,"DD-MMM-YY HH:MM")&amp;" "&amp;Checks!$P$308,"")&amp;IF(Checks!$AE$308="","",CHAR(10)&amp;"Verifier: "&amp;Checks!$AE$308)&amp;IF(Checks!$T$308="","",CHAR(10)&amp;"PIC: "&amp;Checks!$T$308)</f>
        <v/>
      </c>
      <c r="H50" s="115" t="str">
        <f aca="false">IF(Checks!$AH$308="","",Checks!$AH$308)</f>
        <v>OPEN</v>
      </c>
    </row>
    <row r="51" customFormat="false" ht="114" hidden="false" customHeight="true" outlineLevel="0" collapsed="false">
      <c r="A51" s="114" t="str">
        <f aca="false">Checks!$A$309&amp;CHAR(10)&amp;IF(Checks!$I$309="","",Checks!$I$309&amp;": ")&amp;Checks!$J$309</f>
        <v>F09-T12-17
Seat Linen: Blanket (BS &amp; BC) - prepared</v>
      </c>
      <c r="B51" s="114" t="str">
        <f aca="false">Checks!$K$309&amp;IF(Checks!$O$309="","",IF(Checks!$K$309="","",CHAR(10))&amp;"Note: "&amp;Checks!$O$309)</f>
        <v>Available 100% (ticked in reference)
Note: Reference gives no uplift stn for this item: preparation checked at the meal uplift stn (HAN) - confirm with caterer.</v>
      </c>
      <c r="C51" s="114" t="str">
        <f aca="false">Checks!$N$309&amp;CHAR(10)&amp;IF(ISNUMBER(Checks!$R$309),TEXT(Checks!$R$309,"DD-MMM-YY HH:MM"),"")&amp;" "&amp;Checks!$P$309</f>
        <v>Required
11-Oct-26 01:05 HAN</v>
      </c>
      <c r="D51" s="114" t="str">
        <f aca="false">IF(Checks!$U$309="","",Checks!$U$309)&amp;IF(Checks!$AB$309="","",CHAR(10)&amp;"CA: "&amp;Checks!$AB$309)</f>
        <v/>
      </c>
      <c r="E51" s="114" t="str">
        <f aca="false">IF(Checks!$V$309="","",Checks!$V$309)&amp;IF(Checks!$AC$309="","",IF(Checks!$V$309="","",CHAR(10))&amp;"N/A just.: "&amp;Checks!$AC$309)&amp;IF(Checks!$W$309="","",CHAR(10)&amp;"Batch: "&amp;Checks!$W$309)&amp;IF(AND(Checks!$X$309="",Checks!$Y$309=""),"",CHAR(10)&amp;"Exp: "&amp;Checks!$X$309&amp;"  /  Act: "&amp;Checks!$Y$309)</f>
        <v/>
      </c>
      <c r="F51" s="114" t="str">
        <f aca="false">IF(Checks!$Z$309="","","Evidence: "&amp;Checks!$Z$309)&amp;IF(Checks!$AA$309="","",IF(Checks!$Z$309="","",CHAR(10))&amp;"CA: "&amp;Checks!$AA$309)</f>
        <v/>
      </c>
      <c r="G51" s="114" t="str">
        <f aca="false">IF(ISNUMBER(Checks!$AD$309),TEXT(Checks!$AD$309,"DD-MMM-YY HH:MM")&amp;" "&amp;Checks!$P$309,"")&amp;IF(Checks!$AE$309="","",CHAR(10)&amp;"Verifier: "&amp;Checks!$AE$309)&amp;IF(Checks!$T$309="","",CHAR(10)&amp;"PIC: "&amp;Checks!$T$309)</f>
        <v/>
      </c>
      <c r="H51" s="115" t="str">
        <f aca="false">IF(Checks!$AH$309="","",Checks!$AH$309)</f>
        <v>OPEN</v>
      </c>
    </row>
    <row r="52" customFormat="false" ht="25.5" hidden="false" customHeight="true" outlineLevel="0" collapsed="false">
      <c r="A52" s="113" t="str">
        <f aca="false">"UPLIFT — Physical uplift – on-board confirmation before departure  |  Due "&amp;"STD "&amp;IF(ISNUMBER(Flights!$I$13),TEXT(Flights!$I$13,"DD-MMM-YY HH:MM"),"")&amp;" "&amp;Flights!$G$13&amp;" (departure stn)"&amp;" (rows with another due show their own)  |  Complete "&amp;IF(ISNUMBER(Flights!$AM$13),TEXT(Flights!$AM$13,"0%"),Flights!$AM$13)&amp;"  |  12 lines"</f>
        <v>UPLIFT — Physical uplift – on-board confirmation before departure  |  Due STD 11-Oct-26 13:05 HAN (departure stn) (rows with another due show their own)  |  Complete 0%  |  12 lines</v>
      </c>
      <c r="B52" s="113"/>
      <c r="C52" s="113"/>
      <c r="D52" s="113"/>
      <c r="E52" s="113"/>
      <c r="F52" s="113"/>
      <c r="G52" s="113"/>
      <c r="H52" s="113"/>
    </row>
    <row r="53" customFormat="false" ht="114" hidden="false" customHeight="true" outlineLevel="0" collapsed="false">
      <c r="A53" s="114" t="str">
        <f aca="false">Checks!$A$310&amp;CHAR(10)&amp;IF(Checks!$I$310="","",Checks!$I$310&amp;": ")&amp;Checks!$J$310</f>
        <v>F09-UPL-01
Meal: Meals physically uplifted on board - quantity vs menu checklist</v>
      </c>
      <c r="B53" s="114" t="str">
        <f aca="false">Checks!$K$310&amp;IF(Checks!$O$310="","",IF(Checks!$K$310="","",CHAR(10))&amp;"Note: "&amp;Checks!$O$310)</f>
        <v>Enter expected &amp; actual
Note: Confirm on board before departure; completion time must fall inside the uplift window.</v>
      </c>
      <c r="C53" s="114" t="str">
        <f aca="false">Checks!$N$310&amp;CHAR(10)&amp;IF(ISNUMBER(Checks!$R$310),TEXT(Checks!$R$310,"DD-MMM-YY HH:MM"),"")&amp;" "&amp;Checks!$P$310</f>
        <v>Required
11-Oct-26 13:05 HAN</v>
      </c>
      <c r="D53" s="114" t="str">
        <f aca="false">IF(Checks!$U$310="","",Checks!$U$310)&amp;IF(Checks!$AB$310="","",CHAR(10)&amp;"CA: "&amp;Checks!$AB$310)</f>
        <v/>
      </c>
      <c r="E53" s="114" t="str">
        <f aca="false">IF(Checks!$V$310="","",Checks!$V$310)&amp;IF(Checks!$AC$310="","",IF(Checks!$V$310="","",CHAR(10))&amp;"N/A just.: "&amp;Checks!$AC$310)&amp;IF(Checks!$W$310="","",CHAR(10)&amp;"Batch: "&amp;Checks!$W$310)&amp;IF(AND(Checks!$X$310="",Checks!$Y$310=""),"",CHAR(10)&amp;"Exp: "&amp;Checks!$X$310&amp;"  /  Act: "&amp;Checks!$Y$310)</f>
        <v/>
      </c>
      <c r="F53" s="114" t="str">
        <f aca="false">IF(Checks!$Z$310="","","Evidence: "&amp;Checks!$Z$310)&amp;IF(Checks!$AA$310="","",IF(Checks!$Z$310="","",CHAR(10))&amp;"CA: "&amp;Checks!$AA$310)</f>
        <v/>
      </c>
      <c r="G53" s="114" t="str">
        <f aca="false">IF(ISNUMBER(Checks!$AD$310),TEXT(Checks!$AD$310,"DD-MMM-YY HH:MM")&amp;" "&amp;Checks!$P$310,"")&amp;IF(Checks!$AE$310="","",CHAR(10)&amp;"Verifier: "&amp;Checks!$AE$310)&amp;IF(Checks!$T$310="","",CHAR(10)&amp;"PIC: "&amp;Checks!$T$310)</f>
        <v/>
      </c>
      <c r="H53" s="115" t="str">
        <f aca="false">IF(Checks!$AH$310="","",Checks!$AH$310)</f>
        <v>OPEN</v>
      </c>
    </row>
    <row r="54" customFormat="false" ht="114" hidden="false" customHeight="true" outlineLevel="0" collapsed="false">
      <c r="A54" s="114" t="str">
        <f aca="false">Checks!$A$311&amp;CHAR(10)&amp;IF(Checks!$I$311="","",Checks!$I$311&amp;": ")&amp;Checks!$J$311</f>
        <v>F09-UPL-02
Equipment: Equipment physically loaded at GLD positions - quantity &amp; positions</v>
      </c>
      <c r="B54" s="114" t="str">
        <f aca="false">Checks!$K$311&amp;IF(Checks!$O$311="","",IF(Checks!$K$311="","",CHAR(10))&amp;"Note: "&amp;Checks!$O$311)</f>
        <v>Enter expected &amp; actual
Note: Confirm on board before departure; completion time must fall inside the uplift window.</v>
      </c>
      <c r="C54" s="114" t="str">
        <f aca="false">Checks!$N$311&amp;CHAR(10)&amp;IF(ISNUMBER(Checks!$R$311),TEXT(Checks!$R$311,"DD-MMM-YY HH:MM"),"")&amp;" "&amp;Checks!$P$311</f>
        <v>Required
11-Oct-26 13:05 HAN</v>
      </c>
      <c r="D54" s="114" t="str">
        <f aca="false">IF(Checks!$U$311="","",Checks!$U$311)&amp;IF(Checks!$AB$311="","",CHAR(10)&amp;"CA: "&amp;Checks!$AB$311)</f>
        <v/>
      </c>
      <c r="E54" s="114" t="str">
        <f aca="false">IF(Checks!$V$311="","",Checks!$V$311)&amp;IF(Checks!$AC$311="","",IF(Checks!$V$311="","",CHAR(10))&amp;"N/A just.: "&amp;Checks!$AC$311)&amp;IF(Checks!$W$311="","",CHAR(10)&amp;"Batch: "&amp;Checks!$W$311)&amp;IF(AND(Checks!$X$311="",Checks!$Y$311=""),"",CHAR(10)&amp;"Exp: "&amp;Checks!$X$311&amp;"  /  Act: "&amp;Checks!$Y$311)</f>
        <v/>
      </c>
      <c r="F54" s="114" t="str">
        <f aca="false">IF(Checks!$Z$311="","","Evidence: "&amp;Checks!$Z$311)&amp;IF(Checks!$AA$311="","",IF(Checks!$Z$311="","",CHAR(10))&amp;"CA: "&amp;Checks!$AA$311)</f>
        <v/>
      </c>
      <c r="G54" s="114" t="str">
        <f aca="false">IF(ISNUMBER(Checks!$AD$311),TEXT(Checks!$AD$311,"DD-MMM-YY HH:MM")&amp;" "&amp;Checks!$P$311,"")&amp;IF(Checks!$AE$311="","",CHAR(10)&amp;"Verifier: "&amp;Checks!$AE$311)&amp;IF(Checks!$T$311="","",CHAR(10)&amp;"PIC: "&amp;Checks!$T$311)</f>
        <v/>
      </c>
      <c r="H54" s="115" t="str">
        <f aca="false">IF(Checks!$AH$311="","",Checks!$AH$311)</f>
        <v>OPEN</v>
      </c>
    </row>
    <row r="55" customFormat="false" ht="114" hidden="false" customHeight="true" outlineLevel="0" collapsed="false">
      <c r="A55" s="114" t="str">
        <f aca="false">Checks!$A$312&amp;CHAR(10)&amp;IF(Checks!$I$312="","",Checks!$I$312&amp;": ")&amp;Checks!$J$312</f>
        <v>F09-UPL-03
Amenities: Disposable slippers in DAM cart (BC, on request) - on board</v>
      </c>
      <c r="B55" s="114" t="str">
        <f aca="false">Checks!$K$312&amp;IF(Checks!$O$312="","",IF(Checks!$K$312="","",CHAR(10))&amp;"Note: "&amp;Checks!$O$312)</f>
        <v>Available in DAM cart on request basis
Note: Sector has no BC slippers; note C83: disposable slipper available in DAM cart (on request basis).</v>
      </c>
      <c r="C55" s="114" t="str">
        <f aca="false">Checks!$N$312&amp;CHAR(10)&amp;IF(ISNUMBER(Checks!$R$312),TEXT(Checks!$R$312,"DD-MMM-YY HH:MM"),"")&amp;" "&amp;Checks!$P$312</f>
        <v>Required
11-Oct-26 13:05 HAN</v>
      </c>
      <c r="D55" s="114" t="str">
        <f aca="false">IF(Checks!$U$312="","",Checks!$U$312)&amp;IF(Checks!$AB$312="","",CHAR(10)&amp;"CA: "&amp;Checks!$AB$312)</f>
        <v/>
      </c>
      <c r="E55" s="114" t="str">
        <f aca="false">IF(Checks!$V$312="","",Checks!$V$312)&amp;IF(Checks!$AC$312="","",IF(Checks!$V$312="","",CHAR(10))&amp;"N/A just.: "&amp;Checks!$AC$312)&amp;IF(Checks!$W$312="","",CHAR(10)&amp;"Batch: "&amp;Checks!$W$312)&amp;IF(AND(Checks!$X$312="",Checks!$Y$312=""),"",CHAR(10)&amp;"Exp: "&amp;Checks!$X$312&amp;"  /  Act: "&amp;Checks!$Y$312)</f>
        <v/>
      </c>
      <c r="F55" s="114" t="str">
        <f aca="false">IF(Checks!$Z$312="","","Evidence: "&amp;Checks!$Z$312)&amp;IF(Checks!$AA$312="","",IF(Checks!$Z$312="","",CHAR(10))&amp;"CA: "&amp;Checks!$AA$312)</f>
        <v/>
      </c>
      <c r="G55" s="114" t="str">
        <f aca="false">IF(ISNUMBER(Checks!$AD$312),TEXT(Checks!$AD$312,"DD-MMM-YY HH:MM")&amp;" "&amp;Checks!$P$312,"")&amp;IF(Checks!$AE$312="","",CHAR(10)&amp;"Verifier: "&amp;Checks!$AE$312)&amp;IF(Checks!$T$312="","",CHAR(10)&amp;"PIC: "&amp;Checks!$T$312)</f>
        <v/>
      </c>
      <c r="H55" s="115" t="str">
        <f aca="false">IF(Checks!$AH$312="","",Checks!$AH$312)</f>
        <v>OPEN</v>
      </c>
    </row>
    <row r="56" customFormat="false" ht="114" hidden="false" customHeight="true" outlineLevel="0" collapsed="false">
      <c r="A56" s="114" t="str">
        <f aca="false">Checks!$A$313&amp;CHAR(10)&amp;IF(Checks!$I$313="","",Checks!$I$313&amp;": ")&amp;Checks!$J$313</f>
        <v>F09-UPL-04
F&amp;B Linen: Towel - on board</v>
      </c>
      <c r="B56" s="114" t="str">
        <f aca="false">Checks!$K$313&amp;IF(Checks!$O$313="","",IF(Checks!$K$313="","",CHAR(10))&amp;"Note: "&amp;Checks!$O$313)</f>
        <v>Available (ticked in reference)</v>
      </c>
      <c r="C56" s="114" t="str">
        <f aca="false">Checks!$N$313&amp;CHAR(10)&amp;IF(ISNUMBER(Checks!$R$313),TEXT(Checks!$R$313,"DD-MMM-YY HH:MM"),"")&amp;" "&amp;Checks!$P$313</f>
        <v>Required
11-Oct-26 13:05 HAN</v>
      </c>
      <c r="D56" s="114" t="str">
        <f aca="false">IF(Checks!$U$313="","",Checks!$U$313)&amp;IF(Checks!$AB$313="","",CHAR(10)&amp;"CA: "&amp;Checks!$AB$313)</f>
        <v/>
      </c>
      <c r="E56" s="114" t="str">
        <f aca="false">IF(Checks!$V$313="","",Checks!$V$313)&amp;IF(Checks!$AC$313="","",IF(Checks!$V$313="","",CHAR(10))&amp;"N/A just.: "&amp;Checks!$AC$313)&amp;IF(Checks!$W$313="","",CHAR(10)&amp;"Batch: "&amp;Checks!$W$313)&amp;IF(AND(Checks!$X$313="",Checks!$Y$313=""),"",CHAR(10)&amp;"Exp: "&amp;Checks!$X$313&amp;"  /  Act: "&amp;Checks!$Y$313)</f>
        <v/>
      </c>
      <c r="F56" s="114" t="str">
        <f aca="false">IF(Checks!$Z$313="","","Evidence: "&amp;Checks!$Z$313)&amp;IF(Checks!$AA$313="","",IF(Checks!$Z$313="","",CHAR(10))&amp;"CA: "&amp;Checks!$AA$313)</f>
        <v/>
      </c>
      <c r="G56" s="114" t="str">
        <f aca="false">IF(ISNUMBER(Checks!$AD$313),TEXT(Checks!$AD$313,"DD-MMM-YY HH:MM")&amp;" "&amp;Checks!$P$313,"")&amp;IF(Checks!$AE$313="","",CHAR(10)&amp;"Verifier: "&amp;Checks!$AE$313)&amp;IF(Checks!$T$313="","",CHAR(10)&amp;"PIC: "&amp;Checks!$T$313)</f>
        <v/>
      </c>
      <c r="H56" s="115" t="str">
        <f aca="false">IF(Checks!$AH$313="","",Checks!$AH$313)</f>
        <v>OPEN</v>
      </c>
    </row>
    <row r="57" customFormat="false" ht="114" hidden="false" customHeight="true" outlineLevel="0" collapsed="false">
      <c r="A57" s="114" t="str">
        <f aca="false">Checks!$A$314&amp;CHAR(10)&amp;IF(Checks!$I$314="","",Checks!$I$314&amp;": ")&amp;Checks!$J$314</f>
        <v>F09-UPL-05
F&amp;B Linen: Tray cloth - on board</v>
      </c>
      <c r="B57" s="114" t="str">
        <f aca="false">Checks!$K$314&amp;IF(Checks!$O$314="","",IF(Checks!$K$314="","",CHAR(10))&amp;"Note: "&amp;Checks!$O$314)</f>
        <v>Available (ticked in reference)</v>
      </c>
      <c r="C57" s="114" t="str">
        <f aca="false">Checks!$N$314&amp;CHAR(10)&amp;IF(ISNUMBER(Checks!$R$314),TEXT(Checks!$R$314,"DD-MMM-YY HH:MM"),"")&amp;" "&amp;Checks!$P$314</f>
        <v>Required
11-Oct-26 13:05 HAN</v>
      </c>
      <c r="D57" s="114" t="str">
        <f aca="false">IF(Checks!$U$314="","",Checks!$U$314)&amp;IF(Checks!$AB$314="","",CHAR(10)&amp;"CA: "&amp;Checks!$AB$314)</f>
        <v/>
      </c>
      <c r="E57" s="114" t="str">
        <f aca="false">IF(Checks!$V$314="","",Checks!$V$314)&amp;IF(Checks!$AC$314="","",IF(Checks!$V$314="","",CHAR(10))&amp;"N/A just.: "&amp;Checks!$AC$314)&amp;IF(Checks!$W$314="","",CHAR(10)&amp;"Batch: "&amp;Checks!$W$314)&amp;IF(AND(Checks!$X$314="",Checks!$Y$314=""),"",CHAR(10)&amp;"Exp: "&amp;Checks!$X$314&amp;"  /  Act: "&amp;Checks!$Y$314)</f>
        <v/>
      </c>
      <c r="F57" s="114" t="str">
        <f aca="false">IF(Checks!$Z$314="","","Evidence: "&amp;Checks!$Z$314)&amp;IF(Checks!$AA$314="","",IF(Checks!$Z$314="","",CHAR(10))&amp;"CA: "&amp;Checks!$AA$314)</f>
        <v/>
      </c>
      <c r="G57" s="114" t="str">
        <f aca="false">IF(ISNUMBER(Checks!$AD$314),TEXT(Checks!$AD$314,"DD-MMM-YY HH:MM")&amp;" "&amp;Checks!$P$314,"")&amp;IF(Checks!$AE$314="","",CHAR(10)&amp;"Verifier: "&amp;Checks!$AE$314)&amp;IF(Checks!$T$314="","",CHAR(10)&amp;"PIC: "&amp;Checks!$T$314)</f>
        <v/>
      </c>
      <c r="H57" s="115" t="str">
        <f aca="false">IF(Checks!$AH$314="","",Checks!$AH$314)</f>
        <v>OPEN</v>
      </c>
    </row>
    <row r="58" customFormat="false" ht="114" hidden="false" customHeight="true" outlineLevel="0" collapsed="false">
      <c r="A58" s="114" t="str">
        <f aca="false">Checks!$A$315&amp;CHAR(10)&amp;IF(Checks!$I$315="","",Checks!$I$315&amp;": ")&amp;Checks!$J$315</f>
        <v>F09-UPL-06
F&amp;B Linen: Napkin - on board</v>
      </c>
      <c r="B58" s="114" t="str">
        <f aca="false">Checks!$K$315&amp;IF(Checks!$O$315="","",IF(Checks!$K$315="","",CHAR(10))&amp;"Note: "&amp;Checks!$O$315)</f>
        <v>Available (ticked in reference)</v>
      </c>
      <c r="C58" s="114" t="str">
        <f aca="false">Checks!$N$315&amp;CHAR(10)&amp;IF(ISNUMBER(Checks!$R$315),TEXT(Checks!$R$315,"DD-MMM-YY HH:MM"),"")&amp;" "&amp;Checks!$P$315</f>
        <v>Required
11-Oct-26 13:05 HAN</v>
      </c>
      <c r="D58" s="114" t="str">
        <f aca="false">IF(Checks!$U$315="","",Checks!$U$315)&amp;IF(Checks!$AB$315="","",CHAR(10)&amp;"CA: "&amp;Checks!$AB$315)</f>
        <v/>
      </c>
      <c r="E58" s="114" t="str">
        <f aca="false">IF(Checks!$V$315="","",Checks!$V$315)&amp;IF(Checks!$AC$315="","",IF(Checks!$V$315="","",CHAR(10))&amp;"N/A just.: "&amp;Checks!$AC$315)&amp;IF(Checks!$W$315="","",CHAR(10)&amp;"Batch: "&amp;Checks!$W$315)&amp;IF(AND(Checks!$X$315="",Checks!$Y$315=""),"",CHAR(10)&amp;"Exp: "&amp;Checks!$X$315&amp;"  /  Act: "&amp;Checks!$Y$315)</f>
        <v/>
      </c>
      <c r="F58" s="114" t="str">
        <f aca="false">IF(Checks!$Z$315="","","Evidence: "&amp;Checks!$Z$315)&amp;IF(Checks!$AA$315="","",IF(Checks!$Z$315="","",CHAR(10))&amp;"CA: "&amp;Checks!$AA$315)</f>
        <v/>
      </c>
      <c r="G58" s="114" t="str">
        <f aca="false">IF(ISNUMBER(Checks!$AD$315),TEXT(Checks!$AD$315,"DD-MMM-YY HH:MM")&amp;" "&amp;Checks!$P$315,"")&amp;IF(Checks!$AE$315="","",CHAR(10)&amp;"Verifier: "&amp;Checks!$AE$315)&amp;IF(Checks!$T$315="","",CHAR(10)&amp;"PIC: "&amp;Checks!$T$315)</f>
        <v/>
      </c>
      <c r="H58" s="115" t="str">
        <f aca="false">IF(Checks!$AH$315="","",Checks!$AH$315)</f>
        <v>OPEN</v>
      </c>
    </row>
    <row r="59" customFormat="false" ht="201.75" hidden="false" customHeight="true" outlineLevel="0" collapsed="false">
      <c r="A59" s="114" t="str">
        <f aca="false">Checks!$A$316&amp;CHAR(10)&amp;IF(Checks!$I$316="","",Checks!$I$316&amp;": ")&amp;Checks!$J$316</f>
        <v>F09-UPL-07
F&amp;B Linen: Table cloth - on board</v>
      </c>
      <c r="B59" s="114" t="str">
        <f aca="false">SUBSTITUTE(Checks!$K$316&amp;IF(Checks!$O$316="","",IF(Checks!$K$316="","",CHAR(10))&amp;"Note: "&amp;Checks!$O$316),"F&amp;B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59" s="114" t="str">
        <f aca="false">Checks!$N$316&amp;CHAR(10)&amp;IF(ISNUMBER(Checks!$R$316),TEXT(Checks!$R$316,"DD-MMM-YY HH:MM"),"")&amp;" "&amp;Checks!$P$316</f>
        <v>Clarification required
11-Oct-26 13:05 HAN</v>
      </c>
      <c r="D59" s="114" t="str">
        <f aca="false">IF(Checks!$U$316="","",Checks!$U$316)&amp;IF(Checks!$AB$316="","",CHAR(10)&amp;"CA: "&amp;Checks!$AB$316)</f>
        <v/>
      </c>
      <c r="E59" s="114" t="str">
        <f aca="false">IF(Checks!$V$316="","",Checks!$V$316)&amp;IF(Checks!$AC$316="","",IF(Checks!$V$316="","",CHAR(10))&amp;"N/A just.: "&amp;Checks!$AC$316)&amp;IF(Checks!$W$316="","",CHAR(10)&amp;"Batch: "&amp;Checks!$W$316)&amp;IF(AND(Checks!$X$316="",Checks!$Y$316=""),"",CHAR(10)&amp;"Exp: "&amp;Checks!$X$316&amp;"  /  Act: "&amp;Checks!$Y$316)</f>
        <v/>
      </c>
      <c r="F59" s="114" t="str">
        <f aca="false">IF(Checks!$Z$316="","","Evidence: "&amp;Checks!$Z$316)&amp;IF(Checks!$AA$316="","",IF(Checks!$Z$316="","",CHAR(10))&amp;"CA: "&amp;Checks!$AA$316)</f>
        <v/>
      </c>
      <c r="G59" s="114" t="str">
        <f aca="false">IF(ISNUMBER(Checks!$AD$316),TEXT(Checks!$AD$316,"DD-MMM-YY HH:MM")&amp;" "&amp;Checks!$P$316,"")&amp;IF(Checks!$AE$316="","",CHAR(10)&amp;"Verifier: "&amp;Checks!$AE$316)&amp;IF(Checks!$T$316="","",CHAR(10)&amp;"PIC: "&amp;Checks!$T$316)</f>
        <v/>
      </c>
      <c r="H59" s="115" t="str">
        <f aca="false">IF(Checks!$AH$316="","",Checks!$AH$316)</f>
        <v>OPEN – CLARIFICATION</v>
      </c>
    </row>
    <row r="60" customFormat="false" ht="201.75" hidden="false" customHeight="true" outlineLevel="0" collapsed="false">
      <c r="A60" s="114" t="str">
        <f aca="false">Checks!$A$317&amp;CHAR(10)&amp;IF(Checks!$I$317="","",Checks!$I$317&amp;": ")&amp;Checks!$J$317</f>
        <v>F09-UPL-08
F&amp;B Linen: Bread linen (using table cloth) - on board</v>
      </c>
      <c r="B60" s="114" t="str">
        <f aca="false">SUBSTITUTE(Checks!$K$317&amp;IF(Checks!$O$317="","",IF(Checks!$K$317="","",CHAR(10))&amp;"Note: "&amp;Checks!$O$317),"F&amp;B LINEN!","Ref: F&amp;B LINEN!")</f>
        <v>Available (ticked in reference)
Note: Reference contradicts itself: matrix shows a tick for this sector but note Ref: F&amp;B LINEN!B78:C78 says table cloth is 'Not Applicable for Domestic/Asean &amp; Regional' (ASEAN). Confirm before loading; if not carried, mark N/A with the confirmation as justification.</v>
      </c>
      <c r="C60" s="114" t="str">
        <f aca="false">Checks!$N$317&amp;CHAR(10)&amp;IF(ISNUMBER(Checks!$R$317),TEXT(Checks!$R$317,"DD-MMM-YY HH:MM"),"")&amp;" "&amp;Checks!$P$317</f>
        <v>Clarification required
11-Oct-26 13:05 HAN</v>
      </c>
      <c r="D60" s="114" t="str">
        <f aca="false">IF(Checks!$U$317="","",Checks!$U$317)&amp;IF(Checks!$AB$317="","",CHAR(10)&amp;"CA: "&amp;Checks!$AB$317)</f>
        <v/>
      </c>
      <c r="E60" s="114" t="str">
        <f aca="false">IF(Checks!$V$317="","",Checks!$V$317)&amp;IF(Checks!$AC$317="","",IF(Checks!$V$317="","",CHAR(10))&amp;"N/A just.: "&amp;Checks!$AC$317)&amp;IF(Checks!$W$317="","",CHAR(10)&amp;"Batch: "&amp;Checks!$W$317)&amp;IF(AND(Checks!$X$317="",Checks!$Y$317=""),"",CHAR(10)&amp;"Exp: "&amp;Checks!$X$317&amp;"  /  Act: "&amp;Checks!$Y$317)</f>
        <v/>
      </c>
      <c r="F60" s="114" t="str">
        <f aca="false">IF(Checks!$Z$317="","","Evidence: "&amp;Checks!$Z$317)&amp;IF(Checks!$AA$317="","",IF(Checks!$Z$317="","",CHAR(10))&amp;"CA: "&amp;Checks!$AA$317)</f>
        <v/>
      </c>
      <c r="G60" s="114" t="str">
        <f aca="false">IF(ISNUMBER(Checks!$AD$317),TEXT(Checks!$AD$317,"DD-MMM-YY HH:MM")&amp;" "&amp;Checks!$P$317,"")&amp;IF(Checks!$AE$317="","",CHAR(10)&amp;"Verifier: "&amp;Checks!$AE$317)&amp;IF(Checks!$T$317="","",CHAR(10)&amp;"PIC: "&amp;Checks!$T$317)</f>
        <v/>
      </c>
      <c r="H60" s="115" t="str">
        <f aca="false">IF(Checks!$AH$317="","",Checks!$AH$317)</f>
        <v>OPEN – CLARIFICATION</v>
      </c>
    </row>
    <row r="61" customFormat="false" ht="114" hidden="false" customHeight="true" outlineLevel="0" collapsed="false">
      <c r="A61" s="114" t="str">
        <f aca="false">Checks!$A$318&amp;CHAR(10)&amp;IF(Checks!$I$318="","",Checks!$I$318&amp;": ")&amp;Checks!$J$318</f>
        <v>F09-UPL-09
F&amp;B Linen: Trolley cloth - on board</v>
      </c>
      <c r="B61" s="114" t="str">
        <f aca="false">SUBSTITUTE(Checks!$K$318&amp;IF(Checks!$O$318="","",IF(Checks!$K$318="","",CHAR(10))&amp;"Note: "&amp;Checks!$O$318),"F&amp;B LINEN!","Ref: F&amp;B LINEN!")</f>
        <v>Narrow body: Top only
Note: Per note Ref: F&amp;B LINEN!B79:C80.</v>
      </c>
      <c r="C61" s="114" t="str">
        <f aca="false">Checks!$N$318&amp;CHAR(10)&amp;IF(ISNUMBER(Checks!$R$318),TEXT(Checks!$R$318,"DD-MMM-YY HH:MM"),"")&amp;" "&amp;Checks!$P$318</f>
        <v>Required
11-Oct-26 13:05 HAN</v>
      </c>
      <c r="D61" s="114" t="str">
        <f aca="false">IF(Checks!$U$318="","",Checks!$U$318)&amp;IF(Checks!$AB$318="","",CHAR(10)&amp;"CA: "&amp;Checks!$AB$318)</f>
        <v/>
      </c>
      <c r="E61" s="114" t="str">
        <f aca="false">IF(Checks!$V$318="","",Checks!$V$318)&amp;IF(Checks!$AC$318="","",IF(Checks!$V$318="","",CHAR(10))&amp;"N/A just.: "&amp;Checks!$AC$318)&amp;IF(Checks!$W$318="","",CHAR(10)&amp;"Batch: "&amp;Checks!$W$318)&amp;IF(AND(Checks!$X$318="",Checks!$Y$318=""),"",CHAR(10)&amp;"Exp: "&amp;Checks!$X$318&amp;"  /  Act: "&amp;Checks!$Y$318)</f>
        <v/>
      </c>
      <c r="F61" s="114" t="str">
        <f aca="false">IF(Checks!$Z$318="","","Evidence: "&amp;Checks!$Z$318)&amp;IF(Checks!$AA$318="","",IF(Checks!$Z$318="","",CHAR(10))&amp;"CA: "&amp;Checks!$AA$318)</f>
        <v/>
      </c>
      <c r="G61" s="114" t="str">
        <f aca="false">IF(ISNUMBER(Checks!$AD$318),TEXT(Checks!$AD$318,"DD-MMM-YY HH:MM")&amp;" "&amp;Checks!$P$318,"")&amp;IF(Checks!$AE$318="","",CHAR(10)&amp;"Verifier: "&amp;Checks!$AE$318)&amp;IF(Checks!$T$318="","",CHAR(10)&amp;"PIC: "&amp;Checks!$T$318)</f>
        <v/>
      </c>
      <c r="H61" s="115" t="str">
        <f aca="false">IF(Checks!$AH$318="","",Checks!$AH$318)</f>
        <v>OPEN</v>
      </c>
    </row>
    <row r="62" customFormat="false" ht="114" hidden="false" customHeight="true" outlineLevel="0" collapsed="false">
      <c r="A62" s="114" t="str">
        <f aca="false">Checks!$A$319&amp;CHAR(10)&amp;IF(Checks!$I$319="","",Checks!$I$319&amp;": ")&amp;Checks!$J$319</f>
        <v>F09-UPL-10
F&amp;B Linen: Linen bag - on board</v>
      </c>
      <c r="B62" s="114" t="str">
        <f aca="false">Checks!$K$319&amp;IF(Checks!$O$319="","",IF(Checks!$K$319="","",CHAR(10))&amp;"Note: "&amp;Checks!$O$319)</f>
        <v>Available (ticked in reference)</v>
      </c>
      <c r="C62" s="114" t="str">
        <f aca="false">Checks!$N$319&amp;CHAR(10)&amp;IF(ISNUMBER(Checks!$R$319),TEXT(Checks!$R$319,"DD-MMM-YY HH:MM"),"")&amp;" "&amp;Checks!$P$319</f>
        <v>Required
11-Oct-26 13:05 HAN</v>
      </c>
      <c r="D62" s="114" t="str">
        <f aca="false">IF(Checks!$U$319="","",Checks!$U$319)&amp;IF(Checks!$AB$319="","",CHAR(10)&amp;"CA: "&amp;Checks!$AB$319)</f>
        <v/>
      </c>
      <c r="E62" s="114" t="str">
        <f aca="false">IF(Checks!$V$319="","",Checks!$V$319)&amp;IF(Checks!$AC$319="","",IF(Checks!$V$319="","",CHAR(10))&amp;"N/A just.: "&amp;Checks!$AC$319)&amp;IF(Checks!$W$319="","",CHAR(10)&amp;"Batch: "&amp;Checks!$W$319)&amp;IF(AND(Checks!$X$319="",Checks!$Y$319=""),"",CHAR(10)&amp;"Exp: "&amp;Checks!$X$319&amp;"  /  Act: "&amp;Checks!$Y$319)</f>
        <v/>
      </c>
      <c r="F62" s="114" t="str">
        <f aca="false">IF(Checks!$Z$319="","","Evidence: "&amp;Checks!$Z$319)&amp;IF(Checks!$AA$319="","",IF(Checks!$Z$319="","",CHAR(10))&amp;"CA: "&amp;Checks!$AA$319)</f>
        <v/>
      </c>
      <c r="G62" s="114" t="str">
        <f aca="false">IF(ISNUMBER(Checks!$AD$319),TEXT(Checks!$AD$319,"DD-MMM-YY HH:MM")&amp;" "&amp;Checks!$P$319,"")&amp;IF(Checks!$AE$319="","",CHAR(10)&amp;"Verifier: "&amp;Checks!$AE$319)&amp;IF(Checks!$T$319="","",CHAR(10)&amp;"PIC: "&amp;Checks!$T$319)</f>
        <v/>
      </c>
      <c r="H62" s="115" t="str">
        <f aca="false">IF(Checks!$AH$319="","",Checks!$AH$319)</f>
        <v>OPEN</v>
      </c>
    </row>
    <row r="63" customFormat="false" ht="114" hidden="false" customHeight="true" outlineLevel="0" collapsed="false">
      <c r="A63" s="114" t="str">
        <f aca="false">Checks!$A$320&amp;CHAR(10)&amp;IF(Checks!$I$320="","",Checks!$I$320&amp;": ")&amp;Checks!$J$320</f>
        <v>F09-UPL-11
Seat Linen: Seat pillow (BS &amp; BC) - on board</v>
      </c>
      <c r="B63" s="114" t="str">
        <f aca="false">Checks!$K$320&amp;IF(Checks!$O$320="","",IF(Checks!$K$320="","",CHAR(10))&amp;"Note: "&amp;Checks!$O$320)</f>
        <v>Available 100% (ticked in reference)</v>
      </c>
      <c r="C63" s="114" t="str">
        <f aca="false">Checks!$N$320&amp;CHAR(10)&amp;IF(ISNUMBER(Checks!$R$320),TEXT(Checks!$R$320,"DD-MMM-YY HH:MM"),"")&amp;" "&amp;Checks!$P$320</f>
        <v>Required
11-Oct-26 13:05 HAN</v>
      </c>
      <c r="D63" s="114" t="str">
        <f aca="false">IF(Checks!$U$320="","",Checks!$U$320)&amp;IF(Checks!$AB$320="","",CHAR(10)&amp;"CA: "&amp;Checks!$AB$320)</f>
        <v/>
      </c>
      <c r="E63" s="114" t="str">
        <f aca="false">IF(Checks!$V$320="","",Checks!$V$320)&amp;IF(Checks!$AC$320="","",IF(Checks!$V$320="","",CHAR(10))&amp;"N/A just.: "&amp;Checks!$AC$320)&amp;IF(Checks!$W$320="","",CHAR(10)&amp;"Batch: "&amp;Checks!$W$320)&amp;IF(AND(Checks!$X$320="",Checks!$Y$320=""),"",CHAR(10)&amp;"Exp: "&amp;Checks!$X$320&amp;"  /  Act: "&amp;Checks!$Y$320)</f>
        <v/>
      </c>
      <c r="F63" s="114" t="str">
        <f aca="false">IF(Checks!$Z$320="","","Evidence: "&amp;Checks!$Z$320)&amp;IF(Checks!$AA$320="","",IF(Checks!$Z$320="","",CHAR(10))&amp;"CA: "&amp;Checks!$AA$320)</f>
        <v/>
      </c>
      <c r="G63" s="114" t="str">
        <f aca="false">IF(ISNUMBER(Checks!$AD$320),TEXT(Checks!$AD$320,"DD-MMM-YY HH:MM")&amp;" "&amp;Checks!$P$320,"")&amp;IF(Checks!$AE$320="","",CHAR(10)&amp;"Verifier: "&amp;Checks!$AE$320)&amp;IF(Checks!$T$320="","",CHAR(10)&amp;"PIC: "&amp;Checks!$T$320)</f>
        <v/>
      </c>
      <c r="H63" s="115" t="str">
        <f aca="false">IF(Checks!$AH$320="","",Checks!$AH$320)</f>
        <v>OPEN</v>
      </c>
    </row>
    <row r="64" customFormat="false" ht="114" hidden="false" customHeight="true" outlineLevel="0" collapsed="false">
      <c r="A64" s="114" t="str">
        <f aca="false">Checks!$A$321&amp;CHAR(10)&amp;IF(Checks!$I$321="","",Checks!$I$321&amp;": ")&amp;Checks!$J$321</f>
        <v>F09-UPL-12
Seat Linen: Blanket (BS &amp; BC) - on board</v>
      </c>
      <c r="B64" s="114" t="str">
        <f aca="false">Checks!$K$321&amp;IF(Checks!$O$321="","",IF(Checks!$K$321="","",CHAR(10))&amp;"Note: "&amp;Checks!$O$321)</f>
        <v>Available 100% (ticked in reference)</v>
      </c>
      <c r="C64" s="114" t="str">
        <f aca="false">Checks!$N$321&amp;CHAR(10)&amp;IF(ISNUMBER(Checks!$R$321),TEXT(Checks!$R$321,"DD-MMM-YY HH:MM"),"")&amp;" "&amp;Checks!$P$321</f>
        <v>Required
11-Oct-26 13:05 HAN</v>
      </c>
      <c r="D64" s="114" t="str">
        <f aca="false">IF(Checks!$U$321="","",Checks!$U$321)&amp;IF(Checks!$AB$321="","",CHAR(10)&amp;"CA: "&amp;Checks!$AB$321)</f>
        <v/>
      </c>
      <c r="E64" s="114" t="str">
        <f aca="false">IF(Checks!$V$321="","",Checks!$V$321)&amp;IF(Checks!$AC$321="","",IF(Checks!$V$321="","",CHAR(10))&amp;"N/A just.: "&amp;Checks!$AC$321)&amp;IF(Checks!$W$321="","",CHAR(10)&amp;"Batch: "&amp;Checks!$W$321)&amp;IF(AND(Checks!$X$321="",Checks!$Y$321=""),"",CHAR(10)&amp;"Exp: "&amp;Checks!$X$321&amp;"  /  Act: "&amp;Checks!$Y$321)</f>
        <v/>
      </c>
      <c r="F64" s="114" t="str">
        <f aca="false">IF(Checks!$Z$321="","","Evidence: "&amp;Checks!$Z$321)&amp;IF(Checks!$AA$321="","",IF(Checks!$Z$321="","",CHAR(10))&amp;"CA: "&amp;Checks!$AA$321)</f>
        <v/>
      </c>
      <c r="G64" s="114" t="str">
        <f aca="false">IF(ISNUMBER(Checks!$AD$321),TEXT(Checks!$AD$321,"DD-MMM-YY HH:MM")&amp;" "&amp;Checks!$P$321,"")&amp;IF(Checks!$AE$321="","",CHAR(10)&amp;"Verifier: "&amp;Checks!$AE$321)&amp;IF(Checks!$T$321="","",CHAR(10)&amp;"PIC: "&amp;Checks!$T$321)</f>
        <v/>
      </c>
      <c r="H64" s="115" t="str">
        <f aca="false">IF(Checks!$AH$321="","",Checks!$AH$321)</f>
        <v>OPEN</v>
      </c>
    </row>
    <row r="66" customFormat="false" ht="24" hidden="false" customHeight="true" outlineLevel="0" collapsed="false">
      <c r="A66" s="116" t="s">
        <v>1737</v>
      </c>
      <c r="B66" s="116"/>
      <c r="C66" s="116"/>
      <c r="D66" s="116"/>
      <c r="E66" s="116" t="s">
        <v>1738</v>
      </c>
      <c r="F66" s="116"/>
      <c r="G66" s="116"/>
      <c r="H66" s="116"/>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2:H52"/>
    <mergeCell ref="A66:D66"/>
    <mergeCell ref="E66:H66"/>
    <mergeCell ref="A67:D76"/>
    <mergeCell ref="E67:H76"/>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4">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4">
    <cfRule type="expression" priority="17" aboveAverage="0" equalAverage="0" bottom="0" percent="0" rank="0" text="" dxfId="34">
      <formula>LEFT($H23,3)="N/A"</formula>
    </cfRule>
  </conditionalFormatting>
  <conditionalFormatting sqref="D23:D64">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F09 MH0753 11-Oct-26 HAN-KUL Class BC</oddHeader>
    <oddFooter>&amp;L&amp;"Arial,Bold"&amp;8 F09 MH0753 11-Oct-26 HAN-KUL Class BC&amp;C&amp;"Arial,Regular"&amp;8 Printed: ____________________&amp;R&amp;"Arial,Regular"&amp;8 F09  Page &amp;P of &amp;N</oddFooter>
  </headerFooter>
  <rowBreaks count="13" manualBreakCount="13">
    <brk id="20" man="true" max="16383" min="0"/>
    <brk id="26" man="true" max="16383" min="0"/>
    <brk id="30" man="true" max="16383" min="0"/>
    <brk id="35" man="true" max="16383" min="0"/>
    <brk id="39" man="true" max="16383" min="0"/>
    <brk id="42" man="true" max="16383" min="0"/>
    <brk id="45" man="true" max="16383" min="0"/>
    <brk id="46" man="true" max="16383" min="0"/>
    <brk id="48" man="true" max="16383" min="0"/>
    <brk id="53" man="true" max="16383" min="0"/>
    <brk id="57" man="true" max="16383" min="0"/>
    <brk id="59" man="true" max="16383" min="0"/>
    <brk id="62" man="true" max="16383" min="0"/>
  </rowBreaks>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F10  "&amp;Flights!$F$14&amp;"  "&amp;TEXT(Flights!$D$14,"DD-MMM-YY")&amp;" ("&amp;Flights!$E$14&amp;")  "&amp;Flights!$G$14&amp;" → "&amp;Flights!$H$14&amp;"  |  Class "&amp;Flights!$K$14</f>
        <v>SKYTRAX 2026 CATERING READINESS CHECKLIST  |  F10  MH1140  12-Oct-26 (MON)  KUL → PEN  |  Class BC</v>
      </c>
      <c r="B1" s="92"/>
      <c r="C1" s="92"/>
      <c r="D1" s="92"/>
      <c r="E1" s="92"/>
      <c r="F1" s="92"/>
      <c r="G1" s="92"/>
      <c r="H1" s="92"/>
    </row>
    <row r="2" customFormat="false" ht="12.75" hidden="false" customHeight="true" outlineLevel="0" collapsed="false">
      <c r="A2" s="93" t="s">
        <v>1692</v>
      </c>
      <c r="B2" s="94" t="str">
        <f aca="false">Flights!$F$14&amp;"   "&amp;TEXT(Flights!$D$14,"DD-MMM-YY")&amp;" ("&amp;Flights!$E$14&amp;")"</f>
        <v>MH1140   12-Oct-26 (MON)</v>
      </c>
      <c r="C2" s="94"/>
      <c r="D2" s="94"/>
      <c r="E2" s="95" t="s">
        <v>1693</v>
      </c>
      <c r="F2" s="96" t="str">
        <f aca="false">Flights!$AT$14</f>
        <v>NOT READY – DOCUMENTS</v>
      </c>
      <c r="G2" s="96"/>
      <c r="H2" s="96"/>
    </row>
    <row r="3" customFormat="false" ht="24" hidden="false" customHeight="true" outlineLevel="0" collapsed="false">
      <c r="A3" s="93" t="s">
        <v>1694</v>
      </c>
      <c r="B3" s="94" t="str">
        <f aca="false">Flights!$G$14&amp;" → "&amp;Flights!$H$14&amp;"   Class "&amp;Flights!$K$14&amp;"   Seat "&amp;Flights!$O$14</f>
        <v>KUL → PEN   Class BC   Seat 1F</v>
      </c>
      <c r="C3" s="94"/>
      <c r="D3" s="94"/>
      <c r="E3" s="95" t="s">
        <v>71</v>
      </c>
      <c r="F3" s="95" t="s">
        <v>1695</v>
      </c>
      <c r="G3" s="95" t="s">
        <v>1696</v>
      </c>
      <c r="H3" s="95"/>
    </row>
    <row r="4" customFormat="false" ht="24" hidden="false" customHeight="true" outlineLevel="0" collapsed="false">
      <c r="A4" s="93" t="s">
        <v>1697</v>
      </c>
      <c r="B4" s="94" t="str">
        <f aca="false">IF(ISNUMBER(Flights!$I$14),TEXT(Flights!$I$14,"DD-MMM-YY HH:MM"),"")&amp;" "&amp;Flights!$G$14&amp;"  →  "&amp;IF(ISNUMBER(Flights!$J$14),TEXT(Flights!$J$14,"DD-MMM-YY HH:MM"),"")&amp;" "&amp;Flights!$H$14</f>
        <v>12-Oct-26 11:45 KUL  →  12-Oct-26 12:45 PEN</v>
      </c>
      <c r="C4" s="94"/>
      <c r="D4" s="94"/>
      <c r="E4" s="93" t="s">
        <v>1698</v>
      </c>
      <c r="F4" s="97" t="str">
        <f aca="false">IF(ISNUMBER(Flights!$AG$14),TEXT(Flights!$AG$14,"DD-MMM-YY HH:MM"),"")&amp;" "&amp;Flights!$V$14</f>
        <v>05-Oct-26 11:45 KUL</v>
      </c>
      <c r="G4" s="98" t="n">
        <f aca="false">Flights!$AJ$14</f>
        <v>0</v>
      </c>
      <c r="H4" s="98"/>
    </row>
    <row r="5" customFormat="false" ht="24" hidden="false" customHeight="true" outlineLevel="0" collapsed="false">
      <c r="A5" s="93" t="s">
        <v>1699</v>
      </c>
      <c r="B5" s="94" t="str">
        <f aca="false">Flights!$L$14&amp;" – "&amp;Flights!$M$14</f>
        <v>B738MAX – B737-8 (B7M8)</v>
      </c>
      <c r="C5" s="94"/>
      <c r="D5" s="94"/>
      <c r="E5" s="93" t="s">
        <v>1700</v>
      </c>
      <c r="F5" s="97" t="str">
        <f aca="false">IF(ISNUMBER(Flights!$AH$14),TEXT(Flights!$AH$14,"DD-MMM-YY HH:MM"),"")&amp;" "&amp;Flights!$V$14</f>
        <v>11-Oct-26 11:45 KUL</v>
      </c>
      <c r="G5" s="98" t="n">
        <f aca="false">Flights!$AK$14</f>
        <v>0</v>
      </c>
      <c r="H5" s="98"/>
    </row>
    <row r="6" customFormat="false" ht="24" hidden="false" customHeight="true" outlineLevel="0" collapsed="false">
      <c r="A6" s="93" t="s">
        <v>1701</v>
      </c>
      <c r="B6" s="94" t="str">
        <f aca="false">IF(TRIM(Flights!$N$14)="","__________________",Flights!$N$14)</f>
        <v>__________________</v>
      </c>
      <c r="C6" s="94"/>
      <c r="D6" s="94"/>
      <c r="E6" s="93" t="s">
        <v>1702</v>
      </c>
      <c r="F6" s="97" t="str">
        <f aca="false">IF(ISNUMBER(Flights!$AI$14),TEXT(Flights!$AI$14,"DD-MMM-YY HH:MM"),"")&amp;" "&amp;Flights!$V$14&amp;IF(Flights!$AI$14=Flights!$AH$14,"  (= T-24H due)","")</f>
        <v>11-Oct-26 23:45 KUL</v>
      </c>
      <c r="G6" s="98" t="n">
        <f aca="false">Flights!$AL$14</f>
        <v>0</v>
      </c>
      <c r="H6" s="98"/>
    </row>
    <row r="7" customFormat="false" ht="24" hidden="false" customHeight="true" outlineLevel="0" collapsed="false">
      <c r="A7" s="93" t="s">
        <v>1703</v>
      </c>
      <c r="B7" s="94" t="str">
        <f aca="false">Flights!$T$14</f>
        <v>Refreshment (Peanut &amp; Water)</v>
      </c>
      <c r="C7" s="94"/>
      <c r="D7" s="94"/>
      <c r="E7" s="93" t="s">
        <v>1704</v>
      </c>
      <c r="F7" s="97" t="str">
        <f aca="false">"STD "&amp;IF(ISNUMBER(Flights!$I$14),TEXT(Flights!$I$14,"DD-MMM-YY HH:MM"),"")&amp;" "&amp;Flights!$G$14&amp;" (dep stn)"</f>
        <v>STD 12-Oct-26 11:45 KUL (dep stn)</v>
      </c>
      <c r="G7" s="98" t="n">
        <f aca="false">Flights!$AM$14</f>
        <v>0</v>
      </c>
      <c r="H7" s="98"/>
    </row>
    <row r="8" customFormat="false" ht="12.75" hidden="false" customHeight="true" outlineLevel="0" collapsed="false">
      <c r="A8" s="93" t="s">
        <v>153</v>
      </c>
      <c r="B8" s="94" t="str">
        <f aca="false">Flights!$V$14&amp;"   (reference uplift stns: "&amp;Flights!$U$14&amp;")"</f>
        <v>KUL   (reference uplift stns: KUL)</v>
      </c>
      <c r="C8" s="94"/>
      <c r="D8" s="94"/>
      <c r="E8" s="93" t="s">
        <v>1705</v>
      </c>
      <c r="F8" s="99" t="s">
        <v>1706</v>
      </c>
      <c r="G8" s="98" t="n">
        <f aca="false">Flights!$AN$14</f>
        <v>0</v>
      </c>
      <c r="H8" s="98"/>
    </row>
    <row r="9" customFormat="false" ht="12.75" hidden="false" customHeight="true" outlineLevel="0" collapsed="false">
      <c r="A9" s="93" t="s">
        <v>1707</v>
      </c>
      <c r="B9" s="94" t="str">
        <f aca="false">TRIM(Flights!$P$14&amp;"  "&amp;Flights!$Q$14)</f>
        <v>-</v>
      </c>
      <c r="C9" s="94"/>
      <c r="D9" s="94"/>
      <c r="E9" s="93" t="s">
        <v>1708</v>
      </c>
      <c r="F9" s="100" t="n">
        <f aca="false">Flights!$AP$14</f>
        <v>0</v>
      </c>
      <c r="G9" s="100" t="n">
        <f aca="false">Flights!$AQ$14</f>
        <v>0</v>
      </c>
      <c r="H9" s="100" t="n">
        <f aca="false">Flights!$AU$14</f>
        <v>0</v>
      </c>
    </row>
    <row r="10" customFormat="false" ht="24" hidden="false" customHeight="true" outlineLevel="0" collapsed="false">
      <c r="A10" s="93" t="s">
        <v>1709</v>
      </c>
      <c r="B10" s="94" t="str">
        <f aca="false">IF(TRIM(Flights!$X$14)="","__________________",Flights!$X$14)</f>
        <v>__________________</v>
      </c>
      <c r="C10" s="94"/>
      <c r="D10" s="94"/>
      <c r="E10" s="93" t="s">
        <v>1710</v>
      </c>
      <c r="F10" s="100" t="n">
        <f aca="false">Flights!$AO$14</f>
        <v>34</v>
      </c>
      <c r="G10" s="100" t="n">
        <f aca="false">Flights!$AS$14</f>
        <v>0</v>
      </c>
      <c r="H10" s="100" t="n">
        <f aca="false">Flights!$AR$14</f>
        <v>2</v>
      </c>
    </row>
    <row r="11" customFormat="false" ht="21" hidden="false" customHeight="true" outlineLevel="0" collapsed="false">
      <c r="A11" s="93" t="s">
        <v>1711</v>
      </c>
      <c r="B11" s="94" t="str">
        <f aca="false">IF(TRIM(Flights!$Y$14)="","__________________",Flights!$Y$14)</f>
        <v>__________________</v>
      </c>
      <c r="C11" s="94"/>
      <c r="D11" s="94"/>
      <c r="E11" s="93" t="s">
        <v>1712</v>
      </c>
      <c r="F11" s="100" t="str">
        <f aca="false">Flights!$AV$14&amp;" / "&amp;Flights!$AW$14</f>
        <v>0 / 34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IF(Documents!$F$14="","",Documents!$F$14)</f>
        <v/>
      </c>
      <c r="C14" s="99" t="str">
        <f aca="false">IF(Documents!$G$14="","",Documents!$G$14)&amp;IF(ISNUMBER(Documents!$H$14),"  "&amp;TEXT(Documents!$H$14,"DD-MMM-YY"),"")</f>
        <v/>
      </c>
      <c r="D14" s="99"/>
      <c r="E14" s="107" t="str">
        <f aca="false">IF(Documents!$J$14="OUTSTANDING","OUTSTANDING – attach before T-7D (due "&amp;IF(ISNUMBER(Flights!$AG$14),TEXT(Flights!$AG$14,"DD-MMM-YY HH:MM"),"")&amp;" "&amp;Flights!$V$14&amp;")",IF(Documents!$J$14="","Status not recorded",Documents!$J$14))</f>
        <v>OUTSTANDING – attach before T-7D (due 05-Oct-26 11:45 KUL)</v>
      </c>
      <c r="F14" s="108" t="str">
        <f aca="false">"Staple behind this sheet as page A1."&amp;IF(Documents!$I$14="",""," Location: "&amp;Documents!$I$14)</f>
        <v>Staple behind this sheet as page A1.</v>
      </c>
      <c r="G14" s="108"/>
      <c r="H14" s="108"/>
    </row>
    <row r="15" customFormat="false" ht="36" hidden="false" customHeight="true" outlineLevel="0" collapsed="false">
      <c r="A15" s="93" t="s">
        <v>1723</v>
      </c>
      <c r="B15" s="94" t="str">
        <f aca="false">IF(Documents!$K$14="","",Documents!$K$14)</f>
        <v/>
      </c>
      <c r="C15" s="99" t="str">
        <f aca="false">IF(Documents!$L$14="","",Documents!$L$14)&amp;IF(ISNUMBER(Documents!$M$14),"  "&amp;TEXT(Documents!$M$14,"DD-MMM-YY"),"")</f>
        <v/>
      </c>
      <c r="D15" s="99"/>
      <c r="E15" s="107" t="str">
        <f aca="false">IF(Documents!$O$14="OUTSTANDING","OUTSTANDING – attach before T-7D (due "&amp;IF(ISNUMBER(Flights!$AG$14),TEXT(Flights!$AG$14,"DD-MMM-YY HH:MM"),"")&amp;" "&amp;Flights!$V$14&amp;")",IF(Documents!$O$14="","Status not recorded",Documents!$O$14))</f>
        <v>OUTSTANDING – attach before T-7D (due 05-Oct-26 11:45 KUL)</v>
      </c>
      <c r="F15" s="108" t="str">
        <f aca="false">"Staple behind this sheet as page A2."&amp;IF(Documents!$N$14="",""," Location: "&amp;Documents!$N$14)</f>
        <v>Staple behind this sheet as page A2.</v>
      </c>
      <c r="G15" s="108"/>
      <c r="H15" s="108"/>
    </row>
    <row r="16" customFormat="false" ht="22.5" hidden="false" customHeight="true" outlineLevel="0" collapsed="false">
      <c r="A16" s="93" t="s">
        <v>1724</v>
      </c>
      <c r="B16" s="109" t="str">
        <f aca="false">IF(Documents!$Q$14="","",Documents!$Q$14)</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"&amp;IF(TRIM(Flights!$Y$14)="","__________________",Flights!$Y$14)</f>
        <v>Name: __________________</v>
      </c>
      <c r="B18" s="94"/>
      <c r="C18" s="94" t="str">
        <f aca="false">"Name: __________________"</f>
        <v>Name: __________________</v>
      </c>
      <c r="D18" s="94"/>
      <c r="E18" s="94"/>
      <c r="F18" s="94" t="str">
        <f aca="false">"Name: __________________"&amp;"   Station: "&amp;Flights!$V$14</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"&amp;IF(ISNUMBER(Flights!$AG$14),TEXT(Flights!$AG$14,"DD-MMM-YY HH:MM"),"")&amp;" "&amp;Flights!$V$14&amp;" (meal uplift stn)"&amp;" (rows with another due show their own)  |  Complete "&amp;IF(ISNUMBER(Flights!$AJ$14),TEXT(Flights!$AJ$14,"0%"),Flights!$AJ$14)&amp;"  |  9 lines"</f>
        <v>T-7D — 7 days before departure  |  Due 05-Oct-26 11:45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Checks!$A$322&amp;CHAR(10)&amp;IF(Checks!$I$322="","",Checks!$I$322&amp;": ")&amp;Checks!$J$322</f>
        <v>F10-T7-01
Meal: Meal sensory testing completed for this flight's menu cycle (assessed class)</v>
      </c>
      <c r="B23" s="114" t="str">
        <f aca="false">Checks!$K$322&amp;IF(Checks!$O$322="","",IF(Checks!$K$322="","",CHAR(10))&amp;"Note: "&amp;Checks!$O$322)</f>
        <v>Record panel result / score in Result
Note: Refreshment service: sensory test covers the refreshment items.</v>
      </c>
      <c r="C23" s="114" t="str">
        <f aca="false">Checks!$N$322&amp;CHAR(10)&amp;IF(ISNUMBER(Checks!$R$322),TEXT(Checks!$R$322,"DD-MMM-YY HH:MM"),"")&amp;" "&amp;Checks!$P$322</f>
        <v>Required
05-Oct-26 11:45 KUL</v>
      </c>
      <c r="D23" s="114" t="str">
        <f aca="false">IF(Checks!$U$322="","",Checks!$U$322)&amp;IF(Checks!$AB$322="","",CHAR(10)&amp;"CA: "&amp;Checks!$AB$322)</f>
        <v/>
      </c>
      <c r="E23" s="114" t="str">
        <f aca="false">IF(Checks!$V$322="","",Checks!$V$322)&amp;IF(Checks!$AC$322="","",IF(Checks!$V$322="","",CHAR(10))&amp;"N/A just.: "&amp;Checks!$AC$322)&amp;IF(Checks!$W$322="","",CHAR(10)&amp;"Batch: "&amp;Checks!$W$322)&amp;IF(AND(Checks!$X$322="",Checks!$Y$322=""),"",CHAR(10)&amp;"Exp: "&amp;Checks!$X$322&amp;"  /  Act: "&amp;Checks!$Y$322)</f>
        <v/>
      </c>
      <c r="F23" s="114" t="str">
        <f aca="false">IF(Checks!$Z$322="","","Evidence: "&amp;Checks!$Z$322)&amp;IF(Checks!$AA$322="","",IF(Checks!$Z$322="","",CHAR(10))&amp;"CA: "&amp;Checks!$AA$322)</f>
        <v/>
      </c>
      <c r="G23" s="114" t="str">
        <f aca="false">IF(ISNUMBER(Checks!$AD$322),TEXT(Checks!$AD$322,"DD-MMM-YY HH:MM")&amp;" "&amp;Checks!$P$322,"")&amp;IF(Checks!$AE$322="","",CHAR(10)&amp;"Verifier: "&amp;Checks!$AE$322)&amp;IF(Checks!$T$322="","",CHAR(10)&amp;"PIC: "&amp;Checks!$T$322)</f>
        <v/>
      </c>
      <c r="H23" s="115" t="str">
        <f aca="false">IF(Checks!$AH$322="","",Checks!$AH$322)</f>
        <v>OPEN</v>
      </c>
    </row>
    <row r="24" customFormat="false" ht="114" hidden="false" customHeight="true" outlineLevel="0" collapsed="false">
      <c r="A24" s="114" t="str">
        <f aca="false">Checks!$A$323&amp;CHAR(10)&amp;IF(Checks!$I$323="","",Checks!$I$323&amp;": ")&amp;Checks!$J$323</f>
        <v>F10-T7-02
Menu: Printed menu cards confirmed (content, cycle, language, quantity)</v>
      </c>
      <c r="B24" s="114" t="str">
        <f aca="false">Checks!$K$323&amp;IF(Checks!$O$323="","",IF(Checks!$K$323="","",CHAR(10))&amp;"Note: "&amp;Checks!$O$323)</f>
        <v>Menu card matches approved menu for this flight
Note: Refreshment service (peanut &amp; water). If no printed menu card is used, mark N/A with the confirmation as justification.</v>
      </c>
      <c r="C24" s="114" t="str">
        <f aca="false">Checks!$N$323&amp;CHAR(10)&amp;IF(ISNUMBER(Checks!$R$323),TEXT(Checks!$R$323,"DD-MMM-YY HH:MM"),"")&amp;" "&amp;Checks!$P$323</f>
        <v>Required
05-Oct-26 11:45 KUL</v>
      </c>
      <c r="D24" s="114" t="str">
        <f aca="false">IF(Checks!$U$323="","",Checks!$U$323)&amp;IF(Checks!$AB$323="","",CHAR(10)&amp;"CA: "&amp;Checks!$AB$323)</f>
        <v/>
      </c>
      <c r="E24" s="114" t="str">
        <f aca="false">IF(Checks!$V$323="","",Checks!$V$323)&amp;IF(Checks!$AC$323="","",IF(Checks!$V$323="","",CHAR(10))&amp;"N/A just.: "&amp;Checks!$AC$323)&amp;IF(Checks!$W$323="","",CHAR(10)&amp;"Batch: "&amp;Checks!$W$323)&amp;IF(AND(Checks!$X$323="",Checks!$Y$323=""),"",CHAR(10)&amp;"Exp: "&amp;Checks!$X$323&amp;"  /  Act: "&amp;Checks!$Y$323)</f>
        <v/>
      </c>
      <c r="F24" s="114" t="str">
        <f aca="false">IF(Checks!$Z$323="","","Evidence: "&amp;Checks!$Z$323)&amp;IF(Checks!$AA$323="","",IF(Checks!$Z$323="","",CHAR(10))&amp;"CA: "&amp;Checks!$AA$323)</f>
        <v/>
      </c>
      <c r="G24" s="114" t="str">
        <f aca="false">IF(ISNUMBER(Checks!$AD$323),TEXT(Checks!$AD$323,"DD-MMM-YY HH:MM")&amp;" "&amp;Checks!$P$323,"")&amp;IF(Checks!$AE$323="","",CHAR(10)&amp;"Verifier: "&amp;Checks!$AE$323)&amp;IF(Checks!$T$323="","",CHAR(10)&amp;"PIC: "&amp;Checks!$T$323)</f>
        <v/>
      </c>
      <c r="H24" s="115" t="str">
        <f aca="false">IF(Checks!$AH$323="","",Checks!$AH$323)</f>
        <v>OPEN</v>
      </c>
    </row>
    <row r="25" customFormat="false" ht="114" hidden="false" customHeight="true" outlineLevel="0" collapsed="false">
      <c r="A25" s="114" t="str">
        <f aca="false">Checks!$A$324&amp;CHAR(10)&amp;IF(Checks!$I$324="","",Checks!$I$324&amp;": ")&amp;Checks!$J$324</f>
        <v>F10-T7-03
IFE: Digital menu in IFE confirmed (A339 only)</v>
      </c>
      <c r="B25" s="114" t="str">
        <f aca="false">Checks!$K$324&amp;IF(Checks!$O$324="","",IF(Checks!$K$324="","",CHAR(10))&amp;"Note: "&amp;Checks!$O$324)</f>
        <v>Applies when fleet = A339
Note: Digital IFE menu applies to A339 only (user brief). Applicability follows the Fleet cell on Flights.</v>
      </c>
      <c r="C25" s="114" t="str">
        <f aca="false">Checks!$N$324&amp;CHAR(10)&amp;IF(ISNUMBER(Checks!$R$324),TEXT(Checks!$R$324,"DD-MMM-YY HH:MM"),"")&amp;" "&amp;Checks!$P$324</f>
        <v>N/A – rule
05-Oct-26 11:45 KUL</v>
      </c>
      <c r="D25" s="114" t="str">
        <f aca="false">IF(Checks!$U$324="","",Checks!$U$324)&amp;IF(Checks!$AB$324="","",CHAR(10)&amp;"CA: "&amp;Checks!$AB$324)</f>
        <v/>
      </c>
      <c r="E25" s="114" t="str">
        <f aca="false">IF(Checks!$V$324="","",Checks!$V$324)&amp;IF(Checks!$AC$324="","",IF(Checks!$V$324="","",CHAR(10))&amp;"N/A just.: "&amp;Checks!$AC$324)&amp;IF(Checks!$W$324="","",CHAR(10)&amp;"Batch: "&amp;Checks!$W$324)&amp;IF(AND(Checks!$X$324="",Checks!$Y$324=""),"",CHAR(10)&amp;"Exp: "&amp;Checks!$X$324&amp;"  /  Act: "&amp;Checks!$Y$324)</f>
        <v/>
      </c>
      <c r="F25" s="114" t="str">
        <f aca="false">IF(Checks!$Z$324="","","Evidence: "&amp;Checks!$Z$324)&amp;IF(Checks!$AA$324="","",IF(Checks!$Z$324="","",CHAR(10))&amp;"CA: "&amp;Checks!$AA$324)</f>
        <v/>
      </c>
      <c r="G25" s="114" t="str">
        <f aca="false">IF(ISNUMBER(Checks!$AD$324),TEXT(Checks!$AD$324,"DD-MMM-YY HH:MM")&amp;" "&amp;Checks!$P$324,"")&amp;IF(Checks!$AE$324="","",CHAR(10)&amp;"Verifier: "&amp;Checks!$AE$324)&amp;IF(Checks!$T$324="","",CHAR(10)&amp;"PIC: "&amp;Checks!$T$324)</f>
        <v/>
      </c>
      <c r="H25" s="115" t="str">
        <f aca="false">IF(Checks!$AH$324="","",Checks!$AH$324)</f>
        <v>N/A – RULE</v>
      </c>
    </row>
    <row r="26" customFormat="false" ht="114" hidden="false" customHeight="true" outlineLevel="0" collapsed="false">
      <c r="A26" s="114" t="str">
        <f aca="false">Checks!$A$325&amp;CHAR(10)&amp;IF(Checks!$I$325="","",Checks!$I$325&amp;": ")&amp;Checks!$J$325</f>
        <v>F10-T7-04
Staffing: Experienced catering officer assigned to this flight</v>
      </c>
      <c r="B26" s="114" t="str">
        <f aca="false">Checks!$K$325&amp;IF(Checks!$O$325="","",IF(Checks!$K$325="","",CHAR(10))&amp;"Note: "&amp;Checks!$O$325)</f>
        <v>Record officer name in Result</v>
      </c>
      <c r="C26" s="114" t="str">
        <f aca="false">Checks!$N$325&amp;CHAR(10)&amp;IF(ISNUMBER(Checks!$R$325),TEXT(Checks!$R$325,"DD-MMM-YY HH:MM"),"")&amp;" "&amp;Checks!$P$325</f>
        <v>Required
05-Oct-26 11:45 KUL</v>
      </c>
      <c r="D26" s="114" t="str">
        <f aca="false">IF(Checks!$U$325="","",Checks!$U$325)&amp;IF(Checks!$AB$325="","",CHAR(10)&amp;"CA: "&amp;Checks!$AB$325)</f>
        <v/>
      </c>
      <c r="E26" s="114" t="str">
        <f aca="false">IF(Checks!$V$325="","",Checks!$V$325)&amp;IF(Checks!$AC$325="","",IF(Checks!$V$325="","",CHAR(10))&amp;"N/A just.: "&amp;Checks!$AC$325)&amp;IF(Checks!$W$325="","",CHAR(10)&amp;"Batch: "&amp;Checks!$W$325)&amp;IF(AND(Checks!$X$325="",Checks!$Y$325=""),"",CHAR(10)&amp;"Exp: "&amp;Checks!$X$325&amp;"  /  Act: "&amp;Checks!$Y$325)</f>
        <v/>
      </c>
      <c r="F26" s="114" t="str">
        <f aca="false">IF(Checks!$Z$325="","","Evidence: "&amp;Checks!$Z$325)&amp;IF(Checks!$AA$325="","",IF(Checks!$Z$325="","",CHAR(10))&amp;"CA: "&amp;Checks!$AA$325)</f>
        <v/>
      </c>
      <c r="G26" s="114" t="str">
        <f aca="false">IF(ISNUMBER(Checks!$AD$325),TEXT(Checks!$AD$325,"DD-MMM-YY HH:MM")&amp;" "&amp;Checks!$P$325,"")&amp;IF(Checks!$AE$325="","",CHAR(10)&amp;"Verifier: "&amp;Checks!$AE$325)&amp;IF(Checks!$T$325="","",CHAR(10)&amp;"PIC: "&amp;Checks!$T$325)</f>
        <v/>
      </c>
      <c r="H26" s="115" t="str">
        <f aca="false">IF(Checks!$AH$325="","",Checks!$AH$325)</f>
        <v>OPEN</v>
      </c>
    </row>
    <row r="27" customFormat="false" ht="114" hidden="false" customHeight="true" outlineLevel="0" collapsed="false">
      <c r="A27" s="114" t="str">
        <f aca="false">Checks!$A$326&amp;CHAR(10)&amp;IF(Checks!$I$326="","",Checks!$I$326&amp;": ")&amp;Checks!$J$326</f>
        <v>F10-T7-05
ISOP: All latest applicable ISOP revisions communicated to caterer</v>
      </c>
      <c r="B27" s="114" t="str">
        <f aca="false">Checks!$K$326&amp;IF(Checks!$O$326="","",IF(Checks!$K$326="","",CHAR(10))&amp;"Note: "&amp;Checks!$O$326)</f>
        <v>List revision numbers in Result (see ISOP register)</v>
      </c>
      <c r="C27" s="114" t="str">
        <f aca="false">Checks!$N$326&amp;CHAR(10)&amp;IF(ISNUMBER(Checks!$R$326),TEXT(Checks!$R$326,"DD-MMM-YY HH:MM"),"")&amp;" "&amp;Checks!$P$326</f>
        <v>Required
05-Oct-26 11:45 KUL</v>
      </c>
      <c r="D27" s="114" t="str">
        <f aca="false">IF(Checks!$U$326="","",Checks!$U$326)&amp;IF(Checks!$AB$326="","",CHAR(10)&amp;"CA: "&amp;Checks!$AB$326)</f>
        <v/>
      </c>
      <c r="E27" s="114" t="str">
        <f aca="false">IF(Checks!$V$326="","",Checks!$V$326)&amp;IF(Checks!$AC$326="","",IF(Checks!$V$326="","",CHAR(10))&amp;"N/A just.: "&amp;Checks!$AC$326)&amp;IF(Checks!$W$326="","",CHAR(10)&amp;"Batch: "&amp;Checks!$W$326)&amp;IF(AND(Checks!$X$326="",Checks!$Y$326=""),"",CHAR(10)&amp;"Exp: "&amp;Checks!$X$326&amp;"  /  Act: "&amp;Checks!$Y$326)</f>
        <v/>
      </c>
      <c r="F27" s="114" t="str">
        <f aca="false">IF(Checks!$Z$326="","","Evidence: "&amp;Checks!$Z$326)&amp;IF(Checks!$AA$326="","",IF(Checks!$Z$326="","",CHAR(10))&amp;"CA: "&amp;Checks!$AA$326)</f>
        <v/>
      </c>
      <c r="G27" s="114" t="str">
        <f aca="false">IF(ISNUMBER(Checks!$AD$326),TEXT(Checks!$AD$326,"DD-MMM-YY HH:MM")&amp;" "&amp;Checks!$P$326,"")&amp;IF(Checks!$AE$326="","",CHAR(10)&amp;"Verifier: "&amp;Checks!$AE$326)&amp;IF(Checks!$T$326="","",CHAR(10)&amp;"PIC: "&amp;Checks!$T$326)</f>
        <v/>
      </c>
      <c r="H27" s="115" t="str">
        <f aca="false">IF(Checks!$AH$326="","",Checks!$AH$326)</f>
        <v>OPEN</v>
      </c>
    </row>
    <row r="28" customFormat="false" ht="114" hidden="false" customHeight="true" outlineLevel="0" collapsed="false">
      <c r="A28" s="114" t="str">
        <f aca="false">Checks!$A$327&amp;CHAR(10)&amp;IF(Checks!$I$327="","",Checks!$I$327&amp;": ")&amp;Checks!$J$327</f>
        <v>F10-T7-06
ISOP: Caterer acknowledgement of ISOP revisions recorded</v>
      </c>
      <c r="B28" s="114" t="str">
        <f aca="false">Checks!$K$327&amp;IF(Checks!$O$327="","",IF(Checks!$K$327="","",CHAR(10))&amp;"Note: "&amp;Checks!$O$327)</f>
        <v>Record acknowledgement ref in Evidence</v>
      </c>
      <c r="C28" s="114" t="str">
        <f aca="false">Checks!$N$327&amp;CHAR(10)&amp;IF(ISNUMBER(Checks!$R$327),TEXT(Checks!$R$327,"DD-MMM-YY HH:MM"),"")&amp;" "&amp;Checks!$P$327</f>
        <v>Required
05-Oct-26 11:45 KUL</v>
      </c>
      <c r="D28" s="114" t="str">
        <f aca="false">IF(Checks!$U$327="","",Checks!$U$327)&amp;IF(Checks!$AB$327="","",CHAR(10)&amp;"CA: "&amp;Checks!$AB$327)</f>
        <v/>
      </c>
      <c r="E28" s="114" t="str">
        <f aca="false">IF(Checks!$V$327="","",Checks!$V$327)&amp;IF(Checks!$AC$327="","",IF(Checks!$V$327="","",CHAR(10))&amp;"N/A just.: "&amp;Checks!$AC$327)&amp;IF(Checks!$W$327="","",CHAR(10)&amp;"Batch: "&amp;Checks!$W$327)&amp;IF(AND(Checks!$X$327="",Checks!$Y$327=""),"",CHAR(10)&amp;"Exp: "&amp;Checks!$X$327&amp;"  /  Act: "&amp;Checks!$Y$327)</f>
        <v/>
      </c>
      <c r="F28" s="114" t="str">
        <f aca="false">IF(Checks!$Z$327="","","Evidence: "&amp;Checks!$Z$327)&amp;IF(Checks!$AA$327="","",IF(Checks!$Z$327="","",CHAR(10))&amp;"CA: "&amp;Checks!$AA$327)</f>
        <v/>
      </c>
      <c r="G28" s="114" t="str">
        <f aca="false">IF(ISNUMBER(Checks!$AD$327),TEXT(Checks!$AD$327,"DD-MMM-YY HH:MM")&amp;" "&amp;Checks!$P$327,"")&amp;IF(Checks!$AE$327="","",CHAR(10)&amp;"Verifier: "&amp;Checks!$AE$327)&amp;IF(Checks!$T$327="","",CHAR(10)&amp;"PIC: "&amp;Checks!$T$327)</f>
        <v/>
      </c>
      <c r="H28" s="115" t="str">
        <f aca="false">IF(Checks!$AH$327="","",Checks!$AH$327)</f>
        <v>OPEN</v>
      </c>
    </row>
    <row r="29" customFormat="false" ht="114" hidden="false" customHeight="true" outlineLevel="0" collapsed="false">
      <c r="A29" s="114" t="str">
        <f aca="false">Checks!$A$328&amp;CHAR(10)&amp;IF(Checks!$I$328="","",Checks!$I$328&amp;": ")&amp;Checks!$J$328</f>
        <v>F10-T7-07
Documents: Galley loading diagram (GLD) received, revision recorded &amp; attached</v>
      </c>
      <c r="B29" s="114" t="str">
        <f aca="false">Checks!$K$328&amp;IF(Checks!$O$328="","",IF(Checks!$K$328="","",CHAR(10))&amp;"Note: "&amp;Checks!$O$328)</f>
        <v>Documents sheet row complete</v>
      </c>
      <c r="C29" s="114" t="str">
        <f aca="false">Checks!$N$328&amp;CHAR(10)&amp;IF(ISNUMBER(Checks!$R$328),TEXT(Checks!$R$328,"DD-MMM-YY HH:MM"),"")&amp;" "&amp;Checks!$P$328</f>
        <v>Required
05-Oct-26 11:45 KUL</v>
      </c>
      <c r="D29" s="114" t="str">
        <f aca="false">IF(Checks!$U$328="","",Checks!$U$328)&amp;IF(Checks!$AB$328="","",CHAR(10)&amp;"CA: "&amp;Checks!$AB$328)</f>
        <v/>
      </c>
      <c r="E29" s="114" t="str">
        <f aca="false">IF(Checks!$V$328="","",Checks!$V$328)&amp;IF(Checks!$AC$328="","",IF(Checks!$V$328="","",CHAR(10))&amp;"N/A just.: "&amp;Checks!$AC$328)&amp;IF(Checks!$W$328="","",CHAR(10)&amp;"Batch: "&amp;Checks!$W$328)&amp;IF(AND(Checks!$X$328="",Checks!$Y$328=""),"",CHAR(10)&amp;"Exp: "&amp;Checks!$X$328&amp;"  /  Act: "&amp;Checks!$Y$328)</f>
        <v/>
      </c>
      <c r="F29" s="114" t="str">
        <f aca="false">IF(Checks!$Z$328="","","Evidence: "&amp;Checks!$Z$328)&amp;IF(Checks!$AA$328="","",IF(Checks!$Z$328="","",CHAR(10))&amp;"CA: "&amp;Checks!$AA$328)</f>
        <v/>
      </c>
      <c r="G29" s="114" t="str">
        <f aca="false">IF(ISNUMBER(Checks!$AD$328),TEXT(Checks!$AD$328,"DD-MMM-YY HH:MM")&amp;" "&amp;Checks!$P$328,"")&amp;IF(Checks!$AE$328="","",CHAR(10)&amp;"Verifier: "&amp;Checks!$AE$328)&amp;IF(Checks!$T$328="","",CHAR(10)&amp;"PIC: "&amp;Checks!$T$328)</f>
        <v/>
      </c>
      <c r="H29" s="115" t="str">
        <f aca="false">IF(Checks!$AH$328="","",Checks!$AH$328)</f>
        <v>OPEN</v>
      </c>
    </row>
    <row r="30" customFormat="false" ht="114" hidden="false" customHeight="true" outlineLevel="0" collapsed="false">
      <c r="A30" s="114" t="str">
        <f aca="false">Checks!$A$329&amp;CHAR(10)&amp;IF(Checks!$I$329="","",Checks!$I$329&amp;": ")&amp;Checks!$J$329</f>
        <v>F10-T7-08
Documents: Menu checklist received, revision recorded &amp; attached</v>
      </c>
      <c r="B30" s="114" t="str">
        <f aca="false">Checks!$K$329&amp;IF(Checks!$O$329="","",IF(Checks!$K$329="","",CHAR(10))&amp;"Note: "&amp;Checks!$O$329)</f>
        <v>Documents sheet row complete</v>
      </c>
      <c r="C30" s="114" t="str">
        <f aca="false">Checks!$N$329&amp;CHAR(10)&amp;IF(ISNUMBER(Checks!$R$329),TEXT(Checks!$R$329,"DD-MMM-YY HH:MM"),"")&amp;" "&amp;Checks!$P$329</f>
        <v>Required
05-Oct-26 11:45 KUL</v>
      </c>
      <c r="D30" s="114" t="str">
        <f aca="false">IF(Checks!$U$329="","",Checks!$U$329)&amp;IF(Checks!$AB$329="","",CHAR(10)&amp;"CA: "&amp;Checks!$AB$329)</f>
        <v/>
      </c>
      <c r="E30" s="114" t="str">
        <f aca="false">IF(Checks!$V$329="","",Checks!$V$329)&amp;IF(Checks!$AC$329="","",IF(Checks!$V$329="","",CHAR(10))&amp;"N/A just.: "&amp;Checks!$AC$329)&amp;IF(Checks!$W$329="","",CHAR(10)&amp;"Batch: "&amp;Checks!$W$329)&amp;IF(AND(Checks!$X$329="",Checks!$Y$329=""),"",CHAR(10)&amp;"Exp: "&amp;Checks!$X$329&amp;"  /  Act: "&amp;Checks!$Y$329)</f>
        <v/>
      </c>
      <c r="F30" s="114" t="str">
        <f aca="false">IF(Checks!$Z$329="","","Evidence: "&amp;Checks!$Z$329)&amp;IF(Checks!$AA$329="","",IF(Checks!$Z$329="","",CHAR(10))&amp;"CA: "&amp;Checks!$AA$329)</f>
        <v/>
      </c>
      <c r="G30" s="114" t="str">
        <f aca="false">IF(ISNUMBER(Checks!$AD$329),TEXT(Checks!$AD$329,"DD-MMM-YY HH:MM")&amp;" "&amp;Checks!$P$329,"")&amp;IF(Checks!$AE$329="","",CHAR(10)&amp;"Verifier: "&amp;Checks!$AE$329)&amp;IF(Checks!$T$329="","",CHAR(10)&amp;"PIC: "&amp;Checks!$T$329)</f>
        <v/>
      </c>
      <c r="H30" s="115" t="str">
        <f aca="false">IF(Checks!$AH$329="","",Checks!$AH$329)</f>
        <v>OPEN</v>
      </c>
    </row>
    <row r="31" customFormat="false" ht="114" hidden="false" customHeight="true" outlineLevel="0" collapsed="false">
      <c r="A31" s="114" t="str">
        <f aca="false">Checks!$A$330&amp;CHAR(10)&amp;IF(Checks!$I$330="","",Checks!$I$330&amp;": ")&amp;Checks!$J$330</f>
        <v>F10-T7-09
Uplift plan: Uplift plan confirmed with caterer vs STD Uplift Information</v>
      </c>
      <c r="B31" s="114" t="str">
        <f aca="false">Checks!$K$330&amp;IF(Checks!$O$330="","",IF(Checks!$K$330="","",CHAR(10))&amp;"Note: "&amp;Checks!$O$330)</f>
        <v>Service: Refreshment (Peanut &amp; Water); meal uplift stn KUL (ref lists KUL)</v>
      </c>
      <c r="C31" s="114" t="str">
        <f aca="false">Checks!$N$330&amp;CHAR(10)&amp;IF(ISNUMBER(Checks!$R$330),TEXT(Checks!$R$330,"DD-MMM-YY HH:MM"),"")&amp;" "&amp;Checks!$P$330</f>
        <v>Required
05-Oct-26 11:45 KUL</v>
      </c>
      <c r="D31" s="114" t="str">
        <f aca="false">IF(Checks!$U$330="","",Checks!$U$330)&amp;IF(Checks!$AB$330="","",CHAR(10)&amp;"CA: "&amp;Checks!$AB$330)</f>
        <v/>
      </c>
      <c r="E31" s="114" t="str">
        <f aca="false">IF(Checks!$V$330="","",Checks!$V$330)&amp;IF(Checks!$AC$330="","",IF(Checks!$V$330="","",CHAR(10))&amp;"N/A just.: "&amp;Checks!$AC$330)&amp;IF(Checks!$W$330="","",CHAR(10)&amp;"Batch: "&amp;Checks!$W$330)&amp;IF(AND(Checks!$X$330="",Checks!$Y$330=""),"",CHAR(10)&amp;"Exp: "&amp;Checks!$X$330&amp;"  /  Act: "&amp;Checks!$Y$330)</f>
        <v/>
      </c>
      <c r="F31" s="114" t="str">
        <f aca="false">IF(Checks!$Z$330="","","Evidence: "&amp;Checks!$Z$330)&amp;IF(Checks!$AA$330="","",IF(Checks!$Z$330="","",CHAR(10))&amp;"CA: "&amp;Checks!$AA$330)</f>
        <v/>
      </c>
      <c r="G31" s="114" t="str">
        <f aca="false">IF(ISNUMBER(Checks!$AD$330),TEXT(Checks!$AD$330,"DD-MMM-YY HH:MM")&amp;" "&amp;Checks!$P$330,"")&amp;IF(Checks!$AE$330="","",CHAR(10)&amp;"Verifier: "&amp;Checks!$AE$330)&amp;IF(Checks!$T$330="","",CHAR(10)&amp;"PIC: "&amp;Checks!$T$330)</f>
        <v/>
      </c>
      <c r="H31" s="115" t="str">
        <f aca="false">IF(Checks!$AH$330="","",Checks!$AH$330)</f>
        <v>OPEN</v>
      </c>
    </row>
    <row r="32" customFormat="false" ht="25.5" hidden="false" customHeight="true" outlineLevel="0" collapsed="false">
      <c r="A32" s="113" t="str">
        <f aca="false">"T-24H — Production batch sensory  |  Due "&amp;IF(ISNUMBER(Flights!$AH$14),TEXT(Flights!$AH$14,"DD-MMM-YY HH:MM"),"")&amp;" "&amp;Flights!$V$14&amp;" (meal uplift stn)"&amp;" (rows with another due show their own)  |  Complete "&amp;IF(ISNUMBER(Flights!$AK$14),TEXT(Flights!$AK$14,"0%"),Flights!$AK$14)&amp;"  |  1 lines"</f>
        <v>T-24H — Production batch sensory  |  Due 11-Oct-26 11:45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Checks!$A$331&amp;CHAR(10)&amp;IF(Checks!$I$331="","",Checks!$I$331&amp;": ")&amp;Checks!$J$331</f>
        <v>F10-T24-01
Meal: Sensory test repeated on ACTUAL production batch for this flight</v>
      </c>
      <c r="B33" s="114" t="str">
        <f aca="false">Checks!$K$331&amp;IF(Checks!$O$331="","",IF(Checks!$K$331="","",CHAR(10))&amp;"Note: "&amp;Checks!$O$331)</f>
        <v>Batch ID, result, CA and acceptance mandatory</v>
      </c>
      <c r="C33" s="114" t="str">
        <f aca="false">Checks!$N$331&amp;CHAR(10)&amp;IF(ISNUMBER(Checks!$R$331),TEXT(Checks!$R$331,"DD-MMM-YY HH:MM"),"")&amp;" "&amp;Checks!$P$331</f>
        <v>Required
11-Oct-26 11:45 KUL</v>
      </c>
      <c r="D33" s="114" t="str">
        <f aca="false">IF(Checks!$U$331="","",Checks!$U$331)&amp;IF(Checks!$AB$331="","",CHAR(10)&amp;"CA: "&amp;Checks!$AB$331)</f>
        <v/>
      </c>
      <c r="E33" s="114" t="str">
        <f aca="false">IF(Checks!$V$331="","",Checks!$V$331)&amp;IF(Checks!$AC$331="","",IF(Checks!$V$331="","",CHAR(10))&amp;"N/A just.: "&amp;Checks!$AC$331)&amp;IF(Checks!$W$331="","",CHAR(10)&amp;"Batch: "&amp;Checks!$W$331)&amp;IF(AND(Checks!$X$331="",Checks!$Y$331=""),"",CHAR(10)&amp;"Exp: "&amp;Checks!$X$331&amp;"  /  Act: "&amp;Checks!$Y$331)</f>
        <v/>
      </c>
      <c r="F33" s="114" t="str">
        <f aca="false">IF(Checks!$Z$331="","","Evidence: "&amp;Checks!$Z$331)&amp;IF(Checks!$AA$331="","",IF(Checks!$Z$331="","",CHAR(10))&amp;"CA: "&amp;Checks!$AA$331)</f>
        <v/>
      </c>
      <c r="G33" s="114" t="str">
        <f aca="false">IF(ISNUMBER(Checks!$AD$331),TEXT(Checks!$AD$331,"DD-MMM-YY HH:MM")&amp;" "&amp;Checks!$P$331,"")&amp;IF(Checks!$AE$331="","",CHAR(10)&amp;"Verifier: "&amp;Checks!$AE$331)&amp;IF(Checks!$T$331="","",CHAR(10)&amp;"PIC: "&amp;Checks!$T$331)</f>
        <v/>
      </c>
      <c r="H33" s="115" t="str">
        <f aca="false">IF(Checks!$AH$331="","",Checks!$AH$331)</f>
        <v>OPEN</v>
      </c>
    </row>
    <row r="34" customFormat="false" ht="25.5" hidden="false" customHeight="true" outlineLevel="0" collapsed="false">
      <c r="A34" s="113" t="str">
        <f aca="false">"T-12H PREP — Preparation check at caterer (does NOT confirm loading)  |  Due "&amp;IF(ISNUMBER(Flights!$AI$14),TEXT(Flights!$AI$14,"DD-MMM-YY HH:MM"),"")&amp;" "&amp;Flights!$V$14&amp;" (meal uplift stn)"&amp;" (rows with another due show their own)  |  Complete "&amp;IF(ISNUMBER(Flights!$AL$14),TEXT(Flights!$AL$14,"0%"),Flights!$AL$14)&amp;"  |  15 lines"</f>
        <v>T-12H PREP — Preparation check at caterer (does NOT confirm loading)  |  Due 11-Oct-26 23:45 KUL (meal uplift stn) (rows with another due show their own)  |  Complete 0%  |  15 lines</v>
      </c>
      <c r="B34" s="113"/>
      <c r="C34" s="113"/>
      <c r="D34" s="113"/>
      <c r="E34" s="113"/>
      <c r="F34" s="113"/>
      <c r="G34" s="113"/>
      <c r="H34" s="113"/>
    </row>
    <row r="35" customFormat="false" ht="114" hidden="false" customHeight="true" outlineLevel="0" collapsed="false">
      <c r="A35" s="114" t="str">
        <f aca="false">Checks!$A$332&amp;CHAR(10)&amp;IF(Checks!$I$332="","",Checks!$I$332&amp;": ")&amp;Checks!$J$332</f>
        <v>F10-T12-01
Meal: Meal quality vs menu checklist</v>
      </c>
      <c r="B35" s="114" t="str">
        <f aca="false">Checks!$K$332&amp;IF(Checks!$O$332="","",IF(Checks!$K$332="","",CHAR(10))&amp;"Note: "&amp;Checks!$O$332)</f>
        <v>Note: Preparation check at caterer - does NOT confirm loading.</v>
      </c>
      <c r="C35" s="114" t="str">
        <f aca="false">Checks!$N$332&amp;CHAR(10)&amp;IF(ISNUMBER(Checks!$R$332),TEXT(Checks!$R$332,"DD-MMM-YY HH:MM"),"")&amp;" "&amp;Checks!$P$332</f>
        <v>Required
11-Oct-26 23:45 KUL</v>
      </c>
      <c r="D35" s="114" t="str">
        <f aca="false">IF(Checks!$U$332="","",Checks!$U$332)&amp;IF(Checks!$AB$332="","",CHAR(10)&amp;"CA: "&amp;Checks!$AB$332)</f>
        <v/>
      </c>
      <c r="E35" s="114" t="str">
        <f aca="false">IF(Checks!$V$332="","",Checks!$V$332)&amp;IF(Checks!$AC$332="","",IF(Checks!$V$332="","",CHAR(10))&amp;"N/A just.: "&amp;Checks!$AC$332)&amp;IF(Checks!$W$332="","",CHAR(10)&amp;"Batch: "&amp;Checks!$W$332)&amp;IF(AND(Checks!$X$332="",Checks!$Y$332=""),"",CHAR(10)&amp;"Exp: "&amp;Checks!$X$332&amp;"  /  Act: "&amp;Checks!$Y$332)</f>
        <v/>
      </c>
      <c r="F35" s="114" t="str">
        <f aca="false">IF(Checks!$Z$332="","","Evidence: "&amp;Checks!$Z$332)&amp;IF(Checks!$AA$332="","",IF(Checks!$Z$332="","",CHAR(10))&amp;"CA: "&amp;Checks!$AA$332)</f>
        <v/>
      </c>
      <c r="G35" s="114" t="str">
        <f aca="false">IF(ISNUMBER(Checks!$AD$332),TEXT(Checks!$AD$332,"DD-MMM-YY HH:MM")&amp;" "&amp;Checks!$P$332,"")&amp;IF(Checks!$AE$332="","",CHAR(10)&amp;"Verifier: "&amp;Checks!$AE$332)&amp;IF(Checks!$T$332="","",CHAR(10)&amp;"PIC: "&amp;Checks!$T$332)</f>
        <v/>
      </c>
      <c r="H35" s="115" t="str">
        <f aca="false">IF(Checks!$AH$332="","",Checks!$AH$332)</f>
        <v>OPEN</v>
      </c>
    </row>
    <row r="36" customFormat="false" ht="114" hidden="false" customHeight="true" outlineLevel="0" collapsed="false">
      <c r="A36" s="114" t="str">
        <f aca="false">Checks!$A$333&amp;CHAR(10)&amp;IF(Checks!$I$333="","",Checks!$I$333&amp;": ")&amp;Checks!$J$333</f>
        <v>F10-T12-02
Meal: Meal quantities vs menu checklist</v>
      </c>
      <c r="B36" s="114" t="str">
        <f aca="false">Checks!$K$333&amp;IF(Checks!$O$333="","",IF(Checks!$K$333="","",CHAR(10))&amp;"Note: "&amp;Checks!$O$333)</f>
        <v>Enter expected &amp; actual
Note: Preparation check at caterer - does NOT confirm loading.</v>
      </c>
      <c r="C36" s="114" t="str">
        <f aca="false">Checks!$N$333&amp;CHAR(10)&amp;IF(ISNUMBER(Checks!$R$333),TEXT(Checks!$R$333,"DD-MMM-YY HH:MM"),"")&amp;" "&amp;Checks!$P$333</f>
        <v>Required
11-Oct-26 23:45 KUL</v>
      </c>
      <c r="D36" s="114" t="str">
        <f aca="false">IF(Checks!$U$333="","",Checks!$U$333)&amp;IF(Checks!$AB$333="","",CHAR(10)&amp;"CA: "&amp;Checks!$AB$333)</f>
        <v/>
      </c>
      <c r="E36" s="114" t="str">
        <f aca="false">IF(Checks!$V$333="","",Checks!$V$333)&amp;IF(Checks!$AC$333="","",IF(Checks!$V$333="","",CHAR(10))&amp;"N/A just.: "&amp;Checks!$AC$333)&amp;IF(Checks!$W$333="","",CHAR(10)&amp;"Batch: "&amp;Checks!$W$333)&amp;IF(AND(Checks!$X$333="",Checks!$Y$333=""),"",CHAR(10)&amp;"Exp: "&amp;Checks!$X$333&amp;"  /  Act: "&amp;Checks!$Y$333)</f>
        <v/>
      </c>
      <c r="F36" s="114" t="str">
        <f aca="false">IF(Checks!$Z$333="","","Evidence: "&amp;Checks!$Z$333)&amp;IF(Checks!$AA$333="","",IF(Checks!$Z$333="","",CHAR(10))&amp;"CA: "&amp;Checks!$AA$333)</f>
        <v/>
      </c>
      <c r="G36" s="114" t="str">
        <f aca="false">IF(ISNUMBER(Checks!$AD$333),TEXT(Checks!$AD$333,"DD-MMM-YY HH:MM")&amp;" "&amp;Checks!$P$333,"")&amp;IF(Checks!$AE$333="","",CHAR(10)&amp;"Verifier: "&amp;Checks!$AE$333)&amp;IF(Checks!$T$333="","",CHAR(10)&amp;"PIC: "&amp;Checks!$T$333)</f>
        <v/>
      </c>
      <c r="H36" s="115" t="str">
        <f aca="false">IF(Checks!$AH$333="","",Checks!$AH$333)</f>
        <v>OPEN</v>
      </c>
    </row>
    <row r="37" customFormat="false" ht="114" hidden="false" customHeight="true" outlineLevel="0" collapsed="false">
      <c r="A37" s="114" t="str">
        <f aca="false">Checks!$A$334&amp;CHAR(10)&amp;IF(Checks!$I$334="","",Checks!$I$334&amp;": ")&amp;Checks!$J$334</f>
        <v>F10-T12-03
Equipment: Equipment cleanliness vs GLD</v>
      </c>
      <c r="B37" s="114" t="str">
        <f aca="false">Checks!$K$334&amp;IF(Checks!$O$334="","",IF(Checks!$K$334="","",CHAR(10))&amp;"Note: "&amp;Checks!$O$334)</f>
        <v>Note: Preparation check at caterer - does NOT confirm loading.</v>
      </c>
      <c r="C37" s="114" t="str">
        <f aca="false">Checks!$N$334&amp;CHAR(10)&amp;IF(ISNUMBER(Checks!$R$334),TEXT(Checks!$R$334,"DD-MMM-YY HH:MM"),"")&amp;" "&amp;Checks!$P$334</f>
        <v>Required
11-Oct-26 23:45 KUL</v>
      </c>
      <c r="D37" s="114" t="str">
        <f aca="false">IF(Checks!$U$334="","",Checks!$U$334)&amp;IF(Checks!$AB$334="","",CHAR(10)&amp;"CA: "&amp;Checks!$AB$334)</f>
        <v/>
      </c>
      <c r="E37" s="114" t="str">
        <f aca="false">IF(Checks!$V$334="","",Checks!$V$334)&amp;IF(Checks!$AC$334="","",IF(Checks!$V$334="","",CHAR(10))&amp;"N/A just.: "&amp;Checks!$AC$334)&amp;IF(Checks!$W$334="","",CHAR(10)&amp;"Batch: "&amp;Checks!$W$334)&amp;IF(AND(Checks!$X$334="",Checks!$Y$334=""),"",CHAR(10)&amp;"Exp: "&amp;Checks!$X$334&amp;"  /  Act: "&amp;Checks!$Y$334)</f>
        <v/>
      </c>
      <c r="F37" s="114" t="str">
        <f aca="false">IF(Checks!$Z$334="","","Evidence: "&amp;Checks!$Z$334)&amp;IF(Checks!$AA$334="","",IF(Checks!$Z$334="","",CHAR(10))&amp;"CA: "&amp;Checks!$AA$334)</f>
        <v/>
      </c>
      <c r="G37" s="114" t="str">
        <f aca="false">IF(ISNUMBER(Checks!$AD$334),TEXT(Checks!$AD$334,"DD-MMM-YY HH:MM")&amp;" "&amp;Checks!$P$334,"")&amp;IF(Checks!$AE$334="","",CHAR(10)&amp;"Verifier: "&amp;Checks!$AE$334)&amp;IF(Checks!$T$334="","",CHAR(10)&amp;"PIC: "&amp;Checks!$T$334)</f>
        <v/>
      </c>
      <c r="H37" s="115" t="str">
        <f aca="false">IF(Checks!$AH$334="","",Checks!$AH$334)</f>
        <v>OPEN</v>
      </c>
    </row>
    <row r="38" customFormat="false" ht="114" hidden="false" customHeight="true" outlineLevel="0" collapsed="false">
      <c r="A38" s="114" t="str">
        <f aca="false">Checks!$A$335&amp;CHAR(10)&amp;IF(Checks!$I$335="","",Checks!$I$335&amp;": ")&amp;Checks!$J$335</f>
        <v>F10-T12-04
Equipment: Equipment presentation vs GLD</v>
      </c>
      <c r="B38" s="114" t="str">
        <f aca="false">Checks!$K$335&amp;IF(Checks!$O$335="","",IF(Checks!$K$335="","",CHAR(10))&amp;"Note: "&amp;Checks!$O$335)</f>
        <v>Note: Preparation check at caterer - does NOT confirm loading.</v>
      </c>
      <c r="C38" s="114" t="str">
        <f aca="false">Checks!$N$335&amp;CHAR(10)&amp;IF(ISNUMBER(Checks!$R$335),TEXT(Checks!$R$335,"DD-MMM-YY HH:MM"),"")&amp;" "&amp;Checks!$P$335</f>
        <v>Required
11-Oct-26 23:45 KUL</v>
      </c>
      <c r="D38" s="114" t="str">
        <f aca="false">IF(Checks!$U$335="","",Checks!$U$335)&amp;IF(Checks!$AB$335="","",CHAR(10)&amp;"CA: "&amp;Checks!$AB$335)</f>
        <v/>
      </c>
      <c r="E38" s="114" t="str">
        <f aca="false">IF(Checks!$V$335="","",Checks!$V$335)&amp;IF(Checks!$AC$335="","",IF(Checks!$V$335="","",CHAR(10))&amp;"N/A just.: "&amp;Checks!$AC$335)&amp;IF(Checks!$W$335="","",CHAR(10)&amp;"Batch: "&amp;Checks!$W$335)&amp;IF(AND(Checks!$X$335="",Checks!$Y$335=""),"",CHAR(10)&amp;"Exp: "&amp;Checks!$X$335&amp;"  /  Act: "&amp;Checks!$Y$335)</f>
        <v/>
      </c>
      <c r="F38" s="114" t="str">
        <f aca="false">IF(Checks!$Z$335="","","Evidence: "&amp;Checks!$Z$335)&amp;IF(Checks!$AA$335="","",IF(Checks!$Z$335="","",CHAR(10))&amp;"CA: "&amp;Checks!$AA$335)</f>
        <v/>
      </c>
      <c r="G38" s="114" t="str">
        <f aca="false">IF(ISNUMBER(Checks!$AD$335),TEXT(Checks!$AD$335,"DD-MMM-YY HH:MM")&amp;" "&amp;Checks!$P$335,"")&amp;IF(Checks!$AE$335="","",CHAR(10)&amp;"Verifier: "&amp;Checks!$AE$335)&amp;IF(Checks!$T$335="","",CHAR(10)&amp;"PIC: "&amp;Checks!$T$335)</f>
        <v/>
      </c>
      <c r="H38" s="115" t="str">
        <f aca="false">IF(Checks!$AH$335="","",Checks!$AH$335)</f>
        <v>OPEN</v>
      </c>
    </row>
    <row r="39" customFormat="false" ht="114" hidden="false" customHeight="true" outlineLevel="0" collapsed="false">
      <c r="A39" s="114" t="str">
        <f aca="false">Checks!$A$336&amp;CHAR(10)&amp;IF(Checks!$I$336="","",Checks!$I$336&amp;": ")&amp;Checks!$J$336</f>
        <v>F10-T12-05
Equipment: Equipment serviceability vs GLD</v>
      </c>
      <c r="B39" s="114" t="str">
        <f aca="false">Checks!$K$336&amp;IF(Checks!$O$336="","",IF(Checks!$K$336="","",CHAR(10))&amp;"Note: "&amp;Checks!$O$336)</f>
        <v>Note: Preparation check at caterer - does NOT confirm loading.</v>
      </c>
      <c r="C39" s="114" t="str">
        <f aca="false">Checks!$N$336&amp;CHAR(10)&amp;IF(ISNUMBER(Checks!$R$336),TEXT(Checks!$R$336,"DD-MMM-YY HH:MM"),"")&amp;" "&amp;Checks!$P$336</f>
        <v>Required
11-Oct-26 23:45 KUL</v>
      </c>
      <c r="D39" s="114" t="str">
        <f aca="false">IF(Checks!$U$336="","",Checks!$U$336)&amp;IF(Checks!$AB$336="","",CHAR(10)&amp;"CA: "&amp;Checks!$AB$336)</f>
        <v/>
      </c>
      <c r="E39" s="114" t="str">
        <f aca="false">IF(Checks!$V$336="","",Checks!$V$336)&amp;IF(Checks!$AC$336="","",IF(Checks!$V$336="","",CHAR(10))&amp;"N/A just.: "&amp;Checks!$AC$336)&amp;IF(Checks!$W$336="","",CHAR(10)&amp;"Batch: "&amp;Checks!$W$336)&amp;IF(AND(Checks!$X$336="",Checks!$Y$336=""),"",CHAR(10)&amp;"Exp: "&amp;Checks!$X$336&amp;"  /  Act: "&amp;Checks!$Y$336)</f>
        <v/>
      </c>
      <c r="F39" s="114" t="str">
        <f aca="false">IF(Checks!$Z$336="","","Evidence: "&amp;Checks!$Z$336)&amp;IF(Checks!$AA$336="","",IF(Checks!$Z$336="","",CHAR(10))&amp;"CA: "&amp;Checks!$AA$336)</f>
        <v/>
      </c>
      <c r="G39" s="114" t="str">
        <f aca="false">IF(ISNUMBER(Checks!$AD$336),TEXT(Checks!$AD$336,"DD-MMM-YY HH:MM")&amp;" "&amp;Checks!$P$336,"")&amp;IF(Checks!$AE$336="","",CHAR(10)&amp;"Verifier: "&amp;Checks!$AE$336)&amp;IF(Checks!$T$336="","",CHAR(10)&amp;"PIC: "&amp;Checks!$T$336)</f>
        <v/>
      </c>
      <c r="H39" s="115" t="str">
        <f aca="false">IF(Checks!$AH$336="","",Checks!$AH$336)</f>
        <v>OPEN</v>
      </c>
    </row>
    <row r="40" customFormat="false" ht="190.5" hidden="false" customHeight="true" outlineLevel="0" collapsed="false">
      <c r="A40" s="114" t="str">
        <f aca="false">Checks!$A$337&amp;CHAR(10)&amp;IF(Checks!$I$337="","",Checks!$I$337&amp;": ")&amp;Checks!$J$337</f>
        <v>F10-T12-06
Equipment: Equipment quantities vs GLD</v>
      </c>
      <c r="B40" s="114" t="str">
        <f aca="false">SUBSTITUTE(Checks!$K$337&amp;IF(Checks!$O$337="","",IF(Checks!$K$337="","",CHAR(10))&amp;"Note: "&amp;Checks!$O$337),"AIRCRAFT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Checks!$N$337&amp;CHAR(10)&amp;IF(ISNUMBER(Checks!$R$337),TEXT(Checks!$R$337,"DD-MMM-YY HH:MM"),"")&amp;" "&amp;Checks!$P$337</f>
        <v>Required
11-Oct-26 23:45 KUL</v>
      </c>
      <c r="D40" s="114" t="str">
        <f aca="false">IF(Checks!$U$337="","",Checks!$U$337)&amp;IF(Checks!$AB$337="","",CHAR(10)&amp;"CA: "&amp;Checks!$AB$337)</f>
        <v/>
      </c>
      <c r="E40" s="114" t="str">
        <f aca="false">IF(Checks!$V$337="","",Checks!$V$337)&amp;IF(Checks!$AC$337="","",IF(Checks!$V$337="","",CHAR(10))&amp;"N/A just.: "&amp;Checks!$AC$337)&amp;IF(Checks!$W$337="","",CHAR(10)&amp;"Batch: "&amp;Checks!$W$337)&amp;IF(AND(Checks!$X$337="",Checks!$Y$337=""),"",CHAR(10)&amp;"Exp: "&amp;Checks!$X$337&amp;"  /  Act: "&amp;Checks!$Y$337)</f>
        <v/>
      </c>
      <c r="F40" s="114" t="str">
        <f aca="false">IF(Checks!$Z$337="","","Evidence: "&amp;Checks!$Z$337)&amp;IF(Checks!$AA$337="","",IF(Checks!$Z$337="","",CHAR(10))&amp;"CA: "&amp;Checks!$AA$337)</f>
        <v/>
      </c>
      <c r="G40" s="114" t="str">
        <f aca="false">IF(ISNUMBER(Checks!$AD$337),TEXT(Checks!$AD$337,"DD-MMM-YY HH:MM")&amp;" "&amp;Checks!$P$337,"")&amp;IF(Checks!$AE$337="","",CHAR(10)&amp;"Verifier: "&amp;Checks!$AE$337)&amp;IF(Checks!$T$337="","",CHAR(10)&amp;"PIC: "&amp;Checks!$T$337)</f>
        <v/>
      </c>
      <c r="H40" s="115" t="str">
        <f aca="false">IF(Checks!$AH$337="","",Checks!$AH$337)</f>
        <v>OPEN</v>
      </c>
    </row>
    <row r="41" customFormat="false" ht="114" hidden="false" customHeight="true" outlineLevel="0" collapsed="false">
      <c r="A41" s="114" t="str">
        <f aca="false">Checks!$A$338&amp;CHAR(10)&amp;IF(Checks!$I$338="","",Checks!$I$338&amp;": ")&amp;Checks!$J$338</f>
        <v>F10-T12-07
Equipment: Loading positions planned vs GLD</v>
      </c>
      <c r="B41" s="114" t="str">
        <f aca="false">Checks!$K$338&amp;IF(Checks!$O$338="","",IF(Checks!$K$338="","",CHAR(10))&amp;"Note: "&amp;Checks!$O$338)</f>
        <v>Note: Preparation check at caterer - does NOT confirm loading.</v>
      </c>
      <c r="C41" s="114" t="str">
        <f aca="false">Checks!$N$338&amp;CHAR(10)&amp;IF(ISNUMBER(Checks!$R$338),TEXT(Checks!$R$338,"DD-MMM-YY HH:MM"),"")&amp;" "&amp;Checks!$P$338</f>
        <v>Required
11-Oct-26 23:45 KUL</v>
      </c>
      <c r="D41" s="114" t="str">
        <f aca="false">IF(Checks!$U$338="","",Checks!$U$338)&amp;IF(Checks!$AB$338="","",CHAR(10)&amp;"CA: "&amp;Checks!$AB$338)</f>
        <v/>
      </c>
      <c r="E41" s="114" t="str">
        <f aca="false">IF(Checks!$V$338="","",Checks!$V$338)&amp;IF(Checks!$AC$338="","",IF(Checks!$V$338="","",CHAR(10))&amp;"N/A just.: "&amp;Checks!$AC$338)&amp;IF(Checks!$W$338="","",CHAR(10)&amp;"Batch: "&amp;Checks!$W$338)&amp;IF(AND(Checks!$X$338="",Checks!$Y$338=""),"",CHAR(10)&amp;"Exp: "&amp;Checks!$X$338&amp;"  /  Act: "&amp;Checks!$Y$338)</f>
        <v/>
      </c>
      <c r="F41" s="114" t="str">
        <f aca="false">IF(Checks!$Z$338="","","Evidence: "&amp;Checks!$Z$338)&amp;IF(Checks!$AA$338="","",IF(Checks!$Z$338="","",CHAR(10))&amp;"CA: "&amp;Checks!$AA$338)</f>
        <v/>
      </c>
      <c r="G41" s="114" t="str">
        <f aca="false">IF(ISNUMBER(Checks!$AD$338),TEXT(Checks!$AD$338,"DD-MMM-YY HH:MM")&amp;" "&amp;Checks!$P$338,"")&amp;IF(Checks!$AE$338="","",CHAR(10)&amp;"Verifier: "&amp;Checks!$AE$338)&amp;IF(Checks!$T$338="","",CHAR(10)&amp;"PIC: "&amp;Checks!$T$338)</f>
        <v/>
      </c>
      <c r="H41" s="115" t="str">
        <f aca="false">IF(Checks!$AH$338="","",Checks!$AH$338)</f>
        <v>OPEN</v>
      </c>
    </row>
    <row r="42" customFormat="false" ht="168.75" hidden="false" customHeight="true" outlineLevel="0" collapsed="false">
      <c r="A42" s="114" t="str">
        <f aca="false">Checks!$A$339&amp;CHAR(10)&amp;IF(Checks!$I$339="","",Checks!$I$339&amp;": ")&amp;Checks!$J$339</f>
        <v>F10-T12-08
Amenities: Disposable slippers in DAM cart (BC, on request) - prepared</v>
      </c>
      <c r="B42" s="114" t="str">
        <f aca="false">Checks!$K$339&amp;IF(Checks!$O$339="","",IF(Checks!$K$339="","",CHAR(10))&amp;"Note: "&amp;Checks!$O$339)</f>
        <v>Available in DAM cart on request basis
Note: Sector has no BC slippers; note C83: disposable slipper available in DAM cart (on request basis). Reference gives no uplift stn for this item: preparation checked at the meal uplift stn (KUL) - confirm with caterer.</v>
      </c>
      <c r="C42" s="114" t="str">
        <f aca="false">Checks!$N$339&amp;CHAR(10)&amp;IF(ISNUMBER(Checks!$R$339),TEXT(Checks!$R$339,"DD-MMM-YY HH:MM"),"")&amp;" "&amp;Checks!$P$339</f>
        <v>Required
11-Oct-26 23:45 KUL</v>
      </c>
      <c r="D42" s="114" t="str">
        <f aca="false">IF(Checks!$U$339="","",Checks!$U$339)&amp;IF(Checks!$AB$339="","",CHAR(10)&amp;"CA: "&amp;Checks!$AB$339)</f>
        <v/>
      </c>
      <c r="E42" s="114" t="str">
        <f aca="false">IF(Checks!$V$339="","",Checks!$V$339)&amp;IF(Checks!$AC$339="","",IF(Checks!$V$339="","",CHAR(10))&amp;"N/A just.: "&amp;Checks!$AC$339)&amp;IF(Checks!$W$339="","",CHAR(10)&amp;"Batch: "&amp;Checks!$W$339)&amp;IF(AND(Checks!$X$339="",Checks!$Y$339=""),"",CHAR(10)&amp;"Exp: "&amp;Checks!$X$339&amp;"  /  Act: "&amp;Checks!$Y$339)</f>
        <v/>
      </c>
      <c r="F42" s="114" t="str">
        <f aca="false">IF(Checks!$Z$339="","","Evidence: "&amp;Checks!$Z$339)&amp;IF(Checks!$AA$339="","",IF(Checks!$Z$339="","",CHAR(10))&amp;"CA: "&amp;Checks!$AA$339)</f>
        <v/>
      </c>
      <c r="G42" s="114" t="str">
        <f aca="false">IF(ISNUMBER(Checks!$AD$339),TEXT(Checks!$AD$339,"DD-MMM-YY HH:MM")&amp;" "&amp;Checks!$P$339,"")&amp;IF(Checks!$AE$339="","",CHAR(10)&amp;"Verifier: "&amp;Checks!$AE$339)&amp;IF(Checks!$T$339="","",CHAR(10)&amp;"PIC: "&amp;Checks!$T$339)</f>
        <v/>
      </c>
      <c r="H42" s="115" t="str">
        <f aca="false">IF(Checks!$AH$339="","",Checks!$AH$339)</f>
        <v>OPEN</v>
      </c>
    </row>
    <row r="43" customFormat="false" ht="114" hidden="false" customHeight="true" outlineLevel="0" collapsed="false">
      <c r="A43" s="114" t="str">
        <f aca="false">Checks!$A$340&amp;CHAR(10)&amp;IF(Checks!$I$340="","",Checks!$I$340&amp;": ")&amp;Checks!$J$340</f>
        <v>F10-T12-09
F&amp;B Linen: Towel - prepared</v>
      </c>
      <c r="B43" s="114" t="str">
        <f aca="false">Checks!$K$340&amp;IF(Checks!$O$340="","",IF(Checks!$K$340="","",CHAR(10))&amp;"Note: "&amp;Checks!$O$340)</f>
        <v>Available (ticked in reference)
Note: Reference gives no uplift stn for this item: preparation checked at the meal uplift stn (KUL) - confirm with caterer.</v>
      </c>
      <c r="C43" s="114" t="str">
        <f aca="false">Checks!$N$340&amp;CHAR(10)&amp;IF(ISNUMBER(Checks!$R$340),TEXT(Checks!$R$340,"DD-MMM-YY HH:MM"),"")&amp;" "&amp;Checks!$P$340</f>
        <v>Required
11-Oct-26 23:45 KUL</v>
      </c>
      <c r="D43" s="114" t="str">
        <f aca="false">IF(Checks!$U$340="","",Checks!$U$340)&amp;IF(Checks!$AB$340="","",CHAR(10)&amp;"CA: "&amp;Checks!$AB$340)</f>
        <v/>
      </c>
      <c r="E43" s="114" t="str">
        <f aca="false">IF(Checks!$V$340="","",Checks!$V$340)&amp;IF(Checks!$AC$340="","",IF(Checks!$V$340="","",CHAR(10))&amp;"N/A just.: "&amp;Checks!$AC$340)&amp;IF(Checks!$W$340="","",CHAR(10)&amp;"Batch: "&amp;Checks!$W$340)&amp;IF(AND(Checks!$X$340="",Checks!$Y$340=""),"",CHAR(10)&amp;"Exp: "&amp;Checks!$X$340&amp;"  /  Act: "&amp;Checks!$Y$340)</f>
        <v/>
      </c>
      <c r="F43" s="114" t="str">
        <f aca="false">IF(Checks!$Z$340="","","Evidence: "&amp;Checks!$Z$340)&amp;IF(Checks!$AA$340="","",IF(Checks!$Z$340="","",CHAR(10))&amp;"CA: "&amp;Checks!$AA$340)</f>
        <v/>
      </c>
      <c r="G43" s="114" t="str">
        <f aca="false">IF(ISNUMBER(Checks!$AD$340),TEXT(Checks!$AD$340,"DD-MMM-YY HH:MM")&amp;" "&amp;Checks!$P$340,"")&amp;IF(Checks!$AE$340="","",CHAR(10)&amp;"Verifier: "&amp;Checks!$AE$340)&amp;IF(Checks!$T$340="","",CHAR(10)&amp;"PIC: "&amp;Checks!$T$340)</f>
        <v/>
      </c>
      <c r="H43" s="115" t="str">
        <f aca="false">IF(Checks!$AH$340="","",Checks!$AH$340)</f>
        <v>OPEN</v>
      </c>
    </row>
    <row r="44" customFormat="false" ht="114" hidden="false" customHeight="true" outlineLevel="0" collapsed="false">
      <c r="A44" s="114" t="str">
        <f aca="false">Checks!$A$341&amp;CHAR(10)&amp;IF(Checks!$I$341="","",Checks!$I$341&amp;": ")&amp;Checks!$J$341</f>
        <v>F10-T12-10
F&amp;B Linen: Tray cloth - prepared</v>
      </c>
      <c r="B44" s="114" t="str">
        <f aca="false">Checks!$K$341&amp;IF(Checks!$O$341="","",IF(Checks!$K$341="","",CHAR(10))&amp;"Note: "&amp;Checks!$O$341)</f>
        <v>Available (ticked in reference)
Note: Reference gives no uplift stn for this item: preparation checked at the meal uplift stn (KUL) - confirm with caterer.</v>
      </c>
      <c r="C44" s="114" t="str">
        <f aca="false">Checks!$N$341&amp;CHAR(10)&amp;IF(ISNUMBER(Checks!$R$341),TEXT(Checks!$R$341,"DD-MMM-YY HH:MM"),"")&amp;" "&amp;Checks!$P$341</f>
        <v>Required
11-Oct-26 23:45 KUL</v>
      </c>
      <c r="D44" s="114" t="str">
        <f aca="false">IF(Checks!$U$341="","",Checks!$U$341)&amp;IF(Checks!$AB$341="","",CHAR(10)&amp;"CA: "&amp;Checks!$AB$341)</f>
        <v/>
      </c>
      <c r="E44" s="114" t="str">
        <f aca="false">IF(Checks!$V$341="","",Checks!$V$341)&amp;IF(Checks!$AC$341="","",IF(Checks!$V$341="","",CHAR(10))&amp;"N/A just.: "&amp;Checks!$AC$341)&amp;IF(Checks!$W$341="","",CHAR(10)&amp;"Batch: "&amp;Checks!$W$341)&amp;IF(AND(Checks!$X$341="",Checks!$Y$341=""),"",CHAR(10)&amp;"Exp: "&amp;Checks!$X$341&amp;"  /  Act: "&amp;Checks!$Y$341)</f>
        <v/>
      </c>
      <c r="F44" s="114" t="str">
        <f aca="false">IF(Checks!$Z$341="","","Evidence: "&amp;Checks!$Z$341)&amp;IF(Checks!$AA$341="","",IF(Checks!$Z$341="","",CHAR(10))&amp;"CA: "&amp;Checks!$AA$341)</f>
        <v/>
      </c>
      <c r="G44" s="114" t="str">
        <f aca="false">IF(ISNUMBER(Checks!$AD$341),TEXT(Checks!$AD$341,"DD-MMM-YY HH:MM")&amp;" "&amp;Checks!$P$341,"")&amp;IF(Checks!$AE$341="","",CHAR(10)&amp;"Verifier: "&amp;Checks!$AE$341)&amp;IF(Checks!$T$341="","",CHAR(10)&amp;"PIC: "&amp;Checks!$T$341)</f>
        <v/>
      </c>
      <c r="H44" s="115" t="str">
        <f aca="false">IF(Checks!$AH$341="","",Checks!$AH$341)</f>
        <v>OPEN</v>
      </c>
    </row>
    <row r="45" customFormat="false" ht="114" hidden="false" customHeight="true" outlineLevel="0" collapsed="false">
      <c r="A45" s="114" t="str">
        <f aca="false">Checks!$A$342&amp;CHAR(10)&amp;IF(Checks!$I$342="","",Checks!$I$342&amp;": ")&amp;Checks!$J$342</f>
        <v>F10-T12-11
F&amp;B Linen: Napkin - prepared</v>
      </c>
      <c r="B45" s="114" t="str">
        <f aca="false">Checks!$K$342&amp;IF(Checks!$O$342="","",IF(Checks!$K$342="","",CHAR(10))&amp;"Note: "&amp;Checks!$O$342)</f>
        <v>Available (ticked in reference)
Note: Reference gives no uplift stn for this item: preparation checked at the meal uplift stn (KUL) - confirm with caterer.</v>
      </c>
      <c r="C45" s="114" t="str">
        <f aca="false">Checks!$N$342&amp;CHAR(10)&amp;IF(ISNUMBER(Checks!$R$342),TEXT(Checks!$R$342,"DD-MMM-YY HH:MM"),"")&amp;" "&amp;Checks!$P$342</f>
        <v>Required
11-Oct-26 23:45 KUL</v>
      </c>
      <c r="D45" s="114" t="str">
        <f aca="false">IF(Checks!$U$342="","",Checks!$U$342)&amp;IF(Checks!$AB$342="","",CHAR(10)&amp;"CA: "&amp;Checks!$AB$342)</f>
        <v/>
      </c>
      <c r="E45" s="114" t="str">
        <f aca="false">IF(Checks!$V$342="","",Checks!$V$342)&amp;IF(Checks!$AC$342="","",IF(Checks!$V$342="","",CHAR(10))&amp;"N/A just.: "&amp;Checks!$AC$342)&amp;IF(Checks!$W$342="","",CHAR(10)&amp;"Batch: "&amp;Checks!$W$342)&amp;IF(AND(Checks!$X$342="",Checks!$Y$342=""),"",CHAR(10)&amp;"Exp: "&amp;Checks!$X$342&amp;"  /  Act: "&amp;Checks!$Y$342)</f>
        <v/>
      </c>
      <c r="F45" s="114" t="str">
        <f aca="false">IF(Checks!$Z$342="","","Evidence: "&amp;Checks!$Z$342)&amp;IF(Checks!$AA$342="","",IF(Checks!$Z$342="","",CHAR(10))&amp;"CA: "&amp;Checks!$AA$342)</f>
        <v/>
      </c>
      <c r="G45" s="114" t="str">
        <f aca="false">IF(ISNUMBER(Checks!$AD$342),TEXT(Checks!$AD$342,"DD-MMM-YY HH:MM")&amp;" "&amp;Checks!$P$342,"")&amp;IF(Checks!$AE$342="","",CHAR(10)&amp;"Verifier: "&amp;Checks!$AE$342)&amp;IF(Checks!$T$342="","",CHAR(10)&amp;"PIC: "&amp;Checks!$T$342)</f>
        <v/>
      </c>
      <c r="H45" s="115" t="str">
        <f aca="false">IF(Checks!$AH$342="","",Checks!$AH$342)</f>
        <v>OPEN</v>
      </c>
    </row>
    <row r="46" customFormat="false" ht="124.5" hidden="false" customHeight="true" outlineLevel="0" collapsed="false">
      <c r="A46" s="114" t="str">
        <f aca="false">Checks!$A$343&amp;CHAR(10)&amp;IF(Checks!$I$343="","",Checks!$I$343&amp;": ")&amp;Checks!$J$343</f>
        <v>F10-T12-12
F&amp;B Linen: Trolley cloth - prepared</v>
      </c>
      <c r="B46" s="114" t="str">
        <f aca="false">SUBSTITUTE(Checks!$K$343&amp;IF(Checks!$O$343="","",IF(Checks!$K$343="","",CHAR(10))&amp;"Note: "&amp;Checks!$O$343),"F&amp;B LINEN!","Ref: F&amp;B LINEN!")</f>
        <v>Narrow body: Top only
Note: Per note Ref: F&amp;B LINEN!B79:C80. Reference gives no uplift stn for this item: preparation checked at the meal uplift stn (KUL) - confirm with caterer.</v>
      </c>
      <c r="C46" s="114" t="str">
        <f aca="false">Checks!$N$343&amp;CHAR(10)&amp;IF(ISNUMBER(Checks!$R$343),TEXT(Checks!$R$343,"DD-MMM-YY HH:MM"),"")&amp;" "&amp;Checks!$P$343</f>
        <v>Required
11-Oct-26 23:45 KUL</v>
      </c>
      <c r="D46" s="114" t="str">
        <f aca="false">IF(Checks!$U$343="","",Checks!$U$343)&amp;IF(Checks!$AB$343="","",CHAR(10)&amp;"CA: "&amp;Checks!$AB$343)</f>
        <v/>
      </c>
      <c r="E46" s="114" t="str">
        <f aca="false">IF(Checks!$V$343="","",Checks!$V$343)&amp;IF(Checks!$AC$343="","",IF(Checks!$V$343="","",CHAR(10))&amp;"N/A just.: "&amp;Checks!$AC$343)&amp;IF(Checks!$W$343="","",CHAR(10)&amp;"Batch: "&amp;Checks!$W$343)&amp;IF(AND(Checks!$X$343="",Checks!$Y$343=""),"",CHAR(10)&amp;"Exp: "&amp;Checks!$X$343&amp;"  /  Act: "&amp;Checks!$Y$343)</f>
        <v/>
      </c>
      <c r="F46" s="114" t="str">
        <f aca="false">IF(Checks!$Z$343="","","Evidence: "&amp;Checks!$Z$343)&amp;IF(Checks!$AA$343="","",IF(Checks!$Z$343="","",CHAR(10))&amp;"CA: "&amp;Checks!$AA$343)</f>
        <v/>
      </c>
      <c r="G46" s="114" t="str">
        <f aca="false">IF(ISNUMBER(Checks!$AD$343),TEXT(Checks!$AD$343,"DD-MMM-YY HH:MM")&amp;" "&amp;Checks!$P$343,"")&amp;IF(Checks!$AE$343="","",CHAR(10)&amp;"Verifier: "&amp;Checks!$AE$343)&amp;IF(Checks!$T$343="","",CHAR(10)&amp;"PIC: "&amp;Checks!$T$343)</f>
        <v/>
      </c>
      <c r="H46" s="115" t="str">
        <f aca="false">IF(Checks!$AH$343="","",Checks!$AH$343)</f>
        <v>OPEN</v>
      </c>
    </row>
    <row r="47" customFormat="false" ht="114" hidden="false" customHeight="true" outlineLevel="0" collapsed="false">
      <c r="A47" s="114" t="str">
        <f aca="false">Checks!$A$344&amp;CHAR(10)&amp;IF(Checks!$I$344="","",Checks!$I$344&amp;": ")&amp;Checks!$J$344</f>
        <v>F10-T12-13
F&amp;B Linen: Linen bag - prepared</v>
      </c>
      <c r="B47" s="114" t="str">
        <f aca="false">Checks!$K$344&amp;IF(Checks!$O$344="","",IF(Checks!$K$344="","",CHAR(10))&amp;"Note: "&amp;Checks!$O$344)</f>
        <v>Available (ticked in reference)
Note: Reference gives no uplift stn for this item: preparation checked at the meal uplift stn (KUL) - confirm with caterer.</v>
      </c>
      <c r="C47" s="114" t="str">
        <f aca="false">Checks!$N$344&amp;CHAR(10)&amp;IF(ISNUMBER(Checks!$R$344),TEXT(Checks!$R$344,"DD-MMM-YY HH:MM"),"")&amp;" "&amp;Checks!$P$344</f>
        <v>Required
11-Oct-26 23:45 KUL</v>
      </c>
      <c r="D47" s="114" t="str">
        <f aca="false">IF(Checks!$U$344="","",Checks!$U$344)&amp;IF(Checks!$AB$344="","",CHAR(10)&amp;"CA: "&amp;Checks!$AB$344)</f>
        <v/>
      </c>
      <c r="E47" s="114" t="str">
        <f aca="false">IF(Checks!$V$344="","",Checks!$V$344)&amp;IF(Checks!$AC$344="","",IF(Checks!$V$344="","",CHAR(10))&amp;"N/A just.: "&amp;Checks!$AC$344)&amp;IF(Checks!$W$344="","",CHAR(10)&amp;"Batch: "&amp;Checks!$W$344)&amp;IF(AND(Checks!$X$344="",Checks!$Y$344=""),"",CHAR(10)&amp;"Exp: "&amp;Checks!$X$344&amp;"  /  Act: "&amp;Checks!$Y$344)</f>
        <v/>
      </c>
      <c r="F47" s="114" t="str">
        <f aca="false">IF(Checks!$Z$344="","","Evidence: "&amp;Checks!$Z$344)&amp;IF(Checks!$AA$344="","",IF(Checks!$Z$344="","",CHAR(10))&amp;"CA: "&amp;Checks!$AA$344)</f>
        <v/>
      </c>
      <c r="G47" s="114" t="str">
        <f aca="false">IF(ISNUMBER(Checks!$AD$344),TEXT(Checks!$AD$344,"DD-MMM-YY HH:MM")&amp;" "&amp;Checks!$P$344,"")&amp;IF(Checks!$AE$344="","",CHAR(10)&amp;"Verifier: "&amp;Checks!$AE$344)&amp;IF(Checks!$T$344="","",CHAR(10)&amp;"PIC: "&amp;Checks!$T$344)</f>
        <v/>
      </c>
      <c r="H47" s="115" t="str">
        <f aca="false">IF(Checks!$AH$344="","",Checks!$AH$344)</f>
        <v>OPEN</v>
      </c>
    </row>
    <row r="48" customFormat="false" ht="114" hidden="false" customHeight="true" outlineLevel="0" collapsed="false">
      <c r="A48" s="114" t="str">
        <f aca="false">Checks!$A$345&amp;CHAR(10)&amp;IF(Checks!$I$345="","",Checks!$I$345&amp;": ")&amp;Checks!$J$345</f>
        <v>F10-T12-14
Seat Linen: Seat pillow (BS &amp; BC) - prepared</v>
      </c>
      <c r="B48" s="114" t="str">
        <f aca="false">Checks!$K$345&amp;IF(Checks!$O$345="","",IF(Checks!$K$345="","",CHAR(10))&amp;"Note: "&amp;Checks!$O$345)</f>
        <v>Available 100% (ticked in reference)
Note: Reference gives no uplift stn for this item: preparation checked at the meal uplift stn (KUL) - confirm with caterer.</v>
      </c>
      <c r="C48" s="114" t="str">
        <f aca="false">Checks!$N$345&amp;CHAR(10)&amp;IF(ISNUMBER(Checks!$R$345),TEXT(Checks!$R$345,"DD-MMM-YY HH:MM"),"")&amp;" "&amp;Checks!$P$345</f>
        <v>Required
11-Oct-26 23:45 KUL</v>
      </c>
      <c r="D48" s="114" t="str">
        <f aca="false">IF(Checks!$U$345="","",Checks!$U$345)&amp;IF(Checks!$AB$345="","",CHAR(10)&amp;"CA: "&amp;Checks!$AB$345)</f>
        <v/>
      </c>
      <c r="E48" s="114" t="str">
        <f aca="false">IF(Checks!$V$345="","",Checks!$V$345)&amp;IF(Checks!$AC$345="","",IF(Checks!$V$345="","",CHAR(10))&amp;"N/A just.: "&amp;Checks!$AC$345)&amp;IF(Checks!$W$345="","",CHAR(10)&amp;"Batch: "&amp;Checks!$W$345)&amp;IF(AND(Checks!$X$345="",Checks!$Y$345=""),"",CHAR(10)&amp;"Exp: "&amp;Checks!$X$345&amp;"  /  Act: "&amp;Checks!$Y$345)</f>
        <v/>
      </c>
      <c r="F48" s="114" t="str">
        <f aca="false">IF(Checks!$Z$345="","","Evidence: "&amp;Checks!$Z$345)&amp;IF(Checks!$AA$345="","",IF(Checks!$Z$345="","",CHAR(10))&amp;"CA: "&amp;Checks!$AA$345)</f>
        <v/>
      </c>
      <c r="G48" s="114" t="str">
        <f aca="false">IF(ISNUMBER(Checks!$AD$345),TEXT(Checks!$AD$345,"DD-MMM-YY HH:MM")&amp;" "&amp;Checks!$P$345,"")&amp;IF(Checks!$AE$345="","",CHAR(10)&amp;"Verifier: "&amp;Checks!$AE$345)&amp;IF(Checks!$T$345="","",CHAR(10)&amp;"PIC: "&amp;Checks!$T$345)</f>
        <v/>
      </c>
      <c r="H48" s="115" t="str">
        <f aca="false">IF(Checks!$AH$345="","",Checks!$AH$345)</f>
        <v>OPEN</v>
      </c>
    </row>
    <row r="49" customFormat="false" ht="114" hidden="false" customHeight="true" outlineLevel="0" collapsed="false">
      <c r="A49" s="114" t="str">
        <f aca="false">Checks!$A$346&amp;CHAR(10)&amp;IF(Checks!$I$346="","",Checks!$I$346&amp;": ")&amp;Checks!$J$346</f>
        <v>F10-T12-15
Seat Linen: Blanket (BS &amp; BC) - prepared</v>
      </c>
      <c r="B49" s="114" t="str">
        <f aca="false">Checks!$K$346&amp;IF(Checks!$O$346="","",IF(Checks!$K$346="","",CHAR(10))&amp;"Note: "&amp;Checks!$O$346)</f>
        <v>Available 100% (ticked in reference)
Note: Reference gives no uplift stn for this item: preparation checked at the meal uplift stn (KUL) - confirm with caterer.</v>
      </c>
      <c r="C49" s="114" t="str">
        <f aca="false">Checks!$N$346&amp;CHAR(10)&amp;IF(ISNUMBER(Checks!$R$346),TEXT(Checks!$R$346,"DD-MMM-YY HH:MM"),"")&amp;" "&amp;Checks!$P$346</f>
        <v>Required
11-Oct-26 23:45 KUL</v>
      </c>
      <c r="D49" s="114" t="str">
        <f aca="false">IF(Checks!$U$346="","",Checks!$U$346)&amp;IF(Checks!$AB$346="","",CHAR(10)&amp;"CA: "&amp;Checks!$AB$346)</f>
        <v/>
      </c>
      <c r="E49" s="114" t="str">
        <f aca="false">IF(Checks!$V$346="","",Checks!$V$346)&amp;IF(Checks!$AC$346="","",IF(Checks!$V$346="","",CHAR(10))&amp;"N/A just.: "&amp;Checks!$AC$346)&amp;IF(Checks!$W$346="","",CHAR(10)&amp;"Batch: "&amp;Checks!$W$346)&amp;IF(AND(Checks!$X$346="",Checks!$Y$346=""),"",CHAR(10)&amp;"Exp: "&amp;Checks!$X$346&amp;"  /  Act: "&amp;Checks!$Y$346)</f>
        <v/>
      </c>
      <c r="F49" s="114" t="str">
        <f aca="false">IF(Checks!$Z$346="","","Evidence: "&amp;Checks!$Z$346)&amp;IF(Checks!$AA$346="","",IF(Checks!$Z$346="","",CHAR(10))&amp;"CA: "&amp;Checks!$AA$346)</f>
        <v/>
      </c>
      <c r="G49" s="114" t="str">
        <f aca="false">IF(ISNUMBER(Checks!$AD$346),TEXT(Checks!$AD$346,"DD-MMM-YY HH:MM")&amp;" "&amp;Checks!$P$346,"")&amp;IF(Checks!$AE$346="","",CHAR(10)&amp;"Verifier: "&amp;Checks!$AE$346)&amp;IF(Checks!$T$346="","",CHAR(10)&amp;"PIC: "&amp;Checks!$T$346)</f>
        <v/>
      </c>
      <c r="H49" s="115" t="str">
        <f aca="false">IF(Checks!$AH$346="","",Checks!$AH$346)</f>
        <v>OPEN</v>
      </c>
    </row>
    <row r="50" customFormat="false" ht="25.5" hidden="false" customHeight="true" outlineLevel="0" collapsed="false">
      <c r="A50" s="113" t="str">
        <f aca="false">"UPLIFT — Physical uplift – on-board confirmation before departure  |  Due "&amp;"STD "&amp;IF(ISNUMBER(Flights!$I$14),TEXT(Flights!$I$14,"DD-MMM-YY HH:MM"),"")&amp;" "&amp;Flights!$G$14&amp;" (departure stn)"&amp;" (rows with another due show their own)  |  Complete "&amp;IF(ISNUMBER(Flights!$AM$14),TEXT(Flights!$AM$14,"0%"),Flights!$AM$14)&amp;"  |  10 lines"</f>
        <v>UPLIFT — Physical uplift – on-board confirmation before departure  |  Due STD 12-Oct-26 11:45 KUL (departure stn) (rows with another due show their own)  |  Complete 0%  |  10 lines</v>
      </c>
      <c r="B50" s="113"/>
      <c r="C50" s="113"/>
      <c r="D50" s="113"/>
      <c r="E50" s="113"/>
      <c r="F50" s="113"/>
      <c r="G50" s="113"/>
      <c r="H50" s="113"/>
    </row>
    <row r="51" customFormat="false" ht="114" hidden="false" customHeight="true" outlineLevel="0" collapsed="false">
      <c r="A51" s="114" t="str">
        <f aca="false">Checks!$A$347&amp;CHAR(10)&amp;IF(Checks!$I$347="","",Checks!$I$347&amp;": ")&amp;Checks!$J$347</f>
        <v>F10-UPL-01
Meal: Meals physically uplifted on board - quantity vs menu checklist</v>
      </c>
      <c r="B51" s="114" t="str">
        <f aca="false">Checks!$K$347&amp;IF(Checks!$O$347="","",IF(Checks!$K$347="","",CHAR(10))&amp;"Note: "&amp;Checks!$O$347)</f>
        <v>Enter expected &amp; actual
Note: Confirm on board before departure; completion time must fall inside the uplift window.</v>
      </c>
      <c r="C51" s="114" t="str">
        <f aca="false">Checks!$N$347&amp;CHAR(10)&amp;IF(ISNUMBER(Checks!$R$347),TEXT(Checks!$R$347,"DD-MMM-YY HH:MM"),"")&amp;" "&amp;Checks!$P$347</f>
        <v>Required
12-Oct-26 11:45 KUL</v>
      </c>
      <c r="D51" s="114" t="str">
        <f aca="false">IF(Checks!$U$347="","",Checks!$U$347)&amp;IF(Checks!$AB$347="","",CHAR(10)&amp;"CA: "&amp;Checks!$AB$347)</f>
        <v/>
      </c>
      <c r="E51" s="114" t="str">
        <f aca="false">IF(Checks!$V$347="","",Checks!$V$347)&amp;IF(Checks!$AC$347="","",IF(Checks!$V$347="","",CHAR(10))&amp;"N/A just.: "&amp;Checks!$AC$347)&amp;IF(Checks!$W$347="","",CHAR(10)&amp;"Batch: "&amp;Checks!$W$347)&amp;IF(AND(Checks!$X$347="",Checks!$Y$347=""),"",CHAR(10)&amp;"Exp: "&amp;Checks!$X$347&amp;"  /  Act: "&amp;Checks!$Y$347)</f>
        <v/>
      </c>
      <c r="F51" s="114" t="str">
        <f aca="false">IF(Checks!$Z$347="","","Evidence: "&amp;Checks!$Z$347)&amp;IF(Checks!$AA$347="","",IF(Checks!$Z$347="","",CHAR(10))&amp;"CA: "&amp;Checks!$AA$347)</f>
        <v/>
      </c>
      <c r="G51" s="114" t="str">
        <f aca="false">IF(ISNUMBER(Checks!$AD$347),TEXT(Checks!$AD$347,"DD-MMM-YY HH:MM")&amp;" "&amp;Checks!$P$347,"")&amp;IF(Checks!$AE$347="","",CHAR(10)&amp;"Verifier: "&amp;Checks!$AE$347)&amp;IF(Checks!$T$347="","",CHAR(10)&amp;"PIC: "&amp;Checks!$T$347)</f>
        <v/>
      </c>
      <c r="H51" s="115" t="str">
        <f aca="false">IF(Checks!$AH$347="","",Checks!$AH$347)</f>
        <v>OPEN</v>
      </c>
    </row>
    <row r="52" customFormat="false" ht="114" hidden="false" customHeight="true" outlineLevel="0" collapsed="false">
      <c r="A52" s="114" t="str">
        <f aca="false">Checks!$A$348&amp;CHAR(10)&amp;IF(Checks!$I$348="","",Checks!$I$348&amp;": ")&amp;Checks!$J$348</f>
        <v>F10-UPL-02
Equipment: Equipment physically loaded at GLD positions - quantity &amp; positions</v>
      </c>
      <c r="B52" s="114" t="str">
        <f aca="false">Checks!$K$348&amp;IF(Checks!$O$348="","",IF(Checks!$K$348="","",CHAR(10))&amp;"Note: "&amp;Checks!$O$348)</f>
        <v>Enter expected &amp; actual
Note: Confirm on board before departure; completion time must fall inside the uplift window.</v>
      </c>
      <c r="C52" s="114" t="str">
        <f aca="false">Checks!$N$348&amp;CHAR(10)&amp;IF(ISNUMBER(Checks!$R$348),TEXT(Checks!$R$348,"DD-MMM-YY HH:MM"),"")&amp;" "&amp;Checks!$P$348</f>
        <v>Required
12-Oct-26 11:45 KUL</v>
      </c>
      <c r="D52" s="114" t="str">
        <f aca="false">IF(Checks!$U$348="","",Checks!$U$348)&amp;IF(Checks!$AB$348="","",CHAR(10)&amp;"CA: "&amp;Checks!$AB$348)</f>
        <v/>
      </c>
      <c r="E52" s="114" t="str">
        <f aca="false">IF(Checks!$V$348="","",Checks!$V$348)&amp;IF(Checks!$AC$348="","",IF(Checks!$V$348="","",CHAR(10))&amp;"N/A just.: "&amp;Checks!$AC$348)&amp;IF(Checks!$W$348="","",CHAR(10)&amp;"Batch: "&amp;Checks!$W$348)&amp;IF(AND(Checks!$X$348="",Checks!$Y$348=""),"",CHAR(10)&amp;"Exp: "&amp;Checks!$X$348&amp;"  /  Act: "&amp;Checks!$Y$348)</f>
        <v/>
      </c>
      <c r="F52" s="114" t="str">
        <f aca="false">IF(Checks!$Z$348="","","Evidence: "&amp;Checks!$Z$348)&amp;IF(Checks!$AA$348="","",IF(Checks!$Z$348="","",CHAR(10))&amp;"CA: "&amp;Checks!$AA$348)</f>
        <v/>
      </c>
      <c r="G52" s="114" t="str">
        <f aca="false">IF(ISNUMBER(Checks!$AD$348),TEXT(Checks!$AD$348,"DD-MMM-YY HH:MM")&amp;" "&amp;Checks!$P$348,"")&amp;IF(Checks!$AE$348="","",CHAR(10)&amp;"Verifier: "&amp;Checks!$AE$348)&amp;IF(Checks!$T$348="","",CHAR(10)&amp;"PIC: "&amp;Checks!$T$348)</f>
        <v/>
      </c>
      <c r="H52" s="115" t="str">
        <f aca="false">IF(Checks!$AH$348="","",Checks!$AH$348)</f>
        <v>OPEN</v>
      </c>
    </row>
    <row r="53" customFormat="false" ht="114" hidden="false" customHeight="true" outlineLevel="0" collapsed="false">
      <c r="A53" s="114" t="str">
        <f aca="false">Checks!$A$349&amp;CHAR(10)&amp;IF(Checks!$I$349="","",Checks!$I$349&amp;": ")&amp;Checks!$J$349</f>
        <v>F10-UPL-03
Amenities: Disposable slippers in DAM cart (BC, on request) - on board</v>
      </c>
      <c r="B53" s="114" t="str">
        <f aca="false">Checks!$K$349&amp;IF(Checks!$O$349="","",IF(Checks!$K$349="","",CHAR(10))&amp;"Note: "&amp;Checks!$O$349)</f>
        <v>Available in DAM cart on request basis
Note: Sector has no BC slippers; note C83: disposable slipper available in DAM cart (on request basis).</v>
      </c>
      <c r="C53" s="114" t="str">
        <f aca="false">Checks!$N$349&amp;CHAR(10)&amp;IF(ISNUMBER(Checks!$R$349),TEXT(Checks!$R$349,"DD-MMM-YY HH:MM"),"")&amp;" "&amp;Checks!$P$349</f>
        <v>Required
12-Oct-26 11:45 KUL</v>
      </c>
      <c r="D53" s="114" t="str">
        <f aca="false">IF(Checks!$U$349="","",Checks!$U$349)&amp;IF(Checks!$AB$349="","",CHAR(10)&amp;"CA: "&amp;Checks!$AB$349)</f>
        <v/>
      </c>
      <c r="E53" s="114" t="str">
        <f aca="false">IF(Checks!$V$349="","",Checks!$V$349)&amp;IF(Checks!$AC$349="","",IF(Checks!$V$349="","",CHAR(10))&amp;"N/A just.: "&amp;Checks!$AC$349)&amp;IF(Checks!$W$349="","",CHAR(10)&amp;"Batch: "&amp;Checks!$W$349)&amp;IF(AND(Checks!$X$349="",Checks!$Y$349=""),"",CHAR(10)&amp;"Exp: "&amp;Checks!$X$349&amp;"  /  Act: "&amp;Checks!$Y$349)</f>
        <v/>
      </c>
      <c r="F53" s="114" t="str">
        <f aca="false">IF(Checks!$Z$349="","","Evidence: "&amp;Checks!$Z$349)&amp;IF(Checks!$AA$349="","",IF(Checks!$Z$349="","",CHAR(10))&amp;"CA: "&amp;Checks!$AA$349)</f>
        <v/>
      </c>
      <c r="G53" s="114" t="str">
        <f aca="false">IF(ISNUMBER(Checks!$AD$349),TEXT(Checks!$AD$349,"DD-MMM-YY HH:MM")&amp;" "&amp;Checks!$P$349,"")&amp;IF(Checks!$AE$349="","",CHAR(10)&amp;"Verifier: "&amp;Checks!$AE$349)&amp;IF(Checks!$T$349="","",CHAR(10)&amp;"PIC: "&amp;Checks!$T$349)</f>
        <v/>
      </c>
      <c r="H53" s="115" t="str">
        <f aca="false">IF(Checks!$AH$349="","",Checks!$AH$349)</f>
        <v>OPEN</v>
      </c>
    </row>
    <row r="54" customFormat="false" ht="114" hidden="false" customHeight="true" outlineLevel="0" collapsed="false">
      <c r="A54" s="114" t="str">
        <f aca="false">Checks!$A$350&amp;CHAR(10)&amp;IF(Checks!$I$350="","",Checks!$I$350&amp;": ")&amp;Checks!$J$350</f>
        <v>F10-UPL-04
F&amp;B Linen: Towel - on board</v>
      </c>
      <c r="B54" s="114" t="str">
        <f aca="false">Checks!$K$350&amp;IF(Checks!$O$350="","",IF(Checks!$K$350="","",CHAR(10))&amp;"Note: "&amp;Checks!$O$350)</f>
        <v>Available (ticked in reference)</v>
      </c>
      <c r="C54" s="114" t="str">
        <f aca="false">Checks!$N$350&amp;CHAR(10)&amp;IF(ISNUMBER(Checks!$R$350),TEXT(Checks!$R$350,"DD-MMM-YY HH:MM"),"")&amp;" "&amp;Checks!$P$350</f>
        <v>Required
12-Oct-26 11:45 KUL</v>
      </c>
      <c r="D54" s="114" t="str">
        <f aca="false">IF(Checks!$U$350="","",Checks!$U$350)&amp;IF(Checks!$AB$350="","",CHAR(10)&amp;"CA: "&amp;Checks!$AB$350)</f>
        <v/>
      </c>
      <c r="E54" s="114" t="str">
        <f aca="false">IF(Checks!$V$350="","",Checks!$V$350)&amp;IF(Checks!$AC$350="","",IF(Checks!$V$350="","",CHAR(10))&amp;"N/A just.: "&amp;Checks!$AC$350)&amp;IF(Checks!$W$350="","",CHAR(10)&amp;"Batch: "&amp;Checks!$W$350)&amp;IF(AND(Checks!$X$350="",Checks!$Y$350=""),"",CHAR(10)&amp;"Exp: "&amp;Checks!$X$350&amp;"  /  Act: "&amp;Checks!$Y$350)</f>
        <v/>
      </c>
      <c r="F54" s="114" t="str">
        <f aca="false">IF(Checks!$Z$350="","","Evidence: "&amp;Checks!$Z$350)&amp;IF(Checks!$AA$350="","",IF(Checks!$Z$350="","",CHAR(10))&amp;"CA: "&amp;Checks!$AA$350)</f>
        <v/>
      </c>
      <c r="G54" s="114" t="str">
        <f aca="false">IF(ISNUMBER(Checks!$AD$350),TEXT(Checks!$AD$350,"DD-MMM-YY HH:MM")&amp;" "&amp;Checks!$P$350,"")&amp;IF(Checks!$AE$350="","",CHAR(10)&amp;"Verifier: "&amp;Checks!$AE$350)&amp;IF(Checks!$T$350="","",CHAR(10)&amp;"PIC: "&amp;Checks!$T$350)</f>
        <v/>
      </c>
      <c r="H54" s="115" t="str">
        <f aca="false">IF(Checks!$AH$350="","",Checks!$AH$350)</f>
        <v>OPEN</v>
      </c>
    </row>
    <row r="55" customFormat="false" ht="114" hidden="false" customHeight="true" outlineLevel="0" collapsed="false">
      <c r="A55" s="114" t="str">
        <f aca="false">Checks!$A$351&amp;CHAR(10)&amp;IF(Checks!$I$351="","",Checks!$I$351&amp;": ")&amp;Checks!$J$351</f>
        <v>F10-UPL-05
F&amp;B Linen: Tray cloth - on board</v>
      </c>
      <c r="B55" s="114" t="str">
        <f aca="false">Checks!$K$351&amp;IF(Checks!$O$351="","",IF(Checks!$K$351="","",CHAR(10))&amp;"Note: "&amp;Checks!$O$351)</f>
        <v>Available (ticked in reference)</v>
      </c>
      <c r="C55" s="114" t="str">
        <f aca="false">Checks!$N$351&amp;CHAR(10)&amp;IF(ISNUMBER(Checks!$R$351),TEXT(Checks!$R$351,"DD-MMM-YY HH:MM"),"")&amp;" "&amp;Checks!$P$351</f>
        <v>Required
12-Oct-26 11:45 KUL</v>
      </c>
      <c r="D55" s="114" t="str">
        <f aca="false">IF(Checks!$U$351="","",Checks!$U$351)&amp;IF(Checks!$AB$351="","",CHAR(10)&amp;"CA: "&amp;Checks!$AB$351)</f>
        <v/>
      </c>
      <c r="E55" s="114" t="str">
        <f aca="false">IF(Checks!$V$351="","",Checks!$V$351)&amp;IF(Checks!$AC$351="","",IF(Checks!$V$351="","",CHAR(10))&amp;"N/A just.: "&amp;Checks!$AC$351)&amp;IF(Checks!$W$351="","",CHAR(10)&amp;"Batch: "&amp;Checks!$W$351)&amp;IF(AND(Checks!$X$351="",Checks!$Y$351=""),"",CHAR(10)&amp;"Exp: "&amp;Checks!$X$351&amp;"  /  Act: "&amp;Checks!$Y$351)</f>
        <v/>
      </c>
      <c r="F55" s="114" t="str">
        <f aca="false">IF(Checks!$Z$351="","","Evidence: "&amp;Checks!$Z$351)&amp;IF(Checks!$AA$351="","",IF(Checks!$Z$351="","",CHAR(10))&amp;"CA: "&amp;Checks!$AA$351)</f>
        <v/>
      </c>
      <c r="G55" s="114" t="str">
        <f aca="false">IF(ISNUMBER(Checks!$AD$351),TEXT(Checks!$AD$351,"DD-MMM-YY HH:MM")&amp;" "&amp;Checks!$P$351,"")&amp;IF(Checks!$AE$351="","",CHAR(10)&amp;"Verifier: "&amp;Checks!$AE$351)&amp;IF(Checks!$T$351="","",CHAR(10)&amp;"PIC: "&amp;Checks!$T$351)</f>
        <v/>
      </c>
      <c r="H55" s="115" t="str">
        <f aca="false">IF(Checks!$AH$351="","",Checks!$AH$351)</f>
        <v>OPEN</v>
      </c>
    </row>
    <row r="56" customFormat="false" ht="114" hidden="false" customHeight="true" outlineLevel="0" collapsed="false">
      <c r="A56" s="114" t="str">
        <f aca="false">Checks!$A$352&amp;CHAR(10)&amp;IF(Checks!$I$352="","",Checks!$I$352&amp;": ")&amp;Checks!$J$352</f>
        <v>F10-UPL-06
F&amp;B Linen: Napkin - on board</v>
      </c>
      <c r="B56" s="114" t="str">
        <f aca="false">Checks!$K$352&amp;IF(Checks!$O$352="","",IF(Checks!$K$352="","",CHAR(10))&amp;"Note: "&amp;Checks!$O$352)</f>
        <v>Available (ticked in reference)</v>
      </c>
      <c r="C56" s="114" t="str">
        <f aca="false">Checks!$N$352&amp;CHAR(10)&amp;IF(ISNUMBER(Checks!$R$352),TEXT(Checks!$R$352,"DD-MMM-YY HH:MM"),"")&amp;" "&amp;Checks!$P$352</f>
        <v>Required
12-Oct-26 11:45 KUL</v>
      </c>
      <c r="D56" s="114" t="str">
        <f aca="false">IF(Checks!$U$352="","",Checks!$U$352)&amp;IF(Checks!$AB$352="","",CHAR(10)&amp;"CA: "&amp;Checks!$AB$352)</f>
        <v/>
      </c>
      <c r="E56" s="114" t="str">
        <f aca="false">IF(Checks!$V$352="","",Checks!$V$352)&amp;IF(Checks!$AC$352="","",IF(Checks!$V$352="","",CHAR(10))&amp;"N/A just.: "&amp;Checks!$AC$352)&amp;IF(Checks!$W$352="","",CHAR(10)&amp;"Batch: "&amp;Checks!$W$352)&amp;IF(AND(Checks!$X$352="",Checks!$Y$352=""),"",CHAR(10)&amp;"Exp: "&amp;Checks!$X$352&amp;"  /  Act: "&amp;Checks!$Y$352)</f>
        <v/>
      </c>
      <c r="F56" s="114" t="str">
        <f aca="false">IF(Checks!$Z$352="","","Evidence: "&amp;Checks!$Z$352)&amp;IF(Checks!$AA$352="","",IF(Checks!$Z$352="","",CHAR(10))&amp;"CA: "&amp;Checks!$AA$352)</f>
        <v/>
      </c>
      <c r="G56" s="114" t="str">
        <f aca="false">IF(ISNUMBER(Checks!$AD$352),TEXT(Checks!$AD$352,"DD-MMM-YY HH:MM")&amp;" "&amp;Checks!$P$352,"")&amp;IF(Checks!$AE$352="","",CHAR(10)&amp;"Verifier: "&amp;Checks!$AE$352)&amp;IF(Checks!$T$352="","",CHAR(10)&amp;"PIC: "&amp;Checks!$T$352)</f>
        <v/>
      </c>
      <c r="H56" s="115" t="str">
        <f aca="false">IF(Checks!$AH$352="","",Checks!$AH$352)</f>
        <v>OPEN</v>
      </c>
    </row>
    <row r="57" customFormat="false" ht="114" hidden="false" customHeight="true" outlineLevel="0" collapsed="false">
      <c r="A57" s="114" t="str">
        <f aca="false">Checks!$A$353&amp;CHAR(10)&amp;IF(Checks!$I$353="","",Checks!$I$353&amp;": ")&amp;Checks!$J$353</f>
        <v>F10-UPL-07
F&amp;B Linen: Trolley cloth - on board</v>
      </c>
      <c r="B57" s="114" t="str">
        <f aca="false">SUBSTITUTE(Checks!$K$353&amp;IF(Checks!$O$353="","",IF(Checks!$K$353="","",CHAR(10))&amp;"Note: "&amp;Checks!$O$353),"F&amp;B LINEN!","Ref: F&amp;B LINEN!")</f>
        <v>Narrow body: Top only
Note: Per note Ref: F&amp;B LINEN!B79:C80.</v>
      </c>
      <c r="C57" s="114" t="str">
        <f aca="false">Checks!$N$353&amp;CHAR(10)&amp;IF(ISNUMBER(Checks!$R$353),TEXT(Checks!$R$353,"DD-MMM-YY HH:MM"),"")&amp;" "&amp;Checks!$P$353</f>
        <v>Required
12-Oct-26 11:45 KUL</v>
      </c>
      <c r="D57" s="114" t="str">
        <f aca="false">IF(Checks!$U$353="","",Checks!$U$353)&amp;IF(Checks!$AB$353="","",CHAR(10)&amp;"CA: "&amp;Checks!$AB$353)</f>
        <v/>
      </c>
      <c r="E57" s="114" t="str">
        <f aca="false">IF(Checks!$V$353="","",Checks!$V$353)&amp;IF(Checks!$AC$353="","",IF(Checks!$V$353="","",CHAR(10))&amp;"N/A just.: "&amp;Checks!$AC$353)&amp;IF(Checks!$W$353="","",CHAR(10)&amp;"Batch: "&amp;Checks!$W$353)&amp;IF(AND(Checks!$X$353="",Checks!$Y$353=""),"",CHAR(10)&amp;"Exp: "&amp;Checks!$X$353&amp;"  /  Act: "&amp;Checks!$Y$353)</f>
        <v/>
      </c>
      <c r="F57" s="114" t="str">
        <f aca="false">IF(Checks!$Z$353="","","Evidence: "&amp;Checks!$Z$353)&amp;IF(Checks!$AA$353="","",IF(Checks!$Z$353="","",CHAR(10))&amp;"CA: "&amp;Checks!$AA$353)</f>
        <v/>
      </c>
      <c r="G57" s="114" t="str">
        <f aca="false">IF(ISNUMBER(Checks!$AD$353),TEXT(Checks!$AD$353,"DD-MMM-YY HH:MM")&amp;" "&amp;Checks!$P$353,"")&amp;IF(Checks!$AE$353="","",CHAR(10)&amp;"Verifier: "&amp;Checks!$AE$353)&amp;IF(Checks!$T$353="","",CHAR(10)&amp;"PIC: "&amp;Checks!$T$353)</f>
        <v/>
      </c>
      <c r="H57" s="115" t="str">
        <f aca="false">IF(Checks!$AH$353="","",Checks!$AH$353)</f>
        <v>OPEN</v>
      </c>
    </row>
    <row r="58" customFormat="false" ht="114" hidden="false" customHeight="true" outlineLevel="0" collapsed="false">
      <c r="A58" s="114" t="str">
        <f aca="false">Checks!$A$354&amp;CHAR(10)&amp;IF(Checks!$I$354="","",Checks!$I$354&amp;": ")&amp;Checks!$J$354</f>
        <v>F10-UPL-08
F&amp;B Linen: Linen bag - on board</v>
      </c>
      <c r="B58" s="114" t="str">
        <f aca="false">Checks!$K$354&amp;IF(Checks!$O$354="","",IF(Checks!$K$354="","",CHAR(10))&amp;"Note: "&amp;Checks!$O$354)</f>
        <v>Available (ticked in reference)</v>
      </c>
      <c r="C58" s="114" t="str">
        <f aca="false">Checks!$N$354&amp;CHAR(10)&amp;IF(ISNUMBER(Checks!$R$354),TEXT(Checks!$R$354,"DD-MMM-YY HH:MM"),"")&amp;" "&amp;Checks!$P$354</f>
        <v>Required
12-Oct-26 11:45 KUL</v>
      </c>
      <c r="D58" s="114" t="str">
        <f aca="false">IF(Checks!$U$354="","",Checks!$U$354)&amp;IF(Checks!$AB$354="","",CHAR(10)&amp;"CA: "&amp;Checks!$AB$354)</f>
        <v/>
      </c>
      <c r="E58" s="114" t="str">
        <f aca="false">IF(Checks!$V$354="","",Checks!$V$354)&amp;IF(Checks!$AC$354="","",IF(Checks!$V$354="","",CHAR(10))&amp;"N/A just.: "&amp;Checks!$AC$354)&amp;IF(Checks!$W$354="","",CHAR(10)&amp;"Batch: "&amp;Checks!$W$354)&amp;IF(AND(Checks!$X$354="",Checks!$Y$354=""),"",CHAR(10)&amp;"Exp: "&amp;Checks!$X$354&amp;"  /  Act: "&amp;Checks!$Y$354)</f>
        <v/>
      </c>
      <c r="F58" s="114" t="str">
        <f aca="false">IF(Checks!$Z$354="","","Evidence: "&amp;Checks!$Z$354)&amp;IF(Checks!$AA$354="","",IF(Checks!$Z$354="","",CHAR(10))&amp;"CA: "&amp;Checks!$AA$354)</f>
        <v/>
      </c>
      <c r="G58" s="114" t="str">
        <f aca="false">IF(ISNUMBER(Checks!$AD$354),TEXT(Checks!$AD$354,"DD-MMM-YY HH:MM")&amp;" "&amp;Checks!$P$354,"")&amp;IF(Checks!$AE$354="","",CHAR(10)&amp;"Verifier: "&amp;Checks!$AE$354)&amp;IF(Checks!$T$354="","",CHAR(10)&amp;"PIC: "&amp;Checks!$T$354)</f>
        <v/>
      </c>
      <c r="H58" s="115" t="str">
        <f aca="false">IF(Checks!$AH$354="","",Checks!$AH$354)</f>
        <v>OPEN</v>
      </c>
    </row>
    <row r="59" customFormat="false" ht="114" hidden="false" customHeight="true" outlineLevel="0" collapsed="false">
      <c r="A59" s="114" t="str">
        <f aca="false">Checks!$A$355&amp;CHAR(10)&amp;IF(Checks!$I$355="","",Checks!$I$355&amp;": ")&amp;Checks!$J$355</f>
        <v>F10-UPL-09
Seat Linen: Seat pillow (BS &amp; BC) - on board</v>
      </c>
      <c r="B59" s="114" t="str">
        <f aca="false">Checks!$K$355&amp;IF(Checks!$O$355="","",IF(Checks!$K$355="","",CHAR(10))&amp;"Note: "&amp;Checks!$O$355)</f>
        <v>Available 100% (ticked in reference)</v>
      </c>
      <c r="C59" s="114" t="str">
        <f aca="false">Checks!$N$355&amp;CHAR(10)&amp;IF(ISNUMBER(Checks!$R$355),TEXT(Checks!$R$355,"DD-MMM-YY HH:MM"),"")&amp;" "&amp;Checks!$P$355</f>
        <v>Required
12-Oct-26 11:45 KUL</v>
      </c>
      <c r="D59" s="114" t="str">
        <f aca="false">IF(Checks!$U$355="","",Checks!$U$355)&amp;IF(Checks!$AB$355="","",CHAR(10)&amp;"CA: "&amp;Checks!$AB$355)</f>
        <v/>
      </c>
      <c r="E59" s="114" t="str">
        <f aca="false">IF(Checks!$V$355="","",Checks!$V$355)&amp;IF(Checks!$AC$355="","",IF(Checks!$V$355="","",CHAR(10))&amp;"N/A just.: "&amp;Checks!$AC$355)&amp;IF(Checks!$W$355="","",CHAR(10)&amp;"Batch: "&amp;Checks!$W$355)&amp;IF(AND(Checks!$X$355="",Checks!$Y$355=""),"",CHAR(10)&amp;"Exp: "&amp;Checks!$X$355&amp;"  /  Act: "&amp;Checks!$Y$355)</f>
        <v/>
      </c>
      <c r="F59" s="114" t="str">
        <f aca="false">IF(Checks!$Z$355="","","Evidence: "&amp;Checks!$Z$355)&amp;IF(Checks!$AA$355="","",IF(Checks!$Z$355="","",CHAR(10))&amp;"CA: "&amp;Checks!$AA$355)</f>
        <v/>
      </c>
      <c r="G59" s="114" t="str">
        <f aca="false">IF(ISNUMBER(Checks!$AD$355),TEXT(Checks!$AD$355,"DD-MMM-YY HH:MM")&amp;" "&amp;Checks!$P$355,"")&amp;IF(Checks!$AE$355="","",CHAR(10)&amp;"Verifier: "&amp;Checks!$AE$355)&amp;IF(Checks!$T$355="","",CHAR(10)&amp;"PIC: "&amp;Checks!$T$355)</f>
        <v/>
      </c>
      <c r="H59" s="115" t="str">
        <f aca="false">IF(Checks!$AH$355="","",Checks!$AH$355)</f>
        <v>OPEN</v>
      </c>
    </row>
    <row r="60" customFormat="false" ht="114" hidden="false" customHeight="true" outlineLevel="0" collapsed="false">
      <c r="A60" s="114" t="str">
        <f aca="false">Checks!$A$356&amp;CHAR(10)&amp;IF(Checks!$I$356="","",Checks!$I$356&amp;": ")&amp;Checks!$J$356</f>
        <v>F10-UPL-10
Seat Linen: Blanket (BS &amp; BC) - on board</v>
      </c>
      <c r="B60" s="114" t="str">
        <f aca="false">Checks!$K$356&amp;IF(Checks!$O$356="","",IF(Checks!$K$356="","",CHAR(10))&amp;"Note: "&amp;Checks!$O$356)</f>
        <v>Available 100% (ticked in reference)</v>
      </c>
      <c r="C60" s="114" t="str">
        <f aca="false">Checks!$N$356&amp;CHAR(10)&amp;IF(ISNUMBER(Checks!$R$356),TEXT(Checks!$R$356,"DD-MMM-YY HH:MM"),"")&amp;" "&amp;Checks!$P$356</f>
        <v>Required
12-Oct-26 11:45 KUL</v>
      </c>
      <c r="D60" s="114" t="str">
        <f aca="false">IF(Checks!$U$356="","",Checks!$U$356)&amp;IF(Checks!$AB$356="","",CHAR(10)&amp;"CA: "&amp;Checks!$AB$356)</f>
        <v/>
      </c>
      <c r="E60" s="114" t="str">
        <f aca="false">IF(Checks!$V$356="","",Checks!$V$356)&amp;IF(Checks!$AC$356="","",IF(Checks!$V$356="","",CHAR(10))&amp;"N/A just.: "&amp;Checks!$AC$356)&amp;IF(Checks!$W$356="","",CHAR(10)&amp;"Batch: "&amp;Checks!$W$356)&amp;IF(AND(Checks!$X$356="",Checks!$Y$356=""),"",CHAR(10)&amp;"Exp: "&amp;Checks!$X$356&amp;"  /  Act: "&amp;Checks!$Y$356)</f>
        <v/>
      </c>
      <c r="F60" s="114" t="str">
        <f aca="false">IF(Checks!$Z$356="","","Evidence: "&amp;Checks!$Z$356)&amp;IF(Checks!$AA$356="","",IF(Checks!$Z$356="","",CHAR(10))&amp;"CA: "&amp;Checks!$AA$356)</f>
        <v/>
      </c>
      <c r="G60" s="114" t="str">
        <f aca="false">IF(ISNUMBER(Checks!$AD$356),TEXT(Checks!$AD$356,"DD-MMM-YY HH:MM")&amp;" "&amp;Checks!$P$356,"")&amp;IF(Checks!$AE$356="","",CHAR(10)&amp;"Verifier: "&amp;Checks!$AE$356)&amp;IF(Checks!$T$356="","",CHAR(10)&amp;"PIC: "&amp;Checks!$T$356)</f>
        <v/>
      </c>
      <c r="H60" s="115" t="str">
        <f aca="false">IF(Checks!$AH$356="","",Checks!$AH$356)</f>
        <v>OPEN</v>
      </c>
    </row>
    <row r="62" customFormat="false" ht="24" hidden="false" customHeight="true" outlineLevel="0" collapsed="false">
      <c r="A62" s="116" t="s">
        <v>1737</v>
      </c>
      <c r="B62" s="116"/>
      <c r="C62" s="116"/>
      <c r="D62" s="116"/>
      <c r="E62" s="116" t="s">
        <v>1738</v>
      </c>
      <c r="F62" s="116"/>
      <c r="G62" s="116"/>
      <c r="H62" s="116"/>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0:H50"/>
    <mergeCell ref="A62:D62"/>
    <mergeCell ref="E62:H62"/>
    <mergeCell ref="A63:D72"/>
    <mergeCell ref="E63:H7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6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60">
    <cfRule type="expression" priority="17" aboveAverage="0" equalAverage="0" bottom="0" percent="0" rank="0" text="" dxfId="34">
      <formula>LEFT($H23,3)="N/A"</formula>
    </cfRule>
  </conditionalFormatting>
  <conditionalFormatting sqref="D23:D6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F10 MH1140 12-Oct-26 KUL-PEN Class BC</oddHeader>
    <oddFooter>&amp;L&amp;"Arial,Bold"&amp;8 F10 MH1140 12-Oct-26 KUL-PEN Class BC&amp;C&amp;"Arial,Regular"&amp;8 Printed: ____________________&amp;R&amp;"Arial,Regular"&amp;8 F10  Page &amp;P of &amp;N</oddFooter>
  </headerFooter>
  <rowBreaks count="10" manualBreakCount="10">
    <brk id="20" man="true" max="16383" min="0"/>
    <brk id="26" man="true" max="16383" min="0"/>
    <brk id="30" man="true" max="16383" min="0"/>
    <brk id="35" man="true" max="16383" min="0"/>
    <brk id="39" man="true" max="16383" min="0"/>
    <brk id="42" man="true" max="16383" min="0"/>
    <brk id="46" man="true" max="16383" min="0"/>
    <brk id="51" man="true" max="16383" min="0"/>
    <brk id="55" man="true" max="16383" min="0"/>
    <brk id="59" man="true" max="16383" min="0"/>
  </rowBreaks>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F11  "&amp;Flights!$F$15&amp;"  "&amp;TEXT(Flights!$D$15,"DD-MMM-YY")&amp;" ("&amp;Flights!$E$15&amp;")  "&amp;Flights!$G$15&amp;" → "&amp;Flights!$H$15&amp;"  |  Class "&amp;Flights!$K$15</f>
        <v>SKYTRAX 2026 CATERING READINESS CHECKLIST  |  F11  MH1149  12-Oct-26 (MON)  PEN → KUL  |  Class EY</v>
      </c>
      <c r="B1" s="92"/>
      <c r="C1" s="92"/>
      <c r="D1" s="92"/>
      <c r="E1" s="92"/>
      <c r="F1" s="92"/>
      <c r="G1" s="92"/>
      <c r="H1" s="92"/>
    </row>
    <row r="2" customFormat="false" ht="12.75" hidden="false" customHeight="true" outlineLevel="0" collapsed="false">
      <c r="A2" s="93" t="s">
        <v>1692</v>
      </c>
      <c r="B2" s="94" t="str">
        <f aca="false">Flights!$F$15&amp;"   "&amp;TEXT(Flights!$D$15,"DD-MMM-YY")&amp;" ("&amp;Flights!$E$15&amp;")"</f>
        <v>MH1149   12-Oct-26 (MON)</v>
      </c>
      <c r="C2" s="94"/>
      <c r="D2" s="94"/>
      <c r="E2" s="95" t="s">
        <v>1693</v>
      </c>
      <c r="F2" s="96" t="str">
        <f aca="false">Flights!$AT$15</f>
        <v>NOT READY – DOCUMENTS</v>
      </c>
      <c r="G2" s="96"/>
      <c r="H2" s="96"/>
    </row>
    <row r="3" customFormat="false" ht="24" hidden="false" customHeight="true" outlineLevel="0" collapsed="false">
      <c r="A3" s="93" t="s">
        <v>1694</v>
      </c>
      <c r="B3" s="94" t="str">
        <f aca="false">Flights!$G$15&amp;" → "&amp;Flights!$H$15&amp;"   Class "&amp;Flights!$K$15&amp;"   Seat "&amp;Flights!$O$15</f>
        <v>PEN → KUL   Class EY   Seat 4A</v>
      </c>
      <c r="C3" s="94"/>
      <c r="D3" s="94"/>
      <c r="E3" s="95" t="s">
        <v>71</v>
      </c>
      <c r="F3" s="95" t="s">
        <v>1695</v>
      </c>
      <c r="G3" s="95" t="s">
        <v>1696</v>
      </c>
      <c r="H3" s="95"/>
    </row>
    <row r="4" customFormat="false" ht="24" hidden="false" customHeight="true" outlineLevel="0" collapsed="false">
      <c r="A4" s="93" t="s">
        <v>1697</v>
      </c>
      <c r="B4" s="94" t="str">
        <f aca="false">IF(ISNUMBER(Flights!$I$15),TEXT(Flights!$I$15,"DD-MMM-YY HH:MM"),"")&amp;" "&amp;Flights!$G$15&amp;"  →  "&amp;IF(ISNUMBER(Flights!$J$15),TEXT(Flights!$J$15,"DD-MMM-YY HH:MM"),"")&amp;" "&amp;Flights!$H$15</f>
        <v>12-Oct-26 15:50 PEN  →  12-Oct-26 16:55 KUL</v>
      </c>
      <c r="C4" s="94"/>
      <c r="D4" s="94"/>
      <c r="E4" s="93" t="s">
        <v>1698</v>
      </c>
      <c r="F4" s="97" t="str">
        <f aca="false">IF(ISNUMBER(Flights!$AG$15),TEXT(Flights!$AG$15,"DD-MMM-YY HH:MM"),"")&amp;" "&amp;Flights!$V$15</f>
        <v>05-Oct-26 15:50 KUL</v>
      </c>
      <c r="G4" s="98" t="n">
        <f aca="false">Flights!$AJ$15</f>
        <v>0</v>
      </c>
      <c r="H4" s="98"/>
    </row>
    <row r="5" customFormat="false" ht="24" hidden="false" customHeight="true" outlineLevel="0" collapsed="false">
      <c r="A5" s="93" t="s">
        <v>1699</v>
      </c>
      <c r="B5" s="94" t="str">
        <f aca="false">Flights!$L$15&amp;" – "&amp;Flights!$M$15</f>
        <v>B738MAX – B737-8 (B7M8)</v>
      </c>
      <c r="C5" s="94"/>
      <c r="D5" s="94"/>
      <c r="E5" s="93" t="s">
        <v>1700</v>
      </c>
      <c r="F5" s="97" t="str">
        <f aca="false">IF(ISNUMBER(Flights!$AH$15),TEXT(Flights!$AH$15,"DD-MMM-YY HH:MM"),"")&amp;" "&amp;Flights!$V$15</f>
        <v>11-Oct-26 15:50 KUL</v>
      </c>
      <c r="G5" s="98" t="n">
        <f aca="false">Flights!$AK$15</f>
        <v>0</v>
      </c>
      <c r="H5" s="98"/>
    </row>
    <row r="6" customFormat="false" ht="24" hidden="false" customHeight="true" outlineLevel="0" collapsed="false">
      <c r="A6" s="93" t="s">
        <v>1701</v>
      </c>
      <c r="B6" s="94" t="str">
        <f aca="false">IF(TRIM(Flights!$N$15)="","__________________",Flights!$N$15)</f>
        <v>__________________</v>
      </c>
      <c r="C6" s="94"/>
      <c r="D6" s="94"/>
      <c r="E6" s="93" t="s">
        <v>1702</v>
      </c>
      <c r="F6" s="97" t="str">
        <f aca="false">IF(ISNUMBER(Flights!$AI$15),TEXT(Flights!$AI$15,"DD-MMM-YY HH:MM"),"")&amp;" "&amp;Flights!$V$15&amp;IF(Flights!$AI$15=Flights!$AH$15,"  (= T-24H due)","")</f>
        <v>12-Oct-26 03:50 KUL</v>
      </c>
      <c r="G6" s="98" t="n">
        <f aca="false">Flights!$AL$15</f>
        <v>0</v>
      </c>
      <c r="H6" s="98"/>
    </row>
    <row r="7" customFormat="false" ht="24" hidden="false" customHeight="true" outlineLevel="0" collapsed="false">
      <c r="A7" s="93" t="s">
        <v>1703</v>
      </c>
      <c r="B7" s="94" t="str">
        <f aca="false">Flights!$T$15</f>
        <v>Refreshment (Peanut &amp; Water)</v>
      </c>
      <c r="C7" s="94"/>
      <c r="D7" s="94"/>
      <c r="E7" s="93" t="s">
        <v>1704</v>
      </c>
      <c r="F7" s="97" t="str">
        <f aca="false">"STD "&amp;IF(ISNUMBER(Flights!$I$15),TEXT(Flights!$I$15,"DD-MMM-YY HH:MM"),"")&amp;" "&amp;Flights!$G$15&amp;" (dep stn)"</f>
        <v>STD 12-Oct-26 15:50 PEN (dep stn)</v>
      </c>
      <c r="G7" s="98" t="n">
        <f aca="false">Flights!$AM$15</f>
        <v>0</v>
      </c>
      <c r="H7" s="98"/>
    </row>
    <row r="8" customFormat="false" ht="12.75" hidden="false" customHeight="true" outlineLevel="0" collapsed="false">
      <c r="A8" s="93" t="s">
        <v>153</v>
      </c>
      <c r="B8" s="94" t="str">
        <f aca="false">Flights!$V$15&amp;"   (reference uplift stns: "&amp;Flights!$U$15&amp;")"</f>
        <v>KUL   (reference uplift stns: KUL)</v>
      </c>
      <c r="C8" s="94"/>
      <c r="D8" s="94"/>
      <c r="E8" s="93" t="s">
        <v>1705</v>
      </c>
      <c r="F8" s="99" t="s">
        <v>1706</v>
      </c>
      <c r="G8" s="98" t="n">
        <f aca="false">Flights!$AN$15</f>
        <v>0</v>
      </c>
      <c r="H8" s="98"/>
    </row>
    <row r="9" customFormat="false" ht="12.75" hidden="false" customHeight="true" outlineLevel="0" collapsed="false">
      <c r="A9" s="93" t="s">
        <v>1707</v>
      </c>
      <c r="B9" s="94" t="str">
        <f aca="false">TRIM(Flights!$P$15&amp;"  "&amp;Flights!$Q$15)</f>
        <v>3H 05M</v>
      </c>
      <c r="C9" s="94"/>
      <c r="D9" s="94"/>
      <c r="E9" s="93" t="s">
        <v>1708</v>
      </c>
      <c r="F9" s="100" t="n">
        <f aca="false">Flights!$AP$15</f>
        <v>0</v>
      </c>
      <c r="G9" s="100" t="n">
        <f aca="false">Flights!$AQ$15</f>
        <v>0</v>
      </c>
      <c r="H9" s="100" t="n">
        <f aca="false">Flights!$AU$15</f>
        <v>0</v>
      </c>
    </row>
    <row r="10" customFormat="false" ht="24" hidden="false" customHeight="true" outlineLevel="0" collapsed="false">
      <c r="A10" s="93" t="s">
        <v>1709</v>
      </c>
      <c r="B10" s="94" t="str">
        <f aca="false">IF(TRIM(Flights!$X$15)="","__________________",Flights!$X$15)</f>
        <v>__________________</v>
      </c>
      <c r="C10" s="94"/>
      <c r="D10" s="94"/>
      <c r="E10" s="93" t="s">
        <v>1710</v>
      </c>
      <c r="F10" s="100" t="n">
        <f aca="false">Flights!$AO$15</f>
        <v>22</v>
      </c>
      <c r="G10" s="100" t="n">
        <f aca="false">Flights!$AS$15</f>
        <v>1</v>
      </c>
      <c r="H10" s="100" t="n">
        <f aca="false">Flights!$AR$15</f>
        <v>2</v>
      </c>
    </row>
    <row r="11" customFormat="false" ht="21" hidden="false" customHeight="true" outlineLevel="0" collapsed="false">
      <c r="A11" s="93" t="s">
        <v>1711</v>
      </c>
      <c r="B11" s="94" t="str">
        <f aca="false">IF(TRIM(Flights!$Y$15)="","__________________",Flights!$Y$15)</f>
        <v>__________________</v>
      </c>
      <c r="C11" s="94"/>
      <c r="D11" s="94"/>
      <c r="E11" s="93" t="s">
        <v>1712</v>
      </c>
      <c r="F11" s="100" t="str">
        <f aca="false">Flights!$AV$15&amp;" / "&amp;Flights!$AW$15</f>
        <v>0 / 22</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45.75" hidden="false" customHeight="true" outlineLevel="0" collapsed="false">
      <c r="A13" s="118" t="str">
        <f aca="false">"ROUND-TRIP LEG: all catering is uplifted at KUL on the carrying flight (agenda candidate "&amp;Flights!$W$15&amp;IFERROR(" "&amp;INDEX(Flights!$F$5:$F$26,MATCH(TRIM(Flights!$W$15),Flights!$A$5:$A$26,0)),"")&amp;"). T-24H / T-12H PREP are capped at the KUL loading window; on-board UPLIFT checks are at "&amp;Flights!$G$15&amp;"."&amp;CHAR(10)&amp;"KUL loading window opens (caps prep dues; each row shows its binding due): "&amp;IF(ISNUMBER(Flights!$AY$15),TEXT(Flights!$AY$15+IFERROR(INDEX(Settings!$C$13:$C$22,MATCH("KUL",Settings!$A$13:$A$22,0)),8)/24,"DD-MMM-YY HH:MM")&amp;" KUL","(not set)")&amp;"   |   Carrying flight KUL departure (loading confirmed by): "&amp;IF(ISNUMBER(Flights!$AY$15),TEXT(Flights!$AY$15+UpliftWindowH/24+IFERROR(INDEX(Settings!$C$13:$C$22,MATCH("KUL",Settings!$A$13:$A$22,0)),8)/24,"DD-MMM-YY HH:MM")&amp;" KUL","(not set)")&amp;IF(ISNUMBER(Flights!$AX$15),"",IF(TRIM(Flights!$W$15)&lt;&gt;""," (agenda candidate – enter actual on Flights AX)"," (latest possible – enter actual on Flights AX)"))</f>
        <v>ROUND-TRIP LEG: all catering is uplifted at KUL on the carrying flight (agenda candidate F10 MH1140). T-24H / T-12H PREP are capped at the KUL loading window; on-board UPLIFT checks are at PEN.
KUL loading window opens (caps prep dues; each row shows its binding due): 12-Oct-26 05:45 KUL   |   Carrying flight KUL departure (loading confirmed by): 12-Oct-26 11:45 KUL (agenda candidate – enter actual on Flights AX)</v>
      </c>
      <c r="B13" s="118"/>
      <c r="C13" s="118"/>
      <c r="D13" s="118"/>
      <c r="E13" s="118"/>
      <c r="F13" s="118"/>
      <c r="G13" s="118"/>
      <c r="H13" s="118"/>
    </row>
    <row r="14" customFormat="false" ht="13.5" hidden="false" customHeight="true" outlineLevel="0" collapsed="false">
      <c r="A14" s="95" t="s">
        <v>1717</v>
      </c>
      <c r="B14" s="95" t="s">
        <v>1718</v>
      </c>
      <c r="C14" s="95" t="s">
        <v>1719</v>
      </c>
      <c r="D14" s="95"/>
      <c r="E14" s="95" t="s">
        <v>1720</v>
      </c>
      <c r="F14" s="95" t="s">
        <v>1721</v>
      </c>
      <c r="G14" s="95"/>
      <c r="H14" s="95"/>
    </row>
    <row r="15" customFormat="false" ht="36" hidden="false" customHeight="true" outlineLevel="0" collapsed="false">
      <c r="A15" s="93" t="s">
        <v>1722</v>
      </c>
      <c r="B15" s="94" t="str">
        <f aca="false">IF(Documents!$F$15="","",Documents!$F$15)</f>
        <v/>
      </c>
      <c r="C15" s="99" t="str">
        <f aca="false">IF(Documents!$G$15="","",Documents!$G$15)&amp;IF(ISNUMBER(Documents!$H$15),"  "&amp;TEXT(Documents!$H$15,"DD-MMM-YY"),"")</f>
        <v/>
      </c>
      <c r="D15" s="99"/>
      <c r="E15" s="107" t="str">
        <f aca="false">IF(Documents!$J$15="OUTSTANDING","OUTSTANDING – attach before T-7D (due "&amp;IF(ISNUMBER(Flights!$AG$15),TEXT(Flights!$AG$15,"DD-MMM-YY HH:MM"),"")&amp;" "&amp;Flights!$V$15&amp;")",IF(Documents!$J$15="","Status not recorded",Documents!$J$15))</f>
        <v>OUTSTANDING – attach before T-7D (due 05-Oct-26 15:50 KUL)</v>
      </c>
      <c r="F15" s="108" t="str">
        <f aca="false">"Staple behind this sheet as page A1."&amp;IF(Documents!$I$15="",""," Location: "&amp;Documents!$I$15)</f>
        <v>Staple behind this sheet as page A1.</v>
      </c>
      <c r="G15" s="108"/>
      <c r="H15" s="108"/>
    </row>
    <row r="16" customFormat="false" ht="36" hidden="false" customHeight="true" outlineLevel="0" collapsed="false">
      <c r="A16" s="93" t="s">
        <v>1723</v>
      </c>
      <c r="B16" s="94" t="str">
        <f aca="false">IF(Documents!$K$15="","",Documents!$K$15)</f>
        <v/>
      </c>
      <c r="C16" s="99" t="str">
        <f aca="false">IF(Documents!$L$15="","",Documents!$L$15)&amp;IF(ISNUMBER(Documents!$M$15),"  "&amp;TEXT(Documents!$M$15,"DD-MMM-YY"),"")</f>
        <v/>
      </c>
      <c r="D16" s="99"/>
      <c r="E16" s="107" t="str">
        <f aca="false">IF(Documents!$O$15="OUTSTANDING","OUTSTANDING – attach before T-7D (due "&amp;IF(ISNUMBER(Flights!$AG$15),TEXT(Flights!$AG$15,"DD-MMM-YY HH:MM"),"")&amp;" "&amp;Flights!$V$15&amp;")",IF(Documents!$O$15="","Status not recorded",Documents!$O$15))</f>
        <v>OUTSTANDING – attach before T-7D (due 05-Oct-26 15:50 KUL)</v>
      </c>
      <c r="F16" s="108" t="str">
        <f aca="false">"Staple behind this sheet as page A2."&amp;IF(Documents!$N$15="",""," Location: "&amp;Documents!$N$15)</f>
        <v>Staple behind this sheet as page A2.</v>
      </c>
      <c r="G16" s="108"/>
      <c r="H16" s="108"/>
    </row>
    <row r="17" customFormat="false" ht="22.5" hidden="false" customHeight="true" outlineLevel="0" collapsed="false">
      <c r="A17" s="93" t="s">
        <v>1724</v>
      </c>
      <c r="B17" s="109" t="str">
        <f aca="false">IF(Documents!$Q$15="","",Documents!$Q$15)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1725</v>
      </c>
      <c r="B18" s="110"/>
      <c r="C18" s="110" t="s">
        <v>1726</v>
      </c>
      <c r="D18" s="110"/>
      <c r="E18" s="110"/>
      <c r="F18" s="110" t="s">
        <v>1727</v>
      </c>
      <c r="G18" s="110"/>
      <c r="H18" s="110"/>
    </row>
    <row r="19" customFormat="false" ht="18" hidden="false" customHeight="true" outlineLevel="0" collapsed="false">
      <c r="A19" s="94" t="str">
        <f aca="false">"Name: "&amp;IF(TRIM(Flights!$Y$15)="","__________________",Flights!$Y$15)</f>
        <v>Name: __________________</v>
      </c>
      <c r="B19" s="94"/>
      <c r="C19" s="94" t="str">
        <f aca="false">"Name: __________________"</f>
        <v>Name: __________________</v>
      </c>
      <c r="D19" s="94"/>
      <c r="E19" s="94"/>
      <c r="F19" s="94" t="str">
        <f aca="false">"Name: __________________"&amp;"   Station: "&amp;Flights!$V$15</f>
        <v>Name: __________________   Station: KUL</v>
      </c>
      <c r="G19" s="94"/>
      <c r="H19" s="94"/>
    </row>
    <row r="20" customFormat="false" ht="30" hidden="false" customHeight="true" outlineLevel="0" collapsed="false">
      <c r="A20" s="111" t="s">
        <v>1728</v>
      </c>
      <c r="B20" s="111"/>
      <c r="C20" s="111" t="s">
        <v>1728</v>
      </c>
      <c r="D20" s="111"/>
      <c r="E20" s="111"/>
      <c r="F20" s="111" t="s">
        <v>1728</v>
      </c>
      <c r="G20" s="111"/>
      <c r="H20" s="111"/>
    </row>
    <row r="21" customFormat="false" ht="13.5" hidden="false" customHeight="true" outlineLevel="0" collapsed="false">
      <c r="A21" s="112" t="s">
        <v>1729</v>
      </c>
      <c r="B21" s="112"/>
      <c r="C21" s="112"/>
      <c r="D21" s="112"/>
      <c r="E21" s="112"/>
      <c r="F21" s="112"/>
      <c r="G21" s="112"/>
      <c r="H21" s="112"/>
    </row>
    <row r="22" customFormat="false" ht="24" hidden="false" customHeight="true" outlineLevel="0" collapsed="false">
      <c r="A22" s="95" t="s">
        <v>1730</v>
      </c>
      <c r="B22" s="95" t="s">
        <v>1731</v>
      </c>
      <c r="C22" s="95" t="s">
        <v>1732</v>
      </c>
      <c r="D22" s="95" t="s">
        <v>1733</v>
      </c>
      <c r="E22" s="95" t="s">
        <v>1734</v>
      </c>
      <c r="F22" s="95" t="s">
        <v>1735</v>
      </c>
      <c r="G22" s="95" t="s">
        <v>1736</v>
      </c>
      <c r="H22" s="95" t="s">
        <v>124</v>
      </c>
    </row>
    <row r="23" customFormat="false" ht="25.5" hidden="false" customHeight="true" outlineLevel="0" collapsed="false">
      <c r="A23" s="113" t="str">
        <f aca="false">"T-7D — 7 days before departure  |  Due "&amp;IF(ISNUMBER(Flights!$AG$15),TEXT(Flights!$AG$15,"DD-MMM-YY HH:MM"),"")&amp;" "&amp;Flights!$V$15&amp;" (meal uplift stn)"&amp;" (rows with another due show their own)  |  Complete "&amp;IF(ISNUMBER(Flights!$AJ$15),TEXT(Flights!$AJ$15,"0%"),Flights!$AJ$15)&amp;"  |  10 lines"</f>
        <v>T-7D — 7 days before departure  |  Due 05-Oct-26 15:50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Checks!$A$357&amp;CHAR(10)&amp;IF(Checks!$I$357="","",Checks!$I$357&amp;": ")&amp;Checks!$J$357</f>
        <v>F11-T7-01
Meal: Meal sensory testing completed for this flight's menu cycle (assessed class)</v>
      </c>
      <c r="B24" s="114" t="str">
        <f aca="false">Checks!$K$357&amp;IF(Checks!$O$357="","",IF(Checks!$K$357="","",CHAR(10))&amp;"Note: "&amp;Checks!$O$357)</f>
        <v>Record panel result / score in Result
Note: Refreshment service: sensory test covers the refreshment items.</v>
      </c>
      <c r="C24" s="114" t="str">
        <f aca="false">Checks!$N$357&amp;CHAR(10)&amp;IF(ISNUMBER(Checks!$R$357),TEXT(Checks!$R$357,"DD-MMM-YY HH:MM"),"")&amp;" "&amp;Checks!$P$357</f>
        <v>Required
05-Oct-26 15:50 KUL</v>
      </c>
      <c r="D24" s="114" t="str">
        <f aca="false">IF(Checks!$U$357="","",Checks!$U$357)&amp;IF(Checks!$AB$357="","",CHAR(10)&amp;"CA: "&amp;Checks!$AB$357)</f>
        <v/>
      </c>
      <c r="E24" s="114" t="str">
        <f aca="false">IF(Checks!$V$357="","",Checks!$V$357)&amp;IF(Checks!$AC$357="","",IF(Checks!$V$357="","",CHAR(10))&amp;"N/A just.: "&amp;Checks!$AC$357)&amp;IF(Checks!$W$357="","",CHAR(10)&amp;"Batch: "&amp;Checks!$W$357)&amp;IF(AND(Checks!$X$357="",Checks!$Y$357=""),"",CHAR(10)&amp;"Exp: "&amp;Checks!$X$357&amp;"  /  Act: "&amp;Checks!$Y$357)</f>
        <v/>
      </c>
      <c r="F24" s="114" t="str">
        <f aca="false">IF(Checks!$Z$357="","","Evidence: "&amp;Checks!$Z$357)&amp;IF(Checks!$AA$357="","",IF(Checks!$Z$357="","",CHAR(10))&amp;"CA: "&amp;Checks!$AA$357)</f>
        <v/>
      </c>
      <c r="G24" s="114" t="str">
        <f aca="false">IF(ISNUMBER(Checks!$AD$357),TEXT(Checks!$AD$357,"DD-MMM-YY HH:MM")&amp;" "&amp;Checks!$P$357,"")&amp;IF(Checks!$AE$357="","",CHAR(10)&amp;"Verifier: "&amp;Checks!$AE$357)&amp;IF(Checks!$T$357="","",CHAR(10)&amp;"PIC: "&amp;Checks!$T$357)</f>
        <v/>
      </c>
      <c r="H24" s="115" t="str">
        <f aca="false">IF(Checks!$AH$357="","",Checks!$AH$357)</f>
        <v>OPEN</v>
      </c>
    </row>
    <row r="25" customFormat="false" ht="114" hidden="false" customHeight="true" outlineLevel="0" collapsed="false">
      <c r="A25" s="114" t="str">
        <f aca="false">Checks!$A$358&amp;CHAR(10)&amp;IF(Checks!$I$358="","",Checks!$I$358&amp;": ")&amp;Checks!$J$358</f>
        <v>F11-T7-02
Menu: Printed menu cards confirmed (content, cycle, language, quantity)</v>
      </c>
      <c r="B25" s="114" t="str">
        <f aca="false">Checks!$K$358&amp;IF(Checks!$O$358="","",IF(Checks!$K$358="","",CHAR(10))&amp;"Note: "&amp;Checks!$O$358)</f>
        <v>Menu card matches approved menu for this flight
Note: Refreshment service (peanut &amp; water). If no printed menu card is used, mark N/A with the confirmation as justification.</v>
      </c>
      <c r="C25" s="114" t="str">
        <f aca="false">Checks!$N$358&amp;CHAR(10)&amp;IF(ISNUMBER(Checks!$R$358),TEXT(Checks!$R$358,"DD-MMM-YY HH:MM"),"")&amp;" "&amp;Checks!$P$358</f>
        <v>Required
05-Oct-26 15:50 KUL</v>
      </c>
      <c r="D25" s="114" t="str">
        <f aca="false">IF(Checks!$U$358="","",Checks!$U$358)&amp;IF(Checks!$AB$358="","",CHAR(10)&amp;"CA: "&amp;Checks!$AB$358)</f>
        <v/>
      </c>
      <c r="E25" s="114" t="str">
        <f aca="false">IF(Checks!$V$358="","",Checks!$V$358)&amp;IF(Checks!$AC$358="","",IF(Checks!$V$358="","",CHAR(10))&amp;"N/A just.: "&amp;Checks!$AC$358)&amp;IF(Checks!$W$358="","",CHAR(10)&amp;"Batch: "&amp;Checks!$W$358)&amp;IF(AND(Checks!$X$358="",Checks!$Y$358=""),"",CHAR(10)&amp;"Exp: "&amp;Checks!$X$358&amp;"  /  Act: "&amp;Checks!$Y$358)</f>
        <v/>
      </c>
      <c r="F25" s="114" t="str">
        <f aca="false">IF(Checks!$Z$358="","","Evidence: "&amp;Checks!$Z$358)&amp;IF(Checks!$AA$358="","",IF(Checks!$Z$358="","",CHAR(10))&amp;"CA: "&amp;Checks!$AA$358)</f>
        <v/>
      </c>
      <c r="G25" s="114" t="str">
        <f aca="false">IF(ISNUMBER(Checks!$AD$358),TEXT(Checks!$AD$358,"DD-MMM-YY HH:MM")&amp;" "&amp;Checks!$P$358,"")&amp;IF(Checks!$AE$358="","",CHAR(10)&amp;"Verifier: "&amp;Checks!$AE$358)&amp;IF(Checks!$T$358="","",CHAR(10)&amp;"PIC: "&amp;Checks!$T$358)</f>
        <v/>
      </c>
      <c r="H25" s="115" t="str">
        <f aca="false">IF(Checks!$AH$358="","",Checks!$AH$358)</f>
        <v>OPEN</v>
      </c>
    </row>
    <row r="26" customFormat="false" ht="114" hidden="false" customHeight="true" outlineLevel="0" collapsed="false">
      <c r="A26" s="114" t="str">
        <f aca="false">Checks!$A$359&amp;CHAR(10)&amp;IF(Checks!$I$359="","",Checks!$I$359&amp;": ")&amp;Checks!$J$359</f>
        <v>F11-T7-03
IFE: Digital menu in IFE confirmed (A339 only)</v>
      </c>
      <c r="B26" s="114" t="str">
        <f aca="false">Checks!$K$359&amp;IF(Checks!$O$359="","",IF(Checks!$K$359="","",CHAR(10))&amp;"Note: "&amp;Checks!$O$359)</f>
        <v>Applies when fleet = A339
Note: Digital IFE menu applies to A339 only (user brief). Applicability follows the Fleet cell on Flights.</v>
      </c>
      <c r="C26" s="114" t="str">
        <f aca="false">Checks!$N$359&amp;CHAR(10)&amp;IF(ISNUMBER(Checks!$R$359),TEXT(Checks!$R$359,"DD-MMM-YY HH:MM"),"")&amp;" "&amp;Checks!$P$359</f>
        <v>N/A – rule
05-Oct-26 15:50 KUL</v>
      </c>
      <c r="D26" s="114" t="str">
        <f aca="false">IF(Checks!$U$359="","",Checks!$U$359)&amp;IF(Checks!$AB$359="","",CHAR(10)&amp;"CA: "&amp;Checks!$AB$359)</f>
        <v/>
      </c>
      <c r="E26" s="114" t="str">
        <f aca="false">IF(Checks!$V$359="","",Checks!$V$359)&amp;IF(Checks!$AC$359="","",IF(Checks!$V$359="","",CHAR(10))&amp;"N/A just.: "&amp;Checks!$AC$359)&amp;IF(Checks!$W$359="","",CHAR(10)&amp;"Batch: "&amp;Checks!$W$359)&amp;IF(AND(Checks!$X$359="",Checks!$Y$359=""),"",CHAR(10)&amp;"Exp: "&amp;Checks!$X$359&amp;"  /  Act: "&amp;Checks!$Y$359)</f>
        <v/>
      </c>
      <c r="F26" s="114" t="str">
        <f aca="false">IF(Checks!$Z$359="","","Evidence: "&amp;Checks!$Z$359)&amp;IF(Checks!$AA$359="","",IF(Checks!$Z$359="","",CHAR(10))&amp;"CA: "&amp;Checks!$AA$359)</f>
        <v/>
      </c>
      <c r="G26" s="114" t="str">
        <f aca="false">IF(ISNUMBER(Checks!$AD$359),TEXT(Checks!$AD$359,"DD-MMM-YY HH:MM")&amp;" "&amp;Checks!$P$359,"")&amp;IF(Checks!$AE$359="","",CHAR(10)&amp;"Verifier: "&amp;Checks!$AE$359)&amp;IF(Checks!$T$359="","",CHAR(10)&amp;"PIC: "&amp;Checks!$T$359)</f>
        <v/>
      </c>
      <c r="H26" s="115" t="str">
        <f aca="false">IF(Checks!$AH$359="","",Checks!$AH$359)</f>
        <v>N/A – RULE</v>
      </c>
    </row>
    <row r="27" customFormat="false" ht="114" hidden="false" customHeight="true" outlineLevel="0" collapsed="false">
      <c r="A27" s="114" t="str">
        <f aca="false">Checks!$A$360&amp;CHAR(10)&amp;IF(Checks!$I$360="","",Checks!$I$360&amp;": ")&amp;Checks!$J$360</f>
        <v>F11-T7-04
Staffing: Experienced catering officer assigned to this flight</v>
      </c>
      <c r="B27" s="114" t="str">
        <f aca="false">Checks!$K$360&amp;IF(Checks!$O$360="","",IF(Checks!$K$360="","",CHAR(10))&amp;"Note: "&amp;Checks!$O$360)</f>
        <v>Record officer name in Result</v>
      </c>
      <c r="C27" s="114" t="str">
        <f aca="false">Checks!$N$360&amp;CHAR(10)&amp;IF(ISNUMBER(Checks!$R$360),TEXT(Checks!$R$360,"DD-MMM-YY HH:MM"),"")&amp;" "&amp;Checks!$P$360</f>
        <v>Required
05-Oct-26 15:50 KUL</v>
      </c>
      <c r="D27" s="114" t="str">
        <f aca="false">IF(Checks!$U$360="","",Checks!$U$360)&amp;IF(Checks!$AB$360="","",CHAR(10)&amp;"CA: "&amp;Checks!$AB$360)</f>
        <v/>
      </c>
      <c r="E27" s="114" t="str">
        <f aca="false">IF(Checks!$V$360="","",Checks!$V$360)&amp;IF(Checks!$AC$360="","",IF(Checks!$V$360="","",CHAR(10))&amp;"N/A just.: "&amp;Checks!$AC$360)&amp;IF(Checks!$W$360="","",CHAR(10)&amp;"Batch: "&amp;Checks!$W$360)&amp;IF(AND(Checks!$X$360="",Checks!$Y$360=""),"",CHAR(10)&amp;"Exp: "&amp;Checks!$X$360&amp;"  /  Act: "&amp;Checks!$Y$360)</f>
        <v/>
      </c>
      <c r="F27" s="114" t="str">
        <f aca="false">IF(Checks!$Z$360="","","Evidence: "&amp;Checks!$Z$360)&amp;IF(Checks!$AA$360="","",IF(Checks!$Z$360="","",CHAR(10))&amp;"CA: "&amp;Checks!$AA$360)</f>
        <v/>
      </c>
      <c r="G27" s="114" t="str">
        <f aca="false">IF(ISNUMBER(Checks!$AD$360),TEXT(Checks!$AD$360,"DD-MMM-YY HH:MM")&amp;" "&amp;Checks!$P$360,"")&amp;IF(Checks!$AE$360="","",CHAR(10)&amp;"Verifier: "&amp;Checks!$AE$360)&amp;IF(Checks!$T$360="","",CHAR(10)&amp;"PIC: "&amp;Checks!$T$360)</f>
        <v/>
      </c>
      <c r="H27" s="115" t="str">
        <f aca="false">IF(Checks!$AH$360="","",Checks!$AH$360)</f>
        <v>OPEN</v>
      </c>
    </row>
    <row r="28" customFormat="false" ht="114" hidden="false" customHeight="true" outlineLevel="0" collapsed="false">
      <c r="A28" s="114" t="str">
        <f aca="false">Checks!$A$361&amp;CHAR(10)&amp;IF(Checks!$I$361="","",Checks!$I$361&amp;": ")&amp;Checks!$J$361</f>
        <v>F11-T7-05
ISOP: All latest applicable ISOP revisions communicated to caterer</v>
      </c>
      <c r="B28" s="114" t="str">
        <f aca="false">Checks!$K$361&amp;IF(Checks!$O$361="","",IF(Checks!$K$361="","",CHAR(10))&amp;"Note: "&amp;Checks!$O$361)</f>
        <v>List revision numbers in Result (see ISOP register)</v>
      </c>
      <c r="C28" s="114" t="str">
        <f aca="false">Checks!$N$361&amp;CHAR(10)&amp;IF(ISNUMBER(Checks!$R$361),TEXT(Checks!$R$361,"DD-MMM-YY HH:MM"),"")&amp;" "&amp;Checks!$P$361</f>
        <v>Required
05-Oct-26 15:50 KUL</v>
      </c>
      <c r="D28" s="114" t="str">
        <f aca="false">IF(Checks!$U$361="","",Checks!$U$361)&amp;IF(Checks!$AB$361="","",CHAR(10)&amp;"CA: "&amp;Checks!$AB$361)</f>
        <v/>
      </c>
      <c r="E28" s="114" t="str">
        <f aca="false">IF(Checks!$V$361="","",Checks!$V$361)&amp;IF(Checks!$AC$361="","",IF(Checks!$V$361="","",CHAR(10))&amp;"N/A just.: "&amp;Checks!$AC$361)&amp;IF(Checks!$W$361="","",CHAR(10)&amp;"Batch: "&amp;Checks!$W$361)&amp;IF(AND(Checks!$X$361="",Checks!$Y$361=""),"",CHAR(10)&amp;"Exp: "&amp;Checks!$X$361&amp;"  /  Act: "&amp;Checks!$Y$361)</f>
        <v/>
      </c>
      <c r="F28" s="114" t="str">
        <f aca="false">IF(Checks!$Z$361="","","Evidence: "&amp;Checks!$Z$361)&amp;IF(Checks!$AA$361="","",IF(Checks!$Z$361="","",CHAR(10))&amp;"CA: "&amp;Checks!$AA$361)</f>
        <v/>
      </c>
      <c r="G28" s="114" t="str">
        <f aca="false">IF(ISNUMBER(Checks!$AD$361),TEXT(Checks!$AD$361,"DD-MMM-YY HH:MM")&amp;" "&amp;Checks!$P$361,"")&amp;IF(Checks!$AE$361="","",CHAR(10)&amp;"Verifier: "&amp;Checks!$AE$361)&amp;IF(Checks!$T$361="","",CHAR(10)&amp;"PIC: "&amp;Checks!$T$361)</f>
        <v/>
      </c>
      <c r="H28" s="115" t="str">
        <f aca="false">IF(Checks!$AH$361="","",Checks!$AH$361)</f>
        <v>OPEN</v>
      </c>
    </row>
    <row r="29" customFormat="false" ht="114" hidden="false" customHeight="true" outlineLevel="0" collapsed="false">
      <c r="A29" s="114" t="str">
        <f aca="false">Checks!$A$362&amp;CHAR(10)&amp;IF(Checks!$I$362="","",Checks!$I$362&amp;": ")&amp;Checks!$J$362</f>
        <v>F11-T7-06
ISOP: Caterer acknowledgement of ISOP revisions recorded</v>
      </c>
      <c r="B29" s="114" t="str">
        <f aca="false">Checks!$K$362&amp;IF(Checks!$O$362="","",IF(Checks!$K$362="","",CHAR(10))&amp;"Note: "&amp;Checks!$O$362)</f>
        <v>Record acknowledgement ref in Evidence</v>
      </c>
      <c r="C29" s="114" t="str">
        <f aca="false">Checks!$N$362&amp;CHAR(10)&amp;IF(ISNUMBER(Checks!$R$362),TEXT(Checks!$R$362,"DD-MMM-YY HH:MM"),"")&amp;" "&amp;Checks!$P$362</f>
        <v>Required
05-Oct-26 15:50 KUL</v>
      </c>
      <c r="D29" s="114" t="str">
        <f aca="false">IF(Checks!$U$362="","",Checks!$U$362)&amp;IF(Checks!$AB$362="","",CHAR(10)&amp;"CA: "&amp;Checks!$AB$362)</f>
        <v/>
      </c>
      <c r="E29" s="114" t="str">
        <f aca="false">IF(Checks!$V$362="","",Checks!$V$362)&amp;IF(Checks!$AC$362="","",IF(Checks!$V$362="","",CHAR(10))&amp;"N/A just.: "&amp;Checks!$AC$362)&amp;IF(Checks!$W$362="","",CHAR(10)&amp;"Batch: "&amp;Checks!$W$362)&amp;IF(AND(Checks!$X$362="",Checks!$Y$362=""),"",CHAR(10)&amp;"Exp: "&amp;Checks!$X$362&amp;"  /  Act: "&amp;Checks!$Y$362)</f>
        <v/>
      </c>
      <c r="F29" s="114" t="str">
        <f aca="false">IF(Checks!$Z$362="","","Evidence: "&amp;Checks!$Z$362)&amp;IF(Checks!$AA$362="","",IF(Checks!$Z$362="","",CHAR(10))&amp;"CA: "&amp;Checks!$AA$362)</f>
        <v/>
      </c>
      <c r="G29" s="114" t="str">
        <f aca="false">IF(ISNUMBER(Checks!$AD$362),TEXT(Checks!$AD$362,"DD-MMM-YY HH:MM")&amp;" "&amp;Checks!$P$362,"")&amp;IF(Checks!$AE$362="","",CHAR(10)&amp;"Verifier: "&amp;Checks!$AE$362)&amp;IF(Checks!$T$362="","",CHAR(10)&amp;"PIC: "&amp;Checks!$T$362)</f>
        <v/>
      </c>
      <c r="H29" s="115" t="str">
        <f aca="false">IF(Checks!$AH$362="","",Checks!$AH$362)</f>
        <v>OPEN</v>
      </c>
    </row>
    <row r="30" customFormat="false" ht="114" hidden="false" customHeight="true" outlineLevel="0" collapsed="false">
      <c r="A30" s="114" t="str">
        <f aca="false">Checks!$A$363&amp;CHAR(10)&amp;IF(Checks!$I$363="","",Checks!$I$363&amp;": ")&amp;Checks!$J$363</f>
        <v>F11-T7-07
Documents: Galley loading diagram (GLD) received, revision recorded &amp; attached</v>
      </c>
      <c r="B30" s="114" t="str">
        <f aca="false">Checks!$K$363&amp;IF(Checks!$O$363="","",IF(Checks!$K$363="","",CHAR(10))&amp;"Note: "&amp;Checks!$O$363)</f>
        <v>Documents sheet row complete</v>
      </c>
      <c r="C30" s="114" t="str">
        <f aca="false">Checks!$N$363&amp;CHAR(10)&amp;IF(ISNUMBER(Checks!$R$363),TEXT(Checks!$R$363,"DD-MMM-YY HH:MM"),"")&amp;" "&amp;Checks!$P$363</f>
        <v>Required
05-Oct-26 15:50 KUL</v>
      </c>
      <c r="D30" s="114" t="str">
        <f aca="false">IF(Checks!$U$363="","",Checks!$U$363)&amp;IF(Checks!$AB$363="","",CHAR(10)&amp;"CA: "&amp;Checks!$AB$363)</f>
        <v/>
      </c>
      <c r="E30" s="114" t="str">
        <f aca="false">IF(Checks!$V$363="","",Checks!$V$363)&amp;IF(Checks!$AC$363="","",IF(Checks!$V$363="","",CHAR(10))&amp;"N/A just.: "&amp;Checks!$AC$363)&amp;IF(Checks!$W$363="","",CHAR(10)&amp;"Batch: "&amp;Checks!$W$363)&amp;IF(AND(Checks!$X$363="",Checks!$Y$363=""),"",CHAR(10)&amp;"Exp: "&amp;Checks!$X$363&amp;"  /  Act: "&amp;Checks!$Y$363)</f>
        <v/>
      </c>
      <c r="F30" s="114" t="str">
        <f aca="false">IF(Checks!$Z$363="","","Evidence: "&amp;Checks!$Z$363)&amp;IF(Checks!$AA$363="","",IF(Checks!$Z$363="","",CHAR(10))&amp;"CA: "&amp;Checks!$AA$363)</f>
        <v/>
      </c>
      <c r="G30" s="114" t="str">
        <f aca="false">IF(ISNUMBER(Checks!$AD$363),TEXT(Checks!$AD$363,"DD-MMM-YY HH:MM")&amp;" "&amp;Checks!$P$363,"")&amp;IF(Checks!$AE$363="","",CHAR(10)&amp;"Verifier: "&amp;Checks!$AE$363)&amp;IF(Checks!$T$363="","",CHAR(10)&amp;"PIC: "&amp;Checks!$T$363)</f>
        <v/>
      </c>
      <c r="H30" s="115" t="str">
        <f aca="false">IF(Checks!$AH$363="","",Checks!$AH$363)</f>
        <v>OPEN</v>
      </c>
    </row>
    <row r="31" customFormat="false" ht="114" hidden="false" customHeight="true" outlineLevel="0" collapsed="false">
      <c r="A31" s="114" t="str">
        <f aca="false">Checks!$A$364&amp;CHAR(10)&amp;IF(Checks!$I$364="","",Checks!$I$364&amp;": ")&amp;Checks!$J$364</f>
        <v>F11-T7-08
Documents: Menu checklist received, revision recorded &amp; attached</v>
      </c>
      <c r="B31" s="114" t="str">
        <f aca="false">Checks!$K$364&amp;IF(Checks!$O$364="","",IF(Checks!$K$364="","",CHAR(10))&amp;"Note: "&amp;Checks!$O$364)</f>
        <v>Documents sheet row complete</v>
      </c>
      <c r="C31" s="114" t="str">
        <f aca="false">Checks!$N$364&amp;CHAR(10)&amp;IF(ISNUMBER(Checks!$R$364),TEXT(Checks!$R$364,"DD-MMM-YY HH:MM"),"")&amp;" "&amp;Checks!$P$364</f>
        <v>Required
05-Oct-26 15:50 KUL</v>
      </c>
      <c r="D31" s="114" t="str">
        <f aca="false">IF(Checks!$U$364="","",Checks!$U$364)&amp;IF(Checks!$AB$364="","",CHAR(10)&amp;"CA: "&amp;Checks!$AB$364)</f>
        <v/>
      </c>
      <c r="E31" s="114" t="str">
        <f aca="false">IF(Checks!$V$364="","",Checks!$V$364)&amp;IF(Checks!$AC$364="","",IF(Checks!$V$364="","",CHAR(10))&amp;"N/A just.: "&amp;Checks!$AC$364)&amp;IF(Checks!$W$364="","",CHAR(10)&amp;"Batch: "&amp;Checks!$W$364)&amp;IF(AND(Checks!$X$364="",Checks!$Y$364=""),"",CHAR(10)&amp;"Exp: "&amp;Checks!$X$364&amp;"  /  Act: "&amp;Checks!$Y$364)</f>
        <v/>
      </c>
      <c r="F31" s="114" t="str">
        <f aca="false">IF(Checks!$Z$364="","","Evidence: "&amp;Checks!$Z$364)&amp;IF(Checks!$AA$364="","",IF(Checks!$Z$364="","",CHAR(10))&amp;"CA: "&amp;Checks!$AA$364)</f>
        <v/>
      </c>
      <c r="G31" s="114" t="str">
        <f aca="false">IF(ISNUMBER(Checks!$AD$364),TEXT(Checks!$AD$364,"DD-MMM-YY HH:MM")&amp;" "&amp;Checks!$P$364,"")&amp;IF(Checks!$AE$364="","",CHAR(10)&amp;"Verifier: "&amp;Checks!$AE$364)&amp;IF(Checks!$T$364="","",CHAR(10)&amp;"PIC: "&amp;Checks!$T$364)</f>
        <v/>
      </c>
      <c r="H31" s="115" t="str">
        <f aca="false">IF(Checks!$AH$364="","",Checks!$AH$364)</f>
        <v>OPEN</v>
      </c>
    </row>
    <row r="32" customFormat="false" ht="114" hidden="false" customHeight="true" outlineLevel="0" collapsed="false">
      <c r="A32" s="114" t="str">
        <f aca="false">Checks!$A$365&amp;CHAR(10)&amp;IF(Checks!$I$365="","",Checks!$I$365&amp;": ")&amp;Checks!$J$365</f>
        <v>F11-T7-09
Uplift plan: Uplift plan confirmed with caterer vs STD Uplift Information</v>
      </c>
      <c r="B32" s="114" t="str">
        <f aca="false">Checks!$K$365&amp;IF(Checks!$O$365="","",IF(Checks!$K$365="","",CHAR(10))&amp;"Note: "&amp;Checks!$O$365)</f>
        <v>Service: Refreshment (Peanut &amp; Water); meal uplift stn KUL (ref lists KUL)
Note: Return catering uplifted at KUL on the outbound rotation (ref uplift stn = KUL). Confirm aircraft rotation.</v>
      </c>
      <c r="C32" s="114" t="str">
        <f aca="false">Checks!$N$365&amp;CHAR(10)&amp;IF(ISNUMBER(Checks!$R$365),TEXT(Checks!$R$365,"DD-MMM-YY HH:MM"),"")&amp;" "&amp;Checks!$P$365</f>
        <v>Required
05-Oct-26 15:50 KUL</v>
      </c>
      <c r="D32" s="114" t="str">
        <f aca="false">IF(Checks!$U$365="","",Checks!$U$365)&amp;IF(Checks!$AB$365="","",CHAR(10)&amp;"CA: "&amp;Checks!$AB$365)</f>
        <v/>
      </c>
      <c r="E32" s="114" t="str">
        <f aca="false">IF(Checks!$V$365="","",Checks!$V$365)&amp;IF(Checks!$AC$365="","",IF(Checks!$V$365="","",CHAR(10))&amp;"N/A just.: "&amp;Checks!$AC$365)&amp;IF(Checks!$W$365="","",CHAR(10)&amp;"Batch: "&amp;Checks!$W$365)&amp;IF(AND(Checks!$X$365="",Checks!$Y$365=""),"",CHAR(10)&amp;"Exp: "&amp;Checks!$X$365&amp;"  /  Act: "&amp;Checks!$Y$365)</f>
        <v/>
      </c>
      <c r="F32" s="114" t="str">
        <f aca="false">IF(Checks!$Z$365="","","Evidence: "&amp;Checks!$Z$365)&amp;IF(Checks!$AA$365="","",IF(Checks!$Z$365="","",CHAR(10))&amp;"CA: "&amp;Checks!$AA$365)</f>
        <v/>
      </c>
      <c r="G32" s="114" t="str">
        <f aca="false">IF(ISNUMBER(Checks!$AD$365),TEXT(Checks!$AD$365,"DD-MMM-YY HH:MM")&amp;" "&amp;Checks!$P$365,"")&amp;IF(Checks!$AE$365="","",CHAR(10)&amp;"Verifier: "&amp;Checks!$AE$365)&amp;IF(Checks!$T$365="","",CHAR(10)&amp;"PIC: "&amp;Checks!$T$365)</f>
        <v/>
      </c>
      <c r="H32" s="115" t="str">
        <f aca="false">IF(Checks!$AH$365="","",Checks!$AH$365)</f>
        <v>OPEN</v>
      </c>
    </row>
    <row r="33" customFormat="false" ht="223.5" hidden="false" customHeight="true" outlineLevel="0" collapsed="false">
      <c r="A33" s="114" t="str">
        <f aca="false">Checks!$A$366&amp;CHAR(10)&amp;IF(Checks!$I$366="","",Checks!$I$366&amp;": ")&amp;Checks!$J$366</f>
        <v>F11-T7-10
Uplift plan: Carrying flight for this leg's return catering identified and its KUL departure (UTC) entered on Flights col AX</v>
      </c>
      <c r="B33" s="114" t="str">
        <f aca="false">Checks!$K$366&amp;IF(Checks!$O$366="","",IF(Checks!$K$366="","",CHAR(10))&amp;"Note: "&amp;Checks!$O$366)</f>
        <v>All catering for MH1149 PEN-KUL is uplifted at KUL (ref uplift stn KUL only)
Note: PEN does not cater. Agenda candidate: MH1140 (F10, KUL 1145 local) - confirm the aircraft rotation and enter the actual KUL departure in Flights AX (cannot be passed until entered). Until then, T-24H, T-12H prep and the KUL loading line assume the candidate's KUL departure.</v>
      </c>
      <c r="C33" s="114" t="str">
        <f aca="false">Checks!$N$366&amp;CHAR(10)&amp;IF(ISNUMBER(Checks!$R$366),TEXT(Checks!$R$366,"DD-MMM-YY HH:MM"),"")&amp;" "&amp;Checks!$P$366</f>
        <v>Clarification required
05-Oct-26 15:50 KUL</v>
      </c>
      <c r="D33" s="114" t="str">
        <f aca="false">IF(Checks!$U$366="","",Checks!$U$366)&amp;IF(Checks!$AB$366="","",CHAR(10)&amp;"CA: "&amp;Checks!$AB$366)</f>
        <v/>
      </c>
      <c r="E33" s="114" t="str">
        <f aca="false">IF(Checks!$V$366="","",Checks!$V$366)&amp;IF(Checks!$AC$366="","",IF(Checks!$V$366="","",CHAR(10))&amp;"N/A just.: "&amp;Checks!$AC$366)&amp;IF(Checks!$W$366="","",CHAR(10)&amp;"Batch: "&amp;Checks!$W$366)&amp;IF(AND(Checks!$X$366="",Checks!$Y$366=""),"",CHAR(10)&amp;"Exp: "&amp;Checks!$X$366&amp;"  /  Act: "&amp;Checks!$Y$366)</f>
        <v/>
      </c>
      <c r="F33" s="114" t="str">
        <f aca="false">IF(Checks!$Z$366="","","Evidence: "&amp;Checks!$Z$366)&amp;IF(Checks!$AA$366="","",IF(Checks!$Z$366="","",CHAR(10))&amp;"CA: "&amp;Checks!$AA$366)</f>
        <v/>
      </c>
      <c r="G33" s="114" t="str">
        <f aca="false">IF(ISNUMBER(Checks!$AD$366),TEXT(Checks!$AD$366,"DD-MMM-YY HH:MM")&amp;" "&amp;Checks!$P$366,"")&amp;IF(Checks!$AE$366="","",CHAR(10)&amp;"Verifier: "&amp;Checks!$AE$366)&amp;IF(Checks!$T$366="","",CHAR(10)&amp;"PIC: "&amp;Checks!$T$366)</f>
        <v/>
      </c>
      <c r="H33" s="115" t="str">
        <f aca="false">IF(Checks!$AH$366="","",Checks!$AH$366)</f>
        <v>OPEN – CLARIFICATION</v>
      </c>
    </row>
    <row r="34" customFormat="false" ht="25.5" hidden="false" customHeight="true" outlineLevel="0" collapsed="false">
      <c r="A34" s="113" t="str">
        <f aca="false">"T-24H — Production batch sensory  |  Due "&amp;IF(ISNUMBER(Flights!$AH$15),TEXT(Flights!$AH$15,"DD-MMM-YY HH:MM"),"")&amp;" "&amp;Flights!$V$15&amp;" (meal uplift stn)"&amp;" (rows with another due show their own)  |  Complete "&amp;IF(ISNUMBER(Flights!$AK$15),TEXT(Flights!$AK$15,"0%"),Flights!$AK$15)&amp;"  |  1 lines"</f>
        <v>T-24H — Production batch sensory  |  Due 11-Oct-26 15:50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Checks!$A$367&amp;CHAR(10)&amp;IF(Checks!$I$367="","",Checks!$I$367&amp;": ")&amp;Checks!$J$367</f>
        <v>F11-T24-01
Meal: Sensory test repeated on ACTUAL production batch for this flight</v>
      </c>
      <c r="B35" s="114" t="str">
        <f aca="false">Checks!$K$367&amp;IF(Checks!$O$367="","",IF(Checks!$K$367="","",CHAR(10))&amp;"Note: "&amp;Checks!$O$367)</f>
        <v>Batch ID, result, CA and acceptance mandatory
Note: Round-trip catered from KUL: due capped at the KUL loading deadline (Flights AY).</v>
      </c>
      <c r="C35" s="114" t="str">
        <f aca="false">Checks!$N$367&amp;CHAR(10)&amp;IF(ISNUMBER(Checks!$R$367),TEXT(Checks!$R$367,"DD-MMM-YY HH:MM"),"")&amp;" "&amp;Checks!$P$367</f>
        <v>Required
11-Oct-26 15:50 KUL</v>
      </c>
      <c r="D35" s="114" t="str">
        <f aca="false">IF(Checks!$U$367="","",Checks!$U$367)&amp;IF(Checks!$AB$367="","",CHAR(10)&amp;"CA: "&amp;Checks!$AB$367)</f>
        <v/>
      </c>
      <c r="E35" s="114" t="str">
        <f aca="false">IF(Checks!$V$367="","",Checks!$V$367)&amp;IF(Checks!$AC$367="","",IF(Checks!$V$367="","",CHAR(10))&amp;"N/A just.: "&amp;Checks!$AC$367)&amp;IF(Checks!$W$367="","",CHAR(10)&amp;"Batch: "&amp;Checks!$W$367)&amp;IF(AND(Checks!$X$367="",Checks!$Y$367=""),"",CHAR(10)&amp;"Exp: "&amp;Checks!$X$367&amp;"  /  Act: "&amp;Checks!$Y$367)</f>
        <v/>
      </c>
      <c r="F35" s="114" t="str">
        <f aca="false">IF(Checks!$Z$367="","","Evidence: "&amp;Checks!$Z$367)&amp;IF(Checks!$AA$367="","",IF(Checks!$Z$367="","",CHAR(10))&amp;"CA: "&amp;Checks!$AA$367)</f>
        <v/>
      </c>
      <c r="G35" s="114" t="str">
        <f aca="false">IF(ISNUMBER(Checks!$AD$367),TEXT(Checks!$AD$367,"DD-MMM-YY HH:MM")&amp;" "&amp;Checks!$P$367,"")&amp;IF(Checks!$AE$367="","",CHAR(10)&amp;"Verifier: "&amp;Checks!$AE$367)&amp;IF(Checks!$T$367="","",CHAR(10)&amp;"PIC: "&amp;Checks!$T$367)</f>
        <v/>
      </c>
      <c r="H35" s="115" t="str">
        <f aca="false">IF(Checks!$AH$367="","",Checks!$AH$367)</f>
        <v>OPEN</v>
      </c>
    </row>
    <row r="36" customFormat="false" ht="25.5" hidden="false" customHeight="true" outlineLevel="0" collapsed="false">
      <c r="A36" s="113" t="str">
        <f aca="false">"T-12H PREP — Preparation check at caterer (does NOT confirm loading)  |  Due "&amp;IF(ISNUMBER(Flights!$AI$15),TEXT(Flights!$AI$15,"DD-MMM-YY HH:MM"),"")&amp;" "&amp;Flights!$V$15&amp;" (meal uplift stn)"&amp;" (rows with another due show their own)  |  Complete "&amp;IF(ISNUMBER(Flights!$AL$15),TEXT(Flights!$AL$15,"0%"),Flights!$AL$15)&amp;"  |  8 lines"</f>
        <v>T-12H PREP — Preparation check at caterer (does NOT confirm loading)  |  Due 12-Oct-26 03:50 KUL (meal uplift stn) (rows with another due show their own)  |  Complete 0%  |  8 lines</v>
      </c>
      <c r="B36" s="113"/>
      <c r="C36" s="113"/>
      <c r="D36" s="113"/>
      <c r="E36" s="113"/>
      <c r="F36" s="113"/>
      <c r="G36" s="113"/>
      <c r="H36" s="113"/>
    </row>
    <row r="37" customFormat="false" ht="114" hidden="false" customHeight="true" outlineLevel="0" collapsed="false">
      <c r="A37" s="114" t="str">
        <f aca="false">Checks!$A$368&amp;CHAR(10)&amp;IF(Checks!$I$368="","",Checks!$I$368&amp;": ")&amp;Checks!$J$368</f>
        <v>F11-T12-01
Meal: Meal quality vs menu checklist</v>
      </c>
      <c r="B37" s="114" t="str">
        <f aca="false">Checks!$K$368&amp;IF(Checks!$O$368="","",IF(Checks!$K$368="","",CHAR(10))&amp;"Note: "&amp;Checks!$O$368)</f>
        <v>Note: Preparation check at caterer - does NOT confirm loading. Round-trip catered from KUL: due capped at the KUL loading deadline (Flights AY).</v>
      </c>
      <c r="C37" s="114" t="str">
        <f aca="false">Checks!$N$368&amp;CHAR(10)&amp;IF(ISNUMBER(Checks!$R$368),TEXT(Checks!$R$368,"DD-MMM-YY HH:MM"),"")&amp;" "&amp;Checks!$P$368</f>
        <v>Required
12-Oct-26 03:50 KUL</v>
      </c>
      <c r="D37" s="114" t="str">
        <f aca="false">IF(Checks!$U$368="","",Checks!$U$368)&amp;IF(Checks!$AB$368="","",CHAR(10)&amp;"CA: "&amp;Checks!$AB$368)</f>
        <v/>
      </c>
      <c r="E37" s="114" t="str">
        <f aca="false">IF(Checks!$V$368="","",Checks!$V$368)&amp;IF(Checks!$AC$368="","",IF(Checks!$V$368="","",CHAR(10))&amp;"N/A just.: "&amp;Checks!$AC$368)&amp;IF(Checks!$W$368="","",CHAR(10)&amp;"Batch: "&amp;Checks!$W$368)&amp;IF(AND(Checks!$X$368="",Checks!$Y$368=""),"",CHAR(10)&amp;"Exp: "&amp;Checks!$X$368&amp;"  /  Act: "&amp;Checks!$Y$368)</f>
        <v/>
      </c>
      <c r="F37" s="114" t="str">
        <f aca="false">IF(Checks!$Z$368="","","Evidence: "&amp;Checks!$Z$368)&amp;IF(Checks!$AA$368="","",IF(Checks!$Z$368="","",CHAR(10))&amp;"CA: "&amp;Checks!$AA$368)</f>
        <v/>
      </c>
      <c r="G37" s="114" t="str">
        <f aca="false">IF(ISNUMBER(Checks!$AD$368),TEXT(Checks!$AD$368,"DD-MMM-YY HH:MM")&amp;" "&amp;Checks!$P$368,"")&amp;IF(Checks!$AE$368="","",CHAR(10)&amp;"Verifier: "&amp;Checks!$AE$368)&amp;IF(Checks!$T$368="","",CHAR(10)&amp;"PIC: "&amp;Checks!$T$368)</f>
        <v/>
      </c>
      <c r="H37" s="115" t="str">
        <f aca="false">IF(Checks!$AH$368="","",Checks!$AH$368)</f>
        <v>OPEN</v>
      </c>
    </row>
    <row r="38" customFormat="false" ht="114" hidden="false" customHeight="true" outlineLevel="0" collapsed="false">
      <c r="A38" s="114" t="str">
        <f aca="false">Checks!$A$369&amp;CHAR(10)&amp;IF(Checks!$I$369="","",Checks!$I$369&amp;": ")&amp;Checks!$J$369</f>
        <v>F11-T12-02
Meal: Meal quantities vs menu checklist</v>
      </c>
      <c r="B38" s="114" t="str">
        <f aca="false">Checks!$K$369&amp;IF(Checks!$O$369="","",IF(Checks!$K$369="","",CHAR(10))&amp;"Note: "&amp;Checks!$O$369)</f>
        <v>Enter expected &amp; actual
Note: Preparation check at caterer - does NOT confirm loading. Round-trip catered from KUL: due capped at the KUL loading deadline (Flights AY).</v>
      </c>
      <c r="C38" s="114" t="str">
        <f aca="false">Checks!$N$369&amp;CHAR(10)&amp;IF(ISNUMBER(Checks!$R$369),TEXT(Checks!$R$369,"DD-MMM-YY HH:MM"),"")&amp;" "&amp;Checks!$P$369</f>
        <v>Required
12-Oct-26 03:50 KUL</v>
      </c>
      <c r="D38" s="114" t="str">
        <f aca="false">IF(Checks!$U$369="","",Checks!$U$369)&amp;IF(Checks!$AB$369="","",CHAR(10)&amp;"CA: "&amp;Checks!$AB$369)</f>
        <v/>
      </c>
      <c r="E38" s="114" t="str">
        <f aca="false">IF(Checks!$V$369="","",Checks!$V$369)&amp;IF(Checks!$AC$369="","",IF(Checks!$V$369="","",CHAR(10))&amp;"N/A just.: "&amp;Checks!$AC$369)&amp;IF(Checks!$W$369="","",CHAR(10)&amp;"Batch: "&amp;Checks!$W$369)&amp;IF(AND(Checks!$X$369="",Checks!$Y$369=""),"",CHAR(10)&amp;"Exp: "&amp;Checks!$X$369&amp;"  /  Act: "&amp;Checks!$Y$369)</f>
        <v/>
      </c>
      <c r="F38" s="114" t="str">
        <f aca="false">IF(Checks!$Z$369="","","Evidence: "&amp;Checks!$Z$369)&amp;IF(Checks!$AA$369="","",IF(Checks!$Z$369="","",CHAR(10))&amp;"CA: "&amp;Checks!$AA$369)</f>
        <v/>
      </c>
      <c r="G38" s="114" t="str">
        <f aca="false">IF(ISNUMBER(Checks!$AD$369),TEXT(Checks!$AD$369,"DD-MMM-YY HH:MM")&amp;" "&amp;Checks!$P$369,"")&amp;IF(Checks!$AE$369="","",CHAR(10)&amp;"Verifier: "&amp;Checks!$AE$369)&amp;IF(Checks!$T$369="","",CHAR(10)&amp;"PIC: "&amp;Checks!$T$369)</f>
        <v/>
      </c>
      <c r="H38" s="115" t="str">
        <f aca="false">IF(Checks!$AH$369="","",Checks!$AH$369)</f>
        <v>OPEN</v>
      </c>
    </row>
    <row r="39" customFormat="false" ht="114" hidden="false" customHeight="true" outlineLevel="0" collapsed="false">
      <c r="A39" s="114" t="str">
        <f aca="false">Checks!$A$370&amp;CHAR(10)&amp;IF(Checks!$I$370="","",Checks!$I$370&amp;": ")&amp;Checks!$J$370</f>
        <v>F11-T12-03
Equipment: Equipment cleanliness vs GLD</v>
      </c>
      <c r="B39" s="114" t="str">
        <f aca="false">Checks!$K$370&amp;IF(Checks!$O$370="","",IF(Checks!$K$370="","",CHAR(10))&amp;"Note: "&amp;Checks!$O$370)</f>
        <v>Note: Preparation check at caterer - does NOT confirm loading. Round-trip catered from KUL: due capped at the KUL loading deadline (Flights AY).</v>
      </c>
      <c r="C39" s="114" t="str">
        <f aca="false">Checks!$N$370&amp;CHAR(10)&amp;IF(ISNUMBER(Checks!$R$370),TEXT(Checks!$R$370,"DD-MMM-YY HH:MM"),"")&amp;" "&amp;Checks!$P$370</f>
        <v>Required
12-Oct-26 03:50 KUL</v>
      </c>
      <c r="D39" s="114" t="str">
        <f aca="false">IF(Checks!$U$370="","",Checks!$U$370)&amp;IF(Checks!$AB$370="","",CHAR(10)&amp;"CA: "&amp;Checks!$AB$370)</f>
        <v/>
      </c>
      <c r="E39" s="114" t="str">
        <f aca="false">IF(Checks!$V$370="","",Checks!$V$370)&amp;IF(Checks!$AC$370="","",IF(Checks!$V$370="","",CHAR(10))&amp;"N/A just.: "&amp;Checks!$AC$370)&amp;IF(Checks!$W$370="","",CHAR(10)&amp;"Batch: "&amp;Checks!$W$370)&amp;IF(AND(Checks!$X$370="",Checks!$Y$370=""),"",CHAR(10)&amp;"Exp: "&amp;Checks!$X$370&amp;"  /  Act: "&amp;Checks!$Y$370)</f>
        <v/>
      </c>
      <c r="F39" s="114" t="str">
        <f aca="false">IF(Checks!$Z$370="","","Evidence: "&amp;Checks!$Z$370)&amp;IF(Checks!$AA$370="","",IF(Checks!$Z$370="","",CHAR(10))&amp;"CA: "&amp;Checks!$AA$370)</f>
        <v/>
      </c>
      <c r="G39" s="114" t="str">
        <f aca="false">IF(ISNUMBER(Checks!$AD$370),TEXT(Checks!$AD$370,"DD-MMM-YY HH:MM")&amp;" "&amp;Checks!$P$370,"")&amp;IF(Checks!$AE$370="","",CHAR(10)&amp;"Verifier: "&amp;Checks!$AE$370)&amp;IF(Checks!$T$370="","",CHAR(10)&amp;"PIC: "&amp;Checks!$T$370)</f>
        <v/>
      </c>
      <c r="H39" s="115" t="str">
        <f aca="false">IF(Checks!$AH$370="","",Checks!$AH$370)</f>
        <v>OPEN</v>
      </c>
    </row>
    <row r="40" customFormat="false" ht="114" hidden="false" customHeight="true" outlineLevel="0" collapsed="false">
      <c r="A40" s="114" t="str">
        <f aca="false">Checks!$A$371&amp;CHAR(10)&amp;IF(Checks!$I$371="","",Checks!$I$371&amp;": ")&amp;Checks!$J$371</f>
        <v>F11-T12-04
Equipment: Equipment presentation vs GLD</v>
      </c>
      <c r="B40" s="114" t="str">
        <f aca="false">Checks!$K$371&amp;IF(Checks!$O$371="","",IF(Checks!$K$371="","",CHAR(10))&amp;"Note: "&amp;Checks!$O$371)</f>
        <v>Note: Preparation check at caterer - does NOT confirm loading. Round-trip catered from KUL: due capped at the KUL loading deadline (Flights AY).</v>
      </c>
      <c r="C40" s="114" t="str">
        <f aca="false">Checks!$N$371&amp;CHAR(10)&amp;IF(ISNUMBER(Checks!$R$371),TEXT(Checks!$R$371,"DD-MMM-YY HH:MM"),"")&amp;" "&amp;Checks!$P$371</f>
        <v>Required
12-Oct-26 03:50 KUL</v>
      </c>
      <c r="D40" s="114" t="str">
        <f aca="false">IF(Checks!$U$371="","",Checks!$U$371)&amp;IF(Checks!$AB$371="","",CHAR(10)&amp;"CA: "&amp;Checks!$AB$371)</f>
        <v/>
      </c>
      <c r="E40" s="114" t="str">
        <f aca="false">IF(Checks!$V$371="","",Checks!$V$371)&amp;IF(Checks!$AC$371="","",IF(Checks!$V$371="","",CHAR(10))&amp;"N/A just.: "&amp;Checks!$AC$371)&amp;IF(Checks!$W$371="","",CHAR(10)&amp;"Batch: "&amp;Checks!$W$371)&amp;IF(AND(Checks!$X$371="",Checks!$Y$371=""),"",CHAR(10)&amp;"Exp: "&amp;Checks!$X$371&amp;"  /  Act: "&amp;Checks!$Y$371)</f>
        <v/>
      </c>
      <c r="F40" s="114" t="str">
        <f aca="false">IF(Checks!$Z$371="","","Evidence: "&amp;Checks!$Z$371)&amp;IF(Checks!$AA$371="","",IF(Checks!$Z$371="","",CHAR(10))&amp;"CA: "&amp;Checks!$AA$371)</f>
        <v/>
      </c>
      <c r="G40" s="114" t="str">
        <f aca="false">IF(ISNUMBER(Checks!$AD$371),TEXT(Checks!$AD$371,"DD-MMM-YY HH:MM")&amp;" "&amp;Checks!$P$371,"")&amp;IF(Checks!$AE$371="","",CHAR(10)&amp;"Verifier: "&amp;Checks!$AE$371)&amp;IF(Checks!$T$371="","",CHAR(10)&amp;"PIC: "&amp;Checks!$T$371)</f>
        <v/>
      </c>
      <c r="H40" s="115" t="str">
        <f aca="false">IF(Checks!$AH$371="","",Checks!$AH$371)</f>
        <v>OPEN</v>
      </c>
    </row>
    <row r="41" customFormat="false" ht="114" hidden="false" customHeight="true" outlineLevel="0" collapsed="false">
      <c r="A41" s="114" t="str">
        <f aca="false">Checks!$A$372&amp;CHAR(10)&amp;IF(Checks!$I$372="","",Checks!$I$372&amp;": ")&amp;Checks!$J$372</f>
        <v>F11-T12-05
Equipment: Equipment serviceability vs GLD</v>
      </c>
      <c r="B41" s="114" t="str">
        <f aca="false">Checks!$K$372&amp;IF(Checks!$O$372="","",IF(Checks!$K$372="","",CHAR(10))&amp;"Note: "&amp;Checks!$O$372)</f>
        <v>Note: Preparation check at caterer - does NOT confirm loading. Round-trip catered from KUL: due capped at the KUL loading deadline (Flights AY).</v>
      </c>
      <c r="C41" s="114" t="str">
        <f aca="false">Checks!$N$372&amp;CHAR(10)&amp;IF(ISNUMBER(Checks!$R$372),TEXT(Checks!$R$372,"DD-MMM-YY HH:MM"),"")&amp;" "&amp;Checks!$P$372</f>
        <v>Required
12-Oct-26 03:50 KUL</v>
      </c>
      <c r="D41" s="114" t="str">
        <f aca="false">IF(Checks!$U$372="","",Checks!$U$372)&amp;IF(Checks!$AB$372="","",CHAR(10)&amp;"CA: "&amp;Checks!$AB$372)</f>
        <v/>
      </c>
      <c r="E41" s="114" t="str">
        <f aca="false">IF(Checks!$V$372="","",Checks!$V$372)&amp;IF(Checks!$AC$372="","",IF(Checks!$V$372="","",CHAR(10))&amp;"N/A just.: "&amp;Checks!$AC$372)&amp;IF(Checks!$W$372="","",CHAR(10)&amp;"Batch: "&amp;Checks!$W$372)&amp;IF(AND(Checks!$X$372="",Checks!$Y$372=""),"",CHAR(10)&amp;"Exp: "&amp;Checks!$X$372&amp;"  /  Act: "&amp;Checks!$Y$372)</f>
        <v/>
      </c>
      <c r="F41" s="114" t="str">
        <f aca="false">IF(Checks!$Z$372="","","Evidence: "&amp;Checks!$Z$372)&amp;IF(Checks!$AA$372="","",IF(Checks!$Z$372="","",CHAR(10))&amp;"CA: "&amp;Checks!$AA$372)</f>
        <v/>
      </c>
      <c r="G41" s="114" t="str">
        <f aca="false">IF(ISNUMBER(Checks!$AD$372),TEXT(Checks!$AD$372,"DD-MMM-YY HH:MM")&amp;" "&amp;Checks!$P$372,"")&amp;IF(Checks!$AE$372="","",CHAR(10)&amp;"Verifier: "&amp;Checks!$AE$372)&amp;IF(Checks!$T$372="","",CHAR(10)&amp;"PIC: "&amp;Checks!$T$372)</f>
        <v/>
      </c>
      <c r="H41" s="115" t="str">
        <f aca="false">IF(Checks!$AH$372="","",Checks!$AH$372)</f>
        <v>OPEN</v>
      </c>
    </row>
    <row r="42" customFormat="false" ht="234.75" hidden="false" customHeight="true" outlineLevel="0" collapsed="false">
      <c r="A42" s="114" t="str">
        <f aca="false">Checks!$A$373&amp;CHAR(10)&amp;IF(Checks!$I$373="","",Checks!$I$373&amp;": ")&amp;Checks!$J$373</f>
        <v>F11-T12-06
Equipment: Equipment quantities vs GLD</v>
      </c>
      <c r="B42" s="114" t="str">
        <f aca="false">SUBSTITUTE(Checks!$K$373&amp;IF(Checks!$O$373="","",IF(Checks!$K$373="","",CHAR(10))&amp;"Note: "&amp;Checks!$O$373),"AIRCRAFT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Checks!$N$373&amp;CHAR(10)&amp;IF(ISNUMBER(Checks!$R$373),TEXT(Checks!$R$373,"DD-MMM-YY HH:MM"),"")&amp;" "&amp;Checks!$P$373</f>
        <v>Required
12-Oct-26 03:50 KUL</v>
      </c>
      <c r="D42" s="114" t="str">
        <f aca="false">IF(Checks!$U$373="","",Checks!$U$373)&amp;IF(Checks!$AB$373="","",CHAR(10)&amp;"CA: "&amp;Checks!$AB$373)</f>
        <v/>
      </c>
      <c r="E42" s="114" t="str">
        <f aca="false">IF(Checks!$V$373="","",Checks!$V$373)&amp;IF(Checks!$AC$373="","",IF(Checks!$V$373="","",CHAR(10))&amp;"N/A just.: "&amp;Checks!$AC$373)&amp;IF(Checks!$W$373="","",CHAR(10)&amp;"Batch: "&amp;Checks!$W$373)&amp;IF(AND(Checks!$X$373="",Checks!$Y$373=""),"",CHAR(10)&amp;"Exp: "&amp;Checks!$X$373&amp;"  /  Act: "&amp;Checks!$Y$373)</f>
        <v/>
      </c>
      <c r="F42" s="114" t="str">
        <f aca="false">IF(Checks!$Z$373="","","Evidence: "&amp;Checks!$Z$373)&amp;IF(Checks!$AA$373="","",IF(Checks!$Z$373="","",CHAR(10))&amp;"CA: "&amp;Checks!$AA$373)</f>
        <v/>
      </c>
      <c r="G42" s="114" t="str">
        <f aca="false">IF(ISNUMBER(Checks!$AD$373),TEXT(Checks!$AD$373,"DD-MMM-YY HH:MM")&amp;" "&amp;Checks!$P$373,"")&amp;IF(Checks!$AE$373="","",CHAR(10)&amp;"Verifier: "&amp;Checks!$AE$373)&amp;IF(Checks!$T$373="","",CHAR(10)&amp;"PIC: "&amp;Checks!$T$373)</f>
        <v/>
      </c>
      <c r="H42" s="115" t="str">
        <f aca="false">IF(Checks!$AH$373="","",Checks!$AH$373)</f>
        <v>OPEN</v>
      </c>
    </row>
    <row r="43" customFormat="false" ht="114" hidden="false" customHeight="true" outlineLevel="0" collapsed="false">
      <c r="A43" s="114" t="str">
        <f aca="false">Checks!$A$374&amp;CHAR(10)&amp;IF(Checks!$I$374="","",Checks!$I$374&amp;": ")&amp;Checks!$J$374</f>
        <v>F11-T12-07
Equipment: Loading positions planned vs GLD</v>
      </c>
      <c r="B43" s="114" t="str">
        <f aca="false">Checks!$K$374&amp;IF(Checks!$O$374="","",IF(Checks!$K$374="","",CHAR(10))&amp;"Note: "&amp;Checks!$O$374)</f>
        <v>Note: Preparation check at caterer - does NOT confirm loading. Round-trip catered from KUL: due capped at the KUL loading deadline (Flights AY).</v>
      </c>
      <c r="C43" s="114" t="str">
        <f aca="false">Checks!$N$374&amp;CHAR(10)&amp;IF(ISNUMBER(Checks!$R$374),TEXT(Checks!$R$374,"DD-MMM-YY HH:MM"),"")&amp;" "&amp;Checks!$P$374</f>
        <v>Required
12-Oct-26 03:50 KUL</v>
      </c>
      <c r="D43" s="114" t="str">
        <f aca="false">IF(Checks!$U$374="","",Checks!$U$374)&amp;IF(Checks!$AB$374="","",CHAR(10)&amp;"CA: "&amp;Checks!$AB$374)</f>
        <v/>
      </c>
      <c r="E43" s="114" t="str">
        <f aca="false">IF(Checks!$V$374="","",Checks!$V$374)&amp;IF(Checks!$AC$374="","",IF(Checks!$V$374="","",CHAR(10))&amp;"N/A just.: "&amp;Checks!$AC$374)&amp;IF(Checks!$W$374="","",CHAR(10)&amp;"Batch: "&amp;Checks!$W$374)&amp;IF(AND(Checks!$X$374="",Checks!$Y$374=""),"",CHAR(10)&amp;"Exp: "&amp;Checks!$X$374&amp;"  /  Act: "&amp;Checks!$Y$374)</f>
        <v/>
      </c>
      <c r="F43" s="114" t="str">
        <f aca="false">IF(Checks!$Z$374="","","Evidence: "&amp;Checks!$Z$374)&amp;IF(Checks!$AA$374="","",IF(Checks!$Z$374="","",CHAR(10))&amp;"CA: "&amp;Checks!$AA$374)</f>
        <v/>
      </c>
      <c r="G43" s="114" t="str">
        <f aca="false">IF(ISNUMBER(Checks!$AD$374),TEXT(Checks!$AD$374,"DD-MMM-YY HH:MM")&amp;" "&amp;Checks!$P$374,"")&amp;IF(Checks!$AE$374="","",CHAR(10)&amp;"Verifier: "&amp;Checks!$AE$374)&amp;IF(Checks!$T$374="","",CHAR(10)&amp;"PIC: "&amp;Checks!$T$374)</f>
        <v/>
      </c>
      <c r="H43" s="115" t="str">
        <f aca="false">IF(Checks!$AH$374="","",Checks!$AH$374)</f>
        <v>OPEN</v>
      </c>
    </row>
    <row r="44" customFormat="false" ht="168.75" hidden="false" customHeight="true" outlineLevel="0" collapsed="false">
      <c r="A44" s="114" t="str">
        <f aca="false">Checks!$A$375&amp;CHAR(10)&amp;IF(Checks!$I$375="","",Checks!$I$375&amp;": ")&amp;Checks!$J$375</f>
        <v>F11-T12-08
Seat Linen: Seat pillow (EY) - prepared</v>
      </c>
      <c r="B44" s="114" t="str">
        <f aca="false">Checks!$K$375&amp;IF(Checks!$O$375="","",IF(Checks!$K$375="","",CHAR(10))&amp;"Note: "&amp;Checks!$O$375)</f>
        <v>Available 100% (ticked in reference)
Note: Reference gives no uplift stn for this item: preparation checked at the meal uplift stn (KUL) - confirm with caterer. Round-trip catered from KUL: due capped at the KUL loading deadline (Flights AY).</v>
      </c>
      <c r="C44" s="114" t="str">
        <f aca="false">Checks!$N$375&amp;CHAR(10)&amp;IF(ISNUMBER(Checks!$R$375),TEXT(Checks!$R$375,"DD-MMM-YY HH:MM"),"")&amp;" "&amp;Checks!$P$375</f>
        <v>Required
12-Oct-26 03:50 KUL</v>
      </c>
      <c r="D44" s="114" t="str">
        <f aca="false">IF(Checks!$U$375="","",Checks!$U$375)&amp;IF(Checks!$AB$375="","",CHAR(10)&amp;"CA: "&amp;Checks!$AB$375)</f>
        <v/>
      </c>
      <c r="E44" s="114" t="str">
        <f aca="false">IF(Checks!$V$375="","",Checks!$V$375)&amp;IF(Checks!$AC$375="","",IF(Checks!$V$375="","",CHAR(10))&amp;"N/A just.: "&amp;Checks!$AC$375)&amp;IF(Checks!$W$375="","",CHAR(10)&amp;"Batch: "&amp;Checks!$W$375)&amp;IF(AND(Checks!$X$375="",Checks!$Y$375=""),"",CHAR(10)&amp;"Exp: "&amp;Checks!$X$375&amp;"  /  Act: "&amp;Checks!$Y$375)</f>
        <v/>
      </c>
      <c r="F44" s="114" t="str">
        <f aca="false">IF(Checks!$Z$375="","","Evidence: "&amp;Checks!$Z$375)&amp;IF(Checks!$AA$375="","",IF(Checks!$Z$375="","",CHAR(10))&amp;"CA: "&amp;Checks!$AA$375)</f>
        <v/>
      </c>
      <c r="G44" s="114" t="str">
        <f aca="false">IF(ISNUMBER(Checks!$AD$375),TEXT(Checks!$AD$375,"DD-MMM-YY HH:MM")&amp;" "&amp;Checks!$P$375,"")&amp;IF(Checks!$AE$375="","",CHAR(10)&amp;"Verifier: "&amp;Checks!$AE$375)&amp;IF(Checks!$T$375="","",CHAR(10)&amp;"PIC: "&amp;Checks!$T$375)</f>
        <v/>
      </c>
      <c r="H44" s="115" t="str">
        <f aca="false">IF(Checks!$AH$375="","",Checks!$AH$375)</f>
        <v>OPEN</v>
      </c>
    </row>
    <row r="45" customFormat="false" ht="25.5" hidden="false" customHeight="true" outlineLevel="0" collapsed="false">
      <c r="A45" s="113" t="str">
        <f aca="false">"UPLIFT — Physical uplift – on-board confirmation before departure  |  Due "&amp;"STD "&amp;IF(ISNUMBER(Flights!$I$15),TEXT(Flights!$I$15,"DD-MMM-YY HH:MM"),"")&amp;" "&amp;Flights!$G$15&amp;" (departure stn)"&amp;" (rows with another due show their own)  |  Complete "&amp;IF(ISNUMBER(Flights!$AM$15),TEXT(Flights!$AM$15,"0%"),Flights!$AM$15)&amp;"  |  4 lines"</f>
        <v>UPLIFT — Physical uplift – on-board confirmation before departure  |  Due STD 12-Oct-26 15:50 PEN (departure stn) (rows with another due show their own)  |  Complete 0%  |  4 lines</v>
      </c>
      <c r="B45" s="113"/>
      <c r="C45" s="113"/>
      <c r="D45" s="113"/>
      <c r="E45" s="113"/>
      <c r="F45" s="113"/>
      <c r="G45" s="113"/>
      <c r="H45" s="113"/>
    </row>
    <row r="46" customFormat="false" ht="114" hidden="false" customHeight="true" outlineLevel="0" collapsed="false">
      <c r="A46" s="114" t="str">
        <f aca="false">Checks!$A$376&amp;CHAR(10)&amp;IF(Checks!$I$376="","",Checks!$I$376&amp;": ")&amp;Checks!$J$376</f>
        <v>F11-UPL-01
Meal: Meals physically uplifted on board - quantity vs menu checklist</v>
      </c>
      <c r="B46" s="114" t="str">
        <f aca="false">Checks!$K$376&amp;IF(Checks!$O$376="","",IF(Checks!$K$376="","",CHAR(10))&amp;"Note: "&amp;Checks!$O$376)</f>
        <v>Enter expected &amp; actual
Note: Confirm on board before departure; completion time must fall inside the uplift window.</v>
      </c>
      <c r="C46" s="114" t="str">
        <f aca="false">Checks!$N$376&amp;CHAR(10)&amp;IF(ISNUMBER(Checks!$R$376),TEXT(Checks!$R$376,"DD-MMM-YY HH:MM"),"")&amp;" "&amp;Checks!$P$376</f>
        <v>Required
12-Oct-26 15:50 PEN</v>
      </c>
      <c r="D46" s="114" t="str">
        <f aca="false">IF(Checks!$U$376="","",Checks!$U$376)&amp;IF(Checks!$AB$376="","",CHAR(10)&amp;"CA: "&amp;Checks!$AB$376)</f>
        <v/>
      </c>
      <c r="E46" s="114" t="str">
        <f aca="false">IF(Checks!$V$376="","",Checks!$V$376)&amp;IF(Checks!$AC$376="","",IF(Checks!$V$376="","",CHAR(10))&amp;"N/A just.: "&amp;Checks!$AC$376)&amp;IF(Checks!$W$376="","",CHAR(10)&amp;"Batch: "&amp;Checks!$W$376)&amp;IF(AND(Checks!$X$376="",Checks!$Y$376=""),"",CHAR(10)&amp;"Exp: "&amp;Checks!$X$376&amp;"  /  Act: "&amp;Checks!$Y$376)</f>
        <v/>
      </c>
      <c r="F46" s="114" t="str">
        <f aca="false">IF(Checks!$Z$376="","","Evidence: "&amp;Checks!$Z$376)&amp;IF(Checks!$AA$376="","",IF(Checks!$Z$376="","",CHAR(10))&amp;"CA: "&amp;Checks!$AA$376)</f>
        <v/>
      </c>
      <c r="G46" s="114" t="str">
        <f aca="false">IF(ISNUMBER(Checks!$AD$376),TEXT(Checks!$AD$376,"DD-MMM-YY HH:MM")&amp;" "&amp;Checks!$P$376,"")&amp;IF(Checks!$AE$376="","",CHAR(10)&amp;"Verifier: "&amp;Checks!$AE$376)&amp;IF(Checks!$T$376="","",CHAR(10)&amp;"PIC: "&amp;Checks!$T$376)</f>
        <v/>
      </c>
      <c r="H46" s="115" t="str">
        <f aca="false">IF(Checks!$AH$376="","",Checks!$AH$376)</f>
        <v>OPEN</v>
      </c>
    </row>
    <row r="47" customFormat="false" ht="114" hidden="false" customHeight="true" outlineLevel="0" collapsed="false">
      <c r="A47" s="114" t="str">
        <f aca="false">Checks!$A$377&amp;CHAR(10)&amp;IF(Checks!$I$377="","",Checks!$I$377&amp;": ")&amp;Checks!$J$377</f>
        <v>F11-UPL-02
Equipment: Equipment physically loaded at GLD positions - quantity &amp; positions</v>
      </c>
      <c r="B47" s="114" t="str">
        <f aca="false">Checks!$K$377&amp;IF(Checks!$O$377="","",IF(Checks!$K$377="","",CHAR(10))&amp;"Note: "&amp;Checks!$O$377)</f>
        <v>Enter expected &amp; actual
Note: Confirm on board before departure; completion time must fall inside the uplift window.</v>
      </c>
      <c r="C47" s="114" t="str">
        <f aca="false">Checks!$N$377&amp;CHAR(10)&amp;IF(ISNUMBER(Checks!$R$377),TEXT(Checks!$R$377,"DD-MMM-YY HH:MM"),"")&amp;" "&amp;Checks!$P$377</f>
        <v>Required
12-Oct-26 15:50 PEN</v>
      </c>
      <c r="D47" s="114" t="str">
        <f aca="false">IF(Checks!$U$377="","",Checks!$U$377)&amp;IF(Checks!$AB$377="","",CHAR(10)&amp;"CA: "&amp;Checks!$AB$377)</f>
        <v/>
      </c>
      <c r="E47" s="114" t="str">
        <f aca="false">IF(Checks!$V$377="","",Checks!$V$377)&amp;IF(Checks!$AC$377="","",IF(Checks!$V$377="","",CHAR(10))&amp;"N/A just.: "&amp;Checks!$AC$377)&amp;IF(Checks!$W$377="","",CHAR(10)&amp;"Batch: "&amp;Checks!$W$377)&amp;IF(AND(Checks!$X$377="",Checks!$Y$377=""),"",CHAR(10)&amp;"Exp: "&amp;Checks!$X$377&amp;"  /  Act: "&amp;Checks!$Y$377)</f>
        <v/>
      </c>
      <c r="F47" s="114" t="str">
        <f aca="false">IF(Checks!$Z$377="","","Evidence: "&amp;Checks!$Z$377)&amp;IF(Checks!$AA$377="","",IF(Checks!$Z$377="","",CHAR(10))&amp;"CA: "&amp;Checks!$AA$377)</f>
        <v/>
      </c>
      <c r="G47" s="114" t="str">
        <f aca="false">IF(ISNUMBER(Checks!$AD$377),TEXT(Checks!$AD$377,"DD-MMM-YY HH:MM")&amp;" "&amp;Checks!$P$377,"")&amp;IF(Checks!$AE$377="","",CHAR(10)&amp;"Verifier: "&amp;Checks!$AE$377)&amp;IF(Checks!$T$377="","",CHAR(10)&amp;"PIC: "&amp;Checks!$T$377)</f>
        <v/>
      </c>
      <c r="H47" s="115" t="str">
        <f aca="false">IF(Checks!$AH$377="","",Checks!$AH$377)</f>
        <v>OPEN</v>
      </c>
    </row>
    <row r="48" customFormat="false" ht="213" hidden="false" customHeight="true" outlineLevel="0" collapsed="false">
      <c r="A48" s="114" t="str">
        <f aca="false">Checks!$A$378&amp;CHAR(10)&amp;IF(Checks!$I$378="","",Checks!$I$378&amp;": ")&amp;Checks!$J$378</f>
        <v>F11-UPL-03
Uplift plan: Return catering for MH1149 physically loaded at KUL on the carrying flight (meals, equipment and all items below)</v>
      </c>
      <c r="B48" s="114" t="str">
        <f aca="false">Checks!$K$378&amp;IF(Checks!$O$378="","",IF(Checks!$K$378="","",CHAR(10))&amp;"Note: "&amp;Checks!$O$378)</f>
        <v>Items: meals / refreshment, equipment, Seat pillow (EY). Quantities as per menu checklist, GLD and Requirements
Note: Loading happens at KUL, so it is confirmed at KUL inside the uplift window before the carrying flight's KUL departure (Flights AX). The on-board lines below are then re-checked at the departure station.</v>
      </c>
      <c r="C48" s="114" t="str">
        <f aca="false">Checks!$N$378&amp;CHAR(10)&amp;IF(ISNUMBER(Checks!$R$378),TEXT(Checks!$R$378,"DD-MMM-YY HH:MM"),"")&amp;" "&amp;Checks!$P$378</f>
        <v>Required
12-Oct-26 11:45 KUL</v>
      </c>
      <c r="D48" s="114" t="str">
        <f aca="false">IF(Checks!$U$378="","",Checks!$U$378)&amp;IF(Checks!$AB$378="","",CHAR(10)&amp;"CA: "&amp;Checks!$AB$378)</f>
        <v/>
      </c>
      <c r="E48" s="114" t="str">
        <f aca="false">IF(Checks!$V$378="","",Checks!$V$378)&amp;IF(Checks!$AC$378="","",IF(Checks!$V$378="","",CHAR(10))&amp;"N/A just.: "&amp;Checks!$AC$378)&amp;IF(Checks!$W$378="","",CHAR(10)&amp;"Batch: "&amp;Checks!$W$378)&amp;IF(AND(Checks!$X$378="",Checks!$Y$378=""),"",CHAR(10)&amp;"Exp: "&amp;Checks!$X$378&amp;"  /  Act: "&amp;Checks!$Y$378)</f>
        <v/>
      </c>
      <c r="F48" s="114" t="str">
        <f aca="false">IF(Checks!$Z$378="","","Evidence: "&amp;Checks!$Z$378)&amp;IF(Checks!$AA$378="","",IF(Checks!$Z$378="","",CHAR(10))&amp;"CA: "&amp;Checks!$AA$378)</f>
        <v/>
      </c>
      <c r="G48" s="114" t="str">
        <f aca="false">IF(ISNUMBER(Checks!$AD$378),TEXT(Checks!$AD$378,"DD-MMM-YY HH:MM")&amp;" "&amp;Checks!$P$378,"")&amp;IF(Checks!$AE$378="","",CHAR(10)&amp;"Verifier: "&amp;Checks!$AE$378)&amp;IF(Checks!$T$378="","",CHAR(10)&amp;"PIC: "&amp;Checks!$T$378)</f>
        <v/>
      </c>
      <c r="H48" s="115" t="str">
        <f aca="false">IF(Checks!$AH$378="","",Checks!$AH$378)</f>
        <v>OPEN</v>
      </c>
    </row>
    <row r="49" customFormat="false" ht="114" hidden="false" customHeight="true" outlineLevel="0" collapsed="false">
      <c r="A49" s="114" t="str">
        <f aca="false">Checks!$A$379&amp;CHAR(10)&amp;IF(Checks!$I$379="","",Checks!$I$379&amp;": ")&amp;Checks!$J$379</f>
        <v>F11-UPL-04
Seat Linen: Seat pillow (EY) - on board</v>
      </c>
      <c r="B49" s="114" t="str">
        <f aca="false">Checks!$K$379&amp;IF(Checks!$O$379="","",IF(Checks!$K$379="","",CHAR(10))&amp;"Note: "&amp;Checks!$O$379)</f>
        <v>Available 100% (ticked in reference)</v>
      </c>
      <c r="C49" s="114" t="str">
        <f aca="false">Checks!$N$379&amp;CHAR(10)&amp;IF(ISNUMBER(Checks!$R$379),TEXT(Checks!$R$379,"DD-MMM-YY HH:MM"),"")&amp;" "&amp;Checks!$P$379</f>
        <v>Required
12-Oct-26 15:50 PEN</v>
      </c>
      <c r="D49" s="114" t="str">
        <f aca="false">IF(Checks!$U$379="","",Checks!$U$379)&amp;IF(Checks!$AB$379="","",CHAR(10)&amp;"CA: "&amp;Checks!$AB$379)</f>
        <v/>
      </c>
      <c r="E49" s="114" t="str">
        <f aca="false">IF(Checks!$V$379="","",Checks!$V$379)&amp;IF(Checks!$AC$379="","",IF(Checks!$V$379="","",CHAR(10))&amp;"N/A just.: "&amp;Checks!$AC$379)&amp;IF(Checks!$W$379="","",CHAR(10)&amp;"Batch: "&amp;Checks!$W$379)&amp;IF(AND(Checks!$X$379="",Checks!$Y$379=""),"",CHAR(10)&amp;"Exp: "&amp;Checks!$X$379&amp;"  /  Act: "&amp;Checks!$Y$379)</f>
        <v/>
      </c>
      <c r="F49" s="114" t="str">
        <f aca="false">IF(Checks!$Z$379="","","Evidence: "&amp;Checks!$Z$379)&amp;IF(Checks!$AA$379="","",IF(Checks!$Z$379="","",CHAR(10))&amp;"CA: "&amp;Checks!$AA$379)</f>
        <v/>
      </c>
      <c r="G49" s="114" t="str">
        <f aca="false">IF(ISNUMBER(Checks!$AD$379),TEXT(Checks!$AD$379,"DD-MMM-YY HH:MM")&amp;" "&amp;Checks!$P$379,"")&amp;IF(Checks!$AE$379="","",CHAR(10)&amp;"Verifier: "&amp;Checks!$AE$379)&amp;IF(Checks!$T$379="","",CHAR(10)&amp;"PIC: "&amp;Checks!$T$379)</f>
        <v/>
      </c>
      <c r="H49" s="115" t="str">
        <f aca="false">IF(Checks!$AH$379="","",Checks!$AH$379)</f>
        <v>OPEN</v>
      </c>
    </row>
    <row r="51" customFormat="false" ht="24" hidden="false" customHeight="true" outlineLevel="0" collapsed="false">
      <c r="A51" s="116" t="s">
        <v>1737</v>
      </c>
      <c r="B51" s="116"/>
      <c r="C51" s="116"/>
      <c r="D51" s="116"/>
      <c r="E51" s="116" t="s">
        <v>1738</v>
      </c>
      <c r="F51" s="116"/>
      <c r="G51" s="116"/>
      <c r="H51" s="116"/>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5:H45"/>
    <mergeCell ref="A51:D51"/>
    <mergeCell ref="E51:H51"/>
    <mergeCell ref="A52:D61"/>
    <mergeCell ref="E52:H6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4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49">
    <cfRule type="expression" priority="17" aboveAverage="0" equalAverage="0" bottom="0" percent="0" rank="0" text="" dxfId="34">
      <formula>LEFT($H24,3)="N/A"</formula>
    </cfRule>
  </conditionalFormatting>
  <conditionalFormatting sqref="D24:D4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F11 MH1149 12-Oct-26 PEN-KUL Class EY</oddHeader>
    <oddFooter>&amp;L&amp;"Arial,Bold"&amp;8 F11 MH1149 12-Oct-26 PEN-KUL Class EY&amp;C&amp;"Arial,Regular"&amp;8 Printed: ____________________&amp;R&amp;"Arial,Regular"&amp;8 F11  Page &amp;P of &amp;N</oddFooter>
  </headerFooter>
  <rowBreaks count="7" manualBreakCount="7">
    <brk id="21" man="true" max="16383" min="0"/>
    <brk id="27" man="true" max="16383" min="0"/>
    <brk id="31" man="true" max="16383" min="0"/>
    <brk id="35" man="true" max="16383" min="0"/>
    <brk id="40" man="true" max="16383" min="0"/>
    <brk id="43" man="true" max="16383" min="0"/>
    <brk id="47" man="true" max="16383" min="0"/>
  </rowBreaks>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F12  "&amp;Flights!$F$16&amp;"  "&amp;TEXT(Flights!$D$16,"DD-MMM-YY")&amp;" ("&amp;Flights!$E$16&amp;")  "&amp;Flights!$G$16&amp;" → "&amp;Flights!$H$16&amp;"  |  Class "&amp;Flights!$K$16</f>
        <v>SKYTRAX 2026 CATERING READINESS CHECKLIST  |  F12  MH0139  12-Oct-26 (MON)  KUL → ADL  |  Class BC</v>
      </c>
      <c r="B1" s="92"/>
      <c r="C1" s="92"/>
      <c r="D1" s="92"/>
      <c r="E1" s="92"/>
      <c r="F1" s="92"/>
      <c r="G1" s="92"/>
      <c r="H1" s="92"/>
    </row>
    <row r="2" customFormat="false" ht="12.75" hidden="false" customHeight="true" outlineLevel="0" collapsed="false">
      <c r="A2" s="93" t="s">
        <v>1692</v>
      </c>
      <c r="B2" s="94" t="str">
        <f aca="false">Flights!$F$16&amp;"   "&amp;TEXT(Flights!$D$16,"DD-MMM-YY")&amp;" ("&amp;Flights!$E$16&amp;")"</f>
        <v>MH0139   12-Oct-26 (MON)</v>
      </c>
      <c r="C2" s="94"/>
      <c r="D2" s="94"/>
      <c r="E2" s="95" t="s">
        <v>1693</v>
      </c>
      <c r="F2" s="96" t="str">
        <f aca="false">Flights!$AT$16</f>
        <v>NOT READY – DOCUMENTS</v>
      </c>
      <c r="G2" s="96"/>
      <c r="H2" s="96"/>
    </row>
    <row r="3" customFormat="false" ht="24" hidden="false" customHeight="true" outlineLevel="0" collapsed="false">
      <c r="A3" s="93" t="s">
        <v>1694</v>
      </c>
      <c r="B3" s="94" t="str">
        <f aca="false">Flights!$G$16&amp;" → "&amp;Flights!$H$16&amp;"   Class "&amp;Flights!$K$16&amp;"   Seat "&amp;Flights!$O$16</f>
        <v>KUL → ADL   Class BC   Seat 1K</v>
      </c>
      <c r="C3" s="94"/>
      <c r="D3" s="94"/>
      <c r="E3" s="95" t="s">
        <v>71</v>
      </c>
      <c r="F3" s="95" t="s">
        <v>1695</v>
      </c>
      <c r="G3" s="95" t="s">
        <v>1696</v>
      </c>
      <c r="H3" s="95"/>
    </row>
    <row r="4" customFormat="false" ht="24" hidden="false" customHeight="true" outlineLevel="0" collapsed="false">
      <c r="A4" s="93" t="s">
        <v>1697</v>
      </c>
      <c r="B4" s="94" t="str">
        <f aca="false">IF(ISNUMBER(Flights!$I$16),TEXT(Flights!$I$16,"DD-MMM-YY HH:MM"),"")&amp;" "&amp;Flights!$G$16&amp;"  →  "&amp;IF(ISNUMBER(Flights!$J$16),TEXT(Flights!$J$16,"DD-MMM-YY HH:MM"),"")&amp;" "&amp;Flights!$H$16</f>
        <v>12-Oct-26 22:25 KUL  →  13-Oct-26 08:00 ADL</v>
      </c>
      <c r="C4" s="94"/>
      <c r="D4" s="94"/>
      <c r="E4" s="93" t="s">
        <v>1698</v>
      </c>
      <c r="F4" s="97" t="str">
        <f aca="false">IF(ISNUMBER(Flights!$AG$16),TEXT(Flights!$AG$16,"DD-MMM-YY HH:MM"),"")&amp;" "&amp;Flights!$V$16</f>
        <v>05-Oct-26 22:25 KUL</v>
      </c>
      <c r="G4" s="98" t="n">
        <f aca="false">Flights!$AJ$16</f>
        <v>0</v>
      </c>
      <c r="H4" s="98"/>
    </row>
    <row r="5" customFormat="false" ht="24" hidden="false" customHeight="true" outlineLevel="0" collapsed="false">
      <c r="A5" s="93" t="s">
        <v>1699</v>
      </c>
      <c r="B5" s="94" t="str">
        <f aca="false">Flights!$L$16&amp;" – "&amp;Flights!$M$16</f>
        <v>A339 – A330-900 (A339)</v>
      </c>
      <c r="C5" s="94"/>
      <c r="D5" s="94"/>
      <c r="E5" s="93" t="s">
        <v>1700</v>
      </c>
      <c r="F5" s="97" t="str">
        <f aca="false">IF(ISNUMBER(Flights!$AH$16),TEXT(Flights!$AH$16,"DD-MMM-YY HH:MM"),"")&amp;" "&amp;Flights!$V$16</f>
        <v>11-Oct-26 22:25 KUL</v>
      </c>
      <c r="G5" s="98" t="n">
        <f aca="false">Flights!$AK$16</f>
        <v>0</v>
      </c>
      <c r="H5" s="98"/>
    </row>
    <row r="6" customFormat="false" ht="24" hidden="false" customHeight="true" outlineLevel="0" collapsed="false">
      <c r="A6" s="93" t="s">
        <v>1701</v>
      </c>
      <c r="B6" s="94" t="str">
        <f aca="false">IF(TRIM(Flights!$N$16)="","__________________",Flights!$N$16)</f>
        <v>__________________</v>
      </c>
      <c r="C6" s="94"/>
      <c r="D6" s="94"/>
      <c r="E6" s="93" t="s">
        <v>1702</v>
      </c>
      <c r="F6" s="97" t="str">
        <f aca="false">IF(ISNUMBER(Flights!$AI$16),TEXT(Flights!$AI$16,"DD-MMM-YY HH:MM"),"")&amp;" "&amp;Flights!$V$16&amp;IF(Flights!$AI$16=Flights!$AH$16,"  (= T-24H due)","")</f>
        <v>12-Oct-26 10:25 KUL</v>
      </c>
      <c r="G6" s="98" t="n">
        <f aca="false">Flights!$AL$16</f>
        <v>0</v>
      </c>
      <c r="H6" s="98"/>
    </row>
    <row r="7" customFormat="false" ht="24" hidden="false" customHeight="true" outlineLevel="0" collapsed="false">
      <c r="A7" s="93" t="s">
        <v>1703</v>
      </c>
      <c r="B7" s="94" t="str">
        <f aca="false">Flights!$T$16</f>
        <v>1.5 Meal (Meal)</v>
      </c>
      <c r="C7" s="94"/>
      <c r="D7" s="94"/>
      <c r="E7" s="93" t="s">
        <v>1704</v>
      </c>
      <c r="F7" s="97" t="str">
        <f aca="false">"STD "&amp;IF(ISNUMBER(Flights!$I$16),TEXT(Flights!$I$16,"DD-MMM-YY HH:MM"),"")&amp;" "&amp;Flights!$G$16&amp;" (dep stn)"</f>
        <v>STD 12-Oct-26 22:25 KUL (dep stn)</v>
      </c>
      <c r="G7" s="98" t="n">
        <f aca="false">Flights!$AM$16</f>
        <v>0</v>
      </c>
      <c r="H7" s="98"/>
    </row>
    <row r="8" customFormat="false" ht="12.75" hidden="false" customHeight="true" outlineLevel="0" collapsed="false">
      <c r="A8" s="93" t="s">
        <v>153</v>
      </c>
      <c r="B8" s="94" t="str">
        <f aca="false">Flights!$V$16&amp;"   (reference uplift stns: "&amp;Flights!$U$16&amp;")"</f>
        <v>KUL   (reference uplift stns: KUL/ADL)</v>
      </c>
      <c r="C8" s="94"/>
      <c r="D8" s="94"/>
      <c r="E8" s="93" t="s">
        <v>1705</v>
      </c>
      <c r="F8" s="99" t="s">
        <v>1706</v>
      </c>
      <c r="G8" s="98" t="n">
        <f aca="false">Flights!$AN$16</f>
        <v>0</v>
      </c>
      <c r="H8" s="98"/>
    </row>
    <row r="9" customFormat="false" ht="12.75" hidden="false" customHeight="true" outlineLevel="0" collapsed="false">
      <c r="A9" s="93" t="s">
        <v>1707</v>
      </c>
      <c r="B9" s="94" t="str">
        <f aca="false">TRIM(Flights!$P$16&amp;"  "&amp;Flights!$Q$16)</f>
        <v>5H 30M Overnight ADL</v>
      </c>
      <c r="C9" s="94"/>
      <c r="D9" s="94"/>
      <c r="E9" s="93" t="s">
        <v>1708</v>
      </c>
      <c r="F9" s="100" t="n">
        <f aca="false">Flights!$AP$16</f>
        <v>0</v>
      </c>
      <c r="G9" s="100" t="n">
        <f aca="false">Flights!$AQ$16</f>
        <v>0</v>
      </c>
      <c r="H9" s="100" t="n">
        <f aca="false">Flights!$AU$16</f>
        <v>0</v>
      </c>
    </row>
    <row r="10" customFormat="false" ht="24" hidden="false" customHeight="true" outlineLevel="0" collapsed="false">
      <c r="A10" s="93" t="s">
        <v>1709</v>
      </c>
      <c r="B10" s="94" t="str">
        <f aca="false">IF(TRIM(Flights!$X$16)="","__________________",Flights!$X$16)</f>
        <v>__________________</v>
      </c>
      <c r="C10" s="94"/>
      <c r="D10" s="94"/>
      <c r="E10" s="93" t="s">
        <v>1710</v>
      </c>
      <c r="F10" s="100" t="n">
        <f aca="false">Flights!$AO$16</f>
        <v>47</v>
      </c>
      <c r="G10" s="100" t="n">
        <f aca="false">Flights!$AS$16</f>
        <v>0</v>
      </c>
      <c r="H10" s="100" t="n">
        <f aca="false">Flights!$AR$16</f>
        <v>2</v>
      </c>
    </row>
    <row r="11" customFormat="false" ht="21" hidden="false" customHeight="true" outlineLevel="0" collapsed="false">
      <c r="A11" s="93" t="s">
        <v>1711</v>
      </c>
      <c r="B11" s="94" t="str">
        <f aca="false">IF(TRIM(Flights!$Y$16)="","__________________",Flights!$Y$16)</f>
        <v>__________________</v>
      </c>
      <c r="C11" s="94"/>
      <c r="D11" s="94"/>
      <c r="E11" s="93" t="s">
        <v>1712</v>
      </c>
      <c r="F11" s="100" t="str">
        <f aca="false">Flights!$AV$16&amp;" / "&amp;Flights!$AW$16</f>
        <v>0 / 47</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IF(Documents!$F$16="","",Documents!$F$16)</f>
        <v/>
      </c>
      <c r="C14" s="99" t="str">
        <f aca="false">IF(Documents!$G$16="","",Documents!$G$16)&amp;IF(ISNUMBER(Documents!$H$16),"  "&amp;TEXT(Documents!$H$16,"DD-MMM-YY"),"")</f>
        <v/>
      </c>
      <c r="D14" s="99"/>
      <c r="E14" s="107" t="str">
        <f aca="false">IF(Documents!$J$16="OUTSTANDING","OUTSTANDING – attach before T-7D (due "&amp;IF(ISNUMBER(Flights!$AG$16),TEXT(Flights!$AG$16,"DD-MMM-YY HH:MM"),"")&amp;" "&amp;Flights!$V$16&amp;")",IF(Documents!$J$16="","Status not recorded",Documents!$J$16))</f>
        <v>OUTSTANDING – attach before T-7D (due 05-Oct-26 22:25 KUL)</v>
      </c>
      <c r="F14" s="108" t="str">
        <f aca="false">"Staple behind this sheet as page A1."&amp;IF(Documents!$I$16="",""," Location: "&amp;Documents!$I$16)</f>
        <v>Staple behind this sheet as page A1.</v>
      </c>
      <c r="G14" s="108"/>
      <c r="H14" s="108"/>
    </row>
    <row r="15" customFormat="false" ht="36" hidden="false" customHeight="true" outlineLevel="0" collapsed="false">
      <c r="A15" s="93" t="s">
        <v>1723</v>
      </c>
      <c r="B15" s="94" t="str">
        <f aca="false">IF(Documents!$K$16="","",Documents!$K$16)</f>
        <v/>
      </c>
      <c r="C15" s="99" t="str">
        <f aca="false">IF(Documents!$L$16="","",Documents!$L$16)&amp;IF(ISNUMBER(Documents!$M$16),"  "&amp;TEXT(Documents!$M$16,"DD-MMM-YY"),"")</f>
        <v/>
      </c>
      <c r="D15" s="99"/>
      <c r="E15" s="107" t="str">
        <f aca="false">IF(Documents!$O$16="OUTSTANDING","OUTSTANDING – attach before T-7D (due "&amp;IF(ISNUMBER(Flights!$AG$16),TEXT(Flights!$AG$16,"DD-MMM-YY HH:MM"),"")&amp;" "&amp;Flights!$V$16&amp;")",IF(Documents!$O$16="","Status not recorded",Documents!$O$16))</f>
        <v>OUTSTANDING – attach before T-7D (due 05-Oct-26 22:25 KUL)</v>
      </c>
      <c r="F15" s="108" t="str">
        <f aca="false">"Staple behind this sheet as page A2."&amp;IF(Documents!$N$16="",""," Location: "&amp;Documents!$N$16)</f>
        <v>Staple behind this sheet as page A2.</v>
      </c>
      <c r="G15" s="108"/>
      <c r="H15" s="108"/>
    </row>
    <row r="16" customFormat="false" ht="22.5" hidden="false" customHeight="true" outlineLevel="0" collapsed="false">
      <c r="A16" s="93" t="s">
        <v>1724</v>
      </c>
      <c r="B16" s="109" t="str">
        <f aca="false">IF(Documents!$Q$16="","",Documents!$Q$16)</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"&amp;IF(TRIM(Flights!$Y$16)="","__________________",Flights!$Y$16)</f>
        <v>Name: __________________</v>
      </c>
      <c r="B18" s="94"/>
      <c r="C18" s="94" t="str">
        <f aca="false">"Name: __________________"</f>
        <v>Name: __________________</v>
      </c>
      <c r="D18" s="94"/>
      <c r="E18" s="94"/>
      <c r="F18" s="94" t="str">
        <f aca="false">"Name: __________________"&amp;"   Station: "&amp;Flights!$V$16</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"&amp;IF(ISNUMBER(Flights!$AG$16),TEXT(Flights!$AG$16,"DD-MMM-YY HH:MM"),"")&amp;" "&amp;Flights!$V$16&amp;" (meal uplift stn)"&amp;" (rows with another due show their own)  |  Complete "&amp;IF(ISNUMBER(Flights!$AJ$16),TEXT(Flights!$AJ$16,"0%"),Flights!$AJ$16)&amp;"  |  9 lines"</f>
        <v>T-7D — 7 days before departure  |  Due 05-Oct-26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Checks!$A$380&amp;CHAR(10)&amp;IF(Checks!$I$380="","",Checks!$I$380&amp;": ")&amp;Checks!$J$380</f>
        <v>F12-T7-01
Meal: Meal sensory testing completed for this flight's menu cycle (assessed class)</v>
      </c>
      <c r="B23" s="114" t="str">
        <f aca="false">Checks!$K$380&amp;IF(Checks!$O$380="","",IF(Checks!$K$380="","",CHAR(10))&amp;"Note: "&amp;Checks!$O$380)</f>
        <v>Record panel result / score in Result</v>
      </c>
      <c r="C23" s="114" t="str">
        <f aca="false">Checks!$N$380&amp;CHAR(10)&amp;IF(ISNUMBER(Checks!$R$380),TEXT(Checks!$R$380,"DD-MMM-YY HH:MM"),"")&amp;" "&amp;Checks!$P$380</f>
        <v>Required
05-Oct-26 22:25 KUL</v>
      </c>
      <c r="D23" s="114" t="str">
        <f aca="false">IF(Checks!$U$380="","",Checks!$U$380)&amp;IF(Checks!$AB$380="","",CHAR(10)&amp;"CA: "&amp;Checks!$AB$380)</f>
        <v/>
      </c>
      <c r="E23" s="114" t="str">
        <f aca="false">IF(Checks!$V$380="","",Checks!$V$380)&amp;IF(Checks!$AC$380="","",IF(Checks!$V$380="","",CHAR(10))&amp;"N/A just.: "&amp;Checks!$AC$380)&amp;IF(Checks!$W$380="","",CHAR(10)&amp;"Batch: "&amp;Checks!$W$380)&amp;IF(AND(Checks!$X$380="",Checks!$Y$380=""),"",CHAR(10)&amp;"Exp: "&amp;Checks!$X$380&amp;"  /  Act: "&amp;Checks!$Y$380)</f>
        <v/>
      </c>
      <c r="F23" s="114" t="str">
        <f aca="false">IF(Checks!$Z$380="","","Evidence: "&amp;Checks!$Z$380)&amp;IF(Checks!$AA$380="","",IF(Checks!$Z$380="","",CHAR(10))&amp;"CA: "&amp;Checks!$AA$380)</f>
        <v/>
      </c>
      <c r="G23" s="114" t="str">
        <f aca="false">IF(ISNUMBER(Checks!$AD$380),TEXT(Checks!$AD$380,"DD-MMM-YY HH:MM")&amp;" "&amp;Checks!$P$380,"")&amp;IF(Checks!$AE$380="","",CHAR(10)&amp;"Verifier: "&amp;Checks!$AE$380)&amp;IF(Checks!$T$380="","",CHAR(10)&amp;"PIC: "&amp;Checks!$T$380)</f>
        <v/>
      </c>
      <c r="H23" s="115" t="str">
        <f aca="false">IF(Checks!$AH$380="","",Checks!$AH$380)</f>
        <v>OPEN</v>
      </c>
    </row>
    <row r="24" customFormat="false" ht="114" hidden="false" customHeight="true" outlineLevel="0" collapsed="false">
      <c r="A24" s="114" t="str">
        <f aca="false">Checks!$A$381&amp;CHAR(10)&amp;IF(Checks!$I$381="","",Checks!$I$381&amp;": ")&amp;Checks!$J$381</f>
        <v>F12-T7-02
Menu: Printed menu cards confirmed (content, cycle, language, quantity)</v>
      </c>
      <c r="B24" s="114" t="str">
        <f aca="false">Checks!$K$381&amp;IF(Checks!$O$381="","",IF(Checks!$K$381="","",CHAR(10))&amp;"Note: "&amp;Checks!$O$381)</f>
        <v>Menu card matches approved menu for this flight</v>
      </c>
      <c r="C24" s="114" t="str">
        <f aca="false">Checks!$N$381&amp;CHAR(10)&amp;IF(ISNUMBER(Checks!$R$381),TEXT(Checks!$R$381,"DD-MMM-YY HH:MM"),"")&amp;" "&amp;Checks!$P$381</f>
        <v>Required
05-Oct-26 22:25 KUL</v>
      </c>
      <c r="D24" s="114" t="str">
        <f aca="false">IF(Checks!$U$381="","",Checks!$U$381)&amp;IF(Checks!$AB$381="","",CHAR(10)&amp;"CA: "&amp;Checks!$AB$381)</f>
        <v/>
      </c>
      <c r="E24" s="114" t="str">
        <f aca="false">IF(Checks!$V$381="","",Checks!$V$381)&amp;IF(Checks!$AC$381="","",IF(Checks!$V$381="","",CHAR(10))&amp;"N/A just.: "&amp;Checks!$AC$381)&amp;IF(Checks!$W$381="","",CHAR(10)&amp;"Batch: "&amp;Checks!$W$381)&amp;IF(AND(Checks!$X$381="",Checks!$Y$381=""),"",CHAR(10)&amp;"Exp: "&amp;Checks!$X$381&amp;"  /  Act: "&amp;Checks!$Y$381)</f>
        <v/>
      </c>
      <c r="F24" s="114" t="str">
        <f aca="false">IF(Checks!$Z$381="","","Evidence: "&amp;Checks!$Z$381)&amp;IF(Checks!$AA$381="","",IF(Checks!$Z$381="","",CHAR(10))&amp;"CA: "&amp;Checks!$AA$381)</f>
        <v/>
      </c>
      <c r="G24" s="114" t="str">
        <f aca="false">IF(ISNUMBER(Checks!$AD$381),TEXT(Checks!$AD$381,"DD-MMM-YY HH:MM")&amp;" "&amp;Checks!$P$381,"")&amp;IF(Checks!$AE$381="","",CHAR(10)&amp;"Verifier: "&amp;Checks!$AE$381)&amp;IF(Checks!$T$381="","",CHAR(10)&amp;"PIC: "&amp;Checks!$T$381)</f>
        <v/>
      </c>
      <c r="H24" s="115" t="str">
        <f aca="false">IF(Checks!$AH$381="","",Checks!$AH$381)</f>
        <v>OPEN</v>
      </c>
    </row>
    <row r="25" customFormat="false" ht="114" hidden="false" customHeight="true" outlineLevel="0" collapsed="false">
      <c r="A25" s="114" t="str">
        <f aca="false">Checks!$A$382&amp;CHAR(10)&amp;IF(Checks!$I$382="","",Checks!$I$382&amp;": ")&amp;Checks!$J$382</f>
        <v>F12-T7-03
IFE: Digital menu in IFE confirmed (A339 only)</v>
      </c>
      <c r="B25" s="114" t="str">
        <f aca="false">Checks!$K$382&amp;IF(Checks!$O$382="","",IF(Checks!$K$382="","",CHAR(10))&amp;"Note: "&amp;Checks!$O$382)</f>
        <v>Applies when fleet = A339
Note: Digital IFE menu applies to A339 only (user brief). Applicability follows the Fleet cell on Flights.</v>
      </c>
      <c r="C25" s="114" t="str">
        <f aca="false">Checks!$N$382&amp;CHAR(10)&amp;IF(ISNUMBER(Checks!$R$382),TEXT(Checks!$R$382,"DD-MMM-YY HH:MM"),"")&amp;" "&amp;Checks!$P$382</f>
        <v>Required
05-Oct-26 22:25 KUL</v>
      </c>
      <c r="D25" s="114" t="str">
        <f aca="false">IF(Checks!$U$382="","",Checks!$U$382)&amp;IF(Checks!$AB$382="","",CHAR(10)&amp;"CA: "&amp;Checks!$AB$382)</f>
        <v/>
      </c>
      <c r="E25" s="114" t="str">
        <f aca="false">IF(Checks!$V$382="","",Checks!$V$382)&amp;IF(Checks!$AC$382="","",IF(Checks!$V$382="","",CHAR(10))&amp;"N/A just.: "&amp;Checks!$AC$382)&amp;IF(Checks!$W$382="","",CHAR(10)&amp;"Batch: "&amp;Checks!$W$382)&amp;IF(AND(Checks!$X$382="",Checks!$Y$382=""),"",CHAR(10)&amp;"Exp: "&amp;Checks!$X$382&amp;"  /  Act: "&amp;Checks!$Y$382)</f>
        <v/>
      </c>
      <c r="F25" s="114" t="str">
        <f aca="false">IF(Checks!$Z$382="","","Evidence: "&amp;Checks!$Z$382)&amp;IF(Checks!$AA$382="","",IF(Checks!$Z$382="","",CHAR(10))&amp;"CA: "&amp;Checks!$AA$382)</f>
        <v/>
      </c>
      <c r="G25" s="114" t="str">
        <f aca="false">IF(ISNUMBER(Checks!$AD$382),TEXT(Checks!$AD$382,"DD-MMM-YY HH:MM")&amp;" "&amp;Checks!$P$382,"")&amp;IF(Checks!$AE$382="","",CHAR(10)&amp;"Verifier: "&amp;Checks!$AE$382)&amp;IF(Checks!$T$382="","",CHAR(10)&amp;"PIC: "&amp;Checks!$T$382)</f>
        <v/>
      </c>
      <c r="H25" s="115" t="str">
        <f aca="false">IF(Checks!$AH$382="","",Checks!$AH$382)</f>
        <v>OPEN</v>
      </c>
    </row>
    <row r="26" customFormat="false" ht="114" hidden="false" customHeight="true" outlineLevel="0" collapsed="false">
      <c r="A26" s="114" t="str">
        <f aca="false">Checks!$A$383&amp;CHAR(10)&amp;IF(Checks!$I$383="","",Checks!$I$383&amp;": ")&amp;Checks!$J$383</f>
        <v>F12-T7-04
Staffing: Experienced catering officer assigned to this flight</v>
      </c>
      <c r="B26" s="114" t="str">
        <f aca="false">Checks!$K$383&amp;IF(Checks!$O$383="","",IF(Checks!$K$383="","",CHAR(10))&amp;"Note: "&amp;Checks!$O$383)</f>
        <v>Record officer name in Result</v>
      </c>
      <c r="C26" s="114" t="str">
        <f aca="false">Checks!$N$383&amp;CHAR(10)&amp;IF(ISNUMBER(Checks!$R$383),TEXT(Checks!$R$383,"DD-MMM-YY HH:MM"),"")&amp;" "&amp;Checks!$P$383</f>
        <v>Required
05-Oct-26 22:25 KUL</v>
      </c>
      <c r="D26" s="114" t="str">
        <f aca="false">IF(Checks!$U$383="","",Checks!$U$383)&amp;IF(Checks!$AB$383="","",CHAR(10)&amp;"CA: "&amp;Checks!$AB$383)</f>
        <v/>
      </c>
      <c r="E26" s="114" t="str">
        <f aca="false">IF(Checks!$V$383="","",Checks!$V$383)&amp;IF(Checks!$AC$383="","",IF(Checks!$V$383="","",CHAR(10))&amp;"N/A just.: "&amp;Checks!$AC$383)&amp;IF(Checks!$W$383="","",CHAR(10)&amp;"Batch: "&amp;Checks!$W$383)&amp;IF(AND(Checks!$X$383="",Checks!$Y$383=""),"",CHAR(10)&amp;"Exp: "&amp;Checks!$X$383&amp;"  /  Act: "&amp;Checks!$Y$383)</f>
        <v/>
      </c>
      <c r="F26" s="114" t="str">
        <f aca="false">IF(Checks!$Z$383="","","Evidence: "&amp;Checks!$Z$383)&amp;IF(Checks!$AA$383="","",IF(Checks!$Z$383="","",CHAR(10))&amp;"CA: "&amp;Checks!$AA$383)</f>
        <v/>
      </c>
      <c r="G26" s="114" t="str">
        <f aca="false">IF(ISNUMBER(Checks!$AD$383),TEXT(Checks!$AD$383,"DD-MMM-YY HH:MM")&amp;" "&amp;Checks!$P$383,"")&amp;IF(Checks!$AE$383="","",CHAR(10)&amp;"Verifier: "&amp;Checks!$AE$383)&amp;IF(Checks!$T$383="","",CHAR(10)&amp;"PIC: "&amp;Checks!$T$383)</f>
        <v/>
      </c>
      <c r="H26" s="115" t="str">
        <f aca="false">IF(Checks!$AH$383="","",Checks!$AH$383)</f>
        <v>OPEN</v>
      </c>
    </row>
    <row r="27" customFormat="false" ht="114" hidden="false" customHeight="true" outlineLevel="0" collapsed="false">
      <c r="A27" s="114" t="str">
        <f aca="false">Checks!$A$384&amp;CHAR(10)&amp;IF(Checks!$I$384="","",Checks!$I$384&amp;": ")&amp;Checks!$J$384</f>
        <v>F12-T7-05
ISOP: All latest applicable ISOP revisions communicated to caterer</v>
      </c>
      <c r="B27" s="114" t="str">
        <f aca="false">Checks!$K$384&amp;IF(Checks!$O$384="","",IF(Checks!$K$384="","",CHAR(10))&amp;"Note: "&amp;Checks!$O$384)</f>
        <v>List revision numbers in Result (see ISOP register)</v>
      </c>
      <c r="C27" s="114" t="str">
        <f aca="false">Checks!$N$384&amp;CHAR(10)&amp;IF(ISNUMBER(Checks!$R$384),TEXT(Checks!$R$384,"DD-MMM-YY HH:MM"),"")&amp;" "&amp;Checks!$P$384</f>
        <v>Required
05-Oct-26 22:25 KUL</v>
      </c>
      <c r="D27" s="114" t="str">
        <f aca="false">IF(Checks!$U$384="","",Checks!$U$384)&amp;IF(Checks!$AB$384="","",CHAR(10)&amp;"CA: "&amp;Checks!$AB$384)</f>
        <v/>
      </c>
      <c r="E27" s="114" t="str">
        <f aca="false">IF(Checks!$V$384="","",Checks!$V$384)&amp;IF(Checks!$AC$384="","",IF(Checks!$V$384="","",CHAR(10))&amp;"N/A just.: "&amp;Checks!$AC$384)&amp;IF(Checks!$W$384="","",CHAR(10)&amp;"Batch: "&amp;Checks!$W$384)&amp;IF(AND(Checks!$X$384="",Checks!$Y$384=""),"",CHAR(10)&amp;"Exp: "&amp;Checks!$X$384&amp;"  /  Act: "&amp;Checks!$Y$384)</f>
        <v/>
      </c>
      <c r="F27" s="114" t="str">
        <f aca="false">IF(Checks!$Z$384="","","Evidence: "&amp;Checks!$Z$384)&amp;IF(Checks!$AA$384="","",IF(Checks!$Z$384="","",CHAR(10))&amp;"CA: "&amp;Checks!$AA$384)</f>
        <v/>
      </c>
      <c r="G27" s="114" t="str">
        <f aca="false">IF(ISNUMBER(Checks!$AD$384),TEXT(Checks!$AD$384,"DD-MMM-YY HH:MM")&amp;" "&amp;Checks!$P$384,"")&amp;IF(Checks!$AE$384="","",CHAR(10)&amp;"Verifier: "&amp;Checks!$AE$384)&amp;IF(Checks!$T$384="","",CHAR(10)&amp;"PIC: "&amp;Checks!$T$384)</f>
        <v/>
      </c>
      <c r="H27" s="115" t="str">
        <f aca="false">IF(Checks!$AH$384="","",Checks!$AH$384)</f>
        <v>OPEN</v>
      </c>
    </row>
    <row r="28" customFormat="false" ht="114" hidden="false" customHeight="true" outlineLevel="0" collapsed="false">
      <c r="A28" s="114" t="str">
        <f aca="false">Checks!$A$385&amp;CHAR(10)&amp;IF(Checks!$I$385="","",Checks!$I$385&amp;": ")&amp;Checks!$J$385</f>
        <v>F12-T7-06
ISOP: Caterer acknowledgement of ISOP revisions recorded</v>
      </c>
      <c r="B28" s="114" t="str">
        <f aca="false">Checks!$K$385&amp;IF(Checks!$O$385="","",IF(Checks!$K$385="","",CHAR(10))&amp;"Note: "&amp;Checks!$O$385)</f>
        <v>Record acknowledgement ref in Evidence</v>
      </c>
      <c r="C28" s="114" t="str">
        <f aca="false">Checks!$N$385&amp;CHAR(10)&amp;IF(ISNUMBER(Checks!$R$385),TEXT(Checks!$R$385,"DD-MMM-YY HH:MM"),"")&amp;" "&amp;Checks!$P$385</f>
        <v>Required
05-Oct-26 22:25 KUL</v>
      </c>
      <c r="D28" s="114" t="str">
        <f aca="false">IF(Checks!$U$385="","",Checks!$U$385)&amp;IF(Checks!$AB$385="","",CHAR(10)&amp;"CA: "&amp;Checks!$AB$385)</f>
        <v/>
      </c>
      <c r="E28" s="114" t="str">
        <f aca="false">IF(Checks!$V$385="","",Checks!$V$385)&amp;IF(Checks!$AC$385="","",IF(Checks!$V$385="","",CHAR(10))&amp;"N/A just.: "&amp;Checks!$AC$385)&amp;IF(Checks!$W$385="","",CHAR(10)&amp;"Batch: "&amp;Checks!$W$385)&amp;IF(AND(Checks!$X$385="",Checks!$Y$385=""),"",CHAR(10)&amp;"Exp: "&amp;Checks!$X$385&amp;"  /  Act: "&amp;Checks!$Y$385)</f>
        <v/>
      </c>
      <c r="F28" s="114" t="str">
        <f aca="false">IF(Checks!$Z$385="","","Evidence: "&amp;Checks!$Z$385)&amp;IF(Checks!$AA$385="","",IF(Checks!$Z$385="","",CHAR(10))&amp;"CA: "&amp;Checks!$AA$385)</f>
        <v/>
      </c>
      <c r="G28" s="114" t="str">
        <f aca="false">IF(ISNUMBER(Checks!$AD$385),TEXT(Checks!$AD$385,"DD-MMM-YY HH:MM")&amp;" "&amp;Checks!$P$385,"")&amp;IF(Checks!$AE$385="","",CHAR(10)&amp;"Verifier: "&amp;Checks!$AE$385)&amp;IF(Checks!$T$385="","",CHAR(10)&amp;"PIC: "&amp;Checks!$T$385)</f>
        <v/>
      </c>
      <c r="H28" s="115" t="str">
        <f aca="false">IF(Checks!$AH$385="","",Checks!$AH$385)</f>
        <v>OPEN</v>
      </c>
    </row>
    <row r="29" customFormat="false" ht="114" hidden="false" customHeight="true" outlineLevel="0" collapsed="false">
      <c r="A29" s="114" t="str">
        <f aca="false">Checks!$A$386&amp;CHAR(10)&amp;IF(Checks!$I$386="","",Checks!$I$386&amp;": ")&amp;Checks!$J$386</f>
        <v>F12-T7-07
Documents: Galley loading diagram (GLD) received, revision recorded &amp; attached</v>
      </c>
      <c r="B29" s="114" t="str">
        <f aca="false">Checks!$K$386&amp;IF(Checks!$O$386="","",IF(Checks!$K$386="","",CHAR(10))&amp;"Note: "&amp;Checks!$O$386)</f>
        <v>Documents sheet row complete</v>
      </c>
      <c r="C29" s="114" t="str">
        <f aca="false">Checks!$N$386&amp;CHAR(10)&amp;IF(ISNUMBER(Checks!$R$386),TEXT(Checks!$R$386,"DD-MMM-YY HH:MM"),"")&amp;" "&amp;Checks!$P$386</f>
        <v>Required
05-Oct-26 22:25 KUL</v>
      </c>
      <c r="D29" s="114" t="str">
        <f aca="false">IF(Checks!$U$386="","",Checks!$U$386)&amp;IF(Checks!$AB$386="","",CHAR(10)&amp;"CA: "&amp;Checks!$AB$386)</f>
        <v/>
      </c>
      <c r="E29" s="114" t="str">
        <f aca="false">IF(Checks!$V$386="","",Checks!$V$386)&amp;IF(Checks!$AC$386="","",IF(Checks!$V$386="","",CHAR(10))&amp;"N/A just.: "&amp;Checks!$AC$386)&amp;IF(Checks!$W$386="","",CHAR(10)&amp;"Batch: "&amp;Checks!$W$386)&amp;IF(AND(Checks!$X$386="",Checks!$Y$386=""),"",CHAR(10)&amp;"Exp: "&amp;Checks!$X$386&amp;"  /  Act: "&amp;Checks!$Y$386)</f>
        <v/>
      </c>
      <c r="F29" s="114" t="str">
        <f aca="false">IF(Checks!$Z$386="","","Evidence: "&amp;Checks!$Z$386)&amp;IF(Checks!$AA$386="","",IF(Checks!$Z$386="","",CHAR(10))&amp;"CA: "&amp;Checks!$AA$386)</f>
        <v/>
      </c>
      <c r="G29" s="114" t="str">
        <f aca="false">IF(ISNUMBER(Checks!$AD$386),TEXT(Checks!$AD$386,"DD-MMM-YY HH:MM")&amp;" "&amp;Checks!$P$386,"")&amp;IF(Checks!$AE$386="","",CHAR(10)&amp;"Verifier: "&amp;Checks!$AE$386)&amp;IF(Checks!$T$386="","",CHAR(10)&amp;"PIC: "&amp;Checks!$T$386)</f>
        <v/>
      </c>
      <c r="H29" s="115" t="str">
        <f aca="false">IF(Checks!$AH$386="","",Checks!$AH$386)</f>
        <v>OPEN</v>
      </c>
    </row>
    <row r="30" customFormat="false" ht="114" hidden="false" customHeight="true" outlineLevel="0" collapsed="false">
      <c r="A30" s="114" t="str">
        <f aca="false">Checks!$A$387&amp;CHAR(10)&amp;IF(Checks!$I$387="","",Checks!$I$387&amp;": ")&amp;Checks!$J$387</f>
        <v>F12-T7-08
Documents: Menu checklist received, revision recorded &amp; attached</v>
      </c>
      <c r="B30" s="114" t="str">
        <f aca="false">Checks!$K$387&amp;IF(Checks!$O$387="","",IF(Checks!$K$387="","",CHAR(10))&amp;"Note: "&amp;Checks!$O$387)</f>
        <v>Documents sheet row complete</v>
      </c>
      <c r="C30" s="114" t="str">
        <f aca="false">Checks!$N$387&amp;CHAR(10)&amp;IF(ISNUMBER(Checks!$R$387),TEXT(Checks!$R$387,"DD-MMM-YY HH:MM"),"")&amp;" "&amp;Checks!$P$387</f>
        <v>Required
05-Oct-26 22:25 KUL</v>
      </c>
      <c r="D30" s="114" t="str">
        <f aca="false">IF(Checks!$U$387="","",Checks!$U$387)&amp;IF(Checks!$AB$387="","",CHAR(10)&amp;"CA: "&amp;Checks!$AB$387)</f>
        <v/>
      </c>
      <c r="E30" s="114" t="str">
        <f aca="false">IF(Checks!$V$387="","",Checks!$V$387)&amp;IF(Checks!$AC$387="","",IF(Checks!$V$387="","",CHAR(10))&amp;"N/A just.: "&amp;Checks!$AC$387)&amp;IF(Checks!$W$387="","",CHAR(10)&amp;"Batch: "&amp;Checks!$W$387)&amp;IF(AND(Checks!$X$387="",Checks!$Y$387=""),"",CHAR(10)&amp;"Exp: "&amp;Checks!$X$387&amp;"  /  Act: "&amp;Checks!$Y$387)</f>
        <v/>
      </c>
      <c r="F30" s="114" t="str">
        <f aca="false">IF(Checks!$Z$387="","","Evidence: "&amp;Checks!$Z$387)&amp;IF(Checks!$AA$387="","",IF(Checks!$Z$387="","",CHAR(10))&amp;"CA: "&amp;Checks!$AA$387)</f>
        <v/>
      </c>
      <c r="G30" s="114" t="str">
        <f aca="false">IF(ISNUMBER(Checks!$AD$387),TEXT(Checks!$AD$387,"DD-MMM-YY HH:MM")&amp;" "&amp;Checks!$P$387,"")&amp;IF(Checks!$AE$387="","",CHAR(10)&amp;"Verifier: "&amp;Checks!$AE$387)&amp;IF(Checks!$T$387="","",CHAR(10)&amp;"PIC: "&amp;Checks!$T$387)</f>
        <v/>
      </c>
      <c r="H30" s="115" t="str">
        <f aca="false">IF(Checks!$AH$387="","",Checks!$AH$387)</f>
        <v>OPEN</v>
      </c>
    </row>
    <row r="31" customFormat="false" ht="114" hidden="false" customHeight="true" outlineLevel="0" collapsed="false">
      <c r="A31" s="114" t="str">
        <f aca="false">Checks!$A$388&amp;CHAR(10)&amp;IF(Checks!$I$388="","",Checks!$I$388&amp;": ")&amp;Checks!$J$388</f>
        <v>F12-T7-09
Uplift plan: Uplift plan confirmed with caterer vs STD Uplift Information</v>
      </c>
      <c r="B31" s="114" t="str">
        <f aca="false">Checks!$K$388&amp;IF(Checks!$O$388="","",IF(Checks!$K$388="","",CHAR(10))&amp;"Note: "&amp;Checks!$O$388)</f>
        <v>Service: 1.5 Meal (Meal); meal uplift stn KUL (ref lists KUL/ADL)</v>
      </c>
      <c r="C31" s="114" t="str">
        <f aca="false">Checks!$N$388&amp;CHAR(10)&amp;IF(ISNUMBER(Checks!$R$388),TEXT(Checks!$R$388,"DD-MMM-YY HH:MM"),"")&amp;" "&amp;Checks!$P$388</f>
        <v>Required
05-Oct-26 22:25 KUL</v>
      </c>
      <c r="D31" s="114" t="str">
        <f aca="false">IF(Checks!$U$388="","",Checks!$U$388)&amp;IF(Checks!$AB$388="","",CHAR(10)&amp;"CA: "&amp;Checks!$AB$388)</f>
        <v/>
      </c>
      <c r="E31" s="114" t="str">
        <f aca="false">IF(Checks!$V$388="","",Checks!$V$388)&amp;IF(Checks!$AC$388="","",IF(Checks!$V$388="","",CHAR(10))&amp;"N/A just.: "&amp;Checks!$AC$388)&amp;IF(Checks!$W$388="","",CHAR(10)&amp;"Batch: "&amp;Checks!$W$388)&amp;IF(AND(Checks!$X$388="",Checks!$Y$388=""),"",CHAR(10)&amp;"Exp: "&amp;Checks!$X$388&amp;"  /  Act: "&amp;Checks!$Y$388)</f>
        <v/>
      </c>
      <c r="F31" s="114" t="str">
        <f aca="false">IF(Checks!$Z$388="","","Evidence: "&amp;Checks!$Z$388)&amp;IF(Checks!$AA$388="","",IF(Checks!$Z$388="","",CHAR(10))&amp;"CA: "&amp;Checks!$AA$388)</f>
        <v/>
      </c>
      <c r="G31" s="114" t="str">
        <f aca="false">IF(ISNUMBER(Checks!$AD$388),TEXT(Checks!$AD$388,"DD-MMM-YY HH:MM")&amp;" "&amp;Checks!$P$388,"")&amp;IF(Checks!$AE$388="","",CHAR(10)&amp;"Verifier: "&amp;Checks!$AE$388)&amp;IF(Checks!$T$388="","",CHAR(10)&amp;"PIC: "&amp;Checks!$T$388)</f>
        <v/>
      </c>
      <c r="H31" s="115" t="str">
        <f aca="false">IF(Checks!$AH$388="","",Checks!$AH$388)</f>
        <v>OPEN</v>
      </c>
    </row>
    <row r="32" customFormat="false" ht="25.5" hidden="false" customHeight="true" outlineLevel="0" collapsed="false">
      <c r="A32" s="113" t="str">
        <f aca="false">"T-24H — Production batch sensory  |  Due "&amp;IF(ISNUMBER(Flights!$AH$16),TEXT(Flights!$AH$16,"DD-MMM-YY HH:MM"),"")&amp;" "&amp;Flights!$V$16&amp;" (meal uplift stn)"&amp;" (rows with another due show their own)  |  Complete "&amp;IF(ISNUMBER(Flights!$AK$16),TEXT(Flights!$AK$16,"0%"),Flights!$AK$16)&amp;"  |  1 lines"</f>
        <v>T-24H — Production batch sensory  |  Due 11-Oct-26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Checks!$A$389&amp;CHAR(10)&amp;IF(Checks!$I$389="","",Checks!$I$389&amp;": ")&amp;Checks!$J$389</f>
        <v>F12-T24-01
Meal: Sensory test repeated on ACTUAL production batch for this flight</v>
      </c>
      <c r="B33" s="114" t="str">
        <f aca="false">Checks!$K$389&amp;IF(Checks!$O$389="","",IF(Checks!$K$389="","",CHAR(10))&amp;"Note: "&amp;Checks!$O$389)</f>
        <v>Batch ID, result, CA and acceptance mandatory</v>
      </c>
      <c r="C33" s="114" t="str">
        <f aca="false">Checks!$N$389&amp;CHAR(10)&amp;IF(ISNUMBER(Checks!$R$389),TEXT(Checks!$R$389,"DD-MMM-YY HH:MM"),"")&amp;" "&amp;Checks!$P$389</f>
        <v>Required
11-Oct-26 22:25 KUL</v>
      </c>
      <c r="D33" s="114" t="str">
        <f aca="false">IF(Checks!$U$389="","",Checks!$U$389)&amp;IF(Checks!$AB$389="","",CHAR(10)&amp;"CA: "&amp;Checks!$AB$389)</f>
        <v/>
      </c>
      <c r="E33" s="114" t="str">
        <f aca="false">IF(Checks!$V$389="","",Checks!$V$389)&amp;IF(Checks!$AC$389="","",IF(Checks!$V$389="","",CHAR(10))&amp;"N/A just.: "&amp;Checks!$AC$389)&amp;IF(Checks!$W$389="","",CHAR(10)&amp;"Batch: "&amp;Checks!$W$389)&amp;IF(AND(Checks!$X$389="",Checks!$Y$389=""),"",CHAR(10)&amp;"Exp: "&amp;Checks!$X$389&amp;"  /  Act: "&amp;Checks!$Y$389)</f>
        <v/>
      </c>
      <c r="F33" s="114" t="str">
        <f aca="false">IF(Checks!$Z$389="","","Evidence: "&amp;Checks!$Z$389)&amp;IF(Checks!$AA$389="","",IF(Checks!$Z$389="","",CHAR(10))&amp;"CA: "&amp;Checks!$AA$389)</f>
        <v/>
      </c>
      <c r="G33" s="114" t="str">
        <f aca="false">IF(ISNUMBER(Checks!$AD$389),TEXT(Checks!$AD$389,"DD-MMM-YY HH:MM")&amp;" "&amp;Checks!$P$389,"")&amp;IF(Checks!$AE$389="","",CHAR(10)&amp;"Verifier: "&amp;Checks!$AE$389)&amp;IF(Checks!$T$389="","",CHAR(10)&amp;"PIC: "&amp;Checks!$T$389)</f>
        <v/>
      </c>
      <c r="H33" s="115" t="str">
        <f aca="false">IF(Checks!$AH$389="","",Checks!$AH$389)</f>
        <v>OPEN</v>
      </c>
    </row>
    <row r="34" customFormat="false" ht="25.5" hidden="false" customHeight="true" outlineLevel="0" collapsed="false">
      <c r="A34" s="113" t="str">
        <f aca="false">"T-12H PREP — Preparation check at caterer (does NOT confirm loading)  |  Due "&amp;IF(ISNUMBER(Flights!$AI$16),TEXT(Flights!$AI$16,"DD-MMM-YY HH:MM"),"")&amp;" "&amp;Flights!$V$16&amp;" (meal uplift stn)"&amp;" (rows with another due show their own)  |  Complete "&amp;IF(ISNUMBER(Flights!$AL$16),TEXT(Flights!$AL$16,"0%"),Flights!$AL$16)&amp;"  |  21 lines"</f>
        <v>T-12H PREP — Preparation check at caterer (does NOT confirm loading)  |  Due 12-Oct-26 10:25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Checks!$A$390&amp;CHAR(10)&amp;IF(Checks!$I$390="","",Checks!$I$390&amp;": ")&amp;Checks!$J$390</f>
        <v>F12-T12-01
Meal: Meal quality vs menu checklist</v>
      </c>
      <c r="B35" s="114" t="str">
        <f aca="false">Checks!$K$390&amp;IF(Checks!$O$390="","",IF(Checks!$K$390="","",CHAR(10))&amp;"Note: "&amp;Checks!$O$390)</f>
        <v>Note: Preparation check at caterer - does NOT confirm loading.</v>
      </c>
      <c r="C35" s="114" t="str">
        <f aca="false">Checks!$N$390&amp;CHAR(10)&amp;IF(ISNUMBER(Checks!$R$390),TEXT(Checks!$R$390,"DD-MMM-YY HH:MM"),"")&amp;" "&amp;Checks!$P$390</f>
        <v>Required
12-Oct-26 10:25 KUL</v>
      </c>
      <c r="D35" s="114" t="str">
        <f aca="false">IF(Checks!$U$390="","",Checks!$U$390)&amp;IF(Checks!$AB$390="","",CHAR(10)&amp;"CA: "&amp;Checks!$AB$390)</f>
        <v/>
      </c>
      <c r="E35" s="114" t="str">
        <f aca="false">IF(Checks!$V$390="","",Checks!$V$390)&amp;IF(Checks!$AC$390="","",IF(Checks!$V$390="","",CHAR(10))&amp;"N/A just.: "&amp;Checks!$AC$390)&amp;IF(Checks!$W$390="","",CHAR(10)&amp;"Batch: "&amp;Checks!$W$390)&amp;IF(AND(Checks!$X$390="",Checks!$Y$390=""),"",CHAR(10)&amp;"Exp: "&amp;Checks!$X$390&amp;"  /  Act: "&amp;Checks!$Y$390)</f>
        <v/>
      </c>
      <c r="F35" s="114" t="str">
        <f aca="false">IF(Checks!$Z$390="","","Evidence: "&amp;Checks!$Z$390)&amp;IF(Checks!$AA$390="","",IF(Checks!$Z$390="","",CHAR(10))&amp;"CA: "&amp;Checks!$AA$390)</f>
        <v/>
      </c>
      <c r="G35" s="114" t="str">
        <f aca="false">IF(ISNUMBER(Checks!$AD$390),TEXT(Checks!$AD$390,"DD-MMM-YY HH:MM")&amp;" "&amp;Checks!$P$390,"")&amp;IF(Checks!$AE$390="","",CHAR(10)&amp;"Verifier: "&amp;Checks!$AE$390)&amp;IF(Checks!$T$390="","",CHAR(10)&amp;"PIC: "&amp;Checks!$T$390)</f>
        <v/>
      </c>
      <c r="H35" s="115" t="str">
        <f aca="false">IF(Checks!$AH$390="","",Checks!$AH$390)</f>
        <v>OPEN</v>
      </c>
    </row>
    <row r="36" customFormat="false" ht="114" hidden="false" customHeight="true" outlineLevel="0" collapsed="false">
      <c r="A36" s="114" t="str">
        <f aca="false">Checks!$A$391&amp;CHAR(10)&amp;IF(Checks!$I$391="","",Checks!$I$391&amp;": ")&amp;Checks!$J$391</f>
        <v>F12-T12-02
Meal: Meal quantities vs menu checklist</v>
      </c>
      <c r="B36" s="114" t="str">
        <f aca="false">Checks!$K$391&amp;IF(Checks!$O$391="","",IF(Checks!$K$391="","",CHAR(10))&amp;"Note: "&amp;Checks!$O$391)</f>
        <v>Enter expected &amp; actual
Note: Preparation check at caterer - does NOT confirm loading.</v>
      </c>
      <c r="C36" s="114" t="str">
        <f aca="false">Checks!$N$391&amp;CHAR(10)&amp;IF(ISNUMBER(Checks!$R$391),TEXT(Checks!$R$391,"DD-MMM-YY HH:MM"),"")&amp;" "&amp;Checks!$P$391</f>
        <v>Required
12-Oct-26 10:25 KUL</v>
      </c>
      <c r="D36" s="114" t="str">
        <f aca="false">IF(Checks!$U$391="","",Checks!$U$391)&amp;IF(Checks!$AB$391="","",CHAR(10)&amp;"CA: "&amp;Checks!$AB$391)</f>
        <v/>
      </c>
      <c r="E36" s="114" t="str">
        <f aca="false">IF(Checks!$V$391="","",Checks!$V$391)&amp;IF(Checks!$AC$391="","",IF(Checks!$V$391="","",CHAR(10))&amp;"N/A just.: "&amp;Checks!$AC$391)&amp;IF(Checks!$W$391="","",CHAR(10)&amp;"Batch: "&amp;Checks!$W$391)&amp;IF(AND(Checks!$X$391="",Checks!$Y$391=""),"",CHAR(10)&amp;"Exp: "&amp;Checks!$X$391&amp;"  /  Act: "&amp;Checks!$Y$391)</f>
        <v/>
      </c>
      <c r="F36" s="114" t="str">
        <f aca="false">IF(Checks!$Z$391="","","Evidence: "&amp;Checks!$Z$391)&amp;IF(Checks!$AA$391="","",IF(Checks!$Z$391="","",CHAR(10))&amp;"CA: "&amp;Checks!$AA$391)</f>
        <v/>
      </c>
      <c r="G36" s="114" t="str">
        <f aca="false">IF(ISNUMBER(Checks!$AD$391),TEXT(Checks!$AD$391,"DD-MMM-YY HH:MM")&amp;" "&amp;Checks!$P$391,"")&amp;IF(Checks!$AE$391="","",CHAR(10)&amp;"Verifier: "&amp;Checks!$AE$391)&amp;IF(Checks!$T$391="","",CHAR(10)&amp;"PIC: "&amp;Checks!$T$391)</f>
        <v/>
      </c>
      <c r="H36" s="115" t="str">
        <f aca="false">IF(Checks!$AH$391="","",Checks!$AH$391)</f>
        <v>OPEN</v>
      </c>
    </row>
    <row r="37" customFormat="false" ht="114" hidden="false" customHeight="true" outlineLevel="0" collapsed="false">
      <c r="A37" s="114" t="str">
        <f aca="false">Checks!$A$392&amp;CHAR(10)&amp;IF(Checks!$I$392="","",Checks!$I$392&amp;": ")&amp;Checks!$J$392</f>
        <v>F12-T12-03
Equipment: Equipment cleanliness vs GLD</v>
      </c>
      <c r="B37" s="114" t="str">
        <f aca="false">Checks!$K$392&amp;IF(Checks!$O$392="","",IF(Checks!$K$392="","",CHAR(10))&amp;"Note: "&amp;Checks!$O$392)</f>
        <v>Note: Preparation check at caterer - does NOT confirm loading.</v>
      </c>
      <c r="C37" s="114" t="str">
        <f aca="false">Checks!$N$392&amp;CHAR(10)&amp;IF(ISNUMBER(Checks!$R$392),TEXT(Checks!$R$392,"DD-MMM-YY HH:MM"),"")&amp;" "&amp;Checks!$P$392</f>
        <v>Required
12-Oct-26 10:25 KUL</v>
      </c>
      <c r="D37" s="114" t="str">
        <f aca="false">IF(Checks!$U$392="","",Checks!$U$392)&amp;IF(Checks!$AB$392="","",CHAR(10)&amp;"CA: "&amp;Checks!$AB$392)</f>
        <v/>
      </c>
      <c r="E37" s="114" t="str">
        <f aca="false">IF(Checks!$V$392="","",Checks!$V$392)&amp;IF(Checks!$AC$392="","",IF(Checks!$V$392="","",CHAR(10))&amp;"N/A just.: "&amp;Checks!$AC$392)&amp;IF(Checks!$W$392="","",CHAR(10)&amp;"Batch: "&amp;Checks!$W$392)&amp;IF(AND(Checks!$X$392="",Checks!$Y$392=""),"",CHAR(10)&amp;"Exp: "&amp;Checks!$X$392&amp;"  /  Act: "&amp;Checks!$Y$392)</f>
        <v/>
      </c>
      <c r="F37" s="114" t="str">
        <f aca="false">IF(Checks!$Z$392="","","Evidence: "&amp;Checks!$Z$392)&amp;IF(Checks!$AA$392="","",IF(Checks!$Z$392="","",CHAR(10))&amp;"CA: "&amp;Checks!$AA$392)</f>
        <v/>
      </c>
      <c r="G37" s="114" t="str">
        <f aca="false">IF(ISNUMBER(Checks!$AD$392),TEXT(Checks!$AD$392,"DD-MMM-YY HH:MM")&amp;" "&amp;Checks!$P$392,"")&amp;IF(Checks!$AE$392="","",CHAR(10)&amp;"Verifier: "&amp;Checks!$AE$392)&amp;IF(Checks!$T$392="","",CHAR(10)&amp;"PIC: "&amp;Checks!$T$392)</f>
        <v/>
      </c>
      <c r="H37" s="115" t="str">
        <f aca="false">IF(Checks!$AH$392="","",Checks!$AH$392)</f>
        <v>OPEN</v>
      </c>
    </row>
    <row r="38" customFormat="false" ht="114" hidden="false" customHeight="true" outlineLevel="0" collapsed="false">
      <c r="A38" s="114" t="str">
        <f aca="false">Checks!$A$393&amp;CHAR(10)&amp;IF(Checks!$I$393="","",Checks!$I$393&amp;": ")&amp;Checks!$J$393</f>
        <v>F12-T12-04
Equipment: Equipment presentation vs GLD</v>
      </c>
      <c r="B38" s="114" t="str">
        <f aca="false">Checks!$K$393&amp;IF(Checks!$O$393="","",IF(Checks!$K$393="","",CHAR(10))&amp;"Note: "&amp;Checks!$O$393)</f>
        <v>Note: Preparation check at caterer - does NOT confirm loading.</v>
      </c>
      <c r="C38" s="114" t="str">
        <f aca="false">Checks!$N$393&amp;CHAR(10)&amp;IF(ISNUMBER(Checks!$R$393),TEXT(Checks!$R$393,"DD-MMM-YY HH:MM"),"")&amp;" "&amp;Checks!$P$393</f>
        <v>Required
12-Oct-26 10:25 KUL</v>
      </c>
      <c r="D38" s="114" t="str">
        <f aca="false">IF(Checks!$U$393="","",Checks!$U$393)&amp;IF(Checks!$AB$393="","",CHAR(10)&amp;"CA: "&amp;Checks!$AB$393)</f>
        <v/>
      </c>
      <c r="E38" s="114" t="str">
        <f aca="false">IF(Checks!$V$393="","",Checks!$V$393)&amp;IF(Checks!$AC$393="","",IF(Checks!$V$393="","",CHAR(10))&amp;"N/A just.: "&amp;Checks!$AC$393)&amp;IF(Checks!$W$393="","",CHAR(10)&amp;"Batch: "&amp;Checks!$W$393)&amp;IF(AND(Checks!$X$393="",Checks!$Y$393=""),"",CHAR(10)&amp;"Exp: "&amp;Checks!$X$393&amp;"  /  Act: "&amp;Checks!$Y$393)</f>
        <v/>
      </c>
      <c r="F38" s="114" t="str">
        <f aca="false">IF(Checks!$Z$393="","","Evidence: "&amp;Checks!$Z$393)&amp;IF(Checks!$AA$393="","",IF(Checks!$Z$393="","",CHAR(10))&amp;"CA: "&amp;Checks!$AA$393)</f>
        <v/>
      </c>
      <c r="G38" s="114" t="str">
        <f aca="false">IF(ISNUMBER(Checks!$AD$393),TEXT(Checks!$AD$393,"DD-MMM-YY HH:MM")&amp;" "&amp;Checks!$P$393,"")&amp;IF(Checks!$AE$393="","",CHAR(10)&amp;"Verifier: "&amp;Checks!$AE$393)&amp;IF(Checks!$T$393="","",CHAR(10)&amp;"PIC: "&amp;Checks!$T$393)</f>
        <v/>
      </c>
      <c r="H38" s="115" t="str">
        <f aca="false">IF(Checks!$AH$393="","",Checks!$AH$393)</f>
        <v>OPEN</v>
      </c>
    </row>
    <row r="39" customFormat="false" ht="114" hidden="false" customHeight="true" outlineLevel="0" collapsed="false">
      <c r="A39" s="114" t="str">
        <f aca="false">Checks!$A$394&amp;CHAR(10)&amp;IF(Checks!$I$394="","",Checks!$I$394&amp;": ")&amp;Checks!$J$394</f>
        <v>F12-T12-05
Equipment: Equipment serviceability vs GLD</v>
      </c>
      <c r="B39" s="114" t="str">
        <f aca="false">Checks!$K$394&amp;IF(Checks!$O$394="","",IF(Checks!$K$394="","",CHAR(10))&amp;"Note: "&amp;Checks!$O$394)</f>
        <v>Note: Preparation check at caterer - does NOT confirm loading.</v>
      </c>
      <c r="C39" s="114" t="str">
        <f aca="false">Checks!$N$394&amp;CHAR(10)&amp;IF(ISNUMBER(Checks!$R$394),TEXT(Checks!$R$394,"DD-MMM-YY HH:MM"),"")&amp;" "&amp;Checks!$P$394</f>
        <v>Required
12-Oct-26 10:25 KUL</v>
      </c>
      <c r="D39" s="114" t="str">
        <f aca="false">IF(Checks!$U$394="","",Checks!$U$394)&amp;IF(Checks!$AB$394="","",CHAR(10)&amp;"CA: "&amp;Checks!$AB$394)</f>
        <v/>
      </c>
      <c r="E39" s="114" t="str">
        <f aca="false">IF(Checks!$V$394="","",Checks!$V$394)&amp;IF(Checks!$AC$394="","",IF(Checks!$V$394="","",CHAR(10))&amp;"N/A just.: "&amp;Checks!$AC$394)&amp;IF(Checks!$W$394="","",CHAR(10)&amp;"Batch: "&amp;Checks!$W$394)&amp;IF(AND(Checks!$X$394="",Checks!$Y$394=""),"",CHAR(10)&amp;"Exp: "&amp;Checks!$X$394&amp;"  /  Act: "&amp;Checks!$Y$394)</f>
        <v/>
      </c>
      <c r="F39" s="114" t="str">
        <f aca="false">IF(Checks!$Z$394="","","Evidence: "&amp;Checks!$Z$394)&amp;IF(Checks!$AA$394="","",IF(Checks!$Z$394="","",CHAR(10))&amp;"CA: "&amp;Checks!$AA$394)</f>
        <v/>
      </c>
      <c r="G39" s="114" t="str">
        <f aca="false">IF(ISNUMBER(Checks!$AD$394),TEXT(Checks!$AD$394,"DD-MMM-YY HH:MM")&amp;" "&amp;Checks!$P$394,"")&amp;IF(Checks!$AE$394="","",CHAR(10)&amp;"Verifier: "&amp;Checks!$AE$394)&amp;IF(Checks!$T$394="","",CHAR(10)&amp;"PIC: "&amp;Checks!$T$394)</f>
        <v/>
      </c>
      <c r="H39" s="115" t="str">
        <f aca="false">IF(Checks!$AH$394="","",Checks!$AH$394)</f>
        <v>OPEN</v>
      </c>
    </row>
    <row r="40" customFormat="false" ht="201.75" hidden="false" customHeight="true" outlineLevel="0" collapsed="false">
      <c r="A40" s="114" t="str">
        <f aca="false">Checks!$A$395&amp;CHAR(10)&amp;IF(Checks!$I$395="","",Checks!$I$395&amp;": ")&amp;Checks!$J$395</f>
        <v>F12-T12-06
Equipment: Equipment quantities vs GLD</v>
      </c>
      <c r="B40" s="114" t="str">
        <f aca="false">SUBSTITUTE(Checks!$K$395&amp;IF(Checks!$O$395="","",IF(Checks!$K$395="","",CHAR(10))&amp;"Note: "&amp;Checks!$O$395),"AIRCRAFT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0" s="114" t="str">
        <f aca="false">Checks!$N$395&amp;CHAR(10)&amp;IF(ISNUMBER(Checks!$R$395),TEXT(Checks!$R$395,"DD-MMM-YY HH:MM"),"")&amp;" "&amp;Checks!$P$395</f>
        <v>Required
12-Oct-26 10:25 KUL</v>
      </c>
      <c r="D40" s="114" t="str">
        <f aca="false">IF(Checks!$U$395="","",Checks!$U$395)&amp;IF(Checks!$AB$395="","",CHAR(10)&amp;"CA: "&amp;Checks!$AB$395)</f>
        <v/>
      </c>
      <c r="E40" s="114" t="str">
        <f aca="false">IF(Checks!$V$395="","",Checks!$V$395)&amp;IF(Checks!$AC$395="","",IF(Checks!$V$395="","",CHAR(10))&amp;"N/A just.: "&amp;Checks!$AC$395)&amp;IF(Checks!$W$395="","",CHAR(10)&amp;"Batch: "&amp;Checks!$W$395)&amp;IF(AND(Checks!$X$395="",Checks!$Y$395=""),"",CHAR(10)&amp;"Exp: "&amp;Checks!$X$395&amp;"  /  Act: "&amp;Checks!$Y$395)</f>
        <v/>
      </c>
      <c r="F40" s="114" t="str">
        <f aca="false">IF(Checks!$Z$395="","","Evidence: "&amp;Checks!$Z$395)&amp;IF(Checks!$AA$395="","",IF(Checks!$Z$395="","",CHAR(10))&amp;"CA: "&amp;Checks!$AA$395)</f>
        <v/>
      </c>
      <c r="G40" s="114" t="str">
        <f aca="false">IF(ISNUMBER(Checks!$AD$395),TEXT(Checks!$AD$395,"DD-MMM-YY HH:MM")&amp;" "&amp;Checks!$P$395,"")&amp;IF(Checks!$AE$395="","",CHAR(10)&amp;"Verifier: "&amp;Checks!$AE$395)&amp;IF(Checks!$T$395="","",CHAR(10)&amp;"PIC: "&amp;Checks!$T$395)</f>
        <v/>
      </c>
      <c r="H40" s="115" t="str">
        <f aca="false">IF(Checks!$AH$395="","",Checks!$AH$395)</f>
        <v>OPEN</v>
      </c>
    </row>
    <row r="41" customFormat="false" ht="114" hidden="false" customHeight="true" outlineLevel="0" collapsed="false">
      <c r="A41" s="114" t="str">
        <f aca="false">Checks!$A$396&amp;CHAR(10)&amp;IF(Checks!$I$396="","",Checks!$I$396&amp;": ")&amp;Checks!$J$396</f>
        <v>F12-T12-07
Equipment: Loading positions planned vs GLD</v>
      </c>
      <c r="B41" s="114" t="str">
        <f aca="false">Checks!$K$396&amp;IF(Checks!$O$396="","",IF(Checks!$K$396="","",CHAR(10))&amp;"Note: "&amp;Checks!$O$396)</f>
        <v>Note: Preparation check at caterer - does NOT confirm loading.</v>
      </c>
      <c r="C41" s="114" t="str">
        <f aca="false">Checks!$N$396&amp;CHAR(10)&amp;IF(ISNUMBER(Checks!$R$396),TEXT(Checks!$R$396,"DD-MMM-YY HH:MM"),"")&amp;" "&amp;Checks!$P$396</f>
        <v>Required
12-Oct-26 10:25 KUL</v>
      </c>
      <c r="D41" s="114" t="str">
        <f aca="false">IF(Checks!$U$396="","",Checks!$U$396)&amp;IF(Checks!$AB$396="","",CHAR(10)&amp;"CA: "&amp;Checks!$AB$396)</f>
        <v/>
      </c>
      <c r="E41" s="114" t="str">
        <f aca="false">IF(Checks!$V$396="","",Checks!$V$396)&amp;IF(Checks!$AC$396="","",IF(Checks!$V$396="","",CHAR(10))&amp;"N/A just.: "&amp;Checks!$AC$396)&amp;IF(Checks!$W$396="","",CHAR(10)&amp;"Batch: "&amp;Checks!$W$396)&amp;IF(AND(Checks!$X$396="",Checks!$Y$396=""),"",CHAR(10)&amp;"Exp: "&amp;Checks!$X$396&amp;"  /  Act: "&amp;Checks!$Y$396)</f>
        <v/>
      </c>
      <c r="F41" s="114" t="str">
        <f aca="false">IF(Checks!$Z$396="","","Evidence: "&amp;Checks!$Z$396)&amp;IF(Checks!$AA$396="","",IF(Checks!$Z$396="","",CHAR(10))&amp;"CA: "&amp;Checks!$AA$396)</f>
        <v/>
      </c>
      <c r="G41" s="114" t="str">
        <f aca="false">IF(ISNUMBER(Checks!$AD$396),TEXT(Checks!$AD$396,"DD-MMM-YY HH:MM")&amp;" "&amp;Checks!$P$396,"")&amp;IF(Checks!$AE$396="","",CHAR(10)&amp;"Verifier: "&amp;Checks!$AE$396)&amp;IF(Checks!$T$396="","",CHAR(10)&amp;"PIC: "&amp;Checks!$T$396)</f>
        <v/>
      </c>
      <c r="H41" s="115" t="str">
        <f aca="false">IF(Checks!$AH$396="","",Checks!$AH$396)</f>
        <v>OPEN</v>
      </c>
    </row>
    <row r="42" customFormat="false" ht="114" hidden="false" customHeight="true" outlineLevel="0" collapsed="false">
      <c r="A42" s="114" t="str">
        <f aca="false">Checks!$A$397&amp;CHAR(10)&amp;IF(Checks!$I$397="","",Checks!$I$397&amp;": ")&amp;Checks!$J$397</f>
        <v>F12-T12-08
Amenities: Toiletry kits - prepared</v>
      </c>
      <c r="B42" s="114" t="str">
        <f aca="false">Checks!$K$397&amp;IF(Checks!$O$397="","",IF(Checks!$K$397="","",CHAR(10))&amp;"Note: "&amp;Checks!$O$397)</f>
        <v>Available (ticked in reference)</v>
      </c>
      <c r="C42" s="114" t="str">
        <f aca="false">Checks!$N$397&amp;CHAR(10)&amp;IF(ISNUMBER(Checks!$R$397),TEXT(Checks!$R$397,"DD-MMM-YY HH:MM"),"")&amp;" "&amp;Checks!$P$397</f>
        <v>Required
12-Oct-26 10:25 KUL</v>
      </c>
      <c r="D42" s="114" t="str">
        <f aca="false">IF(Checks!$U$397="","",Checks!$U$397)&amp;IF(Checks!$AB$397="","",CHAR(10)&amp;"CA: "&amp;Checks!$AB$397)</f>
        <v/>
      </c>
      <c r="E42" s="114" t="str">
        <f aca="false">IF(Checks!$V$397="","",Checks!$V$397)&amp;IF(Checks!$AC$397="","",IF(Checks!$V$397="","",CHAR(10))&amp;"N/A just.: "&amp;Checks!$AC$397)&amp;IF(Checks!$W$397="","",CHAR(10)&amp;"Batch: "&amp;Checks!$W$397)&amp;IF(AND(Checks!$X$397="",Checks!$Y$397=""),"",CHAR(10)&amp;"Exp: "&amp;Checks!$X$397&amp;"  /  Act: "&amp;Checks!$Y$397)</f>
        <v/>
      </c>
      <c r="F42" s="114" t="str">
        <f aca="false">IF(Checks!$Z$397="","","Evidence: "&amp;Checks!$Z$397)&amp;IF(Checks!$AA$397="","",IF(Checks!$Z$397="","",CHAR(10))&amp;"CA: "&amp;Checks!$AA$397)</f>
        <v/>
      </c>
      <c r="G42" s="114" t="str">
        <f aca="false">IF(ISNUMBER(Checks!$AD$397),TEXT(Checks!$AD$397,"DD-MMM-YY HH:MM")&amp;" "&amp;Checks!$P$397,"")&amp;IF(Checks!$AE$397="","",CHAR(10)&amp;"Verifier: "&amp;Checks!$AE$397)&amp;IF(Checks!$T$397="","",CHAR(10)&amp;"PIC: "&amp;Checks!$T$397)</f>
        <v/>
      </c>
      <c r="H42" s="115" t="str">
        <f aca="false">IF(Checks!$AH$397="","",Checks!$AH$397)</f>
        <v>OPEN</v>
      </c>
    </row>
    <row r="43" customFormat="false" ht="114" hidden="false" customHeight="true" outlineLevel="0" collapsed="false">
      <c r="A43" s="114" t="str">
        <f aca="false">Checks!$A$398&amp;CHAR(10)&amp;IF(Checks!$I$398="","",Checks!$I$398&amp;": ")&amp;Checks!$J$398</f>
        <v>F12-T12-09
Amenities: Slippers (BS/BC) - prepared</v>
      </c>
      <c r="B43" s="114" t="str">
        <f aca="false">Checks!$K$398&amp;IF(Checks!$O$398="","",IF(Checks!$K$398="","",CHAR(10))&amp;"Note: "&amp;Checks!$O$398)</f>
        <v>Available (ticked in reference)</v>
      </c>
      <c r="C43" s="114" t="str">
        <f aca="false">Checks!$N$398&amp;CHAR(10)&amp;IF(ISNUMBER(Checks!$R$398),TEXT(Checks!$R$398,"DD-MMM-YY HH:MM"),"")&amp;" "&amp;Checks!$P$398</f>
        <v>Required
12-Oct-26 10:25 KUL</v>
      </c>
      <c r="D43" s="114" t="str">
        <f aca="false">IF(Checks!$U$398="","",Checks!$U$398)&amp;IF(Checks!$AB$398="","",CHAR(10)&amp;"CA: "&amp;Checks!$AB$398)</f>
        <v/>
      </c>
      <c r="E43" s="114" t="str">
        <f aca="false">IF(Checks!$V$398="","",Checks!$V$398)&amp;IF(Checks!$AC$398="","",IF(Checks!$V$398="","",CHAR(10))&amp;"N/A just.: "&amp;Checks!$AC$398)&amp;IF(Checks!$W$398="","",CHAR(10)&amp;"Batch: "&amp;Checks!$W$398)&amp;IF(AND(Checks!$X$398="",Checks!$Y$398=""),"",CHAR(10)&amp;"Exp: "&amp;Checks!$X$398&amp;"  /  Act: "&amp;Checks!$Y$398)</f>
        <v/>
      </c>
      <c r="F43" s="114" t="str">
        <f aca="false">IF(Checks!$Z$398="","","Evidence: "&amp;Checks!$Z$398)&amp;IF(Checks!$AA$398="","",IF(Checks!$Z$398="","",CHAR(10))&amp;"CA: "&amp;Checks!$AA$398)</f>
        <v/>
      </c>
      <c r="G43" s="114" t="str">
        <f aca="false">IF(ISNUMBER(Checks!$AD$398),TEXT(Checks!$AD$398,"DD-MMM-YY HH:MM")&amp;" "&amp;Checks!$P$398,"")&amp;IF(Checks!$AE$398="","",CHAR(10)&amp;"Verifier: "&amp;Checks!$AE$398)&amp;IF(Checks!$T$398="","",CHAR(10)&amp;"PIC: "&amp;Checks!$T$398)</f>
        <v/>
      </c>
      <c r="H43" s="115" t="str">
        <f aca="false">IF(Checks!$AH$398="","",Checks!$AH$398)</f>
        <v>OPEN</v>
      </c>
    </row>
    <row r="44" customFormat="false" ht="114" hidden="false" customHeight="true" outlineLevel="0" collapsed="false">
      <c r="A44" s="114" t="str">
        <f aca="false">Checks!$A$399&amp;CHAR(10)&amp;IF(Checks!$I$399="","",Checks!$I$399&amp;": ")&amp;Checks!$J$399</f>
        <v>F12-T12-10
F&amp;B Linen: Towel - prepared</v>
      </c>
      <c r="B44" s="114" t="str">
        <f aca="false">Checks!$K$399&amp;IF(Checks!$O$399="","",IF(Checks!$K$399="","",CHAR(10))&amp;"Note: "&amp;Checks!$O$399)</f>
        <v>Available (ticked in reference)
Note: Reference gives no uplift stn for this item: preparation checked at the meal uplift stn (KUL) - confirm with caterer.</v>
      </c>
      <c r="C44" s="114" t="str">
        <f aca="false">Checks!$N$399&amp;CHAR(10)&amp;IF(ISNUMBER(Checks!$R$399),TEXT(Checks!$R$399,"DD-MMM-YY HH:MM"),"")&amp;" "&amp;Checks!$P$399</f>
        <v>Required
12-Oct-26 10:25 KUL</v>
      </c>
      <c r="D44" s="114" t="str">
        <f aca="false">IF(Checks!$U$399="","",Checks!$U$399)&amp;IF(Checks!$AB$399="","",CHAR(10)&amp;"CA: "&amp;Checks!$AB$399)</f>
        <v/>
      </c>
      <c r="E44" s="114" t="str">
        <f aca="false">IF(Checks!$V$399="","",Checks!$V$399)&amp;IF(Checks!$AC$399="","",IF(Checks!$V$399="","",CHAR(10))&amp;"N/A just.: "&amp;Checks!$AC$399)&amp;IF(Checks!$W$399="","",CHAR(10)&amp;"Batch: "&amp;Checks!$W$399)&amp;IF(AND(Checks!$X$399="",Checks!$Y$399=""),"",CHAR(10)&amp;"Exp: "&amp;Checks!$X$399&amp;"  /  Act: "&amp;Checks!$Y$399)</f>
        <v/>
      </c>
      <c r="F44" s="114" t="str">
        <f aca="false">IF(Checks!$Z$399="","","Evidence: "&amp;Checks!$Z$399)&amp;IF(Checks!$AA$399="","",IF(Checks!$Z$399="","",CHAR(10))&amp;"CA: "&amp;Checks!$AA$399)</f>
        <v/>
      </c>
      <c r="G44" s="114" t="str">
        <f aca="false">IF(ISNUMBER(Checks!$AD$399),TEXT(Checks!$AD$399,"DD-MMM-YY HH:MM")&amp;" "&amp;Checks!$P$399,"")&amp;IF(Checks!$AE$399="","",CHAR(10)&amp;"Verifier: "&amp;Checks!$AE$399)&amp;IF(Checks!$T$399="","",CHAR(10)&amp;"PIC: "&amp;Checks!$T$399)</f>
        <v/>
      </c>
      <c r="H44" s="115" t="str">
        <f aca="false">IF(Checks!$AH$399="","",Checks!$AH$399)</f>
        <v>OPEN</v>
      </c>
    </row>
    <row r="45" customFormat="false" ht="114" hidden="false" customHeight="true" outlineLevel="0" collapsed="false">
      <c r="A45" s="114" t="str">
        <f aca="false">Checks!$A$400&amp;CHAR(10)&amp;IF(Checks!$I$400="","",Checks!$I$400&amp;": ")&amp;Checks!$J$400</f>
        <v>F12-T12-11
F&amp;B Linen: Tray cloth - prepared</v>
      </c>
      <c r="B45" s="114" t="str">
        <f aca="false">Checks!$K$400&amp;IF(Checks!$O$400="","",IF(Checks!$K$400="","",CHAR(10))&amp;"Note: "&amp;Checks!$O$400)</f>
        <v>Available (ticked in reference)
Note: Reference gives no uplift stn for this item: preparation checked at the meal uplift stn (KUL) - confirm with caterer.</v>
      </c>
      <c r="C45" s="114" t="str">
        <f aca="false">Checks!$N$400&amp;CHAR(10)&amp;IF(ISNUMBER(Checks!$R$400),TEXT(Checks!$R$400,"DD-MMM-YY HH:MM"),"")&amp;" "&amp;Checks!$P$400</f>
        <v>Required
12-Oct-26 10:25 KUL</v>
      </c>
      <c r="D45" s="114" t="str">
        <f aca="false">IF(Checks!$U$400="","",Checks!$U$400)&amp;IF(Checks!$AB$400="","",CHAR(10)&amp;"CA: "&amp;Checks!$AB$400)</f>
        <v/>
      </c>
      <c r="E45" s="114" t="str">
        <f aca="false">IF(Checks!$V$400="","",Checks!$V$400)&amp;IF(Checks!$AC$400="","",IF(Checks!$V$400="","",CHAR(10))&amp;"N/A just.: "&amp;Checks!$AC$400)&amp;IF(Checks!$W$400="","",CHAR(10)&amp;"Batch: "&amp;Checks!$W$400)&amp;IF(AND(Checks!$X$400="",Checks!$Y$400=""),"",CHAR(10)&amp;"Exp: "&amp;Checks!$X$400&amp;"  /  Act: "&amp;Checks!$Y$400)</f>
        <v/>
      </c>
      <c r="F45" s="114" t="str">
        <f aca="false">IF(Checks!$Z$400="","","Evidence: "&amp;Checks!$Z$400)&amp;IF(Checks!$AA$400="","",IF(Checks!$Z$400="","",CHAR(10))&amp;"CA: "&amp;Checks!$AA$400)</f>
        <v/>
      </c>
      <c r="G45" s="114" t="str">
        <f aca="false">IF(ISNUMBER(Checks!$AD$400),TEXT(Checks!$AD$400,"DD-MMM-YY HH:MM")&amp;" "&amp;Checks!$P$400,"")&amp;IF(Checks!$AE$400="","",CHAR(10)&amp;"Verifier: "&amp;Checks!$AE$400)&amp;IF(Checks!$T$400="","",CHAR(10)&amp;"PIC: "&amp;Checks!$T$400)</f>
        <v/>
      </c>
      <c r="H45" s="115" t="str">
        <f aca="false">IF(Checks!$AH$400="","",Checks!$AH$400)</f>
        <v>OPEN</v>
      </c>
    </row>
    <row r="46" customFormat="false" ht="114" hidden="false" customHeight="true" outlineLevel="0" collapsed="false">
      <c r="A46" s="114" t="str">
        <f aca="false">Checks!$A$401&amp;CHAR(10)&amp;IF(Checks!$I$401="","",Checks!$I$401&amp;": ")&amp;Checks!$J$401</f>
        <v>F12-T12-12
F&amp;B Linen: Napkin - prepared</v>
      </c>
      <c r="B46" s="114" t="str">
        <f aca="false">Checks!$K$401&amp;IF(Checks!$O$401="","",IF(Checks!$K$401="","",CHAR(10))&amp;"Note: "&amp;Checks!$O$401)</f>
        <v>Available (ticked in reference)
Note: Reference gives no uplift stn for this item: preparation checked at the meal uplift stn (KUL) - confirm with caterer.</v>
      </c>
      <c r="C46" s="114" t="str">
        <f aca="false">Checks!$N$401&amp;CHAR(10)&amp;IF(ISNUMBER(Checks!$R$401),TEXT(Checks!$R$401,"DD-MMM-YY HH:MM"),"")&amp;" "&amp;Checks!$P$401</f>
        <v>Required
12-Oct-26 10:25 KUL</v>
      </c>
      <c r="D46" s="114" t="str">
        <f aca="false">IF(Checks!$U$401="","",Checks!$U$401)&amp;IF(Checks!$AB$401="","",CHAR(10)&amp;"CA: "&amp;Checks!$AB$401)</f>
        <v/>
      </c>
      <c r="E46" s="114" t="str">
        <f aca="false">IF(Checks!$V$401="","",Checks!$V$401)&amp;IF(Checks!$AC$401="","",IF(Checks!$V$401="","",CHAR(10))&amp;"N/A just.: "&amp;Checks!$AC$401)&amp;IF(Checks!$W$401="","",CHAR(10)&amp;"Batch: "&amp;Checks!$W$401)&amp;IF(AND(Checks!$X$401="",Checks!$Y$401=""),"",CHAR(10)&amp;"Exp: "&amp;Checks!$X$401&amp;"  /  Act: "&amp;Checks!$Y$401)</f>
        <v/>
      </c>
      <c r="F46" s="114" t="str">
        <f aca="false">IF(Checks!$Z$401="","","Evidence: "&amp;Checks!$Z$401)&amp;IF(Checks!$AA$401="","",IF(Checks!$Z$401="","",CHAR(10))&amp;"CA: "&amp;Checks!$AA$401)</f>
        <v/>
      </c>
      <c r="G46" s="114" t="str">
        <f aca="false">IF(ISNUMBER(Checks!$AD$401),TEXT(Checks!$AD$401,"DD-MMM-YY HH:MM")&amp;" "&amp;Checks!$P$401,"")&amp;IF(Checks!$AE$401="","",CHAR(10)&amp;"Verifier: "&amp;Checks!$AE$401)&amp;IF(Checks!$T$401="","",CHAR(10)&amp;"PIC: "&amp;Checks!$T$401)</f>
        <v/>
      </c>
      <c r="H46" s="115" t="str">
        <f aca="false">IF(Checks!$AH$401="","",Checks!$AH$401)</f>
        <v>OPEN</v>
      </c>
    </row>
    <row r="47" customFormat="false" ht="114" hidden="false" customHeight="true" outlineLevel="0" collapsed="false">
      <c r="A47" s="114" t="str">
        <f aca="false">Checks!$A$402&amp;CHAR(10)&amp;IF(Checks!$I$402="","",Checks!$I$402&amp;": ")&amp;Checks!$J$402</f>
        <v>F12-T12-13
F&amp;B Linen: Table cloth - prepared</v>
      </c>
      <c r="B47" s="114" t="str">
        <f aca="false">Checks!$K$402&amp;IF(Checks!$O$402="","",IF(Checks!$K$402="","",CHAR(10))&amp;"Note: "&amp;Checks!$O$402)</f>
        <v>Available (ticked in reference)
Note: Reference gives no uplift stn for this item: preparation checked at the meal uplift stn (KUL) - confirm with caterer.</v>
      </c>
      <c r="C47" s="114" t="str">
        <f aca="false">Checks!$N$402&amp;CHAR(10)&amp;IF(ISNUMBER(Checks!$R$402),TEXT(Checks!$R$402,"DD-MMM-YY HH:MM"),"")&amp;" "&amp;Checks!$P$402</f>
        <v>Required
12-Oct-26 10:25 KUL</v>
      </c>
      <c r="D47" s="114" t="str">
        <f aca="false">IF(Checks!$U$402="","",Checks!$U$402)&amp;IF(Checks!$AB$402="","",CHAR(10)&amp;"CA: "&amp;Checks!$AB$402)</f>
        <v/>
      </c>
      <c r="E47" s="114" t="str">
        <f aca="false">IF(Checks!$V$402="","",Checks!$V$402)&amp;IF(Checks!$AC$402="","",IF(Checks!$V$402="","",CHAR(10))&amp;"N/A just.: "&amp;Checks!$AC$402)&amp;IF(Checks!$W$402="","",CHAR(10)&amp;"Batch: "&amp;Checks!$W$402)&amp;IF(AND(Checks!$X$402="",Checks!$Y$402=""),"",CHAR(10)&amp;"Exp: "&amp;Checks!$X$402&amp;"  /  Act: "&amp;Checks!$Y$402)</f>
        <v/>
      </c>
      <c r="F47" s="114" t="str">
        <f aca="false">IF(Checks!$Z$402="","","Evidence: "&amp;Checks!$Z$402)&amp;IF(Checks!$AA$402="","",IF(Checks!$Z$402="","",CHAR(10))&amp;"CA: "&amp;Checks!$AA$402)</f>
        <v/>
      </c>
      <c r="G47" s="114" t="str">
        <f aca="false">IF(ISNUMBER(Checks!$AD$402),TEXT(Checks!$AD$402,"DD-MMM-YY HH:MM")&amp;" "&amp;Checks!$P$402,"")&amp;IF(Checks!$AE$402="","",CHAR(10)&amp;"Verifier: "&amp;Checks!$AE$402)&amp;IF(Checks!$T$402="","",CHAR(10)&amp;"PIC: "&amp;Checks!$T$402)</f>
        <v/>
      </c>
      <c r="H47" s="115" t="str">
        <f aca="false">IF(Checks!$AH$402="","",Checks!$AH$402)</f>
        <v>OPEN</v>
      </c>
    </row>
    <row r="48" customFormat="false" ht="114" hidden="false" customHeight="true" outlineLevel="0" collapsed="false">
      <c r="A48" s="114" t="str">
        <f aca="false">Checks!$A$403&amp;CHAR(10)&amp;IF(Checks!$I$403="","",Checks!$I$403&amp;": ")&amp;Checks!$J$403</f>
        <v>F12-T12-14
F&amp;B Linen: Bread linen (using table cloth) - prepared</v>
      </c>
      <c r="B48" s="114" t="str">
        <f aca="false">Checks!$K$403&amp;IF(Checks!$O$403="","",IF(Checks!$K$403="","",CHAR(10))&amp;"Note: "&amp;Checks!$O$403)</f>
        <v>Available (ticked in reference)
Note: Reference gives no uplift stn for this item: preparation checked at the meal uplift stn (KUL) - confirm with caterer.</v>
      </c>
      <c r="C48" s="114" t="str">
        <f aca="false">Checks!$N$403&amp;CHAR(10)&amp;IF(ISNUMBER(Checks!$R$403),TEXT(Checks!$R$403,"DD-MMM-YY HH:MM"),"")&amp;" "&amp;Checks!$P$403</f>
        <v>Required
12-Oct-26 10:25 KUL</v>
      </c>
      <c r="D48" s="114" t="str">
        <f aca="false">IF(Checks!$U$403="","",Checks!$U$403)&amp;IF(Checks!$AB$403="","",CHAR(10)&amp;"CA: "&amp;Checks!$AB$403)</f>
        <v/>
      </c>
      <c r="E48" s="114" t="str">
        <f aca="false">IF(Checks!$V$403="","",Checks!$V$403)&amp;IF(Checks!$AC$403="","",IF(Checks!$V$403="","",CHAR(10))&amp;"N/A just.: "&amp;Checks!$AC$403)&amp;IF(Checks!$W$403="","",CHAR(10)&amp;"Batch: "&amp;Checks!$W$403)&amp;IF(AND(Checks!$X$403="",Checks!$Y$403=""),"",CHAR(10)&amp;"Exp: "&amp;Checks!$X$403&amp;"  /  Act: "&amp;Checks!$Y$403)</f>
        <v/>
      </c>
      <c r="F48" s="114" t="str">
        <f aca="false">IF(Checks!$Z$403="","","Evidence: "&amp;Checks!$Z$403)&amp;IF(Checks!$AA$403="","",IF(Checks!$Z$403="","",CHAR(10))&amp;"CA: "&amp;Checks!$AA$403)</f>
        <v/>
      </c>
      <c r="G48" s="114" t="str">
        <f aca="false">IF(ISNUMBER(Checks!$AD$403),TEXT(Checks!$AD$403,"DD-MMM-YY HH:MM")&amp;" "&amp;Checks!$P$403,"")&amp;IF(Checks!$AE$403="","",CHAR(10)&amp;"Verifier: "&amp;Checks!$AE$403)&amp;IF(Checks!$T$403="","",CHAR(10)&amp;"PIC: "&amp;Checks!$T$403)</f>
        <v/>
      </c>
      <c r="H48" s="115" t="str">
        <f aca="false">IF(Checks!$AH$403="","",Checks!$AH$403)</f>
        <v>OPEN</v>
      </c>
    </row>
    <row r="49" customFormat="false" ht="124.5" hidden="false" customHeight="true" outlineLevel="0" collapsed="false">
      <c r="A49" s="114" t="str">
        <f aca="false">Checks!$A$404&amp;CHAR(10)&amp;IF(Checks!$I$404="","",Checks!$I$404&amp;": ")&amp;Checks!$J$404</f>
        <v>F12-T12-15
F&amp;B Linen: Trolley cloth - prepared</v>
      </c>
      <c r="B49" s="114" t="str">
        <f aca="false">SUBSTITUTE(Checks!$K$404&amp;IF(Checks!$O$404="","",IF(Checks!$K$404="","",CHAR(10))&amp;"Note: "&amp;Checks!$O$404),"F&amp;B LINEN!","Ref: F&amp;B LINEN!")</f>
        <v>Wide body: Top/Middle &amp; Bottom
Note: Per note Ref: F&amp;B LINEN!B79:C80. Reference gives no uplift stn for this item: preparation checked at the meal uplift stn (KUL) - confirm with caterer.</v>
      </c>
      <c r="C49" s="114" t="str">
        <f aca="false">Checks!$N$404&amp;CHAR(10)&amp;IF(ISNUMBER(Checks!$R$404),TEXT(Checks!$R$404,"DD-MMM-YY HH:MM"),"")&amp;" "&amp;Checks!$P$404</f>
        <v>Required
12-Oct-26 10:25 KUL</v>
      </c>
      <c r="D49" s="114" t="str">
        <f aca="false">IF(Checks!$U$404="","",Checks!$U$404)&amp;IF(Checks!$AB$404="","",CHAR(10)&amp;"CA: "&amp;Checks!$AB$404)</f>
        <v/>
      </c>
      <c r="E49" s="114" t="str">
        <f aca="false">IF(Checks!$V$404="","",Checks!$V$404)&amp;IF(Checks!$AC$404="","",IF(Checks!$V$404="","",CHAR(10))&amp;"N/A just.: "&amp;Checks!$AC$404)&amp;IF(Checks!$W$404="","",CHAR(10)&amp;"Batch: "&amp;Checks!$W$404)&amp;IF(AND(Checks!$X$404="",Checks!$Y$404=""),"",CHAR(10)&amp;"Exp: "&amp;Checks!$X$404&amp;"  /  Act: "&amp;Checks!$Y$404)</f>
        <v/>
      </c>
      <c r="F49" s="114" t="str">
        <f aca="false">IF(Checks!$Z$404="","","Evidence: "&amp;Checks!$Z$404)&amp;IF(Checks!$AA$404="","",IF(Checks!$Z$404="","",CHAR(10))&amp;"CA: "&amp;Checks!$AA$404)</f>
        <v/>
      </c>
      <c r="G49" s="114" t="str">
        <f aca="false">IF(ISNUMBER(Checks!$AD$404),TEXT(Checks!$AD$404,"DD-MMM-YY HH:MM")&amp;" "&amp;Checks!$P$404,"")&amp;IF(Checks!$AE$404="","",CHAR(10)&amp;"Verifier: "&amp;Checks!$AE$404)&amp;IF(Checks!$T$404="","",CHAR(10)&amp;"PIC: "&amp;Checks!$T$404)</f>
        <v/>
      </c>
      <c r="H49" s="115" t="str">
        <f aca="false">IF(Checks!$AH$404="","",Checks!$AH$404)</f>
        <v>OPEN</v>
      </c>
    </row>
    <row r="50" customFormat="false" ht="114" hidden="false" customHeight="true" outlineLevel="0" collapsed="false">
      <c r="A50" s="114" t="str">
        <f aca="false">Checks!$A$405&amp;CHAR(10)&amp;IF(Checks!$I$405="","",Checks!$I$405&amp;": ")&amp;Checks!$J$405</f>
        <v>F12-T12-16
F&amp;B Linen: Linen bag - prepared</v>
      </c>
      <c r="B50" s="114" t="str">
        <f aca="false">Checks!$K$405&amp;IF(Checks!$O$405="","",IF(Checks!$K$405="","",CHAR(10))&amp;"Note: "&amp;Checks!$O$405)</f>
        <v>Available (ticked in reference)
Note: Reference gives no uplift stn for this item: preparation checked at the meal uplift stn (KUL) - confirm with caterer.</v>
      </c>
      <c r="C50" s="114" t="str">
        <f aca="false">Checks!$N$405&amp;CHAR(10)&amp;IF(ISNUMBER(Checks!$R$405),TEXT(Checks!$R$405,"DD-MMM-YY HH:MM"),"")&amp;" "&amp;Checks!$P$405</f>
        <v>Required
12-Oct-26 10:25 KUL</v>
      </c>
      <c r="D50" s="114" t="str">
        <f aca="false">IF(Checks!$U$405="","",Checks!$U$405)&amp;IF(Checks!$AB$405="","",CHAR(10)&amp;"CA: "&amp;Checks!$AB$405)</f>
        <v/>
      </c>
      <c r="E50" s="114" t="str">
        <f aca="false">IF(Checks!$V$405="","",Checks!$V$405)&amp;IF(Checks!$AC$405="","",IF(Checks!$V$405="","",CHAR(10))&amp;"N/A just.: "&amp;Checks!$AC$405)&amp;IF(Checks!$W$405="","",CHAR(10)&amp;"Batch: "&amp;Checks!$W$405)&amp;IF(AND(Checks!$X$405="",Checks!$Y$405=""),"",CHAR(10)&amp;"Exp: "&amp;Checks!$X$405&amp;"  /  Act: "&amp;Checks!$Y$405)</f>
        <v/>
      </c>
      <c r="F50" s="114" t="str">
        <f aca="false">IF(Checks!$Z$405="","","Evidence: "&amp;Checks!$Z$405)&amp;IF(Checks!$AA$405="","",IF(Checks!$Z$405="","",CHAR(10))&amp;"CA: "&amp;Checks!$AA$405)</f>
        <v/>
      </c>
      <c r="G50" s="114" t="str">
        <f aca="false">IF(ISNUMBER(Checks!$AD$405),TEXT(Checks!$AD$405,"DD-MMM-YY HH:MM")&amp;" "&amp;Checks!$P$405,"")&amp;IF(Checks!$AE$405="","",CHAR(10)&amp;"Verifier: "&amp;Checks!$AE$405)&amp;IF(Checks!$T$405="","",CHAR(10)&amp;"PIC: "&amp;Checks!$T$405)</f>
        <v/>
      </c>
      <c r="H50" s="115" t="str">
        <f aca="false">IF(Checks!$AH$405="","",Checks!$AH$405)</f>
        <v>OPEN</v>
      </c>
    </row>
    <row r="51" customFormat="false" ht="114" hidden="false" customHeight="true" outlineLevel="0" collapsed="false">
      <c r="A51" s="114" t="str">
        <f aca="false">Checks!$A$406&amp;CHAR(10)&amp;IF(Checks!$I$406="","",Checks!$I$406&amp;": ")&amp;Checks!$J$406</f>
        <v>F12-T12-17
Seat Linen: Seat pillow (BS &amp; BC) - prepared</v>
      </c>
      <c r="B51" s="114" t="str">
        <f aca="false">Checks!$K$406&amp;IF(Checks!$O$406="","",IF(Checks!$K$406="","",CHAR(10))&amp;"Note: "&amp;Checks!$O$406)</f>
        <v>Available 100% (ticked in reference)
Note: Reference gives no uplift stn for this item: preparation checked at the meal uplift stn (KUL) - confirm with caterer.</v>
      </c>
      <c r="C51" s="114" t="str">
        <f aca="false">Checks!$N$406&amp;CHAR(10)&amp;IF(ISNUMBER(Checks!$R$406),TEXT(Checks!$R$406,"DD-MMM-YY HH:MM"),"")&amp;" "&amp;Checks!$P$406</f>
        <v>Required
12-Oct-26 10:25 KUL</v>
      </c>
      <c r="D51" s="114" t="str">
        <f aca="false">IF(Checks!$U$406="","",Checks!$U$406)&amp;IF(Checks!$AB$406="","",CHAR(10)&amp;"CA: "&amp;Checks!$AB$406)</f>
        <v/>
      </c>
      <c r="E51" s="114" t="str">
        <f aca="false">IF(Checks!$V$406="","",Checks!$V$406)&amp;IF(Checks!$AC$406="","",IF(Checks!$V$406="","",CHAR(10))&amp;"N/A just.: "&amp;Checks!$AC$406)&amp;IF(Checks!$W$406="","",CHAR(10)&amp;"Batch: "&amp;Checks!$W$406)&amp;IF(AND(Checks!$X$406="",Checks!$Y$406=""),"",CHAR(10)&amp;"Exp: "&amp;Checks!$X$406&amp;"  /  Act: "&amp;Checks!$Y$406)</f>
        <v/>
      </c>
      <c r="F51" s="114" t="str">
        <f aca="false">IF(Checks!$Z$406="","","Evidence: "&amp;Checks!$Z$406)&amp;IF(Checks!$AA$406="","",IF(Checks!$Z$406="","",CHAR(10))&amp;"CA: "&amp;Checks!$AA$406)</f>
        <v/>
      </c>
      <c r="G51" s="114" t="str">
        <f aca="false">IF(ISNUMBER(Checks!$AD$406),TEXT(Checks!$AD$406,"DD-MMM-YY HH:MM")&amp;" "&amp;Checks!$P$406,"")&amp;IF(Checks!$AE$406="","",CHAR(10)&amp;"Verifier: "&amp;Checks!$AE$406)&amp;IF(Checks!$T$406="","",CHAR(10)&amp;"PIC: "&amp;Checks!$T$406)</f>
        <v/>
      </c>
      <c r="H51" s="115" t="str">
        <f aca="false">IF(Checks!$AH$406="","",Checks!$AH$406)</f>
        <v>OPEN</v>
      </c>
    </row>
    <row r="52" customFormat="false" ht="114" hidden="false" customHeight="true" outlineLevel="0" collapsed="false">
      <c r="A52" s="114" t="str">
        <f aca="false">Checks!$A$407&amp;CHAR(10)&amp;IF(Checks!$I$407="","",Checks!$I$407&amp;": ")&amp;Checks!$J$407</f>
        <v>F12-T12-18
Seat Linen: Duvet (BS &amp; BC) - prepared</v>
      </c>
      <c r="B52" s="114" t="str">
        <f aca="false">Checks!$K$407&amp;IF(Checks!$O$407="","",IF(Checks!$K$407="","",CHAR(10))&amp;"Note: "&amp;Checks!$O$407)</f>
        <v>Available 100% (ticked in reference)
Note: Reference gives no uplift stn for this item: preparation checked at the meal uplift stn (KUL) - confirm with caterer.</v>
      </c>
      <c r="C52" s="114" t="str">
        <f aca="false">Checks!$N$407&amp;CHAR(10)&amp;IF(ISNUMBER(Checks!$R$407),TEXT(Checks!$R$407,"DD-MMM-YY HH:MM"),"")&amp;" "&amp;Checks!$P$407</f>
        <v>Required
12-Oct-26 10:25 KUL</v>
      </c>
      <c r="D52" s="114" t="str">
        <f aca="false">IF(Checks!$U$407="","",Checks!$U$407)&amp;IF(Checks!$AB$407="","",CHAR(10)&amp;"CA: "&amp;Checks!$AB$407)</f>
        <v/>
      </c>
      <c r="E52" s="114" t="str">
        <f aca="false">IF(Checks!$V$407="","",Checks!$V$407)&amp;IF(Checks!$AC$407="","",IF(Checks!$V$407="","",CHAR(10))&amp;"N/A just.: "&amp;Checks!$AC$407)&amp;IF(Checks!$W$407="","",CHAR(10)&amp;"Batch: "&amp;Checks!$W$407)&amp;IF(AND(Checks!$X$407="",Checks!$Y$407=""),"",CHAR(10)&amp;"Exp: "&amp;Checks!$X$407&amp;"  /  Act: "&amp;Checks!$Y$407)</f>
        <v/>
      </c>
      <c r="F52" s="114" t="str">
        <f aca="false">IF(Checks!$Z$407="","","Evidence: "&amp;Checks!$Z$407)&amp;IF(Checks!$AA$407="","",IF(Checks!$Z$407="","",CHAR(10))&amp;"CA: "&amp;Checks!$AA$407)</f>
        <v/>
      </c>
      <c r="G52" s="114" t="str">
        <f aca="false">IF(ISNUMBER(Checks!$AD$407),TEXT(Checks!$AD$407,"DD-MMM-YY HH:MM")&amp;" "&amp;Checks!$P$407,"")&amp;IF(Checks!$AE$407="","",CHAR(10)&amp;"Verifier: "&amp;Checks!$AE$407)&amp;IF(Checks!$T$407="","",CHAR(10)&amp;"PIC: "&amp;Checks!$T$407)</f>
        <v/>
      </c>
      <c r="H52" s="115" t="str">
        <f aca="false">IF(Checks!$AH$407="","",Checks!$AH$407)</f>
        <v>OPEN</v>
      </c>
    </row>
    <row r="53" customFormat="false" ht="114" hidden="false" customHeight="true" outlineLevel="0" collapsed="false">
      <c r="A53" s="114" t="str">
        <f aca="false">Checks!$A$408&amp;CHAR(10)&amp;IF(Checks!$I$408="","",Checks!$I$408&amp;": ")&amp;Checks!$J$408</f>
        <v>F12-T12-19
Seat Linen: Mattress (BS &amp; BC) - prepared</v>
      </c>
      <c r="B53" s="114" t="str">
        <f aca="false">Checks!$K$408&amp;IF(Checks!$O$408="","",IF(Checks!$K$408="","",CHAR(10))&amp;"Note: "&amp;Checks!$O$408)</f>
        <v>Available 100% (ticked in reference)
Note: Reference gives no uplift stn for this item: preparation checked at the meal uplift stn (KUL) - confirm with caterer.</v>
      </c>
      <c r="C53" s="114" t="str">
        <f aca="false">Checks!$N$408&amp;CHAR(10)&amp;IF(ISNUMBER(Checks!$R$408),TEXT(Checks!$R$408,"DD-MMM-YY HH:MM"),"")&amp;" "&amp;Checks!$P$408</f>
        <v>Required
12-Oct-26 10:25 KUL</v>
      </c>
      <c r="D53" s="114" t="str">
        <f aca="false">IF(Checks!$U$408="","",Checks!$U$408)&amp;IF(Checks!$AB$408="","",CHAR(10)&amp;"CA: "&amp;Checks!$AB$408)</f>
        <v/>
      </c>
      <c r="E53" s="114" t="str">
        <f aca="false">IF(Checks!$V$408="","",Checks!$V$408)&amp;IF(Checks!$AC$408="","",IF(Checks!$V$408="","",CHAR(10))&amp;"N/A just.: "&amp;Checks!$AC$408)&amp;IF(Checks!$W$408="","",CHAR(10)&amp;"Batch: "&amp;Checks!$W$408)&amp;IF(AND(Checks!$X$408="",Checks!$Y$408=""),"",CHAR(10)&amp;"Exp: "&amp;Checks!$X$408&amp;"  /  Act: "&amp;Checks!$Y$408)</f>
        <v/>
      </c>
      <c r="F53" s="114" t="str">
        <f aca="false">IF(Checks!$Z$408="","","Evidence: "&amp;Checks!$Z$408)&amp;IF(Checks!$AA$408="","",IF(Checks!$Z$408="","",CHAR(10))&amp;"CA: "&amp;Checks!$AA$408)</f>
        <v/>
      </c>
      <c r="G53" s="114" t="str">
        <f aca="false">IF(ISNUMBER(Checks!$AD$408),TEXT(Checks!$AD$408,"DD-MMM-YY HH:MM")&amp;" "&amp;Checks!$P$408,"")&amp;IF(Checks!$AE$408="","",CHAR(10)&amp;"Verifier: "&amp;Checks!$AE$408)&amp;IF(Checks!$T$408="","",CHAR(10)&amp;"PIC: "&amp;Checks!$T$408)</f>
        <v/>
      </c>
      <c r="H53" s="115" t="str">
        <f aca="false">IF(Checks!$AH$408="","",Checks!$AH$408)</f>
        <v>OPEN</v>
      </c>
    </row>
    <row r="54" customFormat="false" ht="114" hidden="false" customHeight="true" outlineLevel="0" collapsed="false">
      <c r="A54" s="114" t="str">
        <f aca="false">Checks!$A$409&amp;CHAR(10)&amp;IF(Checks!$I$409="","",Checks!$I$409&amp;": ")&amp;Checks!$J$409</f>
        <v>F12-T12-20
Signature Drinks: Signature drink &amp; garnish (BC) - prepared</v>
      </c>
      <c r="B54" s="114" t="str">
        <f aca="false">Checks!$K$409&amp;IF(Checks!$O$409="","",IF(Checks!$K$409="","",CHAR(10))&amp;"Note: "&amp;Checks!$O$409)</f>
        <v>Available (ticked in reference)
Note: Signature drinks &amp; garnish uplifted from KUL (note D79).</v>
      </c>
      <c r="C54" s="114" t="str">
        <f aca="false">Checks!$N$409&amp;CHAR(10)&amp;IF(ISNUMBER(Checks!$R$409),TEXT(Checks!$R$409,"DD-MMM-YY HH:MM"),"")&amp;" "&amp;Checks!$P$409</f>
        <v>Required
12-Oct-26 10:25 KUL</v>
      </c>
      <c r="D54" s="114" t="str">
        <f aca="false">IF(Checks!$U$409="","",Checks!$U$409)&amp;IF(Checks!$AB$409="","",CHAR(10)&amp;"CA: "&amp;Checks!$AB$409)</f>
        <v/>
      </c>
      <c r="E54" s="114" t="str">
        <f aca="false">IF(Checks!$V$409="","",Checks!$V$409)&amp;IF(Checks!$AC$409="","",IF(Checks!$V$409="","",CHAR(10))&amp;"N/A just.: "&amp;Checks!$AC$409)&amp;IF(Checks!$W$409="","",CHAR(10)&amp;"Batch: "&amp;Checks!$W$409)&amp;IF(AND(Checks!$X$409="",Checks!$Y$409=""),"",CHAR(10)&amp;"Exp: "&amp;Checks!$X$409&amp;"  /  Act: "&amp;Checks!$Y$409)</f>
        <v/>
      </c>
      <c r="F54" s="114" t="str">
        <f aca="false">IF(Checks!$Z$409="","","Evidence: "&amp;Checks!$Z$409)&amp;IF(Checks!$AA$409="","",IF(Checks!$Z$409="","",CHAR(10))&amp;"CA: "&amp;Checks!$AA$409)</f>
        <v/>
      </c>
      <c r="G54" s="114" t="str">
        <f aca="false">IF(ISNUMBER(Checks!$AD$409),TEXT(Checks!$AD$409,"DD-MMM-YY HH:MM")&amp;" "&amp;Checks!$P$409,"")&amp;IF(Checks!$AE$409="","",CHAR(10)&amp;"Verifier: "&amp;Checks!$AE$409)&amp;IF(Checks!$T$409="","",CHAR(10)&amp;"PIC: "&amp;Checks!$T$409)</f>
        <v/>
      </c>
      <c r="H54" s="115" t="str">
        <f aca="false">IF(Checks!$AH$409="","",Checks!$AH$409)</f>
        <v>OPEN</v>
      </c>
    </row>
    <row r="55" customFormat="false" ht="114" hidden="false" customHeight="true" outlineLevel="0" collapsed="false">
      <c r="A55" s="114" t="str">
        <f aca="false">Checks!$A$410&amp;CHAR(10)&amp;IF(Checks!$I$410="","",Checks!$I$410&amp;": ")&amp;Checks!$J$410</f>
        <v>F12-T12-21
Sales Cart: Sales cart (caterer PASB) - prepared</v>
      </c>
      <c r="B55" s="114" t="str">
        <f aca="false">Checks!$K$410&amp;IF(Checks!$O$410="","",IF(Checks!$K$410="","",CHAR(10))&amp;"Note: "&amp;Checks!$O$410)</f>
        <v>Location 241 &amp; 947 (A339)
Note: Block 7.08 h &gt;= 4 h. Reference gives no uplift stn for this item: preparation checked at the meal uplift stn (KUL) - confirm with caterer.</v>
      </c>
      <c r="C55" s="114" t="str">
        <f aca="false">Checks!$N$410&amp;CHAR(10)&amp;IF(ISNUMBER(Checks!$R$410),TEXT(Checks!$R$410,"DD-MMM-YY HH:MM"),"")&amp;" "&amp;Checks!$P$410</f>
        <v>Required
12-Oct-26 10:25 KUL</v>
      </c>
      <c r="D55" s="114" t="str">
        <f aca="false">IF(Checks!$U$410="","",Checks!$U$410)&amp;IF(Checks!$AB$410="","",CHAR(10)&amp;"CA: "&amp;Checks!$AB$410)</f>
        <v/>
      </c>
      <c r="E55" s="114" t="str">
        <f aca="false">IF(Checks!$V$410="","",Checks!$V$410)&amp;IF(Checks!$AC$410="","",IF(Checks!$V$410="","",CHAR(10))&amp;"N/A just.: "&amp;Checks!$AC$410)&amp;IF(Checks!$W$410="","",CHAR(10)&amp;"Batch: "&amp;Checks!$W$410)&amp;IF(AND(Checks!$X$410="",Checks!$Y$410=""),"",CHAR(10)&amp;"Exp: "&amp;Checks!$X$410&amp;"  /  Act: "&amp;Checks!$Y$410)</f>
        <v/>
      </c>
      <c r="F55" s="114" t="str">
        <f aca="false">IF(Checks!$Z$410="","","Evidence: "&amp;Checks!$Z$410)&amp;IF(Checks!$AA$410="","",IF(Checks!$Z$410="","",CHAR(10))&amp;"CA: "&amp;Checks!$AA$410)</f>
        <v/>
      </c>
      <c r="G55" s="114" t="str">
        <f aca="false">IF(ISNUMBER(Checks!$AD$410),TEXT(Checks!$AD$410,"DD-MMM-YY HH:MM")&amp;" "&amp;Checks!$P$410,"")&amp;IF(Checks!$AE$410="","",CHAR(10)&amp;"Verifier: "&amp;Checks!$AE$410)&amp;IF(Checks!$T$410="","",CHAR(10)&amp;"PIC: "&amp;Checks!$T$410)</f>
        <v/>
      </c>
      <c r="H55" s="115" t="str">
        <f aca="false">IF(Checks!$AH$410="","",Checks!$AH$410)</f>
        <v>OPEN</v>
      </c>
    </row>
    <row r="56" customFormat="false" ht="25.5" hidden="false" customHeight="true" outlineLevel="0" collapsed="false">
      <c r="A56" s="113" t="str">
        <f aca="false">"UPLIFT — Physical uplift – on-board confirmation before departure  |  Due "&amp;"STD "&amp;IF(ISNUMBER(Flights!$I$16),TEXT(Flights!$I$16,"DD-MMM-YY HH:MM"),"")&amp;" "&amp;Flights!$G$16&amp;" (departure stn)"&amp;" (rows with another due show their own)  |  Complete "&amp;IF(ISNUMBER(Flights!$AM$16),TEXT(Flights!$AM$16,"0%"),Flights!$AM$16)&amp;"  |  16 lines"</f>
        <v>UPLIFT — Physical uplift – on-board confirmation before departure  |  Due STD 12-Oct-26 22:25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Checks!$A$411&amp;CHAR(10)&amp;IF(Checks!$I$411="","",Checks!$I$411&amp;": ")&amp;Checks!$J$411</f>
        <v>F12-UPL-01
Meal: Meals physically uplifted on board - quantity vs menu checklist</v>
      </c>
      <c r="B57" s="114" t="str">
        <f aca="false">Checks!$K$411&amp;IF(Checks!$O$411="","",IF(Checks!$K$411="","",CHAR(10))&amp;"Note: "&amp;Checks!$O$411)</f>
        <v>Enter expected &amp; actual
Note: Confirm on board before departure; completion time must fall inside the uplift window.</v>
      </c>
      <c r="C57" s="114" t="str">
        <f aca="false">Checks!$N$411&amp;CHAR(10)&amp;IF(ISNUMBER(Checks!$R$411),TEXT(Checks!$R$411,"DD-MMM-YY HH:MM"),"")&amp;" "&amp;Checks!$P$411</f>
        <v>Required
12-Oct-26 22:25 KUL</v>
      </c>
      <c r="D57" s="114" t="str">
        <f aca="false">IF(Checks!$U$411="","",Checks!$U$411)&amp;IF(Checks!$AB$411="","",CHAR(10)&amp;"CA: "&amp;Checks!$AB$411)</f>
        <v/>
      </c>
      <c r="E57" s="114" t="str">
        <f aca="false">IF(Checks!$V$411="","",Checks!$V$411)&amp;IF(Checks!$AC$411="","",IF(Checks!$V$411="","",CHAR(10))&amp;"N/A just.: "&amp;Checks!$AC$411)&amp;IF(Checks!$W$411="","",CHAR(10)&amp;"Batch: "&amp;Checks!$W$411)&amp;IF(AND(Checks!$X$411="",Checks!$Y$411=""),"",CHAR(10)&amp;"Exp: "&amp;Checks!$X$411&amp;"  /  Act: "&amp;Checks!$Y$411)</f>
        <v/>
      </c>
      <c r="F57" s="114" t="str">
        <f aca="false">IF(Checks!$Z$411="","","Evidence: "&amp;Checks!$Z$411)&amp;IF(Checks!$AA$411="","",IF(Checks!$Z$411="","",CHAR(10))&amp;"CA: "&amp;Checks!$AA$411)</f>
        <v/>
      </c>
      <c r="G57" s="114" t="str">
        <f aca="false">IF(ISNUMBER(Checks!$AD$411),TEXT(Checks!$AD$411,"DD-MMM-YY HH:MM")&amp;" "&amp;Checks!$P$411,"")&amp;IF(Checks!$AE$411="","",CHAR(10)&amp;"Verifier: "&amp;Checks!$AE$411)&amp;IF(Checks!$T$411="","",CHAR(10)&amp;"PIC: "&amp;Checks!$T$411)</f>
        <v/>
      </c>
      <c r="H57" s="115" t="str">
        <f aca="false">IF(Checks!$AH$411="","",Checks!$AH$411)</f>
        <v>OPEN</v>
      </c>
    </row>
    <row r="58" customFormat="false" ht="114" hidden="false" customHeight="true" outlineLevel="0" collapsed="false">
      <c r="A58" s="114" t="str">
        <f aca="false">Checks!$A$412&amp;CHAR(10)&amp;IF(Checks!$I$412="","",Checks!$I$412&amp;": ")&amp;Checks!$J$412</f>
        <v>F12-UPL-02
Equipment: Equipment physically loaded at GLD positions - quantity &amp; positions</v>
      </c>
      <c r="B58" s="114" t="str">
        <f aca="false">Checks!$K$412&amp;IF(Checks!$O$412="","",IF(Checks!$K$412="","",CHAR(10))&amp;"Note: "&amp;Checks!$O$412)</f>
        <v>Enter expected &amp; actual
Note: Confirm on board before departure; completion time must fall inside the uplift window.</v>
      </c>
      <c r="C58" s="114" t="str">
        <f aca="false">Checks!$N$412&amp;CHAR(10)&amp;IF(ISNUMBER(Checks!$R$412),TEXT(Checks!$R$412,"DD-MMM-YY HH:MM"),"")&amp;" "&amp;Checks!$P$412</f>
        <v>Required
12-Oct-26 22:25 KUL</v>
      </c>
      <c r="D58" s="114" t="str">
        <f aca="false">IF(Checks!$U$412="","",Checks!$U$412)&amp;IF(Checks!$AB$412="","",CHAR(10)&amp;"CA: "&amp;Checks!$AB$412)</f>
        <v/>
      </c>
      <c r="E58" s="114" t="str">
        <f aca="false">IF(Checks!$V$412="","",Checks!$V$412)&amp;IF(Checks!$AC$412="","",IF(Checks!$V$412="","",CHAR(10))&amp;"N/A just.: "&amp;Checks!$AC$412)&amp;IF(Checks!$W$412="","",CHAR(10)&amp;"Batch: "&amp;Checks!$W$412)&amp;IF(AND(Checks!$X$412="",Checks!$Y$412=""),"",CHAR(10)&amp;"Exp: "&amp;Checks!$X$412&amp;"  /  Act: "&amp;Checks!$Y$412)</f>
        <v/>
      </c>
      <c r="F58" s="114" t="str">
        <f aca="false">IF(Checks!$Z$412="","","Evidence: "&amp;Checks!$Z$412)&amp;IF(Checks!$AA$412="","",IF(Checks!$Z$412="","",CHAR(10))&amp;"CA: "&amp;Checks!$AA$412)</f>
        <v/>
      </c>
      <c r="G58" s="114" t="str">
        <f aca="false">IF(ISNUMBER(Checks!$AD$412),TEXT(Checks!$AD$412,"DD-MMM-YY HH:MM")&amp;" "&amp;Checks!$P$412,"")&amp;IF(Checks!$AE$412="","",CHAR(10)&amp;"Verifier: "&amp;Checks!$AE$412)&amp;IF(Checks!$T$412="","",CHAR(10)&amp;"PIC: "&amp;Checks!$T$412)</f>
        <v/>
      </c>
      <c r="H58" s="115" t="str">
        <f aca="false">IF(Checks!$AH$412="","",Checks!$AH$412)</f>
        <v>OPEN</v>
      </c>
    </row>
    <row r="59" customFormat="false" ht="114" hidden="false" customHeight="true" outlineLevel="0" collapsed="false">
      <c r="A59" s="114" t="str">
        <f aca="false">Checks!$A$413&amp;CHAR(10)&amp;IF(Checks!$I$413="","",Checks!$I$413&amp;": ")&amp;Checks!$J$413</f>
        <v>F12-UPL-03
Amenities: Toiletry kits - on board</v>
      </c>
      <c r="B59" s="114" t="str">
        <f aca="false">Checks!$K$413&amp;IF(Checks!$O$413="","",IF(Checks!$K$413="","",CHAR(10))&amp;"Note: "&amp;Checks!$O$413)</f>
        <v>Available (ticked in reference)</v>
      </c>
      <c r="C59" s="114" t="str">
        <f aca="false">Checks!$N$413&amp;CHAR(10)&amp;IF(ISNUMBER(Checks!$R$413),TEXT(Checks!$R$413,"DD-MMM-YY HH:MM"),"")&amp;" "&amp;Checks!$P$413</f>
        <v>Required
12-Oct-26 22:25 KUL</v>
      </c>
      <c r="D59" s="114" t="str">
        <f aca="false">IF(Checks!$U$413="","",Checks!$U$413)&amp;IF(Checks!$AB$413="","",CHAR(10)&amp;"CA: "&amp;Checks!$AB$413)</f>
        <v/>
      </c>
      <c r="E59" s="114" t="str">
        <f aca="false">IF(Checks!$V$413="","",Checks!$V$413)&amp;IF(Checks!$AC$413="","",IF(Checks!$V$413="","",CHAR(10))&amp;"N/A just.: "&amp;Checks!$AC$413)&amp;IF(Checks!$W$413="","",CHAR(10)&amp;"Batch: "&amp;Checks!$W$413)&amp;IF(AND(Checks!$X$413="",Checks!$Y$413=""),"",CHAR(10)&amp;"Exp: "&amp;Checks!$X$413&amp;"  /  Act: "&amp;Checks!$Y$413)</f>
        <v/>
      </c>
      <c r="F59" s="114" t="str">
        <f aca="false">IF(Checks!$Z$413="","","Evidence: "&amp;Checks!$Z$413)&amp;IF(Checks!$AA$413="","",IF(Checks!$Z$413="","",CHAR(10))&amp;"CA: "&amp;Checks!$AA$413)</f>
        <v/>
      </c>
      <c r="G59" s="114" t="str">
        <f aca="false">IF(ISNUMBER(Checks!$AD$413),TEXT(Checks!$AD$413,"DD-MMM-YY HH:MM")&amp;" "&amp;Checks!$P$413,"")&amp;IF(Checks!$AE$413="","",CHAR(10)&amp;"Verifier: "&amp;Checks!$AE$413)&amp;IF(Checks!$T$413="","",CHAR(10)&amp;"PIC: "&amp;Checks!$T$413)</f>
        <v/>
      </c>
      <c r="H59" s="115" t="str">
        <f aca="false">IF(Checks!$AH$413="","",Checks!$AH$413)</f>
        <v>OPEN</v>
      </c>
    </row>
    <row r="60" customFormat="false" ht="114" hidden="false" customHeight="true" outlineLevel="0" collapsed="false">
      <c r="A60" s="114" t="str">
        <f aca="false">Checks!$A$414&amp;CHAR(10)&amp;IF(Checks!$I$414="","",Checks!$I$414&amp;": ")&amp;Checks!$J$414</f>
        <v>F12-UPL-04
Amenities: Slippers (BS/BC) - on board</v>
      </c>
      <c r="B60" s="114" t="str">
        <f aca="false">Checks!$K$414&amp;IF(Checks!$O$414="","",IF(Checks!$K$414="","",CHAR(10))&amp;"Note: "&amp;Checks!$O$414)</f>
        <v>Available (ticked in reference)</v>
      </c>
      <c r="C60" s="114" t="str">
        <f aca="false">Checks!$N$414&amp;CHAR(10)&amp;IF(ISNUMBER(Checks!$R$414),TEXT(Checks!$R$414,"DD-MMM-YY HH:MM"),"")&amp;" "&amp;Checks!$P$414</f>
        <v>Required
12-Oct-26 22:25 KUL</v>
      </c>
      <c r="D60" s="114" t="str">
        <f aca="false">IF(Checks!$U$414="","",Checks!$U$414)&amp;IF(Checks!$AB$414="","",CHAR(10)&amp;"CA: "&amp;Checks!$AB$414)</f>
        <v/>
      </c>
      <c r="E60" s="114" t="str">
        <f aca="false">IF(Checks!$V$414="","",Checks!$V$414)&amp;IF(Checks!$AC$414="","",IF(Checks!$V$414="","",CHAR(10))&amp;"N/A just.: "&amp;Checks!$AC$414)&amp;IF(Checks!$W$414="","",CHAR(10)&amp;"Batch: "&amp;Checks!$W$414)&amp;IF(AND(Checks!$X$414="",Checks!$Y$414=""),"",CHAR(10)&amp;"Exp: "&amp;Checks!$X$414&amp;"  /  Act: "&amp;Checks!$Y$414)</f>
        <v/>
      </c>
      <c r="F60" s="114" t="str">
        <f aca="false">IF(Checks!$Z$414="","","Evidence: "&amp;Checks!$Z$414)&amp;IF(Checks!$AA$414="","",IF(Checks!$Z$414="","",CHAR(10))&amp;"CA: "&amp;Checks!$AA$414)</f>
        <v/>
      </c>
      <c r="G60" s="114" t="str">
        <f aca="false">IF(ISNUMBER(Checks!$AD$414),TEXT(Checks!$AD$414,"DD-MMM-YY HH:MM")&amp;" "&amp;Checks!$P$414,"")&amp;IF(Checks!$AE$414="","",CHAR(10)&amp;"Verifier: "&amp;Checks!$AE$414)&amp;IF(Checks!$T$414="","",CHAR(10)&amp;"PIC: "&amp;Checks!$T$414)</f>
        <v/>
      </c>
      <c r="H60" s="115" t="str">
        <f aca="false">IF(Checks!$AH$414="","",Checks!$AH$414)</f>
        <v>OPEN</v>
      </c>
    </row>
    <row r="61" customFormat="false" ht="114" hidden="false" customHeight="true" outlineLevel="0" collapsed="false">
      <c r="A61" s="114" t="str">
        <f aca="false">Checks!$A$415&amp;CHAR(10)&amp;IF(Checks!$I$415="","",Checks!$I$415&amp;": ")&amp;Checks!$J$415</f>
        <v>F12-UPL-05
F&amp;B Linen: Towel - on board</v>
      </c>
      <c r="B61" s="114" t="str">
        <f aca="false">Checks!$K$415&amp;IF(Checks!$O$415="","",IF(Checks!$K$415="","",CHAR(10))&amp;"Note: "&amp;Checks!$O$415)</f>
        <v>Available (ticked in reference)</v>
      </c>
      <c r="C61" s="114" t="str">
        <f aca="false">Checks!$N$415&amp;CHAR(10)&amp;IF(ISNUMBER(Checks!$R$415),TEXT(Checks!$R$415,"DD-MMM-YY HH:MM"),"")&amp;" "&amp;Checks!$P$415</f>
        <v>Required
12-Oct-26 22:25 KUL</v>
      </c>
      <c r="D61" s="114" t="str">
        <f aca="false">IF(Checks!$U$415="","",Checks!$U$415)&amp;IF(Checks!$AB$415="","",CHAR(10)&amp;"CA: "&amp;Checks!$AB$415)</f>
        <v/>
      </c>
      <c r="E61" s="114" t="str">
        <f aca="false">IF(Checks!$V$415="","",Checks!$V$415)&amp;IF(Checks!$AC$415="","",IF(Checks!$V$415="","",CHAR(10))&amp;"N/A just.: "&amp;Checks!$AC$415)&amp;IF(Checks!$W$415="","",CHAR(10)&amp;"Batch: "&amp;Checks!$W$415)&amp;IF(AND(Checks!$X$415="",Checks!$Y$415=""),"",CHAR(10)&amp;"Exp: "&amp;Checks!$X$415&amp;"  /  Act: "&amp;Checks!$Y$415)</f>
        <v/>
      </c>
      <c r="F61" s="114" t="str">
        <f aca="false">IF(Checks!$Z$415="","","Evidence: "&amp;Checks!$Z$415)&amp;IF(Checks!$AA$415="","",IF(Checks!$Z$415="","",CHAR(10))&amp;"CA: "&amp;Checks!$AA$415)</f>
        <v/>
      </c>
      <c r="G61" s="114" t="str">
        <f aca="false">IF(ISNUMBER(Checks!$AD$415),TEXT(Checks!$AD$415,"DD-MMM-YY HH:MM")&amp;" "&amp;Checks!$P$415,"")&amp;IF(Checks!$AE$415="","",CHAR(10)&amp;"Verifier: "&amp;Checks!$AE$415)&amp;IF(Checks!$T$415="","",CHAR(10)&amp;"PIC: "&amp;Checks!$T$415)</f>
        <v/>
      </c>
      <c r="H61" s="115" t="str">
        <f aca="false">IF(Checks!$AH$415="","",Checks!$AH$415)</f>
        <v>OPEN</v>
      </c>
    </row>
    <row r="62" customFormat="false" ht="114" hidden="false" customHeight="true" outlineLevel="0" collapsed="false">
      <c r="A62" s="114" t="str">
        <f aca="false">Checks!$A$416&amp;CHAR(10)&amp;IF(Checks!$I$416="","",Checks!$I$416&amp;": ")&amp;Checks!$J$416</f>
        <v>F12-UPL-06
F&amp;B Linen: Tray cloth - on board</v>
      </c>
      <c r="B62" s="114" t="str">
        <f aca="false">Checks!$K$416&amp;IF(Checks!$O$416="","",IF(Checks!$K$416="","",CHAR(10))&amp;"Note: "&amp;Checks!$O$416)</f>
        <v>Available (ticked in reference)</v>
      </c>
      <c r="C62" s="114" t="str">
        <f aca="false">Checks!$N$416&amp;CHAR(10)&amp;IF(ISNUMBER(Checks!$R$416),TEXT(Checks!$R$416,"DD-MMM-YY HH:MM"),"")&amp;" "&amp;Checks!$P$416</f>
        <v>Required
12-Oct-26 22:25 KUL</v>
      </c>
      <c r="D62" s="114" t="str">
        <f aca="false">IF(Checks!$U$416="","",Checks!$U$416)&amp;IF(Checks!$AB$416="","",CHAR(10)&amp;"CA: "&amp;Checks!$AB$416)</f>
        <v/>
      </c>
      <c r="E62" s="114" t="str">
        <f aca="false">IF(Checks!$V$416="","",Checks!$V$416)&amp;IF(Checks!$AC$416="","",IF(Checks!$V$416="","",CHAR(10))&amp;"N/A just.: "&amp;Checks!$AC$416)&amp;IF(Checks!$W$416="","",CHAR(10)&amp;"Batch: "&amp;Checks!$W$416)&amp;IF(AND(Checks!$X$416="",Checks!$Y$416=""),"",CHAR(10)&amp;"Exp: "&amp;Checks!$X$416&amp;"  /  Act: "&amp;Checks!$Y$416)</f>
        <v/>
      </c>
      <c r="F62" s="114" t="str">
        <f aca="false">IF(Checks!$Z$416="","","Evidence: "&amp;Checks!$Z$416)&amp;IF(Checks!$AA$416="","",IF(Checks!$Z$416="","",CHAR(10))&amp;"CA: "&amp;Checks!$AA$416)</f>
        <v/>
      </c>
      <c r="G62" s="114" t="str">
        <f aca="false">IF(ISNUMBER(Checks!$AD$416),TEXT(Checks!$AD$416,"DD-MMM-YY HH:MM")&amp;" "&amp;Checks!$P$416,"")&amp;IF(Checks!$AE$416="","",CHAR(10)&amp;"Verifier: "&amp;Checks!$AE$416)&amp;IF(Checks!$T$416="","",CHAR(10)&amp;"PIC: "&amp;Checks!$T$416)</f>
        <v/>
      </c>
      <c r="H62" s="115" t="str">
        <f aca="false">IF(Checks!$AH$416="","",Checks!$AH$416)</f>
        <v>OPEN</v>
      </c>
    </row>
    <row r="63" customFormat="false" ht="114" hidden="false" customHeight="true" outlineLevel="0" collapsed="false">
      <c r="A63" s="114" t="str">
        <f aca="false">Checks!$A$417&amp;CHAR(10)&amp;IF(Checks!$I$417="","",Checks!$I$417&amp;": ")&amp;Checks!$J$417</f>
        <v>F12-UPL-07
F&amp;B Linen: Napkin - on board</v>
      </c>
      <c r="B63" s="114" t="str">
        <f aca="false">Checks!$K$417&amp;IF(Checks!$O$417="","",IF(Checks!$K$417="","",CHAR(10))&amp;"Note: "&amp;Checks!$O$417)</f>
        <v>Available (ticked in reference)</v>
      </c>
      <c r="C63" s="114" t="str">
        <f aca="false">Checks!$N$417&amp;CHAR(10)&amp;IF(ISNUMBER(Checks!$R$417),TEXT(Checks!$R$417,"DD-MMM-YY HH:MM"),"")&amp;" "&amp;Checks!$P$417</f>
        <v>Required
12-Oct-26 22:25 KUL</v>
      </c>
      <c r="D63" s="114" t="str">
        <f aca="false">IF(Checks!$U$417="","",Checks!$U$417)&amp;IF(Checks!$AB$417="","",CHAR(10)&amp;"CA: "&amp;Checks!$AB$417)</f>
        <v/>
      </c>
      <c r="E63" s="114" t="str">
        <f aca="false">IF(Checks!$V$417="","",Checks!$V$417)&amp;IF(Checks!$AC$417="","",IF(Checks!$V$417="","",CHAR(10))&amp;"N/A just.: "&amp;Checks!$AC$417)&amp;IF(Checks!$W$417="","",CHAR(10)&amp;"Batch: "&amp;Checks!$W$417)&amp;IF(AND(Checks!$X$417="",Checks!$Y$417=""),"",CHAR(10)&amp;"Exp: "&amp;Checks!$X$417&amp;"  /  Act: "&amp;Checks!$Y$417)</f>
        <v/>
      </c>
      <c r="F63" s="114" t="str">
        <f aca="false">IF(Checks!$Z$417="","","Evidence: "&amp;Checks!$Z$417)&amp;IF(Checks!$AA$417="","",IF(Checks!$Z$417="","",CHAR(10))&amp;"CA: "&amp;Checks!$AA$417)</f>
        <v/>
      </c>
      <c r="G63" s="114" t="str">
        <f aca="false">IF(ISNUMBER(Checks!$AD$417),TEXT(Checks!$AD$417,"DD-MMM-YY HH:MM")&amp;" "&amp;Checks!$P$417,"")&amp;IF(Checks!$AE$417="","",CHAR(10)&amp;"Verifier: "&amp;Checks!$AE$417)&amp;IF(Checks!$T$417="","",CHAR(10)&amp;"PIC: "&amp;Checks!$T$417)</f>
        <v/>
      </c>
      <c r="H63" s="115" t="str">
        <f aca="false">IF(Checks!$AH$417="","",Checks!$AH$417)</f>
        <v>OPEN</v>
      </c>
    </row>
    <row r="64" customFormat="false" ht="114" hidden="false" customHeight="true" outlineLevel="0" collapsed="false">
      <c r="A64" s="114" t="str">
        <f aca="false">Checks!$A$418&amp;CHAR(10)&amp;IF(Checks!$I$418="","",Checks!$I$418&amp;": ")&amp;Checks!$J$418</f>
        <v>F12-UPL-08
F&amp;B Linen: Table cloth - on board</v>
      </c>
      <c r="B64" s="114" t="str">
        <f aca="false">Checks!$K$418&amp;IF(Checks!$O$418="","",IF(Checks!$K$418="","",CHAR(10))&amp;"Note: "&amp;Checks!$O$418)</f>
        <v>Available (ticked in reference)</v>
      </c>
      <c r="C64" s="114" t="str">
        <f aca="false">Checks!$N$418&amp;CHAR(10)&amp;IF(ISNUMBER(Checks!$R$418),TEXT(Checks!$R$418,"DD-MMM-YY HH:MM"),"")&amp;" "&amp;Checks!$P$418</f>
        <v>Required
12-Oct-26 22:25 KUL</v>
      </c>
      <c r="D64" s="114" t="str">
        <f aca="false">IF(Checks!$U$418="","",Checks!$U$418)&amp;IF(Checks!$AB$418="","",CHAR(10)&amp;"CA: "&amp;Checks!$AB$418)</f>
        <v/>
      </c>
      <c r="E64" s="114" t="str">
        <f aca="false">IF(Checks!$V$418="","",Checks!$V$418)&amp;IF(Checks!$AC$418="","",IF(Checks!$V$418="","",CHAR(10))&amp;"N/A just.: "&amp;Checks!$AC$418)&amp;IF(Checks!$W$418="","",CHAR(10)&amp;"Batch: "&amp;Checks!$W$418)&amp;IF(AND(Checks!$X$418="",Checks!$Y$418=""),"",CHAR(10)&amp;"Exp: "&amp;Checks!$X$418&amp;"  /  Act: "&amp;Checks!$Y$418)</f>
        <v/>
      </c>
      <c r="F64" s="114" t="str">
        <f aca="false">IF(Checks!$Z$418="","","Evidence: "&amp;Checks!$Z$418)&amp;IF(Checks!$AA$418="","",IF(Checks!$Z$418="","",CHAR(10))&amp;"CA: "&amp;Checks!$AA$418)</f>
        <v/>
      </c>
      <c r="G64" s="114" t="str">
        <f aca="false">IF(ISNUMBER(Checks!$AD$418),TEXT(Checks!$AD$418,"DD-MMM-YY HH:MM")&amp;" "&amp;Checks!$P$418,"")&amp;IF(Checks!$AE$418="","",CHAR(10)&amp;"Verifier: "&amp;Checks!$AE$418)&amp;IF(Checks!$T$418="","",CHAR(10)&amp;"PIC: "&amp;Checks!$T$418)</f>
        <v/>
      </c>
      <c r="H64" s="115" t="str">
        <f aca="false">IF(Checks!$AH$418="","",Checks!$AH$418)</f>
        <v>OPEN</v>
      </c>
    </row>
    <row r="65" customFormat="false" ht="114" hidden="false" customHeight="true" outlineLevel="0" collapsed="false">
      <c r="A65" s="114" t="str">
        <f aca="false">Checks!$A$419&amp;CHAR(10)&amp;IF(Checks!$I$419="","",Checks!$I$419&amp;": ")&amp;Checks!$J$419</f>
        <v>F12-UPL-09
F&amp;B Linen: Bread linen (using table cloth) - on board</v>
      </c>
      <c r="B65" s="114" t="str">
        <f aca="false">Checks!$K$419&amp;IF(Checks!$O$419="","",IF(Checks!$K$419="","",CHAR(10))&amp;"Note: "&amp;Checks!$O$419)</f>
        <v>Available (ticked in reference)</v>
      </c>
      <c r="C65" s="114" t="str">
        <f aca="false">Checks!$N$419&amp;CHAR(10)&amp;IF(ISNUMBER(Checks!$R$419),TEXT(Checks!$R$419,"DD-MMM-YY HH:MM"),"")&amp;" "&amp;Checks!$P$419</f>
        <v>Required
12-Oct-26 22:25 KUL</v>
      </c>
      <c r="D65" s="114" t="str">
        <f aca="false">IF(Checks!$U$419="","",Checks!$U$419)&amp;IF(Checks!$AB$419="","",CHAR(10)&amp;"CA: "&amp;Checks!$AB$419)</f>
        <v/>
      </c>
      <c r="E65" s="114" t="str">
        <f aca="false">IF(Checks!$V$419="","",Checks!$V$419)&amp;IF(Checks!$AC$419="","",IF(Checks!$V$419="","",CHAR(10))&amp;"N/A just.: "&amp;Checks!$AC$419)&amp;IF(Checks!$W$419="","",CHAR(10)&amp;"Batch: "&amp;Checks!$W$419)&amp;IF(AND(Checks!$X$419="",Checks!$Y$419=""),"",CHAR(10)&amp;"Exp: "&amp;Checks!$X$419&amp;"  /  Act: "&amp;Checks!$Y$419)</f>
        <v/>
      </c>
      <c r="F65" s="114" t="str">
        <f aca="false">IF(Checks!$Z$419="","","Evidence: "&amp;Checks!$Z$419)&amp;IF(Checks!$AA$419="","",IF(Checks!$Z$419="","",CHAR(10))&amp;"CA: "&amp;Checks!$AA$419)</f>
        <v/>
      </c>
      <c r="G65" s="114" t="str">
        <f aca="false">IF(ISNUMBER(Checks!$AD$419),TEXT(Checks!$AD$419,"DD-MMM-YY HH:MM")&amp;" "&amp;Checks!$P$419,"")&amp;IF(Checks!$AE$419="","",CHAR(10)&amp;"Verifier: "&amp;Checks!$AE$419)&amp;IF(Checks!$T$419="","",CHAR(10)&amp;"PIC: "&amp;Checks!$T$419)</f>
        <v/>
      </c>
      <c r="H65" s="115" t="str">
        <f aca="false">IF(Checks!$AH$419="","",Checks!$AH$419)</f>
        <v>OPEN</v>
      </c>
    </row>
    <row r="66" customFormat="false" ht="114" hidden="false" customHeight="true" outlineLevel="0" collapsed="false">
      <c r="A66" s="114" t="str">
        <f aca="false">Checks!$A$420&amp;CHAR(10)&amp;IF(Checks!$I$420="","",Checks!$I$420&amp;": ")&amp;Checks!$J$420</f>
        <v>F12-UPL-10
F&amp;B Linen: Trolley cloth - on board</v>
      </c>
      <c r="B66" s="114" t="str">
        <f aca="false">SUBSTITUTE(Checks!$K$420&amp;IF(Checks!$O$420="","",IF(Checks!$K$420="","",CHAR(10))&amp;"Note: "&amp;Checks!$O$420),"F&amp;B LINEN!","Ref: F&amp;B LINEN!")</f>
        <v>Wide body: Top/Middle &amp; Bottom
Note: Per note Ref: F&amp;B LINEN!B79:C80.</v>
      </c>
      <c r="C66" s="114" t="str">
        <f aca="false">Checks!$N$420&amp;CHAR(10)&amp;IF(ISNUMBER(Checks!$R$420),TEXT(Checks!$R$420,"DD-MMM-YY HH:MM"),"")&amp;" "&amp;Checks!$P$420</f>
        <v>Required
12-Oct-26 22:25 KUL</v>
      </c>
      <c r="D66" s="114" t="str">
        <f aca="false">IF(Checks!$U$420="","",Checks!$U$420)&amp;IF(Checks!$AB$420="","",CHAR(10)&amp;"CA: "&amp;Checks!$AB$420)</f>
        <v/>
      </c>
      <c r="E66" s="114" t="str">
        <f aca="false">IF(Checks!$V$420="","",Checks!$V$420)&amp;IF(Checks!$AC$420="","",IF(Checks!$V$420="","",CHAR(10))&amp;"N/A just.: "&amp;Checks!$AC$420)&amp;IF(Checks!$W$420="","",CHAR(10)&amp;"Batch: "&amp;Checks!$W$420)&amp;IF(AND(Checks!$X$420="",Checks!$Y$420=""),"",CHAR(10)&amp;"Exp: "&amp;Checks!$X$420&amp;"  /  Act: "&amp;Checks!$Y$420)</f>
        <v/>
      </c>
      <c r="F66" s="114" t="str">
        <f aca="false">IF(Checks!$Z$420="","","Evidence: "&amp;Checks!$Z$420)&amp;IF(Checks!$AA$420="","",IF(Checks!$Z$420="","",CHAR(10))&amp;"CA: "&amp;Checks!$AA$420)</f>
        <v/>
      </c>
      <c r="G66" s="114" t="str">
        <f aca="false">IF(ISNUMBER(Checks!$AD$420),TEXT(Checks!$AD$420,"DD-MMM-YY HH:MM")&amp;" "&amp;Checks!$P$420,"")&amp;IF(Checks!$AE$420="","",CHAR(10)&amp;"Verifier: "&amp;Checks!$AE$420)&amp;IF(Checks!$T$420="","",CHAR(10)&amp;"PIC: "&amp;Checks!$T$420)</f>
        <v/>
      </c>
      <c r="H66" s="115" t="str">
        <f aca="false">IF(Checks!$AH$420="","",Checks!$AH$420)</f>
        <v>OPEN</v>
      </c>
    </row>
    <row r="67" customFormat="false" ht="114" hidden="false" customHeight="true" outlineLevel="0" collapsed="false">
      <c r="A67" s="114" t="str">
        <f aca="false">Checks!$A$421&amp;CHAR(10)&amp;IF(Checks!$I$421="","",Checks!$I$421&amp;": ")&amp;Checks!$J$421</f>
        <v>F12-UPL-11
F&amp;B Linen: Linen bag - on board</v>
      </c>
      <c r="B67" s="114" t="str">
        <f aca="false">Checks!$K$421&amp;IF(Checks!$O$421="","",IF(Checks!$K$421="","",CHAR(10))&amp;"Note: "&amp;Checks!$O$421)</f>
        <v>Available (ticked in reference)</v>
      </c>
      <c r="C67" s="114" t="str">
        <f aca="false">Checks!$N$421&amp;CHAR(10)&amp;IF(ISNUMBER(Checks!$R$421),TEXT(Checks!$R$421,"DD-MMM-YY HH:MM"),"")&amp;" "&amp;Checks!$P$421</f>
        <v>Required
12-Oct-26 22:25 KUL</v>
      </c>
      <c r="D67" s="114" t="str">
        <f aca="false">IF(Checks!$U$421="","",Checks!$U$421)&amp;IF(Checks!$AB$421="","",CHAR(10)&amp;"CA: "&amp;Checks!$AB$421)</f>
        <v/>
      </c>
      <c r="E67" s="114" t="str">
        <f aca="false">IF(Checks!$V$421="","",Checks!$V$421)&amp;IF(Checks!$AC$421="","",IF(Checks!$V$421="","",CHAR(10))&amp;"N/A just.: "&amp;Checks!$AC$421)&amp;IF(Checks!$W$421="","",CHAR(10)&amp;"Batch: "&amp;Checks!$W$421)&amp;IF(AND(Checks!$X$421="",Checks!$Y$421=""),"",CHAR(10)&amp;"Exp: "&amp;Checks!$X$421&amp;"  /  Act: "&amp;Checks!$Y$421)</f>
        <v/>
      </c>
      <c r="F67" s="114" t="str">
        <f aca="false">IF(Checks!$Z$421="","","Evidence: "&amp;Checks!$Z$421)&amp;IF(Checks!$AA$421="","",IF(Checks!$Z$421="","",CHAR(10))&amp;"CA: "&amp;Checks!$AA$421)</f>
        <v/>
      </c>
      <c r="G67" s="114" t="str">
        <f aca="false">IF(ISNUMBER(Checks!$AD$421),TEXT(Checks!$AD$421,"DD-MMM-YY HH:MM")&amp;" "&amp;Checks!$P$421,"")&amp;IF(Checks!$AE$421="","",CHAR(10)&amp;"Verifier: "&amp;Checks!$AE$421)&amp;IF(Checks!$T$421="","",CHAR(10)&amp;"PIC: "&amp;Checks!$T$421)</f>
        <v/>
      </c>
      <c r="H67" s="115" t="str">
        <f aca="false">IF(Checks!$AH$421="","",Checks!$AH$421)</f>
        <v>OPEN</v>
      </c>
    </row>
    <row r="68" customFormat="false" ht="114" hidden="false" customHeight="true" outlineLevel="0" collapsed="false">
      <c r="A68" s="114" t="str">
        <f aca="false">Checks!$A$422&amp;CHAR(10)&amp;IF(Checks!$I$422="","",Checks!$I$422&amp;": ")&amp;Checks!$J$422</f>
        <v>F12-UPL-12
Seat Linen: Seat pillow (BS &amp; BC) - on board</v>
      </c>
      <c r="B68" s="114" t="str">
        <f aca="false">Checks!$K$422&amp;IF(Checks!$O$422="","",IF(Checks!$K$422="","",CHAR(10))&amp;"Note: "&amp;Checks!$O$422)</f>
        <v>Available 100% (ticked in reference)</v>
      </c>
      <c r="C68" s="114" t="str">
        <f aca="false">Checks!$N$422&amp;CHAR(10)&amp;IF(ISNUMBER(Checks!$R$422),TEXT(Checks!$R$422,"DD-MMM-YY HH:MM"),"")&amp;" "&amp;Checks!$P$422</f>
        <v>Required
12-Oct-26 22:25 KUL</v>
      </c>
      <c r="D68" s="114" t="str">
        <f aca="false">IF(Checks!$U$422="","",Checks!$U$422)&amp;IF(Checks!$AB$422="","",CHAR(10)&amp;"CA: "&amp;Checks!$AB$422)</f>
        <v/>
      </c>
      <c r="E68" s="114" t="str">
        <f aca="false">IF(Checks!$V$422="","",Checks!$V$422)&amp;IF(Checks!$AC$422="","",IF(Checks!$V$422="","",CHAR(10))&amp;"N/A just.: "&amp;Checks!$AC$422)&amp;IF(Checks!$W$422="","",CHAR(10)&amp;"Batch: "&amp;Checks!$W$422)&amp;IF(AND(Checks!$X$422="",Checks!$Y$422=""),"",CHAR(10)&amp;"Exp: "&amp;Checks!$X$422&amp;"  /  Act: "&amp;Checks!$Y$422)</f>
        <v/>
      </c>
      <c r="F68" s="114" t="str">
        <f aca="false">IF(Checks!$Z$422="","","Evidence: "&amp;Checks!$Z$422)&amp;IF(Checks!$AA$422="","",IF(Checks!$Z$422="","",CHAR(10))&amp;"CA: "&amp;Checks!$AA$422)</f>
        <v/>
      </c>
      <c r="G68" s="114" t="str">
        <f aca="false">IF(ISNUMBER(Checks!$AD$422),TEXT(Checks!$AD$422,"DD-MMM-YY HH:MM")&amp;" "&amp;Checks!$P$422,"")&amp;IF(Checks!$AE$422="","",CHAR(10)&amp;"Verifier: "&amp;Checks!$AE$422)&amp;IF(Checks!$T$422="","",CHAR(10)&amp;"PIC: "&amp;Checks!$T$422)</f>
        <v/>
      </c>
      <c r="H68" s="115" t="str">
        <f aca="false">IF(Checks!$AH$422="","",Checks!$AH$422)</f>
        <v>OPEN</v>
      </c>
    </row>
    <row r="69" customFormat="false" ht="114" hidden="false" customHeight="true" outlineLevel="0" collapsed="false">
      <c r="A69" s="114" t="str">
        <f aca="false">Checks!$A$423&amp;CHAR(10)&amp;IF(Checks!$I$423="","",Checks!$I$423&amp;": ")&amp;Checks!$J$423</f>
        <v>F12-UPL-13
Seat Linen: Duvet (BS &amp; BC) - on board</v>
      </c>
      <c r="B69" s="114" t="str">
        <f aca="false">Checks!$K$423&amp;IF(Checks!$O$423="","",IF(Checks!$K$423="","",CHAR(10))&amp;"Note: "&amp;Checks!$O$423)</f>
        <v>Available 100% (ticked in reference)</v>
      </c>
      <c r="C69" s="114" t="str">
        <f aca="false">Checks!$N$423&amp;CHAR(10)&amp;IF(ISNUMBER(Checks!$R$423),TEXT(Checks!$R$423,"DD-MMM-YY HH:MM"),"")&amp;" "&amp;Checks!$P$423</f>
        <v>Required
12-Oct-26 22:25 KUL</v>
      </c>
      <c r="D69" s="114" t="str">
        <f aca="false">IF(Checks!$U$423="","",Checks!$U$423)&amp;IF(Checks!$AB$423="","",CHAR(10)&amp;"CA: "&amp;Checks!$AB$423)</f>
        <v/>
      </c>
      <c r="E69" s="114" t="str">
        <f aca="false">IF(Checks!$V$423="","",Checks!$V$423)&amp;IF(Checks!$AC$423="","",IF(Checks!$V$423="","",CHAR(10))&amp;"N/A just.: "&amp;Checks!$AC$423)&amp;IF(Checks!$W$423="","",CHAR(10)&amp;"Batch: "&amp;Checks!$W$423)&amp;IF(AND(Checks!$X$423="",Checks!$Y$423=""),"",CHAR(10)&amp;"Exp: "&amp;Checks!$X$423&amp;"  /  Act: "&amp;Checks!$Y$423)</f>
        <v/>
      </c>
      <c r="F69" s="114" t="str">
        <f aca="false">IF(Checks!$Z$423="","","Evidence: "&amp;Checks!$Z$423)&amp;IF(Checks!$AA$423="","",IF(Checks!$Z$423="","",CHAR(10))&amp;"CA: "&amp;Checks!$AA$423)</f>
        <v/>
      </c>
      <c r="G69" s="114" t="str">
        <f aca="false">IF(ISNUMBER(Checks!$AD$423),TEXT(Checks!$AD$423,"DD-MMM-YY HH:MM")&amp;" "&amp;Checks!$P$423,"")&amp;IF(Checks!$AE$423="","",CHAR(10)&amp;"Verifier: "&amp;Checks!$AE$423)&amp;IF(Checks!$T$423="","",CHAR(10)&amp;"PIC: "&amp;Checks!$T$423)</f>
        <v/>
      </c>
      <c r="H69" s="115" t="str">
        <f aca="false">IF(Checks!$AH$423="","",Checks!$AH$423)</f>
        <v>OPEN</v>
      </c>
    </row>
    <row r="70" customFormat="false" ht="114" hidden="false" customHeight="true" outlineLevel="0" collapsed="false">
      <c r="A70" s="114" t="str">
        <f aca="false">Checks!$A$424&amp;CHAR(10)&amp;IF(Checks!$I$424="","",Checks!$I$424&amp;": ")&amp;Checks!$J$424</f>
        <v>F12-UPL-14
Seat Linen: Mattress (BS &amp; BC) - on board</v>
      </c>
      <c r="B70" s="114" t="str">
        <f aca="false">Checks!$K$424&amp;IF(Checks!$O$424="","",IF(Checks!$K$424="","",CHAR(10))&amp;"Note: "&amp;Checks!$O$424)</f>
        <v>Available 100% (ticked in reference)</v>
      </c>
      <c r="C70" s="114" t="str">
        <f aca="false">Checks!$N$424&amp;CHAR(10)&amp;IF(ISNUMBER(Checks!$R$424),TEXT(Checks!$R$424,"DD-MMM-YY HH:MM"),"")&amp;" "&amp;Checks!$P$424</f>
        <v>Required
12-Oct-26 22:25 KUL</v>
      </c>
      <c r="D70" s="114" t="str">
        <f aca="false">IF(Checks!$U$424="","",Checks!$U$424)&amp;IF(Checks!$AB$424="","",CHAR(10)&amp;"CA: "&amp;Checks!$AB$424)</f>
        <v/>
      </c>
      <c r="E70" s="114" t="str">
        <f aca="false">IF(Checks!$V$424="","",Checks!$V$424)&amp;IF(Checks!$AC$424="","",IF(Checks!$V$424="","",CHAR(10))&amp;"N/A just.: "&amp;Checks!$AC$424)&amp;IF(Checks!$W$424="","",CHAR(10)&amp;"Batch: "&amp;Checks!$W$424)&amp;IF(AND(Checks!$X$424="",Checks!$Y$424=""),"",CHAR(10)&amp;"Exp: "&amp;Checks!$X$424&amp;"  /  Act: "&amp;Checks!$Y$424)</f>
        <v/>
      </c>
      <c r="F70" s="114" t="str">
        <f aca="false">IF(Checks!$Z$424="","","Evidence: "&amp;Checks!$Z$424)&amp;IF(Checks!$AA$424="","",IF(Checks!$Z$424="","",CHAR(10))&amp;"CA: "&amp;Checks!$AA$424)</f>
        <v/>
      </c>
      <c r="G70" s="114" t="str">
        <f aca="false">IF(ISNUMBER(Checks!$AD$424),TEXT(Checks!$AD$424,"DD-MMM-YY HH:MM")&amp;" "&amp;Checks!$P$424,"")&amp;IF(Checks!$AE$424="","",CHAR(10)&amp;"Verifier: "&amp;Checks!$AE$424)&amp;IF(Checks!$T$424="","",CHAR(10)&amp;"PIC: "&amp;Checks!$T$424)</f>
        <v/>
      </c>
      <c r="H70" s="115" t="str">
        <f aca="false">IF(Checks!$AH$424="","",Checks!$AH$424)</f>
        <v>OPEN</v>
      </c>
    </row>
    <row r="71" customFormat="false" ht="114" hidden="false" customHeight="true" outlineLevel="0" collapsed="false">
      <c r="A71" s="114" t="str">
        <f aca="false">Checks!$A$425&amp;CHAR(10)&amp;IF(Checks!$I$425="","",Checks!$I$425&amp;": ")&amp;Checks!$J$425</f>
        <v>F12-UPL-15
Signature Drinks: Signature drink &amp; garnish (BC) - on board</v>
      </c>
      <c r="B71" s="114" t="str">
        <f aca="false">Checks!$K$425&amp;IF(Checks!$O$425="","",IF(Checks!$K$425="","",CHAR(10))&amp;"Note: "&amp;Checks!$O$425)</f>
        <v>Available (ticked in reference)
Note: Signature drinks &amp; garnish uplifted from KUL (note D79).</v>
      </c>
      <c r="C71" s="114" t="str">
        <f aca="false">Checks!$N$425&amp;CHAR(10)&amp;IF(ISNUMBER(Checks!$R$425),TEXT(Checks!$R$425,"DD-MMM-YY HH:MM"),"")&amp;" "&amp;Checks!$P$425</f>
        <v>Required
12-Oct-26 22:25 KUL</v>
      </c>
      <c r="D71" s="114" t="str">
        <f aca="false">IF(Checks!$U$425="","",Checks!$U$425)&amp;IF(Checks!$AB$425="","",CHAR(10)&amp;"CA: "&amp;Checks!$AB$425)</f>
        <v/>
      </c>
      <c r="E71" s="114" t="str">
        <f aca="false">IF(Checks!$V$425="","",Checks!$V$425)&amp;IF(Checks!$AC$425="","",IF(Checks!$V$425="","",CHAR(10))&amp;"N/A just.: "&amp;Checks!$AC$425)&amp;IF(Checks!$W$425="","",CHAR(10)&amp;"Batch: "&amp;Checks!$W$425)&amp;IF(AND(Checks!$X$425="",Checks!$Y$425=""),"",CHAR(10)&amp;"Exp: "&amp;Checks!$X$425&amp;"  /  Act: "&amp;Checks!$Y$425)</f>
        <v/>
      </c>
      <c r="F71" s="114" t="str">
        <f aca="false">IF(Checks!$Z$425="","","Evidence: "&amp;Checks!$Z$425)&amp;IF(Checks!$AA$425="","",IF(Checks!$Z$425="","",CHAR(10))&amp;"CA: "&amp;Checks!$AA$425)</f>
        <v/>
      </c>
      <c r="G71" s="114" t="str">
        <f aca="false">IF(ISNUMBER(Checks!$AD$425),TEXT(Checks!$AD$425,"DD-MMM-YY HH:MM")&amp;" "&amp;Checks!$P$425,"")&amp;IF(Checks!$AE$425="","",CHAR(10)&amp;"Verifier: "&amp;Checks!$AE$425)&amp;IF(Checks!$T$425="","",CHAR(10)&amp;"PIC: "&amp;Checks!$T$425)</f>
        <v/>
      </c>
      <c r="H71" s="115" t="str">
        <f aca="false">IF(Checks!$AH$425="","",Checks!$AH$425)</f>
        <v>OPEN</v>
      </c>
    </row>
    <row r="72" customFormat="false" ht="114" hidden="false" customHeight="true" outlineLevel="0" collapsed="false">
      <c r="A72" s="114" t="str">
        <f aca="false">Checks!$A$426&amp;CHAR(10)&amp;IF(Checks!$I$426="","",Checks!$I$426&amp;": ")&amp;Checks!$J$426</f>
        <v>F12-UPL-16
Sales Cart: Sales cart (caterer PASB) - on board</v>
      </c>
      <c r="B72" s="114" t="str">
        <f aca="false">Checks!$K$426&amp;IF(Checks!$O$426="","",IF(Checks!$K$426="","",CHAR(10))&amp;"Note: "&amp;Checks!$O$426)</f>
        <v>Location 241 &amp; 947 (A339)
Note: Block 7.08 h &gt;= 4 h.</v>
      </c>
      <c r="C72" s="114" t="str">
        <f aca="false">Checks!$N$426&amp;CHAR(10)&amp;IF(ISNUMBER(Checks!$R$426),TEXT(Checks!$R$426,"DD-MMM-YY HH:MM"),"")&amp;" "&amp;Checks!$P$426</f>
        <v>Required
12-Oct-26 22:25 KUL</v>
      </c>
      <c r="D72" s="114" t="str">
        <f aca="false">IF(Checks!$U$426="","",Checks!$U$426)&amp;IF(Checks!$AB$426="","",CHAR(10)&amp;"CA: "&amp;Checks!$AB$426)</f>
        <v/>
      </c>
      <c r="E72" s="114" t="str">
        <f aca="false">IF(Checks!$V$426="","",Checks!$V$426)&amp;IF(Checks!$AC$426="","",IF(Checks!$V$426="","",CHAR(10))&amp;"N/A just.: "&amp;Checks!$AC$426)&amp;IF(Checks!$W$426="","",CHAR(10)&amp;"Batch: "&amp;Checks!$W$426)&amp;IF(AND(Checks!$X$426="",Checks!$Y$426=""),"",CHAR(10)&amp;"Exp: "&amp;Checks!$X$426&amp;"  /  Act: "&amp;Checks!$Y$426)</f>
        <v/>
      </c>
      <c r="F72" s="114" t="str">
        <f aca="false">IF(Checks!$Z$426="","","Evidence: "&amp;Checks!$Z$426)&amp;IF(Checks!$AA$426="","",IF(Checks!$Z$426="","",CHAR(10))&amp;"CA: "&amp;Checks!$AA$426)</f>
        <v/>
      </c>
      <c r="G72" s="114" t="str">
        <f aca="false">IF(ISNUMBER(Checks!$AD$426),TEXT(Checks!$AD$426,"DD-MMM-YY HH:MM")&amp;" "&amp;Checks!$P$426,"")&amp;IF(Checks!$AE$426="","",CHAR(10)&amp;"Verifier: "&amp;Checks!$AE$426)&amp;IF(Checks!$T$426="","",CHAR(10)&amp;"PIC: "&amp;Checks!$T$426)</f>
        <v/>
      </c>
      <c r="H72" s="115" t="str">
        <f aca="false">IF(Checks!$AH$426="","",Checks!$AH$426)</f>
        <v>OPEN</v>
      </c>
    </row>
    <row r="74" customFormat="false" ht="24" hidden="false" customHeight="true" outlineLevel="0" collapsed="false">
      <c r="A74" s="116" t="s">
        <v>1737</v>
      </c>
      <c r="B74" s="116"/>
      <c r="C74" s="116"/>
      <c r="D74" s="116"/>
      <c r="E74" s="116" t="s">
        <v>1738</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F12 MH0139 12-Oct-26 KUL-ADL Class BC</oddHeader>
    <oddFooter>&amp;L&amp;"Arial,Bold"&amp;8 F12 MH0139 12-Oct-26 KUL-ADL Class BC&amp;C&amp;"Arial,Regular"&amp;8 Printed: ____________________&amp;R&amp;"Arial,Regular"&amp;8 F12  Page &amp;P of &amp;N</oddFooter>
  </headerFooter>
  <rowBreaks count="13" manualBreakCount="13">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brk id="71" man="true" max="16383" min="0"/>
  </rowBreaks>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F13  "&amp;Flights!$F$17&amp;"  "&amp;TEXT(Flights!$D$17,"DD-MMM-YY")&amp;" ("&amp;Flights!$E$17&amp;")  "&amp;Flights!$G$17&amp;" → "&amp;Flights!$H$17&amp;"  |  Class "&amp;Flights!$K$17</f>
        <v>SKYTRAX 2026 CATERING READINESS CHECKLIST  |  F13  MH0138  14-Oct-26 (WED)  ADL → KUL  |  Class EY</v>
      </c>
      <c r="B1" s="92"/>
      <c r="C1" s="92"/>
      <c r="D1" s="92"/>
      <c r="E1" s="92"/>
      <c r="F1" s="92"/>
      <c r="G1" s="92"/>
      <c r="H1" s="92"/>
    </row>
    <row r="2" customFormat="false" ht="12.75" hidden="false" customHeight="true" outlineLevel="0" collapsed="false">
      <c r="A2" s="93" t="s">
        <v>1692</v>
      </c>
      <c r="B2" s="94" t="str">
        <f aca="false">Flights!$F$17&amp;"   "&amp;TEXT(Flights!$D$17,"DD-MMM-YY")&amp;" ("&amp;Flights!$E$17&amp;")"</f>
        <v>MH0138   14-Oct-26 (WED)</v>
      </c>
      <c r="C2" s="94"/>
      <c r="D2" s="94"/>
      <c r="E2" s="95" t="s">
        <v>1693</v>
      </c>
      <c r="F2" s="96" t="str">
        <f aca="false">Flights!$AT$17</f>
        <v>NOT READY – DOCUMENTS</v>
      </c>
      <c r="G2" s="96"/>
      <c r="H2" s="96"/>
    </row>
    <row r="3" customFormat="false" ht="24" hidden="false" customHeight="true" outlineLevel="0" collapsed="false">
      <c r="A3" s="93" t="s">
        <v>1694</v>
      </c>
      <c r="B3" s="94" t="str">
        <f aca="false">Flights!$G$17&amp;" → "&amp;Flights!$H$17&amp;"   Class "&amp;Flights!$K$17&amp;"   Seat "&amp;Flights!$O$17</f>
        <v>ADL → KUL   Class EY   Seat 11K</v>
      </c>
      <c r="C3" s="94"/>
      <c r="D3" s="94"/>
      <c r="E3" s="95" t="s">
        <v>71</v>
      </c>
      <c r="F3" s="95" t="s">
        <v>1695</v>
      </c>
      <c r="G3" s="95" t="s">
        <v>1696</v>
      </c>
      <c r="H3" s="95"/>
    </row>
    <row r="4" customFormat="false" ht="24" hidden="false" customHeight="true" outlineLevel="0" collapsed="false">
      <c r="A4" s="93" t="s">
        <v>1697</v>
      </c>
      <c r="B4" s="94" t="str">
        <f aca="false">IF(ISNUMBER(Flights!$I$17),TEXT(Flights!$I$17,"DD-MMM-YY HH:MM"),"")&amp;" "&amp;Flights!$G$17&amp;"  →  "&amp;IF(ISNUMBER(Flights!$J$17),TEXT(Flights!$J$17,"DD-MMM-YY HH:MM"),"")&amp;" "&amp;Flights!$H$17</f>
        <v>14-Oct-26 10:45 ADL  →  14-Oct-26 16:00 KUL</v>
      </c>
      <c r="C4" s="94"/>
      <c r="D4" s="94"/>
      <c r="E4" s="93" t="s">
        <v>1698</v>
      </c>
      <c r="F4" s="97" t="str">
        <f aca="false">IF(ISNUMBER(Flights!$AG$17),TEXT(Flights!$AG$17,"DD-MMM-YY HH:MM"),"")&amp;" "&amp;Flights!$V$17</f>
        <v>07-Oct-26 10:45 ADL</v>
      </c>
      <c r="G4" s="98" t="n">
        <f aca="false">Flights!$AJ$17</f>
        <v>0</v>
      </c>
      <c r="H4" s="98"/>
    </row>
    <row r="5" customFormat="false" ht="24" hidden="false" customHeight="true" outlineLevel="0" collapsed="false">
      <c r="A5" s="93" t="s">
        <v>1699</v>
      </c>
      <c r="B5" s="94" t="str">
        <f aca="false">Flights!$L$17&amp;" – "&amp;Flights!$M$17</f>
        <v>A339 – A330-900 (A339)</v>
      </c>
      <c r="C5" s="94"/>
      <c r="D5" s="94"/>
      <c r="E5" s="93" t="s">
        <v>1700</v>
      </c>
      <c r="F5" s="97" t="str">
        <f aca="false">IF(ISNUMBER(Flights!$AH$17),TEXT(Flights!$AH$17,"DD-MMM-YY HH:MM"),"")&amp;" "&amp;Flights!$V$17</f>
        <v>13-Oct-26 10:45 ADL</v>
      </c>
      <c r="G5" s="98" t="n">
        <f aca="false">Flights!$AK$17</f>
        <v>0</v>
      </c>
      <c r="H5" s="98"/>
    </row>
    <row r="6" customFormat="false" ht="24" hidden="false" customHeight="true" outlineLevel="0" collapsed="false">
      <c r="A6" s="93" t="s">
        <v>1701</v>
      </c>
      <c r="B6" s="94" t="str">
        <f aca="false">IF(TRIM(Flights!$N$17)="","__________________",Flights!$N$17)</f>
        <v>__________________</v>
      </c>
      <c r="C6" s="94"/>
      <c r="D6" s="94"/>
      <c r="E6" s="93" t="s">
        <v>1702</v>
      </c>
      <c r="F6" s="97" t="str">
        <f aca="false">IF(ISNUMBER(Flights!$AI$17),TEXT(Flights!$AI$17,"DD-MMM-YY HH:MM"),"")&amp;" "&amp;Flights!$V$17&amp;IF(Flights!$AI$17=Flights!$AH$17,"  (= T-24H due)","")</f>
        <v>13-Oct-26 22:45 ADL</v>
      </c>
      <c r="G6" s="98" t="n">
        <f aca="false">Flights!$AL$17</f>
        <v>0</v>
      </c>
      <c r="H6" s="98"/>
    </row>
    <row r="7" customFormat="false" ht="24" hidden="false" customHeight="true" outlineLevel="0" collapsed="false">
      <c r="A7" s="93" t="s">
        <v>1703</v>
      </c>
      <c r="B7" s="94" t="str">
        <f aca="false">Flights!$T$17</f>
        <v>1.5 Meal (Meal)</v>
      </c>
      <c r="C7" s="94"/>
      <c r="D7" s="94"/>
      <c r="E7" s="93" t="s">
        <v>1704</v>
      </c>
      <c r="F7" s="97" t="str">
        <f aca="false">"STD "&amp;IF(ISNUMBER(Flights!$I$17),TEXT(Flights!$I$17,"DD-MMM-YY HH:MM"),"")&amp;" "&amp;Flights!$G$17&amp;" (dep stn)"</f>
        <v>STD 14-Oct-26 10:45 ADL (dep stn)</v>
      </c>
      <c r="G7" s="98" t="n">
        <f aca="false">Flights!$AM$17</f>
        <v>0</v>
      </c>
      <c r="H7" s="98"/>
    </row>
    <row r="8" customFormat="false" ht="12.75" hidden="false" customHeight="true" outlineLevel="0" collapsed="false">
      <c r="A8" s="93" t="s">
        <v>153</v>
      </c>
      <c r="B8" s="94" t="str">
        <f aca="false">Flights!$V$17&amp;"   (reference uplift stns: "&amp;Flights!$U$17&amp;")"</f>
        <v>ADL   (reference uplift stns: KUL/ADL)</v>
      </c>
      <c r="C8" s="94"/>
      <c r="D8" s="94"/>
      <c r="E8" s="93" t="s">
        <v>1705</v>
      </c>
      <c r="F8" s="99" t="s">
        <v>1706</v>
      </c>
      <c r="G8" s="98" t="n">
        <f aca="false">Flights!$AN$17</f>
        <v>0</v>
      </c>
      <c r="H8" s="98"/>
    </row>
    <row r="9" customFormat="false" ht="12.75" hidden="false" customHeight="true" outlineLevel="0" collapsed="false">
      <c r="A9" s="93" t="s">
        <v>1707</v>
      </c>
      <c r="B9" s="94" t="str">
        <f aca="false">TRIM(Flights!$P$17&amp;"  "&amp;Flights!$Q$17)</f>
        <v>- Overnight KUL</v>
      </c>
      <c r="C9" s="94"/>
      <c r="D9" s="94"/>
      <c r="E9" s="93" t="s">
        <v>1708</v>
      </c>
      <c r="F9" s="100" t="n">
        <f aca="false">Flights!$AP$17</f>
        <v>0</v>
      </c>
      <c r="G9" s="100" t="n">
        <f aca="false">Flights!$AQ$17</f>
        <v>0</v>
      </c>
      <c r="H9" s="100" t="n">
        <f aca="false">Flights!$AU$17</f>
        <v>0</v>
      </c>
    </row>
    <row r="10" customFormat="false" ht="24" hidden="false" customHeight="true" outlineLevel="0" collapsed="false">
      <c r="A10" s="93" t="s">
        <v>1709</v>
      </c>
      <c r="B10" s="94" t="str">
        <f aca="false">IF(TRIM(Flights!$X$17)="","__________________",Flights!$X$17)</f>
        <v>__________________</v>
      </c>
      <c r="C10" s="94"/>
      <c r="D10" s="94"/>
      <c r="E10" s="93" t="s">
        <v>1710</v>
      </c>
      <c r="F10" s="100" t="n">
        <f aca="false">Flights!$AO$17</f>
        <v>29</v>
      </c>
      <c r="G10" s="100" t="n">
        <f aca="false">Flights!$AS$17</f>
        <v>3</v>
      </c>
      <c r="H10" s="100" t="n">
        <f aca="false">Flights!$AR$17</f>
        <v>2</v>
      </c>
    </row>
    <row r="11" customFormat="false" ht="21" hidden="false" customHeight="true" outlineLevel="0" collapsed="false">
      <c r="A11" s="93" t="s">
        <v>1711</v>
      </c>
      <c r="B11" s="94" t="str">
        <f aca="false">IF(TRIM(Flights!$Y$17)="","__________________",Flights!$Y$17)</f>
        <v>__________________</v>
      </c>
      <c r="C11" s="94"/>
      <c r="D11" s="94"/>
      <c r="E11" s="93" t="s">
        <v>1712</v>
      </c>
      <c r="F11" s="100" t="str">
        <f aca="false">Flights!$AV$17&amp;" / "&amp;Flights!$AW$17</f>
        <v>0 / 29</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"&amp;IF(ISNUMBER(Flights!$AY$17),TEXT(Flights!$AY$17+IFERROR(INDEX(Settings!$C$13:$C$22,MATCH("KUL",Settings!$A$13:$A$22,0)),8)/24,"DD-MMM-YY HH:MM")&amp;" KUL","(not set)")&amp;"   |   Carrying flight KUL departure (loading confirmed by): "&amp;IF(ISNUMBER(Flights!$AY$17),TEXT(Flights!$AY$17+UpliftWindowH/24+IFERROR(INDEX(Settings!$C$13:$C$22,MATCH("KUL",Settings!$A$13:$A$22,0)),8)/24,"DD-MMM-YY HH:MM")&amp;" KUL","(not set)")&amp;IF(ISNUMBER(Flights!$AX$17),"",IF(TRIM(Flights!$W$17)&lt;&gt;"","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12-Oct-26 16:25 KUL   |   Carrying flight KUL departure (loading confirmed by): 12-Oct-26 22:25 KUL (latest possible – enter actual on Flights AX)</v>
      </c>
      <c r="B13" s="118"/>
      <c r="C13" s="118"/>
      <c r="D13" s="118"/>
      <c r="E13" s="118"/>
      <c r="F13" s="118"/>
      <c r="G13" s="118"/>
      <c r="H13" s="118"/>
    </row>
    <row r="14" customFormat="false" ht="13.5" hidden="false" customHeight="true" outlineLevel="0" collapsed="false">
      <c r="A14" s="95" t="s">
        <v>1717</v>
      </c>
      <c r="B14" s="95" t="s">
        <v>1718</v>
      </c>
      <c r="C14" s="95" t="s">
        <v>1719</v>
      </c>
      <c r="D14" s="95"/>
      <c r="E14" s="95" t="s">
        <v>1720</v>
      </c>
      <c r="F14" s="95" t="s">
        <v>1721</v>
      </c>
      <c r="G14" s="95"/>
      <c r="H14" s="95"/>
    </row>
    <row r="15" customFormat="false" ht="36" hidden="false" customHeight="true" outlineLevel="0" collapsed="false">
      <c r="A15" s="93" t="s">
        <v>1722</v>
      </c>
      <c r="B15" s="94" t="str">
        <f aca="false">IF(Documents!$F$17="","",Documents!$F$17)</f>
        <v/>
      </c>
      <c r="C15" s="99" t="str">
        <f aca="false">IF(Documents!$G$17="","",Documents!$G$17)&amp;IF(ISNUMBER(Documents!$H$17),"  "&amp;TEXT(Documents!$H$17,"DD-MMM-YY"),"")</f>
        <v/>
      </c>
      <c r="D15" s="99"/>
      <c r="E15" s="107" t="str">
        <f aca="false">IF(Documents!$J$17="OUTSTANDING","OUTSTANDING – attach before T-7D (due "&amp;IF(ISNUMBER(Flights!$AG$17),TEXT(Flights!$AG$17,"DD-MMM-YY HH:MM"),"")&amp;" "&amp;Flights!$V$17&amp;")",IF(Documents!$J$17="","Status not recorded",Documents!$J$17))</f>
        <v>OUTSTANDING – attach before T-7D (due 07-Oct-26 10:45 ADL)</v>
      </c>
      <c r="F15" s="108" t="str">
        <f aca="false">"Staple behind this sheet as page A1."&amp;IF(Documents!$I$17="",""," Location: "&amp;Documents!$I$17)</f>
        <v>Staple behind this sheet as page A1.</v>
      </c>
      <c r="G15" s="108"/>
      <c r="H15" s="108"/>
    </row>
    <row r="16" customFormat="false" ht="36" hidden="false" customHeight="true" outlineLevel="0" collapsed="false">
      <c r="A16" s="93" t="s">
        <v>1723</v>
      </c>
      <c r="B16" s="94" t="str">
        <f aca="false">IF(Documents!$K$17="","",Documents!$K$17)</f>
        <v/>
      </c>
      <c r="C16" s="99" t="str">
        <f aca="false">IF(Documents!$L$17="","",Documents!$L$17)&amp;IF(ISNUMBER(Documents!$M$17),"  "&amp;TEXT(Documents!$M$17,"DD-MMM-YY"),"")</f>
        <v/>
      </c>
      <c r="D16" s="99"/>
      <c r="E16" s="107" t="str">
        <f aca="false">IF(Documents!$O$17="OUTSTANDING","OUTSTANDING – attach before T-7D (due "&amp;IF(ISNUMBER(Flights!$AG$17),TEXT(Flights!$AG$17,"DD-MMM-YY HH:MM"),"")&amp;" "&amp;Flights!$V$17&amp;")",IF(Documents!$O$17="","Status not recorded",Documents!$O$17))</f>
        <v>OUTSTANDING – attach before T-7D (due 07-Oct-26 10:45 ADL)</v>
      </c>
      <c r="F16" s="108" t="str">
        <f aca="false">"Staple behind this sheet as page A2."&amp;IF(Documents!$N$17="",""," Location: "&amp;Documents!$N$17)</f>
        <v>Staple behind this sheet as page A2.</v>
      </c>
      <c r="G16" s="108"/>
      <c r="H16" s="108"/>
    </row>
    <row r="17" customFormat="false" ht="22.5" hidden="false" customHeight="true" outlineLevel="0" collapsed="false">
      <c r="A17" s="93" t="s">
        <v>1724</v>
      </c>
      <c r="B17" s="109" t="str">
        <f aca="false">IF(Documents!$Q$17="","",Documents!$Q$17)</f>
        <v>Not supplied with brief – obtain from caterer / MAGCS.</v>
      </c>
      <c r="C17" s="109"/>
      <c r="D17" s="109"/>
      <c r="E17" s="109"/>
      <c r="F17" s="109"/>
      <c r="G17" s="109"/>
      <c r="H17" s="109"/>
    </row>
    <row r="18" customFormat="false" ht="13.5" hidden="false" customHeight="true" outlineLevel="0" collapsed="false">
      <c r="A18" s="110" t="s">
        <v>1725</v>
      </c>
      <c r="B18" s="110"/>
      <c r="C18" s="110" t="s">
        <v>1726</v>
      </c>
      <c r="D18" s="110"/>
      <c r="E18" s="110"/>
      <c r="F18" s="110" t="s">
        <v>1727</v>
      </c>
      <c r="G18" s="110"/>
      <c r="H18" s="110"/>
    </row>
    <row r="19" customFormat="false" ht="18" hidden="false" customHeight="true" outlineLevel="0" collapsed="false">
      <c r="A19" s="94" t="str">
        <f aca="false">"Name: "&amp;IF(TRIM(Flights!$Y$17)="","__________________",Flights!$Y$17)</f>
        <v>Name: __________________</v>
      </c>
      <c r="B19" s="94"/>
      <c r="C19" s="94" t="str">
        <f aca="false">"Name: __________________"</f>
        <v>Name: __________________</v>
      </c>
      <c r="D19" s="94"/>
      <c r="E19" s="94"/>
      <c r="F19" s="94" t="str">
        <f aca="false">"Name: __________________"&amp;"   Station: "&amp;Flights!$V$17</f>
        <v>Name: __________________   Station: ADL</v>
      </c>
      <c r="G19" s="94"/>
      <c r="H19" s="94"/>
    </row>
    <row r="20" customFormat="false" ht="30" hidden="false" customHeight="true" outlineLevel="0" collapsed="false">
      <c r="A20" s="111" t="s">
        <v>1728</v>
      </c>
      <c r="B20" s="111"/>
      <c r="C20" s="111" t="s">
        <v>1728</v>
      </c>
      <c r="D20" s="111"/>
      <c r="E20" s="111"/>
      <c r="F20" s="111" t="s">
        <v>1728</v>
      </c>
      <c r="G20" s="111"/>
      <c r="H20" s="111"/>
    </row>
    <row r="21" customFormat="false" ht="13.5" hidden="false" customHeight="true" outlineLevel="0" collapsed="false">
      <c r="A21" s="112" t="s">
        <v>1729</v>
      </c>
      <c r="B21" s="112"/>
      <c r="C21" s="112"/>
      <c r="D21" s="112"/>
      <c r="E21" s="112"/>
      <c r="F21" s="112"/>
      <c r="G21" s="112"/>
      <c r="H21" s="112"/>
    </row>
    <row r="22" customFormat="false" ht="24" hidden="false" customHeight="true" outlineLevel="0" collapsed="false">
      <c r="A22" s="95" t="s">
        <v>1730</v>
      </c>
      <c r="B22" s="95" t="s">
        <v>1731</v>
      </c>
      <c r="C22" s="95" t="s">
        <v>1732</v>
      </c>
      <c r="D22" s="95" t="s">
        <v>1733</v>
      </c>
      <c r="E22" s="95" t="s">
        <v>1734</v>
      </c>
      <c r="F22" s="95" t="s">
        <v>1735</v>
      </c>
      <c r="G22" s="95" t="s">
        <v>1736</v>
      </c>
      <c r="H22" s="95" t="s">
        <v>124</v>
      </c>
    </row>
    <row r="23" customFormat="false" ht="25.5" hidden="false" customHeight="true" outlineLevel="0" collapsed="false">
      <c r="A23" s="113" t="str">
        <f aca="false">"T-7D — 7 days before departure  |  Due "&amp;IF(ISNUMBER(Flights!$AG$17),TEXT(Flights!$AG$17,"DD-MMM-YY HH:MM"),"")&amp;" "&amp;Flights!$V$17&amp;" (meal uplift stn)"&amp;" (rows with another due show their own)  |  Complete "&amp;IF(ISNUMBER(Flights!$AJ$17),TEXT(Flights!$AJ$17,"0%"),Flights!$AJ$17)&amp;"  |  10 lines"</f>
        <v>T-7D — 7 days before departure  |  Due 07-Oct-26 10:45 ADL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Checks!$A$427&amp;CHAR(10)&amp;IF(Checks!$I$427="","",Checks!$I$427&amp;": ")&amp;Checks!$J$427</f>
        <v>F13-T7-01
Meal: Meal sensory testing completed for this flight's menu cycle (assessed class)</v>
      </c>
      <c r="B24" s="114" t="str">
        <f aca="false">Checks!$K$427&amp;IF(Checks!$O$427="","",IF(Checks!$K$427="","",CHAR(10))&amp;"Note: "&amp;Checks!$O$427)</f>
        <v>Record panel result / score in Result</v>
      </c>
      <c r="C24" s="114" t="str">
        <f aca="false">Checks!$N$427&amp;CHAR(10)&amp;IF(ISNUMBER(Checks!$R$427),TEXT(Checks!$R$427,"DD-MMM-YY HH:MM"),"")&amp;" "&amp;Checks!$P$427</f>
        <v>Required
07-Oct-26 10:45 ADL</v>
      </c>
      <c r="D24" s="114" t="str">
        <f aca="false">IF(Checks!$U$427="","",Checks!$U$427)&amp;IF(Checks!$AB$427="","",CHAR(10)&amp;"CA: "&amp;Checks!$AB$427)</f>
        <v/>
      </c>
      <c r="E24" s="114" t="str">
        <f aca="false">IF(Checks!$V$427="","",Checks!$V$427)&amp;IF(Checks!$AC$427="","",IF(Checks!$V$427="","",CHAR(10))&amp;"N/A just.: "&amp;Checks!$AC$427)&amp;IF(Checks!$W$427="","",CHAR(10)&amp;"Batch: "&amp;Checks!$W$427)&amp;IF(AND(Checks!$X$427="",Checks!$Y$427=""),"",CHAR(10)&amp;"Exp: "&amp;Checks!$X$427&amp;"  /  Act: "&amp;Checks!$Y$427)</f>
        <v/>
      </c>
      <c r="F24" s="114" t="str">
        <f aca="false">IF(Checks!$Z$427="","","Evidence: "&amp;Checks!$Z$427)&amp;IF(Checks!$AA$427="","",IF(Checks!$Z$427="","",CHAR(10))&amp;"CA: "&amp;Checks!$AA$427)</f>
        <v/>
      </c>
      <c r="G24" s="114" t="str">
        <f aca="false">IF(ISNUMBER(Checks!$AD$427),TEXT(Checks!$AD$427,"DD-MMM-YY HH:MM")&amp;" "&amp;Checks!$P$427,"")&amp;IF(Checks!$AE$427="","",CHAR(10)&amp;"Verifier: "&amp;Checks!$AE$427)&amp;IF(Checks!$T$427="","",CHAR(10)&amp;"PIC: "&amp;Checks!$T$427)</f>
        <v/>
      </c>
      <c r="H24" s="115" t="str">
        <f aca="false">IF(Checks!$AH$427="","",Checks!$AH$427)</f>
        <v>OPEN</v>
      </c>
    </row>
    <row r="25" customFormat="false" ht="114" hidden="false" customHeight="true" outlineLevel="0" collapsed="false">
      <c r="A25" s="114" t="str">
        <f aca="false">Checks!$A$428&amp;CHAR(10)&amp;IF(Checks!$I$428="","",Checks!$I$428&amp;": ")&amp;Checks!$J$428</f>
        <v>F13-T7-02
Menu: Printed menu cards confirmed (content, cycle, language, quantity)</v>
      </c>
      <c r="B25" s="114" t="str">
        <f aca="false">Checks!$K$428&amp;IF(Checks!$O$428="","",IF(Checks!$K$428="","",CHAR(10))&amp;"Note: "&amp;Checks!$O$428)</f>
        <v>Menu card matches approved menu for this flight</v>
      </c>
      <c r="C25" s="114" t="str">
        <f aca="false">Checks!$N$428&amp;CHAR(10)&amp;IF(ISNUMBER(Checks!$R$428),TEXT(Checks!$R$428,"DD-MMM-YY HH:MM"),"")&amp;" "&amp;Checks!$P$428</f>
        <v>Required
07-Oct-26 10:45 ADL</v>
      </c>
      <c r="D25" s="114" t="str">
        <f aca="false">IF(Checks!$U$428="","",Checks!$U$428)&amp;IF(Checks!$AB$428="","",CHAR(10)&amp;"CA: "&amp;Checks!$AB$428)</f>
        <v/>
      </c>
      <c r="E25" s="114" t="str">
        <f aca="false">IF(Checks!$V$428="","",Checks!$V$428)&amp;IF(Checks!$AC$428="","",IF(Checks!$V$428="","",CHAR(10))&amp;"N/A just.: "&amp;Checks!$AC$428)&amp;IF(Checks!$W$428="","",CHAR(10)&amp;"Batch: "&amp;Checks!$W$428)&amp;IF(AND(Checks!$X$428="",Checks!$Y$428=""),"",CHAR(10)&amp;"Exp: "&amp;Checks!$X$428&amp;"  /  Act: "&amp;Checks!$Y$428)</f>
        <v/>
      </c>
      <c r="F25" s="114" t="str">
        <f aca="false">IF(Checks!$Z$428="","","Evidence: "&amp;Checks!$Z$428)&amp;IF(Checks!$AA$428="","",IF(Checks!$Z$428="","",CHAR(10))&amp;"CA: "&amp;Checks!$AA$428)</f>
        <v/>
      </c>
      <c r="G25" s="114" t="str">
        <f aca="false">IF(ISNUMBER(Checks!$AD$428),TEXT(Checks!$AD$428,"DD-MMM-YY HH:MM")&amp;" "&amp;Checks!$P$428,"")&amp;IF(Checks!$AE$428="","",CHAR(10)&amp;"Verifier: "&amp;Checks!$AE$428)&amp;IF(Checks!$T$428="","",CHAR(10)&amp;"PIC: "&amp;Checks!$T$428)</f>
        <v/>
      </c>
      <c r="H25" s="115" t="str">
        <f aca="false">IF(Checks!$AH$428="","",Checks!$AH$428)</f>
        <v>OPEN</v>
      </c>
    </row>
    <row r="26" customFormat="false" ht="114" hidden="false" customHeight="true" outlineLevel="0" collapsed="false">
      <c r="A26" s="114" t="str">
        <f aca="false">Checks!$A$429&amp;CHAR(10)&amp;IF(Checks!$I$429="","",Checks!$I$429&amp;": ")&amp;Checks!$J$429</f>
        <v>F13-T7-03
IFE: Digital menu in IFE confirmed (A339 only)</v>
      </c>
      <c r="B26" s="114" t="str">
        <f aca="false">Checks!$K$429&amp;IF(Checks!$O$429="","",IF(Checks!$K$429="","",CHAR(10))&amp;"Note: "&amp;Checks!$O$429)</f>
        <v>Applies when fleet = A339
Note: Digital IFE menu applies to A339 only (user brief). Applicability follows the Fleet cell on Flights.</v>
      </c>
      <c r="C26" s="114" t="str">
        <f aca="false">Checks!$N$429&amp;CHAR(10)&amp;IF(ISNUMBER(Checks!$R$429),TEXT(Checks!$R$429,"DD-MMM-YY HH:MM"),"")&amp;" "&amp;Checks!$P$429</f>
        <v>Required
07-Oct-26 10:45 ADL</v>
      </c>
      <c r="D26" s="114" t="str">
        <f aca="false">IF(Checks!$U$429="","",Checks!$U$429)&amp;IF(Checks!$AB$429="","",CHAR(10)&amp;"CA: "&amp;Checks!$AB$429)</f>
        <v/>
      </c>
      <c r="E26" s="114" t="str">
        <f aca="false">IF(Checks!$V$429="","",Checks!$V$429)&amp;IF(Checks!$AC$429="","",IF(Checks!$V$429="","",CHAR(10))&amp;"N/A just.: "&amp;Checks!$AC$429)&amp;IF(Checks!$W$429="","",CHAR(10)&amp;"Batch: "&amp;Checks!$W$429)&amp;IF(AND(Checks!$X$429="",Checks!$Y$429=""),"",CHAR(10)&amp;"Exp: "&amp;Checks!$X$429&amp;"  /  Act: "&amp;Checks!$Y$429)</f>
        <v/>
      </c>
      <c r="F26" s="114" t="str">
        <f aca="false">IF(Checks!$Z$429="","","Evidence: "&amp;Checks!$Z$429)&amp;IF(Checks!$AA$429="","",IF(Checks!$Z$429="","",CHAR(10))&amp;"CA: "&amp;Checks!$AA$429)</f>
        <v/>
      </c>
      <c r="G26" s="114" t="str">
        <f aca="false">IF(ISNUMBER(Checks!$AD$429),TEXT(Checks!$AD$429,"DD-MMM-YY HH:MM")&amp;" "&amp;Checks!$P$429,"")&amp;IF(Checks!$AE$429="","",CHAR(10)&amp;"Verifier: "&amp;Checks!$AE$429)&amp;IF(Checks!$T$429="","",CHAR(10)&amp;"PIC: "&amp;Checks!$T$429)</f>
        <v/>
      </c>
      <c r="H26" s="115" t="str">
        <f aca="false">IF(Checks!$AH$429="","",Checks!$AH$429)</f>
        <v>OPEN</v>
      </c>
    </row>
    <row r="27" customFormat="false" ht="114" hidden="false" customHeight="true" outlineLevel="0" collapsed="false">
      <c r="A27" s="114" t="str">
        <f aca="false">Checks!$A$430&amp;CHAR(10)&amp;IF(Checks!$I$430="","",Checks!$I$430&amp;": ")&amp;Checks!$J$430</f>
        <v>F13-T7-04
Staffing: Experienced catering officer assigned to this flight</v>
      </c>
      <c r="B27" s="114" t="str">
        <f aca="false">Checks!$K$430&amp;IF(Checks!$O$430="","",IF(Checks!$K$430="","",CHAR(10))&amp;"Note: "&amp;Checks!$O$430)</f>
        <v>Record officer name in Result</v>
      </c>
      <c r="C27" s="114" t="str">
        <f aca="false">Checks!$N$430&amp;CHAR(10)&amp;IF(ISNUMBER(Checks!$R$430),TEXT(Checks!$R$430,"DD-MMM-YY HH:MM"),"")&amp;" "&amp;Checks!$P$430</f>
        <v>Required
07-Oct-26 10:45 ADL</v>
      </c>
      <c r="D27" s="114" t="str">
        <f aca="false">IF(Checks!$U$430="","",Checks!$U$430)&amp;IF(Checks!$AB$430="","",CHAR(10)&amp;"CA: "&amp;Checks!$AB$430)</f>
        <v/>
      </c>
      <c r="E27" s="114" t="str">
        <f aca="false">IF(Checks!$V$430="","",Checks!$V$430)&amp;IF(Checks!$AC$430="","",IF(Checks!$V$430="","",CHAR(10))&amp;"N/A just.: "&amp;Checks!$AC$430)&amp;IF(Checks!$W$430="","",CHAR(10)&amp;"Batch: "&amp;Checks!$W$430)&amp;IF(AND(Checks!$X$430="",Checks!$Y$430=""),"",CHAR(10)&amp;"Exp: "&amp;Checks!$X$430&amp;"  /  Act: "&amp;Checks!$Y$430)</f>
        <v/>
      </c>
      <c r="F27" s="114" t="str">
        <f aca="false">IF(Checks!$Z$430="","","Evidence: "&amp;Checks!$Z$430)&amp;IF(Checks!$AA$430="","",IF(Checks!$Z$430="","",CHAR(10))&amp;"CA: "&amp;Checks!$AA$430)</f>
        <v/>
      </c>
      <c r="G27" s="114" t="str">
        <f aca="false">IF(ISNUMBER(Checks!$AD$430),TEXT(Checks!$AD$430,"DD-MMM-YY HH:MM")&amp;" "&amp;Checks!$P$430,"")&amp;IF(Checks!$AE$430="","",CHAR(10)&amp;"Verifier: "&amp;Checks!$AE$430)&amp;IF(Checks!$T$430="","",CHAR(10)&amp;"PIC: "&amp;Checks!$T$430)</f>
        <v/>
      </c>
      <c r="H27" s="115" t="str">
        <f aca="false">IF(Checks!$AH$430="","",Checks!$AH$430)</f>
        <v>OPEN</v>
      </c>
    </row>
    <row r="28" customFormat="false" ht="114" hidden="false" customHeight="true" outlineLevel="0" collapsed="false">
      <c r="A28" s="114" t="str">
        <f aca="false">Checks!$A$431&amp;CHAR(10)&amp;IF(Checks!$I$431="","",Checks!$I$431&amp;": ")&amp;Checks!$J$431</f>
        <v>F13-T7-05
ISOP: All latest applicable ISOP revisions communicated to caterer</v>
      </c>
      <c r="B28" s="114" t="str">
        <f aca="false">Checks!$K$431&amp;IF(Checks!$O$431="","",IF(Checks!$K$431="","",CHAR(10))&amp;"Note: "&amp;Checks!$O$431)</f>
        <v>List revision numbers in Result (see ISOP register)</v>
      </c>
      <c r="C28" s="114" t="str">
        <f aca="false">Checks!$N$431&amp;CHAR(10)&amp;IF(ISNUMBER(Checks!$R$431),TEXT(Checks!$R$431,"DD-MMM-YY HH:MM"),"")&amp;" "&amp;Checks!$P$431</f>
        <v>Required
07-Oct-26 10:45 ADL</v>
      </c>
      <c r="D28" s="114" t="str">
        <f aca="false">IF(Checks!$U$431="","",Checks!$U$431)&amp;IF(Checks!$AB$431="","",CHAR(10)&amp;"CA: "&amp;Checks!$AB$431)</f>
        <v/>
      </c>
      <c r="E28" s="114" t="str">
        <f aca="false">IF(Checks!$V$431="","",Checks!$V$431)&amp;IF(Checks!$AC$431="","",IF(Checks!$V$431="","",CHAR(10))&amp;"N/A just.: "&amp;Checks!$AC$431)&amp;IF(Checks!$W$431="","",CHAR(10)&amp;"Batch: "&amp;Checks!$W$431)&amp;IF(AND(Checks!$X$431="",Checks!$Y$431=""),"",CHAR(10)&amp;"Exp: "&amp;Checks!$X$431&amp;"  /  Act: "&amp;Checks!$Y$431)</f>
        <v/>
      </c>
      <c r="F28" s="114" t="str">
        <f aca="false">IF(Checks!$Z$431="","","Evidence: "&amp;Checks!$Z$431)&amp;IF(Checks!$AA$431="","",IF(Checks!$Z$431="","",CHAR(10))&amp;"CA: "&amp;Checks!$AA$431)</f>
        <v/>
      </c>
      <c r="G28" s="114" t="str">
        <f aca="false">IF(ISNUMBER(Checks!$AD$431),TEXT(Checks!$AD$431,"DD-MMM-YY HH:MM")&amp;" "&amp;Checks!$P$431,"")&amp;IF(Checks!$AE$431="","",CHAR(10)&amp;"Verifier: "&amp;Checks!$AE$431)&amp;IF(Checks!$T$431="","",CHAR(10)&amp;"PIC: "&amp;Checks!$T$431)</f>
        <v/>
      </c>
      <c r="H28" s="115" t="str">
        <f aca="false">IF(Checks!$AH$431="","",Checks!$AH$431)</f>
        <v>OPEN</v>
      </c>
    </row>
    <row r="29" customFormat="false" ht="114" hidden="false" customHeight="true" outlineLevel="0" collapsed="false">
      <c r="A29" s="114" t="str">
        <f aca="false">Checks!$A$432&amp;CHAR(10)&amp;IF(Checks!$I$432="","",Checks!$I$432&amp;": ")&amp;Checks!$J$432</f>
        <v>F13-T7-06
ISOP: Caterer acknowledgement of ISOP revisions recorded</v>
      </c>
      <c r="B29" s="114" t="str">
        <f aca="false">Checks!$K$432&amp;IF(Checks!$O$432="","",IF(Checks!$K$432="","",CHAR(10))&amp;"Note: "&amp;Checks!$O$432)</f>
        <v>Record acknowledgement ref in Evidence</v>
      </c>
      <c r="C29" s="114" t="str">
        <f aca="false">Checks!$N$432&amp;CHAR(10)&amp;IF(ISNUMBER(Checks!$R$432),TEXT(Checks!$R$432,"DD-MMM-YY HH:MM"),"")&amp;" "&amp;Checks!$P$432</f>
        <v>Required
07-Oct-26 10:45 ADL</v>
      </c>
      <c r="D29" s="114" t="str">
        <f aca="false">IF(Checks!$U$432="","",Checks!$U$432)&amp;IF(Checks!$AB$432="","",CHAR(10)&amp;"CA: "&amp;Checks!$AB$432)</f>
        <v/>
      </c>
      <c r="E29" s="114" t="str">
        <f aca="false">IF(Checks!$V$432="","",Checks!$V$432)&amp;IF(Checks!$AC$432="","",IF(Checks!$V$432="","",CHAR(10))&amp;"N/A just.: "&amp;Checks!$AC$432)&amp;IF(Checks!$W$432="","",CHAR(10)&amp;"Batch: "&amp;Checks!$W$432)&amp;IF(AND(Checks!$X$432="",Checks!$Y$432=""),"",CHAR(10)&amp;"Exp: "&amp;Checks!$X$432&amp;"  /  Act: "&amp;Checks!$Y$432)</f>
        <v/>
      </c>
      <c r="F29" s="114" t="str">
        <f aca="false">IF(Checks!$Z$432="","","Evidence: "&amp;Checks!$Z$432)&amp;IF(Checks!$AA$432="","",IF(Checks!$Z$432="","",CHAR(10))&amp;"CA: "&amp;Checks!$AA$432)</f>
        <v/>
      </c>
      <c r="G29" s="114" t="str">
        <f aca="false">IF(ISNUMBER(Checks!$AD$432),TEXT(Checks!$AD$432,"DD-MMM-YY HH:MM")&amp;" "&amp;Checks!$P$432,"")&amp;IF(Checks!$AE$432="","",CHAR(10)&amp;"Verifier: "&amp;Checks!$AE$432)&amp;IF(Checks!$T$432="","",CHAR(10)&amp;"PIC: "&amp;Checks!$T$432)</f>
        <v/>
      </c>
      <c r="H29" s="115" t="str">
        <f aca="false">IF(Checks!$AH$432="","",Checks!$AH$432)</f>
        <v>OPEN</v>
      </c>
    </row>
    <row r="30" customFormat="false" ht="114" hidden="false" customHeight="true" outlineLevel="0" collapsed="false">
      <c r="A30" s="114" t="str">
        <f aca="false">Checks!$A$433&amp;CHAR(10)&amp;IF(Checks!$I$433="","",Checks!$I$433&amp;": ")&amp;Checks!$J$433</f>
        <v>F13-T7-07
Documents: Galley loading diagram (GLD) received, revision recorded &amp; attached</v>
      </c>
      <c r="B30" s="114" t="str">
        <f aca="false">Checks!$K$433&amp;IF(Checks!$O$433="","",IF(Checks!$K$433="","",CHAR(10))&amp;"Note: "&amp;Checks!$O$433)</f>
        <v>Documents sheet row complete</v>
      </c>
      <c r="C30" s="114" t="str">
        <f aca="false">Checks!$N$433&amp;CHAR(10)&amp;IF(ISNUMBER(Checks!$R$433),TEXT(Checks!$R$433,"DD-MMM-YY HH:MM"),"")&amp;" "&amp;Checks!$P$433</f>
        <v>Required
07-Oct-26 10:45 ADL</v>
      </c>
      <c r="D30" s="114" t="str">
        <f aca="false">IF(Checks!$U$433="","",Checks!$U$433)&amp;IF(Checks!$AB$433="","",CHAR(10)&amp;"CA: "&amp;Checks!$AB$433)</f>
        <v/>
      </c>
      <c r="E30" s="114" t="str">
        <f aca="false">IF(Checks!$V$433="","",Checks!$V$433)&amp;IF(Checks!$AC$433="","",IF(Checks!$V$433="","",CHAR(10))&amp;"N/A just.: "&amp;Checks!$AC$433)&amp;IF(Checks!$W$433="","",CHAR(10)&amp;"Batch: "&amp;Checks!$W$433)&amp;IF(AND(Checks!$X$433="",Checks!$Y$433=""),"",CHAR(10)&amp;"Exp: "&amp;Checks!$X$433&amp;"  /  Act: "&amp;Checks!$Y$433)</f>
        <v/>
      </c>
      <c r="F30" s="114" t="str">
        <f aca="false">IF(Checks!$Z$433="","","Evidence: "&amp;Checks!$Z$433)&amp;IF(Checks!$AA$433="","",IF(Checks!$Z$433="","",CHAR(10))&amp;"CA: "&amp;Checks!$AA$433)</f>
        <v/>
      </c>
      <c r="G30" s="114" t="str">
        <f aca="false">IF(ISNUMBER(Checks!$AD$433),TEXT(Checks!$AD$433,"DD-MMM-YY HH:MM")&amp;" "&amp;Checks!$P$433,"")&amp;IF(Checks!$AE$433="","",CHAR(10)&amp;"Verifier: "&amp;Checks!$AE$433)&amp;IF(Checks!$T$433="","",CHAR(10)&amp;"PIC: "&amp;Checks!$T$433)</f>
        <v/>
      </c>
      <c r="H30" s="115" t="str">
        <f aca="false">IF(Checks!$AH$433="","",Checks!$AH$433)</f>
        <v>OPEN</v>
      </c>
    </row>
    <row r="31" customFormat="false" ht="114" hidden="false" customHeight="true" outlineLevel="0" collapsed="false">
      <c r="A31" s="114" t="str">
        <f aca="false">Checks!$A$434&amp;CHAR(10)&amp;IF(Checks!$I$434="","",Checks!$I$434&amp;": ")&amp;Checks!$J$434</f>
        <v>F13-T7-08
Documents: Menu checklist received, revision recorded &amp; attached</v>
      </c>
      <c r="B31" s="114" t="str">
        <f aca="false">Checks!$K$434&amp;IF(Checks!$O$434="","",IF(Checks!$K$434="","",CHAR(10))&amp;"Note: "&amp;Checks!$O$434)</f>
        <v>Documents sheet row complete</v>
      </c>
      <c r="C31" s="114" t="str">
        <f aca="false">Checks!$N$434&amp;CHAR(10)&amp;IF(ISNUMBER(Checks!$R$434),TEXT(Checks!$R$434,"DD-MMM-YY HH:MM"),"")&amp;" "&amp;Checks!$P$434</f>
        <v>Required
07-Oct-26 10:45 ADL</v>
      </c>
      <c r="D31" s="114" t="str">
        <f aca="false">IF(Checks!$U$434="","",Checks!$U$434)&amp;IF(Checks!$AB$434="","",CHAR(10)&amp;"CA: "&amp;Checks!$AB$434)</f>
        <v/>
      </c>
      <c r="E31" s="114" t="str">
        <f aca="false">IF(Checks!$V$434="","",Checks!$V$434)&amp;IF(Checks!$AC$434="","",IF(Checks!$V$434="","",CHAR(10))&amp;"N/A just.: "&amp;Checks!$AC$434)&amp;IF(Checks!$W$434="","",CHAR(10)&amp;"Batch: "&amp;Checks!$W$434)&amp;IF(AND(Checks!$X$434="",Checks!$Y$434=""),"",CHAR(10)&amp;"Exp: "&amp;Checks!$X$434&amp;"  /  Act: "&amp;Checks!$Y$434)</f>
        <v/>
      </c>
      <c r="F31" s="114" t="str">
        <f aca="false">IF(Checks!$Z$434="","","Evidence: "&amp;Checks!$Z$434)&amp;IF(Checks!$AA$434="","",IF(Checks!$Z$434="","",CHAR(10))&amp;"CA: "&amp;Checks!$AA$434)</f>
        <v/>
      </c>
      <c r="G31" s="114" t="str">
        <f aca="false">IF(ISNUMBER(Checks!$AD$434),TEXT(Checks!$AD$434,"DD-MMM-YY HH:MM")&amp;" "&amp;Checks!$P$434,"")&amp;IF(Checks!$AE$434="","",CHAR(10)&amp;"Verifier: "&amp;Checks!$AE$434)&amp;IF(Checks!$T$434="","",CHAR(10)&amp;"PIC: "&amp;Checks!$T$434)</f>
        <v/>
      </c>
      <c r="H31" s="115" t="str">
        <f aca="false">IF(Checks!$AH$434="","",Checks!$AH$434)</f>
        <v>OPEN</v>
      </c>
    </row>
    <row r="32" customFormat="false" ht="114" hidden="false" customHeight="true" outlineLevel="0" collapsed="false">
      <c r="A32" s="114" t="str">
        <f aca="false">Checks!$A$435&amp;CHAR(10)&amp;IF(Checks!$I$435="","",Checks!$I$435&amp;": ")&amp;Checks!$J$435</f>
        <v>F13-T7-09
Uplift plan: Uplift plan confirmed with caterer vs STD Uplift Information</v>
      </c>
      <c r="B32" s="114" t="str">
        <f aca="false">Checks!$K$435&amp;IF(Checks!$O$435="","",IF(Checks!$K$435="","",CHAR(10))&amp;"Note: "&amp;Checks!$O$435)</f>
        <v>Service: 1.5 Meal (Meal); meal uplift stn ADL (ref lists KUL/ADL)</v>
      </c>
      <c r="C32" s="114" t="str">
        <f aca="false">Checks!$N$435&amp;CHAR(10)&amp;IF(ISNUMBER(Checks!$R$435),TEXT(Checks!$R$435,"DD-MMM-YY HH:MM"),"")&amp;" "&amp;Checks!$P$435</f>
        <v>Required
07-Oct-26 10:45 ADL</v>
      </c>
      <c r="D32" s="114" t="str">
        <f aca="false">IF(Checks!$U$435="","",Checks!$U$435)&amp;IF(Checks!$AB$435="","",CHAR(10)&amp;"CA: "&amp;Checks!$AB$435)</f>
        <v/>
      </c>
      <c r="E32" s="114" t="str">
        <f aca="false">IF(Checks!$V$435="","",Checks!$V$435)&amp;IF(Checks!$AC$435="","",IF(Checks!$V$435="","",CHAR(10))&amp;"N/A just.: "&amp;Checks!$AC$435)&amp;IF(Checks!$W$435="","",CHAR(10)&amp;"Batch: "&amp;Checks!$W$435)&amp;IF(AND(Checks!$X$435="",Checks!$Y$435=""),"",CHAR(10)&amp;"Exp: "&amp;Checks!$X$435&amp;"  /  Act: "&amp;Checks!$Y$435)</f>
        <v/>
      </c>
      <c r="F32" s="114" t="str">
        <f aca="false">IF(Checks!$Z$435="","","Evidence: "&amp;Checks!$Z$435)&amp;IF(Checks!$AA$435="","",IF(Checks!$Z$435="","",CHAR(10))&amp;"CA: "&amp;Checks!$AA$435)</f>
        <v/>
      </c>
      <c r="G32" s="114" t="str">
        <f aca="false">IF(ISNUMBER(Checks!$AD$435),TEXT(Checks!$AD$435,"DD-MMM-YY HH:MM")&amp;" "&amp;Checks!$P$435,"")&amp;IF(Checks!$AE$435="","",CHAR(10)&amp;"Verifier: "&amp;Checks!$AE$435)&amp;IF(Checks!$T$435="","",CHAR(10)&amp;"PIC: "&amp;Checks!$T$435)</f>
        <v/>
      </c>
      <c r="H32" s="115" t="str">
        <f aca="false">IF(Checks!$AH$435="","",Checks!$AH$435)</f>
        <v>OPEN</v>
      </c>
    </row>
    <row r="33" customFormat="false" ht="256.5" hidden="false" customHeight="true" outlineLevel="0" collapsed="false">
      <c r="A33" s="114" t="str">
        <f aca="false">Checks!$A$436&amp;CHAR(10)&amp;IF(Checks!$I$436="","",Checks!$I$436&amp;": ")&amp;Checks!$J$436</f>
        <v>F13-T7-10
Uplift plan: Inbound KUL-ADL flight carrying KUL-sourced items identified and its KUL departure (UTC) entered on Flights col AX</v>
      </c>
      <c r="B33" s="114" t="str">
        <f aca="false">Checks!$K$436&amp;IF(Checks!$O$436="","",IF(Checks!$K$436="","",CHAR(10))&amp;"Note: "&amp;Checks!$O$436)</f>
        <v>KUL-sourced items (Toiletry kits) travel on the inbound KUL-ADL sector
Note: Cannot be passed until Flights AX holds the carrying flight's KUL departure (agenda candidate MH0139 12-Oct (F12)). Until then the prep and KUL-loading dues assume the agenda candidate's KUL departure, or if none, the latest possible one (STD minus the shortest agenda KUL-ADL block).</v>
      </c>
      <c r="C33" s="114" t="str">
        <f aca="false">Checks!$N$436&amp;CHAR(10)&amp;IF(ISNUMBER(Checks!$R$436),TEXT(Checks!$R$436,"DD-MMM-YY HH:MM"),"")&amp;" "&amp;Checks!$P$436</f>
        <v>Clarification required
07-Oct-26 08:15 KUL</v>
      </c>
      <c r="D33" s="114" t="str">
        <f aca="false">IF(Checks!$U$436="","",Checks!$U$436)&amp;IF(Checks!$AB$436="","",CHAR(10)&amp;"CA: "&amp;Checks!$AB$436)</f>
        <v/>
      </c>
      <c r="E33" s="114" t="str">
        <f aca="false">IF(Checks!$V$436="","",Checks!$V$436)&amp;IF(Checks!$AC$436="","",IF(Checks!$V$436="","",CHAR(10))&amp;"N/A just.: "&amp;Checks!$AC$436)&amp;IF(Checks!$W$436="","",CHAR(10)&amp;"Batch: "&amp;Checks!$W$436)&amp;IF(AND(Checks!$X$436="",Checks!$Y$436=""),"",CHAR(10)&amp;"Exp: "&amp;Checks!$X$436&amp;"  /  Act: "&amp;Checks!$Y$436)</f>
        <v/>
      </c>
      <c r="F33" s="114" t="str">
        <f aca="false">IF(Checks!$Z$436="","","Evidence: "&amp;Checks!$Z$436)&amp;IF(Checks!$AA$436="","",IF(Checks!$Z$436="","",CHAR(10))&amp;"CA: "&amp;Checks!$AA$436)</f>
        <v/>
      </c>
      <c r="G33" s="114" t="str">
        <f aca="false">IF(ISNUMBER(Checks!$AD$436),TEXT(Checks!$AD$436,"DD-MMM-YY HH:MM")&amp;" "&amp;Checks!$P$436,"")&amp;IF(Checks!$AE$436="","",CHAR(10)&amp;"Verifier: "&amp;Checks!$AE$436)&amp;IF(Checks!$T$436="","",CHAR(10)&amp;"PIC: "&amp;Checks!$T$436)</f>
        <v/>
      </c>
      <c r="H33" s="115" t="str">
        <f aca="false">IF(Checks!$AH$436="","",Checks!$AH$436)</f>
        <v>OPEN – CLARIFICATION</v>
      </c>
    </row>
    <row r="34" customFormat="false" ht="25.5" hidden="false" customHeight="true" outlineLevel="0" collapsed="false">
      <c r="A34" s="113" t="str">
        <f aca="false">"T-24H — Production batch sensory  |  Due "&amp;IF(ISNUMBER(Flights!$AH$17),TEXT(Flights!$AH$17,"DD-MMM-YY HH:MM"),"")&amp;" "&amp;Flights!$V$17&amp;" (meal uplift stn)"&amp;" (rows with another due show their own)  |  Complete "&amp;IF(ISNUMBER(Flights!$AK$17),TEXT(Flights!$AK$17,"0%"),Flights!$AK$17)&amp;"  |  1 lines"</f>
        <v>T-24H — Production batch sensory  |  Due 13-Oct-26 10:45 ADL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Checks!$A$437&amp;CHAR(10)&amp;IF(Checks!$I$437="","",Checks!$I$437&amp;": ")&amp;Checks!$J$437</f>
        <v>F13-T24-01
Meal: Sensory test repeated on ACTUAL production batch for this flight</v>
      </c>
      <c r="B35" s="114" t="str">
        <f aca="false">Checks!$K$437&amp;IF(Checks!$O$437="","",IF(Checks!$K$437="","",CHAR(10))&amp;"Note: "&amp;Checks!$O$437)</f>
        <v>Batch ID, result, CA and acceptance mandatory</v>
      </c>
      <c r="C35" s="114" t="str">
        <f aca="false">Checks!$N$437&amp;CHAR(10)&amp;IF(ISNUMBER(Checks!$R$437),TEXT(Checks!$R$437,"DD-MMM-YY HH:MM"),"")&amp;" "&amp;Checks!$P$437</f>
        <v>Required
13-Oct-26 10:45 ADL</v>
      </c>
      <c r="D35" s="114" t="str">
        <f aca="false">IF(Checks!$U$437="","",Checks!$U$437)&amp;IF(Checks!$AB$437="","",CHAR(10)&amp;"CA: "&amp;Checks!$AB$437)</f>
        <v/>
      </c>
      <c r="E35" s="114" t="str">
        <f aca="false">IF(Checks!$V$437="","",Checks!$V$437)&amp;IF(Checks!$AC$437="","",IF(Checks!$V$437="","",CHAR(10))&amp;"N/A just.: "&amp;Checks!$AC$437)&amp;IF(Checks!$W$437="","",CHAR(10)&amp;"Batch: "&amp;Checks!$W$437)&amp;IF(AND(Checks!$X$437="",Checks!$Y$437=""),"",CHAR(10)&amp;"Exp: "&amp;Checks!$X$437&amp;"  /  Act: "&amp;Checks!$Y$437)</f>
        <v/>
      </c>
      <c r="F35" s="114" t="str">
        <f aca="false">IF(Checks!$Z$437="","","Evidence: "&amp;Checks!$Z$437)&amp;IF(Checks!$AA$437="","",IF(Checks!$Z$437="","",CHAR(10))&amp;"CA: "&amp;Checks!$AA$437)</f>
        <v/>
      </c>
      <c r="G35" s="114" t="str">
        <f aca="false">IF(ISNUMBER(Checks!$AD$437),TEXT(Checks!$AD$437,"DD-MMM-YY HH:MM")&amp;" "&amp;Checks!$P$437,"")&amp;IF(Checks!$AE$437="","",CHAR(10)&amp;"Verifier: "&amp;Checks!$AE$437)&amp;IF(Checks!$T$437="","",CHAR(10)&amp;"PIC: "&amp;Checks!$T$437)</f>
        <v/>
      </c>
      <c r="H35" s="115" t="str">
        <f aca="false">IF(Checks!$AH$437="","",Checks!$AH$437)</f>
        <v>OPEN</v>
      </c>
    </row>
    <row r="36" customFormat="false" ht="25.5" hidden="false" customHeight="true" outlineLevel="0" collapsed="false">
      <c r="A36" s="113" t="str">
        <f aca="false">"T-12H PREP — Preparation check at caterer (does NOT confirm loading)  |  Due "&amp;IF(ISNUMBER(Flights!$AI$17),TEXT(Flights!$AI$17,"DD-MMM-YY HH:MM"),"")&amp;" "&amp;Flights!$V$17&amp;" (meal uplift stn)"&amp;" (rows with another due show their own)  |  Complete "&amp;IF(ISNUMBER(Flights!$AL$17),TEXT(Flights!$AL$17,"0%"),Flights!$AL$17)&amp;"  |  11 lines"</f>
        <v>T-12H PREP — Preparation check at caterer (does NOT confirm loading)  |  Due 13-Oct-26 22:45 ADL (meal uplift stn) (rows with another due show their own)  |  Complete 0%  |  11 lines</v>
      </c>
      <c r="B36" s="113"/>
      <c r="C36" s="113"/>
      <c r="D36" s="113"/>
      <c r="E36" s="113"/>
      <c r="F36" s="113"/>
      <c r="G36" s="113"/>
      <c r="H36" s="113"/>
    </row>
    <row r="37" customFormat="false" ht="114" hidden="false" customHeight="true" outlineLevel="0" collapsed="false">
      <c r="A37" s="114" t="str">
        <f aca="false">Checks!$A$438&amp;CHAR(10)&amp;IF(Checks!$I$438="","",Checks!$I$438&amp;": ")&amp;Checks!$J$438</f>
        <v>F13-T12-01
Meal: Meal quality vs menu checklist</v>
      </c>
      <c r="B37" s="114" t="str">
        <f aca="false">Checks!$K$438&amp;IF(Checks!$O$438="","",IF(Checks!$K$438="","",CHAR(10))&amp;"Note: "&amp;Checks!$O$438)</f>
        <v>Note: Preparation check at caterer - does NOT confirm loading.</v>
      </c>
      <c r="C37" s="114" t="str">
        <f aca="false">Checks!$N$438&amp;CHAR(10)&amp;IF(ISNUMBER(Checks!$R$438),TEXT(Checks!$R$438,"DD-MMM-YY HH:MM"),"")&amp;" "&amp;Checks!$P$438</f>
        <v>Required
13-Oct-26 22:45 ADL</v>
      </c>
      <c r="D37" s="114" t="str">
        <f aca="false">IF(Checks!$U$438="","",Checks!$U$438)&amp;IF(Checks!$AB$438="","",CHAR(10)&amp;"CA: "&amp;Checks!$AB$438)</f>
        <v/>
      </c>
      <c r="E37" s="114" t="str">
        <f aca="false">IF(Checks!$V$438="","",Checks!$V$438)&amp;IF(Checks!$AC$438="","",IF(Checks!$V$438="","",CHAR(10))&amp;"N/A just.: "&amp;Checks!$AC$438)&amp;IF(Checks!$W$438="","",CHAR(10)&amp;"Batch: "&amp;Checks!$W$438)&amp;IF(AND(Checks!$X$438="",Checks!$Y$438=""),"",CHAR(10)&amp;"Exp: "&amp;Checks!$X$438&amp;"  /  Act: "&amp;Checks!$Y$438)</f>
        <v/>
      </c>
      <c r="F37" s="114" t="str">
        <f aca="false">IF(Checks!$Z$438="","","Evidence: "&amp;Checks!$Z$438)&amp;IF(Checks!$AA$438="","",IF(Checks!$Z$438="","",CHAR(10))&amp;"CA: "&amp;Checks!$AA$438)</f>
        <v/>
      </c>
      <c r="G37" s="114" t="str">
        <f aca="false">IF(ISNUMBER(Checks!$AD$438),TEXT(Checks!$AD$438,"DD-MMM-YY HH:MM")&amp;" "&amp;Checks!$P$438,"")&amp;IF(Checks!$AE$438="","",CHAR(10)&amp;"Verifier: "&amp;Checks!$AE$438)&amp;IF(Checks!$T$438="","",CHAR(10)&amp;"PIC: "&amp;Checks!$T$438)</f>
        <v/>
      </c>
      <c r="H37" s="115" t="str">
        <f aca="false">IF(Checks!$AH$438="","",Checks!$AH$438)</f>
        <v>OPEN</v>
      </c>
    </row>
    <row r="38" customFormat="false" ht="114" hidden="false" customHeight="true" outlineLevel="0" collapsed="false">
      <c r="A38" s="114" t="str">
        <f aca="false">Checks!$A$439&amp;CHAR(10)&amp;IF(Checks!$I$439="","",Checks!$I$439&amp;": ")&amp;Checks!$J$439</f>
        <v>F13-T12-02
Meal: Meal quantities vs menu checklist</v>
      </c>
      <c r="B38" s="114" t="str">
        <f aca="false">Checks!$K$439&amp;IF(Checks!$O$439="","",IF(Checks!$K$439="","",CHAR(10))&amp;"Note: "&amp;Checks!$O$439)</f>
        <v>Enter expected &amp; actual
Note: Preparation check at caterer - does NOT confirm loading.</v>
      </c>
      <c r="C38" s="114" t="str">
        <f aca="false">Checks!$N$439&amp;CHAR(10)&amp;IF(ISNUMBER(Checks!$R$439),TEXT(Checks!$R$439,"DD-MMM-YY HH:MM"),"")&amp;" "&amp;Checks!$P$439</f>
        <v>Required
13-Oct-26 22:45 ADL</v>
      </c>
      <c r="D38" s="114" t="str">
        <f aca="false">IF(Checks!$U$439="","",Checks!$U$439)&amp;IF(Checks!$AB$439="","",CHAR(10)&amp;"CA: "&amp;Checks!$AB$439)</f>
        <v/>
      </c>
      <c r="E38" s="114" t="str">
        <f aca="false">IF(Checks!$V$439="","",Checks!$V$439)&amp;IF(Checks!$AC$439="","",IF(Checks!$V$439="","",CHAR(10))&amp;"N/A just.: "&amp;Checks!$AC$439)&amp;IF(Checks!$W$439="","",CHAR(10)&amp;"Batch: "&amp;Checks!$W$439)&amp;IF(AND(Checks!$X$439="",Checks!$Y$439=""),"",CHAR(10)&amp;"Exp: "&amp;Checks!$X$439&amp;"  /  Act: "&amp;Checks!$Y$439)</f>
        <v/>
      </c>
      <c r="F38" s="114" t="str">
        <f aca="false">IF(Checks!$Z$439="","","Evidence: "&amp;Checks!$Z$439)&amp;IF(Checks!$AA$439="","",IF(Checks!$Z$439="","",CHAR(10))&amp;"CA: "&amp;Checks!$AA$439)</f>
        <v/>
      </c>
      <c r="G38" s="114" t="str">
        <f aca="false">IF(ISNUMBER(Checks!$AD$439),TEXT(Checks!$AD$439,"DD-MMM-YY HH:MM")&amp;" "&amp;Checks!$P$439,"")&amp;IF(Checks!$AE$439="","",CHAR(10)&amp;"Verifier: "&amp;Checks!$AE$439)&amp;IF(Checks!$T$439="","",CHAR(10)&amp;"PIC: "&amp;Checks!$T$439)</f>
        <v/>
      </c>
      <c r="H38" s="115" t="str">
        <f aca="false">IF(Checks!$AH$439="","",Checks!$AH$439)</f>
        <v>OPEN</v>
      </c>
    </row>
    <row r="39" customFormat="false" ht="114" hidden="false" customHeight="true" outlineLevel="0" collapsed="false">
      <c r="A39" s="114" t="str">
        <f aca="false">Checks!$A$440&amp;CHAR(10)&amp;IF(Checks!$I$440="","",Checks!$I$440&amp;": ")&amp;Checks!$J$440</f>
        <v>F13-T12-03
Equipment: Equipment cleanliness vs GLD</v>
      </c>
      <c r="B39" s="114" t="str">
        <f aca="false">Checks!$K$440&amp;IF(Checks!$O$440="","",IF(Checks!$K$440="","",CHAR(10))&amp;"Note: "&amp;Checks!$O$440)</f>
        <v>Note: Preparation check at caterer - does NOT confirm loading.</v>
      </c>
      <c r="C39" s="114" t="str">
        <f aca="false">Checks!$N$440&amp;CHAR(10)&amp;IF(ISNUMBER(Checks!$R$440),TEXT(Checks!$R$440,"DD-MMM-YY HH:MM"),"")&amp;" "&amp;Checks!$P$440</f>
        <v>Required
13-Oct-26 22:45 ADL</v>
      </c>
      <c r="D39" s="114" t="str">
        <f aca="false">IF(Checks!$U$440="","",Checks!$U$440)&amp;IF(Checks!$AB$440="","",CHAR(10)&amp;"CA: "&amp;Checks!$AB$440)</f>
        <v/>
      </c>
      <c r="E39" s="114" t="str">
        <f aca="false">IF(Checks!$V$440="","",Checks!$V$440)&amp;IF(Checks!$AC$440="","",IF(Checks!$V$440="","",CHAR(10))&amp;"N/A just.: "&amp;Checks!$AC$440)&amp;IF(Checks!$W$440="","",CHAR(10)&amp;"Batch: "&amp;Checks!$W$440)&amp;IF(AND(Checks!$X$440="",Checks!$Y$440=""),"",CHAR(10)&amp;"Exp: "&amp;Checks!$X$440&amp;"  /  Act: "&amp;Checks!$Y$440)</f>
        <v/>
      </c>
      <c r="F39" s="114" t="str">
        <f aca="false">IF(Checks!$Z$440="","","Evidence: "&amp;Checks!$Z$440)&amp;IF(Checks!$AA$440="","",IF(Checks!$Z$440="","",CHAR(10))&amp;"CA: "&amp;Checks!$AA$440)</f>
        <v/>
      </c>
      <c r="G39" s="114" t="str">
        <f aca="false">IF(ISNUMBER(Checks!$AD$440),TEXT(Checks!$AD$440,"DD-MMM-YY HH:MM")&amp;" "&amp;Checks!$P$440,"")&amp;IF(Checks!$AE$440="","",CHAR(10)&amp;"Verifier: "&amp;Checks!$AE$440)&amp;IF(Checks!$T$440="","",CHAR(10)&amp;"PIC: "&amp;Checks!$T$440)</f>
        <v/>
      </c>
      <c r="H39" s="115" t="str">
        <f aca="false">IF(Checks!$AH$440="","",Checks!$AH$440)</f>
        <v>OPEN</v>
      </c>
    </row>
    <row r="40" customFormat="false" ht="114" hidden="false" customHeight="true" outlineLevel="0" collapsed="false">
      <c r="A40" s="114" t="str">
        <f aca="false">Checks!$A$441&amp;CHAR(10)&amp;IF(Checks!$I$441="","",Checks!$I$441&amp;": ")&amp;Checks!$J$441</f>
        <v>F13-T12-04
Equipment: Equipment presentation vs GLD</v>
      </c>
      <c r="B40" s="114" t="str">
        <f aca="false">Checks!$K$441&amp;IF(Checks!$O$441="","",IF(Checks!$K$441="","",CHAR(10))&amp;"Note: "&amp;Checks!$O$441)</f>
        <v>Note: Preparation check at caterer - does NOT confirm loading.</v>
      </c>
      <c r="C40" s="114" t="str">
        <f aca="false">Checks!$N$441&amp;CHAR(10)&amp;IF(ISNUMBER(Checks!$R$441),TEXT(Checks!$R$441,"DD-MMM-YY HH:MM"),"")&amp;" "&amp;Checks!$P$441</f>
        <v>Required
13-Oct-26 22:45 ADL</v>
      </c>
      <c r="D40" s="114" t="str">
        <f aca="false">IF(Checks!$U$441="","",Checks!$U$441)&amp;IF(Checks!$AB$441="","",CHAR(10)&amp;"CA: "&amp;Checks!$AB$441)</f>
        <v/>
      </c>
      <c r="E40" s="114" t="str">
        <f aca="false">IF(Checks!$V$441="","",Checks!$V$441)&amp;IF(Checks!$AC$441="","",IF(Checks!$V$441="","",CHAR(10))&amp;"N/A just.: "&amp;Checks!$AC$441)&amp;IF(Checks!$W$441="","",CHAR(10)&amp;"Batch: "&amp;Checks!$W$441)&amp;IF(AND(Checks!$X$441="",Checks!$Y$441=""),"",CHAR(10)&amp;"Exp: "&amp;Checks!$X$441&amp;"  /  Act: "&amp;Checks!$Y$441)</f>
        <v/>
      </c>
      <c r="F40" s="114" t="str">
        <f aca="false">IF(Checks!$Z$441="","","Evidence: "&amp;Checks!$Z$441)&amp;IF(Checks!$AA$441="","",IF(Checks!$Z$441="","",CHAR(10))&amp;"CA: "&amp;Checks!$AA$441)</f>
        <v/>
      </c>
      <c r="G40" s="114" t="str">
        <f aca="false">IF(ISNUMBER(Checks!$AD$441),TEXT(Checks!$AD$441,"DD-MMM-YY HH:MM")&amp;" "&amp;Checks!$P$441,"")&amp;IF(Checks!$AE$441="","",CHAR(10)&amp;"Verifier: "&amp;Checks!$AE$441)&amp;IF(Checks!$T$441="","",CHAR(10)&amp;"PIC: "&amp;Checks!$T$441)</f>
        <v/>
      </c>
      <c r="H40" s="115" t="str">
        <f aca="false">IF(Checks!$AH$441="","",Checks!$AH$441)</f>
        <v>OPEN</v>
      </c>
    </row>
    <row r="41" customFormat="false" ht="114" hidden="false" customHeight="true" outlineLevel="0" collapsed="false">
      <c r="A41" s="114" t="str">
        <f aca="false">Checks!$A$442&amp;CHAR(10)&amp;IF(Checks!$I$442="","",Checks!$I$442&amp;": ")&amp;Checks!$J$442</f>
        <v>F13-T12-05
Equipment: Equipment serviceability vs GLD</v>
      </c>
      <c r="B41" s="114" t="str">
        <f aca="false">Checks!$K$442&amp;IF(Checks!$O$442="","",IF(Checks!$K$442="","",CHAR(10))&amp;"Note: "&amp;Checks!$O$442)</f>
        <v>Note: Preparation check at caterer - does NOT confirm loading.</v>
      </c>
      <c r="C41" s="114" t="str">
        <f aca="false">Checks!$N$442&amp;CHAR(10)&amp;IF(ISNUMBER(Checks!$R$442),TEXT(Checks!$R$442,"DD-MMM-YY HH:MM"),"")&amp;" "&amp;Checks!$P$442</f>
        <v>Required
13-Oct-26 22:45 ADL</v>
      </c>
      <c r="D41" s="114" t="str">
        <f aca="false">IF(Checks!$U$442="","",Checks!$U$442)&amp;IF(Checks!$AB$442="","",CHAR(10)&amp;"CA: "&amp;Checks!$AB$442)</f>
        <v/>
      </c>
      <c r="E41" s="114" t="str">
        <f aca="false">IF(Checks!$V$442="","",Checks!$V$442)&amp;IF(Checks!$AC$442="","",IF(Checks!$V$442="","",CHAR(10))&amp;"N/A just.: "&amp;Checks!$AC$442)&amp;IF(Checks!$W$442="","",CHAR(10)&amp;"Batch: "&amp;Checks!$W$442)&amp;IF(AND(Checks!$X$442="",Checks!$Y$442=""),"",CHAR(10)&amp;"Exp: "&amp;Checks!$X$442&amp;"  /  Act: "&amp;Checks!$Y$442)</f>
        <v/>
      </c>
      <c r="F41" s="114" t="str">
        <f aca="false">IF(Checks!$Z$442="","","Evidence: "&amp;Checks!$Z$442)&amp;IF(Checks!$AA$442="","",IF(Checks!$Z$442="","",CHAR(10))&amp;"CA: "&amp;Checks!$AA$442)</f>
        <v/>
      </c>
      <c r="G41" s="114" t="str">
        <f aca="false">IF(ISNUMBER(Checks!$AD$442),TEXT(Checks!$AD$442,"DD-MMM-YY HH:MM")&amp;" "&amp;Checks!$P$442,"")&amp;IF(Checks!$AE$442="","",CHAR(10)&amp;"Verifier: "&amp;Checks!$AE$442)&amp;IF(Checks!$T$442="","",CHAR(10)&amp;"PIC: "&amp;Checks!$T$442)</f>
        <v/>
      </c>
      <c r="H41" s="115" t="str">
        <f aca="false">IF(Checks!$AH$442="","",Checks!$AH$442)</f>
        <v>OPEN</v>
      </c>
    </row>
    <row r="42" customFormat="false" ht="201.75" hidden="false" customHeight="true" outlineLevel="0" collapsed="false">
      <c r="A42" s="114" t="str">
        <f aca="false">Checks!$A$443&amp;CHAR(10)&amp;IF(Checks!$I$443="","",Checks!$I$443&amp;": ")&amp;Checks!$J$443</f>
        <v>F13-T12-06
Equipment: Equipment quantities vs GLD</v>
      </c>
      <c r="B42" s="114" t="str">
        <f aca="false">SUBSTITUTE(Checks!$K$443&amp;IF(Checks!$O$443="","",IF(Checks!$K$443="","",CHAR(10))&amp;"Note: "&amp;Checks!$O$443),"AIRCRAFT TYPE!","Ref: AIRCRAFT TYPE!")</f>
        <v>Enter expected &amp; actual. Aircraft galley data: A330-900 (A339): carts 43.5, SU 111, ovens 13, warming ovens 4, fridges 2, water heaters 6, beverage makers -, espresso 1, folding trolleys 4, headsets BC: Dual Pin/ EY: Single Pin (Ref: AIRCRAFT TYPE!C8:R8)
Note: Preparation check at caterer - does NOT confirm loading.</v>
      </c>
      <c r="C42" s="114" t="str">
        <f aca="false">Checks!$N$443&amp;CHAR(10)&amp;IF(ISNUMBER(Checks!$R$443),TEXT(Checks!$R$443,"DD-MMM-YY HH:MM"),"")&amp;" "&amp;Checks!$P$443</f>
        <v>Required
13-Oct-26 22:45 ADL</v>
      </c>
      <c r="D42" s="114" t="str">
        <f aca="false">IF(Checks!$U$443="","",Checks!$U$443)&amp;IF(Checks!$AB$443="","",CHAR(10)&amp;"CA: "&amp;Checks!$AB$443)</f>
        <v/>
      </c>
      <c r="E42" s="114" t="str">
        <f aca="false">IF(Checks!$V$443="","",Checks!$V$443)&amp;IF(Checks!$AC$443="","",IF(Checks!$V$443="","",CHAR(10))&amp;"N/A just.: "&amp;Checks!$AC$443)&amp;IF(Checks!$W$443="","",CHAR(10)&amp;"Batch: "&amp;Checks!$W$443)&amp;IF(AND(Checks!$X$443="",Checks!$Y$443=""),"",CHAR(10)&amp;"Exp: "&amp;Checks!$X$443&amp;"  /  Act: "&amp;Checks!$Y$443)</f>
        <v/>
      </c>
      <c r="F42" s="114" t="str">
        <f aca="false">IF(Checks!$Z$443="","","Evidence: "&amp;Checks!$Z$443)&amp;IF(Checks!$AA$443="","",IF(Checks!$Z$443="","",CHAR(10))&amp;"CA: "&amp;Checks!$AA$443)</f>
        <v/>
      </c>
      <c r="G42" s="114" t="str">
        <f aca="false">IF(ISNUMBER(Checks!$AD$443),TEXT(Checks!$AD$443,"DD-MMM-YY HH:MM")&amp;" "&amp;Checks!$P$443,"")&amp;IF(Checks!$AE$443="","",CHAR(10)&amp;"Verifier: "&amp;Checks!$AE$443)&amp;IF(Checks!$T$443="","",CHAR(10)&amp;"PIC: "&amp;Checks!$T$443)</f>
        <v/>
      </c>
      <c r="H42" s="115" t="str">
        <f aca="false">IF(Checks!$AH$443="","",Checks!$AH$443)</f>
        <v>OPEN</v>
      </c>
    </row>
    <row r="43" customFormat="false" ht="114" hidden="false" customHeight="true" outlineLevel="0" collapsed="false">
      <c r="A43" s="114" t="str">
        <f aca="false">Checks!$A$444&amp;CHAR(10)&amp;IF(Checks!$I$444="","",Checks!$I$444&amp;": ")&amp;Checks!$J$444</f>
        <v>F13-T12-07
Equipment: Loading positions planned vs GLD</v>
      </c>
      <c r="B43" s="114" t="str">
        <f aca="false">Checks!$K$444&amp;IF(Checks!$O$444="","",IF(Checks!$K$444="","",CHAR(10))&amp;"Note: "&amp;Checks!$O$444)</f>
        <v>Note: Preparation check at caterer - does NOT confirm loading.</v>
      </c>
      <c r="C43" s="114" t="str">
        <f aca="false">Checks!$N$444&amp;CHAR(10)&amp;IF(ISNUMBER(Checks!$R$444),TEXT(Checks!$R$444,"DD-MMM-YY HH:MM"),"")&amp;" "&amp;Checks!$P$444</f>
        <v>Required
13-Oct-26 22:45 ADL</v>
      </c>
      <c r="D43" s="114" t="str">
        <f aca="false">IF(Checks!$U$444="","",Checks!$U$444)&amp;IF(Checks!$AB$444="","",CHAR(10)&amp;"CA: "&amp;Checks!$AB$444)</f>
        <v/>
      </c>
      <c r="E43" s="114" t="str">
        <f aca="false">IF(Checks!$V$444="","",Checks!$V$444)&amp;IF(Checks!$AC$444="","",IF(Checks!$V$444="","",CHAR(10))&amp;"N/A just.: "&amp;Checks!$AC$444)&amp;IF(Checks!$W$444="","",CHAR(10)&amp;"Batch: "&amp;Checks!$W$444)&amp;IF(AND(Checks!$X$444="",Checks!$Y$444=""),"",CHAR(10)&amp;"Exp: "&amp;Checks!$X$444&amp;"  /  Act: "&amp;Checks!$Y$444)</f>
        <v/>
      </c>
      <c r="F43" s="114" t="str">
        <f aca="false">IF(Checks!$Z$444="","","Evidence: "&amp;Checks!$Z$444)&amp;IF(Checks!$AA$444="","",IF(Checks!$Z$444="","",CHAR(10))&amp;"CA: "&amp;Checks!$AA$444)</f>
        <v/>
      </c>
      <c r="G43" s="114" t="str">
        <f aca="false">IF(ISNUMBER(Checks!$AD$444),TEXT(Checks!$AD$444,"DD-MMM-YY HH:MM")&amp;" "&amp;Checks!$P$444,"")&amp;IF(Checks!$AE$444="","",CHAR(10)&amp;"Verifier: "&amp;Checks!$AE$444)&amp;IF(Checks!$T$444="","",CHAR(10)&amp;"PIC: "&amp;Checks!$T$444)</f>
        <v/>
      </c>
      <c r="H43" s="115" t="str">
        <f aca="false">IF(Checks!$AH$444="","",Checks!$AH$444)</f>
        <v>OPEN</v>
      </c>
    </row>
    <row r="44" customFormat="false" ht="213" hidden="false" customHeight="true" outlineLevel="0" collapsed="false">
      <c r="A44" s="114" t="str">
        <f aca="false">Checks!$A$445&amp;CHAR(10)&amp;IF(Checks!$I$445="","",Checks!$I$445&amp;": ")&amp;Checks!$J$445</f>
        <v>F13-T12-08
Amenities: Toiletry kits - prepared</v>
      </c>
      <c r="B44" s="114" t="str">
        <f aca="false">Checks!$K$445&amp;IF(Checks!$O$445="","",IF(Checks!$K$445="","",CHAR(10))&amp;"Note: "&amp;Checks!$O$445)</f>
        <v>Available for sector (ticked in reference)
Note: Reference does not state the cabin class for toiletry kits. Confirm whether EY receives them; if not, mark N/A with the confirmation as justification. Loaded at KUL on the inbound KUL-ADL flight: due = that flight's KUL departure (Flights AX) minus the uplift window.</v>
      </c>
      <c r="C44" s="114" t="str">
        <f aca="false">Checks!$N$445&amp;CHAR(10)&amp;IF(ISNUMBER(Checks!$R$445),TEXT(Checks!$R$445,"DD-MMM-YY HH:MM"),"")&amp;" "&amp;Checks!$P$445</f>
        <v>Clarification required
12-Oct-26 16:25 KUL</v>
      </c>
      <c r="D44" s="114" t="str">
        <f aca="false">IF(Checks!$U$445="","",Checks!$U$445)&amp;IF(Checks!$AB$445="","",CHAR(10)&amp;"CA: "&amp;Checks!$AB$445)</f>
        <v/>
      </c>
      <c r="E44" s="114" t="str">
        <f aca="false">IF(Checks!$V$445="","",Checks!$V$445)&amp;IF(Checks!$AC$445="","",IF(Checks!$V$445="","",CHAR(10))&amp;"N/A just.: "&amp;Checks!$AC$445)&amp;IF(Checks!$W$445="","",CHAR(10)&amp;"Batch: "&amp;Checks!$W$445)&amp;IF(AND(Checks!$X$445="",Checks!$Y$445=""),"",CHAR(10)&amp;"Exp: "&amp;Checks!$X$445&amp;"  /  Act: "&amp;Checks!$Y$445)</f>
        <v/>
      </c>
      <c r="F44" s="114" t="str">
        <f aca="false">IF(Checks!$Z$445="","","Evidence: "&amp;Checks!$Z$445)&amp;IF(Checks!$AA$445="","",IF(Checks!$Z$445="","",CHAR(10))&amp;"CA: "&amp;Checks!$AA$445)</f>
        <v/>
      </c>
      <c r="G44" s="114" t="str">
        <f aca="false">IF(ISNUMBER(Checks!$AD$445),TEXT(Checks!$AD$445,"DD-MMM-YY HH:MM")&amp;" "&amp;Checks!$P$445,"")&amp;IF(Checks!$AE$445="","",CHAR(10)&amp;"Verifier: "&amp;Checks!$AE$445)&amp;IF(Checks!$T$445="","",CHAR(10)&amp;"PIC: "&amp;Checks!$T$445)</f>
        <v/>
      </c>
      <c r="H44" s="115" t="str">
        <f aca="false">IF(Checks!$AH$445="","",Checks!$AH$445)</f>
        <v>OPEN – CLARIFICATION</v>
      </c>
    </row>
    <row r="45" customFormat="false" ht="114" hidden="false" customHeight="true" outlineLevel="0" collapsed="false">
      <c r="A45" s="114" t="str">
        <f aca="false">Checks!$A$446&amp;CHAR(10)&amp;IF(Checks!$I$446="","",Checks!$I$446&amp;": ")&amp;Checks!$J$446</f>
        <v>F13-T12-09
Seat Linen: Seat pillow (EY) - prepared</v>
      </c>
      <c r="B45" s="114" t="str">
        <f aca="false">Checks!$K$446&amp;IF(Checks!$O$446="","",IF(Checks!$K$446="","",CHAR(10))&amp;"Note: "&amp;Checks!$O$446)</f>
        <v>Available 100% (ticked in reference)
Note: Reference gives no uplift stn for this item: preparation checked at the meal uplift stn (ADL) - confirm with caterer.</v>
      </c>
      <c r="C45" s="114" t="str">
        <f aca="false">Checks!$N$446&amp;CHAR(10)&amp;IF(ISNUMBER(Checks!$R$446),TEXT(Checks!$R$446,"DD-MMM-YY HH:MM"),"")&amp;" "&amp;Checks!$P$446</f>
        <v>Required
13-Oct-26 22:45 ADL</v>
      </c>
      <c r="D45" s="114" t="str">
        <f aca="false">IF(Checks!$U$446="","",Checks!$U$446)&amp;IF(Checks!$AB$446="","",CHAR(10)&amp;"CA: "&amp;Checks!$AB$446)</f>
        <v/>
      </c>
      <c r="E45" s="114" t="str">
        <f aca="false">IF(Checks!$V$446="","",Checks!$V$446)&amp;IF(Checks!$AC$446="","",IF(Checks!$V$446="","",CHAR(10))&amp;"N/A just.: "&amp;Checks!$AC$446)&amp;IF(Checks!$W$446="","",CHAR(10)&amp;"Batch: "&amp;Checks!$W$446)&amp;IF(AND(Checks!$X$446="",Checks!$Y$446=""),"",CHAR(10)&amp;"Exp: "&amp;Checks!$X$446&amp;"  /  Act: "&amp;Checks!$Y$446)</f>
        <v/>
      </c>
      <c r="F45" s="114" t="str">
        <f aca="false">IF(Checks!$Z$446="","","Evidence: "&amp;Checks!$Z$446)&amp;IF(Checks!$AA$446="","",IF(Checks!$Z$446="","",CHAR(10))&amp;"CA: "&amp;Checks!$AA$446)</f>
        <v/>
      </c>
      <c r="G45" s="114" t="str">
        <f aca="false">IF(ISNUMBER(Checks!$AD$446),TEXT(Checks!$AD$446,"DD-MMM-YY HH:MM")&amp;" "&amp;Checks!$P$446,"")&amp;IF(Checks!$AE$446="","",CHAR(10)&amp;"Verifier: "&amp;Checks!$AE$446)&amp;IF(Checks!$T$446="","",CHAR(10)&amp;"PIC: "&amp;Checks!$T$446)</f>
        <v/>
      </c>
      <c r="H45" s="115" t="str">
        <f aca="false">IF(Checks!$AH$446="","",Checks!$AH$446)</f>
        <v>OPEN</v>
      </c>
    </row>
    <row r="46" customFormat="false" ht="213" hidden="false" customHeight="true" outlineLevel="0" collapsed="false">
      <c r="A46" s="114" t="str">
        <f aca="false">Checks!$A$447&amp;CHAR(10)&amp;IF(Checks!$I$447="","",Checks!$I$447&amp;": ")&amp;Checks!$J$447</f>
        <v>F13-T12-10
Seat Linen: Blanket (EY) - prepared</v>
      </c>
      <c r="B46" s="114" t="str">
        <f aca="false">SUBSTITUTE(Checks!$K$447&amp;IF(Checks!$O$447="","",IF(Checks!$K$447="","",CHAR(10))&amp;"Note: "&amp;Checks!$O$447),"SEAT LINEN!","Ref: SEAT LINEN!")</f>
        <v>Available 100% (ticked in reference); qty 280
Note: EY blanket: flight above 3 hours excl. Regional (Ref: SEAT LINEN!B74:C74); block 7.75 h. Qty 280 pcs (14 bundles) for A332/A333/A339 (Ref: SEAT LINEN!B75:C75). Reference gives no uplift stn for this item: preparation checked at the meal uplift stn (ADL) - confirm with caterer.</v>
      </c>
      <c r="C46" s="114" t="str">
        <f aca="false">Checks!$N$447&amp;CHAR(10)&amp;IF(ISNUMBER(Checks!$R$447),TEXT(Checks!$R$447,"DD-MMM-YY HH:MM"),"")&amp;" "&amp;Checks!$P$447</f>
        <v>Required
13-Oct-26 22:45 ADL</v>
      </c>
      <c r="D46" s="114" t="str">
        <f aca="false">IF(Checks!$U$447="","",Checks!$U$447)&amp;IF(Checks!$AB$447="","",CHAR(10)&amp;"CA: "&amp;Checks!$AB$447)</f>
        <v/>
      </c>
      <c r="E46" s="114" t="str">
        <f aca="false">IF(Checks!$V$447="","",Checks!$V$447)&amp;IF(Checks!$AC$447="","",IF(Checks!$V$447="","",CHAR(10))&amp;"N/A just.: "&amp;Checks!$AC$447)&amp;IF(Checks!$W$447="","",CHAR(10)&amp;"Batch: "&amp;Checks!$W$447)&amp;IF(AND(Checks!$X$447="",Checks!$Y$447=""),"",CHAR(10)&amp;"Exp: "&amp;Checks!$X$447&amp;"  /  Act: "&amp;Checks!$Y$447)</f>
        <v>
Exp: 280  /  Act: </v>
      </c>
      <c r="F46" s="114" t="str">
        <f aca="false">IF(Checks!$Z$447="","","Evidence: "&amp;Checks!$Z$447)&amp;IF(Checks!$AA$447="","",IF(Checks!$Z$447="","",CHAR(10))&amp;"CA: "&amp;Checks!$AA$447)</f>
        <v/>
      </c>
      <c r="G46" s="114" t="str">
        <f aca="false">IF(ISNUMBER(Checks!$AD$447),TEXT(Checks!$AD$447,"DD-MMM-YY HH:MM")&amp;" "&amp;Checks!$P$447,"")&amp;IF(Checks!$AE$447="","",CHAR(10)&amp;"Verifier: "&amp;Checks!$AE$447)&amp;IF(Checks!$T$447="","",CHAR(10)&amp;"PIC: "&amp;Checks!$T$447)</f>
        <v/>
      </c>
      <c r="H46" s="115" t="str">
        <f aca="false">IF(Checks!$AH$447="","",Checks!$AH$447)</f>
        <v>OPEN</v>
      </c>
    </row>
    <row r="47" customFormat="false" ht="201.75" hidden="false" customHeight="true" outlineLevel="0" collapsed="false">
      <c r="A47" s="114" t="str">
        <f aca="false">Checks!$A$448&amp;CHAR(10)&amp;IF(Checks!$I$448="","",Checks!$I$448&amp;": ")&amp;Checks!$J$448</f>
        <v>F13-T12-11
Sales Cart: Sales cart (caterer PASB) - prepared</v>
      </c>
      <c r="B47" s="114" t="str">
        <f aca="false">Checks!$K$448&amp;IF(Checks!$O$448="","",IF(Checks!$K$448="","",CHAR(10))&amp;"Note: "&amp;Checks!$O$448)</f>
        <v>Location 241 &amp; 947 (A339)
Note: Block 7.75 h &gt;= 4 h. Reference names caterer PASB for the KUL/ADL/KUL sector but no uplift station: confirm whether the ADL-KUL sales cart is loaded at KUL (round trip) or at ADL. Reference gives no uplift stn for this item: preparation checked at the meal uplift stn (ADL) - confirm with caterer.</v>
      </c>
      <c r="C47" s="114" t="str">
        <f aca="false">Checks!$N$448&amp;CHAR(10)&amp;IF(ISNUMBER(Checks!$R$448),TEXT(Checks!$R$448,"DD-MMM-YY HH:MM"),"")&amp;" "&amp;Checks!$P$448</f>
        <v>Clarification required
13-Oct-26 22:45 ADL</v>
      </c>
      <c r="D47" s="114" t="str">
        <f aca="false">IF(Checks!$U$448="","",Checks!$U$448)&amp;IF(Checks!$AB$448="","",CHAR(10)&amp;"CA: "&amp;Checks!$AB$448)</f>
        <v/>
      </c>
      <c r="E47" s="114" t="str">
        <f aca="false">IF(Checks!$V$448="","",Checks!$V$448)&amp;IF(Checks!$AC$448="","",IF(Checks!$V$448="","",CHAR(10))&amp;"N/A just.: "&amp;Checks!$AC$448)&amp;IF(Checks!$W$448="","",CHAR(10)&amp;"Batch: "&amp;Checks!$W$448)&amp;IF(AND(Checks!$X$448="",Checks!$Y$448=""),"",CHAR(10)&amp;"Exp: "&amp;Checks!$X$448&amp;"  /  Act: "&amp;Checks!$Y$448)</f>
        <v/>
      </c>
      <c r="F47" s="114" t="str">
        <f aca="false">IF(Checks!$Z$448="","","Evidence: "&amp;Checks!$Z$448)&amp;IF(Checks!$AA$448="","",IF(Checks!$Z$448="","",CHAR(10))&amp;"CA: "&amp;Checks!$AA$448)</f>
        <v/>
      </c>
      <c r="G47" s="114" t="str">
        <f aca="false">IF(ISNUMBER(Checks!$AD$448),TEXT(Checks!$AD$448,"DD-MMM-YY HH:MM")&amp;" "&amp;Checks!$P$448,"")&amp;IF(Checks!$AE$448="","",CHAR(10)&amp;"Verifier: "&amp;Checks!$AE$448)&amp;IF(Checks!$T$448="","",CHAR(10)&amp;"PIC: "&amp;Checks!$T$448)</f>
        <v/>
      </c>
      <c r="H47" s="115" t="str">
        <f aca="false">IF(Checks!$AH$448="","",Checks!$AH$448)</f>
        <v>OPEN – CLARIFICATION</v>
      </c>
    </row>
    <row r="48" customFormat="false" ht="25.5" hidden="false" customHeight="true" outlineLevel="0" collapsed="false">
      <c r="A48" s="113" t="str">
        <f aca="false">"UPLIFT — Physical uplift – on-board confirmation before departure  |  Due "&amp;"STD "&amp;IF(ISNUMBER(Flights!$I$17),TEXT(Flights!$I$17,"DD-MMM-YY HH:MM"),"")&amp;" "&amp;Flights!$G$17&amp;" (departure stn)"&amp;" (rows with another due show their own)  |  Complete "&amp;IF(ISNUMBER(Flights!$AM$17),TEXT(Flights!$AM$17,"0%"),Flights!$AM$17)&amp;"  |  7 lines"</f>
        <v>UPLIFT — Physical uplift – on-board confirmation before departure  |  Due STD 14-Oct-26 10:45 ADL (departure stn) (rows with another due show their own)  |  Complete 0%  |  7 lines</v>
      </c>
      <c r="B48" s="113"/>
      <c r="C48" s="113"/>
      <c r="D48" s="113"/>
      <c r="E48" s="113"/>
      <c r="F48" s="113"/>
      <c r="G48" s="113"/>
      <c r="H48" s="113"/>
    </row>
    <row r="49" customFormat="false" ht="114" hidden="false" customHeight="true" outlineLevel="0" collapsed="false">
      <c r="A49" s="114" t="str">
        <f aca="false">Checks!$A$449&amp;CHAR(10)&amp;IF(Checks!$I$449="","",Checks!$I$449&amp;": ")&amp;Checks!$J$449</f>
        <v>F13-UPL-01
Meal: Meals physically uplifted on board - quantity vs menu checklist</v>
      </c>
      <c r="B49" s="114" t="str">
        <f aca="false">Checks!$K$449&amp;IF(Checks!$O$449="","",IF(Checks!$K$449="","",CHAR(10))&amp;"Note: "&amp;Checks!$O$449)</f>
        <v>Enter expected &amp; actual
Note: Confirm on board before departure; completion time must fall inside the uplift window.</v>
      </c>
      <c r="C49" s="114" t="str">
        <f aca="false">Checks!$N$449&amp;CHAR(10)&amp;IF(ISNUMBER(Checks!$R$449),TEXT(Checks!$R$449,"DD-MMM-YY HH:MM"),"")&amp;" "&amp;Checks!$P$449</f>
        <v>Required
14-Oct-26 10:45 ADL</v>
      </c>
      <c r="D49" s="114" t="str">
        <f aca="false">IF(Checks!$U$449="","",Checks!$U$449)&amp;IF(Checks!$AB$449="","",CHAR(10)&amp;"CA: "&amp;Checks!$AB$449)</f>
        <v/>
      </c>
      <c r="E49" s="114" t="str">
        <f aca="false">IF(Checks!$V$449="","",Checks!$V$449)&amp;IF(Checks!$AC$449="","",IF(Checks!$V$449="","",CHAR(10))&amp;"N/A just.: "&amp;Checks!$AC$449)&amp;IF(Checks!$W$449="","",CHAR(10)&amp;"Batch: "&amp;Checks!$W$449)&amp;IF(AND(Checks!$X$449="",Checks!$Y$449=""),"",CHAR(10)&amp;"Exp: "&amp;Checks!$X$449&amp;"  /  Act: "&amp;Checks!$Y$449)</f>
        <v/>
      </c>
      <c r="F49" s="114" t="str">
        <f aca="false">IF(Checks!$Z$449="","","Evidence: "&amp;Checks!$Z$449)&amp;IF(Checks!$AA$449="","",IF(Checks!$Z$449="","",CHAR(10))&amp;"CA: "&amp;Checks!$AA$449)</f>
        <v/>
      </c>
      <c r="G49" s="114" t="str">
        <f aca="false">IF(ISNUMBER(Checks!$AD$449),TEXT(Checks!$AD$449,"DD-MMM-YY HH:MM")&amp;" "&amp;Checks!$P$449,"")&amp;IF(Checks!$AE$449="","",CHAR(10)&amp;"Verifier: "&amp;Checks!$AE$449)&amp;IF(Checks!$T$449="","",CHAR(10)&amp;"PIC: "&amp;Checks!$T$449)</f>
        <v/>
      </c>
      <c r="H49" s="115" t="str">
        <f aca="false">IF(Checks!$AH$449="","",Checks!$AH$449)</f>
        <v>OPEN</v>
      </c>
    </row>
    <row r="50" customFormat="false" ht="114" hidden="false" customHeight="true" outlineLevel="0" collapsed="false">
      <c r="A50" s="114" t="str">
        <f aca="false">Checks!$A$450&amp;CHAR(10)&amp;IF(Checks!$I$450="","",Checks!$I$450&amp;": ")&amp;Checks!$J$450</f>
        <v>F13-UPL-02
Equipment: Equipment physically loaded at GLD positions - quantity &amp; positions</v>
      </c>
      <c r="B50" s="114" t="str">
        <f aca="false">Checks!$K$450&amp;IF(Checks!$O$450="","",IF(Checks!$K$450="","",CHAR(10))&amp;"Note: "&amp;Checks!$O$450)</f>
        <v>Enter expected &amp; actual
Note: Confirm on board before departure; completion time must fall inside the uplift window.</v>
      </c>
      <c r="C50" s="114" t="str">
        <f aca="false">Checks!$N$450&amp;CHAR(10)&amp;IF(ISNUMBER(Checks!$R$450),TEXT(Checks!$R$450,"DD-MMM-YY HH:MM"),"")&amp;" "&amp;Checks!$P$450</f>
        <v>Required
14-Oct-26 10:45 ADL</v>
      </c>
      <c r="D50" s="114" t="str">
        <f aca="false">IF(Checks!$U$450="","",Checks!$U$450)&amp;IF(Checks!$AB$450="","",CHAR(10)&amp;"CA: "&amp;Checks!$AB$450)</f>
        <v/>
      </c>
      <c r="E50" s="114" t="str">
        <f aca="false">IF(Checks!$V$450="","",Checks!$V$450)&amp;IF(Checks!$AC$450="","",IF(Checks!$V$450="","",CHAR(10))&amp;"N/A just.: "&amp;Checks!$AC$450)&amp;IF(Checks!$W$450="","",CHAR(10)&amp;"Batch: "&amp;Checks!$W$450)&amp;IF(AND(Checks!$X$450="",Checks!$Y$450=""),"",CHAR(10)&amp;"Exp: "&amp;Checks!$X$450&amp;"  /  Act: "&amp;Checks!$Y$450)</f>
        <v/>
      </c>
      <c r="F50" s="114" t="str">
        <f aca="false">IF(Checks!$Z$450="","","Evidence: "&amp;Checks!$Z$450)&amp;IF(Checks!$AA$450="","",IF(Checks!$Z$450="","",CHAR(10))&amp;"CA: "&amp;Checks!$AA$450)</f>
        <v/>
      </c>
      <c r="G50" s="114" t="str">
        <f aca="false">IF(ISNUMBER(Checks!$AD$450),TEXT(Checks!$AD$450,"DD-MMM-YY HH:MM")&amp;" "&amp;Checks!$P$450,"")&amp;IF(Checks!$AE$450="","",CHAR(10)&amp;"Verifier: "&amp;Checks!$AE$450)&amp;IF(Checks!$T$450="","",CHAR(10)&amp;"PIC: "&amp;Checks!$T$450)</f>
        <v/>
      </c>
      <c r="H50" s="115" t="str">
        <f aca="false">IF(Checks!$AH$450="","",Checks!$AH$450)</f>
        <v>OPEN</v>
      </c>
    </row>
    <row r="51" customFormat="false" ht="114" hidden="false" customHeight="true" outlineLevel="0" collapsed="false">
      <c r="A51" s="114" t="str">
        <f aca="false">Checks!$A$451&amp;CHAR(10)&amp;IF(Checks!$I$451="","",Checks!$I$451&amp;": ")&amp;Checks!$J$451</f>
        <v>F13-UPL-03
Uplift plan: KUL-sourced items physically loaded at KUL on the inbound KUL-ADL flight</v>
      </c>
      <c r="B51" s="114" t="str">
        <f aca="false">Checks!$K$451&amp;IF(Checks!$O$451="","",IF(Checks!$K$451="","",CHAR(10))&amp;"Note: "&amp;Checks!$O$451)</f>
        <v>Items: Toiletry kits. Quantities as per Requirements
Note: Confirmed at KUL inside the uplift window before the carrying flight's KUL departure (Flights AX).</v>
      </c>
      <c r="C51" s="114" t="str">
        <f aca="false">Checks!$N$451&amp;CHAR(10)&amp;IF(ISNUMBER(Checks!$R$451),TEXT(Checks!$R$451,"DD-MMM-YY HH:MM"),"")&amp;" "&amp;Checks!$P$451</f>
        <v>Required
12-Oct-26 22:25 KUL</v>
      </c>
      <c r="D51" s="114" t="str">
        <f aca="false">IF(Checks!$U$451="","",Checks!$U$451)&amp;IF(Checks!$AB$451="","",CHAR(10)&amp;"CA: "&amp;Checks!$AB$451)</f>
        <v/>
      </c>
      <c r="E51" s="114" t="str">
        <f aca="false">IF(Checks!$V$451="","",Checks!$V$451)&amp;IF(Checks!$AC$451="","",IF(Checks!$V$451="","",CHAR(10))&amp;"N/A just.: "&amp;Checks!$AC$451)&amp;IF(Checks!$W$451="","",CHAR(10)&amp;"Batch: "&amp;Checks!$W$451)&amp;IF(AND(Checks!$X$451="",Checks!$Y$451=""),"",CHAR(10)&amp;"Exp: "&amp;Checks!$X$451&amp;"  /  Act: "&amp;Checks!$Y$451)</f>
        <v/>
      </c>
      <c r="F51" s="114" t="str">
        <f aca="false">IF(Checks!$Z$451="","","Evidence: "&amp;Checks!$Z$451)&amp;IF(Checks!$AA$451="","",IF(Checks!$Z$451="","",CHAR(10))&amp;"CA: "&amp;Checks!$AA$451)</f>
        <v/>
      </c>
      <c r="G51" s="114" t="str">
        <f aca="false">IF(ISNUMBER(Checks!$AD$451),TEXT(Checks!$AD$451,"DD-MMM-YY HH:MM")&amp;" "&amp;Checks!$P$451,"")&amp;IF(Checks!$AE$451="","",CHAR(10)&amp;"Verifier: "&amp;Checks!$AE$451)&amp;IF(Checks!$T$451="","",CHAR(10)&amp;"PIC: "&amp;Checks!$T$451)</f>
        <v/>
      </c>
      <c r="H51" s="115" t="str">
        <f aca="false">IF(Checks!$AH$451="","",Checks!$AH$451)</f>
        <v>OPEN</v>
      </c>
    </row>
    <row r="52" customFormat="false" ht="135.75" hidden="false" customHeight="true" outlineLevel="0" collapsed="false">
      <c r="A52" s="114" t="str">
        <f aca="false">Checks!$A$452&amp;CHAR(10)&amp;IF(Checks!$I$452="","",Checks!$I$452&amp;": ")&amp;Checks!$J$452</f>
        <v>F13-UPL-04
Amenities: Toiletry kits - on board</v>
      </c>
      <c r="B52" s="114" t="str">
        <f aca="false">Checks!$K$452&amp;IF(Checks!$O$452="","",IF(Checks!$K$452="","",CHAR(10))&amp;"Note: "&amp;Checks!$O$452)</f>
        <v>Available for sector (ticked in reference)
Note: Reference does not state the cabin class for toiletry kits. Confirm whether EY receives them; if not, mark N/A with the confirmation as justification.</v>
      </c>
      <c r="C52" s="114" t="str">
        <f aca="false">Checks!$N$452&amp;CHAR(10)&amp;IF(ISNUMBER(Checks!$R$452),TEXT(Checks!$R$452,"DD-MMM-YY HH:MM"),"")&amp;" "&amp;Checks!$P$452</f>
        <v>Clarification required
14-Oct-26 10:45 ADL</v>
      </c>
      <c r="D52" s="114" t="str">
        <f aca="false">IF(Checks!$U$452="","",Checks!$U$452)&amp;IF(Checks!$AB$452="","",CHAR(10)&amp;"CA: "&amp;Checks!$AB$452)</f>
        <v/>
      </c>
      <c r="E52" s="114" t="str">
        <f aca="false">IF(Checks!$V$452="","",Checks!$V$452)&amp;IF(Checks!$AC$452="","",IF(Checks!$V$452="","",CHAR(10))&amp;"N/A just.: "&amp;Checks!$AC$452)&amp;IF(Checks!$W$452="","",CHAR(10)&amp;"Batch: "&amp;Checks!$W$452)&amp;IF(AND(Checks!$X$452="",Checks!$Y$452=""),"",CHAR(10)&amp;"Exp: "&amp;Checks!$X$452&amp;"  /  Act: "&amp;Checks!$Y$452)</f>
        <v/>
      </c>
      <c r="F52" s="114" t="str">
        <f aca="false">IF(Checks!$Z$452="","","Evidence: "&amp;Checks!$Z$452)&amp;IF(Checks!$AA$452="","",IF(Checks!$Z$452="","",CHAR(10))&amp;"CA: "&amp;Checks!$AA$452)</f>
        <v/>
      </c>
      <c r="G52" s="114" t="str">
        <f aca="false">IF(ISNUMBER(Checks!$AD$452),TEXT(Checks!$AD$452,"DD-MMM-YY HH:MM")&amp;" "&amp;Checks!$P$452,"")&amp;IF(Checks!$AE$452="","",CHAR(10)&amp;"Verifier: "&amp;Checks!$AE$452)&amp;IF(Checks!$T$452="","",CHAR(10)&amp;"PIC: "&amp;Checks!$T$452)</f>
        <v/>
      </c>
      <c r="H52" s="115" t="str">
        <f aca="false">IF(Checks!$AH$452="","",Checks!$AH$452)</f>
        <v>OPEN – CLARIFICATION</v>
      </c>
    </row>
    <row r="53" customFormat="false" ht="114" hidden="false" customHeight="true" outlineLevel="0" collapsed="false">
      <c r="A53" s="114" t="str">
        <f aca="false">Checks!$A$453&amp;CHAR(10)&amp;IF(Checks!$I$453="","",Checks!$I$453&amp;": ")&amp;Checks!$J$453</f>
        <v>F13-UPL-05
Seat Linen: Seat pillow (EY) - on board</v>
      </c>
      <c r="B53" s="114" t="str">
        <f aca="false">Checks!$K$453&amp;IF(Checks!$O$453="","",IF(Checks!$K$453="","",CHAR(10))&amp;"Note: "&amp;Checks!$O$453)</f>
        <v>Available 100% (ticked in reference)</v>
      </c>
      <c r="C53" s="114" t="str">
        <f aca="false">Checks!$N$453&amp;CHAR(10)&amp;IF(ISNUMBER(Checks!$R$453),TEXT(Checks!$R$453,"DD-MMM-YY HH:MM"),"")&amp;" "&amp;Checks!$P$453</f>
        <v>Required
14-Oct-26 10:45 ADL</v>
      </c>
      <c r="D53" s="114" t="str">
        <f aca="false">IF(Checks!$U$453="","",Checks!$U$453)&amp;IF(Checks!$AB$453="","",CHAR(10)&amp;"CA: "&amp;Checks!$AB$453)</f>
        <v/>
      </c>
      <c r="E53" s="114" t="str">
        <f aca="false">IF(Checks!$V$453="","",Checks!$V$453)&amp;IF(Checks!$AC$453="","",IF(Checks!$V$453="","",CHAR(10))&amp;"N/A just.: "&amp;Checks!$AC$453)&amp;IF(Checks!$W$453="","",CHAR(10)&amp;"Batch: "&amp;Checks!$W$453)&amp;IF(AND(Checks!$X$453="",Checks!$Y$453=""),"",CHAR(10)&amp;"Exp: "&amp;Checks!$X$453&amp;"  /  Act: "&amp;Checks!$Y$453)</f>
        <v/>
      </c>
      <c r="F53" s="114" t="str">
        <f aca="false">IF(Checks!$Z$453="","","Evidence: "&amp;Checks!$Z$453)&amp;IF(Checks!$AA$453="","",IF(Checks!$Z$453="","",CHAR(10))&amp;"CA: "&amp;Checks!$AA$453)</f>
        <v/>
      </c>
      <c r="G53" s="114" t="str">
        <f aca="false">IF(ISNUMBER(Checks!$AD$453),TEXT(Checks!$AD$453,"DD-MMM-YY HH:MM")&amp;" "&amp;Checks!$P$453,"")&amp;IF(Checks!$AE$453="","",CHAR(10)&amp;"Verifier: "&amp;Checks!$AE$453)&amp;IF(Checks!$T$453="","",CHAR(10)&amp;"PIC: "&amp;Checks!$T$453)</f>
        <v/>
      </c>
      <c r="H53" s="115" t="str">
        <f aca="false">IF(Checks!$AH$453="","",Checks!$AH$453)</f>
        <v>OPEN</v>
      </c>
    </row>
    <row r="54" customFormat="false" ht="135.75" hidden="false" customHeight="true" outlineLevel="0" collapsed="false">
      <c r="A54" s="114" t="str">
        <f aca="false">Checks!$A$454&amp;CHAR(10)&amp;IF(Checks!$I$454="","",Checks!$I$454&amp;": ")&amp;Checks!$J$454</f>
        <v>F13-UPL-06
Seat Linen: Blanket (EY) - on board</v>
      </c>
      <c r="B54" s="114" t="str">
        <f aca="false">SUBSTITUTE(Checks!$K$454&amp;IF(Checks!$O$454="","",IF(Checks!$K$454="","",CHAR(10))&amp;"Note: "&amp;Checks!$O$454),"SEAT LINEN!","Ref: SEAT LINEN!")</f>
        <v>Available 100% (ticked in reference); qty 280
Note: EY blanket: flight above 3 hours excl. Regional (Ref: SEAT LINEN!B74:C74); block 7.75 h. Qty 280 pcs (14 bundles) for A332/A333/A339 (Ref: SEAT LINEN!B75:C75).</v>
      </c>
      <c r="C54" s="114" t="str">
        <f aca="false">Checks!$N$454&amp;CHAR(10)&amp;IF(ISNUMBER(Checks!$R$454),TEXT(Checks!$R$454,"DD-MMM-YY HH:MM"),"")&amp;" "&amp;Checks!$P$454</f>
        <v>Required
14-Oct-26 10:45 ADL</v>
      </c>
      <c r="D54" s="114" t="str">
        <f aca="false">IF(Checks!$U$454="","",Checks!$U$454)&amp;IF(Checks!$AB$454="","",CHAR(10)&amp;"CA: "&amp;Checks!$AB$454)</f>
        <v/>
      </c>
      <c r="E54" s="114" t="str">
        <f aca="false">IF(Checks!$V$454="","",Checks!$V$454)&amp;IF(Checks!$AC$454="","",IF(Checks!$V$454="","",CHAR(10))&amp;"N/A just.: "&amp;Checks!$AC$454)&amp;IF(Checks!$W$454="","",CHAR(10)&amp;"Batch: "&amp;Checks!$W$454)&amp;IF(AND(Checks!$X$454="",Checks!$Y$454=""),"",CHAR(10)&amp;"Exp: "&amp;Checks!$X$454&amp;"  /  Act: "&amp;Checks!$Y$454)</f>
        <v>
Exp: 280  /  Act: </v>
      </c>
      <c r="F54" s="114" t="str">
        <f aca="false">IF(Checks!$Z$454="","","Evidence: "&amp;Checks!$Z$454)&amp;IF(Checks!$AA$454="","",IF(Checks!$Z$454="","",CHAR(10))&amp;"CA: "&amp;Checks!$AA$454)</f>
        <v/>
      </c>
      <c r="G54" s="114" t="str">
        <f aca="false">IF(ISNUMBER(Checks!$AD$454),TEXT(Checks!$AD$454,"DD-MMM-YY HH:MM")&amp;" "&amp;Checks!$P$454,"")&amp;IF(Checks!$AE$454="","",CHAR(10)&amp;"Verifier: "&amp;Checks!$AE$454)&amp;IF(Checks!$T$454="","",CHAR(10)&amp;"PIC: "&amp;Checks!$T$454)</f>
        <v/>
      </c>
      <c r="H54" s="115" t="str">
        <f aca="false">IF(Checks!$AH$454="","",Checks!$AH$454)</f>
        <v>OPEN</v>
      </c>
    </row>
    <row r="55" customFormat="false" ht="135.75" hidden="false" customHeight="true" outlineLevel="0" collapsed="false">
      <c r="A55" s="114" t="str">
        <f aca="false">Checks!$A$455&amp;CHAR(10)&amp;IF(Checks!$I$455="","",Checks!$I$455&amp;": ")&amp;Checks!$J$455</f>
        <v>F13-UPL-07
Sales Cart: Sales cart (caterer PASB) - on board</v>
      </c>
      <c r="B55" s="114" t="str">
        <f aca="false">Checks!$K$455&amp;IF(Checks!$O$455="","",IF(Checks!$K$455="","",CHAR(10))&amp;"Note: "&amp;Checks!$O$455)</f>
        <v>Location 241 &amp; 947 (A339)
Note: Block 7.75 h &gt;= 4 h. Reference names caterer PASB for the KUL/ADL/KUL sector but no uplift station: confirm whether the ADL-KUL sales cart is loaded at KUL (round trip) or at ADL.</v>
      </c>
      <c r="C55" s="114" t="str">
        <f aca="false">Checks!$N$455&amp;CHAR(10)&amp;IF(ISNUMBER(Checks!$R$455),TEXT(Checks!$R$455,"DD-MMM-YY HH:MM"),"")&amp;" "&amp;Checks!$P$455</f>
        <v>Clarification required
14-Oct-26 10:45 ADL</v>
      </c>
      <c r="D55" s="114" t="str">
        <f aca="false">IF(Checks!$U$455="","",Checks!$U$455)&amp;IF(Checks!$AB$455="","",CHAR(10)&amp;"CA: "&amp;Checks!$AB$455)</f>
        <v/>
      </c>
      <c r="E55" s="114" t="str">
        <f aca="false">IF(Checks!$V$455="","",Checks!$V$455)&amp;IF(Checks!$AC$455="","",IF(Checks!$V$455="","",CHAR(10))&amp;"N/A just.: "&amp;Checks!$AC$455)&amp;IF(Checks!$W$455="","",CHAR(10)&amp;"Batch: "&amp;Checks!$W$455)&amp;IF(AND(Checks!$X$455="",Checks!$Y$455=""),"",CHAR(10)&amp;"Exp: "&amp;Checks!$X$455&amp;"  /  Act: "&amp;Checks!$Y$455)</f>
        <v/>
      </c>
      <c r="F55" s="114" t="str">
        <f aca="false">IF(Checks!$Z$455="","","Evidence: "&amp;Checks!$Z$455)&amp;IF(Checks!$AA$455="","",IF(Checks!$Z$455="","",CHAR(10))&amp;"CA: "&amp;Checks!$AA$455)</f>
        <v/>
      </c>
      <c r="G55" s="114" t="str">
        <f aca="false">IF(ISNUMBER(Checks!$AD$455),TEXT(Checks!$AD$455,"DD-MMM-YY HH:MM")&amp;" "&amp;Checks!$P$455,"")&amp;IF(Checks!$AE$455="","",CHAR(10)&amp;"Verifier: "&amp;Checks!$AE$455)&amp;IF(Checks!$T$455="","",CHAR(10)&amp;"PIC: "&amp;Checks!$T$455)</f>
        <v/>
      </c>
      <c r="H55" s="115" t="str">
        <f aca="false">IF(Checks!$AH$455="","",Checks!$AH$455)</f>
        <v>OPEN – CLARIFICATION</v>
      </c>
    </row>
    <row r="57" customFormat="false" ht="24" hidden="false" customHeight="true" outlineLevel="0" collapsed="false">
      <c r="A57" s="116" t="s">
        <v>1737</v>
      </c>
      <c r="B57" s="116"/>
      <c r="C57" s="116"/>
      <c r="D57" s="116"/>
      <c r="E57" s="116" t="s">
        <v>1738</v>
      </c>
      <c r="F57" s="116"/>
      <c r="G57" s="116"/>
      <c r="H57" s="116"/>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row r="63" customFormat="false" ht="21.75" hidden="false" customHeight="true" outlineLevel="0" collapsed="false">
      <c r="A63" s="117"/>
      <c r="B63" s="117"/>
      <c r="C63" s="117"/>
      <c r="D63" s="117"/>
      <c r="E63" s="117"/>
      <c r="F63" s="117"/>
      <c r="G63" s="117"/>
      <c r="H63" s="117"/>
    </row>
    <row r="64" customFormat="false" ht="21.75" hidden="false" customHeight="true" outlineLevel="0" collapsed="false">
      <c r="A64" s="117"/>
      <c r="B64" s="117"/>
      <c r="C64" s="117"/>
      <c r="D64" s="117"/>
      <c r="E64" s="117"/>
      <c r="F64" s="117"/>
      <c r="G64" s="117"/>
      <c r="H64" s="117"/>
    </row>
    <row r="65" customFormat="false" ht="21.75" hidden="false" customHeight="true" outlineLevel="0" collapsed="false">
      <c r="A65" s="117"/>
      <c r="B65" s="117"/>
      <c r="C65" s="117"/>
      <c r="D65" s="117"/>
      <c r="E65" s="117"/>
      <c r="F65" s="117"/>
      <c r="G65" s="117"/>
      <c r="H65" s="117"/>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48:H48"/>
    <mergeCell ref="A57:D57"/>
    <mergeCell ref="E57:H57"/>
    <mergeCell ref="A58:D67"/>
    <mergeCell ref="E58:H67"/>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55">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55">
    <cfRule type="expression" priority="17" aboveAverage="0" equalAverage="0" bottom="0" percent="0" rank="0" text="" dxfId="34">
      <formula>LEFT($H24,3)="N/A"</formula>
    </cfRule>
  </conditionalFormatting>
  <conditionalFormatting sqref="D24:D55">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F13 MH0138 14-Oct-26 ADL-KUL Class EY</oddHeader>
    <oddFooter>&amp;L&amp;"Arial,Bold"&amp;8 F13 MH0138 14-Oct-26 ADL-KUL Class EY&amp;C&amp;"Arial,Regular"&amp;8 Printed: ____________________&amp;R&amp;"Arial,Regular"&amp;8 F13  Page &amp;P of &amp;N</oddFooter>
  </headerFooter>
  <rowBreaks count="11" manualBreakCount="11">
    <brk id="21" man="true" max="16383" min="0"/>
    <brk id="27" man="true" max="16383" min="0"/>
    <brk id="31" man="true" max="16383" min="0"/>
    <brk id="33" man="true" max="16383" min="0"/>
    <brk id="38" man="true" max="16383" min="0"/>
    <brk id="41" man="true" max="16383" min="0"/>
    <brk id="43" man="true" max="16383" min="0"/>
    <brk id="45" man="true" max="16383" min="0"/>
    <brk id="47" man="true" max="16383" min="0"/>
    <brk id="51" man="true" max="16383" min="0"/>
    <brk id="54" man="true" max="16383" min="0"/>
  </rowBreaks>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F14  "&amp;Flights!$F$18&amp;"  "&amp;TEXT(Flights!$D$18,"DD-MMM-YY")&amp;" ("&amp;Flights!$E$18&amp;")  "&amp;Flights!$G$18&amp;" → "&amp;Flights!$H$18&amp;"  |  Class "&amp;Flights!$K$18</f>
        <v>SKYTRAX 2026 CATERING READINESS CHECKLIST  |  F14  MH0004  15-Oct-26 (THU)  KUL → LHR  |  Class EY</v>
      </c>
      <c r="B1" s="92"/>
      <c r="C1" s="92"/>
      <c r="D1" s="92"/>
      <c r="E1" s="92"/>
      <c r="F1" s="92"/>
      <c r="G1" s="92"/>
      <c r="H1" s="92"/>
    </row>
    <row r="2" customFormat="false" ht="12.75" hidden="false" customHeight="true" outlineLevel="0" collapsed="false">
      <c r="A2" s="93" t="s">
        <v>1692</v>
      </c>
      <c r="B2" s="94" t="str">
        <f aca="false">Flights!$F$18&amp;"   "&amp;TEXT(Flights!$D$18,"DD-MMM-YY")&amp;" ("&amp;Flights!$E$18&amp;")"</f>
        <v>MH0004   15-Oct-26 (THU)</v>
      </c>
      <c r="C2" s="94"/>
      <c r="D2" s="94"/>
      <c r="E2" s="95" t="s">
        <v>1693</v>
      </c>
      <c r="F2" s="96" t="str">
        <f aca="false">Flights!$AT$18</f>
        <v>NOT READY – DOCUMENTS</v>
      </c>
      <c r="G2" s="96"/>
      <c r="H2" s="96"/>
    </row>
    <row r="3" customFormat="false" ht="24" hidden="false" customHeight="true" outlineLevel="0" collapsed="false">
      <c r="A3" s="93" t="s">
        <v>1694</v>
      </c>
      <c r="B3" s="94" t="str">
        <f aca="false">Flights!$G$18&amp;" → "&amp;Flights!$H$18&amp;"   Class "&amp;Flights!$K$18&amp;"   Seat "&amp;Flights!$O$18</f>
        <v>KUL → LHR   Class EY   Seat 14C</v>
      </c>
      <c r="C3" s="94"/>
      <c r="D3" s="94"/>
      <c r="E3" s="95" t="s">
        <v>71</v>
      </c>
      <c r="F3" s="95" t="s">
        <v>1695</v>
      </c>
      <c r="G3" s="95" t="s">
        <v>1696</v>
      </c>
      <c r="H3" s="95"/>
    </row>
    <row r="4" customFormat="false" ht="24" hidden="false" customHeight="true" outlineLevel="0" collapsed="false">
      <c r="A4" s="93" t="s">
        <v>1697</v>
      </c>
      <c r="B4" s="94" t="str">
        <f aca="false">IF(ISNUMBER(Flights!$I$18),TEXT(Flights!$I$18,"DD-MMM-YY HH:MM"),"")&amp;" "&amp;Flights!$G$18&amp;"  →  "&amp;IF(ISNUMBER(Flights!$J$18),TEXT(Flights!$J$18,"DD-MMM-YY HH:MM"),"")&amp;" "&amp;Flights!$H$18</f>
        <v>15-Oct-26 09:50 KUL  →  15-Oct-26 16:35 LHR</v>
      </c>
      <c r="C4" s="94"/>
      <c r="D4" s="94"/>
      <c r="E4" s="93" t="s">
        <v>1698</v>
      </c>
      <c r="F4" s="97" t="str">
        <f aca="false">IF(ISNUMBER(Flights!$AG$18),TEXT(Flights!$AG$18,"DD-MMM-YY HH:MM"),"")&amp;" "&amp;Flights!$V$18</f>
        <v>08-Oct-26 09:50 KUL</v>
      </c>
      <c r="G4" s="98" t="n">
        <f aca="false">Flights!$AJ$18</f>
        <v>0</v>
      </c>
      <c r="H4" s="98"/>
    </row>
    <row r="5" customFormat="false" ht="24" hidden="false" customHeight="true" outlineLevel="0" collapsed="false">
      <c r="A5" s="93" t="s">
        <v>1699</v>
      </c>
      <c r="B5" s="94" t="str">
        <f aca="false">Flights!$L$18&amp;" – "&amp;Flights!$M$18</f>
        <v>A350 – A350-900: A359 (9M-MAB..MAG, row 6) or A350 9M-MAH (row 7) - tail to confirm</v>
      </c>
      <c r="C5" s="94"/>
      <c r="D5" s="94"/>
      <c r="E5" s="93" t="s">
        <v>1700</v>
      </c>
      <c r="F5" s="97" t="str">
        <f aca="false">IF(ISNUMBER(Flights!$AH$18),TEXT(Flights!$AH$18,"DD-MMM-YY HH:MM"),"")&amp;" "&amp;Flights!$V$18</f>
        <v>14-Oct-26 09:50 KUL</v>
      </c>
      <c r="G5" s="98" t="n">
        <f aca="false">Flights!$AK$18</f>
        <v>0</v>
      </c>
      <c r="H5" s="98"/>
    </row>
    <row r="6" customFormat="false" ht="24" hidden="false" customHeight="true" outlineLevel="0" collapsed="false">
      <c r="A6" s="93" t="s">
        <v>1701</v>
      </c>
      <c r="B6" s="94" t="str">
        <f aca="false">IF(TRIM(Flights!$N$18)="","__________________",Flights!$N$18)</f>
        <v>__________________</v>
      </c>
      <c r="C6" s="94"/>
      <c r="D6" s="94"/>
      <c r="E6" s="93" t="s">
        <v>1702</v>
      </c>
      <c r="F6" s="97" t="str">
        <f aca="false">IF(ISNUMBER(Flights!$AI$18),TEXT(Flights!$AI$18,"DD-MMM-YY HH:MM"),"")&amp;" "&amp;Flights!$V$18&amp;IF(Flights!$AI$18=Flights!$AH$18,"  (= T-24H due)","")</f>
        <v>14-Oct-26 21:50 KUL</v>
      </c>
      <c r="G6" s="98" t="n">
        <f aca="false">Flights!$AL$18</f>
        <v>0</v>
      </c>
      <c r="H6" s="98"/>
    </row>
    <row r="7" customFormat="false" ht="24" hidden="false" customHeight="true" outlineLevel="0" collapsed="false">
      <c r="A7" s="93" t="s">
        <v>1703</v>
      </c>
      <c r="B7" s="94" t="str">
        <f aca="false">Flights!$T$18</f>
        <v>2.5 Meal (Meal)</v>
      </c>
      <c r="C7" s="94"/>
      <c r="D7" s="94"/>
      <c r="E7" s="93" t="s">
        <v>1704</v>
      </c>
      <c r="F7" s="97" t="str">
        <f aca="false">"STD "&amp;IF(ISNUMBER(Flights!$I$18),TEXT(Flights!$I$18,"DD-MMM-YY HH:MM"),"")&amp;" "&amp;Flights!$G$18&amp;" (dep stn)"</f>
        <v>STD 15-Oct-26 09:50 KUL (dep stn)</v>
      </c>
      <c r="G7" s="98" t="n">
        <f aca="false">Flights!$AM$18</f>
        <v>0</v>
      </c>
      <c r="H7" s="98"/>
    </row>
    <row r="8" customFormat="false" ht="12.75" hidden="false" customHeight="true" outlineLevel="0" collapsed="false">
      <c r="A8" s="93" t="s">
        <v>153</v>
      </c>
      <c r="B8" s="94" t="str">
        <f aca="false">Flights!$V$18&amp;"   (reference uplift stns: "&amp;Flights!$U$18&amp;")"</f>
        <v>KUL   (reference uplift stns: KUL/LHR)</v>
      </c>
      <c r="C8" s="94"/>
      <c r="D8" s="94"/>
      <c r="E8" s="93" t="s">
        <v>1705</v>
      </c>
      <c r="F8" s="99" t="s">
        <v>1706</v>
      </c>
      <c r="G8" s="98" t="n">
        <f aca="false">Flights!$AN$18</f>
        <v>0</v>
      </c>
      <c r="H8" s="98"/>
    </row>
    <row r="9" customFormat="false" ht="12.75" hidden="false" customHeight="true" outlineLevel="0" collapsed="false">
      <c r="A9" s="93" t="s">
        <v>1707</v>
      </c>
      <c r="B9" s="94" t="str">
        <f aca="false">TRIM(Flights!$P$18&amp;"  "&amp;Flights!$Q$18)</f>
        <v>-</v>
      </c>
      <c r="C9" s="94"/>
      <c r="D9" s="94"/>
      <c r="E9" s="93" t="s">
        <v>1708</v>
      </c>
      <c r="F9" s="100" t="n">
        <f aca="false">Flights!$AP$18</f>
        <v>0</v>
      </c>
      <c r="G9" s="100" t="n">
        <f aca="false">Flights!$AQ$18</f>
        <v>0</v>
      </c>
      <c r="H9" s="100" t="n">
        <f aca="false">Flights!$AU$18</f>
        <v>0</v>
      </c>
    </row>
    <row r="10" customFormat="false" ht="24" hidden="false" customHeight="true" outlineLevel="0" collapsed="false">
      <c r="A10" s="93" t="s">
        <v>1709</v>
      </c>
      <c r="B10" s="94" t="str">
        <f aca="false">IF(TRIM(Flights!$X$18)="","__________________",Flights!$X$18)</f>
        <v>__________________</v>
      </c>
      <c r="C10" s="94"/>
      <c r="D10" s="94"/>
      <c r="E10" s="93" t="s">
        <v>1710</v>
      </c>
      <c r="F10" s="100" t="n">
        <f aca="false">Flights!$AO$18</f>
        <v>24</v>
      </c>
      <c r="G10" s="100" t="n">
        <f aca="false">Flights!$AS$18</f>
        <v>1</v>
      </c>
      <c r="H10" s="100" t="n">
        <f aca="false">Flights!$AR$18</f>
        <v>2</v>
      </c>
    </row>
    <row r="11" customFormat="false" ht="21" hidden="false" customHeight="true" outlineLevel="0" collapsed="false">
      <c r="A11" s="93" t="s">
        <v>1711</v>
      </c>
      <c r="B11" s="94" t="str">
        <f aca="false">IF(TRIM(Flights!$Y$18)="","__________________",Flights!$Y$18)</f>
        <v>__________________</v>
      </c>
      <c r="C11" s="94"/>
      <c r="D11" s="94"/>
      <c r="E11" s="93" t="s">
        <v>1712</v>
      </c>
      <c r="F11" s="100" t="str">
        <f aca="false">Flights!$AV$18&amp;" / "&amp;Flights!$AW$18</f>
        <v>0 / 24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IF(Documents!$F$18="","",Documents!$F$18)</f>
        <v/>
      </c>
      <c r="C14" s="99" t="str">
        <f aca="false">IF(Documents!$G$18="","",Documents!$G$18)&amp;IF(ISNUMBER(Documents!$H$18),"  "&amp;TEXT(Documents!$H$18,"DD-MMM-YY"),"")</f>
        <v/>
      </c>
      <c r="D14" s="99"/>
      <c r="E14" s="107" t="str">
        <f aca="false">IF(Documents!$J$18="OUTSTANDING","OUTSTANDING – attach before T-7D (due "&amp;IF(ISNUMBER(Flights!$AG$18),TEXT(Flights!$AG$18,"DD-MMM-YY HH:MM"),"")&amp;" "&amp;Flights!$V$18&amp;")",IF(Documents!$J$18="","Status not recorded",Documents!$J$18))</f>
        <v>OUTSTANDING – attach before T-7D (due 08-Oct-26 09:50 KUL)</v>
      </c>
      <c r="F14" s="108" t="str">
        <f aca="false">"Staple behind this sheet as page A1."&amp;IF(Documents!$I$18="",""," Location: "&amp;Documents!$I$18)</f>
        <v>Staple behind this sheet as page A1.</v>
      </c>
      <c r="G14" s="108"/>
      <c r="H14" s="108"/>
    </row>
    <row r="15" customFormat="false" ht="36" hidden="false" customHeight="true" outlineLevel="0" collapsed="false">
      <c r="A15" s="93" t="s">
        <v>1723</v>
      </c>
      <c r="B15" s="94" t="str">
        <f aca="false">IF(Documents!$K$18="","",Documents!$K$18)</f>
        <v/>
      </c>
      <c r="C15" s="99" t="str">
        <f aca="false">IF(Documents!$L$18="","",Documents!$L$18)&amp;IF(ISNUMBER(Documents!$M$18),"  "&amp;TEXT(Documents!$M$18,"DD-MMM-YY"),"")</f>
        <v/>
      </c>
      <c r="D15" s="99"/>
      <c r="E15" s="107" t="str">
        <f aca="false">IF(Documents!$O$18="OUTSTANDING","OUTSTANDING – attach before T-7D (due "&amp;IF(ISNUMBER(Flights!$AG$18),TEXT(Flights!$AG$18,"DD-MMM-YY HH:MM"),"")&amp;" "&amp;Flights!$V$18&amp;")",IF(Documents!$O$18="","Status not recorded",Documents!$O$18))</f>
        <v>OUTSTANDING – attach before T-7D (due 08-Oct-26 09:50 KUL)</v>
      </c>
      <c r="F15" s="108" t="str">
        <f aca="false">"Staple behind this sheet as page A2."&amp;IF(Documents!$N$18="",""," Location: "&amp;Documents!$N$18)</f>
        <v>Staple behind this sheet as page A2.</v>
      </c>
      <c r="G15" s="108"/>
      <c r="H15" s="108"/>
    </row>
    <row r="16" customFormat="false" ht="22.5" hidden="false" customHeight="true" outlineLevel="0" collapsed="false">
      <c r="A16" s="93" t="s">
        <v>1724</v>
      </c>
      <c r="B16" s="109" t="str">
        <f aca="false">IF(Documents!$Q$18="","",Documents!$Q$18)</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"&amp;IF(TRIM(Flights!$Y$18)="","__________________",Flights!$Y$18)</f>
        <v>Name: __________________</v>
      </c>
      <c r="B18" s="94"/>
      <c r="C18" s="94" t="str">
        <f aca="false">"Name: __________________"</f>
        <v>Name: __________________</v>
      </c>
      <c r="D18" s="94"/>
      <c r="E18" s="94"/>
      <c r="F18" s="94" t="str">
        <f aca="false">"Name: __________________"&amp;"   Station: "&amp;Flights!$V$18</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"&amp;IF(ISNUMBER(Flights!$AG$18),TEXT(Flights!$AG$18,"DD-MMM-YY HH:MM"),"")&amp;" "&amp;Flights!$V$18&amp;" (meal uplift stn)"&amp;" (rows with another due show their own)  |  Complete "&amp;IF(ISNUMBER(Flights!$AJ$18),TEXT(Flights!$AJ$18,"0%"),Flights!$AJ$18)&amp;"  |  9 lines"</f>
        <v>T-7D — 7 days before departure  |  Due 08-Oct-26 09:50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Checks!$A$456&amp;CHAR(10)&amp;IF(Checks!$I$456="","",Checks!$I$456&amp;": ")&amp;Checks!$J$456</f>
        <v>F14-T7-01
Meal: Meal sensory testing completed for this flight's menu cycle (assessed class)</v>
      </c>
      <c r="B23" s="114" t="str">
        <f aca="false">Checks!$K$456&amp;IF(Checks!$O$456="","",IF(Checks!$K$456="","",CHAR(10))&amp;"Note: "&amp;Checks!$O$456)</f>
        <v>Record panel result / score in Result</v>
      </c>
      <c r="C23" s="114" t="str">
        <f aca="false">Checks!$N$456&amp;CHAR(10)&amp;IF(ISNUMBER(Checks!$R$456),TEXT(Checks!$R$456,"DD-MMM-YY HH:MM"),"")&amp;" "&amp;Checks!$P$456</f>
        <v>Required
08-Oct-26 09:50 KUL</v>
      </c>
      <c r="D23" s="114" t="str">
        <f aca="false">IF(Checks!$U$456="","",Checks!$U$456)&amp;IF(Checks!$AB$456="","",CHAR(10)&amp;"CA: "&amp;Checks!$AB$456)</f>
        <v/>
      </c>
      <c r="E23" s="114" t="str">
        <f aca="false">IF(Checks!$V$456="","",Checks!$V$456)&amp;IF(Checks!$AC$456="","",IF(Checks!$V$456="","",CHAR(10))&amp;"N/A just.: "&amp;Checks!$AC$456)&amp;IF(Checks!$W$456="","",CHAR(10)&amp;"Batch: "&amp;Checks!$W$456)&amp;IF(AND(Checks!$X$456="",Checks!$Y$456=""),"",CHAR(10)&amp;"Exp: "&amp;Checks!$X$456&amp;"  /  Act: "&amp;Checks!$Y$456)</f>
        <v/>
      </c>
      <c r="F23" s="114" t="str">
        <f aca="false">IF(Checks!$Z$456="","","Evidence: "&amp;Checks!$Z$456)&amp;IF(Checks!$AA$456="","",IF(Checks!$Z$456="","",CHAR(10))&amp;"CA: "&amp;Checks!$AA$456)</f>
        <v/>
      </c>
      <c r="G23" s="114" t="str">
        <f aca="false">IF(ISNUMBER(Checks!$AD$456),TEXT(Checks!$AD$456,"DD-MMM-YY HH:MM")&amp;" "&amp;Checks!$P$456,"")&amp;IF(Checks!$AE$456="","",CHAR(10)&amp;"Verifier: "&amp;Checks!$AE$456)&amp;IF(Checks!$T$456="","",CHAR(10)&amp;"PIC: "&amp;Checks!$T$456)</f>
        <v/>
      </c>
      <c r="H23" s="115" t="str">
        <f aca="false">IF(Checks!$AH$456="","",Checks!$AH$456)</f>
        <v>OPEN</v>
      </c>
    </row>
    <row r="24" customFormat="false" ht="114" hidden="false" customHeight="true" outlineLevel="0" collapsed="false">
      <c r="A24" s="114" t="str">
        <f aca="false">Checks!$A$457&amp;CHAR(10)&amp;IF(Checks!$I$457="","",Checks!$I$457&amp;": ")&amp;Checks!$J$457</f>
        <v>F14-T7-02
Menu: Printed menu cards confirmed (content, cycle, language, quantity)</v>
      </c>
      <c r="B24" s="114" t="str">
        <f aca="false">Checks!$K$457&amp;IF(Checks!$O$457="","",IF(Checks!$K$457="","",CHAR(10))&amp;"Note: "&amp;Checks!$O$457)</f>
        <v>Menu card matches approved menu for this flight</v>
      </c>
      <c r="C24" s="114" t="str">
        <f aca="false">Checks!$N$457&amp;CHAR(10)&amp;IF(ISNUMBER(Checks!$R$457),TEXT(Checks!$R$457,"DD-MMM-YY HH:MM"),"")&amp;" "&amp;Checks!$P$457</f>
        <v>Required
08-Oct-26 09:50 KUL</v>
      </c>
      <c r="D24" s="114" t="str">
        <f aca="false">IF(Checks!$U$457="","",Checks!$U$457)&amp;IF(Checks!$AB$457="","",CHAR(10)&amp;"CA: "&amp;Checks!$AB$457)</f>
        <v/>
      </c>
      <c r="E24" s="114" t="str">
        <f aca="false">IF(Checks!$V$457="","",Checks!$V$457)&amp;IF(Checks!$AC$457="","",IF(Checks!$V$457="","",CHAR(10))&amp;"N/A just.: "&amp;Checks!$AC$457)&amp;IF(Checks!$W$457="","",CHAR(10)&amp;"Batch: "&amp;Checks!$W$457)&amp;IF(AND(Checks!$X$457="",Checks!$Y$457=""),"",CHAR(10)&amp;"Exp: "&amp;Checks!$X$457&amp;"  /  Act: "&amp;Checks!$Y$457)</f>
        <v/>
      </c>
      <c r="F24" s="114" t="str">
        <f aca="false">IF(Checks!$Z$457="","","Evidence: "&amp;Checks!$Z$457)&amp;IF(Checks!$AA$457="","",IF(Checks!$Z$457="","",CHAR(10))&amp;"CA: "&amp;Checks!$AA$457)</f>
        <v/>
      </c>
      <c r="G24" s="114" t="str">
        <f aca="false">IF(ISNUMBER(Checks!$AD$457),TEXT(Checks!$AD$457,"DD-MMM-YY HH:MM")&amp;" "&amp;Checks!$P$457,"")&amp;IF(Checks!$AE$457="","",CHAR(10)&amp;"Verifier: "&amp;Checks!$AE$457)&amp;IF(Checks!$T$457="","",CHAR(10)&amp;"PIC: "&amp;Checks!$T$457)</f>
        <v/>
      </c>
      <c r="H24" s="115" t="str">
        <f aca="false">IF(Checks!$AH$457="","",Checks!$AH$457)</f>
        <v>OPEN</v>
      </c>
    </row>
    <row r="25" customFormat="false" ht="114" hidden="false" customHeight="true" outlineLevel="0" collapsed="false">
      <c r="A25" s="114" t="str">
        <f aca="false">Checks!$A$458&amp;CHAR(10)&amp;IF(Checks!$I$458="","",Checks!$I$458&amp;": ")&amp;Checks!$J$458</f>
        <v>F14-T7-03
IFE: Digital menu in IFE confirmed (A339 only)</v>
      </c>
      <c r="B25" s="114" t="str">
        <f aca="false">Checks!$K$458&amp;IF(Checks!$O$458="","",IF(Checks!$K$458="","",CHAR(10))&amp;"Note: "&amp;Checks!$O$458)</f>
        <v>Applies when fleet = A339
Note: Digital IFE menu applies to A339 only (user brief). Applicability follows the Fleet cell on Flights.</v>
      </c>
      <c r="C25" s="114" t="str">
        <f aca="false">Checks!$N$458&amp;CHAR(10)&amp;IF(ISNUMBER(Checks!$R$458),TEXT(Checks!$R$458,"DD-MMM-YY HH:MM"),"")&amp;" "&amp;Checks!$P$458</f>
        <v>N/A – rule
08-Oct-26 09:50 KUL</v>
      </c>
      <c r="D25" s="114" t="str">
        <f aca="false">IF(Checks!$U$458="","",Checks!$U$458)&amp;IF(Checks!$AB$458="","",CHAR(10)&amp;"CA: "&amp;Checks!$AB$458)</f>
        <v/>
      </c>
      <c r="E25" s="114" t="str">
        <f aca="false">IF(Checks!$V$458="","",Checks!$V$458)&amp;IF(Checks!$AC$458="","",IF(Checks!$V$458="","",CHAR(10))&amp;"N/A just.: "&amp;Checks!$AC$458)&amp;IF(Checks!$W$458="","",CHAR(10)&amp;"Batch: "&amp;Checks!$W$458)&amp;IF(AND(Checks!$X$458="",Checks!$Y$458=""),"",CHAR(10)&amp;"Exp: "&amp;Checks!$X$458&amp;"  /  Act: "&amp;Checks!$Y$458)</f>
        <v/>
      </c>
      <c r="F25" s="114" t="str">
        <f aca="false">IF(Checks!$Z$458="","","Evidence: "&amp;Checks!$Z$458)&amp;IF(Checks!$AA$458="","",IF(Checks!$Z$458="","",CHAR(10))&amp;"CA: "&amp;Checks!$AA$458)</f>
        <v/>
      </c>
      <c r="G25" s="114" t="str">
        <f aca="false">IF(ISNUMBER(Checks!$AD$458),TEXT(Checks!$AD$458,"DD-MMM-YY HH:MM")&amp;" "&amp;Checks!$P$458,"")&amp;IF(Checks!$AE$458="","",CHAR(10)&amp;"Verifier: "&amp;Checks!$AE$458)&amp;IF(Checks!$T$458="","",CHAR(10)&amp;"PIC: "&amp;Checks!$T$458)</f>
        <v/>
      </c>
      <c r="H25" s="115" t="str">
        <f aca="false">IF(Checks!$AH$458="","",Checks!$AH$458)</f>
        <v>N/A – RULE</v>
      </c>
    </row>
    <row r="26" customFormat="false" ht="114" hidden="false" customHeight="true" outlineLevel="0" collapsed="false">
      <c r="A26" s="114" t="str">
        <f aca="false">Checks!$A$459&amp;CHAR(10)&amp;IF(Checks!$I$459="","",Checks!$I$459&amp;": ")&amp;Checks!$J$459</f>
        <v>F14-T7-04
Staffing: Experienced catering officer assigned to this flight</v>
      </c>
      <c r="B26" s="114" t="str">
        <f aca="false">Checks!$K$459&amp;IF(Checks!$O$459="","",IF(Checks!$K$459="","",CHAR(10))&amp;"Note: "&amp;Checks!$O$459)</f>
        <v>Record officer name in Result</v>
      </c>
      <c r="C26" s="114" t="str">
        <f aca="false">Checks!$N$459&amp;CHAR(10)&amp;IF(ISNUMBER(Checks!$R$459),TEXT(Checks!$R$459,"DD-MMM-YY HH:MM"),"")&amp;" "&amp;Checks!$P$459</f>
        <v>Required
08-Oct-26 09:50 KUL</v>
      </c>
      <c r="D26" s="114" t="str">
        <f aca="false">IF(Checks!$U$459="","",Checks!$U$459)&amp;IF(Checks!$AB$459="","",CHAR(10)&amp;"CA: "&amp;Checks!$AB$459)</f>
        <v/>
      </c>
      <c r="E26" s="114" t="str">
        <f aca="false">IF(Checks!$V$459="","",Checks!$V$459)&amp;IF(Checks!$AC$459="","",IF(Checks!$V$459="","",CHAR(10))&amp;"N/A just.: "&amp;Checks!$AC$459)&amp;IF(Checks!$W$459="","",CHAR(10)&amp;"Batch: "&amp;Checks!$W$459)&amp;IF(AND(Checks!$X$459="",Checks!$Y$459=""),"",CHAR(10)&amp;"Exp: "&amp;Checks!$X$459&amp;"  /  Act: "&amp;Checks!$Y$459)</f>
        <v/>
      </c>
      <c r="F26" s="114" t="str">
        <f aca="false">IF(Checks!$Z$459="","","Evidence: "&amp;Checks!$Z$459)&amp;IF(Checks!$AA$459="","",IF(Checks!$Z$459="","",CHAR(10))&amp;"CA: "&amp;Checks!$AA$459)</f>
        <v/>
      </c>
      <c r="G26" s="114" t="str">
        <f aca="false">IF(ISNUMBER(Checks!$AD$459),TEXT(Checks!$AD$459,"DD-MMM-YY HH:MM")&amp;" "&amp;Checks!$P$459,"")&amp;IF(Checks!$AE$459="","",CHAR(10)&amp;"Verifier: "&amp;Checks!$AE$459)&amp;IF(Checks!$T$459="","",CHAR(10)&amp;"PIC: "&amp;Checks!$T$459)</f>
        <v/>
      </c>
      <c r="H26" s="115" t="str">
        <f aca="false">IF(Checks!$AH$459="","",Checks!$AH$459)</f>
        <v>OPEN</v>
      </c>
    </row>
    <row r="27" customFormat="false" ht="114" hidden="false" customHeight="true" outlineLevel="0" collapsed="false">
      <c r="A27" s="114" t="str">
        <f aca="false">Checks!$A$460&amp;CHAR(10)&amp;IF(Checks!$I$460="","",Checks!$I$460&amp;": ")&amp;Checks!$J$460</f>
        <v>F14-T7-05
ISOP: All latest applicable ISOP revisions communicated to caterer</v>
      </c>
      <c r="B27" s="114" t="str">
        <f aca="false">Checks!$K$460&amp;IF(Checks!$O$460="","",IF(Checks!$K$460="","",CHAR(10))&amp;"Note: "&amp;Checks!$O$460)</f>
        <v>List revision numbers in Result (see ISOP register)</v>
      </c>
      <c r="C27" s="114" t="str">
        <f aca="false">Checks!$N$460&amp;CHAR(10)&amp;IF(ISNUMBER(Checks!$R$460),TEXT(Checks!$R$460,"DD-MMM-YY HH:MM"),"")&amp;" "&amp;Checks!$P$460</f>
        <v>Required
08-Oct-26 09:50 KUL</v>
      </c>
      <c r="D27" s="114" t="str">
        <f aca="false">IF(Checks!$U$460="","",Checks!$U$460)&amp;IF(Checks!$AB$460="","",CHAR(10)&amp;"CA: "&amp;Checks!$AB$460)</f>
        <v/>
      </c>
      <c r="E27" s="114" t="str">
        <f aca="false">IF(Checks!$V$460="","",Checks!$V$460)&amp;IF(Checks!$AC$460="","",IF(Checks!$V$460="","",CHAR(10))&amp;"N/A just.: "&amp;Checks!$AC$460)&amp;IF(Checks!$W$460="","",CHAR(10)&amp;"Batch: "&amp;Checks!$W$460)&amp;IF(AND(Checks!$X$460="",Checks!$Y$460=""),"",CHAR(10)&amp;"Exp: "&amp;Checks!$X$460&amp;"  /  Act: "&amp;Checks!$Y$460)</f>
        <v/>
      </c>
      <c r="F27" s="114" t="str">
        <f aca="false">IF(Checks!$Z$460="","","Evidence: "&amp;Checks!$Z$460)&amp;IF(Checks!$AA$460="","",IF(Checks!$Z$460="","",CHAR(10))&amp;"CA: "&amp;Checks!$AA$460)</f>
        <v/>
      </c>
      <c r="G27" s="114" t="str">
        <f aca="false">IF(ISNUMBER(Checks!$AD$460),TEXT(Checks!$AD$460,"DD-MMM-YY HH:MM")&amp;" "&amp;Checks!$P$460,"")&amp;IF(Checks!$AE$460="","",CHAR(10)&amp;"Verifier: "&amp;Checks!$AE$460)&amp;IF(Checks!$T$460="","",CHAR(10)&amp;"PIC: "&amp;Checks!$T$460)</f>
        <v/>
      </c>
      <c r="H27" s="115" t="str">
        <f aca="false">IF(Checks!$AH$460="","",Checks!$AH$460)</f>
        <v>OPEN</v>
      </c>
    </row>
    <row r="28" customFormat="false" ht="114" hidden="false" customHeight="true" outlineLevel="0" collapsed="false">
      <c r="A28" s="114" t="str">
        <f aca="false">Checks!$A$461&amp;CHAR(10)&amp;IF(Checks!$I$461="","",Checks!$I$461&amp;": ")&amp;Checks!$J$461</f>
        <v>F14-T7-06
ISOP: Caterer acknowledgement of ISOP revisions recorded</v>
      </c>
      <c r="B28" s="114" t="str">
        <f aca="false">Checks!$K$461&amp;IF(Checks!$O$461="","",IF(Checks!$K$461="","",CHAR(10))&amp;"Note: "&amp;Checks!$O$461)</f>
        <v>Record acknowledgement ref in Evidence</v>
      </c>
      <c r="C28" s="114" t="str">
        <f aca="false">Checks!$N$461&amp;CHAR(10)&amp;IF(ISNUMBER(Checks!$R$461),TEXT(Checks!$R$461,"DD-MMM-YY HH:MM"),"")&amp;" "&amp;Checks!$P$461</f>
        <v>Required
08-Oct-26 09:50 KUL</v>
      </c>
      <c r="D28" s="114" t="str">
        <f aca="false">IF(Checks!$U$461="","",Checks!$U$461)&amp;IF(Checks!$AB$461="","",CHAR(10)&amp;"CA: "&amp;Checks!$AB$461)</f>
        <v/>
      </c>
      <c r="E28" s="114" t="str">
        <f aca="false">IF(Checks!$V$461="","",Checks!$V$461)&amp;IF(Checks!$AC$461="","",IF(Checks!$V$461="","",CHAR(10))&amp;"N/A just.: "&amp;Checks!$AC$461)&amp;IF(Checks!$W$461="","",CHAR(10)&amp;"Batch: "&amp;Checks!$W$461)&amp;IF(AND(Checks!$X$461="",Checks!$Y$461=""),"",CHAR(10)&amp;"Exp: "&amp;Checks!$X$461&amp;"  /  Act: "&amp;Checks!$Y$461)</f>
        <v/>
      </c>
      <c r="F28" s="114" t="str">
        <f aca="false">IF(Checks!$Z$461="","","Evidence: "&amp;Checks!$Z$461)&amp;IF(Checks!$AA$461="","",IF(Checks!$Z$461="","",CHAR(10))&amp;"CA: "&amp;Checks!$AA$461)</f>
        <v/>
      </c>
      <c r="G28" s="114" t="str">
        <f aca="false">IF(ISNUMBER(Checks!$AD$461),TEXT(Checks!$AD$461,"DD-MMM-YY HH:MM")&amp;" "&amp;Checks!$P$461,"")&amp;IF(Checks!$AE$461="","",CHAR(10)&amp;"Verifier: "&amp;Checks!$AE$461)&amp;IF(Checks!$T$461="","",CHAR(10)&amp;"PIC: "&amp;Checks!$T$461)</f>
        <v/>
      </c>
      <c r="H28" s="115" t="str">
        <f aca="false">IF(Checks!$AH$461="","",Checks!$AH$461)</f>
        <v>OPEN</v>
      </c>
    </row>
    <row r="29" customFormat="false" ht="114" hidden="false" customHeight="true" outlineLevel="0" collapsed="false">
      <c r="A29" s="114" t="str">
        <f aca="false">Checks!$A$462&amp;CHAR(10)&amp;IF(Checks!$I$462="","",Checks!$I$462&amp;": ")&amp;Checks!$J$462</f>
        <v>F14-T7-07
Documents: Galley loading diagram (GLD) received, revision recorded &amp; attached</v>
      </c>
      <c r="B29" s="114" t="str">
        <f aca="false">Checks!$K$462&amp;IF(Checks!$O$462="","",IF(Checks!$K$462="","",CHAR(10))&amp;"Note: "&amp;Checks!$O$462)</f>
        <v>Documents sheet row complete</v>
      </c>
      <c r="C29" s="114" t="str">
        <f aca="false">Checks!$N$462&amp;CHAR(10)&amp;IF(ISNUMBER(Checks!$R$462),TEXT(Checks!$R$462,"DD-MMM-YY HH:MM"),"")&amp;" "&amp;Checks!$P$462</f>
        <v>Required
08-Oct-26 09:50 KUL</v>
      </c>
      <c r="D29" s="114" t="str">
        <f aca="false">IF(Checks!$U$462="","",Checks!$U$462)&amp;IF(Checks!$AB$462="","",CHAR(10)&amp;"CA: "&amp;Checks!$AB$462)</f>
        <v/>
      </c>
      <c r="E29" s="114" t="str">
        <f aca="false">IF(Checks!$V$462="","",Checks!$V$462)&amp;IF(Checks!$AC$462="","",IF(Checks!$V$462="","",CHAR(10))&amp;"N/A just.: "&amp;Checks!$AC$462)&amp;IF(Checks!$W$462="","",CHAR(10)&amp;"Batch: "&amp;Checks!$W$462)&amp;IF(AND(Checks!$X$462="",Checks!$Y$462=""),"",CHAR(10)&amp;"Exp: "&amp;Checks!$X$462&amp;"  /  Act: "&amp;Checks!$Y$462)</f>
        <v/>
      </c>
      <c r="F29" s="114" t="str">
        <f aca="false">IF(Checks!$Z$462="","","Evidence: "&amp;Checks!$Z$462)&amp;IF(Checks!$AA$462="","",IF(Checks!$Z$462="","",CHAR(10))&amp;"CA: "&amp;Checks!$AA$462)</f>
        <v/>
      </c>
      <c r="G29" s="114" t="str">
        <f aca="false">IF(ISNUMBER(Checks!$AD$462),TEXT(Checks!$AD$462,"DD-MMM-YY HH:MM")&amp;" "&amp;Checks!$P$462,"")&amp;IF(Checks!$AE$462="","",CHAR(10)&amp;"Verifier: "&amp;Checks!$AE$462)&amp;IF(Checks!$T$462="","",CHAR(10)&amp;"PIC: "&amp;Checks!$T$462)</f>
        <v/>
      </c>
      <c r="H29" s="115" t="str">
        <f aca="false">IF(Checks!$AH$462="","",Checks!$AH$462)</f>
        <v>OPEN</v>
      </c>
    </row>
    <row r="30" customFormat="false" ht="114" hidden="false" customHeight="true" outlineLevel="0" collapsed="false">
      <c r="A30" s="114" t="str">
        <f aca="false">Checks!$A$463&amp;CHAR(10)&amp;IF(Checks!$I$463="","",Checks!$I$463&amp;": ")&amp;Checks!$J$463</f>
        <v>F14-T7-08
Documents: Menu checklist received, revision recorded &amp; attached</v>
      </c>
      <c r="B30" s="114" t="str">
        <f aca="false">Checks!$K$463&amp;IF(Checks!$O$463="","",IF(Checks!$K$463="","",CHAR(10))&amp;"Note: "&amp;Checks!$O$463)</f>
        <v>Documents sheet row complete</v>
      </c>
      <c r="C30" s="114" t="str">
        <f aca="false">Checks!$N$463&amp;CHAR(10)&amp;IF(ISNUMBER(Checks!$R$463),TEXT(Checks!$R$463,"DD-MMM-YY HH:MM"),"")&amp;" "&amp;Checks!$P$463</f>
        <v>Required
08-Oct-26 09:50 KUL</v>
      </c>
      <c r="D30" s="114" t="str">
        <f aca="false">IF(Checks!$U$463="","",Checks!$U$463)&amp;IF(Checks!$AB$463="","",CHAR(10)&amp;"CA: "&amp;Checks!$AB$463)</f>
        <v/>
      </c>
      <c r="E30" s="114" t="str">
        <f aca="false">IF(Checks!$V$463="","",Checks!$V$463)&amp;IF(Checks!$AC$463="","",IF(Checks!$V$463="","",CHAR(10))&amp;"N/A just.: "&amp;Checks!$AC$463)&amp;IF(Checks!$W$463="","",CHAR(10)&amp;"Batch: "&amp;Checks!$W$463)&amp;IF(AND(Checks!$X$463="",Checks!$Y$463=""),"",CHAR(10)&amp;"Exp: "&amp;Checks!$X$463&amp;"  /  Act: "&amp;Checks!$Y$463)</f>
        <v/>
      </c>
      <c r="F30" s="114" t="str">
        <f aca="false">IF(Checks!$Z$463="","","Evidence: "&amp;Checks!$Z$463)&amp;IF(Checks!$AA$463="","",IF(Checks!$Z$463="","",CHAR(10))&amp;"CA: "&amp;Checks!$AA$463)</f>
        <v/>
      </c>
      <c r="G30" s="114" t="str">
        <f aca="false">IF(ISNUMBER(Checks!$AD$463),TEXT(Checks!$AD$463,"DD-MMM-YY HH:MM")&amp;" "&amp;Checks!$P$463,"")&amp;IF(Checks!$AE$463="","",CHAR(10)&amp;"Verifier: "&amp;Checks!$AE$463)&amp;IF(Checks!$T$463="","",CHAR(10)&amp;"PIC: "&amp;Checks!$T$463)</f>
        <v/>
      </c>
      <c r="H30" s="115" t="str">
        <f aca="false">IF(Checks!$AH$463="","",Checks!$AH$463)</f>
        <v>OPEN</v>
      </c>
    </row>
    <row r="31" customFormat="false" ht="114" hidden="false" customHeight="true" outlineLevel="0" collapsed="false">
      <c r="A31" s="114" t="str">
        <f aca="false">Checks!$A$464&amp;CHAR(10)&amp;IF(Checks!$I$464="","",Checks!$I$464&amp;": ")&amp;Checks!$J$464</f>
        <v>F14-T7-09
Uplift plan: Uplift plan confirmed with caterer vs STD Uplift Information</v>
      </c>
      <c r="B31" s="114" t="str">
        <f aca="false">Checks!$K$464&amp;IF(Checks!$O$464="","",IF(Checks!$K$464="","",CHAR(10))&amp;"Note: "&amp;Checks!$O$464)</f>
        <v>Service: 2.5 Meal (Meal); meal uplift stn KUL (ref lists KUL/LHR)</v>
      </c>
      <c r="C31" s="114" t="str">
        <f aca="false">Checks!$N$464&amp;CHAR(10)&amp;IF(ISNUMBER(Checks!$R$464),TEXT(Checks!$R$464,"DD-MMM-YY HH:MM"),"")&amp;" "&amp;Checks!$P$464</f>
        <v>Required
08-Oct-26 09:50 KUL</v>
      </c>
      <c r="D31" s="114" t="str">
        <f aca="false">IF(Checks!$U$464="","",Checks!$U$464)&amp;IF(Checks!$AB$464="","",CHAR(10)&amp;"CA: "&amp;Checks!$AB$464)</f>
        <v/>
      </c>
      <c r="E31" s="114" t="str">
        <f aca="false">IF(Checks!$V$464="","",Checks!$V$464)&amp;IF(Checks!$AC$464="","",IF(Checks!$V$464="","",CHAR(10))&amp;"N/A just.: "&amp;Checks!$AC$464)&amp;IF(Checks!$W$464="","",CHAR(10)&amp;"Batch: "&amp;Checks!$W$464)&amp;IF(AND(Checks!$X$464="",Checks!$Y$464=""),"",CHAR(10)&amp;"Exp: "&amp;Checks!$X$464&amp;"  /  Act: "&amp;Checks!$Y$464)</f>
        <v/>
      </c>
      <c r="F31" s="114" t="str">
        <f aca="false">IF(Checks!$Z$464="","","Evidence: "&amp;Checks!$Z$464)&amp;IF(Checks!$AA$464="","",IF(Checks!$Z$464="","",CHAR(10))&amp;"CA: "&amp;Checks!$AA$464)</f>
        <v/>
      </c>
      <c r="G31" s="114" t="str">
        <f aca="false">IF(ISNUMBER(Checks!$AD$464),TEXT(Checks!$AD$464,"DD-MMM-YY HH:MM")&amp;" "&amp;Checks!$P$464,"")&amp;IF(Checks!$AE$464="","",CHAR(10)&amp;"Verifier: "&amp;Checks!$AE$464)&amp;IF(Checks!$T$464="","",CHAR(10)&amp;"PIC: "&amp;Checks!$T$464)</f>
        <v/>
      </c>
      <c r="H31" s="115" t="str">
        <f aca="false">IF(Checks!$AH$464="","",Checks!$AH$464)</f>
        <v>OPEN</v>
      </c>
    </row>
    <row r="32" customFormat="false" ht="25.5" hidden="false" customHeight="true" outlineLevel="0" collapsed="false">
      <c r="A32" s="113" t="str">
        <f aca="false">"T-24H — Production batch sensory  |  Due "&amp;IF(ISNUMBER(Flights!$AH$18),TEXT(Flights!$AH$18,"DD-MMM-YY HH:MM"),"")&amp;" "&amp;Flights!$V$18&amp;" (meal uplift stn)"&amp;" (rows with another due show their own)  |  Complete "&amp;IF(ISNUMBER(Flights!$AK$18),TEXT(Flights!$AK$18,"0%"),Flights!$AK$18)&amp;"  |  1 lines"</f>
        <v>T-24H — Production batch sensory  |  Due 14-Oct-26 09:50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Checks!$A$465&amp;CHAR(10)&amp;IF(Checks!$I$465="","",Checks!$I$465&amp;": ")&amp;Checks!$J$465</f>
        <v>F14-T24-01
Meal: Sensory test repeated on ACTUAL production batch for this flight</v>
      </c>
      <c r="B33" s="114" t="str">
        <f aca="false">Checks!$K$465&amp;IF(Checks!$O$465="","",IF(Checks!$K$465="","",CHAR(10))&amp;"Note: "&amp;Checks!$O$465)</f>
        <v>Batch ID, result, CA and acceptance mandatory</v>
      </c>
      <c r="C33" s="114" t="str">
        <f aca="false">Checks!$N$465&amp;CHAR(10)&amp;IF(ISNUMBER(Checks!$R$465),TEXT(Checks!$R$465,"DD-MMM-YY HH:MM"),"")&amp;" "&amp;Checks!$P$465</f>
        <v>Required
14-Oct-26 09:50 KUL</v>
      </c>
      <c r="D33" s="114" t="str">
        <f aca="false">IF(Checks!$U$465="","",Checks!$U$465)&amp;IF(Checks!$AB$465="","",CHAR(10)&amp;"CA: "&amp;Checks!$AB$465)</f>
        <v/>
      </c>
      <c r="E33" s="114" t="str">
        <f aca="false">IF(Checks!$V$465="","",Checks!$V$465)&amp;IF(Checks!$AC$465="","",IF(Checks!$V$465="","",CHAR(10))&amp;"N/A just.: "&amp;Checks!$AC$465)&amp;IF(Checks!$W$465="","",CHAR(10)&amp;"Batch: "&amp;Checks!$W$465)&amp;IF(AND(Checks!$X$465="",Checks!$Y$465=""),"",CHAR(10)&amp;"Exp: "&amp;Checks!$X$465&amp;"  /  Act: "&amp;Checks!$Y$465)</f>
        <v/>
      </c>
      <c r="F33" s="114" t="str">
        <f aca="false">IF(Checks!$Z$465="","","Evidence: "&amp;Checks!$Z$465)&amp;IF(Checks!$AA$465="","",IF(Checks!$Z$465="","",CHAR(10))&amp;"CA: "&amp;Checks!$AA$465)</f>
        <v/>
      </c>
      <c r="G33" s="114" t="str">
        <f aca="false">IF(ISNUMBER(Checks!$AD$465),TEXT(Checks!$AD$465,"DD-MMM-YY HH:MM")&amp;" "&amp;Checks!$P$465,"")&amp;IF(Checks!$AE$465="","",CHAR(10)&amp;"Verifier: "&amp;Checks!$AE$465)&amp;IF(Checks!$T$465="","",CHAR(10)&amp;"PIC: "&amp;Checks!$T$465)</f>
        <v/>
      </c>
      <c r="H33" s="115" t="str">
        <f aca="false">IF(Checks!$AH$465="","",Checks!$AH$465)</f>
        <v>OPEN</v>
      </c>
    </row>
    <row r="34" customFormat="false" ht="25.5" hidden="false" customHeight="true" outlineLevel="0" collapsed="false">
      <c r="A34" s="113" t="str">
        <f aca="false">"T-12H PREP — Preparation check at caterer (does NOT confirm loading)  |  Due "&amp;IF(ISNUMBER(Flights!$AI$18),TEXT(Flights!$AI$18,"DD-MMM-YY HH:MM"),"")&amp;" "&amp;Flights!$V$18&amp;" (meal uplift stn)"&amp;" (rows with another due show their own)  |  Complete "&amp;IF(ISNUMBER(Flights!$AL$18),TEXT(Flights!$AL$18,"0%"),Flights!$AL$18)&amp;"  |  10 lines"</f>
        <v>T-12H PREP — Preparation check at caterer (does NOT confirm loading)  |  Due 14-Oct-26 21:50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Checks!$A$466&amp;CHAR(10)&amp;IF(Checks!$I$466="","",Checks!$I$466&amp;": ")&amp;Checks!$J$466</f>
        <v>F14-T12-01
Meal: Meal quality vs menu checklist</v>
      </c>
      <c r="B35" s="114" t="str">
        <f aca="false">Checks!$K$466&amp;IF(Checks!$O$466="","",IF(Checks!$K$466="","",CHAR(10))&amp;"Note: "&amp;Checks!$O$466)</f>
        <v>Note: Preparation check at caterer - does NOT confirm loading.</v>
      </c>
      <c r="C35" s="114" t="str">
        <f aca="false">Checks!$N$466&amp;CHAR(10)&amp;IF(ISNUMBER(Checks!$R$466),TEXT(Checks!$R$466,"DD-MMM-YY HH:MM"),"")&amp;" "&amp;Checks!$P$466</f>
        <v>Required
14-Oct-26 21:50 KUL</v>
      </c>
      <c r="D35" s="114" t="str">
        <f aca="false">IF(Checks!$U$466="","",Checks!$U$466)&amp;IF(Checks!$AB$466="","",CHAR(10)&amp;"CA: "&amp;Checks!$AB$466)</f>
        <v/>
      </c>
      <c r="E35" s="114" t="str">
        <f aca="false">IF(Checks!$V$466="","",Checks!$V$466)&amp;IF(Checks!$AC$466="","",IF(Checks!$V$466="","",CHAR(10))&amp;"N/A just.: "&amp;Checks!$AC$466)&amp;IF(Checks!$W$466="","",CHAR(10)&amp;"Batch: "&amp;Checks!$W$466)&amp;IF(AND(Checks!$X$466="",Checks!$Y$466=""),"",CHAR(10)&amp;"Exp: "&amp;Checks!$X$466&amp;"  /  Act: "&amp;Checks!$Y$466)</f>
        <v/>
      </c>
      <c r="F35" s="114" t="str">
        <f aca="false">IF(Checks!$Z$466="","","Evidence: "&amp;Checks!$Z$466)&amp;IF(Checks!$AA$466="","",IF(Checks!$Z$466="","",CHAR(10))&amp;"CA: "&amp;Checks!$AA$466)</f>
        <v/>
      </c>
      <c r="G35" s="114" t="str">
        <f aca="false">IF(ISNUMBER(Checks!$AD$466),TEXT(Checks!$AD$466,"DD-MMM-YY HH:MM")&amp;" "&amp;Checks!$P$466,"")&amp;IF(Checks!$AE$466="","",CHAR(10)&amp;"Verifier: "&amp;Checks!$AE$466)&amp;IF(Checks!$T$466="","",CHAR(10)&amp;"PIC: "&amp;Checks!$T$466)</f>
        <v/>
      </c>
      <c r="H35" s="115" t="str">
        <f aca="false">IF(Checks!$AH$466="","",Checks!$AH$466)</f>
        <v>OPEN</v>
      </c>
    </row>
    <row r="36" customFormat="false" ht="114" hidden="false" customHeight="true" outlineLevel="0" collapsed="false">
      <c r="A36" s="114" t="str">
        <f aca="false">Checks!$A$467&amp;CHAR(10)&amp;IF(Checks!$I$467="","",Checks!$I$467&amp;": ")&amp;Checks!$J$467</f>
        <v>F14-T12-02
Meal: Meal quantities vs menu checklist</v>
      </c>
      <c r="B36" s="114" t="str">
        <f aca="false">Checks!$K$467&amp;IF(Checks!$O$467="","",IF(Checks!$K$467="","",CHAR(10))&amp;"Note: "&amp;Checks!$O$467)</f>
        <v>Enter expected &amp; actual
Note: Preparation check at caterer - does NOT confirm loading.</v>
      </c>
      <c r="C36" s="114" t="str">
        <f aca="false">Checks!$N$467&amp;CHAR(10)&amp;IF(ISNUMBER(Checks!$R$467),TEXT(Checks!$R$467,"DD-MMM-YY HH:MM"),"")&amp;" "&amp;Checks!$P$467</f>
        <v>Required
14-Oct-26 21:50 KUL</v>
      </c>
      <c r="D36" s="114" t="str">
        <f aca="false">IF(Checks!$U$467="","",Checks!$U$467)&amp;IF(Checks!$AB$467="","",CHAR(10)&amp;"CA: "&amp;Checks!$AB$467)</f>
        <v/>
      </c>
      <c r="E36" s="114" t="str">
        <f aca="false">IF(Checks!$V$467="","",Checks!$V$467)&amp;IF(Checks!$AC$467="","",IF(Checks!$V$467="","",CHAR(10))&amp;"N/A just.: "&amp;Checks!$AC$467)&amp;IF(Checks!$W$467="","",CHAR(10)&amp;"Batch: "&amp;Checks!$W$467)&amp;IF(AND(Checks!$X$467="",Checks!$Y$467=""),"",CHAR(10)&amp;"Exp: "&amp;Checks!$X$467&amp;"  /  Act: "&amp;Checks!$Y$467)</f>
        <v/>
      </c>
      <c r="F36" s="114" t="str">
        <f aca="false">IF(Checks!$Z$467="","","Evidence: "&amp;Checks!$Z$467)&amp;IF(Checks!$AA$467="","",IF(Checks!$Z$467="","",CHAR(10))&amp;"CA: "&amp;Checks!$AA$467)</f>
        <v/>
      </c>
      <c r="G36" s="114" t="str">
        <f aca="false">IF(ISNUMBER(Checks!$AD$467),TEXT(Checks!$AD$467,"DD-MMM-YY HH:MM")&amp;" "&amp;Checks!$P$467,"")&amp;IF(Checks!$AE$467="","",CHAR(10)&amp;"Verifier: "&amp;Checks!$AE$467)&amp;IF(Checks!$T$467="","",CHAR(10)&amp;"PIC: "&amp;Checks!$T$467)</f>
        <v/>
      </c>
      <c r="H36" s="115" t="str">
        <f aca="false">IF(Checks!$AH$467="","",Checks!$AH$467)</f>
        <v>OPEN</v>
      </c>
    </row>
    <row r="37" customFormat="false" ht="114" hidden="false" customHeight="true" outlineLevel="0" collapsed="false">
      <c r="A37" s="114" t="str">
        <f aca="false">Checks!$A$468&amp;CHAR(10)&amp;IF(Checks!$I$468="","",Checks!$I$468&amp;": ")&amp;Checks!$J$468</f>
        <v>F14-T12-03
Equipment: Equipment cleanliness vs GLD</v>
      </c>
      <c r="B37" s="114" t="str">
        <f aca="false">Checks!$K$468&amp;IF(Checks!$O$468="","",IF(Checks!$K$468="","",CHAR(10))&amp;"Note: "&amp;Checks!$O$468)</f>
        <v>Note: Preparation check at caterer - does NOT confirm loading.</v>
      </c>
      <c r="C37" s="114" t="str">
        <f aca="false">Checks!$N$468&amp;CHAR(10)&amp;IF(ISNUMBER(Checks!$R$468),TEXT(Checks!$R$468,"DD-MMM-YY HH:MM"),"")&amp;" "&amp;Checks!$P$468</f>
        <v>Required
14-Oct-26 21:50 KUL</v>
      </c>
      <c r="D37" s="114" t="str">
        <f aca="false">IF(Checks!$U$468="","",Checks!$U$468)&amp;IF(Checks!$AB$468="","",CHAR(10)&amp;"CA: "&amp;Checks!$AB$468)</f>
        <v/>
      </c>
      <c r="E37" s="114" t="str">
        <f aca="false">IF(Checks!$V$468="","",Checks!$V$468)&amp;IF(Checks!$AC$468="","",IF(Checks!$V$468="","",CHAR(10))&amp;"N/A just.: "&amp;Checks!$AC$468)&amp;IF(Checks!$W$468="","",CHAR(10)&amp;"Batch: "&amp;Checks!$W$468)&amp;IF(AND(Checks!$X$468="",Checks!$Y$468=""),"",CHAR(10)&amp;"Exp: "&amp;Checks!$X$468&amp;"  /  Act: "&amp;Checks!$Y$468)</f>
        <v/>
      </c>
      <c r="F37" s="114" t="str">
        <f aca="false">IF(Checks!$Z$468="","","Evidence: "&amp;Checks!$Z$468)&amp;IF(Checks!$AA$468="","",IF(Checks!$Z$468="","",CHAR(10))&amp;"CA: "&amp;Checks!$AA$468)</f>
        <v/>
      </c>
      <c r="G37" s="114" t="str">
        <f aca="false">IF(ISNUMBER(Checks!$AD$468),TEXT(Checks!$AD$468,"DD-MMM-YY HH:MM")&amp;" "&amp;Checks!$P$468,"")&amp;IF(Checks!$AE$468="","",CHAR(10)&amp;"Verifier: "&amp;Checks!$AE$468)&amp;IF(Checks!$T$468="","",CHAR(10)&amp;"PIC: "&amp;Checks!$T$468)</f>
        <v/>
      </c>
      <c r="H37" s="115" t="str">
        <f aca="false">IF(Checks!$AH$468="","",Checks!$AH$468)</f>
        <v>OPEN</v>
      </c>
    </row>
    <row r="38" customFormat="false" ht="114" hidden="false" customHeight="true" outlineLevel="0" collapsed="false">
      <c r="A38" s="114" t="str">
        <f aca="false">Checks!$A$469&amp;CHAR(10)&amp;IF(Checks!$I$469="","",Checks!$I$469&amp;": ")&amp;Checks!$J$469</f>
        <v>F14-T12-04
Equipment: Equipment presentation vs GLD</v>
      </c>
      <c r="B38" s="114" t="str">
        <f aca="false">Checks!$K$469&amp;IF(Checks!$O$469="","",IF(Checks!$K$469="","",CHAR(10))&amp;"Note: "&amp;Checks!$O$469)</f>
        <v>Note: Preparation check at caterer - does NOT confirm loading.</v>
      </c>
      <c r="C38" s="114" t="str">
        <f aca="false">Checks!$N$469&amp;CHAR(10)&amp;IF(ISNUMBER(Checks!$R$469),TEXT(Checks!$R$469,"DD-MMM-YY HH:MM"),"")&amp;" "&amp;Checks!$P$469</f>
        <v>Required
14-Oct-26 21:50 KUL</v>
      </c>
      <c r="D38" s="114" t="str">
        <f aca="false">IF(Checks!$U$469="","",Checks!$U$469)&amp;IF(Checks!$AB$469="","",CHAR(10)&amp;"CA: "&amp;Checks!$AB$469)</f>
        <v/>
      </c>
      <c r="E38" s="114" t="str">
        <f aca="false">IF(Checks!$V$469="","",Checks!$V$469)&amp;IF(Checks!$AC$469="","",IF(Checks!$V$469="","",CHAR(10))&amp;"N/A just.: "&amp;Checks!$AC$469)&amp;IF(Checks!$W$469="","",CHAR(10)&amp;"Batch: "&amp;Checks!$W$469)&amp;IF(AND(Checks!$X$469="",Checks!$Y$469=""),"",CHAR(10)&amp;"Exp: "&amp;Checks!$X$469&amp;"  /  Act: "&amp;Checks!$Y$469)</f>
        <v/>
      </c>
      <c r="F38" s="114" t="str">
        <f aca="false">IF(Checks!$Z$469="","","Evidence: "&amp;Checks!$Z$469)&amp;IF(Checks!$AA$469="","",IF(Checks!$Z$469="","",CHAR(10))&amp;"CA: "&amp;Checks!$AA$469)</f>
        <v/>
      </c>
      <c r="G38" s="114" t="str">
        <f aca="false">IF(ISNUMBER(Checks!$AD$469),TEXT(Checks!$AD$469,"DD-MMM-YY HH:MM")&amp;" "&amp;Checks!$P$469,"")&amp;IF(Checks!$AE$469="","",CHAR(10)&amp;"Verifier: "&amp;Checks!$AE$469)&amp;IF(Checks!$T$469="","",CHAR(10)&amp;"PIC: "&amp;Checks!$T$469)</f>
        <v/>
      </c>
      <c r="H38" s="115" t="str">
        <f aca="false">IF(Checks!$AH$469="","",Checks!$AH$469)</f>
        <v>OPEN</v>
      </c>
    </row>
    <row r="39" customFormat="false" ht="114" hidden="false" customHeight="true" outlineLevel="0" collapsed="false">
      <c r="A39" s="114" t="str">
        <f aca="false">Checks!$A$470&amp;CHAR(10)&amp;IF(Checks!$I$470="","",Checks!$I$470&amp;": ")&amp;Checks!$J$470</f>
        <v>F14-T12-05
Equipment: Equipment serviceability vs GLD</v>
      </c>
      <c r="B39" s="114" t="str">
        <f aca="false">Checks!$K$470&amp;IF(Checks!$O$470="","",IF(Checks!$K$470="","",CHAR(10))&amp;"Note: "&amp;Checks!$O$470)</f>
        <v>Note: Preparation check at caterer - does NOT confirm loading.</v>
      </c>
      <c r="C39" s="114" t="str">
        <f aca="false">Checks!$N$470&amp;CHAR(10)&amp;IF(ISNUMBER(Checks!$R$470),TEXT(Checks!$R$470,"DD-MMM-YY HH:MM"),"")&amp;" "&amp;Checks!$P$470</f>
        <v>Required
14-Oct-26 21:50 KUL</v>
      </c>
      <c r="D39" s="114" t="str">
        <f aca="false">IF(Checks!$U$470="","",Checks!$U$470)&amp;IF(Checks!$AB$470="","",CHAR(10)&amp;"CA: "&amp;Checks!$AB$470)</f>
        <v/>
      </c>
      <c r="E39" s="114" t="str">
        <f aca="false">IF(Checks!$V$470="","",Checks!$V$470)&amp;IF(Checks!$AC$470="","",IF(Checks!$V$470="","",CHAR(10))&amp;"N/A just.: "&amp;Checks!$AC$470)&amp;IF(Checks!$W$470="","",CHAR(10)&amp;"Batch: "&amp;Checks!$W$470)&amp;IF(AND(Checks!$X$470="",Checks!$Y$470=""),"",CHAR(10)&amp;"Exp: "&amp;Checks!$X$470&amp;"  /  Act: "&amp;Checks!$Y$470)</f>
        <v/>
      </c>
      <c r="F39" s="114" t="str">
        <f aca="false">IF(Checks!$Z$470="","","Evidence: "&amp;Checks!$Z$470)&amp;IF(Checks!$AA$470="","",IF(Checks!$Z$470="","",CHAR(10))&amp;"CA: "&amp;Checks!$AA$470)</f>
        <v/>
      </c>
      <c r="G39" s="114" t="str">
        <f aca="false">IF(ISNUMBER(Checks!$AD$470),TEXT(Checks!$AD$470,"DD-MMM-YY HH:MM")&amp;" "&amp;Checks!$P$470,"")&amp;IF(Checks!$AE$470="","",CHAR(10)&amp;"Verifier: "&amp;Checks!$AE$470)&amp;IF(Checks!$T$470="","",CHAR(10)&amp;"PIC: "&amp;Checks!$T$470)</f>
        <v/>
      </c>
      <c r="H39" s="115" t="str">
        <f aca="false">IF(Checks!$AH$470="","",Checks!$AH$470)</f>
        <v>OPEN</v>
      </c>
    </row>
    <row r="40" customFormat="false" ht="322.5" hidden="false" customHeight="true" outlineLevel="0" collapsed="false">
      <c r="A40" s="114" t="str">
        <f aca="false">Checks!$A$471&amp;CHAR(10)&amp;IF(Checks!$I$471="","",Checks!$I$471&amp;": ")&amp;Checks!$J$471</f>
        <v>F14-T12-06
Equipment: Equipment quantities vs GLD</v>
      </c>
      <c r="B40" s="114" t="str">
        <f aca="false">SUBSTITUTE(Checks!$K$471&amp;IF(Checks!$O$471="","",IF(Checks!$K$471="","",CHAR(10))&amp;"Note: "&amp;Checks!$O$471),"AIRCRAFT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Checks!$N$471&amp;CHAR(10)&amp;IF(ISNUMBER(Checks!$R$471),TEXT(Checks!$R$471,"DD-MMM-YY HH:MM"),"")&amp;" "&amp;Checks!$P$471</f>
        <v>Required
14-Oct-26 21:50 KUL</v>
      </c>
      <c r="D40" s="114" t="str">
        <f aca="false">IF(Checks!$U$471="","",Checks!$U$471)&amp;IF(Checks!$AB$471="","",CHAR(10)&amp;"CA: "&amp;Checks!$AB$471)</f>
        <v/>
      </c>
      <c r="E40" s="114" t="str">
        <f aca="false">IF(Checks!$V$471="","",Checks!$V$471)&amp;IF(Checks!$AC$471="","",IF(Checks!$V$471="","",CHAR(10))&amp;"N/A just.: "&amp;Checks!$AC$471)&amp;IF(Checks!$W$471="","",CHAR(10)&amp;"Batch: "&amp;Checks!$W$471)&amp;IF(AND(Checks!$X$471="",Checks!$Y$471=""),"",CHAR(10)&amp;"Exp: "&amp;Checks!$X$471&amp;"  /  Act: "&amp;Checks!$Y$471)</f>
        <v/>
      </c>
      <c r="F40" s="114" t="str">
        <f aca="false">IF(Checks!$Z$471="","","Evidence: "&amp;Checks!$Z$471)&amp;IF(Checks!$AA$471="","",IF(Checks!$Z$471="","",CHAR(10))&amp;"CA: "&amp;Checks!$AA$471)</f>
        <v/>
      </c>
      <c r="G40" s="114" t="str">
        <f aca="false">IF(ISNUMBER(Checks!$AD$471),TEXT(Checks!$AD$471,"DD-MMM-YY HH:MM")&amp;" "&amp;Checks!$P$471,"")&amp;IF(Checks!$AE$471="","",CHAR(10)&amp;"Verifier: "&amp;Checks!$AE$471)&amp;IF(Checks!$T$471="","",CHAR(10)&amp;"PIC: "&amp;Checks!$T$471)</f>
        <v/>
      </c>
      <c r="H40" s="115" t="str">
        <f aca="false">IF(Checks!$AH$471="","",Checks!$AH$471)</f>
        <v>OPEN</v>
      </c>
    </row>
    <row r="41" customFormat="false" ht="114" hidden="false" customHeight="true" outlineLevel="0" collapsed="false">
      <c r="A41" s="114" t="str">
        <f aca="false">Checks!$A$472&amp;CHAR(10)&amp;IF(Checks!$I$472="","",Checks!$I$472&amp;": ")&amp;Checks!$J$472</f>
        <v>F14-T12-07
Equipment: Loading positions planned vs GLD</v>
      </c>
      <c r="B41" s="114" t="str">
        <f aca="false">Checks!$K$472&amp;IF(Checks!$O$472="","",IF(Checks!$K$472="","",CHAR(10))&amp;"Note: "&amp;Checks!$O$472)</f>
        <v>Note: Preparation check at caterer - does NOT confirm loading.</v>
      </c>
      <c r="C41" s="114" t="str">
        <f aca="false">Checks!$N$472&amp;CHAR(10)&amp;IF(ISNUMBER(Checks!$R$472),TEXT(Checks!$R$472,"DD-MMM-YY HH:MM"),"")&amp;" "&amp;Checks!$P$472</f>
        <v>Required
14-Oct-26 21:50 KUL</v>
      </c>
      <c r="D41" s="114" t="str">
        <f aca="false">IF(Checks!$U$472="","",Checks!$U$472)&amp;IF(Checks!$AB$472="","",CHAR(10)&amp;"CA: "&amp;Checks!$AB$472)</f>
        <v/>
      </c>
      <c r="E41" s="114" t="str">
        <f aca="false">IF(Checks!$V$472="","",Checks!$V$472)&amp;IF(Checks!$AC$472="","",IF(Checks!$V$472="","",CHAR(10))&amp;"N/A just.: "&amp;Checks!$AC$472)&amp;IF(Checks!$W$472="","",CHAR(10)&amp;"Batch: "&amp;Checks!$W$472)&amp;IF(AND(Checks!$X$472="",Checks!$Y$472=""),"",CHAR(10)&amp;"Exp: "&amp;Checks!$X$472&amp;"  /  Act: "&amp;Checks!$Y$472)</f>
        <v/>
      </c>
      <c r="F41" s="114" t="str">
        <f aca="false">IF(Checks!$Z$472="","","Evidence: "&amp;Checks!$Z$472)&amp;IF(Checks!$AA$472="","",IF(Checks!$Z$472="","",CHAR(10))&amp;"CA: "&amp;Checks!$AA$472)</f>
        <v/>
      </c>
      <c r="G41" s="114" t="str">
        <f aca="false">IF(ISNUMBER(Checks!$AD$472),TEXT(Checks!$AD$472,"DD-MMM-YY HH:MM")&amp;" "&amp;Checks!$P$472,"")&amp;IF(Checks!$AE$472="","",CHAR(10)&amp;"Verifier: "&amp;Checks!$AE$472)&amp;IF(Checks!$T$472="","",CHAR(10)&amp;"PIC: "&amp;Checks!$T$472)</f>
        <v/>
      </c>
      <c r="H41" s="115" t="str">
        <f aca="false">IF(Checks!$AH$472="","",Checks!$AH$472)</f>
        <v>OPEN</v>
      </c>
    </row>
    <row r="42" customFormat="false" ht="279" hidden="false" customHeight="true" outlineLevel="0" collapsed="false">
      <c r="A42" s="114" t="str">
        <f aca="false">Checks!$A$473&amp;CHAR(10)&amp;IF(Checks!$I$473="","",Checks!$I$473&amp;": ")&amp;Checks!$J$473</f>
        <v>F14-T12-08
Amenities: Toiletry kits - prepared</v>
      </c>
      <c r="B42" s="114" t="str">
        <f aca="false">SUBSTITUTE(Checks!$K$473&amp;IF(Checks!$O$473="","",IF(Checks!$K$473="","",CHAR(10))&amp;"Note: "&amp;Checks!$O$473),"AMENITIES!","Ref: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2" s="114" t="str">
        <f aca="false">Checks!$N$473&amp;CHAR(10)&amp;IF(ISNUMBER(Checks!$R$473),TEXT(Checks!$R$473,"DD-MMM-YY HH:MM"),"")&amp;" "&amp;Checks!$P$473</f>
        <v>Clarification required
14-Oct-26 21:50 KUL</v>
      </c>
      <c r="D42" s="114" t="str">
        <f aca="false">IF(Checks!$U$473="","",Checks!$U$473)&amp;IF(Checks!$AB$473="","",CHAR(10)&amp;"CA: "&amp;Checks!$AB$473)</f>
        <v/>
      </c>
      <c r="E42" s="114" t="str">
        <f aca="false">IF(Checks!$V$473="","",Checks!$V$473)&amp;IF(Checks!$AC$473="","",IF(Checks!$V$473="","",CHAR(10))&amp;"N/A just.: "&amp;Checks!$AC$473)&amp;IF(Checks!$W$473="","",CHAR(10)&amp;"Batch: "&amp;Checks!$W$473)&amp;IF(AND(Checks!$X$473="",Checks!$Y$473=""),"",CHAR(10)&amp;"Exp: "&amp;Checks!$X$473&amp;"  /  Act: "&amp;Checks!$Y$473)</f>
        <v/>
      </c>
      <c r="F42" s="114" t="str">
        <f aca="false">IF(Checks!$Z$473="","","Evidence: "&amp;Checks!$Z$473)&amp;IF(Checks!$AA$473="","",IF(Checks!$Z$473="","",CHAR(10))&amp;"CA: "&amp;Checks!$AA$473)</f>
        <v/>
      </c>
      <c r="G42" s="114" t="str">
        <f aca="false">IF(ISNUMBER(Checks!$AD$473),TEXT(Checks!$AD$473,"DD-MMM-YY HH:MM")&amp;" "&amp;Checks!$P$473,"")&amp;IF(Checks!$AE$473="","",CHAR(10)&amp;"Verifier: "&amp;Checks!$AE$473)&amp;IF(Checks!$T$473="","",CHAR(10)&amp;"PIC: "&amp;Checks!$T$473)</f>
        <v/>
      </c>
      <c r="H42" s="115" t="str">
        <f aca="false">IF(Checks!$AH$473="","",Checks!$AH$473)</f>
        <v>OPEN – CLARIFICATION</v>
      </c>
    </row>
    <row r="43" customFormat="false" ht="114" hidden="false" customHeight="true" outlineLevel="0" collapsed="false">
      <c r="A43" s="114" t="str">
        <f aca="false">Checks!$A$474&amp;CHAR(10)&amp;IF(Checks!$I$474="","",Checks!$I$474&amp;": ")&amp;Checks!$J$474</f>
        <v>F14-T12-09
Seat Linen: Seat pillow (EY) - prepared</v>
      </c>
      <c r="B43" s="114" t="str">
        <f aca="false">Checks!$K$474&amp;IF(Checks!$O$474="","",IF(Checks!$K$474="","",CHAR(10))&amp;"Note: "&amp;Checks!$O$474)</f>
        <v>Available 100% (ticked in reference)
Note: Reference gives no uplift stn for this item: preparation checked at the meal uplift stn (KUL) - confirm with caterer.</v>
      </c>
      <c r="C43" s="114" t="str">
        <f aca="false">Checks!$N$474&amp;CHAR(10)&amp;IF(ISNUMBER(Checks!$R$474),TEXT(Checks!$R$474,"DD-MMM-YY HH:MM"),"")&amp;" "&amp;Checks!$P$474</f>
        <v>Required
14-Oct-26 21:50 KUL</v>
      </c>
      <c r="D43" s="114" t="str">
        <f aca="false">IF(Checks!$U$474="","",Checks!$U$474)&amp;IF(Checks!$AB$474="","",CHAR(10)&amp;"CA: "&amp;Checks!$AB$474)</f>
        <v/>
      </c>
      <c r="E43" s="114" t="str">
        <f aca="false">IF(Checks!$V$474="","",Checks!$V$474)&amp;IF(Checks!$AC$474="","",IF(Checks!$V$474="","",CHAR(10))&amp;"N/A just.: "&amp;Checks!$AC$474)&amp;IF(Checks!$W$474="","",CHAR(10)&amp;"Batch: "&amp;Checks!$W$474)&amp;IF(AND(Checks!$X$474="",Checks!$Y$474=""),"",CHAR(10)&amp;"Exp: "&amp;Checks!$X$474&amp;"  /  Act: "&amp;Checks!$Y$474)</f>
        <v/>
      </c>
      <c r="F43" s="114" t="str">
        <f aca="false">IF(Checks!$Z$474="","","Evidence: "&amp;Checks!$Z$474)&amp;IF(Checks!$AA$474="","",IF(Checks!$Z$474="","",CHAR(10))&amp;"CA: "&amp;Checks!$AA$474)</f>
        <v/>
      </c>
      <c r="G43" s="114" t="str">
        <f aca="false">IF(ISNUMBER(Checks!$AD$474),TEXT(Checks!$AD$474,"DD-MMM-YY HH:MM")&amp;" "&amp;Checks!$P$474,"")&amp;IF(Checks!$AE$474="","",CHAR(10)&amp;"Verifier: "&amp;Checks!$AE$474)&amp;IF(Checks!$T$474="","",CHAR(10)&amp;"PIC: "&amp;Checks!$T$474)</f>
        <v/>
      </c>
      <c r="H43" s="115" t="str">
        <f aca="false">IF(Checks!$AH$474="","",Checks!$AH$474)</f>
        <v>OPEN</v>
      </c>
    </row>
    <row r="44" customFormat="false" ht="246" hidden="false" customHeight="true" outlineLevel="0" collapsed="false">
      <c r="A44" s="114" t="str">
        <f aca="false">Checks!$A$475&amp;CHAR(10)&amp;IF(Checks!$I$475="","",Checks!$I$475&amp;": ")&amp;Checks!$J$475</f>
        <v>F14-T12-10
Seat Linen: Blanket (EY) - prepared</v>
      </c>
      <c r="B44" s="114" t="str">
        <f aca="false">SUBSTITUTE(Checks!$K$475&amp;IF(Checks!$O$475="","",IF(Checks!$K$475="","",CHAR(10))&amp;"Note: "&amp;Checks!$O$475),"SEAT LINEN!","Ref: SEAT LINEN!")</f>
        <v>Available 100% (ticked in reference); qty 280 (A350 9M-MAH) / 260 (A359) - per tail
Note: EY blanket: flight above 3 hours excl. Regional (Ref: SEAT LINEN!B74:C74); block 13.75 h. Qty per tail: A350 280 pcs (Ref: SEAT LINEN!B76:C76), A359 260 pcs (Ref: SEAT LINEN!B77:C77). Reference gives no uplift stn for this item: preparation checked at the meal uplift stn (KUL) - confirm with caterer.</v>
      </c>
      <c r="C44" s="114" t="str">
        <f aca="false">Checks!$N$475&amp;CHAR(10)&amp;IF(ISNUMBER(Checks!$R$475),TEXT(Checks!$R$475,"DD-MMM-YY HH:MM"),"")&amp;" "&amp;Checks!$P$475</f>
        <v>Required
14-Oct-26 21:50 KUL</v>
      </c>
      <c r="D44" s="114" t="str">
        <f aca="false">IF(Checks!$U$475="","",Checks!$U$475)&amp;IF(Checks!$AB$475="","",CHAR(10)&amp;"CA: "&amp;Checks!$AB$475)</f>
        <v/>
      </c>
      <c r="E44" s="114" t="str">
        <f aca="false">IF(Checks!$V$475="","",Checks!$V$475)&amp;IF(Checks!$AC$475="","",IF(Checks!$V$475="","",CHAR(10))&amp;"N/A just.: "&amp;Checks!$AC$475)&amp;IF(Checks!$W$475="","",CHAR(10)&amp;"Batch: "&amp;Checks!$W$475)&amp;IF(AND(Checks!$X$475="",Checks!$Y$475=""),"",CHAR(10)&amp;"Exp: "&amp;Checks!$X$475&amp;"  /  Act: "&amp;Checks!$Y$475)</f>
        <v/>
      </c>
      <c r="F44" s="114" t="str">
        <f aca="false">IF(Checks!$Z$475="","","Evidence: "&amp;Checks!$Z$475)&amp;IF(Checks!$AA$475="","",IF(Checks!$Z$475="","",CHAR(10))&amp;"CA: "&amp;Checks!$AA$475)</f>
        <v/>
      </c>
      <c r="G44" s="114" t="str">
        <f aca="false">IF(ISNUMBER(Checks!$AD$475),TEXT(Checks!$AD$475,"DD-MMM-YY HH:MM")&amp;" "&amp;Checks!$P$475,"")&amp;IF(Checks!$AE$475="","",CHAR(10)&amp;"Verifier: "&amp;Checks!$AE$475)&amp;IF(Checks!$T$475="","",CHAR(10)&amp;"PIC: "&amp;Checks!$T$475)</f>
        <v/>
      </c>
      <c r="H44" s="115" t="str">
        <f aca="false">IF(Checks!$AH$475="","",Checks!$AH$475)</f>
        <v>OPEN</v>
      </c>
    </row>
    <row r="45" customFormat="false" ht="25.5" hidden="false" customHeight="true" outlineLevel="0" collapsed="false">
      <c r="A45" s="113" t="str">
        <f aca="false">"UPLIFT — Physical uplift – on-board confirmation before departure  |  Due "&amp;"STD "&amp;IF(ISNUMBER(Flights!$I$18),TEXT(Flights!$I$18,"DD-MMM-YY HH:MM"),"")&amp;" "&amp;Flights!$G$18&amp;" (departure stn)"&amp;" (rows with another due show their own)  |  Complete "&amp;IF(ISNUMBER(Flights!$AM$18),TEXT(Flights!$AM$18,"0%"),Flights!$AM$18)&amp;"  |  5 lines"</f>
        <v>UPLIFT — Physical uplift – on-board confirmation before departure  |  Due STD 15-Oct-26 09:50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Checks!$A$476&amp;CHAR(10)&amp;IF(Checks!$I$476="","",Checks!$I$476&amp;": ")&amp;Checks!$J$476</f>
        <v>F14-UPL-01
Meal: Meals physically uplifted on board - quantity vs menu checklist</v>
      </c>
      <c r="B46" s="114" t="str">
        <f aca="false">Checks!$K$476&amp;IF(Checks!$O$476="","",IF(Checks!$K$476="","",CHAR(10))&amp;"Note: "&amp;Checks!$O$476)</f>
        <v>Enter expected &amp; actual
Note: Confirm on board before departure; completion time must fall inside the uplift window.</v>
      </c>
      <c r="C46" s="114" t="str">
        <f aca="false">Checks!$N$476&amp;CHAR(10)&amp;IF(ISNUMBER(Checks!$R$476),TEXT(Checks!$R$476,"DD-MMM-YY HH:MM"),"")&amp;" "&amp;Checks!$P$476</f>
        <v>Required
15-Oct-26 09:50 KUL</v>
      </c>
      <c r="D46" s="114" t="str">
        <f aca="false">IF(Checks!$U$476="","",Checks!$U$476)&amp;IF(Checks!$AB$476="","",CHAR(10)&amp;"CA: "&amp;Checks!$AB$476)</f>
        <v/>
      </c>
      <c r="E46" s="114" t="str">
        <f aca="false">IF(Checks!$V$476="","",Checks!$V$476)&amp;IF(Checks!$AC$476="","",IF(Checks!$V$476="","",CHAR(10))&amp;"N/A just.: "&amp;Checks!$AC$476)&amp;IF(Checks!$W$476="","",CHAR(10)&amp;"Batch: "&amp;Checks!$W$476)&amp;IF(AND(Checks!$X$476="",Checks!$Y$476=""),"",CHAR(10)&amp;"Exp: "&amp;Checks!$X$476&amp;"  /  Act: "&amp;Checks!$Y$476)</f>
        <v/>
      </c>
      <c r="F46" s="114" t="str">
        <f aca="false">IF(Checks!$Z$476="","","Evidence: "&amp;Checks!$Z$476)&amp;IF(Checks!$AA$476="","",IF(Checks!$Z$476="","",CHAR(10))&amp;"CA: "&amp;Checks!$AA$476)</f>
        <v/>
      </c>
      <c r="G46" s="114" t="str">
        <f aca="false">IF(ISNUMBER(Checks!$AD$476),TEXT(Checks!$AD$476,"DD-MMM-YY HH:MM")&amp;" "&amp;Checks!$P$476,"")&amp;IF(Checks!$AE$476="","",CHAR(10)&amp;"Verifier: "&amp;Checks!$AE$476)&amp;IF(Checks!$T$476="","",CHAR(10)&amp;"PIC: "&amp;Checks!$T$476)</f>
        <v/>
      </c>
      <c r="H46" s="115" t="str">
        <f aca="false">IF(Checks!$AH$476="","",Checks!$AH$476)</f>
        <v>OPEN</v>
      </c>
    </row>
    <row r="47" customFormat="false" ht="114" hidden="false" customHeight="true" outlineLevel="0" collapsed="false">
      <c r="A47" s="114" t="str">
        <f aca="false">Checks!$A$477&amp;CHAR(10)&amp;IF(Checks!$I$477="","",Checks!$I$477&amp;": ")&amp;Checks!$J$477</f>
        <v>F14-UPL-02
Equipment: Equipment physically loaded at GLD positions - quantity &amp; positions</v>
      </c>
      <c r="B47" s="114" t="str">
        <f aca="false">Checks!$K$477&amp;IF(Checks!$O$477="","",IF(Checks!$K$477="","",CHAR(10))&amp;"Note: "&amp;Checks!$O$477)</f>
        <v>Enter expected &amp; actual
Note: Confirm on board before departure; completion time must fall inside the uplift window.</v>
      </c>
      <c r="C47" s="114" t="str">
        <f aca="false">Checks!$N$477&amp;CHAR(10)&amp;IF(ISNUMBER(Checks!$R$477),TEXT(Checks!$R$477,"DD-MMM-YY HH:MM"),"")&amp;" "&amp;Checks!$P$477</f>
        <v>Required
15-Oct-26 09:50 KUL</v>
      </c>
      <c r="D47" s="114" t="str">
        <f aca="false">IF(Checks!$U$477="","",Checks!$U$477)&amp;IF(Checks!$AB$477="","",CHAR(10)&amp;"CA: "&amp;Checks!$AB$477)</f>
        <v/>
      </c>
      <c r="E47" s="114" t="str">
        <f aca="false">IF(Checks!$V$477="","",Checks!$V$477)&amp;IF(Checks!$AC$477="","",IF(Checks!$V$477="","",CHAR(10))&amp;"N/A just.: "&amp;Checks!$AC$477)&amp;IF(Checks!$W$477="","",CHAR(10)&amp;"Batch: "&amp;Checks!$W$477)&amp;IF(AND(Checks!$X$477="",Checks!$Y$477=""),"",CHAR(10)&amp;"Exp: "&amp;Checks!$X$477&amp;"  /  Act: "&amp;Checks!$Y$477)</f>
        <v/>
      </c>
      <c r="F47" s="114" t="str">
        <f aca="false">IF(Checks!$Z$477="","","Evidence: "&amp;Checks!$Z$477)&amp;IF(Checks!$AA$477="","",IF(Checks!$Z$477="","",CHAR(10))&amp;"CA: "&amp;Checks!$AA$477)</f>
        <v/>
      </c>
      <c r="G47" s="114" t="str">
        <f aca="false">IF(ISNUMBER(Checks!$AD$477),TEXT(Checks!$AD$477,"DD-MMM-YY HH:MM")&amp;" "&amp;Checks!$P$477,"")&amp;IF(Checks!$AE$477="","",CHAR(10)&amp;"Verifier: "&amp;Checks!$AE$477)&amp;IF(Checks!$T$477="","",CHAR(10)&amp;"PIC: "&amp;Checks!$T$477)</f>
        <v/>
      </c>
      <c r="H47" s="115" t="str">
        <f aca="false">IF(Checks!$AH$477="","",Checks!$AH$477)</f>
        <v>OPEN</v>
      </c>
    </row>
    <row r="48" customFormat="false" ht="279" hidden="false" customHeight="true" outlineLevel="0" collapsed="false">
      <c r="A48" s="114" t="str">
        <f aca="false">Checks!$A$478&amp;CHAR(10)&amp;IF(Checks!$I$478="","",Checks!$I$478&amp;": ")&amp;Checks!$J$478</f>
        <v>F14-UPL-03
Amenities: Toiletry kits - on board</v>
      </c>
      <c r="B48" s="114" t="str">
        <f aca="false">SUBSTITUTE(Checks!$K$478&amp;IF(Checks!$O$478="","",IF(Checks!$K$478="","",CHAR(10))&amp;"Note: "&amp;Checks!$O$478),"AMENITIES!","Ref: AMENITIES!")</f>
        <v>Available (ticked in reference)
Note: A350 row Ref: AMENITIES!C12 names LHR as the toiletry-kit uplift stn, but this leg departs KUL (general row C11: uplift stn H11 = KUL). Confirm where toiletry kits for this KUL-LHR EY leg are uplifted; if at LHR they travel on the inbound LHR-KUL sector and must be verified at KUL before this departure. The reference also does not state the cabin class for toiletry kits: confirm whether EY receives them.</v>
      </c>
      <c r="C48" s="114" t="str">
        <f aca="false">Checks!$N$478&amp;CHAR(10)&amp;IF(ISNUMBER(Checks!$R$478),TEXT(Checks!$R$478,"DD-MMM-YY HH:MM"),"")&amp;" "&amp;Checks!$P$478</f>
        <v>Clarification required
15-Oct-26 09:50 KUL</v>
      </c>
      <c r="D48" s="114" t="str">
        <f aca="false">IF(Checks!$U$478="","",Checks!$U$478)&amp;IF(Checks!$AB$478="","",CHAR(10)&amp;"CA: "&amp;Checks!$AB$478)</f>
        <v/>
      </c>
      <c r="E48" s="114" t="str">
        <f aca="false">IF(Checks!$V$478="","",Checks!$V$478)&amp;IF(Checks!$AC$478="","",IF(Checks!$V$478="","",CHAR(10))&amp;"N/A just.: "&amp;Checks!$AC$478)&amp;IF(Checks!$W$478="","",CHAR(10)&amp;"Batch: "&amp;Checks!$W$478)&amp;IF(AND(Checks!$X$478="",Checks!$Y$478=""),"",CHAR(10)&amp;"Exp: "&amp;Checks!$X$478&amp;"  /  Act: "&amp;Checks!$Y$478)</f>
        <v/>
      </c>
      <c r="F48" s="114" t="str">
        <f aca="false">IF(Checks!$Z$478="","","Evidence: "&amp;Checks!$Z$478)&amp;IF(Checks!$AA$478="","",IF(Checks!$Z$478="","",CHAR(10))&amp;"CA: "&amp;Checks!$AA$478)</f>
        <v/>
      </c>
      <c r="G48" s="114" t="str">
        <f aca="false">IF(ISNUMBER(Checks!$AD$478),TEXT(Checks!$AD$478,"DD-MMM-YY HH:MM")&amp;" "&amp;Checks!$P$478,"")&amp;IF(Checks!$AE$478="","",CHAR(10)&amp;"Verifier: "&amp;Checks!$AE$478)&amp;IF(Checks!$T$478="","",CHAR(10)&amp;"PIC: "&amp;Checks!$T$478)</f>
        <v/>
      </c>
      <c r="H48" s="115" t="str">
        <f aca="false">IF(Checks!$AH$478="","",Checks!$AH$478)</f>
        <v>OPEN – CLARIFICATION</v>
      </c>
    </row>
    <row r="49" customFormat="false" ht="114" hidden="false" customHeight="true" outlineLevel="0" collapsed="false">
      <c r="A49" s="114" t="str">
        <f aca="false">Checks!$A$479&amp;CHAR(10)&amp;IF(Checks!$I$479="","",Checks!$I$479&amp;": ")&amp;Checks!$J$479</f>
        <v>F14-UPL-04
Seat Linen: Seat pillow (EY) - on board</v>
      </c>
      <c r="B49" s="114" t="str">
        <f aca="false">Checks!$K$479&amp;IF(Checks!$O$479="","",IF(Checks!$K$479="","",CHAR(10))&amp;"Note: "&amp;Checks!$O$479)</f>
        <v>Available 100% (ticked in reference)</v>
      </c>
      <c r="C49" s="114" t="str">
        <f aca="false">Checks!$N$479&amp;CHAR(10)&amp;IF(ISNUMBER(Checks!$R$479),TEXT(Checks!$R$479,"DD-MMM-YY HH:MM"),"")&amp;" "&amp;Checks!$P$479</f>
        <v>Required
15-Oct-26 09:50 KUL</v>
      </c>
      <c r="D49" s="114" t="str">
        <f aca="false">IF(Checks!$U$479="","",Checks!$U$479)&amp;IF(Checks!$AB$479="","",CHAR(10)&amp;"CA: "&amp;Checks!$AB$479)</f>
        <v/>
      </c>
      <c r="E49" s="114" t="str">
        <f aca="false">IF(Checks!$V$479="","",Checks!$V$479)&amp;IF(Checks!$AC$479="","",IF(Checks!$V$479="","",CHAR(10))&amp;"N/A just.: "&amp;Checks!$AC$479)&amp;IF(Checks!$W$479="","",CHAR(10)&amp;"Batch: "&amp;Checks!$W$479)&amp;IF(AND(Checks!$X$479="",Checks!$Y$479=""),"",CHAR(10)&amp;"Exp: "&amp;Checks!$X$479&amp;"  /  Act: "&amp;Checks!$Y$479)</f>
        <v/>
      </c>
      <c r="F49" s="114" t="str">
        <f aca="false">IF(Checks!$Z$479="","","Evidence: "&amp;Checks!$Z$479)&amp;IF(Checks!$AA$479="","",IF(Checks!$Z$479="","",CHAR(10))&amp;"CA: "&amp;Checks!$AA$479)</f>
        <v/>
      </c>
      <c r="G49" s="114" t="str">
        <f aca="false">IF(ISNUMBER(Checks!$AD$479),TEXT(Checks!$AD$479,"DD-MMM-YY HH:MM")&amp;" "&amp;Checks!$P$479,"")&amp;IF(Checks!$AE$479="","",CHAR(10)&amp;"Verifier: "&amp;Checks!$AE$479)&amp;IF(Checks!$T$479="","",CHAR(10)&amp;"PIC: "&amp;Checks!$T$479)</f>
        <v/>
      </c>
      <c r="H49" s="115" t="str">
        <f aca="false">IF(Checks!$AH$479="","",Checks!$AH$479)</f>
        <v>OPEN</v>
      </c>
    </row>
    <row r="50" customFormat="false" ht="168.75" hidden="false" customHeight="true" outlineLevel="0" collapsed="false">
      <c r="A50" s="114" t="str">
        <f aca="false">Checks!$A$480&amp;CHAR(10)&amp;IF(Checks!$I$480="","",Checks!$I$480&amp;": ")&amp;Checks!$J$480</f>
        <v>F14-UPL-05
Seat Linen: Blanket (EY) - on board</v>
      </c>
      <c r="B50" s="114" t="str">
        <f aca="false">SUBSTITUTE(Checks!$K$480&amp;IF(Checks!$O$480="","",IF(Checks!$K$480="","",CHAR(10))&amp;"Note: "&amp;Checks!$O$480),"SEAT LINEN!","Ref: SEAT LINEN!")</f>
        <v>Available 100% (ticked in reference); qty 280 (A350 9M-MAH) / 260 (A359) - per tail
Note: EY blanket: flight above 3 hours excl. Regional (Ref: SEAT LINEN!B74:C74); block 13.75 h. Qty per tail: A350 280 pcs (Ref: SEAT LINEN!B76:C76), A359 260 pcs (Ref: SEAT LINEN!B77:C77).</v>
      </c>
      <c r="C50" s="114" t="str">
        <f aca="false">Checks!$N$480&amp;CHAR(10)&amp;IF(ISNUMBER(Checks!$R$480),TEXT(Checks!$R$480,"DD-MMM-YY HH:MM"),"")&amp;" "&amp;Checks!$P$480</f>
        <v>Required
15-Oct-26 09:50 KUL</v>
      </c>
      <c r="D50" s="114" t="str">
        <f aca="false">IF(Checks!$U$480="","",Checks!$U$480)&amp;IF(Checks!$AB$480="","",CHAR(10)&amp;"CA: "&amp;Checks!$AB$480)</f>
        <v/>
      </c>
      <c r="E50" s="114" t="str">
        <f aca="false">IF(Checks!$V$480="","",Checks!$V$480)&amp;IF(Checks!$AC$480="","",IF(Checks!$V$480="","",CHAR(10))&amp;"N/A just.: "&amp;Checks!$AC$480)&amp;IF(Checks!$W$480="","",CHAR(10)&amp;"Batch: "&amp;Checks!$W$480)&amp;IF(AND(Checks!$X$480="",Checks!$Y$480=""),"",CHAR(10)&amp;"Exp: "&amp;Checks!$X$480&amp;"  /  Act: "&amp;Checks!$Y$480)</f>
        <v/>
      </c>
      <c r="F50" s="114" t="str">
        <f aca="false">IF(Checks!$Z$480="","","Evidence: "&amp;Checks!$Z$480)&amp;IF(Checks!$AA$480="","",IF(Checks!$Z$480="","",CHAR(10))&amp;"CA: "&amp;Checks!$AA$480)</f>
        <v/>
      </c>
      <c r="G50" s="114" t="str">
        <f aca="false">IF(ISNUMBER(Checks!$AD$480),TEXT(Checks!$AD$480,"DD-MMM-YY HH:MM")&amp;" "&amp;Checks!$P$480,"")&amp;IF(Checks!$AE$480="","",CHAR(10)&amp;"Verifier: "&amp;Checks!$AE$480)&amp;IF(Checks!$T$480="","",CHAR(10)&amp;"PIC: "&amp;Checks!$T$480)</f>
        <v/>
      </c>
      <c r="H50" s="115" t="str">
        <f aca="false">IF(Checks!$AH$480="","",Checks!$AH$480)</f>
        <v>OPEN</v>
      </c>
    </row>
    <row r="52" customFormat="false" ht="24" hidden="false" customHeight="true" outlineLevel="0" collapsed="false">
      <c r="A52" s="116" t="s">
        <v>1737</v>
      </c>
      <c r="B52" s="116"/>
      <c r="C52" s="116"/>
      <c r="D52" s="116"/>
      <c r="E52" s="116" t="s">
        <v>1738</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F14 MH0004 15-Oct-26 KUL-LHR Class EY</oddHeader>
    <oddFooter>&amp;L&amp;"Arial,Bold"&amp;8 F14 MH0004 15-Oct-26 KUL-LHR Class EY&amp;C&amp;"Arial,Regular"&amp;8 Printed: ____________________&amp;R&amp;"Arial,Regular"&amp;8 F14  Page &amp;P of &amp;N</oddFooter>
  </headerFooter>
  <rowBreaks count="9" manualBreakCount="9">
    <brk id="20" man="true" max="16383" min="0"/>
    <brk id="26" man="true" max="16383" min="0"/>
    <brk id="30" man="true" max="16383" min="0"/>
    <brk id="35" man="true" max="16383" min="0"/>
    <brk id="39" man="true" max="16383" min="0"/>
    <brk id="41" man="true" max="16383" min="0"/>
    <brk id="43" man="true" max="16383" min="0"/>
    <brk id="46" man="true" max="16383" min="0"/>
    <brk id="48" man="true" max="16383" min="0"/>
  </rowBreaks>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F15  "&amp;Flights!$F$19&amp;"  "&amp;TEXT(Flights!$D$19,"DD-MMM-YY")&amp;" ("&amp;Flights!$E$19&amp;")  "&amp;Flights!$G$19&amp;" → "&amp;Flights!$H$19&amp;"  |  Class "&amp;Flights!$K$19</f>
        <v>SKYTRAX 2026 CATERING READINESS CHECKLIST  |  F15  MH0003  25-Oct-26 (SUN)  LHR → KUL  |  Class EY</v>
      </c>
      <c r="B1" s="92"/>
      <c r="C1" s="92"/>
      <c r="D1" s="92"/>
      <c r="E1" s="92"/>
      <c r="F1" s="92"/>
      <c r="G1" s="92"/>
      <c r="H1" s="92"/>
    </row>
    <row r="2" customFormat="false" ht="12.75" hidden="false" customHeight="true" outlineLevel="0" collapsed="false">
      <c r="A2" s="93" t="s">
        <v>1692</v>
      </c>
      <c r="B2" s="94" t="str">
        <f aca="false">Flights!$F$19&amp;"   "&amp;TEXT(Flights!$D$19,"DD-MMM-YY")&amp;" ("&amp;Flights!$E$19&amp;")"</f>
        <v>MH0003   25-Oct-26 (SUN)</v>
      </c>
      <c r="C2" s="94"/>
      <c r="D2" s="94"/>
      <c r="E2" s="95" t="s">
        <v>1693</v>
      </c>
      <c r="F2" s="96" t="str">
        <f aca="false">Flights!$AT$19</f>
        <v>NOT READY – DOCUMENTS</v>
      </c>
      <c r="G2" s="96"/>
      <c r="H2" s="96"/>
    </row>
    <row r="3" customFormat="false" ht="24" hidden="false" customHeight="true" outlineLevel="0" collapsed="false">
      <c r="A3" s="93" t="s">
        <v>1694</v>
      </c>
      <c r="B3" s="94" t="str">
        <f aca="false">Flights!$G$19&amp;" → "&amp;Flights!$H$19&amp;"   Class "&amp;Flights!$K$19&amp;"   Seat "&amp;Flights!$O$19</f>
        <v>LHR → KUL   Class EY   Seat 12H</v>
      </c>
      <c r="C3" s="94"/>
      <c r="D3" s="94"/>
      <c r="E3" s="95" t="s">
        <v>71</v>
      </c>
      <c r="F3" s="95" t="s">
        <v>1695</v>
      </c>
      <c r="G3" s="95" t="s">
        <v>1696</v>
      </c>
      <c r="H3" s="95"/>
    </row>
    <row r="4" customFormat="false" ht="24" hidden="false" customHeight="true" outlineLevel="0" collapsed="false">
      <c r="A4" s="93" t="s">
        <v>1697</v>
      </c>
      <c r="B4" s="94" t="str">
        <f aca="false">IF(ISNUMBER(Flights!$I$19),TEXT(Flights!$I$19,"DD-MMM-YY HH:MM"),"")&amp;" "&amp;Flights!$G$19&amp;"  →  "&amp;IF(ISNUMBER(Flights!$J$19),TEXT(Flights!$J$19,"DD-MMM-YY HH:MM"),"")&amp;" "&amp;Flights!$H$19</f>
        <v>25-Oct-26 11:00 LHR  →  26-Oct-26 06:45 KUL</v>
      </c>
      <c r="C4" s="94"/>
      <c r="D4" s="94"/>
      <c r="E4" s="93" t="s">
        <v>1698</v>
      </c>
      <c r="F4" s="97" t="str">
        <f aca="false">IF(ISNUMBER(Flights!$AG$19),TEXT(Flights!$AG$19,"DD-MMM-YY HH:MM"),"")&amp;" "&amp;Flights!$V$19</f>
        <v>18-Oct-26 12:00 LHR</v>
      </c>
      <c r="G4" s="98" t="n">
        <f aca="false">Flights!$AJ$19</f>
        <v>0</v>
      </c>
      <c r="H4" s="98"/>
    </row>
    <row r="5" customFormat="false" ht="24" hidden="false" customHeight="true" outlineLevel="0" collapsed="false">
      <c r="A5" s="93" t="s">
        <v>1699</v>
      </c>
      <c r="B5" s="94" t="str">
        <f aca="false">Flights!$L$19&amp;" – "&amp;Flights!$M$19</f>
        <v>A350 – A350-900: A359 (9M-MAB..MAG, row 6) or A350 9M-MAH (row 7) - tail to confirm</v>
      </c>
      <c r="C5" s="94"/>
      <c r="D5" s="94"/>
      <c r="E5" s="93" t="s">
        <v>1700</v>
      </c>
      <c r="F5" s="97" t="str">
        <f aca="false">IF(ISNUMBER(Flights!$AH$19),TEXT(Flights!$AH$19,"DD-MMM-YY HH:MM"),"")&amp;" "&amp;Flights!$V$19</f>
        <v>24-Oct-26 12:00 LHR</v>
      </c>
      <c r="G5" s="98" t="n">
        <f aca="false">Flights!$AK$19</f>
        <v>0</v>
      </c>
      <c r="H5" s="98"/>
    </row>
    <row r="6" customFormat="false" ht="24" hidden="false" customHeight="true" outlineLevel="0" collapsed="false">
      <c r="A6" s="93" t="s">
        <v>1701</v>
      </c>
      <c r="B6" s="94" t="str">
        <f aca="false">IF(TRIM(Flights!$N$19)="","__________________",Flights!$N$19)</f>
        <v>__________________</v>
      </c>
      <c r="C6" s="94"/>
      <c r="D6" s="94"/>
      <c r="E6" s="93" t="s">
        <v>1702</v>
      </c>
      <c r="F6" s="97" t="str">
        <f aca="false">IF(ISNUMBER(Flights!$AI$19),TEXT(Flights!$AI$19,"DD-MMM-YY HH:MM"),"")&amp;" "&amp;Flights!$V$19&amp;IF(Flights!$AI$19=Flights!$AH$19,"  (= T-24H due)","")</f>
        <v>25-Oct-26 00:00 LHR</v>
      </c>
      <c r="G6" s="98" t="n">
        <f aca="false">Flights!$AL$19</f>
        <v>0</v>
      </c>
      <c r="H6" s="98"/>
    </row>
    <row r="7" customFormat="false" ht="24" hidden="false" customHeight="true" outlineLevel="0" collapsed="false">
      <c r="A7" s="93" t="s">
        <v>1703</v>
      </c>
      <c r="B7" s="94" t="str">
        <f aca="false">Flights!$T$19</f>
        <v>2.5 Meal (Meal)</v>
      </c>
      <c r="C7" s="94"/>
      <c r="D7" s="94"/>
      <c r="E7" s="93" t="s">
        <v>1704</v>
      </c>
      <c r="F7" s="97" t="str">
        <f aca="false">"STD "&amp;IF(ISNUMBER(Flights!$I$19),TEXT(Flights!$I$19,"DD-MMM-YY HH:MM"),"")&amp;" "&amp;Flights!$G$19&amp;" (dep stn)"</f>
        <v>STD 25-Oct-26 11:00 LHR (dep stn)</v>
      </c>
      <c r="G7" s="98" t="n">
        <f aca="false">Flights!$AM$19</f>
        <v>0</v>
      </c>
      <c r="H7" s="98"/>
    </row>
    <row r="8" customFormat="false" ht="12.75" hidden="false" customHeight="true" outlineLevel="0" collapsed="false">
      <c r="A8" s="93" t="s">
        <v>153</v>
      </c>
      <c r="B8" s="94" t="str">
        <f aca="false">Flights!$V$19&amp;"   (reference uplift stns: "&amp;Flights!$U$19&amp;")"</f>
        <v>LHR   (reference uplift stns: KUL/LHR)</v>
      </c>
      <c r="C8" s="94"/>
      <c r="D8" s="94"/>
      <c r="E8" s="93" t="s">
        <v>1705</v>
      </c>
      <c r="F8" s="99" t="s">
        <v>1706</v>
      </c>
      <c r="G8" s="98" t="n">
        <f aca="false">Flights!$AN$19</f>
        <v>0</v>
      </c>
      <c r="H8" s="98"/>
    </row>
    <row r="9" customFormat="false" ht="12.75" hidden="false" customHeight="true" outlineLevel="0" collapsed="false">
      <c r="A9" s="93" t="s">
        <v>1707</v>
      </c>
      <c r="B9" s="94" t="str">
        <f aca="false">TRIM(Flights!$P$19&amp;"  "&amp;Flights!$Q$19)</f>
        <v>-</v>
      </c>
      <c r="C9" s="94"/>
      <c r="D9" s="94"/>
      <c r="E9" s="93" t="s">
        <v>1708</v>
      </c>
      <c r="F9" s="100" t="n">
        <f aca="false">Flights!$AP$19</f>
        <v>0</v>
      </c>
      <c r="G9" s="100" t="n">
        <f aca="false">Flights!$AQ$19</f>
        <v>0</v>
      </c>
      <c r="H9" s="100" t="n">
        <f aca="false">Flights!$AU$19</f>
        <v>0</v>
      </c>
    </row>
    <row r="10" customFormat="false" ht="24" hidden="false" customHeight="true" outlineLevel="0" collapsed="false">
      <c r="A10" s="93" t="s">
        <v>1709</v>
      </c>
      <c r="B10" s="94" t="str">
        <f aca="false">IF(TRIM(Flights!$X$19)="","__________________",Flights!$X$19)</f>
        <v>__________________</v>
      </c>
      <c r="C10" s="94"/>
      <c r="D10" s="94"/>
      <c r="E10" s="93" t="s">
        <v>1710</v>
      </c>
      <c r="F10" s="100" t="n">
        <f aca="false">Flights!$AO$19</f>
        <v>24</v>
      </c>
      <c r="G10" s="100" t="n">
        <f aca="false">Flights!$AS$19</f>
        <v>1</v>
      </c>
      <c r="H10" s="100" t="n">
        <f aca="false">Flights!$AR$19</f>
        <v>2</v>
      </c>
    </row>
    <row r="11" customFormat="false" ht="21" hidden="false" customHeight="true" outlineLevel="0" collapsed="false">
      <c r="A11" s="93" t="s">
        <v>1711</v>
      </c>
      <c r="B11" s="94" t="str">
        <f aca="false">IF(TRIM(Flights!$Y$19)="","__________________",Flights!$Y$19)</f>
        <v>__________________</v>
      </c>
      <c r="C11" s="94"/>
      <c r="D11" s="94"/>
      <c r="E11" s="93" t="s">
        <v>1712</v>
      </c>
      <c r="F11" s="100" t="str">
        <f aca="false">Flights!$AV$19&amp;" / "&amp;Flights!$AW$19</f>
        <v>0 / 24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IF(Documents!$F$19="","",Documents!$F$19)</f>
        <v/>
      </c>
      <c r="C14" s="99" t="str">
        <f aca="false">IF(Documents!$G$19="","",Documents!$G$19)&amp;IF(ISNUMBER(Documents!$H$19),"  "&amp;TEXT(Documents!$H$19,"DD-MMM-YY"),"")</f>
        <v/>
      </c>
      <c r="D14" s="99"/>
      <c r="E14" s="107" t="str">
        <f aca="false">IF(Documents!$J$19="OUTSTANDING","OUTSTANDING – attach before T-7D (due "&amp;IF(ISNUMBER(Flights!$AG$19),TEXT(Flights!$AG$19,"DD-MMM-YY HH:MM"),"")&amp;" "&amp;Flights!$V$19&amp;")",IF(Documents!$J$19="","Status not recorded",Documents!$J$19))</f>
        <v>OUTSTANDING – attach before T-7D (due 18-Oct-26 12:00 LHR)</v>
      </c>
      <c r="F14" s="108" t="str">
        <f aca="false">"Staple behind this sheet as page A1."&amp;IF(Documents!$I$19="",""," Location: "&amp;Documents!$I$19)</f>
        <v>Staple behind this sheet as page A1.</v>
      </c>
      <c r="G14" s="108"/>
      <c r="H14" s="108"/>
    </row>
    <row r="15" customFormat="false" ht="36" hidden="false" customHeight="true" outlineLevel="0" collapsed="false">
      <c r="A15" s="93" t="s">
        <v>1723</v>
      </c>
      <c r="B15" s="94" t="str">
        <f aca="false">IF(Documents!$K$19="","",Documents!$K$19)</f>
        <v/>
      </c>
      <c r="C15" s="99" t="str">
        <f aca="false">IF(Documents!$L$19="","",Documents!$L$19)&amp;IF(ISNUMBER(Documents!$M$19),"  "&amp;TEXT(Documents!$M$19,"DD-MMM-YY"),"")</f>
        <v/>
      </c>
      <c r="D15" s="99"/>
      <c r="E15" s="107" t="str">
        <f aca="false">IF(Documents!$O$19="OUTSTANDING","OUTSTANDING – attach before T-7D (due "&amp;IF(ISNUMBER(Flights!$AG$19),TEXT(Flights!$AG$19,"DD-MMM-YY HH:MM"),"")&amp;" "&amp;Flights!$V$19&amp;")",IF(Documents!$O$19="","Status not recorded",Documents!$O$19))</f>
        <v>OUTSTANDING – attach before T-7D (due 18-Oct-26 12:00 LHR)</v>
      </c>
      <c r="F15" s="108" t="str">
        <f aca="false">"Staple behind this sheet as page A2."&amp;IF(Documents!$N$19="",""," Location: "&amp;Documents!$N$19)</f>
        <v>Staple behind this sheet as page A2.</v>
      </c>
      <c r="G15" s="108"/>
      <c r="H15" s="108"/>
    </row>
    <row r="16" customFormat="false" ht="22.5" hidden="false" customHeight="true" outlineLevel="0" collapsed="false">
      <c r="A16" s="93" t="s">
        <v>1724</v>
      </c>
      <c r="B16" s="109" t="str">
        <f aca="false">IF(Documents!$Q$19="","",Documents!$Q$19)</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"&amp;IF(TRIM(Flights!$Y$19)="","__________________",Flights!$Y$19)</f>
        <v>Name: __________________</v>
      </c>
      <c r="B18" s="94"/>
      <c r="C18" s="94" t="str">
        <f aca="false">"Name: __________________"</f>
        <v>Name: __________________</v>
      </c>
      <c r="D18" s="94"/>
      <c r="E18" s="94"/>
      <c r="F18" s="94" t="str">
        <f aca="false">"Name: __________________"&amp;"   Station: "&amp;Flights!$V$19</f>
        <v>Name: __________________   Station: LHR</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"&amp;IF(ISNUMBER(Flights!$AG$19),TEXT(Flights!$AG$19,"DD-MMM-YY HH:MM"),"")&amp;" "&amp;Flights!$V$19&amp;" (meal uplift stn)"&amp;" (rows with another due show their own)  |  Complete "&amp;IF(ISNUMBER(Flights!$AJ$19),TEXT(Flights!$AJ$19,"0%"),Flights!$AJ$19)&amp;"  |  9 lines"</f>
        <v>T-7D — 7 days before departure  |  Due 18-Oct-26 12:00 LHR (meal uplift stn) (rows with another due show their own)  |  Complete 0%  |  9 lines</v>
      </c>
      <c r="B22" s="113"/>
      <c r="C22" s="113"/>
      <c r="D22" s="113"/>
      <c r="E22" s="113"/>
      <c r="F22" s="113"/>
      <c r="G22" s="113"/>
      <c r="H22" s="113"/>
    </row>
    <row r="23" customFormat="false" ht="135.75" hidden="false" customHeight="true" outlineLevel="0" collapsed="false">
      <c r="A23" s="114" t="str">
        <f aca="false">Checks!$A$481&amp;CHAR(10)&amp;IF(Checks!$I$481="","",Checks!$I$481&amp;": ")&amp;Checks!$J$481</f>
        <v>F15-T7-01
Meal: Meal sensory testing completed for this flight's menu cycle (assessed class)</v>
      </c>
      <c r="B23" s="114" t="str">
        <f aca="false">Checks!$K$481&amp;IF(Checks!$O$481="","",IF(Checks!$K$481="","",CHAR(10))&amp;"Note: "&amp;Checks!$O$481)</f>
        <v>Record panel result / score in Result
Note: Clock change: LHR local time changes between this due time and departure, so the due time shows a different clock hour than STD (168 h before STD is still correct).</v>
      </c>
      <c r="C23" s="114" t="str">
        <f aca="false">Checks!$N$481&amp;CHAR(10)&amp;IF(ISNUMBER(Checks!$R$481),TEXT(Checks!$R$481,"DD-MMM-YY HH:MM"),"")&amp;" "&amp;Checks!$P$481</f>
        <v>Required
18-Oct-26 12:00 LHR</v>
      </c>
      <c r="D23" s="114" t="str">
        <f aca="false">IF(Checks!$U$481="","",Checks!$U$481)&amp;IF(Checks!$AB$481="","",CHAR(10)&amp;"CA: "&amp;Checks!$AB$481)</f>
        <v/>
      </c>
      <c r="E23" s="114" t="str">
        <f aca="false">IF(Checks!$V$481="","",Checks!$V$481)&amp;IF(Checks!$AC$481="","",IF(Checks!$V$481="","",CHAR(10))&amp;"N/A just.: "&amp;Checks!$AC$481)&amp;IF(Checks!$W$481="","",CHAR(10)&amp;"Batch: "&amp;Checks!$W$481)&amp;IF(AND(Checks!$X$481="",Checks!$Y$481=""),"",CHAR(10)&amp;"Exp: "&amp;Checks!$X$481&amp;"  /  Act: "&amp;Checks!$Y$481)</f>
        <v/>
      </c>
      <c r="F23" s="114" t="str">
        <f aca="false">IF(Checks!$Z$481="","","Evidence: "&amp;Checks!$Z$481)&amp;IF(Checks!$AA$481="","",IF(Checks!$Z$481="","",CHAR(10))&amp;"CA: "&amp;Checks!$AA$481)</f>
        <v/>
      </c>
      <c r="G23" s="114" t="str">
        <f aca="false">IF(ISNUMBER(Checks!$AD$481),TEXT(Checks!$AD$481,"DD-MMM-YY HH:MM")&amp;" "&amp;Checks!$P$481,"")&amp;IF(Checks!$AE$481="","",CHAR(10)&amp;"Verifier: "&amp;Checks!$AE$481)&amp;IF(Checks!$T$481="","",CHAR(10)&amp;"PIC: "&amp;Checks!$T$481)</f>
        <v/>
      </c>
      <c r="H23" s="115" t="str">
        <f aca="false">IF(Checks!$AH$481="","",Checks!$AH$481)</f>
        <v>OPEN</v>
      </c>
    </row>
    <row r="24" customFormat="false" ht="114" hidden="false" customHeight="true" outlineLevel="0" collapsed="false">
      <c r="A24" s="114" t="str">
        <f aca="false">Checks!$A$482&amp;CHAR(10)&amp;IF(Checks!$I$482="","",Checks!$I$482&amp;": ")&amp;Checks!$J$482</f>
        <v>F15-T7-02
Menu: Printed menu cards confirmed (content, cycle, language, quantity)</v>
      </c>
      <c r="B24" s="114" t="str">
        <f aca="false">Checks!$K$482&amp;IF(Checks!$O$482="","",IF(Checks!$K$482="","",CHAR(10))&amp;"Note: "&amp;Checks!$O$482)</f>
        <v>Menu card matches approved menu for this flight</v>
      </c>
      <c r="C24" s="114" t="str">
        <f aca="false">Checks!$N$482&amp;CHAR(10)&amp;IF(ISNUMBER(Checks!$R$482),TEXT(Checks!$R$482,"DD-MMM-YY HH:MM"),"")&amp;" "&amp;Checks!$P$482</f>
        <v>Required
18-Oct-26 12:00 LHR</v>
      </c>
      <c r="D24" s="114" t="str">
        <f aca="false">IF(Checks!$U$482="","",Checks!$U$482)&amp;IF(Checks!$AB$482="","",CHAR(10)&amp;"CA: "&amp;Checks!$AB$482)</f>
        <v/>
      </c>
      <c r="E24" s="114" t="str">
        <f aca="false">IF(Checks!$V$482="","",Checks!$V$482)&amp;IF(Checks!$AC$482="","",IF(Checks!$V$482="","",CHAR(10))&amp;"N/A just.: "&amp;Checks!$AC$482)&amp;IF(Checks!$W$482="","",CHAR(10)&amp;"Batch: "&amp;Checks!$W$482)&amp;IF(AND(Checks!$X$482="",Checks!$Y$482=""),"",CHAR(10)&amp;"Exp: "&amp;Checks!$X$482&amp;"  /  Act: "&amp;Checks!$Y$482)</f>
        <v/>
      </c>
      <c r="F24" s="114" t="str">
        <f aca="false">IF(Checks!$Z$482="","","Evidence: "&amp;Checks!$Z$482)&amp;IF(Checks!$AA$482="","",IF(Checks!$Z$482="","",CHAR(10))&amp;"CA: "&amp;Checks!$AA$482)</f>
        <v/>
      </c>
      <c r="G24" s="114" t="str">
        <f aca="false">IF(ISNUMBER(Checks!$AD$482),TEXT(Checks!$AD$482,"DD-MMM-YY HH:MM")&amp;" "&amp;Checks!$P$482,"")&amp;IF(Checks!$AE$482="","",CHAR(10)&amp;"Verifier: "&amp;Checks!$AE$482)&amp;IF(Checks!$T$482="","",CHAR(10)&amp;"PIC: "&amp;Checks!$T$482)</f>
        <v/>
      </c>
      <c r="H24" s="115" t="str">
        <f aca="false">IF(Checks!$AH$482="","",Checks!$AH$482)</f>
        <v>OPEN</v>
      </c>
    </row>
    <row r="25" customFormat="false" ht="114" hidden="false" customHeight="true" outlineLevel="0" collapsed="false">
      <c r="A25" s="114" t="str">
        <f aca="false">Checks!$A$483&amp;CHAR(10)&amp;IF(Checks!$I$483="","",Checks!$I$483&amp;": ")&amp;Checks!$J$483</f>
        <v>F15-T7-03
IFE: Digital menu in IFE confirmed (A339 only)</v>
      </c>
      <c r="B25" s="114" t="str">
        <f aca="false">Checks!$K$483&amp;IF(Checks!$O$483="","",IF(Checks!$K$483="","",CHAR(10))&amp;"Note: "&amp;Checks!$O$483)</f>
        <v>Applies when fleet = A339
Note: Digital IFE menu applies to A339 only (user brief). Applicability follows the Fleet cell on Flights.</v>
      </c>
      <c r="C25" s="114" t="str">
        <f aca="false">Checks!$N$483&amp;CHAR(10)&amp;IF(ISNUMBER(Checks!$R$483),TEXT(Checks!$R$483,"DD-MMM-YY HH:MM"),"")&amp;" "&amp;Checks!$P$483</f>
        <v>N/A – rule
18-Oct-26 12:00 LHR</v>
      </c>
      <c r="D25" s="114" t="str">
        <f aca="false">IF(Checks!$U$483="","",Checks!$U$483)&amp;IF(Checks!$AB$483="","",CHAR(10)&amp;"CA: "&amp;Checks!$AB$483)</f>
        <v/>
      </c>
      <c r="E25" s="114" t="str">
        <f aca="false">IF(Checks!$V$483="","",Checks!$V$483)&amp;IF(Checks!$AC$483="","",IF(Checks!$V$483="","",CHAR(10))&amp;"N/A just.: "&amp;Checks!$AC$483)&amp;IF(Checks!$W$483="","",CHAR(10)&amp;"Batch: "&amp;Checks!$W$483)&amp;IF(AND(Checks!$X$483="",Checks!$Y$483=""),"",CHAR(10)&amp;"Exp: "&amp;Checks!$X$483&amp;"  /  Act: "&amp;Checks!$Y$483)</f>
        <v/>
      </c>
      <c r="F25" s="114" t="str">
        <f aca="false">IF(Checks!$Z$483="","","Evidence: "&amp;Checks!$Z$483)&amp;IF(Checks!$AA$483="","",IF(Checks!$Z$483="","",CHAR(10))&amp;"CA: "&amp;Checks!$AA$483)</f>
        <v/>
      </c>
      <c r="G25" s="114" t="str">
        <f aca="false">IF(ISNUMBER(Checks!$AD$483),TEXT(Checks!$AD$483,"DD-MMM-YY HH:MM")&amp;" "&amp;Checks!$P$483,"")&amp;IF(Checks!$AE$483="","",CHAR(10)&amp;"Verifier: "&amp;Checks!$AE$483)&amp;IF(Checks!$T$483="","",CHAR(10)&amp;"PIC: "&amp;Checks!$T$483)</f>
        <v/>
      </c>
      <c r="H25" s="115" t="str">
        <f aca="false">IF(Checks!$AH$483="","",Checks!$AH$483)</f>
        <v>N/A – RULE</v>
      </c>
    </row>
    <row r="26" customFormat="false" ht="114" hidden="false" customHeight="true" outlineLevel="0" collapsed="false">
      <c r="A26" s="114" t="str">
        <f aca="false">Checks!$A$484&amp;CHAR(10)&amp;IF(Checks!$I$484="","",Checks!$I$484&amp;": ")&amp;Checks!$J$484</f>
        <v>F15-T7-04
Staffing: Experienced catering officer assigned to this flight</v>
      </c>
      <c r="B26" s="114" t="str">
        <f aca="false">Checks!$K$484&amp;IF(Checks!$O$484="","",IF(Checks!$K$484="","",CHAR(10))&amp;"Note: "&amp;Checks!$O$484)</f>
        <v>Record officer name in Result</v>
      </c>
      <c r="C26" s="114" t="str">
        <f aca="false">Checks!$N$484&amp;CHAR(10)&amp;IF(ISNUMBER(Checks!$R$484),TEXT(Checks!$R$484,"DD-MMM-YY HH:MM"),"")&amp;" "&amp;Checks!$P$484</f>
        <v>Required
18-Oct-26 12:00 LHR</v>
      </c>
      <c r="D26" s="114" t="str">
        <f aca="false">IF(Checks!$U$484="","",Checks!$U$484)&amp;IF(Checks!$AB$484="","",CHAR(10)&amp;"CA: "&amp;Checks!$AB$484)</f>
        <v/>
      </c>
      <c r="E26" s="114" t="str">
        <f aca="false">IF(Checks!$V$484="","",Checks!$V$484)&amp;IF(Checks!$AC$484="","",IF(Checks!$V$484="","",CHAR(10))&amp;"N/A just.: "&amp;Checks!$AC$484)&amp;IF(Checks!$W$484="","",CHAR(10)&amp;"Batch: "&amp;Checks!$W$484)&amp;IF(AND(Checks!$X$484="",Checks!$Y$484=""),"",CHAR(10)&amp;"Exp: "&amp;Checks!$X$484&amp;"  /  Act: "&amp;Checks!$Y$484)</f>
        <v/>
      </c>
      <c r="F26" s="114" t="str">
        <f aca="false">IF(Checks!$Z$484="","","Evidence: "&amp;Checks!$Z$484)&amp;IF(Checks!$AA$484="","",IF(Checks!$Z$484="","",CHAR(10))&amp;"CA: "&amp;Checks!$AA$484)</f>
        <v/>
      </c>
      <c r="G26" s="114" t="str">
        <f aca="false">IF(ISNUMBER(Checks!$AD$484),TEXT(Checks!$AD$484,"DD-MMM-YY HH:MM")&amp;" "&amp;Checks!$P$484,"")&amp;IF(Checks!$AE$484="","",CHAR(10)&amp;"Verifier: "&amp;Checks!$AE$484)&amp;IF(Checks!$T$484="","",CHAR(10)&amp;"PIC: "&amp;Checks!$T$484)</f>
        <v/>
      </c>
      <c r="H26" s="115" t="str">
        <f aca="false">IF(Checks!$AH$484="","",Checks!$AH$484)</f>
        <v>OPEN</v>
      </c>
    </row>
    <row r="27" customFormat="false" ht="114" hidden="false" customHeight="true" outlineLevel="0" collapsed="false">
      <c r="A27" s="114" t="str">
        <f aca="false">Checks!$A$485&amp;CHAR(10)&amp;IF(Checks!$I$485="","",Checks!$I$485&amp;": ")&amp;Checks!$J$485</f>
        <v>F15-T7-05
ISOP: All latest applicable ISOP revisions communicated to caterer</v>
      </c>
      <c r="B27" s="114" t="str">
        <f aca="false">Checks!$K$485&amp;IF(Checks!$O$485="","",IF(Checks!$K$485="","",CHAR(10))&amp;"Note: "&amp;Checks!$O$485)</f>
        <v>List revision numbers in Result (see ISOP register)</v>
      </c>
      <c r="C27" s="114" t="str">
        <f aca="false">Checks!$N$485&amp;CHAR(10)&amp;IF(ISNUMBER(Checks!$R$485),TEXT(Checks!$R$485,"DD-MMM-YY HH:MM"),"")&amp;" "&amp;Checks!$P$485</f>
        <v>Required
18-Oct-26 12:00 LHR</v>
      </c>
      <c r="D27" s="114" t="str">
        <f aca="false">IF(Checks!$U$485="","",Checks!$U$485)&amp;IF(Checks!$AB$485="","",CHAR(10)&amp;"CA: "&amp;Checks!$AB$485)</f>
        <v/>
      </c>
      <c r="E27" s="114" t="str">
        <f aca="false">IF(Checks!$V$485="","",Checks!$V$485)&amp;IF(Checks!$AC$485="","",IF(Checks!$V$485="","",CHAR(10))&amp;"N/A just.: "&amp;Checks!$AC$485)&amp;IF(Checks!$W$485="","",CHAR(10)&amp;"Batch: "&amp;Checks!$W$485)&amp;IF(AND(Checks!$X$485="",Checks!$Y$485=""),"",CHAR(10)&amp;"Exp: "&amp;Checks!$X$485&amp;"  /  Act: "&amp;Checks!$Y$485)</f>
        <v/>
      </c>
      <c r="F27" s="114" t="str">
        <f aca="false">IF(Checks!$Z$485="","","Evidence: "&amp;Checks!$Z$485)&amp;IF(Checks!$AA$485="","",IF(Checks!$Z$485="","",CHAR(10))&amp;"CA: "&amp;Checks!$AA$485)</f>
        <v/>
      </c>
      <c r="G27" s="114" t="str">
        <f aca="false">IF(ISNUMBER(Checks!$AD$485),TEXT(Checks!$AD$485,"DD-MMM-YY HH:MM")&amp;" "&amp;Checks!$P$485,"")&amp;IF(Checks!$AE$485="","",CHAR(10)&amp;"Verifier: "&amp;Checks!$AE$485)&amp;IF(Checks!$T$485="","",CHAR(10)&amp;"PIC: "&amp;Checks!$T$485)</f>
        <v/>
      </c>
      <c r="H27" s="115" t="str">
        <f aca="false">IF(Checks!$AH$485="","",Checks!$AH$485)</f>
        <v>OPEN</v>
      </c>
    </row>
    <row r="28" customFormat="false" ht="114" hidden="false" customHeight="true" outlineLevel="0" collapsed="false">
      <c r="A28" s="114" t="str">
        <f aca="false">Checks!$A$486&amp;CHAR(10)&amp;IF(Checks!$I$486="","",Checks!$I$486&amp;": ")&amp;Checks!$J$486</f>
        <v>F15-T7-06
ISOP: Caterer acknowledgement of ISOP revisions recorded</v>
      </c>
      <c r="B28" s="114" t="str">
        <f aca="false">Checks!$K$486&amp;IF(Checks!$O$486="","",IF(Checks!$K$486="","",CHAR(10))&amp;"Note: "&amp;Checks!$O$486)</f>
        <v>Record acknowledgement ref in Evidence</v>
      </c>
      <c r="C28" s="114" t="str">
        <f aca="false">Checks!$N$486&amp;CHAR(10)&amp;IF(ISNUMBER(Checks!$R$486),TEXT(Checks!$R$486,"DD-MMM-YY HH:MM"),"")&amp;" "&amp;Checks!$P$486</f>
        <v>Required
18-Oct-26 12:00 LHR</v>
      </c>
      <c r="D28" s="114" t="str">
        <f aca="false">IF(Checks!$U$486="","",Checks!$U$486)&amp;IF(Checks!$AB$486="","",CHAR(10)&amp;"CA: "&amp;Checks!$AB$486)</f>
        <v/>
      </c>
      <c r="E28" s="114" t="str">
        <f aca="false">IF(Checks!$V$486="","",Checks!$V$486)&amp;IF(Checks!$AC$486="","",IF(Checks!$V$486="","",CHAR(10))&amp;"N/A just.: "&amp;Checks!$AC$486)&amp;IF(Checks!$W$486="","",CHAR(10)&amp;"Batch: "&amp;Checks!$W$486)&amp;IF(AND(Checks!$X$486="",Checks!$Y$486=""),"",CHAR(10)&amp;"Exp: "&amp;Checks!$X$486&amp;"  /  Act: "&amp;Checks!$Y$486)</f>
        <v/>
      </c>
      <c r="F28" s="114" t="str">
        <f aca="false">IF(Checks!$Z$486="","","Evidence: "&amp;Checks!$Z$486)&amp;IF(Checks!$AA$486="","",IF(Checks!$Z$486="","",CHAR(10))&amp;"CA: "&amp;Checks!$AA$486)</f>
        <v/>
      </c>
      <c r="G28" s="114" t="str">
        <f aca="false">IF(ISNUMBER(Checks!$AD$486),TEXT(Checks!$AD$486,"DD-MMM-YY HH:MM")&amp;" "&amp;Checks!$P$486,"")&amp;IF(Checks!$AE$486="","",CHAR(10)&amp;"Verifier: "&amp;Checks!$AE$486)&amp;IF(Checks!$T$486="","",CHAR(10)&amp;"PIC: "&amp;Checks!$T$486)</f>
        <v/>
      </c>
      <c r="H28" s="115" t="str">
        <f aca="false">IF(Checks!$AH$486="","",Checks!$AH$486)</f>
        <v>OPEN</v>
      </c>
    </row>
    <row r="29" customFormat="false" ht="114" hidden="false" customHeight="true" outlineLevel="0" collapsed="false">
      <c r="A29" s="114" t="str">
        <f aca="false">Checks!$A$487&amp;CHAR(10)&amp;IF(Checks!$I$487="","",Checks!$I$487&amp;": ")&amp;Checks!$J$487</f>
        <v>F15-T7-07
Documents: Galley loading diagram (GLD) received, revision recorded &amp; attached</v>
      </c>
      <c r="B29" s="114" t="str">
        <f aca="false">Checks!$K$487&amp;IF(Checks!$O$487="","",IF(Checks!$K$487="","",CHAR(10))&amp;"Note: "&amp;Checks!$O$487)</f>
        <v>Documents sheet row complete</v>
      </c>
      <c r="C29" s="114" t="str">
        <f aca="false">Checks!$N$487&amp;CHAR(10)&amp;IF(ISNUMBER(Checks!$R$487),TEXT(Checks!$R$487,"DD-MMM-YY HH:MM"),"")&amp;" "&amp;Checks!$P$487</f>
        <v>Required
18-Oct-26 12:00 LHR</v>
      </c>
      <c r="D29" s="114" t="str">
        <f aca="false">IF(Checks!$U$487="","",Checks!$U$487)&amp;IF(Checks!$AB$487="","",CHAR(10)&amp;"CA: "&amp;Checks!$AB$487)</f>
        <v/>
      </c>
      <c r="E29" s="114" t="str">
        <f aca="false">IF(Checks!$V$487="","",Checks!$V$487)&amp;IF(Checks!$AC$487="","",IF(Checks!$V$487="","",CHAR(10))&amp;"N/A just.: "&amp;Checks!$AC$487)&amp;IF(Checks!$W$487="","",CHAR(10)&amp;"Batch: "&amp;Checks!$W$487)&amp;IF(AND(Checks!$X$487="",Checks!$Y$487=""),"",CHAR(10)&amp;"Exp: "&amp;Checks!$X$487&amp;"  /  Act: "&amp;Checks!$Y$487)</f>
        <v/>
      </c>
      <c r="F29" s="114" t="str">
        <f aca="false">IF(Checks!$Z$487="","","Evidence: "&amp;Checks!$Z$487)&amp;IF(Checks!$AA$487="","",IF(Checks!$Z$487="","",CHAR(10))&amp;"CA: "&amp;Checks!$AA$487)</f>
        <v/>
      </c>
      <c r="G29" s="114" t="str">
        <f aca="false">IF(ISNUMBER(Checks!$AD$487),TEXT(Checks!$AD$487,"DD-MMM-YY HH:MM")&amp;" "&amp;Checks!$P$487,"")&amp;IF(Checks!$AE$487="","",CHAR(10)&amp;"Verifier: "&amp;Checks!$AE$487)&amp;IF(Checks!$T$487="","",CHAR(10)&amp;"PIC: "&amp;Checks!$T$487)</f>
        <v/>
      </c>
      <c r="H29" s="115" t="str">
        <f aca="false">IF(Checks!$AH$487="","",Checks!$AH$487)</f>
        <v>OPEN</v>
      </c>
    </row>
    <row r="30" customFormat="false" ht="114" hidden="false" customHeight="true" outlineLevel="0" collapsed="false">
      <c r="A30" s="114" t="str">
        <f aca="false">Checks!$A$488&amp;CHAR(10)&amp;IF(Checks!$I$488="","",Checks!$I$488&amp;": ")&amp;Checks!$J$488</f>
        <v>F15-T7-08
Documents: Menu checklist received, revision recorded &amp; attached</v>
      </c>
      <c r="B30" s="114" t="str">
        <f aca="false">Checks!$K$488&amp;IF(Checks!$O$488="","",IF(Checks!$K$488="","",CHAR(10))&amp;"Note: "&amp;Checks!$O$488)</f>
        <v>Documents sheet row complete</v>
      </c>
      <c r="C30" s="114" t="str">
        <f aca="false">Checks!$N$488&amp;CHAR(10)&amp;IF(ISNUMBER(Checks!$R$488),TEXT(Checks!$R$488,"DD-MMM-YY HH:MM"),"")&amp;" "&amp;Checks!$P$488</f>
        <v>Required
18-Oct-26 12:00 LHR</v>
      </c>
      <c r="D30" s="114" t="str">
        <f aca="false">IF(Checks!$U$488="","",Checks!$U$488)&amp;IF(Checks!$AB$488="","",CHAR(10)&amp;"CA: "&amp;Checks!$AB$488)</f>
        <v/>
      </c>
      <c r="E30" s="114" t="str">
        <f aca="false">IF(Checks!$V$488="","",Checks!$V$488)&amp;IF(Checks!$AC$488="","",IF(Checks!$V$488="","",CHAR(10))&amp;"N/A just.: "&amp;Checks!$AC$488)&amp;IF(Checks!$W$488="","",CHAR(10)&amp;"Batch: "&amp;Checks!$W$488)&amp;IF(AND(Checks!$X$488="",Checks!$Y$488=""),"",CHAR(10)&amp;"Exp: "&amp;Checks!$X$488&amp;"  /  Act: "&amp;Checks!$Y$488)</f>
        <v/>
      </c>
      <c r="F30" s="114" t="str">
        <f aca="false">IF(Checks!$Z$488="","","Evidence: "&amp;Checks!$Z$488)&amp;IF(Checks!$AA$488="","",IF(Checks!$Z$488="","",CHAR(10))&amp;"CA: "&amp;Checks!$AA$488)</f>
        <v/>
      </c>
      <c r="G30" s="114" t="str">
        <f aca="false">IF(ISNUMBER(Checks!$AD$488),TEXT(Checks!$AD$488,"DD-MMM-YY HH:MM")&amp;" "&amp;Checks!$P$488,"")&amp;IF(Checks!$AE$488="","",CHAR(10)&amp;"Verifier: "&amp;Checks!$AE$488)&amp;IF(Checks!$T$488="","",CHAR(10)&amp;"PIC: "&amp;Checks!$T$488)</f>
        <v/>
      </c>
      <c r="H30" s="115" t="str">
        <f aca="false">IF(Checks!$AH$488="","",Checks!$AH$488)</f>
        <v>OPEN</v>
      </c>
    </row>
    <row r="31" customFormat="false" ht="114" hidden="false" customHeight="true" outlineLevel="0" collapsed="false">
      <c r="A31" s="114" t="str">
        <f aca="false">Checks!$A$489&amp;CHAR(10)&amp;IF(Checks!$I$489="","",Checks!$I$489&amp;": ")&amp;Checks!$J$489</f>
        <v>F15-T7-09
Uplift plan: Uplift plan confirmed with caterer vs STD Uplift Information</v>
      </c>
      <c r="B31" s="114" t="str">
        <f aca="false">Checks!$K$489&amp;IF(Checks!$O$489="","",IF(Checks!$K$489="","",CHAR(10))&amp;"Note: "&amp;Checks!$O$489)</f>
        <v>Service: 2.5 Meal (Meal); meal uplift stn LHR (ref lists KUL/LHR)</v>
      </c>
      <c r="C31" s="114" t="str">
        <f aca="false">Checks!$N$489&amp;CHAR(10)&amp;IF(ISNUMBER(Checks!$R$489),TEXT(Checks!$R$489,"DD-MMM-YY HH:MM"),"")&amp;" "&amp;Checks!$P$489</f>
        <v>Required
18-Oct-26 12:00 LHR</v>
      </c>
      <c r="D31" s="114" t="str">
        <f aca="false">IF(Checks!$U$489="","",Checks!$U$489)&amp;IF(Checks!$AB$489="","",CHAR(10)&amp;"CA: "&amp;Checks!$AB$489)</f>
        <v/>
      </c>
      <c r="E31" s="114" t="str">
        <f aca="false">IF(Checks!$V$489="","",Checks!$V$489)&amp;IF(Checks!$AC$489="","",IF(Checks!$V$489="","",CHAR(10))&amp;"N/A just.: "&amp;Checks!$AC$489)&amp;IF(Checks!$W$489="","",CHAR(10)&amp;"Batch: "&amp;Checks!$W$489)&amp;IF(AND(Checks!$X$489="",Checks!$Y$489=""),"",CHAR(10)&amp;"Exp: "&amp;Checks!$X$489&amp;"  /  Act: "&amp;Checks!$Y$489)</f>
        <v/>
      </c>
      <c r="F31" s="114" t="str">
        <f aca="false">IF(Checks!$Z$489="","","Evidence: "&amp;Checks!$Z$489)&amp;IF(Checks!$AA$489="","",IF(Checks!$Z$489="","",CHAR(10))&amp;"CA: "&amp;Checks!$AA$489)</f>
        <v/>
      </c>
      <c r="G31" s="114" t="str">
        <f aca="false">IF(ISNUMBER(Checks!$AD$489),TEXT(Checks!$AD$489,"DD-MMM-YY HH:MM")&amp;" "&amp;Checks!$P$489,"")&amp;IF(Checks!$AE$489="","",CHAR(10)&amp;"Verifier: "&amp;Checks!$AE$489)&amp;IF(Checks!$T$489="","",CHAR(10)&amp;"PIC: "&amp;Checks!$T$489)</f>
        <v/>
      </c>
      <c r="H31" s="115" t="str">
        <f aca="false">IF(Checks!$AH$489="","",Checks!$AH$489)</f>
        <v>OPEN</v>
      </c>
    </row>
    <row r="32" customFormat="false" ht="25.5" hidden="false" customHeight="true" outlineLevel="0" collapsed="false">
      <c r="A32" s="113" t="str">
        <f aca="false">"T-24H — Production batch sensory  |  Due "&amp;IF(ISNUMBER(Flights!$AH$19),TEXT(Flights!$AH$19,"DD-MMM-YY HH:MM"),"")&amp;" "&amp;Flights!$V$19&amp;" (meal uplift stn)"&amp;" (rows with another due show their own)  |  Complete "&amp;IF(ISNUMBER(Flights!$AK$19),TEXT(Flights!$AK$19,"0%"),Flights!$AK$19)&amp;"  |  1 lines"</f>
        <v>T-24H — Production batch sensory  |  Due 24-Oct-26 12:00 LHR (meal uplift stn) (rows with another due show their own)  |  Complete 0%  |  1 lines</v>
      </c>
      <c r="B32" s="113"/>
      <c r="C32" s="113"/>
      <c r="D32" s="113"/>
      <c r="E32" s="113"/>
      <c r="F32" s="113"/>
      <c r="G32" s="113"/>
      <c r="H32" s="113"/>
    </row>
    <row r="33" customFormat="false" ht="147" hidden="false" customHeight="true" outlineLevel="0" collapsed="false">
      <c r="A33" s="114" t="str">
        <f aca="false">Checks!$A$490&amp;CHAR(10)&amp;IF(Checks!$I$490="","",Checks!$I$490&amp;": ")&amp;Checks!$J$490</f>
        <v>F15-T24-01
Meal: Sensory test repeated on ACTUAL production batch for this flight</v>
      </c>
      <c r="B33" s="114" t="str">
        <f aca="false">Checks!$K$490&amp;IF(Checks!$O$490="","",IF(Checks!$K$490="","",CHAR(10))&amp;"Note: "&amp;Checks!$O$490)</f>
        <v>Batch ID, result, CA and acceptance mandatory
Note: Clock change: LHR local time changes between this due time and departure, so the due time shows a different clock hour than STD (24 h before STD is still correct).</v>
      </c>
      <c r="C33" s="114" t="str">
        <f aca="false">Checks!$N$490&amp;CHAR(10)&amp;IF(ISNUMBER(Checks!$R$490),TEXT(Checks!$R$490,"DD-MMM-YY HH:MM"),"")&amp;" "&amp;Checks!$P$490</f>
        <v>Required
24-Oct-26 12:00 LHR</v>
      </c>
      <c r="D33" s="114" t="str">
        <f aca="false">IF(Checks!$U$490="","",Checks!$U$490)&amp;IF(Checks!$AB$490="","",CHAR(10)&amp;"CA: "&amp;Checks!$AB$490)</f>
        <v/>
      </c>
      <c r="E33" s="114" t="str">
        <f aca="false">IF(Checks!$V$490="","",Checks!$V$490)&amp;IF(Checks!$AC$490="","",IF(Checks!$V$490="","",CHAR(10))&amp;"N/A just.: "&amp;Checks!$AC$490)&amp;IF(Checks!$W$490="","",CHAR(10)&amp;"Batch: "&amp;Checks!$W$490)&amp;IF(AND(Checks!$X$490="",Checks!$Y$490=""),"",CHAR(10)&amp;"Exp: "&amp;Checks!$X$490&amp;"  /  Act: "&amp;Checks!$Y$490)</f>
        <v/>
      </c>
      <c r="F33" s="114" t="str">
        <f aca="false">IF(Checks!$Z$490="","","Evidence: "&amp;Checks!$Z$490)&amp;IF(Checks!$AA$490="","",IF(Checks!$Z$490="","",CHAR(10))&amp;"CA: "&amp;Checks!$AA$490)</f>
        <v/>
      </c>
      <c r="G33" s="114" t="str">
        <f aca="false">IF(ISNUMBER(Checks!$AD$490),TEXT(Checks!$AD$490,"DD-MMM-YY HH:MM")&amp;" "&amp;Checks!$P$490,"")&amp;IF(Checks!$AE$490="","",CHAR(10)&amp;"Verifier: "&amp;Checks!$AE$490)&amp;IF(Checks!$T$490="","",CHAR(10)&amp;"PIC: "&amp;Checks!$T$490)</f>
        <v/>
      </c>
      <c r="H33" s="115" t="str">
        <f aca="false">IF(Checks!$AH$490="","",Checks!$AH$490)</f>
        <v>OPEN</v>
      </c>
    </row>
    <row r="34" customFormat="false" ht="25.5" hidden="false" customHeight="true" outlineLevel="0" collapsed="false">
      <c r="A34" s="113" t="str">
        <f aca="false">"T-12H PREP — Preparation check at caterer (does NOT confirm loading)  |  Due "&amp;IF(ISNUMBER(Flights!$AI$19),TEXT(Flights!$AI$19,"DD-MMM-YY HH:MM"),"")&amp;" "&amp;Flights!$V$19&amp;" (meal uplift stn)"&amp;" (rows with another due show their own)  |  Complete "&amp;IF(ISNUMBER(Flights!$AL$19),TEXT(Flights!$AL$19,"0%"),Flights!$AL$19)&amp;"  |  10 lines"</f>
        <v>T-12H PREP — Preparation check at caterer (does NOT confirm loading)  |  Due 25-Oct-26 00:00 LHR (meal uplift stn) (rows with another due show their own)  |  Complete 0%  |  10 lines</v>
      </c>
      <c r="B34" s="113"/>
      <c r="C34" s="113"/>
      <c r="D34" s="113"/>
      <c r="E34" s="113"/>
      <c r="F34" s="113"/>
      <c r="G34" s="113"/>
      <c r="H34" s="113"/>
    </row>
    <row r="35" customFormat="false" ht="147" hidden="false" customHeight="true" outlineLevel="0" collapsed="false">
      <c r="A35" s="114" t="str">
        <f aca="false">Checks!$A$491&amp;CHAR(10)&amp;IF(Checks!$I$491="","",Checks!$I$491&amp;": ")&amp;Checks!$J$491</f>
        <v>F15-T12-01
Meal: Meal quality vs menu checklist</v>
      </c>
      <c r="B35" s="114" t="str">
        <f aca="false">Checks!$K$491&amp;IF(Checks!$O$491="","",IF(Checks!$K$491="","",CHAR(10))&amp;"Note: "&amp;Checks!$O$491)</f>
        <v>Note: Preparation check at caterer - does NOT confirm loading. Clock change: LHR local time changes between this due time and departure, so the due time shows a different clock hour than STD (12 h before STD is still correct).</v>
      </c>
      <c r="C35" s="114" t="str">
        <f aca="false">Checks!$N$491&amp;CHAR(10)&amp;IF(ISNUMBER(Checks!$R$491),TEXT(Checks!$R$491,"DD-MMM-YY HH:MM"),"")&amp;" "&amp;Checks!$P$491</f>
        <v>Required
25-Oct-26 00:00 LHR</v>
      </c>
      <c r="D35" s="114" t="str">
        <f aca="false">IF(Checks!$U$491="","",Checks!$U$491)&amp;IF(Checks!$AB$491="","",CHAR(10)&amp;"CA: "&amp;Checks!$AB$491)</f>
        <v/>
      </c>
      <c r="E35" s="114" t="str">
        <f aca="false">IF(Checks!$V$491="","",Checks!$V$491)&amp;IF(Checks!$AC$491="","",IF(Checks!$V$491="","",CHAR(10))&amp;"N/A just.: "&amp;Checks!$AC$491)&amp;IF(Checks!$W$491="","",CHAR(10)&amp;"Batch: "&amp;Checks!$W$491)&amp;IF(AND(Checks!$X$491="",Checks!$Y$491=""),"",CHAR(10)&amp;"Exp: "&amp;Checks!$X$491&amp;"  /  Act: "&amp;Checks!$Y$491)</f>
        <v/>
      </c>
      <c r="F35" s="114" t="str">
        <f aca="false">IF(Checks!$Z$491="","","Evidence: "&amp;Checks!$Z$491)&amp;IF(Checks!$AA$491="","",IF(Checks!$Z$491="","",CHAR(10))&amp;"CA: "&amp;Checks!$AA$491)</f>
        <v/>
      </c>
      <c r="G35" s="114" t="str">
        <f aca="false">IF(ISNUMBER(Checks!$AD$491),TEXT(Checks!$AD$491,"DD-MMM-YY HH:MM")&amp;" "&amp;Checks!$P$491,"")&amp;IF(Checks!$AE$491="","",CHAR(10)&amp;"Verifier: "&amp;Checks!$AE$491)&amp;IF(Checks!$T$491="","",CHAR(10)&amp;"PIC: "&amp;Checks!$T$491)</f>
        <v/>
      </c>
      <c r="H35" s="115" t="str">
        <f aca="false">IF(Checks!$AH$491="","",Checks!$AH$491)</f>
        <v>OPEN</v>
      </c>
    </row>
    <row r="36" customFormat="false" ht="114" hidden="false" customHeight="true" outlineLevel="0" collapsed="false">
      <c r="A36" s="114" t="str">
        <f aca="false">Checks!$A$492&amp;CHAR(10)&amp;IF(Checks!$I$492="","",Checks!$I$492&amp;": ")&amp;Checks!$J$492</f>
        <v>F15-T12-02
Meal: Meal quantities vs menu checklist</v>
      </c>
      <c r="B36" s="114" t="str">
        <f aca="false">Checks!$K$492&amp;IF(Checks!$O$492="","",IF(Checks!$K$492="","",CHAR(10))&amp;"Note: "&amp;Checks!$O$492)</f>
        <v>Enter expected &amp; actual
Note: Preparation check at caterer - does NOT confirm loading.</v>
      </c>
      <c r="C36" s="114" t="str">
        <f aca="false">Checks!$N$492&amp;CHAR(10)&amp;IF(ISNUMBER(Checks!$R$492),TEXT(Checks!$R$492,"DD-MMM-YY HH:MM"),"")&amp;" "&amp;Checks!$P$492</f>
        <v>Required
25-Oct-26 00:00 LHR</v>
      </c>
      <c r="D36" s="114" t="str">
        <f aca="false">IF(Checks!$U$492="","",Checks!$U$492)&amp;IF(Checks!$AB$492="","",CHAR(10)&amp;"CA: "&amp;Checks!$AB$492)</f>
        <v/>
      </c>
      <c r="E36" s="114" t="str">
        <f aca="false">IF(Checks!$V$492="","",Checks!$V$492)&amp;IF(Checks!$AC$492="","",IF(Checks!$V$492="","",CHAR(10))&amp;"N/A just.: "&amp;Checks!$AC$492)&amp;IF(Checks!$W$492="","",CHAR(10)&amp;"Batch: "&amp;Checks!$W$492)&amp;IF(AND(Checks!$X$492="",Checks!$Y$492=""),"",CHAR(10)&amp;"Exp: "&amp;Checks!$X$492&amp;"  /  Act: "&amp;Checks!$Y$492)</f>
        <v/>
      </c>
      <c r="F36" s="114" t="str">
        <f aca="false">IF(Checks!$Z$492="","","Evidence: "&amp;Checks!$Z$492)&amp;IF(Checks!$AA$492="","",IF(Checks!$Z$492="","",CHAR(10))&amp;"CA: "&amp;Checks!$AA$492)</f>
        <v/>
      </c>
      <c r="G36" s="114" t="str">
        <f aca="false">IF(ISNUMBER(Checks!$AD$492),TEXT(Checks!$AD$492,"DD-MMM-YY HH:MM")&amp;" "&amp;Checks!$P$492,"")&amp;IF(Checks!$AE$492="","",CHAR(10)&amp;"Verifier: "&amp;Checks!$AE$492)&amp;IF(Checks!$T$492="","",CHAR(10)&amp;"PIC: "&amp;Checks!$T$492)</f>
        <v/>
      </c>
      <c r="H36" s="115" t="str">
        <f aca="false">IF(Checks!$AH$492="","",Checks!$AH$492)</f>
        <v>OPEN</v>
      </c>
    </row>
    <row r="37" customFormat="false" ht="114" hidden="false" customHeight="true" outlineLevel="0" collapsed="false">
      <c r="A37" s="114" t="str">
        <f aca="false">Checks!$A$493&amp;CHAR(10)&amp;IF(Checks!$I$493="","",Checks!$I$493&amp;": ")&amp;Checks!$J$493</f>
        <v>F15-T12-03
Equipment: Equipment cleanliness vs GLD</v>
      </c>
      <c r="B37" s="114" t="str">
        <f aca="false">Checks!$K$493&amp;IF(Checks!$O$493="","",IF(Checks!$K$493="","",CHAR(10))&amp;"Note: "&amp;Checks!$O$493)</f>
        <v>Note: Preparation check at caterer - does NOT confirm loading.</v>
      </c>
      <c r="C37" s="114" t="str">
        <f aca="false">Checks!$N$493&amp;CHAR(10)&amp;IF(ISNUMBER(Checks!$R$493),TEXT(Checks!$R$493,"DD-MMM-YY HH:MM"),"")&amp;" "&amp;Checks!$P$493</f>
        <v>Required
25-Oct-26 00:00 LHR</v>
      </c>
      <c r="D37" s="114" t="str">
        <f aca="false">IF(Checks!$U$493="","",Checks!$U$493)&amp;IF(Checks!$AB$493="","",CHAR(10)&amp;"CA: "&amp;Checks!$AB$493)</f>
        <v/>
      </c>
      <c r="E37" s="114" t="str">
        <f aca="false">IF(Checks!$V$493="","",Checks!$V$493)&amp;IF(Checks!$AC$493="","",IF(Checks!$V$493="","",CHAR(10))&amp;"N/A just.: "&amp;Checks!$AC$493)&amp;IF(Checks!$W$493="","",CHAR(10)&amp;"Batch: "&amp;Checks!$W$493)&amp;IF(AND(Checks!$X$493="",Checks!$Y$493=""),"",CHAR(10)&amp;"Exp: "&amp;Checks!$X$493&amp;"  /  Act: "&amp;Checks!$Y$493)</f>
        <v/>
      </c>
      <c r="F37" s="114" t="str">
        <f aca="false">IF(Checks!$Z$493="","","Evidence: "&amp;Checks!$Z$493)&amp;IF(Checks!$AA$493="","",IF(Checks!$Z$493="","",CHAR(10))&amp;"CA: "&amp;Checks!$AA$493)</f>
        <v/>
      </c>
      <c r="G37" s="114" t="str">
        <f aca="false">IF(ISNUMBER(Checks!$AD$493),TEXT(Checks!$AD$493,"DD-MMM-YY HH:MM")&amp;" "&amp;Checks!$P$493,"")&amp;IF(Checks!$AE$493="","",CHAR(10)&amp;"Verifier: "&amp;Checks!$AE$493)&amp;IF(Checks!$T$493="","",CHAR(10)&amp;"PIC: "&amp;Checks!$T$493)</f>
        <v/>
      </c>
      <c r="H37" s="115" t="str">
        <f aca="false">IF(Checks!$AH$493="","",Checks!$AH$493)</f>
        <v>OPEN</v>
      </c>
    </row>
    <row r="38" customFormat="false" ht="114" hidden="false" customHeight="true" outlineLevel="0" collapsed="false">
      <c r="A38" s="114" t="str">
        <f aca="false">Checks!$A$494&amp;CHAR(10)&amp;IF(Checks!$I$494="","",Checks!$I$494&amp;": ")&amp;Checks!$J$494</f>
        <v>F15-T12-04
Equipment: Equipment presentation vs GLD</v>
      </c>
      <c r="B38" s="114" t="str">
        <f aca="false">Checks!$K$494&amp;IF(Checks!$O$494="","",IF(Checks!$K$494="","",CHAR(10))&amp;"Note: "&amp;Checks!$O$494)</f>
        <v>Note: Preparation check at caterer - does NOT confirm loading.</v>
      </c>
      <c r="C38" s="114" t="str">
        <f aca="false">Checks!$N$494&amp;CHAR(10)&amp;IF(ISNUMBER(Checks!$R$494),TEXT(Checks!$R$494,"DD-MMM-YY HH:MM"),"")&amp;" "&amp;Checks!$P$494</f>
        <v>Required
25-Oct-26 00:00 LHR</v>
      </c>
      <c r="D38" s="114" t="str">
        <f aca="false">IF(Checks!$U$494="","",Checks!$U$494)&amp;IF(Checks!$AB$494="","",CHAR(10)&amp;"CA: "&amp;Checks!$AB$494)</f>
        <v/>
      </c>
      <c r="E38" s="114" t="str">
        <f aca="false">IF(Checks!$V$494="","",Checks!$V$494)&amp;IF(Checks!$AC$494="","",IF(Checks!$V$494="","",CHAR(10))&amp;"N/A just.: "&amp;Checks!$AC$494)&amp;IF(Checks!$W$494="","",CHAR(10)&amp;"Batch: "&amp;Checks!$W$494)&amp;IF(AND(Checks!$X$494="",Checks!$Y$494=""),"",CHAR(10)&amp;"Exp: "&amp;Checks!$X$494&amp;"  /  Act: "&amp;Checks!$Y$494)</f>
        <v/>
      </c>
      <c r="F38" s="114" t="str">
        <f aca="false">IF(Checks!$Z$494="","","Evidence: "&amp;Checks!$Z$494)&amp;IF(Checks!$AA$494="","",IF(Checks!$Z$494="","",CHAR(10))&amp;"CA: "&amp;Checks!$AA$494)</f>
        <v/>
      </c>
      <c r="G38" s="114" t="str">
        <f aca="false">IF(ISNUMBER(Checks!$AD$494),TEXT(Checks!$AD$494,"DD-MMM-YY HH:MM")&amp;" "&amp;Checks!$P$494,"")&amp;IF(Checks!$AE$494="","",CHAR(10)&amp;"Verifier: "&amp;Checks!$AE$494)&amp;IF(Checks!$T$494="","",CHAR(10)&amp;"PIC: "&amp;Checks!$T$494)</f>
        <v/>
      </c>
      <c r="H38" s="115" t="str">
        <f aca="false">IF(Checks!$AH$494="","",Checks!$AH$494)</f>
        <v>OPEN</v>
      </c>
    </row>
    <row r="39" customFormat="false" ht="114" hidden="false" customHeight="true" outlineLevel="0" collapsed="false">
      <c r="A39" s="114" t="str">
        <f aca="false">Checks!$A$495&amp;CHAR(10)&amp;IF(Checks!$I$495="","",Checks!$I$495&amp;": ")&amp;Checks!$J$495</f>
        <v>F15-T12-05
Equipment: Equipment serviceability vs GLD</v>
      </c>
      <c r="B39" s="114" t="str">
        <f aca="false">Checks!$K$495&amp;IF(Checks!$O$495="","",IF(Checks!$K$495="","",CHAR(10))&amp;"Note: "&amp;Checks!$O$495)</f>
        <v>Note: Preparation check at caterer - does NOT confirm loading.</v>
      </c>
      <c r="C39" s="114" t="str">
        <f aca="false">Checks!$N$495&amp;CHAR(10)&amp;IF(ISNUMBER(Checks!$R$495),TEXT(Checks!$R$495,"DD-MMM-YY HH:MM"),"")&amp;" "&amp;Checks!$P$495</f>
        <v>Required
25-Oct-26 00:00 LHR</v>
      </c>
      <c r="D39" s="114" t="str">
        <f aca="false">IF(Checks!$U$495="","",Checks!$U$495)&amp;IF(Checks!$AB$495="","",CHAR(10)&amp;"CA: "&amp;Checks!$AB$495)</f>
        <v/>
      </c>
      <c r="E39" s="114" t="str">
        <f aca="false">IF(Checks!$V$495="","",Checks!$V$495)&amp;IF(Checks!$AC$495="","",IF(Checks!$V$495="","",CHAR(10))&amp;"N/A just.: "&amp;Checks!$AC$495)&amp;IF(Checks!$W$495="","",CHAR(10)&amp;"Batch: "&amp;Checks!$W$495)&amp;IF(AND(Checks!$X$495="",Checks!$Y$495=""),"",CHAR(10)&amp;"Exp: "&amp;Checks!$X$495&amp;"  /  Act: "&amp;Checks!$Y$495)</f>
        <v/>
      </c>
      <c r="F39" s="114" t="str">
        <f aca="false">IF(Checks!$Z$495="","","Evidence: "&amp;Checks!$Z$495)&amp;IF(Checks!$AA$495="","",IF(Checks!$Z$495="","",CHAR(10))&amp;"CA: "&amp;Checks!$AA$495)</f>
        <v/>
      </c>
      <c r="G39" s="114" t="str">
        <f aca="false">IF(ISNUMBER(Checks!$AD$495),TEXT(Checks!$AD$495,"DD-MMM-YY HH:MM")&amp;" "&amp;Checks!$P$495,"")&amp;IF(Checks!$AE$495="","",CHAR(10)&amp;"Verifier: "&amp;Checks!$AE$495)&amp;IF(Checks!$T$495="","",CHAR(10)&amp;"PIC: "&amp;Checks!$T$495)</f>
        <v/>
      </c>
      <c r="H39" s="115" t="str">
        <f aca="false">IF(Checks!$AH$495="","",Checks!$AH$495)</f>
        <v>OPEN</v>
      </c>
    </row>
    <row r="40" customFormat="false" ht="322.5" hidden="false" customHeight="true" outlineLevel="0" collapsed="false">
      <c r="A40" s="114" t="str">
        <f aca="false">Checks!$A$496&amp;CHAR(10)&amp;IF(Checks!$I$496="","",Checks!$I$496&amp;": ")&amp;Checks!$J$496</f>
        <v>F15-T12-06
Equipment: Equipment quantities vs GLD</v>
      </c>
      <c r="B40" s="114" t="str">
        <f aca="false">SUBSTITUTE(Checks!$K$496&amp;IF(Checks!$O$496="","",IF(Checks!$K$496="","",CHAR(10))&amp;"Note: "&amp;Checks!$O$496),"AIRCRAFT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Checks!$N$496&amp;CHAR(10)&amp;IF(ISNUMBER(Checks!$R$496),TEXT(Checks!$R$496,"DD-MMM-YY HH:MM"),"")&amp;" "&amp;Checks!$P$496</f>
        <v>Required
25-Oct-26 00:00 LHR</v>
      </c>
      <c r="D40" s="114" t="str">
        <f aca="false">IF(Checks!$U$496="","",Checks!$U$496)&amp;IF(Checks!$AB$496="","",CHAR(10)&amp;"CA: "&amp;Checks!$AB$496)</f>
        <v/>
      </c>
      <c r="E40" s="114" t="str">
        <f aca="false">IF(Checks!$V$496="","",Checks!$V$496)&amp;IF(Checks!$AC$496="","",IF(Checks!$V$496="","",CHAR(10))&amp;"N/A just.: "&amp;Checks!$AC$496)&amp;IF(Checks!$W$496="","",CHAR(10)&amp;"Batch: "&amp;Checks!$W$496)&amp;IF(AND(Checks!$X$496="",Checks!$Y$496=""),"",CHAR(10)&amp;"Exp: "&amp;Checks!$X$496&amp;"  /  Act: "&amp;Checks!$Y$496)</f>
        <v/>
      </c>
      <c r="F40" s="114" t="str">
        <f aca="false">IF(Checks!$Z$496="","","Evidence: "&amp;Checks!$Z$496)&amp;IF(Checks!$AA$496="","",IF(Checks!$Z$496="","",CHAR(10))&amp;"CA: "&amp;Checks!$AA$496)</f>
        <v/>
      </c>
      <c r="G40" s="114" t="str">
        <f aca="false">IF(ISNUMBER(Checks!$AD$496),TEXT(Checks!$AD$496,"DD-MMM-YY HH:MM")&amp;" "&amp;Checks!$P$496,"")&amp;IF(Checks!$AE$496="","",CHAR(10)&amp;"Verifier: "&amp;Checks!$AE$496)&amp;IF(Checks!$T$496="","",CHAR(10)&amp;"PIC: "&amp;Checks!$T$496)</f>
        <v/>
      </c>
      <c r="H40" s="115" t="str">
        <f aca="false">IF(Checks!$AH$496="","",Checks!$AH$496)</f>
        <v>OPEN</v>
      </c>
    </row>
    <row r="41" customFormat="false" ht="114" hidden="false" customHeight="true" outlineLevel="0" collapsed="false">
      <c r="A41" s="114" t="str">
        <f aca="false">Checks!$A$497&amp;CHAR(10)&amp;IF(Checks!$I$497="","",Checks!$I$497&amp;": ")&amp;Checks!$J$497</f>
        <v>F15-T12-07
Equipment: Loading positions planned vs GLD</v>
      </c>
      <c r="B41" s="114" t="str">
        <f aca="false">Checks!$K$497&amp;IF(Checks!$O$497="","",IF(Checks!$K$497="","",CHAR(10))&amp;"Note: "&amp;Checks!$O$497)</f>
        <v>Note: Preparation check at caterer - does NOT confirm loading.</v>
      </c>
      <c r="C41" s="114" t="str">
        <f aca="false">Checks!$N$497&amp;CHAR(10)&amp;IF(ISNUMBER(Checks!$R$497),TEXT(Checks!$R$497,"DD-MMM-YY HH:MM"),"")&amp;" "&amp;Checks!$P$497</f>
        <v>Required
25-Oct-26 00:00 LHR</v>
      </c>
      <c r="D41" s="114" t="str">
        <f aca="false">IF(Checks!$U$497="","",Checks!$U$497)&amp;IF(Checks!$AB$497="","",CHAR(10)&amp;"CA: "&amp;Checks!$AB$497)</f>
        <v/>
      </c>
      <c r="E41" s="114" t="str">
        <f aca="false">IF(Checks!$V$497="","",Checks!$V$497)&amp;IF(Checks!$AC$497="","",IF(Checks!$V$497="","",CHAR(10))&amp;"N/A just.: "&amp;Checks!$AC$497)&amp;IF(Checks!$W$497="","",CHAR(10)&amp;"Batch: "&amp;Checks!$W$497)&amp;IF(AND(Checks!$X$497="",Checks!$Y$497=""),"",CHAR(10)&amp;"Exp: "&amp;Checks!$X$497&amp;"  /  Act: "&amp;Checks!$Y$497)</f>
        <v/>
      </c>
      <c r="F41" s="114" t="str">
        <f aca="false">IF(Checks!$Z$497="","","Evidence: "&amp;Checks!$Z$497)&amp;IF(Checks!$AA$497="","",IF(Checks!$Z$497="","",CHAR(10))&amp;"CA: "&amp;Checks!$AA$497)</f>
        <v/>
      </c>
      <c r="G41" s="114" t="str">
        <f aca="false">IF(ISNUMBER(Checks!$AD$497),TEXT(Checks!$AD$497,"DD-MMM-YY HH:MM")&amp;" "&amp;Checks!$P$497,"")&amp;IF(Checks!$AE$497="","",CHAR(10)&amp;"Verifier: "&amp;Checks!$AE$497)&amp;IF(Checks!$T$497="","",CHAR(10)&amp;"PIC: "&amp;Checks!$T$497)</f>
        <v/>
      </c>
      <c r="H41" s="115" t="str">
        <f aca="false">IF(Checks!$AH$497="","",Checks!$AH$497)</f>
        <v>OPEN</v>
      </c>
    </row>
    <row r="42" customFormat="false" ht="135.75" hidden="false" customHeight="true" outlineLevel="0" collapsed="false">
      <c r="A42" s="114" t="str">
        <f aca="false">Checks!$A$498&amp;CHAR(10)&amp;IF(Checks!$I$498="","",Checks!$I$498&amp;": ")&amp;Checks!$J$498</f>
        <v>F15-T12-08
Amenities: Toiletry kits - prepared</v>
      </c>
      <c r="B42" s="114" t="str">
        <f aca="false">Checks!$K$498&amp;IF(Checks!$O$498="","",IF(Checks!$K$498="","",CHAR(10))&amp;"Note: "&amp;Checks!$O$498)</f>
        <v>Available for sector (ticked in reference)
Note: Reference does not state the cabin class for toiletry kits. Confirm whether EY receives them; if not, mark N/A with the confirmation as justification.</v>
      </c>
      <c r="C42" s="114" t="str">
        <f aca="false">Checks!$N$498&amp;CHAR(10)&amp;IF(ISNUMBER(Checks!$R$498),TEXT(Checks!$R$498,"DD-MMM-YY HH:MM"),"")&amp;" "&amp;Checks!$P$498</f>
        <v>Clarification required
25-Oct-26 00:00 LHR</v>
      </c>
      <c r="D42" s="114" t="str">
        <f aca="false">IF(Checks!$U$498="","",Checks!$U$498)&amp;IF(Checks!$AB$498="","",CHAR(10)&amp;"CA: "&amp;Checks!$AB$498)</f>
        <v/>
      </c>
      <c r="E42" s="114" t="str">
        <f aca="false">IF(Checks!$V$498="","",Checks!$V$498)&amp;IF(Checks!$AC$498="","",IF(Checks!$V$498="","",CHAR(10))&amp;"N/A just.: "&amp;Checks!$AC$498)&amp;IF(Checks!$W$498="","",CHAR(10)&amp;"Batch: "&amp;Checks!$W$498)&amp;IF(AND(Checks!$X$498="",Checks!$Y$498=""),"",CHAR(10)&amp;"Exp: "&amp;Checks!$X$498&amp;"  /  Act: "&amp;Checks!$Y$498)</f>
        <v/>
      </c>
      <c r="F42" s="114" t="str">
        <f aca="false">IF(Checks!$Z$498="","","Evidence: "&amp;Checks!$Z$498)&amp;IF(Checks!$AA$498="","",IF(Checks!$Z$498="","",CHAR(10))&amp;"CA: "&amp;Checks!$AA$498)</f>
        <v/>
      </c>
      <c r="G42" s="114" t="str">
        <f aca="false">IF(ISNUMBER(Checks!$AD$498),TEXT(Checks!$AD$498,"DD-MMM-YY HH:MM")&amp;" "&amp;Checks!$P$498,"")&amp;IF(Checks!$AE$498="","",CHAR(10)&amp;"Verifier: "&amp;Checks!$AE$498)&amp;IF(Checks!$T$498="","",CHAR(10)&amp;"PIC: "&amp;Checks!$T$498)</f>
        <v/>
      </c>
      <c r="H42" s="115" t="str">
        <f aca="false">IF(Checks!$AH$498="","",Checks!$AH$498)</f>
        <v>OPEN – CLARIFICATION</v>
      </c>
    </row>
    <row r="43" customFormat="false" ht="114" hidden="false" customHeight="true" outlineLevel="0" collapsed="false">
      <c r="A43" s="114" t="str">
        <f aca="false">Checks!$A$499&amp;CHAR(10)&amp;IF(Checks!$I$499="","",Checks!$I$499&amp;": ")&amp;Checks!$J$499</f>
        <v>F15-T12-09
Seat Linen: Seat pillow (EY) - prepared</v>
      </c>
      <c r="B43" s="114" t="str">
        <f aca="false">Checks!$K$499&amp;IF(Checks!$O$499="","",IF(Checks!$K$499="","",CHAR(10))&amp;"Note: "&amp;Checks!$O$499)</f>
        <v>Available 100% (ticked in reference)
Note: Reference gives no uplift stn for this item: preparation checked at the meal uplift stn (LHR) - confirm with caterer.</v>
      </c>
      <c r="C43" s="114" t="str">
        <f aca="false">Checks!$N$499&amp;CHAR(10)&amp;IF(ISNUMBER(Checks!$R$499),TEXT(Checks!$R$499,"DD-MMM-YY HH:MM"),"")&amp;" "&amp;Checks!$P$499</f>
        <v>Required
25-Oct-26 00:00 LHR</v>
      </c>
      <c r="D43" s="114" t="str">
        <f aca="false">IF(Checks!$U$499="","",Checks!$U$499)&amp;IF(Checks!$AB$499="","",CHAR(10)&amp;"CA: "&amp;Checks!$AB$499)</f>
        <v/>
      </c>
      <c r="E43" s="114" t="str">
        <f aca="false">IF(Checks!$V$499="","",Checks!$V$499)&amp;IF(Checks!$AC$499="","",IF(Checks!$V$499="","",CHAR(10))&amp;"N/A just.: "&amp;Checks!$AC$499)&amp;IF(Checks!$W$499="","",CHAR(10)&amp;"Batch: "&amp;Checks!$W$499)&amp;IF(AND(Checks!$X$499="",Checks!$Y$499=""),"",CHAR(10)&amp;"Exp: "&amp;Checks!$X$499&amp;"  /  Act: "&amp;Checks!$Y$499)</f>
        <v/>
      </c>
      <c r="F43" s="114" t="str">
        <f aca="false">IF(Checks!$Z$499="","","Evidence: "&amp;Checks!$Z$499)&amp;IF(Checks!$AA$499="","",IF(Checks!$Z$499="","",CHAR(10))&amp;"CA: "&amp;Checks!$AA$499)</f>
        <v/>
      </c>
      <c r="G43" s="114" t="str">
        <f aca="false">IF(ISNUMBER(Checks!$AD$499),TEXT(Checks!$AD$499,"DD-MMM-YY HH:MM")&amp;" "&amp;Checks!$P$499,"")&amp;IF(Checks!$AE$499="","",CHAR(10)&amp;"Verifier: "&amp;Checks!$AE$499)&amp;IF(Checks!$T$499="","",CHAR(10)&amp;"PIC: "&amp;Checks!$T$499)</f>
        <v/>
      </c>
      <c r="H43" s="115" t="str">
        <f aca="false">IF(Checks!$AH$499="","",Checks!$AH$499)</f>
        <v>OPEN</v>
      </c>
    </row>
    <row r="44" customFormat="false" ht="246" hidden="false" customHeight="true" outlineLevel="0" collapsed="false">
      <c r="A44" s="114" t="str">
        <f aca="false">Checks!$A$500&amp;CHAR(10)&amp;IF(Checks!$I$500="","",Checks!$I$500&amp;": ")&amp;Checks!$J$500</f>
        <v>F15-T12-10
Seat Linen: Blanket (EY) - prepared</v>
      </c>
      <c r="B44" s="114" t="str">
        <f aca="false">SUBSTITUTE(Checks!$K$500&amp;IF(Checks!$O$500="","",IF(Checks!$K$500="","",CHAR(10))&amp;"Note: "&amp;Checks!$O$500),"SEAT LINEN!","Ref: SEAT LINEN!")</f>
        <v>Available 100% (ticked in reference); qty 280 (A350 9M-MAH) / 260 (A359) - per tail
Note: EY blanket: flight above 3 hours excl. Regional (Ref: SEAT LINEN!B74:C74); block 11.75 h. Qty per tail: A350 280 pcs (Ref: SEAT LINEN!B76:C76), A359 260 pcs (Ref: SEAT LINEN!B77:C77). Reference gives no uplift stn for this item: preparation checked at the meal uplift stn (LHR) - confirm with caterer.</v>
      </c>
      <c r="C44" s="114" t="str">
        <f aca="false">Checks!$N$500&amp;CHAR(10)&amp;IF(ISNUMBER(Checks!$R$500),TEXT(Checks!$R$500,"DD-MMM-YY HH:MM"),"")&amp;" "&amp;Checks!$P$500</f>
        <v>Required
25-Oct-26 00:00 LHR</v>
      </c>
      <c r="D44" s="114" t="str">
        <f aca="false">IF(Checks!$U$500="","",Checks!$U$500)&amp;IF(Checks!$AB$500="","",CHAR(10)&amp;"CA: "&amp;Checks!$AB$500)</f>
        <v/>
      </c>
      <c r="E44" s="114" t="str">
        <f aca="false">IF(Checks!$V$500="","",Checks!$V$500)&amp;IF(Checks!$AC$500="","",IF(Checks!$V$500="","",CHAR(10))&amp;"N/A just.: "&amp;Checks!$AC$500)&amp;IF(Checks!$W$500="","",CHAR(10)&amp;"Batch: "&amp;Checks!$W$500)&amp;IF(AND(Checks!$X$500="",Checks!$Y$500=""),"",CHAR(10)&amp;"Exp: "&amp;Checks!$X$500&amp;"  /  Act: "&amp;Checks!$Y$500)</f>
        <v/>
      </c>
      <c r="F44" s="114" t="str">
        <f aca="false">IF(Checks!$Z$500="","","Evidence: "&amp;Checks!$Z$500)&amp;IF(Checks!$AA$500="","",IF(Checks!$Z$500="","",CHAR(10))&amp;"CA: "&amp;Checks!$AA$500)</f>
        <v/>
      </c>
      <c r="G44" s="114" t="str">
        <f aca="false">IF(ISNUMBER(Checks!$AD$500),TEXT(Checks!$AD$500,"DD-MMM-YY HH:MM")&amp;" "&amp;Checks!$P$500,"")&amp;IF(Checks!$AE$500="","",CHAR(10)&amp;"Verifier: "&amp;Checks!$AE$500)&amp;IF(Checks!$T$500="","",CHAR(10)&amp;"PIC: "&amp;Checks!$T$500)</f>
        <v/>
      </c>
      <c r="H44" s="115" t="str">
        <f aca="false">IF(Checks!$AH$500="","",Checks!$AH$500)</f>
        <v>OPEN</v>
      </c>
    </row>
    <row r="45" customFormat="false" ht="25.5" hidden="false" customHeight="true" outlineLevel="0" collapsed="false">
      <c r="A45" s="113" t="str">
        <f aca="false">"UPLIFT — Physical uplift – on-board confirmation before departure  |  Due "&amp;"STD "&amp;IF(ISNUMBER(Flights!$I$19),TEXT(Flights!$I$19,"DD-MMM-YY HH:MM"),"")&amp;" "&amp;Flights!$G$19&amp;" (departure stn)"&amp;" (rows with another due show their own)  |  Complete "&amp;IF(ISNUMBER(Flights!$AM$19),TEXT(Flights!$AM$19,"0%"),Flights!$AM$19)&amp;"  |  5 lines"</f>
        <v>UPLIFT — Physical uplift – on-board confirmation before departure  |  Due STD 25-Oct-26 11:00 LHR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Checks!$A$501&amp;CHAR(10)&amp;IF(Checks!$I$501="","",Checks!$I$501&amp;": ")&amp;Checks!$J$501</f>
        <v>F15-UPL-01
Meal: Meals physically uplifted on board - quantity vs menu checklist</v>
      </c>
      <c r="B46" s="114" t="str">
        <f aca="false">Checks!$K$501&amp;IF(Checks!$O$501="","",IF(Checks!$K$501="","",CHAR(10))&amp;"Note: "&amp;Checks!$O$501)</f>
        <v>Enter expected &amp; actual
Note: Confirm on board before departure; completion time must fall inside the uplift window.</v>
      </c>
      <c r="C46" s="114" t="str">
        <f aca="false">Checks!$N$501&amp;CHAR(10)&amp;IF(ISNUMBER(Checks!$R$501),TEXT(Checks!$R$501,"DD-MMM-YY HH:MM"),"")&amp;" "&amp;Checks!$P$501</f>
        <v>Required
25-Oct-26 11:00 LHR</v>
      </c>
      <c r="D46" s="114" t="str">
        <f aca="false">IF(Checks!$U$501="","",Checks!$U$501)&amp;IF(Checks!$AB$501="","",CHAR(10)&amp;"CA: "&amp;Checks!$AB$501)</f>
        <v/>
      </c>
      <c r="E46" s="114" t="str">
        <f aca="false">IF(Checks!$V$501="","",Checks!$V$501)&amp;IF(Checks!$AC$501="","",IF(Checks!$V$501="","",CHAR(10))&amp;"N/A just.: "&amp;Checks!$AC$501)&amp;IF(Checks!$W$501="","",CHAR(10)&amp;"Batch: "&amp;Checks!$W$501)&amp;IF(AND(Checks!$X$501="",Checks!$Y$501=""),"",CHAR(10)&amp;"Exp: "&amp;Checks!$X$501&amp;"  /  Act: "&amp;Checks!$Y$501)</f>
        <v/>
      </c>
      <c r="F46" s="114" t="str">
        <f aca="false">IF(Checks!$Z$501="","","Evidence: "&amp;Checks!$Z$501)&amp;IF(Checks!$AA$501="","",IF(Checks!$Z$501="","",CHAR(10))&amp;"CA: "&amp;Checks!$AA$501)</f>
        <v/>
      </c>
      <c r="G46" s="114" t="str">
        <f aca="false">IF(ISNUMBER(Checks!$AD$501),TEXT(Checks!$AD$501,"DD-MMM-YY HH:MM")&amp;" "&amp;Checks!$P$501,"")&amp;IF(Checks!$AE$501="","",CHAR(10)&amp;"Verifier: "&amp;Checks!$AE$501)&amp;IF(Checks!$T$501="","",CHAR(10)&amp;"PIC: "&amp;Checks!$T$501)</f>
        <v/>
      </c>
      <c r="H46" s="115" t="str">
        <f aca="false">IF(Checks!$AH$501="","",Checks!$AH$501)</f>
        <v>OPEN</v>
      </c>
    </row>
    <row r="47" customFormat="false" ht="114" hidden="false" customHeight="true" outlineLevel="0" collapsed="false">
      <c r="A47" s="114" t="str">
        <f aca="false">Checks!$A$502&amp;CHAR(10)&amp;IF(Checks!$I$502="","",Checks!$I$502&amp;": ")&amp;Checks!$J$502</f>
        <v>F15-UPL-02
Equipment: Equipment physically loaded at GLD positions - quantity &amp; positions</v>
      </c>
      <c r="B47" s="114" t="str">
        <f aca="false">Checks!$K$502&amp;IF(Checks!$O$502="","",IF(Checks!$K$502="","",CHAR(10))&amp;"Note: "&amp;Checks!$O$502)</f>
        <v>Enter expected &amp; actual
Note: Confirm on board before departure; completion time must fall inside the uplift window.</v>
      </c>
      <c r="C47" s="114" t="str">
        <f aca="false">Checks!$N$502&amp;CHAR(10)&amp;IF(ISNUMBER(Checks!$R$502),TEXT(Checks!$R$502,"DD-MMM-YY HH:MM"),"")&amp;" "&amp;Checks!$P$502</f>
        <v>Required
25-Oct-26 11:00 LHR</v>
      </c>
      <c r="D47" s="114" t="str">
        <f aca="false">IF(Checks!$U$502="","",Checks!$U$502)&amp;IF(Checks!$AB$502="","",CHAR(10)&amp;"CA: "&amp;Checks!$AB$502)</f>
        <v/>
      </c>
      <c r="E47" s="114" t="str">
        <f aca="false">IF(Checks!$V$502="","",Checks!$V$502)&amp;IF(Checks!$AC$502="","",IF(Checks!$V$502="","",CHAR(10))&amp;"N/A just.: "&amp;Checks!$AC$502)&amp;IF(Checks!$W$502="","",CHAR(10)&amp;"Batch: "&amp;Checks!$W$502)&amp;IF(AND(Checks!$X$502="",Checks!$Y$502=""),"",CHAR(10)&amp;"Exp: "&amp;Checks!$X$502&amp;"  /  Act: "&amp;Checks!$Y$502)</f>
        <v/>
      </c>
      <c r="F47" s="114" t="str">
        <f aca="false">IF(Checks!$Z$502="","","Evidence: "&amp;Checks!$Z$502)&amp;IF(Checks!$AA$502="","",IF(Checks!$Z$502="","",CHAR(10))&amp;"CA: "&amp;Checks!$AA$502)</f>
        <v/>
      </c>
      <c r="G47" s="114" t="str">
        <f aca="false">IF(ISNUMBER(Checks!$AD$502),TEXT(Checks!$AD$502,"DD-MMM-YY HH:MM")&amp;" "&amp;Checks!$P$502,"")&amp;IF(Checks!$AE$502="","",CHAR(10)&amp;"Verifier: "&amp;Checks!$AE$502)&amp;IF(Checks!$T$502="","",CHAR(10)&amp;"PIC: "&amp;Checks!$T$502)</f>
        <v/>
      </c>
      <c r="H47" s="115" t="str">
        <f aca="false">IF(Checks!$AH$502="","",Checks!$AH$502)</f>
        <v>OPEN</v>
      </c>
    </row>
    <row r="48" customFormat="false" ht="135.75" hidden="false" customHeight="true" outlineLevel="0" collapsed="false">
      <c r="A48" s="114" t="str">
        <f aca="false">Checks!$A$503&amp;CHAR(10)&amp;IF(Checks!$I$503="","",Checks!$I$503&amp;": ")&amp;Checks!$J$503</f>
        <v>F15-UPL-03
Amenities: Toiletry kits - on board</v>
      </c>
      <c r="B48" s="114" t="str">
        <f aca="false">Checks!$K$503&amp;IF(Checks!$O$503="","",IF(Checks!$K$503="","",CHAR(10))&amp;"Note: "&amp;Checks!$O$503)</f>
        <v>Available for sector (ticked in reference)
Note: Reference does not state the cabin class for toiletry kits. Confirm whether EY receives them; if not, mark N/A with the confirmation as justification.</v>
      </c>
      <c r="C48" s="114" t="str">
        <f aca="false">Checks!$N$503&amp;CHAR(10)&amp;IF(ISNUMBER(Checks!$R$503),TEXT(Checks!$R$503,"DD-MMM-YY HH:MM"),"")&amp;" "&amp;Checks!$P$503</f>
        <v>Clarification required
25-Oct-26 11:00 LHR</v>
      </c>
      <c r="D48" s="114" t="str">
        <f aca="false">IF(Checks!$U$503="","",Checks!$U$503)&amp;IF(Checks!$AB$503="","",CHAR(10)&amp;"CA: "&amp;Checks!$AB$503)</f>
        <v/>
      </c>
      <c r="E48" s="114" t="str">
        <f aca="false">IF(Checks!$V$503="","",Checks!$V$503)&amp;IF(Checks!$AC$503="","",IF(Checks!$V$503="","",CHAR(10))&amp;"N/A just.: "&amp;Checks!$AC$503)&amp;IF(Checks!$W$503="","",CHAR(10)&amp;"Batch: "&amp;Checks!$W$503)&amp;IF(AND(Checks!$X$503="",Checks!$Y$503=""),"",CHAR(10)&amp;"Exp: "&amp;Checks!$X$503&amp;"  /  Act: "&amp;Checks!$Y$503)</f>
        <v/>
      </c>
      <c r="F48" s="114" t="str">
        <f aca="false">IF(Checks!$Z$503="","","Evidence: "&amp;Checks!$Z$503)&amp;IF(Checks!$AA$503="","",IF(Checks!$Z$503="","",CHAR(10))&amp;"CA: "&amp;Checks!$AA$503)</f>
        <v/>
      </c>
      <c r="G48" s="114" t="str">
        <f aca="false">IF(ISNUMBER(Checks!$AD$503),TEXT(Checks!$AD$503,"DD-MMM-YY HH:MM")&amp;" "&amp;Checks!$P$503,"")&amp;IF(Checks!$AE$503="","",CHAR(10)&amp;"Verifier: "&amp;Checks!$AE$503)&amp;IF(Checks!$T$503="","",CHAR(10)&amp;"PIC: "&amp;Checks!$T$503)</f>
        <v/>
      </c>
      <c r="H48" s="115" t="str">
        <f aca="false">IF(Checks!$AH$503="","",Checks!$AH$503)</f>
        <v>OPEN – CLARIFICATION</v>
      </c>
    </row>
    <row r="49" customFormat="false" ht="114" hidden="false" customHeight="true" outlineLevel="0" collapsed="false">
      <c r="A49" s="114" t="str">
        <f aca="false">Checks!$A$504&amp;CHAR(10)&amp;IF(Checks!$I$504="","",Checks!$I$504&amp;": ")&amp;Checks!$J$504</f>
        <v>F15-UPL-04
Seat Linen: Seat pillow (EY) - on board</v>
      </c>
      <c r="B49" s="114" t="str">
        <f aca="false">Checks!$K$504&amp;IF(Checks!$O$504="","",IF(Checks!$K$504="","",CHAR(10))&amp;"Note: "&amp;Checks!$O$504)</f>
        <v>Available 100% (ticked in reference)</v>
      </c>
      <c r="C49" s="114" t="str">
        <f aca="false">Checks!$N$504&amp;CHAR(10)&amp;IF(ISNUMBER(Checks!$R$504),TEXT(Checks!$R$504,"DD-MMM-YY HH:MM"),"")&amp;" "&amp;Checks!$P$504</f>
        <v>Required
25-Oct-26 11:00 LHR</v>
      </c>
      <c r="D49" s="114" t="str">
        <f aca="false">IF(Checks!$U$504="","",Checks!$U$504)&amp;IF(Checks!$AB$504="","",CHAR(10)&amp;"CA: "&amp;Checks!$AB$504)</f>
        <v/>
      </c>
      <c r="E49" s="114" t="str">
        <f aca="false">IF(Checks!$V$504="","",Checks!$V$504)&amp;IF(Checks!$AC$504="","",IF(Checks!$V$504="","",CHAR(10))&amp;"N/A just.: "&amp;Checks!$AC$504)&amp;IF(Checks!$W$504="","",CHAR(10)&amp;"Batch: "&amp;Checks!$W$504)&amp;IF(AND(Checks!$X$504="",Checks!$Y$504=""),"",CHAR(10)&amp;"Exp: "&amp;Checks!$X$504&amp;"  /  Act: "&amp;Checks!$Y$504)</f>
        <v/>
      </c>
      <c r="F49" s="114" t="str">
        <f aca="false">IF(Checks!$Z$504="","","Evidence: "&amp;Checks!$Z$504)&amp;IF(Checks!$AA$504="","",IF(Checks!$Z$504="","",CHAR(10))&amp;"CA: "&amp;Checks!$AA$504)</f>
        <v/>
      </c>
      <c r="G49" s="114" t="str">
        <f aca="false">IF(ISNUMBER(Checks!$AD$504),TEXT(Checks!$AD$504,"DD-MMM-YY HH:MM")&amp;" "&amp;Checks!$P$504,"")&amp;IF(Checks!$AE$504="","",CHAR(10)&amp;"Verifier: "&amp;Checks!$AE$504)&amp;IF(Checks!$T$504="","",CHAR(10)&amp;"PIC: "&amp;Checks!$T$504)</f>
        <v/>
      </c>
      <c r="H49" s="115" t="str">
        <f aca="false">IF(Checks!$AH$504="","",Checks!$AH$504)</f>
        <v>OPEN</v>
      </c>
    </row>
    <row r="50" customFormat="false" ht="168.75" hidden="false" customHeight="true" outlineLevel="0" collapsed="false">
      <c r="A50" s="114" t="str">
        <f aca="false">Checks!$A$505&amp;CHAR(10)&amp;IF(Checks!$I$505="","",Checks!$I$505&amp;": ")&amp;Checks!$J$505</f>
        <v>F15-UPL-05
Seat Linen: Blanket (EY) - on board</v>
      </c>
      <c r="B50" s="114" t="str">
        <f aca="false">SUBSTITUTE(Checks!$K$505&amp;IF(Checks!$O$505="","",IF(Checks!$K$505="","",CHAR(10))&amp;"Note: "&amp;Checks!$O$505),"SEAT LINEN!","Ref: SEAT LINEN!")</f>
        <v>Available 100% (ticked in reference); qty 280 (A350 9M-MAH) / 260 (A359) - per tail
Note: EY blanket: flight above 3 hours excl. Regional (Ref: SEAT LINEN!B74:C74); block 11.75 h. Qty per tail: A350 280 pcs (Ref: SEAT LINEN!B76:C76), A359 260 pcs (Ref: SEAT LINEN!B77:C77).</v>
      </c>
      <c r="C50" s="114" t="str">
        <f aca="false">Checks!$N$505&amp;CHAR(10)&amp;IF(ISNUMBER(Checks!$R$505),TEXT(Checks!$R$505,"DD-MMM-YY HH:MM"),"")&amp;" "&amp;Checks!$P$505</f>
        <v>Required
25-Oct-26 11:00 LHR</v>
      </c>
      <c r="D50" s="114" t="str">
        <f aca="false">IF(Checks!$U$505="","",Checks!$U$505)&amp;IF(Checks!$AB$505="","",CHAR(10)&amp;"CA: "&amp;Checks!$AB$505)</f>
        <v/>
      </c>
      <c r="E50" s="114" t="str">
        <f aca="false">IF(Checks!$V$505="","",Checks!$V$505)&amp;IF(Checks!$AC$505="","",IF(Checks!$V$505="","",CHAR(10))&amp;"N/A just.: "&amp;Checks!$AC$505)&amp;IF(Checks!$W$505="","",CHAR(10)&amp;"Batch: "&amp;Checks!$W$505)&amp;IF(AND(Checks!$X$505="",Checks!$Y$505=""),"",CHAR(10)&amp;"Exp: "&amp;Checks!$X$505&amp;"  /  Act: "&amp;Checks!$Y$505)</f>
        <v/>
      </c>
      <c r="F50" s="114" t="str">
        <f aca="false">IF(Checks!$Z$505="","","Evidence: "&amp;Checks!$Z$505)&amp;IF(Checks!$AA$505="","",IF(Checks!$Z$505="","",CHAR(10))&amp;"CA: "&amp;Checks!$AA$505)</f>
        <v/>
      </c>
      <c r="G50" s="114" t="str">
        <f aca="false">IF(ISNUMBER(Checks!$AD$505),TEXT(Checks!$AD$505,"DD-MMM-YY HH:MM")&amp;" "&amp;Checks!$P$505,"")&amp;IF(Checks!$AE$505="","",CHAR(10)&amp;"Verifier: "&amp;Checks!$AE$505)&amp;IF(Checks!$T$505="","",CHAR(10)&amp;"PIC: "&amp;Checks!$T$505)</f>
        <v/>
      </c>
      <c r="H50" s="115" t="str">
        <f aca="false">IF(Checks!$AH$505="","",Checks!$AH$505)</f>
        <v>OPEN</v>
      </c>
    </row>
    <row r="52" customFormat="false" ht="24" hidden="false" customHeight="true" outlineLevel="0" collapsed="false">
      <c r="A52" s="116" t="s">
        <v>1737</v>
      </c>
      <c r="B52" s="116"/>
      <c r="C52" s="116"/>
      <c r="D52" s="116"/>
      <c r="E52" s="116" t="s">
        <v>1738</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F15 MH0003 25-Oct-26 LHR-KUL Class EY</oddHeader>
    <oddFooter>&amp;L&amp;"Arial,Bold"&amp;8 F15 MH0003 25-Oct-26 LHR-KUL Class EY&amp;C&amp;"Arial,Regular"&amp;8 Printed: ____________________&amp;R&amp;"Arial,Regular"&amp;8 F15  Page &amp;P of &amp;N</oddFooter>
  </headerFooter>
  <rowBreaks count="9" manualBreakCount="9">
    <brk id="20" man="true" max="16383" min="0"/>
    <brk id="25" man="true" max="16383" min="0"/>
    <brk id="29" man="true" max="16383" min="0"/>
    <brk id="33" man="true" max="16383" min="0"/>
    <brk id="37" man="true" max="16383" min="0"/>
    <brk id="39" man="true" max="16383" min="0"/>
    <brk id="41" man="true" max="16383" min="0"/>
    <brk id="44" man="true" max="16383" min="0"/>
    <brk id="48" man="true" max="16383" min="0"/>
  </rowBreaks>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F16  "&amp;Flights!$F$20&amp;"  "&amp;TEXT(Flights!$D$20,"DD-MMM-YY")&amp;" ("&amp;Flights!$E$20&amp;")  "&amp;Flights!$G$20&amp;" → "&amp;Flights!$H$20&amp;"  |  Class "&amp;Flights!$K$20</f>
        <v>SKYTRAX 2026 CATERING READINESS CHECKLIST  |  F16  MH0072  26-Oct-26 (MON)  KUL → HKG  |  Class EY</v>
      </c>
      <c r="B1" s="92"/>
      <c r="C1" s="92"/>
      <c r="D1" s="92"/>
      <c r="E1" s="92"/>
      <c r="F1" s="92"/>
      <c r="G1" s="92"/>
      <c r="H1" s="92"/>
    </row>
    <row r="2" customFormat="false" ht="12.75" hidden="false" customHeight="true" outlineLevel="0" collapsed="false">
      <c r="A2" s="93" t="s">
        <v>1692</v>
      </c>
      <c r="B2" s="94" t="str">
        <f aca="false">Flights!$F$20&amp;"   "&amp;TEXT(Flights!$D$20,"DD-MMM-YY")&amp;" ("&amp;Flights!$E$20&amp;")"</f>
        <v>MH0072   26-Oct-26 (MON)</v>
      </c>
      <c r="C2" s="94"/>
      <c r="D2" s="94"/>
      <c r="E2" s="95" t="s">
        <v>1693</v>
      </c>
      <c r="F2" s="96" t="str">
        <f aca="false">Flights!$AT$20</f>
        <v>NOT READY – DOCUMENTS</v>
      </c>
      <c r="G2" s="96"/>
      <c r="H2" s="96"/>
    </row>
    <row r="3" customFormat="false" ht="24" hidden="false" customHeight="true" outlineLevel="0" collapsed="false">
      <c r="A3" s="93" t="s">
        <v>1694</v>
      </c>
      <c r="B3" s="94" t="str">
        <f aca="false">Flights!$G$20&amp;" → "&amp;Flights!$H$20&amp;"   Class "&amp;Flights!$K$20&amp;"   Seat "&amp;Flights!$O$20</f>
        <v>KUL → HKG   Class EY   Seat 4C</v>
      </c>
      <c r="C3" s="94"/>
      <c r="D3" s="94"/>
      <c r="E3" s="95" t="s">
        <v>71</v>
      </c>
      <c r="F3" s="95" t="s">
        <v>1695</v>
      </c>
      <c r="G3" s="95" t="s">
        <v>1696</v>
      </c>
      <c r="H3" s="95"/>
    </row>
    <row r="4" customFormat="false" ht="24" hidden="false" customHeight="true" outlineLevel="0" collapsed="false">
      <c r="A4" s="93" t="s">
        <v>1697</v>
      </c>
      <c r="B4" s="94" t="str">
        <f aca="false">IF(ISNUMBER(Flights!$I$20),TEXT(Flights!$I$20,"DD-MMM-YY HH:MM"),"")&amp;" "&amp;Flights!$G$20&amp;"  →  "&amp;IF(ISNUMBER(Flights!$J$20),TEXT(Flights!$J$20,"DD-MMM-YY HH:MM"),"")&amp;" "&amp;Flights!$H$20</f>
        <v>26-Oct-26 09:10 KUL  →  26-Oct-26 13:15 HKG</v>
      </c>
      <c r="C4" s="94"/>
      <c r="D4" s="94"/>
      <c r="E4" s="93" t="s">
        <v>1698</v>
      </c>
      <c r="F4" s="97" t="str">
        <f aca="false">IF(ISNUMBER(Flights!$AG$20),TEXT(Flights!$AG$20,"DD-MMM-YY HH:MM"),"")&amp;" "&amp;Flights!$V$20</f>
        <v>19-Oct-26 09:10 KUL</v>
      </c>
      <c r="G4" s="98" t="n">
        <f aca="false">Flights!$AJ$20</f>
        <v>0</v>
      </c>
      <c r="H4" s="98"/>
    </row>
    <row r="5" customFormat="false" ht="24" hidden="false" customHeight="true" outlineLevel="0" collapsed="false">
      <c r="A5" s="93" t="s">
        <v>1699</v>
      </c>
      <c r="B5" s="94" t="str">
        <f aca="false">Flights!$L$20&amp;" – "&amp;Flights!$M$20</f>
        <v>B738MAX – B737-8 (B7M8)</v>
      </c>
      <c r="C5" s="94"/>
      <c r="D5" s="94"/>
      <c r="E5" s="93" t="s">
        <v>1700</v>
      </c>
      <c r="F5" s="97" t="str">
        <f aca="false">IF(ISNUMBER(Flights!$AH$20),TEXT(Flights!$AH$20,"DD-MMM-YY HH:MM"),"")&amp;" "&amp;Flights!$V$20</f>
        <v>25-Oct-26 09:10 KUL</v>
      </c>
      <c r="G5" s="98" t="n">
        <f aca="false">Flights!$AK$20</f>
        <v>0</v>
      </c>
      <c r="H5" s="98"/>
    </row>
    <row r="6" customFormat="false" ht="24" hidden="false" customHeight="true" outlineLevel="0" collapsed="false">
      <c r="A6" s="93" t="s">
        <v>1701</v>
      </c>
      <c r="B6" s="94" t="str">
        <f aca="false">IF(TRIM(Flights!$N$20)="","__________________",Flights!$N$20)</f>
        <v>__________________</v>
      </c>
      <c r="C6" s="94"/>
      <c r="D6" s="94"/>
      <c r="E6" s="93" t="s">
        <v>1702</v>
      </c>
      <c r="F6" s="97" t="str">
        <f aca="false">IF(ISNUMBER(Flights!$AI$20),TEXT(Flights!$AI$20,"DD-MMM-YY HH:MM"),"")&amp;" "&amp;Flights!$V$20&amp;IF(Flights!$AI$20=Flights!$AH$20,"  (= T-24H due)","")</f>
        <v>25-Oct-26 21:10 KUL</v>
      </c>
      <c r="G6" s="98" t="n">
        <f aca="false">Flights!$AL$20</f>
        <v>0</v>
      </c>
      <c r="H6" s="98"/>
    </row>
    <row r="7" customFormat="false" ht="24" hidden="false" customHeight="true" outlineLevel="0" collapsed="false">
      <c r="A7" s="93" t="s">
        <v>1703</v>
      </c>
      <c r="B7" s="94" t="str">
        <f aca="false">Flights!$T$20</f>
        <v>1 Meal + DAT(Noodles Svc) (Meal)</v>
      </c>
      <c r="C7" s="94"/>
      <c r="D7" s="94"/>
      <c r="E7" s="93" t="s">
        <v>1704</v>
      </c>
      <c r="F7" s="97" t="str">
        <f aca="false">"STD "&amp;IF(ISNUMBER(Flights!$I$20),TEXT(Flights!$I$20,"DD-MMM-YY HH:MM"),"")&amp;" "&amp;Flights!$G$20&amp;" (dep stn)"</f>
        <v>STD 26-Oct-26 09:10 KUL (dep stn)</v>
      </c>
      <c r="G7" s="98" t="n">
        <f aca="false">Flights!$AM$20</f>
        <v>0</v>
      </c>
      <c r="H7" s="98"/>
    </row>
    <row r="8" customFormat="false" ht="12.75" hidden="false" customHeight="true" outlineLevel="0" collapsed="false">
      <c r="A8" s="93" t="s">
        <v>153</v>
      </c>
      <c r="B8" s="94" t="str">
        <f aca="false">Flights!$V$20&amp;"   (reference uplift stns: "&amp;Flights!$U$20&amp;")"</f>
        <v>KUL   (reference uplift stns: KUL/HKG)</v>
      </c>
      <c r="C8" s="94"/>
      <c r="D8" s="94"/>
      <c r="E8" s="93" t="s">
        <v>1705</v>
      </c>
      <c r="F8" s="99" t="s">
        <v>1706</v>
      </c>
      <c r="G8" s="98" t="n">
        <f aca="false">Flights!$AN$20</f>
        <v>0</v>
      </c>
      <c r="H8" s="98"/>
    </row>
    <row r="9" customFormat="false" ht="12.75" hidden="false" customHeight="true" outlineLevel="0" collapsed="false">
      <c r="A9" s="93" t="s">
        <v>1707</v>
      </c>
      <c r="B9" s="94" t="str">
        <f aca="false">TRIM(Flights!$P$20&amp;"  "&amp;Flights!$Q$20)</f>
        <v>2H 25M Overnight HKG</v>
      </c>
      <c r="C9" s="94"/>
      <c r="D9" s="94"/>
      <c r="E9" s="93" t="s">
        <v>1708</v>
      </c>
      <c r="F9" s="100" t="n">
        <f aca="false">Flights!$AP$20</f>
        <v>0</v>
      </c>
      <c r="G9" s="100" t="n">
        <f aca="false">Flights!$AQ$20</f>
        <v>0</v>
      </c>
      <c r="H9" s="100" t="n">
        <f aca="false">Flights!$AU$20</f>
        <v>0</v>
      </c>
    </row>
    <row r="10" customFormat="false" ht="24" hidden="false" customHeight="true" outlineLevel="0" collapsed="false">
      <c r="A10" s="93" t="s">
        <v>1709</v>
      </c>
      <c r="B10" s="94" t="str">
        <f aca="false">IF(TRIM(Flights!$X$20)="","__________________",Flights!$X$20)</f>
        <v>__________________</v>
      </c>
      <c r="C10" s="94"/>
      <c r="D10" s="94"/>
      <c r="E10" s="93" t="s">
        <v>1710</v>
      </c>
      <c r="F10" s="100" t="n">
        <f aca="false">Flights!$AO$20</f>
        <v>24</v>
      </c>
      <c r="G10" s="100" t="n">
        <f aca="false">Flights!$AS$20</f>
        <v>1</v>
      </c>
      <c r="H10" s="100" t="n">
        <f aca="false">Flights!$AR$20</f>
        <v>2</v>
      </c>
    </row>
    <row r="11" customFormat="false" ht="21" hidden="false" customHeight="true" outlineLevel="0" collapsed="false">
      <c r="A11" s="93" t="s">
        <v>1711</v>
      </c>
      <c r="B11" s="94" t="str">
        <f aca="false">IF(TRIM(Flights!$Y$20)="","__________________",Flights!$Y$20)</f>
        <v>__________________</v>
      </c>
      <c r="C11" s="94"/>
      <c r="D11" s="94"/>
      <c r="E11" s="93" t="s">
        <v>1712</v>
      </c>
      <c r="F11" s="100" t="str">
        <f aca="false">Flights!$AV$20&amp;" / "&amp;Flights!$AW$20</f>
        <v>0 / 24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IF(Documents!$F$20="","",Documents!$F$20)</f>
        <v/>
      </c>
      <c r="C14" s="99" t="str">
        <f aca="false">IF(Documents!$G$20="","",Documents!$G$20)&amp;IF(ISNUMBER(Documents!$H$20),"  "&amp;TEXT(Documents!$H$20,"DD-MMM-YY"),"")</f>
        <v/>
      </c>
      <c r="D14" s="99"/>
      <c r="E14" s="107" t="str">
        <f aca="false">IF(Documents!$J$20="OUTSTANDING","OUTSTANDING – attach before T-7D (due "&amp;IF(ISNUMBER(Flights!$AG$20),TEXT(Flights!$AG$20,"DD-MMM-YY HH:MM"),"")&amp;" "&amp;Flights!$V$20&amp;")",IF(Documents!$J$20="","Status not recorded",Documents!$J$20))</f>
        <v>OUTSTANDING – attach before T-7D (due 19-Oct-26 09:10 KUL)</v>
      </c>
      <c r="F14" s="108" t="str">
        <f aca="false">"Staple behind this sheet as page A1."&amp;IF(Documents!$I$20="",""," Location: "&amp;Documents!$I$20)</f>
        <v>Staple behind this sheet as page A1.</v>
      </c>
      <c r="G14" s="108"/>
      <c r="H14" s="108"/>
    </row>
    <row r="15" customFormat="false" ht="36" hidden="false" customHeight="true" outlineLevel="0" collapsed="false">
      <c r="A15" s="93" t="s">
        <v>1723</v>
      </c>
      <c r="B15" s="94" t="str">
        <f aca="false">IF(Documents!$K$20="","",Documents!$K$20)</f>
        <v/>
      </c>
      <c r="C15" s="99" t="str">
        <f aca="false">IF(Documents!$L$20="","",Documents!$L$20)&amp;IF(ISNUMBER(Documents!$M$20),"  "&amp;TEXT(Documents!$M$20,"DD-MMM-YY"),"")</f>
        <v/>
      </c>
      <c r="D15" s="99"/>
      <c r="E15" s="107" t="str">
        <f aca="false">IF(Documents!$O$20="OUTSTANDING","OUTSTANDING – attach before T-7D (due "&amp;IF(ISNUMBER(Flights!$AG$20),TEXT(Flights!$AG$20,"DD-MMM-YY HH:MM"),"")&amp;" "&amp;Flights!$V$20&amp;")",IF(Documents!$O$20="","Status not recorded",Documents!$O$20))</f>
        <v>OUTSTANDING – attach before T-7D (due 19-Oct-26 09:10 KUL)</v>
      </c>
      <c r="F15" s="108" t="str">
        <f aca="false">"Staple behind this sheet as page A2."&amp;IF(Documents!$N$20="",""," Location: "&amp;Documents!$N$20)</f>
        <v>Staple behind this sheet as page A2.</v>
      </c>
      <c r="G15" s="108"/>
      <c r="H15" s="108"/>
    </row>
    <row r="16" customFormat="false" ht="22.5" hidden="false" customHeight="true" outlineLevel="0" collapsed="false">
      <c r="A16" s="93" t="s">
        <v>1724</v>
      </c>
      <c r="B16" s="109" t="str">
        <f aca="false">IF(Documents!$Q$20="","",Documents!$Q$20)</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"&amp;IF(TRIM(Flights!$Y$20)="","__________________",Flights!$Y$20)</f>
        <v>Name: __________________</v>
      </c>
      <c r="B18" s="94"/>
      <c r="C18" s="94" t="str">
        <f aca="false">"Name: __________________"</f>
        <v>Name: __________________</v>
      </c>
      <c r="D18" s="94"/>
      <c r="E18" s="94"/>
      <c r="F18" s="94" t="str">
        <f aca="false">"Name: __________________"&amp;"   Station: "&amp;Flights!$V$20</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"&amp;IF(ISNUMBER(Flights!$AG$20),TEXT(Flights!$AG$20,"DD-MMM-YY HH:MM"),"")&amp;" "&amp;Flights!$V$20&amp;" (meal uplift stn)"&amp;" (rows with another due show their own)  |  Complete "&amp;IF(ISNUMBER(Flights!$AJ$20),TEXT(Flights!$AJ$20,"0%"),Flights!$AJ$20)&amp;"  |  9 lines"</f>
        <v>T-7D — 7 days before departure  |  Due 19-Oct-26 09:10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Checks!$A$506&amp;CHAR(10)&amp;IF(Checks!$I$506="","",Checks!$I$506&amp;": ")&amp;Checks!$J$506</f>
        <v>F16-T7-01
Meal: Meal sensory testing completed for this flight's menu cycle (assessed class)</v>
      </c>
      <c r="B23" s="114" t="str">
        <f aca="false">Checks!$K$506&amp;IF(Checks!$O$506="","",IF(Checks!$K$506="","",CHAR(10))&amp;"Note: "&amp;Checks!$O$506)</f>
        <v>Record panel result / score in Result</v>
      </c>
      <c r="C23" s="114" t="str">
        <f aca="false">Checks!$N$506&amp;CHAR(10)&amp;IF(ISNUMBER(Checks!$R$506),TEXT(Checks!$R$506,"DD-MMM-YY HH:MM"),"")&amp;" "&amp;Checks!$P$506</f>
        <v>Required
19-Oct-26 09:10 KUL</v>
      </c>
      <c r="D23" s="114" t="str">
        <f aca="false">IF(Checks!$U$506="","",Checks!$U$506)&amp;IF(Checks!$AB$506="","",CHAR(10)&amp;"CA: "&amp;Checks!$AB$506)</f>
        <v/>
      </c>
      <c r="E23" s="114" t="str">
        <f aca="false">IF(Checks!$V$506="","",Checks!$V$506)&amp;IF(Checks!$AC$506="","",IF(Checks!$V$506="","",CHAR(10))&amp;"N/A just.: "&amp;Checks!$AC$506)&amp;IF(Checks!$W$506="","",CHAR(10)&amp;"Batch: "&amp;Checks!$W$506)&amp;IF(AND(Checks!$X$506="",Checks!$Y$506=""),"",CHAR(10)&amp;"Exp: "&amp;Checks!$X$506&amp;"  /  Act: "&amp;Checks!$Y$506)</f>
        <v/>
      </c>
      <c r="F23" s="114" t="str">
        <f aca="false">IF(Checks!$Z$506="","","Evidence: "&amp;Checks!$Z$506)&amp;IF(Checks!$AA$506="","",IF(Checks!$Z$506="","",CHAR(10))&amp;"CA: "&amp;Checks!$AA$506)</f>
        <v/>
      </c>
      <c r="G23" s="114" t="str">
        <f aca="false">IF(ISNUMBER(Checks!$AD$506),TEXT(Checks!$AD$506,"DD-MMM-YY HH:MM")&amp;" "&amp;Checks!$P$506,"")&amp;IF(Checks!$AE$506="","",CHAR(10)&amp;"Verifier: "&amp;Checks!$AE$506)&amp;IF(Checks!$T$506="","",CHAR(10)&amp;"PIC: "&amp;Checks!$T$506)</f>
        <v/>
      </c>
      <c r="H23" s="115" t="str">
        <f aca="false">IF(Checks!$AH$506="","",Checks!$AH$506)</f>
        <v>OPEN</v>
      </c>
    </row>
    <row r="24" customFormat="false" ht="114" hidden="false" customHeight="true" outlineLevel="0" collapsed="false">
      <c r="A24" s="114" t="str">
        <f aca="false">Checks!$A$507&amp;CHAR(10)&amp;IF(Checks!$I$507="","",Checks!$I$507&amp;": ")&amp;Checks!$J$507</f>
        <v>F16-T7-02
Menu: Printed menu cards confirmed (content, cycle, language, quantity)</v>
      </c>
      <c r="B24" s="114" t="str">
        <f aca="false">Checks!$K$507&amp;IF(Checks!$O$507="","",IF(Checks!$K$507="","",CHAR(10))&amp;"Note: "&amp;Checks!$O$507)</f>
        <v>Menu card matches approved menu for this flight</v>
      </c>
      <c r="C24" s="114" t="str">
        <f aca="false">Checks!$N$507&amp;CHAR(10)&amp;IF(ISNUMBER(Checks!$R$507),TEXT(Checks!$R$507,"DD-MMM-YY HH:MM"),"")&amp;" "&amp;Checks!$P$507</f>
        <v>Required
19-Oct-26 09:10 KUL</v>
      </c>
      <c r="D24" s="114" t="str">
        <f aca="false">IF(Checks!$U$507="","",Checks!$U$507)&amp;IF(Checks!$AB$507="","",CHAR(10)&amp;"CA: "&amp;Checks!$AB$507)</f>
        <v/>
      </c>
      <c r="E24" s="114" t="str">
        <f aca="false">IF(Checks!$V$507="","",Checks!$V$507)&amp;IF(Checks!$AC$507="","",IF(Checks!$V$507="","",CHAR(10))&amp;"N/A just.: "&amp;Checks!$AC$507)&amp;IF(Checks!$W$507="","",CHAR(10)&amp;"Batch: "&amp;Checks!$W$507)&amp;IF(AND(Checks!$X$507="",Checks!$Y$507=""),"",CHAR(10)&amp;"Exp: "&amp;Checks!$X$507&amp;"  /  Act: "&amp;Checks!$Y$507)</f>
        <v/>
      </c>
      <c r="F24" s="114" t="str">
        <f aca="false">IF(Checks!$Z$507="","","Evidence: "&amp;Checks!$Z$507)&amp;IF(Checks!$AA$507="","",IF(Checks!$Z$507="","",CHAR(10))&amp;"CA: "&amp;Checks!$AA$507)</f>
        <v/>
      </c>
      <c r="G24" s="114" t="str">
        <f aca="false">IF(ISNUMBER(Checks!$AD$507),TEXT(Checks!$AD$507,"DD-MMM-YY HH:MM")&amp;" "&amp;Checks!$P$507,"")&amp;IF(Checks!$AE$507="","",CHAR(10)&amp;"Verifier: "&amp;Checks!$AE$507)&amp;IF(Checks!$T$507="","",CHAR(10)&amp;"PIC: "&amp;Checks!$T$507)</f>
        <v/>
      </c>
      <c r="H24" s="115" t="str">
        <f aca="false">IF(Checks!$AH$507="","",Checks!$AH$507)</f>
        <v>OPEN</v>
      </c>
    </row>
    <row r="25" customFormat="false" ht="114" hidden="false" customHeight="true" outlineLevel="0" collapsed="false">
      <c r="A25" s="114" t="str">
        <f aca="false">Checks!$A$508&amp;CHAR(10)&amp;IF(Checks!$I$508="","",Checks!$I$508&amp;": ")&amp;Checks!$J$508</f>
        <v>F16-T7-03
IFE: Digital menu in IFE confirmed (A339 only)</v>
      </c>
      <c r="B25" s="114" t="str">
        <f aca="false">Checks!$K$508&amp;IF(Checks!$O$508="","",IF(Checks!$K$508="","",CHAR(10))&amp;"Note: "&amp;Checks!$O$508)</f>
        <v>Applies when fleet = A339
Note: Digital IFE menu applies to A339 only (user brief). Applicability follows the Fleet cell on Flights.</v>
      </c>
      <c r="C25" s="114" t="str">
        <f aca="false">Checks!$N$508&amp;CHAR(10)&amp;IF(ISNUMBER(Checks!$R$508),TEXT(Checks!$R$508,"DD-MMM-YY HH:MM"),"")&amp;" "&amp;Checks!$P$508</f>
        <v>N/A – rule
19-Oct-26 09:10 KUL</v>
      </c>
      <c r="D25" s="114" t="str">
        <f aca="false">IF(Checks!$U$508="","",Checks!$U$508)&amp;IF(Checks!$AB$508="","",CHAR(10)&amp;"CA: "&amp;Checks!$AB$508)</f>
        <v/>
      </c>
      <c r="E25" s="114" t="str">
        <f aca="false">IF(Checks!$V$508="","",Checks!$V$508)&amp;IF(Checks!$AC$508="","",IF(Checks!$V$508="","",CHAR(10))&amp;"N/A just.: "&amp;Checks!$AC$508)&amp;IF(Checks!$W$508="","",CHAR(10)&amp;"Batch: "&amp;Checks!$W$508)&amp;IF(AND(Checks!$X$508="",Checks!$Y$508=""),"",CHAR(10)&amp;"Exp: "&amp;Checks!$X$508&amp;"  /  Act: "&amp;Checks!$Y$508)</f>
        <v/>
      </c>
      <c r="F25" s="114" t="str">
        <f aca="false">IF(Checks!$Z$508="","","Evidence: "&amp;Checks!$Z$508)&amp;IF(Checks!$AA$508="","",IF(Checks!$Z$508="","",CHAR(10))&amp;"CA: "&amp;Checks!$AA$508)</f>
        <v/>
      </c>
      <c r="G25" s="114" t="str">
        <f aca="false">IF(ISNUMBER(Checks!$AD$508),TEXT(Checks!$AD$508,"DD-MMM-YY HH:MM")&amp;" "&amp;Checks!$P$508,"")&amp;IF(Checks!$AE$508="","",CHAR(10)&amp;"Verifier: "&amp;Checks!$AE$508)&amp;IF(Checks!$T$508="","",CHAR(10)&amp;"PIC: "&amp;Checks!$T$508)</f>
        <v/>
      </c>
      <c r="H25" s="115" t="str">
        <f aca="false">IF(Checks!$AH$508="","",Checks!$AH$508)</f>
        <v>N/A – RULE</v>
      </c>
    </row>
    <row r="26" customFormat="false" ht="114" hidden="false" customHeight="true" outlineLevel="0" collapsed="false">
      <c r="A26" s="114" t="str">
        <f aca="false">Checks!$A$509&amp;CHAR(10)&amp;IF(Checks!$I$509="","",Checks!$I$509&amp;": ")&amp;Checks!$J$509</f>
        <v>F16-T7-04
Staffing: Experienced catering officer assigned to this flight</v>
      </c>
      <c r="B26" s="114" t="str">
        <f aca="false">Checks!$K$509&amp;IF(Checks!$O$509="","",IF(Checks!$K$509="","",CHAR(10))&amp;"Note: "&amp;Checks!$O$509)</f>
        <v>Record officer name in Result</v>
      </c>
      <c r="C26" s="114" t="str">
        <f aca="false">Checks!$N$509&amp;CHAR(10)&amp;IF(ISNUMBER(Checks!$R$509),TEXT(Checks!$R$509,"DD-MMM-YY HH:MM"),"")&amp;" "&amp;Checks!$P$509</f>
        <v>Required
19-Oct-26 09:10 KUL</v>
      </c>
      <c r="D26" s="114" t="str">
        <f aca="false">IF(Checks!$U$509="","",Checks!$U$509)&amp;IF(Checks!$AB$509="","",CHAR(10)&amp;"CA: "&amp;Checks!$AB$509)</f>
        <v/>
      </c>
      <c r="E26" s="114" t="str">
        <f aca="false">IF(Checks!$V$509="","",Checks!$V$509)&amp;IF(Checks!$AC$509="","",IF(Checks!$V$509="","",CHAR(10))&amp;"N/A just.: "&amp;Checks!$AC$509)&amp;IF(Checks!$W$509="","",CHAR(10)&amp;"Batch: "&amp;Checks!$W$509)&amp;IF(AND(Checks!$X$509="",Checks!$Y$509=""),"",CHAR(10)&amp;"Exp: "&amp;Checks!$X$509&amp;"  /  Act: "&amp;Checks!$Y$509)</f>
        <v/>
      </c>
      <c r="F26" s="114" t="str">
        <f aca="false">IF(Checks!$Z$509="","","Evidence: "&amp;Checks!$Z$509)&amp;IF(Checks!$AA$509="","",IF(Checks!$Z$509="","",CHAR(10))&amp;"CA: "&amp;Checks!$AA$509)</f>
        <v/>
      </c>
      <c r="G26" s="114" t="str">
        <f aca="false">IF(ISNUMBER(Checks!$AD$509),TEXT(Checks!$AD$509,"DD-MMM-YY HH:MM")&amp;" "&amp;Checks!$P$509,"")&amp;IF(Checks!$AE$509="","",CHAR(10)&amp;"Verifier: "&amp;Checks!$AE$509)&amp;IF(Checks!$T$509="","",CHAR(10)&amp;"PIC: "&amp;Checks!$T$509)</f>
        <v/>
      </c>
      <c r="H26" s="115" t="str">
        <f aca="false">IF(Checks!$AH$509="","",Checks!$AH$509)</f>
        <v>OPEN</v>
      </c>
    </row>
    <row r="27" customFormat="false" ht="114" hidden="false" customHeight="true" outlineLevel="0" collapsed="false">
      <c r="A27" s="114" t="str">
        <f aca="false">Checks!$A$510&amp;CHAR(10)&amp;IF(Checks!$I$510="","",Checks!$I$510&amp;": ")&amp;Checks!$J$510</f>
        <v>F16-T7-05
ISOP: All latest applicable ISOP revisions communicated to caterer</v>
      </c>
      <c r="B27" s="114" t="str">
        <f aca="false">Checks!$K$510&amp;IF(Checks!$O$510="","",IF(Checks!$K$510="","",CHAR(10))&amp;"Note: "&amp;Checks!$O$510)</f>
        <v>List revision numbers in Result (see ISOP register)</v>
      </c>
      <c r="C27" s="114" t="str">
        <f aca="false">Checks!$N$510&amp;CHAR(10)&amp;IF(ISNUMBER(Checks!$R$510),TEXT(Checks!$R$510,"DD-MMM-YY HH:MM"),"")&amp;" "&amp;Checks!$P$510</f>
        <v>Required
19-Oct-26 09:10 KUL</v>
      </c>
      <c r="D27" s="114" t="str">
        <f aca="false">IF(Checks!$U$510="","",Checks!$U$510)&amp;IF(Checks!$AB$510="","",CHAR(10)&amp;"CA: "&amp;Checks!$AB$510)</f>
        <v/>
      </c>
      <c r="E27" s="114" t="str">
        <f aca="false">IF(Checks!$V$510="","",Checks!$V$510)&amp;IF(Checks!$AC$510="","",IF(Checks!$V$510="","",CHAR(10))&amp;"N/A just.: "&amp;Checks!$AC$510)&amp;IF(Checks!$W$510="","",CHAR(10)&amp;"Batch: "&amp;Checks!$W$510)&amp;IF(AND(Checks!$X$510="",Checks!$Y$510=""),"",CHAR(10)&amp;"Exp: "&amp;Checks!$X$510&amp;"  /  Act: "&amp;Checks!$Y$510)</f>
        <v/>
      </c>
      <c r="F27" s="114" t="str">
        <f aca="false">IF(Checks!$Z$510="","","Evidence: "&amp;Checks!$Z$510)&amp;IF(Checks!$AA$510="","",IF(Checks!$Z$510="","",CHAR(10))&amp;"CA: "&amp;Checks!$AA$510)</f>
        <v/>
      </c>
      <c r="G27" s="114" t="str">
        <f aca="false">IF(ISNUMBER(Checks!$AD$510),TEXT(Checks!$AD$510,"DD-MMM-YY HH:MM")&amp;" "&amp;Checks!$P$510,"")&amp;IF(Checks!$AE$510="","",CHAR(10)&amp;"Verifier: "&amp;Checks!$AE$510)&amp;IF(Checks!$T$510="","",CHAR(10)&amp;"PIC: "&amp;Checks!$T$510)</f>
        <v/>
      </c>
      <c r="H27" s="115" t="str">
        <f aca="false">IF(Checks!$AH$510="","",Checks!$AH$510)</f>
        <v>OPEN</v>
      </c>
    </row>
    <row r="28" customFormat="false" ht="114" hidden="false" customHeight="true" outlineLevel="0" collapsed="false">
      <c r="A28" s="114" t="str">
        <f aca="false">Checks!$A$511&amp;CHAR(10)&amp;IF(Checks!$I$511="","",Checks!$I$511&amp;": ")&amp;Checks!$J$511</f>
        <v>F16-T7-06
ISOP: Caterer acknowledgement of ISOP revisions recorded</v>
      </c>
      <c r="B28" s="114" t="str">
        <f aca="false">Checks!$K$511&amp;IF(Checks!$O$511="","",IF(Checks!$K$511="","",CHAR(10))&amp;"Note: "&amp;Checks!$O$511)</f>
        <v>Record acknowledgement ref in Evidence</v>
      </c>
      <c r="C28" s="114" t="str">
        <f aca="false">Checks!$N$511&amp;CHAR(10)&amp;IF(ISNUMBER(Checks!$R$511),TEXT(Checks!$R$511,"DD-MMM-YY HH:MM"),"")&amp;" "&amp;Checks!$P$511</f>
        <v>Required
19-Oct-26 09:10 KUL</v>
      </c>
      <c r="D28" s="114" t="str">
        <f aca="false">IF(Checks!$U$511="","",Checks!$U$511)&amp;IF(Checks!$AB$511="","",CHAR(10)&amp;"CA: "&amp;Checks!$AB$511)</f>
        <v/>
      </c>
      <c r="E28" s="114" t="str">
        <f aca="false">IF(Checks!$V$511="","",Checks!$V$511)&amp;IF(Checks!$AC$511="","",IF(Checks!$V$511="","",CHAR(10))&amp;"N/A just.: "&amp;Checks!$AC$511)&amp;IF(Checks!$W$511="","",CHAR(10)&amp;"Batch: "&amp;Checks!$W$511)&amp;IF(AND(Checks!$X$511="",Checks!$Y$511=""),"",CHAR(10)&amp;"Exp: "&amp;Checks!$X$511&amp;"  /  Act: "&amp;Checks!$Y$511)</f>
        <v/>
      </c>
      <c r="F28" s="114" t="str">
        <f aca="false">IF(Checks!$Z$511="","","Evidence: "&amp;Checks!$Z$511)&amp;IF(Checks!$AA$511="","",IF(Checks!$Z$511="","",CHAR(10))&amp;"CA: "&amp;Checks!$AA$511)</f>
        <v/>
      </c>
      <c r="G28" s="114" t="str">
        <f aca="false">IF(ISNUMBER(Checks!$AD$511),TEXT(Checks!$AD$511,"DD-MMM-YY HH:MM")&amp;" "&amp;Checks!$P$511,"")&amp;IF(Checks!$AE$511="","",CHAR(10)&amp;"Verifier: "&amp;Checks!$AE$511)&amp;IF(Checks!$T$511="","",CHAR(10)&amp;"PIC: "&amp;Checks!$T$511)</f>
        <v/>
      </c>
      <c r="H28" s="115" t="str">
        <f aca="false">IF(Checks!$AH$511="","",Checks!$AH$511)</f>
        <v>OPEN</v>
      </c>
    </row>
    <row r="29" customFormat="false" ht="114" hidden="false" customHeight="true" outlineLevel="0" collapsed="false">
      <c r="A29" s="114" t="str">
        <f aca="false">Checks!$A$512&amp;CHAR(10)&amp;IF(Checks!$I$512="","",Checks!$I$512&amp;": ")&amp;Checks!$J$512</f>
        <v>F16-T7-07
Documents: Galley loading diagram (GLD) received, revision recorded &amp; attached</v>
      </c>
      <c r="B29" s="114" t="str">
        <f aca="false">Checks!$K$512&amp;IF(Checks!$O$512="","",IF(Checks!$K$512="","",CHAR(10))&amp;"Note: "&amp;Checks!$O$512)</f>
        <v>Documents sheet row complete</v>
      </c>
      <c r="C29" s="114" t="str">
        <f aca="false">Checks!$N$512&amp;CHAR(10)&amp;IF(ISNUMBER(Checks!$R$512),TEXT(Checks!$R$512,"DD-MMM-YY HH:MM"),"")&amp;" "&amp;Checks!$P$512</f>
        <v>Required
19-Oct-26 09:10 KUL</v>
      </c>
      <c r="D29" s="114" t="str">
        <f aca="false">IF(Checks!$U$512="","",Checks!$U$512)&amp;IF(Checks!$AB$512="","",CHAR(10)&amp;"CA: "&amp;Checks!$AB$512)</f>
        <v/>
      </c>
      <c r="E29" s="114" t="str">
        <f aca="false">IF(Checks!$V$512="","",Checks!$V$512)&amp;IF(Checks!$AC$512="","",IF(Checks!$V$512="","",CHAR(10))&amp;"N/A just.: "&amp;Checks!$AC$512)&amp;IF(Checks!$W$512="","",CHAR(10)&amp;"Batch: "&amp;Checks!$W$512)&amp;IF(AND(Checks!$X$512="",Checks!$Y$512=""),"",CHAR(10)&amp;"Exp: "&amp;Checks!$X$512&amp;"  /  Act: "&amp;Checks!$Y$512)</f>
        <v/>
      </c>
      <c r="F29" s="114" t="str">
        <f aca="false">IF(Checks!$Z$512="","","Evidence: "&amp;Checks!$Z$512)&amp;IF(Checks!$AA$512="","",IF(Checks!$Z$512="","",CHAR(10))&amp;"CA: "&amp;Checks!$AA$512)</f>
        <v/>
      </c>
      <c r="G29" s="114" t="str">
        <f aca="false">IF(ISNUMBER(Checks!$AD$512),TEXT(Checks!$AD$512,"DD-MMM-YY HH:MM")&amp;" "&amp;Checks!$P$512,"")&amp;IF(Checks!$AE$512="","",CHAR(10)&amp;"Verifier: "&amp;Checks!$AE$512)&amp;IF(Checks!$T$512="","",CHAR(10)&amp;"PIC: "&amp;Checks!$T$512)</f>
        <v/>
      </c>
      <c r="H29" s="115" t="str">
        <f aca="false">IF(Checks!$AH$512="","",Checks!$AH$512)</f>
        <v>OPEN</v>
      </c>
    </row>
    <row r="30" customFormat="false" ht="114" hidden="false" customHeight="true" outlineLevel="0" collapsed="false">
      <c r="A30" s="114" t="str">
        <f aca="false">Checks!$A$513&amp;CHAR(10)&amp;IF(Checks!$I$513="","",Checks!$I$513&amp;": ")&amp;Checks!$J$513</f>
        <v>F16-T7-08
Documents: Menu checklist received, revision recorded &amp; attached</v>
      </c>
      <c r="B30" s="114" t="str">
        <f aca="false">Checks!$K$513&amp;IF(Checks!$O$513="","",IF(Checks!$K$513="","",CHAR(10))&amp;"Note: "&amp;Checks!$O$513)</f>
        <v>Documents sheet row complete</v>
      </c>
      <c r="C30" s="114" t="str">
        <f aca="false">Checks!$N$513&amp;CHAR(10)&amp;IF(ISNUMBER(Checks!$R$513),TEXT(Checks!$R$513,"DD-MMM-YY HH:MM"),"")&amp;" "&amp;Checks!$P$513</f>
        <v>Required
19-Oct-26 09:10 KUL</v>
      </c>
      <c r="D30" s="114" t="str">
        <f aca="false">IF(Checks!$U$513="","",Checks!$U$513)&amp;IF(Checks!$AB$513="","",CHAR(10)&amp;"CA: "&amp;Checks!$AB$513)</f>
        <v/>
      </c>
      <c r="E30" s="114" t="str">
        <f aca="false">IF(Checks!$V$513="","",Checks!$V$513)&amp;IF(Checks!$AC$513="","",IF(Checks!$V$513="","",CHAR(10))&amp;"N/A just.: "&amp;Checks!$AC$513)&amp;IF(Checks!$W$513="","",CHAR(10)&amp;"Batch: "&amp;Checks!$W$513)&amp;IF(AND(Checks!$X$513="",Checks!$Y$513=""),"",CHAR(10)&amp;"Exp: "&amp;Checks!$X$513&amp;"  /  Act: "&amp;Checks!$Y$513)</f>
        <v/>
      </c>
      <c r="F30" s="114" t="str">
        <f aca="false">IF(Checks!$Z$513="","","Evidence: "&amp;Checks!$Z$513)&amp;IF(Checks!$AA$513="","",IF(Checks!$Z$513="","",CHAR(10))&amp;"CA: "&amp;Checks!$AA$513)</f>
        <v/>
      </c>
      <c r="G30" s="114" t="str">
        <f aca="false">IF(ISNUMBER(Checks!$AD$513),TEXT(Checks!$AD$513,"DD-MMM-YY HH:MM")&amp;" "&amp;Checks!$P$513,"")&amp;IF(Checks!$AE$513="","",CHAR(10)&amp;"Verifier: "&amp;Checks!$AE$513)&amp;IF(Checks!$T$513="","",CHAR(10)&amp;"PIC: "&amp;Checks!$T$513)</f>
        <v/>
      </c>
      <c r="H30" s="115" t="str">
        <f aca="false">IF(Checks!$AH$513="","",Checks!$AH$513)</f>
        <v>OPEN</v>
      </c>
    </row>
    <row r="31" customFormat="false" ht="114" hidden="false" customHeight="true" outlineLevel="0" collapsed="false">
      <c r="A31" s="114" t="str">
        <f aca="false">Checks!$A$514&amp;CHAR(10)&amp;IF(Checks!$I$514="","",Checks!$I$514&amp;": ")&amp;Checks!$J$514</f>
        <v>F16-T7-09
Uplift plan: Uplift plan confirmed with caterer vs STD Uplift Information</v>
      </c>
      <c r="B31" s="114" t="str">
        <f aca="false">Checks!$K$514&amp;IF(Checks!$O$514="","",IF(Checks!$K$514="","",CHAR(10))&amp;"Note: "&amp;Checks!$O$514)</f>
        <v>Service: 1 Meal + DAT(Noodles Svc) (Meal); meal uplift stn KUL (ref lists KUL/HKG)</v>
      </c>
      <c r="C31" s="114" t="str">
        <f aca="false">Checks!$N$514&amp;CHAR(10)&amp;IF(ISNUMBER(Checks!$R$514),TEXT(Checks!$R$514,"DD-MMM-YY HH:MM"),"")&amp;" "&amp;Checks!$P$514</f>
        <v>Required
19-Oct-26 09:10 KUL</v>
      </c>
      <c r="D31" s="114" t="str">
        <f aca="false">IF(Checks!$U$514="","",Checks!$U$514)&amp;IF(Checks!$AB$514="","",CHAR(10)&amp;"CA: "&amp;Checks!$AB$514)</f>
        <v/>
      </c>
      <c r="E31" s="114" t="str">
        <f aca="false">IF(Checks!$V$514="","",Checks!$V$514)&amp;IF(Checks!$AC$514="","",IF(Checks!$V$514="","",CHAR(10))&amp;"N/A just.: "&amp;Checks!$AC$514)&amp;IF(Checks!$W$514="","",CHAR(10)&amp;"Batch: "&amp;Checks!$W$514)&amp;IF(AND(Checks!$X$514="",Checks!$Y$514=""),"",CHAR(10)&amp;"Exp: "&amp;Checks!$X$514&amp;"  /  Act: "&amp;Checks!$Y$514)</f>
        <v/>
      </c>
      <c r="F31" s="114" t="str">
        <f aca="false">IF(Checks!$Z$514="","","Evidence: "&amp;Checks!$Z$514)&amp;IF(Checks!$AA$514="","",IF(Checks!$Z$514="","",CHAR(10))&amp;"CA: "&amp;Checks!$AA$514)</f>
        <v/>
      </c>
      <c r="G31" s="114" t="str">
        <f aca="false">IF(ISNUMBER(Checks!$AD$514),TEXT(Checks!$AD$514,"DD-MMM-YY HH:MM")&amp;" "&amp;Checks!$P$514,"")&amp;IF(Checks!$AE$514="","",CHAR(10)&amp;"Verifier: "&amp;Checks!$AE$514)&amp;IF(Checks!$T$514="","",CHAR(10)&amp;"PIC: "&amp;Checks!$T$514)</f>
        <v/>
      </c>
      <c r="H31" s="115" t="str">
        <f aca="false">IF(Checks!$AH$514="","",Checks!$AH$514)</f>
        <v>OPEN</v>
      </c>
    </row>
    <row r="32" customFormat="false" ht="25.5" hidden="false" customHeight="true" outlineLevel="0" collapsed="false">
      <c r="A32" s="113" t="str">
        <f aca="false">"T-24H — Production batch sensory  |  Due "&amp;IF(ISNUMBER(Flights!$AH$20),TEXT(Flights!$AH$20,"DD-MMM-YY HH:MM"),"")&amp;" "&amp;Flights!$V$20&amp;" (meal uplift stn)"&amp;" (rows with another due show their own)  |  Complete "&amp;IF(ISNUMBER(Flights!$AK$20),TEXT(Flights!$AK$20,"0%"),Flights!$AK$20)&amp;"  |  1 lines"</f>
        <v>T-24H — Production batch sensory  |  Due 25-Oct-26 09:10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Checks!$A$515&amp;CHAR(10)&amp;IF(Checks!$I$515="","",Checks!$I$515&amp;": ")&amp;Checks!$J$515</f>
        <v>F16-T24-01
Meal: Sensory test repeated on ACTUAL production batch for this flight</v>
      </c>
      <c r="B33" s="114" t="str">
        <f aca="false">Checks!$K$515&amp;IF(Checks!$O$515="","",IF(Checks!$K$515="","",CHAR(10))&amp;"Note: "&amp;Checks!$O$515)</f>
        <v>Batch ID, result, CA and acceptance mandatory</v>
      </c>
      <c r="C33" s="114" t="str">
        <f aca="false">Checks!$N$515&amp;CHAR(10)&amp;IF(ISNUMBER(Checks!$R$515),TEXT(Checks!$R$515,"DD-MMM-YY HH:MM"),"")&amp;" "&amp;Checks!$P$515</f>
        <v>Required
25-Oct-26 09:10 KUL</v>
      </c>
      <c r="D33" s="114" t="str">
        <f aca="false">IF(Checks!$U$515="","",Checks!$U$515)&amp;IF(Checks!$AB$515="","",CHAR(10)&amp;"CA: "&amp;Checks!$AB$515)</f>
        <v/>
      </c>
      <c r="E33" s="114" t="str">
        <f aca="false">IF(Checks!$V$515="","",Checks!$V$515)&amp;IF(Checks!$AC$515="","",IF(Checks!$V$515="","",CHAR(10))&amp;"N/A just.: "&amp;Checks!$AC$515)&amp;IF(Checks!$W$515="","",CHAR(10)&amp;"Batch: "&amp;Checks!$W$515)&amp;IF(AND(Checks!$X$515="",Checks!$Y$515=""),"",CHAR(10)&amp;"Exp: "&amp;Checks!$X$515&amp;"  /  Act: "&amp;Checks!$Y$515)</f>
        <v/>
      </c>
      <c r="F33" s="114" t="str">
        <f aca="false">IF(Checks!$Z$515="","","Evidence: "&amp;Checks!$Z$515)&amp;IF(Checks!$AA$515="","",IF(Checks!$Z$515="","",CHAR(10))&amp;"CA: "&amp;Checks!$AA$515)</f>
        <v/>
      </c>
      <c r="G33" s="114" t="str">
        <f aca="false">IF(ISNUMBER(Checks!$AD$515),TEXT(Checks!$AD$515,"DD-MMM-YY HH:MM")&amp;" "&amp;Checks!$P$515,"")&amp;IF(Checks!$AE$515="","",CHAR(10)&amp;"Verifier: "&amp;Checks!$AE$515)&amp;IF(Checks!$T$515="","",CHAR(10)&amp;"PIC: "&amp;Checks!$T$515)</f>
        <v/>
      </c>
      <c r="H33" s="115" t="str">
        <f aca="false">IF(Checks!$AH$515="","",Checks!$AH$515)</f>
        <v>OPEN</v>
      </c>
    </row>
    <row r="34" customFormat="false" ht="25.5" hidden="false" customHeight="true" outlineLevel="0" collapsed="false">
      <c r="A34" s="113" t="str">
        <f aca="false">"T-12H PREP — Preparation check at caterer (does NOT confirm loading)  |  Due "&amp;IF(ISNUMBER(Flights!$AI$20),TEXT(Flights!$AI$20,"DD-MMM-YY HH:MM"),"")&amp;" "&amp;Flights!$V$20&amp;" (meal uplift stn)"&amp;" (rows with another due show their own)  |  Complete "&amp;IF(ISNUMBER(Flights!$AL$20),TEXT(Flights!$AL$20,"0%"),Flights!$AL$20)&amp;"  |  10 lines"</f>
        <v>T-12H PREP — Preparation check at caterer (does NOT confirm loading)  |  Due 25-Oct-26 21:10 KUL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Checks!$A$516&amp;CHAR(10)&amp;IF(Checks!$I$516="","",Checks!$I$516&amp;": ")&amp;Checks!$J$516</f>
        <v>F16-T12-01
Meal: Meal quality vs menu checklist</v>
      </c>
      <c r="B35" s="114" t="str">
        <f aca="false">Checks!$K$516&amp;IF(Checks!$O$516="","",IF(Checks!$K$516="","",CHAR(10))&amp;"Note: "&amp;Checks!$O$516)</f>
        <v>Note: Preparation check at caterer - does NOT confirm loading.</v>
      </c>
      <c r="C35" s="114" t="str">
        <f aca="false">Checks!$N$516&amp;CHAR(10)&amp;IF(ISNUMBER(Checks!$R$516),TEXT(Checks!$R$516,"DD-MMM-YY HH:MM"),"")&amp;" "&amp;Checks!$P$516</f>
        <v>Required
25-Oct-26 21:10 KUL</v>
      </c>
      <c r="D35" s="114" t="str">
        <f aca="false">IF(Checks!$U$516="","",Checks!$U$516)&amp;IF(Checks!$AB$516="","",CHAR(10)&amp;"CA: "&amp;Checks!$AB$516)</f>
        <v/>
      </c>
      <c r="E35" s="114" t="str">
        <f aca="false">IF(Checks!$V$516="","",Checks!$V$516)&amp;IF(Checks!$AC$516="","",IF(Checks!$V$516="","",CHAR(10))&amp;"N/A just.: "&amp;Checks!$AC$516)&amp;IF(Checks!$W$516="","",CHAR(10)&amp;"Batch: "&amp;Checks!$W$516)&amp;IF(AND(Checks!$X$516="",Checks!$Y$516=""),"",CHAR(10)&amp;"Exp: "&amp;Checks!$X$516&amp;"  /  Act: "&amp;Checks!$Y$516)</f>
        <v/>
      </c>
      <c r="F35" s="114" t="str">
        <f aca="false">IF(Checks!$Z$516="","","Evidence: "&amp;Checks!$Z$516)&amp;IF(Checks!$AA$516="","",IF(Checks!$Z$516="","",CHAR(10))&amp;"CA: "&amp;Checks!$AA$516)</f>
        <v/>
      </c>
      <c r="G35" s="114" t="str">
        <f aca="false">IF(ISNUMBER(Checks!$AD$516),TEXT(Checks!$AD$516,"DD-MMM-YY HH:MM")&amp;" "&amp;Checks!$P$516,"")&amp;IF(Checks!$AE$516="","",CHAR(10)&amp;"Verifier: "&amp;Checks!$AE$516)&amp;IF(Checks!$T$516="","",CHAR(10)&amp;"PIC: "&amp;Checks!$T$516)</f>
        <v/>
      </c>
      <c r="H35" s="115" t="str">
        <f aca="false">IF(Checks!$AH$516="","",Checks!$AH$516)</f>
        <v>OPEN</v>
      </c>
    </row>
    <row r="36" customFormat="false" ht="114" hidden="false" customHeight="true" outlineLevel="0" collapsed="false">
      <c r="A36" s="114" t="str">
        <f aca="false">Checks!$A$517&amp;CHAR(10)&amp;IF(Checks!$I$517="","",Checks!$I$517&amp;": ")&amp;Checks!$J$517</f>
        <v>F16-T12-02
Meal: Meal quantities vs menu checklist</v>
      </c>
      <c r="B36" s="114" t="str">
        <f aca="false">Checks!$K$517&amp;IF(Checks!$O$517="","",IF(Checks!$K$517="","",CHAR(10))&amp;"Note: "&amp;Checks!$O$517)</f>
        <v>Enter expected &amp; actual
Note: Preparation check at caterer - does NOT confirm loading.</v>
      </c>
      <c r="C36" s="114" t="str">
        <f aca="false">Checks!$N$517&amp;CHAR(10)&amp;IF(ISNUMBER(Checks!$R$517),TEXT(Checks!$R$517,"DD-MMM-YY HH:MM"),"")&amp;" "&amp;Checks!$P$517</f>
        <v>Required
25-Oct-26 21:10 KUL</v>
      </c>
      <c r="D36" s="114" t="str">
        <f aca="false">IF(Checks!$U$517="","",Checks!$U$517)&amp;IF(Checks!$AB$517="","",CHAR(10)&amp;"CA: "&amp;Checks!$AB$517)</f>
        <v/>
      </c>
      <c r="E36" s="114" t="str">
        <f aca="false">IF(Checks!$V$517="","",Checks!$V$517)&amp;IF(Checks!$AC$517="","",IF(Checks!$V$517="","",CHAR(10))&amp;"N/A just.: "&amp;Checks!$AC$517)&amp;IF(Checks!$W$517="","",CHAR(10)&amp;"Batch: "&amp;Checks!$W$517)&amp;IF(AND(Checks!$X$517="",Checks!$Y$517=""),"",CHAR(10)&amp;"Exp: "&amp;Checks!$X$517&amp;"  /  Act: "&amp;Checks!$Y$517)</f>
        <v/>
      </c>
      <c r="F36" s="114" t="str">
        <f aca="false">IF(Checks!$Z$517="","","Evidence: "&amp;Checks!$Z$517)&amp;IF(Checks!$AA$517="","",IF(Checks!$Z$517="","",CHAR(10))&amp;"CA: "&amp;Checks!$AA$517)</f>
        <v/>
      </c>
      <c r="G36" s="114" t="str">
        <f aca="false">IF(ISNUMBER(Checks!$AD$517),TEXT(Checks!$AD$517,"DD-MMM-YY HH:MM")&amp;" "&amp;Checks!$P$517,"")&amp;IF(Checks!$AE$517="","",CHAR(10)&amp;"Verifier: "&amp;Checks!$AE$517)&amp;IF(Checks!$T$517="","",CHAR(10)&amp;"PIC: "&amp;Checks!$T$517)</f>
        <v/>
      </c>
      <c r="H36" s="115" t="str">
        <f aca="false">IF(Checks!$AH$517="","",Checks!$AH$517)</f>
        <v>OPEN</v>
      </c>
    </row>
    <row r="37" customFormat="false" ht="114" hidden="false" customHeight="true" outlineLevel="0" collapsed="false">
      <c r="A37" s="114" t="str">
        <f aca="false">Checks!$A$518&amp;CHAR(10)&amp;IF(Checks!$I$518="","",Checks!$I$518&amp;": ")&amp;Checks!$J$518</f>
        <v>F16-T12-03
Equipment: Equipment cleanliness vs GLD</v>
      </c>
      <c r="B37" s="114" t="str">
        <f aca="false">Checks!$K$518&amp;IF(Checks!$O$518="","",IF(Checks!$K$518="","",CHAR(10))&amp;"Note: "&amp;Checks!$O$518)</f>
        <v>Note: Preparation check at caterer - does NOT confirm loading.</v>
      </c>
      <c r="C37" s="114" t="str">
        <f aca="false">Checks!$N$518&amp;CHAR(10)&amp;IF(ISNUMBER(Checks!$R$518),TEXT(Checks!$R$518,"DD-MMM-YY HH:MM"),"")&amp;" "&amp;Checks!$P$518</f>
        <v>Required
25-Oct-26 21:10 KUL</v>
      </c>
      <c r="D37" s="114" t="str">
        <f aca="false">IF(Checks!$U$518="","",Checks!$U$518)&amp;IF(Checks!$AB$518="","",CHAR(10)&amp;"CA: "&amp;Checks!$AB$518)</f>
        <v/>
      </c>
      <c r="E37" s="114" t="str">
        <f aca="false">IF(Checks!$V$518="","",Checks!$V$518)&amp;IF(Checks!$AC$518="","",IF(Checks!$V$518="","",CHAR(10))&amp;"N/A just.: "&amp;Checks!$AC$518)&amp;IF(Checks!$W$518="","",CHAR(10)&amp;"Batch: "&amp;Checks!$W$518)&amp;IF(AND(Checks!$X$518="",Checks!$Y$518=""),"",CHAR(10)&amp;"Exp: "&amp;Checks!$X$518&amp;"  /  Act: "&amp;Checks!$Y$518)</f>
        <v/>
      </c>
      <c r="F37" s="114" t="str">
        <f aca="false">IF(Checks!$Z$518="","","Evidence: "&amp;Checks!$Z$518)&amp;IF(Checks!$AA$518="","",IF(Checks!$Z$518="","",CHAR(10))&amp;"CA: "&amp;Checks!$AA$518)</f>
        <v/>
      </c>
      <c r="G37" s="114" t="str">
        <f aca="false">IF(ISNUMBER(Checks!$AD$518),TEXT(Checks!$AD$518,"DD-MMM-YY HH:MM")&amp;" "&amp;Checks!$P$518,"")&amp;IF(Checks!$AE$518="","",CHAR(10)&amp;"Verifier: "&amp;Checks!$AE$518)&amp;IF(Checks!$T$518="","",CHAR(10)&amp;"PIC: "&amp;Checks!$T$518)</f>
        <v/>
      </c>
      <c r="H37" s="115" t="str">
        <f aca="false">IF(Checks!$AH$518="","",Checks!$AH$518)</f>
        <v>OPEN</v>
      </c>
    </row>
    <row r="38" customFormat="false" ht="114" hidden="false" customHeight="true" outlineLevel="0" collapsed="false">
      <c r="A38" s="114" t="str">
        <f aca="false">Checks!$A$519&amp;CHAR(10)&amp;IF(Checks!$I$519="","",Checks!$I$519&amp;": ")&amp;Checks!$J$519</f>
        <v>F16-T12-04
Equipment: Equipment presentation vs GLD</v>
      </c>
      <c r="B38" s="114" t="str">
        <f aca="false">Checks!$K$519&amp;IF(Checks!$O$519="","",IF(Checks!$K$519="","",CHAR(10))&amp;"Note: "&amp;Checks!$O$519)</f>
        <v>Note: Preparation check at caterer - does NOT confirm loading.</v>
      </c>
      <c r="C38" s="114" t="str">
        <f aca="false">Checks!$N$519&amp;CHAR(10)&amp;IF(ISNUMBER(Checks!$R$519),TEXT(Checks!$R$519,"DD-MMM-YY HH:MM"),"")&amp;" "&amp;Checks!$P$519</f>
        <v>Required
25-Oct-26 21:10 KUL</v>
      </c>
      <c r="D38" s="114" t="str">
        <f aca="false">IF(Checks!$U$519="","",Checks!$U$519)&amp;IF(Checks!$AB$519="","",CHAR(10)&amp;"CA: "&amp;Checks!$AB$519)</f>
        <v/>
      </c>
      <c r="E38" s="114" t="str">
        <f aca="false">IF(Checks!$V$519="","",Checks!$V$519)&amp;IF(Checks!$AC$519="","",IF(Checks!$V$519="","",CHAR(10))&amp;"N/A just.: "&amp;Checks!$AC$519)&amp;IF(Checks!$W$519="","",CHAR(10)&amp;"Batch: "&amp;Checks!$W$519)&amp;IF(AND(Checks!$X$519="",Checks!$Y$519=""),"",CHAR(10)&amp;"Exp: "&amp;Checks!$X$519&amp;"  /  Act: "&amp;Checks!$Y$519)</f>
        <v/>
      </c>
      <c r="F38" s="114" t="str">
        <f aca="false">IF(Checks!$Z$519="","","Evidence: "&amp;Checks!$Z$519)&amp;IF(Checks!$AA$519="","",IF(Checks!$Z$519="","",CHAR(10))&amp;"CA: "&amp;Checks!$AA$519)</f>
        <v/>
      </c>
      <c r="G38" s="114" t="str">
        <f aca="false">IF(ISNUMBER(Checks!$AD$519),TEXT(Checks!$AD$519,"DD-MMM-YY HH:MM")&amp;" "&amp;Checks!$P$519,"")&amp;IF(Checks!$AE$519="","",CHAR(10)&amp;"Verifier: "&amp;Checks!$AE$519)&amp;IF(Checks!$T$519="","",CHAR(10)&amp;"PIC: "&amp;Checks!$T$519)</f>
        <v/>
      </c>
      <c r="H38" s="115" t="str">
        <f aca="false">IF(Checks!$AH$519="","",Checks!$AH$519)</f>
        <v>OPEN</v>
      </c>
    </row>
    <row r="39" customFormat="false" ht="114" hidden="false" customHeight="true" outlineLevel="0" collapsed="false">
      <c r="A39" s="114" t="str">
        <f aca="false">Checks!$A$520&amp;CHAR(10)&amp;IF(Checks!$I$520="","",Checks!$I$520&amp;": ")&amp;Checks!$J$520</f>
        <v>F16-T12-05
Equipment: Equipment serviceability vs GLD</v>
      </c>
      <c r="B39" s="114" t="str">
        <f aca="false">Checks!$K$520&amp;IF(Checks!$O$520="","",IF(Checks!$K$520="","",CHAR(10))&amp;"Note: "&amp;Checks!$O$520)</f>
        <v>Note: Preparation check at caterer - does NOT confirm loading.</v>
      </c>
      <c r="C39" s="114" t="str">
        <f aca="false">Checks!$N$520&amp;CHAR(10)&amp;IF(ISNUMBER(Checks!$R$520),TEXT(Checks!$R$520,"DD-MMM-YY HH:MM"),"")&amp;" "&amp;Checks!$P$520</f>
        <v>Required
25-Oct-26 21:10 KUL</v>
      </c>
      <c r="D39" s="114" t="str">
        <f aca="false">IF(Checks!$U$520="","",Checks!$U$520)&amp;IF(Checks!$AB$520="","",CHAR(10)&amp;"CA: "&amp;Checks!$AB$520)</f>
        <v/>
      </c>
      <c r="E39" s="114" t="str">
        <f aca="false">IF(Checks!$V$520="","",Checks!$V$520)&amp;IF(Checks!$AC$520="","",IF(Checks!$V$520="","",CHAR(10))&amp;"N/A just.: "&amp;Checks!$AC$520)&amp;IF(Checks!$W$520="","",CHAR(10)&amp;"Batch: "&amp;Checks!$W$520)&amp;IF(AND(Checks!$X$520="",Checks!$Y$520=""),"",CHAR(10)&amp;"Exp: "&amp;Checks!$X$520&amp;"  /  Act: "&amp;Checks!$Y$520)</f>
        <v/>
      </c>
      <c r="F39" s="114" t="str">
        <f aca="false">IF(Checks!$Z$520="","","Evidence: "&amp;Checks!$Z$520)&amp;IF(Checks!$AA$520="","",IF(Checks!$Z$520="","",CHAR(10))&amp;"CA: "&amp;Checks!$AA$520)</f>
        <v/>
      </c>
      <c r="G39" s="114" t="str">
        <f aca="false">IF(ISNUMBER(Checks!$AD$520),TEXT(Checks!$AD$520,"DD-MMM-YY HH:MM")&amp;" "&amp;Checks!$P$520,"")&amp;IF(Checks!$AE$520="","",CHAR(10)&amp;"Verifier: "&amp;Checks!$AE$520)&amp;IF(Checks!$T$520="","",CHAR(10)&amp;"PIC: "&amp;Checks!$T$520)</f>
        <v/>
      </c>
      <c r="H39" s="115" t="str">
        <f aca="false">IF(Checks!$AH$520="","",Checks!$AH$520)</f>
        <v>OPEN</v>
      </c>
    </row>
    <row r="40" customFormat="false" ht="190.5" hidden="false" customHeight="true" outlineLevel="0" collapsed="false">
      <c r="A40" s="114" t="str">
        <f aca="false">Checks!$A$521&amp;CHAR(10)&amp;IF(Checks!$I$521="","",Checks!$I$521&amp;": ")&amp;Checks!$J$521</f>
        <v>F16-T12-06
Equipment: Equipment quantities vs GLD</v>
      </c>
      <c r="B40" s="114" t="str">
        <f aca="false">SUBSTITUTE(Checks!$K$521&amp;IF(Checks!$O$521="","",IF(Checks!$K$521="","",CHAR(10))&amp;"Note: "&amp;Checks!$O$521),"AIRCRAFT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Checks!$N$521&amp;CHAR(10)&amp;IF(ISNUMBER(Checks!$R$521),TEXT(Checks!$R$521,"DD-MMM-YY HH:MM"),"")&amp;" "&amp;Checks!$P$521</f>
        <v>Required
25-Oct-26 21:10 KUL</v>
      </c>
      <c r="D40" s="114" t="str">
        <f aca="false">IF(Checks!$U$521="","",Checks!$U$521)&amp;IF(Checks!$AB$521="","",CHAR(10)&amp;"CA: "&amp;Checks!$AB$521)</f>
        <v/>
      </c>
      <c r="E40" s="114" t="str">
        <f aca="false">IF(Checks!$V$521="","",Checks!$V$521)&amp;IF(Checks!$AC$521="","",IF(Checks!$V$521="","",CHAR(10))&amp;"N/A just.: "&amp;Checks!$AC$521)&amp;IF(Checks!$W$521="","",CHAR(10)&amp;"Batch: "&amp;Checks!$W$521)&amp;IF(AND(Checks!$X$521="",Checks!$Y$521=""),"",CHAR(10)&amp;"Exp: "&amp;Checks!$X$521&amp;"  /  Act: "&amp;Checks!$Y$521)</f>
        <v/>
      </c>
      <c r="F40" s="114" t="str">
        <f aca="false">IF(Checks!$Z$521="","","Evidence: "&amp;Checks!$Z$521)&amp;IF(Checks!$AA$521="","",IF(Checks!$Z$521="","",CHAR(10))&amp;"CA: "&amp;Checks!$AA$521)</f>
        <v/>
      </c>
      <c r="G40" s="114" t="str">
        <f aca="false">IF(ISNUMBER(Checks!$AD$521),TEXT(Checks!$AD$521,"DD-MMM-YY HH:MM")&amp;" "&amp;Checks!$P$521,"")&amp;IF(Checks!$AE$521="","",CHAR(10)&amp;"Verifier: "&amp;Checks!$AE$521)&amp;IF(Checks!$T$521="","",CHAR(10)&amp;"PIC: "&amp;Checks!$T$521)</f>
        <v/>
      </c>
      <c r="H40" s="115" t="str">
        <f aca="false">IF(Checks!$AH$521="","",Checks!$AH$521)</f>
        <v>OPEN</v>
      </c>
    </row>
    <row r="41" customFormat="false" ht="114" hidden="false" customHeight="true" outlineLevel="0" collapsed="false">
      <c r="A41" s="114" t="str">
        <f aca="false">Checks!$A$522&amp;CHAR(10)&amp;IF(Checks!$I$522="","",Checks!$I$522&amp;": ")&amp;Checks!$J$522</f>
        <v>F16-T12-07
Equipment: Loading positions planned vs GLD</v>
      </c>
      <c r="B41" s="114" t="str">
        <f aca="false">Checks!$K$522&amp;IF(Checks!$O$522="","",IF(Checks!$K$522="","",CHAR(10))&amp;"Note: "&amp;Checks!$O$522)</f>
        <v>Note: Preparation check at caterer - does NOT confirm loading.</v>
      </c>
      <c r="C41" s="114" t="str">
        <f aca="false">Checks!$N$522&amp;CHAR(10)&amp;IF(ISNUMBER(Checks!$R$522),TEXT(Checks!$R$522,"DD-MMM-YY HH:MM"),"")&amp;" "&amp;Checks!$P$522</f>
        <v>Required
25-Oct-26 21:10 KUL</v>
      </c>
      <c r="D41" s="114" t="str">
        <f aca="false">IF(Checks!$U$522="","",Checks!$U$522)&amp;IF(Checks!$AB$522="","",CHAR(10)&amp;"CA: "&amp;Checks!$AB$522)</f>
        <v/>
      </c>
      <c r="E41" s="114" t="str">
        <f aca="false">IF(Checks!$V$522="","",Checks!$V$522)&amp;IF(Checks!$AC$522="","",IF(Checks!$V$522="","",CHAR(10))&amp;"N/A just.: "&amp;Checks!$AC$522)&amp;IF(Checks!$W$522="","",CHAR(10)&amp;"Batch: "&amp;Checks!$W$522)&amp;IF(AND(Checks!$X$522="",Checks!$Y$522=""),"",CHAR(10)&amp;"Exp: "&amp;Checks!$X$522&amp;"  /  Act: "&amp;Checks!$Y$522)</f>
        <v/>
      </c>
      <c r="F41" s="114" t="str">
        <f aca="false">IF(Checks!$Z$522="","","Evidence: "&amp;Checks!$Z$522)&amp;IF(Checks!$AA$522="","",IF(Checks!$Z$522="","",CHAR(10))&amp;"CA: "&amp;Checks!$AA$522)</f>
        <v/>
      </c>
      <c r="G41" s="114" t="str">
        <f aca="false">IF(ISNUMBER(Checks!$AD$522),TEXT(Checks!$AD$522,"DD-MMM-YY HH:MM")&amp;" "&amp;Checks!$P$522,"")&amp;IF(Checks!$AE$522="","",CHAR(10)&amp;"Verifier: "&amp;Checks!$AE$522)&amp;IF(Checks!$T$522="","",CHAR(10)&amp;"PIC: "&amp;Checks!$T$522)</f>
        <v/>
      </c>
      <c r="H41" s="115" t="str">
        <f aca="false">IF(Checks!$AH$522="","",Checks!$AH$522)</f>
        <v>OPEN</v>
      </c>
    </row>
    <row r="42" customFormat="false" ht="114" hidden="false" customHeight="true" outlineLevel="0" collapsed="false">
      <c r="A42" s="114" t="str">
        <f aca="false">Checks!$A$523&amp;CHAR(10)&amp;IF(Checks!$I$523="","",Checks!$I$523&amp;": ")&amp;Checks!$J$523</f>
        <v>F16-T12-08
Seat Linen: Seat pillow (EY) - prepared</v>
      </c>
      <c r="B42" s="114" t="str">
        <f aca="false">Checks!$K$523&amp;IF(Checks!$O$523="","",IF(Checks!$K$523="","",CHAR(10))&amp;"Note: "&amp;Checks!$O$523)</f>
        <v>Available 100% (ticked in reference)
Note: Reference gives no uplift stn for this item: preparation checked at the meal uplift stn (KUL) - confirm with caterer.</v>
      </c>
      <c r="C42" s="114" t="str">
        <f aca="false">Checks!$N$523&amp;CHAR(10)&amp;IF(ISNUMBER(Checks!$R$523),TEXT(Checks!$R$523,"DD-MMM-YY HH:MM"),"")&amp;" "&amp;Checks!$P$523</f>
        <v>Required
25-Oct-26 21:10 KUL</v>
      </c>
      <c r="D42" s="114" t="str">
        <f aca="false">IF(Checks!$U$523="","",Checks!$U$523)&amp;IF(Checks!$AB$523="","",CHAR(10)&amp;"CA: "&amp;Checks!$AB$523)</f>
        <v/>
      </c>
      <c r="E42" s="114" t="str">
        <f aca="false">IF(Checks!$V$523="","",Checks!$V$523)&amp;IF(Checks!$AC$523="","",IF(Checks!$V$523="","",CHAR(10))&amp;"N/A just.: "&amp;Checks!$AC$523)&amp;IF(Checks!$W$523="","",CHAR(10)&amp;"Batch: "&amp;Checks!$W$523)&amp;IF(AND(Checks!$X$523="",Checks!$Y$523=""),"",CHAR(10)&amp;"Exp: "&amp;Checks!$X$523&amp;"  /  Act: "&amp;Checks!$Y$523)</f>
        <v/>
      </c>
      <c r="F42" s="114" t="str">
        <f aca="false">IF(Checks!$Z$523="","","Evidence: "&amp;Checks!$Z$523)&amp;IF(Checks!$AA$523="","",IF(Checks!$Z$523="","",CHAR(10))&amp;"CA: "&amp;Checks!$AA$523)</f>
        <v/>
      </c>
      <c r="G42" s="114" t="str">
        <f aca="false">IF(ISNUMBER(Checks!$AD$523),TEXT(Checks!$AD$523,"DD-MMM-YY HH:MM")&amp;" "&amp;Checks!$P$523,"")&amp;IF(Checks!$AE$523="","",CHAR(10)&amp;"Verifier: "&amp;Checks!$AE$523)&amp;IF(Checks!$T$523="","",CHAR(10)&amp;"PIC: "&amp;Checks!$T$523)</f>
        <v/>
      </c>
      <c r="H42" s="115" t="str">
        <f aca="false">IF(Checks!$AH$523="","",Checks!$AH$523)</f>
        <v>OPEN</v>
      </c>
    </row>
    <row r="43" customFormat="false" ht="289.5" hidden="false" customHeight="true" outlineLevel="0" collapsed="false">
      <c r="A43" s="114" t="str">
        <f aca="false">Checks!$A$524&amp;CHAR(10)&amp;IF(Checks!$I$524="","",Checks!$I$524&amp;": ")&amp;Checks!$J$524</f>
        <v>F16-T12-09
Seat Linen: Blanket (EY) - prepared</v>
      </c>
      <c r="B43" s="114" t="str">
        <f aca="false">SUBSTITUTE(Checks!$K$524&amp;IF(Checks!$O$524="","",IF(Checks!$K$524="","",CHAR(10))&amp;"Note: "&amp;Checks!$O$524),"SEAT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 Reference gives no uplift stn for this item: preparation checked at the meal uplift stn (KUL) - confirm with caterer.</v>
      </c>
      <c r="C43" s="114" t="str">
        <f aca="false">Checks!$N$524&amp;CHAR(10)&amp;IF(ISNUMBER(Checks!$R$524),TEXT(Checks!$R$524,"DD-MMM-YY HH:MM"),"")&amp;" "&amp;Checks!$P$524</f>
        <v>Clarification required
25-Oct-26 21:10 KUL</v>
      </c>
      <c r="D43" s="114" t="str">
        <f aca="false">IF(Checks!$U$524="","",Checks!$U$524)&amp;IF(Checks!$AB$524="","",CHAR(10)&amp;"CA: "&amp;Checks!$AB$524)</f>
        <v/>
      </c>
      <c r="E43" s="114" t="str">
        <f aca="false">IF(Checks!$V$524="","",Checks!$V$524)&amp;IF(Checks!$AC$524="","",IF(Checks!$V$524="","",CHAR(10))&amp;"N/A just.: "&amp;Checks!$AC$524)&amp;IF(Checks!$W$524="","",CHAR(10)&amp;"Batch: "&amp;Checks!$W$524)&amp;IF(AND(Checks!$X$524="",Checks!$Y$524=""),"",CHAR(10)&amp;"Exp: "&amp;Checks!$X$524&amp;"  /  Act: "&amp;Checks!$Y$524)</f>
        <v/>
      </c>
      <c r="F43" s="114" t="str">
        <f aca="false">IF(Checks!$Z$524="","","Evidence: "&amp;Checks!$Z$524)&amp;IF(Checks!$AA$524="","",IF(Checks!$Z$524="","",CHAR(10))&amp;"CA: "&amp;Checks!$AA$524)</f>
        <v/>
      </c>
      <c r="G43" s="114" t="str">
        <f aca="false">IF(ISNUMBER(Checks!$AD$524),TEXT(Checks!$AD$524,"DD-MMM-YY HH:MM")&amp;" "&amp;Checks!$P$524,"")&amp;IF(Checks!$AE$524="","",CHAR(10)&amp;"Verifier: "&amp;Checks!$AE$524)&amp;IF(Checks!$T$524="","",CHAR(10)&amp;"PIC: "&amp;Checks!$T$524)</f>
        <v/>
      </c>
      <c r="H43" s="115" t="str">
        <f aca="false">IF(Checks!$AH$524="","",Checks!$AH$524)</f>
        <v>OPEN – CLARIFICATION</v>
      </c>
    </row>
    <row r="44" customFormat="false" ht="124.5" hidden="false" customHeight="true" outlineLevel="0" collapsed="false">
      <c r="A44" s="114" t="str">
        <f aca="false">Checks!$A$525&amp;CHAR(10)&amp;IF(Checks!$I$525="","",Checks!$I$525&amp;": ")&amp;Checks!$J$525</f>
        <v>F16-T12-10
Sales Cart: Sales cart (caterer MCAT) - prepared</v>
      </c>
      <c r="B44" s="114" t="str">
        <f aca="false">SUBSTITUTE(Checks!$K$525&amp;IF(Checks!$O$525="","",IF(Checks!$K$525="","",CHAR(10))&amp;"Note: "&amp;Checks!$O$525),"SALES CART!","Ref: SALES CART!")</f>
        <v>Location 210A (B7M8)
Note: Block 4.08 h &gt;= 4 h (note Ref: SALES CART!C40). Reference gives no uplift stn for this item: preparation checked at the meal uplift stn (KUL) - confirm with caterer.</v>
      </c>
      <c r="C44" s="114" t="str">
        <f aca="false">Checks!$N$525&amp;CHAR(10)&amp;IF(ISNUMBER(Checks!$R$525),TEXT(Checks!$R$525,"DD-MMM-YY HH:MM"),"")&amp;" "&amp;Checks!$P$525</f>
        <v>Required
25-Oct-26 21:10 KUL</v>
      </c>
      <c r="D44" s="114" t="str">
        <f aca="false">IF(Checks!$U$525="","",Checks!$U$525)&amp;IF(Checks!$AB$525="","",CHAR(10)&amp;"CA: "&amp;Checks!$AB$525)</f>
        <v/>
      </c>
      <c r="E44" s="114" t="str">
        <f aca="false">IF(Checks!$V$525="","",Checks!$V$525)&amp;IF(Checks!$AC$525="","",IF(Checks!$V$525="","",CHAR(10))&amp;"N/A just.: "&amp;Checks!$AC$525)&amp;IF(Checks!$W$525="","",CHAR(10)&amp;"Batch: "&amp;Checks!$W$525)&amp;IF(AND(Checks!$X$525="",Checks!$Y$525=""),"",CHAR(10)&amp;"Exp: "&amp;Checks!$X$525&amp;"  /  Act: "&amp;Checks!$Y$525)</f>
        <v/>
      </c>
      <c r="F44" s="114" t="str">
        <f aca="false">IF(Checks!$Z$525="","","Evidence: "&amp;Checks!$Z$525)&amp;IF(Checks!$AA$525="","",IF(Checks!$Z$525="","",CHAR(10))&amp;"CA: "&amp;Checks!$AA$525)</f>
        <v/>
      </c>
      <c r="G44" s="114" t="str">
        <f aca="false">IF(ISNUMBER(Checks!$AD$525),TEXT(Checks!$AD$525,"DD-MMM-YY HH:MM")&amp;" "&amp;Checks!$P$525,"")&amp;IF(Checks!$AE$525="","",CHAR(10)&amp;"Verifier: "&amp;Checks!$AE$525)&amp;IF(Checks!$T$525="","",CHAR(10)&amp;"PIC: "&amp;Checks!$T$525)</f>
        <v/>
      </c>
      <c r="H44" s="115" t="str">
        <f aca="false">IF(Checks!$AH$525="","",Checks!$AH$525)</f>
        <v>OPEN</v>
      </c>
    </row>
    <row r="45" customFormat="false" ht="25.5" hidden="false" customHeight="true" outlineLevel="0" collapsed="false">
      <c r="A45" s="113" t="str">
        <f aca="false">"UPLIFT — Physical uplift – on-board confirmation before departure  |  Due "&amp;"STD "&amp;IF(ISNUMBER(Flights!$I$20),TEXT(Flights!$I$20,"DD-MMM-YY HH:MM"),"")&amp;" "&amp;Flights!$G$20&amp;" (departure stn)"&amp;" (rows with another due show their own)  |  Complete "&amp;IF(ISNUMBER(Flights!$AM$20),TEXT(Flights!$AM$20,"0%"),Flights!$AM$20)&amp;"  |  5 lines"</f>
        <v>UPLIFT — Physical uplift – on-board confirmation before departure  |  Due STD 26-Oct-26 09:10 KUL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Checks!$A$526&amp;CHAR(10)&amp;IF(Checks!$I$526="","",Checks!$I$526&amp;": ")&amp;Checks!$J$526</f>
        <v>F16-UPL-01
Meal: Meals physically uplifted on board - quantity vs menu checklist</v>
      </c>
      <c r="B46" s="114" t="str">
        <f aca="false">Checks!$K$526&amp;IF(Checks!$O$526="","",IF(Checks!$K$526="","",CHAR(10))&amp;"Note: "&amp;Checks!$O$526)</f>
        <v>Enter expected &amp; actual
Note: Confirm on board before departure; completion time must fall inside the uplift window.</v>
      </c>
      <c r="C46" s="114" t="str">
        <f aca="false">Checks!$N$526&amp;CHAR(10)&amp;IF(ISNUMBER(Checks!$R$526),TEXT(Checks!$R$526,"DD-MMM-YY HH:MM"),"")&amp;" "&amp;Checks!$P$526</f>
        <v>Required
26-Oct-26 09:10 KUL</v>
      </c>
      <c r="D46" s="114" t="str">
        <f aca="false">IF(Checks!$U$526="","",Checks!$U$526)&amp;IF(Checks!$AB$526="","",CHAR(10)&amp;"CA: "&amp;Checks!$AB$526)</f>
        <v/>
      </c>
      <c r="E46" s="114" t="str">
        <f aca="false">IF(Checks!$V$526="","",Checks!$V$526)&amp;IF(Checks!$AC$526="","",IF(Checks!$V$526="","",CHAR(10))&amp;"N/A just.: "&amp;Checks!$AC$526)&amp;IF(Checks!$W$526="","",CHAR(10)&amp;"Batch: "&amp;Checks!$W$526)&amp;IF(AND(Checks!$X$526="",Checks!$Y$526=""),"",CHAR(10)&amp;"Exp: "&amp;Checks!$X$526&amp;"  /  Act: "&amp;Checks!$Y$526)</f>
        <v/>
      </c>
      <c r="F46" s="114" t="str">
        <f aca="false">IF(Checks!$Z$526="","","Evidence: "&amp;Checks!$Z$526)&amp;IF(Checks!$AA$526="","",IF(Checks!$Z$526="","",CHAR(10))&amp;"CA: "&amp;Checks!$AA$526)</f>
        <v/>
      </c>
      <c r="G46" s="114" t="str">
        <f aca="false">IF(ISNUMBER(Checks!$AD$526),TEXT(Checks!$AD$526,"DD-MMM-YY HH:MM")&amp;" "&amp;Checks!$P$526,"")&amp;IF(Checks!$AE$526="","",CHAR(10)&amp;"Verifier: "&amp;Checks!$AE$526)&amp;IF(Checks!$T$526="","",CHAR(10)&amp;"PIC: "&amp;Checks!$T$526)</f>
        <v/>
      </c>
      <c r="H46" s="115" t="str">
        <f aca="false">IF(Checks!$AH$526="","",Checks!$AH$526)</f>
        <v>OPEN</v>
      </c>
    </row>
    <row r="47" customFormat="false" ht="114" hidden="false" customHeight="true" outlineLevel="0" collapsed="false">
      <c r="A47" s="114" t="str">
        <f aca="false">Checks!$A$527&amp;CHAR(10)&amp;IF(Checks!$I$527="","",Checks!$I$527&amp;": ")&amp;Checks!$J$527</f>
        <v>F16-UPL-02
Equipment: Equipment physically loaded at GLD positions - quantity &amp; positions</v>
      </c>
      <c r="B47" s="114" t="str">
        <f aca="false">Checks!$K$527&amp;IF(Checks!$O$527="","",IF(Checks!$K$527="","",CHAR(10))&amp;"Note: "&amp;Checks!$O$527)</f>
        <v>Enter expected &amp; actual
Note: Confirm on board before departure; completion time must fall inside the uplift window.</v>
      </c>
      <c r="C47" s="114" t="str">
        <f aca="false">Checks!$N$527&amp;CHAR(10)&amp;IF(ISNUMBER(Checks!$R$527),TEXT(Checks!$R$527,"DD-MMM-YY HH:MM"),"")&amp;" "&amp;Checks!$P$527</f>
        <v>Required
26-Oct-26 09:10 KUL</v>
      </c>
      <c r="D47" s="114" t="str">
        <f aca="false">IF(Checks!$U$527="","",Checks!$U$527)&amp;IF(Checks!$AB$527="","",CHAR(10)&amp;"CA: "&amp;Checks!$AB$527)</f>
        <v/>
      </c>
      <c r="E47" s="114" t="str">
        <f aca="false">IF(Checks!$V$527="","",Checks!$V$527)&amp;IF(Checks!$AC$527="","",IF(Checks!$V$527="","",CHAR(10))&amp;"N/A just.: "&amp;Checks!$AC$527)&amp;IF(Checks!$W$527="","",CHAR(10)&amp;"Batch: "&amp;Checks!$W$527)&amp;IF(AND(Checks!$X$527="",Checks!$Y$527=""),"",CHAR(10)&amp;"Exp: "&amp;Checks!$X$527&amp;"  /  Act: "&amp;Checks!$Y$527)</f>
        <v/>
      </c>
      <c r="F47" s="114" t="str">
        <f aca="false">IF(Checks!$Z$527="","","Evidence: "&amp;Checks!$Z$527)&amp;IF(Checks!$AA$527="","",IF(Checks!$Z$527="","",CHAR(10))&amp;"CA: "&amp;Checks!$AA$527)</f>
        <v/>
      </c>
      <c r="G47" s="114" t="str">
        <f aca="false">IF(ISNUMBER(Checks!$AD$527),TEXT(Checks!$AD$527,"DD-MMM-YY HH:MM")&amp;" "&amp;Checks!$P$527,"")&amp;IF(Checks!$AE$527="","",CHAR(10)&amp;"Verifier: "&amp;Checks!$AE$527)&amp;IF(Checks!$T$527="","",CHAR(10)&amp;"PIC: "&amp;Checks!$T$527)</f>
        <v/>
      </c>
      <c r="H47" s="115" t="str">
        <f aca="false">IF(Checks!$AH$527="","",Checks!$AH$527)</f>
        <v>OPEN</v>
      </c>
    </row>
    <row r="48" customFormat="false" ht="114" hidden="false" customHeight="true" outlineLevel="0" collapsed="false">
      <c r="A48" s="114" t="str">
        <f aca="false">Checks!$A$528&amp;CHAR(10)&amp;IF(Checks!$I$528="","",Checks!$I$528&amp;": ")&amp;Checks!$J$528</f>
        <v>F16-UPL-03
Seat Linen: Seat pillow (EY) - on board</v>
      </c>
      <c r="B48" s="114" t="str">
        <f aca="false">Checks!$K$528&amp;IF(Checks!$O$528="","",IF(Checks!$K$528="","",CHAR(10))&amp;"Note: "&amp;Checks!$O$528)</f>
        <v>Available 100% (ticked in reference)</v>
      </c>
      <c r="C48" s="114" t="str">
        <f aca="false">Checks!$N$528&amp;CHAR(10)&amp;IF(ISNUMBER(Checks!$R$528),TEXT(Checks!$R$528,"DD-MMM-YY HH:MM"),"")&amp;" "&amp;Checks!$P$528</f>
        <v>Required
26-Oct-26 09:10 KUL</v>
      </c>
      <c r="D48" s="114" t="str">
        <f aca="false">IF(Checks!$U$528="","",Checks!$U$528)&amp;IF(Checks!$AB$528="","",CHAR(10)&amp;"CA: "&amp;Checks!$AB$528)</f>
        <v/>
      </c>
      <c r="E48" s="114" t="str">
        <f aca="false">IF(Checks!$V$528="","",Checks!$V$528)&amp;IF(Checks!$AC$528="","",IF(Checks!$V$528="","",CHAR(10))&amp;"N/A just.: "&amp;Checks!$AC$528)&amp;IF(Checks!$W$528="","",CHAR(10)&amp;"Batch: "&amp;Checks!$W$528)&amp;IF(AND(Checks!$X$528="",Checks!$Y$528=""),"",CHAR(10)&amp;"Exp: "&amp;Checks!$X$528&amp;"  /  Act: "&amp;Checks!$Y$528)</f>
        <v/>
      </c>
      <c r="F48" s="114" t="str">
        <f aca="false">IF(Checks!$Z$528="","","Evidence: "&amp;Checks!$Z$528)&amp;IF(Checks!$AA$528="","",IF(Checks!$Z$528="","",CHAR(10))&amp;"CA: "&amp;Checks!$AA$528)</f>
        <v/>
      </c>
      <c r="G48" s="114" t="str">
        <f aca="false">IF(ISNUMBER(Checks!$AD$528),TEXT(Checks!$AD$528,"DD-MMM-YY HH:MM")&amp;" "&amp;Checks!$P$528,"")&amp;IF(Checks!$AE$528="","",CHAR(10)&amp;"Verifier: "&amp;Checks!$AE$528)&amp;IF(Checks!$T$528="","",CHAR(10)&amp;"PIC: "&amp;Checks!$T$528)</f>
        <v/>
      </c>
      <c r="H48" s="115" t="str">
        <f aca="false">IF(Checks!$AH$528="","",Checks!$AH$528)</f>
        <v>OPEN</v>
      </c>
    </row>
    <row r="49" customFormat="false" ht="213" hidden="false" customHeight="true" outlineLevel="0" collapsed="false">
      <c r="A49" s="114" t="str">
        <f aca="false">Checks!$A$529&amp;CHAR(10)&amp;IF(Checks!$I$529="","",Checks!$I$529&amp;": ")&amp;Checks!$J$529</f>
        <v>F16-UPL-04
Seat Linen: Blanket (EY) - on board</v>
      </c>
      <c r="B49" s="114" t="str">
        <f aca="false">SUBSTITUTE(Checks!$K$529&amp;IF(Checks!$O$529="","",IF(Checks!$K$529="","",CHAR(10))&amp;"Note: "&amp;Checks!$O$529),"SEAT LINEN!","Ref: SEAT LINEN!")</f>
        <v>Available 100% (ticked in reference)
Note: EY blanket: flight above 3 hours excl. Regional (Ref: SEAT LINEN!B74:C74); block 4.08 h. Matrix shows a tick for this ORIENTAL sector but B74 excludes 'Regional sectors' without defining them - confirm whether this sector counts as Regional. Quantity for this aircraft not stated in reference.</v>
      </c>
      <c r="C49" s="114" t="str">
        <f aca="false">Checks!$N$529&amp;CHAR(10)&amp;IF(ISNUMBER(Checks!$R$529),TEXT(Checks!$R$529,"DD-MMM-YY HH:MM"),"")&amp;" "&amp;Checks!$P$529</f>
        <v>Clarification required
26-Oct-26 09:10 KUL</v>
      </c>
      <c r="D49" s="114" t="str">
        <f aca="false">IF(Checks!$U$529="","",Checks!$U$529)&amp;IF(Checks!$AB$529="","",CHAR(10)&amp;"CA: "&amp;Checks!$AB$529)</f>
        <v/>
      </c>
      <c r="E49" s="114" t="str">
        <f aca="false">IF(Checks!$V$529="","",Checks!$V$529)&amp;IF(Checks!$AC$529="","",IF(Checks!$V$529="","",CHAR(10))&amp;"N/A just.: "&amp;Checks!$AC$529)&amp;IF(Checks!$W$529="","",CHAR(10)&amp;"Batch: "&amp;Checks!$W$529)&amp;IF(AND(Checks!$X$529="",Checks!$Y$529=""),"",CHAR(10)&amp;"Exp: "&amp;Checks!$X$529&amp;"  /  Act: "&amp;Checks!$Y$529)</f>
        <v/>
      </c>
      <c r="F49" s="114" t="str">
        <f aca="false">IF(Checks!$Z$529="","","Evidence: "&amp;Checks!$Z$529)&amp;IF(Checks!$AA$529="","",IF(Checks!$Z$529="","",CHAR(10))&amp;"CA: "&amp;Checks!$AA$529)</f>
        <v/>
      </c>
      <c r="G49" s="114" t="str">
        <f aca="false">IF(ISNUMBER(Checks!$AD$529),TEXT(Checks!$AD$529,"DD-MMM-YY HH:MM")&amp;" "&amp;Checks!$P$529,"")&amp;IF(Checks!$AE$529="","",CHAR(10)&amp;"Verifier: "&amp;Checks!$AE$529)&amp;IF(Checks!$T$529="","",CHAR(10)&amp;"PIC: "&amp;Checks!$T$529)</f>
        <v/>
      </c>
      <c r="H49" s="115" t="str">
        <f aca="false">IF(Checks!$AH$529="","",Checks!$AH$529)</f>
        <v>OPEN – CLARIFICATION</v>
      </c>
    </row>
    <row r="50" customFormat="false" ht="114" hidden="false" customHeight="true" outlineLevel="0" collapsed="false">
      <c r="A50" s="114" t="str">
        <f aca="false">Checks!$A$530&amp;CHAR(10)&amp;IF(Checks!$I$530="","",Checks!$I$530&amp;": ")&amp;Checks!$J$530</f>
        <v>F16-UPL-05
Sales Cart: Sales cart (caterer MCAT) - on board</v>
      </c>
      <c r="B50" s="114" t="str">
        <f aca="false">SUBSTITUTE(Checks!$K$530&amp;IF(Checks!$O$530="","",IF(Checks!$K$530="","",CHAR(10))&amp;"Note: "&amp;Checks!$O$530),"SALES CART!","Ref: SALES CART!")</f>
        <v>Location 210A (B7M8)
Note: Block 4.08 h &gt;= 4 h (note Ref: SALES CART!C40).</v>
      </c>
      <c r="C50" s="114" t="str">
        <f aca="false">Checks!$N$530&amp;CHAR(10)&amp;IF(ISNUMBER(Checks!$R$530),TEXT(Checks!$R$530,"DD-MMM-YY HH:MM"),"")&amp;" "&amp;Checks!$P$530</f>
        <v>Required
26-Oct-26 09:10 KUL</v>
      </c>
      <c r="D50" s="114" t="str">
        <f aca="false">IF(Checks!$U$530="","",Checks!$U$530)&amp;IF(Checks!$AB$530="","",CHAR(10)&amp;"CA: "&amp;Checks!$AB$530)</f>
        <v/>
      </c>
      <c r="E50" s="114" t="str">
        <f aca="false">IF(Checks!$V$530="","",Checks!$V$530)&amp;IF(Checks!$AC$530="","",IF(Checks!$V$530="","",CHAR(10))&amp;"N/A just.: "&amp;Checks!$AC$530)&amp;IF(Checks!$W$530="","",CHAR(10)&amp;"Batch: "&amp;Checks!$W$530)&amp;IF(AND(Checks!$X$530="",Checks!$Y$530=""),"",CHAR(10)&amp;"Exp: "&amp;Checks!$X$530&amp;"  /  Act: "&amp;Checks!$Y$530)</f>
        <v/>
      </c>
      <c r="F50" s="114" t="str">
        <f aca="false">IF(Checks!$Z$530="","","Evidence: "&amp;Checks!$Z$530)&amp;IF(Checks!$AA$530="","",IF(Checks!$Z$530="","",CHAR(10))&amp;"CA: "&amp;Checks!$AA$530)</f>
        <v/>
      </c>
      <c r="G50" s="114" t="str">
        <f aca="false">IF(ISNUMBER(Checks!$AD$530),TEXT(Checks!$AD$530,"DD-MMM-YY HH:MM")&amp;" "&amp;Checks!$P$530,"")&amp;IF(Checks!$AE$530="","",CHAR(10)&amp;"Verifier: "&amp;Checks!$AE$530)&amp;IF(Checks!$T$530="","",CHAR(10)&amp;"PIC: "&amp;Checks!$T$530)</f>
        <v/>
      </c>
      <c r="H50" s="115" t="str">
        <f aca="false">IF(Checks!$AH$530="","",Checks!$AH$530)</f>
        <v>OPEN</v>
      </c>
    </row>
    <row r="52" customFormat="false" ht="24" hidden="false" customHeight="true" outlineLevel="0" collapsed="false">
      <c r="A52" s="116" t="s">
        <v>1737</v>
      </c>
      <c r="B52" s="116"/>
      <c r="C52" s="116"/>
      <c r="D52" s="116"/>
      <c r="E52" s="116" t="s">
        <v>1738</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F16 MH0072 26-Oct-26 KUL-HKG Class EY</oddHeader>
    <oddFooter>&amp;L&amp;"Arial,Bold"&amp;8 F16 MH0072 26-Oct-26 KUL-HKG Class EY&amp;C&amp;"Arial,Regular"&amp;8 Printed: ____________________&amp;R&amp;"Arial,Regular"&amp;8 F16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F17  "&amp;Flights!$F$21&amp;"  "&amp;TEXT(Flights!$D$21,"DD-MMM-YY")&amp;" ("&amp;Flights!$E$21&amp;")  "&amp;Flights!$G$21&amp;" → "&amp;Flights!$H$21&amp;"  |  Class "&amp;Flights!$K$21</f>
        <v>SKYTRAX 2026 CATERING READINESS CHECKLIST  |  F17  MH0073  27-Oct-26 (TUE)  HKG → KUL  |  Class BC</v>
      </c>
      <c r="B1" s="92"/>
      <c r="C1" s="92"/>
      <c r="D1" s="92"/>
      <c r="E1" s="92"/>
      <c r="F1" s="92"/>
      <c r="G1" s="92"/>
      <c r="H1" s="92"/>
    </row>
    <row r="2" customFormat="false" ht="12.75" hidden="false" customHeight="true" outlineLevel="0" collapsed="false">
      <c r="A2" s="93" t="s">
        <v>1692</v>
      </c>
      <c r="B2" s="94" t="str">
        <f aca="false">Flights!$F$21&amp;"   "&amp;TEXT(Flights!$D$21,"DD-MMM-YY")&amp;" ("&amp;Flights!$E$21&amp;")"</f>
        <v>MH0073   27-Oct-26 (TUE)</v>
      </c>
      <c r="C2" s="94"/>
      <c r="D2" s="94"/>
      <c r="E2" s="95" t="s">
        <v>1693</v>
      </c>
      <c r="F2" s="96" t="str">
        <f aca="false">Flights!$AT$21</f>
        <v>NOT READY – DOCUMENTS</v>
      </c>
      <c r="G2" s="96"/>
      <c r="H2" s="96"/>
    </row>
    <row r="3" customFormat="false" ht="24" hidden="false" customHeight="true" outlineLevel="0" collapsed="false">
      <c r="A3" s="93" t="s">
        <v>1694</v>
      </c>
      <c r="B3" s="94" t="str">
        <f aca="false">Flights!$G$21&amp;" → "&amp;Flights!$H$21&amp;"   Class "&amp;Flights!$K$21&amp;"   Seat "&amp;Flights!$O$21</f>
        <v>HKG → KUL   Class BC   Seat 1C</v>
      </c>
      <c r="C3" s="94"/>
      <c r="D3" s="94"/>
      <c r="E3" s="95" t="s">
        <v>71</v>
      </c>
      <c r="F3" s="95" t="s">
        <v>1695</v>
      </c>
      <c r="G3" s="95" t="s">
        <v>1696</v>
      </c>
      <c r="H3" s="95"/>
    </row>
    <row r="4" customFormat="false" ht="24" hidden="false" customHeight="true" outlineLevel="0" collapsed="false">
      <c r="A4" s="93" t="s">
        <v>1697</v>
      </c>
      <c r="B4" s="94" t="str">
        <f aca="false">IF(ISNUMBER(Flights!$I$21),TEXT(Flights!$I$21,"DD-MMM-YY HH:MM"),"")&amp;" "&amp;Flights!$G$21&amp;"  →  "&amp;IF(ISNUMBER(Flights!$J$21),TEXT(Flights!$J$21,"DD-MMM-YY HH:MM"),"")&amp;" "&amp;Flights!$H$21</f>
        <v>27-Oct-26 14:50 HKG  →  27-Oct-26 18:55 KUL</v>
      </c>
      <c r="C4" s="94"/>
      <c r="D4" s="94"/>
      <c r="E4" s="93" t="s">
        <v>1698</v>
      </c>
      <c r="F4" s="97" t="str">
        <f aca="false">IF(ISNUMBER(Flights!$AG$21),TEXT(Flights!$AG$21,"DD-MMM-YY HH:MM"),"")&amp;" "&amp;Flights!$V$21</f>
        <v>20-Oct-26 14:50 HKG</v>
      </c>
      <c r="G4" s="98" t="n">
        <f aca="false">Flights!$AJ$21</f>
        <v>0</v>
      </c>
      <c r="H4" s="98"/>
    </row>
    <row r="5" customFormat="false" ht="24" hidden="false" customHeight="true" outlineLevel="0" collapsed="false">
      <c r="A5" s="93" t="s">
        <v>1699</v>
      </c>
      <c r="B5" s="94" t="str">
        <f aca="false">Flights!$L$21&amp;" – "&amp;Flights!$M$21</f>
        <v>B738MAX – B737-8 (B7M8)</v>
      </c>
      <c r="C5" s="94"/>
      <c r="D5" s="94"/>
      <c r="E5" s="93" t="s">
        <v>1700</v>
      </c>
      <c r="F5" s="97" t="str">
        <f aca="false">IF(ISNUMBER(Flights!$AH$21),TEXT(Flights!$AH$21,"DD-MMM-YY HH:MM"),"")&amp;" "&amp;Flights!$V$21</f>
        <v>26-Oct-26 14:50 HKG</v>
      </c>
      <c r="G5" s="98" t="n">
        <f aca="false">Flights!$AK$21</f>
        <v>0</v>
      </c>
      <c r="H5" s="98"/>
    </row>
    <row r="6" customFormat="false" ht="24" hidden="false" customHeight="true" outlineLevel="0" collapsed="false">
      <c r="A6" s="93" t="s">
        <v>1701</v>
      </c>
      <c r="B6" s="94" t="str">
        <f aca="false">IF(TRIM(Flights!$N$21)="","__________________",Flights!$N$21)</f>
        <v>__________________</v>
      </c>
      <c r="C6" s="94"/>
      <c r="D6" s="94"/>
      <c r="E6" s="93" t="s">
        <v>1702</v>
      </c>
      <c r="F6" s="97" t="str">
        <f aca="false">IF(ISNUMBER(Flights!$AI$21),TEXT(Flights!$AI$21,"DD-MMM-YY HH:MM"),"")&amp;" "&amp;Flights!$V$21&amp;IF(Flights!$AI$21=Flights!$AH$21,"  (= T-24H due)","")</f>
        <v>27-Oct-26 02:50 HKG</v>
      </c>
      <c r="G6" s="98" t="n">
        <f aca="false">Flights!$AL$21</f>
        <v>0</v>
      </c>
      <c r="H6" s="98"/>
    </row>
    <row r="7" customFormat="false" ht="24" hidden="false" customHeight="true" outlineLevel="0" collapsed="false">
      <c r="A7" s="93" t="s">
        <v>1703</v>
      </c>
      <c r="B7" s="94" t="str">
        <f aca="false">Flights!$T$21</f>
        <v>1 Meal + DAT(Noodles Svc) (Meal)</v>
      </c>
      <c r="C7" s="94"/>
      <c r="D7" s="94"/>
      <c r="E7" s="93" t="s">
        <v>1704</v>
      </c>
      <c r="F7" s="97" t="str">
        <f aca="false">"STD "&amp;IF(ISNUMBER(Flights!$I$21),TEXT(Flights!$I$21,"DD-MMM-YY HH:MM"),"")&amp;" "&amp;Flights!$G$21&amp;" (dep stn)"</f>
        <v>STD 27-Oct-26 14:50 HKG (dep stn)</v>
      </c>
      <c r="G7" s="98" t="n">
        <f aca="false">Flights!$AM$21</f>
        <v>0</v>
      </c>
      <c r="H7" s="98"/>
    </row>
    <row r="8" customFormat="false" ht="12.75" hidden="false" customHeight="true" outlineLevel="0" collapsed="false">
      <c r="A8" s="93" t="s">
        <v>153</v>
      </c>
      <c r="B8" s="94" t="str">
        <f aca="false">Flights!$V$21&amp;"   (reference uplift stns: "&amp;Flights!$U$21&amp;")"</f>
        <v>HKG   (reference uplift stns: KUL/HKG)</v>
      </c>
      <c r="C8" s="94"/>
      <c r="D8" s="94"/>
      <c r="E8" s="93" t="s">
        <v>1705</v>
      </c>
      <c r="F8" s="99" t="s">
        <v>1706</v>
      </c>
      <c r="G8" s="98" t="n">
        <f aca="false">Flights!$AN$21</f>
        <v>0</v>
      </c>
      <c r="H8" s="98"/>
    </row>
    <row r="9" customFormat="false" ht="12.75" hidden="false" customHeight="true" outlineLevel="0" collapsed="false">
      <c r="A9" s="93" t="s">
        <v>1707</v>
      </c>
      <c r="B9" s="94" t="str">
        <f aca="false">TRIM(Flights!$P$21&amp;"  "&amp;Flights!$Q$21)</f>
        <v>-</v>
      </c>
      <c r="C9" s="94"/>
      <c r="D9" s="94"/>
      <c r="E9" s="93" t="s">
        <v>1708</v>
      </c>
      <c r="F9" s="100" t="n">
        <f aca="false">Flights!$AP$21</f>
        <v>0</v>
      </c>
      <c r="G9" s="100" t="n">
        <f aca="false">Flights!$AQ$21</f>
        <v>0</v>
      </c>
      <c r="H9" s="100" t="n">
        <f aca="false">Flights!$AU$21</f>
        <v>0</v>
      </c>
    </row>
    <row r="10" customFormat="false" ht="24" hidden="false" customHeight="true" outlineLevel="0" collapsed="false">
      <c r="A10" s="93" t="s">
        <v>1709</v>
      </c>
      <c r="B10" s="94" t="str">
        <f aca="false">IF(TRIM(Flights!$X$21)="","__________________",Flights!$X$21)</f>
        <v>__________________</v>
      </c>
      <c r="C10" s="94"/>
      <c r="D10" s="94"/>
      <c r="E10" s="93" t="s">
        <v>1710</v>
      </c>
      <c r="F10" s="100" t="n">
        <f aca="false">Flights!$AO$21</f>
        <v>42</v>
      </c>
      <c r="G10" s="100" t="n">
        <f aca="false">Flights!$AS$21</f>
        <v>4</v>
      </c>
      <c r="H10" s="100" t="n">
        <f aca="false">Flights!$AR$21</f>
        <v>2</v>
      </c>
    </row>
    <row r="11" customFormat="false" ht="21" hidden="false" customHeight="true" outlineLevel="0" collapsed="false">
      <c r="A11" s="93" t="s">
        <v>1711</v>
      </c>
      <c r="B11" s="94" t="str">
        <f aca="false">IF(TRIM(Flights!$Y$21)="","__________________",Flights!$Y$21)</f>
        <v>__________________</v>
      </c>
      <c r="C11" s="94"/>
      <c r="D11" s="94"/>
      <c r="E11" s="93" t="s">
        <v>1712</v>
      </c>
      <c r="F11" s="100" t="str">
        <f aca="false">Flights!$AV$21&amp;" / "&amp;Flights!$AW$21</f>
        <v>0 / 42</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45.75" hidden="false" customHeight="true" outlineLevel="0" collapsed="false">
      <c r="A13" s="118" t="str">
        <f aca="false">"KUL-SOURCED ITEMS: some items for this flight are uplifted at KUL on an inbound carrying flight (identify it in the clarification check). Their preparation is capped at the KUL loading window."&amp;CHAR(10)&amp;"KUL loading window opens (caps prep dues; each row shows its binding due): "&amp;IF(ISNUMBER(Flights!$AY$21),TEXT(Flights!$AY$21+IFERROR(INDEX(Settings!$C$13:$C$22,MATCH("KUL",Settings!$A$13:$A$22,0)),8)/24,"DD-MMM-YY HH:MM")&amp;" KUL","(not set)")&amp;"   |   Carrying flight KUL departure (loading confirmed by): "&amp;IF(ISNUMBER(Flights!$AY$21),TEXT(Flights!$AY$21+UpliftWindowH/24+IFERROR(INDEX(Settings!$C$13:$C$22,MATCH("KUL",Settings!$A$13:$A$22,0)),8)/24,"DD-MMM-YY HH:MM")&amp;" KUL","(not set)")&amp;IF(ISNUMBER(Flights!$AX$21),"",IF(TRIM(Flights!$W$21)&lt;&gt;""," (agenda candidate – enter actual on Flights AX)"," (latest possible – enter actual on Flights AX)"))</f>
        <v>KUL-SOURCED ITEMS: some items for this flight are uplifted at KUL on an inbound carrying flight (identify it in the clarification check). Their preparation is capped at the KUL loading window.
KUL loading window opens (caps prep dues; each row shows its binding due): 26-Oct-26 03:10 KUL   |   Carrying flight KUL departure (loading confirmed by): 26-Oct-26 09:10 KUL (latest possible – enter actual on Flights AX)</v>
      </c>
      <c r="B13" s="118"/>
      <c r="C13" s="118"/>
      <c r="D13" s="118"/>
      <c r="E13" s="118"/>
      <c r="F13" s="118"/>
      <c r="G13" s="118"/>
      <c r="H13" s="118"/>
    </row>
    <row r="14" customFormat="false" ht="13.5" hidden="false" customHeight="true" outlineLevel="0" collapsed="false">
      <c r="A14" s="95" t="s">
        <v>1717</v>
      </c>
      <c r="B14" s="95" t="s">
        <v>1718</v>
      </c>
      <c r="C14" s="95" t="s">
        <v>1719</v>
      </c>
      <c r="D14" s="95"/>
      <c r="E14" s="95" t="s">
        <v>1720</v>
      </c>
      <c r="F14" s="95" t="s">
        <v>1721</v>
      </c>
      <c r="G14" s="95"/>
      <c r="H14" s="95"/>
    </row>
    <row r="15" customFormat="false" ht="36" hidden="false" customHeight="true" outlineLevel="0" collapsed="false">
      <c r="A15" s="93" t="s">
        <v>1722</v>
      </c>
      <c r="B15" s="94" t="str">
        <f aca="false">IF(Documents!$F$21="","",Documents!$F$21)</f>
        <v/>
      </c>
      <c r="C15" s="99" t="str">
        <f aca="false">IF(Documents!$G$21="","",Documents!$G$21)&amp;IF(ISNUMBER(Documents!$H$21),"  "&amp;TEXT(Documents!$H$21,"DD-MMM-YY"),"")</f>
        <v/>
      </c>
      <c r="D15" s="99"/>
      <c r="E15" s="107" t="str">
        <f aca="false">IF(Documents!$J$21="OUTSTANDING","OUTSTANDING – attach before T-7D (due "&amp;IF(ISNUMBER(Flights!$AG$21),TEXT(Flights!$AG$21,"DD-MMM-YY HH:MM"),"")&amp;" "&amp;Flights!$V$21&amp;")",IF(Documents!$J$21="","Status not recorded",Documents!$J$21))</f>
        <v>OUTSTANDING – attach before T-7D (due 20-Oct-26 14:50 HKG)</v>
      </c>
      <c r="F15" s="108" t="str">
        <f aca="false">"Staple behind this sheet as page A1."&amp;IF(Documents!$I$21="",""," Location: "&amp;Documents!$I$21)</f>
        <v>Staple behind this sheet as page A1.</v>
      </c>
      <c r="G15" s="108"/>
      <c r="H15" s="108"/>
    </row>
    <row r="16" customFormat="false" ht="36" hidden="false" customHeight="true" outlineLevel="0" collapsed="false">
      <c r="A16" s="93" t="s">
        <v>1723</v>
      </c>
      <c r="B16" s="94" t="str">
        <f aca="false">IF(Documents!$K$21="","",Documents!$K$21)</f>
        <v/>
      </c>
      <c r="C16" s="99" t="str">
        <f aca="false">IF(Documents!$L$21="","",Documents!$L$21)&amp;IF(ISNUMBER(Documents!$M$21),"  "&amp;TEXT(Documents!$M$21,"DD-MMM-YY"),"")</f>
        <v/>
      </c>
      <c r="D16" s="99"/>
      <c r="E16" s="107" t="str">
        <f aca="false">IF(Documents!$O$21="OUTSTANDING","OUTSTANDING – attach before T-7D (due "&amp;IF(ISNUMBER(Flights!$AG$21),TEXT(Flights!$AG$21,"DD-MMM-YY HH:MM"),"")&amp;" "&amp;Flights!$V$21&amp;")",IF(Documents!$O$21="","Status not recorded",Documents!$O$21))</f>
        <v>OUTSTANDING – attach before T-7D (due 20-Oct-26 14:50 HKG)</v>
      </c>
      <c r="F16" s="108" t="str">
        <f aca="false">"Staple behind this sheet as page A2."&amp;IF(Documents!$N$21="",""," Location: "&amp;Documents!$N$21)</f>
        <v>Staple behind this sheet as page A2.</v>
      </c>
      <c r="G16" s="108"/>
      <c r="H16" s="108"/>
    </row>
    <row r="17" customFormat="false" ht="22.5" hidden="false" customHeight="true" outlineLevel="0" collapsed="false">
      <c r="A17" s="93" t="s">
        <v>1724</v>
      </c>
      <c r="B17" s="109" t="str">
        <f aca="false">IF(Documents!$Q$21="","",Documents!$Q$21)</f>
        <v>Not supplied with brief – obtain from caterer / MAGCS.</v>
      </c>
      <c r="C17" s="109"/>
      <c r="D17" s="109"/>
      <c r="E17" s="109"/>
      <c r="F17" s="109"/>
      <c r="G17" s="109"/>
      <c r="H17" s="109"/>
    </row>
    <row r="18" customFormat="false" ht="13.5" hidden="false" customHeight="true" outlineLevel="0" collapsed="false">
      <c r="A18" s="110" t="s">
        <v>1725</v>
      </c>
      <c r="B18" s="110"/>
      <c r="C18" s="110" t="s">
        <v>1726</v>
      </c>
      <c r="D18" s="110"/>
      <c r="E18" s="110"/>
      <c r="F18" s="110" t="s">
        <v>1727</v>
      </c>
      <c r="G18" s="110"/>
      <c r="H18" s="110"/>
    </row>
    <row r="19" customFormat="false" ht="18" hidden="false" customHeight="true" outlineLevel="0" collapsed="false">
      <c r="A19" s="94" t="str">
        <f aca="false">"Name: "&amp;IF(TRIM(Flights!$Y$21)="","__________________",Flights!$Y$21)</f>
        <v>Name: __________________</v>
      </c>
      <c r="B19" s="94"/>
      <c r="C19" s="94" t="str">
        <f aca="false">"Name: __________________"</f>
        <v>Name: __________________</v>
      </c>
      <c r="D19" s="94"/>
      <c r="E19" s="94"/>
      <c r="F19" s="94" t="str">
        <f aca="false">"Name: __________________"&amp;"   Station: "&amp;Flights!$V$21</f>
        <v>Name: __________________   Station: HKG</v>
      </c>
      <c r="G19" s="94"/>
      <c r="H19" s="94"/>
    </row>
    <row r="20" customFormat="false" ht="30" hidden="false" customHeight="true" outlineLevel="0" collapsed="false">
      <c r="A20" s="111" t="s">
        <v>1728</v>
      </c>
      <c r="B20" s="111"/>
      <c r="C20" s="111" t="s">
        <v>1728</v>
      </c>
      <c r="D20" s="111"/>
      <c r="E20" s="111"/>
      <c r="F20" s="111" t="s">
        <v>1728</v>
      </c>
      <c r="G20" s="111"/>
      <c r="H20" s="111"/>
    </row>
    <row r="21" customFormat="false" ht="13.5" hidden="false" customHeight="true" outlineLevel="0" collapsed="false">
      <c r="A21" s="112" t="s">
        <v>1729</v>
      </c>
      <c r="B21" s="112"/>
      <c r="C21" s="112"/>
      <c r="D21" s="112"/>
      <c r="E21" s="112"/>
      <c r="F21" s="112"/>
      <c r="G21" s="112"/>
      <c r="H21" s="112"/>
    </row>
    <row r="22" customFormat="false" ht="24" hidden="false" customHeight="true" outlineLevel="0" collapsed="false">
      <c r="A22" s="95" t="s">
        <v>1730</v>
      </c>
      <c r="B22" s="95" t="s">
        <v>1731</v>
      </c>
      <c r="C22" s="95" t="s">
        <v>1732</v>
      </c>
      <c r="D22" s="95" t="s">
        <v>1733</v>
      </c>
      <c r="E22" s="95" t="s">
        <v>1734</v>
      </c>
      <c r="F22" s="95" t="s">
        <v>1735</v>
      </c>
      <c r="G22" s="95" t="s">
        <v>1736</v>
      </c>
      <c r="H22" s="95" t="s">
        <v>124</v>
      </c>
    </row>
    <row r="23" customFormat="false" ht="25.5" hidden="false" customHeight="true" outlineLevel="0" collapsed="false">
      <c r="A23" s="113" t="str">
        <f aca="false">"T-7D — 7 days before departure  |  Due "&amp;IF(ISNUMBER(Flights!$AG$21),TEXT(Flights!$AG$21,"DD-MMM-YY HH:MM"),"")&amp;" "&amp;Flights!$V$21&amp;" (meal uplift stn)"&amp;" (rows with another due show their own)  |  Complete "&amp;IF(ISNUMBER(Flights!$AJ$21),TEXT(Flights!$AJ$21,"0%"),Flights!$AJ$21)&amp;"  |  10 lines"</f>
        <v>T-7D — 7 days before departure  |  Due 20-Oct-26 14:50 HKG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Checks!$A$531&amp;CHAR(10)&amp;IF(Checks!$I$531="","",Checks!$I$531&amp;": ")&amp;Checks!$J$531</f>
        <v>F17-T7-01
Meal: Meal sensory testing completed for this flight's menu cycle (assessed class)</v>
      </c>
      <c r="B24" s="114" t="str">
        <f aca="false">Checks!$K$531&amp;IF(Checks!$O$531="","",IF(Checks!$K$531="","",CHAR(10))&amp;"Note: "&amp;Checks!$O$531)</f>
        <v>Record panel result / score in Result</v>
      </c>
      <c r="C24" s="114" t="str">
        <f aca="false">Checks!$N$531&amp;CHAR(10)&amp;IF(ISNUMBER(Checks!$R$531),TEXT(Checks!$R$531,"DD-MMM-YY HH:MM"),"")&amp;" "&amp;Checks!$P$531</f>
        <v>Required
20-Oct-26 14:50 HKG</v>
      </c>
      <c r="D24" s="114" t="str">
        <f aca="false">IF(Checks!$U$531="","",Checks!$U$531)&amp;IF(Checks!$AB$531="","",CHAR(10)&amp;"CA: "&amp;Checks!$AB$531)</f>
        <v/>
      </c>
      <c r="E24" s="114" t="str">
        <f aca="false">IF(Checks!$V$531="","",Checks!$V$531)&amp;IF(Checks!$AC$531="","",IF(Checks!$V$531="","",CHAR(10))&amp;"N/A just.: "&amp;Checks!$AC$531)&amp;IF(Checks!$W$531="","",CHAR(10)&amp;"Batch: "&amp;Checks!$W$531)&amp;IF(AND(Checks!$X$531="",Checks!$Y$531=""),"",CHAR(10)&amp;"Exp: "&amp;Checks!$X$531&amp;"  /  Act: "&amp;Checks!$Y$531)</f>
        <v/>
      </c>
      <c r="F24" s="114" t="str">
        <f aca="false">IF(Checks!$Z$531="","","Evidence: "&amp;Checks!$Z$531)&amp;IF(Checks!$AA$531="","",IF(Checks!$Z$531="","",CHAR(10))&amp;"CA: "&amp;Checks!$AA$531)</f>
        <v/>
      </c>
      <c r="G24" s="114" t="str">
        <f aca="false">IF(ISNUMBER(Checks!$AD$531),TEXT(Checks!$AD$531,"DD-MMM-YY HH:MM")&amp;" "&amp;Checks!$P$531,"")&amp;IF(Checks!$AE$531="","",CHAR(10)&amp;"Verifier: "&amp;Checks!$AE$531)&amp;IF(Checks!$T$531="","",CHAR(10)&amp;"PIC: "&amp;Checks!$T$531)</f>
        <v/>
      </c>
      <c r="H24" s="115" t="str">
        <f aca="false">IF(Checks!$AH$531="","",Checks!$AH$531)</f>
        <v>OPEN</v>
      </c>
    </row>
    <row r="25" customFormat="false" ht="114" hidden="false" customHeight="true" outlineLevel="0" collapsed="false">
      <c r="A25" s="114" t="str">
        <f aca="false">Checks!$A$532&amp;CHAR(10)&amp;IF(Checks!$I$532="","",Checks!$I$532&amp;": ")&amp;Checks!$J$532</f>
        <v>F17-T7-02
Menu: Printed menu cards confirmed (content, cycle, language, quantity)</v>
      </c>
      <c r="B25" s="114" t="str">
        <f aca="false">Checks!$K$532&amp;IF(Checks!$O$532="","",IF(Checks!$K$532="","",CHAR(10))&amp;"Note: "&amp;Checks!$O$532)</f>
        <v>Menu card matches approved menu for this flight</v>
      </c>
      <c r="C25" s="114" t="str">
        <f aca="false">Checks!$N$532&amp;CHAR(10)&amp;IF(ISNUMBER(Checks!$R$532),TEXT(Checks!$R$532,"DD-MMM-YY HH:MM"),"")&amp;" "&amp;Checks!$P$532</f>
        <v>Required
20-Oct-26 14:50 HKG</v>
      </c>
      <c r="D25" s="114" t="str">
        <f aca="false">IF(Checks!$U$532="","",Checks!$U$532)&amp;IF(Checks!$AB$532="","",CHAR(10)&amp;"CA: "&amp;Checks!$AB$532)</f>
        <v/>
      </c>
      <c r="E25" s="114" t="str">
        <f aca="false">IF(Checks!$V$532="","",Checks!$V$532)&amp;IF(Checks!$AC$532="","",IF(Checks!$V$532="","",CHAR(10))&amp;"N/A just.: "&amp;Checks!$AC$532)&amp;IF(Checks!$W$532="","",CHAR(10)&amp;"Batch: "&amp;Checks!$W$532)&amp;IF(AND(Checks!$X$532="",Checks!$Y$532=""),"",CHAR(10)&amp;"Exp: "&amp;Checks!$X$532&amp;"  /  Act: "&amp;Checks!$Y$532)</f>
        <v/>
      </c>
      <c r="F25" s="114" t="str">
        <f aca="false">IF(Checks!$Z$532="","","Evidence: "&amp;Checks!$Z$532)&amp;IF(Checks!$AA$532="","",IF(Checks!$Z$532="","",CHAR(10))&amp;"CA: "&amp;Checks!$AA$532)</f>
        <v/>
      </c>
      <c r="G25" s="114" t="str">
        <f aca="false">IF(ISNUMBER(Checks!$AD$532),TEXT(Checks!$AD$532,"DD-MMM-YY HH:MM")&amp;" "&amp;Checks!$P$532,"")&amp;IF(Checks!$AE$532="","",CHAR(10)&amp;"Verifier: "&amp;Checks!$AE$532)&amp;IF(Checks!$T$532="","",CHAR(10)&amp;"PIC: "&amp;Checks!$T$532)</f>
        <v/>
      </c>
      <c r="H25" s="115" t="str">
        <f aca="false">IF(Checks!$AH$532="","",Checks!$AH$532)</f>
        <v>OPEN</v>
      </c>
    </row>
    <row r="26" customFormat="false" ht="114" hidden="false" customHeight="true" outlineLevel="0" collapsed="false">
      <c r="A26" s="114" t="str">
        <f aca="false">Checks!$A$533&amp;CHAR(10)&amp;IF(Checks!$I$533="","",Checks!$I$533&amp;": ")&amp;Checks!$J$533</f>
        <v>F17-T7-03
IFE: Digital menu in IFE confirmed (A339 only)</v>
      </c>
      <c r="B26" s="114" t="str">
        <f aca="false">Checks!$K$533&amp;IF(Checks!$O$533="","",IF(Checks!$K$533="","",CHAR(10))&amp;"Note: "&amp;Checks!$O$533)</f>
        <v>Applies when fleet = A339
Note: Digital IFE menu applies to A339 only (user brief). Applicability follows the Fleet cell on Flights.</v>
      </c>
      <c r="C26" s="114" t="str">
        <f aca="false">Checks!$N$533&amp;CHAR(10)&amp;IF(ISNUMBER(Checks!$R$533),TEXT(Checks!$R$533,"DD-MMM-YY HH:MM"),"")&amp;" "&amp;Checks!$P$533</f>
        <v>N/A – rule
20-Oct-26 14:50 HKG</v>
      </c>
      <c r="D26" s="114" t="str">
        <f aca="false">IF(Checks!$U$533="","",Checks!$U$533)&amp;IF(Checks!$AB$533="","",CHAR(10)&amp;"CA: "&amp;Checks!$AB$533)</f>
        <v/>
      </c>
      <c r="E26" s="114" t="str">
        <f aca="false">IF(Checks!$V$533="","",Checks!$V$533)&amp;IF(Checks!$AC$533="","",IF(Checks!$V$533="","",CHAR(10))&amp;"N/A just.: "&amp;Checks!$AC$533)&amp;IF(Checks!$W$533="","",CHAR(10)&amp;"Batch: "&amp;Checks!$W$533)&amp;IF(AND(Checks!$X$533="",Checks!$Y$533=""),"",CHAR(10)&amp;"Exp: "&amp;Checks!$X$533&amp;"  /  Act: "&amp;Checks!$Y$533)</f>
        <v/>
      </c>
      <c r="F26" s="114" t="str">
        <f aca="false">IF(Checks!$Z$533="","","Evidence: "&amp;Checks!$Z$533)&amp;IF(Checks!$AA$533="","",IF(Checks!$Z$533="","",CHAR(10))&amp;"CA: "&amp;Checks!$AA$533)</f>
        <v/>
      </c>
      <c r="G26" s="114" t="str">
        <f aca="false">IF(ISNUMBER(Checks!$AD$533),TEXT(Checks!$AD$533,"DD-MMM-YY HH:MM")&amp;" "&amp;Checks!$P$533,"")&amp;IF(Checks!$AE$533="","",CHAR(10)&amp;"Verifier: "&amp;Checks!$AE$533)&amp;IF(Checks!$T$533="","",CHAR(10)&amp;"PIC: "&amp;Checks!$T$533)</f>
        <v/>
      </c>
      <c r="H26" s="115" t="str">
        <f aca="false">IF(Checks!$AH$533="","",Checks!$AH$533)</f>
        <v>N/A – RULE</v>
      </c>
    </row>
    <row r="27" customFormat="false" ht="114" hidden="false" customHeight="true" outlineLevel="0" collapsed="false">
      <c r="A27" s="114" t="str">
        <f aca="false">Checks!$A$534&amp;CHAR(10)&amp;IF(Checks!$I$534="","",Checks!$I$534&amp;": ")&amp;Checks!$J$534</f>
        <v>F17-T7-04
Staffing: Experienced catering officer assigned to this flight</v>
      </c>
      <c r="B27" s="114" t="str">
        <f aca="false">Checks!$K$534&amp;IF(Checks!$O$534="","",IF(Checks!$K$534="","",CHAR(10))&amp;"Note: "&amp;Checks!$O$534)</f>
        <v>Record officer name in Result</v>
      </c>
      <c r="C27" s="114" t="str">
        <f aca="false">Checks!$N$534&amp;CHAR(10)&amp;IF(ISNUMBER(Checks!$R$534),TEXT(Checks!$R$534,"DD-MMM-YY HH:MM"),"")&amp;" "&amp;Checks!$P$534</f>
        <v>Required
20-Oct-26 14:50 HKG</v>
      </c>
      <c r="D27" s="114" t="str">
        <f aca="false">IF(Checks!$U$534="","",Checks!$U$534)&amp;IF(Checks!$AB$534="","",CHAR(10)&amp;"CA: "&amp;Checks!$AB$534)</f>
        <v/>
      </c>
      <c r="E27" s="114" t="str">
        <f aca="false">IF(Checks!$V$534="","",Checks!$V$534)&amp;IF(Checks!$AC$534="","",IF(Checks!$V$534="","",CHAR(10))&amp;"N/A just.: "&amp;Checks!$AC$534)&amp;IF(Checks!$W$534="","",CHAR(10)&amp;"Batch: "&amp;Checks!$W$534)&amp;IF(AND(Checks!$X$534="",Checks!$Y$534=""),"",CHAR(10)&amp;"Exp: "&amp;Checks!$X$534&amp;"  /  Act: "&amp;Checks!$Y$534)</f>
        <v/>
      </c>
      <c r="F27" s="114" t="str">
        <f aca="false">IF(Checks!$Z$534="","","Evidence: "&amp;Checks!$Z$534)&amp;IF(Checks!$AA$534="","",IF(Checks!$Z$534="","",CHAR(10))&amp;"CA: "&amp;Checks!$AA$534)</f>
        <v/>
      </c>
      <c r="G27" s="114" t="str">
        <f aca="false">IF(ISNUMBER(Checks!$AD$534),TEXT(Checks!$AD$534,"DD-MMM-YY HH:MM")&amp;" "&amp;Checks!$P$534,"")&amp;IF(Checks!$AE$534="","",CHAR(10)&amp;"Verifier: "&amp;Checks!$AE$534)&amp;IF(Checks!$T$534="","",CHAR(10)&amp;"PIC: "&amp;Checks!$T$534)</f>
        <v/>
      </c>
      <c r="H27" s="115" t="str">
        <f aca="false">IF(Checks!$AH$534="","",Checks!$AH$534)</f>
        <v>OPEN</v>
      </c>
    </row>
    <row r="28" customFormat="false" ht="114" hidden="false" customHeight="true" outlineLevel="0" collapsed="false">
      <c r="A28" s="114" t="str">
        <f aca="false">Checks!$A$535&amp;CHAR(10)&amp;IF(Checks!$I$535="","",Checks!$I$535&amp;": ")&amp;Checks!$J$535</f>
        <v>F17-T7-05
ISOP: All latest applicable ISOP revisions communicated to caterer</v>
      </c>
      <c r="B28" s="114" t="str">
        <f aca="false">Checks!$K$535&amp;IF(Checks!$O$535="","",IF(Checks!$K$535="","",CHAR(10))&amp;"Note: "&amp;Checks!$O$535)</f>
        <v>List revision numbers in Result (see ISOP register)</v>
      </c>
      <c r="C28" s="114" t="str">
        <f aca="false">Checks!$N$535&amp;CHAR(10)&amp;IF(ISNUMBER(Checks!$R$535),TEXT(Checks!$R$535,"DD-MMM-YY HH:MM"),"")&amp;" "&amp;Checks!$P$535</f>
        <v>Required
20-Oct-26 14:50 HKG</v>
      </c>
      <c r="D28" s="114" t="str">
        <f aca="false">IF(Checks!$U$535="","",Checks!$U$535)&amp;IF(Checks!$AB$535="","",CHAR(10)&amp;"CA: "&amp;Checks!$AB$535)</f>
        <v/>
      </c>
      <c r="E28" s="114" t="str">
        <f aca="false">IF(Checks!$V$535="","",Checks!$V$535)&amp;IF(Checks!$AC$535="","",IF(Checks!$V$535="","",CHAR(10))&amp;"N/A just.: "&amp;Checks!$AC$535)&amp;IF(Checks!$W$535="","",CHAR(10)&amp;"Batch: "&amp;Checks!$W$535)&amp;IF(AND(Checks!$X$535="",Checks!$Y$535=""),"",CHAR(10)&amp;"Exp: "&amp;Checks!$X$535&amp;"  /  Act: "&amp;Checks!$Y$535)</f>
        <v/>
      </c>
      <c r="F28" s="114" t="str">
        <f aca="false">IF(Checks!$Z$535="","","Evidence: "&amp;Checks!$Z$535)&amp;IF(Checks!$AA$535="","",IF(Checks!$Z$535="","",CHAR(10))&amp;"CA: "&amp;Checks!$AA$535)</f>
        <v/>
      </c>
      <c r="G28" s="114" t="str">
        <f aca="false">IF(ISNUMBER(Checks!$AD$535),TEXT(Checks!$AD$535,"DD-MMM-YY HH:MM")&amp;" "&amp;Checks!$P$535,"")&amp;IF(Checks!$AE$535="","",CHAR(10)&amp;"Verifier: "&amp;Checks!$AE$535)&amp;IF(Checks!$T$535="","",CHAR(10)&amp;"PIC: "&amp;Checks!$T$535)</f>
        <v/>
      </c>
      <c r="H28" s="115" t="str">
        <f aca="false">IF(Checks!$AH$535="","",Checks!$AH$535)</f>
        <v>OPEN</v>
      </c>
    </row>
    <row r="29" customFormat="false" ht="114" hidden="false" customHeight="true" outlineLevel="0" collapsed="false">
      <c r="A29" s="114" t="str">
        <f aca="false">Checks!$A$536&amp;CHAR(10)&amp;IF(Checks!$I$536="","",Checks!$I$536&amp;": ")&amp;Checks!$J$536</f>
        <v>F17-T7-06
ISOP: Caterer acknowledgement of ISOP revisions recorded</v>
      </c>
      <c r="B29" s="114" t="str">
        <f aca="false">Checks!$K$536&amp;IF(Checks!$O$536="","",IF(Checks!$K$536="","",CHAR(10))&amp;"Note: "&amp;Checks!$O$536)</f>
        <v>Record acknowledgement ref in Evidence</v>
      </c>
      <c r="C29" s="114" t="str">
        <f aca="false">Checks!$N$536&amp;CHAR(10)&amp;IF(ISNUMBER(Checks!$R$536),TEXT(Checks!$R$536,"DD-MMM-YY HH:MM"),"")&amp;" "&amp;Checks!$P$536</f>
        <v>Required
20-Oct-26 14:50 HKG</v>
      </c>
      <c r="D29" s="114" t="str">
        <f aca="false">IF(Checks!$U$536="","",Checks!$U$536)&amp;IF(Checks!$AB$536="","",CHAR(10)&amp;"CA: "&amp;Checks!$AB$536)</f>
        <v/>
      </c>
      <c r="E29" s="114" t="str">
        <f aca="false">IF(Checks!$V$536="","",Checks!$V$536)&amp;IF(Checks!$AC$536="","",IF(Checks!$V$536="","",CHAR(10))&amp;"N/A just.: "&amp;Checks!$AC$536)&amp;IF(Checks!$W$536="","",CHAR(10)&amp;"Batch: "&amp;Checks!$W$536)&amp;IF(AND(Checks!$X$536="",Checks!$Y$536=""),"",CHAR(10)&amp;"Exp: "&amp;Checks!$X$536&amp;"  /  Act: "&amp;Checks!$Y$536)</f>
        <v/>
      </c>
      <c r="F29" s="114" t="str">
        <f aca="false">IF(Checks!$Z$536="","","Evidence: "&amp;Checks!$Z$536)&amp;IF(Checks!$AA$536="","",IF(Checks!$Z$536="","",CHAR(10))&amp;"CA: "&amp;Checks!$AA$536)</f>
        <v/>
      </c>
      <c r="G29" s="114" t="str">
        <f aca="false">IF(ISNUMBER(Checks!$AD$536),TEXT(Checks!$AD$536,"DD-MMM-YY HH:MM")&amp;" "&amp;Checks!$P$536,"")&amp;IF(Checks!$AE$536="","",CHAR(10)&amp;"Verifier: "&amp;Checks!$AE$536)&amp;IF(Checks!$T$536="","",CHAR(10)&amp;"PIC: "&amp;Checks!$T$536)</f>
        <v/>
      </c>
      <c r="H29" s="115" t="str">
        <f aca="false">IF(Checks!$AH$536="","",Checks!$AH$536)</f>
        <v>OPEN</v>
      </c>
    </row>
    <row r="30" customFormat="false" ht="114" hidden="false" customHeight="true" outlineLevel="0" collapsed="false">
      <c r="A30" s="114" t="str">
        <f aca="false">Checks!$A$537&amp;CHAR(10)&amp;IF(Checks!$I$537="","",Checks!$I$537&amp;": ")&amp;Checks!$J$537</f>
        <v>F17-T7-07
Documents: Galley loading diagram (GLD) received, revision recorded &amp; attached</v>
      </c>
      <c r="B30" s="114" t="str">
        <f aca="false">Checks!$K$537&amp;IF(Checks!$O$537="","",IF(Checks!$K$537="","",CHAR(10))&amp;"Note: "&amp;Checks!$O$537)</f>
        <v>Documents sheet row complete</v>
      </c>
      <c r="C30" s="114" t="str">
        <f aca="false">Checks!$N$537&amp;CHAR(10)&amp;IF(ISNUMBER(Checks!$R$537),TEXT(Checks!$R$537,"DD-MMM-YY HH:MM"),"")&amp;" "&amp;Checks!$P$537</f>
        <v>Required
20-Oct-26 14:50 HKG</v>
      </c>
      <c r="D30" s="114" t="str">
        <f aca="false">IF(Checks!$U$537="","",Checks!$U$537)&amp;IF(Checks!$AB$537="","",CHAR(10)&amp;"CA: "&amp;Checks!$AB$537)</f>
        <v/>
      </c>
      <c r="E30" s="114" t="str">
        <f aca="false">IF(Checks!$V$537="","",Checks!$V$537)&amp;IF(Checks!$AC$537="","",IF(Checks!$V$537="","",CHAR(10))&amp;"N/A just.: "&amp;Checks!$AC$537)&amp;IF(Checks!$W$537="","",CHAR(10)&amp;"Batch: "&amp;Checks!$W$537)&amp;IF(AND(Checks!$X$537="",Checks!$Y$537=""),"",CHAR(10)&amp;"Exp: "&amp;Checks!$X$537&amp;"  /  Act: "&amp;Checks!$Y$537)</f>
        <v/>
      </c>
      <c r="F30" s="114" t="str">
        <f aca="false">IF(Checks!$Z$537="","","Evidence: "&amp;Checks!$Z$537)&amp;IF(Checks!$AA$537="","",IF(Checks!$Z$537="","",CHAR(10))&amp;"CA: "&amp;Checks!$AA$537)</f>
        <v/>
      </c>
      <c r="G30" s="114" t="str">
        <f aca="false">IF(ISNUMBER(Checks!$AD$537),TEXT(Checks!$AD$537,"DD-MMM-YY HH:MM")&amp;" "&amp;Checks!$P$537,"")&amp;IF(Checks!$AE$537="","",CHAR(10)&amp;"Verifier: "&amp;Checks!$AE$537)&amp;IF(Checks!$T$537="","",CHAR(10)&amp;"PIC: "&amp;Checks!$T$537)</f>
        <v/>
      </c>
      <c r="H30" s="115" t="str">
        <f aca="false">IF(Checks!$AH$537="","",Checks!$AH$537)</f>
        <v>OPEN</v>
      </c>
    </row>
    <row r="31" customFormat="false" ht="114" hidden="false" customHeight="true" outlineLevel="0" collapsed="false">
      <c r="A31" s="114" t="str">
        <f aca="false">Checks!$A$538&amp;CHAR(10)&amp;IF(Checks!$I$538="","",Checks!$I$538&amp;": ")&amp;Checks!$J$538</f>
        <v>F17-T7-08
Documents: Menu checklist received, revision recorded &amp; attached</v>
      </c>
      <c r="B31" s="114" t="str">
        <f aca="false">Checks!$K$538&amp;IF(Checks!$O$538="","",IF(Checks!$K$538="","",CHAR(10))&amp;"Note: "&amp;Checks!$O$538)</f>
        <v>Documents sheet row complete</v>
      </c>
      <c r="C31" s="114" t="str">
        <f aca="false">Checks!$N$538&amp;CHAR(10)&amp;IF(ISNUMBER(Checks!$R$538),TEXT(Checks!$R$538,"DD-MMM-YY HH:MM"),"")&amp;" "&amp;Checks!$P$538</f>
        <v>Required
20-Oct-26 14:50 HKG</v>
      </c>
      <c r="D31" s="114" t="str">
        <f aca="false">IF(Checks!$U$538="","",Checks!$U$538)&amp;IF(Checks!$AB$538="","",CHAR(10)&amp;"CA: "&amp;Checks!$AB$538)</f>
        <v/>
      </c>
      <c r="E31" s="114" t="str">
        <f aca="false">IF(Checks!$V$538="","",Checks!$V$538)&amp;IF(Checks!$AC$538="","",IF(Checks!$V$538="","",CHAR(10))&amp;"N/A just.: "&amp;Checks!$AC$538)&amp;IF(Checks!$W$538="","",CHAR(10)&amp;"Batch: "&amp;Checks!$W$538)&amp;IF(AND(Checks!$X$538="",Checks!$Y$538=""),"",CHAR(10)&amp;"Exp: "&amp;Checks!$X$538&amp;"  /  Act: "&amp;Checks!$Y$538)</f>
        <v/>
      </c>
      <c r="F31" s="114" t="str">
        <f aca="false">IF(Checks!$Z$538="","","Evidence: "&amp;Checks!$Z$538)&amp;IF(Checks!$AA$538="","",IF(Checks!$Z$538="","",CHAR(10))&amp;"CA: "&amp;Checks!$AA$538)</f>
        <v/>
      </c>
      <c r="G31" s="114" t="str">
        <f aca="false">IF(ISNUMBER(Checks!$AD$538),TEXT(Checks!$AD$538,"DD-MMM-YY HH:MM")&amp;" "&amp;Checks!$P$538,"")&amp;IF(Checks!$AE$538="","",CHAR(10)&amp;"Verifier: "&amp;Checks!$AE$538)&amp;IF(Checks!$T$538="","",CHAR(10)&amp;"PIC: "&amp;Checks!$T$538)</f>
        <v/>
      </c>
      <c r="H31" s="115" t="str">
        <f aca="false">IF(Checks!$AH$538="","",Checks!$AH$538)</f>
        <v>OPEN</v>
      </c>
    </row>
    <row r="32" customFormat="false" ht="114" hidden="false" customHeight="true" outlineLevel="0" collapsed="false">
      <c r="A32" s="114" t="str">
        <f aca="false">Checks!$A$539&amp;CHAR(10)&amp;IF(Checks!$I$539="","",Checks!$I$539&amp;": ")&amp;Checks!$J$539</f>
        <v>F17-T7-09
Uplift plan: Uplift plan confirmed with caterer vs STD Uplift Information</v>
      </c>
      <c r="B32" s="114" t="str">
        <f aca="false">Checks!$K$539&amp;IF(Checks!$O$539="","",IF(Checks!$K$539="","",CHAR(10))&amp;"Note: "&amp;Checks!$O$539)</f>
        <v>Service: 1 Meal + DAT(Noodles Svc) (Meal); meal uplift stn HKG (ref lists KUL/HKG)</v>
      </c>
      <c r="C32" s="114" t="str">
        <f aca="false">Checks!$N$539&amp;CHAR(10)&amp;IF(ISNUMBER(Checks!$R$539),TEXT(Checks!$R$539,"DD-MMM-YY HH:MM"),"")&amp;" "&amp;Checks!$P$539</f>
        <v>Required
20-Oct-26 14:50 HKG</v>
      </c>
      <c r="D32" s="114" t="str">
        <f aca="false">IF(Checks!$U$539="","",Checks!$U$539)&amp;IF(Checks!$AB$539="","",CHAR(10)&amp;"CA: "&amp;Checks!$AB$539)</f>
        <v/>
      </c>
      <c r="E32" s="114" t="str">
        <f aca="false">IF(Checks!$V$539="","",Checks!$V$539)&amp;IF(Checks!$AC$539="","",IF(Checks!$V$539="","",CHAR(10))&amp;"N/A just.: "&amp;Checks!$AC$539)&amp;IF(Checks!$W$539="","",CHAR(10)&amp;"Batch: "&amp;Checks!$W$539)&amp;IF(AND(Checks!$X$539="",Checks!$Y$539=""),"",CHAR(10)&amp;"Exp: "&amp;Checks!$X$539&amp;"  /  Act: "&amp;Checks!$Y$539)</f>
        <v/>
      </c>
      <c r="F32" s="114" t="str">
        <f aca="false">IF(Checks!$Z$539="","","Evidence: "&amp;Checks!$Z$539)&amp;IF(Checks!$AA$539="","",IF(Checks!$Z$539="","",CHAR(10))&amp;"CA: "&amp;Checks!$AA$539)</f>
        <v/>
      </c>
      <c r="G32" s="114" t="str">
        <f aca="false">IF(ISNUMBER(Checks!$AD$539),TEXT(Checks!$AD$539,"DD-MMM-YY HH:MM")&amp;" "&amp;Checks!$P$539,"")&amp;IF(Checks!$AE$539="","",CHAR(10)&amp;"Verifier: "&amp;Checks!$AE$539)&amp;IF(Checks!$T$539="","",CHAR(10)&amp;"PIC: "&amp;Checks!$T$539)</f>
        <v/>
      </c>
      <c r="H32" s="115" t="str">
        <f aca="false">IF(Checks!$AH$539="","",Checks!$AH$539)</f>
        <v>OPEN</v>
      </c>
    </row>
    <row r="33" customFormat="false" ht="267.75" hidden="false" customHeight="true" outlineLevel="0" collapsed="false">
      <c r="A33" s="114" t="str">
        <f aca="false">Checks!$A$540&amp;CHAR(10)&amp;IF(Checks!$I$540="","",Checks!$I$540&amp;": ")&amp;Checks!$J$540</f>
        <v>F17-T7-10
Uplift plan: Inbound KUL-HKG flight carrying KUL-sourced items identified and its KUL departure (UTC) entered on Flights col AX</v>
      </c>
      <c r="B33" s="114" t="str">
        <f aca="false">Checks!$K$540&amp;IF(Checks!$O$540="","",IF(Checks!$K$540="","",CHAR(10))&amp;"Note: "&amp;Checks!$O$540)</f>
        <v>KUL-sourced items (Slippers (BS/BC) - Dispo slipper) travel on the inbound KUL-HKG sector
Note: Cannot be passed until Flights AX holds the carrying flight's KUL departure (agenda candidate MH0072 26-Oct (F16)). Until then the prep and KUL-loading dues assume the agenda candidate's KUL departure, or if none, the latest possible one (STD minus the shortest agenda KUL-HKG block).</v>
      </c>
      <c r="C33" s="114" t="str">
        <f aca="false">Checks!$N$540&amp;CHAR(10)&amp;IF(ISNUMBER(Checks!$R$540),TEXT(Checks!$R$540,"DD-MMM-YY HH:MM"),"")&amp;" "&amp;Checks!$P$540</f>
        <v>Clarification required
20-Oct-26 14:50 KUL</v>
      </c>
      <c r="D33" s="114" t="str">
        <f aca="false">IF(Checks!$U$540="","",Checks!$U$540)&amp;IF(Checks!$AB$540="","",CHAR(10)&amp;"CA: "&amp;Checks!$AB$540)</f>
        <v/>
      </c>
      <c r="E33" s="114" t="str">
        <f aca="false">IF(Checks!$V$540="","",Checks!$V$540)&amp;IF(Checks!$AC$540="","",IF(Checks!$V$540="","",CHAR(10))&amp;"N/A just.: "&amp;Checks!$AC$540)&amp;IF(Checks!$W$540="","",CHAR(10)&amp;"Batch: "&amp;Checks!$W$540)&amp;IF(AND(Checks!$X$540="",Checks!$Y$540=""),"",CHAR(10)&amp;"Exp: "&amp;Checks!$X$540&amp;"  /  Act: "&amp;Checks!$Y$540)</f>
        <v/>
      </c>
      <c r="F33" s="114" t="str">
        <f aca="false">IF(Checks!$Z$540="","","Evidence: "&amp;Checks!$Z$540)&amp;IF(Checks!$AA$540="","",IF(Checks!$Z$540="","",CHAR(10))&amp;"CA: "&amp;Checks!$AA$540)</f>
        <v/>
      </c>
      <c r="G33" s="114" t="str">
        <f aca="false">IF(ISNUMBER(Checks!$AD$540),TEXT(Checks!$AD$540,"DD-MMM-YY HH:MM")&amp;" "&amp;Checks!$P$540,"")&amp;IF(Checks!$AE$540="","",CHAR(10)&amp;"Verifier: "&amp;Checks!$AE$540)&amp;IF(Checks!$T$540="","",CHAR(10)&amp;"PIC: "&amp;Checks!$T$540)</f>
        <v/>
      </c>
      <c r="H33" s="115" t="str">
        <f aca="false">IF(Checks!$AH$540="","",Checks!$AH$540)</f>
        <v>OPEN – CLARIFICATION</v>
      </c>
    </row>
    <row r="34" customFormat="false" ht="25.5" hidden="false" customHeight="true" outlineLevel="0" collapsed="false">
      <c r="A34" s="113" t="str">
        <f aca="false">"T-24H — Production batch sensory  |  Due "&amp;IF(ISNUMBER(Flights!$AH$21),TEXT(Flights!$AH$21,"DD-MMM-YY HH:MM"),"")&amp;" "&amp;Flights!$V$21&amp;" (meal uplift stn)"&amp;" (rows with another due show their own)  |  Complete "&amp;IF(ISNUMBER(Flights!$AK$21),TEXT(Flights!$AK$21,"0%"),Flights!$AK$21)&amp;"  |  1 lines"</f>
        <v>T-24H — Production batch sensory  |  Due 26-Oct-26 14:50 HKG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Checks!$A$541&amp;CHAR(10)&amp;IF(Checks!$I$541="","",Checks!$I$541&amp;": ")&amp;Checks!$J$541</f>
        <v>F17-T24-01
Meal: Sensory test repeated on ACTUAL production batch for this flight</v>
      </c>
      <c r="B35" s="114" t="str">
        <f aca="false">Checks!$K$541&amp;IF(Checks!$O$541="","",IF(Checks!$K$541="","",CHAR(10))&amp;"Note: "&amp;Checks!$O$541)</f>
        <v>Batch ID, result, CA and acceptance mandatory</v>
      </c>
      <c r="C35" s="114" t="str">
        <f aca="false">Checks!$N$541&amp;CHAR(10)&amp;IF(ISNUMBER(Checks!$R$541),TEXT(Checks!$R$541,"DD-MMM-YY HH:MM"),"")&amp;" "&amp;Checks!$P$541</f>
        <v>Required
26-Oct-26 14:50 HKG</v>
      </c>
      <c r="D35" s="114" t="str">
        <f aca="false">IF(Checks!$U$541="","",Checks!$U$541)&amp;IF(Checks!$AB$541="","",CHAR(10)&amp;"CA: "&amp;Checks!$AB$541)</f>
        <v/>
      </c>
      <c r="E35" s="114" t="str">
        <f aca="false">IF(Checks!$V$541="","",Checks!$V$541)&amp;IF(Checks!$AC$541="","",IF(Checks!$V$541="","",CHAR(10))&amp;"N/A just.: "&amp;Checks!$AC$541)&amp;IF(Checks!$W$541="","",CHAR(10)&amp;"Batch: "&amp;Checks!$W$541)&amp;IF(AND(Checks!$X$541="",Checks!$Y$541=""),"",CHAR(10)&amp;"Exp: "&amp;Checks!$X$541&amp;"  /  Act: "&amp;Checks!$Y$541)</f>
        <v/>
      </c>
      <c r="F35" s="114" t="str">
        <f aca="false">IF(Checks!$Z$541="","","Evidence: "&amp;Checks!$Z$541)&amp;IF(Checks!$AA$541="","",IF(Checks!$Z$541="","",CHAR(10))&amp;"CA: "&amp;Checks!$AA$541)</f>
        <v/>
      </c>
      <c r="G35" s="114" t="str">
        <f aca="false">IF(ISNUMBER(Checks!$AD$541),TEXT(Checks!$AD$541,"DD-MMM-YY HH:MM")&amp;" "&amp;Checks!$P$541,"")&amp;IF(Checks!$AE$541="","",CHAR(10)&amp;"Verifier: "&amp;Checks!$AE$541)&amp;IF(Checks!$T$541="","",CHAR(10)&amp;"PIC: "&amp;Checks!$T$541)</f>
        <v/>
      </c>
      <c r="H35" s="115" t="str">
        <f aca="false">IF(Checks!$AH$541="","",Checks!$AH$541)</f>
        <v>OPEN</v>
      </c>
    </row>
    <row r="36" customFormat="false" ht="25.5" hidden="false" customHeight="true" outlineLevel="0" collapsed="false">
      <c r="A36" s="113" t="str">
        <f aca="false">"T-12H PREP — Preparation check at caterer (does NOT confirm loading)  |  Due "&amp;IF(ISNUMBER(Flights!$AI$21),TEXT(Flights!$AI$21,"DD-MMM-YY HH:MM"),"")&amp;" "&amp;Flights!$V$21&amp;" (meal uplift stn)"&amp;" (rows with another due show their own)  |  Complete "&amp;IF(ISNUMBER(Flights!$AL$21),TEXT(Flights!$AL$21,"0%"),Flights!$AL$21)&amp;"  |  18 lines"</f>
        <v>T-12H PREP — Preparation check at caterer (does NOT confirm loading)  |  Due 27-Oct-26 02:50 HKG (meal uplift stn) (rows with another due show their own)  |  Complete 0%  |  18 lines</v>
      </c>
      <c r="B36" s="113"/>
      <c r="C36" s="113"/>
      <c r="D36" s="113"/>
      <c r="E36" s="113"/>
      <c r="F36" s="113"/>
      <c r="G36" s="113"/>
      <c r="H36" s="113"/>
    </row>
    <row r="37" customFormat="false" ht="114" hidden="false" customHeight="true" outlineLevel="0" collapsed="false">
      <c r="A37" s="114" t="str">
        <f aca="false">Checks!$A$542&amp;CHAR(10)&amp;IF(Checks!$I$542="","",Checks!$I$542&amp;": ")&amp;Checks!$J$542</f>
        <v>F17-T12-01
Meal: Meal quality vs menu checklist</v>
      </c>
      <c r="B37" s="114" t="str">
        <f aca="false">Checks!$K$542&amp;IF(Checks!$O$542="","",IF(Checks!$K$542="","",CHAR(10))&amp;"Note: "&amp;Checks!$O$542)</f>
        <v>Note: Preparation check at caterer - does NOT confirm loading.</v>
      </c>
      <c r="C37" s="114" t="str">
        <f aca="false">Checks!$N$542&amp;CHAR(10)&amp;IF(ISNUMBER(Checks!$R$542),TEXT(Checks!$R$542,"DD-MMM-YY HH:MM"),"")&amp;" "&amp;Checks!$P$542</f>
        <v>Required
27-Oct-26 02:50 HKG</v>
      </c>
      <c r="D37" s="114" t="str">
        <f aca="false">IF(Checks!$U$542="","",Checks!$U$542)&amp;IF(Checks!$AB$542="","",CHAR(10)&amp;"CA: "&amp;Checks!$AB$542)</f>
        <v/>
      </c>
      <c r="E37" s="114" t="str">
        <f aca="false">IF(Checks!$V$542="","",Checks!$V$542)&amp;IF(Checks!$AC$542="","",IF(Checks!$V$542="","",CHAR(10))&amp;"N/A just.: "&amp;Checks!$AC$542)&amp;IF(Checks!$W$542="","",CHAR(10)&amp;"Batch: "&amp;Checks!$W$542)&amp;IF(AND(Checks!$X$542="",Checks!$Y$542=""),"",CHAR(10)&amp;"Exp: "&amp;Checks!$X$542&amp;"  /  Act: "&amp;Checks!$Y$542)</f>
        <v/>
      </c>
      <c r="F37" s="114" t="str">
        <f aca="false">IF(Checks!$Z$542="","","Evidence: "&amp;Checks!$Z$542)&amp;IF(Checks!$AA$542="","",IF(Checks!$Z$542="","",CHAR(10))&amp;"CA: "&amp;Checks!$AA$542)</f>
        <v/>
      </c>
      <c r="G37" s="114" t="str">
        <f aca="false">IF(ISNUMBER(Checks!$AD$542),TEXT(Checks!$AD$542,"DD-MMM-YY HH:MM")&amp;" "&amp;Checks!$P$542,"")&amp;IF(Checks!$AE$542="","",CHAR(10)&amp;"Verifier: "&amp;Checks!$AE$542)&amp;IF(Checks!$T$542="","",CHAR(10)&amp;"PIC: "&amp;Checks!$T$542)</f>
        <v/>
      </c>
      <c r="H37" s="115" t="str">
        <f aca="false">IF(Checks!$AH$542="","",Checks!$AH$542)</f>
        <v>OPEN</v>
      </c>
    </row>
    <row r="38" customFormat="false" ht="114" hidden="false" customHeight="true" outlineLevel="0" collapsed="false">
      <c r="A38" s="114" t="str">
        <f aca="false">Checks!$A$543&amp;CHAR(10)&amp;IF(Checks!$I$543="","",Checks!$I$543&amp;": ")&amp;Checks!$J$543</f>
        <v>F17-T12-02
Meal: Meal quantities vs menu checklist</v>
      </c>
      <c r="B38" s="114" t="str">
        <f aca="false">Checks!$K$543&amp;IF(Checks!$O$543="","",IF(Checks!$K$543="","",CHAR(10))&amp;"Note: "&amp;Checks!$O$543)</f>
        <v>Enter expected &amp; actual
Note: Preparation check at caterer - does NOT confirm loading.</v>
      </c>
      <c r="C38" s="114" t="str">
        <f aca="false">Checks!$N$543&amp;CHAR(10)&amp;IF(ISNUMBER(Checks!$R$543),TEXT(Checks!$R$543,"DD-MMM-YY HH:MM"),"")&amp;" "&amp;Checks!$P$543</f>
        <v>Required
27-Oct-26 02:50 HKG</v>
      </c>
      <c r="D38" s="114" t="str">
        <f aca="false">IF(Checks!$U$543="","",Checks!$U$543)&amp;IF(Checks!$AB$543="","",CHAR(10)&amp;"CA: "&amp;Checks!$AB$543)</f>
        <v/>
      </c>
      <c r="E38" s="114" t="str">
        <f aca="false">IF(Checks!$V$543="","",Checks!$V$543)&amp;IF(Checks!$AC$543="","",IF(Checks!$V$543="","",CHAR(10))&amp;"N/A just.: "&amp;Checks!$AC$543)&amp;IF(Checks!$W$543="","",CHAR(10)&amp;"Batch: "&amp;Checks!$W$543)&amp;IF(AND(Checks!$X$543="",Checks!$Y$543=""),"",CHAR(10)&amp;"Exp: "&amp;Checks!$X$543&amp;"  /  Act: "&amp;Checks!$Y$543)</f>
        <v/>
      </c>
      <c r="F38" s="114" t="str">
        <f aca="false">IF(Checks!$Z$543="","","Evidence: "&amp;Checks!$Z$543)&amp;IF(Checks!$AA$543="","",IF(Checks!$Z$543="","",CHAR(10))&amp;"CA: "&amp;Checks!$AA$543)</f>
        <v/>
      </c>
      <c r="G38" s="114" t="str">
        <f aca="false">IF(ISNUMBER(Checks!$AD$543),TEXT(Checks!$AD$543,"DD-MMM-YY HH:MM")&amp;" "&amp;Checks!$P$543,"")&amp;IF(Checks!$AE$543="","",CHAR(10)&amp;"Verifier: "&amp;Checks!$AE$543)&amp;IF(Checks!$T$543="","",CHAR(10)&amp;"PIC: "&amp;Checks!$T$543)</f>
        <v/>
      </c>
      <c r="H38" s="115" t="str">
        <f aca="false">IF(Checks!$AH$543="","",Checks!$AH$543)</f>
        <v>OPEN</v>
      </c>
    </row>
    <row r="39" customFormat="false" ht="114" hidden="false" customHeight="true" outlineLevel="0" collapsed="false">
      <c r="A39" s="114" t="str">
        <f aca="false">Checks!$A$544&amp;CHAR(10)&amp;IF(Checks!$I$544="","",Checks!$I$544&amp;": ")&amp;Checks!$J$544</f>
        <v>F17-T12-03
Equipment: Equipment cleanliness vs GLD</v>
      </c>
      <c r="B39" s="114" t="str">
        <f aca="false">Checks!$K$544&amp;IF(Checks!$O$544="","",IF(Checks!$K$544="","",CHAR(10))&amp;"Note: "&amp;Checks!$O$544)</f>
        <v>Note: Preparation check at caterer - does NOT confirm loading.</v>
      </c>
      <c r="C39" s="114" t="str">
        <f aca="false">Checks!$N$544&amp;CHAR(10)&amp;IF(ISNUMBER(Checks!$R$544),TEXT(Checks!$R$544,"DD-MMM-YY HH:MM"),"")&amp;" "&amp;Checks!$P$544</f>
        <v>Required
27-Oct-26 02:50 HKG</v>
      </c>
      <c r="D39" s="114" t="str">
        <f aca="false">IF(Checks!$U$544="","",Checks!$U$544)&amp;IF(Checks!$AB$544="","",CHAR(10)&amp;"CA: "&amp;Checks!$AB$544)</f>
        <v/>
      </c>
      <c r="E39" s="114" t="str">
        <f aca="false">IF(Checks!$V$544="","",Checks!$V$544)&amp;IF(Checks!$AC$544="","",IF(Checks!$V$544="","",CHAR(10))&amp;"N/A just.: "&amp;Checks!$AC$544)&amp;IF(Checks!$W$544="","",CHAR(10)&amp;"Batch: "&amp;Checks!$W$544)&amp;IF(AND(Checks!$X$544="",Checks!$Y$544=""),"",CHAR(10)&amp;"Exp: "&amp;Checks!$X$544&amp;"  /  Act: "&amp;Checks!$Y$544)</f>
        <v/>
      </c>
      <c r="F39" s="114" t="str">
        <f aca="false">IF(Checks!$Z$544="","","Evidence: "&amp;Checks!$Z$544)&amp;IF(Checks!$AA$544="","",IF(Checks!$Z$544="","",CHAR(10))&amp;"CA: "&amp;Checks!$AA$544)</f>
        <v/>
      </c>
      <c r="G39" s="114" t="str">
        <f aca="false">IF(ISNUMBER(Checks!$AD$544),TEXT(Checks!$AD$544,"DD-MMM-YY HH:MM")&amp;" "&amp;Checks!$P$544,"")&amp;IF(Checks!$AE$544="","",CHAR(10)&amp;"Verifier: "&amp;Checks!$AE$544)&amp;IF(Checks!$T$544="","",CHAR(10)&amp;"PIC: "&amp;Checks!$T$544)</f>
        <v/>
      </c>
      <c r="H39" s="115" t="str">
        <f aca="false">IF(Checks!$AH$544="","",Checks!$AH$544)</f>
        <v>OPEN</v>
      </c>
    </row>
    <row r="40" customFormat="false" ht="114" hidden="false" customHeight="true" outlineLevel="0" collapsed="false">
      <c r="A40" s="114" t="str">
        <f aca="false">Checks!$A$545&amp;CHAR(10)&amp;IF(Checks!$I$545="","",Checks!$I$545&amp;": ")&amp;Checks!$J$545</f>
        <v>F17-T12-04
Equipment: Equipment presentation vs GLD</v>
      </c>
      <c r="B40" s="114" t="str">
        <f aca="false">Checks!$K$545&amp;IF(Checks!$O$545="","",IF(Checks!$K$545="","",CHAR(10))&amp;"Note: "&amp;Checks!$O$545)</f>
        <v>Note: Preparation check at caterer - does NOT confirm loading.</v>
      </c>
      <c r="C40" s="114" t="str">
        <f aca="false">Checks!$N$545&amp;CHAR(10)&amp;IF(ISNUMBER(Checks!$R$545),TEXT(Checks!$R$545,"DD-MMM-YY HH:MM"),"")&amp;" "&amp;Checks!$P$545</f>
        <v>Required
27-Oct-26 02:50 HKG</v>
      </c>
      <c r="D40" s="114" t="str">
        <f aca="false">IF(Checks!$U$545="","",Checks!$U$545)&amp;IF(Checks!$AB$545="","",CHAR(10)&amp;"CA: "&amp;Checks!$AB$545)</f>
        <v/>
      </c>
      <c r="E40" s="114" t="str">
        <f aca="false">IF(Checks!$V$545="","",Checks!$V$545)&amp;IF(Checks!$AC$545="","",IF(Checks!$V$545="","",CHAR(10))&amp;"N/A just.: "&amp;Checks!$AC$545)&amp;IF(Checks!$W$545="","",CHAR(10)&amp;"Batch: "&amp;Checks!$W$545)&amp;IF(AND(Checks!$X$545="",Checks!$Y$545=""),"",CHAR(10)&amp;"Exp: "&amp;Checks!$X$545&amp;"  /  Act: "&amp;Checks!$Y$545)</f>
        <v/>
      </c>
      <c r="F40" s="114" t="str">
        <f aca="false">IF(Checks!$Z$545="","","Evidence: "&amp;Checks!$Z$545)&amp;IF(Checks!$AA$545="","",IF(Checks!$Z$545="","",CHAR(10))&amp;"CA: "&amp;Checks!$AA$545)</f>
        <v/>
      </c>
      <c r="G40" s="114" t="str">
        <f aca="false">IF(ISNUMBER(Checks!$AD$545),TEXT(Checks!$AD$545,"DD-MMM-YY HH:MM")&amp;" "&amp;Checks!$P$545,"")&amp;IF(Checks!$AE$545="","",CHAR(10)&amp;"Verifier: "&amp;Checks!$AE$545)&amp;IF(Checks!$T$545="","",CHAR(10)&amp;"PIC: "&amp;Checks!$T$545)</f>
        <v/>
      </c>
      <c r="H40" s="115" t="str">
        <f aca="false">IF(Checks!$AH$545="","",Checks!$AH$545)</f>
        <v>OPEN</v>
      </c>
    </row>
    <row r="41" customFormat="false" ht="114" hidden="false" customHeight="true" outlineLevel="0" collapsed="false">
      <c r="A41" s="114" t="str">
        <f aca="false">Checks!$A$546&amp;CHAR(10)&amp;IF(Checks!$I$546="","",Checks!$I$546&amp;": ")&amp;Checks!$J$546</f>
        <v>F17-T12-05
Equipment: Equipment serviceability vs GLD</v>
      </c>
      <c r="B41" s="114" t="str">
        <f aca="false">Checks!$K$546&amp;IF(Checks!$O$546="","",IF(Checks!$K$546="","",CHAR(10))&amp;"Note: "&amp;Checks!$O$546)</f>
        <v>Note: Preparation check at caterer - does NOT confirm loading.</v>
      </c>
      <c r="C41" s="114" t="str">
        <f aca="false">Checks!$N$546&amp;CHAR(10)&amp;IF(ISNUMBER(Checks!$R$546),TEXT(Checks!$R$546,"DD-MMM-YY HH:MM"),"")&amp;" "&amp;Checks!$P$546</f>
        <v>Required
27-Oct-26 02:50 HKG</v>
      </c>
      <c r="D41" s="114" t="str">
        <f aca="false">IF(Checks!$U$546="","",Checks!$U$546)&amp;IF(Checks!$AB$546="","",CHAR(10)&amp;"CA: "&amp;Checks!$AB$546)</f>
        <v/>
      </c>
      <c r="E41" s="114" t="str">
        <f aca="false">IF(Checks!$V$546="","",Checks!$V$546)&amp;IF(Checks!$AC$546="","",IF(Checks!$V$546="","",CHAR(10))&amp;"N/A just.: "&amp;Checks!$AC$546)&amp;IF(Checks!$W$546="","",CHAR(10)&amp;"Batch: "&amp;Checks!$W$546)&amp;IF(AND(Checks!$X$546="",Checks!$Y$546=""),"",CHAR(10)&amp;"Exp: "&amp;Checks!$X$546&amp;"  /  Act: "&amp;Checks!$Y$546)</f>
        <v/>
      </c>
      <c r="F41" s="114" t="str">
        <f aca="false">IF(Checks!$Z$546="","","Evidence: "&amp;Checks!$Z$546)&amp;IF(Checks!$AA$546="","",IF(Checks!$Z$546="","",CHAR(10))&amp;"CA: "&amp;Checks!$AA$546)</f>
        <v/>
      </c>
      <c r="G41" s="114" t="str">
        <f aca="false">IF(ISNUMBER(Checks!$AD$546),TEXT(Checks!$AD$546,"DD-MMM-YY HH:MM")&amp;" "&amp;Checks!$P$546,"")&amp;IF(Checks!$AE$546="","",CHAR(10)&amp;"Verifier: "&amp;Checks!$AE$546)&amp;IF(Checks!$T$546="","",CHAR(10)&amp;"PIC: "&amp;Checks!$T$546)</f>
        <v/>
      </c>
      <c r="H41" s="115" t="str">
        <f aca="false">IF(Checks!$AH$546="","",Checks!$AH$546)</f>
        <v>OPEN</v>
      </c>
    </row>
    <row r="42" customFormat="false" ht="190.5" hidden="false" customHeight="true" outlineLevel="0" collapsed="false">
      <c r="A42" s="114" t="str">
        <f aca="false">Checks!$A$547&amp;CHAR(10)&amp;IF(Checks!$I$547="","",Checks!$I$547&amp;": ")&amp;Checks!$J$547</f>
        <v>F17-T12-06
Equipment: Equipment quantities vs GLD</v>
      </c>
      <c r="B42" s="114" t="str">
        <f aca="false">SUBSTITUTE(Checks!$K$547&amp;IF(Checks!$O$547="","",IF(Checks!$K$547="","",CHAR(10))&amp;"Note: "&amp;Checks!$O$547),"AIRCRAFT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2" s="114" t="str">
        <f aca="false">Checks!$N$547&amp;CHAR(10)&amp;IF(ISNUMBER(Checks!$R$547),TEXT(Checks!$R$547,"DD-MMM-YY HH:MM"),"")&amp;" "&amp;Checks!$P$547</f>
        <v>Required
27-Oct-26 02:50 HKG</v>
      </c>
      <c r="D42" s="114" t="str">
        <f aca="false">IF(Checks!$U$547="","",Checks!$U$547)&amp;IF(Checks!$AB$547="","",CHAR(10)&amp;"CA: "&amp;Checks!$AB$547)</f>
        <v/>
      </c>
      <c r="E42" s="114" t="str">
        <f aca="false">IF(Checks!$V$547="","",Checks!$V$547)&amp;IF(Checks!$AC$547="","",IF(Checks!$V$547="","",CHAR(10))&amp;"N/A just.: "&amp;Checks!$AC$547)&amp;IF(Checks!$W$547="","",CHAR(10)&amp;"Batch: "&amp;Checks!$W$547)&amp;IF(AND(Checks!$X$547="",Checks!$Y$547=""),"",CHAR(10)&amp;"Exp: "&amp;Checks!$X$547&amp;"  /  Act: "&amp;Checks!$Y$547)</f>
        <v/>
      </c>
      <c r="F42" s="114" t="str">
        <f aca="false">IF(Checks!$Z$547="","","Evidence: "&amp;Checks!$Z$547)&amp;IF(Checks!$AA$547="","",IF(Checks!$Z$547="","",CHAR(10))&amp;"CA: "&amp;Checks!$AA$547)</f>
        <v/>
      </c>
      <c r="G42" s="114" t="str">
        <f aca="false">IF(ISNUMBER(Checks!$AD$547),TEXT(Checks!$AD$547,"DD-MMM-YY HH:MM")&amp;" "&amp;Checks!$P$547,"")&amp;IF(Checks!$AE$547="","",CHAR(10)&amp;"Verifier: "&amp;Checks!$AE$547)&amp;IF(Checks!$T$547="","",CHAR(10)&amp;"PIC: "&amp;Checks!$T$547)</f>
        <v/>
      </c>
      <c r="H42" s="115" t="str">
        <f aca="false">IF(Checks!$AH$547="","",Checks!$AH$547)</f>
        <v>OPEN</v>
      </c>
    </row>
    <row r="43" customFormat="false" ht="114" hidden="false" customHeight="true" outlineLevel="0" collapsed="false">
      <c r="A43" s="114" t="str">
        <f aca="false">Checks!$A$548&amp;CHAR(10)&amp;IF(Checks!$I$548="","",Checks!$I$548&amp;": ")&amp;Checks!$J$548</f>
        <v>F17-T12-07
Equipment: Loading positions planned vs GLD</v>
      </c>
      <c r="B43" s="114" t="str">
        <f aca="false">Checks!$K$548&amp;IF(Checks!$O$548="","",IF(Checks!$K$548="","",CHAR(10))&amp;"Note: "&amp;Checks!$O$548)</f>
        <v>Note: Preparation check at caterer - does NOT confirm loading.</v>
      </c>
      <c r="C43" s="114" t="str">
        <f aca="false">Checks!$N$548&amp;CHAR(10)&amp;IF(ISNUMBER(Checks!$R$548),TEXT(Checks!$R$548,"DD-MMM-YY HH:MM"),"")&amp;" "&amp;Checks!$P$548</f>
        <v>Required
27-Oct-26 02:50 HKG</v>
      </c>
      <c r="D43" s="114" t="str">
        <f aca="false">IF(Checks!$U$548="","",Checks!$U$548)&amp;IF(Checks!$AB$548="","",CHAR(10)&amp;"CA: "&amp;Checks!$AB$548)</f>
        <v/>
      </c>
      <c r="E43" s="114" t="str">
        <f aca="false">IF(Checks!$V$548="","",Checks!$V$548)&amp;IF(Checks!$AC$548="","",IF(Checks!$V$548="","",CHAR(10))&amp;"N/A just.: "&amp;Checks!$AC$548)&amp;IF(Checks!$W$548="","",CHAR(10)&amp;"Batch: "&amp;Checks!$W$548)&amp;IF(AND(Checks!$X$548="",Checks!$Y$548=""),"",CHAR(10)&amp;"Exp: "&amp;Checks!$X$548&amp;"  /  Act: "&amp;Checks!$Y$548)</f>
        <v/>
      </c>
      <c r="F43" s="114" t="str">
        <f aca="false">IF(Checks!$Z$548="","","Evidence: "&amp;Checks!$Z$548)&amp;IF(Checks!$AA$548="","",IF(Checks!$Z$548="","",CHAR(10))&amp;"CA: "&amp;Checks!$AA$548)</f>
        <v/>
      </c>
      <c r="G43" s="114" t="str">
        <f aca="false">IF(ISNUMBER(Checks!$AD$548),TEXT(Checks!$AD$548,"DD-MMM-YY HH:MM")&amp;" "&amp;Checks!$P$548,"")&amp;IF(Checks!$AE$548="","",CHAR(10)&amp;"Verifier: "&amp;Checks!$AE$548)&amp;IF(Checks!$T$548="","",CHAR(10)&amp;"PIC: "&amp;Checks!$T$548)</f>
        <v/>
      </c>
      <c r="H43" s="115" t="str">
        <f aca="false">IF(Checks!$AH$548="","",Checks!$AH$548)</f>
        <v>OPEN</v>
      </c>
    </row>
    <row r="44" customFormat="false" ht="114" hidden="false" customHeight="true" outlineLevel="0" collapsed="false">
      <c r="A44" s="114" t="str">
        <f aca="false">Checks!$A$549&amp;CHAR(10)&amp;IF(Checks!$I$549="","",Checks!$I$549&amp;": ")&amp;Checks!$J$549</f>
        <v>F17-T12-08
Amenities: Slippers (BS/BC) - Dispo slipper - prepared</v>
      </c>
      <c r="B44" s="114" t="str">
        <f aca="false">Checks!$K$549&amp;IF(Checks!$O$549="","",IF(Checks!$K$549="","",CHAR(10))&amp;"Note: "&amp;Checks!$O$549)</f>
        <v>Available (ticked in reference)
Note: Loaded at KUL on the inbound KUL-HKG flight: due = that flight's KUL departure (Flights AX) minus the uplift window.</v>
      </c>
      <c r="C44" s="114" t="str">
        <f aca="false">Checks!$N$549&amp;CHAR(10)&amp;IF(ISNUMBER(Checks!$R$549),TEXT(Checks!$R$549,"DD-MMM-YY HH:MM"),"")&amp;" "&amp;Checks!$P$549</f>
        <v>Required
26-Oct-26 03:10 KUL</v>
      </c>
      <c r="D44" s="114" t="str">
        <f aca="false">IF(Checks!$U$549="","",Checks!$U$549)&amp;IF(Checks!$AB$549="","",CHAR(10)&amp;"CA: "&amp;Checks!$AB$549)</f>
        <v/>
      </c>
      <c r="E44" s="114" t="str">
        <f aca="false">IF(Checks!$V$549="","",Checks!$V$549)&amp;IF(Checks!$AC$549="","",IF(Checks!$V$549="","",CHAR(10))&amp;"N/A just.: "&amp;Checks!$AC$549)&amp;IF(Checks!$W$549="","",CHAR(10)&amp;"Batch: "&amp;Checks!$W$549)&amp;IF(AND(Checks!$X$549="",Checks!$Y$549=""),"",CHAR(10)&amp;"Exp: "&amp;Checks!$X$549&amp;"  /  Act: "&amp;Checks!$Y$549)</f>
        <v/>
      </c>
      <c r="F44" s="114" t="str">
        <f aca="false">IF(Checks!$Z$549="","","Evidence: "&amp;Checks!$Z$549)&amp;IF(Checks!$AA$549="","",IF(Checks!$Z$549="","",CHAR(10))&amp;"CA: "&amp;Checks!$AA$549)</f>
        <v/>
      </c>
      <c r="G44" s="114" t="str">
        <f aca="false">IF(ISNUMBER(Checks!$AD$549),TEXT(Checks!$AD$549,"DD-MMM-YY HH:MM")&amp;" "&amp;Checks!$P$549,"")&amp;IF(Checks!$AE$549="","",CHAR(10)&amp;"Verifier: "&amp;Checks!$AE$549)&amp;IF(Checks!$T$549="","",CHAR(10)&amp;"PIC: "&amp;Checks!$T$549)</f>
        <v/>
      </c>
      <c r="H44" s="115" t="str">
        <f aca="false">IF(Checks!$AH$549="","",Checks!$AH$549)</f>
        <v>OPEN</v>
      </c>
    </row>
    <row r="45" customFormat="false" ht="114" hidden="false" customHeight="true" outlineLevel="0" collapsed="false">
      <c r="A45" s="114" t="str">
        <f aca="false">Checks!$A$550&amp;CHAR(10)&amp;IF(Checks!$I$550="","",Checks!$I$550&amp;": ")&amp;Checks!$J$550</f>
        <v>F17-T12-09
F&amp;B Linen: Towel - prepared</v>
      </c>
      <c r="B45" s="114" t="str">
        <f aca="false">Checks!$K$550&amp;IF(Checks!$O$550="","",IF(Checks!$K$550="","",CHAR(10))&amp;"Note: "&amp;Checks!$O$550)</f>
        <v>Available (ticked in reference)
Note: Reference gives no uplift stn for this item: preparation checked at the meal uplift stn (HKG) - confirm with caterer.</v>
      </c>
      <c r="C45" s="114" t="str">
        <f aca="false">Checks!$N$550&amp;CHAR(10)&amp;IF(ISNUMBER(Checks!$R$550),TEXT(Checks!$R$550,"DD-MMM-YY HH:MM"),"")&amp;" "&amp;Checks!$P$550</f>
        <v>Required
27-Oct-26 02:50 HKG</v>
      </c>
      <c r="D45" s="114" t="str">
        <f aca="false">IF(Checks!$U$550="","",Checks!$U$550)&amp;IF(Checks!$AB$550="","",CHAR(10)&amp;"CA: "&amp;Checks!$AB$550)</f>
        <v/>
      </c>
      <c r="E45" s="114" t="str">
        <f aca="false">IF(Checks!$V$550="","",Checks!$V$550)&amp;IF(Checks!$AC$550="","",IF(Checks!$V$550="","",CHAR(10))&amp;"N/A just.: "&amp;Checks!$AC$550)&amp;IF(Checks!$W$550="","",CHAR(10)&amp;"Batch: "&amp;Checks!$W$550)&amp;IF(AND(Checks!$X$550="",Checks!$Y$550=""),"",CHAR(10)&amp;"Exp: "&amp;Checks!$X$550&amp;"  /  Act: "&amp;Checks!$Y$550)</f>
        <v/>
      </c>
      <c r="F45" s="114" t="str">
        <f aca="false">IF(Checks!$Z$550="","","Evidence: "&amp;Checks!$Z$550)&amp;IF(Checks!$AA$550="","",IF(Checks!$Z$550="","",CHAR(10))&amp;"CA: "&amp;Checks!$AA$550)</f>
        <v/>
      </c>
      <c r="G45" s="114" t="str">
        <f aca="false">IF(ISNUMBER(Checks!$AD$550),TEXT(Checks!$AD$550,"DD-MMM-YY HH:MM")&amp;" "&amp;Checks!$P$550,"")&amp;IF(Checks!$AE$550="","",CHAR(10)&amp;"Verifier: "&amp;Checks!$AE$550)&amp;IF(Checks!$T$550="","",CHAR(10)&amp;"PIC: "&amp;Checks!$T$550)</f>
        <v/>
      </c>
      <c r="H45" s="115" t="str">
        <f aca="false">IF(Checks!$AH$550="","",Checks!$AH$550)</f>
        <v>OPEN</v>
      </c>
    </row>
    <row r="46" customFormat="false" ht="114" hidden="false" customHeight="true" outlineLevel="0" collapsed="false">
      <c r="A46" s="114" t="str">
        <f aca="false">Checks!$A$551&amp;CHAR(10)&amp;IF(Checks!$I$551="","",Checks!$I$551&amp;": ")&amp;Checks!$J$551</f>
        <v>F17-T12-10
F&amp;B Linen: Tray cloth - prepared</v>
      </c>
      <c r="B46" s="114" t="str">
        <f aca="false">Checks!$K$551&amp;IF(Checks!$O$551="","",IF(Checks!$K$551="","",CHAR(10))&amp;"Note: "&amp;Checks!$O$551)</f>
        <v>Available (ticked in reference)
Note: Reference gives no uplift stn for this item: preparation checked at the meal uplift stn (HKG) - confirm with caterer.</v>
      </c>
      <c r="C46" s="114" t="str">
        <f aca="false">Checks!$N$551&amp;CHAR(10)&amp;IF(ISNUMBER(Checks!$R$551),TEXT(Checks!$R$551,"DD-MMM-YY HH:MM"),"")&amp;" "&amp;Checks!$P$551</f>
        <v>Required
27-Oct-26 02:50 HKG</v>
      </c>
      <c r="D46" s="114" t="str">
        <f aca="false">IF(Checks!$U$551="","",Checks!$U$551)&amp;IF(Checks!$AB$551="","",CHAR(10)&amp;"CA: "&amp;Checks!$AB$551)</f>
        <v/>
      </c>
      <c r="E46" s="114" t="str">
        <f aca="false">IF(Checks!$V$551="","",Checks!$V$551)&amp;IF(Checks!$AC$551="","",IF(Checks!$V$551="","",CHAR(10))&amp;"N/A just.: "&amp;Checks!$AC$551)&amp;IF(Checks!$W$551="","",CHAR(10)&amp;"Batch: "&amp;Checks!$W$551)&amp;IF(AND(Checks!$X$551="",Checks!$Y$551=""),"",CHAR(10)&amp;"Exp: "&amp;Checks!$X$551&amp;"  /  Act: "&amp;Checks!$Y$551)</f>
        <v/>
      </c>
      <c r="F46" s="114" t="str">
        <f aca="false">IF(Checks!$Z$551="","","Evidence: "&amp;Checks!$Z$551)&amp;IF(Checks!$AA$551="","",IF(Checks!$Z$551="","",CHAR(10))&amp;"CA: "&amp;Checks!$AA$551)</f>
        <v/>
      </c>
      <c r="G46" s="114" t="str">
        <f aca="false">IF(ISNUMBER(Checks!$AD$551),TEXT(Checks!$AD$551,"DD-MMM-YY HH:MM")&amp;" "&amp;Checks!$P$551,"")&amp;IF(Checks!$AE$551="","",CHAR(10)&amp;"Verifier: "&amp;Checks!$AE$551)&amp;IF(Checks!$T$551="","",CHAR(10)&amp;"PIC: "&amp;Checks!$T$551)</f>
        <v/>
      </c>
      <c r="H46" s="115" t="str">
        <f aca="false">IF(Checks!$AH$551="","",Checks!$AH$551)</f>
        <v>OPEN</v>
      </c>
    </row>
    <row r="47" customFormat="false" ht="114" hidden="false" customHeight="true" outlineLevel="0" collapsed="false">
      <c r="A47" s="114" t="str">
        <f aca="false">Checks!$A$552&amp;CHAR(10)&amp;IF(Checks!$I$552="","",Checks!$I$552&amp;": ")&amp;Checks!$J$552</f>
        <v>F17-T12-11
F&amp;B Linen: Napkin - prepared</v>
      </c>
      <c r="B47" s="114" t="str">
        <f aca="false">Checks!$K$552&amp;IF(Checks!$O$552="","",IF(Checks!$K$552="","",CHAR(10))&amp;"Note: "&amp;Checks!$O$552)</f>
        <v>Available (ticked in reference)
Note: Reference gives no uplift stn for this item: preparation checked at the meal uplift stn (HKG) - confirm with caterer.</v>
      </c>
      <c r="C47" s="114" t="str">
        <f aca="false">Checks!$N$552&amp;CHAR(10)&amp;IF(ISNUMBER(Checks!$R$552),TEXT(Checks!$R$552,"DD-MMM-YY HH:MM"),"")&amp;" "&amp;Checks!$P$552</f>
        <v>Required
27-Oct-26 02:50 HKG</v>
      </c>
      <c r="D47" s="114" t="str">
        <f aca="false">IF(Checks!$U$552="","",Checks!$U$552)&amp;IF(Checks!$AB$552="","",CHAR(10)&amp;"CA: "&amp;Checks!$AB$552)</f>
        <v/>
      </c>
      <c r="E47" s="114" t="str">
        <f aca="false">IF(Checks!$V$552="","",Checks!$V$552)&amp;IF(Checks!$AC$552="","",IF(Checks!$V$552="","",CHAR(10))&amp;"N/A just.: "&amp;Checks!$AC$552)&amp;IF(Checks!$W$552="","",CHAR(10)&amp;"Batch: "&amp;Checks!$W$552)&amp;IF(AND(Checks!$X$552="",Checks!$Y$552=""),"",CHAR(10)&amp;"Exp: "&amp;Checks!$X$552&amp;"  /  Act: "&amp;Checks!$Y$552)</f>
        <v/>
      </c>
      <c r="F47" s="114" t="str">
        <f aca="false">IF(Checks!$Z$552="","","Evidence: "&amp;Checks!$Z$552)&amp;IF(Checks!$AA$552="","",IF(Checks!$Z$552="","",CHAR(10))&amp;"CA: "&amp;Checks!$AA$552)</f>
        <v/>
      </c>
      <c r="G47" s="114" t="str">
        <f aca="false">IF(ISNUMBER(Checks!$AD$552),TEXT(Checks!$AD$552,"DD-MMM-YY HH:MM")&amp;" "&amp;Checks!$P$552,"")&amp;IF(Checks!$AE$552="","",CHAR(10)&amp;"Verifier: "&amp;Checks!$AE$552)&amp;IF(Checks!$T$552="","",CHAR(10)&amp;"PIC: "&amp;Checks!$T$552)</f>
        <v/>
      </c>
      <c r="H47" s="115" t="str">
        <f aca="false">IF(Checks!$AH$552="","",Checks!$AH$552)</f>
        <v>OPEN</v>
      </c>
    </row>
    <row r="48" customFormat="false" ht="279" hidden="false" customHeight="true" outlineLevel="0" collapsed="false">
      <c r="A48" s="114" t="str">
        <f aca="false">Checks!$A$553&amp;CHAR(10)&amp;IF(Checks!$I$553="","",Checks!$I$553&amp;": ")&amp;Checks!$J$553</f>
        <v>F17-T12-12
F&amp;B Linen: Table cloth - prepared</v>
      </c>
      <c r="B48" s="114" t="str">
        <f aca="false">SUBSTITUTE(Checks!$K$553&amp;IF(Checks!$O$553="","",IF(Checks!$K$553="","",CHAR(10))&amp;"Note: "&amp;Checks!$O$553),"F&amp;B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8" s="114" t="str">
        <f aca="false">Checks!$N$553&amp;CHAR(10)&amp;IF(ISNUMBER(Checks!$R$553),TEXT(Checks!$R$553,"DD-MMM-YY HH:MM"),"")&amp;" "&amp;Checks!$P$553</f>
        <v>Clarification required
27-Oct-26 02:50 HKG</v>
      </c>
      <c r="D48" s="114" t="str">
        <f aca="false">IF(Checks!$U$553="","",Checks!$U$553)&amp;IF(Checks!$AB$553="","",CHAR(10)&amp;"CA: "&amp;Checks!$AB$553)</f>
        <v/>
      </c>
      <c r="E48" s="114" t="str">
        <f aca="false">IF(Checks!$V$553="","",Checks!$V$553)&amp;IF(Checks!$AC$553="","",IF(Checks!$V$553="","",CHAR(10))&amp;"N/A just.: "&amp;Checks!$AC$553)&amp;IF(Checks!$W$553="","",CHAR(10)&amp;"Batch: "&amp;Checks!$W$553)&amp;IF(AND(Checks!$X$553="",Checks!$Y$553=""),"",CHAR(10)&amp;"Exp: "&amp;Checks!$X$553&amp;"  /  Act: "&amp;Checks!$Y$553)</f>
        <v/>
      </c>
      <c r="F48" s="114" t="str">
        <f aca="false">IF(Checks!$Z$553="","","Evidence: "&amp;Checks!$Z$553)&amp;IF(Checks!$AA$553="","",IF(Checks!$Z$553="","",CHAR(10))&amp;"CA: "&amp;Checks!$AA$553)</f>
        <v/>
      </c>
      <c r="G48" s="114" t="str">
        <f aca="false">IF(ISNUMBER(Checks!$AD$553),TEXT(Checks!$AD$553,"DD-MMM-YY HH:MM")&amp;" "&amp;Checks!$P$553,"")&amp;IF(Checks!$AE$553="","",CHAR(10)&amp;"Verifier: "&amp;Checks!$AE$553)&amp;IF(Checks!$T$553="","",CHAR(10)&amp;"PIC: "&amp;Checks!$T$553)</f>
        <v/>
      </c>
      <c r="H48" s="115" t="str">
        <f aca="false">IF(Checks!$AH$553="","",Checks!$AH$553)</f>
        <v>OPEN – CLARIFICATION</v>
      </c>
    </row>
    <row r="49" customFormat="false" ht="279" hidden="false" customHeight="true" outlineLevel="0" collapsed="false">
      <c r="A49" s="114" t="str">
        <f aca="false">Checks!$A$554&amp;CHAR(10)&amp;IF(Checks!$I$554="","",Checks!$I$554&amp;": ")&amp;Checks!$J$554</f>
        <v>F17-T12-13
F&amp;B Linen: Bread linen (using table cloth) - prepared</v>
      </c>
      <c r="B49" s="114" t="str">
        <f aca="false">SUBSTITUTE(Checks!$K$554&amp;IF(Checks!$O$554="","",IF(Checks!$K$554="","",CHAR(10))&amp;"Note: "&amp;Checks!$O$554),"F&amp;B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 Reference gives no uplift stn for this item: preparation checked at the meal uplift stn (HKG) - confirm with caterer.</v>
      </c>
      <c r="C49" s="114" t="str">
        <f aca="false">Checks!$N$554&amp;CHAR(10)&amp;IF(ISNUMBER(Checks!$R$554),TEXT(Checks!$R$554,"DD-MMM-YY HH:MM"),"")&amp;" "&amp;Checks!$P$554</f>
        <v>Clarification required
27-Oct-26 02:50 HKG</v>
      </c>
      <c r="D49" s="114" t="str">
        <f aca="false">IF(Checks!$U$554="","",Checks!$U$554)&amp;IF(Checks!$AB$554="","",CHAR(10)&amp;"CA: "&amp;Checks!$AB$554)</f>
        <v/>
      </c>
      <c r="E49" s="114" t="str">
        <f aca="false">IF(Checks!$V$554="","",Checks!$V$554)&amp;IF(Checks!$AC$554="","",IF(Checks!$V$554="","",CHAR(10))&amp;"N/A just.: "&amp;Checks!$AC$554)&amp;IF(Checks!$W$554="","",CHAR(10)&amp;"Batch: "&amp;Checks!$W$554)&amp;IF(AND(Checks!$X$554="",Checks!$Y$554=""),"",CHAR(10)&amp;"Exp: "&amp;Checks!$X$554&amp;"  /  Act: "&amp;Checks!$Y$554)</f>
        <v/>
      </c>
      <c r="F49" s="114" t="str">
        <f aca="false">IF(Checks!$Z$554="","","Evidence: "&amp;Checks!$Z$554)&amp;IF(Checks!$AA$554="","",IF(Checks!$Z$554="","",CHAR(10))&amp;"CA: "&amp;Checks!$AA$554)</f>
        <v/>
      </c>
      <c r="G49" s="114" t="str">
        <f aca="false">IF(ISNUMBER(Checks!$AD$554),TEXT(Checks!$AD$554,"DD-MMM-YY HH:MM")&amp;" "&amp;Checks!$P$554,"")&amp;IF(Checks!$AE$554="","",CHAR(10)&amp;"Verifier: "&amp;Checks!$AE$554)&amp;IF(Checks!$T$554="","",CHAR(10)&amp;"PIC: "&amp;Checks!$T$554)</f>
        <v/>
      </c>
      <c r="H49" s="115" t="str">
        <f aca="false">IF(Checks!$AH$554="","",Checks!$AH$554)</f>
        <v>OPEN – CLARIFICATION</v>
      </c>
    </row>
    <row r="50" customFormat="false" ht="124.5" hidden="false" customHeight="true" outlineLevel="0" collapsed="false">
      <c r="A50" s="114" t="str">
        <f aca="false">Checks!$A$555&amp;CHAR(10)&amp;IF(Checks!$I$555="","",Checks!$I$555&amp;": ")&amp;Checks!$J$555</f>
        <v>F17-T12-14
F&amp;B Linen: Trolley cloth - prepared</v>
      </c>
      <c r="B50" s="114" t="str">
        <f aca="false">SUBSTITUTE(Checks!$K$555&amp;IF(Checks!$O$555="","",IF(Checks!$K$555="","",CHAR(10))&amp;"Note: "&amp;Checks!$O$555),"F&amp;B LINEN!","Ref: F&amp;B LINEN!")</f>
        <v>Narrow body: Top only
Note: Per note Ref: F&amp;B LINEN!B79:C80. Reference gives no uplift stn for this item: preparation checked at the meal uplift stn (HKG) - confirm with caterer.</v>
      </c>
      <c r="C50" s="114" t="str">
        <f aca="false">Checks!$N$555&amp;CHAR(10)&amp;IF(ISNUMBER(Checks!$R$555),TEXT(Checks!$R$555,"DD-MMM-YY HH:MM"),"")&amp;" "&amp;Checks!$P$555</f>
        <v>Required
27-Oct-26 02:50 HKG</v>
      </c>
      <c r="D50" s="114" t="str">
        <f aca="false">IF(Checks!$U$555="","",Checks!$U$555)&amp;IF(Checks!$AB$555="","",CHAR(10)&amp;"CA: "&amp;Checks!$AB$555)</f>
        <v/>
      </c>
      <c r="E50" s="114" t="str">
        <f aca="false">IF(Checks!$V$555="","",Checks!$V$555)&amp;IF(Checks!$AC$555="","",IF(Checks!$V$555="","",CHAR(10))&amp;"N/A just.: "&amp;Checks!$AC$555)&amp;IF(Checks!$W$555="","",CHAR(10)&amp;"Batch: "&amp;Checks!$W$555)&amp;IF(AND(Checks!$X$555="",Checks!$Y$555=""),"",CHAR(10)&amp;"Exp: "&amp;Checks!$X$555&amp;"  /  Act: "&amp;Checks!$Y$555)</f>
        <v/>
      </c>
      <c r="F50" s="114" t="str">
        <f aca="false">IF(Checks!$Z$555="","","Evidence: "&amp;Checks!$Z$555)&amp;IF(Checks!$AA$555="","",IF(Checks!$Z$555="","",CHAR(10))&amp;"CA: "&amp;Checks!$AA$555)</f>
        <v/>
      </c>
      <c r="G50" s="114" t="str">
        <f aca="false">IF(ISNUMBER(Checks!$AD$555),TEXT(Checks!$AD$555,"DD-MMM-YY HH:MM")&amp;" "&amp;Checks!$P$555,"")&amp;IF(Checks!$AE$555="","",CHAR(10)&amp;"Verifier: "&amp;Checks!$AE$555)&amp;IF(Checks!$T$555="","",CHAR(10)&amp;"PIC: "&amp;Checks!$T$555)</f>
        <v/>
      </c>
      <c r="H50" s="115" t="str">
        <f aca="false">IF(Checks!$AH$555="","",Checks!$AH$555)</f>
        <v>OPEN</v>
      </c>
    </row>
    <row r="51" customFormat="false" ht="114" hidden="false" customHeight="true" outlineLevel="0" collapsed="false">
      <c r="A51" s="114" t="str">
        <f aca="false">Checks!$A$556&amp;CHAR(10)&amp;IF(Checks!$I$556="","",Checks!$I$556&amp;": ")&amp;Checks!$J$556</f>
        <v>F17-T12-15
F&amp;B Linen: Linen bag - prepared</v>
      </c>
      <c r="B51" s="114" t="str">
        <f aca="false">Checks!$K$556&amp;IF(Checks!$O$556="","",IF(Checks!$K$556="","",CHAR(10))&amp;"Note: "&amp;Checks!$O$556)</f>
        <v>Available (ticked in reference)
Note: Reference gives no uplift stn for this item: preparation checked at the meal uplift stn (HKG) - confirm with caterer.</v>
      </c>
      <c r="C51" s="114" t="str">
        <f aca="false">Checks!$N$556&amp;CHAR(10)&amp;IF(ISNUMBER(Checks!$R$556),TEXT(Checks!$R$556,"DD-MMM-YY HH:MM"),"")&amp;" "&amp;Checks!$P$556</f>
        <v>Required
27-Oct-26 02:50 HKG</v>
      </c>
      <c r="D51" s="114" t="str">
        <f aca="false">IF(Checks!$U$556="","",Checks!$U$556)&amp;IF(Checks!$AB$556="","",CHAR(10)&amp;"CA: "&amp;Checks!$AB$556)</f>
        <v/>
      </c>
      <c r="E51" s="114" t="str">
        <f aca="false">IF(Checks!$V$556="","",Checks!$V$556)&amp;IF(Checks!$AC$556="","",IF(Checks!$V$556="","",CHAR(10))&amp;"N/A just.: "&amp;Checks!$AC$556)&amp;IF(Checks!$W$556="","",CHAR(10)&amp;"Batch: "&amp;Checks!$W$556)&amp;IF(AND(Checks!$X$556="",Checks!$Y$556=""),"",CHAR(10)&amp;"Exp: "&amp;Checks!$X$556&amp;"  /  Act: "&amp;Checks!$Y$556)</f>
        <v/>
      </c>
      <c r="F51" s="114" t="str">
        <f aca="false">IF(Checks!$Z$556="","","Evidence: "&amp;Checks!$Z$556)&amp;IF(Checks!$AA$556="","",IF(Checks!$Z$556="","",CHAR(10))&amp;"CA: "&amp;Checks!$AA$556)</f>
        <v/>
      </c>
      <c r="G51" s="114" t="str">
        <f aca="false">IF(ISNUMBER(Checks!$AD$556),TEXT(Checks!$AD$556,"DD-MMM-YY HH:MM")&amp;" "&amp;Checks!$P$556,"")&amp;IF(Checks!$AE$556="","",CHAR(10)&amp;"Verifier: "&amp;Checks!$AE$556)&amp;IF(Checks!$T$556="","",CHAR(10)&amp;"PIC: "&amp;Checks!$T$556)</f>
        <v/>
      </c>
      <c r="H51" s="115" t="str">
        <f aca="false">IF(Checks!$AH$556="","",Checks!$AH$556)</f>
        <v>OPEN</v>
      </c>
    </row>
    <row r="52" customFormat="false" ht="114" hidden="false" customHeight="true" outlineLevel="0" collapsed="false">
      <c r="A52" s="114" t="str">
        <f aca="false">Checks!$A$557&amp;CHAR(10)&amp;IF(Checks!$I$557="","",Checks!$I$557&amp;": ")&amp;Checks!$J$557</f>
        <v>F17-T12-16
Seat Linen: Seat pillow (BS &amp; BC) - prepared</v>
      </c>
      <c r="B52" s="114" t="str">
        <f aca="false">Checks!$K$557&amp;IF(Checks!$O$557="","",IF(Checks!$K$557="","",CHAR(10))&amp;"Note: "&amp;Checks!$O$557)</f>
        <v>Available 100% (ticked in reference)
Note: Reference gives no uplift stn for this item: preparation checked at the meal uplift stn (HKG) - confirm with caterer.</v>
      </c>
      <c r="C52" s="114" t="str">
        <f aca="false">Checks!$N$557&amp;CHAR(10)&amp;IF(ISNUMBER(Checks!$R$557),TEXT(Checks!$R$557,"DD-MMM-YY HH:MM"),"")&amp;" "&amp;Checks!$P$557</f>
        <v>Required
27-Oct-26 02:50 HKG</v>
      </c>
      <c r="D52" s="114" t="str">
        <f aca="false">IF(Checks!$U$557="","",Checks!$U$557)&amp;IF(Checks!$AB$557="","",CHAR(10)&amp;"CA: "&amp;Checks!$AB$557)</f>
        <v/>
      </c>
      <c r="E52" s="114" t="str">
        <f aca="false">IF(Checks!$V$557="","",Checks!$V$557)&amp;IF(Checks!$AC$557="","",IF(Checks!$V$557="","",CHAR(10))&amp;"N/A just.: "&amp;Checks!$AC$557)&amp;IF(Checks!$W$557="","",CHAR(10)&amp;"Batch: "&amp;Checks!$W$557)&amp;IF(AND(Checks!$X$557="",Checks!$Y$557=""),"",CHAR(10)&amp;"Exp: "&amp;Checks!$X$557&amp;"  /  Act: "&amp;Checks!$Y$557)</f>
        <v/>
      </c>
      <c r="F52" s="114" t="str">
        <f aca="false">IF(Checks!$Z$557="","","Evidence: "&amp;Checks!$Z$557)&amp;IF(Checks!$AA$557="","",IF(Checks!$Z$557="","",CHAR(10))&amp;"CA: "&amp;Checks!$AA$557)</f>
        <v/>
      </c>
      <c r="G52" s="114" t="str">
        <f aca="false">IF(ISNUMBER(Checks!$AD$557),TEXT(Checks!$AD$557,"DD-MMM-YY HH:MM")&amp;" "&amp;Checks!$P$557,"")&amp;IF(Checks!$AE$557="","",CHAR(10)&amp;"Verifier: "&amp;Checks!$AE$557)&amp;IF(Checks!$T$557="","",CHAR(10)&amp;"PIC: "&amp;Checks!$T$557)</f>
        <v/>
      </c>
      <c r="H52" s="115" t="str">
        <f aca="false">IF(Checks!$AH$557="","",Checks!$AH$557)</f>
        <v>OPEN</v>
      </c>
    </row>
    <row r="53" customFormat="false" ht="114" hidden="false" customHeight="true" outlineLevel="0" collapsed="false">
      <c r="A53" s="114" t="str">
        <f aca="false">Checks!$A$558&amp;CHAR(10)&amp;IF(Checks!$I$558="","",Checks!$I$558&amp;": ")&amp;Checks!$J$558</f>
        <v>F17-T12-17
Seat Linen: Blanket (BS &amp; BC) - prepared</v>
      </c>
      <c r="B53" s="114" t="str">
        <f aca="false">Checks!$K$558&amp;IF(Checks!$O$558="","",IF(Checks!$K$558="","",CHAR(10))&amp;"Note: "&amp;Checks!$O$558)</f>
        <v>Available 100% (ticked in reference)
Note: Reference gives no uplift stn for this item: preparation checked at the meal uplift stn (HKG) - confirm with caterer.</v>
      </c>
      <c r="C53" s="114" t="str">
        <f aca="false">Checks!$N$558&amp;CHAR(10)&amp;IF(ISNUMBER(Checks!$R$558),TEXT(Checks!$R$558,"DD-MMM-YY HH:MM"),"")&amp;" "&amp;Checks!$P$558</f>
        <v>Required
27-Oct-26 02:50 HKG</v>
      </c>
      <c r="D53" s="114" t="str">
        <f aca="false">IF(Checks!$U$558="","",Checks!$U$558)&amp;IF(Checks!$AB$558="","",CHAR(10)&amp;"CA: "&amp;Checks!$AB$558)</f>
        <v/>
      </c>
      <c r="E53" s="114" t="str">
        <f aca="false">IF(Checks!$V$558="","",Checks!$V$558)&amp;IF(Checks!$AC$558="","",IF(Checks!$V$558="","",CHAR(10))&amp;"N/A just.: "&amp;Checks!$AC$558)&amp;IF(Checks!$W$558="","",CHAR(10)&amp;"Batch: "&amp;Checks!$W$558)&amp;IF(AND(Checks!$X$558="",Checks!$Y$558=""),"",CHAR(10)&amp;"Exp: "&amp;Checks!$X$558&amp;"  /  Act: "&amp;Checks!$Y$558)</f>
        <v/>
      </c>
      <c r="F53" s="114" t="str">
        <f aca="false">IF(Checks!$Z$558="","","Evidence: "&amp;Checks!$Z$558)&amp;IF(Checks!$AA$558="","",IF(Checks!$Z$558="","",CHAR(10))&amp;"CA: "&amp;Checks!$AA$558)</f>
        <v/>
      </c>
      <c r="G53" s="114" t="str">
        <f aca="false">IF(ISNUMBER(Checks!$AD$558),TEXT(Checks!$AD$558,"DD-MMM-YY HH:MM")&amp;" "&amp;Checks!$P$558,"")&amp;IF(Checks!$AE$558="","",CHAR(10)&amp;"Verifier: "&amp;Checks!$AE$558)&amp;IF(Checks!$T$558="","",CHAR(10)&amp;"PIC: "&amp;Checks!$T$558)</f>
        <v/>
      </c>
      <c r="H53" s="115" t="str">
        <f aca="false">IF(Checks!$AH$558="","",Checks!$AH$558)</f>
        <v>OPEN</v>
      </c>
    </row>
    <row r="54" customFormat="false" ht="213" hidden="false" customHeight="true" outlineLevel="0" collapsed="false">
      <c r="A54" s="114" t="str">
        <f aca="false">Checks!$A$559&amp;CHAR(10)&amp;IF(Checks!$I$559="","",Checks!$I$559&amp;": ")&amp;Checks!$J$559</f>
        <v>F17-T12-18
Sales Cart: Sales cart (caterer MCAT) - prepared</v>
      </c>
      <c r="B54" s="114" t="str">
        <f aca="false">SUBSTITUTE(Checks!$K$559&amp;IF(Checks!$O$559="","",IF(Checks!$K$559="","",CHAR(10))&amp;"Note: "&amp;Checks!$O$559),"SALES CART!","Ref: SALES CART!")</f>
        <v>Location 210A (B7M8)
Note: Block 4.08 h &gt;= 4 h (note Ref: SALES CART!C40). Reference names caterer MCAT for the KUL/HKG/KUL sector but no uplift station: confirm whether the HKG-KUL sales cart is loaded at KUL (round trip) or at HKG. Reference gives no uplift stn for this item: preparation checked at the meal uplift stn (HKG) - confirm with caterer.</v>
      </c>
      <c r="C54" s="114" t="str">
        <f aca="false">Checks!$N$559&amp;CHAR(10)&amp;IF(ISNUMBER(Checks!$R$559),TEXT(Checks!$R$559,"DD-MMM-YY HH:MM"),"")&amp;" "&amp;Checks!$P$559</f>
        <v>Clarification required
27-Oct-26 02:50 HKG</v>
      </c>
      <c r="D54" s="114" t="str">
        <f aca="false">IF(Checks!$U$559="","",Checks!$U$559)&amp;IF(Checks!$AB$559="","",CHAR(10)&amp;"CA: "&amp;Checks!$AB$559)</f>
        <v/>
      </c>
      <c r="E54" s="114" t="str">
        <f aca="false">IF(Checks!$V$559="","",Checks!$V$559)&amp;IF(Checks!$AC$559="","",IF(Checks!$V$559="","",CHAR(10))&amp;"N/A just.: "&amp;Checks!$AC$559)&amp;IF(Checks!$W$559="","",CHAR(10)&amp;"Batch: "&amp;Checks!$W$559)&amp;IF(AND(Checks!$X$559="",Checks!$Y$559=""),"",CHAR(10)&amp;"Exp: "&amp;Checks!$X$559&amp;"  /  Act: "&amp;Checks!$Y$559)</f>
        <v/>
      </c>
      <c r="F54" s="114" t="str">
        <f aca="false">IF(Checks!$Z$559="","","Evidence: "&amp;Checks!$Z$559)&amp;IF(Checks!$AA$559="","",IF(Checks!$Z$559="","",CHAR(10))&amp;"CA: "&amp;Checks!$AA$559)</f>
        <v/>
      </c>
      <c r="G54" s="114" t="str">
        <f aca="false">IF(ISNUMBER(Checks!$AD$559),TEXT(Checks!$AD$559,"DD-MMM-YY HH:MM")&amp;" "&amp;Checks!$P$559,"")&amp;IF(Checks!$AE$559="","",CHAR(10)&amp;"Verifier: "&amp;Checks!$AE$559)&amp;IF(Checks!$T$559="","",CHAR(10)&amp;"PIC: "&amp;Checks!$T$559)</f>
        <v/>
      </c>
      <c r="H54" s="115" t="str">
        <f aca="false">IF(Checks!$AH$559="","",Checks!$AH$559)</f>
        <v>OPEN – CLARIFICATION</v>
      </c>
    </row>
    <row r="55" customFormat="false" ht="25.5" hidden="false" customHeight="true" outlineLevel="0" collapsed="false">
      <c r="A55" s="113" t="str">
        <f aca="false">"UPLIFT — Physical uplift – on-board confirmation before departure  |  Due "&amp;"STD "&amp;IF(ISNUMBER(Flights!$I$21),TEXT(Flights!$I$21,"DD-MMM-YY HH:MM"),"")&amp;" "&amp;Flights!$G$21&amp;" (departure stn)"&amp;" (rows with another due show their own)  |  Complete "&amp;IF(ISNUMBER(Flights!$AM$21),TEXT(Flights!$AM$21,"0%"),Flights!$AM$21)&amp;"  |  14 lines"</f>
        <v>UPLIFT — Physical uplift – on-board confirmation before departure  |  Due STD 27-Oct-26 14:50 HKG (departure stn) (rows with another due show their own)  |  Complete 0%  |  14 lines</v>
      </c>
      <c r="B55" s="113"/>
      <c r="C55" s="113"/>
      <c r="D55" s="113"/>
      <c r="E55" s="113"/>
      <c r="F55" s="113"/>
      <c r="G55" s="113"/>
      <c r="H55" s="113"/>
    </row>
    <row r="56" customFormat="false" ht="114" hidden="false" customHeight="true" outlineLevel="0" collapsed="false">
      <c r="A56" s="114" t="str">
        <f aca="false">Checks!$A$560&amp;CHAR(10)&amp;IF(Checks!$I$560="","",Checks!$I$560&amp;": ")&amp;Checks!$J$560</f>
        <v>F17-UPL-01
Meal: Meals physically uplifted on board - quantity vs menu checklist</v>
      </c>
      <c r="B56" s="114" t="str">
        <f aca="false">Checks!$K$560&amp;IF(Checks!$O$560="","",IF(Checks!$K$560="","",CHAR(10))&amp;"Note: "&amp;Checks!$O$560)</f>
        <v>Enter expected &amp; actual
Note: Confirm on board before departure; completion time must fall inside the uplift window.</v>
      </c>
      <c r="C56" s="114" t="str">
        <f aca="false">Checks!$N$560&amp;CHAR(10)&amp;IF(ISNUMBER(Checks!$R$560),TEXT(Checks!$R$560,"DD-MMM-YY HH:MM"),"")&amp;" "&amp;Checks!$P$560</f>
        <v>Required
27-Oct-26 14:50 HKG</v>
      </c>
      <c r="D56" s="114" t="str">
        <f aca="false">IF(Checks!$U$560="","",Checks!$U$560)&amp;IF(Checks!$AB$560="","",CHAR(10)&amp;"CA: "&amp;Checks!$AB$560)</f>
        <v/>
      </c>
      <c r="E56" s="114" t="str">
        <f aca="false">IF(Checks!$V$560="","",Checks!$V$560)&amp;IF(Checks!$AC$560="","",IF(Checks!$V$560="","",CHAR(10))&amp;"N/A just.: "&amp;Checks!$AC$560)&amp;IF(Checks!$W$560="","",CHAR(10)&amp;"Batch: "&amp;Checks!$W$560)&amp;IF(AND(Checks!$X$560="",Checks!$Y$560=""),"",CHAR(10)&amp;"Exp: "&amp;Checks!$X$560&amp;"  /  Act: "&amp;Checks!$Y$560)</f>
        <v/>
      </c>
      <c r="F56" s="114" t="str">
        <f aca="false">IF(Checks!$Z$560="","","Evidence: "&amp;Checks!$Z$560)&amp;IF(Checks!$AA$560="","",IF(Checks!$Z$560="","",CHAR(10))&amp;"CA: "&amp;Checks!$AA$560)</f>
        <v/>
      </c>
      <c r="G56" s="114" t="str">
        <f aca="false">IF(ISNUMBER(Checks!$AD$560),TEXT(Checks!$AD$560,"DD-MMM-YY HH:MM")&amp;" "&amp;Checks!$P$560,"")&amp;IF(Checks!$AE$560="","",CHAR(10)&amp;"Verifier: "&amp;Checks!$AE$560)&amp;IF(Checks!$T$560="","",CHAR(10)&amp;"PIC: "&amp;Checks!$T$560)</f>
        <v/>
      </c>
      <c r="H56" s="115" t="str">
        <f aca="false">IF(Checks!$AH$560="","",Checks!$AH$560)</f>
        <v>OPEN</v>
      </c>
    </row>
    <row r="57" customFormat="false" ht="114" hidden="false" customHeight="true" outlineLevel="0" collapsed="false">
      <c r="A57" s="114" t="str">
        <f aca="false">Checks!$A$561&amp;CHAR(10)&amp;IF(Checks!$I$561="","",Checks!$I$561&amp;": ")&amp;Checks!$J$561</f>
        <v>F17-UPL-02
Equipment: Equipment physically loaded at GLD positions - quantity &amp; positions</v>
      </c>
      <c r="B57" s="114" t="str">
        <f aca="false">Checks!$K$561&amp;IF(Checks!$O$561="","",IF(Checks!$K$561="","",CHAR(10))&amp;"Note: "&amp;Checks!$O$561)</f>
        <v>Enter expected &amp; actual
Note: Confirm on board before departure; completion time must fall inside the uplift window.</v>
      </c>
      <c r="C57" s="114" t="str">
        <f aca="false">Checks!$N$561&amp;CHAR(10)&amp;IF(ISNUMBER(Checks!$R$561),TEXT(Checks!$R$561,"DD-MMM-YY HH:MM"),"")&amp;" "&amp;Checks!$P$561</f>
        <v>Required
27-Oct-26 14:50 HKG</v>
      </c>
      <c r="D57" s="114" t="str">
        <f aca="false">IF(Checks!$U$561="","",Checks!$U$561)&amp;IF(Checks!$AB$561="","",CHAR(10)&amp;"CA: "&amp;Checks!$AB$561)</f>
        <v/>
      </c>
      <c r="E57" s="114" t="str">
        <f aca="false">IF(Checks!$V$561="","",Checks!$V$561)&amp;IF(Checks!$AC$561="","",IF(Checks!$V$561="","",CHAR(10))&amp;"N/A just.: "&amp;Checks!$AC$561)&amp;IF(Checks!$W$561="","",CHAR(10)&amp;"Batch: "&amp;Checks!$W$561)&amp;IF(AND(Checks!$X$561="",Checks!$Y$561=""),"",CHAR(10)&amp;"Exp: "&amp;Checks!$X$561&amp;"  /  Act: "&amp;Checks!$Y$561)</f>
        <v/>
      </c>
      <c r="F57" s="114" t="str">
        <f aca="false">IF(Checks!$Z$561="","","Evidence: "&amp;Checks!$Z$561)&amp;IF(Checks!$AA$561="","",IF(Checks!$Z$561="","",CHAR(10))&amp;"CA: "&amp;Checks!$AA$561)</f>
        <v/>
      </c>
      <c r="G57" s="114" t="str">
        <f aca="false">IF(ISNUMBER(Checks!$AD$561),TEXT(Checks!$AD$561,"DD-MMM-YY HH:MM")&amp;" "&amp;Checks!$P$561,"")&amp;IF(Checks!$AE$561="","",CHAR(10)&amp;"Verifier: "&amp;Checks!$AE$561)&amp;IF(Checks!$T$561="","",CHAR(10)&amp;"PIC: "&amp;Checks!$T$561)</f>
        <v/>
      </c>
      <c r="H57" s="115" t="str">
        <f aca="false">IF(Checks!$AH$561="","",Checks!$AH$561)</f>
        <v>OPEN</v>
      </c>
    </row>
    <row r="58" customFormat="false" ht="124.5" hidden="false" customHeight="true" outlineLevel="0" collapsed="false">
      <c r="A58" s="114" t="str">
        <f aca="false">Checks!$A$562&amp;CHAR(10)&amp;IF(Checks!$I$562="","",Checks!$I$562&amp;": ")&amp;Checks!$J$562</f>
        <v>F17-UPL-03
Uplift plan: KUL-sourced items physically loaded at KUL on the inbound KUL-HKG flight</v>
      </c>
      <c r="B58" s="114" t="str">
        <f aca="false">Checks!$K$562&amp;IF(Checks!$O$562="","",IF(Checks!$K$562="","",CHAR(10))&amp;"Note: "&amp;Checks!$O$562)</f>
        <v>Items: Slippers (BS/BC) - Dispo slipper. Quantities as per Requirements
Note: Confirmed at KUL inside the uplift window before the carrying flight's KUL departure (Flights AX).</v>
      </c>
      <c r="C58" s="114" t="str">
        <f aca="false">Checks!$N$562&amp;CHAR(10)&amp;IF(ISNUMBER(Checks!$R$562),TEXT(Checks!$R$562,"DD-MMM-YY HH:MM"),"")&amp;" "&amp;Checks!$P$562</f>
        <v>Required
26-Oct-26 09:10 KUL</v>
      </c>
      <c r="D58" s="114" t="str">
        <f aca="false">IF(Checks!$U$562="","",Checks!$U$562)&amp;IF(Checks!$AB$562="","",CHAR(10)&amp;"CA: "&amp;Checks!$AB$562)</f>
        <v/>
      </c>
      <c r="E58" s="114" t="str">
        <f aca="false">IF(Checks!$V$562="","",Checks!$V$562)&amp;IF(Checks!$AC$562="","",IF(Checks!$V$562="","",CHAR(10))&amp;"N/A just.: "&amp;Checks!$AC$562)&amp;IF(Checks!$W$562="","",CHAR(10)&amp;"Batch: "&amp;Checks!$W$562)&amp;IF(AND(Checks!$X$562="",Checks!$Y$562=""),"",CHAR(10)&amp;"Exp: "&amp;Checks!$X$562&amp;"  /  Act: "&amp;Checks!$Y$562)</f>
        <v/>
      </c>
      <c r="F58" s="114" t="str">
        <f aca="false">IF(Checks!$Z$562="","","Evidence: "&amp;Checks!$Z$562)&amp;IF(Checks!$AA$562="","",IF(Checks!$Z$562="","",CHAR(10))&amp;"CA: "&amp;Checks!$AA$562)</f>
        <v/>
      </c>
      <c r="G58" s="114" t="str">
        <f aca="false">IF(ISNUMBER(Checks!$AD$562),TEXT(Checks!$AD$562,"DD-MMM-YY HH:MM")&amp;" "&amp;Checks!$P$562,"")&amp;IF(Checks!$AE$562="","",CHAR(10)&amp;"Verifier: "&amp;Checks!$AE$562)&amp;IF(Checks!$T$562="","",CHAR(10)&amp;"PIC: "&amp;Checks!$T$562)</f>
        <v/>
      </c>
      <c r="H58" s="115" t="str">
        <f aca="false">IF(Checks!$AH$562="","",Checks!$AH$562)</f>
        <v>OPEN</v>
      </c>
    </row>
    <row r="59" customFormat="false" ht="114" hidden="false" customHeight="true" outlineLevel="0" collapsed="false">
      <c r="A59" s="114" t="str">
        <f aca="false">Checks!$A$563&amp;CHAR(10)&amp;IF(Checks!$I$563="","",Checks!$I$563&amp;": ")&amp;Checks!$J$563</f>
        <v>F17-UPL-04
Amenities: Slippers (BS/BC) - Dispo slipper - on board</v>
      </c>
      <c r="B59" s="114" t="str">
        <f aca="false">Checks!$K$563&amp;IF(Checks!$O$563="","",IF(Checks!$K$563="","",CHAR(10))&amp;"Note: "&amp;Checks!$O$563)</f>
        <v>Available (ticked in reference)</v>
      </c>
      <c r="C59" s="114" t="str">
        <f aca="false">Checks!$N$563&amp;CHAR(10)&amp;IF(ISNUMBER(Checks!$R$563),TEXT(Checks!$R$563,"DD-MMM-YY HH:MM"),"")&amp;" "&amp;Checks!$P$563</f>
        <v>Required
27-Oct-26 14:50 HKG</v>
      </c>
      <c r="D59" s="114" t="str">
        <f aca="false">IF(Checks!$U$563="","",Checks!$U$563)&amp;IF(Checks!$AB$563="","",CHAR(10)&amp;"CA: "&amp;Checks!$AB$563)</f>
        <v/>
      </c>
      <c r="E59" s="114" t="str">
        <f aca="false">IF(Checks!$V$563="","",Checks!$V$563)&amp;IF(Checks!$AC$563="","",IF(Checks!$V$563="","",CHAR(10))&amp;"N/A just.: "&amp;Checks!$AC$563)&amp;IF(Checks!$W$563="","",CHAR(10)&amp;"Batch: "&amp;Checks!$W$563)&amp;IF(AND(Checks!$X$563="",Checks!$Y$563=""),"",CHAR(10)&amp;"Exp: "&amp;Checks!$X$563&amp;"  /  Act: "&amp;Checks!$Y$563)</f>
        <v/>
      </c>
      <c r="F59" s="114" t="str">
        <f aca="false">IF(Checks!$Z$563="","","Evidence: "&amp;Checks!$Z$563)&amp;IF(Checks!$AA$563="","",IF(Checks!$Z$563="","",CHAR(10))&amp;"CA: "&amp;Checks!$AA$563)</f>
        <v/>
      </c>
      <c r="G59" s="114" t="str">
        <f aca="false">IF(ISNUMBER(Checks!$AD$563),TEXT(Checks!$AD$563,"DD-MMM-YY HH:MM")&amp;" "&amp;Checks!$P$563,"")&amp;IF(Checks!$AE$563="","",CHAR(10)&amp;"Verifier: "&amp;Checks!$AE$563)&amp;IF(Checks!$T$563="","",CHAR(10)&amp;"PIC: "&amp;Checks!$T$563)</f>
        <v/>
      </c>
      <c r="H59" s="115" t="str">
        <f aca="false">IF(Checks!$AH$563="","",Checks!$AH$563)</f>
        <v>OPEN</v>
      </c>
    </row>
    <row r="60" customFormat="false" ht="114" hidden="false" customHeight="true" outlineLevel="0" collapsed="false">
      <c r="A60" s="114" t="str">
        <f aca="false">Checks!$A$564&amp;CHAR(10)&amp;IF(Checks!$I$564="","",Checks!$I$564&amp;": ")&amp;Checks!$J$564</f>
        <v>F17-UPL-05
F&amp;B Linen: Towel - on board</v>
      </c>
      <c r="B60" s="114" t="str">
        <f aca="false">Checks!$K$564&amp;IF(Checks!$O$564="","",IF(Checks!$K$564="","",CHAR(10))&amp;"Note: "&amp;Checks!$O$564)</f>
        <v>Available (ticked in reference)</v>
      </c>
      <c r="C60" s="114" t="str">
        <f aca="false">Checks!$N$564&amp;CHAR(10)&amp;IF(ISNUMBER(Checks!$R$564),TEXT(Checks!$R$564,"DD-MMM-YY HH:MM"),"")&amp;" "&amp;Checks!$P$564</f>
        <v>Required
27-Oct-26 14:50 HKG</v>
      </c>
      <c r="D60" s="114" t="str">
        <f aca="false">IF(Checks!$U$564="","",Checks!$U$564)&amp;IF(Checks!$AB$564="","",CHAR(10)&amp;"CA: "&amp;Checks!$AB$564)</f>
        <v/>
      </c>
      <c r="E60" s="114" t="str">
        <f aca="false">IF(Checks!$V$564="","",Checks!$V$564)&amp;IF(Checks!$AC$564="","",IF(Checks!$V$564="","",CHAR(10))&amp;"N/A just.: "&amp;Checks!$AC$564)&amp;IF(Checks!$W$564="","",CHAR(10)&amp;"Batch: "&amp;Checks!$W$564)&amp;IF(AND(Checks!$X$564="",Checks!$Y$564=""),"",CHAR(10)&amp;"Exp: "&amp;Checks!$X$564&amp;"  /  Act: "&amp;Checks!$Y$564)</f>
        <v/>
      </c>
      <c r="F60" s="114" t="str">
        <f aca="false">IF(Checks!$Z$564="","","Evidence: "&amp;Checks!$Z$564)&amp;IF(Checks!$AA$564="","",IF(Checks!$Z$564="","",CHAR(10))&amp;"CA: "&amp;Checks!$AA$564)</f>
        <v/>
      </c>
      <c r="G60" s="114" t="str">
        <f aca="false">IF(ISNUMBER(Checks!$AD$564),TEXT(Checks!$AD$564,"DD-MMM-YY HH:MM")&amp;" "&amp;Checks!$P$564,"")&amp;IF(Checks!$AE$564="","",CHAR(10)&amp;"Verifier: "&amp;Checks!$AE$564)&amp;IF(Checks!$T$564="","",CHAR(10)&amp;"PIC: "&amp;Checks!$T$564)</f>
        <v/>
      </c>
      <c r="H60" s="115" t="str">
        <f aca="false">IF(Checks!$AH$564="","",Checks!$AH$564)</f>
        <v>OPEN</v>
      </c>
    </row>
    <row r="61" customFormat="false" ht="114" hidden="false" customHeight="true" outlineLevel="0" collapsed="false">
      <c r="A61" s="114" t="str">
        <f aca="false">Checks!$A$565&amp;CHAR(10)&amp;IF(Checks!$I$565="","",Checks!$I$565&amp;": ")&amp;Checks!$J$565</f>
        <v>F17-UPL-06
F&amp;B Linen: Tray cloth - on board</v>
      </c>
      <c r="B61" s="114" t="str">
        <f aca="false">Checks!$K$565&amp;IF(Checks!$O$565="","",IF(Checks!$K$565="","",CHAR(10))&amp;"Note: "&amp;Checks!$O$565)</f>
        <v>Available (ticked in reference)</v>
      </c>
      <c r="C61" s="114" t="str">
        <f aca="false">Checks!$N$565&amp;CHAR(10)&amp;IF(ISNUMBER(Checks!$R$565),TEXT(Checks!$R$565,"DD-MMM-YY HH:MM"),"")&amp;" "&amp;Checks!$P$565</f>
        <v>Required
27-Oct-26 14:50 HKG</v>
      </c>
      <c r="D61" s="114" t="str">
        <f aca="false">IF(Checks!$U$565="","",Checks!$U$565)&amp;IF(Checks!$AB$565="","",CHAR(10)&amp;"CA: "&amp;Checks!$AB$565)</f>
        <v/>
      </c>
      <c r="E61" s="114" t="str">
        <f aca="false">IF(Checks!$V$565="","",Checks!$V$565)&amp;IF(Checks!$AC$565="","",IF(Checks!$V$565="","",CHAR(10))&amp;"N/A just.: "&amp;Checks!$AC$565)&amp;IF(Checks!$W$565="","",CHAR(10)&amp;"Batch: "&amp;Checks!$W$565)&amp;IF(AND(Checks!$X$565="",Checks!$Y$565=""),"",CHAR(10)&amp;"Exp: "&amp;Checks!$X$565&amp;"  /  Act: "&amp;Checks!$Y$565)</f>
        <v/>
      </c>
      <c r="F61" s="114" t="str">
        <f aca="false">IF(Checks!$Z$565="","","Evidence: "&amp;Checks!$Z$565)&amp;IF(Checks!$AA$565="","",IF(Checks!$Z$565="","",CHAR(10))&amp;"CA: "&amp;Checks!$AA$565)</f>
        <v/>
      </c>
      <c r="G61" s="114" t="str">
        <f aca="false">IF(ISNUMBER(Checks!$AD$565),TEXT(Checks!$AD$565,"DD-MMM-YY HH:MM")&amp;" "&amp;Checks!$P$565,"")&amp;IF(Checks!$AE$565="","",CHAR(10)&amp;"Verifier: "&amp;Checks!$AE$565)&amp;IF(Checks!$T$565="","",CHAR(10)&amp;"PIC: "&amp;Checks!$T$565)</f>
        <v/>
      </c>
      <c r="H61" s="115" t="str">
        <f aca="false">IF(Checks!$AH$565="","",Checks!$AH$565)</f>
        <v>OPEN</v>
      </c>
    </row>
    <row r="62" customFormat="false" ht="114" hidden="false" customHeight="true" outlineLevel="0" collapsed="false">
      <c r="A62" s="114" t="str">
        <f aca="false">Checks!$A$566&amp;CHAR(10)&amp;IF(Checks!$I$566="","",Checks!$I$566&amp;": ")&amp;Checks!$J$566</f>
        <v>F17-UPL-07
F&amp;B Linen: Napkin - on board</v>
      </c>
      <c r="B62" s="114" t="str">
        <f aca="false">Checks!$K$566&amp;IF(Checks!$O$566="","",IF(Checks!$K$566="","",CHAR(10))&amp;"Note: "&amp;Checks!$O$566)</f>
        <v>Available (ticked in reference)</v>
      </c>
      <c r="C62" s="114" t="str">
        <f aca="false">Checks!$N$566&amp;CHAR(10)&amp;IF(ISNUMBER(Checks!$R$566),TEXT(Checks!$R$566,"DD-MMM-YY HH:MM"),"")&amp;" "&amp;Checks!$P$566</f>
        <v>Required
27-Oct-26 14:50 HKG</v>
      </c>
      <c r="D62" s="114" t="str">
        <f aca="false">IF(Checks!$U$566="","",Checks!$U$566)&amp;IF(Checks!$AB$566="","",CHAR(10)&amp;"CA: "&amp;Checks!$AB$566)</f>
        <v/>
      </c>
      <c r="E62" s="114" t="str">
        <f aca="false">IF(Checks!$V$566="","",Checks!$V$566)&amp;IF(Checks!$AC$566="","",IF(Checks!$V$566="","",CHAR(10))&amp;"N/A just.: "&amp;Checks!$AC$566)&amp;IF(Checks!$W$566="","",CHAR(10)&amp;"Batch: "&amp;Checks!$W$566)&amp;IF(AND(Checks!$X$566="",Checks!$Y$566=""),"",CHAR(10)&amp;"Exp: "&amp;Checks!$X$566&amp;"  /  Act: "&amp;Checks!$Y$566)</f>
        <v/>
      </c>
      <c r="F62" s="114" t="str">
        <f aca="false">IF(Checks!$Z$566="","","Evidence: "&amp;Checks!$Z$566)&amp;IF(Checks!$AA$566="","",IF(Checks!$Z$566="","",CHAR(10))&amp;"CA: "&amp;Checks!$AA$566)</f>
        <v/>
      </c>
      <c r="G62" s="114" t="str">
        <f aca="false">IF(ISNUMBER(Checks!$AD$566),TEXT(Checks!$AD$566,"DD-MMM-YY HH:MM")&amp;" "&amp;Checks!$P$566,"")&amp;IF(Checks!$AE$566="","",CHAR(10)&amp;"Verifier: "&amp;Checks!$AE$566)&amp;IF(Checks!$T$566="","",CHAR(10)&amp;"PIC: "&amp;Checks!$T$566)</f>
        <v/>
      </c>
      <c r="H62" s="115" t="str">
        <f aca="false">IF(Checks!$AH$566="","",Checks!$AH$566)</f>
        <v>OPEN</v>
      </c>
    </row>
    <row r="63" customFormat="false" ht="201.75" hidden="false" customHeight="true" outlineLevel="0" collapsed="false">
      <c r="A63" s="114" t="str">
        <f aca="false">Checks!$A$567&amp;CHAR(10)&amp;IF(Checks!$I$567="","",Checks!$I$567&amp;": ")&amp;Checks!$J$567</f>
        <v>F17-UPL-08
F&amp;B Linen: Table cloth - on board</v>
      </c>
      <c r="B63" s="114" t="str">
        <f aca="false">SUBSTITUTE(Checks!$K$567&amp;IF(Checks!$O$567="","",IF(Checks!$K$567="","",CHAR(10))&amp;"Note: "&amp;Checks!$O$567),"F&amp;B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3" s="114" t="str">
        <f aca="false">Checks!$N$567&amp;CHAR(10)&amp;IF(ISNUMBER(Checks!$R$567),TEXT(Checks!$R$567,"DD-MMM-YY HH:MM"),"")&amp;" "&amp;Checks!$P$567</f>
        <v>Clarification required
27-Oct-26 14:50 HKG</v>
      </c>
      <c r="D63" s="114" t="str">
        <f aca="false">IF(Checks!$U$567="","",Checks!$U$567)&amp;IF(Checks!$AB$567="","",CHAR(10)&amp;"CA: "&amp;Checks!$AB$567)</f>
        <v/>
      </c>
      <c r="E63" s="114" t="str">
        <f aca="false">IF(Checks!$V$567="","",Checks!$V$567)&amp;IF(Checks!$AC$567="","",IF(Checks!$V$567="","",CHAR(10))&amp;"N/A just.: "&amp;Checks!$AC$567)&amp;IF(Checks!$W$567="","",CHAR(10)&amp;"Batch: "&amp;Checks!$W$567)&amp;IF(AND(Checks!$X$567="",Checks!$Y$567=""),"",CHAR(10)&amp;"Exp: "&amp;Checks!$X$567&amp;"  /  Act: "&amp;Checks!$Y$567)</f>
        <v/>
      </c>
      <c r="F63" s="114" t="str">
        <f aca="false">IF(Checks!$Z$567="","","Evidence: "&amp;Checks!$Z$567)&amp;IF(Checks!$AA$567="","",IF(Checks!$Z$567="","",CHAR(10))&amp;"CA: "&amp;Checks!$AA$567)</f>
        <v/>
      </c>
      <c r="G63" s="114" t="str">
        <f aca="false">IF(ISNUMBER(Checks!$AD$567),TEXT(Checks!$AD$567,"DD-MMM-YY HH:MM")&amp;" "&amp;Checks!$P$567,"")&amp;IF(Checks!$AE$567="","",CHAR(10)&amp;"Verifier: "&amp;Checks!$AE$567)&amp;IF(Checks!$T$567="","",CHAR(10)&amp;"PIC: "&amp;Checks!$T$567)</f>
        <v/>
      </c>
      <c r="H63" s="115" t="str">
        <f aca="false">IF(Checks!$AH$567="","",Checks!$AH$567)</f>
        <v>OPEN – CLARIFICATION</v>
      </c>
    </row>
    <row r="64" customFormat="false" ht="201.75" hidden="false" customHeight="true" outlineLevel="0" collapsed="false">
      <c r="A64" s="114" t="str">
        <f aca="false">Checks!$A$568&amp;CHAR(10)&amp;IF(Checks!$I$568="","",Checks!$I$568&amp;": ")&amp;Checks!$J$568</f>
        <v>F17-UPL-09
F&amp;B Linen: Bread linen (using table cloth) - on board</v>
      </c>
      <c r="B64" s="114" t="str">
        <f aca="false">SUBSTITUTE(Checks!$K$568&amp;IF(Checks!$O$568="","",IF(Checks!$K$568="","",CHAR(10))&amp;"Note: "&amp;Checks!$O$568),"F&amp;B LINEN!","Ref: F&amp;B LINEN!")</f>
        <v>Available (ticked in reference)
Note: Reference contradicts itself: matrix shows a tick for this sector but note Ref: F&amp;B LINEN!B78:C78 says table cloth is 'Not Applicable for Domestic/Asean &amp; Regional' (ORIENTAL). Confirm before loading; if not carried, mark N/A with the confirmation as justification.</v>
      </c>
      <c r="C64" s="114" t="str">
        <f aca="false">Checks!$N$568&amp;CHAR(10)&amp;IF(ISNUMBER(Checks!$R$568),TEXT(Checks!$R$568,"DD-MMM-YY HH:MM"),"")&amp;" "&amp;Checks!$P$568</f>
        <v>Clarification required
27-Oct-26 14:50 HKG</v>
      </c>
      <c r="D64" s="114" t="str">
        <f aca="false">IF(Checks!$U$568="","",Checks!$U$568)&amp;IF(Checks!$AB$568="","",CHAR(10)&amp;"CA: "&amp;Checks!$AB$568)</f>
        <v/>
      </c>
      <c r="E64" s="114" t="str">
        <f aca="false">IF(Checks!$V$568="","",Checks!$V$568)&amp;IF(Checks!$AC$568="","",IF(Checks!$V$568="","",CHAR(10))&amp;"N/A just.: "&amp;Checks!$AC$568)&amp;IF(Checks!$W$568="","",CHAR(10)&amp;"Batch: "&amp;Checks!$W$568)&amp;IF(AND(Checks!$X$568="",Checks!$Y$568=""),"",CHAR(10)&amp;"Exp: "&amp;Checks!$X$568&amp;"  /  Act: "&amp;Checks!$Y$568)</f>
        <v/>
      </c>
      <c r="F64" s="114" t="str">
        <f aca="false">IF(Checks!$Z$568="","","Evidence: "&amp;Checks!$Z$568)&amp;IF(Checks!$AA$568="","",IF(Checks!$Z$568="","",CHAR(10))&amp;"CA: "&amp;Checks!$AA$568)</f>
        <v/>
      </c>
      <c r="G64" s="114" t="str">
        <f aca="false">IF(ISNUMBER(Checks!$AD$568),TEXT(Checks!$AD$568,"DD-MMM-YY HH:MM")&amp;" "&amp;Checks!$P$568,"")&amp;IF(Checks!$AE$568="","",CHAR(10)&amp;"Verifier: "&amp;Checks!$AE$568)&amp;IF(Checks!$T$568="","",CHAR(10)&amp;"PIC: "&amp;Checks!$T$568)</f>
        <v/>
      </c>
      <c r="H64" s="115" t="str">
        <f aca="false">IF(Checks!$AH$568="","",Checks!$AH$568)</f>
        <v>OPEN – CLARIFICATION</v>
      </c>
    </row>
    <row r="65" customFormat="false" ht="114" hidden="false" customHeight="true" outlineLevel="0" collapsed="false">
      <c r="A65" s="114" t="str">
        <f aca="false">Checks!$A$569&amp;CHAR(10)&amp;IF(Checks!$I$569="","",Checks!$I$569&amp;": ")&amp;Checks!$J$569</f>
        <v>F17-UPL-10
F&amp;B Linen: Trolley cloth - on board</v>
      </c>
      <c r="B65" s="114" t="str">
        <f aca="false">SUBSTITUTE(Checks!$K$569&amp;IF(Checks!$O$569="","",IF(Checks!$K$569="","",CHAR(10))&amp;"Note: "&amp;Checks!$O$569),"F&amp;B LINEN!","Ref: F&amp;B LINEN!")</f>
        <v>Narrow body: Top only
Note: Per note Ref: F&amp;B LINEN!B79:C80.</v>
      </c>
      <c r="C65" s="114" t="str">
        <f aca="false">Checks!$N$569&amp;CHAR(10)&amp;IF(ISNUMBER(Checks!$R$569),TEXT(Checks!$R$569,"DD-MMM-YY HH:MM"),"")&amp;" "&amp;Checks!$P$569</f>
        <v>Required
27-Oct-26 14:50 HKG</v>
      </c>
      <c r="D65" s="114" t="str">
        <f aca="false">IF(Checks!$U$569="","",Checks!$U$569)&amp;IF(Checks!$AB$569="","",CHAR(10)&amp;"CA: "&amp;Checks!$AB$569)</f>
        <v/>
      </c>
      <c r="E65" s="114" t="str">
        <f aca="false">IF(Checks!$V$569="","",Checks!$V$569)&amp;IF(Checks!$AC$569="","",IF(Checks!$V$569="","",CHAR(10))&amp;"N/A just.: "&amp;Checks!$AC$569)&amp;IF(Checks!$W$569="","",CHAR(10)&amp;"Batch: "&amp;Checks!$W$569)&amp;IF(AND(Checks!$X$569="",Checks!$Y$569=""),"",CHAR(10)&amp;"Exp: "&amp;Checks!$X$569&amp;"  /  Act: "&amp;Checks!$Y$569)</f>
        <v/>
      </c>
      <c r="F65" s="114" t="str">
        <f aca="false">IF(Checks!$Z$569="","","Evidence: "&amp;Checks!$Z$569)&amp;IF(Checks!$AA$569="","",IF(Checks!$Z$569="","",CHAR(10))&amp;"CA: "&amp;Checks!$AA$569)</f>
        <v/>
      </c>
      <c r="G65" s="114" t="str">
        <f aca="false">IF(ISNUMBER(Checks!$AD$569),TEXT(Checks!$AD$569,"DD-MMM-YY HH:MM")&amp;" "&amp;Checks!$P$569,"")&amp;IF(Checks!$AE$569="","",CHAR(10)&amp;"Verifier: "&amp;Checks!$AE$569)&amp;IF(Checks!$T$569="","",CHAR(10)&amp;"PIC: "&amp;Checks!$T$569)</f>
        <v/>
      </c>
      <c r="H65" s="115" t="str">
        <f aca="false">IF(Checks!$AH$569="","",Checks!$AH$569)</f>
        <v>OPEN</v>
      </c>
    </row>
    <row r="66" customFormat="false" ht="114" hidden="false" customHeight="true" outlineLevel="0" collapsed="false">
      <c r="A66" s="114" t="str">
        <f aca="false">Checks!$A$570&amp;CHAR(10)&amp;IF(Checks!$I$570="","",Checks!$I$570&amp;": ")&amp;Checks!$J$570</f>
        <v>F17-UPL-11
F&amp;B Linen: Linen bag - on board</v>
      </c>
      <c r="B66" s="114" t="str">
        <f aca="false">Checks!$K$570&amp;IF(Checks!$O$570="","",IF(Checks!$K$570="","",CHAR(10))&amp;"Note: "&amp;Checks!$O$570)</f>
        <v>Available (ticked in reference)</v>
      </c>
      <c r="C66" s="114" t="str">
        <f aca="false">Checks!$N$570&amp;CHAR(10)&amp;IF(ISNUMBER(Checks!$R$570),TEXT(Checks!$R$570,"DD-MMM-YY HH:MM"),"")&amp;" "&amp;Checks!$P$570</f>
        <v>Required
27-Oct-26 14:50 HKG</v>
      </c>
      <c r="D66" s="114" t="str">
        <f aca="false">IF(Checks!$U$570="","",Checks!$U$570)&amp;IF(Checks!$AB$570="","",CHAR(10)&amp;"CA: "&amp;Checks!$AB$570)</f>
        <v/>
      </c>
      <c r="E66" s="114" t="str">
        <f aca="false">IF(Checks!$V$570="","",Checks!$V$570)&amp;IF(Checks!$AC$570="","",IF(Checks!$V$570="","",CHAR(10))&amp;"N/A just.: "&amp;Checks!$AC$570)&amp;IF(Checks!$W$570="","",CHAR(10)&amp;"Batch: "&amp;Checks!$W$570)&amp;IF(AND(Checks!$X$570="",Checks!$Y$570=""),"",CHAR(10)&amp;"Exp: "&amp;Checks!$X$570&amp;"  /  Act: "&amp;Checks!$Y$570)</f>
        <v/>
      </c>
      <c r="F66" s="114" t="str">
        <f aca="false">IF(Checks!$Z$570="","","Evidence: "&amp;Checks!$Z$570)&amp;IF(Checks!$AA$570="","",IF(Checks!$Z$570="","",CHAR(10))&amp;"CA: "&amp;Checks!$AA$570)</f>
        <v/>
      </c>
      <c r="G66" s="114" t="str">
        <f aca="false">IF(ISNUMBER(Checks!$AD$570),TEXT(Checks!$AD$570,"DD-MMM-YY HH:MM")&amp;" "&amp;Checks!$P$570,"")&amp;IF(Checks!$AE$570="","",CHAR(10)&amp;"Verifier: "&amp;Checks!$AE$570)&amp;IF(Checks!$T$570="","",CHAR(10)&amp;"PIC: "&amp;Checks!$T$570)</f>
        <v/>
      </c>
      <c r="H66" s="115" t="str">
        <f aca="false">IF(Checks!$AH$570="","",Checks!$AH$570)</f>
        <v>OPEN</v>
      </c>
    </row>
    <row r="67" customFormat="false" ht="114" hidden="false" customHeight="true" outlineLevel="0" collapsed="false">
      <c r="A67" s="114" t="str">
        <f aca="false">Checks!$A$571&amp;CHAR(10)&amp;IF(Checks!$I$571="","",Checks!$I$571&amp;": ")&amp;Checks!$J$571</f>
        <v>F17-UPL-12
Seat Linen: Seat pillow (BS &amp; BC) - on board</v>
      </c>
      <c r="B67" s="114" t="str">
        <f aca="false">Checks!$K$571&amp;IF(Checks!$O$571="","",IF(Checks!$K$571="","",CHAR(10))&amp;"Note: "&amp;Checks!$O$571)</f>
        <v>Available 100% (ticked in reference)</v>
      </c>
      <c r="C67" s="114" t="str">
        <f aca="false">Checks!$N$571&amp;CHAR(10)&amp;IF(ISNUMBER(Checks!$R$571),TEXT(Checks!$R$571,"DD-MMM-YY HH:MM"),"")&amp;" "&amp;Checks!$P$571</f>
        <v>Required
27-Oct-26 14:50 HKG</v>
      </c>
      <c r="D67" s="114" t="str">
        <f aca="false">IF(Checks!$U$571="","",Checks!$U$571)&amp;IF(Checks!$AB$571="","",CHAR(10)&amp;"CA: "&amp;Checks!$AB$571)</f>
        <v/>
      </c>
      <c r="E67" s="114" t="str">
        <f aca="false">IF(Checks!$V$571="","",Checks!$V$571)&amp;IF(Checks!$AC$571="","",IF(Checks!$V$571="","",CHAR(10))&amp;"N/A just.: "&amp;Checks!$AC$571)&amp;IF(Checks!$W$571="","",CHAR(10)&amp;"Batch: "&amp;Checks!$W$571)&amp;IF(AND(Checks!$X$571="",Checks!$Y$571=""),"",CHAR(10)&amp;"Exp: "&amp;Checks!$X$571&amp;"  /  Act: "&amp;Checks!$Y$571)</f>
        <v/>
      </c>
      <c r="F67" s="114" t="str">
        <f aca="false">IF(Checks!$Z$571="","","Evidence: "&amp;Checks!$Z$571)&amp;IF(Checks!$AA$571="","",IF(Checks!$Z$571="","",CHAR(10))&amp;"CA: "&amp;Checks!$AA$571)</f>
        <v/>
      </c>
      <c r="G67" s="114" t="str">
        <f aca="false">IF(ISNUMBER(Checks!$AD$571),TEXT(Checks!$AD$571,"DD-MMM-YY HH:MM")&amp;" "&amp;Checks!$P$571,"")&amp;IF(Checks!$AE$571="","",CHAR(10)&amp;"Verifier: "&amp;Checks!$AE$571)&amp;IF(Checks!$T$571="","",CHAR(10)&amp;"PIC: "&amp;Checks!$T$571)</f>
        <v/>
      </c>
      <c r="H67" s="115" t="str">
        <f aca="false">IF(Checks!$AH$571="","",Checks!$AH$571)</f>
        <v>OPEN</v>
      </c>
    </row>
    <row r="68" customFormat="false" ht="114" hidden="false" customHeight="true" outlineLevel="0" collapsed="false">
      <c r="A68" s="114" t="str">
        <f aca="false">Checks!$A$572&amp;CHAR(10)&amp;IF(Checks!$I$572="","",Checks!$I$572&amp;": ")&amp;Checks!$J$572</f>
        <v>F17-UPL-13
Seat Linen: Blanket (BS &amp; BC) - on board</v>
      </c>
      <c r="B68" s="114" t="str">
        <f aca="false">Checks!$K$572&amp;IF(Checks!$O$572="","",IF(Checks!$K$572="","",CHAR(10))&amp;"Note: "&amp;Checks!$O$572)</f>
        <v>Available 100% (ticked in reference)</v>
      </c>
      <c r="C68" s="114" t="str">
        <f aca="false">Checks!$N$572&amp;CHAR(10)&amp;IF(ISNUMBER(Checks!$R$572),TEXT(Checks!$R$572,"DD-MMM-YY HH:MM"),"")&amp;" "&amp;Checks!$P$572</f>
        <v>Required
27-Oct-26 14:50 HKG</v>
      </c>
      <c r="D68" s="114" t="str">
        <f aca="false">IF(Checks!$U$572="","",Checks!$U$572)&amp;IF(Checks!$AB$572="","",CHAR(10)&amp;"CA: "&amp;Checks!$AB$572)</f>
        <v/>
      </c>
      <c r="E68" s="114" t="str">
        <f aca="false">IF(Checks!$V$572="","",Checks!$V$572)&amp;IF(Checks!$AC$572="","",IF(Checks!$V$572="","",CHAR(10))&amp;"N/A just.: "&amp;Checks!$AC$572)&amp;IF(Checks!$W$572="","",CHAR(10)&amp;"Batch: "&amp;Checks!$W$572)&amp;IF(AND(Checks!$X$572="",Checks!$Y$572=""),"",CHAR(10)&amp;"Exp: "&amp;Checks!$X$572&amp;"  /  Act: "&amp;Checks!$Y$572)</f>
        <v/>
      </c>
      <c r="F68" s="114" t="str">
        <f aca="false">IF(Checks!$Z$572="","","Evidence: "&amp;Checks!$Z$572)&amp;IF(Checks!$AA$572="","",IF(Checks!$Z$572="","",CHAR(10))&amp;"CA: "&amp;Checks!$AA$572)</f>
        <v/>
      </c>
      <c r="G68" s="114" t="str">
        <f aca="false">IF(ISNUMBER(Checks!$AD$572),TEXT(Checks!$AD$572,"DD-MMM-YY HH:MM")&amp;" "&amp;Checks!$P$572,"")&amp;IF(Checks!$AE$572="","",CHAR(10)&amp;"Verifier: "&amp;Checks!$AE$572)&amp;IF(Checks!$T$572="","",CHAR(10)&amp;"PIC: "&amp;Checks!$T$572)</f>
        <v/>
      </c>
      <c r="H68" s="115" t="str">
        <f aca="false">IF(Checks!$AH$572="","",Checks!$AH$572)</f>
        <v>OPEN</v>
      </c>
    </row>
    <row r="69" customFormat="false" ht="147" hidden="false" customHeight="true" outlineLevel="0" collapsed="false">
      <c r="A69" s="114" t="str">
        <f aca="false">Checks!$A$573&amp;CHAR(10)&amp;IF(Checks!$I$573="","",Checks!$I$573&amp;": ")&amp;Checks!$J$573</f>
        <v>F17-UPL-14
Sales Cart: Sales cart (caterer MCAT) - on board</v>
      </c>
      <c r="B69" s="114" t="str">
        <f aca="false">SUBSTITUTE(Checks!$K$573&amp;IF(Checks!$O$573="","",IF(Checks!$K$573="","",CHAR(10))&amp;"Note: "&amp;Checks!$O$573),"SALES CART!","Ref: SALES CART!")</f>
        <v>Location 210A (B7M8)
Note: Block 4.08 h &gt;= 4 h (note Ref: SALES CART!C40). Reference names caterer MCAT for the KUL/HKG/KUL sector but no uplift station: confirm whether the HKG-KUL sales cart is loaded at KUL (round trip) or at HKG.</v>
      </c>
      <c r="C69" s="114" t="str">
        <f aca="false">Checks!$N$573&amp;CHAR(10)&amp;IF(ISNUMBER(Checks!$R$573),TEXT(Checks!$R$573,"DD-MMM-YY HH:MM"),"")&amp;" "&amp;Checks!$P$573</f>
        <v>Clarification required
27-Oct-26 14:50 HKG</v>
      </c>
      <c r="D69" s="114" t="str">
        <f aca="false">IF(Checks!$U$573="","",Checks!$U$573)&amp;IF(Checks!$AB$573="","",CHAR(10)&amp;"CA: "&amp;Checks!$AB$573)</f>
        <v/>
      </c>
      <c r="E69" s="114" t="str">
        <f aca="false">IF(Checks!$V$573="","",Checks!$V$573)&amp;IF(Checks!$AC$573="","",IF(Checks!$V$573="","",CHAR(10))&amp;"N/A just.: "&amp;Checks!$AC$573)&amp;IF(Checks!$W$573="","",CHAR(10)&amp;"Batch: "&amp;Checks!$W$573)&amp;IF(AND(Checks!$X$573="",Checks!$Y$573=""),"",CHAR(10)&amp;"Exp: "&amp;Checks!$X$573&amp;"  /  Act: "&amp;Checks!$Y$573)</f>
        <v/>
      </c>
      <c r="F69" s="114" t="str">
        <f aca="false">IF(Checks!$Z$573="","","Evidence: "&amp;Checks!$Z$573)&amp;IF(Checks!$AA$573="","",IF(Checks!$Z$573="","",CHAR(10))&amp;"CA: "&amp;Checks!$AA$573)</f>
        <v/>
      </c>
      <c r="G69" s="114" t="str">
        <f aca="false">IF(ISNUMBER(Checks!$AD$573),TEXT(Checks!$AD$573,"DD-MMM-YY HH:MM")&amp;" "&amp;Checks!$P$573,"")&amp;IF(Checks!$AE$573="","",CHAR(10)&amp;"Verifier: "&amp;Checks!$AE$573)&amp;IF(Checks!$T$573="","",CHAR(10)&amp;"PIC: "&amp;Checks!$T$573)</f>
        <v/>
      </c>
      <c r="H69" s="115" t="str">
        <f aca="false">IF(Checks!$AH$573="","",Checks!$AH$573)</f>
        <v>OPEN – CLARIFICATION</v>
      </c>
    </row>
    <row r="71" customFormat="false" ht="24" hidden="false" customHeight="true" outlineLevel="0" collapsed="false">
      <c r="A71" s="116" t="s">
        <v>1737</v>
      </c>
      <c r="B71" s="116"/>
      <c r="C71" s="116"/>
      <c r="D71" s="116"/>
      <c r="E71" s="116" t="s">
        <v>1738</v>
      </c>
      <c r="F71" s="116"/>
      <c r="G71" s="116"/>
      <c r="H71" s="116"/>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5:H55"/>
    <mergeCell ref="A71:D71"/>
    <mergeCell ref="E71:H71"/>
    <mergeCell ref="A72:D81"/>
    <mergeCell ref="E72:H81"/>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9">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9">
    <cfRule type="expression" priority="17" aboveAverage="0" equalAverage="0" bottom="0" percent="0" rank="0" text="" dxfId="34">
      <formula>LEFT($H24,3)="N/A"</formula>
    </cfRule>
  </conditionalFormatting>
  <conditionalFormatting sqref="D24:D69">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F17 MH0073 27-Oct-26 HKG-KUL Class BC</oddHeader>
    <oddFooter>&amp;L&amp;"Arial,Bold"&amp;8 F17 MH0073 27-Oct-26 HKG-KUL Class BC&amp;C&amp;"Arial,Regular"&amp;8 Printed: ____________________&amp;R&amp;"Arial,Regular"&amp;8 F17  Page &amp;P of &amp;N</oddFooter>
  </headerFooter>
  <rowBreaks count="15" manualBreakCount="15">
    <brk id="21" man="true" max="16383" min="0"/>
    <brk id="27" man="true" max="16383" min="0"/>
    <brk id="31" man="true" max="16383" min="0"/>
    <brk id="33" man="true" max="16383" min="0"/>
    <brk id="38" man="true" max="16383" min="0"/>
    <brk id="41" man="true" max="16383" min="0"/>
    <brk id="44" man="true" max="16383" min="0"/>
    <brk id="47" man="true" max="16383" min="0"/>
    <brk id="48" man="true" max="16383" min="0"/>
    <brk id="50" man="true" max="16383" min="0"/>
    <brk id="53" man="true" max="16383" min="0"/>
    <brk id="57" man="true" max="16383" min="0"/>
    <brk id="61" man="true" max="16383" min="0"/>
    <brk id="63" man="true" max="16383" min="0"/>
    <brk id="66" man="true" max="16383" min="0"/>
  </rowBreaks>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F18  "&amp;Flights!$F$22&amp;"  "&amp;TEXT(Flights!$D$22,"DD-MMM-YY")&amp;" ("&amp;Flights!$E$22&amp;")  "&amp;Flights!$G$22&amp;" → "&amp;Flights!$H$22&amp;"  |  Class "&amp;Flights!$K$22</f>
        <v>SKYTRAX 2026 CATERING READINESS CHECKLIST  |  F18  MH0052  27-Oct-26 (TUE)  KUL → KIX  |  Class BC</v>
      </c>
      <c r="B1" s="92"/>
      <c r="C1" s="92"/>
      <c r="D1" s="92"/>
      <c r="E1" s="92"/>
      <c r="F1" s="92"/>
      <c r="G1" s="92"/>
      <c r="H1" s="92"/>
    </row>
    <row r="2" customFormat="false" ht="12.75" hidden="false" customHeight="true" outlineLevel="0" collapsed="false">
      <c r="A2" s="93" t="s">
        <v>1692</v>
      </c>
      <c r="B2" s="94" t="str">
        <f aca="false">Flights!$F$22&amp;"   "&amp;TEXT(Flights!$D$22,"DD-MMM-YY")&amp;" ("&amp;Flights!$E$22&amp;")"</f>
        <v>MH0052   27-Oct-26 (TUE)</v>
      </c>
      <c r="C2" s="94"/>
      <c r="D2" s="94"/>
      <c r="E2" s="95" t="s">
        <v>1693</v>
      </c>
      <c r="F2" s="96" t="str">
        <f aca="false">Flights!$AT$22</f>
        <v>NOT READY – DOCUMENTS</v>
      </c>
      <c r="G2" s="96"/>
      <c r="H2" s="96"/>
    </row>
    <row r="3" customFormat="false" ht="24" hidden="false" customHeight="true" outlineLevel="0" collapsed="false">
      <c r="A3" s="93" t="s">
        <v>1694</v>
      </c>
      <c r="B3" s="94" t="str">
        <f aca="false">Flights!$G$22&amp;" → "&amp;Flights!$H$22&amp;"   Class "&amp;Flights!$K$22&amp;"   Seat "&amp;Flights!$O$22</f>
        <v>KUL → KIX   Class BC   Seat 1D</v>
      </c>
      <c r="C3" s="94"/>
      <c r="D3" s="94"/>
      <c r="E3" s="95" t="s">
        <v>71</v>
      </c>
      <c r="F3" s="95" t="s">
        <v>1695</v>
      </c>
      <c r="G3" s="95" t="s">
        <v>1696</v>
      </c>
      <c r="H3" s="95"/>
    </row>
    <row r="4" customFormat="false" ht="24" hidden="false" customHeight="true" outlineLevel="0" collapsed="false">
      <c r="A4" s="93" t="s">
        <v>1697</v>
      </c>
      <c r="B4" s="94" t="str">
        <f aca="false">IF(ISNUMBER(Flights!$I$22),TEXT(Flights!$I$22,"DD-MMM-YY HH:MM"),"")&amp;" "&amp;Flights!$G$22&amp;"  →  "&amp;IF(ISNUMBER(Flights!$J$22),TEXT(Flights!$J$22,"DD-MMM-YY HH:MM"),"")&amp;" "&amp;Flights!$H$22</f>
        <v>27-Oct-26 22:25 KUL  →  28-Oct-26 05:55 KIX</v>
      </c>
      <c r="C4" s="94"/>
      <c r="D4" s="94"/>
      <c r="E4" s="93" t="s">
        <v>1698</v>
      </c>
      <c r="F4" s="97" t="str">
        <f aca="false">IF(ISNUMBER(Flights!$AG$22),TEXT(Flights!$AG$22,"DD-MMM-YY HH:MM"),"")&amp;" "&amp;Flights!$V$22</f>
        <v>20-Oct-26 22:25 KUL</v>
      </c>
      <c r="G4" s="98" t="n">
        <f aca="false">Flights!$AJ$22</f>
        <v>0</v>
      </c>
      <c r="H4" s="98"/>
    </row>
    <row r="5" customFormat="false" ht="24" hidden="false" customHeight="true" outlineLevel="0" collapsed="false">
      <c r="A5" s="93" t="s">
        <v>1699</v>
      </c>
      <c r="B5" s="94" t="str">
        <f aca="false">Flights!$L$22&amp;" – "&amp;Flights!$M$22</f>
        <v>A333 – A330-300 (A333)</v>
      </c>
      <c r="C5" s="94"/>
      <c r="D5" s="94"/>
      <c r="E5" s="93" t="s">
        <v>1700</v>
      </c>
      <c r="F5" s="97" t="str">
        <f aca="false">IF(ISNUMBER(Flights!$AH$22),TEXT(Flights!$AH$22,"DD-MMM-YY HH:MM"),"")&amp;" "&amp;Flights!$V$22</f>
        <v>26-Oct-26 22:25 KUL</v>
      </c>
      <c r="G5" s="98" t="n">
        <f aca="false">Flights!$AK$22</f>
        <v>0</v>
      </c>
      <c r="H5" s="98"/>
    </row>
    <row r="6" customFormat="false" ht="24" hidden="false" customHeight="true" outlineLevel="0" collapsed="false">
      <c r="A6" s="93" t="s">
        <v>1701</v>
      </c>
      <c r="B6" s="94" t="str">
        <f aca="false">IF(TRIM(Flights!$N$22)="","__________________",Flights!$N$22)</f>
        <v>__________________</v>
      </c>
      <c r="C6" s="94"/>
      <c r="D6" s="94"/>
      <c r="E6" s="93" t="s">
        <v>1702</v>
      </c>
      <c r="F6" s="97" t="str">
        <f aca="false">IF(ISNUMBER(Flights!$AI$22),TEXT(Flights!$AI$22,"DD-MMM-YY HH:MM"),"")&amp;" "&amp;Flights!$V$22&amp;IF(Flights!$AI$22=Flights!$AH$22,"  (= T-24H due)","")</f>
        <v>27-Oct-26 10:25 KUL</v>
      </c>
      <c r="G6" s="98" t="n">
        <f aca="false">Flights!$AL$22</f>
        <v>0</v>
      </c>
      <c r="H6" s="98"/>
    </row>
    <row r="7" customFormat="false" ht="24" hidden="false" customHeight="true" outlineLevel="0" collapsed="false">
      <c r="A7" s="93" t="s">
        <v>1703</v>
      </c>
      <c r="B7" s="94" t="str">
        <f aca="false">Flights!$T$22</f>
        <v>1.5 Meal (Meal)</v>
      </c>
      <c r="C7" s="94"/>
      <c r="D7" s="94"/>
      <c r="E7" s="93" t="s">
        <v>1704</v>
      </c>
      <c r="F7" s="97" t="str">
        <f aca="false">"STD "&amp;IF(ISNUMBER(Flights!$I$22),TEXT(Flights!$I$22,"DD-MMM-YY HH:MM"),"")&amp;" "&amp;Flights!$G$22&amp;" (dep stn)"</f>
        <v>STD 27-Oct-26 22:25 KUL (dep stn)</v>
      </c>
      <c r="G7" s="98" t="n">
        <f aca="false">Flights!$AM$22</f>
        <v>0</v>
      </c>
      <c r="H7" s="98"/>
    </row>
    <row r="8" customFormat="false" ht="12.75" hidden="false" customHeight="true" outlineLevel="0" collapsed="false">
      <c r="A8" s="93" t="s">
        <v>153</v>
      </c>
      <c r="B8" s="94" t="str">
        <f aca="false">Flights!$V$22&amp;"   (reference uplift stns: "&amp;Flights!$U$22&amp;")"</f>
        <v>KUL   (reference uplift stns: KUL/KIX)</v>
      </c>
      <c r="C8" s="94"/>
      <c r="D8" s="94"/>
      <c r="E8" s="93" t="s">
        <v>1705</v>
      </c>
      <c r="F8" s="99" t="s">
        <v>1706</v>
      </c>
      <c r="G8" s="98" t="n">
        <f aca="false">Flights!$AN$22</f>
        <v>0</v>
      </c>
      <c r="H8" s="98"/>
    </row>
    <row r="9" customFormat="false" ht="12.75" hidden="false" customHeight="true" outlineLevel="0" collapsed="false">
      <c r="A9" s="93" t="s">
        <v>1707</v>
      </c>
      <c r="B9" s="94" t="str">
        <f aca="false">TRIM(Flights!$P$22&amp;"  "&amp;Flights!$Q$22)</f>
        <v>3H 30M Overnight KIX</v>
      </c>
      <c r="C9" s="94"/>
      <c r="D9" s="94"/>
      <c r="E9" s="93" t="s">
        <v>1708</v>
      </c>
      <c r="F9" s="100" t="n">
        <f aca="false">Flights!$AP$22</f>
        <v>0</v>
      </c>
      <c r="G9" s="100" t="n">
        <f aca="false">Flights!$AQ$22</f>
        <v>0</v>
      </c>
      <c r="H9" s="100" t="n">
        <f aca="false">Flights!$AU$22</f>
        <v>0</v>
      </c>
    </row>
    <row r="10" customFormat="false" ht="24" hidden="false" customHeight="true" outlineLevel="0" collapsed="false">
      <c r="A10" s="93" t="s">
        <v>1709</v>
      </c>
      <c r="B10" s="94" t="str">
        <f aca="false">IF(TRIM(Flights!$X$22)="","__________________",Flights!$X$22)</f>
        <v>__________________</v>
      </c>
      <c r="C10" s="94"/>
      <c r="D10" s="94"/>
      <c r="E10" s="93" t="s">
        <v>1710</v>
      </c>
      <c r="F10" s="100" t="n">
        <f aca="false">Flights!$AO$22</f>
        <v>44</v>
      </c>
      <c r="G10" s="100" t="n">
        <f aca="false">Flights!$AS$22</f>
        <v>0</v>
      </c>
      <c r="H10" s="100" t="n">
        <f aca="false">Flights!$AR$22</f>
        <v>2</v>
      </c>
    </row>
    <row r="11" customFormat="false" ht="21" hidden="false" customHeight="true" outlineLevel="0" collapsed="false">
      <c r="A11" s="93" t="s">
        <v>1711</v>
      </c>
      <c r="B11" s="94" t="str">
        <f aca="false">IF(TRIM(Flights!$Y$22)="","__________________",Flights!$Y$22)</f>
        <v>__________________</v>
      </c>
      <c r="C11" s="94"/>
      <c r="D11" s="94"/>
      <c r="E11" s="93" t="s">
        <v>1712</v>
      </c>
      <c r="F11" s="100" t="str">
        <f aca="false">Flights!$AV$22&amp;" / "&amp;Flights!$AW$22</f>
        <v>0 / 44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IF(Documents!$F$22="","",Documents!$F$22)</f>
        <v/>
      </c>
      <c r="C14" s="99" t="str">
        <f aca="false">IF(Documents!$G$22="","",Documents!$G$22)&amp;IF(ISNUMBER(Documents!$H$22),"  "&amp;TEXT(Documents!$H$22,"DD-MMM-YY"),"")</f>
        <v/>
      </c>
      <c r="D14" s="99"/>
      <c r="E14" s="107" t="str">
        <f aca="false">IF(Documents!$J$22="OUTSTANDING","OUTSTANDING – attach before T-7D (due "&amp;IF(ISNUMBER(Flights!$AG$22),TEXT(Flights!$AG$22,"DD-MMM-YY HH:MM"),"")&amp;" "&amp;Flights!$V$22&amp;")",IF(Documents!$J$22="","Status not recorded",Documents!$J$22))</f>
        <v>OUTSTANDING – attach before T-7D (due 20-Oct-26 22:25 KUL)</v>
      </c>
      <c r="F14" s="108" t="str">
        <f aca="false">"Staple behind this sheet as page A1."&amp;IF(Documents!$I$22="",""," Location: "&amp;Documents!$I$22)</f>
        <v>Staple behind this sheet as page A1.</v>
      </c>
      <c r="G14" s="108"/>
      <c r="H14" s="108"/>
    </row>
    <row r="15" customFormat="false" ht="36" hidden="false" customHeight="true" outlineLevel="0" collapsed="false">
      <c r="A15" s="93" t="s">
        <v>1723</v>
      </c>
      <c r="B15" s="94" t="str">
        <f aca="false">IF(Documents!$K$22="","",Documents!$K$22)</f>
        <v/>
      </c>
      <c r="C15" s="99" t="str">
        <f aca="false">IF(Documents!$L$22="","",Documents!$L$22)&amp;IF(ISNUMBER(Documents!$M$22),"  "&amp;TEXT(Documents!$M$22,"DD-MMM-YY"),"")</f>
        <v/>
      </c>
      <c r="D15" s="99"/>
      <c r="E15" s="107" t="str">
        <f aca="false">IF(Documents!$O$22="OUTSTANDING","OUTSTANDING – attach before T-7D (due "&amp;IF(ISNUMBER(Flights!$AG$22),TEXT(Flights!$AG$22,"DD-MMM-YY HH:MM"),"")&amp;" "&amp;Flights!$V$22&amp;")",IF(Documents!$O$22="","Status not recorded",Documents!$O$22))</f>
        <v>OUTSTANDING – attach before T-7D (due 20-Oct-26 22:25 KUL)</v>
      </c>
      <c r="F15" s="108" t="str">
        <f aca="false">"Staple behind this sheet as page A2."&amp;IF(Documents!$N$22="",""," Location: "&amp;Documents!$N$22)</f>
        <v>Staple behind this sheet as page A2.</v>
      </c>
      <c r="G15" s="108"/>
      <c r="H15" s="108"/>
    </row>
    <row r="16" customFormat="false" ht="22.5" hidden="false" customHeight="true" outlineLevel="0" collapsed="false">
      <c r="A16" s="93" t="s">
        <v>1724</v>
      </c>
      <c r="B16" s="109" t="str">
        <f aca="false">IF(Documents!$Q$22="","",Documents!$Q$22)</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"&amp;IF(TRIM(Flights!$Y$22)="","__________________",Flights!$Y$22)</f>
        <v>Name: __________________</v>
      </c>
      <c r="B18" s="94"/>
      <c r="C18" s="94" t="str">
        <f aca="false">"Name: __________________"</f>
        <v>Name: __________________</v>
      </c>
      <c r="D18" s="94"/>
      <c r="E18" s="94"/>
      <c r="F18" s="94" t="str">
        <f aca="false">"Name: __________________"&amp;"   Station: "&amp;Flights!$V$22</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"&amp;IF(ISNUMBER(Flights!$AG$22),TEXT(Flights!$AG$22,"DD-MMM-YY HH:MM"),"")&amp;" "&amp;Flights!$V$22&amp;" (meal uplift stn)"&amp;" (rows with another due show their own)  |  Complete "&amp;IF(ISNUMBER(Flights!$AJ$22),TEXT(Flights!$AJ$22,"0%"),Flights!$AJ$22)&amp;"  |  9 lines"</f>
        <v>T-7D — 7 days before departure  |  Due 20-Oct-26 22:25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Checks!$A$574&amp;CHAR(10)&amp;IF(Checks!$I$574="","",Checks!$I$574&amp;": ")&amp;Checks!$J$574</f>
        <v>F18-T7-01
Meal: Meal sensory testing completed for this flight's menu cycle (assessed class)</v>
      </c>
      <c r="B23" s="114" t="str">
        <f aca="false">Checks!$K$574&amp;IF(Checks!$O$574="","",IF(Checks!$K$574="","",CHAR(10))&amp;"Note: "&amp;Checks!$O$574)</f>
        <v>Record panel result / score in Result</v>
      </c>
      <c r="C23" s="114" t="str">
        <f aca="false">Checks!$N$574&amp;CHAR(10)&amp;IF(ISNUMBER(Checks!$R$574),TEXT(Checks!$R$574,"DD-MMM-YY HH:MM"),"")&amp;" "&amp;Checks!$P$574</f>
        <v>Required
20-Oct-26 22:25 KUL</v>
      </c>
      <c r="D23" s="114" t="str">
        <f aca="false">IF(Checks!$U$574="","",Checks!$U$574)&amp;IF(Checks!$AB$574="","",CHAR(10)&amp;"CA: "&amp;Checks!$AB$574)</f>
        <v/>
      </c>
      <c r="E23" s="114" t="str">
        <f aca="false">IF(Checks!$V$574="","",Checks!$V$574)&amp;IF(Checks!$AC$574="","",IF(Checks!$V$574="","",CHAR(10))&amp;"N/A just.: "&amp;Checks!$AC$574)&amp;IF(Checks!$W$574="","",CHAR(10)&amp;"Batch: "&amp;Checks!$W$574)&amp;IF(AND(Checks!$X$574="",Checks!$Y$574=""),"",CHAR(10)&amp;"Exp: "&amp;Checks!$X$574&amp;"  /  Act: "&amp;Checks!$Y$574)</f>
        <v/>
      </c>
      <c r="F23" s="114" t="str">
        <f aca="false">IF(Checks!$Z$574="","","Evidence: "&amp;Checks!$Z$574)&amp;IF(Checks!$AA$574="","",IF(Checks!$Z$574="","",CHAR(10))&amp;"CA: "&amp;Checks!$AA$574)</f>
        <v/>
      </c>
      <c r="G23" s="114" t="str">
        <f aca="false">IF(ISNUMBER(Checks!$AD$574),TEXT(Checks!$AD$574,"DD-MMM-YY HH:MM")&amp;" "&amp;Checks!$P$574,"")&amp;IF(Checks!$AE$574="","",CHAR(10)&amp;"Verifier: "&amp;Checks!$AE$574)&amp;IF(Checks!$T$574="","",CHAR(10)&amp;"PIC: "&amp;Checks!$T$574)</f>
        <v/>
      </c>
      <c r="H23" s="115" t="str">
        <f aca="false">IF(Checks!$AH$574="","",Checks!$AH$574)</f>
        <v>OPEN</v>
      </c>
    </row>
    <row r="24" customFormat="false" ht="114" hidden="false" customHeight="true" outlineLevel="0" collapsed="false">
      <c r="A24" s="114" t="str">
        <f aca="false">Checks!$A$575&amp;CHAR(10)&amp;IF(Checks!$I$575="","",Checks!$I$575&amp;": ")&amp;Checks!$J$575</f>
        <v>F18-T7-02
Menu: Printed menu cards confirmed (content, cycle, language, quantity)</v>
      </c>
      <c r="B24" s="114" t="str">
        <f aca="false">Checks!$K$575&amp;IF(Checks!$O$575="","",IF(Checks!$K$575="","",CHAR(10))&amp;"Note: "&amp;Checks!$O$575)</f>
        <v>Menu card matches approved menu for this flight</v>
      </c>
      <c r="C24" s="114" t="str">
        <f aca="false">Checks!$N$575&amp;CHAR(10)&amp;IF(ISNUMBER(Checks!$R$575),TEXT(Checks!$R$575,"DD-MMM-YY HH:MM"),"")&amp;" "&amp;Checks!$P$575</f>
        <v>Required
20-Oct-26 22:25 KUL</v>
      </c>
      <c r="D24" s="114" t="str">
        <f aca="false">IF(Checks!$U$575="","",Checks!$U$575)&amp;IF(Checks!$AB$575="","",CHAR(10)&amp;"CA: "&amp;Checks!$AB$575)</f>
        <v/>
      </c>
      <c r="E24" s="114" t="str">
        <f aca="false">IF(Checks!$V$575="","",Checks!$V$575)&amp;IF(Checks!$AC$575="","",IF(Checks!$V$575="","",CHAR(10))&amp;"N/A just.: "&amp;Checks!$AC$575)&amp;IF(Checks!$W$575="","",CHAR(10)&amp;"Batch: "&amp;Checks!$W$575)&amp;IF(AND(Checks!$X$575="",Checks!$Y$575=""),"",CHAR(10)&amp;"Exp: "&amp;Checks!$X$575&amp;"  /  Act: "&amp;Checks!$Y$575)</f>
        <v/>
      </c>
      <c r="F24" s="114" t="str">
        <f aca="false">IF(Checks!$Z$575="","","Evidence: "&amp;Checks!$Z$575)&amp;IF(Checks!$AA$575="","",IF(Checks!$Z$575="","",CHAR(10))&amp;"CA: "&amp;Checks!$AA$575)</f>
        <v/>
      </c>
      <c r="G24" s="114" t="str">
        <f aca="false">IF(ISNUMBER(Checks!$AD$575),TEXT(Checks!$AD$575,"DD-MMM-YY HH:MM")&amp;" "&amp;Checks!$P$575,"")&amp;IF(Checks!$AE$575="","",CHAR(10)&amp;"Verifier: "&amp;Checks!$AE$575)&amp;IF(Checks!$T$575="","",CHAR(10)&amp;"PIC: "&amp;Checks!$T$575)</f>
        <v/>
      </c>
      <c r="H24" s="115" t="str">
        <f aca="false">IF(Checks!$AH$575="","",Checks!$AH$575)</f>
        <v>OPEN</v>
      </c>
    </row>
    <row r="25" customFormat="false" ht="114" hidden="false" customHeight="true" outlineLevel="0" collapsed="false">
      <c r="A25" s="114" t="str">
        <f aca="false">Checks!$A$576&amp;CHAR(10)&amp;IF(Checks!$I$576="","",Checks!$I$576&amp;": ")&amp;Checks!$J$576</f>
        <v>F18-T7-03
IFE: Digital menu in IFE confirmed (A339 only)</v>
      </c>
      <c r="B25" s="114" t="str">
        <f aca="false">Checks!$K$576&amp;IF(Checks!$O$576="","",IF(Checks!$K$576="","",CHAR(10))&amp;"Note: "&amp;Checks!$O$576)</f>
        <v>Applies when fleet = A339
Note: Digital IFE menu applies to A339 only (user brief). Applicability follows the Fleet cell on Flights.</v>
      </c>
      <c r="C25" s="114" t="str">
        <f aca="false">Checks!$N$576&amp;CHAR(10)&amp;IF(ISNUMBER(Checks!$R$576),TEXT(Checks!$R$576,"DD-MMM-YY HH:MM"),"")&amp;" "&amp;Checks!$P$576</f>
        <v>N/A – rule
20-Oct-26 22:25 KUL</v>
      </c>
      <c r="D25" s="114" t="str">
        <f aca="false">IF(Checks!$U$576="","",Checks!$U$576)&amp;IF(Checks!$AB$576="","",CHAR(10)&amp;"CA: "&amp;Checks!$AB$576)</f>
        <v/>
      </c>
      <c r="E25" s="114" t="str">
        <f aca="false">IF(Checks!$V$576="","",Checks!$V$576)&amp;IF(Checks!$AC$576="","",IF(Checks!$V$576="","",CHAR(10))&amp;"N/A just.: "&amp;Checks!$AC$576)&amp;IF(Checks!$W$576="","",CHAR(10)&amp;"Batch: "&amp;Checks!$W$576)&amp;IF(AND(Checks!$X$576="",Checks!$Y$576=""),"",CHAR(10)&amp;"Exp: "&amp;Checks!$X$576&amp;"  /  Act: "&amp;Checks!$Y$576)</f>
        <v/>
      </c>
      <c r="F25" s="114" t="str">
        <f aca="false">IF(Checks!$Z$576="","","Evidence: "&amp;Checks!$Z$576)&amp;IF(Checks!$AA$576="","",IF(Checks!$Z$576="","",CHAR(10))&amp;"CA: "&amp;Checks!$AA$576)</f>
        <v/>
      </c>
      <c r="G25" s="114" t="str">
        <f aca="false">IF(ISNUMBER(Checks!$AD$576),TEXT(Checks!$AD$576,"DD-MMM-YY HH:MM")&amp;" "&amp;Checks!$P$576,"")&amp;IF(Checks!$AE$576="","",CHAR(10)&amp;"Verifier: "&amp;Checks!$AE$576)&amp;IF(Checks!$T$576="","",CHAR(10)&amp;"PIC: "&amp;Checks!$T$576)</f>
        <v/>
      </c>
      <c r="H25" s="115" t="str">
        <f aca="false">IF(Checks!$AH$576="","",Checks!$AH$576)</f>
        <v>N/A – RULE</v>
      </c>
    </row>
    <row r="26" customFormat="false" ht="114" hidden="false" customHeight="true" outlineLevel="0" collapsed="false">
      <c r="A26" s="114" t="str">
        <f aca="false">Checks!$A$577&amp;CHAR(10)&amp;IF(Checks!$I$577="","",Checks!$I$577&amp;": ")&amp;Checks!$J$577</f>
        <v>F18-T7-04
Staffing: Experienced catering officer assigned to this flight</v>
      </c>
      <c r="B26" s="114" t="str">
        <f aca="false">Checks!$K$577&amp;IF(Checks!$O$577="","",IF(Checks!$K$577="","",CHAR(10))&amp;"Note: "&amp;Checks!$O$577)</f>
        <v>Record officer name in Result</v>
      </c>
      <c r="C26" s="114" t="str">
        <f aca="false">Checks!$N$577&amp;CHAR(10)&amp;IF(ISNUMBER(Checks!$R$577),TEXT(Checks!$R$577,"DD-MMM-YY HH:MM"),"")&amp;" "&amp;Checks!$P$577</f>
        <v>Required
20-Oct-26 22:25 KUL</v>
      </c>
      <c r="D26" s="114" t="str">
        <f aca="false">IF(Checks!$U$577="","",Checks!$U$577)&amp;IF(Checks!$AB$577="","",CHAR(10)&amp;"CA: "&amp;Checks!$AB$577)</f>
        <v/>
      </c>
      <c r="E26" s="114" t="str">
        <f aca="false">IF(Checks!$V$577="","",Checks!$V$577)&amp;IF(Checks!$AC$577="","",IF(Checks!$V$577="","",CHAR(10))&amp;"N/A just.: "&amp;Checks!$AC$577)&amp;IF(Checks!$W$577="","",CHAR(10)&amp;"Batch: "&amp;Checks!$W$577)&amp;IF(AND(Checks!$X$577="",Checks!$Y$577=""),"",CHAR(10)&amp;"Exp: "&amp;Checks!$X$577&amp;"  /  Act: "&amp;Checks!$Y$577)</f>
        <v/>
      </c>
      <c r="F26" s="114" t="str">
        <f aca="false">IF(Checks!$Z$577="","","Evidence: "&amp;Checks!$Z$577)&amp;IF(Checks!$AA$577="","",IF(Checks!$Z$577="","",CHAR(10))&amp;"CA: "&amp;Checks!$AA$577)</f>
        <v/>
      </c>
      <c r="G26" s="114" t="str">
        <f aca="false">IF(ISNUMBER(Checks!$AD$577),TEXT(Checks!$AD$577,"DD-MMM-YY HH:MM")&amp;" "&amp;Checks!$P$577,"")&amp;IF(Checks!$AE$577="","",CHAR(10)&amp;"Verifier: "&amp;Checks!$AE$577)&amp;IF(Checks!$T$577="","",CHAR(10)&amp;"PIC: "&amp;Checks!$T$577)</f>
        <v/>
      </c>
      <c r="H26" s="115" t="str">
        <f aca="false">IF(Checks!$AH$577="","",Checks!$AH$577)</f>
        <v>OPEN</v>
      </c>
    </row>
    <row r="27" customFormat="false" ht="114" hidden="false" customHeight="true" outlineLevel="0" collapsed="false">
      <c r="A27" s="114" t="str">
        <f aca="false">Checks!$A$578&amp;CHAR(10)&amp;IF(Checks!$I$578="","",Checks!$I$578&amp;": ")&amp;Checks!$J$578</f>
        <v>F18-T7-05
ISOP: All latest applicable ISOP revisions communicated to caterer</v>
      </c>
      <c r="B27" s="114" t="str">
        <f aca="false">Checks!$K$578&amp;IF(Checks!$O$578="","",IF(Checks!$K$578="","",CHAR(10))&amp;"Note: "&amp;Checks!$O$578)</f>
        <v>List revision numbers in Result (see ISOP register)</v>
      </c>
      <c r="C27" s="114" t="str">
        <f aca="false">Checks!$N$578&amp;CHAR(10)&amp;IF(ISNUMBER(Checks!$R$578),TEXT(Checks!$R$578,"DD-MMM-YY HH:MM"),"")&amp;" "&amp;Checks!$P$578</f>
        <v>Required
20-Oct-26 22:25 KUL</v>
      </c>
      <c r="D27" s="114" t="str">
        <f aca="false">IF(Checks!$U$578="","",Checks!$U$578)&amp;IF(Checks!$AB$578="","",CHAR(10)&amp;"CA: "&amp;Checks!$AB$578)</f>
        <v/>
      </c>
      <c r="E27" s="114" t="str">
        <f aca="false">IF(Checks!$V$578="","",Checks!$V$578)&amp;IF(Checks!$AC$578="","",IF(Checks!$V$578="","",CHAR(10))&amp;"N/A just.: "&amp;Checks!$AC$578)&amp;IF(Checks!$W$578="","",CHAR(10)&amp;"Batch: "&amp;Checks!$W$578)&amp;IF(AND(Checks!$X$578="",Checks!$Y$578=""),"",CHAR(10)&amp;"Exp: "&amp;Checks!$X$578&amp;"  /  Act: "&amp;Checks!$Y$578)</f>
        <v/>
      </c>
      <c r="F27" s="114" t="str">
        <f aca="false">IF(Checks!$Z$578="","","Evidence: "&amp;Checks!$Z$578)&amp;IF(Checks!$AA$578="","",IF(Checks!$Z$578="","",CHAR(10))&amp;"CA: "&amp;Checks!$AA$578)</f>
        <v/>
      </c>
      <c r="G27" s="114" t="str">
        <f aca="false">IF(ISNUMBER(Checks!$AD$578),TEXT(Checks!$AD$578,"DD-MMM-YY HH:MM")&amp;" "&amp;Checks!$P$578,"")&amp;IF(Checks!$AE$578="","",CHAR(10)&amp;"Verifier: "&amp;Checks!$AE$578)&amp;IF(Checks!$T$578="","",CHAR(10)&amp;"PIC: "&amp;Checks!$T$578)</f>
        <v/>
      </c>
      <c r="H27" s="115" t="str">
        <f aca="false">IF(Checks!$AH$578="","",Checks!$AH$578)</f>
        <v>OPEN</v>
      </c>
    </row>
    <row r="28" customFormat="false" ht="114" hidden="false" customHeight="true" outlineLevel="0" collapsed="false">
      <c r="A28" s="114" t="str">
        <f aca="false">Checks!$A$579&amp;CHAR(10)&amp;IF(Checks!$I$579="","",Checks!$I$579&amp;": ")&amp;Checks!$J$579</f>
        <v>F18-T7-06
ISOP: Caterer acknowledgement of ISOP revisions recorded</v>
      </c>
      <c r="B28" s="114" t="str">
        <f aca="false">Checks!$K$579&amp;IF(Checks!$O$579="","",IF(Checks!$K$579="","",CHAR(10))&amp;"Note: "&amp;Checks!$O$579)</f>
        <v>Record acknowledgement ref in Evidence</v>
      </c>
      <c r="C28" s="114" t="str">
        <f aca="false">Checks!$N$579&amp;CHAR(10)&amp;IF(ISNUMBER(Checks!$R$579),TEXT(Checks!$R$579,"DD-MMM-YY HH:MM"),"")&amp;" "&amp;Checks!$P$579</f>
        <v>Required
20-Oct-26 22:25 KUL</v>
      </c>
      <c r="D28" s="114" t="str">
        <f aca="false">IF(Checks!$U$579="","",Checks!$U$579)&amp;IF(Checks!$AB$579="","",CHAR(10)&amp;"CA: "&amp;Checks!$AB$579)</f>
        <v/>
      </c>
      <c r="E28" s="114" t="str">
        <f aca="false">IF(Checks!$V$579="","",Checks!$V$579)&amp;IF(Checks!$AC$579="","",IF(Checks!$V$579="","",CHAR(10))&amp;"N/A just.: "&amp;Checks!$AC$579)&amp;IF(Checks!$W$579="","",CHAR(10)&amp;"Batch: "&amp;Checks!$W$579)&amp;IF(AND(Checks!$X$579="",Checks!$Y$579=""),"",CHAR(10)&amp;"Exp: "&amp;Checks!$X$579&amp;"  /  Act: "&amp;Checks!$Y$579)</f>
        <v/>
      </c>
      <c r="F28" s="114" t="str">
        <f aca="false">IF(Checks!$Z$579="","","Evidence: "&amp;Checks!$Z$579)&amp;IF(Checks!$AA$579="","",IF(Checks!$Z$579="","",CHAR(10))&amp;"CA: "&amp;Checks!$AA$579)</f>
        <v/>
      </c>
      <c r="G28" s="114" t="str">
        <f aca="false">IF(ISNUMBER(Checks!$AD$579),TEXT(Checks!$AD$579,"DD-MMM-YY HH:MM")&amp;" "&amp;Checks!$P$579,"")&amp;IF(Checks!$AE$579="","",CHAR(10)&amp;"Verifier: "&amp;Checks!$AE$579)&amp;IF(Checks!$T$579="","",CHAR(10)&amp;"PIC: "&amp;Checks!$T$579)</f>
        <v/>
      </c>
      <c r="H28" s="115" t="str">
        <f aca="false">IF(Checks!$AH$579="","",Checks!$AH$579)</f>
        <v>OPEN</v>
      </c>
    </row>
    <row r="29" customFormat="false" ht="114" hidden="false" customHeight="true" outlineLevel="0" collapsed="false">
      <c r="A29" s="114" t="str">
        <f aca="false">Checks!$A$580&amp;CHAR(10)&amp;IF(Checks!$I$580="","",Checks!$I$580&amp;": ")&amp;Checks!$J$580</f>
        <v>F18-T7-07
Documents: Galley loading diagram (GLD) received, revision recorded &amp; attached</v>
      </c>
      <c r="B29" s="114" t="str">
        <f aca="false">Checks!$K$580&amp;IF(Checks!$O$580="","",IF(Checks!$K$580="","",CHAR(10))&amp;"Note: "&amp;Checks!$O$580)</f>
        <v>Documents sheet row complete</v>
      </c>
      <c r="C29" s="114" t="str">
        <f aca="false">Checks!$N$580&amp;CHAR(10)&amp;IF(ISNUMBER(Checks!$R$580),TEXT(Checks!$R$580,"DD-MMM-YY HH:MM"),"")&amp;" "&amp;Checks!$P$580</f>
        <v>Required
20-Oct-26 22:25 KUL</v>
      </c>
      <c r="D29" s="114" t="str">
        <f aca="false">IF(Checks!$U$580="","",Checks!$U$580)&amp;IF(Checks!$AB$580="","",CHAR(10)&amp;"CA: "&amp;Checks!$AB$580)</f>
        <v/>
      </c>
      <c r="E29" s="114" t="str">
        <f aca="false">IF(Checks!$V$580="","",Checks!$V$580)&amp;IF(Checks!$AC$580="","",IF(Checks!$V$580="","",CHAR(10))&amp;"N/A just.: "&amp;Checks!$AC$580)&amp;IF(Checks!$W$580="","",CHAR(10)&amp;"Batch: "&amp;Checks!$W$580)&amp;IF(AND(Checks!$X$580="",Checks!$Y$580=""),"",CHAR(10)&amp;"Exp: "&amp;Checks!$X$580&amp;"  /  Act: "&amp;Checks!$Y$580)</f>
        <v/>
      </c>
      <c r="F29" s="114" t="str">
        <f aca="false">IF(Checks!$Z$580="","","Evidence: "&amp;Checks!$Z$580)&amp;IF(Checks!$AA$580="","",IF(Checks!$Z$580="","",CHAR(10))&amp;"CA: "&amp;Checks!$AA$580)</f>
        <v/>
      </c>
      <c r="G29" s="114" t="str">
        <f aca="false">IF(ISNUMBER(Checks!$AD$580),TEXT(Checks!$AD$580,"DD-MMM-YY HH:MM")&amp;" "&amp;Checks!$P$580,"")&amp;IF(Checks!$AE$580="","",CHAR(10)&amp;"Verifier: "&amp;Checks!$AE$580)&amp;IF(Checks!$T$580="","",CHAR(10)&amp;"PIC: "&amp;Checks!$T$580)</f>
        <v/>
      </c>
      <c r="H29" s="115" t="str">
        <f aca="false">IF(Checks!$AH$580="","",Checks!$AH$580)</f>
        <v>OPEN</v>
      </c>
    </row>
    <row r="30" customFormat="false" ht="114" hidden="false" customHeight="true" outlineLevel="0" collapsed="false">
      <c r="A30" s="114" t="str">
        <f aca="false">Checks!$A$581&amp;CHAR(10)&amp;IF(Checks!$I$581="","",Checks!$I$581&amp;": ")&amp;Checks!$J$581</f>
        <v>F18-T7-08
Documents: Menu checklist received, revision recorded &amp; attached</v>
      </c>
      <c r="B30" s="114" t="str">
        <f aca="false">Checks!$K$581&amp;IF(Checks!$O$581="","",IF(Checks!$K$581="","",CHAR(10))&amp;"Note: "&amp;Checks!$O$581)</f>
        <v>Documents sheet row complete</v>
      </c>
      <c r="C30" s="114" t="str">
        <f aca="false">Checks!$N$581&amp;CHAR(10)&amp;IF(ISNUMBER(Checks!$R$581),TEXT(Checks!$R$581,"DD-MMM-YY HH:MM"),"")&amp;" "&amp;Checks!$P$581</f>
        <v>Required
20-Oct-26 22:25 KUL</v>
      </c>
      <c r="D30" s="114" t="str">
        <f aca="false">IF(Checks!$U$581="","",Checks!$U$581)&amp;IF(Checks!$AB$581="","",CHAR(10)&amp;"CA: "&amp;Checks!$AB$581)</f>
        <v/>
      </c>
      <c r="E30" s="114" t="str">
        <f aca="false">IF(Checks!$V$581="","",Checks!$V$581)&amp;IF(Checks!$AC$581="","",IF(Checks!$V$581="","",CHAR(10))&amp;"N/A just.: "&amp;Checks!$AC$581)&amp;IF(Checks!$W$581="","",CHAR(10)&amp;"Batch: "&amp;Checks!$W$581)&amp;IF(AND(Checks!$X$581="",Checks!$Y$581=""),"",CHAR(10)&amp;"Exp: "&amp;Checks!$X$581&amp;"  /  Act: "&amp;Checks!$Y$581)</f>
        <v/>
      </c>
      <c r="F30" s="114" t="str">
        <f aca="false">IF(Checks!$Z$581="","","Evidence: "&amp;Checks!$Z$581)&amp;IF(Checks!$AA$581="","",IF(Checks!$Z$581="","",CHAR(10))&amp;"CA: "&amp;Checks!$AA$581)</f>
        <v/>
      </c>
      <c r="G30" s="114" t="str">
        <f aca="false">IF(ISNUMBER(Checks!$AD$581),TEXT(Checks!$AD$581,"DD-MMM-YY HH:MM")&amp;" "&amp;Checks!$P$581,"")&amp;IF(Checks!$AE$581="","",CHAR(10)&amp;"Verifier: "&amp;Checks!$AE$581)&amp;IF(Checks!$T$581="","",CHAR(10)&amp;"PIC: "&amp;Checks!$T$581)</f>
        <v/>
      </c>
      <c r="H30" s="115" t="str">
        <f aca="false">IF(Checks!$AH$581="","",Checks!$AH$581)</f>
        <v>OPEN</v>
      </c>
    </row>
    <row r="31" customFormat="false" ht="114" hidden="false" customHeight="true" outlineLevel="0" collapsed="false">
      <c r="A31" s="114" t="str">
        <f aca="false">Checks!$A$582&amp;CHAR(10)&amp;IF(Checks!$I$582="","",Checks!$I$582&amp;": ")&amp;Checks!$J$582</f>
        <v>F18-T7-09
Uplift plan: Uplift plan confirmed with caterer vs STD Uplift Information</v>
      </c>
      <c r="B31" s="114" t="str">
        <f aca="false">Checks!$K$582&amp;IF(Checks!$O$582="","",IF(Checks!$K$582="","",CHAR(10))&amp;"Note: "&amp;Checks!$O$582)</f>
        <v>Service: 1.5 Meal (Meal); meal uplift stn KUL (ref lists KUL/KIX)</v>
      </c>
      <c r="C31" s="114" t="str">
        <f aca="false">Checks!$N$582&amp;CHAR(10)&amp;IF(ISNUMBER(Checks!$R$582),TEXT(Checks!$R$582,"DD-MMM-YY HH:MM"),"")&amp;" "&amp;Checks!$P$582</f>
        <v>Required
20-Oct-26 22:25 KUL</v>
      </c>
      <c r="D31" s="114" t="str">
        <f aca="false">IF(Checks!$U$582="","",Checks!$U$582)&amp;IF(Checks!$AB$582="","",CHAR(10)&amp;"CA: "&amp;Checks!$AB$582)</f>
        <v/>
      </c>
      <c r="E31" s="114" t="str">
        <f aca="false">IF(Checks!$V$582="","",Checks!$V$582)&amp;IF(Checks!$AC$582="","",IF(Checks!$V$582="","",CHAR(10))&amp;"N/A just.: "&amp;Checks!$AC$582)&amp;IF(Checks!$W$582="","",CHAR(10)&amp;"Batch: "&amp;Checks!$W$582)&amp;IF(AND(Checks!$X$582="",Checks!$Y$582=""),"",CHAR(10)&amp;"Exp: "&amp;Checks!$X$582&amp;"  /  Act: "&amp;Checks!$Y$582)</f>
        <v/>
      </c>
      <c r="F31" s="114" t="str">
        <f aca="false">IF(Checks!$Z$582="","","Evidence: "&amp;Checks!$Z$582)&amp;IF(Checks!$AA$582="","",IF(Checks!$Z$582="","",CHAR(10))&amp;"CA: "&amp;Checks!$AA$582)</f>
        <v/>
      </c>
      <c r="G31" s="114" t="str">
        <f aca="false">IF(ISNUMBER(Checks!$AD$582),TEXT(Checks!$AD$582,"DD-MMM-YY HH:MM")&amp;" "&amp;Checks!$P$582,"")&amp;IF(Checks!$AE$582="","",CHAR(10)&amp;"Verifier: "&amp;Checks!$AE$582)&amp;IF(Checks!$T$582="","",CHAR(10)&amp;"PIC: "&amp;Checks!$T$582)</f>
        <v/>
      </c>
      <c r="H31" s="115" t="str">
        <f aca="false">IF(Checks!$AH$582="","",Checks!$AH$582)</f>
        <v>OPEN</v>
      </c>
    </row>
    <row r="32" customFormat="false" ht="25.5" hidden="false" customHeight="true" outlineLevel="0" collapsed="false">
      <c r="A32" s="113" t="str">
        <f aca="false">"T-24H — Production batch sensory  |  Due "&amp;IF(ISNUMBER(Flights!$AH$22),TEXT(Flights!$AH$22,"DD-MMM-YY HH:MM"),"")&amp;" "&amp;Flights!$V$22&amp;" (meal uplift stn)"&amp;" (rows with another due show their own)  |  Complete "&amp;IF(ISNUMBER(Flights!$AK$22),TEXT(Flights!$AK$22,"0%"),Flights!$AK$22)&amp;"  |  1 lines"</f>
        <v>T-24H — Production batch sensory  |  Due 26-Oct-26 22:25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Checks!$A$583&amp;CHAR(10)&amp;IF(Checks!$I$583="","",Checks!$I$583&amp;": ")&amp;Checks!$J$583</f>
        <v>F18-T24-01
Meal: Sensory test repeated on ACTUAL production batch for this flight</v>
      </c>
      <c r="B33" s="114" t="str">
        <f aca="false">Checks!$K$583&amp;IF(Checks!$O$583="","",IF(Checks!$K$583="","",CHAR(10))&amp;"Note: "&amp;Checks!$O$583)</f>
        <v>Batch ID, result, CA and acceptance mandatory</v>
      </c>
      <c r="C33" s="114" t="str">
        <f aca="false">Checks!$N$583&amp;CHAR(10)&amp;IF(ISNUMBER(Checks!$R$583),TEXT(Checks!$R$583,"DD-MMM-YY HH:MM"),"")&amp;" "&amp;Checks!$P$583</f>
        <v>Required
26-Oct-26 22:25 KUL</v>
      </c>
      <c r="D33" s="114" t="str">
        <f aca="false">IF(Checks!$U$583="","",Checks!$U$583)&amp;IF(Checks!$AB$583="","",CHAR(10)&amp;"CA: "&amp;Checks!$AB$583)</f>
        <v/>
      </c>
      <c r="E33" s="114" t="str">
        <f aca="false">IF(Checks!$V$583="","",Checks!$V$583)&amp;IF(Checks!$AC$583="","",IF(Checks!$V$583="","",CHAR(10))&amp;"N/A just.: "&amp;Checks!$AC$583)&amp;IF(Checks!$W$583="","",CHAR(10)&amp;"Batch: "&amp;Checks!$W$583)&amp;IF(AND(Checks!$X$583="",Checks!$Y$583=""),"",CHAR(10)&amp;"Exp: "&amp;Checks!$X$583&amp;"  /  Act: "&amp;Checks!$Y$583)</f>
        <v/>
      </c>
      <c r="F33" s="114" t="str">
        <f aca="false">IF(Checks!$Z$583="","","Evidence: "&amp;Checks!$Z$583)&amp;IF(Checks!$AA$583="","",IF(Checks!$Z$583="","",CHAR(10))&amp;"CA: "&amp;Checks!$AA$583)</f>
        <v/>
      </c>
      <c r="G33" s="114" t="str">
        <f aca="false">IF(ISNUMBER(Checks!$AD$583),TEXT(Checks!$AD$583,"DD-MMM-YY HH:MM")&amp;" "&amp;Checks!$P$583,"")&amp;IF(Checks!$AE$583="","",CHAR(10)&amp;"Verifier: "&amp;Checks!$AE$583)&amp;IF(Checks!$T$583="","",CHAR(10)&amp;"PIC: "&amp;Checks!$T$583)</f>
        <v/>
      </c>
      <c r="H33" s="115" t="str">
        <f aca="false">IF(Checks!$AH$583="","",Checks!$AH$583)</f>
        <v>OPEN</v>
      </c>
    </row>
    <row r="34" customFormat="false" ht="25.5" hidden="false" customHeight="true" outlineLevel="0" collapsed="false">
      <c r="A34" s="113" t="str">
        <f aca="false">"T-12H PREP — Preparation check at caterer (does NOT confirm loading)  |  Due "&amp;IF(ISNUMBER(Flights!$AI$22),TEXT(Flights!$AI$22,"DD-MMM-YY HH:MM"),"")&amp;" "&amp;Flights!$V$22&amp;" (meal uplift stn)"&amp;" (rows with another due show their own)  |  Complete "&amp;IF(ISNUMBER(Flights!$AL$22),TEXT(Flights!$AL$22,"0%"),Flights!$AL$22)&amp;"  |  20 lines"</f>
        <v>T-12H PREP — Preparation check at caterer (does NOT confirm loading)  |  Due 27-Oct-26 10:25 KUL (meal uplift stn) (rows with another due show their own)  |  Complete 0%  |  20 lines</v>
      </c>
      <c r="B34" s="113"/>
      <c r="C34" s="113"/>
      <c r="D34" s="113"/>
      <c r="E34" s="113"/>
      <c r="F34" s="113"/>
      <c r="G34" s="113"/>
      <c r="H34" s="113"/>
    </row>
    <row r="35" customFormat="false" ht="114" hidden="false" customHeight="true" outlineLevel="0" collapsed="false">
      <c r="A35" s="114" t="str">
        <f aca="false">Checks!$A$584&amp;CHAR(10)&amp;IF(Checks!$I$584="","",Checks!$I$584&amp;": ")&amp;Checks!$J$584</f>
        <v>F18-T12-01
Meal: Meal quality vs menu checklist</v>
      </c>
      <c r="B35" s="114" t="str">
        <f aca="false">Checks!$K$584&amp;IF(Checks!$O$584="","",IF(Checks!$K$584="","",CHAR(10))&amp;"Note: "&amp;Checks!$O$584)</f>
        <v>Note: Preparation check at caterer - does NOT confirm loading.</v>
      </c>
      <c r="C35" s="114" t="str">
        <f aca="false">Checks!$N$584&amp;CHAR(10)&amp;IF(ISNUMBER(Checks!$R$584),TEXT(Checks!$R$584,"DD-MMM-YY HH:MM"),"")&amp;" "&amp;Checks!$P$584</f>
        <v>Required
27-Oct-26 10:25 KUL</v>
      </c>
      <c r="D35" s="114" t="str">
        <f aca="false">IF(Checks!$U$584="","",Checks!$U$584)&amp;IF(Checks!$AB$584="","",CHAR(10)&amp;"CA: "&amp;Checks!$AB$584)</f>
        <v/>
      </c>
      <c r="E35" s="114" t="str">
        <f aca="false">IF(Checks!$V$584="","",Checks!$V$584)&amp;IF(Checks!$AC$584="","",IF(Checks!$V$584="","",CHAR(10))&amp;"N/A just.: "&amp;Checks!$AC$584)&amp;IF(Checks!$W$584="","",CHAR(10)&amp;"Batch: "&amp;Checks!$W$584)&amp;IF(AND(Checks!$X$584="",Checks!$Y$584=""),"",CHAR(10)&amp;"Exp: "&amp;Checks!$X$584&amp;"  /  Act: "&amp;Checks!$Y$584)</f>
        <v/>
      </c>
      <c r="F35" s="114" t="str">
        <f aca="false">IF(Checks!$Z$584="","","Evidence: "&amp;Checks!$Z$584)&amp;IF(Checks!$AA$584="","",IF(Checks!$Z$584="","",CHAR(10))&amp;"CA: "&amp;Checks!$AA$584)</f>
        <v/>
      </c>
      <c r="G35" s="114" t="str">
        <f aca="false">IF(ISNUMBER(Checks!$AD$584),TEXT(Checks!$AD$584,"DD-MMM-YY HH:MM")&amp;" "&amp;Checks!$P$584,"")&amp;IF(Checks!$AE$584="","",CHAR(10)&amp;"Verifier: "&amp;Checks!$AE$584)&amp;IF(Checks!$T$584="","",CHAR(10)&amp;"PIC: "&amp;Checks!$T$584)</f>
        <v/>
      </c>
      <c r="H35" s="115" t="str">
        <f aca="false">IF(Checks!$AH$584="","",Checks!$AH$584)</f>
        <v>OPEN</v>
      </c>
    </row>
    <row r="36" customFormat="false" ht="114" hidden="false" customHeight="true" outlineLevel="0" collapsed="false">
      <c r="A36" s="114" t="str">
        <f aca="false">Checks!$A$585&amp;CHAR(10)&amp;IF(Checks!$I$585="","",Checks!$I$585&amp;": ")&amp;Checks!$J$585</f>
        <v>F18-T12-02
Meal: Meal quantities vs menu checklist</v>
      </c>
      <c r="B36" s="114" t="str">
        <f aca="false">Checks!$K$585&amp;IF(Checks!$O$585="","",IF(Checks!$K$585="","",CHAR(10))&amp;"Note: "&amp;Checks!$O$585)</f>
        <v>Enter expected &amp; actual
Note: Preparation check at caterer - does NOT confirm loading.</v>
      </c>
      <c r="C36" s="114" t="str">
        <f aca="false">Checks!$N$585&amp;CHAR(10)&amp;IF(ISNUMBER(Checks!$R$585),TEXT(Checks!$R$585,"DD-MMM-YY HH:MM"),"")&amp;" "&amp;Checks!$P$585</f>
        <v>Required
27-Oct-26 10:25 KUL</v>
      </c>
      <c r="D36" s="114" t="str">
        <f aca="false">IF(Checks!$U$585="","",Checks!$U$585)&amp;IF(Checks!$AB$585="","",CHAR(10)&amp;"CA: "&amp;Checks!$AB$585)</f>
        <v/>
      </c>
      <c r="E36" s="114" t="str">
        <f aca="false">IF(Checks!$V$585="","",Checks!$V$585)&amp;IF(Checks!$AC$585="","",IF(Checks!$V$585="","",CHAR(10))&amp;"N/A just.: "&amp;Checks!$AC$585)&amp;IF(Checks!$W$585="","",CHAR(10)&amp;"Batch: "&amp;Checks!$W$585)&amp;IF(AND(Checks!$X$585="",Checks!$Y$585=""),"",CHAR(10)&amp;"Exp: "&amp;Checks!$X$585&amp;"  /  Act: "&amp;Checks!$Y$585)</f>
        <v/>
      </c>
      <c r="F36" s="114" t="str">
        <f aca="false">IF(Checks!$Z$585="","","Evidence: "&amp;Checks!$Z$585)&amp;IF(Checks!$AA$585="","",IF(Checks!$Z$585="","",CHAR(10))&amp;"CA: "&amp;Checks!$AA$585)</f>
        <v/>
      </c>
      <c r="G36" s="114" t="str">
        <f aca="false">IF(ISNUMBER(Checks!$AD$585),TEXT(Checks!$AD$585,"DD-MMM-YY HH:MM")&amp;" "&amp;Checks!$P$585,"")&amp;IF(Checks!$AE$585="","",CHAR(10)&amp;"Verifier: "&amp;Checks!$AE$585)&amp;IF(Checks!$T$585="","",CHAR(10)&amp;"PIC: "&amp;Checks!$T$585)</f>
        <v/>
      </c>
      <c r="H36" s="115" t="str">
        <f aca="false">IF(Checks!$AH$585="","",Checks!$AH$585)</f>
        <v>OPEN</v>
      </c>
    </row>
    <row r="37" customFormat="false" ht="114" hidden="false" customHeight="true" outlineLevel="0" collapsed="false">
      <c r="A37" s="114" t="str">
        <f aca="false">Checks!$A$586&amp;CHAR(10)&amp;IF(Checks!$I$586="","",Checks!$I$586&amp;": ")&amp;Checks!$J$586</f>
        <v>F18-T12-03
Equipment: Equipment cleanliness vs GLD</v>
      </c>
      <c r="B37" s="114" t="str">
        <f aca="false">Checks!$K$586&amp;IF(Checks!$O$586="","",IF(Checks!$K$586="","",CHAR(10))&amp;"Note: "&amp;Checks!$O$586)</f>
        <v>Note: Preparation check at caterer - does NOT confirm loading.</v>
      </c>
      <c r="C37" s="114" t="str">
        <f aca="false">Checks!$N$586&amp;CHAR(10)&amp;IF(ISNUMBER(Checks!$R$586),TEXT(Checks!$R$586,"DD-MMM-YY HH:MM"),"")&amp;" "&amp;Checks!$P$586</f>
        <v>Required
27-Oct-26 10:25 KUL</v>
      </c>
      <c r="D37" s="114" t="str">
        <f aca="false">IF(Checks!$U$586="","",Checks!$U$586)&amp;IF(Checks!$AB$586="","",CHAR(10)&amp;"CA: "&amp;Checks!$AB$586)</f>
        <v/>
      </c>
      <c r="E37" s="114" t="str">
        <f aca="false">IF(Checks!$V$586="","",Checks!$V$586)&amp;IF(Checks!$AC$586="","",IF(Checks!$V$586="","",CHAR(10))&amp;"N/A just.: "&amp;Checks!$AC$586)&amp;IF(Checks!$W$586="","",CHAR(10)&amp;"Batch: "&amp;Checks!$W$586)&amp;IF(AND(Checks!$X$586="",Checks!$Y$586=""),"",CHAR(10)&amp;"Exp: "&amp;Checks!$X$586&amp;"  /  Act: "&amp;Checks!$Y$586)</f>
        <v/>
      </c>
      <c r="F37" s="114" t="str">
        <f aca="false">IF(Checks!$Z$586="","","Evidence: "&amp;Checks!$Z$586)&amp;IF(Checks!$AA$586="","",IF(Checks!$Z$586="","",CHAR(10))&amp;"CA: "&amp;Checks!$AA$586)</f>
        <v/>
      </c>
      <c r="G37" s="114" t="str">
        <f aca="false">IF(ISNUMBER(Checks!$AD$586),TEXT(Checks!$AD$586,"DD-MMM-YY HH:MM")&amp;" "&amp;Checks!$P$586,"")&amp;IF(Checks!$AE$586="","",CHAR(10)&amp;"Verifier: "&amp;Checks!$AE$586)&amp;IF(Checks!$T$586="","",CHAR(10)&amp;"PIC: "&amp;Checks!$T$586)</f>
        <v/>
      </c>
      <c r="H37" s="115" t="str">
        <f aca="false">IF(Checks!$AH$586="","",Checks!$AH$586)</f>
        <v>OPEN</v>
      </c>
    </row>
    <row r="38" customFormat="false" ht="114" hidden="false" customHeight="true" outlineLevel="0" collapsed="false">
      <c r="A38" s="114" t="str">
        <f aca="false">Checks!$A$587&amp;CHAR(10)&amp;IF(Checks!$I$587="","",Checks!$I$587&amp;": ")&amp;Checks!$J$587</f>
        <v>F18-T12-04
Equipment: Equipment presentation vs GLD</v>
      </c>
      <c r="B38" s="114" t="str">
        <f aca="false">Checks!$K$587&amp;IF(Checks!$O$587="","",IF(Checks!$K$587="","",CHAR(10))&amp;"Note: "&amp;Checks!$O$587)</f>
        <v>Note: Preparation check at caterer - does NOT confirm loading.</v>
      </c>
      <c r="C38" s="114" t="str">
        <f aca="false">Checks!$N$587&amp;CHAR(10)&amp;IF(ISNUMBER(Checks!$R$587),TEXT(Checks!$R$587,"DD-MMM-YY HH:MM"),"")&amp;" "&amp;Checks!$P$587</f>
        <v>Required
27-Oct-26 10:25 KUL</v>
      </c>
      <c r="D38" s="114" t="str">
        <f aca="false">IF(Checks!$U$587="","",Checks!$U$587)&amp;IF(Checks!$AB$587="","",CHAR(10)&amp;"CA: "&amp;Checks!$AB$587)</f>
        <v/>
      </c>
      <c r="E38" s="114" t="str">
        <f aca="false">IF(Checks!$V$587="","",Checks!$V$587)&amp;IF(Checks!$AC$587="","",IF(Checks!$V$587="","",CHAR(10))&amp;"N/A just.: "&amp;Checks!$AC$587)&amp;IF(Checks!$W$587="","",CHAR(10)&amp;"Batch: "&amp;Checks!$W$587)&amp;IF(AND(Checks!$X$587="",Checks!$Y$587=""),"",CHAR(10)&amp;"Exp: "&amp;Checks!$X$587&amp;"  /  Act: "&amp;Checks!$Y$587)</f>
        <v/>
      </c>
      <c r="F38" s="114" t="str">
        <f aca="false">IF(Checks!$Z$587="","","Evidence: "&amp;Checks!$Z$587)&amp;IF(Checks!$AA$587="","",IF(Checks!$Z$587="","",CHAR(10))&amp;"CA: "&amp;Checks!$AA$587)</f>
        <v/>
      </c>
      <c r="G38" s="114" t="str">
        <f aca="false">IF(ISNUMBER(Checks!$AD$587),TEXT(Checks!$AD$587,"DD-MMM-YY HH:MM")&amp;" "&amp;Checks!$P$587,"")&amp;IF(Checks!$AE$587="","",CHAR(10)&amp;"Verifier: "&amp;Checks!$AE$587)&amp;IF(Checks!$T$587="","",CHAR(10)&amp;"PIC: "&amp;Checks!$T$587)</f>
        <v/>
      </c>
      <c r="H38" s="115" t="str">
        <f aca="false">IF(Checks!$AH$587="","",Checks!$AH$587)</f>
        <v>OPEN</v>
      </c>
    </row>
    <row r="39" customFormat="false" ht="114" hidden="false" customHeight="true" outlineLevel="0" collapsed="false">
      <c r="A39" s="114" t="str">
        <f aca="false">Checks!$A$588&amp;CHAR(10)&amp;IF(Checks!$I$588="","",Checks!$I$588&amp;": ")&amp;Checks!$J$588</f>
        <v>F18-T12-05
Equipment: Equipment serviceability vs GLD</v>
      </c>
      <c r="B39" s="114" t="str">
        <f aca="false">Checks!$K$588&amp;IF(Checks!$O$588="","",IF(Checks!$K$588="","",CHAR(10))&amp;"Note: "&amp;Checks!$O$588)</f>
        <v>Note: Preparation check at caterer - does NOT confirm loading.</v>
      </c>
      <c r="C39" s="114" t="str">
        <f aca="false">Checks!$N$588&amp;CHAR(10)&amp;IF(ISNUMBER(Checks!$R$588),TEXT(Checks!$R$588,"DD-MMM-YY HH:MM"),"")&amp;" "&amp;Checks!$P$588</f>
        <v>Required
27-Oct-26 10:25 KUL</v>
      </c>
      <c r="D39" s="114" t="str">
        <f aca="false">IF(Checks!$U$588="","",Checks!$U$588)&amp;IF(Checks!$AB$588="","",CHAR(10)&amp;"CA: "&amp;Checks!$AB$588)</f>
        <v/>
      </c>
      <c r="E39" s="114" t="str">
        <f aca="false">IF(Checks!$V$588="","",Checks!$V$588)&amp;IF(Checks!$AC$588="","",IF(Checks!$V$588="","",CHAR(10))&amp;"N/A just.: "&amp;Checks!$AC$588)&amp;IF(Checks!$W$588="","",CHAR(10)&amp;"Batch: "&amp;Checks!$W$588)&amp;IF(AND(Checks!$X$588="",Checks!$Y$588=""),"",CHAR(10)&amp;"Exp: "&amp;Checks!$X$588&amp;"  /  Act: "&amp;Checks!$Y$588)</f>
        <v/>
      </c>
      <c r="F39" s="114" t="str">
        <f aca="false">IF(Checks!$Z$588="","","Evidence: "&amp;Checks!$Z$588)&amp;IF(Checks!$AA$588="","",IF(Checks!$Z$588="","",CHAR(10))&amp;"CA: "&amp;Checks!$AA$588)</f>
        <v/>
      </c>
      <c r="G39" s="114" t="str">
        <f aca="false">IF(ISNUMBER(Checks!$AD$588),TEXT(Checks!$AD$588,"DD-MMM-YY HH:MM")&amp;" "&amp;Checks!$P$588,"")&amp;IF(Checks!$AE$588="","",CHAR(10)&amp;"Verifier: "&amp;Checks!$AE$588)&amp;IF(Checks!$T$588="","",CHAR(10)&amp;"PIC: "&amp;Checks!$T$588)</f>
        <v/>
      </c>
      <c r="H39" s="115" t="str">
        <f aca="false">IF(Checks!$AH$588="","",Checks!$AH$588)</f>
        <v>OPEN</v>
      </c>
    </row>
    <row r="40" customFormat="false" ht="201.75" hidden="false" customHeight="true" outlineLevel="0" collapsed="false">
      <c r="A40" s="114" t="str">
        <f aca="false">Checks!$A$589&amp;CHAR(10)&amp;IF(Checks!$I$589="","",Checks!$I$589&amp;": ")&amp;Checks!$J$589</f>
        <v>F18-T12-06
Equipment: Equipment quantities vs GLD</v>
      </c>
      <c r="B40" s="114" t="str">
        <f aca="false">SUBSTITUTE(Checks!$K$589&amp;IF(Checks!$O$589="","",IF(Checks!$K$589="","",CHAR(10))&amp;"Note: "&amp;Checks!$O$589),"AIRCRAFT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Checks!$N$589&amp;CHAR(10)&amp;IF(ISNUMBER(Checks!$R$589),TEXT(Checks!$R$589,"DD-MMM-YY HH:MM"),"")&amp;" "&amp;Checks!$P$589</f>
        <v>Required
27-Oct-26 10:25 KUL</v>
      </c>
      <c r="D40" s="114" t="str">
        <f aca="false">IF(Checks!$U$589="","",Checks!$U$589)&amp;IF(Checks!$AB$589="","",CHAR(10)&amp;"CA: "&amp;Checks!$AB$589)</f>
        <v/>
      </c>
      <c r="E40" s="114" t="str">
        <f aca="false">IF(Checks!$V$589="","",Checks!$V$589)&amp;IF(Checks!$AC$589="","",IF(Checks!$V$589="","",CHAR(10))&amp;"N/A just.: "&amp;Checks!$AC$589)&amp;IF(Checks!$W$589="","",CHAR(10)&amp;"Batch: "&amp;Checks!$W$589)&amp;IF(AND(Checks!$X$589="",Checks!$Y$589=""),"",CHAR(10)&amp;"Exp: "&amp;Checks!$X$589&amp;"  /  Act: "&amp;Checks!$Y$589)</f>
        <v/>
      </c>
      <c r="F40" s="114" t="str">
        <f aca="false">IF(Checks!$Z$589="","","Evidence: "&amp;Checks!$Z$589)&amp;IF(Checks!$AA$589="","",IF(Checks!$Z$589="","",CHAR(10))&amp;"CA: "&amp;Checks!$AA$589)</f>
        <v/>
      </c>
      <c r="G40" s="114" t="str">
        <f aca="false">IF(ISNUMBER(Checks!$AD$589),TEXT(Checks!$AD$589,"DD-MMM-YY HH:MM")&amp;" "&amp;Checks!$P$589,"")&amp;IF(Checks!$AE$589="","",CHAR(10)&amp;"Verifier: "&amp;Checks!$AE$589)&amp;IF(Checks!$T$589="","",CHAR(10)&amp;"PIC: "&amp;Checks!$T$589)</f>
        <v/>
      </c>
      <c r="H40" s="115" t="str">
        <f aca="false">IF(Checks!$AH$589="","",Checks!$AH$589)</f>
        <v>OPEN</v>
      </c>
    </row>
    <row r="41" customFormat="false" ht="114" hidden="false" customHeight="true" outlineLevel="0" collapsed="false">
      <c r="A41" s="114" t="str">
        <f aca="false">Checks!$A$590&amp;CHAR(10)&amp;IF(Checks!$I$590="","",Checks!$I$590&amp;": ")&amp;Checks!$J$590</f>
        <v>F18-T12-07
Equipment: Loading positions planned vs GLD</v>
      </c>
      <c r="B41" s="114" t="str">
        <f aca="false">Checks!$K$590&amp;IF(Checks!$O$590="","",IF(Checks!$K$590="","",CHAR(10))&amp;"Note: "&amp;Checks!$O$590)</f>
        <v>Note: Preparation check at caterer - does NOT confirm loading.</v>
      </c>
      <c r="C41" s="114" t="str">
        <f aca="false">Checks!$N$590&amp;CHAR(10)&amp;IF(ISNUMBER(Checks!$R$590),TEXT(Checks!$R$590,"DD-MMM-YY HH:MM"),"")&amp;" "&amp;Checks!$P$590</f>
        <v>Required
27-Oct-26 10:25 KUL</v>
      </c>
      <c r="D41" s="114" t="str">
        <f aca="false">IF(Checks!$U$590="","",Checks!$U$590)&amp;IF(Checks!$AB$590="","",CHAR(10)&amp;"CA: "&amp;Checks!$AB$590)</f>
        <v/>
      </c>
      <c r="E41" s="114" t="str">
        <f aca="false">IF(Checks!$V$590="","",Checks!$V$590)&amp;IF(Checks!$AC$590="","",IF(Checks!$V$590="","",CHAR(10))&amp;"N/A just.: "&amp;Checks!$AC$590)&amp;IF(Checks!$W$590="","",CHAR(10)&amp;"Batch: "&amp;Checks!$W$590)&amp;IF(AND(Checks!$X$590="",Checks!$Y$590=""),"",CHAR(10)&amp;"Exp: "&amp;Checks!$X$590&amp;"  /  Act: "&amp;Checks!$Y$590)</f>
        <v/>
      </c>
      <c r="F41" s="114" t="str">
        <f aca="false">IF(Checks!$Z$590="","","Evidence: "&amp;Checks!$Z$590)&amp;IF(Checks!$AA$590="","",IF(Checks!$Z$590="","",CHAR(10))&amp;"CA: "&amp;Checks!$AA$590)</f>
        <v/>
      </c>
      <c r="G41" s="114" t="str">
        <f aca="false">IF(ISNUMBER(Checks!$AD$590),TEXT(Checks!$AD$590,"DD-MMM-YY HH:MM")&amp;" "&amp;Checks!$P$590,"")&amp;IF(Checks!$AE$590="","",CHAR(10)&amp;"Verifier: "&amp;Checks!$AE$590)&amp;IF(Checks!$T$590="","",CHAR(10)&amp;"PIC: "&amp;Checks!$T$590)</f>
        <v/>
      </c>
      <c r="H41" s="115" t="str">
        <f aca="false">IF(Checks!$AH$590="","",Checks!$AH$590)</f>
        <v>OPEN</v>
      </c>
    </row>
    <row r="42" customFormat="false" ht="114" hidden="false" customHeight="true" outlineLevel="0" collapsed="false">
      <c r="A42" s="114" t="str">
        <f aca="false">Checks!$A$591&amp;CHAR(10)&amp;IF(Checks!$I$591="","",Checks!$I$591&amp;": ")&amp;Checks!$J$591</f>
        <v>F18-T12-08
Amenities: Slippers (BS/BC) - prepared</v>
      </c>
      <c r="B42" s="114" t="str">
        <f aca="false">Checks!$K$591&amp;IF(Checks!$O$591="","",IF(Checks!$K$591="","",CHAR(10))&amp;"Note: "&amp;Checks!$O$591)</f>
        <v>Available (ticked in reference)</v>
      </c>
      <c r="C42" s="114" t="str">
        <f aca="false">Checks!$N$591&amp;CHAR(10)&amp;IF(ISNUMBER(Checks!$R$591),TEXT(Checks!$R$591,"DD-MMM-YY HH:MM"),"")&amp;" "&amp;Checks!$P$591</f>
        <v>Required
27-Oct-26 10:25 KUL</v>
      </c>
      <c r="D42" s="114" t="str">
        <f aca="false">IF(Checks!$U$591="","",Checks!$U$591)&amp;IF(Checks!$AB$591="","",CHAR(10)&amp;"CA: "&amp;Checks!$AB$591)</f>
        <v/>
      </c>
      <c r="E42" s="114" t="str">
        <f aca="false">IF(Checks!$V$591="","",Checks!$V$591)&amp;IF(Checks!$AC$591="","",IF(Checks!$V$591="","",CHAR(10))&amp;"N/A just.: "&amp;Checks!$AC$591)&amp;IF(Checks!$W$591="","",CHAR(10)&amp;"Batch: "&amp;Checks!$W$591)&amp;IF(AND(Checks!$X$591="",Checks!$Y$591=""),"",CHAR(10)&amp;"Exp: "&amp;Checks!$X$591&amp;"  /  Act: "&amp;Checks!$Y$591)</f>
        <v/>
      </c>
      <c r="F42" s="114" t="str">
        <f aca="false">IF(Checks!$Z$591="","","Evidence: "&amp;Checks!$Z$591)&amp;IF(Checks!$AA$591="","",IF(Checks!$Z$591="","",CHAR(10))&amp;"CA: "&amp;Checks!$AA$591)</f>
        <v/>
      </c>
      <c r="G42" s="114" t="str">
        <f aca="false">IF(ISNUMBER(Checks!$AD$591),TEXT(Checks!$AD$591,"DD-MMM-YY HH:MM")&amp;" "&amp;Checks!$P$591,"")&amp;IF(Checks!$AE$591="","",CHAR(10)&amp;"Verifier: "&amp;Checks!$AE$591)&amp;IF(Checks!$T$591="","",CHAR(10)&amp;"PIC: "&amp;Checks!$T$591)</f>
        <v/>
      </c>
      <c r="H42" s="115" t="str">
        <f aca="false">IF(Checks!$AH$591="","",Checks!$AH$591)</f>
        <v>OPEN</v>
      </c>
    </row>
    <row r="43" customFormat="false" ht="114" hidden="false" customHeight="true" outlineLevel="0" collapsed="false">
      <c r="A43" s="114" t="str">
        <f aca="false">Checks!$A$592&amp;CHAR(10)&amp;IF(Checks!$I$592="","",Checks!$I$592&amp;": ")&amp;Checks!$J$592</f>
        <v>F18-T12-09
F&amp;B Linen: Towel - prepared</v>
      </c>
      <c r="B43" s="114" t="str">
        <f aca="false">Checks!$K$592&amp;IF(Checks!$O$592="","",IF(Checks!$K$592="","",CHAR(10))&amp;"Note: "&amp;Checks!$O$592)</f>
        <v>Available (ticked in reference)
Note: Reference gives no uplift stn for this item: preparation checked at the meal uplift stn (KUL) - confirm with caterer.</v>
      </c>
      <c r="C43" s="114" t="str">
        <f aca="false">Checks!$N$592&amp;CHAR(10)&amp;IF(ISNUMBER(Checks!$R$592),TEXT(Checks!$R$592,"DD-MMM-YY HH:MM"),"")&amp;" "&amp;Checks!$P$592</f>
        <v>Required
27-Oct-26 10:25 KUL</v>
      </c>
      <c r="D43" s="114" t="str">
        <f aca="false">IF(Checks!$U$592="","",Checks!$U$592)&amp;IF(Checks!$AB$592="","",CHAR(10)&amp;"CA: "&amp;Checks!$AB$592)</f>
        <v/>
      </c>
      <c r="E43" s="114" t="str">
        <f aca="false">IF(Checks!$V$592="","",Checks!$V$592)&amp;IF(Checks!$AC$592="","",IF(Checks!$V$592="","",CHAR(10))&amp;"N/A just.: "&amp;Checks!$AC$592)&amp;IF(Checks!$W$592="","",CHAR(10)&amp;"Batch: "&amp;Checks!$W$592)&amp;IF(AND(Checks!$X$592="",Checks!$Y$592=""),"",CHAR(10)&amp;"Exp: "&amp;Checks!$X$592&amp;"  /  Act: "&amp;Checks!$Y$592)</f>
        <v/>
      </c>
      <c r="F43" s="114" t="str">
        <f aca="false">IF(Checks!$Z$592="","","Evidence: "&amp;Checks!$Z$592)&amp;IF(Checks!$AA$592="","",IF(Checks!$Z$592="","",CHAR(10))&amp;"CA: "&amp;Checks!$AA$592)</f>
        <v/>
      </c>
      <c r="G43" s="114" t="str">
        <f aca="false">IF(ISNUMBER(Checks!$AD$592),TEXT(Checks!$AD$592,"DD-MMM-YY HH:MM")&amp;" "&amp;Checks!$P$592,"")&amp;IF(Checks!$AE$592="","",CHAR(10)&amp;"Verifier: "&amp;Checks!$AE$592)&amp;IF(Checks!$T$592="","",CHAR(10)&amp;"PIC: "&amp;Checks!$T$592)</f>
        <v/>
      </c>
      <c r="H43" s="115" t="str">
        <f aca="false">IF(Checks!$AH$592="","",Checks!$AH$592)</f>
        <v>OPEN</v>
      </c>
    </row>
    <row r="44" customFormat="false" ht="114" hidden="false" customHeight="true" outlineLevel="0" collapsed="false">
      <c r="A44" s="114" t="str">
        <f aca="false">Checks!$A$593&amp;CHAR(10)&amp;IF(Checks!$I$593="","",Checks!$I$593&amp;": ")&amp;Checks!$J$593</f>
        <v>F18-T12-10
F&amp;B Linen: Tray cloth - prepared</v>
      </c>
      <c r="B44" s="114" t="str">
        <f aca="false">Checks!$K$593&amp;IF(Checks!$O$593="","",IF(Checks!$K$593="","",CHAR(10))&amp;"Note: "&amp;Checks!$O$593)</f>
        <v>Available (ticked in reference)
Note: Reference gives no uplift stn for this item: preparation checked at the meal uplift stn (KUL) - confirm with caterer.</v>
      </c>
      <c r="C44" s="114" t="str">
        <f aca="false">Checks!$N$593&amp;CHAR(10)&amp;IF(ISNUMBER(Checks!$R$593),TEXT(Checks!$R$593,"DD-MMM-YY HH:MM"),"")&amp;" "&amp;Checks!$P$593</f>
        <v>Required
27-Oct-26 10:25 KUL</v>
      </c>
      <c r="D44" s="114" t="str">
        <f aca="false">IF(Checks!$U$593="","",Checks!$U$593)&amp;IF(Checks!$AB$593="","",CHAR(10)&amp;"CA: "&amp;Checks!$AB$593)</f>
        <v/>
      </c>
      <c r="E44" s="114" t="str">
        <f aca="false">IF(Checks!$V$593="","",Checks!$V$593)&amp;IF(Checks!$AC$593="","",IF(Checks!$V$593="","",CHAR(10))&amp;"N/A just.: "&amp;Checks!$AC$593)&amp;IF(Checks!$W$593="","",CHAR(10)&amp;"Batch: "&amp;Checks!$W$593)&amp;IF(AND(Checks!$X$593="",Checks!$Y$593=""),"",CHAR(10)&amp;"Exp: "&amp;Checks!$X$593&amp;"  /  Act: "&amp;Checks!$Y$593)</f>
        <v/>
      </c>
      <c r="F44" s="114" t="str">
        <f aca="false">IF(Checks!$Z$593="","","Evidence: "&amp;Checks!$Z$593)&amp;IF(Checks!$AA$593="","",IF(Checks!$Z$593="","",CHAR(10))&amp;"CA: "&amp;Checks!$AA$593)</f>
        <v/>
      </c>
      <c r="G44" s="114" t="str">
        <f aca="false">IF(ISNUMBER(Checks!$AD$593),TEXT(Checks!$AD$593,"DD-MMM-YY HH:MM")&amp;" "&amp;Checks!$P$593,"")&amp;IF(Checks!$AE$593="","",CHAR(10)&amp;"Verifier: "&amp;Checks!$AE$593)&amp;IF(Checks!$T$593="","",CHAR(10)&amp;"PIC: "&amp;Checks!$T$593)</f>
        <v/>
      </c>
      <c r="H44" s="115" t="str">
        <f aca="false">IF(Checks!$AH$593="","",Checks!$AH$593)</f>
        <v>OPEN</v>
      </c>
    </row>
    <row r="45" customFormat="false" ht="114" hidden="false" customHeight="true" outlineLevel="0" collapsed="false">
      <c r="A45" s="114" t="str">
        <f aca="false">Checks!$A$594&amp;CHAR(10)&amp;IF(Checks!$I$594="","",Checks!$I$594&amp;": ")&amp;Checks!$J$594</f>
        <v>F18-T12-11
F&amp;B Linen: Napkin - prepared</v>
      </c>
      <c r="B45" s="114" t="str">
        <f aca="false">Checks!$K$594&amp;IF(Checks!$O$594="","",IF(Checks!$K$594="","",CHAR(10))&amp;"Note: "&amp;Checks!$O$594)</f>
        <v>Available (ticked in reference)
Note: Reference gives no uplift stn for this item: preparation checked at the meal uplift stn (KUL) - confirm with caterer.</v>
      </c>
      <c r="C45" s="114" t="str">
        <f aca="false">Checks!$N$594&amp;CHAR(10)&amp;IF(ISNUMBER(Checks!$R$594),TEXT(Checks!$R$594,"DD-MMM-YY HH:MM"),"")&amp;" "&amp;Checks!$P$594</f>
        <v>Required
27-Oct-26 10:25 KUL</v>
      </c>
      <c r="D45" s="114" t="str">
        <f aca="false">IF(Checks!$U$594="","",Checks!$U$594)&amp;IF(Checks!$AB$594="","",CHAR(10)&amp;"CA: "&amp;Checks!$AB$594)</f>
        <v/>
      </c>
      <c r="E45" s="114" t="str">
        <f aca="false">IF(Checks!$V$594="","",Checks!$V$594)&amp;IF(Checks!$AC$594="","",IF(Checks!$V$594="","",CHAR(10))&amp;"N/A just.: "&amp;Checks!$AC$594)&amp;IF(Checks!$W$594="","",CHAR(10)&amp;"Batch: "&amp;Checks!$W$594)&amp;IF(AND(Checks!$X$594="",Checks!$Y$594=""),"",CHAR(10)&amp;"Exp: "&amp;Checks!$X$594&amp;"  /  Act: "&amp;Checks!$Y$594)</f>
        <v/>
      </c>
      <c r="F45" s="114" t="str">
        <f aca="false">IF(Checks!$Z$594="","","Evidence: "&amp;Checks!$Z$594)&amp;IF(Checks!$AA$594="","",IF(Checks!$Z$594="","",CHAR(10))&amp;"CA: "&amp;Checks!$AA$594)</f>
        <v/>
      </c>
      <c r="G45" s="114" t="str">
        <f aca="false">IF(ISNUMBER(Checks!$AD$594),TEXT(Checks!$AD$594,"DD-MMM-YY HH:MM")&amp;" "&amp;Checks!$P$594,"")&amp;IF(Checks!$AE$594="","",CHAR(10)&amp;"Verifier: "&amp;Checks!$AE$594)&amp;IF(Checks!$T$594="","",CHAR(10)&amp;"PIC: "&amp;Checks!$T$594)</f>
        <v/>
      </c>
      <c r="H45" s="115" t="str">
        <f aca="false">IF(Checks!$AH$594="","",Checks!$AH$594)</f>
        <v>OPEN</v>
      </c>
    </row>
    <row r="46" customFormat="false" ht="114" hidden="false" customHeight="true" outlineLevel="0" collapsed="false">
      <c r="A46" s="114" t="str">
        <f aca="false">Checks!$A$595&amp;CHAR(10)&amp;IF(Checks!$I$595="","",Checks!$I$595&amp;": ")&amp;Checks!$J$595</f>
        <v>F18-T12-12
F&amp;B Linen: Table cloth - prepared</v>
      </c>
      <c r="B46" s="114" t="str">
        <f aca="false">Checks!$K$595&amp;IF(Checks!$O$595="","",IF(Checks!$K$595="","",CHAR(10))&amp;"Note: "&amp;Checks!$O$595)</f>
        <v>Available (ticked in reference)
Note: Reference gives no uplift stn for this item: preparation checked at the meal uplift stn (KUL) - confirm with caterer.</v>
      </c>
      <c r="C46" s="114" t="str">
        <f aca="false">Checks!$N$595&amp;CHAR(10)&amp;IF(ISNUMBER(Checks!$R$595),TEXT(Checks!$R$595,"DD-MMM-YY HH:MM"),"")&amp;" "&amp;Checks!$P$595</f>
        <v>Required
27-Oct-26 10:25 KUL</v>
      </c>
      <c r="D46" s="114" t="str">
        <f aca="false">IF(Checks!$U$595="","",Checks!$U$595)&amp;IF(Checks!$AB$595="","",CHAR(10)&amp;"CA: "&amp;Checks!$AB$595)</f>
        <v/>
      </c>
      <c r="E46" s="114" t="str">
        <f aca="false">IF(Checks!$V$595="","",Checks!$V$595)&amp;IF(Checks!$AC$595="","",IF(Checks!$V$595="","",CHAR(10))&amp;"N/A just.: "&amp;Checks!$AC$595)&amp;IF(Checks!$W$595="","",CHAR(10)&amp;"Batch: "&amp;Checks!$W$595)&amp;IF(AND(Checks!$X$595="",Checks!$Y$595=""),"",CHAR(10)&amp;"Exp: "&amp;Checks!$X$595&amp;"  /  Act: "&amp;Checks!$Y$595)</f>
        <v/>
      </c>
      <c r="F46" s="114" t="str">
        <f aca="false">IF(Checks!$Z$595="","","Evidence: "&amp;Checks!$Z$595)&amp;IF(Checks!$AA$595="","",IF(Checks!$Z$595="","",CHAR(10))&amp;"CA: "&amp;Checks!$AA$595)</f>
        <v/>
      </c>
      <c r="G46" s="114" t="str">
        <f aca="false">IF(ISNUMBER(Checks!$AD$595),TEXT(Checks!$AD$595,"DD-MMM-YY HH:MM")&amp;" "&amp;Checks!$P$595,"")&amp;IF(Checks!$AE$595="","",CHAR(10)&amp;"Verifier: "&amp;Checks!$AE$595)&amp;IF(Checks!$T$595="","",CHAR(10)&amp;"PIC: "&amp;Checks!$T$595)</f>
        <v/>
      </c>
      <c r="H46" s="115" t="str">
        <f aca="false">IF(Checks!$AH$595="","",Checks!$AH$595)</f>
        <v>OPEN</v>
      </c>
    </row>
    <row r="47" customFormat="false" ht="114" hidden="false" customHeight="true" outlineLevel="0" collapsed="false">
      <c r="A47" s="114" t="str">
        <f aca="false">Checks!$A$596&amp;CHAR(10)&amp;IF(Checks!$I$596="","",Checks!$I$596&amp;": ")&amp;Checks!$J$596</f>
        <v>F18-T12-13
F&amp;B Linen: Bread linen (using table cloth) - prepared</v>
      </c>
      <c r="B47" s="114" t="str">
        <f aca="false">Checks!$K$596&amp;IF(Checks!$O$596="","",IF(Checks!$K$596="","",CHAR(10))&amp;"Note: "&amp;Checks!$O$596)</f>
        <v>Available (ticked in reference)
Note: Reference gives no uplift stn for this item: preparation checked at the meal uplift stn (KUL) - confirm with caterer.</v>
      </c>
      <c r="C47" s="114" t="str">
        <f aca="false">Checks!$N$596&amp;CHAR(10)&amp;IF(ISNUMBER(Checks!$R$596),TEXT(Checks!$R$596,"DD-MMM-YY HH:MM"),"")&amp;" "&amp;Checks!$P$596</f>
        <v>Required
27-Oct-26 10:25 KUL</v>
      </c>
      <c r="D47" s="114" t="str">
        <f aca="false">IF(Checks!$U$596="","",Checks!$U$596)&amp;IF(Checks!$AB$596="","",CHAR(10)&amp;"CA: "&amp;Checks!$AB$596)</f>
        <v/>
      </c>
      <c r="E47" s="114" t="str">
        <f aca="false">IF(Checks!$V$596="","",Checks!$V$596)&amp;IF(Checks!$AC$596="","",IF(Checks!$V$596="","",CHAR(10))&amp;"N/A just.: "&amp;Checks!$AC$596)&amp;IF(Checks!$W$596="","",CHAR(10)&amp;"Batch: "&amp;Checks!$W$596)&amp;IF(AND(Checks!$X$596="",Checks!$Y$596=""),"",CHAR(10)&amp;"Exp: "&amp;Checks!$X$596&amp;"  /  Act: "&amp;Checks!$Y$596)</f>
        <v/>
      </c>
      <c r="F47" s="114" t="str">
        <f aca="false">IF(Checks!$Z$596="","","Evidence: "&amp;Checks!$Z$596)&amp;IF(Checks!$AA$596="","",IF(Checks!$Z$596="","",CHAR(10))&amp;"CA: "&amp;Checks!$AA$596)</f>
        <v/>
      </c>
      <c r="G47" s="114" t="str">
        <f aca="false">IF(ISNUMBER(Checks!$AD$596),TEXT(Checks!$AD$596,"DD-MMM-YY HH:MM")&amp;" "&amp;Checks!$P$596,"")&amp;IF(Checks!$AE$596="","",CHAR(10)&amp;"Verifier: "&amp;Checks!$AE$596)&amp;IF(Checks!$T$596="","",CHAR(10)&amp;"PIC: "&amp;Checks!$T$596)</f>
        <v/>
      </c>
      <c r="H47" s="115" t="str">
        <f aca="false">IF(Checks!$AH$596="","",Checks!$AH$596)</f>
        <v>OPEN</v>
      </c>
    </row>
    <row r="48" customFormat="false" ht="124.5" hidden="false" customHeight="true" outlineLevel="0" collapsed="false">
      <c r="A48" s="114" t="str">
        <f aca="false">Checks!$A$597&amp;CHAR(10)&amp;IF(Checks!$I$597="","",Checks!$I$597&amp;": ")&amp;Checks!$J$597</f>
        <v>F18-T12-14
F&amp;B Linen: Trolley cloth - prepared</v>
      </c>
      <c r="B48" s="114" t="str">
        <f aca="false">SUBSTITUTE(Checks!$K$597&amp;IF(Checks!$O$597="","",IF(Checks!$K$597="","",CHAR(10))&amp;"Note: "&amp;Checks!$O$597),"F&amp;B LINEN!","Ref: F&amp;B LINEN!")</f>
        <v>Wide body: Top/Middle &amp; Bottom
Note: Per note Ref: F&amp;B LINEN!B79:C80. Reference gives no uplift stn for this item: preparation checked at the meal uplift stn (KUL) - confirm with caterer.</v>
      </c>
      <c r="C48" s="114" t="str">
        <f aca="false">Checks!$N$597&amp;CHAR(10)&amp;IF(ISNUMBER(Checks!$R$597),TEXT(Checks!$R$597,"DD-MMM-YY HH:MM"),"")&amp;" "&amp;Checks!$P$597</f>
        <v>Required
27-Oct-26 10:25 KUL</v>
      </c>
      <c r="D48" s="114" t="str">
        <f aca="false">IF(Checks!$U$597="","",Checks!$U$597)&amp;IF(Checks!$AB$597="","",CHAR(10)&amp;"CA: "&amp;Checks!$AB$597)</f>
        <v/>
      </c>
      <c r="E48" s="114" t="str">
        <f aca="false">IF(Checks!$V$597="","",Checks!$V$597)&amp;IF(Checks!$AC$597="","",IF(Checks!$V$597="","",CHAR(10))&amp;"N/A just.: "&amp;Checks!$AC$597)&amp;IF(Checks!$W$597="","",CHAR(10)&amp;"Batch: "&amp;Checks!$W$597)&amp;IF(AND(Checks!$X$597="",Checks!$Y$597=""),"",CHAR(10)&amp;"Exp: "&amp;Checks!$X$597&amp;"  /  Act: "&amp;Checks!$Y$597)</f>
        <v/>
      </c>
      <c r="F48" s="114" t="str">
        <f aca="false">IF(Checks!$Z$597="","","Evidence: "&amp;Checks!$Z$597)&amp;IF(Checks!$AA$597="","",IF(Checks!$Z$597="","",CHAR(10))&amp;"CA: "&amp;Checks!$AA$597)</f>
        <v/>
      </c>
      <c r="G48" s="114" t="str">
        <f aca="false">IF(ISNUMBER(Checks!$AD$597),TEXT(Checks!$AD$597,"DD-MMM-YY HH:MM")&amp;" "&amp;Checks!$P$597,"")&amp;IF(Checks!$AE$597="","",CHAR(10)&amp;"Verifier: "&amp;Checks!$AE$597)&amp;IF(Checks!$T$597="","",CHAR(10)&amp;"PIC: "&amp;Checks!$T$597)</f>
        <v/>
      </c>
      <c r="H48" s="115" t="str">
        <f aca="false">IF(Checks!$AH$597="","",Checks!$AH$597)</f>
        <v>OPEN</v>
      </c>
    </row>
    <row r="49" customFormat="false" ht="114" hidden="false" customHeight="true" outlineLevel="0" collapsed="false">
      <c r="A49" s="114" t="str">
        <f aca="false">Checks!$A$598&amp;CHAR(10)&amp;IF(Checks!$I$598="","",Checks!$I$598&amp;": ")&amp;Checks!$J$598</f>
        <v>F18-T12-15
F&amp;B Linen: Linen bag - prepared</v>
      </c>
      <c r="B49" s="114" t="str">
        <f aca="false">Checks!$K$598&amp;IF(Checks!$O$598="","",IF(Checks!$K$598="","",CHAR(10))&amp;"Note: "&amp;Checks!$O$598)</f>
        <v>Available (ticked in reference)
Note: Reference gives no uplift stn for this item: preparation checked at the meal uplift stn (KUL) - confirm with caterer.</v>
      </c>
      <c r="C49" s="114" t="str">
        <f aca="false">Checks!$N$598&amp;CHAR(10)&amp;IF(ISNUMBER(Checks!$R$598),TEXT(Checks!$R$598,"DD-MMM-YY HH:MM"),"")&amp;" "&amp;Checks!$P$598</f>
        <v>Required
27-Oct-26 10:25 KUL</v>
      </c>
      <c r="D49" s="114" t="str">
        <f aca="false">IF(Checks!$U$598="","",Checks!$U$598)&amp;IF(Checks!$AB$598="","",CHAR(10)&amp;"CA: "&amp;Checks!$AB$598)</f>
        <v/>
      </c>
      <c r="E49" s="114" t="str">
        <f aca="false">IF(Checks!$V$598="","",Checks!$V$598)&amp;IF(Checks!$AC$598="","",IF(Checks!$V$598="","",CHAR(10))&amp;"N/A just.: "&amp;Checks!$AC$598)&amp;IF(Checks!$W$598="","",CHAR(10)&amp;"Batch: "&amp;Checks!$W$598)&amp;IF(AND(Checks!$X$598="",Checks!$Y$598=""),"",CHAR(10)&amp;"Exp: "&amp;Checks!$X$598&amp;"  /  Act: "&amp;Checks!$Y$598)</f>
        <v/>
      </c>
      <c r="F49" s="114" t="str">
        <f aca="false">IF(Checks!$Z$598="","","Evidence: "&amp;Checks!$Z$598)&amp;IF(Checks!$AA$598="","",IF(Checks!$Z$598="","",CHAR(10))&amp;"CA: "&amp;Checks!$AA$598)</f>
        <v/>
      </c>
      <c r="G49" s="114" t="str">
        <f aca="false">IF(ISNUMBER(Checks!$AD$598),TEXT(Checks!$AD$598,"DD-MMM-YY HH:MM")&amp;" "&amp;Checks!$P$598,"")&amp;IF(Checks!$AE$598="","",CHAR(10)&amp;"Verifier: "&amp;Checks!$AE$598)&amp;IF(Checks!$T$598="","",CHAR(10)&amp;"PIC: "&amp;Checks!$T$598)</f>
        <v/>
      </c>
      <c r="H49" s="115" t="str">
        <f aca="false">IF(Checks!$AH$598="","",Checks!$AH$598)</f>
        <v>OPEN</v>
      </c>
    </row>
    <row r="50" customFormat="false" ht="114" hidden="false" customHeight="true" outlineLevel="0" collapsed="false">
      <c r="A50" s="114" t="str">
        <f aca="false">Checks!$A$599&amp;CHAR(10)&amp;IF(Checks!$I$599="","",Checks!$I$599&amp;": ")&amp;Checks!$J$599</f>
        <v>F18-T12-16
Seat Linen: Seat pillow (BS &amp; BC) - prepared</v>
      </c>
      <c r="B50" s="114" t="str">
        <f aca="false">Checks!$K$599&amp;IF(Checks!$O$599="","",IF(Checks!$K$599="","",CHAR(10))&amp;"Note: "&amp;Checks!$O$599)</f>
        <v>Available 100% (ticked in reference)
Note: Reference gives no uplift stn for this item: preparation checked at the meal uplift stn (KUL) - confirm with caterer.</v>
      </c>
      <c r="C50" s="114" t="str">
        <f aca="false">Checks!$N$599&amp;CHAR(10)&amp;IF(ISNUMBER(Checks!$R$599),TEXT(Checks!$R$599,"DD-MMM-YY HH:MM"),"")&amp;" "&amp;Checks!$P$599</f>
        <v>Required
27-Oct-26 10:25 KUL</v>
      </c>
      <c r="D50" s="114" t="str">
        <f aca="false">IF(Checks!$U$599="","",Checks!$U$599)&amp;IF(Checks!$AB$599="","",CHAR(10)&amp;"CA: "&amp;Checks!$AB$599)</f>
        <v/>
      </c>
      <c r="E50" s="114" t="str">
        <f aca="false">IF(Checks!$V$599="","",Checks!$V$599)&amp;IF(Checks!$AC$599="","",IF(Checks!$V$599="","",CHAR(10))&amp;"N/A just.: "&amp;Checks!$AC$599)&amp;IF(Checks!$W$599="","",CHAR(10)&amp;"Batch: "&amp;Checks!$W$599)&amp;IF(AND(Checks!$X$599="",Checks!$Y$599=""),"",CHAR(10)&amp;"Exp: "&amp;Checks!$X$599&amp;"  /  Act: "&amp;Checks!$Y$599)</f>
        <v/>
      </c>
      <c r="F50" s="114" t="str">
        <f aca="false">IF(Checks!$Z$599="","","Evidence: "&amp;Checks!$Z$599)&amp;IF(Checks!$AA$599="","",IF(Checks!$Z$599="","",CHAR(10))&amp;"CA: "&amp;Checks!$AA$599)</f>
        <v/>
      </c>
      <c r="G50" s="114" t="str">
        <f aca="false">IF(ISNUMBER(Checks!$AD$599),TEXT(Checks!$AD$599,"DD-MMM-YY HH:MM")&amp;" "&amp;Checks!$P$599,"")&amp;IF(Checks!$AE$599="","",CHAR(10)&amp;"Verifier: "&amp;Checks!$AE$599)&amp;IF(Checks!$T$599="","",CHAR(10)&amp;"PIC: "&amp;Checks!$T$599)</f>
        <v/>
      </c>
      <c r="H50" s="115" t="str">
        <f aca="false">IF(Checks!$AH$599="","",Checks!$AH$599)</f>
        <v>OPEN</v>
      </c>
    </row>
    <row r="51" customFormat="false" ht="114" hidden="false" customHeight="true" outlineLevel="0" collapsed="false">
      <c r="A51" s="114" t="str">
        <f aca="false">Checks!$A$600&amp;CHAR(10)&amp;IF(Checks!$I$600="","",Checks!$I$600&amp;": ")&amp;Checks!$J$600</f>
        <v>F18-T12-17
Seat Linen: Duvet (BS &amp; BC) - prepared</v>
      </c>
      <c r="B51" s="114" t="str">
        <f aca="false">Checks!$K$600&amp;IF(Checks!$O$600="","",IF(Checks!$K$600="","",CHAR(10))&amp;"Note: "&amp;Checks!$O$600)</f>
        <v>Available 100% (ticked in reference)
Note: Reference gives no uplift stn for this item: preparation checked at the meal uplift stn (KUL) - confirm with caterer.</v>
      </c>
      <c r="C51" s="114" t="str">
        <f aca="false">Checks!$N$600&amp;CHAR(10)&amp;IF(ISNUMBER(Checks!$R$600),TEXT(Checks!$R$600,"DD-MMM-YY HH:MM"),"")&amp;" "&amp;Checks!$P$600</f>
        <v>Required
27-Oct-26 10:25 KUL</v>
      </c>
      <c r="D51" s="114" t="str">
        <f aca="false">IF(Checks!$U$600="","",Checks!$U$600)&amp;IF(Checks!$AB$600="","",CHAR(10)&amp;"CA: "&amp;Checks!$AB$600)</f>
        <v/>
      </c>
      <c r="E51" s="114" t="str">
        <f aca="false">IF(Checks!$V$600="","",Checks!$V$600)&amp;IF(Checks!$AC$600="","",IF(Checks!$V$600="","",CHAR(10))&amp;"N/A just.: "&amp;Checks!$AC$600)&amp;IF(Checks!$W$600="","",CHAR(10)&amp;"Batch: "&amp;Checks!$W$600)&amp;IF(AND(Checks!$X$600="",Checks!$Y$600=""),"",CHAR(10)&amp;"Exp: "&amp;Checks!$X$600&amp;"  /  Act: "&amp;Checks!$Y$600)</f>
        <v/>
      </c>
      <c r="F51" s="114" t="str">
        <f aca="false">IF(Checks!$Z$600="","","Evidence: "&amp;Checks!$Z$600)&amp;IF(Checks!$AA$600="","",IF(Checks!$Z$600="","",CHAR(10))&amp;"CA: "&amp;Checks!$AA$600)</f>
        <v/>
      </c>
      <c r="G51" s="114" t="str">
        <f aca="false">IF(ISNUMBER(Checks!$AD$600),TEXT(Checks!$AD$600,"DD-MMM-YY HH:MM")&amp;" "&amp;Checks!$P$600,"")&amp;IF(Checks!$AE$600="","",CHAR(10)&amp;"Verifier: "&amp;Checks!$AE$600)&amp;IF(Checks!$T$600="","",CHAR(10)&amp;"PIC: "&amp;Checks!$T$600)</f>
        <v/>
      </c>
      <c r="H51" s="115" t="str">
        <f aca="false">IF(Checks!$AH$600="","",Checks!$AH$600)</f>
        <v>OPEN</v>
      </c>
    </row>
    <row r="52" customFormat="false" ht="114" hidden="false" customHeight="true" outlineLevel="0" collapsed="false">
      <c r="A52" s="114" t="str">
        <f aca="false">Checks!$A$601&amp;CHAR(10)&amp;IF(Checks!$I$601="","",Checks!$I$601&amp;": ")&amp;Checks!$J$601</f>
        <v>F18-T12-18
Seat Linen: Mattress (BS &amp; BC) - prepared</v>
      </c>
      <c r="B52" s="114" t="str">
        <f aca="false">Checks!$K$601&amp;IF(Checks!$O$601="","",IF(Checks!$K$601="","",CHAR(10))&amp;"Note: "&amp;Checks!$O$601)</f>
        <v>Available 100% (ticked in reference)
Note: Reference gives no uplift stn for this item: preparation checked at the meal uplift stn (KUL) - confirm with caterer.</v>
      </c>
      <c r="C52" s="114" t="str">
        <f aca="false">Checks!$N$601&amp;CHAR(10)&amp;IF(ISNUMBER(Checks!$R$601),TEXT(Checks!$R$601,"DD-MMM-YY HH:MM"),"")&amp;" "&amp;Checks!$P$601</f>
        <v>Required
27-Oct-26 10:25 KUL</v>
      </c>
      <c r="D52" s="114" t="str">
        <f aca="false">IF(Checks!$U$601="","",Checks!$U$601)&amp;IF(Checks!$AB$601="","",CHAR(10)&amp;"CA: "&amp;Checks!$AB$601)</f>
        <v/>
      </c>
      <c r="E52" s="114" t="str">
        <f aca="false">IF(Checks!$V$601="","",Checks!$V$601)&amp;IF(Checks!$AC$601="","",IF(Checks!$V$601="","",CHAR(10))&amp;"N/A just.: "&amp;Checks!$AC$601)&amp;IF(Checks!$W$601="","",CHAR(10)&amp;"Batch: "&amp;Checks!$W$601)&amp;IF(AND(Checks!$X$601="",Checks!$Y$601=""),"",CHAR(10)&amp;"Exp: "&amp;Checks!$X$601&amp;"  /  Act: "&amp;Checks!$Y$601)</f>
        <v/>
      </c>
      <c r="F52" s="114" t="str">
        <f aca="false">IF(Checks!$Z$601="","","Evidence: "&amp;Checks!$Z$601)&amp;IF(Checks!$AA$601="","",IF(Checks!$Z$601="","",CHAR(10))&amp;"CA: "&amp;Checks!$AA$601)</f>
        <v/>
      </c>
      <c r="G52" s="114" t="str">
        <f aca="false">IF(ISNUMBER(Checks!$AD$601),TEXT(Checks!$AD$601,"DD-MMM-YY HH:MM")&amp;" "&amp;Checks!$P$601,"")&amp;IF(Checks!$AE$601="","",CHAR(10)&amp;"Verifier: "&amp;Checks!$AE$601)&amp;IF(Checks!$T$601="","",CHAR(10)&amp;"PIC: "&amp;Checks!$T$601)</f>
        <v/>
      </c>
      <c r="H52" s="115" t="str">
        <f aca="false">IF(Checks!$AH$601="","",Checks!$AH$601)</f>
        <v>OPEN</v>
      </c>
    </row>
    <row r="53" customFormat="false" ht="114" hidden="false" customHeight="true" outlineLevel="0" collapsed="false">
      <c r="A53" s="114" t="str">
        <f aca="false">Checks!$A$602&amp;CHAR(10)&amp;IF(Checks!$I$602="","",Checks!$I$602&amp;": ")&amp;Checks!$J$602</f>
        <v>F18-T12-19
Signature Drinks: Signature drink &amp; garnish (BC) - prepared</v>
      </c>
      <c r="B53" s="114" t="str">
        <f aca="false">Checks!$K$602&amp;IF(Checks!$O$602="","",IF(Checks!$K$602="","",CHAR(10))&amp;"Note: "&amp;Checks!$O$602)</f>
        <v>Available (ticked in reference)
Note: Signature drinks &amp; garnish uplifted from KUL (note D79).</v>
      </c>
      <c r="C53" s="114" t="str">
        <f aca="false">Checks!$N$602&amp;CHAR(10)&amp;IF(ISNUMBER(Checks!$R$602),TEXT(Checks!$R$602,"DD-MMM-YY HH:MM"),"")&amp;" "&amp;Checks!$P$602</f>
        <v>Required
27-Oct-26 10:25 KUL</v>
      </c>
      <c r="D53" s="114" t="str">
        <f aca="false">IF(Checks!$U$602="","",Checks!$U$602)&amp;IF(Checks!$AB$602="","",CHAR(10)&amp;"CA: "&amp;Checks!$AB$602)</f>
        <v/>
      </c>
      <c r="E53" s="114" t="str">
        <f aca="false">IF(Checks!$V$602="","",Checks!$V$602)&amp;IF(Checks!$AC$602="","",IF(Checks!$V$602="","",CHAR(10))&amp;"N/A just.: "&amp;Checks!$AC$602)&amp;IF(Checks!$W$602="","",CHAR(10)&amp;"Batch: "&amp;Checks!$W$602)&amp;IF(AND(Checks!$X$602="",Checks!$Y$602=""),"",CHAR(10)&amp;"Exp: "&amp;Checks!$X$602&amp;"  /  Act: "&amp;Checks!$Y$602)</f>
        <v/>
      </c>
      <c r="F53" s="114" t="str">
        <f aca="false">IF(Checks!$Z$602="","","Evidence: "&amp;Checks!$Z$602)&amp;IF(Checks!$AA$602="","",IF(Checks!$Z$602="","",CHAR(10))&amp;"CA: "&amp;Checks!$AA$602)</f>
        <v/>
      </c>
      <c r="G53" s="114" t="str">
        <f aca="false">IF(ISNUMBER(Checks!$AD$602),TEXT(Checks!$AD$602,"DD-MMM-YY HH:MM")&amp;" "&amp;Checks!$P$602,"")&amp;IF(Checks!$AE$602="","",CHAR(10)&amp;"Verifier: "&amp;Checks!$AE$602)&amp;IF(Checks!$T$602="","",CHAR(10)&amp;"PIC: "&amp;Checks!$T$602)</f>
        <v/>
      </c>
      <c r="H53" s="115" t="str">
        <f aca="false">IF(Checks!$AH$602="","",Checks!$AH$602)</f>
        <v>OPEN</v>
      </c>
    </row>
    <row r="54" customFormat="false" ht="114" hidden="false" customHeight="true" outlineLevel="0" collapsed="false">
      <c r="A54" s="114" t="str">
        <f aca="false">Checks!$A$603&amp;CHAR(10)&amp;IF(Checks!$I$603="","",Checks!$I$603&amp;": ")&amp;Checks!$J$603</f>
        <v>F18-T12-20
Sales Cart: Sales cart (caterer PASB) - prepared</v>
      </c>
      <c r="B54" s="114" t="str">
        <f aca="false">Checks!$K$603&amp;IF(Checks!$O$603="","",IF(Checks!$K$603="","",CHAR(10))&amp;"Note: "&amp;Checks!$O$603)</f>
        <v>Location 643 &amp; 947 (A333, full cart)
Note: Block 6.50 h &gt;= 4 h. Reference gives no uplift stn for this item: preparation checked at the meal uplift stn (KUL) - confirm with caterer.</v>
      </c>
      <c r="C54" s="114" t="str">
        <f aca="false">Checks!$N$603&amp;CHAR(10)&amp;IF(ISNUMBER(Checks!$R$603),TEXT(Checks!$R$603,"DD-MMM-YY HH:MM"),"")&amp;" "&amp;Checks!$P$603</f>
        <v>Required
27-Oct-26 10:25 KUL</v>
      </c>
      <c r="D54" s="114" t="str">
        <f aca="false">IF(Checks!$U$603="","",Checks!$U$603)&amp;IF(Checks!$AB$603="","",CHAR(10)&amp;"CA: "&amp;Checks!$AB$603)</f>
        <v/>
      </c>
      <c r="E54" s="114" t="str">
        <f aca="false">IF(Checks!$V$603="","",Checks!$V$603)&amp;IF(Checks!$AC$603="","",IF(Checks!$V$603="","",CHAR(10))&amp;"N/A just.: "&amp;Checks!$AC$603)&amp;IF(Checks!$W$603="","",CHAR(10)&amp;"Batch: "&amp;Checks!$W$603)&amp;IF(AND(Checks!$X$603="",Checks!$Y$603=""),"",CHAR(10)&amp;"Exp: "&amp;Checks!$X$603&amp;"  /  Act: "&amp;Checks!$Y$603)</f>
        <v/>
      </c>
      <c r="F54" s="114" t="str">
        <f aca="false">IF(Checks!$Z$603="","","Evidence: "&amp;Checks!$Z$603)&amp;IF(Checks!$AA$603="","",IF(Checks!$Z$603="","",CHAR(10))&amp;"CA: "&amp;Checks!$AA$603)</f>
        <v/>
      </c>
      <c r="G54" s="114" t="str">
        <f aca="false">IF(ISNUMBER(Checks!$AD$603),TEXT(Checks!$AD$603,"DD-MMM-YY HH:MM")&amp;" "&amp;Checks!$P$603,"")&amp;IF(Checks!$AE$603="","",CHAR(10)&amp;"Verifier: "&amp;Checks!$AE$603)&amp;IF(Checks!$T$603="","",CHAR(10)&amp;"PIC: "&amp;Checks!$T$603)</f>
        <v/>
      </c>
      <c r="H54" s="115" t="str">
        <f aca="false">IF(Checks!$AH$603="","",Checks!$AH$603)</f>
        <v>OPEN</v>
      </c>
    </row>
    <row r="55" customFormat="false" ht="25.5" hidden="false" customHeight="true" outlineLevel="0" collapsed="false">
      <c r="A55" s="113" t="str">
        <f aca="false">"UPLIFT — Physical uplift – on-board confirmation before departure  |  Due "&amp;"STD "&amp;IF(ISNUMBER(Flights!$I$22),TEXT(Flights!$I$22,"DD-MMM-YY HH:MM"),"")&amp;" "&amp;Flights!$G$22&amp;" (departure stn)"&amp;" (rows with another due show their own)  |  Complete "&amp;IF(ISNUMBER(Flights!$AM$22),TEXT(Flights!$AM$22,"0%"),Flights!$AM$22)&amp;"  |  15 lines"</f>
        <v>UPLIFT — Physical uplift – on-board confirmation before departure  |  Due STD 27-Oct-26 22:25 KUL (departure stn) (rows with another due show their own)  |  Complete 0%  |  15 lines</v>
      </c>
      <c r="B55" s="113"/>
      <c r="C55" s="113"/>
      <c r="D55" s="113"/>
      <c r="E55" s="113"/>
      <c r="F55" s="113"/>
      <c r="G55" s="113"/>
      <c r="H55" s="113"/>
    </row>
    <row r="56" customFormat="false" ht="114" hidden="false" customHeight="true" outlineLevel="0" collapsed="false">
      <c r="A56" s="114" t="str">
        <f aca="false">Checks!$A$604&amp;CHAR(10)&amp;IF(Checks!$I$604="","",Checks!$I$604&amp;": ")&amp;Checks!$J$604</f>
        <v>F18-UPL-01
Meal: Meals physically uplifted on board - quantity vs menu checklist</v>
      </c>
      <c r="B56" s="114" t="str">
        <f aca="false">Checks!$K$604&amp;IF(Checks!$O$604="","",IF(Checks!$K$604="","",CHAR(10))&amp;"Note: "&amp;Checks!$O$604)</f>
        <v>Enter expected &amp; actual
Note: Confirm on board before departure; completion time must fall inside the uplift window.</v>
      </c>
      <c r="C56" s="114" t="str">
        <f aca="false">Checks!$N$604&amp;CHAR(10)&amp;IF(ISNUMBER(Checks!$R$604),TEXT(Checks!$R$604,"DD-MMM-YY HH:MM"),"")&amp;" "&amp;Checks!$P$604</f>
        <v>Required
27-Oct-26 22:25 KUL</v>
      </c>
      <c r="D56" s="114" t="str">
        <f aca="false">IF(Checks!$U$604="","",Checks!$U$604)&amp;IF(Checks!$AB$604="","",CHAR(10)&amp;"CA: "&amp;Checks!$AB$604)</f>
        <v/>
      </c>
      <c r="E56" s="114" t="str">
        <f aca="false">IF(Checks!$V$604="","",Checks!$V$604)&amp;IF(Checks!$AC$604="","",IF(Checks!$V$604="","",CHAR(10))&amp;"N/A just.: "&amp;Checks!$AC$604)&amp;IF(Checks!$W$604="","",CHAR(10)&amp;"Batch: "&amp;Checks!$W$604)&amp;IF(AND(Checks!$X$604="",Checks!$Y$604=""),"",CHAR(10)&amp;"Exp: "&amp;Checks!$X$604&amp;"  /  Act: "&amp;Checks!$Y$604)</f>
        <v/>
      </c>
      <c r="F56" s="114" t="str">
        <f aca="false">IF(Checks!$Z$604="","","Evidence: "&amp;Checks!$Z$604)&amp;IF(Checks!$AA$604="","",IF(Checks!$Z$604="","",CHAR(10))&amp;"CA: "&amp;Checks!$AA$604)</f>
        <v/>
      </c>
      <c r="G56" s="114" t="str">
        <f aca="false">IF(ISNUMBER(Checks!$AD$604),TEXT(Checks!$AD$604,"DD-MMM-YY HH:MM")&amp;" "&amp;Checks!$P$604,"")&amp;IF(Checks!$AE$604="","",CHAR(10)&amp;"Verifier: "&amp;Checks!$AE$604)&amp;IF(Checks!$T$604="","",CHAR(10)&amp;"PIC: "&amp;Checks!$T$604)</f>
        <v/>
      </c>
      <c r="H56" s="115" t="str">
        <f aca="false">IF(Checks!$AH$604="","",Checks!$AH$604)</f>
        <v>OPEN</v>
      </c>
    </row>
    <row r="57" customFormat="false" ht="114" hidden="false" customHeight="true" outlineLevel="0" collapsed="false">
      <c r="A57" s="114" t="str">
        <f aca="false">Checks!$A$605&amp;CHAR(10)&amp;IF(Checks!$I$605="","",Checks!$I$605&amp;": ")&amp;Checks!$J$605</f>
        <v>F18-UPL-02
Equipment: Equipment physically loaded at GLD positions - quantity &amp; positions</v>
      </c>
      <c r="B57" s="114" t="str">
        <f aca="false">Checks!$K$605&amp;IF(Checks!$O$605="","",IF(Checks!$K$605="","",CHAR(10))&amp;"Note: "&amp;Checks!$O$605)</f>
        <v>Enter expected &amp; actual
Note: Confirm on board before departure; completion time must fall inside the uplift window.</v>
      </c>
      <c r="C57" s="114" t="str">
        <f aca="false">Checks!$N$605&amp;CHAR(10)&amp;IF(ISNUMBER(Checks!$R$605),TEXT(Checks!$R$605,"DD-MMM-YY HH:MM"),"")&amp;" "&amp;Checks!$P$605</f>
        <v>Required
27-Oct-26 22:25 KUL</v>
      </c>
      <c r="D57" s="114" t="str">
        <f aca="false">IF(Checks!$U$605="","",Checks!$U$605)&amp;IF(Checks!$AB$605="","",CHAR(10)&amp;"CA: "&amp;Checks!$AB$605)</f>
        <v/>
      </c>
      <c r="E57" s="114" t="str">
        <f aca="false">IF(Checks!$V$605="","",Checks!$V$605)&amp;IF(Checks!$AC$605="","",IF(Checks!$V$605="","",CHAR(10))&amp;"N/A just.: "&amp;Checks!$AC$605)&amp;IF(Checks!$W$605="","",CHAR(10)&amp;"Batch: "&amp;Checks!$W$605)&amp;IF(AND(Checks!$X$605="",Checks!$Y$605=""),"",CHAR(10)&amp;"Exp: "&amp;Checks!$X$605&amp;"  /  Act: "&amp;Checks!$Y$605)</f>
        <v/>
      </c>
      <c r="F57" s="114" t="str">
        <f aca="false">IF(Checks!$Z$605="","","Evidence: "&amp;Checks!$Z$605)&amp;IF(Checks!$AA$605="","",IF(Checks!$Z$605="","",CHAR(10))&amp;"CA: "&amp;Checks!$AA$605)</f>
        <v/>
      </c>
      <c r="G57" s="114" t="str">
        <f aca="false">IF(ISNUMBER(Checks!$AD$605),TEXT(Checks!$AD$605,"DD-MMM-YY HH:MM")&amp;" "&amp;Checks!$P$605,"")&amp;IF(Checks!$AE$605="","",CHAR(10)&amp;"Verifier: "&amp;Checks!$AE$605)&amp;IF(Checks!$T$605="","",CHAR(10)&amp;"PIC: "&amp;Checks!$T$605)</f>
        <v/>
      </c>
      <c r="H57" s="115" t="str">
        <f aca="false">IF(Checks!$AH$605="","",Checks!$AH$605)</f>
        <v>OPEN</v>
      </c>
    </row>
    <row r="58" customFormat="false" ht="114" hidden="false" customHeight="true" outlineLevel="0" collapsed="false">
      <c r="A58" s="114" t="str">
        <f aca="false">Checks!$A$606&amp;CHAR(10)&amp;IF(Checks!$I$606="","",Checks!$I$606&amp;": ")&amp;Checks!$J$606</f>
        <v>F18-UPL-03
Amenities: Slippers (BS/BC) - on board</v>
      </c>
      <c r="B58" s="114" t="str">
        <f aca="false">Checks!$K$606&amp;IF(Checks!$O$606="","",IF(Checks!$K$606="","",CHAR(10))&amp;"Note: "&amp;Checks!$O$606)</f>
        <v>Available (ticked in reference)</v>
      </c>
      <c r="C58" s="114" t="str">
        <f aca="false">Checks!$N$606&amp;CHAR(10)&amp;IF(ISNUMBER(Checks!$R$606),TEXT(Checks!$R$606,"DD-MMM-YY HH:MM"),"")&amp;" "&amp;Checks!$P$606</f>
        <v>Required
27-Oct-26 22:25 KUL</v>
      </c>
      <c r="D58" s="114" t="str">
        <f aca="false">IF(Checks!$U$606="","",Checks!$U$606)&amp;IF(Checks!$AB$606="","",CHAR(10)&amp;"CA: "&amp;Checks!$AB$606)</f>
        <v/>
      </c>
      <c r="E58" s="114" t="str">
        <f aca="false">IF(Checks!$V$606="","",Checks!$V$606)&amp;IF(Checks!$AC$606="","",IF(Checks!$V$606="","",CHAR(10))&amp;"N/A just.: "&amp;Checks!$AC$606)&amp;IF(Checks!$W$606="","",CHAR(10)&amp;"Batch: "&amp;Checks!$W$606)&amp;IF(AND(Checks!$X$606="",Checks!$Y$606=""),"",CHAR(10)&amp;"Exp: "&amp;Checks!$X$606&amp;"  /  Act: "&amp;Checks!$Y$606)</f>
        <v/>
      </c>
      <c r="F58" s="114" t="str">
        <f aca="false">IF(Checks!$Z$606="","","Evidence: "&amp;Checks!$Z$606)&amp;IF(Checks!$AA$606="","",IF(Checks!$Z$606="","",CHAR(10))&amp;"CA: "&amp;Checks!$AA$606)</f>
        <v/>
      </c>
      <c r="G58" s="114" t="str">
        <f aca="false">IF(ISNUMBER(Checks!$AD$606),TEXT(Checks!$AD$606,"DD-MMM-YY HH:MM")&amp;" "&amp;Checks!$P$606,"")&amp;IF(Checks!$AE$606="","",CHAR(10)&amp;"Verifier: "&amp;Checks!$AE$606)&amp;IF(Checks!$T$606="","",CHAR(10)&amp;"PIC: "&amp;Checks!$T$606)</f>
        <v/>
      </c>
      <c r="H58" s="115" t="str">
        <f aca="false">IF(Checks!$AH$606="","",Checks!$AH$606)</f>
        <v>OPEN</v>
      </c>
    </row>
    <row r="59" customFormat="false" ht="114" hidden="false" customHeight="true" outlineLevel="0" collapsed="false">
      <c r="A59" s="114" t="str">
        <f aca="false">Checks!$A$607&amp;CHAR(10)&amp;IF(Checks!$I$607="","",Checks!$I$607&amp;": ")&amp;Checks!$J$607</f>
        <v>F18-UPL-04
F&amp;B Linen: Towel - on board</v>
      </c>
      <c r="B59" s="114" t="str">
        <f aca="false">Checks!$K$607&amp;IF(Checks!$O$607="","",IF(Checks!$K$607="","",CHAR(10))&amp;"Note: "&amp;Checks!$O$607)</f>
        <v>Available (ticked in reference)</v>
      </c>
      <c r="C59" s="114" t="str">
        <f aca="false">Checks!$N$607&amp;CHAR(10)&amp;IF(ISNUMBER(Checks!$R$607),TEXT(Checks!$R$607,"DD-MMM-YY HH:MM"),"")&amp;" "&amp;Checks!$P$607</f>
        <v>Required
27-Oct-26 22:25 KUL</v>
      </c>
      <c r="D59" s="114" t="str">
        <f aca="false">IF(Checks!$U$607="","",Checks!$U$607)&amp;IF(Checks!$AB$607="","",CHAR(10)&amp;"CA: "&amp;Checks!$AB$607)</f>
        <v/>
      </c>
      <c r="E59" s="114" t="str">
        <f aca="false">IF(Checks!$V$607="","",Checks!$V$607)&amp;IF(Checks!$AC$607="","",IF(Checks!$V$607="","",CHAR(10))&amp;"N/A just.: "&amp;Checks!$AC$607)&amp;IF(Checks!$W$607="","",CHAR(10)&amp;"Batch: "&amp;Checks!$W$607)&amp;IF(AND(Checks!$X$607="",Checks!$Y$607=""),"",CHAR(10)&amp;"Exp: "&amp;Checks!$X$607&amp;"  /  Act: "&amp;Checks!$Y$607)</f>
        <v/>
      </c>
      <c r="F59" s="114" t="str">
        <f aca="false">IF(Checks!$Z$607="","","Evidence: "&amp;Checks!$Z$607)&amp;IF(Checks!$AA$607="","",IF(Checks!$Z$607="","",CHAR(10))&amp;"CA: "&amp;Checks!$AA$607)</f>
        <v/>
      </c>
      <c r="G59" s="114" t="str">
        <f aca="false">IF(ISNUMBER(Checks!$AD$607),TEXT(Checks!$AD$607,"DD-MMM-YY HH:MM")&amp;" "&amp;Checks!$P$607,"")&amp;IF(Checks!$AE$607="","",CHAR(10)&amp;"Verifier: "&amp;Checks!$AE$607)&amp;IF(Checks!$T$607="","",CHAR(10)&amp;"PIC: "&amp;Checks!$T$607)</f>
        <v/>
      </c>
      <c r="H59" s="115" t="str">
        <f aca="false">IF(Checks!$AH$607="","",Checks!$AH$607)</f>
        <v>OPEN</v>
      </c>
    </row>
    <row r="60" customFormat="false" ht="114" hidden="false" customHeight="true" outlineLevel="0" collapsed="false">
      <c r="A60" s="114" t="str">
        <f aca="false">Checks!$A$608&amp;CHAR(10)&amp;IF(Checks!$I$608="","",Checks!$I$608&amp;": ")&amp;Checks!$J$608</f>
        <v>F18-UPL-05
F&amp;B Linen: Tray cloth - on board</v>
      </c>
      <c r="B60" s="114" t="str">
        <f aca="false">Checks!$K$608&amp;IF(Checks!$O$608="","",IF(Checks!$K$608="","",CHAR(10))&amp;"Note: "&amp;Checks!$O$608)</f>
        <v>Available (ticked in reference)</v>
      </c>
      <c r="C60" s="114" t="str">
        <f aca="false">Checks!$N$608&amp;CHAR(10)&amp;IF(ISNUMBER(Checks!$R$608),TEXT(Checks!$R$608,"DD-MMM-YY HH:MM"),"")&amp;" "&amp;Checks!$P$608</f>
        <v>Required
27-Oct-26 22:25 KUL</v>
      </c>
      <c r="D60" s="114" t="str">
        <f aca="false">IF(Checks!$U$608="","",Checks!$U$608)&amp;IF(Checks!$AB$608="","",CHAR(10)&amp;"CA: "&amp;Checks!$AB$608)</f>
        <v/>
      </c>
      <c r="E60" s="114" t="str">
        <f aca="false">IF(Checks!$V$608="","",Checks!$V$608)&amp;IF(Checks!$AC$608="","",IF(Checks!$V$608="","",CHAR(10))&amp;"N/A just.: "&amp;Checks!$AC$608)&amp;IF(Checks!$W$608="","",CHAR(10)&amp;"Batch: "&amp;Checks!$W$608)&amp;IF(AND(Checks!$X$608="",Checks!$Y$608=""),"",CHAR(10)&amp;"Exp: "&amp;Checks!$X$608&amp;"  /  Act: "&amp;Checks!$Y$608)</f>
        <v/>
      </c>
      <c r="F60" s="114" t="str">
        <f aca="false">IF(Checks!$Z$608="","","Evidence: "&amp;Checks!$Z$608)&amp;IF(Checks!$AA$608="","",IF(Checks!$Z$608="","",CHAR(10))&amp;"CA: "&amp;Checks!$AA$608)</f>
        <v/>
      </c>
      <c r="G60" s="114" t="str">
        <f aca="false">IF(ISNUMBER(Checks!$AD$608),TEXT(Checks!$AD$608,"DD-MMM-YY HH:MM")&amp;" "&amp;Checks!$P$608,"")&amp;IF(Checks!$AE$608="","",CHAR(10)&amp;"Verifier: "&amp;Checks!$AE$608)&amp;IF(Checks!$T$608="","",CHAR(10)&amp;"PIC: "&amp;Checks!$T$608)</f>
        <v/>
      </c>
      <c r="H60" s="115" t="str">
        <f aca="false">IF(Checks!$AH$608="","",Checks!$AH$608)</f>
        <v>OPEN</v>
      </c>
    </row>
    <row r="61" customFormat="false" ht="114" hidden="false" customHeight="true" outlineLevel="0" collapsed="false">
      <c r="A61" s="114" t="str">
        <f aca="false">Checks!$A$609&amp;CHAR(10)&amp;IF(Checks!$I$609="","",Checks!$I$609&amp;": ")&amp;Checks!$J$609</f>
        <v>F18-UPL-06
F&amp;B Linen: Napkin - on board</v>
      </c>
      <c r="B61" s="114" t="str">
        <f aca="false">Checks!$K$609&amp;IF(Checks!$O$609="","",IF(Checks!$K$609="","",CHAR(10))&amp;"Note: "&amp;Checks!$O$609)</f>
        <v>Available (ticked in reference)</v>
      </c>
      <c r="C61" s="114" t="str">
        <f aca="false">Checks!$N$609&amp;CHAR(10)&amp;IF(ISNUMBER(Checks!$R$609),TEXT(Checks!$R$609,"DD-MMM-YY HH:MM"),"")&amp;" "&amp;Checks!$P$609</f>
        <v>Required
27-Oct-26 22:25 KUL</v>
      </c>
      <c r="D61" s="114" t="str">
        <f aca="false">IF(Checks!$U$609="","",Checks!$U$609)&amp;IF(Checks!$AB$609="","",CHAR(10)&amp;"CA: "&amp;Checks!$AB$609)</f>
        <v/>
      </c>
      <c r="E61" s="114" t="str">
        <f aca="false">IF(Checks!$V$609="","",Checks!$V$609)&amp;IF(Checks!$AC$609="","",IF(Checks!$V$609="","",CHAR(10))&amp;"N/A just.: "&amp;Checks!$AC$609)&amp;IF(Checks!$W$609="","",CHAR(10)&amp;"Batch: "&amp;Checks!$W$609)&amp;IF(AND(Checks!$X$609="",Checks!$Y$609=""),"",CHAR(10)&amp;"Exp: "&amp;Checks!$X$609&amp;"  /  Act: "&amp;Checks!$Y$609)</f>
        <v/>
      </c>
      <c r="F61" s="114" t="str">
        <f aca="false">IF(Checks!$Z$609="","","Evidence: "&amp;Checks!$Z$609)&amp;IF(Checks!$AA$609="","",IF(Checks!$Z$609="","",CHAR(10))&amp;"CA: "&amp;Checks!$AA$609)</f>
        <v/>
      </c>
      <c r="G61" s="114" t="str">
        <f aca="false">IF(ISNUMBER(Checks!$AD$609),TEXT(Checks!$AD$609,"DD-MMM-YY HH:MM")&amp;" "&amp;Checks!$P$609,"")&amp;IF(Checks!$AE$609="","",CHAR(10)&amp;"Verifier: "&amp;Checks!$AE$609)&amp;IF(Checks!$T$609="","",CHAR(10)&amp;"PIC: "&amp;Checks!$T$609)</f>
        <v/>
      </c>
      <c r="H61" s="115" t="str">
        <f aca="false">IF(Checks!$AH$609="","",Checks!$AH$609)</f>
        <v>OPEN</v>
      </c>
    </row>
    <row r="62" customFormat="false" ht="114" hidden="false" customHeight="true" outlineLevel="0" collapsed="false">
      <c r="A62" s="114" t="str">
        <f aca="false">Checks!$A$610&amp;CHAR(10)&amp;IF(Checks!$I$610="","",Checks!$I$610&amp;": ")&amp;Checks!$J$610</f>
        <v>F18-UPL-07
F&amp;B Linen: Table cloth - on board</v>
      </c>
      <c r="B62" s="114" t="str">
        <f aca="false">Checks!$K$610&amp;IF(Checks!$O$610="","",IF(Checks!$K$610="","",CHAR(10))&amp;"Note: "&amp;Checks!$O$610)</f>
        <v>Available (ticked in reference)</v>
      </c>
      <c r="C62" s="114" t="str">
        <f aca="false">Checks!$N$610&amp;CHAR(10)&amp;IF(ISNUMBER(Checks!$R$610),TEXT(Checks!$R$610,"DD-MMM-YY HH:MM"),"")&amp;" "&amp;Checks!$P$610</f>
        <v>Required
27-Oct-26 22:25 KUL</v>
      </c>
      <c r="D62" s="114" t="str">
        <f aca="false">IF(Checks!$U$610="","",Checks!$U$610)&amp;IF(Checks!$AB$610="","",CHAR(10)&amp;"CA: "&amp;Checks!$AB$610)</f>
        <v/>
      </c>
      <c r="E62" s="114" t="str">
        <f aca="false">IF(Checks!$V$610="","",Checks!$V$610)&amp;IF(Checks!$AC$610="","",IF(Checks!$V$610="","",CHAR(10))&amp;"N/A just.: "&amp;Checks!$AC$610)&amp;IF(Checks!$W$610="","",CHAR(10)&amp;"Batch: "&amp;Checks!$W$610)&amp;IF(AND(Checks!$X$610="",Checks!$Y$610=""),"",CHAR(10)&amp;"Exp: "&amp;Checks!$X$610&amp;"  /  Act: "&amp;Checks!$Y$610)</f>
        <v/>
      </c>
      <c r="F62" s="114" t="str">
        <f aca="false">IF(Checks!$Z$610="","","Evidence: "&amp;Checks!$Z$610)&amp;IF(Checks!$AA$610="","",IF(Checks!$Z$610="","",CHAR(10))&amp;"CA: "&amp;Checks!$AA$610)</f>
        <v/>
      </c>
      <c r="G62" s="114" t="str">
        <f aca="false">IF(ISNUMBER(Checks!$AD$610),TEXT(Checks!$AD$610,"DD-MMM-YY HH:MM")&amp;" "&amp;Checks!$P$610,"")&amp;IF(Checks!$AE$610="","",CHAR(10)&amp;"Verifier: "&amp;Checks!$AE$610)&amp;IF(Checks!$T$610="","",CHAR(10)&amp;"PIC: "&amp;Checks!$T$610)</f>
        <v/>
      </c>
      <c r="H62" s="115" t="str">
        <f aca="false">IF(Checks!$AH$610="","",Checks!$AH$610)</f>
        <v>OPEN</v>
      </c>
    </row>
    <row r="63" customFormat="false" ht="114" hidden="false" customHeight="true" outlineLevel="0" collapsed="false">
      <c r="A63" s="114" t="str">
        <f aca="false">Checks!$A$611&amp;CHAR(10)&amp;IF(Checks!$I$611="","",Checks!$I$611&amp;": ")&amp;Checks!$J$611</f>
        <v>F18-UPL-08
F&amp;B Linen: Bread linen (using table cloth) - on board</v>
      </c>
      <c r="B63" s="114" t="str">
        <f aca="false">Checks!$K$611&amp;IF(Checks!$O$611="","",IF(Checks!$K$611="","",CHAR(10))&amp;"Note: "&amp;Checks!$O$611)</f>
        <v>Available (ticked in reference)</v>
      </c>
      <c r="C63" s="114" t="str">
        <f aca="false">Checks!$N$611&amp;CHAR(10)&amp;IF(ISNUMBER(Checks!$R$611),TEXT(Checks!$R$611,"DD-MMM-YY HH:MM"),"")&amp;" "&amp;Checks!$P$611</f>
        <v>Required
27-Oct-26 22:25 KUL</v>
      </c>
      <c r="D63" s="114" t="str">
        <f aca="false">IF(Checks!$U$611="","",Checks!$U$611)&amp;IF(Checks!$AB$611="","",CHAR(10)&amp;"CA: "&amp;Checks!$AB$611)</f>
        <v/>
      </c>
      <c r="E63" s="114" t="str">
        <f aca="false">IF(Checks!$V$611="","",Checks!$V$611)&amp;IF(Checks!$AC$611="","",IF(Checks!$V$611="","",CHAR(10))&amp;"N/A just.: "&amp;Checks!$AC$611)&amp;IF(Checks!$W$611="","",CHAR(10)&amp;"Batch: "&amp;Checks!$W$611)&amp;IF(AND(Checks!$X$611="",Checks!$Y$611=""),"",CHAR(10)&amp;"Exp: "&amp;Checks!$X$611&amp;"  /  Act: "&amp;Checks!$Y$611)</f>
        <v/>
      </c>
      <c r="F63" s="114" t="str">
        <f aca="false">IF(Checks!$Z$611="","","Evidence: "&amp;Checks!$Z$611)&amp;IF(Checks!$AA$611="","",IF(Checks!$Z$611="","",CHAR(10))&amp;"CA: "&amp;Checks!$AA$611)</f>
        <v/>
      </c>
      <c r="G63" s="114" t="str">
        <f aca="false">IF(ISNUMBER(Checks!$AD$611),TEXT(Checks!$AD$611,"DD-MMM-YY HH:MM")&amp;" "&amp;Checks!$P$611,"")&amp;IF(Checks!$AE$611="","",CHAR(10)&amp;"Verifier: "&amp;Checks!$AE$611)&amp;IF(Checks!$T$611="","",CHAR(10)&amp;"PIC: "&amp;Checks!$T$611)</f>
        <v/>
      </c>
      <c r="H63" s="115" t="str">
        <f aca="false">IF(Checks!$AH$611="","",Checks!$AH$611)</f>
        <v>OPEN</v>
      </c>
    </row>
    <row r="64" customFormat="false" ht="114" hidden="false" customHeight="true" outlineLevel="0" collapsed="false">
      <c r="A64" s="114" t="str">
        <f aca="false">Checks!$A$612&amp;CHAR(10)&amp;IF(Checks!$I$612="","",Checks!$I$612&amp;": ")&amp;Checks!$J$612</f>
        <v>F18-UPL-09
F&amp;B Linen: Trolley cloth - on board</v>
      </c>
      <c r="B64" s="114" t="str">
        <f aca="false">SUBSTITUTE(Checks!$K$612&amp;IF(Checks!$O$612="","",IF(Checks!$K$612="","",CHAR(10))&amp;"Note: "&amp;Checks!$O$612),"F&amp;B LINEN!","Ref: F&amp;B LINEN!")</f>
        <v>Wide body: Top/Middle &amp; Bottom
Note: Per note Ref: F&amp;B LINEN!B79:C80.</v>
      </c>
      <c r="C64" s="114" t="str">
        <f aca="false">Checks!$N$612&amp;CHAR(10)&amp;IF(ISNUMBER(Checks!$R$612),TEXT(Checks!$R$612,"DD-MMM-YY HH:MM"),"")&amp;" "&amp;Checks!$P$612</f>
        <v>Required
27-Oct-26 22:25 KUL</v>
      </c>
      <c r="D64" s="114" t="str">
        <f aca="false">IF(Checks!$U$612="","",Checks!$U$612)&amp;IF(Checks!$AB$612="","",CHAR(10)&amp;"CA: "&amp;Checks!$AB$612)</f>
        <v/>
      </c>
      <c r="E64" s="114" t="str">
        <f aca="false">IF(Checks!$V$612="","",Checks!$V$612)&amp;IF(Checks!$AC$612="","",IF(Checks!$V$612="","",CHAR(10))&amp;"N/A just.: "&amp;Checks!$AC$612)&amp;IF(Checks!$W$612="","",CHAR(10)&amp;"Batch: "&amp;Checks!$W$612)&amp;IF(AND(Checks!$X$612="",Checks!$Y$612=""),"",CHAR(10)&amp;"Exp: "&amp;Checks!$X$612&amp;"  /  Act: "&amp;Checks!$Y$612)</f>
        <v/>
      </c>
      <c r="F64" s="114" t="str">
        <f aca="false">IF(Checks!$Z$612="","","Evidence: "&amp;Checks!$Z$612)&amp;IF(Checks!$AA$612="","",IF(Checks!$Z$612="","",CHAR(10))&amp;"CA: "&amp;Checks!$AA$612)</f>
        <v/>
      </c>
      <c r="G64" s="114" t="str">
        <f aca="false">IF(ISNUMBER(Checks!$AD$612),TEXT(Checks!$AD$612,"DD-MMM-YY HH:MM")&amp;" "&amp;Checks!$P$612,"")&amp;IF(Checks!$AE$612="","",CHAR(10)&amp;"Verifier: "&amp;Checks!$AE$612)&amp;IF(Checks!$T$612="","",CHAR(10)&amp;"PIC: "&amp;Checks!$T$612)</f>
        <v/>
      </c>
      <c r="H64" s="115" t="str">
        <f aca="false">IF(Checks!$AH$612="","",Checks!$AH$612)</f>
        <v>OPEN</v>
      </c>
    </row>
    <row r="65" customFormat="false" ht="114" hidden="false" customHeight="true" outlineLevel="0" collapsed="false">
      <c r="A65" s="114" t="str">
        <f aca="false">Checks!$A$613&amp;CHAR(10)&amp;IF(Checks!$I$613="","",Checks!$I$613&amp;": ")&amp;Checks!$J$613</f>
        <v>F18-UPL-10
F&amp;B Linen: Linen bag - on board</v>
      </c>
      <c r="B65" s="114" t="str">
        <f aca="false">Checks!$K$613&amp;IF(Checks!$O$613="","",IF(Checks!$K$613="","",CHAR(10))&amp;"Note: "&amp;Checks!$O$613)</f>
        <v>Available (ticked in reference)</v>
      </c>
      <c r="C65" s="114" t="str">
        <f aca="false">Checks!$N$613&amp;CHAR(10)&amp;IF(ISNUMBER(Checks!$R$613),TEXT(Checks!$R$613,"DD-MMM-YY HH:MM"),"")&amp;" "&amp;Checks!$P$613</f>
        <v>Required
27-Oct-26 22:25 KUL</v>
      </c>
      <c r="D65" s="114" t="str">
        <f aca="false">IF(Checks!$U$613="","",Checks!$U$613)&amp;IF(Checks!$AB$613="","",CHAR(10)&amp;"CA: "&amp;Checks!$AB$613)</f>
        <v/>
      </c>
      <c r="E65" s="114" t="str">
        <f aca="false">IF(Checks!$V$613="","",Checks!$V$613)&amp;IF(Checks!$AC$613="","",IF(Checks!$V$613="","",CHAR(10))&amp;"N/A just.: "&amp;Checks!$AC$613)&amp;IF(Checks!$W$613="","",CHAR(10)&amp;"Batch: "&amp;Checks!$W$613)&amp;IF(AND(Checks!$X$613="",Checks!$Y$613=""),"",CHAR(10)&amp;"Exp: "&amp;Checks!$X$613&amp;"  /  Act: "&amp;Checks!$Y$613)</f>
        <v/>
      </c>
      <c r="F65" s="114" t="str">
        <f aca="false">IF(Checks!$Z$613="","","Evidence: "&amp;Checks!$Z$613)&amp;IF(Checks!$AA$613="","",IF(Checks!$Z$613="","",CHAR(10))&amp;"CA: "&amp;Checks!$AA$613)</f>
        <v/>
      </c>
      <c r="G65" s="114" t="str">
        <f aca="false">IF(ISNUMBER(Checks!$AD$613),TEXT(Checks!$AD$613,"DD-MMM-YY HH:MM")&amp;" "&amp;Checks!$P$613,"")&amp;IF(Checks!$AE$613="","",CHAR(10)&amp;"Verifier: "&amp;Checks!$AE$613)&amp;IF(Checks!$T$613="","",CHAR(10)&amp;"PIC: "&amp;Checks!$T$613)</f>
        <v/>
      </c>
      <c r="H65" s="115" t="str">
        <f aca="false">IF(Checks!$AH$613="","",Checks!$AH$613)</f>
        <v>OPEN</v>
      </c>
    </row>
    <row r="66" customFormat="false" ht="114" hidden="false" customHeight="true" outlineLevel="0" collapsed="false">
      <c r="A66" s="114" t="str">
        <f aca="false">Checks!$A$614&amp;CHAR(10)&amp;IF(Checks!$I$614="","",Checks!$I$614&amp;": ")&amp;Checks!$J$614</f>
        <v>F18-UPL-11
Seat Linen: Seat pillow (BS &amp; BC) - on board</v>
      </c>
      <c r="B66" s="114" t="str">
        <f aca="false">Checks!$K$614&amp;IF(Checks!$O$614="","",IF(Checks!$K$614="","",CHAR(10))&amp;"Note: "&amp;Checks!$O$614)</f>
        <v>Available 100% (ticked in reference)</v>
      </c>
      <c r="C66" s="114" t="str">
        <f aca="false">Checks!$N$614&amp;CHAR(10)&amp;IF(ISNUMBER(Checks!$R$614),TEXT(Checks!$R$614,"DD-MMM-YY HH:MM"),"")&amp;" "&amp;Checks!$P$614</f>
        <v>Required
27-Oct-26 22:25 KUL</v>
      </c>
      <c r="D66" s="114" t="str">
        <f aca="false">IF(Checks!$U$614="","",Checks!$U$614)&amp;IF(Checks!$AB$614="","",CHAR(10)&amp;"CA: "&amp;Checks!$AB$614)</f>
        <v/>
      </c>
      <c r="E66" s="114" t="str">
        <f aca="false">IF(Checks!$V$614="","",Checks!$V$614)&amp;IF(Checks!$AC$614="","",IF(Checks!$V$614="","",CHAR(10))&amp;"N/A just.: "&amp;Checks!$AC$614)&amp;IF(Checks!$W$614="","",CHAR(10)&amp;"Batch: "&amp;Checks!$W$614)&amp;IF(AND(Checks!$X$614="",Checks!$Y$614=""),"",CHAR(10)&amp;"Exp: "&amp;Checks!$X$614&amp;"  /  Act: "&amp;Checks!$Y$614)</f>
        <v/>
      </c>
      <c r="F66" s="114" t="str">
        <f aca="false">IF(Checks!$Z$614="","","Evidence: "&amp;Checks!$Z$614)&amp;IF(Checks!$AA$614="","",IF(Checks!$Z$614="","",CHAR(10))&amp;"CA: "&amp;Checks!$AA$614)</f>
        <v/>
      </c>
      <c r="G66" s="114" t="str">
        <f aca="false">IF(ISNUMBER(Checks!$AD$614),TEXT(Checks!$AD$614,"DD-MMM-YY HH:MM")&amp;" "&amp;Checks!$P$614,"")&amp;IF(Checks!$AE$614="","",CHAR(10)&amp;"Verifier: "&amp;Checks!$AE$614)&amp;IF(Checks!$T$614="","",CHAR(10)&amp;"PIC: "&amp;Checks!$T$614)</f>
        <v/>
      </c>
      <c r="H66" s="115" t="str">
        <f aca="false">IF(Checks!$AH$614="","",Checks!$AH$614)</f>
        <v>OPEN</v>
      </c>
    </row>
    <row r="67" customFormat="false" ht="114" hidden="false" customHeight="true" outlineLevel="0" collapsed="false">
      <c r="A67" s="114" t="str">
        <f aca="false">Checks!$A$615&amp;CHAR(10)&amp;IF(Checks!$I$615="","",Checks!$I$615&amp;": ")&amp;Checks!$J$615</f>
        <v>F18-UPL-12
Seat Linen: Duvet (BS &amp; BC) - on board</v>
      </c>
      <c r="B67" s="114" t="str">
        <f aca="false">Checks!$K$615&amp;IF(Checks!$O$615="","",IF(Checks!$K$615="","",CHAR(10))&amp;"Note: "&amp;Checks!$O$615)</f>
        <v>Available 100% (ticked in reference)</v>
      </c>
      <c r="C67" s="114" t="str">
        <f aca="false">Checks!$N$615&amp;CHAR(10)&amp;IF(ISNUMBER(Checks!$R$615),TEXT(Checks!$R$615,"DD-MMM-YY HH:MM"),"")&amp;" "&amp;Checks!$P$615</f>
        <v>Required
27-Oct-26 22:25 KUL</v>
      </c>
      <c r="D67" s="114" t="str">
        <f aca="false">IF(Checks!$U$615="","",Checks!$U$615)&amp;IF(Checks!$AB$615="","",CHAR(10)&amp;"CA: "&amp;Checks!$AB$615)</f>
        <v/>
      </c>
      <c r="E67" s="114" t="str">
        <f aca="false">IF(Checks!$V$615="","",Checks!$V$615)&amp;IF(Checks!$AC$615="","",IF(Checks!$V$615="","",CHAR(10))&amp;"N/A just.: "&amp;Checks!$AC$615)&amp;IF(Checks!$W$615="","",CHAR(10)&amp;"Batch: "&amp;Checks!$W$615)&amp;IF(AND(Checks!$X$615="",Checks!$Y$615=""),"",CHAR(10)&amp;"Exp: "&amp;Checks!$X$615&amp;"  /  Act: "&amp;Checks!$Y$615)</f>
        <v/>
      </c>
      <c r="F67" s="114" t="str">
        <f aca="false">IF(Checks!$Z$615="","","Evidence: "&amp;Checks!$Z$615)&amp;IF(Checks!$AA$615="","",IF(Checks!$Z$615="","",CHAR(10))&amp;"CA: "&amp;Checks!$AA$615)</f>
        <v/>
      </c>
      <c r="G67" s="114" t="str">
        <f aca="false">IF(ISNUMBER(Checks!$AD$615),TEXT(Checks!$AD$615,"DD-MMM-YY HH:MM")&amp;" "&amp;Checks!$P$615,"")&amp;IF(Checks!$AE$615="","",CHAR(10)&amp;"Verifier: "&amp;Checks!$AE$615)&amp;IF(Checks!$T$615="","",CHAR(10)&amp;"PIC: "&amp;Checks!$T$615)</f>
        <v/>
      </c>
      <c r="H67" s="115" t="str">
        <f aca="false">IF(Checks!$AH$615="","",Checks!$AH$615)</f>
        <v>OPEN</v>
      </c>
    </row>
    <row r="68" customFormat="false" ht="114" hidden="false" customHeight="true" outlineLevel="0" collapsed="false">
      <c r="A68" s="114" t="str">
        <f aca="false">Checks!$A$616&amp;CHAR(10)&amp;IF(Checks!$I$616="","",Checks!$I$616&amp;": ")&amp;Checks!$J$616</f>
        <v>F18-UPL-13
Seat Linen: Mattress (BS &amp; BC) - on board</v>
      </c>
      <c r="B68" s="114" t="str">
        <f aca="false">Checks!$K$616&amp;IF(Checks!$O$616="","",IF(Checks!$K$616="","",CHAR(10))&amp;"Note: "&amp;Checks!$O$616)</f>
        <v>Available 100% (ticked in reference)</v>
      </c>
      <c r="C68" s="114" t="str">
        <f aca="false">Checks!$N$616&amp;CHAR(10)&amp;IF(ISNUMBER(Checks!$R$616),TEXT(Checks!$R$616,"DD-MMM-YY HH:MM"),"")&amp;" "&amp;Checks!$P$616</f>
        <v>Required
27-Oct-26 22:25 KUL</v>
      </c>
      <c r="D68" s="114" t="str">
        <f aca="false">IF(Checks!$U$616="","",Checks!$U$616)&amp;IF(Checks!$AB$616="","",CHAR(10)&amp;"CA: "&amp;Checks!$AB$616)</f>
        <v/>
      </c>
      <c r="E68" s="114" t="str">
        <f aca="false">IF(Checks!$V$616="","",Checks!$V$616)&amp;IF(Checks!$AC$616="","",IF(Checks!$V$616="","",CHAR(10))&amp;"N/A just.: "&amp;Checks!$AC$616)&amp;IF(Checks!$W$616="","",CHAR(10)&amp;"Batch: "&amp;Checks!$W$616)&amp;IF(AND(Checks!$X$616="",Checks!$Y$616=""),"",CHAR(10)&amp;"Exp: "&amp;Checks!$X$616&amp;"  /  Act: "&amp;Checks!$Y$616)</f>
        <v/>
      </c>
      <c r="F68" s="114" t="str">
        <f aca="false">IF(Checks!$Z$616="","","Evidence: "&amp;Checks!$Z$616)&amp;IF(Checks!$AA$616="","",IF(Checks!$Z$616="","",CHAR(10))&amp;"CA: "&amp;Checks!$AA$616)</f>
        <v/>
      </c>
      <c r="G68" s="114" t="str">
        <f aca="false">IF(ISNUMBER(Checks!$AD$616),TEXT(Checks!$AD$616,"DD-MMM-YY HH:MM")&amp;" "&amp;Checks!$P$616,"")&amp;IF(Checks!$AE$616="","",CHAR(10)&amp;"Verifier: "&amp;Checks!$AE$616)&amp;IF(Checks!$T$616="","",CHAR(10)&amp;"PIC: "&amp;Checks!$T$616)</f>
        <v/>
      </c>
      <c r="H68" s="115" t="str">
        <f aca="false">IF(Checks!$AH$616="","",Checks!$AH$616)</f>
        <v>OPEN</v>
      </c>
    </row>
    <row r="69" customFormat="false" ht="114" hidden="false" customHeight="true" outlineLevel="0" collapsed="false">
      <c r="A69" s="114" t="str">
        <f aca="false">Checks!$A$617&amp;CHAR(10)&amp;IF(Checks!$I$617="","",Checks!$I$617&amp;": ")&amp;Checks!$J$617</f>
        <v>F18-UPL-14
Signature Drinks: Signature drink &amp; garnish (BC) - on board</v>
      </c>
      <c r="B69" s="114" t="str">
        <f aca="false">Checks!$K$617&amp;IF(Checks!$O$617="","",IF(Checks!$K$617="","",CHAR(10))&amp;"Note: "&amp;Checks!$O$617)</f>
        <v>Available (ticked in reference)
Note: Signature drinks &amp; garnish uplifted from KUL (note D79).</v>
      </c>
      <c r="C69" s="114" t="str">
        <f aca="false">Checks!$N$617&amp;CHAR(10)&amp;IF(ISNUMBER(Checks!$R$617),TEXT(Checks!$R$617,"DD-MMM-YY HH:MM"),"")&amp;" "&amp;Checks!$P$617</f>
        <v>Required
27-Oct-26 22:25 KUL</v>
      </c>
      <c r="D69" s="114" t="str">
        <f aca="false">IF(Checks!$U$617="","",Checks!$U$617)&amp;IF(Checks!$AB$617="","",CHAR(10)&amp;"CA: "&amp;Checks!$AB$617)</f>
        <v/>
      </c>
      <c r="E69" s="114" t="str">
        <f aca="false">IF(Checks!$V$617="","",Checks!$V$617)&amp;IF(Checks!$AC$617="","",IF(Checks!$V$617="","",CHAR(10))&amp;"N/A just.: "&amp;Checks!$AC$617)&amp;IF(Checks!$W$617="","",CHAR(10)&amp;"Batch: "&amp;Checks!$W$617)&amp;IF(AND(Checks!$X$617="",Checks!$Y$617=""),"",CHAR(10)&amp;"Exp: "&amp;Checks!$X$617&amp;"  /  Act: "&amp;Checks!$Y$617)</f>
        <v/>
      </c>
      <c r="F69" s="114" t="str">
        <f aca="false">IF(Checks!$Z$617="","","Evidence: "&amp;Checks!$Z$617)&amp;IF(Checks!$AA$617="","",IF(Checks!$Z$617="","",CHAR(10))&amp;"CA: "&amp;Checks!$AA$617)</f>
        <v/>
      </c>
      <c r="G69" s="114" t="str">
        <f aca="false">IF(ISNUMBER(Checks!$AD$617),TEXT(Checks!$AD$617,"DD-MMM-YY HH:MM")&amp;" "&amp;Checks!$P$617,"")&amp;IF(Checks!$AE$617="","",CHAR(10)&amp;"Verifier: "&amp;Checks!$AE$617)&amp;IF(Checks!$T$617="","",CHAR(10)&amp;"PIC: "&amp;Checks!$T$617)</f>
        <v/>
      </c>
      <c r="H69" s="115" t="str">
        <f aca="false">IF(Checks!$AH$617="","",Checks!$AH$617)</f>
        <v>OPEN</v>
      </c>
    </row>
    <row r="70" customFormat="false" ht="114" hidden="false" customHeight="true" outlineLevel="0" collapsed="false">
      <c r="A70" s="114" t="str">
        <f aca="false">Checks!$A$618&amp;CHAR(10)&amp;IF(Checks!$I$618="","",Checks!$I$618&amp;": ")&amp;Checks!$J$618</f>
        <v>F18-UPL-15
Sales Cart: Sales cart (caterer PASB) - on board</v>
      </c>
      <c r="B70" s="114" t="str">
        <f aca="false">Checks!$K$618&amp;IF(Checks!$O$618="","",IF(Checks!$K$618="","",CHAR(10))&amp;"Note: "&amp;Checks!$O$618)</f>
        <v>Location 643 &amp; 947 (A333, full cart)
Note: Block 6.50 h &gt;= 4 h.</v>
      </c>
      <c r="C70" s="114" t="str">
        <f aca="false">Checks!$N$618&amp;CHAR(10)&amp;IF(ISNUMBER(Checks!$R$618),TEXT(Checks!$R$618,"DD-MMM-YY HH:MM"),"")&amp;" "&amp;Checks!$P$618</f>
        <v>Required
27-Oct-26 22:25 KUL</v>
      </c>
      <c r="D70" s="114" t="str">
        <f aca="false">IF(Checks!$U$618="","",Checks!$U$618)&amp;IF(Checks!$AB$618="","",CHAR(10)&amp;"CA: "&amp;Checks!$AB$618)</f>
        <v/>
      </c>
      <c r="E70" s="114" t="str">
        <f aca="false">IF(Checks!$V$618="","",Checks!$V$618)&amp;IF(Checks!$AC$618="","",IF(Checks!$V$618="","",CHAR(10))&amp;"N/A just.: "&amp;Checks!$AC$618)&amp;IF(Checks!$W$618="","",CHAR(10)&amp;"Batch: "&amp;Checks!$W$618)&amp;IF(AND(Checks!$X$618="",Checks!$Y$618=""),"",CHAR(10)&amp;"Exp: "&amp;Checks!$X$618&amp;"  /  Act: "&amp;Checks!$Y$618)</f>
        <v/>
      </c>
      <c r="F70" s="114" t="str">
        <f aca="false">IF(Checks!$Z$618="","","Evidence: "&amp;Checks!$Z$618)&amp;IF(Checks!$AA$618="","",IF(Checks!$Z$618="","",CHAR(10))&amp;"CA: "&amp;Checks!$AA$618)</f>
        <v/>
      </c>
      <c r="G70" s="114" t="str">
        <f aca="false">IF(ISNUMBER(Checks!$AD$618),TEXT(Checks!$AD$618,"DD-MMM-YY HH:MM")&amp;" "&amp;Checks!$P$618,"")&amp;IF(Checks!$AE$618="","",CHAR(10)&amp;"Verifier: "&amp;Checks!$AE$618)&amp;IF(Checks!$T$618="","",CHAR(10)&amp;"PIC: "&amp;Checks!$T$618)</f>
        <v/>
      </c>
      <c r="H70" s="115" t="str">
        <f aca="false">IF(Checks!$AH$618="","",Checks!$AH$618)</f>
        <v>OPEN</v>
      </c>
    </row>
    <row r="72" customFormat="false" ht="24" hidden="false" customHeight="true" outlineLevel="0" collapsed="false">
      <c r="A72" s="116" t="s">
        <v>1737</v>
      </c>
      <c r="B72" s="116"/>
      <c r="C72" s="116"/>
      <c r="D72" s="116"/>
      <c r="E72" s="116" t="s">
        <v>1738</v>
      </c>
      <c r="F72" s="116"/>
      <c r="G72" s="116"/>
      <c r="H72" s="116"/>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5:H55"/>
    <mergeCell ref="A72:D72"/>
    <mergeCell ref="E72:H72"/>
    <mergeCell ref="A73:D82"/>
    <mergeCell ref="E73:H8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0">
    <cfRule type="expression" priority="17" aboveAverage="0" equalAverage="0" bottom="0" percent="0" rank="0" text="" dxfId="34">
      <formula>LEFT($H23,3)="N/A"</formula>
    </cfRule>
  </conditionalFormatting>
  <conditionalFormatting sqref="D23:D7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F18 MH0052 27-Oct-26 KUL-KIX Class BC</oddHeader>
    <oddFooter>&amp;L&amp;"Arial,Bold"&amp;8 F18 MH0052 27-Oct-26 KUL-KIX Class BC&amp;C&amp;"Arial,Regular"&amp;8 Printed: ____________________&amp;R&amp;"Arial,Regular"&amp;8 F18  Page &amp;P of &amp;N</oddFooter>
  </headerFooter>
  <rowBreaks count="12" manualBreakCount="12">
    <brk id="20" man="true" max="16383" min="0"/>
    <brk id="26" man="true" max="16383" min="0"/>
    <brk id="30" man="true" max="16383" min="0"/>
    <brk id="35" man="true" max="16383" min="0"/>
    <brk id="39" man="true" max="16383" min="0"/>
    <brk id="42" man="true" max="16383" min="0"/>
    <brk id="46" man="true" max="16383" min="0"/>
    <brk id="50" man="true" max="16383" min="0"/>
    <brk id="54" man="true" max="16383" min="0"/>
    <brk id="59" man="true" max="16383" min="0"/>
    <brk id="63" man="true" max="16383" min="0"/>
    <brk id="67" man="true" max="16383" min="0"/>
  </rowBreaks>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F19  "&amp;Flights!$F$23&amp;"  "&amp;TEXT(Flights!$D$23,"DD-MMM-YY")&amp;" ("&amp;Flights!$E$23&amp;")  "&amp;Flights!$G$23&amp;" → "&amp;Flights!$H$23&amp;"  |  Class "&amp;Flights!$K$23</f>
        <v>SKYTRAX 2026 CATERING READINESS CHECKLIST  |  F19  MH0053  29-Oct-26 (THU)  KIX → KUL  |  Class EY</v>
      </c>
      <c r="B1" s="92"/>
      <c r="C1" s="92"/>
      <c r="D1" s="92"/>
      <c r="E1" s="92"/>
      <c r="F1" s="92"/>
      <c r="G1" s="92"/>
      <c r="H1" s="92"/>
    </row>
    <row r="2" customFormat="false" ht="12.75" hidden="false" customHeight="true" outlineLevel="0" collapsed="false">
      <c r="A2" s="93" t="s">
        <v>1692</v>
      </c>
      <c r="B2" s="94" t="str">
        <f aca="false">Flights!$F$23&amp;"   "&amp;TEXT(Flights!$D$23,"DD-MMM-YY")&amp;" ("&amp;Flights!$E$23&amp;")"</f>
        <v>MH0053   29-Oct-26 (THU)</v>
      </c>
      <c r="C2" s="94"/>
      <c r="D2" s="94"/>
      <c r="E2" s="95" t="s">
        <v>1693</v>
      </c>
      <c r="F2" s="96" t="str">
        <f aca="false">Flights!$AT$23</f>
        <v>NOT READY – DOCUMENTS</v>
      </c>
      <c r="G2" s="96"/>
      <c r="H2" s="96"/>
    </row>
    <row r="3" customFormat="false" ht="24" hidden="false" customHeight="true" outlineLevel="0" collapsed="false">
      <c r="A3" s="93" t="s">
        <v>1694</v>
      </c>
      <c r="B3" s="94" t="str">
        <f aca="false">Flights!$G$23&amp;" → "&amp;Flights!$H$23&amp;"   Class "&amp;Flights!$K$23&amp;"   Seat "&amp;Flights!$O$23</f>
        <v>KIX → KUL   Class EY   Seat 9C</v>
      </c>
      <c r="C3" s="94"/>
      <c r="D3" s="94"/>
      <c r="E3" s="95" t="s">
        <v>71</v>
      </c>
      <c r="F3" s="95" t="s">
        <v>1695</v>
      </c>
      <c r="G3" s="95" t="s">
        <v>1696</v>
      </c>
      <c r="H3" s="95"/>
    </row>
    <row r="4" customFormat="false" ht="24" hidden="false" customHeight="true" outlineLevel="0" collapsed="false">
      <c r="A4" s="93" t="s">
        <v>1697</v>
      </c>
      <c r="B4" s="94" t="str">
        <f aca="false">IF(ISNUMBER(Flights!$I$23),TEXT(Flights!$I$23,"DD-MMM-YY HH:MM"),"")&amp;" "&amp;Flights!$G$23&amp;"  →  "&amp;IF(ISNUMBER(Flights!$J$23),TEXT(Flights!$J$23,"DD-MMM-YY HH:MM"),"")&amp;" "&amp;Flights!$H$23</f>
        <v>29-Oct-26 09:40 KIX  →  29-Oct-26 16:45 KUL</v>
      </c>
      <c r="C4" s="94"/>
      <c r="D4" s="94"/>
      <c r="E4" s="93" t="s">
        <v>1698</v>
      </c>
      <c r="F4" s="97" t="str">
        <f aca="false">IF(ISNUMBER(Flights!$AG$23),TEXT(Flights!$AG$23,"DD-MMM-YY HH:MM"),"")&amp;" "&amp;Flights!$V$23</f>
        <v>22-Oct-26 09:40 KIX</v>
      </c>
      <c r="G4" s="98" t="n">
        <f aca="false">Flights!$AJ$23</f>
        <v>0</v>
      </c>
      <c r="H4" s="98"/>
    </row>
    <row r="5" customFormat="false" ht="24" hidden="false" customHeight="true" outlineLevel="0" collapsed="false">
      <c r="A5" s="93" t="s">
        <v>1699</v>
      </c>
      <c r="B5" s="94" t="str">
        <f aca="false">Flights!$L$23&amp;" – "&amp;Flights!$M$23</f>
        <v>A333 – A330-300 (A333)</v>
      </c>
      <c r="C5" s="94"/>
      <c r="D5" s="94"/>
      <c r="E5" s="93" t="s">
        <v>1700</v>
      </c>
      <c r="F5" s="97" t="str">
        <f aca="false">IF(ISNUMBER(Flights!$AH$23),TEXT(Flights!$AH$23,"DD-MMM-YY HH:MM"),"")&amp;" "&amp;Flights!$V$23</f>
        <v>28-Oct-26 09:40 KIX</v>
      </c>
      <c r="G5" s="98" t="n">
        <f aca="false">Flights!$AK$23</f>
        <v>0</v>
      </c>
      <c r="H5" s="98"/>
    </row>
    <row r="6" customFormat="false" ht="24" hidden="false" customHeight="true" outlineLevel="0" collapsed="false">
      <c r="A6" s="93" t="s">
        <v>1701</v>
      </c>
      <c r="B6" s="94" t="str">
        <f aca="false">IF(TRIM(Flights!$N$23)="","__________________",Flights!$N$23)</f>
        <v>__________________</v>
      </c>
      <c r="C6" s="94"/>
      <c r="D6" s="94"/>
      <c r="E6" s="93" t="s">
        <v>1702</v>
      </c>
      <c r="F6" s="97" t="str">
        <f aca="false">IF(ISNUMBER(Flights!$AI$23),TEXT(Flights!$AI$23,"DD-MMM-YY HH:MM"),"")&amp;" "&amp;Flights!$V$23&amp;IF(Flights!$AI$23=Flights!$AH$23,"  (= T-24H due)","")</f>
        <v>28-Oct-26 21:40 KIX</v>
      </c>
      <c r="G6" s="98" t="n">
        <f aca="false">Flights!$AL$23</f>
        <v>0</v>
      </c>
      <c r="H6" s="98"/>
    </row>
    <row r="7" customFormat="false" ht="24" hidden="false" customHeight="true" outlineLevel="0" collapsed="false">
      <c r="A7" s="93" t="s">
        <v>1703</v>
      </c>
      <c r="B7" s="94" t="str">
        <f aca="false">Flights!$T$23</f>
        <v>1.5 Meal (Meal)</v>
      </c>
      <c r="C7" s="94"/>
      <c r="D7" s="94"/>
      <c r="E7" s="93" t="s">
        <v>1704</v>
      </c>
      <c r="F7" s="97" t="str">
        <f aca="false">"STD "&amp;IF(ISNUMBER(Flights!$I$23),TEXT(Flights!$I$23,"DD-MMM-YY HH:MM"),"")&amp;" "&amp;Flights!$G$23&amp;" (dep stn)"</f>
        <v>STD 29-Oct-26 09:40 KIX (dep stn)</v>
      </c>
      <c r="G7" s="98" t="n">
        <f aca="false">Flights!$AM$23</f>
        <v>0</v>
      </c>
      <c r="H7" s="98"/>
    </row>
    <row r="8" customFormat="false" ht="12.75" hidden="false" customHeight="true" outlineLevel="0" collapsed="false">
      <c r="A8" s="93" t="s">
        <v>153</v>
      </c>
      <c r="B8" s="94" t="str">
        <f aca="false">Flights!$V$23&amp;"   (reference uplift stns: "&amp;Flights!$U$23&amp;")"</f>
        <v>KIX   (reference uplift stns: KUL/KIX)</v>
      </c>
      <c r="C8" s="94"/>
      <c r="D8" s="94"/>
      <c r="E8" s="93" t="s">
        <v>1705</v>
      </c>
      <c r="F8" s="99" t="s">
        <v>1706</v>
      </c>
      <c r="G8" s="98" t="n">
        <f aca="false">Flights!$AN$23</f>
        <v>0</v>
      </c>
      <c r="H8" s="98"/>
    </row>
    <row r="9" customFormat="false" ht="12.75" hidden="false" customHeight="true" outlineLevel="0" collapsed="false">
      <c r="A9" s="93" t="s">
        <v>1707</v>
      </c>
      <c r="B9" s="94" t="str">
        <f aca="false">TRIM(Flights!$P$23&amp;"  "&amp;Flights!$Q$23)</f>
        <v>-</v>
      </c>
      <c r="C9" s="94"/>
      <c r="D9" s="94"/>
      <c r="E9" s="93" t="s">
        <v>1708</v>
      </c>
      <c r="F9" s="100" t="n">
        <f aca="false">Flights!$AP$23</f>
        <v>0</v>
      </c>
      <c r="G9" s="100" t="n">
        <f aca="false">Flights!$AQ$23</f>
        <v>0</v>
      </c>
      <c r="H9" s="100" t="n">
        <f aca="false">Flights!$AU$23</f>
        <v>0</v>
      </c>
    </row>
    <row r="10" customFormat="false" ht="24" hidden="false" customHeight="true" outlineLevel="0" collapsed="false">
      <c r="A10" s="93" t="s">
        <v>1709</v>
      </c>
      <c r="B10" s="94" t="str">
        <f aca="false">IF(TRIM(Flights!$X$23)="","__________________",Flights!$X$23)</f>
        <v>__________________</v>
      </c>
      <c r="C10" s="94"/>
      <c r="D10" s="94"/>
      <c r="E10" s="93" t="s">
        <v>1710</v>
      </c>
      <c r="F10" s="100" t="n">
        <f aca="false">Flights!$AO$23</f>
        <v>24</v>
      </c>
      <c r="G10" s="100" t="n">
        <f aca="false">Flights!$AS$23</f>
        <v>1</v>
      </c>
      <c r="H10" s="100" t="n">
        <f aca="false">Flights!$AR$23</f>
        <v>2</v>
      </c>
    </row>
    <row r="11" customFormat="false" ht="21" hidden="false" customHeight="true" outlineLevel="0" collapsed="false">
      <c r="A11" s="93" t="s">
        <v>1711</v>
      </c>
      <c r="B11" s="94" t="str">
        <f aca="false">IF(TRIM(Flights!$Y$23)="","__________________",Flights!$Y$23)</f>
        <v>__________________</v>
      </c>
      <c r="C11" s="94"/>
      <c r="D11" s="94"/>
      <c r="E11" s="93" t="s">
        <v>1712</v>
      </c>
      <c r="F11" s="100" t="str">
        <f aca="false">Flights!$AV$23&amp;" / "&amp;Flights!$AW$23</f>
        <v>0 / 24</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IF(Documents!$F$23="","",Documents!$F$23)</f>
        <v/>
      </c>
      <c r="C14" s="99" t="str">
        <f aca="false">IF(Documents!$G$23="","",Documents!$G$23)&amp;IF(ISNUMBER(Documents!$H$23),"  "&amp;TEXT(Documents!$H$23,"DD-MMM-YY"),"")</f>
        <v/>
      </c>
      <c r="D14" s="99"/>
      <c r="E14" s="107" t="str">
        <f aca="false">IF(Documents!$J$23="OUTSTANDING","OUTSTANDING – attach before T-7D (due "&amp;IF(ISNUMBER(Flights!$AG$23),TEXT(Flights!$AG$23,"DD-MMM-YY HH:MM"),"")&amp;" "&amp;Flights!$V$23&amp;")",IF(Documents!$J$23="","Status not recorded",Documents!$J$23))</f>
        <v>OUTSTANDING – attach before T-7D (due 22-Oct-26 09:40 KIX)</v>
      </c>
      <c r="F14" s="108" t="str">
        <f aca="false">"Staple behind this sheet as page A1."&amp;IF(Documents!$I$23="",""," Location: "&amp;Documents!$I$23)</f>
        <v>Staple behind this sheet as page A1.</v>
      </c>
      <c r="G14" s="108"/>
      <c r="H14" s="108"/>
    </row>
    <row r="15" customFormat="false" ht="36" hidden="false" customHeight="true" outlineLevel="0" collapsed="false">
      <c r="A15" s="93" t="s">
        <v>1723</v>
      </c>
      <c r="B15" s="94" t="str">
        <f aca="false">IF(Documents!$K$23="","",Documents!$K$23)</f>
        <v/>
      </c>
      <c r="C15" s="99" t="str">
        <f aca="false">IF(Documents!$L$23="","",Documents!$L$23)&amp;IF(ISNUMBER(Documents!$M$23),"  "&amp;TEXT(Documents!$M$23,"DD-MMM-YY"),"")</f>
        <v/>
      </c>
      <c r="D15" s="99"/>
      <c r="E15" s="107" t="str">
        <f aca="false">IF(Documents!$O$23="OUTSTANDING","OUTSTANDING – attach before T-7D (due "&amp;IF(ISNUMBER(Flights!$AG$23),TEXT(Flights!$AG$23,"DD-MMM-YY HH:MM"),"")&amp;" "&amp;Flights!$V$23&amp;")",IF(Documents!$O$23="","Status not recorded",Documents!$O$23))</f>
        <v>OUTSTANDING – attach before T-7D (due 22-Oct-26 09:40 KIX)</v>
      </c>
      <c r="F15" s="108" t="str">
        <f aca="false">"Staple behind this sheet as page A2."&amp;IF(Documents!$N$23="",""," Location: "&amp;Documents!$N$23)</f>
        <v>Staple behind this sheet as page A2.</v>
      </c>
      <c r="G15" s="108"/>
      <c r="H15" s="108"/>
    </row>
    <row r="16" customFormat="false" ht="22.5" hidden="false" customHeight="true" outlineLevel="0" collapsed="false">
      <c r="A16" s="93" t="s">
        <v>1724</v>
      </c>
      <c r="B16" s="109" t="str">
        <f aca="false">IF(Documents!$Q$23="","",Documents!$Q$23)</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"&amp;IF(TRIM(Flights!$Y$23)="","__________________",Flights!$Y$23)</f>
        <v>Name: __________________</v>
      </c>
      <c r="B18" s="94"/>
      <c r="C18" s="94" t="str">
        <f aca="false">"Name: __________________"</f>
        <v>Name: __________________</v>
      </c>
      <c r="D18" s="94"/>
      <c r="E18" s="94"/>
      <c r="F18" s="94" t="str">
        <f aca="false">"Name: __________________"&amp;"   Station: "&amp;Flights!$V$23</f>
        <v>Name: __________________   Station: KIX</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"&amp;IF(ISNUMBER(Flights!$AG$23),TEXT(Flights!$AG$23,"DD-MMM-YY HH:MM"),"")&amp;" "&amp;Flights!$V$23&amp;" (meal uplift stn)"&amp;" (rows with another due show their own)  |  Complete "&amp;IF(ISNUMBER(Flights!$AJ$23),TEXT(Flights!$AJ$23,"0%"),Flights!$AJ$23)&amp;"  |  9 lines"</f>
        <v>T-7D — 7 days before departure  |  Due 22-Oct-26 09:40 KIX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Checks!$A$619&amp;CHAR(10)&amp;IF(Checks!$I$619="","",Checks!$I$619&amp;": ")&amp;Checks!$J$619</f>
        <v>F19-T7-01
Meal: Meal sensory testing completed for this flight's menu cycle (assessed class)</v>
      </c>
      <c r="B23" s="114" t="str">
        <f aca="false">Checks!$K$619&amp;IF(Checks!$O$619="","",IF(Checks!$K$619="","",CHAR(10))&amp;"Note: "&amp;Checks!$O$619)</f>
        <v>Record panel result / score in Result</v>
      </c>
      <c r="C23" s="114" t="str">
        <f aca="false">Checks!$N$619&amp;CHAR(10)&amp;IF(ISNUMBER(Checks!$R$619),TEXT(Checks!$R$619,"DD-MMM-YY HH:MM"),"")&amp;" "&amp;Checks!$P$619</f>
        <v>Required
22-Oct-26 09:40 KIX</v>
      </c>
      <c r="D23" s="114" t="str">
        <f aca="false">IF(Checks!$U$619="","",Checks!$U$619)&amp;IF(Checks!$AB$619="","",CHAR(10)&amp;"CA: "&amp;Checks!$AB$619)</f>
        <v/>
      </c>
      <c r="E23" s="114" t="str">
        <f aca="false">IF(Checks!$V$619="","",Checks!$V$619)&amp;IF(Checks!$AC$619="","",IF(Checks!$V$619="","",CHAR(10))&amp;"N/A just.: "&amp;Checks!$AC$619)&amp;IF(Checks!$W$619="","",CHAR(10)&amp;"Batch: "&amp;Checks!$W$619)&amp;IF(AND(Checks!$X$619="",Checks!$Y$619=""),"",CHAR(10)&amp;"Exp: "&amp;Checks!$X$619&amp;"  /  Act: "&amp;Checks!$Y$619)</f>
        <v/>
      </c>
      <c r="F23" s="114" t="str">
        <f aca="false">IF(Checks!$Z$619="","","Evidence: "&amp;Checks!$Z$619)&amp;IF(Checks!$AA$619="","",IF(Checks!$Z$619="","",CHAR(10))&amp;"CA: "&amp;Checks!$AA$619)</f>
        <v/>
      </c>
      <c r="G23" s="114" t="str">
        <f aca="false">IF(ISNUMBER(Checks!$AD$619),TEXT(Checks!$AD$619,"DD-MMM-YY HH:MM")&amp;" "&amp;Checks!$P$619,"")&amp;IF(Checks!$AE$619="","",CHAR(10)&amp;"Verifier: "&amp;Checks!$AE$619)&amp;IF(Checks!$T$619="","",CHAR(10)&amp;"PIC: "&amp;Checks!$T$619)</f>
        <v/>
      </c>
      <c r="H23" s="115" t="str">
        <f aca="false">IF(Checks!$AH$619="","",Checks!$AH$619)</f>
        <v>OPEN</v>
      </c>
    </row>
    <row r="24" customFormat="false" ht="114" hidden="false" customHeight="true" outlineLevel="0" collapsed="false">
      <c r="A24" s="114" t="str">
        <f aca="false">Checks!$A$620&amp;CHAR(10)&amp;IF(Checks!$I$620="","",Checks!$I$620&amp;": ")&amp;Checks!$J$620</f>
        <v>F19-T7-02
Menu: Printed menu cards confirmed (content, cycle, language, quantity)</v>
      </c>
      <c r="B24" s="114" t="str">
        <f aca="false">Checks!$K$620&amp;IF(Checks!$O$620="","",IF(Checks!$K$620="","",CHAR(10))&amp;"Note: "&amp;Checks!$O$620)</f>
        <v>Menu card matches approved menu for this flight</v>
      </c>
      <c r="C24" s="114" t="str">
        <f aca="false">Checks!$N$620&amp;CHAR(10)&amp;IF(ISNUMBER(Checks!$R$620),TEXT(Checks!$R$620,"DD-MMM-YY HH:MM"),"")&amp;" "&amp;Checks!$P$620</f>
        <v>Required
22-Oct-26 09:40 KIX</v>
      </c>
      <c r="D24" s="114" t="str">
        <f aca="false">IF(Checks!$U$620="","",Checks!$U$620)&amp;IF(Checks!$AB$620="","",CHAR(10)&amp;"CA: "&amp;Checks!$AB$620)</f>
        <v/>
      </c>
      <c r="E24" s="114" t="str">
        <f aca="false">IF(Checks!$V$620="","",Checks!$V$620)&amp;IF(Checks!$AC$620="","",IF(Checks!$V$620="","",CHAR(10))&amp;"N/A just.: "&amp;Checks!$AC$620)&amp;IF(Checks!$W$620="","",CHAR(10)&amp;"Batch: "&amp;Checks!$W$620)&amp;IF(AND(Checks!$X$620="",Checks!$Y$620=""),"",CHAR(10)&amp;"Exp: "&amp;Checks!$X$620&amp;"  /  Act: "&amp;Checks!$Y$620)</f>
        <v/>
      </c>
      <c r="F24" s="114" t="str">
        <f aca="false">IF(Checks!$Z$620="","","Evidence: "&amp;Checks!$Z$620)&amp;IF(Checks!$AA$620="","",IF(Checks!$Z$620="","",CHAR(10))&amp;"CA: "&amp;Checks!$AA$620)</f>
        <v/>
      </c>
      <c r="G24" s="114" t="str">
        <f aca="false">IF(ISNUMBER(Checks!$AD$620),TEXT(Checks!$AD$620,"DD-MMM-YY HH:MM")&amp;" "&amp;Checks!$P$620,"")&amp;IF(Checks!$AE$620="","",CHAR(10)&amp;"Verifier: "&amp;Checks!$AE$620)&amp;IF(Checks!$T$620="","",CHAR(10)&amp;"PIC: "&amp;Checks!$T$620)</f>
        <v/>
      </c>
      <c r="H24" s="115" t="str">
        <f aca="false">IF(Checks!$AH$620="","",Checks!$AH$620)</f>
        <v>OPEN</v>
      </c>
    </row>
    <row r="25" customFormat="false" ht="114" hidden="false" customHeight="true" outlineLevel="0" collapsed="false">
      <c r="A25" s="114" t="str">
        <f aca="false">Checks!$A$621&amp;CHAR(10)&amp;IF(Checks!$I$621="","",Checks!$I$621&amp;": ")&amp;Checks!$J$621</f>
        <v>F19-T7-03
IFE: Digital menu in IFE confirmed (A339 only)</v>
      </c>
      <c r="B25" s="114" t="str">
        <f aca="false">Checks!$K$621&amp;IF(Checks!$O$621="","",IF(Checks!$K$621="","",CHAR(10))&amp;"Note: "&amp;Checks!$O$621)</f>
        <v>Applies when fleet = A339
Note: Digital IFE menu applies to A339 only (user brief). Applicability follows the Fleet cell on Flights.</v>
      </c>
      <c r="C25" s="114" t="str">
        <f aca="false">Checks!$N$621&amp;CHAR(10)&amp;IF(ISNUMBER(Checks!$R$621),TEXT(Checks!$R$621,"DD-MMM-YY HH:MM"),"")&amp;" "&amp;Checks!$P$621</f>
        <v>N/A – rule
22-Oct-26 09:40 KIX</v>
      </c>
      <c r="D25" s="114" t="str">
        <f aca="false">IF(Checks!$U$621="","",Checks!$U$621)&amp;IF(Checks!$AB$621="","",CHAR(10)&amp;"CA: "&amp;Checks!$AB$621)</f>
        <v/>
      </c>
      <c r="E25" s="114" t="str">
        <f aca="false">IF(Checks!$V$621="","",Checks!$V$621)&amp;IF(Checks!$AC$621="","",IF(Checks!$V$621="","",CHAR(10))&amp;"N/A just.: "&amp;Checks!$AC$621)&amp;IF(Checks!$W$621="","",CHAR(10)&amp;"Batch: "&amp;Checks!$W$621)&amp;IF(AND(Checks!$X$621="",Checks!$Y$621=""),"",CHAR(10)&amp;"Exp: "&amp;Checks!$X$621&amp;"  /  Act: "&amp;Checks!$Y$621)</f>
        <v/>
      </c>
      <c r="F25" s="114" t="str">
        <f aca="false">IF(Checks!$Z$621="","","Evidence: "&amp;Checks!$Z$621)&amp;IF(Checks!$AA$621="","",IF(Checks!$Z$621="","",CHAR(10))&amp;"CA: "&amp;Checks!$AA$621)</f>
        <v/>
      </c>
      <c r="G25" s="114" t="str">
        <f aca="false">IF(ISNUMBER(Checks!$AD$621),TEXT(Checks!$AD$621,"DD-MMM-YY HH:MM")&amp;" "&amp;Checks!$P$621,"")&amp;IF(Checks!$AE$621="","",CHAR(10)&amp;"Verifier: "&amp;Checks!$AE$621)&amp;IF(Checks!$T$621="","",CHAR(10)&amp;"PIC: "&amp;Checks!$T$621)</f>
        <v/>
      </c>
      <c r="H25" s="115" t="str">
        <f aca="false">IF(Checks!$AH$621="","",Checks!$AH$621)</f>
        <v>N/A – RULE</v>
      </c>
    </row>
    <row r="26" customFormat="false" ht="114" hidden="false" customHeight="true" outlineLevel="0" collapsed="false">
      <c r="A26" s="114" t="str">
        <f aca="false">Checks!$A$622&amp;CHAR(10)&amp;IF(Checks!$I$622="","",Checks!$I$622&amp;": ")&amp;Checks!$J$622</f>
        <v>F19-T7-04
Staffing: Experienced catering officer assigned to this flight</v>
      </c>
      <c r="B26" s="114" t="str">
        <f aca="false">Checks!$K$622&amp;IF(Checks!$O$622="","",IF(Checks!$K$622="","",CHAR(10))&amp;"Note: "&amp;Checks!$O$622)</f>
        <v>Record officer name in Result</v>
      </c>
      <c r="C26" s="114" t="str">
        <f aca="false">Checks!$N$622&amp;CHAR(10)&amp;IF(ISNUMBER(Checks!$R$622),TEXT(Checks!$R$622,"DD-MMM-YY HH:MM"),"")&amp;" "&amp;Checks!$P$622</f>
        <v>Required
22-Oct-26 09:40 KIX</v>
      </c>
      <c r="D26" s="114" t="str">
        <f aca="false">IF(Checks!$U$622="","",Checks!$U$622)&amp;IF(Checks!$AB$622="","",CHAR(10)&amp;"CA: "&amp;Checks!$AB$622)</f>
        <v/>
      </c>
      <c r="E26" s="114" t="str">
        <f aca="false">IF(Checks!$V$622="","",Checks!$V$622)&amp;IF(Checks!$AC$622="","",IF(Checks!$V$622="","",CHAR(10))&amp;"N/A just.: "&amp;Checks!$AC$622)&amp;IF(Checks!$W$622="","",CHAR(10)&amp;"Batch: "&amp;Checks!$W$622)&amp;IF(AND(Checks!$X$622="",Checks!$Y$622=""),"",CHAR(10)&amp;"Exp: "&amp;Checks!$X$622&amp;"  /  Act: "&amp;Checks!$Y$622)</f>
        <v/>
      </c>
      <c r="F26" s="114" t="str">
        <f aca="false">IF(Checks!$Z$622="","","Evidence: "&amp;Checks!$Z$622)&amp;IF(Checks!$AA$622="","",IF(Checks!$Z$622="","",CHAR(10))&amp;"CA: "&amp;Checks!$AA$622)</f>
        <v/>
      </c>
      <c r="G26" s="114" t="str">
        <f aca="false">IF(ISNUMBER(Checks!$AD$622),TEXT(Checks!$AD$622,"DD-MMM-YY HH:MM")&amp;" "&amp;Checks!$P$622,"")&amp;IF(Checks!$AE$622="","",CHAR(10)&amp;"Verifier: "&amp;Checks!$AE$622)&amp;IF(Checks!$T$622="","",CHAR(10)&amp;"PIC: "&amp;Checks!$T$622)</f>
        <v/>
      </c>
      <c r="H26" s="115" t="str">
        <f aca="false">IF(Checks!$AH$622="","",Checks!$AH$622)</f>
        <v>OPEN</v>
      </c>
    </row>
    <row r="27" customFormat="false" ht="114" hidden="false" customHeight="true" outlineLevel="0" collapsed="false">
      <c r="A27" s="114" t="str">
        <f aca="false">Checks!$A$623&amp;CHAR(10)&amp;IF(Checks!$I$623="","",Checks!$I$623&amp;": ")&amp;Checks!$J$623</f>
        <v>F19-T7-05
ISOP: All latest applicable ISOP revisions communicated to caterer</v>
      </c>
      <c r="B27" s="114" t="str">
        <f aca="false">Checks!$K$623&amp;IF(Checks!$O$623="","",IF(Checks!$K$623="","",CHAR(10))&amp;"Note: "&amp;Checks!$O$623)</f>
        <v>List revision numbers in Result (see ISOP register)</v>
      </c>
      <c r="C27" s="114" t="str">
        <f aca="false">Checks!$N$623&amp;CHAR(10)&amp;IF(ISNUMBER(Checks!$R$623),TEXT(Checks!$R$623,"DD-MMM-YY HH:MM"),"")&amp;" "&amp;Checks!$P$623</f>
        <v>Required
22-Oct-26 09:40 KIX</v>
      </c>
      <c r="D27" s="114" t="str">
        <f aca="false">IF(Checks!$U$623="","",Checks!$U$623)&amp;IF(Checks!$AB$623="","",CHAR(10)&amp;"CA: "&amp;Checks!$AB$623)</f>
        <v/>
      </c>
      <c r="E27" s="114" t="str">
        <f aca="false">IF(Checks!$V$623="","",Checks!$V$623)&amp;IF(Checks!$AC$623="","",IF(Checks!$V$623="","",CHAR(10))&amp;"N/A just.: "&amp;Checks!$AC$623)&amp;IF(Checks!$W$623="","",CHAR(10)&amp;"Batch: "&amp;Checks!$W$623)&amp;IF(AND(Checks!$X$623="",Checks!$Y$623=""),"",CHAR(10)&amp;"Exp: "&amp;Checks!$X$623&amp;"  /  Act: "&amp;Checks!$Y$623)</f>
        <v/>
      </c>
      <c r="F27" s="114" t="str">
        <f aca="false">IF(Checks!$Z$623="","","Evidence: "&amp;Checks!$Z$623)&amp;IF(Checks!$AA$623="","",IF(Checks!$Z$623="","",CHAR(10))&amp;"CA: "&amp;Checks!$AA$623)</f>
        <v/>
      </c>
      <c r="G27" s="114" t="str">
        <f aca="false">IF(ISNUMBER(Checks!$AD$623),TEXT(Checks!$AD$623,"DD-MMM-YY HH:MM")&amp;" "&amp;Checks!$P$623,"")&amp;IF(Checks!$AE$623="","",CHAR(10)&amp;"Verifier: "&amp;Checks!$AE$623)&amp;IF(Checks!$T$623="","",CHAR(10)&amp;"PIC: "&amp;Checks!$T$623)</f>
        <v/>
      </c>
      <c r="H27" s="115" t="str">
        <f aca="false">IF(Checks!$AH$623="","",Checks!$AH$623)</f>
        <v>OPEN</v>
      </c>
    </row>
    <row r="28" customFormat="false" ht="114" hidden="false" customHeight="true" outlineLevel="0" collapsed="false">
      <c r="A28" s="114" t="str">
        <f aca="false">Checks!$A$624&amp;CHAR(10)&amp;IF(Checks!$I$624="","",Checks!$I$624&amp;": ")&amp;Checks!$J$624</f>
        <v>F19-T7-06
ISOP: Caterer acknowledgement of ISOP revisions recorded</v>
      </c>
      <c r="B28" s="114" t="str">
        <f aca="false">Checks!$K$624&amp;IF(Checks!$O$624="","",IF(Checks!$K$624="","",CHAR(10))&amp;"Note: "&amp;Checks!$O$624)</f>
        <v>Record acknowledgement ref in Evidence</v>
      </c>
      <c r="C28" s="114" t="str">
        <f aca="false">Checks!$N$624&amp;CHAR(10)&amp;IF(ISNUMBER(Checks!$R$624),TEXT(Checks!$R$624,"DD-MMM-YY HH:MM"),"")&amp;" "&amp;Checks!$P$624</f>
        <v>Required
22-Oct-26 09:40 KIX</v>
      </c>
      <c r="D28" s="114" t="str">
        <f aca="false">IF(Checks!$U$624="","",Checks!$U$624)&amp;IF(Checks!$AB$624="","",CHAR(10)&amp;"CA: "&amp;Checks!$AB$624)</f>
        <v/>
      </c>
      <c r="E28" s="114" t="str">
        <f aca="false">IF(Checks!$V$624="","",Checks!$V$624)&amp;IF(Checks!$AC$624="","",IF(Checks!$V$624="","",CHAR(10))&amp;"N/A just.: "&amp;Checks!$AC$624)&amp;IF(Checks!$W$624="","",CHAR(10)&amp;"Batch: "&amp;Checks!$W$624)&amp;IF(AND(Checks!$X$624="",Checks!$Y$624=""),"",CHAR(10)&amp;"Exp: "&amp;Checks!$X$624&amp;"  /  Act: "&amp;Checks!$Y$624)</f>
        <v/>
      </c>
      <c r="F28" s="114" t="str">
        <f aca="false">IF(Checks!$Z$624="","","Evidence: "&amp;Checks!$Z$624)&amp;IF(Checks!$AA$624="","",IF(Checks!$Z$624="","",CHAR(10))&amp;"CA: "&amp;Checks!$AA$624)</f>
        <v/>
      </c>
      <c r="G28" s="114" t="str">
        <f aca="false">IF(ISNUMBER(Checks!$AD$624),TEXT(Checks!$AD$624,"DD-MMM-YY HH:MM")&amp;" "&amp;Checks!$P$624,"")&amp;IF(Checks!$AE$624="","",CHAR(10)&amp;"Verifier: "&amp;Checks!$AE$624)&amp;IF(Checks!$T$624="","",CHAR(10)&amp;"PIC: "&amp;Checks!$T$624)</f>
        <v/>
      </c>
      <c r="H28" s="115" t="str">
        <f aca="false">IF(Checks!$AH$624="","",Checks!$AH$624)</f>
        <v>OPEN</v>
      </c>
    </row>
    <row r="29" customFormat="false" ht="114" hidden="false" customHeight="true" outlineLevel="0" collapsed="false">
      <c r="A29" s="114" t="str">
        <f aca="false">Checks!$A$625&amp;CHAR(10)&amp;IF(Checks!$I$625="","",Checks!$I$625&amp;": ")&amp;Checks!$J$625</f>
        <v>F19-T7-07
Documents: Galley loading diagram (GLD) received, revision recorded &amp; attached</v>
      </c>
      <c r="B29" s="114" t="str">
        <f aca="false">Checks!$K$625&amp;IF(Checks!$O$625="","",IF(Checks!$K$625="","",CHAR(10))&amp;"Note: "&amp;Checks!$O$625)</f>
        <v>Documents sheet row complete</v>
      </c>
      <c r="C29" s="114" t="str">
        <f aca="false">Checks!$N$625&amp;CHAR(10)&amp;IF(ISNUMBER(Checks!$R$625),TEXT(Checks!$R$625,"DD-MMM-YY HH:MM"),"")&amp;" "&amp;Checks!$P$625</f>
        <v>Required
22-Oct-26 09:40 KIX</v>
      </c>
      <c r="D29" s="114" t="str">
        <f aca="false">IF(Checks!$U$625="","",Checks!$U$625)&amp;IF(Checks!$AB$625="","",CHAR(10)&amp;"CA: "&amp;Checks!$AB$625)</f>
        <v/>
      </c>
      <c r="E29" s="114" t="str">
        <f aca="false">IF(Checks!$V$625="","",Checks!$V$625)&amp;IF(Checks!$AC$625="","",IF(Checks!$V$625="","",CHAR(10))&amp;"N/A just.: "&amp;Checks!$AC$625)&amp;IF(Checks!$W$625="","",CHAR(10)&amp;"Batch: "&amp;Checks!$W$625)&amp;IF(AND(Checks!$X$625="",Checks!$Y$625=""),"",CHAR(10)&amp;"Exp: "&amp;Checks!$X$625&amp;"  /  Act: "&amp;Checks!$Y$625)</f>
        <v/>
      </c>
      <c r="F29" s="114" t="str">
        <f aca="false">IF(Checks!$Z$625="","","Evidence: "&amp;Checks!$Z$625)&amp;IF(Checks!$AA$625="","",IF(Checks!$Z$625="","",CHAR(10))&amp;"CA: "&amp;Checks!$AA$625)</f>
        <v/>
      </c>
      <c r="G29" s="114" t="str">
        <f aca="false">IF(ISNUMBER(Checks!$AD$625),TEXT(Checks!$AD$625,"DD-MMM-YY HH:MM")&amp;" "&amp;Checks!$P$625,"")&amp;IF(Checks!$AE$625="","",CHAR(10)&amp;"Verifier: "&amp;Checks!$AE$625)&amp;IF(Checks!$T$625="","",CHAR(10)&amp;"PIC: "&amp;Checks!$T$625)</f>
        <v/>
      </c>
      <c r="H29" s="115" t="str">
        <f aca="false">IF(Checks!$AH$625="","",Checks!$AH$625)</f>
        <v>OPEN</v>
      </c>
    </row>
    <row r="30" customFormat="false" ht="114" hidden="false" customHeight="true" outlineLevel="0" collapsed="false">
      <c r="A30" s="114" t="str">
        <f aca="false">Checks!$A$626&amp;CHAR(10)&amp;IF(Checks!$I$626="","",Checks!$I$626&amp;": ")&amp;Checks!$J$626</f>
        <v>F19-T7-08
Documents: Menu checklist received, revision recorded &amp; attached</v>
      </c>
      <c r="B30" s="114" t="str">
        <f aca="false">Checks!$K$626&amp;IF(Checks!$O$626="","",IF(Checks!$K$626="","",CHAR(10))&amp;"Note: "&amp;Checks!$O$626)</f>
        <v>Documents sheet row complete</v>
      </c>
      <c r="C30" s="114" t="str">
        <f aca="false">Checks!$N$626&amp;CHAR(10)&amp;IF(ISNUMBER(Checks!$R$626),TEXT(Checks!$R$626,"DD-MMM-YY HH:MM"),"")&amp;" "&amp;Checks!$P$626</f>
        <v>Required
22-Oct-26 09:40 KIX</v>
      </c>
      <c r="D30" s="114" t="str">
        <f aca="false">IF(Checks!$U$626="","",Checks!$U$626)&amp;IF(Checks!$AB$626="","",CHAR(10)&amp;"CA: "&amp;Checks!$AB$626)</f>
        <v/>
      </c>
      <c r="E30" s="114" t="str">
        <f aca="false">IF(Checks!$V$626="","",Checks!$V$626)&amp;IF(Checks!$AC$626="","",IF(Checks!$V$626="","",CHAR(10))&amp;"N/A just.: "&amp;Checks!$AC$626)&amp;IF(Checks!$W$626="","",CHAR(10)&amp;"Batch: "&amp;Checks!$W$626)&amp;IF(AND(Checks!$X$626="",Checks!$Y$626=""),"",CHAR(10)&amp;"Exp: "&amp;Checks!$X$626&amp;"  /  Act: "&amp;Checks!$Y$626)</f>
        <v/>
      </c>
      <c r="F30" s="114" t="str">
        <f aca="false">IF(Checks!$Z$626="","","Evidence: "&amp;Checks!$Z$626)&amp;IF(Checks!$AA$626="","",IF(Checks!$Z$626="","",CHAR(10))&amp;"CA: "&amp;Checks!$AA$626)</f>
        <v/>
      </c>
      <c r="G30" s="114" t="str">
        <f aca="false">IF(ISNUMBER(Checks!$AD$626),TEXT(Checks!$AD$626,"DD-MMM-YY HH:MM")&amp;" "&amp;Checks!$P$626,"")&amp;IF(Checks!$AE$626="","",CHAR(10)&amp;"Verifier: "&amp;Checks!$AE$626)&amp;IF(Checks!$T$626="","",CHAR(10)&amp;"PIC: "&amp;Checks!$T$626)</f>
        <v/>
      </c>
      <c r="H30" s="115" t="str">
        <f aca="false">IF(Checks!$AH$626="","",Checks!$AH$626)</f>
        <v>OPEN</v>
      </c>
    </row>
    <row r="31" customFormat="false" ht="114" hidden="false" customHeight="true" outlineLevel="0" collapsed="false">
      <c r="A31" s="114" t="str">
        <f aca="false">Checks!$A$627&amp;CHAR(10)&amp;IF(Checks!$I$627="","",Checks!$I$627&amp;": ")&amp;Checks!$J$627</f>
        <v>F19-T7-09
Uplift plan: Uplift plan confirmed with caterer vs STD Uplift Information</v>
      </c>
      <c r="B31" s="114" t="str">
        <f aca="false">Checks!$K$627&amp;IF(Checks!$O$627="","",IF(Checks!$K$627="","",CHAR(10))&amp;"Note: "&amp;Checks!$O$627)</f>
        <v>Service: 1.5 Meal (Meal); meal uplift stn KIX (ref lists KUL/KIX)</v>
      </c>
      <c r="C31" s="114" t="str">
        <f aca="false">Checks!$N$627&amp;CHAR(10)&amp;IF(ISNUMBER(Checks!$R$627),TEXT(Checks!$R$627,"DD-MMM-YY HH:MM"),"")&amp;" "&amp;Checks!$P$627</f>
        <v>Required
22-Oct-26 09:40 KIX</v>
      </c>
      <c r="D31" s="114" t="str">
        <f aca="false">IF(Checks!$U$627="","",Checks!$U$627)&amp;IF(Checks!$AB$627="","",CHAR(10)&amp;"CA: "&amp;Checks!$AB$627)</f>
        <v/>
      </c>
      <c r="E31" s="114" t="str">
        <f aca="false">IF(Checks!$V$627="","",Checks!$V$627)&amp;IF(Checks!$AC$627="","",IF(Checks!$V$627="","",CHAR(10))&amp;"N/A just.: "&amp;Checks!$AC$627)&amp;IF(Checks!$W$627="","",CHAR(10)&amp;"Batch: "&amp;Checks!$W$627)&amp;IF(AND(Checks!$X$627="",Checks!$Y$627=""),"",CHAR(10)&amp;"Exp: "&amp;Checks!$X$627&amp;"  /  Act: "&amp;Checks!$Y$627)</f>
        <v/>
      </c>
      <c r="F31" s="114" t="str">
        <f aca="false">IF(Checks!$Z$627="","","Evidence: "&amp;Checks!$Z$627)&amp;IF(Checks!$AA$627="","",IF(Checks!$Z$627="","",CHAR(10))&amp;"CA: "&amp;Checks!$AA$627)</f>
        <v/>
      </c>
      <c r="G31" s="114" t="str">
        <f aca="false">IF(ISNUMBER(Checks!$AD$627),TEXT(Checks!$AD$627,"DD-MMM-YY HH:MM")&amp;" "&amp;Checks!$P$627,"")&amp;IF(Checks!$AE$627="","",CHAR(10)&amp;"Verifier: "&amp;Checks!$AE$627)&amp;IF(Checks!$T$627="","",CHAR(10)&amp;"PIC: "&amp;Checks!$T$627)</f>
        <v/>
      </c>
      <c r="H31" s="115" t="str">
        <f aca="false">IF(Checks!$AH$627="","",Checks!$AH$627)</f>
        <v>OPEN</v>
      </c>
    </row>
    <row r="32" customFormat="false" ht="25.5" hidden="false" customHeight="true" outlineLevel="0" collapsed="false">
      <c r="A32" s="113" t="str">
        <f aca="false">"T-24H — Production batch sensory  |  Due "&amp;IF(ISNUMBER(Flights!$AH$23),TEXT(Flights!$AH$23,"DD-MMM-YY HH:MM"),"")&amp;" "&amp;Flights!$V$23&amp;" (meal uplift stn)"&amp;" (rows with another due show their own)  |  Complete "&amp;IF(ISNUMBER(Flights!$AK$23),TEXT(Flights!$AK$23,"0%"),Flights!$AK$23)&amp;"  |  1 lines"</f>
        <v>T-24H — Production batch sensory  |  Due 28-Oct-26 09:40 KIX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Checks!$A$628&amp;CHAR(10)&amp;IF(Checks!$I$628="","",Checks!$I$628&amp;": ")&amp;Checks!$J$628</f>
        <v>F19-T24-01
Meal: Sensory test repeated on ACTUAL production batch for this flight</v>
      </c>
      <c r="B33" s="114" t="str">
        <f aca="false">Checks!$K$628&amp;IF(Checks!$O$628="","",IF(Checks!$K$628="","",CHAR(10))&amp;"Note: "&amp;Checks!$O$628)</f>
        <v>Batch ID, result, CA and acceptance mandatory</v>
      </c>
      <c r="C33" s="114" t="str">
        <f aca="false">Checks!$N$628&amp;CHAR(10)&amp;IF(ISNUMBER(Checks!$R$628),TEXT(Checks!$R$628,"DD-MMM-YY HH:MM"),"")&amp;" "&amp;Checks!$P$628</f>
        <v>Required
28-Oct-26 09:40 KIX</v>
      </c>
      <c r="D33" s="114" t="str">
        <f aca="false">IF(Checks!$U$628="","",Checks!$U$628)&amp;IF(Checks!$AB$628="","",CHAR(10)&amp;"CA: "&amp;Checks!$AB$628)</f>
        <v/>
      </c>
      <c r="E33" s="114" t="str">
        <f aca="false">IF(Checks!$V$628="","",Checks!$V$628)&amp;IF(Checks!$AC$628="","",IF(Checks!$V$628="","",CHAR(10))&amp;"N/A just.: "&amp;Checks!$AC$628)&amp;IF(Checks!$W$628="","",CHAR(10)&amp;"Batch: "&amp;Checks!$W$628)&amp;IF(AND(Checks!$X$628="",Checks!$Y$628=""),"",CHAR(10)&amp;"Exp: "&amp;Checks!$X$628&amp;"  /  Act: "&amp;Checks!$Y$628)</f>
        <v/>
      </c>
      <c r="F33" s="114" t="str">
        <f aca="false">IF(Checks!$Z$628="","","Evidence: "&amp;Checks!$Z$628)&amp;IF(Checks!$AA$628="","",IF(Checks!$Z$628="","",CHAR(10))&amp;"CA: "&amp;Checks!$AA$628)</f>
        <v/>
      </c>
      <c r="G33" s="114" t="str">
        <f aca="false">IF(ISNUMBER(Checks!$AD$628),TEXT(Checks!$AD$628,"DD-MMM-YY HH:MM")&amp;" "&amp;Checks!$P$628,"")&amp;IF(Checks!$AE$628="","",CHAR(10)&amp;"Verifier: "&amp;Checks!$AE$628)&amp;IF(Checks!$T$628="","",CHAR(10)&amp;"PIC: "&amp;Checks!$T$628)</f>
        <v/>
      </c>
      <c r="H33" s="115" t="str">
        <f aca="false">IF(Checks!$AH$628="","",Checks!$AH$628)</f>
        <v>OPEN</v>
      </c>
    </row>
    <row r="34" customFormat="false" ht="25.5" hidden="false" customHeight="true" outlineLevel="0" collapsed="false">
      <c r="A34" s="113" t="str">
        <f aca="false">"T-12H PREP — Preparation check at caterer (does NOT confirm loading)  |  Due "&amp;IF(ISNUMBER(Flights!$AI$23),TEXT(Flights!$AI$23,"DD-MMM-YY HH:MM"),"")&amp;" "&amp;Flights!$V$23&amp;" (meal uplift stn)"&amp;" (rows with another due show their own)  |  Complete "&amp;IF(ISNUMBER(Flights!$AL$23),TEXT(Flights!$AL$23,"0%"),Flights!$AL$23)&amp;"  |  10 lines"</f>
        <v>T-12H PREP — Preparation check at caterer (does NOT confirm loading)  |  Due 28-Oct-26 21:40 KIX (meal uplift stn) (rows with another due show their own)  |  Complete 0%  |  10 lines</v>
      </c>
      <c r="B34" s="113"/>
      <c r="C34" s="113"/>
      <c r="D34" s="113"/>
      <c r="E34" s="113"/>
      <c r="F34" s="113"/>
      <c r="G34" s="113"/>
      <c r="H34" s="113"/>
    </row>
    <row r="35" customFormat="false" ht="114" hidden="false" customHeight="true" outlineLevel="0" collapsed="false">
      <c r="A35" s="114" t="str">
        <f aca="false">Checks!$A$629&amp;CHAR(10)&amp;IF(Checks!$I$629="","",Checks!$I$629&amp;": ")&amp;Checks!$J$629</f>
        <v>F19-T12-01
Meal: Meal quality vs menu checklist</v>
      </c>
      <c r="B35" s="114" t="str">
        <f aca="false">Checks!$K$629&amp;IF(Checks!$O$629="","",IF(Checks!$K$629="","",CHAR(10))&amp;"Note: "&amp;Checks!$O$629)</f>
        <v>Note: Preparation check at caterer - does NOT confirm loading.</v>
      </c>
      <c r="C35" s="114" t="str">
        <f aca="false">Checks!$N$629&amp;CHAR(10)&amp;IF(ISNUMBER(Checks!$R$629),TEXT(Checks!$R$629,"DD-MMM-YY HH:MM"),"")&amp;" "&amp;Checks!$P$629</f>
        <v>Required
28-Oct-26 21:40 KIX</v>
      </c>
      <c r="D35" s="114" t="str">
        <f aca="false">IF(Checks!$U$629="","",Checks!$U$629)&amp;IF(Checks!$AB$629="","",CHAR(10)&amp;"CA: "&amp;Checks!$AB$629)</f>
        <v/>
      </c>
      <c r="E35" s="114" t="str">
        <f aca="false">IF(Checks!$V$629="","",Checks!$V$629)&amp;IF(Checks!$AC$629="","",IF(Checks!$V$629="","",CHAR(10))&amp;"N/A just.: "&amp;Checks!$AC$629)&amp;IF(Checks!$W$629="","",CHAR(10)&amp;"Batch: "&amp;Checks!$W$629)&amp;IF(AND(Checks!$X$629="",Checks!$Y$629=""),"",CHAR(10)&amp;"Exp: "&amp;Checks!$X$629&amp;"  /  Act: "&amp;Checks!$Y$629)</f>
        <v/>
      </c>
      <c r="F35" s="114" t="str">
        <f aca="false">IF(Checks!$Z$629="","","Evidence: "&amp;Checks!$Z$629)&amp;IF(Checks!$AA$629="","",IF(Checks!$Z$629="","",CHAR(10))&amp;"CA: "&amp;Checks!$AA$629)</f>
        <v/>
      </c>
      <c r="G35" s="114" t="str">
        <f aca="false">IF(ISNUMBER(Checks!$AD$629),TEXT(Checks!$AD$629,"DD-MMM-YY HH:MM")&amp;" "&amp;Checks!$P$629,"")&amp;IF(Checks!$AE$629="","",CHAR(10)&amp;"Verifier: "&amp;Checks!$AE$629)&amp;IF(Checks!$T$629="","",CHAR(10)&amp;"PIC: "&amp;Checks!$T$629)</f>
        <v/>
      </c>
      <c r="H35" s="115" t="str">
        <f aca="false">IF(Checks!$AH$629="","",Checks!$AH$629)</f>
        <v>OPEN</v>
      </c>
    </row>
    <row r="36" customFormat="false" ht="114" hidden="false" customHeight="true" outlineLevel="0" collapsed="false">
      <c r="A36" s="114" t="str">
        <f aca="false">Checks!$A$630&amp;CHAR(10)&amp;IF(Checks!$I$630="","",Checks!$I$630&amp;": ")&amp;Checks!$J$630</f>
        <v>F19-T12-02
Meal: Meal quantities vs menu checklist</v>
      </c>
      <c r="B36" s="114" t="str">
        <f aca="false">Checks!$K$630&amp;IF(Checks!$O$630="","",IF(Checks!$K$630="","",CHAR(10))&amp;"Note: "&amp;Checks!$O$630)</f>
        <v>Enter expected &amp; actual
Note: Preparation check at caterer - does NOT confirm loading.</v>
      </c>
      <c r="C36" s="114" t="str">
        <f aca="false">Checks!$N$630&amp;CHAR(10)&amp;IF(ISNUMBER(Checks!$R$630),TEXT(Checks!$R$630,"DD-MMM-YY HH:MM"),"")&amp;" "&amp;Checks!$P$630</f>
        <v>Required
28-Oct-26 21:40 KIX</v>
      </c>
      <c r="D36" s="114" t="str">
        <f aca="false">IF(Checks!$U$630="","",Checks!$U$630)&amp;IF(Checks!$AB$630="","",CHAR(10)&amp;"CA: "&amp;Checks!$AB$630)</f>
        <v/>
      </c>
      <c r="E36" s="114" t="str">
        <f aca="false">IF(Checks!$V$630="","",Checks!$V$630)&amp;IF(Checks!$AC$630="","",IF(Checks!$V$630="","",CHAR(10))&amp;"N/A just.: "&amp;Checks!$AC$630)&amp;IF(Checks!$W$630="","",CHAR(10)&amp;"Batch: "&amp;Checks!$W$630)&amp;IF(AND(Checks!$X$630="",Checks!$Y$630=""),"",CHAR(10)&amp;"Exp: "&amp;Checks!$X$630&amp;"  /  Act: "&amp;Checks!$Y$630)</f>
        <v/>
      </c>
      <c r="F36" s="114" t="str">
        <f aca="false">IF(Checks!$Z$630="","","Evidence: "&amp;Checks!$Z$630)&amp;IF(Checks!$AA$630="","",IF(Checks!$Z$630="","",CHAR(10))&amp;"CA: "&amp;Checks!$AA$630)</f>
        <v/>
      </c>
      <c r="G36" s="114" t="str">
        <f aca="false">IF(ISNUMBER(Checks!$AD$630),TEXT(Checks!$AD$630,"DD-MMM-YY HH:MM")&amp;" "&amp;Checks!$P$630,"")&amp;IF(Checks!$AE$630="","",CHAR(10)&amp;"Verifier: "&amp;Checks!$AE$630)&amp;IF(Checks!$T$630="","",CHAR(10)&amp;"PIC: "&amp;Checks!$T$630)</f>
        <v/>
      </c>
      <c r="H36" s="115" t="str">
        <f aca="false">IF(Checks!$AH$630="","",Checks!$AH$630)</f>
        <v>OPEN</v>
      </c>
    </row>
    <row r="37" customFormat="false" ht="114" hidden="false" customHeight="true" outlineLevel="0" collapsed="false">
      <c r="A37" s="114" t="str">
        <f aca="false">Checks!$A$631&amp;CHAR(10)&amp;IF(Checks!$I$631="","",Checks!$I$631&amp;": ")&amp;Checks!$J$631</f>
        <v>F19-T12-03
Equipment: Equipment cleanliness vs GLD</v>
      </c>
      <c r="B37" s="114" t="str">
        <f aca="false">Checks!$K$631&amp;IF(Checks!$O$631="","",IF(Checks!$K$631="","",CHAR(10))&amp;"Note: "&amp;Checks!$O$631)</f>
        <v>Note: Preparation check at caterer - does NOT confirm loading.</v>
      </c>
      <c r="C37" s="114" t="str">
        <f aca="false">Checks!$N$631&amp;CHAR(10)&amp;IF(ISNUMBER(Checks!$R$631),TEXT(Checks!$R$631,"DD-MMM-YY HH:MM"),"")&amp;" "&amp;Checks!$P$631</f>
        <v>Required
28-Oct-26 21:40 KIX</v>
      </c>
      <c r="D37" s="114" t="str">
        <f aca="false">IF(Checks!$U$631="","",Checks!$U$631)&amp;IF(Checks!$AB$631="","",CHAR(10)&amp;"CA: "&amp;Checks!$AB$631)</f>
        <v/>
      </c>
      <c r="E37" s="114" t="str">
        <f aca="false">IF(Checks!$V$631="","",Checks!$V$631)&amp;IF(Checks!$AC$631="","",IF(Checks!$V$631="","",CHAR(10))&amp;"N/A just.: "&amp;Checks!$AC$631)&amp;IF(Checks!$W$631="","",CHAR(10)&amp;"Batch: "&amp;Checks!$W$631)&amp;IF(AND(Checks!$X$631="",Checks!$Y$631=""),"",CHAR(10)&amp;"Exp: "&amp;Checks!$X$631&amp;"  /  Act: "&amp;Checks!$Y$631)</f>
        <v/>
      </c>
      <c r="F37" s="114" t="str">
        <f aca="false">IF(Checks!$Z$631="","","Evidence: "&amp;Checks!$Z$631)&amp;IF(Checks!$AA$631="","",IF(Checks!$Z$631="","",CHAR(10))&amp;"CA: "&amp;Checks!$AA$631)</f>
        <v/>
      </c>
      <c r="G37" s="114" t="str">
        <f aca="false">IF(ISNUMBER(Checks!$AD$631),TEXT(Checks!$AD$631,"DD-MMM-YY HH:MM")&amp;" "&amp;Checks!$P$631,"")&amp;IF(Checks!$AE$631="","",CHAR(10)&amp;"Verifier: "&amp;Checks!$AE$631)&amp;IF(Checks!$T$631="","",CHAR(10)&amp;"PIC: "&amp;Checks!$T$631)</f>
        <v/>
      </c>
      <c r="H37" s="115" t="str">
        <f aca="false">IF(Checks!$AH$631="","",Checks!$AH$631)</f>
        <v>OPEN</v>
      </c>
    </row>
    <row r="38" customFormat="false" ht="114" hidden="false" customHeight="true" outlineLevel="0" collapsed="false">
      <c r="A38" s="114" t="str">
        <f aca="false">Checks!$A$632&amp;CHAR(10)&amp;IF(Checks!$I$632="","",Checks!$I$632&amp;": ")&amp;Checks!$J$632</f>
        <v>F19-T12-04
Equipment: Equipment presentation vs GLD</v>
      </c>
      <c r="B38" s="114" t="str">
        <f aca="false">Checks!$K$632&amp;IF(Checks!$O$632="","",IF(Checks!$K$632="","",CHAR(10))&amp;"Note: "&amp;Checks!$O$632)</f>
        <v>Note: Preparation check at caterer - does NOT confirm loading.</v>
      </c>
      <c r="C38" s="114" t="str">
        <f aca="false">Checks!$N$632&amp;CHAR(10)&amp;IF(ISNUMBER(Checks!$R$632),TEXT(Checks!$R$632,"DD-MMM-YY HH:MM"),"")&amp;" "&amp;Checks!$P$632</f>
        <v>Required
28-Oct-26 21:40 KIX</v>
      </c>
      <c r="D38" s="114" t="str">
        <f aca="false">IF(Checks!$U$632="","",Checks!$U$632)&amp;IF(Checks!$AB$632="","",CHAR(10)&amp;"CA: "&amp;Checks!$AB$632)</f>
        <v/>
      </c>
      <c r="E38" s="114" t="str">
        <f aca="false">IF(Checks!$V$632="","",Checks!$V$632)&amp;IF(Checks!$AC$632="","",IF(Checks!$V$632="","",CHAR(10))&amp;"N/A just.: "&amp;Checks!$AC$632)&amp;IF(Checks!$W$632="","",CHAR(10)&amp;"Batch: "&amp;Checks!$W$632)&amp;IF(AND(Checks!$X$632="",Checks!$Y$632=""),"",CHAR(10)&amp;"Exp: "&amp;Checks!$X$632&amp;"  /  Act: "&amp;Checks!$Y$632)</f>
        <v/>
      </c>
      <c r="F38" s="114" t="str">
        <f aca="false">IF(Checks!$Z$632="","","Evidence: "&amp;Checks!$Z$632)&amp;IF(Checks!$AA$632="","",IF(Checks!$Z$632="","",CHAR(10))&amp;"CA: "&amp;Checks!$AA$632)</f>
        <v/>
      </c>
      <c r="G38" s="114" t="str">
        <f aca="false">IF(ISNUMBER(Checks!$AD$632),TEXT(Checks!$AD$632,"DD-MMM-YY HH:MM")&amp;" "&amp;Checks!$P$632,"")&amp;IF(Checks!$AE$632="","",CHAR(10)&amp;"Verifier: "&amp;Checks!$AE$632)&amp;IF(Checks!$T$632="","",CHAR(10)&amp;"PIC: "&amp;Checks!$T$632)</f>
        <v/>
      </c>
      <c r="H38" s="115" t="str">
        <f aca="false">IF(Checks!$AH$632="","",Checks!$AH$632)</f>
        <v>OPEN</v>
      </c>
    </row>
    <row r="39" customFormat="false" ht="114" hidden="false" customHeight="true" outlineLevel="0" collapsed="false">
      <c r="A39" s="114" t="str">
        <f aca="false">Checks!$A$633&amp;CHAR(10)&amp;IF(Checks!$I$633="","",Checks!$I$633&amp;": ")&amp;Checks!$J$633</f>
        <v>F19-T12-05
Equipment: Equipment serviceability vs GLD</v>
      </c>
      <c r="B39" s="114" t="str">
        <f aca="false">Checks!$K$633&amp;IF(Checks!$O$633="","",IF(Checks!$K$633="","",CHAR(10))&amp;"Note: "&amp;Checks!$O$633)</f>
        <v>Note: Preparation check at caterer - does NOT confirm loading.</v>
      </c>
      <c r="C39" s="114" t="str">
        <f aca="false">Checks!$N$633&amp;CHAR(10)&amp;IF(ISNUMBER(Checks!$R$633),TEXT(Checks!$R$633,"DD-MMM-YY HH:MM"),"")&amp;" "&amp;Checks!$P$633</f>
        <v>Required
28-Oct-26 21:40 KIX</v>
      </c>
      <c r="D39" s="114" t="str">
        <f aca="false">IF(Checks!$U$633="","",Checks!$U$633)&amp;IF(Checks!$AB$633="","",CHAR(10)&amp;"CA: "&amp;Checks!$AB$633)</f>
        <v/>
      </c>
      <c r="E39" s="114" t="str">
        <f aca="false">IF(Checks!$V$633="","",Checks!$V$633)&amp;IF(Checks!$AC$633="","",IF(Checks!$V$633="","",CHAR(10))&amp;"N/A just.: "&amp;Checks!$AC$633)&amp;IF(Checks!$W$633="","",CHAR(10)&amp;"Batch: "&amp;Checks!$W$633)&amp;IF(AND(Checks!$X$633="",Checks!$Y$633=""),"",CHAR(10)&amp;"Exp: "&amp;Checks!$X$633&amp;"  /  Act: "&amp;Checks!$Y$633)</f>
        <v/>
      </c>
      <c r="F39" s="114" t="str">
        <f aca="false">IF(Checks!$Z$633="","","Evidence: "&amp;Checks!$Z$633)&amp;IF(Checks!$AA$633="","",IF(Checks!$Z$633="","",CHAR(10))&amp;"CA: "&amp;Checks!$AA$633)</f>
        <v/>
      </c>
      <c r="G39" s="114" t="str">
        <f aca="false">IF(ISNUMBER(Checks!$AD$633),TEXT(Checks!$AD$633,"DD-MMM-YY HH:MM")&amp;" "&amp;Checks!$P$633,"")&amp;IF(Checks!$AE$633="","",CHAR(10)&amp;"Verifier: "&amp;Checks!$AE$633)&amp;IF(Checks!$T$633="","",CHAR(10)&amp;"PIC: "&amp;Checks!$T$633)</f>
        <v/>
      </c>
      <c r="H39" s="115" t="str">
        <f aca="false">IF(Checks!$AH$633="","",Checks!$AH$633)</f>
        <v>OPEN</v>
      </c>
    </row>
    <row r="40" customFormat="false" ht="201.75" hidden="false" customHeight="true" outlineLevel="0" collapsed="false">
      <c r="A40" s="114" t="str">
        <f aca="false">Checks!$A$634&amp;CHAR(10)&amp;IF(Checks!$I$634="","",Checks!$I$634&amp;": ")&amp;Checks!$J$634</f>
        <v>F19-T12-06
Equipment: Equipment quantities vs GLD</v>
      </c>
      <c r="B40" s="114" t="str">
        <f aca="false">SUBSTITUTE(Checks!$K$634&amp;IF(Checks!$O$634="","",IF(Checks!$K$634="","",CHAR(10))&amp;"Note: "&amp;Checks!$O$634),"AIRCRAFT TYPE!","Ref: AIRCRAFT TYPE!")</f>
        <v>Enter expected &amp; actual. Aircraft galley data: A330-300 (A333): carts 42.5, SU 100, ovens 12, warming ovens 4, fridges 4, water heaters 6, beverage makers -, espresso -, folding trolleys 4, headsets BC &amp; EY: Dual Pin (Ref: AIRCRAFT TYPE!C9:R9)
Note: Preparation check at caterer - does NOT confirm loading.</v>
      </c>
      <c r="C40" s="114" t="str">
        <f aca="false">Checks!$N$634&amp;CHAR(10)&amp;IF(ISNUMBER(Checks!$R$634),TEXT(Checks!$R$634,"DD-MMM-YY HH:MM"),"")&amp;" "&amp;Checks!$P$634</f>
        <v>Required
28-Oct-26 21:40 KIX</v>
      </c>
      <c r="D40" s="114" t="str">
        <f aca="false">IF(Checks!$U$634="","",Checks!$U$634)&amp;IF(Checks!$AB$634="","",CHAR(10)&amp;"CA: "&amp;Checks!$AB$634)</f>
        <v/>
      </c>
      <c r="E40" s="114" t="str">
        <f aca="false">IF(Checks!$V$634="","",Checks!$V$634)&amp;IF(Checks!$AC$634="","",IF(Checks!$V$634="","",CHAR(10))&amp;"N/A just.: "&amp;Checks!$AC$634)&amp;IF(Checks!$W$634="","",CHAR(10)&amp;"Batch: "&amp;Checks!$W$634)&amp;IF(AND(Checks!$X$634="",Checks!$Y$634=""),"",CHAR(10)&amp;"Exp: "&amp;Checks!$X$634&amp;"  /  Act: "&amp;Checks!$Y$634)</f>
        <v/>
      </c>
      <c r="F40" s="114" t="str">
        <f aca="false">IF(Checks!$Z$634="","","Evidence: "&amp;Checks!$Z$634)&amp;IF(Checks!$AA$634="","",IF(Checks!$Z$634="","",CHAR(10))&amp;"CA: "&amp;Checks!$AA$634)</f>
        <v/>
      </c>
      <c r="G40" s="114" t="str">
        <f aca="false">IF(ISNUMBER(Checks!$AD$634),TEXT(Checks!$AD$634,"DD-MMM-YY HH:MM")&amp;" "&amp;Checks!$P$634,"")&amp;IF(Checks!$AE$634="","",CHAR(10)&amp;"Verifier: "&amp;Checks!$AE$634)&amp;IF(Checks!$T$634="","",CHAR(10)&amp;"PIC: "&amp;Checks!$T$634)</f>
        <v/>
      </c>
      <c r="H40" s="115" t="str">
        <f aca="false">IF(Checks!$AH$634="","",Checks!$AH$634)</f>
        <v>OPEN</v>
      </c>
    </row>
    <row r="41" customFormat="false" ht="114" hidden="false" customHeight="true" outlineLevel="0" collapsed="false">
      <c r="A41" s="114" t="str">
        <f aca="false">Checks!$A$635&amp;CHAR(10)&amp;IF(Checks!$I$635="","",Checks!$I$635&amp;": ")&amp;Checks!$J$635</f>
        <v>F19-T12-07
Equipment: Loading positions planned vs GLD</v>
      </c>
      <c r="B41" s="114" t="str">
        <f aca="false">Checks!$K$635&amp;IF(Checks!$O$635="","",IF(Checks!$K$635="","",CHAR(10))&amp;"Note: "&amp;Checks!$O$635)</f>
        <v>Note: Preparation check at caterer - does NOT confirm loading.</v>
      </c>
      <c r="C41" s="114" t="str">
        <f aca="false">Checks!$N$635&amp;CHAR(10)&amp;IF(ISNUMBER(Checks!$R$635),TEXT(Checks!$R$635,"DD-MMM-YY HH:MM"),"")&amp;" "&amp;Checks!$P$635</f>
        <v>Required
28-Oct-26 21:40 KIX</v>
      </c>
      <c r="D41" s="114" t="str">
        <f aca="false">IF(Checks!$U$635="","",Checks!$U$635)&amp;IF(Checks!$AB$635="","",CHAR(10)&amp;"CA: "&amp;Checks!$AB$635)</f>
        <v/>
      </c>
      <c r="E41" s="114" t="str">
        <f aca="false">IF(Checks!$V$635="","",Checks!$V$635)&amp;IF(Checks!$AC$635="","",IF(Checks!$V$635="","",CHAR(10))&amp;"N/A just.: "&amp;Checks!$AC$635)&amp;IF(Checks!$W$635="","",CHAR(10)&amp;"Batch: "&amp;Checks!$W$635)&amp;IF(AND(Checks!$X$635="",Checks!$Y$635=""),"",CHAR(10)&amp;"Exp: "&amp;Checks!$X$635&amp;"  /  Act: "&amp;Checks!$Y$635)</f>
        <v/>
      </c>
      <c r="F41" s="114" t="str">
        <f aca="false">IF(Checks!$Z$635="","","Evidence: "&amp;Checks!$Z$635)&amp;IF(Checks!$AA$635="","",IF(Checks!$Z$635="","",CHAR(10))&amp;"CA: "&amp;Checks!$AA$635)</f>
        <v/>
      </c>
      <c r="G41" s="114" t="str">
        <f aca="false">IF(ISNUMBER(Checks!$AD$635),TEXT(Checks!$AD$635,"DD-MMM-YY HH:MM")&amp;" "&amp;Checks!$P$635,"")&amp;IF(Checks!$AE$635="","",CHAR(10)&amp;"Verifier: "&amp;Checks!$AE$635)&amp;IF(Checks!$T$635="","",CHAR(10)&amp;"PIC: "&amp;Checks!$T$635)</f>
        <v/>
      </c>
      <c r="H41" s="115" t="str">
        <f aca="false">IF(Checks!$AH$635="","",Checks!$AH$635)</f>
        <v>OPEN</v>
      </c>
    </row>
    <row r="42" customFormat="false" ht="114" hidden="false" customHeight="true" outlineLevel="0" collapsed="false">
      <c r="A42" s="114" t="str">
        <f aca="false">Checks!$A$636&amp;CHAR(10)&amp;IF(Checks!$I$636="","",Checks!$I$636&amp;": ")&amp;Checks!$J$636</f>
        <v>F19-T12-08
Seat Linen: Seat pillow (EY) - prepared</v>
      </c>
      <c r="B42" s="114" t="str">
        <f aca="false">Checks!$K$636&amp;IF(Checks!$O$636="","",IF(Checks!$K$636="","",CHAR(10))&amp;"Note: "&amp;Checks!$O$636)</f>
        <v>Available 100% (ticked in reference)
Note: Reference gives no uplift stn for this item: preparation checked at the meal uplift stn (KIX) - confirm with caterer.</v>
      </c>
      <c r="C42" s="114" t="str">
        <f aca="false">Checks!$N$636&amp;CHAR(10)&amp;IF(ISNUMBER(Checks!$R$636),TEXT(Checks!$R$636,"DD-MMM-YY HH:MM"),"")&amp;" "&amp;Checks!$P$636</f>
        <v>Required
28-Oct-26 21:40 KIX</v>
      </c>
      <c r="D42" s="114" t="str">
        <f aca="false">IF(Checks!$U$636="","",Checks!$U$636)&amp;IF(Checks!$AB$636="","",CHAR(10)&amp;"CA: "&amp;Checks!$AB$636)</f>
        <v/>
      </c>
      <c r="E42" s="114" t="str">
        <f aca="false">IF(Checks!$V$636="","",Checks!$V$636)&amp;IF(Checks!$AC$636="","",IF(Checks!$V$636="","",CHAR(10))&amp;"N/A just.: "&amp;Checks!$AC$636)&amp;IF(Checks!$W$636="","",CHAR(10)&amp;"Batch: "&amp;Checks!$W$636)&amp;IF(AND(Checks!$X$636="",Checks!$Y$636=""),"",CHAR(10)&amp;"Exp: "&amp;Checks!$X$636&amp;"  /  Act: "&amp;Checks!$Y$636)</f>
        <v/>
      </c>
      <c r="F42" s="114" t="str">
        <f aca="false">IF(Checks!$Z$636="","","Evidence: "&amp;Checks!$Z$636)&amp;IF(Checks!$AA$636="","",IF(Checks!$Z$636="","",CHAR(10))&amp;"CA: "&amp;Checks!$AA$636)</f>
        <v/>
      </c>
      <c r="G42" s="114" t="str">
        <f aca="false">IF(ISNUMBER(Checks!$AD$636),TEXT(Checks!$AD$636,"DD-MMM-YY HH:MM")&amp;" "&amp;Checks!$P$636,"")&amp;IF(Checks!$AE$636="","",CHAR(10)&amp;"Verifier: "&amp;Checks!$AE$636)&amp;IF(Checks!$T$636="","",CHAR(10)&amp;"PIC: "&amp;Checks!$T$636)</f>
        <v/>
      </c>
      <c r="H42" s="115" t="str">
        <f aca="false">IF(Checks!$AH$636="","",Checks!$AH$636)</f>
        <v>OPEN</v>
      </c>
    </row>
    <row r="43" customFormat="false" ht="213" hidden="false" customHeight="true" outlineLevel="0" collapsed="false">
      <c r="A43" s="114" t="str">
        <f aca="false">Checks!$A$637&amp;CHAR(10)&amp;IF(Checks!$I$637="","",Checks!$I$637&amp;": ")&amp;Checks!$J$637</f>
        <v>F19-T12-09
Seat Linen: Blanket (EY) - prepared</v>
      </c>
      <c r="B43" s="114" t="str">
        <f aca="false">SUBSTITUTE(Checks!$K$637&amp;IF(Checks!$O$637="","",IF(Checks!$K$637="","",CHAR(10))&amp;"Note: "&amp;Checks!$O$637),"SEAT LINEN!","Ref: SEAT LINEN!")</f>
        <v>Available 100% (ticked in reference); qty 280
Note: EY blanket: flight above 3 hours excl. Regional (Ref: SEAT LINEN!B74:C74); block 8.08 h. Qty 280 pcs (14 bundles) for A332/A333/A339 (Ref: SEAT LINEN!B75:C75). Reference gives no uplift stn for this item: preparation checked at the meal uplift stn (KIX) - confirm with caterer.</v>
      </c>
      <c r="C43" s="114" t="str">
        <f aca="false">Checks!$N$637&amp;CHAR(10)&amp;IF(ISNUMBER(Checks!$R$637),TEXT(Checks!$R$637,"DD-MMM-YY HH:MM"),"")&amp;" "&amp;Checks!$P$637</f>
        <v>Required
28-Oct-26 21:40 KIX</v>
      </c>
      <c r="D43" s="114" t="str">
        <f aca="false">IF(Checks!$U$637="","",Checks!$U$637)&amp;IF(Checks!$AB$637="","",CHAR(10)&amp;"CA: "&amp;Checks!$AB$637)</f>
        <v/>
      </c>
      <c r="E43" s="114" t="str">
        <f aca="false">IF(Checks!$V$637="","",Checks!$V$637)&amp;IF(Checks!$AC$637="","",IF(Checks!$V$637="","",CHAR(10))&amp;"N/A just.: "&amp;Checks!$AC$637)&amp;IF(Checks!$W$637="","",CHAR(10)&amp;"Batch: "&amp;Checks!$W$637)&amp;IF(AND(Checks!$X$637="",Checks!$Y$637=""),"",CHAR(10)&amp;"Exp: "&amp;Checks!$X$637&amp;"  /  Act: "&amp;Checks!$Y$637)</f>
        <v>
Exp: 280  /  Act: </v>
      </c>
      <c r="F43" s="114" t="str">
        <f aca="false">IF(Checks!$Z$637="","","Evidence: "&amp;Checks!$Z$637)&amp;IF(Checks!$AA$637="","",IF(Checks!$Z$637="","",CHAR(10))&amp;"CA: "&amp;Checks!$AA$637)</f>
        <v/>
      </c>
      <c r="G43" s="114" t="str">
        <f aca="false">IF(ISNUMBER(Checks!$AD$637),TEXT(Checks!$AD$637,"DD-MMM-YY HH:MM")&amp;" "&amp;Checks!$P$637,"")&amp;IF(Checks!$AE$637="","",CHAR(10)&amp;"Verifier: "&amp;Checks!$AE$637)&amp;IF(Checks!$T$637="","",CHAR(10)&amp;"PIC: "&amp;Checks!$T$637)</f>
        <v/>
      </c>
      <c r="H43" s="115" t="str">
        <f aca="false">IF(Checks!$AH$637="","",Checks!$AH$637)</f>
        <v>OPEN</v>
      </c>
    </row>
    <row r="44" customFormat="false" ht="201.75" hidden="false" customHeight="true" outlineLevel="0" collapsed="false">
      <c r="A44" s="114" t="str">
        <f aca="false">Checks!$A$638&amp;CHAR(10)&amp;IF(Checks!$I$638="","",Checks!$I$638&amp;": ")&amp;Checks!$J$638</f>
        <v>F19-T12-10
Sales Cart: Sales cart (caterer PASB) - prepared</v>
      </c>
      <c r="B44" s="114" t="str">
        <f aca="false">Checks!$K$638&amp;IF(Checks!$O$638="","",IF(Checks!$K$638="","",CHAR(10))&amp;"Note: "&amp;Checks!$O$638)</f>
        <v>Location 643 &amp; 947 (A333, full cart)
Note: Block 8.08 h &gt;= 4 h. Reference names caterer PASB for the KUL/KIX/KUL sector but no uplift station: confirm whether the KIX-KUL sales cart is loaded at KUL (round trip) or at KIX. Reference gives no uplift stn for this item: preparation checked at the meal uplift stn (KIX) - confirm with caterer.</v>
      </c>
      <c r="C44" s="114" t="str">
        <f aca="false">Checks!$N$638&amp;CHAR(10)&amp;IF(ISNUMBER(Checks!$R$638),TEXT(Checks!$R$638,"DD-MMM-YY HH:MM"),"")&amp;" "&amp;Checks!$P$638</f>
        <v>Clarification required
28-Oct-26 21:40 KIX</v>
      </c>
      <c r="D44" s="114" t="str">
        <f aca="false">IF(Checks!$U$638="","",Checks!$U$638)&amp;IF(Checks!$AB$638="","",CHAR(10)&amp;"CA: "&amp;Checks!$AB$638)</f>
        <v/>
      </c>
      <c r="E44" s="114" t="str">
        <f aca="false">IF(Checks!$V$638="","",Checks!$V$638)&amp;IF(Checks!$AC$638="","",IF(Checks!$V$638="","",CHAR(10))&amp;"N/A just.: "&amp;Checks!$AC$638)&amp;IF(Checks!$W$638="","",CHAR(10)&amp;"Batch: "&amp;Checks!$W$638)&amp;IF(AND(Checks!$X$638="",Checks!$Y$638=""),"",CHAR(10)&amp;"Exp: "&amp;Checks!$X$638&amp;"  /  Act: "&amp;Checks!$Y$638)</f>
        <v/>
      </c>
      <c r="F44" s="114" t="str">
        <f aca="false">IF(Checks!$Z$638="","","Evidence: "&amp;Checks!$Z$638)&amp;IF(Checks!$AA$638="","",IF(Checks!$Z$638="","",CHAR(10))&amp;"CA: "&amp;Checks!$AA$638)</f>
        <v/>
      </c>
      <c r="G44" s="114" t="str">
        <f aca="false">IF(ISNUMBER(Checks!$AD$638),TEXT(Checks!$AD$638,"DD-MMM-YY HH:MM")&amp;" "&amp;Checks!$P$638,"")&amp;IF(Checks!$AE$638="","",CHAR(10)&amp;"Verifier: "&amp;Checks!$AE$638)&amp;IF(Checks!$T$638="","",CHAR(10)&amp;"PIC: "&amp;Checks!$T$638)</f>
        <v/>
      </c>
      <c r="H44" s="115" t="str">
        <f aca="false">IF(Checks!$AH$638="","",Checks!$AH$638)</f>
        <v>OPEN – CLARIFICATION</v>
      </c>
    </row>
    <row r="45" customFormat="false" ht="25.5" hidden="false" customHeight="true" outlineLevel="0" collapsed="false">
      <c r="A45" s="113" t="str">
        <f aca="false">"UPLIFT — Physical uplift – on-board confirmation before departure  |  Due "&amp;"STD "&amp;IF(ISNUMBER(Flights!$I$23),TEXT(Flights!$I$23,"DD-MMM-YY HH:MM"),"")&amp;" "&amp;Flights!$G$23&amp;" (departure stn)"&amp;" (rows with another due show their own)  |  Complete "&amp;IF(ISNUMBER(Flights!$AM$23),TEXT(Flights!$AM$23,"0%"),Flights!$AM$23)&amp;"  |  5 lines"</f>
        <v>UPLIFT — Physical uplift – on-board confirmation before departure  |  Due STD 29-Oct-26 09:40 KIX (departure stn) (rows with another due show their own)  |  Complete 0%  |  5 lines</v>
      </c>
      <c r="B45" s="113"/>
      <c r="C45" s="113"/>
      <c r="D45" s="113"/>
      <c r="E45" s="113"/>
      <c r="F45" s="113"/>
      <c r="G45" s="113"/>
      <c r="H45" s="113"/>
    </row>
    <row r="46" customFormat="false" ht="114" hidden="false" customHeight="true" outlineLevel="0" collapsed="false">
      <c r="A46" s="114" t="str">
        <f aca="false">Checks!$A$639&amp;CHAR(10)&amp;IF(Checks!$I$639="","",Checks!$I$639&amp;": ")&amp;Checks!$J$639</f>
        <v>F19-UPL-01
Meal: Meals physically uplifted on board - quantity vs menu checklist</v>
      </c>
      <c r="B46" s="114" t="str">
        <f aca="false">Checks!$K$639&amp;IF(Checks!$O$639="","",IF(Checks!$K$639="","",CHAR(10))&amp;"Note: "&amp;Checks!$O$639)</f>
        <v>Enter expected &amp; actual
Note: Confirm on board before departure; completion time must fall inside the uplift window.</v>
      </c>
      <c r="C46" s="114" t="str">
        <f aca="false">Checks!$N$639&amp;CHAR(10)&amp;IF(ISNUMBER(Checks!$R$639),TEXT(Checks!$R$639,"DD-MMM-YY HH:MM"),"")&amp;" "&amp;Checks!$P$639</f>
        <v>Required
29-Oct-26 09:40 KIX</v>
      </c>
      <c r="D46" s="114" t="str">
        <f aca="false">IF(Checks!$U$639="","",Checks!$U$639)&amp;IF(Checks!$AB$639="","",CHAR(10)&amp;"CA: "&amp;Checks!$AB$639)</f>
        <v/>
      </c>
      <c r="E46" s="114" t="str">
        <f aca="false">IF(Checks!$V$639="","",Checks!$V$639)&amp;IF(Checks!$AC$639="","",IF(Checks!$V$639="","",CHAR(10))&amp;"N/A just.: "&amp;Checks!$AC$639)&amp;IF(Checks!$W$639="","",CHAR(10)&amp;"Batch: "&amp;Checks!$W$639)&amp;IF(AND(Checks!$X$639="",Checks!$Y$639=""),"",CHAR(10)&amp;"Exp: "&amp;Checks!$X$639&amp;"  /  Act: "&amp;Checks!$Y$639)</f>
        <v/>
      </c>
      <c r="F46" s="114" t="str">
        <f aca="false">IF(Checks!$Z$639="","","Evidence: "&amp;Checks!$Z$639)&amp;IF(Checks!$AA$639="","",IF(Checks!$Z$639="","",CHAR(10))&amp;"CA: "&amp;Checks!$AA$639)</f>
        <v/>
      </c>
      <c r="G46" s="114" t="str">
        <f aca="false">IF(ISNUMBER(Checks!$AD$639),TEXT(Checks!$AD$639,"DD-MMM-YY HH:MM")&amp;" "&amp;Checks!$P$639,"")&amp;IF(Checks!$AE$639="","",CHAR(10)&amp;"Verifier: "&amp;Checks!$AE$639)&amp;IF(Checks!$T$639="","",CHAR(10)&amp;"PIC: "&amp;Checks!$T$639)</f>
        <v/>
      </c>
      <c r="H46" s="115" t="str">
        <f aca="false">IF(Checks!$AH$639="","",Checks!$AH$639)</f>
        <v>OPEN</v>
      </c>
    </row>
    <row r="47" customFormat="false" ht="114" hidden="false" customHeight="true" outlineLevel="0" collapsed="false">
      <c r="A47" s="114" t="str">
        <f aca="false">Checks!$A$640&amp;CHAR(10)&amp;IF(Checks!$I$640="","",Checks!$I$640&amp;": ")&amp;Checks!$J$640</f>
        <v>F19-UPL-02
Equipment: Equipment physically loaded at GLD positions - quantity &amp; positions</v>
      </c>
      <c r="B47" s="114" t="str">
        <f aca="false">Checks!$K$640&amp;IF(Checks!$O$640="","",IF(Checks!$K$640="","",CHAR(10))&amp;"Note: "&amp;Checks!$O$640)</f>
        <v>Enter expected &amp; actual
Note: Confirm on board before departure; completion time must fall inside the uplift window.</v>
      </c>
      <c r="C47" s="114" t="str">
        <f aca="false">Checks!$N$640&amp;CHAR(10)&amp;IF(ISNUMBER(Checks!$R$640),TEXT(Checks!$R$640,"DD-MMM-YY HH:MM"),"")&amp;" "&amp;Checks!$P$640</f>
        <v>Required
29-Oct-26 09:40 KIX</v>
      </c>
      <c r="D47" s="114" t="str">
        <f aca="false">IF(Checks!$U$640="","",Checks!$U$640)&amp;IF(Checks!$AB$640="","",CHAR(10)&amp;"CA: "&amp;Checks!$AB$640)</f>
        <v/>
      </c>
      <c r="E47" s="114" t="str">
        <f aca="false">IF(Checks!$V$640="","",Checks!$V$640)&amp;IF(Checks!$AC$640="","",IF(Checks!$V$640="","",CHAR(10))&amp;"N/A just.: "&amp;Checks!$AC$640)&amp;IF(Checks!$W$640="","",CHAR(10)&amp;"Batch: "&amp;Checks!$W$640)&amp;IF(AND(Checks!$X$640="",Checks!$Y$640=""),"",CHAR(10)&amp;"Exp: "&amp;Checks!$X$640&amp;"  /  Act: "&amp;Checks!$Y$640)</f>
        <v/>
      </c>
      <c r="F47" s="114" t="str">
        <f aca="false">IF(Checks!$Z$640="","","Evidence: "&amp;Checks!$Z$640)&amp;IF(Checks!$AA$640="","",IF(Checks!$Z$640="","",CHAR(10))&amp;"CA: "&amp;Checks!$AA$640)</f>
        <v/>
      </c>
      <c r="G47" s="114" t="str">
        <f aca="false">IF(ISNUMBER(Checks!$AD$640),TEXT(Checks!$AD$640,"DD-MMM-YY HH:MM")&amp;" "&amp;Checks!$P$640,"")&amp;IF(Checks!$AE$640="","",CHAR(10)&amp;"Verifier: "&amp;Checks!$AE$640)&amp;IF(Checks!$T$640="","",CHAR(10)&amp;"PIC: "&amp;Checks!$T$640)</f>
        <v/>
      </c>
      <c r="H47" s="115" t="str">
        <f aca="false">IF(Checks!$AH$640="","",Checks!$AH$640)</f>
        <v>OPEN</v>
      </c>
    </row>
    <row r="48" customFormat="false" ht="114" hidden="false" customHeight="true" outlineLevel="0" collapsed="false">
      <c r="A48" s="114" t="str">
        <f aca="false">Checks!$A$641&amp;CHAR(10)&amp;IF(Checks!$I$641="","",Checks!$I$641&amp;": ")&amp;Checks!$J$641</f>
        <v>F19-UPL-03
Seat Linen: Seat pillow (EY) - on board</v>
      </c>
      <c r="B48" s="114" t="str">
        <f aca="false">Checks!$K$641&amp;IF(Checks!$O$641="","",IF(Checks!$K$641="","",CHAR(10))&amp;"Note: "&amp;Checks!$O$641)</f>
        <v>Available 100% (ticked in reference)</v>
      </c>
      <c r="C48" s="114" t="str">
        <f aca="false">Checks!$N$641&amp;CHAR(10)&amp;IF(ISNUMBER(Checks!$R$641),TEXT(Checks!$R$641,"DD-MMM-YY HH:MM"),"")&amp;" "&amp;Checks!$P$641</f>
        <v>Required
29-Oct-26 09:40 KIX</v>
      </c>
      <c r="D48" s="114" t="str">
        <f aca="false">IF(Checks!$U$641="","",Checks!$U$641)&amp;IF(Checks!$AB$641="","",CHAR(10)&amp;"CA: "&amp;Checks!$AB$641)</f>
        <v/>
      </c>
      <c r="E48" s="114" t="str">
        <f aca="false">IF(Checks!$V$641="","",Checks!$V$641)&amp;IF(Checks!$AC$641="","",IF(Checks!$V$641="","",CHAR(10))&amp;"N/A just.: "&amp;Checks!$AC$641)&amp;IF(Checks!$W$641="","",CHAR(10)&amp;"Batch: "&amp;Checks!$W$641)&amp;IF(AND(Checks!$X$641="",Checks!$Y$641=""),"",CHAR(10)&amp;"Exp: "&amp;Checks!$X$641&amp;"  /  Act: "&amp;Checks!$Y$641)</f>
        <v/>
      </c>
      <c r="F48" s="114" t="str">
        <f aca="false">IF(Checks!$Z$641="","","Evidence: "&amp;Checks!$Z$641)&amp;IF(Checks!$AA$641="","",IF(Checks!$Z$641="","",CHAR(10))&amp;"CA: "&amp;Checks!$AA$641)</f>
        <v/>
      </c>
      <c r="G48" s="114" t="str">
        <f aca="false">IF(ISNUMBER(Checks!$AD$641),TEXT(Checks!$AD$641,"DD-MMM-YY HH:MM")&amp;" "&amp;Checks!$P$641,"")&amp;IF(Checks!$AE$641="","",CHAR(10)&amp;"Verifier: "&amp;Checks!$AE$641)&amp;IF(Checks!$T$641="","",CHAR(10)&amp;"PIC: "&amp;Checks!$T$641)</f>
        <v/>
      </c>
      <c r="H48" s="115" t="str">
        <f aca="false">IF(Checks!$AH$641="","",Checks!$AH$641)</f>
        <v>OPEN</v>
      </c>
    </row>
    <row r="49" customFormat="false" ht="135.75" hidden="false" customHeight="true" outlineLevel="0" collapsed="false">
      <c r="A49" s="114" t="str">
        <f aca="false">Checks!$A$642&amp;CHAR(10)&amp;IF(Checks!$I$642="","",Checks!$I$642&amp;": ")&amp;Checks!$J$642</f>
        <v>F19-UPL-04
Seat Linen: Blanket (EY) - on board</v>
      </c>
      <c r="B49" s="114" t="str">
        <f aca="false">SUBSTITUTE(Checks!$K$642&amp;IF(Checks!$O$642="","",IF(Checks!$K$642="","",CHAR(10))&amp;"Note: "&amp;Checks!$O$642),"SEAT LINEN!","Ref: SEAT LINEN!")</f>
        <v>Available 100% (ticked in reference); qty 280
Note: EY blanket: flight above 3 hours excl. Regional (Ref: SEAT LINEN!B74:C74); block 8.08 h. Qty 280 pcs (14 bundles) for A332/A333/A339 (Ref: SEAT LINEN!B75:C75).</v>
      </c>
      <c r="C49" s="114" t="str">
        <f aca="false">Checks!$N$642&amp;CHAR(10)&amp;IF(ISNUMBER(Checks!$R$642),TEXT(Checks!$R$642,"DD-MMM-YY HH:MM"),"")&amp;" "&amp;Checks!$P$642</f>
        <v>Required
29-Oct-26 09:40 KIX</v>
      </c>
      <c r="D49" s="114" t="str">
        <f aca="false">IF(Checks!$U$642="","",Checks!$U$642)&amp;IF(Checks!$AB$642="","",CHAR(10)&amp;"CA: "&amp;Checks!$AB$642)</f>
        <v/>
      </c>
      <c r="E49" s="114" t="str">
        <f aca="false">IF(Checks!$V$642="","",Checks!$V$642)&amp;IF(Checks!$AC$642="","",IF(Checks!$V$642="","",CHAR(10))&amp;"N/A just.: "&amp;Checks!$AC$642)&amp;IF(Checks!$W$642="","",CHAR(10)&amp;"Batch: "&amp;Checks!$W$642)&amp;IF(AND(Checks!$X$642="",Checks!$Y$642=""),"",CHAR(10)&amp;"Exp: "&amp;Checks!$X$642&amp;"  /  Act: "&amp;Checks!$Y$642)</f>
        <v>
Exp: 280  /  Act: </v>
      </c>
      <c r="F49" s="114" t="str">
        <f aca="false">IF(Checks!$Z$642="","","Evidence: "&amp;Checks!$Z$642)&amp;IF(Checks!$AA$642="","",IF(Checks!$Z$642="","",CHAR(10))&amp;"CA: "&amp;Checks!$AA$642)</f>
        <v/>
      </c>
      <c r="G49" s="114" t="str">
        <f aca="false">IF(ISNUMBER(Checks!$AD$642),TEXT(Checks!$AD$642,"DD-MMM-YY HH:MM")&amp;" "&amp;Checks!$P$642,"")&amp;IF(Checks!$AE$642="","",CHAR(10)&amp;"Verifier: "&amp;Checks!$AE$642)&amp;IF(Checks!$T$642="","",CHAR(10)&amp;"PIC: "&amp;Checks!$T$642)</f>
        <v/>
      </c>
      <c r="H49" s="115" t="str">
        <f aca="false">IF(Checks!$AH$642="","",Checks!$AH$642)</f>
        <v>OPEN</v>
      </c>
    </row>
    <row r="50" customFormat="false" ht="135.75" hidden="false" customHeight="true" outlineLevel="0" collapsed="false">
      <c r="A50" s="114" t="str">
        <f aca="false">Checks!$A$643&amp;CHAR(10)&amp;IF(Checks!$I$643="","",Checks!$I$643&amp;": ")&amp;Checks!$J$643</f>
        <v>F19-UPL-05
Sales Cart: Sales cart (caterer PASB) - on board</v>
      </c>
      <c r="B50" s="114" t="str">
        <f aca="false">Checks!$K$643&amp;IF(Checks!$O$643="","",IF(Checks!$K$643="","",CHAR(10))&amp;"Note: "&amp;Checks!$O$643)</f>
        <v>Location 643 &amp; 947 (A333, full cart)
Note: Block 8.08 h &gt;= 4 h. Reference names caterer PASB for the KUL/KIX/KUL sector but no uplift station: confirm whether the KIX-KUL sales cart is loaded at KUL (round trip) or at KIX.</v>
      </c>
      <c r="C50" s="114" t="str">
        <f aca="false">Checks!$N$643&amp;CHAR(10)&amp;IF(ISNUMBER(Checks!$R$643),TEXT(Checks!$R$643,"DD-MMM-YY HH:MM"),"")&amp;" "&amp;Checks!$P$643</f>
        <v>Clarification required
29-Oct-26 09:40 KIX</v>
      </c>
      <c r="D50" s="114" t="str">
        <f aca="false">IF(Checks!$U$643="","",Checks!$U$643)&amp;IF(Checks!$AB$643="","",CHAR(10)&amp;"CA: "&amp;Checks!$AB$643)</f>
        <v/>
      </c>
      <c r="E50" s="114" t="str">
        <f aca="false">IF(Checks!$V$643="","",Checks!$V$643)&amp;IF(Checks!$AC$643="","",IF(Checks!$V$643="","",CHAR(10))&amp;"N/A just.: "&amp;Checks!$AC$643)&amp;IF(Checks!$W$643="","",CHAR(10)&amp;"Batch: "&amp;Checks!$W$643)&amp;IF(AND(Checks!$X$643="",Checks!$Y$643=""),"",CHAR(10)&amp;"Exp: "&amp;Checks!$X$643&amp;"  /  Act: "&amp;Checks!$Y$643)</f>
        <v/>
      </c>
      <c r="F50" s="114" t="str">
        <f aca="false">IF(Checks!$Z$643="","","Evidence: "&amp;Checks!$Z$643)&amp;IF(Checks!$AA$643="","",IF(Checks!$Z$643="","",CHAR(10))&amp;"CA: "&amp;Checks!$AA$643)</f>
        <v/>
      </c>
      <c r="G50" s="114" t="str">
        <f aca="false">IF(ISNUMBER(Checks!$AD$643),TEXT(Checks!$AD$643,"DD-MMM-YY HH:MM")&amp;" "&amp;Checks!$P$643,"")&amp;IF(Checks!$AE$643="","",CHAR(10)&amp;"Verifier: "&amp;Checks!$AE$643)&amp;IF(Checks!$T$643="","",CHAR(10)&amp;"PIC: "&amp;Checks!$T$643)</f>
        <v/>
      </c>
      <c r="H50" s="115" t="str">
        <f aca="false">IF(Checks!$AH$643="","",Checks!$AH$643)</f>
        <v>OPEN – CLARIFICATION</v>
      </c>
    </row>
    <row r="52" customFormat="false" ht="24" hidden="false" customHeight="true" outlineLevel="0" collapsed="false">
      <c r="A52" s="116" t="s">
        <v>1737</v>
      </c>
      <c r="B52" s="116"/>
      <c r="C52" s="116"/>
      <c r="D52" s="116"/>
      <c r="E52" s="116" t="s">
        <v>1738</v>
      </c>
      <c r="F52" s="116"/>
      <c r="G52" s="116"/>
      <c r="H52" s="116"/>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row r="59" customFormat="false" ht="21.75" hidden="false" customHeight="true" outlineLevel="0" collapsed="false">
      <c r="A59" s="117"/>
      <c r="B59" s="117"/>
      <c r="C59" s="117"/>
      <c r="D59" s="117"/>
      <c r="E59" s="117"/>
      <c r="F59" s="117"/>
      <c r="G59" s="117"/>
      <c r="H59" s="117"/>
    </row>
    <row r="60" customFormat="false" ht="21.75" hidden="false" customHeight="true" outlineLevel="0" collapsed="false">
      <c r="A60" s="117"/>
      <c r="B60" s="117"/>
      <c r="C60" s="117"/>
      <c r="D60" s="117"/>
      <c r="E60" s="117"/>
      <c r="F60" s="117"/>
      <c r="G60" s="117"/>
      <c r="H60" s="117"/>
    </row>
    <row r="61" customFormat="false" ht="21.75" hidden="false" customHeight="true" outlineLevel="0" collapsed="false">
      <c r="A61" s="117"/>
      <c r="B61" s="117"/>
      <c r="C61" s="117"/>
      <c r="D61" s="117"/>
      <c r="E61" s="117"/>
      <c r="F61" s="117"/>
      <c r="G61" s="117"/>
      <c r="H61" s="117"/>
    </row>
    <row r="62" customFormat="false" ht="21.75" hidden="false" customHeight="true" outlineLevel="0" collapsed="false">
      <c r="A62" s="117"/>
      <c r="B62" s="117"/>
      <c r="C62" s="117"/>
      <c r="D62" s="117"/>
      <c r="E62" s="117"/>
      <c r="F62" s="117"/>
      <c r="G62" s="117"/>
      <c r="H62"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5:H45"/>
    <mergeCell ref="A52:D52"/>
    <mergeCell ref="E52:H52"/>
    <mergeCell ref="A53:D62"/>
    <mergeCell ref="E53:H62"/>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50">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50">
    <cfRule type="expression" priority="17" aboveAverage="0" equalAverage="0" bottom="0" percent="0" rank="0" text="" dxfId="34">
      <formula>LEFT($H23,3)="N/A"</formula>
    </cfRule>
  </conditionalFormatting>
  <conditionalFormatting sqref="D23:D50">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F19 MH0053 29-Oct-26 KIX-KUL Class EY</oddHeader>
    <oddFooter>&amp;L&amp;"Arial,Bold"&amp;8 F19 MH0053 29-Oct-26 KIX-KUL Class EY&amp;C&amp;"Arial,Regular"&amp;8 Printed: ____________________&amp;R&amp;"Arial,Regular"&amp;8 F19  Page &amp;P of &amp;N</oddFooter>
  </headerFooter>
  <rowBreaks count="8" manualBreakCount="8">
    <brk id="20" man="true" max="16383" min="0"/>
    <brk id="26" man="true" max="16383" min="0"/>
    <brk id="30" man="true" max="16383" min="0"/>
    <brk id="35" man="true" max="16383" min="0"/>
    <brk id="39" man="true" max="16383" min="0"/>
    <brk id="42" man="true" max="16383" min="0"/>
    <brk id="44" man="true" max="16383" min="0"/>
    <brk id="48" man="true" max="16383" min="0"/>
  </rowBreaks>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F20  "&amp;Flights!$F$24&amp;"  "&amp;TEXT(Flights!$D$24,"DD-MMM-YY")&amp;" ("&amp;Flights!$E$24&amp;")  "&amp;Flights!$G$24&amp;" → "&amp;Flights!$H$24&amp;"  |  Class "&amp;Flights!$K$24</f>
        <v>SKYTRAX 2026 CATERING READINESS CHECKLIST  |  F20  MH1450  29-Oct-26 (THU)  KUL → LGK  |  Class EY</v>
      </c>
      <c r="B1" s="92"/>
      <c r="C1" s="92"/>
      <c r="D1" s="92"/>
      <c r="E1" s="92"/>
      <c r="F1" s="92"/>
      <c r="G1" s="92"/>
      <c r="H1" s="92"/>
    </row>
    <row r="2" customFormat="false" ht="12.75" hidden="false" customHeight="true" outlineLevel="0" collapsed="false">
      <c r="A2" s="93" t="s">
        <v>1692</v>
      </c>
      <c r="B2" s="94" t="str">
        <f aca="false">Flights!$F$24&amp;"   "&amp;TEXT(Flights!$D$24,"DD-MMM-YY")&amp;" ("&amp;Flights!$E$24&amp;")"</f>
        <v>MH1450   29-Oct-26 (THU)</v>
      </c>
      <c r="C2" s="94"/>
      <c r="D2" s="94"/>
      <c r="E2" s="95" t="s">
        <v>1693</v>
      </c>
      <c r="F2" s="96" t="str">
        <f aca="false">Flights!$AT$24</f>
        <v>NOT READY – DOCUMENTS</v>
      </c>
      <c r="G2" s="96"/>
      <c r="H2" s="96"/>
    </row>
    <row r="3" customFormat="false" ht="24" hidden="false" customHeight="true" outlineLevel="0" collapsed="false">
      <c r="A3" s="93" t="s">
        <v>1694</v>
      </c>
      <c r="B3" s="94" t="str">
        <f aca="false">Flights!$G$24&amp;" → "&amp;Flights!$H$24&amp;"   Class "&amp;Flights!$K$24&amp;"   Seat "&amp;Flights!$O$24</f>
        <v>KUL → LGK   Class EY   Seat 4A</v>
      </c>
      <c r="C3" s="94"/>
      <c r="D3" s="94"/>
      <c r="E3" s="95" t="s">
        <v>71</v>
      </c>
      <c r="F3" s="95" t="s">
        <v>1695</v>
      </c>
      <c r="G3" s="95" t="s">
        <v>1696</v>
      </c>
      <c r="H3" s="95"/>
    </row>
    <row r="4" customFormat="false" ht="24" hidden="false" customHeight="true" outlineLevel="0" collapsed="false">
      <c r="A4" s="93" t="s">
        <v>1697</v>
      </c>
      <c r="B4" s="94" t="str">
        <f aca="false">IF(ISNUMBER(Flights!$I$24),TEXT(Flights!$I$24,"DD-MMM-YY HH:MM"),"")&amp;" "&amp;Flights!$G$24&amp;"  →  "&amp;IF(ISNUMBER(Flights!$J$24),TEXT(Flights!$J$24,"DD-MMM-YY HH:MM"),"")&amp;" "&amp;Flights!$H$24</f>
        <v>29-Oct-26 18:30 KUL  →  29-Oct-26 20:00 LGK</v>
      </c>
      <c r="C4" s="94"/>
      <c r="D4" s="94"/>
      <c r="E4" s="93" t="s">
        <v>1698</v>
      </c>
      <c r="F4" s="97" t="str">
        <f aca="false">IF(ISNUMBER(Flights!$AG$24),TEXT(Flights!$AG$24,"DD-MMM-YY HH:MM"),"")&amp;" "&amp;Flights!$V$24</f>
        <v>22-Oct-26 18:30 KUL</v>
      </c>
      <c r="G4" s="98" t="n">
        <f aca="false">Flights!$AJ$24</f>
        <v>0</v>
      </c>
      <c r="H4" s="98"/>
    </row>
    <row r="5" customFormat="false" ht="24" hidden="false" customHeight="true" outlineLevel="0" collapsed="false">
      <c r="A5" s="93" t="s">
        <v>1699</v>
      </c>
      <c r="B5" s="94" t="str">
        <f aca="false">Flights!$L$24&amp;" – "&amp;Flights!$M$24</f>
        <v>B738MAX – B737-8 (B7M8)</v>
      </c>
      <c r="C5" s="94"/>
      <c r="D5" s="94"/>
      <c r="E5" s="93" t="s">
        <v>1700</v>
      </c>
      <c r="F5" s="97" t="str">
        <f aca="false">IF(ISNUMBER(Flights!$AH$24),TEXT(Flights!$AH$24,"DD-MMM-YY HH:MM"),"")&amp;" "&amp;Flights!$V$24</f>
        <v>28-Oct-26 18:30 KUL</v>
      </c>
      <c r="G5" s="98" t="n">
        <f aca="false">Flights!$AK$24</f>
        <v>0</v>
      </c>
      <c r="H5" s="98"/>
    </row>
    <row r="6" customFormat="false" ht="24" hidden="false" customHeight="true" outlineLevel="0" collapsed="false">
      <c r="A6" s="93" t="s">
        <v>1701</v>
      </c>
      <c r="B6" s="94" t="str">
        <f aca="false">IF(TRIM(Flights!$N$24)="","__________________",Flights!$N$24)</f>
        <v>__________________</v>
      </c>
      <c r="C6" s="94"/>
      <c r="D6" s="94"/>
      <c r="E6" s="93" t="s">
        <v>1702</v>
      </c>
      <c r="F6" s="97" t="str">
        <f aca="false">IF(ISNUMBER(Flights!$AI$24),TEXT(Flights!$AI$24,"DD-MMM-YY HH:MM"),"")&amp;" "&amp;Flights!$V$24&amp;IF(Flights!$AI$24=Flights!$AH$24,"  (= T-24H due)","")</f>
        <v>29-Oct-26 06:30 KUL</v>
      </c>
      <c r="G6" s="98" t="n">
        <f aca="false">Flights!$AL$24</f>
        <v>0</v>
      </c>
      <c r="H6" s="98"/>
    </row>
    <row r="7" customFormat="false" ht="24" hidden="false" customHeight="true" outlineLevel="0" collapsed="false">
      <c r="A7" s="93" t="s">
        <v>1703</v>
      </c>
      <c r="B7" s="94" t="str">
        <f aca="false">Flights!$T$24</f>
        <v>Refreshment (Peanut &amp; Water)</v>
      </c>
      <c r="C7" s="94"/>
      <c r="D7" s="94"/>
      <c r="E7" s="93" t="s">
        <v>1704</v>
      </c>
      <c r="F7" s="97" t="str">
        <f aca="false">"STD "&amp;IF(ISNUMBER(Flights!$I$24),TEXT(Flights!$I$24,"DD-MMM-YY HH:MM"),"")&amp;" "&amp;Flights!$G$24&amp;" (dep stn)"</f>
        <v>STD 29-Oct-26 18:30 KUL (dep stn)</v>
      </c>
      <c r="G7" s="98" t="n">
        <f aca="false">Flights!$AM$24</f>
        <v>0</v>
      </c>
      <c r="H7" s="98"/>
    </row>
    <row r="8" customFormat="false" ht="12.75" hidden="false" customHeight="true" outlineLevel="0" collapsed="false">
      <c r="A8" s="93" t="s">
        <v>153</v>
      </c>
      <c r="B8" s="94" t="str">
        <f aca="false">Flights!$V$24&amp;"   (reference uplift stns: "&amp;Flights!$U$24&amp;")"</f>
        <v>KUL   (reference uplift stns: KUL)</v>
      </c>
      <c r="C8" s="94"/>
      <c r="D8" s="94"/>
      <c r="E8" s="93" t="s">
        <v>1705</v>
      </c>
      <c r="F8" s="99" t="s">
        <v>1706</v>
      </c>
      <c r="G8" s="98" t="n">
        <f aca="false">Flights!$AN$24</f>
        <v>0</v>
      </c>
      <c r="H8" s="98"/>
    </row>
    <row r="9" customFormat="false" ht="12.75" hidden="false" customHeight="true" outlineLevel="0" collapsed="false">
      <c r="A9" s="93" t="s">
        <v>1707</v>
      </c>
      <c r="B9" s="94" t="str">
        <f aca="false">TRIM(Flights!$P$24&amp;"  "&amp;Flights!$Q$24)</f>
        <v>1H 45M Overnight LGK</v>
      </c>
      <c r="C9" s="94"/>
      <c r="D9" s="94"/>
      <c r="E9" s="93" t="s">
        <v>1708</v>
      </c>
      <c r="F9" s="100" t="n">
        <f aca="false">Flights!$AP$24</f>
        <v>0</v>
      </c>
      <c r="G9" s="100" t="n">
        <f aca="false">Flights!$AQ$24</f>
        <v>0</v>
      </c>
      <c r="H9" s="100" t="n">
        <f aca="false">Flights!$AU$24</f>
        <v>0</v>
      </c>
    </row>
    <row r="10" customFormat="false" ht="24" hidden="false" customHeight="true" outlineLevel="0" collapsed="false">
      <c r="A10" s="93" t="s">
        <v>1709</v>
      </c>
      <c r="B10" s="94" t="str">
        <f aca="false">IF(TRIM(Flights!$X$24)="","__________________",Flights!$X$24)</f>
        <v>__________________</v>
      </c>
      <c r="C10" s="94"/>
      <c r="D10" s="94"/>
      <c r="E10" s="93" t="s">
        <v>1710</v>
      </c>
      <c r="F10" s="100" t="n">
        <f aca="false">Flights!$AO$24</f>
        <v>20</v>
      </c>
      <c r="G10" s="100" t="n">
        <f aca="false">Flights!$AS$24</f>
        <v>0</v>
      </c>
      <c r="H10" s="100" t="n">
        <f aca="false">Flights!$AR$24</f>
        <v>2</v>
      </c>
    </row>
    <row r="11" customFormat="false" ht="21" hidden="false" customHeight="true" outlineLevel="0" collapsed="false">
      <c r="A11" s="93" t="s">
        <v>1711</v>
      </c>
      <c r="B11" s="94" t="str">
        <f aca="false">IF(TRIM(Flights!$Y$24)="","__________________",Flights!$Y$24)</f>
        <v>__________________</v>
      </c>
      <c r="C11" s="94"/>
      <c r="D11" s="94"/>
      <c r="E11" s="93" t="s">
        <v>1712</v>
      </c>
      <c r="F11" s="100" t="str">
        <f aca="false">Flights!$AV$24&amp;" / "&amp;Flights!$AW$24</f>
        <v>0 / 20</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IF(Documents!$F$24="","",Documents!$F$24)</f>
        <v/>
      </c>
      <c r="C14" s="99" t="str">
        <f aca="false">IF(Documents!$G$24="","",Documents!$G$24)&amp;IF(ISNUMBER(Documents!$H$24),"  "&amp;TEXT(Documents!$H$24,"DD-MMM-YY"),"")</f>
        <v/>
      </c>
      <c r="D14" s="99"/>
      <c r="E14" s="107" t="str">
        <f aca="false">IF(Documents!$J$24="OUTSTANDING","OUTSTANDING – attach before T-7D (due "&amp;IF(ISNUMBER(Flights!$AG$24),TEXT(Flights!$AG$24,"DD-MMM-YY HH:MM"),"")&amp;" "&amp;Flights!$V$24&amp;")",IF(Documents!$J$24="","Status not recorded",Documents!$J$24))</f>
        <v>OUTSTANDING – attach before T-7D (due 22-Oct-26 18:30 KUL)</v>
      </c>
      <c r="F14" s="108" t="str">
        <f aca="false">"Staple behind this sheet as page A1."&amp;IF(Documents!$I$24="",""," Location: "&amp;Documents!$I$24)</f>
        <v>Staple behind this sheet as page A1.</v>
      </c>
      <c r="G14" s="108"/>
      <c r="H14" s="108"/>
    </row>
    <row r="15" customFormat="false" ht="36" hidden="false" customHeight="true" outlineLevel="0" collapsed="false">
      <c r="A15" s="93" t="s">
        <v>1723</v>
      </c>
      <c r="B15" s="94" t="str">
        <f aca="false">IF(Documents!$K$24="","",Documents!$K$24)</f>
        <v/>
      </c>
      <c r="C15" s="99" t="str">
        <f aca="false">IF(Documents!$L$24="","",Documents!$L$24)&amp;IF(ISNUMBER(Documents!$M$24),"  "&amp;TEXT(Documents!$M$24,"DD-MMM-YY"),"")</f>
        <v/>
      </c>
      <c r="D15" s="99"/>
      <c r="E15" s="107" t="str">
        <f aca="false">IF(Documents!$O$24="OUTSTANDING","OUTSTANDING – attach before T-7D (due "&amp;IF(ISNUMBER(Flights!$AG$24),TEXT(Flights!$AG$24,"DD-MMM-YY HH:MM"),"")&amp;" "&amp;Flights!$V$24&amp;")",IF(Documents!$O$24="","Status not recorded",Documents!$O$24))</f>
        <v>OUTSTANDING – attach before T-7D (due 22-Oct-26 18:30 KUL)</v>
      </c>
      <c r="F15" s="108" t="str">
        <f aca="false">"Staple behind this sheet as page A2."&amp;IF(Documents!$N$24="",""," Location: "&amp;Documents!$N$24)</f>
        <v>Staple behind this sheet as page A2.</v>
      </c>
      <c r="G15" s="108"/>
      <c r="H15" s="108"/>
    </row>
    <row r="16" customFormat="false" ht="22.5" hidden="false" customHeight="true" outlineLevel="0" collapsed="false">
      <c r="A16" s="93" t="s">
        <v>1724</v>
      </c>
      <c r="B16" s="109" t="str">
        <f aca="false">IF(Documents!$Q$24="","",Documents!$Q$24)</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"&amp;IF(TRIM(Flights!$Y$24)="","__________________",Flights!$Y$24)</f>
        <v>Name: __________________</v>
      </c>
      <c r="B18" s="94"/>
      <c r="C18" s="94" t="str">
        <f aca="false">"Name: __________________"</f>
        <v>Name: __________________</v>
      </c>
      <c r="D18" s="94"/>
      <c r="E18" s="94"/>
      <c r="F18" s="94" t="str">
        <f aca="false">"Name: __________________"&amp;"   Station: "&amp;Flights!$V$24</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"&amp;IF(ISNUMBER(Flights!$AG$24),TEXT(Flights!$AG$24,"DD-MMM-YY HH:MM"),"")&amp;" "&amp;Flights!$V$24&amp;" (meal uplift stn)"&amp;" (rows with another due show their own)  |  Complete "&amp;IF(ISNUMBER(Flights!$AJ$24),TEXT(Flights!$AJ$24,"0%"),Flights!$AJ$24)&amp;"  |  9 lines"</f>
        <v>T-7D — 7 days before departure  |  Due 22-Oct-26 18:30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Checks!$A$644&amp;CHAR(10)&amp;IF(Checks!$I$644="","",Checks!$I$644&amp;": ")&amp;Checks!$J$644</f>
        <v>F20-T7-01
Meal: Meal sensory testing completed for this flight's menu cycle (assessed class)</v>
      </c>
      <c r="B23" s="114" t="str">
        <f aca="false">Checks!$K$644&amp;IF(Checks!$O$644="","",IF(Checks!$K$644="","",CHAR(10))&amp;"Note: "&amp;Checks!$O$644)</f>
        <v>Record panel result / score in Result
Note: Refreshment service: sensory test covers the refreshment items.</v>
      </c>
      <c r="C23" s="114" t="str">
        <f aca="false">Checks!$N$644&amp;CHAR(10)&amp;IF(ISNUMBER(Checks!$R$644),TEXT(Checks!$R$644,"DD-MMM-YY HH:MM"),"")&amp;" "&amp;Checks!$P$644</f>
        <v>Required
22-Oct-26 18:30 KUL</v>
      </c>
      <c r="D23" s="114" t="str">
        <f aca="false">IF(Checks!$U$644="","",Checks!$U$644)&amp;IF(Checks!$AB$644="","",CHAR(10)&amp;"CA: "&amp;Checks!$AB$644)</f>
        <v/>
      </c>
      <c r="E23" s="114" t="str">
        <f aca="false">IF(Checks!$V$644="","",Checks!$V$644)&amp;IF(Checks!$AC$644="","",IF(Checks!$V$644="","",CHAR(10))&amp;"N/A just.: "&amp;Checks!$AC$644)&amp;IF(Checks!$W$644="","",CHAR(10)&amp;"Batch: "&amp;Checks!$W$644)&amp;IF(AND(Checks!$X$644="",Checks!$Y$644=""),"",CHAR(10)&amp;"Exp: "&amp;Checks!$X$644&amp;"  /  Act: "&amp;Checks!$Y$644)</f>
        <v/>
      </c>
      <c r="F23" s="114" t="str">
        <f aca="false">IF(Checks!$Z$644="","","Evidence: "&amp;Checks!$Z$644)&amp;IF(Checks!$AA$644="","",IF(Checks!$Z$644="","",CHAR(10))&amp;"CA: "&amp;Checks!$AA$644)</f>
        <v/>
      </c>
      <c r="G23" s="114" t="str">
        <f aca="false">IF(ISNUMBER(Checks!$AD$644),TEXT(Checks!$AD$644,"DD-MMM-YY HH:MM")&amp;" "&amp;Checks!$P$644,"")&amp;IF(Checks!$AE$644="","",CHAR(10)&amp;"Verifier: "&amp;Checks!$AE$644)&amp;IF(Checks!$T$644="","",CHAR(10)&amp;"PIC: "&amp;Checks!$T$644)</f>
        <v/>
      </c>
      <c r="H23" s="115" t="str">
        <f aca="false">IF(Checks!$AH$644="","",Checks!$AH$644)</f>
        <v>OPEN</v>
      </c>
    </row>
    <row r="24" customFormat="false" ht="114" hidden="false" customHeight="true" outlineLevel="0" collapsed="false">
      <c r="A24" s="114" t="str">
        <f aca="false">Checks!$A$645&amp;CHAR(10)&amp;IF(Checks!$I$645="","",Checks!$I$645&amp;": ")&amp;Checks!$J$645</f>
        <v>F20-T7-02
Menu: Printed menu cards confirmed (content, cycle, language, quantity)</v>
      </c>
      <c r="B24" s="114" t="str">
        <f aca="false">Checks!$K$645&amp;IF(Checks!$O$645="","",IF(Checks!$K$645="","",CHAR(10))&amp;"Note: "&amp;Checks!$O$645)</f>
        <v>Menu card matches approved menu for this flight
Note: Refreshment service (peanut &amp; water). If no printed menu card is used, mark N/A with the confirmation as justification.</v>
      </c>
      <c r="C24" s="114" t="str">
        <f aca="false">Checks!$N$645&amp;CHAR(10)&amp;IF(ISNUMBER(Checks!$R$645),TEXT(Checks!$R$645,"DD-MMM-YY HH:MM"),"")&amp;" "&amp;Checks!$P$645</f>
        <v>Required
22-Oct-26 18:30 KUL</v>
      </c>
      <c r="D24" s="114" t="str">
        <f aca="false">IF(Checks!$U$645="","",Checks!$U$645)&amp;IF(Checks!$AB$645="","",CHAR(10)&amp;"CA: "&amp;Checks!$AB$645)</f>
        <v/>
      </c>
      <c r="E24" s="114" t="str">
        <f aca="false">IF(Checks!$V$645="","",Checks!$V$645)&amp;IF(Checks!$AC$645="","",IF(Checks!$V$645="","",CHAR(10))&amp;"N/A just.: "&amp;Checks!$AC$645)&amp;IF(Checks!$W$645="","",CHAR(10)&amp;"Batch: "&amp;Checks!$W$645)&amp;IF(AND(Checks!$X$645="",Checks!$Y$645=""),"",CHAR(10)&amp;"Exp: "&amp;Checks!$X$645&amp;"  /  Act: "&amp;Checks!$Y$645)</f>
        <v/>
      </c>
      <c r="F24" s="114" t="str">
        <f aca="false">IF(Checks!$Z$645="","","Evidence: "&amp;Checks!$Z$645)&amp;IF(Checks!$AA$645="","",IF(Checks!$Z$645="","",CHAR(10))&amp;"CA: "&amp;Checks!$AA$645)</f>
        <v/>
      </c>
      <c r="G24" s="114" t="str">
        <f aca="false">IF(ISNUMBER(Checks!$AD$645),TEXT(Checks!$AD$645,"DD-MMM-YY HH:MM")&amp;" "&amp;Checks!$P$645,"")&amp;IF(Checks!$AE$645="","",CHAR(10)&amp;"Verifier: "&amp;Checks!$AE$645)&amp;IF(Checks!$T$645="","",CHAR(10)&amp;"PIC: "&amp;Checks!$T$645)</f>
        <v/>
      </c>
      <c r="H24" s="115" t="str">
        <f aca="false">IF(Checks!$AH$645="","",Checks!$AH$645)</f>
        <v>OPEN</v>
      </c>
    </row>
    <row r="25" customFormat="false" ht="114" hidden="false" customHeight="true" outlineLevel="0" collapsed="false">
      <c r="A25" s="114" t="str">
        <f aca="false">Checks!$A$646&amp;CHAR(10)&amp;IF(Checks!$I$646="","",Checks!$I$646&amp;": ")&amp;Checks!$J$646</f>
        <v>F20-T7-03
IFE: Digital menu in IFE confirmed (A339 only)</v>
      </c>
      <c r="B25" s="114" t="str">
        <f aca="false">Checks!$K$646&amp;IF(Checks!$O$646="","",IF(Checks!$K$646="","",CHAR(10))&amp;"Note: "&amp;Checks!$O$646)</f>
        <v>Applies when fleet = A339
Note: Digital IFE menu applies to A339 only (user brief). Applicability follows the Fleet cell on Flights.</v>
      </c>
      <c r="C25" s="114" t="str">
        <f aca="false">Checks!$N$646&amp;CHAR(10)&amp;IF(ISNUMBER(Checks!$R$646),TEXT(Checks!$R$646,"DD-MMM-YY HH:MM"),"")&amp;" "&amp;Checks!$P$646</f>
        <v>N/A – rule
22-Oct-26 18:30 KUL</v>
      </c>
      <c r="D25" s="114" t="str">
        <f aca="false">IF(Checks!$U$646="","",Checks!$U$646)&amp;IF(Checks!$AB$646="","",CHAR(10)&amp;"CA: "&amp;Checks!$AB$646)</f>
        <v/>
      </c>
      <c r="E25" s="114" t="str">
        <f aca="false">IF(Checks!$V$646="","",Checks!$V$646)&amp;IF(Checks!$AC$646="","",IF(Checks!$V$646="","",CHAR(10))&amp;"N/A just.: "&amp;Checks!$AC$646)&amp;IF(Checks!$W$646="","",CHAR(10)&amp;"Batch: "&amp;Checks!$W$646)&amp;IF(AND(Checks!$X$646="",Checks!$Y$646=""),"",CHAR(10)&amp;"Exp: "&amp;Checks!$X$646&amp;"  /  Act: "&amp;Checks!$Y$646)</f>
        <v/>
      </c>
      <c r="F25" s="114" t="str">
        <f aca="false">IF(Checks!$Z$646="","","Evidence: "&amp;Checks!$Z$646)&amp;IF(Checks!$AA$646="","",IF(Checks!$Z$646="","",CHAR(10))&amp;"CA: "&amp;Checks!$AA$646)</f>
        <v/>
      </c>
      <c r="G25" s="114" t="str">
        <f aca="false">IF(ISNUMBER(Checks!$AD$646),TEXT(Checks!$AD$646,"DD-MMM-YY HH:MM")&amp;" "&amp;Checks!$P$646,"")&amp;IF(Checks!$AE$646="","",CHAR(10)&amp;"Verifier: "&amp;Checks!$AE$646)&amp;IF(Checks!$T$646="","",CHAR(10)&amp;"PIC: "&amp;Checks!$T$646)</f>
        <v/>
      </c>
      <c r="H25" s="115" t="str">
        <f aca="false">IF(Checks!$AH$646="","",Checks!$AH$646)</f>
        <v>N/A – RULE</v>
      </c>
    </row>
    <row r="26" customFormat="false" ht="114" hidden="false" customHeight="true" outlineLevel="0" collapsed="false">
      <c r="A26" s="114" t="str">
        <f aca="false">Checks!$A$647&amp;CHAR(10)&amp;IF(Checks!$I$647="","",Checks!$I$647&amp;": ")&amp;Checks!$J$647</f>
        <v>F20-T7-04
Staffing: Experienced catering officer assigned to this flight</v>
      </c>
      <c r="B26" s="114" t="str">
        <f aca="false">Checks!$K$647&amp;IF(Checks!$O$647="","",IF(Checks!$K$647="","",CHAR(10))&amp;"Note: "&amp;Checks!$O$647)</f>
        <v>Record officer name in Result</v>
      </c>
      <c r="C26" s="114" t="str">
        <f aca="false">Checks!$N$647&amp;CHAR(10)&amp;IF(ISNUMBER(Checks!$R$647),TEXT(Checks!$R$647,"DD-MMM-YY HH:MM"),"")&amp;" "&amp;Checks!$P$647</f>
        <v>Required
22-Oct-26 18:30 KUL</v>
      </c>
      <c r="D26" s="114" t="str">
        <f aca="false">IF(Checks!$U$647="","",Checks!$U$647)&amp;IF(Checks!$AB$647="","",CHAR(10)&amp;"CA: "&amp;Checks!$AB$647)</f>
        <v/>
      </c>
      <c r="E26" s="114" t="str">
        <f aca="false">IF(Checks!$V$647="","",Checks!$V$647)&amp;IF(Checks!$AC$647="","",IF(Checks!$V$647="","",CHAR(10))&amp;"N/A just.: "&amp;Checks!$AC$647)&amp;IF(Checks!$W$647="","",CHAR(10)&amp;"Batch: "&amp;Checks!$W$647)&amp;IF(AND(Checks!$X$647="",Checks!$Y$647=""),"",CHAR(10)&amp;"Exp: "&amp;Checks!$X$647&amp;"  /  Act: "&amp;Checks!$Y$647)</f>
        <v/>
      </c>
      <c r="F26" s="114" t="str">
        <f aca="false">IF(Checks!$Z$647="","","Evidence: "&amp;Checks!$Z$647)&amp;IF(Checks!$AA$647="","",IF(Checks!$Z$647="","",CHAR(10))&amp;"CA: "&amp;Checks!$AA$647)</f>
        <v/>
      </c>
      <c r="G26" s="114" t="str">
        <f aca="false">IF(ISNUMBER(Checks!$AD$647),TEXT(Checks!$AD$647,"DD-MMM-YY HH:MM")&amp;" "&amp;Checks!$P$647,"")&amp;IF(Checks!$AE$647="","",CHAR(10)&amp;"Verifier: "&amp;Checks!$AE$647)&amp;IF(Checks!$T$647="","",CHAR(10)&amp;"PIC: "&amp;Checks!$T$647)</f>
        <v/>
      </c>
      <c r="H26" s="115" t="str">
        <f aca="false">IF(Checks!$AH$647="","",Checks!$AH$647)</f>
        <v>OPEN</v>
      </c>
    </row>
    <row r="27" customFormat="false" ht="114" hidden="false" customHeight="true" outlineLevel="0" collapsed="false">
      <c r="A27" s="114" t="str">
        <f aca="false">Checks!$A$648&amp;CHAR(10)&amp;IF(Checks!$I$648="","",Checks!$I$648&amp;": ")&amp;Checks!$J$648</f>
        <v>F20-T7-05
ISOP: All latest applicable ISOP revisions communicated to caterer</v>
      </c>
      <c r="B27" s="114" t="str">
        <f aca="false">Checks!$K$648&amp;IF(Checks!$O$648="","",IF(Checks!$K$648="","",CHAR(10))&amp;"Note: "&amp;Checks!$O$648)</f>
        <v>List revision numbers in Result (see ISOP register)</v>
      </c>
      <c r="C27" s="114" t="str">
        <f aca="false">Checks!$N$648&amp;CHAR(10)&amp;IF(ISNUMBER(Checks!$R$648),TEXT(Checks!$R$648,"DD-MMM-YY HH:MM"),"")&amp;" "&amp;Checks!$P$648</f>
        <v>Required
22-Oct-26 18:30 KUL</v>
      </c>
      <c r="D27" s="114" t="str">
        <f aca="false">IF(Checks!$U$648="","",Checks!$U$648)&amp;IF(Checks!$AB$648="","",CHAR(10)&amp;"CA: "&amp;Checks!$AB$648)</f>
        <v/>
      </c>
      <c r="E27" s="114" t="str">
        <f aca="false">IF(Checks!$V$648="","",Checks!$V$648)&amp;IF(Checks!$AC$648="","",IF(Checks!$V$648="","",CHAR(10))&amp;"N/A just.: "&amp;Checks!$AC$648)&amp;IF(Checks!$W$648="","",CHAR(10)&amp;"Batch: "&amp;Checks!$W$648)&amp;IF(AND(Checks!$X$648="",Checks!$Y$648=""),"",CHAR(10)&amp;"Exp: "&amp;Checks!$X$648&amp;"  /  Act: "&amp;Checks!$Y$648)</f>
        <v/>
      </c>
      <c r="F27" s="114" t="str">
        <f aca="false">IF(Checks!$Z$648="","","Evidence: "&amp;Checks!$Z$648)&amp;IF(Checks!$AA$648="","",IF(Checks!$Z$648="","",CHAR(10))&amp;"CA: "&amp;Checks!$AA$648)</f>
        <v/>
      </c>
      <c r="G27" s="114" t="str">
        <f aca="false">IF(ISNUMBER(Checks!$AD$648),TEXT(Checks!$AD$648,"DD-MMM-YY HH:MM")&amp;" "&amp;Checks!$P$648,"")&amp;IF(Checks!$AE$648="","",CHAR(10)&amp;"Verifier: "&amp;Checks!$AE$648)&amp;IF(Checks!$T$648="","",CHAR(10)&amp;"PIC: "&amp;Checks!$T$648)</f>
        <v/>
      </c>
      <c r="H27" s="115" t="str">
        <f aca="false">IF(Checks!$AH$648="","",Checks!$AH$648)</f>
        <v>OPEN</v>
      </c>
    </row>
    <row r="28" customFormat="false" ht="114" hidden="false" customHeight="true" outlineLevel="0" collapsed="false">
      <c r="A28" s="114" t="str">
        <f aca="false">Checks!$A$649&amp;CHAR(10)&amp;IF(Checks!$I$649="","",Checks!$I$649&amp;": ")&amp;Checks!$J$649</f>
        <v>F20-T7-06
ISOP: Caterer acknowledgement of ISOP revisions recorded</v>
      </c>
      <c r="B28" s="114" t="str">
        <f aca="false">Checks!$K$649&amp;IF(Checks!$O$649="","",IF(Checks!$K$649="","",CHAR(10))&amp;"Note: "&amp;Checks!$O$649)</f>
        <v>Record acknowledgement ref in Evidence</v>
      </c>
      <c r="C28" s="114" t="str">
        <f aca="false">Checks!$N$649&amp;CHAR(10)&amp;IF(ISNUMBER(Checks!$R$649),TEXT(Checks!$R$649,"DD-MMM-YY HH:MM"),"")&amp;" "&amp;Checks!$P$649</f>
        <v>Required
22-Oct-26 18:30 KUL</v>
      </c>
      <c r="D28" s="114" t="str">
        <f aca="false">IF(Checks!$U$649="","",Checks!$U$649)&amp;IF(Checks!$AB$649="","",CHAR(10)&amp;"CA: "&amp;Checks!$AB$649)</f>
        <v/>
      </c>
      <c r="E28" s="114" t="str">
        <f aca="false">IF(Checks!$V$649="","",Checks!$V$649)&amp;IF(Checks!$AC$649="","",IF(Checks!$V$649="","",CHAR(10))&amp;"N/A just.: "&amp;Checks!$AC$649)&amp;IF(Checks!$W$649="","",CHAR(10)&amp;"Batch: "&amp;Checks!$W$649)&amp;IF(AND(Checks!$X$649="",Checks!$Y$649=""),"",CHAR(10)&amp;"Exp: "&amp;Checks!$X$649&amp;"  /  Act: "&amp;Checks!$Y$649)</f>
        <v/>
      </c>
      <c r="F28" s="114" t="str">
        <f aca="false">IF(Checks!$Z$649="","","Evidence: "&amp;Checks!$Z$649)&amp;IF(Checks!$AA$649="","",IF(Checks!$Z$649="","",CHAR(10))&amp;"CA: "&amp;Checks!$AA$649)</f>
        <v/>
      </c>
      <c r="G28" s="114" t="str">
        <f aca="false">IF(ISNUMBER(Checks!$AD$649),TEXT(Checks!$AD$649,"DD-MMM-YY HH:MM")&amp;" "&amp;Checks!$P$649,"")&amp;IF(Checks!$AE$649="","",CHAR(10)&amp;"Verifier: "&amp;Checks!$AE$649)&amp;IF(Checks!$T$649="","",CHAR(10)&amp;"PIC: "&amp;Checks!$T$649)</f>
        <v/>
      </c>
      <c r="H28" s="115" t="str">
        <f aca="false">IF(Checks!$AH$649="","",Checks!$AH$649)</f>
        <v>OPEN</v>
      </c>
    </row>
    <row r="29" customFormat="false" ht="114" hidden="false" customHeight="true" outlineLevel="0" collapsed="false">
      <c r="A29" s="114" t="str">
        <f aca="false">Checks!$A$650&amp;CHAR(10)&amp;IF(Checks!$I$650="","",Checks!$I$650&amp;": ")&amp;Checks!$J$650</f>
        <v>F20-T7-07
Documents: Galley loading diagram (GLD) received, revision recorded &amp; attached</v>
      </c>
      <c r="B29" s="114" t="str">
        <f aca="false">Checks!$K$650&amp;IF(Checks!$O$650="","",IF(Checks!$K$650="","",CHAR(10))&amp;"Note: "&amp;Checks!$O$650)</f>
        <v>Documents sheet row complete</v>
      </c>
      <c r="C29" s="114" t="str">
        <f aca="false">Checks!$N$650&amp;CHAR(10)&amp;IF(ISNUMBER(Checks!$R$650),TEXT(Checks!$R$650,"DD-MMM-YY HH:MM"),"")&amp;" "&amp;Checks!$P$650</f>
        <v>Required
22-Oct-26 18:30 KUL</v>
      </c>
      <c r="D29" s="114" t="str">
        <f aca="false">IF(Checks!$U$650="","",Checks!$U$650)&amp;IF(Checks!$AB$650="","",CHAR(10)&amp;"CA: "&amp;Checks!$AB$650)</f>
        <v/>
      </c>
      <c r="E29" s="114" t="str">
        <f aca="false">IF(Checks!$V$650="","",Checks!$V$650)&amp;IF(Checks!$AC$650="","",IF(Checks!$V$650="","",CHAR(10))&amp;"N/A just.: "&amp;Checks!$AC$650)&amp;IF(Checks!$W$650="","",CHAR(10)&amp;"Batch: "&amp;Checks!$W$650)&amp;IF(AND(Checks!$X$650="",Checks!$Y$650=""),"",CHAR(10)&amp;"Exp: "&amp;Checks!$X$650&amp;"  /  Act: "&amp;Checks!$Y$650)</f>
        <v/>
      </c>
      <c r="F29" s="114" t="str">
        <f aca="false">IF(Checks!$Z$650="","","Evidence: "&amp;Checks!$Z$650)&amp;IF(Checks!$AA$650="","",IF(Checks!$Z$650="","",CHAR(10))&amp;"CA: "&amp;Checks!$AA$650)</f>
        <v/>
      </c>
      <c r="G29" s="114" t="str">
        <f aca="false">IF(ISNUMBER(Checks!$AD$650),TEXT(Checks!$AD$650,"DD-MMM-YY HH:MM")&amp;" "&amp;Checks!$P$650,"")&amp;IF(Checks!$AE$650="","",CHAR(10)&amp;"Verifier: "&amp;Checks!$AE$650)&amp;IF(Checks!$T$650="","",CHAR(10)&amp;"PIC: "&amp;Checks!$T$650)</f>
        <v/>
      </c>
      <c r="H29" s="115" t="str">
        <f aca="false">IF(Checks!$AH$650="","",Checks!$AH$650)</f>
        <v>OPEN</v>
      </c>
    </row>
    <row r="30" customFormat="false" ht="114" hidden="false" customHeight="true" outlineLevel="0" collapsed="false">
      <c r="A30" s="114" t="str">
        <f aca="false">Checks!$A$651&amp;CHAR(10)&amp;IF(Checks!$I$651="","",Checks!$I$651&amp;": ")&amp;Checks!$J$651</f>
        <v>F20-T7-08
Documents: Menu checklist received, revision recorded &amp; attached</v>
      </c>
      <c r="B30" s="114" t="str">
        <f aca="false">Checks!$K$651&amp;IF(Checks!$O$651="","",IF(Checks!$K$651="","",CHAR(10))&amp;"Note: "&amp;Checks!$O$651)</f>
        <v>Documents sheet row complete</v>
      </c>
      <c r="C30" s="114" t="str">
        <f aca="false">Checks!$N$651&amp;CHAR(10)&amp;IF(ISNUMBER(Checks!$R$651),TEXT(Checks!$R$651,"DD-MMM-YY HH:MM"),"")&amp;" "&amp;Checks!$P$651</f>
        <v>Required
22-Oct-26 18:30 KUL</v>
      </c>
      <c r="D30" s="114" t="str">
        <f aca="false">IF(Checks!$U$651="","",Checks!$U$651)&amp;IF(Checks!$AB$651="","",CHAR(10)&amp;"CA: "&amp;Checks!$AB$651)</f>
        <v/>
      </c>
      <c r="E30" s="114" t="str">
        <f aca="false">IF(Checks!$V$651="","",Checks!$V$651)&amp;IF(Checks!$AC$651="","",IF(Checks!$V$651="","",CHAR(10))&amp;"N/A just.: "&amp;Checks!$AC$651)&amp;IF(Checks!$W$651="","",CHAR(10)&amp;"Batch: "&amp;Checks!$W$651)&amp;IF(AND(Checks!$X$651="",Checks!$Y$651=""),"",CHAR(10)&amp;"Exp: "&amp;Checks!$X$651&amp;"  /  Act: "&amp;Checks!$Y$651)</f>
        <v/>
      </c>
      <c r="F30" s="114" t="str">
        <f aca="false">IF(Checks!$Z$651="","","Evidence: "&amp;Checks!$Z$651)&amp;IF(Checks!$AA$651="","",IF(Checks!$Z$651="","",CHAR(10))&amp;"CA: "&amp;Checks!$AA$651)</f>
        <v/>
      </c>
      <c r="G30" s="114" t="str">
        <f aca="false">IF(ISNUMBER(Checks!$AD$651),TEXT(Checks!$AD$651,"DD-MMM-YY HH:MM")&amp;" "&amp;Checks!$P$651,"")&amp;IF(Checks!$AE$651="","",CHAR(10)&amp;"Verifier: "&amp;Checks!$AE$651)&amp;IF(Checks!$T$651="","",CHAR(10)&amp;"PIC: "&amp;Checks!$T$651)</f>
        <v/>
      </c>
      <c r="H30" s="115" t="str">
        <f aca="false">IF(Checks!$AH$651="","",Checks!$AH$651)</f>
        <v>OPEN</v>
      </c>
    </row>
    <row r="31" customFormat="false" ht="114" hidden="false" customHeight="true" outlineLevel="0" collapsed="false">
      <c r="A31" s="114" t="str">
        <f aca="false">Checks!$A$652&amp;CHAR(10)&amp;IF(Checks!$I$652="","",Checks!$I$652&amp;": ")&amp;Checks!$J$652</f>
        <v>F20-T7-09
Uplift plan: Uplift plan confirmed with caterer vs STD Uplift Information</v>
      </c>
      <c r="B31" s="114" t="str">
        <f aca="false">Checks!$K$652&amp;IF(Checks!$O$652="","",IF(Checks!$K$652="","",CHAR(10))&amp;"Note: "&amp;Checks!$O$652)</f>
        <v>Service: Refreshment (Peanut &amp; Water); meal uplift stn KUL (ref lists KUL)</v>
      </c>
      <c r="C31" s="114" t="str">
        <f aca="false">Checks!$N$652&amp;CHAR(10)&amp;IF(ISNUMBER(Checks!$R$652),TEXT(Checks!$R$652,"DD-MMM-YY HH:MM"),"")&amp;" "&amp;Checks!$P$652</f>
        <v>Required
22-Oct-26 18:30 KUL</v>
      </c>
      <c r="D31" s="114" t="str">
        <f aca="false">IF(Checks!$U$652="","",Checks!$U$652)&amp;IF(Checks!$AB$652="","",CHAR(10)&amp;"CA: "&amp;Checks!$AB$652)</f>
        <v/>
      </c>
      <c r="E31" s="114" t="str">
        <f aca="false">IF(Checks!$V$652="","",Checks!$V$652)&amp;IF(Checks!$AC$652="","",IF(Checks!$V$652="","",CHAR(10))&amp;"N/A just.: "&amp;Checks!$AC$652)&amp;IF(Checks!$W$652="","",CHAR(10)&amp;"Batch: "&amp;Checks!$W$652)&amp;IF(AND(Checks!$X$652="",Checks!$Y$652=""),"",CHAR(10)&amp;"Exp: "&amp;Checks!$X$652&amp;"  /  Act: "&amp;Checks!$Y$652)</f>
        <v/>
      </c>
      <c r="F31" s="114" t="str">
        <f aca="false">IF(Checks!$Z$652="","","Evidence: "&amp;Checks!$Z$652)&amp;IF(Checks!$AA$652="","",IF(Checks!$Z$652="","",CHAR(10))&amp;"CA: "&amp;Checks!$AA$652)</f>
        <v/>
      </c>
      <c r="G31" s="114" t="str">
        <f aca="false">IF(ISNUMBER(Checks!$AD$652),TEXT(Checks!$AD$652,"DD-MMM-YY HH:MM")&amp;" "&amp;Checks!$P$652,"")&amp;IF(Checks!$AE$652="","",CHAR(10)&amp;"Verifier: "&amp;Checks!$AE$652)&amp;IF(Checks!$T$652="","",CHAR(10)&amp;"PIC: "&amp;Checks!$T$652)</f>
        <v/>
      </c>
      <c r="H31" s="115" t="str">
        <f aca="false">IF(Checks!$AH$652="","",Checks!$AH$652)</f>
        <v>OPEN</v>
      </c>
    </row>
    <row r="32" customFormat="false" ht="25.5" hidden="false" customHeight="true" outlineLevel="0" collapsed="false">
      <c r="A32" s="113" t="str">
        <f aca="false">"T-24H — Production batch sensory  |  Due "&amp;IF(ISNUMBER(Flights!$AH$24),TEXT(Flights!$AH$24,"DD-MMM-YY HH:MM"),"")&amp;" "&amp;Flights!$V$24&amp;" (meal uplift stn)"&amp;" (rows with another due show their own)  |  Complete "&amp;IF(ISNUMBER(Flights!$AK$24),TEXT(Flights!$AK$24,"0%"),Flights!$AK$24)&amp;"  |  1 lines"</f>
        <v>T-24H — Production batch sensory  |  Due 28-Oct-26 18:30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Checks!$A$653&amp;CHAR(10)&amp;IF(Checks!$I$653="","",Checks!$I$653&amp;": ")&amp;Checks!$J$653</f>
        <v>F20-T24-01
Meal: Sensory test repeated on ACTUAL production batch for this flight</v>
      </c>
      <c r="B33" s="114" t="str">
        <f aca="false">Checks!$K$653&amp;IF(Checks!$O$653="","",IF(Checks!$K$653="","",CHAR(10))&amp;"Note: "&amp;Checks!$O$653)</f>
        <v>Batch ID, result, CA and acceptance mandatory</v>
      </c>
      <c r="C33" s="114" t="str">
        <f aca="false">Checks!$N$653&amp;CHAR(10)&amp;IF(ISNUMBER(Checks!$R$653),TEXT(Checks!$R$653,"DD-MMM-YY HH:MM"),"")&amp;" "&amp;Checks!$P$653</f>
        <v>Required
28-Oct-26 18:30 KUL</v>
      </c>
      <c r="D33" s="114" t="str">
        <f aca="false">IF(Checks!$U$653="","",Checks!$U$653)&amp;IF(Checks!$AB$653="","",CHAR(10)&amp;"CA: "&amp;Checks!$AB$653)</f>
        <v/>
      </c>
      <c r="E33" s="114" t="str">
        <f aca="false">IF(Checks!$V$653="","",Checks!$V$653)&amp;IF(Checks!$AC$653="","",IF(Checks!$V$653="","",CHAR(10))&amp;"N/A just.: "&amp;Checks!$AC$653)&amp;IF(Checks!$W$653="","",CHAR(10)&amp;"Batch: "&amp;Checks!$W$653)&amp;IF(AND(Checks!$X$653="",Checks!$Y$653=""),"",CHAR(10)&amp;"Exp: "&amp;Checks!$X$653&amp;"  /  Act: "&amp;Checks!$Y$653)</f>
        <v/>
      </c>
      <c r="F33" s="114" t="str">
        <f aca="false">IF(Checks!$Z$653="","","Evidence: "&amp;Checks!$Z$653)&amp;IF(Checks!$AA$653="","",IF(Checks!$Z$653="","",CHAR(10))&amp;"CA: "&amp;Checks!$AA$653)</f>
        <v/>
      </c>
      <c r="G33" s="114" t="str">
        <f aca="false">IF(ISNUMBER(Checks!$AD$653),TEXT(Checks!$AD$653,"DD-MMM-YY HH:MM")&amp;" "&amp;Checks!$P$653,"")&amp;IF(Checks!$AE$653="","",CHAR(10)&amp;"Verifier: "&amp;Checks!$AE$653)&amp;IF(Checks!$T$653="","",CHAR(10)&amp;"PIC: "&amp;Checks!$T$653)</f>
        <v/>
      </c>
      <c r="H33" s="115" t="str">
        <f aca="false">IF(Checks!$AH$653="","",Checks!$AH$653)</f>
        <v>OPEN</v>
      </c>
    </row>
    <row r="34" customFormat="false" ht="25.5" hidden="false" customHeight="true" outlineLevel="0" collapsed="false">
      <c r="A34" s="113" t="str">
        <f aca="false">"T-12H PREP — Preparation check at caterer (does NOT confirm loading)  |  Due "&amp;IF(ISNUMBER(Flights!$AI$24),TEXT(Flights!$AI$24,"DD-MMM-YY HH:MM"),"")&amp;" "&amp;Flights!$V$24&amp;" (meal uplift stn)"&amp;" (rows with another due show their own)  |  Complete "&amp;IF(ISNUMBER(Flights!$AL$24),TEXT(Flights!$AL$24,"0%"),Flights!$AL$24)&amp;"  |  8 lines"</f>
        <v>T-12H PREP — Preparation check at caterer (does NOT confirm loading)  |  Due 29-Oct-26 06:30 KUL (meal uplift stn) (rows with another due show their own)  |  Complete 0%  |  8 lines</v>
      </c>
      <c r="B34" s="113"/>
      <c r="C34" s="113"/>
      <c r="D34" s="113"/>
      <c r="E34" s="113"/>
      <c r="F34" s="113"/>
      <c r="G34" s="113"/>
      <c r="H34" s="113"/>
    </row>
    <row r="35" customFormat="false" ht="114" hidden="false" customHeight="true" outlineLevel="0" collapsed="false">
      <c r="A35" s="114" t="str">
        <f aca="false">Checks!$A$654&amp;CHAR(10)&amp;IF(Checks!$I$654="","",Checks!$I$654&amp;": ")&amp;Checks!$J$654</f>
        <v>F20-T12-01
Meal: Meal quality vs menu checklist</v>
      </c>
      <c r="B35" s="114" t="str">
        <f aca="false">Checks!$K$654&amp;IF(Checks!$O$654="","",IF(Checks!$K$654="","",CHAR(10))&amp;"Note: "&amp;Checks!$O$654)</f>
        <v>Note: Preparation check at caterer - does NOT confirm loading.</v>
      </c>
      <c r="C35" s="114" t="str">
        <f aca="false">Checks!$N$654&amp;CHAR(10)&amp;IF(ISNUMBER(Checks!$R$654),TEXT(Checks!$R$654,"DD-MMM-YY HH:MM"),"")&amp;" "&amp;Checks!$P$654</f>
        <v>Required
29-Oct-26 06:30 KUL</v>
      </c>
      <c r="D35" s="114" t="str">
        <f aca="false">IF(Checks!$U$654="","",Checks!$U$654)&amp;IF(Checks!$AB$654="","",CHAR(10)&amp;"CA: "&amp;Checks!$AB$654)</f>
        <v/>
      </c>
      <c r="E35" s="114" t="str">
        <f aca="false">IF(Checks!$V$654="","",Checks!$V$654)&amp;IF(Checks!$AC$654="","",IF(Checks!$V$654="","",CHAR(10))&amp;"N/A just.: "&amp;Checks!$AC$654)&amp;IF(Checks!$W$654="","",CHAR(10)&amp;"Batch: "&amp;Checks!$W$654)&amp;IF(AND(Checks!$X$654="",Checks!$Y$654=""),"",CHAR(10)&amp;"Exp: "&amp;Checks!$X$654&amp;"  /  Act: "&amp;Checks!$Y$654)</f>
        <v/>
      </c>
      <c r="F35" s="114" t="str">
        <f aca="false">IF(Checks!$Z$654="","","Evidence: "&amp;Checks!$Z$654)&amp;IF(Checks!$AA$654="","",IF(Checks!$Z$654="","",CHAR(10))&amp;"CA: "&amp;Checks!$AA$654)</f>
        <v/>
      </c>
      <c r="G35" s="114" t="str">
        <f aca="false">IF(ISNUMBER(Checks!$AD$654),TEXT(Checks!$AD$654,"DD-MMM-YY HH:MM")&amp;" "&amp;Checks!$P$654,"")&amp;IF(Checks!$AE$654="","",CHAR(10)&amp;"Verifier: "&amp;Checks!$AE$654)&amp;IF(Checks!$T$654="","",CHAR(10)&amp;"PIC: "&amp;Checks!$T$654)</f>
        <v/>
      </c>
      <c r="H35" s="115" t="str">
        <f aca="false">IF(Checks!$AH$654="","",Checks!$AH$654)</f>
        <v>OPEN</v>
      </c>
    </row>
    <row r="36" customFormat="false" ht="114" hidden="false" customHeight="true" outlineLevel="0" collapsed="false">
      <c r="A36" s="114" t="str">
        <f aca="false">Checks!$A$655&amp;CHAR(10)&amp;IF(Checks!$I$655="","",Checks!$I$655&amp;": ")&amp;Checks!$J$655</f>
        <v>F20-T12-02
Meal: Meal quantities vs menu checklist</v>
      </c>
      <c r="B36" s="114" t="str">
        <f aca="false">Checks!$K$655&amp;IF(Checks!$O$655="","",IF(Checks!$K$655="","",CHAR(10))&amp;"Note: "&amp;Checks!$O$655)</f>
        <v>Enter expected &amp; actual
Note: Preparation check at caterer - does NOT confirm loading.</v>
      </c>
      <c r="C36" s="114" t="str">
        <f aca="false">Checks!$N$655&amp;CHAR(10)&amp;IF(ISNUMBER(Checks!$R$655),TEXT(Checks!$R$655,"DD-MMM-YY HH:MM"),"")&amp;" "&amp;Checks!$P$655</f>
        <v>Required
29-Oct-26 06:30 KUL</v>
      </c>
      <c r="D36" s="114" t="str">
        <f aca="false">IF(Checks!$U$655="","",Checks!$U$655)&amp;IF(Checks!$AB$655="","",CHAR(10)&amp;"CA: "&amp;Checks!$AB$655)</f>
        <v/>
      </c>
      <c r="E36" s="114" t="str">
        <f aca="false">IF(Checks!$V$655="","",Checks!$V$655)&amp;IF(Checks!$AC$655="","",IF(Checks!$V$655="","",CHAR(10))&amp;"N/A just.: "&amp;Checks!$AC$655)&amp;IF(Checks!$W$655="","",CHAR(10)&amp;"Batch: "&amp;Checks!$W$655)&amp;IF(AND(Checks!$X$655="",Checks!$Y$655=""),"",CHAR(10)&amp;"Exp: "&amp;Checks!$X$655&amp;"  /  Act: "&amp;Checks!$Y$655)</f>
        <v/>
      </c>
      <c r="F36" s="114" t="str">
        <f aca="false">IF(Checks!$Z$655="","","Evidence: "&amp;Checks!$Z$655)&amp;IF(Checks!$AA$655="","",IF(Checks!$Z$655="","",CHAR(10))&amp;"CA: "&amp;Checks!$AA$655)</f>
        <v/>
      </c>
      <c r="G36" s="114" t="str">
        <f aca="false">IF(ISNUMBER(Checks!$AD$655),TEXT(Checks!$AD$655,"DD-MMM-YY HH:MM")&amp;" "&amp;Checks!$P$655,"")&amp;IF(Checks!$AE$655="","",CHAR(10)&amp;"Verifier: "&amp;Checks!$AE$655)&amp;IF(Checks!$T$655="","",CHAR(10)&amp;"PIC: "&amp;Checks!$T$655)</f>
        <v/>
      </c>
      <c r="H36" s="115" t="str">
        <f aca="false">IF(Checks!$AH$655="","",Checks!$AH$655)</f>
        <v>OPEN</v>
      </c>
    </row>
    <row r="37" customFormat="false" ht="114" hidden="false" customHeight="true" outlineLevel="0" collapsed="false">
      <c r="A37" s="114" t="str">
        <f aca="false">Checks!$A$656&amp;CHAR(10)&amp;IF(Checks!$I$656="","",Checks!$I$656&amp;": ")&amp;Checks!$J$656</f>
        <v>F20-T12-03
Equipment: Equipment cleanliness vs GLD</v>
      </c>
      <c r="B37" s="114" t="str">
        <f aca="false">Checks!$K$656&amp;IF(Checks!$O$656="","",IF(Checks!$K$656="","",CHAR(10))&amp;"Note: "&amp;Checks!$O$656)</f>
        <v>Note: Preparation check at caterer - does NOT confirm loading.</v>
      </c>
      <c r="C37" s="114" t="str">
        <f aca="false">Checks!$N$656&amp;CHAR(10)&amp;IF(ISNUMBER(Checks!$R$656),TEXT(Checks!$R$656,"DD-MMM-YY HH:MM"),"")&amp;" "&amp;Checks!$P$656</f>
        <v>Required
29-Oct-26 06:30 KUL</v>
      </c>
      <c r="D37" s="114" t="str">
        <f aca="false">IF(Checks!$U$656="","",Checks!$U$656)&amp;IF(Checks!$AB$656="","",CHAR(10)&amp;"CA: "&amp;Checks!$AB$656)</f>
        <v/>
      </c>
      <c r="E37" s="114" t="str">
        <f aca="false">IF(Checks!$V$656="","",Checks!$V$656)&amp;IF(Checks!$AC$656="","",IF(Checks!$V$656="","",CHAR(10))&amp;"N/A just.: "&amp;Checks!$AC$656)&amp;IF(Checks!$W$656="","",CHAR(10)&amp;"Batch: "&amp;Checks!$W$656)&amp;IF(AND(Checks!$X$656="",Checks!$Y$656=""),"",CHAR(10)&amp;"Exp: "&amp;Checks!$X$656&amp;"  /  Act: "&amp;Checks!$Y$656)</f>
        <v/>
      </c>
      <c r="F37" s="114" t="str">
        <f aca="false">IF(Checks!$Z$656="","","Evidence: "&amp;Checks!$Z$656)&amp;IF(Checks!$AA$656="","",IF(Checks!$Z$656="","",CHAR(10))&amp;"CA: "&amp;Checks!$AA$656)</f>
        <v/>
      </c>
      <c r="G37" s="114" t="str">
        <f aca="false">IF(ISNUMBER(Checks!$AD$656),TEXT(Checks!$AD$656,"DD-MMM-YY HH:MM")&amp;" "&amp;Checks!$P$656,"")&amp;IF(Checks!$AE$656="","",CHAR(10)&amp;"Verifier: "&amp;Checks!$AE$656)&amp;IF(Checks!$T$656="","",CHAR(10)&amp;"PIC: "&amp;Checks!$T$656)</f>
        <v/>
      </c>
      <c r="H37" s="115" t="str">
        <f aca="false">IF(Checks!$AH$656="","",Checks!$AH$656)</f>
        <v>OPEN</v>
      </c>
    </row>
    <row r="38" customFormat="false" ht="114" hidden="false" customHeight="true" outlineLevel="0" collapsed="false">
      <c r="A38" s="114" t="str">
        <f aca="false">Checks!$A$657&amp;CHAR(10)&amp;IF(Checks!$I$657="","",Checks!$I$657&amp;": ")&amp;Checks!$J$657</f>
        <v>F20-T12-04
Equipment: Equipment presentation vs GLD</v>
      </c>
      <c r="B38" s="114" t="str">
        <f aca="false">Checks!$K$657&amp;IF(Checks!$O$657="","",IF(Checks!$K$657="","",CHAR(10))&amp;"Note: "&amp;Checks!$O$657)</f>
        <v>Note: Preparation check at caterer - does NOT confirm loading.</v>
      </c>
      <c r="C38" s="114" t="str">
        <f aca="false">Checks!$N$657&amp;CHAR(10)&amp;IF(ISNUMBER(Checks!$R$657),TEXT(Checks!$R$657,"DD-MMM-YY HH:MM"),"")&amp;" "&amp;Checks!$P$657</f>
        <v>Required
29-Oct-26 06:30 KUL</v>
      </c>
      <c r="D38" s="114" t="str">
        <f aca="false">IF(Checks!$U$657="","",Checks!$U$657)&amp;IF(Checks!$AB$657="","",CHAR(10)&amp;"CA: "&amp;Checks!$AB$657)</f>
        <v/>
      </c>
      <c r="E38" s="114" t="str">
        <f aca="false">IF(Checks!$V$657="","",Checks!$V$657)&amp;IF(Checks!$AC$657="","",IF(Checks!$V$657="","",CHAR(10))&amp;"N/A just.: "&amp;Checks!$AC$657)&amp;IF(Checks!$W$657="","",CHAR(10)&amp;"Batch: "&amp;Checks!$W$657)&amp;IF(AND(Checks!$X$657="",Checks!$Y$657=""),"",CHAR(10)&amp;"Exp: "&amp;Checks!$X$657&amp;"  /  Act: "&amp;Checks!$Y$657)</f>
        <v/>
      </c>
      <c r="F38" s="114" t="str">
        <f aca="false">IF(Checks!$Z$657="","","Evidence: "&amp;Checks!$Z$657)&amp;IF(Checks!$AA$657="","",IF(Checks!$Z$657="","",CHAR(10))&amp;"CA: "&amp;Checks!$AA$657)</f>
        <v/>
      </c>
      <c r="G38" s="114" t="str">
        <f aca="false">IF(ISNUMBER(Checks!$AD$657),TEXT(Checks!$AD$657,"DD-MMM-YY HH:MM")&amp;" "&amp;Checks!$P$657,"")&amp;IF(Checks!$AE$657="","",CHAR(10)&amp;"Verifier: "&amp;Checks!$AE$657)&amp;IF(Checks!$T$657="","",CHAR(10)&amp;"PIC: "&amp;Checks!$T$657)</f>
        <v/>
      </c>
      <c r="H38" s="115" t="str">
        <f aca="false">IF(Checks!$AH$657="","",Checks!$AH$657)</f>
        <v>OPEN</v>
      </c>
    </row>
    <row r="39" customFormat="false" ht="114" hidden="false" customHeight="true" outlineLevel="0" collapsed="false">
      <c r="A39" s="114" t="str">
        <f aca="false">Checks!$A$658&amp;CHAR(10)&amp;IF(Checks!$I$658="","",Checks!$I$658&amp;": ")&amp;Checks!$J$658</f>
        <v>F20-T12-05
Equipment: Equipment serviceability vs GLD</v>
      </c>
      <c r="B39" s="114" t="str">
        <f aca="false">Checks!$K$658&amp;IF(Checks!$O$658="","",IF(Checks!$K$658="","",CHAR(10))&amp;"Note: "&amp;Checks!$O$658)</f>
        <v>Note: Preparation check at caterer - does NOT confirm loading.</v>
      </c>
      <c r="C39" s="114" t="str">
        <f aca="false">Checks!$N$658&amp;CHAR(10)&amp;IF(ISNUMBER(Checks!$R$658),TEXT(Checks!$R$658,"DD-MMM-YY HH:MM"),"")&amp;" "&amp;Checks!$P$658</f>
        <v>Required
29-Oct-26 06:30 KUL</v>
      </c>
      <c r="D39" s="114" t="str">
        <f aca="false">IF(Checks!$U$658="","",Checks!$U$658)&amp;IF(Checks!$AB$658="","",CHAR(10)&amp;"CA: "&amp;Checks!$AB$658)</f>
        <v/>
      </c>
      <c r="E39" s="114" t="str">
        <f aca="false">IF(Checks!$V$658="","",Checks!$V$658)&amp;IF(Checks!$AC$658="","",IF(Checks!$V$658="","",CHAR(10))&amp;"N/A just.: "&amp;Checks!$AC$658)&amp;IF(Checks!$W$658="","",CHAR(10)&amp;"Batch: "&amp;Checks!$W$658)&amp;IF(AND(Checks!$X$658="",Checks!$Y$658=""),"",CHAR(10)&amp;"Exp: "&amp;Checks!$X$658&amp;"  /  Act: "&amp;Checks!$Y$658)</f>
        <v/>
      </c>
      <c r="F39" s="114" t="str">
        <f aca="false">IF(Checks!$Z$658="","","Evidence: "&amp;Checks!$Z$658)&amp;IF(Checks!$AA$658="","",IF(Checks!$Z$658="","",CHAR(10))&amp;"CA: "&amp;Checks!$AA$658)</f>
        <v/>
      </c>
      <c r="G39" s="114" t="str">
        <f aca="false">IF(ISNUMBER(Checks!$AD$658),TEXT(Checks!$AD$658,"DD-MMM-YY HH:MM")&amp;" "&amp;Checks!$P$658,"")&amp;IF(Checks!$AE$658="","",CHAR(10)&amp;"Verifier: "&amp;Checks!$AE$658)&amp;IF(Checks!$T$658="","",CHAR(10)&amp;"PIC: "&amp;Checks!$T$658)</f>
        <v/>
      </c>
      <c r="H39" s="115" t="str">
        <f aca="false">IF(Checks!$AH$658="","",Checks!$AH$658)</f>
        <v>OPEN</v>
      </c>
    </row>
    <row r="40" customFormat="false" ht="190.5" hidden="false" customHeight="true" outlineLevel="0" collapsed="false">
      <c r="A40" s="114" t="str">
        <f aca="false">Checks!$A$659&amp;CHAR(10)&amp;IF(Checks!$I$659="","",Checks!$I$659&amp;": ")&amp;Checks!$J$659</f>
        <v>F20-T12-06
Equipment: Equipment quantities vs GLD</v>
      </c>
      <c r="B40" s="114" t="str">
        <f aca="false">SUBSTITUTE(Checks!$K$659&amp;IF(Checks!$O$659="","",IF(Checks!$K$659="","",CHAR(10))&amp;"Note: "&amp;Checks!$O$659),"AIRCRAFT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v>
      </c>
      <c r="C40" s="114" t="str">
        <f aca="false">Checks!$N$659&amp;CHAR(10)&amp;IF(ISNUMBER(Checks!$R$659),TEXT(Checks!$R$659,"DD-MMM-YY HH:MM"),"")&amp;" "&amp;Checks!$P$659</f>
        <v>Required
29-Oct-26 06:30 KUL</v>
      </c>
      <c r="D40" s="114" t="str">
        <f aca="false">IF(Checks!$U$659="","",Checks!$U$659)&amp;IF(Checks!$AB$659="","",CHAR(10)&amp;"CA: "&amp;Checks!$AB$659)</f>
        <v/>
      </c>
      <c r="E40" s="114" t="str">
        <f aca="false">IF(Checks!$V$659="","",Checks!$V$659)&amp;IF(Checks!$AC$659="","",IF(Checks!$V$659="","",CHAR(10))&amp;"N/A just.: "&amp;Checks!$AC$659)&amp;IF(Checks!$W$659="","",CHAR(10)&amp;"Batch: "&amp;Checks!$W$659)&amp;IF(AND(Checks!$X$659="",Checks!$Y$659=""),"",CHAR(10)&amp;"Exp: "&amp;Checks!$X$659&amp;"  /  Act: "&amp;Checks!$Y$659)</f>
        <v/>
      </c>
      <c r="F40" s="114" t="str">
        <f aca="false">IF(Checks!$Z$659="","","Evidence: "&amp;Checks!$Z$659)&amp;IF(Checks!$AA$659="","",IF(Checks!$Z$659="","",CHAR(10))&amp;"CA: "&amp;Checks!$AA$659)</f>
        <v/>
      </c>
      <c r="G40" s="114" t="str">
        <f aca="false">IF(ISNUMBER(Checks!$AD$659),TEXT(Checks!$AD$659,"DD-MMM-YY HH:MM")&amp;" "&amp;Checks!$P$659,"")&amp;IF(Checks!$AE$659="","",CHAR(10)&amp;"Verifier: "&amp;Checks!$AE$659)&amp;IF(Checks!$T$659="","",CHAR(10)&amp;"PIC: "&amp;Checks!$T$659)</f>
        <v/>
      </c>
      <c r="H40" s="115" t="str">
        <f aca="false">IF(Checks!$AH$659="","",Checks!$AH$659)</f>
        <v>OPEN</v>
      </c>
    </row>
    <row r="41" customFormat="false" ht="114" hidden="false" customHeight="true" outlineLevel="0" collapsed="false">
      <c r="A41" s="114" t="str">
        <f aca="false">Checks!$A$660&amp;CHAR(10)&amp;IF(Checks!$I$660="","",Checks!$I$660&amp;": ")&amp;Checks!$J$660</f>
        <v>F20-T12-07
Equipment: Loading positions planned vs GLD</v>
      </c>
      <c r="B41" s="114" t="str">
        <f aca="false">Checks!$K$660&amp;IF(Checks!$O$660="","",IF(Checks!$K$660="","",CHAR(10))&amp;"Note: "&amp;Checks!$O$660)</f>
        <v>Note: Preparation check at caterer - does NOT confirm loading.</v>
      </c>
      <c r="C41" s="114" t="str">
        <f aca="false">Checks!$N$660&amp;CHAR(10)&amp;IF(ISNUMBER(Checks!$R$660),TEXT(Checks!$R$660,"DD-MMM-YY HH:MM"),"")&amp;" "&amp;Checks!$P$660</f>
        <v>Required
29-Oct-26 06:30 KUL</v>
      </c>
      <c r="D41" s="114" t="str">
        <f aca="false">IF(Checks!$U$660="","",Checks!$U$660)&amp;IF(Checks!$AB$660="","",CHAR(10)&amp;"CA: "&amp;Checks!$AB$660)</f>
        <v/>
      </c>
      <c r="E41" s="114" t="str">
        <f aca="false">IF(Checks!$V$660="","",Checks!$V$660)&amp;IF(Checks!$AC$660="","",IF(Checks!$V$660="","",CHAR(10))&amp;"N/A just.: "&amp;Checks!$AC$660)&amp;IF(Checks!$W$660="","",CHAR(10)&amp;"Batch: "&amp;Checks!$W$660)&amp;IF(AND(Checks!$X$660="",Checks!$Y$660=""),"",CHAR(10)&amp;"Exp: "&amp;Checks!$X$660&amp;"  /  Act: "&amp;Checks!$Y$660)</f>
        <v/>
      </c>
      <c r="F41" s="114" t="str">
        <f aca="false">IF(Checks!$Z$660="","","Evidence: "&amp;Checks!$Z$660)&amp;IF(Checks!$AA$660="","",IF(Checks!$Z$660="","",CHAR(10))&amp;"CA: "&amp;Checks!$AA$660)</f>
        <v/>
      </c>
      <c r="G41" s="114" t="str">
        <f aca="false">IF(ISNUMBER(Checks!$AD$660),TEXT(Checks!$AD$660,"DD-MMM-YY HH:MM")&amp;" "&amp;Checks!$P$660,"")&amp;IF(Checks!$AE$660="","",CHAR(10)&amp;"Verifier: "&amp;Checks!$AE$660)&amp;IF(Checks!$T$660="","",CHAR(10)&amp;"PIC: "&amp;Checks!$T$660)</f>
        <v/>
      </c>
      <c r="H41" s="115" t="str">
        <f aca="false">IF(Checks!$AH$660="","",Checks!$AH$660)</f>
        <v>OPEN</v>
      </c>
    </row>
    <row r="42" customFormat="false" ht="114" hidden="false" customHeight="true" outlineLevel="0" collapsed="false">
      <c r="A42" s="114" t="str">
        <f aca="false">Checks!$A$661&amp;CHAR(10)&amp;IF(Checks!$I$661="","",Checks!$I$661&amp;": ")&amp;Checks!$J$661</f>
        <v>F20-T12-08
Seat Linen: Seat pillow (EY) - prepared</v>
      </c>
      <c r="B42" s="114" t="str">
        <f aca="false">Checks!$K$661&amp;IF(Checks!$O$661="","",IF(Checks!$K$661="","",CHAR(10))&amp;"Note: "&amp;Checks!$O$661)</f>
        <v>Available 100% (ticked in reference)
Note: Reference gives no uplift stn for this item: preparation checked at the meal uplift stn (KUL) - confirm with caterer.</v>
      </c>
      <c r="C42" s="114" t="str">
        <f aca="false">Checks!$N$661&amp;CHAR(10)&amp;IF(ISNUMBER(Checks!$R$661),TEXT(Checks!$R$661,"DD-MMM-YY HH:MM"),"")&amp;" "&amp;Checks!$P$661</f>
        <v>Required
29-Oct-26 06:30 KUL</v>
      </c>
      <c r="D42" s="114" t="str">
        <f aca="false">IF(Checks!$U$661="","",Checks!$U$661)&amp;IF(Checks!$AB$661="","",CHAR(10)&amp;"CA: "&amp;Checks!$AB$661)</f>
        <v/>
      </c>
      <c r="E42" s="114" t="str">
        <f aca="false">IF(Checks!$V$661="","",Checks!$V$661)&amp;IF(Checks!$AC$661="","",IF(Checks!$V$661="","",CHAR(10))&amp;"N/A just.: "&amp;Checks!$AC$661)&amp;IF(Checks!$W$661="","",CHAR(10)&amp;"Batch: "&amp;Checks!$W$661)&amp;IF(AND(Checks!$X$661="",Checks!$Y$661=""),"",CHAR(10)&amp;"Exp: "&amp;Checks!$X$661&amp;"  /  Act: "&amp;Checks!$Y$661)</f>
        <v/>
      </c>
      <c r="F42" s="114" t="str">
        <f aca="false">IF(Checks!$Z$661="","","Evidence: "&amp;Checks!$Z$661)&amp;IF(Checks!$AA$661="","",IF(Checks!$Z$661="","",CHAR(10))&amp;"CA: "&amp;Checks!$AA$661)</f>
        <v/>
      </c>
      <c r="G42" s="114" t="str">
        <f aca="false">IF(ISNUMBER(Checks!$AD$661),TEXT(Checks!$AD$661,"DD-MMM-YY HH:MM")&amp;" "&amp;Checks!$P$661,"")&amp;IF(Checks!$AE$661="","",CHAR(10)&amp;"Verifier: "&amp;Checks!$AE$661)&amp;IF(Checks!$T$661="","",CHAR(10)&amp;"PIC: "&amp;Checks!$T$661)</f>
        <v/>
      </c>
      <c r="H42" s="115" t="str">
        <f aca="false">IF(Checks!$AH$661="","",Checks!$AH$661)</f>
        <v>OPEN</v>
      </c>
    </row>
    <row r="43" customFormat="false" ht="25.5" hidden="false" customHeight="true" outlineLevel="0" collapsed="false">
      <c r="A43" s="113" t="str">
        <f aca="false">"UPLIFT — Physical uplift – on-board confirmation before departure  |  Due "&amp;"STD "&amp;IF(ISNUMBER(Flights!$I$24),TEXT(Flights!$I$24,"DD-MMM-YY HH:MM"),"")&amp;" "&amp;Flights!$G$24&amp;" (departure stn)"&amp;" (rows with another due show their own)  |  Complete "&amp;IF(ISNUMBER(Flights!$AM$24),TEXT(Flights!$AM$24,"0%"),Flights!$AM$24)&amp;"  |  3 lines"</f>
        <v>UPLIFT — Physical uplift – on-board confirmation before departure  |  Due STD 29-Oct-26 18:30 KUL (departure stn) (rows with another due show their own)  |  Complete 0%  |  3 lines</v>
      </c>
      <c r="B43" s="113"/>
      <c r="C43" s="113"/>
      <c r="D43" s="113"/>
      <c r="E43" s="113"/>
      <c r="F43" s="113"/>
      <c r="G43" s="113"/>
      <c r="H43" s="113"/>
    </row>
    <row r="44" customFormat="false" ht="114" hidden="false" customHeight="true" outlineLevel="0" collapsed="false">
      <c r="A44" s="114" t="str">
        <f aca="false">Checks!$A$662&amp;CHAR(10)&amp;IF(Checks!$I$662="","",Checks!$I$662&amp;": ")&amp;Checks!$J$662</f>
        <v>F20-UPL-01
Meal: Meals physically uplifted on board - quantity vs menu checklist</v>
      </c>
      <c r="B44" s="114" t="str">
        <f aca="false">Checks!$K$662&amp;IF(Checks!$O$662="","",IF(Checks!$K$662="","",CHAR(10))&amp;"Note: "&amp;Checks!$O$662)</f>
        <v>Enter expected &amp; actual
Note: Confirm on board before departure; completion time must fall inside the uplift window.</v>
      </c>
      <c r="C44" s="114" t="str">
        <f aca="false">Checks!$N$662&amp;CHAR(10)&amp;IF(ISNUMBER(Checks!$R$662),TEXT(Checks!$R$662,"DD-MMM-YY HH:MM"),"")&amp;" "&amp;Checks!$P$662</f>
        <v>Required
29-Oct-26 18:30 KUL</v>
      </c>
      <c r="D44" s="114" t="str">
        <f aca="false">IF(Checks!$U$662="","",Checks!$U$662)&amp;IF(Checks!$AB$662="","",CHAR(10)&amp;"CA: "&amp;Checks!$AB$662)</f>
        <v/>
      </c>
      <c r="E44" s="114" t="str">
        <f aca="false">IF(Checks!$V$662="","",Checks!$V$662)&amp;IF(Checks!$AC$662="","",IF(Checks!$V$662="","",CHAR(10))&amp;"N/A just.: "&amp;Checks!$AC$662)&amp;IF(Checks!$W$662="","",CHAR(10)&amp;"Batch: "&amp;Checks!$W$662)&amp;IF(AND(Checks!$X$662="",Checks!$Y$662=""),"",CHAR(10)&amp;"Exp: "&amp;Checks!$X$662&amp;"  /  Act: "&amp;Checks!$Y$662)</f>
        <v/>
      </c>
      <c r="F44" s="114" t="str">
        <f aca="false">IF(Checks!$Z$662="","","Evidence: "&amp;Checks!$Z$662)&amp;IF(Checks!$AA$662="","",IF(Checks!$Z$662="","",CHAR(10))&amp;"CA: "&amp;Checks!$AA$662)</f>
        <v/>
      </c>
      <c r="G44" s="114" t="str">
        <f aca="false">IF(ISNUMBER(Checks!$AD$662),TEXT(Checks!$AD$662,"DD-MMM-YY HH:MM")&amp;" "&amp;Checks!$P$662,"")&amp;IF(Checks!$AE$662="","",CHAR(10)&amp;"Verifier: "&amp;Checks!$AE$662)&amp;IF(Checks!$T$662="","",CHAR(10)&amp;"PIC: "&amp;Checks!$T$662)</f>
        <v/>
      </c>
      <c r="H44" s="115" t="str">
        <f aca="false">IF(Checks!$AH$662="","",Checks!$AH$662)</f>
        <v>OPEN</v>
      </c>
    </row>
    <row r="45" customFormat="false" ht="114" hidden="false" customHeight="true" outlineLevel="0" collapsed="false">
      <c r="A45" s="114" t="str">
        <f aca="false">Checks!$A$663&amp;CHAR(10)&amp;IF(Checks!$I$663="","",Checks!$I$663&amp;": ")&amp;Checks!$J$663</f>
        <v>F20-UPL-02
Equipment: Equipment physically loaded at GLD positions - quantity &amp; positions</v>
      </c>
      <c r="B45" s="114" t="str">
        <f aca="false">Checks!$K$663&amp;IF(Checks!$O$663="","",IF(Checks!$K$663="","",CHAR(10))&amp;"Note: "&amp;Checks!$O$663)</f>
        <v>Enter expected &amp; actual
Note: Confirm on board before departure; completion time must fall inside the uplift window.</v>
      </c>
      <c r="C45" s="114" t="str">
        <f aca="false">Checks!$N$663&amp;CHAR(10)&amp;IF(ISNUMBER(Checks!$R$663),TEXT(Checks!$R$663,"DD-MMM-YY HH:MM"),"")&amp;" "&amp;Checks!$P$663</f>
        <v>Required
29-Oct-26 18:30 KUL</v>
      </c>
      <c r="D45" s="114" t="str">
        <f aca="false">IF(Checks!$U$663="","",Checks!$U$663)&amp;IF(Checks!$AB$663="","",CHAR(10)&amp;"CA: "&amp;Checks!$AB$663)</f>
        <v/>
      </c>
      <c r="E45" s="114" t="str">
        <f aca="false">IF(Checks!$V$663="","",Checks!$V$663)&amp;IF(Checks!$AC$663="","",IF(Checks!$V$663="","",CHAR(10))&amp;"N/A just.: "&amp;Checks!$AC$663)&amp;IF(Checks!$W$663="","",CHAR(10)&amp;"Batch: "&amp;Checks!$W$663)&amp;IF(AND(Checks!$X$663="",Checks!$Y$663=""),"",CHAR(10)&amp;"Exp: "&amp;Checks!$X$663&amp;"  /  Act: "&amp;Checks!$Y$663)</f>
        <v/>
      </c>
      <c r="F45" s="114" t="str">
        <f aca="false">IF(Checks!$Z$663="","","Evidence: "&amp;Checks!$Z$663)&amp;IF(Checks!$AA$663="","",IF(Checks!$Z$663="","",CHAR(10))&amp;"CA: "&amp;Checks!$AA$663)</f>
        <v/>
      </c>
      <c r="G45" s="114" t="str">
        <f aca="false">IF(ISNUMBER(Checks!$AD$663),TEXT(Checks!$AD$663,"DD-MMM-YY HH:MM")&amp;" "&amp;Checks!$P$663,"")&amp;IF(Checks!$AE$663="","",CHAR(10)&amp;"Verifier: "&amp;Checks!$AE$663)&amp;IF(Checks!$T$663="","",CHAR(10)&amp;"PIC: "&amp;Checks!$T$663)</f>
        <v/>
      </c>
      <c r="H45" s="115" t="str">
        <f aca="false">IF(Checks!$AH$663="","",Checks!$AH$663)</f>
        <v>OPEN</v>
      </c>
    </row>
    <row r="46" customFormat="false" ht="114" hidden="false" customHeight="true" outlineLevel="0" collapsed="false">
      <c r="A46" s="114" t="str">
        <f aca="false">Checks!$A$664&amp;CHAR(10)&amp;IF(Checks!$I$664="","",Checks!$I$664&amp;": ")&amp;Checks!$J$664</f>
        <v>F20-UPL-03
Seat Linen: Seat pillow (EY) - on board</v>
      </c>
      <c r="B46" s="114" t="str">
        <f aca="false">Checks!$K$664&amp;IF(Checks!$O$664="","",IF(Checks!$K$664="","",CHAR(10))&amp;"Note: "&amp;Checks!$O$664)</f>
        <v>Available 100% (ticked in reference)</v>
      </c>
      <c r="C46" s="114" t="str">
        <f aca="false">Checks!$N$664&amp;CHAR(10)&amp;IF(ISNUMBER(Checks!$R$664),TEXT(Checks!$R$664,"DD-MMM-YY HH:MM"),"")&amp;" "&amp;Checks!$P$664</f>
        <v>Required
29-Oct-26 18:30 KUL</v>
      </c>
      <c r="D46" s="114" t="str">
        <f aca="false">IF(Checks!$U$664="","",Checks!$U$664)&amp;IF(Checks!$AB$664="","",CHAR(10)&amp;"CA: "&amp;Checks!$AB$664)</f>
        <v/>
      </c>
      <c r="E46" s="114" t="str">
        <f aca="false">IF(Checks!$V$664="","",Checks!$V$664)&amp;IF(Checks!$AC$664="","",IF(Checks!$V$664="","",CHAR(10))&amp;"N/A just.: "&amp;Checks!$AC$664)&amp;IF(Checks!$W$664="","",CHAR(10)&amp;"Batch: "&amp;Checks!$W$664)&amp;IF(AND(Checks!$X$664="",Checks!$Y$664=""),"",CHAR(10)&amp;"Exp: "&amp;Checks!$X$664&amp;"  /  Act: "&amp;Checks!$Y$664)</f>
        <v/>
      </c>
      <c r="F46" s="114" t="str">
        <f aca="false">IF(Checks!$Z$664="","","Evidence: "&amp;Checks!$Z$664)&amp;IF(Checks!$AA$664="","",IF(Checks!$Z$664="","",CHAR(10))&amp;"CA: "&amp;Checks!$AA$664)</f>
        <v/>
      </c>
      <c r="G46" s="114" t="str">
        <f aca="false">IF(ISNUMBER(Checks!$AD$664),TEXT(Checks!$AD$664,"DD-MMM-YY HH:MM")&amp;" "&amp;Checks!$P$664,"")&amp;IF(Checks!$AE$664="","",CHAR(10)&amp;"Verifier: "&amp;Checks!$AE$664)&amp;IF(Checks!$T$664="","",CHAR(10)&amp;"PIC: "&amp;Checks!$T$664)</f>
        <v/>
      </c>
      <c r="H46" s="115" t="str">
        <f aca="false">IF(Checks!$AH$664="","",Checks!$AH$664)</f>
        <v>OPEN</v>
      </c>
    </row>
    <row r="48" customFormat="false" ht="24" hidden="false" customHeight="true" outlineLevel="0" collapsed="false">
      <c r="A48" s="116" t="s">
        <v>1737</v>
      </c>
      <c r="B48" s="116"/>
      <c r="C48" s="116"/>
      <c r="D48" s="116"/>
      <c r="E48" s="116" t="s">
        <v>1738</v>
      </c>
      <c r="F48" s="116"/>
      <c r="G48" s="116"/>
      <c r="H48" s="116"/>
    </row>
    <row r="49" customFormat="false" ht="21.75" hidden="false" customHeight="true" outlineLevel="0" collapsed="false">
      <c r="A49" s="117"/>
      <c r="B49" s="117"/>
      <c r="C49" s="117"/>
      <c r="D49" s="117"/>
      <c r="E49" s="117"/>
      <c r="F49" s="117"/>
      <c r="G49" s="117"/>
      <c r="H49" s="117"/>
    </row>
    <row r="50" customFormat="false" ht="21.75" hidden="false" customHeight="true" outlineLevel="0" collapsed="false">
      <c r="A50" s="117"/>
      <c r="B50" s="117"/>
      <c r="C50" s="117"/>
      <c r="D50" s="117"/>
      <c r="E50" s="117"/>
      <c r="F50" s="117"/>
      <c r="G50" s="117"/>
      <c r="H50" s="117"/>
    </row>
    <row r="51" customFormat="false" ht="21.75" hidden="false" customHeight="true" outlineLevel="0" collapsed="false">
      <c r="A51" s="117"/>
      <c r="B51" s="117"/>
      <c r="C51" s="117"/>
      <c r="D51" s="117"/>
      <c r="E51" s="117"/>
      <c r="F51" s="117"/>
      <c r="G51" s="117"/>
      <c r="H51" s="117"/>
    </row>
    <row r="52" customFormat="false" ht="21.75" hidden="false" customHeight="true" outlineLevel="0" collapsed="false">
      <c r="A52" s="117"/>
      <c r="B52" s="117"/>
      <c r="C52" s="117"/>
      <c r="D52" s="117"/>
      <c r="E52" s="117"/>
      <c r="F52" s="117"/>
      <c r="G52" s="117"/>
      <c r="H52" s="117"/>
    </row>
    <row r="53" customFormat="false" ht="21.75" hidden="false" customHeight="true" outlineLevel="0" collapsed="false">
      <c r="A53" s="117"/>
      <c r="B53" s="117"/>
      <c r="C53" s="117"/>
      <c r="D53" s="117"/>
      <c r="E53" s="117"/>
      <c r="F53" s="117"/>
      <c r="G53" s="117"/>
      <c r="H53" s="117"/>
    </row>
    <row r="54" customFormat="false" ht="21.75" hidden="false" customHeight="true" outlineLevel="0" collapsed="false">
      <c r="A54" s="117"/>
      <c r="B54" s="117"/>
      <c r="C54" s="117"/>
      <c r="D54" s="117"/>
      <c r="E54" s="117"/>
      <c r="F54" s="117"/>
      <c r="G54" s="117"/>
      <c r="H54" s="117"/>
    </row>
    <row r="55" customFormat="false" ht="21.75" hidden="false" customHeight="true" outlineLevel="0" collapsed="false">
      <c r="A55" s="117"/>
      <c r="B55" s="117"/>
      <c r="C55" s="117"/>
      <c r="D55" s="117"/>
      <c r="E55" s="117"/>
      <c r="F55" s="117"/>
      <c r="G55" s="117"/>
      <c r="H55" s="117"/>
    </row>
    <row r="56" customFormat="false" ht="21.75" hidden="false" customHeight="true" outlineLevel="0" collapsed="false">
      <c r="A56" s="117"/>
      <c r="B56" s="117"/>
      <c r="C56" s="117"/>
      <c r="D56" s="117"/>
      <c r="E56" s="117"/>
      <c r="F56" s="117"/>
      <c r="G56" s="117"/>
      <c r="H56" s="117"/>
    </row>
    <row r="57" customFormat="false" ht="21.75" hidden="false" customHeight="true" outlineLevel="0" collapsed="false">
      <c r="A57" s="117"/>
      <c r="B57" s="117"/>
      <c r="C57" s="117"/>
      <c r="D57" s="117"/>
      <c r="E57" s="117"/>
      <c r="F57" s="117"/>
      <c r="G57" s="117"/>
      <c r="H57" s="117"/>
    </row>
    <row r="58" customFormat="false" ht="21.75" hidden="false" customHeight="true" outlineLevel="0" collapsed="false">
      <c r="A58" s="117"/>
      <c r="B58" s="117"/>
      <c r="C58" s="117"/>
      <c r="D58" s="117"/>
      <c r="E58" s="117"/>
      <c r="F58" s="117"/>
      <c r="G58" s="117"/>
      <c r="H58"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43:H43"/>
    <mergeCell ref="A48:D48"/>
    <mergeCell ref="E48:H48"/>
    <mergeCell ref="A49:D58"/>
    <mergeCell ref="E49:H58"/>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46">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46">
    <cfRule type="expression" priority="17" aboveAverage="0" equalAverage="0" bottom="0" percent="0" rank="0" text="" dxfId="34">
      <formula>LEFT($H23,3)="N/A"</formula>
    </cfRule>
  </conditionalFormatting>
  <conditionalFormatting sqref="D23:D46">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F20 MH1450 29-Oct-26 KUL-LGK Class EY</oddHeader>
    <oddFooter>&amp;L&amp;"Arial,Bold"&amp;8 F20 MH1450 29-Oct-26 KUL-LGK Class EY&amp;C&amp;"Arial,Regular"&amp;8 Printed: ____________________&amp;R&amp;"Arial,Regular"&amp;8 F20  Page &amp;P of &amp;N</oddFooter>
  </headerFooter>
  <rowBreaks count="6" manualBreakCount="6">
    <brk id="20" man="true" max="16383" min="0"/>
    <brk id="26" man="true" max="16383" min="0"/>
    <brk id="30" man="true" max="16383" min="0"/>
    <brk id="35" man="true" max="16383" min="0"/>
    <brk id="39" man="true" max="16383" min="0"/>
    <brk id="42" man="true" max="16383" min="0"/>
  </rowBreaks>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F21  "&amp;Flights!$F$25&amp;"  "&amp;TEXT(Flights!$D$25,"DD-MMM-YY")&amp;" ("&amp;Flights!$E$25&amp;")  "&amp;Flights!$G$25&amp;" → "&amp;Flights!$H$25&amp;"  |  Class "&amp;Flights!$K$25</f>
        <v>SKYTRAX 2026 CATERING READINESS CHECKLIST  |  F21  MH1437  30-Oct-26 (FRI)  LGK → KUL  |  Class BC</v>
      </c>
      <c r="B1" s="92"/>
      <c r="C1" s="92"/>
      <c r="D1" s="92"/>
      <c r="E1" s="92"/>
      <c r="F1" s="92"/>
      <c r="G1" s="92"/>
      <c r="H1" s="92"/>
    </row>
    <row r="2" customFormat="false" ht="12.75" hidden="false" customHeight="true" outlineLevel="0" collapsed="false">
      <c r="A2" s="93" t="s">
        <v>1692</v>
      </c>
      <c r="B2" s="94" t="str">
        <f aca="false">Flights!$F$25&amp;"   "&amp;TEXT(Flights!$D$25,"DD-MMM-YY")&amp;" ("&amp;Flights!$E$25&amp;")"</f>
        <v>MH1437   30-Oct-26 (FRI)</v>
      </c>
      <c r="C2" s="94"/>
      <c r="D2" s="94"/>
      <c r="E2" s="95" t="s">
        <v>1693</v>
      </c>
      <c r="F2" s="96" t="str">
        <f aca="false">Flights!$AT$25</f>
        <v>NOT READY – DOCUMENTS</v>
      </c>
      <c r="G2" s="96"/>
      <c r="H2" s="96"/>
    </row>
    <row r="3" customFormat="false" ht="24" hidden="false" customHeight="true" outlineLevel="0" collapsed="false">
      <c r="A3" s="93" t="s">
        <v>1694</v>
      </c>
      <c r="B3" s="94" t="str">
        <f aca="false">Flights!$G$25&amp;" → "&amp;Flights!$H$25&amp;"   Class "&amp;Flights!$K$25&amp;"   Seat "&amp;Flights!$O$25</f>
        <v>LGK → KUL   Class BC   Seat 1C</v>
      </c>
      <c r="C3" s="94"/>
      <c r="D3" s="94"/>
      <c r="E3" s="95" t="s">
        <v>71</v>
      </c>
      <c r="F3" s="95" t="s">
        <v>1695</v>
      </c>
      <c r="G3" s="95" t="s">
        <v>1696</v>
      </c>
      <c r="H3" s="95"/>
    </row>
    <row r="4" customFormat="false" ht="24" hidden="false" customHeight="true" outlineLevel="0" collapsed="false">
      <c r="A4" s="93" t="s">
        <v>1697</v>
      </c>
      <c r="B4" s="94" t="str">
        <f aca="false">IF(ISNUMBER(Flights!$I$25),TEXT(Flights!$I$25,"DD-MMM-YY HH:MM"),"")&amp;" "&amp;Flights!$G$25&amp;"  →  "&amp;IF(ISNUMBER(Flights!$J$25),TEXT(Flights!$J$25,"DD-MMM-YY HH:MM"),"")&amp;" "&amp;Flights!$H$25</f>
        <v>30-Oct-26 14:45 LGK  →  30-Oct-26 16:05 KUL</v>
      </c>
      <c r="C4" s="94"/>
      <c r="D4" s="94"/>
      <c r="E4" s="93" t="s">
        <v>1698</v>
      </c>
      <c r="F4" s="97" t="str">
        <f aca="false">IF(ISNUMBER(Flights!$AG$25),TEXT(Flights!$AG$25,"DD-MMM-YY HH:MM"),"")&amp;" "&amp;Flights!$V$25</f>
        <v>23-Oct-26 14:45 KUL</v>
      </c>
      <c r="G4" s="98" t="n">
        <f aca="false">Flights!$AJ$25</f>
        <v>0</v>
      </c>
      <c r="H4" s="98"/>
    </row>
    <row r="5" customFormat="false" ht="24" hidden="false" customHeight="true" outlineLevel="0" collapsed="false">
      <c r="A5" s="93" t="s">
        <v>1699</v>
      </c>
      <c r="B5" s="94" t="str">
        <f aca="false">Flights!$L$25&amp;" – "&amp;Flights!$M$25</f>
        <v>B738MAX – B737-8 (B7M8)</v>
      </c>
      <c r="C5" s="94"/>
      <c r="D5" s="94"/>
      <c r="E5" s="93" t="s">
        <v>1700</v>
      </c>
      <c r="F5" s="97" t="str">
        <f aca="false">IF(ISNUMBER(Flights!$AH$25),TEXT(Flights!$AH$25,"DD-MMM-YY HH:MM"),"")&amp;" "&amp;Flights!$V$25</f>
        <v>29-Oct-26 12:30 KUL</v>
      </c>
      <c r="G5" s="98" t="n">
        <f aca="false">Flights!$AK$25</f>
        <v>0</v>
      </c>
      <c r="H5" s="98"/>
    </row>
    <row r="6" customFormat="false" ht="24" hidden="false" customHeight="true" outlineLevel="0" collapsed="false">
      <c r="A6" s="93" t="s">
        <v>1701</v>
      </c>
      <c r="B6" s="94" t="str">
        <f aca="false">IF(TRIM(Flights!$N$25)="","__________________",Flights!$N$25)</f>
        <v>__________________</v>
      </c>
      <c r="C6" s="94"/>
      <c r="D6" s="94"/>
      <c r="E6" s="93" t="s">
        <v>1702</v>
      </c>
      <c r="F6" s="97" t="str">
        <f aca="false">IF(ISNUMBER(Flights!$AI$25),TEXT(Flights!$AI$25,"DD-MMM-YY HH:MM"),"")&amp;" "&amp;Flights!$V$25&amp;IF(Flights!$AI$25=Flights!$AH$25,"  (= T-24H due)","")</f>
        <v>29-Oct-26 12:30 KUL  (= T-24H due)</v>
      </c>
      <c r="G6" s="98" t="n">
        <f aca="false">Flights!$AL$25</f>
        <v>0</v>
      </c>
      <c r="H6" s="98"/>
    </row>
    <row r="7" customFormat="false" ht="24" hidden="false" customHeight="true" outlineLevel="0" collapsed="false">
      <c r="A7" s="93" t="s">
        <v>1703</v>
      </c>
      <c r="B7" s="94" t="str">
        <f aca="false">Flights!$T$25</f>
        <v>Refreshment (Peanut &amp; Water)</v>
      </c>
      <c r="C7" s="94"/>
      <c r="D7" s="94"/>
      <c r="E7" s="93" t="s">
        <v>1704</v>
      </c>
      <c r="F7" s="97" t="str">
        <f aca="false">"STD "&amp;IF(ISNUMBER(Flights!$I$25),TEXT(Flights!$I$25,"DD-MMM-YY HH:MM"),"")&amp;" "&amp;Flights!$G$25&amp;" (dep stn)"</f>
        <v>STD 30-Oct-26 14:45 LGK (dep stn)</v>
      </c>
      <c r="G7" s="98" t="n">
        <f aca="false">Flights!$AM$25</f>
        <v>0</v>
      </c>
      <c r="H7" s="98"/>
    </row>
    <row r="8" customFormat="false" ht="12.75" hidden="false" customHeight="true" outlineLevel="0" collapsed="false">
      <c r="A8" s="93" t="s">
        <v>153</v>
      </c>
      <c r="B8" s="94" t="str">
        <f aca="false">Flights!$V$25&amp;"   (reference uplift stns: "&amp;Flights!$U$25&amp;")"</f>
        <v>KUL   (reference uplift stns: KUL)</v>
      </c>
      <c r="C8" s="94"/>
      <c r="D8" s="94"/>
      <c r="E8" s="93" t="s">
        <v>1705</v>
      </c>
      <c r="F8" s="99" t="s">
        <v>1706</v>
      </c>
      <c r="G8" s="98" t="n">
        <f aca="false">Flights!$AN$25</f>
        <v>0</v>
      </c>
      <c r="H8" s="98"/>
    </row>
    <row r="9" customFormat="false" ht="12.75" hidden="false" customHeight="true" outlineLevel="0" collapsed="false">
      <c r="A9" s="93" t="s">
        <v>1707</v>
      </c>
      <c r="B9" s="94" t="str">
        <f aca="false">TRIM(Flights!$P$25&amp;"  "&amp;Flights!$Q$25)</f>
        <v>-</v>
      </c>
      <c r="C9" s="94"/>
      <c r="D9" s="94"/>
      <c r="E9" s="93" t="s">
        <v>1708</v>
      </c>
      <c r="F9" s="100" t="n">
        <f aca="false">Flights!$AP$25</f>
        <v>0</v>
      </c>
      <c r="G9" s="100" t="n">
        <f aca="false">Flights!$AQ$25</f>
        <v>0</v>
      </c>
      <c r="H9" s="100" t="n">
        <f aca="false">Flights!$AU$25</f>
        <v>0</v>
      </c>
    </row>
    <row r="10" customFormat="false" ht="24" hidden="false" customHeight="true" outlineLevel="0" collapsed="false">
      <c r="A10" s="93" t="s">
        <v>1709</v>
      </c>
      <c r="B10" s="94" t="str">
        <f aca="false">IF(TRIM(Flights!$X$25)="","__________________",Flights!$X$25)</f>
        <v>__________________</v>
      </c>
      <c r="C10" s="94"/>
      <c r="D10" s="94"/>
      <c r="E10" s="93" t="s">
        <v>1710</v>
      </c>
      <c r="F10" s="100" t="n">
        <f aca="false">Flights!$AO$25</f>
        <v>36</v>
      </c>
      <c r="G10" s="100" t="n">
        <f aca="false">Flights!$AS$25</f>
        <v>1</v>
      </c>
      <c r="H10" s="100" t="n">
        <f aca="false">Flights!$AR$25</f>
        <v>2</v>
      </c>
    </row>
    <row r="11" customFormat="false" ht="21" hidden="false" customHeight="true" outlineLevel="0" collapsed="false">
      <c r="A11" s="93" t="s">
        <v>1711</v>
      </c>
      <c r="B11" s="94" t="str">
        <f aca="false">IF(TRIM(Flights!$Y$25)="","__________________",Flights!$Y$25)</f>
        <v>__________________</v>
      </c>
      <c r="C11" s="94"/>
      <c r="D11" s="94"/>
      <c r="E11" s="93" t="s">
        <v>1712</v>
      </c>
      <c r="F11" s="100" t="str">
        <f aca="false">Flights!$AV$25&amp;" / "&amp;Flights!$AW$25</f>
        <v>0 / 36</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45.75" hidden="false" customHeight="true" outlineLevel="0" collapsed="false">
      <c r="A13" s="118" t="str">
        <f aca="false">"ROUND-TRIP LEG: all catering is uplifted at KUL on the carrying flight (agenda candidate "&amp;Flights!$W$25&amp;IFERROR(" "&amp;INDEX(Flights!$F$5:$F$26,MATCH(TRIM(Flights!$W$25),Flights!$A$5:$A$26,0)),"")&amp;"). T-24H / T-12H PREP are capped at the KUL loading window; on-board UPLIFT checks are at "&amp;Flights!$G$25&amp;"."&amp;CHAR(10)&amp;"KUL loading window opens (caps prep dues; each row shows its binding due): "&amp;IF(ISNUMBER(Flights!$AY$25),TEXT(Flights!$AY$25+IFERROR(INDEX(Settings!$C$13:$C$22,MATCH("KUL",Settings!$A$13:$A$22,0)),8)/24,"DD-MMM-YY HH:MM")&amp;" KUL","(not set)")&amp;"   |   Carrying flight KUL departure (loading confirmed by): "&amp;IF(ISNUMBER(Flights!$AY$25),TEXT(Flights!$AY$25+UpliftWindowH/24+IFERROR(INDEX(Settings!$C$13:$C$22,MATCH("KUL",Settings!$A$13:$A$22,0)),8)/24,"DD-MMM-YY HH:MM")&amp;" KUL","(not set)")&amp;IF(ISNUMBER(Flights!$AX$25),"",IF(TRIM(Flights!$W$25)&lt;&gt;""," (agenda candidate – enter actual on Flights AX)"," (latest possible – enter actual on Flights AX)"))</f>
        <v>ROUND-TRIP LEG: all catering is uplifted at KUL on the carrying flight (agenda candidate F20 MH1450). T-24H / T-12H PREP are capped at the KUL loading window; on-board UPLIFT checks are at LGK.
KUL loading window opens (caps prep dues; each row shows its binding due): 29-Oct-26 12:30 KUL   |   Carrying flight KUL departure (loading confirmed by): 29-Oct-26 18:30 KUL (agenda candidate – enter actual on Flights AX)</v>
      </c>
      <c r="B13" s="118"/>
      <c r="C13" s="118"/>
      <c r="D13" s="118"/>
      <c r="E13" s="118"/>
      <c r="F13" s="118"/>
      <c r="G13" s="118"/>
      <c r="H13" s="118"/>
    </row>
    <row r="14" customFormat="false" ht="13.5" hidden="false" customHeight="true" outlineLevel="0" collapsed="false">
      <c r="A14" s="95" t="s">
        <v>1717</v>
      </c>
      <c r="B14" s="95" t="s">
        <v>1718</v>
      </c>
      <c r="C14" s="95" t="s">
        <v>1719</v>
      </c>
      <c r="D14" s="95"/>
      <c r="E14" s="95" t="s">
        <v>1720</v>
      </c>
      <c r="F14" s="95" t="s">
        <v>1721</v>
      </c>
      <c r="G14" s="95"/>
      <c r="H14" s="95"/>
    </row>
    <row r="15" customFormat="false" ht="36" hidden="false" customHeight="true" outlineLevel="0" collapsed="false">
      <c r="A15" s="93" t="s">
        <v>1722</v>
      </c>
      <c r="B15" s="94" t="str">
        <f aca="false">IF(Documents!$F$25="","",Documents!$F$25)</f>
        <v/>
      </c>
      <c r="C15" s="99" t="str">
        <f aca="false">IF(Documents!$G$25="","",Documents!$G$25)&amp;IF(ISNUMBER(Documents!$H$25),"  "&amp;TEXT(Documents!$H$25,"DD-MMM-YY"),"")</f>
        <v/>
      </c>
      <c r="D15" s="99"/>
      <c r="E15" s="107" t="str">
        <f aca="false">IF(Documents!$J$25="OUTSTANDING","OUTSTANDING – attach before T-7D (due "&amp;IF(ISNUMBER(Flights!$AG$25),TEXT(Flights!$AG$25,"DD-MMM-YY HH:MM"),"")&amp;" "&amp;Flights!$V$25&amp;")",IF(Documents!$J$25="","Status not recorded",Documents!$J$25))</f>
        <v>OUTSTANDING – attach before T-7D (due 23-Oct-26 14:45 KUL)</v>
      </c>
      <c r="F15" s="108" t="str">
        <f aca="false">"Staple behind this sheet as page A1."&amp;IF(Documents!$I$25="",""," Location: "&amp;Documents!$I$25)</f>
        <v>Staple behind this sheet as page A1.</v>
      </c>
      <c r="G15" s="108"/>
      <c r="H15" s="108"/>
    </row>
    <row r="16" customFormat="false" ht="36" hidden="false" customHeight="true" outlineLevel="0" collapsed="false">
      <c r="A16" s="93" t="s">
        <v>1723</v>
      </c>
      <c r="B16" s="94" t="str">
        <f aca="false">IF(Documents!$K$25="","",Documents!$K$25)</f>
        <v/>
      </c>
      <c r="C16" s="99" t="str">
        <f aca="false">IF(Documents!$L$25="","",Documents!$L$25)&amp;IF(ISNUMBER(Documents!$M$25),"  "&amp;TEXT(Documents!$M$25,"DD-MMM-YY"),"")</f>
        <v/>
      </c>
      <c r="D16" s="99"/>
      <c r="E16" s="107" t="str">
        <f aca="false">IF(Documents!$O$25="OUTSTANDING","OUTSTANDING – attach before T-7D (due "&amp;IF(ISNUMBER(Flights!$AG$25),TEXT(Flights!$AG$25,"DD-MMM-YY HH:MM"),"")&amp;" "&amp;Flights!$V$25&amp;")",IF(Documents!$O$25="","Status not recorded",Documents!$O$25))</f>
        <v>OUTSTANDING – attach before T-7D (due 23-Oct-26 14:45 KUL)</v>
      </c>
      <c r="F16" s="108" t="str">
        <f aca="false">"Staple behind this sheet as page A2."&amp;IF(Documents!$N$25="",""," Location: "&amp;Documents!$N$25)</f>
        <v>Staple behind this sheet as page A2.</v>
      </c>
      <c r="G16" s="108"/>
      <c r="H16" s="108"/>
    </row>
    <row r="17" customFormat="false" ht="22.5" hidden="false" customHeight="true" outlineLevel="0" collapsed="false">
      <c r="A17" s="93" t="s">
        <v>1724</v>
      </c>
      <c r="B17" s="109" t="str">
        <f aca="false">IF(Documents!$Q$25="","",Documents!$Q$25)</f>
        <v>Not supplied with brief – obtain from caterer / MAGCS. Return catering loaded at KUL: GLD must show return-leg stowage.</v>
      </c>
      <c r="C17" s="109"/>
      <c r="D17" s="109"/>
      <c r="E17" s="109"/>
      <c r="F17" s="109"/>
      <c r="G17" s="109"/>
      <c r="H17" s="109"/>
    </row>
    <row r="18" customFormat="false" ht="13.5" hidden="false" customHeight="true" outlineLevel="0" collapsed="false">
      <c r="A18" s="110" t="s">
        <v>1725</v>
      </c>
      <c r="B18" s="110"/>
      <c r="C18" s="110" t="s">
        <v>1726</v>
      </c>
      <c r="D18" s="110"/>
      <c r="E18" s="110"/>
      <c r="F18" s="110" t="s">
        <v>1727</v>
      </c>
      <c r="G18" s="110"/>
      <c r="H18" s="110"/>
    </row>
    <row r="19" customFormat="false" ht="18" hidden="false" customHeight="true" outlineLevel="0" collapsed="false">
      <c r="A19" s="94" t="str">
        <f aca="false">"Name: "&amp;IF(TRIM(Flights!$Y$25)="","__________________",Flights!$Y$25)</f>
        <v>Name: __________________</v>
      </c>
      <c r="B19" s="94"/>
      <c r="C19" s="94" t="str">
        <f aca="false">"Name: __________________"</f>
        <v>Name: __________________</v>
      </c>
      <c r="D19" s="94"/>
      <c r="E19" s="94"/>
      <c r="F19" s="94" t="str">
        <f aca="false">"Name: __________________"&amp;"   Station: "&amp;Flights!$V$25</f>
        <v>Name: __________________   Station: KUL</v>
      </c>
      <c r="G19" s="94"/>
      <c r="H19" s="94"/>
    </row>
    <row r="20" customFormat="false" ht="30" hidden="false" customHeight="true" outlineLevel="0" collapsed="false">
      <c r="A20" s="111" t="s">
        <v>1728</v>
      </c>
      <c r="B20" s="111"/>
      <c r="C20" s="111" t="s">
        <v>1728</v>
      </c>
      <c r="D20" s="111"/>
      <c r="E20" s="111"/>
      <c r="F20" s="111" t="s">
        <v>1728</v>
      </c>
      <c r="G20" s="111"/>
      <c r="H20" s="111"/>
    </row>
    <row r="21" customFormat="false" ht="13.5" hidden="false" customHeight="true" outlineLevel="0" collapsed="false">
      <c r="A21" s="112" t="s">
        <v>1729</v>
      </c>
      <c r="B21" s="112"/>
      <c r="C21" s="112"/>
      <c r="D21" s="112"/>
      <c r="E21" s="112"/>
      <c r="F21" s="112"/>
      <c r="G21" s="112"/>
      <c r="H21" s="112"/>
    </row>
    <row r="22" customFormat="false" ht="24" hidden="false" customHeight="true" outlineLevel="0" collapsed="false">
      <c r="A22" s="95" t="s">
        <v>1730</v>
      </c>
      <c r="B22" s="95" t="s">
        <v>1731</v>
      </c>
      <c r="C22" s="95" t="s">
        <v>1732</v>
      </c>
      <c r="D22" s="95" t="s">
        <v>1733</v>
      </c>
      <c r="E22" s="95" t="s">
        <v>1734</v>
      </c>
      <c r="F22" s="95" t="s">
        <v>1735</v>
      </c>
      <c r="G22" s="95" t="s">
        <v>1736</v>
      </c>
      <c r="H22" s="95" t="s">
        <v>124</v>
      </c>
    </row>
    <row r="23" customFormat="false" ht="25.5" hidden="false" customHeight="true" outlineLevel="0" collapsed="false">
      <c r="A23" s="113" t="str">
        <f aca="false">"T-7D — 7 days before departure  |  Due "&amp;IF(ISNUMBER(Flights!$AG$25),TEXT(Flights!$AG$25,"DD-MMM-YY HH:MM"),"")&amp;" "&amp;Flights!$V$25&amp;" (meal uplift stn)"&amp;" (rows with another due show their own)  |  Complete "&amp;IF(ISNUMBER(Flights!$AJ$25),TEXT(Flights!$AJ$25,"0%"),Flights!$AJ$25)&amp;"  |  10 lines"</f>
        <v>T-7D — 7 days before departure  |  Due 23-Oct-26 14:45 KUL (meal uplift stn) (rows with another due show their own)  |  Complete 0%  |  10 lines</v>
      </c>
      <c r="B23" s="113"/>
      <c r="C23" s="113"/>
      <c r="D23" s="113"/>
      <c r="E23" s="113"/>
      <c r="F23" s="113"/>
      <c r="G23" s="113"/>
      <c r="H23" s="113"/>
    </row>
    <row r="24" customFormat="false" ht="114" hidden="false" customHeight="true" outlineLevel="0" collapsed="false">
      <c r="A24" s="114" t="str">
        <f aca="false">Checks!$A$665&amp;CHAR(10)&amp;IF(Checks!$I$665="","",Checks!$I$665&amp;": ")&amp;Checks!$J$665</f>
        <v>F21-T7-01
Meal: Meal sensory testing completed for this flight's menu cycle (assessed class)</v>
      </c>
      <c r="B24" s="114" t="str">
        <f aca="false">Checks!$K$665&amp;IF(Checks!$O$665="","",IF(Checks!$K$665="","",CHAR(10))&amp;"Note: "&amp;Checks!$O$665)</f>
        <v>Record panel result / score in Result
Note: Refreshment service: sensory test covers the refreshment items.</v>
      </c>
      <c r="C24" s="114" t="str">
        <f aca="false">Checks!$N$665&amp;CHAR(10)&amp;IF(ISNUMBER(Checks!$R$665),TEXT(Checks!$R$665,"DD-MMM-YY HH:MM"),"")&amp;" "&amp;Checks!$P$665</f>
        <v>Required
23-Oct-26 14:45 KUL</v>
      </c>
      <c r="D24" s="114" t="str">
        <f aca="false">IF(Checks!$U$665="","",Checks!$U$665)&amp;IF(Checks!$AB$665="","",CHAR(10)&amp;"CA: "&amp;Checks!$AB$665)</f>
        <v/>
      </c>
      <c r="E24" s="114" t="str">
        <f aca="false">IF(Checks!$V$665="","",Checks!$V$665)&amp;IF(Checks!$AC$665="","",IF(Checks!$V$665="","",CHAR(10))&amp;"N/A just.: "&amp;Checks!$AC$665)&amp;IF(Checks!$W$665="","",CHAR(10)&amp;"Batch: "&amp;Checks!$W$665)&amp;IF(AND(Checks!$X$665="",Checks!$Y$665=""),"",CHAR(10)&amp;"Exp: "&amp;Checks!$X$665&amp;"  /  Act: "&amp;Checks!$Y$665)</f>
        <v/>
      </c>
      <c r="F24" s="114" t="str">
        <f aca="false">IF(Checks!$Z$665="","","Evidence: "&amp;Checks!$Z$665)&amp;IF(Checks!$AA$665="","",IF(Checks!$Z$665="","",CHAR(10))&amp;"CA: "&amp;Checks!$AA$665)</f>
        <v/>
      </c>
      <c r="G24" s="114" t="str">
        <f aca="false">IF(ISNUMBER(Checks!$AD$665),TEXT(Checks!$AD$665,"DD-MMM-YY HH:MM")&amp;" "&amp;Checks!$P$665,"")&amp;IF(Checks!$AE$665="","",CHAR(10)&amp;"Verifier: "&amp;Checks!$AE$665)&amp;IF(Checks!$T$665="","",CHAR(10)&amp;"PIC: "&amp;Checks!$T$665)</f>
        <v/>
      </c>
      <c r="H24" s="115" t="str">
        <f aca="false">IF(Checks!$AH$665="","",Checks!$AH$665)</f>
        <v>OPEN</v>
      </c>
    </row>
    <row r="25" customFormat="false" ht="114" hidden="false" customHeight="true" outlineLevel="0" collapsed="false">
      <c r="A25" s="114" t="str">
        <f aca="false">Checks!$A$666&amp;CHAR(10)&amp;IF(Checks!$I$666="","",Checks!$I$666&amp;": ")&amp;Checks!$J$666</f>
        <v>F21-T7-02
Menu: Printed menu cards confirmed (content, cycle, language, quantity)</v>
      </c>
      <c r="B25" s="114" t="str">
        <f aca="false">Checks!$K$666&amp;IF(Checks!$O$666="","",IF(Checks!$K$666="","",CHAR(10))&amp;"Note: "&amp;Checks!$O$666)</f>
        <v>Menu card matches approved menu for this flight
Note: Refreshment service (peanut &amp; water). If no printed menu card is used, mark N/A with the confirmation as justification.</v>
      </c>
      <c r="C25" s="114" t="str">
        <f aca="false">Checks!$N$666&amp;CHAR(10)&amp;IF(ISNUMBER(Checks!$R$666),TEXT(Checks!$R$666,"DD-MMM-YY HH:MM"),"")&amp;" "&amp;Checks!$P$666</f>
        <v>Required
23-Oct-26 14:45 KUL</v>
      </c>
      <c r="D25" s="114" t="str">
        <f aca="false">IF(Checks!$U$666="","",Checks!$U$666)&amp;IF(Checks!$AB$666="","",CHAR(10)&amp;"CA: "&amp;Checks!$AB$666)</f>
        <v/>
      </c>
      <c r="E25" s="114" t="str">
        <f aca="false">IF(Checks!$V$666="","",Checks!$V$666)&amp;IF(Checks!$AC$666="","",IF(Checks!$V$666="","",CHAR(10))&amp;"N/A just.: "&amp;Checks!$AC$666)&amp;IF(Checks!$W$666="","",CHAR(10)&amp;"Batch: "&amp;Checks!$W$666)&amp;IF(AND(Checks!$X$666="",Checks!$Y$666=""),"",CHAR(10)&amp;"Exp: "&amp;Checks!$X$666&amp;"  /  Act: "&amp;Checks!$Y$666)</f>
        <v/>
      </c>
      <c r="F25" s="114" t="str">
        <f aca="false">IF(Checks!$Z$666="","","Evidence: "&amp;Checks!$Z$666)&amp;IF(Checks!$AA$666="","",IF(Checks!$Z$666="","",CHAR(10))&amp;"CA: "&amp;Checks!$AA$666)</f>
        <v/>
      </c>
      <c r="G25" s="114" t="str">
        <f aca="false">IF(ISNUMBER(Checks!$AD$666),TEXT(Checks!$AD$666,"DD-MMM-YY HH:MM")&amp;" "&amp;Checks!$P$666,"")&amp;IF(Checks!$AE$666="","",CHAR(10)&amp;"Verifier: "&amp;Checks!$AE$666)&amp;IF(Checks!$T$666="","",CHAR(10)&amp;"PIC: "&amp;Checks!$T$666)</f>
        <v/>
      </c>
      <c r="H25" s="115" t="str">
        <f aca="false">IF(Checks!$AH$666="","",Checks!$AH$666)</f>
        <v>OPEN</v>
      </c>
    </row>
    <row r="26" customFormat="false" ht="114" hidden="false" customHeight="true" outlineLevel="0" collapsed="false">
      <c r="A26" s="114" t="str">
        <f aca="false">Checks!$A$667&amp;CHAR(10)&amp;IF(Checks!$I$667="","",Checks!$I$667&amp;": ")&amp;Checks!$J$667</f>
        <v>F21-T7-03
IFE: Digital menu in IFE confirmed (A339 only)</v>
      </c>
      <c r="B26" s="114" t="str">
        <f aca="false">Checks!$K$667&amp;IF(Checks!$O$667="","",IF(Checks!$K$667="","",CHAR(10))&amp;"Note: "&amp;Checks!$O$667)</f>
        <v>Applies when fleet = A339
Note: Digital IFE menu applies to A339 only (user brief). Applicability follows the Fleet cell on Flights.</v>
      </c>
      <c r="C26" s="114" t="str">
        <f aca="false">Checks!$N$667&amp;CHAR(10)&amp;IF(ISNUMBER(Checks!$R$667),TEXT(Checks!$R$667,"DD-MMM-YY HH:MM"),"")&amp;" "&amp;Checks!$P$667</f>
        <v>N/A – rule
23-Oct-26 14:45 KUL</v>
      </c>
      <c r="D26" s="114" t="str">
        <f aca="false">IF(Checks!$U$667="","",Checks!$U$667)&amp;IF(Checks!$AB$667="","",CHAR(10)&amp;"CA: "&amp;Checks!$AB$667)</f>
        <v/>
      </c>
      <c r="E26" s="114" t="str">
        <f aca="false">IF(Checks!$V$667="","",Checks!$V$667)&amp;IF(Checks!$AC$667="","",IF(Checks!$V$667="","",CHAR(10))&amp;"N/A just.: "&amp;Checks!$AC$667)&amp;IF(Checks!$W$667="","",CHAR(10)&amp;"Batch: "&amp;Checks!$W$667)&amp;IF(AND(Checks!$X$667="",Checks!$Y$667=""),"",CHAR(10)&amp;"Exp: "&amp;Checks!$X$667&amp;"  /  Act: "&amp;Checks!$Y$667)</f>
        <v/>
      </c>
      <c r="F26" s="114" t="str">
        <f aca="false">IF(Checks!$Z$667="","","Evidence: "&amp;Checks!$Z$667)&amp;IF(Checks!$AA$667="","",IF(Checks!$Z$667="","",CHAR(10))&amp;"CA: "&amp;Checks!$AA$667)</f>
        <v/>
      </c>
      <c r="G26" s="114" t="str">
        <f aca="false">IF(ISNUMBER(Checks!$AD$667),TEXT(Checks!$AD$667,"DD-MMM-YY HH:MM")&amp;" "&amp;Checks!$P$667,"")&amp;IF(Checks!$AE$667="","",CHAR(10)&amp;"Verifier: "&amp;Checks!$AE$667)&amp;IF(Checks!$T$667="","",CHAR(10)&amp;"PIC: "&amp;Checks!$T$667)</f>
        <v/>
      </c>
      <c r="H26" s="115" t="str">
        <f aca="false">IF(Checks!$AH$667="","",Checks!$AH$667)</f>
        <v>N/A – RULE</v>
      </c>
    </row>
    <row r="27" customFormat="false" ht="114" hidden="false" customHeight="true" outlineLevel="0" collapsed="false">
      <c r="A27" s="114" t="str">
        <f aca="false">Checks!$A$668&amp;CHAR(10)&amp;IF(Checks!$I$668="","",Checks!$I$668&amp;": ")&amp;Checks!$J$668</f>
        <v>F21-T7-04
Staffing: Experienced catering officer assigned to this flight</v>
      </c>
      <c r="B27" s="114" t="str">
        <f aca="false">Checks!$K$668&amp;IF(Checks!$O$668="","",IF(Checks!$K$668="","",CHAR(10))&amp;"Note: "&amp;Checks!$O$668)</f>
        <v>Record officer name in Result</v>
      </c>
      <c r="C27" s="114" t="str">
        <f aca="false">Checks!$N$668&amp;CHAR(10)&amp;IF(ISNUMBER(Checks!$R$668),TEXT(Checks!$R$668,"DD-MMM-YY HH:MM"),"")&amp;" "&amp;Checks!$P$668</f>
        <v>Required
23-Oct-26 14:45 KUL</v>
      </c>
      <c r="D27" s="114" t="str">
        <f aca="false">IF(Checks!$U$668="","",Checks!$U$668)&amp;IF(Checks!$AB$668="","",CHAR(10)&amp;"CA: "&amp;Checks!$AB$668)</f>
        <v/>
      </c>
      <c r="E27" s="114" t="str">
        <f aca="false">IF(Checks!$V$668="","",Checks!$V$668)&amp;IF(Checks!$AC$668="","",IF(Checks!$V$668="","",CHAR(10))&amp;"N/A just.: "&amp;Checks!$AC$668)&amp;IF(Checks!$W$668="","",CHAR(10)&amp;"Batch: "&amp;Checks!$W$668)&amp;IF(AND(Checks!$X$668="",Checks!$Y$668=""),"",CHAR(10)&amp;"Exp: "&amp;Checks!$X$668&amp;"  /  Act: "&amp;Checks!$Y$668)</f>
        <v/>
      </c>
      <c r="F27" s="114" t="str">
        <f aca="false">IF(Checks!$Z$668="","","Evidence: "&amp;Checks!$Z$668)&amp;IF(Checks!$AA$668="","",IF(Checks!$Z$668="","",CHAR(10))&amp;"CA: "&amp;Checks!$AA$668)</f>
        <v/>
      </c>
      <c r="G27" s="114" t="str">
        <f aca="false">IF(ISNUMBER(Checks!$AD$668),TEXT(Checks!$AD$668,"DD-MMM-YY HH:MM")&amp;" "&amp;Checks!$P$668,"")&amp;IF(Checks!$AE$668="","",CHAR(10)&amp;"Verifier: "&amp;Checks!$AE$668)&amp;IF(Checks!$T$668="","",CHAR(10)&amp;"PIC: "&amp;Checks!$T$668)</f>
        <v/>
      </c>
      <c r="H27" s="115" t="str">
        <f aca="false">IF(Checks!$AH$668="","",Checks!$AH$668)</f>
        <v>OPEN</v>
      </c>
    </row>
    <row r="28" customFormat="false" ht="114" hidden="false" customHeight="true" outlineLevel="0" collapsed="false">
      <c r="A28" s="114" t="str">
        <f aca="false">Checks!$A$669&amp;CHAR(10)&amp;IF(Checks!$I$669="","",Checks!$I$669&amp;": ")&amp;Checks!$J$669</f>
        <v>F21-T7-05
ISOP: All latest applicable ISOP revisions communicated to caterer</v>
      </c>
      <c r="B28" s="114" t="str">
        <f aca="false">Checks!$K$669&amp;IF(Checks!$O$669="","",IF(Checks!$K$669="","",CHAR(10))&amp;"Note: "&amp;Checks!$O$669)</f>
        <v>List revision numbers in Result (see ISOP register)</v>
      </c>
      <c r="C28" s="114" t="str">
        <f aca="false">Checks!$N$669&amp;CHAR(10)&amp;IF(ISNUMBER(Checks!$R$669),TEXT(Checks!$R$669,"DD-MMM-YY HH:MM"),"")&amp;" "&amp;Checks!$P$669</f>
        <v>Required
23-Oct-26 14:45 KUL</v>
      </c>
      <c r="D28" s="114" t="str">
        <f aca="false">IF(Checks!$U$669="","",Checks!$U$669)&amp;IF(Checks!$AB$669="","",CHAR(10)&amp;"CA: "&amp;Checks!$AB$669)</f>
        <v/>
      </c>
      <c r="E28" s="114" t="str">
        <f aca="false">IF(Checks!$V$669="","",Checks!$V$669)&amp;IF(Checks!$AC$669="","",IF(Checks!$V$669="","",CHAR(10))&amp;"N/A just.: "&amp;Checks!$AC$669)&amp;IF(Checks!$W$669="","",CHAR(10)&amp;"Batch: "&amp;Checks!$W$669)&amp;IF(AND(Checks!$X$669="",Checks!$Y$669=""),"",CHAR(10)&amp;"Exp: "&amp;Checks!$X$669&amp;"  /  Act: "&amp;Checks!$Y$669)</f>
        <v/>
      </c>
      <c r="F28" s="114" t="str">
        <f aca="false">IF(Checks!$Z$669="","","Evidence: "&amp;Checks!$Z$669)&amp;IF(Checks!$AA$669="","",IF(Checks!$Z$669="","",CHAR(10))&amp;"CA: "&amp;Checks!$AA$669)</f>
        <v/>
      </c>
      <c r="G28" s="114" t="str">
        <f aca="false">IF(ISNUMBER(Checks!$AD$669),TEXT(Checks!$AD$669,"DD-MMM-YY HH:MM")&amp;" "&amp;Checks!$P$669,"")&amp;IF(Checks!$AE$669="","",CHAR(10)&amp;"Verifier: "&amp;Checks!$AE$669)&amp;IF(Checks!$T$669="","",CHAR(10)&amp;"PIC: "&amp;Checks!$T$669)</f>
        <v/>
      </c>
      <c r="H28" s="115" t="str">
        <f aca="false">IF(Checks!$AH$669="","",Checks!$AH$669)</f>
        <v>OPEN</v>
      </c>
    </row>
    <row r="29" customFormat="false" ht="114" hidden="false" customHeight="true" outlineLevel="0" collapsed="false">
      <c r="A29" s="114" t="str">
        <f aca="false">Checks!$A$670&amp;CHAR(10)&amp;IF(Checks!$I$670="","",Checks!$I$670&amp;": ")&amp;Checks!$J$670</f>
        <v>F21-T7-06
ISOP: Caterer acknowledgement of ISOP revisions recorded</v>
      </c>
      <c r="B29" s="114" t="str">
        <f aca="false">Checks!$K$670&amp;IF(Checks!$O$670="","",IF(Checks!$K$670="","",CHAR(10))&amp;"Note: "&amp;Checks!$O$670)</f>
        <v>Record acknowledgement ref in Evidence</v>
      </c>
      <c r="C29" s="114" t="str">
        <f aca="false">Checks!$N$670&amp;CHAR(10)&amp;IF(ISNUMBER(Checks!$R$670),TEXT(Checks!$R$670,"DD-MMM-YY HH:MM"),"")&amp;" "&amp;Checks!$P$670</f>
        <v>Required
23-Oct-26 14:45 KUL</v>
      </c>
      <c r="D29" s="114" t="str">
        <f aca="false">IF(Checks!$U$670="","",Checks!$U$670)&amp;IF(Checks!$AB$670="","",CHAR(10)&amp;"CA: "&amp;Checks!$AB$670)</f>
        <v/>
      </c>
      <c r="E29" s="114" t="str">
        <f aca="false">IF(Checks!$V$670="","",Checks!$V$670)&amp;IF(Checks!$AC$670="","",IF(Checks!$V$670="","",CHAR(10))&amp;"N/A just.: "&amp;Checks!$AC$670)&amp;IF(Checks!$W$670="","",CHAR(10)&amp;"Batch: "&amp;Checks!$W$670)&amp;IF(AND(Checks!$X$670="",Checks!$Y$670=""),"",CHAR(10)&amp;"Exp: "&amp;Checks!$X$670&amp;"  /  Act: "&amp;Checks!$Y$670)</f>
        <v/>
      </c>
      <c r="F29" s="114" t="str">
        <f aca="false">IF(Checks!$Z$670="","","Evidence: "&amp;Checks!$Z$670)&amp;IF(Checks!$AA$670="","",IF(Checks!$Z$670="","",CHAR(10))&amp;"CA: "&amp;Checks!$AA$670)</f>
        <v/>
      </c>
      <c r="G29" s="114" t="str">
        <f aca="false">IF(ISNUMBER(Checks!$AD$670),TEXT(Checks!$AD$670,"DD-MMM-YY HH:MM")&amp;" "&amp;Checks!$P$670,"")&amp;IF(Checks!$AE$670="","",CHAR(10)&amp;"Verifier: "&amp;Checks!$AE$670)&amp;IF(Checks!$T$670="","",CHAR(10)&amp;"PIC: "&amp;Checks!$T$670)</f>
        <v/>
      </c>
      <c r="H29" s="115" t="str">
        <f aca="false">IF(Checks!$AH$670="","",Checks!$AH$670)</f>
        <v>OPEN</v>
      </c>
    </row>
    <row r="30" customFormat="false" ht="114" hidden="false" customHeight="true" outlineLevel="0" collapsed="false">
      <c r="A30" s="114" t="str">
        <f aca="false">Checks!$A$671&amp;CHAR(10)&amp;IF(Checks!$I$671="","",Checks!$I$671&amp;": ")&amp;Checks!$J$671</f>
        <v>F21-T7-07
Documents: Galley loading diagram (GLD) received, revision recorded &amp; attached</v>
      </c>
      <c r="B30" s="114" t="str">
        <f aca="false">Checks!$K$671&amp;IF(Checks!$O$671="","",IF(Checks!$K$671="","",CHAR(10))&amp;"Note: "&amp;Checks!$O$671)</f>
        <v>Documents sheet row complete</v>
      </c>
      <c r="C30" s="114" t="str">
        <f aca="false">Checks!$N$671&amp;CHAR(10)&amp;IF(ISNUMBER(Checks!$R$671),TEXT(Checks!$R$671,"DD-MMM-YY HH:MM"),"")&amp;" "&amp;Checks!$P$671</f>
        <v>Required
23-Oct-26 14:45 KUL</v>
      </c>
      <c r="D30" s="114" t="str">
        <f aca="false">IF(Checks!$U$671="","",Checks!$U$671)&amp;IF(Checks!$AB$671="","",CHAR(10)&amp;"CA: "&amp;Checks!$AB$671)</f>
        <v/>
      </c>
      <c r="E30" s="114" t="str">
        <f aca="false">IF(Checks!$V$671="","",Checks!$V$671)&amp;IF(Checks!$AC$671="","",IF(Checks!$V$671="","",CHAR(10))&amp;"N/A just.: "&amp;Checks!$AC$671)&amp;IF(Checks!$W$671="","",CHAR(10)&amp;"Batch: "&amp;Checks!$W$671)&amp;IF(AND(Checks!$X$671="",Checks!$Y$671=""),"",CHAR(10)&amp;"Exp: "&amp;Checks!$X$671&amp;"  /  Act: "&amp;Checks!$Y$671)</f>
        <v/>
      </c>
      <c r="F30" s="114" t="str">
        <f aca="false">IF(Checks!$Z$671="","","Evidence: "&amp;Checks!$Z$671)&amp;IF(Checks!$AA$671="","",IF(Checks!$Z$671="","",CHAR(10))&amp;"CA: "&amp;Checks!$AA$671)</f>
        <v/>
      </c>
      <c r="G30" s="114" t="str">
        <f aca="false">IF(ISNUMBER(Checks!$AD$671),TEXT(Checks!$AD$671,"DD-MMM-YY HH:MM")&amp;" "&amp;Checks!$P$671,"")&amp;IF(Checks!$AE$671="","",CHAR(10)&amp;"Verifier: "&amp;Checks!$AE$671)&amp;IF(Checks!$T$671="","",CHAR(10)&amp;"PIC: "&amp;Checks!$T$671)</f>
        <v/>
      </c>
      <c r="H30" s="115" t="str">
        <f aca="false">IF(Checks!$AH$671="","",Checks!$AH$671)</f>
        <v>OPEN</v>
      </c>
    </row>
    <row r="31" customFormat="false" ht="114" hidden="false" customHeight="true" outlineLevel="0" collapsed="false">
      <c r="A31" s="114" t="str">
        <f aca="false">Checks!$A$672&amp;CHAR(10)&amp;IF(Checks!$I$672="","",Checks!$I$672&amp;": ")&amp;Checks!$J$672</f>
        <v>F21-T7-08
Documents: Menu checklist received, revision recorded &amp; attached</v>
      </c>
      <c r="B31" s="114" t="str">
        <f aca="false">Checks!$K$672&amp;IF(Checks!$O$672="","",IF(Checks!$K$672="","",CHAR(10))&amp;"Note: "&amp;Checks!$O$672)</f>
        <v>Documents sheet row complete</v>
      </c>
      <c r="C31" s="114" t="str">
        <f aca="false">Checks!$N$672&amp;CHAR(10)&amp;IF(ISNUMBER(Checks!$R$672),TEXT(Checks!$R$672,"DD-MMM-YY HH:MM"),"")&amp;" "&amp;Checks!$P$672</f>
        <v>Required
23-Oct-26 14:45 KUL</v>
      </c>
      <c r="D31" s="114" t="str">
        <f aca="false">IF(Checks!$U$672="","",Checks!$U$672)&amp;IF(Checks!$AB$672="","",CHAR(10)&amp;"CA: "&amp;Checks!$AB$672)</f>
        <v/>
      </c>
      <c r="E31" s="114" t="str">
        <f aca="false">IF(Checks!$V$672="","",Checks!$V$672)&amp;IF(Checks!$AC$672="","",IF(Checks!$V$672="","",CHAR(10))&amp;"N/A just.: "&amp;Checks!$AC$672)&amp;IF(Checks!$W$672="","",CHAR(10)&amp;"Batch: "&amp;Checks!$W$672)&amp;IF(AND(Checks!$X$672="",Checks!$Y$672=""),"",CHAR(10)&amp;"Exp: "&amp;Checks!$X$672&amp;"  /  Act: "&amp;Checks!$Y$672)</f>
        <v/>
      </c>
      <c r="F31" s="114" t="str">
        <f aca="false">IF(Checks!$Z$672="","","Evidence: "&amp;Checks!$Z$672)&amp;IF(Checks!$AA$672="","",IF(Checks!$Z$672="","",CHAR(10))&amp;"CA: "&amp;Checks!$AA$672)</f>
        <v/>
      </c>
      <c r="G31" s="114" t="str">
        <f aca="false">IF(ISNUMBER(Checks!$AD$672),TEXT(Checks!$AD$672,"DD-MMM-YY HH:MM")&amp;" "&amp;Checks!$P$672,"")&amp;IF(Checks!$AE$672="","",CHAR(10)&amp;"Verifier: "&amp;Checks!$AE$672)&amp;IF(Checks!$T$672="","",CHAR(10)&amp;"PIC: "&amp;Checks!$T$672)</f>
        <v/>
      </c>
      <c r="H31" s="115" t="str">
        <f aca="false">IF(Checks!$AH$672="","",Checks!$AH$672)</f>
        <v>OPEN</v>
      </c>
    </row>
    <row r="32" customFormat="false" ht="114" hidden="false" customHeight="true" outlineLevel="0" collapsed="false">
      <c r="A32" s="114" t="str">
        <f aca="false">Checks!$A$673&amp;CHAR(10)&amp;IF(Checks!$I$673="","",Checks!$I$673&amp;": ")&amp;Checks!$J$673</f>
        <v>F21-T7-09
Uplift plan: Uplift plan confirmed with caterer vs STD Uplift Information</v>
      </c>
      <c r="B32" s="114" t="str">
        <f aca="false">Checks!$K$673&amp;IF(Checks!$O$673="","",IF(Checks!$K$673="","",CHAR(10))&amp;"Note: "&amp;Checks!$O$673)</f>
        <v>Service: Refreshment (Peanut &amp; Water); meal uplift stn KUL (ref lists KUL)
Note: Return catering uplifted at KUL on the outbound rotation (ref uplift stn = KUL). Confirm aircraft rotation.</v>
      </c>
      <c r="C32" s="114" t="str">
        <f aca="false">Checks!$N$673&amp;CHAR(10)&amp;IF(ISNUMBER(Checks!$R$673),TEXT(Checks!$R$673,"DD-MMM-YY HH:MM"),"")&amp;" "&amp;Checks!$P$673</f>
        <v>Required
23-Oct-26 14:45 KUL</v>
      </c>
      <c r="D32" s="114" t="str">
        <f aca="false">IF(Checks!$U$673="","",Checks!$U$673)&amp;IF(Checks!$AB$673="","",CHAR(10)&amp;"CA: "&amp;Checks!$AB$673)</f>
        <v/>
      </c>
      <c r="E32" s="114" t="str">
        <f aca="false">IF(Checks!$V$673="","",Checks!$V$673)&amp;IF(Checks!$AC$673="","",IF(Checks!$V$673="","",CHAR(10))&amp;"N/A just.: "&amp;Checks!$AC$673)&amp;IF(Checks!$W$673="","",CHAR(10)&amp;"Batch: "&amp;Checks!$W$673)&amp;IF(AND(Checks!$X$673="",Checks!$Y$673=""),"",CHAR(10)&amp;"Exp: "&amp;Checks!$X$673&amp;"  /  Act: "&amp;Checks!$Y$673)</f>
        <v/>
      </c>
      <c r="F32" s="114" t="str">
        <f aca="false">IF(Checks!$Z$673="","","Evidence: "&amp;Checks!$Z$673)&amp;IF(Checks!$AA$673="","",IF(Checks!$Z$673="","",CHAR(10))&amp;"CA: "&amp;Checks!$AA$673)</f>
        <v/>
      </c>
      <c r="G32" s="114" t="str">
        <f aca="false">IF(ISNUMBER(Checks!$AD$673),TEXT(Checks!$AD$673,"DD-MMM-YY HH:MM")&amp;" "&amp;Checks!$P$673,"")&amp;IF(Checks!$AE$673="","",CHAR(10)&amp;"Verifier: "&amp;Checks!$AE$673)&amp;IF(Checks!$T$673="","",CHAR(10)&amp;"PIC: "&amp;Checks!$T$673)</f>
        <v/>
      </c>
      <c r="H32" s="115" t="str">
        <f aca="false">IF(Checks!$AH$673="","",Checks!$AH$673)</f>
        <v>OPEN</v>
      </c>
    </row>
    <row r="33" customFormat="false" ht="223.5" hidden="false" customHeight="true" outlineLevel="0" collapsed="false">
      <c r="A33" s="114" t="str">
        <f aca="false">Checks!$A$674&amp;CHAR(10)&amp;IF(Checks!$I$674="","",Checks!$I$674&amp;": ")&amp;Checks!$J$674</f>
        <v>F21-T7-10
Uplift plan: Carrying flight for this leg's return catering identified and its KUL departure (UTC) entered on Flights col AX</v>
      </c>
      <c r="B33" s="114" t="str">
        <f aca="false">Checks!$K$674&amp;IF(Checks!$O$674="","",IF(Checks!$K$674="","",CHAR(10))&amp;"Note: "&amp;Checks!$O$674)</f>
        <v>All catering for MH1437 LGK-KUL is uplifted at KUL (ref uplift stn KUL only)
Note: LGK does not cater. Agenda candidate: MH1450 (F20, KUL 1830 local) - confirm the aircraft rotation and enter the actual KUL departure in Flights AX (cannot be passed until entered). Until then, T-24H, T-12H prep and the KUL loading line assume the candidate's KUL departure.</v>
      </c>
      <c r="C33" s="114" t="str">
        <f aca="false">Checks!$N$674&amp;CHAR(10)&amp;IF(ISNUMBER(Checks!$R$674),TEXT(Checks!$R$674,"DD-MMM-YY HH:MM"),"")&amp;" "&amp;Checks!$P$674</f>
        <v>Clarification required
23-Oct-26 14:45 KUL</v>
      </c>
      <c r="D33" s="114" t="str">
        <f aca="false">IF(Checks!$U$674="","",Checks!$U$674)&amp;IF(Checks!$AB$674="","",CHAR(10)&amp;"CA: "&amp;Checks!$AB$674)</f>
        <v/>
      </c>
      <c r="E33" s="114" t="str">
        <f aca="false">IF(Checks!$V$674="","",Checks!$V$674)&amp;IF(Checks!$AC$674="","",IF(Checks!$V$674="","",CHAR(10))&amp;"N/A just.: "&amp;Checks!$AC$674)&amp;IF(Checks!$W$674="","",CHAR(10)&amp;"Batch: "&amp;Checks!$W$674)&amp;IF(AND(Checks!$X$674="",Checks!$Y$674=""),"",CHAR(10)&amp;"Exp: "&amp;Checks!$X$674&amp;"  /  Act: "&amp;Checks!$Y$674)</f>
        <v/>
      </c>
      <c r="F33" s="114" t="str">
        <f aca="false">IF(Checks!$Z$674="","","Evidence: "&amp;Checks!$Z$674)&amp;IF(Checks!$AA$674="","",IF(Checks!$Z$674="","",CHAR(10))&amp;"CA: "&amp;Checks!$AA$674)</f>
        <v/>
      </c>
      <c r="G33" s="114" t="str">
        <f aca="false">IF(ISNUMBER(Checks!$AD$674),TEXT(Checks!$AD$674,"DD-MMM-YY HH:MM")&amp;" "&amp;Checks!$P$674,"")&amp;IF(Checks!$AE$674="","",CHAR(10)&amp;"Verifier: "&amp;Checks!$AE$674)&amp;IF(Checks!$T$674="","",CHAR(10)&amp;"PIC: "&amp;Checks!$T$674)</f>
        <v/>
      </c>
      <c r="H33" s="115" t="str">
        <f aca="false">IF(Checks!$AH$674="","",Checks!$AH$674)</f>
        <v>OPEN – CLARIFICATION</v>
      </c>
    </row>
    <row r="34" customFormat="false" ht="25.5" hidden="false" customHeight="true" outlineLevel="0" collapsed="false">
      <c r="A34" s="113" t="str">
        <f aca="false">"T-24H — Production batch sensory  |  Due "&amp;IF(ISNUMBER(Flights!$AH$25),TEXT(Flights!$AH$25,"DD-MMM-YY HH:MM"),"")&amp;" "&amp;Flights!$V$25&amp;" (meal uplift stn)"&amp;" (rows with another due show their own)  |  Complete "&amp;IF(ISNUMBER(Flights!$AK$25),TEXT(Flights!$AK$25,"0%"),Flights!$AK$25)&amp;"  |  1 lines"</f>
        <v>T-24H — Production batch sensory  |  Due 29-Oct-26 12:30 KUL (meal uplift stn) (rows with another due show their own)  |  Complete 0%  |  1 lines</v>
      </c>
      <c r="B34" s="113"/>
      <c r="C34" s="113"/>
      <c r="D34" s="113"/>
      <c r="E34" s="113"/>
      <c r="F34" s="113"/>
      <c r="G34" s="113"/>
      <c r="H34" s="113"/>
    </row>
    <row r="35" customFormat="false" ht="114" hidden="false" customHeight="true" outlineLevel="0" collapsed="false">
      <c r="A35" s="114" t="str">
        <f aca="false">Checks!$A$675&amp;CHAR(10)&amp;IF(Checks!$I$675="","",Checks!$I$675&amp;": ")&amp;Checks!$J$675</f>
        <v>F21-T24-01
Meal: Sensory test repeated on ACTUAL production batch for this flight</v>
      </c>
      <c r="B35" s="114" t="str">
        <f aca="false">Checks!$K$675&amp;IF(Checks!$O$675="","",IF(Checks!$K$675="","",CHAR(10))&amp;"Note: "&amp;Checks!$O$675)</f>
        <v>Batch ID, result, CA and acceptance mandatory
Note: Round-trip catered from KUL: due capped at the KUL loading deadline (Flights AY).</v>
      </c>
      <c r="C35" s="114" t="str">
        <f aca="false">Checks!$N$675&amp;CHAR(10)&amp;IF(ISNUMBER(Checks!$R$675),TEXT(Checks!$R$675,"DD-MMM-YY HH:MM"),"")&amp;" "&amp;Checks!$P$675</f>
        <v>Required
29-Oct-26 12:30 KUL</v>
      </c>
      <c r="D35" s="114" t="str">
        <f aca="false">IF(Checks!$U$675="","",Checks!$U$675)&amp;IF(Checks!$AB$675="","",CHAR(10)&amp;"CA: "&amp;Checks!$AB$675)</f>
        <v/>
      </c>
      <c r="E35" s="114" t="str">
        <f aca="false">IF(Checks!$V$675="","",Checks!$V$675)&amp;IF(Checks!$AC$675="","",IF(Checks!$V$675="","",CHAR(10))&amp;"N/A just.: "&amp;Checks!$AC$675)&amp;IF(Checks!$W$675="","",CHAR(10)&amp;"Batch: "&amp;Checks!$W$675)&amp;IF(AND(Checks!$X$675="",Checks!$Y$675=""),"",CHAR(10)&amp;"Exp: "&amp;Checks!$X$675&amp;"  /  Act: "&amp;Checks!$Y$675)</f>
        <v/>
      </c>
      <c r="F35" s="114" t="str">
        <f aca="false">IF(Checks!$Z$675="","","Evidence: "&amp;Checks!$Z$675)&amp;IF(Checks!$AA$675="","",IF(Checks!$Z$675="","",CHAR(10))&amp;"CA: "&amp;Checks!$AA$675)</f>
        <v/>
      </c>
      <c r="G35" s="114" t="str">
        <f aca="false">IF(ISNUMBER(Checks!$AD$675),TEXT(Checks!$AD$675,"DD-MMM-YY HH:MM")&amp;" "&amp;Checks!$P$675,"")&amp;IF(Checks!$AE$675="","",CHAR(10)&amp;"Verifier: "&amp;Checks!$AE$675)&amp;IF(Checks!$T$675="","",CHAR(10)&amp;"PIC: "&amp;Checks!$T$675)</f>
        <v/>
      </c>
      <c r="H35" s="115" t="str">
        <f aca="false">IF(Checks!$AH$675="","",Checks!$AH$675)</f>
        <v>OPEN</v>
      </c>
    </row>
    <row r="36" customFormat="false" ht="25.5" hidden="false" customHeight="true" outlineLevel="0" collapsed="false">
      <c r="A36" s="113" t="str">
        <f aca="false">"T-12H PREP — Preparation check at caterer (does NOT confirm loading)  |  Due "&amp;IF(ISNUMBER(Flights!$AI$25),TEXT(Flights!$AI$25,"DD-MMM-YY HH:MM"),"")&amp;" "&amp;Flights!$V$25&amp;" (meal uplift stn)"&amp;" (rows with another due show their own)  |  Complete "&amp;IF(ISNUMBER(Flights!$AL$25),TEXT(Flights!$AL$25,"0%"),Flights!$AL$25)&amp;"  |  15 lines"</f>
        <v>T-12H PREP — Preparation check at caterer (does NOT confirm loading)  |  Due 29-Oct-26 12:30 KUL (meal uplift stn) (rows with another due show their own)  |  Complete 0%  |  15 lines</v>
      </c>
      <c r="B36" s="113"/>
      <c r="C36" s="113"/>
      <c r="D36" s="113"/>
      <c r="E36" s="113"/>
      <c r="F36" s="113"/>
      <c r="G36" s="113"/>
      <c r="H36" s="113"/>
    </row>
    <row r="37" customFormat="false" ht="114" hidden="false" customHeight="true" outlineLevel="0" collapsed="false">
      <c r="A37" s="114" t="str">
        <f aca="false">Checks!$A$676&amp;CHAR(10)&amp;IF(Checks!$I$676="","",Checks!$I$676&amp;": ")&amp;Checks!$J$676</f>
        <v>F21-T12-01
Meal: Meal quality vs menu checklist</v>
      </c>
      <c r="B37" s="114" t="str">
        <f aca="false">Checks!$K$676&amp;IF(Checks!$O$676="","",IF(Checks!$K$676="","",CHAR(10))&amp;"Note: "&amp;Checks!$O$676)</f>
        <v>Note: Preparation check at caterer - does NOT confirm loading. Round-trip catered from KUL: due capped at the KUL loading deadline (Flights AY).</v>
      </c>
      <c r="C37" s="114" t="str">
        <f aca="false">Checks!$N$676&amp;CHAR(10)&amp;IF(ISNUMBER(Checks!$R$676),TEXT(Checks!$R$676,"DD-MMM-YY HH:MM"),"")&amp;" "&amp;Checks!$P$676</f>
        <v>Required
29-Oct-26 12:30 KUL</v>
      </c>
      <c r="D37" s="114" t="str">
        <f aca="false">IF(Checks!$U$676="","",Checks!$U$676)&amp;IF(Checks!$AB$676="","",CHAR(10)&amp;"CA: "&amp;Checks!$AB$676)</f>
        <v/>
      </c>
      <c r="E37" s="114" t="str">
        <f aca="false">IF(Checks!$V$676="","",Checks!$V$676)&amp;IF(Checks!$AC$676="","",IF(Checks!$V$676="","",CHAR(10))&amp;"N/A just.: "&amp;Checks!$AC$676)&amp;IF(Checks!$W$676="","",CHAR(10)&amp;"Batch: "&amp;Checks!$W$676)&amp;IF(AND(Checks!$X$676="",Checks!$Y$676=""),"",CHAR(10)&amp;"Exp: "&amp;Checks!$X$676&amp;"  /  Act: "&amp;Checks!$Y$676)</f>
        <v/>
      </c>
      <c r="F37" s="114" t="str">
        <f aca="false">IF(Checks!$Z$676="","","Evidence: "&amp;Checks!$Z$676)&amp;IF(Checks!$AA$676="","",IF(Checks!$Z$676="","",CHAR(10))&amp;"CA: "&amp;Checks!$AA$676)</f>
        <v/>
      </c>
      <c r="G37" s="114" t="str">
        <f aca="false">IF(ISNUMBER(Checks!$AD$676),TEXT(Checks!$AD$676,"DD-MMM-YY HH:MM")&amp;" "&amp;Checks!$P$676,"")&amp;IF(Checks!$AE$676="","",CHAR(10)&amp;"Verifier: "&amp;Checks!$AE$676)&amp;IF(Checks!$T$676="","",CHAR(10)&amp;"PIC: "&amp;Checks!$T$676)</f>
        <v/>
      </c>
      <c r="H37" s="115" t="str">
        <f aca="false">IF(Checks!$AH$676="","",Checks!$AH$676)</f>
        <v>OPEN</v>
      </c>
    </row>
    <row r="38" customFormat="false" ht="114" hidden="false" customHeight="true" outlineLevel="0" collapsed="false">
      <c r="A38" s="114" t="str">
        <f aca="false">Checks!$A$677&amp;CHAR(10)&amp;IF(Checks!$I$677="","",Checks!$I$677&amp;": ")&amp;Checks!$J$677</f>
        <v>F21-T12-02
Meal: Meal quantities vs menu checklist</v>
      </c>
      <c r="B38" s="114" t="str">
        <f aca="false">Checks!$K$677&amp;IF(Checks!$O$677="","",IF(Checks!$K$677="","",CHAR(10))&amp;"Note: "&amp;Checks!$O$677)</f>
        <v>Enter expected &amp; actual
Note: Preparation check at caterer - does NOT confirm loading. Round-trip catered from KUL: due capped at the KUL loading deadline (Flights AY).</v>
      </c>
      <c r="C38" s="114" t="str">
        <f aca="false">Checks!$N$677&amp;CHAR(10)&amp;IF(ISNUMBER(Checks!$R$677),TEXT(Checks!$R$677,"DD-MMM-YY HH:MM"),"")&amp;" "&amp;Checks!$P$677</f>
        <v>Required
29-Oct-26 12:30 KUL</v>
      </c>
      <c r="D38" s="114" t="str">
        <f aca="false">IF(Checks!$U$677="","",Checks!$U$677)&amp;IF(Checks!$AB$677="","",CHAR(10)&amp;"CA: "&amp;Checks!$AB$677)</f>
        <v/>
      </c>
      <c r="E38" s="114" t="str">
        <f aca="false">IF(Checks!$V$677="","",Checks!$V$677)&amp;IF(Checks!$AC$677="","",IF(Checks!$V$677="","",CHAR(10))&amp;"N/A just.: "&amp;Checks!$AC$677)&amp;IF(Checks!$W$677="","",CHAR(10)&amp;"Batch: "&amp;Checks!$W$677)&amp;IF(AND(Checks!$X$677="",Checks!$Y$677=""),"",CHAR(10)&amp;"Exp: "&amp;Checks!$X$677&amp;"  /  Act: "&amp;Checks!$Y$677)</f>
        <v/>
      </c>
      <c r="F38" s="114" t="str">
        <f aca="false">IF(Checks!$Z$677="","","Evidence: "&amp;Checks!$Z$677)&amp;IF(Checks!$AA$677="","",IF(Checks!$Z$677="","",CHAR(10))&amp;"CA: "&amp;Checks!$AA$677)</f>
        <v/>
      </c>
      <c r="G38" s="114" t="str">
        <f aca="false">IF(ISNUMBER(Checks!$AD$677),TEXT(Checks!$AD$677,"DD-MMM-YY HH:MM")&amp;" "&amp;Checks!$P$677,"")&amp;IF(Checks!$AE$677="","",CHAR(10)&amp;"Verifier: "&amp;Checks!$AE$677)&amp;IF(Checks!$T$677="","",CHAR(10)&amp;"PIC: "&amp;Checks!$T$677)</f>
        <v/>
      </c>
      <c r="H38" s="115" t="str">
        <f aca="false">IF(Checks!$AH$677="","",Checks!$AH$677)</f>
        <v>OPEN</v>
      </c>
    </row>
    <row r="39" customFormat="false" ht="114" hidden="false" customHeight="true" outlineLevel="0" collapsed="false">
      <c r="A39" s="114" t="str">
        <f aca="false">Checks!$A$678&amp;CHAR(10)&amp;IF(Checks!$I$678="","",Checks!$I$678&amp;": ")&amp;Checks!$J$678</f>
        <v>F21-T12-03
Equipment: Equipment cleanliness vs GLD</v>
      </c>
      <c r="B39" s="114" t="str">
        <f aca="false">Checks!$K$678&amp;IF(Checks!$O$678="","",IF(Checks!$K$678="","",CHAR(10))&amp;"Note: "&amp;Checks!$O$678)</f>
        <v>Note: Preparation check at caterer - does NOT confirm loading. Round-trip catered from KUL: due capped at the KUL loading deadline (Flights AY).</v>
      </c>
      <c r="C39" s="114" t="str">
        <f aca="false">Checks!$N$678&amp;CHAR(10)&amp;IF(ISNUMBER(Checks!$R$678),TEXT(Checks!$R$678,"DD-MMM-YY HH:MM"),"")&amp;" "&amp;Checks!$P$678</f>
        <v>Required
29-Oct-26 12:30 KUL</v>
      </c>
      <c r="D39" s="114" t="str">
        <f aca="false">IF(Checks!$U$678="","",Checks!$U$678)&amp;IF(Checks!$AB$678="","",CHAR(10)&amp;"CA: "&amp;Checks!$AB$678)</f>
        <v/>
      </c>
      <c r="E39" s="114" t="str">
        <f aca="false">IF(Checks!$V$678="","",Checks!$V$678)&amp;IF(Checks!$AC$678="","",IF(Checks!$V$678="","",CHAR(10))&amp;"N/A just.: "&amp;Checks!$AC$678)&amp;IF(Checks!$W$678="","",CHAR(10)&amp;"Batch: "&amp;Checks!$W$678)&amp;IF(AND(Checks!$X$678="",Checks!$Y$678=""),"",CHAR(10)&amp;"Exp: "&amp;Checks!$X$678&amp;"  /  Act: "&amp;Checks!$Y$678)</f>
        <v/>
      </c>
      <c r="F39" s="114" t="str">
        <f aca="false">IF(Checks!$Z$678="","","Evidence: "&amp;Checks!$Z$678)&amp;IF(Checks!$AA$678="","",IF(Checks!$Z$678="","",CHAR(10))&amp;"CA: "&amp;Checks!$AA$678)</f>
        <v/>
      </c>
      <c r="G39" s="114" t="str">
        <f aca="false">IF(ISNUMBER(Checks!$AD$678),TEXT(Checks!$AD$678,"DD-MMM-YY HH:MM")&amp;" "&amp;Checks!$P$678,"")&amp;IF(Checks!$AE$678="","",CHAR(10)&amp;"Verifier: "&amp;Checks!$AE$678)&amp;IF(Checks!$T$678="","",CHAR(10)&amp;"PIC: "&amp;Checks!$T$678)</f>
        <v/>
      </c>
      <c r="H39" s="115" t="str">
        <f aca="false">IF(Checks!$AH$678="","",Checks!$AH$678)</f>
        <v>OPEN</v>
      </c>
    </row>
    <row r="40" customFormat="false" ht="114" hidden="false" customHeight="true" outlineLevel="0" collapsed="false">
      <c r="A40" s="114" t="str">
        <f aca="false">Checks!$A$679&amp;CHAR(10)&amp;IF(Checks!$I$679="","",Checks!$I$679&amp;": ")&amp;Checks!$J$679</f>
        <v>F21-T12-04
Equipment: Equipment presentation vs GLD</v>
      </c>
      <c r="B40" s="114" t="str">
        <f aca="false">Checks!$K$679&amp;IF(Checks!$O$679="","",IF(Checks!$K$679="","",CHAR(10))&amp;"Note: "&amp;Checks!$O$679)</f>
        <v>Note: Preparation check at caterer - does NOT confirm loading. Round-trip catered from KUL: due capped at the KUL loading deadline (Flights AY).</v>
      </c>
      <c r="C40" s="114" t="str">
        <f aca="false">Checks!$N$679&amp;CHAR(10)&amp;IF(ISNUMBER(Checks!$R$679),TEXT(Checks!$R$679,"DD-MMM-YY HH:MM"),"")&amp;" "&amp;Checks!$P$679</f>
        <v>Required
29-Oct-26 12:30 KUL</v>
      </c>
      <c r="D40" s="114" t="str">
        <f aca="false">IF(Checks!$U$679="","",Checks!$U$679)&amp;IF(Checks!$AB$679="","",CHAR(10)&amp;"CA: "&amp;Checks!$AB$679)</f>
        <v/>
      </c>
      <c r="E40" s="114" t="str">
        <f aca="false">IF(Checks!$V$679="","",Checks!$V$679)&amp;IF(Checks!$AC$679="","",IF(Checks!$V$679="","",CHAR(10))&amp;"N/A just.: "&amp;Checks!$AC$679)&amp;IF(Checks!$W$679="","",CHAR(10)&amp;"Batch: "&amp;Checks!$W$679)&amp;IF(AND(Checks!$X$679="",Checks!$Y$679=""),"",CHAR(10)&amp;"Exp: "&amp;Checks!$X$679&amp;"  /  Act: "&amp;Checks!$Y$679)</f>
        <v/>
      </c>
      <c r="F40" s="114" t="str">
        <f aca="false">IF(Checks!$Z$679="","","Evidence: "&amp;Checks!$Z$679)&amp;IF(Checks!$AA$679="","",IF(Checks!$Z$679="","",CHAR(10))&amp;"CA: "&amp;Checks!$AA$679)</f>
        <v/>
      </c>
      <c r="G40" s="114" t="str">
        <f aca="false">IF(ISNUMBER(Checks!$AD$679),TEXT(Checks!$AD$679,"DD-MMM-YY HH:MM")&amp;" "&amp;Checks!$P$679,"")&amp;IF(Checks!$AE$679="","",CHAR(10)&amp;"Verifier: "&amp;Checks!$AE$679)&amp;IF(Checks!$T$679="","",CHAR(10)&amp;"PIC: "&amp;Checks!$T$679)</f>
        <v/>
      </c>
      <c r="H40" s="115" t="str">
        <f aca="false">IF(Checks!$AH$679="","",Checks!$AH$679)</f>
        <v>OPEN</v>
      </c>
    </row>
    <row r="41" customFormat="false" ht="114" hidden="false" customHeight="true" outlineLevel="0" collapsed="false">
      <c r="A41" s="114" t="str">
        <f aca="false">Checks!$A$680&amp;CHAR(10)&amp;IF(Checks!$I$680="","",Checks!$I$680&amp;": ")&amp;Checks!$J$680</f>
        <v>F21-T12-05
Equipment: Equipment serviceability vs GLD</v>
      </c>
      <c r="B41" s="114" t="str">
        <f aca="false">Checks!$K$680&amp;IF(Checks!$O$680="","",IF(Checks!$K$680="","",CHAR(10))&amp;"Note: "&amp;Checks!$O$680)</f>
        <v>Note: Preparation check at caterer - does NOT confirm loading. Round-trip catered from KUL: due capped at the KUL loading deadline (Flights AY).</v>
      </c>
      <c r="C41" s="114" t="str">
        <f aca="false">Checks!$N$680&amp;CHAR(10)&amp;IF(ISNUMBER(Checks!$R$680),TEXT(Checks!$R$680,"DD-MMM-YY HH:MM"),"")&amp;" "&amp;Checks!$P$680</f>
        <v>Required
29-Oct-26 12:30 KUL</v>
      </c>
      <c r="D41" s="114" t="str">
        <f aca="false">IF(Checks!$U$680="","",Checks!$U$680)&amp;IF(Checks!$AB$680="","",CHAR(10)&amp;"CA: "&amp;Checks!$AB$680)</f>
        <v/>
      </c>
      <c r="E41" s="114" t="str">
        <f aca="false">IF(Checks!$V$680="","",Checks!$V$680)&amp;IF(Checks!$AC$680="","",IF(Checks!$V$680="","",CHAR(10))&amp;"N/A just.: "&amp;Checks!$AC$680)&amp;IF(Checks!$W$680="","",CHAR(10)&amp;"Batch: "&amp;Checks!$W$680)&amp;IF(AND(Checks!$X$680="",Checks!$Y$680=""),"",CHAR(10)&amp;"Exp: "&amp;Checks!$X$680&amp;"  /  Act: "&amp;Checks!$Y$680)</f>
        <v/>
      </c>
      <c r="F41" s="114" t="str">
        <f aca="false">IF(Checks!$Z$680="","","Evidence: "&amp;Checks!$Z$680)&amp;IF(Checks!$AA$680="","",IF(Checks!$Z$680="","",CHAR(10))&amp;"CA: "&amp;Checks!$AA$680)</f>
        <v/>
      </c>
      <c r="G41" s="114" t="str">
        <f aca="false">IF(ISNUMBER(Checks!$AD$680),TEXT(Checks!$AD$680,"DD-MMM-YY HH:MM")&amp;" "&amp;Checks!$P$680,"")&amp;IF(Checks!$AE$680="","",CHAR(10)&amp;"Verifier: "&amp;Checks!$AE$680)&amp;IF(Checks!$T$680="","",CHAR(10)&amp;"PIC: "&amp;Checks!$T$680)</f>
        <v/>
      </c>
      <c r="H41" s="115" t="str">
        <f aca="false">IF(Checks!$AH$680="","",Checks!$AH$680)</f>
        <v>OPEN</v>
      </c>
    </row>
    <row r="42" customFormat="false" ht="234.75" hidden="false" customHeight="true" outlineLevel="0" collapsed="false">
      <c r="A42" s="114" t="str">
        <f aca="false">Checks!$A$681&amp;CHAR(10)&amp;IF(Checks!$I$681="","",Checks!$I$681&amp;": ")&amp;Checks!$J$681</f>
        <v>F21-T12-06
Equipment: Equipment quantities vs GLD</v>
      </c>
      <c r="B42" s="114" t="str">
        <f aca="false">SUBSTITUTE(Checks!$K$681&amp;IF(Checks!$O$681="","",IF(Checks!$K$681="","",CHAR(10))&amp;"Note: "&amp;Checks!$O$681),"AIRCRAFT TYPE!","Ref: AIRCRAFT TYPE!")</f>
        <v>Enter expected &amp; actual. Aircraft galley data: B737-8 (B7M8): carts 10.5, SU 25, ovens 6, warming ovens -, fridges -, water heaters 3, beverage makers -, espresso -, folding trolleys -, headsets - (Ref: AIRCRAFT TYPE!C16:R16)
Note: Preparation check at caterer - does NOT confirm loading. Round-trip catered from KUL: due capped at the KUL loading deadline (Flights AY).</v>
      </c>
      <c r="C42" s="114" t="str">
        <f aca="false">Checks!$N$681&amp;CHAR(10)&amp;IF(ISNUMBER(Checks!$R$681),TEXT(Checks!$R$681,"DD-MMM-YY HH:MM"),"")&amp;" "&amp;Checks!$P$681</f>
        <v>Required
29-Oct-26 12:30 KUL</v>
      </c>
      <c r="D42" s="114" t="str">
        <f aca="false">IF(Checks!$U$681="","",Checks!$U$681)&amp;IF(Checks!$AB$681="","",CHAR(10)&amp;"CA: "&amp;Checks!$AB$681)</f>
        <v/>
      </c>
      <c r="E42" s="114" t="str">
        <f aca="false">IF(Checks!$V$681="","",Checks!$V$681)&amp;IF(Checks!$AC$681="","",IF(Checks!$V$681="","",CHAR(10))&amp;"N/A just.: "&amp;Checks!$AC$681)&amp;IF(Checks!$W$681="","",CHAR(10)&amp;"Batch: "&amp;Checks!$W$681)&amp;IF(AND(Checks!$X$681="",Checks!$Y$681=""),"",CHAR(10)&amp;"Exp: "&amp;Checks!$X$681&amp;"  /  Act: "&amp;Checks!$Y$681)</f>
        <v/>
      </c>
      <c r="F42" s="114" t="str">
        <f aca="false">IF(Checks!$Z$681="","","Evidence: "&amp;Checks!$Z$681)&amp;IF(Checks!$AA$681="","",IF(Checks!$Z$681="","",CHAR(10))&amp;"CA: "&amp;Checks!$AA$681)</f>
        <v/>
      </c>
      <c r="G42" s="114" t="str">
        <f aca="false">IF(ISNUMBER(Checks!$AD$681),TEXT(Checks!$AD$681,"DD-MMM-YY HH:MM")&amp;" "&amp;Checks!$P$681,"")&amp;IF(Checks!$AE$681="","",CHAR(10)&amp;"Verifier: "&amp;Checks!$AE$681)&amp;IF(Checks!$T$681="","",CHAR(10)&amp;"PIC: "&amp;Checks!$T$681)</f>
        <v/>
      </c>
      <c r="H42" s="115" t="str">
        <f aca="false">IF(Checks!$AH$681="","",Checks!$AH$681)</f>
        <v>OPEN</v>
      </c>
    </row>
    <row r="43" customFormat="false" ht="114" hidden="false" customHeight="true" outlineLevel="0" collapsed="false">
      <c r="A43" s="114" t="str">
        <f aca="false">Checks!$A$682&amp;CHAR(10)&amp;IF(Checks!$I$682="","",Checks!$I$682&amp;": ")&amp;Checks!$J$682</f>
        <v>F21-T12-07
Equipment: Loading positions planned vs GLD</v>
      </c>
      <c r="B43" s="114" t="str">
        <f aca="false">Checks!$K$682&amp;IF(Checks!$O$682="","",IF(Checks!$K$682="","",CHAR(10))&amp;"Note: "&amp;Checks!$O$682)</f>
        <v>Note: Preparation check at caterer - does NOT confirm loading. Round-trip catered from KUL: due capped at the KUL loading deadline (Flights AY).</v>
      </c>
      <c r="C43" s="114" t="str">
        <f aca="false">Checks!$N$682&amp;CHAR(10)&amp;IF(ISNUMBER(Checks!$R$682),TEXT(Checks!$R$682,"DD-MMM-YY HH:MM"),"")&amp;" "&amp;Checks!$P$682</f>
        <v>Required
29-Oct-26 12:30 KUL</v>
      </c>
      <c r="D43" s="114" t="str">
        <f aca="false">IF(Checks!$U$682="","",Checks!$U$682)&amp;IF(Checks!$AB$682="","",CHAR(10)&amp;"CA: "&amp;Checks!$AB$682)</f>
        <v/>
      </c>
      <c r="E43" s="114" t="str">
        <f aca="false">IF(Checks!$V$682="","",Checks!$V$682)&amp;IF(Checks!$AC$682="","",IF(Checks!$V$682="","",CHAR(10))&amp;"N/A just.: "&amp;Checks!$AC$682)&amp;IF(Checks!$W$682="","",CHAR(10)&amp;"Batch: "&amp;Checks!$W$682)&amp;IF(AND(Checks!$X$682="",Checks!$Y$682=""),"",CHAR(10)&amp;"Exp: "&amp;Checks!$X$682&amp;"  /  Act: "&amp;Checks!$Y$682)</f>
        <v/>
      </c>
      <c r="F43" s="114" t="str">
        <f aca="false">IF(Checks!$Z$682="","","Evidence: "&amp;Checks!$Z$682)&amp;IF(Checks!$AA$682="","",IF(Checks!$Z$682="","",CHAR(10))&amp;"CA: "&amp;Checks!$AA$682)</f>
        <v/>
      </c>
      <c r="G43" s="114" t="str">
        <f aca="false">IF(ISNUMBER(Checks!$AD$682),TEXT(Checks!$AD$682,"DD-MMM-YY HH:MM")&amp;" "&amp;Checks!$P$682,"")&amp;IF(Checks!$AE$682="","",CHAR(10)&amp;"Verifier: "&amp;Checks!$AE$682)&amp;IF(Checks!$T$682="","",CHAR(10)&amp;"PIC: "&amp;Checks!$T$682)</f>
        <v/>
      </c>
      <c r="H43" s="115" t="str">
        <f aca="false">IF(Checks!$AH$682="","",Checks!$AH$682)</f>
        <v>OPEN</v>
      </c>
    </row>
    <row r="44" customFormat="false" ht="223.5" hidden="false" customHeight="true" outlineLevel="0" collapsed="false">
      <c r="A44" s="114" t="str">
        <f aca="false">Checks!$A$683&amp;CHAR(10)&amp;IF(Checks!$I$683="","",Checks!$I$683&amp;": ")&amp;Checks!$J$683</f>
        <v>F21-T12-08
Amenities: Disposable slippers in DAM cart (BC, on request) - prepared</v>
      </c>
      <c r="B44" s="114" t="str">
        <f aca="false">Checks!$K$683&amp;IF(Checks!$O$683="","",IF(Checks!$K$683="","",CHAR(10))&amp;"Note: "&amp;Checks!$O$683)</f>
        <v>Available in DAM cart on request basis
Note: Sector has no BC slippers; note C83: disposable slipper available in DAM cart (on request basis). Reference gives no uplift stn for this item: preparation checked at the meal uplift stn (KUL) - confirm with caterer. Round-trip catered from KUL: due capped at the KUL loading deadline (Flights AY).</v>
      </c>
      <c r="C44" s="114" t="str">
        <f aca="false">Checks!$N$683&amp;CHAR(10)&amp;IF(ISNUMBER(Checks!$R$683),TEXT(Checks!$R$683,"DD-MMM-YY HH:MM"),"")&amp;" "&amp;Checks!$P$683</f>
        <v>Required
29-Oct-26 12:30 KUL</v>
      </c>
      <c r="D44" s="114" t="str">
        <f aca="false">IF(Checks!$U$683="","",Checks!$U$683)&amp;IF(Checks!$AB$683="","",CHAR(10)&amp;"CA: "&amp;Checks!$AB$683)</f>
        <v/>
      </c>
      <c r="E44" s="114" t="str">
        <f aca="false">IF(Checks!$V$683="","",Checks!$V$683)&amp;IF(Checks!$AC$683="","",IF(Checks!$V$683="","",CHAR(10))&amp;"N/A just.: "&amp;Checks!$AC$683)&amp;IF(Checks!$W$683="","",CHAR(10)&amp;"Batch: "&amp;Checks!$W$683)&amp;IF(AND(Checks!$X$683="",Checks!$Y$683=""),"",CHAR(10)&amp;"Exp: "&amp;Checks!$X$683&amp;"  /  Act: "&amp;Checks!$Y$683)</f>
        <v/>
      </c>
      <c r="F44" s="114" t="str">
        <f aca="false">IF(Checks!$Z$683="","","Evidence: "&amp;Checks!$Z$683)&amp;IF(Checks!$AA$683="","",IF(Checks!$Z$683="","",CHAR(10))&amp;"CA: "&amp;Checks!$AA$683)</f>
        <v/>
      </c>
      <c r="G44" s="114" t="str">
        <f aca="false">IF(ISNUMBER(Checks!$AD$683),TEXT(Checks!$AD$683,"DD-MMM-YY HH:MM")&amp;" "&amp;Checks!$P$683,"")&amp;IF(Checks!$AE$683="","",CHAR(10)&amp;"Verifier: "&amp;Checks!$AE$683)&amp;IF(Checks!$T$683="","",CHAR(10)&amp;"PIC: "&amp;Checks!$T$683)</f>
        <v/>
      </c>
      <c r="H44" s="115" t="str">
        <f aca="false">IF(Checks!$AH$683="","",Checks!$AH$683)</f>
        <v>OPEN</v>
      </c>
    </row>
    <row r="45" customFormat="false" ht="157.5" hidden="false" customHeight="true" outlineLevel="0" collapsed="false">
      <c r="A45" s="114" t="str">
        <f aca="false">Checks!$A$684&amp;CHAR(10)&amp;IF(Checks!$I$684="","",Checks!$I$684&amp;": ")&amp;Checks!$J$684</f>
        <v>F21-T12-09
F&amp;B Linen: Towel - prepared</v>
      </c>
      <c r="B45" s="114" t="str">
        <f aca="false">Checks!$K$684&amp;IF(Checks!$O$684="","",IF(Checks!$K$684="","",CHAR(10))&amp;"Note: "&amp;Checks!$O$684)</f>
        <v>Available (ticked in reference)
Note: Reference gives no uplift stn for this item: preparation checked at the meal uplift stn (KUL) - confirm with caterer. Round-trip catered from KUL: due capped at the KUL loading deadline (Flights AY).</v>
      </c>
      <c r="C45" s="114" t="str">
        <f aca="false">Checks!$N$684&amp;CHAR(10)&amp;IF(ISNUMBER(Checks!$R$684),TEXT(Checks!$R$684,"DD-MMM-YY HH:MM"),"")&amp;" "&amp;Checks!$P$684</f>
        <v>Required
29-Oct-26 12:30 KUL</v>
      </c>
      <c r="D45" s="114" t="str">
        <f aca="false">IF(Checks!$U$684="","",Checks!$U$684)&amp;IF(Checks!$AB$684="","",CHAR(10)&amp;"CA: "&amp;Checks!$AB$684)</f>
        <v/>
      </c>
      <c r="E45" s="114" t="str">
        <f aca="false">IF(Checks!$V$684="","",Checks!$V$684)&amp;IF(Checks!$AC$684="","",IF(Checks!$V$684="","",CHAR(10))&amp;"N/A just.: "&amp;Checks!$AC$684)&amp;IF(Checks!$W$684="","",CHAR(10)&amp;"Batch: "&amp;Checks!$W$684)&amp;IF(AND(Checks!$X$684="",Checks!$Y$684=""),"",CHAR(10)&amp;"Exp: "&amp;Checks!$X$684&amp;"  /  Act: "&amp;Checks!$Y$684)</f>
        <v/>
      </c>
      <c r="F45" s="114" t="str">
        <f aca="false">IF(Checks!$Z$684="","","Evidence: "&amp;Checks!$Z$684)&amp;IF(Checks!$AA$684="","",IF(Checks!$Z$684="","",CHAR(10))&amp;"CA: "&amp;Checks!$AA$684)</f>
        <v/>
      </c>
      <c r="G45" s="114" t="str">
        <f aca="false">IF(ISNUMBER(Checks!$AD$684),TEXT(Checks!$AD$684,"DD-MMM-YY HH:MM")&amp;" "&amp;Checks!$P$684,"")&amp;IF(Checks!$AE$684="","",CHAR(10)&amp;"Verifier: "&amp;Checks!$AE$684)&amp;IF(Checks!$T$684="","",CHAR(10)&amp;"PIC: "&amp;Checks!$T$684)</f>
        <v/>
      </c>
      <c r="H45" s="115" t="str">
        <f aca="false">IF(Checks!$AH$684="","",Checks!$AH$684)</f>
        <v>OPEN</v>
      </c>
    </row>
    <row r="46" customFormat="false" ht="157.5" hidden="false" customHeight="true" outlineLevel="0" collapsed="false">
      <c r="A46" s="114" t="str">
        <f aca="false">Checks!$A$685&amp;CHAR(10)&amp;IF(Checks!$I$685="","",Checks!$I$685&amp;": ")&amp;Checks!$J$685</f>
        <v>F21-T12-10
F&amp;B Linen: Tray cloth - prepared</v>
      </c>
      <c r="B46" s="114" t="str">
        <f aca="false">Checks!$K$685&amp;IF(Checks!$O$685="","",IF(Checks!$K$685="","",CHAR(10))&amp;"Note: "&amp;Checks!$O$685)</f>
        <v>Available (ticked in reference)
Note: Reference gives no uplift stn for this item: preparation checked at the meal uplift stn (KUL) - confirm with caterer. Round-trip catered from KUL: due capped at the KUL loading deadline (Flights AY).</v>
      </c>
      <c r="C46" s="114" t="str">
        <f aca="false">Checks!$N$685&amp;CHAR(10)&amp;IF(ISNUMBER(Checks!$R$685),TEXT(Checks!$R$685,"DD-MMM-YY HH:MM"),"")&amp;" "&amp;Checks!$P$685</f>
        <v>Required
29-Oct-26 12:30 KUL</v>
      </c>
      <c r="D46" s="114" t="str">
        <f aca="false">IF(Checks!$U$685="","",Checks!$U$685)&amp;IF(Checks!$AB$685="","",CHAR(10)&amp;"CA: "&amp;Checks!$AB$685)</f>
        <v/>
      </c>
      <c r="E46" s="114" t="str">
        <f aca="false">IF(Checks!$V$685="","",Checks!$V$685)&amp;IF(Checks!$AC$685="","",IF(Checks!$V$685="","",CHAR(10))&amp;"N/A just.: "&amp;Checks!$AC$685)&amp;IF(Checks!$W$685="","",CHAR(10)&amp;"Batch: "&amp;Checks!$W$685)&amp;IF(AND(Checks!$X$685="",Checks!$Y$685=""),"",CHAR(10)&amp;"Exp: "&amp;Checks!$X$685&amp;"  /  Act: "&amp;Checks!$Y$685)</f>
        <v/>
      </c>
      <c r="F46" s="114" t="str">
        <f aca="false">IF(Checks!$Z$685="","","Evidence: "&amp;Checks!$Z$685)&amp;IF(Checks!$AA$685="","",IF(Checks!$Z$685="","",CHAR(10))&amp;"CA: "&amp;Checks!$AA$685)</f>
        <v/>
      </c>
      <c r="G46" s="114" t="str">
        <f aca="false">IF(ISNUMBER(Checks!$AD$685),TEXT(Checks!$AD$685,"DD-MMM-YY HH:MM")&amp;" "&amp;Checks!$P$685,"")&amp;IF(Checks!$AE$685="","",CHAR(10)&amp;"Verifier: "&amp;Checks!$AE$685)&amp;IF(Checks!$T$685="","",CHAR(10)&amp;"PIC: "&amp;Checks!$T$685)</f>
        <v/>
      </c>
      <c r="H46" s="115" t="str">
        <f aca="false">IF(Checks!$AH$685="","",Checks!$AH$685)</f>
        <v>OPEN</v>
      </c>
    </row>
    <row r="47" customFormat="false" ht="157.5" hidden="false" customHeight="true" outlineLevel="0" collapsed="false">
      <c r="A47" s="114" t="str">
        <f aca="false">Checks!$A$686&amp;CHAR(10)&amp;IF(Checks!$I$686="","",Checks!$I$686&amp;": ")&amp;Checks!$J$686</f>
        <v>F21-T12-11
F&amp;B Linen: Napkin - prepared</v>
      </c>
      <c r="B47" s="114" t="str">
        <f aca="false">Checks!$K$686&amp;IF(Checks!$O$686="","",IF(Checks!$K$686="","",CHAR(10))&amp;"Note: "&amp;Checks!$O$686)</f>
        <v>Available (ticked in reference)
Note: Reference gives no uplift stn for this item: preparation checked at the meal uplift stn (KUL) - confirm with caterer. Round-trip catered from KUL: due capped at the KUL loading deadline (Flights AY).</v>
      </c>
      <c r="C47" s="114" t="str">
        <f aca="false">Checks!$N$686&amp;CHAR(10)&amp;IF(ISNUMBER(Checks!$R$686),TEXT(Checks!$R$686,"DD-MMM-YY HH:MM"),"")&amp;" "&amp;Checks!$P$686</f>
        <v>Required
29-Oct-26 12:30 KUL</v>
      </c>
      <c r="D47" s="114" t="str">
        <f aca="false">IF(Checks!$U$686="","",Checks!$U$686)&amp;IF(Checks!$AB$686="","",CHAR(10)&amp;"CA: "&amp;Checks!$AB$686)</f>
        <v/>
      </c>
      <c r="E47" s="114" t="str">
        <f aca="false">IF(Checks!$V$686="","",Checks!$V$686)&amp;IF(Checks!$AC$686="","",IF(Checks!$V$686="","",CHAR(10))&amp;"N/A just.: "&amp;Checks!$AC$686)&amp;IF(Checks!$W$686="","",CHAR(10)&amp;"Batch: "&amp;Checks!$W$686)&amp;IF(AND(Checks!$X$686="",Checks!$Y$686=""),"",CHAR(10)&amp;"Exp: "&amp;Checks!$X$686&amp;"  /  Act: "&amp;Checks!$Y$686)</f>
        <v/>
      </c>
      <c r="F47" s="114" t="str">
        <f aca="false">IF(Checks!$Z$686="","","Evidence: "&amp;Checks!$Z$686)&amp;IF(Checks!$AA$686="","",IF(Checks!$Z$686="","",CHAR(10))&amp;"CA: "&amp;Checks!$AA$686)</f>
        <v/>
      </c>
      <c r="G47" s="114" t="str">
        <f aca="false">IF(ISNUMBER(Checks!$AD$686),TEXT(Checks!$AD$686,"DD-MMM-YY HH:MM")&amp;" "&amp;Checks!$P$686,"")&amp;IF(Checks!$AE$686="","",CHAR(10)&amp;"Verifier: "&amp;Checks!$AE$686)&amp;IF(Checks!$T$686="","",CHAR(10)&amp;"PIC: "&amp;Checks!$T$686)</f>
        <v/>
      </c>
      <c r="H47" s="115" t="str">
        <f aca="false">IF(Checks!$AH$686="","",Checks!$AH$686)</f>
        <v>OPEN</v>
      </c>
    </row>
    <row r="48" customFormat="false" ht="168.75" hidden="false" customHeight="true" outlineLevel="0" collapsed="false">
      <c r="A48" s="114" t="str">
        <f aca="false">Checks!$A$687&amp;CHAR(10)&amp;IF(Checks!$I$687="","",Checks!$I$687&amp;": ")&amp;Checks!$J$687</f>
        <v>F21-T12-12
F&amp;B Linen: Trolley cloth - prepared</v>
      </c>
      <c r="B48" s="114" t="str">
        <f aca="false">SUBSTITUTE(Checks!$K$687&amp;IF(Checks!$O$687="","",IF(Checks!$K$687="","",CHAR(10))&amp;"Note: "&amp;Checks!$O$687),"F&amp;B LINEN!","Ref: F&amp;B LINEN!")</f>
        <v>Narrow body: Top only
Note: Per note Ref: F&amp;B LINEN!B79:C80. Reference gives no uplift stn for this item: preparation checked at the meal uplift stn (KUL) - confirm with caterer. Round-trip catered from KUL: due capped at the KUL loading deadline (Flights AY).</v>
      </c>
      <c r="C48" s="114" t="str">
        <f aca="false">Checks!$N$687&amp;CHAR(10)&amp;IF(ISNUMBER(Checks!$R$687),TEXT(Checks!$R$687,"DD-MMM-YY HH:MM"),"")&amp;" "&amp;Checks!$P$687</f>
        <v>Required
29-Oct-26 12:30 KUL</v>
      </c>
      <c r="D48" s="114" t="str">
        <f aca="false">IF(Checks!$U$687="","",Checks!$U$687)&amp;IF(Checks!$AB$687="","",CHAR(10)&amp;"CA: "&amp;Checks!$AB$687)</f>
        <v/>
      </c>
      <c r="E48" s="114" t="str">
        <f aca="false">IF(Checks!$V$687="","",Checks!$V$687)&amp;IF(Checks!$AC$687="","",IF(Checks!$V$687="","",CHAR(10))&amp;"N/A just.: "&amp;Checks!$AC$687)&amp;IF(Checks!$W$687="","",CHAR(10)&amp;"Batch: "&amp;Checks!$W$687)&amp;IF(AND(Checks!$X$687="",Checks!$Y$687=""),"",CHAR(10)&amp;"Exp: "&amp;Checks!$X$687&amp;"  /  Act: "&amp;Checks!$Y$687)</f>
        <v/>
      </c>
      <c r="F48" s="114" t="str">
        <f aca="false">IF(Checks!$Z$687="","","Evidence: "&amp;Checks!$Z$687)&amp;IF(Checks!$AA$687="","",IF(Checks!$Z$687="","",CHAR(10))&amp;"CA: "&amp;Checks!$AA$687)</f>
        <v/>
      </c>
      <c r="G48" s="114" t="str">
        <f aca="false">IF(ISNUMBER(Checks!$AD$687),TEXT(Checks!$AD$687,"DD-MMM-YY HH:MM")&amp;" "&amp;Checks!$P$687,"")&amp;IF(Checks!$AE$687="","",CHAR(10)&amp;"Verifier: "&amp;Checks!$AE$687)&amp;IF(Checks!$T$687="","",CHAR(10)&amp;"PIC: "&amp;Checks!$T$687)</f>
        <v/>
      </c>
      <c r="H48" s="115" t="str">
        <f aca="false">IF(Checks!$AH$687="","",Checks!$AH$687)</f>
        <v>OPEN</v>
      </c>
    </row>
    <row r="49" customFormat="false" ht="157.5" hidden="false" customHeight="true" outlineLevel="0" collapsed="false">
      <c r="A49" s="114" t="str">
        <f aca="false">Checks!$A$688&amp;CHAR(10)&amp;IF(Checks!$I$688="","",Checks!$I$688&amp;": ")&amp;Checks!$J$688</f>
        <v>F21-T12-13
F&amp;B Linen: Linen bag - prepared</v>
      </c>
      <c r="B49" s="114" t="str">
        <f aca="false">Checks!$K$688&amp;IF(Checks!$O$688="","",IF(Checks!$K$688="","",CHAR(10))&amp;"Note: "&amp;Checks!$O$688)</f>
        <v>Available (ticked in reference)
Note: Reference gives no uplift stn for this item: preparation checked at the meal uplift stn (KUL) - confirm with caterer. Round-trip catered from KUL: due capped at the KUL loading deadline (Flights AY).</v>
      </c>
      <c r="C49" s="114" t="str">
        <f aca="false">Checks!$N$688&amp;CHAR(10)&amp;IF(ISNUMBER(Checks!$R$688),TEXT(Checks!$R$688,"DD-MMM-YY HH:MM"),"")&amp;" "&amp;Checks!$P$688</f>
        <v>Required
29-Oct-26 12:30 KUL</v>
      </c>
      <c r="D49" s="114" t="str">
        <f aca="false">IF(Checks!$U$688="","",Checks!$U$688)&amp;IF(Checks!$AB$688="","",CHAR(10)&amp;"CA: "&amp;Checks!$AB$688)</f>
        <v/>
      </c>
      <c r="E49" s="114" t="str">
        <f aca="false">IF(Checks!$V$688="","",Checks!$V$688)&amp;IF(Checks!$AC$688="","",IF(Checks!$V$688="","",CHAR(10))&amp;"N/A just.: "&amp;Checks!$AC$688)&amp;IF(Checks!$W$688="","",CHAR(10)&amp;"Batch: "&amp;Checks!$W$688)&amp;IF(AND(Checks!$X$688="",Checks!$Y$688=""),"",CHAR(10)&amp;"Exp: "&amp;Checks!$X$688&amp;"  /  Act: "&amp;Checks!$Y$688)</f>
        <v/>
      </c>
      <c r="F49" s="114" t="str">
        <f aca="false">IF(Checks!$Z$688="","","Evidence: "&amp;Checks!$Z$688)&amp;IF(Checks!$AA$688="","",IF(Checks!$Z$688="","",CHAR(10))&amp;"CA: "&amp;Checks!$AA$688)</f>
        <v/>
      </c>
      <c r="G49" s="114" t="str">
        <f aca="false">IF(ISNUMBER(Checks!$AD$688),TEXT(Checks!$AD$688,"DD-MMM-YY HH:MM")&amp;" "&amp;Checks!$P$688,"")&amp;IF(Checks!$AE$688="","",CHAR(10)&amp;"Verifier: "&amp;Checks!$AE$688)&amp;IF(Checks!$T$688="","",CHAR(10)&amp;"PIC: "&amp;Checks!$T$688)</f>
        <v/>
      </c>
      <c r="H49" s="115" t="str">
        <f aca="false">IF(Checks!$AH$688="","",Checks!$AH$688)</f>
        <v>OPEN</v>
      </c>
    </row>
    <row r="50" customFormat="false" ht="168.75" hidden="false" customHeight="true" outlineLevel="0" collapsed="false">
      <c r="A50" s="114" t="str">
        <f aca="false">Checks!$A$689&amp;CHAR(10)&amp;IF(Checks!$I$689="","",Checks!$I$689&amp;": ")&amp;Checks!$J$689</f>
        <v>F21-T12-14
Seat Linen: Seat pillow (BS &amp; BC) - prepared</v>
      </c>
      <c r="B50" s="114" t="str">
        <f aca="false">Checks!$K$689&amp;IF(Checks!$O$689="","",IF(Checks!$K$689="","",CHAR(10))&amp;"Note: "&amp;Checks!$O$689)</f>
        <v>Available 100% (ticked in reference)
Note: Reference gives no uplift stn for this item: preparation checked at the meal uplift stn (KUL) - confirm with caterer. Round-trip catered from KUL: due capped at the KUL loading deadline (Flights AY).</v>
      </c>
      <c r="C50" s="114" t="str">
        <f aca="false">Checks!$N$689&amp;CHAR(10)&amp;IF(ISNUMBER(Checks!$R$689),TEXT(Checks!$R$689,"DD-MMM-YY HH:MM"),"")&amp;" "&amp;Checks!$P$689</f>
        <v>Required
29-Oct-26 12:30 KUL</v>
      </c>
      <c r="D50" s="114" t="str">
        <f aca="false">IF(Checks!$U$689="","",Checks!$U$689)&amp;IF(Checks!$AB$689="","",CHAR(10)&amp;"CA: "&amp;Checks!$AB$689)</f>
        <v/>
      </c>
      <c r="E50" s="114" t="str">
        <f aca="false">IF(Checks!$V$689="","",Checks!$V$689)&amp;IF(Checks!$AC$689="","",IF(Checks!$V$689="","",CHAR(10))&amp;"N/A just.: "&amp;Checks!$AC$689)&amp;IF(Checks!$W$689="","",CHAR(10)&amp;"Batch: "&amp;Checks!$W$689)&amp;IF(AND(Checks!$X$689="",Checks!$Y$689=""),"",CHAR(10)&amp;"Exp: "&amp;Checks!$X$689&amp;"  /  Act: "&amp;Checks!$Y$689)</f>
        <v/>
      </c>
      <c r="F50" s="114" t="str">
        <f aca="false">IF(Checks!$Z$689="","","Evidence: "&amp;Checks!$Z$689)&amp;IF(Checks!$AA$689="","",IF(Checks!$Z$689="","",CHAR(10))&amp;"CA: "&amp;Checks!$AA$689)</f>
        <v/>
      </c>
      <c r="G50" s="114" t="str">
        <f aca="false">IF(ISNUMBER(Checks!$AD$689),TEXT(Checks!$AD$689,"DD-MMM-YY HH:MM")&amp;" "&amp;Checks!$P$689,"")&amp;IF(Checks!$AE$689="","",CHAR(10)&amp;"Verifier: "&amp;Checks!$AE$689)&amp;IF(Checks!$T$689="","",CHAR(10)&amp;"PIC: "&amp;Checks!$T$689)</f>
        <v/>
      </c>
      <c r="H50" s="115" t="str">
        <f aca="false">IF(Checks!$AH$689="","",Checks!$AH$689)</f>
        <v>OPEN</v>
      </c>
    </row>
    <row r="51" customFormat="false" ht="168.75" hidden="false" customHeight="true" outlineLevel="0" collapsed="false">
      <c r="A51" s="114" t="str">
        <f aca="false">Checks!$A$690&amp;CHAR(10)&amp;IF(Checks!$I$690="","",Checks!$I$690&amp;": ")&amp;Checks!$J$690</f>
        <v>F21-T12-15
Seat Linen: Blanket (BS &amp; BC) - prepared</v>
      </c>
      <c r="B51" s="114" t="str">
        <f aca="false">Checks!$K$690&amp;IF(Checks!$O$690="","",IF(Checks!$K$690="","",CHAR(10))&amp;"Note: "&amp;Checks!$O$690)</f>
        <v>Available 100% (ticked in reference)
Note: Reference gives no uplift stn for this item: preparation checked at the meal uplift stn (KUL) - confirm with caterer. Round-trip catered from KUL: due capped at the KUL loading deadline (Flights AY).</v>
      </c>
      <c r="C51" s="114" t="str">
        <f aca="false">Checks!$N$690&amp;CHAR(10)&amp;IF(ISNUMBER(Checks!$R$690),TEXT(Checks!$R$690,"DD-MMM-YY HH:MM"),"")&amp;" "&amp;Checks!$P$690</f>
        <v>Required
29-Oct-26 12:30 KUL</v>
      </c>
      <c r="D51" s="114" t="str">
        <f aca="false">IF(Checks!$U$690="","",Checks!$U$690)&amp;IF(Checks!$AB$690="","",CHAR(10)&amp;"CA: "&amp;Checks!$AB$690)</f>
        <v/>
      </c>
      <c r="E51" s="114" t="str">
        <f aca="false">IF(Checks!$V$690="","",Checks!$V$690)&amp;IF(Checks!$AC$690="","",IF(Checks!$V$690="","",CHAR(10))&amp;"N/A just.: "&amp;Checks!$AC$690)&amp;IF(Checks!$W$690="","",CHAR(10)&amp;"Batch: "&amp;Checks!$W$690)&amp;IF(AND(Checks!$X$690="",Checks!$Y$690=""),"",CHAR(10)&amp;"Exp: "&amp;Checks!$X$690&amp;"  /  Act: "&amp;Checks!$Y$690)</f>
        <v/>
      </c>
      <c r="F51" s="114" t="str">
        <f aca="false">IF(Checks!$Z$690="","","Evidence: "&amp;Checks!$Z$690)&amp;IF(Checks!$AA$690="","",IF(Checks!$Z$690="","",CHAR(10))&amp;"CA: "&amp;Checks!$AA$690)</f>
        <v/>
      </c>
      <c r="G51" s="114" t="str">
        <f aca="false">IF(ISNUMBER(Checks!$AD$690),TEXT(Checks!$AD$690,"DD-MMM-YY HH:MM")&amp;" "&amp;Checks!$P$690,"")&amp;IF(Checks!$AE$690="","",CHAR(10)&amp;"Verifier: "&amp;Checks!$AE$690)&amp;IF(Checks!$T$690="","",CHAR(10)&amp;"PIC: "&amp;Checks!$T$690)</f>
        <v/>
      </c>
      <c r="H51" s="115" t="str">
        <f aca="false">IF(Checks!$AH$690="","",Checks!$AH$690)</f>
        <v>OPEN</v>
      </c>
    </row>
    <row r="52" customFormat="false" ht="25.5" hidden="false" customHeight="true" outlineLevel="0" collapsed="false">
      <c r="A52" s="113" t="str">
        <f aca="false">"UPLIFT — Physical uplift – on-board confirmation before departure  |  Due "&amp;"STD "&amp;IF(ISNUMBER(Flights!$I$25),TEXT(Flights!$I$25,"DD-MMM-YY HH:MM"),"")&amp;" "&amp;Flights!$G$25&amp;" (departure stn)"&amp;" (rows with another due show their own)  |  Complete "&amp;IF(ISNUMBER(Flights!$AM$25),TEXT(Flights!$AM$25,"0%"),Flights!$AM$25)&amp;"  |  11 lines"</f>
        <v>UPLIFT — Physical uplift – on-board confirmation before departure  |  Due STD 30-Oct-26 14:45 LGK (departure stn) (rows with another due show their own)  |  Complete 0%  |  11 lines</v>
      </c>
      <c r="B52" s="113"/>
      <c r="C52" s="113"/>
      <c r="D52" s="113"/>
      <c r="E52" s="113"/>
      <c r="F52" s="113"/>
      <c r="G52" s="113"/>
      <c r="H52" s="113"/>
    </row>
    <row r="53" customFormat="false" ht="114" hidden="false" customHeight="true" outlineLevel="0" collapsed="false">
      <c r="A53" s="114" t="str">
        <f aca="false">Checks!$A$691&amp;CHAR(10)&amp;IF(Checks!$I$691="","",Checks!$I$691&amp;": ")&amp;Checks!$J$691</f>
        <v>F21-UPL-01
Meal: Meals physically uplifted on board - quantity vs menu checklist</v>
      </c>
      <c r="B53" s="114" t="str">
        <f aca="false">Checks!$K$691&amp;IF(Checks!$O$691="","",IF(Checks!$K$691="","",CHAR(10))&amp;"Note: "&amp;Checks!$O$691)</f>
        <v>Enter expected &amp; actual
Note: Confirm on board before departure; completion time must fall inside the uplift window.</v>
      </c>
      <c r="C53" s="114" t="str">
        <f aca="false">Checks!$N$691&amp;CHAR(10)&amp;IF(ISNUMBER(Checks!$R$691),TEXT(Checks!$R$691,"DD-MMM-YY HH:MM"),"")&amp;" "&amp;Checks!$P$691</f>
        <v>Required
30-Oct-26 14:45 LGK</v>
      </c>
      <c r="D53" s="114" t="str">
        <f aca="false">IF(Checks!$U$691="","",Checks!$U$691)&amp;IF(Checks!$AB$691="","",CHAR(10)&amp;"CA: "&amp;Checks!$AB$691)</f>
        <v/>
      </c>
      <c r="E53" s="114" t="str">
        <f aca="false">IF(Checks!$V$691="","",Checks!$V$691)&amp;IF(Checks!$AC$691="","",IF(Checks!$V$691="","",CHAR(10))&amp;"N/A just.: "&amp;Checks!$AC$691)&amp;IF(Checks!$W$691="","",CHAR(10)&amp;"Batch: "&amp;Checks!$W$691)&amp;IF(AND(Checks!$X$691="",Checks!$Y$691=""),"",CHAR(10)&amp;"Exp: "&amp;Checks!$X$691&amp;"  /  Act: "&amp;Checks!$Y$691)</f>
        <v/>
      </c>
      <c r="F53" s="114" t="str">
        <f aca="false">IF(Checks!$Z$691="","","Evidence: "&amp;Checks!$Z$691)&amp;IF(Checks!$AA$691="","",IF(Checks!$Z$691="","",CHAR(10))&amp;"CA: "&amp;Checks!$AA$691)</f>
        <v/>
      </c>
      <c r="G53" s="114" t="str">
        <f aca="false">IF(ISNUMBER(Checks!$AD$691),TEXT(Checks!$AD$691,"DD-MMM-YY HH:MM")&amp;" "&amp;Checks!$P$691,"")&amp;IF(Checks!$AE$691="","",CHAR(10)&amp;"Verifier: "&amp;Checks!$AE$691)&amp;IF(Checks!$T$691="","",CHAR(10)&amp;"PIC: "&amp;Checks!$T$691)</f>
        <v/>
      </c>
      <c r="H53" s="115" t="str">
        <f aca="false">IF(Checks!$AH$691="","",Checks!$AH$691)</f>
        <v>OPEN</v>
      </c>
    </row>
    <row r="54" customFormat="false" ht="114" hidden="false" customHeight="true" outlineLevel="0" collapsed="false">
      <c r="A54" s="114" t="str">
        <f aca="false">Checks!$A$692&amp;CHAR(10)&amp;IF(Checks!$I$692="","",Checks!$I$692&amp;": ")&amp;Checks!$J$692</f>
        <v>F21-UPL-02
Equipment: Equipment physically loaded at GLD positions - quantity &amp; positions</v>
      </c>
      <c r="B54" s="114" t="str">
        <f aca="false">Checks!$K$692&amp;IF(Checks!$O$692="","",IF(Checks!$K$692="","",CHAR(10))&amp;"Note: "&amp;Checks!$O$692)</f>
        <v>Enter expected &amp; actual
Note: Confirm on board before departure; completion time must fall inside the uplift window.</v>
      </c>
      <c r="C54" s="114" t="str">
        <f aca="false">Checks!$N$692&amp;CHAR(10)&amp;IF(ISNUMBER(Checks!$R$692),TEXT(Checks!$R$692,"DD-MMM-YY HH:MM"),"")&amp;" "&amp;Checks!$P$692</f>
        <v>Required
30-Oct-26 14:45 LGK</v>
      </c>
      <c r="D54" s="114" t="str">
        <f aca="false">IF(Checks!$U$692="","",Checks!$U$692)&amp;IF(Checks!$AB$692="","",CHAR(10)&amp;"CA: "&amp;Checks!$AB$692)</f>
        <v/>
      </c>
      <c r="E54" s="114" t="str">
        <f aca="false">IF(Checks!$V$692="","",Checks!$V$692)&amp;IF(Checks!$AC$692="","",IF(Checks!$V$692="","",CHAR(10))&amp;"N/A just.: "&amp;Checks!$AC$692)&amp;IF(Checks!$W$692="","",CHAR(10)&amp;"Batch: "&amp;Checks!$W$692)&amp;IF(AND(Checks!$X$692="",Checks!$Y$692=""),"",CHAR(10)&amp;"Exp: "&amp;Checks!$X$692&amp;"  /  Act: "&amp;Checks!$Y$692)</f>
        <v/>
      </c>
      <c r="F54" s="114" t="str">
        <f aca="false">IF(Checks!$Z$692="","","Evidence: "&amp;Checks!$Z$692)&amp;IF(Checks!$AA$692="","",IF(Checks!$Z$692="","",CHAR(10))&amp;"CA: "&amp;Checks!$AA$692)</f>
        <v/>
      </c>
      <c r="G54" s="114" t="str">
        <f aca="false">IF(ISNUMBER(Checks!$AD$692),TEXT(Checks!$AD$692,"DD-MMM-YY HH:MM")&amp;" "&amp;Checks!$P$692,"")&amp;IF(Checks!$AE$692="","",CHAR(10)&amp;"Verifier: "&amp;Checks!$AE$692)&amp;IF(Checks!$T$692="","",CHAR(10)&amp;"PIC: "&amp;Checks!$T$692)</f>
        <v/>
      </c>
      <c r="H54" s="115" t="str">
        <f aca="false">IF(Checks!$AH$692="","",Checks!$AH$692)</f>
        <v>OPEN</v>
      </c>
    </row>
    <row r="55" customFormat="false" ht="279" hidden="false" customHeight="true" outlineLevel="0" collapsed="false">
      <c r="A55" s="114" t="str">
        <f aca="false">Checks!$A$693&amp;CHAR(10)&amp;IF(Checks!$I$693="","",Checks!$I$693&amp;": ")&amp;Checks!$J$693</f>
        <v>F21-UPL-03
Uplift plan: Return catering for MH1437 physically loaded at KUL on the carrying flight (meals, equipment and all items below)</v>
      </c>
      <c r="B55" s="114" t="str">
        <f aca="false">Checks!$K$693&amp;IF(Checks!$O$693="","",IF(Checks!$K$693="","",CHAR(10))&amp;"Note: "&amp;Checks!$O$693)</f>
        <v>Items: meals / refreshment, equipment, Disposable slippers in DAM cart (BC, on request), Towel, Tray cloth, Napkin, Trolley cloth, Linen bag, Seat pillow (BS &amp; BC), Blanket (BS &amp; BC). Quantities as per menu checklist, GLD and Requirements
Note: Loading happens at KUL, so it is confirmed at KUL inside the uplift window before the carrying flight's KUL departure (Flights AX). The on-board lines below are then re-checked at the departure station.</v>
      </c>
      <c r="C55" s="114" t="str">
        <f aca="false">Checks!$N$693&amp;CHAR(10)&amp;IF(ISNUMBER(Checks!$R$693),TEXT(Checks!$R$693,"DD-MMM-YY HH:MM"),"")&amp;" "&amp;Checks!$P$693</f>
        <v>Required
29-Oct-26 18:30 KUL</v>
      </c>
      <c r="D55" s="114" t="str">
        <f aca="false">IF(Checks!$U$693="","",Checks!$U$693)&amp;IF(Checks!$AB$693="","",CHAR(10)&amp;"CA: "&amp;Checks!$AB$693)</f>
        <v/>
      </c>
      <c r="E55" s="114" t="str">
        <f aca="false">IF(Checks!$V$693="","",Checks!$V$693)&amp;IF(Checks!$AC$693="","",IF(Checks!$V$693="","",CHAR(10))&amp;"N/A just.: "&amp;Checks!$AC$693)&amp;IF(Checks!$W$693="","",CHAR(10)&amp;"Batch: "&amp;Checks!$W$693)&amp;IF(AND(Checks!$X$693="",Checks!$Y$693=""),"",CHAR(10)&amp;"Exp: "&amp;Checks!$X$693&amp;"  /  Act: "&amp;Checks!$Y$693)</f>
        <v/>
      </c>
      <c r="F55" s="114" t="str">
        <f aca="false">IF(Checks!$Z$693="","","Evidence: "&amp;Checks!$Z$693)&amp;IF(Checks!$AA$693="","",IF(Checks!$Z$693="","",CHAR(10))&amp;"CA: "&amp;Checks!$AA$693)</f>
        <v/>
      </c>
      <c r="G55" s="114" t="str">
        <f aca="false">IF(ISNUMBER(Checks!$AD$693),TEXT(Checks!$AD$693,"DD-MMM-YY HH:MM")&amp;" "&amp;Checks!$P$693,"")&amp;IF(Checks!$AE$693="","",CHAR(10)&amp;"Verifier: "&amp;Checks!$AE$693)&amp;IF(Checks!$T$693="","",CHAR(10)&amp;"PIC: "&amp;Checks!$T$693)</f>
        <v/>
      </c>
      <c r="H55" s="115" t="str">
        <f aca="false">IF(Checks!$AH$693="","",Checks!$AH$693)</f>
        <v>OPEN</v>
      </c>
    </row>
    <row r="56" customFormat="false" ht="114" hidden="false" customHeight="true" outlineLevel="0" collapsed="false">
      <c r="A56" s="114" t="str">
        <f aca="false">Checks!$A$694&amp;CHAR(10)&amp;IF(Checks!$I$694="","",Checks!$I$694&amp;": ")&amp;Checks!$J$694</f>
        <v>F21-UPL-04
Amenities: Disposable slippers in DAM cart (BC, on request) - on board</v>
      </c>
      <c r="B56" s="114" t="str">
        <f aca="false">Checks!$K$694&amp;IF(Checks!$O$694="","",IF(Checks!$K$694="","",CHAR(10))&amp;"Note: "&amp;Checks!$O$694)</f>
        <v>Available in DAM cart on request basis
Note: Sector has no BC slippers; note C83: disposable slipper available in DAM cart (on request basis).</v>
      </c>
      <c r="C56" s="114" t="str">
        <f aca="false">Checks!$N$694&amp;CHAR(10)&amp;IF(ISNUMBER(Checks!$R$694),TEXT(Checks!$R$694,"DD-MMM-YY HH:MM"),"")&amp;" "&amp;Checks!$P$694</f>
        <v>Required
30-Oct-26 14:45 LGK</v>
      </c>
      <c r="D56" s="114" t="str">
        <f aca="false">IF(Checks!$U$694="","",Checks!$U$694)&amp;IF(Checks!$AB$694="","",CHAR(10)&amp;"CA: "&amp;Checks!$AB$694)</f>
        <v/>
      </c>
      <c r="E56" s="114" t="str">
        <f aca="false">IF(Checks!$V$694="","",Checks!$V$694)&amp;IF(Checks!$AC$694="","",IF(Checks!$V$694="","",CHAR(10))&amp;"N/A just.: "&amp;Checks!$AC$694)&amp;IF(Checks!$W$694="","",CHAR(10)&amp;"Batch: "&amp;Checks!$W$694)&amp;IF(AND(Checks!$X$694="",Checks!$Y$694=""),"",CHAR(10)&amp;"Exp: "&amp;Checks!$X$694&amp;"  /  Act: "&amp;Checks!$Y$694)</f>
        <v/>
      </c>
      <c r="F56" s="114" t="str">
        <f aca="false">IF(Checks!$Z$694="","","Evidence: "&amp;Checks!$Z$694)&amp;IF(Checks!$AA$694="","",IF(Checks!$Z$694="","",CHAR(10))&amp;"CA: "&amp;Checks!$AA$694)</f>
        <v/>
      </c>
      <c r="G56" s="114" t="str">
        <f aca="false">IF(ISNUMBER(Checks!$AD$694),TEXT(Checks!$AD$694,"DD-MMM-YY HH:MM")&amp;" "&amp;Checks!$P$694,"")&amp;IF(Checks!$AE$694="","",CHAR(10)&amp;"Verifier: "&amp;Checks!$AE$694)&amp;IF(Checks!$T$694="","",CHAR(10)&amp;"PIC: "&amp;Checks!$T$694)</f>
        <v/>
      </c>
      <c r="H56" s="115" t="str">
        <f aca="false">IF(Checks!$AH$694="","",Checks!$AH$694)</f>
        <v>OPEN</v>
      </c>
    </row>
    <row r="57" customFormat="false" ht="114" hidden="false" customHeight="true" outlineLevel="0" collapsed="false">
      <c r="A57" s="114" t="str">
        <f aca="false">Checks!$A$695&amp;CHAR(10)&amp;IF(Checks!$I$695="","",Checks!$I$695&amp;": ")&amp;Checks!$J$695</f>
        <v>F21-UPL-05
F&amp;B Linen: Towel - on board</v>
      </c>
      <c r="B57" s="114" t="str">
        <f aca="false">Checks!$K$695&amp;IF(Checks!$O$695="","",IF(Checks!$K$695="","",CHAR(10))&amp;"Note: "&amp;Checks!$O$695)</f>
        <v>Available (ticked in reference)</v>
      </c>
      <c r="C57" s="114" t="str">
        <f aca="false">Checks!$N$695&amp;CHAR(10)&amp;IF(ISNUMBER(Checks!$R$695),TEXT(Checks!$R$695,"DD-MMM-YY HH:MM"),"")&amp;" "&amp;Checks!$P$695</f>
        <v>Required
30-Oct-26 14:45 LGK</v>
      </c>
      <c r="D57" s="114" t="str">
        <f aca="false">IF(Checks!$U$695="","",Checks!$U$695)&amp;IF(Checks!$AB$695="","",CHAR(10)&amp;"CA: "&amp;Checks!$AB$695)</f>
        <v/>
      </c>
      <c r="E57" s="114" t="str">
        <f aca="false">IF(Checks!$V$695="","",Checks!$V$695)&amp;IF(Checks!$AC$695="","",IF(Checks!$V$695="","",CHAR(10))&amp;"N/A just.: "&amp;Checks!$AC$695)&amp;IF(Checks!$W$695="","",CHAR(10)&amp;"Batch: "&amp;Checks!$W$695)&amp;IF(AND(Checks!$X$695="",Checks!$Y$695=""),"",CHAR(10)&amp;"Exp: "&amp;Checks!$X$695&amp;"  /  Act: "&amp;Checks!$Y$695)</f>
        <v/>
      </c>
      <c r="F57" s="114" t="str">
        <f aca="false">IF(Checks!$Z$695="","","Evidence: "&amp;Checks!$Z$695)&amp;IF(Checks!$AA$695="","",IF(Checks!$Z$695="","",CHAR(10))&amp;"CA: "&amp;Checks!$AA$695)</f>
        <v/>
      </c>
      <c r="G57" s="114" t="str">
        <f aca="false">IF(ISNUMBER(Checks!$AD$695),TEXT(Checks!$AD$695,"DD-MMM-YY HH:MM")&amp;" "&amp;Checks!$P$695,"")&amp;IF(Checks!$AE$695="","",CHAR(10)&amp;"Verifier: "&amp;Checks!$AE$695)&amp;IF(Checks!$T$695="","",CHAR(10)&amp;"PIC: "&amp;Checks!$T$695)</f>
        <v/>
      </c>
      <c r="H57" s="115" t="str">
        <f aca="false">IF(Checks!$AH$695="","",Checks!$AH$695)</f>
        <v>OPEN</v>
      </c>
    </row>
    <row r="58" customFormat="false" ht="114" hidden="false" customHeight="true" outlineLevel="0" collapsed="false">
      <c r="A58" s="114" t="str">
        <f aca="false">Checks!$A$696&amp;CHAR(10)&amp;IF(Checks!$I$696="","",Checks!$I$696&amp;": ")&amp;Checks!$J$696</f>
        <v>F21-UPL-06
F&amp;B Linen: Tray cloth - on board</v>
      </c>
      <c r="B58" s="114" t="str">
        <f aca="false">Checks!$K$696&amp;IF(Checks!$O$696="","",IF(Checks!$K$696="","",CHAR(10))&amp;"Note: "&amp;Checks!$O$696)</f>
        <v>Available (ticked in reference)</v>
      </c>
      <c r="C58" s="114" t="str">
        <f aca="false">Checks!$N$696&amp;CHAR(10)&amp;IF(ISNUMBER(Checks!$R$696),TEXT(Checks!$R$696,"DD-MMM-YY HH:MM"),"")&amp;" "&amp;Checks!$P$696</f>
        <v>Required
30-Oct-26 14:45 LGK</v>
      </c>
      <c r="D58" s="114" t="str">
        <f aca="false">IF(Checks!$U$696="","",Checks!$U$696)&amp;IF(Checks!$AB$696="","",CHAR(10)&amp;"CA: "&amp;Checks!$AB$696)</f>
        <v/>
      </c>
      <c r="E58" s="114" t="str">
        <f aca="false">IF(Checks!$V$696="","",Checks!$V$696)&amp;IF(Checks!$AC$696="","",IF(Checks!$V$696="","",CHAR(10))&amp;"N/A just.: "&amp;Checks!$AC$696)&amp;IF(Checks!$W$696="","",CHAR(10)&amp;"Batch: "&amp;Checks!$W$696)&amp;IF(AND(Checks!$X$696="",Checks!$Y$696=""),"",CHAR(10)&amp;"Exp: "&amp;Checks!$X$696&amp;"  /  Act: "&amp;Checks!$Y$696)</f>
        <v/>
      </c>
      <c r="F58" s="114" t="str">
        <f aca="false">IF(Checks!$Z$696="","","Evidence: "&amp;Checks!$Z$696)&amp;IF(Checks!$AA$696="","",IF(Checks!$Z$696="","",CHAR(10))&amp;"CA: "&amp;Checks!$AA$696)</f>
        <v/>
      </c>
      <c r="G58" s="114" t="str">
        <f aca="false">IF(ISNUMBER(Checks!$AD$696),TEXT(Checks!$AD$696,"DD-MMM-YY HH:MM")&amp;" "&amp;Checks!$P$696,"")&amp;IF(Checks!$AE$696="","",CHAR(10)&amp;"Verifier: "&amp;Checks!$AE$696)&amp;IF(Checks!$T$696="","",CHAR(10)&amp;"PIC: "&amp;Checks!$T$696)</f>
        <v/>
      </c>
      <c r="H58" s="115" t="str">
        <f aca="false">IF(Checks!$AH$696="","",Checks!$AH$696)</f>
        <v>OPEN</v>
      </c>
    </row>
    <row r="59" customFormat="false" ht="114" hidden="false" customHeight="true" outlineLevel="0" collapsed="false">
      <c r="A59" s="114" t="str">
        <f aca="false">Checks!$A$697&amp;CHAR(10)&amp;IF(Checks!$I$697="","",Checks!$I$697&amp;": ")&amp;Checks!$J$697</f>
        <v>F21-UPL-07
F&amp;B Linen: Napkin - on board</v>
      </c>
      <c r="B59" s="114" t="str">
        <f aca="false">Checks!$K$697&amp;IF(Checks!$O$697="","",IF(Checks!$K$697="","",CHAR(10))&amp;"Note: "&amp;Checks!$O$697)</f>
        <v>Available (ticked in reference)</v>
      </c>
      <c r="C59" s="114" t="str">
        <f aca="false">Checks!$N$697&amp;CHAR(10)&amp;IF(ISNUMBER(Checks!$R$697),TEXT(Checks!$R$697,"DD-MMM-YY HH:MM"),"")&amp;" "&amp;Checks!$P$697</f>
        <v>Required
30-Oct-26 14:45 LGK</v>
      </c>
      <c r="D59" s="114" t="str">
        <f aca="false">IF(Checks!$U$697="","",Checks!$U$697)&amp;IF(Checks!$AB$697="","",CHAR(10)&amp;"CA: "&amp;Checks!$AB$697)</f>
        <v/>
      </c>
      <c r="E59" s="114" t="str">
        <f aca="false">IF(Checks!$V$697="","",Checks!$V$697)&amp;IF(Checks!$AC$697="","",IF(Checks!$V$697="","",CHAR(10))&amp;"N/A just.: "&amp;Checks!$AC$697)&amp;IF(Checks!$W$697="","",CHAR(10)&amp;"Batch: "&amp;Checks!$W$697)&amp;IF(AND(Checks!$X$697="",Checks!$Y$697=""),"",CHAR(10)&amp;"Exp: "&amp;Checks!$X$697&amp;"  /  Act: "&amp;Checks!$Y$697)</f>
        <v/>
      </c>
      <c r="F59" s="114" t="str">
        <f aca="false">IF(Checks!$Z$697="","","Evidence: "&amp;Checks!$Z$697)&amp;IF(Checks!$AA$697="","",IF(Checks!$Z$697="","",CHAR(10))&amp;"CA: "&amp;Checks!$AA$697)</f>
        <v/>
      </c>
      <c r="G59" s="114" t="str">
        <f aca="false">IF(ISNUMBER(Checks!$AD$697),TEXT(Checks!$AD$697,"DD-MMM-YY HH:MM")&amp;" "&amp;Checks!$P$697,"")&amp;IF(Checks!$AE$697="","",CHAR(10)&amp;"Verifier: "&amp;Checks!$AE$697)&amp;IF(Checks!$T$697="","",CHAR(10)&amp;"PIC: "&amp;Checks!$T$697)</f>
        <v/>
      </c>
      <c r="H59" s="115" t="str">
        <f aca="false">IF(Checks!$AH$697="","",Checks!$AH$697)</f>
        <v>OPEN</v>
      </c>
    </row>
    <row r="60" customFormat="false" ht="114" hidden="false" customHeight="true" outlineLevel="0" collapsed="false">
      <c r="A60" s="114" t="str">
        <f aca="false">Checks!$A$698&amp;CHAR(10)&amp;IF(Checks!$I$698="","",Checks!$I$698&amp;": ")&amp;Checks!$J$698</f>
        <v>F21-UPL-08
F&amp;B Linen: Trolley cloth - on board</v>
      </c>
      <c r="B60" s="114" t="str">
        <f aca="false">SUBSTITUTE(Checks!$K$698&amp;IF(Checks!$O$698="","",IF(Checks!$K$698="","",CHAR(10))&amp;"Note: "&amp;Checks!$O$698),"F&amp;B LINEN!","Ref: F&amp;B LINEN!")</f>
        <v>Narrow body: Top only
Note: Per note Ref: F&amp;B LINEN!B79:C80.</v>
      </c>
      <c r="C60" s="114" t="str">
        <f aca="false">Checks!$N$698&amp;CHAR(10)&amp;IF(ISNUMBER(Checks!$R$698),TEXT(Checks!$R$698,"DD-MMM-YY HH:MM"),"")&amp;" "&amp;Checks!$P$698</f>
        <v>Required
30-Oct-26 14:45 LGK</v>
      </c>
      <c r="D60" s="114" t="str">
        <f aca="false">IF(Checks!$U$698="","",Checks!$U$698)&amp;IF(Checks!$AB$698="","",CHAR(10)&amp;"CA: "&amp;Checks!$AB$698)</f>
        <v/>
      </c>
      <c r="E60" s="114" t="str">
        <f aca="false">IF(Checks!$V$698="","",Checks!$V$698)&amp;IF(Checks!$AC$698="","",IF(Checks!$V$698="","",CHAR(10))&amp;"N/A just.: "&amp;Checks!$AC$698)&amp;IF(Checks!$W$698="","",CHAR(10)&amp;"Batch: "&amp;Checks!$W$698)&amp;IF(AND(Checks!$X$698="",Checks!$Y$698=""),"",CHAR(10)&amp;"Exp: "&amp;Checks!$X$698&amp;"  /  Act: "&amp;Checks!$Y$698)</f>
        <v/>
      </c>
      <c r="F60" s="114" t="str">
        <f aca="false">IF(Checks!$Z$698="","","Evidence: "&amp;Checks!$Z$698)&amp;IF(Checks!$AA$698="","",IF(Checks!$Z$698="","",CHAR(10))&amp;"CA: "&amp;Checks!$AA$698)</f>
        <v/>
      </c>
      <c r="G60" s="114" t="str">
        <f aca="false">IF(ISNUMBER(Checks!$AD$698),TEXT(Checks!$AD$698,"DD-MMM-YY HH:MM")&amp;" "&amp;Checks!$P$698,"")&amp;IF(Checks!$AE$698="","",CHAR(10)&amp;"Verifier: "&amp;Checks!$AE$698)&amp;IF(Checks!$T$698="","",CHAR(10)&amp;"PIC: "&amp;Checks!$T$698)</f>
        <v/>
      </c>
      <c r="H60" s="115" t="str">
        <f aca="false">IF(Checks!$AH$698="","",Checks!$AH$698)</f>
        <v>OPEN</v>
      </c>
    </row>
    <row r="61" customFormat="false" ht="114" hidden="false" customHeight="true" outlineLevel="0" collapsed="false">
      <c r="A61" s="114" t="str">
        <f aca="false">Checks!$A$699&amp;CHAR(10)&amp;IF(Checks!$I$699="","",Checks!$I$699&amp;": ")&amp;Checks!$J$699</f>
        <v>F21-UPL-09
F&amp;B Linen: Linen bag - on board</v>
      </c>
      <c r="B61" s="114" t="str">
        <f aca="false">Checks!$K$699&amp;IF(Checks!$O$699="","",IF(Checks!$K$699="","",CHAR(10))&amp;"Note: "&amp;Checks!$O$699)</f>
        <v>Available (ticked in reference)</v>
      </c>
      <c r="C61" s="114" t="str">
        <f aca="false">Checks!$N$699&amp;CHAR(10)&amp;IF(ISNUMBER(Checks!$R$699),TEXT(Checks!$R$699,"DD-MMM-YY HH:MM"),"")&amp;" "&amp;Checks!$P$699</f>
        <v>Required
30-Oct-26 14:45 LGK</v>
      </c>
      <c r="D61" s="114" t="str">
        <f aca="false">IF(Checks!$U$699="","",Checks!$U$699)&amp;IF(Checks!$AB$699="","",CHAR(10)&amp;"CA: "&amp;Checks!$AB$699)</f>
        <v/>
      </c>
      <c r="E61" s="114" t="str">
        <f aca="false">IF(Checks!$V$699="","",Checks!$V$699)&amp;IF(Checks!$AC$699="","",IF(Checks!$V$699="","",CHAR(10))&amp;"N/A just.: "&amp;Checks!$AC$699)&amp;IF(Checks!$W$699="","",CHAR(10)&amp;"Batch: "&amp;Checks!$W$699)&amp;IF(AND(Checks!$X$699="",Checks!$Y$699=""),"",CHAR(10)&amp;"Exp: "&amp;Checks!$X$699&amp;"  /  Act: "&amp;Checks!$Y$699)</f>
        <v/>
      </c>
      <c r="F61" s="114" t="str">
        <f aca="false">IF(Checks!$Z$699="","","Evidence: "&amp;Checks!$Z$699)&amp;IF(Checks!$AA$699="","",IF(Checks!$Z$699="","",CHAR(10))&amp;"CA: "&amp;Checks!$AA$699)</f>
        <v/>
      </c>
      <c r="G61" s="114" t="str">
        <f aca="false">IF(ISNUMBER(Checks!$AD$699),TEXT(Checks!$AD$699,"DD-MMM-YY HH:MM")&amp;" "&amp;Checks!$P$699,"")&amp;IF(Checks!$AE$699="","",CHAR(10)&amp;"Verifier: "&amp;Checks!$AE$699)&amp;IF(Checks!$T$699="","",CHAR(10)&amp;"PIC: "&amp;Checks!$T$699)</f>
        <v/>
      </c>
      <c r="H61" s="115" t="str">
        <f aca="false">IF(Checks!$AH$699="","",Checks!$AH$699)</f>
        <v>OPEN</v>
      </c>
    </row>
    <row r="62" customFormat="false" ht="114" hidden="false" customHeight="true" outlineLevel="0" collapsed="false">
      <c r="A62" s="114" t="str">
        <f aca="false">Checks!$A$700&amp;CHAR(10)&amp;IF(Checks!$I$700="","",Checks!$I$700&amp;": ")&amp;Checks!$J$700</f>
        <v>F21-UPL-10
Seat Linen: Seat pillow (BS &amp; BC) - on board</v>
      </c>
      <c r="B62" s="114" t="str">
        <f aca="false">Checks!$K$700&amp;IF(Checks!$O$700="","",IF(Checks!$K$700="","",CHAR(10))&amp;"Note: "&amp;Checks!$O$700)</f>
        <v>Available 100% (ticked in reference)</v>
      </c>
      <c r="C62" s="114" t="str">
        <f aca="false">Checks!$N$700&amp;CHAR(10)&amp;IF(ISNUMBER(Checks!$R$700),TEXT(Checks!$R$700,"DD-MMM-YY HH:MM"),"")&amp;" "&amp;Checks!$P$700</f>
        <v>Required
30-Oct-26 14:45 LGK</v>
      </c>
      <c r="D62" s="114" t="str">
        <f aca="false">IF(Checks!$U$700="","",Checks!$U$700)&amp;IF(Checks!$AB$700="","",CHAR(10)&amp;"CA: "&amp;Checks!$AB$700)</f>
        <v/>
      </c>
      <c r="E62" s="114" t="str">
        <f aca="false">IF(Checks!$V$700="","",Checks!$V$700)&amp;IF(Checks!$AC$700="","",IF(Checks!$V$700="","",CHAR(10))&amp;"N/A just.: "&amp;Checks!$AC$700)&amp;IF(Checks!$W$700="","",CHAR(10)&amp;"Batch: "&amp;Checks!$W$700)&amp;IF(AND(Checks!$X$700="",Checks!$Y$700=""),"",CHAR(10)&amp;"Exp: "&amp;Checks!$X$700&amp;"  /  Act: "&amp;Checks!$Y$700)</f>
        <v/>
      </c>
      <c r="F62" s="114" t="str">
        <f aca="false">IF(Checks!$Z$700="","","Evidence: "&amp;Checks!$Z$700)&amp;IF(Checks!$AA$700="","",IF(Checks!$Z$700="","",CHAR(10))&amp;"CA: "&amp;Checks!$AA$700)</f>
        <v/>
      </c>
      <c r="G62" s="114" t="str">
        <f aca="false">IF(ISNUMBER(Checks!$AD$700),TEXT(Checks!$AD$700,"DD-MMM-YY HH:MM")&amp;" "&amp;Checks!$P$700,"")&amp;IF(Checks!$AE$700="","",CHAR(10)&amp;"Verifier: "&amp;Checks!$AE$700)&amp;IF(Checks!$T$700="","",CHAR(10)&amp;"PIC: "&amp;Checks!$T$700)</f>
        <v/>
      </c>
      <c r="H62" s="115" t="str">
        <f aca="false">IF(Checks!$AH$700="","",Checks!$AH$700)</f>
        <v>OPEN</v>
      </c>
    </row>
    <row r="63" customFormat="false" ht="114" hidden="false" customHeight="true" outlineLevel="0" collapsed="false">
      <c r="A63" s="114" t="str">
        <f aca="false">Checks!$A$701&amp;CHAR(10)&amp;IF(Checks!$I$701="","",Checks!$I$701&amp;": ")&amp;Checks!$J$701</f>
        <v>F21-UPL-11
Seat Linen: Blanket (BS &amp; BC) - on board</v>
      </c>
      <c r="B63" s="114" t="str">
        <f aca="false">Checks!$K$701&amp;IF(Checks!$O$701="","",IF(Checks!$K$701="","",CHAR(10))&amp;"Note: "&amp;Checks!$O$701)</f>
        <v>Available 100% (ticked in reference)</v>
      </c>
      <c r="C63" s="114" t="str">
        <f aca="false">Checks!$N$701&amp;CHAR(10)&amp;IF(ISNUMBER(Checks!$R$701),TEXT(Checks!$R$701,"DD-MMM-YY HH:MM"),"")&amp;" "&amp;Checks!$P$701</f>
        <v>Required
30-Oct-26 14:45 LGK</v>
      </c>
      <c r="D63" s="114" t="str">
        <f aca="false">IF(Checks!$U$701="","",Checks!$U$701)&amp;IF(Checks!$AB$701="","",CHAR(10)&amp;"CA: "&amp;Checks!$AB$701)</f>
        <v/>
      </c>
      <c r="E63" s="114" t="str">
        <f aca="false">IF(Checks!$V$701="","",Checks!$V$701)&amp;IF(Checks!$AC$701="","",IF(Checks!$V$701="","",CHAR(10))&amp;"N/A just.: "&amp;Checks!$AC$701)&amp;IF(Checks!$W$701="","",CHAR(10)&amp;"Batch: "&amp;Checks!$W$701)&amp;IF(AND(Checks!$X$701="",Checks!$Y$701=""),"",CHAR(10)&amp;"Exp: "&amp;Checks!$X$701&amp;"  /  Act: "&amp;Checks!$Y$701)</f>
        <v/>
      </c>
      <c r="F63" s="114" t="str">
        <f aca="false">IF(Checks!$Z$701="","","Evidence: "&amp;Checks!$Z$701)&amp;IF(Checks!$AA$701="","",IF(Checks!$Z$701="","",CHAR(10))&amp;"CA: "&amp;Checks!$AA$701)</f>
        <v/>
      </c>
      <c r="G63" s="114" t="str">
        <f aca="false">IF(ISNUMBER(Checks!$AD$701),TEXT(Checks!$AD$701,"DD-MMM-YY HH:MM")&amp;" "&amp;Checks!$P$701,"")&amp;IF(Checks!$AE$701="","",CHAR(10)&amp;"Verifier: "&amp;Checks!$AE$701)&amp;IF(Checks!$T$701="","",CHAR(10)&amp;"PIC: "&amp;Checks!$T$701)</f>
        <v/>
      </c>
      <c r="H63" s="115" t="str">
        <f aca="false">IF(Checks!$AH$701="","",Checks!$AH$701)</f>
        <v>OPEN</v>
      </c>
    </row>
    <row r="65" customFormat="false" ht="24" hidden="false" customHeight="true" outlineLevel="0" collapsed="false">
      <c r="A65" s="116" t="s">
        <v>1737</v>
      </c>
      <c r="B65" s="116"/>
      <c r="C65" s="116"/>
      <c r="D65" s="116"/>
      <c r="E65" s="116" t="s">
        <v>1738</v>
      </c>
      <c r="F65" s="116"/>
      <c r="G65" s="116"/>
      <c r="H65" s="116"/>
    </row>
    <row r="66" customFormat="false" ht="21.75" hidden="false" customHeight="true" outlineLevel="0" collapsed="false">
      <c r="A66" s="117"/>
      <c r="B66" s="117"/>
      <c r="C66" s="117"/>
      <c r="D66" s="117"/>
      <c r="E66" s="117"/>
      <c r="F66" s="117"/>
      <c r="G66" s="117"/>
      <c r="H66" s="117"/>
    </row>
    <row r="67" customFormat="false" ht="21.75" hidden="false" customHeight="true" outlineLevel="0" collapsed="false">
      <c r="A67" s="117"/>
      <c r="B67" s="117"/>
      <c r="C67" s="117"/>
      <c r="D67" s="117"/>
      <c r="E67" s="117"/>
      <c r="F67" s="117"/>
      <c r="G67" s="117"/>
      <c r="H67" s="117"/>
    </row>
    <row r="68" customFormat="false" ht="21.75" hidden="false" customHeight="true" outlineLevel="0" collapsed="false">
      <c r="A68" s="117"/>
      <c r="B68" s="117"/>
      <c r="C68" s="117"/>
      <c r="D68" s="117"/>
      <c r="E68" s="117"/>
      <c r="F68" s="117"/>
      <c r="G68" s="117"/>
      <c r="H68" s="117"/>
    </row>
    <row r="69" customFormat="false" ht="21.75" hidden="false" customHeight="true" outlineLevel="0" collapsed="false">
      <c r="A69" s="117"/>
      <c r="B69" s="117"/>
      <c r="C69" s="117"/>
      <c r="D69" s="117"/>
      <c r="E69" s="117"/>
      <c r="F69" s="117"/>
      <c r="G69" s="117"/>
      <c r="H69" s="117"/>
    </row>
    <row r="70" customFormat="false" ht="21.75" hidden="false" customHeight="true" outlineLevel="0" collapsed="false">
      <c r="A70" s="117"/>
      <c r="B70" s="117"/>
      <c r="C70" s="117"/>
      <c r="D70" s="117"/>
      <c r="E70" s="117"/>
      <c r="F70" s="117"/>
      <c r="G70" s="117"/>
      <c r="H70" s="117"/>
    </row>
    <row r="71" customFormat="false" ht="21.75" hidden="false" customHeight="true" outlineLevel="0" collapsed="false">
      <c r="A71" s="117"/>
      <c r="B71" s="117"/>
      <c r="C71" s="117"/>
      <c r="D71" s="117"/>
      <c r="E71" s="117"/>
      <c r="F71" s="117"/>
      <c r="G71" s="117"/>
      <c r="H71" s="117"/>
    </row>
    <row r="72" customFormat="false" ht="21.75" hidden="false" customHeight="true" outlineLevel="0" collapsed="false">
      <c r="A72" s="117"/>
      <c r="B72" s="117"/>
      <c r="C72" s="117"/>
      <c r="D72" s="117"/>
      <c r="E72" s="117"/>
      <c r="F72" s="117"/>
      <c r="G72" s="117"/>
      <c r="H72" s="117"/>
    </row>
    <row r="73" customFormat="false" ht="21.75" hidden="false" customHeight="true" outlineLevel="0" collapsed="false">
      <c r="A73" s="117"/>
      <c r="B73" s="117"/>
      <c r="C73" s="117"/>
      <c r="D73" s="117"/>
      <c r="E73" s="117"/>
      <c r="F73" s="117"/>
      <c r="G73" s="117"/>
      <c r="H73" s="117"/>
    </row>
    <row r="74" customFormat="false" ht="21.75" hidden="false" customHeight="true" outlineLevel="0" collapsed="false">
      <c r="A74" s="117"/>
      <c r="B74" s="117"/>
      <c r="C74" s="117"/>
      <c r="D74" s="117"/>
      <c r="E74" s="117"/>
      <c r="F74" s="117"/>
      <c r="G74" s="117"/>
      <c r="H74" s="117"/>
    </row>
    <row r="75" customFormat="false" ht="21.75" hidden="false" customHeight="true" outlineLevel="0" collapsed="false">
      <c r="A75" s="117"/>
      <c r="B75" s="117"/>
      <c r="C75" s="117"/>
      <c r="D75" s="117"/>
      <c r="E75" s="117"/>
      <c r="F75" s="117"/>
      <c r="G75" s="117"/>
      <c r="H75" s="117"/>
    </row>
  </sheetData>
  <sheetProtection sheet="true" formatCells="false" formatColumns="false" formatRows="false" autoFilter="false"/>
  <mergeCells count="46">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A13:H13"/>
    <mergeCell ref="C14:D14"/>
    <mergeCell ref="F14:H14"/>
    <mergeCell ref="C15:D15"/>
    <mergeCell ref="F15:H15"/>
    <mergeCell ref="C16:D16"/>
    <mergeCell ref="F16:H16"/>
    <mergeCell ref="B17:H17"/>
    <mergeCell ref="A18:B18"/>
    <mergeCell ref="C18:E18"/>
    <mergeCell ref="F18:H18"/>
    <mergeCell ref="A19:B19"/>
    <mergeCell ref="C19:E19"/>
    <mergeCell ref="F19:H19"/>
    <mergeCell ref="A20:B20"/>
    <mergeCell ref="C20:E20"/>
    <mergeCell ref="F20:H20"/>
    <mergeCell ref="A21:H21"/>
    <mergeCell ref="A23:H23"/>
    <mergeCell ref="A34:H34"/>
    <mergeCell ref="A36:H36"/>
    <mergeCell ref="A52:H52"/>
    <mergeCell ref="A65:D65"/>
    <mergeCell ref="E65:H65"/>
    <mergeCell ref="A66:D75"/>
    <mergeCell ref="E66:H75"/>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5">
    <cfRule type="expression" priority="9" aboveAverage="0" equalAverage="0" bottom="0" percent="0" rank="0" text="" dxfId="30">
      <formula>LEFT($E$15,11)="OUTSTANDING"</formula>
    </cfRule>
    <cfRule type="expression" priority="10" aboveAverage="0" equalAverage="0" bottom="0" percent="0" rank="0" text="" dxfId="27">
      <formula>$E$15="ON FILE"</formula>
    </cfRule>
  </conditionalFormatting>
  <conditionalFormatting sqref="E16">
    <cfRule type="expression" priority="11" aboveAverage="0" equalAverage="0" bottom="0" percent="0" rank="0" text="" dxfId="30">
      <formula>LEFT($E$16,11)="OUTSTANDING"</formula>
    </cfRule>
    <cfRule type="expression" priority="12" aboveAverage="0" equalAverage="0" bottom="0" percent="0" rank="0" text="" dxfId="27">
      <formula>$E$16="ON FILE"</formula>
    </cfRule>
  </conditionalFormatting>
  <conditionalFormatting sqref="H24:H63">
    <cfRule type="expression" priority="13" aboveAverage="0" equalAverage="0" bottom="0" percent="0" rank="0" text="" dxfId="31">
      <formula>LEFT($H24,8)="COMPLETE"</formula>
    </cfRule>
    <cfRule type="expression" priority="14" aboveAverage="0" equalAverage="0" bottom="0" percent="0" rank="0" text="" dxfId="28">
      <formula>OR(LEFT($H24,7)="OVERDUE",LEFT($H24,4)="FAIL",LEFT($H24,7)="INVALID")</formula>
    </cfRule>
    <cfRule type="expression" priority="15" aboveAverage="0" equalAverage="0" bottom="0" percent="0" rank="0" text="" dxfId="32">
      <formula>LEFT($H24,4)="OPEN"</formula>
    </cfRule>
    <cfRule type="expression" priority="16" aboveAverage="0" equalAverage="0" bottom="0" percent="0" rank="0" text="" dxfId="33">
      <formula>LEFT($H24,3)="N/A"</formula>
    </cfRule>
  </conditionalFormatting>
  <conditionalFormatting sqref="A24:G63">
    <cfRule type="expression" priority="17" aboveAverage="0" equalAverage="0" bottom="0" percent="0" rank="0" text="" dxfId="34">
      <formula>LEFT($H24,3)="N/A"</formula>
    </cfRule>
  </conditionalFormatting>
  <conditionalFormatting sqref="D24:D63">
    <cfRule type="expression" priority="18" aboveAverage="0" equalAverage="0" bottom="0" percent="0" rank="0" text="" dxfId="28">
      <formula>LEFT($D24,4)="Fail"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F21 MH1437 30-Oct-26 LGK-KUL Class BC</oddHeader>
    <oddFooter>&amp;L&amp;"Arial,Bold"&amp;8 F21 MH1437 30-Oct-26 LGK-KUL Class BC&amp;C&amp;"Arial,Regular"&amp;8 Printed: ____________________&amp;R&amp;"Arial,Regular"&amp;8 F21  Page &amp;P of &amp;N</oddFooter>
  </headerFooter>
  <rowBreaks count="12" manualBreakCount="12">
    <brk id="21" man="true" max="16383" min="0"/>
    <brk id="27" man="true" max="16383" min="0"/>
    <brk id="31" man="true" max="16383" min="0"/>
    <brk id="35" man="true" max="16383" min="0"/>
    <brk id="40" man="true" max="16383" min="0"/>
    <brk id="43" man="true" max="16383" min="0"/>
    <brk id="45" man="true" max="16383" min="0"/>
    <brk id="48" man="true" max="16383" min="0"/>
    <brk id="51" man="true" max="16383" min="0"/>
    <brk id="54" man="true" max="16383" min="0"/>
    <brk id="56" man="true" max="16383" min="0"/>
    <brk id="60" man="true" max="16383" min="0"/>
  </rowBreaks>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9"/>
    <col collapsed="false" customWidth="true" hidden="false" outlineLevel="0" max="3" min="3" style="0" width="12"/>
    <col collapsed="false" customWidth="true" hidden="false" outlineLevel="0" max="4" min="4" style="0" width="10"/>
    <col collapsed="false" customWidth="true" hidden="false" outlineLevel="0" max="5" min="5" style="0" width="28"/>
    <col collapsed="false" customWidth="true" hidden="false" outlineLevel="0" max="6" min="6" style="0" width="29"/>
    <col collapsed="false" customWidth="true" hidden="false" outlineLevel="0" max="7" min="7" style="0" width="14"/>
    <col collapsed="false" customWidth="true" hidden="false" outlineLevel="0" max="8" min="8" style="0" width="13"/>
  </cols>
  <sheetData>
    <row r="1" customFormat="false" ht="19.5" hidden="false" customHeight="true" outlineLevel="0" collapsed="false">
      <c r="A1" s="92" t="str">
        <f aca="false">"SKYTRAX 2026 CATERING READINESS CHECKLIST  |  F22  "&amp;Flights!$F$26&amp;"  "&amp;TEXT(Flights!$D$26,"DD-MMM-YY")&amp;" ("&amp;Flights!$E$26&amp;")  "&amp;Flights!$G$26&amp;" → "&amp;Flights!$H$26&amp;"  |  Class "&amp;Flights!$K$26</f>
        <v>SKYTRAX 2026 CATERING READINESS CHECKLIST  |  F22  MH0002  30-Oct-26 (FRI)  KUL → LHR  |  Class BC</v>
      </c>
      <c r="B1" s="92"/>
      <c r="C1" s="92"/>
      <c r="D1" s="92"/>
      <c r="E1" s="92"/>
      <c r="F1" s="92"/>
      <c r="G1" s="92"/>
      <c r="H1" s="92"/>
    </row>
    <row r="2" customFormat="false" ht="12.75" hidden="false" customHeight="true" outlineLevel="0" collapsed="false">
      <c r="A2" s="93" t="s">
        <v>1692</v>
      </c>
      <c r="B2" s="94" t="str">
        <f aca="false">Flights!$F$26&amp;"   "&amp;TEXT(Flights!$D$26,"DD-MMM-YY")&amp;" ("&amp;Flights!$E$26&amp;")"</f>
        <v>MH0002   30-Oct-26 (FRI)</v>
      </c>
      <c r="C2" s="94"/>
      <c r="D2" s="94"/>
      <c r="E2" s="95" t="s">
        <v>1693</v>
      </c>
      <c r="F2" s="96" t="str">
        <f aca="false">Flights!$AT$26</f>
        <v>NOT READY – DOCUMENTS</v>
      </c>
      <c r="G2" s="96"/>
      <c r="H2" s="96"/>
    </row>
    <row r="3" customFormat="false" ht="24" hidden="false" customHeight="true" outlineLevel="0" collapsed="false">
      <c r="A3" s="93" t="s">
        <v>1694</v>
      </c>
      <c r="B3" s="94" t="str">
        <f aca="false">Flights!$G$26&amp;" → "&amp;Flights!$H$26&amp;"   Class "&amp;Flights!$K$26&amp;"   Seat "&amp;Flights!$O$26</f>
        <v>KUL → LHR   Class BC   Seat 5A</v>
      </c>
      <c r="C3" s="94"/>
      <c r="D3" s="94"/>
      <c r="E3" s="95" t="s">
        <v>71</v>
      </c>
      <c r="F3" s="95" t="s">
        <v>1695</v>
      </c>
      <c r="G3" s="95" t="s">
        <v>1696</v>
      </c>
      <c r="H3" s="95"/>
    </row>
    <row r="4" customFormat="false" ht="24" hidden="false" customHeight="true" outlineLevel="0" collapsed="false">
      <c r="A4" s="93" t="s">
        <v>1697</v>
      </c>
      <c r="B4" s="94" t="str">
        <f aca="false">IF(ISNUMBER(Flights!$I$26),TEXT(Flights!$I$26,"DD-MMM-YY HH:MM"),"")&amp;" "&amp;Flights!$G$26&amp;"  →  "&amp;IF(ISNUMBER(Flights!$J$26),TEXT(Flights!$J$26,"DD-MMM-YY HH:MM"),"")&amp;" "&amp;Flights!$H$26</f>
        <v>30-Oct-26 23:20 KUL  →  31-Oct-26 05:55 LHR</v>
      </c>
      <c r="C4" s="94"/>
      <c r="D4" s="94"/>
      <c r="E4" s="93" t="s">
        <v>1698</v>
      </c>
      <c r="F4" s="97" t="str">
        <f aca="false">IF(ISNUMBER(Flights!$AG$26),TEXT(Flights!$AG$26,"DD-MMM-YY HH:MM"),"")&amp;" "&amp;Flights!$V$26</f>
        <v>23-Oct-26 23:20 KUL</v>
      </c>
      <c r="G4" s="98" t="n">
        <f aca="false">Flights!$AJ$26</f>
        <v>0</v>
      </c>
      <c r="H4" s="98"/>
    </row>
    <row r="5" customFormat="false" ht="24" hidden="false" customHeight="true" outlineLevel="0" collapsed="false">
      <c r="A5" s="93" t="s">
        <v>1699</v>
      </c>
      <c r="B5" s="94" t="str">
        <f aca="false">Flights!$L$26&amp;" – "&amp;Flights!$M$26</f>
        <v>A350 – A350-900: A359 (9M-MAB..MAG, row 6) or A350 9M-MAH (row 7) - tail to confirm</v>
      </c>
      <c r="C5" s="94"/>
      <c r="D5" s="94"/>
      <c r="E5" s="93" t="s">
        <v>1700</v>
      </c>
      <c r="F5" s="97" t="str">
        <f aca="false">IF(ISNUMBER(Flights!$AH$26),TEXT(Flights!$AH$26,"DD-MMM-YY HH:MM"),"")&amp;" "&amp;Flights!$V$26</f>
        <v>29-Oct-26 23:20 KUL</v>
      </c>
      <c r="G5" s="98" t="n">
        <f aca="false">Flights!$AK$26</f>
        <v>0</v>
      </c>
      <c r="H5" s="98"/>
    </row>
    <row r="6" customFormat="false" ht="24" hidden="false" customHeight="true" outlineLevel="0" collapsed="false">
      <c r="A6" s="93" t="s">
        <v>1701</v>
      </c>
      <c r="B6" s="94" t="str">
        <f aca="false">IF(TRIM(Flights!$N$26)="","__________________",Flights!$N$26)</f>
        <v>__________________</v>
      </c>
      <c r="C6" s="94"/>
      <c r="D6" s="94"/>
      <c r="E6" s="93" t="s">
        <v>1702</v>
      </c>
      <c r="F6" s="97" t="str">
        <f aca="false">IF(ISNUMBER(Flights!$AI$26),TEXT(Flights!$AI$26,"DD-MMM-YY HH:MM"),"")&amp;" "&amp;Flights!$V$26&amp;IF(Flights!$AI$26=Flights!$AH$26,"  (= T-24H due)","")</f>
        <v>30-Oct-26 11:20 KUL</v>
      </c>
      <c r="G6" s="98" t="n">
        <f aca="false">Flights!$AL$26</f>
        <v>0</v>
      </c>
      <c r="H6" s="98"/>
    </row>
    <row r="7" customFormat="false" ht="24" hidden="false" customHeight="true" outlineLevel="0" collapsed="false">
      <c r="A7" s="93" t="s">
        <v>1703</v>
      </c>
      <c r="B7" s="94" t="str">
        <f aca="false">Flights!$T$26</f>
        <v>2.5 Meal (Meal)</v>
      </c>
      <c r="C7" s="94"/>
      <c r="D7" s="94"/>
      <c r="E7" s="93" t="s">
        <v>1704</v>
      </c>
      <c r="F7" s="97" t="str">
        <f aca="false">"STD "&amp;IF(ISNUMBER(Flights!$I$26),TEXT(Flights!$I$26,"DD-MMM-YY HH:MM"),"")&amp;" "&amp;Flights!$G$26&amp;" (dep stn)"</f>
        <v>STD 30-Oct-26 23:20 KUL (dep stn)</v>
      </c>
      <c r="G7" s="98" t="n">
        <f aca="false">Flights!$AM$26</f>
        <v>0</v>
      </c>
      <c r="H7" s="98"/>
    </row>
    <row r="8" customFormat="false" ht="12.75" hidden="false" customHeight="true" outlineLevel="0" collapsed="false">
      <c r="A8" s="93" t="s">
        <v>153</v>
      </c>
      <c r="B8" s="94" t="str">
        <f aca="false">Flights!$V$26&amp;"   (reference uplift stns: "&amp;Flights!$U$26&amp;")"</f>
        <v>KUL   (reference uplift stns: KUL/LHR)</v>
      </c>
      <c r="C8" s="94"/>
      <c r="D8" s="94"/>
      <c r="E8" s="93" t="s">
        <v>1705</v>
      </c>
      <c r="F8" s="99" t="s">
        <v>1706</v>
      </c>
      <c r="G8" s="98" t="n">
        <f aca="false">Flights!$AN$26</f>
        <v>0</v>
      </c>
      <c r="H8" s="98"/>
    </row>
    <row r="9" customFormat="false" ht="12.75" hidden="false" customHeight="true" outlineLevel="0" collapsed="false">
      <c r="A9" s="93" t="s">
        <v>1707</v>
      </c>
      <c r="B9" s="94" t="str">
        <f aca="false">TRIM(Flights!$P$26&amp;"  "&amp;Flights!$Q$26)</f>
        <v>7H 15M</v>
      </c>
      <c r="C9" s="94"/>
      <c r="D9" s="94"/>
      <c r="E9" s="93" t="s">
        <v>1708</v>
      </c>
      <c r="F9" s="100" t="n">
        <f aca="false">Flights!$AP$26</f>
        <v>0</v>
      </c>
      <c r="G9" s="100" t="n">
        <f aca="false">Flights!$AQ$26</f>
        <v>0</v>
      </c>
      <c r="H9" s="100" t="n">
        <f aca="false">Flights!$AU$26</f>
        <v>0</v>
      </c>
    </row>
    <row r="10" customFormat="false" ht="24" hidden="false" customHeight="true" outlineLevel="0" collapsed="false">
      <c r="A10" s="93" t="s">
        <v>1709</v>
      </c>
      <c r="B10" s="94" t="str">
        <f aca="false">IF(TRIM(Flights!$X$26)="","__________________",Flights!$X$26)</f>
        <v>__________________</v>
      </c>
      <c r="C10" s="94"/>
      <c r="D10" s="94"/>
      <c r="E10" s="93" t="s">
        <v>1710</v>
      </c>
      <c r="F10" s="100" t="n">
        <f aca="false">Flights!$AO$26</f>
        <v>46</v>
      </c>
      <c r="G10" s="100" t="n">
        <f aca="false">Flights!$AS$26</f>
        <v>1</v>
      </c>
      <c r="H10" s="100" t="n">
        <f aca="false">Flights!$AR$26</f>
        <v>2</v>
      </c>
    </row>
    <row r="11" customFormat="false" ht="21" hidden="false" customHeight="true" outlineLevel="0" collapsed="false">
      <c r="A11" s="93" t="s">
        <v>1711</v>
      </c>
      <c r="B11" s="94" t="str">
        <f aca="false">IF(TRIM(Flights!$Y$26)="","__________________",Flights!$Y$26)</f>
        <v>__________________</v>
      </c>
      <c r="C11" s="94"/>
      <c r="D11" s="94"/>
      <c r="E11" s="93" t="s">
        <v>1712</v>
      </c>
      <c r="F11" s="100" t="str">
        <f aca="false">Flights!$AV$26&amp;" / "&amp;Flights!$AW$26</f>
        <v>0 / 46</v>
      </c>
      <c r="G11" s="101" t="str">
        <f aca="false">IF(ISNUMBER(Settings!$B$6),TEXT(Settings!$B$6,"DD-MMM-YY HH:MM"),"")</f>
        <v>29-Sep-26 00:26</v>
      </c>
      <c r="H11" s="101"/>
    </row>
    <row r="12" customFormat="false" ht="34.5" hidden="false" customHeight="true" outlineLevel="0" collapsed="false">
      <c r="A12" s="102" t="s">
        <v>1713</v>
      </c>
      <c r="B12" s="102"/>
      <c r="C12" s="102"/>
      <c r="D12" s="102"/>
      <c r="E12" s="103" t="s">
        <v>1714</v>
      </c>
      <c r="F12" s="104" t="s">
        <v>1715</v>
      </c>
      <c r="G12" s="105" t="s">
        <v>92</v>
      </c>
      <c r="H12" s="106" t="s">
        <v>1716</v>
      </c>
    </row>
    <row r="13" customFormat="false" ht="13.5" hidden="false" customHeight="true" outlineLevel="0" collapsed="false">
      <c r="A13" s="95" t="s">
        <v>1717</v>
      </c>
      <c r="B13" s="95" t="s">
        <v>1718</v>
      </c>
      <c r="C13" s="95" t="s">
        <v>1719</v>
      </c>
      <c r="D13" s="95"/>
      <c r="E13" s="95" t="s">
        <v>1720</v>
      </c>
      <c r="F13" s="95" t="s">
        <v>1721</v>
      </c>
      <c r="G13" s="95"/>
      <c r="H13" s="95"/>
    </row>
    <row r="14" customFormat="false" ht="36" hidden="false" customHeight="true" outlineLevel="0" collapsed="false">
      <c r="A14" s="93" t="s">
        <v>1722</v>
      </c>
      <c r="B14" s="94" t="str">
        <f aca="false">IF(Documents!$F$26="","",Documents!$F$26)</f>
        <v/>
      </c>
      <c r="C14" s="99" t="str">
        <f aca="false">IF(Documents!$G$26="","",Documents!$G$26)&amp;IF(ISNUMBER(Documents!$H$26),"  "&amp;TEXT(Documents!$H$26,"DD-MMM-YY"),"")</f>
        <v/>
      </c>
      <c r="D14" s="99"/>
      <c r="E14" s="107" t="str">
        <f aca="false">IF(Documents!$J$26="OUTSTANDING","OUTSTANDING – attach before T-7D (due "&amp;IF(ISNUMBER(Flights!$AG$26),TEXT(Flights!$AG$26,"DD-MMM-YY HH:MM"),"")&amp;" "&amp;Flights!$V$26&amp;")",IF(Documents!$J$26="","Status not recorded",Documents!$J$26))</f>
        <v>OUTSTANDING – attach before T-7D (due 23-Oct-26 23:20 KUL)</v>
      </c>
      <c r="F14" s="108" t="str">
        <f aca="false">"Staple behind this sheet as page A1."&amp;IF(Documents!$I$26="",""," Location: "&amp;Documents!$I$26)</f>
        <v>Staple behind this sheet as page A1.</v>
      </c>
      <c r="G14" s="108"/>
      <c r="H14" s="108"/>
    </row>
    <row r="15" customFormat="false" ht="36" hidden="false" customHeight="true" outlineLevel="0" collapsed="false">
      <c r="A15" s="93" t="s">
        <v>1723</v>
      </c>
      <c r="B15" s="94" t="str">
        <f aca="false">IF(Documents!$K$26="","",Documents!$K$26)</f>
        <v/>
      </c>
      <c r="C15" s="99" t="str">
        <f aca="false">IF(Documents!$L$26="","",Documents!$L$26)&amp;IF(ISNUMBER(Documents!$M$26),"  "&amp;TEXT(Documents!$M$26,"DD-MMM-YY"),"")</f>
        <v/>
      </c>
      <c r="D15" s="99"/>
      <c r="E15" s="107" t="str">
        <f aca="false">IF(Documents!$O$26="OUTSTANDING","OUTSTANDING – attach before T-7D (due "&amp;IF(ISNUMBER(Flights!$AG$26),TEXT(Flights!$AG$26,"DD-MMM-YY HH:MM"),"")&amp;" "&amp;Flights!$V$26&amp;")",IF(Documents!$O$26="","Status not recorded",Documents!$O$26))</f>
        <v>OUTSTANDING – attach before T-7D (due 23-Oct-26 23:20 KUL)</v>
      </c>
      <c r="F15" s="108" t="str">
        <f aca="false">"Staple behind this sheet as page A2."&amp;IF(Documents!$N$26="",""," Location: "&amp;Documents!$N$26)</f>
        <v>Staple behind this sheet as page A2.</v>
      </c>
      <c r="G15" s="108"/>
      <c r="H15" s="108"/>
    </row>
    <row r="16" customFormat="false" ht="22.5" hidden="false" customHeight="true" outlineLevel="0" collapsed="false">
      <c r="A16" s="93" t="s">
        <v>1724</v>
      </c>
      <c r="B16" s="109" t="str">
        <f aca="false">IF(Documents!$Q$26="","",Documents!$Q$26)</f>
        <v>Not supplied with brief – obtain from caterer / MAGCS.</v>
      </c>
      <c r="C16" s="109"/>
      <c r="D16" s="109"/>
      <c r="E16" s="109"/>
      <c r="F16" s="109"/>
      <c r="G16" s="109"/>
      <c r="H16" s="109"/>
    </row>
    <row r="17" customFormat="false" ht="13.5" hidden="false" customHeight="true" outlineLevel="0" collapsed="false">
      <c r="A17" s="110" t="s">
        <v>1725</v>
      </c>
      <c r="B17" s="110"/>
      <c r="C17" s="110" t="s">
        <v>1726</v>
      </c>
      <c r="D17" s="110"/>
      <c r="E17" s="110"/>
      <c r="F17" s="110" t="s">
        <v>1727</v>
      </c>
      <c r="G17" s="110"/>
      <c r="H17" s="110"/>
    </row>
    <row r="18" customFormat="false" ht="18" hidden="false" customHeight="true" outlineLevel="0" collapsed="false">
      <c r="A18" s="94" t="str">
        <f aca="false">"Name: "&amp;IF(TRIM(Flights!$Y$26)="","__________________",Flights!$Y$26)</f>
        <v>Name: __________________</v>
      </c>
      <c r="B18" s="94"/>
      <c r="C18" s="94" t="str">
        <f aca="false">"Name: __________________"</f>
        <v>Name: __________________</v>
      </c>
      <c r="D18" s="94"/>
      <c r="E18" s="94"/>
      <c r="F18" s="94" t="str">
        <f aca="false">"Name: __________________"&amp;"   Station: "&amp;Flights!$V$26</f>
        <v>Name: __________________   Station: KUL</v>
      </c>
      <c r="G18" s="94"/>
      <c r="H18" s="94"/>
    </row>
    <row r="19" customFormat="false" ht="30" hidden="false" customHeight="true" outlineLevel="0" collapsed="false">
      <c r="A19" s="111" t="s">
        <v>1728</v>
      </c>
      <c r="B19" s="111"/>
      <c r="C19" s="111" t="s">
        <v>1728</v>
      </c>
      <c r="D19" s="111"/>
      <c r="E19" s="111"/>
      <c r="F19" s="111" t="s">
        <v>1728</v>
      </c>
      <c r="G19" s="111"/>
      <c r="H19" s="111"/>
    </row>
    <row r="20" customFormat="false" ht="13.5" hidden="false" customHeight="true" outlineLevel="0" collapsed="false">
      <c r="A20" s="112" t="s">
        <v>1729</v>
      </c>
      <c r="B20" s="112"/>
      <c r="C20" s="112"/>
      <c r="D20" s="112"/>
      <c r="E20" s="112"/>
      <c r="F20" s="112"/>
      <c r="G20" s="112"/>
      <c r="H20" s="112"/>
    </row>
    <row r="21" customFormat="false" ht="24" hidden="false" customHeight="true" outlineLevel="0" collapsed="false">
      <c r="A21" s="95" t="s">
        <v>1730</v>
      </c>
      <c r="B21" s="95" t="s">
        <v>1731</v>
      </c>
      <c r="C21" s="95" t="s">
        <v>1732</v>
      </c>
      <c r="D21" s="95" t="s">
        <v>1733</v>
      </c>
      <c r="E21" s="95" t="s">
        <v>1734</v>
      </c>
      <c r="F21" s="95" t="s">
        <v>1735</v>
      </c>
      <c r="G21" s="95" t="s">
        <v>1736</v>
      </c>
      <c r="H21" s="95" t="s">
        <v>124</v>
      </c>
    </row>
    <row r="22" customFormat="false" ht="25.5" hidden="false" customHeight="true" outlineLevel="0" collapsed="false">
      <c r="A22" s="113" t="str">
        <f aca="false">"T-7D — 7 days before departure  |  Due "&amp;IF(ISNUMBER(Flights!$AG$26),TEXT(Flights!$AG$26,"DD-MMM-YY HH:MM"),"")&amp;" "&amp;Flights!$V$26&amp;" (meal uplift stn)"&amp;" (rows with another due show their own)  |  Complete "&amp;IF(ISNUMBER(Flights!$AJ$26),TEXT(Flights!$AJ$26,"0%"),Flights!$AJ$26)&amp;"  |  9 lines"</f>
        <v>T-7D — 7 days before departure  |  Due 23-Oct-26 23:20 KUL (meal uplift stn) (rows with another due show their own)  |  Complete 0%  |  9 lines</v>
      </c>
      <c r="B22" s="113"/>
      <c r="C22" s="113"/>
      <c r="D22" s="113"/>
      <c r="E22" s="113"/>
      <c r="F22" s="113"/>
      <c r="G22" s="113"/>
      <c r="H22" s="113"/>
    </row>
    <row r="23" customFormat="false" ht="114" hidden="false" customHeight="true" outlineLevel="0" collapsed="false">
      <c r="A23" s="114" t="str">
        <f aca="false">Checks!$A$702&amp;CHAR(10)&amp;IF(Checks!$I$702="","",Checks!$I$702&amp;": ")&amp;Checks!$J$702</f>
        <v>F22-T7-01
Meal: Meal sensory testing completed for this flight's menu cycle (assessed class)</v>
      </c>
      <c r="B23" s="114" t="str">
        <f aca="false">Checks!$K$702&amp;IF(Checks!$O$702="","",IF(Checks!$K$702="","",CHAR(10))&amp;"Note: "&amp;Checks!$O$702)</f>
        <v>Record panel result / score in Result</v>
      </c>
      <c r="C23" s="114" t="str">
        <f aca="false">Checks!$N$702&amp;CHAR(10)&amp;IF(ISNUMBER(Checks!$R$702),TEXT(Checks!$R$702,"DD-MMM-YY HH:MM"),"")&amp;" "&amp;Checks!$P$702</f>
        <v>Required
23-Oct-26 23:20 KUL</v>
      </c>
      <c r="D23" s="114" t="str">
        <f aca="false">IF(Checks!$U$702="","",Checks!$U$702)&amp;IF(Checks!$AB$702="","",CHAR(10)&amp;"CA: "&amp;Checks!$AB$702)</f>
        <v/>
      </c>
      <c r="E23" s="114" t="str">
        <f aca="false">IF(Checks!$V$702="","",Checks!$V$702)&amp;IF(Checks!$AC$702="","",IF(Checks!$V$702="","",CHAR(10))&amp;"N/A just.: "&amp;Checks!$AC$702)&amp;IF(Checks!$W$702="","",CHAR(10)&amp;"Batch: "&amp;Checks!$W$702)&amp;IF(AND(Checks!$X$702="",Checks!$Y$702=""),"",CHAR(10)&amp;"Exp: "&amp;Checks!$X$702&amp;"  /  Act: "&amp;Checks!$Y$702)</f>
        <v/>
      </c>
      <c r="F23" s="114" t="str">
        <f aca="false">IF(Checks!$Z$702="","","Evidence: "&amp;Checks!$Z$702)&amp;IF(Checks!$AA$702="","",IF(Checks!$Z$702="","",CHAR(10))&amp;"CA: "&amp;Checks!$AA$702)</f>
        <v/>
      </c>
      <c r="G23" s="114" t="str">
        <f aca="false">IF(ISNUMBER(Checks!$AD$702),TEXT(Checks!$AD$702,"DD-MMM-YY HH:MM")&amp;" "&amp;Checks!$P$702,"")&amp;IF(Checks!$AE$702="","",CHAR(10)&amp;"Verifier: "&amp;Checks!$AE$702)&amp;IF(Checks!$T$702="","",CHAR(10)&amp;"PIC: "&amp;Checks!$T$702)</f>
        <v/>
      </c>
      <c r="H23" s="115" t="str">
        <f aca="false">IF(Checks!$AH$702="","",Checks!$AH$702)</f>
        <v>OPEN</v>
      </c>
    </row>
    <row r="24" customFormat="false" ht="114" hidden="false" customHeight="true" outlineLevel="0" collapsed="false">
      <c r="A24" s="114" t="str">
        <f aca="false">Checks!$A$703&amp;CHAR(10)&amp;IF(Checks!$I$703="","",Checks!$I$703&amp;": ")&amp;Checks!$J$703</f>
        <v>F22-T7-02
Menu: Printed menu cards confirmed (content, cycle, language, quantity)</v>
      </c>
      <c r="B24" s="114" t="str">
        <f aca="false">Checks!$K$703&amp;IF(Checks!$O$703="","",IF(Checks!$K$703="","",CHAR(10))&amp;"Note: "&amp;Checks!$O$703)</f>
        <v>Menu card matches approved menu for this flight</v>
      </c>
      <c r="C24" s="114" t="str">
        <f aca="false">Checks!$N$703&amp;CHAR(10)&amp;IF(ISNUMBER(Checks!$R$703),TEXT(Checks!$R$703,"DD-MMM-YY HH:MM"),"")&amp;" "&amp;Checks!$P$703</f>
        <v>Required
23-Oct-26 23:20 KUL</v>
      </c>
      <c r="D24" s="114" t="str">
        <f aca="false">IF(Checks!$U$703="","",Checks!$U$703)&amp;IF(Checks!$AB$703="","",CHAR(10)&amp;"CA: "&amp;Checks!$AB$703)</f>
        <v/>
      </c>
      <c r="E24" s="114" t="str">
        <f aca="false">IF(Checks!$V$703="","",Checks!$V$703)&amp;IF(Checks!$AC$703="","",IF(Checks!$V$703="","",CHAR(10))&amp;"N/A just.: "&amp;Checks!$AC$703)&amp;IF(Checks!$W$703="","",CHAR(10)&amp;"Batch: "&amp;Checks!$W$703)&amp;IF(AND(Checks!$X$703="",Checks!$Y$703=""),"",CHAR(10)&amp;"Exp: "&amp;Checks!$X$703&amp;"  /  Act: "&amp;Checks!$Y$703)</f>
        <v/>
      </c>
      <c r="F24" s="114" t="str">
        <f aca="false">IF(Checks!$Z$703="","","Evidence: "&amp;Checks!$Z$703)&amp;IF(Checks!$AA$703="","",IF(Checks!$Z$703="","",CHAR(10))&amp;"CA: "&amp;Checks!$AA$703)</f>
        <v/>
      </c>
      <c r="G24" s="114" t="str">
        <f aca="false">IF(ISNUMBER(Checks!$AD$703),TEXT(Checks!$AD$703,"DD-MMM-YY HH:MM")&amp;" "&amp;Checks!$P$703,"")&amp;IF(Checks!$AE$703="","",CHAR(10)&amp;"Verifier: "&amp;Checks!$AE$703)&amp;IF(Checks!$T$703="","",CHAR(10)&amp;"PIC: "&amp;Checks!$T$703)</f>
        <v/>
      </c>
      <c r="H24" s="115" t="str">
        <f aca="false">IF(Checks!$AH$703="","",Checks!$AH$703)</f>
        <v>OPEN</v>
      </c>
    </row>
    <row r="25" customFormat="false" ht="114" hidden="false" customHeight="true" outlineLevel="0" collapsed="false">
      <c r="A25" s="114" t="str">
        <f aca="false">Checks!$A$704&amp;CHAR(10)&amp;IF(Checks!$I$704="","",Checks!$I$704&amp;": ")&amp;Checks!$J$704</f>
        <v>F22-T7-03
IFE: Digital menu in IFE confirmed (A339 only)</v>
      </c>
      <c r="B25" s="114" t="str">
        <f aca="false">Checks!$K$704&amp;IF(Checks!$O$704="","",IF(Checks!$K$704="","",CHAR(10))&amp;"Note: "&amp;Checks!$O$704)</f>
        <v>Applies when fleet = A339
Note: Digital IFE menu applies to A339 only (user brief). Applicability follows the Fleet cell on Flights.</v>
      </c>
      <c r="C25" s="114" t="str">
        <f aca="false">Checks!$N$704&amp;CHAR(10)&amp;IF(ISNUMBER(Checks!$R$704),TEXT(Checks!$R$704,"DD-MMM-YY HH:MM"),"")&amp;" "&amp;Checks!$P$704</f>
        <v>N/A – rule
23-Oct-26 23:20 KUL</v>
      </c>
      <c r="D25" s="114" t="str">
        <f aca="false">IF(Checks!$U$704="","",Checks!$U$704)&amp;IF(Checks!$AB$704="","",CHAR(10)&amp;"CA: "&amp;Checks!$AB$704)</f>
        <v/>
      </c>
      <c r="E25" s="114" t="str">
        <f aca="false">IF(Checks!$V$704="","",Checks!$V$704)&amp;IF(Checks!$AC$704="","",IF(Checks!$V$704="","",CHAR(10))&amp;"N/A just.: "&amp;Checks!$AC$704)&amp;IF(Checks!$W$704="","",CHAR(10)&amp;"Batch: "&amp;Checks!$W$704)&amp;IF(AND(Checks!$X$704="",Checks!$Y$704=""),"",CHAR(10)&amp;"Exp: "&amp;Checks!$X$704&amp;"  /  Act: "&amp;Checks!$Y$704)</f>
        <v/>
      </c>
      <c r="F25" s="114" t="str">
        <f aca="false">IF(Checks!$Z$704="","","Evidence: "&amp;Checks!$Z$704)&amp;IF(Checks!$AA$704="","",IF(Checks!$Z$704="","",CHAR(10))&amp;"CA: "&amp;Checks!$AA$704)</f>
        <v/>
      </c>
      <c r="G25" s="114" t="str">
        <f aca="false">IF(ISNUMBER(Checks!$AD$704),TEXT(Checks!$AD$704,"DD-MMM-YY HH:MM")&amp;" "&amp;Checks!$P$704,"")&amp;IF(Checks!$AE$704="","",CHAR(10)&amp;"Verifier: "&amp;Checks!$AE$704)&amp;IF(Checks!$T$704="","",CHAR(10)&amp;"PIC: "&amp;Checks!$T$704)</f>
        <v/>
      </c>
      <c r="H25" s="115" t="str">
        <f aca="false">IF(Checks!$AH$704="","",Checks!$AH$704)</f>
        <v>N/A – RULE</v>
      </c>
    </row>
    <row r="26" customFormat="false" ht="114" hidden="false" customHeight="true" outlineLevel="0" collapsed="false">
      <c r="A26" s="114" t="str">
        <f aca="false">Checks!$A$705&amp;CHAR(10)&amp;IF(Checks!$I$705="","",Checks!$I$705&amp;": ")&amp;Checks!$J$705</f>
        <v>F22-T7-04
Staffing: Experienced catering officer assigned to this flight</v>
      </c>
      <c r="B26" s="114" t="str">
        <f aca="false">Checks!$K$705&amp;IF(Checks!$O$705="","",IF(Checks!$K$705="","",CHAR(10))&amp;"Note: "&amp;Checks!$O$705)</f>
        <v>Record officer name in Result</v>
      </c>
      <c r="C26" s="114" t="str">
        <f aca="false">Checks!$N$705&amp;CHAR(10)&amp;IF(ISNUMBER(Checks!$R$705),TEXT(Checks!$R$705,"DD-MMM-YY HH:MM"),"")&amp;" "&amp;Checks!$P$705</f>
        <v>Required
23-Oct-26 23:20 KUL</v>
      </c>
      <c r="D26" s="114" t="str">
        <f aca="false">IF(Checks!$U$705="","",Checks!$U$705)&amp;IF(Checks!$AB$705="","",CHAR(10)&amp;"CA: "&amp;Checks!$AB$705)</f>
        <v/>
      </c>
      <c r="E26" s="114" t="str">
        <f aca="false">IF(Checks!$V$705="","",Checks!$V$705)&amp;IF(Checks!$AC$705="","",IF(Checks!$V$705="","",CHAR(10))&amp;"N/A just.: "&amp;Checks!$AC$705)&amp;IF(Checks!$W$705="","",CHAR(10)&amp;"Batch: "&amp;Checks!$W$705)&amp;IF(AND(Checks!$X$705="",Checks!$Y$705=""),"",CHAR(10)&amp;"Exp: "&amp;Checks!$X$705&amp;"  /  Act: "&amp;Checks!$Y$705)</f>
        <v/>
      </c>
      <c r="F26" s="114" t="str">
        <f aca="false">IF(Checks!$Z$705="","","Evidence: "&amp;Checks!$Z$705)&amp;IF(Checks!$AA$705="","",IF(Checks!$Z$705="","",CHAR(10))&amp;"CA: "&amp;Checks!$AA$705)</f>
        <v/>
      </c>
      <c r="G26" s="114" t="str">
        <f aca="false">IF(ISNUMBER(Checks!$AD$705),TEXT(Checks!$AD$705,"DD-MMM-YY HH:MM")&amp;" "&amp;Checks!$P$705,"")&amp;IF(Checks!$AE$705="","",CHAR(10)&amp;"Verifier: "&amp;Checks!$AE$705)&amp;IF(Checks!$T$705="","",CHAR(10)&amp;"PIC: "&amp;Checks!$T$705)</f>
        <v/>
      </c>
      <c r="H26" s="115" t="str">
        <f aca="false">IF(Checks!$AH$705="","",Checks!$AH$705)</f>
        <v>OPEN</v>
      </c>
    </row>
    <row r="27" customFormat="false" ht="114" hidden="false" customHeight="true" outlineLevel="0" collapsed="false">
      <c r="A27" s="114" t="str">
        <f aca="false">Checks!$A$706&amp;CHAR(10)&amp;IF(Checks!$I$706="","",Checks!$I$706&amp;": ")&amp;Checks!$J$706</f>
        <v>F22-T7-05
ISOP: All latest applicable ISOP revisions communicated to caterer</v>
      </c>
      <c r="B27" s="114" t="str">
        <f aca="false">Checks!$K$706&amp;IF(Checks!$O$706="","",IF(Checks!$K$706="","",CHAR(10))&amp;"Note: "&amp;Checks!$O$706)</f>
        <v>List revision numbers in Result (see ISOP register)</v>
      </c>
      <c r="C27" s="114" t="str">
        <f aca="false">Checks!$N$706&amp;CHAR(10)&amp;IF(ISNUMBER(Checks!$R$706),TEXT(Checks!$R$706,"DD-MMM-YY HH:MM"),"")&amp;" "&amp;Checks!$P$706</f>
        <v>Required
23-Oct-26 23:20 KUL</v>
      </c>
      <c r="D27" s="114" t="str">
        <f aca="false">IF(Checks!$U$706="","",Checks!$U$706)&amp;IF(Checks!$AB$706="","",CHAR(10)&amp;"CA: "&amp;Checks!$AB$706)</f>
        <v/>
      </c>
      <c r="E27" s="114" t="str">
        <f aca="false">IF(Checks!$V$706="","",Checks!$V$706)&amp;IF(Checks!$AC$706="","",IF(Checks!$V$706="","",CHAR(10))&amp;"N/A just.: "&amp;Checks!$AC$706)&amp;IF(Checks!$W$706="","",CHAR(10)&amp;"Batch: "&amp;Checks!$W$706)&amp;IF(AND(Checks!$X$706="",Checks!$Y$706=""),"",CHAR(10)&amp;"Exp: "&amp;Checks!$X$706&amp;"  /  Act: "&amp;Checks!$Y$706)</f>
        <v/>
      </c>
      <c r="F27" s="114" t="str">
        <f aca="false">IF(Checks!$Z$706="","","Evidence: "&amp;Checks!$Z$706)&amp;IF(Checks!$AA$706="","",IF(Checks!$Z$706="","",CHAR(10))&amp;"CA: "&amp;Checks!$AA$706)</f>
        <v/>
      </c>
      <c r="G27" s="114" t="str">
        <f aca="false">IF(ISNUMBER(Checks!$AD$706),TEXT(Checks!$AD$706,"DD-MMM-YY HH:MM")&amp;" "&amp;Checks!$P$706,"")&amp;IF(Checks!$AE$706="","",CHAR(10)&amp;"Verifier: "&amp;Checks!$AE$706)&amp;IF(Checks!$T$706="","",CHAR(10)&amp;"PIC: "&amp;Checks!$T$706)</f>
        <v/>
      </c>
      <c r="H27" s="115" t="str">
        <f aca="false">IF(Checks!$AH$706="","",Checks!$AH$706)</f>
        <v>OPEN</v>
      </c>
    </row>
    <row r="28" customFormat="false" ht="114" hidden="false" customHeight="true" outlineLevel="0" collapsed="false">
      <c r="A28" s="114" t="str">
        <f aca="false">Checks!$A$707&amp;CHAR(10)&amp;IF(Checks!$I$707="","",Checks!$I$707&amp;": ")&amp;Checks!$J$707</f>
        <v>F22-T7-06
ISOP: Caterer acknowledgement of ISOP revisions recorded</v>
      </c>
      <c r="B28" s="114" t="str">
        <f aca="false">Checks!$K$707&amp;IF(Checks!$O$707="","",IF(Checks!$K$707="","",CHAR(10))&amp;"Note: "&amp;Checks!$O$707)</f>
        <v>Record acknowledgement ref in Evidence</v>
      </c>
      <c r="C28" s="114" t="str">
        <f aca="false">Checks!$N$707&amp;CHAR(10)&amp;IF(ISNUMBER(Checks!$R$707),TEXT(Checks!$R$707,"DD-MMM-YY HH:MM"),"")&amp;" "&amp;Checks!$P$707</f>
        <v>Required
23-Oct-26 23:20 KUL</v>
      </c>
      <c r="D28" s="114" t="str">
        <f aca="false">IF(Checks!$U$707="","",Checks!$U$707)&amp;IF(Checks!$AB$707="","",CHAR(10)&amp;"CA: "&amp;Checks!$AB$707)</f>
        <v/>
      </c>
      <c r="E28" s="114" t="str">
        <f aca="false">IF(Checks!$V$707="","",Checks!$V$707)&amp;IF(Checks!$AC$707="","",IF(Checks!$V$707="","",CHAR(10))&amp;"N/A just.: "&amp;Checks!$AC$707)&amp;IF(Checks!$W$707="","",CHAR(10)&amp;"Batch: "&amp;Checks!$W$707)&amp;IF(AND(Checks!$X$707="",Checks!$Y$707=""),"",CHAR(10)&amp;"Exp: "&amp;Checks!$X$707&amp;"  /  Act: "&amp;Checks!$Y$707)</f>
        <v/>
      </c>
      <c r="F28" s="114" t="str">
        <f aca="false">IF(Checks!$Z$707="","","Evidence: "&amp;Checks!$Z$707)&amp;IF(Checks!$AA$707="","",IF(Checks!$Z$707="","",CHAR(10))&amp;"CA: "&amp;Checks!$AA$707)</f>
        <v/>
      </c>
      <c r="G28" s="114" t="str">
        <f aca="false">IF(ISNUMBER(Checks!$AD$707),TEXT(Checks!$AD$707,"DD-MMM-YY HH:MM")&amp;" "&amp;Checks!$P$707,"")&amp;IF(Checks!$AE$707="","",CHAR(10)&amp;"Verifier: "&amp;Checks!$AE$707)&amp;IF(Checks!$T$707="","",CHAR(10)&amp;"PIC: "&amp;Checks!$T$707)</f>
        <v/>
      </c>
      <c r="H28" s="115" t="str">
        <f aca="false">IF(Checks!$AH$707="","",Checks!$AH$707)</f>
        <v>OPEN</v>
      </c>
    </row>
    <row r="29" customFormat="false" ht="114" hidden="false" customHeight="true" outlineLevel="0" collapsed="false">
      <c r="A29" s="114" t="str">
        <f aca="false">Checks!$A$708&amp;CHAR(10)&amp;IF(Checks!$I$708="","",Checks!$I$708&amp;": ")&amp;Checks!$J$708</f>
        <v>F22-T7-07
Documents: Galley loading diagram (GLD) received, revision recorded &amp; attached</v>
      </c>
      <c r="B29" s="114" t="str">
        <f aca="false">Checks!$K$708&amp;IF(Checks!$O$708="","",IF(Checks!$K$708="","",CHAR(10))&amp;"Note: "&amp;Checks!$O$708)</f>
        <v>Documents sheet row complete</v>
      </c>
      <c r="C29" s="114" t="str">
        <f aca="false">Checks!$N$708&amp;CHAR(10)&amp;IF(ISNUMBER(Checks!$R$708),TEXT(Checks!$R$708,"DD-MMM-YY HH:MM"),"")&amp;" "&amp;Checks!$P$708</f>
        <v>Required
23-Oct-26 23:20 KUL</v>
      </c>
      <c r="D29" s="114" t="str">
        <f aca="false">IF(Checks!$U$708="","",Checks!$U$708)&amp;IF(Checks!$AB$708="","",CHAR(10)&amp;"CA: "&amp;Checks!$AB$708)</f>
        <v/>
      </c>
      <c r="E29" s="114" t="str">
        <f aca="false">IF(Checks!$V$708="","",Checks!$V$708)&amp;IF(Checks!$AC$708="","",IF(Checks!$V$708="","",CHAR(10))&amp;"N/A just.: "&amp;Checks!$AC$708)&amp;IF(Checks!$W$708="","",CHAR(10)&amp;"Batch: "&amp;Checks!$W$708)&amp;IF(AND(Checks!$X$708="",Checks!$Y$708=""),"",CHAR(10)&amp;"Exp: "&amp;Checks!$X$708&amp;"  /  Act: "&amp;Checks!$Y$708)</f>
        <v/>
      </c>
      <c r="F29" s="114" t="str">
        <f aca="false">IF(Checks!$Z$708="","","Evidence: "&amp;Checks!$Z$708)&amp;IF(Checks!$AA$708="","",IF(Checks!$Z$708="","",CHAR(10))&amp;"CA: "&amp;Checks!$AA$708)</f>
        <v/>
      </c>
      <c r="G29" s="114" t="str">
        <f aca="false">IF(ISNUMBER(Checks!$AD$708),TEXT(Checks!$AD$708,"DD-MMM-YY HH:MM")&amp;" "&amp;Checks!$P$708,"")&amp;IF(Checks!$AE$708="","",CHAR(10)&amp;"Verifier: "&amp;Checks!$AE$708)&amp;IF(Checks!$T$708="","",CHAR(10)&amp;"PIC: "&amp;Checks!$T$708)</f>
        <v/>
      </c>
      <c r="H29" s="115" t="str">
        <f aca="false">IF(Checks!$AH$708="","",Checks!$AH$708)</f>
        <v>OPEN</v>
      </c>
    </row>
    <row r="30" customFormat="false" ht="114" hidden="false" customHeight="true" outlineLevel="0" collapsed="false">
      <c r="A30" s="114" t="str">
        <f aca="false">Checks!$A$709&amp;CHAR(10)&amp;IF(Checks!$I$709="","",Checks!$I$709&amp;": ")&amp;Checks!$J$709</f>
        <v>F22-T7-08
Documents: Menu checklist received, revision recorded &amp; attached</v>
      </c>
      <c r="B30" s="114" t="str">
        <f aca="false">Checks!$K$709&amp;IF(Checks!$O$709="","",IF(Checks!$K$709="","",CHAR(10))&amp;"Note: "&amp;Checks!$O$709)</f>
        <v>Documents sheet row complete</v>
      </c>
      <c r="C30" s="114" t="str">
        <f aca="false">Checks!$N$709&amp;CHAR(10)&amp;IF(ISNUMBER(Checks!$R$709),TEXT(Checks!$R$709,"DD-MMM-YY HH:MM"),"")&amp;" "&amp;Checks!$P$709</f>
        <v>Required
23-Oct-26 23:20 KUL</v>
      </c>
      <c r="D30" s="114" t="str">
        <f aca="false">IF(Checks!$U$709="","",Checks!$U$709)&amp;IF(Checks!$AB$709="","",CHAR(10)&amp;"CA: "&amp;Checks!$AB$709)</f>
        <v/>
      </c>
      <c r="E30" s="114" t="str">
        <f aca="false">IF(Checks!$V$709="","",Checks!$V$709)&amp;IF(Checks!$AC$709="","",IF(Checks!$V$709="","",CHAR(10))&amp;"N/A just.: "&amp;Checks!$AC$709)&amp;IF(Checks!$W$709="","",CHAR(10)&amp;"Batch: "&amp;Checks!$W$709)&amp;IF(AND(Checks!$X$709="",Checks!$Y$709=""),"",CHAR(10)&amp;"Exp: "&amp;Checks!$X$709&amp;"  /  Act: "&amp;Checks!$Y$709)</f>
        <v/>
      </c>
      <c r="F30" s="114" t="str">
        <f aca="false">IF(Checks!$Z$709="","","Evidence: "&amp;Checks!$Z$709)&amp;IF(Checks!$AA$709="","",IF(Checks!$Z$709="","",CHAR(10))&amp;"CA: "&amp;Checks!$AA$709)</f>
        <v/>
      </c>
      <c r="G30" s="114" t="str">
        <f aca="false">IF(ISNUMBER(Checks!$AD$709),TEXT(Checks!$AD$709,"DD-MMM-YY HH:MM")&amp;" "&amp;Checks!$P$709,"")&amp;IF(Checks!$AE$709="","",CHAR(10)&amp;"Verifier: "&amp;Checks!$AE$709)&amp;IF(Checks!$T$709="","",CHAR(10)&amp;"PIC: "&amp;Checks!$T$709)</f>
        <v/>
      </c>
      <c r="H30" s="115" t="str">
        <f aca="false">IF(Checks!$AH$709="","",Checks!$AH$709)</f>
        <v>OPEN</v>
      </c>
    </row>
    <row r="31" customFormat="false" ht="114" hidden="false" customHeight="true" outlineLevel="0" collapsed="false">
      <c r="A31" s="114" t="str">
        <f aca="false">Checks!$A$710&amp;CHAR(10)&amp;IF(Checks!$I$710="","",Checks!$I$710&amp;": ")&amp;Checks!$J$710</f>
        <v>F22-T7-09
Uplift plan: Uplift plan confirmed with caterer vs STD Uplift Information</v>
      </c>
      <c r="B31" s="114" t="str">
        <f aca="false">Checks!$K$710&amp;IF(Checks!$O$710="","",IF(Checks!$K$710="","",CHAR(10))&amp;"Note: "&amp;Checks!$O$710)</f>
        <v>Service: 2.5 Meal (Meal); meal uplift stn KUL (ref lists KUL/LHR)</v>
      </c>
      <c r="C31" s="114" t="str">
        <f aca="false">Checks!$N$710&amp;CHAR(10)&amp;IF(ISNUMBER(Checks!$R$710),TEXT(Checks!$R$710,"DD-MMM-YY HH:MM"),"")&amp;" "&amp;Checks!$P$710</f>
        <v>Required
23-Oct-26 23:20 KUL</v>
      </c>
      <c r="D31" s="114" t="str">
        <f aca="false">IF(Checks!$U$710="","",Checks!$U$710)&amp;IF(Checks!$AB$710="","",CHAR(10)&amp;"CA: "&amp;Checks!$AB$710)</f>
        <v/>
      </c>
      <c r="E31" s="114" t="str">
        <f aca="false">IF(Checks!$V$710="","",Checks!$V$710)&amp;IF(Checks!$AC$710="","",IF(Checks!$V$710="","",CHAR(10))&amp;"N/A just.: "&amp;Checks!$AC$710)&amp;IF(Checks!$W$710="","",CHAR(10)&amp;"Batch: "&amp;Checks!$W$710)&amp;IF(AND(Checks!$X$710="",Checks!$Y$710=""),"",CHAR(10)&amp;"Exp: "&amp;Checks!$X$710&amp;"  /  Act: "&amp;Checks!$Y$710)</f>
        <v/>
      </c>
      <c r="F31" s="114" t="str">
        <f aca="false">IF(Checks!$Z$710="","","Evidence: "&amp;Checks!$Z$710)&amp;IF(Checks!$AA$710="","",IF(Checks!$Z$710="","",CHAR(10))&amp;"CA: "&amp;Checks!$AA$710)</f>
        <v/>
      </c>
      <c r="G31" s="114" t="str">
        <f aca="false">IF(ISNUMBER(Checks!$AD$710),TEXT(Checks!$AD$710,"DD-MMM-YY HH:MM")&amp;" "&amp;Checks!$P$710,"")&amp;IF(Checks!$AE$710="","",CHAR(10)&amp;"Verifier: "&amp;Checks!$AE$710)&amp;IF(Checks!$T$710="","",CHAR(10)&amp;"PIC: "&amp;Checks!$T$710)</f>
        <v/>
      </c>
      <c r="H31" s="115" t="str">
        <f aca="false">IF(Checks!$AH$710="","",Checks!$AH$710)</f>
        <v>OPEN</v>
      </c>
    </row>
    <row r="32" customFormat="false" ht="25.5" hidden="false" customHeight="true" outlineLevel="0" collapsed="false">
      <c r="A32" s="113" t="str">
        <f aca="false">"T-24H — Production batch sensory  |  Due "&amp;IF(ISNUMBER(Flights!$AH$26),TEXT(Flights!$AH$26,"DD-MMM-YY HH:MM"),"")&amp;" "&amp;Flights!$V$26&amp;" (meal uplift stn)"&amp;" (rows with another due show their own)  |  Complete "&amp;IF(ISNUMBER(Flights!$AK$26),TEXT(Flights!$AK$26,"0%"),Flights!$AK$26)&amp;"  |  1 lines"</f>
        <v>T-24H — Production batch sensory  |  Due 29-Oct-26 23:20 KUL (meal uplift stn) (rows with another due show their own)  |  Complete 0%  |  1 lines</v>
      </c>
      <c r="B32" s="113"/>
      <c r="C32" s="113"/>
      <c r="D32" s="113"/>
      <c r="E32" s="113"/>
      <c r="F32" s="113"/>
      <c r="G32" s="113"/>
      <c r="H32" s="113"/>
    </row>
    <row r="33" customFormat="false" ht="114" hidden="false" customHeight="true" outlineLevel="0" collapsed="false">
      <c r="A33" s="114" t="str">
        <f aca="false">Checks!$A$711&amp;CHAR(10)&amp;IF(Checks!$I$711="","",Checks!$I$711&amp;": ")&amp;Checks!$J$711</f>
        <v>F22-T24-01
Meal: Sensory test repeated on ACTUAL production batch for this flight</v>
      </c>
      <c r="B33" s="114" t="str">
        <f aca="false">Checks!$K$711&amp;IF(Checks!$O$711="","",IF(Checks!$K$711="","",CHAR(10))&amp;"Note: "&amp;Checks!$O$711)</f>
        <v>Batch ID, result, CA and acceptance mandatory</v>
      </c>
      <c r="C33" s="114" t="str">
        <f aca="false">Checks!$N$711&amp;CHAR(10)&amp;IF(ISNUMBER(Checks!$R$711),TEXT(Checks!$R$711,"DD-MMM-YY HH:MM"),"")&amp;" "&amp;Checks!$P$711</f>
        <v>Required
29-Oct-26 23:20 KUL</v>
      </c>
      <c r="D33" s="114" t="str">
        <f aca="false">IF(Checks!$U$711="","",Checks!$U$711)&amp;IF(Checks!$AB$711="","",CHAR(10)&amp;"CA: "&amp;Checks!$AB$711)</f>
        <v/>
      </c>
      <c r="E33" s="114" t="str">
        <f aca="false">IF(Checks!$V$711="","",Checks!$V$711)&amp;IF(Checks!$AC$711="","",IF(Checks!$V$711="","",CHAR(10))&amp;"N/A just.: "&amp;Checks!$AC$711)&amp;IF(Checks!$W$711="","",CHAR(10)&amp;"Batch: "&amp;Checks!$W$711)&amp;IF(AND(Checks!$X$711="",Checks!$Y$711=""),"",CHAR(10)&amp;"Exp: "&amp;Checks!$X$711&amp;"  /  Act: "&amp;Checks!$Y$711)</f>
        <v/>
      </c>
      <c r="F33" s="114" t="str">
        <f aca="false">IF(Checks!$Z$711="","","Evidence: "&amp;Checks!$Z$711)&amp;IF(Checks!$AA$711="","",IF(Checks!$Z$711="","",CHAR(10))&amp;"CA: "&amp;Checks!$AA$711)</f>
        <v/>
      </c>
      <c r="G33" s="114" t="str">
        <f aca="false">IF(ISNUMBER(Checks!$AD$711),TEXT(Checks!$AD$711,"DD-MMM-YY HH:MM")&amp;" "&amp;Checks!$P$711,"")&amp;IF(Checks!$AE$711="","",CHAR(10)&amp;"Verifier: "&amp;Checks!$AE$711)&amp;IF(Checks!$T$711="","",CHAR(10)&amp;"PIC: "&amp;Checks!$T$711)</f>
        <v/>
      </c>
      <c r="H33" s="115" t="str">
        <f aca="false">IF(Checks!$AH$711="","",Checks!$AH$711)</f>
        <v>OPEN</v>
      </c>
    </row>
    <row r="34" customFormat="false" ht="25.5" hidden="false" customHeight="true" outlineLevel="0" collapsed="false">
      <c r="A34" s="113" t="str">
        <f aca="false">"T-12H PREP — Preparation check at caterer (does NOT confirm loading)  |  Due "&amp;IF(ISNUMBER(Flights!$AI$26),TEXT(Flights!$AI$26,"DD-MMM-YY HH:MM"),"")&amp;" "&amp;Flights!$V$26&amp;" (meal uplift stn)"&amp;" (rows with another due show their own)  |  Complete "&amp;IF(ISNUMBER(Flights!$AL$26),TEXT(Flights!$AL$26,"0%"),Flights!$AL$26)&amp;"  |  21 lines"</f>
        <v>T-12H PREP — Preparation check at caterer (does NOT confirm loading)  |  Due 30-Oct-26 11:20 KUL (meal uplift stn) (rows with another due show their own)  |  Complete 0%  |  21 lines</v>
      </c>
      <c r="B34" s="113"/>
      <c r="C34" s="113"/>
      <c r="D34" s="113"/>
      <c r="E34" s="113"/>
      <c r="F34" s="113"/>
      <c r="G34" s="113"/>
      <c r="H34" s="113"/>
    </row>
    <row r="35" customFormat="false" ht="114" hidden="false" customHeight="true" outlineLevel="0" collapsed="false">
      <c r="A35" s="114" t="str">
        <f aca="false">Checks!$A$712&amp;CHAR(10)&amp;IF(Checks!$I$712="","",Checks!$I$712&amp;": ")&amp;Checks!$J$712</f>
        <v>F22-T12-01
Meal: Meal quality vs menu checklist</v>
      </c>
      <c r="B35" s="114" t="str">
        <f aca="false">Checks!$K$712&amp;IF(Checks!$O$712="","",IF(Checks!$K$712="","",CHAR(10))&amp;"Note: "&amp;Checks!$O$712)</f>
        <v>Note: Preparation check at caterer - does NOT confirm loading.</v>
      </c>
      <c r="C35" s="114" t="str">
        <f aca="false">Checks!$N$712&amp;CHAR(10)&amp;IF(ISNUMBER(Checks!$R$712),TEXT(Checks!$R$712,"DD-MMM-YY HH:MM"),"")&amp;" "&amp;Checks!$P$712</f>
        <v>Required
30-Oct-26 11:20 KUL</v>
      </c>
      <c r="D35" s="114" t="str">
        <f aca="false">IF(Checks!$U$712="","",Checks!$U$712)&amp;IF(Checks!$AB$712="","",CHAR(10)&amp;"CA: "&amp;Checks!$AB$712)</f>
        <v/>
      </c>
      <c r="E35" s="114" t="str">
        <f aca="false">IF(Checks!$V$712="","",Checks!$V$712)&amp;IF(Checks!$AC$712="","",IF(Checks!$V$712="","",CHAR(10))&amp;"N/A just.: "&amp;Checks!$AC$712)&amp;IF(Checks!$W$712="","",CHAR(10)&amp;"Batch: "&amp;Checks!$W$712)&amp;IF(AND(Checks!$X$712="",Checks!$Y$712=""),"",CHAR(10)&amp;"Exp: "&amp;Checks!$X$712&amp;"  /  Act: "&amp;Checks!$Y$712)</f>
        <v/>
      </c>
      <c r="F35" s="114" t="str">
        <f aca="false">IF(Checks!$Z$712="","","Evidence: "&amp;Checks!$Z$712)&amp;IF(Checks!$AA$712="","",IF(Checks!$Z$712="","",CHAR(10))&amp;"CA: "&amp;Checks!$AA$712)</f>
        <v/>
      </c>
      <c r="G35" s="114" t="str">
        <f aca="false">IF(ISNUMBER(Checks!$AD$712),TEXT(Checks!$AD$712,"DD-MMM-YY HH:MM")&amp;" "&amp;Checks!$P$712,"")&amp;IF(Checks!$AE$712="","",CHAR(10)&amp;"Verifier: "&amp;Checks!$AE$712)&amp;IF(Checks!$T$712="","",CHAR(10)&amp;"PIC: "&amp;Checks!$T$712)</f>
        <v/>
      </c>
      <c r="H35" s="115" t="str">
        <f aca="false">IF(Checks!$AH$712="","",Checks!$AH$712)</f>
        <v>OPEN</v>
      </c>
    </row>
    <row r="36" customFormat="false" ht="114" hidden="false" customHeight="true" outlineLevel="0" collapsed="false">
      <c r="A36" s="114" t="str">
        <f aca="false">Checks!$A$713&amp;CHAR(10)&amp;IF(Checks!$I$713="","",Checks!$I$713&amp;": ")&amp;Checks!$J$713</f>
        <v>F22-T12-02
Meal: Meal quantities vs menu checklist</v>
      </c>
      <c r="B36" s="114" t="str">
        <f aca="false">Checks!$K$713&amp;IF(Checks!$O$713="","",IF(Checks!$K$713="","",CHAR(10))&amp;"Note: "&amp;Checks!$O$713)</f>
        <v>Enter expected &amp; actual
Note: Preparation check at caterer - does NOT confirm loading.</v>
      </c>
      <c r="C36" s="114" t="str">
        <f aca="false">Checks!$N$713&amp;CHAR(10)&amp;IF(ISNUMBER(Checks!$R$713),TEXT(Checks!$R$713,"DD-MMM-YY HH:MM"),"")&amp;" "&amp;Checks!$P$713</f>
        <v>Required
30-Oct-26 11:20 KUL</v>
      </c>
      <c r="D36" s="114" t="str">
        <f aca="false">IF(Checks!$U$713="","",Checks!$U$713)&amp;IF(Checks!$AB$713="","",CHAR(10)&amp;"CA: "&amp;Checks!$AB$713)</f>
        <v/>
      </c>
      <c r="E36" s="114" t="str">
        <f aca="false">IF(Checks!$V$713="","",Checks!$V$713)&amp;IF(Checks!$AC$713="","",IF(Checks!$V$713="","",CHAR(10))&amp;"N/A just.: "&amp;Checks!$AC$713)&amp;IF(Checks!$W$713="","",CHAR(10)&amp;"Batch: "&amp;Checks!$W$713)&amp;IF(AND(Checks!$X$713="",Checks!$Y$713=""),"",CHAR(10)&amp;"Exp: "&amp;Checks!$X$713&amp;"  /  Act: "&amp;Checks!$Y$713)</f>
        <v/>
      </c>
      <c r="F36" s="114" t="str">
        <f aca="false">IF(Checks!$Z$713="","","Evidence: "&amp;Checks!$Z$713)&amp;IF(Checks!$AA$713="","",IF(Checks!$Z$713="","",CHAR(10))&amp;"CA: "&amp;Checks!$AA$713)</f>
        <v/>
      </c>
      <c r="G36" s="114" t="str">
        <f aca="false">IF(ISNUMBER(Checks!$AD$713),TEXT(Checks!$AD$713,"DD-MMM-YY HH:MM")&amp;" "&amp;Checks!$P$713,"")&amp;IF(Checks!$AE$713="","",CHAR(10)&amp;"Verifier: "&amp;Checks!$AE$713)&amp;IF(Checks!$T$713="","",CHAR(10)&amp;"PIC: "&amp;Checks!$T$713)</f>
        <v/>
      </c>
      <c r="H36" s="115" t="str">
        <f aca="false">IF(Checks!$AH$713="","",Checks!$AH$713)</f>
        <v>OPEN</v>
      </c>
    </row>
    <row r="37" customFormat="false" ht="114" hidden="false" customHeight="true" outlineLevel="0" collapsed="false">
      <c r="A37" s="114" t="str">
        <f aca="false">Checks!$A$714&amp;CHAR(10)&amp;IF(Checks!$I$714="","",Checks!$I$714&amp;": ")&amp;Checks!$J$714</f>
        <v>F22-T12-03
Equipment: Equipment cleanliness vs GLD</v>
      </c>
      <c r="B37" s="114" t="str">
        <f aca="false">Checks!$K$714&amp;IF(Checks!$O$714="","",IF(Checks!$K$714="","",CHAR(10))&amp;"Note: "&amp;Checks!$O$714)</f>
        <v>Note: Preparation check at caterer - does NOT confirm loading.</v>
      </c>
      <c r="C37" s="114" t="str">
        <f aca="false">Checks!$N$714&amp;CHAR(10)&amp;IF(ISNUMBER(Checks!$R$714),TEXT(Checks!$R$714,"DD-MMM-YY HH:MM"),"")&amp;" "&amp;Checks!$P$714</f>
        <v>Required
30-Oct-26 11:20 KUL</v>
      </c>
      <c r="D37" s="114" t="str">
        <f aca="false">IF(Checks!$U$714="","",Checks!$U$714)&amp;IF(Checks!$AB$714="","",CHAR(10)&amp;"CA: "&amp;Checks!$AB$714)</f>
        <v/>
      </c>
      <c r="E37" s="114" t="str">
        <f aca="false">IF(Checks!$V$714="","",Checks!$V$714)&amp;IF(Checks!$AC$714="","",IF(Checks!$V$714="","",CHAR(10))&amp;"N/A just.: "&amp;Checks!$AC$714)&amp;IF(Checks!$W$714="","",CHAR(10)&amp;"Batch: "&amp;Checks!$W$714)&amp;IF(AND(Checks!$X$714="",Checks!$Y$714=""),"",CHAR(10)&amp;"Exp: "&amp;Checks!$X$714&amp;"  /  Act: "&amp;Checks!$Y$714)</f>
        <v/>
      </c>
      <c r="F37" s="114" t="str">
        <f aca="false">IF(Checks!$Z$714="","","Evidence: "&amp;Checks!$Z$714)&amp;IF(Checks!$AA$714="","",IF(Checks!$Z$714="","",CHAR(10))&amp;"CA: "&amp;Checks!$AA$714)</f>
        <v/>
      </c>
      <c r="G37" s="114" t="str">
        <f aca="false">IF(ISNUMBER(Checks!$AD$714),TEXT(Checks!$AD$714,"DD-MMM-YY HH:MM")&amp;" "&amp;Checks!$P$714,"")&amp;IF(Checks!$AE$714="","",CHAR(10)&amp;"Verifier: "&amp;Checks!$AE$714)&amp;IF(Checks!$T$714="","",CHAR(10)&amp;"PIC: "&amp;Checks!$T$714)</f>
        <v/>
      </c>
      <c r="H37" s="115" t="str">
        <f aca="false">IF(Checks!$AH$714="","",Checks!$AH$714)</f>
        <v>OPEN</v>
      </c>
    </row>
    <row r="38" customFormat="false" ht="114" hidden="false" customHeight="true" outlineLevel="0" collapsed="false">
      <c r="A38" s="114" t="str">
        <f aca="false">Checks!$A$715&amp;CHAR(10)&amp;IF(Checks!$I$715="","",Checks!$I$715&amp;": ")&amp;Checks!$J$715</f>
        <v>F22-T12-04
Equipment: Equipment presentation vs GLD</v>
      </c>
      <c r="B38" s="114" t="str">
        <f aca="false">Checks!$K$715&amp;IF(Checks!$O$715="","",IF(Checks!$K$715="","",CHAR(10))&amp;"Note: "&amp;Checks!$O$715)</f>
        <v>Note: Preparation check at caterer - does NOT confirm loading.</v>
      </c>
      <c r="C38" s="114" t="str">
        <f aca="false">Checks!$N$715&amp;CHAR(10)&amp;IF(ISNUMBER(Checks!$R$715),TEXT(Checks!$R$715,"DD-MMM-YY HH:MM"),"")&amp;" "&amp;Checks!$P$715</f>
        <v>Required
30-Oct-26 11:20 KUL</v>
      </c>
      <c r="D38" s="114" t="str">
        <f aca="false">IF(Checks!$U$715="","",Checks!$U$715)&amp;IF(Checks!$AB$715="","",CHAR(10)&amp;"CA: "&amp;Checks!$AB$715)</f>
        <v/>
      </c>
      <c r="E38" s="114" t="str">
        <f aca="false">IF(Checks!$V$715="","",Checks!$V$715)&amp;IF(Checks!$AC$715="","",IF(Checks!$V$715="","",CHAR(10))&amp;"N/A just.: "&amp;Checks!$AC$715)&amp;IF(Checks!$W$715="","",CHAR(10)&amp;"Batch: "&amp;Checks!$W$715)&amp;IF(AND(Checks!$X$715="",Checks!$Y$715=""),"",CHAR(10)&amp;"Exp: "&amp;Checks!$X$715&amp;"  /  Act: "&amp;Checks!$Y$715)</f>
        <v/>
      </c>
      <c r="F38" s="114" t="str">
        <f aca="false">IF(Checks!$Z$715="","","Evidence: "&amp;Checks!$Z$715)&amp;IF(Checks!$AA$715="","",IF(Checks!$Z$715="","",CHAR(10))&amp;"CA: "&amp;Checks!$AA$715)</f>
        <v/>
      </c>
      <c r="G38" s="114" t="str">
        <f aca="false">IF(ISNUMBER(Checks!$AD$715),TEXT(Checks!$AD$715,"DD-MMM-YY HH:MM")&amp;" "&amp;Checks!$P$715,"")&amp;IF(Checks!$AE$715="","",CHAR(10)&amp;"Verifier: "&amp;Checks!$AE$715)&amp;IF(Checks!$T$715="","",CHAR(10)&amp;"PIC: "&amp;Checks!$T$715)</f>
        <v/>
      </c>
      <c r="H38" s="115" t="str">
        <f aca="false">IF(Checks!$AH$715="","",Checks!$AH$715)</f>
        <v>OPEN</v>
      </c>
    </row>
    <row r="39" customFormat="false" ht="114" hidden="false" customHeight="true" outlineLevel="0" collapsed="false">
      <c r="A39" s="114" t="str">
        <f aca="false">Checks!$A$716&amp;CHAR(10)&amp;IF(Checks!$I$716="","",Checks!$I$716&amp;": ")&amp;Checks!$J$716</f>
        <v>F22-T12-05
Equipment: Equipment serviceability vs GLD</v>
      </c>
      <c r="B39" s="114" t="str">
        <f aca="false">Checks!$K$716&amp;IF(Checks!$O$716="","",IF(Checks!$K$716="","",CHAR(10))&amp;"Note: "&amp;Checks!$O$716)</f>
        <v>Note: Preparation check at caterer - does NOT confirm loading.</v>
      </c>
      <c r="C39" s="114" t="str">
        <f aca="false">Checks!$N$716&amp;CHAR(10)&amp;IF(ISNUMBER(Checks!$R$716),TEXT(Checks!$R$716,"DD-MMM-YY HH:MM"),"")&amp;" "&amp;Checks!$P$716</f>
        <v>Required
30-Oct-26 11:20 KUL</v>
      </c>
      <c r="D39" s="114" t="str">
        <f aca="false">IF(Checks!$U$716="","",Checks!$U$716)&amp;IF(Checks!$AB$716="","",CHAR(10)&amp;"CA: "&amp;Checks!$AB$716)</f>
        <v/>
      </c>
      <c r="E39" s="114" t="str">
        <f aca="false">IF(Checks!$V$716="","",Checks!$V$716)&amp;IF(Checks!$AC$716="","",IF(Checks!$V$716="","",CHAR(10))&amp;"N/A just.: "&amp;Checks!$AC$716)&amp;IF(Checks!$W$716="","",CHAR(10)&amp;"Batch: "&amp;Checks!$W$716)&amp;IF(AND(Checks!$X$716="",Checks!$Y$716=""),"",CHAR(10)&amp;"Exp: "&amp;Checks!$X$716&amp;"  /  Act: "&amp;Checks!$Y$716)</f>
        <v/>
      </c>
      <c r="F39" s="114" t="str">
        <f aca="false">IF(Checks!$Z$716="","","Evidence: "&amp;Checks!$Z$716)&amp;IF(Checks!$AA$716="","",IF(Checks!$Z$716="","",CHAR(10))&amp;"CA: "&amp;Checks!$AA$716)</f>
        <v/>
      </c>
      <c r="G39" s="114" t="str">
        <f aca="false">IF(ISNUMBER(Checks!$AD$716),TEXT(Checks!$AD$716,"DD-MMM-YY HH:MM")&amp;" "&amp;Checks!$P$716,"")&amp;IF(Checks!$AE$716="","",CHAR(10)&amp;"Verifier: "&amp;Checks!$AE$716)&amp;IF(Checks!$T$716="","",CHAR(10)&amp;"PIC: "&amp;Checks!$T$716)</f>
        <v/>
      </c>
      <c r="H39" s="115" t="str">
        <f aca="false">IF(Checks!$AH$716="","",Checks!$AH$716)</f>
        <v>OPEN</v>
      </c>
    </row>
    <row r="40" customFormat="false" ht="322.5" hidden="false" customHeight="true" outlineLevel="0" collapsed="false">
      <c r="A40" s="114" t="str">
        <f aca="false">Checks!$A$717&amp;CHAR(10)&amp;IF(Checks!$I$717="","",Checks!$I$717&amp;": ")&amp;Checks!$J$717</f>
        <v>F22-T12-06
Equipment: Equipment quantities vs GLD</v>
      </c>
      <c r="B40" s="114" t="str">
        <f aca="false">SUBSTITUTE(Checks!$K$717&amp;IF(Checks!$O$717="","",IF(Checks!$K$717="","",CHAR(10))&amp;"Note: "&amp;Checks!$O$717),"AIRCRAFT TYPE!","Ref: AIRCRAFT TYPE!")</f>
        <v>Enter expected &amp; actual. Aircraft galley data: A350-900 (A359): carts 50.5, SU 70, ovens 14, warming ovens 3, fridges 3, water heaters 7, beverage makers -, espresso 2, folding trolleys 4, headsets BC &amp; EY: Dual Pin (Ref: AIRCRAFT TYPE!C6:R6) | A350-900 (A350): carts 41.5, SU 52, ovens 14, warming ovens 0, fridges 1, water heaters 11, beverage makers -, espresso 1, folding trolleys 3, headsets BC: Dual Pin/ EY: Single Pin (Ref: AIRCRAFT TYPE!C7:R7)
Note: Preparation check at caterer - does NOT confirm loading.</v>
      </c>
      <c r="C40" s="114" t="str">
        <f aca="false">Checks!$N$717&amp;CHAR(10)&amp;IF(ISNUMBER(Checks!$R$717),TEXT(Checks!$R$717,"DD-MMM-YY HH:MM"),"")&amp;" "&amp;Checks!$P$717</f>
        <v>Required
30-Oct-26 11:20 KUL</v>
      </c>
      <c r="D40" s="114" t="str">
        <f aca="false">IF(Checks!$U$717="","",Checks!$U$717)&amp;IF(Checks!$AB$717="","",CHAR(10)&amp;"CA: "&amp;Checks!$AB$717)</f>
        <v/>
      </c>
      <c r="E40" s="114" t="str">
        <f aca="false">IF(Checks!$V$717="","",Checks!$V$717)&amp;IF(Checks!$AC$717="","",IF(Checks!$V$717="","",CHAR(10))&amp;"N/A just.: "&amp;Checks!$AC$717)&amp;IF(Checks!$W$717="","",CHAR(10)&amp;"Batch: "&amp;Checks!$W$717)&amp;IF(AND(Checks!$X$717="",Checks!$Y$717=""),"",CHAR(10)&amp;"Exp: "&amp;Checks!$X$717&amp;"  /  Act: "&amp;Checks!$Y$717)</f>
        <v/>
      </c>
      <c r="F40" s="114" t="str">
        <f aca="false">IF(Checks!$Z$717="","","Evidence: "&amp;Checks!$Z$717)&amp;IF(Checks!$AA$717="","",IF(Checks!$Z$717="","",CHAR(10))&amp;"CA: "&amp;Checks!$AA$717)</f>
        <v/>
      </c>
      <c r="G40" s="114" t="str">
        <f aca="false">IF(ISNUMBER(Checks!$AD$717),TEXT(Checks!$AD$717,"DD-MMM-YY HH:MM")&amp;" "&amp;Checks!$P$717,"")&amp;IF(Checks!$AE$717="","",CHAR(10)&amp;"Verifier: "&amp;Checks!$AE$717)&amp;IF(Checks!$T$717="","",CHAR(10)&amp;"PIC: "&amp;Checks!$T$717)</f>
        <v/>
      </c>
      <c r="H40" s="115" t="str">
        <f aca="false">IF(Checks!$AH$717="","",Checks!$AH$717)</f>
        <v>OPEN</v>
      </c>
    </row>
    <row r="41" customFormat="false" ht="114" hidden="false" customHeight="true" outlineLevel="0" collapsed="false">
      <c r="A41" s="114" t="str">
        <f aca="false">Checks!$A$718&amp;CHAR(10)&amp;IF(Checks!$I$718="","",Checks!$I$718&amp;": ")&amp;Checks!$J$718</f>
        <v>F22-T12-07
Equipment: Loading positions planned vs GLD</v>
      </c>
      <c r="B41" s="114" t="str">
        <f aca="false">Checks!$K$718&amp;IF(Checks!$O$718="","",IF(Checks!$K$718="","",CHAR(10))&amp;"Note: "&amp;Checks!$O$718)</f>
        <v>Note: Preparation check at caterer - does NOT confirm loading.</v>
      </c>
      <c r="C41" s="114" t="str">
        <f aca="false">Checks!$N$718&amp;CHAR(10)&amp;IF(ISNUMBER(Checks!$R$718),TEXT(Checks!$R$718,"DD-MMM-YY HH:MM"),"")&amp;" "&amp;Checks!$P$718</f>
        <v>Required
30-Oct-26 11:20 KUL</v>
      </c>
      <c r="D41" s="114" t="str">
        <f aca="false">IF(Checks!$U$718="","",Checks!$U$718)&amp;IF(Checks!$AB$718="","",CHAR(10)&amp;"CA: "&amp;Checks!$AB$718)</f>
        <v/>
      </c>
      <c r="E41" s="114" t="str">
        <f aca="false">IF(Checks!$V$718="","",Checks!$V$718)&amp;IF(Checks!$AC$718="","",IF(Checks!$V$718="","",CHAR(10))&amp;"N/A just.: "&amp;Checks!$AC$718)&amp;IF(Checks!$W$718="","",CHAR(10)&amp;"Batch: "&amp;Checks!$W$718)&amp;IF(AND(Checks!$X$718="",Checks!$Y$718=""),"",CHAR(10)&amp;"Exp: "&amp;Checks!$X$718&amp;"  /  Act: "&amp;Checks!$Y$718)</f>
        <v/>
      </c>
      <c r="F41" s="114" t="str">
        <f aca="false">IF(Checks!$Z$718="","","Evidence: "&amp;Checks!$Z$718)&amp;IF(Checks!$AA$718="","",IF(Checks!$Z$718="","",CHAR(10))&amp;"CA: "&amp;Checks!$AA$718)</f>
        <v/>
      </c>
      <c r="G41" s="114" t="str">
        <f aca="false">IF(ISNUMBER(Checks!$AD$718),TEXT(Checks!$AD$718,"DD-MMM-YY HH:MM")&amp;" "&amp;Checks!$P$718,"")&amp;IF(Checks!$AE$718="","",CHAR(10)&amp;"Verifier: "&amp;Checks!$AE$718)&amp;IF(Checks!$T$718="","",CHAR(10)&amp;"PIC: "&amp;Checks!$T$718)</f>
        <v/>
      </c>
      <c r="H41" s="115" t="str">
        <f aca="false">IF(Checks!$AH$718="","",Checks!$AH$718)</f>
        <v>OPEN</v>
      </c>
    </row>
    <row r="42" customFormat="false" ht="213" hidden="false" customHeight="true" outlineLevel="0" collapsed="false">
      <c r="A42" s="114" t="str">
        <f aca="false">Checks!$A$719&amp;CHAR(10)&amp;IF(Checks!$I$719="","",Checks!$I$719&amp;": ")&amp;Checks!$J$719</f>
        <v>F22-T12-08
Amenities: Toiletry kits - prepared</v>
      </c>
      <c r="B42" s="114" t="str">
        <f aca="false">SUBSTITUTE(Checks!$K$719&amp;IF(Checks!$O$719="","",IF(Checks!$K$719="","",CHAR(10))&amp;"Note: "&amp;Checks!$O$719),"AMENITIES!","Ref: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42" s="114" t="str">
        <f aca="false">Checks!$N$719&amp;CHAR(10)&amp;IF(ISNUMBER(Checks!$R$719),TEXT(Checks!$R$719,"DD-MMM-YY HH:MM"),"")&amp;" "&amp;Checks!$P$719</f>
        <v>Clarification required
30-Oct-26 11:20 KUL</v>
      </c>
      <c r="D42" s="114" t="str">
        <f aca="false">IF(Checks!$U$719="","",Checks!$U$719)&amp;IF(Checks!$AB$719="","",CHAR(10)&amp;"CA: "&amp;Checks!$AB$719)</f>
        <v/>
      </c>
      <c r="E42" s="114" t="str">
        <f aca="false">IF(Checks!$V$719="","",Checks!$V$719)&amp;IF(Checks!$AC$719="","",IF(Checks!$V$719="","",CHAR(10))&amp;"N/A just.: "&amp;Checks!$AC$719)&amp;IF(Checks!$W$719="","",CHAR(10)&amp;"Batch: "&amp;Checks!$W$719)&amp;IF(AND(Checks!$X$719="",Checks!$Y$719=""),"",CHAR(10)&amp;"Exp: "&amp;Checks!$X$719&amp;"  /  Act: "&amp;Checks!$Y$719)</f>
        <v/>
      </c>
      <c r="F42" s="114" t="str">
        <f aca="false">IF(Checks!$Z$719="","","Evidence: "&amp;Checks!$Z$719)&amp;IF(Checks!$AA$719="","",IF(Checks!$Z$719="","",CHAR(10))&amp;"CA: "&amp;Checks!$AA$719)</f>
        <v/>
      </c>
      <c r="G42" s="114" t="str">
        <f aca="false">IF(ISNUMBER(Checks!$AD$719),TEXT(Checks!$AD$719,"DD-MMM-YY HH:MM")&amp;" "&amp;Checks!$P$719,"")&amp;IF(Checks!$AE$719="","",CHAR(10)&amp;"Verifier: "&amp;Checks!$AE$719)&amp;IF(Checks!$T$719="","",CHAR(10)&amp;"PIC: "&amp;Checks!$T$719)</f>
        <v/>
      </c>
      <c r="H42" s="115" t="str">
        <f aca="false">IF(Checks!$AH$719="","",Checks!$AH$719)</f>
        <v>OPEN – CLARIFICATION</v>
      </c>
    </row>
    <row r="43" customFormat="false" ht="114" hidden="false" customHeight="true" outlineLevel="0" collapsed="false">
      <c r="A43" s="114" t="str">
        <f aca="false">Checks!$A$720&amp;CHAR(10)&amp;IF(Checks!$I$720="","",Checks!$I$720&amp;": ")&amp;Checks!$J$720</f>
        <v>F22-T12-09
Amenities: Pajamas (BC) - prepared</v>
      </c>
      <c r="B43" s="114" t="str">
        <f aca="false">Checks!$K$720&amp;IF(Checks!$O$720="","",IF(Checks!$K$720="","",CHAR(10))&amp;"Note: "&amp;Checks!$O$720)</f>
        <v>Available - BC red-eye only
Note: Red-eye departure 2320 local.</v>
      </c>
      <c r="C43" s="114" t="str">
        <f aca="false">Checks!$N$720&amp;CHAR(10)&amp;IF(ISNUMBER(Checks!$R$720),TEXT(Checks!$R$720,"DD-MMM-YY HH:MM"),"")&amp;" "&amp;Checks!$P$720</f>
        <v>Required
30-Oct-26 11:20 KUL</v>
      </c>
      <c r="D43" s="114" t="str">
        <f aca="false">IF(Checks!$U$720="","",Checks!$U$720)&amp;IF(Checks!$AB$720="","",CHAR(10)&amp;"CA: "&amp;Checks!$AB$720)</f>
        <v/>
      </c>
      <c r="E43" s="114" t="str">
        <f aca="false">IF(Checks!$V$720="","",Checks!$V$720)&amp;IF(Checks!$AC$720="","",IF(Checks!$V$720="","",CHAR(10))&amp;"N/A just.: "&amp;Checks!$AC$720)&amp;IF(Checks!$W$720="","",CHAR(10)&amp;"Batch: "&amp;Checks!$W$720)&amp;IF(AND(Checks!$X$720="",Checks!$Y$720=""),"",CHAR(10)&amp;"Exp: "&amp;Checks!$X$720&amp;"  /  Act: "&amp;Checks!$Y$720)</f>
        <v/>
      </c>
      <c r="F43" s="114" t="str">
        <f aca="false">IF(Checks!$Z$720="","","Evidence: "&amp;Checks!$Z$720)&amp;IF(Checks!$AA$720="","",IF(Checks!$Z$720="","",CHAR(10))&amp;"CA: "&amp;Checks!$AA$720)</f>
        <v/>
      </c>
      <c r="G43" s="114" t="str">
        <f aca="false">IF(ISNUMBER(Checks!$AD$720),TEXT(Checks!$AD$720,"DD-MMM-YY HH:MM")&amp;" "&amp;Checks!$P$720,"")&amp;IF(Checks!$AE$720="","",CHAR(10)&amp;"Verifier: "&amp;Checks!$AE$720)&amp;IF(Checks!$T$720="","",CHAR(10)&amp;"PIC: "&amp;Checks!$T$720)</f>
        <v/>
      </c>
      <c r="H43" s="115" t="str">
        <f aca="false">IF(Checks!$AH$720="","",Checks!$AH$720)</f>
        <v>OPEN</v>
      </c>
    </row>
    <row r="44" customFormat="false" ht="114" hidden="false" customHeight="true" outlineLevel="0" collapsed="false">
      <c r="A44" s="114" t="str">
        <f aca="false">Checks!$A$721&amp;CHAR(10)&amp;IF(Checks!$I$721="","",Checks!$I$721&amp;": ")&amp;Checks!$J$721</f>
        <v>F22-T12-10
Amenities: Slippers (BS/BC) - prepared</v>
      </c>
      <c r="B44" s="114" t="str">
        <f aca="false">Checks!$K$721&amp;IF(Checks!$O$721="","",IF(Checks!$K$721="","",CHAR(10))&amp;"Note: "&amp;Checks!$O$721)</f>
        <v>Available (ticked in reference)</v>
      </c>
      <c r="C44" s="114" t="str">
        <f aca="false">Checks!$N$721&amp;CHAR(10)&amp;IF(ISNUMBER(Checks!$R$721),TEXT(Checks!$R$721,"DD-MMM-YY HH:MM"),"")&amp;" "&amp;Checks!$P$721</f>
        <v>Required
30-Oct-26 11:20 KUL</v>
      </c>
      <c r="D44" s="114" t="str">
        <f aca="false">IF(Checks!$U$721="","",Checks!$U$721)&amp;IF(Checks!$AB$721="","",CHAR(10)&amp;"CA: "&amp;Checks!$AB$721)</f>
        <v/>
      </c>
      <c r="E44" s="114" t="str">
        <f aca="false">IF(Checks!$V$721="","",Checks!$V$721)&amp;IF(Checks!$AC$721="","",IF(Checks!$V$721="","",CHAR(10))&amp;"N/A just.: "&amp;Checks!$AC$721)&amp;IF(Checks!$W$721="","",CHAR(10)&amp;"Batch: "&amp;Checks!$W$721)&amp;IF(AND(Checks!$X$721="",Checks!$Y$721=""),"",CHAR(10)&amp;"Exp: "&amp;Checks!$X$721&amp;"  /  Act: "&amp;Checks!$Y$721)</f>
        <v/>
      </c>
      <c r="F44" s="114" t="str">
        <f aca="false">IF(Checks!$Z$721="","","Evidence: "&amp;Checks!$Z$721)&amp;IF(Checks!$AA$721="","",IF(Checks!$Z$721="","",CHAR(10))&amp;"CA: "&amp;Checks!$AA$721)</f>
        <v/>
      </c>
      <c r="G44" s="114" t="str">
        <f aca="false">IF(ISNUMBER(Checks!$AD$721),TEXT(Checks!$AD$721,"DD-MMM-YY HH:MM")&amp;" "&amp;Checks!$P$721,"")&amp;IF(Checks!$AE$721="","",CHAR(10)&amp;"Verifier: "&amp;Checks!$AE$721)&amp;IF(Checks!$T$721="","",CHAR(10)&amp;"PIC: "&amp;Checks!$T$721)</f>
        <v/>
      </c>
      <c r="H44" s="115" t="str">
        <f aca="false">IF(Checks!$AH$721="","",Checks!$AH$721)</f>
        <v>OPEN</v>
      </c>
    </row>
    <row r="45" customFormat="false" ht="114" hidden="false" customHeight="true" outlineLevel="0" collapsed="false">
      <c r="A45" s="114" t="str">
        <f aca="false">Checks!$A$722&amp;CHAR(10)&amp;IF(Checks!$I$722="","",Checks!$I$722&amp;": ")&amp;Checks!$J$722</f>
        <v>F22-T12-11
F&amp;B Linen: Towel - prepared</v>
      </c>
      <c r="B45" s="114" t="str">
        <f aca="false">Checks!$K$722&amp;IF(Checks!$O$722="","",IF(Checks!$K$722="","",CHAR(10))&amp;"Note: "&amp;Checks!$O$722)</f>
        <v>Available (ticked in reference)
Note: Reference gives no uplift stn for this item: preparation checked at the meal uplift stn (KUL) - confirm with caterer.</v>
      </c>
      <c r="C45" s="114" t="str">
        <f aca="false">Checks!$N$722&amp;CHAR(10)&amp;IF(ISNUMBER(Checks!$R$722),TEXT(Checks!$R$722,"DD-MMM-YY HH:MM"),"")&amp;" "&amp;Checks!$P$722</f>
        <v>Required
30-Oct-26 11:20 KUL</v>
      </c>
      <c r="D45" s="114" t="str">
        <f aca="false">IF(Checks!$U$722="","",Checks!$U$722)&amp;IF(Checks!$AB$722="","",CHAR(10)&amp;"CA: "&amp;Checks!$AB$722)</f>
        <v/>
      </c>
      <c r="E45" s="114" t="str">
        <f aca="false">IF(Checks!$V$722="","",Checks!$V$722)&amp;IF(Checks!$AC$722="","",IF(Checks!$V$722="","",CHAR(10))&amp;"N/A just.: "&amp;Checks!$AC$722)&amp;IF(Checks!$W$722="","",CHAR(10)&amp;"Batch: "&amp;Checks!$W$722)&amp;IF(AND(Checks!$X$722="",Checks!$Y$722=""),"",CHAR(10)&amp;"Exp: "&amp;Checks!$X$722&amp;"  /  Act: "&amp;Checks!$Y$722)</f>
        <v/>
      </c>
      <c r="F45" s="114" t="str">
        <f aca="false">IF(Checks!$Z$722="","","Evidence: "&amp;Checks!$Z$722)&amp;IF(Checks!$AA$722="","",IF(Checks!$Z$722="","",CHAR(10))&amp;"CA: "&amp;Checks!$AA$722)</f>
        <v/>
      </c>
      <c r="G45" s="114" t="str">
        <f aca="false">IF(ISNUMBER(Checks!$AD$722),TEXT(Checks!$AD$722,"DD-MMM-YY HH:MM")&amp;" "&amp;Checks!$P$722,"")&amp;IF(Checks!$AE$722="","",CHAR(10)&amp;"Verifier: "&amp;Checks!$AE$722)&amp;IF(Checks!$T$722="","",CHAR(10)&amp;"PIC: "&amp;Checks!$T$722)</f>
        <v/>
      </c>
      <c r="H45" s="115" t="str">
        <f aca="false">IF(Checks!$AH$722="","",Checks!$AH$722)</f>
        <v>OPEN</v>
      </c>
    </row>
    <row r="46" customFormat="false" ht="114" hidden="false" customHeight="true" outlineLevel="0" collapsed="false">
      <c r="A46" s="114" t="str">
        <f aca="false">Checks!$A$723&amp;CHAR(10)&amp;IF(Checks!$I$723="","",Checks!$I$723&amp;": ")&amp;Checks!$J$723</f>
        <v>F22-T12-12
F&amp;B Linen: Tray cloth - prepared</v>
      </c>
      <c r="B46" s="114" t="str">
        <f aca="false">Checks!$K$723&amp;IF(Checks!$O$723="","",IF(Checks!$K$723="","",CHAR(10))&amp;"Note: "&amp;Checks!$O$723)</f>
        <v>Available (ticked in reference)
Note: Reference gives no uplift stn for this item: preparation checked at the meal uplift stn (KUL) - confirm with caterer.</v>
      </c>
      <c r="C46" s="114" t="str">
        <f aca="false">Checks!$N$723&amp;CHAR(10)&amp;IF(ISNUMBER(Checks!$R$723),TEXT(Checks!$R$723,"DD-MMM-YY HH:MM"),"")&amp;" "&amp;Checks!$P$723</f>
        <v>Required
30-Oct-26 11:20 KUL</v>
      </c>
      <c r="D46" s="114" t="str">
        <f aca="false">IF(Checks!$U$723="","",Checks!$U$723)&amp;IF(Checks!$AB$723="","",CHAR(10)&amp;"CA: "&amp;Checks!$AB$723)</f>
        <v/>
      </c>
      <c r="E46" s="114" t="str">
        <f aca="false">IF(Checks!$V$723="","",Checks!$V$723)&amp;IF(Checks!$AC$723="","",IF(Checks!$V$723="","",CHAR(10))&amp;"N/A just.: "&amp;Checks!$AC$723)&amp;IF(Checks!$W$723="","",CHAR(10)&amp;"Batch: "&amp;Checks!$W$723)&amp;IF(AND(Checks!$X$723="",Checks!$Y$723=""),"",CHAR(10)&amp;"Exp: "&amp;Checks!$X$723&amp;"  /  Act: "&amp;Checks!$Y$723)</f>
        <v/>
      </c>
      <c r="F46" s="114" t="str">
        <f aca="false">IF(Checks!$Z$723="","","Evidence: "&amp;Checks!$Z$723)&amp;IF(Checks!$AA$723="","",IF(Checks!$Z$723="","",CHAR(10))&amp;"CA: "&amp;Checks!$AA$723)</f>
        <v/>
      </c>
      <c r="G46" s="114" t="str">
        <f aca="false">IF(ISNUMBER(Checks!$AD$723),TEXT(Checks!$AD$723,"DD-MMM-YY HH:MM")&amp;" "&amp;Checks!$P$723,"")&amp;IF(Checks!$AE$723="","",CHAR(10)&amp;"Verifier: "&amp;Checks!$AE$723)&amp;IF(Checks!$T$723="","",CHAR(10)&amp;"PIC: "&amp;Checks!$T$723)</f>
        <v/>
      </c>
      <c r="H46" s="115" t="str">
        <f aca="false">IF(Checks!$AH$723="","",Checks!$AH$723)</f>
        <v>OPEN</v>
      </c>
    </row>
    <row r="47" customFormat="false" ht="114" hidden="false" customHeight="true" outlineLevel="0" collapsed="false">
      <c r="A47" s="114" t="str">
        <f aca="false">Checks!$A$724&amp;CHAR(10)&amp;IF(Checks!$I$724="","",Checks!$I$724&amp;": ")&amp;Checks!$J$724</f>
        <v>F22-T12-13
F&amp;B Linen: Napkin - prepared</v>
      </c>
      <c r="B47" s="114" t="str">
        <f aca="false">Checks!$K$724&amp;IF(Checks!$O$724="","",IF(Checks!$K$724="","",CHAR(10))&amp;"Note: "&amp;Checks!$O$724)</f>
        <v>Available (ticked in reference)
Note: Reference gives no uplift stn for this item: preparation checked at the meal uplift stn (KUL) - confirm with caterer.</v>
      </c>
      <c r="C47" s="114" t="str">
        <f aca="false">Checks!$N$724&amp;CHAR(10)&amp;IF(ISNUMBER(Checks!$R$724),TEXT(Checks!$R$724,"DD-MMM-YY HH:MM"),"")&amp;" "&amp;Checks!$P$724</f>
        <v>Required
30-Oct-26 11:20 KUL</v>
      </c>
      <c r="D47" s="114" t="str">
        <f aca="false">IF(Checks!$U$724="","",Checks!$U$724)&amp;IF(Checks!$AB$724="","",CHAR(10)&amp;"CA: "&amp;Checks!$AB$724)</f>
        <v/>
      </c>
      <c r="E47" s="114" t="str">
        <f aca="false">IF(Checks!$V$724="","",Checks!$V$724)&amp;IF(Checks!$AC$724="","",IF(Checks!$V$724="","",CHAR(10))&amp;"N/A just.: "&amp;Checks!$AC$724)&amp;IF(Checks!$W$724="","",CHAR(10)&amp;"Batch: "&amp;Checks!$W$724)&amp;IF(AND(Checks!$X$724="",Checks!$Y$724=""),"",CHAR(10)&amp;"Exp: "&amp;Checks!$X$724&amp;"  /  Act: "&amp;Checks!$Y$724)</f>
        <v/>
      </c>
      <c r="F47" s="114" t="str">
        <f aca="false">IF(Checks!$Z$724="","","Evidence: "&amp;Checks!$Z$724)&amp;IF(Checks!$AA$724="","",IF(Checks!$Z$724="","",CHAR(10))&amp;"CA: "&amp;Checks!$AA$724)</f>
        <v/>
      </c>
      <c r="G47" s="114" t="str">
        <f aca="false">IF(ISNUMBER(Checks!$AD$724),TEXT(Checks!$AD$724,"DD-MMM-YY HH:MM")&amp;" "&amp;Checks!$P$724,"")&amp;IF(Checks!$AE$724="","",CHAR(10)&amp;"Verifier: "&amp;Checks!$AE$724)&amp;IF(Checks!$T$724="","",CHAR(10)&amp;"PIC: "&amp;Checks!$T$724)</f>
        <v/>
      </c>
      <c r="H47" s="115" t="str">
        <f aca="false">IF(Checks!$AH$724="","",Checks!$AH$724)</f>
        <v>OPEN</v>
      </c>
    </row>
    <row r="48" customFormat="false" ht="114" hidden="false" customHeight="true" outlineLevel="0" collapsed="false">
      <c r="A48" s="114" t="str">
        <f aca="false">Checks!$A$725&amp;CHAR(10)&amp;IF(Checks!$I$725="","",Checks!$I$725&amp;": ")&amp;Checks!$J$725</f>
        <v>F22-T12-14
F&amp;B Linen: Table cloth - prepared</v>
      </c>
      <c r="B48" s="114" t="str">
        <f aca="false">Checks!$K$725&amp;IF(Checks!$O$725="","",IF(Checks!$K$725="","",CHAR(10))&amp;"Note: "&amp;Checks!$O$725)</f>
        <v>Available (ticked in reference)
Note: Reference gives no uplift stn for this item: preparation checked at the meal uplift stn (KUL) - confirm with caterer.</v>
      </c>
      <c r="C48" s="114" t="str">
        <f aca="false">Checks!$N$725&amp;CHAR(10)&amp;IF(ISNUMBER(Checks!$R$725),TEXT(Checks!$R$725,"DD-MMM-YY HH:MM"),"")&amp;" "&amp;Checks!$P$725</f>
        <v>Required
30-Oct-26 11:20 KUL</v>
      </c>
      <c r="D48" s="114" t="str">
        <f aca="false">IF(Checks!$U$725="","",Checks!$U$725)&amp;IF(Checks!$AB$725="","",CHAR(10)&amp;"CA: "&amp;Checks!$AB$725)</f>
        <v/>
      </c>
      <c r="E48" s="114" t="str">
        <f aca="false">IF(Checks!$V$725="","",Checks!$V$725)&amp;IF(Checks!$AC$725="","",IF(Checks!$V$725="","",CHAR(10))&amp;"N/A just.: "&amp;Checks!$AC$725)&amp;IF(Checks!$W$725="","",CHAR(10)&amp;"Batch: "&amp;Checks!$W$725)&amp;IF(AND(Checks!$X$725="",Checks!$Y$725=""),"",CHAR(10)&amp;"Exp: "&amp;Checks!$X$725&amp;"  /  Act: "&amp;Checks!$Y$725)</f>
        <v/>
      </c>
      <c r="F48" s="114" t="str">
        <f aca="false">IF(Checks!$Z$725="","","Evidence: "&amp;Checks!$Z$725)&amp;IF(Checks!$AA$725="","",IF(Checks!$Z$725="","",CHAR(10))&amp;"CA: "&amp;Checks!$AA$725)</f>
        <v/>
      </c>
      <c r="G48" s="114" t="str">
        <f aca="false">IF(ISNUMBER(Checks!$AD$725),TEXT(Checks!$AD$725,"DD-MMM-YY HH:MM")&amp;" "&amp;Checks!$P$725,"")&amp;IF(Checks!$AE$725="","",CHAR(10)&amp;"Verifier: "&amp;Checks!$AE$725)&amp;IF(Checks!$T$725="","",CHAR(10)&amp;"PIC: "&amp;Checks!$T$725)</f>
        <v/>
      </c>
      <c r="H48" s="115" t="str">
        <f aca="false">IF(Checks!$AH$725="","",Checks!$AH$725)</f>
        <v>OPEN</v>
      </c>
    </row>
    <row r="49" customFormat="false" ht="114" hidden="false" customHeight="true" outlineLevel="0" collapsed="false">
      <c r="A49" s="114" t="str">
        <f aca="false">Checks!$A$726&amp;CHAR(10)&amp;IF(Checks!$I$726="","",Checks!$I$726&amp;": ")&amp;Checks!$J$726</f>
        <v>F22-T12-15
F&amp;B Linen: Bread linen (using table cloth) - prepared</v>
      </c>
      <c r="B49" s="114" t="str">
        <f aca="false">Checks!$K$726&amp;IF(Checks!$O$726="","",IF(Checks!$K$726="","",CHAR(10))&amp;"Note: "&amp;Checks!$O$726)</f>
        <v>Available (ticked in reference)
Note: Reference gives no uplift stn for this item: preparation checked at the meal uplift stn (KUL) - confirm with caterer.</v>
      </c>
      <c r="C49" s="114" t="str">
        <f aca="false">Checks!$N$726&amp;CHAR(10)&amp;IF(ISNUMBER(Checks!$R$726),TEXT(Checks!$R$726,"DD-MMM-YY HH:MM"),"")&amp;" "&amp;Checks!$P$726</f>
        <v>Required
30-Oct-26 11:20 KUL</v>
      </c>
      <c r="D49" s="114" t="str">
        <f aca="false">IF(Checks!$U$726="","",Checks!$U$726)&amp;IF(Checks!$AB$726="","",CHAR(10)&amp;"CA: "&amp;Checks!$AB$726)</f>
        <v/>
      </c>
      <c r="E49" s="114" t="str">
        <f aca="false">IF(Checks!$V$726="","",Checks!$V$726)&amp;IF(Checks!$AC$726="","",IF(Checks!$V$726="","",CHAR(10))&amp;"N/A just.: "&amp;Checks!$AC$726)&amp;IF(Checks!$W$726="","",CHAR(10)&amp;"Batch: "&amp;Checks!$W$726)&amp;IF(AND(Checks!$X$726="",Checks!$Y$726=""),"",CHAR(10)&amp;"Exp: "&amp;Checks!$X$726&amp;"  /  Act: "&amp;Checks!$Y$726)</f>
        <v/>
      </c>
      <c r="F49" s="114" t="str">
        <f aca="false">IF(Checks!$Z$726="","","Evidence: "&amp;Checks!$Z$726)&amp;IF(Checks!$AA$726="","",IF(Checks!$Z$726="","",CHAR(10))&amp;"CA: "&amp;Checks!$AA$726)</f>
        <v/>
      </c>
      <c r="G49" s="114" t="str">
        <f aca="false">IF(ISNUMBER(Checks!$AD$726),TEXT(Checks!$AD$726,"DD-MMM-YY HH:MM")&amp;" "&amp;Checks!$P$726,"")&amp;IF(Checks!$AE$726="","",CHAR(10)&amp;"Verifier: "&amp;Checks!$AE$726)&amp;IF(Checks!$T$726="","",CHAR(10)&amp;"PIC: "&amp;Checks!$T$726)</f>
        <v/>
      </c>
      <c r="H49" s="115" t="str">
        <f aca="false">IF(Checks!$AH$726="","",Checks!$AH$726)</f>
        <v>OPEN</v>
      </c>
    </row>
    <row r="50" customFormat="false" ht="124.5" hidden="false" customHeight="true" outlineLevel="0" collapsed="false">
      <c r="A50" s="114" t="str">
        <f aca="false">Checks!$A$727&amp;CHAR(10)&amp;IF(Checks!$I$727="","",Checks!$I$727&amp;": ")&amp;Checks!$J$727</f>
        <v>F22-T12-16
F&amp;B Linen: Trolley cloth - prepared</v>
      </c>
      <c r="B50" s="114" t="str">
        <f aca="false">SUBSTITUTE(Checks!$K$727&amp;IF(Checks!$O$727="","",IF(Checks!$K$727="","",CHAR(10))&amp;"Note: "&amp;Checks!$O$727),"F&amp;B LINEN!","Ref: F&amp;B LINEN!")</f>
        <v>Wide body: Top/Middle &amp; Bottom
Note: Per note Ref: F&amp;B LINEN!B79:C80. Reference gives no uplift stn for this item: preparation checked at the meal uplift stn (KUL) - confirm with caterer.</v>
      </c>
      <c r="C50" s="114" t="str">
        <f aca="false">Checks!$N$727&amp;CHAR(10)&amp;IF(ISNUMBER(Checks!$R$727),TEXT(Checks!$R$727,"DD-MMM-YY HH:MM"),"")&amp;" "&amp;Checks!$P$727</f>
        <v>Required
30-Oct-26 11:20 KUL</v>
      </c>
      <c r="D50" s="114" t="str">
        <f aca="false">IF(Checks!$U$727="","",Checks!$U$727)&amp;IF(Checks!$AB$727="","",CHAR(10)&amp;"CA: "&amp;Checks!$AB$727)</f>
        <v/>
      </c>
      <c r="E50" s="114" t="str">
        <f aca="false">IF(Checks!$V$727="","",Checks!$V$727)&amp;IF(Checks!$AC$727="","",IF(Checks!$V$727="","",CHAR(10))&amp;"N/A just.: "&amp;Checks!$AC$727)&amp;IF(Checks!$W$727="","",CHAR(10)&amp;"Batch: "&amp;Checks!$W$727)&amp;IF(AND(Checks!$X$727="",Checks!$Y$727=""),"",CHAR(10)&amp;"Exp: "&amp;Checks!$X$727&amp;"  /  Act: "&amp;Checks!$Y$727)</f>
        <v/>
      </c>
      <c r="F50" s="114" t="str">
        <f aca="false">IF(Checks!$Z$727="","","Evidence: "&amp;Checks!$Z$727)&amp;IF(Checks!$AA$727="","",IF(Checks!$Z$727="","",CHAR(10))&amp;"CA: "&amp;Checks!$AA$727)</f>
        <v/>
      </c>
      <c r="G50" s="114" t="str">
        <f aca="false">IF(ISNUMBER(Checks!$AD$727),TEXT(Checks!$AD$727,"DD-MMM-YY HH:MM")&amp;" "&amp;Checks!$P$727,"")&amp;IF(Checks!$AE$727="","",CHAR(10)&amp;"Verifier: "&amp;Checks!$AE$727)&amp;IF(Checks!$T$727="","",CHAR(10)&amp;"PIC: "&amp;Checks!$T$727)</f>
        <v/>
      </c>
      <c r="H50" s="115" t="str">
        <f aca="false">IF(Checks!$AH$727="","",Checks!$AH$727)</f>
        <v>OPEN</v>
      </c>
    </row>
    <row r="51" customFormat="false" ht="114" hidden="false" customHeight="true" outlineLevel="0" collapsed="false">
      <c r="A51" s="114" t="str">
        <f aca="false">Checks!$A$728&amp;CHAR(10)&amp;IF(Checks!$I$728="","",Checks!$I$728&amp;": ")&amp;Checks!$J$728</f>
        <v>F22-T12-17
F&amp;B Linen: Linen bag - prepared</v>
      </c>
      <c r="B51" s="114" t="str">
        <f aca="false">Checks!$K$728&amp;IF(Checks!$O$728="","",IF(Checks!$K$728="","",CHAR(10))&amp;"Note: "&amp;Checks!$O$728)</f>
        <v>Available (ticked in reference)
Note: Reference gives no uplift stn for this item: preparation checked at the meal uplift stn (KUL) - confirm with caterer.</v>
      </c>
      <c r="C51" s="114" t="str">
        <f aca="false">Checks!$N$728&amp;CHAR(10)&amp;IF(ISNUMBER(Checks!$R$728),TEXT(Checks!$R$728,"DD-MMM-YY HH:MM"),"")&amp;" "&amp;Checks!$P$728</f>
        <v>Required
30-Oct-26 11:20 KUL</v>
      </c>
      <c r="D51" s="114" t="str">
        <f aca="false">IF(Checks!$U$728="","",Checks!$U$728)&amp;IF(Checks!$AB$728="","",CHAR(10)&amp;"CA: "&amp;Checks!$AB$728)</f>
        <v/>
      </c>
      <c r="E51" s="114" t="str">
        <f aca="false">IF(Checks!$V$728="","",Checks!$V$728)&amp;IF(Checks!$AC$728="","",IF(Checks!$V$728="","",CHAR(10))&amp;"N/A just.: "&amp;Checks!$AC$728)&amp;IF(Checks!$W$728="","",CHAR(10)&amp;"Batch: "&amp;Checks!$W$728)&amp;IF(AND(Checks!$X$728="",Checks!$Y$728=""),"",CHAR(10)&amp;"Exp: "&amp;Checks!$X$728&amp;"  /  Act: "&amp;Checks!$Y$728)</f>
        <v/>
      </c>
      <c r="F51" s="114" t="str">
        <f aca="false">IF(Checks!$Z$728="","","Evidence: "&amp;Checks!$Z$728)&amp;IF(Checks!$AA$728="","",IF(Checks!$Z$728="","",CHAR(10))&amp;"CA: "&amp;Checks!$AA$728)</f>
        <v/>
      </c>
      <c r="G51" s="114" t="str">
        <f aca="false">IF(ISNUMBER(Checks!$AD$728),TEXT(Checks!$AD$728,"DD-MMM-YY HH:MM")&amp;" "&amp;Checks!$P$728,"")&amp;IF(Checks!$AE$728="","",CHAR(10)&amp;"Verifier: "&amp;Checks!$AE$728)&amp;IF(Checks!$T$728="","",CHAR(10)&amp;"PIC: "&amp;Checks!$T$728)</f>
        <v/>
      </c>
      <c r="H51" s="115" t="str">
        <f aca="false">IF(Checks!$AH$728="","",Checks!$AH$728)</f>
        <v>OPEN</v>
      </c>
    </row>
    <row r="52" customFormat="false" ht="114" hidden="false" customHeight="true" outlineLevel="0" collapsed="false">
      <c r="A52" s="114" t="str">
        <f aca="false">Checks!$A$729&amp;CHAR(10)&amp;IF(Checks!$I$729="","",Checks!$I$729&amp;": ")&amp;Checks!$J$729</f>
        <v>F22-T12-18
Seat Linen: Seat pillow (BS &amp; BC) - prepared</v>
      </c>
      <c r="B52" s="114" t="str">
        <f aca="false">Checks!$K$729&amp;IF(Checks!$O$729="","",IF(Checks!$K$729="","",CHAR(10))&amp;"Note: "&amp;Checks!$O$729)</f>
        <v>Available 100% (ticked in reference)
Note: Reference gives no uplift stn for this item: preparation checked at the meal uplift stn (KUL) - confirm with caterer.</v>
      </c>
      <c r="C52" s="114" t="str">
        <f aca="false">Checks!$N$729&amp;CHAR(10)&amp;IF(ISNUMBER(Checks!$R$729),TEXT(Checks!$R$729,"DD-MMM-YY HH:MM"),"")&amp;" "&amp;Checks!$P$729</f>
        <v>Required
30-Oct-26 11:20 KUL</v>
      </c>
      <c r="D52" s="114" t="str">
        <f aca="false">IF(Checks!$U$729="","",Checks!$U$729)&amp;IF(Checks!$AB$729="","",CHAR(10)&amp;"CA: "&amp;Checks!$AB$729)</f>
        <v/>
      </c>
      <c r="E52" s="114" t="str">
        <f aca="false">IF(Checks!$V$729="","",Checks!$V$729)&amp;IF(Checks!$AC$729="","",IF(Checks!$V$729="","",CHAR(10))&amp;"N/A just.: "&amp;Checks!$AC$729)&amp;IF(Checks!$W$729="","",CHAR(10)&amp;"Batch: "&amp;Checks!$W$729)&amp;IF(AND(Checks!$X$729="",Checks!$Y$729=""),"",CHAR(10)&amp;"Exp: "&amp;Checks!$X$729&amp;"  /  Act: "&amp;Checks!$Y$729)</f>
        <v/>
      </c>
      <c r="F52" s="114" t="str">
        <f aca="false">IF(Checks!$Z$729="","","Evidence: "&amp;Checks!$Z$729)&amp;IF(Checks!$AA$729="","",IF(Checks!$Z$729="","",CHAR(10))&amp;"CA: "&amp;Checks!$AA$729)</f>
        <v/>
      </c>
      <c r="G52" s="114" t="str">
        <f aca="false">IF(ISNUMBER(Checks!$AD$729),TEXT(Checks!$AD$729,"DD-MMM-YY HH:MM")&amp;" "&amp;Checks!$P$729,"")&amp;IF(Checks!$AE$729="","",CHAR(10)&amp;"Verifier: "&amp;Checks!$AE$729)&amp;IF(Checks!$T$729="","",CHAR(10)&amp;"PIC: "&amp;Checks!$T$729)</f>
        <v/>
      </c>
      <c r="H52" s="115" t="str">
        <f aca="false">IF(Checks!$AH$729="","",Checks!$AH$729)</f>
        <v>OPEN</v>
      </c>
    </row>
    <row r="53" customFormat="false" ht="114" hidden="false" customHeight="true" outlineLevel="0" collapsed="false">
      <c r="A53" s="114" t="str">
        <f aca="false">Checks!$A$730&amp;CHAR(10)&amp;IF(Checks!$I$730="","",Checks!$I$730&amp;": ")&amp;Checks!$J$730</f>
        <v>F22-T12-19
Seat Linen: Duvet (BS &amp; BC) - prepared</v>
      </c>
      <c r="B53" s="114" t="str">
        <f aca="false">Checks!$K$730&amp;IF(Checks!$O$730="","",IF(Checks!$K$730="","",CHAR(10))&amp;"Note: "&amp;Checks!$O$730)</f>
        <v>Available 100% (ticked in reference)
Note: Reference gives no uplift stn for this item: preparation checked at the meal uplift stn (KUL) - confirm with caterer.</v>
      </c>
      <c r="C53" s="114" t="str">
        <f aca="false">Checks!$N$730&amp;CHAR(10)&amp;IF(ISNUMBER(Checks!$R$730),TEXT(Checks!$R$730,"DD-MMM-YY HH:MM"),"")&amp;" "&amp;Checks!$P$730</f>
        <v>Required
30-Oct-26 11:20 KUL</v>
      </c>
      <c r="D53" s="114" t="str">
        <f aca="false">IF(Checks!$U$730="","",Checks!$U$730)&amp;IF(Checks!$AB$730="","",CHAR(10)&amp;"CA: "&amp;Checks!$AB$730)</f>
        <v/>
      </c>
      <c r="E53" s="114" t="str">
        <f aca="false">IF(Checks!$V$730="","",Checks!$V$730)&amp;IF(Checks!$AC$730="","",IF(Checks!$V$730="","",CHAR(10))&amp;"N/A just.: "&amp;Checks!$AC$730)&amp;IF(Checks!$W$730="","",CHAR(10)&amp;"Batch: "&amp;Checks!$W$730)&amp;IF(AND(Checks!$X$730="",Checks!$Y$730=""),"",CHAR(10)&amp;"Exp: "&amp;Checks!$X$730&amp;"  /  Act: "&amp;Checks!$Y$730)</f>
        <v/>
      </c>
      <c r="F53" s="114" t="str">
        <f aca="false">IF(Checks!$Z$730="","","Evidence: "&amp;Checks!$Z$730)&amp;IF(Checks!$AA$730="","",IF(Checks!$Z$730="","",CHAR(10))&amp;"CA: "&amp;Checks!$AA$730)</f>
        <v/>
      </c>
      <c r="G53" s="114" t="str">
        <f aca="false">IF(ISNUMBER(Checks!$AD$730),TEXT(Checks!$AD$730,"DD-MMM-YY HH:MM")&amp;" "&amp;Checks!$P$730,"")&amp;IF(Checks!$AE$730="","",CHAR(10)&amp;"Verifier: "&amp;Checks!$AE$730)&amp;IF(Checks!$T$730="","",CHAR(10)&amp;"PIC: "&amp;Checks!$T$730)</f>
        <v/>
      </c>
      <c r="H53" s="115" t="str">
        <f aca="false">IF(Checks!$AH$730="","",Checks!$AH$730)</f>
        <v>OPEN</v>
      </c>
    </row>
    <row r="54" customFormat="false" ht="114" hidden="false" customHeight="true" outlineLevel="0" collapsed="false">
      <c r="A54" s="114" t="str">
        <f aca="false">Checks!$A$731&amp;CHAR(10)&amp;IF(Checks!$I$731="","",Checks!$I$731&amp;": ")&amp;Checks!$J$731</f>
        <v>F22-T12-20
Seat Linen: Mattress (BS &amp; BC) - prepared</v>
      </c>
      <c r="B54" s="114" t="str">
        <f aca="false">Checks!$K$731&amp;IF(Checks!$O$731="","",IF(Checks!$K$731="","",CHAR(10))&amp;"Note: "&amp;Checks!$O$731)</f>
        <v>Available 100% (ticked in reference)
Note: Reference gives no uplift stn for this item: preparation checked at the meal uplift stn (KUL) - confirm with caterer.</v>
      </c>
      <c r="C54" s="114" t="str">
        <f aca="false">Checks!$N$731&amp;CHAR(10)&amp;IF(ISNUMBER(Checks!$R$731),TEXT(Checks!$R$731,"DD-MMM-YY HH:MM"),"")&amp;" "&amp;Checks!$P$731</f>
        <v>Required
30-Oct-26 11:20 KUL</v>
      </c>
      <c r="D54" s="114" t="str">
        <f aca="false">IF(Checks!$U$731="","",Checks!$U$731)&amp;IF(Checks!$AB$731="","",CHAR(10)&amp;"CA: "&amp;Checks!$AB$731)</f>
        <v/>
      </c>
      <c r="E54" s="114" t="str">
        <f aca="false">IF(Checks!$V$731="","",Checks!$V$731)&amp;IF(Checks!$AC$731="","",IF(Checks!$V$731="","",CHAR(10))&amp;"N/A just.: "&amp;Checks!$AC$731)&amp;IF(Checks!$W$731="","",CHAR(10)&amp;"Batch: "&amp;Checks!$W$731)&amp;IF(AND(Checks!$X$731="",Checks!$Y$731=""),"",CHAR(10)&amp;"Exp: "&amp;Checks!$X$731&amp;"  /  Act: "&amp;Checks!$Y$731)</f>
        <v/>
      </c>
      <c r="F54" s="114" t="str">
        <f aca="false">IF(Checks!$Z$731="","","Evidence: "&amp;Checks!$Z$731)&amp;IF(Checks!$AA$731="","",IF(Checks!$Z$731="","",CHAR(10))&amp;"CA: "&amp;Checks!$AA$731)</f>
        <v/>
      </c>
      <c r="G54" s="114" t="str">
        <f aca="false">IF(ISNUMBER(Checks!$AD$731),TEXT(Checks!$AD$731,"DD-MMM-YY HH:MM")&amp;" "&amp;Checks!$P$731,"")&amp;IF(Checks!$AE$731="","",CHAR(10)&amp;"Verifier: "&amp;Checks!$AE$731)&amp;IF(Checks!$T$731="","",CHAR(10)&amp;"PIC: "&amp;Checks!$T$731)</f>
        <v/>
      </c>
      <c r="H54" s="115" t="str">
        <f aca="false">IF(Checks!$AH$731="","",Checks!$AH$731)</f>
        <v>OPEN</v>
      </c>
    </row>
    <row r="55" customFormat="false" ht="114" hidden="false" customHeight="true" outlineLevel="0" collapsed="false">
      <c r="A55" s="114" t="str">
        <f aca="false">Checks!$A$732&amp;CHAR(10)&amp;IF(Checks!$I$732="","",Checks!$I$732&amp;": ")&amp;Checks!$J$732</f>
        <v>F22-T12-21
Signature Drinks: Signature drink &amp; garnish (BC) - prepared</v>
      </c>
      <c r="B55" s="114" t="str">
        <f aca="false">Checks!$K$732&amp;IF(Checks!$O$732="","",IF(Checks!$K$732="","",CHAR(10))&amp;"Note: "&amp;Checks!$O$732)</f>
        <v>Available (ticked in reference)
Note: Signature drinks &amp; garnish uplifted from KUL (note D79).</v>
      </c>
      <c r="C55" s="114" t="str">
        <f aca="false">Checks!$N$732&amp;CHAR(10)&amp;IF(ISNUMBER(Checks!$R$732),TEXT(Checks!$R$732,"DD-MMM-YY HH:MM"),"")&amp;" "&amp;Checks!$P$732</f>
        <v>Required
30-Oct-26 11:20 KUL</v>
      </c>
      <c r="D55" s="114" t="str">
        <f aca="false">IF(Checks!$U$732="","",Checks!$U$732)&amp;IF(Checks!$AB$732="","",CHAR(10)&amp;"CA: "&amp;Checks!$AB$732)</f>
        <v/>
      </c>
      <c r="E55" s="114" t="str">
        <f aca="false">IF(Checks!$V$732="","",Checks!$V$732)&amp;IF(Checks!$AC$732="","",IF(Checks!$V$732="","",CHAR(10))&amp;"N/A just.: "&amp;Checks!$AC$732)&amp;IF(Checks!$W$732="","",CHAR(10)&amp;"Batch: "&amp;Checks!$W$732)&amp;IF(AND(Checks!$X$732="",Checks!$Y$732=""),"",CHAR(10)&amp;"Exp: "&amp;Checks!$X$732&amp;"  /  Act: "&amp;Checks!$Y$732)</f>
        <v/>
      </c>
      <c r="F55" s="114" t="str">
        <f aca="false">IF(Checks!$Z$732="","","Evidence: "&amp;Checks!$Z$732)&amp;IF(Checks!$AA$732="","",IF(Checks!$Z$732="","",CHAR(10))&amp;"CA: "&amp;Checks!$AA$732)</f>
        <v/>
      </c>
      <c r="G55" s="114" t="str">
        <f aca="false">IF(ISNUMBER(Checks!$AD$732),TEXT(Checks!$AD$732,"DD-MMM-YY HH:MM")&amp;" "&amp;Checks!$P$732,"")&amp;IF(Checks!$AE$732="","",CHAR(10)&amp;"Verifier: "&amp;Checks!$AE$732)&amp;IF(Checks!$T$732="","",CHAR(10)&amp;"PIC: "&amp;Checks!$T$732)</f>
        <v/>
      </c>
      <c r="H55" s="115" t="str">
        <f aca="false">IF(Checks!$AH$732="","",Checks!$AH$732)</f>
        <v>OPEN</v>
      </c>
    </row>
    <row r="56" customFormat="false" ht="25.5" hidden="false" customHeight="true" outlineLevel="0" collapsed="false">
      <c r="A56" s="113" t="str">
        <f aca="false">"UPLIFT — Physical uplift – on-board confirmation before departure  |  Due "&amp;"STD "&amp;IF(ISNUMBER(Flights!$I$26),TEXT(Flights!$I$26,"DD-MMM-YY HH:MM"),"")&amp;" "&amp;Flights!$G$26&amp;" (departure stn)"&amp;" (rows with another due show their own)  |  Complete "&amp;IF(ISNUMBER(Flights!$AM$26),TEXT(Flights!$AM$26,"0%"),Flights!$AM$26)&amp;"  |  16 lines"</f>
        <v>UPLIFT — Physical uplift – on-board confirmation before departure  |  Due STD 30-Oct-26 23:20 KUL (departure stn) (rows with another due show their own)  |  Complete 0%  |  16 lines</v>
      </c>
      <c r="B56" s="113"/>
      <c r="C56" s="113"/>
      <c r="D56" s="113"/>
      <c r="E56" s="113"/>
      <c r="F56" s="113"/>
      <c r="G56" s="113"/>
      <c r="H56" s="113"/>
    </row>
    <row r="57" customFormat="false" ht="114" hidden="false" customHeight="true" outlineLevel="0" collapsed="false">
      <c r="A57" s="114" t="str">
        <f aca="false">Checks!$A$733&amp;CHAR(10)&amp;IF(Checks!$I$733="","",Checks!$I$733&amp;": ")&amp;Checks!$J$733</f>
        <v>F22-UPL-01
Meal: Meals physically uplifted on board - quantity vs menu checklist</v>
      </c>
      <c r="B57" s="114" t="str">
        <f aca="false">Checks!$K$733&amp;IF(Checks!$O$733="","",IF(Checks!$K$733="","",CHAR(10))&amp;"Note: "&amp;Checks!$O$733)</f>
        <v>Enter expected &amp; actual
Note: Confirm on board before departure; completion time must fall inside the uplift window.</v>
      </c>
      <c r="C57" s="114" t="str">
        <f aca="false">Checks!$N$733&amp;CHAR(10)&amp;IF(ISNUMBER(Checks!$R$733),TEXT(Checks!$R$733,"DD-MMM-YY HH:MM"),"")&amp;" "&amp;Checks!$P$733</f>
        <v>Required
30-Oct-26 23:20 KUL</v>
      </c>
      <c r="D57" s="114" t="str">
        <f aca="false">IF(Checks!$U$733="","",Checks!$U$733)&amp;IF(Checks!$AB$733="","",CHAR(10)&amp;"CA: "&amp;Checks!$AB$733)</f>
        <v/>
      </c>
      <c r="E57" s="114" t="str">
        <f aca="false">IF(Checks!$V$733="","",Checks!$V$733)&amp;IF(Checks!$AC$733="","",IF(Checks!$V$733="","",CHAR(10))&amp;"N/A just.: "&amp;Checks!$AC$733)&amp;IF(Checks!$W$733="","",CHAR(10)&amp;"Batch: "&amp;Checks!$W$733)&amp;IF(AND(Checks!$X$733="",Checks!$Y$733=""),"",CHAR(10)&amp;"Exp: "&amp;Checks!$X$733&amp;"  /  Act: "&amp;Checks!$Y$733)</f>
        <v/>
      </c>
      <c r="F57" s="114" t="str">
        <f aca="false">IF(Checks!$Z$733="","","Evidence: "&amp;Checks!$Z$733)&amp;IF(Checks!$AA$733="","",IF(Checks!$Z$733="","",CHAR(10))&amp;"CA: "&amp;Checks!$AA$733)</f>
        <v/>
      </c>
      <c r="G57" s="114" t="str">
        <f aca="false">IF(ISNUMBER(Checks!$AD$733),TEXT(Checks!$AD$733,"DD-MMM-YY HH:MM")&amp;" "&amp;Checks!$P$733,"")&amp;IF(Checks!$AE$733="","",CHAR(10)&amp;"Verifier: "&amp;Checks!$AE$733)&amp;IF(Checks!$T$733="","",CHAR(10)&amp;"PIC: "&amp;Checks!$T$733)</f>
        <v/>
      </c>
      <c r="H57" s="115" t="str">
        <f aca="false">IF(Checks!$AH$733="","",Checks!$AH$733)</f>
        <v>OPEN</v>
      </c>
    </row>
    <row r="58" customFormat="false" ht="114" hidden="false" customHeight="true" outlineLevel="0" collapsed="false">
      <c r="A58" s="114" t="str">
        <f aca="false">Checks!$A$734&amp;CHAR(10)&amp;IF(Checks!$I$734="","",Checks!$I$734&amp;": ")&amp;Checks!$J$734</f>
        <v>F22-UPL-02
Equipment: Equipment physically loaded at GLD positions - quantity &amp; positions</v>
      </c>
      <c r="B58" s="114" t="str">
        <f aca="false">Checks!$K$734&amp;IF(Checks!$O$734="","",IF(Checks!$K$734="","",CHAR(10))&amp;"Note: "&amp;Checks!$O$734)</f>
        <v>Enter expected &amp; actual
Note: Confirm on board before departure; completion time must fall inside the uplift window.</v>
      </c>
      <c r="C58" s="114" t="str">
        <f aca="false">Checks!$N$734&amp;CHAR(10)&amp;IF(ISNUMBER(Checks!$R$734),TEXT(Checks!$R$734,"DD-MMM-YY HH:MM"),"")&amp;" "&amp;Checks!$P$734</f>
        <v>Required
30-Oct-26 23:20 KUL</v>
      </c>
      <c r="D58" s="114" t="str">
        <f aca="false">IF(Checks!$U$734="","",Checks!$U$734)&amp;IF(Checks!$AB$734="","",CHAR(10)&amp;"CA: "&amp;Checks!$AB$734)</f>
        <v/>
      </c>
      <c r="E58" s="114" t="str">
        <f aca="false">IF(Checks!$V$734="","",Checks!$V$734)&amp;IF(Checks!$AC$734="","",IF(Checks!$V$734="","",CHAR(10))&amp;"N/A just.: "&amp;Checks!$AC$734)&amp;IF(Checks!$W$734="","",CHAR(10)&amp;"Batch: "&amp;Checks!$W$734)&amp;IF(AND(Checks!$X$734="",Checks!$Y$734=""),"",CHAR(10)&amp;"Exp: "&amp;Checks!$X$734&amp;"  /  Act: "&amp;Checks!$Y$734)</f>
        <v/>
      </c>
      <c r="F58" s="114" t="str">
        <f aca="false">IF(Checks!$Z$734="","","Evidence: "&amp;Checks!$Z$734)&amp;IF(Checks!$AA$734="","",IF(Checks!$Z$734="","",CHAR(10))&amp;"CA: "&amp;Checks!$AA$734)</f>
        <v/>
      </c>
      <c r="G58" s="114" t="str">
        <f aca="false">IF(ISNUMBER(Checks!$AD$734),TEXT(Checks!$AD$734,"DD-MMM-YY HH:MM")&amp;" "&amp;Checks!$P$734,"")&amp;IF(Checks!$AE$734="","",CHAR(10)&amp;"Verifier: "&amp;Checks!$AE$734)&amp;IF(Checks!$T$734="","",CHAR(10)&amp;"PIC: "&amp;Checks!$T$734)</f>
        <v/>
      </c>
      <c r="H58" s="115" t="str">
        <f aca="false">IF(Checks!$AH$734="","",Checks!$AH$734)</f>
        <v>OPEN</v>
      </c>
    </row>
    <row r="59" customFormat="false" ht="213" hidden="false" customHeight="true" outlineLevel="0" collapsed="false">
      <c r="A59" s="114" t="str">
        <f aca="false">Checks!$A$735&amp;CHAR(10)&amp;IF(Checks!$I$735="","",Checks!$I$735&amp;": ")&amp;Checks!$J$735</f>
        <v>F22-UPL-03
Amenities: Toiletry kits - on board</v>
      </c>
      <c r="B59" s="114" t="str">
        <f aca="false">SUBSTITUTE(Checks!$K$735&amp;IF(Checks!$O$735="","",IF(Checks!$K$735="","",CHAR(10))&amp;"Note: "&amp;Checks!$O$735),"AMENITIES!","Ref: AMENITIES!")</f>
        <v>Available (ticked in reference)
Note: A350 row Ref: AMENITIES!C12 names LHR as the toiletry-kit uplift stn, but this leg departs KUL (general row C11: uplift stn H11 = KUL). Confirm where toiletry kits for this KUL-LHR BC leg are uplifted; if at LHR they travel on the inbound LHR-KUL sector and must be verified at KUL before this departure.</v>
      </c>
      <c r="C59" s="114" t="str">
        <f aca="false">Checks!$N$735&amp;CHAR(10)&amp;IF(ISNUMBER(Checks!$R$735),TEXT(Checks!$R$735,"DD-MMM-YY HH:MM"),"")&amp;" "&amp;Checks!$P$735</f>
        <v>Clarification required
30-Oct-26 23:20 KUL</v>
      </c>
      <c r="D59" s="114" t="str">
        <f aca="false">IF(Checks!$U$735="","",Checks!$U$735)&amp;IF(Checks!$AB$735="","",CHAR(10)&amp;"CA: "&amp;Checks!$AB$735)</f>
        <v/>
      </c>
      <c r="E59" s="114" t="str">
        <f aca="false">IF(Checks!$V$735="","",Checks!$V$735)&amp;IF(Checks!$AC$735="","",IF(Checks!$V$735="","",CHAR(10))&amp;"N/A just.: "&amp;Checks!$AC$735)&amp;IF(Checks!$W$735="","",CHAR(10)&amp;"Batch: "&amp;Checks!$W$735)&amp;IF(AND(Checks!$X$735="",Checks!$Y$735=""),"",CHAR(10)&amp;"Exp: "&amp;Checks!$X$735&amp;"  /  Act: "&amp;Checks!$Y$735)</f>
        <v/>
      </c>
      <c r="F59" s="114" t="str">
        <f aca="false">IF(Checks!$Z$735="","","Evidence: "&amp;Checks!$Z$735)&amp;IF(Checks!$AA$735="","",IF(Checks!$Z$735="","",CHAR(10))&amp;"CA: "&amp;Checks!$AA$735)</f>
        <v/>
      </c>
      <c r="G59" s="114" t="str">
        <f aca="false">IF(ISNUMBER(Checks!$AD$735),TEXT(Checks!$AD$735,"DD-MMM-YY HH:MM")&amp;" "&amp;Checks!$P$735,"")&amp;IF(Checks!$AE$735="","",CHAR(10)&amp;"Verifier: "&amp;Checks!$AE$735)&amp;IF(Checks!$T$735="","",CHAR(10)&amp;"PIC: "&amp;Checks!$T$735)</f>
        <v/>
      </c>
      <c r="H59" s="115" t="str">
        <f aca="false">IF(Checks!$AH$735="","",Checks!$AH$735)</f>
        <v>OPEN – CLARIFICATION</v>
      </c>
    </row>
    <row r="60" customFormat="false" ht="114" hidden="false" customHeight="true" outlineLevel="0" collapsed="false">
      <c r="A60" s="114" t="str">
        <f aca="false">Checks!$A$736&amp;CHAR(10)&amp;IF(Checks!$I$736="","",Checks!$I$736&amp;": ")&amp;Checks!$J$736</f>
        <v>F22-UPL-04
Amenities: Pajamas (BC) - on board</v>
      </c>
      <c r="B60" s="114" t="str">
        <f aca="false">Checks!$K$736&amp;IF(Checks!$O$736="","",IF(Checks!$K$736="","",CHAR(10))&amp;"Note: "&amp;Checks!$O$736)</f>
        <v>Available - BC red-eye only
Note: Red-eye departure 2320 local.</v>
      </c>
      <c r="C60" s="114" t="str">
        <f aca="false">Checks!$N$736&amp;CHAR(10)&amp;IF(ISNUMBER(Checks!$R$736),TEXT(Checks!$R$736,"DD-MMM-YY HH:MM"),"")&amp;" "&amp;Checks!$P$736</f>
        <v>Required
30-Oct-26 23:20 KUL</v>
      </c>
      <c r="D60" s="114" t="str">
        <f aca="false">IF(Checks!$U$736="","",Checks!$U$736)&amp;IF(Checks!$AB$736="","",CHAR(10)&amp;"CA: "&amp;Checks!$AB$736)</f>
        <v/>
      </c>
      <c r="E60" s="114" t="str">
        <f aca="false">IF(Checks!$V$736="","",Checks!$V$736)&amp;IF(Checks!$AC$736="","",IF(Checks!$V$736="","",CHAR(10))&amp;"N/A just.: "&amp;Checks!$AC$736)&amp;IF(Checks!$W$736="","",CHAR(10)&amp;"Batch: "&amp;Checks!$W$736)&amp;IF(AND(Checks!$X$736="",Checks!$Y$736=""),"",CHAR(10)&amp;"Exp: "&amp;Checks!$X$736&amp;"  /  Act: "&amp;Checks!$Y$736)</f>
        <v/>
      </c>
      <c r="F60" s="114" t="str">
        <f aca="false">IF(Checks!$Z$736="","","Evidence: "&amp;Checks!$Z$736)&amp;IF(Checks!$AA$736="","",IF(Checks!$Z$736="","",CHAR(10))&amp;"CA: "&amp;Checks!$AA$736)</f>
        <v/>
      </c>
      <c r="G60" s="114" t="str">
        <f aca="false">IF(ISNUMBER(Checks!$AD$736),TEXT(Checks!$AD$736,"DD-MMM-YY HH:MM")&amp;" "&amp;Checks!$P$736,"")&amp;IF(Checks!$AE$736="","",CHAR(10)&amp;"Verifier: "&amp;Checks!$AE$736)&amp;IF(Checks!$T$736="","",CHAR(10)&amp;"PIC: "&amp;Checks!$T$736)</f>
        <v/>
      </c>
      <c r="H60" s="115" t="str">
        <f aca="false">IF(Checks!$AH$736="","",Checks!$AH$736)</f>
        <v>OPEN</v>
      </c>
    </row>
    <row r="61" customFormat="false" ht="114" hidden="false" customHeight="true" outlineLevel="0" collapsed="false">
      <c r="A61" s="114" t="str">
        <f aca="false">Checks!$A$737&amp;CHAR(10)&amp;IF(Checks!$I$737="","",Checks!$I$737&amp;": ")&amp;Checks!$J$737</f>
        <v>F22-UPL-05
Amenities: Slippers (BS/BC) - on board</v>
      </c>
      <c r="B61" s="114" t="str">
        <f aca="false">Checks!$K$737&amp;IF(Checks!$O$737="","",IF(Checks!$K$737="","",CHAR(10))&amp;"Note: "&amp;Checks!$O$737)</f>
        <v>Available (ticked in reference)</v>
      </c>
      <c r="C61" s="114" t="str">
        <f aca="false">Checks!$N$737&amp;CHAR(10)&amp;IF(ISNUMBER(Checks!$R$737),TEXT(Checks!$R$737,"DD-MMM-YY HH:MM"),"")&amp;" "&amp;Checks!$P$737</f>
        <v>Required
30-Oct-26 23:20 KUL</v>
      </c>
      <c r="D61" s="114" t="str">
        <f aca="false">IF(Checks!$U$737="","",Checks!$U$737)&amp;IF(Checks!$AB$737="","",CHAR(10)&amp;"CA: "&amp;Checks!$AB$737)</f>
        <v/>
      </c>
      <c r="E61" s="114" t="str">
        <f aca="false">IF(Checks!$V$737="","",Checks!$V$737)&amp;IF(Checks!$AC$737="","",IF(Checks!$V$737="","",CHAR(10))&amp;"N/A just.: "&amp;Checks!$AC$737)&amp;IF(Checks!$W$737="","",CHAR(10)&amp;"Batch: "&amp;Checks!$W$737)&amp;IF(AND(Checks!$X$737="",Checks!$Y$737=""),"",CHAR(10)&amp;"Exp: "&amp;Checks!$X$737&amp;"  /  Act: "&amp;Checks!$Y$737)</f>
        <v/>
      </c>
      <c r="F61" s="114" t="str">
        <f aca="false">IF(Checks!$Z$737="","","Evidence: "&amp;Checks!$Z$737)&amp;IF(Checks!$AA$737="","",IF(Checks!$Z$737="","",CHAR(10))&amp;"CA: "&amp;Checks!$AA$737)</f>
        <v/>
      </c>
      <c r="G61" s="114" t="str">
        <f aca="false">IF(ISNUMBER(Checks!$AD$737),TEXT(Checks!$AD$737,"DD-MMM-YY HH:MM")&amp;" "&amp;Checks!$P$737,"")&amp;IF(Checks!$AE$737="","",CHAR(10)&amp;"Verifier: "&amp;Checks!$AE$737)&amp;IF(Checks!$T$737="","",CHAR(10)&amp;"PIC: "&amp;Checks!$T$737)</f>
        <v/>
      </c>
      <c r="H61" s="115" t="str">
        <f aca="false">IF(Checks!$AH$737="","",Checks!$AH$737)</f>
        <v>OPEN</v>
      </c>
    </row>
    <row r="62" customFormat="false" ht="114" hidden="false" customHeight="true" outlineLevel="0" collapsed="false">
      <c r="A62" s="114" t="str">
        <f aca="false">Checks!$A$738&amp;CHAR(10)&amp;IF(Checks!$I$738="","",Checks!$I$738&amp;": ")&amp;Checks!$J$738</f>
        <v>F22-UPL-06
F&amp;B Linen: Towel - on board</v>
      </c>
      <c r="B62" s="114" t="str">
        <f aca="false">Checks!$K$738&amp;IF(Checks!$O$738="","",IF(Checks!$K$738="","",CHAR(10))&amp;"Note: "&amp;Checks!$O$738)</f>
        <v>Available (ticked in reference)</v>
      </c>
      <c r="C62" s="114" t="str">
        <f aca="false">Checks!$N$738&amp;CHAR(10)&amp;IF(ISNUMBER(Checks!$R$738),TEXT(Checks!$R$738,"DD-MMM-YY HH:MM"),"")&amp;" "&amp;Checks!$P$738</f>
        <v>Required
30-Oct-26 23:20 KUL</v>
      </c>
      <c r="D62" s="114" t="str">
        <f aca="false">IF(Checks!$U$738="","",Checks!$U$738)&amp;IF(Checks!$AB$738="","",CHAR(10)&amp;"CA: "&amp;Checks!$AB$738)</f>
        <v/>
      </c>
      <c r="E62" s="114" t="str">
        <f aca="false">IF(Checks!$V$738="","",Checks!$V$738)&amp;IF(Checks!$AC$738="","",IF(Checks!$V$738="","",CHAR(10))&amp;"N/A just.: "&amp;Checks!$AC$738)&amp;IF(Checks!$W$738="","",CHAR(10)&amp;"Batch: "&amp;Checks!$W$738)&amp;IF(AND(Checks!$X$738="",Checks!$Y$738=""),"",CHAR(10)&amp;"Exp: "&amp;Checks!$X$738&amp;"  /  Act: "&amp;Checks!$Y$738)</f>
        <v/>
      </c>
      <c r="F62" s="114" t="str">
        <f aca="false">IF(Checks!$Z$738="","","Evidence: "&amp;Checks!$Z$738)&amp;IF(Checks!$AA$738="","",IF(Checks!$Z$738="","",CHAR(10))&amp;"CA: "&amp;Checks!$AA$738)</f>
        <v/>
      </c>
      <c r="G62" s="114" t="str">
        <f aca="false">IF(ISNUMBER(Checks!$AD$738),TEXT(Checks!$AD$738,"DD-MMM-YY HH:MM")&amp;" "&amp;Checks!$P$738,"")&amp;IF(Checks!$AE$738="","",CHAR(10)&amp;"Verifier: "&amp;Checks!$AE$738)&amp;IF(Checks!$T$738="","",CHAR(10)&amp;"PIC: "&amp;Checks!$T$738)</f>
        <v/>
      </c>
      <c r="H62" s="115" t="str">
        <f aca="false">IF(Checks!$AH$738="","",Checks!$AH$738)</f>
        <v>OPEN</v>
      </c>
    </row>
    <row r="63" customFormat="false" ht="114" hidden="false" customHeight="true" outlineLevel="0" collapsed="false">
      <c r="A63" s="114" t="str">
        <f aca="false">Checks!$A$739&amp;CHAR(10)&amp;IF(Checks!$I$739="","",Checks!$I$739&amp;": ")&amp;Checks!$J$739</f>
        <v>F22-UPL-07
F&amp;B Linen: Tray cloth - on board</v>
      </c>
      <c r="B63" s="114" t="str">
        <f aca="false">Checks!$K$739&amp;IF(Checks!$O$739="","",IF(Checks!$K$739="","",CHAR(10))&amp;"Note: "&amp;Checks!$O$739)</f>
        <v>Available (ticked in reference)</v>
      </c>
      <c r="C63" s="114" t="str">
        <f aca="false">Checks!$N$739&amp;CHAR(10)&amp;IF(ISNUMBER(Checks!$R$739),TEXT(Checks!$R$739,"DD-MMM-YY HH:MM"),"")&amp;" "&amp;Checks!$P$739</f>
        <v>Required
30-Oct-26 23:20 KUL</v>
      </c>
      <c r="D63" s="114" t="str">
        <f aca="false">IF(Checks!$U$739="","",Checks!$U$739)&amp;IF(Checks!$AB$739="","",CHAR(10)&amp;"CA: "&amp;Checks!$AB$739)</f>
        <v/>
      </c>
      <c r="E63" s="114" t="str">
        <f aca="false">IF(Checks!$V$739="","",Checks!$V$739)&amp;IF(Checks!$AC$739="","",IF(Checks!$V$739="","",CHAR(10))&amp;"N/A just.: "&amp;Checks!$AC$739)&amp;IF(Checks!$W$739="","",CHAR(10)&amp;"Batch: "&amp;Checks!$W$739)&amp;IF(AND(Checks!$X$739="",Checks!$Y$739=""),"",CHAR(10)&amp;"Exp: "&amp;Checks!$X$739&amp;"  /  Act: "&amp;Checks!$Y$739)</f>
        <v/>
      </c>
      <c r="F63" s="114" t="str">
        <f aca="false">IF(Checks!$Z$739="","","Evidence: "&amp;Checks!$Z$739)&amp;IF(Checks!$AA$739="","",IF(Checks!$Z$739="","",CHAR(10))&amp;"CA: "&amp;Checks!$AA$739)</f>
        <v/>
      </c>
      <c r="G63" s="114" t="str">
        <f aca="false">IF(ISNUMBER(Checks!$AD$739),TEXT(Checks!$AD$739,"DD-MMM-YY HH:MM")&amp;" "&amp;Checks!$P$739,"")&amp;IF(Checks!$AE$739="","",CHAR(10)&amp;"Verifier: "&amp;Checks!$AE$739)&amp;IF(Checks!$T$739="","",CHAR(10)&amp;"PIC: "&amp;Checks!$T$739)</f>
        <v/>
      </c>
      <c r="H63" s="115" t="str">
        <f aca="false">IF(Checks!$AH$739="","",Checks!$AH$739)</f>
        <v>OPEN</v>
      </c>
    </row>
    <row r="64" customFormat="false" ht="114" hidden="false" customHeight="true" outlineLevel="0" collapsed="false">
      <c r="A64" s="114" t="str">
        <f aca="false">Checks!$A$740&amp;CHAR(10)&amp;IF(Checks!$I$740="","",Checks!$I$740&amp;": ")&amp;Checks!$J$740</f>
        <v>F22-UPL-08
F&amp;B Linen: Napkin - on board</v>
      </c>
      <c r="B64" s="114" t="str">
        <f aca="false">Checks!$K$740&amp;IF(Checks!$O$740="","",IF(Checks!$K$740="","",CHAR(10))&amp;"Note: "&amp;Checks!$O$740)</f>
        <v>Available (ticked in reference)</v>
      </c>
      <c r="C64" s="114" t="str">
        <f aca="false">Checks!$N$740&amp;CHAR(10)&amp;IF(ISNUMBER(Checks!$R$740),TEXT(Checks!$R$740,"DD-MMM-YY HH:MM"),"")&amp;" "&amp;Checks!$P$740</f>
        <v>Required
30-Oct-26 23:20 KUL</v>
      </c>
      <c r="D64" s="114" t="str">
        <f aca="false">IF(Checks!$U$740="","",Checks!$U$740)&amp;IF(Checks!$AB$740="","",CHAR(10)&amp;"CA: "&amp;Checks!$AB$740)</f>
        <v/>
      </c>
      <c r="E64" s="114" t="str">
        <f aca="false">IF(Checks!$V$740="","",Checks!$V$740)&amp;IF(Checks!$AC$740="","",IF(Checks!$V$740="","",CHAR(10))&amp;"N/A just.: "&amp;Checks!$AC$740)&amp;IF(Checks!$W$740="","",CHAR(10)&amp;"Batch: "&amp;Checks!$W$740)&amp;IF(AND(Checks!$X$740="",Checks!$Y$740=""),"",CHAR(10)&amp;"Exp: "&amp;Checks!$X$740&amp;"  /  Act: "&amp;Checks!$Y$740)</f>
        <v/>
      </c>
      <c r="F64" s="114" t="str">
        <f aca="false">IF(Checks!$Z$740="","","Evidence: "&amp;Checks!$Z$740)&amp;IF(Checks!$AA$740="","",IF(Checks!$Z$740="","",CHAR(10))&amp;"CA: "&amp;Checks!$AA$740)</f>
        <v/>
      </c>
      <c r="G64" s="114" t="str">
        <f aca="false">IF(ISNUMBER(Checks!$AD$740),TEXT(Checks!$AD$740,"DD-MMM-YY HH:MM")&amp;" "&amp;Checks!$P$740,"")&amp;IF(Checks!$AE$740="","",CHAR(10)&amp;"Verifier: "&amp;Checks!$AE$740)&amp;IF(Checks!$T$740="","",CHAR(10)&amp;"PIC: "&amp;Checks!$T$740)</f>
        <v/>
      </c>
      <c r="H64" s="115" t="str">
        <f aca="false">IF(Checks!$AH$740="","",Checks!$AH$740)</f>
        <v>OPEN</v>
      </c>
    </row>
    <row r="65" customFormat="false" ht="114" hidden="false" customHeight="true" outlineLevel="0" collapsed="false">
      <c r="A65" s="114" t="str">
        <f aca="false">Checks!$A$741&amp;CHAR(10)&amp;IF(Checks!$I$741="","",Checks!$I$741&amp;": ")&amp;Checks!$J$741</f>
        <v>F22-UPL-09
F&amp;B Linen: Table cloth - on board</v>
      </c>
      <c r="B65" s="114" t="str">
        <f aca="false">Checks!$K$741&amp;IF(Checks!$O$741="","",IF(Checks!$K$741="","",CHAR(10))&amp;"Note: "&amp;Checks!$O$741)</f>
        <v>Available (ticked in reference)</v>
      </c>
      <c r="C65" s="114" t="str">
        <f aca="false">Checks!$N$741&amp;CHAR(10)&amp;IF(ISNUMBER(Checks!$R$741),TEXT(Checks!$R$741,"DD-MMM-YY HH:MM"),"")&amp;" "&amp;Checks!$P$741</f>
        <v>Required
30-Oct-26 23:20 KUL</v>
      </c>
      <c r="D65" s="114" t="str">
        <f aca="false">IF(Checks!$U$741="","",Checks!$U$741)&amp;IF(Checks!$AB$741="","",CHAR(10)&amp;"CA: "&amp;Checks!$AB$741)</f>
        <v/>
      </c>
      <c r="E65" s="114" t="str">
        <f aca="false">IF(Checks!$V$741="","",Checks!$V$741)&amp;IF(Checks!$AC$741="","",IF(Checks!$V$741="","",CHAR(10))&amp;"N/A just.: "&amp;Checks!$AC$741)&amp;IF(Checks!$W$741="","",CHAR(10)&amp;"Batch: "&amp;Checks!$W$741)&amp;IF(AND(Checks!$X$741="",Checks!$Y$741=""),"",CHAR(10)&amp;"Exp: "&amp;Checks!$X$741&amp;"  /  Act: "&amp;Checks!$Y$741)</f>
        <v/>
      </c>
      <c r="F65" s="114" t="str">
        <f aca="false">IF(Checks!$Z$741="","","Evidence: "&amp;Checks!$Z$741)&amp;IF(Checks!$AA$741="","",IF(Checks!$Z$741="","",CHAR(10))&amp;"CA: "&amp;Checks!$AA$741)</f>
        <v/>
      </c>
      <c r="G65" s="114" t="str">
        <f aca="false">IF(ISNUMBER(Checks!$AD$741),TEXT(Checks!$AD$741,"DD-MMM-YY HH:MM")&amp;" "&amp;Checks!$P$741,"")&amp;IF(Checks!$AE$741="","",CHAR(10)&amp;"Verifier: "&amp;Checks!$AE$741)&amp;IF(Checks!$T$741="","",CHAR(10)&amp;"PIC: "&amp;Checks!$T$741)</f>
        <v/>
      </c>
      <c r="H65" s="115" t="str">
        <f aca="false">IF(Checks!$AH$741="","",Checks!$AH$741)</f>
        <v>OPEN</v>
      </c>
    </row>
    <row r="66" customFormat="false" ht="114" hidden="false" customHeight="true" outlineLevel="0" collapsed="false">
      <c r="A66" s="114" t="str">
        <f aca="false">Checks!$A$742&amp;CHAR(10)&amp;IF(Checks!$I$742="","",Checks!$I$742&amp;": ")&amp;Checks!$J$742</f>
        <v>F22-UPL-10
F&amp;B Linen: Bread linen (using table cloth) - on board</v>
      </c>
      <c r="B66" s="114" t="str">
        <f aca="false">Checks!$K$742&amp;IF(Checks!$O$742="","",IF(Checks!$K$742="","",CHAR(10))&amp;"Note: "&amp;Checks!$O$742)</f>
        <v>Available (ticked in reference)</v>
      </c>
      <c r="C66" s="114" t="str">
        <f aca="false">Checks!$N$742&amp;CHAR(10)&amp;IF(ISNUMBER(Checks!$R$742),TEXT(Checks!$R$742,"DD-MMM-YY HH:MM"),"")&amp;" "&amp;Checks!$P$742</f>
        <v>Required
30-Oct-26 23:20 KUL</v>
      </c>
      <c r="D66" s="114" t="str">
        <f aca="false">IF(Checks!$U$742="","",Checks!$U$742)&amp;IF(Checks!$AB$742="","",CHAR(10)&amp;"CA: "&amp;Checks!$AB$742)</f>
        <v/>
      </c>
      <c r="E66" s="114" t="str">
        <f aca="false">IF(Checks!$V$742="","",Checks!$V$742)&amp;IF(Checks!$AC$742="","",IF(Checks!$V$742="","",CHAR(10))&amp;"N/A just.: "&amp;Checks!$AC$742)&amp;IF(Checks!$W$742="","",CHAR(10)&amp;"Batch: "&amp;Checks!$W$742)&amp;IF(AND(Checks!$X$742="",Checks!$Y$742=""),"",CHAR(10)&amp;"Exp: "&amp;Checks!$X$742&amp;"  /  Act: "&amp;Checks!$Y$742)</f>
        <v/>
      </c>
      <c r="F66" s="114" t="str">
        <f aca="false">IF(Checks!$Z$742="","","Evidence: "&amp;Checks!$Z$742)&amp;IF(Checks!$AA$742="","",IF(Checks!$Z$742="","",CHAR(10))&amp;"CA: "&amp;Checks!$AA$742)</f>
        <v/>
      </c>
      <c r="G66" s="114" t="str">
        <f aca="false">IF(ISNUMBER(Checks!$AD$742),TEXT(Checks!$AD$742,"DD-MMM-YY HH:MM")&amp;" "&amp;Checks!$P$742,"")&amp;IF(Checks!$AE$742="","",CHAR(10)&amp;"Verifier: "&amp;Checks!$AE$742)&amp;IF(Checks!$T$742="","",CHAR(10)&amp;"PIC: "&amp;Checks!$T$742)</f>
        <v/>
      </c>
      <c r="H66" s="115" t="str">
        <f aca="false">IF(Checks!$AH$742="","",Checks!$AH$742)</f>
        <v>OPEN</v>
      </c>
    </row>
    <row r="67" customFormat="false" ht="114" hidden="false" customHeight="true" outlineLevel="0" collapsed="false">
      <c r="A67" s="114" t="str">
        <f aca="false">Checks!$A$743&amp;CHAR(10)&amp;IF(Checks!$I$743="","",Checks!$I$743&amp;": ")&amp;Checks!$J$743</f>
        <v>F22-UPL-11
F&amp;B Linen: Trolley cloth - on board</v>
      </c>
      <c r="B67" s="114" t="str">
        <f aca="false">SUBSTITUTE(Checks!$K$743&amp;IF(Checks!$O$743="","",IF(Checks!$K$743="","",CHAR(10))&amp;"Note: "&amp;Checks!$O$743),"F&amp;B LINEN!","Ref: F&amp;B LINEN!")</f>
        <v>Wide body: Top/Middle &amp; Bottom
Note: Per note Ref: F&amp;B LINEN!B79:C80.</v>
      </c>
      <c r="C67" s="114" t="str">
        <f aca="false">Checks!$N$743&amp;CHAR(10)&amp;IF(ISNUMBER(Checks!$R$743),TEXT(Checks!$R$743,"DD-MMM-YY HH:MM"),"")&amp;" "&amp;Checks!$P$743</f>
        <v>Required
30-Oct-26 23:20 KUL</v>
      </c>
      <c r="D67" s="114" t="str">
        <f aca="false">IF(Checks!$U$743="","",Checks!$U$743)&amp;IF(Checks!$AB$743="","",CHAR(10)&amp;"CA: "&amp;Checks!$AB$743)</f>
        <v/>
      </c>
      <c r="E67" s="114" t="str">
        <f aca="false">IF(Checks!$V$743="","",Checks!$V$743)&amp;IF(Checks!$AC$743="","",IF(Checks!$V$743="","",CHAR(10))&amp;"N/A just.: "&amp;Checks!$AC$743)&amp;IF(Checks!$W$743="","",CHAR(10)&amp;"Batch: "&amp;Checks!$W$743)&amp;IF(AND(Checks!$X$743="",Checks!$Y$743=""),"",CHAR(10)&amp;"Exp: "&amp;Checks!$X$743&amp;"  /  Act: "&amp;Checks!$Y$743)</f>
        <v/>
      </c>
      <c r="F67" s="114" t="str">
        <f aca="false">IF(Checks!$Z$743="","","Evidence: "&amp;Checks!$Z$743)&amp;IF(Checks!$AA$743="","",IF(Checks!$Z$743="","",CHAR(10))&amp;"CA: "&amp;Checks!$AA$743)</f>
        <v/>
      </c>
      <c r="G67" s="114" t="str">
        <f aca="false">IF(ISNUMBER(Checks!$AD$743),TEXT(Checks!$AD$743,"DD-MMM-YY HH:MM")&amp;" "&amp;Checks!$P$743,"")&amp;IF(Checks!$AE$743="","",CHAR(10)&amp;"Verifier: "&amp;Checks!$AE$743)&amp;IF(Checks!$T$743="","",CHAR(10)&amp;"PIC: "&amp;Checks!$T$743)</f>
        <v/>
      </c>
      <c r="H67" s="115" t="str">
        <f aca="false">IF(Checks!$AH$743="","",Checks!$AH$743)</f>
        <v>OPEN</v>
      </c>
    </row>
    <row r="68" customFormat="false" ht="114" hidden="false" customHeight="true" outlineLevel="0" collapsed="false">
      <c r="A68" s="114" t="str">
        <f aca="false">Checks!$A$744&amp;CHAR(10)&amp;IF(Checks!$I$744="","",Checks!$I$744&amp;": ")&amp;Checks!$J$744</f>
        <v>F22-UPL-12
F&amp;B Linen: Linen bag - on board</v>
      </c>
      <c r="B68" s="114" t="str">
        <f aca="false">Checks!$K$744&amp;IF(Checks!$O$744="","",IF(Checks!$K$744="","",CHAR(10))&amp;"Note: "&amp;Checks!$O$744)</f>
        <v>Available (ticked in reference)</v>
      </c>
      <c r="C68" s="114" t="str">
        <f aca="false">Checks!$N$744&amp;CHAR(10)&amp;IF(ISNUMBER(Checks!$R$744),TEXT(Checks!$R$744,"DD-MMM-YY HH:MM"),"")&amp;" "&amp;Checks!$P$744</f>
        <v>Required
30-Oct-26 23:20 KUL</v>
      </c>
      <c r="D68" s="114" t="str">
        <f aca="false">IF(Checks!$U$744="","",Checks!$U$744)&amp;IF(Checks!$AB$744="","",CHAR(10)&amp;"CA: "&amp;Checks!$AB$744)</f>
        <v/>
      </c>
      <c r="E68" s="114" t="str">
        <f aca="false">IF(Checks!$V$744="","",Checks!$V$744)&amp;IF(Checks!$AC$744="","",IF(Checks!$V$744="","",CHAR(10))&amp;"N/A just.: "&amp;Checks!$AC$744)&amp;IF(Checks!$W$744="","",CHAR(10)&amp;"Batch: "&amp;Checks!$W$744)&amp;IF(AND(Checks!$X$744="",Checks!$Y$744=""),"",CHAR(10)&amp;"Exp: "&amp;Checks!$X$744&amp;"  /  Act: "&amp;Checks!$Y$744)</f>
        <v/>
      </c>
      <c r="F68" s="114" t="str">
        <f aca="false">IF(Checks!$Z$744="","","Evidence: "&amp;Checks!$Z$744)&amp;IF(Checks!$AA$744="","",IF(Checks!$Z$744="","",CHAR(10))&amp;"CA: "&amp;Checks!$AA$744)</f>
        <v/>
      </c>
      <c r="G68" s="114" t="str">
        <f aca="false">IF(ISNUMBER(Checks!$AD$744),TEXT(Checks!$AD$744,"DD-MMM-YY HH:MM")&amp;" "&amp;Checks!$P$744,"")&amp;IF(Checks!$AE$744="","",CHAR(10)&amp;"Verifier: "&amp;Checks!$AE$744)&amp;IF(Checks!$T$744="","",CHAR(10)&amp;"PIC: "&amp;Checks!$T$744)</f>
        <v/>
      </c>
      <c r="H68" s="115" t="str">
        <f aca="false">IF(Checks!$AH$744="","",Checks!$AH$744)</f>
        <v>OPEN</v>
      </c>
    </row>
    <row r="69" customFormat="false" ht="114" hidden="false" customHeight="true" outlineLevel="0" collapsed="false">
      <c r="A69" s="114" t="str">
        <f aca="false">Checks!$A$745&amp;CHAR(10)&amp;IF(Checks!$I$745="","",Checks!$I$745&amp;": ")&amp;Checks!$J$745</f>
        <v>F22-UPL-13
Seat Linen: Seat pillow (BS &amp; BC) - on board</v>
      </c>
      <c r="B69" s="114" t="str">
        <f aca="false">Checks!$K$745&amp;IF(Checks!$O$745="","",IF(Checks!$K$745="","",CHAR(10))&amp;"Note: "&amp;Checks!$O$745)</f>
        <v>Available 100% (ticked in reference)</v>
      </c>
      <c r="C69" s="114" t="str">
        <f aca="false">Checks!$N$745&amp;CHAR(10)&amp;IF(ISNUMBER(Checks!$R$745),TEXT(Checks!$R$745,"DD-MMM-YY HH:MM"),"")&amp;" "&amp;Checks!$P$745</f>
        <v>Required
30-Oct-26 23:20 KUL</v>
      </c>
      <c r="D69" s="114" t="str">
        <f aca="false">IF(Checks!$U$745="","",Checks!$U$745)&amp;IF(Checks!$AB$745="","",CHAR(10)&amp;"CA: "&amp;Checks!$AB$745)</f>
        <v/>
      </c>
      <c r="E69" s="114" t="str">
        <f aca="false">IF(Checks!$V$745="","",Checks!$V$745)&amp;IF(Checks!$AC$745="","",IF(Checks!$V$745="","",CHAR(10))&amp;"N/A just.: "&amp;Checks!$AC$745)&amp;IF(Checks!$W$745="","",CHAR(10)&amp;"Batch: "&amp;Checks!$W$745)&amp;IF(AND(Checks!$X$745="",Checks!$Y$745=""),"",CHAR(10)&amp;"Exp: "&amp;Checks!$X$745&amp;"  /  Act: "&amp;Checks!$Y$745)</f>
        <v/>
      </c>
      <c r="F69" s="114" t="str">
        <f aca="false">IF(Checks!$Z$745="","","Evidence: "&amp;Checks!$Z$745)&amp;IF(Checks!$AA$745="","",IF(Checks!$Z$745="","",CHAR(10))&amp;"CA: "&amp;Checks!$AA$745)</f>
        <v/>
      </c>
      <c r="G69" s="114" t="str">
        <f aca="false">IF(ISNUMBER(Checks!$AD$745),TEXT(Checks!$AD$745,"DD-MMM-YY HH:MM")&amp;" "&amp;Checks!$P$745,"")&amp;IF(Checks!$AE$745="","",CHAR(10)&amp;"Verifier: "&amp;Checks!$AE$745)&amp;IF(Checks!$T$745="","",CHAR(10)&amp;"PIC: "&amp;Checks!$T$745)</f>
        <v/>
      </c>
      <c r="H69" s="115" t="str">
        <f aca="false">IF(Checks!$AH$745="","",Checks!$AH$745)</f>
        <v>OPEN</v>
      </c>
    </row>
    <row r="70" customFormat="false" ht="114" hidden="false" customHeight="true" outlineLevel="0" collapsed="false">
      <c r="A70" s="114" t="str">
        <f aca="false">Checks!$A$746&amp;CHAR(10)&amp;IF(Checks!$I$746="","",Checks!$I$746&amp;": ")&amp;Checks!$J$746</f>
        <v>F22-UPL-14
Seat Linen: Duvet (BS &amp; BC) - on board</v>
      </c>
      <c r="B70" s="114" t="str">
        <f aca="false">Checks!$K$746&amp;IF(Checks!$O$746="","",IF(Checks!$K$746="","",CHAR(10))&amp;"Note: "&amp;Checks!$O$746)</f>
        <v>Available 100% (ticked in reference)</v>
      </c>
      <c r="C70" s="114" t="str">
        <f aca="false">Checks!$N$746&amp;CHAR(10)&amp;IF(ISNUMBER(Checks!$R$746),TEXT(Checks!$R$746,"DD-MMM-YY HH:MM"),"")&amp;" "&amp;Checks!$P$746</f>
        <v>Required
30-Oct-26 23:20 KUL</v>
      </c>
      <c r="D70" s="114" t="str">
        <f aca="false">IF(Checks!$U$746="","",Checks!$U$746)&amp;IF(Checks!$AB$746="","",CHAR(10)&amp;"CA: "&amp;Checks!$AB$746)</f>
        <v/>
      </c>
      <c r="E70" s="114" t="str">
        <f aca="false">IF(Checks!$V$746="","",Checks!$V$746)&amp;IF(Checks!$AC$746="","",IF(Checks!$V$746="","",CHAR(10))&amp;"N/A just.: "&amp;Checks!$AC$746)&amp;IF(Checks!$W$746="","",CHAR(10)&amp;"Batch: "&amp;Checks!$W$746)&amp;IF(AND(Checks!$X$746="",Checks!$Y$746=""),"",CHAR(10)&amp;"Exp: "&amp;Checks!$X$746&amp;"  /  Act: "&amp;Checks!$Y$746)</f>
        <v/>
      </c>
      <c r="F70" s="114" t="str">
        <f aca="false">IF(Checks!$Z$746="","","Evidence: "&amp;Checks!$Z$746)&amp;IF(Checks!$AA$746="","",IF(Checks!$Z$746="","",CHAR(10))&amp;"CA: "&amp;Checks!$AA$746)</f>
        <v/>
      </c>
      <c r="G70" s="114" t="str">
        <f aca="false">IF(ISNUMBER(Checks!$AD$746),TEXT(Checks!$AD$746,"DD-MMM-YY HH:MM")&amp;" "&amp;Checks!$P$746,"")&amp;IF(Checks!$AE$746="","",CHAR(10)&amp;"Verifier: "&amp;Checks!$AE$746)&amp;IF(Checks!$T$746="","",CHAR(10)&amp;"PIC: "&amp;Checks!$T$746)</f>
        <v/>
      </c>
      <c r="H70" s="115" t="str">
        <f aca="false">IF(Checks!$AH$746="","",Checks!$AH$746)</f>
        <v>OPEN</v>
      </c>
    </row>
    <row r="71" customFormat="false" ht="114" hidden="false" customHeight="true" outlineLevel="0" collapsed="false">
      <c r="A71" s="114" t="str">
        <f aca="false">Checks!$A$747&amp;CHAR(10)&amp;IF(Checks!$I$747="","",Checks!$I$747&amp;": ")&amp;Checks!$J$747</f>
        <v>F22-UPL-15
Seat Linen: Mattress (BS &amp; BC) - on board</v>
      </c>
      <c r="B71" s="114" t="str">
        <f aca="false">Checks!$K$747&amp;IF(Checks!$O$747="","",IF(Checks!$K$747="","",CHAR(10))&amp;"Note: "&amp;Checks!$O$747)</f>
        <v>Available 100% (ticked in reference)</v>
      </c>
      <c r="C71" s="114" t="str">
        <f aca="false">Checks!$N$747&amp;CHAR(10)&amp;IF(ISNUMBER(Checks!$R$747),TEXT(Checks!$R$747,"DD-MMM-YY HH:MM"),"")&amp;" "&amp;Checks!$P$747</f>
        <v>Required
30-Oct-26 23:20 KUL</v>
      </c>
      <c r="D71" s="114" t="str">
        <f aca="false">IF(Checks!$U$747="","",Checks!$U$747)&amp;IF(Checks!$AB$747="","",CHAR(10)&amp;"CA: "&amp;Checks!$AB$747)</f>
        <v/>
      </c>
      <c r="E71" s="114" t="str">
        <f aca="false">IF(Checks!$V$747="","",Checks!$V$747)&amp;IF(Checks!$AC$747="","",IF(Checks!$V$747="","",CHAR(10))&amp;"N/A just.: "&amp;Checks!$AC$747)&amp;IF(Checks!$W$747="","",CHAR(10)&amp;"Batch: "&amp;Checks!$W$747)&amp;IF(AND(Checks!$X$747="",Checks!$Y$747=""),"",CHAR(10)&amp;"Exp: "&amp;Checks!$X$747&amp;"  /  Act: "&amp;Checks!$Y$747)</f>
        <v/>
      </c>
      <c r="F71" s="114" t="str">
        <f aca="false">IF(Checks!$Z$747="","","Evidence: "&amp;Checks!$Z$747)&amp;IF(Checks!$AA$747="","",IF(Checks!$Z$747="","",CHAR(10))&amp;"CA: "&amp;Checks!$AA$747)</f>
        <v/>
      </c>
      <c r="G71" s="114" t="str">
        <f aca="false">IF(ISNUMBER(Checks!$AD$747),TEXT(Checks!$AD$747,"DD-MMM-YY HH:MM")&amp;" "&amp;Checks!$P$747,"")&amp;IF(Checks!$AE$747="","",CHAR(10)&amp;"Verifier: "&amp;Checks!$AE$747)&amp;IF(Checks!$T$747="","",CHAR(10)&amp;"PIC: "&amp;Checks!$T$747)</f>
        <v/>
      </c>
      <c r="H71" s="115" t="str">
        <f aca="false">IF(Checks!$AH$747="","",Checks!$AH$747)</f>
        <v>OPEN</v>
      </c>
    </row>
    <row r="72" customFormat="false" ht="114" hidden="false" customHeight="true" outlineLevel="0" collapsed="false">
      <c r="A72" s="114" t="str">
        <f aca="false">Checks!$A$748&amp;CHAR(10)&amp;IF(Checks!$I$748="","",Checks!$I$748&amp;": ")&amp;Checks!$J$748</f>
        <v>F22-UPL-16
Signature Drinks: Signature drink &amp; garnish (BC) - on board</v>
      </c>
      <c r="B72" s="114" t="str">
        <f aca="false">Checks!$K$748&amp;IF(Checks!$O$748="","",IF(Checks!$K$748="","",CHAR(10))&amp;"Note: "&amp;Checks!$O$748)</f>
        <v>Available (ticked in reference)
Note: Signature drinks &amp; garnish uplifted from KUL (note D79).</v>
      </c>
      <c r="C72" s="114" t="str">
        <f aca="false">Checks!$N$748&amp;CHAR(10)&amp;IF(ISNUMBER(Checks!$R$748),TEXT(Checks!$R$748,"DD-MMM-YY HH:MM"),"")&amp;" "&amp;Checks!$P$748</f>
        <v>Required
30-Oct-26 23:20 KUL</v>
      </c>
      <c r="D72" s="114" t="str">
        <f aca="false">IF(Checks!$U$748="","",Checks!$U$748)&amp;IF(Checks!$AB$748="","",CHAR(10)&amp;"CA: "&amp;Checks!$AB$748)</f>
        <v/>
      </c>
      <c r="E72" s="114" t="str">
        <f aca="false">IF(Checks!$V$748="","",Checks!$V$748)&amp;IF(Checks!$AC$748="","",IF(Checks!$V$748="","",CHAR(10))&amp;"N/A just.: "&amp;Checks!$AC$748)&amp;IF(Checks!$W$748="","",CHAR(10)&amp;"Batch: "&amp;Checks!$W$748)&amp;IF(AND(Checks!$X$748="",Checks!$Y$748=""),"",CHAR(10)&amp;"Exp: "&amp;Checks!$X$748&amp;"  /  Act: "&amp;Checks!$Y$748)</f>
        <v/>
      </c>
      <c r="F72" s="114" t="str">
        <f aca="false">IF(Checks!$Z$748="","","Evidence: "&amp;Checks!$Z$748)&amp;IF(Checks!$AA$748="","",IF(Checks!$Z$748="","",CHAR(10))&amp;"CA: "&amp;Checks!$AA$748)</f>
        <v/>
      </c>
      <c r="G72" s="114" t="str">
        <f aca="false">IF(ISNUMBER(Checks!$AD$748),TEXT(Checks!$AD$748,"DD-MMM-YY HH:MM")&amp;" "&amp;Checks!$P$748,"")&amp;IF(Checks!$AE$748="","",CHAR(10)&amp;"Verifier: "&amp;Checks!$AE$748)&amp;IF(Checks!$T$748="","",CHAR(10)&amp;"PIC: "&amp;Checks!$T$748)</f>
        <v/>
      </c>
      <c r="H72" s="115" t="str">
        <f aca="false">IF(Checks!$AH$748="","",Checks!$AH$748)</f>
        <v>OPEN</v>
      </c>
    </row>
    <row r="74" customFormat="false" ht="24" hidden="false" customHeight="true" outlineLevel="0" collapsed="false">
      <c r="A74" s="116" t="s">
        <v>1737</v>
      </c>
      <c r="B74" s="116"/>
      <c r="C74" s="116"/>
      <c r="D74" s="116"/>
      <c r="E74" s="116" t="s">
        <v>1738</v>
      </c>
      <c r="F74" s="116"/>
      <c r="G74" s="116"/>
      <c r="H74" s="116"/>
    </row>
    <row r="75" customFormat="false" ht="21.75" hidden="false" customHeight="true" outlineLevel="0" collapsed="false">
      <c r="A75" s="117"/>
      <c r="B75" s="117"/>
      <c r="C75" s="117"/>
      <c r="D75" s="117"/>
      <c r="E75" s="117"/>
      <c r="F75" s="117"/>
      <c r="G75" s="117"/>
      <c r="H75" s="117"/>
    </row>
    <row r="76" customFormat="false" ht="21.75" hidden="false" customHeight="true" outlineLevel="0" collapsed="false">
      <c r="A76" s="117"/>
      <c r="B76" s="117"/>
      <c r="C76" s="117"/>
      <c r="D76" s="117"/>
      <c r="E76" s="117"/>
      <c r="F76" s="117"/>
      <c r="G76" s="117"/>
      <c r="H76" s="117"/>
    </row>
    <row r="77" customFormat="false" ht="21.75" hidden="false" customHeight="true" outlineLevel="0" collapsed="false">
      <c r="A77" s="117"/>
      <c r="B77" s="117"/>
      <c r="C77" s="117"/>
      <c r="D77" s="117"/>
      <c r="E77" s="117"/>
      <c r="F77" s="117"/>
      <c r="G77" s="117"/>
      <c r="H77" s="117"/>
    </row>
    <row r="78" customFormat="false" ht="21.75" hidden="false" customHeight="true" outlineLevel="0" collapsed="false">
      <c r="A78" s="117"/>
      <c r="B78" s="117"/>
      <c r="C78" s="117"/>
      <c r="D78" s="117"/>
      <c r="E78" s="117"/>
      <c r="F78" s="117"/>
      <c r="G78" s="117"/>
      <c r="H78" s="117"/>
    </row>
    <row r="79" customFormat="false" ht="21.75" hidden="false" customHeight="true" outlineLevel="0" collapsed="false">
      <c r="A79" s="117"/>
      <c r="B79" s="117"/>
      <c r="C79" s="117"/>
      <c r="D79" s="117"/>
      <c r="E79" s="117"/>
      <c r="F79" s="117"/>
      <c r="G79" s="117"/>
      <c r="H79" s="117"/>
    </row>
    <row r="80" customFormat="false" ht="21.75" hidden="false" customHeight="true" outlineLevel="0" collapsed="false">
      <c r="A80" s="117"/>
      <c r="B80" s="117"/>
      <c r="C80" s="117"/>
      <c r="D80" s="117"/>
      <c r="E80" s="117"/>
      <c r="F80" s="117"/>
      <c r="G80" s="117"/>
      <c r="H80" s="117"/>
    </row>
    <row r="81" customFormat="false" ht="21.75" hidden="false" customHeight="true" outlineLevel="0" collapsed="false">
      <c r="A81" s="117"/>
      <c r="B81" s="117"/>
      <c r="C81" s="117"/>
      <c r="D81" s="117"/>
      <c r="E81" s="117"/>
      <c r="F81" s="117"/>
      <c r="G81" s="117"/>
      <c r="H81" s="117"/>
    </row>
    <row r="82" customFormat="false" ht="21.75" hidden="false" customHeight="true" outlineLevel="0" collapsed="false">
      <c r="A82" s="117"/>
      <c r="B82" s="117"/>
      <c r="C82" s="117"/>
      <c r="D82" s="117"/>
      <c r="E82" s="117"/>
      <c r="F82" s="117"/>
      <c r="G82" s="117"/>
      <c r="H82" s="117"/>
    </row>
    <row r="83" customFormat="false" ht="21.75" hidden="false" customHeight="true" outlineLevel="0" collapsed="false">
      <c r="A83" s="117"/>
      <c r="B83" s="117"/>
      <c r="C83" s="117"/>
      <c r="D83" s="117"/>
      <c r="E83" s="117"/>
      <c r="F83" s="117"/>
      <c r="G83" s="117"/>
      <c r="H83" s="117"/>
    </row>
    <row r="84" customFormat="false" ht="21.75" hidden="false" customHeight="true" outlineLevel="0" collapsed="false">
      <c r="A84" s="117"/>
      <c r="B84" s="117"/>
      <c r="C84" s="117"/>
      <c r="D84" s="117"/>
      <c r="E84" s="117"/>
      <c r="F84" s="117"/>
      <c r="G84" s="117"/>
      <c r="H84" s="117"/>
    </row>
  </sheetData>
  <sheetProtection sheet="true" formatCells="false" formatColumns="false" formatRows="false" autoFilter="false"/>
  <mergeCells count="45">
    <mergeCell ref="A1:H1"/>
    <mergeCell ref="B2:D2"/>
    <mergeCell ref="F2:H2"/>
    <mergeCell ref="B3:D3"/>
    <mergeCell ref="G3:H3"/>
    <mergeCell ref="B4:D4"/>
    <mergeCell ref="G4:H4"/>
    <mergeCell ref="B5:D5"/>
    <mergeCell ref="G5:H5"/>
    <mergeCell ref="B6:D6"/>
    <mergeCell ref="G6:H6"/>
    <mergeCell ref="B7:D7"/>
    <mergeCell ref="G7:H7"/>
    <mergeCell ref="B8:D8"/>
    <mergeCell ref="G8:H8"/>
    <mergeCell ref="B9:D9"/>
    <mergeCell ref="B10:D10"/>
    <mergeCell ref="B11:D11"/>
    <mergeCell ref="G11:H11"/>
    <mergeCell ref="A12:D12"/>
    <mergeCell ref="C13:D13"/>
    <mergeCell ref="F13:H13"/>
    <mergeCell ref="C14:D14"/>
    <mergeCell ref="F14:H14"/>
    <mergeCell ref="C15:D15"/>
    <mergeCell ref="F15:H15"/>
    <mergeCell ref="B16:H16"/>
    <mergeCell ref="A17:B17"/>
    <mergeCell ref="C17:E17"/>
    <mergeCell ref="F17:H17"/>
    <mergeCell ref="A18:B18"/>
    <mergeCell ref="C18:E18"/>
    <mergeCell ref="F18:H18"/>
    <mergeCell ref="A19:B19"/>
    <mergeCell ref="C19:E19"/>
    <mergeCell ref="F19:H19"/>
    <mergeCell ref="A20:H20"/>
    <mergeCell ref="A22:H22"/>
    <mergeCell ref="A32:H32"/>
    <mergeCell ref="A34:H34"/>
    <mergeCell ref="A56:H56"/>
    <mergeCell ref="A74:D74"/>
    <mergeCell ref="E74:H74"/>
    <mergeCell ref="A75:D84"/>
    <mergeCell ref="E75:H84"/>
  </mergeCells>
  <conditionalFormatting sqref="F2:H2">
    <cfRule type="expression" priority="2" aboveAverage="0" equalAverage="0" bottom="0" percent="0" rank="0" text="" dxfId="27">
      <formula>LEFT($F$2,5)="READY"</formula>
    </cfRule>
    <cfRule type="expression" priority="3" aboveAverage="0" equalAverage="0" bottom="0" percent="0" rank="0" text="" dxfId="28">
      <formula>LEFT($F$2,9)="NOT READY"</formula>
    </cfRule>
    <cfRule type="expression" priority="4" aboveAverage="0" equalAverage="0" bottom="0" percent="0" rank="0" text="" dxfId="29">
      <formula>$F$2&lt;&gt;""</formula>
    </cfRule>
  </conditionalFormatting>
  <conditionalFormatting sqref="F9">
    <cfRule type="expression" priority="5" aboveAverage="0" equalAverage="0" bottom="0" percent="0" rank="0" text="" dxfId="28">
      <formula>AND(ISNUMBER(F9),F9&gt;0)</formula>
    </cfRule>
  </conditionalFormatting>
  <conditionalFormatting sqref="G9">
    <cfRule type="expression" priority="6" aboveAverage="0" equalAverage="0" bottom="0" percent="0" rank="0" text="" dxfId="28">
      <formula>AND(ISNUMBER(G9),G9&gt;0)</formula>
    </cfRule>
  </conditionalFormatting>
  <conditionalFormatting sqref="H9">
    <cfRule type="expression" priority="7" aboveAverage="0" equalAverage="0" bottom="0" percent="0" rank="0" text="" dxfId="28">
      <formula>AND(ISNUMBER(H9),H9&gt;0)</formula>
    </cfRule>
  </conditionalFormatting>
  <conditionalFormatting sqref="H10">
    <cfRule type="expression" priority="8" aboveAverage="0" equalAverage="0" bottom="0" percent="0" rank="0" text="" dxfId="28">
      <formula>AND(ISNUMBER(H10),H10&gt;0)</formula>
    </cfRule>
  </conditionalFormatting>
  <conditionalFormatting sqref="E14">
    <cfRule type="expression" priority="9" aboveAverage="0" equalAverage="0" bottom="0" percent="0" rank="0" text="" dxfId="30">
      <formula>LEFT($E$14,11)="OUTSTANDING"</formula>
    </cfRule>
    <cfRule type="expression" priority="10" aboveAverage="0" equalAverage="0" bottom="0" percent="0" rank="0" text="" dxfId="27">
      <formula>$E$14="ON FILE"</formula>
    </cfRule>
  </conditionalFormatting>
  <conditionalFormatting sqref="E15">
    <cfRule type="expression" priority="11" aboveAverage="0" equalAverage="0" bottom="0" percent="0" rank="0" text="" dxfId="30">
      <formula>LEFT($E$15,11)="OUTSTANDING"</formula>
    </cfRule>
    <cfRule type="expression" priority="12" aboveAverage="0" equalAverage="0" bottom="0" percent="0" rank="0" text="" dxfId="27">
      <formula>$E$15="ON FILE"</formula>
    </cfRule>
  </conditionalFormatting>
  <conditionalFormatting sqref="H23:H72">
    <cfRule type="expression" priority="13" aboveAverage="0" equalAverage="0" bottom="0" percent="0" rank="0" text="" dxfId="31">
      <formula>LEFT($H23,8)="COMPLETE"</formula>
    </cfRule>
    <cfRule type="expression" priority="14" aboveAverage="0" equalAverage="0" bottom="0" percent="0" rank="0" text="" dxfId="28">
      <formula>OR(LEFT($H23,7)="OVERDUE",LEFT($H23,4)="FAIL",LEFT($H23,7)="INVALID")</formula>
    </cfRule>
    <cfRule type="expression" priority="15" aboveAverage="0" equalAverage="0" bottom="0" percent="0" rank="0" text="" dxfId="32">
      <formula>LEFT($H23,4)="OPEN"</formula>
    </cfRule>
    <cfRule type="expression" priority="16" aboveAverage="0" equalAverage="0" bottom="0" percent="0" rank="0" text="" dxfId="33">
      <formula>LEFT($H23,3)="N/A"</formula>
    </cfRule>
  </conditionalFormatting>
  <conditionalFormatting sqref="A23:G72">
    <cfRule type="expression" priority="17" aboveAverage="0" equalAverage="0" bottom="0" percent="0" rank="0" text="" dxfId="34">
      <formula>LEFT($H23,3)="N/A"</formula>
    </cfRule>
  </conditionalFormatting>
  <conditionalFormatting sqref="D23:D72">
    <cfRule type="expression" priority="18" aboveAverage="0" equalAverage="0" bottom="0" percent="0" rank="0" text="" dxfId="28">
      <formula>LEFT($D23,4)="Fail"</formula>
    </cfRule>
  </conditionalFormatting>
  <printOptions headings="false" gridLines="false" gridLinesSet="true" horizontalCentered="true" verticalCentered="false"/>
  <pageMargins left="0.25" right="0.25" top="0.45" bottom="0.45" header="0.2" footer="0.2"/>
  <pageSetup paperSize="9" scale="100" fitToWidth="1" fitToHeight="0" pageOrder="downThenOver" orientation="landscape" blackAndWhite="false" draft="false" cellComments="none" horizontalDpi="300" verticalDpi="300" copies="1"/>
  <headerFooter differentFirst="false" differentOddEven="false">
    <oddHeader>&amp;L&amp;"Arial,Regular"&amp;8 MAGCS – Skytrax 2026 catering readiness&amp;R&amp;"Arial,Bold"&amp;8 F22 MH0002 30-Oct-26 KUL-LHR Class BC</oddHeader>
    <oddFooter>&amp;L&amp;"Arial,Bold"&amp;8 F22 MH0002 30-Oct-26 KUL-LHR Class BC&amp;C&amp;"Arial,Regular"&amp;8 Printed: ____________________&amp;R&amp;"Arial,Regular"&amp;8 F22  Page &amp;P of &amp;N</oddFooter>
  </headerFooter>
  <rowBreaks count="13" manualBreakCount="13">
    <brk id="20" man="true" max="16383" min="0"/>
    <brk id="26" man="true" max="16383" min="0"/>
    <brk id="30" man="true" max="16383" min="0"/>
    <brk id="35" man="true" max="16383" min="0"/>
    <brk id="39" man="true" max="16383" min="0"/>
    <brk id="41" man="true" max="16383" min="0"/>
    <brk id="44" man="true" max="16383" min="0"/>
    <brk id="48" man="true" max="16383" min="0"/>
    <brk id="52" man="true" max="16383" min="0"/>
    <brk id="57" man="true" max="16383" min="0"/>
    <brk id="60" man="true" max="16383" min="0"/>
    <brk id="64" man="true" max="16383" min="0"/>
    <brk id="68" man="true" max="16383" min="0"/>
  </rowBreaks>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2026-09-29T08:26:00Z</dcterms:created>
  <dc:creator>openpyxl</dc:creator>
  <dc:description/>
  <dc:language>en-US</dc:language>
  <cp:lastModifiedBy/>
  <dcterms:modified xsi:type="dcterms:W3CDTF">2026-09-29T08:26:04Z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